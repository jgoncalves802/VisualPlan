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tables/table14.xml" ContentType="application/vnd.openxmlformats-officedocument.spreadsheetml.table+xml"/>
  <Override PartName="/xl/comments4.xml" ContentType="application/vnd.openxmlformats-officedocument.spreadsheetml.comments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filterPrivacy="1" codeName="EstaPasta_de_trabalho"/>
  <xr:revisionPtr revIDLastSave="37" documentId="11_65F21A979052D438AB9FAB428797F0E3C713C6BC" xr6:coauthVersionLast="46" xr6:coauthVersionMax="46" xr10:uidLastSave="{584DC491-A5D5-4D12-9DF7-25DC08C5AAE5}"/>
  <bookViews>
    <workbookView xWindow="-120" yWindow="-120" windowWidth="20730" windowHeight="11160" tabRatio="804" firstSheet="1" activeTab="1" xr2:uid="{00000000-000D-0000-FFFF-FFFF00000000}"/>
  </bookViews>
  <sheets>
    <sheet name="Área" sheetId="6" state="hidden" r:id="rId1"/>
    <sheet name="Dashboard" sheetId="10" r:id="rId2"/>
    <sheet name="BD" sheetId="2" r:id="rId3"/>
    <sheet name="Lançamento de Cabos" sheetId="5" r:id="rId4"/>
    <sheet name="Projeção" sheetId="26" state="hidden" r:id="rId5"/>
    <sheet name="Não Solicitado" sheetId="18" state="hidden" r:id="rId6"/>
    <sheet name="Disponibilidade" sheetId="15" state="hidden" r:id="rId7"/>
    <sheet name="Diagramas Ligações" sheetId="21" state="hidden" r:id="rId8"/>
    <sheet name="Planilha1" sheetId="27" state="hidden" r:id="rId9"/>
    <sheet name="Anilhas" sheetId="22" state="hidden" r:id="rId10"/>
    <sheet name="Painéis" sheetId="23" state="hidden" r:id="rId11"/>
    <sheet name="Indicadores" sheetId="9" state="hidden" r:id="rId12"/>
    <sheet name="Cabos Cancelados" sheetId="25" state="hidden" r:id="rId13"/>
    <sheet name="PR-LC-0001" sheetId="16" state="hidden" r:id="rId14"/>
    <sheet name="Aterramento" sheetId="7" state="hidden" r:id="rId15"/>
    <sheet name="Financeiro" sheetId="17" state="hidden" r:id="rId16"/>
    <sheet name="Curva" sheetId="12" state="hidden" r:id="rId17"/>
    <sheet name="Distr.-Atv." sheetId="11" state="hidden" r:id="rId18"/>
    <sheet name="Distr.-Área" sheetId="13" state="hidden" r:id="rId19"/>
    <sheet name="Referências" sheetId="4" state="hidden" r:id="rId20"/>
    <sheet name="Listas de Cabos" sheetId="1" state="hidden" r:id="rId21"/>
  </sheets>
  <definedNames>
    <definedName name="_xlnm._FilterDatabase" localSheetId="14" hidden="1">Aterramento!$D$1:$I$23</definedName>
    <definedName name="_xlnm._FilterDatabase" localSheetId="2" hidden="1">BD!#REF!</definedName>
    <definedName name="_xlnm._FilterDatabase" localSheetId="1" hidden="1">Dashboard!$C$55:$AS$515</definedName>
    <definedName name="_xlnm._FilterDatabase" localSheetId="5" hidden="1">'Não Solicitado'!$A$1:$S$27</definedName>
    <definedName name="_xlnm._FilterDatabase" localSheetId="10" hidden="1">Painéis!$A$1:$C$187</definedName>
    <definedName name="_xlnm._FilterDatabase" localSheetId="4" hidden="1">Projeção!$A$1:$G$100</definedName>
    <definedName name="_xlnm.Print_Area" localSheetId="1">Dashboard!$1:$53</definedName>
    <definedName name="_xlnm.Print_Titles" localSheetId="2">BD!$1:$1</definedName>
    <definedName name="_xlnm.Print_Titles" localSheetId="13">'PR-LC-0001'!$1:$2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46" i="5" l="1"/>
  <c r="AJ145" i="5"/>
  <c r="AJ144" i="5"/>
  <c r="AJ143" i="5"/>
  <c r="AJ142" i="5"/>
  <c r="AJ141" i="5"/>
  <c r="E427" i="5"/>
  <c r="F427" i="5"/>
  <c r="G427" i="5"/>
  <c r="H427" i="5"/>
  <c r="L427" i="5"/>
  <c r="E426" i="5"/>
  <c r="F426" i="5"/>
  <c r="G426" i="5"/>
  <c r="H426" i="5"/>
  <c r="L426" i="5"/>
  <c r="E425" i="5"/>
  <c r="F425" i="5"/>
  <c r="G425" i="5"/>
  <c r="H425" i="5"/>
  <c r="L425" i="5"/>
  <c r="E424" i="5"/>
  <c r="F424" i="5"/>
  <c r="G424" i="5"/>
  <c r="H424" i="5"/>
  <c r="L424" i="5"/>
  <c r="E423" i="5"/>
  <c r="F423" i="5"/>
  <c r="G423" i="5"/>
  <c r="H423" i="5"/>
  <c r="L423" i="5"/>
  <c r="E422" i="5"/>
  <c r="F422" i="5"/>
  <c r="G422" i="5"/>
  <c r="H422" i="5"/>
  <c r="L422" i="5"/>
  <c r="E421" i="5"/>
  <c r="F421" i="5"/>
  <c r="G421" i="5"/>
  <c r="H421" i="5"/>
  <c r="L421" i="5"/>
  <c r="E420" i="5"/>
  <c r="F420" i="5"/>
  <c r="G420" i="5"/>
  <c r="H420" i="5"/>
  <c r="L420" i="5"/>
  <c r="E419" i="5"/>
  <c r="F419" i="5"/>
  <c r="G419" i="5"/>
  <c r="H419" i="5"/>
  <c r="L419" i="5"/>
  <c r="E418" i="5"/>
  <c r="F418" i="5"/>
  <c r="G418" i="5"/>
  <c r="H418" i="5"/>
  <c r="L418" i="5"/>
  <c r="E417" i="5"/>
  <c r="F417" i="5"/>
  <c r="G417" i="5"/>
  <c r="H417" i="5"/>
  <c r="L417" i="5"/>
  <c r="E416" i="5"/>
  <c r="F416" i="5"/>
  <c r="G416" i="5"/>
  <c r="H416" i="5"/>
  <c r="L416" i="5"/>
  <c r="E415" i="5"/>
  <c r="F415" i="5"/>
  <c r="G415" i="5"/>
  <c r="H415" i="5"/>
  <c r="L415" i="5"/>
  <c r="E414" i="5"/>
  <c r="F414" i="5"/>
  <c r="G414" i="5"/>
  <c r="H414" i="5"/>
  <c r="L414" i="5"/>
  <c r="E413" i="5"/>
  <c r="F413" i="5"/>
  <c r="G413" i="5"/>
  <c r="H413" i="5"/>
  <c r="L413" i="5"/>
  <c r="E412" i="5"/>
  <c r="F412" i="5"/>
  <c r="G412" i="5"/>
  <c r="H412" i="5"/>
  <c r="L412" i="5"/>
  <c r="E411" i="5"/>
  <c r="F411" i="5"/>
  <c r="G411" i="5"/>
  <c r="H411" i="5"/>
  <c r="L411" i="5"/>
  <c r="E410" i="5"/>
  <c r="F410" i="5"/>
  <c r="G410" i="5"/>
  <c r="H410" i="5"/>
  <c r="L410" i="5"/>
  <c r="E409" i="5"/>
  <c r="F409" i="5"/>
  <c r="G409" i="5"/>
  <c r="H409" i="5"/>
  <c r="L409" i="5"/>
  <c r="E408" i="5"/>
  <c r="F408" i="5"/>
  <c r="G408" i="5"/>
  <c r="H408" i="5"/>
  <c r="L408" i="5"/>
  <c r="E407" i="5"/>
  <c r="F407" i="5"/>
  <c r="G407" i="5"/>
  <c r="H407" i="5"/>
  <c r="L407" i="5"/>
  <c r="E406" i="5"/>
  <c r="F406" i="5"/>
  <c r="G406" i="5"/>
  <c r="H406" i="5"/>
  <c r="L406" i="5"/>
  <c r="AJ140" i="5"/>
  <c r="R127" i="5"/>
  <c r="S127" i="5" s="1"/>
  <c r="U127" i="5"/>
  <c r="V127" i="5"/>
  <c r="Y127" i="5"/>
  <c r="Z127" i="5"/>
  <c r="AA127" i="5"/>
  <c r="R126" i="5"/>
  <c r="S126" i="5" s="1"/>
  <c r="U126" i="5"/>
  <c r="V126" i="5"/>
  <c r="Y126" i="5"/>
  <c r="Z126" i="5"/>
  <c r="AA126" i="5"/>
  <c r="R125" i="5"/>
  <c r="S125" i="5" s="1"/>
  <c r="U125" i="5"/>
  <c r="V125" i="5"/>
  <c r="Y125" i="5"/>
  <c r="Z125" i="5"/>
  <c r="AA125" i="5"/>
  <c r="AJ139" i="5"/>
  <c r="R122" i="5"/>
  <c r="S122" i="5" s="1"/>
  <c r="R123" i="5"/>
  <c r="S123" i="5" s="1"/>
  <c r="R124" i="5"/>
  <c r="S124" i="5" s="1"/>
  <c r="U122" i="5"/>
  <c r="U123" i="5"/>
  <c r="U124" i="5"/>
  <c r="V122" i="5"/>
  <c r="V123" i="5"/>
  <c r="V124" i="5"/>
  <c r="Y122" i="5"/>
  <c r="Y123" i="5"/>
  <c r="Y124" i="5"/>
  <c r="Z122" i="5"/>
  <c r="Z123" i="5"/>
  <c r="Z124" i="5"/>
  <c r="AA122" i="5"/>
  <c r="AA123" i="5"/>
  <c r="AA124" i="5"/>
  <c r="AJ138" i="5"/>
  <c r="R120" i="5"/>
  <c r="S120" i="5" s="1"/>
  <c r="R121" i="5"/>
  <c r="S121" i="5" s="1"/>
  <c r="U120" i="5"/>
  <c r="U121" i="5"/>
  <c r="V120" i="5"/>
  <c r="V121" i="5"/>
  <c r="Y120" i="5"/>
  <c r="Y121" i="5"/>
  <c r="Z120" i="5"/>
  <c r="Z121" i="5"/>
  <c r="AA120" i="5"/>
  <c r="AA121" i="5"/>
  <c r="R119" i="5"/>
  <c r="S119" i="5" s="1"/>
  <c r="U119" i="5"/>
  <c r="V119" i="5"/>
  <c r="Y119" i="5"/>
  <c r="Z119" i="5"/>
  <c r="AA119" i="5"/>
  <c r="AJ137" i="5"/>
  <c r="R117" i="5"/>
  <c r="S117" i="5" s="1"/>
  <c r="R118" i="5"/>
  <c r="S118" i="5" s="1"/>
  <c r="U117" i="5"/>
  <c r="U118" i="5"/>
  <c r="V117" i="5"/>
  <c r="V118" i="5"/>
  <c r="Y117" i="5"/>
  <c r="Y118" i="5"/>
  <c r="Z117" i="5"/>
  <c r="Z118" i="5"/>
  <c r="AA117" i="5"/>
  <c r="AA118" i="5"/>
  <c r="R116" i="5"/>
  <c r="S116" i="5" s="1"/>
  <c r="U116" i="5"/>
  <c r="V116" i="5"/>
  <c r="Y116" i="5"/>
  <c r="Z116" i="5"/>
  <c r="AA116" i="5"/>
  <c r="G13" i="7"/>
  <c r="E405" i="5"/>
  <c r="F405" i="5"/>
  <c r="G405" i="5"/>
  <c r="H405" i="5"/>
  <c r="L405" i="5"/>
  <c r="E404" i="5"/>
  <c r="F404" i="5"/>
  <c r="G404" i="5"/>
  <c r="H404" i="5"/>
  <c r="L404" i="5"/>
  <c r="C7" i="17"/>
  <c r="C8" i="17"/>
  <c r="C9" i="17"/>
  <c r="C11" i="17"/>
  <c r="C12" i="17"/>
  <c r="C14" i="17"/>
  <c r="F471" i="21" l="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B471" i="21"/>
  <c r="B472" i="21"/>
  <c r="B473" i="21"/>
  <c r="B474" i="21"/>
  <c r="B475" i="21"/>
  <c r="B476" i="21"/>
  <c r="B477" i="21"/>
  <c r="B478" i="21"/>
  <c r="B479" i="21"/>
  <c r="B480" i="21"/>
  <c r="B481" i="21"/>
  <c r="B482" i="21"/>
  <c r="B483" i="21"/>
  <c r="B484" i="21"/>
  <c r="B485" i="21"/>
  <c r="B486" i="21"/>
  <c r="B487" i="21"/>
  <c r="B488" i="21"/>
  <c r="B489" i="21"/>
  <c r="B490" i="21"/>
  <c r="B491" i="21"/>
  <c r="B492" i="21"/>
  <c r="B493" i="21"/>
  <c r="B494" i="21"/>
  <c r="B495" i="21"/>
  <c r="B496" i="21"/>
  <c r="B497" i="21"/>
  <c r="B498" i="21"/>
  <c r="B499" i="21"/>
  <c r="B500" i="21"/>
  <c r="B501" i="21"/>
  <c r="C471" i="21"/>
  <c r="C472" i="21"/>
  <c r="C473" i="21"/>
  <c r="C474" i="21"/>
  <c r="C475" i="21"/>
  <c r="C476" i="21"/>
  <c r="C477" i="21"/>
  <c r="C478" i="21"/>
  <c r="C479" i="21"/>
  <c r="C480" i="21"/>
  <c r="C481" i="21"/>
  <c r="C482" i="21"/>
  <c r="C483" i="21"/>
  <c r="C484" i="21"/>
  <c r="C485" i="21"/>
  <c r="C486" i="21"/>
  <c r="C487" i="21"/>
  <c r="C488" i="21"/>
  <c r="C489" i="21"/>
  <c r="C490" i="21"/>
  <c r="C491" i="21"/>
  <c r="C492" i="21"/>
  <c r="C493" i="21"/>
  <c r="C494" i="21"/>
  <c r="C495" i="21"/>
  <c r="C496" i="21"/>
  <c r="C497" i="21"/>
  <c r="C498" i="21"/>
  <c r="C499" i="21"/>
  <c r="C500" i="21"/>
  <c r="C501" i="21"/>
  <c r="E471" i="21"/>
  <c r="E472" i="21"/>
  <c r="E473" i="21"/>
  <c r="E474" i="21"/>
  <c r="E475" i="21"/>
  <c r="E476" i="2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E501" i="21"/>
  <c r="G471" i="21"/>
  <c r="G472" i="21"/>
  <c r="G473" i="21"/>
  <c r="G474" i="21"/>
  <c r="G475" i="21"/>
  <c r="G476" i="21"/>
  <c r="G477" i="21"/>
  <c r="G478" i="21"/>
  <c r="G479" i="21"/>
  <c r="G480" i="21"/>
  <c r="G481" i="21"/>
  <c r="G482" i="21"/>
  <c r="G483" i="21"/>
  <c r="G484" i="21"/>
  <c r="G485" i="21"/>
  <c r="G486" i="21"/>
  <c r="G487" i="21"/>
  <c r="G488" i="21"/>
  <c r="G489" i="21"/>
  <c r="G490" i="21"/>
  <c r="G491" i="21"/>
  <c r="G492" i="21"/>
  <c r="G493" i="21"/>
  <c r="G494" i="21"/>
  <c r="G495" i="21"/>
  <c r="G496" i="21"/>
  <c r="G497" i="21"/>
  <c r="G498" i="21"/>
  <c r="G499" i="21"/>
  <c r="G500" i="21"/>
  <c r="G501" i="21"/>
  <c r="H471" i="21"/>
  <c r="H472" i="21"/>
  <c r="H473" i="21"/>
  <c r="H474" i="21"/>
  <c r="H475" i="21"/>
  <c r="H476" i="21"/>
  <c r="H477" i="21"/>
  <c r="H478" i="21"/>
  <c r="H479" i="21"/>
  <c r="H480" i="21"/>
  <c r="H481" i="21"/>
  <c r="H482" i="21"/>
  <c r="H483" i="21"/>
  <c r="H484" i="21"/>
  <c r="H485" i="21"/>
  <c r="H486" i="21"/>
  <c r="H487" i="21"/>
  <c r="H488" i="21"/>
  <c r="H489" i="21"/>
  <c r="H490" i="21"/>
  <c r="H491" i="21"/>
  <c r="H492" i="21"/>
  <c r="H493" i="21"/>
  <c r="H494" i="21"/>
  <c r="H495" i="21"/>
  <c r="H496" i="21"/>
  <c r="H497" i="21"/>
  <c r="H498" i="21"/>
  <c r="H499" i="21"/>
  <c r="H500" i="21"/>
  <c r="H501" i="21"/>
  <c r="I471" i="21"/>
  <c r="I472" i="21"/>
  <c r="I473" i="21"/>
  <c r="I474" i="21"/>
  <c r="I475" i="21"/>
  <c r="I476" i="21"/>
  <c r="I477" i="21"/>
  <c r="I478" i="21"/>
  <c r="I479" i="21"/>
  <c r="I480" i="21"/>
  <c r="I481" i="21"/>
  <c r="I482" i="21"/>
  <c r="I483" i="21"/>
  <c r="I484" i="21"/>
  <c r="I485" i="21"/>
  <c r="I486" i="21"/>
  <c r="I487" i="21"/>
  <c r="I488" i="21"/>
  <c r="I489" i="21"/>
  <c r="I490" i="21"/>
  <c r="I491" i="21"/>
  <c r="I492" i="21"/>
  <c r="I493" i="21"/>
  <c r="I494" i="21"/>
  <c r="I495" i="21"/>
  <c r="I496" i="21"/>
  <c r="I497" i="21"/>
  <c r="I498" i="21"/>
  <c r="I499" i="21"/>
  <c r="I500" i="21"/>
  <c r="I501" i="21"/>
  <c r="J471" i="21"/>
  <c r="J472" i="21"/>
  <c r="J473" i="21"/>
  <c r="J474" i="21"/>
  <c r="J475" i="21"/>
  <c r="J476" i="21"/>
  <c r="J477" i="21"/>
  <c r="J478" i="21"/>
  <c r="J479" i="21"/>
  <c r="J480" i="21"/>
  <c r="J481" i="21"/>
  <c r="J482" i="21"/>
  <c r="J483" i="21"/>
  <c r="J484" i="21"/>
  <c r="J485" i="21"/>
  <c r="J486" i="21"/>
  <c r="J487" i="21"/>
  <c r="J488" i="21"/>
  <c r="J489" i="21"/>
  <c r="J490" i="21"/>
  <c r="J491" i="21"/>
  <c r="J492" i="21"/>
  <c r="J493" i="21"/>
  <c r="J494" i="21"/>
  <c r="J495" i="21"/>
  <c r="J496" i="21"/>
  <c r="J497" i="21"/>
  <c r="J498" i="21"/>
  <c r="J499" i="21"/>
  <c r="J500" i="21"/>
  <c r="J501" i="21"/>
  <c r="M471" i="21"/>
  <c r="M472" i="21"/>
  <c r="M473" i="21"/>
  <c r="M474" i="21"/>
  <c r="M475" i="21"/>
  <c r="M476" i="21"/>
  <c r="M477" i="21"/>
  <c r="M478" i="21"/>
  <c r="M479" i="21"/>
  <c r="M480" i="21"/>
  <c r="M481" i="21"/>
  <c r="M482" i="21"/>
  <c r="M483" i="21"/>
  <c r="M484" i="21"/>
  <c r="M485" i="21"/>
  <c r="M486" i="21"/>
  <c r="M487" i="21"/>
  <c r="M488" i="21"/>
  <c r="M489" i="21"/>
  <c r="M490" i="21"/>
  <c r="M491" i="21"/>
  <c r="M492" i="21"/>
  <c r="M493" i="21"/>
  <c r="M494" i="21"/>
  <c r="M495" i="21"/>
  <c r="M496" i="21"/>
  <c r="M497" i="21"/>
  <c r="M498" i="21"/>
  <c r="M499" i="21"/>
  <c r="M500" i="21"/>
  <c r="M501" i="21"/>
  <c r="O471" i="21"/>
  <c r="P471" i="21" s="1"/>
  <c r="O472" i="21"/>
  <c r="O473" i="21"/>
  <c r="O474" i="21"/>
  <c r="P474" i="21" s="1"/>
  <c r="O475" i="21"/>
  <c r="P475" i="21" s="1"/>
  <c r="O476" i="21"/>
  <c r="P476" i="21" s="1"/>
  <c r="O477" i="21"/>
  <c r="P477" i="21" s="1"/>
  <c r="O478" i="21"/>
  <c r="P478" i="21" s="1"/>
  <c r="O479" i="21"/>
  <c r="P479" i="21" s="1"/>
  <c r="O480" i="21"/>
  <c r="P480" i="21" s="1"/>
  <c r="O481" i="21"/>
  <c r="O482" i="21"/>
  <c r="P482" i="21" s="1"/>
  <c r="O483" i="21"/>
  <c r="P483" i="21" s="1"/>
  <c r="O484" i="21"/>
  <c r="P484" i="21" s="1"/>
  <c r="O485" i="21"/>
  <c r="P485" i="21" s="1"/>
  <c r="O486" i="21"/>
  <c r="P486" i="21" s="1"/>
  <c r="O487" i="21"/>
  <c r="P487" i="21" s="1"/>
  <c r="O488" i="21"/>
  <c r="P488" i="21" s="1"/>
  <c r="O489" i="21"/>
  <c r="O490" i="21"/>
  <c r="P490" i="21" s="1"/>
  <c r="O491" i="21"/>
  <c r="P491" i="21" s="1"/>
  <c r="O492" i="21"/>
  <c r="P492" i="21" s="1"/>
  <c r="O493" i="21"/>
  <c r="P493" i="21" s="1"/>
  <c r="O494" i="21"/>
  <c r="P494" i="21" s="1"/>
  <c r="O495" i="21"/>
  <c r="P495" i="21" s="1"/>
  <c r="O496" i="21"/>
  <c r="P496" i="21" s="1"/>
  <c r="O497" i="21"/>
  <c r="P497" i="21" s="1"/>
  <c r="O498" i="21"/>
  <c r="P498" i="21" s="1"/>
  <c r="O499" i="21"/>
  <c r="P499" i="21" s="1"/>
  <c r="O500" i="21"/>
  <c r="P500" i="21" s="1"/>
  <c r="O501" i="21"/>
  <c r="P501" i="21" s="1"/>
  <c r="P472" i="21"/>
  <c r="P473" i="21"/>
  <c r="P481" i="21"/>
  <c r="P489" i="21"/>
  <c r="Q471" i="21"/>
  <c r="Q472" i="21"/>
  <c r="Q473" i="21"/>
  <c r="Q474" i="21"/>
  <c r="Q475" i="21"/>
  <c r="Q476" i="21"/>
  <c r="Q477" i="21"/>
  <c r="Q478" i="21"/>
  <c r="Q479" i="21"/>
  <c r="Q480" i="21"/>
  <c r="Q481" i="21"/>
  <c r="Q482" i="21"/>
  <c r="Q483" i="21"/>
  <c r="Q484" i="21"/>
  <c r="Q485" i="21"/>
  <c r="Q486" i="21"/>
  <c r="Q487" i="21"/>
  <c r="Q488" i="21"/>
  <c r="Q489" i="21"/>
  <c r="Q490" i="21"/>
  <c r="Q491" i="21"/>
  <c r="Q492" i="21"/>
  <c r="Q493" i="21"/>
  <c r="Q494" i="21"/>
  <c r="Q495" i="21"/>
  <c r="Q496" i="21"/>
  <c r="Q497" i="21"/>
  <c r="Q498" i="21"/>
  <c r="Q499" i="21"/>
  <c r="Q500" i="21"/>
  <c r="Q501" i="21"/>
  <c r="R471" i="21"/>
  <c r="S471" i="21" s="1"/>
  <c r="R472" i="21"/>
  <c r="S472" i="21" s="1"/>
  <c r="R473" i="21"/>
  <c r="T473" i="21" s="1"/>
  <c r="R474" i="21"/>
  <c r="U474" i="21" s="1"/>
  <c r="R475" i="21"/>
  <c r="U475" i="21" s="1"/>
  <c r="R476" i="21"/>
  <c r="S476" i="21" s="1"/>
  <c r="R477" i="21"/>
  <c r="T477" i="21" s="1"/>
  <c r="R478" i="21"/>
  <c r="U478" i="21" s="1"/>
  <c r="R479" i="21"/>
  <c r="S479" i="21" s="1"/>
  <c r="R480" i="21"/>
  <c r="S480" i="21" s="1"/>
  <c r="R481" i="21"/>
  <c r="T481" i="21" s="1"/>
  <c r="R482" i="21"/>
  <c r="U482" i="21" s="1"/>
  <c r="R483" i="21"/>
  <c r="S483" i="21" s="1"/>
  <c r="R484" i="21"/>
  <c r="S484" i="21" s="1"/>
  <c r="R485" i="21"/>
  <c r="T485" i="21" s="1"/>
  <c r="R486" i="21"/>
  <c r="U486" i="21" s="1"/>
  <c r="R487" i="21"/>
  <c r="U487" i="21" s="1"/>
  <c r="R488" i="21"/>
  <c r="S488" i="21" s="1"/>
  <c r="R489" i="21"/>
  <c r="T489" i="21" s="1"/>
  <c r="R490" i="21"/>
  <c r="U490" i="21" s="1"/>
  <c r="R491" i="21"/>
  <c r="S491" i="21" s="1"/>
  <c r="R492" i="21"/>
  <c r="S492" i="21" s="1"/>
  <c r="R493" i="21"/>
  <c r="T493" i="21" s="1"/>
  <c r="R494" i="21"/>
  <c r="U494" i="21" s="1"/>
  <c r="R495" i="21"/>
  <c r="S495" i="21" s="1"/>
  <c r="R496" i="21"/>
  <c r="S496" i="21" s="1"/>
  <c r="R497" i="21"/>
  <c r="T497" i="21" s="1"/>
  <c r="R498" i="21"/>
  <c r="U498" i="21" s="1"/>
  <c r="R499" i="21"/>
  <c r="S499" i="21" s="1"/>
  <c r="R500" i="21"/>
  <c r="S500" i="21" s="1"/>
  <c r="R501" i="21"/>
  <c r="T501" i="21" s="1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M501" i="2"/>
  <c r="N501" i="2"/>
  <c r="O501" i="2"/>
  <c r="P501" i="2"/>
  <c r="R501" i="2"/>
  <c r="AD501" i="2" s="1"/>
  <c r="S501" i="2"/>
  <c r="AB501" i="2"/>
  <c r="M500" i="2"/>
  <c r="N500" i="2"/>
  <c r="O500" i="2"/>
  <c r="P500" i="2"/>
  <c r="R500" i="2"/>
  <c r="AD500" i="2" s="1"/>
  <c r="S500" i="2"/>
  <c r="AB500" i="2"/>
  <c r="M499" i="2"/>
  <c r="N499" i="2"/>
  <c r="O499" i="2"/>
  <c r="P499" i="2"/>
  <c r="R499" i="2"/>
  <c r="AD499" i="2" s="1"/>
  <c r="S499" i="2"/>
  <c r="AB499" i="2"/>
  <c r="M498" i="2"/>
  <c r="N498" i="2"/>
  <c r="O498" i="2"/>
  <c r="P498" i="2"/>
  <c r="R498" i="2"/>
  <c r="AD498" i="2" s="1"/>
  <c r="S498" i="2"/>
  <c r="AB49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R479" i="2"/>
  <c r="AD479" i="2" s="1"/>
  <c r="R480" i="2"/>
  <c r="AD480" i="2" s="1"/>
  <c r="R481" i="2"/>
  <c r="AD481" i="2" s="1"/>
  <c r="R482" i="2"/>
  <c r="AD482" i="2" s="1"/>
  <c r="R483" i="2"/>
  <c r="AD483" i="2" s="1"/>
  <c r="R484" i="2"/>
  <c r="AD484" i="2" s="1"/>
  <c r="R485" i="2"/>
  <c r="AD485" i="2" s="1"/>
  <c r="R486" i="2"/>
  <c r="AD486" i="2" s="1"/>
  <c r="R487" i="2"/>
  <c r="AD487" i="2" s="1"/>
  <c r="R488" i="2"/>
  <c r="AD488" i="2" s="1"/>
  <c r="R489" i="2"/>
  <c r="AD489" i="2" s="1"/>
  <c r="R490" i="2"/>
  <c r="AD490" i="2" s="1"/>
  <c r="R491" i="2"/>
  <c r="AD491" i="2" s="1"/>
  <c r="R492" i="2"/>
  <c r="AD492" i="2" s="1"/>
  <c r="R493" i="2"/>
  <c r="AD493" i="2" s="1"/>
  <c r="R494" i="2"/>
  <c r="AD494" i="2" s="1"/>
  <c r="R495" i="2"/>
  <c r="AD495" i="2" s="1"/>
  <c r="R496" i="2"/>
  <c r="AD496" i="2" s="1"/>
  <c r="R497" i="2"/>
  <c r="AD497" i="2" s="1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M478" i="2"/>
  <c r="N478" i="2"/>
  <c r="O478" i="2"/>
  <c r="P478" i="2"/>
  <c r="R478" i="2"/>
  <c r="AD478" i="2" s="1"/>
  <c r="S478" i="2"/>
  <c r="AB478" i="2"/>
  <c r="AH477" i="2"/>
  <c r="M477" i="2"/>
  <c r="N477" i="2"/>
  <c r="O477" i="2"/>
  <c r="P477" i="2"/>
  <c r="R477" i="2"/>
  <c r="AD477" i="2" s="1"/>
  <c r="S477" i="2"/>
  <c r="AB477" i="2"/>
  <c r="AH471" i="2"/>
  <c r="AH472" i="2"/>
  <c r="AH473" i="2"/>
  <c r="AH474" i="2"/>
  <c r="AH475" i="2"/>
  <c r="AH476" i="2"/>
  <c r="M476" i="2"/>
  <c r="N476" i="2"/>
  <c r="O476" i="2"/>
  <c r="P476" i="2"/>
  <c r="R476" i="2"/>
  <c r="AD476" i="2" s="1"/>
  <c r="S476" i="2"/>
  <c r="AB476" i="2"/>
  <c r="M475" i="2"/>
  <c r="N475" i="2"/>
  <c r="O475" i="2"/>
  <c r="P475" i="2"/>
  <c r="R475" i="2"/>
  <c r="AD475" i="2" s="1"/>
  <c r="S475" i="2"/>
  <c r="AB475" i="2"/>
  <c r="M474" i="2"/>
  <c r="N474" i="2"/>
  <c r="O474" i="2"/>
  <c r="P474" i="2"/>
  <c r="R474" i="2"/>
  <c r="AD474" i="2" s="1"/>
  <c r="S474" i="2"/>
  <c r="AB474" i="2"/>
  <c r="M473" i="2"/>
  <c r="N473" i="2"/>
  <c r="O473" i="2"/>
  <c r="P473" i="2"/>
  <c r="R473" i="2"/>
  <c r="AD473" i="2" s="1"/>
  <c r="S473" i="2"/>
  <c r="AB473" i="2"/>
  <c r="M472" i="2"/>
  <c r="N472" i="2"/>
  <c r="O472" i="2"/>
  <c r="P472" i="2"/>
  <c r="R472" i="2"/>
  <c r="AD472" i="2" s="1"/>
  <c r="S472" i="2"/>
  <c r="AB472" i="2"/>
  <c r="M471" i="2"/>
  <c r="N471" i="2"/>
  <c r="O471" i="2"/>
  <c r="P471" i="2"/>
  <c r="R471" i="2"/>
  <c r="AD471" i="2" s="1"/>
  <c r="S471" i="2"/>
  <c r="AB471" i="2"/>
  <c r="U477" i="21" l="1"/>
  <c r="T475" i="21"/>
  <c r="U497" i="21"/>
  <c r="U473" i="21"/>
  <c r="U485" i="21"/>
  <c r="U481" i="21"/>
  <c r="S487" i="21"/>
  <c r="U484" i="21"/>
  <c r="S475" i="21"/>
  <c r="U476" i="21"/>
  <c r="T487" i="21"/>
  <c r="U491" i="21"/>
  <c r="U479" i="21"/>
  <c r="U471" i="21"/>
  <c r="T471" i="21"/>
  <c r="T491" i="21"/>
  <c r="U492" i="21"/>
  <c r="U500" i="21"/>
  <c r="U499" i="21"/>
  <c r="U489" i="21"/>
  <c r="U483" i="21"/>
  <c r="T499" i="21"/>
  <c r="T483" i="21"/>
  <c r="U501" i="21"/>
  <c r="U495" i="21"/>
  <c r="T495" i="21"/>
  <c r="T479" i="21"/>
  <c r="U496" i="21"/>
  <c r="U480" i="21"/>
  <c r="T500" i="21"/>
  <c r="T492" i="21"/>
  <c r="T484" i="21"/>
  <c r="T476" i="21"/>
  <c r="U493" i="21"/>
  <c r="U488" i="21"/>
  <c r="U472" i="21"/>
  <c r="T496" i="21"/>
  <c r="T488" i="21"/>
  <c r="T480" i="21"/>
  <c r="T472" i="21"/>
  <c r="S494" i="21"/>
  <c r="S490" i="21"/>
  <c r="S482" i="21"/>
  <c r="S478" i="21"/>
  <c r="S474" i="21"/>
  <c r="T498" i="21"/>
  <c r="T490" i="21"/>
  <c r="T482" i="21"/>
  <c r="T474" i="21"/>
  <c r="S501" i="21"/>
  <c r="S497" i="21"/>
  <c r="S493" i="21"/>
  <c r="S489" i="21"/>
  <c r="S485" i="21"/>
  <c r="S481" i="21"/>
  <c r="S477" i="21"/>
  <c r="S473" i="21"/>
  <c r="S498" i="21"/>
  <c r="S486" i="21"/>
  <c r="T494" i="21"/>
  <c r="T486" i="21"/>
  <c r="T478" i="21"/>
  <c r="AH470" i="2" l="1"/>
  <c r="B470" i="21"/>
  <c r="C470" i="21"/>
  <c r="E470" i="21"/>
  <c r="F470" i="21"/>
  <c r="G470" i="21"/>
  <c r="H470" i="21"/>
  <c r="I470" i="21"/>
  <c r="J470" i="21"/>
  <c r="M470" i="21"/>
  <c r="O470" i="21"/>
  <c r="P470" i="21" s="1"/>
  <c r="Q470" i="21"/>
  <c r="R470" i="21"/>
  <c r="T470" i="21" s="1"/>
  <c r="O470" i="2"/>
  <c r="M470" i="2"/>
  <c r="P470" i="2"/>
  <c r="R470" i="2"/>
  <c r="AD470" i="2" s="1"/>
  <c r="S470" i="2"/>
  <c r="AB470" i="2"/>
  <c r="B462" i="21"/>
  <c r="B463" i="21"/>
  <c r="B464" i="21"/>
  <c r="B465" i="21"/>
  <c r="B466" i="21"/>
  <c r="B467" i="21"/>
  <c r="B468" i="21"/>
  <c r="B469" i="21"/>
  <c r="C462" i="21"/>
  <c r="C463" i="21"/>
  <c r="C464" i="21"/>
  <c r="C465" i="21"/>
  <c r="C466" i="21"/>
  <c r="C467" i="21"/>
  <c r="C468" i="21"/>
  <c r="C469" i="21"/>
  <c r="E462" i="21"/>
  <c r="E463" i="21"/>
  <c r="E464" i="21"/>
  <c r="E465" i="21"/>
  <c r="E466" i="21"/>
  <c r="E467" i="21"/>
  <c r="E468" i="21"/>
  <c r="E469" i="21"/>
  <c r="F462" i="21"/>
  <c r="F463" i="21"/>
  <c r="F464" i="21"/>
  <c r="F465" i="21"/>
  <c r="F466" i="21"/>
  <c r="F467" i="21"/>
  <c r="F468" i="21"/>
  <c r="F469" i="21"/>
  <c r="G462" i="21"/>
  <c r="G463" i="21"/>
  <c r="G464" i="21"/>
  <c r="G465" i="21"/>
  <c r="G466" i="21"/>
  <c r="G467" i="21"/>
  <c r="G468" i="21"/>
  <c r="G469" i="21"/>
  <c r="H462" i="21"/>
  <c r="H463" i="21"/>
  <c r="H464" i="21"/>
  <c r="H465" i="21"/>
  <c r="H466" i="21"/>
  <c r="H467" i="21"/>
  <c r="H468" i="21"/>
  <c r="H469" i="21"/>
  <c r="I462" i="21"/>
  <c r="I463" i="21"/>
  <c r="I464" i="21"/>
  <c r="I465" i="21"/>
  <c r="I466" i="21"/>
  <c r="I467" i="21"/>
  <c r="I468" i="21"/>
  <c r="I469" i="21"/>
  <c r="J462" i="21"/>
  <c r="J463" i="21"/>
  <c r="J464" i="21"/>
  <c r="J465" i="21"/>
  <c r="J466" i="21"/>
  <c r="J467" i="21"/>
  <c r="J468" i="21"/>
  <c r="J469" i="21"/>
  <c r="M462" i="21"/>
  <c r="M463" i="21"/>
  <c r="M464" i="21"/>
  <c r="M465" i="21"/>
  <c r="M466" i="21"/>
  <c r="M467" i="21"/>
  <c r="M468" i="21"/>
  <c r="M469" i="21"/>
  <c r="O462" i="21"/>
  <c r="P462" i="21" s="1"/>
  <c r="O463" i="21"/>
  <c r="P463" i="21" s="1"/>
  <c r="O464" i="21"/>
  <c r="P464" i="21" s="1"/>
  <c r="O465" i="21"/>
  <c r="P465" i="21" s="1"/>
  <c r="O466" i="21"/>
  <c r="P466" i="21" s="1"/>
  <c r="O467" i="21"/>
  <c r="P467" i="21" s="1"/>
  <c r="O468" i="21"/>
  <c r="P468" i="21" s="1"/>
  <c r="O469" i="21"/>
  <c r="P469" i="21" s="1"/>
  <c r="Q462" i="21"/>
  <c r="Q463" i="21"/>
  <c r="Q464" i="21"/>
  <c r="Q465" i="21"/>
  <c r="Q466" i="21"/>
  <c r="Q467" i="21"/>
  <c r="Q468" i="21"/>
  <c r="Q469" i="21"/>
  <c r="R462" i="21"/>
  <c r="T462" i="21" s="1"/>
  <c r="R463" i="21"/>
  <c r="T463" i="21" s="1"/>
  <c r="R464" i="21"/>
  <c r="U464" i="21" s="1"/>
  <c r="R465" i="21"/>
  <c r="S465" i="21" s="1"/>
  <c r="R466" i="21"/>
  <c r="S466" i="21" s="1"/>
  <c r="R467" i="21"/>
  <c r="S467" i="21" s="1"/>
  <c r="R468" i="21"/>
  <c r="T468" i="21" s="1"/>
  <c r="R469" i="21"/>
  <c r="U469" i="21" s="1"/>
  <c r="O469" i="2"/>
  <c r="O468" i="2"/>
  <c r="O467" i="2"/>
  <c r="O466" i="2"/>
  <c r="O465" i="2"/>
  <c r="O464" i="2"/>
  <c r="O463" i="2"/>
  <c r="O462" i="2"/>
  <c r="N230" i="2"/>
  <c r="N231" i="2"/>
  <c r="N232" i="2"/>
  <c r="N241" i="2"/>
  <c r="N242" i="2"/>
  <c r="N243" i="2"/>
  <c r="N244" i="2"/>
  <c r="N245" i="2"/>
  <c r="O236" i="2"/>
  <c r="O237" i="2"/>
  <c r="M468" i="2"/>
  <c r="M469" i="2"/>
  <c r="P468" i="2"/>
  <c r="P469" i="2"/>
  <c r="R468" i="2"/>
  <c r="AD468" i="2" s="1"/>
  <c r="R469" i="2"/>
  <c r="AD469" i="2" s="1"/>
  <c r="S468" i="2"/>
  <c r="S469" i="2"/>
  <c r="AB468" i="2"/>
  <c r="AB469" i="2"/>
  <c r="AH468" i="2"/>
  <c r="AH469" i="2"/>
  <c r="M466" i="2"/>
  <c r="M467" i="2"/>
  <c r="P466" i="2"/>
  <c r="P467" i="2"/>
  <c r="R466" i="2"/>
  <c r="AD466" i="2" s="1"/>
  <c r="R467" i="2"/>
  <c r="AD467" i="2" s="1"/>
  <c r="S466" i="2"/>
  <c r="S467" i="2"/>
  <c r="AB466" i="2"/>
  <c r="AB467" i="2"/>
  <c r="AH466" i="2"/>
  <c r="AH467" i="2"/>
  <c r="M464" i="2"/>
  <c r="M465" i="2"/>
  <c r="P464" i="2"/>
  <c r="P465" i="2"/>
  <c r="R464" i="2"/>
  <c r="AD464" i="2" s="1"/>
  <c r="R465" i="2"/>
  <c r="AD465" i="2" s="1"/>
  <c r="S464" i="2"/>
  <c r="S465" i="2"/>
  <c r="AB464" i="2"/>
  <c r="AB465" i="2"/>
  <c r="AH464" i="2"/>
  <c r="AH465" i="2"/>
  <c r="M463" i="2"/>
  <c r="P463" i="2"/>
  <c r="R463" i="2"/>
  <c r="AD463" i="2" s="1"/>
  <c r="S463" i="2"/>
  <c r="AB463" i="2"/>
  <c r="AH463" i="2"/>
  <c r="M462" i="2"/>
  <c r="P462" i="2"/>
  <c r="R462" i="2"/>
  <c r="AD462" i="2" s="1"/>
  <c r="S462" i="2"/>
  <c r="AB462" i="2"/>
  <c r="AH462" i="2"/>
  <c r="S463" i="21" l="1"/>
  <c r="S464" i="21"/>
  <c r="T466" i="21"/>
  <c r="S462" i="21"/>
  <c r="U463" i="21"/>
  <c r="U462" i="21"/>
  <c r="U466" i="21"/>
  <c r="T464" i="21"/>
  <c r="U468" i="21"/>
  <c r="U467" i="21"/>
  <c r="T467" i="21"/>
  <c r="S469" i="21"/>
  <c r="T469" i="21"/>
  <c r="S468" i="21"/>
  <c r="U470" i="21"/>
  <c r="S470" i="21"/>
  <c r="U465" i="21"/>
  <c r="T465" i="21"/>
  <c r="AJ136" i="5"/>
  <c r="AJ135" i="5"/>
  <c r="R115" i="5"/>
  <c r="S115" i="5" s="1"/>
  <c r="U115" i="5"/>
  <c r="V115" i="5"/>
  <c r="Y115" i="5"/>
  <c r="Z115" i="5"/>
  <c r="AA115" i="5"/>
  <c r="R114" i="5"/>
  <c r="S114" i="5" s="1"/>
  <c r="U114" i="5"/>
  <c r="V114" i="5"/>
  <c r="Y114" i="5"/>
  <c r="Z114" i="5"/>
  <c r="AA114" i="5"/>
  <c r="R113" i="5"/>
  <c r="S113" i="5" s="1"/>
  <c r="U113" i="5"/>
  <c r="V113" i="5"/>
  <c r="Y113" i="5"/>
  <c r="Z113" i="5"/>
  <c r="AA113" i="5"/>
  <c r="R111" i="5"/>
  <c r="S111" i="5" s="1"/>
  <c r="R112" i="5"/>
  <c r="S112" i="5" s="1"/>
  <c r="U111" i="5"/>
  <c r="U112" i="5"/>
  <c r="V111" i="5"/>
  <c r="V112" i="5"/>
  <c r="Y111" i="5"/>
  <c r="Y112" i="5"/>
  <c r="Z111" i="5"/>
  <c r="Z112" i="5"/>
  <c r="AA111" i="5"/>
  <c r="AA112" i="5"/>
  <c r="R110" i="5"/>
  <c r="S110" i="5" s="1"/>
  <c r="U110" i="5"/>
  <c r="V110" i="5"/>
  <c r="Y110" i="5"/>
  <c r="Z110" i="5"/>
  <c r="AA110" i="5"/>
  <c r="AJ134" i="5"/>
  <c r="R109" i="5"/>
  <c r="S109" i="5" s="1"/>
  <c r="U109" i="5"/>
  <c r="V109" i="5"/>
  <c r="Y109" i="5"/>
  <c r="Z109" i="5"/>
  <c r="AA109" i="5"/>
  <c r="R108" i="5"/>
  <c r="S108" i="5" s="1"/>
  <c r="U108" i="5"/>
  <c r="V108" i="5"/>
  <c r="Y108" i="5"/>
  <c r="Z108" i="5"/>
  <c r="AA108" i="5"/>
  <c r="R107" i="5"/>
  <c r="S107" i="5" s="1"/>
  <c r="U107" i="5"/>
  <c r="V107" i="5"/>
  <c r="Y107" i="5"/>
  <c r="Z107" i="5"/>
  <c r="AA107" i="5"/>
  <c r="AJ133" i="5" l="1"/>
  <c r="R106" i="5"/>
  <c r="S106" i="5" s="1"/>
  <c r="U106" i="5"/>
  <c r="V106" i="5"/>
  <c r="Y106" i="5"/>
  <c r="Z106" i="5"/>
  <c r="AA106" i="5"/>
  <c r="R105" i="5"/>
  <c r="S105" i="5" s="1"/>
  <c r="U105" i="5"/>
  <c r="V105" i="5"/>
  <c r="Y105" i="5"/>
  <c r="Z105" i="5"/>
  <c r="AA105" i="5"/>
  <c r="R104" i="5"/>
  <c r="S104" i="5" s="1"/>
  <c r="U104" i="5"/>
  <c r="V104" i="5"/>
  <c r="Y104" i="5"/>
  <c r="Z104" i="5"/>
  <c r="AA104" i="5"/>
  <c r="K23" i="9" l="1"/>
  <c r="C187" i="23" l="1"/>
  <c r="AB31" i="25" l="1"/>
  <c r="S31" i="25"/>
  <c r="R31" i="25"/>
  <c r="N31" i="25"/>
  <c r="L2" i="17" l="1"/>
  <c r="L3" i="17"/>
  <c r="E402" i="5"/>
  <c r="E403" i="5"/>
  <c r="F402" i="5"/>
  <c r="F403" i="5"/>
  <c r="G402" i="5"/>
  <c r="G403" i="5"/>
  <c r="H402" i="5"/>
  <c r="H403" i="5"/>
  <c r="L402" i="5"/>
  <c r="L403" i="5"/>
  <c r="E398" i="5"/>
  <c r="E399" i="5"/>
  <c r="E400" i="5"/>
  <c r="E401" i="5"/>
  <c r="F398" i="5"/>
  <c r="F399" i="5"/>
  <c r="F400" i="5"/>
  <c r="F401" i="5"/>
  <c r="G398" i="5"/>
  <c r="G399" i="5"/>
  <c r="G400" i="5"/>
  <c r="G401" i="5"/>
  <c r="H398" i="5"/>
  <c r="H399" i="5"/>
  <c r="H400" i="5"/>
  <c r="H401" i="5"/>
  <c r="L398" i="5"/>
  <c r="L399" i="5"/>
  <c r="L400" i="5"/>
  <c r="L401" i="5"/>
  <c r="E397" i="5"/>
  <c r="F397" i="5"/>
  <c r="G397" i="5"/>
  <c r="H397" i="5"/>
  <c r="L397" i="5"/>
  <c r="E395" i="5"/>
  <c r="E396" i="5"/>
  <c r="F395" i="5"/>
  <c r="F396" i="5"/>
  <c r="G395" i="5"/>
  <c r="G396" i="5"/>
  <c r="H395" i="5"/>
  <c r="H396" i="5"/>
  <c r="L395" i="5"/>
  <c r="L396" i="5"/>
  <c r="E394" i="5"/>
  <c r="F394" i="5"/>
  <c r="G394" i="5"/>
  <c r="H394" i="5"/>
  <c r="L394" i="5"/>
  <c r="E393" i="5"/>
  <c r="F393" i="5"/>
  <c r="G393" i="5"/>
  <c r="H393" i="5"/>
  <c r="L393" i="5"/>
  <c r="E392" i="5"/>
  <c r="F392" i="5"/>
  <c r="G392" i="5"/>
  <c r="H392" i="5"/>
  <c r="L392" i="5"/>
  <c r="E391" i="5"/>
  <c r="F391" i="5"/>
  <c r="G391" i="5"/>
  <c r="H391" i="5"/>
  <c r="L391" i="5"/>
  <c r="E390" i="5"/>
  <c r="F390" i="5"/>
  <c r="G390" i="5"/>
  <c r="H390" i="5"/>
  <c r="L390" i="5"/>
  <c r="E388" i="5"/>
  <c r="E389" i="5"/>
  <c r="F388" i="5"/>
  <c r="F389" i="5"/>
  <c r="G388" i="5"/>
  <c r="G389" i="5"/>
  <c r="H388" i="5"/>
  <c r="H389" i="5"/>
  <c r="L388" i="5"/>
  <c r="L389" i="5"/>
  <c r="E386" i="5"/>
  <c r="E387" i="5"/>
  <c r="F386" i="5"/>
  <c r="F387" i="5"/>
  <c r="G386" i="5"/>
  <c r="G387" i="5"/>
  <c r="H386" i="5"/>
  <c r="H387" i="5"/>
  <c r="L386" i="5"/>
  <c r="L387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E385" i="5"/>
  <c r="F385" i="5"/>
  <c r="G385" i="5"/>
  <c r="H385" i="5"/>
  <c r="E375" i="5"/>
  <c r="E376" i="5"/>
  <c r="E377" i="5"/>
  <c r="E378" i="5"/>
  <c r="E379" i="5"/>
  <c r="E380" i="5"/>
  <c r="E381" i="5"/>
  <c r="E382" i="5"/>
  <c r="E383" i="5"/>
  <c r="E384" i="5"/>
  <c r="F375" i="5"/>
  <c r="F376" i="5"/>
  <c r="F377" i="5"/>
  <c r="F378" i="5"/>
  <c r="F379" i="5"/>
  <c r="F380" i="5"/>
  <c r="F381" i="5"/>
  <c r="F382" i="5"/>
  <c r="F383" i="5"/>
  <c r="F384" i="5"/>
  <c r="G375" i="5"/>
  <c r="G376" i="5"/>
  <c r="G377" i="5"/>
  <c r="G378" i="5"/>
  <c r="G379" i="5"/>
  <c r="G380" i="5"/>
  <c r="G381" i="5"/>
  <c r="G382" i="5"/>
  <c r="G383" i="5"/>
  <c r="G384" i="5"/>
  <c r="H375" i="5"/>
  <c r="H376" i="5"/>
  <c r="H377" i="5"/>
  <c r="H378" i="5"/>
  <c r="H379" i="5"/>
  <c r="H380" i="5"/>
  <c r="H381" i="5"/>
  <c r="H382" i="5"/>
  <c r="H383" i="5"/>
  <c r="H384" i="5"/>
  <c r="E373" i="5"/>
  <c r="E374" i="5"/>
  <c r="F373" i="5"/>
  <c r="F374" i="5"/>
  <c r="G373" i="5"/>
  <c r="G374" i="5"/>
  <c r="H373" i="5"/>
  <c r="H374" i="5"/>
  <c r="B114" i="22" l="1"/>
  <c r="B115" i="22"/>
  <c r="B116" i="22"/>
  <c r="B117" i="22"/>
  <c r="F114" i="22"/>
  <c r="G114" i="22" s="1"/>
  <c r="F115" i="22"/>
  <c r="G115" i="22" s="1"/>
  <c r="F116" i="22"/>
  <c r="G116" i="22" s="1"/>
  <c r="F117" i="22"/>
  <c r="G117" i="22" s="1"/>
  <c r="H114" i="22"/>
  <c r="H115" i="22"/>
  <c r="H116" i="22"/>
  <c r="H117" i="22"/>
  <c r="F111" i="22"/>
  <c r="G111" i="22" s="1"/>
  <c r="F110" i="22"/>
  <c r="G110" i="22" s="1"/>
  <c r="B110" i="22"/>
  <c r="B111" i="22"/>
  <c r="H110" i="22"/>
  <c r="H111" i="22"/>
  <c r="B106" i="22"/>
  <c r="B107" i="22"/>
  <c r="F106" i="22"/>
  <c r="G106" i="22" s="1"/>
  <c r="F107" i="22"/>
  <c r="G107" i="22" s="1"/>
  <c r="H106" i="22"/>
  <c r="H107" i="22"/>
  <c r="F105" i="22"/>
  <c r="G105" i="22" s="1"/>
  <c r="F104" i="22"/>
  <c r="G104" i="22" s="1"/>
  <c r="F103" i="22"/>
  <c r="G103" i="22" s="1"/>
  <c r="F102" i="22"/>
  <c r="G102" i="22" s="1"/>
  <c r="B102" i="22"/>
  <c r="B103" i="22"/>
  <c r="B104" i="22"/>
  <c r="B105" i="22"/>
  <c r="H102" i="22"/>
  <c r="H103" i="22"/>
  <c r="H104" i="22"/>
  <c r="H105" i="22"/>
  <c r="B98" i="22"/>
  <c r="B99" i="22"/>
  <c r="B100" i="22"/>
  <c r="B101" i="22"/>
  <c r="F98" i="22"/>
  <c r="G98" i="22" s="1"/>
  <c r="F99" i="22"/>
  <c r="G99" i="22" s="1"/>
  <c r="F100" i="22"/>
  <c r="G100" i="22" s="1"/>
  <c r="F101" i="22"/>
  <c r="G101" i="22" s="1"/>
  <c r="H98" i="22"/>
  <c r="H99" i="22"/>
  <c r="H100" i="22"/>
  <c r="H101" i="22"/>
  <c r="B2991" i="22" l="1"/>
  <c r="B2992" i="22"/>
  <c r="B2993" i="22"/>
  <c r="B2994" i="22"/>
  <c r="B2995" i="22"/>
  <c r="F2991" i="22"/>
  <c r="G2991" i="22" s="1"/>
  <c r="F2992" i="22"/>
  <c r="F2993" i="22"/>
  <c r="G2993" i="22" s="1"/>
  <c r="F2994" i="22"/>
  <c r="G2994" i="22" s="1"/>
  <c r="F2995" i="22"/>
  <c r="G2995" i="22" s="1"/>
  <c r="G2992" i="22"/>
  <c r="H2991" i="22"/>
  <c r="H2992" i="22"/>
  <c r="H2993" i="22"/>
  <c r="H2994" i="22"/>
  <c r="H2995" i="22"/>
  <c r="B2990" i="22"/>
  <c r="F2990" i="22"/>
  <c r="G2990" i="22" s="1"/>
  <c r="H2990" i="22"/>
  <c r="B2985" i="22"/>
  <c r="B2986" i="22"/>
  <c r="B2987" i="22"/>
  <c r="B2988" i="22"/>
  <c r="B2989" i="22"/>
  <c r="F2985" i="22"/>
  <c r="G2985" i="22" s="1"/>
  <c r="F2986" i="22"/>
  <c r="G2986" i="22" s="1"/>
  <c r="F2987" i="22"/>
  <c r="G2987" i="22" s="1"/>
  <c r="F2988" i="22"/>
  <c r="G2988" i="22" s="1"/>
  <c r="F2989" i="22"/>
  <c r="G2989" i="22" s="1"/>
  <c r="H2985" i="22"/>
  <c r="H2986" i="22"/>
  <c r="H2987" i="22"/>
  <c r="H2988" i="22"/>
  <c r="H2989" i="22"/>
  <c r="B2984" i="22"/>
  <c r="F2984" i="22"/>
  <c r="G2984" i="22" s="1"/>
  <c r="H2984" i="22"/>
  <c r="B2976" i="22"/>
  <c r="B2977" i="22"/>
  <c r="B2978" i="22"/>
  <c r="B2979" i="22"/>
  <c r="B2980" i="22"/>
  <c r="B2981" i="22"/>
  <c r="B2982" i="22"/>
  <c r="B2983" i="22"/>
  <c r="F2976" i="22"/>
  <c r="F2977" i="22"/>
  <c r="F2978" i="22"/>
  <c r="G2978" i="22" s="1"/>
  <c r="F2979" i="22"/>
  <c r="G2979" i="22" s="1"/>
  <c r="F2980" i="22"/>
  <c r="G2980" i="22" s="1"/>
  <c r="F2981" i="22"/>
  <c r="G2981" i="22" s="1"/>
  <c r="F2982" i="22"/>
  <c r="G2982" i="22" s="1"/>
  <c r="F2983" i="22"/>
  <c r="G2983" i="22" s="1"/>
  <c r="G2976" i="22"/>
  <c r="G2977" i="22"/>
  <c r="H2976" i="22"/>
  <c r="H2977" i="22"/>
  <c r="H2978" i="22"/>
  <c r="H2979" i="22"/>
  <c r="H2980" i="22"/>
  <c r="H2981" i="22"/>
  <c r="H2982" i="22"/>
  <c r="H2983" i="22"/>
  <c r="C185" i="23"/>
  <c r="B2975" i="22"/>
  <c r="F2975" i="22"/>
  <c r="G2975" i="22" s="1"/>
  <c r="H2975" i="22"/>
  <c r="B2974" i="22"/>
  <c r="F2974" i="22"/>
  <c r="G2974" i="22" s="1"/>
  <c r="H2974" i="22"/>
  <c r="B2969" i="22"/>
  <c r="B2970" i="22"/>
  <c r="B2971" i="22"/>
  <c r="B2972" i="22"/>
  <c r="B2973" i="22"/>
  <c r="F2969" i="22"/>
  <c r="G2969" i="22" s="1"/>
  <c r="F2970" i="22"/>
  <c r="G2970" i="22" s="1"/>
  <c r="F2971" i="22"/>
  <c r="G2971" i="22" s="1"/>
  <c r="F2972" i="22"/>
  <c r="G2972" i="22" s="1"/>
  <c r="F2973" i="22"/>
  <c r="G2973" i="22" s="1"/>
  <c r="H2969" i="22"/>
  <c r="H2970" i="22"/>
  <c r="H2971" i="22"/>
  <c r="H2972" i="22"/>
  <c r="H2973" i="22"/>
  <c r="B2968" i="22"/>
  <c r="F2968" i="22"/>
  <c r="G2968" i="22" s="1"/>
  <c r="H2968" i="22"/>
  <c r="B2967" i="22"/>
  <c r="F2967" i="22"/>
  <c r="G2967" i="22" s="1"/>
  <c r="H2967" i="22"/>
  <c r="B2963" i="22"/>
  <c r="B2964" i="22"/>
  <c r="B2965" i="22"/>
  <c r="B2966" i="22"/>
  <c r="F2963" i="22"/>
  <c r="G2963" i="22" s="1"/>
  <c r="F2964" i="22"/>
  <c r="G2964" i="22" s="1"/>
  <c r="F2965" i="22"/>
  <c r="G2965" i="22" s="1"/>
  <c r="F2966" i="22"/>
  <c r="G2966" i="22" s="1"/>
  <c r="H2963" i="22"/>
  <c r="H2964" i="22"/>
  <c r="H2965" i="22"/>
  <c r="H2966" i="22"/>
  <c r="B2945" i="22"/>
  <c r="B2946" i="22"/>
  <c r="B2947" i="22"/>
  <c r="B2948" i="22"/>
  <c r="B2949" i="22"/>
  <c r="B2950" i="22"/>
  <c r="B2951" i="22"/>
  <c r="B2952" i="22"/>
  <c r="B2953" i="22"/>
  <c r="B2954" i="22"/>
  <c r="B2955" i="22"/>
  <c r="B2956" i="22"/>
  <c r="B2957" i="22"/>
  <c r="B2958" i="22"/>
  <c r="B2959" i="22"/>
  <c r="B2960" i="22"/>
  <c r="B2961" i="22"/>
  <c r="B2962" i="22"/>
  <c r="F2945" i="22"/>
  <c r="G2945" i="22" s="1"/>
  <c r="F2946" i="22"/>
  <c r="G2946" i="22" s="1"/>
  <c r="F2947" i="22"/>
  <c r="G2947" i="22" s="1"/>
  <c r="F2948" i="22"/>
  <c r="G2948" i="22" s="1"/>
  <c r="F2949" i="22"/>
  <c r="G2949" i="22" s="1"/>
  <c r="F2950" i="22"/>
  <c r="G2950" i="22" s="1"/>
  <c r="F2951" i="22"/>
  <c r="G2951" i="22" s="1"/>
  <c r="F2952" i="22"/>
  <c r="G2952" i="22" s="1"/>
  <c r="F2953" i="22"/>
  <c r="G2953" i="22" s="1"/>
  <c r="F2954" i="22"/>
  <c r="G2954" i="22" s="1"/>
  <c r="F2955" i="22"/>
  <c r="G2955" i="22" s="1"/>
  <c r="F2956" i="22"/>
  <c r="G2956" i="22" s="1"/>
  <c r="F2957" i="22"/>
  <c r="G2957" i="22" s="1"/>
  <c r="F2958" i="22"/>
  <c r="G2958" i="22" s="1"/>
  <c r="F2959" i="22"/>
  <c r="G2959" i="22" s="1"/>
  <c r="F2960" i="22"/>
  <c r="G2960" i="22" s="1"/>
  <c r="F2961" i="22"/>
  <c r="G2961" i="22" s="1"/>
  <c r="F2962" i="22"/>
  <c r="G2962" i="22" s="1"/>
  <c r="H2945" i="22"/>
  <c r="H2946" i="22"/>
  <c r="H2947" i="22"/>
  <c r="H2948" i="22"/>
  <c r="H2949" i="22"/>
  <c r="H2950" i="22"/>
  <c r="H2951" i="22"/>
  <c r="H2952" i="22"/>
  <c r="H2953" i="22"/>
  <c r="H2954" i="22"/>
  <c r="H2955" i="22"/>
  <c r="H2956" i="22"/>
  <c r="H2957" i="22"/>
  <c r="H2958" i="22"/>
  <c r="H2959" i="22"/>
  <c r="H2960" i="22"/>
  <c r="H2961" i="22"/>
  <c r="H2962" i="22"/>
  <c r="B2944" i="22"/>
  <c r="F2944" i="22"/>
  <c r="G2944" i="22" s="1"/>
  <c r="H2944" i="22"/>
  <c r="E371" i="5" l="1"/>
  <c r="E372" i="5"/>
  <c r="F371" i="5"/>
  <c r="F372" i="5"/>
  <c r="G371" i="5"/>
  <c r="G372" i="5"/>
  <c r="H371" i="5"/>
  <c r="H372" i="5"/>
  <c r="E369" i="5"/>
  <c r="E370" i="5"/>
  <c r="F369" i="5"/>
  <c r="F370" i="5"/>
  <c r="G369" i="5"/>
  <c r="G370" i="5"/>
  <c r="H369" i="5"/>
  <c r="H370" i="5"/>
  <c r="E368" i="5"/>
  <c r="F368" i="5"/>
  <c r="G368" i="5"/>
  <c r="H368" i="5"/>
  <c r="B2921" i="22"/>
  <c r="B2922" i="22"/>
  <c r="B2923" i="22"/>
  <c r="B2924" i="22"/>
  <c r="B2925" i="22"/>
  <c r="B2926" i="22"/>
  <c r="B2927" i="22"/>
  <c r="B2928" i="22"/>
  <c r="B2929" i="22"/>
  <c r="B2930" i="22"/>
  <c r="B2931" i="22"/>
  <c r="B2932" i="22"/>
  <c r="B2933" i="22"/>
  <c r="B2934" i="22"/>
  <c r="B2935" i="22"/>
  <c r="B2936" i="22"/>
  <c r="B2937" i="22"/>
  <c r="B2938" i="22"/>
  <c r="B2939" i="22"/>
  <c r="B2940" i="22"/>
  <c r="B2941" i="22"/>
  <c r="B2942" i="22"/>
  <c r="B2943" i="22"/>
  <c r="F2921" i="22"/>
  <c r="G2921" i="22" s="1"/>
  <c r="F2922" i="22"/>
  <c r="G2922" i="22" s="1"/>
  <c r="F2923" i="22"/>
  <c r="G2923" i="22" s="1"/>
  <c r="F2924" i="22"/>
  <c r="G2924" i="22" s="1"/>
  <c r="F2925" i="22"/>
  <c r="G2925" i="22" s="1"/>
  <c r="F2926" i="22"/>
  <c r="G2926" i="22" s="1"/>
  <c r="F2927" i="22"/>
  <c r="G2927" i="22" s="1"/>
  <c r="F2928" i="22"/>
  <c r="G2928" i="22" s="1"/>
  <c r="F2929" i="22"/>
  <c r="G2929" i="22" s="1"/>
  <c r="F2930" i="22"/>
  <c r="G2930" i="22" s="1"/>
  <c r="F2931" i="22"/>
  <c r="G2931" i="22" s="1"/>
  <c r="F2932" i="22"/>
  <c r="G2932" i="22" s="1"/>
  <c r="F2933" i="22"/>
  <c r="G2933" i="22" s="1"/>
  <c r="F2934" i="22"/>
  <c r="G2934" i="22" s="1"/>
  <c r="F2935" i="22"/>
  <c r="G2935" i="22" s="1"/>
  <c r="F2936" i="22"/>
  <c r="G2936" i="22" s="1"/>
  <c r="F2937" i="22"/>
  <c r="G2937" i="22" s="1"/>
  <c r="F2938" i="22"/>
  <c r="G2938" i="22" s="1"/>
  <c r="F2939" i="22"/>
  <c r="G2939" i="22" s="1"/>
  <c r="F2940" i="22"/>
  <c r="G2940" i="22" s="1"/>
  <c r="F2941" i="22"/>
  <c r="G2941" i="22" s="1"/>
  <c r="F2942" i="22"/>
  <c r="G2942" i="22" s="1"/>
  <c r="F2943" i="22"/>
  <c r="G2943" i="22" s="1"/>
  <c r="H2921" i="22"/>
  <c r="H2922" i="22"/>
  <c r="H2923" i="22"/>
  <c r="H2924" i="22"/>
  <c r="H2925" i="22"/>
  <c r="H2926" i="22"/>
  <c r="H2927" i="22"/>
  <c r="H2928" i="22"/>
  <c r="H2929" i="22"/>
  <c r="H2930" i="22"/>
  <c r="H2931" i="22"/>
  <c r="H2932" i="22"/>
  <c r="H2933" i="22"/>
  <c r="H2934" i="22"/>
  <c r="H2935" i="22"/>
  <c r="H2936" i="22"/>
  <c r="H2937" i="22"/>
  <c r="H2938" i="22"/>
  <c r="H2939" i="22"/>
  <c r="H2940" i="22"/>
  <c r="H2941" i="22"/>
  <c r="H2942" i="22"/>
  <c r="H2943" i="22"/>
  <c r="B2920" i="22"/>
  <c r="F2920" i="22"/>
  <c r="G2920" i="22" s="1"/>
  <c r="H2920" i="22"/>
  <c r="C183" i="23"/>
  <c r="C184" i="23"/>
  <c r="B2907" i="22" l="1"/>
  <c r="F2907" i="22"/>
  <c r="G2907" i="22" s="1"/>
  <c r="H2907" i="22"/>
  <c r="C182" i="23"/>
  <c r="B2909" i="22"/>
  <c r="B2910" i="22"/>
  <c r="B2911" i="22"/>
  <c r="B2912" i="22"/>
  <c r="B2913" i="22"/>
  <c r="B2914" i="22"/>
  <c r="B2915" i="22"/>
  <c r="B2916" i="22"/>
  <c r="B2917" i="22"/>
  <c r="B2918" i="22"/>
  <c r="B2919" i="22"/>
  <c r="F2909" i="22"/>
  <c r="G2909" i="22" s="1"/>
  <c r="F2910" i="22"/>
  <c r="G2910" i="22" s="1"/>
  <c r="F2911" i="22"/>
  <c r="G2911" i="22" s="1"/>
  <c r="F2912" i="22"/>
  <c r="G2912" i="22" s="1"/>
  <c r="F2913" i="22"/>
  <c r="G2913" i="22" s="1"/>
  <c r="F2914" i="22"/>
  <c r="G2914" i="22" s="1"/>
  <c r="F2915" i="22"/>
  <c r="G2915" i="22" s="1"/>
  <c r="F2916" i="22"/>
  <c r="G2916" i="22" s="1"/>
  <c r="F2917" i="22"/>
  <c r="G2917" i="22" s="1"/>
  <c r="F2918" i="22"/>
  <c r="G2918" i="22" s="1"/>
  <c r="F2919" i="22"/>
  <c r="G2919" i="22" s="1"/>
  <c r="H2909" i="22"/>
  <c r="H2910" i="22"/>
  <c r="H2911" i="22"/>
  <c r="H2912" i="22"/>
  <c r="H2913" i="22"/>
  <c r="H2914" i="22"/>
  <c r="H2915" i="22"/>
  <c r="H2916" i="22"/>
  <c r="H2917" i="22"/>
  <c r="H2918" i="22"/>
  <c r="H2919" i="22"/>
  <c r="B2897" i="22"/>
  <c r="B2898" i="22"/>
  <c r="B2899" i="22"/>
  <c r="B2900" i="22"/>
  <c r="B2901" i="22"/>
  <c r="B2902" i="22"/>
  <c r="B2903" i="22"/>
  <c r="B2904" i="22"/>
  <c r="B2905" i="22"/>
  <c r="B2906" i="22"/>
  <c r="B2908" i="22"/>
  <c r="F2897" i="22"/>
  <c r="G2897" i="22" s="1"/>
  <c r="F2898" i="22"/>
  <c r="G2898" i="22" s="1"/>
  <c r="F2899" i="22"/>
  <c r="G2899" i="22" s="1"/>
  <c r="F2900" i="22"/>
  <c r="G2900" i="22" s="1"/>
  <c r="F2901" i="22"/>
  <c r="G2901" i="22" s="1"/>
  <c r="F2902" i="22"/>
  <c r="G2902" i="22" s="1"/>
  <c r="F2903" i="22"/>
  <c r="G2903" i="22" s="1"/>
  <c r="F2904" i="22"/>
  <c r="G2904" i="22" s="1"/>
  <c r="F2905" i="22"/>
  <c r="G2905" i="22" s="1"/>
  <c r="F2906" i="22"/>
  <c r="G2906" i="22" s="1"/>
  <c r="F2908" i="22"/>
  <c r="G2908" i="22" s="1"/>
  <c r="H2897" i="22"/>
  <c r="H2898" i="22"/>
  <c r="H2899" i="22"/>
  <c r="H2900" i="22"/>
  <c r="H2901" i="22"/>
  <c r="H2902" i="22"/>
  <c r="H2903" i="22"/>
  <c r="H2904" i="22"/>
  <c r="H2905" i="22"/>
  <c r="H2906" i="22"/>
  <c r="H2908" i="22"/>
  <c r="B2896" i="22"/>
  <c r="F2896" i="22"/>
  <c r="G2896" i="22" s="1"/>
  <c r="H2896" i="22"/>
  <c r="B2893" i="22"/>
  <c r="B2894" i="22"/>
  <c r="B2895" i="22"/>
  <c r="F2893" i="22"/>
  <c r="G2893" i="22" s="1"/>
  <c r="F2894" i="22"/>
  <c r="G2894" i="22" s="1"/>
  <c r="F2895" i="22"/>
  <c r="G2895" i="22" s="1"/>
  <c r="H2893" i="22"/>
  <c r="H2894" i="22"/>
  <c r="H2895" i="22"/>
  <c r="B2892" i="22"/>
  <c r="F2892" i="22"/>
  <c r="G2892" i="22" s="1"/>
  <c r="H2892" i="22"/>
  <c r="B2890" i="22"/>
  <c r="B2891" i="22"/>
  <c r="F2890" i="22"/>
  <c r="G2890" i="22" s="1"/>
  <c r="F2891" i="22"/>
  <c r="G2891" i="22" s="1"/>
  <c r="H2890" i="22"/>
  <c r="H2891" i="22"/>
  <c r="B2889" i="22"/>
  <c r="F2889" i="22"/>
  <c r="G2889" i="22" s="1"/>
  <c r="H2889" i="22"/>
  <c r="B2888" i="22"/>
  <c r="F2888" i="22"/>
  <c r="G2888" i="22" s="1"/>
  <c r="H2888" i="22"/>
  <c r="F9" i="21" l="1"/>
  <c r="R103" i="5"/>
  <c r="S103" i="5" s="1"/>
  <c r="U103" i="5"/>
  <c r="V103" i="5"/>
  <c r="Z103" i="5"/>
  <c r="AA103" i="5"/>
  <c r="R102" i="5"/>
  <c r="S102" i="5" s="1"/>
  <c r="U102" i="5"/>
  <c r="V102" i="5"/>
  <c r="Z102" i="5"/>
  <c r="AA102" i="5"/>
  <c r="R101" i="5"/>
  <c r="S101" i="5" s="1"/>
  <c r="U101" i="5"/>
  <c r="V101" i="5"/>
  <c r="Z101" i="5"/>
  <c r="AA101" i="5"/>
  <c r="R100" i="5"/>
  <c r="S100" i="5" s="1"/>
  <c r="U100" i="5"/>
  <c r="V100" i="5"/>
  <c r="Z100" i="5"/>
  <c r="AA100" i="5"/>
  <c r="R98" i="5"/>
  <c r="S98" i="5" s="1"/>
  <c r="R99" i="5"/>
  <c r="S99" i="5" s="1"/>
  <c r="U98" i="5"/>
  <c r="U99" i="5"/>
  <c r="V98" i="5"/>
  <c r="V99" i="5"/>
  <c r="Z98" i="5"/>
  <c r="Z99" i="5"/>
  <c r="AA98" i="5"/>
  <c r="AA99" i="5"/>
  <c r="AJ132" i="5" l="1"/>
  <c r="E367" i="5" l="1"/>
  <c r="F367" i="5"/>
  <c r="G367" i="5"/>
  <c r="H367" i="5"/>
  <c r="E366" i="5"/>
  <c r="F366" i="5"/>
  <c r="G366" i="5"/>
  <c r="H366" i="5"/>
  <c r="E365" i="5"/>
  <c r="F365" i="5"/>
  <c r="G365" i="5"/>
  <c r="H365" i="5"/>
  <c r="G9" i="7" l="1"/>
  <c r="E364" i="5"/>
  <c r="F364" i="5"/>
  <c r="G364" i="5"/>
  <c r="H364" i="5"/>
  <c r="E363" i="5"/>
  <c r="F363" i="5"/>
  <c r="G363" i="5"/>
  <c r="H363" i="5"/>
  <c r="E362" i="5"/>
  <c r="F362" i="5"/>
  <c r="G362" i="5"/>
  <c r="H362" i="5"/>
  <c r="E361" i="5"/>
  <c r="F361" i="5"/>
  <c r="G361" i="5"/>
  <c r="H361" i="5"/>
  <c r="E360" i="5"/>
  <c r="F360" i="5"/>
  <c r="G360" i="5"/>
  <c r="H360" i="5"/>
  <c r="E359" i="5"/>
  <c r="F359" i="5"/>
  <c r="G359" i="5"/>
  <c r="H359" i="5"/>
  <c r="E358" i="5"/>
  <c r="F358" i="5"/>
  <c r="G358" i="5"/>
  <c r="H358" i="5"/>
  <c r="E357" i="5"/>
  <c r="F357" i="5"/>
  <c r="G357" i="5"/>
  <c r="H357" i="5"/>
  <c r="E356" i="5"/>
  <c r="F356" i="5"/>
  <c r="G356" i="5"/>
  <c r="H356" i="5"/>
  <c r="E355" i="5"/>
  <c r="F355" i="5"/>
  <c r="G355" i="5"/>
  <c r="H355" i="5"/>
  <c r="E352" i="5"/>
  <c r="E353" i="5"/>
  <c r="E354" i="5"/>
  <c r="F352" i="5"/>
  <c r="F353" i="5"/>
  <c r="F354" i="5"/>
  <c r="G352" i="5"/>
  <c r="G353" i="5"/>
  <c r="G354" i="5"/>
  <c r="H352" i="5"/>
  <c r="H353" i="5"/>
  <c r="H354" i="5"/>
  <c r="E351" i="5"/>
  <c r="F351" i="5"/>
  <c r="G351" i="5"/>
  <c r="H351" i="5"/>
  <c r="B2840" i="22" l="1"/>
  <c r="B2841" i="22"/>
  <c r="B2842" i="22"/>
  <c r="B2843" i="22"/>
  <c r="B2844" i="22"/>
  <c r="B2845" i="22"/>
  <c r="B2846" i="22"/>
  <c r="B2847" i="22"/>
  <c r="B2848" i="22"/>
  <c r="B2849" i="22"/>
  <c r="B2850" i="22"/>
  <c r="B2851" i="22"/>
  <c r="B2852" i="22"/>
  <c r="B2853" i="22"/>
  <c r="B2854" i="22"/>
  <c r="B2855" i="22"/>
  <c r="B2856" i="22"/>
  <c r="B2857" i="22"/>
  <c r="B2858" i="22"/>
  <c r="B2859" i="22"/>
  <c r="B2860" i="22"/>
  <c r="B2861" i="22"/>
  <c r="B2862" i="22"/>
  <c r="B2863" i="22"/>
  <c r="B2864" i="22"/>
  <c r="B2865" i="22"/>
  <c r="B2866" i="22"/>
  <c r="B2867" i="22"/>
  <c r="B2868" i="22"/>
  <c r="B2869" i="22"/>
  <c r="B2870" i="22"/>
  <c r="B2871" i="22"/>
  <c r="B2872" i="22"/>
  <c r="B2873" i="22"/>
  <c r="B2874" i="22"/>
  <c r="B2875" i="22"/>
  <c r="B2876" i="22"/>
  <c r="B2877" i="22"/>
  <c r="B2878" i="22"/>
  <c r="B2879" i="22"/>
  <c r="B2880" i="22"/>
  <c r="B2881" i="22"/>
  <c r="B2882" i="22"/>
  <c r="B2883" i="22"/>
  <c r="B2884" i="22"/>
  <c r="B2885" i="22"/>
  <c r="B2886" i="22"/>
  <c r="B2887" i="22"/>
  <c r="F2840" i="22"/>
  <c r="F2841" i="22"/>
  <c r="F2842" i="22"/>
  <c r="F2843" i="22"/>
  <c r="F2844" i="22"/>
  <c r="F2845" i="22"/>
  <c r="F2846" i="22"/>
  <c r="F2847" i="22"/>
  <c r="F2848" i="22"/>
  <c r="F2849" i="22"/>
  <c r="F2850" i="22"/>
  <c r="F2851" i="22"/>
  <c r="F2852" i="22"/>
  <c r="G2852" i="22" s="1"/>
  <c r="F2853" i="22"/>
  <c r="G2853" i="22" s="1"/>
  <c r="F2854" i="22"/>
  <c r="G2854" i="22" s="1"/>
  <c r="F2855" i="22"/>
  <c r="G2855" i="22" s="1"/>
  <c r="F2856" i="22"/>
  <c r="F2857" i="22"/>
  <c r="G2857" i="22" s="1"/>
  <c r="F2858" i="22"/>
  <c r="G2858" i="22" s="1"/>
  <c r="F2859" i="22"/>
  <c r="G2859" i="22" s="1"/>
  <c r="F2860" i="22"/>
  <c r="G2860" i="22" s="1"/>
  <c r="F2861" i="22"/>
  <c r="G2861" i="22" s="1"/>
  <c r="F2862" i="22"/>
  <c r="G2862" i="22" s="1"/>
  <c r="F2863" i="22"/>
  <c r="G2863" i="22" s="1"/>
  <c r="F2864" i="22"/>
  <c r="G2864" i="22" s="1"/>
  <c r="F2865" i="22"/>
  <c r="G2865" i="22" s="1"/>
  <c r="F2866" i="22"/>
  <c r="G2866" i="22" s="1"/>
  <c r="F2867" i="22"/>
  <c r="G2867" i="22" s="1"/>
  <c r="F2868" i="22"/>
  <c r="G2868" i="22" s="1"/>
  <c r="F2869" i="22"/>
  <c r="G2869" i="22" s="1"/>
  <c r="F2870" i="22"/>
  <c r="G2870" i="22" s="1"/>
  <c r="F2871" i="22"/>
  <c r="G2871" i="22" s="1"/>
  <c r="F2872" i="22"/>
  <c r="G2872" i="22" s="1"/>
  <c r="F2873" i="22"/>
  <c r="G2873" i="22" s="1"/>
  <c r="F2874" i="22"/>
  <c r="G2874" i="22" s="1"/>
  <c r="F2875" i="22"/>
  <c r="G2875" i="22" s="1"/>
  <c r="F2876" i="22"/>
  <c r="G2876" i="22" s="1"/>
  <c r="F2877" i="22"/>
  <c r="G2877" i="22" s="1"/>
  <c r="F2878" i="22"/>
  <c r="G2878" i="22" s="1"/>
  <c r="F2879" i="22"/>
  <c r="G2879" i="22" s="1"/>
  <c r="F2880" i="22"/>
  <c r="G2880" i="22" s="1"/>
  <c r="F2881" i="22"/>
  <c r="G2881" i="22" s="1"/>
  <c r="F2882" i="22"/>
  <c r="G2882" i="22" s="1"/>
  <c r="F2883" i="22"/>
  <c r="G2883" i="22" s="1"/>
  <c r="F2884" i="22"/>
  <c r="G2884" i="22" s="1"/>
  <c r="F2885" i="22"/>
  <c r="G2885" i="22" s="1"/>
  <c r="F2886" i="22"/>
  <c r="G2886" i="22" s="1"/>
  <c r="F2887" i="22"/>
  <c r="G2887" i="22" s="1"/>
  <c r="G2840" i="22"/>
  <c r="G2841" i="22"/>
  <c r="G2842" i="22"/>
  <c r="G2843" i="22"/>
  <c r="G2844" i="22"/>
  <c r="G2845" i="22"/>
  <c r="G2846" i="22"/>
  <c r="G2847" i="22"/>
  <c r="G2848" i="22"/>
  <c r="G2849" i="22"/>
  <c r="G2850" i="22"/>
  <c r="G2851" i="22"/>
  <c r="G2856" i="22"/>
  <c r="H2840" i="22"/>
  <c r="H2841" i="22"/>
  <c r="H2842" i="22"/>
  <c r="H2843" i="22"/>
  <c r="H2844" i="22"/>
  <c r="H2845" i="22"/>
  <c r="H2846" i="22"/>
  <c r="H2847" i="22"/>
  <c r="H2848" i="22"/>
  <c r="H2849" i="22"/>
  <c r="H2850" i="22"/>
  <c r="H2851" i="22"/>
  <c r="H2852" i="22"/>
  <c r="H2853" i="22"/>
  <c r="H2854" i="22"/>
  <c r="H2855" i="22"/>
  <c r="H2856" i="22"/>
  <c r="H2857" i="22"/>
  <c r="H2858" i="22"/>
  <c r="H2859" i="22"/>
  <c r="H2860" i="22"/>
  <c r="H2861" i="22"/>
  <c r="H2862" i="22"/>
  <c r="H2863" i="22"/>
  <c r="H2864" i="22"/>
  <c r="H2865" i="22"/>
  <c r="H2866" i="22"/>
  <c r="H2867" i="22"/>
  <c r="H2868" i="22"/>
  <c r="H2869" i="22"/>
  <c r="H2870" i="22"/>
  <c r="H2871" i="22"/>
  <c r="H2872" i="22"/>
  <c r="H2873" i="22"/>
  <c r="H2874" i="22"/>
  <c r="H2875" i="22"/>
  <c r="H2876" i="22"/>
  <c r="H2877" i="22"/>
  <c r="H2878" i="22"/>
  <c r="H2879" i="22"/>
  <c r="H2880" i="22"/>
  <c r="H2881" i="22"/>
  <c r="H2882" i="22"/>
  <c r="H2883" i="22"/>
  <c r="H2884" i="22"/>
  <c r="H2885" i="22"/>
  <c r="H2886" i="22"/>
  <c r="H2887" i="22"/>
  <c r="B2833" i="22"/>
  <c r="B2834" i="22"/>
  <c r="B2835" i="22"/>
  <c r="B2836" i="22"/>
  <c r="B2837" i="22"/>
  <c r="B2838" i="22"/>
  <c r="B2839" i="22"/>
  <c r="F2833" i="22"/>
  <c r="G2833" i="22" s="1"/>
  <c r="F2834" i="22"/>
  <c r="G2834" i="22" s="1"/>
  <c r="F2835" i="22"/>
  <c r="G2835" i="22" s="1"/>
  <c r="F2836" i="22"/>
  <c r="G2836" i="22" s="1"/>
  <c r="F2837" i="22"/>
  <c r="G2837" i="22" s="1"/>
  <c r="F2838" i="22"/>
  <c r="G2838" i="22" s="1"/>
  <c r="F2839" i="22"/>
  <c r="G2839" i="22" s="1"/>
  <c r="H2833" i="22"/>
  <c r="H2834" i="22"/>
  <c r="H2835" i="22"/>
  <c r="H2836" i="22"/>
  <c r="H2837" i="22"/>
  <c r="H2838" i="22"/>
  <c r="H2839" i="22"/>
  <c r="B2793" i="22"/>
  <c r="B2794" i="22"/>
  <c r="B2795" i="22"/>
  <c r="B2796" i="22"/>
  <c r="B2797" i="22"/>
  <c r="B2798" i="22"/>
  <c r="B2799" i="22"/>
  <c r="B2800" i="22"/>
  <c r="B2801" i="22"/>
  <c r="B2802" i="22"/>
  <c r="B2803" i="22"/>
  <c r="B2804" i="22"/>
  <c r="B2805" i="22"/>
  <c r="B2806" i="22"/>
  <c r="B2807" i="22"/>
  <c r="B2808" i="22"/>
  <c r="B2809" i="22"/>
  <c r="B2810" i="22"/>
  <c r="B2811" i="22"/>
  <c r="B2812" i="22"/>
  <c r="B2813" i="22"/>
  <c r="B2814" i="22"/>
  <c r="B2815" i="22"/>
  <c r="B2816" i="22"/>
  <c r="B2817" i="22"/>
  <c r="B2818" i="22"/>
  <c r="B2819" i="22"/>
  <c r="B2820" i="22"/>
  <c r="B2821" i="22"/>
  <c r="B2822" i="22"/>
  <c r="B2823" i="22"/>
  <c r="B2824" i="22"/>
  <c r="B2825" i="22"/>
  <c r="B2826" i="22"/>
  <c r="B2827" i="22"/>
  <c r="B2828" i="22"/>
  <c r="B2829" i="22"/>
  <c r="B2830" i="22"/>
  <c r="B2831" i="22"/>
  <c r="B2832" i="22"/>
  <c r="F2793" i="22"/>
  <c r="G2793" i="22" s="1"/>
  <c r="F2794" i="22"/>
  <c r="G2794" i="22" s="1"/>
  <c r="F2795" i="22"/>
  <c r="G2795" i="22" s="1"/>
  <c r="F2796" i="22"/>
  <c r="G2796" i="22" s="1"/>
  <c r="F2797" i="22"/>
  <c r="G2797" i="22" s="1"/>
  <c r="F2798" i="22"/>
  <c r="G2798" i="22" s="1"/>
  <c r="F2799" i="22"/>
  <c r="G2799" i="22" s="1"/>
  <c r="F2800" i="22"/>
  <c r="G2800" i="22" s="1"/>
  <c r="F2801" i="22"/>
  <c r="G2801" i="22" s="1"/>
  <c r="F2802" i="22"/>
  <c r="G2802" i="22" s="1"/>
  <c r="F2803" i="22"/>
  <c r="G2803" i="22" s="1"/>
  <c r="F2804" i="22"/>
  <c r="G2804" i="22" s="1"/>
  <c r="F2805" i="22"/>
  <c r="G2805" i="22" s="1"/>
  <c r="F2806" i="22"/>
  <c r="G2806" i="22" s="1"/>
  <c r="F2807" i="22"/>
  <c r="G2807" i="22" s="1"/>
  <c r="F2808" i="22"/>
  <c r="G2808" i="22" s="1"/>
  <c r="F2809" i="22"/>
  <c r="G2809" i="22" s="1"/>
  <c r="F2810" i="22"/>
  <c r="G2810" i="22" s="1"/>
  <c r="F2811" i="22"/>
  <c r="G2811" i="22" s="1"/>
  <c r="F2812" i="22"/>
  <c r="G2812" i="22" s="1"/>
  <c r="F2813" i="22"/>
  <c r="G2813" i="22" s="1"/>
  <c r="F2814" i="22"/>
  <c r="G2814" i="22" s="1"/>
  <c r="F2815" i="22"/>
  <c r="G2815" i="22" s="1"/>
  <c r="F2816" i="22"/>
  <c r="G2816" i="22" s="1"/>
  <c r="F2817" i="22"/>
  <c r="G2817" i="22" s="1"/>
  <c r="F2818" i="22"/>
  <c r="G2818" i="22" s="1"/>
  <c r="F2819" i="22"/>
  <c r="G2819" i="22" s="1"/>
  <c r="F2820" i="22"/>
  <c r="G2820" i="22" s="1"/>
  <c r="F2821" i="22"/>
  <c r="G2821" i="22" s="1"/>
  <c r="F2822" i="22"/>
  <c r="G2822" i="22" s="1"/>
  <c r="F2823" i="22"/>
  <c r="G2823" i="22" s="1"/>
  <c r="F2824" i="22"/>
  <c r="G2824" i="22" s="1"/>
  <c r="F2825" i="22"/>
  <c r="G2825" i="22" s="1"/>
  <c r="F2826" i="22"/>
  <c r="G2826" i="22" s="1"/>
  <c r="F2827" i="22"/>
  <c r="G2827" i="22" s="1"/>
  <c r="F2828" i="22"/>
  <c r="G2828" i="22" s="1"/>
  <c r="F2829" i="22"/>
  <c r="G2829" i="22" s="1"/>
  <c r="F2830" i="22"/>
  <c r="G2830" i="22" s="1"/>
  <c r="F2831" i="22"/>
  <c r="G2831" i="22" s="1"/>
  <c r="F2832" i="22"/>
  <c r="G2832" i="22" s="1"/>
  <c r="H2793" i="22"/>
  <c r="H2794" i="22"/>
  <c r="H2795" i="22"/>
  <c r="H2796" i="22"/>
  <c r="H2797" i="22"/>
  <c r="H2798" i="22"/>
  <c r="H2799" i="22"/>
  <c r="H2800" i="22"/>
  <c r="H2801" i="22"/>
  <c r="H2802" i="22"/>
  <c r="H2803" i="22"/>
  <c r="H2804" i="22"/>
  <c r="H2805" i="22"/>
  <c r="H2806" i="22"/>
  <c r="H2807" i="22"/>
  <c r="H2808" i="22"/>
  <c r="H2809" i="22"/>
  <c r="H2810" i="22"/>
  <c r="H2811" i="22"/>
  <c r="H2812" i="22"/>
  <c r="H2813" i="22"/>
  <c r="H2814" i="22"/>
  <c r="H2815" i="22"/>
  <c r="H2816" i="22"/>
  <c r="H2817" i="22"/>
  <c r="H2818" i="22"/>
  <c r="H2819" i="22"/>
  <c r="H2820" i="22"/>
  <c r="H2821" i="22"/>
  <c r="H2822" i="22"/>
  <c r="H2823" i="22"/>
  <c r="H2824" i="22"/>
  <c r="H2825" i="22"/>
  <c r="H2826" i="22"/>
  <c r="H2827" i="22"/>
  <c r="H2828" i="22"/>
  <c r="H2829" i="22"/>
  <c r="H2830" i="22"/>
  <c r="H2831" i="22"/>
  <c r="H2832" i="22"/>
  <c r="B2792" i="22"/>
  <c r="F2792" i="22"/>
  <c r="G2792" i="22" s="1"/>
  <c r="H2792" i="22"/>
  <c r="B2784" i="22" l="1"/>
  <c r="B2785" i="22"/>
  <c r="B2786" i="22"/>
  <c r="B2787" i="22"/>
  <c r="B2788" i="22"/>
  <c r="B2789" i="22"/>
  <c r="B2790" i="22"/>
  <c r="B2791" i="22"/>
  <c r="F2784" i="22"/>
  <c r="F2785" i="22"/>
  <c r="G2785" i="22" s="1"/>
  <c r="F2786" i="22"/>
  <c r="G2786" i="22" s="1"/>
  <c r="F2787" i="22"/>
  <c r="G2787" i="22" s="1"/>
  <c r="F2788" i="22"/>
  <c r="G2788" i="22" s="1"/>
  <c r="F2789" i="22"/>
  <c r="G2789" i="22" s="1"/>
  <c r="F2790" i="22"/>
  <c r="G2790" i="22" s="1"/>
  <c r="F2791" i="22"/>
  <c r="G2791" i="22" s="1"/>
  <c r="G2784" i="22"/>
  <c r="H2784" i="22"/>
  <c r="H2785" i="22"/>
  <c r="H2786" i="22"/>
  <c r="H2787" i="22"/>
  <c r="H2788" i="22"/>
  <c r="H2789" i="22"/>
  <c r="H2790" i="22"/>
  <c r="H2791" i="22"/>
  <c r="B2771" i="22"/>
  <c r="B2772" i="22"/>
  <c r="B2773" i="22"/>
  <c r="B2774" i="22"/>
  <c r="B2775" i="22"/>
  <c r="B2776" i="22"/>
  <c r="B2777" i="22"/>
  <c r="B2778" i="22"/>
  <c r="B2779" i="22"/>
  <c r="B2780" i="22"/>
  <c r="B2781" i="22"/>
  <c r="B2782" i="22"/>
  <c r="B2783" i="22"/>
  <c r="F2771" i="22"/>
  <c r="G2771" i="22" s="1"/>
  <c r="F2772" i="22"/>
  <c r="G2772" i="22" s="1"/>
  <c r="F2773" i="22"/>
  <c r="G2773" i="22" s="1"/>
  <c r="F2774" i="22"/>
  <c r="G2774" i="22" s="1"/>
  <c r="F2775" i="22"/>
  <c r="G2775" i="22" s="1"/>
  <c r="F2776" i="22"/>
  <c r="G2776" i="22" s="1"/>
  <c r="F2777" i="22"/>
  <c r="G2777" i="22" s="1"/>
  <c r="F2778" i="22"/>
  <c r="G2778" i="22" s="1"/>
  <c r="F2779" i="22"/>
  <c r="G2779" i="22" s="1"/>
  <c r="F2780" i="22"/>
  <c r="G2780" i="22" s="1"/>
  <c r="F2781" i="22"/>
  <c r="G2781" i="22" s="1"/>
  <c r="F2782" i="22"/>
  <c r="G2782" i="22" s="1"/>
  <c r="F2783" i="22"/>
  <c r="G2783" i="22" s="1"/>
  <c r="H2771" i="22"/>
  <c r="H2772" i="22"/>
  <c r="H2773" i="22"/>
  <c r="H2774" i="22"/>
  <c r="H2775" i="22"/>
  <c r="H2776" i="22"/>
  <c r="H2777" i="22"/>
  <c r="H2778" i="22"/>
  <c r="H2779" i="22"/>
  <c r="H2780" i="22"/>
  <c r="H2781" i="22"/>
  <c r="H2782" i="22"/>
  <c r="H2783" i="22"/>
  <c r="B2745" i="22"/>
  <c r="B2746" i="22"/>
  <c r="B2747" i="22"/>
  <c r="B2748" i="22"/>
  <c r="B2749" i="22"/>
  <c r="B2750" i="22"/>
  <c r="B2751" i="22"/>
  <c r="B2752" i="22"/>
  <c r="B2753" i="22"/>
  <c r="B2754" i="22"/>
  <c r="B2755" i="22"/>
  <c r="B2756" i="22"/>
  <c r="B2757" i="22"/>
  <c r="B2758" i="22"/>
  <c r="B2759" i="22"/>
  <c r="B2760" i="22"/>
  <c r="B2761" i="22"/>
  <c r="B2762" i="22"/>
  <c r="B2763" i="22"/>
  <c r="B2764" i="22"/>
  <c r="B2765" i="22"/>
  <c r="B2766" i="22"/>
  <c r="B2767" i="22"/>
  <c r="B2768" i="22"/>
  <c r="B2769" i="22"/>
  <c r="B2770" i="22"/>
  <c r="F2745" i="22"/>
  <c r="G2745" i="22" s="1"/>
  <c r="F2746" i="22"/>
  <c r="G2746" i="22" s="1"/>
  <c r="F2747" i="22"/>
  <c r="F2748" i="22"/>
  <c r="F2749" i="22"/>
  <c r="G2749" i="22" s="1"/>
  <c r="F2750" i="22"/>
  <c r="G2750" i="22" s="1"/>
  <c r="F2751" i="22"/>
  <c r="G2751" i="22" s="1"/>
  <c r="F2752" i="22"/>
  <c r="G2752" i="22" s="1"/>
  <c r="F2753" i="22"/>
  <c r="G2753" i="22" s="1"/>
  <c r="F2754" i="22"/>
  <c r="G2754" i="22" s="1"/>
  <c r="F2755" i="22"/>
  <c r="G2755" i="22" s="1"/>
  <c r="F2756" i="22"/>
  <c r="G2756" i="22" s="1"/>
  <c r="F2757" i="22"/>
  <c r="G2757" i="22" s="1"/>
  <c r="F2758" i="22"/>
  <c r="G2758" i="22" s="1"/>
  <c r="F2759" i="22"/>
  <c r="G2759" i="22" s="1"/>
  <c r="F2760" i="22"/>
  <c r="G2760" i="22" s="1"/>
  <c r="F2761" i="22"/>
  <c r="G2761" i="22" s="1"/>
  <c r="F2762" i="22"/>
  <c r="G2762" i="22" s="1"/>
  <c r="F2763" i="22"/>
  <c r="G2763" i="22" s="1"/>
  <c r="F2764" i="22"/>
  <c r="G2764" i="22" s="1"/>
  <c r="F2765" i="22"/>
  <c r="G2765" i="22" s="1"/>
  <c r="F2766" i="22"/>
  <c r="G2766" i="22" s="1"/>
  <c r="F2767" i="22"/>
  <c r="G2767" i="22" s="1"/>
  <c r="F2768" i="22"/>
  <c r="G2768" i="22" s="1"/>
  <c r="F2769" i="22"/>
  <c r="G2769" i="22" s="1"/>
  <c r="F2770" i="22"/>
  <c r="G2770" i="22" s="1"/>
  <c r="G2747" i="22"/>
  <c r="G2748" i="22"/>
  <c r="H2745" i="22"/>
  <c r="H2746" i="22"/>
  <c r="H2747" i="22"/>
  <c r="H2748" i="22"/>
  <c r="H2749" i="22"/>
  <c r="H2750" i="22"/>
  <c r="H2751" i="22"/>
  <c r="H2752" i="22"/>
  <c r="H2753" i="22"/>
  <c r="H2754" i="22"/>
  <c r="H2755" i="22"/>
  <c r="H2756" i="22"/>
  <c r="H2757" i="22"/>
  <c r="H2758" i="22"/>
  <c r="H2759" i="22"/>
  <c r="H2760" i="22"/>
  <c r="H2761" i="22"/>
  <c r="H2762" i="22"/>
  <c r="H2763" i="22"/>
  <c r="H2764" i="22"/>
  <c r="H2765" i="22"/>
  <c r="H2766" i="22"/>
  <c r="H2767" i="22"/>
  <c r="H2768" i="22"/>
  <c r="H2769" i="22"/>
  <c r="H2770" i="22"/>
  <c r="B2744" i="22"/>
  <c r="F2744" i="22"/>
  <c r="G2744" i="22" s="1"/>
  <c r="H2744" i="22"/>
  <c r="B2682" i="22"/>
  <c r="B2691" i="22"/>
  <c r="B2692" i="22"/>
  <c r="B2696" i="22"/>
  <c r="B2697" i="22"/>
  <c r="B2698" i="22"/>
  <c r="B2699" i="22"/>
  <c r="B2700" i="22"/>
  <c r="B2701" i="22"/>
  <c r="B2702" i="22"/>
  <c r="B2703" i="22"/>
  <c r="B2704" i="22"/>
  <c r="B2705" i="22"/>
  <c r="B2706" i="22"/>
  <c r="B2707" i="22"/>
  <c r="B2708" i="22"/>
  <c r="B2709" i="22"/>
  <c r="B2710" i="22"/>
  <c r="B2711" i="22"/>
  <c r="B2712" i="22"/>
  <c r="B2713" i="22"/>
  <c r="B2714" i="22"/>
  <c r="B2715" i="22"/>
  <c r="B2716" i="22"/>
  <c r="B2717" i="22"/>
  <c r="B2718" i="22"/>
  <c r="B2719" i="22"/>
  <c r="B2720" i="22"/>
  <c r="B2721" i="22"/>
  <c r="B2722" i="22"/>
  <c r="B2723" i="22"/>
  <c r="B2724" i="22"/>
  <c r="B2725" i="22"/>
  <c r="B2726" i="22"/>
  <c r="B2727" i="22"/>
  <c r="B2728" i="22"/>
  <c r="B2729" i="22"/>
  <c r="B2730" i="22"/>
  <c r="B2731" i="22"/>
  <c r="B2732" i="22"/>
  <c r="B2733" i="22"/>
  <c r="B2734" i="22"/>
  <c r="B2735" i="22"/>
  <c r="B2736" i="22"/>
  <c r="B2737" i="22"/>
  <c r="B2738" i="22"/>
  <c r="B2739" i="22"/>
  <c r="B2740" i="22"/>
  <c r="B2741" i="22"/>
  <c r="B2742" i="22"/>
  <c r="B2743" i="22"/>
  <c r="F2697" i="22"/>
  <c r="G2697" i="22" s="1"/>
  <c r="F2698" i="22"/>
  <c r="G2698" i="22" s="1"/>
  <c r="F2699" i="22"/>
  <c r="G2699" i="22" s="1"/>
  <c r="F2700" i="22"/>
  <c r="G2700" i="22" s="1"/>
  <c r="F2701" i="22"/>
  <c r="G2701" i="22" s="1"/>
  <c r="F2702" i="22"/>
  <c r="G2702" i="22" s="1"/>
  <c r="F2703" i="22"/>
  <c r="G2703" i="22" s="1"/>
  <c r="F2704" i="22"/>
  <c r="G2704" i="22" s="1"/>
  <c r="F2705" i="22"/>
  <c r="G2705" i="22" s="1"/>
  <c r="F2706" i="22"/>
  <c r="G2706" i="22" s="1"/>
  <c r="F2707" i="22"/>
  <c r="G2707" i="22" s="1"/>
  <c r="F2708" i="22"/>
  <c r="G2708" i="22" s="1"/>
  <c r="F2709" i="22"/>
  <c r="G2709" i="22" s="1"/>
  <c r="F2710" i="22"/>
  <c r="G2710" i="22" s="1"/>
  <c r="F2711" i="22"/>
  <c r="G2711" i="22" s="1"/>
  <c r="F2712" i="22"/>
  <c r="G2712" i="22" s="1"/>
  <c r="F2713" i="22"/>
  <c r="G2713" i="22" s="1"/>
  <c r="F2714" i="22"/>
  <c r="G2714" i="22" s="1"/>
  <c r="F2715" i="22"/>
  <c r="G2715" i="22" s="1"/>
  <c r="F2716" i="22"/>
  <c r="G2716" i="22" s="1"/>
  <c r="F2717" i="22"/>
  <c r="G2717" i="22" s="1"/>
  <c r="F2718" i="22"/>
  <c r="G2718" i="22" s="1"/>
  <c r="F2719" i="22"/>
  <c r="G2719" i="22" s="1"/>
  <c r="F2720" i="22"/>
  <c r="G2720" i="22" s="1"/>
  <c r="F2721" i="22"/>
  <c r="G2721" i="22" s="1"/>
  <c r="F2722" i="22"/>
  <c r="G2722" i="22" s="1"/>
  <c r="F2723" i="22"/>
  <c r="G2723" i="22" s="1"/>
  <c r="F2724" i="22"/>
  <c r="G2724" i="22" s="1"/>
  <c r="F2725" i="22"/>
  <c r="G2725" i="22" s="1"/>
  <c r="F2726" i="22"/>
  <c r="G2726" i="22" s="1"/>
  <c r="F2727" i="22"/>
  <c r="G2727" i="22" s="1"/>
  <c r="F2728" i="22"/>
  <c r="G2728" i="22" s="1"/>
  <c r="F2729" i="22"/>
  <c r="G2729" i="22" s="1"/>
  <c r="F2730" i="22"/>
  <c r="G2730" i="22" s="1"/>
  <c r="F2731" i="22"/>
  <c r="G2731" i="22" s="1"/>
  <c r="F2732" i="22"/>
  <c r="G2732" i="22" s="1"/>
  <c r="F2733" i="22"/>
  <c r="G2733" i="22" s="1"/>
  <c r="F2734" i="22"/>
  <c r="G2734" i="22" s="1"/>
  <c r="F2735" i="22"/>
  <c r="G2735" i="22" s="1"/>
  <c r="F2736" i="22"/>
  <c r="G2736" i="22" s="1"/>
  <c r="F2737" i="22"/>
  <c r="G2737" i="22" s="1"/>
  <c r="F2738" i="22"/>
  <c r="G2738" i="22" s="1"/>
  <c r="F2739" i="22"/>
  <c r="G2739" i="22" s="1"/>
  <c r="F2740" i="22"/>
  <c r="G2740" i="22" s="1"/>
  <c r="F2741" i="22"/>
  <c r="G2741" i="22" s="1"/>
  <c r="F2742" i="22"/>
  <c r="G2742" i="22" s="1"/>
  <c r="F2743" i="22"/>
  <c r="G2743" i="22" s="1"/>
  <c r="H2697" i="22"/>
  <c r="H2698" i="22"/>
  <c r="H2699" i="22"/>
  <c r="H2700" i="22"/>
  <c r="H2701" i="22"/>
  <c r="H2702" i="22"/>
  <c r="H2703" i="22"/>
  <c r="H2704" i="22"/>
  <c r="H2705" i="22"/>
  <c r="H2706" i="22"/>
  <c r="H2707" i="22"/>
  <c r="H2708" i="22"/>
  <c r="H2709" i="22"/>
  <c r="H2710" i="22"/>
  <c r="H2711" i="22"/>
  <c r="H2712" i="22"/>
  <c r="H2713" i="22"/>
  <c r="H2714" i="22"/>
  <c r="H2715" i="22"/>
  <c r="H2716" i="22"/>
  <c r="H2717" i="22"/>
  <c r="H2718" i="22"/>
  <c r="H2719" i="22"/>
  <c r="H2720" i="22"/>
  <c r="H2721" i="22"/>
  <c r="H2722" i="22"/>
  <c r="H2723" i="22"/>
  <c r="H2724" i="22"/>
  <c r="H2725" i="22"/>
  <c r="H2726" i="22"/>
  <c r="H2727" i="22"/>
  <c r="H2728" i="22"/>
  <c r="H2729" i="22"/>
  <c r="H2730" i="22"/>
  <c r="H2731" i="22"/>
  <c r="H2732" i="22"/>
  <c r="H2733" i="22"/>
  <c r="H2734" i="22"/>
  <c r="H2735" i="22"/>
  <c r="H2736" i="22"/>
  <c r="H2737" i="22"/>
  <c r="H2738" i="22"/>
  <c r="H2739" i="22"/>
  <c r="H2740" i="22"/>
  <c r="H2741" i="22"/>
  <c r="H2742" i="22"/>
  <c r="H2743" i="22"/>
  <c r="F2696" i="22"/>
  <c r="G2696" i="22" s="1"/>
  <c r="H2696" i="22"/>
  <c r="F61" i="26" l="1"/>
  <c r="E80" i="26" l="1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3" i="26" l="1"/>
  <c r="E4" i="26"/>
  <c r="E5" i="26"/>
  <c r="E6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2" i="26"/>
  <c r="D23" i="26"/>
  <c r="F23" i="26" s="1"/>
  <c r="D24" i="26"/>
  <c r="F24" i="26" s="1"/>
  <c r="D25" i="26"/>
  <c r="F25" i="26" s="1"/>
  <c r="D26" i="26"/>
  <c r="F26" i="26" s="1"/>
  <c r="D27" i="26"/>
  <c r="F27" i="26" s="1"/>
  <c r="D53" i="26"/>
  <c r="F53" i="26" s="1"/>
  <c r="D55" i="26"/>
  <c r="F55" i="26" s="1"/>
  <c r="D56" i="26"/>
  <c r="F56" i="26" s="1"/>
  <c r="E350" i="5" l="1"/>
  <c r="F350" i="5"/>
  <c r="G350" i="5"/>
  <c r="H350" i="5"/>
  <c r="E349" i="5" l="1"/>
  <c r="F349" i="5"/>
  <c r="G349" i="5"/>
  <c r="H349" i="5"/>
  <c r="E348" i="5"/>
  <c r="F348" i="5"/>
  <c r="G348" i="5"/>
  <c r="H348" i="5"/>
  <c r="E346" i="5"/>
  <c r="E347" i="5"/>
  <c r="F346" i="5"/>
  <c r="F347" i="5"/>
  <c r="G346" i="5"/>
  <c r="G347" i="5"/>
  <c r="H346" i="5"/>
  <c r="H347" i="5"/>
  <c r="E345" i="5" l="1"/>
  <c r="F345" i="5"/>
  <c r="G345" i="5"/>
  <c r="H345" i="5"/>
  <c r="E344" i="5" l="1"/>
  <c r="F344" i="5"/>
  <c r="G344" i="5"/>
  <c r="H344" i="5"/>
  <c r="E343" i="5"/>
  <c r="F343" i="5"/>
  <c r="G343" i="5"/>
  <c r="H343" i="5"/>
  <c r="E331" i="5" l="1"/>
  <c r="E332" i="5"/>
  <c r="E333" i="5"/>
  <c r="E334" i="5"/>
  <c r="E335" i="5"/>
  <c r="E336" i="5"/>
  <c r="E337" i="5"/>
  <c r="E338" i="5"/>
  <c r="E339" i="5"/>
  <c r="E340" i="5"/>
  <c r="E341" i="5"/>
  <c r="E342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AJ131" i="5" l="1"/>
  <c r="R96" i="5"/>
  <c r="S96" i="5" s="1"/>
  <c r="R97" i="5"/>
  <c r="S97" i="5" s="1"/>
  <c r="U96" i="5"/>
  <c r="U97" i="5"/>
  <c r="V96" i="5"/>
  <c r="V97" i="5"/>
  <c r="Y96" i="5"/>
  <c r="Y97" i="5"/>
  <c r="Z96" i="5"/>
  <c r="Z97" i="5"/>
  <c r="AA96" i="5"/>
  <c r="AA97" i="5"/>
  <c r="R95" i="5"/>
  <c r="S95" i="5" s="1"/>
  <c r="U95" i="5"/>
  <c r="V95" i="5"/>
  <c r="Y95" i="5"/>
  <c r="Z95" i="5"/>
  <c r="AA95" i="5"/>
  <c r="E330" i="5" l="1"/>
  <c r="F330" i="5"/>
  <c r="G330" i="5"/>
  <c r="H330" i="5"/>
  <c r="E322" i="5"/>
  <c r="E323" i="5"/>
  <c r="E324" i="5"/>
  <c r="E325" i="5"/>
  <c r="E326" i="5"/>
  <c r="E327" i="5"/>
  <c r="E328" i="5"/>
  <c r="E329" i="5"/>
  <c r="F322" i="5"/>
  <c r="F323" i="5"/>
  <c r="F324" i="5"/>
  <c r="F325" i="5"/>
  <c r="F326" i="5"/>
  <c r="F327" i="5"/>
  <c r="F328" i="5"/>
  <c r="F329" i="5"/>
  <c r="G322" i="5"/>
  <c r="G323" i="5"/>
  <c r="G324" i="5"/>
  <c r="G325" i="5"/>
  <c r="G326" i="5"/>
  <c r="G327" i="5"/>
  <c r="G328" i="5"/>
  <c r="G329" i="5"/>
  <c r="H322" i="5"/>
  <c r="H323" i="5"/>
  <c r="H324" i="5"/>
  <c r="H325" i="5"/>
  <c r="H326" i="5"/>
  <c r="H327" i="5"/>
  <c r="H328" i="5"/>
  <c r="H329" i="5"/>
  <c r="E307" i="5"/>
  <c r="E308" i="5"/>
  <c r="E230" i="5"/>
  <c r="E231" i="5"/>
  <c r="E232" i="5"/>
  <c r="E233" i="5"/>
  <c r="E249" i="5"/>
  <c r="E314" i="5"/>
  <c r="E315" i="5"/>
  <c r="E316" i="5"/>
  <c r="E317" i="5"/>
  <c r="E318" i="5"/>
  <c r="E319" i="5"/>
  <c r="E320" i="5"/>
  <c r="E321" i="5"/>
  <c r="F307" i="5"/>
  <c r="F308" i="5"/>
  <c r="F230" i="5"/>
  <c r="F231" i="5"/>
  <c r="F232" i="5"/>
  <c r="F233" i="5"/>
  <c r="F249" i="5"/>
  <c r="F314" i="5"/>
  <c r="F315" i="5"/>
  <c r="F316" i="5"/>
  <c r="F317" i="5"/>
  <c r="F318" i="5"/>
  <c r="F319" i="5"/>
  <c r="F320" i="5"/>
  <c r="F321" i="5"/>
  <c r="G307" i="5"/>
  <c r="G308" i="5"/>
  <c r="G230" i="5"/>
  <c r="G231" i="5"/>
  <c r="G232" i="5"/>
  <c r="G233" i="5"/>
  <c r="G249" i="5"/>
  <c r="G314" i="5"/>
  <c r="G315" i="5"/>
  <c r="G316" i="5"/>
  <c r="G317" i="5"/>
  <c r="G318" i="5"/>
  <c r="G319" i="5"/>
  <c r="G320" i="5"/>
  <c r="G321" i="5"/>
  <c r="H307" i="5"/>
  <c r="H308" i="5"/>
  <c r="H230" i="5"/>
  <c r="H231" i="5"/>
  <c r="H232" i="5"/>
  <c r="H233" i="5"/>
  <c r="H249" i="5"/>
  <c r="H314" i="5"/>
  <c r="H315" i="5"/>
  <c r="H316" i="5"/>
  <c r="H317" i="5"/>
  <c r="H318" i="5"/>
  <c r="H319" i="5"/>
  <c r="H320" i="5"/>
  <c r="H321" i="5"/>
  <c r="R93" i="5" l="1"/>
  <c r="S93" i="5" s="1"/>
  <c r="R94" i="5"/>
  <c r="S94" i="5" s="1"/>
  <c r="U93" i="5"/>
  <c r="U94" i="5"/>
  <c r="V93" i="5"/>
  <c r="V94" i="5"/>
  <c r="Y93" i="5"/>
  <c r="Y94" i="5"/>
  <c r="Z93" i="5"/>
  <c r="Z94" i="5"/>
  <c r="AA93" i="5"/>
  <c r="AA94" i="5"/>
  <c r="R92" i="5"/>
  <c r="S92" i="5" s="1"/>
  <c r="U92" i="5"/>
  <c r="V92" i="5"/>
  <c r="Y92" i="5"/>
  <c r="Z92" i="5"/>
  <c r="AA92" i="5"/>
  <c r="K3" i="17" l="1"/>
  <c r="J3" i="17"/>
  <c r="K2" i="17"/>
  <c r="E313" i="5" l="1"/>
  <c r="F313" i="5"/>
  <c r="G313" i="5"/>
  <c r="H313" i="5"/>
  <c r="P3" i="23" l="1"/>
  <c r="O3" i="23"/>
  <c r="Q3" i="23" l="1"/>
  <c r="R3" i="23"/>
  <c r="P5" i="23" l="1"/>
  <c r="O5" i="23"/>
  <c r="C181" i="23"/>
  <c r="D181" i="23"/>
  <c r="D85" i="23"/>
  <c r="D103" i="23"/>
  <c r="D104" i="23"/>
  <c r="R2" i="21"/>
  <c r="S2" i="21" s="1"/>
  <c r="R3" i="21"/>
  <c r="R4" i="21"/>
  <c r="R5" i="21"/>
  <c r="S5" i="21" s="1"/>
  <c r="R6" i="21"/>
  <c r="S6" i="21" s="1"/>
  <c r="R7" i="21"/>
  <c r="R8" i="21"/>
  <c r="R9" i="21"/>
  <c r="U9" i="21" s="1"/>
  <c r="R10" i="21"/>
  <c r="S10" i="21" s="1"/>
  <c r="R11" i="21"/>
  <c r="R12" i="21"/>
  <c r="R13" i="21"/>
  <c r="S13" i="21" s="1"/>
  <c r="R14" i="21"/>
  <c r="S14" i="21" s="1"/>
  <c r="R15" i="21"/>
  <c r="R16" i="21"/>
  <c r="R17" i="21"/>
  <c r="S17" i="21" s="1"/>
  <c r="R18" i="21"/>
  <c r="S18" i="21" s="1"/>
  <c r="R19" i="21"/>
  <c r="R20" i="21"/>
  <c r="R21" i="21"/>
  <c r="S21" i="21" s="1"/>
  <c r="R22" i="21"/>
  <c r="S22" i="21" s="1"/>
  <c r="R23" i="21"/>
  <c r="R24" i="21"/>
  <c r="R25" i="21"/>
  <c r="U25" i="21" s="1"/>
  <c r="R26" i="21"/>
  <c r="S26" i="21" s="1"/>
  <c r="R27" i="21"/>
  <c r="R28" i="21"/>
  <c r="R29" i="21"/>
  <c r="S29" i="21" s="1"/>
  <c r="R30" i="21"/>
  <c r="S30" i="21" s="1"/>
  <c r="R31" i="21"/>
  <c r="T31" i="21" s="1"/>
  <c r="R32" i="21"/>
  <c r="R33" i="21"/>
  <c r="T33" i="21" s="1"/>
  <c r="R34" i="21"/>
  <c r="S34" i="21" s="1"/>
  <c r="R35" i="21"/>
  <c r="R36" i="21"/>
  <c r="R37" i="21"/>
  <c r="S37" i="21" s="1"/>
  <c r="R38" i="21"/>
  <c r="S38" i="21" s="1"/>
  <c r="R39" i="21"/>
  <c r="R40" i="21"/>
  <c r="R41" i="21"/>
  <c r="U41" i="21" s="1"/>
  <c r="R42" i="21"/>
  <c r="S42" i="21" s="1"/>
  <c r="R43" i="21"/>
  <c r="R44" i="21"/>
  <c r="R45" i="21"/>
  <c r="S45" i="21" s="1"/>
  <c r="R46" i="21"/>
  <c r="S46" i="21" s="1"/>
  <c r="R47" i="21"/>
  <c r="R48" i="21"/>
  <c r="R49" i="21"/>
  <c r="R50" i="21"/>
  <c r="S50" i="21" s="1"/>
  <c r="R51" i="21"/>
  <c r="R52" i="21"/>
  <c r="R53" i="21"/>
  <c r="R54" i="21"/>
  <c r="S54" i="21" s="1"/>
  <c r="R55" i="21"/>
  <c r="R56" i="21"/>
  <c r="R57" i="21"/>
  <c r="U57" i="21" s="1"/>
  <c r="R58" i="21"/>
  <c r="S58" i="21" s="1"/>
  <c r="R59" i="21"/>
  <c r="R60" i="21"/>
  <c r="R61" i="21"/>
  <c r="S61" i="21" s="1"/>
  <c r="R62" i="21"/>
  <c r="S62" i="21" s="1"/>
  <c r="R63" i="21"/>
  <c r="R64" i="21"/>
  <c r="R65" i="21"/>
  <c r="T65" i="21" s="1"/>
  <c r="R66" i="21"/>
  <c r="S66" i="21" s="1"/>
  <c r="R67" i="21"/>
  <c r="R68" i="21"/>
  <c r="R69" i="21"/>
  <c r="S69" i="21" s="1"/>
  <c r="R70" i="21"/>
  <c r="S70" i="21" s="1"/>
  <c r="R71" i="21"/>
  <c r="R72" i="21"/>
  <c r="R73" i="21"/>
  <c r="U73" i="21" s="1"/>
  <c r="R74" i="21"/>
  <c r="S74" i="21" s="1"/>
  <c r="R451" i="21"/>
  <c r="R452" i="21"/>
  <c r="R453" i="21"/>
  <c r="S453" i="21" s="1"/>
  <c r="R446" i="21"/>
  <c r="S446" i="21" s="1"/>
  <c r="R79" i="21"/>
  <c r="R172" i="21"/>
  <c r="R81" i="21"/>
  <c r="S81" i="21" s="1"/>
  <c r="R82" i="21"/>
  <c r="S82" i="21" s="1"/>
  <c r="R83" i="21"/>
  <c r="R84" i="21"/>
  <c r="R457" i="21"/>
  <c r="S457" i="21" s="1"/>
  <c r="R86" i="21"/>
  <c r="S86" i="21" s="1"/>
  <c r="R87" i="21"/>
  <c r="R88" i="21"/>
  <c r="R89" i="21"/>
  <c r="U89" i="21" s="1"/>
  <c r="R90" i="21"/>
  <c r="S90" i="21" s="1"/>
  <c r="R91" i="21"/>
  <c r="R92" i="21"/>
  <c r="R93" i="21"/>
  <c r="S93" i="21" s="1"/>
  <c r="R94" i="21"/>
  <c r="S94" i="21" s="1"/>
  <c r="R95" i="21"/>
  <c r="R96" i="21"/>
  <c r="R97" i="21"/>
  <c r="S97" i="21" s="1"/>
  <c r="R98" i="21"/>
  <c r="S98" i="21" s="1"/>
  <c r="R99" i="21"/>
  <c r="R100" i="21"/>
  <c r="R101" i="21"/>
  <c r="S101" i="21" s="1"/>
  <c r="R102" i="21"/>
  <c r="S102" i="21" s="1"/>
  <c r="R239" i="21"/>
  <c r="R240" i="21"/>
  <c r="R105" i="21"/>
  <c r="R106" i="21"/>
  <c r="R107" i="21"/>
  <c r="R108" i="21"/>
  <c r="R109" i="21"/>
  <c r="S109" i="21" s="1"/>
  <c r="R110" i="21"/>
  <c r="S110" i="21" s="1"/>
  <c r="R111" i="21"/>
  <c r="R112" i="21"/>
  <c r="R447" i="21"/>
  <c r="S447" i="21" s="1"/>
  <c r="R448" i="21"/>
  <c r="S448" i="21" s="1"/>
  <c r="R115" i="21"/>
  <c r="R116" i="21"/>
  <c r="R117" i="21"/>
  <c r="S117" i="21" s="1"/>
  <c r="R118" i="21"/>
  <c r="S118" i="21" s="1"/>
  <c r="R119" i="21"/>
  <c r="R120" i="21"/>
  <c r="R80" i="21"/>
  <c r="S80" i="21" s="1"/>
  <c r="R103" i="21"/>
  <c r="S103" i="21" s="1"/>
  <c r="R104" i="21"/>
  <c r="R124" i="21"/>
  <c r="R121" i="21"/>
  <c r="S121" i="21" s="1"/>
  <c r="R122" i="21"/>
  <c r="S122" i="21" s="1"/>
  <c r="R123" i="21"/>
  <c r="R125" i="21"/>
  <c r="R126" i="21"/>
  <c r="T126" i="21" s="1"/>
  <c r="R130" i="21"/>
  <c r="S130" i="21" s="1"/>
  <c r="R131" i="21"/>
  <c r="R127" i="21"/>
  <c r="R128" i="21"/>
  <c r="S128" i="21" s="1"/>
  <c r="R134" i="21"/>
  <c r="S134" i="21" s="1"/>
  <c r="R135" i="21"/>
  <c r="R136" i="21"/>
  <c r="R137" i="21"/>
  <c r="S137" i="21" s="1"/>
  <c r="R138" i="21"/>
  <c r="S138" i="21" s="1"/>
  <c r="R139" i="21"/>
  <c r="R140" i="21"/>
  <c r="R141" i="21"/>
  <c r="S141" i="21" s="1"/>
  <c r="R142" i="21"/>
  <c r="S142" i="21" s="1"/>
  <c r="R143" i="21"/>
  <c r="R144" i="21"/>
  <c r="R145" i="21"/>
  <c r="S145" i="21" s="1"/>
  <c r="R146" i="21"/>
  <c r="S146" i="21" s="1"/>
  <c r="R147" i="21"/>
  <c r="R148" i="21"/>
  <c r="R149" i="21"/>
  <c r="S149" i="21" s="1"/>
  <c r="R150" i="21"/>
  <c r="S150" i="21" s="1"/>
  <c r="R449" i="21"/>
  <c r="R450" i="21"/>
  <c r="R153" i="21"/>
  <c r="S153" i="21" s="1"/>
  <c r="R154" i="21"/>
  <c r="S154" i="21" s="1"/>
  <c r="R155" i="21"/>
  <c r="R156" i="21"/>
  <c r="R157" i="21"/>
  <c r="S157" i="21" s="1"/>
  <c r="R158" i="21"/>
  <c r="S158" i="21" s="1"/>
  <c r="R159" i="21"/>
  <c r="R129" i="21"/>
  <c r="R132" i="21"/>
  <c r="S132" i="21" s="1"/>
  <c r="R133" i="21"/>
  <c r="S133" i="21" s="1"/>
  <c r="R160" i="21"/>
  <c r="R161" i="21"/>
  <c r="S161" i="21" s="1"/>
  <c r="R162" i="21"/>
  <c r="S162" i="21" s="1"/>
  <c r="R163" i="21"/>
  <c r="S163" i="21" s="1"/>
  <c r="R164" i="21"/>
  <c r="R165" i="21"/>
  <c r="S165" i="21" s="1"/>
  <c r="R166" i="21"/>
  <c r="S166" i="21" s="1"/>
  <c r="R167" i="21"/>
  <c r="S167" i="21" s="1"/>
  <c r="R168" i="21"/>
  <c r="R169" i="21"/>
  <c r="R173" i="21"/>
  <c r="S173" i="21" s="1"/>
  <c r="R174" i="21"/>
  <c r="S174" i="21" s="1"/>
  <c r="R175" i="21"/>
  <c r="R176" i="21"/>
  <c r="R177" i="21"/>
  <c r="S177" i="21" s="1"/>
  <c r="R178" i="21"/>
  <c r="R179" i="21"/>
  <c r="R180" i="21"/>
  <c r="R181" i="21"/>
  <c r="S181" i="21" s="1"/>
  <c r="R182" i="21"/>
  <c r="S182" i="21" s="1"/>
  <c r="R183" i="21"/>
  <c r="R184" i="21"/>
  <c r="R185" i="21"/>
  <c r="R186" i="21"/>
  <c r="S186" i="21" s="1"/>
  <c r="R187" i="21"/>
  <c r="R188" i="21"/>
  <c r="S188" i="21" s="1"/>
  <c r="R189" i="21"/>
  <c r="R190" i="21"/>
  <c r="R191" i="21"/>
  <c r="R192" i="21"/>
  <c r="S192" i="21" s="1"/>
  <c r="R193" i="21"/>
  <c r="T193" i="21" s="1"/>
  <c r="R194" i="21"/>
  <c r="R195" i="21"/>
  <c r="R196" i="21"/>
  <c r="S196" i="21" s="1"/>
  <c r="R197" i="21"/>
  <c r="S197" i="21" s="1"/>
  <c r="R198" i="21"/>
  <c r="S198" i="21" s="1"/>
  <c r="R199" i="21"/>
  <c r="R200" i="21"/>
  <c r="S200" i="21" s="1"/>
  <c r="R201" i="21"/>
  <c r="S201" i="21" s="1"/>
  <c r="R202" i="21"/>
  <c r="R203" i="21"/>
  <c r="R204" i="21"/>
  <c r="R205" i="21"/>
  <c r="S205" i="21" s="1"/>
  <c r="R206" i="21"/>
  <c r="S206" i="21" s="1"/>
  <c r="R207" i="21"/>
  <c r="R208" i="21"/>
  <c r="S208" i="21" s="1"/>
  <c r="R209" i="21"/>
  <c r="S209" i="21" s="1"/>
  <c r="R210" i="21"/>
  <c r="S210" i="21" s="1"/>
  <c r="R211" i="21"/>
  <c r="R212" i="21"/>
  <c r="S212" i="21" s="1"/>
  <c r="R213" i="21"/>
  <c r="S213" i="21" s="1"/>
  <c r="R76" i="21"/>
  <c r="S76" i="21" s="1"/>
  <c r="R77" i="21"/>
  <c r="R78" i="21"/>
  <c r="S78" i="21" s="1"/>
  <c r="R85" i="21"/>
  <c r="S85" i="21" s="1"/>
  <c r="R113" i="21"/>
  <c r="S113" i="21" s="1"/>
  <c r="R114" i="21"/>
  <c r="R422" i="21"/>
  <c r="S422" i="21" s="1"/>
  <c r="R151" i="21"/>
  <c r="S151" i="21" s="1"/>
  <c r="R75" i="21"/>
  <c r="S75" i="21" s="1"/>
  <c r="R223" i="21"/>
  <c r="R224" i="21"/>
  <c r="R225" i="21"/>
  <c r="T225" i="21" s="1"/>
  <c r="R226" i="21"/>
  <c r="S226" i="21" s="1"/>
  <c r="R227" i="21"/>
  <c r="R228" i="21"/>
  <c r="S228" i="21" s="1"/>
  <c r="R229" i="21"/>
  <c r="S229" i="21" s="1"/>
  <c r="R230" i="21"/>
  <c r="S230" i="21" s="1"/>
  <c r="R231" i="21"/>
  <c r="R232" i="21"/>
  <c r="S232" i="21" s="1"/>
  <c r="R233" i="21"/>
  <c r="S233" i="21" s="1"/>
  <c r="R234" i="21"/>
  <c r="S234" i="21" s="1"/>
  <c r="R235" i="21"/>
  <c r="R236" i="21"/>
  <c r="R237" i="21"/>
  <c r="S237" i="21" s="1"/>
  <c r="R238" i="21"/>
  <c r="S238" i="21" s="1"/>
  <c r="R170" i="21"/>
  <c r="R171" i="21"/>
  <c r="S171" i="21" s="1"/>
  <c r="R241" i="21"/>
  <c r="S241" i="21" s="1"/>
  <c r="R242" i="21"/>
  <c r="S242" i="21" s="1"/>
  <c r="R243" i="21"/>
  <c r="R244" i="21"/>
  <c r="S244" i="21" s="1"/>
  <c r="R245" i="21"/>
  <c r="S245" i="21" s="1"/>
  <c r="R246" i="21"/>
  <c r="S246" i="21" s="1"/>
  <c r="R247" i="21"/>
  <c r="R248" i="21"/>
  <c r="R249" i="21"/>
  <c r="S249" i="21" s="1"/>
  <c r="R250" i="21"/>
  <c r="S250" i="21" s="1"/>
  <c r="R251" i="21"/>
  <c r="R252" i="21"/>
  <c r="S252" i="21" s="1"/>
  <c r="R253" i="21"/>
  <c r="S253" i="21" s="1"/>
  <c r="R254" i="21"/>
  <c r="S254" i="21" s="1"/>
  <c r="R255" i="21"/>
  <c r="R256" i="21"/>
  <c r="S256" i="21" s="1"/>
  <c r="R257" i="21"/>
  <c r="T257" i="21" s="1"/>
  <c r="R258" i="21"/>
  <c r="S258" i="21" s="1"/>
  <c r="R259" i="21"/>
  <c r="R260" i="21"/>
  <c r="S260" i="21" s="1"/>
  <c r="R261" i="21"/>
  <c r="S261" i="21" s="1"/>
  <c r="R262" i="21"/>
  <c r="S262" i="21" s="1"/>
  <c r="R263" i="21"/>
  <c r="R264" i="21"/>
  <c r="S264" i="21" s="1"/>
  <c r="R265" i="21"/>
  <c r="S265" i="21" s="1"/>
  <c r="R266" i="21"/>
  <c r="R267" i="21"/>
  <c r="R268" i="21"/>
  <c r="R269" i="21"/>
  <c r="S269" i="21" s="1"/>
  <c r="R270" i="21"/>
  <c r="R271" i="21"/>
  <c r="R272" i="21"/>
  <c r="S272" i="21" s="1"/>
  <c r="R273" i="21"/>
  <c r="S273" i="21" s="1"/>
  <c r="R274" i="21"/>
  <c r="R275" i="21"/>
  <c r="R276" i="21"/>
  <c r="S276" i="21" s="1"/>
  <c r="R277" i="21"/>
  <c r="S277" i="21" s="1"/>
  <c r="R278" i="21"/>
  <c r="R279" i="21"/>
  <c r="R280" i="21"/>
  <c r="S280" i="21" s="1"/>
  <c r="R281" i="21"/>
  <c r="S281" i="21" s="1"/>
  <c r="R282" i="21"/>
  <c r="R283" i="21"/>
  <c r="R284" i="21"/>
  <c r="S284" i="21" s="1"/>
  <c r="R285" i="21"/>
  <c r="S285" i="21" s="1"/>
  <c r="R286" i="21"/>
  <c r="R287" i="21"/>
  <c r="R288" i="21"/>
  <c r="T288" i="21" s="1"/>
  <c r="R289" i="21"/>
  <c r="R290" i="21"/>
  <c r="R291" i="21"/>
  <c r="S291" i="21" s="1"/>
  <c r="R292" i="21"/>
  <c r="S292" i="21" s="1"/>
  <c r="R293" i="21"/>
  <c r="R294" i="21"/>
  <c r="R295" i="21"/>
  <c r="R296" i="21"/>
  <c r="R297" i="21"/>
  <c r="R298" i="21"/>
  <c r="R299" i="21"/>
  <c r="R300" i="21"/>
  <c r="S300" i="21" s="1"/>
  <c r="R301" i="21"/>
  <c r="R302" i="21"/>
  <c r="R303" i="21"/>
  <c r="S303" i="21" s="1"/>
  <c r="R304" i="21"/>
  <c r="S304" i="21" s="1"/>
  <c r="R305" i="21"/>
  <c r="R306" i="21"/>
  <c r="R307" i="21"/>
  <c r="S307" i="21" s="1"/>
  <c r="R308" i="21"/>
  <c r="S308" i="21" s="1"/>
  <c r="R309" i="21"/>
  <c r="R310" i="21"/>
  <c r="R311" i="21"/>
  <c r="R312" i="21"/>
  <c r="R313" i="21"/>
  <c r="R314" i="21"/>
  <c r="R315" i="21"/>
  <c r="S315" i="21" s="1"/>
  <c r="R316" i="21"/>
  <c r="S316" i="21" s="1"/>
  <c r="R317" i="21"/>
  <c r="R318" i="21"/>
  <c r="R319" i="21"/>
  <c r="S319" i="21" s="1"/>
  <c r="R320" i="21"/>
  <c r="T320" i="21" s="1"/>
  <c r="D135" i="23" s="1"/>
  <c r="R321" i="21"/>
  <c r="R322" i="21"/>
  <c r="R323" i="21"/>
  <c r="S323" i="21" s="1"/>
  <c r="R324" i="21"/>
  <c r="S324" i="21" s="1"/>
  <c r="R325" i="21"/>
  <c r="R326" i="21"/>
  <c r="R327" i="21"/>
  <c r="S327" i="21" s="1"/>
  <c r="R328" i="21"/>
  <c r="S328" i="21" s="1"/>
  <c r="R329" i="21"/>
  <c r="R330" i="21"/>
  <c r="R331" i="21"/>
  <c r="R332" i="21"/>
  <c r="S332" i="21" s="1"/>
  <c r="R333" i="21"/>
  <c r="R334" i="21"/>
  <c r="R335" i="21"/>
  <c r="S335" i="21" s="1"/>
  <c r="R336" i="21"/>
  <c r="S336" i="21" s="1"/>
  <c r="R337" i="21"/>
  <c r="R338" i="21"/>
  <c r="R339" i="21"/>
  <c r="S339" i="21" s="1"/>
  <c r="R340" i="21"/>
  <c r="S340" i="21" s="1"/>
  <c r="R341" i="21"/>
  <c r="T341" i="21" s="1"/>
  <c r="R342" i="21"/>
  <c r="S342" i="21" s="1"/>
  <c r="R343" i="21"/>
  <c r="S343" i="21" s="1"/>
  <c r="R344" i="21"/>
  <c r="S344" i="21" s="1"/>
  <c r="R345" i="21"/>
  <c r="U345" i="21" s="1"/>
  <c r="R346" i="21"/>
  <c r="U346" i="21" s="1"/>
  <c r="R347" i="21"/>
  <c r="S347" i="21" s="1"/>
  <c r="R348" i="21"/>
  <c r="S348" i="21" s="1"/>
  <c r="R349" i="21"/>
  <c r="U349" i="21" s="1"/>
  <c r="R350" i="21"/>
  <c r="U350" i="21" s="1"/>
  <c r="R351" i="21"/>
  <c r="S351" i="21" s="1"/>
  <c r="R352" i="21"/>
  <c r="S352" i="21" s="1"/>
  <c r="R353" i="21"/>
  <c r="U353" i="21" s="1"/>
  <c r="R354" i="21"/>
  <c r="T354" i="21" s="1"/>
  <c r="D64" i="23" s="1"/>
  <c r="R355" i="21"/>
  <c r="S355" i="21" s="1"/>
  <c r="R356" i="21"/>
  <c r="S356" i="21" s="1"/>
  <c r="R357" i="21"/>
  <c r="U357" i="21" s="1"/>
  <c r="R358" i="21"/>
  <c r="U358" i="21" s="1"/>
  <c r="R359" i="21"/>
  <c r="S359" i="21" s="1"/>
  <c r="R360" i="21"/>
  <c r="S360" i="21" s="1"/>
  <c r="R361" i="21"/>
  <c r="U361" i="21" s="1"/>
  <c r="R362" i="21"/>
  <c r="U362" i="21" s="1"/>
  <c r="R363" i="21"/>
  <c r="S363" i="21" s="1"/>
  <c r="R364" i="21"/>
  <c r="S364" i="21" s="1"/>
  <c r="R365" i="21"/>
  <c r="T365" i="21" s="1"/>
  <c r="R366" i="21"/>
  <c r="U366" i="21" s="1"/>
  <c r="R367" i="21"/>
  <c r="S367" i="21" s="1"/>
  <c r="R368" i="21"/>
  <c r="S368" i="21" s="1"/>
  <c r="R369" i="21"/>
  <c r="U369" i="21" s="1"/>
  <c r="R370" i="21"/>
  <c r="U370" i="21" s="1"/>
  <c r="R371" i="21"/>
  <c r="S371" i="21" s="1"/>
  <c r="R377" i="21"/>
  <c r="U377" i="21" s="1"/>
  <c r="R378" i="21"/>
  <c r="S378" i="21" s="1"/>
  <c r="R379" i="21"/>
  <c r="S379" i="21" s="1"/>
  <c r="R380" i="21"/>
  <c r="S380" i="21" s="1"/>
  <c r="R381" i="21"/>
  <c r="U381" i="21" s="1"/>
  <c r="R382" i="21"/>
  <c r="U382" i="21" s="1"/>
  <c r="R383" i="21"/>
  <c r="S383" i="21" s="1"/>
  <c r="R384" i="21"/>
  <c r="S384" i="21" s="1"/>
  <c r="R385" i="21"/>
  <c r="T385" i="21" s="1"/>
  <c r="R386" i="21"/>
  <c r="U386" i="21" s="1"/>
  <c r="R387" i="21"/>
  <c r="S387" i="21" s="1"/>
  <c r="R388" i="21"/>
  <c r="S388" i="21" s="1"/>
  <c r="R389" i="21"/>
  <c r="U389" i="21" s="1"/>
  <c r="R390" i="21"/>
  <c r="U390" i="21" s="1"/>
  <c r="R391" i="21"/>
  <c r="S391" i="21" s="1"/>
  <c r="R392" i="21"/>
  <c r="S392" i="21" s="1"/>
  <c r="R393" i="21"/>
  <c r="T393" i="21" s="1"/>
  <c r="R394" i="21"/>
  <c r="T394" i="21" s="1"/>
  <c r="R395" i="21"/>
  <c r="S395" i="21" s="1"/>
  <c r="R396" i="21"/>
  <c r="R397" i="21"/>
  <c r="U397" i="21" s="1"/>
  <c r="R398" i="21"/>
  <c r="U398" i="21" s="1"/>
  <c r="R399" i="21"/>
  <c r="S399" i="21" s="1"/>
  <c r="R400" i="21"/>
  <c r="S400" i="21" s="1"/>
  <c r="R401" i="21"/>
  <c r="T401" i="21" s="1"/>
  <c r="R402" i="21"/>
  <c r="U402" i="21" s="1"/>
  <c r="R403" i="21"/>
  <c r="S403" i="21" s="1"/>
  <c r="R404" i="21"/>
  <c r="S404" i="21" s="1"/>
  <c r="R405" i="21"/>
  <c r="U405" i="21" s="1"/>
  <c r="R406" i="21"/>
  <c r="U406" i="21" s="1"/>
  <c r="R407" i="21"/>
  <c r="S407" i="21" s="1"/>
  <c r="R408" i="21"/>
  <c r="S408" i="21" s="1"/>
  <c r="R409" i="21"/>
  <c r="U409" i="21" s="1"/>
  <c r="R410" i="21"/>
  <c r="U410" i="21" s="1"/>
  <c r="R411" i="21"/>
  <c r="S411" i="21" s="1"/>
  <c r="R412" i="21"/>
  <c r="S412" i="21" s="1"/>
  <c r="R413" i="21"/>
  <c r="U413" i="21" s="1"/>
  <c r="R414" i="21"/>
  <c r="S414" i="21" s="1"/>
  <c r="R415" i="21"/>
  <c r="S415" i="21" s="1"/>
  <c r="R416" i="21"/>
  <c r="S416" i="21" s="1"/>
  <c r="R417" i="21"/>
  <c r="T417" i="21" s="1"/>
  <c r="R418" i="21"/>
  <c r="T418" i="21" s="1"/>
  <c r="R419" i="21"/>
  <c r="S419" i="21" s="1"/>
  <c r="R420" i="21"/>
  <c r="S420" i="21" s="1"/>
  <c r="R433" i="21"/>
  <c r="U433" i="21" s="1"/>
  <c r="R434" i="21"/>
  <c r="U434" i="21" s="1"/>
  <c r="R435" i="21"/>
  <c r="S435" i="21" s="1"/>
  <c r="R436" i="21"/>
  <c r="S436" i="21" s="1"/>
  <c r="R437" i="21"/>
  <c r="T437" i="21" s="1"/>
  <c r="R438" i="21"/>
  <c r="U438" i="21" s="1"/>
  <c r="R439" i="21"/>
  <c r="S439" i="21" s="1"/>
  <c r="R440" i="21"/>
  <c r="S440" i="21" s="1"/>
  <c r="R441" i="21"/>
  <c r="U441" i="21" s="1"/>
  <c r="R430" i="21"/>
  <c r="U430" i="21" s="1"/>
  <c r="R431" i="21"/>
  <c r="S431" i="21" s="1"/>
  <c r="R442" i="21"/>
  <c r="T442" i="21" s="1"/>
  <c r="R444" i="21"/>
  <c r="U444" i="21" s="1"/>
  <c r="R423" i="21"/>
  <c r="U423" i="21" s="1"/>
  <c r="R424" i="21"/>
  <c r="S424" i="21" s="1"/>
  <c r="R425" i="21"/>
  <c r="S425" i="21" s="1"/>
  <c r="R426" i="21"/>
  <c r="U426" i="21" s="1"/>
  <c r="R445" i="21"/>
  <c r="U445" i="21" s="1"/>
  <c r="R427" i="21"/>
  <c r="S427" i="21" s="1"/>
  <c r="R428" i="21"/>
  <c r="S428" i="21" s="1"/>
  <c r="R429" i="21"/>
  <c r="U429" i="21" s="1"/>
  <c r="R432" i="21"/>
  <c r="U432" i="21" s="1"/>
  <c r="R443" i="21"/>
  <c r="T443" i="21" s="1"/>
  <c r="R152" i="21"/>
  <c r="S152" i="21" s="1"/>
  <c r="R214" i="21"/>
  <c r="U214" i="21" s="1"/>
  <c r="R215" i="21"/>
  <c r="U215" i="21" s="1"/>
  <c r="R216" i="21"/>
  <c r="S216" i="21" s="1"/>
  <c r="R217" i="21"/>
  <c r="T217" i="21" s="1"/>
  <c r="R218" i="21"/>
  <c r="U218" i="21" s="1"/>
  <c r="R219" i="21"/>
  <c r="U219" i="21" s="1"/>
  <c r="R220" i="21"/>
  <c r="S220" i="21" s="1"/>
  <c r="R221" i="21"/>
  <c r="S221" i="21" s="1"/>
  <c r="R222" i="21"/>
  <c r="T222" i="21" s="1"/>
  <c r="R454" i="21"/>
  <c r="U454" i="21" s="1"/>
  <c r="R455" i="21"/>
  <c r="S455" i="21" s="1"/>
  <c r="R456" i="21"/>
  <c r="S456" i="21" s="1"/>
  <c r="R421" i="21"/>
  <c r="U421" i="21" s="1"/>
  <c r="R458" i="21"/>
  <c r="U458" i="21" s="1"/>
  <c r="R459" i="21"/>
  <c r="T459" i="21" s="1"/>
  <c r="R460" i="21"/>
  <c r="S460" i="21" s="1"/>
  <c r="R461" i="21"/>
  <c r="U461" i="21" s="1"/>
  <c r="Q5" i="23" l="1"/>
  <c r="R5" i="23"/>
  <c r="S296" i="21"/>
  <c r="S49" i="21"/>
  <c r="S312" i="21"/>
  <c r="S185" i="21"/>
  <c r="S311" i="21"/>
  <c r="S180" i="21"/>
  <c r="S295" i="21"/>
  <c r="S287" i="21"/>
  <c r="S248" i="21"/>
  <c r="S224" i="21"/>
  <c r="S184" i="21"/>
  <c r="S313" i="21"/>
  <c r="S297" i="21"/>
  <c r="S293" i="21"/>
  <c r="S202" i="21"/>
  <c r="S194" i="21"/>
  <c r="S190" i="21"/>
  <c r="S178" i="21"/>
  <c r="S189" i="21"/>
  <c r="S53" i="21"/>
  <c r="S298" i="21"/>
  <c r="S247" i="21"/>
  <c r="S203" i="21"/>
  <c r="S191" i="21"/>
  <c r="S183" i="21"/>
  <c r="S55" i="21"/>
  <c r="S51" i="21"/>
  <c r="S33" i="21"/>
  <c r="S288" i="21"/>
  <c r="S225" i="21"/>
  <c r="S320" i="21"/>
  <c r="S257" i="21"/>
  <c r="S193" i="21"/>
  <c r="S126" i="21"/>
  <c r="S65" i="21"/>
  <c r="U330" i="21"/>
  <c r="S330" i="21"/>
  <c r="U322" i="21"/>
  <c r="S322" i="21"/>
  <c r="U310" i="21"/>
  <c r="S310" i="21"/>
  <c r="U302" i="21"/>
  <c r="S302" i="21"/>
  <c r="U290" i="21"/>
  <c r="S290" i="21"/>
  <c r="T279" i="21"/>
  <c r="S279" i="21"/>
  <c r="U271" i="21"/>
  <c r="S271" i="21"/>
  <c r="U259" i="21"/>
  <c r="S259" i="21"/>
  <c r="U235" i="21"/>
  <c r="S235" i="21"/>
  <c r="U227" i="21"/>
  <c r="D162" i="23" s="1"/>
  <c r="S227" i="21"/>
  <c r="T77" i="21"/>
  <c r="S77" i="21"/>
  <c r="U195" i="21"/>
  <c r="S195" i="21"/>
  <c r="U168" i="21"/>
  <c r="D129" i="23" s="1"/>
  <c r="S168" i="21"/>
  <c r="T159" i="21"/>
  <c r="S159" i="21"/>
  <c r="U449" i="21"/>
  <c r="S449" i="21"/>
  <c r="U139" i="21"/>
  <c r="S139" i="21"/>
  <c r="U123" i="21"/>
  <c r="S123" i="21"/>
  <c r="U119" i="21"/>
  <c r="S119" i="21"/>
  <c r="U95" i="21"/>
  <c r="S95" i="21"/>
  <c r="T87" i="21"/>
  <c r="S87" i="21"/>
  <c r="T451" i="21"/>
  <c r="S451" i="21"/>
  <c r="U63" i="21"/>
  <c r="S63" i="21"/>
  <c r="U39" i="21"/>
  <c r="D139" i="23" s="1"/>
  <c r="S39" i="21"/>
  <c r="U27" i="21"/>
  <c r="S27" i="21"/>
  <c r="U19" i="21"/>
  <c r="S19" i="21"/>
  <c r="U7" i="21"/>
  <c r="S7" i="21"/>
  <c r="S443" i="21"/>
  <c r="U333" i="21"/>
  <c r="S333" i="21"/>
  <c r="U325" i="21"/>
  <c r="S325" i="21"/>
  <c r="U317" i="21"/>
  <c r="S317" i="21"/>
  <c r="U305" i="21"/>
  <c r="S305" i="21"/>
  <c r="U274" i="21"/>
  <c r="S274" i="21"/>
  <c r="S458" i="21"/>
  <c r="S454" i="21"/>
  <c r="S219" i="21"/>
  <c r="S215" i="21"/>
  <c r="S432" i="21"/>
  <c r="S445" i="21"/>
  <c r="S423" i="21"/>
  <c r="S430" i="21"/>
  <c r="S438" i="21"/>
  <c r="S434" i="21"/>
  <c r="S418" i="21"/>
  <c r="S410" i="21"/>
  <c r="S406" i="21"/>
  <c r="S402" i="21"/>
  <c r="S398" i="21"/>
  <c r="S394" i="21"/>
  <c r="S390" i="21"/>
  <c r="S386" i="21"/>
  <c r="S382" i="21"/>
  <c r="S370" i="21"/>
  <c r="S366" i="21"/>
  <c r="S362" i="21"/>
  <c r="S358" i="21"/>
  <c r="S354" i="21"/>
  <c r="S350" i="21"/>
  <c r="S346" i="21"/>
  <c r="U338" i="21"/>
  <c r="S338" i="21"/>
  <c r="U326" i="21"/>
  <c r="S326" i="21"/>
  <c r="U306" i="21"/>
  <c r="S306" i="21"/>
  <c r="U294" i="21"/>
  <c r="S294" i="21"/>
  <c r="U283" i="21"/>
  <c r="S283" i="21"/>
  <c r="U263" i="21"/>
  <c r="S263" i="21"/>
  <c r="U251" i="21"/>
  <c r="S251" i="21"/>
  <c r="U170" i="21"/>
  <c r="S170" i="21"/>
  <c r="U114" i="21"/>
  <c r="S114" i="21"/>
  <c r="U207" i="21"/>
  <c r="S207" i="21"/>
  <c r="U175" i="21"/>
  <c r="D153" i="23" s="1"/>
  <c r="S175" i="21"/>
  <c r="U160" i="21"/>
  <c r="D121" i="23" s="1"/>
  <c r="S160" i="21"/>
  <c r="U143" i="21"/>
  <c r="S143" i="21"/>
  <c r="U131" i="21"/>
  <c r="S131" i="21"/>
  <c r="U115" i="21"/>
  <c r="S115" i="21"/>
  <c r="U99" i="21"/>
  <c r="D180" i="23" s="1"/>
  <c r="S99" i="21"/>
  <c r="U83" i="21"/>
  <c r="S83" i="21"/>
  <c r="U67" i="21"/>
  <c r="S67" i="21"/>
  <c r="U47" i="21"/>
  <c r="S47" i="21"/>
  <c r="U35" i="21"/>
  <c r="S35" i="21"/>
  <c r="T23" i="21"/>
  <c r="S23" i="21"/>
  <c r="T11" i="21"/>
  <c r="S11" i="21"/>
  <c r="S459" i="21"/>
  <c r="U329" i="21"/>
  <c r="S329" i="21"/>
  <c r="U309" i="21"/>
  <c r="S309" i="21"/>
  <c r="U282" i="21"/>
  <c r="S282" i="21"/>
  <c r="U266" i="21"/>
  <c r="S266" i="21"/>
  <c r="S461" i="21"/>
  <c r="S421" i="21"/>
  <c r="S222" i="21"/>
  <c r="S218" i="21"/>
  <c r="S214" i="21"/>
  <c r="S429" i="21"/>
  <c r="S426" i="21"/>
  <c r="S444" i="21"/>
  <c r="S441" i="21"/>
  <c r="S437" i="21"/>
  <c r="S433" i="21"/>
  <c r="S417" i="21"/>
  <c r="S413" i="21"/>
  <c r="S409" i="21"/>
  <c r="S405" i="21"/>
  <c r="S401" i="21"/>
  <c r="S397" i="21"/>
  <c r="S393" i="21"/>
  <c r="S389" i="21"/>
  <c r="S385" i="21"/>
  <c r="S381" i="21"/>
  <c r="S377" i="21"/>
  <c r="S369" i="21"/>
  <c r="S365" i="21"/>
  <c r="S361" i="21"/>
  <c r="S357" i="21"/>
  <c r="S353" i="21"/>
  <c r="S349" i="21"/>
  <c r="S345" i="21"/>
  <c r="S341" i="21"/>
  <c r="S89" i="21"/>
  <c r="S73" i="21"/>
  <c r="S57" i="21"/>
  <c r="S41" i="21"/>
  <c r="S25" i="21"/>
  <c r="S9" i="21"/>
  <c r="U334" i="21"/>
  <c r="S334" i="21"/>
  <c r="U318" i="21"/>
  <c r="S318" i="21"/>
  <c r="U314" i="21"/>
  <c r="S314" i="21"/>
  <c r="U286" i="21"/>
  <c r="S286" i="21"/>
  <c r="U275" i="21"/>
  <c r="S275" i="21"/>
  <c r="U267" i="21"/>
  <c r="S267" i="21"/>
  <c r="U255" i="21"/>
  <c r="S255" i="21"/>
  <c r="U243" i="21"/>
  <c r="S243" i="21"/>
  <c r="U231" i="21"/>
  <c r="S231" i="21"/>
  <c r="U223" i="21"/>
  <c r="S223" i="21"/>
  <c r="U211" i="21"/>
  <c r="S211" i="21"/>
  <c r="U199" i="21"/>
  <c r="S199" i="21"/>
  <c r="U187" i="21"/>
  <c r="S187" i="21"/>
  <c r="U179" i="21"/>
  <c r="S179" i="21"/>
  <c r="U164" i="21"/>
  <c r="D125" i="23" s="1"/>
  <c r="S164" i="21"/>
  <c r="T155" i="21"/>
  <c r="S155" i="21"/>
  <c r="U147" i="21"/>
  <c r="S147" i="21"/>
  <c r="U135" i="21"/>
  <c r="S135" i="21"/>
  <c r="U104" i="21"/>
  <c r="S104" i="21"/>
  <c r="U111" i="21"/>
  <c r="D186" i="23" s="1"/>
  <c r="S111" i="21"/>
  <c r="U239" i="21"/>
  <c r="S239" i="21"/>
  <c r="U91" i="21"/>
  <c r="S91" i="21"/>
  <c r="T79" i="21"/>
  <c r="S79" i="21"/>
  <c r="U71" i="21"/>
  <c r="S71" i="21"/>
  <c r="U59" i="21"/>
  <c r="S59" i="21"/>
  <c r="T43" i="21"/>
  <c r="S43" i="21"/>
  <c r="U31" i="21"/>
  <c r="D106" i="23" s="1"/>
  <c r="S31" i="21"/>
  <c r="U15" i="21"/>
  <c r="S15" i="21"/>
  <c r="U3" i="21"/>
  <c r="S3" i="21"/>
  <c r="U337" i="21"/>
  <c r="S337" i="21"/>
  <c r="U321" i="21"/>
  <c r="S321" i="21"/>
  <c r="U301" i="21"/>
  <c r="S301" i="21"/>
  <c r="U289" i="21"/>
  <c r="S289" i="21"/>
  <c r="U278" i="21"/>
  <c r="S278" i="21"/>
  <c r="U270" i="21"/>
  <c r="S270" i="21"/>
  <c r="T331" i="21"/>
  <c r="S331" i="21"/>
  <c r="T299" i="21"/>
  <c r="S299" i="21"/>
  <c r="T268" i="21"/>
  <c r="S268" i="21"/>
  <c r="T236" i="21"/>
  <c r="S236" i="21"/>
  <c r="T204" i="21"/>
  <c r="S204" i="21"/>
  <c r="S176" i="21"/>
  <c r="S169" i="21"/>
  <c r="T129" i="21"/>
  <c r="S129" i="21"/>
  <c r="T156" i="21"/>
  <c r="S156" i="21"/>
  <c r="U450" i="21"/>
  <c r="S450" i="21"/>
  <c r="U148" i="21"/>
  <c r="S148" i="21"/>
  <c r="U144" i="21"/>
  <c r="S144" i="21"/>
  <c r="T140" i="21"/>
  <c r="S140" i="21"/>
  <c r="U136" i="21"/>
  <c r="S136" i="21"/>
  <c r="U127" i="21"/>
  <c r="S127" i="21"/>
  <c r="T125" i="21"/>
  <c r="S125" i="21"/>
  <c r="T124" i="21"/>
  <c r="S124" i="21"/>
  <c r="U120" i="21"/>
  <c r="S120" i="21"/>
  <c r="U116" i="21"/>
  <c r="S116" i="21"/>
  <c r="T108" i="21"/>
  <c r="S108" i="21"/>
  <c r="U240" i="21"/>
  <c r="S240" i="21"/>
  <c r="U100" i="21"/>
  <c r="S100" i="21"/>
  <c r="T96" i="21"/>
  <c r="S96" i="21"/>
  <c r="U92" i="21"/>
  <c r="D176" i="23" s="1"/>
  <c r="S92" i="21"/>
  <c r="U88" i="21"/>
  <c r="S88" i="21"/>
  <c r="U84" i="21"/>
  <c r="S84" i="21"/>
  <c r="U172" i="21"/>
  <c r="S172" i="21"/>
  <c r="T452" i="21"/>
  <c r="S452" i="21"/>
  <c r="U72" i="21"/>
  <c r="S72" i="21"/>
  <c r="U68" i="21"/>
  <c r="S68" i="21"/>
  <c r="T64" i="21"/>
  <c r="S64" i="21"/>
  <c r="U60" i="21"/>
  <c r="S60" i="21"/>
  <c r="U56" i="21"/>
  <c r="S56" i="21"/>
  <c r="U52" i="21"/>
  <c r="S52" i="21"/>
  <c r="U48" i="21"/>
  <c r="S48" i="21"/>
  <c r="T44" i="21"/>
  <c r="S44" i="21"/>
  <c r="U40" i="21"/>
  <c r="S40" i="21"/>
  <c r="U36" i="21"/>
  <c r="S36" i="21"/>
  <c r="T32" i="21"/>
  <c r="S32" i="21"/>
  <c r="U28" i="21"/>
  <c r="S28" i="21"/>
  <c r="U24" i="21"/>
  <c r="S24" i="21"/>
  <c r="U20" i="21"/>
  <c r="S20" i="21"/>
  <c r="U16" i="21"/>
  <c r="S16" i="21"/>
  <c r="T12" i="21"/>
  <c r="S12" i="21"/>
  <c r="U8" i="21"/>
  <c r="S8" i="21"/>
  <c r="U4" i="21"/>
  <c r="S4" i="21"/>
  <c r="S217" i="21"/>
  <c r="S442" i="21"/>
  <c r="T68" i="21"/>
  <c r="T223" i="21"/>
  <c r="T24" i="21"/>
  <c r="U129" i="21"/>
  <c r="D118" i="23" s="1"/>
  <c r="T88" i="21"/>
  <c r="T57" i="21"/>
  <c r="T8" i="21"/>
  <c r="U96" i="21"/>
  <c r="D177" i="23" s="1"/>
  <c r="T84" i="21"/>
  <c r="T56" i="21"/>
  <c r="U222" i="21"/>
  <c r="U64" i="21"/>
  <c r="D175" i="23" s="1"/>
  <c r="T72" i="21"/>
  <c r="T40" i="21"/>
  <c r="U299" i="21"/>
  <c r="D74" i="23" s="1"/>
  <c r="P8" i="23" s="1"/>
  <c r="U32" i="21"/>
  <c r="T243" i="21"/>
  <c r="T115" i="21"/>
  <c r="T15" i="21"/>
  <c r="T227" i="21"/>
  <c r="T160" i="21"/>
  <c r="T240" i="21"/>
  <c r="U442" i="21"/>
  <c r="U257" i="21"/>
  <c r="U140" i="21"/>
  <c r="U87" i="21"/>
  <c r="U23" i="21"/>
  <c r="T179" i="21"/>
  <c r="T47" i="21"/>
  <c r="T211" i="21"/>
  <c r="T147" i="21"/>
  <c r="T100" i="21"/>
  <c r="T83" i="21"/>
  <c r="T67" i="21"/>
  <c r="T52" i="21"/>
  <c r="T36" i="21"/>
  <c r="T20" i="21"/>
  <c r="T4" i="21"/>
  <c r="U401" i="21"/>
  <c r="U77" i="21"/>
  <c r="U125" i="21"/>
  <c r="U452" i="21"/>
  <c r="U44" i="21"/>
  <c r="D161" i="23" s="1"/>
  <c r="U12" i="21"/>
  <c r="T259" i="21"/>
  <c r="T195" i="21"/>
  <c r="T131" i="21"/>
  <c r="T95" i="21"/>
  <c r="T63" i="21"/>
  <c r="T35" i="21"/>
  <c r="T19" i="21"/>
  <c r="T3" i="21"/>
  <c r="U169" i="21"/>
  <c r="D130" i="23" s="1"/>
  <c r="U108" i="21"/>
  <c r="U451" i="21"/>
  <c r="U43" i="21"/>
  <c r="U11" i="21"/>
  <c r="U414" i="21"/>
  <c r="U378" i="21"/>
  <c r="U258" i="21"/>
  <c r="T258" i="21"/>
  <c r="U250" i="21"/>
  <c r="T250" i="21"/>
  <c r="U238" i="21"/>
  <c r="T238" i="21"/>
  <c r="U75" i="21"/>
  <c r="T75" i="21"/>
  <c r="U210" i="21"/>
  <c r="T210" i="21"/>
  <c r="U198" i="21"/>
  <c r="T198" i="21"/>
  <c r="U186" i="21"/>
  <c r="T186" i="21"/>
  <c r="U174" i="21"/>
  <c r="D152" i="23" s="1"/>
  <c r="T174" i="21"/>
  <c r="U163" i="21"/>
  <c r="D124" i="23" s="1"/>
  <c r="T163" i="21"/>
  <c r="U158" i="21"/>
  <c r="D140" i="23" s="1"/>
  <c r="T158" i="21"/>
  <c r="U146" i="21"/>
  <c r="T146" i="21"/>
  <c r="U134" i="21"/>
  <c r="T134" i="21"/>
  <c r="U118" i="21"/>
  <c r="T118" i="21"/>
  <c r="U110" i="21"/>
  <c r="T110" i="21"/>
  <c r="U98" i="21"/>
  <c r="D179" i="23" s="1"/>
  <c r="T98" i="21"/>
  <c r="U86" i="21"/>
  <c r="T86" i="21"/>
  <c r="U74" i="21"/>
  <c r="T74" i="21"/>
  <c r="U54" i="21"/>
  <c r="D43" i="23" s="1"/>
  <c r="T54" i="21"/>
  <c r="U42" i="21"/>
  <c r="T42" i="21"/>
  <c r="U34" i="21"/>
  <c r="T34" i="21"/>
  <c r="U18" i="21"/>
  <c r="T18" i="21"/>
  <c r="U6" i="21"/>
  <c r="T6" i="21"/>
  <c r="T215" i="21"/>
  <c r="T434" i="21"/>
  <c r="T414" i="21"/>
  <c r="T390" i="21"/>
  <c r="T357" i="21"/>
  <c r="T333" i="21"/>
  <c r="T317" i="21"/>
  <c r="T278" i="21"/>
  <c r="U341" i="21"/>
  <c r="T364" i="21"/>
  <c r="U364" i="21"/>
  <c r="T356" i="21"/>
  <c r="U356" i="21"/>
  <c r="U344" i="21"/>
  <c r="T344" i="21"/>
  <c r="U332" i="21"/>
  <c r="T332" i="21"/>
  <c r="U324" i="21"/>
  <c r="T324" i="21"/>
  <c r="U316" i="21"/>
  <c r="T316" i="21"/>
  <c r="T308" i="21"/>
  <c r="U308" i="21"/>
  <c r="U300" i="21"/>
  <c r="T300" i="21"/>
  <c r="U292" i="21"/>
  <c r="T292" i="21"/>
  <c r="U285" i="21"/>
  <c r="T285" i="21"/>
  <c r="T277" i="21"/>
  <c r="U277" i="21"/>
  <c r="U269" i="21"/>
  <c r="T269" i="21"/>
  <c r="U265" i="21"/>
  <c r="T265" i="21"/>
  <c r="U261" i="21"/>
  <c r="T261" i="21"/>
  <c r="U253" i="21"/>
  <c r="T253" i="21"/>
  <c r="U249" i="21"/>
  <c r="T249" i="21"/>
  <c r="T245" i="21"/>
  <c r="U245" i="21"/>
  <c r="U241" i="21"/>
  <c r="T241" i="21"/>
  <c r="U237" i="21"/>
  <c r="T237" i="21"/>
  <c r="U233" i="21"/>
  <c r="T233" i="21"/>
  <c r="U229" i="21"/>
  <c r="T229" i="21"/>
  <c r="U151" i="21"/>
  <c r="T151" i="21"/>
  <c r="U85" i="21"/>
  <c r="T85" i="21"/>
  <c r="T213" i="21"/>
  <c r="U213" i="21"/>
  <c r="U209" i="21"/>
  <c r="T209" i="21"/>
  <c r="U205" i="21"/>
  <c r="T205" i="21"/>
  <c r="U201" i="21"/>
  <c r="T201" i="21"/>
  <c r="U197" i="21"/>
  <c r="T197" i="21"/>
  <c r="T181" i="21"/>
  <c r="U181" i="21"/>
  <c r="U177" i="21"/>
  <c r="T177" i="21"/>
  <c r="U173" i="21"/>
  <c r="D151" i="23" s="1"/>
  <c r="T173" i="21"/>
  <c r="U166" i="21"/>
  <c r="D127" i="23" s="1"/>
  <c r="T166" i="21"/>
  <c r="U162" i="21"/>
  <c r="D123" i="23" s="1"/>
  <c r="T162" i="21"/>
  <c r="T132" i="21"/>
  <c r="U157" i="21"/>
  <c r="D150" i="23" s="1"/>
  <c r="T157" i="21"/>
  <c r="U153" i="21"/>
  <c r="T153" i="21"/>
  <c r="T149" i="21"/>
  <c r="U149" i="21"/>
  <c r="U145" i="21"/>
  <c r="T145" i="21"/>
  <c r="U141" i="21"/>
  <c r="T141" i="21"/>
  <c r="U137" i="21"/>
  <c r="T137" i="21"/>
  <c r="U128" i="21"/>
  <c r="T128" i="21"/>
  <c r="U121" i="21"/>
  <c r="T121" i="21"/>
  <c r="U80" i="21"/>
  <c r="T80" i="21"/>
  <c r="T117" i="21"/>
  <c r="U117" i="21"/>
  <c r="U447" i="21"/>
  <c r="T447" i="21"/>
  <c r="U109" i="21"/>
  <c r="D187" i="23" s="1"/>
  <c r="T109" i="21"/>
  <c r="U101" i="21"/>
  <c r="T101" i="21"/>
  <c r="T97" i="21"/>
  <c r="U93" i="21"/>
  <c r="T93" i="21"/>
  <c r="T457" i="21"/>
  <c r="U457" i="21"/>
  <c r="U81" i="21"/>
  <c r="T81" i="21"/>
  <c r="U453" i="21"/>
  <c r="T453" i="21"/>
  <c r="U69" i="21"/>
  <c r="D149" i="23" s="1"/>
  <c r="T69" i="21"/>
  <c r="U61" i="21"/>
  <c r="T61" i="21"/>
  <c r="U45" i="21"/>
  <c r="T45" i="21"/>
  <c r="U37" i="21"/>
  <c r="T37" i="21"/>
  <c r="U29" i="21"/>
  <c r="T29" i="21"/>
  <c r="D184" i="23" s="1"/>
  <c r="T21" i="21"/>
  <c r="U21" i="21"/>
  <c r="U17" i="21"/>
  <c r="T17" i="21"/>
  <c r="U13" i="21"/>
  <c r="T13" i="21"/>
  <c r="U5" i="21"/>
  <c r="T5" i="21"/>
  <c r="T461" i="21"/>
  <c r="T214" i="21"/>
  <c r="T426" i="21"/>
  <c r="T441" i="21"/>
  <c r="T433" i="21"/>
  <c r="T413" i="21"/>
  <c r="T405" i="21"/>
  <c r="T397" i="21"/>
  <c r="T389" i="21"/>
  <c r="T381" i="21"/>
  <c r="T370" i="21"/>
  <c r="T362" i="21"/>
  <c r="T346" i="21"/>
  <c r="T338" i="21"/>
  <c r="T330" i="21"/>
  <c r="T322" i="21"/>
  <c r="T314" i="21"/>
  <c r="T306" i="21"/>
  <c r="T290" i="21"/>
  <c r="T283" i="21"/>
  <c r="T275" i="21"/>
  <c r="T267" i="21"/>
  <c r="T255" i="21"/>
  <c r="T170" i="21"/>
  <c r="T207" i="21"/>
  <c r="T175" i="21"/>
  <c r="T143" i="21"/>
  <c r="T123" i="21"/>
  <c r="T111" i="21"/>
  <c r="T41" i="21"/>
  <c r="U217" i="21"/>
  <c r="U437" i="21"/>
  <c r="U393" i="21"/>
  <c r="U365" i="21"/>
  <c r="U331" i="21"/>
  <c r="U288" i="21"/>
  <c r="U204" i="21"/>
  <c r="U132" i="21"/>
  <c r="D119" i="23" s="1"/>
  <c r="U126" i="21"/>
  <c r="U97" i="21"/>
  <c r="D178" i="23" s="1"/>
  <c r="U262" i="21"/>
  <c r="T262" i="21"/>
  <c r="U254" i="21"/>
  <c r="T254" i="21"/>
  <c r="U242" i="21"/>
  <c r="T242" i="21"/>
  <c r="U230" i="21"/>
  <c r="T230" i="21"/>
  <c r="U113" i="21"/>
  <c r="T113" i="21"/>
  <c r="U206" i="21"/>
  <c r="T206" i="21"/>
  <c r="U182" i="21"/>
  <c r="T182" i="21"/>
  <c r="U167" i="21"/>
  <c r="D128" i="23" s="1"/>
  <c r="T167" i="21"/>
  <c r="U150" i="21"/>
  <c r="T150" i="21"/>
  <c r="U138" i="21"/>
  <c r="T138" i="21"/>
  <c r="U122" i="21"/>
  <c r="T122" i="21"/>
  <c r="U448" i="21"/>
  <c r="T448" i="21"/>
  <c r="U102" i="21"/>
  <c r="T102" i="21"/>
  <c r="U90" i="21"/>
  <c r="T90" i="21"/>
  <c r="U446" i="21"/>
  <c r="T446" i="21"/>
  <c r="U66" i="21"/>
  <c r="T66" i="21"/>
  <c r="U62" i="21"/>
  <c r="T62" i="21"/>
  <c r="U58" i="21"/>
  <c r="T58" i="21"/>
  <c r="T38" i="21"/>
  <c r="U26" i="21"/>
  <c r="T26" i="21"/>
  <c r="U14" i="21"/>
  <c r="T14" i="21"/>
  <c r="U10" i="21"/>
  <c r="T10" i="21"/>
  <c r="T454" i="21"/>
  <c r="T430" i="21"/>
  <c r="T398" i="21"/>
  <c r="T301" i="21"/>
  <c r="U368" i="21"/>
  <c r="T368" i="21"/>
  <c r="U352" i="21"/>
  <c r="T352" i="21"/>
  <c r="T340" i="21"/>
  <c r="U340" i="21"/>
  <c r="U328" i="21"/>
  <c r="T328" i="21"/>
  <c r="U304" i="21"/>
  <c r="T304" i="21"/>
  <c r="U281" i="21"/>
  <c r="T281" i="21"/>
  <c r="U273" i="21"/>
  <c r="T273" i="21"/>
  <c r="U460" i="21"/>
  <c r="T460" i="21"/>
  <c r="U456" i="21"/>
  <c r="T456" i="21"/>
  <c r="T221" i="21"/>
  <c r="U221" i="21"/>
  <c r="U152" i="21"/>
  <c r="T152" i="21"/>
  <c r="U428" i="21"/>
  <c r="T428" i="21"/>
  <c r="T425" i="21"/>
  <c r="U425" i="21"/>
  <c r="U440" i="21"/>
  <c r="T440" i="21"/>
  <c r="T436" i="21"/>
  <c r="U436" i="21"/>
  <c r="U420" i="21"/>
  <c r="T420" i="21"/>
  <c r="T416" i="21"/>
  <c r="U416" i="21"/>
  <c r="U412" i="21"/>
  <c r="T412" i="21"/>
  <c r="T408" i="21"/>
  <c r="U408" i="21"/>
  <c r="U404" i="21"/>
  <c r="D143" i="23" s="1"/>
  <c r="T404" i="21"/>
  <c r="T400" i="21"/>
  <c r="U400" i="21"/>
  <c r="T392" i="21"/>
  <c r="U392" i="21"/>
  <c r="U388" i="21"/>
  <c r="T388" i="21"/>
  <c r="T384" i="21"/>
  <c r="U384" i="21"/>
  <c r="U380" i="21"/>
  <c r="T380" i="21"/>
  <c r="U371" i="21"/>
  <c r="D36" i="23" s="1"/>
  <c r="T371" i="21"/>
  <c r="U367" i="21"/>
  <c r="T367" i="21"/>
  <c r="U363" i="21"/>
  <c r="T363" i="21"/>
  <c r="U359" i="21"/>
  <c r="T359" i="21"/>
  <c r="U355" i="21"/>
  <c r="T355" i="21"/>
  <c r="U351" i="21"/>
  <c r="T351" i="21"/>
  <c r="U347" i="21"/>
  <c r="T347" i="21"/>
  <c r="U343" i="21"/>
  <c r="T343" i="21"/>
  <c r="U339" i="21"/>
  <c r="T339" i="21"/>
  <c r="U335" i="21"/>
  <c r="T335" i="21"/>
  <c r="U327" i="21"/>
  <c r="T327" i="21"/>
  <c r="U323" i="21"/>
  <c r="T323" i="21"/>
  <c r="T319" i="21"/>
  <c r="U319" i="21"/>
  <c r="T315" i="21"/>
  <c r="U315" i="21"/>
  <c r="U307" i="21"/>
  <c r="T307" i="21"/>
  <c r="U303" i="21"/>
  <c r="T303" i="21"/>
  <c r="U291" i="21"/>
  <c r="T291" i="21"/>
  <c r="T284" i="21"/>
  <c r="U284" i="21"/>
  <c r="U280" i="21"/>
  <c r="T280" i="21"/>
  <c r="U276" i="21"/>
  <c r="T276" i="21"/>
  <c r="U272" i="21"/>
  <c r="T272" i="21"/>
  <c r="U264" i="21"/>
  <c r="T264" i="21"/>
  <c r="U260" i="21"/>
  <c r="T260" i="21"/>
  <c r="T256" i="21"/>
  <c r="U256" i="21"/>
  <c r="T252" i="21"/>
  <c r="U252" i="21"/>
  <c r="U244" i="21"/>
  <c r="T244" i="21"/>
  <c r="U171" i="21"/>
  <c r="T171" i="21"/>
  <c r="U232" i="21"/>
  <c r="T232" i="21"/>
  <c r="U228" i="21"/>
  <c r="T228" i="21"/>
  <c r="T422" i="21"/>
  <c r="U422" i="21"/>
  <c r="U78" i="21"/>
  <c r="T78" i="21"/>
  <c r="U212" i="21"/>
  <c r="T212" i="21"/>
  <c r="U208" i="21"/>
  <c r="T208" i="21"/>
  <c r="U200" i="21"/>
  <c r="T200" i="21"/>
  <c r="U196" i="21"/>
  <c r="T196" i="21"/>
  <c r="T192" i="21"/>
  <c r="U192" i="21"/>
  <c r="T188" i="21"/>
  <c r="U188" i="21"/>
  <c r="T458" i="21"/>
  <c r="T219" i="21"/>
  <c r="T432" i="21"/>
  <c r="T423" i="21"/>
  <c r="T438" i="21"/>
  <c r="T410" i="21"/>
  <c r="T402" i="21"/>
  <c r="T386" i="21"/>
  <c r="T378" i="21"/>
  <c r="T369" i="21"/>
  <c r="T361" i="21"/>
  <c r="T353" i="21"/>
  <c r="T345" i="21"/>
  <c r="T337" i="21"/>
  <c r="T329" i="21"/>
  <c r="T321" i="21"/>
  <c r="T305" i="21"/>
  <c r="T289" i="21"/>
  <c r="T282" i="21"/>
  <c r="T274" i="21"/>
  <c r="T266" i="21"/>
  <c r="T251" i="21"/>
  <c r="T235" i="21"/>
  <c r="T114" i="21"/>
  <c r="T187" i="21"/>
  <c r="T168" i="21"/>
  <c r="T139" i="21"/>
  <c r="T104" i="21"/>
  <c r="T89" i="21"/>
  <c r="T25" i="21"/>
  <c r="U443" i="21"/>
  <c r="U417" i="21"/>
  <c r="U385" i="21"/>
  <c r="U320" i="21"/>
  <c r="U279" i="21"/>
  <c r="U236" i="21"/>
  <c r="U193" i="21"/>
  <c r="U65" i="21"/>
  <c r="U418" i="21"/>
  <c r="U394" i="21"/>
  <c r="D155" i="23" s="1"/>
  <c r="U246" i="21"/>
  <c r="T246" i="21"/>
  <c r="U234" i="21"/>
  <c r="T234" i="21"/>
  <c r="U226" i="21"/>
  <c r="T226" i="21"/>
  <c r="U76" i="21"/>
  <c r="T76" i="21"/>
  <c r="U133" i="21"/>
  <c r="D120" i="23" s="1"/>
  <c r="T133" i="21"/>
  <c r="U154" i="21"/>
  <c r="T154" i="21"/>
  <c r="U142" i="21"/>
  <c r="T142" i="21"/>
  <c r="U130" i="21"/>
  <c r="T130" i="21"/>
  <c r="U103" i="21"/>
  <c r="T103" i="21"/>
  <c r="U94" i="21"/>
  <c r="T94" i="21"/>
  <c r="U82" i="21"/>
  <c r="T82" i="21"/>
  <c r="U70" i="21"/>
  <c r="T70" i="21"/>
  <c r="U50" i="21"/>
  <c r="T50" i="21"/>
  <c r="U46" i="21"/>
  <c r="T46" i="21"/>
  <c r="U30" i="21"/>
  <c r="T30" i="21"/>
  <c r="U22" i="21"/>
  <c r="T22" i="21"/>
  <c r="U2" i="21"/>
  <c r="T2" i="21"/>
  <c r="D183" i="23" s="1"/>
  <c r="T445" i="21"/>
  <c r="T406" i="21"/>
  <c r="T382" i="21"/>
  <c r="T349" i="21"/>
  <c r="T325" i="21"/>
  <c r="T309" i="21"/>
  <c r="T270" i="21"/>
  <c r="U360" i="21"/>
  <c r="T360" i="21"/>
  <c r="T348" i="21"/>
  <c r="U348" i="21"/>
  <c r="U336" i="21"/>
  <c r="T336" i="21"/>
  <c r="U455" i="21"/>
  <c r="T455" i="21"/>
  <c r="T220" i="21"/>
  <c r="U220" i="21"/>
  <c r="T216" i="21"/>
  <c r="U216" i="21"/>
  <c r="U427" i="21"/>
  <c r="T427" i="21"/>
  <c r="T424" i="21"/>
  <c r="U424" i="21"/>
  <c r="T431" i="21"/>
  <c r="U431" i="21"/>
  <c r="U439" i="21"/>
  <c r="T439" i="21"/>
  <c r="U435" i="21"/>
  <c r="T435" i="21"/>
  <c r="U419" i="21"/>
  <c r="T419" i="21"/>
  <c r="U415" i="21"/>
  <c r="T415" i="21"/>
  <c r="U411" i="21"/>
  <c r="T411" i="21"/>
  <c r="U407" i="21"/>
  <c r="T407" i="21"/>
  <c r="U403" i="21"/>
  <c r="T403" i="21"/>
  <c r="U399" i="21"/>
  <c r="T399" i="21"/>
  <c r="U395" i="21"/>
  <c r="T395" i="21"/>
  <c r="U391" i="21"/>
  <c r="T391" i="21"/>
  <c r="U387" i="21"/>
  <c r="T387" i="21"/>
  <c r="U383" i="21"/>
  <c r="T383" i="21"/>
  <c r="U379" i="21"/>
  <c r="T379" i="21"/>
  <c r="U354" i="21"/>
  <c r="U342" i="21"/>
  <c r="U159" i="21"/>
  <c r="D141" i="23" s="1"/>
  <c r="U155" i="21"/>
  <c r="T421" i="21"/>
  <c r="T218" i="21"/>
  <c r="T429" i="21"/>
  <c r="T444" i="21"/>
  <c r="T409" i="21"/>
  <c r="T377" i="21"/>
  <c r="T366" i="21"/>
  <c r="T358" i="21"/>
  <c r="T350" i="21"/>
  <c r="T342" i="21"/>
  <c r="T334" i="21"/>
  <c r="T326" i="21"/>
  <c r="T318" i="21"/>
  <c r="T310" i="21"/>
  <c r="T302" i="21"/>
  <c r="T294" i="21"/>
  <c r="T286" i="21"/>
  <c r="T271" i="21"/>
  <c r="T263" i="21"/>
  <c r="T231" i="21"/>
  <c r="T199" i="21"/>
  <c r="T164" i="21"/>
  <c r="T449" i="21"/>
  <c r="T135" i="21"/>
  <c r="T119" i="21"/>
  <c r="T73" i="21"/>
  <c r="T9" i="21"/>
  <c r="U459" i="21"/>
  <c r="U268" i="21"/>
  <c r="U225" i="21"/>
  <c r="U33" i="21"/>
  <c r="T99" i="21"/>
  <c r="U165" i="21"/>
  <c r="D126" i="23" s="1"/>
  <c r="U161" i="21"/>
  <c r="D122" i="23" s="1"/>
  <c r="T239" i="21"/>
  <c r="T92" i="21"/>
  <c r="T71" i="21"/>
  <c r="T60" i="21"/>
  <c r="T39" i="21"/>
  <c r="T28" i="21"/>
  <c r="T7" i="21"/>
  <c r="U156" i="21"/>
  <c r="U124" i="21"/>
  <c r="U79" i="21"/>
  <c r="T176" i="21"/>
  <c r="T169" i="21"/>
  <c r="T165" i="21"/>
  <c r="T161" i="21"/>
  <c r="T450" i="21"/>
  <c r="T148" i="21"/>
  <c r="T144" i="21"/>
  <c r="T136" i="21"/>
  <c r="T127" i="21"/>
  <c r="T120" i="21"/>
  <c r="T116" i="21"/>
  <c r="T91" i="21"/>
  <c r="T172" i="21"/>
  <c r="T59" i="21"/>
  <c r="T48" i="21"/>
  <c r="T27" i="21"/>
  <c r="T16" i="21"/>
  <c r="U176" i="21"/>
  <c r="D102" i="23" s="1"/>
  <c r="R90" i="5"/>
  <c r="S90" i="5" s="1"/>
  <c r="R91" i="5"/>
  <c r="S91" i="5" s="1"/>
  <c r="U90" i="5"/>
  <c r="U91" i="5"/>
  <c r="V90" i="5"/>
  <c r="V91" i="5"/>
  <c r="Y90" i="5"/>
  <c r="Y91" i="5"/>
  <c r="Z90" i="5"/>
  <c r="Z91" i="5"/>
  <c r="AA90" i="5"/>
  <c r="AA91" i="5"/>
  <c r="R89" i="5"/>
  <c r="S89" i="5" s="1"/>
  <c r="U89" i="5"/>
  <c r="V89" i="5"/>
  <c r="Y89" i="5"/>
  <c r="Z89" i="5"/>
  <c r="AA89" i="5"/>
  <c r="D40" i="23" l="1"/>
  <c r="D60" i="23"/>
  <c r="D185" i="23"/>
  <c r="D182" i="23"/>
  <c r="D160" i="23"/>
  <c r="D83" i="23"/>
  <c r="D136" i="23"/>
  <c r="D92" i="23"/>
  <c r="D137" i="23"/>
  <c r="D71" i="23"/>
  <c r="D165" i="23"/>
  <c r="D69" i="23"/>
  <c r="D174" i="23"/>
  <c r="D156" i="23"/>
  <c r="D173" i="23"/>
  <c r="D170" i="23"/>
  <c r="D158" i="23"/>
  <c r="D88" i="23"/>
  <c r="D110" i="23"/>
  <c r="D80" i="23"/>
  <c r="D50" i="23"/>
  <c r="D166" i="23"/>
  <c r="D172" i="23"/>
  <c r="D159" i="23"/>
  <c r="D68" i="23"/>
  <c r="D171" i="23"/>
  <c r="D91" i="23"/>
  <c r="D138" i="23"/>
  <c r="D70" i="23"/>
  <c r="D157" i="23"/>
  <c r="D38" i="23"/>
  <c r="D148" i="23"/>
  <c r="D169" i="23"/>
  <c r="D164" i="23"/>
  <c r="D98" i="23"/>
  <c r="D168" i="23"/>
  <c r="D147" i="23"/>
  <c r="D89" i="23"/>
  <c r="D87" i="23"/>
  <c r="D114" i="23"/>
  <c r="D163" i="23"/>
  <c r="D105" i="23"/>
  <c r="J24" i="23" s="1"/>
  <c r="D167" i="23"/>
  <c r="D113" i="23"/>
  <c r="D95" i="23"/>
  <c r="D82" i="23"/>
  <c r="D133" i="23"/>
  <c r="D10" i="23"/>
  <c r="D6" i="23"/>
  <c r="D22" i="23"/>
  <c r="D19" i="23"/>
  <c r="D101" i="23"/>
  <c r="D90" i="23"/>
  <c r="D65" i="23"/>
  <c r="D48" i="23"/>
  <c r="D53" i="23"/>
  <c r="D145" i="23"/>
  <c r="D96" i="23"/>
  <c r="D134" i="23"/>
  <c r="D116" i="23"/>
  <c r="D76" i="23"/>
  <c r="D63" i="23"/>
  <c r="D24" i="23"/>
  <c r="D7" i="23"/>
  <c r="D31" i="23"/>
  <c r="D41" i="23"/>
  <c r="J21" i="23" s="1"/>
  <c r="D94" i="23"/>
  <c r="D81" i="23"/>
  <c r="D34" i="23"/>
  <c r="D111" i="23"/>
  <c r="D3" i="23"/>
  <c r="D39" i="23"/>
  <c r="D144" i="23"/>
  <c r="D78" i="23"/>
  <c r="D32" i="23"/>
  <c r="D25" i="23"/>
  <c r="D146" i="23"/>
  <c r="D14" i="23"/>
  <c r="D30" i="23"/>
  <c r="D73" i="23"/>
  <c r="D154" i="23"/>
  <c r="D86" i="23"/>
  <c r="J23" i="23" s="1"/>
  <c r="D61" i="23"/>
  <c r="D18" i="23"/>
  <c r="J18" i="23" s="1"/>
  <c r="D47" i="23"/>
  <c r="D49" i="23"/>
  <c r="D66" i="23"/>
  <c r="D55" i="23"/>
  <c r="D45" i="23"/>
  <c r="D9" i="23"/>
  <c r="D54" i="23"/>
  <c r="D99" i="23"/>
  <c r="D37" i="23"/>
  <c r="D35" i="23"/>
  <c r="D112" i="23"/>
  <c r="D8" i="23"/>
  <c r="D57" i="23"/>
  <c r="D108" i="23"/>
  <c r="D107" i="23"/>
  <c r="D62" i="23"/>
  <c r="D142" i="23"/>
  <c r="D115" i="23"/>
  <c r="D28" i="23"/>
  <c r="D75" i="23"/>
  <c r="D100" i="23"/>
  <c r="D72" i="23"/>
  <c r="D97" i="23"/>
  <c r="D79" i="23"/>
  <c r="D84" i="23"/>
  <c r="D12" i="23"/>
  <c r="D15" i="23"/>
  <c r="J16" i="23" s="1"/>
  <c r="D20" i="23"/>
  <c r="D131" i="23"/>
  <c r="D56" i="23"/>
  <c r="D117" i="23"/>
  <c r="D42" i="23"/>
  <c r="D2" i="23"/>
  <c r="D59" i="23"/>
  <c r="D26" i="23"/>
  <c r="D132" i="23"/>
  <c r="D77" i="23"/>
  <c r="D51" i="23"/>
  <c r="D67" i="23"/>
  <c r="D93" i="23"/>
  <c r="D21" i="23"/>
  <c r="D23" i="23"/>
  <c r="D5" i="23"/>
  <c r="D33" i="23"/>
  <c r="D46" i="23"/>
  <c r="D29" i="23"/>
  <c r="D44" i="23"/>
  <c r="D16" i="23"/>
  <c r="D11" i="23"/>
  <c r="D17" i="23"/>
  <c r="D13" i="23"/>
  <c r="D52" i="23"/>
  <c r="D109" i="23"/>
  <c r="D58" i="23"/>
  <c r="J22" i="23"/>
  <c r="C74" i="23"/>
  <c r="O8" i="23" s="1"/>
  <c r="Q8" i="23" s="1"/>
  <c r="P4" i="23" l="1"/>
  <c r="P6" i="23"/>
  <c r="J20" i="23"/>
  <c r="J9" i="23"/>
  <c r="J17" i="23"/>
  <c r="J10" i="23"/>
  <c r="J15" i="23"/>
  <c r="J11" i="23"/>
  <c r="J13" i="23"/>
  <c r="J14" i="23"/>
  <c r="J6" i="23"/>
  <c r="J7" i="23"/>
  <c r="J5" i="23"/>
  <c r="J12" i="23"/>
  <c r="J19" i="23"/>
  <c r="J2" i="23"/>
  <c r="J4" i="23"/>
  <c r="I22" i="23"/>
  <c r="K22" i="23" s="1"/>
  <c r="R8" i="23"/>
  <c r="E305" i="5"/>
  <c r="F305" i="5"/>
  <c r="G305" i="5"/>
  <c r="H305" i="5"/>
  <c r="E304" i="5"/>
  <c r="F304" i="5"/>
  <c r="G304" i="5"/>
  <c r="H304" i="5"/>
  <c r="AJ129" i="5"/>
  <c r="AJ130" i="5"/>
  <c r="E302" i="5"/>
  <c r="E303" i="5"/>
  <c r="F302" i="5"/>
  <c r="F303" i="5"/>
  <c r="G302" i="5"/>
  <c r="G303" i="5"/>
  <c r="H302" i="5"/>
  <c r="H303" i="5"/>
  <c r="E301" i="5" l="1"/>
  <c r="F301" i="5"/>
  <c r="G301" i="5"/>
  <c r="H301" i="5"/>
  <c r="E300" i="5"/>
  <c r="F300" i="5"/>
  <c r="G300" i="5"/>
  <c r="H300" i="5"/>
  <c r="E299" i="5"/>
  <c r="F299" i="5"/>
  <c r="G299" i="5"/>
  <c r="H299" i="5"/>
  <c r="E298" i="5"/>
  <c r="F298" i="5"/>
  <c r="G298" i="5"/>
  <c r="H298" i="5"/>
  <c r="E297" i="5"/>
  <c r="F297" i="5"/>
  <c r="G297" i="5"/>
  <c r="H297" i="5"/>
  <c r="E296" i="5"/>
  <c r="F296" i="5"/>
  <c r="G296" i="5"/>
  <c r="H296" i="5"/>
  <c r="E295" i="5"/>
  <c r="F295" i="5"/>
  <c r="G295" i="5"/>
  <c r="H295" i="5"/>
  <c r="E294" i="5"/>
  <c r="F294" i="5"/>
  <c r="G294" i="5"/>
  <c r="H294" i="5"/>
  <c r="E293" i="5"/>
  <c r="F293" i="5"/>
  <c r="G293" i="5"/>
  <c r="H293" i="5"/>
  <c r="E292" i="5"/>
  <c r="F292" i="5"/>
  <c r="G292" i="5"/>
  <c r="H292" i="5"/>
  <c r="E291" i="5"/>
  <c r="F291" i="5"/>
  <c r="G291" i="5"/>
  <c r="H291" i="5"/>
  <c r="E290" i="5"/>
  <c r="F290" i="5"/>
  <c r="G290" i="5"/>
  <c r="H290" i="5"/>
  <c r="E289" i="5"/>
  <c r="F289" i="5"/>
  <c r="G289" i="5"/>
  <c r="H289" i="5"/>
  <c r="E288" i="5"/>
  <c r="F288" i="5"/>
  <c r="G288" i="5"/>
  <c r="H288" i="5"/>
  <c r="E287" i="5"/>
  <c r="F287" i="5"/>
  <c r="G287" i="5"/>
  <c r="H287" i="5"/>
  <c r="R87" i="5"/>
  <c r="S87" i="5" s="1"/>
  <c r="R88" i="5"/>
  <c r="S88" i="5" s="1"/>
  <c r="U87" i="5"/>
  <c r="U88" i="5"/>
  <c r="V87" i="5"/>
  <c r="V88" i="5"/>
  <c r="Y87" i="5"/>
  <c r="Y88" i="5"/>
  <c r="Z87" i="5"/>
  <c r="Z88" i="5"/>
  <c r="AA87" i="5"/>
  <c r="AA88" i="5"/>
  <c r="R86" i="5"/>
  <c r="S86" i="5" s="1"/>
  <c r="U86" i="5"/>
  <c r="V86" i="5"/>
  <c r="Y86" i="5"/>
  <c r="Z86" i="5"/>
  <c r="AA86" i="5"/>
  <c r="R83" i="5"/>
  <c r="S83" i="5" s="1"/>
  <c r="R84" i="5"/>
  <c r="S84" i="5" s="1"/>
  <c r="R85" i="5"/>
  <c r="S85" i="5" s="1"/>
  <c r="U83" i="5"/>
  <c r="U84" i="5"/>
  <c r="U85" i="5"/>
  <c r="V83" i="5"/>
  <c r="V84" i="5"/>
  <c r="V85" i="5"/>
  <c r="Y83" i="5"/>
  <c r="Y84" i="5"/>
  <c r="Y85" i="5"/>
  <c r="Z83" i="5"/>
  <c r="Z84" i="5"/>
  <c r="Z85" i="5"/>
  <c r="AA83" i="5"/>
  <c r="AA84" i="5"/>
  <c r="AA85" i="5"/>
  <c r="R80" i="5"/>
  <c r="S80" i="5" s="1"/>
  <c r="R81" i="5"/>
  <c r="S81" i="5" s="1"/>
  <c r="R82" i="5"/>
  <c r="S82" i="5" s="1"/>
  <c r="U80" i="5"/>
  <c r="U81" i="5"/>
  <c r="U82" i="5"/>
  <c r="V80" i="5"/>
  <c r="V81" i="5"/>
  <c r="V82" i="5"/>
  <c r="Y80" i="5"/>
  <c r="Y81" i="5"/>
  <c r="Y82" i="5"/>
  <c r="Z80" i="5"/>
  <c r="Z81" i="5"/>
  <c r="Z82" i="5"/>
  <c r="AA80" i="5"/>
  <c r="AA81" i="5"/>
  <c r="AA82" i="5"/>
  <c r="AJ128" i="5"/>
  <c r="AJ127" i="5"/>
  <c r="AJ126" i="5"/>
  <c r="U77" i="5"/>
  <c r="V77" i="5"/>
  <c r="U78" i="5"/>
  <c r="V78" i="5"/>
  <c r="U79" i="5"/>
  <c r="V79" i="5"/>
  <c r="R78" i="5"/>
  <c r="S78" i="5" s="1"/>
  <c r="R79" i="5"/>
  <c r="S79" i="5" s="1"/>
  <c r="Y78" i="5"/>
  <c r="Y79" i="5"/>
  <c r="Z78" i="5"/>
  <c r="Z79" i="5"/>
  <c r="AA78" i="5"/>
  <c r="AA79" i="5"/>
  <c r="R77" i="5"/>
  <c r="S77" i="5" s="1"/>
  <c r="Y77" i="5"/>
  <c r="Z77" i="5"/>
  <c r="AA77" i="5"/>
  <c r="U75" i="5"/>
  <c r="V75" i="5"/>
  <c r="U76" i="5"/>
  <c r="V76" i="5"/>
  <c r="R76" i="5"/>
  <c r="S76" i="5" s="1"/>
  <c r="Z76" i="5"/>
  <c r="AA76" i="5"/>
  <c r="R75" i="5"/>
  <c r="S75" i="5" s="1"/>
  <c r="Z75" i="5"/>
  <c r="AA75" i="5"/>
  <c r="R74" i="5"/>
  <c r="S74" i="5" s="1"/>
  <c r="U74" i="5"/>
  <c r="V74" i="5"/>
  <c r="Z74" i="5"/>
  <c r="AA74" i="5"/>
  <c r="R73" i="5"/>
  <c r="S73" i="5" s="1"/>
  <c r="U73" i="5"/>
  <c r="V73" i="5"/>
  <c r="Z73" i="5"/>
  <c r="AA73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U71" i="5"/>
  <c r="V71" i="5"/>
  <c r="U72" i="5"/>
  <c r="V72" i="5"/>
  <c r="R72" i="5"/>
  <c r="S72" i="5" s="1"/>
  <c r="R71" i="5"/>
  <c r="S71" i="5" s="1"/>
  <c r="AJ125" i="5"/>
  <c r="R70" i="5"/>
  <c r="S70" i="5" s="1"/>
  <c r="U70" i="5"/>
  <c r="V70" i="5"/>
  <c r="R69" i="5"/>
  <c r="S69" i="5" s="1"/>
  <c r="U69" i="5"/>
  <c r="V69" i="5"/>
  <c r="R68" i="5"/>
  <c r="S68" i="5" s="1"/>
  <c r="U68" i="5"/>
  <c r="V68" i="5"/>
  <c r="R67" i="5"/>
  <c r="S67" i="5" s="1"/>
  <c r="U67" i="5"/>
  <c r="V67" i="5"/>
  <c r="R66" i="5"/>
  <c r="S66" i="5" s="1"/>
  <c r="U66" i="5"/>
  <c r="V66" i="5"/>
  <c r="R65" i="5"/>
  <c r="S65" i="5" s="1"/>
  <c r="U65" i="5"/>
  <c r="V65" i="5"/>
  <c r="R63" i="5"/>
  <c r="S63" i="5" s="1"/>
  <c r="R64" i="5"/>
  <c r="S64" i="5" s="1"/>
  <c r="U63" i="5"/>
  <c r="U64" i="5"/>
  <c r="V63" i="5"/>
  <c r="V64" i="5"/>
  <c r="R62" i="5"/>
  <c r="S62" i="5" s="1"/>
  <c r="U62" i="5"/>
  <c r="V62" i="5"/>
  <c r="R61" i="5"/>
  <c r="S61" i="5" s="1"/>
  <c r="U61" i="5"/>
  <c r="V61" i="5"/>
  <c r="AJ124" i="5"/>
  <c r="R60" i="5"/>
  <c r="S60" i="5" s="1"/>
  <c r="U60" i="5"/>
  <c r="V60" i="5"/>
  <c r="R59" i="5"/>
  <c r="S59" i="5" s="1"/>
  <c r="U59" i="5"/>
  <c r="V59" i="5"/>
  <c r="R58" i="5"/>
  <c r="S58" i="5" s="1"/>
  <c r="U58" i="5"/>
  <c r="V58" i="5"/>
  <c r="R57" i="5"/>
  <c r="S57" i="5" s="1"/>
  <c r="U57" i="5"/>
  <c r="V57" i="5"/>
  <c r="R55" i="5"/>
  <c r="S55" i="5" s="1"/>
  <c r="R56" i="5"/>
  <c r="S56" i="5" s="1"/>
  <c r="U55" i="5"/>
  <c r="U56" i="5"/>
  <c r="V55" i="5"/>
  <c r="V56" i="5"/>
  <c r="R54" i="5"/>
  <c r="S54" i="5" s="1"/>
  <c r="U54" i="5"/>
  <c r="V54" i="5"/>
  <c r="R53" i="5"/>
  <c r="S53" i="5" s="1"/>
  <c r="U53" i="5"/>
  <c r="V53" i="5"/>
  <c r="R52" i="5"/>
  <c r="S52" i="5" s="1"/>
  <c r="U52" i="5"/>
  <c r="V52" i="5"/>
  <c r="R51" i="5"/>
  <c r="S51" i="5" s="1"/>
  <c r="U51" i="5"/>
  <c r="V51" i="5"/>
  <c r="AJ123" i="5"/>
  <c r="AJ122" i="5"/>
  <c r="AJ121" i="5"/>
  <c r="AJ120" i="5"/>
  <c r="AJ119" i="5"/>
  <c r="S2" i="2" l="1"/>
  <c r="S3" i="2"/>
  <c r="S4" i="2"/>
  <c r="S5" i="2"/>
  <c r="S6" i="2"/>
  <c r="S7" i="2"/>
  <c r="S8" i="2"/>
  <c r="S46" i="2"/>
  <c r="S40" i="2"/>
  <c r="S32" i="2"/>
  <c r="S41" i="2"/>
  <c r="S42" i="2"/>
  <c r="S43" i="2"/>
  <c r="S47" i="2"/>
  <c r="S34" i="2"/>
  <c r="S48" i="2"/>
  <c r="S49" i="2"/>
  <c r="S50" i="2"/>
  <c r="S35" i="2"/>
  <c r="S51" i="2"/>
  <c r="S52" i="2"/>
  <c r="S53" i="2"/>
  <c r="S54" i="2"/>
  <c r="S33" i="2"/>
  <c r="S55" i="2"/>
  <c r="S56" i="2"/>
  <c r="S57" i="2"/>
  <c r="S9" i="2"/>
  <c r="S10" i="2"/>
  <c r="S173" i="2"/>
  <c r="S348" i="2"/>
  <c r="S349" i="2"/>
  <c r="S350" i="2"/>
  <c r="S351" i="2"/>
  <c r="S352" i="2"/>
  <c r="S353" i="2"/>
  <c r="S85" i="2"/>
  <c r="S86" i="2"/>
  <c r="S171" i="2"/>
  <c r="S87" i="2"/>
  <c r="S88" i="2"/>
  <c r="S89" i="2"/>
  <c r="S90" i="2"/>
  <c r="S91" i="2"/>
  <c r="S92" i="2"/>
  <c r="S93" i="2"/>
  <c r="S94" i="2"/>
  <c r="S289" i="2"/>
  <c r="S290" i="2"/>
  <c r="S298" i="2"/>
  <c r="S299" i="2"/>
  <c r="S313" i="2"/>
  <c r="S314" i="2"/>
  <c r="S315" i="2"/>
  <c r="S95" i="2"/>
  <c r="S96" i="2"/>
  <c r="S97" i="2"/>
  <c r="S98" i="2"/>
  <c r="S256" i="2"/>
  <c r="S257" i="2"/>
  <c r="S316" i="2"/>
  <c r="S302" i="2"/>
  <c r="AI142" i="5" s="1"/>
  <c r="AK142" i="5" s="1"/>
  <c r="S20" i="2"/>
  <c r="S303" i="2"/>
  <c r="AI141" i="5" s="1"/>
  <c r="AK141" i="5" s="1"/>
  <c r="S291" i="2"/>
  <c r="AI143" i="5" s="1"/>
  <c r="AK143" i="5" s="1"/>
  <c r="S172" i="2"/>
  <c r="AI144" i="5" s="1"/>
  <c r="AK144" i="5" s="1"/>
  <c r="S255" i="2"/>
  <c r="AI145" i="5" s="1"/>
  <c r="AK145" i="5" s="1"/>
  <c r="S300" i="2"/>
  <c r="AI146" i="5" s="1"/>
  <c r="AK146" i="5" s="1"/>
  <c r="S301" i="2"/>
  <c r="S376" i="2"/>
  <c r="S381" i="2"/>
  <c r="S382" i="2"/>
  <c r="S383" i="2"/>
  <c r="S461" i="2"/>
  <c r="S375" i="2"/>
  <c r="S377" i="2"/>
  <c r="S384" i="2"/>
  <c r="S58" i="2"/>
  <c r="S331" i="2"/>
  <c r="S332" i="2"/>
  <c r="S333" i="2"/>
  <c r="S334" i="2"/>
  <c r="S335" i="2"/>
  <c r="S378" i="2"/>
  <c r="S59" i="2"/>
  <c r="S205" i="2"/>
  <c r="S174" i="2"/>
  <c r="S206" i="2"/>
  <c r="S341" i="2"/>
  <c r="S343" i="2"/>
  <c r="S99" i="2"/>
  <c r="S100" i="2"/>
  <c r="S101" i="2"/>
  <c r="S60" i="2"/>
  <c r="S61" i="2"/>
  <c r="S62" i="2"/>
  <c r="S63" i="2"/>
  <c r="S64" i="2"/>
  <c r="S65" i="2"/>
  <c r="S66" i="2"/>
  <c r="S67" i="2"/>
  <c r="S304" i="2"/>
  <c r="S305" i="2"/>
  <c r="S398" i="2"/>
  <c r="S399" i="2"/>
  <c r="S400" i="2"/>
  <c r="S102" i="2"/>
  <c r="S336" i="2"/>
  <c r="S103" i="2"/>
  <c r="S337" i="2"/>
  <c r="S104" i="2"/>
  <c r="S105" i="2"/>
  <c r="S106" i="2"/>
  <c r="S107" i="2"/>
  <c r="S108" i="2"/>
  <c r="S109" i="2"/>
  <c r="S459" i="2"/>
  <c r="S405" i="2"/>
  <c r="S406" i="2"/>
  <c r="S288" i="2"/>
  <c r="S327" i="2"/>
  <c r="S328" i="2"/>
  <c r="S287" i="2"/>
  <c r="S371" i="2"/>
  <c r="S372" i="2"/>
  <c r="S329" i="2"/>
  <c r="S330" i="2"/>
  <c r="S326" i="2"/>
  <c r="S317" i="2"/>
  <c r="S430" i="2"/>
  <c r="S446" i="2"/>
  <c r="S436" i="2"/>
  <c r="S444" i="2"/>
  <c r="S427" i="2"/>
  <c r="S441" i="2"/>
  <c r="S435" i="2"/>
  <c r="S437" i="2"/>
  <c r="S14" i="2"/>
  <c r="S15" i="2"/>
  <c r="S16" i="2"/>
  <c r="S110" i="2"/>
  <c r="S111" i="2"/>
  <c r="S227" i="2"/>
  <c r="S235" i="2"/>
  <c r="S246" i="2"/>
  <c r="S253" i="2"/>
  <c r="S379" i="2"/>
  <c r="S380" i="2"/>
  <c r="S68" i="2"/>
  <c r="AI129" i="5" s="1"/>
  <c r="AK129" i="5" s="1"/>
  <c r="S69" i="2"/>
  <c r="AI130" i="5" s="1"/>
  <c r="AK130" i="5" s="1"/>
  <c r="S338" i="2"/>
  <c r="S339" i="2"/>
  <c r="S258" i="2"/>
  <c r="AI132" i="5" s="1"/>
  <c r="AK132" i="5" s="1"/>
  <c r="S319" i="2"/>
  <c r="S320" i="2"/>
  <c r="S17" i="2"/>
  <c r="S18" i="2"/>
  <c r="S19" i="2"/>
  <c r="S21" i="2"/>
  <c r="S22" i="2"/>
  <c r="S23" i="2"/>
  <c r="S24" i="2"/>
  <c r="S25" i="2"/>
  <c r="S26" i="2"/>
  <c r="S27" i="2"/>
  <c r="S28" i="2"/>
  <c r="S29" i="2"/>
  <c r="S30" i="2"/>
  <c r="S112" i="2"/>
  <c r="S113" i="2"/>
  <c r="S114" i="2"/>
  <c r="S115" i="2"/>
  <c r="S116" i="2"/>
  <c r="S292" i="2"/>
  <c r="S259" i="2"/>
  <c r="S293" i="2"/>
  <c r="S260" i="2"/>
  <c r="S294" i="2"/>
  <c r="S295" i="2"/>
  <c r="S296" i="2"/>
  <c r="AI122" i="5" s="1"/>
  <c r="AK122" i="5" s="1"/>
  <c r="S297" i="2"/>
  <c r="AI123" i="5" s="1"/>
  <c r="AK123" i="5" s="1"/>
  <c r="S261" i="2"/>
  <c r="S262" i="2"/>
  <c r="S263" i="2"/>
  <c r="S264" i="2"/>
  <c r="S265" i="2"/>
  <c r="S266" i="2"/>
  <c r="S267" i="2"/>
  <c r="S268" i="2"/>
  <c r="S269" i="2"/>
  <c r="S270" i="2"/>
  <c r="S309" i="2"/>
  <c r="S310" i="2"/>
  <c r="S307" i="2"/>
  <c r="S308" i="2"/>
  <c r="S311" i="2"/>
  <c r="S312" i="2"/>
  <c r="S321" i="2"/>
  <c r="S322" i="2"/>
  <c r="S451" i="2"/>
  <c r="S450" i="2"/>
  <c r="S445" i="2"/>
  <c r="S425" i="2"/>
  <c r="S438" i="2"/>
  <c r="S442" i="2"/>
  <c r="S443" i="2"/>
  <c r="S424" i="2"/>
  <c r="S422" i="2"/>
  <c r="S423" i="2"/>
  <c r="S407" i="2"/>
  <c r="S408" i="2"/>
  <c r="S457" i="2"/>
  <c r="S454" i="2"/>
  <c r="S455" i="2"/>
  <c r="S456" i="2"/>
  <c r="S409" i="2"/>
  <c r="S458" i="2"/>
  <c r="S410" i="2"/>
  <c r="S117" i="2"/>
  <c r="S118" i="2"/>
  <c r="S448" i="2"/>
  <c r="S432" i="2"/>
  <c r="S119" i="2"/>
  <c r="S120" i="2"/>
  <c r="S121" i="2"/>
  <c r="S122" i="2"/>
  <c r="S271" i="2"/>
  <c r="S272" i="2"/>
  <c r="S273" i="2"/>
  <c r="S274" i="2"/>
  <c r="S275" i="2"/>
  <c r="S276" i="2"/>
  <c r="S277" i="2"/>
  <c r="S278" i="2"/>
  <c r="S279" i="2"/>
  <c r="S280" i="2"/>
  <c r="S281" i="2"/>
  <c r="AI124" i="5" s="1"/>
  <c r="AK124" i="5" s="1"/>
  <c r="S282" i="2"/>
  <c r="S283" i="2"/>
  <c r="S306" i="2"/>
  <c r="S123" i="2"/>
  <c r="S124" i="2"/>
  <c r="S125" i="2"/>
  <c r="S228" i="2"/>
  <c r="S229" i="2"/>
  <c r="S236" i="2"/>
  <c r="S237" i="2"/>
  <c r="S238" i="2"/>
  <c r="S239" i="2"/>
  <c r="S240" i="2"/>
  <c r="S247" i="2"/>
  <c r="S248" i="2"/>
  <c r="S249" i="2"/>
  <c r="S126" i="2"/>
  <c r="S127" i="2"/>
  <c r="S128" i="2"/>
  <c r="S129" i="2"/>
  <c r="S130" i="2"/>
  <c r="S230" i="2"/>
  <c r="S231" i="2"/>
  <c r="S232" i="2"/>
  <c r="S241" i="2"/>
  <c r="S242" i="2"/>
  <c r="S243" i="2"/>
  <c r="S244" i="2"/>
  <c r="S245" i="2"/>
  <c r="S250" i="2"/>
  <c r="S251" i="2"/>
  <c r="S252" i="2"/>
  <c r="S254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AI137" i="5" s="1"/>
  <c r="AK137" i="5" s="1"/>
  <c r="S150" i="2"/>
  <c r="AI138" i="5" s="1"/>
  <c r="AK138" i="5" s="1"/>
  <c r="S151" i="2"/>
  <c r="AI139" i="5" s="1"/>
  <c r="AK139" i="5" s="1"/>
  <c r="S152" i="2"/>
  <c r="AI140" i="5" s="1"/>
  <c r="AK140" i="5" s="1"/>
  <c r="S460" i="2"/>
  <c r="S11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2" i="2"/>
  <c r="S13" i="2"/>
  <c r="S286" i="2"/>
  <c r="S169" i="2"/>
  <c r="S170" i="2"/>
  <c r="S447" i="2"/>
  <c r="S426" i="2"/>
  <c r="S439" i="2"/>
  <c r="S76" i="2"/>
  <c r="S77" i="2"/>
  <c r="S70" i="2"/>
  <c r="S71" i="2"/>
  <c r="S72" i="2"/>
  <c r="S175" i="2"/>
  <c r="S176" i="2"/>
  <c r="S177" i="2"/>
  <c r="S178" i="2"/>
  <c r="S179" i="2"/>
  <c r="S180" i="2"/>
  <c r="S181" i="2"/>
  <c r="S182" i="2"/>
  <c r="S183" i="2"/>
  <c r="S184" i="2"/>
  <c r="S185" i="2"/>
  <c r="S73" i="2"/>
  <c r="S74" i="2"/>
  <c r="S186" i="2"/>
  <c r="S187" i="2"/>
  <c r="S188" i="2"/>
  <c r="S189" i="2"/>
  <c r="S190" i="2"/>
  <c r="S191" i="2"/>
  <c r="S192" i="2"/>
  <c r="S193" i="2"/>
  <c r="S78" i="2"/>
  <c r="S79" i="2"/>
  <c r="S194" i="2"/>
  <c r="S80" i="2"/>
  <c r="S195" i="2"/>
  <c r="S196" i="2"/>
  <c r="S197" i="2"/>
  <c r="S198" i="2"/>
  <c r="S199" i="2"/>
  <c r="S200" i="2"/>
  <c r="S201" i="2"/>
  <c r="S81" i="2"/>
  <c r="S202" i="2"/>
  <c r="S203" i="2"/>
  <c r="S204" i="2"/>
  <c r="S82" i="2"/>
  <c r="S83" i="2"/>
  <c r="S84" i="2"/>
  <c r="S75" i="2"/>
  <c r="S233" i="2"/>
  <c r="S234" i="2"/>
  <c r="S401" i="2"/>
  <c r="S402" i="2"/>
  <c r="S397" i="2"/>
  <c r="S403" i="2"/>
  <c r="S404" i="2"/>
  <c r="S354" i="2"/>
  <c r="S355" i="2"/>
  <c r="S356" i="2"/>
  <c r="S357" i="2"/>
  <c r="S207" i="2"/>
  <c r="S208" i="2"/>
  <c r="S209" i="2"/>
  <c r="S358" i="2"/>
  <c r="S359" i="2"/>
  <c r="S360" i="2"/>
  <c r="S210" i="2"/>
  <c r="S211" i="2"/>
  <c r="S212" i="2"/>
  <c r="S213" i="2"/>
  <c r="S214" i="2"/>
  <c r="S215" i="2"/>
  <c r="S216" i="2"/>
  <c r="S31" i="2"/>
  <c r="S361" i="2"/>
  <c r="S363" i="2"/>
  <c r="S364" i="2"/>
  <c r="S365" i="2"/>
  <c r="S366" i="2"/>
  <c r="S340" i="2"/>
  <c r="S217" i="2"/>
  <c r="S218" i="2"/>
  <c r="S367" i="2"/>
  <c r="S219" i="2"/>
  <c r="S220" i="2"/>
  <c r="S221" i="2"/>
  <c r="S222" i="2"/>
  <c r="S223" i="2"/>
  <c r="S368" i="2"/>
  <c r="S369" i="2"/>
  <c r="S370" i="2"/>
  <c r="S449" i="2"/>
  <c r="S323" i="2"/>
  <c r="S324" i="2"/>
  <c r="S325" i="2"/>
  <c r="S431" i="2"/>
  <c r="S428" i="2"/>
  <c r="S429" i="2"/>
  <c r="S440" i="2"/>
  <c r="S388" i="2"/>
  <c r="S389" i="2"/>
  <c r="S344" i="2"/>
  <c r="S390" i="2"/>
  <c r="S345" i="2"/>
  <c r="S346" i="2"/>
  <c r="S391" i="2"/>
  <c r="S347" i="2"/>
  <c r="S385" i="2"/>
  <c r="S44" i="2"/>
  <c r="S45" i="2"/>
  <c r="S386" i="2"/>
  <c r="S387" i="2"/>
  <c r="S395" i="2"/>
  <c r="S396" i="2"/>
  <c r="S393" i="2"/>
  <c r="S394" i="2"/>
  <c r="S392" i="2"/>
  <c r="S36" i="2"/>
  <c r="S37" i="2"/>
  <c r="S38" i="2"/>
  <c r="S39" i="2"/>
  <c r="S342" i="2"/>
  <c r="S411" i="2"/>
  <c r="S412" i="2"/>
  <c r="S413" i="2"/>
  <c r="S414" i="2"/>
  <c r="S415" i="2"/>
  <c r="S416" i="2"/>
  <c r="S417" i="2"/>
  <c r="S418" i="2"/>
  <c r="S419" i="2"/>
  <c r="S420" i="2"/>
  <c r="S224" i="2"/>
  <c r="S225" i="2"/>
  <c r="S226" i="2"/>
  <c r="S421" i="2"/>
  <c r="S452" i="2"/>
  <c r="S453" i="2"/>
  <c r="S433" i="2"/>
  <c r="S434" i="2"/>
  <c r="S284" i="2"/>
  <c r="S285" i="2"/>
  <c r="S318" i="2"/>
  <c r="S373" i="2"/>
  <c r="S374" i="2"/>
  <c r="AI135" i="5" l="1"/>
  <c r="AK135" i="5" s="1"/>
  <c r="AI136" i="5"/>
  <c r="AK136" i="5" s="1"/>
  <c r="AI133" i="5"/>
  <c r="AK133" i="5" s="1"/>
  <c r="AI134" i="5"/>
  <c r="AK134" i="5" s="1"/>
  <c r="AI131" i="5"/>
  <c r="AK131" i="5" s="1"/>
  <c r="X95" i="5" s="1"/>
  <c r="AI125" i="5"/>
  <c r="AK125" i="5" s="1"/>
  <c r="AI121" i="5"/>
  <c r="AK121" i="5" s="1"/>
  <c r="AI128" i="5"/>
  <c r="AK128" i="5" s="1"/>
  <c r="AI126" i="5"/>
  <c r="AK126" i="5" s="1"/>
  <c r="AI127" i="5"/>
  <c r="AK127" i="5" s="1"/>
  <c r="AI119" i="5"/>
  <c r="AK119" i="5" s="1"/>
  <c r="AI120" i="5"/>
  <c r="AK120" i="5" s="1"/>
  <c r="Q2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451" i="21"/>
  <c r="Q452" i="21"/>
  <c r="Q453" i="21"/>
  <c r="Q446" i="21"/>
  <c r="Q79" i="21"/>
  <c r="Q172" i="21"/>
  <c r="Q81" i="21"/>
  <c r="Q82" i="21"/>
  <c r="Q83" i="21"/>
  <c r="Q84" i="21"/>
  <c r="Q457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239" i="21"/>
  <c r="Q240" i="21"/>
  <c r="Q105" i="21"/>
  <c r="Q106" i="21"/>
  <c r="Q107" i="21"/>
  <c r="Q108" i="21"/>
  <c r="Q109" i="21"/>
  <c r="Q110" i="21"/>
  <c r="Q111" i="21"/>
  <c r="Q112" i="21"/>
  <c r="Q447" i="21"/>
  <c r="Q448" i="21"/>
  <c r="Q115" i="21"/>
  <c r="Q116" i="21"/>
  <c r="Q117" i="21"/>
  <c r="Q118" i="21"/>
  <c r="Q119" i="21"/>
  <c r="Q120" i="21"/>
  <c r="Q80" i="21"/>
  <c r="Q103" i="21"/>
  <c r="Q104" i="21"/>
  <c r="Q124" i="21"/>
  <c r="Q121" i="21"/>
  <c r="Q122" i="21"/>
  <c r="Q123" i="21"/>
  <c r="Q125" i="21"/>
  <c r="Q126" i="21"/>
  <c r="Q130" i="21"/>
  <c r="Q131" i="21"/>
  <c r="Q127" i="21"/>
  <c r="Q128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449" i="21"/>
  <c r="Q450" i="21"/>
  <c r="Q153" i="21"/>
  <c r="Q154" i="21"/>
  <c r="Q155" i="21"/>
  <c r="Q156" i="21"/>
  <c r="Q157" i="21"/>
  <c r="Q158" i="21"/>
  <c r="Q159" i="21"/>
  <c r="Q129" i="21"/>
  <c r="Q132" i="21"/>
  <c r="Q133" i="21"/>
  <c r="Q160" i="21"/>
  <c r="Q161" i="21"/>
  <c r="Q162" i="21"/>
  <c r="Q163" i="21"/>
  <c r="Q164" i="21"/>
  <c r="Q165" i="21"/>
  <c r="Q166" i="21"/>
  <c r="Q167" i="21"/>
  <c r="Q168" i="21"/>
  <c r="Q169" i="21"/>
  <c r="Q173" i="21"/>
  <c r="Q174" i="21"/>
  <c r="Q175" i="21"/>
  <c r="Q176" i="21"/>
  <c r="Q177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Q192" i="21"/>
  <c r="Q193" i="21"/>
  <c r="Q194" i="21"/>
  <c r="Q195" i="21"/>
  <c r="Q196" i="21"/>
  <c r="Q197" i="21"/>
  <c r="Q198" i="21"/>
  <c r="Q199" i="21"/>
  <c r="Q200" i="21"/>
  <c r="Q201" i="21"/>
  <c r="Q202" i="21"/>
  <c r="Q203" i="21"/>
  <c r="Q204" i="21"/>
  <c r="Q205" i="21"/>
  <c r="Q206" i="21"/>
  <c r="Q207" i="21"/>
  <c r="Q208" i="21"/>
  <c r="Q209" i="21"/>
  <c r="Q210" i="21"/>
  <c r="Q211" i="21"/>
  <c r="Q212" i="21"/>
  <c r="Q213" i="21"/>
  <c r="Q76" i="21"/>
  <c r="Q77" i="21"/>
  <c r="Q78" i="21"/>
  <c r="Q85" i="21"/>
  <c r="Q113" i="21"/>
  <c r="Q114" i="21"/>
  <c r="Q422" i="21"/>
  <c r="Q151" i="21"/>
  <c r="Q75" i="21"/>
  <c r="Q223" i="21"/>
  <c r="Q224" i="21"/>
  <c r="Q225" i="21"/>
  <c r="Q226" i="21"/>
  <c r="Q227" i="21"/>
  <c r="Q228" i="21"/>
  <c r="Q229" i="21"/>
  <c r="Q230" i="21"/>
  <c r="Q231" i="21"/>
  <c r="Q232" i="21"/>
  <c r="Q233" i="21"/>
  <c r="Q234" i="21"/>
  <c r="Q235" i="21"/>
  <c r="Q236" i="21"/>
  <c r="Q237" i="21"/>
  <c r="Q238" i="21"/>
  <c r="Q170" i="21"/>
  <c r="Q171" i="21"/>
  <c r="Q241" i="21"/>
  <c r="Q242" i="21"/>
  <c r="Q243" i="21"/>
  <c r="Q244" i="21"/>
  <c r="Q245" i="21"/>
  <c r="Q246" i="21"/>
  <c r="Q247" i="21"/>
  <c r="Q248" i="21"/>
  <c r="Q249" i="21"/>
  <c r="Q250" i="21"/>
  <c r="Q251" i="21"/>
  <c r="Q252" i="21"/>
  <c r="Q253" i="21"/>
  <c r="Q254" i="21"/>
  <c r="Q255" i="21"/>
  <c r="Q256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Q289" i="21"/>
  <c r="Q290" i="21"/>
  <c r="Q291" i="21"/>
  <c r="Q292" i="21"/>
  <c r="Q293" i="21"/>
  <c r="Q294" i="21"/>
  <c r="Q295" i="21"/>
  <c r="Q296" i="21"/>
  <c r="Q297" i="21"/>
  <c r="Q298" i="21"/>
  <c r="Q299" i="21"/>
  <c r="Q300" i="21"/>
  <c r="Q301" i="21"/>
  <c r="Q302" i="21"/>
  <c r="Q303" i="21"/>
  <c r="Q304" i="21"/>
  <c r="Q305" i="21"/>
  <c r="Q306" i="21"/>
  <c r="Q307" i="21"/>
  <c r="Q308" i="21"/>
  <c r="Q309" i="21"/>
  <c r="Q310" i="21"/>
  <c r="Q311" i="21"/>
  <c r="Q312" i="21"/>
  <c r="Q313" i="21"/>
  <c r="Q314" i="21"/>
  <c r="Q315" i="21"/>
  <c r="Q316" i="21"/>
  <c r="Q317" i="21"/>
  <c r="Q318" i="21"/>
  <c r="Q319" i="21"/>
  <c r="Q320" i="21"/>
  <c r="Q321" i="21"/>
  <c r="Q322" i="21"/>
  <c r="Q323" i="21"/>
  <c r="Q324" i="21"/>
  <c r="Q325" i="21"/>
  <c r="Q326" i="21"/>
  <c r="Q327" i="21"/>
  <c r="Q328" i="21"/>
  <c r="Q329" i="21"/>
  <c r="Q330" i="21"/>
  <c r="Q331" i="21"/>
  <c r="Q332" i="21"/>
  <c r="Q333" i="21"/>
  <c r="Q334" i="21"/>
  <c r="Q335" i="21"/>
  <c r="Q336" i="21"/>
  <c r="Q337" i="21"/>
  <c r="Q338" i="21"/>
  <c r="Q339" i="21"/>
  <c r="Q340" i="21"/>
  <c r="Q341" i="21"/>
  <c r="Q342" i="21"/>
  <c r="Q343" i="21"/>
  <c r="Q344" i="21"/>
  <c r="Q345" i="21"/>
  <c r="Q346" i="21"/>
  <c r="Q347" i="21"/>
  <c r="Q348" i="21"/>
  <c r="Q349" i="21"/>
  <c r="Q350" i="21"/>
  <c r="Q351" i="21"/>
  <c r="Q352" i="21"/>
  <c r="Q353" i="21"/>
  <c r="Q354" i="21"/>
  <c r="Q355" i="21"/>
  <c r="Q356" i="21"/>
  <c r="Q357" i="21"/>
  <c r="Q358" i="21"/>
  <c r="Q359" i="21"/>
  <c r="Q360" i="21"/>
  <c r="Q361" i="21"/>
  <c r="Q362" i="21"/>
  <c r="Q363" i="21"/>
  <c r="Q364" i="21"/>
  <c r="Q365" i="21"/>
  <c r="Q366" i="21"/>
  <c r="Q367" i="21"/>
  <c r="Q368" i="21"/>
  <c r="Q369" i="21"/>
  <c r="Q370" i="21"/>
  <c r="Q371" i="21"/>
  <c r="Q372" i="21"/>
  <c r="Q373" i="21"/>
  <c r="Q374" i="21"/>
  <c r="Q375" i="21"/>
  <c r="Q376" i="21"/>
  <c r="Q377" i="21"/>
  <c r="Q378" i="21"/>
  <c r="Q379" i="21"/>
  <c r="Q380" i="21"/>
  <c r="Q381" i="21"/>
  <c r="Q382" i="21"/>
  <c r="Q383" i="21"/>
  <c r="Q384" i="21"/>
  <c r="Q385" i="21"/>
  <c r="Q386" i="21"/>
  <c r="Q387" i="21"/>
  <c r="Q388" i="21"/>
  <c r="Q389" i="21"/>
  <c r="Q390" i="21"/>
  <c r="Q391" i="21"/>
  <c r="Q392" i="21"/>
  <c r="Q393" i="21"/>
  <c r="Q394" i="21"/>
  <c r="Q395" i="21"/>
  <c r="Q396" i="21"/>
  <c r="Q397" i="21"/>
  <c r="Q398" i="21"/>
  <c r="Q399" i="21"/>
  <c r="Q400" i="21"/>
  <c r="Q401" i="21"/>
  <c r="Q402" i="21"/>
  <c r="Q403" i="21"/>
  <c r="Q404" i="21"/>
  <c r="Q405" i="21"/>
  <c r="Q406" i="21"/>
  <c r="Q407" i="21"/>
  <c r="Q408" i="21"/>
  <c r="Q409" i="21"/>
  <c r="Q410" i="21"/>
  <c r="Q411" i="21"/>
  <c r="Q412" i="21"/>
  <c r="Q413" i="21"/>
  <c r="Q414" i="21"/>
  <c r="Q415" i="21"/>
  <c r="Q416" i="21"/>
  <c r="Q417" i="21"/>
  <c r="Q418" i="21"/>
  <c r="Q419" i="21"/>
  <c r="Q420" i="21"/>
  <c r="Q433" i="21"/>
  <c r="Q434" i="21"/>
  <c r="Q435" i="21"/>
  <c r="Q436" i="21"/>
  <c r="Q437" i="21"/>
  <c r="Q438" i="21"/>
  <c r="Q439" i="21"/>
  <c r="Q440" i="21"/>
  <c r="Q441" i="21"/>
  <c r="Q430" i="21"/>
  <c r="Q431" i="21"/>
  <c r="Q442" i="21"/>
  <c r="Q444" i="21"/>
  <c r="Q423" i="21"/>
  <c r="Q424" i="21"/>
  <c r="Q425" i="21"/>
  <c r="Q426" i="21"/>
  <c r="Q445" i="21"/>
  <c r="Q427" i="21"/>
  <c r="Q428" i="21"/>
  <c r="Q429" i="21"/>
  <c r="Q432" i="21"/>
  <c r="Q443" i="21"/>
  <c r="Q152" i="21"/>
  <c r="Q214" i="21"/>
  <c r="Q215" i="21"/>
  <c r="Q216" i="21"/>
  <c r="Q217" i="21"/>
  <c r="Q218" i="21"/>
  <c r="Q219" i="21"/>
  <c r="Q220" i="21"/>
  <c r="Q221" i="21"/>
  <c r="Q222" i="21"/>
  <c r="Q454" i="21"/>
  <c r="Q455" i="21"/>
  <c r="Q456" i="21"/>
  <c r="Q421" i="21"/>
  <c r="Q458" i="21"/>
  <c r="Q459" i="21"/>
  <c r="Q460" i="21"/>
  <c r="Q461" i="21"/>
  <c r="X96" i="5" l="1"/>
  <c r="X97" i="5"/>
  <c r="B2694" i="22"/>
  <c r="AH24" i="10" l="1"/>
  <c r="M3" i="22"/>
  <c r="M4" i="22"/>
  <c r="M2" i="22"/>
  <c r="B2" i="22" l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108" i="22"/>
  <c r="B109" i="22"/>
  <c r="B112" i="22"/>
  <c r="B113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1" i="22"/>
  <c r="B482" i="22"/>
  <c r="B483" i="22"/>
  <c r="B484" i="22"/>
  <c r="B485" i="22"/>
  <c r="B486" i="22"/>
  <c r="B487" i="22"/>
  <c r="B488" i="22"/>
  <c r="B489" i="22"/>
  <c r="B490" i="22"/>
  <c r="B491" i="22"/>
  <c r="B492" i="22"/>
  <c r="B493" i="22"/>
  <c r="B494" i="22"/>
  <c r="B495" i="22"/>
  <c r="B496" i="22"/>
  <c r="B497" i="22"/>
  <c r="B498" i="22"/>
  <c r="B499" i="22"/>
  <c r="B500" i="22"/>
  <c r="B501" i="22"/>
  <c r="B502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24" i="22"/>
  <c r="B525" i="22"/>
  <c r="B526" i="22"/>
  <c r="B527" i="22"/>
  <c r="B528" i="22"/>
  <c r="B529" i="22"/>
  <c r="B530" i="22"/>
  <c r="B531" i="22"/>
  <c r="B532" i="22"/>
  <c r="B533" i="22"/>
  <c r="B534" i="22"/>
  <c r="B535" i="22"/>
  <c r="B536" i="22"/>
  <c r="B537" i="22"/>
  <c r="B538" i="22"/>
  <c r="B539" i="22"/>
  <c r="B540" i="22"/>
  <c r="B541" i="22"/>
  <c r="B542" i="22"/>
  <c r="B543" i="22"/>
  <c r="B544" i="22"/>
  <c r="B545" i="22"/>
  <c r="B546" i="22"/>
  <c r="B547" i="22"/>
  <c r="B548" i="22"/>
  <c r="B549" i="22"/>
  <c r="B550" i="22"/>
  <c r="B551" i="22"/>
  <c r="B552" i="22"/>
  <c r="B553" i="22"/>
  <c r="B554" i="22"/>
  <c r="B555" i="22"/>
  <c r="B556" i="22"/>
  <c r="B557" i="22"/>
  <c r="B558" i="22"/>
  <c r="B559" i="22"/>
  <c r="B560" i="22"/>
  <c r="B561" i="22"/>
  <c r="B562" i="22"/>
  <c r="B563" i="22"/>
  <c r="B564" i="22"/>
  <c r="B565" i="22"/>
  <c r="B566" i="22"/>
  <c r="B567" i="22"/>
  <c r="B568" i="22"/>
  <c r="B569" i="22"/>
  <c r="B570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3" i="22"/>
  <c r="B584" i="22"/>
  <c r="B585" i="22"/>
  <c r="B586" i="22"/>
  <c r="B587" i="22"/>
  <c r="B588" i="22"/>
  <c r="B589" i="22"/>
  <c r="B590" i="22"/>
  <c r="B591" i="22"/>
  <c r="B592" i="22"/>
  <c r="B593" i="22"/>
  <c r="B594" i="22"/>
  <c r="B595" i="22"/>
  <c r="B596" i="22"/>
  <c r="B597" i="22"/>
  <c r="B598" i="22"/>
  <c r="B599" i="22"/>
  <c r="B600" i="22"/>
  <c r="B601" i="22"/>
  <c r="B602" i="22"/>
  <c r="B603" i="22"/>
  <c r="B604" i="22"/>
  <c r="B605" i="22"/>
  <c r="B606" i="22"/>
  <c r="B607" i="22"/>
  <c r="B608" i="22"/>
  <c r="B609" i="22"/>
  <c r="B610" i="22"/>
  <c r="B611" i="22"/>
  <c r="B612" i="22"/>
  <c r="B613" i="22"/>
  <c r="B614" i="22"/>
  <c r="B615" i="22"/>
  <c r="B616" i="22"/>
  <c r="B617" i="22"/>
  <c r="B618" i="22"/>
  <c r="B619" i="22"/>
  <c r="B620" i="22"/>
  <c r="B621" i="22"/>
  <c r="B622" i="22"/>
  <c r="B623" i="22"/>
  <c r="B624" i="22"/>
  <c r="B625" i="22"/>
  <c r="B626" i="22"/>
  <c r="B627" i="22"/>
  <c r="B628" i="22"/>
  <c r="B629" i="22"/>
  <c r="B630" i="22"/>
  <c r="B631" i="22"/>
  <c r="B632" i="22"/>
  <c r="B633" i="22"/>
  <c r="B634" i="22"/>
  <c r="B635" i="22"/>
  <c r="B636" i="22"/>
  <c r="B637" i="22"/>
  <c r="B638" i="22"/>
  <c r="B639" i="22"/>
  <c r="B640" i="22"/>
  <c r="B641" i="22"/>
  <c r="B642" i="22"/>
  <c r="B643" i="22"/>
  <c r="B644" i="22"/>
  <c r="B645" i="22"/>
  <c r="B646" i="22"/>
  <c r="B647" i="22"/>
  <c r="B648" i="22"/>
  <c r="B649" i="22"/>
  <c r="B650" i="22"/>
  <c r="B651" i="22"/>
  <c r="B652" i="22"/>
  <c r="B653" i="22"/>
  <c r="B654" i="22"/>
  <c r="B655" i="22"/>
  <c r="B656" i="22"/>
  <c r="B657" i="22"/>
  <c r="B658" i="22"/>
  <c r="B659" i="22"/>
  <c r="B660" i="22"/>
  <c r="B661" i="22"/>
  <c r="B662" i="22"/>
  <c r="B663" i="22"/>
  <c r="B664" i="22"/>
  <c r="B665" i="22"/>
  <c r="B666" i="22"/>
  <c r="B667" i="22"/>
  <c r="B668" i="22"/>
  <c r="B669" i="22"/>
  <c r="B670" i="22"/>
  <c r="B671" i="22"/>
  <c r="B672" i="22"/>
  <c r="B673" i="22"/>
  <c r="B674" i="22"/>
  <c r="B675" i="22"/>
  <c r="B676" i="22"/>
  <c r="B677" i="22"/>
  <c r="B678" i="22"/>
  <c r="B679" i="22"/>
  <c r="B680" i="22"/>
  <c r="B681" i="22"/>
  <c r="B682" i="22"/>
  <c r="B683" i="22"/>
  <c r="B684" i="22"/>
  <c r="B685" i="22"/>
  <c r="B686" i="22"/>
  <c r="B687" i="22"/>
  <c r="B688" i="22"/>
  <c r="B689" i="22"/>
  <c r="B690" i="22"/>
  <c r="B691" i="22"/>
  <c r="B692" i="22"/>
  <c r="B693" i="22"/>
  <c r="B694" i="22"/>
  <c r="B695" i="22"/>
  <c r="B696" i="22"/>
  <c r="B697" i="22"/>
  <c r="B698" i="22"/>
  <c r="B699" i="22"/>
  <c r="B700" i="22"/>
  <c r="B701" i="22"/>
  <c r="B702" i="22"/>
  <c r="B703" i="22"/>
  <c r="B704" i="22"/>
  <c r="B705" i="22"/>
  <c r="B706" i="22"/>
  <c r="B707" i="22"/>
  <c r="B708" i="22"/>
  <c r="B709" i="22"/>
  <c r="B710" i="22"/>
  <c r="B711" i="22"/>
  <c r="B712" i="22"/>
  <c r="B713" i="22"/>
  <c r="B714" i="22"/>
  <c r="B715" i="22"/>
  <c r="B716" i="22"/>
  <c r="B717" i="22"/>
  <c r="B718" i="22"/>
  <c r="B719" i="22"/>
  <c r="B720" i="22"/>
  <c r="B721" i="22"/>
  <c r="B722" i="22"/>
  <c r="B723" i="22"/>
  <c r="B724" i="22"/>
  <c r="B725" i="22"/>
  <c r="B726" i="22"/>
  <c r="B727" i="22"/>
  <c r="B728" i="22"/>
  <c r="B729" i="22"/>
  <c r="B730" i="22"/>
  <c r="B731" i="22"/>
  <c r="B732" i="22"/>
  <c r="B733" i="22"/>
  <c r="B734" i="22"/>
  <c r="B735" i="22"/>
  <c r="B736" i="22"/>
  <c r="B737" i="22"/>
  <c r="B738" i="22"/>
  <c r="B739" i="22"/>
  <c r="B740" i="22"/>
  <c r="B741" i="22"/>
  <c r="B742" i="22"/>
  <c r="B743" i="22"/>
  <c r="B744" i="22"/>
  <c r="B745" i="22"/>
  <c r="B746" i="22"/>
  <c r="B747" i="22"/>
  <c r="B748" i="22"/>
  <c r="B749" i="22"/>
  <c r="B750" i="22"/>
  <c r="B751" i="22"/>
  <c r="B752" i="22"/>
  <c r="B753" i="22"/>
  <c r="B754" i="22"/>
  <c r="B755" i="22"/>
  <c r="B756" i="22"/>
  <c r="B757" i="22"/>
  <c r="B758" i="22"/>
  <c r="B759" i="22"/>
  <c r="B760" i="22"/>
  <c r="B761" i="22"/>
  <c r="B762" i="22"/>
  <c r="B763" i="22"/>
  <c r="B764" i="22"/>
  <c r="B765" i="22"/>
  <c r="B766" i="22"/>
  <c r="B767" i="22"/>
  <c r="B768" i="22"/>
  <c r="B769" i="22"/>
  <c r="B770" i="22"/>
  <c r="B771" i="22"/>
  <c r="B772" i="22"/>
  <c r="B773" i="22"/>
  <c r="B774" i="22"/>
  <c r="B775" i="22"/>
  <c r="B776" i="22"/>
  <c r="B777" i="22"/>
  <c r="B778" i="22"/>
  <c r="B779" i="22"/>
  <c r="B780" i="22"/>
  <c r="B781" i="22"/>
  <c r="B782" i="22"/>
  <c r="B783" i="22"/>
  <c r="B784" i="22"/>
  <c r="B785" i="22"/>
  <c r="B786" i="22"/>
  <c r="B787" i="22"/>
  <c r="B788" i="22"/>
  <c r="B789" i="22"/>
  <c r="B790" i="22"/>
  <c r="B791" i="22"/>
  <c r="B792" i="22"/>
  <c r="B793" i="22"/>
  <c r="B794" i="22"/>
  <c r="B795" i="22"/>
  <c r="B796" i="22"/>
  <c r="B797" i="22"/>
  <c r="B798" i="22"/>
  <c r="B799" i="22"/>
  <c r="B800" i="22"/>
  <c r="B801" i="22"/>
  <c r="B802" i="22"/>
  <c r="B803" i="22"/>
  <c r="B804" i="22"/>
  <c r="B805" i="22"/>
  <c r="B806" i="22"/>
  <c r="B807" i="22"/>
  <c r="B808" i="22"/>
  <c r="B809" i="22"/>
  <c r="B810" i="22"/>
  <c r="B811" i="22"/>
  <c r="B812" i="22"/>
  <c r="B813" i="22"/>
  <c r="B814" i="22"/>
  <c r="B815" i="22"/>
  <c r="B816" i="22"/>
  <c r="B817" i="22"/>
  <c r="B818" i="22"/>
  <c r="B819" i="22"/>
  <c r="B820" i="22"/>
  <c r="B821" i="22"/>
  <c r="B822" i="22"/>
  <c r="B823" i="22"/>
  <c r="B824" i="22"/>
  <c r="B825" i="22"/>
  <c r="B826" i="22"/>
  <c r="B827" i="22"/>
  <c r="B828" i="22"/>
  <c r="B829" i="22"/>
  <c r="B830" i="22"/>
  <c r="B831" i="22"/>
  <c r="B832" i="22"/>
  <c r="B833" i="22"/>
  <c r="B834" i="22"/>
  <c r="B835" i="22"/>
  <c r="B836" i="22"/>
  <c r="B837" i="22"/>
  <c r="B838" i="22"/>
  <c r="B839" i="22"/>
  <c r="B840" i="22"/>
  <c r="B841" i="22"/>
  <c r="B842" i="22"/>
  <c r="B843" i="22"/>
  <c r="B844" i="22"/>
  <c r="B845" i="22"/>
  <c r="B846" i="22"/>
  <c r="B847" i="22"/>
  <c r="B848" i="22"/>
  <c r="B849" i="22"/>
  <c r="B850" i="22"/>
  <c r="B851" i="22"/>
  <c r="B852" i="22"/>
  <c r="B853" i="22"/>
  <c r="B854" i="22"/>
  <c r="B855" i="22"/>
  <c r="B856" i="22"/>
  <c r="B857" i="22"/>
  <c r="B858" i="22"/>
  <c r="B859" i="22"/>
  <c r="B860" i="22"/>
  <c r="B861" i="22"/>
  <c r="B862" i="22"/>
  <c r="B863" i="22"/>
  <c r="B864" i="22"/>
  <c r="B865" i="22"/>
  <c r="B866" i="22"/>
  <c r="B867" i="22"/>
  <c r="B868" i="22"/>
  <c r="B869" i="22"/>
  <c r="B870" i="22"/>
  <c r="B871" i="22"/>
  <c r="B872" i="22"/>
  <c r="B873" i="22"/>
  <c r="B874" i="22"/>
  <c r="B875" i="22"/>
  <c r="B876" i="22"/>
  <c r="B877" i="22"/>
  <c r="B878" i="22"/>
  <c r="B879" i="22"/>
  <c r="B880" i="22"/>
  <c r="B881" i="22"/>
  <c r="B882" i="22"/>
  <c r="B883" i="22"/>
  <c r="B884" i="22"/>
  <c r="B885" i="22"/>
  <c r="B886" i="22"/>
  <c r="B887" i="22"/>
  <c r="B888" i="22"/>
  <c r="B889" i="22"/>
  <c r="B890" i="22"/>
  <c r="B891" i="22"/>
  <c r="B892" i="22"/>
  <c r="B893" i="22"/>
  <c r="B894" i="22"/>
  <c r="B895" i="22"/>
  <c r="B896" i="22"/>
  <c r="B897" i="22"/>
  <c r="B898" i="22"/>
  <c r="B899" i="22"/>
  <c r="B900" i="22"/>
  <c r="B901" i="22"/>
  <c r="B902" i="22"/>
  <c r="B903" i="22"/>
  <c r="B904" i="22"/>
  <c r="B905" i="22"/>
  <c r="B906" i="22"/>
  <c r="B907" i="22"/>
  <c r="B908" i="22"/>
  <c r="B909" i="22"/>
  <c r="B910" i="22"/>
  <c r="B911" i="22"/>
  <c r="B912" i="22"/>
  <c r="B913" i="22"/>
  <c r="B914" i="22"/>
  <c r="B915" i="22"/>
  <c r="B916" i="22"/>
  <c r="B917" i="22"/>
  <c r="B918" i="22"/>
  <c r="B919" i="22"/>
  <c r="B920" i="22"/>
  <c r="B921" i="22"/>
  <c r="B922" i="22"/>
  <c r="B923" i="22"/>
  <c r="B924" i="22"/>
  <c r="B925" i="22"/>
  <c r="B926" i="22"/>
  <c r="B927" i="22"/>
  <c r="B928" i="22"/>
  <c r="B929" i="22"/>
  <c r="B930" i="22"/>
  <c r="B931" i="22"/>
  <c r="B932" i="22"/>
  <c r="B933" i="22"/>
  <c r="B934" i="22"/>
  <c r="B935" i="22"/>
  <c r="B936" i="22"/>
  <c r="B937" i="22"/>
  <c r="B938" i="22"/>
  <c r="B939" i="22"/>
  <c r="B940" i="22"/>
  <c r="B941" i="22"/>
  <c r="B942" i="22"/>
  <c r="B943" i="22"/>
  <c r="B944" i="22"/>
  <c r="B945" i="22"/>
  <c r="B946" i="22"/>
  <c r="B947" i="22"/>
  <c r="B948" i="22"/>
  <c r="B949" i="22"/>
  <c r="B950" i="22"/>
  <c r="B951" i="22"/>
  <c r="B952" i="22"/>
  <c r="B953" i="22"/>
  <c r="B954" i="22"/>
  <c r="B955" i="22"/>
  <c r="B956" i="22"/>
  <c r="B957" i="22"/>
  <c r="B958" i="22"/>
  <c r="B959" i="22"/>
  <c r="B960" i="22"/>
  <c r="B961" i="22"/>
  <c r="B962" i="22"/>
  <c r="B963" i="22"/>
  <c r="B964" i="22"/>
  <c r="B965" i="22"/>
  <c r="B966" i="22"/>
  <c r="B967" i="22"/>
  <c r="B968" i="22"/>
  <c r="B969" i="22"/>
  <c r="B970" i="22"/>
  <c r="B971" i="22"/>
  <c r="B972" i="22"/>
  <c r="B973" i="22"/>
  <c r="B974" i="22"/>
  <c r="B975" i="22"/>
  <c r="B976" i="22"/>
  <c r="B977" i="22"/>
  <c r="B978" i="22"/>
  <c r="B979" i="22"/>
  <c r="B980" i="22"/>
  <c r="B981" i="22"/>
  <c r="B982" i="22"/>
  <c r="B983" i="22"/>
  <c r="B984" i="22"/>
  <c r="B985" i="22"/>
  <c r="B986" i="22"/>
  <c r="B987" i="22"/>
  <c r="B988" i="22"/>
  <c r="B989" i="22"/>
  <c r="B990" i="22"/>
  <c r="B991" i="22"/>
  <c r="B992" i="22"/>
  <c r="B993" i="22"/>
  <c r="B994" i="22"/>
  <c r="B995" i="22"/>
  <c r="B996" i="22"/>
  <c r="B997" i="22"/>
  <c r="B998" i="22"/>
  <c r="B999" i="22"/>
  <c r="B1000" i="22"/>
  <c r="B1001" i="22"/>
  <c r="B1002" i="22"/>
  <c r="B1003" i="22"/>
  <c r="B1004" i="22"/>
  <c r="B1005" i="22"/>
  <c r="B1006" i="22"/>
  <c r="B1007" i="22"/>
  <c r="B1008" i="22"/>
  <c r="B1009" i="22"/>
  <c r="B1010" i="22"/>
  <c r="B1011" i="22"/>
  <c r="B1012" i="22"/>
  <c r="B1013" i="22"/>
  <c r="B1014" i="22"/>
  <c r="B1015" i="22"/>
  <c r="B1016" i="22"/>
  <c r="B1017" i="22"/>
  <c r="B1018" i="22"/>
  <c r="B1019" i="22"/>
  <c r="B1020" i="22"/>
  <c r="B1021" i="22"/>
  <c r="B1022" i="22"/>
  <c r="B1023" i="22"/>
  <c r="B1024" i="22"/>
  <c r="B1025" i="22"/>
  <c r="B1026" i="22"/>
  <c r="B1027" i="22"/>
  <c r="B1028" i="22"/>
  <c r="B1029" i="22"/>
  <c r="B1030" i="22"/>
  <c r="B1031" i="22"/>
  <c r="B1032" i="22"/>
  <c r="B1033" i="22"/>
  <c r="B1034" i="22"/>
  <c r="B1035" i="22"/>
  <c r="B1036" i="22"/>
  <c r="B1037" i="22"/>
  <c r="B1038" i="22"/>
  <c r="B1039" i="22"/>
  <c r="B1040" i="22"/>
  <c r="B1041" i="22"/>
  <c r="B1042" i="22"/>
  <c r="B1043" i="22"/>
  <c r="B1044" i="22"/>
  <c r="B1045" i="22"/>
  <c r="B1046" i="22"/>
  <c r="B1047" i="22"/>
  <c r="B1048" i="22"/>
  <c r="B1049" i="22"/>
  <c r="B1050" i="22"/>
  <c r="B1051" i="22"/>
  <c r="B1052" i="22"/>
  <c r="B1053" i="22"/>
  <c r="B1054" i="22"/>
  <c r="B1055" i="22"/>
  <c r="B1056" i="22"/>
  <c r="B1057" i="22"/>
  <c r="B1058" i="22"/>
  <c r="B1059" i="22"/>
  <c r="B1060" i="22"/>
  <c r="B1061" i="22"/>
  <c r="B1062" i="22"/>
  <c r="B1063" i="22"/>
  <c r="B1064" i="22"/>
  <c r="B1065" i="22"/>
  <c r="B1066" i="22"/>
  <c r="B1067" i="22"/>
  <c r="B1068" i="22"/>
  <c r="B1069" i="22"/>
  <c r="B1070" i="22"/>
  <c r="B1071" i="22"/>
  <c r="B1072" i="22"/>
  <c r="B1073" i="22"/>
  <c r="B1074" i="22"/>
  <c r="B1075" i="22"/>
  <c r="B1076" i="22"/>
  <c r="B1077" i="22"/>
  <c r="B1078" i="22"/>
  <c r="B1079" i="22"/>
  <c r="B1080" i="22"/>
  <c r="B1081" i="22"/>
  <c r="B1082" i="22"/>
  <c r="B1083" i="22"/>
  <c r="B1084" i="22"/>
  <c r="B1085" i="22"/>
  <c r="B1086" i="22"/>
  <c r="B1087" i="22"/>
  <c r="B1088" i="22"/>
  <c r="B1089" i="22"/>
  <c r="B1090" i="22"/>
  <c r="B1091" i="22"/>
  <c r="B1092" i="22"/>
  <c r="B1093" i="22"/>
  <c r="B1094" i="22"/>
  <c r="B1095" i="22"/>
  <c r="B1096" i="22"/>
  <c r="B1097" i="22"/>
  <c r="B1098" i="22"/>
  <c r="B1099" i="22"/>
  <c r="B1100" i="22"/>
  <c r="B1101" i="22"/>
  <c r="B1102" i="22"/>
  <c r="B1103" i="22"/>
  <c r="B1104" i="22"/>
  <c r="B1105" i="22"/>
  <c r="B1106" i="22"/>
  <c r="B1107" i="22"/>
  <c r="B1108" i="22"/>
  <c r="B1109" i="22"/>
  <c r="B1110" i="22"/>
  <c r="B1111" i="22"/>
  <c r="B1112" i="22"/>
  <c r="B1113" i="22"/>
  <c r="B1114" i="22"/>
  <c r="B1115" i="22"/>
  <c r="B1116" i="22"/>
  <c r="B1117" i="22"/>
  <c r="B1118" i="22"/>
  <c r="B1119" i="22"/>
  <c r="B1120" i="22"/>
  <c r="B1121" i="22"/>
  <c r="B1122" i="22"/>
  <c r="B1123" i="22"/>
  <c r="B1124" i="22"/>
  <c r="B1125" i="22"/>
  <c r="B1126" i="22"/>
  <c r="B1127" i="22"/>
  <c r="B1128" i="22"/>
  <c r="B1129" i="22"/>
  <c r="B1130" i="22"/>
  <c r="B1131" i="22"/>
  <c r="B1132" i="22"/>
  <c r="B1133" i="22"/>
  <c r="B1134" i="22"/>
  <c r="B1135" i="22"/>
  <c r="B1136" i="22"/>
  <c r="B1137" i="22"/>
  <c r="B1138" i="22"/>
  <c r="B1139" i="22"/>
  <c r="B1140" i="22"/>
  <c r="B1141" i="22"/>
  <c r="B1142" i="22"/>
  <c r="B1143" i="22"/>
  <c r="B1144" i="22"/>
  <c r="B1145" i="22"/>
  <c r="B1146" i="22"/>
  <c r="B1147" i="22"/>
  <c r="B1148" i="22"/>
  <c r="B1149" i="22"/>
  <c r="B1150" i="22"/>
  <c r="B1151" i="22"/>
  <c r="B1152" i="22"/>
  <c r="B1153" i="22"/>
  <c r="B1154" i="22"/>
  <c r="B1155" i="22"/>
  <c r="B1156" i="22"/>
  <c r="B1157" i="22"/>
  <c r="B1158" i="22"/>
  <c r="B1159" i="22"/>
  <c r="B1160" i="22"/>
  <c r="B1161" i="22"/>
  <c r="B1162" i="22"/>
  <c r="B1163" i="22"/>
  <c r="B1164" i="22"/>
  <c r="B1165" i="22"/>
  <c r="B1166" i="22"/>
  <c r="B1167" i="22"/>
  <c r="B1168" i="22"/>
  <c r="B1169" i="22"/>
  <c r="B1170" i="22"/>
  <c r="B1171" i="22"/>
  <c r="B1172" i="22"/>
  <c r="B1173" i="22"/>
  <c r="B1174" i="22"/>
  <c r="B1175" i="22"/>
  <c r="B1176" i="22"/>
  <c r="B1177" i="22"/>
  <c r="B1178" i="22"/>
  <c r="B1179" i="22"/>
  <c r="B1180" i="22"/>
  <c r="B1181" i="22"/>
  <c r="B1182" i="22"/>
  <c r="B1183" i="22"/>
  <c r="B1184" i="22"/>
  <c r="B1185" i="22"/>
  <c r="B1186" i="22"/>
  <c r="B1187" i="22"/>
  <c r="B1188" i="22"/>
  <c r="B1189" i="22"/>
  <c r="B1190" i="22"/>
  <c r="B1191" i="22"/>
  <c r="B1192" i="22"/>
  <c r="B1193" i="22"/>
  <c r="B1194" i="22"/>
  <c r="B1195" i="22"/>
  <c r="B1196" i="22"/>
  <c r="B1197" i="22"/>
  <c r="B1198" i="22"/>
  <c r="B1199" i="22"/>
  <c r="B1200" i="22"/>
  <c r="B1201" i="22"/>
  <c r="B1202" i="22"/>
  <c r="B1203" i="22"/>
  <c r="B1204" i="22"/>
  <c r="B1205" i="22"/>
  <c r="B1206" i="22"/>
  <c r="B1207" i="22"/>
  <c r="B1208" i="22"/>
  <c r="B1209" i="22"/>
  <c r="B1210" i="22"/>
  <c r="B1211" i="22"/>
  <c r="B1212" i="22"/>
  <c r="B1213" i="22"/>
  <c r="B1214" i="22"/>
  <c r="B1215" i="22"/>
  <c r="B1216" i="22"/>
  <c r="B1217" i="22"/>
  <c r="B1218" i="22"/>
  <c r="B1219" i="22"/>
  <c r="B1220" i="22"/>
  <c r="B1221" i="22"/>
  <c r="B1222" i="22"/>
  <c r="B1223" i="22"/>
  <c r="B1224" i="22"/>
  <c r="B1225" i="22"/>
  <c r="B1226" i="22"/>
  <c r="B1227" i="22"/>
  <c r="B1228" i="22"/>
  <c r="B1229" i="22"/>
  <c r="B1230" i="22"/>
  <c r="B1231" i="22"/>
  <c r="B1232" i="22"/>
  <c r="B1233" i="22"/>
  <c r="B1234" i="22"/>
  <c r="B1235" i="22"/>
  <c r="B1236" i="22"/>
  <c r="B1237" i="22"/>
  <c r="B1238" i="22"/>
  <c r="B1239" i="22"/>
  <c r="B1240" i="22"/>
  <c r="B1241" i="22"/>
  <c r="B1242" i="22"/>
  <c r="B1243" i="22"/>
  <c r="B1244" i="22"/>
  <c r="B1245" i="22"/>
  <c r="B1246" i="22"/>
  <c r="B1247" i="22"/>
  <c r="B1248" i="22"/>
  <c r="B1249" i="22"/>
  <c r="B1250" i="22"/>
  <c r="B1251" i="22"/>
  <c r="B1252" i="22"/>
  <c r="B1253" i="22"/>
  <c r="B1254" i="22"/>
  <c r="B1255" i="22"/>
  <c r="B1256" i="22"/>
  <c r="B1257" i="22"/>
  <c r="B1258" i="22"/>
  <c r="B1259" i="22"/>
  <c r="B1260" i="22"/>
  <c r="B1261" i="22"/>
  <c r="B1262" i="22"/>
  <c r="B1263" i="22"/>
  <c r="B1264" i="22"/>
  <c r="B1265" i="22"/>
  <c r="B1266" i="22"/>
  <c r="B1267" i="22"/>
  <c r="B1268" i="22"/>
  <c r="B1269" i="22"/>
  <c r="B1270" i="22"/>
  <c r="B1271" i="22"/>
  <c r="B1272" i="22"/>
  <c r="B1273" i="22"/>
  <c r="B1274" i="22"/>
  <c r="B1275" i="22"/>
  <c r="B1276" i="22"/>
  <c r="B1277" i="22"/>
  <c r="B1278" i="22"/>
  <c r="B1279" i="22"/>
  <c r="B1280" i="22"/>
  <c r="B1281" i="22"/>
  <c r="B1282" i="22"/>
  <c r="B1283" i="22"/>
  <c r="B1284" i="22"/>
  <c r="B1285" i="22"/>
  <c r="B1286" i="22"/>
  <c r="B1287" i="22"/>
  <c r="B1288" i="22"/>
  <c r="B1289" i="22"/>
  <c r="B1290" i="22"/>
  <c r="B1291" i="22"/>
  <c r="B1292" i="22"/>
  <c r="B1293" i="22"/>
  <c r="B1294" i="22"/>
  <c r="B1295" i="22"/>
  <c r="B1296" i="22"/>
  <c r="B1297" i="22"/>
  <c r="B1298" i="22"/>
  <c r="B1299" i="22"/>
  <c r="B1300" i="22"/>
  <c r="B1301" i="22"/>
  <c r="B1302" i="22"/>
  <c r="B1303" i="22"/>
  <c r="B1304" i="22"/>
  <c r="B1305" i="22"/>
  <c r="B1306" i="22"/>
  <c r="B1307" i="22"/>
  <c r="B1308" i="22"/>
  <c r="B1309" i="22"/>
  <c r="B1310" i="22"/>
  <c r="B1311" i="22"/>
  <c r="B1312" i="22"/>
  <c r="B1313" i="22"/>
  <c r="B1314" i="22"/>
  <c r="B1315" i="22"/>
  <c r="B1316" i="22"/>
  <c r="B1317" i="22"/>
  <c r="B1318" i="22"/>
  <c r="B1319" i="22"/>
  <c r="B1320" i="22"/>
  <c r="B1321" i="22"/>
  <c r="B1322" i="22"/>
  <c r="B1323" i="22"/>
  <c r="B1324" i="22"/>
  <c r="B1325" i="22"/>
  <c r="B1326" i="22"/>
  <c r="B1327" i="22"/>
  <c r="B1328" i="22"/>
  <c r="B1329" i="22"/>
  <c r="B1330" i="22"/>
  <c r="B1331" i="22"/>
  <c r="B1332" i="22"/>
  <c r="B1333" i="22"/>
  <c r="B1334" i="22"/>
  <c r="B1335" i="22"/>
  <c r="B1336" i="22"/>
  <c r="B1337" i="22"/>
  <c r="B1338" i="22"/>
  <c r="B1339" i="22"/>
  <c r="B1340" i="22"/>
  <c r="B1341" i="22"/>
  <c r="B1342" i="22"/>
  <c r="B1343" i="22"/>
  <c r="B1344" i="22"/>
  <c r="B1345" i="22"/>
  <c r="B1346" i="22"/>
  <c r="B1347" i="22"/>
  <c r="B1348" i="22"/>
  <c r="B1349" i="22"/>
  <c r="B1350" i="22"/>
  <c r="B1351" i="22"/>
  <c r="B1352" i="22"/>
  <c r="B1353" i="22"/>
  <c r="B1354" i="22"/>
  <c r="B1355" i="22"/>
  <c r="B1356" i="22"/>
  <c r="B1357" i="22"/>
  <c r="B1358" i="22"/>
  <c r="B1359" i="22"/>
  <c r="B1360" i="22"/>
  <c r="B1361" i="22"/>
  <c r="B1362" i="22"/>
  <c r="B1363" i="22"/>
  <c r="B1364" i="22"/>
  <c r="B1365" i="22"/>
  <c r="B1366" i="22"/>
  <c r="B1367" i="22"/>
  <c r="B1368" i="22"/>
  <c r="B1369" i="22"/>
  <c r="B1370" i="22"/>
  <c r="B1371" i="22"/>
  <c r="B1372" i="22"/>
  <c r="B1373" i="22"/>
  <c r="B1374" i="22"/>
  <c r="B1375" i="22"/>
  <c r="B1376" i="22"/>
  <c r="B1377" i="22"/>
  <c r="B1378" i="22"/>
  <c r="B1379" i="22"/>
  <c r="B1380" i="22"/>
  <c r="B1381" i="22"/>
  <c r="B1382" i="22"/>
  <c r="B1383" i="22"/>
  <c r="B1384" i="22"/>
  <c r="B1385" i="22"/>
  <c r="B1386" i="22"/>
  <c r="B1387" i="22"/>
  <c r="B1388" i="22"/>
  <c r="B1389" i="22"/>
  <c r="B1390" i="22"/>
  <c r="B1391" i="22"/>
  <c r="B1392" i="22"/>
  <c r="B1393" i="22"/>
  <c r="B1394" i="22"/>
  <c r="B1395" i="22"/>
  <c r="B1396" i="22"/>
  <c r="B1397" i="22"/>
  <c r="B1398" i="22"/>
  <c r="B1399" i="22"/>
  <c r="B1400" i="22"/>
  <c r="B1401" i="22"/>
  <c r="B1402" i="22"/>
  <c r="B1403" i="22"/>
  <c r="B1404" i="22"/>
  <c r="B1405" i="22"/>
  <c r="B1406" i="22"/>
  <c r="B1407" i="22"/>
  <c r="B1408" i="22"/>
  <c r="B1409" i="22"/>
  <c r="B1410" i="22"/>
  <c r="B1411" i="22"/>
  <c r="B1412" i="22"/>
  <c r="B1413" i="22"/>
  <c r="B1414" i="22"/>
  <c r="B1415" i="22"/>
  <c r="B1416" i="22"/>
  <c r="B1417" i="22"/>
  <c r="B1418" i="22"/>
  <c r="B1419" i="22"/>
  <c r="B1420" i="22"/>
  <c r="B1421" i="22"/>
  <c r="B1422" i="22"/>
  <c r="B1423" i="22"/>
  <c r="B1424" i="22"/>
  <c r="B1425" i="22"/>
  <c r="B1426" i="22"/>
  <c r="B1427" i="22"/>
  <c r="B1428" i="22"/>
  <c r="B1429" i="22"/>
  <c r="B1430" i="22"/>
  <c r="B1431" i="22"/>
  <c r="B1432" i="22"/>
  <c r="B1433" i="22"/>
  <c r="B1434" i="22"/>
  <c r="B1435" i="22"/>
  <c r="B1436" i="22"/>
  <c r="B1437" i="22"/>
  <c r="B1438" i="22"/>
  <c r="B1439" i="22"/>
  <c r="B1440" i="22"/>
  <c r="B1441" i="22"/>
  <c r="B1442" i="22"/>
  <c r="B1443" i="22"/>
  <c r="B1444" i="22"/>
  <c r="B1445" i="22"/>
  <c r="B1446" i="22"/>
  <c r="B1447" i="22"/>
  <c r="B1448" i="22"/>
  <c r="B1449" i="22"/>
  <c r="B1450" i="22"/>
  <c r="B1451" i="22"/>
  <c r="B1452" i="22"/>
  <c r="B1453" i="22"/>
  <c r="B1454" i="22"/>
  <c r="B1455" i="22"/>
  <c r="B1456" i="22"/>
  <c r="B1457" i="22"/>
  <c r="B1458" i="22"/>
  <c r="B1459" i="22"/>
  <c r="B1460" i="22"/>
  <c r="B1461" i="22"/>
  <c r="B1462" i="22"/>
  <c r="B1463" i="22"/>
  <c r="B1464" i="22"/>
  <c r="B1465" i="22"/>
  <c r="B1466" i="22"/>
  <c r="B1467" i="22"/>
  <c r="B1468" i="22"/>
  <c r="B1469" i="22"/>
  <c r="B1470" i="22"/>
  <c r="B1471" i="22"/>
  <c r="B1472" i="22"/>
  <c r="B1473" i="22"/>
  <c r="B1474" i="22"/>
  <c r="B1475" i="22"/>
  <c r="B1476" i="22"/>
  <c r="B1477" i="22"/>
  <c r="B1478" i="22"/>
  <c r="B1479" i="22"/>
  <c r="B1480" i="22"/>
  <c r="B1481" i="22"/>
  <c r="B1482" i="22"/>
  <c r="B1483" i="22"/>
  <c r="B1484" i="22"/>
  <c r="B1485" i="22"/>
  <c r="B1486" i="22"/>
  <c r="B1487" i="22"/>
  <c r="B1488" i="22"/>
  <c r="B1489" i="22"/>
  <c r="B1490" i="22"/>
  <c r="B1491" i="22"/>
  <c r="B1492" i="22"/>
  <c r="B1493" i="22"/>
  <c r="B1494" i="22"/>
  <c r="B1495" i="22"/>
  <c r="B1496" i="22"/>
  <c r="B1497" i="22"/>
  <c r="B1498" i="22"/>
  <c r="B1499" i="22"/>
  <c r="B1500" i="22"/>
  <c r="B1501" i="22"/>
  <c r="B1502" i="22"/>
  <c r="B1503" i="22"/>
  <c r="B1504" i="22"/>
  <c r="B1505" i="22"/>
  <c r="B1506" i="22"/>
  <c r="B1507" i="22"/>
  <c r="B1508" i="22"/>
  <c r="B1509" i="22"/>
  <c r="B1510" i="22"/>
  <c r="B1511" i="22"/>
  <c r="B1512" i="22"/>
  <c r="B1513" i="22"/>
  <c r="B1514" i="22"/>
  <c r="B1515" i="22"/>
  <c r="B1516" i="22"/>
  <c r="B1517" i="22"/>
  <c r="B1518" i="22"/>
  <c r="B1519" i="22"/>
  <c r="B1520" i="22"/>
  <c r="B1521" i="22"/>
  <c r="B1522" i="22"/>
  <c r="B1523" i="22"/>
  <c r="B1524" i="22"/>
  <c r="B1525" i="22"/>
  <c r="B1526" i="22"/>
  <c r="B1527" i="22"/>
  <c r="B1528" i="22"/>
  <c r="B1529" i="22"/>
  <c r="B1530" i="22"/>
  <c r="B1531" i="22"/>
  <c r="B1532" i="22"/>
  <c r="B1533" i="22"/>
  <c r="B1534" i="22"/>
  <c r="B1535" i="22"/>
  <c r="B1536" i="22"/>
  <c r="B1537" i="22"/>
  <c r="B1538" i="22"/>
  <c r="B1539" i="22"/>
  <c r="B1540" i="22"/>
  <c r="B1541" i="22"/>
  <c r="B1542" i="22"/>
  <c r="B1543" i="22"/>
  <c r="B1544" i="22"/>
  <c r="B1545" i="22"/>
  <c r="B1546" i="22"/>
  <c r="B1547" i="22"/>
  <c r="B1548" i="22"/>
  <c r="B1549" i="22"/>
  <c r="B1550" i="22"/>
  <c r="B1551" i="22"/>
  <c r="B1552" i="22"/>
  <c r="B1553" i="22"/>
  <c r="B1554" i="22"/>
  <c r="B1555" i="22"/>
  <c r="B1556" i="22"/>
  <c r="B1557" i="22"/>
  <c r="B1558" i="22"/>
  <c r="B1559" i="22"/>
  <c r="B1560" i="22"/>
  <c r="B1561" i="22"/>
  <c r="B1562" i="22"/>
  <c r="B1563" i="22"/>
  <c r="B1564" i="22"/>
  <c r="B1565" i="22"/>
  <c r="B1566" i="22"/>
  <c r="B1567" i="22"/>
  <c r="B1568" i="22"/>
  <c r="B1569" i="22"/>
  <c r="B1570" i="22"/>
  <c r="B1571" i="22"/>
  <c r="B1572" i="22"/>
  <c r="B1573" i="22"/>
  <c r="B1574" i="22"/>
  <c r="B1575" i="22"/>
  <c r="B1576" i="22"/>
  <c r="B1577" i="22"/>
  <c r="B1578" i="22"/>
  <c r="B1579" i="22"/>
  <c r="B1580" i="22"/>
  <c r="B1581" i="22"/>
  <c r="B1582" i="22"/>
  <c r="B1583" i="22"/>
  <c r="B1584" i="22"/>
  <c r="B1585" i="22"/>
  <c r="B1586" i="22"/>
  <c r="B1587" i="22"/>
  <c r="B1588" i="22"/>
  <c r="B1589" i="22"/>
  <c r="B1590" i="22"/>
  <c r="B1591" i="22"/>
  <c r="B1592" i="22"/>
  <c r="B1593" i="22"/>
  <c r="B1594" i="22"/>
  <c r="B1595" i="22"/>
  <c r="B1596" i="22"/>
  <c r="B1597" i="22"/>
  <c r="B1598" i="22"/>
  <c r="B1599" i="22"/>
  <c r="B1600" i="22"/>
  <c r="B1601" i="22"/>
  <c r="B1602" i="22"/>
  <c r="B1603" i="22"/>
  <c r="B1604" i="22"/>
  <c r="B1605" i="22"/>
  <c r="B1606" i="22"/>
  <c r="B1607" i="22"/>
  <c r="B1608" i="22"/>
  <c r="B1609" i="22"/>
  <c r="B1610" i="22"/>
  <c r="B1611" i="22"/>
  <c r="B1612" i="22"/>
  <c r="B1613" i="22"/>
  <c r="B1614" i="22"/>
  <c r="B1615" i="22"/>
  <c r="B1616" i="22"/>
  <c r="B1617" i="22"/>
  <c r="B1618" i="22"/>
  <c r="B1619" i="22"/>
  <c r="B1620" i="22"/>
  <c r="B1621" i="22"/>
  <c r="B1622" i="22"/>
  <c r="B1623" i="22"/>
  <c r="B1624" i="22"/>
  <c r="B1625" i="22"/>
  <c r="B1626" i="22"/>
  <c r="B1627" i="22"/>
  <c r="B1628" i="22"/>
  <c r="B1629" i="22"/>
  <c r="B1630" i="22"/>
  <c r="B1631" i="22"/>
  <c r="B1632" i="22"/>
  <c r="B1633" i="22"/>
  <c r="B1634" i="22"/>
  <c r="B1635" i="22"/>
  <c r="B1636" i="22"/>
  <c r="B1637" i="22"/>
  <c r="B1638" i="22"/>
  <c r="B1639" i="22"/>
  <c r="B1640" i="22"/>
  <c r="B1641" i="22"/>
  <c r="B1642" i="22"/>
  <c r="B1643" i="22"/>
  <c r="B1644" i="22"/>
  <c r="B1645" i="22"/>
  <c r="B1646" i="22"/>
  <c r="B1647" i="22"/>
  <c r="B1648" i="22"/>
  <c r="B1649" i="22"/>
  <c r="B1650" i="22"/>
  <c r="B1651" i="22"/>
  <c r="B1652" i="22"/>
  <c r="B1653" i="22"/>
  <c r="B1654" i="22"/>
  <c r="B1655" i="22"/>
  <c r="B1656" i="22"/>
  <c r="B1657" i="22"/>
  <c r="B1658" i="22"/>
  <c r="B1659" i="22"/>
  <c r="B1660" i="22"/>
  <c r="B1661" i="22"/>
  <c r="B1662" i="22"/>
  <c r="B1663" i="22"/>
  <c r="B1664" i="22"/>
  <c r="B1665" i="22"/>
  <c r="B1666" i="22"/>
  <c r="B1667" i="22"/>
  <c r="B1668" i="22"/>
  <c r="B1669" i="22"/>
  <c r="B1670" i="22"/>
  <c r="B1671" i="22"/>
  <c r="B1672" i="22"/>
  <c r="B1673" i="22"/>
  <c r="B1674" i="22"/>
  <c r="B1675" i="22"/>
  <c r="B1676" i="22"/>
  <c r="B1677" i="22"/>
  <c r="B1678" i="22"/>
  <c r="B1679" i="22"/>
  <c r="B1680" i="22"/>
  <c r="B1681" i="22"/>
  <c r="B1682" i="22"/>
  <c r="B1683" i="22"/>
  <c r="B1684" i="22"/>
  <c r="B1685" i="22"/>
  <c r="B1686" i="22"/>
  <c r="B1687" i="22"/>
  <c r="B1688" i="22"/>
  <c r="B1689" i="22"/>
  <c r="B1690" i="22"/>
  <c r="B1691" i="22"/>
  <c r="B1692" i="22"/>
  <c r="B1693" i="22"/>
  <c r="B1694" i="22"/>
  <c r="B1695" i="22"/>
  <c r="B1696" i="22"/>
  <c r="B1697" i="22"/>
  <c r="B1698" i="22"/>
  <c r="B1699" i="22"/>
  <c r="B1700" i="22"/>
  <c r="B1701" i="22"/>
  <c r="B1702" i="22"/>
  <c r="B1703" i="22"/>
  <c r="B1704" i="22"/>
  <c r="B1705" i="22"/>
  <c r="B1706" i="22"/>
  <c r="B1707" i="22"/>
  <c r="B1708" i="22"/>
  <c r="B1709" i="22"/>
  <c r="B1710" i="22"/>
  <c r="B1711" i="22"/>
  <c r="B1712" i="22"/>
  <c r="B1713" i="22"/>
  <c r="B1714" i="22"/>
  <c r="B1715" i="22"/>
  <c r="B1716" i="22"/>
  <c r="B1717" i="22"/>
  <c r="B1718" i="22"/>
  <c r="B1719" i="22"/>
  <c r="B1720" i="22"/>
  <c r="B1721" i="22"/>
  <c r="B1722" i="22"/>
  <c r="B1723" i="22"/>
  <c r="B1724" i="22"/>
  <c r="B1725" i="22"/>
  <c r="B1726" i="22"/>
  <c r="B1727" i="22"/>
  <c r="B1728" i="22"/>
  <c r="B1729" i="22"/>
  <c r="B1730" i="22"/>
  <c r="B1731" i="22"/>
  <c r="B1732" i="22"/>
  <c r="B1733" i="22"/>
  <c r="B1734" i="22"/>
  <c r="B1735" i="22"/>
  <c r="B1736" i="22"/>
  <c r="B1737" i="22"/>
  <c r="B1738" i="22"/>
  <c r="B1739" i="22"/>
  <c r="B1740" i="22"/>
  <c r="B1741" i="22"/>
  <c r="B1742" i="22"/>
  <c r="B1743" i="22"/>
  <c r="B1744" i="22"/>
  <c r="B1745" i="22"/>
  <c r="B1746" i="22"/>
  <c r="B1747" i="22"/>
  <c r="B1748" i="22"/>
  <c r="B1749" i="22"/>
  <c r="B1750" i="22"/>
  <c r="B1751" i="22"/>
  <c r="B1752" i="22"/>
  <c r="B1753" i="22"/>
  <c r="B1754" i="22"/>
  <c r="B1755" i="22"/>
  <c r="B1756" i="22"/>
  <c r="B1757" i="22"/>
  <c r="B1758" i="22"/>
  <c r="B1759" i="22"/>
  <c r="B1760" i="22"/>
  <c r="B1761" i="22"/>
  <c r="B1762" i="22"/>
  <c r="B1763" i="22"/>
  <c r="B1764" i="22"/>
  <c r="B1765" i="22"/>
  <c r="B1766" i="22"/>
  <c r="B1767" i="22"/>
  <c r="B1768" i="22"/>
  <c r="B1769" i="22"/>
  <c r="B1770" i="22"/>
  <c r="B1771" i="22"/>
  <c r="B1772" i="22"/>
  <c r="B1773" i="22"/>
  <c r="B1774" i="22"/>
  <c r="B1775" i="22"/>
  <c r="B1776" i="22"/>
  <c r="B1777" i="22"/>
  <c r="B1778" i="22"/>
  <c r="B1779" i="22"/>
  <c r="B1780" i="22"/>
  <c r="B1781" i="22"/>
  <c r="B1782" i="22"/>
  <c r="B1783" i="22"/>
  <c r="B1784" i="22"/>
  <c r="B1785" i="22"/>
  <c r="B1786" i="22"/>
  <c r="B1787" i="22"/>
  <c r="B1788" i="22"/>
  <c r="B1789" i="22"/>
  <c r="B1790" i="22"/>
  <c r="B1791" i="22"/>
  <c r="B1792" i="22"/>
  <c r="B1793" i="22"/>
  <c r="B1794" i="22"/>
  <c r="B1795" i="22"/>
  <c r="B1796" i="22"/>
  <c r="B1797" i="22"/>
  <c r="B1798" i="22"/>
  <c r="B1799" i="22"/>
  <c r="B1800" i="22"/>
  <c r="B1801" i="22"/>
  <c r="B1802" i="22"/>
  <c r="B1803" i="22"/>
  <c r="B1804" i="22"/>
  <c r="B1805" i="22"/>
  <c r="B1806" i="22"/>
  <c r="B1807" i="22"/>
  <c r="B1808" i="22"/>
  <c r="B1809" i="22"/>
  <c r="B1810" i="22"/>
  <c r="B1811" i="22"/>
  <c r="B1812" i="22"/>
  <c r="B1813" i="22"/>
  <c r="B1814" i="22"/>
  <c r="B1815" i="22"/>
  <c r="B1816" i="22"/>
  <c r="B1817" i="22"/>
  <c r="B1818" i="22"/>
  <c r="B1819" i="22"/>
  <c r="B1820" i="22"/>
  <c r="B1821" i="22"/>
  <c r="B1822" i="22"/>
  <c r="B1823" i="22"/>
  <c r="B1824" i="22"/>
  <c r="B1825" i="22"/>
  <c r="B1826" i="22"/>
  <c r="B1827" i="22"/>
  <c r="B1828" i="22"/>
  <c r="B1829" i="22"/>
  <c r="B1830" i="22"/>
  <c r="B1831" i="22"/>
  <c r="B1832" i="22"/>
  <c r="B1833" i="22"/>
  <c r="B1834" i="22"/>
  <c r="B1835" i="22"/>
  <c r="B1836" i="22"/>
  <c r="B1837" i="22"/>
  <c r="B1838" i="22"/>
  <c r="B1839" i="22"/>
  <c r="B1840" i="22"/>
  <c r="B1841" i="22"/>
  <c r="B1842" i="22"/>
  <c r="B1843" i="22"/>
  <c r="B1844" i="22"/>
  <c r="B1845" i="22"/>
  <c r="B1846" i="22"/>
  <c r="B1847" i="22"/>
  <c r="B1848" i="22"/>
  <c r="B1849" i="22"/>
  <c r="B1850" i="22"/>
  <c r="B1851" i="22"/>
  <c r="B1852" i="22"/>
  <c r="B1853" i="22"/>
  <c r="B1854" i="22"/>
  <c r="B1855" i="22"/>
  <c r="B1856" i="22"/>
  <c r="B1857" i="22"/>
  <c r="B1858" i="22"/>
  <c r="B1859" i="22"/>
  <c r="B1860" i="22"/>
  <c r="B1861" i="22"/>
  <c r="B1862" i="22"/>
  <c r="B1863" i="22"/>
  <c r="B1864" i="22"/>
  <c r="B1865" i="22"/>
  <c r="B1866" i="22"/>
  <c r="B1867" i="22"/>
  <c r="B1868" i="22"/>
  <c r="B1869" i="22"/>
  <c r="B1870" i="22"/>
  <c r="B1871" i="22"/>
  <c r="B1872" i="22"/>
  <c r="B1873" i="22"/>
  <c r="B1874" i="22"/>
  <c r="B1875" i="22"/>
  <c r="B1876" i="22"/>
  <c r="B1877" i="22"/>
  <c r="B1878" i="22"/>
  <c r="B1879" i="22"/>
  <c r="B1880" i="22"/>
  <c r="B1881" i="22"/>
  <c r="B1882" i="22"/>
  <c r="B1883" i="22"/>
  <c r="B1884" i="22"/>
  <c r="B1885" i="22"/>
  <c r="B1886" i="22"/>
  <c r="B1887" i="22"/>
  <c r="B1888" i="22"/>
  <c r="B1889" i="22"/>
  <c r="B1890" i="22"/>
  <c r="B1891" i="22"/>
  <c r="B1892" i="22"/>
  <c r="B1893" i="22"/>
  <c r="B1894" i="22"/>
  <c r="B1895" i="22"/>
  <c r="B1896" i="22"/>
  <c r="B1897" i="22"/>
  <c r="B1898" i="22"/>
  <c r="B1899" i="22"/>
  <c r="B1900" i="22"/>
  <c r="B1901" i="22"/>
  <c r="B1902" i="22"/>
  <c r="B1903" i="22"/>
  <c r="B1904" i="22"/>
  <c r="B1905" i="22"/>
  <c r="B1906" i="22"/>
  <c r="B1907" i="22"/>
  <c r="B1908" i="22"/>
  <c r="B1909" i="22"/>
  <c r="B1910" i="22"/>
  <c r="B1911" i="22"/>
  <c r="B1912" i="22"/>
  <c r="B1913" i="22"/>
  <c r="B1914" i="22"/>
  <c r="B1915" i="22"/>
  <c r="B1916" i="22"/>
  <c r="B1917" i="22"/>
  <c r="B1918" i="22"/>
  <c r="B1919" i="22"/>
  <c r="B1920" i="22"/>
  <c r="B1921" i="22"/>
  <c r="B1922" i="22"/>
  <c r="B1923" i="22"/>
  <c r="B1924" i="22"/>
  <c r="B1925" i="22"/>
  <c r="B1926" i="22"/>
  <c r="B1927" i="22"/>
  <c r="B1928" i="22"/>
  <c r="B1929" i="22"/>
  <c r="B1930" i="22"/>
  <c r="B1931" i="22"/>
  <c r="B1932" i="22"/>
  <c r="B1933" i="22"/>
  <c r="B1934" i="22"/>
  <c r="B1935" i="22"/>
  <c r="B1936" i="22"/>
  <c r="B1937" i="22"/>
  <c r="B1938" i="22"/>
  <c r="B1939" i="22"/>
  <c r="B1940" i="22"/>
  <c r="B1941" i="22"/>
  <c r="B1942" i="22"/>
  <c r="B1943" i="22"/>
  <c r="B1944" i="22"/>
  <c r="B1945" i="22"/>
  <c r="B1946" i="22"/>
  <c r="B1947" i="22"/>
  <c r="B1948" i="22"/>
  <c r="B1949" i="22"/>
  <c r="B1950" i="22"/>
  <c r="B1951" i="22"/>
  <c r="B1952" i="22"/>
  <c r="B1953" i="22"/>
  <c r="B1954" i="22"/>
  <c r="B1955" i="22"/>
  <c r="B1956" i="22"/>
  <c r="B1957" i="22"/>
  <c r="B1958" i="22"/>
  <c r="B1959" i="22"/>
  <c r="B1960" i="22"/>
  <c r="B1961" i="22"/>
  <c r="B1962" i="22"/>
  <c r="B1963" i="22"/>
  <c r="B1964" i="22"/>
  <c r="B1965" i="22"/>
  <c r="B1966" i="22"/>
  <c r="B1967" i="22"/>
  <c r="B1968" i="22"/>
  <c r="B1969" i="22"/>
  <c r="B1970" i="22"/>
  <c r="B1971" i="22"/>
  <c r="B1972" i="22"/>
  <c r="B1973" i="22"/>
  <c r="B1974" i="22"/>
  <c r="B1975" i="22"/>
  <c r="B1976" i="22"/>
  <c r="B1977" i="22"/>
  <c r="B1978" i="22"/>
  <c r="B1979" i="22"/>
  <c r="B1980" i="22"/>
  <c r="B1981" i="22"/>
  <c r="B1982" i="22"/>
  <c r="B1983" i="22"/>
  <c r="B1984" i="22"/>
  <c r="B1985" i="22"/>
  <c r="B1986" i="22"/>
  <c r="B1987" i="22"/>
  <c r="B1988" i="22"/>
  <c r="B1989" i="22"/>
  <c r="B1990" i="22"/>
  <c r="B1991" i="22"/>
  <c r="B1992" i="22"/>
  <c r="B1993" i="22"/>
  <c r="B1994" i="22"/>
  <c r="B1995" i="22"/>
  <c r="B1996" i="22"/>
  <c r="B1997" i="22"/>
  <c r="B1998" i="22"/>
  <c r="B1999" i="22"/>
  <c r="B2000" i="22"/>
  <c r="B2001" i="22"/>
  <c r="B2002" i="22"/>
  <c r="B2003" i="22"/>
  <c r="B2004" i="22"/>
  <c r="B2005" i="22"/>
  <c r="B2006" i="22"/>
  <c r="B2007" i="22"/>
  <c r="B2008" i="22"/>
  <c r="B2009" i="22"/>
  <c r="B2010" i="22"/>
  <c r="B2011" i="22"/>
  <c r="B2012" i="22"/>
  <c r="B2013" i="22"/>
  <c r="B2014" i="22"/>
  <c r="B2015" i="22"/>
  <c r="B2016" i="22"/>
  <c r="B2017" i="22"/>
  <c r="B2018" i="22"/>
  <c r="B2019" i="22"/>
  <c r="B2020" i="22"/>
  <c r="B2021" i="22"/>
  <c r="B2022" i="22"/>
  <c r="B2023" i="22"/>
  <c r="B2024" i="22"/>
  <c r="B2025" i="22"/>
  <c r="B2026" i="22"/>
  <c r="B2027" i="22"/>
  <c r="B2028" i="22"/>
  <c r="B2029" i="22"/>
  <c r="B2030" i="22"/>
  <c r="B2031" i="22"/>
  <c r="B2032" i="22"/>
  <c r="B2033" i="22"/>
  <c r="B2034" i="22"/>
  <c r="B2035" i="22"/>
  <c r="B2036" i="22"/>
  <c r="B2037" i="22"/>
  <c r="B2038" i="22"/>
  <c r="B2039" i="22"/>
  <c r="B2040" i="22"/>
  <c r="B2041" i="22"/>
  <c r="B2042" i="22"/>
  <c r="B2043" i="22"/>
  <c r="B2044" i="22"/>
  <c r="B2045" i="22"/>
  <c r="B2046" i="22"/>
  <c r="B2047" i="22"/>
  <c r="B2048" i="22"/>
  <c r="B2049" i="22"/>
  <c r="B2050" i="22"/>
  <c r="B2051" i="22"/>
  <c r="B2052" i="22"/>
  <c r="B2053" i="22"/>
  <c r="B2054" i="22"/>
  <c r="B2055" i="22"/>
  <c r="B2056" i="22"/>
  <c r="B2057" i="22"/>
  <c r="B2058" i="22"/>
  <c r="B2059" i="22"/>
  <c r="B2060" i="22"/>
  <c r="B2061" i="22"/>
  <c r="B2062" i="22"/>
  <c r="B2063" i="22"/>
  <c r="B2064" i="22"/>
  <c r="B2065" i="22"/>
  <c r="B2066" i="22"/>
  <c r="B2067" i="22"/>
  <c r="B2068" i="22"/>
  <c r="B2069" i="22"/>
  <c r="B2070" i="22"/>
  <c r="B2071" i="22"/>
  <c r="B2072" i="22"/>
  <c r="B2073" i="22"/>
  <c r="B2074" i="22"/>
  <c r="B2075" i="22"/>
  <c r="B2076" i="22"/>
  <c r="B2077" i="22"/>
  <c r="B2078" i="22"/>
  <c r="B2079" i="22"/>
  <c r="B2080" i="22"/>
  <c r="B2081" i="22"/>
  <c r="B2082" i="22"/>
  <c r="B2083" i="22"/>
  <c r="B2084" i="22"/>
  <c r="B2085" i="22"/>
  <c r="B2086" i="22"/>
  <c r="B2087" i="22"/>
  <c r="B2088" i="22"/>
  <c r="B2089" i="22"/>
  <c r="B2090" i="22"/>
  <c r="B2091" i="22"/>
  <c r="B2092" i="22"/>
  <c r="B2093" i="22"/>
  <c r="B2094" i="22"/>
  <c r="B2095" i="22"/>
  <c r="B2096" i="22"/>
  <c r="B2097" i="22"/>
  <c r="B2098" i="22"/>
  <c r="B2099" i="22"/>
  <c r="B2100" i="22"/>
  <c r="B2101" i="22"/>
  <c r="B2102" i="22"/>
  <c r="B2103" i="22"/>
  <c r="B2104" i="22"/>
  <c r="B2105" i="22"/>
  <c r="B2106" i="22"/>
  <c r="B2107" i="22"/>
  <c r="B2108" i="22"/>
  <c r="B2109" i="22"/>
  <c r="B2110" i="22"/>
  <c r="B2111" i="22"/>
  <c r="B2112" i="22"/>
  <c r="B2113" i="22"/>
  <c r="B2114" i="22"/>
  <c r="B2115" i="22"/>
  <c r="B2116" i="22"/>
  <c r="B2117" i="22"/>
  <c r="B2118" i="22"/>
  <c r="B2119" i="22"/>
  <c r="B2120" i="22"/>
  <c r="B2121" i="22"/>
  <c r="B2122" i="22"/>
  <c r="B2123" i="22"/>
  <c r="B2124" i="22"/>
  <c r="B2125" i="22"/>
  <c r="B2126" i="22"/>
  <c r="B2127" i="22"/>
  <c r="B2128" i="22"/>
  <c r="B2129" i="22"/>
  <c r="B2130" i="22"/>
  <c r="B2131" i="22"/>
  <c r="B2132" i="22"/>
  <c r="B2133" i="22"/>
  <c r="B2134" i="22"/>
  <c r="B2135" i="22"/>
  <c r="B2136" i="22"/>
  <c r="B2137" i="22"/>
  <c r="B2138" i="22"/>
  <c r="B2139" i="22"/>
  <c r="B2140" i="22"/>
  <c r="B2141" i="22"/>
  <c r="B2142" i="22"/>
  <c r="B2143" i="22"/>
  <c r="B2144" i="22"/>
  <c r="B2145" i="22"/>
  <c r="B2146" i="22"/>
  <c r="B2147" i="22"/>
  <c r="B2148" i="22"/>
  <c r="B2149" i="22"/>
  <c r="B2150" i="22"/>
  <c r="B2151" i="22"/>
  <c r="B2152" i="22"/>
  <c r="B2153" i="22"/>
  <c r="B2154" i="22"/>
  <c r="B2155" i="22"/>
  <c r="B2156" i="22"/>
  <c r="B2157" i="22"/>
  <c r="B2158" i="22"/>
  <c r="B2159" i="22"/>
  <c r="B2160" i="22"/>
  <c r="B2161" i="22"/>
  <c r="B2162" i="22"/>
  <c r="B2163" i="22"/>
  <c r="B2164" i="22"/>
  <c r="B2165" i="22"/>
  <c r="B2166" i="22"/>
  <c r="B2167" i="22"/>
  <c r="B2168" i="22"/>
  <c r="B2169" i="22"/>
  <c r="B2170" i="22"/>
  <c r="B2171" i="22"/>
  <c r="B2172" i="22"/>
  <c r="B2173" i="22"/>
  <c r="B2174" i="22"/>
  <c r="B2175" i="22"/>
  <c r="B2176" i="22"/>
  <c r="B2177" i="22"/>
  <c r="B2178" i="22"/>
  <c r="B2179" i="22"/>
  <c r="B2180" i="22"/>
  <c r="B2181" i="22"/>
  <c r="B2182" i="22"/>
  <c r="B2183" i="22"/>
  <c r="B2184" i="22"/>
  <c r="B2185" i="22"/>
  <c r="B2186" i="22"/>
  <c r="B2187" i="22"/>
  <c r="B2188" i="22"/>
  <c r="B2189" i="22"/>
  <c r="B2190" i="22"/>
  <c r="B2191" i="22"/>
  <c r="B2192" i="22"/>
  <c r="B2193" i="22"/>
  <c r="B2194" i="22"/>
  <c r="B2195" i="22"/>
  <c r="B2196" i="22"/>
  <c r="B2197" i="22"/>
  <c r="B2198" i="22"/>
  <c r="B2199" i="22"/>
  <c r="B2200" i="22"/>
  <c r="B2201" i="22"/>
  <c r="B2202" i="22"/>
  <c r="B2203" i="22"/>
  <c r="B2204" i="22"/>
  <c r="B2205" i="22"/>
  <c r="B2206" i="22"/>
  <c r="B2207" i="22"/>
  <c r="B2208" i="22"/>
  <c r="B2209" i="22"/>
  <c r="B2210" i="22"/>
  <c r="B2211" i="22"/>
  <c r="B2212" i="22"/>
  <c r="B2213" i="22"/>
  <c r="B2214" i="22"/>
  <c r="B2215" i="22"/>
  <c r="B2216" i="22"/>
  <c r="B2217" i="22"/>
  <c r="B2218" i="22"/>
  <c r="B2219" i="22"/>
  <c r="B2220" i="22"/>
  <c r="B2221" i="22"/>
  <c r="B2222" i="22"/>
  <c r="B2223" i="22"/>
  <c r="B2224" i="22"/>
  <c r="B2225" i="22"/>
  <c r="B2226" i="22"/>
  <c r="B2227" i="22"/>
  <c r="B2228" i="22"/>
  <c r="B2229" i="22"/>
  <c r="B2230" i="22"/>
  <c r="B2231" i="22"/>
  <c r="B2232" i="22"/>
  <c r="B2233" i="22"/>
  <c r="B2234" i="22"/>
  <c r="B2235" i="22"/>
  <c r="B2236" i="22"/>
  <c r="B2237" i="22"/>
  <c r="B2238" i="22"/>
  <c r="B2239" i="22"/>
  <c r="B2240" i="22"/>
  <c r="B2241" i="22"/>
  <c r="B2242" i="22"/>
  <c r="B2243" i="22"/>
  <c r="B2244" i="22"/>
  <c r="B2245" i="22"/>
  <c r="B2246" i="22"/>
  <c r="B2247" i="22"/>
  <c r="B2248" i="22"/>
  <c r="B2249" i="22"/>
  <c r="B2250" i="22"/>
  <c r="B2251" i="22"/>
  <c r="B2252" i="22"/>
  <c r="B2253" i="22"/>
  <c r="B2254" i="22"/>
  <c r="B2255" i="22"/>
  <c r="B2256" i="22"/>
  <c r="B2257" i="22"/>
  <c r="B2258" i="22"/>
  <c r="B2259" i="22"/>
  <c r="B2260" i="22"/>
  <c r="B2261" i="22"/>
  <c r="B2262" i="22"/>
  <c r="B2263" i="22"/>
  <c r="B2264" i="22"/>
  <c r="B2265" i="22"/>
  <c r="B2266" i="22"/>
  <c r="B2267" i="22"/>
  <c r="B2268" i="22"/>
  <c r="B2269" i="22"/>
  <c r="B2270" i="22"/>
  <c r="B2271" i="22"/>
  <c r="B2272" i="22"/>
  <c r="B2273" i="22"/>
  <c r="B2274" i="22"/>
  <c r="B2275" i="22"/>
  <c r="B2276" i="22"/>
  <c r="B2277" i="22"/>
  <c r="B2278" i="22"/>
  <c r="B2279" i="22"/>
  <c r="B2280" i="22"/>
  <c r="B2281" i="22"/>
  <c r="B2282" i="22"/>
  <c r="B2283" i="22"/>
  <c r="B2284" i="22"/>
  <c r="B2285" i="22"/>
  <c r="B2286" i="22"/>
  <c r="B2287" i="22"/>
  <c r="B2288" i="22"/>
  <c r="B2289" i="22"/>
  <c r="B2290" i="22"/>
  <c r="B2291" i="22"/>
  <c r="B2292" i="22"/>
  <c r="B2293" i="22"/>
  <c r="B2294" i="22"/>
  <c r="B2295" i="22"/>
  <c r="B2296" i="22"/>
  <c r="B2297" i="22"/>
  <c r="B2298" i="22"/>
  <c r="B2299" i="22"/>
  <c r="B2300" i="22"/>
  <c r="B2301" i="22"/>
  <c r="B2302" i="22"/>
  <c r="B2303" i="22"/>
  <c r="B2304" i="22"/>
  <c r="B2305" i="22"/>
  <c r="B2306" i="22"/>
  <c r="B2307" i="22"/>
  <c r="B2308" i="22"/>
  <c r="B2309" i="22"/>
  <c r="B2310" i="22"/>
  <c r="B2311" i="22"/>
  <c r="B2312" i="22"/>
  <c r="B2313" i="22"/>
  <c r="B2314" i="22"/>
  <c r="B2315" i="22"/>
  <c r="B2316" i="22"/>
  <c r="B2317" i="22"/>
  <c r="B2318" i="22"/>
  <c r="B2319" i="22"/>
  <c r="B2320" i="22"/>
  <c r="B2321" i="22"/>
  <c r="B2322" i="22"/>
  <c r="B2323" i="22"/>
  <c r="B2324" i="22"/>
  <c r="B2325" i="22"/>
  <c r="B2326" i="22"/>
  <c r="B2327" i="22"/>
  <c r="B2328" i="22"/>
  <c r="B2329" i="22"/>
  <c r="B2330" i="22"/>
  <c r="B2331" i="22"/>
  <c r="B2332" i="22"/>
  <c r="B2333" i="22"/>
  <c r="B2334" i="22"/>
  <c r="B2335" i="22"/>
  <c r="B2336" i="22"/>
  <c r="B2337" i="22"/>
  <c r="B2338" i="22"/>
  <c r="B2339" i="22"/>
  <c r="B2340" i="22"/>
  <c r="B2341" i="22"/>
  <c r="B2342" i="22"/>
  <c r="B2343" i="22"/>
  <c r="B2344" i="22"/>
  <c r="B2345" i="22"/>
  <c r="B2346" i="22"/>
  <c r="B2347" i="22"/>
  <c r="B2348" i="22"/>
  <c r="B2349" i="22"/>
  <c r="B2350" i="22"/>
  <c r="B2351" i="22"/>
  <c r="B2352" i="22"/>
  <c r="B2353" i="22"/>
  <c r="B2354" i="22"/>
  <c r="B2355" i="22"/>
  <c r="B2356" i="22"/>
  <c r="B2357" i="22"/>
  <c r="B2358" i="22"/>
  <c r="B2359" i="22"/>
  <c r="B2360" i="22"/>
  <c r="B2361" i="22"/>
  <c r="B2362" i="22"/>
  <c r="B2363" i="22"/>
  <c r="B2364" i="22"/>
  <c r="B2365" i="22"/>
  <c r="B2366" i="22"/>
  <c r="B2367" i="22"/>
  <c r="B2368" i="22"/>
  <c r="B2369" i="22"/>
  <c r="B2370" i="22"/>
  <c r="B2371" i="22"/>
  <c r="B2372" i="22"/>
  <c r="B2373" i="22"/>
  <c r="B2374" i="22"/>
  <c r="B2375" i="22"/>
  <c r="B2376" i="22"/>
  <c r="B2377" i="22"/>
  <c r="B2378" i="22"/>
  <c r="B2379" i="22"/>
  <c r="B2380" i="22"/>
  <c r="B2381" i="22"/>
  <c r="B2382" i="22"/>
  <c r="B2383" i="22"/>
  <c r="B2384" i="22"/>
  <c r="B2385" i="22"/>
  <c r="B2386" i="22"/>
  <c r="B2387" i="22"/>
  <c r="B2388" i="22"/>
  <c r="B2389" i="22"/>
  <c r="B2390" i="22"/>
  <c r="B2391" i="22"/>
  <c r="B2392" i="22"/>
  <c r="B2393" i="22"/>
  <c r="B2394" i="22"/>
  <c r="B2395" i="22"/>
  <c r="B2396" i="22"/>
  <c r="B2397" i="22"/>
  <c r="B2398" i="22"/>
  <c r="B2399" i="22"/>
  <c r="B2400" i="22"/>
  <c r="B2401" i="22"/>
  <c r="B2402" i="22"/>
  <c r="B2403" i="22"/>
  <c r="B2404" i="22"/>
  <c r="B2405" i="22"/>
  <c r="B2406" i="22"/>
  <c r="B2407" i="22"/>
  <c r="B2408" i="22"/>
  <c r="B2409" i="22"/>
  <c r="B2410" i="22"/>
  <c r="B2411" i="22"/>
  <c r="B2412" i="22"/>
  <c r="B2413" i="22"/>
  <c r="B2414" i="22"/>
  <c r="B2415" i="22"/>
  <c r="B2416" i="22"/>
  <c r="B2417" i="22"/>
  <c r="B2418" i="22"/>
  <c r="B2419" i="22"/>
  <c r="B2420" i="22"/>
  <c r="B2421" i="22"/>
  <c r="B2422" i="22"/>
  <c r="B2423" i="22"/>
  <c r="B2424" i="22"/>
  <c r="B2425" i="22"/>
  <c r="B2426" i="22"/>
  <c r="B2427" i="22"/>
  <c r="B2428" i="22"/>
  <c r="B2429" i="22"/>
  <c r="B2430" i="22"/>
  <c r="B2431" i="22"/>
  <c r="B2432" i="22"/>
  <c r="B2433" i="22"/>
  <c r="B2434" i="22"/>
  <c r="B2435" i="22"/>
  <c r="B2436" i="22"/>
  <c r="B2437" i="22"/>
  <c r="B2438" i="22"/>
  <c r="B2439" i="22"/>
  <c r="B2440" i="22"/>
  <c r="B2441" i="22"/>
  <c r="B2442" i="22"/>
  <c r="B2443" i="22"/>
  <c r="B2444" i="22"/>
  <c r="B2445" i="22"/>
  <c r="B2446" i="22"/>
  <c r="B2447" i="22"/>
  <c r="B2448" i="22"/>
  <c r="B2449" i="22"/>
  <c r="B2450" i="22"/>
  <c r="B2451" i="22"/>
  <c r="B2452" i="22"/>
  <c r="B2453" i="22"/>
  <c r="B2454" i="22"/>
  <c r="B2455" i="22"/>
  <c r="B2456" i="22"/>
  <c r="B2457" i="22"/>
  <c r="B2458" i="22"/>
  <c r="B2459" i="22"/>
  <c r="B2460" i="22"/>
  <c r="B2461" i="22"/>
  <c r="B2462" i="22"/>
  <c r="B2463" i="22"/>
  <c r="B2464" i="22"/>
  <c r="B2465" i="22"/>
  <c r="B2466" i="22"/>
  <c r="B2467" i="22"/>
  <c r="B2468" i="22"/>
  <c r="B2469" i="22"/>
  <c r="B2470" i="22"/>
  <c r="B2471" i="22"/>
  <c r="B2472" i="22"/>
  <c r="B2473" i="22"/>
  <c r="B2474" i="22"/>
  <c r="B2475" i="22"/>
  <c r="B2476" i="22"/>
  <c r="B2477" i="22"/>
  <c r="B2478" i="22"/>
  <c r="B2479" i="22"/>
  <c r="B2480" i="22"/>
  <c r="B2481" i="22"/>
  <c r="B2482" i="22"/>
  <c r="B2483" i="22"/>
  <c r="B2484" i="22"/>
  <c r="B2485" i="22"/>
  <c r="B2486" i="22"/>
  <c r="B2487" i="22"/>
  <c r="B2488" i="22"/>
  <c r="B2489" i="22"/>
  <c r="B2490" i="22"/>
  <c r="B2491" i="22"/>
  <c r="B2492" i="22"/>
  <c r="B2493" i="22"/>
  <c r="B2494" i="22"/>
  <c r="B2495" i="22"/>
  <c r="B2496" i="22"/>
  <c r="B2497" i="22"/>
  <c r="B2498" i="22"/>
  <c r="B2499" i="22"/>
  <c r="B2500" i="22"/>
  <c r="B2501" i="22"/>
  <c r="B2502" i="22"/>
  <c r="B2503" i="22"/>
  <c r="B2504" i="22"/>
  <c r="B2505" i="22"/>
  <c r="B2506" i="22"/>
  <c r="B2507" i="22"/>
  <c r="B2508" i="22"/>
  <c r="B2509" i="22"/>
  <c r="B2510" i="22"/>
  <c r="B2511" i="22"/>
  <c r="B2512" i="22"/>
  <c r="B2513" i="22"/>
  <c r="B2514" i="22"/>
  <c r="B2515" i="22"/>
  <c r="B2516" i="22"/>
  <c r="B2517" i="22"/>
  <c r="B2518" i="22"/>
  <c r="B2519" i="22"/>
  <c r="B2520" i="22"/>
  <c r="B2521" i="22"/>
  <c r="B2522" i="22"/>
  <c r="B2523" i="22"/>
  <c r="B2524" i="22"/>
  <c r="B2525" i="22"/>
  <c r="B2526" i="22"/>
  <c r="B2527" i="22"/>
  <c r="B2528" i="22"/>
  <c r="B2529" i="22"/>
  <c r="B2530" i="22"/>
  <c r="B2531" i="22"/>
  <c r="B2532" i="22"/>
  <c r="B2533" i="22"/>
  <c r="B2534" i="22"/>
  <c r="B2535" i="22"/>
  <c r="B2536" i="22"/>
  <c r="B2537" i="22"/>
  <c r="B2538" i="22"/>
  <c r="B2539" i="22"/>
  <c r="B2540" i="22"/>
  <c r="B2541" i="22"/>
  <c r="B2542" i="22"/>
  <c r="B2543" i="22"/>
  <c r="B2544" i="22"/>
  <c r="B2545" i="22"/>
  <c r="B2546" i="22"/>
  <c r="B2547" i="22"/>
  <c r="B2548" i="22"/>
  <c r="B2549" i="22"/>
  <c r="B2550" i="22"/>
  <c r="B2551" i="22"/>
  <c r="B2552" i="22"/>
  <c r="B2553" i="22"/>
  <c r="B2554" i="22"/>
  <c r="B2555" i="22"/>
  <c r="B2556" i="22"/>
  <c r="B2557" i="22"/>
  <c r="B2558" i="22"/>
  <c r="B2559" i="22"/>
  <c r="B2560" i="22"/>
  <c r="B2561" i="22"/>
  <c r="B2562" i="22"/>
  <c r="B2563" i="22"/>
  <c r="B2564" i="22"/>
  <c r="B2565" i="22"/>
  <c r="B2566" i="22"/>
  <c r="B2567" i="22"/>
  <c r="B2568" i="22"/>
  <c r="B2569" i="22"/>
  <c r="B2570" i="22"/>
  <c r="B2571" i="22"/>
  <c r="B2572" i="22"/>
  <c r="B2573" i="22"/>
  <c r="B2574" i="22"/>
  <c r="B2575" i="22"/>
  <c r="B2576" i="22"/>
  <c r="B2577" i="22"/>
  <c r="B2578" i="22"/>
  <c r="B2579" i="22"/>
  <c r="B2580" i="22"/>
  <c r="B2581" i="22"/>
  <c r="B2582" i="22"/>
  <c r="B2583" i="22"/>
  <c r="B2584" i="22"/>
  <c r="B2585" i="22"/>
  <c r="B2586" i="22"/>
  <c r="B2587" i="22"/>
  <c r="B2588" i="22"/>
  <c r="B2589" i="22"/>
  <c r="B2590" i="22"/>
  <c r="B2591" i="22"/>
  <c r="B2592" i="22"/>
  <c r="B2593" i="22"/>
  <c r="B2594" i="22"/>
  <c r="B2595" i="22"/>
  <c r="B2596" i="22"/>
  <c r="B2597" i="22"/>
  <c r="B2598" i="22"/>
  <c r="B2599" i="22"/>
  <c r="B2600" i="22"/>
  <c r="B2601" i="22"/>
  <c r="B2602" i="22"/>
  <c r="B2603" i="22"/>
  <c r="B2604" i="22"/>
  <c r="B2605" i="22"/>
  <c r="B2606" i="22"/>
  <c r="B2607" i="22"/>
  <c r="B2608" i="22"/>
  <c r="B2609" i="22"/>
  <c r="B2610" i="22"/>
  <c r="B2611" i="22"/>
  <c r="B2612" i="22"/>
  <c r="B2613" i="22"/>
  <c r="B2614" i="22"/>
  <c r="B2615" i="22"/>
  <c r="B2616" i="22"/>
  <c r="B2617" i="22"/>
  <c r="B2618" i="22"/>
  <c r="B2619" i="22"/>
  <c r="B2620" i="22"/>
  <c r="B2621" i="22"/>
  <c r="B2622" i="22"/>
  <c r="B2623" i="22"/>
  <c r="B2624" i="22"/>
  <c r="B2625" i="22"/>
  <c r="B2626" i="22"/>
  <c r="B2627" i="22"/>
  <c r="B2628" i="22"/>
  <c r="B2629" i="22"/>
  <c r="B2630" i="22"/>
  <c r="B2631" i="22"/>
  <c r="B2632" i="22"/>
  <c r="B2633" i="22"/>
  <c r="B2634" i="22"/>
  <c r="B2635" i="22"/>
  <c r="B2636" i="22"/>
  <c r="B2637" i="22"/>
  <c r="B2638" i="22"/>
  <c r="B2639" i="22"/>
  <c r="B2640" i="22"/>
  <c r="B2641" i="22"/>
  <c r="B2642" i="22"/>
  <c r="B2643" i="22"/>
  <c r="B2644" i="22"/>
  <c r="B2645" i="22"/>
  <c r="B2646" i="22"/>
  <c r="B2647" i="22"/>
  <c r="B2648" i="22"/>
  <c r="B2649" i="22"/>
  <c r="B2650" i="22"/>
  <c r="B2651" i="22"/>
  <c r="B2652" i="22"/>
  <c r="B2653" i="22"/>
  <c r="B2654" i="22"/>
  <c r="B2655" i="22"/>
  <c r="B2656" i="22"/>
  <c r="B2657" i="22"/>
  <c r="B2658" i="22"/>
  <c r="B2659" i="22"/>
  <c r="B2660" i="22"/>
  <c r="B2661" i="22"/>
  <c r="B2662" i="22"/>
  <c r="B2663" i="22"/>
  <c r="B2664" i="22"/>
  <c r="B2665" i="22"/>
  <c r="B2666" i="22"/>
  <c r="B2667" i="22"/>
  <c r="B2668" i="22"/>
  <c r="B2669" i="22"/>
  <c r="B2670" i="22"/>
  <c r="B2671" i="22"/>
  <c r="B2672" i="22"/>
  <c r="B2673" i="22"/>
  <c r="B2674" i="22"/>
  <c r="B2675" i="22"/>
  <c r="B2676" i="22"/>
  <c r="B2677" i="22"/>
  <c r="B2678" i="22"/>
  <c r="B2679" i="22"/>
  <c r="B2680" i="22"/>
  <c r="B2681" i="22"/>
  <c r="B2683" i="22"/>
  <c r="B2684" i="22"/>
  <c r="B2685" i="22"/>
  <c r="B2686" i="22"/>
  <c r="B2687" i="22"/>
  <c r="B2688" i="22"/>
  <c r="B2689" i="22"/>
  <c r="B2690" i="22"/>
  <c r="B2693" i="22"/>
  <c r="B2695" i="22"/>
  <c r="C63" i="23"/>
  <c r="C64" i="23"/>
  <c r="F2658" i="22"/>
  <c r="G2658" i="22" s="1"/>
  <c r="F2659" i="22"/>
  <c r="G2659" i="22" s="1"/>
  <c r="F2660" i="22"/>
  <c r="G2660" i="22" s="1"/>
  <c r="F2661" i="22"/>
  <c r="G2661" i="22" s="1"/>
  <c r="H2658" i="22"/>
  <c r="H2659" i="22"/>
  <c r="H2660" i="22"/>
  <c r="H2661" i="22"/>
  <c r="F2570" i="22"/>
  <c r="G2570" i="22" s="1"/>
  <c r="F2571" i="22"/>
  <c r="G2571" i="22" s="1"/>
  <c r="F2572" i="22"/>
  <c r="G2572" i="22" s="1"/>
  <c r="F2573" i="22"/>
  <c r="G2573" i="22" s="1"/>
  <c r="F2574" i="22"/>
  <c r="G2574" i="22" s="1"/>
  <c r="F2575" i="22"/>
  <c r="G2575" i="22" s="1"/>
  <c r="F2576" i="22"/>
  <c r="G2576" i="22" s="1"/>
  <c r="F2577" i="22"/>
  <c r="G2577" i="22" s="1"/>
  <c r="H2570" i="22"/>
  <c r="H2571" i="22"/>
  <c r="H2572" i="22"/>
  <c r="H2573" i="22"/>
  <c r="H2574" i="22"/>
  <c r="H2575" i="22"/>
  <c r="H2576" i="22"/>
  <c r="H2577" i="22"/>
  <c r="F1942" i="22"/>
  <c r="G1942" i="22" s="1"/>
  <c r="F1943" i="22"/>
  <c r="G1943" i="22" s="1"/>
  <c r="F1944" i="22"/>
  <c r="G1944" i="22" s="1"/>
  <c r="F1945" i="22"/>
  <c r="G1945" i="22" s="1"/>
  <c r="F1946" i="22"/>
  <c r="G1946" i="22" s="1"/>
  <c r="F1947" i="22"/>
  <c r="G1947" i="22" s="1"/>
  <c r="F1948" i="22"/>
  <c r="G1948" i="22" s="1"/>
  <c r="F1949" i="22"/>
  <c r="G1949" i="22" s="1"/>
  <c r="F1950" i="22"/>
  <c r="G1950" i="22" s="1"/>
  <c r="F1951" i="22"/>
  <c r="G1951" i="22" s="1"/>
  <c r="F1952" i="22"/>
  <c r="G1952" i="22" s="1"/>
  <c r="F1953" i="22"/>
  <c r="G1953" i="22" s="1"/>
  <c r="F1954" i="22"/>
  <c r="G1954" i="22" s="1"/>
  <c r="F1955" i="22"/>
  <c r="G1955" i="22" s="1"/>
  <c r="F1956" i="22"/>
  <c r="G1956" i="22" s="1"/>
  <c r="F1957" i="22"/>
  <c r="G1957" i="22" s="1"/>
  <c r="H1942" i="22"/>
  <c r="H1943" i="22"/>
  <c r="H1944" i="22"/>
  <c r="H1945" i="22"/>
  <c r="H1946" i="22"/>
  <c r="H1947" i="22"/>
  <c r="H1948" i="22"/>
  <c r="H1949" i="22"/>
  <c r="H1950" i="22"/>
  <c r="H1951" i="22"/>
  <c r="H1952" i="22"/>
  <c r="H1953" i="22"/>
  <c r="H1954" i="22"/>
  <c r="H1955" i="22"/>
  <c r="H1956" i="22"/>
  <c r="H1957" i="22"/>
  <c r="F1758" i="22" l="1"/>
  <c r="G1758" i="22" s="1"/>
  <c r="F1759" i="22"/>
  <c r="G1759" i="22" s="1"/>
  <c r="H1758" i="22"/>
  <c r="H1759" i="22"/>
  <c r="R39" i="5"/>
  <c r="S39" i="5" s="1"/>
  <c r="R42" i="5"/>
  <c r="S42" i="5" s="1"/>
  <c r="R45" i="5"/>
  <c r="S45" i="5" s="1"/>
  <c r="R48" i="5"/>
  <c r="S48" i="5" s="1"/>
  <c r="R12" i="5"/>
  <c r="S12" i="5" s="1"/>
  <c r="R9" i="5"/>
  <c r="S9" i="5" s="1"/>
  <c r="U39" i="5"/>
  <c r="U42" i="5"/>
  <c r="U45" i="5"/>
  <c r="U48" i="5"/>
  <c r="U12" i="5"/>
  <c r="U9" i="5"/>
  <c r="V39" i="5"/>
  <c r="V42" i="5"/>
  <c r="V45" i="5"/>
  <c r="V48" i="5"/>
  <c r="V12" i="5"/>
  <c r="V9" i="5"/>
  <c r="R6" i="5"/>
  <c r="S6" i="5" s="1"/>
  <c r="R33" i="5"/>
  <c r="S33" i="5" s="1"/>
  <c r="R36" i="5"/>
  <c r="S36" i="5" s="1"/>
  <c r="U6" i="5"/>
  <c r="U33" i="5"/>
  <c r="U36" i="5"/>
  <c r="V6" i="5"/>
  <c r="V33" i="5"/>
  <c r="V36" i="5"/>
  <c r="R18" i="5"/>
  <c r="S18" i="5" s="1"/>
  <c r="R15" i="5"/>
  <c r="S15" i="5" s="1"/>
  <c r="U18" i="5"/>
  <c r="U15" i="5"/>
  <c r="V18" i="5"/>
  <c r="V15" i="5"/>
  <c r="R3" i="5"/>
  <c r="S3" i="5" s="1"/>
  <c r="R30" i="5"/>
  <c r="S30" i="5" s="1"/>
  <c r="R20" i="5"/>
  <c r="S20" i="5" s="1"/>
  <c r="R22" i="5"/>
  <c r="S22" i="5" s="1"/>
  <c r="R26" i="5"/>
  <c r="S26" i="5" s="1"/>
  <c r="R28" i="5"/>
  <c r="S28" i="5" s="1"/>
  <c r="R50" i="5"/>
  <c r="S50" i="5" s="1"/>
  <c r="R24" i="5"/>
  <c r="S24" i="5" s="1"/>
  <c r="R17" i="5"/>
  <c r="S17" i="5" s="1"/>
  <c r="R14" i="5"/>
  <c r="S14" i="5" s="1"/>
  <c r="R5" i="5"/>
  <c r="S5" i="5" s="1"/>
  <c r="R32" i="5"/>
  <c r="S32" i="5" s="1"/>
  <c r="R35" i="5"/>
  <c r="S35" i="5" s="1"/>
  <c r="R38" i="5"/>
  <c r="S38" i="5" s="1"/>
  <c r="R41" i="5"/>
  <c r="S41" i="5" s="1"/>
  <c r="R44" i="5"/>
  <c r="S44" i="5" s="1"/>
  <c r="R47" i="5"/>
  <c r="S47" i="5" s="1"/>
  <c r="R11" i="5"/>
  <c r="S11" i="5" s="1"/>
  <c r="R8" i="5"/>
  <c r="S8" i="5" s="1"/>
  <c r="U3" i="5"/>
  <c r="U30" i="5"/>
  <c r="U20" i="5"/>
  <c r="U22" i="5"/>
  <c r="L23" i="9" s="1"/>
  <c r="U26" i="5"/>
  <c r="U28" i="5"/>
  <c r="U50" i="5"/>
  <c r="U24" i="5"/>
  <c r="U17" i="5"/>
  <c r="U14" i="5"/>
  <c r="U5" i="5"/>
  <c r="U32" i="5"/>
  <c r="U35" i="5"/>
  <c r="U38" i="5"/>
  <c r="U41" i="5"/>
  <c r="U44" i="5"/>
  <c r="U47" i="5"/>
  <c r="U11" i="5"/>
  <c r="U8" i="5"/>
  <c r="V3" i="5"/>
  <c r="V30" i="5"/>
  <c r="V20" i="5"/>
  <c r="V22" i="5"/>
  <c r="V26" i="5"/>
  <c r="V28" i="5"/>
  <c r="V50" i="5"/>
  <c r="V24" i="5"/>
  <c r="V17" i="5"/>
  <c r="V14" i="5"/>
  <c r="V5" i="5"/>
  <c r="V32" i="5"/>
  <c r="V35" i="5"/>
  <c r="V38" i="5"/>
  <c r="V41" i="5"/>
  <c r="V44" i="5"/>
  <c r="V47" i="5"/>
  <c r="V11" i="5"/>
  <c r="V8" i="5"/>
  <c r="O170" i="2"/>
  <c r="O169" i="2"/>
  <c r="O286" i="2"/>
  <c r="O167" i="2"/>
  <c r="O166" i="2"/>
  <c r="O254" i="2"/>
  <c r="O252" i="2"/>
  <c r="O251" i="2"/>
  <c r="O250" i="2"/>
  <c r="O249" i="2"/>
  <c r="O248" i="2"/>
  <c r="O247" i="2"/>
  <c r="O240" i="2"/>
  <c r="O239" i="2"/>
  <c r="O238" i="2"/>
  <c r="O229" i="2"/>
  <c r="O228" i="2"/>
  <c r="O124" i="2"/>
  <c r="O123" i="2"/>
  <c r="O306" i="2"/>
  <c r="O283" i="2"/>
  <c r="O282" i="2"/>
  <c r="O383" i="2"/>
  <c r="O382" i="2"/>
  <c r="O381" i="2"/>
  <c r="O316" i="2"/>
  <c r="O257" i="2"/>
  <c r="O256" i="2"/>
  <c r="O98" i="2"/>
  <c r="O97" i="2"/>
  <c r="O96" i="2"/>
  <c r="O95" i="2"/>
  <c r="O353" i="2"/>
  <c r="O351" i="2"/>
  <c r="O350" i="2"/>
  <c r="N349" i="2"/>
  <c r="O348" i="2"/>
  <c r="O173" i="2"/>
  <c r="O10" i="2"/>
  <c r="O9" i="2"/>
  <c r="O54" i="2"/>
  <c r="O50" i="2"/>
  <c r="O47" i="2"/>
  <c r="N43" i="2"/>
  <c r="N32" i="2"/>
  <c r="O40" i="2"/>
  <c r="O3" i="2"/>
  <c r="O2" i="2"/>
  <c r="AJ118" i="5"/>
  <c r="AJ117" i="5"/>
  <c r="AJ116" i="5"/>
  <c r="AJ115" i="5"/>
  <c r="AJ114" i="5"/>
  <c r="AJ113" i="5"/>
  <c r="AJ112" i="5"/>
  <c r="AJ111" i="5"/>
  <c r="AJ110" i="5"/>
  <c r="AJ109" i="5"/>
  <c r="AJ108" i="5"/>
  <c r="AJ107" i="5"/>
  <c r="AJ106" i="5"/>
  <c r="AJ105" i="5"/>
  <c r="AJ104" i="5"/>
  <c r="AJ103" i="5"/>
  <c r="AJ102" i="5"/>
  <c r="AJ101" i="5"/>
  <c r="AJ100" i="5"/>
  <c r="AJ99" i="5"/>
  <c r="AJ98" i="5"/>
  <c r="AJ97" i="5"/>
  <c r="AJ96" i="5"/>
  <c r="AJ95" i="5"/>
  <c r="AJ94" i="5"/>
  <c r="AJ93" i="5"/>
  <c r="AJ92" i="5"/>
  <c r="F808" i="22"/>
  <c r="G808" i="22" s="1"/>
  <c r="F809" i="22"/>
  <c r="G809" i="22" s="1"/>
  <c r="H808" i="22"/>
  <c r="H809" i="22"/>
  <c r="F538" i="22"/>
  <c r="G538" i="22" s="1"/>
  <c r="H538" i="22"/>
  <c r="F535" i="22"/>
  <c r="G535" i="22" s="1"/>
  <c r="H535" i="22"/>
  <c r="F532" i="22"/>
  <c r="G532" i="22" s="1"/>
  <c r="H532" i="22"/>
  <c r="F529" i="22"/>
  <c r="G529" i="22" s="1"/>
  <c r="H529" i="22"/>
  <c r="F526" i="22"/>
  <c r="G526" i="22" s="1"/>
  <c r="H526" i="22"/>
  <c r="F541" i="22"/>
  <c r="G541" i="22" s="1"/>
  <c r="H541" i="22"/>
  <c r="F234" i="22"/>
  <c r="G234" i="22" s="1"/>
  <c r="F235" i="22"/>
  <c r="G235" i="22" s="1"/>
  <c r="F236" i="22"/>
  <c r="G236" i="22" s="1"/>
  <c r="F237" i="22"/>
  <c r="G237" i="22" s="1"/>
  <c r="F238" i="22"/>
  <c r="G238" i="22" s="1"/>
  <c r="F239" i="22"/>
  <c r="G239" i="22" s="1"/>
  <c r="H234" i="22"/>
  <c r="H235" i="22"/>
  <c r="H236" i="22"/>
  <c r="H237" i="22"/>
  <c r="H238" i="22"/>
  <c r="H239" i="22"/>
  <c r="Z2" i="5" l="1"/>
  <c r="Z3" i="5"/>
  <c r="Z19" i="5"/>
  <c r="Z20" i="5"/>
  <c r="Z21" i="5"/>
  <c r="Z22" i="5"/>
  <c r="Z23" i="5"/>
  <c r="Z24" i="5"/>
  <c r="Z25" i="5"/>
  <c r="Z26" i="5"/>
  <c r="Z27" i="5"/>
  <c r="Z28" i="5"/>
  <c r="Z29" i="5"/>
  <c r="Z30" i="5"/>
  <c r="Z49" i="5"/>
  <c r="Z50" i="5"/>
  <c r="F54" i="22"/>
  <c r="G54" i="22" s="1"/>
  <c r="F55" i="22"/>
  <c r="G55" i="22" s="1"/>
  <c r="F56" i="22"/>
  <c r="G56" i="22" s="1"/>
  <c r="F57" i="22"/>
  <c r="G57" i="22" s="1"/>
  <c r="H54" i="22"/>
  <c r="H55" i="22"/>
  <c r="H56" i="22"/>
  <c r="H57" i="22"/>
  <c r="F58" i="22"/>
  <c r="G58" i="22" s="1"/>
  <c r="F59" i="22"/>
  <c r="G59" i="22" s="1"/>
  <c r="F60" i="22"/>
  <c r="G60" i="22" s="1"/>
  <c r="F61" i="22"/>
  <c r="G61" i="22" s="1"/>
  <c r="H58" i="22"/>
  <c r="H59" i="22"/>
  <c r="H60" i="22"/>
  <c r="H61" i="22"/>
  <c r="F62" i="22"/>
  <c r="F63" i="22"/>
  <c r="G63" i="22" s="1"/>
  <c r="F64" i="22"/>
  <c r="G64" i="22" s="1"/>
  <c r="F65" i="22"/>
  <c r="G65" i="22" s="1"/>
  <c r="G62" i="22"/>
  <c r="H62" i="22"/>
  <c r="H63" i="22"/>
  <c r="H64" i="22"/>
  <c r="H65" i="22"/>
  <c r="F66" i="22"/>
  <c r="F67" i="22"/>
  <c r="G67" i="22" s="1"/>
  <c r="F68" i="22"/>
  <c r="G68" i="22" s="1"/>
  <c r="F69" i="22"/>
  <c r="G69" i="22" s="1"/>
  <c r="G66" i="22"/>
  <c r="H66" i="22"/>
  <c r="H67" i="22"/>
  <c r="H68" i="22"/>
  <c r="H69" i="22"/>
  <c r="F70" i="22"/>
  <c r="G70" i="22" s="1"/>
  <c r="F71" i="22"/>
  <c r="G71" i="22" s="1"/>
  <c r="F72" i="22"/>
  <c r="G72" i="22" s="1"/>
  <c r="F73" i="22"/>
  <c r="G73" i="22" s="1"/>
  <c r="H70" i="22"/>
  <c r="H71" i="22"/>
  <c r="H72" i="22"/>
  <c r="H73" i="22"/>
  <c r="F74" i="22"/>
  <c r="G74" i="22" s="1"/>
  <c r="F75" i="22"/>
  <c r="G75" i="22" s="1"/>
  <c r="F76" i="22"/>
  <c r="G76" i="22" s="1"/>
  <c r="F77" i="22"/>
  <c r="G77" i="22" s="1"/>
  <c r="H74" i="22"/>
  <c r="H75" i="22"/>
  <c r="H76" i="22"/>
  <c r="H77" i="22"/>
  <c r="F50" i="22"/>
  <c r="G50" i="22" s="1"/>
  <c r="F51" i="22"/>
  <c r="G51" i="22" s="1"/>
  <c r="F52" i="22"/>
  <c r="G52" i="22" s="1"/>
  <c r="F53" i="22"/>
  <c r="G53" i="22" s="1"/>
  <c r="H50" i="22"/>
  <c r="H51" i="22"/>
  <c r="H52" i="22"/>
  <c r="H53" i="22"/>
  <c r="F37" i="22"/>
  <c r="G37" i="22" s="1"/>
  <c r="H37" i="22"/>
  <c r="F30" i="22"/>
  <c r="G30" i="22" s="1"/>
  <c r="F31" i="22"/>
  <c r="G31" i="22" s="1"/>
  <c r="F32" i="22"/>
  <c r="G32" i="22" s="1"/>
  <c r="F33" i="22"/>
  <c r="G33" i="22" s="1"/>
  <c r="F34" i="22"/>
  <c r="G34" i="22" s="1"/>
  <c r="F35" i="22"/>
  <c r="G35" i="22" s="1"/>
  <c r="F36" i="22"/>
  <c r="G36" i="22" s="1"/>
  <c r="H30" i="22"/>
  <c r="H31" i="22"/>
  <c r="H32" i="22"/>
  <c r="H33" i="22"/>
  <c r="H34" i="22"/>
  <c r="H35" i="22"/>
  <c r="H36" i="22"/>
  <c r="F18" i="22"/>
  <c r="F19" i="22"/>
  <c r="G19" i="22" s="1"/>
  <c r="F20" i="22"/>
  <c r="G20" i="22" s="1"/>
  <c r="F21" i="22"/>
  <c r="G21" i="22" s="1"/>
  <c r="G18" i="22"/>
  <c r="H18" i="22"/>
  <c r="H19" i="22"/>
  <c r="H20" i="22"/>
  <c r="H21" i="22"/>
  <c r="H2" i="22"/>
  <c r="H3" i="22"/>
  <c r="H4" i="22"/>
  <c r="H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52" i="22"/>
  <c r="H253" i="22"/>
  <c r="H254" i="22"/>
  <c r="H255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H348" i="22"/>
  <c r="H349" i="22"/>
  <c r="H350" i="22"/>
  <c r="H351" i="22"/>
  <c r="H352" i="22"/>
  <c r="H353" i="22"/>
  <c r="H354" i="22"/>
  <c r="H355" i="22"/>
  <c r="H356" i="22"/>
  <c r="H357" i="22"/>
  <c r="H358" i="22"/>
  <c r="H359" i="22"/>
  <c r="H360" i="22"/>
  <c r="H361" i="22"/>
  <c r="H362" i="22"/>
  <c r="H363" i="22"/>
  <c r="H364" i="22"/>
  <c r="H365" i="22"/>
  <c r="H366" i="22"/>
  <c r="H367" i="22"/>
  <c r="H368" i="22"/>
  <c r="H369" i="22"/>
  <c r="H370" i="22"/>
  <c r="H371" i="22"/>
  <c r="H372" i="22"/>
  <c r="H373" i="22"/>
  <c r="H374" i="22"/>
  <c r="H375" i="22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H432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726" i="22"/>
  <c r="H727" i="22"/>
  <c r="H728" i="22"/>
  <c r="H729" i="22"/>
  <c r="H730" i="22"/>
  <c r="H731" i="22"/>
  <c r="H732" i="22"/>
  <c r="H733" i="22"/>
  <c r="H734" i="22"/>
  <c r="H735" i="22"/>
  <c r="H736" i="22"/>
  <c r="H737" i="22"/>
  <c r="H738" i="22"/>
  <c r="H739" i="22"/>
  <c r="H740" i="22"/>
  <c r="H741" i="22"/>
  <c r="H742" i="22"/>
  <c r="H743" i="22"/>
  <c r="H744" i="22"/>
  <c r="H745" i="22"/>
  <c r="H746" i="22"/>
  <c r="H747" i="22"/>
  <c r="H748" i="22"/>
  <c r="H749" i="22"/>
  <c r="H750" i="22"/>
  <c r="H751" i="22"/>
  <c r="H752" i="22"/>
  <c r="H753" i="22"/>
  <c r="H802" i="22"/>
  <c r="H803" i="22"/>
  <c r="H804" i="22"/>
  <c r="H805" i="22"/>
  <c r="H754" i="22"/>
  <c r="H755" i="22"/>
  <c r="H756" i="22"/>
  <c r="H757" i="22"/>
  <c r="H758" i="22"/>
  <c r="H759" i="22"/>
  <c r="H760" i="22"/>
  <c r="H761" i="22"/>
  <c r="H762" i="22"/>
  <c r="H763" i="22"/>
  <c r="H764" i="22"/>
  <c r="H765" i="22"/>
  <c r="H766" i="22"/>
  <c r="H767" i="22"/>
  <c r="H768" i="22"/>
  <c r="H769" i="22"/>
  <c r="H770" i="22"/>
  <c r="H771" i="22"/>
  <c r="H772" i="22"/>
  <c r="H773" i="22"/>
  <c r="H774" i="22"/>
  <c r="H775" i="22"/>
  <c r="H776" i="22"/>
  <c r="H777" i="22"/>
  <c r="H778" i="22"/>
  <c r="H779" i="22"/>
  <c r="H780" i="22"/>
  <c r="H781" i="22"/>
  <c r="H782" i="22"/>
  <c r="H783" i="22"/>
  <c r="H784" i="22"/>
  <c r="H785" i="22"/>
  <c r="H786" i="22"/>
  <c r="H787" i="22"/>
  <c r="H788" i="22"/>
  <c r="H789" i="22"/>
  <c r="H790" i="22"/>
  <c r="H791" i="22"/>
  <c r="H792" i="22"/>
  <c r="H793" i="22"/>
  <c r="H794" i="22"/>
  <c r="H795" i="22"/>
  <c r="H796" i="22"/>
  <c r="H797" i="22"/>
  <c r="H798" i="22"/>
  <c r="H799" i="22"/>
  <c r="H800" i="22"/>
  <c r="H801" i="22"/>
  <c r="H934" i="22"/>
  <c r="H935" i="22"/>
  <c r="H936" i="22"/>
  <c r="H937" i="22"/>
  <c r="H938" i="22"/>
  <c r="H939" i="22"/>
  <c r="H940" i="22"/>
  <c r="H941" i="22"/>
  <c r="H942" i="22"/>
  <c r="H943" i="22"/>
  <c r="H944" i="22"/>
  <c r="H945" i="22"/>
  <c r="H946" i="22"/>
  <c r="H947" i="22"/>
  <c r="H948" i="22"/>
  <c r="H949" i="22"/>
  <c r="H950" i="22"/>
  <c r="H951" i="22"/>
  <c r="H952" i="22"/>
  <c r="H953" i="22"/>
  <c r="H954" i="22"/>
  <c r="H955" i="22"/>
  <c r="H956" i="22"/>
  <c r="H957" i="22"/>
  <c r="H958" i="22"/>
  <c r="H959" i="22"/>
  <c r="H960" i="22"/>
  <c r="H961" i="22"/>
  <c r="H962" i="22"/>
  <c r="H963" i="22"/>
  <c r="H964" i="22"/>
  <c r="H965" i="22"/>
  <c r="H966" i="22"/>
  <c r="H967" i="22"/>
  <c r="H968" i="22"/>
  <c r="H969" i="22"/>
  <c r="H970" i="22"/>
  <c r="H971" i="22"/>
  <c r="H972" i="22"/>
  <c r="H973" i="22"/>
  <c r="H974" i="22"/>
  <c r="H975" i="22"/>
  <c r="H976" i="22"/>
  <c r="H977" i="22"/>
  <c r="H978" i="22"/>
  <c r="H979" i="22"/>
  <c r="H980" i="22"/>
  <c r="H981" i="22"/>
  <c r="H982" i="22"/>
  <c r="H983" i="22"/>
  <c r="H984" i="22"/>
  <c r="H985" i="22"/>
  <c r="H986" i="22"/>
  <c r="H987" i="22"/>
  <c r="H988" i="22"/>
  <c r="H989" i="22"/>
  <c r="H990" i="22"/>
  <c r="H991" i="22"/>
  <c r="H992" i="22"/>
  <c r="H993" i="22"/>
  <c r="H994" i="22"/>
  <c r="H995" i="22"/>
  <c r="H996" i="22"/>
  <c r="H997" i="22"/>
  <c r="H998" i="22"/>
  <c r="H999" i="22"/>
  <c r="H1000" i="22"/>
  <c r="H1001" i="22"/>
  <c r="H1002" i="22"/>
  <c r="H1003" i="22"/>
  <c r="H1004" i="22"/>
  <c r="H1005" i="22"/>
  <c r="H1006" i="22"/>
  <c r="H1007" i="22"/>
  <c r="H1008" i="22"/>
  <c r="H1009" i="22"/>
  <c r="H1010" i="22"/>
  <c r="H1011" i="22"/>
  <c r="H1012" i="22"/>
  <c r="H1013" i="22"/>
  <c r="H1014" i="22"/>
  <c r="H1015" i="22"/>
  <c r="H1016" i="22"/>
  <c r="H1017" i="22"/>
  <c r="H1018" i="22"/>
  <c r="H1019" i="22"/>
  <c r="H1020" i="22"/>
  <c r="H1021" i="22"/>
  <c r="H1022" i="22"/>
  <c r="H1023" i="22"/>
  <c r="H1024" i="22"/>
  <c r="H1025" i="22"/>
  <c r="H1026" i="22"/>
  <c r="H1027" i="22"/>
  <c r="H1028" i="22"/>
  <c r="H1029" i="22"/>
  <c r="H1030" i="22"/>
  <c r="H1031" i="22"/>
  <c r="H1032" i="22"/>
  <c r="H1033" i="22"/>
  <c r="H1034" i="22"/>
  <c r="H1035" i="22"/>
  <c r="H1036" i="22"/>
  <c r="H1037" i="22"/>
  <c r="H1038" i="22"/>
  <c r="H1039" i="22"/>
  <c r="H1040" i="22"/>
  <c r="H1041" i="22"/>
  <c r="H1042" i="22"/>
  <c r="H1043" i="22"/>
  <c r="H1044" i="22"/>
  <c r="H104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22" i="22"/>
  <c r="H23" i="22"/>
  <c r="H24" i="22"/>
  <c r="H25" i="22"/>
  <c r="H26" i="22"/>
  <c r="H27" i="22"/>
  <c r="H28" i="22"/>
  <c r="H29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108" i="22"/>
  <c r="H109" i="22"/>
  <c r="H112" i="22"/>
  <c r="H113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H470" i="22"/>
  <c r="H471" i="22"/>
  <c r="H472" i="22"/>
  <c r="H473" i="22"/>
  <c r="H474" i="22"/>
  <c r="H475" i="22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H512" i="22"/>
  <c r="H513" i="22"/>
  <c r="H514" i="22"/>
  <c r="H515" i="22"/>
  <c r="H516" i="22"/>
  <c r="H517" i="22"/>
  <c r="H518" i="22"/>
  <c r="H519" i="22"/>
  <c r="H520" i="22"/>
  <c r="H521" i="22"/>
  <c r="H522" i="22"/>
  <c r="H523" i="22"/>
  <c r="H524" i="22"/>
  <c r="H525" i="22"/>
  <c r="H527" i="22"/>
  <c r="H528" i="22"/>
  <c r="H530" i="22"/>
  <c r="H531" i="22"/>
  <c r="H533" i="22"/>
  <c r="H534" i="22"/>
  <c r="H536" i="22"/>
  <c r="H537" i="22"/>
  <c r="H539" i="22"/>
  <c r="H540" i="22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573" i="22"/>
  <c r="H574" i="22"/>
  <c r="H575" i="22"/>
  <c r="H576" i="22"/>
  <c r="H577" i="22"/>
  <c r="H578" i="22"/>
  <c r="H579" i="22"/>
  <c r="H580" i="22"/>
  <c r="H581" i="22"/>
  <c r="H582" i="22"/>
  <c r="H583" i="22"/>
  <c r="H584" i="22"/>
  <c r="H585" i="22"/>
  <c r="H586" i="22"/>
  <c r="H587" i="22"/>
  <c r="H588" i="22"/>
  <c r="H589" i="22"/>
  <c r="H590" i="22"/>
  <c r="H591" i="22"/>
  <c r="H592" i="22"/>
  <c r="H593" i="22"/>
  <c r="H594" i="22"/>
  <c r="H595" i="22"/>
  <c r="H596" i="22"/>
  <c r="H597" i="22"/>
  <c r="H598" i="22"/>
  <c r="H599" i="22"/>
  <c r="H600" i="22"/>
  <c r="H601" i="22"/>
  <c r="H602" i="22"/>
  <c r="H603" i="22"/>
  <c r="H604" i="22"/>
  <c r="H605" i="22"/>
  <c r="H606" i="22"/>
  <c r="H607" i="22"/>
  <c r="H608" i="22"/>
  <c r="H609" i="22"/>
  <c r="H610" i="22"/>
  <c r="H611" i="22"/>
  <c r="H612" i="22"/>
  <c r="H613" i="22"/>
  <c r="H614" i="22"/>
  <c r="H615" i="22"/>
  <c r="H616" i="22"/>
  <c r="H617" i="22"/>
  <c r="H618" i="22"/>
  <c r="H619" i="22"/>
  <c r="H620" i="22"/>
  <c r="H621" i="22"/>
  <c r="H622" i="22"/>
  <c r="H623" i="22"/>
  <c r="H624" i="22"/>
  <c r="H625" i="22"/>
  <c r="H626" i="22"/>
  <c r="H627" i="22"/>
  <c r="H628" i="22"/>
  <c r="H629" i="22"/>
  <c r="H630" i="22"/>
  <c r="H631" i="22"/>
  <c r="H632" i="22"/>
  <c r="H633" i="22"/>
  <c r="H634" i="22"/>
  <c r="H635" i="22"/>
  <c r="H636" i="22"/>
  <c r="H637" i="22"/>
  <c r="H638" i="22"/>
  <c r="H639" i="22"/>
  <c r="H640" i="22"/>
  <c r="H641" i="22"/>
  <c r="H642" i="22"/>
  <c r="H643" i="22"/>
  <c r="H644" i="22"/>
  <c r="H645" i="22"/>
  <c r="H646" i="22"/>
  <c r="H647" i="22"/>
  <c r="H648" i="22"/>
  <c r="H649" i="22"/>
  <c r="H650" i="22"/>
  <c r="H651" i="22"/>
  <c r="H652" i="22"/>
  <c r="H653" i="22"/>
  <c r="H654" i="22"/>
  <c r="H655" i="22"/>
  <c r="H656" i="22"/>
  <c r="H657" i="22"/>
  <c r="H658" i="22"/>
  <c r="H659" i="22"/>
  <c r="H660" i="22"/>
  <c r="H661" i="22"/>
  <c r="H662" i="22"/>
  <c r="H663" i="22"/>
  <c r="H664" i="22"/>
  <c r="H665" i="22"/>
  <c r="H666" i="22"/>
  <c r="H667" i="22"/>
  <c r="H668" i="22"/>
  <c r="H669" i="22"/>
  <c r="H670" i="22"/>
  <c r="H671" i="22"/>
  <c r="H672" i="22"/>
  <c r="H673" i="22"/>
  <c r="H674" i="22"/>
  <c r="H675" i="22"/>
  <c r="H676" i="22"/>
  <c r="H677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701" i="22"/>
  <c r="H702" i="22"/>
  <c r="H703" i="22"/>
  <c r="H704" i="22"/>
  <c r="H705" i="22"/>
  <c r="H706" i="22"/>
  <c r="H707" i="22"/>
  <c r="H708" i="22"/>
  <c r="H709" i="22"/>
  <c r="H710" i="22"/>
  <c r="H711" i="22"/>
  <c r="H712" i="22"/>
  <c r="H713" i="22"/>
  <c r="H714" i="22"/>
  <c r="H715" i="22"/>
  <c r="H716" i="22"/>
  <c r="H717" i="22"/>
  <c r="H718" i="22"/>
  <c r="H719" i="22"/>
  <c r="H720" i="22"/>
  <c r="H721" i="22"/>
  <c r="H722" i="22"/>
  <c r="H723" i="22"/>
  <c r="H724" i="22"/>
  <c r="H725" i="22"/>
  <c r="H806" i="22"/>
  <c r="H807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H824" i="22"/>
  <c r="H825" i="22"/>
  <c r="H826" i="22"/>
  <c r="H827" i="22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H850" i="22"/>
  <c r="H851" i="22"/>
  <c r="H852" i="22"/>
  <c r="H853" i="22"/>
  <c r="H860" i="22"/>
  <c r="H861" i="22"/>
  <c r="H862" i="22"/>
  <c r="H863" i="22"/>
  <c r="H864" i="22"/>
  <c r="H865" i="22"/>
  <c r="H866" i="22"/>
  <c r="H867" i="22"/>
  <c r="H868" i="22"/>
  <c r="H869" i="22"/>
  <c r="H870" i="22"/>
  <c r="H871" i="22"/>
  <c r="H872" i="22"/>
  <c r="H873" i="22"/>
  <c r="H874" i="22"/>
  <c r="H875" i="22"/>
  <c r="H876" i="22"/>
  <c r="H877" i="22"/>
  <c r="H884" i="22"/>
  <c r="H885" i="22"/>
  <c r="H886" i="22"/>
  <c r="H887" i="22"/>
  <c r="H888" i="22"/>
  <c r="H889" i="22"/>
  <c r="H896" i="22"/>
  <c r="H897" i="22"/>
  <c r="H898" i="22"/>
  <c r="H899" i="22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912" i="22"/>
  <c r="H913" i="22"/>
  <c r="H914" i="22"/>
  <c r="H915" i="22"/>
  <c r="H916" i="22"/>
  <c r="H917" i="22"/>
  <c r="H918" i="22"/>
  <c r="H919" i="22"/>
  <c r="H920" i="22"/>
  <c r="H921" i="22"/>
  <c r="H922" i="22"/>
  <c r="H923" i="22"/>
  <c r="H924" i="22"/>
  <c r="H925" i="22"/>
  <c r="H926" i="22"/>
  <c r="H927" i="22"/>
  <c r="H928" i="22"/>
  <c r="H929" i="22"/>
  <c r="H930" i="22"/>
  <c r="H931" i="22"/>
  <c r="H932" i="22"/>
  <c r="H933" i="22"/>
  <c r="H1158" i="22"/>
  <c r="H1159" i="22"/>
  <c r="H1160" i="22"/>
  <c r="H1161" i="22"/>
  <c r="H1162" i="22"/>
  <c r="H1163" i="22"/>
  <c r="H1164" i="22"/>
  <c r="H1165" i="22"/>
  <c r="H1166" i="22"/>
  <c r="H1167" i="22"/>
  <c r="H1168" i="22"/>
  <c r="H1169" i="22"/>
  <c r="H1170" i="22"/>
  <c r="H1171" i="22"/>
  <c r="H1172" i="22"/>
  <c r="H1173" i="22"/>
  <c r="H1174" i="22"/>
  <c r="H1175" i="22"/>
  <c r="H1176" i="22"/>
  <c r="H1177" i="22"/>
  <c r="H1178" i="22"/>
  <c r="H1179" i="22"/>
  <c r="H1180" i="22"/>
  <c r="H1181" i="22"/>
  <c r="H1182" i="22"/>
  <c r="H1183" i="22"/>
  <c r="H1184" i="22"/>
  <c r="H1185" i="22"/>
  <c r="H1186" i="22"/>
  <c r="H1187" i="22"/>
  <c r="H1188" i="22"/>
  <c r="H1189" i="22"/>
  <c r="H1190" i="22"/>
  <c r="H1191" i="22"/>
  <c r="H1192" i="22"/>
  <c r="H1193" i="22"/>
  <c r="H1194" i="22"/>
  <c r="H1195" i="22"/>
  <c r="H1196" i="22"/>
  <c r="H1197" i="22"/>
  <c r="H1198" i="22"/>
  <c r="H1199" i="22"/>
  <c r="H1200" i="22"/>
  <c r="H1201" i="22"/>
  <c r="H1202" i="22"/>
  <c r="H1203" i="22"/>
  <c r="H1204" i="22"/>
  <c r="H1205" i="22"/>
  <c r="H1206" i="22"/>
  <c r="H1207" i="22"/>
  <c r="H1208" i="22"/>
  <c r="H1209" i="22"/>
  <c r="H1210" i="22"/>
  <c r="H1211" i="22"/>
  <c r="H1212" i="22"/>
  <c r="H1213" i="22"/>
  <c r="H1214" i="22"/>
  <c r="H1215" i="22"/>
  <c r="H1216" i="22"/>
  <c r="H1217" i="22"/>
  <c r="H1218" i="22"/>
  <c r="H1219" i="22"/>
  <c r="H1220" i="22"/>
  <c r="H1221" i="22"/>
  <c r="H1615" i="22"/>
  <c r="H1616" i="22"/>
  <c r="H1617" i="22"/>
  <c r="H1618" i="22"/>
  <c r="H1619" i="22"/>
  <c r="H1620" i="22"/>
  <c r="H1621" i="22"/>
  <c r="H1622" i="22"/>
  <c r="H1623" i="22"/>
  <c r="H1624" i="22"/>
  <c r="H1625" i="22"/>
  <c r="H1626" i="22"/>
  <c r="H1627" i="22"/>
  <c r="H1628" i="22"/>
  <c r="H1629" i="22"/>
  <c r="H1630" i="22"/>
  <c r="H1631" i="22"/>
  <c r="H1632" i="22"/>
  <c r="H1633" i="22"/>
  <c r="H1634" i="22"/>
  <c r="H1635" i="22"/>
  <c r="H1636" i="22"/>
  <c r="H1637" i="22"/>
  <c r="H1638" i="22"/>
  <c r="H1639" i="22"/>
  <c r="H1640" i="22"/>
  <c r="H1641" i="22"/>
  <c r="H1642" i="22"/>
  <c r="H1643" i="22"/>
  <c r="H1644" i="22"/>
  <c r="H1645" i="22"/>
  <c r="H1646" i="22"/>
  <c r="H1647" i="22"/>
  <c r="H1648" i="22"/>
  <c r="H1649" i="22"/>
  <c r="H1650" i="22"/>
  <c r="H1651" i="22"/>
  <c r="H1652" i="22"/>
  <c r="H1653" i="22"/>
  <c r="H1654" i="22"/>
  <c r="H1655" i="22"/>
  <c r="H1656" i="22"/>
  <c r="H1657" i="22"/>
  <c r="H1658" i="22"/>
  <c r="H1659" i="22"/>
  <c r="H1660" i="22"/>
  <c r="H1661" i="22"/>
  <c r="H1662" i="22"/>
  <c r="H1663" i="22"/>
  <c r="H1664" i="22"/>
  <c r="H1665" i="22"/>
  <c r="H1666" i="22"/>
  <c r="H1667" i="22"/>
  <c r="H1668" i="22"/>
  <c r="H1669" i="22"/>
  <c r="H1670" i="22"/>
  <c r="H1671" i="22"/>
  <c r="H1672" i="22"/>
  <c r="H1673" i="22"/>
  <c r="H1674" i="22"/>
  <c r="H1675" i="22"/>
  <c r="H1676" i="22"/>
  <c r="H1677" i="22"/>
  <c r="H1678" i="22"/>
  <c r="H1679" i="22"/>
  <c r="H1680" i="22"/>
  <c r="H1681" i="22"/>
  <c r="H1682" i="22"/>
  <c r="H1683" i="22"/>
  <c r="H1684" i="22"/>
  <c r="H1685" i="22"/>
  <c r="H1686" i="22"/>
  <c r="H1687" i="22"/>
  <c r="H1688" i="22"/>
  <c r="H1689" i="22"/>
  <c r="H1690" i="22"/>
  <c r="H1691" i="22"/>
  <c r="H1692" i="22"/>
  <c r="H1693" i="22"/>
  <c r="H1694" i="22"/>
  <c r="H1695" i="22"/>
  <c r="H1696" i="22"/>
  <c r="H1697" i="22"/>
  <c r="H1698" i="22"/>
  <c r="H1699" i="22"/>
  <c r="H1700" i="22"/>
  <c r="H1701" i="22"/>
  <c r="H1702" i="22"/>
  <c r="H1703" i="22"/>
  <c r="H1704" i="22"/>
  <c r="H1705" i="22"/>
  <c r="H1706" i="22"/>
  <c r="H1707" i="22"/>
  <c r="H1708" i="22"/>
  <c r="H1709" i="22"/>
  <c r="H1710" i="22"/>
  <c r="H1711" i="22"/>
  <c r="H1712" i="22"/>
  <c r="H1713" i="22"/>
  <c r="H1714" i="22"/>
  <c r="H1715" i="22"/>
  <c r="H1716" i="22"/>
  <c r="H1717" i="22"/>
  <c r="H1718" i="22"/>
  <c r="H1719" i="22"/>
  <c r="H1720" i="22"/>
  <c r="H1721" i="22"/>
  <c r="H1722" i="22"/>
  <c r="H1723" i="22"/>
  <c r="H1724" i="22"/>
  <c r="H1725" i="22"/>
  <c r="H1726" i="22"/>
  <c r="H1727" i="22"/>
  <c r="H1728" i="22"/>
  <c r="H1729" i="22"/>
  <c r="H1730" i="22"/>
  <c r="H1731" i="22"/>
  <c r="H1732" i="22"/>
  <c r="H1733" i="22"/>
  <c r="H1734" i="22"/>
  <c r="H1735" i="22"/>
  <c r="H1736" i="22"/>
  <c r="H1737" i="22"/>
  <c r="H1738" i="22"/>
  <c r="H1739" i="22"/>
  <c r="H1740" i="22"/>
  <c r="H1741" i="22"/>
  <c r="H1742" i="22"/>
  <c r="H1743" i="22"/>
  <c r="H1744" i="22"/>
  <c r="H1745" i="22"/>
  <c r="H1746" i="22"/>
  <c r="H1747" i="22"/>
  <c r="H1748" i="22"/>
  <c r="H1749" i="22"/>
  <c r="H1750" i="22"/>
  <c r="H1751" i="22"/>
  <c r="H1752" i="22"/>
  <c r="H1753" i="22"/>
  <c r="H1754" i="22"/>
  <c r="H1755" i="22"/>
  <c r="H1756" i="22"/>
  <c r="H1757" i="22"/>
  <c r="H1760" i="22"/>
  <c r="H1761" i="22"/>
  <c r="H1762" i="22"/>
  <c r="H1763" i="22"/>
  <c r="H1764" i="22"/>
  <c r="H1765" i="22"/>
  <c r="H1766" i="22"/>
  <c r="H1767" i="22"/>
  <c r="H1768" i="22"/>
  <c r="H1769" i="22"/>
  <c r="H1770" i="22"/>
  <c r="H1771" i="22"/>
  <c r="H1772" i="22"/>
  <c r="H1773" i="22"/>
  <c r="H1774" i="22"/>
  <c r="H1775" i="22"/>
  <c r="H1776" i="22"/>
  <c r="H1777" i="22"/>
  <c r="H1778" i="22"/>
  <c r="H1779" i="22"/>
  <c r="H1780" i="22"/>
  <c r="H1781" i="22"/>
  <c r="H1782" i="22"/>
  <c r="H1783" i="22"/>
  <c r="H1784" i="22"/>
  <c r="H1785" i="22"/>
  <c r="H1786" i="22"/>
  <c r="H1787" i="22"/>
  <c r="H1788" i="22"/>
  <c r="H1789" i="22"/>
  <c r="H1790" i="22"/>
  <c r="H1791" i="22"/>
  <c r="H1792" i="22"/>
  <c r="H1793" i="22"/>
  <c r="H1794" i="22"/>
  <c r="H1795" i="22"/>
  <c r="H1796" i="22"/>
  <c r="H1797" i="22"/>
  <c r="H1798" i="22"/>
  <c r="H1799" i="22"/>
  <c r="H1800" i="22"/>
  <c r="H1801" i="22"/>
  <c r="H1802" i="22"/>
  <c r="H1803" i="22"/>
  <c r="H1804" i="22"/>
  <c r="H1805" i="22"/>
  <c r="H1806" i="22"/>
  <c r="H1807" i="22"/>
  <c r="H1808" i="22"/>
  <c r="H1809" i="22"/>
  <c r="H1810" i="22"/>
  <c r="H1811" i="22"/>
  <c r="H1812" i="22"/>
  <c r="H1813" i="22"/>
  <c r="H1814" i="22"/>
  <c r="H1815" i="22"/>
  <c r="H1816" i="22"/>
  <c r="H1817" i="22"/>
  <c r="H1818" i="22"/>
  <c r="H1819" i="22"/>
  <c r="H1820" i="22"/>
  <c r="H1821" i="22"/>
  <c r="H1822" i="22"/>
  <c r="H1823" i="22"/>
  <c r="H1824" i="22"/>
  <c r="H1825" i="22"/>
  <c r="H1826" i="22"/>
  <c r="H1827" i="22"/>
  <c r="H1828" i="22"/>
  <c r="H1829" i="22"/>
  <c r="H1830" i="22"/>
  <c r="H1831" i="22"/>
  <c r="H1832" i="22"/>
  <c r="H1833" i="22"/>
  <c r="H1834" i="22"/>
  <c r="H1835" i="22"/>
  <c r="H1836" i="22"/>
  <c r="H1837" i="22"/>
  <c r="H1838" i="22"/>
  <c r="H1839" i="22"/>
  <c r="H1840" i="22"/>
  <c r="H1841" i="22"/>
  <c r="H1842" i="22"/>
  <c r="H1843" i="22"/>
  <c r="H1844" i="22"/>
  <c r="H1845" i="22"/>
  <c r="H1846" i="22"/>
  <c r="H1847" i="22"/>
  <c r="H1848" i="22"/>
  <c r="H1849" i="22"/>
  <c r="H1850" i="22"/>
  <c r="H1851" i="22"/>
  <c r="H1852" i="22"/>
  <c r="H1853" i="22"/>
  <c r="H1854" i="22"/>
  <c r="H1855" i="22"/>
  <c r="H1856" i="22"/>
  <c r="H1857" i="22"/>
  <c r="H1858" i="22"/>
  <c r="H1859" i="22"/>
  <c r="H1860" i="22"/>
  <c r="H1861" i="22"/>
  <c r="H1862" i="22"/>
  <c r="H1863" i="22"/>
  <c r="H1864" i="22"/>
  <c r="H1865" i="22"/>
  <c r="H1866" i="22"/>
  <c r="H1867" i="22"/>
  <c r="H1868" i="22"/>
  <c r="H1869" i="22"/>
  <c r="H1870" i="22"/>
  <c r="H1871" i="22"/>
  <c r="H1872" i="22"/>
  <c r="H1873" i="22"/>
  <c r="H1874" i="22"/>
  <c r="H1875" i="22"/>
  <c r="H1876" i="22"/>
  <c r="H1877" i="22"/>
  <c r="H1878" i="22"/>
  <c r="H1879" i="22"/>
  <c r="H1880" i="22"/>
  <c r="H1881" i="22"/>
  <c r="H1882" i="22"/>
  <c r="H1883" i="22"/>
  <c r="H1884" i="22"/>
  <c r="H1885" i="22"/>
  <c r="H1886" i="22"/>
  <c r="H1887" i="22"/>
  <c r="H1888" i="22"/>
  <c r="H1889" i="22"/>
  <c r="H1890" i="22"/>
  <c r="H1891" i="22"/>
  <c r="H1892" i="22"/>
  <c r="H1893" i="22"/>
  <c r="H1894" i="22"/>
  <c r="H1895" i="22"/>
  <c r="H1896" i="22"/>
  <c r="H1897" i="22"/>
  <c r="H1898" i="22"/>
  <c r="H1899" i="22"/>
  <c r="H1900" i="22"/>
  <c r="H1901" i="22"/>
  <c r="H1902" i="22"/>
  <c r="H1903" i="22"/>
  <c r="H1904" i="22"/>
  <c r="H1905" i="22"/>
  <c r="H1906" i="22"/>
  <c r="H1907" i="22"/>
  <c r="H1908" i="22"/>
  <c r="H1909" i="22"/>
  <c r="H1910" i="22"/>
  <c r="H1911" i="22"/>
  <c r="H1912" i="22"/>
  <c r="H1913" i="22"/>
  <c r="H1914" i="22"/>
  <c r="H1915" i="22"/>
  <c r="H1916" i="22"/>
  <c r="H1917" i="22"/>
  <c r="H1918" i="22"/>
  <c r="H1919" i="22"/>
  <c r="H1920" i="22"/>
  <c r="H1921" i="22"/>
  <c r="H1922" i="22"/>
  <c r="H1923" i="22"/>
  <c r="H1924" i="22"/>
  <c r="H1925" i="22"/>
  <c r="H1926" i="22"/>
  <c r="H1927" i="22"/>
  <c r="H1928" i="22"/>
  <c r="H1929" i="22"/>
  <c r="H1930" i="22"/>
  <c r="H1931" i="22"/>
  <c r="H1932" i="22"/>
  <c r="H1933" i="22"/>
  <c r="H1934" i="22"/>
  <c r="H1935" i="22"/>
  <c r="H1936" i="22"/>
  <c r="H1937" i="22"/>
  <c r="H1938" i="22"/>
  <c r="H1939" i="22"/>
  <c r="H1940" i="22"/>
  <c r="H1941" i="22"/>
  <c r="H1958" i="22"/>
  <c r="H1959" i="22"/>
  <c r="H1960" i="22"/>
  <c r="H1961" i="22"/>
  <c r="H1962" i="22"/>
  <c r="H1963" i="22"/>
  <c r="H1964" i="22"/>
  <c r="H1965" i="22"/>
  <c r="H1966" i="22"/>
  <c r="H1967" i="22"/>
  <c r="H1968" i="22"/>
  <c r="H1969" i="22"/>
  <c r="H1970" i="22"/>
  <c r="H1971" i="22"/>
  <c r="H1972" i="22"/>
  <c r="H1973" i="22"/>
  <c r="H1974" i="22"/>
  <c r="H1975" i="22"/>
  <c r="H1976" i="22"/>
  <c r="H1977" i="22"/>
  <c r="H1978" i="22"/>
  <c r="H1979" i="22"/>
  <c r="H2290" i="22"/>
  <c r="H2291" i="22"/>
  <c r="H2292" i="22"/>
  <c r="H2293" i="22"/>
  <c r="H2294" i="22"/>
  <c r="H2295" i="22"/>
  <c r="H2296" i="22"/>
  <c r="H2297" i="22"/>
  <c r="H2298" i="22"/>
  <c r="H2299" i="22"/>
  <c r="H2300" i="22"/>
  <c r="H2301" i="22"/>
  <c r="H2302" i="22"/>
  <c r="H2303" i="22"/>
  <c r="H2304" i="22"/>
  <c r="H2305" i="22"/>
  <c r="H2306" i="22"/>
  <c r="H2307" i="22"/>
  <c r="H2308" i="22"/>
  <c r="H2309" i="22"/>
  <c r="H2310" i="22"/>
  <c r="H2311" i="22"/>
  <c r="H2312" i="22"/>
  <c r="H2313" i="22"/>
  <c r="H2314" i="22"/>
  <c r="H2315" i="22"/>
  <c r="H2316" i="22"/>
  <c r="H2317" i="22"/>
  <c r="H2318" i="22"/>
  <c r="H2319" i="22"/>
  <c r="H2320" i="22"/>
  <c r="H2321" i="22"/>
  <c r="H2322" i="22"/>
  <c r="H2323" i="22"/>
  <c r="H2324" i="22"/>
  <c r="H2325" i="22"/>
  <c r="H2326" i="22"/>
  <c r="H2327" i="22"/>
  <c r="H2328" i="22"/>
  <c r="H2329" i="22"/>
  <c r="H2330" i="22"/>
  <c r="H2331" i="22"/>
  <c r="H2332" i="22"/>
  <c r="H2333" i="22"/>
  <c r="H2334" i="22"/>
  <c r="H2335" i="22"/>
  <c r="H2336" i="22"/>
  <c r="H2337" i="22"/>
  <c r="H2338" i="22"/>
  <c r="H2339" i="22"/>
  <c r="H2340" i="22"/>
  <c r="H2341" i="22"/>
  <c r="H2342" i="22"/>
  <c r="H2343" i="22"/>
  <c r="H2344" i="22"/>
  <c r="H2345" i="22"/>
  <c r="H2346" i="22"/>
  <c r="H2347" i="22"/>
  <c r="H2348" i="22"/>
  <c r="H2349" i="22"/>
  <c r="H2350" i="22"/>
  <c r="H2351" i="22"/>
  <c r="H2352" i="22"/>
  <c r="H2353" i="22"/>
  <c r="H2354" i="22"/>
  <c r="H2355" i="22"/>
  <c r="H2356" i="22"/>
  <c r="H2357" i="22"/>
  <c r="H2358" i="22"/>
  <c r="H2359" i="22"/>
  <c r="H2360" i="22"/>
  <c r="H2361" i="22"/>
  <c r="H2362" i="22"/>
  <c r="H2363" i="22"/>
  <c r="H2364" i="22"/>
  <c r="H2365" i="22"/>
  <c r="H2366" i="22"/>
  <c r="H2367" i="22"/>
  <c r="H2368" i="22"/>
  <c r="H2369" i="22"/>
  <c r="H2370" i="22"/>
  <c r="H2371" i="22"/>
  <c r="H2372" i="22"/>
  <c r="H2373" i="22"/>
  <c r="H2374" i="22"/>
  <c r="H2375" i="22"/>
  <c r="H2376" i="22"/>
  <c r="H2377" i="22"/>
  <c r="H2378" i="22"/>
  <c r="H2379" i="22"/>
  <c r="H2380" i="22"/>
  <c r="H2381" i="22"/>
  <c r="H2382" i="22"/>
  <c r="H2383" i="22"/>
  <c r="H2384" i="22"/>
  <c r="H2385" i="22"/>
  <c r="H2386" i="22"/>
  <c r="H2387" i="22"/>
  <c r="H2388" i="22"/>
  <c r="H2389" i="22"/>
  <c r="H2390" i="22"/>
  <c r="H2391" i="22"/>
  <c r="H2392" i="22"/>
  <c r="H2393" i="22"/>
  <c r="H2394" i="22"/>
  <c r="H2395" i="22"/>
  <c r="H2396" i="22"/>
  <c r="H2397" i="22"/>
  <c r="H2398" i="22"/>
  <c r="H2399" i="22"/>
  <c r="H2400" i="22"/>
  <c r="H2401" i="22"/>
  <c r="H2402" i="22"/>
  <c r="H2403" i="22"/>
  <c r="H2404" i="22"/>
  <c r="H2405" i="22"/>
  <c r="H2406" i="22"/>
  <c r="H2407" i="22"/>
  <c r="H2408" i="22"/>
  <c r="H2409" i="22"/>
  <c r="H2410" i="22"/>
  <c r="H2411" i="22"/>
  <c r="H2412" i="22"/>
  <c r="H2413" i="22"/>
  <c r="H2414" i="22"/>
  <c r="H2415" i="22"/>
  <c r="H2416" i="22"/>
  <c r="H2417" i="22"/>
  <c r="H2418" i="22"/>
  <c r="H2419" i="22"/>
  <c r="H2420" i="22"/>
  <c r="H2421" i="22"/>
  <c r="H2422" i="22"/>
  <c r="H2423" i="22"/>
  <c r="H2424" i="22"/>
  <c r="H2425" i="22"/>
  <c r="H2426" i="22"/>
  <c r="H2427" i="22"/>
  <c r="H2428" i="22"/>
  <c r="H2429" i="22"/>
  <c r="H2430" i="22"/>
  <c r="H2431" i="22"/>
  <c r="H2432" i="22"/>
  <c r="H2433" i="22"/>
  <c r="H2434" i="22"/>
  <c r="H2435" i="22"/>
  <c r="H2436" i="22"/>
  <c r="H2437" i="22"/>
  <c r="H2438" i="22"/>
  <c r="H2439" i="22"/>
  <c r="H2440" i="22"/>
  <c r="H2441" i="22"/>
  <c r="H2442" i="22"/>
  <c r="H2443" i="22"/>
  <c r="H2444" i="22"/>
  <c r="H2445" i="22"/>
  <c r="H2446" i="22"/>
  <c r="H2447" i="22"/>
  <c r="H2448" i="22"/>
  <c r="H2449" i="22"/>
  <c r="H2450" i="22"/>
  <c r="H2451" i="22"/>
  <c r="H2452" i="22"/>
  <c r="H2453" i="22"/>
  <c r="H2454" i="22"/>
  <c r="H2455" i="22"/>
  <c r="H2456" i="22"/>
  <c r="H2457" i="22"/>
  <c r="H2458" i="22"/>
  <c r="H2459" i="22"/>
  <c r="H2460" i="22"/>
  <c r="H2461" i="22"/>
  <c r="H2462" i="22"/>
  <c r="H2463" i="22"/>
  <c r="H2464" i="22"/>
  <c r="H2465" i="22"/>
  <c r="H2466" i="22"/>
  <c r="H2467" i="22"/>
  <c r="H2468" i="22"/>
  <c r="H2469" i="22"/>
  <c r="H2470" i="22"/>
  <c r="H2471" i="22"/>
  <c r="H2472" i="22"/>
  <c r="H2473" i="22"/>
  <c r="H2474" i="22"/>
  <c r="H2475" i="22"/>
  <c r="H2476" i="22"/>
  <c r="H2477" i="22"/>
  <c r="H2478" i="22"/>
  <c r="H2479" i="22"/>
  <c r="H2480" i="22"/>
  <c r="H2481" i="22"/>
  <c r="H2482" i="22"/>
  <c r="H2483" i="22"/>
  <c r="H2484" i="22"/>
  <c r="H2485" i="22"/>
  <c r="H2486" i="22"/>
  <c r="H2487" i="22"/>
  <c r="H2488" i="22"/>
  <c r="H2489" i="22"/>
  <c r="H2490" i="22"/>
  <c r="H2491" i="22"/>
  <c r="H2492" i="22"/>
  <c r="H2493" i="22"/>
  <c r="H2494" i="22"/>
  <c r="H2495" i="22"/>
  <c r="H2496" i="22"/>
  <c r="H2497" i="22"/>
  <c r="H2498" i="22"/>
  <c r="H2499" i="22"/>
  <c r="H2500" i="22"/>
  <c r="H2501" i="22"/>
  <c r="H2502" i="22"/>
  <c r="H2503" i="22"/>
  <c r="H2504" i="22"/>
  <c r="H2505" i="22"/>
  <c r="H2506" i="22"/>
  <c r="H2507" i="22"/>
  <c r="H2508" i="22"/>
  <c r="H2509" i="22"/>
  <c r="H2510" i="22"/>
  <c r="H2511" i="22"/>
  <c r="H2512" i="22"/>
  <c r="H2513" i="22"/>
  <c r="H2514" i="22"/>
  <c r="H2515" i="22"/>
  <c r="H2516" i="22"/>
  <c r="H2517" i="22"/>
  <c r="H2518" i="22"/>
  <c r="H2519" i="22"/>
  <c r="H2520" i="22"/>
  <c r="H2521" i="22"/>
  <c r="H2522" i="22"/>
  <c r="H2523" i="22"/>
  <c r="H2524" i="22"/>
  <c r="H2525" i="22"/>
  <c r="H2526" i="22"/>
  <c r="H2527" i="22"/>
  <c r="H2528" i="22"/>
  <c r="H2529" i="22"/>
  <c r="H2530" i="22"/>
  <c r="H2531" i="22"/>
  <c r="H2532" i="22"/>
  <c r="H2533" i="22"/>
  <c r="H2534" i="22"/>
  <c r="H2535" i="22"/>
  <c r="H2536" i="22"/>
  <c r="H2537" i="22"/>
  <c r="H2538" i="22"/>
  <c r="H2539" i="22"/>
  <c r="H2540" i="22"/>
  <c r="H2541" i="22"/>
  <c r="H2542" i="22"/>
  <c r="H2543" i="22"/>
  <c r="H2544" i="22"/>
  <c r="H2545" i="22"/>
  <c r="H2546" i="22"/>
  <c r="H2547" i="22"/>
  <c r="H2548" i="22"/>
  <c r="H2549" i="22"/>
  <c r="H2550" i="22"/>
  <c r="H2551" i="22"/>
  <c r="H2552" i="22"/>
  <c r="H2553" i="22"/>
  <c r="H2554" i="22"/>
  <c r="H2555" i="22"/>
  <c r="H2556" i="22"/>
  <c r="H2557" i="22"/>
  <c r="H2558" i="22"/>
  <c r="H2559" i="22"/>
  <c r="H2560" i="22"/>
  <c r="H2561" i="22"/>
  <c r="H2562" i="22"/>
  <c r="H2563" i="22"/>
  <c r="H2564" i="22"/>
  <c r="H2565" i="22"/>
  <c r="H2566" i="22"/>
  <c r="H2567" i="22"/>
  <c r="H2568" i="22"/>
  <c r="H2569" i="22"/>
  <c r="H2578" i="22"/>
  <c r="H2579" i="22"/>
  <c r="H2580" i="22"/>
  <c r="H2581" i="22"/>
  <c r="H2582" i="22"/>
  <c r="H2583" i="22"/>
  <c r="H2584" i="22"/>
  <c r="H2585" i="22"/>
  <c r="H2586" i="22"/>
  <c r="H2587" i="22"/>
  <c r="H2588" i="22"/>
  <c r="H2589" i="22"/>
  <c r="H2590" i="22"/>
  <c r="H2591" i="22"/>
  <c r="H2592" i="22"/>
  <c r="H2593" i="22"/>
  <c r="H2594" i="22"/>
  <c r="H2595" i="22"/>
  <c r="H2596" i="22"/>
  <c r="H2597" i="22"/>
  <c r="H2598" i="22"/>
  <c r="H2599" i="22"/>
  <c r="H2600" i="22"/>
  <c r="H2601" i="22"/>
  <c r="H2602" i="22"/>
  <c r="H2603" i="22"/>
  <c r="H2604" i="22"/>
  <c r="H2605" i="22"/>
  <c r="H2606" i="22"/>
  <c r="H2607" i="22"/>
  <c r="H2608" i="22"/>
  <c r="H2609" i="22"/>
  <c r="H2610" i="22"/>
  <c r="H2611" i="22"/>
  <c r="H2612" i="22"/>
  <c r="H2613" i="22"/>
  <c r="H2614" i="22"/>
  <c r="H2615" i="22"/>
  <c r="H2616" i="22"/>
  <c r="H2617" i="22"/>
  <c r="H2618" i="22"/>
  <c r="H2619" i="22"/>
  <c r="H2620" i="22"/>
  <c r="H2621" i="22"/>
  <c r="H2622" i="22"/>
  <c r="H2623" i="22"/>
  <c r="H2624" i="22"/>
  <c r="H2625" i="22"/>
  <c r="H2626" i="22"/>
  <c r="H2627" i="22"/>
  <c r="H2628" i="22"/>
  <c r="H2629" i="22"/>
  <c r="H2630" i="22"/>
  <c r="H2631" i="22"/>
  <c r="H2632" i="22"/>
  <c r="H2633" i="22"/>
  <c r="H2634" i="22"/>
  <c r="H2635" i="22"/>
  <c r="H2636" i="22"/>
  <c r="H2637" i="22"/>
  <c r="H2638" i="22"/>
  <c r="H2639" i="22"/>
  <c r="H2640" i="22"/>
  <c r="H2641" i="22"/>
  <c r="H2642" i="22"/>
  <c r="H2643" i="22"/>
  <c r="H2644" i="22"/>
  <c r="H2645" i="22"/>
  <c r="H2646" i="22"/>
  <c r="H2647" i="22"/>
  <c r="H2648" i="22"/>
  <c r="H2649" i="22"/>
  <c r="H2650" i="22"/>
  <c r="H2651" i="22"/>
  <c r="H2652" i="22"/>
  <c r="H2653" i="22"/>
  <c r="H2654" i="22"/>
  <c r="H2655" i="22"/>
  <c r="H2656" i="22"/>
  <c r="H2657" i="22"/>
  <c r="H2662" i="22"/>
  <c r="H2663" i="22"/>
  <c r="H2664" i="22"/>
  <c r="H2665" i="22"/>
  <c r="H2666" i="22"/>
  <c r="H2667" i="22"/>
  <c r="H2668" i="22"/>
  <c r="H2669" i="22"/>
  <c r="H2670" i="22"/>
  <c r="H2671" i="22"/>
  <c r="H2672" i="22"/>
  <c r="H2673" i="22"/>
  <c r="H2674" i="22"/>
  <c r="H2675" i="22"/>
  <c r="H2676" i="22"/>
  <c r="H2677" i="22"/>
  <c r="H2678" i="22"/>
  <c r="H2679" i="22"/>
  <c r="H2680" i="22"/>
  <c r="H2681" i="22"/>
  <c r="H2682" i="22"/>
  <c r="H2683" i="22"/>
  <c r="H2684" i="22"/>
  <c r="H2685" i="22"/>
  <c r="H2686" i="22"/>
  <c r="H2687" i="22"/>
  <c r="H2688" i="22"/>
  <c r="H2689" i="22"/>
  <c r="H2690" i="22"/>
  <c r="H2691" i="22"/>
  <c r="H2692" i="22"/>
  <c r="H2693" i="22"/>
  <c r="H2694" i="22"/>
  <c r="H2695" i="22"/>
  <c r="H1046" i="22"/>
  <c r="H1047" i="22"/>
  <c r="H1048" i="22"/>
  <c r="H1049" i="22"/>
  <c r="H1050" i="22"/>
  <c r="H1051" i="22"/>
  <c r="H1052" i="22"/>
  <c r="H1053" i="22"/>
  <c r="H1054" i="22"/>
  <c r="H1055" i="22"/>
  <c r="H1056" i="22"/>
  <c r="H1057" i="22"/>
  <c r="H1058" i="22"/>
  <c r="H1059" i="22"/>
  <c r="H1060" i="22"/>
  <c r="H1061" i="22"/>
  <c r="H1094" i="22"/>
  <c r="H1095" i="22"/>
  <c r="H1096" i="22"/>
  <c r="H1097" i="22"/>
  <c r="H1098" i="22"/>
  <c r="H1099" i="22"/>
  <c r="H1100" i="22"/>
  <c r="H1101" i="22"/>
  <c r="H1102" i="22"/>
  <c r="H1103" i="22"/>
  <c r="H1104" i="22"/>
  <c r="H1105" i="22"/>
  <c r="H1980" i="22"/>
  <c r="H1981" i="22"/>
  <c r="H1982" i="22"/>
  <c r="H1983" i="22"/>
  <c r="H1984" i="22"/>
  <c r="H1985" i="22"/>
  <c r="H1986" i="22"/>
  <c r="H1987" i="22"/>
  <c r="H1988" i="22"/>
  <c r="H1989" i="22"/>
  <c r="H1990" i="22"/>
  <c r="H1991" i="22"/>
  <c r="H1992" i="22"/>
  <c r="H1993" i="22"/>
  <c r="H1994" i="22"/>
  <c r="H1995" i="22"/>
  <c r="H1996" i="22"/>
  <c r="H1997" i="22"/>
  <c r="H1998" i="22"/>
  <c r="H1999" i="22"/>
  <c r="H2000" i="22"/>
  <c r="H2001" i="22"/>
  <c r="H2002" i="22"/>
  <c r="H2003" i="22"/>
  <c r="H2004" i="22"/>
  <c r="H2005" i="22"/>
  <c r="H2006" i="22"/>
  <c r="H2007" i="22"/>
  <c r="H2008" i="22"/>
  <c r="H2009" i="22"/>
  <c r="H2010" i="22"/>
  <c r="H2011" i="22"/>
  <c r="H2012" i="22"/>
  <c r="H2013" i="22"/>
  <c r="H2014" i="22"/>
  <c r="H2015" i="22"/>
  <c r="H2016" i="22"/>
  <c r="H2017" i="22"/>
  <c r="H2018" i="22"/>
  <c r="H2019" i="22"/>
  <c r="H2020" i="22"/>
  <c r="H2021" i="22"/>
  <c r="H2022" i="22"/>
  <c r="H2023" i="22"/>
  <c r="H2024" i="22"/>
  <c r="H2025" i="22"/>
  <c r="H2026" i="22"/>
  <c r="H2027" i="22"/>
  <c r="H2028" i="22"/>
  <c r="H2029" i="22"/>
  <c r="H2030" i="22"/>
  <c r="H2031" i="22"/>
  <c r="H2032" i="22"/>
  <c r="H2033" i="22"/>
  <c r="H2034" i="22"/>
  <c r="H2035" i="22"/>
  <c r="H2036" i="22"/>
  <c r="H2037" i="22"/>
  <c r="H2038" i="22"/>
  <c r="H2039" i="22"/>
  <c r="H2040" i="22"/>
  <c r="H2041" i="22"/>
  <c r="H2042" i="22"/>
  <c r="H2043" i="22"/>
  <c r="H2044" i="22"/>
  <c r="H2045" i="22"/>
  <c r="H2046" i="22"/>
  <c r="H2047" i="22"/>
  <c r="H2048" i="22"/>
  <c r="H2049" i="22"/>
  <c r="H2050" i="22"/>
  <c r="H2051" i="22"/>
  <c r="H2052" i="22"/>
  <c r="H2053" i="22"/>
  <c r="H2054" i="22"/>
  <c r="H2055" i="22"/>
  <c r="H2056" i="22"/>
  <c r="H2057" i="22"/>
  <c r="H2058" i="22"/>
  <c r="H2059" i="22"/>
  <c r="H2060" i="22"/>
  <c r="H2061" i="22"/>
  <c r="H2062" i="22"/>
  <c r="H2063" i="22"/>
  <c r="H2064" i="22"/>
  <c r="H2065" i="22"/>
  <c r="H2066" i="22"/>
  <c r="H2067" i="22"/>
  <c r="H2068" i="22"/>
  <c r="H2069" i="22"/>
  <c r="H2070" i="22"/>
  <c r="H2071" i="22"/>
  <c r="H2072" i="22"/>
  <c r="H2073" i="22"/>
  <c r="H2074" i="22"/>
  <c r="H2075" i="22"/>
  <c r="H2076" i="22"/>
  <c r="H2077" i="22"/>
  <c r="H2078" i="22"/>
  <c r="H2079" i="22"/>
  <c r="H2080" i="22"/>
  <c r="H2081" i="22"/>
  <c r="H2082" i="22"/>
  <c r="H2083" i="22"/>
  <c r="H2084" i="22"/>
  <c r="H2085" i="22"/>
  <c r="H2086" i="22"/>
  <c r="H2087" i="22"/>
  <c r="H2088" i="22"/>
  <c r="H2089" i="22"/>
  <c r="H2090" i="22"/>
  <c r="H2091" i="22"/>
  <c r="H2092" i="22"/>
  <c r="H2093" i="22"/>
  <c r="H2094" i="22"/>
  <c r="H2095" i="22"/>
  <c r="H2096" i="22"/>
  <c r="H2097" i="22"/>
  <c r="H2098" i="22"/>
  <c r="H2099" i="22"/>
  <c r="H2100" i="22"/>
  <c r="H2101" i="22"/>
  <c r="H2102" i="22"/>
  <c r="H2103" i="22"/>
  <c r="H2104" i="22"/>
  <c r="H2105" i="22"/>
  <c r="H2106" i="22"/>
  <c r="H2107" i="22"/>
  <c r="H2108" i="22"/>
  <c r="H2109" i="22"/>
  <c r="H2110" i="22"/>
  <c r="H2111" i="22"/>
  <c r="H2112" i="22"/>
  <c r="H2113" i="22"/>
  <c r="H2114" i="22"/>
  <c r="H2115" i="22"/>
  <c r="H2116" i="22"/>
  <c r="H2117" i="22"/>
  <c r="H2118" i="22"/>
  <c r="H2119" i="22"/>
  <c r="H2120" i="22"/>
  <c r="H2121" i="22"/>
  <c r="H2122" i="22"/>
  <c r="H2123" i="22"/>
  <c r="H2124" i="22"/>
  <c r="H2125" i="22"/>
  <c r="H2126" i="22"/>
  <c r="H2127" i="22"/>
  <c r="H2128" i="22"/>
  <c r="H2129" i="22"/>
  <c r="H2130" i="22"/>
  <c r="H2131" i="22"/>
  <c r="H2132" i="22"/>
  <c r="H2133" i="22"/>
  <c r="H2134" i="22"/>
  <c r="H2135" i="22"/>
  <c r="H2136" i="22"/>
  <c r="H2137" i="22"/>
  <c r="H2138" i="22"/>
  <c r="H2139" i="22"/>
  <c r="H2140" i="22"/>
  <c r="H2141" i="22"/>
  <c r="H2142" i="22"/>
  <c r="H2143" i="22"/>
  <c r="H2144" i="22"/>
  <c r="H2145" i="22"/>
  <c r="H2146" i="22"/>
  <c r="H2147" i="22"/>
  <c r="H2148" i="22"/>
  <c r="H2149" i="22"/>
  <c r="H2150" i="22"/>
  <c r="H2151" i="22"/>
  <c r="H2152" i="22"/>
  <c r="H2153" i="22"/>
  <c r="H2154" i="22"/>
  <c r="H2155" i="22"/>
  <c r="H2156" i="22"/>
  <c r="H2157" i="22"/>
  <c r="H2158" i="22"/>
  <c r="H2159" i="22"/>
  <c r="H2160" i="22"/>
  <c r="H2161" i="22"/>
  <c r="H2162" i="22"/>
  <c r="H2163" i="22"/>
  <c r="H2164" i="22"/>
  <c r="H2165" i="22"/>
  <c r="H2166" i="22"/>
  <c r="H2167" i="22"/>
  <c r="H2168" i="22"/>
  <c r="H2169" i="22"/>
  <c r="H2170" i="22"/>
  <c r="H2171" i="22"/>
  <c r="H2172" i="22"/>
  <c r="H2173" i="22"/>
  <c r="H2174" i="22"/>
  <c r="H2175" i="22"/>
  <c r="H2176" i="22"/>
  <c r="H2177" i="22"/>
  <c r="H2178" i="22"/>
  <c r="H2179" i="22"/>
  <c r="H2180" i="22"/>
  <c r="H2181" i="22"/>
  <c r="H2182" i="22"/>
  <c r="H2183" i="22"/>
  <c r="H2184" i="22"/>
  <c r="H2185" i="22"/>
  <c r="H2186" i="22"/>
  <c r="H2187" i="22"/>
  <c r="H2188" i="22"/>
  <c r="H2189" i="22"/>
  <c r="H2190" i="22"/>
  <c r="H2191" i="22"/>
  <c r="H2192" i="22"/>
  <c r="H2193" i="22"/>
  <c r="H2194" i="22"/>
  <c r="H2195" i="22"/>
  <c r="H2196" i="22"/>
  <c r="H2197" i="22"/>
  <c r="H2198" i="22"/>
  <c r="H2199" i="22"/>
  <c r="H2200" i="22"/>
  <c r="H2201" i="22"/>
  <c r="H2202" i="22"/>
  <c r="H2203" i="22"/>
  <c r="H2204" i="22"/>
  <c r="H2205" i="22"/>
  <c r="H2206" i="22"/>
  <c r="H2207" i="22"/>
  <c r="H2208" i="22"/>
  <c r="H2209" i="22"/>
  <c r="H2210" i="22"/>
  <c r="H2211" i="22"/>
  <c r="H2212" i="22"/>
  <c r="H2213" i="22"/>
  <c r="H2214" i="22"/>
  <c r="H2215" i="22"/>
  <c r="H2216" i="22"/>
  <c r="H2217" i="22"/>
  <c r="H2218" i="22"/>
  <c r="H2219" i="22"/>
  <c r="H2220" i="22"/>
  <c r="H2221" i="22"/>
  <c r="H2222" i="22"/>
  <c r="H2223" i="22"/>
  <c r="H2224" i="22"/>
  <c r="H2225" i="22"/>
  <c r="H2226" i="22"/>
  <c r="H2227" i="22"/>
  <c r="H2228" i="22"/>
  <c r="H2229" i="22"/>
  <c r="H2230" i="22"/>
  <c r="H2231" i="22"/>
  <c r="H2232" i="22"/>
  <c r="H2233" i="22"/>
  <c r="H2234" i="22"/>
  <c r="H2235" i="22"/>
  <c r="H2236" i="22"/>
  <c r="H2237" i="22"/>
  <c r="H2238" i="22"/>
  <c r="H2239" i="22"/>
  <c r="H2240" i="22"/>
  <c r="H2241" i="22"/>
  <c r="H2242" i="22"/>
  <c r="H2243" i="22"/>
  <c r="H2244" i="22"/>
  <c r="H2245" i="22"/>
  <c r="H2246" i="22"/>
  <c r="H2247" i="22"/>
  <c r="H2248" i="22"/>
  <c r="H2249" i="22"/>
  <c r="H2250" i="22"/>
  <c r="H2251" i="22"/>
  <c r="H2252" i="22"/>
  <c r="H2253" i="22"/>
  <c r="H2254" i="22"/>
  <c r="H2255" i="22"/>
  <c r="H2256" i="22"/>
  <c r="H2257" i="22"/>
  <c r="H2258" i="22"/>
  <c r="H2259" i="22"/>
  <c r="H2260" i="22"/>
  <c r="H2261" i="22"/>
  <c r="H2262" i="22"/>
  <c r="H2263" i="22"/>
  <c r="H2264" i="22"/>
  <c r="H2265" i="22"/>
  <c r="H2266" i="22"/>
  <c r="H2267" i="22"/>
  <c r="H2268" i="22"/>
  <c r="H2269" i="22"/>
  <c r="H2270" i="22"/>
  <c r="H2271" i="22"/>
  <c r="H2272" i="22"/>
  <c r="H2273" i="22"/>
  <c r="H2274" i="22"/>
  <c r="H2275" i="22"/>
  <c r="H2276" i="22"/>
  <c r="H2277" i="22"/>
  <c r="H2278" i="22"/>
  <c r="H2279" i="22"/>
  <c r="H2280" i="22"/>
  <c r="H2281" i="22"/>
  <c r="H2282" i="22"/>
  <c r="H2283" i="22"/>
  <c r="H2284" i="22"/>
  <c r="H2285" i="22"/>
  <c r="H2286" i="22"/>
  <c r="H2287" i="22"/>
  <c r="H2288" i="22"/>
  <c r="H2289" i="22"/>
  <c r="H878" i="22"/>
  <c r="H879" i="22"/>
  <c r="H880" i="22"/>
  <c r="H881" i="22"/>
  <c r="H882" i="22"/>
  <c r="H883" i="22"/>
  <c r="H890" i="22"/>
  <c r="H891" i="22"/>
  <c r="H892" i="22"/>
  <c r="H893" i="22"/>
  <c r="H894" i="22"/>
  <c r="H895" i="22"/>
  <c r="H854" i="22"/>
  <c r="H855" i="22"/>
  <c r="H856" i="22"/>
  <c r="H857" i="22"/>
  <c r="H858" i="22"/>
  <c r="H859" i="22"/>
  <c r="H1062" i="22"/>
  <c r="H1063" i="22"/>
  <c r="H1064" i="22"/>
  <c r="H1065" i="22"/>
  <c r="H1066" i="22"/>
  <c r="H1067" i="22"/>
  <c r="H1068" i="22"/>
  <c r="H1069" i="22"/>
  <c r="H1070" i="22"/>
  <c r="H1071" i="22"/>
  <c r="H1072" i="22"/>
  <c r="H1073" i="22"/>
  <c r="H1074" i="22"/>
  <c r="H1075" i="22"/>
  <c r="H1076" i="22"/>
  <c r="H1077" i="22"/>
  <c r="H1078" i="22"/>
  <c r="H1079" i="22"/>
  <c r="H1080" i="22"/>
  <c r="H1081" i="22"/>
  <c r="H1082" i="22"/>
  <c r="H1083" i="22"/>
  <c r="H1084" i="22"/>
  <c r="H1085" i="22"/>
  <c r="H1086" i="22"/>
  <c r="H1087" i="22"/>
  <c r="H1088" i="22"/>
  <c r="H1089" i="22"/>
  <c r="H1090" i="22"/>
  <c r="H1091" i="22"/>
  <c r="H1092" i="22"/>
  <c r="H1093" i="22"/>
  <c r="H1326" i="22"/>
  <c r="H1327" i="22"/>
  <c r="H1328" i="22"/>
  <c r="H1329" i="22"/>
  <c r="H1330" i="22"/>
  <c r="H1331" i="22"/>
  <c r="H1296" i="22"/>
  <c r="H1297" i="22"/>
  <c r="H1298" i="22"/>
  <c r="H1299" i="22"/>
  <c r="H1300" i="22"/>
  <c r="H1301" i="22"/>
  <c r="H1302" i="22"/>
  <c r="H1303" i="22"/>
  <c r="H1304" i="22"/>
  <c r="H1305" i="22"/>
  <c r="H1306" i="22"/>
  <c r="H1307" i="22"/>
  <c r="H1344" i="22"/>
  <c r="H1345" i="22"/>
  <c r="H1346" i="22"/>
  <c r="H1347" i="22"/>
  <c r="H1348" i="22"/>
  <c r="H1349" i="22"/>
  <c r="H1350" i="22"/>
  <c r="H1351" i="22"/>
  <c r="H1352" i="22"/>
  <c r="H1353" i="22"/>
  <c r="H1354" i="22"/>
  <c r="H1355" i="22"/>
  <c r="H1356" i="22"/>
  <c r="H1357" i="22"/>
  <c r="H1358" i="22"/>
  <c r="H1359" i="22"/>
  <c r="H1360" i="22"/>
  <c r="H1338" i="22"/>
  <c r="H1339" i="22"/>
  <c r="H1340" i="22"/>
  <c r="H1341" i="22"/>
  <c r="H1342" i="22"/>
  <c r="H1343" i="22"/>
  <c r="H1377" i="22"/>
  <c r="H1378" i="22"/>
  <c r="H1379" i="22"/>
  <c r="H1380" i="22"/>
  <c r="H1381" i="22"/>
  <c r="H1382" i="22"/>
  <c r="H1383" i="22"/>
  <c r="H1384" i="22"/>
  <c r="H1385" i="22"/>
  <c r="H1386" i="22"/>
  <c r="H1387" i="22"/>
  <c r="H1388" i="22"/>
  <c r="H1389" i="22"/>
  <c r="H1390" i="22"/>
  <c r="H1332" i="22"/>
  <c r="H1333" i="22"/>
  <c r="H1334" i="22"/>
  <c r="H1335" i="22"/>
  <c r="H1336" i="22"/>
  <c r="H1337" i="22"/>
  <c r="H1308" i="22"/>
  <c r="H1309" i="22"/>
  <c r="H1310" i="22"/>
  <c r="H1311" i="22"/>
  <c r="H1312" i="22"/>
  <c r="H1313" i="22"/>
  <c r="H1361" i="22"/>
  <c r="H1362" i="22"/>
  <c r="H1363" i="22"/>
  <c r="H1364" i="22"/>
  <c r="H1365" i="22"/>
  <c r="H1366" i="22"/>
  <c r="H1367" i="22"/>
  <c r="H1368" i="22"/>
  <c r="H1369" i="22"/>
  <c r="H1370" i="22"/>
  <c r="H1371" i="22"/>
  <c r="H1372" i="22"/>
  <c r="H1373" i="22"/>
  <c r="H1374" i="22"/>
  <c r="H1375" i="22"/>
  <c r="H1376" i="22"/>
  <c r="H1314" i="22"/>
  <c r="H1315" i="22"/>
  <c r="H1316" i="22"/>
  <c r="H1317" i="22"/>
  <c r="H1318" i="22"/>
  <c r="H1319" i="22"/>
  <c r="H1320" i="22"/>
  <c r="H1321" i="22"/>
  <c r="H1322" i="22"/>
  <c r="H1323" i="22"/>
  <c r="H1324" i="22"/>
  <c r="H1325" i="22"/>
  <c r="H1391" i="22"/>
  <c r="H1392" i="22"/>
  <c r="H1393" i="22"/>
  <c r="H1394" i="22"/>
  <c r="H1266" i="22"/>
  <c r="H1267" i="22"/>
  <c r="H1268" i="22"/>
  <c r="H1269" i="22"/>
  <c r="H1270" i="22"/>
  <c r="H1271" i="22"/>
  <c r="H1272" i="22"/>
  <c r="H1273" i="22"/>
  <c r="H1274" i="22"/>
  <c r="H1275" i="22"/>
  <c r="H1276" i="22"/>
  <c r="H1277" i="22"/>
  <c r="H1278" i="22"/>
  <c r="H1279" i="22"/>
  <c r="H1280" i="22"/>
  <c r="H1281" i="22"/>
  <c r="H1282" i="22"/>
  <c r="H1283" i="22"/>
  <c r="H1284" i="22"/>
  <c r="H1285" i="22"/>
  <c r="H1286" i="22"/>
  <c r="H1287" i="22"/>
  <c r="H1288" i="22"/>
  <c r="H1289" i="22"/>
  <c r="H1290" i="22"/>
  <c r="H1291" i="22"/>
  <c r="H1292" i="22"/>
  <c r="H1293" i="22"/>
  <c r="H1294" i="22"/>
  <c r="H1295" i="22"/>
  <c r="H1395" i="22"/>
  <c r="H1396" i="22"/>
  <c r="H1397" i="22"/>
  <c r="H1398" i="22"/>
  <c r="H1399" i="22"/>
  <c r="H1400" i="22"/>
  <c r="H1401" i="22"/>
  <c r="H1402" i="22"/>
  <c r="H1403" i="22"/>
  <c r="H1404" i="22"/>
  <c r="H1405" i="22"/>
  <c r="H1406" i="22"/>
  <c r="H1407" i="22"/>
  <c r="H1408" i="22"/>
  <c r="H1409" i="22"/>
  <c r="H1410" i="22"/>
  <c r="H1411" i="22"/>
  <c r="H1412" i="22"/>
  <c r="H1413" i="22"/>
  <c r="H1414" i="22"/>
  <c r="H1415" i="22"/>
  <c r="H1416" i="22"/>
  <c r="H1417" i="22"/>
  <c r="H1418" i="22"/>
  <c r="H1419" i="22"/>
  <c r="H1420" i="22"/>
  <c r="H1421" i="22"/>
  <c r="H1422" i="22"/>
  <c r="H1423" i="22"/>
  <c r="H1424" i="22"/>
  <c r="H1425" i="22"/>
  <c r="H1426" i="22"/>
  <c r="H1427" i="22"/>
  <c r="H1428" i="22"/>
  <c r="H1429" i="22"/>
  <c r="H1430" i="22"/>
  <c r="H1431" i="22"/>
  <c r="H1432" i="22"/>
  <c r="H1433" i="22"/>
  <c r="H1434" i="22"/>
  <c r="H1435" i="22"/>
  <c r="H1436" i="22"/>
  <c r="H1437" i="22"/>
  <c r="H1438" i="22"/>
  <c r="H1439" i="22"/>
  <c r="H1440" i="22"/>
  <c r="H1441" i="22"/>
  <c r="H1442" i="22"/>
  <c r="H1443" i="22"/>
  <c r="H1444" i="22"/>
  <c r="H1445" i="22"/>
  <c r="H1446" i="22"/>
  <c r="H1447" i="22"/>
  <c r="H1448" i="22"/>
  <c r="H1449" i="22"/>
  <c r="H1450" i="22"/>
  <c r="H1451" i="22"/>
  <c r="H1452" i="22"/>
  <c r="H1453" i="22"/>
  <c r="H1454" i="22"/>
  <c r="H1455" i="22"/>
  <c r="H1456" i="22"/>
  <c r="H1457" i="22"/>
  <c r="H1458" i="22"/>
  <c r="H1459" i="22"/>
  <c r="H1460" i="22"/>
  <c r="H1461" i="22"/>
  <c r="H1462" i="22"/>
  <c r="H1463" i="22"/>
  <c r="H1464" i="22"/>
  <c r="H1465" i="22"/>
  <c r="H1466" i="22"/>
  <c r="H1467" i="22"/>
  <c r="H1468" i="22"/>
  <c r="H1469" i="22"/>
  <c r="H1470" i="22"/>
  <c r="H1471" i="22"/>
  <c r="H1472" i="22"/>
  <c r="H1473" i="22"/>
  <c r="H1474" i="22"/>
  <c r="H1475" i="22"/>
  <c r="H1476" i="22"/>
  <c r="H1477" i="22"/>
  <c r="H1478" i="22"/>
  <c r="H1479" i="22"/>
  <c r="H1480" i="22"/>
  <c r="H1481" i="22"/>
  <c r="H1482" i="22"/>
  <c r="H1483" i="22"/>
  <c r="H1484" i="22"/>
  <c r="H1485" i="22"/>
  <c r="H1486" i="22"/>
  <c r="H1487" i="22"/>
  <c r="H1488" i="22"/>
  <c r="H1489" i="22"/>
  <c r="H1490" i="22"/>
  <c r="H1491" i="22"/>
  <c r="H1492" i="22"/>
  <c r="H1493" i="22"/>
  <c r="H1494" i="22"/>
  <c r="H1495" i="22"/>
  <c r="H1496" i="22"/>
  <c r="H1497" i="22"/>
  <c r="H1498" i="22"/>
  <c r="H1499" i="22"/>
  <c r="H1500" i="22"/>
  <c r="H1501" i="22"/>
  <c r="H1502" i="22"/>
  <c r="H1503" i="22"/>
  <c r="H1504" i="22"/>
  <c r="H1505" i="22"/>
  <c r="H1506" i="22"/>
  <c r="H1507" i="22"/>
  <c r="H1508" i="22"/>
  <c r="H1509" i="22"/>
  <c r="H1510" i="22"/>
  <c r="H1511" i="22"/>
  <c r="H1512" i="22"/>
  <c r="H1513" i="22"/>
  <c r="H1514" i="22"/>
  <c r="H1515" i="22"/>
  <c r="H1516" i="22"/>
  <c r="H1517" i="22"/>
  <c r="H1518" i="22"/>
  <c r="H1519" i="22"/>
  <c r="H1520" i="22"/>
  <c r="H1521" i="22"/>
  <c r="H1522" i="22"/>
  <c r="H1523" i="22"/>
  <c r="H1524" i="22"/>
  <c r="H1525" i="22"/>
  <c r="H1526" i="22"/>
  <c r="H1527" i="22"/>
  <c r="H1528" i="22"/>
  <c r="H1529" i="22"/>
  <c r="H1530" i="22"/>
  <c r="H1531" i="22"/>
  <c r="H1532" i="22"/>
  <c r="H1533" i="22"/>
  <c r="H1534" i="22"/>
  <c r="H1535" i="22"/>
  <c r="H1536" i="22"/>
  <c r="H1537" i="22"/>
  <c r="H1538" i="22"/>
  <c r="H1539" i="22"/>
  <c r="H1540" i="22"/>
  <c r="H1541" i="22"/>
  <c r="H1542" i="22"/>
  <c r="H1222" i="22"/>
  <c r="H1223" i="22"/>
  <c r="H1224" i="22"/>
  <c r="H1225" i="22"/>
  <c r="H1226" i="22"/>
  <c r="H1227" i="22"/>
  <c r="H1228" i="22"/>
  <c r="H1229" i="22"/>
  <c r="H1230" i="22"/>
  <c r="H1231" i="22"/>
  <c r="H1232" i="22"/>
  <c r="H1233" i="22"/>
  <c r="H1234" i="22"/>
  <c r="H1235" i="22"/>
  <c r="H1236" i="22"/>
  <c r="H1237" i="22"/>
  <c r="H1238" i="22"/>
  <c r="H1239" i="22"/>
  <c r="H1240" i="22"/>
  <c r="H1241" i="22"/>
  <c r="H1242" i="22"/>
  <c r="H1243" i="22"/>
  <c r="H1244" i="22"/>
  <c r="H1245" i="22"/>
  <c r="H1246" i="22"/>
  <c r="H1247" i="22"/>
  <c r="H1248" i="22"/>
  <c r="H1249" i="22"/>
  <c r="H1250" i="22"/>
  <c r="H1251" i="22"/>
  <c r="H1252" i="22"/>
  <c r="H1253" i="22"/>
  <c r="H1254" i="22"/>
  <c r="H1255" i="22"/>
  <c r="H1256" i="22"/>
  <c r="H1257" i="22"/>
  <c r="H1258" i="22"/>
  <c r="H1259" i="22"/>
  <c r="H1260" i="22"/>
  <c r="H1261" i="22"/>
  <c r="H1262" i="22"/>
  <c r="H1263" i="22"/>
  <c r="H1264" i="22"/>
  <c r="H1265" i="22"/>
  <c r="H1146" i="22"/>
  <c r="H1147" i="22"/>
  <c r="H1148" i="22"/>
  <c r="H1149" i="22"/>
  <c r="H1130" i="22"/>
  <c r="H1131" i="22"/>
  <c r="H1132" i="22"/>
  <c r="H1133" i="22"/>
  <c r="H1126" i="22"/>
  <c r="H1127" i="22"/>
  <c r="H1128" i="22"/>
  <c r="H1129" i="22"/>
  <c r="H1134" i="22"/>
  <c r="H1135" i="22"/>
  <c r="H1136" i="22"/>
  <c r="H1137" i="22"/>
  <c r="H1138" i="22"/>
  <c r="H1139" i="22"/>
  <c r="H1140" i="22"/>
  <c r="H1141" i="22"/>
  <c r="H1142" i="22"/>
  <c r="H1143" i="22"/>
  <c r="H1144" i="22"/>
  <c r="H1145" i="22"/>
  <c r="H1106" i="22"/>
  <c r="H1107" i="22"/>
  <c r="H1108" i="22"/>
  <c r="H1109" i="22"/>
  <c r="H1110" i="22"/>
  <c r="H1111" i="22"/>
  <c r="H1112" i="22"/>
  <c r="H1113" i="22"/>
  <c r="H1114" i="22"/>
  <c r="H1115" i="22"/>
  <c r="H1116" i="22"/>
  <c r="H1117" i="22"/>
  <c r="H1118" i="22"/>
  <c r="H1119" i="22"/>
  <c r="H1120" i="22"/>
  <c r="H1121" i="22"/>
  <c r="H1122" i="22"/>
  <c r="H1123" i="22"/>
  <c r="H1124" i="22"/>
  <c r="H1125" i="22"/>
  <c r="H1150" i="22"/>
  <c r="H1151" i="22"/>
  <c r="H1152" i="22"/>
  <c r="H1153" i="22"/>
  <c r="H1154" i="22"/>
  <c r="H1155" i="22"/>
  <c r="H1156" i="22"/>
  <c r="H1157" i="22"/>
  <c r="H1599" i="22"/>
  <c r="H1600" i="22"/>
  <c r="H1601" i="22"/>
  <c r="H1602" i="22"/>
  <c r="H1603" i="22"/>
  <c r="H1604" i="22"/>
  <c r="H1605" i="22"/>
  <c r="H1606" i="22"/>
  <c r="H1607" i="22"/>
  <c r="H1608" i="22"/>
  <c r="H1609" i="22"/>
  <c r="H1610" i="22"/>
  <c r="H1611" i="22"/>
  <c r="H1612" i="22"/>
  <c r="H1613" i="22"/>
  <c r="H1614" i="22"/>
  <c r="H1543" i="22"/>
  <c r="H1544" i="22"/>
  <c r="H1545" i="22"/>
  <c r="H1546" i="22"/>
  <c r="H1547" i="22"/>
  <c r="H1548" i="22"/>
  <c r="H1549" i="22"/>
  <c r="H1550" i="22"/>
  <c r="H1551" i="22"/>
  <c r="H1552" i="22"/>
  <c r="H1553" i="22"/>
  <c r="H1554" i="22"/>
  <c r="H1555" i="22"/>
  <c r="H1556" i="22"/>
  <c r="H1557" i="22"/>
  <c r="H1558" i="22"/>
  <c r="H1583" i="22"/>
  <c r="H1584" i="22"/>
  <c r="H1585" i="22"/>
  <c r="H1586" i="22"/>
  <c r="H1587" i="22"/>
  <c r="H1588" i="22"/>
  <c r="H1589" i="22"/>
  <c r="H1590" i="22"/>
  <c r="H1591" i="22"/>
  <c r="H1592" i="22"/>
  <c r="H1593" i="22"/>
  <c r="H1594" i="22"/>
  <c r="H1595" i="22"/>
  <c r="H1596" i="22"/>
  <c r="H1597" i="22"/>
  <c r="H1598" i="22"/>
  <c r="H1559" i="22"/>
  <c r="H1560" i="22"/>
  <c r="H1561" i="22"/>
  <c r="H1562" i="22"/>
  <c r="H1563" i="22"/>
  <c r="H1564" i="22"/>
  <c r="H1565" i="22"/>
  <c r="H1566" i="22"/>
  <c r="H1567" i="22"/>
  <c r="H1568" i="22"/>
  <c r="H1569" i="22"/>
  <c r="H1570" i="22"/>
  <c r="H1571" i="22"/>
  <c r="H1572" i="22"/>
  <c r="H1573" i="22"/>
  <c r="H1574" i="22"/>
  <c r="H1575" i="22"/>
  <c r="H1576" i="22"/>
  <c r="H1577" i="22"/>
  <c r="H1578" i="22"/>
  <c r="H1579" i="22"/>
  <c r="H1580" i="22"/>
  <c r="H1581" i="22"/>
  <c r="H1582" i="22"/>
  <c r="C176" i="23"/>
  <c r="C177" i="23"/>
  <c r="C178" i="23"/>
  <c r="C179" i="23"/>
  <c r="C180" i="23"/>
  <c r="C186" i="23"/>
  <c r="E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451" i="21"/>
  <c r="E452" i="21"/>
  <c r="E453" i="21"/>
  <c r="E446" i="21"/>
  <c r="E79" i="21"/>
  <c r="E172" i="21"/>
  <c r="E81" i="21"/>
  <c r="E82" i="21"/>
  <c r="E83" i="21"/>
  <c r="E84" i="21"/>
  <c r="E457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239" i="21"/>
  <c r="E240" i="21"/>
  <c r="E105" i="21"/>
  <c r="E106" i="21"/>
  <c r="E107" i="21"/>
  <c r="E108" i="21"/>
  <c r="E109" i="21"/>
  <c r="E110" i="21"/>
  <c r="E111" i="21"/>
  <c r="E112" i="21"/>
  <c r="E447" i="21"/>
  <c r="E448" i="21"/>
  <c r="E115" i="21"/>
  <c r="E116" i="21"/>
  <c r="E117" i="21"/>
  <c r="E118" i="21"/>
  <c r="E119" i="21"/>
  <c r="E120" i="21"/>
  <c r="E80" i="21"/>
  <c r="E103" i="21"/>
  <c r="E104" i="21"/>
  <c r="E124" i="21"/>
  <c r="E121" i="21"/>
  <c r="E122" i="21"/>
  <c r="E123" i="21"/>
  <c r="E125" i="21"/>
  <c r="E126" i="21"/>
  <c r="E130" i="21"/>
  <c r="E131" i="21"/>
  <c r="E127" i="21"/>
  <c r="E128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449" i="21"/>
  <c r="E450" i="21"/>
  <c r="E153" i="21"/>
  <c r="E154" i="21"/>
  <c r="E155" i="21"/>
  <c r="E156" i="21"/>
  <c r="E157" i="21"/>
  <c r="E158" i="21"/>
  <c r="E159" i="21"/>
  <c r="E129" i="21"/>
  <c r="E132" i="21"/>
  <c r="E133" i="21"/>
  <c r="E160" i="21"/>
  <c r="E161" i="21"/>
  <c r="E162" i="21"/>
  <c r="E163" i="21"/>
  <c r="E164" i="21"/>
  <c r="E165" i="21"/>
  <c r="E166" i="21"/>
  <c r="E167" i="21"/>
  <c r="E168" i="21"/>
  <c r="E169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76" i="21"/>
  <c r="E77" i="21"/>
  <c r="E78" i="21"/>
  <c r="E85" i="21"/>
  <c r="E113" i="21"/>
  <c r="E114" i="21"/>
  <c r="E422" i="21"/>
  <c r="E151" i="21"/>
  <c r="E75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170" i="21"/>
  <c r="E171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326" i="21"/>
  <c r="E327" i="21"/>
  <c r="E328" i="21"/>
  <c r="E329" i="21"/>
  <c r="E330" i="21"/>
  <c r="E331" i="21"/>
  <c r="E332" i="21"/>
  <c r="E333" i="21"/>
  <c r="E334" i="21"/>
  <c r="E335" i="21"/>
  <c r="E336" i="21"/>
  <c r="E337" i="21"/>
  <c r="E338" i="21"/>
  <c r="E339" i="21"/>
  <c r="E340" i="21"/>
  <c r="E341" i="21"/>
  <c r="E342" i="21"/>
  <c r="E343" i="21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403" i="21"/>
  <c r="E404" i="21"/>
  <c r="E405" i="21"/>
  <c r="E406" i="21"/>
  <c r="E407" i="21"/>
  <c r="E408" i="21"/>
  <c r="E409" i="21"/>
  <c r="E410" i="21"/>
  <c r="E411" i="21"/>
  <c r="E412" i="21"/>
  <c r="E413" i="21"/>
  <c r="E414" i="21"/>
  <c r="E415" i="21"/>
  <c r="E416" i="21"/>
  <c r="E417" i="21"/>
  <c r="E418" i="21"/>
  <c r="E419" i="21"/>
  <c r="E420" i="21"/>
  <c r="E433" i="21"/>
  <c r="E434" i="21"/>
  <c r="E435" i="21"/>
  <c r="E436" i="21"/>
  <c r="E437" i="21"/>
  <c r="E438" i="21"/>
  <c r="E439" i="21"/>
  <c r="E440" i="21"/>
  <c r="E441" i="21"/>
  <c r="E430" i="21"/>
  <c r="E431" i="21"/>
  <c r="E442" i="21"/>
  <c r="E444" i="21"/>
  <c r="E423" i="21"/>
  <c r="E424" i="21"/>
  <c r="E425" i="21"/>
  <c r="E426" i="21"/>
  <c r="E445" i="21"/>
  <c r="E427" i="21"/>
  <c r="E428" i="21"/>
  <c r="E429" i="21"/>
  <c r="E432" i="21"/>
  <c r="E443" i="21"/>
  <c r="E152" i="21"/>
  <c r="E214" i="21"/>
  <c r="E215" i="21"/>
  <c r="E216" i="21"/>
  <c r="E217" i="21"/>
  <c r="E218" i="21"/>
  <c r="E219" i="21"/>
  <c r="E220" i="21"/>
  <c r="E221" i="21"/>
  <c r="E222" i="21"/>
  <c r="E454" i="21"/>
  <c r="E455" i="21"/>
  <c r="E456" i="21"/>
  <c r="E421" i="21"/>
  <c r="E458" i="21"/>
  <c r="E459" i="21"/>
  <c r="E460" i="21"/>
  <c r="E461" i="21"/>
  <c r="F2053" i="22" l="1"/>
  <c r="F2052" i="22"/>
  <c r="F2667" i="22"/>
  <c r="F2666" i="22"/>
  <c r="E312" i="5" l="1"/>
  <c r="F312" i="5"/>
  <c r="G312" i="5"/>
  <c r="H312" i="5"/>
  <c r="E311" i="5"/>
  <c r="F311" i="5"/>
  <c r="G311" i="5"/>
  <c r="H311" i="5"/>
  <c r="E310" i="5"/>
  <c r="F310" i="5"/>
  <c r="G310" i="5"/>
  <c r="H310" i="5"/>
  <c r="E309" i="5"/>
  <c r="F309" i="5"/>
  <c r="G309" i="5"/>
  <c r="H309" i="5"/>
  <c r="B170" i="21" l="1"/>
  <c r="B171" i="21"/>
  <c r="B71" i="21"/>
  <c r="B72" i="21"/>
  <c r="B64" i="21"/>
  <c r="C170" i="21"/>
  <c r="C171" i="21"/>
  <c r="C71" i="21"/>
  <c r="C72" i="21"/>
  <c r="C64" i="21"/>
  <c r="F170" i="21"/>
  <c r="F171" i="21"/>
  <c r="F71" i="21"/>
  <c r="F72" i="21"/>
  <c r="F64" i="21"/>
  <c r="G170" i="21"/>
  <c r="G171" i="21"/>
  <c r="G71" i="21"/>
  <c r="G72" i="21"/>
  <c r="G64" i="21"/>
  <c r="H170" i="21"/>
  <c r="H171" i="21"/>
  <c r="H71" i="21"/>
  <c r="H72" i="21"/>
  <c r="H64" i="21"/>
  <c r="I170" i="21"/>
  <c r="I171" i="21"/>
  <c r="I71" i="21"/>
  <c r="I72" i="21"/>
  <c r="I64" i="21"/>
  <c r="J170" i="21"/>
  <c r="J171" i="21"/>
  <c r="J71" i="21"/>
  <c r="J72" i="21"/>
  <c r="J64" i="21"/>
  <c r="M170" i="21"/>
  <c r="M171" i="21"/>
  <c r="M71" i="21"/>
  <c r="M72" i="21"/>
  <c r="M64" i="21"/>
  <c r="O170" i="21"/>
  <c r="P170" i="21" s="1"/>
  <c r="O171" i="21"/>
  <c r="P171" i="21" s="1"/>
  <c r="O71" i="21"/>
  <c r="P71" i="21" s="1"/>
  <c r="O72" i="21"/>
  <c r="P72" i="21" s="1"/>
  <c r="O64" i="21"/>
  <c r="P64" i="21" s="1"/>
  <c r="Y107" i="23" l="1"/>
  <c r="AA107" i="23"/>
  <c r="Z107" i="23"/>
  <c r="Y170" i="23"/>
  <c r="AA170" i="23"/>
  <c r="Z170" i="23"/>
  <c r="AA175" i="23"/>
  <c r="Z175" i="23"/>
  <c r="AA154" i="23"/>
  <c r="Z154" i="23"/>
  <c r="X107" i="23"/>
  <c r="X170" i="23"/>
  <c r="X175" i="23"/>
  <c r="Y175" i="23"/>
  <c r="X154" i="23"/>
  <c r="Y154" i="23"/>
  <c r="AH20" i="2"/>
  <c r="AH461" i="2"/>
  <c r="AH376" i="2"/>
  <c r="R20" i="2"/>
  <c r="AD20" i="2" s="1"/>
  <c r="AB20" i="2"/>
  <c r="R461" i="2"/>
  <c r="AD461" i="2" s="1"/>
  <c r="J348" i="5" s="1"/>
  <c r="K348" i="5" s="1"/>
  <c r="AB461" i="2"/>
  <c r="R376" i="2"/>
  <c r="AD376" i="2" s="1"/>
  <c r="J391" i="5" s="1"/>
  <c r="K391" i="5" s="1"/>
  <c r="AB376" i="2"/>
  <c r="N14" i="2"/>
  <c r="AH285" i="2"/>
  <c r="AH284" i="2"/>
  <c r="N285" i="2"/>
  <c r="R285" i="2"/>
  <c r="AD285" i="2" s="1"/>
  <c r="AB285" i="2"/>
  <c r="N284" i="2"/>
  <c r="R284" i="2"/>
  <c r="AD284" i="2" s="1"/>
  <c r="AB284" i="2"/>
  <c r="F1572" i="22" l="1"/>
  <c r="G1572" i="22" s="1"/>
  <c r="F1573" i="22"/>
  <c r="G1573" i="22" s="1"/>
  <c r="F1574" i="22"/>
  <c r="G1574" i="22" s="1"/>
  <c r="F1575" i="22"/>
  <c r="G1575" i="22" s="1"/>
  <c r="F1576" i="22"/>
  <c r="G1576" i="22" s="1"/>
  <c r="F1577" i="22"/>
  <c r="G1577" i="22" s="1"/>
  <c r="F1578" i="22"/>
  <c r="G1578" i="22" s="1"/>
  <c r="F1579" i="22"/>
  <c r="G1579" i="22" s="1"/>
  <c r="F1580" i="22"/>
  <c r="G1580" i="22" s="1"/>
  <c r="F1581" i="22"/>
  <c r="G1581" i="22" s="1"/>
  <c r="F1582" i="22"/>
  <c r="G1582" i="22" s="1"/>
  <c r="F1571" i="22"/>
  <c r="G1571" i="22" s="1"/>
  <c r="F1570" i="22"/>
  <c r="G1570" i="22" s="1"/>
  <c r="F1560" i="22"/>
  <c r="G1560" i="22" s="1"/>
  <c r="F1561" i="22"/>
  <c r="G1561" i="22" s="1"/>
  <c r="F1562" i="22"/>
  <c r="G1562" i="22" s="1"/>
  <c r="F1563" i="22"/>
  <c r="G1563" i="22" s="1"/>
  <c r="F1564" i="22"/>
  <c r="G1564" i="22" s="1"/>
  <c r="F1565" i="22"/>
  <c r="G1565" i="22" s="1"/>
  <c r="F1566" i="22"/>
  <c r="G1566" i="22" s="1"/>
  <c r="F1567" i="22"/>
  <c r="G1567" i="22" s="1"/>
  <c r="F1568" i="22"/>
  <c r="G1568" i="22" s="1"/>
  <c r="F1569" i="22"/>
  <c r="G1569" i="22" s="1"/>
  <c r="F1559" i="22"/>
  <c r="G1559" i="22" s="1"/>
  <c r="F1598" i="22"/>
  <c r="G1598" i="22" s="1"/>
  <c r="F1592" i="22"/>
  <c r="G1592" i="22" s="1"/>
  <c r="F1593" i="22"/>
  <c r="G1593" i="22" s="1"/>
  <c r="F1594" i="22"/>
  <c r="G1594" i="22" s="1"/>
  <c r="F1595" i="22"/>
  <c r="G1595" i="22" s="1"/>
  <c r="F1596" i="22"/>
  <c r="G1596" i="22" s="1"/>
  <c r="F1597" i="22"/>
  <c r="G1597" i="22" s="1"/>
  <c r="F1591" i="22"/>
  <c r="G1591" i="22" s="1"/>
  <c r="F1587" i="22"/>
  <c r="G1587" i="22" s="1"/>
  <c r="F1588" i="22"/>
  <c r="G1588" i="22" s="1"/>
  <c r="F1589" i="22"/>
  <c r="G1589" i="22" s="1"/>
  <c r="F1590" i="22"/>
  <c r="G1590" i="22" s="1"/>
  <c r="F1584" i="22"/>
  <c r="G1584" i="22" s="1"/>
  <c r="F1585" i="22"/>
  <c r="G1585" i="22" s="1"/>
  <c r="F1586" i="22"/>
  <c r="G1586" i="22" s="1"/>
  <c r="F1583" i="22"/>
  <c r="G1583" i="22" s="1"/>
  <c r="F1552" i="22" l="1"/>
  <c r="G1552" i="22" s="1"/>
  <c r="F1553" i="22"/>
  <c r="G1553" i="22" s="1"/>
  <c r="F1554" i="22"/>
  <c r="G1554" i="22" s="1"/>
  <c r="F1555" i="22"/>
  <c r="G1555" i="22" s="1"/>
  <c r="F1556" i="22"/>
  <c r="G1556" i="22" s="1"/>
  <c r="F1557" i="22"/>
  <c r="G1557" i="22" s="1"/>
  <c r="F1558" i="22"/>
  <c r="G1558" i="22" s="1"/>
  <c r="F1551" i="22"/>
  <c r="G1551" i="22" s="1"/>
  <c r="F1544" i="22"/>
  <c r="G1544" i="22" s="1"/>
  <c r="F1545" i="22"/>
  <c r="G1545" i="22" s="1"/>
  <c r="F1546" i="22"/>
  <c r="G1546" i="22" s="1"/>
  <c r="F1547" i="22"/>
  <c r="G1547" i="22" s="1"/>
  <c r="F1548" i="22"/>
  <c r="G1548" i="22" s="1"/>
  <c r="F1549" i="22"/>
  <c r="G1549" i="22" s="1"/>
  <c r="F1550" i="22"/>
  <c r="G1550" i="22" s="1"/>
  <c r="F1543" i="22"/>
  <c r="G1543" i="22" s="1"/>
  <c r="F1608" i="22"/>
  <c r="G1608" i="22" s="1"/>
  <c r="F1609" i="22"/>
  <c r="G1609" i="22" s="1"/>
  <c r="F1610" i="22"/>
  <c r="G1610" i="22" s="1"/>
  <c r="F1611" i="22"/>
  <c r="G1611" i="22" s="1"/>
  <c r="F1612" i="22"/>
  <c r="G1612" i="22" s="1"/>
  <c r="F1613" i="22"/>
  <c r="G1613" i="22" s="1"/>
  <c r="F1614" i="22"/>
  <c r="G1614" i="22" s="1"/>
  <c r="F1607" i="22"/>
  <c r="G1607" i="22" s="1"/>
  <c r="F1600" i="22"/>
  <c r="G1600" i="22" s="1"/>
  <c r="F1601" i="22"/>
  <c r="G1601" i="22" s="1"/>
  <c r="F1602" i="22"/>
  <c r="G1602" i="22" s="1"/>
  <c r="F1603" i="22"/>
  <c r="G1603" i="22" s="1"/>
  <c r="F1604" i="22"/>
  <c r="G1604" i="22" s="1"/>
  <c r="F1605" i="22"/>
  <c r="G1605" i="22" s="1"/>
  <c r="F1606" i="22"/>
  <c r="G1606" i="22" s="1"/>
  <c r="F1599" i="22"/>
  <c r="G1599" i="22" s="1"/>
  <c r="F2615" i="22"/>
  <c r="G2615" i="22" s="1"/>
  <c r="F2549" i="22"/>
  <c r="G2549" i="22" s="1"/>
  <c r="F2623" i="22"/>
  <c r="G2623" i="22" s="1"/>
  <c r="F2624" i="22"/>
  <c r="G2624" i="22" s="1"/>
  <c r="F2603" i="22"/>
  <c r="G2603" i="22" s="1"/>
  <c r="F2604" i="22"/>
  <c r="G2604" i="22" s="1"/>
  <c r="F2537" i="22"/>
  <c r="G2537" i="22" s="1"/>
  <c r="F2538" i="22"/>
  <c r="G2538" i="22" s="1"/>
  <c r="F2520" i="22"/>
  <c r="G2520" i="22" s="1"/>
  <c r="F2521" i="22"/>
  <c r="G2521" i="22" s="1"/>
  <c r="G2666" i="22"/>
  <c r="G2667" i="22"/>
  <c r="F1161" i="22"/>
  <c r="G1161" i="22" s="1"/>
  <c r="F1162" i="22"/>
  <c r="G1162" i="22" s="1"/>
  <c r="F1151" i="22"/>
  <c r="G1151" i="22" s="1"/>
  <c r="F1152" i="22"/>
  <c r="G1152" i="22" s="1"/>
  <c r="F1153" i="22"/>
  <c r="G1153" i="22" s="1"/>
  <c r="F1154" i="22"/>
  <c r="G1154" i="22" s="1"/>
  <c r="F1155" i="22"/>
  <c r="G1155" i="22" s="1"/>
  <c r="F1156" i="22"/>
  <c r="G1156" i="22" s="1"/>
  <c r="F1157" i="22"/>
  <c r="G1157" i="22" s="1"/>
  <c r="F1150" i="22"/>
  <c r="G1150" i="22" s="1"/>
  <c r="F1123" i="22"/>
  <c r="G1123" i="22" s="1"/>
  <c r="F1124" i="22"/>
  <c r="G1124" i="22" s="1"/>
  <c r="F1125" i="22"/>
  <c r="G1125" i="22" s="1"/>
  <c r="F1122" i="22"/>
  <c r="G1122" i="22" s="1"/>
  <c r="F1120" i="22"/>
  <c r="G1120" i="22" s="1"/>
  <c r="F1121" i="22"/>
  <c r="G1121" i="22" s="1"/>
  <c r="F1119" i="22"/>
  <c r="G1119" i="22" s="1"/>
  <c r="F1118" i="22"/>
  <c r="G1118" i="22" s="1"/>
  <c r="F1115" i="22"/>
  <c r="G1115" i="22" s="1"/>
  <c r="F1116" i="22"/>
  <c r="G1116" i="22" s="1"/>
  <c r="F1117" i="22"/>
  <c r="G1117" i="22" s="1"/>
  <c r="F1114" i="22"/>
  <c r="G1114" i="22" s="1"/>
  <c r="F1111" i="22"/>
  <c r="G1111" i="22" s="1"/>
  <c r="F1112" i="22"/>
  <c r="G1112" i="22" s="1"/>
  <c r="F1113" i="22"/>
  <c r="G1113" i="22" s="1"/>
  <c r="F1110" i="22"/>
  <c r="G1110" i="22" s="1"/>
  <c r="F1107" i="22"/>
  <c r="G1107" i="22" s="1"/>
  <c r="F1108" i="22"/>
  <c r="G1108" i="22" s="1"/>
  <c r="F1109" i="22"/>
  <c r="G1109" i="22" s="1"/>
  <c r="F1106" i="22"/>
  <c r="G1106" i="22" s="1"/>
  <c r="F1143" i="22"/>
  <c r="G1143" i="22" s="1"/>
  <c r="F1144" i="22"/>
  <c r="G1144" i="22" s="1"/>
  <c r="F1145" i="22"/>
  <c r="G1145" i="22" s="1"/>
  <c r="F1142" i="22"/>
  <c r="G1142" i="22" s="1"/>
  <c r="F1139" i="22"/>
  <c r="G1139" i="22" s="1"/>
  <c r="F1140" i="22"/>
  <c r="G1140" i="22" s="1"/>
  <c r="F1141" i="22"/>
  <c r="G1141" i="22" s="1"/>
  <c r="F1138" i="22"/>
  <c r="G1138" i="22" s="1"/>
  <c r="F1135" i="22"/>
  <c r="G1135" i="22" s="1"/>
  <c r="F1136" i="22"/>
  <c r="G1136" i="22" s="1"/>
  <c r="F1137" i="22"/>
  <c r="G1137" i="22" s="1"/>
  <c r="F1134" i="22"/>
  <c r="G1134" i="22" s="1"/>
  <c r="F1127" i="22"/>
  <c r="G1127" i="22" s="1"/>
  <c r="F1128" i="22"/>
  <c r="G1128" i="22" s="1"/>
  <c r="F1129" i="22"/>
  <c r="G1129" i="22" s="1"/>
  <c r="F1126" i="22"/>
  <c r="G1126" i="22" s="1"/>
  <c r="F1131" i="22"/>
  <c r="G1131" i="22" s="1"/>
  <c r="F1132" i="22"/>
  <c r="G1132" i="22" s="1"/>
  <c r="F1133" i="22"/>
  <c r="G1133" i="22" s="1"/>
  <c r="F1130" i="22"/>
  <c r="G1130" i="22" s="1"/>
  <c r="F1147" i="22"/>
  <c r="G1147" i="22" s="1"/>
  <c r="F1148" i="22"/>
  <c r="G1148" i="22" s="1"/>
  <c r="F1149" i="22"/>
  <c r="G1149" i="22" s="1"/>
  <c r="F1146" i="22"/>
  <c r="G1146" i="22" s="1"/>
  <c r="F1247" i="22"/>
  <c r="G1247" i="22" s="1"/>
  <c r="F1248" i="22"/>
  <c r="G1248" i="22" s="1"/>
  <c r="F1249" i="22"/>
  <c r="G1249" i="22" s="1"/>
  <c r="F1250" i="22"/>
  <c r="F1251" i="22"/>
  <c r="F1252" i="22"/>
  <c r="G1252" i="22" s="1"/>
  <c r="F1253" i="22"/>
  <c r="G1253" i="22" s="1"/>
  <c r="F1254" i="22"/>
  <c r="G1254" i="22" s="1"/>
  <c r="F1255" i="22"/>
  <c r="G1255" i="22" s="1"/>
  <c r="F1256" i="22"/>
  <c r="G1256" i="22" s="1"/>
  <c r="F1257" i="22"/>
  <c r="G1257" i="22" s="1"/>
  <c r="F1258" i="22"/>
  <c r="G1258" i="22" s="1"/>
  <c r="F1259" i="22"/>
  <c r="G1259" i="22" s="1"/>
  <c r="F1260" i="22"/>
  <c r="G1260" i="22" s="1"/>
  <c r="F1261" i="22"/>
  <c r="G1261" i="22" s="1"/>
  <c r="F1262" i="22"/>
  <c r="G1262" i="22" s="1"/>
  <c r="F1263" i="22"/>
  <c r="G1263" i="22" s="1"/>
  <c r="F1264" i="22"/>
  <c r="G1264" i="22" s="1"/>
  <c r="F1265" i="22"/>
  <c r="G1265" i="22" s="1"/>
  <c r="G1250" i="22"/>
  <c r="G1251" i="22"/>
  <c r="F1246" i="22"/>
  <c r="G1246" i="22" s="1"/>
  <c r="F1242" i="22"/>
  <c r="G1242" i="22" s="1"/>
  <c r="F1243" i="22"/>
  <c r="G1243" i="22" s="1"/>
  <c r="F1244" i="22"/>
  <c r="G1244" i="22" s="1"/>
  <c r="F1245" i="22"/>
  <c r="G1245" i="22" s="1"/>
  <c r="F1239" i="22"/>
  <c r="G1239" i="22" s="1"/>
  <c r="F1240" i="22"/>
  <c r="G1240" i="22" s="1"/>
  <c r="F1241" i="22"/>
  <c r="G1241" i="22" s="1"/>
  <c r="F1238" i="22"/>
  <c r="G1238" i="22" s="1"/>
  <c r="F1237" i="22"/>
  <c r="G1237" i="22" s="1"/>
  <c r="F1231" i="22"/>
  <c r="G1231" i="22" s="1"/>
  <c r="F1232" i="22"/>
  <c r="G1232" i="22" s="1"/>
  <c r="F1233" i="22"/>
  <c r="G1233" i="22" s="1"/>
  <c r="F1234" i="22"/>
  <c r="G1234" i="22" s="1"/>
  <c r="F1235" i="22"/>
  <c r="G1235" i="22" s="1"/>
  <c r="F1236" i="22"/>
  <c r="G1236" i="22" s="1"/>
  <c r="F1230" i="22"/>
  <c r="G1230" i="22" s="1"/>
  <c r="F1226" i="22"/>
  <c r="G1226" i="22" s="1"/>
  <c r="F1227" i="22"/>
  <c r="G1227" i="22" s="1"/>
  <c r="F1228" i="22"/>
  <c r="G1228" i="22" s="1"/>
  <c r="F1229" i="22"/>
  <c r="G1229" i="22" s="1"/>
  <c r="F1223" i="22"/>
  <c r="G1223" i="22" s="1"/>
  <c r="F1224" i="22"/>
  <c r="G1224" i="22" s="1"/>
  <c r="F1225" i="22"/>
  <c r="G1225" i="22" s="1"/>
  <c r="F1222" i="22"/>
  <c r="G1222" i="22" s="1"/>
  <c r="F1542" i="22"/>
  <c r="G1542" i="22" s="1"/>
  <c r="F1541" i="22"/>
  <c r="G1541" i="22" s="1"/>
  <c r="F1540" i="22"/>
  <c r="G1540" i="22" s="1"/>
  <c r="F1539" i="22"/>
  <c r="G1539" i="22" s="1"/>
  <c r="F1536" i="22"/>
  <c r="G1536" i="22" s="1"/>
  <c r="F1537" i="22"/>
  <c r="G1537" i="22" s="1"/>
  <c r="F1538" i="22"/>
  <c r="G1538" i="22" s="1"/>
  <c r="F1535" i="22"/>
  <c r="G1535" i="22" s="1"/>
  <c r="F1526" i="22"/>
  <c r="G1526" i="22" s="1"/>
  <c r="F1527" i="22"/>
  <c r="G1527" i="22" s="1"/>
  <c r="F1528" i="22"/>
  <c r="G1528" i="22" s="1"/>
  <c r="F1529" i="22"/>
  <c r="G1529" i="22" s="1"/>
  <c r="F1530" i="22"/>
  <c r="G1530" i="22" s="1"/>
  <c r="F1531" i="22"/>
  <c r="G1531" i="22" s="1"/>
  <c r="F1532" i="22"/>
  <c r="G1532" i="22" s="1"/>
  <c r="F1533" i="22"/>
  <c r="G1533" i="22" s="1"/>
  <c r="F1534" i="22"/>
  <c r="G1534" i="22" s="1"/>
  <c r="F1525" i="22"/>
  <c r="G1525" i="22" s="1"/>
  <c r="F1520" i="22" l="1"/>
  <c r="G1520" i="22" s="1"/>
  <c r="F1521" i="22"/>
  <c r="G1521" i="22" s="1"/>
  <c r="F1522" i="22"/>
  <c r="G1522" i="22" s="1"/>
  <c r="F1523" i="22"/>
  <c r="G1523" i="22" s="1"/>
  <c r="F1524" i="22"/>
  <c r="G1524" i="22" s="1"/>
  <c r="F1516" i="22"/>
  <c r="G1516" i="22" s="1"/>
  <c r="F1517" i="22"/>
  <c r="G1517" i="22" s="1"/>
  <c r="F1518" i="22"/>
  <c r="G1518" i="22" s="1"/>
  <c r="F1519" i="22"/>
  <c r="G1519" i="22" s="1"/>
  <c r="F1515" i="22"/>
  <c r="G1515" i="22" s="1"/>
  <c r="F1492" i="22"/>
  <c r="G1492" i="22" s="1"/>
  <c r="F1493" i="22"/>
  <c r="G1493" i="22" s="1"/>
  <c r="F1494" i="22"/>
  <c r="G1494" i="22" s="1"/>
  <c r="F1495" i="22"/>
  <c r="G1495" i="22" s="1"/>
  <c r="F1496" i="22"/>
  <c r="G1496" i="22" s="1"/>
  <c r="F1497" i="22"/>
  <c r="G1497" i="22" s="1"/>
  <c r="F1498" i="22"/>
  <c r="G1498" i="22" s="1"/>
  <c r="F1499" i="22"/>
  <c r="G1499" i="22" s="1"/>
  <c r="F1500" i="22"/>
  <c r="G1500" i="22" s="1"/>
  <c r="F1501" i="22"/>
  <c r="G1501" i="22" s="1"/>
  <c r="F1502" i="22"/>
  <c r="G1502" i="22" s="1"/>
  <c r="F1503" i="22"/>
  <c r="G1503" i="22" s="1"/>
  <c r="F1504" i="22"/>
  <c r="G1504" i="22" s="1"/>
  <c r="F1505" i="22"/>
  <c r="G1505" i="22" s="1"/>
  <c r="F1506" i="22"/>
  <c r="G1506" i="22" s="1"/>
  <c r="F1507" i="22"/>
  <c r="G1507" i="22" s="1"/>
  <c r="F1508" i="22"/>
  <c r="G1508" i="22" s="1"/>
  <c r="F1509" i="22"/>
  <c r="G1509" i="22" s="1"/>
  <c r="F1510" i="22"/>
  <c r="G1510" i="22" s="1"/>
  <c r="F1511" i="22"/>
  <c r="G1511" i="22" s="1"/>
  <c r="F1512" i="22"/>
  <c r="G1512" i="22" s="1"/>
  <c r="F1513" i="22"/>
  <c r="G1513" i="22" s="1"/>
  <c r="F1514" i="22"/>
  <c r="G1514" i="22" s="1"/>
  <c r="F1491" i="22"/>
  <c r="G1491" i="22" s="1"/>
  <c r="F1480" i="22"/>
  <c r="G1480" i="22" s="1"/>
  <c r="F1481" i="22"/>
  <c r="G1481" i="22" s="1"/>
  <c r="F1482" i="22"/>
  <c r="G1482" i="22" s="1"/>
  <c r="F1483" i="22"/>
  <c r="G1483" i="22" s="1"/>
  <c r="F1484" i="22"/>
  <c r="G1484" i="22" s="1"/>
  <c r="F1485" i="22"/>
  <c r="G1485" i="22" s="1"/>
  <c r="F1486" i="22"/>
  <c r="G1486" i="22" s="1"/>
  <c r="F1487" i="22"/>
  <c r="G1487" i="22" s="1"/>
  <c r="F1488" i="22"/>
  <c r="G1488" i="22" s="1"/>
  <c r="F1489" i="22"/>
  <c r="G1489" i="22" s="1"/>
  <c r="F1490" i="22"/>
  <c r="G1490" i="22" s="1"/>
  <c r="F1479" i="22"/>
  <c r="G1479" i="22" s="1"/>
  <c r="F1464" i="22"/>
  <c r="G1464" i="22" s="1"/>
  <c r="F1465" i="22"/>
  <c r="G1465" i="22" s="1"/>
  <c r="F1466" i="22"/>
  <c r="G1466" i="22" s="1"/>
  <c r="F1467" i="22"/>
  <c r="G1467" i="22" s="1"/>
  <c r="F1468" i="22"/>
  <c r="G1468" i="22" s="1"/>
  <c r="F1469" i="22"/>
  <c r="G1469" i="22" s="1"/>
  <c r="F1470" i="22"/>
  <c r="G1470" i="22" s="1"/>
  <c r="F1471" i="22"/>
  <c r="G1471" i="22" s="1"/>
  <c r="F1472" i="22"/>
  <c r="G1472" i="22" s="1"/>
  <c r="F1473" i="22"/>
  <c r="G1473" i="22" s="1"/>
  <c r="F1474" i="22"/>
  <c r="G1474" i="22" s="1"/>
  <c r="F1475" i="22"/>
  <c r="G1475" i="22" s="1"/>
  <c r="F1476" i="22"/>
  <c r="G1476" i="22" s="1"/>
  <c r="F1477" i="22"/>
  <c r="G1477" i="22" s="1"/>
  <c r="F1478" i="22"/>
  <c r="G1478" i="22" s="1"/>
  <c r="F1463" i="22"/>
  <c r="G1463" i="22" s="1"/>
  <c r="F1440" i="22"/>
  <c r="G1440" i="22" s="1"/>
  <c r="F1441" i="22"/>
  <c r="G1441" i="22" s="1"/>
  <c r="F1442" i="22"/>
  <c r="G1442" i="22" s="1"/>
  <c r="F1443" i="22"/>
  <c r="G1443" i="22" s="1"/>
  <c r="F1444" i="22"/>
  <c r="G1444" i="22" s="1"/>
  <c r="F1445" i="22"/>
  <c r="G1445" i="22" s="1"/>
  <c r="F1446" i="22"/>
  <c r="G1446" i="22" s="1"/>
  <c r="F1447" i="22"/>
  <c r="G1447" i="22" s="1"/>
  <c r="F1448" i="22"/>
  <c r="G1448" i="22" s="1"/>
  <c r="F1449" i="22"/>
  <c r="G1449" i="22" s="1"/>
  <c r="F1450" i="22"/>
  <c r="G1450" i="22" s="1"/>
  <c r="F1451" i="22"/>
  <c r="G1451" i="22" s="1"/>
  <c r="F1452" i="22"/>
  <c r="G1452" i="22" s="1"/>
  <c r="F1453" i="22"/>
  <c r="G1453" i="22" s="1"/>
  <c r="F1454" i="22"/>
  <c r="G1454" i="22" s="1"/>
  <c r="F1455" i="22"/>
  <c r="G1455" i="22" s="1"/>
  <c r="F1456" i="22"/>
  <c r="G1456" i="22" s="1"/>
  <c r="F1457" i="22"/>
  <c r="G1457" i="22" s="1"/>
  <c r="F1458" i="22"/>
  <c r="G1458" i="22" s="1"/>
  <c r="F1459" i="22"/>
  <c r="G1459" i="22" s="1"/>
  <c r="F1460" i="22"/>
  <c r="G1460" i="22" s="1"/>
  <c r="F1461" i="22"/>
  <c r="G1461" i="22" s="1"/>
  <c r="F1462" i="22"/>
  <c r="G1462" i="22" s="1"/>
  <c r="F1439" i="22"/>
  <c r="G1439" i="22" s="1"/>
  <c r="F1433" i="22"/>
  <c r="G1433" i="22" s="1"/>
  <c r="F1434" i="22"/>
  <c r="G1434" i="22" s="1"/>
  <c r="F1435" i="22"/>
  <c r="G1435" i="22" s="1"/>
  <c r="F1436" i="22"/>
  <c r="G1436" i="22" s="1"/>
  <c r="F1437" i="22"/>
  <c r="G1437" i="22" s="1"/>
  <c r="F1438" i="22"/>
  <c r="G1438" i="22" s="1"/>
  <c r="F1418" i="22"/>
  <c r="G1418" i="22" s="1"/>
  <c r="F1419" i="22"/>
  <c r="G1419" i="22" s="1"/>
  <c r="F1420" i="22"/>
  <c r="G1420" i="22" s="1"/>
  <c r="F1421" i="22"/>
  <c r="G1421" i="22" s="1"/>
  <c r="F1422" i="22"/>
  <c r="G1422" i="22" s="1"/>
  <c r="F1423" i="22"/>
  <c r="G1423" i="22" s="1"/>
  <c r="F1424" i="22"/>
  <c r="G1424" i="22" s="1"/>
  <c r="F1425" i="22"/>
  <c r="G1425" i="22" s="1"/>
  <c r="F1426" i="22"/>
  <c r="G1426" i="22" s="1"/>
  <c r="F1427" i="22"/>
  <c r="G1427" i="22" s="1"/>
  <c r="F1428" i="22"/>
  <c r="G1428" i="22" s="1"/>
  <c r="F1429" i="22"/>
  <c r="G1429" i="22" s="1"/>
  <c r="F1430" i="22"/>
  <c r="G1430" i="22" s="1"/>
  <c r="F1431" i="22"/>
  <c r="G1431" i="22" s="1"/>
  <c r="F1432" i="22"/>
  <c r="G1432" i="22" s="1"/>
  <c r="F1417" i="22"/>
  <c r="G1417" i="22" s="1"/>
  <c r="F1416" i="22"/>
  <c r="G1416" i="22" s="1"/>
  <c r="F1412" i="22"/>
  <c r="G1412" i="22" s="1"/>
  <c r="F1413" i="22"/>
  <c r="G1413" i="22" s="1"/>
  <c r="F1414" i="22"/>
  <c r="G1414" i="22" s="1"/>
  <c r="F1415" i="22"/>
  <c r="G1415" i="22" s="1"/>
  <c r="F1396" i="22"/>
  <c r="F1397" i="22"/>
  <c r="G1397" i="22" s="1"/>
  <c r="F1398" i="22"/>
  <c r="G1398" i="22" s="1"/>
  <c r="F1399" i="22"/>
  <c r="G1399" i="22" s="1"/>
  <c r="F1400" i="22"/>
  <c r="G1400" i="22" s="1"/>
  <c r="F1401" i="22"/>
  <c r="G1401" i="22" s="1"/>
  <c r="F1402" i="22"/>
  <c r="G1402" i="22" s="1"/>
  <c r="F1403" i="22"/>
  <c r="G1403" i="22" s="1"/>
  <c r="F1404" i="22"/>
  <c r="G1404" i="22" s="1"/>
  <c r="F1405" i="22"/>
  <c r="G1405" i="22" s="1"/>
  <c r="F1406" i="22"/>
  <c r="G1406" i="22" s="1"/>
  <c r="F1407" i="22"/>
  <c r="G1407" i="22" s="1"/>
  <c r="F1408" i="22"/>
  <c r="G1408" i="22" s="1"/>
  <c r="F1409" i="22"/>
  <c r="G1409" i="22" s="1"/>
  <c r="F1410" i="22"/>
  <c r="G1410" i="22" s="1"/>
  <c r="F1411" i="22"/>
  <c r="G1411" i="22" s="1"/>
  <c r="G1396" i="22"/>
  <c r="F1395" i="22"/>
  <c r="G1395" i="22" s="1"/>
  <c r="F1291" i="22"/>
  <c r="G1291" i="22" s="1"/>
  <c r="F1292" i="22"/>
  <c r="G1292" i="22" s="1"/>
  <c r="F1293" i="22"/>
  <c r="G1293" i="22" s="1"/>
  <c r="F1294" i="22"/>
  <c r="G1294" i="22" s="1"/>
  <c r="F1295" i="22"/>
  <c r="G1295" i="22" s="1"/>
  <c r="F1290" i="22"/>
  <c r="G1290" i="22" s="1"/>
  <c r="F1289" i="22"/>
  <c r="G1289" i="22" s="1"/>
  <c r="F1288" i="22"/>
  <c r="G1288" i="22" s="1"/>
  <c r="F1287" i="22"/>
  <c r="G1287" i="22" s="1"/>
  <c r="F1286" i="22"/>
  <c r="G1286" i="22" s="1"/>
  <c r="F1285" i="22"/>
  <c r="G1285" i="22" s="1"/>
  <c r="F1284" i="22"/>
  <c r="G1284" i="22" s="1"/>
  <c r="F1283" i="22"/>
  <c r="G1283" i="22" s="1"/>
  <c r="F1279" i="22"/>
  <c r="G1279" i="22" s="1"/>
  <c r="F1280" i="22"/>
  <c r="G1280" i="22" s="1"/>
  <c r="F1281" i="22"/>
  <c r="G1281" i="22" s="1"/>
  <c r="F1282" i="22"/>
  <c r="G1282" i="22" s="1"/>
  <c r="F1278" i="22"/>
  <c r="G1278" i="22" s="1"/>
  <c r="F1273" i="22"/>
  <c r="G1273" i="22" s="1"/>
  <c r="F1274" i="22"/>
  <c r="G1274" i="22" s="1"/>
  <c r="F1275" i="22"/>
  <c r="G1275" i="22" s="1"/>
  <c r="F1276" i="22"/>
  <c r="G1276" i="22" s="1"/>
  <c r="F1277" i="22"/>
  <c r="G1277" i="22" s="1"/>
  <c r="F1272" i="22"/>
  <c r="G1272" i="22" s="1"/>
  <c r="E281" i="5" l="1"/>
  <c r="E282" i="5"/>
  <c r="F281" i="5"/>
  <c r="F282" i="5"/>
  <c r="G281" i="5"/>
  <c r="G282" i="5"/>
  <c r="H281" i="5"/>
  <c r="H282" i="5"/>
  <c r="F1267" i="22" l="1"/>
  <c r="G1267" i="22" s="1"/>
  <c r="F1268" i="22"/>
  <c r="G1268" i="22" s="1"/>
  <c r="F1269" i="22"/>
  <c r="G1269" i="22" s="1"/>
  <c r="F1270" i="22"/>
  <c r="G1270" i="22" s="1"/>
  <c r="F1271" i="22"/>
  <c r="G1271" i="22" s="1"/>
  <c r="F1266" i="22"/>
  <c r="G1266" i="22" s="1"/>
  <c r="F1392" i="22"/>
  <c r="G1392" i="22" s="1"/>
  <c r="F1393" i="22"/>
  <c r="G1393" i="22" s="1"/>
  <c r="F1394" i="22"/>
  <c r="G1394" i="22" s="1"/>
  <c r="F1391" i="22"/>
  <c r="G1391" i="22" s="1"/>
  <c r="F1315" i="22"/>
  <c r="G1315" i="22" s="1"/>
  <c r="F1316" i="22"/>
  <c r="G1316" i="22" s="1"/>
  <c r="F1317" i="22"/>
  <c r="G1317" i="22" s="1"/>
  <c r="F1318" i="22"/>
  <c r="G1318" i="22" s="1"/>
  <c r="F1319" i="22"/>
  <c r="G1319" i="22" s="1"/>
  <c r="F1320" i="22"/>
  <c r="G1320" i="22" s="1"/>
  <c r="F1321" i="22"/>
  <c r="G1321" i="22" s="1"/>
  <c r="F1322" i="22"/>
  <c r="G1322" i="22" s="1"/>
  <c r="F1323" i="22"/>
  <c r="G1323" i="22" s="1"/>
  <c r="F1324" i="22"/>
  <c r="G1324" i="22" s="1"/>
  <c r="F1325" i="22"/>
  <c r="G1325" i="22" s="1"/>
  <c r="F1314" i="22"/>
  <c r="G1314" i="22" s="1"/>
  <c r="F1376" i="22"/>
  <c r="G1376" i="22" s="1"/>
  <c r="F1368" i="22"/>
  <c r="G1368" i="22" s="1"/>
  <c r="F1369" i="22"/>
  <c r="G1369" i="22" s="1"/>
  <c r="F1370" i="22"/>
  <c r="G1370" i="22" s="1"/>
  <c r="F1371" i="22"/>
  <c r="G1371" i="22" s="1"/>
  <c r="F1372" i="22"/>
  <c r="G1372" i="22" s="1"/>
  <c r="F1373" i="22"/>
  <c r="G1373" i="22" s="1"/>
  <c r="F1374" i="22"/>
  <c r="G1374" i="22" s="1"/>
  <c r="F1375" i="22"/>
  <c r="G1375" i="22" s="1"/>
  <c r="F1362" i="22"/>
  <c r="G1362" i="22" s="1"/>
  <c r="F1363" i="22"/>
  <c r="G1363" i="22" s="1"/>
  <c r="F1364" i="22"/>
  <c r="G1364" i="22" s="1"/>
  <c r="F1365" i="22"/>
  <c r="G1365" i="22" s="1"/>
  <c r="F1366" i="22"/>
  <c r="G1366" i="22" s="1"/>
  <c r="F1367" i="22"/>
  <c r="G1367" i="22" s="1"/>
  <c r="F1361" i="22"/>
  <c r="G1361" i="22" s="1"/>
  <c r="F1309" i="22"/>
  <c r="G1309" i="22" s="1"/>
  <c r="F1310" i="22"/>
  <c r="G1310" i="22" s="1"/>
  <c r="F1311" i="22"/>
  <c r="G1311" i="22" s="1"/>
  <c r="F1312" i="22"/>
  <c r="G1312" i="22" s="1"/>
  <c r="F1313" i="22"/>
  <c r="G1313" i="22" s="1"/>
  <c r="F1308" i="22"/>
  <c r="G1308" i="22" s="1"/>
  <c r="F1333" i="22"/>
  <c r="G1333" i="22" s="1"/>
  <c r="F1334" i="22"/>
  <c r="G1334" i="22" s="1"/>
  <c r="F1335" i="22"/>
  <c r="G1335" i="22" s="1"/>
  <c r="F1336" i="22"/>
  <c r="G1336" i="22" s="1"/>
  <c r="F1337" i="22"/>
  <c r="G1337" i="22" s="1"/>
  <c r="F1332" i="22"/>
  <c r="G1332" i="22" s="1"/>
  <c r="F1388" i="22"/>
  <c r="G1388" i="22" s="1"/>
  <c r="F1389" i="22"/>
  <c r="G1389" i="22" s="1"/>
  <c r="F1390" i="22"/>
  <c r="G1390" i="22" s="1"/>
  <c r="F1378" i="22"/>
  <c r="G1378" i="22" s="1"/>
  <c r="F1379" i="22"/>
  <c r="G1379" i="22" s="1"/>
  <c r="F1380" i="22"/>
  <c r="G1380" i="22" s="1"/>
  <c r="F1381" i="22"/>
  <c r="G1381" i="22" s="1"/>
  <c r="F1382" i="22"/>
  <c r="G1382" i="22" s="1"/>
  <c r="F1383" i="22"/>
  <c r="G1383" i="22" s="1"/>
  <c r="F1384" i="22"/>
  <c r="G1384" i="22" s="1"/>
  <c r="F1385" i="22"/>
  <c r="G1385" i="22" s="1"/>
  <c r="F1386" i="22"/>
  <c r="G1386" i="22" s="1"/>
  <c r="F1387" i="22"/>
  <c r="G1387" i="22" s="1"/>
  <c r="F1377" i="22"/>
  <c r="G1377" i="22" s="1"/>
  <c r="F1339" i="22"/>
  <c r="G1339" i="22" s="1"/>
  <c r="F1340" i="22"/>
  <c r="G1340" i="22" s="1"/>
  <c r="F1341" i="22"/>
  <c r="G1341" i="22" s="1"/>
  <c r="F1342" i="22"/>
  <c r="G1342" i="22" s="1"/>
  <c r="F1343" i="22"/>
  <c r="G1343" i="22" s="1"/>
  <c r="F1338" i="22"/>
  <c r="G1338" i="22" s="1"/>
  <c r="F1345" i="22"/>
  <c r="G1345" i="22" s="1"/>
  <c r="F1346" i="22"/>
  <c r="G1346" i="22" s="1"/>
  <c r="F1347" i="22"/>
  <c r="G1347" i="22" s="1"/>
  <c r="F1348" i="22"/>
  <c r="G1348" i="22" s="1"/>
  <c r="F1349" i="22"/>
  <c r="G1349" i="22" s="1"/>
  <c r="F1350" i="22"/>
  <c r="G1350" i="22" s="1"/>
  <c r="F1351" i="22"/>
  <c r="G1351" i="22" s="1"/>
  <c r="F1352" i="22"/>
  <c r="G1352" i="22" s="1"/>
  <c r="F1353" i="22"/>
  <c r="G1353" i="22" s="1"/>
  <c r="F1354" i="22"/>
  <c r="G1354" i="22" s="1"/>
  <c r="F1355" i="22"/>
  <c r="G1355" i="22" s="1"/>
  <c r="F1356" i="22"/>
  <c r="G1356" i="22" s="1"/>
  <c r="F1357" i="22"/>
  <c r="G1357" i="22" s="1"/>
  <c r="F1358" i="22"/>
  <c r="G1358" i="22" s="1"/>
  <c r="F1359" i="22"/>
  <c r="G1359" i="22" s="1"/>
  <c r="F1360" i="22"/>
  <c r="G1360" i="22" s="1"/>
  <c r="F1344" i="22"/>
  <c r="G1344" i="22" s="1"/>
  <c r="F1297" i="22"/>
  <c r="G1297" i="22" s="1"/>
  <c r="F1298" i="22"/>
  <c r="G1298" i="22" s="1"/>
  <c r="F1299" i="22"/>
  <c r="G1299" i="22" s="1"/>
  <c r="F1300" i="22"/>
  <c r="G1300" i="22" s="1"/>
  <c r="F1301" i="22"/>
  <c r="G1301" i="22" s="1"/>
  <c r="F1302" i="22"/>
  <c r="G1302" i="22" s="1"/>
  <c r="F1303" i="22"/>
  <c r="G1303" i="22" s="1"/>
  <c r="F1304" i="22"/>
  <c r="G1304" i="22" s="1"/>
  <c r="F1305" i="22"/>
  <c r="G1305" i="22" s="1"/>
  <c r="F1306" i="22"/>
  <c r="G1306" i="22" s="1"/>
  <c r="F1307" i="22"/>
  <c r="G1307" i="22" s="1"/>
  <c r="F1296" i="22"/>
  <c r="G1296" i="22" s="1"/>
  <c r="F1327" i="22"/>
  <c r="G1327" i="22" s="1"/>
  <c r="F1328" i="22"/>
  <c r="G1328" i="22" s="1"/>
  <c r="F1329" i="22"/>
  <c r="G1329" i="22" s="1"/>
  <c r="F1330" i="22"/>
  <c r="G1330" i="22" s="1"/>
  <c r="F1331" i="22"/>
  <c r="G1331" i="22" s="1"/>
  <c r="F1326" i="22"/>
  <c r="G1326" i="22" s="1"/>
  <c r="F1083" i="22"/>
  <c r="G1083" i="22" s="1"/>
  <c r="F1084" i="22"/>
  <c r="G1084" i="22" s="1"/>
  <c r="F1085" i="22"/>
  <c r="G1085" i="22" s="1"/>
  <c r="F1086" i="22"/>
  <c r="G1086" i="22" s="1"/>
  <c r="F1087" i="22"/>
  <c r="G1087" i="22" s="1"/>
  <c r="F1088" i="22"/>
  <c r="G1088" i="22" s="1"/>
  <c r="F1089" i="22"/>
  <c r="G1089" i="22" s="1"/>
  <c r="F1090" i="22"/>
  <c r="G1090" i="22" s="1"/>
  <c r="F1091" i="22"/>
  <c r="G1091" i="22" s="1"/>
  <c r="F1092" i="22"/>
  <c r="G1092" i="22" s="1"/>
  <c r="F1093" i="22"/>
  <c r="G1093" i="22" s="1"/>
  <c r="F1082" i="22"/>
  <c r="G1082" i="22" s="1"/>
  <c r="F1071" i="22"/>
  <c r="G1071" i="22" s="1"/>
  <c r="F1072" i="22"/>
  <c r="G1072" i="22" s="1"/>
  <c r="F1073" i="22"/>
  <c r="G1073" i="22" s="1"/>
  <c r="F1074" i="22"/>
  <c r="G1074" i="22" s="1"/>
  <c r="F1075" i="22"/>
  <c r="G1075" i="22" s="1"/>
  <c r="F1076" i="22"/>
  <c r="G1076" i="22" s="1"/>
  <c r="F1077" i="22"/>
  <c r="G1077" i="22" s="1"/>
  <c r="F1078" i="22"/>
  <c r="G1078" i="22" s="1"/>
  <c r="F1079" i="22"/>
  <c r="G1079" i="22" s="1"/>
  <c r="F1080" i="22"/>
  <c r="G1080" i="22" s="1"/>
  <c r="F1081" i="22"/>
  <c r="G1081" i="22" s="1"/>
  <c r="F1070" i="22"/>
  <c r="G1070" i="22" s="1"/>
  <c r="F1063" i="22"/>
  <c r="G1063" i="22" s="1"/>
  <c r="F1064" i="22"/>
  <c r="G1064" i="22" s="1"/>
  <c r="F1065" i="22"/>
  <c r="G1065" i="22" s="1"/>
  <c r="F1066" i="22"/>
  <c r="G1066" i="22" s="1"/>
  <c r="F1067" i="22"/>
  <c r="G1067" i="22" s="1"/>
  <c r="F1068" i="22"/>
  <c r="G1068" i="22" s="1"/>
  <c r="F1069" i="22"/>
  <c r="G1069" i="22" s="1"/>
  <c r="F1062" i="22"/>
  <c r="G1062" i="22" s="1"/>
  <c r="AJ91" i="5" l="1"/>
  <c r="AJ90" i="5"/>
  <c r="R7" i="5"/>
  <c r="S7" i="5" s="1"/>
  <c r="U7" i="5"/>
  <c r="V7" i="5"/>
  <c r="R10" i="5"/>
  <c r="S10" i="5" s="1"/>
  <c r="U10" i="5"/>
  <c r="V10" i="5"/>
  <c r="R46" i="5"/>
  <c r="S46" i="5" s="1"/>
  <c r="U46" i="5"/>
  <c r="V46" i="5"/>
  <c r="AJ89" i="5"/>
  <c r="AJ88" i="5" l="1"/>
  <c r="R43" i="5"/>
  <c r="S43" i="5" s="1"/>
  <c r="U43" i="5"/>
  <c r="V43" i="5"/>
  <c r="AJ87" i="5"/>
  <c r="V2" i="5"/>
  <c r="V29" i="5"/>
  <c r="V19" i="5"/>
  <c r="V21" i="5"/>
  <c r="V25" i="5"/>
  <c r="V27" i="5"/>
  <c r="V49" i="5"/>
  <c r="V23" i="5"/>
  <c r="V16" i="5"/>
  <c r="V13" i="5"/>
  <c r="V4" i="5"/>
  <c r="V31" i="5"/>
  <c r="V34" i="5"/>
  <c r="V37" i="5"/>
  <c r="V40" i="5"/>
  <c r="R40" i="5"/>
  <c r="S40" i="5" s="1"/>
  <c r="U40" i="5"/>
  <c r="AJ86" i="5"/>
  <c r="R37" i="5"/>
  <c r="S37" i="5" s="1"/>
  <c r="U37" i="5"/>
  <c r="C157" i="23" l="1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J195" i="21"/>
  <c r="M403" i="21"/>
  <c r="M404" i="21"/>
  <c r="M405" i="21"/>
  <c r="M406" i="21"/>
  <c r="M407" i="21"/>
  <c r="M408" i="21"/>
  <c r="M409" i="21"/>
  <c r="M443" i="21"/>
  <c r="M401" i="21"/>
  <c r="M435" i="21"/>
  <c r="M436" i="21"/>
  <c r="M437" i="21"/>
  <c r="M438" i="21"/>
  <c r="M439" i="21"/>
  <c r="M440" i="21"/>
  <c r="M441" i="21"/>
  <c r="M442" i="21"/>
  <c r="M444" i="21"/>
  <c r="M394" i="21"/>
  <c r="M225" i="21"/>
  <c r="M76" i="21"/>
  <c r="M77" i="21"/>
  <c r="M78" i="21"/>
  <c r="M85" i="21"/>
  <c r="M113" i="21"/>
  <c r="M114" i="21"/>
  <c r="M151" i="21"/>
  <c r="M75" i="21"/>
  <c r="M152" i="21"/>
  <c r="M214" i="21"/>
  <c r="M215" i="21"/>
  <c r="M216" i="21"/>
  <c r="M217" i="21"/>
  <c r="M218" i="21"/>
  <c r="M219" i="21"/>
  <c r="M220" i="21"/>
  <c r="M221" i="21"/>
  <c r="M222" i="21"/>
  <c r="M421" i="21"/>
  <c r="M422" i="21"/>
  <c r="M427" i="21"/>
  <c r="M428" i="21"/>
  <c r="M429" i="21"/>
  <c r="M432" i="21"/>
  <c r="M430" i="21"/>
  <c r="M431" i="21"/>
  <c r="M446" i="21"/>
  <c r="M447" i="21"/>
  <c r="M448" i="21"/>
  <c r="M39" i="21"/>
  <c r="M116" i="21"/>
  <c r="M49" i="21"/>
  <c r="M50" i="21"/>
  <c r="M117" i="21"/>
  <c r="M54" i="21"/>
  <c r="M119" i="21"/>
  <c r="M60" i="21"/>
  <c r="M61" i="21"/>
  <c r="M62" i="21"/>
  <c r="M231" i="21"/>
  <c r="M232" i="21"/>
  <c r="M233" i="21"/>
  <c r="M234" i="21"/>
  <c r="M235" i="21"/>
  <c r="M236" i="21"/>
  <c r="M237" i="21"/>
  <c r="M238" i="21"/>
  <c r="M241" i="21"/>
  <c r="M242" i="21"/>
  <c r="M243" i="21"/>
  <c r="M244" i="21"/>
  <c r="M245" i="21"/>
  <c r="M246" i="21"/>
  <c r="M319" i="21"/>
  <c r="M31" i="21"/>
  <c r="M51" i="21"/>
  <c r="M52" i="21"/>
  <c r="M147" i="21"/>
  <c r="M148" i="21"/>
  <c r="M149" i="21"/>
  <c r="M150" i="21"/>
  <c r="M250" i="21"/>
  <c r="M251" i="21"/>
  <c r="M252" i="21"/>
  <c r="M253" i="21"/>
  <c r="M254" i="21"/>
  <c r="M255" i="21"/>
  <c r="M256" i="21"/>
  <c r="M257" i="21"/>
  <c r="M258" i="21"/>
  <c r="M259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84" i="21"/>
  <c r="M285" i="21"/>
  <c r="M73" i="21"/>
  <c r="M41" i="21"/>
  <c r="M42" i="21"/>
  <c r="M43" i="21"/>
  <c r="M44" i="21"/>
  <c r="M45" i="21"/>
  <c r="M46" i="21"/>
  <c r="M47" i="21"/>
  <c r="M48" i="21"/>
  <c r="M56" i="21"/>
  <c r="M57" i="21"/>
  <c r="M58" i="21"/>
  <c r="M59" i="21"/>
  <c r="M224" i="21"/>
  <c r="M227" i="21"/>
  <c r="M228" i="21"/>
  <c r="M229" i="21"/>
  <c r="M230" i="21"/>
  <c r="M247" i="21"/>
  <c r="M248" i="21"/>
  <c r="M249" i="21"/>
  <c r="M260" i="21"/>
  <c r="M261" i="21"/>
  <c r="M262" i="21"/>
  <c r="M263" i="21"/>
  <c r="M277" i="21"/>
  <c r="M278" i="21"/>
  <c r="M279" i="21"/>
  <c r="M280" i="21"/>
  <c r="M281" i="21"/>
  <c r="M282" i="21"/>
  <c r="M286" i="21"/>
  <c r="M288" i="21"/>
  <c r="M289" i="21"/>
  <c r="M290" i="21"/>
  <c r="M291" i="21"/>
  <c r="M292" i="21"/>
  <c r="M295" i="21"/>
  <c r="M296" i="21"/>
  <c r="M297" i="21"/>
  <c r="M298" i="21"/>
  <c r="M301" i="21"/>
  <c r="M304" i="21"/>
  <c r="M305" i="21"/>
  <c r="M306" i="21"/>
  <c r="M307" i="21"/>
  <c r="M308" i="21"/>
  <c r="M310" i="21"/>
  <c r="M311" i="21"/>
  <c r="M312" i="21"/>
  <c r="M313" i="21"/>
  <c r="M314" i="21"/>
  <c r="M315" i="21"/>
  <c r="M320" i="21"/>
  <c r="M321" i="21"/>
  <c r="M38" i="21"/>
  <c r="M120" i="21"/>
  <c r="M115" i="21"/>
  <c r="M118" i="21"/>
  <c r="M145" i="21"/>
  <c r="M146" i="21"/>
  <c r="M223" i="21"/>
  <c r="M287" i="21"/>
  <c r="M293" i="21"/>
  <c r="M294" i="21"/>
  <c r="M302" i="21"/>
  <c r="M303" i="21"/>
  <c r="M309" i="21"/>
  <c r="M316" i="21"/>
  <c r="M372" i="21"/>
  <c r="M373" i="21"/>
  <c r="M374" i="21"/>
  <c r="M375" i="21"/>
  <c r="M376" i="21"/>
  <c r="M4" i="21"/>
  <c r="M5" i="21"/>
  <c r="M6" i="21"/>
  <c r="M7" i="21"/>
  <c r="M8" i="21"/>
  <c r="M40" i="21"/>
  <c r="M63" i="21"/>
  <c r="M65" i="21"/>
  <c r="M66" i="21"/>
  <c r="M67" i="21"/>
  <c r="M68" i="21"/>
  <c r="M69" i="21"/>
  <c r="M70" i="21"/>
  <c r="M74" i="21"/>
  <c r="M80" i="21"/>
  <c r="M103" i="21"/>
  <c r="M104" i="21"/>
  <c r="M124" i="21"/>
  <c r="M121" i="21"/>
  <c r="M122" i="21"/>
  <c r="M79" i="21"/>
  <c r="M86" i="21"/>
  <c r="M105" i="21"/>
  <c r="M106" i="21"/>
  <c r="M107" i="21"/>
  <c r="M112" i="21"/>
  <c r="M82" i="21"/>
  <c r="M83" i="21"/>
  <c r="M87" i="21"/>
  <c r="M91" i="21"/>
  <c r="M239" i="21"/>
  <c r="M240" i="21"/>
  <c r="M449" i="21"/>
  <c r="M450" i="21"/>
  <c r="M53" i="21"/>
  <c r="M55" i="21"/>
  <c r="M2" i="21"/>
  <c r="M3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89" i="21"/>
  <c r="M29" i="21"/>
  <c r="M30" i="21"/>
  <c r="M32" i="21"/>
  <c r="M33" i="21"/>
  <c r="M34" i="21"/>
  <c r="M35" i="21"/>
  <c r="M36" i="21"/>
  <c r="M37" i="21"/>
  <c r="M451" i="21"/>
  <c r="M452" i="21"/>
  <c r="M453" i="21"/>
  <c r="M142" i="21"/>
  <c r="M143" i="21"/>
  <c r="M144" i="21"/>
  <c r="M153" i="21"/>
  <c r="M154" i="21"/>
  <c r="M155" i="21"/>
  <c r="M15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64" i="21"/>
  <c r="M283" i="21"/>
  <c r="M299" i="21"/>
  <c r="M300" i="21"/>
  <c r="M317" i="21"/>
  <c r="M318" i="21"/>
  <c r="M123" i="21"/>
  <c r="M125" i="21"/>
  <c r="M126" i="21"/>
  <c r="M130" i="21"/>
  <c r="M131" i="21"/>
  <c r="M127" i="21"/>
  <c r="M128" i="21"/>
  <c r="M84" i="21"/>
  <c r="M457" i="21"/>
  <c r="M93" i="21"/>
  <c r="M94" i="21"/>
  <c r="M95" i="21"/>
  <c r="M96" i="21"/>
  <c r="M97" i="21"/>
  <c r="M98" i="21"/>
  <c r="M99" i="21"/>
  <c r="M100" i="21"/>
  <c r="M101" i="21"/>
  <c r="M102" i="21"/>
  <c r="M108" i="21"/>
  <c r="M109" i="21"/>
  <c r="M110" i="21"/>
  <c r="M111" i="21"/>
  <c r="M172" i="21"/>
  <c r="M81" i="21"/>
  <c r="M90" i="21"/>
  <c r="M92" i="21"/>
  <c r="M333" i="21"/>
  <c r="M334" i="21"/>
  <c r="M335" i="21"/>
  <c r="M336" i="21"/>
  <c r="M337" i="21"/>
  <c r="M338" i="21"/>
  <c r="M339" i="21"/>
  <c r="M340" i="21"/>
  <c r="M343" i="21"/>
  <c r="M344" i="21"/>
  <c r="M345" i="21"/>
  <c r="M346" i="21"/>
  <c r="M347" i="21"/>
  <c r="M348" i="21"/>
  <c r="M381" i="21"/>
  <c r="M382" i="21"/>
  <c r="M383" i="21"/>
  <c r="M387" i="21"/>
  <c r="M388" i="21"/>
  <c r="M389" i="21"/>
  <c r="M390" i="21"/>
  <c r="M391" i="21"/>
  <c r="M392" i="21"/>
  <c r="M393" i="21"/>
  <c r="M454" i="21"/>
  <c r="M455" i="21"/>
  <c r="M456" i="21"/>
  <c r="M88" i="21"/>
  <c r="M330" i="21"/>
  <c r="M331" i="21"/>
  <c r="M332" i="21"/>
  <c r="M349" i="21"/>
  <c r="M350" i="21"/>
  <c r="M351" i="21"/>
  <c r="M353" i="21"/>
  <c r="M355" i="21"/>
  <c r="M356" i="21"/>
  <c r="M357" i="21"/>
  <c r="M358" i="21"/>
  <c r="M359" i="21"/>
  <c r="M360" i="21"/>
  <c r="M361" i="21"/>
  <c r="M363" i="21"/>
  <c r="M364" i="21"/>
  <c r="M365" i="21"/>
  <c r="M402" i="21"/>
  <c r="AI87" i="5"/>
  <c r="AK87" i="5" s="1"/>
  <c r="AI86" i="5"/>
  <c r="AK86" i="5" s="1"/>
  <c r="AI118" i="5"/>
  <c r="AK118" i="5" s="1"/>
  <c r="AI93" i="5"/>
  <c r="AK93" i="5" s="1"/>
  <c r="AI112" i="5"/>
  <c r="AK112" i="5" s="1"/>
  <c r="AI117" i="5"/>
  <c r="AK117" i="5" s="1"/>
  <c r="AI92" i="5"/>
  <c r="AK92" i="5" s="1"/>
  <c r="AI115" i="5"/>
  <c r="AK115" i="5" s="1"/>
  <c r="AI114" i="5"/>
  <c r="AK114" i="5" s="1"/>
  <c r="AI113" i="5"/>
  <c r="AK113" i="5" s="1"/>
  <c r="AI103" i="5"/>
  <c r="AK103" i="5" s="1"/>
  <c r="AI98" i="5"/>
  <c r="AK98" i="5" s="1"/>
  <c r="AI97" i="5"/>
  <c r="AK97" i="5" s="1"/>
  <c r="AI94" i="5"/>
  <c r="AK94" i="5" s="1"/>
  <c r="AI102" i="5"/>
  <c r="AK102" i="5" s="1"/>
  <c r="X58" i="5" s="1"/>
  <c r="AI108" i="5"/>
  <c r="AK108" i="5" s="1"/>
  <c r="AI107" i="5"/>
  <c r="AK107" i="5" s="1"/>
  <c r="AI106" i="5"/>
  <c r="AK106" i="5" s="1"/>
  <c r="X101" i="5" l="1"/>
  <c r="X100" i="5"/>
  <c r="X98" i="5"/>
  <c r="X99" i="5"/>
  <c r="X75" i="5"/>
  <c r="X76" i="5"/>
  <c r="X73" i="5"/>
  <c r="X74" i="5"/>
  <c r="X72" i="5"/>
  <c r="X71" i="5"/>
  <c r="X68" i="5"/>
  <c r="X67" i="5"/>
  <c r="X70" i="5"/>
  <c r="X69" i="5"/>
  <c r="X62" i="5"/>
  <c r="X61" i="5"/>
  <c r="X60" i="5"/>
  <c r="X59" i="5"/>
  <c r="AI110" i="5"/>
  <c r="AK110" i="5" s="1"/>
  <c r="AI116" i="5"/>
  <c r="AK116" i="5" s="1"/>
  <c r="AI111" i="5"/>
  <c r="AK111" i="5" s="1"/>
  <c r="AI109" i="5"/>
  <c r="AK109" i="5" s="1"/>
  <c r="AI104" i="5"/>
  <c r="AK104" i="5" s="1"/>
  <c r="AI105" i="5"/>
  <c r="AK105" i="5" s="1"/>
  <c r="AI101" i="5"/>
  <c r="AK101" i="5" s="1"/>
  <c r="AI99" i="5"/>
  <c r="AK99" i="5" s="1"/>
  <c r="AI100" i="5"/>
  <c r="AK100" i="5" s="1"/>
  <c r="AI95" i="5"/>
  <c r="AK95" i="5" s="1"/>
  <c r="AI96" i="5"/>
  <c r="AK96" i="5" s="1"/>
  <c r="AI90" i="5"/>
  <c r="AK90" i="5" s="1"/>
  <c r="AI91" i="5"/>
  <c r="AK91" i="5" s="1"/>
  <c r="AI88" i="5"/>
  <c r="AK88" i="5" s="1"/>
  <c r="AI89" i="5"/>
  <c r="AK89" i="5" s="1"/>
  <c r="F2461" i="22"/>
  <c r="G2461" i="22" s="1"/>
  <c r="F2462" i="22"/>
  <c r="G2462" i="22" s="1"/>
  <c r="F2463" i="22"/>
  <c r="G2463" i="22" s="1"/>
  <c r="F1970" i="22"/>
  <c r="G1970" i="22" s="1"/>
  <c r="F1971" i="22"/>
  <c r="G1971" i="22" s="1"/>
  <c r="F1786" i="22"/>
  <c r="G1786" i="22" s="1"/>
  <c r="F1746" i="22"/>
  <c r="G1746" i="22" s="1"/>
  <c r="F1747" i="22"/>
  <c r="G1747" i="22" s="1"/>
  <c r="F855" i="22"/>
  <c r="G855" i="22" s="1"/>
  <c r="F856" i="22"/>
  <c r="G856" i="22" s="1"/>
  <c r="F857" i="22"/>
  <c r="G857" i="22" s="1"/>
  <c r="F858" i="22"/>
  <c r="G858" i="22" s="1"/>
  <c r="F859" i="22"/>
  <c r="G859" i="22" s="1"/>
  <c r="F854" i="22"/>
  <c r="G854" i="22" s="1"/>
  <c r="F891" i="22"/>
  <c r="G891" i="22" s="1"/>
  <c r="F892" i="22"/>
  <c r="G892" i="22" s="1"/>
  <c r="F893" i="22"/>
  <c r="G893" i="22" s="1"/>
  <c r="F894" i="22"/>
  <c r="G894" i="22" s="1"/>
  <c r="F895" i="22"/>
  <c r="G895" i="22" s="1"/>
  <c r="F890" i="22"/>
  <c r="G890" i="22" s="1"/>
  <c r="F879" i="22"/>
  <c r="G879" i="22" s="1"/>
  <c r="F880" i="22"/>
  <c r="G880" i="22" s="1"/>
  <c r="F881" i="22"/>
  <c r="G881" i="22" s="1"/>
  <c r="F882" i="22"/>
  <c r="G882" i="22" s="1"/>
  <c r="F883" i="22"/>
  <c r="G883" i="22" s="1"/>
  <c r="F878" i="22"/>
  <c r="G878" i="22" s="1"/>
  <c r="F2489" i="22"/>
  <c r="G2489" i="22" s="1"/>
  <c r="F2490" i="22"/>
  <c r="G2490" i="22" s="1"/>
  <c r="F2529" i="22"/>
  <c r="G2529" i="22" s="1"/>
  <c r="F2509" i="22"/>
  <c r="G2509" i="22" s="1"/>
  <c r="F2510" i="22"/>
  <c r="G2510" i="22" s="1"/>
  <c r="F2501" i="22"/>
  <c r="G2501" i="22" s="1"/>
  <c r="F1778" i="22"/>
  <c r="G1778" i="22" s="1"/>
  <c r="F1770" i="22"/>
  <c r="G1770" i="22" s="1"/>
  <c r="X103" i="5" l="1"/>
  <c r="X102" i="5"/>
  <c r="X65" i="5"/>
  <c r="X66" i="5"/>
  <c r="X64" i="5"/>
  <c r="X63" i="5"/>
  <c r="X52" i="5"/>
  <c r="X51" i="5"/>
  <c r="X57" i="5"/>
  <c r="X55" i="5"/>
  <c r="X56" i="5"/>
  <c r="X54" i="5"/>
  <c r="X53" i="5"/>
  <c r="E280" i="5"/>
  <c r="F280" i="5"/>
  <c r="G280" i="5"/>
  <c r="H280" i="5"/>
  <c r="E279" i="5"/>
  <c r="F279" i="5"/>
  <c r="G279" i="5"/>
  <c r="H279" i="5"/>
  <c r="E278" i="5"/>
  <c r="F278" i="5"/>
  <c r="G278" i="5"/>
  <c r="H278" i="5"/>
  <c r="H277" i="5" l="1"/>
  <c r="E277" i="5"/>
  <c r="F277" i="5"/>
  <c r="G277" i="5"/>
  <c r="E276" i="5"/>
  <c r="F276" i="5"/>
  <c r="G276" i="5"/>
  <c r="H276" i="5"/>
  <c r="E275" i="5"/>
  <c r="F275" i="5"/>
  <c r="G275" i="5"/>
  <c r="H275" i="5"/>
  <c r="E274" i="5"/>
  <c r="F274" i="5"/>
  <c r="G274" i="5"/>
  <c r="H274" i="5"/>
  <c r="E273" i="5"/>
  <c r="F273" i="5"/>
  <c r="G273" i="5"/>
  <c r="H273" i="5"/>
  <c r="E272" i="5"/>
  <c r="F272" i="5"/>
  <c r="G272" i="5"/>
  <c r="H272" i="5"/>
  <c r="E271" i="5"/>
  <c r="F271" i="5"/>
  <c r="G271" i="5"/>
  <c r="H271" i="5"/>
  <c r="E270" i="5"/>
  <c r="F270" i="5"/>
  <c r="G270" i="5"/>
  <c r="H270" i="5"/>
  <c r="E269" i="5"/>
  <c r="F269" i="5"/>
  <c r="G269" i="5"/>
  <c r="H269" i="5"/>
  <c r="E268" i="5"/>
  <c r="F268" i="5"/>
  <c r="G268" i="5"/>
  <c r="H268" i="5"/>
  <c r="E267" i="5"/>
  <c r="F267" i="5"/>
  <c r="G267" i="5"/>
  <c r="H267" i="5"/>
  <c r="E266" i="5"/>
  <c r="F266" i="5"/>
  <c r="G266" i="5"/>
  <c r="H266" i="5"/>
  <c r="E265" i="5"/>
  <c r="F265" i="5"/>
  <c r="G265" i="5"/>
  <c r="H265" i="5"/>
  <c r="E306" i="5"/>
  <c r="F306" i="5"/>
  <c r="G306" i="5"/>
  <c r="H306" i="5"/>
  <c r="E286" i="5"/>
  <c r="F286" i="5"/>
  <c r="G286" i="5"/>
  <c r="H286" i="5"/>
  <c r="E285" i="5"/>
  <c r="F285" i="5"/>
  <c r="G285" i="5"/>
  <c r="H285" i="5"/>
  <c r="E284" i="5"/>
  <c r="F284" i="5"/>
  <c r="G284" i="5"/>
  <c r="H284" i="5"/>
  <c r="E283" i="5"/>
  <c r="F283" i="5"/>
  <c r="G283" i="5"/>
  <c r="H283" i="5"/>
  <c r="E264" i="5"/>
  <c r="F264" i="5"/>
  <c r="G264" i="5"/>
  <c r="H264" i="5"/>
  <c r="E263" i="5"/>
  <c r="F263" i="5"/>
  <c r="G263" i="5"/>
  <c r="H263" i="5"/>
  <c r="E262" i="5"/>
  <c r="F262" i="5"/>
  <c r="G262" i="5"/>
  <c r="H262" i="5"/>
  <c r="E256" i="5" l="1"/>
  <c r="F256" i="5"/>
  <c r="G256" i="5"/>
  <c r="H256" i="5"/>
  <c r="E261" i="5"/>
  <c r="F261" i="5"/>
  <c r="G261" i="5"/>
  <c r="H261" i="5"/>
  <c r="R34" i="5" l="1"/>
  <c r="S34" i="5" s="1"/>
  <c r="U34" i="5"/>
  <c r="R31" i="5"/>
  <c r="S31" i="5" s="1"/>
  <c r="U31" i="5"/>
  <c r="R4" i="5"/>
  <c r="S4" i="5" s="1"/>
  <c r="U4" i="5"/>
  <c r="F887" i="22" l="1"/>
  <c r="G887" i="22" s="1"/>
  <c r="F888" i="22"/>
  <c r="G888" i="22" s="1"/>
  <c r="F889" i="22"/>
  <c r="G889" i="22" s="1"/>
  <c r="F897" i="22"/>
  <c r="G897" i="22" s="1"/>
  <c r="F898" i="22"/>
  <c r="G898" i="22" s="1"/>
  <c r="F875" i="22"/>
  <c r="G875" i="22" s="1"/>
  <c r="F876" i="22"/>
  <c r="G876" i="22" s="1"/>
  <c r="F877" i="22"/>
  <c r="G877" i="22" s="1"/>
  <c r="F869" i="22"/>
  <c r="G869" i="22" s="1"/>
  <c r="F870" i="22"/>
  <c r="G870" i="22" s="1"/>
  <c r="F871" i="22"/>
  <c r="G871" i="22" s="1"/>
  <c r="F863" i="22"/>
  <c r="G863" i="22" s="1"/>
  <c r="F864" i="22"/>
  <c r="G864" i="22" s="1"/>
  <c r="F865" i="22"/>
  <c r="G865" i="22" s="1"/>
  <c r="F851" i="22"/>
  <c r="G851" i="22" s="1"/>
  <c r="F852" i="22"/>
  <c r="G852" i="22" s="1"/>
  <c r="F853" i="22"/>
  <c r="G853" i="22" s="1"/>
  <c r="F845" i="22"/>
  <c r="G845" i="22" s="1"/>
  <c r="F846" i="22"/>
  <c r="G846" i="22" s="1"/>
  <c r="F847" i="22"/>
  <c r="G847" i="22" s="1"/>
  <c r="F839" i="22"/>
  <c r="G839" i="22" s="1"/>
  <c r="F840" i="22"/>
  <c r="G840" i="22" s="1"/>
  <c r="F841" i="22"/>
  <c r="G841" i="22" s="1"/>
  <c r="F833" i="22"/>
  <c r="G833" i="22" s="1"/>
  <c r="F834" i="22"/>
  <c r="G834" i="22" s="1"/>
  <c r="F835" i="22"/>
  <c r="G835" i="22" s="1"/>
  <c r="F827" i="22"/>
  <c r="G827" i="22" s="1"/>
  <c r="F828" i="22"/>
  <c r="G828" i="22" s="1"/>
  <c r="F829" i="22"/>
  <c r="G829" i="22" s="1"/>
  <c r="F821" i="22"/>
  <c r="G821" i="22" s="1"/>
  <c r="F822" i="22"/>
  <c r="G822" i="22" s="1"/>
  <c r="F823" i="22"/>
  <c r="G823" i="22" s="1"/>
  <c r="F815" i="22"/>
  <c r="G815" i="22" s="1"/>
  <c r="F816" i="22"/>
  <c r="G816" i="22" s="1"/>
  <c r="F817" i="22"/>
  <c r="G817" i="22" s="1"/>
  <c r="O135" i="21"/>
  <c r="P135" i="21" s="1"/>
  <c r="F512" i="22"/>
  <c r="G512" i="22" s="1"/>
  <c r="F513" i="22"/>
  <c r="G513" i="22" s="1"/>
  <c r="F514" i="22"/>
  <c r="G514" i="22" s="1"/>
  <c r="F497" i="22"/>
  <c r="G497" i="22" s="1"/>
  <c r="F498" i="22"/>
  <c r="G498" i="22" s="1"/>
  <c r="F499" i="22"/>
  <c r="G499" i="22" s="1"/>
  <c r="F496" i="22"/>
  <c r="G496" i="22" s="1"/>
  <c r="F493" i="22"/>
  <c r="G493" i="22" s="1"/>
  <c r="F490" i="22"/>
  <c r="G490" i="22" s="1"/>
  <c r="F487" i="22"/>
  <c r="G487" i="22" s="1"/>
  <c r="F484" i="22"/>
  <c r="G484" i="22" s="1"/>
  <c r="F481" i="22"/>
  <c r="G481" i="22" s="1"/>
  <c r="F478" i="22"/>
  <c r="G478" i="22" s="1"/>
  <c r="N396" i="21"/>
  <c r="S396" i="21" s="1"/>
  <c r="S362" i="2" l="1"/>
  <c r="K27" i="9" s="1"/>
  <c r="U396" i="21"/>
  <c r="D4" i="23" s="1"/>
  <c r="T396" i="21"/>
  <c r="D27" i="23" l="1"/>
  <c r="J3" i="23"/>
  <c r="P2" i="23"/>
  <c r="G2053" i="22"/>
  <c r="F2685" i="22"/>
  <c r="F2684" i="22"/>
  <c r="F2683" i="22"/>
  <c r="F2682" i="22"/>
  <c r="F2681" i="22"/>
  <c r="F2680" i="22"/>
  <c r="F2665" i="22"/>
  <c r="F2664" i="22"/>
  <c r="F2663" i="22"/>
  <c r="F2662" i="22"/>
  <c r="F2601" i="22"/>
  <c r="F2600" i="22"/>
  <c r="F2599" i="22"/>
  <c r="F2598" i="22"/>
  <c r="F2597" i="22"/>
  <c r="F2596" i="22"/>
  <c r="F2595" i="22"/>
  <c r="F2594" i="22"/>
  <c r="F2593" i="22"/>
  <c r="F2592" i="22"/>
  <c r="F2591" i="22"/>
  <c r="F2590" i="22"/>
  <c r="F2589" i="22"/>
  <c r="F2588" i="22"/>
  <c r="F2587" i="22"/>
  <c r="F2586" i="22"/>
  <c r="F2585" i="22"/>
  <c r="F2584" i="22"/>
  <c r="F2583" i="22"/>
  <c r="F2582" i="22"/>
  <c r="F2581" i="22"/>
  <c r="F2580" i="22"/>
  <c r="F2579" i="22"/>
  <c r="F2578" i="22"/>
  <c r="F2460" i="22"/>
  <c r="F2459" i="22"/>
  <c r="F2458" i="22"/>
  <c r="F2457" i="22"/>
  <c r="F2456" i="22"/>
  <c r="F2455" i="22"/>
  <c r="F2454" i="22"/>
  <c r="F2453" i="22"/>
  <c r="F2452" i="22"/>
  <c r="F2451" i="22"/>
  <c r="F2450" i="22"/>
  <c r="F2449" i="22"/>
  <c r="F2448" i="22"/>
  <c r="F2447" i="22"/>
  <c r="F2446" i="22"/>
  <c r="F1620" i="22"/>
  <c r="F1619" i="22"/>
  <c r="F1618" i="22"/>
  <c r="F1617" i="22"/>
  <c r="F1616" i="22"/>
  <c r="F1615" i="22"/>
  <c r="F635" i="22"/>
  <c r="F634" i="22"/>
  <c r="F633" i="22"/>
  <c r="F632" i="22"/>
  <c r="F631" i="22"/>
  <c r="F630" i="22"/>
  <c r="F629" i="22"/>
  <c r="F628" i="22"/>
  <c r="F627" i="22"/>
  <c r="F626" i="22"/>
  <c r="F625" i="22"/>
  <c r="F624" i="22"/>
  <c r="F623" i="22"/>
  <c r="F622" i="22"/>
  <c r="F621" i="22"/>
  <c r="F620" i="22"/>
  <c r="F619" i="22"/>
  <c r="F618" i="22"/>
  <c r="F577" i="22"/>
  <c r="F576" i="22"/>
  <c r="F575" i="22"/>
  <c r="F574" i="22"/>
  <c r="F573" i="22"/>
  <c r="F572" i="22"/>
  <c r="F571" i="22"/>
  <c r="F570" i="22"/>
  <c r="F569" i="22"/>
  <c r="F568" i="22"/>
  <c r="F567" i="22"/>
  <c r="F533" i="22"/>
  <c r="F530" i="22"/>
  <c r="F527" i="22"/>
  <c r="F524" i="22"/>
  <c r="F494" i="22"/>
  <c r="F491" i="22"/>
  <c r="F485" i="22"/>
  <c r="F482" i="22"/>
  <c r="F479" i="22"/>
  <c r="F476" i="22"/>
  <c r="F2" i="22"/>
  <c r="F3" i="22"/>
  <c r="F4" i="22"/>
  <c r="F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52" i="22"/>
  <c r="F253" i="22"/>
  <c r="F254" i="22"/>
  <c r="F255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F291" i="22"/>
  <c r="F292" i="22"/>
  <c r="F293" i="22"/>
  <c r="F294" i="22"/>
  <c r="F295" i="22"/>
  <c r="F296" i="22"/>
  <c r="F297" i="22"/>
  <c r="F298" i="22"/>
  <c r="F299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F326" i="22"/>
  <c r="F327" i="22"/>
  <c r="F328" i="22"/>
  <c r="F329" i="22"/>
  <c r="F330" i="22"/>
  <c r="F331" i="22"/>
  <c r="F332" i="22"/>
  <c r="F333" i="22"/>
  <c r="F334" i="22"/>
  <c r="F335" i="22"/>
  <c r="F336" i="22"/>
  <c r="F337" i="22"/>
  <c r="F338" i="22"/>
  <c r="F339" i="22"/>
  <c r="F340" i="22"/>
  <c r="F341" i="22"/>
  <c r="F342" i="22"/>
  <c r="F343" i="22"/>
  <c r="F344" i="22"/>
  <c r="F345" i="22"/>
  <c r="F346" i="22"/>
  <c r="F347" i="22"/>
  <c r="F348" i="22"/>
  <c r="F349" i="22"/>
  <c r="F350" i="22"/>
  <c r="F351" i="22"/>
  <c r="F352" i="22"/>
  <c r="F353" i="22"/>
  <c r="F354" i="22"/>
  <c r="F355" i="22"/>
  <c r="F356" i="22"/>
  <c r="F357" i="22"/>
  <c r="F358" i="22"/>
  <c r="F359" i="22"/>
  <c r="F360" i="22"/>
  <c r="F361" i="22"/>
  <c r="F362" i="22"/>
  <c r="F363" i="22"/>
  <c r="F364" i="22"/>
  <c r="F365" i="22"/>
  <c r="F366" i="22"/>
  <c r="F367" i="22"/>
  <c r="F368" i="22"/>
  <c r="F369" i="22"/>
  <c r="F370" i="22"/>
  <c r="F371" i="22"/>
  <c r="F372" i="22"/>
  <c r="F373" i="22"/>
  <c r="F374" i="22"/>
  <c r="F375" i="22"/>
  <c r="F376" i="22"/>
  <c r="F377" i="22"/>
  <c r="F378" i="22"/>
  <c r="F379" i="22"/>
  <c r="F380" i="22"/>
  <c r="F381" i="22"/>
  <c r="F382" i="22"/>
  <c r="F383" i="22"/>
  <c r="F384" i="22"/>
  <c r="F385" i="22"/>
  <c r="F386" i="22"/>
  <c r="F387" i="22"/>
  <c r="F388" i="22"/>
  <c r="F389" i="22"/>
  <c r="F390" i="22"/>
  <c r="F391" i="22"/>
  <c r="F392" i="22"/>
  <c r="F393" i="22"/>
  <c r="F394" i="22"/>
  <c r="F395" i="22"/>
  <c r="F396" i="22"/>
  <c r="F397" i="22"/>
  <c r="F398" i="22"/>
  <c r="F399" i="22"/>
  <c r="F400" i="22"/>
  <c r="F401" i="22"/>
  <c r="F402" i="22"/>
  <c r="F403" i="22"/>
  <c r="F404" i="22"/>
  <c r="F405" i="22"/>
  <c r="F406" i="22"/>
  <c r="F407" i="22"/>
  <c r="F408" i="22"/>
  <c r="F409" i="22"/>
  <c r="F410" i="22"/>
  <c r="F411" i="22"/>
  <c r="F412" i="22"/>
  <c r="F413" i="22"/>
  <c r="F414" i="22"/>
  <c r="F415" i="22"/>
  <c r="F416" i="22"/>
  <c r="F417" i="22"/>
  <c r="F418" i="22"/>
  <c r="F419" i="22"/>
  <c r="F420" i="22"/>
  <c r="F421" i="22"/>
  <c r="F422" i="22"/>
  <c r="F423" i="22"/>
  <c r="F424" i="22"/>
  <c r="F425" i="22"/>
  <c r="F426" i="22"/>
  <c r="F427" i="22"/>
  <c r="F428" i="22"/>
  <c r="F429" i="22"/>
  <c r="F430" i="22"/>
  <c r="F431" i="22"/>
  <c r="F432" i="22"/>
  <c r="F433" i="22"/>
  <c r="F434" i="22"/>
  <c r="F435" i="22"/>
  <c r="F436" i="22"/>
  <c r="F437" i="22"/>
  <c r="F438" i="22"/>
  <c r="F439" i="22"/>
  <c r="F440" i="22"/>
  <c r="F441" i="22"/>
  <c r="F442" i="22"/>
  <c r="F443" i="22"/>
  <c r="F444" i="22"/>
  <c r="F445" i="22"/>
  <c r="F726" i="22"/>
  <c r="F727" i="22"/>
  <c r="F728" i="22"/>
  <c r="F729" i="22"/>
  <c r="F730" i="22"/>
  <c r="F731" i="22"/>
  <c r="F732" i="22"/>
  <c r="F733" i="22"/>
  <c r="F734" i="22"/>
  <c r="F735" i="22"/>
  <c r="F736" i="22"/>
  <c r="F737" i="22"/>
  <c r="F738" i="22"/>
  <c r="F739" i="22"/>
  <c r="F740" i="22"/>
  <c r="F741" i="22"/>
  <c r="F742" i="22"/>
  <c r="F743" i="22"/>
  <c r="F744" i="22"/>
  <c r="F745" i="22"/>
  <c r="F746" i="22"/>
  <c r="F747" i="22"/>
  <c r="F748" i="22"/>
  <c r="F749" i="22"/>
  <c r="F750" i="22"/>
  <c r="F751" i="22"/>
  <c r="F752" i="22"/>
  <c r="F753" i="22"/>
  <c r="F802" i="22"/>
  <c r="F803" i="22"/>
  <c r="F804" i="22"/>
  <c r="F805" i="22"/>
  <c r="F754" i="22"/>
  <c r="F755" i="22"/>
  <c r="F756" i="22"/>
  <c r="F757" i="22"/>
  <c r="F758" i="22"/>
  <c r="F759" i="22"/>
  <c r="F760" i="22"/>
  <c r="F761" i="22"/>
  <c r="F762" i="22"/>
  <c r="F763" i="22"/>
  <c r="F764" i="22"/>
  <c r="F765" i="22"/>
  <c r="F766" i="22"/>
  <c r="F767" i="22"/>
  <c r="F768" i="22"/>
  <c r="F769" i="22"/>
  <c r="F770" i="22"/>
  <c r="F771" i="22"/>
  <c r="F772" i="22"/>
  <c r="F773" i="22"/>
  <c r="F774" i="22"/>
  <c r="F775" i="22"/>
  <c r="F776" i="22"/>
  <c r="F777" i="22"/>
  <c r="F778" i="22"/>
  <c r="F779" i="22"/>
  <c r="F780" i="22"/>
  <c r="F781" i="22"/>
  <c r="F782" i="22"/>
  <c r="F783" i="22"/>
  <c r="F784" i="22"/>
  <c r="F785" i="22"/>
  <c r="F786" i="22"/>
  <c r="F787" i="22"/>
  <c r="F788" i="22"/>
  <c r="F789" i="22"/>
  <c r="F790" i="22"/>
  <c r="F791" i="22"/>
  <c r="F792" i="22"/>
  <c r="F793" i="22"/>
  <c r="F794" i="22"/>
  <c r="F795" i="22"/>
  <c r="F796" i="22"/>
  <c r="F797" i="22"/>
  <c r="F798" i="22"/>
  <c r="F799" i="22"/>
  <c r="F800" i="22"/>
  <c r="F801" i="22"/>
  <c r="F934" i="22"/>
  <c r="F935" i="22"/>
  <c r="F936" i="22"/>
  <c r="F937" i="22"/>
  <c r="F938" i="22"/>
  <c r="F939" i="22"/>
  <c r="F940" i="22"/>
  <c r="F941" i="22"/>
  <c r="F942" i="22"/>
  <c r="F943" i="22"/>
  <c r="F944" i="22"/>
  <c r="F945" i="22"/>
  <c r="F946" i="22"/>
  <c r="F947" i="22"/>
  <c r="F948" i="22"/>
  <c r="F949" i="22"/>
  <c r="F950" i="22"/>
  <c r="F951" i="22"/>
  <c r="F952" i="22"/>
  <c r="F953" i="22"/>
  <c r="F954" i="22"/>
  <c r="F955" i="22"/>
  <c r="F956" i="22"/>
  <c r="F957" i="22"/>
  <c r="F958" i="22"/>
  <c r="F959" i="22"/>
  <c r="F960" i="22"/>
  <c r="F961" i="22"/>
  <c r="F962" i="22"/>
  <c r="F963" i="22"/>
  <c r="F964" i="22"/>
  <c r="F965" i="22"/>
  <c r="F966" i="22"/>
  <c r="F967" i="22"/>
  <c r="F968" i="22"/>
  <c r="F969" i="22"/>
  <c r="F970" i="22"/>
  <c r="F971" i="22"/>
  <c r="F972" i="22"/>
  <c r="F973" i="22"/>
  <c r="F974" i="22"/>
  <c r="F975" i="22"/>
  <c r="F976" i="22"/>
  <c r="F977" i="22"/>
  <c r="F978" i="22"/>
  <c r="F979" i="22"/>
  <c r="F980" i="22"/>
  <c r="F981" i="22"/>
  <c r="F982" i="22"/>
  <c r="F983" i="22"/>
  <c r="F984" i="22"/>
  <c r="F985" i="22"/>
  <c r="F986" i="22"/>
  <c r="F987" i="22"/>
  <c r="F988" i="22"/>
  <c r="F989" i="22"/>
  <c r="F990" i="22"/>
  <c r="F991" i="22"/>
  <c r="F992" i="22"/>
  <c r="F993" i="22"/>
  <c r="F994" i="22"/>
  <c r="F995" i="22"/>
  <c r="F996" i="22"/>
  <c r="F997" i="22"/>
  <c r="F998" i="22"/>
  <c r="F999" i="22"/>
  <c r="F1000" i="22"/>
  <c r="F1001" i="22"/>
  <c r="F1002" i="22"/>
  <c r="F1003" i="22"/>
  <c r="F1004" i="22"/>
  <c r="F1005" i="22"/>
  <c r="F1006" i="22"/>
  <c r="F1007" i="22"/>
  <c r="F1008" i="22"/>
  <c r="F1009" i="22"/>
  <c r="F1010" i="22"/>
  <c r="F1011" i="22"/>
  <c r="F1012" i="22"/>
  <c r="F1013" i="22"/>
  <c r="F1014" i="22"/>
  <c r="F1015" i="22"/>
  <c r="F1016" i="22"/>
  <c r="F1017" i="22"/>
  <c r="F1018" i="22"/>
  <c r="F1019" i="22"/>
  <c r="F1020" i="22"/>
  <c r="F1021" i="22"/>
  <c r="F1022" i="22"/>
  <c r="F1023" i="22"/>
  <c r="F1024" i="22"/>
  <c r="F1025" i="22"/>
  <c r="F1026" i="22"/>
  <c r="F1027" i="22"/>
  <c r="F1028" i="22"/>
  <c r="F1029" i="22"/>
  <c r="F1030" i="22"/>
  <c r="F1031" i="22"/>
  <c r="F1032" i="22"/>
  <c r="F1033" i="22"/>
  <c r="F1034" i="22"/>
  <c r="F1035" i="22"/>
  <c r="F1036" i="22"/>
  <c r="F1037" i="22"/>
  <c r="F1038" i="22"/>
  <c r="F1039" i="22"/>
  <c r="F1040" i="22"/>
  <c r="F1041" i="22"/>
  <c r="F1042" i="22"/>
  <c r="F1043" i="22"/>
  <c r="F1044" i="22"/>
  <c r="F104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22" i="22"/>
  <c r="F23" i="22"/>
  <c r="F24" i="22"/>
  <c r="F25" i="22"/>
  <c r="F26" i="22"/>
  <c r="F27" i="22"/>
  <c r="F28" i="22"/>
  <c r="F29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108" i="22"/>
  <c r="F109" i="22"/>
  <c r="F112" i="22"/>
  <c r="F113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446" i="22"/>
  <c r="F447" i="22"/>
  <c r="F448" i="22"/>
  <c r="F449" i="22"/>
  <c r="F450" i="22"/>
  <c r="F451" i="22"/>
  <c r="F452" i="22"/>
  <c r="F453" i="22"/>
  <c r="F454" i="22"/>
  <c r="F455" i="22"/>
  <c r="F456" i="22"/>
  <c r="F457" i="22"/>
  <c r="F458" i="22"/>
  <c r="F459" i="22"/>
  <c r="F460" i="22"/>
  <c r="F461" i="22"/>
  <c r="F462" i="22"/>
  <c r="F463" i="22"/>
  <c r="F464" i="22"/>
  <c r="F465" i="22"/>
  <c r="F466" i="22"/>
  <c r="F467" i="22"/>
  <c r="F468" i="22"/>
  <c r="F469" i="22"/>
  <c r="F470" i="22"/>
  <c r="F471" i="22"/>
  <c r="F472" i="22"/>
  <c r="F473" i="22"/>
  <c r="F474" i="22"/>
  <c r="F475" i="22"/>
  <c r="F477" i="22"/>
  <c r="F480" i="22"/>
  <c r="F483" i="22"/>
  <c r="F486" i="22"/>
  <c r="F488" i="22"/>
  <c r="F489" i="22"/>
  <c r="F492" i="22"/>
  <c r="F495" i="22"/>
  <c r="F500" i="22"/>
  <c r="F501" i="22"/>
  <c r="F502" i="22"/>
  <c r="F503" i="22"/>
  <c r="F504" i="22"/>
  <c r="F505" i="22"/>
  <c r="F506" i="22"/>
  <c r="F507" i="22"/>
  <c r="F508" i="22"/>
  <c r="F509" i="22"/>
  <c r="F510" i="22"/>
  <c r="F511" i="22"/>
  <c r="F515" i="22"/>
  <c r="F516" i="22"/>
  <c r="F517" i="22"/>
  <c r="F518" i="22"/>
  <c r="F519" i="22"/>
  <c r="F520" i="22"/>
  <c r="F521" i="22"/>
  <c r="F522" i="22"/>
  <c r="F523" i="22"/>
  <c r="F525" i="22"/>
  <c r="F528" i="22"/>
  <c r="F531" i="22"/>
  <c r="F534" i="22"/>
  <c r="F536" i="22"/>
  <c r="F537" i="22"/>
  <c r="F539" i="22"/>
  <c r="F540" i="22"/>
  <c r="F542" i="22"/>
  <c r="F543" i="22"/>
  <c r="F544" i="22"/>
  <c r="F545" i="22"/>
  <c r="F546" i="22"/>
  <c r="F547" i="22"/>
  <c r="F548" i="22"/>
  <c r="F549" i="22"/>
  <c r="F550" i="22"/>
  <c r="F551" i="22"/>
  <c r="F552" i="22"/>
  <c r="F553" i="22"/>
  <c r="F554" i="22"/>
  <c r="F555" i="22"/>
  <c r="F556" i="22"/>
  <c r="F557" i="22"/>
  <c r="F558" i="22"/>
  <c r="F559" i="22"/>
  <c r="F560" i="22"/>
  <c r="F561" i="22"/>
  <c r="F562" i="22"/>
  <c r="F563" i="22"/>
  <c r="F564" i="22"/>
  <c r="F565" i="22"/>
  <c r="F566" i="22"/>
  <c r="F578" i="22"/>
  <c r="F579" i="22"/>
  <c r="F580" i="22"/>
  <c r="F581" i="22"/>
  <c r="F582" i="22"/>
  <c r="F583" i="22"/>
  <c r="F584" i="22"/>
  <c r="F585" i="22"/>
  <c r="F586" i="22"/>
  <c r="F587" i="22"/>
  <c r="F588" i="22"/>
  <c r="F589" i="22"/>
  <c r="F590" i="22"/>
  <c r="F591" i="22"/>
  <c r="F592" i="22"/>
  <c r="F593" i="22"/>
  <c r="F594" i="22"/>
  <c r="F595" i="22"/>
  <c r="F596" i="22"/>
  <c r="F597" i="22"/>
  <c r="F598" i="22"/>
  <c r="F599" i="22"/>
  <c r="F600" i="22"/>
  <c r="F601" i="22"/>
  <c r="F602" i="22"/>
  <c r="F603" i="22"/>
  <c r="F604" i="22"/>
  <c r="F605" i="22"/>
  <c r="F606" i="22"/>
  <c r="F607" i="22"/>
  <c r="F608" i="22"/>
  <c r="F609" i="22"/>
  <c r="F610" i="22"/>
  <c r="F611" i="22"/>
  <c r="F612" i="22"/>
  <c r="F613" i="22"/>
  <c r="F614" i="22"/>
  <c r="F615" i="22"/>
  <c r="F616" i="22"/>
  <c r="F617" i="22"/>
  <c r="F636" i="22"/>
  <c r="F637" i="22"/>
  <c r="F638" i="22"/>
  <c r="F639" i="22"/>
  <c r="F640" i="22"/>
  <c r="F641" i="22"/>
  <c r="F642" i="22"/>
  <c r="F643" i="22"/>
  <c r="F644" i="22"/>
  <c r="F645" i="22"/>
  <c r="F646" i="22"/>
  <c r="F647" i="22"/>
  <c r="F648" i="22"/>
  <c r="F649" i="22"/>
  <c r="F650" i="22"/>
  <c r="F651" i="22"/>
  <c r="F652" i="22"/>
  <c r="F653" i="22"/>
  <c r="F654" i="22"/>
  <c r="F655" i="22"/>
  <c r="F656" i="22"/>
  <c r="F657" i="22"/>
  <c r="F658" i="22"/>
  <c r="F659" i="22"/>
  <c r="F660" i="22"/>
  <c r="F661" i="22"/>
  <c r="F662" i="22"/>
  <c r="F663" i="22"/>
  <c r="F664" i="22"/>
  <c r="F665" i="22"/>
  <c r="F666" i="22"/>
  <c r="F667" i="22"/>
  <c r="F668" i="22"/>
  <c r="F669" i="22"/>
  <c r="F670" i="22"/>
  <c r="F671" i="22"/>
  <c r="F672" i="22"/>
  <c r="F673" i="22"/>
  <c r="F674" i="22"/>
  <c r="F675" i="22"/>
  <c r="F676" i="22"/>
  <c r="F677" i="22"/>
  <c r="F678" i="22"/>
  <c r="F679" i="22"/>
  <c r="F680" i="22"/>
  <c r="F681" i="22"/>
  <c r="F682" i="22"/>
  <c r="F683" i="22"/>
  <c r="F684" i="22"/>
  <c r="F685" i="22"/>
  <c r="F686" i="22"/>
  <c r="F687" i="22"/>
  <c r="F688" i="22"/>
  <c r="F689" i="22"/>
  <c r="F690" i="22"/>
  <c r="F691" i="22"/>
  <c r="F692" i="22"/>
  <c r="F693" i="22"/>
  <c r="F694" i="22"/>
  <c r="F695" i="22"/>
  <c r="F696" i="22"/>
  <c r="F697" i="22"/>
  <c r="F698" i="22"/>
  <c r="F699" i="22"/>
  <c r="F700" i="22"/>
  <c r="F701" i="22"/>
  <c r="F702" i="22"/>
  <c r="F703" i="22"/>
  <c r="F704" i="22"/>
  <c r="F705" i="22"/>
  <c r="F706" i="22"/>
  <c r="F707" i="22"/>
  <c r="F708" i="22"/>
  <c r="F709" i="22"/>
  <c r="F710" i="22"/>
  <c r="F711" i="22"/>
  <c r="F712" i="22"/>
  <c r="F713" i="22"/>
  <c r="F714" i="22"/>
  <c r="F715" i="22"/>
  <c r="F716" i="22"/>
  <c r="F717" i="22"/>
  <c r="F718" i="22"/>
  <c r="F719" i="22"/>
  <c r="F720" i="22"/>
  <c r="F721" i="22"/>
  <c r="F722" i="22"/>
  <c r="F723" i="22"/>
  <c r="F724" i="22"/>
  <c r="F725" i="22"/>
  <c r="F806" i="22"/>
  <c r="F807" i="22"/>
  <c r="F810" i="22"/>
  <c r="F811" i="22"/>
  <c r="F812" i="22"/>
  <c r="F813" i="22"/>
  <c r="F814" i="22"/>
  <c r="F818" i="22"/>
  <c r="F819" i="22"/>
  <c r="F820" i="22"/>
  <c r="F824" i="22"/>
  <c r="F825" i="22"/>
  <c r="F826" i="22"/>
  <c r="F830" i="22"/>
  <c r="F831" i="22"/>
  <c r="F832" i="22"/>
  <c r="F836" i="22"/>
  <c r="F837" i="22"/>
  <c r="F838" i="22"/>
  <c r="F842" i="22"/>
  <c r="F843" i="22"/>
  <c r="F844" i="22"/>
  <c r="F848" i="22"/>
  <c r="F849" i="22"/>
  <c r="F850" i="22"/>
  <c r="F860" i="22"/>
  <c r="F861" i="22"/>
  <c r="F862" i="22"/>
  <c r="F866" i="22"/>
  <c r="F867" i="22"/>
  <c r="F868" i="22"/>
  <c r="F872" i="22"/>
  <c r="F873" i="22"/>
  <c r="F874" i="22"/>
  <c r="F884" i="22"/>
  <c r="F885" i="22"/>
  <c r="F886" i="22"/>
  <c r="F896" i="22"/>
  <c r="F899" i="22"/>
  <c r="F900" i="22"/>
  <c r="F901" i="22"/>
  <c r="F902" i="22"/>
  <c r="F903" i="22"/>
  <c r="F904" i="22"/>
  <c r="F905" i="22"/>
  <c r="F906" i="22"/>
  <c r="F907" i="22"/>
  <c r="F908" i="22"/>
  <c r="F909" i="22"/>
  <c r="F910" i="22"/>
  <c r="F911" i="22"/>
  <c r="F912" i="22"/>
  <c r="F913" i="22"/>
  <c r="F914" i="22"/>
  <c r="F915" i="22"/>
  <c r="F916" i="22"/>
  <c r="F917" i="22"/>
  <c r="F918" i="22"/>
  <c r="F919" i="22"/>
  <c r="F920" i="22"/>
  <c r="F921" i="22"/>
  <c r="F922" i="22"/>
  <c r="F923" i="22"/>
  <c r="F924" i="22"/>
  <c r="F925" i="22"/>
  <c r="F926" i="22"/>
  <c r="F927" i="22"/>
  <c r="F928" i="22"/>
  <c r="F929" i="22"/>
  <c r="F930" i="22"/>
  <c r="F931" i="22"/>
  <c r="F932" i="22"/>
  <c r="F933" i="22"/>
  <c r="F1158" i="22"/>
  <c r="F1159" i="22"/>
  <c r="F1160" i="22"/>
  <c r="F1163" i="22"/>
  <c r="F1164" i="22"/>
  <c r="F1165" i="22"/>
  <c r="F1166" i="22"/>
  <c r="F1167" i="22"/>
  <c r="F1168" i="22"/>
  <c r="F1169" i="22"/>
  <c r="F1170" i="22"/>
  <c r="F1171" i="22"/>
  <c r="F1172" i="22"/>
  <c r="F1173" i="22"/>
  <c r="F1174" i="22"/>
  <c r="F1175" i="22"/>
  <c r="F1176" i="22"/>
  <c r="F1177" i="22"/>
  <c r="F1178" i="22"/>
  <c r="F1179" i="22"/>
  <c r="F1180" i="22"/>
  <c r="F1181" i="22"/>
  <c r="F1182" i="22"/>
  <c r="F1183" i="22"/>
  <c r="F1184" i="22"/>
  <c r="F1185" i="22"/>
  <c r="F1186" i="22"/>
  <c r="F1187" i="22"/>
  <c r="F1188" i="22"/>
  <c r="F1189" i="22"/>
  <c r="F1190" i="22"/>
  <c r="F1191" i="22"/>
  <c r="F1192" i="22"/>
  <c r="F1193" i="22"/>
  <c r="F1194" i="22"/>
  <c r="F1195" i="22"/>
  <c r="F1196" i="22"/>
  <c r="F1197" i="22"/>
  <c r="F1198" i="22"/>
  <c r="F1199" i="22"/>
  <c r="F1200" i="22"/>
  <c r="F1201" i="22"/>
  <c r="F1202" i="22"/>
  <c r="F1203" i="22"/>
  <c r="F1204" i="22"/>
  <c r="F1205" i="22"/>
  <c r="F1206" i="22"/>
  <c r="F1207" i="22"/>
  <c r="F1208" i="22"/>
  <c r="F1209" i="22"/>
  <c r="F1210" i="22"/>
  <c r="F1211" i="22"/>
  <c r="F1212" i="22"/>
  <c r="F1213" i="22"/>
  <c r="F1214" i="22"/>
  <c r="F1215" i="22"/>
  <c r="F1216" i="22"/>
  <c r="F1217" i="22"/>
  <c r="F1218" i="22"/>
  <c r="F1219" i="22"/>
  <c r="F1220" i="22"/>
  <c r="F1221" i="22"/>
  <c r="F1621" i="22"/>
  <c r="F1622" i="22"/>
  <c r="F1623" i="22"/>
  <c r="F1624" i="22"/>
  <c r="F1625" i="22"/>
  <c r="F1626" i="22"/>
  <c r="F1627" i="22"/>
  <c r="F1628" i="22"/>
  <c r="F1629" i="22"/>
  <c r="F1630" i="22"/>
  <c r="F1631" i="22"/>
  <c r="F1632" i="22"/>
  <c r="F1633" i="22"/>
  <c r="F1634" i="22"/>
  <c r="F1635" i="22"/>
  <c r="F1636" i="22"/>
  <c r="F1637" i="22"/>
  <c r="F1638" i="22"/>
  <c r="F1639" i="22"/>
  <c r="F1640" i="22"/>
  <c r="F1641" i="22"/>
  <c r="F1642" i="22"/>
  <c r="F1643" i="22"/>
  <c r="F1644" i="22"/>
  <c r="F1645" i="22"/>
  <c r="F1646" i="22"/>
  <c r="F1647" i="22"/>
  <c r="F1648" i="22"/>
  <c r="F1649" i="22"/>
  <c r="F1650" i="22"/>
  <c r="F1651" i="22"/>
  <c r="F1652" i="22"/>
  <c r="F1653" i="22"/>
  <c r="F1654" i="22"/>
  <c r="F1655" i="22"/>
  <c r="F1656" i="22"/>
  <c r="F1657" i="22"/>
  <c r="F1658" i="22"/>
  <c r="F1659" i="22"/>
  <c r="F1660" i="22"/>
  <c r="F1661" i="22"/>
  <c r="F1662" i="22"/>
  <c r="F1663" i="22"/>
  <c r="F1664" i="22"/>
  <c r="F1665" i="22"/>
  <c r="F1666" i="22"/>
  <c r="F1667" i="22"/>
  <c r="F1668" i="22"/>
  <c r="F1669" i="22"/>
  <c r="F1670" i="22"/>
  <c r="F1671" i="22"/>
  <c r="F1672" i="22"/>
  <c r="F1673" i="22"/>
  <c r="F1674" i="22"/>
  <c r="F1675" i="22"/>
  <c r="F1676" i="22"/>
  <c r="F1677" i="22"/>
  <c r="F1678" i="22"/>
  <c r="F1679" i="22"/>
  <c r="F1680" i="22"/>
  <c r="F1681" i="22"/>
  <c r="F1682" i="22"/>
  <c r="F1683" i="22"/>
  <c r="F1684" i="22"/>
  <c r="F1685" i="22"/>
  <c r="F1686" i="22"/>
  <c r="F1687" i="22"/>
  <c r="F1688" i="22"/>
  <c r="F1689" i="22"/>
  <c r="F1690" i="22"/>
  <c r="F1691" i="22"/>
  <c r="F1692" i="22"/>
  <c r="F1693" i="22"/>
  <c r="F1694" i="22"/>
  <c r="F1695" i="22"/>
  <c r="F1696" i="22"/>
  <c r="F1697" i="22"/>
  <c r="F1698" i="22"/>
  <c r="F1699" i="22"/>
  <c r="F1700" i="22"/>
  <c r="F1701" i="22"/>
  <c r="F1702" i="22"/>
  <c r="F1703" i="22"/>
  <c r="F1704" i="22"/>
  <c r="F1705" i="22"/>
  <c r="F1706" i="22"/>
  <c r="F1707" i="22"/>
  <c r="F1708" i="22"/>
  <c r="F1709" i="22"/>
  <c r="F1710" i="22"/>
  <c r="F1711" i="22"/>
  <c r="F1712" i="22"/>
  <c r="F1713" i="22"/>
  <c r="F1714" i="22"/>
  <c r="F1715" i="22"/>
  <c r="F1716" i="22"/>
  <c r="F1717" i="22"/>
  <c r="F1718" i="22"/>
  <c r="F1719" i="22"/>
  <c r="F1720" i="22"/>
  <c r="F1721" i="22"/>
  <c r="F1722" i="22"/>
  <c r="F1723" i="22"/>
  <c r="F1724" i="22"/>
  <c r="F1725" i="22"/>
  <c r="F1726" i="22"/>
  <c r="F1727" i="22"/>
  <c r="F1728" i="22"/>
  <c r="F1729" i="22"/>
  <c r="F1730" i="22"/>
  <c r="F1731" i="22"/>
  <c r="F1732" i="22"/>
  <c r="F1733" i="22"/>
  <c r="F1734" i="22"/>
  <c r="F1735" i="22"/>
  <c r="F1736" i="22"/>
  <c r="F1737" i="22"/>
  <c r="F1738" i="22"/>
  <c r="F1739" i="22"/>
  <c r="F1740" i="22"/>
  <c r="F1741" i="22"/>
  <c r="F1742" i="22"/>
  <c r="F1743" i="22"/>
  <c r="F1744" i="22"/>
  <c r="F1745" i="22"/>
  <c r="F1748" i="22"/>
  <c r="F1749" i="22"/>
  <c r="F1750" i="22"/>
  <c r="F1751" i="22"/>
  <c r="F1752" i="22"/>
  <c r="F1753" i="22"/>
  <c r="F1754" i="22"/>
  <c r="F1755" i="22"/>
  <c r="F1756" i="22"/>
  <c r="F1757" i="22"/>
  <c r="F1760" i="22"/>
  <c r="F1761" i="22"/>
  <c r="F1762" i="22"/>
  <c r="F1763" i="22"/>
  <c r="F1764" i="22"/>
  <c r="F1765" i="22"/>
  <c r="F1766" i="22"/>
  <c r="F1767" i="22"/>
  <c r="F1768" i="22"/>
  <c r="F1769" i="22"/>
  <c r="F1771" i="22"/>
  <c r="F1772" i="22"/>
  <c r="F1773" i="22"/>
  <c r="F1774" i="22"/>
  <c r="F1775" i="22"/>
  <c r="F1776" i="22"/>
  <c r="F1777" i="22"/>
  <c r="F1779" i="22"/>
  <c r="F1780" i="22"/>
  <c r="F1781" i="22"/>
  <c r="F1782" i="22"/>
  <c r="F1783" i="22"/>
  <c r="F1784" i="22"/>
  <c r="F1785" i="22"/>
  <c r="F1787" i="22"/>
  <c r="F1788" i="22"/>
  <c r="F1789" i="22"/>
  <c r="F1790" i="22"/>
  <c r="F1791" i="22"/>
  <c r="F1792" i="22"/>
  <c r="F1793" i="22"/>
  <c r="F1794" i="22"/>
  <c r="F1795" i="22"/>
  <c r="F1796" i="22"/>
  <c r="F1797" i="22"/>
  <c r="F1798" i="22"/>
  <c r="F1799" i="22"/>
  <c r="F1800" i="22"/>
  <c r="F1801" i="22"/>
  <c r="F1802" i="22"/>
  <c r="F1803" i="22"/>
  <c r="F1804" i="22"/>
  <c r="F1805" i="22"/>
  <c r="F1806" i="22"/>
  <c r="F1807" i="22"/>
  <c r="F1808" i="22"/>
  <c r="F1809" i="22"/>
  <c r="F1810" i="22"/>
  <c r="F1811" i="22"/>
  <c r="F1812" i="22"/>
  <c r="F1813" i="22"/>
  <c r="F1814" i="22"/>
  <c r="F1815" i="22"/>
  <c r="F1816" i="22"/>
  <c r="F1817" i="22"/>
  <c r="F1818" i="22"/>
  <c r="F1819" i="22"/>
  <c r="F1820" i="22"/>
  <c r="F1821" i="22"/>
  <c r="F1822" i="22"/>
  <c r="F1823" i="22"/>
  <c r="F1824" i="22"/>
  <c r="F1825" i="22"/>
  <c r="F1826" i="22"/>
  <c r="F1827" i="22"/>
  <c r="F1828" i="22"/>
  <c r="F1829" i="22"/>
  <c r="F1830" i="22"/>
  <c r="F1831" i="22"/>
  <c r="F1832" i="22"/>
  <c r="F1833" i="22"/>
  <c r="F1834" i="22"/>
  <c r="F1835" i="22"/>
  <c r="F1836" i="22"/>
  <c r="F1837" i="22"/>
  <c r="F1838" i="22"/>
  <c r="F1839" i="22"/>
  <c r="F1840" i="22"/>
  <c r="F1841" i="22"/>
  <c r="F1842" i="22"/>
  <c r="F1843" i="22"/>
  <c r="F1844" i="22"/>
  <c r="F1845" i="22"/>
  <c r="F1846" i="22"/>
  <c r="F1847" i="22"/>
  <c r="F1848" i="22"/>
  <c r="F1849" i="22"/>
  <c r="F1850" i="22"/>
  <c r="F1851" i="22"/>
  <c r="F1852" i="22"/>
  <c r="F1853" i="22"/>
  <c r="F1854" i="22"/>
  <c r="F1855" i="22"/>
  <c r="F1856" i="22"/>
  <c r="F1857" i="22"/>
  <c r="F1858" i="22"/>
  <c r="F1859" i="22"/>
  <c r="F1860" i="22"/>
  <c r="F1861" i="22"/>
  <c r="F1862" i="22"/>
  <c r="F1863" i="22"/>
  <c r="F1864" i="22"/>
  <c r="F1865" i="22"/>
  <c r="F1866" i="22"/>
  <c r="F1867" i="22"/>
  <c r="F1868" i="22"/>
  <c r="F1869" i="22"/>
  <c r="F1870" i="22"/>
  <c r="F1871" i="22"/>
  <c r="F1872" i="22"/>
  <c r="F1873" i="22"/>
  <c r="F1874" i="22"/>
  <c r="F1875" i="22"/>
  <c r="F1876" i="22"/>
  <c r="F1877" i="22"/>
  <c r="F1878" i="22"/>
  <c r="F1879" i="22"/>
  <c r="F1880" i="22"/>
  <c r="F1881" i="22"/>
  <c r="F1882" i="22"/>
  <c r="F1883" i="22"/>
  <c r="F1884" i="22"/>
  <c r="F1885" i="22"/>
  <c r="F1886" i="22"/>
  <c r="F1887" i="22"/>
  <c r="F1888" i="22"/>
  <c r="F1889" i="22"/>
  <c r="F1890" i="22"/>
  <c r="F1891" i="22"/>
  <c r="F1892" i="22"/>
  <c r="F1893" i="22"/>
  <c r="F1894" i="22"/>
  <c r="F1895" i="22"/>
  <c r="F1896" i="22"/>
  <c r="F1897" i="22"/>
  <c r="F1898" i="22"/>
  <c r="F1899" i="22"/>
  <c r="F1900" i="22"/>
  <c r="F1901" i="22"/>
  <c r="F1902" i="22"/>
  <c r="F1903" i="22"/>
  <c r="F1904" i="22"/>
  <c r="F1905" i="22"/>
  <c r="F1906" i="22"/>
  <c r="F1907" i="22"/>
  <c r="F1908" i="22"/>
  <c r="F1909" i="22"/>
  <c r="F1910" i="22"/>
  <c r="F1911" i="22"/>
  <c r="F1912" i="22"/>
  <c r="F1913" i="22"/>
  <c r="F1914" i="22"/>
  <c r="F1915" i="22"/>
  <c r="F1916" i="22"/>
  <c r="F1917" i="22"/>
  <c r="F1918" i="22"/>
  <c r="F1919" i="22"/>
  <c r="F1920" i="22"/>
  <c r="F1921" i="22"/>
  <c r="F1922" i="22"/>
  <c r="F1923" i="22"/>
  <c r="F1924" i="22"/>
  <c r="F1925" i="22"/>
  <c r="F1926" i="22"/>
  <c r="F1927" i="22"/>
  <c r="F1928" i="22"/>
  <c r="F1929" i="22"/>
  <c r="F1930" i="22"/>
  <c r="F1931" i="22"/>
  <c r="F1932" i="22"/>
  <c r="F1933" i="22"/>
  <c r="F1934" i="22"/>
  <c r="F1935" i="22"/>
  <c r="F1936" i="22"/>
  <c r="F1937" i="22"/>
  <c r="F1938" i="22"/>
  <c r="F1939" i="22"/>
  <c r="F1940" i="22"/>
  <c r="F1941" i="22"/>
  <c r="F1958" i="22"/>
  <c r="F1959" i="22"/>
  <c r="F1960" i="22"/>
  <c r="F1961" i="22"/>
  <c r="F1962" i="22"/>
  <c r="F1963" i="22"/>
  <c r="F1964" i="22"/>
  <c r="F1965" i="22"/>
  <c r="F1966" i="22"/>
  <c r="F1967" i="22"/>
  <c r="F1968" i="22"/>
  <c r="F1969" i="22"/>
  <c r="F1972" i="22"/>
  <c r="F1973" i="22"/>
  <c r="F1974" i="22"/>
  <c r="F1975" i="22"/>
  <c r="F1976" i="22"/>
  <c r="F1977" i="22"/>
  <c r="F1978" i="22"/>
  <c r="F1979" i="22"/>
  <c r="F2290" i="22"/>
  <c r="F2291" i="22"/>
  <c r="F2292" i="22"/>
  <c r="F2293" i="22"/>
  <c r="F2294" i="22"/>
  <c r="F2295" i="22"/>
  <c r="F2296" i="22"/>
  <c r="F2297" i="22"/>
  <c r="F2298" i="22"/>
  <c r="F2299" i="22"/>
  <c r="F2300" i="22"/>
  <c r="F2301" i="22"/>
  <c r="F2302" i="22"/>
  <c r="F2303" i="22"/>
  <c r="F2304" i="22"/>
  <c r="F2305" i="22"/>
  <c r="F2306" i="22"/>
  <c r="F2307" i="22"/>
  <c r="F2308" i="22"/>
  <c r="F2309" i="22"/>
  <c r="F2310" i="22"/>
  <c r="F2311" i="22"/>
  <c r="F2312" i="22"/>
  <c r="F2313" i="22"/>
  <c r="F2314" i="22"/>
  <c r="F2315" i="22"/>
  <c r="F2316" i="22"/>
  <c r="F2317" i="22"/>
  <c r="F2318" i="22"/>
  <c r="F2319" i="22"/>
  <c r="F2320" i="22"/>
  <c r="F2321" i="22"/>
  <c r="F2322" i="22"/>
  <c r="F2323" i="22"/>
  <c r="F2324" i="22"/>
  <c r="F2325" i="22"/>
  <c r="F2326" i="22"/>
  <c r="F2327" i="22"/>
  <c r="F2328" i="22"/>
  <c r="F2329" i="22"/>
  <c r="F2330" i="22"/>
  <c r="F2331" i="22"/>
  <c r="F2332" i="22"/>
  <c r="F2333" i="22"/>
  <c r="F2334" i="22"/>
  <c r="F2335" i="22"/>
  <c r="F2336" i="22"/>
  <c r="F2337" i="22"/>
  <c r="F2338" i="22"/>
  <c r="F2339" i="22"/>
  <c r="F2340" i="22"/>
  <c r="F2341" i="22"/>
  <c r="F2342" i="22"/>
  <c r="F2343" i="22"/>
  <c r="F2344" i="22"/>
  <c r="F2345" i="22"/>
  <c r="F2346" i="22"/>
  <c r="F2347" i="22"/>
  <c r="F2348" i="22"/>
  <c r="F2349" i="22"/>
  <c r="F2350" i="22"/>
  <c r="F2351" i="22"/>
  <c r="F2352" i="22"/>
  <c r="F2353" i="22"/>
  <c r="F2354" i="22"/>
  <c r="F2355" i="22"/>
  <c r="F2356" i="22"/>
  <c r="F2357" i="22"/>
  <c r="F2358" i="22"/>
  <c r="F2359" i="22"/>
  <c r="F2360" i="22"/>
  <c r="F2361" i="22"/>
  <c r="F2362" i="22"/>
  <c r="F2363" i="22"/>
  <c r="F2364" i="22"/>
  <c r="F2365" i="22"/>
  <c r="F2366" i="22"/>
  <c r="F2367" i="22"/>
  <c r="F2368" i="22"/>
  <c r="F2369" i="22"/>
  <c r="F2370" i="22"/>
  <c r="F2371" i="22"/>
  <c r="F2372" i="22"/>
  <c r="F2373" i="22"/>
  <c r="F2374" i="22"/>
  <c r="F2375" i="22"/>
  <c r="F2376" i="22"/>
  <c r="F2377" i="22"/>
  <c r="F2378" i="22"/>
  <c r="F2379" i="22"/>
  <c r="F2380" i="22"/>
  <c r="F2381" i="22"/>
  <c r="F2382" i="22"/>
  <c r="F2383" i="22"/>
  <c r="F2384" i="22"/>
  <c r="F2385" i="22"/>
  <c r="F2386" i="22"/>
  <c r="F2387" i="22"/>
  <c r="F2388" i="22"/>
  <c r="F2389" i="22"/>
  <c r="F2390" i="22"/>
  <c r="F2391" i="22"/>
  <c r="F2392" i="22"/>
  <c r="F2393" i="22"/>
  <c r="F2394" i="22"/>
  <c r="F2395" i="22"/>
  <c r="F2396" i="22"/>
  <c r="F2397" i="22"/>
  <c r="F2398" i="22"/>
  <c r="F2399" i="22"/>
  <c r="F2400" i="22"/>
  <c r="F2401" i="22"/>
  <c r="F2402" i="22"/>
  <c r="F2403" i="22"/>
  <c r="F2404" i="22"/>
  <c r="F2405" i="22"/>
  <c r="F2406" i="22"/>
  <c r="F2407" i="22"/>
  <c r="F2408" i="22"/>
  <c r="F2409" i="22"/>
  <c r="F2410" i="22"/>
  <c r="F2411" i="22"/>
  <c r="F2412" i="22"/>
  <c r="F2413" i="22"/>
  <c r="F2414" i="22"/>
  <c r="F2415" i="22"/>
  <c r="F2416" i="22"/>
  <c r="F2417" i="22"/>
  <c r="F2418" i="22"/>
  <c r="F2419" i="22"/>
  <c r="F2420" i="22"/>
  <c r="F2421" i="22"/>
  <c r="F2422" i="22"/>
  <c r="F2423" i="22"/>
  <c r="F2424" i="22"/>
  <c r="F2425" i="22"/>
  <c r="F2426" i="22"/>
  <c r="F2427" i="22"/>
  <c r="F2428" i="22"/>
  <c r="F2429" i="22"/>
  <c r="F2430" i="22"/>
  <c r="F2431" i="22"/>
  <c r="F2432" i="22"/>
  <c r="F2433" i="22"/>
  <c r="F2434" i="22"/>
  <c r="F2435" i="22"/>
  <c r="F2436" i="22"/>
  <c r="F2437" i="22"/>
  <c r="F2438" i="22"/>
  <c r="F2439" i="22"/>
  <c r="F2440" i="22"/>
  <c r="F2441" i="22"/>
  <c r="F2442" i="22"/>
  <c r="F2443" i="22"/>
  <c r="F2444" i="22"/>
  <c r="F2445" i="22"/>
  <c r="F2464" i="22"/>
  <c r="F2465" i="22"/>
  <c r="F2466" i="22"/>
  <c r="F2467" i="22"/>
  <c r="F2468" i="22"/>
  <c r="F2469" i="22"/>
  <c r="F2470" i="22"/>
  <c r="F2471" i="22"/>
  <c r="F2472" i="22"/>
  <c r="F2473" i="22"/>
  <c r="F2474" i="22"/>
  <c r="F2475" i="22"/>
  <c r="F2476" i="22"/>
  <c r="F2477" i="22"/>
  <c r="F2478" i="22"/>
  <c r="F2479" i="22"/>
  <c r="F2480" i="22"/>
  <c r="F2481" i="22"/>
  <c r="F2482" i="22"/>
  <c r="F2483" i="22"/>
  <c r="F2484" i="22"/>
  <c r="F2485" i="22"/>
  <c r="F2486" i="22"/>
  <c r="F2487" i="22"/>
  <c r="F2488" i="22"/>
  <c r="F2491" i="22"/>
  <c r="F2492" i="22"/>
  <c r="F2493" i="22"/>
  <c r="F2494" i="22"/>
  <c r="F2495" i="22"/>
  <c r="F2496" i="22"/>
  <c r="F2497" i="22"/>
  <c r="F2498" i="22"/>
  <c r="F2499" i="22"/>
  <c r="F2500" i="22"/>
  <c r="F2502" i="22"/>
  <c r="F2503" i="22"/>
  <c r="F2504" i="22"/>
  <c r="F2505" i="22"/>
  <c r="F2506" i="22"/>
  <c r="F2507" i="22"/>
  <c r="F2508" i="22"/>
  <c r="F2511" i="22"/>
  <c r="F2512" i="22"/>
  <c r="F2513" i="22"/>
  <c r="F2514" i="22"/>
  <c r="F2515" i="22"/>
  <c r="F2516" i="22"/>
  <c r="F2517" i="22"/>
  <c r="F2518" i="22"/>
  <c r="F2519" i="22"/>
  <c r="F2522" i="22"/>
  <c r="F2523" i="22"/>
  <c r="F2524" i="22"/>
  <c r="F2525" i="22"/>
  <c r="F2526" i="22"/>
  <c r="F2527" i="22"/>
  <c r="F2528" i="22"/>
  <c r="F2530" i="22"/>
  <c r="F2531" i="22"/>
  <c r="F2532" i="22"/>
  <c r="F2533" i="22"/>
  <c r="F2534" i="22"/>
  <c r="F2535" i="22"/>
  <c r="F2536" i="22"/>
  <c r="F2539" i="22"/>
  <c r="F2540" i="22"/>
  <c r="F2541" i="22"/>
  <c r="F2542" i="22"/>
  <c r="F2543" i="22"/>
  <c r="F2544" i="22"/>
  <c r="F2545" i="22"/>
  <c r="F2546" i="22"/>
  <c r="F2547" i="22"/>
  <c r="F2548" i="22"/>
  <c r="F2550" i="22"/>
  <c r="F2551" i="22"/>
  <c r="F2552" i="22"/>
  <c r="F2553" i="22"/>
  <c r="F2554" i="22"/>
  <c r="F2555" i="22"/>
  <c r="F2556" i="22"/>
  <c r="F2557" i="22"/>
  <c r="F2558" i="22"/>
  <c r="F2559" i="22"/>
  <c r="F2560" i="22"/>
  <c r="F2561" i="22"/>
  <c r="F2562" i="22"/>
  <c r="F2563" i="22"/>
  <c r="F2564" i="22"/>
  <c r="F2565" i="22"/>
  <c r="F2566" i="22"/>
  <c r="F2567" i="22"/>
  <c r="F2568" i="22"/>
  <c r="F2569" i="22"/>
  <c r="F2602" i="22"/>
  <c r="F2605" i="22"/>
  <c r="F2606" i="22"/>
  <c r="F2607" i="22"/>
  <c r="F2608" i="22"/>
  <c r="F2609" i="22"/>
  <c r="F2610" i="22"/>
  <c r="F2611" i="22"/>
  <c r="F2612" i="22"/>
  <c r="F2613" i="22"/>
  <c r="F2614" i="22"/>
  <c r="F2616" i="22"/>
  <c r="F2617" i="22"/>
  <c r="F2618" i="22"/>
  <c r="F2619" i="22"/>
  <c r="F2620" i="22"/>
  <c r="F2621" i="22"/>
  <c r="F2622" i="22"/>
  <c r="F2625" i="22"/>
  <c r="F2626" i="22"/>
  <c r="F2627" i="22"/>
  <c r="F2628" i="22"/>
  <c r="F2629" i="22"/>
  <c r="F2630" i="22"/>
  <c r="F2631" i="22"/>
  <c r="F2632" i="22"/>
  <c r="F2633" i="22"/>
  <c r="F2634" i="22"/>
  <c r="F2635" i="22"/>
  <c r="F2636" i="22"/>
  <c r="F2637" i="22"/>
  <c r="F2638" i="22"/>
  <c r="F2639" i="22"/>
  <c r="F2640" i="22"/>
  <c r="F2641" i="22"/>
  <c r="F2642" i="22"/>
  <c r="F2643" i="22"/>
  <c r="F2644" i="22"/>
  <c r="F2645" i="22"/>
  <c r="F2646" i="22"/>
  <c r="F2647" i="22"/>
  <c r="F2648" i="22"/>
  <c r="F2649" i="22"/>
  <c r="F2650" i="22"/>
  <c r="F2651" i="22"/>
  <c r="F2652" i="22"/>
  <c r="F2653" i="22"/>
  <c r="F2654" i="22"/>
  <c r="F2655" i="22"/>
  <c r="F2656" i="22"/>
  <c r="F2657" i="22"/>
  <c r="F2668" i="22"/>
  <c r="F2669" i="22"/>
  <c r="F2670" i="22"/>
  <c r="F2671" i="22"/>
  <c r="F2672" i="22"/>
  <c r="F2673" i="22"/>
  <c r="F2674" i="22"/>
  <c r="F2675" i="22"/>
  <c r="F2676" i="22"/>
  <c r="F2677" i="22"/>
  <c r="F2678" i="22"/>
  <c r="F2679" i="22"/>
  <c r="F2686" i="22"/>
  <c r="F2687" i="22"/>
  <c r="F2688" i="22"/>
  <c r="F2689" i="22"/>
  <c r="F2690" i="22"/>
  <c r="F2691" i="22"/>
  <c r="F2692" i="22"/>
  <c r="F2693" i="22"/>
  <c r="F2694" i="22"/>
  <c r="F2695" i="22"/>
  <c r="F1046" i="22"/>
  <c r="F1047" i="22"/>
  <c r="F1048" i="22"/>
  <c r="F1049" i="22"/>
  <c r="F1050" i="22"/>
  <c r="F1051" i="22"/>
  <c r="F1052" i="22"/>
  <c r="F1053" i="22"/>
  <c r="F1054" i="22"/>
  <c r="F1055" i="22"/>
  <c r="F1056" i="22"/>
  <c r="F1057" i="22"/>
  <c r="F1058" i="22"/>
  <c r="F1059" i="22"/>
  <c r="F1060" i="22"/>
  <c r="F1061" i="22"/>
  <c r="F1094" i="22"/>
  <c r="F1095" i="22"/>
  <c r="F1096" i="22"/>
  <c r="F1097" i="22"/>
  <c r="F1098" i="22"/>
  <c r="F1099" i="22"/>
  <c r="F1100" i="22"/>
  <c r="F1101" i="22"/>
  <c r="F1102" i="22"/>
  <c r="F1103" i="22"/>
  <c r="F1104" i="22"/>
  <c r="F1105" i="22"/>
  <c r="F1980" i="22"/>
  <c r="G1980" i="22" s="1"/>
  <c r="F1981" i="22"/>
  <c r="G1981" i="22" s="1"/>
  <c r="F1982" i="22"/>
  <c r="G1982" i="22" s="1"/>
  <c r="F1983" i="22"/>
  <c r="G1983" i="22" s="1"/>
  <c r="F1984" i="22"/>
  <c r="G1984" i="22" s="1"/>
  <c r="F1985" i="22"/>
  <c r="G1985" i="22" s="1"/>
  <c r="F1986" i="22"/>
  <c r="G1986" i="22" s="1"/>
  <c r="F1987" i="22"/>
  <c r="G1987" i="22" s="1"/>
  <c r="F1988" i="22"/>
  <c r="G1988" i="22" s="1"/>
  <c r="F1989" i="22"/>
  <c r="G1989" i="22" s="1"/>
  <c r="F1990" i="22"/>
  <c r="G1990" i="22" s="1"/>
  <c r="F1991" i="22"/>
  <c r="G1991" i="22" s="1"/>
  <c r="F1992" i="22"/>
  <c r="G1992" i="22" s="1"/>
  <c r="F1993" i="22"/>
  <c r="G1993" i="22" s="1"/>
  <c r="F1994" i="22"/>
  <c r="G1994" i="22" s="1"/>
  <c r="F1995" i="22"/>
  <c r="G1995" i="22" s="1"/>
  <c r="F1996" i="22"/>
  <c r="G1996" i="22" s="1"/>
  <c r="F1997" i="22"/>
  <c r="G1997" i="22" s="1"/>
  <c r="F1998" i="22"/>
  <c r="G1998" i="22" s="1"/>
  <c r="F1999" i="22"/>
  <c r="G1999" i="22" s="1"/>
  <c r="F2000" i="22"/>
  <c r="G2000" i="22" s="1"/>
  <c r="F2001" i="22"/>
  <c r="G2001" i="22" s="1"/>
  <c r="F2002" i="22"/>
  <c r="G2002" i="22" s="1"/>
  <c r="F2003" i="22"/>
  <c r="G2003" i="22" s="1"/>
  <c r="F2004" i="22"/>
  <c r="G2004" i="22" s="1"/>
  <c r="F2005" i="22"/>
  <c r="G2005" i="22" s="1"/>
  <c r="F2006" i="22"/>
  <c r="G2006" i="22" s="1"/>
  <c r="F2007" i="22"/>
  <c r="G2007" i="22" s="1"/>
  <c r="F2008" i="22"/>
  <c r="G2008" i="22" s="1"/>
  <c r="F2009" i="22"/>
  <c r="G2009" i="22" s="1"/>
  <c r="F2010" i="22"/>
  <c r="G2010" i="22" s="1"/>
  <c r="F2011" i="22"/>
  <c r="G2011" i="22" s="1"/>
  <c r="F2012" i="22"/>
  <c r="G2012" i="22" s="1"/>
  <c r="F2013" i="22"/>
  <c r="G2013" i="22" s="1"/>
  <c r="F2014" i="22"/>
  <c r="G2014" i="22" s="1"/>
  <c r="F2015" i="22"/>
  <c r="G2015" i="22" s="1"/>
  <c r="F2016" i="22"/>
  <c r="G2016" i="22" s="1"/>
  <c r="F2017" i="22"/>
  <c r="G2017" i="22" s="1"/>
  <c r="F2018" i="22"/>
  <c r="G2018" i="22" s="1"/>
  <c r="F2019" i="22"/>
  <c r="G2019" i="22" s="1"/>
  <c r="F2020" i="22"/>
  <c r="G2020" i="22" s="1"/>
  <c r="F2021" i="22"/>
  <c r="G2021" i="22" s="1"/>
  <c r="F2022" i="22"/>
  <c r="G2022" i="22" s="1"/>
  <c r="F2023" i="22"/>
  <c r="G2023" i="22" s="1"/>
  <c r="F2024" i="22"/>
  <c r="G2024" i="22" s="1"/>
  <c r="F2025" i="22"/>
  <c r="G2025" i="22" s="1"/>
  <c r="F2026" i="22"/>
  <c r="G2026" i="22" s="1"/>
  <c r="F2027" i="22"/>
  <c r="G2027" i="22" s="1"/>
  <c r="F2028" i="22"/>
  <c r="G2028" i="22" s="1"/>
  <c r="F2029" i="22"/>
  <c r="G2029" i="22" s="1"/>
  <c r="F2030" i="22"/>
  <c r="G2030" i="22" s="1"/>
  <c r="F2031" i="22"/>
  <c r="G2031" i="22" s="1"/>
  <c r="F2032" i="22"/>
  <c r="G2032" i="22" s="1"/>
  <c r="F2033" i="22"/>
  <c r="G2033" i="22" s="1"/>
  <c r="F2034" i="22"/>
  <c r="G2034" i="22" s="1"/>
  <c r="F2035" i="22"/>
  <c r="G2035" i="22" s="1"/>
  <c r="F2036" i="22"/>
  <c r="G2036" i="22" s="1"/>
  <c r="F2037" i="22"/>
  <c r="G2037" i="22" s="1"/>
  <c r="F2038" i="22"/>
  <c r="G2038" i="22" s="1"/>
  <c r="F2039" i="22"/>
  <c r="G2039" i="22" s="1"/>
  <c r="F2040" i="22"/>
  <c r="G2040" i="22" s="1"/>
  <c r="F2041" i="22"/>
  <c r="G2041" i="22" s="1"/>
  <c r="F2042" i="22"/>
  <c r="G2042" i="22" s="1"/>
  <c r="F2043" i="22"/>
  <c r="G2043" i="22" s="1"/>
  <c r="F2044" i="22"/>
  <c r="G2044" i="22" s="1"/>
  <c r="F2045" i="22"/>
  <c r="G2045" i="22" s="1"/>
  <c r="F2046" i="22"/>
  <c r="G2046" i="22" s="1"/>
  <c r="F2047" i="22"/>
  <c r="G2047" i="22" s="1"/>
  <c r="F2048" i="22"/>
  <c r="G2048" i="22" s="1"/>
  <c r="F2049" i="22"/>
  <c r="G2049" i="22" s="1"/>
  <c r="F2050" i="22"/>
  <c r="G2050" i="22" s="1"/>
  <c r="F2051" i="22"/>
  <c r="G2051" i="22" s="1"/>
  <c r="G2052" i="22"/>
  <c r="F2054" i="22"/>
  <c r="G2054" i="22" s="1"/>
  <c r="F2055" i="22"/>
  <c r="G2055" i="22" s="1"/>
  <c r="F2056" i="22"/>
  <c r="G2056" i="22" s="1"/>
  <c r="F2057" i="22"/>
  <c r="G2057" i="22" s="1"/>
  <c r="F2058" i="22"/>
  <c r="G2058" i="22" s="1"/>
  <c r="F2059" i="22"/>
  <c r="G2059" i="22" s="1"/>
  <c r="F2060" i="22"/>
  <c r="G2060" i="22" s="1"/>
  <c r="F2061" i="22"/>
  <c r="G2061" i="22" s="1"/>
  <c r="F2062" i="22"/>
  <c r="G2062" i="22" s="1"/>
  <c r="F2063" i="22"/>
  <c r="G2063" i="22" s="1"/>
  <c r="F2064" i="22"/>
  <c r="G2064" i="22" s="1"/>
  <c r="F2065" i="22"/>
  <c r="G2065" i="22" s="1"/>
  <c r="F2066" i="22"/>
  <c r="G2066" i="22" s="1"/>
  <c r="F2067" i="22"/>
  <c r="G2067" i="22" s="1"/>
  <c r="F2068" i="22"/>
  <c r="G2068" i="22" s="1"/>
  <c r="F2069" i="22"/>
  <c r="G2069" i="22" s="1"/>
  <c r="F2070" i="22"/>
  <c r="G2070" i="22" s="1"/>
  <c r="F2071" i="22"/>
  <c r="G2071" i="22" s="1"/>
  <c r="F2072" i="22"/>
  <c r="G2072" i="22" s="1"/>
  <c r="F2073" i="22"/>
  <c r="G2073" i="22" s="1"/>
  <c r="F2074" i="22"/>
  <c r="G2074" i="22" s="1"/>
  <c r="F2075" i="22"/>
  <c r="G2075" i="22" s="1"/>
  <c r="F2076" i="22"/>
  <c r="G2076" i="22" s="1"/>
  <c r="F2077" i="22"/>
  <c r="G2077" i="22" s="1"/>
  <c r="F2078" i="22"/>
  <c r="G2078" i="22" s="1"/>
  <c r="F2079" i="22"/>
  <c r="G2079" i="22" s="1"/>
  <c r="F2080" i="22"/>
  <c r="G2080" i="22" s="1"/>
  <c r="F2081" i="22"/>
  <c r="G2081" i="22" s="1"/>
  <c r="F2082" i="22"/>
  <c r="G2082" i="22" s="1"/>
  <c r="F2083" i="22"/>
  <c r="G2083" i="22" s="1"/>
  <c r="F2084" i="22"/>
  <c r="G2084" i="22" s="1"/>
  <c r="F2085" i="22"/>
  <c r="G2085" i="22" s="1"/>
  <c r="F2086" i="22"/>
  <c r="G2086" i="22" s="1"/>
  <c r="F2087" i="22"/>
  <c r="G2087" i="22" s="1"/>
  <c r="F2088" i="22"/>
  <c r="G2088" i="22" s="1"/>
  <c r="F2089" i="22"/>
  <c r="G2089" i="22" s="1"/>
  <c r="F2090" i="22"/>
  <c r="G2090" i="22" s="1"/>
  <c r="F2091" i="22"/>
  <c r="G2091" i="22" s="1"/>
  <c r="F2092" i="22"/>
  <c r="G2092" i="22" s="1"/>
  <c r="F2093" i="22"/>
  <c r="G2093" i="22" s="1"/>
  <c r="F2094" i="22"/>
  <c r="G2094" i="22" s="1"/>
  <c r="F2095" i="22"/>
  <c r="G2095" i="22" s="1"/>
  <c r="F2096" i="22"/>
  <c r="G2096" i="22" s="1"/>
  <c r="F2097" i="22"/>
  <c r="G2097" i="22" s="1"/>
  <c r="F2098" i="22"/>
  <c r="G2098" i="22" s="1"/>
  <c r="F2099" i="22"/>
  <c r="G2099" i="22" s="1"/>
  <c r="F2100" i="22"/>
  <c r="G2100" i="22" s="1"/>
  <c r="F2101" i="22"/>
  <c r="G2101" i="22" s="1"/>
  <c r="F2102" i="22"/>
  <c r="G2102" i="22" s="1"/>
  <c r="F2103" i="22"/>
  <c r="G2103" i="22" s="1"/>
  <c r="F2104" i="22"/>
  <c r="G2104" i="22" s="1"/>
  <c r="F2105" i="22"/>
  <c r="G2105" i="22" s="1"/>
  <c r="F2106" i="22"/>
  <c r="G2106" i="22" s="1"/>
  <c r="F2107" i="22"/>
  <c r="G2107" i="22" s="1"/>
  <c r="F2108" i="22"/>
  <c r="G2108" i="22" s="1"/>
  <c r="F2109" i="22"/>
  <c r="G2109" i="22" s="1"/>
  <c r="F2110" i="22"/>
  <c r="G2110" i="22" s="1"/>
  <c r="F2111" i="22"/>
  <c r="G2111" i="22" s="1"/>
  <c r="F2112" i="22"/>
  <c r="G2112" i="22" s="1"/>
  <c r="F2113" i="22"/>
  <c r="G2113" i="22" s="1"/>
  <c r="F2114" i="22"/>
  <c r="G2114" i="22" s="1"/>
  <c r="F2115" i="22"/>
  <c r="G2115" i="22" s="1"/>
  <c r="F2116" i="22"/>
  <c r="G2116" i="22" s="1"/>
  <c r="F2117" i="22"/>
  <c r="G2117" i="22" s="1"/>
  <c r="F2118" i="22"/>
  <c r="G2118" i="22" s="1"/>
  <c r="F2119" i="22"/>
  <c r="G2119" i="22" s="1"/>
  <c r="F2120" i="22"/>
  <c r="G2120" i="22" s="1"/>
  <c r="F2121" i="22"/>
  <c r="G2121" i="22" s="1"/>
  <c r="F2122" i="22"/>
  <c r="G2122" i="22" s="1"/>
  <c r="F2123" i="22"/>
  <c r="G2123" i="22" s="1"/>
  <c r="F2124" i="22"/>
  <c r="G2124" i="22" s="1"/>
  <c r="F2125" i="22"/>
  <c r="G2125" i="22" s="1"/>
  <c r="F2126" i="22"/>
  <c r="G2126" i="22" s="1"/>
  <c r="F2127" i="22"/>
  <c r="G2127" i="22" s="1"/>
  <c r="F2128" i="22"/>
  <c r="G2128" i="22" s="1"/>
  <c r="F2129" i="22"/>
  <c r="G2129" i="22" s="1"/>
  <c r="F2130" i="22"/>
  <c r="G2130" i="22" s="1"/>
  <c r="F2131" i="22"/>
  <c r="G2131" i="22" s="1"/>
  <c r="F2132" i="22"/>
  <c r="G2132" i="22" s="1"/>
  <c r="F2133" i="22"/>
  <c r="G2133" i="22" s="1"/>
  <c r="F2134" i="22"/>
  <c r="G2134" i="22" s="1"/>
  <c r="F2135" i="22"/>
  <c r="G2135" i="22" s="1"/>
  <c r="F2136" i="22"/>
  <c r="G2136" i="22" s="1"/>
  <c r="F2137" i="22"/>
  <c r="G2137" i="22" s="1"/>
  <c r="F2138" i="22"/>
  <c r="G2138" i="22" s="1"/>
  <c r="F2139" i="22"/>
  <c r="G2139" i="22" s="1"/>
  <c r="F2140" i="22"/>
  <c r="G2140" i="22" s="1"/>
  <c r="F2141" i="22"/>
  <c r="G2141" i="22" s="1"/>
  <c r="F2142" i="22"/>
  <c r="G2142" i="22" s="1"/>
  <c r="F2143" i="22"/>
  <c r="G2143" i="22" s="1"/>
  <c r="F2144" i="22"/>
  <c r="G2144" i="22" s="1"/>
  <c r="F2145" i="22"/>
  <c r="G2145" i="22" s="1"/>
  <c r="F2146" i="22"/>
  <c r="G2146" i="22" s="1"/>
  <c r="F2147" i="22"/>
  <c r="G2147" i="22" s="1"/>
  <c r="F2148" i="22"/>
  <c r="G2148" i="22" s="1"/>
  <c r="F2149" i="22"/>
  <c r="G2149" i="22" s="1"/>
  <c r="F2150" i="22"/>
  <c r="G2150" i="22" s="1"/>
  <c r="F2151" i="22"/>
  <c r="G2151" i="22" s="1"/>
  <c r="F2152" i="22"/>
  <c r="G2152" i="22" s="1"/>
  <c r="F2153" i="22"/>
  <c r="G2153" i="22" s="1"/>
  <c r="F2154" i="22"/>
  <c r="G2154" i="22" s="1"/>
  <c r="F2155" i="22"/>
  <c r="G2155" i="22" s="1"/>
  <c r="F2156" i="22"/>
  <c r="G2156" i="22" s="1"/>
  <c r="F2157" i="22"/>
  <c r="G2157" i="22" s="1"/>
  <c r="F2158" i="22"/>
  <c r="G2158" i="22" s="1"/>
  <c r="F2159" i="22"/>
  <c r="G2159" i="22" s="1"/>
  <c r="F2160" i="22"/>
  <c r="G2160" i="22" s="1"/>
  <c r="F2161" i="22"/>
  <c r="G2161" i="22" s="1"/>
  <c r="F2162" i="22"/>
  <c r="G2162" i="22" s="1"/>
  <c r="F2163" i="22"/>
  <c r="G2163" i="22" s="1"/>
  <c r="F2164" i="22"/>
  <c r="G2164" i="22" s="1"/>
  <c r="F2165" i="22"/>
  <c r="G2165" i="22" s="1"/>
  <c r="F2166" i="22"/>
  <c r="G2166" i="22" s="1"/>
  <c r="F2167" i="22"/>
  <c r="G2167" i="22" s="1"/>
  <c r="F2168" i="22"/>
  <c r="G2168" i="22" s="1"/>
  <c r="F2169" i="22"/>
  <c r="G2169" i="22" s="1"/>
  <c r="F2170" i="22"/>
  <c r="G2170" i="22" s="1"/>
  <c r="F2171" i="22"/>
  <c r="G2171" i="22" s="1"/>
  <c r="F2172" i="22"/>
  <c r="G2172" i="22" s="1"/>
  <c r="F2173" i="22"/>
  <c r="G2173" i="22" s="1"/>
  <c r="F2174" i="22"/>
  <c r="G2174" i="22" s="1"/>
  <c r="F2175" i="22"/>
  <c r="G2175" i="22" s="1"/>
  <c r="F2176" i="22"/>
  <c r="G2176" i="22" s="1"/>
  <c r="F2177" i="22"/>
  <c r="G2177" i="22" s="1"/>
  <c r="F2178" i="22"/>
  <c r="G2178" i="22" s="1"/>
  <c r="F2179" i="22"/>
  <c r="G2179" i="22" s="1"/>
  <c r="F2180" i="22"/>
  <c r="G2180" i="22" s="1"/>
  <c r="F2181" i="22"/>
  <c r="G2181" i="22" s="1"/>
  <c r="F2182" i="22"/>
  <c r="G2182" i="22" s="1"/>
  <c r="F2183" i="22"/>
  <c r="G2183" i="22" s="1"/>
  <c r="F2184" i="22"/>
  <c r="G2184" i="22" s="1"/>
  <c r="F2185" i="22"/>
  <c r="G2185" i="22" s="1"/>
  <c r="F2186" i="22"/>
  <c r="G2186" i="22" s="1"/>
  <c r="F2187" i="22"/>
  <c r="G2187" i="22" s="1"/>
  <c r="F2188" i="22"/>
  <c r="G2188" i="22" s="1"/>
  <c r="F2189" i="22"/>
  <c r="G2189" i="22" s="1"/>
  <c r="F2190" i="22"/>
  <c r="G2190" i="22" s="1"/>
  <c r="F2191" i="22"/>
  <c r="G2191" i="22" s="1"/>
  <c r="F2192" i="22"/>
  <c r="G2192" i="22" s="1"/>
  <c r="F2193" i="22"/>
  <c r="G2193" i="22" s="1"/>
  <c r="F2194" i="22"/>
  <c r="G2194" i="22" s="1"/>
  <c r="F2195" i="22"/>
  <c r="G2195" i="22" s="1"/>
  <c r="F2196" i="22"/>
  <c r="G2196" i="22" s="1"/>
  <c r="F2197" i="22"/>
  <c r="G2197" i="22" s="1"/>
  <c r="F2198" i="22"/>
  <c r="G2198" i="22" s="1"/>
  <c r="F2199" i="22"/>
  <c r="G2199" i="22" s="1"/>
  <c r="F2200" i="22"/>
  <c r="G2200" i="22" s="1"/>
  <c r="F2201" i="22"/>
  <c r="G2201" i="22" s="1"/>
  <c r="F2202" i="22"/>
  <c r="G2202" i="22" s="1"/>
  <c r="F2203" i="22"/>
  <c r="G2203" i="22" s="1"/>
  <c r="F2204" i="22"/>
  <c r="G2204" i="22" s="1"/>
  <c r="F2205" i="22"/>
  <c r="G2205" i="22" s="1"/>
  <c r="F2206" i="22"/>
  <c r="G2206" i="22" s="1"/>
  <c r="F2207" i="22"/>
  <c r="G2207" i="22" s="1"/>
  <c r="F2208" i="22"/>
  <c r="G2208" i="22" s="1"/>
  <c r="F2209" i="22"/>
  <c r="G2209" i="22" s="1"/>
  <c r="F2210" i="22"/>
  <c r="G2210" i="22" s="1"/>
  <c r="F2211" i="22"/>
  <c r="G2211" i="22" s="1"/>
  <c r="F2212" i="22"/>
  <c r="G2212" i="22" s="1"/>
  <c r="F2213" i="22"/>
  <c r="G2213" i="22" s="1"/>
  <c r="F2214" i="22"/>
  <c r="G2214" i="22" s="1"/>
  <c r="F2215" i="22"/>
  <c r="G2215" i="22" s="1"/>
  <c r="F2216" i="22"/>
  <c r="G2216" i="22" s="1"/>
  <c r="F2217" i="22"/>
  <c r="G2217" i="22" s="1"/>
  <c r="F2218" i="22"/>
  <c r="G2218" i="22" s="1"/>
  <c r="F2219" i="22"/>
  <c r="G2219" i="22" s="1"/>
  <c r="F2220" i="22"/>
  <c r="G2220" i="22" s="1"/>
  <c r="F2221" i="22"/>
  <c r="G2221" i="22" s="1"/>
  <c r="F2222" i="22"/>
  <c r="G2222" i="22" s="1"/>
  <c r="F2223" i="22"/>
  <c r="G2223" i="22" s="1"/>
  <c r="F2224" i="22"/>
  <c r="G2224" i="22" s="1"/>
  <c r="F2225" i="22"/>
  <c r="G2225" i="22" s="1"/>
  <c r="F2226" i="22"/>
  <c r="G2226" i="22" s="1"/>
  <c r="F2227" i="22"/>
  <c r="G2227" i="22" s="1"/>
  <c r="F2228" i="22"/>
  <c r="G2228" i="22" s="1"/>
  <c r="F2229" i="22"/>
  <c r="G2229" i="22" s="1"/>
  <c r="F2230" i="22"/>
  <c r="G2230" i="22" s="1"/>
  <c r="F2231" i="22"/>
  <c r="G2231" i="22" s="1"/>
  <c r="F2232" i="22"/>
  <c r="G2232" i="22" s="1"/>
  <c r="F2233" i="22"/>
  <c r="G2233" i="22" s="1"/>
  <c r="F2234" i="22"/>
  <c r="G2234" i="22" s="1"/>
  <c r="F2235" i="22"/>
  <c r="G2235" i="22" s="1"/>
  <c r="F2236" i="22"/>
  <c r="G2236" i="22" s="1"/>
  <c r="F2237" i="22"/>
  <c r="G2237" i="22" s="1"/>
  <c r="F2238" i="22"/>
  <c r="G2238" i="22" s="1"/>
  <c r="F2239" i="22"/>
  <c r="G2239" i="22" s="1"/>
  <c r="F2240" i="22"/>
  <c r="G2240" i="22" s="1"/>
  <c r="F2241" i="22"/>
  <c r="G2241" i="22" s="1"/>
  <c r="F2242" i="22"/>
  <c r="G2242" i="22" s="1"/>
  <c r="F2243" i="22"/>
  <c r="G2243" i="22" s="1"/>
  <c r="F2244" i="22"/>
  <c r="G2244" i="22" s="1"/>
  <c r="F2245" i="22"/>
  <c r="G2245" i="22" s="1"/>
  <c r="F2246" i="22"/>
  <c r="G2246" i="22" s="1"/>
  <c r="F2247" i="22"/>
  <c r="G2247" i="22" s="1"/>
  <c r="F2248" i="22"/>
  <c r="G2248" i="22" s="1"/>
  <c r="F2249" i="22"/>
  <c r="G2249" i="22" s="1"/>
  <c r="F2250" i="22"/>
  <c r="G2250" i="22" s="1"/>
  <c r="F2251" i="22"/>
  <c r="G2251" i="22" s="1"/>
  <c r="F2252" i="22"/>
  <c r="G2252" i="22" s="1"/>
  <c r="F2253" i="22"/>
  <c r="G2253" i="22" s="1"/>
  <c r="F2254" i="22"/>
  <c r="G2254" i="22" s="1"/>
  <c r="F2255" i="22"/>
  <c r="G2255" i="22" s="1"/>
  <c r="F2256" i="22"/>
  <c r="G2256" i="22" s="1"/>
  <c r="F2257" i="22"/>
  <c r="G2257" i="22" s="1"/>
  <c r="F2258" i="22"/>
  <c r="G2258" i="22" s="1"/>
  <c r="F2259" i="22"/>
  <c r="G2259" i="22" s="1"/>
  <c r="F2260" i="22"/>
  <c r="G2260" i="22" s="1"/>
  <c r="F2261" i="22"/>
  <c r="G2261" i="22" s="1"/>
  <c r="F2262" i="22"/>
  <c r="G2262" i="22" s="1"/>
  <c r="F2263" i="22"/>
  <c r="G2263" i="22" s="1"/>
  <c r="F2264" i="22"/>
  <c r="G2264" i="22" s="1"/>
  <c r="F2265" i="22"/>
  <c r="G2265" i="22" s="1"/>
  <c r="F2266" i="22"/>
  <c r="G2266" i="22" s="1"/>
  <c r="F2267" i="22"/>
  <c r="G2267" i="22" s="1"/>
  <c r="F2268" i="22"/>
  <c r="G2268" i="22" s="1"/>
  <c r="F2269" i="22"/>
  <c r="G2269" i="22" s="1"/>
  <c r="F2270" i="22"/>
  <c r="G2270" i="22" s="1"/>
  <c r="F2271" i="22"/>
  <c r="G2271" i="22" s="1"/>
  <c r="F2272" i="22"/>
  <c r="G2272" i="22" s="1"/>
  <c r="F2273" i="22"/>
  <c r="G2273" i="22" s="1"/>
  <c r="F2274" i="22"/>
  <c r="G2274" i="22" s="1"/>
  <c r="F2275" i="22"/>
  <c r="G2275" i="22" s="1"/>
  <c r="F2276" i="22"/>
  <c r="G2276" i="22" s="1"/>
  <c r="F2277" i="22"/>
  <c r="G2277" i="22" s="1"/>
  <c r="F2278" i="22"/>
  <c r="G2278" i="22" s="1"/>
  <c r="F2279" i="22"/>
  <c r="G2279" i="22" s="1"/>
  <c r="F2280" i="22"/>
  <c r="G2280" i="22" s="1"/>
  <c r="F2281" i="22"/>
  <c r="G2281" i="22" s="1"/>
  <c r="F2282" i="22"/>
  <c r="G2282" i="22" s="1"/>
  <c r="F2283" i="22"/>
  <c r="G2283" i="22" s="1"/>
  <c r="F2284" i="22"/>
  <c r="G2284" i="22" s="1"/>
  <c r="F2285" i="22"/>
  <c r="G2285" i="22" s="1"/>
  <c r="F2286" i="22"/>
  <c r="G2286" i="22" s="1"/>
  <c r="F2287" i="22"/>
  <c r="G2287" i="22" s="1"/>
  <c r="F2288" i="22"/>
  <c r="G2288" i="22" s="1"/>
  <c r="F2289" i="22"/>
  <c r="G2289" i="22" s="1"/>
  <c r="J8" i="23" l="1"/>
  <c r="P7" i="23"/>
  <c r="G1105" i="22"/>
  <c r="G1101" i="22"/>
  <c r="G1102" i="22"/>
  <c r="G1103" i="22"/>
  <c r="G1104" i="22"/>
  <c r="G1095" i="22"/>
  <c r="G1096" i="22"/>
  <c r="G1097" i="22"/>
  <c r="G1098" i="22"/>
  <c r="G1099" i="22"/>
  <c r="G1100" i="22"/>
  <c r="G1094" i="22"/>
  <c r="G1055" i="22"/>
  <c r="G1056" i="22"/>
  <c r="G1057" i="22"/>
  <c r="G1058" i="22"/>
  <c r="G1059" i="22"/>
  <c r="G1060" i="22"/>
  <c r="G1061" i="22"/>
  <c r="G1054" i="22"/>
  <c r="G1053" i="22"/>
  <c r="G1052" i="22"/>
  <c r="G1051" i="22"/>
  <c r="G1050" i="22"/>
  <c r="G1049" i="22"/>
  <c r="G1048" i="22"/>
  <c r="G1047" i="22"/>
  <c r="G1046" i="22"/>
  <c r="G8" i="22" l="1"/>
  <c r="G9" i="22"/>
  <c r="G12" i="22"/>
  <c r="G13" i="22"/>
  <c r="G16" i="22"/>
  <c r="G17" i="22"/>
  <c r="G24" i="22"/>
  <c r="G25" i="22"/>
  <c r="G28" i="22"/>
  <c r="G29" i="22"/>
  <c r="G40" i="22"/>
  <c r="G41" i="22"/>
  <c r="G44" i="22"/>
  <c r="G45" i="22"/>
  <c r="G48" i="22"/>
  <c r="G49" i="22"/>
  <c r="G80" i="22"/>
  <c r="G81" i="22"/>
  <c r="G84" i="22"/>
  <c r="G85" i="22"/>
  <c r="G88" i="22"/>
  <c r="G89" i="22"/>
  <c r="G92" i="22"/>
  <c r="G93" i="22"/>
  <c r="G96" i="22"/>
  <c r="G97" i="22"/>
  <c r="G108" i="22"/>
  <c r="G109" i="22"/>
  <c r="G112" i="22"/>
  <c r="G113" i="22"/>
  <c r="G120" i="22"/>
  <c r="G121" i="22"/>
  <c r="G124" i="22"/>
  <c r="G125" i="22"/>
  <c r="G128" i="22"/>
  <c r="G129" i="22"/>
  <c r="G132" i="22"/>
  <c r="G133" i="22"/>
  <c r="G136" i="22"/>
  <c r="G137" i="22"/>
  <c r="G140" i="22"/>
  <c r="G141" i="22"/>
  <c r="G144" i="22"/>
  <c r="G145" i="22"/>
  <c r="G148" i="22"/>
  <c r="G149" i="22"/>
  <c r="G152" i="22"/>
  <c r="G153" i="22"/>
  <c r="G156" i="22"/>
  <c r="G157" i="22"/>
  <c r="G160" i="22"/>
  <c r="G161" i="22"/>
  <c r="G164" i="22"/>
  <c r="G165" i="22"/>
  <c r="G168" i="22"/>
  <c r="G169" i="22"/>
  <c r="G172" i="22"/>
  <c r="G173" i="22"/>
  <c r="G176" i="22"/>
  <c r="G177" i="22"/>
  <c r="G180" i="22"/>
  <c r="G181" i="22"/>
  <c r="G184" i="22"/>
  <c r="G185" i="22"/>
  <c r="G188" i="22"/>
  <c r="G189" i="22"/>
  <c r="G192" i="22"/>
  <c r="G193" i="22"/>
  <c r="G196" i="22"/>
  <c r="G197" i="22"/>
  <c r="G200" i="22"/>
  <c r="G201" i="22"/>
  <c r="G204" i="22"/>
  <c r="G205" i="22"/>
  <c r="G208" i="22"/>
  <c r="G209" i="22"/>
  <c r="G212" i="22"/>
  <c r="G213" i="22"/>
  <c r="G216" i="22"/>
  <c r="G217" i="22"/>
  <c r="G220" i="22"/>
  <c r="G221" i="22"/>
  <c r="G224" i="22"/>
  <c r="G225" i="22"/>
  <c r="G228" i="22"/>
  <c r="G229" i="22"/>
  <c r="G232" i="22"/>
  <c r="G233" i="22"/>
  <c r="G242" i="22"/>
  <c r="G243" i="22"/>
  <c r="G245" i="22"/>
  <c r="G246" i="22"/>
  <c r="G247" i="22"/>
  <c r="G248" i="22"/>
  <c r="G250" i="22"/>
  <c r="G251" i="22"/>
  <c r="G446" i="22"/>
  <c r="G447" i="22"/>
  <c r="G448" i="22"/>
  <c r="G449" i="22"/>
  <c r="G452" i="22"/>
  <c r="G453" i="22"/>
  <c r="G454" i="22"/>
  <c r="G455" i="22"/>
  <c r="G456" i="22"/>
  <c r="G457" i="22"/>
  <c r="G458" i="22"/>
  <c r="G459" i="22"/>
  <c r="G460" i="22"/>
  <c r="G461" i="22"/>
  <c r="G463" i="22"/>
  <c r="G464" i="22"/>
  <c r="G465" i="22"/>
  <c r="G466" i="22"/>
  <c r="G468" i="22"/>
  <c r="G469" i="22"/>
  <c r="G470" i="22"/>
  <c r="G471" i="22"/>
  <c r="G472" i="22"/>
  <c r="G473" i="22"/>
  <c r="G476" i="22"/>
  <c r="G477" i="22"/>
  <c r="G479" i="22"/>
  <c r="G480" i="22"/>
  <c r="G482" i="22"/>
  <c r="G483" i="22"/>
  <c r="G485" i="22"/>
  <c r="G488" i="22"/>
  <c r="G489" i="22"/>
  <c r="G491" i="22"/>
  <c r="G492" i="22"/>
  <c r="G494" i="22"/>
  <c r="G495" i="22"/>
  <c r="G500" i="22"/>
  <c r="G501" i="22"/>
  <c r="G502" i="22"/>
  <c r="G503" i="22"/>
  <c r="G504" i="22"/>
  <c r="G505" i="22"/>
  <c r="G506" i="22"/>
  <c r="G507" i="22"/>
  <c r="G510" i="22"/>
  <c r="G511" i="22"/>
  <c r="G515" i="22"/>
  <c r="G516" i="22"/>
  <c r="G517" i="22"/>
  <c r="G518" i="22"/>
  <c r="G519" i="22"/>
  <c r="G521" i="22"/>
  <c r="G522" i="22"/>
  <c r="G523" i="22"/>
  <c r="G524" i="22"/>
  <c r="G525" i="22"/>
  <c r="G527" i="22"/>
  <c r="G528" i="22"/>
  <c r="G531" i="22"/>
  <c r="G533" i="22"/>
  <c r="G536" i="22"/>
  <c r="G537" i="22"/>
  <c r="G539" i="22"/>
  <c r="G540" i="22"/>
  <c r="G542" i="22"/>
  <c r="G543" i="22"/>
  <c r="G544" i="22"/>
  <c r="G545" i="22"/>
  <c r="G546" i="22"/>
  <c r="G547" i="22"/>
  <c r="G548" i="22"/>
  <c r="G549" i="22"/>
  <c r="G551" i="22"/>
  <c r="G552" i="22"/>
  <c r="G553" i="22"/>
  <c r="G554" i="22"/>
  <c r="G555" i="22"/>
  <c r="G556" i="22"/>
  <c r="G557" i="22"/>
  <c r="G559" i="22"/>
  <c r="G560" i="22"/>
  <c r="G562" i="22"/>
  <c r="G563" i="22"/>
  <c r="G564" i="22"/>
  <c r="G565" i="22"/>
  <c r="G567" i="22"/>
  <c r="G568" i="22"/>
  <c r="G569" i="22"/>
  <c r="G570" i="22"/>
  <c r="G571" i="22"/>
  <c r="G572" i="22"/>
  <c r="G574" i="22"/>
  <c r="G575" i="22"/>
  <c r="G576" i="22"/>
  <c r="G577" i="22"/>
  <c r="G578" i="22"/>
  <c r="G579" i="22"/>
  <c r="G580" i="22"/>
  <c r="G581" i="22"/>
  <c r="G583" i="22"/>
  <c r="G584" i="22"/>
  <c r="G586" i="22"/>
  <c r="G587" i="22"/>
  <c r="G588" i="22"/>
  <c r="G589" i="22"/>
  <c r="G591" i="22"/>
  <c r="G592" i="22"/>
  <c r="G594" i="22"/>
  <c r="G595" i="22"/>
  <c r="G596" i="22"/>
  <c r="G599" i="22"/>
  <c r="G600" i="22"/>
  <c r="G601" i="22"/>
  <c r="G602" i="22"/>
  <c r="G603" i="22"/>
  <c r="G604" i="22"/>
  <c r="G606" i="22"/>
  <c r="G607" i="22"/>
  <c r="G608" i="22"/>
  <c r="G610" i="22"/>
  <c r="G611" i="22"/>
  <c r="G612" i="22"/>
  <c r="G613" i="22"/>
  <c r="G615" i="22"/>
  <c r="G616" i="22"/>
  <c r="G618" i="22"/>
  <c r="G619" i="22"/>
  <c r="G620" i="22"/>
  <c r="G623" i="22"/>
  <c r="G624" i="22"/>
  <c r="G625" i="22"/>
  <c r="G626" i="22"/>
  <c r="G627" i="22"/>
  <c r="G628" i="22"/>
  <c r="G630" i="22"/>
  <c r="G631" i="22"/>
  <c r="G632" i="22"/>
  <c r="G634" i="22"/>
  <c r="G635" i="22"/>
  <c r="G636" i="22"/>
  <c r="G637" i="22"/>
  <c r="G638" i="22"/>
  <c r="G639" i="22"/>
  <c r="G640" i="22"/>
  <c r="G641" i="22"/>
  <c r="G642" i="22"/>
  <c r="G643" i="22"/>
  <c r="G644" i="22"/>
  <c r="G647" i="22"/>
  <c r="G648" i="22"/>
  <c r="G649" i="22"/>
  <c r="G650" i="22"/>
  <c r="G651" i="22"/>
  <c r="G652" i="22"/>
  <c r="G653" i="22"/>
  <c r="G654" i="22"/>
  <c r="G655" i="22"/>
  <c r="G656" i="22"/>
  <c r="G658" i="22"/>
  <c r="G659" i="22"/>
  <c r="G660" i="22"/>
  <c r="G663" i="22"/>
  <c r="G664" i="22"/>
  <c r="G665" i="22"/>
  <c r="G666" i="22"/>
  <c r="G667" i="22"/>
  <c r="G668" i="22"/>
  <c r="G670" i="22"/>
  <c r="G671" i="22"/>
  <c r="G672" i="22"/>
  <c r="G674" i="22"/>
  <c r="G675" i="22"/>
  <c r="G676" i="22"/>
  <c r="G677" i="22"/>
  <c r="G678" i="22"/>
  <c r="G679" i="22"/>
  <c r="G680" i="22"/>
  <c r="G681" i="22"/>
  <c r="G682" i="22"/>
  <c r="G683" i="22"/>
  <c r="G684" i="22"/>
  <c r="G687" i="22"/>
  <c r="G688" i="22"/>
  <c r="G689" i="22"/>
  <c r="G690" i="22"/>
  <c r="G691" i="22"/>
  <c r="G692" i="22"/>
  <c r="G693" i="22"/>
  <c r="G695" i="22"/>
  <c r="G696" i="22"/>
  <c r="G698" i="22"/>
  <c r="G699" i="22"/>
  <c r="G700" i="22"/>
  <c r="G701" i="22"/>
  <c r="G702" i="22"/>
  <c r="G703" i="22"/>
  <c r="G704" i="22"/>
  <c r="G705" i="22"/>
  <c r="G706" i="22"/>
  <c r="G707" i="22"/>
  <c r="G708" i="22"/>
  <c r="G711" i="22"/>
  <c r="G712" i="22"/>
  <c r="G713" i="22"/>
  <c r="G714" i="22"/>
  <c r="G715" i="22"/>
  <c r="G716" i="22"/>
  <c r="G717" i="22"/>
  <c r="G719" i="22"/>
  <c r="G720" i="22"/>
  <c r="G722" i="22"/>
  <c r="G723" i="22"/>
  <c r="G724" i="22"/>
  <c r="G725" i="22"/>
  <c r="G806" i="22"/>
  <c r="G810" i="22"/>
  <c r="G811" i="22"/>
  <c r="G812" i="22"/>
  <c r="G814" i="22"/>
  <c r="G818" i="22"/>
  <c r="G819" i="22"/>
  <c r="G820" i="22"/>
  <c r="G824" i="22"/>
  <c r="G825" i="22"/>
  <c r="G826" i="22"/>
  <c r="G830" i="22"/>
  <c r="G832" i="22"/>
  <c r="G836" i="22"/>
  <c r="G838" i="22"/>
  <c r="G842" i="22"/>
  <c r="G843" i="22"/>
  <c r="G844" i="22"/>
  <c r="G849" i="22"/>
  <c r="G850" i="22"/>
  <c r="G861" i="22"/>
  <c r="G862" i="22"/>
  <c r="G866" i="22"/>
  <c r="G868" i="22"/>
  <c r="G872" i="22"/>
  <c r="G873" i="22"/>
  <c r="G874" i="22"/>
  <c r="G884" i="22"/>
  <c r="G885" i="22"/>
  <c r="G886" i="22"/>
  <c r="G896" i="22"/>
  <c r="G899" i="22"/>
  <c r="G901" i="22"/>
  <c r="G902" i="22"/>
  <c r="G903" i="22"/>
  <c r="G906" i="22"/>
  <c r="G907" i="22"/>
  <c r="G908" i="22"/>
  <c r="G909" i="22"/>
  <c r="G910" i="22"/>
  <c r="G911" i="22"/>
  <c r="G913" i="22"/>
  <c r="G914" i="22"/>
  <c r="G915" i="22"/>
  <c r="G917" i="22"/>
  <c r="G918" i="22"/>
  <c r="G919" i="22"/>
  <c r="G920" i="22"/>
  <c r="G922" i="22"/>
  <c r="G923" i="22"/>
  <c r="G925" i="22"/>
  <c r="G926" i="22"/>
  <c r="G927" i="22"/>
  <c r="G929" i="22"/>
  <c r="G930" i="22"/>
  <c r="G931" i="22"/>
  <c r="G932" i="22"/>
  <c r="G933" i="22"/>
  <c r="G1158" i="22"/>
  <c r="G1159" i="22"/>
  <c r="G1160" i="22"/>
  <c r="G1163" i="22"/>
  <c r="G1164" i="22"/>
  <c r="G1165" i="22"/>
  <c r="G1166" i="22"/>
  <c r="G1167" i="22"/>
  <c r="G1168" i="22"/>
  <c r="G1169" i="22"/>
  <c r="G1170" i="22"/>
  <c r="G1171" i="22"/>
  <c r="G1172" i="22"/>
  <c r="G1174" i="22"/>
  <c r="G1175" i="22"/>
  <c r="G1177" i="22"/>
  <c r="G1178" i="22"/>
  <c r="G1179" i="22"/>
  <c r="G1180" i="22"/>
  <c r="G1181" i="22"/>
  <c r="G1182" i="22"/>
  <c r="G1183" i="22"/>
  <c r="G1184" i="22"/>
  <c r="G1185" i="22"/>
  <c r="G1186" i="22"/>
  <c r="G1187" i="22"/>
  <c r="G1188" i="22"/>
  <c r="G1189" i="22"/>
  <c r="G1190" i="22"/>
  <c r="G1191" i="22"/>
  <c r="G1194" i="22"/>
  <c r="G1195" i="22"/>
  <c r="G1196" i="22"/>
  <c r="G1197" i="22"/>
  <c r="G1198" i="22"/>
  <c r="G1199" i="22"/>
  <c r="G1200" i="22"/>
  <c r="G1201" i="22"/>
  <c r="G1202" i="22"/>
  <c r="G1203" i="22"/>
  <c r="G1204" i="22"/>
  <c r="G1205" i="22"/>
  <c r="G1206" i="22"/>
  <c r="G1207" i="22"/>
  <c r="G1208" i="22"/>
  <c r="G1210" i="22"/>
  <c r="G1211" i="22"/>
  <c r="G1213" i="22"/>
  <c r="G1214" i="22"/>
  <c r="G1215" i="22"/>
  <c r="G1216" i="22"/>
  <c r="G1217" i="22"/>
  <c r="G1218" i="22"/>
  <c r="G1219" i="22"/>
  <c r="G1220" i="22"/>
  <c r="G1615" i="22"/>
  <c r="G1616" i="22"/>
  <c r="G1617" i="22"/>
  <c r="G1618" i="22"/>
  <c r="G1619" i="22"/>
  <c r="G1620" i="22"/>
  <c r="G1621" i="22"/>
  <c r="G1622" i="22"/>
  <c r="G1623" i="22"/>
  <c r="G1624" i="22"/>
  <c r="G1625" i="22"/>
  <c r="G1627" i="22"/>
  <c r="G1628" i="22"/>
  <c r="G1630" i="22"/>
  <c r="G1631" i="22"/>
  <c r="G1632" i="22"/>
  <c r="G1633" i="22"/>
  <c r="G1634" i="22"/>
  <c r="G1635" i="22"/>
  <c r="G1636" i="22"/>
  <c r="G1637" i="22"/>
  <c r="G1639" i="22"/>
  <c r="G1640" i="22"/>
  <c r="G1641" i="22"/>
  <c r="G1642" i="22"/>
  <c r="G1643" i="22"/>
  <c r="G1644" i="22"/>
  <c r="G1646" i="22"/>
  <c r="G1647" i="22"/>
  <c r="G1648" i="22"/>
  <c r="G1649" i="22"/>
  <c r="G1650" i="22"/>
  <c r="G1651" i="22"/>
  <c r="G1652" i="22"/>
  <c r="G1653" i="22"/>
  <c r="G1654" i="22"/>
  <c r="G1655" i="22"/>
  <c r="G1656" i="22"/>
  <c r="G1658" i="22"/>
  <c r="G1659" i="22"/>
  <c r="G1660" i="22"/>
  <c r="G1661" i="22"/>
  <c r="G1662" i="22"/>
  <c r="G1663" i="22"/>
  <c r="G1664" i="22"/>
  <c r="G1665" i="22"/>
  <c r="G1666" i="22"/>
  <c r="G1667" i="22"/>
  <c r="G1668" i="22"/>
  <c r="G1669" i="22"/>
  <c r="G1670" i="22"/>
  <c r="G1671" i="22"/>
  <c r="G1672" i="22"/>
  <c r="G1673" i="22"/>
  <c r="G1674" i="22"/>
  <c r="G1675" i="22"/>
  <c r="G1676" i="22"/>
  <c r="G1677" i="22"/>
  <c r="G1678" i="22"/>
  <c r="G1679" i="22"/>
  <c r="G1680" i="22"/>
  <c r="G1682" i="22"/>
  <c r="G1683" i="22"/>
  <c r="G1684" i="22"/>
  <c r="G1686" i="22"/>
  <c r="G1687" i="22"/>
  <c r="G1688" i="22"/>
  <c r="G1689" i="22"/>
  <c r="G1690" i="22"/>
  <c r="G1691" i="22"/>
  <c r="G1692" i="22"/>
  <c r="G1693" i="22"/>
  <c r="G1694" i="22"/>
  <c r="G1695" i="22"/>
  <c r="G1696" i="22"/>
  <c r="G1697" i="22"/>
  <c r="G1698" i="22"/>
  <c r="G1699" i="22"/>
  <c r="G1700" i="22"/>
  <c r="G1701" i="22"/>
  <c r="G1702" i="22"/>
  <c r="G1703" i="22"/>
  <c r="G1704" i="22"/>
  <c r="G1705" i="22"/>
  <c r="G1706" i="22"/>
  <c r="G1707" i="22"/>
  <c r="G1708" i="22"/>
  <c r="G1710" i="22"/>
  <c r="G1711" i="22"/>
  <c r="G1712" i="22"/>
  <c r="G1713" i="22"/>
  <c r="G1714" i="22"/>
  <c r="G1715" i="22"/>
  <c r="G1716" i="22"/>
  <c r="G1717" i="22"/>
  <c r="G1718" i="22"/>
  <c r="G1719" i="22"/>
  <c r="G1720" i="22"/>
  <c r="G1722" i="22"/>
  <c r="G1723" i="22"/>
  <c r="G1724" i="22"/>
  <c r="G1725" i="22"/>
  <c r="G1726" i="22"/>
  <c r="G1727" i="22"/>
  <c r="G1728" i="22"/>
  <c r="G1729" i="22"/>
  <c r="G1731" i="22"/>
  <c r="G1732" i="22"/>
  <c r="G1733" i="22"/>
  <c r="G1734" i="22"/>
  <c r="G1735" i="22"/>
  <c r="G1736" i="22"/>
  <c r="G1738" i="22"/>
  <c r="G1739" i="22"/>
  <c r="G1740" i="22"/>
  <c r="G1741" i="22"/>
  <c r="G1742" i="22"/>
  <c r="G1743" i="22"/>
  <c r="G1744" i="22"/>
  <c r="G1748" i="22"/>
  <c r="G1749" i="22"/>
  <c r="G1750" i="22"/>
  <c r="G1751" i="22"/>
  <c r="G1752" i="22"/>
  <c r="G1753" i="22"/>
  <c r="G1754" i="22"/>
  <c r="G1755" i="22"/>
  <c r="G1756" i="22"/>
  <c r="G1757" i="22"/>
  <c r="G1760" i="22"/>
  <c r="G1762" i="22"/>
  <c r="G1763" i="22"/>
  <c r="G1764" i="22"/>
  <c r="G1766" i="22"/>
  <c r="G1767" i="22"/>
  <c r="G1768" i="22"/>
  <c r="G1769" i="22"/>
  <c r="G1771" i="22"/>
  <c r="G1772" i="22"/>
  <c r="G1775" i="22"/>
  <c r="G1776" i="22"/>
  <c r="G1777" i="22"/>
  <c r="G1779" i="22"/>
  <c r="G1780" i="22"/>
  <c r="G1781" i="22"/>
  <c r="G1782" i="22"/>
  <c r="G1783" i="22"/>
  <c r="G1784" i="22"/>
  <c r="G1785" i="22"/>
  <c r="G1787" i="22"/>
  <c r="G1788" i="22"/>
  <c r="G1789" i="22"/>
  <c r="G1790" i="22"/>
  <c r="G1791" i="22"/>
  <c r="G1792" i="22"/>
  <c r="G1793" i="22"/>
  <c r="G1794" i="22"/>
  <c r="G1795" i="22"/>
  <c r="G1796" i="22"/>
  <c r="G1797" i="22"/>
  <c r="G1798" i="22"/>
  <c r="G1799" i="22"/>
  <c r="G1800" i="22"/>
  <c r="G1801" i="22"/>
  <c r="G1802" i="22"/>
  <c r="G1804" i="22"/>
  <c r="G1805" i="22"/>
  <c r="G1806" i="22"/>
  <c r="G1807" i="22"/>
  <c r="G1808" i="22"/>
  <c r="G1809" i="22"/>
  <c r="G1810" i="22"/>
  <c r="G1812" i="22"/>
  <c r="G1813" i="22"/>
  <c r="G1814" i="22"/>
  <c r="G1815" i="22"/>
  <c r="G1817" i="22"/>
  <c r="G1818" i="22"/>
  <c r="G1819" i="22"/>
  <c r="G1820" i="22"/>
  <c r="G1821" i="22"/>
  <c r="G1822" i="22"/>
  <c r="G1824" i="22"/>
  <c r="G1825" i="22"/>
  <c r="G1826" i="22"/>
  <c r="G1827" i="22"/>
  <c r="G1828" i="22"/>
  <c r="G1829" i="22"/>
  <c r="G1830" i="22"/>
  <c r="G1832" i="22"/>
  <c r="G1833" i="22"/>
  <c r="G1834" i="22"/>
  <c r="G1835" i="22"/>
  <c r="G1836" i="22"/>
  <c r="G1837" i="22"/>
  <c r="G1838" i="22"/>
  <c r="G1839" i="22"/>
  <c r="G1840" i="22"/>
  <c r="G1841" i="22"/>
  <c r="G1842" i="22"/>
  <c r="G1844" i="22"/>
  <c r="G1845" i="22"/>
  <c r="G1846" i="22"/>
  <c r="G1847" i="22"/>
  <c r="G1848" i="22"/>
  <c r="G1849" i="22"/>
  <c r="G1851" i="22"/>
  <c r="G1852" i="22"/>
  <c r="G1853" i="22"/>
  <c r="G1854" i="22"/>
  <c r="G1855" i="22"/>
  <c r="G1856" i="22"/>
  <c r="G1857" i="22"/>
  <c r="G1858" i="22"/>
  <c r="G1859" i="22"/>
  <c r="G1860" i="22"/>
  <c r="G1861" i="22"/>
  <c r="G1862" i="22"/>
  <c r="G1863" i="22"/>
  <c r="G1864" i="22"/>
  <c r="G1865" i="22"/>
  <c r="G1867" i="22"/>
  <c r="G1868" i="22"/>
  <c r="G1869" i="22"/>
  <c r="G1870" i="22"/>
  <c r="G1871" i="22"/>
  <c r="G1872" i="22"/>
  <c r="G1873" i="22"/>
  <c r="G1874" i="22"/>
  <c r="G1875" i="22"/>
  <c r="G1876" i="22"/>
  <c r="G1877" i="22"/>
  <c r="G1878" i="22"/>
  <c r="G1879" i="22"/>
  <c r="G1880" i="22"/>
  <c r="G1881" i="22"/>
  <c r="G1882" i="22"/>
  <c r="G1883" i="22"/>
  <c r="G1884" i="22"/>
  <c r="G1885" i="22"/>
  <c r="G1886" i="22"/>
  <c r="G1887" i="22"/>
  <c r="G1888" i="22"/>
  <c r="G1889" i="22"/>
  <c r="G1891" i="22"/>
  <c r="G1892" i="22"/>
  <c r="G1893" i="22"/>
  <c r="G1894" i="22"/>
  <c r="G1895" i="22"/>
  <c r="G1896" i="22"/>
  <c r="G1897" i="22"/>
  <c r="G1899" i="22"/>
  <c r="G1900" i="22"/>
  <c r="G1901" i="22"/>
  <c r="G1902" i="22"/>
  <c r="G1903" i="22"/>
  <c r="G1904" i="22"/>
  <c r="G1905" i="22"/>
  <c r="G1906" i="22"/>
  <c r="G1907" i="22"/>
  <c r="G1908" i="22"/>
  <c r="G1909" i="22"/>
  <c r="G1910" i="22"/>
  <c r="G1911" i="22"/>
  <c r="G1912" i="22"/>
  <c r="G1913" i="22"/>
  <c r="G1914" i="22"/>
  <c r="G1915" i="22"/>
  <c r="G1916" i="22"/>
  <c r="G1917" i="22"/>
  <c r="G1918" i="22"/>
  <c r="G1919" i="22"/>
  <c r="G1920" i="22"/>
  <c r="G1921" i="22"/>
  <c r="G1923" i="22"/>
  <c r="G1924" i="22"/>
  <c r="G1925" i="22"/>
  <c r="G1926" i="22"/>
  <c r="G1927" i="22"/>
  <c r="G1928" i="22"/>
  <c r="G1929" i="22"/>
  <c r="G1931" i="22"/>
  <c r="G1932" i="22"/>
  <c r="G1933" i="22"/>
  <c r="G1934" i="22"/>
  <c r="G1935" i="22"/>
  <c r="G1936" i="22"/>
  <c r="G1937" i="22"/>
  <c r="G1938" i="22"/>
  <c r="G1939" i="22"/>
  <c r="G1940" i="22"/>
  <c r="G1941" i="22"/>
  <c r="G1958" i="22"/>
  <c r="G1959" i="22"/>
  <c r="G1960" i="22"/>
  <c r="G1961" i="22"/>
  <c r="G1962" i="22"/>
  <c r="G1963" i="22"/>
  <c r="G1964" i="22"/>
  <c r="G1965" i="22"/>
  <c r="G1966" i="22"/>
  <c r="G1967" i="22"/>
  <c r="G1968" i="22"/>
  <c r="G1969" i="22"/>
  <c r="G1972" i="22"/>
  <c r="G1973" i="22"/>
  <c r="G1974" i="22"/>
  <c r="G1975" i="22"/>
  <c r="G1976" i="22"/>
  <c r="G1977" i="22"/>
  <c r="G1978" i="22"/>
  <c r="G1979" i="22"/>
  <c r="G2290" i="22"/>
  <c r="G2291" i="22"/>
  <c r="G2292" i="22"/>
  <c r="G2294" i="22"/>
  <c r="G2295" i="22"/>
  <c r="G2296" i="22"/>
  <c r="G2297" i="22"/>
  <c r="G2298" i="22"/>
  <c r="G2299" i="22"/>
  <c r="G2300" i="22"/>
  <c r="G2302" i="22"/>
  <c r="G2303" i="22"/>
  <c r="G2304" i="22"/>
  <c r="G2305" i="22"/>
  <c r="G2306" i="22"/>
  <c r="G2307" i="22"/>
  <c r="G2308" i="22"/>
  <c r="G2309" i="22"/>
  <c r="G2310" i="22"/>
  <c r="G2311" i="22"/>
  <c r="G2312" i="22"/>
  <c r="G2313" i="22"/>
  <c r="G2314" i="22"/>
  <c r="G2315" i="22"/>
  <c r="G2316" i="22"/>
  <c r="G2317" i="22"/>
  <c r="G2318" i="22"/>
  <c r="G2319" i="22"/>
  <c r="G2320" i="22"/>
  <c r="G2321" i="22"/>
  <c r="G2322" i="22"/>
  <c r="G2323" i="22"/>
  <c r="G2324" i="22"/>
  <c r="G2325" i="22"/>
  <c r="G2326" i="22"/>
  <c r="G2327" i="22"/>
  <c r="G2328" i="22"/>
  <c r="G2329" i="22"/>
  <c r="G2330" i="22"/>
  <c r="G2331" i="22"/>
  <c r="G2332" i="22"/>
  <c r="G2333" i="22"/>
  <c r="G2334" i="22"/>
  <c r="G2335" i="22"/>
  <c r="G2336" i="22"/>
  <c r="G2337" i="22"/>
  <c r="G2338" i="22"/>
  <c r="G2339" i="22"/>
  <c r="G2340" i="22"/>
  <c r="G2341" i="22"/>
  <c r="G2342" i="22"/>
  <c r="G2343" i="22"/>
  <c r="G2344" i="22"/>
  <c r="G2345" i="22"/>
  <c r="G2346" i="22"/>
  <c r="G2347" i="22"/>
  <c r="G2348" i="22"/>
  <c r="G2349" i="22"/>
  <c r="G2350" i="22"/>
  <c r="G2351" i="22"/>
  <c r="G2352" i="22"/>
  <c r="G2354" i="22"/>
  <c r="G2355" i="22"/>
  <c r="G2356" i="22"/>
  <c r="G2357" i="22"/>
  <c r="G2358" i="22"/>
  <c r="G2359" i="22"/>
  <c r="G2360" i="22"/>
  <c r="G2361" i="22"/>
  <c r="G2362" i="22"/>
  <c r="G2363" i="22"/>
  <c r="G2364" i="22"/>
  <c r="G2365" i="22"/>
  <c r="G2366" i="22"/>
  <c r="G2367" i="22"/>
  <c r="G2368" i="22"/>
  <c r="G2369" i="22"/>
  <c r="G2370" i="22"/>
  <c r="G2371" i="22"/>
  <c r="G2372" i="22"/>
  <c r="G2373" i="22"/>
  <c r="G2374" i="22"/>
  <c r="G2375" i="22"/>
  <c r="G2376" i="22"/>
  <c r="G2377" i="22"/>
  <c r="G2378" i="22"/>
  <c r="G2379" i="22"/>
  <c r="G2380" i="22"/>
  <c r="G2381" i="22"/>
  <c r="G2382" i="22"/>
  <c r="G2383" i="22"/>
  <c r="G2384" i="22"/>
  <c r="G2386" i="22"/>
  <c r="G2387" i="22"/>
  <c r="G2388" i="22"/>
  <c r="G2389" i="22"/>
  <c r="G2390" i="22"/>
  <c r="G2391" i="22"/>
  <c r="G2392" i="22"/>
  <c r="G2393" i="22"/>
  <c r="G2394" i="22"/>
  <c r="G2395" i="22"/>
  <c r="G2396" i="22"/>
  <c r="G2397" i="22"/>
  <c r="G2398" i="22"/>
  <c r="G2399" i="22"/>
  <c r="G2400" i="22"/>
  <c r="G2401" i="22"/>
  <c r="G2402" i="22"/>
  <c r="G2403" i="22"/>
  <c r="G2404" i="22"/>
  <c r="G2405" i="22"/>
  <c r="G2406" i="22"/>
  <c r="G2407" i="22"/>
  <c r="G2408" i="22"/>
  <c r="G2409" i="22"/>
  <c r="G2410" i="22"/>
  <c r="G2411" i="22"/>
  <c r="G2412" i="22"/>
  <c r="G2413" i="22"/>
  <c r="G2414" i="22"/>
  <c r="G2415" i="22"/>
  <c r="G2416" i="22"/>
  <c r="G2417" i="22"/>
  <c r="G2418" i="22"/>
  <c r="G2419" i="22"/>
  <c r="G2420" i="22"/>
  <c r="G2421" i="22"/>
  <c r="G2422" i="22"/>
  <c r="G2423" i="22"/>
  <c r="G2424" i="22"/>
  <c r="G2425" i="22"/>
  <c r="G2426" i="22"/>
  <c r="G2427" i="22"/>
  <c r="G2428" i="22"/>
  <c r="G2429" i="22"/>
  <c r="G2430" i="22"/>
  <c r="G2431" i="22"/>
  <c r="G2432" i="22"/>
  <c r="G2433" i="22"/>
  <c r="G2434" i="22"/>
  <c r="G2435" i="22"/>
  <c r="G2436" i="22"/>
  <c r="G2437" i="22"/>
  <c r="G2438" i="22"/>
  <c r="G2439" i="22"/>
  <c r="G2440" i="22"/>
  <c r="G2441" i="22"/>
  <c r="G2442" i="22"/>
  <c r="G2443" i="22"/>
  <c r="G2444" i="22"/>
  <c r="G2445" i="22"/>
  <c r="G2446" i="22"/>
  <c r="G2447" i="22"/>
  <c r="G2448" i="22"/>
  <c r="G2449" i="22"/>
  <c r="G2450" i="22"/>
  <c r="G2451" i="22"/>
  <c r="G2452" i="22"/>
  <c r="G2453" i="22"/>
  <c r="G2454" i="22"/>
  <c r="G2455" i="22"/>
  <c r="G2456" i="22"/>
  <c r="G2457" i="22"/>
  <c r="G2458" i="22"/>
  <c r="G2459" i="22"/>
  <c r="G2460" i="22"/>
  <c r="G2464" i="22"/>
  <c r="G2465" i="22"/>
  <c r="G2466" i="22"/>
  <c r="G2467" i="22"/>
  <c r="G2468" i="22"/>
  <c r="G2469" i="22"/>
  <c r="G2470" i="22"/>
  <c r="G2471" i="22"/>
  <c r="G2472" i="22"/>
  <c r="G2473" i="22"/>
  <c r="G2474" i="22"/>
  <c r="G2475" i="22"/>
  <c r="G2476" i="22"/>
  <c r="G2477" i="22"/>
  <c r="G2478" i="22"/>
  <c r="G2479" i="22"/>
  <c r="G2480" i="22"/>
  <c r="G2481" i="22"/>
  <c r="G2482" i="22"/>
  <c r="G2483" i="22"/>
  <c r="G2485" i="22"/>
  <c r="G2486" i="22"/>
  <c r="G2487" i="22"/>
  <c r="G2488" i="22"/>
  <c r="G2491" i="22"/>
  <c r="G2492" i="22"/>
  <c r="G2493" i="22"/>
  <c r="G2494" i="22"/>
  <c r="G2495" i="22"/>
  <c r="G2496" i="22"/>
  <c r="G2497" i="22"/>
  <c r="G2498" i="22"/>
  <c r="G2499" i="22"/>
  <c r="G2500" i="22"/>
  <c r="G2502" i="22"/>
  <c r="G2503" i="22"/>
  <c r="G2504" i="22"/>
  <c r="G2505" i="22"/>
  <c r="G2506" i="22"/>
  <c r="G2507" i="22"/>
  <c r="G2508" i="22"/>
  <c r="G2511" i="22"/>
  <c r="G2512" i="22"/>
  <c r="G2513" i="22"/>
  <c r="G2514" i="22"/>
  <c r="G2515" i="22"/>
  <c r="G2516" i="22"/>
  <c r="G2517" i="22"/>
  <c r="G2518" i="22"/>
  <c r="G2519" i="22"/>
  <c r="G2522" i="22"/>
  <c r="G2523" i="22"/>
  <c r="G2524" i="22"/>
  <c r="G2525" i="22"/>
  <c r="G2526" i="22"/>
  <c r="G2527" i="22"/>
  <c r="G2528" i="22"/>
  <c r="G2530" i="22"/>
  <c r="G2531" i="22"/>
  <c r="G2532" i="22"/>
  <c r="G2533" i="22"/>
  <c r="G2534" i="22"/>
  <c r="G2535" i="22"/>
  <c r="G2536" i="22"/>
  <c r="G2539" i="22"/>
  <c r="G2540" i="22"/>
  <c r="G2541" i="22"/>
  <c r="G2542" i="22"/>
  <c r="G2543" i="22"/>
  <c r="G2544" i="22"/>
  <c r="G2545" i="22"/>
  <c r="G2546" i="22"/>
  <c r="G2547" i="22"/>
  <c r="G2548" i="22"/>
  <c r="G2550" i="22"/>
  <c r="G2551" i="22"/>
  <c r="G2552" i="22"/>
  <c r="G2553" i="22"/>
  <c r="G2554" i="22"/>
  <c r="G2555" i="22"/>
  <c r="G2556" i="22"/>
  <c r="G2557" i="22"/>
  <c r="G2558" i="22"/>
  <c r="G2559" i="22"/>
  <c r="G2560" i="22"/>
  <c r="G2561" i="22"/>
  <c r="G2562" i="22"/>
  <c r="G2563" i="22"/>
  <c r="G2564" i="22"/>
  <c r="G2565" i="22"/>
  <c r="G2566" i="22"/>
  <c r="G2567" i="22"/>
  <c r="G2568" i="22"/>
  <c r="G2569" i="22"/>
  <c r="G2578" i="22"/>
  <c r="G2579" i="22"/>
  <c r="G2580" i="22"/>
  <c r="G2581" i="22"/>
  <c r="G2582" i="22"/>
  <c r="G2583" i="22"/>
  <c r="G2584" i="22"/>
  <c r="G2585" i="22"/>
  <c r="G2586" i="22"/>
  <c r="G2587" i="22"/>
  <c r="G2588" i="22"/>
  <c r="G2589" i="22"/>
  <c r="G2590" i="22"/>
  <c r="G2591" i="22"/>
  <c r="G2592" i="22"/>
  <c r="G2593" i="22"/>
  <c r="G2594" i="22"/>
  <c r="G2595" i="22"/>
  <c r="G2596" i="22"/>
  <c r="G2597" i="22"/>
  <c r="G2598" i="22"/>
  <c r="G2599" i="22"/>
  <c r="G2600" i="22"/>
  <c r="G2601" i="22"/>
  <c r="G2602" i="22"/>
  <c r="G2605" i="22"/>
  <c r="G2606" i="22"/>
  <c r="G2607" i="22"/>
  <c r="G2608" i="22"/>
  <c r="G2609" i="22"/>
  <c r="G2610" i="22"/>
  <c r="G2611" i="22"/>
  <c r="G2612" i="22"/>
  <c r="G2613" i="22"/>
  <c r="G2614" i="22"/>
  <c r="G2616" i="22"/>
  <c r="G2617" i="22"/>
  <c r="G2618" i="22"/>
  <c r="G2619" i="22"/>
  <c r="G2620" i="22"/>
  <c r="G2621" i="22"/>
  <c r="G2622" i="22"/>
  <c r="G2625" i="22"/>
  <c r="G2626" i="22"/>
  <c r="G2627" i="22"/>
  <c r="G2628" i="22"/>
  <c r="G2629" i="22"/>
  <c r="G2630" i="22"/>
  <c r="G2631" i="22"/>
  <c r="G2632" i="22"/>
  <c r="G2633" i="22"/>
  <c r="G2634" i="22"/>
  <c r="G2635" i="22"/>
  <c r="G2636" i="22"/>
  <c r="G2637" i="22"/>
  <c r="G2638" i="22"/>
  <c r="G2639" i="22"/>
  <c r="G2640" i="22"/>
  <c r="G2641" i="22"/>
  <c r="G2642" i="22"/>
  <c r="G2643" i="22"/>
  <c r="G2644" i="22"/>
  <c r="G2645" i="22"/>
  <c r="G2646" i="22"/>
  <c r="G2647" i="22"/>
  <c r="G2648" i="22"/>
  <c r="G2649" i="22"/>
  <c r="G2650" i="22"/>
  <c r="G2651" i="22"/>
  <c r="G2652" i="22"/>
  <c r="G2653" i="22"/>
  <c r="G2654" i="22"/>
  <c r="G2655" i="22"/>
  <c r="G2656" i="22"/>
  <c r="G2657" i="22"/>
  <c r="G2662" i="22"/>
  <c r="G2663" i="22"/>
  <c r="G2664" i="22"/>
  <c r="G2665" i="22"/>
  <c r="G2668" i="22"/>
  <c r="G2669" i="22"/>
  <c r="G2670" i="22"/>
  <c r="G2671" i="22"/>
  <c r="G2672" i="22"/>
  <c r="G2673" i="22"/>
  <c r="G2674" i="22"/>
  <c r="G2675" i="22"/>
  <c r="G2676" i="22"/>
  <c r="G2677" i="22"/>
  <c r="G2678" i="22"/>
  <c r="G2679" i="22"/>
  <c r="G2680" i="22"/>
  <c r="G2681" i="22"/>
  <c r="G2682" i="22"/>
  <c r="G2683" i="22"/>
  <c r="G2684" i="22"/>
  <c r="G2685" i="22"/>
  <c r="G2686" i="22"/>
  <c r="G2687" i="22"/>
  <c r="G2688" i="22"/>
  <c r="G2689" i="22"/>
  <c r="G2690" i="22"/>
  <c r="G2691" i="22"/>
  <c r="G2692" i="22"/>
  <c r="G2693" i="22"/>
  <c r="G2694" i="22"/>
  <c r="G2695" i="22"/>
  <c r="G6" i="22"/>
  <c r="G7" i="22"/>
  <c r="G10" i="22"/>
  <c r="G11" i="22"/>
  <c r="G14" i="22"/>
  <c r="G15" i="22"/>
  <c r="G22" i="22"/>
  <c r="G23" i="22"/>
  <c r="G26" i="22"/>
  <c r="G27" i="22"/>
  <c r="G38" i="22"/>
  <c r="G39" i="22"/>
  <c r="G42" i="22"/>
  <c r="G43" i="22"/>
  <c r="G46" i="22"/>
  <c r="G47" i="22"/>
  <c r="G78" i="22"/>
  <c r="G79" i="22"/>
  <c r="G82" i="22"/>
  <c r="G83" i="22"/>
  <c r="G86" i="22"/>
  <c r="G87" i="22"/>
  <c r="G90" i="22"/>
  <c r="G91" i="22"/>
  <c r="G94" i="22"/>
  <c r="G95" i="22"/>
  <c r="G118" i="22"/>
  <c r="G119" i="22"/>
  <c r="G122" i="22"/>
  <c r="G123" i="22"/>
  <c r="G126" i="22"/>
  <c r="G127" i="22"/>
  <c r="G130" i="22"/>
  <c r="G131" i="22"/>
  <c r="G134" i="22"/>
  <c r="G135" i="22"/>
  <c r="G138" i="22"/>
  <c r="G139" i="22"/>
  <c r="G142" i="22"/>
  <c r="G143" i="22"/>
  <c r="G146" i="22"/>
  <c r="G147" i="22"/>
  <c r="G150" i="22"/>
  <c r="G151" i="22"/>
  <c r="G154" i="22"/>
  <c r="G155" i="22"/>
  <c r="G158" i="22"/>
  <c r="G159" i="22"/>
  <c r="G162" i="22"/>
  <c r="G163" i="22"/>
  <c r="G166" i="22"/>
  <c r="G167" i="22"/>
  <c r="G170" i="22"/>
  <c r="G171" i="22"/>
  <c r="G174" i="22"/>
  <c r="G175" i="22"/>
  <c r="G178" i="22"/>
  <c r="G179" i="22"/>
  <c r="G182" i="22"/>
  <c r="G183" i="22"/>
  <c r="G186" i="22"/>
  <c r="G187" i="22"/>
  <c r="G190" i="22"/>
  <c r="G191" i="22"/>
  <c r="G194" i="22"/>
  <c r="G195" i="22"/>
  <c r="G198" i="22"/>
  <c r="G199" i="22"/>
  <c r="G202" i="22"/>
  <c r="G203" i="22"/>
  <c r="G206" i="22"/>
  <c r="G207" i="22"/>
  <c r="G210" i="22"/>
  <c r="G211" i="22"/>
  <c r="G214" i="22"/>
  <c r="G215" i="22"/>
  <c r="G218" i="22"/>
  <c r="G219" i="22"/>
  <c r="G222" i="22"/>
  <c r="G223" i="22"/>
  <c r="G226" i="22"/>
  <c r="G227" i="22"/>
  <c r="G230" i="22"/>
  <c r="G231" i="22"/>
  <c r="G240" i="22"/>
  <c r="G241" i="22"/>
  <c r="G244" i="22"/>
  <c r="G249" i="22"/>
  <c r="G450" i="22"/>
  <c r="G451" i="22"/>
  <c r="G462" i="22"/>
  <c r="G467" i="22"/>
  <c r="G474" i="22"/>
  <c r="G475" i="22"/>
  <c r="G486" i="22"/>
  <c r="G508" i="22"/>
  <c r="G509" i="22"/>
  <c r="G520" i="22"/>
  <c r="G530" i="22"/>
  <c r="G534" i="22"/>
  <c r="G550" i="22"/>
  <c r="G558" i="22"/>
  <c r="G561" i="22"/>
  <c r="G566" i="22"/>
  <c r="G573" i="22"/>
  <c r="G582" i="22"/>
  <c r="G585" i="22"/>
  <c r="G590" i="22"/>
  <c r="G593" i="22"/>
  <c r="G597" i="22"/>
  <c r="G598" i="22"/>
  <c r="G605" i="22"/>
  <c r="G609" i="22"/>
  <c r="G614" i="22"/>
  <c r="G617" i="22"/>
  <c r="G621" i="22"/>
  <c r="G622" i="22"/>
  <c r="G629" i="22"/>
  <c r="G633" i="22"/>
  <c r="G645" i="22"/>
  <c r="G646" i="22"/>
  <c r="G657" i="22"/>
  <c r="G661" i="22"/>
  <c r="G662" i="22"/>
  <c r="G669" i="22"/>
  <c r="G673" i="22"/>
  <c r="G685" i="22"/>
  <c r="G686" i="22"/>
  <c r="G694" i="22"/>
  <c r="G697" i="22"/>
  <c r="G709" i="22"/>
  <c r="G710" i="22"/>
  <c r="G718" i="22"/>
  <c r="G721" i="22"/>
  <c r="G807" i="22"/>
  <c r="G813" i="22"/>
  <c r="G831" i="22"/>
  <c r="G837" i="22"/>
  <c r="G848" i="22"/>
  <c r="G860" i="22"/>
  <c r="G867" i="22"/>
  <c r="G900" i="22"/>
  <c r="G904" i="22"/>
  <c r="G905" i="22"/>
  <c r="G912" i="22"/>
  <c r="G916" i="22"/>
  <c r="G921" i="22"/>
  <c r="G924" i="22"/>
  <c r="G928" i="22"/>
  <c r="G1173" i="22"/>
  <c r="G1176" i="22"/>
  <c r="G1192" i="22"/>
  <c r="G1193" i="22"/>
  <c r="G1209" i="22"/>
  <c r="G1212" i="22"/>
  <c r="G1221" i="22"/>
  <c r="G1626" i="22"/>
  <c r="G1629" i="22"/>
  <c r="G1638" i="22"/>
  <c r="G1645" i="22"/>
  <c r="G1657" i="22"/>
  <c r="G1681" i="22"/>
  <c r="G1685" i="22"/>
  <c r="G1709" i="22"/>
  <c r="G1721" i="22"/>
  <c r="G1730" i="22"/>
  <c r="G1737" i="22"/>
  <c r="G1745" i="22"/>
  <c r="G1761" i="22"/>
  <c r="G1765" i="22"/>
  <c r="G1773" i="22"/>
  <c r="G1774" i="22"/>
  <c r="G1803" i="22"/>
  <c r="G1811" i="22"/>
  <c r="G1816" i="22"/>
  <c r="G1823" i="22"/>
  <c r="G1831" i="22"/>
  <c r="G1843" i="22"/>
  <c r="G1850" i="22"/>
  <c r="G1866" i="22"/>
  <c r="G1890" i="22"/>
  <c r="G1898" i="22"/>
  <c r="G1922" i="22"/>
  <c r="G1930" i="22"/>
  <c r="G2293" i="22"/>
  <c r="G2301" i="22"/>
  <c r="G2353" i="22"/>
  <c r="G2385" i="22"/>
  <c r="G2484" i="22"/>
  <c r="G1043" i="22" l="1"/>
  <c r="G1044" i="22"/>
  <c r="G1045" i="22"/>
  <c r="G1042" i="22"/>
  <c r="G1039" i="22"/>
  <c r="G1040" i="22"/>
  <c r="G1041" i="22"/>
  <c r="G1038" i="22"/>
  <c r="G1031" i="22"/>
  <c r="G1032" i="22"/>
  <c r="G1033" i="22"/>
  <c r="G1034" i="22"/>
  <c r="G1035" i="22"/>
  <c r="G1036" i="22"/>
  <c r="G1037" i="22"/>
  <c r="G1030" i="22"/>
  <c r="G1027" i="22"/>
  <c r="G1028" i="22"/>
  <c r="G1029" i="22"/>
  <c r="G1026" i="22"/>
  <c r="G1019" i="22"/>
  <c r="G1020" i="22"/>
  <c r="G1021" i="22"/>
  <c r="G1022" i="22"/>
  <c r="G1023" i="22"/>
  <c r="G1024" i="22"/>
  <c r="G1025" i="22"/>
  <c r="G1018" i="22"/>
  <c r="G1017" i="22"/>
  <c r="G1016" i="22"/>
  <c r="G1015" i="22"/>
  <c r="G1014" i="22"/>
  <c r="G989" i="22"/>
  <c r="G990" i="22"/>
  <c r="G991" i="22"/>
  <c r="G992" i="22"/>
  <c r="G993" i="22"/>
  <c r="G994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G1009" i="22"/>
  <c r="G1010" i="22"/>
  <c r="G1011" i="22"/>
  <c r="G1012" i="22"/>
  <c r="G1013" i="22"/>
  <c r="G988" i="22"/>
  <c r="G979" i="22"/>
  <c r="G980" i="22"/>
  <c r="G981" i="22"/>
  <c r="G982" i="22"/>
  <c r="G983" i="22"/>
  <c r="G984" i="22"/>
  <c r="G985" i="22"/>
  <c r="G986" i="22"/>
  <c r="G987" i="22"/>
  <c r="G978" i="22"/>
  <c r="G977" i="22"/>
  <c r="G976" i="22"/>
  <c r="G975" i="22"/>
  <c r="G967" i="22"/>
  <c r="G968" i="22"/>
  <c r="G969" i="22"/>
  <c r="G970" i="22"/>
  <c r="G971" i="22"/>
  <c r="G972" i="22"/>
  <c r="G973" i="22"/>
  <c r="G974" i="22"/>
  <c r="G953" i="22"/>
  <c r="G954" i="22"/>
  <c r="G955" i="22"/>
  <c r="G956" i="22"/>
  <c r="G957" i="22"/>
  <c r="G958" i="22"/>
  <c r="G959" i="22"/>
  <c r="G960" i="22"/>
  <c r="G961" i="22"/>
  <c r="G962" i="22"/>
  <c r="G963" i="22"/>
  <c r="G964" i="22"/>
  <c r="G965" i="22"/>
  <c r="G966" i="22"/>
  <c r="G952" i="22"/>
  <c r="G951" i="22"/>
  <c r="G943" i="22"/>
  <c r="G944" i="22"/>
  <c r="G945" i="22"/>
  <c r="G946" i="22"/>
  <c r="G947" i="22"/>
  <c r="G948" i="22"/>
  <c r="G949" i="22"/>
  <c r="G950" i="22"/>
  <c r="G942" i="22"/>
  <c r="G934" i="22"/>
  <c r="G935" i="22"/>
  <c r="G936" i="22"/>
  <c r="G937" i="22"/>
  <c r="G938" i="22"/>
  <c r="G939" i="22"/>
  <c r="G940" i="22"/>
  <c r="G941" i="22"/>
  <c r="G799" i="22" l="1"/>
  <c r="G800" i="22"/>
  <c r="G801" i="22"/>
  <c r="G798" i="22"/>
  <c r="G795" i="22"/>
  <c r="G796" i="22"/>
  <c r="G797" i="22"/>
  <c r="G794" i="22"/>
  <c r="G791" i="22"/>
  <c r="G792" i="22"/>
  <c r="G793" i="22"/>
  <c r="G790" i="22"/>
  <c r="G787" i="22"/>
  <c r="G788" i="22"/>
  <c r="G789" i="22"/>
  <c r="G786" i="22"/>
  <c r="G783" i="22"/>
  <c r="G784" i="22"/>
  <c r="G785" i="22"/>
  <c r="G782" i="22"/>
  <c r="G779" i="22"/>
  <c r="G780" i="22"/>
  <c r="G781" i="22"/>
  <c r="G778" i="22"/>
  <c r="G777" i="22"/>
  <c r="G776" i="22"/>
  <c r="G775" i="22"/>
  <c r="G774" i="22"/>
  <c r="G771" i="22" l="1"/>
  <c r="G772" i="22"/>
  <c r="G773" i="22"/>
  <c r="G770" i="22"/>
  <c r="G767" i="22"/>
  <c r="G768" i="22"/>
  <c r="G769" i="22"/>
  <c r="G766" i="22"/>
  <c r="G763" i="22"/>
  <c r="G764" i="22"/>
  <c r="G765" i="22"/>
  <c r="G762" i="22"/>
  <c r="G759" i="22" l="1"/>
  <c r="G760" i="22"/>
  <c r="G761" i="22"/>
  <c r="G758" i="22"/>
  <c r="G755" i="22" l="1"/>
  <c r="G756" i="22"/>
  <c r="G757" i="22"/>
  <c r="G754" i="22"/>
  <c r="G803" i="22"/>
  <c r="G804" i="22"/>
  <c r="G805" i="22"/>
  <c r="G802" i="22"/>
  <c r="G751" i="22"/>
  <c r="G752" i="22"/>
  <c r="G753" i="22"/>
  <c r="G750" i="22"/>
  <c r="G747" i="22"/>
  <c r="G748" i="22"/>
  <c r="G749" i="22"/>
  <c r="G746" i="22"/>
  <c r="G743" i="22"/>
  <c r="G744" i="22"/>
  <c r="G745" i="22"/>
  <c r="G742" i="22"/>
  <c r="G739" i="22" l="1"/>
  <c r="G740" i="22"/>
  <c r="G741" i="22"/>
  <c r="G738" i="22"/>
  <c r="G735" i="22"/>
  <c r="G736" i="22"/>
  <c r="G737" i="22"/>
  <c r="G734" i="22"/>
  <c r="G731" i="22"/>
  <c r="G732" i="22"/>
  <c r="G733" i="22"/>
  <c r="G730" i="22"/>
  <c r="G729" i="22" l="1"/>
  <c r="G728" i="22"/>
  <c r="G727" i="22"/>
  <c r="G726" i="22"/>
  <c r="G445" i="22"/>
  <c r="G444" i="22"/>
  <c r="G443" i="22"/>
  <c r="G442" i="22"/>
  <c r="G441" i="22"/>
  <c r="G440" i="22"/>
  <c r="G439" i="22"/>
  <c r="G438" i="22"/>
  <c r="G435" i="22"/>
  <c r="G436" i="22"/>
  <c r="G437" i="22"/>
  <c r="G434" i="22"/>
  <c r="G431" i="22"/>
  <c r="G432" i="22"/>
  <c r="G433" i="22"/>
  <c r="G430" i="22"/>
  <c r="G426" i="22"/>
  <c r="G427" i="22"/>
  <c r="G428" i="22"/>
  <c r="G429" i="22"/>
  <c r="G411" i="22"/>
  <c r="G412" i="22"/>
  <c r="G413" i="22"/>
  <c r="G414" i="22"/>
  <c r="G415" i="22"/>
  <c r="G416" i="22"/>
  <c r="G417" i="22"/>
  <c r="G418" i="22"/>
  <c r="G419" i="22"/>
  <c r="G420" i="22"/>
  <c r="G421" i="22"/>
  <c r="G422" i="22"/>
  <c r="G423" i="22"/>
  <c r="G424" i="22"/>
  <c r="G425" i="22"/>
  <c r="G410" i="22"/>
  <c r="G407" i="22"/>
  <c r="G408" i="22"/>
  <c r="G409" i="22"/>
  <c r="G406" i="22"/>
  <c r="G403" i="22"/>
  <c r="G404" i="22"/>
  <c r="G405" i="22"/>
  <c r="G395" i="22"/>
  <c r="G396" i="22"/>
  <c r="G397" i="22"/>
  <c r="G398" i="22"/>
  <c r="G399" i="22"/>
  <c r="G400" i="22"/>
  <c r="G401" i="22"/>
  <c r="G402" i="22"/>
  <c r="G394" i="22"/>
  <c r="G387" i="22"/>
  <c r="G388" i="22"/>
  <c r="G389" i="22"/>
  <c r="G390" i="22"/>
  <c r="G391" i="22"/>
  <c r="G392" i="22"/>
  <c r="G393" i="22"/>
  <c r="G386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73" i="22"/>
  <c r="G372" i="22"/>
  <c r="G371" i="22"/>
  <c r="G366" i="22"/>
  <c r="G367" i="22"/>
  <c r="G368" i="22"/>
  <c r="G369" i="22"/>
  <c r="G370" i="22"/>
  <c r="G363" i="22"/>
  <c r="G364" i="22"/>
  <c r="G365" i="22"/>
  <c r="G362" i="22"/>
  <c r="G355" i="22" l="1"/>
  <c r="G356" i="22"/>
  <c r="G357" i="22"/>
  <c r="G358" i="22"/>
  <c r="G359" i="22"/>
  <c r="G360" i="22"/>
  <c r="G361" i="22"/>
  <c r="G354" i="22"/>
  <c r="G348" i="22"/>
  <c r="G349" i="22"/>
  <c r="G350" i="22"/>
  <c r="G351" i="22"/>
  <c r="G352" i="22"/>
  <c r="G353" i="22"/>
  <c r="G256" i="22"/>
  <c r="G257" i="22"/>
  <c r="G260" i="22"/>
  <c r="G261" i="22"/>
  <c r="G264" i="22"/>
  <c r="G265" i="22"/>
  <c r="G252" i="22"/>
  <c r="G253" i="22"/>
  <c r="G345" i="22"/>
  <c r="G346" i="22"/>
  <c r="G347" i="22"/>
  <c r="G335" i="22"/>
  <c r="G336" i="22"/>
  <c r="G337" i="22"/>
  <c r="G338" i="22"/>
  <c r="G339" i="22"/>
  <c r="G340" i="22"/>
  <c r="G341" i="22"/>
  <c r="G342" i="22"/>
  <c r="G343" i="22"/>
  <c r="G344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22" i="22"/>
  <c r="G321" i="22"/>
  <c r="G320" i="22"/>
  <c r="G319" i="22"/>
  <c r="G318" i="22"/>
  <c r="G317" i="22"/>
  <c r="G316" i="22"/>
  <c r="G315" i="22"/>
  <c r="G314" i="22"/>
  <c r="G313" i="22"/>
  <c r="G312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296" i="22"/>
  <c r="O402" i="21"/>
  <c r="P402" i="21" s="1"/>
  <c r="O403" i="21"/>
  <c r="P403" i="21" s="1"/>
  <c r="O404" i="21"/>
  <c r="P404" i="21" s="1"/>
  <c r="O405" i="21"/>
  <c r="P405" i="21" s="1"/>
  <c r="O406" i="21"/>
  <c r="P406" i="21" s="1"/>
  <c r="O407" i="21"/>
  <c r="P407" i="21" s="1"/>
  <c r="O408" i="21"/>
  <c r="P408" i="21" s="1"/>
  <c r="O409" i="21"/>
  <c r="P409" i="21" s="1"/>
  <c r="O410" i="21"/>
  <c r="P410" i="21" s="1"/>
  <c r="O443" i="21"/>
  <c r="P443" i="21" s="1"/>
  <c r="O401" i="21"/>
  <c r="P401" i="21" s="1"/>
  <c r="O413" i="21"/>
  <c r="P413" i="21" s="1"/>
  <c r="O137" i="21"/>
  <c r="P137" i="21" s="1"/>
  <c r="O206" i="21"/>
  <c r="P206" i="21" s="1"/>
  <c r="O209" i="21"/>
  <c r="P209" i="21" s="1"/>
  <c r="O210" i="21"/>
  <c r="P210" i="21" s="1"/>
  <c r="O226" i="21"/>
  <c r="P226" i="21" s="1"/>
  <c r="O433" i="21"/>
  <c r="P433" i="21" s="1"/>
  <c r="O434" i="21"/>
  <c r="P434" i="21" s="1"/>
  <c r="O435" i="21"/>
  <c r="P435" i="21" s="1"/>
  <c r="O436" i="21"/>
  <c r="P436" i="21" s="1"/>
  <c r="O437" i="21"/>
  <c r="P437" i="21" s="1"/>
  <c r="O438" i="21"/>
  <c r="P438" i="21" s="1"/>
  <c r="O439" i="21"/>
  <c r="P439" i="21" s="1"/>
  <c r="O440" i="21"/>
  <c r="P440" i="21" s="1"/>
  <c r="O441" i="21"/>
  <c r="P441" i="21" s="1"/>
  <c r="O442" i="21"/>
  <c r="P442" i="21" s="1"/>
  <c r="O444" i="21"/>
  <c r="P444" i="21" s="1"/>
  <c r="O445" i="21"/>
  <c r="P445" i="21" s="1"/>
  <c r="O460" i="21"/>
  <c r="P460" i="21" s="1"/>
  <c r="O461" i="21"/>
  <c r="P461" i="21" s="1"/>
  <c r="O394" i="21"/>
  <c r="P394" i="21" s="1"/>
  <c r="O225" i="21"/>
  <c r="P225" i="21" s="1"/>
  <c r="O395" i="21"/>
  <c r="P395" i="21" s="1"/>
  <c r="O396" i="21"/>
  <c r="P396" i="21" s="1"/>
  <c r="O397" i="21"/>
  <c r="P397" i="21" s="1"/>
  <c r="O398" i="21"/>
  <c r="P398" i="21" s="1"/>
  <c r="O399" i="21"/>
  <c r="P399" i="21" s="1"/>
  <c r="O400" i="21"/>
  <c r="P400" i="21" s="1"/>
  <c r="O411" i="21"/>
  <c r="P411" i="21" s="1"/>
  <c r="O412" i="21"/>
  <c r="P412" i="21" s="1"/>
  <c r="O75" i="21"/>
  <c r="P75" i="21" s="1"/>
  <c r="O76" i="21"/>
  <c r="P76" i="21" s="1"/>
  <c r="O77" i="21"/>
  <c r="P77" i="21" s="1"/>
  <c r="O78" i="21"/>
  <c r="P78" i="21" s="1"/>
  <c r="O85" i="21"/>
  <c r="P85" i="21" s="1"/>
  <c r="O113" i="21"/>
  <c r="P113" i="21" s="1"/>
  <c r="O114" i="21"/>
  <c r="P114" i="21" s="1"/>
  <c r="O151" i="21"/>
  <c r="P151" i="21" s="1"/>
  <c r="O152" i="21"/>
  <c r="P152" i="21" s="1"/>
  <c r="O214" i="21"/>
  <c r="P214" i="21" s="1"/>
  <c r="O215" i="21"/>
  <c r="P215" i="21" s="1"/>
  <c r="O216" i="21"/>
  <c r="P216" i="21" s="1"/>
  <c r="O217" i="21"/>
  <c r="P217" i="21" s="1"/>
  <c r="O218" i="21"/>
  <c r="P218" i="21" s="1"/>
  <c r="O219" i="21"/>
  <c r="P219" i="21" s="1"/>
  <c r="O220" i="21"/>
  <c r="P220" i="21" s="1"/>
  <c r="O221" i="21"/>
  <c r="P221" i="21" s="1"/>
  <c r="O222" i="21"/>
  <c r="P222" i="21" s="1"/>
  <c r="O421" i="21"/>
  <c r="P421" i="21" s="1"/>
  <c r="O422" i="21"/>
  <c r="P422" i="21" s="1"/>
  <c r="O134" i="21"/>
  <c r="P134" i="21" s="1"/>
  <c r="O136" i="21"/>
  <c r="P136" i="21" s="1"/>
  <c r="O138" i="21"/>
  <c r="P138" i="21" s="1"/>
  <c r="O139" i="21"/>
  <c r="P139" i="21" s="1"/>
  <c r="O140" i="21"/>
  <c r="P140" i="21" s="1"/>
  <c r="O141" i="21"/>
  <c r="P141" i="21" s="1"/>
  <c r="O207" i="21"/>
  <c r="P207" i="21" s="1"/>
  <c r="O211" i="21"/>
  <c r="P211" i="21" s="1"/>
  <c r="O212" i="21"/>
  <c r="P212" i="21" s="1"/>
  <c r="O213" i="21"/>
  <c r="P213" i="21" s="1"/>
  <c r="O323" i="21"/>
  <c r="P323" i="21" s="1"/>
  <c r="O414" i="21"/>
  <c r="P414" i="21" s="1"/>
  <c r="O415" i="21"/>
  <c r="P415" i="21" s="1"/>
  <c r="O416" i="21"/>
  <c r="P416" i="21" s="1"/>
  <c r="O417" i="21"/>
  <c r="P417" i="21" s="1"/>
  <c r="O418" i="21"/>
  <c r="P418" i="21" s="1"/>
  <c r="O419" i="21"/>
  <c r="P419" i="21" s="1"/>
  <c r="O420" i="21"/>
  <c r="P420" i="21" s="1"/>
  <c r="O204" i="21"/>
  <c r="P204" i="21" s="1"/>
  <c r="O205" i="21"/>
  <c r="P205" i="21" s="1"/>
  <c r="O423" i="21"/>
  <c r="P423" i="21" s="1"/>
  <c r="O424" i="21"/>
  <c r="P424" i="21" s="1"/>
  <c r="O425" i="21"/>
  <c r="P425" i="21" s="1"/>
  <c r="O426" i="21"/>
  <c r="P426" i="21" s="1"/>
  <c r="O427" i="21"/>
  <c r="P427" i="21" s="1"/>
  <c r="O428" i="21"/>
  <c r="P428" i="21" s="1"/>
  <c r="O429" i="21"/>
  <c r="P429" i="21" s="1"/>
  <c r="O432" i="21"/>
  <c r="P432" i="21" s="1"/>
  <c r="O458" i="21"/>
  <c r="P458" i="21" s="1"/>
  <c r="O459" i="21"/>
  <c r="P459" i="21" s="1"/>
  <c r="O430" i="21"/>
  <c r="P430" i="21" s="1"/>
  <c r="O431" i="21"/>
  <c r="P431" i="21" s="1"/>
  <c r="O449" i="21"/>
  <c r="P449" i="21" s="1"/>
  <c r="O450" i="21"/>
  <c r="P450" i="21" s="1"/>
  <c r="O49" i="21"/>
  <c r="P49" i="21" s="1"/>
  <c r="O53" i="21"/>
  <c r="P53" i="21" s="1"/>
  <c r="O55" i="21"/>
  <c r="P55" i="21" s="1"/>
  <c r="O231" i="21"/>
  <c r="P231" i="21" s="1"/>
  <c r="O232" i="21"/>
  <c r="P232" i="21" s="1"/>
  <c r="O233" i="21"/>
  <c r="P233" i="21" s="1"/>
  <c r="O234" i="21"/>
  <c r="P234" i="21" s="1"/>
  <c r="O235" i="21"/>
  <c r="P235" i="21" s="1"/>
  <c r="O236" i="21"/>
  <c r="P236" i="21" s="1"/>
  <c r="O237" i="21"/>
  <c r="P237" i="21" s="1"/>
  <c r="O238" i="21"/>
  <c r="P238" i="21" s="1"/>
  <c r="O241" i="21"/>
  <c r="P241" i="21" s="1"/>
  <c r="O242" i="21"/>
  <c r="P242" i="21" s="1"/>
  <c r="O243" i="21"/>
  <c r="P243" i="21" s="1"/>
  <c r="O319" i="21"/>
  <c r="P319" i="21" s="1"/>
  <c r="O51" i="21"/>
  <c r="P51" i="21" s="1"/>
  <c r="O265" i="21"/>
  <c r="P265" i="21" s="1"/>
  <c r="O266" i="21"/>
  <c r="P266" i="21" s="1"/>
  <c r="O267" i="21"/>
  <c r="P267" i="21" s="1"/>
  <c r="O268" i="21"/>
  <c r="P268" i="21" s="1"/>
  <c r="O269" i="21"/>
  <c r="P269" i="21" s="1"/>
  <c r="O270" i="21"/>
  <c r="P270" i="21" s="1"/>
  <c r="O271" i="21"/>
  <c r="P271" i="21" s="1"/>
  <c r="O272" i="21"/>
  <c r="P272" i="21" s="1"/>
  <c r="O273" i="21"/>
  <c r="P273" i="21" s="1"/>
  <c r="O274" i="21"/>
  <c r="P274" i="21" s="1"/>
  <c r="O275" i="21"/>
  <c r="P275" i="21" s="1"/>
  <c r="O276" i="21"/>
  <c r="P276" i="21" s="1"/>
  <c r="O284" i="21"/>
  <c r="P284" i="21" s="1"/>
  <c r="O285" i="21"/>
  <c r="P285" i="21" s="1"/>
  <c r="O39" i="21"/>
  <c r="P39" i="21" s="1"/>
  <c r="O116" i="21"/>
  <c r="P116" i="21" s="1"/>
  <c r="O117" i="21"/>
  <c r="P117" i="21" s="1"/>
  <c r="O119" i="21"/>
  <c r="P119" i="21" s="1"/>
  <c r="O120" i="21"/>
  <c r="P120" i="21" s="1"/>
  <c r="O2" i="21"/>
  <c r="P2" i="21" s="1"/>
  <c r="O3" i="21"/>
  <c r="P3" i="21" s="1"/>
  <c r="O11" i="21"/>
  <c r="P11" i="21" s="1"/>
  <c r="O13" i="21"/>
  <c r="P13" i="21" s="1"/>
  <c r="O14" i="21"/>
  <c r="P14" i="21" s="1"/>
  <c r="O16" i="21"/>
  <c r="P16" i="21" s="1"/>
  <c r="O17" i="21"/>
  <c r="P17" i="21" s="1"/>
  <c r="O18" i="21"/>
  <c r="P18" i="21" s="1"/>
  <c r="O20" i="21"/>
  <c r="P20" i="21" s="1"/>
  <c r="O22" i="21"/>
  <c r="P22" i="21" s="1"/>
  <c r="O23" i="21"/>
  <c r="P23" i="21" s="1"/>
  <c r="O25" i="21"/>
  <c r="P25" i="21" s="1"/>
  <c r="O27" i="21"/>
  <c r="P27" i="21" s="1"/>
  <c r="O28" i="21"/>
  <c r="P28" i="21" s="1"/>
  <c r="O29" i="21"/>
  <c r="P29" i="21" s="1"/>
  <c r="O30" i="21"/>
  <c r="P30" i="21" s="1"/>
  <c r="O32" i="21"/>
  <c r="P32" i="21" s="1"/>
  <c r="O33" i="21"/>
  <c r="P33" i="21" s="1"/>
  <c r="O35" i="21"/>
  <c r="P35" i="21" s="1"/>
  <c r="O36" i="21"/>
  <c r="P36" i="21" s="1"/>
  <c r="O142" i="21"/>
  <c r="P142" i="21" s="1"/>
  <c r="O143" i="21"/>
  <c r="P143" i="21" s="1"/>
  <c r="O144" i="21"/>
  <c r="P144" i="21" s="1"/>
  <c r="O153" i="21"/>
  <c r="P153" i="21" s="1"/>
  <c r="O154" i="21"/>
  <c r="P154" i="21" s="1"/>
  <c r="O155" i="21"/>
  <c r="P155" i="21" s="1"/>
  <c r="O156" i="21"/>
  <c r="P156" i="21" s="1"/>
  <c r="O157" i="21"/>
  <c r="P157" i="21" s="1"/>
  <c r="O158" i="21"/>
  <c r="P158" i="21" s="1"/>
  <c r="O159" i="21"/>
  <c r="P159" i="21" s="1"/>
  <c r="O129" i="21"/>
  <c r="P129" i="21" s="1"/>
  <c r="O132" i="21"/>
  <c r="P132" i="21" s="1"/>
  <c r="O133" i="21"/>
  <c r="P133" i="21" s="1"/>
  <c r="O160" i="21"/>
  <c r="P160" i="21" s="1"/>
  <c r="O161" i="21"/>
  <c r="P161" i="21" s="1"/>
  <c r="O162" i="21"/>
  <c r="P162" i="21" s="1"/>
  <c r="O163" i="21"/>
  <c r="P163" i="21" s="1"/>
  <c r="O164" i="21"/>
  <c r="P164" i="21" s="1"/>
  <c r="O165" i="21"/>
  <c r="P165" i="21" s="1"/>
  <c r="O166" i="21"/>
  <c r="P166" i="21" s="1"/>
  <c r="O167" i="21"/>
  <c r="P167" i="21" s="1"/>
  <c r="O168" i="21"/>
  <c r="P168" i="21" s="1"/>
  <c r="O169" i="21"/>
  <c r="P169" i="21" s="1"/>
  <c r="O173" i="21"/>
  <c r="P173" i="21" s="1"/>
  <c r="O174" i="21"/>
  <c r="P174" i="21" s="1"/>
  <c r="O175" i="21"/>
  <c r="P175" i="21" s="1"/>
  <c r="O176" i="21"/>
  <c r="P176" i="21" s="1"/>
  <c r="O177" i="21"/>
  <c r="P177" i="21" s="1"/>
  <c r="O178" i="21"/>
  <c r="P178" i="21" s="1"/>
  <c r="O179" i="21"/>
  <c r="P179" i="21" s="1"/>
  <c r="O180" i="21"/>
  <c r="P180" i="21" s="1"/>
  <c r="O181" i="21"/>
  <c r="P181" i="21" s="1"/>
  <c r="O182" i="21"/>
  <c r="P182" i="21" s="1"/>
  <c r="O183" i="21"/>
  <c r="P183" i="21" s="1"/>
  <c r="O184" i="21"/>
  <c r="P184" i="21" s="1"/>
  <c r="O185" i="21"/>
  <c r="P185" i="21" s="1"/>
  <c r="O186" i="21"/>
  <c r="P186" i="21" s="1"/>
  <c r="O187" i="21"/>
  <c r="P187" i="21" s="1"/>
  <c r="O188" i="21"/>
  <c r="P188" i="21" s="1"/>
  <c r="O189" i="21"/>
  <c r="P189" i="21" s="1"/>
  <c r="O190" i="21"/>
  <c r="P190" i="21" s="1"/>
  <c r="O191" i="21"/>
  <c r="P191" i="21" s="1"/>
  <c r="O192" i="21"/>
  <c r="P192" i="21" s="1"/>
  <c r="O193" i="21"/>
  <c r="P193" i="21" s="1"/>
  <c r="O194" i="21"/>
  <c r="P194" i="21" s="1"/>
  <c r="O195" i="21"/>
  <c r="P195" i="21" s="1"/>
  <c r="O196" i="21"/>
  <c r="P196" i="21" s="1"/>
  <c r="O197" i="21"/>
  <c r="P197" i="21" s="1"/>
  <c r="O198" i="21"/>
  <c r="P198" i="21" s="1"/>
  <c r="O199" i="21"/>
  <c r="P199" i="21" s="1"/>
  <c r="O200" i="21"/>
  <c r="P200" i="21" s="1"/>
  <c r="O201" i="21"/>
  <c r="P201" i="21" s="1"/>
  <c r="O202" i="21"/>
  <c r="P202" i="21" s="1"/>
  <c r="O203" i="21"/>
  <c r="P203" i="21" s="1"/>
  <c r="O208" i="21"/>
  <c r="P208" i="21" s="1"/>
  <c r="O264" i="21"/>
  <c r="P264" i="21" s="1"/>
  <c r="O283" i="21"/>
  <c r="P283" i="21" s="1"/>
  <c r="O322" i="21"/>
  <c r="P322" i="21" s="1"/>
  <c r="O324" i="21"/>
  <c r="P324" i="21" s="1"/>
  <c r="O370" i="21"/>
  <c r="P370" i="21" s="1"/>
  <c r="O371" i="21"/>
  <c r="P371" i="21" s="1"/>
  <c r="O372" i="21"/>
  <c r="O373" i="21"/>
  <c r="O374" i="21"/>
  <c r="O375" i="21"/>
  <c r="O376" i="21"/>
  <c r="O378" i="21"/>
  <c r="P378" i="21" s="1"/>
  <c r="O379" i="21"/>
  <c r="P379" i="21" s="1"/>
  <c r="O380" i="21"/>
  <c r="P380" i="21" s="1"/>
  <c r="O381" i="21"/>
  <c r="P381" i="21" s="1"/>
  <c r="O382" i="21"/>
  <c r="P382" i="21" s="1"/>
  <c r="O383" i="21"/>
  <c r="P383" i="21" s="1"/>
  <c r="O384" i="21"/>
  <c r="P384" i="21" s="1"/>
  <c r="O385" i="21"/>
  <c r="P385" i="21" s="1"/>
  <c r="O386" i="21"/>
  <c r="P386" i="21" s="1"/>
  <c r="O387" i="21"/>
  <c r="P387" i="21" s="1"/>
  <c r="O388" i="21"/>
  <c r="P388" i="21" s="1"/>
  <c r="O389" i="21"/>
  <c r="P389" i="21" s="1"/>
  <c r="O390" i="21"/>
  <c r="P390" i="21" s="1"/>
  <c r="O391" i="21"/>
  <c r="P391" i="21" s="1"/>
  <c r="O392" i="21"/>
  <c r="P392" i="21" s="1"/>
  <c r="O393" i="21"/>
  <c r="P393" i="21" s="1"/>
  <c r="O454" i="21"/>
  <c r="P454" i="21" s="1"/>
  <c r="O455" i="21"/>
  <c r="P455" i="21" s="1"/>
  <c r="O456" i="21"/>
  <c r="P456" i="21" s="1"/>
  <c r="O327" i="21"/>
  <c r="P327" i="21" s="1"/>
  <c r="O328" i="21"/>
  <c r="P328" i="21" s="1"/>
  <c r="O329" i="21"/>
  <c r="P329" i="21" s="1"/>
  <c r="O333" i="21"/>
  <c r="P333" i="21" s="1"/>
  <c r="O334" i="21"/>
  <c r="P334" i="21" s="1"/>
  <c r="O335" i="21"/>
  <c r="P335" i="21" s="1"/>
  <c r="O336" i="21"/>
  <c r="P336" i="21" s="1"/>
  <c r="O337" i="21"/>
  <c r="P337" i="21" s="1"/>
  <c r="O338" i="21"/>
  <c r="P338" i="21" s="1"/>
  <c r="O339" i="21"/>
  <c r="P339" i="21" s="1"/>
  <c r="O340" i="21"/>
  <c r="P340" i="21" s="1"/>
  <c r="O341" i="21"/>
  <c r="P341" i="21" s="1"/>
  <c r="O342" i="21"/>
  <c r="P342" i="21" s="1"/>
  <c r="O343" i="21"/>
  <c r="P343" i="21" s="1"/>
  <c r="O344" i="21"/>
  <c r="P344" i="21" s="1"/>
  <c r="O345" i="21"/>
  <c r="P345" i="21" s="1"/>
  <c r="O346" i="21"/>
  <c r="P346" i="21" s="1"/>
  <c r="O347" i="21"/>
  <c r="P347" i="21" s="1"/>
  <c r="O348" i="21"/>
  <c r="P348" i="21" s="1"/>
  <c r="O369" i="21"/>
  <c r="P369" i="21" s="1"/>
  <c r="O377" i="21"/>
  <c r="P377" i="21" s="1"/>
  <c r="O326" i="21"/>
  <c r="P326" i="21" s="1"/>
  <c r="O330" i="21"/>
  <c r="P330" i="21" s="1"/>
  <c r="O331" i="21"/>
  <c r="P331" i="21" s="1"/>
  <c r="O332" i="21"/>
  <c r="P332" i="21" s="1"/>
  <c r="O349" i="21"/>
  <c r="P349" i="21" s="1"/>
  <c r="O350" i="21"/>
  <c r="P350" i="21" s="1"/>
  <c r="O351" i="21"/>
  <c r="P351" i="21" s="1"/>
  <c r="O352" i="21"/>
  <c r="P352" i="21" s="1"/>
  <c r="O353" i="21"/>
  <c r="P353" i="21" s="1"/>
  <c r="O354" i="21"/>
  <c r="P354" i="21" s="1"/>
  <c r="O355" i="21"/>
  <c r="P355" i="21" s="1"/>
  <c r="O356" i="21"/>
  <c r="P356" i="21" s="1"/>
  <c r="O357" i="21"/>
  <c r="P357" i="21" s="1"/>
  <c r="O358" i="21"/>
  <c r="P358" i="21" s="1"/>
  <c r="O359" i="21"/>
  <c r="P359" i="21" s="1"/>
  <c r="O360" i="21"/>
  <c r="P360" i="21" s="1"/>
  <c r="O361" i="21"/>
  <c r="P361" i="21" s="1"/>
  <c r="O362" i="21"/>
  <c r="P362" i="21" s="1"/>
  <c r="O363" i="21"/>
  <c r="P363" i="21" s="1"/>
  <c r="O364" i="21"/>
  <c r="P364" i="21" s="1"/>
  <c r="O365" i="21"/>
  <c r="P365" i="21" s="1"/>
  <c r="O366" i="21"/>
  <c r="P366" i="21" s="1"/>
  <c r="O367" i="21"/>
  <c r="P367" i="21" s="1"/>
  <c r="O368" i="21"/>
  <c r="P368" i="21" s="1"/>
  <c r="O325" i="21"/>
  <c r="P325" i="21" s="1"/>
  <c r="G288" i="22"/>
  <c r="G289" i="22"/>
  <c r="G290" i="22"/>
  <c r="G291" i="22"/>
  <c r="G292" i="22"/>
  <c r="G293" i="22"/>
  <c r="G294" i="22"/>
  <c r="G295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72" i="22"/>
  <c r="G270" i="22"/>
  <c r="G271" i="22"/>
  <c r="G269" i="22"/>
  <c r="G268" i="22"/>
  <c r="G254" i="22"/>
  <c r="G255" i="22"/>
  <c r="G266" i="22"/>
  <c r="G267" i="22"/>
  <c r="G258" i="22"/>
  <c r="G259" i="22"/>
  <c r="G263" i="22"/>
  <c r="G262" i="22"/>
  <c r="G4" i="22" l="1"/>
  <c r="G5" i="22"/>
  <c r="G3" i="22"/>
  <c r="I407" i="21" l="1"/>
  <c r="I408" i="21"/>
  <c r="I409" i="21"/>
  <c r="AI85" i="5"/>
  <c r="AK85" i="5" s="1"/>
  <c r="X18" i="5" s="1"/>
  <c r="AJ85" i="5"/>
  <c r="AI84" i="5"/>
  <c r="AK84" i="5" s="1"/>
  <c r="AJ84" i="5"/>
  <c r="AI83" i="5"/>
  <c r="AK83" i="5" s="1"/>
  <c r="X15" i="5" s="1"/>
  <c r="AJ83" i="5"/>
  <c r="G2" i="22"/>
  <c r="H3" i="21"/>
  <c r="I3" i="21"/>
  <c r="J3" i="21"/>
  <c r="H4" i="21"/>
  <c r="I4" i="21"/>
  <c r="J4" i="21"/>
  <c r="H5" i="21"/>
  <c r="I5" i="21"/>
  <c r="J5" i="21"/>
  <c r="H6" i="21"/>
  <c r="I6" i="21"/>
  <c r="J6" i="21"/>
  <c r="H7" i="21"/>
  <c r="I7" i="21"/>
  <c r="J7" i="21"/>
  <c r="H8" i="21"/>
  <c r="I8" i="21"/>
  <c r="J8" i="21"/>
  <c r="H9" i="21"/>
  <c r="I9" i="21"/>
  <c r="J9" i="21"/>
  <c r="H10" i="21"/>
  <c r="I10" i="21"/>
  <c r="J10" i="21"/>
  <c r="H11" i="21"/>
  <c r="I11" i="21"/>
  <c r="J11" i="21"/>
  <c r="H12" i="21"/>
  <c r="I12" i="21"/>
  <c r="J12" i="21"/>
  <c r="H13" i="21"/>
  <c r="I13" i="21"/>
  <c r="J13" i="21"/>
  <c r="H14" i="21"/>
  <c r="I14" i="21"/>
  <c r="J14" i="21"/>
  <c r="H15" i="21"/>
  <c r="I15" i="21"/>
  <c r="J15" i="21"/>
  <c r="H16" i="21"/>
  <c r="I16" i="21"/>
  <c r="J16" i="21"/>
  <c r="H17" i="21"/>
  <c r="I17" i="21"/>
  <c r="J17" i="21"/>
  <c r="H18" i="21"/>
  <c r="I18" i="21"/>
  <c r="J18" i="21"/>
  <c r="H19" i="21"/>
  <c r="I19" i="21"/>
  <c r="J19" i="21"/>
  <c r="H20" i="21"/>
  <c r="I20" i="21"/>
  <c r="J20" i="21"/>
  <c r="H21" i="21"/>
  <c r="I21" i="21"/>
  <c r="J21" i="21"/>
  <c r="H22" i="21"/>
  <c r="I22" i="21"/>
  <c r="J22" i="21"/>
  <c r="H23" i="21"/>
  <c r="I23" i="21"/>
  <c r="J23" i="21"/>
  <c r="H24" i="21"/>
  <c r="I24" i="21"/>
  <c r="J24" i="21"/>
  <c r="H25" i="21"/>
  <c r="I25" i="21"/>
  <c r="J25" i="21"/>
  <c r="H26" i="21"/>
  <c r="I26" i="21"/>
  <c r="J26" i="21"/>
  <c r="H27" i="21"/>
  <c r="I27" i="21"/>
  <c r="J27" i="21"/>
  <c r="H28" i="21"/>
  <c r="I28" i="21"/>
  <c r="J28" i="21"/>
  <c r="H29" i="21"/>
  <c r="I29" i="21"/>
  <c r="J29" i="21"/>
  <c r="H30" i="21"/>
  <c r="I30" i="21"/>
  <c r="J30" i="21"/>
  <c r="H31" i="21"/>
  <c r="I31" i="21"/>
  <c r="J31" i="21"/>
  <c r="H32" i="21"/>
  <c r="I32" i="21"/>
  <c r="J32" i="21"/>
  <c r="H33" i="21"/>
  <c r="I33" i="21"/>
  <c r="J33" i="21"/>
  <c r="H34" i="21"/>
  <c r="I34" i="21"/>
  <c r="J34" i="21"/>
  <c r="H35" i="21"/>
  <c r="I35" i="21"/>
  <c r="J35" i="21"/>
  <c r="H36" i="21"/>
  <c r="I36" i="21"/>
  <c r="J36" i="21"/>
  <c r="H37" i="21"/>
  <c r="I37" i="21"/>
  <c r="J37" i="21"/>
  <c r="H38" i="21"/>
  <c r="I38" i="21"/>
  <c r="J38" i="21"/>
  <c r="H39" i="21"/>
  <c r="I39" i="21"/>
  <c r="J39" i="21"/>
  <c r="H40" i="21"/>
  <c r="I40" i="21"/>
  <c r="J40" i="21"/>
  <c r="H41" i="21"/>
  <c r="I41" i="21"/>
  <c r="J41" i="21"/>
  <c r="H42" i="21"/>
  <c r="I42" i="21"/>
  <c r="J42" i="21"/>
  <c r="H43" i="21"/>
  <c r="I43" i="21"/>
  <c r="J43" i="21"/>
  <c r="H44" i="21"/>
  <c r="I44" i="21"/>
  <c r="J44" i="21"/>
  <c r="H45" i="21"/>
  <c r="I45" i="21"/>
  <c r="J45" i="21"/>
  <c r="H46" i="21"/>
  <c r="I46" i="21"/>
  <c r="J46" i="21"/>
  <c r="H47" i="21"/>
  <c r="I47" i="21"/>
  <c r="J47" i="21"/>
  <c r="H48" i="21"/>
  <c r="I48" i="21"/>
  <c r="J48" i="21"/>
  <c r="H49" i="21"/>
  <c r="I49" i="21"/>
  <c r="J49" i="21"/>
  <c r="H50" i="21"/>
  <c r="I50" i="21"/>
  <c r="J50" i="21"/>
  <c r="H51" i="21"/>
  <c r="I51" i="21"/>
  <c r="J51" i="21"/>
  <c r="H52" i="21"/>
  <c r="I52" i="21"/>
  <c r="J52" i="21"/>
  <c r="H53" i="21"/>
  <c r="I53" i="21"/>
  <c r="J53" i="21"/>
  <c r="H54" i="21"/>
  <c r="I54" i="21"/>
  <c r="J54" i="21"/>
  <c r="H55" i="21"/>
  <c r="I55" i="21"/>
  <c r="J55" i="21"/>
  <c r="H56" i="21"/>
  <c r="I56" i="21"/>
  <c r="J56" i="21"/>
  <c r="H57" i="21"/>
  <c r="I57" i="21"/>
  <c r="J57" i="21"/>
  <c r="H58" i="21"/>
  <c r="I58" i="21"/>
  <c r="J58" i="21"/>
  <c r="H59" i="21"/>
  <c r="I59" i="21"/>
  <c r="J59" i="21"/>
  <c r="H60" i="21"/>
  <c r="I60" i="21"/>
  <c r="J60" i="21"/>
  <c r="H61" i="21"/>
  <c r="I61" i="21"/>
  <c r="J61" i="21"/>
  <c r="H62" i="21"/>
  <c r="I62" i="21"/>
  <c r="J62" i="21"/>
  <c r="H63" i="21"/>
  <c r="I63" i="21"/>
  <c r="J63" i="21"/>
  <c r="H65" i="21"/>
  <c r="I65" i="21"/>
  <c r="J65" i="21"/>
  <c r="H66" i="21"/>
  <c r="I66" i="21"/>
  <c r="J66" i="21"/>
  <c r="H67" i="21"/>
  <c r="I67" i="21"/>
  <c r="J67" i="21"/>
  <c r="H68" i="21"/>
  <c r="I68" i="21"/>
  <c r="J68" i="21"/>
  <c r="H69" i="21"/>
  <c r="I69" i="21"/>
  <c r="J69" i="21"/>
  <c r="H70" i="21"/>
  <c r="I70" i="21"/>
  <c r="J70" i="21"/>
  <c r="H73" i="21"/>
  <c r="I73" i="21"/>
  <c r="J73" i="21"/>
  <c r="H74" i="21"/>
  <c r="I74" i="21"/>
  <c r="J74" i="21"/>
  <c r="H451" i="21"/>
  <c r="I451" i="21"/>
  <c r="J451" i="21"/>
  <c r="H452" i="21"/>
  <c r="I452" i="21"/>
  <c r="J452" i="21"/>
  <c r="H453" i="21"/>
  <c r="I453" i="21"/>
  <c r="J453" i="21"/>
  <c r="H446" i="21"/>
  <c r="I446" i="21"/>
  <c r="J446" i="21"/>
  <c r="H79" i="21"/>
  <c r="I79" i="21"/>
  <c r="J79" i="21"/>
  <c r="H172" i="21"/>
  <c r="I172" i="21"/>
  <c r="J172" i="21"/>
  <c r="H81" i="21"/>
  <c r="I81" i="21"/>
  <c r="J81" i="21"/>
  <c r="H82" i="21"/>
  <c r="I82" i="21"/>
  <c r="J82" i="21"/>
  <c r="H83" i="21"/>
  <c r="I83" i="21"/>
  <c r="J83" i="21"/>
  <c r="H84" i="21"/>
  <c r="I84" i="21"/>
  <c r="J84" i="21"/>
  <c r="H457" i="21"/>
  <c r="I457" i="21"/>
  <c r="J457" i="21"/>
  <c r="H86" i="21"/>
  <c r="I86" i="21"/>
  <c r="J86" i="21"/>
  <c r="H87" i="21"/>
  <c r="I87" i="21"/>
  <c r="J87" i="21"/>
  <c r="H88" i="21"/>
  <c r="I88" i="21"/>
  <c r="J88" i="21"/>
  <c r="H89" i="21"/>
  <c r="I89" i="21"/>
  <c r="J89" i="21"/>
  <c r="H90" i="21"/>
  <c r="I90" i="21"/>
  <c r="J90" i="21"/>
  <c r="H91" i="21"/>
  <c r="I91" i="21"/>
  <c r="J91" i="21"/>
  <c r="H92" i="21"/>
  <c r="I92" i="21"/>
  <c r="J92" i="21"/>
  <c r="H93" i="21"/>
  <c r="I93" i="21"/>
  <c r="J93" i="21"/>
  <c r="H94" i="21"/>
  <c r="I94" i="21"/>
  <c r="J94" i="21"/>
  <c r="H95" i="21"/>
  <c r="I95" i="21"/>
  <c r="J95" i="21"/>
  <c r="H96" i="21"/>
  <c r="I96" i="21"/>
  <c r="J96" i="21"/>
  <c r="H97" i="21"/>
  <c r="I97" i="21"/>
  <c r="J97" i="21"/>
  <c r="H98" i="21"/>
  <c r="I98" i="21"/>
  <c r="J98" i="21"/>
  <c r="H99" i="21"/>
  <c r="I99" i="21"/>
  <c r="J99" i="21"/>
  <c r="H100" i="21"/>
  <c r="I100" i="21"/>
  <c r="J100" i="21"/>
  <c r="H101" i="21"/>
  <c r="I101" i="21"/>
  <c r="J101" i="21"/>
  <c r="H102" i="21"/>
  <c r="I102" i="21"/>
  <c r="J102" i="21"/>
  <c r="H239" i="21"/>
  <c r="I239" i="21"/>
  <c r="J239" i="21"/>
  <c r="H240" i="21"/>
  <c r="I240" i="21"/>
  <c r="J240" i="21"/>
  <c r="H105" i="21"/>
  <c r="I105" i="21"/>
  <c r="J105" i="21"/>
  <c r="H106" i="21"/>
  <c r="I106" i="21"/>
  <c r="J106" i="21"/>
  <c r="H107" i="21"/>
  <c r="I107" i="21"/>
  <c r="J107" i="21"/>
  <c r="H108" i="21"/>
  <c r="I108" i="21"/>
  <c r="J108" i="21"/>
  <c r="H109" i="21"/>
  <c r="I109" i="21"/>
  <c r="J109" i="21"/>
  <c r="H110" i="21"/>
  <c r="I110" i="21"/>
  <c r="J110" i="21"/>
  <c r="H111" i="21"/>
  <c r="I111" i="21"/>
  <c r="J111" i="21"/>
  <c r="H112" i="21"/>
  <c r="I112" i="21"/>
  <c r="J112" i="21"/>
  <c r="H447" i="21"/>
  <c r="I447" i="21"/>
  <c r="J447" i="21"/>
  <c r="H448" i="21"/>
  <c r="I448" i="21"/>
  <c r="J448" i="21"/>
  <c r="H115" i="21"/>
  <c r="I115" i="21"/>
  <c r="J115" i="21"/>
  <c r="H116" i="21"/>
  <c r="I116" i="21"/>
  <c r="J116" i="21"/>
  <c r="H117" i="21"/>
  <c r="I117" i="21"/>
  <c r="J117" i="21"/>
  <c r="H118" i="21"/>
  <c r="I118" i="21"/>
  <c r="J118" i="21"/>
  <c r="H119" i="21"/>
  <c r="I119" i="21"/>
  <c r="J119" i="21"/>
  <c r="H120" i="21"/>
  <c r="I120" i="21"/>
  <c r="J120" i="21"/>
  <c r="H80" i="21"/>
  <c r="I80" i="21"/>
  <c r="J80" i="21"/>
  <c r="H103" i="21"/>
  <c r="I103" i="21"/>
  <c r="J103" i="21"/>
  <c r="H104" i="21"/>
  <c r="I104" i="21"/>
  <c r="J104" i="21"/>
  <c r="H124" i="21"/>
  <c r="I124" i="21"/>
  <c r="J124" i="21"/>
  <c r="H121" i="21"/>
  <c r="I121" i="21"/>
  <c r="J121" i="21"/>
  <c r="H122" i="21"/>
  <c r="I122" i="21"/>
  <c r="J122" i="21"/>
  <c r="H123" i="21"/>
  <c r="I123" i="21"/>
  <c r="J123" i="21"/>
  <c r="H125" i="21"/>
  <c r="I125" i="21"/>
  <c r="J125" i="21"/>
  <c r="H126" i="21"/>
  <c r="I126" i="21"/>
  <c r="J126" i="21"/>
  <c r="H130" i="21"/>
  <c r="I130" i="21"/>
  <c r="J130" i="21"/>
  <c r="H131" i="21"/>
  <c r="I131" i="21"/>
  <c r="J131" i="21"/>
  <c r="H127" i="21"/>
  <c r="I127" i="21"/>
  <c r="J127" i="21"/>
  <c r="H128" i="21"/>
  <c r="I128" i="21"/>
  <c r="J128" i="21"/>
  <c r="H134" i="21"/>
  <c r="I134" i="21"/>
  <c r="J134" i="21"/>
  <c r="M134" i="21" s="1"/>
  <c r="H135" i="21"/>
  <c r="I135" i="21"/>
  <c r="J135" i="21"/>
  <c r="M135" i="21" s="1"/>
  <c r="H136" i="21"/>
  <c r="I136" i="21"/>
  <c r="J136" i="21"/>
  <c r="M136" i="21" s="1"/>
  <c r="H137" i="21"/>
  <c r="I137" i="21"/>
  <c r="J137" i="21"/>
  <c r="M137" i="21" s="1"/>
  <c r="H138" i="21"/>
  <c r="I138" i="21"/>
  <c r="J138" i="21"/>
  <c r="M138" i="21" s="1"/>
  <c r="H139" i="21"/>
  <c r="I139" i="21"/>
  <c r="J139" i="21"/>
  <c r="M139" i="21" s="1"/>
  <c r="H140" i="21"/>
  <c r="I140" i="21"/>
  <c r="J140" i="21"/>
  <c r="M140" i="21" s="1"/>
  <c r="H141" i="21"/>
  <c r="I141" i="21"/>
  <c r="J141" i="21"/>
  <c r="M141" i="21" s="1"/>
  <c r="H142" i="21"/>
  <c r="I142" i="21"/>
  <c r="J142" i="21"/>
  <c r="H143" i="21"/>
  <c r="I143" i="21"/>
  <c r="J143" i="21"/>
  <c r="H144" i="21"/>
  <c r="I144" i="21"/>
  <c r="J144" i="21"/>
  <c r="H145" i="21"/>
  <c r="I145" i="21"/>
  <c r="J145" i="21"/>
  <c r="H146" i="21"/>
  <c r="I146" i="21"/>
  <c r="J146" i="21"/>
  <c r="H147" i="21"/>
  <c r="I147" i="21"/>
  <c r="J147" i="21"/>
  <c r="H148" i="21"/>
  <c r="I148" i="21"/>
  <c r="J148" i="21"/>
  <c r="H149" i="21"/>
  <c r="I149" i="21"/>
  <c r="J149" i="21"/>
  <c r="H150" i="21"/>
  <c r="I150" i="21"/>
  <c r="J150" i="21"/>
  <c r="H449" i="21"/>
  <c r="I449" i="21"/>
  <c r="J449" i="21"/>
  <c r="H450" i="21"/>
  <c r="I450" i="21"/>
  <c r="J450" i="21"/>
  <c r="H153" i="21"/>
  <c r="I153" i="21"/>
  <c r="J153" i="21"/>
  <c r="H154" i="21"/>
  <c r="I154" i="21"/>
  <c r="J154" i="21"/>
  <c r="H155" i="21"/>
  <c r="I155" i="21"/>
  <c r="J155" i="21"/>
  <c r="H156" i="21"/>
  <c r="I156" i="21"/>
  <c r="J156" i="21"/>
  <c r="H157" i="21"/>
  <c r="I157" i="21"/>
  <c r="J157" i="21"/>
  <c r="H158" i="21"/>
  <c r="I158" i="21"/>
  <c r="J158" i="21"/>
  <c r="M158" i="21" s="1"/>
  <c r="H159" i="21"/>
  <c r="I159" i="21"/>
  <c r="J159" i="21"/>
  <c r="M159" i="21" s="1"/>
  <c r="H129" i="21"/>
  <c r="I129" i="21"/>
  <c r="J129" i="21"/>
  <c r="M129" i="21" s="1"/>
  <c r="H132" i="21"/>
  <c r="I132" i="21"/>
  <c r="J132" i="21"/>
  <c r="M132" i="21" s="1"/>
  <c r="H133" i="21"/>
  <c r="I133" i="21"/>
  <c r="J133" i="21"/>
  <c r="M133" i="21" s="1"/>
  <c r="H160" i="21"/>
  <c r="I160" i="21"/>
  <c r="J160" i="21"/>
  <c r="M160" i="21" s="1"/>
  <c r="H161" i="21"/>
  <c r="I161" i="21"/>
  <c r="J161" i="21"/>
  <c r="M161" i="21" s="1"/>
  <c r="H162" i="21"/>
  <c r="I162" i="21"/>
  <c r="J162" i="21"/>
  <c r="M162" i="21" s="1"/>
  <c r="H163" i="21"/>
  <c r="I163" i="21"/>
  <c r="J163" i="21"/>
  <c r="M163" i="21" s="1"/>
  <c r="H164" i="21"/>
  <c r="I164" i="21"/>
  <c r="J164" i="21"/>
  <c r="M164" i="21" s="1"/>
  <c r="H165" i="21"/>
  <c r="I165" i="21"/>
  <c r="J165" i="21"/>
  <c r="M165" i="21" s="1"/>
  <c r="H166" i="21"/>
  <c r="I166" i="21"/>
  <c r="J166" i="21"/>
  <c r="M166" i="21" s="1"/>
  <c r="H167" i="21"/>
  <c r="I167" i="21"/>
  <c r="J167" i="21"/>
  <c r="M167" i="21" s="1"/>
  <c r="H168" i="21"/>
  <c r="I168" i="21"/>
  <c r="J168" i="21"/>
  <c r="M168" i="21" s="1"/>
  <c r="H169" i="21"/>
  <c r="I169" i="21"/>
  <c r="J169" i="21"/>
  <c r="M169" i="21" s="1"/>
  <c r="H173" i="21"/>
  <c r="I173" i="21"/>
  <c r="J173" i="21"/>
  <c r="M173" i="21" s="1"/>
  <c r="H174" i="21"/>
  <c r="I174" i="21"/>
  <c r="J174" i="21"/>
  <c r="M174" i="21" s="1"/>
  <c r="H175" i="21"/>
  <c r="I175" i="21"/>
  <c r="J175" i="21"/>
  <c r="M175" i="21" s="1"/>
  <c r="H176" i="21"/>
  <c r="I176" i="21"/>
  <c r="J176" i="21"/>
  <c r="M176" i="21" s="1"/>
  <c r="H177" i="21"/>
  <c r="I177" i="21"/>
  <c r="J177" i="21"/>
  <c r="H178" i="21"/>
  <c r="I178" i="21"/>
  <c r="J178" i="21"/>
  <c r="H179" i="21"/>
  <c r="I179" i="21"/>
  <c r="J179" i="21"/>
  <c r="H180" i="21"/>
  <c r="I180" i="21"/>
  <c r="J180" i="21"/>
  <c r="H181" i="21"/>
  <c r="I181" i="21"/>
  <c r="J181" i="21"/>
  <c r="H182" i="21"/>
  <c r="I182" i="21"/>
  <c r="J182" i="21"/>
  <c r="H183" i="21"/>
  <c r="I183" i="21"/>
  <c r="J183" i="21"/>
  <c r="H184" i="21"/>
  <c r="I184" i="21"/>
  <c r="J184" i="21"/>
  <c r="H185" i="21"/>
  <c r="I185" i="21"/>
  <c r="J185" i="21"/>
  <c r="H186" i="21"/>
  <c r="I186" i="21"/>
  <c r="J186" i="21"/>
  <c r="H187" i="21"/>
  <c r="I187" i="21"/>
  <c r="J187" i="21"/>
  <c r="H188" i="21"/>
  <c r="I188" i="21"/>
  <c r="J188" i="21"/>
  <c r="H189" i="21"/>
  <c r="I189" i="21"/>
  <c r="J189" i="21"/>
  <c r="H190" i="21"/>
  <c r="I190" i="21"/>
  <c r="J190" i="21"/>
  <c r="H191" i="21"/>
  <c r="I191" i="21"/>
  <c r="J191" i="21"/>
  <c r="H192" i="21"/>
  <c r="I192" i="21"/>
  <c r="J192" i="21"/>
  <c r="H193" i="21"/>
  <c r="I193" i="21"/>
  <c r="J193" i="21"/>
  <c r="H194" i="21"/>
  <c r="I194" i="21"/>
  <c r="J194" i="21"/>
  <c r="H195" i="21"/>
  <c r="I195" i="21"/>
  <c r="H196" i="21"/>
  <c r="I196" i="21"/>
  <c r="J196" i="21"/>
  <c r="H197" i="21"/>
  <c r="I197" i="21"/>
  <c r="J197" i="21"/>
  <c r="H198" i="21"/>
  <c r="I198" i="21"/>
  <c r="J198" i="21"/>
  <c r="H199" i="21"/>
  <c r="I199" i="21"/>
  <c r="J199" i="21"/>
  <c r="H200" i="21"/>
  <c r="I200" i="21"/>
  <c r="J200" i="21"/>
  <c r="H201" i="21"/>
  <c r="I201" i="21"/>
  <c r="J201" i="21"/>
  <c r="H202" i="21"/>
  <c r="I202" i="21"/>
  <c r="J202" i="21"/>
  <c r="H203" i="21"/>
  <c r="I203" i="21"/>
  <c r="J203" i="21"/>
  <c r="H204" i="21"/>
  <c r="I204" i="21"/>
  <c r="J204" i="21"/>
  <c r="M204" i="21" s="1"/>
  <c r="H205" i="21"/>
  <c r="I205" i="21"/>
  <c r="J205" i="21"/>
  <c r="M205" i="21" s="1"/>
  <c r="H206" i="21"/>
  <c r="I206" i="21"/>
  <c r="J206" i="21"/>
  <c r="M206" i="21" s="1"/>
  <c r="H207" i="21"/>
  <c r="I207" i="21"/>
  <c r="J207" i="21"/>
  <c r="M207" i="21" s="1"/>
  <c r="H208" i="21"/>
  <c r="I208" i="21"/>
  <c r="J208" i="21"/>
  <c r="M208" i="21" s="1"/>
  <c r="H209" i="21"/>
  <c r="I209" i="21"/>
  <c r="J209" i="21"/>
  <c r="M209" i="21" s="1"/>
  <c r="H210" i="21"/>
  <c r="I210" i="21"/>
  <c r="J210" i="21"/>
  <c r="M210" i="21" s="1"/>
  <c r="H211" i="21"/>
  <c r="I211" i="21"/>
  <c r="J211" i="21"/>
  <c r="M211" i="21" s="1"/>
  <c r="H212" i="21"/>
  <c r="I212" i="21"/>
  <c r="J212" i="21"/>
  <c r="M212" i="21" s="1"/>
  <c r="H213" i="21"/>
  <c r="I213" i="21"/>
  <c r="J213" i="21"/>
  <c r="M213" i="21" s="1"/>
  <c r="H76" i="21"/>
  <c r="I76" i="21"/>
  <c r="J76" i="21"/>
  <c r="H77" i="21"/>
  <c r="I77" i="21"/>
  <c r="J77" i="21"/>
  <c r="H78" i="21"/>
  <c r="I78" i="21"/>
  <c r="J78" i="21"/>
  <c r="H85" i="21"/>
  <c r="I85" i="21"/>
  <c r="J85" i="21"/>
  <c r="H113" i="21"/>
  <c r="I113" i="21"/>
  <c r="J113" i="21"/>
  <c r="H114" i="21"/>
  <c r="I114" i="21"/>
  <c r="J114" i="21"/>
  <c r="H422" i="21"/>
  <c r="I422" i="21"/>
  <c r="J422" i="21"/>
  <c r="H151" i="21"/>
  <c r="I151" i="21"/>
  <c r="J151" i="21"/>
  <c r="H75" i="21"/>
  <c r="I75" i="21"/>
  <c r="J75" i="21"/>
  <c r="H223" i="21"/>
  <c r="I223" i="21"/>
  <c r="J223" i="21"/>
  <c r="H224" i="21"/>
  <c r="I224" i="21"/>
  <c r="J224" i="21"/>
  <c r="H225" i="21"/>
  <c r="I225" i="21"/>
  <c r="J225" i="21"/>
  <c r="H226" i="21"/>
  <c r="I226" i="21"/>
  <c r="J226" i="21"/>
  <c r="M226" i="21" s="1"/>
  <c r="H227" i="21"/>
  <c r="I227" i="21"/>
  <c r="J227" i="21"/>
  <c r="H228" i="21"/>
  <c r="I228" i="21"/>
  <c r="J228" i="21"/>
  <c r="H229" i="21"/>
  <c r="I229" i="21"/>
  <c r="J229" i="21"/>
  <c r="H230" i="21"/>
  <c r="I230" i="21"/>
  <c r="J230" i="21"/>
  <c r="H231" i="21"/>
  <c r="I231" i="21"/>
  <c r="J231" i="21"/>
  <c r="H232" i="21"/>
  <c r="I232" i="21"/>
  <c r="J232" i="21"/>
  <c r="H233" i="21"/>
  <c r="I233" i="21"/>
  <c r="J233" i="21"/>
  <c r="H234" i="21"/>
  <c r="I234" i="21"/>
  <c r="J234" i="21"/>
  <c r="H235" i="21"/>
  <c r="I235" i="21"/>
  <c r="J235" i="21"/>
  <c r="H236" i="21"/>
  <c r="I236" i="21"/>
  <c r="J236" i="21"/>
  <c r="H237" i="21"/>
  <c r="I237" i="21"/>
  <c r="J237" i="21"/>
  <c r="H238" i="21"/>
  <c r="I238" i="21"/>
  <c r="J238" i="21"/>
  <c r="H241" i="21"/>
  <c r="I241" i="21"/>
  <c r="J241" i="21"/>
  <c r="H242" i="21"/>
  <c r="I242" i="21"/>
  <c r="J242" i="21"/>
  <c r="H243" i="21"/>
  <c r="I243" i="21"/>
  <c r="J243" i="21"/>
  <c r="H244" i="21"/>
  <c r="I244" i="21"/>
  <c r="J244" i="21"/>
  <c r="H245" i="21"/>
  <c r="I245" i="21"/>
  <c r="J245" i="21"/>
  <c r="H246" i="21"/>
  <c r="I246" i="21"/>
  <c r="J246" i="21"/>
  <c r="H247" i="21"/>
  <c r="I247" i="21"/>
  <c r="J247" i="21"/>
  <c r="H248" i="21"/>
  <c r="I248" i="21"/>
  <c r="J248" i="21"/>
  <c r="H249" i="21"/>
  <c r="I249" i="21"/>
  <c r="J249" i="21"/>
  <c r="H250" i="21"/>
  <c r="I250" i="21"/>
  <c r="J250" i="21"/>
  <c r="H251" i="21"/>
  <c r="I251" i="21"/>
  <c r="J251" i="21"/>
  <c r="H252" i="21"/>
  <c r="I252" i="21"/>
  <c r="J252" i="21"/>
  <c r="H253" i="21"/>
  <c r="I253" i="21"/>
  <c r="J253" i="21"/>
  <c r="H254" i="21"/>
  <c r="I254" i="21"/>
  <c r="J254" i="21"/>
  <c r="H255" i="21"/>
  <c r="I255" i="21"/>
  <c r="J255" i="21"/>
  <c r="H256" i="21"/>
  <c r="I256" i="21"/>
  <c r="J256" i="21"/>
  <c r="H257" i="21"/>
  <c r="I257" i="21"/>
  <c r="J257" i="21"/>
  <c r="H258" i="21"/>
  <c r="I258" i="21"/>
  <c r="J258" i="21"/>
  <c r="H259" i="21"/>
  <c r="I259" i="21"/>
  <c r="J259" i="21"/>
  <c r="H260" i="21"/>
  <c r="I260" i="21"/>
  <c r="J260" i="21"/>
  <c r="H261" i="21"/>
  <c r="I261" i="21"/>
  <c r="J261" i="21"/>
  <c r="H262" i="21"/>
  <c r="I262" i="21"/>
  <c r="J262" i="21"/>
  <c r="H263" i="21"/>
  <c r="I263" i="21"/>
  <c r="J263" i="21"/>
  <c r="H264" i="21"/>
  <c r="I264" i="21"/>
  <c r="J264" i="21"/>
  <c r="H265" i="21"/>
  <c r="I265" i="21"/>
  <c r="J265" i="21"/>
  <c r="H266" i="21"/>
  <c r="I266" i="21"/>
  <c r="J266" i="21"/>
  <c r="H267" i="21"/>
  <c r="I267" i="21"/>
  <c r="J267" i="21"/>
  <c r="H268" i="21"/>
  <c r="I268" i="21"/>
  <c r="J268" i="21"/>
  <c r="H269" i="21"/>
  <c r="I269" i="21"/>
  <c r="J269" i="21"/>
  <c r="H270" i="21"/>
  <c r="I270" i="21"/>
  <c r="J270" i="21"/>
  <c r="H271" i="21"/>
  <c r="I271" i="21"/>
  <c r="J271" i="21"/>
  <c r="H272" i="21"/>
  <c r="I272" i="21"/>
  <c r="J272" i="21"/>
  <c r="H273" i="21"/>
  <c r="I273" i="21"/>
  <c r="J273" i="21"/>
  <c r="H274" i="21"/>
  <c r="I274" i="21"/>
  <c r="J274" i="21"/>
  <c r="H275" i="21"/>
  <c r="I275" i="21"/>
  <c r="J275" i="21"/>
  <c r="H276" i="21"/>
  <c r="I276" i="21"/>
  <c r="J276" i="21"/>
  <c r="H277" i="21"/>
  <c r="I277" i="21"/>
  <c r="J277" i="21"/>
  <c r="H278" i="21"/>
  <c r="I278" i="21"/>
  <c r="J278" i="21"/>
  <c r="H279" i="21"/>
  <c r="I279" i="21"/>
  <c r="J279" i="21"/>
  <c r="H280" i="21"/>
  <c r="I280" i="21"/>
  <c r="J280" i="21"/>
  <c r="H281" i="21"/>
  <c r="I281" i="21"/>
  <c r="J281" i="21"/>
  <c r="H282" i="21"/>
  <c r="I282" i="21"/>
  <c r="J282" i="21"/>
  <c r="H283" i="21"/>
  <c r="I283" i="21"/>
  <c r="J283" i="21"/>
  <c r="H284" i="21"/>
  <c r="I284" i="21"/>
  <c r="J284" i="21"/>
  <c r="H285" i="21"/>
  <c r="I285" i="21"/>
  <c r="J285" i="21"/>
  <c r="H286" i="21"/>
  <c r="I286" i="21"/>
  <c r="J286" i="21"/>
  <c r="H287" i="21"/>
  <c r="I287" i="21"/>
  <c r="J287" i="21"/>
  <c r="H288" i="21"/>
  <c r="I288" i="21"/>
  <c r="J288" i="21"/>
  <c r="H289" i="21"/>
  <c r="I289" i="21"/>
  <c r="J289" i="21"/>
  <c r="H290" i="21"/>
  <c r="I290" i="21"/>
  <c r="J290" i="21"/>
  <c r="H291" i="21"/>
  <c r="I291" i="21"/>
  <c r="J291" i="21"/>
  <c r="H292" i="21"/>
  <c r="I292" i="21"/>
  <c r="J292" i="21"/>
  <c r="H293" i="21"/>
  <c r="I293" i="21"/>
  <c r="J293" i="21"/>
  <c r="H294" i="21"/>
  <c r="I294" i="21"/>
  <c r="J294" i="21"/>
  <c r="H295" i="21"/>
  <c r="I295" i="21"/>
  <c r="J295" i="21"/>
  <c r="H296" i="21"/>
  <c r="I296" i="21"/>
  <c r="J296" i="21"/>
  <c r="H297" i="21"/>
  <c r="I297" i="21"/>
  <c r="J297" i="21"/>
  <c r="H298" i="21"/>
  <c r="I298" i="21"/>
  <c r="J298" i="21"/>
  <c r="H299" i="21"/>
  <c r="I299" i="21"/>
  <c r="J299" i="21"/>
  <c r="H300" i="21"/>
  <c r="I300" i="21"/>
  <c r="J300" i="21"/>
  <c r="H301" i="21"/>
  <c r="I301" i="21"/>
  <c r="J301" i="21"/>
  <c r="H302" i="21"/>
  <c r="I302" i="21"/>
  <c r="J302" i="21"/>
  <c r="H303" i="21"/>
  <c r="I303" i="21"/>
  <c r="J303" i="21"/>
  <c r="H304" i="21"/>
  <c r="I304" i="21"/>
  <c r="J304" i="21"/>
  <c r="H305" i="21"/>
  <c r="I305" i="21"/>
  <c r="J305" i="21"/>
  <c r="H306" i="21"/>
  <c r="I306" i="21"/>
  <c r="J306" i="21"/>
  <c r="H307" i="21"/>
  <c r="I307" i="21"/>
  <c r="J307" i="21"/>
  <c r="H308" i="21"/>
  <c r="I308" i="21"/>
  <c r="J308" i="21"/>
  <c r="H309" i="21"/>
  <c r="I309" i="21"/>
  <c r="J309" i="21"/>
  <c r="H310" i="21"/>
  <c r="I310" i="21"/>
  <c r="J310" i="21"/>
  <c r="H311" i="21"/>
  <c r="I311" i="21"/>
  <c r="J311" i="21"/>
  <c r="H312" i="21"/>
  <c r="I312" i="21"/>
  <c r="J312" i="21"/>
  <c r="H313" i="21"/>
  <c r="I313" i="21"/>
  <c r="J313" i="21"/>
  <c r="H314" i="21"/>
  <c r="I314" i="21"/>
  <c r="J314" i="21"/>
  <c r="H315" i="21"/>
  <c r="I315" i="21"/>
  <c r="J315" i="21"/>
  <c r="H316" i="21"/>
  <c r="I316" i="21"/>
  <c r="J316" i="21"/>
  <c r="H317" i="21"/>
  <c r="I317" i="21"/>
  <c r="J317" i="21"/>
  <c r="H318" i="21"/>
  <c r="I318" i="21"/>
  <c r="J318" i="21"/>
  <c r="H319" i="21"/>
  <c r="I319" i="21"/>
  <c r="J319" i="21"/>
  <c r="H320" i="21"/>
  <c r="I320" i="21"/>
  <c r="J320" i="21"/>
  <c r="H321" i="21"/>
  <c r="I321" i="21"/>
  <c r="J321" i="21"/>
  <c r="H322" i="21"/>
  <c r="I322" i="21"/>
  <c r="J322" i="21"/>
  <c r="M322" i="21" s="1"/>
  <c r="H323" i="21"/>
  <c r="I323" i="21"/>
  <c r="J323" i="21"/>
  <c r="M323" i="21" s="1"/>
  <c r="H324" i="21"/>
  <c r="I324" i="21"/>
  <c r="J324" i="21"/>
  <c r="M324" i="21" s="1"/>
  <c r="H325" i="21"/>
  <c r="I325" i="21"/>
  <c r="M325" i="21" s="1"/>
  <c r="J325" i="21"/>
  <c r="H326" i="21"/>
  <c r="I326" i="21"/>
  <c r="J326" i="21"/>
  <c r="H327" i="21"/>
  <c r="I327" i="21"/>
  <c r="M327" i="21" s="1"/>
  <c r="J327" i="21"/>
  <c r="H328" i="21"/>
  <c r="I328" i="21"/>
  <c r="J328" i="21"/>
  <c r="H329" i="21"/>
  <c r="I329" i="21"/>
  <c r="J329" i="21"/>
  <c r="H330" i="21"/>
  <c r="I330" i="21"/>
  <c r="J330" i="21"/>
  <c r="H331" i="21"/>
  <c r="I331" i="21"/>
  <c r="J331" i="21"/>
  <c r="H332" i="21"/>
  <c r="I332" i="21"/>
  <c r="J332" i="21"/>
  <c r="H333" i="21"/>
  <c r="I333" i="21"/>
  <c r="J333" i="21"/>
  <c r="H334" i="21"/>
  <c r="I334" i="21"/>
  <c r="J334" i="21"/>
  <c r="H335" i="21"/>
  <c r="I335" i="21"/>
  <c r="J335" i="21"/>
  <c r="H336" i="21"/>
  <c r="I336" i="21"/>
  <c r="J336" i="21"/>
  <c r="H337" i="21"/>
  <c r="I337" i="21"/>
  <c r="J337" i="21"/>
  <c r="H338" i="21"/>
  <c r="I338" i="21"/>
  <c r="J338" i="21"/>
  <c r="H339" i="21"/>
  <c r="I339" i="21"/>
  <c r="J339" i="21"/>
  <c r="H340" i="21"/>
  <c r="I340" i="21"/>
  <c r="J340" i="21"/>
  <c r="H341" i="21"/>
  <c r="I341" i="21"/>
  <c r="J341" i="21"/>
  <c r="H342" i="21"/>
  <c r="I342" i="21"/>
  <c r="J342" i="21"/>
  <c r="H343" i="21"/>
  <c r="I343" i="21"/>
  <c r="J343" i="21"/>
  <c r="H344" i="21"/>
  <c r="I344" i="21"/>
  <c r="J344" i="21"/>
  <c r="H345" i="21"/>
  <c r="I345" i="21"/>
  <c r="J345" i="21"/>
  <c r="H346" i="21"/>
  <c r="I346" i="21"/>
  <c r="J346" i="21"/>
  <c r="H347" i="21"/>
  <c r="I347" i="21"/>
  <c r="J347" i="21"/>
  <c r="H348" i="21"/>
  <c r="I348" i="21"/>
  <c r="J348" i="21"/>
  <c r="H349" i="21"/>
  <c r="I349" i="21"/>
  <c r="J349" i="21"/>
  <c r="H350" i="21"/>
  <c r="I350" i="21"/>
  <c r="J350" i="21"/>
  <c r="H351" i="21"/>
  <c r="I351" i="21"/>
  <c r="J351" i="21"/>
  <c r="H352" i="21"/>
  <c r="I352" i="21"/>
  <c r="J352" i="21"/>
  <c r="H353" i="21"/>
  <c r="I353" i="21"/>
  <c r="J353" i="21"/>
  <c r="H354" i="21"/>
  <c r="I354" i="21"/>
  <c r="J354" i="21"/>
  <c r="H355" i="21"/>
  <c r="I355" i="21"/>
  <c r="J355" i="21"/>
  <c r="H356" i="21"/>
  <c r="I356" i="21"/>
  <c r="J356" i="21"/>
  <c r="H357" i="21"/>
  <c r="I357" i="21"/>
  <c r="J357" i="21"/>
  <c r="H358" i="21"/>
  <c r="I358" i="21"/>
  <c r="J358" i="21"/>
  <c r="H359" i="21"/>
  <c r="I359" i="21"/>
  <c r="J359" i="21"/>
  <c r="H360" i="21"/>
  <c r="I360" i="21"/>
  <c r="J360" i="21"/>
  <c r="H361" i="21"/>
  <c r="I361" i="21"/>
  <c r="J361" i="21"/>
  <c r="H362" i="21"/>
  <c r="I362" i="21"/>
  <c r="J362" i="21"/>
  <c r="H363" i="21"/>
  <c r="I363" i="21"/>
  <c r="J363" i="21"/>
  <c r="H364" i="21"/>
  <c r="I364" i="21"/>
  <c r="J364" i="21"/>
  <c r="H365" i="21"/>
  <c r="I365" i="21"/>
  <c r="J365" i="21"/>
  <c r="H366" i="21"/>
  <c r="I366" i="21"/>
  <c r="J366" i="21"/>
  <c r="H367" i="21"/>
  <c r="I367" i="21"/>
  <c r="J367" i="21"/>
  <c r="H368" i="21"/>
  <c r="I368" i="21"/>
  <c r="J368" i="21"/>
  <c r="H369" i="21"/>
  <c r="I369" i="21"/>
  <c r="J369" i="21"/>
  <c r="H370" i="21"/>
  <c r="I370" i="21"/>
  <c r="M370" i="21" s="1"/>
  <c r="J370" i="21"/>
  <c r="H371" i="21"/>
  <c r="I371" i="21"/>
  <c r="M371" i="21" s="1"/>
  <c r="J371" i="21"/>
  <c r="H372" i="21"/>
  <c r="I372" i="21"/>
  <c r="J372" i="21"/>
  <c r="H373" i="21"/>
  <c r="I373" i="21"/>
  <c r="J373" i="21"/>
  <c r="H374" i="21"/>
  <c r="I374" i="21"/>
  <c r="J374" i="21"/>
  <c r="H375" i="21"/>
  <c r="I375" i="21"/>
  <c r="J375" i="21"/>
  <c r="H376" i="21"/>
  <c r="I376" i="21"/>
  <c r="J376" i="21"/>
  <c r="H377" i="21"/>
  <c r="I377" i="21"/>
  <c r="J377" i="21"/>
  <c r="H378" i="21"/>
  <c r="I378" i="21"/>
  <c r="J378" i="21"/>
  <c r="H379" i="21"/>
  <c r="I379" i="21"/>
  <c r="J379" i="21"/>
  <c r="H380" i="21"/>
  <c r="I380" i="21"/>
  <c r="J380" i="21"/>
  <c r="H381" i="21"/>
  <c r="I381" i="21"/>
  <c r="J381" i="21"/>
  <c r="H382" i="21"/>
  <c r="I382" i="21"/>
  <c r="J382" i="21"/>
  <c r="H383" i="21"/>
  <c r="I383" i="21"/>
  <c r="J383" i="21"/>
  <c r="H384" i="21"/>
  <c r="I384" i="21"/>
  <c r="J384" i="21"/>
  <c r="H385" i="21"/>
  <c r="I385" i="21"/>
  <c r="J385" i="21"/>
  <c r="H386" i="21"/>
  <c r="I386" i="21"/>
  <c r="J386" i="21"/>
  <c r="H387" i="21"/>
  <c r="I387" i="21"/>
  <c r="J387" i="21"/>
  <c r="H388" i="21"/>
  <c r="I388" i="21"/>
  <c r="J388" i="21"/>
  <c r="H389" i="21"/>
  <c r="I389" i="21"/>
  <c r="J389" i="21"/>
  <c r="H390" i="21"/>
  <c r="I390" i="21"/>
  <c r="J390" i="21"/>
  <c r="H391" i="21"/>
  <c r="I391" i="21"/>
  <c r="J391" i="21"/>
  <c r="H392" i="21"/>
  <c r="I392" i="21"/>
  <c r="J392" i="21"/>
  <c r="H393" i="21"/>
  <c r="I393" i="21"/>
  <c r="J393" i="21"/>
  <c r="H394" i="21"/>
  <c r="I394" i="21"/>
  <c r="J394" i="21"/>
  <c r="H395" i="21"/>
  <c r="I395" i="21"/>
  <c r="M395" i="21" s="1"/>
  <c r="J395" i="21"/>
  <c r="H396" i="21"/>
  <c r="I396" i="21"/>
  <c r="M396" i="21" s="1"/>
  <c r="J396" i="21"/>
  <c r="H397" i="21"/>
  <c r="I397" i="21"/>
  <c r="M397" i="21" s="1"/>
  <c r="J397" i="21"/>
  <c r="H398" i="21"/>
  <c r="I398" i="21"/>
  <c r="M398" i="21" s="1"/>
  <c r="J398" i="21"/>
  <c r="H399" i="21"/>
  <c r="I399" i="21"/>
  <c r="M399" i="21" s="1"/>
  <c r="J399" i="21"/>
  <c r="H400" i="21"/>
  <c r="I400" i="21"/>
  <c r="M400" i="21" s="1"/>
  <c r="J400" i="21"/>
  <c r="H401" i="21"/>
  <c r="I401" i="21"/>
  <c r="J401" i="21"/>
  <c r="H402" i="21"/>
  <c r="I402" i="21"/>
  <c r="J402" i="21"/>
  <c r="H403" i="21"/>
  <c r="I403" i="21"/>
  <c r="J403" i="21"/>
  <c r="H404" i="21"/>
  <c r="I404" i="21"/>
  <c r="J404" i="21"/>
  <c r="H405" i="21"/>
  <c r="I405" i="21"/>
  <c r="J405" i="21"/>
  <c r="H406" i="21"/>
  <c r="I406" i="21"/>
  <c r="J406" i="21"/>
  <c r="H407" i="21"/>
  <c r="J407" i="21"/>
  <c r="H408" i="21"/>
  <c r="J408" i="21"/>
  <c r="H409" i="21"/>
  <c r="J409" i="21"/>
  <c r="H410" i="21"/>
  <c r="I410" i="21"/>
  <c r="J410" i="21"/>
  <c r="H411" i="21"/>
  <c r="I411" i="21"/>
  <c r="M411" i="21" s="1"/>
  <c r="J411" i="21"/>
  <c r="H412" i="21"/>
  <c r="I412" i="21"/>
  <c r="M412" i="21" s="1"/>
  <c r="J412" i="21"/>
  <c r="H413" i="21"/>
  <c r="I413" i="21"/>
  <c r="J413" i="21"/>
  <c r="H414" i="21"/>
  <c r="I414" i="21"/>
  <c r="M414" i="21" s="1"/>
  <c r="J414" i="21"/>
  <c r="H415" i="21"/>
  <c r="I415" i="21"/>
  <c r="M415" i="21" s="1"/>
  <c r="J415" i="21"/>
  <c r="H416" i="21"/>
  <c r="I416" i="21"/>
  <c r="M416" i="21" s="1"/>
  <c r="J416" i="21"/>
  <c r="H417" i="21"/>
  <c r="I417" i="21"/>
  <c r="M417" i="21" s="1"/>
  <c r="J417" i="21"/>
  <c r="H418" i="21"/>
  <c r="I418" i="21"/>
  <c r="M418" i="21" s="1"/>
  <c r="J418" i="21"/>
  <c r="H419" i="21"/>
  <c r="I419" i="21"/>
  <c r="M419" i="21" s="1"/>
  <c r="J419" i="21"/>
  <c r="H420" i="21"/>
  <c r="I420" i="21"/>
  <c r="J420" i="21"/>
  <c r="H433" i="21"/>
  <c r="I433" i="21"/>
  <c r="M433" i="21" s="1"/>
  <c r="J433" i="21"/>
  <c r="H434" i="21"/>
  <c r="I434" i="21"/>
  <c r="M434" i="21" s="1"/>
  <c r="J434" i="21"/>
  <c r="H435" i="21"/>
  <c r="I435" i="21"/>
  <c r="J435" i="21"/>
  <c r="H436" i="21"/>
  <c r="I436" i="21"/>
  <c r="J436" i="21"/>
  <c r="H437" i="21"/>
  <c r="I437" i="21"/>
  <c r="J437" i="21"/>
  <c r="H438" i="21"/>
  <c r="I438" i="21"/>
  <c r="J438" i="21"/>
  <c r="H439" i="21"/>
  <c r="I439" i="21"/>
  <c r="J439" i="21"/>
  <c r="H440" i="21"/>
  <c r="I440" i="21"/>
  <c r="J440" i="21"/>
  <c r="H441" i="21"/>
  <c r="I441" i="21"/>
  <c r="J441" i="21"/>
  <c r="H430" i="21"/>
  <c r="I430" i="21"/>
  <c r="J430" i="21"/>
  <c r="H431" i="21"/>
  <c r="I431" i="21"/>
  <c r="J431" i="21"/>
  <c r="H442" i="21"/>
  <c r="I442" i="21"/>
  <c r="J442" i="21"/>
  <c r="H444" i="21"/>
  <c r="I444" i="21"/>
  <c r="J444" i="21"/>
  <c r="H423" i="21"/>
  <c r="I423" i="21"/>
  <c r="M423" i="21" s="1"/>
  <c r="J423" i="21"/>
  <c r="H424" i="21"/>
  <c r="I424" i="21"/>
  <c r="M424" i="21" s="1"/>
  <c r="J424" i="21"/>
  <c r="H425" i="21"/>
  <c r="I425" i="21"/>
  <c r="M425" i="21" s="1"/>
  <c r="J425" i="21"/>
  <c r="H426" i="21"/>
  <c r="I426" i="21"/>
  <c r="M426" i="21" s="1"/>
  <c r="J426" i="21"/>
  <c r="H445" i="21"/>
  <c r="I445" i="21"/>
  <c r="M445" i="21" s="1"/>
  <c r="J445" i="21"/>
  <c r="H427" i="21"/>
  <c r="I427" i="21"/>
  <c r="J427" i="21"/>
  <c r="H428" i="21"/>
  <c r="I428" i="21"/>
  <c r="J428" i="21"/>
  <c r="H429" i="21"/>
  <c r="I429" i="21"/>
  <c r="J429" i="21"/>
  <c r="H432" i="21"/>
  <c r="I432" i="21"/>
  <c r="J432" i="21"/>
  <c r="H443" i="21"/>
  <c r="I443" i="21"/>
  <c r="J443" i="21"/>
  <c r="H152" i="21"/>
  <c r="I152" i="21"/>
  <c r="J152" i="21"/>
  <c r="H214" i="21"/>
  <c r="I214" i="21"/>
  <c r="J214" i="21"/>
  <c r="H215" i="21"/>
  <c r="I215" i="21"/>
  <c r="J215" i="21"/>
  <c r="H216" i="21"/>
  <c r="I216" i="21"/>
  <c r="J216" i="21"/>
  <c r="H217" i="21"/>
  <c r="I217" i="21"/>
  <c r="J217" i="21"/>
  <c r="H218" i="21"/>
  <c r="I218" i="21"/>
  <c r="J218" i="21"/>
  <c r="H219" i="21"/>
  <c r="I219" i="21"/>
  <c r="J219" i="21"/>
  <c r="H220" i="21"/>
  <c r="I220" i="21"/>
  <c r="J220" i="21"/>
  <c r="H221" i="21"/>
  <c r="I221" i="21"/>
  <c r="J221" i="21"/>
  <c r="H222" i="21"/>
  <c r="I222" i="21"/>
  <c r="J222" i="21"/>
  <c r="H454" i="21"/>
  <c r="I454" i="21"/>
  <c r="J454" i="21"/>
  <c r="H455" i="21"/>
  <c r="I455" i="21"/>
  <c r="J455" i="21"/>
  <c r="H456" i="21"/>
  <c r="I456" i="21"/>
  <c r="J456" i="21"/>
  <c r="H421" i="21"/>
  <c r="I421" i="21"/>
  <c r="J421" i="21"/>
  <c r="H458" i="21"/>
  <c r="I458" i="21"/>
  <c r="J458" i="21"/>
  <c r="M458" i="21" s="1"/>
  <c r="H459" i="21"/>
  <c r="I459" i="21"/>
  <c r="J459" i="21"/>
  <c r="M459" i="21" s="1"/>
  <c r="H460" i="21"/>
  <c r="I460" i="21"/>
  <c r="J460" i="21"/>
  <c r="M460" i="21" s="1"/>
  <c r="H461" i="21"/>
  <c r="I461" i="21"/>
  <c r="J461" i="21"/>
  <c r="M461" i="21" s="1"/>
  <c r="H2" i="21"/>
  <c r="J2" i="21"/>
  <c r="I2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5" i="21"/>
  <c r="G66" i="21"/>
  <c r="G67" i="21"/>
  <c r="G68" i="21"/>
  <c r="G69" i="21"/>
  <c r="G70" i="21"/>
  <c r="G73" i="21"/>
  <c r="G74" i="21"/>
  <c r="G451" i="21"/>
  <c r="G452" i="21"/>
  <c r="G453" i="21"/>
  <c r="G446" i="21"/>
  <c r="G79" i="21"/>
  <c r="G172" i="21"/>
  <c r="G81" i="21"/>
  <c r="G82" i="21"/>
  <c r="G83" i="21"/>
  <c r="G84" i="21"/>
  <c r="G457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239" i="21"/>
  <c r="G240" i="21"/>
  <c r="G105" i="21"/>
  <c r="G106" i="21"/>
  <c r="G107" i="21"/>
  <c r="G108" i="21"/>
  <c r="G109" i="21"/>
  <c r="G110" i="21"/>
  <c r="G111" i="21"/>
  <c r="G112" i="21"/>
  <c r="G447" i="21"/>
  <c r="G448" i="21"/>
  <c r="G115" i="21"/>
  <c r="G116" i="21"/>
  <c r="G117" i="21"/>
  <c r="G118" i="21"/>
  <c r="G119" i="21"/>
  <c r="G120" i="21"/>
  <c r="G80" i="21"/>
  <c r="G103" i="21"/>
  <c r="G104" i="21"/>
  <c r="G124" i="21"/>
  <c r="G121" i="21"/>
  <c r="G122" i="21"/>
  <c r="G123" i="21"/>
  <c r="G125" i="21"/>
  <c r="G126" i="21"/>
  <c r="G130" i="21"/>
  <c r="G131" i="21"/>
  <c r="G127" i="21"/>
  <c r="G128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449" i="21"/>
  <c r="G450" i="21"/>
  <c r="G153" i="21"/>
  <c r="G154" i="21"/>
  <c r="G155" i="21"/>
  <c r="G156" i="21"/>
  <c r="G157" i="21"/>
  <c r="G158" i="21"/>
  <c r="G159" i="21"/>
  <c r="G129" i="21"/>
  <c r="G132" i="21"/>
  <c r="G133" i="21"/>
  <c r="G160" i="21"/>
  <c r="G161" i="21"/>
  <c r="G162" i="21"/>
  <c r="G163" i="21"/>
  <c r="G164" i="21"/>
  <c r="G165" i="21"/>
  <c r="G166" i="21"/>
  <c r="G167" i="21"/>
  <c r="G168" i="21"/>
  <c r="G169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76" i="21"/>
  <c r="G77" i="21"/>
  <c r="G78" i="21"/>
  <c r="G85" i="21"/>
  <c r="G113" i="21"/>
  <c r="G114" i="21"/>
  <c r="G422" i="21"/>
  <c r="G151" i="21"/>
  <c r="G75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420" i="21"/>
  <c r="G433" i="21"/>
  <c r="G434" i="21"/>
  <c r="G435" i="21"/>
  <c r="G436" i="21"/>
  <c r="G437" i="21"/>
  <c r="G438" i="21"/>
  <c r="G439" i="21"/>
  <c r="G440" i="21"/>
  <c r="G441" i="21"/>
  <c r="G430" i="21"/>
  <c r="G431" i="21"/>
  <c r="G442" i="21"/>
  <c r="G444" i="21"/>
  <c r="G423" i="21"/>
  <c r="G424" i="21"/>
  <c r="G425" i="21"/>
  <c r="G426" i="21"/>
  <c r="G445" i="21"/>
  <c r="G427" i="21"/>
  <c r="G428" i="21"/>
  <c r="G429" i="21"/>
  <c r="G432" i="21"/>
  <c r="G443" i="21"/>
  <c r="G152" i="21"/>
  <c r="G214" i="21"/>
  <c r="G215" i="21"/>
  <c r="G216" i="21"/>
  <c r="G217" i="21"/>
  <c r="G218" i="21"/>
  <c r="G219" i="21"/>
  <c r="G220" i="21"/>
  <c r="G221" i="21"/>
  <c r="G222" i="21"/>
  <c r="G454" i="21"/>
  <c r="G455" i="21"/>
  <c r="G456" i="21"/>
  <c r="G421" i="21"/>
  <c r="G458" i="21"/>
  <c r="G459" i="21"/>
  <c r="G460" i="21"/>
  <c r="G461" i="21"/>
  <c r="F3" i="21"/>
  <c r="F4" i="21"/>
  <c r="F5" i="21"/>
  <c r="F6" i="21"/>
  <c r="F7" i="21"/>
  <c r="F8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5" i="21"/>
  <c r="F66" i="21"/>
  <c r="F67" i="21"/>
  <c r="F68" i="21"/>
  <c r="F69" i="21"/>
  <c r="F70" i="21"/>
  <c r="F73" i="21"/>
  <c r="F74" i="21"/>
  <c r="F451" i="21"/>
  <c r="F452" i="21"/>
  <c r="F453" i="21"/>
  <c r="F446" i="21"/>
  <c r="F79" i="21"/>
  <c r="F172" i="21"/>
  <c r="F81" i="21"/>
  <c r="F82" i="21"/>
  <c r="F83" i="21"/>
  <c r="F84" i="21"/>
  <c r="F457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239" i="21"/>
  <c r="F240" i="21"/>
  <c r="F105" i="21"/>
  <c r="F106" i="21"/>
  <c r="F107" i="21"/>
  <c r="F108" i="21"/>
  <c r="F109" i="21"/>
  <c r="F110" i="21"/>
  <c r="F111" i="21"/>
  <c r="F112" i="21"/>
  <c r="F447" i="21"/>
  <c r="F448" i="21"/>
  <c r="F115" i="21"/>
  <c r="F116" i="21"/>
  <c r="F117" i="21"/>
  <c r="F118" i="21"/>
  <c r="F119" i="21"/>
  <c r="F120" i="21"/>
  <c r="F80" i="21"/>
  <c r="F103" i="21"/>
  <c r="F104" i="21"/>
  <c r="F124" i="21"/>
  <c r="F121" i="21"/>
  <c r="F122" i="21"/>
  <c r="F123" i="21"/>
  <c r="F125" i="21"/>
  <c r="F126" i="21"/>
  <c r="F130" i="21"/>
  <c r="F131" i="21"/>
  <c r="F127" i="21"/>
  <c r="F128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449" i="21"/>
  <c r="F450" i="21"/>
  <c r="F153" i="21"/>
  <c r="F154" i="21"/>
  <c r="F155" i="21"/>
  <c r="F156" i="21"/>
  <c r="F157" i="21"/>
  <c r="F158" i="21"/>
  <c r="F159" i="21"/>
  <c r="F129" i="21"/>
  <c r="F132" i="21"/>
  <c r="F133" i="21"/>
  <c r="F160" i="21"/>
  <c r="F161" i="21"/>
  <c r="F162" i="21"/>
  <c r="F163" i="21"/>
  <c r="F164" i="21"/>
  <c r="F165" i="21"/>
  <c r="F166" i="21"/>
  <c r="F167" i="21"/>
  <c r="F168" i="21"/>
  <c r="F169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76" i="21"/>
  <c r="F77" i="21"/>
  <c r="F78" i="21"/>
  <c r="F85" i="21"/>
  <c r="F113" i="21"/>
  <c r="F114" i="21"/>
  <c r="F422" i="21"/>
  <c r="F151" i="21"/>
  <c r="F75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33" i="21"/>
  <c r="F434" i="21"/>
  <c r="F435" i="21"/>
  <c r="F436" i="21"/>
  <c r="F437" i="21"/>
  <c r="F438" i="21"/>
  <c r="F439" i="21"/>
  <c r="F440" i="21"/>
  <c r="F441" i="21"/>
  <c r="F430" i="21"/>
  <c r="F431" i="21"/>
  <c r="F442" i="21"/>
  <c r="F444" i="21"/>
  <c r="F423" i="21"/>
  <c r="F424" i="21"/>
  <c r="F425" i="21"/>
  <c r="F426" i="21"/>
  <c r="F445" i="21"/>
  <c r="F427" i="21"/>
  <c r="F428" i="21"/>
  <c r="F429" i="21"/>
  <c r="F432" i="21"/>
  <c r="F443" i="21"/>
  <c r="F152" i="21"/>
  <c r="F214" i="21"/>
  <c r="F215" i="21"/>
  <c r="F216" i="21"/>
  <c r="F217" i="21"/>
  <c r="F218" i="21"/>
  <c r="F219" i="21"/>
  <c r="F220" i="21"/>
  <c r="F221" i="21"/>
  <c r="F222" i="21"/>
  <c r="F454" i="21"/>
  <c r="F455" i="21"/>
  <c r="F456" i="21"/>
  <c r="F421" i="21"/>
  <c r="F458" i="21"/>
  <c r="F459" i="21"/>
  <c r="F460" i="21"/>
  <c r="F461" i="21"/>
  <c r="F2" i="2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5" i="21"/>
  <c r="C66" i="21"/>
  <c r="C67" i="21"/>
  <c r="C68" i="21"/>
  <c r="C69" i="21"/>
  <c r="C70" i="21"/>
  <c r="C73" i="21"/>
  <c r="C74" i="21"/>
  <c r="C451" i="21"/>
  <c r="C452" i="21"/>
  <c r="C453" i="21"/>
  <c r="C446" i="21"/>
  <c r="C79" i="21"/>
  <c r="C172" i="21"/>
  <c r="C81" i="21"/>
  <c r="C82" i="21"/>
  <c r="C83" i="21"/>
  <c r="C84" i="21"/>
  <c r="C457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239" i="21"/>
  <c r="C240" i="21"/>
  <c r="C105" i="21"/>
  <c r="C106" i="21"/>
  <c r="C107" i="21"/>
  <c r="C108" i="21"/>
  <c r="C109" i="21"/>
  <c r="C110" i="21"/>
  <c r="C111" i="21"/>
  <c r="C112" i="21"/>
  <c r="C447" i="21"/>
  <c r="C448" i="21"/>
  <c r="C115" i="21"/>
  <c r="C116" i="21"/>
  <c r="C117" i="21"/>
  <c r="C118" i="21"/>
  <c r="C119" i="21"/>
  <c r="C120" i="21"/>
  <c r="C80" i="21"/>
  <c r="C103" i="21"/>
  <c r="C104" i="21"/>
  <c r="C124" i="21"/>
  <c r="C121" i="21"/>
  <c r="C122" i="21"/>
  <c r="C123" i="21"/>
  <c r="C125" i="21"/>
  <c r="C126" i="21"/>
  <c r="C130" i="21"/>
  <c r="C131" i="21"/>
  <c r="C127" i="21"/>
  <c r="C128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449" i="21"/>
  <c r="C450" i="21"/>
  <c r="C153" i="21"/>
  <c r="C154" i="21"/>
  <c r="C155" i="21"/>
  <c r="C156" i="21"/>
  <c r="C157" i="21"/>
  <c r="C158" i="21"/>
  <c r="C159" i="21"/>
  <c r="C129" i="21"/>
  <c r="C132" i="21"/>
  <c r="C133" i="21"/>
  <c r="C160" i="21"/>
  <c r="C161" i="21"/>
  <c r="C162" i="21"/>
  <c r="C163" i="21"/>
  <c r="C164" i="21"/>
  <c r="C165" i="21"/>
  <c r="C166" i="21"/>
  <c r="C167" i="21"/>
  <c r="C168" i="21"/>
  <c r="C169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211" i="21"/>
  <c r="C212" i="21"/>
  <c r="C213" i="21"/>
  <c r="C76" i="21"/>
  <c r="C77" i="21"/>
  <c r="C78" i="21"/>
  <c r="C85" i="21"/>
  <c r="C113" i="21"/>
  <c r="C114" i="21"/>
  <c r="C422" i="21"/>
  <c r="C151" i="21"/>
  <c r="C75" i="21"/>
  <c r="C223" i="21"/>
  <c r="C224" i="21"/>
  <c r="C225" i="21"/>
  <c r="C226" i="21"/>
  <c r="C227" i="21"/>
  <c r="C228" i="21"/>
  <c r="C229" i="21"/>
  <c r="C230" i="21"/>
  <c r="C231" i="21"/>
  <c r="C232" i="21"/>
  <c r="C233" i="21"/>
  <c r="C234" i="21"/>
  <c r="C235" i="21"/>
  <c r="C236" i="21"/>
  <c r="C237" i="21"/>
  <c r="C238" i="21"/>
  <c r="C241" i="21"/>
  <c r="C242" i="21"/>
  <c r="C243" i="21"/>
  <c r="C244" i="21"/>
  <c r="C245" i="21"/>
  <c r="C246" i="21"/>
  <c r="C247" i="21"/>
  <c r="C248" i="21"/>
  <c r="C249" i="21"/>
  <c r="C250" i="21"/>
  <c r="C251" i="21"/>
  <c r="C252" i="21"/>
  <c r="C253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68" i="21"/>
  <c r="C269" i="21"/>
  <c r="C270" i="21"/>
  <c r="C271" i="21"/>
  <c r="C272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87" i="21"/>
  <c r="C288" i="21"/>
  <c r="C289" i="21"/>
  <c r="C290" i="21"/>
  <c r="C291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306" i="21"/>
  <c r="C307" i="21"/>
  <c r="C308" i="21"/>
  <c r="C309" i="21"/>
  <c r="C310" i="21"/>
  <c r="C311" i="21"/>
  <c r="C312" i="21"/>
  <c r="C313" i="21"/>
  <c r="C314" i="21"/>
  <c r="C315" i="21"/>
  <c r="C316" i="21"/>
  <c r="C317" i="21"/>
  <c r="C318" i="21"/>
  <c r="C319" i="21"/>
  <c r="C320" i="21"/>
  <c r="C321" i="21"/>
  <c r="C322" i="21"/>
  <c r="C323" i="21"/>
  <c r="C324" i="21"/>
  <c r="C325" i="21"/>
  <c r="C326" i="21"/>
  <c r="C327" i="21"/>
  <c r="C328" i="21"/>
  <c r="C329" i="21"/>
  <c r="C330" i="21"/>
  <c r="C331" i="21"/>
  <c r="C332" i="21"/>
  <c r="C333" i="21"/>
  <c r="C334" i="21"/>
  <c r="C335" i="21"/>
  <c r="C336" i="21"/>
  <c r="C337" i="21"/>
  <c r="C338" i="21"/>
  <c r="C339" i="21"/>
  <c r="C340" i="21"/>
  <c r="C341" i="21"/>
  <c r="C342" i="21"/>
  <c r="C343" i="21"/>
  <c r="C344" i="21"/>
  <c r="C345" i="21"/>
  <c r="C346" i="21"/>
  <c r="C347" i="21"/>
  <c r="C348" i="21"/>
  <c r="C349" i="21"/>
  <c r="C350" i="21"/>
  <c r="C351" i="21"/>
  <c r="C352" i="21"/>
  <c r="C353" i="21"/>
  <c r="C354" i="21"/>
  <c r="C355" i="21"/>
  <c r="C356" i="21"/>
  <c r="C357" i="21"/>
  <c r="C358" i="21"/>
  <c r="C359" i="21"/>
  <c r="C360" i="21"/>
  <c r="C361" i="21"/>
  <c r="C362" i="21"/>
  <c r="C363" i="21"/>
  <c r="C364" i="21"/>
  <c r="C365" i="21"/>
  <c r="C366" i="21"/>
  <c r="C367" i="21"/>
  <c r="C368" i="21"/>
  <c r="C369" i="21"/>
  <c r="C370" i="21"/>
  <c r="C371" i="21"/>
  <c r="C372" i="21"/>
  <c r="C373" i="21"/>
  <c r="C374" i="21"/>
  <c r="C375" i="21"/>
  <c r="C376" i="21"/>
  <c r="C377" i="21"/>
  <c r="C378" i="21"/>
  <c r="C379" i="21"/>
  <c r="C380" i="21"/>
  <c r="C381" i="21"/>
  <c r="C382" i="21"/>
  <c r="C383" i="21"/>
  <c r="C384" i="21"/>
  <c r="C385" i="21"/>
  <c r="C386" i="21"/>
  <c r="C387" i="21"/>
  <c r="C388" i="21"/>
  <c r="C389" i="21"/>
  <c r="C390" i="21"/>
  <c r="C391" i="21"/>
  <c r="C392" i="21"/>
  <c r="C393" i="21"/>
  <c r="C394" i="21"/>
  <c r="C395" i="21"/>
  <c r="C396" i="21"/>
  <c r="C397" i="21"/>
  <c r="C398" i="21"/>
  <c r="C399" i="21"/>
  <c r="C400" i="21"/>
  <c r="C401" i="21"/>
  <c r="C402" i="21"/>
  <c r="C403" i="21"/>
  <c r="C404" i="21"/>
  <c r="C405" i="21"/>
  <c r="C406" i="21"/>
  <c r="C407" i="21"/>
  <c r="C408" i="21"/>
  <c r="C409" i="21"/>
  <c r="C410" i="21"/>
  <c r="C411" i="21"/>
  <c r="C412" i="21"/>
  <c r="C413" i="21"/>
  <c r="C414" i="21"/>
  <c r="C415" i="21"/>
  <c r="C416" i="21"/>
  <c r="C417" i="21"/>
  <c r="C418" i="21"/>
  <c r="C419" i="21"/>
  <c r="C420" i="21"/>
  <c r="C433" i="21"/>
  <c r="C434" i="21"/>
  <c r="C435" i="21"/>
  <c r="C436" i="21"/>
  <c r="C437" i="21"/>
  <c r="C438" i="21"/>
  <c r="C439" i="21"/>
  <c r="C440" i="21"/>
  <c r="C441" i="21"/>
  <c r="C430" i="21"/>
  <c r="C431" i="21"/>
  <c r="C442" i="21"/>
  <c r="C444" i="21"/>
  <c r="C423" i="21"/>
  <c r="C424" i="21"/>
  <c r="C425" i="21"/>
  <c r="C426" i="21"/>
  <c r="C445" i="21"/>
  <c r="C427" i="21"/>
  <c r="C428" i="21"/>
  <c r="C429" i="21"/>
  <c r="C432" i="21"/>
  <c r="C443" i="21"/>
  <c r="C152" i="21"/>
  <c r="C214" i="21"/>
  <c r="C215" i="21"/>
  <c r="C216" i="21"/>
  <c r="C217" i="21"/>
  <c r="C218" i="21"/>
  <c r="C219" i="21"/>
  <c r="C220" i="21"/>
  <c r="C221" i="21"/>
  <c r="C222" i="21"/>
  <c r="C454" i="21"/>
  <c r="C455" i="21"/>
  <c r="C456" i="21"/>
  <c r="C421" i="21"/>
  <c r="C458" i="21"/>
  <c r="C459" i="21"/>
  <c r="C460" i="21"/>
  <c r="C461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5" i="21"/>
  <c r="B66" i="21"/>
  <c r="B67" i="21"/>
  <c r="B68" i="21"/>
  <c r="B69" i="21"/>
  <c r="B70" i="21"/>
  <c r="X147" i="23" s="1"/>
  <c r="B73" i="21"/>
  <c r="B74" i="21"/>
  <c r="B451" i="21"/>
  <c r="B452" i="21"/>
  <c r="B453" i="21"/>
  <c r="X163" i="23" s="1"/>
  <c r="B446" i="21"/>
  <c r="B79" i="21"/>
  <c r="X171" i="23" s="1"/>
  <c r="B172" i="21"/>
  <c r="B81" i="21"/>
  <c r="B82" i="21"/>
  <c r="B83" i="21"/>
  <c r="B84" i="21"/>
  <c r="X172" i="23" s="1"/>
  <c r="B457" i="21"/>
  <c r="B86" i="21"/>
  <c r="X173" i="23" s="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239" i="21"/>
  <c r="B240" i="21"/>
  <c r="B105" i="21"/>
  <c r="B106" i="21"/>
  <c r="B107" i="21"/>
  <c r="B108" i="21"/>
  <c r="B109" i="21"/>
  <c r="X174" i="23" s="1"/>
  <c r="B110" i="21"/>
  <c r="B111" i="21"/>
  <c r="B112" i="21"/>
  <c r="B447" i="21"/>
  <c r="B448" i="21"/>
  <c r="B115" i="21"/>
  <c r="B116" i="21"/>
  <c r="B117" i="21"/>
  <c r="B118" i="21"/>
  <c r="B119" i="21"/>
  <c r="B120" i="21"/>
  <c r="B80" i="21"/>
  <c r="B103" i="21"/>
  <c r="B104" i="21"/>
  <c r="B124" i="21"/>
  <c r="B121" i="21"/>
  <c r="B122" i="21"/>
  <c r="B123" i="21"/>
  <c r="B125" i="21"/>
  <c r="B126" i="21"/>
  <c r="B130" i="21"/>
  <c r="B131" i="21"/>
  <c r="B127" i="21"/>
  <c r="B128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449" i="21"/>
  <c r="B450" i="21"/>
  <c r="B153" i="21"/>
  <c r="X156" i="23" s="1"/>
  <c r="B154" i="21"/>
  <c r="X157" i="23" s="1"/>
  <c r="B155" i="21"/>
  <c r="X158" i="23" s="1"/>
  <c r="B156" i="21"/>
  <c r="X159" i="23" s="1"/>
  <c r="B157" i="21"/>
  <c r="B158" i="21"/>
  <c r="B159" i="21"/>
  <c r="B129" i="21"/>
  <c r="B132" i="21"/>
  <c r="B133" i="21"/>
  <c r="B160" i="21"/>
  <c r="B161" i="21"/>
  <c r="B162" i="21"/>
  <c r="B163" i="21"/>
  <c r="B164" i="21"/>
  <c r="B165" i="21"/>
  <c r="B166" i="21"/>
  <c r="B167" i="21"/>
  <c r="B168" i="21"/>
  <c r="B169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76" i="21"/>
  <c r="B77" i="21"/>
  <c r="B78" i="21"/>
  <c r="B85" i="21"/>
  <c r="B113" i="21"/>
  <c r="B114" i="21"/>
  <c r="B422" i="21"/>
  <c r="B151" i="21"/>
  <c r="B75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41" i="21"/>
  <c r="B242" i="21"/>
  <c r="B243" i="21"/>
  <c r="B244" i="21"/>
  <c r="B245" i="21"/>
  <c r="B246" i="21"/>
  <c r="X89" i="23" s="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6" i="21"/>
  <c r="B307" i="21"/>
  <c r="B308" i="21"/>
  <c r="B309" i="21"/>
  <c r="B310" i="21"/>
  <c r="B311" i="21"/>
  <c r="B312" i="21"/>
  <c r="B313" i="21"/>
  <c r="B314" i="21"/>
  <c r="B315" i="21"/>
  <c r="B316" i="21"/>
  <c r="B317" i="21"/>
  <c r="X105" i="23" s="1"/>
  <c r="B318" i="21"/>
  <c r="B319" i="21"/>
  <c r="B320" i="21"/>
  <c r="B321" i="21"/>
  <c r="B322" i="21"/>
  <c r="B323" i="21"/>
  <c r="B324" i="21"/>
  <c r="B325" i="21"/>
  <c r="B326" i="21"/>
  <c r="X164" i="23" s="1"/>
  <c r="B327" i="21"/>
  <c r="B328" i="21"/>
  <c r="X165" i="23" s="1"/>
  <c r="B329" i="21"/>
  <c r="X87" i="23" s="1"/>
  <c r="B330" i="21"/>
  <c r="B331" i="21"/>
  <c r="B332" i="21"/>
  <c r="B333" i="21"/>
  <c r="B334" i="21"/>
  <c r="B335" i="21"/>
  <c r="B336" i="21"/>
  <c r="B337" i="21"/>
  <c r="B338" i="21"/>
  <c r="B339" i="21"/>
  <c r="B340" i="21"/>
  <c r="B341" i="21"/>
  <c r="B342" i="21"/>
  <c r="X91" i="23" s="1"/>
  <c r="B343" i="21"/>
  <c r="B344" i="21"/>
  <c r="B345" i="21"/>
  <c r="B346" i="21"/>
  <c r="B347" i="21"/>
  <c r="B348" i="21"/>
  <c r="B349" i="21"/>
  <c r="B350" i="21"/>
  <c r="B351" i="21"/>
  <c r="B352" i="21"/>
  <c r="X69" i="23" s="1"/>
  <c r="B353" i="21"/>
  <c r="B354" i="21"/>
  <c r="X64" i="23" s="1"/>
  <c r="B355" i="21"/>
  <c r="B356" i="21"/>
  <c r="B357" i="21"/>
  <c r="B358" i="21"/>
  <c r="B359" i="21"/>
  <c r="B360" i="21"/>
  <c r="B361" i="21"/>
  <c r="B362" i="21"/>
  <c r="B363" i="21"/>
  <c r="B364" i="21"/>
  <c r="B365" i="21"/>
  <c r="B366" i="21"/>
  <c r="B367" i="21"/>
  <c r="B368" i="21"/>
  <c r="B369" i="21"/>
  <c r="X80" i="23" s="1"/>
  <c r="B370" i="21"/>
  <c r="B371" i="21"/>
  <c r="B372" i="21"/>
  <c r="B373" i="21"/>
  <c r="B374" i="21"/>
  <c r="B375" i="21"/>
  <c r="B376" i="21"/>
  <c r="B377" i="21"/>
  <c r="B378" i="21"/>
  <c r="X38" i="23" s="1"/>
  <c r="B379" i="21"/>
  <c r="X138" i="23" s="1"/>
  <c r="B380" i="21"/>
  <c r="X166" i="23" s="1"/>
  <c r="B381" i="21"/>
  <c r="B382" i="21"/>
  <c r="B383" i="21"/>
  <c r="B384" i="21"/>
  <c r="B385" i="21"/>
  <c r="B386" i="21"/>
  <c r="B387" i="21"/>
  <c r="B388" i="21"/>
  <c r="B389" i="21"/>
  <c r="B390" i="21"/>
  <c r="B391" i="21"/>
  <c r="B392" i="21"/>
  <c r="B393" i="21"/>
  <c r="B394" i="21"/>
  <c r="B395" i="21"/>
  <c r="B396" i="21"/>
  <c r="B397" i="21"/>
  <c r="B398" i="21"/>
  <c r="B399" i="21"/>
  <c r="X98" i="23" s="1"/>
  <c r="B400" i="21"/>
  <c r="B401" i="21"/>
  <c r="B402" i="21"/>
  <c r="B403" i="21"/>
  <c r="B404" i="21"/>
  <c r="B405" i="21"/>
  <c r="B406" i="21"/>
  <c r="B407" i="21"/>
  <c r="B408" i="21"/>
  <c r="B409" i="21"/>
  <c r="B410" i="21"/>
  <c r="B411" i="21"/>
  <c r="X70" i="23" s="1"/>
  <c r="B412" i="21"/>
  <c r="X71" i="23" s="1"/>
  <c r="B413" i="21"/>
  <c r="B414" i="21"/>
  <c r="X167" i="23" s="1"/>
  <c r="B415" i="21"/>
  <c r="X168" i="23" s="1"/>
  <c r="B416" i="21"/>
  <c r="X169" i="23" s="1"/>
  <c r="B417" i="21"/>
  <c r="B418" i="21"/>
  <c r="B419" i="21"/>
  <c r="B420" i="21"/>
  <c r="B433" i="21"/>
  <c r="B434" i="21"/>
  <c r="B435" i="21"/>
  <c r="B436" i="21"/>
  <c r="B437" i="21"/>
  <c r="B438" i="21"/>
  <c r="B439" i="21"/>
  <c r="B440" i="21"/>
  <c r="B441" i="21"/>
  <c r="B430" i="21"/>
  <c r="B431" i="21"/>
  <c r="B442" i="21"/>
  <c r="B444" i="21"/>
  <c r="B423" i="21"/>
  <c r="B424" i="21"/>
  <c r="B425" i="21"/>
  <c r="B426" i="21"/>
  <c r="B445" i="21"/>
  <c r="B427" i="21"/>
  <c r="B428" i="21"/>
  <c r="B429" i="21"/>
  <c r="B432" i="21"/>
  <c r="B443" i="21"/>
  <c r="B152" i="21"/>
  <c r="B214" i="21"/>
  <c r="B215" i="21"/>
  <c r="B216" i="21"/>
  <c r="B217" i="21"/>
  <c r="B218" i="21"/>
  <c r="B219" i="21"/>
  <c r="B220" i="21"/>
  <c r="B221" i="21"/>
  <c r="B222" i="21"/>
  <c r="B454" i="21"/>
  <c r="B455" i="21"/>
  <c r="B456" i="21"/>
  <c r="B421" i="21"/>
  <c r="B458" i="21"/>
  <c r="B459" i="21"/>
  <c r="B460" i="21"/>
  <c r="B461" i="21"/>
  <c r="E254" i="5"/>
  <c r="F254" i="5"/>
  <c r="G254" i="5"/>
  <c r="H254" i="5"/>
  <c r="E253" i="5"/>
  <c r="F253" i="5"/>
  <c r="G253" i="5"/>
  <c r="H253" i="5"/>
  <c r="E252" i="5"/>
  <c r="F252" i="5"/>
  <c r="G252" i="5"/>
  <c r="H252" i="5"/>
  <c r="E251" i="5"/>
  <c r="F251" i="5"/>
  <c r="G251" i="5"/>
  <c r="H251" i="5"/>
  <c r="E250" i="5"/>
  <c r="F250" i="5"/>
  <c r="G250" i="5"/>
  <c r="H250" i="5"/>
  <c r="E260" i="5"/>
  <c r="F260" i="5"/>
  <c r="G260" i="5"/>
  <c r="H260" i="5"/>
  <c r="E248" i="5"/>
  <c r="F248" i="5"/>
  <c r="G248" i="5"/>
  <c r="H248" i="5"/>
  <c r="E247" i="5"/>
  <c r="F247" i="5"/>
  <c r="G247" i="5"/>
  <c r="H247" i="5"/>
  <c r="E246" i="5"/>
  <c r="F246" i="5"/>
  <c r="G246" i="5"/>
  <c r="H246" i="5"/>
  <c r="E245" i="5"/>
  <c r="F245" i="5"/>
  <c r="G245" i="5"/>
  <c r="H245" i="5"/>
  <c r="E244" i="5"/>
  <c r="F244" i="5"/>
  <c r="G244" i="5"/>
  <c r="H244" i="5"/>
  <c r="X55" i="23" l="1"/>
  <c r="AA142" i="23"/>
  <c r="Z142" i="23"/>
  <c r="Z113" i="23"/>
  <c r="AA113" i="23"/>
  <c r="AA179" i="23"/>
  <c r="Z179" i="23"/>
  <c r="AA106" i="23"/>
  <c r="Z106" i="23"/>
  <c r="AA39" i="23"/>
  <c r="Z39" i="23"/>
  <c r="AA93" i="23"/>
  <c r="Z93" i="23"/>
  <c r="AA83" i="23"/>
  <c r="Z83" i="23"/>
  <c r="AA55" i="23"/>
  <c r="Z55" i="23"/>
  <c r="AA66" i="23"/>
  <c r="Z66" i="23"/>
  <c r="Y168" i="23"/>
  <c r="AA168" i="23"/>
  <c r="Z168" i="23"/>
  <c r="Y70" i="23"/>
  <c r="AA70" i="23"/>
  <c r="Z70" i="23"/>
  <c r="Y98" i="23"/>
  <c r="AA98" i="23"/>
  <c r="Z98" i="23"/>
  <c r="Z49" i="23"/>
  <c r="AA49" i="23"/>
  <c r="Y138" i="23"/>
  <c r="AA138" i="23"/>
  <c r="Z138" i="23"/>
  <c r="AA19" i="23"/>
  <c r="Z19" i="23"/>
  <c r="Y137" i="23"/>
  <c r="AA137" i="23"/>
  <c r="Z137" i="23"/>
  <c r="AA114" i="23"/>
  <c r="Z114" i="23"/>
  <c r="Y68" i="23"/>
  <c r="AA68" i="23"/>
  <c r="Z68" i="23"/>
  <c r="AA75" i="23"/>
  <c r="Z75" i="23"/>
  <c r="AA59" i="23"/>
  <c r="Z59" i="23"/>
  <c r="AA78" i="23"/>
  <c r="Z78" i="23"/>
  <c r="AA37" i="23"/>
  <c r="Z37" i="23"/>
  <c r="AA134" i="23"/>
  <c r="Z134" i="23"/>
  <c r="AA3" i="23"/>
  <c r="Z3" i="23"/>
  <c r="Y157" i="23"/>
  <c r="Z157" i="23"/>
  <c r="AA157" i="23"/>
  <c r="AA15" i="23"/>
  <c r="Z15" i="23"/>
  <c r="AA12" i="23"/>
  <c r="Z12" i="23"/>
  <c r="AA21" i="23"/>
  <c r="Z21" i="23"/>
  <c r="AA99" i="23"/>
  <c r="Z99" i="23"/>
  <c r="Y173" i="23"/>
  <c r="Z173" i="23"/>
  <c r="AA173" i="23"/>
  <c r="Z33" i="23"/>
  <c r="AA33" i="23"/>
  <c r="AA25" i="23"/>
  <c r="Z25" i="23"/>
  <c r="AA32" i="23"/>
  <c r="Z32" i="23"/>
  <c r="AA7" i="23"/>
  <c r="Z7" i="23"/>
  <c r="AA131" i="23"/>
  <c r="Z131" i="23"/>
  <c r="AA5" i="23"/>
  <c r="Z5" i="23"/>
  <c r="AA74" i="23"/>
  <c r="Z74" i="23"/>
  <c r="AA103" i="23"/>
  <c r="Z103" i="23"/>
  <c r="AA85" i="23"/>
  <c r="Z85" i="23"/>
  <c r="AA152" i="23"/>
  <c r="Z152" i="23"/>
  <c r="AA128" i="23"/>
  <c r="Z128" i="23"/>
  <c r="AA124" i="23"/>
  <c r="Z124" i="23"/>
  <c r="AA120" i="23"/>
  <c r="Z120" i="23"/>
  <c r="AA140" i="23"/>
  <c r="Z140" i="23"/>
  <c r="AA95" i="23"/>
  <c r="Z95" i="23"/>
  <c r="AA24" i="23"/>
  <c r="Z24" i="23"/>
  <c r="AA76" i="23"/>
  <c r="Z76" i="23"/>
  <c r="AA155" i="23"/>
  <c r="Z155" i="23"/>
  <c r="AA36" i="23"/>
  <c r="Z36" i="23"/>
  <c r="AA151" i="23"/>
  <c r="Z151" i="23"/>
  <c r="AA127" i="23"/>
  <c r="Z127" i="23"/>
  <c r="AA123" i="23"/>
  <c r="Z123" i="23"/>
  <c r="AA119" i="23"/>
  <c r="Z119" i="23"/>
  <c r="AA150" i="23"/>
  <c r="Z150" i="23"/>
  <c r="AA48" i="23"/>
  <c r="Z48" i="23"/>
  <c r="AA178" i="23"/>
  <c r="Z178" i="23"/>
  <c r="AA96" i="23"/>
  <c r="Z96" i="23"/>
  <c r="AA139" i="23"/>
  <c r="Z139" i="23"/>
  <c r="AA148" i="23"/>
  <c r="Z148" i="23"/>
  <c r="AA115" i="23"/>
  <c r="Z115" i="23"/>
  <c r="AA51" i="23"/>
  <c r="Z51" i="23"/>
  <c r="AA111" i="23"/>
  <c r="Z111" i="23"/>
  <c r="Y167" i="23"/>
  <c r="AA167" i="23"/>
  <c r="Z167" i="23"/>
  <c r="AA50" i="23"/>
  <c r="Z50" i="23"/>
  <c r="AA34" i="23"/>
  <c r="Z34" i="23"/>
  <c r="Y38" i="23"/>
  <c r="AA38" i="23"/>
  <c r="Z38" i="23"/>
  <c r="AA88" i="23"/>
  <c r="Z88" i="23"/>
  <c r="AA35" i="23"/>
  <c r="Z35" i="23"/>
  <c r="Y64" i="23"/>
  <c r="AA64" i="23"/>
  <c r="Z64" i="23"/>
  <c r="Y91" i="23"/>
  <c r="AA91" i="23"/>
  <c r="Z91" i="23"/>
  <c r="AA79" i="23"/>
  <c r="Z79" i="23"/>
  <c r="Y164" i="23"/>
  <c r="AA164" i="23"/>
  <c r="Z164" i="23"/>
  <c r="AA90" i="23"/>
  <c r="Z90" i="23"/>
  <c r="AA46" i="23"/>
  <c r="Z46" i="23"/>
  <c r="Z97" i="23"/>
  <c r="AA97" i="23"/>
  <c r="AA62" i="23"/>
  <c r="Z62" i="23"/>
  <c r="Z29" i="23"/>
  <c r="AA29" i="23"/>
  <c r="Y156" i="23"/>
  <c r="AA156" i="23"/>
  <c r="Z156" i="23"/>
  <c r="Y174" i="23"/>
  <c r="AA174" i="23"/>
  <c r="Z174" i="23"/>
  <c r="AA8" i="23"/>
  <c r="Z8" i="23"/>
  <c r="Z77" i="23"/>
  <c r="AA77" i="23"/>
  <c r="Y163" i="23"/>
  <c r="AA163" i="23"/>
  <c r="Z163" i="23"/>
  <c r="AA18" i="23"/>
  <c r="Z18" i="23"/>
  <c r="AA11" i="23"/>
  <c r="Z11" i="23"/>
  <c r="AA132" i="23"/>
  <c r="Z132" i="23"/>
  <c r="AA26" i="23"/>
  <c r="Z26" i="23"/>
  <c r="AA82" i="23"/>
  <c r="Z82" i="23"/>
  <c r="AA22" i="23"/>
  <c r="Z22" i="23"/>
  <c r="AA20" i="23"/>
  <c r="Z20" i="23"/>
  <c r="AA6" i="23"/>
  <c r="Z6" i="23"/>
  <c r="AA2" i="23"/>
  <c r="Z2" i="23"/>
  <c r="AA181" i="23"/>
  <c r="Z181" i="23"/>
  <c r="AA23" i="23"/>
  <c r="Z23" i="23"/>
  <c r="AA102" i="23"/>
  <c r="Z102" i="23"/>
  <c r="AA130" i="23"/>
  <c r="Z130" i="23"/>
  <c r="AA126" i="23"/>
  <c r="Z126" i="23"/>
  <c r="AA122" i="23"/>
  <c r="Z122" i="23"/>
  <c r="AA118" i="23"/>
  <c r="Z118" i="23"/>
  <c r="AA30" i="23"/>
  <c r="Z30" i="23"/>
  <c r="Z177" i="23"/>
  <c r="AA177" i="23"/>
  <c r="AA176" i="23"/>
  <c r="Z176" i="23"/>
  <c r="AA117" i="23"/>
  <c r="Z117" i="23"/>
  <c r="AA43" i="23"/>
  <c r="Z43" i="23"/>
  <c r="AA40" i="23"/>
  <c r="Z40" i="23"/>
  <c r="AA41" i="23"/>
  <c r="Z41" i="23"/>
  <c r="AA84" i="23"/>
  <c r="Z84" i="23"/>
  <c r="AA112" i="23"/>
  <c r="Z112" i="23"/>
  <c r="Z65" i="23"/>
  <c r="AA65" i="23"/>
  <c r="Z81" i="23"/>
  <c r="AA81" i="23"/>
  <c r="AA92" i="23"/>
  <c r="Z92" i="23"/>
  <c r="AA47" i="23"/>
  <c r="Z47" i="23"/>
  <c r="Y80" i="23"/>
  <c r="AA80" i="23"/>
  <c r="Z80" i="23"/>
  <c r="Y87" i="23"/>
  <c r="AA87" i="23"/>
  <c r="Z87" i="23"/>
  <c r="Y110" i="23"/>
  <c r="AA110" i="23"/>
  <c r="Z110" i="23"/>
  <c r="AA136" i="23"/>
  <c r="Z136" i="23"/>
  <c r="Y105" i="23"/>
  <c r="AA105" i="23"/>
  <c r="Z105" i="23"/>
  <c r="Z45" i="23"/>
  <c r="AA45" i="23"/>
  <c r="Y89" i="23"/>
  <c r="AA89" i="23"/>
  <c r="Z89" i="23"/>
  <c r="AA28" i="23"/>
  <c r="Z28" i="23"/>
  <c r="Y159" i="23"/>
  <c r="AA159" i="23"/>
  <c r="Z159" i="23"/>
  <c r="AA14" i="23"/>
  <c r="Z14" i="23"/>
  <c r="Y172" i="23"/>
  <c r="AA172" i="23"/>
  <c r="Z172" i="23"/>
  <c r="AA86" i="23"/>
  <c r="Z86" i="23"/>
  <c r="Z145" i="23"/>
  <c r="AA145" i="23"/>
  <c r="Y147" i="23"/>
  <c r="AA147" i="23"/>
  <c r="Z147" i="23"/>
  <c r="AA9" i="23"/>
  <c r="Z9" i="23"/>
  <c r="AA31" i="23"/>
  <c r="Z31" i="23"/>
  <c r="AA10" i="23"/>
  <c r="Z10" i="23"/>
  <c r="AA60" i="23"/>
  <c r="Z60" i="23"/>
  <c r="AA143" i="23"/>
  <c r="Z143" i="23"/>
  <c r="AA162" i="23"/>
  <c r="Z162" i="23"/>
  <c r="AA104" i="23"/>
  <c r="Z104" i="23"/>
  <c r="AA42" i="23"/>
  <c r="Z42" i="23"/>
  <c r="AA153" i="23"/>
  <c r="Z153" i="23"/>
  <c r="Z129" i="23"/>
  <c r="AA129" i="23"/>
  <c r="Z125" i="23"/>
  <c r="AA125" i="23"/>
  <c r="AA121" i="23"/>
  <c r="Z121" i="23"/>
  <c r="Z141" i="23"/>
  <c r="AA141" i="23"/>
  <c r="AA73" i="23"/>
  <c r="Z73" i="23"/>
  <c r="AA182" i="23"/>
  <c r="Z182" i="23"/>
  <c r="AA180" i="23"/>
  <c r="Z180" i="23"/>
  <c r="AA149" i="23"/>
  <c r="Z149" i="23"/>
  <c r="Z161" i="23"/>
  <c r="AA161" i="23"/>
  <c r="AA56" i="23"/>
  <c r="Z56" i="23"/>
  <c r="AA146" i="23"/>
  <c r="Z146" i="23"/>
  <c r="AA94" i="23"/>
  <c r="Z94" i="23"/>
  <c r="AA101" i="23"/>
  <c r="Z101" i="23"/>
  <c r="AA116" i="23"/>
  <c r="Z116" i="23"/>
  <c r="AA54" i="23"/>
  <c r="Z54" i="23"/>
  <c r="AA72" i="23"/>
  <c r="Z72" i="23"/>
  <c r="Y169" i="23"/>
  <c r="Z169" i="23"/>
  <c r="AA169" i="23"/>
  <c r="Y71" i="23"/>
  <c r="AA71" i="23"/>
  <c r="Z71" i="23"/>
  <c r="AA100" i="23"/>
  <c r="Z100" i="23"/>
  <c r="AA27" i="23"/>
  <c r="Z27" i="23"/>
  <c r="Y166" i="23"/>
  <c r="AA166" i="23"/>
  <c r="Z166" i="23"/>
  <c r="Y69" i="23"/>
  <c r="AA69" i="23"/>
  <c r="Z69" i="23"/>
  <c r="Y165" i="23"/>
  <c r="AA165" i="23"/>
  <c r="Z165" i="23"/>
  <c r="AA135" i="23"/>
  <c r="Z135" i="23"/>
  <c r="AA57" i="23"/>
  <c r="Z57" i="23"/>
  <c r="AA63" i="23"/>
  <c r="Z63" i="23"/>
  <c r="AA53" i="23"/>
  <c r="Z53" i="23"/>
  <c r="AA44" i="23"/>
  <c r="Z44" i="23"/>
  <c r="AA67" i="23"/>
  <c r="Z67" i="23"/>
  <c r="Y160" i="23"/>
  <c r="AA160" i="23"/>
  <c r="Z160" i="23"/>
  <c r="Z109" i="23"/>
  <c r="AA109" i="23"/>
  <c r="Y158" i="23"/>
  <c r="AA158" i="23"/>
  <c r="Z158" i="23"/>
  <c r="Z17" i="23"/>
  <c r="AA17" i="23"/>
  <c r="AA4" i="23"/>
  <c r="Z4" i="23"/>
  <c r="AA133" i="23"/>
  <c r="Z133" i="23"/>
  <c r="AA108" i="23"/>
  <c r="Z108" i="23"/>
  <c r="AA58" i="23"/>
  <c r="Z58" i="23"/>
  <c r="Y171" i="23"/>
  <c r="AA171" i="23"/>
  <c r="Z171" i="23"/>
  <c r="AA144" i="23"/>
  <c r="Z144" i="23"/>
  <c r="AA61" i="23"/>
  <c r="Z61" i="23"/>
  <c r="AA52" i="23"/>
  <c r="Z52" i="23"/>
  <c r="Z13" i="23"/>
  <c r="AA13" i="23"/>
  <c r="AA16" i="23"/>
  <c r="Z16" i="23"/>
  <c r="X111" i="23"/>
  <c r="X148" i="23"/>
  <c r="X50" i="23"/>
  <c r="X88" i="23"/>
  <c r="Y148" i="23"/>
  <c r="Y88" i="23"/>
  <c r="X135" i="23"/>
  <c r="X94" i="23"/>
  <c r="X101" i="23"/>
  <c r="X72" i="23"/>
  <c r="X66" i="23"/>
  <c r="X136" i="23"/>
  <c r="Y92" i="23"/>
  <c r="X116" i="23"/>
  <c r="X54" i="23"/>
  <c r="X27" i="23"/>
  <c r="X63" i="23"/>
  <c r="X133" i="23"/>
  <c r="X52" i="23"/>
  <c r="Y101" i="23"/>
  <c r="Y27" i="23"/>
  <c r="Y63" i="23"/>
  <c r="Y133" i="23"/>
  <c r="X143" i="23"/>
  <c r="X100" i="23"/>
  <c r="Y143" i="23"/>
  <c r="X93" i="23"/>
  <c r="X83" i="23"/>
  <c r="X60" i="23"/>
  <c r="Y60" i="23"/>
  <c r="X49" i="23"/>
  <c r="X19" i="23"/>
  <c r="Y5" i="23"/>
  <c r="X5" i="23"/>
  <c r="X137" i="23"/>
  <c r="X114" i="23"/>
  <c r="X74" i="23"/>
  <c r="X68" i="23"/>
  <c r="Y74" i="23"/>
  <c r="X75" i="23"/>
  <c r="X59" i="23"/>
  <c r="X78" i="23"/>
  <c r="X37" i="23"/>
  <c r="X134" i="23"/>
  <c r="X142" i="23"/>
  <c r="Y142" i="23"/>
  <c r="X103" i="23"/>
  <c r="Y103" i="23"/>
  <c r="Y85" i="23"/>
  <c r="X3" i="23"/>
  <c r="X85" i="23"/>
  <c r="X152" i="23"/>
  <c r="Y152" i="23"/>
  <c r="X128" i="23"/>
  <c r="Y128" i="23"/>
  <c r="X124" i="23"/>
  <c r="Y124" i="23"/>
  <c r="X120" i="23"/>
  <c r="Y120" i="23"/>
  <c r="Y140" i="23"/>
  <c r="X140" i="23"/>
  <c r="Y113" i="23"/>
  <c r="X113" i="23"/>
  <c r="X15" i="23"/>
  <c r="X12" i="23"/>
  <c r="X179" i="23"/>
  <c r="Y179" i="23"/>
  <c r="X21" i="23"/>
  <c r="X99" i="23"/>
  <c r="X33" i="23"/>
  <c r="X95" i="23"/>
  <c r="X25" i="23"/>
  <c r="Y95" i="23"/>
  <c r="X32" i="23"/>
  <c r="X106" i="23"/>
  <c r="X7" i="23"/>
  <c r="Y106" i="23"/>
  <c r="X39" i="23"/>
  <c r="Y39" i="23"/>
  <c r="X131" i="23"/>
  <c r="Y93" i="23"/>
  <c r="Y83" i="23"/>
  <c r="Y55" i="23"/>
  <c r="Y66" i="23"/>
  <c r="Y49" i="23"/>
  <c r="Y19" i="23"/>
  <c r="Y114" i="23"/>
  <c r="Y75" i="23"/>
  <c r="Y59" i="23"/>
  <c r="Y78" i="23"/>
  <c r="Y37" i="23"/>
  <c r="Y134" i="23"/>
  <c r="Y3" i="23"/>
  <c r="Y15" i="23"/>
  <c r="Y12" i="23"/>
  <c r="Y21" i="23"/>
  <c r="Y99" i="23"/>
  <c r="Y33" i="23"/>
  <c r="Y25" i="23"/>
  <c r="Y32" i="23"/>
  <c r="Y7" i="23"/>
  <c r="Y131" i="23"/>
  <c r="X115" i="23"/>
  <c r="X24" i="23"/>
  <c r="Y24" i="23"/>
  <c r="X51" i="23"/>
  <c r="X76" i="23"/>
  <c r="Y76" i="23"/>
  <c r="X34" i="23"/>
  <c r="X155" i="23"/>
  <c r="Y155" i="23"/>
  <c r="X36" i="23"/>
  <c r="Y36" i="23"/>
  <c r="X35" i="23"/>
  <c r="X79" i="23"/>
  <c r="X90" i="23"/>
  <c r="X46" i="23"/>
  <c r="X97" i="23"/>
  <c r="X62" i="23"/>
  <c r="X29" i="23"/>
  <c r="X151" i="23"/>
  <c r="Y151" i="23"/>
  <c r="X127" i="23"/>
  <c r="Y127" i="23"/>
  <c r="X123" i="23"/>
  <c r="Y123" i="23"/>
  <c r="X119" i="23"/>
  <c r="Y119" i="23"/>
  <c r="X150" i="23"/>
  <c r="Y150" i="23"/>
  <c r="X48" i="23"/>
  <c r="Y48" i="23"/>
  <c r="X178" i="23"/>
  <c r="Y178" i="23"/>
  <c r="X8" i="23"/>
  <c r="X96" i="23"/>
  <c r="Y96" i="23"/>
  <c r="X77" i="23"/>
  <c r="X18" i="23"/>
  <c r="X11" i="23"/>
  <c r="X139" i="23"/>
  <c r="X132" i="23"/>
  <c r="Y139" i="23"/>
  <c r="X26" i="23"/>
  <c r="Y115" i="23"/>
  <c r="Y51" i="23"/>
  <c r="Y111" i="23"/>
  <c r="Y50" i="23"/>
  <c r="Y34" i="23"/>
  <c r="Y35" i="23"/>
  <c r="Y79" i="23"/>
  <c r="Y90" i="23"/>
  <c r="Y46" i="23"/>
  <c r="Y97" i="23"/>
  <c r="Y62" i="23"/>
  <c r="Y29" i="23"/>
  <c r="Y8" i="23"/>
  <c r="Y77" i="23"/>
  <c r="Y18" i="23"/>
  <c r="Y11" i="23"/>
  <c r="Y132" i="23"/>
  <c r="Y26" i="23"/>
  <c r="X84" i="23"/>
  <c r="X82" i="23"/>
  <c r="X112" i="23"/>
  <c r="Y82" i="23"/>
  <c r="X22" i="23"/>
  <c r="Y22" i="23"/>
  <c r="X65" i="23"/>
  <c r="X81" i="23"/>
  <c r="X20" i="23"/>
  <c r="Y20" i="23"/>
  <c r="X92" i="23"/>
  <c r="X6" i="23"/>
  <c r="X47" i="23"/>
  <c r="Y6" i="23"/>
  <c r="X2" i="23"/>
  <c r="X110" i="23"/>
  <c r="Y2" i="23"/>
  <c r="X45" i="23"/>
  <c r="X28" i="23"/>
  <c r="Y181" i="23"/>
  <c r="X181" i="23"/>
  <c r="X23" i="23"/>
  <c r="Y23" i="23"/>
  <c r="X102" i="23"/>
  <c r="Y102" i="23"/>
  <c r="X130" i="23"/>
  <c r="Y130" i="23"/>
  <c r="X126" i="23"/>
  <c r="Y126" i="23"/>
  <c r="X122" i="23"/>
  <c r="Y122" i="23"/>
  <c r="X118" i="23"/>
  <c r="Y118" i="23"/>
  <c r="X30" i="23"/>
  <c r="Y30" i="23"/>
  <c r="X14" i="23"/>
  <c r="X177" i="23"/>
  <c r="Y177" i="23"/>
  <c r="X176" i="23"/>
  <c r="Y176" i="23"/>
  <c r="Y117" i="23"/>
  <c r="X117" i="23"/>
  <c r="X86" i="23"/>
  <c r="X145" i="23"/>
  <c r="X43" i="23"/>
  <c r="Y43" i="23"/>
  <c r="X40" i="23"/>
  <c r="X9" i="23"/>
  <c r="Y40" i="23"/>
  <c r="X31" i="23"/>
  <c r="X10" i="23"/>
  <c r="Y41" i="23"/>
  <c r="X41" i="23"/>
  <c r="Y84" i="23"/>
  <c r="Y112" i="23"/>
  <c r="Y65" i="23"/>
  <c r="Y81" i="23"/>
  <c r="Y47" i="23"/>
  <c r="Y136" i="23"/>
  <c r="Y45" i="23"/>
  <c r="Y28" i="23"/>
  <c r="Y14" i="23"/>
  <c r="Y86" i="23"/>
  <c r="Y145" i="23"/>
  <c r="Y9" i="23"/>
  <c r="Y31" i="23"/>
  <c r="Y10" i="23"/>
  <c r="X57" i="23"/>
  <c r="X53" i="23"/>
  <c r="X44" i="23"/>
  <c r="X67" i="23"/>
  <c r="X162" i="23"/>
  <c r="X160" i="23"/>
  <c r="Y162" i="23"/>
  <c r="X109" i="23"/>
  <c r="X104" i="23"/>
  <c r="Y104" i="23"/>
  <c r="X42" i="23"/>
  <c r="Y42" i="23"/>
  <c r="Y153" i="23"/>
  <c r="X153" i="23"/>
  <c r="Y129" i="23"/>
  <c r="X129" i="23"/>
  <c r="Y125" i="23"/>
  <c r="X125" i="23"/>
  <c r="Y121" i="23"/>
  <c r="X121" i="23"/>
  <c r="Y141" i="23"/>
  <c r="X141" i="23"/>
  <c r="Y73" i="23"/>
  <c r="X73" i="23"/>
  <c r="X17" i="23"/>
  <c r="X182" i="23"/>
  <c r="X4" i="23"/>
  <c r="Y182" i="23"/>
  <c r="Y180" i="23"/>
  <c r="X180" i="23"/>
  <c r="X108" i="23"/>
  <c r="X58" i="23"/>
  <c r="X144" i="23"/>
  <c r="Y149" i="23"/>
  <c r="X149" i="23"/>
  <c r="X61" i="23"/>
  <c r="Y161" i="23"/>
  <c r="X161" i="23"/>
  <c r="X13" i="23"/>
  <c r="X56" i="23"/>
  <c r="Y56" i="23"/>
  <c r="X146" i="23"/>
  <c r="X16" i="23"/>
  <c r="Y146" i="23"/>
  <c r="Y94" i="23"/>
  <c r="Y116" i="23"/>
  <c r="Y54" i="23"/>
  <c r="Y72" i="23"/>
  <c r="Y100" i="23"/>
  <c r="Y135" i="23"/>
  <c r="Y57" i="23"/>
  <c r="Y53" i="23"/>
  <c r="Y44" i="23"/>
  <c r="Y67" i="23"/>
  <c r="Y109" i="23"/>
  <c r="Y17" i="23"/>
  <c r="Y4" i="23"/>
  <c r="Y108" i="23"/>
  <c r="Y58" i="23"/>
  <c r="Y144" i="23"/>
  <c r="Y61" i="23"/>
  <c r="Y52" i="23"/>
  <c r="Y13" i="23"/>
  <c r="Y16" i="23"/>
  <c r="X91" i="5"/>
  <c r="X89" i="5"/>
  <c r="X90" i="5"/>
  <c r="X13" i="5"/>
  <c r="X14" i="5"/>
  <c r="X16" i="5"/>
  <c r="X17" i="5"/>
  <c r="C123" i="23"/>
  <c r="C127" i="23"/>
  <c r="C131" i="23"/>
  <c r="C135" i="23"/>
  <c r="C139" i="23"/>
  <c r="C144" i="23"/>
  <c r="C148" i="23"/>
  <c r="C152" i="23"/>
  <c r="C156" i="23"/>
  <c r="C138" i="23"/>
  <c r="C151" i="23"/>
  <c r="C143" i="23"/>
  <c r="C124" i="23"/>
  <c r="C128" i="23"/>
  <c r="C132" i="23"/>
  <c r="C136" i="23"/>
  <c r="C140" i="23"/>
  <c r="C145" i="23"/>
  <c r="C149" i="23"/>
  <c r="C153" i="23"/>
  <c r="C134" i="23"/>
  <c r="C147" i="23"/>
  <c r="M157" i="21"/>
  <c r="C121" i="23"/>
  <c r="C125" i="23"/>
  <c r="C129" i="23"/>
  <c r="C133" i="23"/>
  <c r="C137" i="23"/>
  <c r="C141" i="23"/>
  <c r="C146" i="23"/>
  <c r="C150" i="23"/>
  <c r="C154" i="23"/>
  <c r="C122" i="23"/>
  <c r="C126" i="23"/>
  <c r="C130" i="23"/>
  <c r="C142" i="23"/>
  <c r="C155" i="23"/>
  <c r="M420" i="21"/>
  <c r="M413" i="21"/>
  <c r="M366" i="21"/>
  <c r="M367" i="21"/>
  <c r="M368" i="21"/>
  <c r="M362" i="21"/>
  <c r="M354" i="21"/>
  <c r="M352" i="21"/>
  <c r="M326" i="21"/>
  <c r="M386" i="21"/>
  <c r="M384" i="21"/>
  <c r="M385" i="21"/>
  <c r="M378" i="21"/>
  <c r="M379" i="21"/>
  <c r="M380" i="21"/>
  <c r="M377" i="21"/>
  <c r="M369" i="21"/>
  <c r="M342" i="21"/>
  <c r="M341" i="21"/>
  <c r="M328" i="21"/>
  <c r="M329" i="21"/>
  <c r="C3" i="23"/>
  <c r="C10" i="23"/>
  <c r="C14" i="23"/>
  <c r="C18" i="23"/>
  <c r="I18" i="23" s="1"/>
  <c r="K18" i="23" s="1"/>
  <c r="C22" i="23"/>
  <c r="C26" i="23"/>
  <c r="C30" i="23"/>
  <c r="C34" i="23"/>
  <c r="C38" i="23"/>
  <c r="C42" i="23"/>
  <c r="C46" i="23"/>
  <c r="C50" i="23"/>
  <c r="C54" i="23"/>
  <c r="C58" i="23"/>
  <c r="C62" i="23"/>
  <c r="C66" i="23"/>
  <c r="C70" i="23"/>
  <c r="C78" i="23"/>
  <c r="C82" i="23"/>
  <c r="C86" i="23"/>
  <c r="I23" i="23" s="1"/>
  <c r="K23" i="23" s="1"/>
  <c r="C90" i="23"/>
  <c r="C94" i="23"/>
  <c r="C98" i="23"/>
  <c r="C102" i="23"/>
  <c r="C106" i="23"/>
  <c r="C110" i="23"/>
  <c r="C114" i="23"/>
  <c r="C118" i="23"/>
  <c r="C7" i="23"/>
  <c r="C11" i="23"/>
  <c r="C19" i="23"/>
  <c r="C23" i="23"/>
  <c r="C31" i="23"/>
  <c r="C43" i="23"/>
  <c r="C51" i="23"/>
  <c r="C59" i="23"/>
  <c r="C71" i="23"/>
  <c r="C75" i="23"/>
  <c r="C83" i="23"/>
  <c r="C91" i="23"/>
  <c r="C99" i="23"/>
  <c r="C107" i="23"/>
  <c r="C115" i="23"/>
  <c r="C119" i="23"/>
  <c r="C12" i="23"/>
  <c r="C24" i="23"/>
  <c r="C36" i="23"/>
  <c r="C52" i="23"/>
  <c r="C76" i="23"/>
  <c r="C88" i="23"/>
  <c r="C100" i="23"/>
  <c r="C120" i="23"/>
  <c r="C2" i="23"/>
  <c r="C21" i="23"/>
  <c r="C33" i="23"/>
  <c r="C45" i="23"/>
  <c r="C57" i="23"/>
  <c r="C73" i="23"/>
  <c r="C85" i="23"/>
  <c r="C97" i="23"/>
  <c r="C113" i="23"/>
  <c r="M410" i="21"/>
  <c r="C4" i="23"/>
  <c r="C15" i="23"/>
  <c r="I16" i="23" s="1"/>
  <c r="K16" i="23" s="1"/>
  <c r="C27" i="23"/>
  <c r="C35" i="23"/>
  <c r="C39" i="23"/>
  <c r="C47" i="23"/>
  <c r="C55" i="23"/>
  <c r="C67" i="23"/>
  <c r="C79" i="23"/>
  <c r="C87" i="23"/>
  <c r="C95" i="23"/>
  <c r="C103" i="23"/>
  <c r="C111" i="23"/>
  <c r="C5" i="23"/>
  <c r="C16" i="23"/>
  <c r="C28" i="23"/>
  <c r="C40" i="23"/>
  <c r="C48" i="23"/>
  <c r="C56" i="23"/>
  <c r="C68" i="23"/>
  <c r="C80" i="23"/>
  <c r="C92" i="23"/>
  <c r="C104" i="23"/>
  <c r="C112" i="23"/>
  <c r="C6" i="23"/>
  <c r="C17" i="23"/>
  <c r="C25" i="23"/>
  <c r="C37" i="23"/>
  <c r="C53" i="23"/>
  <c r="C65" i="23"/>
  <c r="C77" i="23"/>
  <c r="C89" i="23"/>
  <c r="C101" i="23"/>
  <c r="C109" i="23"/>
  <c r="C8" i="23"/>
  <c r="C20" i="23"/>
  <c r="C32" i="23"/>
  <c r="C44" i="23"/>
  <c r="C60" i="23"/>
  <c r="C72" i="23"/>
  <c r="C84" i="23"/>
  <c r="C96" i="23"/>
  <c r="C108" i="23"/>
  <c r="C116" i="23"/>
  <c r="C9" i="23"/>
  <c r="C13" i="23"/>
  <c r="C29" i="23"/>
  <c r="C41" i="23"/>
  <c r="I21" i="23" s="1"/>
  <c r="K21" i="23" s="1"/>
  <c r="C49" i="23"/>
  <c r="C61" i="23"/>
  <c r="C69" i="23"/>
  <c r="C81" i="23"/>
  <c r="C93" i="23"/>
  <c r="C105" i="23"/>
  <c r="I24" i="23" s="1"/>
  <c r="K24" i="23" s="1"/>
  <c r="C117" i="23"/>
  <c r="E241" i="5"/>
  <c r="E242" i="5"/>
  <c r="E243" i="5"/>
  <c r="F241" i="5"/>
  <c r="F242" i="5"/>
  <c r="F243" i="5"/>
  <c r="G241" i="5"/>
  <c r="G242" i="5"/>
  <c r="G243" i="5"/>
  <c r="H241" i="5"/>
  <c r="H242" i="5"/>
  <c r="H243" i="5"/>
  <c r="R13" i="5"/>
  <c r="S13" i="5" s="1"/>
  <c r="U13" i="5"/>
  <c r="R16" i="5"/>
  <c r="S16" i="5" s="1"/>
  <c r="U16" i="5"/>
  <c r="O4" i="23" l="1"/>
  <c r="Q4" i="23" s="1"/>
  <c r="O7" i="23"/>
  <c r="Q7" i="23" s="1"/>
  <c r="O6" i="23"/>
  <c r="Q6" i="23" s="1"/>
  <c r="O2" i="23"/>
  <c r="I11" i="23"/>
  <c r="K11" i="23" s="1"/>
  <c r="I20" i="23"/>
  <c r="K20" i="23" s="1"/>
  <c r="I10" i="23"/>
  <c r="K10" i="23" s="1"/>
  <c r="I15" i="23"/>
  <c r="K15" i="23" s="1"/>
  <c r="I7" i="23"/>
  <c r="K7" i="23" s="1"/>
  <c r="I6" i="23"/>
  <c r="K6" i="23" s="1"/>
  <c r="I8" i="23"/>
  <c r="K8" i="23" s="1"/>
  <c r="I14" i="23"/>
  <c r="K14" i="23" s="1"/>
  <c r="I13" i="23"/>
  <c r="K13" i="23" s="1"/>
  <c r="I12" i="23"/>
  <c r="K12" i="23" s="1"/>
  <c r="I17" i="23"/>
  <c r="K17" i="23" s="1"/>
  <c r="I19" i="23"/>
  <c r="K19" i="23" s="1"/>
  <c r="I5" i="23"/>
  <c r="K5" i="23" s="1"/>
  <c r="I2" i="23"/>
  <c r="K2" i="23" s="1"/>
  <c r="I9" i="23"/>
  <c r="K9" i="23" s="1"/>
  <c r="I4" i="23"/>
  <c r="K4" i="23" s="1"/>
  <c r="I3" i="23"/>
  <c r="K3" i="23" s="1"/>
  <c r="E240" i="5"/>
  <c r="F240" i="5"/>
  <c r="G240" i="5"/>
  <c r="H240" i="5"/>
  <c r="E239" i="5"/>
  <c r="F239" i="5"/>
  <c r="G239" i="5"/>
  <c r="H239" i="5"/>
  <c r="R4" i="23" l="1"/>
  <c r="R6" i="23"/>
  <c r="R7" i="23"/>
  <c r="R2" i="23"/>
  <c r="Q2" i="23"/>
  <c r="E238" i="5"/>
  <c r="F238" i="5"/>
  <c r="G238" i="5"/>
  <c r="H238" i="5"/>
  <c r="E237" i="5"/>
  <c r="F237" i="5"/>
  <c r="G237" i="5"/>
  <c r="H237" i="5"/>
  <c r="E236" i="5" l="1"/>
  <c r="F236" i="5"/>
  <c r="G236" i="5"/>
  <c r="H236" i="5"/>
  <c r="AI82" i="5" l="1"/>
  <c r="AK82" i="5" s="1"/>
  <c r="AH170" i="2" s="1"/>
  <c r="AJ82" i="5"/>
  <c r="AH2" i="2"/>
  <c r="AH3" i="2"/>
  <c r="AH4" i="2"/>
  <c r="AH5" i="2"/>
  <c r="AH6" i="2"/>
  <c r="AH7" i="2"/>
  <c r="AH8" i="2"/>
  <c r="AH9" i="2"/>
  <c r="AH10" i="2"/>
  <c r="AH14" i="2"/>
  <c r="AH15" i="2"/>
  <c r="AH16" i="2"/>
  <c r="AH17" i="2"/>
  <c r="AH18" i="2"/>
  <c r="AH19" i="2"/>
  <c r="AH11" i="2"/>
  <c r="AH13" i="2"/>
  <c r="AH12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4" i="2"/>
  <c r="AH35" i="2"/>
  <c r="AH62" i="2"/>
  <c r="AH33" i="2"/>
  <c r="AH36" i="2"/>
  <c r="AH37" i="2"/>
  <c r="AH38" i="2"/>
  <c r="AH39" i="2"/>
  <c r="AH40" i="2"/>
  <c r="AH41" i="2"/>
  <c r="AH42" i="2"/>
  <c r="AH43" i="2"/>
  <c r="AH44" i="2"/>
  <c r="AH45" i="2"/>
  <c r="AH63" i="2"/>
  <c r="AH64" i="2"/>
  <c r="AH70" i="2"/>
  <c r="AH71" i="2"/>
  <c r="AH73" i="2"/>
  <c r="AH74" i="2"/>
  <c r="AH75" i="2"/>
  <c r="AH46" i="2"/>
  <c r="AH76" i="2"/>
  <c r="AH47" i="2"/>
  <c r="AH48" i="2"/>
  <c r="AH49" i="2"/>
  <c r="AH50" i="2"/>
  <c r="AH77" i="2"/>
  <c r="AH78" i="2"/>
  <c r="AH80" i="2"/>
  <c r="AH51" i="2"/>
  <c r="AH52" i="2"/>
  <c r="AH53" i="2"/>
  <c r="AH81" i="2"/>
  <c r="AH82" i="2"/>
  <c r="AH83" i="2"/>
  <c r="AH84" i="2"/>
  <c r="AH54" i="2"/>
  <c r="AH55" i="2"/>
  <c r="AH56" i="2"/>
  <c r="AH57" i="2"/>
  <c r="AH58" i="2"/>
  <c r="AH59" i="2"/>
  <c r="AH60" i="2"/>
  <c r="AH61" i="2"/>
  <c r="AH65" i="2"/>
  <c r="AH66" i="2"/>
  <c r="AH67" i="2"/>
  <c r="AH68" i="2"/>
  <c r="AH69" i="2"/>
  <c r="AH99" i="2"/>
  <c r="AH112" i="2"/>
  <c r="AH113" i="2"/>
  <c r="AH114" i="2"/>
  <c r="AH115" i="2"/>
  <c r="AH116" i="2"/>
  <c r="AH130" i="2"/>
  <c r="AH137" i="2"/>
  <c r="AH174" i="2"/>
  <c r="AH72" i="2"/>
  <c r="AH175" i="2"/>
  <c r="AH100" i="2"/>
  <c r="AH101" i="2"/>
  <c r="AH102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79" i="2"/>
  <c r="AH194" i="2"/>
  <c r="AH195" i="2"/>
  <c r="AH196" i="2"/>
  <c r="AH197" i="2"/>
  <c r="AH198" i="2"/>
  <c r="AH199" i="2"/>
  <c r="AH200" i="2"/>
  <c r="AH201" i="2"/>
  <c r="AH202" i="2"/>
  <c r="AH203" i="2"/>
  <c r="AH204" i="2"/>
  <c r="AH207" i="2"/>
  <c r="AH208" i="2"/>
  <c r="AH209" i="2"/>
  <c r="AH103" i="2"/>
  <c r="AH138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8" i="2"/>
  <c r="AH139" i="2"/>
  <c r="AH171" i="2"/>
  <c r="AH172" i="2"/>
  <c r="AH205" i="2"/>
  <c r="AH206" i="2"/>
  <c r="AH255" i="2"/>
  <c r="AH288" i="2"/>
  <c r="AH287" i="2"/>
  <c r="AH291" i="2"/>
  <c r="AH300" i="2"/>
  <c r="AH301" i="2"/>
  <c r="AH302" i="2"/>
  <c r="AH303" i="2"/>
  <c r="AH309" i="2"/>
  <c r="AH310" i="2"/>
  <c r="AH307" i="2"/>
  <c r="AH308" i="2"/>
  <c r="AH311" i="2"/>
  <c r="AH312" i="2"/>
  <c r="AH317" i="2"/>
  <c r="AH318" i="2"/>
  <c r="AH323" i="2"/>
  <c r="AH324" i="2"/>
  <c r="AH325" i="2"/>
  <c r="AH327" i="2"/>
  <c r="AH328" i="2"/>
  <c r="AH329" i="2"/>
  <c r="AH330" i="2"/>
  <c r="AH326" i="2"/>
  <c r="AH331" i="2"/>
  <c r="AH332" i="2"/>
  <c r="AH333" i="2"/>
  <c r="AH334" i="2"/>
  <c r="AH338" i="2"/>
  <c r="AH339" i="2"/>
  <c r="AH335" i="2"/>
  <c r="AH341" i="2"/>
  <c r="AH343" i="2"/>
  <c r="AH337" i="2"/>
  <c r="AH340" i="2"/>
  <c r="AH342" i="2"/>
  <c r="AH344" i="2"/>
  <c r="AH345" i="2"/>
  <c r="AH259" i="2"/>
  <c r="AH260" i="2"/>
  <c r="AH261" i="2"/>
  <c r="AH346" i="2"/>
  <c r="AH347" i="2"/>
  <c r="AH348" i="2"/>
  <c r="AH349" i="2"/>
  <c r="AH350" i="2"/>
  <c r="AH351" i="2"/>
  <c r="AH352" i="2"/>
  <c r="AH353" i="2"/>
  <c r="AH336" i="2"/>
  <c r="AH354" i="2"/>
  <c r="AH355" i="2"/>
  <c r="AH356" i="2"/>
  <c r="AH357" i="2"/>
  <c r="AH262" i="2"/>
  <c r="AH263" i="2"/>
  <c r="AH264" i="2"/>
  <c r="AH265" i="2"/>
  <c r="AH358" i="2"/>
  <c r="AH359" i="2"/>
  <c r="AH360" i="2"/>
  <c r="AH361" i="2"/>
  <c r="AH362" i="2"/>
  <c r="AH363" i="2"/>
  <c r="AH364" i="2"/>
  <c r="AH365" i="2"/>
  <c r="AH266" i="2"/>
  <c r="AH267" i="2"/>
  <c r="AH268" i="2"/>
  <c r="AH269" i="2"/>
  <c r="AH270" i="2"/>
  <c r="AH366" i="2"/>
  <c r="AH367" i="2"/>
  <c r="AH368" i="2"/>
  <c r="AH369" i="2"/>
  <c r="AH271" i="2"/>
  <c r="AH272" i="2"/>
  <c r="AH370" i="2"/>
  <c r="AH371" i="2"/>
  <c r="AH372" i="2"/>
  <c r="AH373" i="2"/>
  <c r="AH374" i="2"/>
  <c r="AH375" i="2"/>
  <c r="AH273" i="2"/>
  <c r="AH274" i="2"/>
  <c r="AH275" i="2"/>
  <c r="AH276" i="2"/>
  <c r="AH277" i="2"/>
  <c r="AH278" i="2"/>
  <c r="AH377" i="2"/>
  <c r="AH379" i="2"/>
  <c r="AH380" i="2"/>
  <c r="AH378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5" i="2"/>
  <c r="AH396" i="2"/>
  <c r="AH279" i="2"/>
  <c r="AH280" i="2"/>
  <c r="AH281" i="2"/>
  <c r="AH393" i="2"/>
  <c r="AH394" i="2"/>
  <c r="AH304" i="2"/>
  <c r="AH305" i="2"/>
  <c r="AH398" i="2"/>
  <c r="AH399" i="2"/>
  <c r="AH400" i="2"/>
  <c r="AH459" i="2"/>
  <c r="AH401" i="2"/>
  <c r="AH402" i="2"/>
  <c r="AH397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30" i="2"/>
  <c r="AH427" i="2"/>
  <c r="AH425" i="2"/>
  <c r="AH424" i="2"/>
  <c r="AH422" i="2"/>
  <c r="AH423" i="2"/>
  <c r="AH426" i="2"/>
  <c r="AH428" i="2"/>
  <c r="AH429" i="2"/>
  <c r="AH446" i="2"/>
  <c r="AH436" i="2"/>
  <c r="AH444" i="2"/>
  <c r="AH441" i="2"/>
  <c r="AH435" i="2"/>
  <c r="AH289" i="2"/>
  <c r="AH290" i="2"/>
  <c r="AH292" i="2"/>
  <c r="AH437" i="2"/>
  <c r="AH445" i="2"/>
  <c r="AH438" i="2"/>
  <c r="AH442" i="2"/>
  <c r="AH443" i="2"/>
  <c r="AH432" i="2"/>
  <c r="AH447" i="2"/>
  <c r="AH439" i="2"/>
  <c r="AH431" i="2"/>
  <c r="AH440" i="2"/>
  <c r="AH433" i="2"/>
  <c r="AH434" i="2"/>
  <c r="AH448" i="2"/>
  <c r="AH449" i="2"/>
  <c r="AH451" i="2"/>
  <c r="AH450" i="2"/>
  <c r="AH452" i="2"/>
  <c r="AH453" i="2"/>
  <c r="AH457" i="2"/>
  <c r="AH454" i="2"/>
  <c r="AH455" i="2"/>
  <c r="AH456" i="2"/>
  <c r="AH458" i="2"/>
  <c r="AH293" i="2"/>
  <c r="AH294" i="2"/>
  <c r="AH295" i="2"/>
  <c r="AH296" i="2"/>
  <c r="AH297" i="2"/>
  <c r="AH298" i="2"/>
  <c r="AH299" i="2"/>
  <c r="AH313" i="2"/>
  <c r="AH314" i="2"/>
  <c r="AH315" i="2"/>
  <c r="AH319" i="2"/>
  <c r="AH320" i="2"/>
  <c r="AH321" i="2"/>
  <c r="AH322" i="2"/>
  <c r="AH460" i="2"/>
  <c r="AI81" i="5"/>
  <c r="AK81" i="5" s="1"/>
  <c r="AH122" i="2" s="1"/>
  <c r="AJ81" i="5"/>
  <c r="AI80" i="5"/>
  <c r="AK80" i="5" s="1"/>
  <c r="AH121" i="2" s="1"/>
  <c r="AJ80" i="5"/>
  <c r="AI79" i="5"/>
  <c r="AK79" i="5" s="1"/>
  <c r="AH120" i="2" s="1"/>
  <c r="AJ79" i="5"/>
  <c r="AI78" i="5"/>
  <c r="AK78" i="5" s="1"/>
  <c r="AH119" i="2" s="1"/>
  <c r="AJ78" i="5"/>
  <c r="AI77" i="5"/>
  <c r="AK77" i="5" s="1"/>
  <c r="AH129" i="2" s="1"/>
  <c r="AJ77" i="5"/>
  <c r="AI76" i="5"/>
  <c r="AK76" i="5" s="1"/>
  <c r="AH128" i="2" s="1"/>
  <c r="AJ76" i="5"/>
  <c r="AI75" i="5"/>
  <c r="AK75" i="5" s="1"/>
  <c r="AH127" i="2" s="1"/>
  <c r="AJ75" i="5"/>
  <c r="AI74" i="5"/>
  <c r="AK74" i="5" s="1"/>
  <c r="AH126" i="2" s="1"/>
  <c r="AJ74" i="5"/>
  <c r="AI73" i="5"/>
  <c r="AK73" i="5" s="1"/>
  <c r="AH169" i="2" s="1"/>
  <c r="AJ73" i="5"/>
  <c r="AI72" i="5"/>
  <c r="AK72" i="5" s="1"/>
  <c r="AH160" i="2" s="1"/>
  <c r="AJ72" i="5"/>
  <c r="AI71" i="5"/>
  <c r="AK71" i="5" s="1"/>
  <c r="AH153" i="2" s="1"/>
  <c r="AJ71" i="5"/>
  <c r="AI70" i="5"/>
  <c r="AK70" i="5" s="1"/>
  <c r="AH146" i="2" s="1"/>
  <c r="AJ70" i="5"/>
  <c r="AI69" i="5"/>
  <c r="AK69" i="5" s="1"/>
  <c r="AH140" i="2" s="1"/>
  <c r="AJ69" i="5"/>
  <c r="AI67" i="5"/>
  <c r="AK67" i="5" s="1"/>
  <c r="AH135" i="2" s="1"/>
  <c r="AI68" i="5"/>
  <c r="AK68" i="5" s="1"/>
  <c r="AH136" i="2" s="1"/>
  <c r="AJ67" i="5"/>
  <c r="AJ68" i="5"/>
  <c r="AI64" i="5"/>
  <c r="AK64" i="5" s="1"/>
  <c r="AH132" i="2" s="1"/>
  <c r="AI65" i="5"/>
  <c r="AK65" i="5" s="1"/>
  <c r="AH133" i="2" s="1"/>
  <c r="AI66" i="5"/>
  <c r="AK66" i="5" s="1"/>
  <c r="AH134" i="2" s="1"/>
  <c r="AJ64" i="5"/>
  <c r="AJ65" i="5"/>
  <c r="AJ66" i="5"/>
  <c r="AI63" i="5"/>
  <c r="AK63" i="5" s="1"/>
  <c r="AH131" i="2" s="1"/>
  <c r="AJ63" i="5"/>
  <c r="AI62" i="5"/>
  <c r="AK62" i="5" s="1"/>
  <c r="AH124" i="2" s="1"/>
  <c r="AJ62" i="5"/>
  <c r="AI61" i="5"/>
  <c r="AK61" i="5" s="1"/>
  <c r="AH123" i="2" s="1"/>
  <c r="AJ61" i="5"/>
  <c r="AI60" i="5"/>
  <c r="AK60" i="5" s="1"/>
  <c r="AH125" i="2" s="1"/>
  <c r="AJ60" i="5"/>
  <c r="AI59" i="5"/>
  <c r="AK59" i="5" s="1"/>
  <c r="AJ59" i="5"/>
  <c r="AI58" i="5"/>
  <c r="AK58" i="5" s="1"/>
  <c r="AJ58" i="5"/>
  <c r="AI57" i="5"/>
  <c r="AK57" i="5" s="1"/>
  <c r="AJ57" i="5"/>
  <c r="AI56" i="5"/>
  <c r="AK56" i="5" s="1"/>
  <c r="AJ56" i="5"/>
  <c r="AI55" i="5"/>
  <c r="AK55" i="5" s="1"/>
  <c r="AJ55" i="5"/>
  <c r="AI54" i="5"/>
  <c r="AK54" i="5" s="1"/>
  <c r="AJ54" i="5"/>
  <c r="AI53" i="5"/>
  <c r="AK53" i="5" s="1"/>
  <c r="AJ53" i="5"/>
  <c r="AI52" i="5"/>
  <c r="AK52" i="5" s="1"/>
  <c r="X39" i="5" s="1"/>
  <c r="AJ52" i="5"/>
  <c r="AI51" i="5"/>
  <c r="AK51" i="5" s="1"/>
  <c r="AH145" i="2" s="1"/>
  <c r="AJ51" i="5"/>
  <c r="AI50" i="5"/>
  <c r="AK50" i="5" s="1"/>
  <c r="X36" i="5" s="1"/>
  <c r="AJ50" i="5"/>
  <c r="AI49" i="5"/>
  <c r="AK49" i="5" s="1"/>
  <c r="X33" i="5" s="1"/>
  <c r="AJ49" i="5"/>
  <c r="AI48" i="5"/>
  <c r="AK48" i="5" s="1"/>
  <c r="AH142" i="2" s="1"/>
  <c r="AJ48" i="5"/>
  <c r="AI47" i="5"/>
  <c r="AK47" i="5" s="1"/>
  <c r="AH118" i="2" s="1"/>
  <c r="AJ47" i="5"/>
  <c r="AI46" i="5"/>
  <c r="AK46" i="5" s="1"/>
  <c r="AH167" i="2" s="1"/>
  <c r="AJ46" i="5"/>
  <c r="AI45" i="5"/>
  <c r="AK45" i="5" s="1"/>
  <c r="AH166" i="2" s="1"/>
  <c r="AJ45" i="5"/>
  <c r="AI44" i="5"/>
  <c r="AK44" i="5" s="1"/>
  <c r="AJ44" i="5"/>
  <c r="AI43" i="5"/>
  <c r="AK43" i="5" s="1"/>
  <c r="AJ43" i="5"/>
  <c r="AI42" i="5"/>
  <c r="AK42" i="5" s="1"/>
  <c r="AJ42" i="5"/>
  <c r="AI41" i="5"/>
  <c r="AK41" i="5" s="1"/>
  <c r="AJ41" i="5"/>
  <c r="AI34" i="5"/>
  <c r="AK34" i="5" s="1"/>
  <c r="AI35" i="5"/>
  <c r="AK35" i="5" s="1"/>
  <c r="AI36" i="5"/>
  <c r="AK36" i="5" s="1"/>
  <c r="X6" i="5" s="1"/>
  <c r="AI37" i="5"/>
  <c r="AK37" i="5" s="1"/>
  <c r="AI38" i="5"/>
  <c r="AK38" i="5" s="1"/>
  <c r="AI39" i="5"/>
  <c r="AK39" i="5" s="1"/>
  <c r="AI40" i="5"/>
  <c r="AK40" i="5" s="1"/>
  <c r="AJ34" i="5"/>
  <c r="AJ35" i="5"/>
  <c r="AJ36" i="5"/>
  <c r="AJ37" i="5"/>
  <c r="AJ38" i="5"/>
  <c r="AJ39" i="5"/>
  <c r="AJ40" i="5"/>
  <c r="AI33" i="5"/>
  <c r="AK33" i="5" s="1"/>
  <c r="AJ33" i="5"/>
  <c r="AI32" i="5"/>
  <c r="AK32" i="5" s="1"/>
  <c r="AH168" i="2" s="1"/>
  <c r="AJ32" i="5"/>
  <c r="AI31" i="5"/>
  <c r="AK31" i="5" s="1"/>
  <c r="AH161" i="2" s="1"/>
  <c r="AJ31" i="5"/>
  <c r="AI29" i="5"/>
  <c r="AK29" i="5" s="1"/>
  <c r="AH154" i="2" s="1"/>
  <c r="AI30" i="5"/>
  <c r="AK30" i="5" s="1"/>
  <c r="AH155" i="2" s="1"/>
  <c r="AJ29" i="5"/>
  <c r="AJ30" i="5"/>
  <c r="AI27" i="5"/>
  <c r="AK27" i="5" s="1"/>
  <c r="AH147" i="2" s="1"/>
  <c r="AI28" i="5"/>
  <c r="AK28" i="5" s="1"/>
  <c r="AH148" i="2" s="1"/>
  <c r="AJ27" i="5"/>
  <c r="AJ28" i="5"/>
  <c r="AI26" i="5"/>
  <c r="AK26" i="5" s="1"/>
  <c r="AH141" i="2" s="1"/>
  <c r="AJ26" i="5"/>
  <c r="AI17" i="5"/>
  <c r="AK17" i="5" s="1"/>
  <c r="AH104" i="2" s="1"/>
  <c r="AI18" i="5"/>
  <c r="AK18" i="5" s="1"/>
  <c r="AH105" i="2" s="1"/>
  <c r="AI19" i="5"/>
  <c r="AK19" i="5" s="1"/>
  <c r="AH106" i="2" s="1"/>
  <c r="AI20" i="5"/>
  <c r="AK20" i="5" s="1"/>
  <c r="AH107" i="2" s="1"/>
  <c r="AI21" i="5"/>
  <c r="AK21" i="5" s="1"/>
  <c r="AH108" i="2" s="1"/>
  <c r="AI22" i="5"/>
  <c r="AK22" i="5" s="1"/>
  <c r="AH109" i="2" s="1"/>
  <c r="AI23" i="5"/>
  <c r="AK23" i="5" s="1"/>
  <c r="AH110" i="2" s="1"/>
  <c r="AI24" i="5"/>
  <c r="AK24" i="5" s="1"/>
  <c r="AH111" i="2" s="1"/>
  <c r="AI25" i="5"/>
  <c r="AK25" i="5" s="1"/>
  <c r="AH117" i="2" s="1"/>
  <c r="AJ17" i="5"/>
  <c r="AJ18" i="5"/>
  <c r="AJ19" i="5"/>
  <c r="AJ20" i="5"/>
  <c r="AJ21" i="5"/>
  <c r="AJ22" i="5"/>
  <c r="AJ23" i="5"/>
  <c r="AJ24" i="5"/>
  <c r="AJ25" i="5"/>
  <c r="AI15" i="5"/>
  <c r="AK15" i="5" s="1"/>
  <c r="AH85" i="2" s="1"/>
  <c r="AI16" i="5"/>
  <c r="AK16" i="5" s="1"/>
  <c r="AH86" i="2" s="1"/>
  <c r="AJ15" i="5"/>
  <c r="AJ16" i="5"/>
  <c r="AH152" i="2" l="1"/>
  <c r="X125" i="5"/>
  <c r="X126" i="5"/>
  <c r="X127" i="5"/>
  <c r="AH151" i="2"/>
  <c r="X122" i="5"/>
  <c r="X123" i="5"/>
  <c r="X124" i="5"/>
  <c r="X120" i="5"/>
  <c r="X121" i="5"/>
  <c r="AH150" i="2"/>
  <c r="X119" i="5"/>
  <c r="AH149" i="2"/>
  <c r="X117" i="5"/>
  <c r="X116" i="5"/>
  <c r="X118" i="5"/>
  <c r="AH163" i="2"/>
  <c r="X113" i="5"/>
  <c r="X114" i="5"/>
  <c r="X115" i="5"/>
  <c r="AH162" i="2"/>
  <c r="X111" i="5"/>
  <c r="X112" i="5"/>
  <c r="X110" i="5"/>
  <c r="AH165" i="2"/>
  <c r="X107" i="5"/>
  <c r="X108" i="5"/>
  <c r="X109" i="5"/>
  <c r="AH164" i="2"/>
  <c r="X104" i="5"/>
  <c r="X106" i="5"/>
  <c r="X105" i="5"/>
  <c r="X94" i="5"/>
  <c r="X93" i="5"/>
  <c r="AH89" i="2"/>
  <c r="X92" i="5"/>
  <c r="AH88" i="2"/>
  <c r="X87" i="5"/>
  <c r="X88" i="5"/>
  <c r="X86" i="5"/>
  <c r="AH94" i="2"/>
  <c r="X82" i="5"/>
  <c r="X80" i="5"/>
  <c r="X81" i="5"/>
  <c r="AH87" i="2"/>
  <c r="X85" i="5"/>
  <c r="X83" i="5"/>
  <c r="X84" i="5"/>
  <c r="AH93" i="2"/>
  <c r="X78" i="5"/>
  <c r="X79" i="5"/>
  <c r="X77" i="5"/>
  <c r="X11" i="5"/>
  <c r="X12" i="5"/>
  <c r="X44" i="5"/>
  <c r="X45" i="5"/>
  <c r="X8" i="5"/>
  <c r="X9" i="5"/>
  <c r="X41" i="5"/>
  <c r="X42" i="5"/>
  <c r="X47" i="5"/>
  <c r="X48" i="5"/>
  <c r="X37" i="5"/>
  <c r="X38" i="5"/>
  <c r="X4" i="5"/>
  <c r="X5" i="5"/>
  <c r="X31" i="5"/>
  <c r="X32" i="5"/>
  <c r="X34" i="5"/>
  <c r="X35" i="5"/>
  <c r="AH92" i="2"/>
  <c r="X10" i="5"/>
  <c r="AH159" i="2"/>
  <c r="X46" i="5"/>
  <c r="AH91" i="2"/>
  <c r="X7" i="5"/>
  <c r="AH158" i="2"/>
  <c r="X43" i="5"/>
  <c r="AH157" i="2"/>
  <c r="X40" i="5"/>
  <c r="AH156" i="2"/>
  <c r="AH90" i="2"/>
  <c r="AH143" i="2"/>
  <c r="AH144" i="2"/>
  <c r="C3" i="17"/>
  <c r="D3" i="17" s="1"/>
  <c r="J2" i="17"/>
  <c r="E235" i="5" l="1"/>
  <c r="F235" i="5"/>
  <c r="G235" i="5"/>
  <c r="H235" i="5"/>
  <c r="E234" i="5"/>
  <c r="F234" i="5"/>
  <c r="G234" i="5"/>
  <c r="H234" i="5"/>
  <c r="E259" i="5"/>
  <c r="F259" i="5"/>
  <c r="G259" i="5"/>
  <c r="H259" i="5"/>
  <c r="E258" i="5"/>
  <c r="F258" i="5"/>
  <c r="G258" i="5"/>
  <c r="H258" i="5"/>
  <c r="E257" i="5"/>
  <c r="F257" i="5"/>
  <c r="G257" i="5"/>
  <c r="H257" i="5"/>
  <c r="E255" i="5"/>
  <c r="F255" i="5"/>
  <c r="G255" i="5"/>
  <c r="H255" i="5"/>
  <c r="E229" i="5"/>
  <c r="F229" i="5"/>
  <c r="G229" i="5"/>
  <c r="H229" i="5"/>
  <c r="E228" i="5"/>
  <c r="F228" i="5"/>
  <c r="G228" i="5"/>
  <c r="H228" i="5"/>
  <c r="E227" i="5"/>
  <c r="F227" i="5"/>
  <c r="G227" i="5"/>
  <c r="H227" i="5"/>
  <c r="E226" i="5"/>
  <c r="F226" i="5"/>
  <c r="G226" i="5"/>
  <c r="H226" i="5"/>
  <c r="E225" i="5"/>
  <c r="F225" i="5"/>
  <c r="G225" i="5"/>
  <c r="H225" i="5"/>
  <c r="E224" i="5"/>
  <c r="F224" i="5"/>
  <c r="G224" i="5"/>
  <c r="H224" i="5"/>
  <c r="R12" i="2" l="1"/>
  <c r="AD12" i="2" s="1"/>
  <c r="AB12" i="2"/>
  <c r="R13" i="2"/>
  <c r="AD13" i="2" s="1"/>
  <c r="AB13" i="2"/>
  <c r="AB69" i="2"/>
  <c r="E223" i="5" l="1"/>
  <c r="F223" i="5"/>
  <c r="G223" i="5"/>
  <c r="H223" i="5"/>
  <c r="E222" i="5"/>
  <c r="F222" i="5"/>
  <c r="G222" i="5"/>
  <c r="H222" i="5"/>
  <c r="E221" i="5"/>
  <c r="F221" i="5"/>
  <c r="G221" i="5"/>
  <c r="H221" i="5"/>
  <c r="E220" i="5" l="1"/>
  <c r="F220" i="5"/>
  <c r="G220" i="5"/>
  <c r="H220" i="5"/>
  <c r="AI14" i="5" l="1"/>
  <c r="AK14" i="5" s="1"/>
  <c r="AJ14" i="5"/>
  <c r="R23" i="5"/>
  <c r="S23" i="5" s="1"/>
  <c r="U23" i="5"/>
  <c r="AI13" i="5"/>
  <c r="AK13" i="5" s="1"/>
  <c r="AJ13" i="5"/>
  <c r="R49" i="5"/>
  <c r="S49" i="5" s="1"/>
  <c r="U49" i="5"/>
  <c r="AI12" i="5"/>
  <c r="AK12" i="5" s="1"/>
  <c r="AJ12" i="5"/>
  <c r="R27" i="5"/>
  <c r="S27" i="5" s="1"/>
  <c r="U27" i="5"/>
  <c r="R25" i="5"/>
  <c r="S25" i="5" s="1"/>
  <c r="U25" i="5"/>
  <c r="AI11" i="5"/>
  <c r="AK11" i="5" s="1"/>
  <c r="AJ11" i="5"/>
  <c r="AI10" i="5"/>
  <c r="AK10" i="5" s="1"/>
  <c r="AJ10" i="5"/>
  <c r="R21" i="5"/>
  <c r="S21" i="5" s="1"/>
  <c r="U21" i="5"/>
  <c r="R19" i="5"/>
  <c r="S19" i="5" s="1"/>
  <c r="U19" i="5"/>
  <c r="AI9" i="5"/>
  <c r="AK9" i="5" s="1"/>
  <c r="AJ9" i="5"/>
  <c r="AI8" i="5"/>
  <c r="AK8" i="5" s="1"/>
  <c r="AJ8" i="5"/>
  <c r="R29" i="5"/>
  <c r="S29" i="5" s="1"/>
  <c r="U29" i="5"/>
  <c r="X21" i="5" l="1"/>
  <c r="X22" i="5"/>
  <c r="X27" i="5"/>
  <c r="X28" i="5"/>
  <c r="X25" i="5"/>
  <c r="X26" i="5"/>
  <c r="X19" i="5"/>
  <c r="X20" i="5"/>
  <c r="X49" i="5"/>
  <c r="X50" i="5"/>
  <c r="X23" i="5"/>
  <c r="X24" i="5"/>
  <c r="AH282" i="2"/>
  <c r="AH257" i="2"/>
  <c r="AH283" i="2"/>
  <c r="AH256" i="2"/>
  <c r="AH286" i="2"/>
  <c r="AH316" i="2"/>
  <c r="E219" i="5"/>
  <c r="F219" i="5"/>
  <c r="G219" i="5"/>
  <c r="H219" i="5"/>
  <c r="E208" i="5"/>
  <c r="E209" i="5"/>
  <c r="E210" i="5"/>
  <c r="E211" i="5"/>
  <c r="E212" i="5"/>
  <c r="E213" i="5"/>
  <c r="E214" i="5"/>
  <c r="E215" i="5"/>
  <c r="E216" i="5"/>
  <c r="E217" i="5"/>
  <c r="E218" i="5"/>
  <c r="F208" i="5"/>
  <c r="F209" i="5"/>
  <c r="F210" i="5"/>
  <c r="F211" i="5"/>
  <c r="F212" i="5"/>
  <c r="F213" i="5"/>
  <c r="F214" i="5"/>
  <c r="F215" i="5"/>
  <c r="F216" i="5"/>
  <c r="F217" i="5"/>
  <c r="F218" i="5"/>
  <c r="G208" i="5"/>
  <c r="G209" i="5"/>
  <c r="G210" i="5"/>
  <c r="G211" i="5"/>
  <c r="G212" i="5"/>
  <c r="G213" i="5"/>
  <c r="G214" i="5"/>
  <c r="G215" i="5"/>
  <c r="G216" i="5"/>
  <c r="G217" i="5"/>
  <c r="G218" i="5"/>
  <c r="H208" i="5"/>
  <c r="H209" i="5"/>
  <c r="H210" i="5"/>
  <c r="H211" i="5"/>
  <c r="H212" i="5"/>
  <c r="H213" i="5"/>
  <c r="H214" i="5"/>
  <c r="H215" i="5"/>
  <c r="H216" i="5"/>
  <c r="H217" i="5"/>
  <c r="H218" i="5"/>
  <c r="E207" i="5"/>
  <c r="F207" i="5"/>
  <c r="G207" i="5"/>
  <c r="H207" i="5"/>
  <c r="E203" i="5" l="1"/>
  <c r="E204" i="5"/>
  <c r="E205" i="5"/>
  <c r="E206" i="5"/>
  <c r="F203" i="5"/>
  <c r="F204" i="5"/>
  <c r="F205" i="5"/>
  <c r="F206" i="5"/>
  <c r="G203" i="5"/>
  <c r="G204" i="5"/>
  <c r="G205" i="5"/>
  <c r="G206" i="5"/>
  <c r="H203" i="5"/>
  <c r="H204" i="5"/>
  <c r="H205" i="5"/>
  <c r="H206" i="5"/>
  <c r="E202" i="5"/>
  <c r="F202" i="5"/>
  <c r="G202" i="5"/>
  <c r="H202" i="5"/>
  <c r="E201" i="5"/>
  <c r="F201" i="5"/>
  <c r="G201" i="5"/>
  <c r="H201" i="5"/>
  <c r="E200" i="5"/>
  <c r="F200" i="5"/>
  <c r="G200" i="5"/>
  <c r="H200" i="5"/>
  <c r="E198" i="5"/>
  <c r="E199" i="5"/>
  <c r="F198" i="5"/>
  <c r="F199" i="5"/>
  <c r="G198" i="5"/>
  <c r="G199" i="5"/>
  <c r="H198" i="5"/>
  <c r="H199" i="5"/>
  <c r="E197" i="5"/>
  <c r="F197" i="5"/>
  <c r="G197" i="5"/>
  <c r="H197" i="5"/>
  <c r="E194" i="5"/>
  <c r="E195" i="5"/>
  <c r="E196" i="5"/>
  <c r="F194" i="5"/>
  <c r="F195" i="5"/>
  <c r="F196" i="5"/>
  <c r="G194" i="5"/>
  <c r="G195" i="5"/>
  <c r="G196" i="5"/>
  <c r="H194" i="5"/>
  <c r="H195" i="5"/>
  <c r="H196" i="5"/>
  <c r="E193" i="5"/>
  <c r="F193" i="5"/>
  <c r="G193" i="5"/>
  <c r="H193" i="5"/>
  <c r="E192" i="5"/>
  <c r="F192" i="5"/>
  <c r="G192" i="5"/>
  <c r="H192" i="5"/>
  <c r="E191" i="5"/>
  <c r="F191" i="5"/>
  <c r="G191" i="5"/>
  <c r="H191" i="5"/>
  <c r="E186" i="5"/>
  <c r="E187" i="5"/>
  <c r="E188" i="5"/>
  <c r="E189" i="5"/>
  <c r="E190" i="5"/>
  <c r="F186" i="5"/>
  <c r="F187" i="5"/>
  <c r="F188" i="5"/>
  <c r="F189" i="5"/>
  <c r="F190" i="5"/>
  <c r="G186" i="5"/>
  <c r="G187" i="5"/>
  <c r="G188" i="5"/>
  <c r="G189" i="5"/>
  <c r="G190" i="5"/>
  <c r="H186" i="5"/>
  <c r="H187" i="5"/>
  <c r="H188" i="5"/>
  <c r="H189" i="5"/>
  <c r="H190" i="5"/>
  <c r="E185" i="5" l="1"/>
  <c r="F185" i="5"/>
  <c r="G185" i="5"/>
  <c r="H185" i="5"/>
  <c r="E183" i="5" l="1"/>
  <c r="E184" i="5"/>
  <c r="F183" i="5"/>
  <c r="F184" i="5"/>
  <c r="G183" i="5"/>
  <c r="G184" i="5"/>
  <c r="H183" i="5"/>
  <c r="H184" i="5"/>
  <c r="E179" i="5"/>
  <c r="E180" i="5"/>
  <c r="E181" i="5"/>
  <c r="E182" i="5"/>
  <c r="F179" i="5"/>
  <c r="F180" i="5"/>
  <c r="F181" i="5"/>
  <c r="F182" i="5"/>
  <c r="G179" i="5"/>
  <c r="G180" i="5"/>
  <c r="G181" i="5"/>
  <c r="G182" i="5"/>
  <c r="H179" i="5"/>
  <c r="H180" i="5"/>
  <c r="H181" i="5"/>
  <c r="H182" i="5"/>
  <c r="E178" i="5"/>
  <c r="F178" i="5"/>
  <c r="G178" i="5"/>
  <c r="H178" i="5"/>
  <c r="E177" i="5"/>
  <c r="F177" i="5"/>
  <c r="G177" i="5"/>
  <c r="H177" i="5"/>
  <c r="E176" i="5"/>
  <c r="F176" i="5"/>
  <c r="G176" i="5"/>
  <c r="H176" i="5"/>
  <c r="E175" i="5" l="1"/>
  <c r="F175" i="5"/>
  <c r="G175" i="5"/>
  <c r="H175" i="5"/>
  <c r="E174" i="5"/>
  <c r="F174" i="5"/>
  <c r="G174" i="5"/>
  <c r="H174" i="5"/>
  <c r="E173" i="5"/>
  <c r="F173" i="5"/>
  <c r="G173" i="5"/>
  <c r="H173" i="5"/>
  <c r="AI7" i="5" l="1"/>
  <c r="AJ7" i="5"/>
  <c r="AK7" i="5" l="1"/>
  <c r="E172" i="5"/>
  <c r="F172" i="5"/>
  <c r="G172" i="5"/>
  <c r="H172" i="5"/>
  <c r="E171" i="5"/>
  <c r="F171" i="5"/>
  <c r="G171" i="5"/>
  <c r="H171" i="5"/>
  <c r="X29" i="5" l="1"/>
  <c r="X30" i="5"/>
  <c r="AH306" i="2"/>
  <c r="E170" i="5"/>
  <c r="F170" i="5"/>
  <c r="G170" i="5"/>
  <c r="H170" i="5"/>
  <c r="E169" i="5"/>
  <c r="F169" i="5"/>
  <c r="G169" i="5"/>
  <c r="H169" i="5"/>
  <c r="E168" i="5"/>
  <c r="F168" i="5"/>
  <c r="G168" i="5"/>
  <c r="H168" i="5"/>
  <c r="E167" i="5" l="1"/>
  <c r="F167" i="5"/>
  <c r="G167" i="5"/>
  <c r="H167" i="5"/>
  <c r="B10" i="9" l="1"/>
  <c r="B11" i="9"/>
  <c r="B12" i="9"/>
  <c r="B13" i="9"/>
  <c r="B14" i="9"/>
  <c r="B16" i="9"/>
  <c r="B18" i="9"/>
  <c r="B21" i="9"/>
  <c r="B22" i="9"/>
  <c r="B23" i="9"/>
  <c r="B24" i="9"/>
  <c r="B25" i="9"/>
  <c r="AH23" i="10" s="1"/>
  <c r="B27" i="9"/>
  <c r="AH25" i="10" s="1"/>
  <c r="B28" i="9"/>
  <c r="AH26" i="10" s="1"/>
  <c r="B29" i="9"/>
  <c r="AH27" i="10" s="1"/>
  <c r="B30" i="9"/>
  <c r="AH28" i="10" s="1"/>
  <c r="E166" i="5"/>
  <c r="F166" i="5"/>
  <c r="G166" i="5"/>
  <c r="H166" i="5"/>
  <c r="E165" i="5"/>
  <c r="F165" i="5"/>
  <c r="G165" i="5"/>
  <c r="H165" i="5"/>
  <c r="E164" i="5"/>
  <c r="F164" i="5"/>
  <c r="G164" i="5"/>
  <c r="H164" i="5"/>
  <c r="N457" i="2" l="1"/>
  <c r="R457" i="2"/>
  <c r="AD457" i="2" s="1"/>
  <c r="C17" i="9" s="1"/>
  <c r="AB457" i="2"/>
  <c r="N455" i="2"/>
  <c r="R455" i="2"/>
  <c r="AD455" i="2" s="1"/>
  <c r="C19" i="9" s="1"/>
  <c r="AB455" i="2"/>
  <c r="N456" i="2"/>
  <c r="R456" i="2"/>
  <c r="AD456" i="2" s="1"/>
  <c r="C20" i="9" s="1"/>
  <c r="AB456" i="2"/>
  <c r="N458" i="2"/>
  <c r="R458" i="2"/>
  <c r="AD458" i="2" s="1"/>
  <c r="C16" i="9" s="1"/>
  <c r="AB458" i="2"/>
  <c r="N454" i="2" l="1"/>
  <c r="R454" i="2"/>
  <c r="AD454" i="2" s="1"/>
  <c r="C18" i="9" s="1"/>
  <c r="AB454" i="2"/>
  <c r="R218" i="2" l="1"/>
  <c r="AD218" i="2" s="1"/>
  <c r="N340" i="2"/>
  <c r="R340" i="2"/>
  <c r="AD340" i="2" s="1"/>
  <c r="AB340" i="2"/>
  <c r="N218" i="2"/>
  <c r="AB218" i="2"/>
  <c r="N217" i="2"/>
  <c r="R217" i="2"/>
  <c r="AD217" i="2" s="1"/>
  <c r="AB217" i="2"/>
  <c r="N219" i="2"/>
  <c r="R219" i="2"/>
  <c r="AD219" i="2" s="1"/>
  <c r="AB219" i="2"/>
  <c r="N221" i="2"/>
  <c r="R221" i="2"/>
  <c r="AD221" i="2" s="1"/>
  <c r="AB221" i="2"/>
  <c r="N220" i="2"/>
  <c r="R220" i="2"/>
  <c r="AD220" i="2" s="1"/>
  <c r="AB220" i="2"/>
  <c r="N223" i="2"/>
  <c r="R223" i="2"/>
  <c r="AD223" i="2" s="1"/>
  <c r="AB223" i="2"/>
  <c r="N222" i="2"/>
  <c r="R222" i="2"/>
  <c r="AD222" i="2" s="1"/>
  <c r="AB222" i="2"/>
  <c r="N367" i="2"/>
  <c r="R367" i="2"/>
  <c r="AD367" i="2" s="1"/>
  <c r="AB367" i="2"/>
  <c r="N342" i="2"/>
  <c r="R342" i="2"/>
  <c r="AD342" i="2" s="1"/>
  <c r="AB342" i="2"/>
  <c r="N368" i="2"/>
  <c r="R368" i="2"/>
  <c r="AD368" i="2" s="1"/>
  <c r="AB368" i="2"/>
  <c r="N370" i="2"/>
  <c r="R370" i="2"/>
  <c r="AD370" i="2" s="1"/>
  <c r="AB370" i="2"/>
  <c r="N369" i="2"/>
  <c r="R369" i="2"/>
  <c r="AD369" i="2" s="1"/>
  <c r="AB369" i="2"/>
  <c r="N363" i="2"/>
  <c r="R363" i="2"/>
  <c r="AD363" i="2" s="1"/>
  <c r="AB363" i="2"/>
  <c r="N362" i="2"/>
  <c r="R362" i="2"/>
  <c r="AD362" i="2" s="1"/>
  <c r="AB362" i="2"/>
  <c r="J263" i="5" l="1"/>
  <c r="K263" i="5" s="1"/>
  <c r="J260" i="5"/>
  <c r="K260" i="5" s="1"/>
  <c r="J258" i="5"/>
  <c r="K258" i="5" s="1"/>
  <c r="J229" i="5"/>
  <c r="K229" i="5" s="1"/>
  <c r="J261" i="5"/>
  <c r="K261" i="5" s="1"/>
  <c r="J283" i="5"/>
  <c r="K283" i="5" s="1"/>
  <c r="J234" i="5"/>
  <c r="K234" i="5" s="1"/>
  <c r="J246" i="5"/>
  <c r="K246" i="5" s="1"/>
  <c r="J262" i="5"/>
  <c r="K262" i="5" s="1"/>
  <c r="J259" i="5"/>
  <c r="K259" i="5" s="1"/>
  <c r="J257" i="5"/>
  <c r="K257" i="5" s="1"/>
  <c r="J255" i="5"/>
  <c r="K255" i="5" s="1"/>
  <c r="N366" i="2"/>
  <c r="R366" i="2"/>
  <c r="AD366" i="2" s="1"/>
  <c r="AB366" i="2"/>
  <c r="N364" i="2"/>
  <c r="R364" i="2"/>
  <c r="AD364" i="2" s="1"/>
  <c r="AB364" i="2"/>
  <c r="N365" i="2"/>
  <c r="R365" i="2"/>
  <c r="AD365" i="2" s="1"/>
  <c r="AB365" i="2"/>
  <c r="N361" i="2"/>
  <c r="R361" i="2"/>
  <c r="AD361" i="2" s="1"/>
  <c r="AB361" i="2"/>
  <c r="N449" i="2"/>
  <c r="R449" i="2"/>
  <c r="AD449" i="2" s="1"/>
  <c r="AB449" i="2"/>
  <c r="E163" i="5"/>
  <c r="F163" i="5"/>
  <c r="G163" i="5"/>
  <c r="H163" i="5"/>
  <c r="E162" i="5"/>
  <c r="F162" i="5"/>
  <c r="G162" i="5"/>
  <c r="H162" i="5"/>
  <c r="E161" i="5"/>
  <c r="F161" i="5"/>
  <c r="G161" i="5"/>
  <c r="H161" i="5"/>
  <c r="E160" i="5"/>
  <c r="F160" i="5"/>
  <c r="G160" i="5"/>
  <c r="H160" i="5"/>
  <c r="E159" i="5"/>
  <c r="F159" i="5"/>
  <c r="G159" i="5"/>
  <c r="H159" i="5"/>
  <c r="E158" i="5"/>
  <c r="F158" i="5"/>
  <c r="G158" i="5"/>
  <c r="H158" i="5"/>
  <c r="E157" i="5"/>
  <c r="F157" i="5"/>
  <c r="G157" i="5"/>
  <c r="H157" i="5"/>
  <c r="E156" i="5"/>
  <c r="F156" i="5"/>
  <c r="G156" i="5"/>
  <c r="H156" i="5"/>
  <c r="E155" i="5"/>
  <c r="F155" i="5"/>
  <c r="G155" i="5"/>
  <c r="H155" i="5"/>
  <c r="E154" i="5"/>
  <c r="F154" i="5"/>
  <c r="G154" i="5"/>
  <c r="H154" i="5"/>
  <c r="E153" i="5"/>
  <c r="F153" i="5"/>
  <c r="G153" i="5"/>
  <c r="H153" i="5"/>
  <c r="E152" i="5"/>
  <c r="F152" i="5"/>
  <c r="G152" i="5"/>
  <c r="H152" i="5"/>
  <c r="E151" i="5"/>
  <c r="F151" i="5"/>
  <c r="G151" i="5"/>
  <c r="H151" i="5"/>
  <c r="E150" i="5"/>
  <c r="F150" i="5"/>
  <c r="G150" i="5"/>
  <c r="H150" i="5"/>
  <c r="C12" i="9" l="1"/>
  <c r="J284" i="5"/>
  <c r="K284" i="5" s="1"/>
  <c r="J285" i="5"/>
  <c r="K285" i="5" s="1"/>
  <c r="J228" i="5"/>
  <c r="K228" i="5" s="1"/>
  <c r="J256" i="5"/>
  <c r="K256" i="5" s="1"/>
  <c r="J247" i="5"/>
  <c r="K247" i="5" s="1"/>
  <c r="J248" i="5"/>
  <c r="K248" i="5" s="1"/>
  <c r="J245" i="5"/>
  <c r="K245" i="5" s="1"/>
  <c r="J264" i="5"/>
  <c r="K264" i="5" s="1"/>
  <c r="E149" i="5" l="1"/>
  <c r="F149" i="5"/>
  <c r="G149" i="5"/>
  <c r="H149" i="5"/>
  <c r="E148" i="5"/>
  <c r="F148" i="5"/>
  <c r="G148" i="5"/>
  <c r="H148" i="5"/>
  <c r="E147" i="5"/>
  <c r="F147" i="5"/>
  <c r="G147" i="5"/>
  <c r="H147" i="5"/>
  <c r="E146" i="5"/>
  <c r="F146" i="5"/>
  <c r="G146" i="5"/>
  <c r="H146" i="5"/>
  <c r="E145" i="5"/>
  <c r="F145" i="5"/>
  <c r="G145" i="5"/>
  <c r="H145" i="5"/>
  <c r="E144" i="5"/>
  <c r="F144" i="5"/>
  <c r="G144" i="5"/>
  <c r="H144" i="5"/>
  <c r="E143" i="5"/>
  <c r="F143" i="5"/>
  <c r="G143" i="5"/>
  <c r="H143" i="5"/>
  <c r="E142" i="5"/>
  <c r="F142" i="5"/>
  <c r="G142" i="5"/>
  <c r="H142" i="5"/>
  <c r="E141" i="5" l="1"/>
  <c r="F141" i="5"/>
  <c r="G141" i="5"/>
  <c r="H141" i="5"/>
  <c r="E140" i="5"/>
  <c r="F140" i="5"/>
  <c r="G140" i="5"/>
  <c r="H140" i="5"/>
  <c r="E139" i="5"/>
  <c r="F139" i="5"/>
  <c r="G139" i="5"/>
  <c r="H139" i="5"/>
  <c r="E138" i="5"/>
  <c r="F138" i="5"/>
  <c r="G138" i="5"/>
  <c r="H138" i="5"/>
  <c r="E137" i="5" l="1"/>
  <c r="F137" i="5"/>
  <c r="G137" i="5"/>
  <c r="H137" i="5"/>
  <c r="E136" i="5" l="1"/>
  <c r="F136" i="5"/>
  <c r="G136" i="5"/>
  <c r="H136" i="5"/>
  <c r="E135" i="5"/>
  <c r="F135" i="5"/>
  <c r="G135" i="5"/>
  <c r="H135" i="5"/>
  <c r="E134" i="5"/>
  <c r="F134" i="5"/>
  <c r="G134" i="5"/>
  <c r="H134" i="5"/>
  <c r="E133" i="5"/>
  <c r="F133" i="5"/>
  <c r="G133" i="5"/>
  <c r="H133" i="5"/>
  <c r="E132" i="5"/>
  <c r="F132" i="5"/>
  <c r="G132" i="5"/>
  <c r="H132" i="5"/>
  <c r="E131" i="5"/>
  <c r="F131" i="5"/>
  <c r="G131" i="5"/>
  <c r="H131" i="5"/>
  <c r="E130" i="5"/>
  <c r="F130" i="5"/>
  <c r="G130" i="5"/>
  <c r="H130" i="5"/>
  <c r="E129" i="5"/>
  <c r="F129" i="5"/>
  <c r="G129" i="5"/>
  <c r="H129" i="5"/>
  <c r="E128" i="5"/>
  <c r="F128" i="5"/>
  <c r="G128" i="5"/>
  <c r="H128" i="5"/>
  <c r="E127" i="5"/>
  <c r="F127" i="5"/>
  <c r="G127" i="5"/>
  <c r="H127" i="5"/>
  <c r="E126" i="5"/>
  <c r="F126" i="5"/>
  <c r="G126" i="5"/>
  <c r="H126" i="5"/>
  <c r="E121" i="5"/>
  <c r="E122" i="5"/>
  <c r="E123" i="5"/>
  <c r="E124" i="5"/>
  <c r="E125" i="5"/>
  <c r="F121" i="5"/>
  <c r="F122" i="5"/>
  <c r="F123" i="5"/>
  <c r="F124" i="5"/>
  <c r="F125" i="5"/>
  <c r="G121" i="5"/>
  <c r="G122" i="5"/>
  <c r="G123" i="5"/>
  <c r="G124" i="5"/>
  <c r="G125" i="5"/>
  <c r="H121" i="5"/>
  <c r="H122" i="5"/>
  <c r="H123" i="5"/>
  <c r="H124" i="5"/>
  <c r="H125" i="5"/>
  <c r="E120" i="5"/>
  <c r="F120" i="5"/>
  <c r="G120" i="5"/>
  <c r="H120" i="5"/>
  <c r="E119" i="5"/>
  <c r="F119" i="5"/>
  <c r="G119" i="5"/>
  <c r="H119" i="5"/>
  <c r="G78" i="16" l="1"/>
  <c r="G77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63" i="16"/>
  <c r="G16" i="16"/>
  <c r="G17" i="16"/>
  <c r="G18" i="16"/>
  <c r="G19" i="16"/>
  <c r="G21" i="16"/>
  <c r="G22" i="16"/>
  <c r="G23" i="16"/>
  <c r="G24" i="16"/>
  <c r="G25" i="16"/>
  <c r="G26" i="16"/>
  <c r="G27" i="16"/>
  <c r="G28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15" i="16"/>
  <c r="B22" i="4" l="1"/>
  <c r="C2" i="17" l="1"/>
  <c r="E118" i="5" l="1"/>
  <c r="F118" i="5"/>
  <c r="G118" i="5"/>
  <c r="H118" i="5"/>
  <c r="E116" i="5"/>
  <c r="E117" i="5"/>
  <c r="F116" i="5"/>
  <c r="F117" i="5"/>
  <c r="G116" i="5"/>
  <c r="G117" i="5"/>
  <c r="H116" i="5"/>
  <c r="H117" i="5"/>
  <c r="E115" i="5"/>
  <c r="F115" i="5"/>
  <c r="G115" i="5"/>
  <c r="H115" i="5"/>
  <c r="E114" i="5"/>
  <c r="F114" i="5"/>
  <c r="G114" i="5"/>
  <c r="H114" i="5"/>
  <c r="E113" i="5"/>
  <c r="F113" i="5"/>
  <c r="G113" i="5"/>
  <c r="H113" i="5"/>
  <c r="E112" i="5"/>
  <c r="F112" i="5"/>
  <c r="G112" i="5"/>
  <c r="H112" i="5"/>
  <c r="E111" i="5"/>
  <c r="F111" i="5"/>
  <c r="G111" i="5"/>
  <c r="H111" i="5"/>
  <c r="E110" i="5"/>
  <c r="F110" i="5"/>
  <c r="G110" i="5"/>
  <c r="H110" i="5"/>
  <c r="E109" i="5"/>
  <c r="F109" i="5"/>
  <c r="G109" i="5"/>
  <c r="H109" i="5"/>
  <c r="E108" i="5"/>
  <c r="F108" i="5"/>
  <c r="G108" i="5"/>
  <c r="H108" i="5"/>
  <c r="E107" i="5"/>
  <c r="F107" i="5"/>
  <c r="G107" i="5"/>
  <c r="H107" i="5"/>
  <c r="E106" i="5"/>
  <c r="F106" i="5"/>
  <c r="G106" i="5"/>
  <c r="H106" i="5"/>
  <c r="E105" i="5"/>
  <c r="F105" i="5"/>
  <c r="G105" i="5"/>
  <c r="H105" i="5"/>
  <c r="E104" i="5"/>
  <c r="F104" i="5"/>
  <c r="G104" i="5"/>
  <c r="H104" i="5"/>
  <c r="E103" i="5"/>
  <c r="F103" i="5"/>
  <c r="G103" i="5"/>
  <c r="H103" i="5"/>
  <c r="E102" i="5"/>
  <c r="F102" i="5"/>
  <c r="G102" i="5"/>
  <c r="H102" i="5"/>
  <c r="E101" i="5"/>
  <c r="F101" i="5"/>
  <c r="G101" i="5"/>
  <c r="H101" i="5"/>
  <c r="E100" i="5" l="1"/>
  <c r="F100" i="5"/>
  <c r="G100" i="5"/>
  <c r="H100" i="5"/>
  <c r="E99" i="5"/>
  <c r="F99" i="5"/>
  <c r="G99" i="5"/>
  <c r="H99" i="5"/>
  <c r="E98" i="5"/>
  <c r="F98" i="5"/>
  <c r="G98" i="5"/>
  <c r="H98" i="5"/>
  <c r="O81" i="16" l="1"/>
  <c r="Q81" i="16"/>
  <c r="Q3" i="16"/>
  <c r="Q14" i="16"/>
  <c r="Q20" i="16"/>
  <c r="Q29" i="16"/>
  <c r="Q62" i="16"/>
  <c r="Q76" i="16"/>
  <c r="Q79" i="16"/>
  <c r="Q84" i="16"/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3" i="4"/>
  <c r="B3" i="4"/>
  <c r="E3" i="17" l="1"/>
  <c r="D7" i="17" l="1"/>
  <c r="D8" i="17"/>
  <c r="D9" i="17"/>
  <c r="E96" i="5" l="1"/>
  <c r="E97" i="5"/>
  <c r="F96" i="5"/>
  <c r="F97" i="5"/>
  <c r="G96" i="5"/>
  <c r="G97" i="5"/>
  <c r="H96" i="5"/>
  <c r="H97" i="5"/>
  <c r="E95" i="5"/>
  <c r="F95" i="5"/>
  <c r="G95" i="5"/>
  <c r="H95" i="5"/>
  <c r="E94" i="5"/>
  <c r="F94" i="5"/>
  <c r="G94" i="5"/>
  <c r="H94" i="5"/>
  <c r="E93" i="5"/>
  <c r="F93" i="5"/>
  <c r="G93" i="5"/>
  <c r="H93" i="5"/>
  <c r="E92" i="5"/>
  <c r="F92" i="5"/>
  <c r="G92" i="5"/>
  <c r="H92" i="5"/>
  <c r="AB85" i="2"/>
  <c r="AB86" i="2"/>
  <c r="N86" i="2"/>
  <c r="R86" i="2"/>
  <c r="AD86" i="2" s="1"/>
  <c r="N85" i="2"/>
  <c r="R85" i="2"/>
  <c r="AD85" i="2" s="1"/>
  <c r="D11" i="17" l="1"/>
  <c r="D12" i="17"/>
  <c r="D14" i="17"/>
  <c r="F2" i="17"/>
  <c r="G2" i="17"/>
  <c r="H2" i="17"/>
  <c r="I2" i="17"/>
  <c r="F3" i="17"/>
  <c r="H3" i="17"/>
  <c r="I3" i="17"/>
  <c r="E2" i="17"/>
  <c r="N2" i="17" l="1"/>
  <c r="J97" i="5"/>
  <c r="K97" i="5" s="1"/>
  <c r="J96" i="5"/>
  <c r="K96" i="5" s="1"/>
  <c r="D2" i="17"/>
  <c r="J80" i="16"/>
  <c r="J4" i="16"/>
  <c r="J5" i="16"/>
  <c r="J6" i="16"/>
  <c r="J7" i="16"/>
  <c r="J8" i="16"/>
  <c r="J9" i="16"/>
  <c r="J10" i="16"/>
  <c r="J11" i="16"/>
  <c r="J12" i="16"/>
  <c r="J13" i="16"/>
  <c r="J21" i="16"/>
  <c r="J22" i="16"/>
  <c r="J15" i="16"/>
  <c r="J16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17" i="16"/>
  <c r="J18" i="16"/>
  <c r="J42" i="16"/>
  <c r="J43" i="16"/>
  <c r="J44" i="16"/>
  <c r="J45" i="16"/>
  <c r="J46" i="16"/>
  <c r="J47" i="16"/>
  <c r="J48" i="16"/>
  <c r="J49" i="16"/>
  <c r="J23" i="16"/>
  <c r="J50" i="16"/>
  <c r="J51" i="16"/>
  <c r="J24" i="16"/>
  <c r="J52" i="16"/>
  <c r="J53" i="16"/>
  <c r="J54" i="16"/>
  <c r="J55" i="16"/>
  <c r="J56" i="16"/>
  <c r="J57" i="16"/>
  <c r="J58" i="16"/>
  <c r="J25" i="16"/>
  <c r="J59" i="16"/>
  <c r="J60" i="16"/>
  <c r="J61" i="16"/>
  <c r="J26" i="16"/>
  <c r="J27" i="16"/>
  <c r="J28" i="16"/>
  <c r="J19" i="16"/>
  <c r="J77" i="16"/>
  <c r="J78" i="16"/>
  <c r="J82" i="16"/>
  <c r="J85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83" i="16"/>
  <c r="M83" i="16" l="1"/>
  <c r="L83" i="16"/>
  <c r="K83" i="16"/>
  <c r="I83" i="16"/>
  <c r="H83" i="16"/>
  <c r="F83" i="16"/>
  <c r="E83" i="16"/>
  <c r="M75" i="16"/>
  <c r="L75" i="16"/>
  <c r="K75" i="16"/>
  <c r="I75" i="16"/>
  <c r="H75" i="16"/>
  <c r="F75" i="16"/>
  <c r="E75" i="16"/>
  <c r="M74" i="16"/>
  <c r="L74" i="16"/>
  <c r="K74" i="16"/>
  <c r="I74" i="16"/>
  <c r="H74" i="16"/>
  <c r="F74" i="16"/>
  <c r="E74" i="16"/>
  <c r="M73" i="16"/>
  <c r="L73" i="16"/>
  <c r="K73" i="16"/>
  <c r="I73" i="16"/>
  <c r="H73" i="16"/>
  <c r="F73" i="16"/>
  <c r="E73" i="16"/>
  <c r="M72" i="16"/>
  <c r="L72" i="16"/>
  <c r="K72" i="16"/>
  <c r="I72" i="16"/>
  <c r="H72" i="16"/>
  <c r="F72" i="16"/>
  <c r="E72" i="16"/>
  <c r="M71" i="16"/>
  <c r="L71" i="16"/>
  <c r="K71" i="16"/>
  <c r="I71" i="16"/>
  <c r="H71" i="16"/>
  <c r="F71" i="16"/>
  <c r="E71" i="16"/>
  <c r="M70" i="16"/>
  <c r="L70" i="16"/>
  <c r="K70" i="16"/>
  <c r="I70" i="16"/>
  <c r="H70" i="16"/>
  <c r="F70" i="16"/>
  <c r="E70" i="16"/>
  <c r="M69" i="16"/>
  <c r="L69" i="16"/>
  <c r="K69" i="16"/>
  <c r="I69" i="16"/>
  <c r="H69" i="16"/>
  <c r="F69" i="16"/>
  <c r="E69" i="16"/>
  <c r="M68" i="16"/>
  <c r="L68" i="16"/>
  <c r="K68" i="16"/>
  <c r="I68" i="16"/>
  <c r="H68" i="16"/>
  <c r="F68" i="16"/>
  <c r="E68" i="16"/>
  <c r="M67" i="16"/>
  <c r="L67" i="16"/>
  <c r="K67" i="16"/>
  <c r="I67" i="16"/>
  <c r="H67" i="16"/>
  <c r="F67" i="16"/>
  <c r="E67" i="16"/>
  <c r="M66" i="16"/>
  <c r="L66" i="16"/>
  <c r="K66" i="16"/>
  <c r="I66" i="16"/>
  <c r="H66" i="16"/>
  <c r="F66" i="16"/>
  <c r="E66" i="16"/>
  <c r="M65" i="16"/>
  <c r="L65" i="16"/>
  <c r="K65" i="16"/>
  <c r="I65" i="16"/>
  <c r="H65" i="16"/>
  <c r="F65" i="16"/>
  <c r="E65" i="16"/>
  <c r="M64" i="16"/>
  <c r="L64" i="16"/>
  <c r="K64" i="16"/>
  <c r="I64" i="16"/>
  <c r="H64" i="16"/>
  <c r="F64" i="16"/>
  <c r="E64" i="16"/>
  <c r="M63" i="16"/>
  <c r="L63" i="16"/>
  <c r="K63" i="16"/>
  <c r="I63" i="16"/>
  <c r="H63" i="16"/>
  <c r="F63" i="16"/>
  <c r="E63" i="16"/>
  <c r="M85" i="16"/>
  <c r="L85" i="16"/>
  <c r="K85" i="16"/>
  <c r="I85" i="16"/>
  <c r="H85" i="16"/>
  <c r="F85" i="16"/>
  <c r="E85" i="16"/>
  <c r="M82" i="16"/>
  <c r="L82" i="16"/>
  <c r="K82" i="16"/>
  <c r="I82" i="16"/>
  <c r="H82" i="16"/>
  <c r="F82" i="16"/>
  <c r="E82" i="16"/>
  <c r="M78" i="16"/>
  <c r="L78" i="16"/>
  <c r="K78" i="16"/>
  <c r="I78" i="16"/>
  <c r="H78" i="16"/>
  <c r="F78" i="16"/>
  <c r="E78" i="16"/>
  <c r="M77" i="16"/>
  <c r="L77" i="16"/>
  <c r="K77" i="16"/>
  <c r="I77" i="16"/>
  <c r="H77" i="16"/>
  <c r="F77" i="16"/>
  <c r="E77" i="16"/>
  <c r="M19" i="16"/>
  <c r="L19" i="16"/>
  <c r="K19" i="16"/>
  <c r="I19" i="16"/>
  <c r="H19" i="16"/>
  <c r="F19" i="16"/>
  <c r="E19" i="16"/>
  <c r="M28" i="16"/>
  <c r="L28" i="16"/>
  <c r="K28" i="16"/>
  <c r="I28" i="16"/>
  <c r="H28" i="16"/>
  <c r="F28" i="16"/>
  <c r="E28" i="16"/>
  <c r="M27" i="16"/>
  <c r="L27" i="16"/>
  <c r="K27" i="16"/>
  <c r="I27" i="16"/>
  <c r="H27" i="16"/>
  <c r="F27" i="16"/>
  <c r="E27" i="16"/>
  <c r="M26" i="16"/>
  <c r="L26" i="16"/>
  <c r="K26" i="16"/>
  <c r="I26" i="16"/>
  <c r="H26" i="16"/>
  <c r="F26" i="16"/>
  <c r="E26" i="16"/>
  <c r="M61" i="16"/>
  <c r="L61" i="16"/>
  <c r="K61" i="16"/>
  <c r="I61" i="16"/>
  <c r="H61" i="16"/>
  <c r="F61" i="16"/>
  <c r="E61" i="16"/>
  <c r="M60" i="16"/>
  <c r="L60" i="16"/>
  <c r="K60" i="16"/>
  <c r="I60" i="16"/>
  <c r="H60" i="16"/>
  <c r="F60" i="16"/>
  <c r="E60" i="16"/>
  <c r="M59" i="16"/>
  <c r="L59" i="16"/>
  <c r="K59" i="16"/>
  <c r="I59" i="16"/>
  <c r="H59" i="16"/>
  <c r="F59" i="16"/>
  <c r="E59" i="16"/>
  <c r="M25" i="16"/>
  <c r="L25" i="16"/>
  <c r="K25" i="16"/>
  <c r="I25" i="16"/>
  <c r="H25" i="16"/>
  <c r="F25" i="16"/>
  <c r="E25" i="16"/>
  <c r="M58" i="16"/>
  <c r="L58" i="16"/>
  <c r="K58" i="16"/>
  <c r="I58" i="16"/>
  <c r="H58" i="16"/>
  <c r="F58" i="16"/>
  <c r="E58" i="16"/>
  <c r="M57" i="16"/>
  <c r="L57" i="16"/>
  <c r="K57" i="16"/>
  <c r="I57" i="16"/>
  <c r="H57" i="16"/>
  <c r="F57" i="16"/>
  <c r="E57" i="16"/>
  <c r="M56" i="16"/>
  <c r="L56" i="16"/>
  <c r="K56" i="16"/>
  <c r="I56" i="16"/>
  <c r="H56" i="16"/>
  <c r="F56" i="16"/>
  <c r="E56" i="16"/>
  <c r="M55" i="16"/>
  <c r="L55" i="16"/>
  <c r="K55" i="16"/>
  <c r="I55" i="16"/>
  <c r="H55" i="16"/>
  <c r="F55" i="16"/>
  <c r="E55" i="16"/>
  <c r="M54" i="16"/>
  <c r="L54" i="16"/>
  <c r="K54" i="16"/>
  <c r="I54" i="16"/>
  <c r="H54" i="16"/>
  <c r="F54" i="16"/>
  <c r="E54" i="16"/>
  <c r="M53" i="16"/>
  <c r="L53" i="16"/>
  <c r="K53" i="16"/>
  <c r="I53" i="16"/>
  <c r="H53" i="16"/>
  <c r="F53" i="16"/>
  <c r="E53" i="16"/>
  <c r="M52" i="16"/>
  <c r="L52" i="16"/>
  <c r="K52" i="16"/>
  <c r="I52" i="16"/>
  <c r="H52" i="16"/>
  <c r="F52" i="16"/>
  <c r="E52" i="16"/>
  <c r="M24" i="16"/>
  <c r="L24" i="16"/>
  <c r="K24" i="16"/>
  <c r="I24" i="16"/>
  <c r="H24" i="16"/>
  <c r="F24" i="16"/>
  <c r="E24" i="16"/>
  <c r="M51" i="16"/>
  <c r="L51" i="16"/>
  <c r="K51" i="16"/>
  <c r="I51" i="16"/>
  <c r="H51" i="16"/>
  <c r="F51" i="16"/>
  <c r="E51" i="16"/>
  <c r="M50" i="16"/>
  <c r="L50" i="16"/>
  <c r="K50" i="16"/>
  <c r="I50" i="16"/>
  <c r="H50" i="16"/>
  <c r="F50" i="16"/>
  <c r="E50" i="16"/>
  <c r="M23" i="16"/>
  <c r="L23" i="16"/>
  <c r="K23" i="16"/>
  <c r="I23" i="16"/>
  <c r="H23" i="16"/>
  <c r="F23" i="16"/>
  <c r="E23" i="16"/>
  <c r="M49" i="16"/>
  <c r="L49" i="16"/>
  <c r="K49" i="16"/>
  <c r="I49" i="16"/>
  <c r="H49" i="16"/>
  <c r="F49" i="16"/>
  <c r="E49" i="16"/>
  <c r="M48" i="16"/>
  <c r="L48" i="16"/>
  <c r="K48" i="16"/>
  <c r="I48" i="16"/>
  <c r="H48" i="16"/>
  <c r="F48" i="16"/>
  <c r="E48" i="16"/>
  <c r="M47" i="16"/>
  <c r="L47" i="16"/>
  <c r="K47" i="16"/>
  <c r="I47" i="16"/>
  <c r="H47" i="16"/>
  <c r="F47" i="16"/>
  <c r="E47" i="16"/>
  <c r="M46" i="16"/>
  <c r="L46" i="16"/>
  <c r="K46" i="16"/>
  <c r="I46" i="16"/>
  <c r="H46" i="16"/>
  <c r="F46" i="16"/>
  <c r="E46" i="16"/>
  <c r="M45" i="16"/>
  <c r="L45" i="16"/>
  <c r="K45" i="16"/>
  <c r="I45" i="16"/>
  <c r="H45" i="16"/>
  <c r="F45" i="16"/>
  <c r="E45" i="16"/>
  <c r="M44" i="16"/>
  <c r="L44" i="16"/>
  <c r="K44" i="16"/>
  <c r="I44" i="16"/>
  <c r="H44" i="16"/>
  <c r="F44" i="16"/>
  <c r="E44" i="16"/>
  <c r="M43" i="16"/>
  <c r="L43" i="16"/>
  <c r="K43" i="16"/>
  <c r="I43" i="16"/>
  <c r="H43" i="16"/>
  <c r="F43" i="16"/>
  <c r="E43" i="16"/>
  <c r="M42" i="16"/>
  <c r="L42" i="16"/>
  <c r="K42" i="16"/>
  <c r="I42" i="16"/>
  <c r="H42" i="16"/>
  <c r="F42" i="16"/>
  <c r="E42" i="16"/>
  <c r="M18" i="16"/>
  <c r="L18" i="16"/>
  <c r="K18" i="16"/>
  <c r="I18" i="16"/>
  <c r="H18" i="16"/>
  <c r="F18" i="16"/>
  <c r="E18" i="16"/>
  <c r="M17" i="16"/>
  <c r="L17" i="16"/>
  <c r="K17" i="16"/>
  <c r="I17" i="16"/>
  <c r="H17" i="16"/>
  <c r="F17" i="16"/>
  <c r="E17" i="16"/>
  <c r="M41" i="16"/>
  <c r="L41" i="16"/>
  <c r="K41" i="16"/>
  <c r="I41" i="16"/>
  <c r="H41" i="16"/>
  <c r="F41" i="16"/>
  <c r="E41" i="16"/>
  <c r="M40" i="16"/>
  <c r="L40" i="16"/>
  <c r="K40" i="16"/>
  <c r="I40" i="16"/>
  <c r="H40" i="16"/>
  <c r="F40" i="16"/>
  <c r="E40" i="16"/>
  <c r="M39" i="16"/>
  <c r="L39" i="16"/>
  <c r="K39" i="16"/>
  <c r="I39" i="16"/>
  <c r="H39" i="16"/>
  <c r="F39" i="16"/>
  <c r="E39" i="16"/>
  <c r="M38" i="16"/>
  <c r="L38" i="16"/>
  <c r="K38" i="16"/>
  <c r="I38" i="16"/>
  <c r="H38" i="16"/>
  <c r="F38" i="16"/>
  <c r="E38" i="16"/>
  <c r="M37" i="16"/>
  <c r="L37" i="16"/>
  <c r="K37" i="16"/>
  <c r="I37" i="16"/>
  <c r="H37" i="16"/>
  <c r="F37" i="16"/>
  <c r="E37" i="16"/>
  <c r="M36" i="16"/>
  <c r="L36" i="16"/>
  <c r="K36" i="16"/>
  <c r="I36" i="16"/>
  <c r="H36" i="16"/>
  <c r="F36" i="16"/>
  <c r="E36" i="16"/>
  <c r="M35" i="16"/>
  <c r="L35" i="16"/>
  <c r="K35" i="16"/>
  <c r="I35" i="16"/>
  <c r="H35" i="16"/>
  <c r="F35" i="16"/>
  <c r="E35" i="16"/>
  <c r="M34" i="16"/>
  <c r="L34" i="16"/>
  <c r="K34" i="16"/>
  <c r="I34" i="16"/>
  <c r="H34" i="16"/>
  <c r="F34" i="16"/>
  <c r="E34" i="16"/>
  <c r="M33" i="16"/>
  <c r="L33" i="16"/>
  <c r="K33" i="16"/>
  <c r="I33" i="16"/>
  <c r="H33" i="16"/>
  <c r="F33" i="16"/>
  <c r="E33" i="16"/>
  <c r="M32" i="16"/>
  <c r="L32" i="16"/>
  <c r="K32" i="16"/>
  <c r="I32" i="16"/>
  <c r="H32" i="16"/>
  <c r="F32" i="16"/>
  <c r="E32" i="16"/>
  <c r="M31" i="16"/>
  <c r="L31" i="16"/>
  <c r="K31" i="16"/>
  <c r="I31" i="16"/>
  <c r="H31" i="16"/>
  <c r="F31" i="16"/>
  <c r="E31" i="16"/>
  <c r="M30" i="16"/>
  <c r="L30" i="16"/>
  <c r="K30" i="16"/>
  <c r="I30" i="16"/>
  <c r="H30" i="16"/>
  <c r="F30" i="16"/>
  <c r="E30" i="16"/>
  <c r="M16" i="16"/>
  <c r="L16" i="16"/>
  <c r="K16" i="16"/>
  <c r="I16" i="16"/>
  <c r="H16" i="16"/>
  <c r="F16" i="16"/>
  <c r="E16" i="16"/>
  <c r="M15" i="16"/>
  <c r="L15" i="16"/>
  <c r="K15" i="16"/>
  <c r="I15" i="16"/>
  <c r="H15" i="16"/>
  <c r="F15" i="16"/>
  <c r="E15" i="16"/>
  <c r="M22" i="16"/>
  <c r="L22" i="16"/>
  <c r="K22" i="16"/>
  <c r="I22" i="16"/>
  <c r="H22" i="16"/>
  <c r="F22" i="16"/>
  <c r="E22" i="16"/>
  <c r="M21" i="16"/>
  <c r="L21" i="16"/>
  <c r="K21" i="16"/>
  <c r="I21" i="16"/>
  <c r="H21" i="16"/>
  <c r="F21" i="16"/>
  <c r="E21" i="16"/>
  <c r="M13" i="16"/>
  <c r="L13" i="16"/>
  <c r="K13" i="16"/>
  <c r="I13" i="16"/>
  <c r="H13" i="16"/>
  <c r="F13" i="16"/>
  <c r="E13" i="16"/>
  <c r="M12" i="16"/>
  <c r="L12" i="16"/>
  <c r="K12" i="16"/>
  <c r="I12" i="16"/>
  <c r="H12" i="16"/>
  <c r="F12" i="16"/>
  <c r="E12" i="16"/>
  <c r="M11" i="16"/>
  <c r="L11" i="16"/>
  <c r="K11" i="16"/>
  <c r="I11" i="16"/>
  <c r="H11" i="16"/>
  <c r="F11" i="16"/>
  <c r="E11" i="16"/>
  <c r="M10" i="16"/>
  <c r="L10" i="16"/>
  <c r="K10" i="16"/>
  <c r="I10" i="16"/>
  <c r="H10" i="16"/>
  <c r="F10" i="16"/>
  <c r="E10" i="16"/>
  <c r="M9" i="16"/>
  <c r="L9" i="16"/>
  <c r="K9" i="16"/>
  <c r="I9" i="16"/>
  <c r="H9" i="16"/>
  <c r="F9" i="16"/>
  <c r="E9" i="16"/>
  <c r="M8" i="16"/>
  <c r="L8" i="16"/>
  <c r="K8" i="16"/>
  <c r="I8" i="16"/>
  <c r="H8" i="16"/>
  <c r="F8" i="16"/>
  <c r="E8" i="16"/>
  <c r="M7" i="16"/>
  <c r="L7" i="16"/>
  <c r="K7" i="16"/>
  <c r="I7" i="16"/>
  <c r="H7" i="16"/>
  <c r="F7" i="16"/>
  <c r="E7" i="16"/>
  <c r="M6" i="16"/>
  <c r="L6" i="16"/>
  <c r="K6" i="16"/>
  <c r="I6" i="16"/>
  <c r="H6" i="16"/>
  <c r="F6" i="16"/>
  <c r="E6" i="16"/>
  <c r="M5" i="16"/>
  <c r="L5" i="16"/>
  <c r="K5" i="16"/>
  <c r="I5" i="16"/>
  <c r="H5" i="16"/>
  <c r="F5" i="16"/>
  <c r="E5" i="16"/>
  <c r="M4" i="16"/>
  <c r="L4" i="16"/>
  <c r="K4" i="16"/>
  <c r="I4" i="16"/>
  <c r="H4" i="16"/>
  <c r="F4" i="16"/>
  <c r="E4" i="16"/>
  <c r="M80" i="16"/>
  <c r="L80" i="16"/>
  <c r="K80" i="16"/>
  <c r="I80" i="16"/>
  <c r="H80" i="16"/>
  <c r="F80" i="16"/>
  <c r="E80" i="16"/>
  <c r="D80" i="16"/>
  <c r="D4" i="16"/>
  <c r="D5" i="16"/>
  <c r="D6" i="16"/>
  <c r="D7" i="16"/>
  <c r="D8" i="16"/>
  <c r="D9" i="16"/>
  <c r="D10" i="16"/>
  <c r="D11" i="16"/>
  <c r="D12" i="16"/>
  <c r="D13" i="16"/>
  <c r="D21" i="16"/>
  <c r="D22" i="16"/>
  <c r="D15" i="16"/>
  <c r="D16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17" i="16"/>
  <c r="D18" i="16"/>
  <c r="D42" i="16"/>
  <c r="D43" i="16"/>
  <c r="D44" i="16"/>
  <c r="D45" i="16"/>
  <c r="D46" i="16"/>
  <c r="D47" i="16"/>
  <c r="D48" i="16"/>
  <c r="D49" i="16"/>
  <c r="D23" i="16"/>
  <c r="D50" i="16"/>
  <c r="D51" i="16"/>
  <c r="D24" i="16"/>
  <c r="D52" i="16"/>
  <c r="D53" i="16"/>
  <c r="D54" i="16"/>
  <c r="D55" i="16"/>
  <c r="D56" i="16"/>
  <c r="D57" i="16"/>
  <c r="D58" i="16"/>
  <c r="D25" i="16"/>
  <c r="D59" i="16"/>
  <c r="D60" i="16"/>
  <c r="D61" i="16"/>
  <c r="D26" i="16"/>
  <c r="D27" i="16"/>
  <c r="D28" i="16"/>
  <c r="D19" i="16"/>
  <c r="D77" i="16"/>
  <c r="D78" i="16"/>
  <c r="D82" i="16"/>
  <c r="D85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83" i="16"/>
  <c r="H91" i="5" l="1"/>
  <c r="G91" i="5"/>
  <c r="F91" i="5"/>
  <c r="E91" i="5"/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L6" i="17" l="1"/>
  <c r="L10" i="17"/>
  <c r="L14" i="17"/>
  <c r="L18" i="17"/>
  <c r="L22" i="17"/>
  <c r="L26" i="17"/>
  <c r="L9" i="17"/>
  <c r="L17" i="17"/>
  <c r="L21" i="17"/>
  <c r="L7" i="17"/>
  <c r="L11" i="17"/>
  <c r="L15" i="17"/>
  <c r="L19" i="17"/>
  <c r="L23" i="17"/>
  <c r="L27" i="17"/>
  <c r="L5" i="17"/>
  <c r="L13" i="17"/>
  <c r="L25" i="17"/>
  <c r="L8" i="17"/>
  <c r="L12" i="17"/>
  <c r="L16" i="17"/>
  <c r="L20" i="17"/>
  <c r="L24" i="17"/>
  <c r="L28" i="17"/>
  <c r="I15" i="17"/>
  <c r="K25" i="17"/>
  <c r="K21" i="17"/>
  <c r="K17" i="17"/>
  <c r="K13" i="17"/>
  <c r="K9" i="17"/>
  <c r="K5" i="17"/>
  <c r="K28" i="17"/>
  <c r="K24" i="17"/>
  <c r="K20" i="17"/>
  <c r="K16" i="17"/>
  <c r="K12" i="17"/>
  <c r="K8" i="17"/>
  <c r="K27" i="17"/>
  <c r="K23" i="17"/>
  <c r="K19" i="17"/>
  <c r="K15" i="17"/>
  <c r="K11" i="17"/>
  <c r="K7" i="17"/>
  <c r="K26" i="17"/>
  <c r="K22" i="17"/>
  <c r="K18" i="17"/>
  <c r="K14" i="17"/>
  <c r="K10" i="17"/>
  <c r="K6" i="17"/>
  <c r="J4" i="17"/>
  <c r="J25" i="17"/>
  <c r="J21" i="17"/>
  <c r="J17" i="17"/>
  <c r="J13" i="17"/>
  <c r="J9" i="17"/>
  <c r="J5" i="17"/>
  <c r="J8" i="17"/>
  <c r="J27" i="17"/>
  <c r="J19" i="17"/>
  <c r="J11" i="17"/>
  <c r="J7" i="17"/>
  <c r="J26" i="17"/>
  <c r="J22" i="17"/>
  <c r="J18" i="17"/>
  <c r="J14" i="17"/>
  <c r="J10" i="17"/>
  <c r="J6" i="17"/>
  <c r="J28" i="17"/>
  <c r="J24" i="17"/>
  <c r="J20" i="17"/>
  <c r="J16" i="17"/>
  <c r="J12" i="17"/>
  <c r="J23" i="17"/>
  <c r="J15" i="17"/>
  <c r="H7" i="17"/>
  <c r="F8" i="17"/>
  <c r="H9" i="17"/>
  <c r="I8" i="17"/>
  <c r="E7" i="17"/>
  <c r="I7" i="17"/>
  <c r="G8" i="17"/>
  <c r="E9" i="17"/>
  <c r="I9" i="17"/>
  <c r="F7" i="17"/>
  <c r="H8" i="17"/>
  <c r="F9" i="17"/>
  <c r="G7" i="17"/>
  <c r="E8" i="17"/>
  <c r="G9" i="17"/>
  <c r="G5" i="17"/>
  <c r="F6" i="17"/>
  <c r="F10" i="17"/>
  <c r="E11" i="17"/>
  <c r="I11" i="17"/>
  <c r="H12" i="17"/>
  <c r="G13" i="17"/>
  <c r="F14" i="17"/>
  <c r="E15" i="17"/>
  <c r="H16" i="17"/>
  <c r="G17" i="17"/>
  <c r="F18" i="17"/>
  <c r="E19" i="17"/>
  <c r="I19" i="17"/>
  <c r="H20" i="17"/>
  <c r="G21" i="17"/>
  <c r="F22" i="17"/>
  <c r="E23" i="17"/>
  <c r="I23" i="17"/>
  <c r="H24" i="17"/>
  <c r="G25" i="17"/>
  <c r="F26" i="17"/>
  <c r="E27" i="17"/>
  <c r="I27" i="17"/>
  <c r="H28" i="17"/>
  <c r="H4" i="17"/>
  <c r="H15" i="17"/>
  <c r="I18" i="17"/>
  <c r="E22" i="17"/>
  <c r="G24" i="17"/>
  <c r="I26" i="17"/>
  <c r="H5" i="17"/>
  <c r="G6" i="17"/>
  <c r="G10" i="17"/>
  <c r="F11" i="17"/>
  <c r="E12" i="17"/>
  <c r="I12" i="17"/>
  <c r="H13" i="17"/>
  <c r="G14" i="17"/>
  <c r="F15" i="17"/>
  <c r="E16" i="17"/>
  <c r="I16" i="17"/>
  <c r="H17" i="17"/>
  <c r="G18" i="17"/>
  <c r="F19" i="17"/>
  <c r="E20" i="17"/>
  <c r="I20" i="17"/>
  <c r="H21" i="17"/>
  <c r="G22" i="17"/>
  <c r="F23" i="17"/>
  <c r="E24" i="17"/>
  <c r="I24" i="17"/>
  <c r="H25" i="17"/>
  <c r="G26" i="17"/>
  <c r="F27" i="17"/>
  <c r="E28" i="17"/>
  <c r="I28" i="17"/>
  <c r="I4" i="17"/>
  <c r="E6" i="17"/>
  <c r="I10" i="17"/>
  <c r="G12" i="17"/>
  <c r="E14" i="17"/>
  <c r="G16" i="17"/>
  <c r="E18" i="17"/>
  <c r="G20" i="17"/>
  <c r="I22" i="17"/>
  <c r="F25" i="17"/>
  <c r="H27" i="17"/>
  <c r="G4" i="17"/>
  <c r="E5" i="17"/>
  <c r="I5" i="17"/>
  <c r="H6" i="17"/>
  <c r="H10" i="17"/>
  <c r="G11" i="17"/>
  <c r="F12" i="17"/>
  <c r="E13" i="17"/>
  <c r="I13" i="17"/>
  <c r="H14" i="17"/>
  <c r="G15" i="17"/>
  <c r="F16" i="17"/>
  <c r="E17" i="17"/>
  <c r="I17" i="17"/>
  <c r="H18" i="17"/>
  <c r="G19" i="17"/>
  <c r="F20" i="17"/>
  <c r="E21" i="17"/>
  <c r="I21" i="17"/>
  <c r="H22" i="17"/>
  <c r="G23" i="17"/>
  <c r="F24" i="17"/>
  <c r="E25" i="17"/>
  <c r="I25" i="17"/>
  <c r="H26" i="17"/>
  <c r="G27" i="17"/>
  <c r="F28" i="17"/>
  <c r="F4" i="17"/>
  <c r="E4" i="17"/>
  <c r="F5" i="17"/>
  <c r="I6" i="17"/>
  <c r="E10" i="17"/>
  <c r="H11" i="17"/>
  <c r="F13" i="17"/>
  <c r="I14" i="17"/>
  <c r="F17" i="17"/>
  <c r="H19" i="17"/>
  <c r="F21" i="17"/>
  <c r="H23" i="17"/>
  <c r="E26" i="17"/>
  <c r="G28" i="17"/>
  <c r="N68" i="2"/>
  <c r="N69" i="2"/>
  <c r="N379" i="2"/>
  <c r="N380" i="2"/>
  <c r="N338" i="2"/>
  <c r="N339" i="2"/>
  <c r="N138" i="2"/>
  <c r="N139" i="2"/>
  <c r="R68" i="2"/>
  <c r="AD68" i="2" s="1"/>
  <c r="J302" i="5" s="1"/>
  <c r="K302" i="5" s="1"/>
  <c r="R69" i="2"/>
  <c r="AD69" i="2" s="1"/>
  <c r="J303" i="5" s="1"/>
  <c r="K303" i="5" s="1"/>
  <c r="R379" i="2"/>
  <c r="AD379" i="2" s="1"/>
  <c r="R380" i="2"/>
  <c r="AD380" i="2" s="1"/>
  <c r="R338" i="2"/>
  <c r="AD338" i="2" s="1"/>
  <c r="R339" i="2"/>
  <c r="AD339" i="2" s="1"/>
  <c r="R138" i="2"/>
  <c r="AD138" i="2" s="1"/>
  <c r="J281" i="5" s="1"/>
  <c r="K281" i="5" s="1"/>
  <c r="R139" i="2"/>
  <c r="AD139" i="2" s="1"/>
  <c r="J282" i="5" s="1"/>
  <c r="K282" i="5" s="1"/>
  <c r="R460" i="2"/>
  <c r="AD460" i="2" s="1"/>
  <c r="R11" i="2"/>
  <c r="AD11" i="2" s="1"/>
  <c r="AB68" i="2"/>
  <c r="AB379" i="2"/>
  <c r="AB380" i="2"/>
  <c r="AB338" i="2"/>
  <c r="AB339" i="2"/>
  <c r="AB138" i="2"/>
  <c r="AB139" i="2"/>
  <c r="AB460" i="2"/>
  <c r="AB11" i="2"/>
  <c r="R375" i="2"/>
  <c r="AD375" i="2" s="1"/>
  <c r="J390" i="5" s="1"/>
  <c r="K390" i="5" s="1"/>
  <c r="R377" i="2"/>
  <c r="AD377" i="2" s="1"/>
  <c r="R371" i="2"/>
  <c r="AD371" i="2" s="1"/>
  <c r="R372" i="2"/>
  <c r="AD372" i="2" s="1"/>
  <c r="AB375" i="2"/>
  <c r="AB377" i="2"/>
  <c r="AB371" i="2"/>
  <c r="AB372" i="2"/>
  <c r="R255" i="2"/>
  <c r="AD255" i="2" s="1"/>
  <c r="J330" i="5" s="1"/>
  <c r="K330" i="5" s="1"/>
  <c r="AB255" i="2"/>
  <c r="N296" i="2"/>
  <c r="N294" i="2"/>
  <c r="N267" i="2"/>
  <c r="N268" i="2"/>
  <c r="N269" i="2"/>
  <c r="N270" i="2"/>
  <c r="N295" i="2"/>
  <c r="R296" i="2"/>
  <c r="AD296" i="2" s="1"/>
  <c r="R297" i="2"/>
  <c r="AD297" i="2" s="1"/>
  <c r="R294" i="2"/>
  <c r="AD294" i="2" s="1"/>
  <c r="R267" i="2"/>
  <c r="AD267" i="2" s="1"/>
  <c r="R268" i="2"/>
  <c r="AD268" i="2" s="1"/>
  <c r="R269" i="2"/>
  <c r="AD269" i="2" s="1"/>
  <c r="R270" i="2"/>
  <c r="AD270" i="2" s="1"/>
  <c r="R295" i="2"/>
  <c r="AD295" i="2" s="1"/>
  <c r="AB296" i="2"/>
  <c r="AB297" i="2"/>
  <c r="AB294" i="2"/>
  <c r="AB267" i="2"/>
  <c r="AB268" i="2"/>
  <c r="AB269" i="2"/>
  <c r="AB270" i="2"/>
  <c r="AB295" i="2"/>
  <c r="J404" i="5" l="1"/>
  <c r="K404" i="5" s="1"/>
  <c r="J405" i="5"/>
  <c r="K405" i="5" s="1"/>
  <c r="L30" i="17"/>
  <c r="N26" i="17"/>
  <c r="N10" i="17"/>
  <c r="N21" i="17"/>
  <c r="N5" i="17"/>
  <c r="N14" i="17"/>
  <c r="N20" i="17"/>
  <c r="N23" i="17"/>
  <c r="N8" i="17"/>
  <c r="N17" i="17"/>
  <c r="N16" i="17"/>
  <c r="N22" i="17"/>
  <c r="N19" i="17"/>
  <c r="N7" i="17"/>
  <c r="N13" i="17"/>
  <c r="N18" i="17"/>
  <c r="N28" i="17"/>
  <c r="N12" i="17"/>
  <c r="N15" i="17"/>
  <c r="N9" i="17"/>
  <c r="N25" i="17"/>
  <c r="N6" i="17"/>
  <c r="N24" i="17"/>
  <c r="N27" i="17"/>
  <c r="N11" i="17"/>
  <c r="K30" i="17"/>
  <c r="Y59" i="5"/>
  <c r="Y60" i="5"/>
  <c r="Y55" i="5"/>
  <c r="Y56" i="5"/>
  <c r="Y53" i="5"/>
  <c r="Y54" i="5"/>
  <c r="I30" i="17"/>
  <c r="I29" i="17"/>
  <c r="J29" i="17"/>
  <c r="J30" i="17"/>
  <c r="J180" i="5"/>
  <c r="K180" i="5" s="1"/>
  <c r="J179" i="5"/>
  <c r="K179" i="5" s="1"/>
  <c r="J182" i="5"/>
  <c r="K182" i="5" s="1"/>
  <c r="E29" i="17"/>
  <c r="H29" i="17"/>
  <c r="E30" i="17"/>
  <c r="F30" i="17"/>
  <c r="H30" i="17"/>
  <c r="G30" i="17"/>
  <c r="F29" i="17"/>
  <c r="E87" i="5"/>
  <c r="E88" i="5"/>
  <c r="E89" i="5"/>
  <c r="E90" i="5"/>
  <c r="F87" i="5"/>
  <c r="F88" i="5"/>
  <c r="F89" i="5"/>
  <c r="F90" i="5"/>
  <c r="G87" i="5"/>
  <c r="G88" i="5"/>
  <c r="G89" i="5"/>
  <c r="G90" i="5"/>
  <c r="AB119" i="2"/>
  <c r="AB120" i="2"/>
  <c r="AB121" i="2"/>
  <c r="AB122" i="2"/>
  <c r="N119" i="2"/>
  <c r="N120" i="2"/>
  <c r="N121" i="2"/>
  <c r="N122" i="2"/>
  <c r="R119" i="2"/>
  <c r="AD119" i="2" s="1"/>
  <c r="R120" i="2"/>
  <c r="AD120" i="2" s="1"/>
  <c r="R121" i="2"/>
  <c r="AD121" i="2" s="1"/>
  <c r="R122" i="2"/>
  <c r="AD122" i="2" s="1"/>
  <c r="N30" i="17" l="1"/>
  <c r="J31" i="17"/>
  <c r="J175" i="5"/>
  <c r="K175" i="5" s="1"/>
  <c r="J181" i="5"/>
  <c r="K181" i="5" s="1"/>
  <c r="J117" i="5"/>
  <c r="J118" i="5"/>
  <c r="J116" i="5"/>
  <c r="J115" i="5"/>
  <c r="F31" i="17"/>
  <c r="I31" i="17"/>
  <c r="H31" i="17"/>
  <c r="E31" i="17"/>
  <c r="AB88" i="2"/>
  <c r="AB89" i="2"/>
  <c r="AB90" i="2"/>
  <c r="AB91" i="2"/>
  <c r="AB92" i="2"/>
  <c r="AB93" i="2"/>
  <c r="AB94" i="2"/>
  <c r="AB149" i="2"/>
  <c r="AB150" i="2"/>
  <c r="AB151" i="2"/>
  <c r="AB152" i="2"/>
  <c r="AB166" i="2"/>
  <c r="AB167" i="2"/>
  <c r="AB118" i="2"/>
  <c r="AB142" i="2"/>
  <c r="AB143" i="2"/>
  <c r="AB144" i="2"/>
  <c r="AB145" i="2"/>
  <c r="AB156" i="2"/>
  <c r="AB157" i="2"/>
  <c r="AB158" i="2"/>
  <c r="AB159" i="2"/>
  <c r="AB162" i="2"/>
  <c r="AB163" i="2"/>
  <c r="AB164" i="2"/>
  <c r="AB165" i="2"/>
  <c r="AB125" i="2"/>
  <c r="AB123" i="2"/>
  <c r="AB124" i="2"/>
  <c r="AB170" i="2"/>
  <c r="AB97" i="2"/>
  <c r="AB98" i="2"/>
  <c r="AB96" i="2"/>
  <c r="AB95" i="2"/>
  <c r="AB131" i="2"/>
  <c r="AB132" i="2"/>
  <c r="AB133" i="2"/>
  <c r="AB134" i="2"/>
  <c r="AB135" i="2"/>
  <c r="AB136" i="2"/>
  <c r="AB140" i="2"/>
  <c r="AB146" i="2"/>
  <c r="AB153" i="2"/>
  <c r="AB160" i="2"/>
  <c r="AB169" i="2"/>
  <c r="AB126" i="2"/>
  <c r="AB127" i="2"/>
  <c r="AB128" i="2"/>
  <c r="AB129" i="2"/>
  <c r="AB154" i="2"/>
  <c r="AB155" i="2"/>
  <c r="AB104" i="2"/>
  <c r="AB105" i="2"/>
  <c r="AB106" i="2"/>
  <c r="AB110" i="2"/>
  <c r="AB161" i="2"/>
  <c r="AB141" i="2"/>
  <c r="AB107" i="2"/>
  <c r="AB108" i="2"/>
  <c r="AB109" i="2"/>
  <c r="AB111" i="2"/>
  <c r="AB147" i="2"/>
  <c r="AB148" i="2"/>
  <c r="AB168" i="2"/>
  <c r="AB117" i="2"/>
  <c r="AB87" i="2"/>
  <c r="E86" i="5"/>
  <c r="F86" i="5"/>
  <c r="G86" i="5"/>
  <c r="E85" i="5"/>
  <c r="F85" i="5"/>
  <c r="G85" i="5"/>
  <c r="E84" i="5"/>
  <c r="F84" i="5"/>
  <c r="G84" i="5"/>
  <c r="E83" i="5"/>
  <c r="F83" i="5"/>
  <c r="G83" i="5"/>
  <c r="E82" i="5"/>
  <c r="F82" i="5"/>
  <c r="G82" i="5"/>
  <c r="E81" i="5"/>
  <c r="F81" i="5"/>
  <c r="G81" i="5"/>
  <c r="E80" i="5"/>
  <c r="F80" i="5"/>
  <c r="G80" i="5"/>
  <c r="E79" i="5"/>
  <c r="F79" i="5"/>
  <c r="G79" i="5"/>
  <c r="E78" i="5"/>
  <c r="F78" i="5"/>
  <c r="G78" i="5"/>
  <c r="K116" i="5" l="1"/>
  <c r="D20" i="26"/>
  <c r="F20" i="26" s="1"/>
  <c r="K118" i="5"/>
  <c r="D22" i="26"/>
  <c r="F22" i="26" s="1"/>
  <c r="K117" i="5"/>
  <c r="D21" i="26"/>
  <c r="F21" i="26" s="1"/>
  <c r="K115" i="5"/>
  <c r="D19" i="26"/>
  <c r="F19" i="26" s="1"/>
  <c r="J87" i="5"/>
  <c r="K87" i="5" s="1"/>
  <c r="J88" i="5"/>
  <c r="K88" i="5" s="1"/>
  <c r="J89" i="5"/>
  <c r="K89" i="5" s="1"/>
  <c r="J90" i="5"/>
  <c r="K90" i="5" s="1"/>
  <c r="AB70" i="2"/>
  <c r="AB71" i="2"/>
  <c r="AB72" i="2"/>
  <c r="AB75" i="2"/>
  <c r="AB233" i="2"/>
  <c r="AB234" i="2"/>
  <c r="AB178" i="2"/>
  <c r="AB179" i="2"/>
  <c r="AB180" i="2"/>
  <c r="AB181" i="2"/>
  <c r="AB182" i="2"/>
  <c r="AB183" i="2"/>
  <c r="AB184" i="2"/>
  <c r="AB185" i="2"/>
  <c r="AB73" i="2"/>
  <c r="AB74" i="2"/>
  <c r="AB186" i="2"/>
  <c r="AB187" i="2"/>
  <c r="AB188" i="2"/>
  <c r="AB189" i="2"/>
  <c r="AB190" i="2"/>
  <c r="AB191" i="2"/>
  <c r="AB76" i="2"/>
  <c r="AB77" i="2"/>
  <c r="AB175" i="2"/>
  <c r="AB176" i="2"/>
  <c r="AB177" i="2"/>
  <c r="AB192" i="2"/>
  <c r="AB193" i="2"/>
  <c r="AB78" i="2"/>
  <c r="AB79" i="2"/>
  <c r="AB194" i="2"/>
  <c r="AB80" i="2"/>
  <c r="AB195" i="2"/>
  <c r="AB196" i="2"/>
  <c r="AB197" i="2"/>
  <c r="AB198" i="2"/>
  <c r="AB199" i="2"/>
  <c r="AB200" i="2"/>
  <c r="AB201" i="2"/>
  <c r="AB81" i="2"/>
  <c r="AB202" i="2"/>
  <c r="AB203" i="2"/>
  <c r="AB204" i="2"/>
  <c r="AB82" i="2"/>
  <c r="AB83" i="2"/>
  <c r="AB84" i="2"/>
  <c r="AB290" i="2"/>
  <c r="AB289" i="2"/>
  <c r="AB314" i="2"/>
  <c r="AB313" i="2"/>
  <c r="AB315" i="2"/>
  <c r="AB299" i="2"/>
  <c r="AB298" i="2"/>
  <c r="AB278" i="2"/>
  <c r="AB271" i="2"/>
  <c r="AB283" i="2"/>
  <c r="AB286" i="2"/>
  <c r="AB282" i="2"/>
  <c r="AB272" i="2"/>
  <c r="AB257" i="2"/>
  <c r="AB256" i="2"/>
  <c r="AB276" i="2"/>
  <c r="AB273" i="2"/>
  <c r="AB316" i="2"/>
  <c r="AB281" i="2"/>
  <c r="AB280" i="2"/>
  <c r="AB279" i="2"/>
  <c r="AB277" i="2"/>
  <c r="AB275" i="2"/>
  <c r="AB274" i="2"/>
  <c r="AB258" i="2"/>
  <c r="AB319" i="2"/>
  <c r="AB320" i="2"/>
  <c r="AB292" i="2"/>
  <c r="AB259" i="2"/>
  <c r="AB293" i="2"/>
  <c r="AB260" i="2"/>
  <c r="AB261" i="2"/>
  <c r="AB262" i="2"/>
  <c r="AB263" i="2"/>
  <c r="AB264" i="2"/>
  <c r="AB265" i="2"/>
  <c r="AB266" i="2"/>
  <c r="AB309" i="2"/>
  <c r="AB310" i="2"/>
  <c r="AB307" i="2"/>
  <c r="AB308" i="2"/>
  <c r="AB311" i="2"/>
  <c r="AB312" i="2"/>
  <c r="AB321" i="2"/>
  <c r="AB322" i="2"/>
  <c r="AB55" i="2"/>
  <c r="AB33" i="2"/>
  <c r="AB57" i="2"/>
  <c r="AB54" i="2"/>
  <c r="AB56" i="2"/>
  <c r="AB41" i="2"/>
  <c r="AB381" i="2"/>
  <c r="AB382" i="2"/>
  <c r="AB383" i="2"/>
  <c r="AB32" i="2"/>
  <c r="AB43" i="2"/>
  <c r="AB40" i="2"/>
  <c r="AB42" i="2"/>
  <c r="AB51" i="2"/>
  <c r="AB35" i="2"/>
  <c r="AB53" i="2"/>
  <c r="AB50" i="2"/>
  <c r="AB52" i="2"/>
  <c r="AB46" i="2"/>
  <c r="AB34" i="2"/>
  <c r="AB49" i="2"/>
  <c r="AB47" i="2"/>
  <c r="AB48" i="2"/>
  <c r="AB350" i="2"/>
  <c r="AB349" i="2"/>
  <c r="AB348" i="2"/>
  <c r="AB353" i="2"/>
  <c r="AB352" i="2"/>
  <c r="AB351" i="2"/>
  <c r="AB306" i="2"/>
  <c r="AB173" i="2"/>
  <c r="AB3" i="2"/>
  <c r="AB2" i="2"/>
  <c r="AB10" i="2"/>
  <c r="AB9" i="2"/>
  <c r="AB14" i="2"/>
  <c r="AB15" i="2"/>
  <c r="AB16" i="2"/>
  <c r="AB17" i="2"/>
  <c r="AB18" i="2"/>
  <c r="AB21" i="2"/>
  <c r="AB22" i="2"/>
  <c r="AB23" i="2"/>
  <c r="AB24" i="2"/>
  <c r="AB25" i="2"/>
  <c r="AB26" i="2"/>
  <c r="AB27" i="2"/>
  <c r="AB28" i="2"/>
  <c r="AB29" i="2"/>
  <c r="AB30" i="2"/>
  <c r="AB19" i="2"/>
  <c r="AB137" i="2"/>
  <c r="AB130" i="2"/>
  <c r="AB116" i="2"/>
  <c r="AB112" i="2"/>
  <c r="AB113" i="2"/>
  <c r="AB114" i="2"/>
  <c r="AB115" i="2"/>
  <c r="AB354" i="2"/>
  <c r="AB355" i="2"/>
  <c r="AB356" i="2"/>
  <c r="AB357" i="2"/>
  <c r="AB207" i="2"/>
  <c r="AB208" i="2"/>
  <c r="AB209" i="2"/>
  <c r="AB358" i="2"/>
  <c r="AB359" i="2"/>
  <c r="AB360" i="2"/>
  <c r="AB216" i="2"/>
  <c r="AB224" i="2"/>
  <c r="AB225" i="2"/>
  <c r="AB226" i="2"/>
  <c r="AB210" i="2"/>
  <c r="AB211" i="2"/>
  <c r="AB212" i="2"/>
  <c r="AB213" i="2"/>
  <c r="AB214" i="2"/>
  <c r="AB215" i="2"/>
  <c r="AB31" i="2"/>
  <c r="AB205" i="2"/>
  <c r="AB341" i="2"/>
  <c r="AB343" i="2"/>
  <c r="AB99" i="2"/>
  <c r="AB304" i="2"/>
  <c r="AB305" i="2"/>
  <c r="AB331" i="2"/>
  <c r="AB332" i="2"/>
  <c r="AB333" i="2"/>
  <c r="AB334" i="2"/>
  <c r="AB401" i="2"/>
  <c r="AB402" i="2"/>
  <c r="AB397" i="2"/>
  <c r="AB403" i="2"/>
  <c r="AB404" i="2"/>
  <c r="AB385" i="2"/>
  <c r="AB386" i="2"/>
  <c r="AB387" i="2"/>
  <c r="AB44" i="2"/>
  <c r="AB45" i="2"/>
  <c r="AB344" i="2"/>
  <c r="AB390" i="2"/>
  <c r="AB345" i="2"/>
  <c r="AB346" i="2"/>
  <c r="AB391" i="2"/>
  <c r="AB347" i="2"/>
  <c r="AB445" i="2"/>
  <c r="AB442" i="2"/>
  <c r="AB443" i="2"/>
  <c r="AB444" i="2"/>
  <c r="AB388" i="2"/>
  <c r="AB432" i="2"/>
  <c r="AB389" i="2"/>
  <c r="AB433" i="2"/>
  <c r="AB434" i="2"/>
  <c r="AB392" i="2"/>
  <c r="AB395" i="2"/>
  <c r="AB451" i="2"/>
  <c r="AB393" i="2"/>
  <c r="AB450" i="2"/>
  <c r="AB396" i="2"/>
  <c r="AB452" i="2"/>
  <c r="AB394" i="2"/>
  <c r="AB453" i="2"/>
  <c r="AB36" i="2"/>
  <c r="AB37" i="2"/>
  <c r="AB38" i="2"/>
  <c r="AB39" i="2"/>
  <c r="AB4" i="2"/>
  <c r="AB5" i="2"/>
  <c r="AB6" i="2"/>
  <c r="AB7" i="2"/>
  <c r="AB8" i="2"/>
  <c r="AB171" i="2"/>
  <c r="AB302" i="2"/>
  <c r="AB303" i="2"/>
  <c r="AB291" i="2"/>
  <c r="AB172" i="2"/>
  <c r="AB300" i="2"/>
  <c r="AB288" i="2"/>
  <c r="AB327" i="2"/>
  <c r="AB328" i="2"/>
  <c r="AB287" i="2"/>
  <c r="AB329" i="2"/>
  <c r="AB330" i="2"/>
  <c r="AB326" i="2"/>
  <c r="AB317" i="2"/>
  <c r="AB318" i="2"/>
  <c r="AB373" i="2"/>
  <c r="AB374" i="2"/>
  <c r="AB301" i="2"/>
  <c r="AB448" i="2"/>
  <c r="AB235" i="2"/>
  <c r="AB227" i="2"/>
  <c r="AB253" i="2"/>
  <c r="AB246" i="2"/>
  <c r="AB236" i="2"/>
  <c r="AB237" i="2"/>
  <c r="AB238" i="2"/>
  <c r="AB239" i="2"/>
  <c r="AB228" i="2"/>
  <c r="AB229" i="2"/>
  <c r="AB247" i="2"/>
  <c r="AB248" i="2"/>
  <c r="AB240" i="2"/>
  <c r="AB249" i="2"/>
  <c r="AB241" i="2"/>
  <c r="AB242" i="2"/>
  <c r="AB243" i="2"/>
  <c r="AB244" i="2"/>
  <c r="AB245" i="2"/>
  <c r="AB230" i="2"/>
  <c r="AB231" i="2"/>
  <c r="AB232" i="2"/>
  <c r="AB254" i="2"/>
  <c r="AB250" i="2"/>
  <c r="AB251" i="2"/>
  <c r="AB252" i="2"/>
  <c r="AB447" i="2"/>
  <c r="AB439" i="2"/>
  <c r="AB438" i="2"/>
  <c r="AB431" i="2"/>
  <c r="AB446" i="2"/>
  <c r="AB441" i="2"/>
  <c r="AB436" i="2"/>
  <c r="AB435" i="2"/>
  <c r="AB437" i="2"/>
  <c r="AB440" i="2"/>
  <c r="AB430" i="2"/>
  <c r="AB427" i="2"/>
  <c r="AB428" i="2"/>
  <c r="AB425" i="2"/>
  <c r="AB426" i="2"/>
  <c r="AB424" i="2"/>
  <c r="AB422" i="2"/>
  <c r="AB423" i="2"/>
  <c r="AB429" i="2"/>
  <c r="AB323" i="2"/>
  <c r="AB324" i="2"/>
  <c r="AB325" i="2"/>
  <c r="AB384" i="2"/>
  <c r="AB398" i="2"/>
  <c r="AB399" i="2"/>
  <c r="AB400" i="2"/>
  <c r="AB174" i="2"/>
  <c r="AB206" i="2"/>
  <c r="AB459" i="2"/>
  <c r="AB102" i="2"/>
  <c r="AB100" i="2"/>
  <c r="AB101" i="2"/>
  <c r="AB103" i="2"/>
  <c r="AB60" i="2"/>
  <c r="AB61" i="2"/>
  <c r="AB62" i="2"/>
  <c r="AB63" i="2"/>
  <c r="AB64" i="2"/>
  <c r="AB65" i="2"/>
  <c r="AB66" i="2"/>
  <c r="AB67" i="2"/>
  <c r="AB336" i="2"/>
  <c r="AB335" i="2"/>
  <c r="AB337" i="2"/>
  <c r="AB378" i="2"/>
  <c r="AB59" i="2"/>
  <c r="AB58" i="2"/>
  <c r="M33" i="9" l="1"/>
  <c r="O33" i="9"/>
  <c r="P33" i="9"/>
  <c r="P30" i="9"/>
  <c r="O30" i="9"/>
  <c r="M30" i="9"/>
  <c r="M32" i="9"/>
  <c r="O32" i="9"/>
  <c r="M31" i="9"/>
  <c r="O31" i="9"/>
  <c r="O9" i="16"/>
  <c r="Q9" i="16"/>
  <c r="O80" i="16"/>
  <c r="Q80" i="16"/>
  <c r="O71" i="16"/>
  <c r="Q71" i="16"/>
  <c r="O73" i="16"/>
  <c r="Q73" i="16"/>
  <c r="O85" i="16"/>
  <c r="Q85" i="16"/>
  <c r="O83" i="16"/>
  <c r="Q83" i="16"/>
  <c r="O28" i="16"/>
  <c r="Q28" i="16"/>
  <c r="O60" i="16"/>
  <c r="Q60" i="16"/>
  <c r="O57" i="16"/>
  <c r="Q57" i="16"/>
  <c r="O53" i="16"/>
  <c r="Q53" i="16"/>
  <c r="O50" i="16"/>
  <c r="Q50" i="16"/>
  <c r="O33" i="16"/>
  <c r="Q33" i="16"/>
  <c r="O21" i="16"/>
  <c r="Q21" i="16"/>
  <c r="O44" i="16"/>
  <c r="Q44" i="16"/>
  <c r="O17" i="16"/>
  <c r="Q17" i="16"/>
  <c r="O38" i="16"/>
  <c r="Q38" i="16"/>
  <c r="O34" i="16"/>
  <c r="Q34" i="16"/>
  <c r="O30" i="16"/>
  <c r="Q30" i="16"/>
  <c r="O4" i="16"/>
  <c r="Q4" i="16"/>
  <c r="O12" i="16"/>
  <c r="Q12" i="16"/>
  <c r="O8" i="16"/>
  <c r="Q8" i="16"/>
  <c r="O70" i="16"/>
  <c r="Q70" i="16"/>
  <c r="O66" i="16"/>
  <c r="Q66" i="16"/>
  <c r="O72" i="16"/>
  <c r="Q72" i="16"/>
  <c r="O65" i="16"/>
  <c r="Q65" i="16"/>
  <c r="O82" i="16"/>
  <c r="Q82" i="16"/>
  <c r="O27" i="16"/>
  <c r="Q27" i="16"/>
  <c r="O59" i="16"/>
  <c r="Q59" i="16"/>
  <c r="O56" i="16"/>
  <c r="Q56" i="16"/>
  <c r="O52" i="16"/>
  <c r="Q52" i="16"/>
  <c r="O23" i="16"/>
  <c r="Q23" i="16"/>
  <c r="O32" i="16"/>
  <c r="Q32" i="16"/>
  <c r="O47" i="16"/>
  <c r="Q47" i="16"/>
  <c r="O43" i="16"/>
  <c r="Q43" i="16"/>
  <c r="O41" i="16"/>
  <c r="Q41" i="16"/>
  <c r="O37" i="16"/>
  <c r="Q37" i="16"/>
  <c r="O78" i="16"/>
  <c r="Q78" i="16"/>
  <c r="O16" i="16"/>
  <c r="Q16" i="16"/>
  <c r="O11" i="16"/>
  <c r="Q11" i="16"/>
  <c r="O7" i="16"/>
  <c r="Q7" i="16"/>
  <c r="O69" i="16"/>
  <c r="Q69" i="16"/>
  <c r="O75" i="16"/>
  <c r="Q75" i="16"/>
  <c r="O64" i="16"/>
  <c r="Q64" i="16"/>
  <c r="O26" i="16"/>
  <c r="Q26" i="16"/>
  <c r="O25" i="16"/>
  <c r="Q25" i="16"/>
  <c r="O55" i="16"/>
  <c r="Q55" i="16"/>
  <c r="O24" i="16"/>
  <c r="Q24" i="16"/>
  <c r="O49" i="16"/>
  <c r="Q49" i="16"/>
  <c r="O31" i="16"/>
  <c r="Q31" i="16"/>
  <c r="O46" i="16"/>
  <c r="Q46" i="16"/>
  <c r="O42" i="16"/>
  <c r="Q42" i="16"/>
  <c r="O40" i="16"/>
  <c r="Q40" i="16"/>
  <c r="O36" i="16"/>
  <c r="Q36" i="16"/>
  <c r="O77" i="16"/>
  <c r="Q77" i="16"/>
  <c r="O15" i="16"/>
  <c r="Q15" i="16"/>
  <c r="O13" i="16"/>
  <c r="Q13" i="16"/>
  <c r="O67" i="16"/>
  <c r="Q67" i="16"/>
  <c r="O5" i="16"/>
  <c r="Q5" i="16"/>
  <c r="O10" i="16"/>
  <c r="Q10" i="16"/>
  <c r="O6" i="16"/>
  <c r="Q6" i="16"/>
  <c r="O68" i="16"/>
  <c r="Q68" i="16"/>
  <c r="O74" i="16"/>
  <c r="Q74" i="16"/>
  <c r="O63" i="16"/>
  <c r="Q63" i="16"/>
  <c r="O61" i="16"/>
  <c r="Q61" i="16"/>
  <c r="O58" i="16"/>
  <c r="Q58" i="16"/>
  <c r="O54" i="16"/>
  <c r="Q54" i="16"/>
  <c r="O51" i="16"/>
  <c r="Q51" i="16"/>
  <c r="O48" i="16"/>
  <c r="Q48" i="16"/>
  <c r="O22" i="16"/>
  <c r="Q22" i="16"/>
  <c r="O45" i="16"/>
  <c r="Q45" i="16"/>
  <c r="O18" i="16"/>
  <c r="Q18" i="16"/>
  <c r="O39" i="16"/>
  <c r="Q39" i="16"/>
  <c r="O35" i="16"/>
  <c r="Q35" i="16"/>
  <c r="O19" i="16"/>
  <c r="Q19" i="16"/>
  <c r="E77" i="5"/>
  <c r="F77" i="5"/>
  <c r="G77" i="5"/>
  <c r="E76" i="5"/>
  <c r="F76" i="5"/>
  <c r="G76" i="5"/>
  <c r="E75" i="5"/>
  <c r="F75" i="5"/>
  <c r="G75" i="5"/>
  <c r="E74" i="5"/>
  <c r="F74" i="5"/>
  <c r="G74" i="5"/>
  <c r="E73" i="5"/>
  <c r="F73" i="5"/>
  <c r="G73" i="5"/>
  <c r="E72" i="5"/>
  <c r="F72" i="5"/>
  <c r="G72" i="5"/>
  <c r="E71" i="5"/>
  <c r="F71" i="5"/>
  <c r="G71" i="5"/>
  <c r="E70" i="5"/>
  <c r="F70" i="5"/>
  <c r="G70" i="5"/>
  <c r="E69" i="5"/>
  <c r="F69" i="5"/>
  <c r="G69" i="5"/>
  <c r="E68" i="5"/>
  <c r="F68" i="5"/>
  <c r="G68" i="5"/>
  <c r="E67" i="5"/>
  <c r="F67" i="5"/>
  <c r="G67" i="5"/>
  <c r="E66" i="5"/>
  <c r="F66" i="5"/>
  <c r="G66" i="5"/>
  <c r="E65" i="5"/>
  <c r="F65" i="5"/>
  <c r="G65" i="5"/>
  <c r="E64" i="5"/>
  <c r="F64" i="5"/>
  <c r="G64" i="5"/>
  <c r="E63" i="5"/>
  <c r="F63" i="5"/>
  <c r="G63" i="5"/>
  <c r="M34" i="9" l="1"/>
  <c r="O34" i="9"/>
  <c r="AH11" i="10"/>
  <c r="N75" i="2" l="1"/>
  <c r="N233" i="2"/>
  <c r="N234" i="2"/>
  <c r="R75" i="2"/>
  <c r="AD75" i="2" s="1"/>
  <c r="R233" i="2"/>
  <c r="AD233" i="2" s="1"/>
  <c r="R234" i="2"/>
  <c r="AD234" i="2" s="1"/>
  <c r="E62" i="5" l="1"/>
  <c r="F62" i="5"/>
  <c r="G62" i="5"/>
  <c r="E61" i="5"/>
  <c r="F61" i="5"/>
  <c r="G61" i="5"/>
  <c r="E60" i="5"/>
  <c r="F60" i="5"/>
  <c r="G60" i="5"/>
  <c r="E59" i="5"/>
  <c r="F59" i="5"/>
  <c r="G59" i="5"/>
  <c r="E58" i="5"/>
  <c r="F58" i="5"/>
  <c r="G58" i="5"/>
  <c r="E57" i="5"/>
  <c r="F57" i="5"/>
  <c r="G57" i="5"/>
  <c r="E56" i="5"/>
  <c r="F56" i="5"/>
  <c r="G56" i="5"/>
  <c r="E55" i="5"/>
  <c r="F55" i="5"/>
  <c r="G55" i="5"/>
  <c r="E54" i="5"/>
  <c r="F54" i="5"/>
  <c r="G54" i="5"/>
  <c r="E53" i="5"/>
  <c r="F53" i="5"/>
  <c r="G53" i="5"/>
  <c r="E52" i="5"/>
  <c r="F52" i="5"/>
  <c r="G52" i="5"/>
  <c r="E51" i="5"/>
  <c r="F51" i="5"/>
  <c r="G51" i="5"/>
  <c r="J164" i="5" l="1"/>
  <c r="J153" i="5"/>
  <c r="J165" i="5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D47" i="11"/>
  <c r="V48" i="13"/>
  <c r="Y42" i="11"/>
  <c r="X43" i="11"/>
  <c r="W49" i="13"/>
  <c r="V50" i="13"/>
  <c r="Y44" i="11"/>
  <c r="Y41" i="11"/>
  <c r="T47" i="13"/>
  <c r="W42" i="11"/>
  <c r="W43" i="11"/>
  <c r="W44" i="11"/>
  <c r="B29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B30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B31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B32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B33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B34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B35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X10" i="13" s="1"/>
  <c r="B36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B37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B38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B39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B40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B41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B42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B43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B44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B45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B46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B47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U47" i="13"/>
  <c r="V47" i="13"/>
  <c r="W47" i="13"/>
  <c r="X47" i="13"/>
  <c r="B48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X48" i="13"/>
  <c r="B49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X49" i="13"/>
  <c r="B50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X50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B28" i="13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W41" i="11"/>
  <c r="X41" i="11"/>
  <c r="Z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Z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Z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Z44" i="11"/>
  <c r="K165" i="5" l="1"/>
  <c r="D36" i="26"/>
  <c r="F36" i="26" s="1"/>
  <c r="K153" i="5"/>
  <c r="D34" i="26"/>
  <c r="F34" i="26" s="1"/>
  <c r="K164" i="5"/>
  <c r="D35" i="26"/>
  <c r="F35" i="26" s="1"/>
  <c r="E23" i="13"/>
  <c r="F27" i="13"/>
  <c r="N27" i="13"/>
  <c r="B22" i="13"/>
  <c r="R27" i="13"/>
  <c r="J27" i="13"/>
  <c r="E25" i="13"/>
  <c r="U23" i="13"/>
  <c r="Q22" i="13"/>
  <c r="W50" i="13"/>
  <c r="W25" i="13" s="1"/>
  <c r="X44" i="11"/>
  <c r="V41" i="11"/>
  <c r="V49" i="13"/>
  <c r="V24" i="13" s="1"/>
  <c r="Y43" i="11"/>
  <c r="X42" i="11"/>
  <c r="V44" i="11"/>
  <c r="Q27" i="13"/>
  <c r="M27" i="13"/>
  <c r="I27" i="13"/>
  <c r="E27" i="13"/>
  <c r="B27" i="13"/>
  <c r="P27" i="13"/>
  <c r="L27" i="13"/>
  <c r="H27" i="13"/>
  <c r="D27" i="13"/>
  <c r="S27" i="13"/>
  <c r="O27" i="13"/>
  <c r="K27" i="13"/>
  <c r="G27" i="13"/>
  <c r="C27" i="13"/>
  <c r="H25" i="13"/>
  <c r="X27" i="13"/>
  <c r="X2" i="13" s="1"/>
  <c r="U25" i="13"/>
  <c r="D24" i="13"/>
  <c r="W22" i="13"/>
  <c r="W48" i="13"/>
  <c r="W23" i="13" s="1"/>
  <c r="L23" i="13"/>
  <c r="T24" i="13"/>
  <c r="V22" i="13"/>
  <c r="D25" i="13"/>
  <c r="H23" i="13"/>
  <c r="M22" i="13"/>
  <c r="V23" i="13"/>
  <c r="U22" i="13"/>
  <c r="P25" i="13"/>
  <c r="D23" i="13"/>
  <c r="I22" i="13"/>
  <c r="T22" i="13"/>
  <c r="L25" i="13"/>
  <c r="P23" i="13"/>
  <c r="E22" i="13"/>
  <c r="T25" i="13"/>
  <c r="W24" i="13"/>
  <c r="S25" i="13"/>
  <c r="O25" i="13"/>
  <c r="K25" i="13"/>
  <c r="G25" i="13"/>
  <c r="C25" i="13"/>
  <c r="R24" i="13"/>
  <c r="N24" i="13"/>
  <c r="J24" i="13"/>
  <c r="F24" i="13"/>
  <c r="B24" i="13"/>
  <c r="S23" i="13"/>
  <c r="O23" i="13"/>
  <c r="K23" i="13"/>
  <c r="G23" i="13"/>
  <c r="C23" i="13"/>
  <c r="P22" i="13"/>
  <c r="L22" i="13"/>
  <c r="H22" i="13"/>
  <c r="D22" i="13"/>
  <c r="S24" i="13"/>
  <c r="O24" i="13"/>
  <c r="K24" i="13"/>
  <c r="G24" i="13"/>
  <c r="C24" i="13"/>
  <c r="U27" i="13"/>
  <c r="R25" i="13"/>
  <c r="N25" i="13"/>
  <c r="J25" i="13"/>
  <c r="F25" i="13"/>
  <c r="B25" i="13"/>
  <c r="Q24" i="13"/>
  <c r="M24" i="13"/>
  <c r="I24" i="13"/>
  <c r="E24" i="13"/>
  <c r="X23" i="13"/>
  <c r="R23" i="13"/>
  <c r="N23" i="13"/>
  <c r="J23" i="13"/>
  <c r="F23" i="13"/>
  <c r="B23" i="13"/>
  <c r="S22" i="13"/>
  <c r="O22" i="13"/>
  <c r="K22" i="13"/>
  <c r="G22" i="13"/>
  <c r="C22" i="13"/>
  <c r="V25" i="13"/>
  <c r="U24" i="13"/>
  <c r="T23" i="13"/>
  <c r="X25" i="13"/>
  <c r="Q25" i="13"/>
  <c r="M25" i="13"/>
  <c r="I25" i="13"/>
  <c r="X24" i="13"/>
  <c r="P24" i="13"/>
  <c r="L24" i="13"/>
  <c r="H24" i="13"/>
  <c r="Q23" i="13"/>
  <c r="M23" i="13"/>
  <c r="I23" i="13"/>
  <c r="X22" i="13"/>
  <c r="R22" i="13"/>
  <c r="N22" i="13"/>
  <c r="J22" i="13"/>
  <c r="F22" i="13"/>
  <c r="T27" i="13"/>
  <c r="AI5" i="5"/>
  <c r="AK5" i="5" s="1"/>
  <c r="AH96" i="2" s="1"/>
  <c r="AI6" i="5"/>
  <c r="AK6" i="5" s="1"/>
  <c r="AH95" i="2" s="1"/>
  <c r="AJ5" i="5"/>
  <c r="AJ6" i="5"/>
  <c r="AI3" i="5"/>
  <c r="AK3" i="5" s="1"/>
  <c r="AH97" i="2" s="1"/>
  <c r="AI4" i="5"/>
  <c r="AK4" i="5" s="1"/>
  <c r="AH98" i="2" s="1"/>
  <c r="AJ3" i="5"/>
  <c r="AJ4" i="5"/>
  <c r="V27" i="13" l="1"/>
  <c r="V2" i="13" s="1"/>
  <c r="W27" i="13"/>
  <c r="W2" i="13" s="1"/>
  <c r="L26" i="9"/>
  <c r="L24" i="9"/>
  <c r="Z24" i="10" s="1"/>
  <c r="U2" i="5"/>
  <c r="L25" i="9" s="1"/>
  <c r="X27" i="10"/>
  <c r="R20" i="10"/>
  <c r="C54" i="10" l="1"/>
  <c r="B1" i="6"/>
  <c r="Z23" i="10" l="1"/>
  <c r="E43" i="5"/>
  <c r="E44" i="5"/>
  <c r="E45" i="5"/>
  <c r="E46" i="5"/>
  <c r="E47" i="5"/>
  <c r="E48" i="5"/>
  <c r="E49" i="5"/>
  <c r="E50" i="5"/>
  <c r="F43" i="5"/>
  <c r="F44" i="5"/>
  <c r="F45" i="5"/>
  <c r="F46" i="5"/>
  <c r="F47" i="5"/>
  <c r="F48" i="5"/>
  <c r="F49" i="5"/>
  <c r="F50" i="5"/>
  <c r="G43" i="5"/>
  <c r="G44" i="5"/>
  <c r="G45" i="5"/>
  <c r="G46" i="5"/>
  <c r="G47" i="5"/>
  <c r="G48" i="5"/>
  <c r="G49" i="5"/>
  <c r="G50" i="5"/>
  <c r="E35" i="5"/>
  <c r="E36" i="5"/>
  <c r="E37" i="5"/>
  <c r="E38" i="5"/>
  <c r="E39" i="5"/>
  <c r="E40" i="5"/>
  <c r="E41" i="5"/>
  <c r="E42" i="5"/>
  <c r="F35" i="5"/>
  <c r="F36" i="5"/>
  <c r="F37" i="5"/>
  <c r="F38" i="5"/>
  <c r="F39" i="5"/>
  <c r="F40" i="5"/>
  <c r="F41" i="5"/>
  <c r="F42" i="5"/>
  <c r="G35" i="5"/>
  <c r="G36" i="5"/>
  <c r="G37" i="5"/>
  <c r="G38" i="5"/>
  <c r="G39" i="5"/>
  <c r="G40" i="5"/>
  <c r="G41" i="5"/>
  <c r="G42" i="5"/>
  <c r="E34" i="5"/>
  <c r="F34" i="5"/>
  <c r="G34" i="5"/>
  <c r="E33" i="5" l="1"/>
  <c r="F33" i="5"/>
  <c r="G33" i="5"/>
  <c r="E32" i="5"/>
  <c r="F32" i="5"/>
  <c r="G32" i="5"/>
  <c r="K19" i="9" l="1"/>
  <c r="H25" i="10" s="1"/>
  <c r="K18" i="9"/>
  <c r="G15" i="13"/>
  <c r="B20" i="13"/>
  <c r="F4" i="13"/>
  <c r="J4" i="13"/>
  <c r="N4" i="13"/>
  <c r="R4" i="13"/>
  <c r="V4" i="13"/>
  <c r="X4" i="13"/>
  <c r="F6" i="13"/>
  <c r="J6" i="13"/>
  <c r="N6" i="13"/>
  <c r="R6" i="13"/>
  <c r="V6" i="13"/>
  <c r="X6" i="13"/>
  <c r="X7" i="13"/>
  <c r="F8" i="13"/>
  <c r="J8" i="13"/>
  <c r="N8" i="13"/>
  <c r="R8" i="13"/>
  <c r="V8" i="13"/>
  <c r="X8" i="13"/>
  <c r="F10" i="13"/>
  <c r="J10" i="13"/>
  <c r="N10" i="13"/>
  <c r="R10" i="13"/>
  <c r="V10" i="13"/>
  <c r="E13" i="13"/>
  <c r="I13" i="13"/>
  <c r="M13" i="13"/>
  <c r="Q13" i="13"/>
  <c r="U13" i="13"/>
  <c r="X13" i="13"/>
  <c r="X14" i="13"/>
  <c r="E15" i="13"/>
  <c r="I15" i="13"/>
  <c r="M15" i="13"/>
  <c r="Q15" i="13"/>
  <c r="U15" i="13"/>
  <c r="X15" i="13"/>
  <c r="X16" i="13"/>
  <c r="E17" i="13"/>
  <c r="I17" i="13"/>
  <c r="M17" i="13"/>
  <c r="Q17" i="13"/>
  <c r="U17" i="13"/>
  <c r="W17" i="13"/>
  <c r="X17" i="13"/>
  <c r="X18" i="13"/>
  <c r="E19" i="13"/>
  <c r="I19" i="13"/>
  <c r="M19" i="13"/>
  <c r="Q19" i="13"/>
  <c r="U19" i="13"/>
  <c r="X19" i="13"/>
  <c r="X20" i="13"/>
  <c r="E21" i="13"/>
  <c r="I21" i="13"/>
  <c r="M21" i="13"/>
  <c r="Q21" i="13"/>
  <c r="U21" i="13"/>
  <c r="X21" i="13"/>
  <c r="B21" i="13"/>
  <c r="B4" i="13"/>
  <c r="B6" i="13"/>
  <c r="B7" i="13"/>
  <c r="B8" i="13"/>
  <c r="B10" i="13"/>
  <c r="B11" i="13"/>
  <c r="B12" i="13"/>
  <c r="B15" i="13"/>
  <c r="B16" i="13"/>
  <c r="B19" i="13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D2" i="11"/>
  <c r="H23" i="10" l="1"/>
  <c r="K20" i="9"/>
  <c r="H27" i="10" s="1"/>
  <c r="T18" i="13"/>
  <c r="P18" i="13"/>
  <c r="H18" i="13"/>
  <c r="T12" i="13"/>
  <c r="W20" i="13"/>
  <c r="O20" i="13"/>
  <c r="K20" i="13"/>
  <c r="C20" i="13"/>
  <c r="W18" i="13"/>
  <c r="O18" i="13"/>
  <c r="K18" i="13"/>
  <c r="L18" i="13"/>
  <c r="D18" i="13"/>
  <c r="P16" i="13"/>
  <c r="H16" i="13"/>
  <c r="L12" i="13"/>
  <c r="S20" i="13"/>
  <c r="G20" i="13"/>
  <c r="S18" i="13"/>
  <c r="R20" i="13"/>
  <c r="W16" i="13"/>
  <c r="O16" i="13"/>
  <c r="C16" i="13"/>
  <c r="O14" i="13"/>
  <c r="G14" i="13"/>
  <c r="S12" i="13"/>
  <c r="K12" i="13"/>
  <c r="B18" i="13"/>
  <c r="V20" i="13"/>
  <c r="N20" i="13"/>
  <c r="F20" i="13"/>
  <c r="V18" i="13"/>
  <c r="J18" i="13"/>
  <c r="N16" i="13"/>
  <c r="F16" i="13"/>
  <c r="R14" i="13"/>
  <c r="N14" i="13"/>
  <c r="F14" i="13"/>
  <c r="V12" i="13"/>
  <c r="R12" i="13"/>
  <c r="N12" i="13"/>
  <c r="J12" i="13"/>
  <c r="E12" i="13"/>
  <c r="G18" i="13"/>
  <c r="C18" i="13"/>
  <c r="S16" i="13"/>
  <c r="K16" i="13"/>
  <c r="G16" i="13"/>
  <c r="W14" i="13"/>
  <c r="S14" i="13"/>
  <c r="K14" i="13"/>
  <c r="C14" i="13"/>
  <c r="W12" i="13"/>
  <c r="F12" i="13"/>
  <c r="P7" i="13"/>
  <c r="B14" i="13"/>
  <c r="J20" i="13"/>
  <c r="R18" i="13"/>
  <c r="N18" i="13"/>
  <c r="F18" i="13"/>
  <c r="V16" i="13"/>
  <c r="R16" i="13"/>
  <c r="J16" i="13"/>
  <c r="V14" i="13"/>
  <c r="J14" i="13"/>
  <c r="B17" i="13"/>
  <c r="B13" i="13"/>
  <c r="W21" i="13"/>
  <c r="S21" i="13"/>
  <c r="O21" i="13"/>
  <c r="K21" i="13"/>
  <c r="G21" i="13"/>
  <c r="C21" i="13"/>
  <c r="U20" i="13"/>
  <c r="Q20" i="13"/>
  <c r="M20" i="13"/>
  <c r="I20" i="13"/>
  <c r="E20" i="13"/>
  <c r="W19" i="13"/>
  <c r="S19" i="13"/>
  <c r="O19" i="13"/>
  <c r="K19" i="13"/>
  <c r="G19" i="13"/>
  <c r="C19" i="13"/>
  <c r="U18" i="13"/>
  <c r="Q18" i="13"/>
  <c r="M18" i="13"/>
  <c r="I18" i="13"/>
  <c r="E18" i="13"/>
  <c r="S17" i="13"/>
  <c r="O17" i="13"/>
  <c r="K17" i="13"/>
  <c r="G17" i="13"/>
  <c r="C17" i="13"/>
  <c r="U16" i="13"/>
  <c r="Q16" i="13"/>
  <c r="M16" i="13"/>
  <c r="I16" i="13"/>
  <c r="E16" i="13"/>
  <c r="W15" i="13"/>
  <c r="S15" i="13"/>
  <c r="O15" i="13"/>
  <c r="K15" i="13"/>
  <c r="C15" i="13"/>
  <c r="U14" i="13"/>
  <c r="Q14" i="13"/>
  <c r="M14" i="13"/>
  <c r="I14" i="13"/>
  <c r="E14" i="13"/>
  <c r="W13" i="13"/>
  <c r="S13" i="13"/>
  <c r="O13" i="13"/>
  <c r="K13" i="13"/>
  <c r="G13" i="13"/>
  <c r="C13" i="13"/>
  <c r="U12" i="13"/>
  <c r="Q12" i="13"/>
  <c r="M12" i="13"/>
  <c r="H12" i="13"/>
  <c r="D12" i="13"/>
  <c r="H10" i="13"/>
  <c r="T8" i="13"/>
  <c r="D8" i="13"/>
  <c r="P4" i="13"/>
  <c r="P11" i="13"/>
  <c r="D11" i="13"/>
  <c r="P9" i="13"/>
  <c r="H9" i="13"/>
  <c r="T7" i="13"/>
  <c r="H7" i="13"/>
  <c r="X5" i="13"/>
  <c r="I5" i="13"/>
  <c r="P5" i="13"/>
  <c r="O12" i="13"/>
  <c r="T11" i="13"/>
  <c r="H11" i="13"/>
  <c r="T9" i="13"/>
  <c r="L9" i="13"/>
  <c r="L7" i="13"/>
  <c r="D7" i="13"/>
  <c r="T5" i="13"/>
  <c r="S11" i="13"/>
  <c r="K11" i="13"/>
  <c r="K7" i="13"/>
  <c r="X11" i="13"/>
  <c r="C11" i="13"/>
  <c r="L11" i="13"/>
  <c r="X9" i="13"/>
  <c r="M9" i="13"/>
  <c r="D9" i="13"/>
  <c r="B3" i="13"/>
  <c r="B9" i="13"/>
  <c r="B5" i="13"/>
  <c r="L5" i="13"/>
  <c r="H5" i="13"/>
  <c r="D5" i="13"/>
  <c r="X3" i="13"/>
  <c r="T3" i="13"/>
  <c r="P3" i="13"/>
  <c r="P2" i="13"/>
  <c r="L3" i="13"/>
  <c r="H3" i="13"/>
  <c r="H2" i="13"/>
  <c r="D3" i="13"/>
  <c r="W3" i="13"/>
  <c r="T21" i="13"/>
  <c r="P21" i="13"/>
  <c r="L21" i="13"/>
  <c r="H21" i="13"/>
  <c r="D21" i="13"/>
  <c r="T19" i="13"/>
  <c r="P19" i="13"/>
  <c r="L19" i="13"/>
  <c r="H19" i="13"/>
  <c r="D19" i="13"/>
  <c r="T17" i="13"/>
  <c r="P17" i="13"/>
  <c r="L17" i="13"/>
  <c r="H17" i="13"/>
  <c r="D17" i="13"/>
  <c r="T15" i="13"/>
  <c r="P15" i="13"/>
  <c r="L15" i="13"/>
  <c r="H15" i="13"/>
  <c r="D15" i="13"/>
  <c r="T13" i="13"/>
  <c r="P13" i="13"/>
  <c r="L13" i="13"/>
  <c r="H13" i="13"/>
  <c r="D13" i="13"/>
  <c r="W11" i="13"/>
  <c r="O11" i="13"/>
  <c r="G11" i="13"/>
  <c r="U10" i="13"/>
  <c r="Q10" i="13"/>
  <c r="M10" i="13"/>
  <c r="I10" i="13"/>
  <c r="E10" i="13"/>
  <c r="W9" i="13"/>
  <c r="S9" i="13"/>
  <c r="O9" i="13"/>
  <c r="K9" i="13"/>
  <c r="G9" i="13"/>
  <c r="C9" i="13"/>
  <c r="U8" i="13"/>
  <c r="Q8" i="13"/>
  <c r="M8" i="13"/>
  <c r="I8" i="13"/>
  <c r="E8" i="13"/>
  <c r="W7" i="13"/>
  <c r="S7" i="13"/>
  <c r="O7" i="13"/>
  <c r="G7" i="13"/>
  <c r="C7" i="13"/>
  <c r="S3" i="13"/>
  <c r="O3" i="13"/>
  <c r="K3" i="13"/>
  <c r="C3" i="13"/>
  <c r="G3" i="13"/>
  <c r="D10" i="13"/>
  <c r="V9" i="13"/>
  <c r="R9" i="13"/>
  <c r="N9" i="13"/>
  <c r="J9" i="13"/>
  <c r="F9" i="13"/>
  <c r="P8" i="13"/>
  <c r="L8" i="13"/>
  <c r="H8" i="13"/>
  <c r="V7" i="13"/>
  <c r="R7" i="13"/>
  <c r="N7" i="13"/>
  <c r="J7" i="13"/>
  <c r="F7" i="13"/>
  <c r="T6" i="13"/>
  <c r="P6" i="13"/>
  <c r="L6" i="13"/>
  <c r="H6" i="13"/>
  <c r="D6" i="13"/>
  <c r="V5" i="13"/>
  <c r="R5" i="13"/>
  <c r="N5" i="13"/>
  <c r="J5" i="13"/>
  <c r="F5" i="13"/>
  <c r="T4" i="13"/>
  <c r="L4" i="13"/>
  <c r="H4" i="13"/>
  <c r="D4" i="13"/>
  <c r="V3" i="13"/>
  <c r="R3" i="13"/>
  <c r="N3" i="13"/>
  <c r="J2" i="13"/>
  <c r="V11" i="13"/>
  <c r="R11" i="13"/>
  <c r="N11" i="13"/>
  <c r="J11" i="13"/>
  <c r="F11" i="13"/>
  <c r="T10" i="13"/>
  <c r="P10" i="13"/>
  <c r="L10" i="13"/>
  <c r="V21" i="13"/>
  <c r="R21" i="13"/>
  <c r="N21" i="13"/>
  <c r="J21" i="13"/>
  <c r="F21" i="13"/>
  <c r="T20" i="13"/>
  <c r="P20" i="13"/>
  <c r="L20" i="13"/>
  <c r="H20" i="13"/>
  <c r="D20" i="13"/>
  <c r="V19" i="13"/>
  <c r="R19" i="13"/>
  <c r="N19" i="13"/>
  <c r="J19" i="13"/>
  <c r="F19" i="13"/>
  <c r="V17" i="13"/>
  <c r="R17" i="13"/>
  <c r="N17" i="13"/>
  <c r="J17" i="13"/>
  <c r="F17" i="13"/>
  <c r="T16" i="13"/>
  <c r="L16" i="13"/>
  <c r="D16" i="13"/>
  <c r="V15" i="13"/>
  <c r="R15" i="13"/>
  <c r="N15" i="13"/>
  <c r="J15" i="13"/>
  <c r="F15" i="13"/>
  <c r="T14" i="13"/>
  <c r="P14" i="13"/>
  <c r="L14" i="13"/>
  <c r="H14" i="13"/>
  <c r="D14" i="13"/>
  <c r="V13" i="13"/>
  <c r="R13" i="13"/>
  <c r="N13" i="13"/>
  <c r="J13" i="13"/>
  <c r="F13" i="13"/>
  <c r="I12" i="13"/>
  <c r="X12" i="13"/>
  <c r="P12" i="13"/>
  <c r="G12" i="13"/>
  <c r="C12" i="13"/>
  <c r="U11" i="13"/>
  <c r="Q11" i="13"/>
  <c r="M11" i="13"/>
  <c r="I11" i="13"/>
  <c r="E11" i="13"/>
  <c r="W10" i="13"/>
  <c r="S10" i="13"/>
  <c r="O10" i="13"/>
  <c r="K10" i="13"/>
  <c r="G10" i="13"/>
  <c r="C10" i="13"/>
  <c r="U9" i="13"/>
  <c r="Q9" i="13"/>
  <c r="I9" i="13"/>
  <c r="E9" i="13"/>
  <c r="W8" i="13"/>
  <c r="S8" i="13"/>
  <c r="O8" i="13"/>
  <c r="K8" i="13"/>
  <c r="G8" i="13"/>
  <c r="C8" i="13"/>
  <c r="U7" i="13"/>
  <c r="Q7" i="13"/>
  <c r="M7" i="13"/>
  <c r="I7" i="13"/>
  <c r="E7" i="13"/>
  <c r="U5" i="13"/>
  <c r="Q5" i="13"/>
  <c r="M5" i="13"/>
  <c r="E5" i="13"/>
  <c r="I2" i="13"/>
  <c r="U6" i="13"/>
  <c r="Q6" i="13"/>
  <c r="M6" i="13"/>
  <c r="I6" i="13"/>
  <c r="E6" i="13"/>
  <c r="W5" i="13"/>
  <c r="S5" i="13"/>
  <c r="O5" i="13"/>
  <c r="K5" i="13"/>
  <c r="G5" i="13"/>
  <c r="C5" i="13"/>
  <c r="U4" i="13"/>
  <c r="Q4" i="13"/>
  <c r="M4" i="13"/>
  <c r="I4" i="13"/>
  <c r="E4" i="13"/>
  <c r="N2" i="13"/>
  <c r="J3" i="13"/>
  <c r="F3" i="13"/>
  <c r="W6" i="13"/>
  <c r="S6" i="13"/>
  <c r="O6" i="13"/>
  <c r="K6" i="13"/>
  <c r="G6" i="13"/>
  <c r="C6" i="13"/>
  <c r="W4" i="13"/>
  <c r="S4" i="13"/>
  <c r="O4" i="13"/>
  <c r="K4" i="13"/>
  <c r="G4" i="13"/>
  <c r="C4" i="13"/>
  <c r="U3" i="13"/>
  <c r="Q3" i="13"/>
  <c r="M3" i="13"/>
  <c r="I3" i="13"/>
  <c r="E3" i="13"/>
  <c r="B31" i="10"/>
  <c r="M2" i="13" l="1"/>
  <c r="G2" i="13"/>
  <c r="O2" i="13"/>
  <c r="R2" i="13"/>
  <c r="D2" i="13"/>
  <c r="L2" i="13"/>
  <c r="T2" i="13"/>
  <c r="C2" i="13"/>
  <c r="S2" i="13"/>
  <c r="Q2" i="13"/>
  <c r="E2" i="13"/>
  <c r="U2" i="13"/>
  <c r="F2" i="13"/>
  <c r="K2" i="13"/>
  <c r="B2" i="13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A2" i="12"/>
  <c r="F1" i="12"/>
  <c r="G1" i="12" s="1"/>
  <c r="H1" i="12" s="1"/>
  <c r="I1" i="12" s="1"/>
  <c r="J1" i="12" s="1"/>
  <c r="K1" i="12" s="1"/>
  <c r="L1" i="12" s="1"/>
  <c r="M1" i="12" s="1"/>
  <c r="N1" i="12" s="1"/>
  <c r="O1" i="12" s="1"/>
  <c r="P1" i="12" s="1"/>
  <c r="E46" i="11"/>
  <c r="F46" i="11" s="1"/>
  <c r="G46" i="11" s="1"/>
  <c r="H46" i="11" s="1"/>
  <c r="I46" i="11" s="1"/>
  <c r="J46" i="11" s="1"/>
  <c r="K46" i="11" s="1"/>
  <c r="L46" i="11" s="1"/>
  <c r="M46" i="11" s="1"/>
  <c r="N46" i="11" s="1"/>
  <c r="O46" i="11" s="1"/>
  <c r="P46" i="11" s="1"/>
  <c r="Q46" i="11" s="1"/>
  <c r="R46" i="11" s="1"/>
  <c r="S46" i="11" s="1"/>
  <c r="T46" i="11" s="1"/>
  <c r="U46" i="11" s="1"/>
  <c r="V46" i="11" s="1"/>
  <c r="W46" i="11" s="1"/>
  <c r="X46" i="11" s="1"/>
  <c r="Y46" i="11" s="1"/>
  <c r="Z46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V1" i="11" s="1"/>
  <c r="W1" i="11" s="1"/>
  <c r="X1" i="11" s="1"/>
  <c r="Y1" i="11" s="1"/>
  <c r="Z1" i="11" s="1"/>
  <c r="N70" i="2"/>
  <c r="N71" i="2"/>
  <c r="N72" i="2"/>
  <c r="N178" i="2"/>
  <c r="N179" i="2"/>
  <c r="N180" i="2"/>
  <c r="N181" i="2"/>
  <c r="N182" i="2"/>
  <c r="N183" i="2"/>
  <c r="N184" i="2"/>
  <c r="N185" i="2"/>
  <c r="N73" i="2"/>
  <c r="N74" i="2"/>
  <c r="N186" i="2"/>
  <c r="N187" i="2"/>
  <c r="N188" i="2"/>
  <c r="N189" i="2"/>
  <c r="N190" i="2"/>
  <c r="N191" i="2"/>
  <c r="N76" i="2"/>
  <c r="N77" i="2"/>
  <c r="N175" i="2"/>
  <c r="N176" i="2"/>
  <c r="N177" i="2"/>
  <c r="N192" i="2"/>
  <c r="N193" i="2"/>
  <c r="N78" i="2"/>
  <c r="N79" i="2"/>
  <c r="N194" i="2"/>
  <c r="N80" i="2"/>
  <c r="N195" i="2"/>
  <c r="N196" i="2"/>
  <c r="N197" i="2"/>
  <c r="N198" i="2"/>
  <c r="N199" i="2"/>
  <c r="N200" i="2"/>
  <c r="N201" i="2"/>
  <c r="N81" i="2"/>
  <c r="N202" i="2"/>
  <c r="N203" i="2"/>
  <c r="N204" i="2"/>
  <c r="N82" i="2"/>
  <c r="N83" i="2"/>
  <c r="N84" i="2"/>
  <c r="N289" i="2"/>
  <c r="N313" i="2"/>
  <c r="N315" i="2"/>
  <c r="N278" i="2"/>
  <c r="N271" i="2"/>
  <c r="N272" i="2"/>
  <c r="N276" i="2"/>
  <c r="N273" i="2"/>
  <c r="N281" i="2"/>
  <c r="N280" i="2"/>
  <c r="N279" i="2"/>
  <c r="N277" i="2"/>
  <c r="N275" i="2"/>
  <c r="N274" i="2"/>
  <c r="N258" i="2"/>
  <c r="N319" i="2"/>
  <c r="N320" i="2"/>
  <c r="N292" i="2"/>
  <c r="N259" i="2"/>
  <c r="N293" i="2"/>
  <c r="N260" i="2"/>
  <c r="N261" i="2"/>
  <c r="N262" i="2"/>
  <c r="N263" i="2"/>
  <c r="N264" i="2"/>
  <c r="N265" i="2"/>
  <c r="N266" i="2"/>
  <c r="N309" i="2"/>
  <c r="N310" i="2"/>
  <c r="N307" i="2"/>
  <c r="N308" i="2"/>
  <c r="N311" i="2"/>
  <c r="N312" i="2"/>
  <c r="N321" i="2"/>
  <c r="N322" i="2"/>
  <c r="N33" i="2"/>
  <c r="N57" i="2"/>
  <c r="N35" i="2"/>
  <c r="N53" i="2"/>
  <c r="N34" i="2"/>
  <c r="N49" i="2"/>
  <c r="N352" i="2"/>
  <c r="N15" i="2"/>
  <c r="N16" i="2"/>
  <c r="N17" i="2"/>
  <c r="N18" i="2"/>
  <c r="N21" i="2"/>
  <c r="N22" i="2"/>
  <c r="N23" i="2"/>
  <c r="N24" i="2"/>
  <c r="N25" i="2"/>
  <c r="N26" i="2"/>
  <c r="N27" i="2"/>
  <c r="N28" i="2"/>
  <c r="N29" i="2"/>
  <c r="N30" i="2"/>
  <c r="N19" i="2"/>
  <c r="N137" i="2"/>
  <c r="N130" i="2"/>
  <c r="N116" i="2"/>
  <c r="N112" i="2"/>
  <c r="N113" i="2"/>
  <c r="N114" i="2"/>
  <c r="N115" i="2"/>
  <c r="N354" i="2"/>
  <c r="N355" i="2"/>
  <c r="N356" i="2"/>
  <c r="N357" i="2"/>
  <c r="N207" i="2"/>
  <c r="N208" i="2"/>
  <c r="N209" i="2"/>
  <c r="N358" i="2"/>
  <c r="N359" i="2"/>
  <c r="N360" i="2"/>
  <c r="N216" i="2"/>
  <c r="N224" i="2"/>
  <c r="N225" i="2"/>
  <c r="N226" i="2"/>
  <c r="N210" i="2"/>
  <c r="N211" i="2"/>
  <c r="N212" i="2"/>
  <c r="N213" i="2"/>
  <c r="N214" i="2"/>
  <c r="N215" i="2"/>
  <c r="N31" i="2"/>
  <c r="N401" i="2"/>
  <c r="N402" i="2"/>
  <c r="N397" i="2"/>
  <c r="N403" i="2"/>
  <c r="N404" i="2"/>
  <c r="N385" i="2"/>
  <c r="N386" i="2"/>
  <c r="N387" i="2"/>
  <c r="N44" i="2"/>
  <c r="N45" i="2"/>
  <c r="N344" i="2"/>
  <c r="N390" i="2"/>
  <c r="N345" i="2"/>
  <c r="N346" i="2"/>
  <c r="N391" i="2"/>
  <c r="N347" i="2"/>
  <c r="N445" i="2"/>
  <c r="N442" i="2"/>
  <c r="N443" i="2"/>
  <c r="N444" i="2"/>
  <c r="N388" i="2"/>
  <c r="N432" i="2"/>
  <c r="N389" i="2"/>
  <c r="N433" i="2"/>
  <c r="N434" i="2"/>
  <c r="N392" i="2"/>
  <c r="N395" i="2"/>
  <c r="N451" i="2"/>
  <c r="N393" i="2"/>
  <c r="N450" i="2"/>
  <c r="N396" i="2"/>
  <c r="N452" i="2"/>
  <c r="N394" i="2"/>
  <c r="N453" i="2"/>
  <c r="N36" i="2"/>
  <c r="N37" i="2"/>
  <c r="N38" i="2"/>
  <c r="N39" i="2"/>
  <c r="N448" i="2"/>
  <c r="N447" i="2"/>
  <c r="N439" i="2"/>
  <c r="N438" i="2"/>
  <c r="N431" i="2"/>
  <c r="N446" i="2"/>
  <c r="N441" i="2"/>
  <c r="N436" i="2"/>
  <c r="N435" i="2"/>
  <c r="N437" i="2"/>
  <c r="N440" i="2"/>
  <c r="N430" i="2"/>
  <c r="N427" i="2"/>
  <c r="N428" i="2"/>
  <c r="N425" i="2"/>
  <c r="N426" i="2"/>
  <c r="N424" i="2"/>
  <c r="N422" i="2"/>
  <c r="N423" i="2"/>
  <c r="N429" i="2"/>
  <c r="N323" i="2"/>
  <c r="N324" i="2"/>
  <c r="N325" i="2"/>
  <c r="N409" i="2"/>
  <c r="N410" i="2"/>
  <c r="N411" i="2"/>
  <c r="N413" i="2"/>
  <c r="N412" i="2"/>
  <c r="N414" i="2"/>
  <c r="N419" i="2"/>
  <c r="N420" i="2"/>
  <c r="N415" i="2"/>
  <c r="N416" i="2"/>
  <c r="N421" i="2"/>
  <c r="N417" i="2"/>
  <c r="N418" i="2"/>
  <c r="N407" i="2"/>
  <c r="N408" i="2"/>
  <c r="N118" i="2"/>
  <c r="N125" i="2"/>
  <c r="N131" i="2"/>
  <c r="N132" i="2"/>
  <c r="N133" i="2"/>
  <c r="N134" i="2"/>
  <c r="N135" i="2"/>
  <c r="N136" i="2"/>
  <c r="N140" i="2"/>
  <c r="N146" i="2"/>
  <c r="N153" i="2"/>
  <c r="N160" i="2"/>
  <c r="N126" i="2"/>
  <c r="N127" i="2"/>
  <c r="N128" i="2"/>
  <c r="N129" i="2"/>
  <c r="N154" i="2"/>
  <c r="N155" i="2"/>
  <c r="N104" i="2"/>
  <c r="N105" i="2"/>
  <c r="N106" i="2"/>
  <c r="N110" i="2"/>
  <c r="N161" i="2"/>
  <c r="N141" i="2"/>
  <c r="N107" i="2"/>
  <c r="N108" i="2"/>
  <c r="N109" i="2"/>
  <c r="N111" i="2"/>
  <c r="N147" i="2"/>
  <c r="N148" i="2"/>
  <c r="N168" i="2"/>
  <c r="N117" i="2"/>
  <c r="AJ2" i="5"/>
  <c r="L27" i="9" s="1"/>
  <c r="AI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AG500" i="2" l="1"/>
  <c r="AG501" i="2"/>
  <c r="AG498" i="2"/>
  <c r="AG499" i="2"/>
  <c r="AG480" i="2"/>
  <c r="AG484" i="2"/>
  <c r="AG488" i="2"/>
  <c r="AG492" i="2"/>
  <c r="AG496" i="2"/>
  <c r="AG479" i="2"/>
  <c r="AG491" i="2"/>
  <c r="AG481" i="2"/>
  <c r="AG485" i="2"/>
  <c r="AG489" i="2"/>
  <c r="AG493" i="2"/>
  <c r="AG497" i="2"/>
  <c r="AG483" i="2"/>
  <c r="AG482" i="2"/>
  <c r="AG486" i="2"/>
  <c r="AG490" i="2"/>
  <c r="AG494" i="2"/>
  <c r="AG487" i="2"/>
  <c r="AG495" i="2"/>
  <c r="AG477" i="2"/>
  <c r="AG478" i="2"/>
  <c r="AG476" i="2"/>
  <c r="AG474" i="2"/>
  <c r="AG475" i="2"/>
  <c r="AG472" i="2"/>
  <c r="AG473" i="2"/>
  <c r="AG470" i="2"/>
  <c r="AG471" i="2"/>
  <c r="AG468" i="2"/>
  <c r="AG469" i="2"/>
  <c r="AG466" i="2"/>
  <c r="AG467" i="2"/>
  <c r="AG463" i="2"/>
  <c r="AG465" i="2"/>
  <c r="AG464" i="2"/>
  <c r="AG31" i="25"/>
  <c r="AG462" i="2"/>
  <c r="Y99" i="5"/>
  <c r="Y98" i="5"/>
  <c r="Y102" i="5"/>
  <c r="Y103" i="5"/>
  <c r="Y101" i="5"/>
  <c r="Y100" i="5"/>
  <c r="E2" i="12"/>
  <c r="D10" i="9"/>
  <c r="Y57" i="5"/>
  <c r="Y58" i="5"/>
  <c r="Y51" i="5"/>
  <c r="Y52" i="5"/>
  <c r="Y63" i="5"/>
  <c r="Y64" i="5"/>
  <c r="Y69" i="5"/>
  <c r="Y70" i="5"/>
  <c r="Y67" i="5"/>
  <c r="Y68" i="5"/>
  <c r="Y61" i="5"/>
  <c r="Y62" i="5"/>
  <c r="Y76" i="5"/>
  <c r="Y75" i="5"/>
  <c r="Y74" i="5"/>
  <c r="Y73" i="5"/>
  <c r="Y71" i="5"/>
  <c r="Y72" i="5"/>
  <c r="Y65" i="5"/>
  <c r="Y66" i="5"/>
  <c r="AK2" i="5"/>
  <c r="AH31" i="25" s="1"/>
  <c r="D28" i="9"/>
  <c r="AQ26" i="10" s="1"/>
  <c r="D27" i="9"/>
  <c r="AQ25" i="10" s="1"/>
  <c r="D25" i="9"/>
  <c r="AQ23" i="10" s="1"/>
  <c r="D29" i="9"/>
  <c r="AQ27" i="10" s="1"/>
  <c r="D26" i="9"/>
  <c r="AQ24" i="10" s="1"/>
  <c r="D30" i="9"/>
  <c r="AQ28" i="10" s="1"/>
  <c r="K24" i="9"/>
  <c r="N24" i="9" s="1"/>
  <c r="AD24" i="10" s="1"/>
  <c r="M27" i="9"/>
  <c r="AB27" i="10" s="1"/>
  <c r="Z27" i="10"/>
  <c r="N27" i="9"/>
  <c r="AD27" i="10" s="1"/>
  <c r="K26" i="9"/>
  <c r="N26" i="9" s="1"/>
  <c r="AD26" i="10" s="1"/>
  <c r="K25" i="9"/>
  <c r="Z26" i="10"/>
  <c r="Z25" i="10"/>
  <c r="Q1" i="12"/>
  <c r="Q2" i="12" s="1"/>
  <c r="F2" i="12"/>
  <c r="J2" i="12"/>
  <c r="N2" i="12"/>
  <c r="G2" i="12"/>
  <c r="K2" i="12"/>
  <c r="O2" i="12"/>
  <c r="H2" i="12"/>
  <c r="L2" i="12"/>
  <c r="P2" i="12"/>
  <c r="I2" i="12"/>
  <c r="M2" i="12"/>
  <c r="A3" i="12"/>
  <c r="D3" i="12" s="1"/>
  <c r="D11" i="9"/>
  <c r="R58" i="2"/>
  <c r="AD58" i="2" s="1"/>
  <c r="R7" i="10"/>
  <c r="J308" i="5" l="1"/>
  <c r="K308" i="5" s="1"/>
  <c r="X2" i="5"/>
  <c r="X3" i="5"/>
  <c r="AG188" i="2"/>
  <c r="AG416" i="2"/>
  <c r="AG408" i="2"/>
  <c r="AG455" i="2"/>
  <c r="AG386" i="2"/>
  <c r="AG379" i="2"/>
  <c r="AG432" i="2"/>
  <c r="AG401" i="2"/>
  <c r="AG368" i="2"/>
  <c r="AG306" i="2"/>
  <c r="AG289" i="2"/>
  <c r="AG396" i="2"/>
  <c r="AG335" i="2"/>
  <c r="AG426" i="2"/>
  <c r="AG394" i="2"/>
  <c r="AG375" i="2"/>
  <c r="AG346" i="2"/>
  <c r="AG251" i="2"/>
  <c r="AG393" i="2"/>
  <c r="AG362" i="2"/>
  <c r="AG323" i="2"/>
  <c r="AG85" i="2"/>
  <c r="AG355" i="2"/>
  <c r="AG300" i="2"/>
  <c r="AG454" i="2"/>
  <c r="AG203" i="2"/>
  <c r="AG146" i="2"/>
  <c r="AG299" i="2"/>
  <c r="AG423" i="2"/>
  <c r="AG187" i="2"/>
  <c r="AG235" i="2"/>
  <c r="AG175" i="2"/>
  <c r="AG5" i="2"/>
  <c r="AG448" i="2"/>
  <c r="AG374" i="2"/>
  <c r="AG219" i="2"/>
  <c r="AG165" i="2"/>
  <c r="AG321" i="2"/>
  <c r="AG435" i="2"/>
  <c r="AG260" i="2"/>
  <c r="AG443" i="2"/>
  <c r="AG407" i="2"/>
  <c r="AG377" i="2"/>
  <c r="AG354" i="2"/>
  <c r="AG202" i="2"/>
  <c r="AG420" i="2"/>
  <c r="AG395" i="2"/>
  <c r="AG366" i="2"/>
  <c r="AG291" i="2"/>
  <c r="AG140" i="2"/>
  <c r="AG415" i="2"/>
  <c r="AG385" i="2"/>
  <c r="AG361" i="2"/>
  <c r="AG250" i="2"/>
  <c r="AG452" i="2"/>
  <c r="AG339" i="2"/>
  <c r="AG218" i="2"/>
  <c r="AG164" i="2"/>
  <c r="AG316" i="2"/>
  <c r="AG425" i="2"/>
  <c r="AG171" i="2"/>
  <c r="AG46" i="2"/>
  <c r="AG440" i="2"/>
  <c r="AG399" i="2"/>
  <c r="AG234" i="2"/>
  <c r="AG72" i="2"/>
  <c r="AG322" i="2"/>
  <c r="AG445" i="2"/>
  <c r="AG371" i="2"/>
  <c r="AG296" i="2"/>
  <c r="AG436" i="2"/>
  <c r="AG404" i="2"/>
  <c r="AG276" i="2"/>
  <c r="AG342" i="2"/>
  <c r="AG437" i="2"/>
  <c r="AG282" i="2"/>
  <c r="AG267" i="2"/>
  <c r="AG195" i="2"/>
  <c r="AG412" i="2"/>
  <c r="AG390" i="2"/>
  <c r="AG351" i="2"/>
  <c r="AG126" i="2"/>
  <c r="AG382" i="2"/>
  <c r="AG265" i="2"/>
  <c r="AG311" i="2"/>
  <c r="AG211" i="2"/>
  <c r="AG158" i="2"/>
  <c r="AG295" i="2"/>
  <c r="AG263" i="2"/>
  <c r="AG243" i="2"/>
  <c r="AG180" i="2"/>
  <c r="AG37" i="2"/>
  <c r="AG411" i="2"/>
  <c r="AG326" i="2"/>
  <c r="AG227" i="2"/>
  <c r="AG114" i="2"/>
  <c r="AG315" i="2"/>
  <c r="AG389" i="2"/>
  <c r="AG431" i="2"/>
  <c r="AG419" i="2"/>
  <c r="AG281" i="2"/>
  <c r="AG266" i="2"/>
  <c r="AG242" i="2"/>
  <c r="AG446" i="2"/>
  <c r="AG403" i="2"/>
  <c r="AG381" i="2"/>
  <c r="AG330" i="2"/>
  <c r="AG450" i="2"/>
  <c r="AG427" i="2"/>
  <c r="AG398" i="2"/>
  <c r="AG370" i="2"/>
  <c r="AG308" i="2"/>
  <c r="AG97" i="2"/>
  <c r="AG275" i="2"/>
  <c r="AG340" i="2"/>
  <c r="AG179" i="2"/>
  <c r="AG22" i="2"/>
  <c r="AG350" i="2"/>
  <c r="AG139" i="2"/>
  <c r="AG194" i="2"/>
  <c r="AG106" i="2"/>
  <c r="AG134" i="2"/>
  <c r="AG442" i="2"/>
  <c r="AG226" i="2"/>
  <c r="AG113" i="2"/>
  <c r="AG150" i="2"/>
  <c r="AG11" i="2"/>
  <c r="AG210" i="2"/>
  <c r="AG151" i="2"/>
  <c r="AG120" i="2"/>
  <c r="AG298" i="2"/>
  <c r="AG157" i="2"/>
  <c r="AG57" i="2"/>
  <c r="AG35" i="2"/>
  <c r="AG314" i="2"/>
  <c r="AG451" i="2"/>
  <c r="AG392" i="2"/>
  <c r="AG81" i="2"/>
  <c r="AG460" i="2"/>
  <c r="AG294" i="2"/>
  <c r="AG422" i="2"/>
  <c r="AG71" i="2"/>
  <c r="AG320" i="2"/>
  <c r="AG457" i="2"/>
  <c r="AG410" i="2"/>
  <c r="AG458" i="2"/>
  <c r="AG439" i="2"/>
  <c r="AG429" i="2"/>
  <c r="AG414" i="2"/>
  <c r="AG280" i="2"/>
  <c r="AG259" i="2"/>
  <c r="AG292" i="2"/>
  <c r="AG430" i="2"/>
  <c r="AG397" i="2"/>
  <c r="AG378" i="2"/>
  <c r="AG434" i="2"/>
  <c r="AG441" i="2"/>
  <c r="AG418" i="2"/>
  <c r="AG459" i="2"/>
  <c r="AG271" i="2"/>
  <c r="AG406" i="2"/>
  <c r="AG286" i="2"/>
  <c r="AG384" i="2"/>
  <c r="AG373" i="2"/>
  <c r="AG262" i="2"/>
  <c r="AG192" i="2"/>
  <c r="AG278" i="2"/>
  <c r="AG270" i="2"/>
  <c r="AG309" i="2"/>
  <c r="AG305" i="2"/>
  <c r="AG388" i="2"/>
  <c r="AG274" i="2"/>
  <c r="AG359" i="2"/>
  <c r="AG239" i="2"/>
  <c r="AG365" i="2"/>
  <c r="AG348" i="2"/>
  <c r="AG327" i="2"/>
  <c r="AG247" i="2"/>
  <c r="AG199" i="2"/>
  <c r="AG433" i="2"/>
  <c r="AG337" i="2"/>
  <c r="AG255" i="2"/>
  <c r="AG231" i="2"/>
  <c r="AG161" i="2"/>
  <c r="AG336" i="2"/>
  <c r="AG334" i="2"/>
  <c r="AG256" i="2"/>
  <c r="AG223" i="2"/>
  <c r="AG69" i="2"/>
  <c r="AG215" i="2"/>
  <c r="AG184" i="2"/>
  <c r="AG93" i="2"/>
  <c r="AG209" i="2"/>
  <c r="AG137" i="2"/>
  <c r="AG16" i="2"/>
  <c r="AG176" i="2"/>
  <c r="AG154" i="2"/>
  <c r="AG123" i="2"/>
  <c r="AG30" i="2"/>
  <c r="AG449" i="2"/>
  <c r="AG283" i="2"/>
  <c r="AG169" i="2"/>
  <c r="AG67" i="2"/>
  <c r="AG80" i="2"/>
  <c r="AG297" i="2"/>
  <c r="AG290" i="2"/>
  <c r="AG61" i="2"/>
  <c r="AG45" i="2"/>
  <c r="AG293" i="2"/>
  <c r="AG421" i="2"/>
  <c r="AG313" i="2"/>
  <c r="AG453" i="2"/>
  <c r="AG438" i="2"/>
  <c r="AG424" i="2"/>
  <c r="AG405" i="2"/>
  <c r="AG254" i="2"/>
  <c r="AG444" i="2"/>
  <c r="AG417" i="2"/>
  <c r="AG380" i="2"/>
  <c r="AG319" i="2"/>
  <c r="AG456" i="2"/>
  <c r="AG447" i="2"/>
  <c r="AG428" i="2"/>
  <c r="AG413" i="2"/>
  <c r="AG269" i="2"/>
  <c r="AG409" i="2"/>
  <c r="AG304" i="2"/>
  <c r="AG387" i="2"/>
  <c r="AG369" i="2"/>
  <c r="AG341" i="2"/>
  <c r="AG49" i="2"/>
  <c r="AG402" i="2"/>
  <c r="AG279" i="2"/>
  <c r="AG277" i="2"/>
  <c r="AG363" i="2"/>
  <c r="AG214" i="2"/>
  <c r="AG400" i="2"/>
  <c r="AG391" i="2"/>
  <c r="AG273" i="2"/>
  <c r="AG357" i="2"/>
  <c r="AG168" i="2"/>
  <c r="AG347" i="2"/>
  <c r="AG206" i="2"/>
  <c r="AG222" i="2"/>
  <c r="AG183" i="2"/>
  <c r="AG131" i="2"/>
  <c r="AG53" i="2"/>
  <c r="AG333" i="2"/>
  <c r="AG246" i="2"/>
  <c r="AG198" i="2"/>
  <c r="AG160" i="2"/>
  <c r="AG41" i="2"/>
  <c r="AG352" i="2"/>
  <c r="AG318" i="2"/>
  <c r="AG230" i="2"/>
  <c r="AG191" i="2"/>
  <c r="AG68" i="2"/>
  <c r="AG109" i="2"/>
  <c r="AG130" i="2"/>
  <c r="AG143" i="2"/>
  <c r="AG9" i="2"/>
  <c r="AG383" i="2"/>
  <c r="AG372" i="2"/>
  <c r="AG358" i="2"/>
  <c r="AG345" i="2"/>
  <c r="AG303" i="2"/>
  <c r="AG238" i="2"/>
  <c r="AG208" i="2"/>
  <c r="AG102" i="2"/>
  <c r="AG153" i="2"/>
  <c r="AG89" i="2"/>
  <c r="AG129" i="2"/>
  <c r="AG110" i="2"/>
  <c r="AG26" i="2"/>
  <c r="AG60" i="2"/>
  <c r="AG118" i="2"/>
  <c r="AG88" i="2"/>
  <c r="AG325" i="2"/>
  <c r="AG119" i="2"/>
  <c r="AG125" i="2"/>
  <c r="AG96" i="2"/>
  <c r="AG44" i="2"/>
  <c r="AG133" i="2"/>
  <c r="AG56" i="2"/>
  <c r="AG92" i="2"/>
  <c r="AG25" i="2"/>
  <c r="AG105" i="2"/>
  <c r="AG84" i="2"/>
  <c r="AG70" i="2"/>
  <c r="AG29" i="2"/>
  <c r="AG329" i="2"/>
  <c r="AG163" i="2"/>
  <c r="AG78" i="2"/>
  <c r="AG40" i="2"/>
  <c r="AG19" i="2"/>
  <c r="AG253" i="2"/>
  <c r="AG48" i="2"/>
  <c r="AG34" i="2"/>
  <c r="AG15" i="2"/>
  <c r="AG249" i="2"/>
  <c r="AG8" i="2"/>
  <c r="AG302" i="2"/>
  <c r="AG229" i="2"/>
  <c r="AG75" i="2"/>
  <c r="AG36" i="2"/>
  <c r="AG21" i="2"/>
  <c r="AG332" i="2"/>
  <c r="AG287" i="2"/>
  <c r="AG213" i="2"/>
  <c r="AG4" i="2"/>
  <c r="AG317" i="2"/>
  <c r="AG205" i="2"/>
  <c r="AG245" i="2"/>
  <c r="AG197" i="2"/>
  <c r="AG307" i="2"/>
  <c r="AG258" i="2"/>
  <c r="AG241" i="2"/>
  <c r="AG178" i="2"/>
  <c r="AG233" i="2"/>
  <c r="AG217" i="2"/>
  <c r="AG201" i="2"/>
  <c r="AG182" i="2"/>
  <c r="AG112" i="2"/>
  <c r="AG47" i="2"/>
  <c r="AG225" i="2"/>
  <c r="AG138" i="2"/>
  <c r="AG79" i="2"/>
  <c r="AG174" i="2"/>
  <c r="AG149" i="2"/>
  <c r="AG237" i="2"/>
  <c r="AG221" i="2"/>
  <c r="AG207" i="2"/>
  <c r="AG186" i="2"/>
  <c r="AG116" i="2"/>
  <c r="AG136" i="2"/>
  <c r="AG190" i="2"/>
  <c r="AG101" i="2"/>
  <c r="AG167" i="2"/>
  <c r="AG55" i="2"/>
  <c r="AG122" i="2"/>
  <c r="AG148" i="2"/>
  <c r="AG66" i="2"/>
  <c r="AG117" i="2"/>
  <c r="AG32" i="2"/>
  <c r="AG156" i="2"/>
  <c r="AG145" i="2"/>
  <c r="AG59" i="2"/>
  <c r="AG108" i="2"/>
  <c r="AG272" i="2"/>
  <c r="AG121" i="2"/>
  <c r="AG142" i="2"/>
  <c r="AG128" i="2"/>
  <c r="AG87" i="2"/>
  <c r="AG349" i="2"/>
  <c r="AG124" i="2"/>
  <c r="AG104" i="2"/>
  <c r="AG83" i="2"/>
  <c r="AG74" i="2"/>
  <c r="AG28" i="2"/>
  <c r="AG367" i="2"/>
  <c r="AG261" i="2"/>
  <c r="AG95" i="2"/>
  <c r="AG52" i="2"/>
  <c r="AG64" i="2"/>
  <c r="AG18" i="2"/>
  <c r="AG360" i="2"/>
  <c r="AG301" i="2"/>
  <c r="AG91" i="2"/>
  <c r="AG77" i="2"/>
  <c r="AG43" i="2"/>
  <c r="AG14" i="2"/>
  <c r="AG264" i="2"/>
  <c r="AG252" i="2"/>
  <c r="AG39" i="2"/>
  <c r="AG24" i="2"/>
  <c r="AG7" i="2"/>
  <c r="AG268" i="2"/>
  <c r="AG356" i="2"/>
  <c r="AG344" i="2"/>
  <c r="AG212" i="2"/>
  <c r="AG33" i="2"/>
  <c r="AG12" i="2"/>
  <c r="AG3" i="2"/>
  <c r="AG364" i="2"/>
  <c r="AG353" i="2"/>
  <c r="AG328" i="2"/>
  <c r="AG159" i="2"/>
  <c r="AG343" i="2"/>
  <c r="AG324" i="2"/>
  <c r="AG288" i="2"/>
  <c r="AG248" i="2"/>
  <c r="AG196" i="2"/>
  <c r="AG147" i="2"/>
  <c r="AG338" i="2"/>
  <c r="AG312" i="2"/>
  <c r="AG172" i="2"/>
  <c r="AG244" i="2"/>
  <c r="AG181" i="2"/>
  <c r="AG65" i="2"/>
  <c r="AG331" i="2"/>
  <c r="AG310" i="2"/>
  <c r="AG257" i="2"/>
  <c r="AG228" i="2"/>
  <c r="AG115" i="2"/>
  <c r="AG82" i="2"/>
  <c r="AG240" i="2"/>
  <c r="AG224" i="2"/>
  <c r="AG103" i="2"/>
  <c r="AG193" i="2"/>
  <c r="AG177" i="2"/>
  <c r="AG170" i="2"/>
  <c r="AG155" i="2"/>
  <c r="AG144" i="2"/>
  <c r="AG132" i="2"/>
  <c r="AG73" i="2"/>
  <c r="AG236" i="2"/>
  <c r="AG220" i="2"/>
  <c r="AG204" i="2"/>
  <c r="AG189" i="2"/>
  <c r="AG100" i="2"/>
  <c r="AG166" i="2"/>
  <c r="AG152" i="2"/>
  <c r="AG141" i="2"/>
  <c r="AG58" i="2"/>
  <c r="AG62" i="2"/>
  <c r="AG232" i="2"/>
  <c r="AG216" i="2"/>
  <c r="AG200" i="2"/>
  <c r="AG185" i="2"/>
  <c r="AG173" i="2"/>
  <c r="AG162" i="2"/>
  <c r="AG99" i="2"/>
  <c r="AG135" i="2"/>
  <c r="AG98" i="2"/>
  <c r="AG13" i="2"/>
  <c r="AG127" i="2"/>
  <c r="AG107" i="2"/>
  <c r="AG86" i="2"/>
  <c r="AG76" i="2"/>
  <c r="AG38" i="2"/>
  <c r="AG23" i="2"/>
  <c r="AG6" i="2"/>
  <c r="AG284" i="2"/>
  <c r="AG461" i="2"/>
  <c r="AG54" i="2"/>
  <c r="AG94" i="2"/>
  <c r="AG51" i="2"/>
  <c r="AG63" i="2"/>
  <c r="AG31" i="2"/>
  <c r="AG17" i="2"/>
  <c r="AG2" i="2"/>
  <c r="AG376" i="2"/>
  <c r="AG111" i="2"/>
  <c r="AG90" i="2"/>
  <c r="AG50" i="2"/>
  <c r="AG42" i="2"/>
  <c r="AG27" i="2"/>
  <c r="AG10" i="2"/>
  <c r="AG285" i="2"/>
  <c r="AG20" i="2"/>
  <c r="AH173" i="2"/>
  <c r="M24" i="9"/>
  <c r="AB24" i="10" s="1"/>
  <c r="X24" i="10"/>
  <c r="M25" i="9"/>
  <c r="AB25" i="10" s="1"/>
  <c r="X25" i="10"/>
  <c r="M23" i="9"/>
  <c r="AB23" i="10" s="1"/>
  <c r="X23" i="10"/>
  <c r="N23" i="9"/>
  <c r="AD23" i="10" s="1"/>
  <c r="N25" i="9"/>
  <c r="AD25" i="10" s="1"/>
  <c r="M26" i="9"/>
  <c r="AB26" i="10" s="1"/>
  <c r="X26" i="10"/>
  <c r="R1" i="12"/>
  <c r="AH22" i="10"/>
  <c r="D100" i="26" l="1"/>
  <c r="F100" i="26" s="1"/>
  <c r="S1" i="12"/>
  <c r="R2" i="12"/>
  <c r="AH20" i="10"/>
  <c r="AH21" i="10"/>
  <c r="AH16" i="10"/>
  <c r="AH17" i="10"/>
  <c r="AH18" i="10"/>
  <c r="AH19" i="10"/>
  <c r="AH8" i="10"/>
  <c r="AH9" i="10"/>
  <c r="AH10" i="10"/>
  <c r="AH12" i="10"/>
  <c r="AH13" i="10"/>
  <c r="AH14" i="10"/>
  <c r="AH15" i="10"/>
  <c r="AO15" i="10"/>
  <c r="AO16" i="10"/>
  <c r="AO17" i="10"/>
  <c r="T1" i="12" l="1"/>
  <c r="S2" i="12"/>
  <c r="AQ8" i="10"/>
  <c r="D24" i="9"/>
  <c r="D22" i="9"/>
  <c r="D20" i="9"/>
  <c r="D18" i="9"/>
  <c r="D16" i="9"/>
  <c r="D14" i="9"/>
  <c r="D12" i="9"/>
  <c r="D23" i="9"/>
  <c r="D21" i="9"/>
  <c r="D19" i="9"/>
  <c r="D17" i="9"/>
  <c r="D15" i="9"/>
  <c r="D13" i="9"/>
  <c r="AQ9" i="10"/>
  <c r="AO18" i="10"/>
  <c r="AO14" i="10"/>
  <c r="AO10" i="10"/>
  <c r="AQ14" i="10" l="1"/>
  <c r="E16" i="9"/>
  <c r="AS14" i="10" s="1"/>
  <c r="AQ13" i="10"/>
  <c r="AQ16" i="10"/>
  <c r="E18" i="9"/>
  <c r="AS16" i="10" s="1"/>
  <c r="AQ11" i="10"/>
  <c r="AQ19" i="10"/>
  <c r="E17" i="9"/>
  <c r="AS15" i="10" s="1"/>
  <c r="AQ10" i="10"/>
  <c r="E12" i="9"/>
  <c r="AS10" i="10" s="1"/>
  <c r="AQ18" i="10"/>
  <c r="E20" i="9"/>
  <c r="AS18" i="10" s="1"/>
  <c r="AQ22" i="10"/>
  <c r="AQ17" i="10"/>
  <c r="E19" i="9"/>
  <c r="AS17" i="10" s="1"/>
  <c r="AQ20" i="10"/>
  <c r="U1" i="12"/>
  <c r="T2" i="12"/>
  <c r="AQ12" i="10"/>
  <c r="AQ15" i="10"/>
  <c r="AQ21" i="10"/>
  <c r="AQ29" i="10" l="1"/>
  <c r="V1" i="12"/>
  <c r="U2" i="12"/>
  <c r="W1" i="12" l="1"/>
  <c r="V2" i="12"/>
  <c r="E31" i="5"/>
  <c r="F31" i="5"/>
  <c r="E2" i="5"/>
  <c r="F2" i="5"/>
  <c r="E3" i="5"/>
  <c r="F3" i="5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R70" i="2"/>
  <c r="AD70" i="2" s="1"/>
  <c r="R71" i="2"/>
  <c r="AD71" i="2" s="1"/>
  <c r="R72" i="2"/>
  <c r="AD72" i="2" s="1"/>
  <c r="R178" i="2"/>
  <c r="AD178" i="2" s="1"/>
  <c r="R179" i="2"/>
  <c r="AD179" i="2" s="1"/>
  <c r="R180" i="2"/>
  <c r="AD180" i="2" s="1"/>
  <c r="R181" i="2"/>
  <c r="AD181" i="2" s="1"/>
  <c r="R182" i="2"/>
  <c r="AD182" i="2" s="1"/>
  <c r="R183" i="2"/>
  <c r="AD183" i="2" s="1"/>
  <c r="R184" i="2"/>
  <c r="AD184" i="2" s="1"/>
  <c r="R185" i="2"/>
  <c r="AD185" i="2" s="1"/>
  <c r="R73" i="2"/>
  <c r="AD73" i="2" s="1"/>
  <c r="R74" i="2"/>
  <c r="AD74" i="2" s="1"/>
  <c r="R186" i="2"/>
  <c r="AD186" i="2" s="1"/>
  <c r="R187" i="2"/>
  <c r="AD187" i="2" s="1"/>
  <c r="R188" i="2"/>
  <c r="AD188" i="2" s="1"/>
  <c r="R189" i="2"/>
  <c r="AD189" i="2" s="1"/>
  <c r="R190" i="2"/>
  <c r="AD190" i="2" s="1"/>
  <c r="R191" i="2"/>
  <c r="AD191" i="2" s="1"/>
  <c r="R76" i="2"/>
  <c r="AD76" i="2" s="1"/>
  <c r="R77" i="2"/>
  <c r="AD77" i="2" s="1"/>
  <c r="R175" i="2"/>
  <c r="AD175" i="2" s="1"/>
  <c r="R176" i="2"/>
  <c r="AD176" i="2" s="1"/>
  <c r="R177" i="2"/>
  <c r="AD177" i="2" s="1"/>
  <c r="R192" i="2"/>
  <c r="AD192" i="2" s="1"/>
  <c r="R193" i="2"/>
  <c r="AD193" i="2" s="1"/>
  <c r="R78" i="2"/>
  <c r="AD78" i="2" s="1"/>
  <c r="R79" i="2"/>
  <c r="AD79" i="2" s="1"/>
  <c r="R194" i="2"/>
  <c r="AD194" i="2" s="1"/>
  <c r="R80" i="2"/>
  <c r="AD80" i="2" s="1"/>
  <c r="R195" i="2"/>
  <c r="AD195" i="2" s="1"/>
  <c r="R196" i="2"/>
  <c r="AD196" i="2" s="1"/>
  <c r="R197" i="2"/>
  <c r="AD197" i="2" s="1"/>
  <c r="R198" i="2"/>
  <c r="AD198" i="2" s="1"/>
  <c r="R199" i="2"/>
  <c r="AD199" i="2" s="1"/>
  <c r="R200" i="2"/>
  <c r="AD200" i="2" s="1"/>
  <c r="R201" i="2"/>
  <c r="AD201" i="2" s="1"/>
  <c r="R81" i="2"/>
  <c r="AD81" i="2" s="1"/>
  <c r="R202" i="2"/>
  <c r="AD202" i="2" s="1"/>
  <c r="R203" i="2"/>
  <c r="AD203" i="2" s="1"/>
  <c r="R204" i="2"/>
  <c r="AD204" i="2" s="1"/>
  <c r="R82" i="2"/>
  <c r="AD82" i="2" s="1"/>
  <c r="R83" i="2"/>
  <c r="AD83" i="2" s="1"/>
  <c r="R84" i="2"/>
  <c r="AD84" i="2" s="1"/>
  <c r="R290" i="2"/>
  <c r="AD290" i="2" s="1"/>
  <c r="R289" i="2"/>
  <c r="AD289" i="2" s="1"/>
  <c r="R314" i="2"/>
  <c r="AD314" i="2" s="1"/>
  <c r="R313" i="2"/>
  <c r="AD313" i="2" s="1"/>
  <c r="R315" i="2"/>
  <c r="AD315" i="2" s="1"/>
  <c r="R299" i="2"/>
  <c r="AD299" i="2" s="1"/>
  <c r="R298" i="2"/>
  <c r="AD298" i="2" s="1"/>
  <c r="J349" i="5" s="1"/>
  <c r="K349" i="5" s="1"/>
  <c r="R278" i="2"/>
  <c r="AD278" i="2" s="1"/>
  <c r="R271" i="2"/>
  <c r="AD271" i="2" s="1"/>
  <c r="R283" i="2"/>
  <c r="AD283" i="2" s="1"/>
  <c r="R286" i="2"/>
  <c r="AD286" i="2" s="1"/>
  <c r="C17" i="17" s="1"/>
  <c r="D17" i="17" s="1"/>
  <c r="R282" i="2"/>
  <c r="AD282" i="2" s="1"/>
  <c r="R272" i="2"/>
  <c r="AD272" i="2" s="1"/>
  <c r="R257" i="2"/>
  <c r="AD257" i="2" s="1"/>
  <c r="R256" i="2"/>
  <c r="AD256" i="2" s="1"/>
  <c r="R276" i="2"/>
  <c r="AD276" i="2" s="1"/>
  <c r="R273" i="2"/>
  <c r="AD273" i="2" s="1"/>
  <c r="R316" i="2"/>
  <c r="AD316" i="2" s="1"/>
  <c r="R281" i="2"/>
  <c r="AD281" i="2" s="1"/>
  <c r="R280" i="2"/>
  <c r="AD280" i="2" s="1"/>
  <c r="R279" i="2"/>
  <c r="AD279" i="2" s="1"/>
  <c r="R277" i="2"/>
  <c r="AD277" i="2" s="1"/>
  <c r="R275" i="2"/>
  <c r="AD275" i="2" s="1"/>
  <c r="J350" i="5" s="1"/>
  <c r="K350" i="5" s="1"/>
  <c r="R274" i="2"/>
  <c r="AD274" i="2" s="1"/>
  <c r="R258" i="2"/>
  <c r="AD258" i="2" s="1"/>
  <c r="R319" i="2"/>
  <c r="AD319" i="2" s="1"/>
  <c r="R320" i="2"/>
  <c r="AD320" i="2" s="1"/>
  <c r="R292" i="2"/>
  <c r="AD292" i="2" s="1"/>
  <c r="R259" i="2"/>
  <c r="AD259" i="2" s="1"/>
  <c r="R293" i="2"/>
  <c r="AD293" i="2" s="1"/>
  <c r="R260" i="2"/>
  <c r="AD260" i="2" s="1"/>
  <c r="R261" i="2"/>
  <c r="AD261" i="2" s="1"/>
  <c r="R262" i="2"/>
  <c r="AD262" i="2" s="1"/>
  <c r="R263" i="2"/>
  <c r="AD263" i="2" s="1"/>
  <c r="R264" i="2"/>
  <c r="AD264" i="2" s="1"/>
  <c r="R265" i="2"/>
  <c r="AD265" i="2" s="1"/>
  <c r="R266" i="2"/>
  <c r="AD266" i="2" s="1"/>
  <c r="R309" i="2"/>
  <c r="AD309" i="2" s="1"/>
  <c r="J317" i="5" s="1"/>
  <c r="K317" i="5" s="1"/>
  <c r="R310" i="2"/>
  <c r="AD310" i="2" s="1"/>
  <c r="J318" i="5" s="1"/>
  <c r="K318" i="5" s="1"/>
  <c r="R307" i="2"/>
  <c r="AD307" i="2" s="1"/>
  <c r="R308" i="2"/>
  <c r="AD308" i="2" s="1"/>
  <c r="R311" i="2"/>
  <c r="AD311" i="2" s="1"/>
  <c r="J319" i="5" s="1"/>
  <c r="K319" i="5" s="1"/>
  <c r="R312" i="2"/>
  <c r="AD312" i="2" s="1"/>
  <c r="J320" i="5" s="1"/>
  <c r="K320" i="5" s="1"/>
  <c r="R321" i="2"/>
  <c r="AD321" i="2" s="1"/>
  <c r="R322" i="2"/>
  <c r="AD322" i="2" s="1"/>
  <c r="R55" i="2"/>
  <c r="AD55" i="2" s="1"/>
  <c r="R33" i="2"/>
  <c r="AD33" i="2" s="1"/>
  <c r="J329" i="5" s="1"/>
  <c r="K329" i="5" s="1"/>
  <c r="R57" i="2"/>
  <c r="AD57" i="2" s="1"/>
  <c r="R54" i="2"/>
  <c r="AD54" i="2" s="1"/>
  <c r="R56" i="2"/>
  <c r="AD56" i="2" s="1"/>
  <c r="R41" i="2"/>
  <c r="AD41" i="2" s="1"/>
  <c r="R381" i="2"/>
  <c r="AD381" i="2" s="1"/>
  <c r="R382" i="2"/>
  <c r="AD382" i="2" s="1"/>
  <c r="R383" i="2"/>
  <c r="AD383" i="2" s="1"/>
  <c r="R32" i="2"/>
  <c r="AD32" i="2" s="1"/>
  <c r="J328" i="5" s="1"/>
  <c r="K328" i="5" s="1"/>
  <c r="R43" i="2"/>
  <c r="AD43" i="2" s="1"/>
  <c r="R40" i="2"/>
  <c r="AD40" i="2" s="1"/>
  <c r="R42" i="2"/>
  <c r="AD42" i="2" s="1"/>
  <c r="R51" i="2"/>
  <c r="AD51" i="2" s="1"/>
  <c r="R35" i="2"/>
  <c r="AD35" i="2" s="1"/>
  <c r="J396" i="5" s="1"/>
  <c r="K396" i="5" s="1"/>
  <c r="R53" i="2"/>
  <c r="AD53" i="2" s="1"/>
  <c r="R50" i="2"/>
  <c r="AD50" i="2" s="1"/>
  <c r="R52" i="2"/>
  <c r="AD52" i="2" s="1"/>
  <c r="R46" i="2"/>
  <c r="AD46" i="2" s="1"/>
  <c r="R34" i="2"/>
  <c r="AD34" i="2" s="1"/>
  <c r="J395" i="5" s="1"/>
  <c r="K395" i="5" s="1"/>
  <c r="R49" i="2"/>
  <c r="AD49" i="2" s="1"/>
  <c r="R47" i="2"/>
  <c r="AD47" i="2" s="1"/>
  <c r="R48" i="2"/>
  <c r="AD48" i="2" s="1"/>
  <c r="R350" i="2"/>
  <c r="AD350" i="2" s="1"/>
  <c r="R349" i="2"/>
  <c r="AD349" i="2" s="1"/>
  <c r="R348" i="2"/>
  <c r="AD348" i="2" s="1"/>
  <c r="R353" i="2"/>
  <c r="AD353" i="2" s="1"/>
  <c r="R352" i="2"/>
  <c r="AD352" i="2" s="1"/>
  <c r="R351" i="2"/>
  <c r="AD351" i="2" s="1"/>
  <c r="R306" i="2"/>
  <c r="AD306" i="2" s="1"/>
  <c r="J136" i="5" s="1"/>
  <c r="R173" i="2"/>
  <c r="R3" i="2"/>
  <c r="AD3" i="2" s="1"/>
  <c r="J332" i="5" s="1"/>
  <c r="K332" i="5" s="1"/>
  <c r="R2" i="2"/>
  <c r="AD2" i="2" s="1"/>
  <c r="R10" i="2"/>
  <c r="AD10" i="2" s="1"/>
  <c r="J339" i="5" s="1"/>
  <c r="K339" i="5" s="1"/>
  <c r="R9" i="2"/>
  <c r="AD9" i="2" s="1"/>
  <c r="J338" i="5" s="1"/>
  <c r="K338" i="5" s="1"/>
  <c r="R14" i="2"/>
  <c r="AD14" i="2" s="1"/>
  <c r="R15" i="2"/>
  <c r="AD15" i="2" s="1"/>
  <c r="J341" i="5" s="1"/>
  <c r="K341" i="5" s="1"/>
  <c r="R16" i="2"/>
  <c r="AD16" i="2" s="1"/>
  <c r="J342" i="5" s="1"/>
  <c r="K342" i="5" s="1"/>
  <c r="R17" i="2"/>
  <c r="AD17" i="2" s="1"/>
  <c r="J397" i="5" s="1"/>
  <c r="K397" i="5" s="1"/>
  <c r="R18" i="2"/>
  <c r="AD18" i="2" s="1"/>
  <c r="J398" i="5" s="1"/>
  <c r="K398" i="5" s="1"/>
  <c r="R21" i="2"/>
  <c r="AD21" i="2" s="1"/>
  <c r="J322" i="5" s="1"/>
  <c r="K322" i="5" s="1"/>
  <c r="R22" i="2"/>
  <c r="AD22" i="2" s="1"/>
  <c r="J323" i="5" s="1"/>
  <c r="K323" i="5" s="1"/>
  <c r="R23" i="2"/>
  <c r="AD23" i="2" s="1"/>
  <c r="J324" i="5" s="1"/>
  <c r="K324" i="5" s="1"/>
  <c r="R24" i="2"/>
  <c r="AD24" i="2" s="1"/>
  <c r="J325" i="5" s="1"/>
  <c r="K325" i="5" s="1"/>
  <c r="R25" i="2"/>
  <c r="AD25" i="2" s="1"/>
  <c r="J326" i="5" s="1"/>
  <c r="K326" i="5" s="1"/>
  <c r="R26" i="2"/>
  <c r="AD26" i="2" s="1"/>
  <c r="J327" i="5" s="1"/>
  <c r="K327" i="5" s="1"/>
  <c r="R27" i="2"/>
  <c r="AD27" i="2" s="1"/>
  <c r="J400" i="5" s="1"/>
  <c r="K400" i="5" s="1"/>
  <c r="R28" i="2"/>
  <c r="AD28" i="2" s="1"/>
  <c r="J401" i="5" s="1"/>
  <c r="K401" i="5" s="1"/>
  <c r="R29" i="2"/>
  <c r="AD29" i="2" s="1"/>
  <c r="J402" i="5" s="1"/>
  <c r="K402" i="5" s="1"/>
  <c r="R30" i="2"/>
  <c r="AD30" i="2" s="1"/>
  <c r="R19" i="2"/>
  <c r="AD19" i="2" s="1"/>
  <c r="J399" i="5" s="1"/>
  <c r="K399" i="5" s="1"/>
  <c r="R137" i="2"/>
  <c r="AD137" i="2" s="1"/>
  <c r="R130" i="2"/>
  <c r="AD130" i="2" s="1"/>
  <c r="R116" i="2"/>
  <c r="AD116" i="2" s="1"/>
  <c r="R112" i="2"/>
  <c r="AD112" i="2" s="1"/>
  <c r="R113" i="2"/>
  <c r="AD113" i="2" s="1"/>
  <c r="R114" i="2"/>
  <c r="AD114" i="2" s="1"/>
  <c r="R115" i="2"/>
  <c r="AD115" i="2" s="1"/>
  <c r="R354" i="2"/>
  <c r="AD354" i="2" s="1"/>
  <c r="R355" i="2"/>
  <c r="AD355" i="2" s="1"/>
  <c r="R356" i="2"/>
  <c r="AD356" i="2" s="1"/>
  <c r="R357" i="2"/>
  <c r="AD357" i="2" s="1"/>
  <c r="R207" i="2"/>
  <c r="AD207" i="2" s="1"/>
  <c r="R208" i="2"/>
  <c r="AD208" i="2" s="1"/>
  <c r="R209" i="2"/>
  <c r="AD209" i="2" s="1"/>
  <c r="R358" i="2"/>
  <c r="AD358" i="2" s="1"/>
  <c r="J313" i="5" s="1"/>
  <c r="K313" i="5" s="1"/>
  <c r="R359" i="2"/>
  <c r="AD359" i="2" s="1"/>
  <c r="R360" i="2"/>
  <c r="AD360" i="2" s="1"/>
  <c r="R216" i="2"/>
  <c r="AD216" i="2" s="1"/>
  <c r="R224" i="2"/>
  <c r="AD224" i="2" s="1"/>
  <c r="R225" i="2"/>
  <c r="AD225" i="2" s="1"/>
  <c r="R226" i="2"/>
  <c r="AD226" i="2" s="1"/>
  <c r="R210" i="2"/>
  <c r="AD210" i="2" s="1"/>
  <c r="R211" i="2"/>
  <c r="AD211" i="2" s="1"/>
  <c r="R212" i="2"/>
  <c r="AD212" i="2" s="1"/>
  <c r="R213" i="2"/>
  <c r="AD213" i="2" s="1"/>
  <c r="R214" i="2"/>
  <c r="AD214" i="2" s="1"/>
  <c r="R215" i="2"/>
  <c r="AD215" i="2" s="1"/>
  <c r="R31" i="2"/>
  <c r="AD31" i="2" s="1"/>
  <c r="R205" i="2"/>
  <c r="AD205" i="2" s="1"/>
  <c r="R341" i="2"/>
  <c r="AD341" i="2" s="1"/>
  <c r="R343" i="2"/>
  <c r="AD343" i="2" s="1"/>
  <c r="R99" i="2"/>
  <c r="AD99" i="2" s="1"/>
  <c r="R304" i="2"/>
  <c r="AD304" i="2" s="1"/>
  <c r="J369" i="5" s="1"/>
  <c r="K369" i="5" s="1"/>
  <c r="R305" i="2"/>
  <c r="AD305" i="2" s="1"/>
  <c r="J370" i="5" s="1"/>
  <c r="K370" i="5" s="1"/>
  <c r="R331" i="2"/>
  <c r="AD331" i="2" s="1"/>
  <c r="R332" i="2"/>
  <c r="AD332" i="2" s="1"/>
  <c r="R333" i="2"/>
  <c r="AD333" i="2" s="1"/>
  <c r="R334" i="2"/>
  <c r="AD334" i="2" s="1"/>
  <c r="R401" i="2"/>
  <c r="AD401" i="2" s="1"/>
  <c r="J388" i="5" s="1"/>
  <c r="K388" i="5" s="1"/>
  <c r="R402" i="2"/>
  <c r="AD402" i="2" s="1"/>
  <c r="J389" i="5" s="1"/>
  <c r="K389" i="5" s="1"/>
  <c r="R397" i="2"/>
  <c r="AD397" i="2" s="1"/>
  <c r="R403" i="2"/>
  <c r="AD403" i="2" s="1"/>
  <c r="J386" i="5" s="1"/>
  <c r="K386" i="5" s="1"/>
  <c r="R404" i="2"/>
  <c r="AD404" i="2" s="1"/>
  <c r="J387" i="5" s="1"/>
  <c r="K387" i="5" s="1"/>
  <c r="R385" i="2"/>
  <c r="AD385" i="2" s="1"/>
  <c r="R386" i="2"/>
  <c r="AD386" i="2" s="1"/>
  <c r="J292" i="5" s="1"/>
  <c r="K292" i="5" s="1"/>
  <c r="R387" i="2"/>
  <c r="AD387" i="2" s="1"/>
  <c r="J293" i="5" s="1"/>
  <c r="K293" i="5" s="1"/>
  <c r="R44" i="2"/>
  <c r="AD44" i="2" s="1"/>
  <c r="R45" i="2"/>
  <c r="AD45" i="2" s="1"/>
  <c r="R344" i="2"/>
  <c r="AD344" i="2" s="1"/>
  <c r="R390" i="2"/>
  <c r="AD390" i="2" s="1"/>
  <c r="R345" i="2"/>
  <c r="AD345" i="2" s="1"/>
  <c r="J289" i="5" s="1"/>
  <c r="K289" i="5" s="1"/>
  <c r="R346" i="2"/>
  <c r="AD346" i="2" s="1"/>
  <c r="J290" i="5" s="1"/>
  <c r="K290" i="5" s="1"/>
  <c r="R391" i="2"/>
  <c r="AD391" i="2" s="1"/>
  <c r="R347" i="2"/>
  <c r="AD347" i="2" s="1"/>
  <c r="J291" i="5" s="1"/>
  <c r="K291" i="5" s="1"/>
  <c r="R445" i="2"/>
  <c r="AD445" i="2" s="1"/>
  <c r="J423" i="5" s="1"/>
  <c r="K423" i="5" s="1"/>
  <c r="R442" i="2"/>
  <c r="AD442" i="2" s="1"/>
  <c r="R443" i="2"/>
  <c r="AD443" i="2" s="1"/>
  <c r="R444" i="2"/>
  <c r="AD444" i="2" s="1"/>
  <c r="J422" i="5" s="1"/>
  <c r="K422" i="5" s="1"/>
  <c r="R388" i="2"/>
  <c r="AD388" i="2" s="1"/>
  <c r="R432" i="2"/>
  <c r="AD432" i="2" s="1"/>
  <c r="R389" i="2"/>
  <c r="AD389" i="2" s="1"/>
  <c r="R433" i="2"/>
  <c r="AD433" i="2" s="1"/>
  <c r="R434" i="2"/>
  <c r="AD434" i="2" s="1"/>
  <c r="R392" i="2"/>
  <c r="AD392" i="2" s="1"/>
  <c r="R395" i="2"/>
  <c r="AD395" i="2" s="1"/>
  <c r="J287" i="5" s="1"/>
  <c r="K287" i="5" s="1"/>
  <c r="R451" i="2"/>
  <c r="AD451" i="2" s="1"/>
  <c r="J427" i="5" s="1"/>
  <c r="K427" i="5" s="1"/>
  <c r="R393" i="2"/>
  <c r="AD393" i="2" s="1"/>
  <c r="R450" i="2"/>
  <c r="AD450" i="2" s="1"/>
  <c r="J426" i="5" s="1"/>
  <c r="K426" i="5" s="1"/>
  <c r="R396" i="2"/>
  <c r="AD396" i="2" s="1"/>
  <c r="J367" i="5" s="1"/>
  <c r="K367" i="5" s="1"/>
  <c r="R452" i="2"/>
  <c r="AD452" i="2" s="1"/>
  <c r="R394" i="2"/>
  <c r="AD394" i="2" s="1"/>
  <c r="J394" i="5" s="1"/>
  <c r="K394" i="5" s="1"/>
  <c r="R453" i="2"/>
  <c r="AD453" i="2" s="1"/>
  <c r="R36" i="2"/>
  <c r="AD36" i="2" s="1"/>
  <c r="R37" i="2"/>
  <c r="AD37" i="2" s="1"/>
  <c r="J352" i="5" s="1"/>
  <c r="K352" i="5" s="1"/>
  <c r="R38" i="2"/>
  <c r="AD38" i="2" s="1"/>
  <c r="J353" i="5" s="1"/>
  <c r="K353" i="5" s="1"/>
  <c r="R39" i="2"/>
  <c r="AD39" i="2" s="1"/>
  <c r="J354" i="5" s="1"/>
  <c r="K354" i="5" s="1"/>
  <c r="R4" i="2"/>
  <c r="AD4" i="2" s="1"/>
  <c r="R5" i="2"/>
  <c r="AD5" i="2" s="1"/>
  <c r="J334" i="5" s="1"/>
  <c r="K334" i="5" s="1"/>
  <c r="R6" i="2"/>
  <c r="AD6" i="2" s="1"/>
  <c r="J335" i="5" s="1"/>
  <c r="K335" i="5" s="1"/>
  <c r="R7" i="2"/>
  <c r="AD7" i="2" s="1"/>
  <c r="J336" i="5" s="1"/>
  <c r="K336" i="5" s="1"/>
  <c r="R8" i="2"/>
  <c r="AD8" i="2" s="1"/>
  <c r="J337" i="5" s="1"/>
  <c r="K337" i="5" s="1"/>
  <c r="R171" i="2"/>
  <c r="AD171" i="2" s="1"/>
  <c r="R302" i="2"/>
  <c r="AD302" i="2" s="1"/>
  <c r="R303" i="2"/>
  <c r="AD303" i="2" s="1"/>
  <c r="R291" i="2"/>
  <c r="AD291" i="2" s="1"/>
  <c r="R172" i="2"/>
  <c r="AD172" i="2" s="1"/>
  <c r="J316" i="5" s="1"/>
  <c r="K316" i="5" s="1"/>
  <c r="R300" i="2"/>
  <c r="AD300" i="2" s="1"/>
  <c r="J345" i="5" s="1"/>
  <c r="K345" i="5" s="1"/>
  <c r="R288" i="2"/>
  <c r="AD288" i="2" s="1"/>
  <c r="R327" i="2"/>
  <c r="AD327" i="2" s="1"/>
  <c r="R328" i="2"/>
  <c r="AD328" i="2" s="1"/>
  <c r="R287" i="2"/>
  <c r="AD287" i="2" s="1"/>
  <c r="R329" i="2"/>
  <c r="AD329" i="2" s="1"/>
  <c r="R330" i="2"/>
  <c r="AD330" i="2" s="1"/>
  <c r="R326" i="2"/>
  <c r="AD326" i="2" s="1"/>
  <c r="R317" i="2"/>
  <c r="AD317" i="2" s="1"/>
  <c r="J371" i="5" s="1"/>
  <c r="K371" i="5" s="1"/>
  <c r="R318" i="2"/>
  <c r="AD318" i="2" s="1"/>
  <c r="J372" i="5" s="1"/>
  <c r="K372" i="5" s="1"/>
  <c r="R373" i="2"/>
  <c r="AD373" i="2" s="1"/>
  <c r="R374" i="2"/>
  <c r="AD374" i="2" s="1"/>
  <c r="R301" i="2"/>
  <c r="AD301" i="2" s="1"/>
  <c r="J368" i="5" s="1"/>
  <c r="K368" i="5" s="1"/>
  <c r="R448" i="2"/>
  <c r="AD448" i="2" s="1"/>
  <c r="C13" i="9" s="1"/>
  <c r="R235" i="2"/>
  <c r="AD235" i="2" s="1"/>
  <c r="R227" i="2"/>
  <c r="AD227" i="2" s="1"/>
  <c r="R253" i="2"/>
  <c r="AD253" i="2" s="1"/>
  <c r="R246" i="2"/>
  <c r="AD246" i="2" s="1"/>
  <c r="R236" i="2"/>
  <c r="AD236" i="2" s="1"/>
  <c r="R237" i="2"/>
  <c r="AD237" i="2" s="1"/>
  <c r="R238" i="2"/>
  <c r="AD238" i="2" s="1"/>
  <c r="R239" i="2"/>
  <c r="AD239" i="2" s="1"/>
  <c r="R228" i="2"/>
  <c r="AD228" i="2" s="1"/>
  <c r="J346" i="5" s="1"/>
  <c r="K346" i="5" s="1"/>
  <c r="R229" i="2"/>
  <c r="AD229" i="2" s="1"/>
  <c r="J347" i="5" s="1"/>
  <c r="K347" i="5" s="1"/>
  <c r="R247" i="2"/>
  <c r="AD247" i="2" s="1"/>
  <c r="R248" i="2"/>
  <c r="AD248" i="2" s="1"/>
  <c r="R240" i="2"/>
  <c r="AD240" i="2" s="1"/>
  <c r="R249" i="2"/>
  <c r="AD249" i="2" s="1"/>
  <c r="R241" i="2"/>
  <c r="AD241" i="2" s="1"/>
  <c r="R242" i="2"/>
  <c r="AD242" i="2" s="1"/>
  <c r="R243" i="2"/>
  <c r="AD243" i="2" s="1"/>
  <c r="R244" i="2"/>
  <c r="AD244" i="2" s="1"/>
  <c r="R245" i="2"/>
  <c r="AD245" i="2" s="1"/>
  <c r="R230" i="2"/>
  <c r="AD230" i="2" s="1"/>
  <c r="R231" i="2"/>
  <c r="AD231" i="2" s="1"/>
  <c r="R232" i="2"/>
  <c r="AD232" i="2" s="1"/>
  <c r="R254" i="2"/>
  <c r="AD254" i="2" s="1"/>
  <c r="R250" i="2"/>
  <c r="AD250" i="2" s="1"/>
  <c r="R251" i="2"/>
  <c r="AD251" i="2" s="1"/>
  <c r="R252" i="2"/>
  <c r="AD252" i="2" s="1"/>
  <c r="R447" i="2"/>
  <c r="AD447" i="2" s="1"/>
  <c r="J425" i="5" s="1"/>
  <c r="K425" i="5" s="1"/>
  <c r="R439" i="2"/>
  <c r="AD439" i="2" s="1"/>
  <c r="J417" i="5" s="1"/>
  <c r="K417" i="5" s="1"/>
  <c r="R438" i="2"/>
  <c r="AD438" i="2" s="1"/>
  <c r="J416" i="5" s="1"/>
  <c r="K416" i="5" s="1"/>
  <c r="R431" i="2"/>
  <c r="AD431" i="2" s="1"/>
  <c r="R446" i="2"/>
  <c r="AD446" i="2" s="1"/>
  <c r="J424" i="5" s="1"/>
  <c r="K424" i="5" s="1"/>
  <c r="R441" i="2"/>
  <c r="AD441" i="2" s="1"/>
  <c r="J419" i="5" s="1"/>
  <c r="K419" i="5" s="1"/>
  <c r="R436" i="2"/>
  <c r="AD436" i="2" s="1"/>
  <c r="J414" i="5" s="1"/>
  <c r="K414" i="5" s="1"/>
  <c r="R435" i="2"/>
  <c r="AD435" i="2" s="1"/>
  <c r="J413" i="5" s="1"/>
  <c r="K413" i="5" s="1"/>
  <c r="R437" i="2"/>
  <c r="AD437" i="2" s="1"/>
  <c r="J415" i="5" s="1"/>
  <c r="K415" i="5" s="1"/>
  <c r="R440" i="2"/>
  <c r="AD440" i="2" s="1"/>
  <c r="J418" i="5" s="1"/>
  <c r="K418" i="5" s="1"/>
  <c r="R430" i="2"/>
  <c r="AD430" i="2" s="1"/>
  <c r="J412" i="5" s="1"/>
  <c r="K412" i="5" s="1"/>
  <c r="R427" i="2"/>
  <c r="AD427" i="2" s="1"/>
  <c r="J411" i="5" s="1"/>
  <c r="K411" i="5" s="1"/>
  <c r="R428" i="2"/>
  <c r="AD428" i="2" s="1"/>
  <c r="R425" i="2"/>
  <c r="AD425" i="2" s="1"/>
  <c r="J409" i="5" s="1"/>
  <c r="K409" i="5" s="1"/>
  <c r="R426" i="2"/>
  <c r="AD426" i="2" s="1"/>
  <c r="J410" i="5" s="1"/>
  <c r="K410" i="5" s="1"/>
  <c r="R424" i="2"/>
  <c r="AD424" i="2" s="1"/>
  <c r="J408" i="5" s="1"/>
  <c r="K408" i="5" s="1"/>
  <c r="R422" i="2"/>
  <c r="AD422" i="2" s="1"/>
  <c r="R423" i="2"/>
  <c r="AD423" i="2" s="1"/>
  <c r="R429" i="2"/>
  <c r="AD429" i="2" s="1"/>
  <c r="R323" i="2"/>
  <c r="AD323" i="2" s="1"/>
  <c r="R324" i="2"/>
  <c r="AD324" i="2" s="1"/>
  <c r="R325" i="2"/>
  <c r="AD325" i="2" s="1"/>
  <c r="R409" i="2"/>
  <c r="AD409" i="2" s="1"/>
  <c r="J392" i="5" s="1"/>
  <c r="K392" i="5" s="1"/>
  <c r="R410" i="2"/>
  <c r="AD410" i="2" s="1"/>
  <c r="J393" i="5" s="1"/>
  <c r="K393" i="5" s="1"/>
  <c r="R411" i="2"/>
  <c r="AD411" i="2" s="1"/>
  <c r="J375" i="5" s="1"/>
  <c r="K375" i="5" s="1"/>
  <c r="R413" i="2"/>
  <c r="AD413" i="2" s="1"/>
  <c r="J377" i="5" s="1"/>
  <c r="K377" i="5" s="1"/>
  <c r="R412" i="2"/>
  <c r="AD412" i="2" s="1"/>
  <c r="J376" i="5" s="1"/>
  <c r="K376" i="5" s="1"/>
  <c r="R414" i="2"/>
  <c r="AD414" i="2" s="1"/>
  <c r="J378" i="5" s="1"/>
  <c r="K378" i="5" s="1"/>
  <c r="R419" i="2"/>
  <c r="AD419" i="2" s="1"/>
  <c r="J383" i="5" s="1"/>
  <c r="K383" i="5" s="1"/>
  <c r="R420" i="2"/>
  <c r="AD420" i="2" s="1"/>
  <c r="J384" i="5" s="1"/>
  <c r="K384" i="5" s="1"/>
  <c r="R415" i="2"/>
  <c r="AD415" i="2" s="1"/>
  <c r="J379" i="5" s="1"/>
  <c r="K379" i="5" s="1"/>
  <c r="R416" i="2"/>
  <c r="AD416" i="2" s="1"/>
  <c r="J380" i="5" s="1"/>
  <c r="K380" i="5" s="1"/>
  <c r="R421" i="2"/>
  <c r="AD421" i="2" s="1"/>
  <c r="J385" i="5" s="1"/>
  <c r="K385" i="5" s="1"/>
  <c r="R417" i="2"/>
  <c r="AD417" i="2" s="1"/>
  <c r="J381" i="5" s="1"/>
  <c r="K381" i="5" s="1"/>
  <c r="R418" i="2"/>
  <c r="AD418" i="2" s="1"/>
  <c r="J382" i="5" s="1"/>
  <c r="K382" i="5" s="1"/>
  <c r="R407" i="2"/>
  <c r="AD407" i="2" s="1"/>
  <c r="J373" i="5" s="1"/>
  <c r="K373" i="5" s="1"/>
  <c r="R408" i="2"/>
  <c r="AD408" i="2" s="1"/>
  <c r="J374" i="5" s="1"/>
  <c r="K374" i="5" s="1"/>
  <c r="R384" i="2"/>
  <c r="AD384" i="2" s="1"/>
  <c r="R405" i="2"/>
  <c r="AD405" i="2" s="1"/>
  <c r="R406" i="2"/>
  <c r="AD406" i="2" s="1"/>
  <c r="R398" i="2"/>
  <c r="AD398" i="2" s="1"/>
  <c r="R399" i="2"/>
  <c r="AD399" i="2" s="1"/>
  <c r="R400" i="2"/>
  <c r="AD400" i="2" s="1"/>
  <c r="R174" i="2"/>
  <c r="AD174" i="2" s="1"/>
  <c r="R206" i="2"/>
  <c r="AD206" i="2" s="1"/>
  <c r="J305" i="5" s="1"/>
  <c r="K305" i="5" s="1"/>
  <c r="R459" i="2"/>
  <c r="AD459" i="2" s="1"/>
  <c r="R102" i="2"/>
  <c r="AD102" i="2" s="1"/>
  <c r="J309" i="5" s="1"/>
  <c r="K309" i="5" s="1"/>
  <c r="R100" i="2"/>
  <c r="AD100" i="2" s="1"/>
  <c r="R101" i="2"/>
  <c r="AD101" i="2" s="1"/>
  <c r="J311" i="5" s="1"/>
  <c r="K311" i="5" s="1"/>
  <c r="R103" i="2"/>
  <c r="AD103" i="2" s="1"/>
  <c r="J312" i="5" s="1"/>
  <c r="K312" i="5" s="1"/>
  <c r="R60" i="2"/>
  <c r="AD60" i="2" s="1"/>
  <c r="R61" i="2"/>
  <c r="AD61" i="2" s="1"/>
  <c r="J231" i="5" s="1"/>
  <c r="R62" i="2"/>
  <c r="AD62" i="2" s="1"/>
  <c r="R63" i="2"/>
  <c r="AD63" i="2" s="1"/>
  <c r="R64" i="2"/>
  <c r="AD64" i="2" s="1"/>
  <c r="R65" i="2"/>
  <c r="AD65" i="2" s="1"/>
  <c r="J232" i="5" s="1"/>
  <c r="R66" i="2"/>
  <c r="AD66" i="2" s="1"/>
  <c r="J233" i="5" s="1"/>
  <c r="R67" i="2"/>
  <c r="AD67" i="2" s="1"/>
  <c r="J249" i="5" s="1"/>
  <c r="R336" i="2"/>
  <c r="AD336" i="2" s="1"/>
  <c r="J343" i="5" s="1"/>
  <c r="K343" i="5" s="1"/>
  <c r="R335" i="2"/>
  <c r="AD335" i="2" s="1"/>
  <c r="R337" i="2"/>
  <c r="AD337" i="2" s="1"/>
  <c r="J344" i="5" s="1"/>
  <c r="K344" i="5" s="1"/>
  <c r="R378" i="2"/>
  <c r="AD378" i="2" s="1"/>
  <c r="R59" i="2"/>
  <c r="AD59" i="2" s="1"/>
  <c r="R87" i="2"/>
  <c r="AD87" i="2" s="1"/>
  <c r="R88" i="2"/>
  <c r="AD88" i="2" s="1"/>
  <c r="R89" i="2"/>
  <c r="AD89" i="2" s="1"/>
  <c r="R90" i="2"/>
  <c r="AD90" i="2" s="1"/>
  <c r="R91" i="2"/>
  <c r="AD91" i="2" s="1"/>
  <c r="R92" i="2"/>
  <c r="AD92" i="2" s="1"/>
  <c r="R93" i="2"/>
  <c r="AD93" i="2" s="1"/>
  <c r="R94" i="2"/>
  <c r="AD94" i="2" s="1"/>
  <c r="R149" i="2"/>
  <c r="AD149" i="2" s="1"/>
  <c r="R150" i="2"/>
  <c r="AD150" i="2" s="1"/>
  <c r="R151" i="2"/>
  <c r="AD151" i="2" s="1"/>
  <c r="R152" i="2"/>
  <c r="AD152" i="2" s="1"/>
  <c r="R166" i="2"/>
  <c r="AD166" i="2" s="1"/>
  <c r="R167" i="2"/>
  <c r="AD167" i="2" s="1"/>
  <c r="R118" i="2"/>
  <c r="AD118" i="2" s="1"/>
  <c r="R142" i="2"/>
  <c r="AD142" i="2" s="1"/>
  <c r="R143" i="2"/>
  <c r="AD143" i="2" s="1"/>
  <c r="R144" i="2"/>
  <c r="AD144" i="2" s="1"/>
  <c r="R145" i="2"/>
  <c r="AD145" i="2" s="1"/>
  <c r="R156" i="2"/>
  <c r="AD156" i="2" s="1"/>
  <c r="R157" i="2"/>
  <c r="AD157" i="2" s="1"/>
  <c r="R158" i="2"/>
  <c r="AD158" i="2" s="1"/>
  <c r="R159" i="2"/>
  <c r="AD159" i="2" s="1"/>
  <c r="R162" i="2"/>
  <c r="AD162" i="2" s="1"/>
  <c r="R163" i="2"/>
  <c r="AD163" i="2" s="1"/>
  <c r="R164" i="2"/>
  <c r="AD164" i="2" s="1"/>
  <c r="R165" i="2"/>
  <c r="AD165" i="2" s="1"/>
  <c r="R125" i="2"/>
  <c r="AD125" i="2" s="1"/>
  <c r="R123" i="2"/>
  <c r="AD123" i="2" s="1"/>
  <c r="R124" i="2"/>
  <c r="AD124" i="2" s="1"/>
  <c r="R170" i="2"/>
  <c r="AD170" i="2" s="1"/>
  <c r="R97" i="2"/>
  <c r="AD97" i="2" s="1"/>
  <c r="R98" i="2"/>
  <c r="AD98" i="2" s="1"/>
  <c r="R96" i="2"/>
  <c r="AD96" i="2" s="1"/>
  <c r="R95" i="2"/>
  <c r="AD95" i="2" s="1"/>
  <c r="R131" i="2"/>
  <c r="AD131" i="2" s="1"/>
  <c r="R132" i="2"/>
  <c r="AD132" i="2" s="1"/>
  <c r="R133" i="2"/>
  <c r="AD133" i="2" s="1"/>
  <c r="R134" i="2"/>
  <c r="AD134" i="2" s="1"/>
  <c r="R135" i="2"/>
  <c r="AD135" i="2" s="1"/>
  <c r="R136" i="2"/>
  <c r="AD136" i="2" s="1"/>
  <c r="R140" i="2"/>
  <c r="AD140" i="2" s="1"/>
  <c r="R146" i="2"/>
  <c r="AD146" i="2" s="1"/>
  <c r="R153" i="2"/>
  <c r="AD153" i="2" s="1"/>
  <c r="R160" i="2"/>
  <c r="AD160" i="2" s="1"/>
  <c r="R169" i="2"/>
  <c r="AD169" i="2" s="1"/>
  <c r="R126" i="2"/>
  <c r="AD126" i="2" s="1"/>
  <c r="R127" i="2"/>
  <c r="AD127" i="2" s="1"/>
  <c r="R128" i="2"/>
  <c r="AD128" i="2" s="1"/>
  <c r="R129" i="2"/>
  <c r="AD129" i="2" s="1"/>
  <c r="R154" i="2"/>
  <c r="AD154" i="2" s="1"/>
  <c r="R155" i="2"/>
  <c r="AD155" i="2" s="1"/>
  <c r="R104" i="2"/>
  <c r="AD104" i="2" s="1"/>
  <c r="R105" i="2"/>
  <c r="AD105" i="2" s="1"/>
  <c r="R106" i="2"/>
  <c r="AD106" i="2" s="1"/>
  <c r="R110" i="2"/>
  <c r="AD110" i="2" s="1"/>
  <c r="R161" i="2"/>
  <c r="AD161" i="2" s="1"/>
  <c r="R141" i="2"/>
  <c r="AD141" i="2" s="1"/>
  <c r="R107" i="2"/>
  <c r="AD107" i="2" s="1"/>
  <c r="R108" i="2"/>
  <c r="AD108" i="2" s="1"/>
  <c r="R109" i="2"/>
  <c r="AD109" i="2" s="1"/>
  <c r="R111" i="2"/>
  <c r="AD111" i="2" s="1"/>
  <c r="R147" i="2"/>
  <c r="AD147" i="2" s="1"/>
  <c r="R148" i="2"/>
  <c r="AD148" i="2" s="1"/>
  <c r="R168" i="2"/>
  <c r="AD168" i="2" s="1"/>
  <c r="R117" i="2"/>
  <c r="AD117" i="2" s="1"/>
  <c r="R2" i="5"/>
  <c r="S2" i="5" s="1"/>
  <c r="E2" i="6"/>
  <c r="J420" i="5" l="1"/>
  <c r="K420" i="5" s="1"/>
  <c r="J421" i="5"/>
  <c r="K421" i="5" s="1"/>
  <c r="J406" i="5"/>
  <c r="K406" i="5" s="1"/>
  <c r="J407" i="5"/>
  <c r="K407" i="5" s="1"/>
  <c r="E2" i="9"/>
  <c r="C10" i="17"/>
  <c r="D10" i="17" s="1"/>
  <c r="C13" i="17"/>
  <c r="D13" i="17" s="1"/>
  <c r="C6" i="17"/>
  <c r="D6" i="17" s="1"/>
  <c r="C28" i="17"/>
  <c r="D28" i="17" s="1"/>
  <c r="C5" i="17"/>
  <c r="D5" i="17" s="1"/>
  <c r="C23" i="17"/>
  <c r="D23" i="17" s="1"/>
  <c r="C24" i="17"/>
  <c r="D24" i="17" s="1"/>
  <c r="C19" i="17"/>
  <c r="D19" i="17" s="1"/>
  <c r="C21" i="17"/>
  <c r="D21" i="17" s="1"/>
  <c r="C25" i="17"/>
  <c r="C26" i="17"/>
  <c r="D26" i="17" s="1"/>
  <c r="C20" i="17"/>
  <c r="D20" i="17" s="1"/>
  <c r="C22" i="17"/>
  <c r="D22" i="17" s="1"/>
  <c r="C4" i="17"/>
  <c r="C18" i="17"/>
  <c r="D18" i="17" s="1"/>
  <c r="C10" i="9"/>
  <c r="C27" i="17"/>
  <c r="D27" i="17" s="1"/>
  <c r="C16" i="17"/>
  <c r="D16" i="17" s="1"/>
  <c r="J403" i="5"/>
  <c r="K403" i="5" s="1"/>
  <c r="P32" i="9"/>
  <c r="C21" i="9"/>
  <c r="C30" i="9"/>
  <c r="AO28" i="10" s="1"/>
  <c r="C29" i="9"/>
  <c r="C24" i="9"/>
  <c r="C26" i="9"/>
  <c r="C25" i="9"/>
  <c r="J230" i="5"/>
  <c r="K230" i="5" s="1"/>
  <c r="E5" i="9"/>
  <c r="D2" i="9"/>
  <c r="D5" i="9" s="1"/>
  <c r="J351" i="5"/>
  <c r="K351" i="5" s="1"/>
  <c r="C23" i="9"/>
  <c r="J288" i="5"/>
  <c r="K288" i="5" s="1"/>
  <c r="C22" i="9"/>
  <c r="C27" i="9"/>
  <c r="J340" i="5"/>
  <c r="K340" i="5" s="1"/>
  <c r="C2" i="9"/>
  <c r="C5" i="9" s="1"/>
  <c r="C14" i="9"/>
  <c r="C28" i="9"/>
  <c r="E28" i="9" s="1"/>
  <c r="AS26" i="10" s="1"/>
  <c r="C11" i="9"/>
  <c r="P31" i="9"/>
  <c r="P34" i="9" s="1"/>
  <c r="AD31" i="25"/>
  <c r="AD173" i="2"/>
  <c r="D2" i="12" s="1"/>
  <c r="J307" i="5"/>
  <c r="K307" i="5" s="1"/>
  <c r="J331" i="5"/>
  <c r="K331" i="5" s="1"/>
  <c r="J333" i="5"/>
  <c r="K333" i="5" s="1"/>
  <c r="J366" i="5"/>
  <c r="K366" i="5" s="1"/>
  <c r="J360" i="5"/>
  <c r="K360" i="5" s="1"/>
  <c r="J365" i="5"/>
  <c r="K365" i="5" s="1"/>
  <c r="J364" i="5"/>
  <c r="K364" i="5" s="1"/>
  <c r="J363" i="5"/>
  <c r="K363" i="5" s="1"/>
  <c r="J361" i="5"/>
  <c r="K361" i="5" s="1"/>
  <c r="J362" i="5"/>
  <c r="K362" i="5" s="1"/>
  <c r="J357" i="5"/>
  <c r="K357" i="5" s="1"/>
  <c r="J359" i="5"/>
  <c r="K359" i="5" s="1"/>
  <c r="J358" i="5"/>
  <c r="K358" i="5" s="1"/>
  <c r="J355" i="5"/>
  <c r="K355" i="5" s="1"/>
  <c r="J356" i="5"/>
  <c r="K356" i="5" s="1"/>
  <c r="K249" i="5"/>
  <c r="D98" i="26"/>
  <c r="F98" i="26" s="1"/>
  <c r="K233" i="5"/>
  <c r="D97" i="26"/>
  <c r="F97" i="26" s="1"/>
  <c r="K232" i="5"/>
  <c r="D96" i="26"/>
  <c r="F96" i="26" s="1"/>
  <c r="K231" i="5"/>
  <c r="D92" i="26"/>
  <c r="F92" i="26" s="1"/>
  <c r="K136" i="5"/>
  <c r="D30" i="26"/>
  <c r="F30" i="26" s="1"/>
  <c r="J304" i="5"/>
  <c r="K304" i="5" s="1"/>
  <c r="J315" i="5"/>
  <c r="K315" i="5" s="1"/>
  <c r="J314" i="5"/>
  <c r="K314" i="5" s="1"/>
  <c r="J321" i="5"/>
  <c r="K321" i="5" s="1"/>
  <c r="J301" i="5"/>
  <c r="K301" i="5" s="1"/>
  <c r="J298" i="5"/>
  <c r="K298" i="5" s="1"/>
  <c r="J299" i="5"/>
  <c r="K299" i="5" s="1"/>
  <c r="J300" i="5"/>
  <c r="K300" i="5" s="1"/>
  <c r="J296" i="5"/>
  <c r="K296" i="5" s="1"/>
  <c r="J297" i="5"/>
  <c r="K297" i="5" s="1"/>
  <c r="J294" i="5"/>
  <c r="K294" i="5" s="1"/>
  <c r="J295" i="5"/>
  <c r="K295" i="5" s="1"/>
  <c r="J310" i="5"/>
  <c r="K310" i="5" s="1"/>
  <c r="C3" i="9"/>
  <c r="J172" i="5"/>
  <c r="K172" i="5" s="1"/>
  <c r="J183" i="5"/>
  <c r="K183" i="5" s="1"/>
  <c r="J220" i="5"/>
  <c r="K220" i="5" s="1"/>
  <c r="J268" i="5"/>
  <c r="K268" i="5" s="1"/>
  <c r="J306" i="5"/>
  <c r="K306" i="5" s="1"/>
  <c r="J187" i="5"/>
  <c r="K187" i="5" s="1"/>
  <c r="J195" i="5"/>
  <c r="K195" i="5" s="1"/>
  <c r="J197" i="5"/>
  <c r="K197" i="5" s="1"/>
  <c r="J244" i="5"/>
  <c r="J5" i="5"/>
  <c r="K5" i="5" s="1"/>
  <c r="J280" i="5"/>
  <c r="K280" i="5" s="1"/>
  <c r="J278" i="5"/>
  <c r="K278" i="5" s="1"/>
  <c r="J216" i="5"/>
  <c r="J267" i="5"/>
  <c r="K267" i="5" s="1"/>
  <c r="J286" i="5"/>
  <c r="K286" i="5" s="1"/>
  <c r="J186" i="5"/>
  <c r="K186" i="5" s="1"/>
  <c r="J2" i="5"/>
  <c r="K2" i="5" s="1"/>
  <c r="J250" i="5"/>
  <c r="K250" i="5" s="1"/>
  <c r="J271" i="5"/>
  <c r="K271" i="5" s="1"/>
  <c r="J205" i="5"/>
  <c r="K205" i="5" s="1"/>
  <c r="J177" i="5"/>
  <c r="K177" i="5" s="1"/>
  <c r="J199" i="5"/>
  <c r="K199" i="5" s="1"/>
  <c r="J184" i="5"/>
  <c r="K184" i="5" s="1"/>
  <c r="J192" i="5"/>
  <c r="K192" i="5" s="1"/>
  <c r="J237" i="5"/>
  <c r="K237" i="5" s="1"/>
  <c r="J251" i="5"/>
  <c r="K251" i="5" s="1"/>
  <c r="J277" i="5"/>
  <c r="K277" i="5" s="1"/>
  <c r="J206" i="5"/>
  <c r="K206" i="5" s="1"/>
  <c r="J194" i="5"/>
  <c r="K194" i="5" s="1"/>
  <c r="J235" i="5"/>
  <c r="K235" i="5" s="1"/>
  <c r="J223" i="5"/>
  <c r="K223" i="5" s="1"/>
  <c r="J279" i="5"/>
  <c r="K279" i="5" s="1"/>
  <c r="J266" i="5"/>
  <c r="K266" i="5" s="1"/>
  <c r="J189" i="5"/>
  <c r="K189" i="5" s="1"/>
  <c r="J190" i="5"/>
  <c r="K190" i="5" s="1"/>
  <c r="J241" i="5"/>
  <c r="K241" i="5" s="1"/>
  <c r="J196" i="5"/>
  <c r="K196" i="5" s="1"/>
  <c r="J204" i="5"/>
  <c r="K204" i="5" s="1"/>
  <c r="J198" i="5"/>
  <c r="K198" i="5" s="1"/>
  <c r="J193" i="5"/>
  <c r="K193" i="5" s="1"/>
  <c r="J200" i="5"/>
  <c r="K200" i="5" s="1"/>
  <c r="J174" i="5"/>
  <c r="J201" i="5"/>
  <c r="K201" i="5" s="1"/>
  <c r="J227" i="5"/>
  <c r="J31" i="5"/>
  <c r="K31" i="5" s="1"/>
  <c r="J265" i="5"/>
  <c r="K265" i="5" s="1"/>
  <c r="J188" i="5"/>
  <c r="K188" i="5" s="1"/>
  <c r="J191" i="5"/>
  <c r="K191" i="5" s="1"/>
  <c r="J242" i="5"/>
  <c r="K242" i="5" s="1"/>
  <c r="J178" i="5"/>
  <c r="K178" i="5" s="1"/>
  <c r="J203" i="5"/>
  <c r="K203" i="5" s="1"/>
  <c r="J202" i="5"/>
  <c r="K202" i="5" s="1"/>
  <c r="J171" i="5"/>
  <c r="K171" i="5" s="1"/>
  <c r="E3" i="9"/>
  <c r="D3" i="9"/>
  <c r="X1" i="12"/>
  <c r="W2" i="12"/>
  <c r="B3" i="9"/>
  <c r="D3" i="6"/>
  <c r="C2" i="6"/>
  <c r="E3" i="6"/>
  <c r="B2" i="9" l="1"/>
  <c r="C15" i="17"/>
  <c r="D15" i="17" s="1"/>
  <c r="D4" i="17"/>
  <c r="K4" i="17"/>
  <c r="D25" i="17"/>
  <c r="D30" i="17" s="1"/>
  <c r="C30" i="17"/>
  <c r="AO26" i="10"/>
  <c r="D91" i="26"/>
  <c r="F91" i="26" s="1"/>
  <c r="T3" i="12"/>
  <c r="F3" i="12"/>
  <c r="J3" i="12"/>
  <c r="I3" i="12"/>
  <c r="K3" i="12"/>
  <c r="U3" i="12"/>
  <c r="G3" i="12"/>
  <c r="N3" i="12"/>
  <c r="W3" i="12"/>
  <c r="S3" i="12"/>
  <c r="H3" i="12"/>
  <c r="L3" i="12"/>
  <c r="P3" i="12"/>
  <c r="V3" i="12"/>
  <c r="R3" i="12"/>
  <c r="Q3" i="12"/>
  <c r="O3" i="12"/>
  <c r="M3" i="12"/>
  <c r="C15" i="9"/>
  <c r="AO13" i="10" s="1"/>
  <c r="X3" i="12"/>
  <c r="E30" i="9"/>
  <c r="AS28" i="10" s="1"/>
  <c r="E3" i="12"/>
  <c r="AO25" i="10"/>
  <c r="E27" i="9"/>
  <c r="AS25" i="10" s="1"/>
  <c r="AO24" i="10"/>
  <c r="E26" i="9"/>
  <c r="AS24" i="10" s="1"/>
  <c r="AO12" i="10"/>
  <c r="E14" i="9"/>
  <c r="AS12" i="10" s="1"/>
  <c r="AO19" i="10"/>
  <c r="E21" i="9"/>
  <c r="AS19" i="10" s="1"/>
  <c r="AO20" i="10"/>
  <c r="E22" i="9"/>
  <c r="AS20" i="10" s="1"/>
  <c r="AO27" i="10"/>
  <c r="E29" i="9"/>
  <c r="AS27" i="10" s="1"/>
  <c r="AO9" i="10"/>
  <c r="E11" i="9"/>
  <c r="AS9" i="10" s="1"/>
  <c r="AO11" i="10"/>
  <c r="E13" i="9"/>
  <c r="AS11" i="10" s="1"/>
  <c r="AO21" i="10"/>
  <c r="E23" i="9"/>
  <c r="AS21" i="10" s="1"/>
  <c r="E10" i="9"/>
  <c r="AS8" i="10" s="1"/>
  <c r="AO8" i="10"/>
  <c r="AO23" i="10"/>
  <c r="E25" i="9"/>
  <c r="AS23" i="10" s="1"/>
  <c r="AO22" i="10"/>
  <c r="E24" i="9"/>
  <c r="AS22" i="10" s="1"/>
  <c r="K216" i="5"/>
  <c r="D88" i="26"/>
  <c r="F88" i="26" s="1"/>
  <c r="K244" i="5"/>
  <c r="D99" i="26"/>
  <c r="F99" i="26" s="1"/>
  <c r="K227" i="5"/>
  <c r="D45" i="26"/>
  <c r="F45" i="26" s="1"/>
  <c r="K174" i="5"/>
  <c r="D29" i="26"/>
  <c r="F29" i="26" s="1"/>
  <c r="J236" i="5"/>
  <c r="K236" i="5" s="1"/>
  <c r="J276" i="5"/>
  <c r="K276" i="5" s="1"/>
  <c r="J274" i="5"/>
  <c r="K274" i="5" s="1"/>
  <c r="J275" i="5"/>
  <c r="K275" i="5" s="1"/>
  <c r="J272" i="5"/>
  <c r="K272" i="5" s="1"/>
  <c r="J273" i="5"/>
  <c r="K273" i="5" s="1"/>
  <c r="J269" i="5"/>
  <c r="K269" i="5" s="1"/>
  <c r="J270" i="5"/>
  <c r="K270" i="5" s="1"/>
  <c r="J254" i="5"/>
  <c r="K254" i="5" s="1"/>
  <c r="J252" i="5"/>
  <c r="K252" i="5" s="1"/>
  <c r="J253" i="5"/>
  <c r="K253" i="5" s="1"/>
  <c r="J240" i="5"/>
  <c r="K240" i="5" s="1"/>
  <c r="J243" i="5"/>
  <c r="K243" i="5" s="1"/>
  <c r="J238" i="5"/>
  <c r="K238" i="5" s="1"/>
  <c r="J239" i="5"/>
  <c r="K239" i="5" s="1"/>
  <c r="J226" i="5"/>
  <c r="J224" i="5"/>
  <c r="J225" i="5"/>
  <c r="J221" i="5"/>
  <c r="K221" i="5" s="1"/>
  <c r="J222" i="5"/>
  <c r="K222" i="5" s="1"/>
  <c r="J219" i="5"/>
  <c r="J214" i="5"/>
  <c r="J217" i="5"/>
  <c r="J218" i="5"/>
  <c r="J215" i="5"/>
  <c r="J213" i="5"/>
  <c r="J212" i="5"/>
  <c r="J210" i="5"/>
  <c r="J211" i="5"/>
  <c r="J209" i="5"/>
  <c r="J207" i="5"/>
  <c r="J208" i="5"/>
  <c r="J185" i="5"/>
  <c r="K185" i="5" s="1"/>
  <c r="J173" i="5"/>
  <c r="K173" i="5" s="1"/>
  <c r="J176" i="5"/>
  <c r="K176" i="5" s="1"/>
  <c r="J6" i="5"/>
  <c r="K6" i="5" s="1"/>
  <c r="J16" i="5"/>
  <c r="K16" i="5" s="1"/>
  <c r="J169" i="5"/>
  <c r="K169" i="5" s="1"/>
  <c r="J170" i="5"/>
  <c r="K170" i="5" s="1"/>
  <c r="J168" i="5"/>
  <c r="K168" i="5" s="1"/>
  <c r="J4" i="5"/>
  <c r="K4" i="5" s="1"/>
  <c r="J3" i="5"/>
  <c r="K3" i="5" s="1"/>
  <c r="J161" i="5"/>
  <c r="J141" i="5"/>
  <c r="J143" i="5"/>
  <c r="J137" i="5"/>
  <c r="J147" i="5"/>
  <c r="J159" i="5"/>
  <c r="J102" i="5"/>
  <c r="J106" i="5"/>
  <c r="J35" i="5"/>
  <c r="K35" i="5" s="1"/>
  <c r="J26" i="5"/>
  <c r="K26" i="5" s="1"/>
  <c r="J140" i="5"/>
  <c r="J154" i="5"/>
  <c r="K154" i="5" s="1"/>
  <c r="J163" i="5"/>
  <c r="J133" i="5"/>
  <c r="J160" i="5"/>
  <c r="J107" i="5"/>
  <c r="J91" i="5"/>
  <c r="K91" i="5" s="1"/>
  <c r="J75" i="5"/>
  <c r="K75" i="5" s="1"/>
  <c r="J32" i="5"/>
  <c r="K32" i="5" s="1"/>
  <c r="J40" i="5"/>
  <c r="K40" i="5" s="1"/>
  <c r="J46" i="5"/>
  <c r="K46" i="5" s="1"/>
  <c r="J30" i="5"/>
  <c r="K30" i="5" s="1"/>
  <c r="J14" i="5"/>
  <c r="K14" i="5" s="1"/>
  <c r="J84" i="5"/>
  <c r="K84" i="5" s="1"/>
  <c r="J51" i="5"/>
  <c r="K51" i="5" s="1"/>
  <c r="J57" i="5"/>
  <c r="K57" i="5" s="1"/>
  <c r="J21" i="5"/>
  <c r="K21" i="5" s="1"/>
  <c r="J92" i="5"/>
  <c r="K92" i="5" s="1"/>
  <c r="J95" i="5"/>
  <c r="K95" i="5" s="1"/>
  <c r="J121" i="5"/>
  <c r="J119" i="5"/>
  <c r="K119" i="5" s="1"/>
  <c r="J132" i="5"/>
  <c r="J101" i="5"/>
  <c r="J114" i="5"/>
  <c r="J44" i="5"/>
  <c r="K44" i="5" s="1"/>
  <c r="J12" i="5"/>
  <c r="K12" i="5" s="1"/>
  <c r="J25" i="5"/>
  <c r="K25" i="5" s="1"/>
  <c r="J61" i="5"/>
  <c r="K61" i="5" s="1"/>
  <c r="J70" i="5"/>
  <c r="K70" i="5" s="1"/>
  <c r="J79" i="5"/>
  <c r="K79" i="5" s="1"/>
  <c r="J9" i="5"/>
  <c r="K9" i="5" s="1"/>
  <c r="J53" i="5"/>
  <c r="K53" i="5" s="1"/>
  <c r="J150" i="5"/>
  <c r="J162" i="5"/>
  <c r="J128" i="5"/>
  <c r="J129" i="5"/>
  <c r="J146" i="5"/>
  <c r="J135" i="5"/>
  <c r="J104" i="5"/>
  <c r="J113" i="5"/>
  <c r="J63" i="5"/>
  <c r="K63" i="5" s="1"/>
  <c r="J69" i="5"/>
  <c r="K69" i="5" s="1"/>
  <c r="J76" i="5"/>
  <c r="K76" i="5" s="1"/>
  <c r="J33" i="5"/>
  <c r="K33" i="5" s="1"/>
  <c r="J41" i="5"/>
  <c r="K41" i="5" s="1"/>
  <c r="J47" i="5"/>
  <c r="K47" i="5" s="1"/>
  <c r="J82" i="5"/>
  <c r="K82" i="5" s="1"/>
  <c r="J17" i="5"/>
  <c r="K17" i="5" s="1"/>
  <c r="J54" i="5"/>
  <c r="K54" i="5" s="1"/>
  <c r="J142" i="5"/>
  <c r="J157" i="5"/>
  <c r="J64" i="5"/>
  <c r="K64" i="5" s="1"/>
  <c r="J73" i="5"/>
  <c r="K73" i="5" s="1"/>
  <c r="J78" i="5"/>
  <c r="K78" i="5" s="1"/>
  <c r="J42" i="5"/>
  <c r="K42" i="5" s="1"/>
  <c r="J8" i="5"/>
  <c r="K8" i="5" s="1"/>
  <c r="J86" i="5"/>
  <c r="K86" i="5" s="1"/>
  <c r="J94" i="5"/>
  <c r="K94" i="5" s="1"/>
  <c r="J80" i="5"/>
  <c r="K80" i="5" s="1"/>
  <c r="J29" i="5"/>
  <c r="K29" i="5" s="1"/>
  <c r="J10" i="5"/>
  <c r="K10" i="5" s="1"/>
  <c r="J167" i="5"/>
  <c r="K167" i="5" s="1"/>
  <c r="J166" i="5"/>
  <c r="J122" i="5"/>
  <c r="J126" i="5"/>
  <c r="J138" i="5"/>
  <c r="K138" i="5" s="1"/>
  <c r="J131" i="5"/>
  <c r="J134" i="5"/>
  <c r="J100" i="5"/>
  <c r="J111" i="5"/>
  <c r="J74" i="5"/>
  <c r="K74" i="5" s="1"/>
  <c r="J13" i="5"/>
  <c r="K13" i="5" s="1"/>
  <c r="J62" i="5"/>
  <c r="K62" i="5" s="1"/>
  <c r="J123" i="5"/>
  <c r="J127" i="5"/>
  <c r="J139" i="5"/>
  <c r="J145" i="5"/>
  <c r="J149" i="5"/>
  <c r="J112" i="5"/>
  <c r="J66" i="5"/>
  <c r="K66" i="5" s="1"/>
  <c r="J71" i="5"/>
  <c r="K71" i="5" s="1"/>
  <c r="J36" i="5"/>
  <c r="K36" i="5" s="1"/>
  <c r="J81" i="5"/>
  <c r="K81" i="5" s="1"/>
  <c r="J50" i="5"/>
  <c r="K50" i="5" s="1"/>
  <c r="J15" i="5"/>
  <c r="K15" i="5" s="1"/>
  <c r="J20" i="5"/>
  <c r="K20" i="5" s="1"/>
  <c r="J23" i="5"/>
  <c r="K23" i="5" s="1"/>
  <c r="J93" i="5"/>
  <c r="K93" i="5" s="1"/>
  <c r="J60" i="5"/>
  <c r="K60" i="5" s="1"/>
  <c r="J24" i="5"/>
  <c r="K24" i="5" s="1"/>
  <c r="J58" i="5"/>
  <c r="K58" i="5" s="1"/>
  <c r="J151" i="5"/>
  <c r="J125" i="5"/>
  <c r="J130" i="5"/>
  <c r="J158" i="5"/>
  <c r="J99" i="5"/>
  <c r="J105" i="5"/>
  <c r="J110" i="5"/>
  <c r="J77" i="5"/>
  <c r="K77" i="5" s="1"/>
  <c r="J34" i="5"/>
  <c r="K34" i="5" s="1"/>
  <c r="J28" i="5"/>
  <c r="K28" i="5" s="1"/>
  <c r="J22" i="5"/>
  <c r="K22" i="5" s="1"/>
  <c r="J55" i="5"/>
  <c r="K55" i="5" s="1"/>
  <c r="J65" i="5"/>
  <c r="K65" i="5" s="1"/>
  <c r="J49" i="5"/>
  <c r="K49" i="5" s="1"/>
  <c r="J83" i="5"/>
  <c r="K83" i="5" s="1"/>
  <c r="J56" i="5"/>
  <c r="K56" i="5" s="1"/>
  <c r="J120" i="5"/>
  <c r="J152" i="5"/>
  <c r="J155" i="5"/>
  <c r="J144" i="5"/>
  <c r="J148" i="5"/>
  <c r="J98" i="5"/>
  <c r="J103" i="5"/>
  <c r="J108" i="5"/>
  <c r="J109" i="5"/>
  <c r="J67" i="5"/>
  <c r="K67" i="5" s="1"/>
  <c r="J72" i="5"/>
  <c r="K72" i="5" s="1"/>
  <c r="J37" i="5"/>
  <c r="K37" i="5" s="1"/>
  <c r="J43" i="5"/>
  <c r="K43" i="5" s="1"/>
  <c r="J27" i="5"/>
  <c r="K27" i="5" s="1"/>
  <c r="J11" i="5"/>
  <c r="K11" i="5" s="1"/>
  <c r="J85" i="5"/>
  <c r="K85" i="5" s="1"/>
  <c r="J124" i="5"/>
  <c r="J156" i="5"/>
  <c r="J7" i="5"/>
  <c r="K7" i="5" s="1"/>
  <c r="J68" i="5"/>
  <c r="K68" i="5" s="1"/>
  <c r="J38" i="5"/>
  <c r="K38" i="5" s="1"/>
  <c r="J48" i="5"/>
  <c r="K48" i="5" s="1"/>
  <c r="J18" i="5"/>
  <c r="K18" i="5" s="1"/>
  <c r="J52" i="5"/>
  <c r="K52" i="5" s="1"/>
  <c r="J39" i="5"/>
  <c r="K39" i="5" s="1"/>
  <c r="J45" i="5"/>
  <c r="K45" i="5" s="1"/>
  <c r="J19" i="5"/>
  <c r="K19" i="5" s="1"/>
  <c r="J59" i="5"/>
  <c r="K59" i="5" s="1"/>
  <c r="R31" i="9"/>
  <c r="C4" i="9"/>
  <c r="K4" i="9"/>
  <c r="B4" i="9"/>
  <c r="R32" i="9"/>
  <c r="D4" i="9"/>
  <c r="K5" i="9"/>
  <c r="R33" i="9"/>
  <c r="E4" i="9"/>
  <c r="K6" i="9"/>
  <c r="L3" i="9"/>
  <c r="R30" i="9"/>
  <c r="M2" i="6"/>
  <c r="W56" i="10" s="1"/>
  <c r="D6" i="9"/>
  <c r="L5" i="9"/>
  <c r="E6" i="9"/>
  <c r="L6" i="9"/>
  <c r="F3" i="9"/>
  <c r="Z2" i="6"/>
  <c r="AP56" i="10" s="1"/>
  <c r="L4" i="9"/>
  <c r="B6" i="9"/>
  <c r="C6" i="9"/>
  <c r="C56" i="10"/>
  <c r="N2" i="6"/>
  <c r="U56" i="10" s="1"/>
  <c r="Y1" i="12"/>
  <c r="Y3" i="12" s="1"/>
  <c r="X2" i="12"/>
  <c r="U2" i="6"/>
  <c r="T2" i="6"/>
  <c r="S2" i="6"/>
  <c r="AJ56" i="10" s="1"/>
  <c r="R2" i="6"/>
  <c r="Y2" i="6"/>
  <c r="AR56" i="10" s="1"/>
  <c r="X2" i="6"/>
  <c r="P2" i="6"/>
  <c r="Z56" i="10" s="1"/>
  <c r="H2" i="6"/>
  <c r="K56" i="10" s="1"/>
  <c r="L2" i="6"/>
  <c r="S56" i="10" s="1"/>
  <c r="I2" i="6"/>
  <c r="M56" i="10" s="1"/>
  <c r="J2" i="6"/>
  <c r="O56" i="10" s="1"/>
  <c r="Q2" i="6"/>
  <c r="G2" i="6"/>
  <c r="I56" i="10" s="1"/>
  <c r="F2" i="6"/>
  <c r="G56" i="10" s="1"/>
  <c r="D4" i="6"/>
  <c r="C3" i="6"/>
  <c r="E4" i="6"/>
  <c r="D29" i="17" l="1"/>
  <c r="K29" i="17"/>
  <c r="N4" i="17"/>
  <c r="C29" i="17"/>
  <c r="C31" i="17" s="1"/>
  <c r="L4" i="17"/>
  <c r="L29" i="17" s="1"/>
  <c r="E15" i="9"/>
  <c r="AS13" i="10" s="1"/>
  <c r="B5" i="9"/>
  <c r="F5" i="9" s="1"/>
  <c r="F2" i="9"/>
  <c r="K2" i="9" s="1"/>
  <c r="K3" i="9"/>
  <c r="K30" i="9" s="1"/>
  <c r="L30" i="9" s="1"/>
  <c r="N30" i="9" s="1"/>
  <c r="Q30" i="9" s="1"/>
  <c r="AO29" i="10"/>
  <c r="AS29" i="10" s="1"/>
  <c r="K208" i="5"/>
  <c r="D83" i="26"/>
  <c r="F83" i="26" s="1"/>
  <c r="K218" i="5"/>
  <c r="D90" i="26"/>
  <c r="F90" i="26" s="1"/>
  <c r="K226" i="5"/>
  <c r="D95" i="26"/>
  <c r="F95" i="26" s="1"/>
  <c r="K207" i="5"/>
  <c r="D82" i="26"/>
  <c r="F82" i="26" s="1"/>
  <c r="K212" i="5"/>
  <c r="D80" i="26"/>
  <c r="F80" i="26" s="1"/>
  <c r="K217" i="5"/>
  <c r="D89" i="26"/>
  <c r="F89" i="26" s="1"/>
  <c r="K209" i="5"/>
  <c r="D84" i="26"/>
  <c r="F84" i="26" s="1"/>
  <c r="K213" i="5"/>
  <c r="D85" i="26"/>
  <c r="F85" i="26" s="1"/>
  <c r="K214" i="5"/>
  <c r="D86" i="26"/>
  <c r="F86" i="26" s="1"/>
  <c r="K225" i="5"/>
  <c r="D94" i="26"/>
  <c r="F94" i="26" s="1"/>
  <c r="K215" i="5"/>
  <c r="D87" i="26"/>
  <c r="F87" i="26" s="1"/>
  <c r="K219" i="5"/>
  <c r="D81" i="26"/>
  <c r="F81" i="26" s="1"/>
  <c r="K224" i="5"/>
  <c r="D93" i="26"/>
  <c r="F93" i="26" s="1"/>
  <c r="K124" i="5"/>
  <c r="D43" i="26"/>
  <c r="F43" i="26" s="1"/>
  <c r="K109" i="5"/>
  <c r="D13" i="26"/>
  <c r="F13" i="26" s="1"/>
  <c r="K148" i="5"/>
  <c r="D70" i="26"/>
  <c r="F70" i="26" s="1"/>
  <c r="K120" i="5"/>
  <c r="D38" i="26"/>
  <c r="F38" i="26" s="1"/>
  <c r="K99" i="5"/>
  <c r="D3" i="26"/>
  <c r="F3" i="26" s="1"/>
  <c r="K151" i="5"/>
  <c r="D32" i="26"/>
  <c r="F32" i="26" s="1"/>
  <c r="K139" i="5"/>
  <c r="D57" i="26"/>
  <c r="F57" i="26" s="1"/>
  <c r="K134" i="5"/>
  <c r="D72" i="26"/>
  <c r="F72" i="26" s="1"/>
  <c r="K122" i="5"/>
  <c r="D40" i="26"/>
  <c r="F40" i="26" s="1"/>
  <c r="K113" i="5"/>
  <c r="D17" i="26"/>
  <c r="F17" i="26" s="1"/>
  <c r="K129" i="5"/>
  <c r="D58" i="26"/>
  <c r="F58" i="26" s="1"/>
  <c r="K114" i="5"/>
  <c r="D18" i="26"/>
  <c r="F18" i="26" s="1"/>
  <c r="K121" i="5"/>
  <c r="D39" i="26"/>
  <c r="F39" i="26" s="1"/>
  <c r="K133" i="5"/>
  <c r="D69" i="26"/>
  <c r="F69" i="26" s="1"/>
  <c r="K159" i="5"/>
  <c r="D76" i="26"/>
  <c r="F76" i="26" s="1"/>
  <c r="K141" i="5"/>
  <c r="D44" i="26"/>
  <c r="F44" i="26" s="1"/>
  <c r="K210" i="5"/>
  <c r="D78" i="26"/>
  <c r="F78" i="26" s="1"/>
  <c r="K108" i="5"/>
  <c r="D12" i="26"/>
  <c r="F12" i="26" s="1"/>
  <c r="K144" i="5"/>
  <c r="D62" i="26"/>
  <c r="F62" i="26" s="1"/>
  <c r="K158" i="5"/>
  <c r="D75" i="26"/>
  <c r="F75" i="26" s="1"/>
  <c r="K112" i="5"/>
  <c r="D16" i="26"/>
  <c r="F16" i="26" s="1"/>
  <c r="K127" i="5"/>
  <c r="D49" i="26"/>
  <c r="F49" i="26" s="1"/>
  <c r="K131" i="5"/>
  <c r="D64" i="26"/>
  <c r="F64" i="26" s="1"/>
  <c r="K166" i="5"/>
  <c r="D28" i="26"/>
  <c r="F28" i="26" s="1"/>
  <c r="K157" i="5"/>
  <c r="D71" i="26"/>
  <c r="F71" i="26" s="1"/>
  <c r="K104" i="5"/>
  <c r="D8" i="26"/>
  <c r="F8" i="26" s="1"/>
  <c r="K128" i="5"/>
  <c r="D50" i="26"/>
  <c r="F50" i="26" s="1"/>
  <c r="K101" i="5"/>
  <c r="D5" i="26"/>
  <c r="F5" i="26" s="1"/>
  <c r="K163" i="5"/>
  <c r="K147" i="5"/>
  <c r="D68" i="26"/>
  <c r="F68" i="26" s="1"/>
  <c r="K161" i="5"/>
  <c r="D33" i="26"/>
  <c r="F33" i="26" s="1"/>
  <c r="K103" i="5"/>
  <c r="D7" i="26"/>
  <c r="F7" i="26" s="1"/>
  <c r="K155" i="5"/>
  <c r="D54" i="26"/>
  <c r="F54" i="26" s="1"/>
  <c r="K110" i="5"/>
  <c r="D14" i="26"/>
  <c r="F14" i="26" s="1"/>
  <c r="K130" i="5"/>
  <c r="D59" i="26"/>
  <c r="F59" i="26" s="1"/>
  <c r="K149" i="5"/>
  <c r="D73" i="26"/>
  <c r="F73" i="26" s="1"/>
  <c r="K123" i="5"/>
  <c r="D41" i="26"/>
  <c r="F41" i="26" s="1"/>
  <c r="K111" i="5"/>
  <c r="D15" i="26"/>
  <c r="F15" i="26" s="1"/>
  <c r="K142" i="5"/>
  <c r="D51" i="26"/>
  <c r="F51" i="26" s="1"/>
  <c r="K135" i="5"/>
  <c r="D74" i="26"/>
  <c r="F74" i="26" s="1"/>
  <c r="K162" i="5"/>
  <c r="D42" i="26"/>
  <c r="F42" i="26" s="1"/>
  <c r="K132" i="5"/>
  <c r="D67" i="26"/>
  <c r="F67" i="26" s="1"/>
  <c r="K107" i="5"/>
  <c r="D11" i="26"/>
  <c r="F11" i="26" s="1"/>
  <c r="K106" i="5"/>
  <c r="D10" i="26"/>
  <c r="F10" i="26" s="1"/>
  <c r="K137" i="5"/>
  <c r="D60" i="26"/>
  <c r="F60" i="26" s="1"/>
  <c r="K156" i="5"/>
  <c r="D63" i="26"/>
  <c r="F63" i="26" s="1"/>
  <c r="K98" i="5"/>
  <c r="D2" i="26"/>
  <c r="F2" i="26" s="1"/>
  <c r="K152" i="5"/>
  <c r="D46" i="26"/>
  <c r="F46" i="26" s="1"/>
  <c r="K105" i="5"/>
  <c r="D9" i="26"/>
  <c r="F9" i="26" s="1"/>
  <c r="K125" i="5"/>
  <c r="D47" i="26"/>
  <c r="F47" i="26" s="1"/>
  <c r="K145" i="5"/>
  <c r="D65" i="26"/>
  <c r="F65" i="26" s="1"/>
  <c r="K100" i="5"/>
  <c r="D4" i="26"/>
  <c r="F4" i="26" s="1"/>
  <c r="K126" i="5"/>
  <c r="D48" i="26"/>
  <c r="F48" i="26" s="1"/>
  <c r="K146" i="5"/>
  <c r="D66" i="26"/>
  <c r="F66" i="26" s="1"/>
  <c r="K150" i="5"/>
  <c r="D31" i="26"/>
  <c r="F31" i="26" s="1"/>
  <c r="K160" i="5"/>
  <c r="D77" i="26"/>
  <c r="F77" i="26" s="1"/>
  <c r="K140" i="5"/>
  <c r="D37" i="26"/>
  <c r="F37" i="26" s="1"/>
  <c r="K102" i="5"/>
  <c r="D6" i="26"/>
  <c r="F6" i="26" s="1"/>
  <c r="K143" i="5"/>
  <c r="D52" i="26"/>
  <c r="F52" i="26" s="1"/>
  <c r="K211" i="5"/>
  <c r="D79" i="26"/>
  <c r="F79" i="26" s="1"/>
  <c r="M5" i="9"/>
  <c r="M4" i="9"/>
  <c r="L11" i="10" s="1"/>
  <c r="H13" i="10"/>
  <c r="K32" i="9"/>
  <c r="L32" i="9" s="1"/>
  <c r="N32" i="9" s="1"/>
  <c r="Q32" i="9" s="1"/>
  <c r="S32" i="9" s="1"/>
  <c r="K33" i="9"/>
  <c r="L33" i="9" s="1"/>
  <c r="N33" i="9" s="1"/>
  <c r="Q33" i="9" s="1"/>
  <c r="S33" i="9" s="1"/>
  <c r="H15" i="10"/>
  <c r="K31" i="9"/>
  <c r="L31" i="9" s="1"/>
  <c r="N31" i="9" s="1"/>
  <c r="Q31" i="9" s="1"/>
  <c r="S31" i="9" s="1"/>
  <c r="H11" i="10"/>
  <c r="M6" i="9"/>
  <c r="L15" i="10" s="1"/>
  <c r="M3" i="9"/>
  <c r="L9" i="10" s="1"/>
  <c r="L12" i="9"/>
  <c r="Z11" i="10" s="1"/>
  <c r="C7" i="9"/>
  <c r="K12" i="9"/>
  <c r="X11" i="10" s="1"/>
  <c r="D7" i="9"/>
  <c r="K13" i="9"/>
  <c r="E7" i="9"/>
  <c r="K14" i="9"/>
  <c r="X15" i="10" s="1"/>
  <c r="L7" i="9"/>
  <c r="R34" i="9"/>
  <c r="M3" i="6"/>
  <c r="W57" i="10" s="1"/>
  <c r="L14" i="9"/>
  <c r="J13" i="10"/>
  <c r="N5" i="9"/>
  <c r="J15" i="10"/>
  <c r="N6" i="9"/>
  <c r="N15" i="10" s="1"/>
  <c r="L13" i="9"/>
  <c r="Z13" i="10" s="1"/>
  <c r="J11" i="10"/>
  <c r="N4" i="9"/>
  <c r="N11" i="10" s="1"/>
  <c r="L11" i="9"/>
  <c r="F6" i="9"/>
  <c r="Z3" i="6"/>
  <c r="AP57" i="10" s="1"/>
  <c r="C57" i="10"/>
  <c r="W2" i="6"/>
  <c r="J9" i="10"/>
  <c r="Z1" i="12"/>
  <c r="Z3" i="12" s="1"/>
  <c r="Y2" i="12"/>
  <c r="U3" i="6"/>
  <c r="AN57" i="10" s="1"/>
  <c r="T3" i="6"/>
  <c r="AL57" i="10" s="1"/>
  <c r="S3" i="6"/>
  <c r="AJ57" i="10" s="1"/>
  <c r="R3" i="6"/>
  <c r="AH57" i="10" s="1"/>
  <c r="Y3" i="6"/>
  <c r="AR57" i="10" s="1"/>
  <c r="X3" i="6"/>
  <c r="AD56" i="10"/>
  <c r="O2" i="6"/>
  <c r="K2" i="6" s="1"/>
  <c r="Q3" i="6"/>
  <c r="AD57" i="10" s="1"/>
  <c r="N3" i="6"/>
  <c r="U57" i="10" s="1"/>
  <c r="L3" i="6"/>
  <c r="S57" i="10" s="1"/>
  <c r="F3" i="6"/>
  <c r="G57" i="10" s="1"/>
  <c r="J3" i="6"/>
  <c r="O57" i="10" s="1"/>
  <c r="P3" i="6"/>
  <c r="Z57" i="10" s="1"/>
  <c r="H3" i="6"/>
  <c r="K57" i="10" s="1"/>
  <c r="I3" i="6"/>
  <c r="M57" i="10" s="1"/>
  <c r="G3" i="6"/>
  <c r="I57" i="10" s="1"/>
  <c r="D5" i="6"/>
  <c r="C4" i="6"/>
  <c r="F7" i="9" l="1"/>
  <c r="D31" i="17"/>
  <c r="J32" i="17"/>
  <c r="H32" i="17"/>
  <c r="F32" i="17"/>
  <c r="E32" i="17"/>
  <c r="E33" i="17" s="1"/>
  <c r="I32" i="17"/>
  <c r="L32" i="17"/>
  <c r="L31" i="17"/>
  <c r="K31" i="17"/>
  <c r="K32" i="17"/>
  <c r="B7" i="9"/>
  <c r="K11" i="9"/>
  <c r="X9" i="10" s="1"/>
  <c r="H9" i="10"/>
  <c r="K7" i="9"/>
  <c r="H17" i="10" s="1"/>
  <c r="F4" i="9"/>
  <c r="N3" i="9"/>
  <c r="N9" i="10" s="1"/>
  <c r="L34" i="9"/>
  <c r="M12" i="9"/>
  <c r="AB11" i="10" s="1"/>
  <c r="N12" i="9"/>
  <c r="AD11" i="10" s="1"/>
  <c r="Z15" i="10"/>
  <c r="M14" i="9"/>
  <c r="AB15" i="10" s="1"/>
  <c r="N14" i="9"/>
  <c r="AD15" i="10" s="1"/>
  <c r="M13" i="9"/>
  <c r="AB13" i="10" s="1"/>
  <c r="N13" i="9"/>
  <c r="AD13" i="10" s="1"/>
  <c r="X13" i="10"/>
  <c r="Z9" i="10"/>
  <c r="L15" i="9"/>
  <c r="Z17" i="10" s="1"/>
  <c r="M4" i="6"/>
  <c r="W58" i="10" s="1"/>
  <c r="L13" i="10"/>
  <c r="N13" i="10"/>
  <c r="J17" i="10"/>
  <c r="Z4" i="6"/>
  <c r="AP58" i="10" s="1"/>
  <c r="Y56" i="10"/>
  <c r="Q56" i="10"/>
  <c r="C58" i="10"/>
  <c r="AA1" i="12"/>
  <c r="Z2" i="12"/>
  <c r="O3" i="6"/>
  <c r="F33" i="17" l="1"/>
  <c r="M11" i="9"/>
  <c r="AB9" i="10" s="1"/>
  <c r="K10" i="9"/>
  <c r="N7" i="9"/>
  <c r="N17" i="10" s="1"/>
  <c r="K15" i="9"/>
  <c r="M15" i="9" s="1"/>
  <c r="K34" i="9"/>
  <c r="M7" i="9"/>
  <c r="L17" i="10" s="1"/>
  <c r="N11" i="9"/>
  <c r="AD9" i="10" s="1"/>
  <c r="AA3" i="12"/>
  <c r="AB1" i="12"/>
  <c r="S30" i="9"/>
  <c r="S34" i="9" s="1"/>
  <c r="N34" i="9"/>
  <c r="Q34" i="9" s="1"/>
  <c r="X17" i="10"/>
  <c r="Y57" i="10"/>
  <c r="K3" i="6"/>
  <c r="Q57" i="10" s="1"/>
  <c r="AA2" i="12"/>
  <c r="G23" i="7"/>
  <c r="G22" i="7"/>
  <c r="G21" i="7"/>
  <c r="G20" i="7"/>
  <c r="G19" i="7"/>
  <c r="G18" i="7"/>
  <c r="G17" i="7"/>
  <c r="G16" i="7"/>
  <c r="G15" i="7"/>
  <c r="B15" i="7"/>
  <c r="G14" i="7"/>
  <c r="G12" i="7"/>
  <c r="G11" i="7"/>
  <c r="G10" i="7"/>
  <c r="G8" i="7"/>
  <c r="G7" i="7"/>
  <c r="G6" i="7"/>
  <c r="G5" i="7"/>
  <c r="G4" i="7"/>
  <c r="F4" i="7"/>
  <c r="B6" i="7" s="1"/>
  <c r="G3" i="7"/>
  <c r="G2" i="7"/>
  <c r="AB17" i="10" l="1"/>
  <c r="N15" i="9"/>
  <c r="AD17" i="10" s="1"/>
  <c r="B8" i="10"/>
  <c r="AC1" i="12"/>
  <c r="AB3" i="12"/>
  <c r="G3" i="17"/>
  <c r="B7" i="7"/>
  <c r="R8" i="10"/>
  <c r="B16" i="7"/>
  <c r="N19" i="9"/>
  <c r="N25" i="10" s="1"/>
  <c r="L19" i="9"/>
  <c r="J25" i="10" s="1"/>
  <c r="AN56" i="10"/>
  <c r="AH56" i="10"/>
  <c r="B17" i="7"/>
  <c r="M19" i="9" s="1"/>
  <c r="L25" i="10" s="1"/>
  <c r="E5" i="6"/>
  <c r="G29" i="17" l="1"/>
  <c r="N29" i="17" s="1"/>
  <c r="N3" i="17"/>
  <c r="AD1" i="12"/>
  <c r="AC3" i="12"/>
  <c r="L18" i="9"/>
  <c r="J23" i="10" s="1"/>
  <c r="B8" i="7"/>
  <c r="M18" i="9" s="1"/>
  <c r="L23" i="10" s="1"/>
  <c r="N18" i="9"/>
  <c r="N23" i="10" s="1"/>
  <c r="U4" i="6"/>
  <c r="AN58" i="10" s="1"/>
  <c r="T4" i="6"/>
  <c r="AL58" i="10" s="1"/>
  <c r="S4" i="6"/>
  <c r="AJ58" i="10" s="1"/>
  <c r="R4" i="6"/>
  <c r="AH58" i="10" s="1"/>
  <c r="Y4" i="6"/>
  <c r="AR58" i="10" s="1"/>
  <c r="X4" i="6"/>
  <c r="AL56" i="10"/>
  <c r="W3" i="6"/>
  <c r="V2" i="6"/>
  <c r="V3" i="6"/>
  <c r="J4" i="6"/>
  <c r="O58" i="10" s="1"/>
  <c r="N4" i="6"/>
  <c r="U58" i="10" s="1"/>
  <c r="P4" i="6"/>
  <c r="Z58" i="10" s="1"/>
  <c r="Q4" i="6"/>
  <c r="AD58" i="10" s="1"/>
  <c r="L4" i="6"/>
  <c r="S58" i="10" s="1"/>
  <c r="I4" i="6"/>
  <c r="M58" i="10" s="1"/>
  <c r="H4" i="6"/>
  <c r="K58" i="10" s="1"/>
  <c r="G4" i="6"/>
  <c r="I58" i="10" s="1"/>
  <c r="F4" i="6"/>
  <c r="G58" i="10" s="1"/>
  <c r="D6" i="6"/>
  <c r="C5" i="6"/>
  <c r="E6" i="6"/>
  <c r="G31" i="17" l="1"/>
  <c r="G32" i="17"/>
  <c r="G33" i="17" s="1"/>
  <c r="H33" i="17" s="1"/>
  <c r="I33" i="17" s="1"/>
  <c r="J33" i="17" s="1"/>
  <c r="K33" i="17" s="1"/>
  <c r="L33" i="17" s="1"/>
  <c r="N20" i="9"/>
  <c r="N27" i="10" s="1"/>
  <c r="L20" i="9"/>
  <c r="J27" i="10" s="1"/>
  <c r="AE1" i="12"/>
  <c r="AD3" i="12"/>
  <c r="M5" i="6"/>
  <c r="W59" i="10" s="1"/>
  <c r="Z5" i="6"/>
  <c r="AP59" i="10" s="1"/>
  <c r="C59" i="10"/>
  <c r="U5" i="6"/>
  <c r="AN59" i="10" s="1"/>
  <c r="T5" i="6"/>
  <c r="AL59" i="10" s="1"/>
  <c r="S5" i="6"/>
  <c r="AJ59" i="10" s="1"/>
  <c r="R5" i="6"/>
  <c r="AH59" i="10" s="1"/>
  <c r="Y5" i="6"/>
  <c r="AR59" i="10" s="1"/>
  <c r="X5" i="6"/>
  <c r="J5" i="6"/>
  <c r="O59" i="10" s="1"/>
  <c r="P5" i="6"/>
  <c r="Z59" i="10" s="1"/>
  <c r="L5" i="6"/>
  <c r="S59" i="10" s="1"/>
  <c r="H5" i="6"/>
  <c r="K59" i="10" s="1"/>
  <c r="F5" i="6"/>
  <c r="G59" i="10" s="1"/>
  <c r="N5" i="6"/>
  <c r="U59" i="10" s="1"/>
  <c r="Q5" i="6"/>
  <c r="AD59" i="10" s="1"/>
  <c r="I5" i="6"/>
  <c r="M59" i="10" s="1"/>
  <c r="G5" i="6"/>
  <c r="I59" i="10" s="1"/>
  <c r="W4" i="6"/>
  <c r="V4" i="6"/>
  <c r="O4" i="6"/>
  <c r="D7" i="6"/>
  <c r="C6" i="6"/>
  <c r="E7" i="6"/>
  <c r="M20" i="9" l="1"/>
  <c r="L27" i="10" s="1"/>
  <c r="B22" i="10" s="1"/>
  <c r="AE3" i="12"/>
  <c r="AF1" i="12"/>
  <c r="M6" i="6"/>
  <c r="W60" i="10" s="1"/>
  <c r="Z6" i="6"/>
  <c r="AP60" i="10" s="1"/>
  <c r="Y58" i="10"/>
  <c r="K4" i="6"/>
  <c r="Q58" i="10" s="1"/>
  <c r="C60" i="10"/>
  <c r="U6" i="6"/>
  <c r="AN60" i="10" s="1"/>
  <c r="T6" i="6"/>
  <c r="AL60" i="10" s="1"/>
  <c r="S6" i="6"/>
  <c r="AJ60" i="10" s="1"/>
  <c r="R6" i="6"/>
  <c r="AH60" i="10" s="1"/>
  <c r="Y6" i="6"/>
  <c r="AR60" i="10" s="1"/>
  <c r="X6" i="6"/>
  <c r="O5" i="6"/>
  <c r="W5" i="6"/>
  <c r="V5" i="6"/>
  <c r="L6" i="6"/>
  <c r="S60" i="10" s="1"/>
  <c r="F6" i="6"/>
  <c r="G60" i="10" s="1"/>
  <c r="G6" i="6"/>
  <c r="I60" i="10" s="1"/>
  <c r="N6" i="6"/>
  <c r="U60" i="10" s="1"/>
  <c r="I6" i="6"/>
  <c r="M60" i="10" s="1"/>
  <c r="J6" i="6"/>
  <c r="O60" i="10" s="1"/>
  <c r="P6" i="6"/>
  <c r="Z60" i="10" s="1"/>
  <c r="H6" i="6"/>
  <c r="K60" i="10" s="1"/>
  <c r="Q6" i="6"/>
  <c r="AD60" i="10" s="1"/>
  <c r="D8" i="6"/>
  <c r="C7" i="6"/>
  <c r="E8" i="6"/>
  <c r="AG1" i="12" l="1"/>
  <c r="AF3" i="12"/>
  <c r="M7" i="6"/>
  <c r="W61" i="10" s="1"/>
  <c r="Z7" i="6"/>
  <c r="AP61" i="10" s="1"/>
  <c r="Y59" i="10"/>
  <c r="K5" i="6"/>
  <c r="Q59" i="10" s="1"/>
  <c r="C61" i="10"/>
  <c r="U7" i="6"/>
  <c r="AN61" i="10" s="1"/>
  <c r="T7" i="6"/>
  <c r="AL61" i="10" s="1"/>
  <c r="S7" i="6"/>
  <c r="AJ61" i="10" s="1"/>
  <c r="R7" i="6"/>
  <c r="AH61" i="10" s="1"/>
  <c r="Y7" i="6"/>
  <c r="AR61" i="10" s="1"/>
  <c r="X7" i="6"/>
  <c r="O6" i="6"/>
  <c r="V6" i="6"/>
  <c r="J7" i="6"/>
  <c r="O61" i="10" s="1"/>
  <c r="Q7" i="6"/>
  <c r="AD61" i="10" s="1"/>
  <c r="G7" i="6"/>
  <c r="I61" i="10" s="1"/>
  <c r="P7" i="6"/>
  <c r="Z61" i="10" s="1"/>
  <c r="H7" i="6"/>
  <c r="K61" i="10" s="1"/>
  <c r="L7" i="6"/>
  <c r="S61" i="10" s="1"/>
  <c r="F7" i="6"/>
  <c r="G61" i="10" s="1"/>
  <c r="N7" i="6"/>
  <c r="U61" i="10" s="1"/>
  <c r="I7" i="6"/>
  <c r="M61" i="10" s="1"/>
  <c r="W6" i="6"/>
  <c r="D9" i="6"/>
  <c r="C8" i="6"/>
  <c r="E9" i="6"/>
  <c r="AG3" i="12" l="1"/>
  <c r="AH1" i="12"/>
  <c r="M8" i="6"/>
  <c r="W62" i="10" s="1"/>
  <c r="Z8" i="6"/>
  <c r="AP62" i="10" s="1"/>
  <c r="Y60" i="10"/>
  <c r="K6" i="6"/>
  <c r="Q60" i="10" s="1"/>
  <c r="C62" i="10"/>
  <c r="U8" i="6"/>
  <c r="AN62" i="10" s="1"/>
  <c r="T8" i="6"/>
  <c r="AL62" i="10" s="1"/>
  <c r="S8" i="6"/>
  <c r="AJ62" i="10" s="1"/>
  <c r="R8" i="6"/>
  <c r="AH62" i="10" s="1"/>
  <c r="Y8" i="6"/>
  <c r="AR62" i="10" s="1"/>
  <c r="X8" i="6"/>
  <c r="O7" i="6"/>
  <c r="W7" i="6"/>
  <c r="V7" i="6"/>
  <c r="P8" i="6"/>
  <c r="Z62" i="10" s="1"/>
  <c r="J8" i="6"/>
  <c r="O62" i="10" s="1"/>
  <c r="Q8" i="6"/>
  <c r="AD62" i="10" s="1"/>
  <c r="G8" i="6"/>
  <c r="I62" i="10" s="1"/>
  <c r="L8" i="6"/>
  <c r="S62" i="10" s="1"/>
  <c r="F8" i="6"/>
  <c r="G62" i="10" s="1"/>
  <c r="I8" i="6"/>
  <c r="M62" i="10" s="1"/>
  <c r="H8" i="6"/>
  <c r="K62" i="10" s="1"/>
  <c r="N8" i="6"/>
  <c r="U62" i="10" s="1"/>
  <c r="D10" i="6"/>
  <c r="C9" i="6"/>
  <c r="E10" i="6"/>
  <c r="AH3" i="12" l="1"/>
  <c r="AI1" i="12"/>
  <c r="M9" i="6"/>
  <c r="W63" i="10" s="1"/>
  <c r="Z9" i="6"/>
  <c r="AP63" i="10" s="1"/>
  <c r="Y61" i="10"/>
  <c r="K7" i="6"/>
  <c r="Q61" i="10" s="1"/>
  <c r="C63" i="10"/>
  <c r="U9" i="6"/>
  <c r="AN63" i="10" s="1"/>
  <c r="T9" i="6"/>
  <c r="AL63" i="10" s="1"/>
  <c r="S9" i="6"/>
  <c r="AJ63" i="10" s="1"/>
  <c r="R9" i="6"/>
  <c r="AH63" i="10" s="1"/>
  <c r="Y9" i="6"/>
  <c r="AR63" i="10" s="1"/>
  <c r="X9" i="6"/>
  <c r="O8" i="6"/>
  <c r="V8" i="6"/>
  <c r="W8" i="6"/>
  <c r="J9" i="6"/>
  <c r="O63" i="10" s="1"/>
  <c r="Q9" i="6"/>
  <c r="AD63" i="10" s="1"/>
  <c r="G9" i="6"/>
  <c r="I63" i="10" s="1"/>
  <c r="L9" i="6"/>
  <c r="S63" i="10" s="1"/>
  <c r="F9" i="6"/>
  <c r="G63" i="10" s="1"/>
  <c r="N9" i="6"/>
  <c r="U63" i="10" s="1"/>
  <c r="I9" i="6"/>
  <c r="M63" i="10" s="1"/>
  <c r="P9" i="6"/>
  <c r="Z63" i="10" s="1"/>
  <c r="H9" i="6"/>
  <c r="K63" i="10" s="1"/>
  <c r="D11" i="6"/>
  <c r="C10" i="6"/>
  <c r="E11" i="6"/>
  <c r="AJ1" i="12" l="1"/>
  <c r="AJ3" i="12" s="1"/>
  <c r="AI3" i="12"/>
  <c r="M10" i="6"/>
  <c r="W64" i="10" s="1"/>
  <c r="Z10" i="6"/>
  <c r="AP64" i="10" s="1"/>
  <c r="Y62" i="10"/>
  <c r="K8" i="6"/>
  <c r="Q62" i="10" s="1"/>
  <c r="C64" i="10"/>
  <c r="U10" i="6"/>
  <c r="AN64" i="10" s="1"/>
  <c r="T10" i="6"/>
  <c r="AL64" i="10" s="1"/>
  <c r="S10" i="6"/>
  <c r="AJ64" i="10" s="1"/>
  <c r="R10" i="6"/>
  <c r="AH64" i="10" s="1"/>
  <c r="Y10" i="6"/>
  <c r="AR64" i="10" s="1"/>
  <c r="X10" i="6"/>
  <c r="O9" i="6"/>
  <c r="W9" i="6"/>
  <c r="V9" i="6"/>
  <c r="J10" i="6"/>
  <c r="O64" i="10" s="1"/>
  <c r="Q10" i="6"/>
  <c r="AD64" i="10" s="1"/>
  <c r="G10" i="6"/>
  <c r="I64" i="10" s="1"/>
  <c r="F10" i="6"/>
  <c r="G64" i="10" s="1"/>
  <c r="L10" i="6"/>
  <c r="S64" i="10" s="1"/>
  <c r="I10" i="6"/>
  <c r="M64" i="10" s="1"/>
  <c r="N10" i="6"/>
  <c r="U64" i="10" s="1"/>
  <c r="P10" i="6"/>
  <c r="Z64" i="10" s="1"/>
  <c r="H10" i="6"/>
  <c r="K64" i="10" s="1"/>
  <c r="D12" i="6"/>
  <c r="C11" i="6"/>
  <c r="E12" i="6"/>
  <c r="M11" i="6" l="1"/>
  <c r="W65" i="10" s="1"/>
  <c r="Z11" i="6"/>
  <c r="AP65" i="10" s="1"/>
  <c r="Y63" i="10"/>
  <c r="K9" i="6"/>
  <c r="Q63" i="10" s="1"/>
  <c r="C65" i="10"/>
  <c r="U11" i="6"/>
  <c r="AN65" i="10" s="1"/>
  <c r="T11" i="6"/>
  <c r="AL65" i="10" s="1"/>
  <c r="S11" i="6"/>
  <c r="AJ65" i="10" s="1"/>
  <c r="R11" i="6"/>
  <c r="AH65" i="10" s="1"/>
  <c r="Y11" i="6"/>
  <c r="AR65" i="10" s="1"/>
  <c r="X11" i="6"/>
  <c r="V10" i="6"/>
  <c r="O10" i="6"/>
  <c r="W10" i="6"/>
  <c r="J11" i="6"/>
  <c r="O65" i="10" s="1"/>
  <c r="Q11" i="6"/>
  <c r="AD65" i="10" s="1"/>
  <c r="G11" i="6"/>
  <c r="I65" i="10" s="1"/>
  <c r="L11" i="6"/>
  <c r="S65" i="10" s="1"/>
  <c r="F11" i="6"/>
  <c r="G65" i="10" s="1"/>
  <c r="N11" i="6"/>
  <c r="U65" i="10" s="1"/>
  <c r="I11" i="6"/>
  <c r="M65" i="10" s="1"/>
  <c r="P11" i="6"/>
  <c r="Z65" i="10" s="1"/>
  <c r="H11" i="6"/>
  <c r="K65" i="10" s="1"/>
  <c r="D13" i="6"/>
  <c r="C12" i="6"/>
  <c r="E13" i="6"/>
  <c r="M12" i="6" l="1"/>
  <c r="W66" i="10" s="1"/>
  <c r="Z12" i="6"/>
  <c r="AP66" i="10" s="1"/>
  <c r="Y64" i="10"/>
  <c r="K10" i="6"/>
  <c r="Q64" i="10" s="1"/>
  <c r="C66" i="10"/>
  <c r="U12" i="6"/>
  <c r="AN66" i="10" s="1"/>
  <c r="T12" i="6"/>
  <c r="AL66" i="10" s="1"/>
  <c r="S12" i="6"/>
  <c r="AJ66" i="10" s="1"/>
  <c r="R12" i="6"/>
  <c r="AH66" i="10" s="1"/>
  <c r="Y12" i="6"/>
  <c r="AR66" i="10" s="1"/>
  <c r="X12" i="6"/>
  <c r="O11" i="6"/>
  <c r="W11" i="6"/>
  <c r="J12" i="6"/>
  <c r="O66" i="10" s="1"/>
  <c r="Q12" i="6"/>
  <c r="AD66" i="10" s="1"/>
  <c r="G12" i="6"/>
  <c r="I66" i="10" s="1"/>
  <c r="L12" i="6"/>
  <c r="S66" i="10" s="1"/>
  <c r="F12" i="6"/>
  <c r="G66" i="10" s="1"/>
  <c r="N12" i="6"/>
  <c r="U66" i="10" s="1"/>
  <c r="I12" i="6"/>
  <c r="M66" i="10" s="1"/>
  <c r="P12" i="6"/>
  <c r="Z66" i="10" s="1"/>
  <c r="H12" i="6"/>
  <c r="K66" i="10" s="1"/>
  <c r="V11" i="6"/>
  <c r="D14" i="6"/>
  <c r="C13" i="6"/>
  <c r="E14" i="6"/>
  <c r="M13" i="6" l="1"/>
  <c r="W67" i="10" s="1"/>
  <c r="Z13" i="6"/>
  <c r="AP67" i="10" s="1"/>
  <c r="Y65" i="10"/>
  <c r="K11" i="6"/>
  <c r="Q65" i="10" s="1"/>
  <c r="C67" i="10"/>
  <c r="U13" i="6"/>
  <c r="AN67" i="10" s="1"/>
  <c r="T13" i="6"/>
  <c r="AL67" i="10" s="1"/>
  <c r="S13" i="6"/>
  <c r="AJ67" i="10" s="1"/>
  <c r="R13" i="6"/>
  <c r="AH67" i="10" s="1"/>
  <c r="Y13" i="6"/>
  <c r="AR67" i="10" s="1"/>
  <c r="X13" i="6"/>
  <c r="O12" i="6"/>
  <c r="V12" i="6"/>
  <c r="P13" i="6"/>
  <c r="Z67" i="10" s="1"/>
  <c r="H13" i="6"/>
  <c r="K67" i="10" s="1"/>
  <c r="J13" i="6"/>
  <c r="O67" i="10" s="1"/>
  <c r="Q13" i="6"/>
  <c r="AD67" i="10" s="1"/>
  <c r="G13" i="6"/>
  <c r="I67" i="10" s="1"/>
  <c r="L13" i="6"/>
  <c r="S67" i="10" s="1"/>
  <c r="F13" i="6"/>
  <c r="G67" i="10" s="1"/>
  <c r="N13" i="6"/>
  <c r="U67" i="10" s="1"/>
  <c r="I13" i="6"/>
  <c r="M67" i="10" s="1"/>
  <c r="W12" i="6"/>
  <c r="D15" i="6"/>
  <c r="C14" i="6"/>
  <c r="E15" i="6"/>
  <c r="M14" i="6" l="1"/>
  <c r="W68" i="10" s="1"/>
  <c r="Z14" i="6"/>
  <c r="AP68" i="10" s="1"/>
  <c r="Y66" i="10"/>
  <c r="K12" i="6"/>
  <c r="Q66" i="10" s="1"/>
  <c r="C68" i="10"/>
  <c r="U14" i="6"/>
  <c r="AN68" i="10" s="1"/>
  <c r="T14" i="6"/>
  <c r="AL68" i="10" s="1"/>
  <c r="S14" i="6"/>
  <c r="AJ68" i="10" s="1"/>
  <c r="R14" i="6"/>
  <c r="AH68" i="10" s="1"/>
  <c r="Y14" i="6"/>
  <c r="AR68" i="10" s="1"/>
  <c r="X14" i="6"/>
  <c r="V13" i="6"/>
  <c r="W13" i="6"/>
  <c r="O13" i="6"/>
  <c r="P14" i="6"/>
  <c r="Z68" i="10" s="1"/>
  <c r="H14" i="6"/>
  <c r="K68" i="10" s="1"/>
  <c r="J14" i="6"/>
  <c r="O68" i="10" s="1"/>
  <c r="Q14" i="6"/>
  <c r="AD68" i="10" s="1"/>
  <c r="G14" i="6"/>
  <c r="I68" i="10" s="1"/>
  <c r="F14" i="6"/>
  <c r="G68" i="10" s="1"/>
  <c r="N14" i="6"/>
  <c r="U68" i="10" s="1"/>
  <c r="I14" i="6"/>
  <c r="M68" i="10" s="1"/>
  <c r="L14" i="6"/>
  <c r="S68" i="10" s="1"/>
  <c r="D16" i="6"/>
  <c r="C15" i="6"/>
  <c r="E16" i="6"/>
  <c r="M15" i="6" l="1"/>
  <c r="W69" i="10" s="1"/>
  <c r="Z15" i="6"/>
  <c r="AP69" i="10" s="1"/>
  <c r="Y67" i="10"/>
  <c r="K13" i="6"/>
  <c r="Q67" i="10" s="1"/>
  <c r="C69" i="10"/>
  <c r="U15" i="6"/>
  <c r="AN69" i="10" s="1"/>
  <c r="T15" i="6"/>
  <c r="AL69" i="10" s="1"/>
  <c r="S15" i="6"/>
  <c r="AJ69" i="10" s="1"/>
  <c r="R15" i="6"/>
  <c r="AH69" i="10" s="1"/>
  <c r="Y15" i="6"/>
  <c r="AR69" i="10" s="1"/>
  <c r="X15" i="6"/>
  <c r="O14" i="6"/>
  <c r="W14" i="6"/>
  <c r="V14" i="6"/>
  <c r="J15" i="6"/>
  <c r="O69" i="10" s="1"/>
  <c r="Q15" i="6"/>
  <c r="AD69" i="10" s="1"/>
  <c r="G15" i="6"/>
  <c r="I69" i="10" s="1"/>
  <c r="L15" i="6"/>
  <c r="S69" i="10" s="1"/>
  <c r="F15" i="6"/>
  <c r="G69" i="10" s="1"/>
  <c r="N15" i="6"/>
  <c r="U69" i="10" s="1"/>
  <c r="I15" i="6"/>
  <c r="M69" i="10" s="1"/>
  <c r="P15" i="6"/>
  <c r="Z69" i="10" s="1"/>
  <c r="H15" i="6"/>
  <c r="K69" i="10" s="1"/>
  <c r="D17" i="6"/>
  <c r="C16" i="6"/>
  <c r="E17" i="6"/>
  <c r="M16" i="6" l="1"/>
  <c r="W70" i="10" s="1"/>
  <c r="Z16" i="6"/>
  <c r="AP70" i="10" s="1"/>
  <c r="Y68" i="10"/>
  <c r="K14" i="6"/>
  <c r="Q68" i="10" s="1"/>
  <c r="C70" i="10"/>
  <c r="U16" i="6"/>
  <c r="AN70" i="10" s="1"/>
  <c r="T16" i="6"/>
  <c r="AL70" i="10" s="1"/>
  <c r="S16" i="6"/>
  <c r="AJ70" i="10" s="1"/>
  <c r="R16" i="6"/>
  <c r="AH70" i="10" s="1"/>
  <c r="Y16" i="6"/>
  <c r="AR70" i="10" s="1"/>
  <c r="X16" i="6"/>
  <c r="O15" i="6"/>
  <c r="W15" i="6"/>
  <c r="J16" i="6"/>
  <c r="O70" i="10" s="1"/>
  <c r="Q16" i="6"/>
  <c r="AD70" i="10" s="1"/>
  <c r="G16" i="6"/>
  <c r="I70" i="10" s="1"/>
  <c r="L16" i="6"/>
  <c r="S70" i="10" s="1"/>
  <c r="F16" i="6"/>
  <c r="G70" i="10" s="1"/>
  <c r="N16" i="6"/>
  <c r="U70" i="10" s="1"/>
  <c r="I16" i="6"/>
  <c r="M70" i="10" s="1"/>
  <c r="P16" i="6"/>
  <c r="Z70" i="10" s="1"/>
  <c r="H16" i="6"/>
  <c r="K70" i="10" s="1"/>
  <c r="V15" i="6"/>
  <c r="D18" i="6"/>
  <c r="C17" i="6"/>
  <c r="E18" i="6"/>
  <c r="M17" i="6" l="1"/>
  <c r="W71" i="10" s="1"/>
  <c r="Z17" i="6"/>
  <c r="AP71" i="10" s="1"/>
  <c r="Y69" i="10"/>
  <c r="K15" i="6"/>
  <c r="Q69" i="10" s="1"/>
  <c r="C71" i="10"/>
  <c r="U17" i="6"/>
  <c r="AN71" i="10" s="1"/>
  <c r="T17" i="6"/>
  <c r="AL71" i="10" s="1"/>
  <c r="S17" i="6"/>
  <c r="AJ71" i="10" s="1"/>
  <c r="R17" i="6"/>
  <c r="AH71" i="10" s="1"/>
  <c r="Y17" i="6"/>
  <c r="AR71" i="10" s="1"/>
  <c r="X17" i="6"/>
  <c r="W16" i="6"/>
  <c r="O16" i="6"/>
  <c r="V16" i="6"/>
  <c r="P17" i="6"/>
  <c r="Z71" i="10" s="1"/>
  <c r="H17" i="6"/>
  <c r="K71" i="10" s="1"/>
  <c r="G17" i="6"/>
  <c r="I71" i="10" s="1"/>
  <c r="J17" i="6"/>
  <c r="O71" i="10" s="1"/>
  <c r="Q17" i="6"/>
  <c r="AD71" i="10" s="1"/>
  <c r="L17" i="6"/>
  <c r="S71" i="10" s="1"/>
  <c r="F17" i="6"/>
  <c r="G71" i="10" s="1"/>
  <c r="N17" i="6"/>
  <c r="U71" i="10" s="1"/>
  <c r="I17" i="6"/>
  <c r="M71" i="10" s="1"/>
  <c r="D19" i="6"/>
  <c r="C18" i="6"/>
  <c r="E19" i="6"/>
  <c r="M18" i="6" l="1"/>
  <c r="W72" i="10" s="1"/>
  <c r="Z18" i="6"/>
  <c r="AP72" i="10" s="1"/>
  <c r="Y70" i="10"/>
  <c r="K16" i="6"/>
  <c r="Q70" i="10" s="1"/>
  <c r="C72" i="10"/>
  <c r="U18" i="6"/>
  <c r="AN72" i="10" s="1"/>
  <c r="T18" i="6"/>
  <c r="AL72" i="10" s="1"/>
  <c r="S18" i="6"/>
  <c r="AJ72" i="10" s="1"/>
  <c r="R18" i="6"/>
  <c r="AH72" i="10" s="1"/>
  <c r="Y18" i="6"/>
  <c r="AR72" i="10" s="1"/>
  <c r="X18" i="6"/>
  <c r="W17" i="6"/>
  <c r="V17" i="6"/>
  <c r="O17" i="6"/>
  <c r="J18" i="6"/>
  <c r="O72" i="10" s="1"/>
  <c r="Q18" i="6"/>
  <c r="AD72" i="10" s="1"/>
  <c r="G18" i="6"/>
  <c r="I72" i="10" s="1"/>
  <c r="L18" i="6"/>
  <c r="S72" i="10" s="1"/>
  <c r="F18" i="6"/>
  <c r="G72" i="10" s="1"/>
  <c r="N18" i="6"/>
  <c r="U72" i="10" s="1"/>
  <c r="I18" i="6"/>
  <c r="M72" i="10" s="1"/>
  <c r="P18" i="6"/>
  <c r="Z72" i="10" s="1"/>
  <c r="H18" i="6"/>
  <c r="K72" i="10" s="1"/>
  <c r="D20" i="6"/>
  <c r="C19" i="6"/>
  <c r="E20" i="6"/>
  <c r="M19" i="6" l="1"/>
  <c r="W73" i="10" s="1"/>
  <c r="Z19" i="6"/>
  <c r="AP73" i="10" s="1"/>
  <c r="Y71" i="10"/>
  <c r="K17" i="6"/>
  <c r="Q71" i="10" s="1"/>
  <c r="C73" i="10"/>
  <c r="U19" i="6"/>
  <c r="AN73" i="10" s="1"/>
  <c r="T19" i="6"/>
  <c r="AL73" i="10" s="1"/>
  <c r="S19" i="6"/>
  <c r="AJ73" i="10" s="1"/>
  <c r="R19" i="6"/>
  <c r="AH73" i="10" s="1"/>
  <c r="Y19" i="6"/>
  <c r="AR73" i="10" s="1"/>
  <c r="X19" i="6"/>
  <c r="O18" i="6"/>
  <c r="W18" i="6"/>
  <c r="J19" i="6"/>
  <c r="O73" i="10" s="1"/>
  <c r="Q19" i="6"/>
  <c r="AD73" i="10" s="1"/>
  <c r="G19" i="6"/>
  <c r="I73" i="10" s="1"/>
  <c r="F19" i="6"/>
  <c r="G73" i="10" s="1"/>
  <c r="L19" i="6"/>
  <c r="S73" i="10" s="1"/>
  <c r="N19" i="6"/>
  <c r="U73" i="10" s="1"/>
  <c r="I19" i="6"/>
  <c r="M73" i="10" s="1"/>
  <c r="P19" i="6"/>
  <c r="Z73" i="10" s="1"/>
  <c r="H19" i="6"/>
  <c r="K73" i="10" s="1"/>
  <c r="V18" i="6"/>
  <c r="D21" i="6"/>
  <c r="C20" i="6"/>
  <c r="E21" i="6"/>
  <c r="M20" i="6" l="1"/>
  <c r="W74" i="10" s="1"/>
  <c r="Z20" i="6"/>
  <c r="AP74" i="10" s="1"/>
  <c r="Y72" i="10"/>
  <c r="K18" i="6"/>
  <c r="Q72" i="10" s="1"/>
  <c r="C74" i="10"/>
  <c r="U20" i="6"/>
  <c r="AN74" i="10" s="1"/>
  <c r="T20" i="6"/>
  <c r="AL74" i="10" s="1"/>
  <c r="S20" i="6"/>
  <c r="AJ74" i="10" s="1"/>
  <c r="R20" i="6"/>
  <c r="AH74" i="10" s="1"/>
  <c r="Y20" i="6"/>
  <c r="AR74" i="10" s="1"/>
  <c r="X20" i="6"/>
  <c r="O19" i="6"/>
  <c r="W19" i="6"/>
  <c r="V19" i="6"/>
  <c r="P20" i="6"/>
  <c r="Z74" i="10" s="1"/>
  <c r="H20" i="6"/>
  <c r="K74" i="10" s="1"/>
  <c r="J20" i="6"/>
  <c r="O74" i="10" s="1"/>
  <c r="Q20" i="6"/>
  <c r="AD74" i="10" s="1"/>
  <c r="G20" i="6"/>
  <c r="I74" i="10" s="1"/>
  <c r="L20" i="6"/>
  <c r="S74" i="10" s="1"/>
  <c r="F20" i="6"/>
  <c r="G74" i="10" s="1"/>
  <c r="N20" i="6"/>
  <c r="U74" i="10" s="1"/>
  <c r="I20" i="6"/>
  <c r="M74" i="10" s="1"/>
  <c r="D22" i="6"/>
  <c r="C21" i="6"/>
  <c r="E22" i="6"/>
  <c r="M21" i="6" l="1"/>
  <c r="W75" i="10" s="1"/>
  <c r="Z21" i="6"/>
  <c r="AP75" i="10" s="1"/>
  <c r="Y73" i="10"/>
  <c r="K19" i="6"/>
  <c r="Q73" i="10" s="1"/>
  <c r="C75" i="10"/>
  <c r="U21" i="6"/>
  <c r="AN75" i="10" s="1"/>
  <c r="T21" i="6"/>
  <c r="AL75" i="10" s="1"/>
  <c r="S21" i="6"/>
  <c r="AJ75" i="10" s="1"/>
  <c r="R21" i="6"/>
  <c r="AH75" i="10" s="1"/>
  <c r="Y21" i="6"/>
  <c r="AR75" i="10" s="1"/>
  <c r="X21" i="6"/>
  <c r="W20" i="6"/>
  <c r="O20" i="6"/>
  <c r="V20" i="6"/>
  <c r="J21" i="6"/>
  <c r="O75" i="10" s="1"/>
  <c r="Q21" i="6"/>
  <c r="AD75" i="10" s="1"/>
  <c r="G21" i="6"/>
  <c r="I75" i="10" s="1"/>
  <c r="L21" i="6"/>
  <c r="S75" i="10" s="1"/>
  <c r="F21" i="6"/>
  <c r="G75" i="10" s="1"/>
  <c r="N21" i="6"/>
  <c r="U75" i="10" s="1"/>
  <c r="I21" i="6"/>
  <c r="M75" i="10" s="1"/>
  <c r="P21" i="6"/>
  <c r="Z75" i="10" s="1"/>
  <c r="H21" i="6"/>
  <c r="K75" i="10" s="1"/>
  <c r="D23" i="6"/>
  <c r="C22" i="6"/>
  <c r="E23" i="6"/>
  <c r="M22" i="6" l="1"/>
  <c r="W76" i="10" s="1"/>
  <c r="Z22" i="6"/>
  <c r="AP76" i="10" s="1"/>
  <c r="Y74" i="10"/>
  <c r="K20" i="6"/>
  <c r="Q74" i="10" s="1"/>
  <c r="C76" i="10"/>
  <c r="U22" i="6"/>
  <c r="AN76" i="10" s="1"/>
  <c r="T22" i="6"/>
  <c r="AL76" i="10" s="1"/>
  <c r="S22" i="6"/>
  <c r="AJ76" i="10" s="1"/>
  <c r="R22" i="6"/>
  <c r="AH76" i="10" s="1"/>
  <c r="Y22" i="6"/>
  <c r="AR76" i="10" s="1"/>
  <c r="X22" i="6"/>
  <c r="W21" i="6"/>
  <c r="V21" i="6"/>
  <c r="O21" i="6"/>
  <c r="J22" i="6"/>
  <c r="O76" i="10" s="1"/>
  <c r="Q22" i="6"/>
  <c r="AD76" i="10" s="1"/>
  <c r="G22" i="6"/>
  <c r="I76" i="10" s="1"/>
  <c r="N22" i="6"/>
  <c r="U76" i="10" s="1"/>
  <c r="I22" i="6"/>
  <c r="M76" i="10" s="1"/>
  <c r="L22" i="6"/>
  <c r="S76" i="10" s="1"/>
  <c r="F22" i="6"/>
  <c r="G76" i="10" s="1"/>
  <c r="P22" i="6"/>
  <c r="Z76" i="10" s="1"/>
  <c r="H22" i="6"/>
  <c r="K76" i="10" s="1"/>
  <c r="D24" i="6"/>
  <c r="C23" i="6"/>
  <c r="E24" i="6"/>
  <c r="M23" i="6" l="1"/>
  <c r="W77" i="10" s="1"/>
  <c r="Z23" i="6"/>
  <c r="AP77" i="10" s="1"/>
  <c r="Y75" i="10"/>
  <c r="K21" i="6"/>
  <c r="Q75" i="10" s="1"/>
  <c r="C77" i="10"/>
  <c r="U23" i="6"/>
  <c r="AN77" i="10" s="1"/>
  <c r="T23" i="6"/>
  <c r="AL77" i="10" s="1"/>
  <c r="S23" i="6"/>
  <c r="AJ77" i="10" s="1"/>
  <c r="R23" i="6"/>
  <c r="AH77" i="10" s="1"/>
  <c r="Y23" i="6"/>
  <c r="AR77" i="10" s="1"/>
  <c r="X23" i="6"/>
  <c r="O22" i="6"/>
  <c r="W22" i="6"/>
  <c r="J23" i="6"/>
  <c r="O77" i="10" s="1"/>
  <c r="Q23" i="6"/>
  <c r="AD77" i="10" s="1"/>
  <c r="G23" i="6"/>
  <c r="I77" i="10" s="1"/>
  <c r="L23" i="6"/>
  <c r="S77" i="10" s="1"/>
  <c r="F23" i="6"/>
  <c r="G77" i="10" s="1"/>
  <c r="P23" i="6"/>
  <c r="Z77" i="10" s="1"/>
  <c r="H23" i="6"/>
  <c r="K77" i="10" s="1"/>
  <c r="N23" i="6"/>
  <c r="U77" i="10" s="1"/>
  <c r="I23" i="6"/>
  <c r="M77" i="10" s="1"/>
  <c r="V22" i="6"/>
  <c r="D25" i="6"/>
  <c r="C24" i="6"/>
  <c r="E25" i="6"/>
  <c r="M24" i="6" l="1"/>
  <c r="W78" i="10" s="1"/>
  <c r="Z24" i="6"/>
  <c r="AP78" i="10" s="1"/>
  <c r="Y76" i="10"/>
  <c r="K22" i="6"/>
  <c r="Q76" i="10" s="1"/>
  <c r="C78" i="10"/>
  <c r="U24" i="6"/>
  <c r="AN78" i="10" s="1"/>
  <c r="T24" i="6"/>
  <c r="AL78" i="10" s="1"/>
  <c r="S24" i="6"/>
  <c r="AJ78" i="10" s="1"/>
  <c r="R24" i="6"/>
  <c r="AH78" i="10" s="1"/>
  <c r="Y24" i="6"/>
  <c r="AR78" i="10" s="1"/>
  <c r="X24" i="6"/>
  <c r="W23" i="6"/>
  <c r="O23" i="6"/>
  <c r="V23" i="6"/>
  <c r="P24" i="6"/>
  <c r="Z78" i="10" s="1"/>
  <c r="H24" i="6"/>
  <c r="K78" i="10" s="1"/>
  <c r="J24" i="6"/>
  <c r="O78" i="10" s="1"/>
  <c r="Q24" i="6"/>
  <c r="AD78" i="10" s="1"/>
  <c r="G24" i="6"/>
  <c r="I78" i="10" s="1"/>
  <c r="N24" i="6"/>
  <c r="U78" i="10" s="1"/>
  <c r="I24" i="6"/>
  <c r="M78" i="10" s="1"/>
  <c r="L24" i="6"/>
  <c r="S78" i="10" s="1"/>
  <c r="F24" i="6"/>
  <c r="G78" i="10" s="1"/>
  <c r="D26" i="6"/>
  <c r="C25" i="6"/>
  <c r="E26" i="6"/>
  <c r="M25" i="6" l="1"/>
  <c r="W79" i="10" s="1"/>
  <c r="Z25" i="6"/>
  <c r="AP79" i="10" s="1"/>
  <c r="Y77" i="10"/>
  <c r="K23" i="6"/>
  <c r="Q77" i="10" s="1"/>
  <c r="C79" i="10"/>
  <c r="U25" i="6"/>
  <c r="AN79" i="10" s="1"/>
  <c r="T25" i="6"/>
  <c r="AL79" i="10" s="1"/>
  <c r="S25" i="6"/>
  <c r="AJ79" i="10" s="1"/>
  <c r="R25" i="6"/>
  <c r="AH79" i="10" s="1"/>
  <c r="Y25" i="6"/>
  <c r="AR79" i="10" s="1"/>
  <c r="X25" i="6"/>
  <c r="O24" i="6"/>
  <c r="V24" i="6"/>
  <c r="J25" i="6"/>
  <c r="O79" i="10" s="1"/>
  <c r="Q25" i="6"/>
  <c r="AD79" i="10" s="1"/>
  <c r="G25" i="6"/>
  <c r="I79" i="10" s="1"/>
  <c r="H25" i="6"/>
  <c r="K79" i="10" s="1"/>
  <c r="L25" i="6"/>
  <c r="S79" i="10" s="1"/>
  <c r="F25" i="6"/>
  <c r="G79" i="10" s="1"/>
  <c r="P25" i="6"/>
  <c r="Z79" i="10" s="1"/>
  <c r="N25" i="6"/>
  <c r="U79" i="10" s="1"/>
  <c r="I25" i="6"/>
  <c r="M79" i="10" s="1"/>
  <c r="W24" i="6"/>
  <c r="D27" i="6"/>
  <c r="C26" i="6"/>
  <c r="E27" i="6"/>
  <c r="M26" i="6" l="1"/>
  <c r="W80" i="10" s="1"/>
  <c r="Z26" i="6"/>
  <c r="AP80" i="10" s="1"/>
  <c r="Y78" i="10"/>
  <c r="K24" i="6"/>
  <c r="Q78" i="10" s="1"/>
  <c r="C80" i="10"/>
  <c r="U26" i="6"/>
  <c r="AN80" i="10" s="1"/>
  <c r="T26" i="6"/>
  <c r="AL80" i="10" s="1"/>
  <c r="S26" i="6"/>
  <c r="AJ80" i="10" s="1"/>
  <c r="R26" i="6"/>
  <c r="AH80" i="10" s="1"/>
  <c r="Y26" i="6"/>
  <c r="AR80" i="10" s="1"/>
  <c r="X26" i="6"/>
  <c r="O25" i="6"/>
  <c r="W25" i="6"/>
  <c r="P26" i="6"/>
  <c r="Z80" i="10" s="1"/>
  <c r="H26" i="6"/>
  <c r="K80" i="10" s="1"/>
  <c r="J26" i="6"/>
  <c r="O80" i="10" s="1"/>
  <c r="Q26" i="6"/>
  <c r="AD80" i="10" s="1"/>
  <c r="G26" i="6"/>
  <c r="I80" i="10" s="1"/>
  <c r="L26" i="6"/>
  <c r="S80" i="10" s="1"/>
  <c r="F26" i="6"/>
  <c r="G80" i="10" s="1"/>
  <c r="N26" i="6"/>
  <c r="U80" i="10" s="1"/>
  <c r="I26" i="6"/>
  <c r="M80" i="10" s="1"/>
  <c r="V25" i="6"/>
  <c r="D28" i="6"/>
  <c r="C27" i="6"/>
  <c r="E28" i="6"/>
  <c r="M27" i="6" l="1"/>
  <c r="W81" i="10" s="1"/>
  <c r="Z27" i="6"/>
  <c r="AP81" i="10" s="1"/>
  <c r="Y79" i="10"/>
  <c r="K25" i="6"/>
  <c r="Q79" i="10" s="1"/>
  <c r="C81" i="10"/>
  <c r="U27" i="6"/>
  <c r="AN81" i="10" s="1"/>
  <c r="T27" i="6"/>
  <c r="AL81" i="10" s="1"/>
  <c r="S27" i="6"/>
  <c r="AJ81" i="10" s="1"/>
  <c r="R27" i="6"/>
  <c r="AH81" i="10" s="1"/>
  <c r="Y27" i="6"/>
  <c r="AR81" i="10" s="1"/>
  <c r="X27" i="6"/>
  <c r="V26" i="6"/>
  <c r="O26" i="6"/>
  <c r="P27" i="6"/>
  <c r="Z81" i="10" s="1"/>
  <c r="H27" i="6"/>
  <c r="K81" i="10" s="1"/>
  <c r="J27" i="6"/>
  <c r="O81" i="10" s="1"/>
  <c r="Q27" i="6"/>
  <c r="AD81" i="10" s="1"/>
  <c r="G27" i="6"/>
  <c r="I81" i="10" s="1"/>
  <c r="L27" i="6"/>
  <c r="S81" i="10" s="1"/>
  <c r="F27" i="6"/>
  <c r="G81" i="10" s="1"/>
  <c r="N27" i="6"/>
  <c r="U81" i="10" s="1"/>
  <c r="I27" i="6"/>
  <c r="M81" i="10" s="1"/>
  <c r="W26" i="6"/>
  <c r="D29" i="6"/>
  <c r="C28" i="6"/>
  <c r="E29" i="6"/>
  <c r="M28" i="6" l="1"/>
  <c r="W82" i="10" s="1"/>
  <c r="Z28" i="6"/>
  <c r="AP82" i="10" s="1"/>
  <c r="Y80" i="10"/>
  <c r="K26" i="6"/>
  <c r="Q80" i="10" s="1"/>
  <c r="C82" i="10"/>
  <c r="U28" i="6"/>
  <c r="AN82" i="10" s="1"/>
  <c r="T28" i="6"/>
  <c r="AL82" i="10" s="1"/>
  <c r="S28" i="6"/>
  <c r="AJ82" i="10" s="1"/>
  <c r="R28" i="6"/>
  <c r="AH82" i="10" s="1"/>
  <c r="Y28" i="6"/>
  <c r="AR82" i="10" s="1"/>
  <c r="X28" i="6"/>
  <c r="V27" i="6"/>
  <c r="W27" i="6"/>
  <c r="O27" i="6"/>
  <c r="P28" i="6"/>
  <c r="Z82" i="10" s="1"/>
  <c r="H28" i="6"/>
  <c r="K82" i="10" s="1"/>
  <c r="J28" i="6"/>
  <c r="O82" i="10" s="1"/>
  <c r="Q28" i="6"/>
  <c r="AD82" i="10" s="1"/>
  <c r="G28" i="6"/>
  <c r="I82" i="10" s="1"/>
  <c r="L28" i="6"/>
  <c r="S82" i="10" s="1"/>
  <c r="F28" i="6"/>
  <c r="G82" i="10" s="1"/>
  <c r="N28" i="6"/>
  <c r="U82" i="10" s="1"/>
  <c r="I28" i="6"/>
  <c r="M82" i="10" s="1"/>
  <c r="D30" i="6"/>
  <c r="C29" i="6"/>
  <c r="E30" i="6"/>
  <c r="M29" i="6" l="1"/>
  <c r="W83" i="10" s="1"/>
  <c r="Z29" i="6"/>
  <c r="AP83" i="10" s="1"/>
  <c r="Y81" i="10"/>
  <c r="K27" i="6"/>
  <c r="Q81" i="10" s="1"/>
  <c r="C83" i="10"/>
  <c r="U29" i="6"/>
  <c r="AN83" i="10" s="1"/>
  <c r="T29" i="6"/>
  <c r="AL83" i="10" s="1"/>
  <c r="S29" i="6"/>
  <c r="AJ83" i="10" s="1"/>
  <c r="R29" i="6"/>
  <c r="AH83" i="10" s="1"/>
  <c r="Y29" i="6"/>
  <c r="AR83" i="10" s="1"/>
  <c r="X29" i="6"/>
  <c r="V28" i="6"/>
  <c r="W28" i="6"/>
  <c r="O28" i="6"/>
  <c r="J29" i="6"/>
  <c r="O83" i="10" s="1"/>
  <c r="Q29" i="6"/>
  <c r="AD83" i="10" s="1"/>
  <c r="G29" i="6"/>
  <c r="I83" i="10" s="1"/>
  <c r="H29" i="6"/>
  <c r="K83" i="10" s="1"/>
  <c r="L29" i="6"/>
  <c r="S83" i="10" s="1"/>
  <c r="F29" i="6"/>
  <c r="G83" i="10" s="1"/>
  <c r="I29" i="6"/>
  <c r="M83" i="10" s="1"/>
  <c r="N29" i="6"/>
  <c r="U83" i="10" s="1"/>
  <c r="P29" i="6"/>
  <c r="Z83" i="10" s="1"/>
  <c r="D31" i="6"/>
  <c r="C30" i="6"/>
  <c r="E31" i="6"/>
  <c r="M30" i="6" l="1"/>
  <c r="W84" i="10" s="1"/>
  <c r="Z30" i="6"/>
  <c r="AP84" i="10" s="1"/>
  <c r="Y82" i="10"/>
  <c r="K28" i="6"/>
  <c r="Q82" i="10" s="1"/>
  <c r="C84" i="10"/>
  <c r="U30" i="6"/>
  <c r="AN84" i="10" s="1"/>
  <c r="T30" i="6"/>
  <c r="AL84" i="10" s="1"/>
  <c r="S30" i="6"/>
  <c r="AJ84" i="10" s="1"/>
  <c r="R30" i="6"/>
  <c r="AH84" i="10" s="1"/>
  <c r="Y30" i="6"/>
  <c r="AR84" i="10" s="1"/>
  <c r="X30" i="6"/>
  <c r="W29" i="6"/>
  <c r="V29" i="6"/>
  <c r="O29" i="6"/>
  <c r="J30" i="6"/>
  <c r="O84" i="10" s="1"/>
  <c r="Q30" i="6"/>
  <c r="AD84" i="10" s="1"/>
  <c r="G30" i="6"/>
  <c r="I84" i="10" s="1"/>
  <c r="L30" i="6"/>
  <c r="S84" i="10" s="1"/>
  <c r="F30" i="6"/>
  <c r="G84" i="10" s="1"/>
  <c r="P30" i="6"/>
  <c r="Z84" i="10" s="1"/>
  <c r="H30" i="6"/>
  <c r="K84" i="10" s="1"/>
  <c r="N30" i="6"/>
  <c r="U84" i="10" s="1"/>
  <c r="I30" i="6"/>
  <c r="M84" i="10" s="1"/>
  <c r="D32" i="6"/>
  <c r="C31" i="6"/>
  <c r="E32" i="6"/>
  <c r="M31" i="6" l="1"/>
  <c r="W85" i="10" s="1"/>
  <c r="Z31" i="6"/>
  <c r="AP85" i="10" s="1"/>
  <c r="Y83" i="10"/>
  <c r="K29" i="6"/>
  <c r="Q83" i="10" s="1"/>
  <c r="C85" i="10"/>
  <c r="U31" i="6"/>
  <c r="AN85" i="10" s="1"/>
  <c r="T31" i="6"/>
  <c r="AL85" i="10" s="1"/>
  <c r="S31" i="6"/>
  <c r="AJ85" i="10" s="1"/>
  <c r="R31" i="6"/>
  <c r="AH85" i="10" s="1"/>
  <c r="Y31" i="6"/>
  <c r="AR85" i="10" s="1"/>
  <c r="X31" i="6"/>
  <c r="W30" i="6"/>
  <c r="V30" i="6"/>
  <c r="O30" i="6"/>
  <c r="J31" i="6"/>
  <c r="O85" i="10" s="1"/>
  <c r="Q31" i="6"/>
  <c r="AD85" i="10" s="1"/>
  <c r="G31" i="6"/>
  <c r="I85" i="10" s="1"/>
  <c r="L31" i="6"/>
  <c r="S85" i="10" s="1"/>
  <c r="F31" i="6"/>
  <c r="G85" i="10" s="1"/>
  <c r="P31" i="6"/>
  <c r="Z85" i="10" s="1"/>
  <c r="H31" i="6"/>
  <c r="K85" i="10" s="1"/>
  <c r="N31" i="6"/>
  <c r="U85" i="10" s="1"/>
  <c r="I31" i="6"/>
  <c r="M85" i="10" s="1"/>
  <c r="D33" i="6"/>
  <c r="C32" i="6"/>
  <c r="E33" i="6"/>
  <c r="M32" i="6" l="1"/>
  <c r="W86" i="10" s="1"/>
  <c r="Z32" i="6"/>
  <c r="AP86" i="10" s="1"/>
  <c r="Y84" i="10"/>
  <c r="K30" i="6"/>
  <c r="Q84" i="10" s="1"/>
  <c r="C86" i="10"/>
  <c r="U32" i="6"/>
  <c r="AN86" i="10" s="1"/>
  <c r="T32" i="6"/>
  <c r="AL86" i="10" s="1"/>
  <c r="S32" i="6"/>
  <c r="AJ86" i="10" s="1"/>
  <c r="R32" i="6"/>
  <c r="AH86" i="10" s="1"/>
  <c r="Y32" i="6"/>
  <c r="AR86" i="10" s="1"/>
  <c r="X32" i="6"/>
  <c r="W31" i="6"/>
  <c r="O31" i="6"/>
  <c r="V31" i="6"/>
  <c r="J32" i="6"/>
  <c r="O86" i="10" s="1"/>
  <c r="Q32" i="6"/>
  <c r="AD86" i="10" s="1"/>
  <c r="G32" i="6"/>
  <c r="I86" i="10" s="1"/>
  <c r="L32" i="6"/>
  <c r="S86" i="10" s="1"/>
  <c r="F32" i="6"/>
  <c r="G86" i="10" s="1"/>
  <c r="H32" i="6"/>
  <c r="K86" i="10" s="1"/>
  <c r="P32" i="6"/>
  <c r="Z86" i="10" s="1"/>
  <c r="N32" i="6"/>
  <c r="U86" i="10" s="1"/>
  <c r="I32" i="6"/>
  <c r="M86" i="10" s="1"/>
  <c r="D34" i="6"/>
  <c r="C33" i="6"/>
  <c r="E34" i="6"/>
  <c r="M33" i="6" l="1"/>
  <c r="W87" i="10" s="1"/>
  <c r="Z33" i="6"/>
  <c r="AP87" i="10" s="1"/>
  <c r="Y85" i="10"/>
  <c r="K31" i="6"/>
  <c r="Q85" i="10" s="1"/>
  <c r="C87" i="10"/>
  <c r="U33" i="6"/>
  <c r="AN87" i="10" s="1"/>
  <c r="T33" i="6"/>
  <c r="AL87" i="10" s="1"/>
  <c r="S33" i="6"/>
  <c r="AJ87" i="10" s="1"/>
  <c r="R33" i="6"/>
  <c r="AH87" i="10" s="1"/>
  <c r="Y33" i="6"/>
  <c r="AR87" i="10" s="1"/>
  <c r="X33" i="6"/>
  <c r="W32" i="6"/>
  <c r="O32" i="6"/>
  <c r="V32" i="6"/>
  <c r="J33" i="6"/>
  <c r="O87" i="10" s="1"/>
  <c r="Q33" i="6"/>
  <c r="AD87" i="10" s="1"/>
  <c r="G33" i="6"/>
  <c r="I87" i="10" s="1"/>
  <c r="L33" i="6"/>
  <c r="S87" i="10" s="1"/>
  <c r="F33" i="6"/>
  <c r="G87" i="10" s="1"/>
  <c r="N33" i="6"/>
  <c r="U87" i="10" s="1"/>
  <c r="I33" i="6"/>
  <c r="M87" i="10" s="1"/>
  <c r="P33" i="6"/>
  <c r="Z87" i="10" s="1"/>
  <c r="H33" i="6"/>
  <c r="K87" i="10" s="1"/>
  <c r="D35" i="6"/>
  <c r="C34" i="6"/>
  <c r="E35" i="6"/>
  <c r="M34" i="6" l="1"/>
  <c r="W88" i="10" s="1"/>
  <c r="Z34" i="6"/>
  <c r="AP88" i="10" s="1"/>
  <c r="Y86" i="10"/>
  <c r="K32" i="6"/>
  <c r="Q86" i="10" s="1"/>
  <c r="C88" i="10"/>
  <c r="U34" i="6"/>
  <c r="AN88" i="10" s="1"/>
  <c r="T34" i="6"/>
  <c r="AL88" i="10" s="1"/>
  <c r="S34" i="6"/>
  <c r="AJ88" i="10" s="1"/>
  <c r="R34" i="6"/>
  <c r="AH88" i="10" s="1"/>
  <c r="Y34" i="6"/>
  <c r="AR88" i="10" s="1"/>
  <c r="X34" i="6"/>
  <c r="V33" i="6"/>
  <c r="O33" i="6"/>
  <c r="W33" i="6"/>
  <c r="J34" i="6"/>
  <c r="O88" i="10" s="1"/>
  <c r="Q34" i="6"/>
  <c r="AD88" i="10" s="1"/>
  <c r="G34" i="6"/>
  <c r="I88" i="10" s="1"/>
  <c r="H34" i="6"/>
  <c r="K88" i="10" s="1"/>
  <c r="L34" i="6"/>
  <c r="S88" i="10" s="1"/>
  <c r="F34" i="6"/>
  <c r="G88" i="10" s="1"/>
  <c r="P34" i="6"/>
  <c r="Z88" i="10" s="1"/>
  <c r="N34" i="6"/>
  <c r="U88" i="10" s="1"/>
  <c r="I34" i="6"/>
  <c r="M88" i="10" s="1"/>
  <c r="D36" i="6"/>
  <c r="C35" i="6"/>
  <c r="E36" i="6"/>
  <c r="M35" i="6" l="1"/>
  <c r="W89" i="10" s="1"/>
  <c r="Z35" i="6"/>
  <c r="AP89" i="10" s="1"/>
  <c r="Y87" i="10"/>
  <c r="K33" i="6"/>
  <c r="Q87" i="10" s="1"/>
  <c r="C89" i="10"/>
  <c r="U35" i="6"/>
  <c r="AN89" i="10" s="1"/>
  <c r="T35" i="6"/>
  <c r="AL89" i="10" s="1"/>
  <c r="S35" i="6"/>
  <c r="AJ89" i="10" s="1"/>
  <c r="R35" i="6"/>
  <c r="AH89" i="10" s="1"/>
  <c r="Y35" i="6"/>
  <c r="AR89" i="10" s="1"/>
  <c r="X35" i="6"/>
  <c r="O34" i="6"/>
  <c r="W34" i="6"/>
  <c r="V34" i="6"/>
  <c r="J35" i="6"/>
  <c r="O89" i="10" s="1"/>
  <c r="Q35" i="6"/>
  <c r="AD89" i="10" s="1"/>
  <c r="G35" i="6"/>
  <c r="I89" i="10" s="1"/>
  <c r="L35" i="6"/>
  <c r="S89" i="10" s="1"/>
  <c r="F35" i="6"/>
  <c r="G89" i="10" s="1"/>
  <c r="N35" i="6"/>
  <c r="U89" i="10" s="1"/>
  <c r="I35" i="6"/>
  <c r="M89" i="10" s="1"/>
  <c r="H35" i="6"/>
  <c r="K89" i="10" s="1"/>
  <c r="P35" i="6"/>
  <c r="Z89" i="10" s="1"/>
  <c r="D37" i="6"/>
  <c r="C36" i="6"/>
  <c r="E37" i="6"/>
  <c r="M36" i="6" l="1"/>
  <c r="W90" i="10" s="1"/>
  <c r="Z36" i="6"/>
  <c r="AP90" i="10" s="1"/>
  <c r="Y88" i="10"/>
  <c r="K34" i="6"/>
  <c r="Q88" i="10" s="1"/>
  <c r="C90" i="10"/>
  <c r="U36" i="6"/>
  <c r="AN90" i="10" s="1"/>
  <c r="T36" i="6"/>
  <c r="AL90" i="10" s="1"/>
  <c r="S36" i="6"/>
  <c r="AJ90" i="10" s="1"/>
  <c r="R36" i="6"/>
  <c r="AH90" i="10" s="1"/>
  <c r="Y36" i="6"/>
  <c r="AR90" i="10" s="1"/>
  <c r="X36" i="6"/>
  <c r="V35" i="6"/>
  <c r="O35" i="6"/>
  <c r="W35" i="6"/>
  <c r="J36" i="6"/>
  <c r="O90" i="10" s="1"/>
  <c r="Q36" i="6"/>
  <c r="AD90" i="10" s="1"/>
  <c r="G36" i="6"/>
  <c r="I90" i="10" s="1"/>
  <c r="L36" i="6"/>
  <c r="S90" i="10" s="1"/>
  <c r="F36" i="6"/>
  <c r="G90" i="10" s="1"/>
  <c r="N36" i="6"/>
  <c r="U90" i="10" s="1"/>
  <c r="I36" i="6"/>
  <c r="M90" i="10" s="1"/>
  <c r="P36" i="6"/>
  <c r="Z90" i="10" s="1"/>
  <c r="H36" i="6"/>
  <c r="K90" i="10" s="1"/>
  <c r="D38" i="6"/>
  <c r="C37" i="6"/>
  <c r="E38" i="6"/>
  <c r="M37" i="6" l="1"/>
  <c r="W91" i="10" s="1"/>
  <c r="Z37" i="6"/>
  <c r="AP91" i="10" s="1"/>
  <c r="Y89" i="10"/>
  <c r="K35" i="6"/>
  <c r="Q89" i="10" s="1"/>
  <c r="C91" i="10"/>
  <c r="U37" i="6"/>
  <c r="AN91" i="10" s="1"/>
  <c r="T37" i="6"/>
  <c r="AL91" i="10" s="1"/>
  <c r="S37" i="6"/>
  <c r="AJ91" i="10" s="1"/>
  <c r="R37" i="6"/>
  <c r="AH91" i="10" s="1"/>
  <c r="Y37" i="6"/>
  <c r="AR91" i="10" s="1"/>
  <c r="X37" i="6"/>
  <c r="W36" i="6"/>
  <c r="O36" i="6"/>
  <c r="J37" i="6"/>
  <c r="O91" i="10" s="1"/>
  <c r="Q37" i="6"/>
  <c r="AD91" i="10" s="1"/>
  <c r="G37" i="6"/>
  <c r="I91" i="10" s="1"/>
  <c r="L37" i="6"/>
  <c r="S91" i="10" s="1"/>
  <c r="F37" i="6"/>
  <c r="G91" i="10" s="1"/>
  <c r="N37" i="6"/>
  <c r="U91" i="10" s="1"/>
  <c r="I37" i="6"/>
  <c r="M91" i="10" s="1"/>
  <c r="P37" i="6"/>
  <c r="Z91" i="10" s="1"/>
  <c r="H37" i="6"/>
  <c r="K91" i="10" s="1"/>
  <c r="V36" i="6"/>
  <c r="D39" i="6"/>
  <c r="C38" i="6"/>
  <c r="E39" i="6"/>
  <c r="M38" i="6" l="1"/>
  <c r="W92" i="10" s="1"/>
  <c r="Z38" i="6"/>
  <c r="AP92" i="10" s="1"/>
  <c r="Y90" i="10"/>
  <c r="K36" i="6"/>
  <c r="Q90" i="10" s="1"/>
  <c r="C92" i="10"/>
  <c r="U38" i="6"/>
  <c r="AN92" i="10" s="1"/>
  <c r="T38" i="6"/>
  <c r="AL92" i="10" s="1"/>
  <c r="S38" i="6"/>
  <c r="AJ92" i="10" s="1"/>
  <c r="R38" i="6"/>
  <c r="AH92" i="10" s="1"/>
  <c r="Y38" i="6"/>
  <c r="AR92" i="10" s="1"/>
  <c r="X38" i="6"/>
  <c r="O37" i="6"/>
  <c r="W37" i="6"/>
  <c r="N38" i="6"/>
  <c r="U92" i="10" s="1"/>
  <c r="I38" i="6"/>
  <c r="M92" i="10" s="1"/>
  <c r="P38" i="6"/>
  <c r="Z92" i="10" s="1"/>
  <c r="H38" i="6"/>
  <c r="K92" i="10" s="1"/>
  <c r="J38" i="6"/>
  <c r="O92" i="10" s="1"/>
  <c r="Q38" i="6"/>
  <c r="AD92" i="10" s="1"/>
  <c r="G38" i="6"/>
  <c r="I92" i="10" s="1"/>
  <c r="L38" i="6"/>
  <c r="S92" i="10" s="1"/>
  <c r="F38" i="6"/>
  <c r="G92" i="10" s="1"/>
  <c r="V37" i="6"/>
  <c r="D40" i="6"/>
  <c r="C39" i="6"/>
  <c r="E40" i="6"/>
  <c r="M39" i="6" l="1"/>
  <c r="W93" i="10" s="1"/>
  <c r="Z39" i="6"/>
  <c r="AP93" i="10" s="1"/>
  <c r="Y91" i="10"/>
  <c r="K37" i="6"/>
  <c r="Q91" i="10" s="1"/>
  <c r="C93" i="10"/>
  <c r="U39" i="6"/>
  <c r="AN93" i="10" s="1"/>
  <c r="T39" i="6"/>
  <c r="AL93" i="10" s="1"/>
  <c r="S39" i="6"/>
  <c r="AJ93" i="10" s="1"/>
  <c r="R39" i="6"/>
  <c r="AH93" i="10" s="1"/>
  <c r="Y39" i="6"/>
  <c r="AR93" i="10" s="1"/>
  <c r="X39" i="6"/>
  <c r="O38" i="6"/>
  <c r="W38" i="6"/>
  <c r="V38" i="6"/>
  <c r="P39" i="6"/>
  <c r="Z93" i="10" s="1"/>
  <c r="H39" i="6"/>
  <c r="K93" i="10" s="1"/>
  <c r="Q39" i="6"/>
  <c r="AD93" i="10" s="1"/>
  <c r="J39" i="6"/>
  <c r="O93" i="10" s="1"/>
  <c r="G39" i="6"/>
  <c r="I93" i="10" s="1"/>
  <c r="L39" i="6"/>
  <c r="S93" i="10" s="1"/>
  <c r="F39" i="6"/>
  <c r="G93" i="10" s="1"/>
  <c r="N39" i="6"/>
  <c r="U93" i="10" s="1"/>
  <c r="I39" i="6"/>
  <c r="M93" i="10" s="1"/>
  <c r="D41" i="6"/>
  <c r="C40" i="6"/>
  <c r="E41" i="6"/>
  <c r="M40" i="6" l="1"/>
  <c r="W94" i="10" s="1"/>
  <c r="Z40" i="6"/>
  <c r="AP94" i="10" s="1"/>
  <c r="Y92" i="10"/>
  <c r="K38" i="6"/>
  <c r="Q92" i="10" s="1"/>
  <c r="C94" i="10"/>
  <c r="U40" i="6"/>
  <c r="AN94" i="10" s="1"/>
  <c r="T40" i="6"/>
  <c r="AL94" i="10" s="1"/>
  <c r="S40" i="6"/>
  <c r="AJ94" i="10" s="1"/>
  <c r="R40" i="6"/>
  <c r="AH94" i="10" s="1"/>
  <c r="Y40" i="6"/>
  <c r="AR94" i="10" s="1"/>
  <c r="X40" i="6"/>
  <c r="O39" i="6"/>
  <c r="V39" i="6"/>
  <c r="P40" i="6"/>
  <c r="Z94" i="10" s="1"/>
  <c r="H40" i="6"/>
  <c r="K94" i="10" s="1"/>
  <c r="J40" i="6"/>
  <c r="O94" i="10" s="1"/>
  <c r="Q40" i="6"/>
  <c r="AD94" i="10" s="1"/>
  <c r="N40" i="6"/>
  <c r="U94" i="10" s="1"/>
  <c r="I40" i="6"/>
  <c r="M94" i="10" s="1"/>
  <c r="G40" i="6"/>
  <c r="I94" i="10" s="1"/>
  <c r="L40" i="6"/>
  <c r="S94" i="10" s="1"/>
  <c r="F40" i="6"/>
  <c r="G94" i="10" s="1"/>
  <c r="W39" i="6"/>
  <c r="D42" i="6"/>
  <c r="C41" i="6"/>
  <c r="E42" i="6"/>
  <c r="M41" i="6" l="1"/>
  <c r="W95" i="10" s="1"/>
  <c r="Z41" i="6"/>
  <c r="AP95" i="10" s="1"/>
  <c r="Y93" i="10"/>
  <c r="K39" i="6"/>
  <c r="Q93" i="10" s="1"/>
  <c r="C95" i="10"/>
  <c r="U41" i="6"/>
  <c r="AN95" i="10" s="1"/>
  <c r="T41" i="6"/>
  <c r="AL95" i="10" s="1"/>
  <c r="S41" i="6"/>
  <c r="AJ95" i="10" s="1"/>
  <c r="R41" i="6"/>
  <c r="AH95" i="10" s="1"/>
  <c r="Y41" i="6"/>
  <c r="AR95" i="10" s="1"/>
  <c r="X41" i="6"/>
  <c r="V40" i="6"/>
  <c r="O40" i="6"/>
  <c r="P41" i="6"/>
  <c r="Z95" i="10" s="1"/>
  <c r="H41" i="6"/>
  <c r="K95" i="10" s="1"/>
  <c r="J41" i="6"/>
  <c r="O95" i="10" s="1"/>
  <c r="Q41" i="6"/>
  <c r="AD95" i="10" s="1"/>
  <c r="G41" i="6"/>
  <c r="I95" i="10" s="1"/>
  <c r="L41" i="6"/>
  <c r="S95" i="10" s="1"/>
  <c r="F41" i="6"/>
  <c r="G95" i="10" s="1"/>
  <c r="N41" i="6"/>
  <c r="U95" i="10" s="1"/>
  <c r="I41" i="6"/>
  <c r="M95" i="10" s="1"/>
  <c r="W40" i="6"/>
  <c r="D43" i="6"/>
  <c r="C42" i="6"/>
  <c r="E43" i="6"/>
  <c r="M42" i="6" l="1"/>
  <c r="W96" i="10" s="1"/>
  <c r="Z42" i="6"/>
  <c r="AP96" i="10" s="1"/>
  <c r="Y94" i="10"/>
  <c r="K40" i="6"/>
  <c r="Q94" i="10" s="1"/>
  <c r="C96" i="10"/>
  <c r="U42" i="6"/>
  <c r="AN96" i="10" s="1"/>
  <c r="T42" i="6"/>
  <c r="AL96" i="10" s="1"/>
  <c r="S42" i="6"/>
  <c r="AJ96" i="10" s="1"/>
  <c r="R42" i="6"/>
  <c r="AH96" i="10" s="1"/>
  <c r="Y42" i="6"/>
  <c r="AR96" i="10" s="1"/>
  <c r="X42" i="6"/>
  <c r="V41" i="6"/>
  <c r="W41" i="6"/>
  <c r="O41" i="6"/>
  <c r="P42" i="6"/>
  <c r="Z96" i="10" s="1"/>
  <c r="H42" i="6"/>
  <c r="K96" i="10" s="1"/>
  <c r="J42" i="6"/>
  <c r="O96" i="10" s="1"/>
  <c r="Q42" i="6"/>
  <c r="AD96" i="10" s="1"/>
  <c r="G42" i="6"/>
  <c r="I96" i="10" s="1"/>
  <c r="L42" i="6"/>
  <c r="S96" i="10" s="1"/>
  <c r="I42" i="6"/>
  <c r="M96" i="10" s="1"/>
  <c r="F42" i="6"/>
  <c r="G96" i="10" s="1"/>
  <c r="N42" i="6"/>
  <c r="U96" i="10" s="1"/>
  <c r="D44" i="6"/>
  <c r="C43" i="6"/>
  <c r="E44" i="6"/>
  <c r="M43" i="6" l="1"/>
  <c r="W97" i="10" s="1"/>
  <c r="Z43" i="6"/>
  <c r="AP97" i="10" s="1"/>
  <c r="Y95" i="10"/>
  <c r="K41" i="6"/>
  <c r="Q95" i="10" s="1"/>
  <c r="C97" i="10"/>
  <c r="U43" i="6"/>
  <c r="AN97" i="10" s="1"/>
  <c r="T43" i="6"/>
  <c r="AL97" i="10" s="1"/>
  <c r="S43" i="6"/>
  <c r="AJ97" i="10" s="1"/>
  <c r="R43" i="6"/>
  <c r="AH97" i="10" s="1"/>
  <c r="Y43" i="6"/>
  <c r="AR97" i="10" s="1"/>
  <c r="X43" i="6"/>
  <c r="W42" i="6"/>
  <c r="O42" i="6"/>
  <c r="V42" i="6"/>
  <c r="J43" i="6"/>
  <c r="O97" i="10" s="1"/>
  <c r="Q43" i="6"/>
  <c r="AD97" i="10" s="1"/>
  <c r="G43" i="6"/>
  <c r="I97" i="10" s="1"/>
  <c r="L43" i="6"/>
  <c r="S97" i="10" s="1"/>
  <c r="F43" i="6"/>
  <c r="G97" i="10" s="1"/>
  <c r="P43" i="6"/>
  <c r="Z97" i="10" s="1"/>
  <c r="H43" i="6"/>
  <c r="K97" i="10" s="1"/>
  <c r="N43" i="6"/>
  <c r="U97" i="10" s="1"/>
  <c r="I43" i="6"/>
  <c r="M97" i="10" s="1"/>
  <c r="D45" i="6"/>
  <c r="C44" i="6"/>
  <c r="E45" i="6"/>
  <c r="M44" i="6" l="1"/>
  <c r="W98" i="10" s="1"/>
  <c r="Z44" i="6"/>
  <c r="AP98" i="10" s="1"/>
  <c r="Y96" i="10"/>
  <c r="K42" i="6"/>
  <c r="Q96" i="10" s="1"/>
  <c r="C98" i="10"/>
  <c r="U44" i="6"/>
  <c r="AN98" i="10" s="1"/>
  <c r="T44" i="6"/>
  <c r="AL98" i="10" s="1"/>
  <c r="S44" i="6"/>
  <c r="AJ98" i="10" s="1"/>
  <c r="R44" i="6"/>
  <c r="AH98" i="10" s="1"/>
  <c r="Y44" i="6"/>
  <c r="AR98" i="10" s="1"/>
  <c r="X44" i="6"/>
  <c r="O43" i="6"/>
  <c r="W43" i="6"/>
  <c r="J44" i="6"/>
  <c r="O98" i="10" s="1"/>
  <c r="Q44" i="6"/>
  <c r="AD98" i="10" s="1"/>
  <c r="G44" i="6"/>
  <c r="I98" i="10" s="1"/>
  <c r="N44" i="6"/>
  <c r="U98" i="10" s="1"/>
  <c r="I44" i="6"/>
  <c r="M98" i="10" s="1"/>
  <c r="P44" i="6"/>
  <c r="Z98" i="10" s="1"/>
  <c r="H44" i="6"/>
  <c r="K98" i="10" s="1"/>
  <c r="L44" i="6"/>
  <c r="S98" i="10" s="1"/>
  <c r="F44" i="6"/>
  <c r="G98" i="10" s="1"/>
  <c r="V43" i="6"/>
  <c r="D46" i="6"/>
  <c r="C45" i="6"/>
  <c r="E46" i="6"/>
  <c r="M45" i="6" l="1"/>
  <c r="W99" i="10" s="1"/>
  <c r="Z45" i="6"/>
  <c r="AP99" i="10" s="1"/>
  <c r="Y97" i="10"/>
  <c r="K43" i="6"/>
  <c r="Q97" i="10" s="1"/>
  <c r="C99" i="10"/>
  <c r="U45" i="6"/>
  <c r="AN99" i="10" s="1"/>
  <c r="T45" i="6"/>
  <c r="AL99" i="10" s="1"/>
  <c r="S45" i="6"/>
  <c r="AJ99" i="10" s="1"/>
  <c r="R45" i="6"/>
  <c r="AH99" i="10" s="1"/>
  <c r="Y45" i="6"/>
  <c r="AR99" i="10" s="1"/>
  <c r="X45" i="6"/>
  <c r="O44" i="6"/>
  <c r="W44" i="6"/>
  <c r="V44" i="6"/>
  <c r="P45" i="6"/>
  <c r="Z99" i="10" s="1"/>
  <c r="H45" i="6"/>
  <c r="K99" i="10" s="1"/>
  <c r="J45" i="6"/>
  <c r="O99" i="10" s="1"/>
  <c r="Q45" i="6"/>
  <c r="AD99" i="10" s="1"/>
  <c r="G45" i="6"/>
  <c r="I99" i="10" s="1"/>
  <c r="L45" i="6"/>
  <c r="S99" i="10" s="1"/>
  <c r="F45" i="6"/>
  <c r="G99" i="10" s="1"/>
  <c r="N45" i="6"/>
  <c r="U99" i="10" s="1"/>
  <c r="I45" i="6"/>
  <c r="M99" i="10" s="1"/>
  <c r="D47" i="6"/>
  <c r="C46" i="6"/>
  <c r="E47" i="6"/>
  <c r="M46" i="6" l="1"/>
  <c r="W100" i="10" s="1"/>
  <c r="Z46" i="6"/>
  <c r="AP100" i="10" s="1"/>
  <c r="Y98" i="10"/>
  <c r="K44" i="6"/>
  <c r="Q98" i="10" s="1"/>
  <c r="C100" i="10"/>
  <c r="U46" i="6"/>
  <c r="AN100" i="10" s="1"/>
  <c r="T46" i="6"/>
  <c r="AL100" i="10" s="1"/>
  <c r="S46" i="6"/>
  <c r="AJ100" i="10" s="1"/>
  <c r="R46" i="6"/>
  <c r="AH100" i="10" s="1"/>
  <c r="Y46" i="6"/>
  <c r="AR100" i="10" s="1"/>
  <c r="X46" i="6"/>
  <c r="O45" i="6"/>
  <c r="W45" i="6"/>
  <c r="V45" i="6"/>
  <c r="J46" i="6"/>
  <c r="O100" i="10" s="1"/>
  <c r="Q46" i="6"/>
  <c r="AD100" i="10" s="1"/>
  <c r="G46" i="6"/>
  <c r="I100" i="10" s="1"/>
  <c r="L46" i="6"/>
  <c r="S100" i="10" s="1"/>
  <c r="F46" i="6"/>
  <c r="G100" i="10" s="1"/>
  <c r="N46" i="6"/>
  <c r="U100" i="10" s="1"/>
  <c r="I46" i="6"/>
  <c r="M100" i="10" s="1"/>
  <c r="P46" i="6"/>
  <c r="Z100" i="10" s="1"/>
  <c r="H46" i="6"/>
  <c r="K100" i="10" s="1"/>
  <c r="D48" i="6"/>
  <c r="C47" i="6"/>
  <c r="E48" i="6"/>
  <c r="M47" i="6" l="1"/>
  <c r="W101" i="10" s="1"/>
  <c r="Z47" i="6"/>
  <c r="AP101" i="10" s="1"/>
  <c r="Y99" i="10"/>
  <c r="K45" i="6"/>
  <c r="Q99" i="10" s="1"/>
  <c r="C101" i="10"/>
  <c r="U47" i="6"/>
  <c r="AN101" i="10" s="1"/>
  <c r="T47" i="6"/>
  <c r="AL101" i="10" s="1"/>
  <c r="S47" i="6"/>
  <c r="AJ101" i="10" s="1"/>
  <c r="R47" i="6"/>
  <c r="AH101" i="10" s="1"/>
  <c r="Y47" i="6"/>
  <c r="AR101" i="10" s="1"/>
  <c r="X47" i="6"/>
  <c r="O46" i="6"/>
  <c r="V46" i="6"/>
  <c r="W46" i="6"/>
  <c r="J47" i="6"/>
  <c r="O101" i="10" s="1"/>
  <c r="Q47" i="6"/>
  <c r="AD101" i="10" s="1"/>
  <c r="G47" i="6"/>
  <c r="I101" i="10" s="1"/>
  <c r="L47" i="6"/>
  <c r="S101" i="10" s="1"/>
  <c r="F47" i="6"/>
  <c r="G101" i="10" s="1"/>
  <c r="N47" i="6"/>
  <c r="U101" i="10" s="1"/>
  <c r="I47" i="6"/>
  <c r="M101" i="10" s="1"/>
  <c r="P47" i="6"/>
  <c r="Z101" i="10" s="1"/>
  <c r="H47" i="6"/>
  <c r="K101" i="10" s="1"/>
  <c r="D49" i="6"/>
  <c r="C48" i="6"/>
  <c r="E49" i="6"/>
  <c r="M48" i="6" l="1"/>
  <c r="W102" i="10" s="1"/>
  <c r="Z48" i="6"/>
  <c r="AP102" i="10" s="1"/>
  <c r="Y100" i="10"/>
  <c r="K46" i="6"/>
  <c r="Q100" i="10" s="1"/>
  <c r="C102" i="10"/>
  <c r="U48" i="6"/>
  <c r="AN102" i="10" s="1"/>
  <c r="T48" i="6"/>
  <c r="AL102" i="10" s="1"/>
  <c r="S48" i="6"/>
  <c r="AJ102" i="10" s="1"/>
  <c r="R48" i="6"/>
  <c r="AH102" i="10" s="1"/>
  <c r="Y48" i="6"/>
  <c r="AR102" i="10" s="1"/>
  <c r="X48" i="6"/>
  <c r="O47" i="6"/>
  <c r="W47" i="6"/>
  <c r="V47" i="6"/>
  <c r="J48" i="6"/>
  <c r="O102" i="10" s="1"/>
  <c r="Q48" i="6"/>
  <c r="AD102" i="10" s="1"/>
  <c r="G48" i="6"/>
  <c r="I102" i="10" s="1"/>
  <c r="L48" i="6"/>
  <c r="S102" i="10" s="1"/>
  <c r="F48" i="6"/>
  <c r="G102" i="10" s="1"/>
  <c r="P48" i="6"/>
  <c r="Z102" i="10" s="1"/>
  <c r="H48" i="6"/>
  <c r="K102" i="10" s="1"/>
  <c r="N48" i="6"/>
  <c r="U102" i="10" s="1"/>
  <c r="I48" i="6"/>
  <c r="M102" i="10" s="1"/>
  <c r="D50" i="6"/>
  <c r="C49" i="6"/>
  <c r="E50" i="6"/>
  <c r="M49" i="6" l="1"/>
  <c r="W103" i="10" s="1"/>
  <c r="Z49" i="6"/>
  <c r="AP103" i="10" s="1"/>
  <c r="Y101" i="10"/>
  <c r="K47" i="6"/>
  <c r="Q101" i="10" s="1"/>
  <c r="C103" i="10"/>
  <c r="U49" i="6"/>
  <c r="AN103" i="10" s="1"/>
  <c r="T49" i="6"/>
  <c r="AL103" i="10" s="1"/>
  <c r="S49" i="6"/>
  <c r="AJ103" i="10" s="1"/>
  <c r="R49" i="6"/>
  <c r="AH103" i="10" s="1"/>
  <c r="Y49" i="6"/>
  <c r="AR103" i="10" s="1"/>
  <c r="X49" i="6"/>
  <c r="O48" i="6"/>
  <c r="V48" i="6"/>
  <c r="W48" i="6"/>
  <c r="J49" i="6"/>
  <c r="O103" i="10" s="1"/>
  <c r="Q49" i="6"/>
  <c r="AD103" i="10" s="1"/>
  <c r="G49" i="6"/>
  <c r="I103" i="10" s="1"/>
  <c r="L49" i="6"/>
  <c r="S103" i="10" s="1"/>
  <c r="F49" i="6"/>
  <c r="G103" i="10" s="1"/>
  <c r="N49" i="6"/>
  <c r="U103" i="10" s="1"/>
  <c r="I49" i="6"/>
  <c r="M103" i="10" s="1"/>
  <c r="P49" i="6"/>
  <c r="Z103" i="10" s="1"/>
  <c r="H49" i="6"/>
  <c r="K103" i="10" s="1"/>
  <c r="D51" i="6"/>
  <c r="C50" i="6"/>
  <c r="E51" i="6"/>
  <c r="M50" i="6" l="1"/>
  <c r="W104" i="10" s="1"/>
  <c r="Z50" i="6"/>
  <c r="AP104" i="10" s="1"/>
  <c r="Y102" i="10"/>
  <c r="K48" i="6"/>
  <c r="Q102" i="10" s="1"/>
  <c r="C104" i="10"/>
  <c r="U50" i="6"/>
  <c r="AN104" i="10" s="1"/>
  <c r="T50" i="6"/>
  <c r="AL104" i="10" s="1"/>
  <c r="S50" i="6"/>
  <c r="AJ104" i="10" s="1"/>
  <c r="R50" i="6"/>
  <c r="AH104" i="10" s="1"/>
  <c r="Y50" i="6"/>
  <c r="AR104" i="10" s="1"/>
  <c r="X50" i="6"/>
  <c r="V49" i="6"/>
  <c r="W49" i="6"/>
  <c r="O49" i="6"/>
  <c r="L50" i="6"/>
  <c r="S104" i="10" s="1"/>
  <c r="F50" i="6"/>
  <c r="G104" i="10" s="1"/>
  <c r="N50" i="6"/>
  <c r="U104" i="10" s="1"/>
  <c r="I50" i="6"/>
  <c r="M104" i="10" s="1"/>
  <c r="P50" i="6"/>
  <c r="Z104" i="10" s="1"/>
  <c r="H50" i="6"/>
  <c r="K104" i="10" s="1"/>
  <c r="J50" i="6"/>
  <c r="O104" i="10" s="1"/>
  <c r="Q50" i="6"/>
  <c r="AD104" i="10" s="1"/>
  <c r="G50" i="6"/>
  <c r="I104" i="10" s="1"/>
  <c r="D52" i="6"/>
  <c r="C51" i="6"/>
  <c r="E52" i="6"/>
  <c r="M51" i="6" l="1"/>
  <c r="W105" i="10" s="1"/>
  <c r="Z51" i="6"/>
  <c r="AP105" i="10" s="1"/>
  <c r="Y103" i="10"/>
  <c r="K49" i="6"/>
  <c r="Q103" i="10" s="1"/>
  <c r="C105" i="10"/>
  <c r="U51" i="6"/>
  <c r="AN105" i="10" s="1"/>
  <c r="T51" i="6"/>
  <c r="AL105" i="10" s="1"/>
  <c r="S51" i="6"/>
  <c r="AJ105" i="10" s="1"/>
  <c r="R51" i="6"/>
  <c r="AH105" i="10" s="1"/>
  <c r="Y51" i="6"/>
  <c r="AR105" i="10" s="1"/>
  <c r="X51" i="6"/>
  <c r="O50" i="6"/>
  <c r="W50" i="6"/>
  <c r="J51" i="6"/>
  <c r="O105" i="10" s="1"/>
  <c r="Q51" i="6"/>
  <c r="AD105" i="10" s="1"/>
  <c r="G51" i="6"/>
  <c r="I105" i="10" s="1"/>
  <c r="L51" i="6"/>
  <c r="S105" i="10" s="1"/>
  <c r="F51" i="6"/>
  <c r="G105" i="10" s="1"/>
  <c r="N51" i="6"/>
  <c r="U105" i="10" s="1"/>
  <c r="I51" i="6"/>
  <c r="M105" i="10" s="1"/>
  <c r="P51" i="6"/>
  <c r="Z105" i="10" s="1"/>
  <c r="H51" i="6"/>
  <c r="K105" i="10" s="1"/>
  <c r="V50" i="6"/>
  <c r="D53" i="6"/>
  <c r="C52" i="6"/>
  <c r="E53" i="6"/>
  <c r="M52" i="6" l="1"/>
  <c r="W106" i="10" s="1"/>
  <c r="Z52" i="6"/>
  <c r="AP106" i="10" s="1"/>
  <c r="Y104" i="10"/>
  <c r="K50" i="6"/>
  <c r="Q104" i="10" s="1"/>
  <c r="C106" i="10"/>
  <c r="U52" i="6"/>
  <c r="AN106" i="10" s="1"/>
  <c r="T52" i="6"/>
  <c r="AL106" i="10" s="1"/>
  <c r="S52" i="6"/>
  <c r="AJ106" i="10" s="1"/>
  <c r="R52" i="6"/>
  <c r="AH106" i="10" s="1"/>
  <c r="Y52" i="6"/>
  <c r="AR106" i="10" s="1"/>
  <c r="X52" i="6"/>
  <c r="O51" i="6"/>
  <c r="W51" i="6"/>
  <c r="V51" i="6"/>
  <c r="P52" i="6"/>
  <c r="Z106" i="10" s="1"/>
  <c r="H52" i="6"/>
  <c r="K106" i="10" s="1"/>
  <c r="J52" i="6"/>
  <c r="O106" i="10" s="1"/>
  <c r="Q52" i="6"/>
  <c r="AD106" i="10" s="1"/>
  <c r="G52" i="6"/>
  <c r="I106" i="10" s="1"/>
  <c r="L52" i="6"/>
  <c r="S106" i="10" s="1"/>
  <c r="F52" i="6"/>
  <c r="G106" i="10" s="1"/>
  <c r="N52" i="6"/>
  <c r="U106" i="10" s="1"/>
  <c r="I52" i="6"/>
  <c r="M106" i="10" s="1"/>
  <c r="D54" i="6"/>
  <c r="C53" i="6"/>
  <c r="E54" i="6"/>
  <c r="M53" i="6" l="1"/>
  <c r="W107" i="10" s="1"/>
  <c r="Z53" i="6"/>
  <c r="AP107" i="10" s="1"/>
  <c r="Y105" i="10"/>
  <c r="K51" i="6"/>
  <c r="Q105" i="10" s="1"/>
  <c r="C107" i="10"/>
  <c r="U53" i="6"/>
  <c r="AN107" i="10" s="1"/>
  <c r="T53" i="6"/>
  <c r="AL107" i="10" s="1"/>
  <c r="S53" i="6"/>
  <c r="AJ107" i="10" s="1"/>
  <c r="R53" i="6"/>
  <c r="AH107" i="10" s="1"/>
  <c r="Y53" i="6"/>
  <c r="AR107" i="10" s="1"/>
  <c r="X53" i="6"/>
  <c r="V52" i="6"/>
  <c r="W52" i="6"/>
  <c r="O52" i="6"/>
  <c r="J53" i="6"/>
  <c r="O107" i="10" s="1"/>
  <c r="Q53" i="6"/>
  <c r="AD107" i="10" s="1"/>
  <c r="G53" i="6"/>
  <c r="I107" i="10" s="1"/>
  <c r="L53" i="6"/>
  <c r="S107" i="10" s="1"/>
  <c r="F53" i="6"/>
  <c r="G107" i="10" s="1"/>
  <c r="N53" i="6"/>
  <c r="U107" i="10" s="1"/>
  <c r="I53" i="6"/>
  <c r="M107" i="10" s="1"/>
  <c r="P53" i="6"/>
  <c r="Z107" i="10" s="1"/>
  <c r="H53" i="6"/>
  <c r="K107" i="10" s="1"/>
  <c r="D55" i="6"/>
  <c r="C54" i="6"/>
  <c r="E55" i="6"/>
  <c r="M54" i="6" l="1"/>
  <c r="W108" i="10" s="1"/>
  <c r="Z54" i="6"/>
  <c r="AP108" i="10" s="1"/>
  <c r="Y106" i="10"/>
  <c r="K52" i="6"/>
  <c r="Q106" i="10" s="1"/>
  <c r="C108" i="10"/>
  <c r="U54" i="6"/>
  <c r="AN108" i="10" s="1"/>
  <c r="T54" i="6"/>
  <c r="AL108" i="10" s="1"/>
  <c r="S54" i="6"/>
  <c r="AJ108" i="10" s="1"/>
  <c r="R54" i="6"/>
  <c r="AH108" i="10" s="1"/>
  <c r="Y54" i="6"/>
  <c r="AR108" i="10" s="1"/>
  <c r="X54" i="6"/>
  <c r="W53" i="6"/>
  <c r="O53" i="6"/>
  <c r="J54" i="6"/>
  <c r="O108" i="10" s="1"/>
  <c r="Q54" i="6"/>
  <c r="AD108" i="10" s="1"/>
  <c r="G54" i="6"/>
  <c r="I108" i="10" s="1"/>
  <c r="L54" i="6"/>
  <c r="S108" i="10" s="1"/>
  <c r="F54" i="6"/>
  <c r="G108" i="10" s="1"/>
  <c r="P54" i="6"/>
  <c r="Z108" i="10" s="1"/>
  <c r="H54" i="6"/>
  <c r="K108" i="10" s="1"/>
  <c r="N54" i="6"/>
  <c r="U108" i="10" s="1"/>
  <c r="I54" i="6"/>
  <c r="M108" i="10" s="1"/>
  <c r="V53" i="6"/>
  <c r="D56" i="6"/>
  <c r="C55" i="6"/>
  <c r="E56" i="6"/>
  <c r="M55" i="6" l="1"/>
  <c r="W109" i="10" s="1"/>
  <c r="Z55" i="6"/>
  <c r="AP109" i="10" s="1"/>
  <c r="Y107" i="10"/>
  <c r="K53" i="6"/>
  <c r="Q107" i="10" s="1"/>
  <c r="C109" i="10"/>
  <c r="U55" i="6"/>
  <c r="AN109" i="10" s="1"/>
  <c r="T55" i="6"/>
  <c r="AL109" i="10" s="1"/>
  <c r="S55" i="6"/>
  <c r="AJ109" i="10" s="1"/>
  <c r="R55" i="6"/>
  <c r="AH109" i="10" s="1"/>
  <c r="Y55" i="6"/>
  <c r="AR109" i="10" s="1"/>
  <c r="X55" i="6"/>
  <c r="V54" i="6"/>
  <c r="O54" i="6"/>
  <c r="W54" i="6"/>
  <c r="P55" i="6"/>
  <c r="Z109" i="10" s="1"/>
  <c r="H55" i="6"/>
  <c r="K109" i="10" s="1"/>
  <c r="J55" i="6"/>
  <c r="O109" i="10" s="1"/>
  <c r="Q55" i="6"/>
  <c r="AD109" i="10" s="1"/>
  <c r="G55" i="6"/>
  <c r="I109" i="10" s="1"/>
  <c r="N55" i="6"/>
  <c r="U109" i="10" s="1"/>
  <c r="I55" i="6"/>
  <c r="M109" i="10" s="1"/>
  <c r="L55" i="6"/>
  <c r="S109" i="10" s="1"/>
  <c r="F55" i="6"/>
  <c r="G109" i="10" s="1"/>
  <c r="D57" i="6"/>
  <c r="C56" i="6"/>
  <c r="E57" i="6"/>
  <c r="M56" i="6" l="1"/>
  <c r="W110" i="10" s="1"/>
  <c r="Z56" i="6"/>
  <c r="AP110" i="10" s="1"/>
  <c r="Y108" i="10"/>
  <c r="K54" i="6"/>
  <c r="Q108" i="10" s="1"/>
  <c r="C110" i="10"/>
  <c r="U56" i="6"/>
  <c r="AN110" i="10" s="1"/>
  <c r="T56" i="6"/>
  <c r="AL110" i="10" s="1"/>
  <c r="S56" i="6"/>
  <c r="AJ110" i="10" s="1"/>
  <c r="R56" i="6"/>
  <c r="AH110" i="10" s="1"/>
  <c r="Y56" i="6"/>
  <c r="AR110" i="10" s="1"/>
  <c r="X56" i="6"/>
  <c r="O55" i="6"/>
  <c r="W55" i="6"/>
  <c r="J56" i="6"/>
  <c r="O110" i="10" s="1"/>
  <c r="Q56" i="6"/>
  <c r="AD110" i="10" s="1"/>
  <c r="G56" i="6"/>
  <c r="I110" i="10" s="1"/>
  <c r="N56" i="6"/>
  <c r="U110" i="10" s="1"/>
  <c r="L56" i="6"/>
  <c r="S110" i="10" s="1"/>
  <c r="F56" i="6"/>
  <c r="G110" i="10" s="1"/>
  <c r="I56" i="6"/>
  <c r="M110" i="10" s="1"/>
  <c r="P56" i="6"/>
  <c r="Z110" i="10" s="1"/>
  <c r="H56" i="6"/>
  <c r="K110" i="10" s="1"/>
  <c r="V55" i="6"/>
  <c r="D58" i="6"/>
  <c r="C57" i="6"/>
  <c r="E58" i="6"/>
  <c r="M57" i="6" l="1"/>
  <c r="W111" i="10" s="1"/>
  <c r="Z57" i="6"/>
  <c r="AP111" i="10" s="1"/>
  <c r="Y109" i="10"/>
  <c r="K55" i="6"/>
  <c r="Q109" i="10" s="1"/>
  <c r="C111" i="10"/>
  <c r="U57" i="6"/>
  <c r="AN111" i="10" s="1"/>
  <c r="T57" i="6"/>
  <c r="AL111" i="10" s="1"/>
  <c r="S57" i="6"/>
  <c r="AJ111" i="10" s="1"/>
  <c r="R57" i="6"/>
  <c r="AH111" i="10" s="1"/>
  <c r="Y57" i="6"/>
  <c r="AR111" i="10" s="1"/>
  <c r="X57" i="6"/>
  <c r="W56" i="6"/>
  <c r="O56" i="6"/>
  <c r="V56" i="6"/>
  <c r="P57" i="6"/>
  <c r="Z111" i="10" s="1"/>
  <c r="H57" i="6"/>
  <c r="K111" i="10" s="1"/>
  <c r="J57" i="6"/>
  <c r="O111" i="10" s="1"/>
  <c r="Q57" i="6"/>
  <c r="AD111" i="10" s="1"/>
  <c r="G57" i="6"/>
  <c r="I111" i="10" s="1"/>
  <c r="L57" i="6"/>
  <c r="S111" i="10" s="1"/>
  <c r="N57" i="6"/>
  <c r="U111" i="10" s="1"/>
  <c r="I57" i="6"/>
  <c r="M111" i="10" s="1"/>
  <c r="F57" i="6"/>
  <c r="G111" i="10" s="1"/>
  <c r="D59" i="6"/>
  <c r="C58" i="6"/>
  <c r="E59" i="6"/>
  <c r="M58" i="6" l="1"/>
  <c r="W112" i="10" s="1"/>
  <c r="Z58" i="6"/>
  <c r="AP112" i="10" s="1"/>
  <c r="Y110" i="10"/>
  <c r="K56" i="6"/>
  <c r="Q110" i="10" s="1"/>
  <c r="C112" i="10"/>
  <c r="U58" i="6"/>
  <c r="AN112" i="10" s="1"/>
  <c r="T58" i="6"/>
  <c r="AL112" i="10" s="1"/>
  <c r="S58" i="6"/>
  <c r="AJ112" i="10" s="1"/>
  <c r="R58" i="6"/>
  <c r="AH112" i="10" s="1"/>
  <c r="Y58" i="6"/>
  <c r="AR112" i="10" s="1"/>
  <c r="X58" i="6"/>
  <c r="W57" i="6"/>
  <c r="O57" i="6"/>
  <c r="V57" i="6"/>
  <c r="J58" i="6"/>
  <c r="O112" i="10" s="1"/>
  <c r="Q58" i="6"/>
  <c r="AD112" i="10" s="1"/>
  <c r="G58" i="6"/>
  <c r="I112" i="10" s="1"/>
  <c r="L58" i="6"/>
  <c r="S112" i="10" s="1"/>
  <c r="F58" i="6"/>
  <c r="G112" i="10" s="1"/>
  <c r="N58" i="6"/>
  <c r="U112" i="10" s="1"/>
  <c r="I58" i="6"/>
  <c r="M112" i="10" s="1"/>
  <c r="P58" i="6"/>
  <c r="Z112" i="10" s="1"/>
  <c r="H58" i="6"/>
  <c r="K112" i="10" s="1"/>
  <c r="D60" i="6"/>
  <c r="C59" i="6"/>
  <c r="E60" i="6"/>
  <c r="M59" i="6" l="1"/>
  <c r="W113" i="10" s="1"/>
  <c r="Z59" i="6"/>
  <c r="AP113" i="10" s="1"/>
  <c r="Y111" i="10"/>
  <c r="K57" i="6"/>
  <c r="Q111" i="10" s="1"/>
  <c r="C113" i="10"/>
  <c r="U59" i="6"/>
  <c r="AN113" i="10" s="1"/>
  <c r="T59" i="6"/>
  <c r="AL113" i="10" s="1"/>
  <c r="S59" i="6"/>
  <c r="AJ113" i="10" s="1"/>
  <c r="R59" i="6"/>
  <c r="AH113" i="10" s="1"/>
  <c r="Y59" i="6"/>
  <c r="AR113" i="10" s="1"/>
  <c r="X59" i="6"/>
  <c r="O58" i="6"/>
  <c r="W58" i="6"/>
  <c r="J59" i="6"/>
  <c r="O113" i="10" s="1"/>
  <c r="Q59" i="6"/>
  <c r="AD113" i="10" s="1"/>
  <c r="G59" i="6"/>
  <c r="I113" i="10" s="1"/>
  <c r="L59" i="6"/>
  <c r="S113" i="10" s="1"/>
  <c r="F59" i="6"/>
  <c r="G113" i="10" s="1"/>
  <c r="N59" i="6"/>
  <c r="U113" i="10" s="1"/>
  <c r="I59" i="6"/>
  <c r="M113" i="10" s="1"/>
  <c r="P59" i="6"/>
  <c r="Z113" i="10" s="1"/>
  <c r="H59" i="6"/>
  <c r="K113" i="10" s="1"/>
  <c r="V58" i="6"/>
  <c r="D61" i="6"/>
  <c r="C60" i="6"/>
  <c r="E61" i="6"/>
  <c r="M60" i="6" l="1"/>
  <c r="W114" i="10" s="1"/>
  <c r="Z60" i="6"/>
  <c r="AP114" i="10" s="1"/>
  <c r="Y112" i="10"/>
  <c r="K58" i="6"/>
  <c r="Q112" i="10" s="1"/>
  <c r="C114" i="10"/>
  <c r="U60" i="6"/>
  <c r="AN114" i="10" s="1"/>
  <c r="T60" i="6"/>
  <c r="AL114" i="10" s="1"/>
  <c r="S60" i="6"/>
  <c r="AJ114" i="10" s="1"/>
  <c r="R60" i="6"/>
  <c r="AH114" i="10" s="1"/>
  <c r="Y60" i="6"/>
  <c r="AR114" i="10" s="1"/>
  <c r="X60" i="6"/>
  <c r="O59" i="6"/>
  <c r="W59" i="6"/>
  <c r="V59" i="6"/>
  <c r="P60" i="6"/>
  <c r="Z114" i="10" s="1"/>
  <c r="H60" i="6"/>
  <c r="K114" i="10" s="1"/>
  <c r="J60" i="6"/>
  <c r="O114" i="10" s="1"/>
  <c r="Q60" i="6"/>
  <c r="AD114" i="10" s="1"/>
  <c r="G60" i="6"/>
  <c r="I114" i="10" s="1"/>
  <c r="L60" i="6"/>
  <c r="S114" i="10" s="1"/>
  <c r="F60" i="6"/>
  <c r="G114" i="10" s="1"/>
  <c r="N60" i="6"/>
  <c r="U114" i="10" s="1"/>
  <c r="I60" i="6"/>
  <c r="M114" i="10" s="1"/>
  <c r="D62" i="6"/>
  <c r="C61" i="6"/>
  <c r="E62" i="6"/>
  <c r="M61" i="6" l="1"/>
  <c r="W115" i="10" s="1"/>
  <c r="Z61" i="6"/>
  <c r="AP115" i="10" s="1"/>
  <c r="Y113" i="10"/>
  <c r="K59" i="6"/>
  <c r="Q113" i="10" s="1"/>
  <c r="C115" i="10"/>
  <c r="U61" i="6"/>
  <c r="AN115" i="10" s="1"/>
  <c r="T61" i="6"/>
  <c r="AL115" i="10" s="1"/>
  <c r="S61" i="6"/>
  <c r="AJ115" i="10" s="1"/>
  <c r="R61" i="6"/>
  <c r="AH115" i="10" s="1"/>
  <c r="Y61" i="6"/>
  <c r="AR115" i="10" s="1"/>
  <c r="X61" i="6"/>
  <c r="W60" i="6"/>
  <c r="O60" i="6"/>
  <c r="V60" i="6"/>
  <c r="J61" i="6"/>
  <c r="O115" i="10" s="1"/>
  <c r="Q61" i="6"/>
  <c r="AD115" i="10" s="1"/>
  <c r="G61" i="6"/>
  <c r="I115" i="10" s="1"/>
  <c r="L61" i="6"/>
  <c r="S115" i="10" s="1"/>
  <c r="F61" i="6"/>
  <c r="G115" i="10" s="1"/>
  <c r="N61" i="6"/>
  <c r="U115" i="10" s="1"/>
  <c r="I61" i="6"/>
  <c r="M115" i="10" s="1"/>
  <c r="P61" i="6"/>
  <c r="Z115" i="10" s="1"/>
  <c r="H61" i="6"/>
  <c r="K115" i="10" s="1"/>
  <c r="D63" i="6"/>
  <c r="C62" i="6"/>
  <c r="E63" i="6"/>
  <c r="M62" i="6" l="1"/>
  <c r="W116" i="10" s="1"/>
  <c r="Z62" i="6"/>
  <c r="AP116" i="10" s="1"/>
  <c r="Y114" i="10"/>
  <c r="K60" i="6"/>
  <c r="Q114" i="10" s="1"/>
  <c r="C116" i="10"/>
  <c r="U62" i="6"/>
  <c r="AN116" i="10" s="1"/>
  <c r="T62" i="6"/>
  <c r="AL116" i="10" s="1"/>
  <c r="S62" i="6"/>
  <c r="AJ116" i="10" s="1"/>
  <c r="R62" i="6"/>
  <c r="AH116" i="10" s="1"/>
  <c r="Y62" i="6"/>
  <c r="AR116" i="10" s="1"/>
  <c r="X62" i="6"/>
  <c r="W61" i="6"/>
  <c r="V61" i="6"/>
  <c r="O61" i="6"/>
  <c r="J62" i="6"/>
  <c r="O116" i="10" s="1"/>
  <c r="Q62" i="6"/>
  <c r="AD116" i="10" s="1"/>
  <c r="G62" i="6"/>
  <c r="I116" i="10" s="1"/>
  <c r="L62" i="6"/>
  <c r="S116" i="10" s="1"/>
  <c r="F62" i="6"/>
  <c r="G116" i="10" s="1"/>
  <c r="P62" i="6"/>
  <c r="Z116" i="10" s="1"/>
  <c r="H62" i="6"/>
  <c r="K116" i="10" s="1"/>
  <c r="N62" i="6"/>
  <c r="U116" i="10" s="1"/>
  <c r="I62" i="6"/>
  <c r="M116" i="10" s="1"/>
  <c r="D64" i="6"/>
  <c r="C63" i="6"/>
  <c r="E64" i="6"/>
  <c r="M63" i="6" l="1"/>
  <c r="W117" i="10" s="1"/>
  <c r="Z63" i="6"/>
  <c r="AP117" i="10" s="1"/>
  <c r="Y115" i="10"/>
  <c r="K61" i="6"/>
  <c r="Q115" i="10" s="1"/>
  <c r="C117" i="10"/>
  <c r="U63" i="6"/>
  <c r="AN117" i="10" s="1"/>
  <c r="T63" i="6"/>
  <c r="AL117" i="10" s="1"/>
  <c r="S63" i="6"/>
  <c r="AJ117" i="10" s="1"/>
  <c r="R63" i="6"/>
  <c r="AH117" i="10" s="1"/>
  <c r="Y63" i="6"/>
  <c r="AR117" i="10" s="1"/>
  <c r="X63" i="6"/>
  <c r="O62" i="6"/>
  <c r="W62" i="6"/>
  <c r="L63" i="6"/>
  <c r="S117" i="10" s="1"/>
  <c r="F63" i="6"/>
  <c r="G117" i="10" s="1"/>
  <c r="N63" i="6"/>
  <c r="U117" i="10" s="1"/>
  <c r="I63" i="6"/>
  <c r="M117" i="10" s="1"/>
  <c r="P63" i="6"/>
  <c r="Z117" i="10" s="1"/>
  <c r="H63" i="6"/>
  <c r="K117" i="10" s="1"/>
  <c r="J63" i="6"/>
  <c r="O117" i="10" s="1"/>
  <c r="Q63" i="6"/>
  <c r="AD117" i="10" s="1"/>
  <c r="G63" i="6"/>
  <c r="I117" i="10" s="1"/>
  <c r="V62" i="6"/>
  <c r="D65" i="6"/>
  <c r="C64" i="6"/>
  <c r="E65" i="6"/>
  <c r="M64" i="6" l="1"/>
  <c r="W118" i="10" s="1"/>
  <c r="Z64" i="6"/>
  <c r="AP118" i="10" s="1"/>
  <c r="Y116" i="10"/>
  <c r="K62" i="6"/>
  <c r="Q116" i="10" s="1"/>
  <c r="C118" i="10"/>
  <c r="U64" i="6"/>
  <c r="AN118" i="10" s="1"/>
  <c r="T64" i="6"/>
  <c r="AL118" i="10" s="1"/>
  <c r="S64" i="6"/>
  <c r="AJ118" i="10" s="1"/>
  <c r="R64" i="6"/>
  <c r="AH118" i="10" s="1"/>
  <c r="Y64" i="6"/>
  <c r="AR118" i="10" s="1"/>
  <c r="X64" i="6"/>
  <c r="O63" i="6"/>
  <c r="V63" i="6"/>
  <c r="W63" i="6"/>
  <c r="P64" i="6"/>
  <c r="Z118" i="10" s="1"/>
  <c r="H64" i="6"/>
  <c r="K118" i="10" s="1"/>
  <c r="J64" i="6"/>
  <c r="O118" i="10" s="1"/>
  <c r="Q64" i="6"/>
  <c r="AD118" i="10" s="1"/>
  <c r="G64" i="6"/>
  <c r="I118" i="10" s="1"/>
  <c r="L64" i="6"/>
  <c r="S118" i="10" s="1"/>
  <c r="F64" i="6"/>
  <c r="G118" i="10" s="1"/>
  <c r="N64" i="6"/>
  <c r="U118" i="10" s="1"/>
  <c r="I64" i="6"/>
  <c r="M118" i="10" s="1"/>
  <c r="D66" i="6"/>
  <c r="C65" i="6"/>
  <c r="E66" i="6"/>
  <c r="M65" i="6" l="1"/>
  <c r="W119" i="10" s="1"/>
  <c r="Z65" i="6"/>
  <c r="AP119" i="10" s="1"/>
  <c r="Y117" i="10"/>
  <c r="K63" i="6"/>
  <c r="Q117" i="10" s="1"/>
  <c r="C119" i="10"/>
  <c r="U65" i="6"/>
  <c r="AN119" i="10" s="1"/>
  <c r="T65" i="6"/>
  <c r="AL119" i="10" s="1"/>
  <c r="S65" i="6"/>
  <c r="AJ119" i="10" s="1"/>
  <c r="R65" i="6"/>
  <c r="AH119" i="10" s="1"/>
  <c r="Y65" i="6"/>
  <c r="AR119" i="10" s="1"/>
  <c r="X65" i="6"/>
  <c r="O64" i="6"/>
  <c r="W64" i="6"/>
  <c r="L65" i="6"/>
  <c r="S119" i="10" s="1"/>
  <c r="F65" i="6"/>
  <c r="G119" i="10" s="1"/>
  <c r="N65" i="6"/>
  <c r="U119" i="10" s="1"/>
  <c r="I65" i="6"/>
  <c r="M119" i="10" s="1"/>
  <c r="P65" i="6"/>
  <c r="Z119" i="10" s="1"/>
  <c r="H65" i="6"/>
  <c r="K119" i="10" s="1"/>
  <c r="J65" i="6"/>
  <c r="O119" i="10" s="1"/>
  <c r="Q65" i="6"/>
  <c r="AD119" i="10" s="1"/>
  <c r="G65" i="6"/>
  <c r="I119" i="10" s="1"/>
  <c r="V64" i="6"/>
  <c r="D67" i="6"/>
  <c r="C66" i="6"/>
  <c r="E67" i="6"/>
  <c r="M66" i="6" l="1"/>
  <c r="W120" i="10" s="1"/>
  <c r="Z66" i="6"/>
  <c r="AP120" i="10" s="1"/>
  <c r="Y118" i="10"/>
  <c r="K64" i="6"/>
  <c r="Q118" i="10" s="1"/>
  <c r="C120" i="10"/>
  <c r="U66" i="6"/>
  <c r="AN120" i="10" s="1"/>
  <c r="T66" i="6"/>
  <c r="AL120" i="10" s="1"/>
  <c r="S66" i="6"/>
  <c r="AJ120" i="10" s="1"/>
  <c r="R66" i="6"/>
  <c r="AH120" i="10" s="1"/>
  <c r="Y66" i="6"/>
  <c r="AR120" i="10" s="1"/>
  <c r="X66" i="6"/>
  <c r="V65" i="6"/>
  <c r="O65" i="6"/>
  <c r="W65" i="6"/>
  <c r="P66" i="6"/>
  <c r="Z120" i="10" s="1"/>
  <c r="H66" i="6"/>
  <c r="K120" i="10" s="1"/>
  <c r="J66" i="6"/>
  <c r="O120" i="10" s="1"/>
  <c r="Q66" i="6"/>
  <c r="AD120" i="10" s="1"/>
  <c r="G66" i="6"/>
  <c r="I120" i="10" s="1"/>
  <c r="L66" i="6"/>
  <c r="S120" i="10" s="1"/>
  <c r="F66" i="6"/>
  <c r="G120" i="10" s="1"/>
  <c r="N66" i="6"/>
  <c r="U120" i="10" s="1"/>
  <c r="I66" i="6"/>
  <c r="M120" i="10" s="1"/>
  <c r="D68" i="6"/>
  <c r="C67" i="6"/>
  <c r="E68" i="6"/>
  <c r="M67" i="6" l="1"/>
  <c r="W121" i="10" s="1"/>
  <c r="Z67" i="6"/>
  <c r="AP121" i="10" s="1"/>
  <c r="Y119" i="10"/>
  <c r="K65" i="6"/>
  <c r="Q119" i="10" s="1"/>
  <c r="C121" i="10"/>
  <c r="U67" i="6"/>
  <c r="AN121" i="10" s="1"/>
  <c r="T67" i="6"/>
  <c r="AL121" i="10" s="1"/>
  <c r="S67" i="6"/>
  <c r="AJ121" i="10" s="1"/>
  <c r="R67" i="6"/>
  <c r="AH121" i="10" s="1"/>
  <c r="Y67" i="6"/>
  <c r="AR121" i="10" s="1"/>
  <c r="X67" i="6"/>
  <c r="V66" i="6"/>
  <c r="O66" i="6"/>
  <c r="W66" i="6"/>
  <c r="L67" i="6"/>
  <c r="S121" i="10" s="1"/>
  <c r="F67" i="6"/>
  <c r="G121" i="10" s="1"/>
  <c r="N67" i="6"/>
  <c r="U121" i="10" s="1"/>
  <c r="I67" i="6"/>
  <c r="M121" i="10" s="1"/>
  <c r="P67" i="6"/>
  <c r="Z121" i="10" s="1"/>
  <c r="H67" i="6"/>
  <c r="K121" i="10" s="1"/>
  <c r="J67" i="6"/>
  <c r="O121" i="10" s="1"/>
  <c r="Q67" i="6"/>
  <c r="AD121" i="10" s="1"/>
  <c r="G67" i="6"/>
  <c r="I121" i="10" s="1"/>
  <c r="D69" i="6"/>
  <c r="C68" i="6"/>
  <c r="E69" i="6"/>
  <c r="M68" i="6" l="1"/>
  <c r="W122" i="10" s="1"/>
  <c r="Z68" i="6"/>
  <c r="AP122" i="10" s="1"/>
  <c r="Y120" i="10"/>
  <c r="K66" i="6"/>
  <c r="Q120" i="10" s="1"/>
  <c r="C122" i="10"/>
  <c r="U68" i="6"/>
  <c r="AN122" i="10" s="1"/>
  <c r="T68" i="6"/>
  <c r="AL122" i="10" s="1"/>
  <c r="S68" i="6"/>
  <c r="AJ122" i="10" s="1"/>
  <c r="R68" i="6"/>
  <c r="AH122" i="10" s="1"/>
  <c r="Y68" i="6"/>
  <c r="AR122" i="10" s="1"/>
  <c r="X68" i="6"/>
  <c r="O67" i="6"/>
  <c r="W67" i="6"/>
  <c r="V67" i="6"/>
  <c r="J68" i="6"/>
  <c r="O122" i="10" s="1"/>
  <c r="Q68" i="6"/>
  <c r="AD122" i="10" s="1"/>
  <c r="G68" i="6"/>
  <c r="I122" i="10" s="1"/>
  <c r="L68" i="6"/>
  <c r="S122" i="10" s="1"/>
  <c r="F68" i="6"/>
  <c r="G122" i="10" s="1"/>
  <c r="I68" i="6"/>
  <c r="M122" i="10" s="1"/>
  <c r="H68" i="6"/>
  <c r="K122" i="10" s="1"/>
  <c r="N68" i="6"/>
  <c r="U122" i="10" s="1"/>
  <c r="P68" i="6"/>
  <c r="Z122" i="10" s="1"/>
  <c r="D70" i="6"/>
  <c r="C69" i="6"/>
  <c r="E70" i="6"/>
  <c r="M69" i="6" l="1"/>
  <c r="W123" i="10" s="1"/>
  <c r="Z69" i="6"/>
  <c r="AP123" i="10" s="1"/>
  <c r="Y121" i="10"/>
  <c r="K67" i="6"/>
  <c r="Q121" i="10" s="1"/>
  <c r="C123" i="10"/>
  <c r="U69" i="6"/>
  <c r="AN123" i="10" s="1"/>
  <c r="T69" i="6"/>
  <c r="AL123" i="10" s="1"/>
  <c r="S69" i="6"/>
  <c r="AJ123" i="10" s="1"/>
  <c r="R69" i="6"/>
  <c r="AH123" i="10" s="1"/>
  <c r="Y69" i="6"/>
  <c r="AR123" i="10" s="1"/>
  <c r="X69" i="6"/>
  <c r="O68" i="6"/>
  <c r="W68" i="6"/>
  <c r="N69" i="6"/>
  <c r="U123" i="10" s="1"/>
  <c r="I69" i="6"/>
  <c r="M123" i="10" s="1"/>
  <c r="P69" i="6"/>
  <c r="Z123" i="10" s="1"/>
  <c r="H69" i="6"/>
  <c r="K123" i="10" s="1"/>
  <c r="J69" i="6"/>
  <c r="O123" i="10" s="1"/>
  <c r="Q69" i="6"/>
  <c r="AD123" i="10" s="1"/>
  <c r="G69" i="6"/>
  <c r="I123" i="10" s="1"/>
  <c r="L69" i="6"/>
  <c r="S123" i="10" s="1"/>
  <c r="F69" i="6"/>
  <c r="G123" i="10" s="1"/>
  <c r="V68" i="6"/>
  <c r="D71" i="6"/>
  <c r="C70" i="6"/>
  <c r="E71" i="6"/>
  <c r="M70" i="6" l="1"/>
  <c r="W124" i="10" s="1"/>
  <c r="Z70" i="6"/>
  <c r="AP124" i="10" s="1"/>
  <c r="Y122" i="10"/>
  <c r="K68" i="6"/>
  <c r="Q122" i="10" s="1"/>
  <c r="C124" i="10"/>
  <c r="U70" i="6"/>
  <c r="AN124" i="10" s="1"/>
  <c r="T70" i="6"/>
  <c r="AL124" i="10" s="1"/>
  <c r="S70" i="6"/>
  <c r="AJ124" i="10" s="1"/>
  <c r="R70" i="6"/>
  <c r="AH124" i="10" s="1"/>
  <c r="Y70" i="6"/>
  <c r="AR124" i="10" s="1"/>
  <c r="X70" i="6"/>
  <c r="O69" i="6"/>
  <c r="V69" i="6"/>
  <c r="W69" i="6"/>
  <c r="P70" i="6"/>
  <c r="Z124" i="10" s="1"/>
  <c r="H70" i="6"/>
  <c r="K124" i="10" s="1"/>
  <c r="F70" i="6"/>
  <c r="G124" i="10" s="1"/>
  <c r="J70" i="6"/>
  <c r="O124" i="10" s="1"/>
  <c r="Q70" i="6"/>
  <c r="AD124" i="10" s="1"/>
  <c r="G70" i="6"/>
  <c r="I124" i="10" s="1"/>
  <c r="L70" i="6"/>
  <c r="S124" i="10" s="1"/>
  <c r="N70" i="6"/>
  <c r="U124" i="10" s="1"/>
  <c r="I70" i="6"/>
  <c r="M124" i="10" s="1"/>
  <c r="D72" i="6"/>
  <c r="C71" i="6"/>
  <c r="E72" i="6"/>
  <c r="M71" i="6" l="1"/>
  <c r="W125" i="10" s="1"/>
  <c r="Z71" i="6"/>
  <c r="AP125" i="10" s="1"/>
  <c r="Y123" i="10"/>
  <c r="K69" i="6"/>
  <c r="Q123" i="10" s="1"/>
  <c r="C125" i="10"/>
  <c r="U71" i="6"/>
  <c r="AN125" i="10" s="1"/>
  <c r="T71" i="6"/>
  <c r="AL125" i="10" s="1"/>
  <c r="S71" i="6"/>
  <c r="AJ125" i="10" s="1"/>
  <c r="R71" i="6"/>
  <c r="AH125" i="10" s="1"/>
  <c r="Y71" i="6"/>
  <c r="AR125" i="10" s="1"/>
  <c r="X71" i="6"/>
  <c r="O70" i="6"/>
  <c r="V70" i="6"/>
  <c r="W70" i="6"/>
  <c r="J71" i="6"/>
  <c r="O125" i="10" s="1"/>
  <c r="Q71" i="6"/>
  <c r="AD125" i="10" s="1"/>
  <c r="G71" i="6"/>
  <c r="I125" i="10" s="1"/>
  <c r="L71" i="6"/>
  <c r="S125" i="10" s="1"/>
  <c r="F71" i="6"/>
  <c r="G125" i="10" s="1"/>
  <c r="N71" i="6"/>
  <c r="U125" i="10" s="1"/>
  <c r="I71" i="6"/>
  <c r="M125" i="10" s="1"/>
  <c r="P71" i="6"/>
  <c r="Z125" i="10" s="1"/>
  <c r="H71" i="6"/>
  <c r="K125" i="10" s="1"/>
  <c r="D73" i="6"/>
  <c r="C72" i="6"/>
  <c r="E73" i="6"/>
  <c r="M72" i="6" l="1"/>
  <c r="W126" i="10" s="1"/>
  <c r="Z72" i="6"/>
  <c r="AP126" i="10" s="1"/>
  <c r="Y124" i="10"/>
  <c r="K70" i="6"/>
  <c r="Q124" i="10" s="1"/>
  <c r="C126" i="10"/>
  <c r="U72" i="6"/>
  <c r="AN126" i="10" s="1"/>
  <c r="T72" i="6"/>
  <c r="AL126" i="10" s="1"/>
  <c r="S72" i="6"/>
  <c r="AJ126" i="10" s="1"/>
  <c r="R72" i="6"/>
  <c r="AH126" i="10" s="1"/>
  <c r="Y72" i="6"/>
  <c r="AR126" i="10" s="1"/>
  <c r="X72" i="6"/>
  <c r="W71" i="6"/>
  <c r="O71" i="6"/>
  <c r="V71" i="6"/>
  <c r="J72" i="6"/>
  <c r="O126" i="10" s="1"/>
  <c r="Q72" i="6"/>
  <c r="AD126" i="10" s="1"/>
  <c r="G72" i="6"/>
  <c r="I126" i="10" s="1"/>
  <c r="L72" i="6"/>
  <c r="S126" i="10" s="1"/>
  <c r="F72" i="6"/>
  <c r="G126" i="10" s="1"/>
  <c r="N72" i="6"/>
  <c r="U126" i="10" s="1"/>
  <c r="P72" i="6"/>
  <c r="Z126" i="10" s="1"/>
  <c r="H72" i="6"/>
  <c r="K126" i="10" s="1"/>
  <c r="I72" i="6"/>
  <c r="M126" i="10" s="1"/>
  <c r="D74" i="6"/>
  <c r="C73" i="6"/>
  <c r="E74" i="6"/>
  <c r="M73" i="6" l="1"/>
  <c r="W127" i="10" s="1"/>
  <c r="Z73" i="6"/>
  <c r="AP127" i="10" s="1"/>
  <c r="Y125" i="10"/>
  <c r="K71" i="6"/>
  <c r="Q125" i="10" s="1"/>
  <c r="C127" i="10"/>
  <c r="U73" i="6"/>
  <c r="AN127" i="10" s="1"/>
  <c r="T73" i="6"/>
  <c r="AL127" i="10" s="1"/>
  <c r="S73" i="6"/>
  <c r="AJ127" i="10" s="1"/>
  <c r="R73" i="6"/>
  <c r="AH127" i="10" s="1"/>
  <c r="Y73" i="6"/>
  <c r="AR127" i="10" s="1"/>
  <c r="X73" i="6"/>
  <c r="O72" i="6"/>
  <c r="W72" i="6"/>
  <c r="V72" i="6"/>
  <c r="J73" i="6"/>
  <c r="O127" i="10" s="1"/>
  <c r="Q73" i="6"/>
  <c r="AD127" i="10" s="1"/>
  <c r="G73" i="6"/>
  <c r="I127" i="10" s="1"/>
  <c r="L73" i="6"/>
  <c r="S127" i="10" s="1"/>
  <c r="F73" i="6"/>
  <c r="G127" i="10" s="1"/>
  <c r="P73" i="6"/>
  <c r="Z127" i="10" s="1"/>
  <c r="H73" i="6"/>
  <c r="K127" i="10" s="1"/>
  <c r="N73" i="6"/>
  <c r="U127" i="10" s="1"/>
  <c r="I73" i="6"/>
  <c r="M127" i="10" s="1"/>
  <c r="D75" i="6"/>
  <c r="C74" i="6"/>
  <c r="E75" i="6"/>
  <c r="M74" i="6" l="1"/>
  <c r="W128" i="10" s="1"/>
  <c r="Z74" i="6"/>
  <c r="AP128" i="10" s="1"/>
  <c r="Y126" i="10"/>
  <c r="K72" i="6"/>
  <c r="Q126" i="10" s="1"/>
  <c r="C128" i="10"/>
  <c r="U74" i="6"/>
  <c r="AN128" i="10" s="1"/>
  <c r="T74" i="6"/>
  <c r="AL128" i="10" s="1"/>
  <c r="S74" i="6"/>
  <c r="AJ128" i="10" s="1"/>
  <c r="R74" i="6"/>
  <c r="AH128" i="10" s="1"/>
  <c r="Y74" i="6"/>
  <c r="AR128" i="10" s="1"/>
  <c r="X74" i="6"/>
  <c r="O73" i="6"/>
  <c r="W73" i="6"/>
  <c r="V73" i="6"/>
  <c r="J74" i="6"/>
  <c r="O128" i="10" s="1"/>
  <c r="Q74" i="6"/>
  <c r="AD128" i="10" s="1"/>
  <c r="G74" i="6"/>
  <c r="I128" i="10" s="1"/>
  <c r="L74" i="6"/>
  <c r="S128" i="10" s="1"/>
  <c r="F74" i="6"/>
  <c r="G128" i="10" s="1"/>
  <c r="N74" i="6"/>
  <c r="U128" i="10" s="1"/>
  <c r="I74" i="6"/>
  <c r="M128" i="10" s="1"/>
  <c r="H74" i="6"/>
  <c r="K128" i="10" s="1"/>
  <c r="P74" i="6"/>
  <c r="Z128" i="10" s="1"/>
  <c r="D76" i="6"/>
  <c r="C75" i="6"/>
  <c r="E76" i="6"/>
  <c r="M75" i="6" l="1"/>
  <c r="W129" i="10" s="1"/>
  <c r="Z75" i="6"/>
  <c r="AP129" i="10" s="1"/>
  <c r="Y127" i="10"/>
  <c r="K73" i="6"/>
  <c r="Q127" i="10" s="1"/>
  <c r="C129" i="10"/>
  <c r="U75" i="6"/>
  <c r="AN129" i="10" s="1"/>
  <c r="T75" i="6"/>
  <c r="AL129" i="10" s="1"/>
  <c r="S75" i="6"/>
  <c r="AJ129" i="10" s="1"/>
  <c r="R75" i="6"/>
  <c r="AH129" i="10" s="1"/>
  <c r="Y75" i="6"/>
  <c r="AR129" i="10" s="1"/>
  <c r="X75" i="6"/>
  <c r="O74" i="6"/>
  <c r="W74" i="6"/>
  <c r="V74" i="6"/>
  <c r="J75" i="6"/>
  <c r="O129" i="10" s="1"/>
  <c r="Q75" i="6"/>
  <c r="AD129" i="10" s="1"/>
  <c r="G75" i="6"/>
  <c r="I129" i="10" s="1"/>
  <c r="L75" i="6"/>
  <c r="S129" i="10" s="1"/>
  <c r="F75" i="6"/>
  <c r="G129" i="10" s="1"/>
  <c r="N75" i="6"/>
  <c r="U129" i="10" s="1"/>
  <c r="I75" i="6"/>
  <c r="M129" i="10" s="1"/>
  <c r="P75" i="6"/>
  <c r="Z129" i="10" s="1"/>
  <c r="H75" i="6"/>
  <c r="K129" i="10" s="1"/>
  <c r="D77" i="6"/>
  <c r="C76" i="6"/>
  <c r="E77" i="6"/>
  <c r="M76" i="6" l="1"/>
  <c r="W130" i="10" s="1"/>
  <c r="Z76" i="6"/>
  <c r="AP130" i="10" s="1"/>
  <c r="Y128" i="10"/>
  <c r="K74" i="6"/>
  <c r="Q128" i="10" s="1"/>
  <c r="C130" i="10"/>
  <c r="U76" i="6"/>
  <c r="AN130" i="10" s="1"/>
  <c r="T76" i="6"/>
  <c r="AL130" i="10" s="1"/>
  <c r="S76" i="6"/>
  <c r="AJ130" i="10" s="1"/>
  <c r="R76" i="6"/>
  <c r="AH130" i="10" s="1"/>
  <c r="Y76" i="6"/>
  <c r="AR130" i="10" s="1"/>
  <c r="X76" i="6"/>
  <c r="O75" i="6"/>
  <c r="V75" i="6"/>
  <c r="W75" i="6"/>
  <c r="J76" i="6"/>
  <c r="O130" i="10" s="1"/>
  <c r="Q76" i="6"/>
  <c r="AD130" i="10" s="1"/>
  <c r="G76" i="6"/>
  <c r="I130" i="10" s="1"/>
  <c r="L76" i="6"/>
  <c r="S130" i="10" s="1"/>
  <c r="F76" i="6"/>
  <c r="G130" i="10" s="1"/>
  <c r="N76" i="6"/>
  <c r="U130" i="10" s="1"/>
  <c r="P76" i="6"/>
  <c r="Z130" i="10" s="1"/>
  <c r="H76" i="6"/>
  <c r="K130" i="10" s="1"/>
  <c r="I76" i="6"/>
  <c r="M130" i="10" s="1"/>
  <c r="D78" i="6"/>
  <c r="C77" i="6"/>
  <c r="E78" i="6"/>
  <c r="M77" i="6" l="1"/>
  <c r="W131" i="10" s="1"/>
  <c r="Z77" i="6"/>
  <c r="AP131" i="10" s="1"/>
  <c r="Y129" i="10"/>
  <c r="K75" i="6"/>
  <c r="Q129" i="10" s="1"/>
  <c r="C131" i="10"/>
  <c r="U77" i="6"/>
  <c r="AN131" i="10" s="1"/>
  <c r="T77" i="6"/>
  <c r="AL131" i="10" s="1"/>
  <c r="S77" i="6"/>
  <c r="AJ131" i="10" s="1"/>
  <c r="R77" i="6"/>
  <c r="AH131" i="10" s="1"/>
  <c r="Y77" i="6"/>
  <c r="AR131" i="10" s="1"/>
  <c r="X77" i="6"/>
  <c r="O76" i="6"/>
  <c r="W76" i="6"/>
  <c r="V76" i="6"/>
  <c r="J77" i="6"/>
  <c r="O131" i="10" s="1"/>
  <c r="Q77" i="6"/>
  <c r="AD131" i="10" s="1"/>
  <c r="G77" i="6"/>
  <c r="I131" i="10" s="1"/>
  <c r="L77" i="6"/>
  <c r="S131" i="10" s="1"/>
  <c r="F77" i="6"/>
  <c r="G131" i="10" s="1"/>
  <c r="N77" i="6"/>
  <c r="U131" i="10" s="1"/>
  <c r="I77" i="6"/>
  <c r="M131" i="10" s="1"/>
  <c r="P77" i="6"/>
  <c r="Z131" i="10" s="1"/>
  <c r="H77" i="6"/>
  <c r="K131" i="10" s="1"/>
  <c r="D79" i="6"/>
  <c r="C78" i="6"/>
  <c r="E79" i="6"/>
  <c r="M78" i="6" l="1"/>
  <c r="W132" i="10" s="1"/>
  <c r="Z78" i="6"/>
  <c r="AP132" i="10" s="1"/>
  <c r="Y130" i="10"/>
  <c r="K76" i="6"/>
  <c r="Q130" i="10" s="1"/>
  <c r="C132" i="10"/>
  <c r="U78" i="6"/>
  <c r="AN132" i="10" s="1"/>
  <c r="T78" i="6"/>
  <c r="AL132" i="10" s="1"/>
  <c r="S78" i="6"/>
  <c r="AJ132" i="10" s="1"/>
  <c r="R78" i="6"/>
  <c r="AH132" i="10" s="1"/>
  <c r="Y78" i="6"/>
  <c r="AR132" i="10" s="1"/>
  <c r="X78" i="6"/>
  <c r="W77" i="6"/>
  <c r="O77" i="6"/>
  <c r="J78" i="6"/>
  <c r="O132" i="10" s="1"/>
  <c r="Q78" i="6"/>
  <c r="AD132" i="10" s="1"/>
  <c r="G78" i="6"/>
  <c r="I132" i="10" s="1"/>
  <c r="L78" i="6"/>
  <c r="S132" i="10" s="1"/>
  <c r="N78" i="6"/>
  <c r="U132" i="10" s="1"/>
  <c r="I78" i="6"/>
  <c r="M132" i="10" s="1"/>
  <c r="F78" i="6"/>
  <c r="G132" i="10" s="1"/>
  <c r="P78" i="6"/>
  <c r="Z132" i="10" s="1"/>
  <c r="H78" i="6"/>
  <c r="K132" i="10" s="1"/>
  <c r="V77" i="6"/>
  <c r="D80" i="6"/>
  <c r="C79" i="6"/>
  <c r="E80" i="6"/>
  <c r="M79" i="6" l="1"/>
  <c r="W133" i="10" s="1"/>
  <c r="Z79" i="6"/>
  <c r="AP133" i="10" s="1"/>
  <c r="Y131" i="10"/>
  <c r="K77" i="6"/>
  <c r="Q131" i="10" s="1"/>
  <c r="C133" i="10"/>
  <c r="U79" i="6"/>
  <c r="AN133" i="10" s="1"/>
  <c r="T79" i="6"/>
  <c r="AL133" i="10" s="1"/>
  <c r="S79" i="6"/>
  <c r="AJ133" i="10" s="1"/>
  <c r="R79" i="6"/>
  <c r="AH133" i="10" s="1"/>
  <c r="Y79" i="6"/>
  <c r="AR133" i="10" s="1"/>
  <c r="X79" i="6"/>
  <c r="O78" i="6"/>
  <c r="V78" i="6"/>
  <c r="L79" i="6"/>
  <c r="S133" i="10" s="1"/>
  <c r="F79" i="6"/>
  <c r="G133" i="10" s="1"/>
  <c r="I79" i="6"/>
  <c r="M133" i="10" s="1"/>
  <c r="H79" i="6"/>
  <c r="K133" i="10" s="1"/>
  <c r="G79" i="6"/>
  <c r="I133" i="10" s="1"/>
  <c r="N79" i="6"/>
  <c r="U133" i="10" s="1"/>
  <c r="P79" i="6"/>
  <c r="Z133" i="10" s="1"/>
  <c r="J79" i="6"/>
  <c r="O133" i="10" s="1"/>
  <c r="Q79" i="6"/>
  <c r="AD133" i="10" s="1"/>
  <c r="W78" i="6"/>
  <c r="D81" i="6"/>
  <c r="C80" i="6"/>
  <c r="E81" i="6"/>
  <c r="M80" i="6" l="1"/>
  <c r="W134" i="10" s="1"/>
  <c r="Z80" i="6"/>
  <c r="AP134" i="10" s="1"/>
  <c r="Y132" i="10"/>
  <c r="K78" i="6"/>
  <c r="Q132" i="10" s="1"/>
  <c r="C134" i="10"/>
  <c r="U80" i="6"/>
  <c r="AN134" i="10" s="1"/>
  <c r="T80" i="6"/>
  <c r="AL134" i="10" s="1"/>
  <c r="S80" i="6"/>
  <c r="AJ134" i="10" s="1"/>
  <c r="R80" i="6"/>
  <c r="AH134" i="10" s="1"/>
  <c r="Y80" i="6"/>
  <c r="AR134" i="10" s="1"/>
  <c r="X80" i="6"/>
  <c r="O79" i="6"/>
  <c r="V79" i="6"/>
  <c r="W79" i="6"/>
  <c r="H80" i="6"/>
  <c r="K134" i="10" s="1"/>
  <c r="J80" i="6"/>
  <c r="O134" i="10" s="1"/>
  <c r="G80" i="6"/>
  <c r="I134" i="10" s="1"/>
  <c r="L80" i="6"/>
  <c r="S134" i="10" s="1"/>
  <c r="N80" i="6"/>
  <c r="U134" i="10" s="1"/>
  <c r="I80" i="6"/>
  <c r="M134" i="10" s="1"/>
  <c r="P80" i="6"/>
  <c r="Z134" i="10" s="1"/>
  <c r="Q80" i="6"/>
  <c r="AD134" i="10" s="1"/>
  <c r="F80" i="6"/>
  <c r="G134" i="10" s="1"/>
  <c r="D82" i="6"/>
  <c r="C81" i="6"/>
  <c r="E82" i="6"/>
  <c r="M81" i="6" l="1"/>
  <c r="W135" i="10" s="1"/>
  <c r="Z81" i="6"/>
  <c r="AP135" i="10" s="1"/>
  <c r="Y133" i="10"/>
  <c r="K79" i="6"/>
  <c r="Q133" i="10" s="1"/>
  <c r="C135" i="10"/>
  <c r="U81" i="6"/>
  <c r="AN135" i="10" s="1"/>
  <c r="T81" i="6"/>
  <c r="AL135" i="10" s="1"/>
  <c r="S81" i="6"/>
  <c r="AJ135" i="10" s="1"/>
  <c r="R81" i="6"/>
  <c r="AH135" i="10" s="1"/>
  <c r="Y81" i="6"/>
  <c r="AR135" i="10" s="1"/>
  <c r="X81" i="6"/>
  <c r="O80" i="6"/>
  <c r="V80" i="6"/>
  <c r="W80" i="6"/>
  <c r="L81" i="6"/>
  <c r="S135" i="10" s="1"/>
  <c r="F81" i="6"/>
  <c r="G135" i="10" s="1"/>
  <c r="N81" i="6"/>
  <c r="U135" i="10" s="1"/>
  <c r="I81" i="6"/>
  <c r="M135" i="10" s="1"/>
  <c r="P81" i="6"/>
  <c r="Z135" i="10" s="1"/>
  <c r="H81" i="6"/>
  <c r="K135" i="10" s="1"/>
  <c r="J81" i="6"/>
  <c r="O135" i="10" s="1"/>
  <c r="Q81" i="6"/>
  <c r="AD135" i="10" s="1"/>
  <c r="G81" i="6"/>
  <c r="I135" i="10" s="1"/>
  <c r="D83" i="6"/>
  <c r="C82" i="6"/>
  <c r="E83" i="6"/>
  <c r="M82" i="6" l="1"/>
  <c r="W136" i="10" s="1"/>
  <c r="Z82" i="6"/>
  <c r="AP136" i="10" s="1"/>
  <c r="Y134" i="10"/>
  <c r="K80" i="6"/>
  <c r="Q134" i="10" s="1"/>
  <c r="C136" i="10"/>
  <c r="U82" i="6"/>
  <c r="AN136" i="10" s="1"/>
  <c r="T82" i="6"/>
  <c r="AL136" i="10" s="1"/>
  <c r="S82" i="6"/>
  <c r="AJ136" i="10" s="1"/>
  <c r="R82" i="6"/>
  <c r="AH136" i="10" s="1"/>
  <c r="Y82" i="6"/>
  <c r="AR136" i="10" s="1"/>
  <c r="X82" i="6"/>
  <c r="O81" i="6"/>
  <c r="W81" i="6"/>
  <c r="V81" i="6"/>
  <c r="J82" i="6"/>
  <c r="O136" i="10" s="1"/>
  <c r="Q82" i="6"/>
  <c r="AD136" i="10" s="1"/>
  <c r="G82" i="6"/>
  <c r="I136" i="10" s="1"/>
  <c r="L82" i="6"/>
  <c r="S136" i="10" s="1"/>
  <c r="F82" i="6"/>
  <c r="G136" i="10" s="1"/>
  <c r="N82" i="6"/>
  <c r="U136" i="10" s="1"/>
  <c r="I82" i="6"/>
  <c r="M136" i="10" s="1"/>
  <c r="P82" i="6"/>
  <c r="Z136" i="10" s="1"/>
  <c r="H82" i="6"/>
  <c r="K136" i="10" s="1"/>
  <c r="D84" i="6"/>
  <c r="C83" i="6"/>
  <c r="E84" i="6"/>
  <c r="M83" i="6" l="1"/>
  <c r="W137" i="10" s="1"/>
  <c r="Z83" i="6"/>
  <c r="AP137" i="10" s="1"/>
  <c r="Y135" i="10"/>
  <c r="K81" i="6"/>
  <c r="Q135" i="10" s="1"/>
  <c r="C137" i="10"/>
  <c r="U83" i="6"/>
  <c r="AN137" i="10" s="1"/>
  <c r="T83" i="6"/>
  <c r="AL137" i="10" s="1"/>
  <c r="S83" i="6"/>
  <c r="AJ137" i="10" s="1"/>
  <c r="R83" i="6"/>
  <c r="AH137" i="10" s="1"/>
  <c r="Y83" i="6"/>
  <c r="AR137" i="10" s="1"/>
  <c r="X83" i="6"/>
  <c r="O82" i="6"/>
  <c r="W82" i="6"/>
  <c r="V82" i="6"/>
  <c r="J83" i="6"/>
  <c r="O137" i="10" s="1"/>
  <c r="Q83" i="6"/>
  <c r="AD137" i="10" s="1"/>
  <c r="G83" i="6"/>
  <c r="I137" i="10" s="1"/>
  <c r="L83" i="6"/>
  <c r="S137" i="10" s="1"/>
  <c r="F83" i="6"/>
  <c r="G137" i="10" s="1"/>
  <c r="N83" i="6"/>
  <c r="U137" i="10" s="1"/>
  <c r="I83" i="6"/>
  <c r="M137" i="10" s="1"/>
  <c r="P83" i="6"/>
  <c r="Z137" i="10" s="1"/>
  <c r="H83" i="6"/>
  <c r="K137" i="10" s="1"/>
  <c r="D85" i="6"/>
  <c r="C84" i="6"/>
  <c r="E85" i="6"/>
  <c r="M84" i="6" l="1"/>
  <c r="W138" i="10" s="1"/>
  <c r="Z84" i="6"/>
  <c r="AP138" i="10" s="1"/>
  <c r="Y136" i="10"/>
  <c r="K82" i="6"/>
  <c r="Q136" i="10" s="1"/>
  <c r="C138" i="10"/>
  <c r="U84" i="6"/>
  <c r="AN138" i="10" s="1"/>
  <c r="T84" i="6"/>
  <c r="AL138" i="10" s="1"/>
  <c r="S84" i="6"/>
  <c r="AJ138" i="10" s="1"/>
  <c r="R84" i="6"/>
  <c r="AH138" i="10" s="1"/>
  <c r="Y84" i="6"/>
  <c r="AR138" i="10" s="1"/>
  <c r="X84" i="6"/>
  <c r="W83" i="6"/>
  <c r="O83" i="6"/>
  <c r="J84" i="6"/>
  <c r="O138" i="10" s="1"/>
  <c r="Q84" i="6"/>
  <c r="AD138" i="10" s="1"/>
  <c r="G84" i="6"/>
  <c r="I138" i="10" s="1"/>
  <c r="L84" i="6"/>
  <c r="S138" i="10" s="1"/>
  <c r="N84" i="6"/>
  <c r="U138" i="10" s="1"/>
  <c r="P84" i="6"/>
  <c r="Z138" i="10" s="1"/>
  <c r="H84" i="6"/>
  <c r="K138" i="10" s="1"/>
  <c r="F84" i="6"/>
  <c r="G138" i="10" s="1"/>
  <c r="I84" i="6"/>
  <c r="M138" i="10" s="1"/>
  <c r="V83" i="6"/>
  <c r="D86" i="6"/>
  <c r="C85" i="6"/>
  <c r="E86" i="6"/>
  <c r="M85" i="6" l="1"/>
  <c r="W139" i="10" s="1"/>
  <c r="Z85" i="6"/>
  <c r="AP139" i="10" s="1"/>
  <c r="Y137" i="10"/>
  <c r="K83" i="6"/>
  <c r="Q137" i="10" s="1"/>
  <c r="C139" i="10"/>
  <c r="U85" i="6"/>
  <c r="AN139" i="10" s="1"/>
  <c r="T85" i="6"/>
  <c r="AL139" i="10" s="1"/>
  <c r="S85" i="6"/>
  <c r="AJ139" i="10" s="1"/>
  <c r="R85" i="6"/>
  <c r="AH139" i="10" s="1"/>
  <c r="Y85" i="6"/>
  <c r="AR139" i="10" s="1"/>
  <c r="X85" i="6"/>
  <c r="O84" i="6"/>
  <c r="W84" i="6"/>
  <c r="L85" i="6"/>
  <c r="S139" i="10" s="1"/>
  <c r="F85" i="6"/>
  <c r="G139" i="10" s="1"/>
  <c r="N85" i="6"/>
  <c r="U139" i="10" s="1"/>
  <c r="I85" i="6"/>
  <c r="M139" i="10" s="1"/>
  <c r="P85" i="6"/>
  <c r="Z139" i="10" s="1"/>
  <c r="H85" i="6"/>
  <c r="K139" i="10" s="1"/>
  <c r="J85" i="6"/>
  <c r="O139" i="10" s="1"/>
  <c r="Q85" i="6"/>
  <c r="AD139" i="10" s="1"/>
  <c r="G85" i="6"/>
  <c r="I139" i="10" s="1"/>
  <c r="V84" i="6"/>
  <c r="D87" i="6"/>
  <c r="C86" i="6"/>
  <c r="E87" i="6"/>
  <c r="M86" i="6" l="1"/>
  <c r="W140" i="10" s="1"/>
  <c r="Z86" i="6"/>
  <c r="AP140" i="10" s="1"/>
  <c r="Y138" i="10"/>
  <c r="K84" i="6"/>
  <c r="Q138" i="10" s="1"/>
  <c r="C140" i="10"/>
  <c r="U86" i="6"/>
  <c r="AN140" i="10" s="1"/>
  <c r="T86" i="6"/>
  <c r="AL140" i="10" s="1"/>
  <c r="S86" i="6"/>
  <c r="AJ140" i="10" s="1"/>
  <c r="R86" i="6"/>
  <c r="AH140" i="10" s="1"/>
  <c r="Y86" i="6"/>
  <c r="AR140" i="10" s="1"/>
  <c r="X86" i="6"/>
  <c r="O85" i="6"/>
  <c r="V85" i="6"/>
  <c r="W85" i="6"/>
  <c r="P86" i="6"/>
  <c r="Z140" i="10" s="1"/>
  <c r="H86" i="6"/>
  <c r="K140" i="10" s="1"/>
  <c r="J86" i="6"/>
  <c r="O140" i="10" s="1"/>
  <c r="Q86" i="6"/>
  <c r="AD140" i="10" s="1"/>
  <c r="G86" i="6"/>
  <c r="I140" i="10" s="1"/>
  <c r="L86" i="6"/>
  <c r="S140" i="10" s="1"/>
  <c r="F86" i="6"/>
  <c r="G140" i="10" s="1"/>
  <c r="N86" i="6"/>
  <c r="U140" i="10" s="1"/>
  <c r="I86" i="6"/>
  <c r="M140" i="10" s="1"/>
  <c r="D88" i="6"/>
  <c r="C87" i="6"/>
  <c r="E88" i="6"/>
  <c r="M87" i="6" l="1"/>
  <c r="W141" i="10" s="1"/>
  <c r="Z87" i="6"/>
  <c r="AP141" i="10" s="1"/>
  <c r="Y139" i="10"/>
  <c r="K85" i="6"/>
  <c r="Q139" i="10" s="1"/>
  <c r="C141" i="10"/>
  <c r="U87" i="6"/>
  <c r="AN141" i="10" s="1"/>
  <c r="T87" i="6"/>
  <c r="AL141" i="10" s="1"/>
  <c r="S87" i="6"/>
  <c r="AJ141" i="10" s="1"/>
  <c r="R87" i="6"/>
  <c r="AH141" i="10" s="1"/>
  <c r="Y87" i="6"/>
  <c r="AR141" i="10" s="1"/>
  <c r="X87" i="6"/>
  <c r="O86" i="6"/>
  <c r="W86" i="6"/>
  <c r="V86" i="6"/>
  <c r="L87" i="6"/>
  <c r="S141" i="10" s="1"/>
  <c r="F87" i="6"/>
  <c r="G141" i="10" s="1"/>
  <c r="N87" i="6"/>
  <c r="U141" i="10" s="1"/>
  <c r="I87" i="6"/>
  <c r="M141" i="10" s="1"/>
  <c r="P87" i="6"/>
  <c r="Z141" i="10" s="1"/>
  <c r="H87" i="6"/>
  <c r="K141" i="10" s="1"/>
  <c r="J87" i="6"/>
  <c r="O141" i="10" s="1"/>
  <c r="Q87" i="6"/>
  <c r="AD141" i="10" s="1"/>
  <c r="G87" i="6"/>
  <c r="I141" i="10" s="1"/>
  <c r="D89" i="6"/>
  <c r="C88" i="6"/>
  <c r="E89" i="6"/>
  <c r="M88" i="6" l="1"/>
  <c r="W142" i="10" s="1"/>
  <c r="Z88" i="6"/>
  <c r="AP142" i="10" s="1"/>
  <c r="Y140" i="10"/>
  <c r="K86" i="6"/>
  <c r="Q140" i="10" s="1"/>
  <c r="C142" i="10"/>
  <c r="U88" i="6"/>
  <c r="AN142" i="10" s="1"/>
  <c r="T88" i="6"/>
  <c r="AL142" i="10" s="1"/>
  <c r="S88" i="6"/>
  <c r="AJ142" i="10" s="1"/>
  <c r="R88" i="6"/>
  <c r="AH142" i="10" s="1"/>
  <c r="Y88" i="6"/>
  <c r="AR142" i="10" s="1"/>
  <c r="X88" i="6"/>
  <c r="O87" i="6"/>
  <c r="V87" i="6"/>
  <c r="W87" i="6"/>
  <c r="J88" i="6"/>
  <c r="O142" i="10" s="1"/>
  <c r="Q88" i="6"/>
  <c r="AD142" i="10" s="1"/>
  <c r="G88" i="6"/>
  <c r="I142" i="10" s="1"/>
  <c r="L88" i="6"/>
  <c r="S142" i="10" s="1"/>
  <c r="F88" i="6"/>
  <c r="G142" i="10" s="1"/>
  <c r="N88" i="6"/>
  <c r="U142" i="10" s="1"/>
  <c r="P88" i="6"/>
  <c r="Z142" i="10" s="1"/>
  <c r="H88" i="6"/>
  <c r="K142" i="10" s="1"/>
  <c r="I88" i="6"/>
  <c r="M142" i="10" s="1"/>
  <c r="D90" i="6"/>
  <c r="C89" i="6"/>
  <c r="E90" i="6"/>
  <c r="M89" i="6" l="1"/>
  <c r="W143" i="10" s="1"/>
  <c r="Z89" i="6"/>
  <c r="AP143" i="10" s="1"/>
  <c r="Y141" i="10"/>
  <c r="K87" i="6"/>
  <c r="Q141" i="10" s="1"/>
  <c r="C143" i="10"/>
  <c r="U89" i="6"/>
  <c r="AN143" i="10" s="1"/>
  <c r="T89" i="6"/>
  <c r="AL143" i="10" s="1"/>
  <c r="S89" i="6"/>
  <c r="AJ143" i="10" s="1"/>
  <c r="R89" i="6"/>
  <c r="AH143" i="10" s="1"/>
  <c r="Y89" i="6"/>
  <c r="AR143" i="10" s="1"/>
  <c r="X89" i="6"/>
  <c r="O88" i="6"/>
  <c r="W88" i="6"/>
  <c r="V88" i="6"/>
  <c r="J89" i="6"/>
  <c r="O143" i="10" s="1"/>
  <c r="Q89" i="6"/>
  <c r="AD143" i="10" s="1"/>
  <c r="G89" i="6"/>
  <c r="I143" i="10" s="1"/>
  <c r="L89" i="6"/>
  <c r="S143" i="10" s="1"/>
  <c r="F89" i="6"/>
  <c r="G143" i="10" s="1"/>
  <c r="N89" i="6"/>
  <c r="U143" i="10" s="1"/>
  <c r="I89" i="6"/>
  <c r="M143" i="10" s="1"/>
  <c r="P89" i="6"/>
  <c r="Z143" i="10" s="1"/>
  <c r="H89" i="6"/>
  <c r="K143" i="10" s="1"/>
  <c r="D91" i="6"/>
  <c r="C90" i="6"/>
  <c r="E91" i="6"/>
  <c r="M90" i="6" l="1"/>
  <c r="W144" i="10" s="1"/>
  <c r="Z90" i="6"/>
  <c r="AP144" i="10" s="1"/>
  <c r="Y142" i="10"/>
  <c r="K88" i="6"/>
  <c r="Q142" i="10" s="1"/>
  <c r="C144" i="10"/>
  <c r="U90" i="6"/>
  <c r="AN144" i="10" s="1"/>
  <c r="T90" i="6"/>
  <c r="AL144" i="10" s="1"/>
  <c r="S90" i="6"/>
  <c r="AJ144" i="10" s="1"/>
  <c r="R90" i="6"/>
  <c r="AH144" i="10" s="1"/>
  <c r="Y90" i="6"/>
  <c r="AR144" i="10" s="1"/>
  <c r="X90" i="6"/>
  <c r="O89" i="6"/>
  <c r="W89" i="6"/>
  <c r="J90" i="6"/>
  <c r="O144" i="10" s="1"/>
  <c r="Q90" i="6"/>
  <c r="AD144" i="10" s="1"/>
  <c r="G90" i="6"/>
  <c r="I144" i="10" s="1"/>
  <c r="L90" i="6"/>
  <c r="S144" i="10" s="1"/>
  <c r="F90" i="6"/>
  <c r="G144" i="10" s="1"/>
  <c r="N90" i="6"/>
  <c r="U144" i="10" s="1"/>
  <c r="I90" i="6"/>
  <c r="M144" i="10" s="1"/>
  <c r="P90" i="6"/>
  <c r="Z144" i="10" s="1"/>
  <c r="H90" i="6"/>
  <c r="K144" i="10" s="1"/>
  <c r="V89" i="6"/>
  <c r="D92" i="6"/>
  <c r="C91" i="6"/>
  <c r="E92" i="6"/>
  <c r="M91" i="6" l="1"/>
  <c r="W145" i="10" s="1"/>
  <c r="Z91" i="6"/>
  <c r="AP145" i="10" s="1"/>
  <c r="Y143" i="10"/>
  <c r="K89" i="6"/>
  <c r="Q143" i="10" s="1"/>
  <c r="C145" i="10"/>
  <c r="U91" i="6"/>
  <c r="AN145" i="10" s="1"/>
  <c r="T91" i="6"/>
  <c r="AL145" i="10" s="1"/>
  <c r="S91" i="6"/>
  <c r="AJ145" i="10" s="1"/>
  <c r="R91" i="6"/>
  <c r="AH145" i="10" s="1"/>
  <c r="Y91" i="6"/>
  <c r="AR145" i="10" s="1"/>
  <c r="X91" i="6"/>
  <c r="O90" i="6"/>
  <c r="W90" i="6"/>
  <c r="V90" i="6"/>
  <c r="P91" i="6"/>
  <c r="Z145" i="10" s="1"/>
  <c r="H91" i="6"/>
  <c r="K145" i="10" s="1"/>
  <c r="J91" i="6"/>
  <c r="O145" i="10" s="1"/>
  <c r="Q91" i="6"/>
  <c r="AD145" i="10" s="1"/>
  <c r="G91" i="6"/>
  <c r="I145" i="10" s="1"/>
  <c r="L91" i="6"/>
  <c r="S145" i="10" s="1"/>
  <c r="F91" i="6"/>
  <c r="G145" i="10" s="1"/>
  <c r="N91" i="6"/>
  <c r="U145" i="10" s="1"/>
  <c r="I91" i="6"/>
  <c r="M145" i="10" s="1"/>
  <c r="D93" i="6"/>
  <c r="C92" i="6"/>
  <c r="E93" i="6"/>
  <c r="M92" i="6" l="1"/>
  <c r="W146" i="10" s="1"/>
  <c r="Z92" i="6"/>
  <c r="AP146" i="10" s="1"/>
  <c r="Y144" i="10"/>
  <c r="K90" i="6"/>
  <c r="Q144" i="10" s="1"/>
  <c r="C146" i="10"/>
  <c r="U92" i="6"/>
  <c r="AN146" i="10" s="1"/>
  <c r="T92" i="6"/>
  <c r="AL146" i="10" s="1"/>
  <c r="S92" i="6"/>
  <c r="AJ146" i="10" s="1"/>
  <c r="R92" i="6"/>
  <c r="AH146" i="10" s="1"/>
  <c r="Y92" i="6"/>
  <c r="AR146" i="10" s="1"/>
  <c r="X92" i="6"/>
  <c r="O91" i="6"/>
  <c r="W91" i="6"/>
  <c r="V91" i="6"/>
  <c r="J92" i="6"/>
  <c r="O146" i="10" s="1"/>
  <c r="Q92" i="6"/>
  <c r="AD146" i="10" s="1"/>
  <c r="G92" i="6"/>
  <c r="I146" i="10" s="1"/>
  <c r="L92" i="6"/>
  <c r="S146" i="10" s="1"/>
  <c r="N92" i="6"/>
  <c r="U146" i="10" s="1"/>
  <c r="I92" i="6"/>
  <c r="M146" i="10" s="1"/>
  <c r="P92" i="6"/>
  <c r="Z146" i="10" s="1"/>
  <c r="H92" i="6"/>
  <c r="K146" i="10" s="1"/>
  <c r="F92" i="6"/>
  <c r="G146" i="10" s="1"/>
  <c r="D94" i="6"/>
  <c r="C93" i="6"/>
  <c r="E94" i="6"/>
  <c r="M93" i="6" l="1"/>
  <c r="W147" i="10" s="1"/>
  <c r="Z93" i="6"/>
  <c r="AP147" i="10" s="1"/>
  <c r="Y145" i="10"/>
  <c r="K91" i="6"/>
  <c r="Q145" i="10" s="1"/>
  <c r="C147" i="10"/>
  <c r="U93" i="6"/>
  <c r="AN147" i="10" s="1"/>
  <c r="T93" i="6"/>
  <c r="AL147" i="10" s="1"/>
  <c r="S93" i="6"/>
  <c r="AJ147" i="10" s="1"/>
  <c r="R93" i="6"/>
  <c r="AH147" i="10" s="1"/>
  <c r="Y93" i="6"/>
  <c r="AR147" i="10" s="1"/>
  <c r="X93" i="6"/>
  <c r="O92" i="6"/>
  <c r="W92" i="6"/>
  <c r="F93" i="6"/>
  <c r="G147" i="10" s="1"/>
  <c r="L93" i="6"/>
  <c r="S147" i="10" s="1"/>
  <c r="N93" i="6"/>
  <c r="U147" i="10" s="1"/>
  <c r="I93" i="6"/>
  <c r="M147" i="10" s="1"/>
  <c r="P93" i="6"/>
  <c r="Z147" i="10" s="1"/>
  <c r="H93" i="6"/>
  <c r="K147" i="10" s="1"/>
  <c r="J93" i="6"/>
  <c r="O147" i="10" s="1"/>
  <c r="Q93" i="6"/>
  <c r="AD147" i="10" s="1"/>
  <c r="G93" i="6"/>
  <c r="I147" i="10" s="1"/>
  <c r="V92" i="6"/>
  <c r="D95" i="6"/>
  <c r="C94" i="6"/>
  <c r="E95" i="6"/>
  <c r="M94" i="6" l="1"/>
  <c r="W148" i="10" s="1"/>
  <c r="Z94" i="6"/>
  <c r="AP148" i="10" s="1"/>
  <c r="Y146" i="10"/>
  <c r="K92" i="6"/>
  <c r="Q146" i="10" s="1"/>
  <c r="C148" i="10"/>
  <c r="U94" i="6"/>
  <c r="AN148" i="10" s="1"/>
  <c r="T94" i="6"/>
  <c r="AL148" i="10" s="1"/>
  <c r="S94" i="6"/>
  <c r="AJ148" i="10" s="1"/>
  <c r="R94" i="6"/>
  <c r="AH148" i="10" s="1"/>
  <c r="Y94" i="6"/>
  <c r="AR148" i="10" s="1"/>
  <c r="X94" i="6"/>
  <c r="O93" i="6"/>
  <c r="V93" i="6"/>
  <c r="W93" i="6"/>
  <c r="P94" i="6"/>
  <c r="Z148" i="10" s="1"/>
  <c r="H94" i="6"/>
  <c r="K148" i="10" s="1"/>
  <c r="J94" i="6"/>
  <c r="O148" i="10" s="1"/>
  <c r="Q94" i="6"/>
  <c r="AD148" i="10" s="1"/>
  <c r="G94" i="6"/>
  <c r="I148" i="10" s="1"/>
  <c r="F94" i="6"/>
  <c r="G148" i="10" s="1"/>
  <c r="I94" i="6"/>
  <c r="M148" i="10" s="1"/>
  <c r="L94" i="6"/>
  <c r="S148" i="10" s="1"/>
  <c r="N94" i="6"/>
  <c r="U148" i="10" s="1"/>
  <c r="D96" i="6"/>
  <c r="C95" i="6"/>
  <c r="E96" i="6"/>
  <c r="M95" i="6" l="1"/>
  <c r="W149" i="10" s="1"/>
  <c r="Z95" i="6"/>
  <c r="AP149" i="10" s="1"/>
  <c r="Y147" i="10"/>
  <c r="K93" i="6"/>
  <c r="Q147" i="10" s="1"/>
  <c r="C149" i="10"/>
  <c r="U95" i="6"/>
  <c r="AN149" i="10" s="1"/>
  <c r="T95" i="6"/>
  <c r="AL149" i="10" s="1"/>
  <c r="S95" i="6"/>
  <c r="AJ149" i="10" s="1"/>
  <c r="R95" i="6"/>
  <c r="AH149" i="10" s="1"/>
  <c r="Y95" i="6"/>
  <c r="AR149" i="10" s="1"/>
  <c r="X95" i="6"/>
  <c r="W94" i="6"/>
  <c r="O94" i="6"/>
  <c r="V94" i="6"/>
  <c r="J95" i="6"/>
  <c r="O149" i="10" s="1"/>
  <c r="Q95" i="6"/>
  <c r="AD149" i="10" s="1"/>
  <c r="G95" i="6"/>
  <c r="I149" i="10" s="1"/>
  <c r="L95" i="6"/>
  <c r="S149" i="10" s="1"/>
  <c r="F95" i="6"/>
  <c r="G149" i="10" s="1"/>
  <c r="H95" i="6"/>
  <c r="K149" i="10" s="1"/>
  <c r="N95" i="6"/>
  <c r="U149" i="10" s="1"/>
  <c r="I95" i="6"/>
  <c r="M149" i="10" s="1"/>
  <c r="P95" i="6"/>
  <c r="Z149" i="10" s="1"/>
  <c r="D97" i="6"/>
  <c r="C96" i="6"/>
  <c r="E97" i="6"/>
  <c r="M96" i="6" l="1"/>
  <c r="W150" i="10" s="1"/>
  <c r="Z96" i="6"/>
  <c r="AP150" i="10" s="1"/>
  <c r="Y148" i="10"/>
  <c r="K94" i="6"/>
  <c r="Q148" i="10" s="1"/>
  <c r="C150" i="10"/>
  <c r="U96" i="6"/>
  <c r="AN150" i="10" s="1"/>
  <c r="T96" i="6"/>
  <c r="AL150" i="10" s="1"/>
  <c r="S96" i="6"/>
  <c r="AJ150" i="10" s="1"/>
  <c r="R96" i="6"/>
  <c r="AH150" i="10" s="1"/>
  <c r="Y96" i="6"/>
  <c r="AR150" i="10" s="1"/>
  <c r="X96" i="6"/>
  <c r="O95" i="6"/>
  <c r="W95" i="6"/>
  <c r="N96" i="6"/>
  <c r="U150" i="10" s="1"/>
  <c r="I96" i="6"/>
  <c r="M150" i="10" s="1"/>
  <c r="P96" i="6"/>
  <c r="Z150" i="10" s="1"/>
  <c r="H96" i="6"/>
  <c r="K150" i="10" s="1"/>
  <c r="J96" i="6"/>
  <c r="O150" i="10" s="1"/>
  <c r="Q96" i="6"/>
  <c r="AD150" i="10" s="1"/>
  <c r="G96" i="6"/>
  <c r="I150" i="10" s="1"/>
  <c r="L96" i="6"/>
  <c r="S150" i="10" s="1"/>
  <c r="F96" i="6"/>
  <c r="G150" i="10" s="1"/>
  <c r="V95" i="6"/>
  <c r="D98" i="6"/>
  <c r="C97" i="6"/>
  <c r="E98" i="6"/>
  <c r="M97" i="6" l="1"/>
  <c r="W151" i="10" s="1"/>
  <c r="Z97" i="6"/>
  <c r="AP151" i="10" s="1"/>
  <c r="Y149" i="10"/>
  <c r="K95" i="6"/>
  <c r="Q149" i="10" s="1"/>
  <c r="C151" i="10"/>
  <c r="U97" i="6"/>
  <c r="AN151" i="10" s="1"/>
  <c r="T97" i="6"/>
  <c r="AL151" i="10" s="1"/>
  <c r="S97" i="6"/>
  <c r="AJ151" i="10" s="1"/>
  <c r="R97" i="6"/>
  <c r="AH151" i="10" s="1"/>
  <c r="Y97" i="6"/>
  <c r="AR151" i="10" s="1"/>
  <c r="X97" i="6"/>
  <c r="O96" i="6"/>
  <c r="V96" i="6"/>
  <c r="J97" i="6"/>
  <c r="O151" i="10" s="1"/>
  <c r="Q97" i="6"/>
  <c r="AD151" i="10" s="1"/>
  <c r="G97" i="6"/>
  <c r="I151" i="10" s="1"/>
  <c r="N97" i="6"/>
  <c r="U151" i="10" s="1"/>
  <c r="I97" i="6"/>
  <c r="M151" i="10" s="1"/>
  <c r="P97" i="6"/>
  <c r="Z151" i="10" s="1"/>
  <c r="H97" i="6"/>
  <c r="K151" i="10" s="1"/>
  <c r="L97" i="6"/>
  <c r="S151" i="10" s="1"/>
  <c r="F97" i="6"/>
  <c r="G151" i="10" s="1"/>
  <c r="W96" i="6"/>
  <c r="D99" i="6"/>
  <c r="C98" i="6"/>
  <c r="E99" i="6"/>
  <c r="M98" i="6" l="1"/>
  <c r="W152" i="10" s="1"/>
  <c r="Z98" i="6"/>
  <c r="AP152" i="10" s="1"/>
  <c r="Y150" i="10"/>
  <c r="K96" i="6"/>
  <c r="Q150" i="10" s="1"/>
  <c r="C152" i="10"/>
  <c r="U98" i="6"/>
  <c r="AN152" i="10" s="1"/>
  <c r="T98" i="6"/>
  <c r="AL152" i="10" s="1"/>
  <c r="S98" i="6"/>
  <c r="AJ152" i="10" s="1"/>
  <c r="R98" i="6"/>
  <c r="AH152" i="10" s="1"/>
  <c r="Y98" i="6"/>
  <c r="AR152" i="10" s="1"/>
  <c r="X98" i="6"/>
  <c r="O97" i="6"/>
  <c r="V97" i="6"/>
  <c r="W97" i="6"/>
  <c r="J98" i="6"/>
  <c r="O152" i="10" s="1"/>
  <c r="Q98" i="6"/>
  <c r="AD152" i="10" s="1"/>
  <c r="G98" i="6"/>
  <c r="I152" i="10" s="1"/>
  <c r="P98" i="6"/>
  <c r="Z152" i="10" s="1"/>
  <c r="L98" i="6"/>
  <c r="S152" i="10" s="1"/>
  <c r="F98" i="6"/>
  <c r="G152" i="10" s="1"/>
  <c r="N98" i="6"/>
  <c r="U152" i="10" s="1"/>
  <c r="I98" i="6"/>
  <c r="M152" i="10" s="1"/>
  <c r="H98" i="6"/>
  <c r="K152" i="10" s="1"/>
  <c r="D100" i="6"/>
  <c r="C99" i="6"/>
  <c r="E100" i="6"/>
  <c r="M99" i="6" l="1"/>
  <c r="W153" i="10" s="1"/>
  <c r="Z99" i="6"/>
  <c r="AP153" i="10" s="1"/>
  <c r="Y151" i="10"/>
  <c r="K97" i="6"/>
  <c r="Q151" i="10" s="1"/>
  <c r="C153" i="10"/>
  <c r="U99" i="6"/>
  <c r="AN153" i="10" s="1"/>
  <c r="T99" i="6"/>
  <c r="AL153" i="10" s="1"/>
  <c r="S99" i="6"/>
  <c r="AJ153" i="10" s="1"/>
  <c r="R99" i="6"/>
  <c r="AH153" i="10" s="1"/>
  <c r="Y99" i="6"/>
  <c r="AR153" i="10" s="1"/>
  <c r="X99" i="6"/>
  <c r="W98" i="6"/>
  <c r="O98" i="6"/>
  <c r="L99" i="6"/>
  <c r="S153" i="10" s="1"/>
  <c r="F99" i="6"/>
  <c r="G153" i="10" s="1"/>
  <c r="N99" i="6"/>
  <c r="U153" i="10" s="1"/>
  <c r="I99" i="6"/>
  <c r="M153" i="10" s="1"/>
  <c r="P99" i="6"/>
  <c r="Z153" i="10" s="1"/>
  <c r="H99" i="6"/>
  <c r="K153" i="10" s="1"/>
  <c r="J99" i="6"/>
  <c r="O153" i="10" s="1"/>
  <c r="Q99" i="6"/>
  <c r="AD153" i="10" s="1"/>
  <c r="G99" i="6"/>
  <c r="I153" i="10" s="1"/>
  <c r="V98" i="6"/>
  <c r="D101" i="6"/>
  <c r="C100" i="6"/>
  <c r="E101" i="6"/>
  <c r="M100" i="6" l="1"/>
  <c r="W154" i="10" s="1"/>
  <c r="Z100" i="6"/>
  <c r="AP154" i="10" s="1"/>
  <c r="Y152" i="10"/>
  <c r="K98" i="6"/>
  <c r="Q152" i="10" s="1"/>
  <c r="C154" i="10"/>
  <c r="U100" i="6"/>
  <c r="AN154" i="10" s="1"/>
  <c r="T100" i="6"/>
  <c r="AL154" i="10" s="1"/>
  <c r="S100" i="6"/>
  <c r="AJ154" i="10" s="1"/>
  <c r="R100" i="6"/>
  <c r="AH154" i="10" s="1"/>
  <c r="Y100" i="6"/>
  <c r="AR154" i="10" s="1"/>
  <c r="X100" i="6"/>
  <c r="V99" i="6"/>
  <c r="O99" i="6"/>
  <c r="W99" i="6"/>
  <c r="P100" i="6"/>
  <c r="Z154" i="10" s="1"/>
  <c r="H100" i="6"/>
  <c r="K154" i="10" s="1"/>
  <c r="J100" i="6"/>
  <c r="O154" i="10" s="1"/>
  <c r="Q100" i="6"/>
  <c r="AD154" i="10" s="1"/>
  <c r="G100" i="6"/>
  <c r="I154" i="10" s="1"/>
  <c r="L100" i="6"/>
  <c r="S154" i="10" s="1"/>
  <c r="F100" i="6"/>
  <c r="G154" i="10" s="1"/>
  <c r="N100" i="6"/>
  <c r="U154" i="10" s="1"/>
  <c r="I100" i="6"/>
  <c r="M154" i="10" s="1"/>
  <c r="D102" i="6"/>
  <c r="C101" i="6"/>
  <c r="E102" i="6"/>
  <c r="M101" i="6" l="1"/>
  <c r="W155" i="10" s="1"/>
  <c r="Z101" i="6"/>
  <c r="AP155" i="10" s="1"/>
  <c r="Y153" i="10"/>
  <c r="K99" i="6"/>
  <c r="Q153" i="10" s="1"/>
  <c r="C155" i="10"/>
  <c r="U101" i="6"/>
  <c r="AN155" i="10" s="1"/>
  <c r="T101" i="6"/>
  <c r="AL155" i="10" s="1"/>
  <c r="S101" i="6"/>
  <c r="AJ155" i="10" s="1"/>
  <c r="R101" i="6"/>
  <c r="AH155" i="10" s="1"/>
  <c r="Y101" i="6"/>
  <c r="AR155" i="10" s="1"/>
  <c r="X101" i="6"/>
  <c r="W100" i="6"/>
  <c r="O100" i="6"/>
  <c r="L101" i="6"/>
  <c r="S155" i="10" s="1"/>
  <c r="F101" i="6"/>
  <c r="G155" i="10" s="1"/>
  <c r="N101" i="6"/>
  <c r="U155" i="10" s="1"/>
  <c r="I101" i="6"/>
  <c r="M155" i="10" s="1"/>
  <c r="P101" i="6"/>
  <c r="Z155" i="10" s="1"/>
  <c r="H101" i="6"/>
  <c r="K155" i="10" s="1"/>
  <c r="J101" i="6"/>
  <c r="O155" i="10" s="1"/>
  <c r="Q101" i="6"/>
  <c r="AD155" i="10" s="1"/>
  <c r="G101" i="6"/>
  <c r="I155" i="10" s="1"/>
  <c r="V100" i="6"/>
  <c r="D103" i="6"/>
  <c r="C102" i="6"/>
  <c r="E103" i="6"/>
  <c r="M102" i="6" l="1"/>
  <c r="W156" i="10" s="1"/>
  <c r="Z102" i="6"/>
  <c r="AP156" i="10" s="1"/>
  <c r="Y154" i="10"/>
  <c r="K100" i="6"/>
  <c r="Q154" i="10" s="1"/>
  <c r="C156" i="10"/>
  <c r="U102" i="6"/>
  <c r="AN156" i="10" s="1"/>
  <c r="T102" i="6"/>
  <c r="AL156" i="10" s="1"/>
  <c r="S102" i="6"/>
  <c r="AJ156" i="10" s="1"/>
  <c r="R102" i="6"/>
  <c r="AH156" i="10" s="1"/>
  <c r="Y102" i="6"/>
  <c r="AR156" i="10" s="1"/>
  <c r="X102" i="6"/>
  <c r="O101" i="6"/>
  <c r="W101" i="6"/>
  <c r="V101" i="6"/>
  <c r="N102" i="6"/>
  <c r="U156" i="10" s="1"/>
  <c r="I102" i="6"/>
  <c r="M156" i="10" s="1"/>
  <c r="P102" i="6"/>
  <c r="Z156" i="10" s="1"/>
  <c r="H102" i="6"/>
  <c r="K156" i="10" s="1"/>
  <c r="J102" i="6"/>
  <c r="O156" i="10" s="1"/>
  <c r="Q102" i="6"/>
  <c r="AD156" i="10" s="1"/>
  <c r="G102" i="6"/>
  <c r="I156" i="10" s="1"/>
  <c r="L102" i="6"/>
  <c r="S156" i="10" s="1"/>
  <c r="F102" i="6"/>
  <c r="G156" i="10" s="1"/>
  <c r="D104" i="6"/>
  <c r="C103" i="6"/>
  <c r="E104" i="6"/>
  <c r="M103" i="6" l="1"/>
  <c r="W157" i="10" s="1"/>
  <c r="Z103" i="6"/>
  <c r="AP157" i="10" s="1"/>
  <c r="Y155" i="10"/>
  <c r="K101" i="6"/>
  <c r="Q155" i="10" s="1"/>
  <c r="C157" i="10"/>
  <c r="U103" i="6"/>
  <c r="AN157" i="10" s="1"/>
  <c r="T103" i="6"/>
  <c r="AL157" i="10" s="1"/>
  <c r="S103" i="6"/>
  <c r="AJ157" i="10" s="1"/>
  <c r="R103" i="6"/>
  <c r="AH157" i="10" s="1"/>
  <c r="Y103" i="6"/>
  <c r="AR157" i="10" s="1"/>
  <c r="X103" i="6"/>
  <c r="O102" i="6"/>
  <c r="W102" i="6"/>
  <c r="J103" i="6"/>
  <c r="O157" i="10" s="1"/>
  <c r="Q103" i="6"/>
  <c r="AD157" i="10" s="1"/>
  <c r="G103" i="6"/>
  <c r="I157" i="10" s="1"/>
  <c r="P103" i="6"/>
  <c r="Z157" i="10" s="1"/>
  <c r="H103" i="6"/>
  <c r="K157" i="10" s="1"/>
  <c r="L103" i="6"/>
  <c r="S157" i="10" s="1"/>
  <c r="F103" i="6"/>
  <c r="G157" i="10" s="1"/>
  <c r="N103" i="6"/>
  <c r="U157" i="10" s="1"/>
  <c r="I103" i="6"/>
  <c r="M157" i="10" s="1"/>
  <c r="V102" i="6"/>
  <c r="D105" i="6"/>
  <c r="C104" i="6"/>
  <c r="E105" i="6"/>
  <c r="M104" i="6" l="1"/>
  <c r="W158" i="10" s="1"/>
  <c r="Z104" i="6"/>
  <c r="AP158" i="10" s="1"/>
  <c r="Y156" i="10"/>
  <c r="K102" i="6"/>
  <c r="Q156" i="10" s="1"/>
  <c r="C158" i="10"/>
  <c r="U104" i="6"/>
  <c r="AN158" i="10" s="1"/>
  <c r="T104" i="6"/>
  <c r="AL158" i="10" s="1"/>
  <c r="S104" i="6"/>
  <c r="AJ158" i="10" s="1"/>
  <c r="R104" i="6"/>
  <c r="AH158" i="10" s="1"/>
  <c r="Y104" i="6"/>
  <c r="AR158" i="10" s="1"/>
  <c r="X104" i="6"/>
  <c r="V103" i="6"/>
  <c r="W103" i="6"/>
  <c r="O103" i="6"/>
  <c r="P104" i="6"/>
  <c r="Z158" i="10" s="1"/>
  <c r="H104" i="6"/>
  <c r="K158" i="10" s="1"/>
  <c r="J104" i="6"/>
  <c r="O158" i="10" s="1"/>
  <c r="Q104" i="6"/>
  <c r="AD158" i="10" s="1"/>
  <c r="G104" i="6"/>
  <c r="I158" i="10" s="1"/>
  <c r="N104" i="6"/>
  <c r="U158" i="10" s="1"/>
  <c r="L104" i="6"/>
  <c r="S158" i="10" s="1"/>
  <c r="F104" i="6"/>
  <c r="G158" i="10" s="1"/>
  <c r="I104" i="6"/>
  <c r="M158" i="10" s="1"/>
  <c r="D106" i="6"/>
  <c r="C105" i="6"/>
  <c r="E106" i="6"/>
  <c r="M105" i="6" l="1"/>
  <c r="W159" i="10" s="1"/>
  <c r="Z105" i="6"/>
  <c r="AP159" i="10" s="1"/>
  <c r="Y157" i="10"/>
  <c r="K103" i="6"/>
  <c r="Q157" i="10" s="1"/>
  <c r="C159" i="10"/>
  <c r="U105" i="6"/>
  <c r="AN159" i="10" s="1"/>
  <c r="T105" i="6"/>
  <c r="AL159" i="10" s="1"/>
  <c r="S105" i="6"/>
  <c r="AJ159" i="10" s="1"/>
  <c r="R105" i="6"/>
  <c r="AH159" i="10" s="1"/>
  <c r="Y105" i="6"/>
  <c r="AR159" i="10" s="1"/>
  <c r="X105" i="6"/>
  <c r="O104" i="6"/>
  <c r="V104" i="6"/>
  <c r="W104" i="6"/>
  <c r="J105" i="6"/>
  <c r="O159" i="10" s="1"/>
  <c r="Q105" i="6"/>
  <c r="AD159" i="10" s="1"/>
  <c r="G105" i="6"/>
  <c r="I159" i="10" s="1"/>
  <c r="L105" i="6"/>
  <c r="S159" i="10" s="1"/>
  <c r="F105" i="6"/>
  <c r="G159" i="10" s="1"/>
  <c r="P105" i="6"/>
  <c r="Z159" i="10" s="1"/>
  <c r="H105" i="6"/>
  <c r="K159" i="10" s="1"/>
  <c r="N105" i="6"/>
  <c r="U159" i="10" s="1"/>
  <c r="I105" i="6"/>
  <c r="M159" i="10" s="1"/>
  <c r="D107" i="6"/>
  <c r="C106" i="6"/>
  <c r="E107" i="6"/>
  <c r="M106" i="6" l="1"/>
  <c r="W160" i="10" s="1"/>
  <c r="Z106" i="6"/>
  <c r="AP160" i="10" s="1"/>
  <c r="Y158" i="10"/>
  <c r="K104" i="6"/>
  <c r="Q158" i="10" s="1"/>
  <c r="C160" i="10"/>
  <c r="U106" i="6"/>
  <c r="AN160" i="10" s="1"/>
  <c r="T106" i="6"/>
  <c r="AL160" i="10" s="1"/>
  <c r="S106" i="6"/>
  <c r="AJ160" i="10" s="1"/>
  <c r="R106" i="6"/>
  <c r="AH160" i="10" s="1"/>
  <c r="Y106" i="6"/>
  <c r="AR160" i="10" s="1"/>
  <c r="X106" i="6"/>
  <c r="W105" i="6"/>
  <c r="O105" i="6"/>
  <c r="V105" i="6"/>
  <c r="J106" i="6"/>
  <c r="O160" i="10" s="1"/>
  <c r="Q106" i="6"/>
  <c r="AD160" i="10" s="1"/>
  <c r="G106" i="6"/>
  <c r="I160" i="10" s="1"/>
  <c r="L106" i="6"/>
  <c r="S160" i="10" s="1"/>
  <c r="F106" i="6"/>
  <c r="G160" i="10" s="1"/>
  <c r="P106" i="6"/>
  <c r="Z160" i="10" s="1"/>
  <c r="H106" i="6"/>
  <c r="K160" i="10" s="1"/>
  <c r="N106" i="6"/>
  <c r="U160" i="10" s="1"/>
  <c r="I106" i="6"/>
  <c r="M160" i="10" s="1"/>
  <c r="D108" i="6"/>
  <c r="C107" i="6"/>
  <c r="E108" i="6"/>
  <c r="M107" i="6" l="1"/>
  <c r="W161" i="10" s="1"/>
  <c r="Z107" i="6"/>
  <c r="AP161" i="10" s="1"/>
  <c r="Y159" i="10"/>
  <c r="K105" i="6"/>
  <c r="Q159" i="10" s="1"/>
  <c r="C161" i="10"/>
  <c r="U107" i="6"/>
  <c r="AN161" i="10" s="1"/>
  <c r="T107" i="6"/>
  <c r="AL161" i="10" s="1"/>
  <c r="S107" i="6"/>
  <c r="AJ161" i="10" s="1"/>
  <c r="R107" i="6"/>
  <c r="AH161" i="10" s="1"/>
  <c r="Y107" i="6"/>
  <c r="AR161" i="10" s="1"/>
  <c r="X107" i="6"/>
  <c r="V106" i="6"/>
  <c r="O106" i="6"/>
  <c r="W106" i="6"/>
  <c r="J107" i="6"/>
  <c r="O161" i="10" s="1"/>
  <c r="Q107" i="6"/>
  <c r="AD161" i="10" s="1"/>
  <c r="G107" i="6"/>
  <c r="I161" i="10" s="1"/>
  <c r="L107" i="6"/>
  <c r="S161" i="10" s="1"/>
  <c r="F107" i="6"/>
  <c r="G161" i="10" s="1"/>
  <c r="P107" i="6"/>
  <c r="Z161" i="10" s="1"/>
  <c r="H107" i="6"/>
  <c r="K161" i="10" s="1"/>
  <c r="N107" i="6"/>
  <c r="U161" i="10" s="1"/>
  <c r="I107" i="6"/>
  <c r="M161" i="10" s="1"/>
  <c r="D109" i="6"/>
  <c r="C108" i="6"/>
  <c r="E109" i="6"/>
  <c r="M108" i="6" l="1"/>
  <c r="W162" i="10" s="1"/>
  <c r="Z108" i="6"/>
  <c r="AP162" i="10" s="1"/>
  <c r="Y160" i="10"/>
  <c r="K106" i="6"/>
  <c r="Q160" i="10" s="1"/>
  <c r="C162" i="10"/>
  <c r="U108" i="6"/>
  <c r="AN162" i="10" s="1"/>
  <c r="T108" i="6"/>
  <c r="AL162" i="10" s="1"/>
  <c r="S108" i="6"/>
  <c r="AJ162" i="10" s="1"/>
  <c r="R108" i="6"/>
  <c r="AH162" i="10" s="1"/>
  <c r="Y108" i="6"/>
  <c r="AR162" i="10" s="1"/>
  <c r="X108" i="6"/>
  <c r="O107" i="6"/>
  <c r="V107" i="6"/>
  <c r="W107" i="6"/>
  <c r="J108" i="6"/>
  <c r="O162" i="10" s="1"/>
  <c r="Q108" i="6"/>
  <c r="AD162" i="10" s="1"/>
  <c r="G108" i="6"/>
  <c r="I162" i="10" s="1"/>
  <c r="L108" i="6"/>
  <c r="S162" i="10" s="1"/>
  <c r="F108" i="6"/>
  <c r="G162" i="10" s="1"/>
  <c r="N108" i="6"/>
  <c r="U162" i="10" s="1"/>
  <c r="I108" i="6"/>
  <c r="M162" i="10" s="1"/>
  <c r="P108" i="6"/>
  <c r="Z162" i="10" s="1"/>
  <c r="H108" i="6"/>
  <c r="K162" i="10" s="1"/>
  <c r="D110" i="6"/>
  <c r="C109" i="6"/>
  <c r="E110" i="6"/>
  <c r="M109" i="6" l="1"/>
  <c r="W163" i="10" s="1"/>
  <c r="Z109" i="6"/>
  <c r="AP163" i="10" s="1"/>
  <c r="Y161" i="10"/>
  <c r="K107" i="6"/>
  <c r="Q161" i="10" s="1"/>
  <c r="C163" i="10"/>
  <c r="U109" i="6"/>
  <c r="AN163" i="10" s="1"/>
  <c r="T109" i="6"/>
  <c r="AL163" i="10" s="1"/>
  <c r="S109" i="6"/>
  <c r="AJ163" i="10" s="1"/>
  <c r="R109" i="6"/>
  <c r="AH163" i="10" s="1"/>
  <c r="Y109" i="6"/>
  <c r="AR163" i="10" s="1"/>
  <c r="X109" i="6"/>
  <c r="V108" i="6"/>
  <c r="O108" i="6"/>
  <c r="L109" i="6"/>
  <c r="S163" i="10" s="1"/>
  <c r="F109" i="6"/>
  <c r="G163" i="10" s="1"/>
  <c r="P109" i="6"/>
  <c r="Z163" i="10" s="1"/>
  <c r="H109" i="6"/>
  <c r="K163" i="10" s="1"/>
  <c r="J109" i="6"/>
  <c r="O163" i="10" s="1"/>
  <c r="Q109" i="6"/>
  <c r="AD163" i="10" s="1"/>
  <c r="G109" i="6"/>
  <c r="I163" i="10" s="1"/>
  <c r="N109" i="6"/>
  <c r="U163" i="10" s="1"/>
  <c r="I109" i="6"/>
  <c r="M163" i="10" s="1"/>
  <c r="W108" i="6"/>
  <c r="D111" i="6"/>
  <c r="C110" i="6"/>
  <c r="E111" i="6"/>
  <c r="M110" i="6" l="1"/>
  <c r="W164" i="10" s="1"/>
  <c r="Z110" i="6"/>
  <c r="AP164" i="10" s="1"/>
  <c r="Y162" i="10"/>
  <c r="K108" i="6"/>
  <c r="Q162" i="10" s="1"/>
  <c r="C164" i="10"/>
  <c r="U110" i="6"/>
  <c r="AN164" i="10" s="1"/>
  <c r="T110" i="6"/>
  <c r="AL164" i="10" s="1"/>
  <c r="S110" i="6"/>
  <c r="AJ164" i="10" s="1"/>
  <c r="R110" i="6"/>
  <c r="AH164" i="10" s="1"/>
  <c r="Y110" i="6"/>
  <c r="AR164" i="10" s="1"/>
  <c r="X110" i="6"/>
  <c r="W109" i="6"/>
  <c r="O109" i="6"/>
  <c r="V109" i="6"/>
  <c r="P110" i="6"/>
  <c r="Z164" i="10" s="1"/>
  <c r="H110" i="6"/>
  <c r="K164" i="10" s="1"/>
  <c r="J110" i="6"/>
  <c r="O164" i="10" s="1"/>
  <c r="Q110" i="6"/>
  <c r="AD164" i="10" s="1"/>
  <c r="G110" i="6"/>
  <c r="I164" i="10" s="1"/>
  <c r="N110" i="6"/>
  <c r="U164" i="10" s="1"/>
  <c r="I110" i="6"/>
  <c r="M164" i="10" s="1"/>
  <c r="L110" i="6"/>
  <c r="S164" i="10" s="1"/>
  <c r="F110" i="6"/>
  <c r="G164" i="10" s="1"/>
  <c r="D112" i="6"/>
  <c r="C111" i="6"/>
  <c r="E112" i="6"/>
  <c r="M111" i="6" l="1"/>
  <c r="W165" i="10" s="1"/>
  <c r="Z111" i="6"/>
  <c r="AP165" i="10" s="1"/>
  <c r="Y163" i="10"/>
  <c r="K109" i="6"/>
  <c r="Q163" i="10" s="1"/>
  <c r="C165" i="10"/>
  <c r="U111" i="6"/>
  <c r="AN165" i="10" s="1"/>
  <c r="T111" i="6"/>
  <c r="AL165" i="10" s="1"/>
  <c r="S111" i="6"/>
  <c r="AJ165" i="10" s="1"/>
  <c r="R111" i="6"/>
  <c r="AH165" i="10" s="1"/>
  <c r="Y111" i="6"/>
  <c r="AR165" i="10" s="1"/>
  <c r="X111" i="6"/>
  <c r="O110" i="6"/>
  <c r="W110" i="6"/>
  <c r="V110" i="6"/>
  <c r="J111" i="6"/>
  <c r="O165" i="10" s="1"/>
  <c r="Q111" i="6"/>
  <c r="AD165" i="10" s="1"/>
  <c r="G111" i="6"/>
  <c r="I165" i="10" s="1"/>
  <c r="L111" i="6"/>
  <c r="S165" i="10" s="1"/>
  <c r="F111" i="6"/>
  <c r="G165" i="10" s="1"/>
  <c r="N111" i="6"/>
  <c r="U165" i="10" s="1"/>
  <c r="I111" i="6"/>
  <c r="M165" i="10" s="1"/>
  <c r="P111" i="6"/>
  <c r="Z165" i="10" s="1"/>
  <c r="H111" i="6"/>
  <c r="K165" i="10" s="1"/>
  <c r="D113" i="6"/>
  <c r="C112" i="6"/>
  <c r="E113" i="6"/>
  <c r="M112" i="6" l="1"/>
  <c r="W166" i="10" s="1"/>
  <c r="Z112" i="6"/>
  <c r="AP166" i="10" s="1"/>
  <c r="Y164" i="10"/>
  <c r="K110" i="6"/>
  <c r="Q164" i="10" s="1"/>
  <c r="C166" i="10"/>
  <c r="U112" i="6"/>
  <c r="AN166" i="10" s="1"/>
  <c r="T112" i="6"/>
  <c r="AL166" i="10" s="1"/>
  <c r="S112" i="6"/>
  <c r="AJ166" i="10" s="1"/>
  <c r="R112" i="6"/>
  <c r="AH166" i="10" s="1"/>
  <c r="Y112" i="6"/>
  <c r="AR166" i="10" s="1"/>
  <c r="X112" i="6"/>
  <c r="W111" i="6"/>
  <c r="O111" i="6"/>
  <c r="V111" i="6"/>
  <c r="J112" i="6"/>
  <c r="O166" i="10" s="1"/>
  <c r="Q112" i="6"/>
  <c r="AD166" i="10" s="1"/>
  <c r="G112" i="6"/>
  <c r="I166" i="10" s="1"/>
  <c r="L112" i="6"/>
  <c r="S166" i="10" s="1"/>
  <c r="F112" i="6"/>
  <c r="G166" i="10" s="1"/>
  <c r="N112" i="6"/>
  <c r="U166" i="10" s="1"/>
  <c r="I112" i="6"/>
  <c r="M166" i="10" s="1"/>
  <c r="H112" i="6"/>
  <c r="K166" i="10" s="1"/>
  <c r="P112" i="6"/>
  <c r="Z166" i="10" s="1"/>
  <c r="D114" i="6"/>
  <c r="C113" i="6"/>
  <c r="E114" i="6"/>
  <c r="M113" i="6" l="1"/>
  <c r="W167" i="10" s="1"/>
  <c r="Z113" i="6"/>
  <c r="AP167" i="10" s="1"/>
  <c r="Y165" i="10"/>
  <c r="K111" i="6"/>
  <c r="Q165" i="10" s="1"/>
  <c r="C167" i="10"/>
  <c r="U113" i="6"/>
  <c r="AN167" i="10" s="1"/>
  <c r="T113" i="6"/>
  <c r="AL167" i="10" s="1"/>
  <c r="S113" i="6"/>
  <c r="AJ167" i="10" s="1"/>
  <c r="R113" i="6"/>
  <c r="AH167" i="10" s="1"/>
  <c r="Y113" i="6"/>
  <c r="AR167" i="10" s="1"/>
  <c r="X113" i="6"/>
  <c r="O112" i="6"/>
  <c r="W112" i="6"/>
  <c r="V112" i="6"/>
  <c r="J113" i="6"/>
  <c r="O167" i="10" s="1"/>
  <c r="Q113" i="6"/>
  <c r="AD167" i="10" s="1"/>
  <c r="G113" i="6"/>
  <c r="I167" i="10" s="1"/>
  <c r="L113" i="6"/>
  <c r="S167" i="10" s="1"/>
  <c r="N113" i="6"/>
  <c r="U167" i="10" s="1"/>
  <c r="P113" i="6"/>
  <c r="Z167" i="10" s="1"/>
  <c r="H113" i="6"/>
  <c r="K167" i="10" s="1"/>
  <c r="F113" i="6"/>
  <c r="G167" i="10" s="1"/>
  <c r="I113" i="6"/>
  <c r="M167" i="10" s="1"/>
  <c r="D115" i="6"/>
  <c r="C114" i="6"/>
  <c r="E115" i="6"/>
  <c r="M114" i="6" l="1"/>
  <c r="W168" i="10" s="1"/>
  <c r="Z114" i="6"/>
  <c r="AP168" i="10" s="1"/>
  <c r="Y166" i="10"/>
  <c r="K112" i="6"/>
  <c r="Q166" i="10" s="1"/>
  <c r="C168" i="10"/>
  <c r="U114" i="6"/>
  <c r="AN168" i="10" s="1"/>
  <c r="T114" i="6"/>
  <c r="AL168" i="10" s="1"/>
  <c r="S114" i="6"/>
  <c r="AJ168" i="10" s="1"/>
  <c r="R114" i="6"/>
  <c r="AH168" i="10" s="1"/>
  <c r="Y114" i="6"/>
  <c r="AR168" i="10" s="1"/>
  <c r="X114" i="6"/>
  <c r="O113" i="6"/>
  <c r="W113" i="6"/>
  <c r="L114" i="6"/>
  <c r="S168" i="10" s="1"/>
  <c r="N114" i="6"/>
  <c r="U168" i="10" s="1"/>
  <c r="I114" i="6"/>
  <c r="M168" i="10" s="1"/>
  <c r="H114" i="6"/>
  <c r="K168" i="10" s="1"/>
  <c r="G114" i="6"/>
  <c r="I168" i="10" s="1"/>
  <c r="F114" i="6"/>
  <c r="G168" i="10" s="1"/>
  <c r="P114" i="6"/>
  <c r="Z168" i="10" s="1"/>
  <c r="J114" i="6"/>
  <c r="O168" i="10" s="1"/>
  <c r="Q114" i="6"/>
  <c r="AD168" i="10" s="1"/>
  <c r="V113" i="6"/>
  <c r="D116" i="6"/>
  <c r="C115" i="6"/>
  <c r="E116" i="6"/>
  <c r="M115" i="6" l="1"/>
  <c r="W169" i="10" s="1"/>
  <c r="Z115" i="6"/>
  <c r="AP169" i="10" s="1"/>
  <c r="Y167" i="10"/>
  <c r="K113" i="6"/>
  <c r="Q167" i="10" s="1"/>
  <c r="C169" i="10"/>
  <c r="U115" i="6"/>
  <c r="AN169" i="10" s="1"/>
  <c r="T115" i="6"/>
  <c r="AL169" i="10" s="1"/>
  <c r="S115" i="6"/>
  <c r="AJ169" i="10" s="1"/>
  <c r="R115" i="6"/>
  <c r="AH169" i="10" s="1"/>
  <c r="Y115" i="6"/>
  <c r="AR169" i="10" s="1"/>
  <c r="X115" i="6"/>
  <c r="O114" i="6"/>
  <c r="W114" i="6"/>
  <c r="V114" i="6"/>
  <c r="P115" i="6"/>
  <c r="Z169" i="10" s="1"/>
  <c r="H115" i="6"/>
  <c r="K169" i="10" s="1"/>
  <c r="J115" i="6"/>
  <c r="O169" i="10" s="1"/>
  <c r="Q115" i="6"/>
  <c r="AD169" i="10" s="1"/>
  <c r="G115" i="6"/>
  <c r="I169" i="10" s="1"/>
  <c r="L115" i="6"/>
  <c r="S169" i="10" s="1"/>
  <c r="F115" i="6"/>
  <c r="G169" i="10" s="1"/>
  <c r="N115" i="6"/>
  <c r="U169" i="10" s="1"/>
  <c r="I115" i="6"/>
  <c r="M169" i="10" s="1"/>
  <c r="D117" i="6"/>
  <c r="C116" i="6"/>
  <c r="E117" i="6"/>
  <c r="M116" i="6" l="1"/>
  <c r="W170" i="10" s="1"/>
  <c r="Z116" i="6"/>
  <c r="AP170" i="10" s="1"/>
  <c r="Y168" i="10"/>
  <c r="K114" i="6"/>
  <c r="Q168" i="10" s="1"/>
  <c r="C170" i="10"/>
  <c r="U116" i="6"/>
  <c r="AN170" i="10" s="1"/>
  <c r="T116" i="6"/>
  <c r="AL170" i="10" s="1"/>
  <c r="S116" i="6"/>
  <c r="AJ170" i="10" s="1"/>
  <c r="R116" i="6"/>
  <c r="AH170" i="10" s="1"/>
  <c r="Y116" i="6"/>
  <c r="AR170" i="10" s="1"/>
  <c r="X116" i="6"/>
  <c r="V115" i="6"/>
  <c r="W115" i="6"/>
  <c r="O115" i="6"/>
  <c r="P116" i="6"/>
  <c r="Z170" i="10" s="1"/>
  <c r="H116" i="6"/>
  <c r="K170" i="10" s="1"/>
  <c r="J116" i="6"/>
  <c r="O170" i="10" s="1"/>
  <c r="Q116" i="6"/>
  <c r="AD170" i="10" s="1"/>
  <c r="G116" i="6"/>
  <c r="I170" i="10" s="1"/>
  <c r="L116" i="6"/>
  <c r="S170" i="10" s="1"/>
  <c r="F116" i="6"/>
  <c r="G170" i="10" s="1"/>
  <c r="N116" i="6"/>
  <c r="U170" i="10" s="1"/>
  <c r="I116" i="6"/>
  <c r="M170" i="10" s="1"/>
  <c r="D118" i="6"/>
  <c r="C117" i="6"/>
  <c r="E118" i="6"/>
  <c r="M117" i="6" l="1"/>
  <c r="W171" i="10" s="1"/>
  <c r="Z117" i="6"/>
  <c r="AP171" i="10" s="1"/>
  <c r="Y169" i="10"/>
  <c r="K115" i="6"/>
  <c r="Q169" i="10" s="1"/>
  <c r="C171" i="10"/>
  <c r="U117" i="6"/>
  <c r="AN171" i="10" s="1"/>
  <c r="T117" i="6"/>
  <c r="AL171" i="10" s="1"/>
  <c r="S117" i="6"/>
  <c r="AJ171" i="10" s="1"/>
  <c r="R117" i="6"/>
  <c r="AH171" i="10" s="1"/>
  <c r="Y117" i="6"/>
  <c r="AR171" i="10" s="1"/>
  <c r="X117" i="6"/>
  <c r="O116" i="6"/>
  <c r="V116" i="6"/>
  <c r="W116" i="6"/>
  <c r="L117" i="6"/>
  <c r="S171" i="10" s="1"/>
  <c r="F117" i="6"/>
  <c r="G171" i="10" s="1"/>
  <c r="N117" i="6"/>
  <c r="U171" i="10" s="1"/>
  <c r="I117" i="6"/>
  <c r="M171" i="10" s="1"/>
  <c r="P117" i="6"/>
  <c r="Z171" i="10" s="1"/>
  <c r="H117" i="6"/>
  <c r="K171" i="10" s="1"/>
  <c r="J117" i="6"/>
  <c r="O171" i="10" s="1"/>
  <c r="Q117" i="6"/>
  <c r="AD171" i="10" s="1"/>
  <c r="G117" i="6"/>
  <c r="I171" i="10" s="1"/>
  <c r="D119" i="6"/>
  <c r="C118" i="6"/>
  <c r="E119" i="6"/>
  <c r="M118" i="6" l="1"/>
  <c r="W172" i="10" s="1"/>
  <c r="Z118" i="6"/>
  <c r="AP172" i="10" s="1"/>
  <c r="Y170" i="10"/>
  <c r="K116" i="6"/>
  <c r="Q170" i="10" s="1"/>
  <c r="C172" i="10"/>
  <c r="U118" i="6"/>
  <c r="AN172" i="10" s="1"/>
  <c r="T118" i="6"/>
  <c r="AL172" i="10" s="1"/>
  <c r="S118" i="6"/>
  <c r="AJ172" i="10" s="1"/>
  <c r="R118" i="6"/>
  <c r="AH172" i="10" s="1"/>
  <c r="Y118" i="6"/>
  <c r="AR172" i="10" s="1"/>
  <c r="X118" i="6"/>
  <c r="O117" i="6"/>
  <c r="V117" i="6"/>
  <c r="W117" i="6"/>
  <c r="J118" i="6"/>
  <c r="O172" i="10" s="1"/>
  <c r="Q118" i="6"/>
  <c r="AD172" i="10" s="1"/>
  <c r="G118" i="6"/>
  <c r="I172" i="10" s="1"/>
  <c r="L118" i="6"/>
  <c r="S172" i="10" s="1"/>
  <c r="F118" i="6"/>
  <c r="G172" i="10" s="1"/>
  <c r="N118" i="6"/>
  <c r="U172" i="10" s="1"/>
  <c r="I118" i="6"/>
  <c r="M172" i="10" s="1"/>
  <c r="P118" i="6"/>
  <c r="Z172" i="10" s="1"/>
  <c r="H118" i="6"/>
  <c r="K172" i="10" s="1"/>
  <c r="D120" i="6"/>
  <c r="C119" i="6"/>
  <c r="E120" i="6"/>
  <c r="M119" i="6" l="1"/>
  <c r="W173" i="10" s="1"/>
  <c r="Z119" i="6"/>
  <c r="AP173" i="10" s="1"/>
  <c r="Y171" i="10"/>
  <c r="K117" i="6"/>
  <c r="Q171" i="10" s="1"/>
  <c r="C173" i="10"/>
  <c r="U119" i="6"/>
  <c r="AN173" i="10" s="1"/>
  <c r="T119" i="6"/>
  <c r="AL173" i="10" s="1"/>
  <c r="S119" i="6"/>
  <c r="AJ173" i="10" s="1"/>
  <c r="R119" i="6"/>
  <c r="AH173" i="10" s="1"/>
  <c r="Y119" i="6"/>
  <c r="AR173" i="10" s="1"/>
  <c r="X119" i="6"/>
  <c r="O118" i="6"/>
  <c r="W118" i="6"/>
  <c r="J119" i="6"/>
  <c r="O173" i="10" s="1"/>
  <c r="Q119" i="6"/>
  <c r="AD173" i="10" s="1"/>
  <c r="G119" i="6"/>
  <c r="I173" i="10" s="1"/>
  <c r="N119" i="6"/>
  <c r="U173" i="10" s="1"/>
  <c r="I119" i="6"/>
  <c r="M173" i="10" s="1"/>
  <c r="P119" i="6"/>
  <c r="Z173" i="10" s="1"/>
  <c r="H119" i="6"/>
  <c r="K173" i="10" s="1"/>
  <c r="L119" i="6"/>
  <c r="S173" i="10" s="1"/>
  <c r="F119" i="6"/>
  <c r="G173" i="10" s="1"/>
  <c r="V118" i="6"/>
  <c r="D121" i="6"/>
  <c r="C120" i="6"/>
  <c r="E121" i="6"/>
  <c r="M120" i="6" l="1"/>
  <c r="W174" i="10" s="1"/>
  <c r="Z120" i="6"/>
  <c r="AP174" i="10" s="1"/>
  <c r="Y172" i="10"/>
  <c r="K118" i="6"/>
  <c r="Q172" i="10" s="1"/>
  <c r="C174" i="10"/>
  <c r="U120" i="6"/>
  <c r="AN174" i="10" s="1"/>
  <c r="T120" i="6"/>
  <c r="AL174" i="10" s="1"/>
  <c r="S120" i="6"/>
  <c r="AJ174" i="10" s="1"/>
  <c r="R120" i="6"/>
  <c r="AH174" i="10" s="1"/>
  <c r="Y120" i="6"/>
  <c r="AR174" i="10" s="1"/>
  <c r="X120" i="6"/>
  <c r="O119" i="6"/>
  <c r="W119" i="6"/>
  <c r="V119" i="6"/>
  <c r="P120" i="6"/>
  <c r="Z174" i="10" s="1"/>
  <c r="H120" i="6"/>
  <c r="K174" i="10" s="1"/>
  <c r="L120" i="6"/>
  <c r="S174" i="10" s="1"/>
  <c r="F120" i="6"/>
  <c r="G174" i="10" s="1"/>
  <c r="Q120" i="6"/>
  <c r="AD174" i="10" s="1"/>
  <c r="N120" i="6"/>
  <c r="U174" i="10" s="1"/>
  <c r="I120" i="6"/>
  <c r="M174" i="10" s="1"/>
  <c r="J120" i="6"/>
  <c r="O174" i="10" s="1"/>
  <c r="G120" i="6"/>
  <c r="I174" i="10" s="1"/>
  <c r="D122" i="6"/>
  <c r="C121" i="6"/>
  <c r="E122" i="6"/>
  <c r="M121" i="6" l="1"/>
  <c r="W175" i="10" s="1"/>
  <c r="Z121" i="6"/>
  <c r="AP175" i="10" s="1"/>
  <c r="Y173" i="10"/>
  <c r="K119" i="6"/>
  <c r="Q173" i="10" s="1"/>
  <c r="C175" i="10"/>
  <c r="U121" i="6"/>
  <c r="AN175" i="10" s="1"/>
  <c r="T121" i="6"/>
  <c r="AL175" i="10" s="1"/>
  <c r="S121" i="6"/>
  <c r="AJ175" i="10" s="1"/>
  <c r="R121" i="6"/>
  <c r="AH175" i="10" s="1"/>
  <c r="Y121" i="6"/>
  <c r="AR175" i="10" s="1"/>
  <c r="X121" i="6"/>
  <c r="O120" i="6"/>
  <c r="W120" i="6"/>
  <c r="V120" i="6"/>
  <c r="J121" i="6"/>
  <c r="O175" i="10" s="1"/>
  <c r="Q121" i="6"/>
  <c r="AD175" i="10" s="1"/>
  <c r="G121" i="6"/>
  <c r="I175" i="10" s="1"/>
  <c r="L121" i="6"/>
  <c r="S175" i="10" s="1"/>
  <c r="F121" i="6"/>
  <c r="G175" i="10" s="1"/>
  <c r="N121" i="6"/>
  <c r="U175" i="10" s="1"/>
  <c r="I121" i="6"/>
  <c r="M175" i="10" s="1"/>
  <c r="P121" i="6"/>
  <c r="Z175" i="10" s="1"/>
  <c r="H121" i="6"/>
  <c r="K175" i="10" s="1"/>
  <c r="D123" i="6"/>
  <c r="C122" i="6"/>
  <c r="E123" i="6"/>
  <c r="M122" i="6" l="1"/>
  <c r="W176" i="10" s="1"/>
  <c r="Z122" i="6"/>
  <c r="AP176" i="10" s="1"/>
  <c r="Y174" i="10"/>
  <c r="K120" i="6"/>
  <c r="Q174" i="10" s="1"/>
  <c r="C176" i="10"/>
  <c r="U122" i="6"/>
  <c r="AN176" i="10" s="1"/>
  <c r="T122" i="6"/>
  <c r="AL176" i="10" s="1"/>
  <c r="S122" i="6"/>
  <c r="AJ176" i="10" s="1"/>
  <c r="R122" i="6"/>
  <c r="AH176" i="10" s="1"/>
  <c r="Y122" i="6"/>
  <c r="AR176" i="10" s="1"/>
  <c r="X122" i="6"/>
  <c r="O121" i="6"/>
  <c r="W121" i="6"/>
  <c r="V121" i="6"/>
  <c r="J122" i="6"/>
  <c r="O176" i="10" s="1"/>
  <c r="Q122" i="6"/>
  <c r="AD176" i="10" s="1"/>
  <c r="G122" i="6"/>
  <c r="I176" i="10" s="1"/>
  <c r="L122" i="6"/>
  <c r="S176" i="10" s="1"/>
  <c r="F122" i="6"/>
  <c r="G176" i="10" s="1"/>
  <c r="N122" i="6"/>
  <c r="U176" i="10" s="1"/>
  <c r="P122" i="6"/>
  <c r="Z176" i="10" s="1"/>
  <c r="H122" i="6"/>
  <c r="K176" i="10" s="1"/>
  <c r="I122" i="6"/>
  <c r="M176" i="10" s="1"/>
  <c r="D124" i="6"/>
  <c r="C123" i="6"/>
  <c r="E124" i="6"/>
  <c r="M123" i="6" l="1"/>
  <c r="W177" i="10" s="1"/>
  <c r="Z123" i="6"/>
  <c r="AP177" i="10" s="1"/>
  <c r="Y175" i="10"/>
  <c r="K121" i="6"/>
  <c r="Q175" i="10" s="1"/>
  <c r="C177" i="10"/>
  <c r="U123" i="6"/>
  <c r="AN177" i="10" s="1"/>
  <c r="T123" i="6"/>
  <c r="AL177" i="10" s="1"/>
  <c r="S123" i="6"/>
  <c r="AJ177" i="10" s="1"/>
  <c r="R123" i="6"/>
  <c r="AH177" i="10" s="1"/>
  <c r="Y123" i="6"/>
  <c r="AR177" i="10" s="1"/>
  <c r="X123" i="6"/>
  <c r="O122" i="6"/>
  <c r="V122" i="6"/>
  <c r="W122" i="6"/>
  <c r="J123" i="6"/>
  <c r="O177" i="10" s="1"/>
  <c r="Q123" i="6"/>
  <c r="AD177" i="10" s="1"/>
  <c r="G123" i="6"/>
  <c r="I177" i="10" s="1"/>
  <c r="F123" i="6"/>
  <c r="G177" i="10" s="1"/>
  <c r="I123" i="6"/>
  <c r="M177" i="10" s="1"/>
  <c r="P123" i="6"/>
  <c r="Z177" i="10" s="1"/>
  <c r="H123" i="6"/>
  <c r="K177" i="10" s="1"/>
  <c r="L123" i="6"/>
  <c r="S177" i="10" s="1"/>
  <c r="N123" i="6"/>
  <c r="U177" i="10" s="1"/>
  <c r="D125" i="6"/>
  <c r="C124" i="6"/>
  <c r="E125" i="6"/>
  <c r="M124" i="6" l="1"/>
  <c r="W178" i="10" s="1"/>
  <c r="Z124" i="6"/>
  <c r="AP178" i="10" s="1"/>
  <c r="Y176" i="10"/>
  <c r="K122" i="6"/>
  <c r="Q176" i="10" s="1"/>
  <c r="C178" i="10"/>
  <c r="U124" i="6"/>
  <c r="AN178" i="10" s="1"/>
  <c r="T124" i="6"/>
  <c r="AL178" i="10" s="1"/>
  <c r="S124" i="6"/>
  <c r="AJ178" i="10" s="1"/>
  <c r="R124" i="6"/>
  <c r="AH178" i="10" s="1"/>
  <c r="Y124" i="6"/>
  <c r="AR178" i="10" s="1"/>
  <c r="X124" i="6"/>
  <c r="W123" i="6"/>
  <c r="V123" i="6"/>
  <c r="O123" i="6"/>
  <c r="J124" i="6"/>
  <c r="O178" i="10" s="1"/>
  <c r="Q124" i="6"/>
  <c r="AD178" i="10" s="1"/>
  <c r="G124" i="6"/>
  <c r="I178" i="10" s="1"/>
  <c r="L124" i="6"/>
  <c r="S178" i="10" s="1"/>
  <c r="F124" i="6"/>
  <c r="G178" i="10" s="1"/>
  <c r="N124" i="6"/>
  <c r="U178" i="10" s="1"/>
  <c r="I124" i="6"/>
  <c r="M178" i="10" s="1"/>
  <c r="P124" i="6"/>
  <c r="Z178" i="10" s="1"/>
  <c r="H124" i="6"/>
  <c r="K178" i="10" s="1"/>
  <c r="D126" i="6"/>
  <c r="C125" i="6"/>
  <c r="E126" i="6"/>
  <c r="M125" i="6" l="1"/>
  <c r="W179" i="10" s="1"/>
  <c r="Z125" i="6"/>
  <c r="AP179" i="10" s="1"/>
  <c r="Y177" i="10"/>
  <c r="K123" i="6"/>
  <c r="Q177" i="10" s="1"/>
  <c r="C179" i="10"/>
  <c r="U125" i="6"/>
  <c r="AN179" i="10" s="1"/>
  <c r="T125" i="6"/>
  <c r="AL179" i="10" s="1"/>
  <c r="S125" i="6"/>
  <c r="AJ179" i="10" s="1"/>
  <c r="R125" i="6"/>
  <c r="AH179" i="10" s="1"/>
  <c r="Y125" i="6"/>
  <c r="AR179" i="10" s="1"/>
  <c r="X125" i="6"/>
  <c r="O124" i="6"/>
  <c r="W124" i="6"/>
  <c r="V124" i="6"/>
  <c r="J125" i="6"/>
  <c r="O179" i="10" s="1"/>
  <c r="Q125" i="6"/>
  <c r="AD179" i="10" s="1"/>
  <c r="G125" i="6"/>
  <c r="I179" i="10" s="1"/>
  <c r="L125" i="6"/>
  <c r="S179" i="10" s="1"/>
  <c r="F125" i="6"/>
  <c r="G179" i="10" s="1"/>
  <c r="N125" i="6"/>
  <c r="U179" i="10" s="1"/>
  <c r="P125" i="6"/>
  <c r="Z179" i="10" s="1"/>
  <c r="H125" i="6"/>
  <c r="K179" i="10" s="1"/>
  <c r="I125" i="6"/>
  <c r="M179" i="10" s="1"/>
  <c r="D127" i="6"/>
  <c r="C126" i="6"/>
  <c r="E127" i="6"/>
  <c r="M126" i="6" l="1"/>
  <c r="W180" i="10" s="1"/>
  <c r="Z126" i="6"/>
  <c r="AP180" i="10" s="1"/>
  <c r="Y178" i="10"/>
  <c r="K124" i="6"/>
  <c r="Q178" i="10" s="1"/>
  <c r="C180" i="10"/>
  <c r="U126" i="6"/>
  <c r="AN180" i="10" s="1"/>
  <c r="T126" i="6"/>
  <c r="AL180" i="10" s="1"/>
  <c r="S126" i="6"/>
  <c r="AJ180" i="10" s="1"/>
  <c r="R126" i="6"/>
  <c r="AH180" i="10" s="1"/>
  <c r="Y126" i="6"/>
  <c r="AR180" i="10" s="1"/>
  <c r="X126" i="6"/>
  <c r="W125" i="6"/>
  <c r="O125" i="6"/>
  <c r="J126" i="6"/>
  <c r="O180" i="10" s="1"/>
  <c r="Q126" i="6"/>
  <c r="AD180" i="10" s="1"/>
  <c r="G126" i="6"/>
  <c r="I180" i="10" s="1"/>
  <c r="N126" i="6"/>
  <c r="U180" i="10" s="1"/>
  <c r="I126" i="6"/>
  <c r="M180" i="10" s="1"/>
  <c r="L126" i="6"/>
  <c r="S180" i="10" s="1"/>
  <c r="P126" i="6"/>
  <c r="Z180" i="10" s="1"/>
  <c r="H126" i="6"/>
  <c r="K180" i="10" s="1"/>
  <c r="F126" i="6"/>
  <c r="G180" i="10" s="1"/>
  <c r="V125" i="6"/>
  <c r="D128" i="6"/>
  <c r="C127" i="6"/>
  <c r="E128" i="6"/>
  <c r="M127" i="6" l="1"/>
  <c r="W181" i="10" s="1"/>
  <c r="Z127" i="6"/>
  <c r="AP181" i="10" s="1"/>
  <c r="Y179" i="10"/>
  <c r="K125" i="6"/>
  <c r="Q179" i="10" s="1"/>
  <c r="C181" i="10"/>
  <c r="U127" i="6"/>
  <c r="AN181" i="10" s="1"/>
  <c r="T127" i="6"/>
  <c r="AL181" i="10" s="1"/>
  <c r="S127" i="6"/>
  <c r="AJ181" i="10" s="1"/>
  <c r="R127" i="6"/>
  <c r="AH181" i="10" s="1"/>
  <c r="Y127" i="6"/>
  <c r="AR181" i="10" s="1"/>
  <c r="X127" i="6"/>
  <c r="W126" i="6"/>
  <c r="O126" i="6"/>
  <c r="V126" i="6"/>
  <c r="P127" i="6"/>
  <c r="Z181" i="10" s="1"/>
  <c r="H127" i="6"/>
  <c r="K181" i="10" s="1"/>
  <c r="J127" i="6"/>
  <c r="O181" i="10" s="1"/>
  <c r="Q127" i="6"/>
  <c r="AD181" i="10" s="1"/>
  <c r="G127" i="6"/>
  <c r="I181" i="10" s="1"/>
  <c r="L127" i="6"/>
  <c r="S181" i="10" s="1"/>
  <c r="F127" i="6"/>
  <c r="G181" i="10" s="1"/>
  <c r="N127" i="6"/>
  <c r="U181" i="10" s="1"/>
  <c r="I127" i="6"/>
  <c r="M181" i="10" s="1"/>
  <c r="D129" i="6"/>
  <c r="C128" i="6"/>
  <c r="E129" i="6"/>
  <c r="M128" i="6" l="1"/>
  <c r="W182" i="10" s="1"/>
  <c r="Z128" i="6"/>
  <c r="AP182" i="10" s="1"/>
  <c r="Y180" i="10"/>
  <c r="K126" i="6"/>
  <c r="Q180" i="10" s="1"/>
  <c r="C182" i="10"/>
  <c r="U128" i="6"/>
  <c r="AN182" i="10" s="1"/>
  <c r="T128" i="6"/>
  <c r="AL182" i="10" s="1"/>
  <c r="S128" i="6"/>
  <c r="AJ182" i="10" s="1"/>
  <c r="R128" i="6"/>
  <c r="AH182" i="10" s="1"/>
  <c r="Y128" i="6"/>
  <c r="AR182" i="10" s="1"/>
  <c r="X128" i="6"/>
  <c r="V127" i="6"/>
  <c r="W127" i="6"/>
  <c r="O127" i="6"/>
  <c r="L128" i="6"/>
  <c r="S182" i="10" s="1"/>
  <c r="F128" i="6"/>
  <c r="G182" i="10" s="1"/>
  <c r="N128" i="6"/>
  <c r="U182" i="10" s="1"/>
  <c r="I128" i="6"/>
  <c r="M182" i="10" s="1"/>
  <c r="P128" i="6"/>
  <c r="Z182" i="10" s="1"/>
  <c r="H128" i="6"/>
  <c r="K182" i="10" s="1"/>
  <c r="J128" i="6"/>
  <c r="O182" i="10" s="1"/>
  <c r="Q128" i="6"/>
  <c r="AD182" i="10" s="1"/>
  <c r="G128" i="6"/>
  <c r="I182" i="10" s="1"/>
  <c r="D130" i="6"/>
  <c r="C129" i="6"/>
  <c r="E130" i="6"/>
  <c r="M129" i="6" l="1"/>
  <c r="W183" i="10" s="1"/>
  <c r="Z129" i="6"/>
  <c r="AP183" i="10" s="1"/>
  <c r="Y181" i="10"/>
  <c r="K127" i="6"/>
  <c r="Q181" i="10" s="1"/>
  <c r="C183" i="10"/>
  <c r="U129" i="6"/>
  <c r="AN183" i="10" s="1"/>
  <c r="T129" i="6"/>
  <c r="AL183" i="10" s="1"/>
  <c r="S129" i="6"/>
  <c r="AJ183" i="10" s="1"/>
  <c r="R129" i="6"/>
  <c r="AH183" i="10" s="1"/>
  <c r="Y129" i="6"/>
  <c r="AR183" i="10" s="1"/>
  <c r="X129" i="6"/>
  <c r="O128" i="6"/>
  <c r="W128" i="6"/>
  <c r="V128" i="6"/>
  <c r="J129" i="6"/>
  <c r="O183" i="10" s="1"/>
  <c r="Q129" i="6"/>
  <c r="AD183" i="10" s="1"/>
  <c r="G129" i="6"/>
  <c r="I183" i="10" s="1"/>
  <c r="L129" i="6"/>
  <c r="S183" i="10" s="1"/>
  <c r="F129" i="6"/>
  <c r="G183" i="10" s="1"/>
  <c r="N129" i="6"/>
  <c r="U183" i="10" s="1"/>
  <c r="I129" i="6"/>
  <c r="M183" i="10" s="1"/>
  <c r="P129" i="6"/>
  <c r="Z183" i="10" s="1"/>
  <c r="H129" i="6"/>
  <c r="K183" i="10" s="1"/>
  <c r="D131" i="6"/>
  <c r="C130" i="6"/>
  <c r="E131" i="6"/>
  <c r="M130" i="6" l="1"/>
  <c r="W184" i="10" s="1"/>
  <c r="Z130" i="6"/>
  <c r="AP184" i="10" s="1"/>
  <c r="Y182" i="10"/>
  <c r="K128" i="6"/>
  <c r="Q182" i="10" s="1"/>
  <c r="C184" i="10"/>
  <c r="U130" i="6"/>
  <c r="AN184" i="10" s="1"/>
  <c r="T130" i="6"/>
  <c r="AL184" i="10" s="1"/>
  <c r="S130" i="6"/>
  <c r="AJ184" i="10" s="1"/>
  <c r="R130" i="6"/>
  <c r="AH184" i="10" s="1"/>
  <c r="Y130" i="6"/>
  <c r="AR184" i="10" s="1"/>
  <c r="X130" i="6"/>
  <c r="O129" i="6"/>
  <c r="W129" i="6"/>
  <c r="V129" i="6"/>
  <c r="J130" i="6"/>
  <c r="O184" i="10" s="1"/>
  <c r="Q130" i="6"/>
  <c r="AD184" i="10" s="1"/>
  <c r="G130" i="6"/>
  <c r="I184" i="10" s="1"/>
  <c r="L130" i="6"/>
  <c r="S184" i="10" s="1"/>
  <c r="F130" i="6"/>
  <c r="G184" i="10" s="1"/>
  <c r="N130" i="6"/>
  <c r="U184" i="10" s="1"/>
  <c r="I130" i="6"/>
  <c r="M184" i="10" s="1"/>
  <c r="P130" i="6"/>
  <c r="Z184" i="10" s="1"/>
  <c r="H130" i="6"/>
  <c r="K184" i="10" s="1"/>
  <c r="D132" i="6"/>
  <c r="C131" i="6"/>
  <c r="E132" i="6"/>
  <c r="M131" i="6" l="1"/>
  <c r="W185" i="10" s="1"/>
  <c r="Z131" i="6"/>
  <c r="AP185" i="10" s="1"/>
  <c r="Y183" i="10"/>
  <c r="K129" i="6"/>
  <c r="Q183" i="10" s="1"/>
  <c r="C185" i="10"/>
  <c r="U131" i="6"/>
  <c r="AN185" i="10" s="1"/>
  <c r="T131" i="6"/>
  <c r="AL185" i="10" s="1"/>
  <c r="S131" i="6"/>
  <c r="AJ185" i="10" s="1"/>
  <c r="R131" i="6"/>
  <c r="AH185" i="10" s="1"/>
  <c r="Y131" i="6"/>
  <c r="AR185" i="10" s="1"/>
  <c r="X131" i="6"/>
  <c r="O130" i="6"/>
  <c r="W130" i="6"/>
  <c r="V130" i="6"/>
  <c r="J131" i="6"/>
  <c r="O185" i="10" s="1"/>
  <c r="Q131" i="6"/>
  <c r="AD185" i="10" s="1"/>
  <c r="G131" i="6"/>
  <c r="I185" i="10" s="1"/>
  <c r="L131" i="6"/>
  <c r="S185" i="10" s="1"/>
  <c r="F131" i="6"/>
  <c r="G185" i="10" s="1"/>
  <c r="N131" i="6"/>
  <c r="U185" i="10" s="1"/>
  <c r="P131" i="6"/>
  <c r="Z185" i="10" s="1"/>
  <c r="H131" i="6"/>
  <c r="K185" i="10" s="1"/>
  <c r="I131" i="6"/>
  <c r="M185" i="10" s="1"/>
  <c r="D133" i="6"/>
  <c r="C132" i="6"/>
  <c r="E133" i="6"/>
  <c r="M132" i="6" l="1"/>
  <c r="W186" i="10" s="1"/>
  <c r="Z132" i="6"/>
  <c r="AP186" i="10" s="1"/>
  <c r="Y184" i="10"/>
  <c r="K130" i="6"/>
  <c r="Q184" i="10" s="1"/>
  <c r="C186" i="10"/>
  <c r="U132" i="6"/>
  <c r="AN186" i="10" s="1"/>
  <c r="T132" i="6"/>
  <c r="AL186" i="10" s="1"/>
  <c r="S132" i="6"/>
  <c r="AJ186" i="10" s="1"/>
  <c r="R132" i="6"/>
  <c r="AH186" i="10" s="1"/>
  <c r="Y132" i="6"/>
  <c r="AR186" i="10" s="1"/>
  <c r="X132" i="6"/>
  <c r="O131" i="6"/>
  <c r="W131" i="6"/>
  <c r="V131" i="6"/>
  <c r="J132" i="6"/>
  <c r="O186" i="10" s="1"/>
  <c r="Q132" i="6"/>
  <c r="AD186" i="10" s="1"/>
  <c r="G132" i="6"/>
  <c r="I186" i="10" s="1"/>
  <c r="L132" i="6"/>
  <c r="S186" i="10" s="1"/>
  <c r="F132" i="6"/>
  <c r="G186" i="10" s="1"/>
  <c r="N132" i="6"/>
  <c r="U186" i="10" s="1"/>
  <c r="I132" i="6"/>
  <c r="M186" i="10" s="1"/>
  <c r="P132" i="6"/>
  <c r="Z186" i="10" s="1"/>
  <c r="H132" i="6"/>
  <c r="K186" i="10" s="1"/>
  <c r="D134" i="6"/>
  <c r="C133" i="6"/>
  <c r="E134" i="6"/>
  <c r="M133" i="6" l="1"/>
  <c r="W187" i="10" s="1"/>
  <c r="Z133" i="6"/>
  <c r="AP187" i="10" s="1"/>
  <c r="Y185" i="10"/>
  <c r="K131" i="6"/>
  <c r="Q185" i="10" s="1"/>
  <c r="C187" i="10"/>
  <c r="U133" i="6"/>
  <c r="AN187" i="10" s="1"/>
  <c r="T133" i="6"/>
  <c r="AL187" i="10" s="1"/>
  <c r="S133" i="6"/>
  <c r="AJ187" i="10" s="1"/>
  <c r="R133" i="6"/>
  <c r="AH187" i="10" s="1"/>
  <c r="Y133" i="6"/>
  <c r="AR187" i="10" s="1"/>
  <c r="X133" i="6"/>
  <c r="O132" i="6"/>
  <c r="W132" i="6"/>
  <c r="V132" i="6"/>
  <c r="J133" i="6"/>
  <c r="O187" i="10" s="1"/>
  <c r="Q133" i="6"/>
  <c r="AD187" i="10" s="1"/>
  <c r="G133" i="6"/>
  <c r="I187" i="10" s="1"/>
  <c r="L133" i="6"/>
  <c r="S187" i="10" s="1"/>
  <c r="F133" i="6"/>
  <c r="G187" i="10" s="1"/>
  <c r="N133" i="6"/>
  <c r="U187" i="10" s="1"/>
  <c r="I133" i="6"/>
  <c r="M187" i="10" s="1"/>
  <c r="P133" i="6"/>
  <c r="Z187" i="10" s="1"/>
  <c r="H133" i="6"/>
  <c r="K187" i="10" s="1"/>
  <c r="D135" i="6"/>
  <c r="C134" i="6"/>
  <c r="E135" i="6"/>
  <c r="M134" i="6" l="1"/>
  <c r="W188" i="10" s="1"/>
  <c r="Z134" i="6"/>
  <c r="AP188" i="10" s="1"/>
  <c r="Y186" i="10"/>
  <c r="K132" i="6"/>
  <c r="Q186" i="10" s="1"/>
  <c r="C188" i="10"/>
  <c r="U134" i="6"/>
  <c r="AN188" i="10" s="1"/>
  <c r="T134" i="6"/>
  <c r="AL188" i="10" s="1"/>
  <c r="S134" i="6"/>
  <c r="AJ188" i="10" s="1"/>
  <c r="R134" i="6"/>
  <c r="AH188" i="10" s="1"/>
  <c r="Y134" i="6"/>
  <c r="AR188" i="10" s="1"/>
  <c r="X134" i="6"/>
  <c r="O133" i="6"/>
  <c r="W133" i="6"/>
  <c r="V133" i="6"/>
  <c r="J134" i="6"/>
  <c r="O188" i="10" s="1"/>
  <c r="Q134" i="6"/>
  <c r="AD188" i="10" s="1"/>
  <c r="G134" i="6"/>
  <c r="I188" i="10" s="1"/>
  <c r="L134" i="6"/>
  <c r="S188" i="10" s="1"/>
  <c r="F134" i="6"/>
  <c r="G188" i="10" s="1"/>
  <c r="H134" i="6"/>
  <c r="K188" i="10" s="1"/>
  <c r="N134" i="6"/>
  <c r="U188" i="10" s="1"/>
  <c r="I134" i="6"/>
  <c r="M188" i="10" s="1"/>
  <c r="P134" i="6"/>
  <c r="Z188" i="10" s="1"/>
  <c r="D136" i="6"/>
  <c r="C135" i="6"/>
  <c r="E136" i="6"/>
  <c r="M135" i="6" l="1"/>
  <c r="W189" i="10" s="1"/>
  <c r="Z135" i="6"/>
  <c r="AP189" i="10" s="1"/>
  <c r="Y187" i="10"/>
  <c r="K133" i="6"/>
  <c r="Q187" i="10" s="1"/>
  <c r="C189" i="10"/>
  <c r="U135" i="6"/>
  <c r="AN189" i="10" s="1"/>
  <c r="T135" i="6"/>
  <c r="AL189" i="10" s="1"/>
  <c r="S135" i="6"/>
  <c r="AJ189" i="10" s="1"/>
  <c r="R135" i="6"/>
  <c r="AH189" i="10" s="1"/>
  <c r="Y135" i="6"/>
  <c r="AR189" i="10" s="1"/>
  <c r="X135" i="6"/>
  <c r="O134" i="6"/>
  <c r="W134" i="6"/>
  <c r="N135" i="6"/>
  <c r="U189" i="10" s="1"/>
  <c r="I135" i="6"/>
  <c r="M189" i="10" s="1"/>
  <c r="P135" i="6"/>
  <c r="Z189" i="10" s="1"/>
  <c r="H135" i="6"/>
  <c r="K189" i="10" s="1"/>
  <c r="J135" i="6"/>
  <c r="O189" i="10" s="1"/>
  <c r="Q135" i="6"/>
  <c r="AD189" i="10" s="1"/>
  <c r="G135" i="6"/>
  <c r="I189" i="10" s="1"/>
  <c r="L135" i="6"/>
  <c r="S189" i="10" s="1"/>
  <c r="F135" i="6"/>
  <c r="G189" i="10" s="1"/>
  <c r="V134" i="6"/>
  <c r="D137" i="6"/>
  <c r="C136" i="6"/>
  <c r="E137" i="6"/>
  <c r="M136" i="6" l="1"/>
  <c r="W190" i="10" s="1"/>
  <c r="Z136" i="6"/>
  <c r="AP190" i="10" s="1"/>
  <c r="Y188" i="10"/>
  <c r="K134" i="6"/>
  <c r="Q188" i="10" s="1"/>
  <c r="C190" i="10"/>
  <c r="U136" i="6"/>
  <c r="AN190" i="10" s="1"/>
  <c r="T136" i="6"/>
  <c r="AL190" i="10" s="1"/>
  <c r="S136" i="6"/>
  <c r="AJ190" i="10" s="1"/>
  <c r="R136" i="6"/>
  <c r="AH190" i="10" s="1"/>
  <c r="Y136" i="6"/>
  <c r="AR190" i="10" s="1"/>
  <c r="X136" i="6"/>
  <c r="O135" i="6"/>
  <c r="W135" i="6"/>
  <c r="V135" i="6"/>
  <c r="P136" i="6"/>
  <c r="Z190" i="10" s="1"/>
  <c r="H136" i="6"/>
  <c r="K190" i="10" s="1"/>
  <c r="L136" i="6"/>
  <c r="S190" i="10" s="1"/>
  <c r="F136" i="6"/>
  <c r="G190" i="10" s="1"/>
  <c r="J136" i="6"/>
  <c r="O190" i="10" s="1"/>
  <c r="Q136" i="6"/>
  <c r="AD190" i="10" s="1"/>
  <c r="G136" i="6"/>
  <c r="I190" i="10" s="1"/>
  <c r="N136" i="6"/>
  <c r="U190" i="10" s="1"/>
  <c r="I136" i="6"/>
  <c r="M190" i="10" s="1"/>
  <c r="D138" i="6"/>
  <c r="C137" i="6"/>
  <c r="E138" i="6"/>
  <c r="M137" i="6" l="1"/>
  <c r="W191" i="10" s="1"/>
  <c r="Z137" i="6"/>
  <c r="AP191" i="10" s="1"/>
  <c r="Y189" i="10"/>
  <c r="K135" i="6"/>
  <c r="Q189" i="10" s="1"/>
  <c r="C191" i="10"/>
  <c r="U137" i="6"/>
  <c r="AN191" i="10" s="1"/>
  <c r="T137" i="6"/>
  <c r="AL191" i="10" s="1"/>
  <c r="S137" i="6"/>
  <c r="AJ191" i="10" s="1"/>
  <c r="R137" i="6"/>
  <c r="AH191" i="10" s="1"/>
  <c r="Y137" i="6"/>
  <c r="AR191" i="10" s="1"/>
  <c r="X137" i="6"/>
  <c r="V136" i="6"/>
  <c r="O136" i="6"/>
  <c r="W136" i="6"/>
  <c r="L137" i="6"/>
  <c r="S191" i="10" s="1"/>
  <c r="F137" i="6"/>
  <c r="G191" i="10" s="1"/>
  <c r="N137" i="6"/>
  <c r="U191" i="10" s="1"/>
  <c r="I137" i="6"/>
  <c r="M191" i="10" s="1"/>
  <c r="P137" i="6"/>
  <c r="Z191" i="10" s="1"/>
  <c r="H137" i="6"/>
  <c r="K191" i="10" s="1"/>
  <c r="J137" i="6"/>
  <c r="O191" i="10" s="1"/>
  <c r="Q137" i="6"/>
  <c r="AD191" i="10" s="1"/>
  <c r="G137" i="6"/>
  <c r="I191" i="10" s="1"/>
  <c r="D139" i="6"/>
  <c r="C138" i="6"/>
  <c r="E139" i="6"/>
  <c r="M138" i="6" l="1"/>
  <c r="W192" i="10" s="1"/>
  <c r="Z138" i="6"/>
  <c r="AP192" i="10" s="1"/>
  <c r="Y190" i="10"/>
  <c r="K136" i="6"/>
  <c r="Q190" i="10" s="1"/>
  <c r="C192" i="10"/>
  <c r="U138" i="6"/>
  <c r="AN192" i="10" s="1"/>
  <c r="T138" i="6"/>
  <c r="AL192" i="10" s="1"/>
  <c r="S138" i="6"/>
  <c r="AJ192" i="10" s="1"/>
  <c r="R138" i="6"/>
  <c r="AH192" i="10" s="1"/>
  <c r="Y138" i="6"/>
  <c r="AR192" i="10" s="1"/>
  <c r="X138" i="6"/>
  <c r="W137" i="6"/>
  <c r="O137" i="6"/>
  <c r="V137" i="6"/>
  <c r="J138" i="6"/>
  <c r="O192" i="10" s="1"/>
  <c r="Q138" i="6"/>
  <c r="AD192" i="10" s="1"/>
  <c r="G138" i="6"/>
  <c r="I192" i="10" s="1"/>
  <c r="L138" i="6"/>
  <c r="S192" i="10" s="1"/>
  <c r="N138" i="6"/>
  <c r="U192" i="10" s="1"/>
  <c r="I138" i="6"/>
  <c r="M192" i="10" s="1"/>
  <c r="P138" i="6"/>
  <c r="Z192" i="10" s="1"/>
  <c r="H138" i="6"/>
  <c r="K192" i="10" s="1"/>
  <c r="F138" i="6"/>
  <c r="G192" i="10" s="1"/>
  <c r="D140" i="6"/>
  <c r="C139" i="6"/>
  <c r="E140" i="6"/>
  <c r="M139" i="6" l="1"/>
  <c r="W193" i="10" s="1"/>
  <c r="Z139" i="6"/>
  <c r="AP193" i="10" s="1"/>
  <c r="Y191" i="10"/>
  <c r="K137" i="6"/>
  <c r="Q191" i="10" s="1"/>
  <c r="C193" i="10"/>
  <c r="U139" i="6"/>
  <c r="AN193" i="10" s="1"/>
  <c r="T139" i="6"/>
  <c r="AL193" i="10" s="1"/>
  <c r="S139" i="6"/>
  <c r="AJ193" i="10" s="1"/>
  <c r="R139" i="6"/>
  <c r="AH193" i="10" s="1"/>
  <c r="Y139" i="6"/>
  <c r="AR193" i="10" s="1"/>
  <c r="X139" i="6"/>
  <c r="O138" i="6"/>
  <c r="W138" i="6"/>
  <c r="V138" i="6"/>
  <c r="J139" i="6"/>
  <c r="O193" i="10" s="1"/>
  <c r="Q139" i="6"/>
  <c r="AD193" i="10" s="1"/>
  <c r="G139" i="6"/>
  <c r="I193" i="10" s="1"/>
  <c r="F139" i="6"/>
  <c r="G193" i="10" s="1"/>
  <c r="L139" i="6"/>
  <c r="S193" i="10" s="1"/>
  <c r="N139" i="6"/>
  <c r="U193" i="10" s="1"/>
  <c r="I139" i="6"/>
  <c r="M193" i="10" s="1"/>
  <c r="P139" i="6"/>
  <c r="Z193" i="10" s="1"/>
  <c r="H139" i="6"/>
  <c r="K193" i="10" s="1"/>
  <c r="D141" i="6"/>
  <c r="C140" i="6"/>
  <c r="E141" i="6"/>
  <c r="M140" i="6" l="1"/>
  <c r="W194" i="10" s="1"/>
  <c r="Z140" i="6"/>
  <c r="AP194" i="10" s="1"/>
  <c r="Y192" i="10"/>
  <c r="K138" i="6"/>
  <c r="Q192" i="10" s="1"/>
  <c r="C194" i="10"/>
  <c r="U140" i="6"/>
  <c r="AN194" i="10" s="1"/>
  <c r="T140" i="6"/>
  <c r="AL194" i="10" s="1"/>
  <c r="S140" i="6"/>
  <c r="AJ194" i="10" s="1"/>
  <c r="R140" i="6"/>
  <c r="AH194" i="10" s="1"/>
  <c r="Y140" i="6"/>
  <c r="AR194" i="10" s="1"/>
  <c r="X140" i="6"/>
  <c r="O139" i="6"/>
  <c r="V139" i="6"/>
  <c r="W139" i="6"/>
  <c r="J140" i="6"/>
  <c r="O194" i="10" s="1"/>
  <c r="Q140" i="6"/>
  <c r="AD194" i="10" s="1"/>
  <c r="G140" i="6"/>
  <c r="I194" i="10" s="1"/>
  <c r="L140" i="6"/>
  <c r="S194" i="10" s="1"/>
  <c r="F140" i="6"/>
  <c r="G194" i="10" s="1"/>
  <c r="N140" i="6"/>
  <c r="U194" i="10" s="1"/>
  <c r="I140" i="6"/>
  <c r="M194" i="10" s="1"/>
  <c r="H140" i="6"/>
  <c r="K194" i="10" s="1"/>
  <c r="P140" i="6"/>
  <c r="Z194" i="10" s="1"/>
  <c r="D142" i="6"/>
  <c r="C141" i="6"/>
  <c r="E142" i="6"/>
  <c r="M141" i="6" l="1"/>
  <c r="W195" i="10" s="1"/>
  <c r="Z141" i="6"/>
  <c r="AP195" i="10" s="1"/>
  <c r="Y193" i="10"/>
  <c r="K139" i="6"/>
  <c r="Q193" i="10" s="1"/>
  <c r="C195" i="10"/>
  <c r="U141" i="6"/>
  <c r="AN195" i="10" s="1"/>
  <c r="T141" i="6"/>
  <c r="AL195" i="10" s="1"/>
  <c r="S141" i="6"/>
  <c r="AJ195" i="10" s="1"/>
  <c r="R141" i="6"/>
  <c r="AH195" i="10" s="1"/>
  <c r="Y141" i="6"/>
  <c r="AR195" i="10" s="1"/>
  <c r="X141" i="6"/>
  <c r="O140" i="6"/>
  <c r="W140" i="6"/>
  <c r="V140" i="6"/>
  <c r="J141" i="6"/>
  <c r="O195" i="10" s="1"/>
  <c r="Q141" i="6"/>
  <c r="AD195" i="10" s="1"/>
  <c r="G141" i="6"/>
  <c r="I195" i="10" s="1"/>
  <c r="L141" i="6"/>
  <c r="S195" i="10" s="1"/>
  <c r="F141" i="6"/>
  <c r="G195" i="10" s="1"/>
  <c r="N141" i="6"/>
  <c r="U195" i="10" s="1"/>
  <c r="I141" i="6"/>
  <c r="M195" i="10" s="1"/>
  <c r="H141" i="6"/>
  <c r="K195" i="10" s="1"/>
  <c r="P141" i="6"/>
  <c r="Z195" i="10" s="1"/>
  <c r="D143" i="6"/>
  <c r="C142" i="6"/>
  <c r="E143" i="6"/>
  <c r="M142" i="6" l="1"/>
  <c r="W196" i="10" s="1"/>
  <c r="Z142" i="6"/>
  <c r="AP196" i="10" s="1"/>
  <c r="Y194" i="10"/>
  <c r="K140" i="6"/>
  <c r="Q194" i="10" s="1"/>
  <c r="C196" i="10"/>
  <c r="U142" i="6"/>
  <c r="AN196" i="10" s="1"/>
  <c r="T142" i="6"/>
  <c r="AL196" i="10" s="1"/>
  <c r="S142" i="6"/>
  <c r="AJ196" i="10" s="1"/>
  <c r="R142" i="6"/>
  <c r="AH196" i="10" s="1"/>
  <c r="Y142" i="6"/>
  <c r="AR196" i="10" s="1"/>
  <c r="X142" i="6"/>
  <c r="O141" i="6"/>
  <c r="V141" i="6"/>
  <c r="W141" i="6"/>
  <c r="J142" i="6"/>
  <c r="O196" i="10" s="1"/>
  <c r="Q142" i="6"/>
  <c r="AD196" i="10" s="1"/>
  <c r="G142" i="6"/>
  <c r="I196" i="10" s="1"/>
  <c r="L142" i="6"/>
  <c r="S196" i="10" s="1"/>
  <c r="F142" i="6"/>
  <c r="G196" i="10" s="1"/>
  <c r="N142" i="6"/>
  <c r="U196" i="10" s="1"/>
  <c r="I142" i="6"/>
  <c r="M196" i="10" s="1"/>
  <c r="P142" i="6"/>
  <c r="Z196" i="10" s="1"/>
  <c r="H142" i="6"/>
  <c r="K196" i="10" s="1"/>
  <c r="D144" i="6"/>
  <c r="C143" i="6"/>
  <c r="E144" i="6"/>
  <c r="M143" i="6" l="1"/>
  <c r="W197" i="10" s="1"/>
  <c r="Z143" i="6"/>
  <c r="AP197" i="10" s="1"/>
  <c r="Y195" i="10"/>
  <c r="K141" i="6"/>
  <c r="Q195" i="10" s="1"/>
  <c r="C197" i="10"/>
  <c r="U143" i="6"/>
  <c r="AN197" i="10" s="1"/>
  <c r="T143" i="6"/>
  <c r="AL197" i="10" s="1"/>
  <c r="S143" i="6"/>
  <c r="AJ197" i="10" s="1"/>
  <c r="R143" i="6"/>
  <c r="AH197" i="10" s="1"/>
  <c r="Y143" i="6"/>
  <c r="AR197" i="10" s="1"/>
  <c r="X143" i="6"/>
  <c r="O142" i="6"/>
  <c r="V142" i="6"/>
  <c r="W142" i="6"/>
  <c r="J143" i="6"/>
  <c r="O197" i="10" s="1"/>
  <c r="Q143" i="6"/>
  <c r="AD197" i="10" s="1"/>
  <c r="G143" i="6"/>
  <c r="I197" i="10" s="1"/>
  <c r="L143" i="6"/>
  <c r="S197" i="10" s="1"/>
  <c r="F143" i="6"/>
  <c r="G197" i="10" s="1"/>
  <c r="N143" i="6"/>
  <c r="U197" i="10" s="1"/>
  <c r="P143" i="6"/>
  <c r="Z197" i="10" s="1"/>
  <c r="H143" i="6"/>
  <c r="K197" i="10" s="1"/>
  <c r="I143" i="6"/>
  <c r="M197" i="10" s="1"/>
  <c r="D145" i="6"/>
  <c r="C144" i="6"/>
  <c r="E145" i="6"/>
  <c r="M144" i="6" l="1"/>
  <c r="W198" i="10" s="1"/>
  <c r="Z144" i="6"/>
  <c r="AP198" i="10" s="1"/>
  <c r="Y196" i="10"/>
  <c r="K142" i="6"/>
  <c r="Q196" i="10" s="1"/>
  <c r="C198" i="10"/>
  <c r="U144" i="6"/>
  <c r="AN198" i="10" s="1"/>
  <c r="T144" i="6"/>
  <c r="AL198" i="10" s="1"/>
  <c r="S144" i="6"/>
  <c r="AJ198" i="10" s="1"/>
  <c r="R144" i="6"/>
  <c r="AH198" i="10" s="1"/>
  <c r="Y144" i="6"/>
  <c r="AR198" i="10" s="1"/>
  <c r="X144" i="6"/>
  <c r="O143" i="6"/>
  <c r="V143" i="6"/>
  <c r="W143" i="6"/>
  <c r="J144" i="6"/>
  <c r="O198" i="10" s="1"/>
  <c r="Q144" i="6"/>
  <c r="AD198" i="10" s="1"/>
  <c r="G144" i="6"/>
  <c r="I198" i="10" s="1"/>
  <c r="L144" i="6"/>
  <c r="S198" i="10" s="1"/>
  <c r="F144" i="6"/>
  <c r="G198" i="10" s="1"/>
  <c r="N144" i="6"/>
  <c r="U198" i="10" s="1"/>
  <c r="P144" i="6"/>
  <c r="Z198" i="10" s="1"/>
  <c r="H144" i="6"/>
  <c r="K198" i="10" s="1"/>
  <c r="I144" i="6"/>
  <c r="M198" i="10" s="1"/>
  <c r="D146" i="6"/>
  <c r="C145" i="6"/>
  <c r="E146" i="6"/>
  <c r="M145" i="6" l="1"/>
  <c r="W199" i="10" s="1"/>
  <c r="Z145" i="6"/>
  <c r="AP199" i="10" s="1"/>
  <c r="Y197" i="10"/>
  <c r="K143" i="6"/>
  <c r="Q197" i="10" s="1"/>
  <c r="C199" i="10"/>
  <c r="U145" i="6"/>
  <c r="AN199" i="10" s="1"/>
  <c r="T145" i="6"/>
  <c r="AL199" i="10" s="1"/>
  <c r="S145" i="6"/>
  <c r="AJ199" i="10" s="1"/>
  <c r="R145" i="6"/>
  <c r="AH199" i="10" s="1"/>
  <c r="Y145" i="6"/>
  <c r="AR199" i="10" s="1"/>
  <c r="X145" i="6"/>
  <c r="O144" i="6"/>
  <c r="W144" i="6"/>
  <c r="V144" i="6"/>
  <c r="J145" i="6"/>
  <c r="O199" i="10" s="1"/>
  <c r="Q145" i="6"/>
  <c r="AD199" i="10" s="1"/>
  <c r="G145" i="6"/>
  <c r="I199" i="10" s="1"/>
  <c r="L145" i="6"/>
  <c r="S199" i="10" s="1"/>
  <c r="F145" i="6"/>
  <c r="G199" i="10" s="1"/>
  <c r="N145" i="6"/>
  <c r="U199" i="10" s="1"/>
  <c r="P145" i="6"/>
  <c r="Z199" i="10" s="1"/>
  <c r="H145" i="6"/>
  <c r="K199" i="10" s="1"/>
  <c r="I145" i="6"/>
  <c r="M199" i="10" s="1"/>
  <c r="D147" i="6"/>
  <c r="C146" i="6"/>
  <c r="E147" i="6"/>
  <c r="M146" i="6" l="1"/>
  <c r="W200" i="10" s="1"/>
  <c r="Z146" i="6"/>
  <c r="AP200" i="10" s="1"/>
  <c r="Y198" i="10"/>
  <c r="K144" i="6"/>
  <c r="Q198" i="10" s="1"/>
  <c r="C200" i="10"/>
  <c r="U146" i="6"/>
  <c r="AN200" i="10" s="1"/>
  <c r="T146" i="6"/>
  <c r="AL200" i="10" s="1"/>
  <c r="S146" i="6"/>
  <c r="AJ200" i="10" s="1"/>
  <c r="R146" i="6"/>
  <c r="AH200" i="10" s="1"/>
  <c r="Y146" i="6"/>
  <c r="AR200" i="10" s="1"/>
  <c r="X146" i="6"/>
  <c r="O145" i="6"/>
  <c r="W145" i="6"/>
  <c r="V145" i="6"/>
  <c r="J146" i="6"/>
  <c r="O200" i="10" s="1"/>
  <c r="Q146" i="6"/>
  <c r="AD200" i="10" s="1"/>
  <c r="G146" i="6"/>
  <c r="I200" i="10" s="1"/>
  <c r="L146" i="6"/>
  <c r="S200" i="10" s="1"/>
  <c r="F146" i="6"/>
  <c r="G200" i="10" s="1"/>
  <c r="N146" i="6"/>
  <c r="U200" i="10" s="1"/>
  <c r="P146" i="6"/>
  <c r="Z200" i="10" s="1"/>
  <c r="H146" i="6"/>
  <c r="K200" i="10" s="1"/>
  <c r="I146" i="6"/>
  <c r="M200" i="10" s="1"/>
  <c r="D148" i="6"/>
  <c r="C147" i="6"/>
  <c r="E148" i="6"/>
  <c r="M147" i="6" l="1"/>
  <c r="W201" i="10" s="1"/>
  <c r="Z147" i="6"/>
  <c r="AP201" i="10" s="1"/>
  <c r="Y199" i="10"/>
  <c r="K145" i="6"/>
  <c r="Q199" i="10" s="1"/>
  <c r="C201" i="10"/>
  <c r="U147" i="6"/>
  <c r="AN201" i="10" s="1"/>
  <c r="T147" i="6"/>
  <c r="AL201" i="10" s="1"/>
  <c r="S147" i="6"/>
  <c r="AJ201" i="10" s="1"/>
  <c r="R147" i="6"/>
  <c r="AH201" i="10" s="1"/>
  <c r="Y147" i="6"/>
  <c r="AR201" i="10" s="1"/>
  <c r="X147" i="6"/>
  <c r="O146" i="6"/>
  <c r="W146" i="6"/>
  <c r="V146" i="6"/>
  <c r="J147" i="6"/>
  <c r="O201" i="10" s="1"/>
  <c r="Q147" i="6"/>
  <c r="AD201" i="10" s="1"/>
  <c r="G147" i="6"/>
  <c r="I201" i="10" s="1"/>
  <c r="L147" i="6"/>
  <c r="S201" i="10" s="1"/>
  <c r="F147" i="6"/>
  <c r="G201" i="10" s="1"/>
  <c r="N147" i="6"/>
  <c r="U201" i="10" s="1"/>
  <c r="P147" i="6"/>
  <c r="Z201" i="10" s="1"/>
  <c r="H147" i="6"/>
  <c r="K201" i="10" s="1"/>
  <c r="I147" i="6"/>
  <c r="M201" i="10" s="1"/>
  <c r="D149" i="6"/>
  <c r="C148" i="6"/>
  <c r="E149" i="6"/>
  <c r="M148" i="6" l="1"/>
  <c r="W202" i="10" s="1"/>
  <c r="Z148" i="6"/>
  <c r="AP202" i="10" s="1"/>
  <c r="Y200" i="10"/>
  <c r="K146" i="6"/>
  <c r="Q200" i="10" s="1"/>
  <c r="C202" i="10"/>
  <c r="U148" i="6"/>
  <c r="AN202" i="10" s="1"/>
  <c r="T148" i="6"/>
  <c r="AL202" i="10" s="1"/>
  <c r="S148" i="6"/>
  <c r="AJ202" i="10" s="1"/>
  <c r="R148" i="6"/>
  <c r="AH202" i="10" s="1"/>
  <c r="Y148" i="6"/>
  <c r="AR202" i="10" s="1"/>
  <c r="X148" i="6"/>
  <c r="O147" i="6"/>
  <c r="W147" i="6"/>
  <c r="V147" i="6"/>
  <c r="J148" i="6"/>
  <c r="O202" i="10" s="1"/>
  <c r="Q148" i="6"/>
  <c r="AD202" i="10" s="1"/>
  <c r="G148" i="6"/>
  <c r="I202" i="10" s="1"/>
  <c r="L148" i="6"/>
  <c r="S202" i="10" s="1"/>
  <c r="F148" i="6"/>
  <c r="G202" i="10" s="1"/>
  <c r="N148" i="6"/>
  <c r="U202" i="10" s="1"/>
  <c r="I148" i="6"/>
  <c r="M202" i="10" s="1"/>
  <c r="P148" i="6"/>
  <c r="Z202" i="10" s="1"/>
  <c r="H148" i="6"/>
  <c r="K202" i="10" s="1"/>
  <c r="D150" i="6"/>
  <c r="C149" i="6"/>
  <c r="E150" i="6"/>
  <c r="M149" i="6" l="1"/>
  <c r="W203" i="10" s="1"/>
  <c r="Z149" i="6"/>
  <c r="AP203" i="10" s="1"/>
  <c r="Y201" i="10"/>
  <c r="K147" i="6"/>
  <c r="Q201" i="10" s="1"/>
  <c r="C203" i="10"/>
  <c r="U149" i="6"/>
  <c r="AN203" i="10" s="1"/>
  <c r="T149" i="6"/>
  <c r="AL203" i="10" s="1"/>
  <c r="S149" i="6"/>
  <c r="AJ203" i="10" s="1"/>
  <c r="R149" i="6"/>
  <c r="AH203" i="10" s="1"/>
  <c r="Y149" i="6"/>
  <c r="AR203" i="10" s="1"/>
  <c r="X149" i="6"/>
  <c r="O148" i="6"/>
  <c r="W148" i="6"/>
  <c r="V148" i="6"/>
  <c r="J149" i="6"/>
  <c r="O203" i="10" s="1"/>
  <c r="Q149" i="6"/>
  <c r="AD203" i="10" s="1"/>
  <c r="G149" i="6"/>
  <c r="I203" i="10" s="1"/>
  <c r="L149" i="6"/>
  <c r="S203" i="10" s="1"/>
  <c r="I149" i="6"/>
  <c r="M203" i="10" s="1"/>
  <c r="N149" i="6"/>
  <c r="U203" i="10" s="1"/>
  <c r="P149" i="6"/>
  <c r="Z203" i="10" s="1"/>
  <c r="H149" i="6"/>
  <c r="K203" i="10" s="1"/>
  <c r="F149" i="6"/>
  <c r="G203" i="10" s="1"/>
  <c r="D151" i="6"/>
  <c r="C150" i="6"/>
  <c r="E151" i="6"/>
  <c r="M150" i="6" l="1"/>
  <c r="W204" i="10" s="1"/>
  <c r="Z150" i="6"/>
  <c r="AP204" i="10" s="1"/>
  <c r="Y202" i="10"/>
  <c r="K148" i="6"/>
  <c r="Q202" i="10" s="1"/>
  <c r="C204" i="10"/>
  <c r="U150" i="6"/>
  <c r="AN204" i="10" s="1"/>
  <c r="T150" i="6"/>
  <c r="AL204" i="10" s="1"/>
  <c r="S150" i="6"/>
  <c r="AJ204" i="10" s="1"/>
  <c r="R150" i="6"/>
  <c r="AH204" i="10" s="1"/>
  <c r="Y150" i="6"/>
  <c r="AR204" i="10" s="1"/>
  <c r="X150" i="6"/>
  <c r="O149" i="6"/>
  <c r="W149" i="6"/>
  <c r="L150" i="6"/>
  <c r="S204" i="10" s="1"/>
  <c r="F150" i="6"/>
  <c r="G204" i="10" s="1"/>
  <c r="N150" i="6"/>
  <c r="U204" i="10" s="1"/>
  <c r="I150" i="6"/>
  <c r="M204" i="10" s="1"/>
  <c r="P150" i="6"/>
  <c r="Z204" i="10" s="1"/>
  <c r="H150" i="6"/>
  <c r="K204" i="10" s="1"/>
  <c r="J150" i="6"/>
  <c r="O204" i="10" s="1"/>
  <c r="Q150" i="6"/>
  <c r="AD204" i="10" s="1"/>
  <c r="G150" i="6"/>
  <c r="I204" i="10" s="1"/>
  <c r="V149" i="6"/>
  <c r="D152" i="6"/>
  <c r="C151" i="6"/>
  <c r="M151" i="6" l="1"/>
  <c r="W205" i="10" s="1"/>
  <c r="Z151" i="6"/>
  <c r="AP205" i="10" s="1"/>
  <c r="Y203" i="10"/>
  <c r="K149" i="6"/>
  <c r="Q203" i="10" s="1"/>
  <c r="C205" i="10"/>
  <c r="U151" i="6"/>
  <c r="AN205" i="10" s="1"/>
  <c r="T151" i="6"/>
  <c r="AL205" i="10" s="1"/>
  <c r="S151" i="6"/>
  <c r="AJ205" i="10" s="1"/>
  <c r="R151" i="6"/>
  <c r="AH205" i="10" s="1"/>
  <c r="Y151" i="6"/>
  <c r="AR205" i="10" s="1"/>
  <c r="X151" i="6"/>
  <c r="O150" i="6"/>
  <c r="V150" i="6"/>
  <c r="W150" i="6"/>
  <c r="J151" i="6"/>
  <c r="O205" i="10" s="1"/>
  <c r="N151" i="6"/>
  <c r="U205" i="10" s="1"/>
  <c r="P151" i="6"/>
  <c r="Z205" i="10" s="1"/>
  <c r="Q151" i="6"/>
  <c r="AD205" i="10" s="1"/>
  <c r="L151" i="6"/>
  <c r="S205" i="10" s="1"/>
  <c r="I151" i="6"/>
  <c r="M205" i="10" s="1"/>
  <c r="H151" i="6"/>
  <c r="K205" i="10" s="1"/>
  <c r="G151" i="6"/>
  <c r="I205" i="10" s="1"/>
  <c r="F151" i="6"/>
  <c r="G205" i="10" s="1"/>
  <c r="E152" i="6"/>
  <c r="Y204" i="10" l="1"/>
  <c r="K150" i="6"/>
  <c r="Q204" i="10" s="1"/>
  <c r="W151" i="6"/>
  <c r="V151" i="6"/>
  <c r="D153" i="6"/>
  <c r="C152" i="6"/>
  <c r="E153" i="6"/>
  <c r="M152" i="6" l="1"/>
  <c r="W206" i="10" s="1"/>
  <c r="Z152" i="6"/>
  <c r="AP206" i="10" s="1"/>
  <c r="C206" i="10"/>
  <c r="U152" i="6"/>
  <c r="AN206" i="10" s="1"/>
  <c r="T152" i="6"/>
  <c r="AL206" i="10" s="1"/>
  <c r="S152" i="6"/>
  <c r="AJ206" i="10" s="1"/>
  <c r="R152" i="6"/>
  <c r="AH206" i="10" s="1"/>
  <c r="Y152" i="6"/>
  <c r="AR206" i="10" s="1"/>
  <c r="X152" i="6"/>
  <c r="J152" i="6"/>
  <c r="O206" i="10" s="1"/>
  <c r="O151" i="6"/>
  <c r="N152" i="6"/>
  <c r="U206" i="10" s="1"/>
  <c r="P152" i="6"/>
  <c r="Z206" i="10" s="1"/>
  <c r="Q152" i="6"/>
  <c r="AD206" i="10" s="1"/>
  <c r="L152" i="6"/>
  <c r="S206" i="10" s="1"/>
  <c r="I152" i="6"/>
  <c r="M206" i="10" s="1"/>
  <c r="H152" i="6"/>
  <c r="K206" i="10" s="1"/>
  <c r="G152" i="6"/>
  <c r="I206" i="10" s="1"/>
  <c r="F152" i="6"/>
  <c r="G206" i="10" s="1"/>
  <c r="D154" i="6"/>
  <c r="C153" i="6"/>
  <c r="M153" i="6" l="1"/>
  <c r="W207" i="10" s="1"/>
  <c r="Z153" i="6"/>
  <c r="AP207" i="10" s="1"/>
  <c r="Y205" i="10"/>
  <c r="K151" i="6"/>
  <c r="Q205" i="10" s="1"/>
  <c r="C207" i="10"/>
  <c r="U153" i="6"/>
  <c r="AN207" i="10" s="1"/>
  <c r="T153" i="6"/>
  <c r="AL207" i="10" s="1"/>
  <c r="S153" i="6"/>
  <c r="AJ207" i="10" s="1"/>
  <c r="R153" i="6"/>
  <c r="AH207" i="10" s="1"/>
  <c r="Y153" i="6"/>
  <c r="AR207" i="10" s="1"/>
  <c r="X153" i="6"/>
  <c r="W152" i="6"/>
  <c r="V152" i="6"/>
  <c r="J153" i="6"/>
  <c r="O207" i="10" s="1"/>
  <c r="O152" i="6"/>
  <c r="N153" i="6"/>
  <c r="U207" i="10" s="1"/>
  <c r="P153" i="6"/>
  <c r="Z207" i="10" s="1"/>
  <c r="Q153" i="6"/>
  <c r="AD207" i="10" s="1"/>
  <c r="L153" i="6"/>
  <c r="S207" i="10" s="1"/>
  <c r="I153" i="6"/>
  <c r="M207" i="10" s="1"/>
  <c r="H153" i="6"/>
  <c r="K207" i="10" s="1"/>
  <c r="G153" i="6"/>
  <c r="I207" i="10" s="1"/>
  <c r="F153" i="6"/>
  <c r="G207" i="10" s="1"/>
  <c r="E154" i="6"/>
  <c r="Y206" i="10" l="1"/>
  <c r="K152" i="6"/>
  <c r="Q206" i="10" s="1"/>
  <c r="W153" i="6"/>
  <c r="V153" i="6"/>
  <c r="D155" i="6"/>
  <c r="C154" i="6"/>
  <c r="E155" i="6"/>
  <c r="M154" i="6" l="1"/>
  <c r="W208" i="10" s="1"/>
  <c r="Z154" i="6"/>
  <c r="AP208" i="10" s="1"/>
  <c r="C208" i="10"/>
  <c r="U154" i="6"/>
  <c r="AN208" i="10" s="1"/>
  <c r="T154" i="6"/>
  <c r="AL208" i="10" s="1"/>
  <c r="S154" i="6"/>
  <c r="AJ208" i="10" s="1"/>
  <c r="R154" i="6"/>
  <c r="AH208" i="10" s="1"/>
  <c r="Y154" i="6"/>
  <c r="AR208" i="10" s="1"/>
  <c r="X154" i="6"/>
  <c r="J154" i="6"/>
  <c r="O208" i="10" s="1"/>
  <c r="O153" i="6"/>
  <c r="N154" i="6"/>
  <c r="U208" i="10" s="1"/>
  <c r="P154" i="6"/>
  <c r="Z208" i="10" s="1"/>
  <c r="Q154" i="6"/>
  <c r="AD208" i="10" s="1"/>
  <c r="L154" i="6"/>
  <c r="S208" i="10" s="1"/>
  <c r="I154" i="6"/>
  <c r="M208" i="10" s="1"/>
  <c r="H154" i="6"/>
  <c r="K208" i="10" s="1"/>
  <c r="G154" i="6"/>
  <c r="I208" i="10" s="1"/>
  <c r="F154" i="6"/>
  <c r="G208" i="10" s="1"/>
  <c r="D156" i="6"/>
  <c r="C155" i="6"/>
  <c r="M155" i="6" l="1"/>
  <c r="W209" i="10" s="1"/>
  <c r="Z155" i="6"/>
  <c r="AP209" i="10" s="1"/>
  <c r="Y207" i="10"/>
  <c r="K153" i="6"/>
  <c r="Q207" i="10" s="1"/>
  <c r="C209" i="10"/>
  <c r="U155" i="6"/>
  <c r="AN209" i="10" s="1"/>
  <c r="T155" i="6"/>
  <c r="AL209" i="10" s="1"/>
  <c r="S155" i="6"/>
  <c r="AJ209" i="10" s="1"/>
  <c r="R155" i="6"/>
  <c r="AH209" i="10" s="1"/>
  <c r="Y155" i="6"/>
  <c r="AR209" i="10" s="1"/>
  <c r="X155" i="6"/>
  <c r="V154" i="6"/>
  <c r="W154" i="6"/>
  <c r="J155" i="6"/>
  <c r="O209" i="10" s="1"/>
  <c r="O154" i="6"/>
  <c r="N155" i="6"/>
  <c r="U209" i="10" s="1"/>
  <c r="P155" i="6"/>
  <c r="Z209" i="10" s="1"/>
  <c r="Q155" i="6"/>
  <c r="AD209" i="10" s="1"/>
  <c r="L155" i="6"/>
  <c r="S209" i="10" s="1"/>
  <c r="I155" i="6"/>
  <c r="M209" i="10" s="1"/>
  <c r="H155" i="6"/>
  <c r="K209" i="10" s="1"/>
  <c r="G155" i="6"/>
  <c r="I209" i="10" s="1"/>
  <c r="F155" i="6"/>
  <c r="G209" i="10" s="1"/>
  <c r="E156" i="6"/>
  <c r="Y208" i="10" l="1"/>
  <c r="K154" i="6"/>
  <c r="Q208" i="10" s="1"/>
  <c r="W155" i="6"/>
  <c r="V155" i="6"/>
  <c r="D157" i="6"/>
  <c r="C156" i="6"/>
  <c r="E157" i="6"/>
  <c r="M156" i="6" l="1"/>
  <c r="W210" i="10" s="1"/>
  <c r="Z156" i="6"/>
  <c r="AP210" i="10" s="1"/>
  <c r="C210" i="10"/>
  <c r="U156" i="6"/>
  <c r="AN210" i="10" s="1"/>
  <c r="T156" i="6"/>
  <c r="AL210" i="10" s="1"/>
  <c r="S156" i="6"/>
  <c r="AJ210" i="10" s="1"/>
  <c r="R156" i="6"/>
  <c r="AH210" i="10" s="1"/>
  <c r="Y156" i="6"/>
  <c r="AR210" i="10" s="1"/>
  <c r="X156" i="6"/>
  <c r="J156" i="6"/>
  <c r="O210" i="10" s="1"/>
  <c r="O155" i="6"/>
  <c r="N156" i="6"/>
  <c r="U210" i="10" s="1"/>
  <c r="P156" i="6"/>
  <c r="Z210" i="10" s="1"/>
  <c r="Q156" i="6"/>
  <c r="AD210" i="10" s="1"/>
  <c r="L156" i="6"/>
  <c r="S210" i="10" s="1"/>
  <c r="I156" i="6"/>
  <c r="M210" i="10" s="1"/>
  <c r="H156" i="6"/>
  <c r="K210" i="10" s="1"/>
  <c r="G156" i="6"/>
  <c r="I210" i="10" s="1"/>
  <c r="F156" i="6"/>
  <c r="G210" i="10" s="1"/>
  <c r="D158" i="6"/>
  <c r="C157" i="6"/>
  <c r="M157" i="6" l="1"/>
  <c r="W211" i="10" s="1"/>
  <c r="Z157" i="6"/>
  <c r="AP211" i="10" s="1"/>
  <c r="Y209" i="10"/>
  <c r="K155" i="6"/>
  <c r="Q209" i="10" s="1"/>
  <c r="C211" i="10"/>
  <c r="U157" i="6"/>
  <c r="AN211" i="10" s="1"/>
  <c r="T157" i="6"/>
  <c r="AL211" i="10" s="1"/>
  <c r="S157" i="6"/>
  <c r="AJ211" i="10" s="1"/>
  <c r="R157" i="6"/>
  <c r="AH211" i="10" s="1"/>
  <c r="Y157" i="6"/>
  <c r="AR211" i="10" s="1"/>
  <c r="X157" i="6"/>
  <c r="W156" i="6"/>
  <c r="V156" i="6"/>
  <c r="J157" i="6"/>
  <c r="O211" i="10" s="1"/>
  <c r="O156" i="6"/>
  <c r="N157" i="6"/>
  <c r="U211" i="10" s="1"/>
  <c r="P157" i="6"/>
  <c r="Z211" i="10" s="1"/>
  <c r="Q157" i="6"/>
  <c r="AD211" i="10" s="1"/>
  <c r="L157" i="6"/>
  <c r="S211" i="10" s="1"/>
  <c r="I157" i="6"/>
  <c r="M211" i="10" s="1"/>
  <c r="H157" i="6"/>
  <c r="K211" i="10" s="1"/>
  <c r="G157" i="6"/>
  <c r="I211" i="10" s="1"/>
  <c r="F157" i="6"/>
  <c r="G211" i="10" s="1"/>
  <c r="E158" i="6"/>
  <c r="Y210" i="10" l="1"/>
  <c r="K156" i="6"/>
  <c r="Q210" i="10" s="1"/>
  <c r="W157" i="6"/>
  <c r="V157" i="6"/>
  <c r="D159" i="6"/>
  <c r="C158" i="6"/>
  <c r="E159" i="6"/>
  <c r="M158" i="6" l="1"/>
  <c r="W212" i="10" s="1"/>
  <c r="Z158" i="6"/>
  <c r="AP212" i="10" s="1"/>
  <c r="C212" i="10"/>
  <c r="U158" i="6"/>
  <c r="AN212" i="10" s="1"/>
  <c r="T158" i="6"/>
  <c r="AL212" i="10" s="1"/>
  <c r="S158" i="6"/>
  <c r="AJ212" i="10" s="1"/>
  <c r="R158" i="6"/>
  <c r="AH212" i="10" s="1"/>
  <c r="Y158" i="6"/>
  <c r="AR212" i="10" s="1"/>
  <c r="X158" i="6"/>
  <c r="J158" i="6"/>
  <c r="O212" i="10" s="1"/>
  <c r="O157" i="6"/>
  <c r="N158" i="6"/>
  <c r="U212" i="10" s="1"/>
  <c r="P158" i="6"/>
  <c r="Z212" i="10" s="1"/>
  <c r="Q158" i="6"/>
  <c r="AD212" i="10" s="1"/>
  <c r="L158" i="6"/>
  <c r="S212" i="10" s="1"/>
  <c r="I158" i="6"/>
  <c r="M212" i="10" s="1"/>
  <c r="H158" i="6"/>
  <c r="K212" i="10" s="1"/>
  <c r="G158" i="6"/>
  <c r="I212" i="10" s="1"/>
  <c r="F158" i="6"/>
  <c r="G212" i="10" s="1"/>
  <c r="D160" i="6"/>
  <c r="C159" i="6"/>
  <c r="M159" i="6" l="1"/>
  <c r="W213" i="10" s="1"/>
  <c r="Z159" i="6"/>
  <c r="AP213" i="10" s="1"/>
  <c r="Y211" i="10"/>
  <c r="K157" i="6"/>
  <c r="Q211" i="10" s="1"/>
  <c r="C213" i="10"/>
  <c r="U159" i="6"/>
  <c r="AN213" i="10" s="1"/>
  <c r="T159" i="6"/>
  <c r="AL213" i="10" s="1"/>
  <c r="S159" i="6"/>
  <c r="AJ213" i="10" s="1"/>
  <c r="R159" i="6"/>
  <c r="AH213" i="10" s="1"/>
  <c r="Y159" i="6"/>
  <c r="AR213" i="10" s="1"/>
  <c r="X159" i="6"/>
  <c r="W158" i="6"/>
  <c r="V158" i="6"/>
  <c r="J159" i="6"/>
  <c r="O213" i="10" s="1"/>
  <c r="O158" i="6"/>
  <c r="N159" i="6"/>
  <c r="U213" i="10" s="1"/>
  <c r="P159" i="6"/>
  <c r="Z213" i="10" s="1"/>
  <c r="Q159" i="6"/>
  <c r="AD213" i="10" s="1"/>
  <c r="L159" i="6"/>
  <c r="S213" i="10" s="1"/>
  <c r="I159" i="6"/>
  <c r="M213" i="10" s="1"/>
  <c r="H159" i="6"/>
  <c r="K213" i="10" s="1"/>
  <c r="G159" i="6"/>
  <c r="I213" i="10" s="1"/>
  <c r="F159" i="6"/>
  <c r="G213" i="10" s="1"/>
  <c r="E160" i="6"/>
  <c r="Y212" i="10" l="1"/>
  <c r="K158" i="6"/>
  <c r="Q212" i="10" s="1"/>
  <c r="W159" i="6"/>
  <c r="V159" i="6"/>
  <c r="D161" i="6"/>
  <c r="C160" i="6"/>
  <c r="E161" i="6"/>
  <c r="M160" i="6" l="1"/>
  <c r="W214" i="10" s="1"/>
  <c r="Z160" i="6"/>
  <c r="AP214" i="10" s="1"/>
  <c r="C214" i="10"/>
  <c r="U160" i="6"/>
  <c r="AN214" i="10" s="1"/>
  <c r="T160" i="6"/>
  <c r="AL214" i="10" s="1"/>
  <c r="S160" i="6"/>
  <c r="AJ214" i="10" s="1"/>
  <c r="R160" i="6"/>
  <c r="AH214" i="10" s="1"/>
  <c r="Y160" i="6"/>
  <c r="AR214" i="10" s="1"/>
  <c r="X160" i="6"/>
  <c r="J160" i="6"/>
  <c r="O214" i="10" s="1"/>
  <c r="O159" i="6"/>
  <c r="N160" i="6"/>
  <c r="U214" i="10" s="1"/>
  <c r="P160" i="6"/>
  <c r="Z214" i="10" s="1"/>
  <c r="Q160" i="6"/>
  <c r="AD214" i="10" s="1"/>
  <c r="L160" i="6"/>
  <c r="S214" i="10" s="1"/>
  <c r="I160" i="6"/>
  <c r="M214" i="10" s="1"/>
  <c r="H160" i="6"/>
  <c r="K214" i="10" s="1"/>
  <c r="G160" i="6"/>
  <c r="I214" i="10" s="1"/>
  <c r="F160" i="6"/>
  <c r="G214" i="10" s="1"/>
  <c r="D162" i="6"/>
  <c r="C161" i="6"/>
  <c r="M161" i="6" l="1"/>
  <c r="W215" i="10" s="1"/>
  <c r="Z161" i="6"/>
  <c r="AP215" i="10" s="1"/>
  <c r="Y213" i="10"/>
  <c r="K159" i="6"/>
  <c r="Q213" i="10" s="1"/>
  <c r="C215" i="10"/>
  <c r="U161" i="6"/>
  <c r="AN215" i="10" s="1"/>
  <c r="T161" i="6"/>
  <c r="AL215" i="10" s="1"/>
  <c r="S161" i="6"/>
  <c r="AJ215" i="10" s="1"/>
  <c r="R161" i="6"/>
  <c r="AH215" i="10" s="1"/>
  <c r="Y161" i="6"/>
  <c r="AR215" i="10" s="1"/>
  <c r="X161" i="6"/>
  <c r="W160" i="6"/>
  <c r="V160" i="6"/>
  <c r="J161" i="6"/>
  <c r="O215" i="10" s="1"/>
  <c r="O160" i="6"/>
  <c r="N161" i="6"/>
  <c r="U215" i="10" s="1"/>
  <c r="P161" i="6"/>
  <c r="Z215" i="10" s="1"/>
  <c r="Q161" i="6"/>
  <c r="AD215" i="10" s="1"/>
  <c r="L161" i="6"/>
  <c r="S215" i="10" s="1"/>
  <c r="I161" i="6"/>
  <c r="M215" i="10" s="1"/>
  <c r="H161" i="6"/>
  <c r="K215" i="10" s="1"/>
  <c r="G161" i="6"/>
  <c r="I215" i="10" s="1"/>
  <c r="F161" i="6"/>
  <c r="G215" i="10" s="1"/>
  <c r="E162" i="6"/>
  <c r="Y214" i="10" l="1"/>
  <c r="K160" i="6"/>
  <c r="Q214" i="10" s="1"/>
  <c r="W161" i="6"/>
  <c r="V161" i="6"/>
  <c r="D163" i="6"/>
  <c r="C162" i="6"/>
  <c r="E163" i="6"/>
  <c r="M162" i="6" l="1"/>
  <c r="W216" i="10" s="1"/>
  <c r="Z162" i="6"/>
  <c r="AP216" i="10" s="1"/>
  <c r="C216" i="10"/>
  <c r="U162" i="6"/>
  <c r="AN216" i="10" s="1"/>
  <c r="T162" i="6"/>
  <c r="AL216" i="10" s="1"/>
  <c r="S162" i="6"/>
  <c r="AJ216" i="10" s="1"/>
  <c r="R162" i="6"/>
  <c r="AH216" i="10" s="1"/>
  <c r="Y162" i="6"/>
  <c r="AR216" i="10" s="1"/>
  <c r="X162" i="6"/>
  <c r="J162" i="6"/>
  <c r="O216" i="10" s="1"/>
  <c r="O161" i="6"/>
  <c r="N162" i="6"/>
  <c r="U216" i="10" s="1"/>
  <c r="P162" i="6"/>
  <c r="Z216" i="10" s="1"/>
  <c r="Q162" i="6"/>
  <c r="AD216" i="10" s="1"/>
  <c r="L162" i="6"/>
  <c r="S216" i="10" s="1"/>
  <c r="I162" i="6"/>
  <c r="M216" i="10" s="1"/>
  <c r="H162" i="6"/>
  <c r="K216" i="10" s="1"/>
  <c r="G162" i="6"/>
  <c r="I216" i="10" s="1"/>
  <c r="F162" i="6"/>
  <c r="G216" i="10" s="1"/>
  <c r="D164" i="6"/>
  <c r="C163" i="6"/>
  <c r="M163" i="6" l="1"/>
  <c r="W217" i="10" s="1"/>
  <c r="Z163" i="6"/>
  <c r="AP217" i="10" s="1"/>
  <c r="Y215" i="10"/>
  <c r="K161" i="6"/>
  <c r="Q215" i="10" s="1"/>
  <c r="C217" i="10"/>
  <c r="U163" i="6"/>
  <c r="AN217" i="10" s="1"/>
  <c r="T163" i="6"/>
  <c r="AL217" i="10" s="1"/>
  <c r="S163" i="6"/>
  <c r="AJ217" i="10" s="1"/>
  <c r="R163" i="6"/>
  <c r="AH217" i="10" s="1"/>
  <c r="Y163" i="6"/>
  <c r="AR217" i="10" s="1"/>
  <c r="X163" i="6"/>
  <c r="V162" i="6"/>
  <c r="W162" i="6"/>
  <c r="J163" i="6"/>
  <c r="O217" i="10" s="1"/>
  <c r="O162" i="6"/>
  <c r="N163" i="6"/>
  <c r="U217" i="10" s="1"/>
  <c r="P163" i="6"/>
  <c r="Z217" i="10" s="1"/>
  <c r="Q163" i="6"/>
  <c r="AD217" i="10" s="1"/>
  <c r="L163" i="6"/>
  <c r="S217" i="10" s="1"/>
  <c r="I163" i="6"/>
  <c r="M217" i="10" s="1"/>
  <c r="H163" i="6"/>
  <c r="K217" i="10" s="1"/>
  <c r="G163" i="6"/>
  <c r="I217" i="10" s="1"/>
  <c r="F163" i="6"/>
  <c r="G217" i="10" s="1"/>
  <c r="E164" i="6"/>
  <c r="Y216" i="10" l="1"/>
  <c r="K162" i="6"/>
  <c r="Q216" i="10" s="1"/>
  <c r="W163" i="6"/>
  <c r="V163" i="6"/>
  <c r="D165" i="6"/>
  <c r="C164" i="6"/>
  <c r="E165" i="6"/>
  <c r="M164" i="6" l="1"/>
  <c r="W218" i="10" s="1"/>
  <c r="Z164" i="6"/>
  <c r="AP218" i="10" s="1"/>
  <c r="C218" i="10"/>
  <c r="U164" i="6"/>
  <c r="AN218" i="10" s="1"/>
  <c r="T164" i="6"/>
  <c r="AL218" i="10" s="1"/>
  <c r="S164" i="6"/>
  <c r="AJ218" i="10" s="1"/>
  <c r="R164" i="6"/>
  <c r="AH218" i="10" s="1"/>
  <c r="Y164" i="6"/>
  <c r="AR218" i="10" s="1"/>
  <c r="X164" i="6"/>
  <c r="J164" i="6"/>
  <c r="O218" i="10" s="1"/>
  <c r="O163" i="6"/>
  <c r="N164" i="6"/>
  <c r="U218" i="10" s="1"/>
  <c r="P164" i="6"/>
  <c r="Z218" i="10" s="1"/>
  <c r="Q164" i="6"/>
  <c r="AD218" i="10" s="1"/>
  <c r="L164" i="6"/>
  <c r="S218" i="10" s="1"/>
  <c r="I164" i="6"/>
  <c r="M218" i="10" s="1"/>
  <c r="H164" i="6"/>
  <c r="K218" i="10" s="1"/>
  <c r="G164" i="6"/>
  <c r="I218" i="10" s="1"/>
  <c r="F164" i="6"/>
  <c r="G218" i="10" s="1"/>
  <c r="D166" i="6"/>
  <c r="C165" i="6"/>
  <c r="M165" i="6" l="1"/>
  <c r="W219" i="10" s="1"/>
  <c r="Z165" i="6"/>
  <c r="AP219" i="10" s="1"/>
  <c r="Y217" i="10"/>
  <c r="K163" i="6"/>
  <c r="Q217" i="10" s="1"/>
  <c r="C219" i="10"/>
  <c r="U165" i="6"/>
  <c r="AN219" i="10" s="1"/>
  <c r="T165" i="6"/>
  <c r="AL219" i="10" s="1"/>
  <c r="S165" i="6"/>
  <c r="AJ219" i="10" s="1"/>
  <c r="R165" i="6"/>
  <c r="AH219" i="10" s="1"/>
  <c r="Y165" i="6"/>
  <c r="AR219" i="10" s="1"/>
  <c r="X165" i="6"/>
  <c r="W164" i="6"/>
  <c r="V164" i="6"/>
  <c r="J165" i="6"/>
  <c r="O219" i="10" s="1"/>
  <c r="O164" i="6"/>
  <c r="N165" i="6"/>
  <c r="U219" i="10" s="1"/>
  <c r="P165" i="6"/>
  <c r="Z219" i="10" s="1"/>
  <c r="Q165" i="6"/>
  <c r="AD219" i="10" s="1"/>
  <c r="L165" i="6"/>
  <c r="S219" i="10" s="1"/>
  <c r="I165" i="6"/>
  <c r="M219" i="10" s="1"/>
  <c r="H165" i="6"/>
  <c r="K219" i="10" s="1"/>
  <c r="G165" i="6"/>
  <c r="I219" i="10" s="1"/>
  <c r="F165" i="6"/>
  <c r="G219" i="10" s="1"/>
  <c r="E166" i="6"/>
  <c r="Y218" i="10" l="1"/>
  <c r="K164" i="6"/>
  <c r="Q218" i="10" s="1"/>
  <c r="W165" i="6"/>
  <c r="V165" i="6"/>
  <c r="D167" i="6"/>
  <c r="C166" i="6"/>
  <c r="E167" i="6"/>
  <c r="M166" i="6" l="1"/>
  <c r="W220" i="10" s="1"/>
  <c r="Z166" i="6"/>
  <c r="AP220" i="10" s="1"/>
  <c r="C220" i="10"/>
  <c r="U166" i="6"/>
  <c r="AN220" i="10" s="1"/>
  <c r="T166" i="6"/>
  <c r="AL220" i="10" s="1"/>
  <c r="S166" i="6"/>
  <c r="AJ220" i="10" s="1"/>
  <c r="R166" i="6"/>
  <c r="AH220" i="10" s="1"/>
  <c r="Y166" i="6"/>
  <c r="AR220" i="10" s="1"/>
  <c r="X166" i="6"/>
  <c r="J166" i="6"/>
  <c r="O220" i="10" s="1"/>
  <c r="O165" i="6"/>
  <c r="N166" i="6"/>
  <c r="U220" i="10" s="1"/>
  <c r="P166" i="6"/>
  <c r="Z220" i="10" s="1"/>
  <c r="Q166" i="6"/>
  <c r="AD220" i="10" s="1"/>
  <c r="L166" i="6"/>
  <c r="S220" i="10" s="1"/>
  <c r="I166" i="6"/>
  <c r="M220" i="10" s="1"/>
  <c r="H166" i="6"/>
  <c r="K220" i="10" s="1"/>
  <c r="G166" i="6"/>
  <c r="I220" i="10" s="1"/>
  <c r="F166" i="6"/>
  <c r="G220" i="10" s="1"/>
  <c r="D168" i="6"/>
  <c r="C167" i="6"/>
  <c r="M167" i="6" l="1"/>
  <c r="W221" i="10" s="1"/>
  <c r="Z167" i="6"/>
  <c r="AP221" i="10" s="1"/>
  <c r="Y219" i="10"/>
  <c r="K165" i="6"/>
  <c r="Q219" i="10" s="1"/>
  <c r="C221" i="10"/>
  <c r="U167" i="6"/>
  <c r="AN221" i="10" s="1"/>
  <c r="T167" i="6"/>
  <c r="AL221" i="10" s="1"/>
  <c r="S167" i="6"/>
  <c r="AJ221" i="10" s="1"/>
  <c r="R167" i="6"/>
  <c r="AH221" i="10" s="1"/>
  <c r="Y167" i="6"/>
  <c r="AR221" i="10" s="1"/>
  <c r="X167" i="6"/>
  <c r="W166" i="6"/>
  <c r="V166" i="6"/>
  <c r="J167" i="6"/>
  <c r="O221" i="10" s="1"/>
  <c r="O166" i="6"/>
  <c r="N167" i="6"/>
  <c r="U221" i="10" s="1"/>
  <c r="P167" i="6"/>
  <c r="Z221" i="10" s="1"/>
  <c r="Q167" i="6"/>
  <c r="AD221" i="10" s="1"/>
  <c r="L167" i="6"/>
  <c r="S221" i="10" s="1"/>
  <c r="I167" i="6"/>
  <c r="M221" i="10" s="1"/>
  <c r="H167" i="6"/>
  <c r="K221" i="10" s="1"/>
  <c r="G167" i="6"/>
  <c r="I221" i="10" s="1"/>
  <c r="F167" i="6"/>
  <c r="G221" i="10" s="1"/>
  <c r="E168" i="6"/>
  <c r="Y220" i="10" l="1"/>
  <c r="K166" i="6"/>
  <c r="Q220" i="10" s="1"/>
  <c r="W167" i="6"/>
  <c r="V167" i="6"/>
  <c r="D169" i="6"/>
  <c r="C168" i="6"/>
  <c r="E169" i="6"/>
  <c r="M168" i="6" l="1"/>
  <c r="W222" i="10" s="1"/>
  <c r="Z168" i="6"/>
  <c r="AP222" i="10" s="1"/>
  <c r="C222" i="10"/>
  <c r="U168" i="6"/>
  <c r="AN222" i="10" s="1"/>
  <c r="T168" i="6"/>
  <c r="AL222" i="10" s="1"/>
  <c r="S168" i="6"/>
  <c r="AJ222" i="10" s="1"/>
  <c r="R168" i="6"/>
  <c r="AH222" i="10" s="1"/>
  <c r="Y168" i="6"/>
  <c r="AR222" i="10" s="1"/>
  <c r="X168" i="6"/>
  <c r="J168" i="6"/>
  <c r="O222" i="10" s="1"/>
  <c r="O167" i="6"/>
  <c r="N168" i="6"/>
  <c r="U222" i="10" s="1"/>
  <c r="P168" i="6"/>
  <c r="Z222" i="10" s="1"/>
  <c r="Q168" i="6"/>
  <c r="AD222" i="10" s="1"/>
  <c r="L168" i="6"/>
  <c r="S222" i="10" s="1"/>
  <c r="I168" i="6"/>
  <c r="M222" i="10" s="1"/>
  <c r="H168" i="6"/>
  <c r="K222" i="10" s="1"/>
  <c r="G168" i="6"/>
  <c r="I222" i="10" s="1"/>
  <c r="F168" i="6"/>
  <c r="G222" i="10" s="1"/>
  <c r="D170" i="6"/>
  <c r="C169" i="6"/>
  <c r="E170" i="6"/>
  <c r="M169" i="6" l="1"/>
  <c r="W223" i="10" s="1"/>
  <c r="Z169" i="6"/>
  <c r="AP223" i="10" s="1"/>
  <c r="Y221" i="10"/>
  <c r="K167" i="6"/>
  <c r="Q221" i="10" s="1"/>
  <c r="C223" i="10"/>
  <c r="D171" i="6"/>
  <c r="W168" i="6"/>
  <c r="V168" i="6"/>
  <c r="U169" i="6"/>
  <c r="AN223" i="10" s="1"/>
  <c r="T169" i="6"/>
  <c r="AL223" i="10" s="1"/>
  <c r="S169" i="6"/>
  <c r="AJ223" i="10" s="1"/>
  <c r="R169" i="6"/>
  <c r="AH223" i="10" s="1"/>
  <c r="Y169" i="6"/>
  <c r="AR223" i="10" s="1"/>
  <c r="X169" i="6"/>
  <c r="J169" i="6"/>
  <c r="O223" i="10" s="1"/>
  <c r="O168" i="6"/>
  <c r="N169" i="6"/>
  <c r="U223" i="10" s="1"/>
  <c r="P169" i="6"/>
  <c r="Z223" i="10" s="1"/>
  <c r="Q169" i="6"/>
  <c r="AD223" i="10" s="1"/>
  <c r="L169" i="6"/>
  <c r="S223" i="10" s="1"/>
  <c r="I169" i="6"/>
  <c r="M223" i="10" s="1"/>
  <c r="H169" i="6"/>
  <c r="K223" i="10" s="1"/>
  <c r="G169" i="6"/>
  <c r="I223" i="10" s="1"/>
  <c r="F169" i="6"/>
  <c r="G223" i="10" s="1"/>
  <c r="C170" i="6"/>
  <c r="M170" i="6" l="1"/>
  <c r="W224" i="10" s="1"/>
  <c r="Z170" i="6"/>
  <c r="AP224" i="10" s="1"/>
  <c r="Y222" i="10"/>
  <c r="K168" i="6"/>
  <c r="Q222" i="10" s="1"/>
  <c r="C224" i="10"/>
  <c r="W169" i="6"/>
  <c r="V169" i="6"/>
  <c r="U170" i="6"/>
  <c r="AN224" i="10" s="1"/>
  <c r="T170" i="6"/>
  <c r="AL224" i="10" s="1"/>
  <c r="S170" i="6"/>
  <c r="AJ224" i="10" s="1"/>
  <c r="R170" i="6"/>
  <c r="AH224" i="10" s="1"/>
  <c r="Y170" i="6"/>
  <c r="AR224" i="10" s="1"/>
  <c r="X170" i="6"/>
  <c r="N170" i="6"/>
  <c r="U224" i="10" s="1"/>
  <c r="Q170" i="6"/>
  <c r="AD224" i="10" s="1"/>
  <c r="I170" i="6"/>
  <c r="M224" i="10" s="1"/>
  <c r="G170" i="6"/>
  <c r="I224" i="10" s="1"/>
  <c r="J170" i="6"/>
  <c r="O224" i="10" s="1"/>
  <c r="P170" i="6"/>
  <c r="Z224" i="10" s="1"/>
  <c r="L170" i="6"/>
  <c r="S224" i="10" s="1"/>
  <c r="H170" i="6"/>
  <c r="K224" i="10" s="1"/>
  <c r="F170" i="6"/>
  <c r="G224" i="10" s="1"/>
  <c r="O169" i="6"/>
  <c r="E171" i="6"/>
  <c r="Y223" i="10" l="1"/>
  <c r="K169" i="6"/>
  <c r="Q223" i="10" s="1"/>
  <c r="D172" i="6"/>
  <c r="V170" i="6"/>
  <c r="W170" i="6"/>
  <c r="O170" i="6"/>
  <c r="C171" i="6"/>
  <c r="E172" i="6"/>
  <c r="M171" i="6" l="1"/>
  <c r="W225" i="10" s="1"/>
  <c r="Z171" i="6"/>
  <c r="AP225" i="10" s="1"/>
  <c r="Y224" i="10"/>
  <c r="K170" i="6"/>
  <c r="Q224" i="10" s="1"/>
  <c r="C225" i="10"/>
  <c r="P171" i="6"/>
  <c r="Z225" i="10" s="1"/>
  <c r="J171" i="6"/>
  <c r="O225" i="10" s="1"/>
  <c r="I171" i="6"/>
  <c r="M225" i="10" s="1"/>
  <c r="F171" i="6"/>
  <c r="G225" i="10" s="1"/>
  <c r="G171" i="6"/>
  <c r="I225" i="10" s="1"/>
  <c r="Q171" i="6"/>
  <c r="AD225" i="10" s="1"/>
  <c r="T171" i="6"/>
  <c r="AL225" i="10" s="1"/>
  <c r="L171" i="6"/>
  <c r="S225" i="10" s="1"/>
  <c r="X171" i="6"/>
  <c r="U171" i="6"/>
  <c r="AN225" i="10" s="1"/>
  <c r="R171" i="6"/>
  <c r="AH225" i="10" s="1"/>
  <c r="H171" i="6"/>
  <c r="K225" i="10" s="1"/>
  <c r="N171" i="6"/>
  <c r="U225" i="10" s="1"/>
  <c r="Y171" i="6"/>
  <c r="AR225" i="10" s="1"/>
  <c r="S171" i="6"/>
  <c r="AJ225" i="10" s="1"/>
  <c r="D173" i="6"/>
  <c r="C172" i="6"/>
  <c r="E173" i="6"/>
  <c r="M172" i="6" l="1"/>
  <c r="W226" i="10" s="1"/>
  <c r="Z172" i="6"/>
  <c r="AP226" i="10" s="1"/>
  <c r="C226" i="10"/>
  <c r="W171" i="6"/>
  <c r="V171" i="6"/>
  <c r="X172" i="6"/>
  <c r="I172" i="6"/>
  <c r="M226" i="10" s="1"/>
  <c r="P172" i="6"/>
  <c r="Z226" i="10" s="1"/>
  <c r="R172" i="6"/>
  <c r="AH226" i="10" s="1"/>
  <c r="G172" i="6"/>
  <c r="I226" i="10" s="1"/>
  <c r="L172" i="6"/>
  <c r="S226" i="10" s="1"/>
  <c r="S172" i="6"/>
  <c r="AJ226" i="10" s="1"/>
  <c r="F172" i="6"/>
  <c r="G226" i="10" s="1"/>
  <c r="J172" i="6"/>
  <c r="O226" i="10" s="1"/>
  <c r="Q172" i="6"/>
  <c r="AD226" i="10" s="1"/>
  <c r="U172" i="6"/>
  <c r="AN226" i="10" s="1"/>
  <c r="Y172" i="6"/>
  <c r="AR226" i="10" s="1"/>
  <c r="H172" i="6"/>
  <c r="K226" i="10" s="1"/>
  <c r="N172" i="6"/>
  <c r="U226" i="10" s="1"/>
  <c r="T172" i="6"/>
  <c r="AL226" i="10" s="1"/>
  <c r="O171" i="6"/>
  <c r="D174" i="6"/>
  <c r="C173" i="6"/>
  <c r="E174" i="6"/>
  <c r="M173" i="6" l="1"/>
  <c r="W227" i="10" s="1"/>
  <c r="Z173" i="6"/>
  <c r="AP227" i="10" s="1"/>
  <c r="Y225" i="10"/>
  <c r="K171" i="6"/>
  <c r="Q225" i="10" s="1"/>
  <c r="C227" i="10"/>
  <c r="R173" i="6"/>
  <c r="AH227" i="10" s="1"/>
  <c r="T173" i="6"/>
  <c r="AL227" i="10" s="1"/>
  <c r="J173" i="6"/>
  <c r="O227" i="10" s="1"/>
  <c r="S173" i="6"/>
  <c r="AJ227" i="10" s="1"/>
  <c r="U173" i="6"/>
  <c r="AN227" i="10" s="1"/>
  <c r="F173" i="6"/>
  <c r="G227" i="10" s="1"/>
  <c r="G173" i="6"/>
  <c r="I227" i="10" s="1"/>
  <c r="L173" i="6"/>
  <c r="S227" i="10" s="1"/>
  <c r="X173" i="6"/>
  <c r="H173" i="6"/>
  <c r="K227" i="10" s="1"/>
  <c r="Q173" i="6"/>
  <c r="AD227" i="10" s="1"/>
  <c r="P173" i="6"/>
  <c r="Z227" i="10" s="1"/>
  <c r="N173" i="6"/>
  <c r="U227" i="10" s="1"/>
  <c r="Y173" i="6"/>
  <c r="AR227" i="10" s="1"/>
  <c r="I173" i="6"/>
  <c r="M227" i="10" s="1"/>
  <c r="O172" i="6"/>
  <c r="K172" i="6" s="1"/>
  <c r="V172" i="6"/>
  <c r="W172" i="6"/>
  <c r="D175" i="6"/>
  <c r="C174" i="6"/>
  <c r="E175" i="6"/>
  <c r="M174" i="6" l="1"/>
  <c r="W228" i="10" s="1"/>
  <c r="Z174" i="6"/>
  <c r="AP228" i="10" s="1"/>
  <c r="C228" i="10"/>
  <c r="Q226" i="10"/>
  <c r="Y226" i="10"/>
  <c r="V173" i="6"/>
  <c r="W173" i="6"/>
  <c r="O173" i="6"/>
  <c r="K173" i="6" s="1"/>
  <c r="S174" i="6"/>
  <c r="AJ228" i="10" s="1"/>
  <c r="G174" i="6"/>
  <c r="I228" i="10" s="1"/>
  <c r="L174" i="6"/>
  <c r="S228" i="10" s="1"/>
  <c r="P174" i="6"/>
  <c r="Z228" i="10" s="1"/>
  <c r="H174" i="6"/>
  <c r="K228" i="10" s="1"/>
  <c r="N174" i="6"/>
  <c r="U228" i="10" s="1"/>
  <c r="R174" i="6"/>
  <c r="AH228" i="10" s="1"/>
  <c r="U174" i="6"/>
  <c r="AN228" i="10" s="1"/>
  <c r="F174" i="6"/>
  <c r="G228" i="10" s="1"/>
  <c r="J174" i="6"/>
  <c r="O228" i="10" s="1"/>
  <c r="Q174" i="6"/>
  <c r="AD228" i="10" s="1"/>
  <c r="T174" i="6"/>
  <c r="AL228" i="10" s="1"/>
  <c r="Y174" i="6"/>
  <c r="AR228" i="10" s="1"/>
  <c r="I174" i="6"/>
  <c r="M228" i="10" s="1"/>
  <c r="X174" i="6"/>
  <c r="D176" i="6"/>
  <c r="C175" i="6"/>
  <c r="E176" i="6"/>
  <c r="M175" i="6" l="1"/>
  <c r="W229" i="10" s="1"/>
  <c r="Z175" i="6"/>
  <c r="AP229" i="10" s="1"/>
  <c r="C229" i="10"/>
  <c r="Q227" i="10"/>
  <c r="Y227" i="10"/>
  <c r="O174" i="6"/>
  <c r="V174" i="6"/>
  <c r="W174" i="6"/>
  <c r="Y175" i="6"/>
  <c r="AR229" i="10" s="1"/>
  <c r="R175" i="6"/>
  <c r="AH229" i="10" s="1"/>
  <c r="I175" i="6"/>
  <c r="M229" i="10" s="1"/>
  <c r="S175" i="6"/>
  <c r="AJ229" i="10" s="1"/>
  <c r="F175" i="6"/>
  <c r="G229" i="10" s="1"/>
  <c r="U175" i="6"/>
  <c r="AN229" i="10" s="1"/>
  <c r="X175" i="6"/>
  <c r="G175" i="6"/>
  <c r="I229" i="10" s="1"/>
  <c r="Q175" i="6"/>
  <c r="AD229" i="10" s="1"/>
  <c r="L175" i="6"/>
  <c r="S229" i="10" s="1"/>
  <c r="T175" i="6"/>
  <c r="AL229" i="10" s="1"/>
  <c r="H175" i="6"/>
  <c r="K229" i="10" s="1"/>
  <c r="N175" i="6"/>
  <c r="U229" i="10" s="1"/>
  <c r="P175" i="6"/>
  <c r="Z229" i="10" s="1"/>
  <c r="J175" i="6"/>
  <c r="O229" i="10" s="1"/>
  <c r="D177" i="6"/>
  <c r="C176" i="6"/>
  <c r="E177" i="6"/>
  <c r="M176" i="6" l="1"/>
  <c r="W230" i="10" s="1"/>
  <c r="Z176" i="6"/>
  <c r="AP230" i="10" s="1"/>
  <c r="Y228" i="10"/>
  <c r="K174" i="6"/>
  <c r="Q228" i="10" s="1"/>
  <c r="C230" i="10"/>
  <c r="O175" i="6"/>
  <c r="V175" i="6"/>
  <c r="W175" i="6"/>
  <c r="S176" i="6"/>
  <c r="AJ230" i="10" s="1"/>
  <c r="G176" i="6"/>
  <c r="I230" i="10" s="1"/>
  <c r="L176" i="6"/>
  <c r="S230" i="10" s="1"/>
  <c r="T176" i="6"/>
  <c r="AL230" i="10" s="1"/>
  <c r="Q176" i="6"/>
  <c r="AD230" i="10" s="1"/>
  <c r="F176" i="6"/>
  <c r="G230" i="10" s="1"/>
  <c r="J176" i="6"/>
  <c r="O230" i="10" s="1"/>
  <c r="R176" i="6"/>
  <c r="AH230" i="10" s="1"/>
  <c r="Y176" i="6"/>
  <c r="AR230" i="10" s="1"/>
  <c r="H176" i="6"/>
  <c r="K230" i="10" s="1"/>
  <c r="N176" i="6"/>
  <c r="U230" i="10" s="1"/>
  <c r="U176" i="6"/>
  <c r="AN230" i="10" s="1"/>
  <c r="X176" i="6"/>
  <c r="I176" i="6"/>
  <c r="M230" i="10" s="1"/>
  <c r="P176" i="6"/>
  <c r="Z230" i="10" s="1"/>
  <c r="D178" i="6"/>
  <c r="C177" i="6"/>
  <c r="E178" i="6"/>
  <c r="M177" i="6" l="1"/>
  <c r="W231" i="10" s="1"/>
  <c r="Z177" i="6"/>
  <c r="AP231" i="10" s="1"/>
  <c r="Y229" i="10"/>
  <c r="K175" i="6"/>
  <c r="Q229" i="10" s="1"/>
  <c r="C231" i="10"/>
  <c r="O176" i="6"/>
  <c r="K176" i="6" s="1"/>
  <c r="W176" i="6"/>
  <c r="V176" i="6"/>
  <c r="I177" i="6"/>
  <c r="M231" i="10" s="1"/>
  <c r="P177" i="6"/>
  <c r="Z231" i="10" s="1"/>
  <c r="U177" i="6"/>
  <c r="AN231" i="10" s="1"/>
  <c r="S177" i="6"/>
  <c r="AJ231" i="10" s="1"/>
  <c r="J177" i="6"/>
  <c r="O231" i="10" s="1"/>
  <c r="Q177" i="6"/>
  <c r="AD231" i="10" s="1"/>
  <c r="Y177" i="6"/>
  <c r="AR231" i="10" s="1"/>
  <c r="L177" i="6"/>
  <c r="S231" i="10" s="1"/>
  <c r="H177" i="6"/>
  <c r="K231" i="10" s="1"/>
  <c r="N177" i="6"/>
  <c r="U231" i="10" s="1"/>
  <c r="X177" i="6"/>
  <c r="G177" i="6"/>
  <c r="I231" i="10" s="1"/>
  <c r="R177" i="6"/>
  <c r="AH231" i="10" s="1"/>
  <c r="T177" i="6"/>
  <c r="AL231" i="10" s="1"/>
  <c r="F177" i="6"/>
  <c r="G231" i="10" s="1"/>
  <c r="D179" i="6"/>
  <c r="C178" i="6"/>
  <c r="E179" i="6"/>
  <c r="M178" i="6" l="1"/>
  <c r="W232" i="10" s="1"/>
  <c r="Z178" i="6"/>
  <c r="AP232" i="10" s="1"/>
  <c r="C232" i="10"/>
  <c r="Q230" i="10"/>
  <c r="Y230" i="10"/>
  <c r="O177" i="6"/>
  <c r="F178" i="6"/>
  <c r="G232" i="10" s="1"/>
  <c r="J178" i="6"/>
  <c r="O232" i="10" s="1"/>
  <c r="N178" i="6"/>
  <c r="U232" i="10" s="1"/>
  <c r="U178" i="6"/>
  <c r="AN232" i="10" s="1"/>
  <c r="G178" i="6"/>
  <c r="I232" i="10" s="1"/>
  <c r="L178" i="6"/>
  <c r="S232" i="10" s="1"/>
  <c r="T178" i="6"/>
  <c r="AL232" i="10" s="1"/>
  <c r="X178" i="6"/>
  <c r="H178" i="6"/>
  <c r="K232" i="10" s="1"/>
  <c r="P178" i="6"/>
  <c r="Z232" i="10" s="1"/>
  <c r="R178" i="6"/>
  <c r="AH232" i="10" s="1"/>
  <c r="Y178" i="6"/>
  <c r="AR232" i="10" s="1"/>
  <c r="I178" i="6"/>
  <c r="M232" i="10" s="1"/>
  <c r="Q178" i="6"/>
  <c r="AD232" i="10" s="1"/>
  <c r="S178" i="6"/>
  <c r="AJ232" i="10" s="1"/>
  <c r="W177" i="6"/>
  <c r="V177" i="6"/>
  <c r="D180" i="6"/>
  <c r="C179" i="6"/>
  <c r="E180" i="6"/>
  <c r="M179" i="6" l="1"/>
  <c r="W233" i="10" s="1"/>
  <c r="Z179" i="6"/>
  <c r="AP233" i="10" s="1"/>
  <c r="Y231" i="10"/>
  <c r="K177" i="6"/>
  <c r="Q231" i="10" s="1"/>
  <c r="C233" i="10"/>
  <c r="O178" i="6"/>
  <c r="V178" i="6"/>
  <c r="J179" i="6"/>
  <c r="O233" i="10" s="1"/>
  <c r="Q179" i="6"/>
  <c r="AD233" i="10" s="1"/>
  <c r="P179" i="6"/>
  <c r="Z233" i="10" s="1"/>
  <c r="X179" i="6"/>
  <c r="I179" i="6"/>
  <c r="M233" i="10" s="1"/>
  <c r="G179" i="6"/>
  <c r="I233" i="10" s="1"/>
  <c r="S179" i="6"/>
  <c r="AJ233" i="10" s="1"/>
  <c r="T179" i="6"/>
  <c r="AL233" i="10" s="1"/>
  <c r="R179" i="6"/>
  <c r="AH233" i="10" s="1"/>
  <c r="F179" i="6"/>
  <c r="G233" i="10" s="1"/>
  <c r="L179" i="6"/>
  <c r="S233" i="10" s="1"/>
  <c r="H179" i="6"/>
  <c r="K233" i="10" s="1"/>
  <c r="U179" i="6"/>
  <c r="AN233" i="10" s="1"/>
  <c r="Y179" i="6"/>
  <c r="AR233" i="10" s="1"/>
  <c r="N179" i="6"/>
  <c r="U233" i="10" s="1"/>
  <c r="W178" i="6"/>
  <c r="D181" i="6"/>
  <c r="C180" i="6"/>
  <c r="E181" i="6"/>
  <c r="M180" i="6" l="1"/>
  <c r="W234" i="10" s="1"/>
  <c r="Z180" i="6"/>
  <c r="AP234" i="10" s="1"/>
  <c r="Y232" i="10"/>
  <c r="K178" i="6"/>
  <c r="Q232" i="10" s="1"/>
  <c r="C234" i="10"/>
  <c r="O179" i="6"/>
  <c r="K179" i="6" s="1"/>
  <c r="P180" i="6"/>
  <c r="Z234" i="10" s="1"/>
  <c r="T180" i="6"/>
  <c r="AL234" i="10" s="1"/>
  <c r="F180" i="6"/>
  <c r="G234" i="10" s="1"/>
  <c r="J180" i="6"/>
  <c r="O234" i="10" s="1"/>
  <c r="Q180" i="6"/>
  <c r="AD234" i="10" s="1"/>
  <c r="U180" i="6"/>
  <c r="AN234" i="10" s="1"/>
  <c r="G180" i="6"/>
  <c r="I234" i="10" s="1"/>
  <c r="R180" i="6"/>
  <c r="AH234" i="10" s="1"/>
  <c r="H180" i="6"/>
  <c r="K234" i="10" s="1"/>
  <c r="S180" i="6"/>
  <c r="AJ234" i="10" s="1"/>
  <c r="X180" i="6"/>
  <c r="I180" i="6"/>
  <c r="M234" i="10" s="1"/>
  <c r="L180" i="6"/>
  <c r="S234" i="10" s="1"/>
  <c r="Y180" i="6"/>
  <c r="AR234" i="10" s="1"/>
  <c r="N180" i="6"/>
  <c r="U234" i="10" s="1"/>
  <c r="V179" i="6"/>
  <c r="W179" i="6"/>
  <c r="D182" i="6"/>
  <c r="C181" i="6"/>
  <c r="E182" i="6"/>
  <c r="M181" i="6" l="1"/>
  <c r="W235" i="10" s="1"/>
  <c r="Z181" i="6"/>
  <c r="AP235" i="10" s="1"/>
  <c r="C235" i="10"/>
  <c r="Q233" i="10"/>
  <c r="Y233" i="10"/>
  <c r="O180" i="6"/>
  <c r="K180" i="6" s="1"/>
  <c r="V180" i="6"/>
  <c r="W180" i="6"/>
  <c r="J181" i="6"/>
  <c r="O235" i="10" s="1"/>
  <c r="Y181" i="6"/>
  <c r="AR235" i="10" s="1"/>
  <c r="S181" i="6"/>
  <c r="AJ235" i="10" s="1"/>
  <c r="U181" i="6"/>
  <c r="AN235" i="10" s="1"/>
  <c r="G181" i="6"/>
  <c r="I235" i="10" s="1"/>
  <c r="Q181" i="6"/>
  <c r="AD235" i="10" s="1"/>
  <c r="X181" i="6"/>
  <c r="P181" i="6"/>
  <c r="Z235" i="10" s="1"/>
  <c r="N181" i="6"/>
  <c r="U235" i="10" s="1"/>
  <c r="R181" i="6"/>
  <c r="AH235" i="10" s="1"/>
  <c r="F181" i="6"/>
  <c r="G235" i="10" s="1"/>
  <c r="I181" i="6"/>
  <c r="M235" i="10" s="1"/>
  <c r="T181" i="6"/>
  <c r="AL235" i="10" s="1"/>
  <c r="L181" i="6"/>
  <c r="S235" i="10" s="1"/>
  <c r="H181" i="6"/>
  <c r="K235" i="10" s="1"/>
  <c r="D183" i="6"/>
  <c r="C182" i="6"/>
  <c r="E183" i="6"/>
  <c r="M182" i="6" l="1"/>
  <c r="W236" i="10" s="1"/>
  <c r="Z182" i="6"/>
  <c r="AP236" i="10" s="1"/>
  <c r="C236" i="10"/>
  <c r="Q234" i="10"/>
  <c r="Y234" i="10"/>
  <c r="T182" i="6"/>
  <c r="AL236" i="10" s="1"/>
  <c r="R182" i="6"/>
  <c r="AH236" i="10" s="1"/>
  <c r="P182" i="6"/>
  <c r="Z236" i="10" s="1"/>
  <c r="Q182" i="6"/>
  <c r="AD236" i="10" s="1"/>
  <c r="G182" i="6"/>
  <c r="I236" i="10" s="1"/>
  <c r="Y182" i="6"/>
  <c r="AR236" i="10" s="1"/>
  <c r="X182" i="6"/>
  <c r="I182" i="6"/>
  <c r="M236" i="10" s="1"/>
  <c r="S182" i="6"/>
  <c r="AJ236" i="10" s="1"/>
  <c r="J182" i="6"/>
  <c r="O236" i="10" s="1"/>
  <c r="U182" i="6"/>
  <c r="AN236" i="10" s="1"/>
  <c r="N182" i="6"/>
  <c r="U236" i="10" s="1"/>
  <c r="L182" i="6"/>
  <c r="S236" i="10" s="1"/>
  <c r="F182" i="6"/>
  <c r="G236" i="10" s="1"/>
  <c r="H182" i="6"/>
  <c r="K236" i="10" s="1"/>
  <c r="W181" i="6"/>
  <c r="O181" i="6"/>
  <c r="K181" i="6" s="1"/>
  <c r="V181" i="6"/>
  <c r="D184" i="6"/>
  <c r="C183" i="6"/>
  <c r="E184" i="6"/>
  <c r="M183" i="6" l="1"/>
  <c r="W237" i="10" s="1"/>
  <c r="Z183" i="6"/>
  <c r="AP237" i="10" s="1"/>
  <c r="C237" i="10"/>
  <c r="Q235" i="10"/>
  <c r="Y235" i="10"/>
  <c r="J183" i="6"/>
  <c r="O237" i="10" s="1"/>
  <c r="P183" i="6"/>
  <c r="Z237" i="10" s="1"/>
  <c r="R183" i="6"/>
  <c r="AH237" i="10" s="1"/>
  <c r="Q183" i="6"/>
  <c r="AD237" i="10" s="1"/>
  <c r="T183" i="6"/>
  <c r="AL237" i="10" s="1"/>
  <c r="H183" i="6"/>
  <c r="K237" i="10" s="1"/>
  <c r="I183" i="6"/>
  <c r="M237" i="10" s="1"/>
  <c r="L183" i="6"/>
  <c r="S237" i="10" s="1"/>
  <c r="S183" i="6"/>
  <c r="AJ237" i="10" s="1"/>
  <c r="U183" i="6"/>
  <c r="AN237" i="10" s="1"/>
  <c r="X183" i="6"/>
  <c r="Y183" i="6"/>
  <c r="AR237" i="10" s="1"/>
  <c r="G183" i="6"/>
  <c r="I237" i="10" s="1"/>
  <c r="F183" i="6"/>
  <c r="G237" i="10" s="1"/>
  <c r="N183" i="6"/>
  <c r="U237" i="10" s="1"/>
  <c r="O182" i="6"/>
  <c r="K182" i="6" s="1"/>
  <c r="W182" i="6"/>
  <c r="V182" i="6"/>
  <c r="D185" i="6"/>
  <c r="C184" i="6"/>
  <c r="E185" i="6"/>
  <c r="M184" i="6" l="1"/>
  <c r="W238" i="10" s="1"/>
  <c r="Z184" i="6"/>
  <c r="AP238" i="10" s="1"/>
  <c r="C238" i="10"/>
  <c r="Q236" i="10"/>
  <c r="Y236" i="10"/>
  <c r="W183" i="6"/>
  <c r="V183" i="6"/>
  <c r="P184" i="6"/>
  <c r="Z238" i="10" s="1"/>
  <c r="T184" i="6"/>
  <c r="AL238" i="10" s="1"/>
  <c r="H184" i="6"/>
  <c r="K238" i="10" s="1"/>
  <c r="U184" i="6"/>
  <c r="AN238" i="10" s="1"/>
  <c r="L184" i="6"/>
  <c r="S238" i="10" s="1"/>
  <c r="I184" i="6"/>
  <c r="M238" i="10" s="1"/>
  <c r="Q184" i="6"/>
  <c r="AD238" i="10" s="1"/>
  <c r="Y184" i="6"/>
  <c r="AR238" i="10" s="1"/>
  <c r="N184" i="6"/>
  <c r="U238" i="10" s="1"/>
  <c r="S184" i="6"/>
  <c r="AJ238" i="10" s="1"/>
  <c r="F184" i="6"/>
  <c r="G238" i="10" s="1"/>
  <c r="X184" i="6"/>
  <c r="J184" i="6"/>
  <c r="O238" i="10" s="1"/>
  <c r="G184" i="6"/>
  <c r="I238" i="10" s="1"/>
  <c r="R184" i="6"/>
  <c r="AH238" i="10" s="1"/>
  <c r="O183" i="6"/>
  <c r="K183" i="6" s="1"/>
  <c r="D186" i="6"/>
  <c r="C185" i="6"/>
  <c r="E186" i="6"/>
  <c r="M185" i="6" l="1"/>
  <c r="W239" i="10" s="1"/>
  <c r="Z185" i="6"/>
  <c r="AP239" i="10" s="1"/>
  <c r="C239" i="10"/>
  <c r="Q237" i="10"/>
  <c r="Y237" i="10"/>
  <c r="V184" i="6"/>
  <c r="W184" i="6"/>
  <c r="O184" i="6"/>
  <c r="K184" i="6" s="1"/>
  <c r="Q185" i="6"/>
  <c r="AD239" i="10" s="1"/>
  <c r="U185" i="6"/>
  <c r="AN239" i="10" s="1"/>
  <c r="F185" i="6"/>
  <c r="G239" i="10" s="1"/>
  <c r="Y185" i="6"/>
  <c r="AR239" i="10" s="1"/>
  <c r="R185" i="6"/>
  <c r="AH239" i="10" s="1"/>
  <c r="P185" i="6"/>
  <c r="Z239" i="10" s="1"/>
  <c r="X185" i="6"/>
  <c r="I185" i="6"/>
  <c r="M239" i="10" s="1"/>
  <c r="N185" i="6"/>
  <c r="U239" i="10" s="1"/>
  <c r="S185" i="6"/>
  <c r="AJ239" i="10" s="1"/>
  <c r="T185" i="6"/>
  <c r="AL239" i="10" s="1"/>
  <c r="H185" i="6"/>
  <c r="K239" i="10" s="1"/>
  <c r="L185" i="6"/>
  <c r="S239" i="10" s="1"/>
  <c r="J185" i="6"/>
  <c r="O239" i="10" s="1"/>
  <c r="G185" i="6"/>
  <c r="I239" i="10" s="1"/>
  <c r="D187" i="6"/>
  <c r="C186" i="6"/>
  <c r="E187" i="6"/>
  <c r="M186" i="6" l="1"/>
  <c r="W240" i="10" s="1"/>
  <c r="Z186" i="6"/>
  <c r="AP240" i="10" s="1"/>
  <c r="C240" i="10"/>
  <c r="Q238" i="10"/>
  <c r="Y238" i="10"/>
  <c r="V185" i="6"/>
  <c r="W185" i="6"/>
  <c r="O185" i="6"/>
  <c r="K185" i="6" s="1"/>
  <c r="Q186" i="6"/>
  <c r="AD240" i="10" s="1"/>
  <c r="I186" i="6"/>
  <c r="M240" i="10" s="1"/>
  <c r="U186" i="6"/>
  <c r="AN240" i="10" s="1"/>
  <c r="H186" i="6"/>
  <c r="K240" i="10" s="1"/>
  <c r="S186" i="6"/>
  <c r="AJ240" i="10" s="1"/>
  <c r="F186" i="6"/>
  <c r="G240" i="10" s="1"/>
  <c r="N186" i="6"/>
  <c r="U240" i="10" s="1"/>
  <c r="J186" i="6"/>
  <c r="O240" i="10" s="1"/>
  <c r="R186" i="6"/>
  <c r="AH240" i="10" s="1"/>
  <c r="Y186" i="6"/>
  <c r="AR240" i="10" s="1"/>
  <c r="P186" i="6"/>
  <c r="Z240" i="10" s="1"/>
  <c r="X186" i="6"/>
  <c r="L186" i="6"/>
  <c r="S240" i="10" s="1"/>
  <c r="G186" i="6"/>
  <c r="I240" i="10" s="1"/>
  <c r="T186" i="6"/>
  <c r="AL240" i="10" s="1"/>
  <c r="D188" i="6"/>
  <c r="C187" i="6"/>
  <c r="E188" i="6"/>
  <c r="M187" i="6" l="1"/>
  <c r="W241" i="10" s="1"/>
  <c r="Z187" i="6"/>
  <c r="AP241" i="10" s="1"/>
  <c r="C241" i="10"/>
  <c r="Q239" i="10"/>
  <c r="Y239" i="10"/>
  <c r="W186" i="6"/>
  <c r="V186" i="6"/>
  <c r="O186" i="6"/>
  <c r="K186" i="6" s="1"/>
  <c r="L187" i="6"/>
  <c r="S241" i="10" s="1"/>
  <c r="X187" i="6"/>
  <c r="Q187" i="6"/>
  <c r="AD241" i="10" s="1"/>
  <c r="P187" i="6"/>
  <c r="Z241" i="10" s="1"/>
  <c r="T187" i="6"/>
  <c r="AL241" i="10" s="1"/>
  <c r="J187" i="6"/>
  <c r="O241" i="10" s="1"/>
  <c r="I187" i="6"/>
  <c r="M241" i="10" s="1"/>
  <c r="F187" i="6"/>
  <c r="G241" i="10" s="1"/>
  <c r="U187" i="6"/>
  <c r="AN241" i="10" s="1"/>
  <c r="N187" i="6"/>
  <c r="U241" i="10" s="1"/>
  <c r="H187" i="6"/>
  <c r="K241" i="10" s="1"/>
  <c r="R187" i="6"/>
  <c r="AH241" i="10" s="1"/>
  <c r="G187" i="6"/>
  <c r="I241" i="10" s="1"/>
  <c r="S187" i="6"/>
  <c r="AJ241" i="10" s="1"/>
  <c r="Y187" i="6"/>
  <c r="AR241" i="10" s="1"/>
  <c r="D189" i="6"/>
  <c r="C188" i="6"/>
  <c r="E189" i="6"/>
  <c r="M188" i="6" l="1"/>
  <c r="W242" i="10" s="1"/>
  <c r="Z188" i="6"/>
  <c r="AP242" i="10" s="1"/>
  <c r="C242" i="10"/>
  <c r="Q240" i="10"/>
  <c r="Y240" i="10"/>
  <c r="W187" i="6"/>
  <c r="V187" i="6"/>
  <c r="O187" i="6"/>
  <c r="K187" i="6" s="1"/>
  <c r="U188" i="6"/>
  <c r="AN242" i="10" s="1"/>
  <c r="G188" i="6"/>
  <c r="I242" i="10" s="1"/>
  <c r="J188" i="6"/>
  <c r="O242" i="10" s="1"/>
  <c r="N188" i="6"/>
  <c r="U242" i="10" s="1"/>
  <c r="S188" i="6"/>
  <c r="AJ242" i="10" s="1"/>
  <c r="Y188" i="6"/>
  <c r="AR242" i="10" s="1"/>
  <c r="H188" i="6"/>
  <c r="K242" i="10" s="1"/>
  <c r="T188" i="6"/>
  <c r="AL242" i="10" s="1"/>
  <c r="I188" i="6"/>
  <c r="M242" i="10" s="1"/>
  <c r="R188" i="6"/>
  <c r="AH242" i="10" s="1"/>
  <c r="F188" i="6"/>
  <c r="G242" i="10" s="1"/>
  <c r="Q188" i="6"/>
  <c r="AD242" i="10" s="1"/>
  <c r="L188" i="6"/>
  <c r="S242" i="10" s="1"/>
  <c r="X188" i="6"/>
  <c r="P188" i="6"/>
  <c r="Z242" i="10" s="1"/>
  <c r="D190" i="6"/>
  <c r="C189" i="6"/>
  <c r="E190" i="6"/>
  <c r="M189" i="6" l="1"/>
  <c r="W243" i="10" s="1"/>
  <c r="Z189" i="6"/>
  <c r="AP243" i="10" s="1"/>
  <c r="C243" i="10"/>
  <c r="Q241" i="10"/>
  <c r="Y241" i="10"/>
  <c r="V188" i="6"/>
  <c r="W188" i="6"/>
  <c r="O188" i="6"/>
  <c r="K188" i="6" s="1"/>
  <c r="R189" i="6"/>
  <c r="AH243" i="10" s="1"/>
  <c r="Y189" i="6"/>
  <c r="AR243" i="10" s="1"/>
  <c r="H189" i="6"/>
  <c r="K243" i="10" s="1"/>
  <c r="Q189" i="6"/>
  <c r="AD243" i="10" s="1"/>
  <c r="S189" i="6"/>
  <c r="AJ243" i="10" s="1"/>
  <c r="X189" i="6"/>
  <c r="P189" i="6"/>
  <c r="Z243" i="10" s="1"/>
  <c r="G189" i="6"/>
  <c r="I243" i="10" s="1"/>
  <c r="I189" i="6"/>
  <c r="M243" i="10" s="1"/>
  <c r="T189" i="6"/>
  <c r="AL243" i="10" s="1"/>
  <c r="F189" i="6"/>
  <c r="G243" i="10" s="1"/>
  <c r="J189" i="6"/>
  <c r="O243" i="10" s="1"/>
  <c r="N189" i="6"/>
  <c r="U243" i="10" s="1"/>
  <c r="U189" i="6"/>
  <c r="AN243" i="10" s="1"/>
  <c r="L189" i="6"/>
  <c r="S243" i="10" s="1"/>
  <c r="D191" i="6"/>
  <c r="C190" i="6"/>
  <c r="E191" i="6"/>
  <c r="M190" i="6" l="1"/>
  <c r="W244" i="10" s="1"/>
  <c r="Z190" i="6"/>
  <c r="AP244" i="10" s="1"/>
  <c r="C244" i="10"/>
  <c r="Q242" i="10"/>
  <c r="Y242" i="10"/>
  <c r="W189" i="6"/>
  <c r="V189" i="6"/>
  <c r="Q190" i="6"/>
  <c r="AD244" i="10" s="1"/>
  <c r="S190" i="6"/>
  <c r="AJ244" i="10" s="1"/>
  <c r="I190" i="6"/>
  <c r="M244" i="10" s="1"/>
  <c r="L190" i="6"/>
  <c r="S244" i="10" s="1"/>
  <c r="R190" i="6"/>
  <c r="AH244" i="10" s="1"/>
  <c r="U190" i="6"/>
  <c r="AN244" i="10" s="1"/>
  <c r="G190" i="6"/>
  <c r="I244" i="10" s="1"/>
  <c r="F190" i="6"/>
  <c r="G244" i="10" s="1"/>
  <c r="N190" i="6"/>
  <c r="U244" i="10" s="1"/>
  <c r="T190" i="6"/>
  <c r="AL244" i="10" s="1"/>
  <c r="J190" i="6"/>
  <c r="O244" i="10" s="1"/>
  <c r="P190" i="6"/>
  <c r="Z244" i="10" s="1"/>
  <c r="Y190" i="6"/>
  <c r="AR244" i="10" s="1"/>
  <c r="H190" i="6"/>
  <c r="K244" i="10" s="1"/>
  <c r="X190" i="6"/>
  <c r="O189" i="6"/>
  <c r="D192" i="6"/>
  <c r="C191" i="6"/>
  <c r="E192" i="6"/>
  <c r="M191" i="6" l="1"/>
  <c r="W245" i="10" s="1"/>
  <c r="Z191" i="6"/>
  <c r="AP245" i="10" s="1"/>
  <c r="Y243" i="10"/>
  <c r="K189" i="6"/>
  <c r="Q243" i="10" s="1"/>
  <c r="C245" i="10"/>
  <c r="V190" i="6"/>
  <c r="W190" i="6"/>
  <c r="O190" i="6"/>
  <c r="P191" i="6"/>
  <c r="Z245" i="10" s="1"/>
  <c r="F191" i="6"/>
  <c r="G245" i="10" s="1"/>
  <c r="J191" i="6"/>
  <c r="O245" i="10" s="1"/>
  <c r="T191" i="6"/>
  <c r="AL245" i="10" s="1"/>
  <c r="G191" i="6"/>
  <c r="I245" i="10" s="1"/>
  <c r="H191" i="6"/>
  <c r="K245" i="10" s="1"/>
  <c r="Q191" i="6"/>
  <c r="AD245" i="10" s="1"/>
  <c r="X191" i="6"/>
  <c r="I191" i="6"/>
  <c r="M245" i="10" s="1"/>
  <c r="U191" i="6"/>
  <c r="AN245" i="10" s="1"/>
  <c r="L191" i="6"/>
  <c r="S245" i="10" s="1"/>
  <c r="S191" i="6"/>
  <c r="AJ245" i="10" s="1"/>
  <c r="N191" i="6"/>
  <c r="U245" i="10" s="1"/>
  <c r="Y191" i="6"/>
  <c r="AR245" i="10" s="1"/>
  <c r="R191" i="6"/>
  <c r="AH245" i="10" s="1"/>
  <c r="D193" i="6"/>
  <c r="C192" i="6"/>
  <c r="E193" i="6"/>
  <c r="M192" i="6" l="1"/>
  <c r="W246" i="10" s="1"/>
  <c r="Z192" i="6"/>
  <c r="AP246" i="10" s="1"/>
  <c r="Y244" i="10"/>
  <c r="K190" i="6"/>
  <c r="Q244" i="10" s="1"/>
  <c r="C246" i="10"/>
  <c r="V191" i="6"/>
  <c r="W191" i="6"/>
  <c r="S192" i="6"/>
  <c r="AJ246" i="10" s="1"/>
  <c r="Y192" i="6"/>
  <c r="AR246" i="10" s="1"/>
  <c r="H192" i="6"/>
  <c r="K246" i="10" s="1"/>
  <c r="N192" i="6"/>
  <c r="U246" i="10" s="1"/>
  <c r="T192" i="6"/>
  <c r="AL246" i="10" s="1"/>
  <c r="I192" i="6"/>
  <c r="M246" i="10" s="1"/>
  <c r="P192" i="6"/>
  <c r="Z246" i="10" s="1"/>
  <c r="X192" i="6"/>
  <c r="J192" i="6"/>
  <c r="O246" i="10" s="1"/>
  <c r="R192" i="6"/>
  <c r="AH246" i="10" s="1"/>
  <c r="Q192" i="6"/>
  <c r="AD246" i="10" s="1"/>
  <c r="L192" i="6"/>
  <c r="S246" i="10" s="1"/>
  <c r="U192" i="6"/>
  <c r="AN246" i="10" s="1"/>
  <c r="G192" i="6"/>
  <c r="I246" i="10" s="1"/>
  <c r="F192" i="6"/>
  <c r="G246" i="10" s="1"/>
  <c r="O191" i="6"/>
  <c r="K191" i="6" s="1"/>
  <c r="D194" i="6"/>
  <c r="C193" i="6"/>
  <c r="E194" i="6"/>
  <c r="M193" i="6" l="1"/>
  <c r="W247" i="10" s="1"/>
  <c r="Z193" i="6"/>
  <c r="AP247" i="10" s="1"/>
  <c r="C247" i="10"/>
  <c r="Q245" i="10"/>
  <c r="Y245" i="10"/>
  <c r="V192" i="6"/>
  <c r="W192" i="6"/>
  <c r="O192" i="6"/>
  <c r="K192" i="6" s="1"/>
  <c r="J193" i="6"/>
  <c r="O247" i="10" s="1"/>
  <c r="Q193" i="6"/>
  <c r="AD247" i="10" s="1"/>
  <c r="T193" i="6"/>
  <c r="AL247" i="10" s="1"/>
  <c r="X193" i="6"/>
  <c r="P193" i="6"/>
  <c r="Z247" i="10" s="1"/>
  <c r="Y193" i="6"/>
  <c r="AR247" i="10" s="1"/>
  <c r="F193" i="6"/>
  <c r="G247" i="10" s="1"/>
  <c r="N193" i="6"/>
  <c r="U247" i="10" s="1"/>
  <c r="R193" i="6"/>
  <c r="AH247" i="10" s="1"/>
  <c r="U193" i="6"/>
  <c r="AN247" i="10" s="1"/>
  <c r="I193" i="6"/>
  <c r="M247" i="10" s="1"/>
  <c r="S193" i="6"/>
  <c r="AJ247" i="10" s="1"/>
  <c r="H193" i="6"/>
  <c r="K247" i="10" s="1"/>
  <c r="L193" i="6"/>
  <c r="S247" i="10" s="1"/>
  <c r="G193" i="6"/>
  <c r="I247" i="10" s="1"/>
  <c r="D195" i="6"/>
  <c r="C194" i="6"/>
  <c r="E195" i="6"/>
  <c r="M194" i="6" l="1"/>
  <c r="W248" i="10" s="1"/>
  <c r="Z194" i="6"/>
  <c r="AP248" i="10" s="1"/>
  <c r="C248" i="10"/>
  <c r="Q246" i="10"/>
  <c r="Y246" i="10"/>
  <c r="W193" i="6"/>
  <c r="V193" i="6"/>
  <c r="S194" i="6"/>
  <c r="AJ248" i="10" s="1"/>
  <c r="I194" i="6"/>
  <c r="M248" i="10" s="1"/>
  <c r="P194" i="6"/>
  <c r="Z248" i="10" s="1"/>
  <c r="H194" i="6"/>
  <c r="K248" i="10" s="1"/>
  <c r="F194" i="6"/>
  <c r="G248" i="10" s="1"/>
  <c r="Q194" i="6"/>
  <c r="AD248" i="10" s="1"/>
  <c r="L194" i="6"/>
  <c r="S248" i="10" s="1"/>
  <c r="R194" i="6"/>
  <c r="AH248" i="10" s="1"/>
  <c r="X194" i="6"/>
  <c r="J194" i="6"/>
  <c r="O248" i="10" s="1"/>
  <c r="U194" i="6"/>
  <c r="AN248" i="10" s="1"/>
  <c r="Y194" i="6"/>
  <c r="AR248" i="10" s="1"/>
  <c r="N194" i="6"/>
  <c r="U248" i="10" s="1"/>
  <c r="T194" i="6"/>
  <c r="AL248" i="10" s="1"/>
  <c r="G194" i="6"/>
  <c r="I248" i="10" s="1"/>
  <c r="O193" i="6"/>
  <c r="K193" i="6" s="1"/>
  <c r="D196" i="6"/>
  <c r="C195" i="6"/>
  <c r="E196" i="6"/>
  <c r="M195" i="6" l="1"/>
  <c r="W249" i="10" s="1"/>
  <c r="Z195" i="6"/>
  <c r="AP249" i="10" s="1"/>
  <c r="C249" i="10"/>
  <c r="Q247" i="10"/>
  <c r="Y247" i="10"/>
  <c r="W194" i="6"/>
  <c r="V194" i="6"/>
  <c r="N195" i="6"/>
  <c r="U249" i="10" s="1"/>
  <c r="Q195" i="6"/>
  <c r="AD249" i="10" s="1"/>
  <c r="S195" i="6"/>
  <c r="AJ249" i="10" s="1"/>
  <c r="T195" i="6"/>
  <c r="AL249" i="10" s="1"/>
  <c r="J195" i="6"/>
  <c r="O249" i="10" s="1"/>
  <c r="U195" i="6"/>
  <c r="AN249" i="10" s="1"/>
  <c r="P195" i="6"/>
  <c r="Z249" i="10" s="1"/>
  <c r="H195" i="6"/>
  <c r="K249" i="10" s="1"/>
  <c r="R195" i="6"/>
  <c r="AH249" i="10" s="1"/>
  <c r="F195" i="6"/>
  <c r="G249" i="10" s="1"/>
  <c r="L195" i="6"/>
  <c r="S249" i="10" s="1"/>
  <c r="G195" i="6"/>
  <c r="I249" i="10" s="1"/>
  <c r="I195" i="6"/>
  <c r="M249" i="10" s="1"/>
  <c r="Y195" i="6"/>
  <c r="AR249" i="10" s="1"/>
  <c r="X195" i="6"/>
  <c r="O194" i="6"/>
  <c r="K194" i="6" s="1"/>
  <c r="D197" i="6"/>
  <c r="C196" i="6"/>
  <c r="E197" i="6"/>
  <c r="M196" i="6" l="1"/>
  <c r="W250" i="10" s="1"/>
  <c r="Z196" i="6"/>
  <c r="AP250" i="10" s="1"/>
  <c r="C250" i="10"/>
  <c r="Q248" i="10"/>
  <c r="Y248" i="10"/>
  <c r="W195" i="6"/>
  <c r="V195" i="6"/>
  <c r="O195" i="6"/>
  <c r="N196" i="6"/>
  <c r="U250" i="10" s="1"/>
  <c r="S196" i="6"/>
  <c r="AJ250" i="10" s="1"/>
  <c r="Y196" i="6"/>
  <c r="AR250" i="10" s="1"/>
  <c r="I196" i="6"/>
  <c r="M250" i="10" s="1"/>
  <c r="P196" i="6"/>
  <c r="Z250" i="10" s="1"/>
  <c r="T196" i="6"/>
  <c r="AL250" i="10" s="1"/>
  <c r="X196" i="6"/>
  <c r="G196" i="6"/>
  <c r="I250" i="10" s="1"/>
  <c r="J196" i="6"/>
  <c r="O250" i="10" s="1"/>
  <c r="Q196" i="6"/>
  <c r="AD250" i="10" s="1"/>
  <c r="U196" i="6"/>
  <c r="AN250" i="10" s="1"/>
  <c r="F196" i="6"/>
  <c r="G250" i="10" s="1"/>
  <c r="L196" i="6"/>
  <c r="S250" i="10" s="1"/>
  <c r="R196" i="6"/>
  <c r="AH250" i="10" s="1"/>
  <c r="H196" i="6"/>
  <c r="K250" i="10" s="1"/>
  <c r="D198" i="6"/>
  <c r="C197" i="6"/>
  <c r="E198" i="6"/>
  <c r="M197" i="6" l="1"/>
  <c r="W251" i="10" s="1"/>
  <c r="Z197" i="6"/>
  <c r="AP251" i="10" s="1"/>
  <c r="Y249" i="10"/>
  <c r="K195" i="6"/>
  <c r="Q249" i="10" s="1"/>
  <c r="C251" i="10"/>
  <c r="V196" i="6"/>
  <c r="W196" i="6"/>
  <c r="N197" i="6"/>
  <c r="U251" i="10" s="1"/>
  <c r="U197" i="6"/>
  <c r="AN251" i="10" s="1"/>
  <c r="G197" i="6"/>
  <c r="I251" i="10" s="1"/>
  <c r="X197" i="6"/>
  <c r="J197" i="6"/>
  <c r="O251" i="10" s="1"/>
  <c r="P197" i="6"/>
  <c r="Z251" i="10" s="1"/>
  <c r="L197" i="6"/>
  <c r="S251" i="10" s="1"/>
  <c r="Q197" i="6"/>
  <c r="AD251" i="10" s="1"/>
  <c r="S197" i="6"/>
  <c r="AJ251" i="10" s="1"/>
  <c r="Y197" i="6"/>
  <c r="AR251" i="10" s="1"/>
  <c r="H197" i="6"/>
  <c r="K251" i="10" s="1"/>
  <c r="R197" i="6"/>
  <c r="AH251" i="10" s="1"/>
  <c r="T197" i="6"/>
  <c r="AL251" i="10" s="1"/>
  <c r="F197" i="6"/>
  <c r="G251" i="10" s="1"/>
  <c r="I197" i="6"/>
  <c r="M251" i="10" s="1"/>
  <c r="O196" i="6"/>
  <c r="K196" i="6" s="1"/>
  <c r="D199" i="6"/>
  <c r="C198" i="6"/>
  <c r="E199" i="6"/>
  <c r="M198" i="6" l="1"/>
  <c r="W252" i="10" s="1"/>
  <c r="Z198" i="6"/>
  <c r="AP252" i="10" s="1"/>
  <c r="C252" i="10"/>
  <c r="Q250" i="10"/>
  <c r="Y250" i="10"/>
  <c r="W197" i="6"/>
  <c r="V197" i="6"/>
  <c r="O197" i="6"/>
  <c r="K197" i="6" s="1"/>
  <c r="S198" i="6"/>
  <c r="AJ252" i="10" s="1"/>
  <c r="F198" i="6"/>
  <c r="G252" i="10" s="1"/>
  <c r="I198" i="6"/>
  <c r="M252" i="10" s="1"/>
  <c r="Q198" i="6"/>
  <c r="AD252" i="10" s="1"/>
  <c r="U198" i="6"/>
  <c r="AN252" i="10" s="1"/>
  <c r="G198" i="6"/>
  <c r="I252" i="10" s="1"/>
  <c r="Y198" i="6"/>
  <c r="AR252" i="10" s="1"/>
  <c r="N198" i="6"/>
  <c r="U252" i="10" s="1"/>
  <c r="R198" i="6"/>
  <c r="AH252" i="10" s="1"/>
  <c r="X198" i="6"/>
  <c r="H198" i="6"/>
  <c r="K252" i="10" s="1"/>
  <c r="P198" i="6"/>
  <c r="Z252" i="10" s="1"/>
  <c r="T198" i="6"/>
  <c r="AL252" i="10" s="1"/>
  <c r="J198" i="6"/>
  <c r="O252" i="10" s="1"/>
  <c r="L198" i="6"/>
  <c r="S252" i="10" s="1"/>
  <c r="D200" i="6"/>
  <c r="C199" i="6"/>
  <c r="E200" i="6"/>
  <c r="M199" i="6" l="1"/>
  <c r="W253" i="10" s="1"/>
  <c r="Z199" i="6"/>
  <c r="AP253" i="10" s="1"/>
  <c r="C253" i="10"/>
  <c r="Q251" i="10"/>
  <c r="Y251" i="10"/>
  <c r="V198" i="6"/>
  <c r="W198" i="6"/>
  <c r="X199" i="6"/>
  <c r="H199" i="6"/>
  <c r="K253" i="10" s="1"/>
  <c r="R199" i="6"/>
  <c r="AH253" i="10" s="1"/>
  <c r="P199" i="6"/>
  <c r="Z253" i="10" s="1"/>
  <c r="S199" i="6"/>
  <c r="AJ253" i="10" s="1"/>
  <c r="N199" i="6"/>
  <c r="U253" i="10" s="1"/>
  <c r="Q199" i="6"/>
  <c r="AD253" i="10" s="1"/>
  <c r="L199" i="6"/>
  <c r="S253" i="10" s="1"/>
  <c r="I199" i="6"/>
  <c r="M253" i="10" s="1"/>
  <c r="G199" i="6"/>
  <c r="I253" i="10" s="1"/>
  <c r="F199" i="6"/>
  <c r="G253" i="10" s="1"/>
  <c r="J199" i="6"/>
  <c r="O253" i="10" s="1"/>
  <c r="T199" i="6"/>
  <c r="AL253" i="10" s="1"/>
  <c r="U199" i="6"/>
  <c r="AN253" i="10" s="1"/>
  <c r="Y199" i="6"/>
  <c r="AR253" i="10" s="1"/>
  <c r="O198" i="6"/>
  <c r="K198" i="6" s="1"/>
  <c r="D201" i="6"/>
  <c r="C200" i="6"/>
  <c r="E201" i="6"/>
  <c r="M200" i="6" l="1"/>
  <c r="W254" i="10" s="1"/>
  <c r="Z200" i="6"/>
  <c r="AP254" i="10" s="1"/>
  <c r="C254" i="10"/>
  <c r="Q252" i="10"/>
  <c r="Y252" i="10"/>
  <c r="V199" i="6"/>
  <c r="W199" i="6"/>
  <c r="O199" i="6"/>
  <c r="J200" i="6"/>
  <c r="O254" i="10" s="1"/>
  <c r="S200" i="6"/>
  <c r="AJ254" i="10" s="1"/>
  <c r="T200" i="6"/>
  <c r="AL254" i="10" s="1"/>
  <c r="N200" i="6"/>
  <c r="U254" i="10" s="1"/>
  <c r="I200" i="6"/>
  <c r="M254" i="10" s="1"/>
  <c r="Q200" i="6"/>
  <c r="AD254" i="10" s="1"/>
  <c r="R200" i="6"/>
  <c r="AH254" i="10" s="1"/>
  <c r="L200" i="6"/>
  <c r="S254" i="10" s="1"/>
  <c r="G200" i="6"/>
  <c r="I254" i="10" s="1"/>
  <c r="Y200" i="6"/>
  <c r="AR254" i="10" s="1"/>
  <c r="H200" i="6"/>
  <c r="K254" i="10" s="1"/>
  <c r="U200" i="6"/>
  <c r="AN254" i="10" s="1"/>
  <c r="P200" i="6"/>
  <c r="Z254" i="10" s="1"/>
  <c r="X200" i="6"/>
  <c r="F200" i="6"/>
  <c r="G254" i="10" s="1"/>
  <c r="D202" i="6"/>
  <c r="C201" i="6"/>
  <c r="E202" i="6"/>
  <c r="M201" i="6" l="1"/>
  <c r="W255" i="10" s="1"/>
  <c r="Z201" i="6"/>
  <c r="AP255" i="10" s="1"/>
  <c r="Y253" i="10"/>
  <c r="K199" i="6"/>
  <c r="Q253" i="10" s="1"/>
  <c r="C255" i="10"/>
  <c r="V200" i="6"/>
  <c r="W200" i="6"/>
  <c r="I201" i="6"/>
  <c r="M255" i="10" s="1"/>
  <c r="N201" i="6"/>
  <c r="U255" i="10" s="1"/>
  <c r="P201" i="6"/>
  <c r="Z255" i="10" s="1"/>
  <c r="Y201" i="6"/>
  <c r="AR255" i="10" s="1"/>
  <c r="S201" i="6"/>
  <c r="AJ255" i="10" s="1"/>
  <c r="J201" i="6"/>
  <c r="O255" i="10" s="1"/>
  <c r="Q201" i="6"/>
  <c r="AD255" i="10" s="1"/>
  <c r="X201" i="6"/>
  <c r="F201" i="6"/>
  <c r="G255" i="10" s="1"/>
  <c r="G201" i="6"/>
  <c r="I255" i="10" s="1"/>
  <c r="T201" i="6"/>
  <c r="AL255" i="10" s="1"/>
  <c r="U201" i="6"/>
  <c r="AN255" i="10" s="1"/>
  <c r="H201" i="6"/>
  <c r="K255" i="10" s="1"/>
  <c r="L201" i="6"/>
  <c r="S255" i="10" s="1"/>
  <c r="R201" i="6"/>
  <c r="AH255" i="10" s="1"/>
  <c r="O200" i="6"/>
  <c r="K200" i="6" s="1"/>
  <c r="D203" i="6"/>
  <c r="C202" i="6"/>
  <c r="E203" i="6"/>
  <c r="M202" i="6" l="1"/>
  <c r="W256" i="10" s="1"/>
  <c r="Z202" i="6"/>
  <c r="AP256" i="10" s="1"/>
  <c r="C256" i="10"/>
  <c r="Q254" i="10"/>
  <c r="Y254" i="10"/>
  <c r="W201" i="6"/>
  <c r="V201" i="6"/>
  <c r="L202" i="6"/>
  <c r="S256" i="10" s="1"/>
  <c r="P202" i="6"/>
  <c r="Z256" i="10" s="1"/>
  <c r="Y202" i="6"/>
  <c r="AR256" i="10" s="1"/>
  <c r="F202" i="6"/>
  <c r="G256" i="10" s="1"/>
  <c r="N202" i="6"/>
  <c r="U256" i="10" s="1"/>
  <c r="T202" i="6"/>
  <c r="AL256" i="10" s="1"/>
  <c r="X202" i="6"/>
  <c r="Q202" i="6"/>
  <c r="AD256" i="10" s="1"/>
  <c r="S202" i="6"/>
  <c r="AJ256" i="10" s="1"/>
  <c r="J202" i="6"/>
  <c r="O256" i="10" s="1"/>
  <c r="U202" i="6"/>
  <c r="AN256" i="10" s="1"/>
  <c r="H202" i="6"/>
  <c r="K256" i="10" s="1"/>
  <c r="I202" i="6"/>
  <c r="M256" i="10" s="1"/>
  <c r="G202" i="6"/>
  <c r="I256" i="10" s="1"/>
  <c r="R202" i="6"/>
  <c r="AH256" i="10" s="1"/>
  <c r="O201" i="6"/>
  <c r="D204" i="6"/>
  <c r="C203" i="6"/>
  <c r="E204" i="6"/>
  <c r="M203" i="6" l="1"/>
  <c r="W257" i="10" s="1"/>
  <c r="Z203" i="6"/>
  <c r="AP257" i="10" s="1"/>
  <c r="Y255" i="10"/>
  <c r="K201" i="6"/>
  <c r="Q255" i="10" s="1"/>
  <c r="C257" i="10"/>
  <c r="V202" i="6"/>
  <c r="W202" i="6"/>
  <c r="O202" i="6"/>
  <c r="K202" i="6" s="1"/>
  <c r="S203" i="6"/>
  <c r="AJ257" i="10" s="1"/>
  <c r="R203" i="6"/>
  <c r="AH257" i="10" s="1"/>
  <c r="L203" i="6"/>
  <c r="S257" i="10" s="1"/>
  <c r="P203" i="6"/>
  <c r="Z257" i="10" s="1"/>
  <c r="T203" i="6"/>
  <c r="AL257" i="10" s="1"/>
  <c r="Y203" i="6"/>
  <c r="AR257" i="10" s="1"/>
  <c r="Q203" i="6"/>
  <c r="AD257" i="10" s="1"/>
  <c r="I203" i="6"/>
  <c r="M257" i="10" s="1"/>
  <c r="U203" i="6"/>
  <c r="AN257" i="10" s="1"/>
  <c r="J203" i="6"/>
  <c r="O257" i="10" s="1"/>
  <c r="F203" i="6"/>
  <c r="G257" i="10" s="1"/>
  <c r="X203" i="6"/>
  <c r="N203" i="6"/>
  <c r="U257" i="10" s="1"/>
  <c r="H203" i="6"/>
  <c r="K257" i="10" s="1"/>
  <c r="G203" i="6"/>
  <c r="I257" i="10" s="1"/>
  <c r="D205" i="6"/>
  <c r="C204" i="6"/>
  <c r="E205" i="6"/>
  <c r="M204" i="6" l="1"/>
  <c r="W258" i="10" s="1"/>
  <c r="Z204" i="6"/>
  <c r="AP258" i="10" s="1"/>
  <c r="C258" i="10"/>
  <c r="Q256" i="10"/>
  <c r="Y256" i="10"/>
  <c r="V203" i="6"/>
  <c r="W203" i="6"/>
  <c r="L204" i="6"/>
  <c r="S258" i="10" s="1"/>
  <c r="S204" i="6"/>
  <c r="AJ258" i="10" s="1"/>
  <c r="R204" i="6"/>
  <c r="AH258" i="10" s="1"/>
  <c r="F204" i="6"/>
  <c r="G258" i="10" s="1"/>
  <c r="G204" i="6"/>
  <c r="I258" i="10" s="1"/>
  <c r="N204" i="6"/>
  <c r="U258" i="10" s="1"/>
  <c r="T204" i="6"/>
  <c r="AL258" i="10" s="1"/>
  <c r="H204" i="6"/>
  <c r="K258" i="10" s="1"/>
  <c r="P204" i="6"/>
  <c r="Z258" i="10" s="1"/>
  <c r="U204" i="6"/>
  <c r="AN258" i="10" s="1"/>
  <c r="Y204" i="6"/>
  <c r="AR258" i="10" s="1"/>
  <c r="I204" i="6"/>
  <c r="M258" i="10" s="1"/>
  <c r="J204" i="6"/>
  <c r="O258" i="10" s="1"/>
  <c r="Q204" i="6"/>
  <c r="AD258" i="10" s="1"/>
  <c r="X204" i="6"/>
  <c r="O203" i="6"/>
  <c r="D206" i="6"/>
  <c r="C205" i="6"/>
  <c r="E206" i="6"/>
  <c r="M205" i="6" l="1"/>
  <c r="W259" i="10" s="1"/>
  <c r="Z205" i="6"/>
  <c r="AP259" i="10" s="1"/>
  <c r="Y257" i="10"/>
  <c r="K203" i="6"/>
  <c r="Q257" i="10" s="1"/>
  <c r="C259" i="10"/>
  <c r="W204" i="6"/>
  <c r="V204" i="6"/>
  <c r="O204" i="6"/>
  <c r="P205" i="6"/>
  <c r="Z259" i="10" s="1"/>
  <c r="H205" i="6"/>
  <c r="K259" i="10" s="1"/>
  <c r="Q205" i="6"/>
  <c r="AD259" i="10" s="1"/>
  <c r="L205" i="6"/>
  <c r="S259" i="10" s="1"/>
  <c r="T205" i="6"/>
  <c r="AL259" i="10" s="1"/>
  <c r="F205" i="6"/>
  <c r="G259" i="10" s="1"/>
  <c r="J205" i="6"/>
  <c r="O259" i="10" s="1"/>
  <c r="N205" i="6"/>
  <c r="U259" i="10" s="1"/>
  <c r="Y205" i="6"/>
  <c r="AR259" i="10" s="1"/>
  <c r="G205" i="6"/>
  <c r="I259" i="10" s="1"/>
  <c r="X205" i="6"/>
  <c r="U205" i="6"/>
  <c r="AN259" i="10" s="1"/>
  <c r="I205" i="6"/>
  <c r="M259" i="10" s="1"/>
  <c r="R205" i="6"/>
  <c r="AH259" i="10" s="1"/>
  <c r="S205" i="6"/>
  <c r="AJ259" i="10" s="1"/>
  <c r="D207" i="6"/>
  <c r="C206" i="6"/>
  <c r="E207" i="6"/>
  <c r="M206" i="6" l="1"/>
  <c r="W260" i="10" s="1"/>
  <c r="Z206" i="6"/>
  <c r="AP260" i="10" s="1"/>
  <c r="Y258" i="10"/>
  <c r="K204" i="6"/>
  <c r="Q258" i="10" s="1"/>
  <c r="C260" i="10"/>
  <c r="W205" i="6"/>
  <c r="V205" i="6"/>
  <c r="O205" i="6"/>
  <c r="F206" i="6"/>
  <c r="G260" i="10" s="1"/>
  <c r="I206" i="6"/>
  <c r="M260" i="10" s="1"/>
  <c r="R206" i="6"/>
  <c r="AH260" i="10" s="1"/>
  <c r="G206" i="6"/>
  <c r="I260" i="10" s="1"/>
  <c r="L206" i="6"/>
  <c r="S260" i="10" s="1"/>
  <c r="T206" i="6"/>
  <c r="AL260" i="10" s="1"/>
  <c r="X206" i="6"/>
  <c r="H206" i="6"/>
  <c r="K260" i="10" s="1"/>
  <c r="N206" i="6"/>
  <c r="U260" i="10" s="1"/>
  <c r="P206" i="6"/>
  <c r="Z260" i="10" s="1"/>
  <c r="U206" i="6"/>
  <c r="AN260" i="10" s="1"/>
  <c r="Q206" i="6"/>
  <c r="AD260" i="10" s="1"/>
  <c r="Y206" i="6"/>
  <c r="AR260" i="10" s="1"/>
  <c r="J206" i="6"/>
  <c r="O260" i="10" s="1"/>
  <c r="S206" i="6"/>
  <c r="AJ260" i="10" s="1"/>
  <c r="D208" i="6"/>
  <c r="C207" i="6"/>
  <c r="E208" i="6"/>
  <c r="M207" i="6" l="1"/>
  <c r="W261" i="10" s="1"/>
  <c r="Z207" i="6"/>
  <c r="AP261" i="10" s="1"/>
  <c r="Y259" i="10"/>
  <c r="K205" i="6"/>
  <c r="Q259" i="10" s="1"/>
  <c r="C261" i="10"/>
  <c r="W206" i="6"/>
  <c r="V206" i="6"/>
  <c r="O206" i="6"/>
  <c r="K206" i="6" s="1"/>
  <c r="I207" i="6"/>
  <c r="M261" i="10" s="1"/>
  <c r="P207" i="6"/>
  <c r="Z261" i="10" s="1"/>
  <c r="Q207" i="6"/>
  <c r="AD261" i="10" s="1"/>
  <c r="Y207" i="6"/>
  <c r="AR261" i="10" s="1"/>
  <c r="X207" i="6"/>
  <c r="F207" i="6"/>
  <c r="G261" i="10" s="1"/>
  <c r="J207" i="6"/>
  <c r="O261" i="10" s="1"/>
  <c r="R207" i="6"/>
  <c r="AH261" i="10" s="1"/>
  <c r="U207" i="6"/>
  <c r="AN261" i="10" s="1"/>
  <c r="G207" i="6"/>
  <c r="I261" i="10" s="1"/>
  <c r="T207" i="6"/>
  <c r="AL261" i="10" s="1"/>
  <c r="S207" i="6"/>
  <c r="AJ261" i="10" s="1"/>
  <c r="H207" i="6"/>
  <c r="K261" i="10" s="1"/>
  <c r="N207" i="6"/>
  <c r="U261" i="10" s="1"/>
  <c r="L207" i="6"/>
  <c r="S261" i="10" s="1"/>
  <c r="D209" i="6"/>
  <c r="C208" i="6"/>
  <c r="E209" i="6"/>
  <c r="M208" i="6" l="1"/>
  <c r="W262" i="10" s="1"/>
  <c r="Z208" i="6"/>
  <c r="AP262" i="10" s="1"/>
  <c r="C262" i="10"/>
  <c r="Q260" i="10"/>
  <c r="Y260" i="10"/>
  <c r="W207" i="6"/>
  <c r="V207" i="6"/>
  <c r="Y208" i="6"/>
  <c r="AR262" i="10" s="1"/>
  <c r="F208" i="6"/>
  <c r="G262" i="10" s="1"/>
  <c r="J208" i="6"/>
  <c r="O262" i="10" s="1"/>
  <c r="R208" i="6"/>
  <c r="AH262" i="10" s="1"/>
  <c r="Q208" i="6"/>
  <c r="AD262" i="10" s="1"/>
  <c r="X208" i="6"/>
  <c r="U208" i="6"/>
  <c r="AN262" i="10" s="1"/>
  <c r="G208" i="6"/>
  <c r="I262" i="10" s="1"/>
  <c r="L208" i="6"/>
  <c r="S262" i="10" s="1"/>
  <c r="S208" i="6"/>
  <c r="AJ262" i="10" s="1"/>
  <c r="H208" i="6"/>
  <c r="K262" i="10" s="1"/>
  <c r="N208" i="6"/>
  <c r="U262" i="10" s="1"/>
  <c r="T208" i="6"/>
  <c r="AL262" i="10" s="1"/>
  <c r="I208" i="6"/>
  <c r="M262" i="10" s="1"/>
  <c r="P208" i="6"/>
  <c r="Z262" i="10" s="1"/>
  <c r="O207" i="6"/>
  <c r="K207" i="6" s="1"/>
  <c r="D210" i="6"/>
  <c r="C209" i="6"/>
  <c r="E210" i="6"/>
  <c r="M209" i="6" l="1"/>
  <c r="W263" i="10" s="1"/>
  <c r="Z209" i="6"/>
  <c r="AP263" i="10" s="1"/>
  <c r="C263" i="10"/>
  <c r="Q261" i="10"/>
  <c r="Y261" i="10"/>
  <c r="W208" i="6"/>
  <c r="V208" i="6"/>
  <c r="O208" i="6"/>
  <c r="Y209" i="6"/>
  <c r="AR263" i="10" s="1"/>
  <c r="H209" i="6"/>
  <c r="K263" i="10" s="1"/>
  <c r="P209" i="6"/>
  <c r="Z263" i="10" s="1"/>
  <c r="T209" i="6"/>
  <c r="AL263" i="10" s="1"/>
  <c r="I209" i="6"/>
  <c r="M263" i="10" s="1"/>
  <c r="L209" i="6"/>
  <c r="S263" i="10" s="1"/>
  <c r="J209" i="6"/>
  <c r="O263" i="10" s="1"/>
  <c r="U209" i="6"/>
  <c r="AN263" i="10" s="1"/>
  <c r="N209" i="6"/>
  <c r="U263" i="10" s="1"/>
  <c r="F209" i="6"/>
  <c r="G263" i="10" s="1"/>
  <c r="S209" i="6"/>
  <c r="AJ263" i="10" s="1"/>
  <c r="R209" i="6"/>
  <c r="AH263" i="10" s="1"/>
  <c r="X209" i="6"/>
  <c r="Q209" i="6"/>
  <c r="AD263" i="10" s="1"/>
  <c r="G209" i="6"/>
  <c r="I263" i="10" s="1"/>
  <c r="D211" i="6"/>
  <c r="C210" i="6"/>
  <c r="E211" i="6"/>
  <c r="M210" i="6" l="1"/>
  <c r="W264" i="10" s="1"/>
  <c r="Z210" i="6"/>
  <c r="AP264" i="10" s="1"/>
  <c r="Y262" i="10"/>
  <c r="K208" i="6"/>
  <c r="Q262" i="10" s="1"/>
  <c r="C264" i="10"/>
  <c r="W209" i="6"/>
  <c r="V209" i="6"/>
  <c r="O209" i="6"/>
  <c r="F210" i="6"/>
  <c r="G264" i="10" s="1"/>
  <c r="L210" i="6"/>
  <c r="S264" i="10" s="1"/>
  <c r="R210" i="6"/>
  <c r="AH264" i="10" s="1"/>
  <c r="H210" i="6"/>
  <c r="K264" i="10" s="1"/>
  <c r="P210" i="6"/>
  <c r="Z264" i="10" s="1"/>
  <c r="Y210" i="6"/>
  <c r="AR264" i="10" s="1"/>
  <c r="X210" i="6"/>
  <c r="Q210" i="6"/>
  <c r="AD264" i="10" s="1"/>
  <c r="N210" i="6"/>
  <c r="U264" i="10" s="1"/>
  <c r="I210" i="6"/>
  <c r="M264" i="10" s="1"/>
  <c r="U210" i="6"/>
  <c r="AN264" i="10" s="1"/>
  <c r="G210" i="6"/>
  <c r="I264" i="10" s="1"/>
  <c r="J210" i="6"/>
  <c r="O264" i="10" s="1"/>
  <c r="T210" i="6"/>
  <c r="AL264" i="10" s="1"/>
  <c r="S210" i="6"/>
  <c r="AJ264" i="10" s="1"/>
  <c r="D212" i="6"/>
  <c r="C211" i="6"/>
  <c r="E212" i="6"/>
  <c r="M211" i="6" l="1"/>
  <c r="W265" i="10" s="1"/>
  <c r="Z211" i="6"/>
  <c r="AP265" i="10" s="1"/>
  <c r="Y263" i="10"/>
  <c r="K209" i="6"/>
  <c r="Q263" i="10" s="1"/>
  <c r="C265" i="10"/>
  <c r="V210" i="6"/>
  <c r="W210" i="6"/>
  <c r="O210" i="6"/>
  <c r="I211" i="6"/>
  <c r="M265" i="10" s="1"/>
  <c r="P211" i="6"/>
  <c r="Z265" i="10" s="1"/>
  <c r="X211" i="6"/>
  <c r="N211" i="6"/>
  <c r="U265" i="10" s="1"/>
  <c r="R211" i="6"/>
  <c r="AH265" i="10" s="1"/>
  <c r="U211" i="6"/>
  <c r="AN265" i="10" s="1"/>
  <c r="J211" i="6"/>
  <c r="O265" i="10" s="1"/>
  <c r="S211" i="6"/>
  <c r="AJ265" i="10" s="1"/>
  <c r="Q211" i="6"/>
  <c r="AD265" i="10" s="1"/>
  <c r="Y211" i="6"/>
  <c r="AR265" i="10" s="1"/>
  <c r="G211" i="6"/>
  <c r="I265" i="10" s="1"/>
  <c r="T211" i="6"/>
  <c r="AL265" i="10" s="1"/>
  <c r="F211" i="6"/>
  <c r="G265" i="10" s="1"/>
  <c r="H211" i="6"/>
  <c r="K265" i="10" s="1"/>
  <c r="L211" i="6"/>
  <c r="S265" i="10" s="1"/>
  <c r="D213" i="6"/>
  <c r="C212" i="6"/>
  <c r="E213" i="6"/>
  <c r="M212" i="6" l="1"/>
  <c r="W266" i="10" s="1"/>
  <c r="Z212" i="6"/>
  <c r="AP266" i="10" s="1"/>
  <c r="Y264" i="10"/>
  <c r="K210" i="6"/>
  <c r="Q264" i="10" s="1"/>
  <c r="C266" i="10"/>
  <c r="V211" i="6"/>
  <c r="W211" i="6"/>
  <c r="O211" i="6"/>
  <c r="K211" i="6" s="1"/>
  <c r="T212" i="6"/>
  <c r="AL266" i="10" s="1"/>
  <c r="Y212" i="6"/>
  <c r="AR266" i="10" s="1"/>
  <c r="F212" i="6"/>
  <c r="G266" i="10" s="1"/>
  <c r="J212" i="6"/>
  <c r="O266" i="10" s="1"/>
  <c r="Q212" i="6"/>
  <c r="AD266" i="10" s="1"/>
  <c r="U212" i="6"/>
  <c r="AN266" i="10" s="1"/>
  <c r="X212" i="6"/>
  <c r="P212" i="6"/>
  <c r="Z266" i="10" s="1"/>
  <c r="G212" i="6"/>
  <c r="I266" i="10" s="1"/>
  <c r="L212" i="6"/>
  <c r="S266" i="10" s="1"/>
  <c r="R212" i="6"/>
  <c r="AH266" i="10" s="1"/>
  <c r="H212" i="6"/>
  <c r="K266" i="10" s="1"/>
  <c r="N212" i="6"/>
  <c r="U266" i="10" s="1"/>
  <c r="S212" i="6"/>
  <c r="AJ266" i="10" s="1"/>
  <c r="I212" i="6"/>
  <c r="M266" i="10" s="1"/>
  <c r="D214" i="6"/>
  <c r="C213" i="6"/>
  <c r="E214" i="6"/>
  <c r="M213" i="6" l="1"/>
  <c r="W267" i="10" s="1"/>
  <c r="Z213" i="6"/>
  <c r="AP267" i="10" s="1"/>
  <c r="C267" i="10"/>
  <c r="Q265" i="10"/>
  <c r="Y265" i="10"/>
  <c r="W212" i="6"/>
  <c r="V212" i="6"/>
  <c r="N213" i="6"/>
  <c r="U267" i="10" s="1"/>
  <c r="R213" i="6"/>
  <c r="AH267" i="10" s="1"/>
  <c r="F213" i="6"/>
  <c r="G267" i="10" s="1"/>
  <c r="I213" i="6"/>
  <c r="M267" i="10" s="1"/>
  <c r="T213" i="6"/>
  <c r="AL267" i="10" s="1"/>
  <c r="L213" i="6"/>
  <c r="S267" i="10" s="1"/>
  <c r="H213" i="6"/>
  <c r="K267" i="10" s="1"/>
  <c r="U213" i="6"/>
  <c r="AN267" i="10" s="1"/>
  <c r="X213" i="6"/>
  <c r="J213" i="6"/>
  <c r="O267" i="10" s="1"/>
  <c r="Y213" i="6"/>
  <c r="AR267" i="10" s="1"/>
  <c r="S213" i="6"/>
  <c r="AJ267" i="10" s="1"/>
  <c r="G213" i="6"/>
  <c r="I267" i="10" s="1"/>
  <c r="Q213" i="6"/>
  <c r="AD267" i="10" s="1"/>
  <c r="P213" i="6"/>
  <c r="Z267" i="10" s="1"/>
  <c r="O212" i="6"/>
  <c r="K212" i="6" s="1"/>
  <c r="D215" i="6"/>
  <c r="C214" i="6"/>
  <c r="E215" i="6"/>
  <c r="M214" i="6" l="1"/>
  <c r="W268" i="10" s="1"/>
  <c r="Z214" i="6"/>
  <c r="AP268" i="10" s="1"/>
  <c r="C268" i="10"/>
  <c r="Q266" i="10"/>
  <c r="Y266" i="10"/>
  <c r="V213" i="6"/>
  <c r="W213" i="6"/>
  <c r="O213" i="6"/>
  <c r="K213" i="6" s="1"/>
  <c r="S214" i="6"/>
  <c r="AJ268" i="10" s="1"/>
  <c r="N214" i="6"/>
  <c r="U268" i="10" s="1"/>
  <c r="H214" i="6"/>
  <c r="K268" i="10" s="1"/>
  <c r="Q214" i="6"/>
  <c r="AD268" i="10" s="1"/>
  <c r="U214" i="6"/>
  <c r="AN268" i="10" s="1"/>
  <c r="P214" i="6"/>
  <c r="Z268" i="10" s="1"/>
  <c r="T214" i="6"/>
  <c r="AL268" i="10" s="1"/>
  <c r="Y214" i="6"/>
  <c r="AR268" i="10" s="1"/>
  <c r="G214" i="6"/>
  <c r="I268" i="10" s="1"/>
  <c r="F214" i="6"/>
  <c r="G268" i="10" s="1"/>
  <c r="R214" i="6"/>
  <c r="AH268" i="10" s="1"/>
  <c r="L214" i="6"/>
  <c r="S268" i="10" s="1"/>
  <c r="I214" i="6"/>
  <c r="M268" i="10" s="1"/>
  <c r="X214" i="6"/>
  <c r="J214" i="6"/>
  <c r="O268" i="10" s="1"/>
  <c r="D216" i="6"/>
  <c r="C215" i="6"/>
  <c r="E216" i="6"/>
  <c r="M215" i="6" l="1"/>
  <c r="W269" i="10" s="1"/>
  <c r="Z215" i="6"/>
  <c r="AP269" i="10" s="1"/>
  <c r="C269" i="10"/>
  <c r="Q267" i="10"/>
  <c r="Y267" i="10"/>
  <c r="V214" i="6"/>
  <c r="W214" i="6"/>
  <c r="O214" i="6"/>
  <c r="K214" i="6" s="1"/>
  <c r="R215" i="6"/>
  <c r="AH269" i="10" s="1"/>
  <c r="L215" i="6"/>
  <c r="S269" i="10" s="1"/>
  <c r="T215" i="6"/>
  <c r="AL269" i="10" s="1"/>
  <c r="P215" i="6"/>
  <c r="Z269" i="10" s="1"/>
  <c r="F215" i="6"/>
  <c r="G269" i="10" s="1"/>
  <c r="S215" i="6"/>
  <c r="AJ269" i="10" s="1"/>
  <c r="J215" i="6"/>
  <c r="O269" i="10" s="1"/>
  <c r="H215" i="6"/>
  <c r="K269" i="10" s="1"/>
  <c r="N215" i="6"/>
  <c r="U269" i="10" s="1"/>
  <c r="Y215" i="6"/>
  <c r="AR269" i="10" s="1"/>
  <c r="X215" i="6"/>
  <c r="G215" i="6"/>
  <c r="I269" i="10" s="1"/>
  <c r="I215" i="6"/>
  <c r="M269" i="10" s="1"/>
  <c r="U215" i="6"/>
  <c r="AN269" i="10" s="1"/>
  <c r="Q215" i="6"/>
  <c r="AD269" i="10" s="1"/>
  <c r="D217" i="6"/>
  <c r="C216" i="6"/>
  <c r="E217" i="6"/>
  <c r="M216" i="6" l="1"/>
  <c r="W270" i="10" s="1"/>
  <c r="Z216" i="6"/>
  <c r="AP270" i="10" s="1"/>
  <c r="C270" i="10"/>
  <c r="Q268" i="10"/>
  <c r="Y268" i="10"/>
  <c r="W215" i="6"/>
  <c r="V215" i="6"/>
  <c r="S216" i="6"/>
  <c r="AJ270" i="10" s="1"/>
  <c r="Y216" i="6"/>
  <c r="AR270" i="10" s="1"/>
  <c r="P216" i="6"/>
  <c r="Z270" i="10" s="1"/>
  <c r="X216" i="6"/>
  <c r="N216" i="6"/>
  <c r="U270" i="10" s="1"/>
  <c r="J216" i="6"/>
  <c r="O270" i="10" s="1"/>
  <c r="T216" i="6"/>
  <c r="AL270" i="10" s="1"/>
  <c r="I216" i="6"/>
  <c r="M270" i="10" s="1"/>
  <c r="Q216" i="6"/>
  <c r="AD270" i="10" s="1"/>
  <c r="U216" i="6"/>
  <c r="AN270" i="10" s="1"/>
  <c r="H216" i="6"/>
  <c r="K270" i="10" s="1"/>
  <c r="F216" i="6"/>
  <c r="G270" i="10" s="1"/>
  <c r="L216" i="6"/>
  <c r="S270" i="10" s="1"/>
  <c r="R216" i="6"/>
  <c r="AH270" i="10" s="1"/>
  <c r="G216" i="6"/>
  <c r="I270" i="10" s="1"/>
  <c r="O215" i="6"/>
  <c r="K215" i="6" s="1"/>
  <c r="D218" i="6"/>
  <c r="C217" i="6"/>
  <c r="E218" i="6"/>
  <c r="M217" i="6" l="1"/>
  <c r="W271" i="10" s="1"/>
  <c r="Z217" i="6"/>
  <c r="AP271" i="10" s="1"/>
  <c r="C271" i="10"/>
  <c r="Q269" i="10"/>
  <c r="Y269" i="10"/>
  <c r="W216" i="6"/>
  <c r="V216" i="6"/>
  <c r="G217" i="6"/>
  <c r="I271" i="10" s="1"/>
  <c r="R217" i="6"/>
  <c r="AH271" i="10" s="1"/>
  <c r="U217" i="6"/>
  <c r="AN271" i="10" s="1"/>
  <c r="N217" i="6"/>
  <c r="U271" i="10" s="1"/>
  <c r="H217" i="6"/>
  <c r="K271" i="10" s="1"/>
  <c r="T217" i="6"/>
  <c r="AL271" i="10" s="1"/>
  <c r="S217" i="6"/>
  <c r="AJ271" i="10" s="1"/>
  <c r="Y217" i="6"/>
  <c r="AR271" i="10" s="1"/>
  <c r="F217" i="6"/>
  <c r="G271" i="10" s="1"/>
  <c r="Q217" i="6"/>
  <c r="AD271" i="10" s="1"/>
  <c r="X217" i="6"/>
  <c r="I217" i="6"/>
  <c r="M271" i="10" s="1"/>
  <c r="J217" i="6"/>
  <c r="O271" i="10" s="1"/>
  <c r="L217" i="6"/>
  <c r="S271" i="10" s="1"/>
  <c r="P217" i="6"/>
  <c r="Z271" i="10" s="1"/>
  <c r="O216" i="6"/>
  <c r="K216" i="6" s="1"/>
  <c r="D219" i="6"/>
  <c r="C218" i="6"/>
  <c r="E219" i="6"/>
  <c r="M218" i="6" l="1"/>
  <c r="W272" i="10" s="1"/>
  <c r="Z218" i="6"/>
  <c r="AP272" i="10" s="1"/>
  <c r="C272" i="10"/>
  <c r="Q270" i="10"/>
  <c r="Y270" i="10"/>
  <c r="V217" i="6"/>
  <c r="W217" i="6"/>
  <c r="O217" i="6"/>
  <c r="K217" i="6" s="1"/>
  <c r="S218" i="6"/>
  <c r="AJ272" i="10" s="1"/>
  <c r="I218" i="6"/>
  <c r="M272" i="10" s="1"/>
  <c r="N218" i="6"/>
  <c r="U272" i="10" s="1"/>
  <c r="T218" i="6"/>
  <c r="AL272" i="10" s="1"/>
  <c r="J218" i="6"/>
  <c r="O272" i="10" s="1"/>
  <c r="X218" i="6"/>
  <c r="G218" i="6"/>
  <c r="I272" i="10" s="1"/>
  <c r="U218" i="6"/>
  <c r="AN272" i="10" s="1"/>
  <c r="R218" i="6"/>
  <c r="AH272" i="10" s="1"/>
  <c r="H218" i="6"/>
  <c r="K272" i="10" s="1"/>
  <c r="Q218" i="6"/>
  <c r="AD272" i="10" s="1"/>
  <c r="L218" i="6"/>
  <c r="S272" i="10" s="1"/>
  <c r="F218" i="6"/>
  <c r="G272" i="10" s="1"/>
  <c r="P218" i="6"/>
  <c r="Z272" i="10" s="1"/>
  <c r="Y218" i="6"/>
  <c r="AR272" i="10" s="1"/>
  <c r="D220" i="6"/>
  <c r="C219" i="6"/>
  <c r="E220" i="6"/>
  <c r="M219" i="6" l="1"/>
  <c r="W273" i="10" s="1"/>
  <c r="Z219" i="6"/>
  <c r="AP273" i="10" s="1"/>
  <c r="C273" i="10"/>
  <c r="Q271" i="10"/>
  <c r="Y271" i="10"/>
  <c r="W218" i="6"/>
  <c r="V218" i="6"/>
  <c r="O218" i="6"/>
  <c r="K218" i="6" s="1"/>
  <c r="F219" i="6"/>
  <c r="G273" i="10" s="1"/>
  <c r="T219" i="6"/>
  <c r="AL273" i="10" s="1"/>
  <c r="U219" i="6"/>
  <c r="AN273" i="10" s="1"/>
  <c r="S219" i="6"/>
  <c r="AJ273" i="10" s="1"/>
  <c r="G219" i="6"/>
  <c r="I273" i="10" s="1"/>
  <c r="I219" i="6"/>
  <c r="M273" i="10" s="1"/>
  <c r="J219" i="6"/>
  <c r="O273" i="10" s="1"/>
  <c r="Q219" i="6"/>
  <c r="AD273" i="10" s="1"/>
  <c r="N219" i="6"/>
  <c r="U273" i="10" s="1"/>
  <c r="X219" i="6"/>
  <c r="Y219" i="6"/>
  <c r="AR273" i="10" s="1"/>
  <c r="H219" i="6"/>
  <c r="K273" i="10" s="1"/>
  <c r="R219" i="6"/>
  <c r="AH273" i="10" s="1"/>
  <c r="P219" i="6"/>
  <c r="Z273" i="10" s="1"/>
  <c r="L219" i="6"/>
  <c r="S273" i="10" s="1"/>
  <c r="D221" i="6"/>
  <c r="C220" i="6"/>
  <c r="E221" i="6"/>
  <c r="M220" i="6" l="1"/>
  <c r="W274" i="10" s="1"/>
  <c r="Z220" i="6"/>
  <c r="AP274" i="10" s="1"/>
  <c r="C274" i="10"/>
  <c r="Q272" i="10"/>
  <c r="Y272" i="10"/>
  <c r="W219" i="6"/>
  <c r="V219" i="6"/>
  <c r="O219" i="6"/>
  <c r="K219" i="6" s="1"/>
  <c r="X220" i="6"/>
  <c r="F220" i="6"/>
  <c r="G274" i="10" s="1"/>
  <c r="L220" i="6"/>
  <c r="S274" i="10" s="1"/>
  <c r="Y220" i="6"/>
  <c r="AR274" i="10" s="1"/>
  <c r="H220" i="6"/>
  <c r="K274" i="10" s="1"/>
  <c r="N220" i="6"/>
  <c r="U274" i="10" s="1"/>
  <c r="T220" i="6"/>
  <c r="AL274" i="10" s="1"/>
  <c r="I220" i="6"/>
  <c r="M274" i="10" s="1"/>
  <c r="P220" i="6"/>
  <c r="Z274" i="10" s="1"/>
  <c r="U220" i="6"/>
  <c r="AN274" i="10" s="1"/>
  <c r="S220" i="6"/>
  <c r="AJ274" i="10" s="1"/>
  <c r="G220" i="6"/>
  <c r="I274" i="10" s="1"/>
  <c r="J220" i="6"/>
  <c r="O274" i="10" s="1"/>
  <c r="R220" i="6"/>
  <c r="AH274" i="10" s="1"/>
  <c r="Q220" i="6"/>
  <c r="AD274" i="10" s="1"/>
  <c r="D222" i="6"/>
  <c r="C221" i="6"/>
  <c r="E222" i="6"/>
  <c r="M221" i="6" l="1"/>
  <c r="W275" i="10" s="1"/>
  <c r="Z221" i="6"/>
  <c r="AP275" i="10" s="1"/>
  <c r="C275" i="10"/>
  <c r="Q273" i="10"/>
  <c r="Y273" i="10"/>
  <c r="V220" i="6"/>
  <c r="W220" i="6"/>
  <c r="N221" i="6"/>
  <c r="U275" i="10" s="1"/>
  <c r="Y221" i="6"/>
  <c r="AR275" i="10" s="1"/>
  <c r="H221" i="6"/>
  <c r="K275" i="10" s="1"/>
  <c r="Q221" i="6"/>
  <c r="AD275" i="10" s="1"/>
  <c r="S221" i="6"/>
  <c r="AJ275" i="10" s="1"/>
  <c r="X221" i="6"/>
  <c r="J221" i="6"/>
  <c r="O275" i="10" s="1"/>
  <c r="R221" i="6"/>
  <c r="AH275" i="10" s="1"/>
  <c r="T221" i="6"/>
  <c r="AL275" i="10" s="1"/>
  <c r="F221" i="6"/>
  <c r="G275" i="10" s="1"/>
  <c r="L221" i="6"/>
  <c r="S275" i="10" s="1"/>
  <c r="P221" i="6"/>
  <c r="Z275" i="10" s="1"/>
  <c r="U221" i="6"/>
  <c r="AN275" i="10" s="1"/>
  <c r="G221" i="6"/>
  <c r="I275" i="10" s="1"/>
  <c r="I221" i="6"/>
  <c r="M275" i="10" s="1"/>
  <c r="O220" i="6"/>
  <c r="K220" i="6" s="1"/>
  <c r="D223" i="6"/>
  <c r="C222" i="6"/>
  <c r="E223" i="6"/>
  <c r="M222" i="6" l="1"/>
  <c r="W276" i="10" s="1"/>
  <c r="Z222" i="6"/>
  <c r="AP276" i="10" s="1"/>
  <c r="C276" i="10"/>
  <c r="Q274" i="10"/>
  <c r="Y274" i="10"/>
  <c r="W221" i="6"/>
  <c r="V221" i="6"/>
  <c r="P222" i="6"/>
  <c r="Z276" i="10" s="1"/>
  <c r="S222" i="6"/>
  <c r="AJ276" i="10" s="1"/>
  <c r="N222" i="6"/>
  <c r="U276" i="10" s="1"/>
  <c r="Y222" i="6"/>
  <c r="AR276" i="10" s="1"/>
  <c r="L222" i="6"/>
  <c r="S276" i="10" s="1"/>
  <c r="G222" i="6"/>
  <c r="I276" i="10" s="1"/>
  <c r="U222" i="6"/>
  <c r="AN276" i="10" s="1"/>
  <c r="X222" i="6"/>
  <c r="H222" i="6"/>
  <c r="K276" i="10" s="1"/>
  <c r="R222" i="6"/>
  <c r="AH276" i="10" s="1"/>
  <c r="J222" i="6"/>
  <c r="O276" i="10" s="1"/>
  <c r="Q222" i="6"/>
  <c r="AD276" i="10" s="1"/>
  <c r="F222" i="6"/>
  <c r="G276" i="10" s="1"/>
  <c r="I222" i="6"/>
  <c r="M276" i="10" s="1"/>
  <c r="T222" i="6"/>
  <c r="AL276" i="10" s="1"/>
  <c r="O221" i="6"/>
  <c r="D224" i="6"/>
  <c r="C223" i="6"/>
  <c r="E224" i="6"/>
  <c r="M223" i="6" l="1"/>
  <c r="W277" i="10" s="1"/>
  <c r="Z223" i="6"/>
  <c r="AP277" i="10" s="1"/>
  <c r="Y275" i="10"/>
  <c r="K221" i="6"/>
  <c r="Q275" i="10" s="1"/>
  <c r="C277" i="10"/>
  <c r="W222" i="6"/>
  <c r="V222" i="6"/>
  <c r="O222" i="6"/>
  <c r="Q223" i="6"/>
  <c r="AD277" i="10" s="1"/>
  <c r="I223" i="6"/>
  <c r="M277" i="10" s="1"/>
  <c r="R223" i="6"/>
  <c r="AH277" i="10" s="1"/>
  <c r="P223" i="6"/>
  <c r="Z277" i="10" s="1"/>
  <c r="Y223" i="6"/>
  <c r="AR277" i="10" s="1"/>
  <c r="F223" i="6"/>
  <c r="G277" i="10" s="1"/>
  <c r="J223" i="6"/>
  <c r="O277" i="10" s="1"/>
  <c r="S223" i="6"/>
  <c r="AJ277" i="10" s="1"/>
  <c r="L223" i="6"/>
  <c r="S277" i="10" s="1"/>
  <c r="T223" i="6"/>
  <c r="AL277" i="10" s="1"/>
  <c r="H223" i="6"/>
  <c r="K277" i="10" s="1"/>
  <c r="G223" i="6"/>
  <c r="I277" i="10" s="1"/>
  <c r="N223" i="6"/>
  <c r="U277" i="10" s="1"/>
  <c r="X223" i="6"/>
  <c r="U223" i="6"/>
  <c r="AN277" i="10" s="1"/>
  <c r="D225" i="6"/>
  <c r="C224" i="6"/>
  <c r="E225" i="6"/>
  <c r="M224" i="6" l="1"/>
  <c r="W278" i="10" s="1"/>
  <c r="Z224" i="6"/>
  <c r="AP278" i="10" s="1"/>
  <c r="Y276" i="10"/>
  <c r="K222" i="6"/>
  <c r="Q276" i="10" s="1"/>
  <c r="C278" i="10"/>
  <c r="V223" i="6"/>
  <c r="W223" i="6"/>
  <c r="O223" i="6"/>
  <c r="L224" i="6"/>
  <c r="S278" i="10" s="1"/>
  <c r="N224" i="6"/>
  <c r="U278" i="10" s="1"/>
  <c r="T224" i="6"/>
  <c r="AL278" i="10" s="1"/>
  <c r="J224" i="6"/>
  <c r="O278" i="10" s="1"/>
  <c r="P224" i="6"/>
  <c r="Z278" i="10" s="1"/>
  <c r="U224" i="6"/>
  <c r="AN278" i="10" s="1"/>
  <c r="Y224" i="6"/>
  <c r="AR278" i="10" s="1"/>
  <c r="G224" i="6"/>
  <c r="I278" i="10" s="1"/>
  <c r="F224" i="6"/>
  <c r="G278" i="10" s="1"/>
  <c r="R224" i="6"/>
  <c r="AH278" i="10" s="1"/>
  <c r="Q224" i="6"/>
  <c r="AD278" i="10" s="1"/>
  <c r="X224" i="6"/>
  <c r="H224" i="6"/>
  <c r="K278" i="10" s="1"/>
  <c r="S224" i="6"/>
  <c r="AJ278" i="10" s="1"/>
  <c r="I224" i="6"/>
  <c r="M278" i="10" s="1"/>
  <c r="D226" i="6"/>
  <c r="C225" i="6"/>
  <c r="E226" i="6"/>
  <c r="M225" i="6" l="1"/>
  <c r="W279" i="10" s="1"/>
  <c r="Z225" i="6"/>
  <c r="AP279" i="10" s="1"/>
  <c r="Y277" i="10"/>
  <c r="K223" i="6"/>
  <c r="Q277" i="10" s="1"/>
  <c r="C279" i="10"/>
  <c r="W224" i="6"/>
  <c r="V224" i="6"/>
  <c r="O224" i="6"/>
  <c r="K224" i="6" s="1"/>
  <c r="Y225" i="6"/>
  <c r="AR279" i="10" s="1"/>
  <c r="J225" i="6"/>
  <c r="O279" i="10" s="1"/>
  <c r="Q225" i="6"/>
  <c r="AD279" i="10" s="1"/>
  <c r="T225" i="6"/>
  <c r="AL279" i="10" s="1"/>
  <c r="X225" i="6"/>
  <c r="F225" i="6"/>
  <c r="G279" i="10" s="1"/>
  <c r="G225" i="6"/>
  <c r="I279" i="10" s="1"/>
  <c r="R225" i="6"/>
  <c r="AH279" i="10" s="1"/>
  <c r="U225" i="6"/>
  <c r="AN279" i="10" s="1"/>
  <c r="H225" i="6"/>
  <c r="K279" i="10" s="1"/>
  <c r="N225" i="6"/>
  <c r="U279" i="10" s="1"/>
  <c r="L225" i="6"/>
  <c r="S279" i="10" s="1"/>
  <c r="I225" i="6"/>
  <c r="M279" i="10" s="1"/>
  <c r="P225" i="6"/>
  <c r="Z279" i="10" s="1"/>
  <c r="S225" i="6"/>
  <c r="AJ279" i="10" s="1"/>
  <c r="D227" i="6"/>
  <c r="C226" i="6"/>
  <c r="E227" i="6"/>
  <c r="M226" i="6" l="1"/>
  <c r="W280" i="10" s="1"/>
  <c r="Z226" i="6"/>
  <c r="AP280" i="10" s="1"/>
  <c r="C280" i="10"/>
  <c r="Q278" i="10"/>
  <c r="Y278" i="10"/>
  <c r="V225" i="6"/>
  <c r="W225" i="6"/>
  <c r="O225" i="6"/>
  <c r="U226" i="6"/>
  <c r="AN280" i="10" s="1"/>
  <c r="G226" i="6"/>
  <c r="I280" i="10" s="1"/>
  <c r="L226" i="6"/>
  <c r="S280" i="10" s="1"/>
  <c r="I226" i="6"/>
  <c r="M280" i="10" s="1"/>
  <c r="T226" i="6"/>
  <c r="AL280" i="10" s="1"/>
  <c r="X226" i="6"/>
  <c r="N226" i="6"/>
  <c r="U280" i="10" s="1"/>
  <c r="Q226" i="6"/>
  <c r="AD280" i="10" s="1"/>
  <c r="H226" i="6"/>
  <c r="K280" i="10" s="1"/>
  <c r="S226" i="6"/>
  <c r="AJ280" i="10" s="1"/>
  <c r="Y226" i="6"/>
  <c r="AR280" i="10" s="1"/>
  <c r="P226" i="6"/>
  <c r="Z280" i="10" s="1"/>
  <c r="F226" i="6"/>
  <c r="G280" i="10" s="1"/>
  <c r="J226" i="6"/>
  <c r="O280" i="10" s="1"/>
  <c r="R226" i="6"/>
  <c r="AH280" i="10" s="1"/>
  <c r="D228" i="6"/>
  <c r="C227" i="6"/>
  <c r="E228" i="6"/>
  <c r="M227" i="6" l="1"/>
  <c r="W281" i="10" s="1"/>
  <c r="Z227" i="6"/>
  <c r="AP281" i="10" s="1"/>
  <c r="Y279" i="10"/>
  <c r="K225" i="6"/>
  <c r="Q279" i="10" s="1"/>
  <c r="C281" i="10"/>
  <c r="V226" i="6"/>
  <c r="W226" i="6"/>
  <c r="O226" i="6"/>
  <c r="K226" i="6" s="1"/>
  <c r="G227" i="6"/>
  <c r="I281" i="10" s="1"/>
  <c r="R227" i="6"/>
  <c r="AH281" i="10" s="1"/>
  <c r="H227" i="6"/>
  <c r="K281" i="10" s="1"/>
  <c r="F227" i="6"/>
  <c r="G281" i="10" s="1"/>
  <c r="X227" i="6"/>
  <c r="I227" i="6"/>
  <c r="M281" i="10" s="1"/>
  <c r="L227" i="6"/>
  <c r="S281" i="10" s="1"/>
  <c r="N227" i="6"/>
  <c r="U281" i="10" s="1"/>
  <c r="P227" i="6"/>
  <c r="Z281" i="10" s="1"/>
  <c r="J227" i="6"/>
  <c r="O281" i="10" s="1"/>
  <c r="Y227" i="6"/>
  <c r="AR281" i="10" s="1"/>
  <c r="S227" i="6"/>
  <c r="AJ281" i="10" s="1"/>
  <c r="U227" i="6"/>
  <c r="AN281" i="10" s="1"/>
  <c r="T227" i="6"/>
  <c r="AL281" i="10" s="1"/>
  <c r="Q227" i="6"/>
  <c r="AD281" i="10" s="1"/>
  <c r="D229" i="6"/>
  <c r="C228" i="6"/>
  <c r="E229" i="6"/>
  <c r="M228" i="6" l="1"/>
  <c r="W282" i="10" s="1"/>
  <c r="Z228" i="6"/>
  <c r="AP282" i="10" s="1"/>
  <c r="C282" i="10"/>
  <c r="Q280" i="10"/>
  <c r="Y280" i="10"/>
  <c r="V227" i="6"/>
  <c r="W227" i="6"/>
  <c r="N228" i="6"/>
  <c r="U282" i="10" s="1"/>
  <c r="S228" i="6"/>
  <c r="AJ282" i="10" s="1"/>
  <c r="I228" i="6"/>
  <c r="M282" i="10" s="1"/>
  <c r="P228" i="6"/>
  <c r="Z282" i="10" s="1"/>
  <c r="Q228" i="6"/>
  <c r="AD282" i="10" s="1"/>
  <c r="U228" i="6"/>
  <c r="AN282" i="10" s="1"/>
  <c r="X228" i="6"/>
  <c r="T228" i="6"/>
  <c r="AL282" i="10" s="1"/>
  <c r="Y228" i="6"/>
  <c r="AR282" i="10" s="1"/>
  <c r="F228" i="6"/>
  <c r="G282" i="10" s="1"/>
  <c r="J228" i="6"/>
  <c r="O282" i="10" s="1"/>
  <c r="G228" i="6"/>
  <c r="I282" i="10" s="1"/>
  <c r="L228" i="6"/>
  <c r="S282" i="10" s="1"/>
  <c r="R228" i="6"/>
  <c r="AH282" i="10" s="1"/>
  <c r="H228" i="6"/>
  <c r="K282" i="10" s="1"/>
  <c r="O227" i="6"/>
  <c r="K227" i="6" s="1"/>
  <c r="D230" i="6"/>
  <c r="C229" i="6"/>
  <c r="E230" i="6"/>
  <c r="M229" i="6" l="1"/>
  <c r="W283" i="10" s="1"/>
  <c r="Z229" i="6"/>
  <c r="AP283" i="10" s="1"/>
  <c r="C283" i="10"/>
  <c r="Q281" i="10"/>
  <c r="Y281" i="10"/>
  <c r="W228" i="6"/>
  <c r="V228" i="6"/>
  <c r="O228" i="6"/>
  <c r="K228" i="6" s="1"/>
  <c r="I229" i="6"/>
  <c r="M283" i="10" s="1"/>
  <c r="R229" i="6"/>
  <c r="AH283" i="10" s="1"/>
  <c r="T229" i="6"/>
  <c r="AL283" i="10" s="1"/>
  <c r="Y229" i="6"/>
  <c r="AR283" i="10" s="1"/>
  <c r="H229" i="6"/>
  <c r="K283" i="10" s="1"/>
  <c r="Q229" i="6"/>
  <c r="AD283" i="10" s="1"/>
  <c r="S229" i="6"/>
  <c r="AJ283" i="10" s="1"/>
  <c r="G229" i="6"/>
  <c r="I283" i="10" s="1"/>
  <c r="J229" i="6"/>
  <c r="O283" i="10" s="1"/>
  <c r="N229" i="6"/>
  <c r="U283" i="10" s="1"/>
  <c r="U229" i="6"/>
  <c r="AN283" i="10" s="1"/>
  <c r="F229" i="6"/>
  <c r="G283" i="10" s="1"/>
  <c r="L229" i="6"/>
  <c r="S283" i="10" s="1"/>
  <c r="P229" i="6"/>
  <c r="Z283" i="10" s="1"/>
  <c r="X229" i="6"/>
  <c r="D231" i="6"/>
  <c r="C230" i="6"/>
  <c r="E231" i="6"/>
  <c r="M230" i="6" l="1"/>
  <c r="W284" i="10" s="1"/>
  <c r="Z230" i="6"/>
  <c r="AP284" i="10" s="1"/>
  <c r="C284" i="10"/>
  <c r="Q282" i="10"/>
  <c r="Y282" i="10"/>
  <c r="W229" i="6"/>
  <c r="V229" i="6"/>
  <c r="P230" i="6"/>
  <c r="Z284" i="10" s="1"/>
  <c r="L230" i="6"/>
  <c r="S284" i="10" s="1"/>
  <c r="Q230" i="6"/>
  <c r="AD284" i="10" s="1"/>
  <c r="X230" i="6"/>
  <c r="F230" i="6"/>
  <c r="G284" i="10" s="1"/>
  <c r="R230" i="6"/>
  <c r="AH284" i="10" s="1"/>
  <c r="J230" i="6"/>
  <c r="O284" i="10" s="1"/>
  <c r="S230" i="6"/>
  <c r="AJ284" i="10" s="1"/>
  <c r="I230" i="6"/>
  <c r="M284" i="10" s="1"/>
  <c r="U230" i="6"/>
  <c r="AN284" i="10" s="1"/>
  <c r="Y230" i="6"/>
  <c r="AR284" i="10" s="1"/>
  <c r="G230" i="6"/>
  <c r="I284" i="10" s="1"/>
  <c r="T230" i="6"/>
  <c r="AL284" i="10" s="1"/>
  <c r="H230" i="6"/>
  <c r="K284" i="10" s="1"/>
  <c r="N230" i="6"/>
  <c r="U284" i="10" s="1"/>
  <c r="O229" i="6"/>
  <c r="K229" i="6" s="1"/>
  <c r="D232" i="6"/>
  <c r="C231" i="6"/>
  <c r="E232" i="6"/>
  <c r="M231" i="6" l="1"/>
  <c r="W285" i="10" s="1"/>
  <c r="Z231" i="6"/>
  <c r="AP285" i="10" s="1"/>
  <c r="C285" i="10"/>
  <c r="Q283" i="10"/>
  <c r="Y283" i="10"/>
  <c r="V230" i="6"/>
  <c r="W230" i="6"/>
  <c r="O230" i="6"/>
  <c r="K230" i="6" s="1"/>
  <c r="N231" i="6"/>
  <c r="U285" i="10" s="1"/>
  <c r="U231" i="6"/>
  <c r="AN285" i="10" s="1"/>
  <c r="H231" i="6"/>
  <c r="K285" i="10" s="1"/>
  <c r="L231" i="6"/>
  <c r="S285" i="10" s="1"/>
  <c r="R231" i="6"/>
  <c r="AH285" i="10" s="1"/>
  <c r="P231" i="6"/>
  <c r="Z285" i="10" s="1"/>
  <c r="J231" i="6"/>
  <c r="O285" i="10" s="1"/>
  <c r="I231" i="6"/>
  <c r="M285" i="10" s="1"/>
  <c r="X231" i="6"/>
  <c r="F231" i="6"/>
  <c r="G285" i="10" s="1"/>
  <c r="S231" i="6"/>
  <c r="AJ285" i="10" s="1"/>
  <c r="Q231" i="6"/>
  <c r="AD285" i="10" s="1"/>
  <c r="Y231" i="6"/>
  <c r="AR285" i="10" s="1"/>
  <c r="G231" i="6"/>
  <c r="I285" i="10" s="1"/>
  <c r="T231" i="6"/>
  <c r="AL285" i="10" s="1"/>
  <c r="D233" i="6"/>
  <c r="C232" i="6"/>
  <c r="E233" i="6"/>
  <c r="M232" i="6" l="1"/>
  <c r="W286" i="10" s="1"/>
  <c r="Z232" i="6"/>
  <c r="AP286" i="10" s="1"/>
  <c r="C286" i="10"/>
  <c r="Q284" i="10"/>
  <c r="Y284" i="10"/>
  <c r="W231" i="6"/>
  <c r="V231" i="6"/>
  <c r="O231" i="6"/>
  <c r="X232" i="6"/>
  <c r="L232" i="6"/>
  <c r="S286" i="10" s="1"/>
  <c r="Y232" i="6"/>
  <c r="AR286" i="10" s="1"/>
  <c r="N232" i="6"/>
  <c r="U286" i="10" s="1"/>
  <c r="P232" i="6"/>
  <c r="Z286" i="10" s="1"/>
  <c r="R232" i="6"/>
  <c r="AH286" i="10" s="1"/>
  <c r="I232" i="6"/>
  <c r="M286" i="10" s="1"/>
  <c r="Q232" i="6"/>
  <c r="AD286" i="10" s="1"/>
  <c r="G232" i="6"/>
  <c r="I286" i="10" s="1"/>
  <c r="T232" i="6"/>
  <c r="AL286" i="10" s="1"/>
  <c r="F232" i="6"/>
  <c r="G286" i="10" s="1"/>
  <c r="S232" i="6"/>
  <c r="AJ286" i="10" s="1"/>
  <c r="U232" i="6"/>
  <c r="AN286" i="10" s="1"/>
  <c r="H232" i="6"/>
  <c r="K286" i="10" s="1"/>
  <c r="J232" i="6"/>
  <c r="O286" i="10" s="1"/>
  <c r="D234" i="6"/>
  <c r="C233" i="6"/>
  <c r="E234" i="6"/>
  <c r="M233" i="6" l="1"/>
  <c r="W287" i="10" s="1"/>
  <c r="Z233" i="6"/>
  <c r="AP287" i="10" s="1"/>
  <c r="Y285" i="10"/>
  <c r="K231" i="6"/>
  <c r="Q285" i="10" s="1"/>
  <c r="C287" i="10"/>
  <c r="V232" i="6"/>
  <c r="W232" i="6"/>
  <c r="O232" i="6"/>
  <c r="K232" i="6" s="1"/>
  <c r="Y233" i="6"/>
  <c r="AR287" i="10" s="1"/>
  <c r="J233" i="6"/>
  <c r="O287" i="10" s="1"/>
  <c r="S233" i="6"/>
  <c r="AJ287" i="10" s="1"/>
  <c r="P233" i="6"/>
  <c r="Z287" i="10" s="1"/>
  <c r="I233" i="6"/>
  <c r="M287" i="10" s="1"/>
  <c r="N233" i="6"/>
  <c r="U287" i="10" s="1"/>
  <c r="L233" i="6"/>
  <c r="S287" i="10" s="1"/>
  <c r="T233" i="6"/>
  <c r="AL287" i="10" s="1"/>
  <c r="X233" i="6"/>
  <c r="F233" i="6"/>
  <c r="G287" i="10" s="1"/>
  <c r="Q233" i="6"/>
  <c r="AD287" i="10" s="1"/>
  <c r="R233" i="6"/>
  <c r="AH287" i="10" s="1"/>
  <c r="U233" i="6"/>
  <c r="AN287" i="10" s="1"/>
  <c r="H233" i="6"/>
  <c r="K287" i="10" s="1"/>
  <c r="G233" i="6"/>
  <c r="I287" i="10" s="1"/>
  <c r="D235" i="6"/>
  <c r="C234" i="6"/>
  <c r="E235" i="6"/>
  <c r="M234" i="6" l="1"/>
  <c r="W288" i="10" s="1"/>
  <c r="Z234" i="6"/>
  <c r="AP288" i="10" s="1"/>
  <c r="C288" i="10"/>
  <c r="Q286" i="10"/>
  <c r="Y286" i="10"/>
  <c r="W233" i="6"/>
  <c r="V233" i="6"/>
  <c r="Q234" i="6"/>
  <c r="AD288" i="10" s="1"/>
  <c r="S234" i="6"/>
  <c r="AJ288" i="10" s="1"/>
  <c r="F234" i="6"/>
  <c r="G288" i="10" s="1"/>
  <c r="T234" i="6"/>
  <c r="AL288" i="10" s="1"/>
  <c r="I234" i="6"/>
  <c r="M288" i="10" s="1"/>
  <c r="R234" i="6"/>
  <c r="AH288" i="10" s="1"/>
  <c r="U234" i="6"/>
  <c r="AN288" i="10" s="1"/>
  <c r="L234" i="6"/>
  <c r="S288" i="10" s="1"/>
  <c r="Y234" i="6"/>
  <c r="AR288" i="10" s="1"/>
  <c r="H234" i="6"/>
  <c r="K288" i="10" s="1"/>
  <c r="P234" i="6"/>
  <c r="Z288" i="10" s="1"/>
  <c r="J234" i="6"/>
  <c r="O288" i="10" s="1"/>
  <c r="N234" i="6"/>
  <c r="U288" i="10" s="1"/>
  <c r="G234" i="6"/>
  <c r="I288" i="10" s="1"/>
  <c r="X234" i="6"/>
  <c r="O233" i="6"/>
  <c r="D236" i="6"/>
  <c r="C235" i="6"/>
  <c r="E236" i="6"/>
  <c r="M235" i="6" l="1"/>
  <c r="W289" i="10" s="1"/>
  <c r="Z235" i="6"/>
  <c r="AP289" i="10" s="1"/>
  <c r="Y287" i="10"/>
  <c r="K233" i="6"/>
  <c r="Q287" i="10" s="1"/>
  <c r="C289" i="10"/>
  <c r="W234" i="6"/>
  <c r="V234" i="6"/>
  <c r="O234" i="6"/>
  <c r="K234" i="6" s="1"/>
  <c r="J235" i="6"/>
  <c r="O289" i="10" s="1"/>
  <c r="H235" i="6"/>
  <c r="K289" i="10" s="1"/>
  <c r="F235" i="6"/>
  <c r="G289" i="10" s="1"/>
  <c r="U235" i="6"/>
  <c r="AN289" i="10" s="1"/>
  <c r="N235" i="6"/>
  <c r="U289" i="10" s="1"/>
  <c r="G235" i="6"/>
  <c r="I289" i="10" s="1"/>
  <c r="L235" i="6"/>
  <c r="S289" i="10" s="1"/>
  <c r="S235" i="6"/>
  <c r="AJ289" i="10" s="1"/>
  <c r="P235" i="6"/>
  <c r="Z289" i="10" s="1"/>
  <c r="I235" i="6"/>
  <c r="M289" i="10" s="1"/>
  <c r="T235" i="6"/>
  <c r="AL289" i="10" s="1"/>
  <c r="Y235" i="6"/>
  <c r="AR289" i="10" s="1"/>
  <c r="Q235" i="6"/>
  <c r="AD289" i="10" s="1"/>
  <c r="X235" i="6"/>
  <c r="R235" i="6"/>
  <c r="AH289" i="10" s="1"/>
  <c r="D237" i="6"/>
  <c r="C236" i="6"/>
  <c r="E237" i="6"/>
  <c r="M236" i="6" l="1"/>
  <c r="W290" i="10" s="1"/>
  <c r="Z236" i="6"/>
  <c r="AP290" i="10" s="1"/>
  <c r="C290" i="10"/>
  <c r="Q288" i="10"/>
  <c r="Y288" i="10"/>
  <c r="W235" i="6"/>
  <c r="V235" i="6"/>
  <c r="S236" i="6"/>
  <c r="AJ290" i="10" s="1"/>
  <c r="H236" i="6"/>
  <c r="K290" i="10" s="1"/>
  <c r="N236" i="6"/>
  <c r="U290" i="10" s="1"/>
  <c r="U236" i="6"/>
  <c r="AN290" i="10" s="1"/>
  <c r="T236" i="6"/>
  <c r="AL290" i="10" s="1"/>
  <c r="I236" i="6"/>
  <c r="M290" i="10" s="1"/>
  <c r="P236" i="6"/>
  <c r="Z290" i="10" s="1"/>
  <c r="L236" i="6"/>
  <c r="S290" i="10" s="1"/>
  <c r="R236" i="6"/>
  <c r="AH290" i="10" s="1"/>
  <c r="X236" i="6"/>
  <c r="G236" i="6"/>
  <c r="I290" i="10" s="1"/>
  <c r="Q236" i="6"/>
  <c r="AD290" i="10" s="1"/>
  <c r="Y236" i="6"/>
  <c r="AR290" i="10" s="1"/>
  <c r="F236" i="6"/>
  <c r="G290" i="10" s="1"/>
  <c r="J236" i="6"/>
  <c r="O290" i="10" s="1"/>
  <c r="O235" i="6"/>
  <c r="D238" i="6"/>
  <c r="C237" i="6"/>
  <c r="E238" i="6"/>
  <c r="M237" i="6" l="1"/>
  <c r="W291" i="10" s="1"/>
  <c r="Z237" i="6"/>
  <c r="AP291" i="10" s="1"/>
  <c r="Y289" i="10"/>
  <c r="K235" i="6"/>
  <c r="Q289" i="10" s="1"/>
  <c r="C291" i="10"/>
  <c r="V236" i="6"/>
  <c r="W236" i="6"/>
  <c r="O236" i="6"/>
  <c r="K236" i="6" s="1"/>
  <c r="S237" i="6"/>
  <c r="AJ291" i="10" s="1"/>
  <c r="I237" i="6"/>
  <c r="M291" i="10" s="1"/>
  <c r="R237" i="6"/>
  <c r="AH291" i="10" s="1"/>
  <c r="Q237" i="6"/>
  <c r="AD291" i="10" s="1"/>
  <c r="Y237" i="6"/>
  <c r="AR291" i="10" s="1"/>
  <c r="J237" i="6"/>
  <c r="O291" i="10" s="1"/>
  <c r="U237" i="6"/>
  <c r="AN291" i="10" s="1"/>
  <c r="X237" i="6"/>
  <c r="N237" i="6"/>
  <c r="U291" i="10" s="1"/>
  <c r="L237" i="6"/>
  <c r="S291" i="10" s="1"/>
  <c r="P237" i="6"/>
  <c r="Z291" i="10" s="1"/>
  <c r="H237" i="6"/>
  <c r="K291" i="10" s="1"/>
  <c r="G237" i="6"/>
  <c r="I291" i="10" s="1"/>
  <c r="F237" i="6"/>
  <c r="G291" i="10" s="1"/>
  <c r="T237" i="6"/>
  <c r="AL291" i="10" s="1"/>
  <c r="D239" i="6"/>
  <c r="C238" i="6"/>
  <c r="E239" i="6"/>
  <c r="M238" i="6" l="1"/>
  <c r="W292" i="10" s="1"/>
  <c r="Z238" i="6"/>
  <c r="AP292" i="10" s="1"/>
  <c r="C292" i="10"/>
  <c r="Q290" i="10"/>
  <c r="Y290" i="10"/>
  <c r="V237" i="6"/>
  <c r="W237" i="6"/>
  <c r="H238" i="6"/>
  <c r="K292" i="10" s="1"/>
  <c r="N238" i="6"/>
  <c r="U292" i="10" s="1"/>
  <c r="T238" i="6"/>
  <c r="AL292" i="10" s="1"/>
  <c r="P238" i="6"/>
  <c r="Z292" i="10" s="1"/>
  <c r="S238" i="6"/>
  <c r="AJ292" i="10" s="1"/>
  <c r="Y238" i="6"/>
  <c r="AR292" i="10" s="1"/>
  <c r="X238" i="6"/>
  <c r="U238" i="6"/>
  <c r="AN292" i="10" s="1"/>
  <c r="G238" i="6"/>
  <c r="I292" i="10" s="1"/>
  <c r="L238" i="6"/>
  <c r="S292" i="10" s="1"/>
  <c r="R238" i="6"/>
  <c r="AH292" i="10" s="1"/>
  <c r="J238" i="6"/>
  <c r="O292" i="10" s="1"/>
  <c r="F238" i="6"/>
  <c r="G292" i="10" s="1"/>
  <c r="I238" i="6"/>
  <c r="M292" i="10" s="1"/>
  <c r="Q238" i="6"/>
  <c r="AD292" i="10" s="1"/>
  <c r="O237" i="6"/>
  <c r="D240" i="6"/>
  <c r="C239" i="6"/>
  <c r="E240" i="6"/>
  <c r="M239" i="6" l="1"/>
  <c r="W293" i="10" s="1"/>
  <c r="Z239" i="6"/>
  <c r="AP293" i="10" s="1"/>
  <c r="Y291" i="10"/>
  <c r="K237" i="6"/>
  <c r="Q291" i="10" s="1"/>
  <c r="C293" i="10"/>
  <c r="V238" i="6"/>
  <c r="W238" i="6"/>
  <c r="O238" i="6"/>
  <c r="K238" i="6" s="1"/>
  <c r="R239" i="6"/>
  <c r="AH293" i="10" s="1"/>
  <c r="U239" i="6"/>
  <c r="AN293" i="10" s="1"/>
  <c r="G239" i="6"/>
  <c r="I293" i="10" s="1"/>
  <c r="L239" i="6"/>
  <c r="S293" i="10" s="1"/>
  <c r="J239" i="6"/>
  <c r="O293" i="10" s="1"/>
  <c r="S239" i="6"/>
  <c r="AJ293" i="10" s="1"/>
  <c r="N239" i="6"/>
  <c r="U293" i="10" s="1"/>
  <c r="Y239" i="6"/>
  <c r="AR293" i="10" s="1"/>
  <c r="X239" i="6"/>
  <c r="T239" i="6"/>
  <c r="AL293" i="10" s="1"/>
  <c r="P239" i="6"/>
  <c r="Z293" i="10" s="1"/>
  <c r="Q239" i="6"/>
  <c r="AD293" i="10" s="1"/>
  <c r="F239" i="6"/>
  <c r="G293" i="10" s="1"/>
  <c r="I239" i="6"/>
  <c r="M293" i="10" s="1"/>
  <c r="H239" i="6"/>
  <c r="K293" i="10" s="1"/>
  <c r="D241" i="6"/>
  <c r="C240" i="6"/>
  <c r="E241" i="6"/>
  <c r="M240" i="6" l="1"/>
  <c r="W294" i="10" s="1"/>
  <c r="Z240" i="6"/>
  <c r="AP294" i="10" s="1"/>
  <c r="C294" i="10"/>
  <c r="Q292" i="10"/>
  <c r="Y292" i="10"/>
  <c r="V239" i="6"/>
  <c r="W239" i="6"/>
  <c r="O239" i="6"/>
  <c r="U240" i="6"/>
  <c r="AN294" i="10" s="1"/>
  <c r="Y240" i="6"/>
  <c r="AR294" i="10" s="1"/>
  <c r="G240" i="6"/>
  <c r="I294" i="10" s="1"/>
  <c r="J240" i="6"/>
  <c r="O294" i="10" s="1"/>
  <c r="R240" i="6"/>
  <c r="AH294" i="10" s="1"/>
  <c r="Q240" i="6"/>
  <c r="AD294" i="10" s="1"/>
  <c r="X240" i="6"/>
  <c r="F240" i="6"/>
  <c r="G294" i="10" s="1"/>
  <c r="L240" i="6"/>
  <c r="S294" i="10" s="1"/>
  <c r="S240" i="6"/>
  <c r="AJ294" i="10" s="1"/>
  <c r="H240" i="6"/>
  <c r="K294" i="10" s="1"/>
  <c r="N240" i="6"/>
  <c r="U294" i="10" s="1"/>
  <c r="P240" i="6"/>
  <c r="Z294" i="10" s="1"/>
  <c r="T240" i="6"/>
  <c r="AL294" i="10" s="1"/>
  <c r="I240" i="6"/>
  <c r="M294" i="10" s="1"/>
  <c r="D242" i="6"/>
  <c r="C241" i="6"/>
  <c r="E242" i="6"/>
  <c r="M241" i="6" l="1"/>
  <c r="W295" i="10" s="1"/>
  <c r="Z241" i="6"/>
  <c r="AP295" i="10" s="1"/>
  <c r="Y293" i="10"/>
  <c r="K239" i="6"/>
  <c r="Q293" i="10" s="1"/>
  <c r="C295" i="10"/>
  <c r="W240" i="6"/>
  <c r="V240" i="6"/>
  <c r="O240" i="6"/>
  <c r="I241" i="6"/>
  <c r="M295" i="10" s="1"/>
  <c r="L241" i="6"/>
  <c r="S295" i="10" s="1"/>
  <c r="X241" i="6"/>
  <c r="J241" i="6"/>
  <c r="O295" i="10" s="1"/>
  <c r="N241" i="6"/>
  <c r="U295" i="10" s="1"/>
  <c r="S241" i="6"/>
  <c r="AJ295" i="10" s="1"/>
  <c r="R241" i="6"/>
  <c r="AH295" i="10" s="1"/>
  <c r="H241" i="6"/>
  <c r="K295" i="10" s="1"/>
  <c r="T241" i="6"/>
  <c r="AL295" i="10" s="1"/>
  <c r="F241" i="6"/>
  <c r="G295" i="10" s="1"/>
  <c r="P241" i="6"/>
  <c r="Z295" i="10" s="1"/>
  <c r="G241" i="6"/>
  <c r="I295" i="10" s="1"/>
  <c r="U241" i="6"/>
  <c r="AN295" i="10" s="1"/>
  <c r="Y241" i="6"/>
  <c r="AR295" i="10" s="1"/>
  <c r="Q241" i="6"/>
  <c r="AD295" i="10" s="1"/>
  <c r="D243" i="6"/>
  <c r="C242" i="6"/>
  <c r="E243" i="6"/>
  <c r="M242" i="6" l="1"/>
  <c r="W296" i="10" s="1"/>
  <c r="Z242" i="6"/>
  <c r="AP296" i="10" s="1"/>
  <c r="Y294" i="10"/>
  <c r="K240" i="6"/>
  <c r="Q294" i="10" s="1"/>
  <c r="C296" i="10"/>
  <c r="V241" i="6"/>
  <c r="W241" i="6"/>
  <c r="L242" i="6"/>
  <c r="S296" i="10" s="1"/>
  <c r="H242" i="6"/>
  <c r="K296" i="10" s="1"/>
  <c r="Y242" i="6"/>
  <c r="AR296" i="10" s="1"/>
  <c r="F242" i="6"/>
  <c r="G296" i="10" s="1"/>
  <c r="U242" i="6"/>
  <c r="AN296" i="10" s="1"/>
  <c r="N242" i="6"/>
  <c r="U296" i="10" s="1"/>
  <c r="I242" i="6"/>
  <c r="M296" i="10" s="1"/>
  <c r="S242" i="6"/>
  <c r="AJ296" i="10" s="1"/>
  <c r="Q242" i="6"/>
  <c r="AD296" i="10" s="1"/>
  <c r="P242" i="6"/>
  <c r="Z296" i="10" s="1"/>
  <c r="T242" i="6"/>
  <c r="AL296" i="10" s="1"/>
  <c r="J242" i="6"/>
  <c r="O296" i="10" s="1"/>
  <c r="R242" i="6"/>
  <c r="AH296" i="10" s="1"/>
  <c r="X242" i="6"/>
  <c r="G242" i="6"/>
  <c r="I296" i="10" s="1"/>
  <c r="O241" i="6"/>
  <c r="D244" i="6"/>
  <c r="C243" i="6"/>
  <c r="E244" i="6"/>
  <c r="M243" i="6" l="1"/>
  <c r="W297" i="10" s="1"/>
  <c r="Z243" i="6"/>
  <c r="AP297" i="10" s="1"/>
  <c r="Y295" i="10"/>
  <c r="K241" i="6"/>
  <c r="Q295" i="10" s="1"/>
  <c r="C297" i="10"/>
  <c r="V242" i="6"/>
  <c r="W242" i="6"/>
  <c r="L243" i="6"/>
  <c r="S297" i="10" s="1"/>
  <c r="Q243" i="6"/>
  <c r="AD297" i="10" s="1"/>
  <c r="G243" i="6"/>
  <c r="I297" i="10" s="1"/>
  <c r="Y243" i="6"/>
  <c r="AR297" i="10" s="1"/>
  <c r="H243" i="6"/>
  <c r="K297" i="10" s="1"/>
  <c r="R243" i="6"/>
  <c r="AH297" i="10" s="1"/>
  <c r="U243" i="6"/>
  <c r="AN297" i="10" s="1"/>
  <c r="I243" i="6"/>
  <c r="M297" i="10" s="1"/>
  <c r="P243" i="6"/>
  <c r="Z297" i="10" s="1"/>
  <c r="X243" i="6"/>
  <c r="J243" i="6"/>
  <c r="O297" i="10" s="1"/>
  <c r="S243" i="6"/>
  <c r="AJ297" i="10" s="1"/>
  <c r="N243" i="6"/>
  <c r="U297" i="10" s="1"/>
  <c r="T243" i="6"/>
  <c r="AL297" i="10" s="1"/>
  <c r="F243" i="6"/>
  <c r="G297" i="10" s="1"/>
  <c r="O242" i="6"/>
  <c r="D245" i="6"/>
  <c r="C244" i="6"/>
  <c r="E245" i="6"/>
  <c r="M244" i="6" l="1"/>
  <c r="W298" i="10" s="1"/>
  <c r="Z244" i="6"/>
  <c r="AP298" i="10" s="1"/>
  <c r="Y296" i="10"/>
  <c r="K242" i="6"/>
  <c r="Q296" i="10" s="1"/>
  <c r="C298" i="10"/>
  <c r="W243" i="6"/>
  <c r="V243" i="6"/>
  <c r="N244" i="6"/>
  <c r="U298" i="10" s="1"/>
  <c r="S244" i="6"/>
  <c r="AJ298" i="10" s="1"/>
  <c r="I244" i="6"/>
  <c r="M298" i="10" s="1"/>
  <c r="P244" i="6"/>
  <c r="Z298" i="10" s="1"/>
  <c r="F244" i="6"/>
  <c r="G298" i="10" s="1"/>
  <c r="T244" i="6"/>
  <c r="AL298" i="10" s="1"/>
  <c r="Y244" i="6"/>
  <c r="AR298" i="10" s="1"/>
  <c r="J244" i="6"/>
  <c r="O298" i="10" s="1"/>
  <c r="G244" i="6"/>
  <c r="I298" i="10" s="1"/>
  <c r="L244" i="6"/>
  <c r="S298" i="10" s="1"/>
  <c r="R244" i="6"/>
  <c r="AH298" i="10" s="1"/>
  <c r="H244" i="6"/>
  <c r="K298" i="10" s="1"/>
  <c r="Q244" i="6"/>
  <c r="AD298" i="10" s="1"/>
  <c r="U244" i="6"/>
  <c r="AN298" i="10" s="1"/>
  <c r="X244" i="6"/>
  <c r="O243" i="6"/>
  <c r="K243" i="6" s="1"/>
  <c r="D246" i="6"/>
  <c r="C245" i="6"/>
  <c r="E246" i="6"/>
  <c r="M245" i="6" l="1"/>
  <c r="W299" i="10" s="1"/>
  <c r="Z245" i="6"/>
  <c r="AP299" i="10" s="1"/>
  <c r="C299" i="10"/>
  <c r="Q297" i="10"/>
  <c r="Y297" i="10"/>
  <c r="W244" i="6"/>
  <c r="V244" i="6"/>
  <c r="O244" i="6"/>
  <c r="G245" i="6"/>
  <c r="I299" i="10" s="1"/>
  <c r="H245" i="6"/>
  <c r="K299" i="10" s="1"/>
  <c r="X245" i="6"/>
  <c r="P245" i="6"/>
  <c r="Z299" i="10" s="1"/>
  <c r="T245" i="6"/>
  <c r="AL299" i="10" s="1"/>
  <c r="L245" i="6"/>
  <c r="S299" i="10" s="1"/>
  <c r="J245" i="6"/>
  <c r="O299" i="10" s="1"/>
  <c r="F245" i="6"/>
  <c r="G299" i="10" s="1"/>
  <c r="S245" i="6"/>
  <c r="AJ299" i="10" s="1"/>
  <c r="U245" i="6"/>
  <c r="AN299" i="10" s="1"/>
  <c r="N245" i="6"/>
  <c r="U299" i="10" s="1"/>
  <c r="R245" i="6"/>
  <c r="AH299" i="10" s="1"/>
  <c r="Y245" i="6"/>
  <c r="AR299" i="10" s="1"/>
  <c r="I245" i="6"/>
  <c r="M299" i="10" s="1"/>
  <c r="Q245" i="6"/>
  <c r="AD299" i="10" s="1"/>
  <c r="D247" i="6"/>
  <c r="C246" i="6"/>
  <c r="E247" i="6"/>
  <c r="M246" i="6" l="1"/>
  <c r="W300" i="10" s="1"/>
  <c r="Z246" i="6"/>
  <c r="AP300" i="10" s="1"/>
  <c r="Y298" i="10"/>
  <c r="K244" i="6"/>
  <c r="Q298" i="10" s="1"/>
  <c r="C300" i="10"/>
  <c r="W245" i="6"/>
  <c r="V245" i="6"/>
  <c r="Q246" i="6"/>
  <c r="AD300" i="10" s="1"/>
  <c r="S246" i="6"/>
  <c r="AJ300" i="10" s="1"/>
  <c r="X246" i="6"/>
  <c r="T246" i="6"/>
  <c r="AL300" i="10" s="1"/>
  <c r="P246" i="6"/>
  <c r="Z300" i="10" s="1"/>
  <c r="J246" i="6"/>
  <c r="O300" i="10" s="1"/>
  <c r="L246" i="6"/>
  <c r="S300" i="10" s="1"/>
  <c r="U246" i="6"/>
  <c r="AN300" i="10" s="1"/>
  <c r="F246" i="6"/>
  <c r="G300" i="10" s="1"/>
  <c r="I246" i="6"/>
  <c r="M300" i="10" s="1"/>
  <c r="N246" i="6"/>
  <c r="U300" i="10" s="1"/>
  <c r="R246" i="6"/>
  <c r="AH300" i="10" s="1"/>
  <c r="G246" i="6"/>
  <c r="I300" i="10" s="1"/>
  <c r="H246" i="6"/>
  <c r="K300" i="10" s="1"/>
  <c r="Y246" i="6"/>
  <c r="AR300" i="10" s="1"/>
  <c r="O245" i="6"/>
  <c r="D248" i="6"/>
  <c r="C247" i="6"/>
  <c r="E248" i="6"/>
  <c r="M247" i="6" l="1"/>
  <c r="W301" i="10" s="1"/>
  <c r="Z247" i="6"/>
  <c r="AP301" i="10" s="1"/>
  <c r="Y299" i="10"/>
  <c r="K245" i="6"/>
  <c r="Q299" i="10" s="1"/>
  <c r="C301" i="10"/>
  <c r="V246" i="6"/>
  <c r="W246" i="6"/>
  <c r="O246" i="6"/>
  <c r="K246" i="6" s="1"/>
  <c r="I247" i="6"/>
  <c r="M301" i="10" s="1"/>
  <c r="T247" i="6"/>
  <c r="AL301" i="10" s="1"/>
  <c r="H247" i="6"/>
  <c r="K301" i="10" s="1"/>
  <c r="F247" i="6"/>
  <c r="G301" i="10" s="1"/>
  <c r="P247" i="6"/>
  <c r="Z301" i="10" s="1"/>
  <c r="Q247" i="6"/>
  <c r="AD301" i="10" s="1"/>
  <c r="J247" i="6"/>
  <c r="O301" i="10" s="1"/>
  <c r="G247" i="6"/>
  <c r="I301" i="10" s="1"/>
  <c r="L247" i="6"/>
  <c r="S301" i="10" s="1"/>
  <c r="U247" i="6"/>
  <c r="AN301" i="10" s="1"/>
  <c r="Y247" i="6"/>
  <c r="AR301" i="10" s="1"/>
  <c r="X247" i="6"/>
  <c r="N247" i="6"/>
  <c r="U301" i="10" s="1"/>
  <c r="S247" i="6"/>
  <c r="AJ301" i="10" s="1"/>
  <c r="R247" i="6"/>
  <c r="AH301" i="10" s="1"/>
  <c r="D249" i="6"/>
  <c r="C248" i="6"/>
  <c r="E249" i="6"/>
  <c r="M248" i="6" l="1"/>
  <c r="W302" i="10" s="1"/>
  <c r="Z248" i="6"/>
  <c r="AP302" i="10" s="1"/>
  <c r="C302" i="10"/>
  <c r="Q300" i="10"/>
  <c r="Y300" i="10"/>
  <c r="W247" i="6"/>
  <c r="V247" i="6"/>
  <c r="J248" i="6"/>
  <c r="O302" i="10" s="1"/>
  <c r="N248" i="6"/>
  <c r="U302" i="10" s="1"/>
  <c r="P248" i="6"/>
  <c r="Z302" i="10" s="1"/>
  <c r="S248" i="6"/>
  <c r="AJ302" i="10" s="1"/>
  <c r="Y248" i="6"/>
  <c r="AR302" i="10" s="1"/>
  <c r="U248" i="6"/>
  <c r="AN302" i="10" s="1"/>
  <c r="R248" i="6"/>
  <c r="AH302" i="10" s="1"/>
  <c r="T248" i="6"/>
  <c r="AL302" i="10" s="1"/>
  <c r="F248" i="6"/>
  <c r="G302" i="10" s="1"/>
  <c r="I248" i="6"/>
  <c r="M302" i="10" s="1"/>
  <c r="H248" i="6"/>
  <c r="K302" i="10" s="1"/>
  <c r="Q248" i="6"/>
  <c r="AD302" i="10" s="1"/>
  <c r="G248" i="6"/>
  <c r="I302" i="10" s="1"/>
  <c r="L248" i="6"/>
  <c r="S302" i="10" s="1"/>
  <c r="X248" i="6"/>
  <c r="O247" i="6"/>
  <c r="D250" i="6"/>
  <c r="C249" i="6"/>
  <c r="E250" i="6"/>
  <c r="M249" i="6" l="1"/>
  <c r="W303" i="10" s="1"/>
  <c r="Z249" i="6"/>
  <c r="AP303" i="10" s="1"/>
  <c r="Y301" i="10"/>
  <c r="K247" i="6"/>
  <c r="Q301" i="10" s="1"/>
  <c r="C303" i="10"/>
  <c r="W248" i="6"/>
  <c r="V248" i="6"/>
  <c r="Y249" i="6"/>
  <c r="AR303" i="10" s="1"/>
  <c r="N249" i="6"/>
  <c r="U303" i="10" s="1"/>
  <c r="L249" i="6"/>
  <c r="S303" i="10" s="1"/>
  <c r="S249" i="6"/>
  <c r="AJ303" i="10" s="1"/>
  <c r="X249" i="6"/>
  <c r="P249" i="6"/>
  <c r="Z303" i="10" s="1"/>
  <c r="U249" i="6"/>
  <c r="AN303" i="10" s="1"/>
  <c r="T249" i="6"/>
  <c r="AL303" i="10" s="1"/>
  <c r="J249" i="6"/>
  <c r="O303" i="10" s="1"/>
  <c r="H249" i="6"/>
  <c r="K303" i="10" s="1"/>
  <c r="I249" i="6"/>
  <c r="M303" i="10" s="1"/>
  <c r="F249" i="6"/>
  <c r="G303" i="10" s="1"/>
  <c r="G249" i="6"/>
  <c r="I303" i="10" s="1"/>
  <c r="Q249" i="6"/>
  <c r="AD303" i="10" s="1"/>
  <c r="R249" i="6"/>
  <c r="AH303" i="10" s="1"/>
  <c r="O248" i="6"/>
  <c r="D251" i="6"/>
  <c r="C250" i="6"/>
  <c r="E251" i="6"/>
  <c r="M250" i="6" l="1"/>
  <c r="W304" i="10" s="1"/>
  <c r="Z250" i="6"/>
  <c r="AP304" i="10" s="1"/>
  <c r="Y302" i="10"/>
  <c r="K248" i="6"/>
  <c r="Q302" i="10" s="1"/>
  <c r="C304" i="10"/>
  <c r="W249" i="6"/>
  <c r="V249" i="6"/>
  <c r="F250" i="6"/>
  <c r="G304" i="10" s="1"/>
  <c r="J250" i="6"/>
  <c r="O304" i="10" s="1"/>
  <c r="I250" i="6"/>
  <c r="M304" i="10" s="1"/>
  <c r="H250" i="6"/>
  <c r="K304" i="10" s="1"/>
  <c r="N250" i="6"/>
  <c r="U304" i="10" s="1"/>
  <c r="U250" i="6"/>
  <c r="AN304" i="10" s="1"/>
  <c r="G250" i="6"/>
  <c r="I304" i="10" s="1"/>
  <c r="L250" i="6"/>
  <c r="S304" i="10" s="1"/>
  <c r="X250" i="6"/>
  <c r="Q250" i="6"/>
  <c r="AD304" i="10" s="1"/>
  <c r="T250" i="6"/>
  <c r="AL304" i="10" s="1"/>
  <c r="R250" i="6"/>
  <c r="AH304" i="10" s="1"/>
  <c r="Y250" i="6"/>
  <c r="AR304" i="10" s="1"/>
  <c r="S250" i="6"/>
  <c r="AJ304" i="10" s="1"/>
  <c r="P250" i="6"/>
  <c r="Z304" i="10" s="1"/>
  <c r="O249" i="6"/>
  <c r="K249" i="6" s="1"/>
  <c r="D252" i="6"/>
  <c r="C251" i="6"/>
  <c r="E252" i="6"/>
  <c r="M251" i="6" l="1"/>
  <c r="W305" i="10" s="1"/>
  <c r="Z251" i="6"/>
  <c r="AP305" i="10" s="1"/>
  <c r="C305" i="10"/>
  <c r="Q303" i="10"/>
  <c r="Y303" i="10"/>
  <c r="W250" i="6"/>
  <c r="V250" i="6"/>
  <c r="O250" i="6"/>
  <c r="K250" i="6" s="1"/>
  <c r="H251" i="6"/>
  <c r="K305" i="10" s="1"/>
  <c r="X251" i="6"/>
  <c r="G251" i="6"/>
  <c r="I305" i="10" s="1"/>
  <c r="R251" i="6"/>
  <c r="AH305" i="10" s="1"/>
  <c r="L251" i="6"/>
  <c r="S305" i="10" s="1"/>
  <c r="N251" i="6"/>
  <c r="U305" i="10" s="1"/>
  <c r="Y251" i="6"/>
  <c r="AR305" i="10" s="1"/>
  <c r="F251" i="6"/>
  <c r="G305" i="10" s="1"/>
  <c r="S251" i="6"/>
  <c r="AJ305" i="10" s="1"/>
  <c r="P251" i="6"/>
  <c r="Z305" i="10" s="1"/>
  <c r="I251" i="6"/>
  <c r="M305" i="10" s="1"/>
  <c r="J251" i="6"/>
  <c r="O305" i="10" s="1"/>
  <c r="U251" i="6"/>
  <c r="AN305" i="10" s="1"/>
  <c r="Q251" i="6"/>
  <c r="AD305" i="10" s="1"/>
  <c r="T251" i="6"/>
  <c r="AL305" i="10" s="1"/>
  <c r="D253" i="6"/>
  <c r="C252" i="6"/>
  <c r="E253" i="6"/>
  <c r="M252" i="6" l="1"/>
  <c r="W306" i="10" s="1"/>
  <c r="Z252" i="6"/>
  <c r="AP306" i="10" s="1"/>
  <c r="C306" i="10"/>
  <c r="Q304" i="10"/>
  <c r="Y304" i="10"/>
  <c r="V251" i="6"/>
  <c r="W251" i="6"/>
  <c r="O251" i="6"/>
  <c r="K251" i="6" s="1"/>
  <c r="R252" i="6"/>
  <c r="AH306" i="10" s="1"/>
  <c r="F252" i="6"/>
  <c r="G306" i="10" s="1"/>
  <c r="S252" i="6"/>
  <c r="AJ306" i="10" s="1"/>
  <c r="Q252" i="6"/>
  <c r="AD306" i="10" s="1"/>
  <c r="P252" i="6"/>
  <c r="Z306" i="10" s="1"/>
  <c r="G252" i="6"/>
  <c r="I306" i="10" s="1"/>
  <c r="L252" i="6"/>
  <c r="S306" i="10" s="1"/>
  <c r="H252" i="6"/>
  <c r="K306" i="10" s="1"/>
  <c r="T252" i="6"/>
  <c r="AL306" i="10" s="1"/>
  <c r="X252" i="6"/>
  <c r="N252" i="6"/>
  <c r="U306" i="10" s="1"/>
  <c r="I252" i="6"/>
  <c r="M306" i="10" s="1"/>
  <c r="Y252" i="6"/>
  <c r="AR306" i="10" s="1"/>
  <c r="U252" i="6"/>
  <c r="AN306" i="10" s="1"/>
  <c r="J252" i="6"/>
  <c r="O306" i="10" s="1"/>
  <c r="D254" i="6"/>
  <c r="C253" i="6"/>
  <c r="E254" i="6"/>
  <c r="M253" i="6" l="1"/>
  <c r="W307" i="10" s="1"/>
  <c r="Z253" i="6"/>
  <c r="AP307" i="10" s="1"/>
  <c r="C307" i="10"/>
  <c r="Q305" i="10"/>
  <c r="Y305" i="10"/>
  <c r="W252" i="6"/>
  <c r="V252" i="6"/>
  <c r="O252" i="6"/>
  <c r="K252" i="6" s="1"/>
  <c r="Q253" i="6"/>
  <c r="AD307" i="10" s="1"/>
  <c r="S253" i="6"/>
  <c r="AJ307" i="10" s="1"/>
  <c r="X253" i="6"/>
  <c r="F253" i="6"/>
  <c r="G307" i="10" s="1"/>
  <c r="R253" i="6"/>
  <c r="AH307" i="10" s="1"/>
  <c r="J253" i="6"/>
  <c r="O307" i="10" s="1"/>
  <c r="P253" i="6"/>
  <c r="Z307" i="10" s="1"/>
  <c r="U253" i="6"/>
  <c r="AN307" i="10" s="1"/>
  <c r="G253" i="6"/>
  <c r="I307" i="10" s="1"/>
  <c r="L253" i="6"/>
  <c r="S307" i="10" s="1"/>
  <c r="N253" i="6"/>
  <c r="U307" i="10" s="1"/>
  <c r="Y253" i="6"/>
  <c r="AR307" i="10" s="1"/>
  <c r="H253" i="6"/>
  <c r="K307" i="10" s="1"/>
  <c r="I253" i="6"/>
  <c r="M307" i="10" s="1"/>
  <c r="T253" i="6"/>
  <c r="AL307" i="10" s="1"/>
  <c r="D255" i="6"/>
  <c r="C254" i="6"/>
  <c r="E255" i="6"/>
  <c r="M254" i="6" l="1"/>
  <c r="W308" i="10" s="1"/>
  <c r="Z254" i="6"/>
  <c r="AP308" i="10" s="1"/>
  <c r="C308" i="10"/>
  <c r="Q306" i="10"/>
  <c r="Y306" i="10"/>
  <c r="W253" i="6"/>
  <c r="V253" i="6"/>
  <c r="I254" i="6"/>
  <c r="M308" i="10" s="1"/>
  <c r="P254" i="6"/>
  <c r="Z308" i="10" s="1"/>
  <c r="S254" i="6"/>
  <c r="AJ308" i="10" s="1"/>
  <c r="U254" i="6"/>
  <c r="AN308" i="10" s="1"/>
  <c r="F254" i="6"/>
  <c r="G308" i="10" s="1"/>
  <c r="Y254" i="6"/>
  <c r="AR308" i="10" s="1"/>
  <c r="L254" i="6"/>
  <c r="S308" i="10" s="1"/>
  <c r="X254" i="6"/>
  <c r="N254" i="6"/>
  <c r="U308" i="10" s="1"/>
  <c r="H254" i="6"/>
  <c r="K308" i="10" s="1"/>
  <c r="T254" i="6"/>
  <c r="AL308" i="10" s="1"/>
  <c r="J254" i="6"/>
  <c r="O308" i="10" s="1"/>
  <c r="Q254" i="6"/>
  <c r="AD308" i="10" s="1"/>
  <c r="G254" i="6"/>
  <c r="I308" i="10" s="1"/>
  <c r="R254" i="6"/>
  <c r="AH308" i="10" s="1"/>
  <c r="O253" i="6"/>
  <c r="D256" i="6"/>
  <c r="C255" i="6"/>
  <c r="E256" i="6"/>
  <c r="M255" i="6" l="1"/>
  <c r="W309" i="10" s="1"/>
  <c r="Z255" i="6"/>
  <c r="AP309" i="10" s="1"/>
  <c r="Y307" i="10"/>
  <c r="K253" i="6"/>
  <c r="Q307" i="10" s="1"/>
  <c r="C309" i="10"/>
  <c r="V254" i="6"/>
  <c r="W254" i="6"/>
  <c r="O254" i="6"/>
  <c r="K254" i="6" s="1"/>
  <c r="P255" i="6"/>
  <c r="Z309" i="10" s="1"/>
  <c r="Y255" i="6"/>
  <c r="AR309" i="10" s="1"/>
  <c r="F255" i="6"/>
  <c r="G309" i="10" s="1"/>
  <c r="H255" i="6"/>
  <c r="K309" i="10" s="1"/>
  <c r="U255" i="6"/>
  <c r="AN309" i="10" s="1"/>
  <c r="S255" i="6"/>
  <c r="AJ309" i="10" s="1"/>
  <c r="J255" i="6"/>
  <c r="O309" i="10" s="1"/>
  <c r="T255" i="6"/>
  <c r="AL309" i="10" s="1"/>
  <c r="Q255" i="6"/>
  <c r="AD309" i="10" s="1"/>
  <c r="G255" i="6"/>
  <c r="I309" i="10" s="1"/>
  <c r="L255" i="6"/>
  <c r="S309" i="10" s="1"/>
  <c r="X255" i="6"/>
  <c r="N255" i="6"/>
  <c r="U309" i="10" s="1"/>
  <c r="I255" i="6"/>
  <c r="M309" i="10" s="1"/>
  <c r="R255" i="6"/>
  <c r="AH309" i="10" s="1"/>
  <c r="D257" i="6"/>
  <c r="C256" i="6"/>
  <c r="E257" i="6"/>
  <c r="M256" i="6" l="1"/>
  <c r="W310" i="10" s="1"/>
  <c r="Z256" i="6"/>
  <c r="AP310" i="10" s="1"/>
  <c r="C310" i="10"/>
  <c r="Q308" i="10"/>
  <c r="Y308" i="10"/>
  <c r="W255" i="6"/>
  <c r="V255" i="6"/>
  <c r="O255" i="6"/>
  <c r="L256" i="6"/>
  <c r="S310" i="10" s="1"/>
  <c r="S256" i="6"/>
  <c r="AJ310" i="10" s="1"/>
  <c r="Q256" i="6"/>
  <c r="AD310" i="10" s="1"/>
  <c r="H256" i="6"/>
  <c r="K310" i="10" s="1"/>
  <c r="N256" i="6"/>
  <c r="U310" i="10" s="1"/>
  <c r="T256" i="6"/>
  <c r="AL310" i="10" s="1"/>
  <c r="P256" i="6"/>
  <c r="Z310" i="10" s="1"/>
  <c r="X256" i="6"/>
  <c r="J256" i="6"/>
  <c r="O310" i="10" s="1"/>
  <c r="Y256" i="6"/>
  <c r="AR310" i="10" s="1"/>
  <c r="G256" i="6"/>
  <c r="I310" i="10" s="1"/>
  <c r="F256" i="6"/>
  <c r="G310" i="10" s="1"/>
  <c r="R256" i="6"/>
  <c r="AH310" i="10" s="1"/>
  <c r="I256" i="6"/>
  <c r="M310" i="10" s="1"/>
  <c r="U256" i="6"/>
  <c r="AN310" i="10" s="1"/>
  <c r="D258" i="6"/>
  <c r="C257" i="6"/>
  <c r="E258" i="6"/>
  <c r="M257" i="6" l="1"/>
  <c r="W311" i="10" s="1"/>
  <c r="Z257" i="6"/>
  <c r="AP311" i="10" s="1"/>
  <c r="Y309" i="10"/>
  <c r="K255" i="6"/>
  <c r="Q309" i="10" s="1"/>
  <c r="C311" i="10"/>
  <c r="W256" i="6"/>
  <c r="V256" i="6"/>
  <c r="O256" i="6"/>
  <c r="T257" i="6"/>
  <c r="AL311" i="10" s="1"/>
  <c r="X257" i="6"/>
  <c r="F257" i="6"/>
  <c r="G311" i="10" s="1"/>
  <c r="N257" i="6"/>
  <c r="U311" i="10" s="1"/>
  <c r="H257" i="6"/>
  <c r="K311" i="10" s="1"/>
  <c r="S257" i="6"/>
  <c r="AJ311" i="10" s="1"/>
  <c r="J257" i="6"/>
  <c r="O311" i="10" s="1"/>
  <c r="P257" i="6"/>
  <c r="Z311" i="10" s="1"/>
  <c r="Q257" i="6"/>
  <c r="AD311" i="10" s="1"/>
  <c r="U257" i="6"/>
  <c r="AN311" i="10" s="1"/>
  <c r="G257" i="6"/>
  <c r="I311" i="10" s="1"/>
  <c r="R257" i="6"/>
  <c r="AH311" i="10" s="1"/>
  <c r="I257" i="6"/>
  <c r="M311" i="10" s="1"/>
  <c r="L257" i="6"/>
  <c r="S311" i="10" s="1"/>
  <c r="Y257" i="6"/>
  <c r="AR311" i="10" s="1"/>
  <c r="D259" i="6"/>
  <c r="C258" i="6"/>
  <c r="E259" i="6"/>
  <c r="M258" i="6" l="1"/>
  <c r="W312" i="10" s="1"/>
  <c r="Z258" i="6"/>
  <c r="AP312" i="10" s="1"/>
  <c r="Y310" i="10"/>
  <c r="K256" i="6"/>
  <c r="Q310" i="10" s="1"/>
  <c r="C312" i="10"/>
  <c r="V257" i="6"/>
  <c r="W257" i="6"/>
  <c r="S258" i="6"/>
  <c r="AJ312" i="10" s="1"/>
  <c r="H258" i="6"/>
  <c r="K312" i="10" s="1"/>
  <c r="N258" i="6"/>
  <c r="U312" i="10" s="1"/>
  <c r="L258" i="6"/>
  <c r="S312" i="10" s="1"/>
  <c r="P258" i="6"/>
  <c r="Z312" i="10" s="1"/>
  <c r="U258" i="6"/>
  <c r="AN312" i="10" s="1"/>
  <c r="F258" i="6"/>
  <c r="G312" i="10" s="1"/>
  <c r="X258" i="6"/>
  <c r="Q258" i="6"/>
  <c r="AD312" i="10" s="1"/>
  <c r="T258" i="6"/>
  <c r="AL312" i="10" s="1"/>
  <c r="G258" i="6"/>
  <c r="I312" i="10" s="1"/>
  <c r="I258" i="6"/>
  <c r="M312" i="10" s="1"/>
  <c r="R258" i="6"/>
  <c r="AH312" i="10" s="1"/>
  <c r="Y258" i="6"/>
  <c r="AR312" i="10" s="1"/>
  <c r="J258" i="6"/>
  <c r="O312" i="10" s="1"/>
  <c r="O257" i="6"/>
  <c r="D260" i="6"/>
  <c r="C259" i="6"/>
  <c r="E260" i="6"/>
  <c r="M259" i="6" l="1"/>
  <c r="W313" i="10" s="1"/>
  <c r="Z259" i="6"/>
  <c r="AP313" i="10" s="1"/>
  <c r="Y311" i="10"/>
  <c r="K257" i="6"/>
  <c r="Q311" i="10" s="1"/>
  <c r="C313" i="10"/>
  <c r="V258" i="6"/>
  <c r="W258" i="6"/>
  <c r="O258" i="6"/>
  <c r="F259" i="6"/>
  <c r="G313" i="10" s="1"/>
  <c r="L259" i="6"/>
  <c r="S313" i="10" s="1"/>
  <c r="T259" i="6"/>
  <c r="AL313" i="10" s="1"/>
  <c r="Q259" i="6"/>
  <c r="AD313" i="10" s="1"/>
  <c r="G259" i="6"/>
  <c r="I313" i="10" s="1"/>
  <c r="N259" i="6"/>
  <c r="U313" i="10" s="1"/>
  <c r="P259" i="6"/>
  <c r="Z313" i="10" s="1"/>
  <c r="U259" i="6"/>
  <c r="AN313" i="10" s="1"/>
  <c r="S259" i="6"/>
  <c r="AJ313" i="10" s="1"/>
  <c r="X259" i="6"/>
  <c r="I259" i="6"/>
  <c r="M313" i="10" s="1"/>
  <c r="J259" i="6"/>
  <c r="O313" i="10" s="1"/>
  <c r="H259" i="6"/>
  <c r="K313" i="10" s="1"/>
  <c r="R259" i="6"/>
  <c r="AH313" i="10" s="1"/>
  <c r="Y259" i="6"/>
  <c r="AR313" i="10" s="1"/>
  <c r="D261" i="6"/>
  <c r="C260" i="6"/>
  <c r="E261" i="6"/>
  <c r="M260" i="6" l="1"/>
  <c r="W314" i="10" s="1"/>
  <c r="Z260" i="6"/>
  <c r="AP314" i="10" s="1"/>
  <c r="Y312" i="10"/>
  <c r="K258" i="6"/>
  <c r="Q312" i="10" s="1"/>
  <c r="C314" i="10"/>
  <c r="V259" i="6"/>
  <c r="W259" i="6"/>
  <c r="O259" i="6"/>
  <c r="K259" i="6" s="1"/>
  <c r="T260" i="6"/>
  <c r="AL314" i="10" s="1"/>
  <c r="G260" i="6"/>
  <c r="I314" i="10" s="1"/>
  <c r="J260" i="6"/>
  <c r="O314" i="10" s="1"/>
  <c r="Q260" i="6"/>
  <c r="AD314" i="10" s="1"/>
  <c r="U260" i="6"/>
  <c r="AN314" i="10" s="1"/>
  <c r="Y260" i="6"/>
  <c r="AR314" i="10" s="1"/>
  <c r="X260" i="6"/>
  <c r="R260" i="6"/>
  <c r="AH314" i="10" s="1"/>
  <c r="F260" i="6"/>
  <c r="G314" i="10" s="1"/>
  <c r="L260" i="6"/>
  <c r="S314" i="10" s="1"/>
  <c r="H260" i="6"/>
  <c r="K314" i="10" s="1"/>
  <c r="N260" i="6"/>
  <c r="U314" i="10" s="1"/>
  <c r="S260" i="6"/>
  <c r="AJ314" i="10" s="1"/>
  <c r="I260" i="6"/>
  <c r="M314" i="10" s="1"/>
  <c r="P260" i="6"/>
  <c r="Z314" i="10" s="1"/>
  <c r="D262" i="6"/>
  <c r="C261" i="6"/>
  <c r="E262" i="6"/>
  <c r="M261" i="6" l="1"/>
  <c r="W315" i="10" s="1"/>
  <c r="Z261" i="6"/>
  <c r="AP315" i="10" s="1"/>
  <c r="C315" i="10"/>
  <c r="Q313" i="10"/>
  <c r="Y313" i="10"/>
  <c r="W260" i="6"/>
  <c r="V260" i="6"/>
  <c r="G261" i="6"/>
  <c r="I315" i="10" s="1"/>
  <c r="L261" i="6"/>
  <c r="S315" i="10" s="1"/>
  <c r="P261" i="6"/>
  <c r="Z315" i="10" s="1"/>
  <c r="T261" i="6"/>
  <c r="AL315" i="10" s="1"/>
  <c r="Y261" i="6"/>
  <c r="AR315" i="10" s="1"/>
  <c r="I261" i="6"/>
  <c r="M315" i="10" s="1"/>
  <c r="R261" i="6"/>
  <c r="AH315" i="10" s="1"/>
  <c r="X261" i="6"/>
  <c r="S261" i="6"/>
  <c r="AJ315" i="10" s="1"/>
  <c r="H261" i="6"/>
  <c r="K315" i="10" s="1"/>
  <c r="Q261" i="6"/>
  <c r="AD315" i="10" s="1"/>
  <c r="U261" i="6"/>
  <c r="AN315" i="10" s="1"/>
  <c r="F261" i="6"/>
  <c r="G315" i="10" s="1"/>
  <c r="J261" i="6"/>
  <c r="O315" i="10" s="1"/>
  <c r="N261" i="6"/>
  <c r="U315" i="10" s="1"/>
  <c r="O260" i="6"/>
  <c r="D263" i="6"/>
  <c r="C262" i="6"/>
  <c r="E263" i="6"/>
  <c r="M262" i="6" l="1"/>
  <c r="W316" i="10" s="1"/>
  <c r="Z262" i="6"/>
  <c r="AP316" i="10" s="1"/>
  <c r="Y314" i="10"/>
  <c r="K260" i="6"/>
  <c r="Q314" i="10" s="1"/>
  <c r="C316" i="10"/>
  <c r="V261" i="6"/>
  <c r="W261" i="6"/>
  <c r="O261" i="6"/>
  <c r="K261" i="6" s="1"/>
  <c r="F262" i="6"/>
  <c r="G316" i="10" s="1"/>
  <c r="I262" i="6"/>
  <c r="M316" i="10" s="1"/>
  <c r="Q262" i="6"/>
  <c r="AD316" i="10" s="1"/>
  <c r="S262" i="6"/>
  <c r="AJ316" i="10" s="1"/>
  <c r="G262" i="6"/>
  <c r="I316" i="10" s="1"/>
  <c r="N262" i="6"/>
  <c r="U316" i="10" s="1"/>
  <c r="R262" i="6"/>
  <c r="AH316" i="10" s="1"/>
  <c r="U262" i="6"/>
  <c r="AN316" i="10" s="1"/>
  <c r="J262" i="6"/>
  <c r="O316" i="10" s="1"/>
  <c r="L262" i="6"/>
  <c r="S316" i="10" s="1"/>
  <c r="Y262" i="6"/>
  <c r="AR316" i="10" s="1"/>
  <c r="P262" i="6"/>
  <c r="Z316" i="10" s="1"/>
  <c r="T262" i="6"/>
  <c r="AL316" i="10" s="1"/>
  <c r="X262" i="6"/>
  <c r="H262" i="6"/>
  <c r="K316" i="10" s="1"/>
  <c r="D264" i="6"/>
  <c r="C263" i="6"/>
  <c r="E264" i="6"/>
  <c r="M263" i="6" l="1"/>
  <c r="W317" i="10" s="1"/>
  <c r="Z263" i="6"/>
  <c r="AP317" i="10" s="1"/>
  <c r="C317" i="10"/>
  <c r="Q315" i="10"/>
  <c r="Y315" i="10"/>
  <c r="V262" i="6"/>
  <c r="W262" i="6"/>
  <c r="S263" i="6"/>
  <c r="AJ317" i="10" s="1"/>
  <c r="R263" i="6"/>
  <c r="AH317" i="10" s="1"/>
  <c r="F263" i="6"/>
  <c r="G317" i="10" s="1"/>
  <c r="N263" i="6"/>
  <c r="U317" i="10" s="1"/>
  <c r="Y263" i="6"/>
  <c r="AR317" i="10" s="1"/>
  <c r="G263" i="6"/>
  <c r="I317" i="10" s="1"/>
  <c r="L263" i="6"/>
  <c r="S317" i="10" s="1"/>
  <c r="T263" i="6"/>
  <c r="AL317" i="10" s="1"/>
  <c r="U263" i="6"/>
  <c r="AN317" i="10" s="1"/>
  <c r="J263" i="6"/>
  <c r="O317" i="10" s="1"/>
  <c r="I263" i="6"/>
  <c r="M317" i="10" s="1"/>
  <c r="H263" i="6"/>
  <c r="K317" i="10" s="1"/>
  <c r="P263" i="6"/>
  <c r="Z317" i="10" s="1"/>
  <c r="Q263" i="6"/>
  <c r="AD317" i="10" s="1"/>
  <c r="X263" i="6"/>
  <c r="O262" i="6"/>
  <c r="K262" i="6" s="1"/>
  <c r="D265" i="6"/>
  <c r="C264" i="6"/>
  <c r="E265" i="6"/>
  <c r="M264" i="6" l="1"/>
  <c r="W318" i="10" s="1"/>
  <c r="Z264" i="6"/>
  <c r="AP318" i="10" s="1"/>
  <c r="C318" i="10"/>
  <c r="Q316" i="10"/>
  <c r="Y316" i="10"/>
  <c r="W263" i="6"/>
  <c r="V263" i="6"/>
  <c r="J264" i="6"/>
  <c r="O318" i="10" s="1"/>
  <c r="H264" i="6"/>
  <c r="K318" i="10" s="1"/>
  <c r="F264" i="6"/>
  <c r="G318" i="10" s="1"/>
  <c r="L264" i="6"/>
  <c r="S318" i="10" s="1"/>
  <c r="P264" i="6"/>
  <c r="Z318" i="10" s="1"/>
  <c r="G264" i="6"/>
  <c r="I318" i="10" s="1"/>
  <c r="Y264" i="6"/>
  <c r="AR318" i="10" s="1"/>
  <c r="U264" i="6"/>
  <c r="AN318" i="10" s="1"/>
  <c r="S264" i="6"/>
  <c r="AJ318" i="10" s="1"/>
  <c r="N264" i="6"/>
  <c r="U318" i="10" s="1"/>
  <c r="T264" i="6"/>
  <c r="AL318" i="10" s="1"/>
  <c r="R264" i="6"/>
  <c r="AH318" i="10" s="1"/>
  <c r="I264" i="6"/>
  <c r="M318" i="10" s="1"/>
  <c r="X264" i="6"/>
  <c r="Q264" i="6"/>
  <c r="AD318" i="10" s="1"/>
  <c r="O263" i="6"/>
  <c r="D266" i="6"/>
  <c r="C265" i="6"/>
  <c r="E266" i="6"/>
  <c r="M265" i="6" l="1"/>
  <c r="W319" i="10" s="1"/>
  <c r="Z265" i="6"/>
  <c r="AP319" i="10" s="1"/>
  <c r="Y317" i="10"/>
  <c r="K263" i="6"/>
  <c r="Q317" i="10" s="1"/>
  <c r="C319" i="10"/>
  <c r="W264" i="6"/>
  <c r="V264" i="6"/>
  <c r="J265" i="6"/>
  <c r="O319" i="10" s="1"/>
  <c r="R265" i="6"/>
  <c r="AH319" i="10" s="1"/>
  <c r="U265" i="6"/>
  <c r="AN319" i="10" s="1"/>
  <c r="F265" i="6"/>
  <c r="G319" i="10" s="1"/>
  <c r="L265" i="6"/>
  <c r="S319" i="10" s="1"/>
  <c r="P265" i="6"/>
  <c r="Z319" i="10" s="1"/>
  <c r="I265" i="6"/>
  <c r="M319" i="10" s="1"/>
  <c r="H265" i="6"/>
  <c r="K319" i="10" s="1"/>
  <c r="Y265" i="6"/>
  <c r="AR319" i="10" s="1"/>
  <c r="Q265" i="6"/>
  <c r="AD319" i="10" s="1"/>
  <c r="X265" i="6"/>
  <c r="S265" i="6"/>
  <c r="AJ319" i="10" s="1"/>
  <c r="N265" i="6"/>
  <c r="U319" i="10" s="1"/>
  <c r="T265" i="6"/>
  <c r="AL319" i="10" s="1"/>
  <c r="G265" i="6"/>
  <c r="I319" i="10" s="1"/>
  <c r="O264" i="6"/>
  <c r="D267" i="6"/>
  <c r="C266" i="6"/>
  <c r="E267" i="6"/>
  <c r="M266" i="6" l="1"/>
  <c r="W320" i="10" s="1"/>
  <c r="Z266" i="6"/>
  <c r="AP320" i="10" s="1"/>
  <c r="Y318" i="10"/>
  <c r="K264" i="6"/>
  <c r="Q318" i="10" s="1"/>
  <c r="C320" i="10"/>
  <c r="W265" i="6"/>
  <c r="V265" i="6"/>
  <c r="O265" i="6"/>
  <c r="Q266" i="6"/>
  <c r="AD320" i="10" s="1"/>
  <c r="S266" i="6"/>
  <c r="AJ320" i="10" s="1"/>
  <c r="L266" i="6"/>
  <c r="S320" i="10" s="1"/>
  <c r="Y266" i="6"/>
  <c r="AR320" i="10" s="1"/>
  <c r="G266" i="6"/>
  <c r="I320" i="10" s="1"/>
  <c r="I266" i="6"/>
  <c r="M320" i="10" s="1"/>
  <c r="P266" i="6"/>
  <c r="Z320" i="10" s="1"/>
  <c r="H266" i="6"/>
  <c r="K320" i="10" s="1"/>
  <c r="N266" i="6"/>
  <c r="U320" i="10" s="1"/>
  <c r="X266" i="6"/>
  <c r="R266" i="6"/>
  <c r="AH320" i="10" s="1"/>
  <c r="U266" i="6"/>
  <c r="AN320" i="10" s="1"/>
  <c r="F266" i="6"/>
  <c r="G320" i="10" s="1"/>
  <c r="T266" i="6"/>
  <c r="AL320" i="10" s="1"/>
  <c r="J266" i="6"/>
  <c r="O320" i="10" s="1"/>
  <c r="D268" i="6"/>
  <c r="C267" i="6"/>
  <c r="E268" i="6"/>
  <c r="M267" i="6" l="1"/>
  <c r="W321" i="10" s="1"/>
  <c r="Z267" i="6"/>
  <c r="AP321" i="10" s="1"/>
  <c r="Y319" i="10"/>
  <c r="K265" i="6"/>
  <c r="Q319" i="10" s="1"/>
  <c r="C321" i="10"/>
  <c r="V266" i="6"/>
  <c r="W266" i="6"/>
  <c r="O266" i="6"/>
  <c r="K266" i="6" s="1"/>
  <c r="F267" i="6"/>
  <c r="G321" i="10" s="1"/>
  <c r="H267" i="6"/>
  <c r="K321" i="10" s="1"/>
  <c r="Q267" i="6"/>
  <c r="AD321" i="10" s="1"/>
  <c r="T267" i="6"/>
  <c r="AL321" i="10" s="1"/>
  <c r="G267" i="6"/>
  <c r="I321" i="10" s="1"/>
  <c r="I267" i="6"/>
  <c r="M321" i="10" s="1"/>
  <c r="J267" i="6"/>
  <c r="O321" i="10" s="1"/>
  <c r="Y267" i="6"/>
  <c r="AR321" i="10" s="1"/>
  <c r="P267" i="6"/>
  <c r="Z321" i="10" s="1"/>
  <c r="L267" i="6"/>
  <c r="S321" i="10" s="1"/>
  <c r="S267" i="6"/>
  <c r="AJ321" i="10" s="1"/>
  <c r="N267" i="6"/>
  <c r="U321" i="10" s="1"/>
  <c r="X267" i="6"/>
  <c r="U267" i="6"/>
  <c r="AN321" i="10" s="1"/>
  <c r="R267" i="6"/>
  <c r="AH321" i="10" s="1"/>
  <c r="D269" i="6"/>
  <c r="C268" i="6"/>
  <c r="E269" i="6"/>
  <c r="M268" i="6" l="1"/>
  <c r="W322" i="10" s="1"/>
  <c r="Z268" i="6"/>
  <c r="AP322" i="10" s="1"/>
  <c r="C322" i="10"/>
  <c r="Q320" i="10"/>
  <c r="Y320" i="10"/>
  <c r="W267" i="6"/>
  <c r="V267" i="6"/>
  <c r="S268" i="6"/>
  <c r="AJ322" i="10" s="1"/>
  <c r="H268" i="6"/>
  <c r="K322" i="10" s="1"/>
  <c r="N268" i="6"/>
  <c r="U322" i="10" s="1"/>
  <c r="I268" i="6"/>
  <c r="M322" i="10" s="1"/>
  <c r="Y268" i="6"/>
  <c r="AR322" i="10" s="1"/>
  <c r="L268" i="6"/>
  <c r="S322" i="10" s="1"/>
  <c r="X268" i="6"/>
  <c r="P268" i="6"/>
  <c r="Z322" i="10" s="1"/>
  <c r="U268" i="6"/>
  <c r="AN322" i="10" s="1"/>
  <c r="G268" i="6"/>
  <c r="I322" i="10" s="1"/>
  <c r="T268" i="6"/>
  <c r="AL322" i="10" s="1"/>
  <c r="R268" i="6"/>
  <c r="AH322" i="10" s="1"/>
  <c r="F268" i="6"/>
  <c r="G322" i="10" s="1"/>
  <c r="Q268" i="6"/>
  <c r="AD322" i="10" s="1"/>
  <c r="J268" i="6"/>
  <c r="O322" i="10" s="1"/>
  <c r="O267" i="6"/>
  <c r="D270" i="6"/>
  <c r="C269" i="6"/>
  <c r="E270" i="6"/>
  <c r="M269" i="6" l="1"/>
  <c r="W323" i="10" s="1"/>
  <c r="Z269" i="6"/>
  <c r="AP323" i="10" s="1"/>
  <c r="Y321" i="10"/>
  <c r="K267" i="6"/>
  <c r="Q321" i="10" s="1"/>
  <c r="C323" i="10"/>
  <c r="W268" i="6"/>
  <c r="V268" i="6"/>
  <c r="O268" i="6"/>
  <c r="G269" i="6"/>
  <c r="I323" i="10" s="1"/>
  <c r="J269" i="6"/>
  <c r="O323" i="10" s="1"/>
  <c r="P269" i="6"/>
  <c r="Z323" i="10" s="1"/>
  <c r="L269" i="6"/>
  <c r="S323" i="10" s="1"/>
  <c r="R269" i="6"/>
  <c r="AH323" i="10" s="1"/>
  <c r="Q269" i="6"/>
  <c r="AD323" i="10" s="1"/>
  <c r="S269" i="6"/>
  <c r="AJ323" i="10" s="1"/>
  <c r="I269" i="6"/>
  <c r="M323" i="10" s="1"/>
  <c r="H269" i="6"/>
  <c r="K323" i="10" s="1"/>
  <c r="T269" i="6"/>
  <c r="AL323" i="10" s="1"/>
  <c r="Y269" i="6"/>
  <c r="AR323" i="10" s="1"/>
  <c r="F269" i="6"/>
  <c r="G323" i="10" s="1"/>
  <c r="N269" i="6"/>
  <c r="U323" i="10" s="1"/>
  <c r="U269" i="6"/>
  <c r="AN323" i="10" s="1"/>
  <c r="X269" i="6"/>
  <c r="D271" i="6"/>
  <c r="C270" i="6"/>
  <c r="E271" i="6"/>
  <c r="M270" i="6" l="1"/>
  <c r="W324" i="10" s="1"/>
  <c r="Z270" i="6"/>
  <c r="AP324" i="10" s="1"/>
  <c r="Y322" i="10"/>
  <c r="K268" i="6"/>
  <c r="Q322" i="10" s="1"/>
  <c r="C324" i="10"/>
  <c r="V269" i="6"/>
  <c r="W269" i="6"/>
  <c r="S270" i="6"/>
  <c r="AJ324" i="10" s="1"/>
  <c r="F270" i="6"/>
  <c r="G324" i="10" s="1"/>
  <c r="J270" i="6"/>
  <c r="O324" i="10" s="1"/>
  <c r="Y270" i="6"/>
  <c r="AR324" i="10" s="1"/>
  <c r="G270" i="6"/>
  <c r="I324" i="10" s="1"/>
  <c r="L270" i="6"/>
  <c r="S324" i="10" s="1"/>
  <c r="P270" i="6"/>
  <c r="Z324" i="10" s="1"/>
  <c r="H270" i="6"/>
  <c r="K324" i="10" s="1"/>
  <c r="T270" i="6"/>
  <c r="AL324" i="10" s="1"/>
  <c r="R270" i="6"/>
  <c r="AH324" i="10" s="1"/>
  <c r="X270" i="6"/>
  <c r="I270" i="6"/>
  <c r="M324" i="10" s="1"/>
  <c r="U270" i="6"/>
  <c r="AN324" i="10" s="1"/>
  <c r="Q270" i="6"/>
  <c r="AD324" i="10" s="1"/>
  <c r="N270" i="6"/>
  <c r="U324" i="10" s="1"/>
  <c r="O269" i="6"/>
  <c r="K269" i="6" s="1"/>
  <c r="D272" i="6"/>
  <c r="C271" i="6"/>
  <c r="E272" i="6"/>
  <c r="M271" i="6" l="1"/>
  <c r="W325" i="10" s="1"/>
  <c r="Z271" i="6"/>
  <c r="AP325" i="10" s="1"/>
  <c r="C325" i="10"/>
  <c r="Q323" i="10"/>
  <c r="Y323" i="10"/>
  <c r="W270" i="6"/>
  <c r="V270" i="6"/>
  <c r="G271" i="6"/>
  <c r="I325" i="10" s="1"/>
  <c r="L271" i="6"/>
  <c r="S325" i="10" s="1"/>
  <c r="S271" i="6"/>
  <c r="AJ325" i="10" s="1"/>
  <c r="P271" i="6"/>
  <c r="Z325" i="10" s="1"/>
  <c r="Y271" i="6"/>
  <c r="AR325" i="10" s="1"/>
  <c r="X271" i="6"/>
  <c r="U271" i="6"/>
  <c r="AN325" i="10" s="1"/>
  <c r="F271" i="6"/>
  <c r="G325" i="10" s="1"/>
  <c r="N271" i="6"/>
  <c r="U325" i="10" s="1"/>
  <c r="T271" i="6"/>
  <c r="AL325" i="10" s="1"/>
  <c r="Q271" i="6"/>
  <c r="AD325" i="10" s="1"/>
  <c r="H271" i="6"/>
  <c r="K325" i="10" s="1"/>
  <c r="J271" i="6"/>
  <c r="O325" i="10" s="1"/>
  <c r="I271" i="6"/>
  <c r="M325" i="10" s="1"/>
  <c r="R271" i="6"/>
  <c r="AH325" i="10" s="1"/>
  <c r="O270" i="6"/>
  <c r="K270" i="6" s="1"/>
  <c r="D273" i="6"/>
  <c r="C272" i="6"/>
  <c r="E273" i="6"/>
  <c r="M272" i="6" l="1"/>
  <c r="W326" i="10" s="1"/>
  <c r="Z272" i="6"/>
  <c r="AP326" i="10" s="1"/>
  <c r="C326" i="10"/>
  <c r="Q324" i="10"/>
  <c r="Y324" i="10"/>
  <c r="W271" i="6"/>
  <c r="V271" i="6"/>
  <c r="G272" i="6"/>
  <c r="I326" i="10" s="1"/>
  <c r="L272" i="6"/>
  <c r="S326" i="10" s="1"/>
  <c r="S272" i="6"/>
  <c r="AJ326" i="10" s="1"/>
  <c r="H272" i="6"/>
  <c r="K326" i="10" s="1"/>
  <c r="N272" i="6"/>
  <c r="U326" i="10" s="1"/>
  <c r="T272" i="6"/>
  <c r="AL326" i="10" s="1"/>
  <c r="I272" i="6"/>
  <c r="M326" i="10" s="1"/>
  <c r="P272" i="6"/>
  <c r="Z326" i="10" s="1"/>
  <c r="U272" i="6"/>
  <c r="AN326" i="10" s="1"/>
  <c r="X272" i="6"/>
  <c r="Y272" i="6"/>
  <c r="AR326" i="10" s="1"/>
  <c r="F272" i="6"/>
  <c r="G326" i="10" s="1"/>
  <c r="J272" i="6"/>
  <c r="O326" i="10" s="1"/>
  <c r="R272" i="6"/>
  <c r="AH326" i="10" s="1"/>
  <c r="Q272" i="6"/>
  <c r="AD326" i="10" s="1"/>
  <c r="O271" i="6"/>
  <c r="D274" i="6"/>
  <c r="C273" i="6"/>
  <c r="E274" i="6"/>
  <c r="M273" i="6" l="1"/>
  <c r="W327" i="10" s="1"/>
  <c r="Z273" i="6"/>
  <c r="AP327" i="10" s="1"/>
  <c r="Y325" i="10"/>
  <c r="K271" i="6"/>
  <c r="Q325" i="10" s="1"/>
  <c r="C327" i="10"/>
  <c r="W272" i="6"/>
  <c r="V272" i="6"/>
  <c r="P273" i="6"/>
  <c r="Z327" i="10" s="1"/>
  <c r="S273" i="6"/>
  <c r="AJ327" i="10" s="1"/>
  <c r="Y273" i="6"/>
  <c r="AR327" i="10" s="1"/>
  <c r="Q273" i="6"/>
  <c r="AD327" i="10" s="1"/>
  <c r="T273" i="6"/>
  <c r="AL327" i="10" s="1"/>
  <c r="G273" i="6"/>
  <c r="I327" i="10" s="1"/>
  <c r="F273" i="6"/>
  <c r="G327" i="10" s="1"/>
  <c r="U273" i="6"/>
  <c r="AN327" i="10" s="1"/>
  <c r="J273" i="6"/>
  <c r="O327" i="10" s="1"/>
  <c r="I273" i="6"/>
  <c r="M327" i="10" s="1"/>
  <c r="R273" i="6"/>
  <c r="AH327" i="10" s="1"/>
  <c r="N273" i="6"/>
  <c r="U327" i="10" s="1"/>
  <c r="L273" i="6"/>
  <c r="S327" i="10" s="1"/>
  <c r="X273" i="6"/>
  <c r="H273" i="6"/>
  <c r="K327" i="10" s="1"/>
  <c r="O272" i="6"/>
  <c r="K272" i="6" s="1"/>
  <c r="D275" i="6"/>
  <c r="C274" i="6"/>
  <c r="E275" i="6"/>
  <c r="M274" i="6" l="1"/>
  <c r="W328" i="10" s="1"/>
  <c r="Z274" i="6"/>
  <c r="AP328" i="10" s="1"/>
  <c r="C328" i="10"/>
  <c r="Q326" i="10"/>
  <c r="Y326" i="10"/>
  <c r="W273" i="6"/>
  <c r="V273" i="6"/>
  <c r="S274" i="6"/>
  <c r="AJ328" i="10" s="1"/>
  <c r="Q274" i="6"/>
  <c r="AD328" i="10" s="1"/>
  <c r="U274" i="6"/>
  <c r="AN328" i="10" s="1"/>
  <c r="F274" i="6"/>
  <c r="G328" i="10" s="1"/>
  <c r="J274" i="6"/>
  <c r="O328" i="10" s="1"/>
  <c r="N274" i="6"/>
  <c r="U328" i="10" s="1"/>
  <c r="T274" i="6"/>
  <c r="AL328" i="10" s="1"/>
  <c r="G274" i="6"/>
  <c r="I328" i="10" s="1"/>
  <c r="L274" i="6"/>
  <c r="S328" i="10" s="1"/>
  <c r="R274" i="6"/>
  <c r="AH328" i="10" s="1"/>
  <c r="H274" i="6"/>
  <c r="K328" i="10" s="1"/>
  <c r="P274" i="6"/>
  <c r="Z328" i="10" s="1"/>
  <c r="I274" i="6"/>
  <c r="M328" i="10" s="1"/>
  <c r="Y274" i="6"/>
  <c r="AR328" i="10" s="1"/>
  <c r="X274" i="6"/>
  <c r="O273" i="6"/>
  <c r="K273" i="6" s="1"/>
  <c r="D276" i="6"/>
  <c r="C275" i="6"/>
  <c r="E276" i="6"/>
  <c r="M275" i="6" l="1"/>
  <c r="W329" i="10" s="1"/>
  <c r="Z275" i="6"/>
  <c r="AP329" i="10" s="1"/>
  <c r="C329" i="10"/>
  <c r="Q327" i="10"/>
  <c r="Y327" i="10"/>
  <c r="W274" i="6"/>
  <c r="V274" i="6"/>
  <c r="O274" i="6"/>
  <c r="K274" i="6" s="1"/>
  <c r="T275" i="6"/>
  <c r="AL329" i="10" s="1"/>
  <c r="J275" i="6"/>
  <c r="O329" i="10" s="1"/>
  <c r="Q275" i="6"/>
  <c r="AD329" i="10" s="1"/>
  <c r="U275" i="6"/>
  <c r="AN329" i="10" s="1"/>
  <c r="H275" i="6"/>
  <c r="K329" i="10" s="1"/>
  <c r="F275" i="6"/>
  <c r="G329" i="10" s="1"/>
  <c r="R275" i="6"/>
  <c r="AH329" i="10" s="1"/>
  <c r="I275" i="6"/>
  <c r="M329" i="10" s="1"/>
  <c r="N275" i="6"/>
  <c r="U329" i="10" s="1"/>
  <c r="G275" i="6"/>
  <c r="I329" i="10" s="1"/>
  <c r="P275" i="6"/>
  <c r="Z329" i="10" s="1"/>
  <c r="X275" i="6"/>
  <c r="L275" i="6"/>
  <c r="S329" i="10" s="1"/>
  <c r="S275" i="6"/>
  <c r="AJ329" i="10" s="1"/>
  <c r="Y275" i="6"/>
  <c r="AR329" i="10" s="1"/>
  <c r="D277" i="6"/>
  <c r="C276" i="6"/>
  <c r="E277" i="6"/>
  <c r="M276" i="6" l="1"/>
  <c r="W330" i="10" s="1"/>
  <c r="Z276" i="6"/>
  <c r="AP330" i="10" s="1"/>
  <c r="C330" i="10"/>
  <c r="Q328" i="10"/>
  <c r="Y328" i="10"/>
  <c r="W275" i="6"/>
  <c r="V275" i="6"/>
  <c r="U276" i="6"/>
  <c r="AN330" i="10" s="1"/>
  <c r="Y276" i="6"/>
  <c r="AR330" i="10" s="1"/>
  <c r="X276" i="6"/>
  <c r="F276" i="6"/>
  <c r="G330" i="10" s="1"/>
  <c r="L276" i="6"/>
  <c r="S330" i="10" s="1"/>
  <c r="R276" i="6"/>
  <c r="AH330" i="10" s="1"/>
  <c r="H276" i="6"/>
  <c r="K330" i="10" s="1"/>
  <c r="T276" i="6"/>
  <c r="AL330" i="10" s="1"/>
  <c r="J276" i="6"/>
  <c r="O330" i="10" s="1"/>
  <c r="G276" i="6"/>
  <c r="I330" i="10" s="1"/>
  <c r="Q276" i="6"/>
  <c r="AD330" i="10" s="1"/>
  <c r="N276" i="6"/>
  <c r="U330" i="10" s="1"/>
  <c r="S276" i="6"/>
  <c r="AJ330" i="10" s="1"/>
  <c r="I276" i="6"/>
  <c r="M330" i="10" s="1"/>
  <c r="P276" i="6"/>
  <c r="Z330" i="10" s="1"/>
  <c r="O275" i="6"/>
  <c r="K275" i="6" s="1"/>
  <c r="D278" i="6"/>
  <c r="C277" i="6"/>
  <c r="E278" i="6"/>
  <c r="M277" i="6" l="1"/>
  <c r="W331" i="10" s="1"/>
  <c r="Z277" i="6"/>
  <c r="AP331" i="10" s="1"/>
  <c r="C331" i="10"/>
  <c r="Q329" i="10"/>
  <c r="Y329" i="10"/>
  <c r="V276" i="6"/>
  <c r="W276" i="6"/>
  <c r="O276" i="6"/>
  <c r="G277" i="6"/>
  <c r="I331" i="10" s="1"/>
  <c r="R277" i="6"/>
  <c r="AH331" i="10" s="1"/>
  <c r="F277" i="6"/>
  <c r="G331" i="10" s="1"/>
  <c r="P277" i="6"/>
  <c r="Z331" i="10" s="1"/>
  <c r="L277" i="6"/>
  <c r="S331" i="10" s="1"/>
  <c r="I277" i="6"/>
  <c r="M331" i="10" s="1"/>
  <c r="X277" i="6"/>
  <c r="N277" i="6"/>
  <c r="U331" i="10" s="1"/>
  <c r="Y277" i="6"/>
  <c r="AR331" i="10" s="1"/>
  <c r="Q277" i="6"/>
  <c r="AD331" i="10" s="1"/>
  <c r="J277" i="6"/>
  <c r="O331" i="10" s="1"/>
  <c r="H277" i="6"/>
  <c r="K331" i="10" s="1"/>
  <c r="U277" i="6"/>
  <c r="AN331" i="10" s="1"/>
  <c r="T277" i="6"/>
  <c r="AL331" i="10" s="1"/>
  <c r="S277" i="6"/>
  <c r="AJ331" i="10" s="1"/>
  <c r="D279" i="6"/>
  <c r="C278" i="6"/>
  <c r="E279" i="6"/>
  <c r="M278" i="6" l="1"/>
  <c r="W332" i="10" s="1"/>
  <c r="Z278" i="6"/>
  <c r="AP332" i="10" s="1"/>
  <c r="Y330" i="10"/>
  <c r="K276" i="6"/>
  <c r="Q330" i="10" s="1"/>
  <c r="C332" i="10"/>
  <c r="V277" i="6"/>
  <c r="W277" i="6"/>
  <c r="O277" i="6"/>
  <c r="K277" i="6" s="1"/>
  <c r="G278" i="6"/>
  <c r="I332" i="10" s="1"/>
  <c r="H278" i="6"/>
  <c r="K332" i="10" s="1"/>
  <c r="L278" i="6"/>
  <c r="S332" i="10" s="1"/>
  <c r="I278" i="6"/>
  <c r="M332" i="10" s="1"/>
  <c r="N278" i="6"/>
  <c r="U332" i="10" s="1"/>
  <c r="P278" i="6"/>
  <c r="Z332" i="10" s="1"/>
  <c r="S278" i="6"/>
  <c r="AJ332" i="10" s="1"/>
  <c r="F278" i="6"/>
  <c r="G332" i="10" s="1"/>
  <c r="J278" i="6"/>
  <c r="O332" i="10" s="1"/>
  <c r="T278" i="6"/>
  <c r="AL332" i="10" s="1"/>
  <c r="Q278" i="6"/>
  <c r="AD332" i="10" s="1"/>
  <c r="U278" i="6"/>
  <c r="AN332" i="10" s="1"/>
  <c r="Y278" i="6"/>
  <c r="AR332" i="10" s="1"/>
  <c r="R278" i="6"/>
  <c r="AH332" i="10" s="1"/>
  <c r="X278" i="6"/>
  <c r="D280" i="6"/>
  <c r="C279" i="6"/>
  <c r="E280" i="6"/>
  <c r="M279" i="6" l="1"/>
  <c r="W333" i="10" s="1"/>
  <c r="Z279" i="6"/>
  <c r="AP333" i="10" s="1"/>
  <c r="C333" i="10"/>
  <c r="Q331" i="10"/>
  <c r="Y331" i="10"/>
  <c r="V278" i="6"/>
  <c r="W278" i="6"/>
  <c r="O278" i="6"/>
  <c r="H279" i="6"/>
  <c r="K333" i="10" s="1"/>
  <c r="N279" i="6"/>
  <c r="U333" i="10" s="1"/>
  <c r="Q279" i="6"/>
  <c r="AD333" i="10" s="1"/>
  <c r="S279" i="6"/>
  <c r="AJ333" i="10" s="1"/>
  <c r="P279" i="6"/>
  <c r="Z333" i="10" s="1"/>
  <c r="R279" i="6"/>
  <c r="AH333" i="10" s="1"/>
  <c r="Y279" i="6"/>
  <c r="AR333" i="10" s="1"/>
  <c r="T279" i="6"/>
  <c r="AL333" i="10" s="1"/>
  <c r="J279" i="6"/>
  <c r="O333" i="10" s="1"/>
  <c r="X279" i="6"/>
  <c r="F279" i="6"/>
  <c r="G333" i="10" s="1"/>
  <c r="I279" i="6"/>
  <c r="M333" i="10" s="1"/>
  <c r="U279" i="6"/>
  <c r="AN333" i="10" s="1"/>
  <c r="G279" i="6"/>
  <c r="I333" i="10" s="1"/>
  <c r="L279" i="6"/>
  <c r="S333" i="10" s="1"/>
  <c r="D281" i="6"/>
  <c r="C280" i="6"/>
  <c r="E281" i="6"/>
  <c r="M280" i="6" l="1"/>
  <c r="W334" i="10" s="1"/>
  <c r="Z280" i="6"/>
  <c r="AP334" i="10" s="1"/>
  <c r="Y332" i="10"/>
  <c r="K278" i="6"/>
  <c r="Q332" i="10" s="1"/>
  <c r="C334" i="10"/>
  <c r="W279" i="6"/>
  <c r="V279" i="6"/>
  <c r="O279" i="6"/>
  <c r="K279" i="6" s="1"/>
  <c r="F280" i="6"/>
  <c r="G334" i="10" s="1"/>
  <c r="I280" i="6"/>
  <c r="M334" i="10" s="1"/>
  <c r="Y280" i="6"/>
  <c r="AR334" i="10" s="1"/>
  <c r="T280" i="6"/>
  <c r="AL334" i="10" s="1"/>
  <c r="J280" i="6"/>
  <c r="O334" i="10" s="1"/>
  <c r="U280" i="6"/>
  <c r="AN334" i="10" s="1"/>
  <c r="N280" i="6"/>
  <c r="U334" i="10" s="1"/>
  <c r="L280" i="6"/>
  <c r="S334" i="10" s="1"/>
  <c r="P280" i="6"/>
  <c r="Z334" i="10" s="1"/>
  <c r="G280" i="6"/>
  <c r="I334" i="10" s="1"/>
  <c r="R280" i="6"/>
  <c r="AH334" i="10" s="1"/>
  <c r="Q280" i="6"/>
  <c r="AD334" i="10" s="1"/>
  <c r="S280" i="6"/>
  <c r="AJ334" i="10" s="1"/>
  <c r="X280" i="6"/>
  <c r="H280" i="6"/>
  <c r="K334" i="10" s="1"/>
  <c r="D282" i="6"/>
  <c r="C281" i="6"/>
  <c r="E282" i="6"/>
  <c r="M281" i="6" l="1"/>
  <c r="W335" i="10" s="1"/>
  <c r="Z281" i="6"/>
  <c r="AP335" i="10" s="1"/>
  <c r="C335" i="10"/>
  <c r="Q333" i="10"/>
  <c r="Y333" i="10"/>
  <c r="W280" i="6"/>
  <c r="V280" i="6"/>
  <c r="O280" i="6"/>
  <c r="K280" i="6" s="1"/>
  <c r="U281" i="6"/>
  <c r="AN335" i="10" s="1"/>
  <c r="F281" i="6"/>
  <c r="G335" i="10" s="1"/>
  <c r="G281" i="6"/>
  <c r="I335" i="10" s="1"/>
  <c r="X281" i="6"/>
  <c r="P281" i="6"/>
  <c r="Z335" i="10" s="1"/>
  <c r="Y281" i="6"/>
  <c r="AR335" i="10" s="1"/>
  <c r="H281" i="6"/>
  <c r="K335" i="10" s="1"/>
  <c r="L281" i="6"/>
  <c r="S335" i="10" s="1"/>
  <c r="S281" i="6"/>
  <c r="AJ335" i="10" s="1"/>
  <c r="Q281" i="6"/>
  <c r="AD335" i="10" s="1"/>
  <c r="I281" i="6"/>
  <c r="M335" i="10" s="1"/>
  <c r="N281" i="6"/>
  <c r="U335" i="10" s="1"/>
  <c r="T281" i="6"/>
  <c r="AL335" i="10" s="1"/>
  <c r="R281" i="6"/>
  <c r="AH335" i="10" s="1"/>
  <c r="J281" i="6"/>
  <c r="O335" i="10" s="1"/>
  <c r="D283" i="6"/>
  <c r="C282" i="6"/>
  <c r="E283" i="6"/>
  <c r="M282" i="6" l="1"/>
  <c r="W336" i="10" s="1"/>
  <c r="Z282" i="6"/>
  <c r="AP336" i="10" s="1"/>
  <c r="C336" i="10"/>
  <c r="Q334" i="10"/>
  <c r="Y334" i="10"/>
  <c r="V281" i="6"/>
  <c r="W281" i="6"/>
  <c r="O281" i="6"/>
  <c r="K281" i="6" s="1"/>
  <c r="Q282" i="6"/>
  <c r="AD336" i="10" s="1"/>
  <c r="T282" i="6"/>
  <c r="AL336" i="10" s="1"/>
  <c r="R282" i="6"/>
  <c r="AH336" i="10" s="1"/>
  <c r="P282" i="6"/>
  <c r="Z336" i="10" s="1"/>
  <c r="I282" i="6"/>
  <c r="M336" i="10" s="1"/>
  <c r="U282" i="6"/>
  <c r="AN336" i="10" s="1"/>
  <c r="S282" i="6"/>
  <c r="AJ336" i="10" s="1"/>
  <c r="X282" i="6"/>
  <c r="F282" i="6"/>
  <c r="G336" i="10" s="1"/>
  <c r="J282" i="6"/>
  <c r="O336" i="10" s="1"/>
  <c r="N282" i="6"/>
  <c r="U336" i="10" s="1"/>
  <c r="Y282" i="6"/>
  <c r="AR336" i="10" s="1"/>
  <c r="G282" i="6"/>
  <c r="I336" i="10" s="1"/>
  <c r="L282" i="6"/>
  <c r="S336" i="10" s="1"/>
  <c r="H282" i="6"/>
  <c r="K336" i="10" s="1"/>
  <c r="D284" i="6"/>
  <c r="C283" i="6"/>
  <c r="E284" i="6"/>
  <c r="M283" i="6" l="1"/>
  <c r="W337" i="10" s="1"/>
  <c r="Z283" i="6"/>
  <c r="AP337" i="10" s="1"/>
  <c r="C337" i="10"/>
  <c r="Q335" i="10"/>
  <c r="Y335" i="10"/>
  <c r="W282" i="6"/>
  <c r="V282" i="6"/>
  <c r="O282" i="6"/>
  <c r="I283" i="6"/>
  <c r="M337" i="10" s="1"/>
  <c r="Q283" i="6"/>
  <c r="AD337" i="10" s="1"/>
  <c r="H283" i="6"/>
  <c r="K337" i="10" s="1"/>
  <c r="U283" i="6"/>
  <c r="AN337" i="10" s="1"/>
  <c r="N283" i="6"/>
  <c r="U337" i="10" s="1"/>
  <c r="Y283" i="6"/>
  <c r="AR337" i="10" s="1"/>
  <c r="F283" i="6"/>
  <c r="G337" i="10" s="1"/>
  <c r="J283" i="6"/>
  <c r="O337" i="10" s="1"/>
  <c r="S283" i="6"/>
  <c r="AJ337" i="10" s="1"/>
  <c r="L283" i="6"/>
  <c r="S337" i="10" s="1"/>
  <c r="R283" i="6"/>
  <c r="AH337" i="10" s="1"/>
  <c r="P283" i="6"/>
  <c r="Z337" i="10" s="1"/>
  <c r="G283" i="6"/>
  <c r="I337" i="10" s="1"/>
  <c r="T283" i="6"/>
  <c r="AL337" i="10" s="1"/>
  <c r="X283" i="6"/>
  <c r="D285" i="6"/>
  <c r="C284" i="6"/>
  <c r="E285" i="6"/>
  <c r="M284" i="6" l="1"/>
  <c r="W338" i="10" s="1"/>
  <c r="Z284" i="6"/>
  <c r="AP338" i="10" s="1"/>
  <c r="Y336" i="10"/>
  <c r="K282" i="6"/>
  <c r="Q336" i="10" s="1"/>
  <c r="C338" i="10"/>
  <c r="V283" i="6"/>
  <c r="W283" i="6"/>
  <c r="O283" i="6"/>
  <c r="K283" i="6" s="1"/>
  <c r="I284" i="6"/>
  <c r="M338" i="10" s="1"/>
  <c r="P284" i="6"/>
  <c r="Z338" i="10" s="1"/>
  <c r="U284" i="6"/>
  <c r="AN338" i="10" s="1"/>
  <c r="F284" i="6"/>
  <c r="G338" i="10" s="1"/>
  <c r="J284" i="6"/>
  <c r="O338" i="10" s="1"/>
  <c r="Q284" i="6"/>
  <c r="AD338" i="10" s="1"/>
  <c r="R284" i="6"/>
  <c r="AH338" i="10" s="1"/>
  <c r="N284" i="6"/>
  <c r="U338" i="10" s="1"/>
  <c r="L284" i="6"/>
  <c r="S338" i="10" s="1"/>
  <c r="S284" i="6"/>
  <c r="AJ338" i="10" s="1"/>
  <c r="H284" i="6"/>
  <c r="K338" i="10" s="1"/>
  <c r="T284" i="6"/>
  <c r="AL338" i="10" s="1"/>
  <c r="G284" i="6"/>
  <c r="I338" i="10" s="1"/>
  <c r="X284" i="6"/>
  <c r="Y284" i="6"/>
  <c r="AR338" i="10" s="1"/>
  <c r="D286" i="6"/>
  <c r="C285" i="6"/>
  <c r="E286" i="6"/>
  <c r="M285" i="6" l="1"/>
  <c r="W339" i="10" s="1"/>
  <c r="Z285" i="6"/>
  <c r="AP339" i="10" s="1"/>
  <c r="C339" i="10"/>
  <c r="Q337" i="10"/>
  <c r="Y337" i="10"/>
  <c r="W284" i="6"/>
  <c r="V284" i="6"/>
  <c r="O284" i="6"/>
  <c r="H285" i="6"/>
  <c r="K339" i="10" s="1"/>
  <c r="Q285" i="6"/>
  <c r="AD339" i="10" s="1"/>
  <c r="T285" i="6"/>
  <c r="AL339" i="10" s="1"/>
  <c r="Y285" i="6"/>
  <c r="AR339" i="10" s="1"/>
  <c r="I285" i="6"/>
  <c r="M339" i="10" s="1"/>
  <c r="R285" i="6"/>
  <c r="AH339" i="10" s="1"/>
  <c r="U285" i="6"/>
  <c r="AN339" i="10" s="1"/>
  <c r="G285" i="6"/>
  <c r="I339" i="10" s="1"/>
  <c r="L285" i="6"/>
  <c r="S339" i="10" s="1"/>
  <c r="S285" i="6"/>
  <c r="AJ339" i="10" s="1"/>
  <c r="F285" i="6"/>
  <c r="G339" i="10" s="1"/>
  <c r="J285" i="6"/>
  <c r="O339" i="10" s="1"/>
  <c r="P285" i="6"/>
  <c r="Z339" i="10" s="1"/>
  <c r="N285" i="6"/>
  <c r="U339" i="10" s="1"/>
  <c r="X285" i="6"/>
  <c r="D287" i="6"/>
  <c r="C286" i="6"/>
  <c r="E287" i="6"/>
  <c r="M286" i="6" l="1"/>
  <c r="W340" i="10" s="1"/>
  <c r="Z286" i="6"/>
  <c r="AP340" i="10" s="1"/>
  <c r="Y338" i="10"/>
  <c r="K284" i="6"/>
  <c r="Q338" i="10" s="1"/>
  <c r="C340" i="10"/>
  <c r="V285" i="6"/>
  <c r="W285" i="6"/>
  <c r="R286" i="6"/>
  <c r="AH340" i="10" s="1"/>
  <c r="I286" i="6"/>
  <c r="M340" i="10" s="1"/>
  <c r="H286" i="6"/>
  <c r="K340" i="10" s="1"/>
  <c r="G286" i="6"/>
  <c r="I340" i="10" s="1"/>
  <c r="F286" i="6"/>
  <c r="G340" i="10" s="1"/>
  <c r="J286" i="6"/>
  <c r="O340" i="10" s="1"/>
  <c r="P286" i="6"/>
  <c r="Z340" i="10" s="1"/>
  <c r="Q286" i="6"/>
  <c r="AD340" i="10" s="1"/>
  <c r="X286" i="6"/>
  <c r="L286" i="6"/>
  <c r="S340" i="10" s="1"/>
  <c r="N286" i="6"/>
  <c r="U340" i="10" s="1"/>
  <c r="S286" i="6"/>
  <c r="AJ340" i="10" s="1"/>
  <c r="T286" i="6"/>
  <c r="AL340" i="10" s="1"/>
  <c r="U286" i="6"/>
  <c r="AN340" i="10" s="1"/>
  <c r="Y286" i="6"/>
  <c r="AR340" i="10" s="1"/>
  <c r="O285" i="6"/>
  <c r="K285" i="6" s="1"/>
  <c r="D288" i="6"/>
  <c r="C287" i="6"/>
  <c r="E288" i="6"/>
  <c r="M287" i="6" l="1"/>
  <c r="W341" i="10" s="1"/>
  <c r="Z287" i="6"/>
  <c r="AP341" i="10" s="1"/>
  <c r="C341" i="10"/>
  <c r="Q339" i="10"/>
  <c r="Y339" i="10"/>
  <c r="V286" i="6"/>
  <c r="W286" i="6"/>
  <c r="H287" i="6"/>
  <c r="K341" i="10" s="1"/>
  <c r="N287" i="6"/>
  <c r="U341" i="10" s="1"/>
  <c r="Q287" i="6"/>
  <c r="AD341" i="10" s="1"/>
  <c r="U287" i="6"/>
  <c r="AN341" i="10" s="1"/>
  <c r="L287" i="6"/>
  <c r="S341" i="10" s="1"/>
  <c r="X287" i="6"/>
  <c r="Y287" i="6"/>
  <c r="AR341" i="10" s="1"/>
  <c r="J287" i="6"/>
  <c r="O341" i="10" s="1"/>
  <c r="T287" i="6"/>
  <c r="AL341" i="10" s="1"/>
  <c r="P287" i="6"/>
  <c r="Z341" i="10" s="1"/>
  <c r="F287" i="6"/>
  <c r="G341" i="10" s="1"/>
  <c r="I287" i="6"/>
  <c r="M341" i="10" s="1"/>
  <c r="S287" i="6"/>
  <c r="AJ341" i="10" s="1"/>
  <c r="R287" i="6"/>
  <c r="AH341" i="10" s="1"/>
  <c r="G287" i="6"/>
  <c r="I341" i="10" s="1"/>
  <c r="O286" i="6"/>
  <c r="D289" i="6"/>
  <c r="C288" i="6"/>
  <c r="E289" i="6"/>
  <c r="M288" i="6" l="1"/>
  <c r="W342" i="10" s="1"/>
  <c r="Z288" i="6"/>
  <c r="AP342" i="10" s="1"/>
  <c r="Y340" i="10"/>
  <c r="K286" i="6"/>
  <c r="Q340" i="10" s="1"/>
  <c r="C342" i="10"/>
  <c r="W287" i="6"/>
  <c r="V287" i="6"/>
  <c r="O287" i="6"/>
  <c r="P288" i="6"/>
  <c r="Z342" i="10" s="1"/>
  <c r="U288" i="6"/>
  <c r="AN342" i="10" s="1"/>
  <c r="X288" i="6"/>
  <c r="I288" i="6"/>
  <c r="M342" i="10" s="1"/>
  <c r="F288" i="6"/>
  <c r="G342" i="10" s="1"/>
  <c r="J288" i="6"/>
  <c r="O342" i="10" s="1"/>
  <c r="Y288" i="6"/>
  <c r="AR342" i="10" s="1"/>
  <c r="H288" i="6"/>
  <c r="K342" i="10" s="1"/>
  <c r="N288" i="6"/>
  <c r="U342" i="10" s="1"/>
  <c r="S288" i="6"/>
  <c r="AJ342" i="10" s="1"/>
  <c r="Q288" i="6"/>
  <c r="AD342" i="10" s="1"/>
  <c r="G288" i="6"/>
  <c r="I342" i="10" s="1"/>
  <c r="L288" i="6"/>
  <c r="S342" i="10" s="1"/>
  <c r="R288" i="6"/>
  <c r="AH342" i="10" s="1"/>
  <c r="T288" i="6"/>
  <c r="AL342" i="10" s="1"/>
  <c r="D290" i="6"/>
  <c r="C289" i="6"/>
  <c r="E290" i="6"/>
  <c r="M289" i="6" l="1"/>
  <c r="W343" i="10" s="1"/>
  <c r="Z289" i="6"/>
  <c r="AP343" i="10" s="1"/>
  <c r="Y341" i="10"/>
  <c r="K287" i="6"/>
  <c r="Q341" i="10" s="1"/>
  <c r="C343" i="10"/>
  <c r="W288" i="6"/>
  <c r="V288" i="6"/>
  <c r="O288" i="6"/>
  <c r="P289" i="6"/>
  <c r="Z343" i="10" s="1"/>
  <c r="S289" i="6"/>
  <c r="AJ343" i="10" s="1"/>
  <c r="Y289" i="6"/>
  <c r="AR343" i="10" s="1"/>
  <c r="J289" i="6"/>
  <c r="O343" i="10" s="1"/>
  <c r="N289" i="6"/>
  <c r="U343" i="10" s="1"/>
  <c r="R289" i="6"/>
  <c r="AH343" i="10" s="1"/>
  <c r="U289" i="6"/>
  <c r="AN343" i="10" s="1"/>
  <c r="Q289" i="6"/>
  <c r="AD343" i="10" s="1"/>
  <c r="X289" i="6"/>
  <c r="H289" i="6"/>
  <c r="K343" i="10" s="1"/>
  <c r="G289" i="6"/>
  <c r="I343" i="10" s="1"/>
  <c r="L289" i="6"/>
  <c r="S343" i="10" s="1"/>
  <c r="I289" i="6"/>
  <c r="M343" i="10" s="1"/>
  <c r="T289" i="6"/>
  <c r="AL343" i="10" s="1"/>
  <c r="F289" i="6"/>
  <c r="G343" i="10" s="1"/>
  <c r="D291" i="6"/>
  <c r="C290" i="6"/>
  <c r="E291" i="6"/>
  <c r="M290" i="6" l="1"/>
  <c r="W344" i="10" s="1"/>
  <c r="Z290" i="6"/>
  <c r="AP344" i="10" s="1"/>
  <c r="Y342" i="10"/>
  <c r="K288" i="6"/>
  <c r="Q342" i="10" s="1"/>
  <c r="C344" i="10"/>
  <c r="V289" i="6"/>
  <c r="W289" i="6"/>
  <c r="G290" i="6"/>
  <c r="I344" i="10" s="1"/>
  <c r="J290" i="6"/>
  <c r="O344" i="10" s="1"/>
  <c r="Y290" i="6"/>
  <c r="AR344" i="10" s="1"/>
  <c r="S290" i="6"/>
  <c r="AJ344" i="10" s="1"/>
  <c r="I290" i="6"/>
  <c r="M344" i="10" s="1"/>
  <c r="P290" i="6"/>
  <c r="Z344" i="10" s="1"/>
  <c r="U290" i="6"/>
  <c r="AN344" i="10" s="1"/>
  <c r="R290" i="6"/>
  <c r="AH344" i="10" s="1"/>
  <c r="X290" i="6"/>
  <c r="H290" i="6"/>
  <c r="K344" i="10" s="1"/>
  <c r="T290" i="6"/>
  <c r="AL344" i="10" s="1"/>
  <c r="F290" i="6"/>
  <c r="G344" i="10" s="1"/>
  <c r="L290" i="6"/>
  <c r="S344" i="10" s="1"/>
  <c r="Q290" i="6"/>
  <c r="AD344" i="10" s="1"/>
  <c r="N290" i="6"/>
  <c r="U344" i="10" s="1"/>
  <c r="O289" i="6"/>
  <c r="K289" i="6" s="1"/>
  <c r="D292" i="6"/>
  <c r="C291" i="6"/>
  <c r="E292" i="6"/>
  <c r="M291" i="6" l="1"/>
  <c r="W345" i="10" s="1"/>
  <c r="Z291" i="6"/>
  <c r="AP345" i="10" s="1"/>
  <c r="C345" i="10"/>
  <c r="Q343" i="10"/>
  <c r="Y343" i="10"/>
  <c r="W290" i="6"/>
  <c r="V290" i="6"/>
  <c r="J291" i="6"/>
  <c r="O345" i="10" s="1"/>
  <c r="T291" i="6"/>
  <c r="AL345" i="10" s="1"/>
  <c r="Q291" i="6"/>
  <c r="AD345" i="10" s="1"/>
  <c r="F291" i="6"/>
  <c r="G345" i="10" s="1"/>
  <c r="L291" i="6"/>
  <c r="S345" i="10" s="1"/>
  <c r="Y291" i="6"/>
  <c r="AR345" i="10" s="1"/>
  <c r="H291" i="6"/>
  <c r="K345" i="10" s="1"/>
  <c r="R291" i="6"/>
  <c r="AH345" i="10" s="1"/>
  <c r="P291" i="6"/>
  <c r="Z345" i="10" s="1"/>
  <c r="S291" i="6"/>
  <c r="AJ345" i="10" s="1"/>
  <c r="G291" i="6"/>
  <c r="I345" i="10" s="1"/>
  <c r="I291" i="6"/>
  <c r="M345" i="10" s="1"/>
  <c r="X291" i="6"/>
  <c r="U291" i="6"/>
  <c r="AN345" i="10" s="1"/>
  <c r="N291" i="6"/>
  <c r="U345" i="10" s="1"/>
  <c r="O290" i="6"/>
  <c r="D293" i="6"/>
  <c r="C292" i="6"/>
  <c r="E293" i="6"/>
  <c r="M292" i="6" l="1"/>
  <c r="W346" i="10" s="1"/>
  <c r="Z292" i="6"/>
  <c r="AP346" i="10" s="1"/>
  <c r="Y344" i="10"/>
  <c r="K290" i="6"/>
  <c r="Q344" i="10" s="1"/>
  <c r="C346" i="10"/>
  <c r="V291" i="6"/>
  <c r="W291" i="6"/>
  <c r="O291" i="6"/>
  <c r="K291" i="6" s="1"/>
  <c r="Y292" i="6"/>
  <c r="AR346" i="10" s="1"/>
  <c r="U292" i="6"/>
  <c r="AN346" i="10" s="1"/>
  <c r="X292" i="6"/>
  <c r="H292" i="6"/>
  <c r="K346" i="10" s="1"/>
  <c r="N292" i="6"/>
  <c r="U346" i="10" s="1"/>
  <c r="R292" i="6"/>
  <c r="AH346" i="10" s="1"/>
  <c r="I292" i="6"/>
  <c r="M346" i="10" s="1"/>
  <c r="T292" i="6"/>
  <c r="AL346" i="10" s="1"/>
  <c r="G292" i="6"/>
  <c r="I346" i="10" s="1"/>
  <c r="L292" i="6"/>
  <c r="S346" i="10" s="1"/>
  <c r="P292" i="6"/>
  <c r="Z346" i="10" s="1"/>
  <c r="S292" i="6"/>
  <c r="AJ346" i="10" s="1"/>
  <c r="J292" i="6"/>
  <c r="O346" i="10" s="1"/>
  <c r="F292" i="6"/>
  <c r="G346" i="10" s="1"/>
  <c r="Q292" i="6"/>
  <c r="AD346" i="10" s="1"/>
  <c r="D294" i="6"/>
  <c r="C293" i="6"/>
  <c r="E294" i="6"/>
  <c r="M293" i="6" l="1"/>
  <c r="W347" i="10" s="1"/>
  <c r="Z293" i="6"/>
  <c r="AP347" i="10" s="1"/>
  <c r="C347" i="10"/>
  <c r="Q345" i="10"/>
  <c r="Y345" i="10"/>
  <c r="W292" i="6"/>
  <c r="V292" i="6"/>
  <c r="O292" i="6"/>
  <c r="K292" i="6" s="1"/>
  <c r="U293" i="6"/>
  <c r="AN347" i="10" s="1"/>
  <c r="G293" i="6"/>
  <c r="I347" i="10" s="1"/>
  <c r="Q293" i="6"/>
  <c r="AD347" i="10" s="1"/>
  <c r="J293" i="6"/>
  <c r="O347" i="10" s="1"/>
  <c r="X293" i="6"/>
  <c r="H293" i="6"/>
  <c r="K347" i="10" s="1"/>
  <c r="N293" i="6"/>
  <c r="U347" i="10" s="1"/>
  <c r="I293" i="6"/>
  <c r="M347" i="10" s="1"/>
  <c r="L293" i="6"/>
  <c r="S347" i="10" s="1"/>
  <c r="S293" i="6"/>
  <c r="AJ347" i="10" s="1"/>
  <c r="Y293" i="6"/>
  <c r="AR347" i="10" s="1"/>
  <c r="P293" i="6"/>
  <c r="Z347" i="10" s="1"/>
  <c r="T293" i="6"/>
  <c r="AL347" i="10" s="1"/>
  <c r="R293" i="6"/>
  <c r="AH347" i="10" s="1"/>
  <c r="F293" i="6"/>
  <c r="G347" i="10" s="1"/>
  <c r="D295" i="6"/>
  <c r="C294" i="6"/>
  <c r="E295" i="6"/>
  <c r="M294" i="6" l="1"/>
  <c r="W348" i="10" s="1"/>
  <c r="Z294" i="6"/>
  <c r="AP348" i="10" s="1"/>
  <c r="C348" i="10"/>
  <c r="Q346" i="10"/>
  <c r="Y346" i="10"/>
  <c r="V293" i="6"/>
  <c r="W293" i="6"/>
  <c r="U294" i="6"/>
  <c r="AN348" i="10" s="1"/>
  <c r="G294" i="6"/>
  <c r="I348" i="10" s="1"/>
  <c r="N294" i="6"/>
  <c r="U348" i="10" s="1"/>
  <c r="R294" i="6"/>
  <c r="AH348" i="10" s="1"/>
  <c r="Y294" i="6"/>
  <c r="AR348" i="10" s="1"/>
  <c r="J294" i="6"/>
  <c r="O348" i="10" s="1"/>
  <c r="X294" i="6"/>
  <c r="H294" i="6"/>
  <c r="K348" i="10" s="1"/>
  <c r="P294" i="6"/>
  <c r="Z348" i="10" s="1"/>
  <c r="T294" i="6"/>
  <c r="AL348" i="10" s="1"/>
  <c r="L294" i="6"/>
  <c r="S348" i="10" s="1"/>
  <c r="S294" i="6"/>
  <c r="AJ348" i="10" s="1"/>
  <c r="I294" i="6"/>
  <c r="M348" i="10" s="1"/>
  <c r="F294" i="6"/>
  <c r="G348" i="10" s="1"/>
  <c r="Q294" i="6"/>
  <c r="AD348" i="10" s="1"/>
  <c r="O293" i="6"/>
  <c r="D296" i="6"/>
  <c r="C295" i="6"/>
  <c r="E296" i="6"/>
  <c r="M295" i="6" l="1"/>
  <c r="W349" i="10" s="1"/>
  <c r="Z295" i="6"/>
  <c r="AP349" i="10" s="1"/>
  <c r="Y347" i="10"/>
  <c r="K293" i="6"/>
  <c r="Q347" i="10" s="1"/>
  <c r="C349" i="10"/>
  <c r="V294" i="6"/>
  <c r="W294" i="6"/>
  <c r="O294" i="6"/>
  <c r="K294" i="6" s="1"/>
  <c r="F295" i="6"/>
  <c r="G349" i="10" s="1"/>
  <c r="L295" i="6"/>
  <c r="S349" i="10" s="1"/>
  <c r="H295" i="6"/>
  <c r="K349" i="10" s="1"/>
  <c r="Q295" i="6"/>
  <c r="AD349" i="10" s="1"/>
  <c r="J295" i="6"/>
  <c r="O349" i="10" s="1"/>
  <c r="U295" i="6"/>
  <c r="AN349" i="10" s="1"/>
  <c r="Y295" i="6"/>
  <c r="AR349" i="10" s="1"/>
  <c r="P295" i="6"/>
  <c r="Z349" i="10" s="1"/>
  <c r="G295" i="6"/>
  <c r="I349" i="10" s="1"/>
  <c r="I295" i="6"/>
  <c r="M349" i="10" s="1"/>
  <c r="T295" i="6"/>
  <c r="AL349" i="10" s="1"/>
  <c r="R295" i="6"/>
  <c r="AH349" i="10" s="1"/>
  <c r="X295" i="6"/>
  <c r="S295" i="6"/>
  <c r="AJ349" i="10" s="1"/>
  <c r="N295" i="6"/>
  <c r="U349" i="10" s="1"/>
  <c r="D297" i="6"/>
  <c r="C296" i="6"/>
  <c r="E297" i="6"/>
  <c r="M296" i="6" l="1"/>
  <c r="W350" i="10" s="1"/>
  <c r="Z296" i="6"/>
  <c r="AP350" i="10" s="1"/>
  <c r="C350" i="10"/>
  <c r="Q348" i="10"/>
  <c r="Y348" i="10"/>
  <c r="W295" i="6"/>
  <c r="V295" i="6"/>
  <c r="O295" i="6"/>
  <c r="K295" i="6" s="1"/>
  <c r="R296" i="6"/>
  <c r="AH350" i="10" s="1"/>
  <c r="G296" i="6"/>
  <c r="I350" i="10" s="1"/>
  <c r="S296" i="6"/>
  <c r="AJ350" i="10" s="1"/>
  <c r="L296" i="6"/>
  <c r="S350" i="10" s="1"/>
  <c r="Y296" i="6"/>
  <c r="AR350" i="10" s="1"/>
  <c r="F296" i="6"/>
  <c r="G350" i="10" s="1"/>
  <c r="T296" i="6"/>
  <c r="AL350" i="10" s="1"/>
  <c r="N296" i="6"/>
  <c r="U350" i="10" s="1"/>
  <c r="X296" i="6"/>
  <c r="I296" i="6"/>
  <c r="M350" i="10" s="1"/>
  <c r="U296" i="6"/>
  <c r="AN350" i="10" s="1"/>
  <c r="P296" i="6"/>
  <c r="Z350" i="10" s="1"/>
  <c r="Q296" i="6"/>
  <c r="AD350" i="10" s="1"/>
  <c r="H296" i="6"/>
  <c r="K350" i="10" s="1"/>
  <c r="J296" i="6"/>
  <c r="O350" i="10" s="1"/>
  <c r="D298" i="6"/>
  <c r="C297" i="6"/>
  <c r="E298" i="6"/>
  <c r="M297" i="6" l="1"/>
  <c r="W351" i="10" s="1"/>
  <c r="Z297" i="6"/>
  <c r="AP351" i="10" s="1"/>
  <c r="C351" i="10"/>
  <c r="Q349" i="10"/>
  <c r="Y349" i="10"/>
  <c r="V296" i="6"/>
  <c r="W296" i="6"/>
  <c r="O296" i="6"/>
  <c r="U297" i="6"/>
  <c r="AN351" i="10" s="1"/>
  <c r="N297" i="6"/>
  <c r="U351" i="10" s="1"/>
  <c r="S297" i="6"/>
  <c r="AJ351" i="10" s="1"/>
  <c r="Y297" i="6"/>
  <c r="AR351" i="10" s="1"/>
  <c r="G297" i="6"/>
  <c r="I351" i="10" s="1"/>
  <c r="Q297" i="6"/>
  <c r="AD351" i="10" s="1"/>
  <c r="T297" i="6"/>
  <c r="AL351" i="10" s="1"/>
  <c r="I297" i="6"/>
  <c r="M351" i="10" s="1"/>
  <c r="F297" i="6"/>
  <c r="G351" i="10" s="1"/>
  <c r="J297" i="6"/>
  <c r="O351" i="10" s="1"/>
  <c r="R297" i="6"/>
  <c r="AH351" i="10" s="1"/>
  <c r="L297" i="6"/>
  <c r="S351" i="10" s="1"/>
  <c r="X297" i="6"/>
  <c r="H297" i="6"/>
  <c r="K351" i="10" s="1"/>
  <c r="P297" i="6"/>
  <c r="Z351" i="10" s="1"/>
  <c r="D299" i="6"/>
  <c r="C298" i="6"/>
  <c r="E299" i="6"/>
  <c r="M298" i="6" l="1"/>
  <c r="W352" i="10" s="1"/>
  <c r="Z298" i="6"/>
  <c r="AP352" i="10" s="1"/>
  <c r="Y350" i="10"/>
  <c r="K296" i="6"/>
  <c r="Q350" i="10" s="1"/>
  <c r="C352" i="10"/>
  <c r="W297" i="6"/>
  <c r="V297" i="6"/>
  <c r="J298" i="6"/>
  <c r="O352" i="10" s="1"/>
  <c r="R298" i="6"/>
  <c r="AH352" i="10" s="1"/>
  <c r="U298" i="6"/>
  <c r="AN352" i="10" s="1"/>
  <c r="Y298" i="6"/>
  <c r="AR352" i="10" s="1"/>
  <c r="X298" i="6"/>
  <c r="F298" i="6"/>
  <c r="G352" i="10" s="1"/>
  <c r="L298" i="6"/>
  <c r="S352" i="10" s="1"/>
  <c r="P298" i="6"/>
  <c r="Z352" i="10" s="1"/>
  <c r="H298" i="6"/>
  <c r="K352" i="10" s="1"/>
  <c r="N298" i="6"/>
  <c r="U352" i="10" s="1"/>
  <c r="T298" i="6"/>
  <c r="AL352" i="10" s="1"/>
  <c r="I298" i="6"/>
  <c r="M352" i="10" s="1"/>
  <c r="Q298" i="6"/>
  <c r="AD352" i="10" s="1"/>
  <c r="S298" i="6"/>
  <c r="AJ352" i="10" s="1"/>
  <c r="G298" i="6"/>
  <c r="I352" i="10" s="1"/>
  <c r="O297" i="6"/>
  <c r="D300" i="6"/>
  <c r="C299" i="6"/>
  <c r="E300" i="6"/>
  <c r="M299" i="6" l="1"/>
  <c r="W353" i="10" s="1"/>
  <c r="Z299" i="6"/>
  <c r="AP353" i="10" s="1"/>
  <c r="Y351" i="10"/>
  <c r="K297" i="6"/>
  <c r="Q351" i="10" s="1"/>
  <c r="C353" i="10"/>
  <c r="V298" i="6"/>
  <c r="W298" i="6"/>
  <c r="O298" i="6"/>
  <c r="G299" i="6"/>
  <c r="I353" i="10" s="1"/>
  <c r="X299" i="6"/>
  <c r="L299" i="6"/>
  <c r="S353" i="10" s="1"/>
  <c r="J299" i="6"/>
  <c r="O353" i="10" s="1"/>
  <c r="Q299" i="6"/>
  <c r="AD353" i="10" s="1"/>
  <c r="N299" i="6"/>
  <c r="U353" i="10" s="1"/>
  <c r="F299" i="6"/>
  <c r="G353" i="10" s="1"/>
  <c r="U299" i="6"/>
  <c r="AN353" i="10" s="1"/>
  <c r="R299" i="6"/>
  <c r="AH353" i="10" s="1"/>
  <c r="S299" i="6"/>
  <c r="AJ353" i="10" s="1"/>
  <c r="P299" i="6"/>
  <c r="Z353" i="10" s="1"/>
  <c r="T299" i="6"/>
  <c r="AL353" i="10" s="1"/>
  <c r="I299" i="6"/>
  <c r="M353" i="10" s="1"/>
  <c r="H299" i="6"/>
  <c r="K353" i="10" s="1"/>
  <c r="Y299" i="6"/>
  <c r="AR353" i="10" s="1"/>
  <c r="D301" i="6"/>
  <c r="C300" i="6"/>
  <c r="E301" i="6"/>
  <c r="M300" i="6" l="1"/>
  <c r="W354" i="10" s="1"/>
  <c r="Z300" i="6"/>
  <c r="AP354" i="10" s="1"/>
  <c r="Y352" i="10"/>
  <c r="K298" i="6"/>
  <c r="Q352" i="10" s="1"/>
  <c r="C354" i="10"/>
  <c r="V299" i="6"/>
  <c r="W299" i="6"/>
  <c r="F300" i="6"/>
  <c r="G354" i="10" s="1"/>
  <c r="L300" i="6"/>
  <c r="S354" i="10" s="1"/>
  <c r="S300" i="6"/>
  <c r="AJ354" i="10" s="1"/>
  <c r="U300" i="6"/>
  <c r="AN354" i="10" s="1"/>
  <c r="N300" i="6"/>
  <c r="U354" i="10" s="1"/>
  <c r="T300" i="6"/>
  <c r="AL354" i="10" s="1"/>
  <c r="Y300" i="6"/>
  <c r="AR354" i="10" s="1"/>
  <c r="X300" i="6"/>
  <c r="I300" i="6"/>
  <c r="M354" i="10" s="1"/>
  <c r="P300" i="6"/>
  <c r="Z354" i="10" s="1"/>
  <c r="R300" i="6"/>
  <c r="AH354" i="10" s="1"/>
  <c r="G300" i="6"/>
  <c r="I354" i="10" s="1"/>
  <c r="J300" i="6"/>
  <c r="O354" i="10" s="1"/>
  <c r="Q300" i="6"/>
  <c r="AD354" i="10" s="1"/>
  <c r="H300" i="6"/>
  <c r="K354" i="10" s="1"/>
  <c r="O299" i="6"/>
  <c r="D302" i="6"/>
  <c r="C301" i="6"/>
  <c r="E302" i="6"/>
  <c r="M301" i="6" l="1"/>
  <c r="W355" i="10" s="1"/>
  <c r="Z301" i="6"/>
  <c r="AP355" i="10" s="1"/>
  <c r="Y353" i="10"/>
  <c r="K299" i="6"/>
  <c r="Q353" i="10" s="1"/>
  <c r="C355" i="10"/>
  <c r="V300" i="6"/>
  <c r="W300" i="6"/>
  <c r="L301" i="6"/>
  <c r="S355" i="10" s="1"/>
  <c r="N301" i="6"/>
  <c r="U355" i="10" s="1"/>
  <c r="U301" i="6"/>
  <c r="AN355" i="10" s="1"/>
  <c r="I301" i="6"/>
  <c r="M355" i="10" s="1"/>
  <c r="G301" i="6"/>
  <c r="I355" i="10" s="1"/>
  <c r="J301" i="6"/>
  <c r="O355" i="10" s="1"/>
  <c r="F301" i="6"/>
  <c r="G355" i="10" s="1"/>
  <c r="H301" i="6"/>
  <c r="K355" i="10" s="1"/>
  <c r="Q301" i="6"/>
  <c r="AD355" i="10" s="1"/>
  <c r="S301" i="6"/>
  <c r="AJ355" i="10" s="1"/>
  <c r="X301" i="6"/>
  <c r="R301" i="6"/>
  <c r="AH355" i="10" s="1"/>
  <c r="T301" i="6"/>
  <c r="AL355" i="10" s="1"/>
  <c r="Y301" i="6"/>
  <c r="AR355" i="10" s="1"/>
  <c r="P301" i="6"/>
  <c r="Z355" i="10" s="1"/>
  <c r="O300" i="6"/>
  <c r="D303" i="6"/>
  <c r="C302" i="6"/>
  <c r="E303" i="6"/>
  <c r="M302" i="6" l="1"/>
  <c r="W356" i="10" s="1"/>
  <c r="Z302" i="6"/>
  <c r="AP356" i="10" s="1"/>
  <c r="Y354" i="10"/>
  <c r="K300" i="6"/>
  <c r="Q354" i="10" s="1"/>
  <c r="C356" i="10"/>
  <c r="W301" i="6"/>
  <c r="V301" i="6"/>
  <c r="O301" i="6"/>
  <c r="U302" i="6"/>
  <c r="AN356" i="10" s="1"/>
  <c r="H302" i="6"/>
  <c r="K356" i="10" s="1"/>
  <c r="N302" i="6"/>
  <c r="U356" i="10" s="1"/>
  <c r="J302" i="6"/>
  <c r="O356" i="10" s="1"/>
  <c r="R302" i="6"/>
  <c r="AH356" i="10" s="1"/>
  <c r="Q302" i="6"/>
  <c r="AD356" i="10" s="1"/>
  <c r="S302" i="6"/>
  <c r="AJ356" i="10" s="1"/>
  <c r="F302" i="6"/>
  <c r="G356" i="10" s="1"/>
  <c r="Y302" i="6"/>
  <c r="AR356" i="10" s="1"/>
  <c r="X302" i="6"/>
  <c r="T302" i="6"/>
  <c r="AL356" i="10" s="1"/>
  <c r="P302" i="6"/>
  <c r="Z356" i="10" s="1"/>
  <c r="G302" i="6"/>
  <c r="I356" i="10" s="1"/>
  <c r="L302" i="6"/>
  <c r="S356" i="10" s="1"/>
  <c r="I302" i="6"/>
  <c r="M356" i="10" s="1"/>
  <c r="D304" i="6"/>
  <c r="C303" i="6"/>
  <c r="E304" i="6"/>
  <c r="M303" i="6" l="1"/>
  <c r="W357" i="10" s="1"/>
  <c r="Z303" i="6"/>
  <c r="AP357" i="10" s="1"/>
  <c r="Y355" i="10"/>
  <c r="K301" i="6"/>
  <c r="Q355" i="10" s="1"/>
  <c r="C357" i="10"/>
  <c r="V302" i="6"/>
  <c r="W302" i="6"/>
  <c r="F303" i="6"/>
  <c r="G357" i="10" s="1"/>
  <c r="L303" i="6"/>
  <c r="S357" i="10" s="1"/>
  <c r="R303" i="6"/>
  <c r="AH357" i="10" s="1"/>
  <c r="G303" i="6"/>
  <c r="I357" i="10" s="1"/>
  <c r="X303" i="6"/>
  <c r="Y303" i="6"/>
  <c r="AR357" i="10" s="1"/>
  <c r="Q303" i="6"/>
  <c r="AD357" i="10" s="1"/>
  <c r="T303" i="6"/>
  <c r="AL357" i="10" s="1"/>
  <c r="I303" i="6"/>
  <c r="M357" i="10" s="1"/>
  <c r="P303" i="6"/>
  <c r="Z357" i="10" s="1"/>
  <c r="N303" i="6"/>
  <c r="U357" i="10" s="1"/>
  <c r="J303" i="6"/>
  <c r="O357" i="10" s="1"/>
  <c r="S303" i="6"/>
  <c r="AJ357" i="10" s="1"/>
  <c r="H303" i="6"/>
  <c r="K357" i="10" s="1"/>
  <c r="U303" i="6"/>
  <c r="AN357" i="10" s="1"/>
  <c r="O302" i="6"/>
  <c r="D305" i="6"/>
  <c r="C304" i="6"/>
  <c r="E305" i="6"/>
  <c r="M304" i="6" l="1"/>
  <c r="W358" i="10" s="1"/>
  <c r="Z304" i="6"/>
  <c r="AP358" i="10" s="1"/>
  <c r="Y356" i="10"/>
  <c r="K302" i="6"/>
  <c r="Q356" i="10" s="1"/>
  <c r="C358" i="10"/>
  <c r="V303" i="6"/>
  <c r="W303" i="6"/>
  <c r="O303" i="6"/>
  <c r="K303" i="6" s="1"/>
  <c r="R304" i="6"/>
  <c r="AH358" i="10" s="1"/>
  <c r="Q304" i="6"/>
  <c r="AD358" i="10" s="1"/>
  <c r="G304" i="6"/>
  <c r="I358" i="10" s="1"/>
  <c r="J304" i="6"/>
  <c r="O358" i="10" s="1"/>
  <c r="H304" i="6"/>
  <c r="K358" i="10" s="1"/>
  <c r="N304" i="6"/>
  <c r="U358" i="10" s="1"/>
  <c r="P304" i="6"/>
  <c r="Z358" i="10" s="1"/>
  <c r="S304" i="6"/>
  <c r="AJ358" i="10" s="1"/>
  <c r="L304" i="6"/>
  <c r="S358" i="10" s="1"/>
  <c r="T304" i="6"/>
  <c r="AL358" i="10" s="1"/>
  <c r="I304" i="6"/>
  <c r="M358" i="10" s="1"/>
  <c r="U304" i="6"/>
  <c r="AN358" i="10" s="1"/>
  <c r="Y304" i="6"/>
  <c r="AR358" i="10" s="1"/>
  <c r="F304" i="6"/>
  <c r="G358" i="10" s="1"/>
  <c r="X304" i="6"/>
  <c r="D306" i="6"/>
  <c r="C305" i="6"/>
  <c r="E306" i="6"/>
  <c r="M305" i="6" l="1"/>
  <c r="W359" i="10" s="1"/>
  <c r="Z305" i="6"/>
  <c r="AP359" i="10" s="1"/>
  <c r="C359" i="10"/>
  <c r="Q357" i="10"/>
  <c r="Y357" i="10"/>
  <c r="W304" i="6"/>
  <c r="V304" i="6"/>
  <c r="O304" i="6"/>
  <c r="H305" i="6"/>
  <c r="K359" i="10" s="1"/>
  <c r="N305" i="6"/>
  <c r="U359" i="10" s="1"/>
  <c r="T305" i="6"/>
  <c r="AL359" i="10" s="1"/>
  <c r="I305" i="6"/>
  <c r="M359" i="10" s="1"/>
  <c r="P305" i="6"/>
  <c r="Z359" i="10" s="1"/>
  <c r="U305" i="6"/>
  <c r="AN359" i="10" s="1"/>
  <c r="J305" i="6"/>
  <c r="O359" i="10" s="1"/>
  <c r="Q305" i="6"/>
  <c r="AD359" i="10" s="1"/>
  <c r="F305" i="6"/>
  <c r="G359" i="10" s="1"/>
  <c r="S305" i="6"/>
  <c r="AJ359" i="10" s="1"/>
  <c r="G305" i="6"/>
  <c r="I359" i="10" s="1"/>
  <c r="R305" i="6"/>
  <c r="AH359" i="10" s="1"/>
  <c r="X305" i="6"/>
  <c r="L305" i="6"/>
  <c r="S359" i="10" s="1"/>
  <c r="Y305" i="6"/>
  <c r="AR359" i="10" s="1"/>
  <c r="D307" i="6"/>
  <c r="C306" i="6"/>
  <c r="E307" i="6"/>
  <c r="M306" i="6" l="1"/>
  <c r="W360" i="10" s="1"/>
  <c r="Z306" i="6"/>
  <c r="AP360" i="10" s="1"/>
  <c r="Y358" i="10"/>
  <c r="K304" i="6"/>
  <c r="Q358" i="10" s="1"/>
  <c r="C360" i="10"/>
  <c r="V305" i="6"/>
  <c r="W305" i="6"/>
  <c r="O305" i="6"/>
  <c r="K305" i="6" s="1"/>
  <c r="H306" i="6"/>
  <c r="K360" i="10" s="1"/>
  <c r="J306" i="6"/>
  <c r="O360" i="10" s="1"/>
  <c r="F306" i="6"/>
  <c r="G360" i="10" s="1"/>
  <c r="Q306" i="6"/>
  <c r="AD360" i="10" s="1"/>
  <c r="Y306" i="6"/>
  <c r="AR360" i="10" s="1"/>
  <c r="I306" i="6"/>
  <c r="M360" i="10" s="1"/>
  <c r="X306" i="6"/>
  <c r="N306" i="6"/>
  <c r="U360" i="10" s="1"/>
  <c r="T306" i="6"/>
  <c r="AL360" i="10" s="1"/>
  <c r="P306" i="6"/>
  <c r="Z360" i="10" s="1"/>
  <c r="S306" i="6"/>
  <c r="AJ360" i="10" s="1"/>
  <c r="R306" i="6"/>
  <c r="AH360" i="10" s="1"/>
  <c r="U306" i="6"/>
  <c r="AN360" i="10" s="1"/>
  <c r="G306" i="6"/>
  <c r="I360" i="10" s="1"/>
  <c r="L306" i="6"/>
  <c r="S360" i="10" s="1"/>
  <c r="D308" i="6"/>
  <c r="C307" i="6"/>
  <c r="E308" i="6"/>
  <c r="M307" i="6" l="1"/>
  <c r="W361" i="10" s="1"/>
  <c r="Z307" i="6"/>
  <c r="AP361" i="10" s="1"/>
  <c r="C361" i="10"/>
  <c r="Q359" i="10"/>
  <c r="Y359" i="10"/>
  <c r="V306" i="6"/>
  <c r="W306" i="6"/>
  <c r="P307" i="6"/>
  <c r="Z361" i="10" s="1"/>
  <c r="I307" i="6"/>
  <c r="M361" i="10" s="1"/>
  <c r="N307" i="6"/>
  <c r="U361" i="10" s="1"/>
  <c r="H307" i="6"/>
  <c r="K361" i="10" s="1"/>
  <c r="Y307" i="6"/>
  <c r="AR361" i="10" s="1"/>
  <c r="X307" i="6"/>
  <c r="L307" i="6"/>
  <c r="S361" i="10" s="1"/>
  <c r="S307" i="6"/>
  <c r="AJ361" i="10" s="1"/>
  <c r="R307" i="6"/>
  <c r="AH361" i="10" s="1"/>
  <c r="F307" i="6"/>
  <c r="G361" i="10" s="1"/>
  <c r="Q307" i="6"/>
  <c r="AD361" i="10" s="1"/>
  <c r="T307" i="6"/>
  <c r="AL361" i="10" s="1"/>
  <c r="U307" i="6"/>
  <c r="AN361" i="10" s="1"/>
  <c r="G307" i="6"/>
  <c r="I361" i="10" s="1"/>
  <c r="J307" i="6"/>
  <c r="O361" i="10" s="1"/>
  <c r="O306" i="6"/>
  <c r="K306" i="6" s="1"/>
  <c r="D309" i="6"/>
  <c r="C308" i="6"/>
  <c r="E309" i="6"/>
  <c r="M308" i="6" l="1"/>
  <c r="W362" i="10" s="1"/>
  <c r="Z308" i="6"/>
  <c r="AP362" i="10" s="1"/>
  <c r="C362" i="10"/>
  <c r="Q360" i="10"/>
  <c r="Y360" i="10"/>
  <c r="V307" i="6"/>
  <c r="W307" i="6"/>
  <c r="T308" i="6"/>
  <c r="AL362" i="10" s="1"/>
  <c r="L308" i="6"/>
  <c r="S362" i="10" s="1"/>
  <c r="P308" i="6"/>
  <c r="Z362" i="10" s="1"/>
  <c r="X308" i="6"/>
  <c r="Q308" i="6"/>
  <c r="AD362" i="10" s="1"/>
  <c r="Y308" i="6"/>
  <c r="AR362" i="10" s="1"/>
  <c r="U308" i="6"/>
  <c r="AN362" i="10" s="1"/>
  <c r="S308" i="6"/>
  <c r="AJ362" i="10" s="1"/>
  <c r="R308" i="6"/>
  <c r="AH362" i="10" s="1"/>
  <c r="H308" i="6"/>
  <c r="K362" i="10" s="1"/>
  <c r="I308" i="6"/>
  <c r="M362" i="10" s="1"/>
  <c r="G308" i="6"/>
  <c r="I362" i="10" s="1"/>
  <c r="J308" i="6"/>
  <c r="O362" i="10" s="1"/>
  <c r="N308" i="6"/>
  <c r="U362" i="10" s="1"/>
  <c r="F308" i="6"/>
  <c r="G362" i="10" s="1"/>
  <c r="O307" i="6"/>
  <c r="D310" i="6"/>
  <c r="C309" i="6"/>
  <c r="E310" i="6"/>
  <c r="M309" i="6" l="1"/>
  <c r="W363" i="10" s="1"/>
  <c r="Z309" i="6"/>
  <c r="AP363" i="10" s="1"/>
  <c r="Y361" i="10"/>
  <c r="K307" i="6"/>
  <c r="Q361" i="10" s="1"/>
  <c r="C363" i="10"/>
  <c r="V308" i="6"/>
  <c r="W308" i="6"/>
  <c r="L309" i="6"/>
  <c r="S363" i="10" s="1"/>
  <c r="P309" i="6"/>
  <c r="Z363" i="10" s="1"/>
  <c r="F309" i="6"/>
  <c r="G363" i="10" s="1"/>
  <c r="G309" i="6"/>
  <c r="I363" i="10" s="1"/>
  <c r="S309" i="6"/>
  <c r="AJ363" i="10" s="1"/>
  <c r="I309" i="6"/>
  <c r="M363" i="10" s="1"/>
  <c r="T309" i="6"/>
  <c r="AL363" i="10" s="1"/>
  <c r="Q309" i="6"/>
  <c r="AD363" i="10" s="1"/>
  <c r="Y309" i="6"/>
  <c r="AR363" i="10" s="1"/>
  <c r="X309" i="6"/>
  <c r="J309" i="6"/>
  <c r="O363" i="10" s="1"/>
  <c r="R309" i="6"/>
  <c r="AH363" i="10" s="1"/>
  <c r="U309" i="6"/>
  <c r="AN363" i="10" s="1"/>
  <c r="N309" i="6"/>
  <c r="U363" i="10" s="1"/>
  <c r="H309" i="6"/>
  <c r="K363" i="10" s="1"/>
  <c r="O308" i="6"/>
  <c r="K308" i="6" s="1"/>
  <c r="D311" i="6"/>
  <c r="C310" i="6"/>
  <c r="E311" i="6"/>
  <c r="M310" i="6" l="1"/>
  <c r="W364" i="10" s="1"/>
  <c r="Z310" i="6"/>
  <c r="AP364" i="10" s="1"/>
  <c r="C364" i="10"/>
  <c r="Q362" i="10"/>
  <c r="Y362" i="10"/>
  <c r="W309" i="6"/>
  <c r="V309" i="6"/>
  <c r="O309" i="6"/>
  <c r="K309" i="6" s="1"/>
  <c r="I310" i="6"/>
  <c r="M364" i="10" s="1"/>
  <c r="L310" i="6"/>
  <c r="S364" i="10" s="1"/>
  <c r="G310" i="6"/>
  <c r="I364" i="10" s="1"/>
  <c r="H310" i="6"/>
  <c r="K364" i="10" s="1"/>
  <c r="N310" i="6"/>
  <c r="U364" i="10" s="1"/>
  <c r="R310" i="6"/>
  <c r="AH364" i="10" s="1"/>
  <c r="Q310" i="6"/>
  <c r="AD364" i="10" s="1"/>
  <c r="U310" i="6"/>
  <c r="AN364" i="10" s="1"/>
  <c r="P310" i="6"/>
  <c r="Z364" i="10" s="1"/>
  <c r="Y310" i="6"/>
  <c r="AR364" i="10" s="1"/>
  <c r="J310" i="6"/>
  <c r="O364" i="10" s="1"/>
  <c r="T310" i="6"/>
  <c r="AL364" i="10" s="1"/>
  <c r="X310" i="6"/>
  <c r="F310" i="6"/>
  <c r="G364" i="10" s="1"/>
  <c r="S310" i="6"/>
  <c r="AJ364" i="10" s="1"/>
  <c r="D312" i="6"/>
  <c r="C311" i="6"/>
  <c r="E312" i="6"/>
  <c r="M311" i="6" l="1"/>
  <c r="W365" i="10" s="1"/>
  <c r="Z311" i="6"/>
  <c r="AP365" i="10" s="1"/>
  <c r="C365" i="10"/>
  <c r="Q363" i="10"/>
  <c r="Y363" i="10"/>
  <c r="V310" i="6"/>
  <c r="W310" i="6"/>
  <c r="O310" i="6"/>
  <c r="K310" i="6" s="1"/>
  <c r="H311" i="6"/>
  <c r="K365" i="10" s="1"/>
  <c r="Q311" i="6"/>
  <c r="AD365" i="10" s="1"/>
  <c r="L311" i="6"/>
  <c r="S365" i="10" s="1"/>
  <c r="G311" i="6"/>
  <c r="I365" i="10" s="1"/>
  <c r="X311" i="6"/>
  <c r="Y311" i="6"/>
  <c r="AR365" i="10" s="1"/>
  <c r="P311" i="6"/>
  <c r="Z365" i="10" s="1"/>
  <c r="J311" i="6"/>
  <c r="O365" i="10" s="1"/>
  <c r="N311" i="6"/>
  <c r="U365" i="10" s="1"/>
  <c r="I311" i="6"/>
  <c r="M365" i="10" s="1"/>
  <c r="S311" i="6"/>
  <c r="AJ365" i="10" s="1"/>
  <c r="U311" i="6"/>
  <c r="AN365" i="10" s="1"/>
  <c r="R311" i="6"/>
  <c r="AH365" i="10" s="1"/>
  <c r="T311" i="6"/>
  <c r="AL365" i="10" s="1"/>
  <c r="F311" i="6"/>
  <c r="G365" i="10" s="1"/>
  <c r="D313" i="6"/>
  <c r="C312" i="6"/>
  <c r="E313" i="6"/>
  <c r="M312" i="6" l="1"/>
  <c r="W366" i="10" s="1"/>
  <c r="Z312" i="6"/>
  <c r="AP366" i="10" s="1"/>
  <c r="C366" i="10"/>
  <c r="Q364" i="10"/>
  <c r="Y364" i="10"/>
  <c r="W311" i="6"/>
  <c r="V311" i="6"/>
  <c r="O311" i="6"/>
  <c r="K311" i="6" s="1"/>
  <c r="N312" i="6"/>
  <c r="U366" i="10" s="1"/>
  <c r="P312" i="6"/>
  <c r="Z366" i="10" s="1"/>
  <c r="H312" i="6"/>
  <c r="K366" i="10" s="1"/>
  <c r="I312" i="6"/>
  <c r="M366" i="10" s="1"/>
  <c r="Q312" i="6"/>
  <c r="AD366" i="10" s="1"/>
  <c r="T312" i="6"/>
  <c r="AL366" i="10" s="1"/>
  <c r="S312" i="6"/>
  <c r="AJ366" i="10" s="1"/>
  <c r="J312" i="6"/>
  <c r="O366" i="10" s="1"/>
  <c r="G312" i="6"/>
  <c r="I366" i="10" s="1"/>
  <c r="U312" i="6"/>
  <c r="AN366" i="10" s="1"/>
  <c r="Y312" i="6"/>
  <c r="AR366" i="10" s="1"/>
  <c r="X312" i="6"/>
  <c r="R312" i="6"/>
  <c r="AH366" i="10" s="1"/>
  <c r="L312" i="6"/>
  <c r="S366" i="10" s="1"/>
  <c r="F312" i="6"/>
  <c r="G366" i="10" s="1"/>
  <c r="D314" i="6"/>
  <c r="C313" i="6"/>
  <c r="E314" i="6"/>
  <c r="M313" i="6" l="1"/>
  <c r="W367" i="10" s="1"/>
  <c r="Z313" i="6"/>
  <c r="AP367" i="10" s="1"/>
  <c r="C367" i="10"/>
  <c r="Q365" i="10"/>
  <c r="Y365" i="10"/>
  <c r="W312" i="6"/>
  <c r="V312" i="6"/>
  <c r="O312" i="6"/>
  <c r="P313" i="6"/>
  <c r="Z367" i="10" s="1"/>
  <c r="H313" i="6"/>
  <c r="K367" i="10" s="1"/>
  <c r="L313" i="6"/>
  <c r="S367" i="10" s="1"/>
  <c r="R313" i="6"/>
  <c r="AH367" i="10" s="1"/>
  <c r="X313" i="6"/>
  <c r="Q313" i="6"/>
  <c r="AD367" i="10" s="1"/>
  <c r="Y313" i="6"/>
  <c r="AR367" i="10" s="1"/>
  <c r="I313" i="6"/>
  <c r="M367" i="10" s="1"/>
  <c r="N313" i="6"/>
  <c r="U367" i="10" s="1"/>
  <c r="U313" i="6"/>
  <c r="AN367" i="10" s="1"/>
  <c r="F313" i="6"/>
  <c r="G367" i="10" s="1"/>
  <c r="J313" i="6"/>
  <c r="O367" i="10" s="1"/>
  <c r="S313" i="6"/>
  <c r="AJ367" i="10" s="1"/>
  <c r="T313" i="6"/>
  <c r="AL367" i="10" s="1"/>
  <c r="G313" i="6"/>
  <c r="I367" i="10" s="1"/>
  <c r="D315" i="6"/>
  <c r="C314" i="6"/>
  <c r="E315" i="6"/>
  <c r="M314" i="6" l="1"/>
  <c r="W368" i="10" s="1"/>
  <c r="Z314" i="6"/>
  <c r="AP368" i="10" s="1"/>
  <c r="Y366" i="10"/>
  <c r="K312" i="6"/>
  <c r="Q366" i="10" s="1"/>
  <c r="C368" i="10"/>
  <c r="V313" i="6"/>
  <c r="W313" i="6"/>
  <c r="X314" i="6"/>
  <c r="Q314" i="6"/>
  <c r="AD368" i="10" s="1"/>
  <c r="T314" i="6"/>
  <c r="AL368" i="10" s="1"/>
  <c r="J314" i="6"/>
  <c r="O368" i="10" s="1"/>
  <c r="I314" i="6"/>
  <c r="M368" i="10" s="1"/>
  <c r="Y314" i="6"/>
  <c r="AR368" i="10" s="1"/>
  <c r="G314" i="6"/>
  <c r="I368" i="10" s="1"/>
  <c r="F314" i="6"/>
  <c r="G368" i="10" s="1"/>
  <c r="P314" i="6"/>
  <c r="Z368" i="10" s="1"/>
  <c r="N314" i="6"/>
  <c r="U368" i="10" s="1"/>
  <c r="S314" i="6"/>
  <c r="AJ368" i="10" s="1"/>
  <c r="L314" i="6"/>
  <c r="S368" i="10" s="1"/>
  <c r="R314" i="6"/>
  <c r="AH368" i="10" s="1"/>
  <c r="U314" i="6"/>
  <c r="AN368" i="10" s="1"/>
  <c r="H314" i="6"/>
  <c r="K368" i="10" s="1"/>
  <c r="O313" i="6"/>
  <c r="D316" i="6"/>
  <c r="C315" i="6"/>
  <c r="E316" i="6"/>
  <c r="M315" i="6" l="1"/>
  <c r="W369" i="10" s="1"/>
  <c r="Z315" i="6"/>
  <c r="AP369" i="10" s="1"/>
  <c r="Y367" i="10"/>
  <c r="K313" i="6"/>
  <c r="Q367" i="10" s="1"/>
  <c r="C369" i="10"/>
  <c r="W314" i="6"/>
  <c r="V314" i="6"/>
  <c r="P315" i="6"/>
  <c r="Z369" i="10" s="1"/>
  <c r="H315" i="6"/>
  <c r="K369" i="10" s="1"/>
  <c r="G315" i="6"/>
  <c r="I369" i="10" s="1"/>
  <c r="R315" i="6"/>
  <c r="AH369" i="10" s="1"/>
  <c r="L315" i="6"/>
  <c r="S369" i="10" s="1"/>
  <c r="Q315" i="6"/>
  <c r="AD369" i="10" s="1"/>
  <c r="I315" i="6"/>
  <c r="M369" i="10" s="1"/>
  <c r="J315" i="6"/>
  <c r="O369" i="10" s="1"/>
  <c r="Y315" i="6"/>
  <c r="AR369" i="10" s="1"/>
  <c r="U315" i="6"/>
  <c r="AN369" i="10" s="1"/>
  <c r="N315" i="6"/>
  <c r="U369" i="10" s="1"/>
  <c r="S315" i="6"/>
  <c r="AJ369" i="10" s="1"/>
  <c r="F315" i="6"/>
  <c r="G369" i="10" s="1"/>
  <c r="X315" i="6"/>
  <c r="T315" i="6"/>
  <c r="AL369" i="10" s="1"/>
  <c r="O314" i="6"/>
  <c r="D317" i="6"/>
  <c r="C316" i="6"/>
  <c r="E317" i="6"/>
  <c r="M316" i="6" l="1"/>
  <c r="W370" i="10" s="1"/>
  <c r="Z316" i="6"/>
  <c r="AP370" i="10" s="1"/>
  <c r="Y368" i="10"/>
  <c r="K314" i="6"/>
  <c r="Q368" i="10" s="1"/>
  <c r="C370" i="10"/>
  <c r="W315" i="6"/>
  <c r="V315" i="6"/>
  <c r="O315" i="6"/>
  <c r="F316" i="6"/>
  <c r="G370" i="10" s="1"/>
  <c r="L316" i="6"/>
  <c r="S370" i="10" s="1"/>
  <c r="R316" i="6"/>
  <c r="AH370" i="10" s="1"/>
  <c r="T316" i="6"/>
  <c r="AL370" i="10" s="1"/>
  <c r="Y316" i="6"/>
  <c r="AR370" i="10" s="1"/>
  <c r="I316" i="6"/>
  <c r="M370" i="10" s="1"/>
  <c r="P316" i="6"/>
  <c r="Z370" i="10" s="1"/>
  <c r="X316" i="6"/>
  <c r="N316" i="6"/>
  <c r="U370" i="10" s="1"/>
  <c r="H316" i="6"/>
  <c r="K370" i="10" s="1"/>
  <c r="G316" i="6"/>
  <c r="I370" i="10" s="1"/>
  <c r="J316" i="6"/>
  <c r="O370" i="10" s="1"/>
  <c r="Q316" i="6"/>
  <c r="AD370" i="10" s="1"/>
  <c r="U316" i="6"/>
  <c r="AN370" i="10" s="1"/>
  <c r="S316" i="6"/>
  <c r="AJ370" i="10" s="1"/>
  <c r="D318" i="6"/>
  <c r="C317" i="6"/>
  <c r="E318" i="6"/>
  <c r="M317" i="6" l="1"/>
  <c r="W371" i="10" s="1"/>
  <c r="Z317" i="6"/>
  <c r="AP371" i="10" s="1"/>
  <c r="Y369" i="10"/>
  <c r="K315" i="6"/>
  <c r="Q369" i="10" s="1"/>
  <c r="C371" i="10"/>
  <c r="V316" i="6"/>
  <c r="W316" i="6"/>
  <c r="O316" i="6"/>
  <c r="K316" i="6" s="1"/>
  <c r="T317" i="6"/>
  <c r="AL371" i="10" s="1"/>
  <c r="F317" i="6"/>
  <c r="G371" i="10" s="1"/>
  <c r="N317" i="6"/>
  <c r="U371" i="10" s="1"/>
  <c r="S317" i="6"/>
  <c r="AJ371" i="10" s="1"/>
  <c r="U317" i="6"/>
  <c r="AN371" i="10" s="1"/>
  <c r="G317" i="6"/>
  <c r="I371" i="10" s="1"/>
  <c r="J317" i="6"/>
  <c r="O371" i="10" s="1"/>
  <c r="L317" i="6"/>
  <c r="S371" i="10" s="1"/>
  <c r="Y317" i="6"/>
  <c r="AR371" i="10" s="1"/>
  <c r="H317" i="6"/>
  <c r="K371" i="10" s="1"/>
  <c r="Q317" i="6"/>
  <c r="AD371" i="10" s="1"/>
  <c r="I317" i="6"/>
  <c r="M371" i="10" s="1"/>
  <c r="X317" i="6"/>
  <c r="R317" i="6"/>
  <c r="AH371" i="10" s="1"/>
  <c r="P317" i="6"/>
  <c r="Z371" i="10" s="1"/>
  <c r="D319" i="6"/>
  <c r="C318" i="6"/>
  <c r="E319" i="6"/>
  <c r="M318" i="6" l="1"/>
  <c r="W372" i="10" s="1"/>
  <c r="Z318" i="6"/>
  <c r="AP372" i="10" s="1"/>
  <c r="C372" i="10"/>
  <c r="Q370" i="10"/>
  <c r="Y370" i="10"/>
  <c r="V317" i="6"/>
  <c r="W317" i="6"/>
  <c r="X318" i="6"/>
  <c r="H318" i="6"/>
  <c r="K372" i="10" s="1"/>
  <c r="U318" i="6"/>
  <c r="AN372" i="10" s="1"/>
  <c r="S318" i="6"/>
  <c r="AJ372" i="10" s="1"/>
  <c r="I318" i="6"/>
  <c r="M372" i="10" s="1"/>
  <c r="Q318" i="6"/>
  <c r="AD372" i="10" s="1"/>
  <c r="Y318" i="6"/>
  <c r="AR372" i="10" s="1"/>
  <c r="J318" i="6"/>
  <c r="O372" i="10" s="1"/>
  <c r="N318" i="6"/>
  <c r="U372" i="10" s="1"/>
  <c r="L318" i="6"/>
  <c r="S372" i="10" s="1"/>
  <c r="T318" i="6"/>
  <c r="AL372" i="10" s="1"/>
  <c r="F318" i="6"/>
  <c r="G372" i="10" s="1"/>
  <c r="P318" i="6"/>
  <c r="Z372" i="10" s="1"/>
  <c r="G318" i="6"/>
  <c r="I372" i="10" s="1"/>
  <c r="R318" i="6"/>
  <c r="AH372" i="10" s="1"/>
  <c r="O317" i="6"/>
  <c r="D320" i="6"/>
  <c r="C319" i="6"/>
  <c r="E320" i="6"/>
  <c r="M319" i="6" l="1"/>
  <c r="W373" i="10" s="1"/>
  <c r="Z319" i="6"/>
  <c r="AP373" i="10" s="1"/>
  <c r="Y371" i="10"/>
  <c r="K317" i="6"/>
  <c r="Q371" i="10" s="1"/>
  <c r="C373" i="10"/>
  <c r="W318" i="6"/>
  <c r="V318" i="6"/>
  <c r="G319" i="6"/>
  <c r="I373" i="10" s="1"/>
  <c r="L319" i="6"/>
  <c r="S373" i="10" s="1"/>
  <c r="T319" i="6"/>
  <c r="AL373" i="10" s="1"/>
  <c r="S319" i="6"/>
  <c r="AJ373" i="10" s="1"/>
  <c r="J319" i="6"/>
  <c r="O373" i="10" s="1"/>
  <c r="P319" i="6"/>
  <c r="Z373" i="10" s="1"/>
  <c r="F319" i="6"/>
  <c r="G373" i="10" s="1"/>
  <c r="I319" i="6"/>
  <c r="M373" i="10" s="1"/>
  <c r="Y319" i="6"/>
  <c r="AR373" i="10" s="1"/>
  <c r="U319" i="6"/>
  <c r="AN373" i="10" s="1"/>
  <c r="X319" i="6"/>
  <c r="N319" i="6"/>
  <c r="U373" i="10" s="1"/>
  <c r="Q319" i="6"/>
  <c r="AD373" i="10" s="1"/>
  <c r="H319" i="6"/>
  <c r="K373" i="10" s="1"/>
  <c r="R319" i="6"/>
  <c r="AH373" i="10" s="1"/>
  <c r="O318" i="6"/>
  <c r="D321" i="6"/>
  <c r="C320" i="6"/>
  <c r="E321" i="6"/>
  <c r="M320" i="6" l="1"/>
  <c r="W374" i="10" s="1"/>
  <c r="Z320" i="6"/>
  <c r="AP374" i="10" s="1"/>
  <c r="Y372" i="10"/>
  <c r="K318" i="6"/>
  <c r="Q372" i="10" s="1"/>
  <c r="C374" i="10"/>
  <c r="W319" i="6"/>
  <c r="V319" i="6"/>
  <c r="O319" i="6"/>
  <c r="K319" i="6" s="1"/>
  <c r="L320" i="6"/>
  <c r="S374" i="10" s="1"/>
  <c r="S320" i="6"/>
  <c r="AJ374" i="10" s="1"/>
  <c r="H320" i="6"/>
  <c r="K374" i="10" s="1"/>
  <c r="G320" i="6"/>
  <c r="I374" i="10" s="1"/>
  <c r="T320" i="6"/>
  <c r="AL374" i="10" s="1"/>
  <c r="I320" i="6"/>
  <c r="M374" i="10" s="1"/>
  <c r="P320" i="6"/>
  <c r="Z374" i="10" s="1"/>
  <c r="N320" i="6"/>
  <c r="U374" i="10" s="1"/>
  <c r="X320" i="6"/>
  <c r="Y320" i="6"/>
  <c r="AR374" i="10" s="1"/>
  <c r="U320" i="6"/>
  <c r="AN374" i="10" s="1"/>
  <c r="J320" i="6"/>
  <c r="O374" i="10" s="1"/>
  <c r="R320" i="6"/>
  <c r="AH374" i="10" s="1"/>
  <c r="Q320" i="6"/>
  <c r="AD374" i="10" s="1"/>
  <c r="F320" i="6"/>
  <c r="G374" i="10" s="1"/>
  <c r="D322" i="6"/>
  <c r="C321" i="6"/>
  <c r="E322" i="6"/>
  <c r="M321" i="6" l="1"/>
  <c r="W375" i="10" s="1"/>
  <c r="Z321" i="6"/>
  <c r="AP375" i="10" s="1"/>
  <c r="C375" i="10"/>
  <c r="Q373" i="10"/>
  <c r="Y373" i="10"/>
  <c r="W320" i="6"/>
  <c r="V320" i="6"/>
  <c r="O320" i="6"/>
  <c r="K320" i="6" s="1"/>
  <c r="L321" i="6"/>
  <c r="S375" i="10" s="1"/>
  <c r="Y321" i="6"/>
  <c r="AR375" i="10" s="1"/>
  <c r="I321" i="6"/>
  <c r="M375" i="10" s="1"/>
  <c r="P321" i="6"/>
  <c r="Z375" i="10" s="1"/>
  <c r="R321" i="6"/>
  <c r="AH375" i="10" s="1"/>
  <c r="H321" i="6"/>
  <c r="K375" i="10" s="1"/>
  <c r="T321" i="6"/>
  <c r="AL375" i="10" s="1"/>
  <c r="X321" i="6"/>
  <c r="N321" i="6"/>
  <c r="U375" i="10" s="1"/>
  <c r="Q321" i="6"/>
  <c r="AD375" i="10" s="1"/>
  <c r="G321" i="6"/>
  <c r="I375" i="10" s="1"/>
  <c r="J321" i="6"/>
  <c r="O375" i="10" s="1"/>
  <c r="U321" i="6"/>
  <c r="AN375" i="10" s="1"/>
  <c r="F321" i="6"/>
  <c r="G375" i="10" s="1"/>
  <c r="S321" i="6"/>
  <c r="AJ375" i="10" s="1"/>
  <c r="D323" i="6"/>
  <c r="C322" i="6"/>
  <c r="E323" i="6"/>
  <c r="M322" i="6" l="1"/>
  <c r="W376" i="10" s="1"/>
  <c r="Z322" i="6"/>
  <c r="AP376" i="10" s="1"/>
  <c r="C376" i="10"/>
  <c r="Q374" i="10"/>
  <c r="Y374" i="10"/>
  <c r="W321" i="6"/>
  <c r="V321" i="6"/>
  <c r="O321" i="6"/>
  <c r="K321" i="6" s="1"/>
  <c r="H322" i="6"/>
  <c r="K376" i="10" s="1"/>
  <c r="N322" i="6"/>
  <c r="U376" i="10" s="1"/>
  <c r="S322" i="6"/>
  <c r="AJ376" i="10" s="1"/>
  <c r="R322" i="6"/>
  <c r="AH376" i="10" s="1"/>
  <c r="X322" i="6"/>
  <c r="I322" i="6"/>
  <c r="M376" i="10" s="1"/>
  <c r="Y322" i="6"/>
  <c r="AR376" i="10" s="1"/>
  <c r="T322" i="6"/>
  <c r="AL376" i="10" s="1"/>
  <c r="F322" i="6"/>
  <c r="G376" i="10" s="1"/>
  <c r="J322" i="6"/>
  <c r="O376" i="10" s="1"/>
  <c r="P322" i="6"/>
  <c r="Z376" i="10" s="1"/>
  <c r="U322" i="6"/>
  <c r="AN376" i="10" s="1"/>
  <c r="G322" i="6"/>
  <c r="I376" i="10" s="1"/>
  <c r="L322" i="6"/>
  <c r="S376" i="10" s="1"/>
  <c r="Q322" i="6"/>
  <c r="AD376" i="10" s="1"/>
  <c r="D324" i="6"/>
  <c r="C323" i="6"/>
  <c r="E324" i="6"/>
  <c r="M323" i="6" l="1"/>
  <c r="W377" i="10" s="1"/>
  <c r="Z323" i="6"/>
  <c r="AP377" i="10" s="1"/>
  <c r="C377" i="10"/>
  <c r="Q375" i="10"/>
  <c r="Y375" i="10"/>
  <c r="W322" i="6"/>
  <c r="V322" i="6"/>
  <c r="J323" i="6"/>
  <c r="O377" i="10" s="1"/>
  <c r="P323" i="6"/>
  <c r="Z377" i="10" s="1"/>
  <c r="S323" i="6"/>
  <c r="AJ377" i="10" s="1"/>
  <c r="L323" i="6"/>
  <c r="S377" i="10" s="1"/>
  <c r="Y323" i="6"/>
  <c r="AR377" i="10" s="1"/>
  <c r="X323" i="6"/>
  <c r="Q323" i="6"/>
  <c r="AD377" i="10" s="1"/>
  <c r="I323" i="6"/>
  <c r="M377" i="10" s="1"/>
  <c r="H323" i="6"/>
  <c r="K377" i="10" s="1"/>
  <c r="F323" i="6"/>
  <c r="G377" i="10" s="1"/>
  <c r="R323" i="6"/>
  <c r="AH377" i="10" s="1"/>
  <c r="T323" i="6"/>
  <c r="AL377" i="10" s="1"/>
  <c r="U323" i="6"/>
  <c r="AN377" i="10" s="1"/>
  <c r="N323" i="6"/>
  <c r="U377" i="10" s="1"/>
  <c r="G323" i="6"/>
  <c r="I377" i="10" s="1"/>
  <c r="O322" i="6"/>
  <c r="K322" i="6" s="1"/>
  <c r="D325" i="6"/>
  <c r="C324" i="6"/>
  <c r="E325" i="6"/>
  <c r="M324" i="6" l="1"/>
  <c r="W378" i="10" s="1"/>
  <c r="Z324" i="6"/>
  <c r="AP378" i="10" s="1"/>
  <c r="C378" i="10"/>
  <c r="Q376" i="10"/>
  <c r="Y376" i="10"/>
  <c r="W323" i="6"/>
  <c r="V323" i="6"/>
  <c r="O323" i="6"/>
  <c r="K323" i="6" s="1"/>
  <c r="J324" i="6"/>
  <c r="O378" i="10" s="1"/>
  <c r="Q324" i="6"/>
  <c r="AD378" i="10" s="1"/>
  <c r="U324" i="6"/>
  <c r="AN378" i="10" s="1"/>
  <c r="S324" i="6"/>
  <c r="AJ378" i="10" s="1"/>
  <c r="X324" i="6"/>
  <c r="H324" i="6"/>
  <c r="K378" i="10" s="1"/>
  <c r="G324" i="6"/>
  <c r="I378" i="10" s="1"/>
  <c r="T324" i="6"/>
  <c r="AL378" i="10" s="1"/>
  <c r="R324" i="6"/>
  <c r="AH378" i="10" s="1"/>
  <c r="I324" i="6"/>
  <c r="M378" i="10" s="1"/>
  <c r="N324" i="6"/>
  <c r="U378" i="10" s="1"/>
  <c r="Y324" i="6"/>
  <c r="AR378" i="10" s="1"/>
  <c r="F324" i="6"/>
  <c r="G378" i="10" s="1"/>
  <c r="P324" i="6"/>
  <c r="Z378" i="10" s="1"/>
  <c r="L324" i="6"/>
  <c r="S378" i="10" s="1"/>
  <c r="D326" i="6"/>
  <c r="C325" i="6"/>
  <c r="E326" i="6"/>
  <c r="M325" i="6" l="1"/>
  <c r="W379" i="10" s="1"/>
  <c r="Z325" i="6"/>
  <c r="AP379" i="10" s="1"/>
  <c r="C379" i="10"/>
  <c r="Q377" i="10"/>
  <c r="Y377" i="10"/>
  <c r="V324" i="6"/>
  <c r="W324" i="6"/>
  <c r="O324" i="6"/>
  <c r="K324" i="6" s="1"/>
  <c r="R325" i="6"/>
  <c r="AH379" i="10" s="1"/>
  <c r="T325" i="6"/>
  <c r="AL379" i="10" s="1"/>
  <c r="F325" i="6"/>
  <c r="G379" i="10" s="1"/>
  <c r="Y325" i="6"/>
  <c r="AR379" i="10" s="1"/>
  <c r="N325" i="6"/>
  <c r="U379" i="10" s="1"/>
  <c r="U325" i="6"/>
  <c r="AN379" i="10" s="1"/>
  <c r="X325" i="6"/>
  <c r="G325" i="6"/>
  <c r="I379" i="10" s="1"/>
  <c r="P325" i="6"/>
  <c r="Z379" i="10" s="1"/>
  <c r="H325" i="6"/>
  <c r="K379" i="10" s="1"/>
  <c r="Q325" i="6"/>
  <c r="AD379" i="10" s="1"/>
  <c r="S325" i="6"/>
  <c r="AJ379" i="10" s="1"/>
  <c r="J325" i="6"/>
  <c r="O379" i="10" s="1"/>
  <c r="L325" i="6"/>
  <c r="S379" i="10" s="1"/>
  <c r="I325" i="6"/>
  <c r="M379" i="10" s="1"/>
  <c r="D327" i="6"/>
  <c r="C326" i="6"/>
  <c r="E327" i="6"/>
  <c r="M326" i="6" l="1"/>
  <c r="W380" i="10" s="1"/>
  <c r="Z326" i="6"/>
  <c r="AP380" i="10" s="1"/>
  <c r="C380" i="10"/>
  <c r="Q378" i="10"/>
  <c r="Y378" i="10"/>
  <c r="W325" i="6"/>
  <c r="V325" i="6"/>
  <c r="L326" i="6"/>
  <c r="S380" i="10" s="1"/>
  <c r="T326" i="6"/>
  <c r="AL380" i="10" s="1"/>
  <c r="N326" i="6"/>
  <c r="U380" i="10" s="1"/>
  <c r="Y326" i="6"/>
  <c r="AR380" i="10" s="1"/>
  <c r="F326" i="6"/>
  <c r="G380" i="10" s="1"/>
  <c r="Q326" i="6"/>
  <c r="AD380" i="10" s="1"/>
  <c r="X326" i="6"/>
  <c r="R326" i="6"/>
  <c r="AH380" i="10" s="1"/>
  <c r="U326" i="6"/>
  <c r="AN380" i="10" s="1"/>
  <c r="G326" i="6"/>
  <c r="I380" i="10" s="1"/>
  <c r="I326" i="6"/>
  <c r="M380" i="10" s="1"/>
  <c r="S326" i="6"/>
  <c r="AJ380" i="10" s="1"/>
  <c r="H326" i="6"/>
  <c r="K380" i="10" s="1"/>
  <c r="P326" i="6"/>
  <c r="Z380" i="10" s="1"/>
  <c r="J326" i="6"/>
  <c r="O380" i="10" s="1"/>
  <c r="O325" i="6"/>
  <c r="K325" i="6" s="1"/>
  <c r="D328" i="6"/>
  <c r="C327" i="6"/>
  <c r="E328" i="6"/>
  <c r="M327" i="6" l="1"/>
  <c r="W381" i="10" s="1"/>
  <c r="Z327" i="6"/>
  <c r="AP381" i="10" s="1"/>
  <c r="C381" i="10"/>
  <c r="Q379" i="10"/>
  <c r="Y379" i="10"/>
  <c r="W326" i="6"/>
  <c r="V326" i="6"/>
  <c r="O326" i="6"/>
  <c r="I327" i="6"/>
  <c r="M381" i="10" s="1"/>
  <c r="R327" i="6"/>
  <c r="AH381" i="10" s="1"/>
  <c r="U327" i="6"/>
  <c r="AN381" i="10" s="1"/>
  <c r="T327" i="6"/>
  <c r="AL381" i="10" s="1"/>
  <c r="G327" i="6"/>
  <c r="I381" i="10" s="1"/>
  <c r="L327" i="6"/>
  <c r="S381" i="10" s="1"/>
  <c r="N327" i="6"/>
  <c r="U381" i="10" s="1"/>
  <c r="J327" i="6"/>
  <c r="O381" i="10" s="1"/>
  <c r="F327" i="6"/>
  <c r="G381" i="10" s="1"/>
  <c r="H327" i="6"/>
  <c r="K381" i="10" s="1"/>
  <c r="P327" i="6"/>
  <c r="Z381" i="10" s="1"/>
  <c r="Q327" i="6"/>
  <c r="AD381" i="10" s="1"/>
  <c r="Y327" i="6"/>
  <c r="AR381" i="10" s="1"/>
  <c r="S327" i="6"/>
  <c r="AJ381" i="10" s="1"/>
  <c r="X327" i="6"/>
  <c r="D329" i="6"/>
  <c r="C328" i="6"/>
  <c r="E329" i="6"/>
  <c r="M328" i="6" l="1"/>
  <c r="W382" i="10" s="1"/>
  <c r="Z328" i="6"/>
  <c r="AP382" i="10" s="1"/>
  <c r="Y380" i="10"/>
  <c r="K326" i="6"/>
  <c r="Q380" i="10" s="1"/>
  <c r="C382" i="10"/>
  <c r="W327" i="6"/>
  <c r="V327" i="6"/>
  <c r="I328" i="6"/>
  <c r="M382" i="10" s="1"/>
  <c r="P328" i="6"/>
  <c r="Z382" i="10" s="1"/>
  <c r="F328" i="6"/>
  <c r="G382" i="10" s="1"/>
  <c r="X328" i="6"/>
  <c r="J328" i="6"/>
  <c r="O382" i="10" s="1"/>
  <c r="S328" i="6"/>
  <c r="AJ382" i="10" s="1"/>
  <c r="Q328" i="6"/>
  <c r="AD382" i="10" s="1"/>
  <c r="N328" i="6"/>
  <c r="U382" i="10" s="1"/>
  <c r="L328" i="6"/>
  <c r="S382" i="10" s="1"/>
  <c r="Y328" i="6"/>
  <c r="AR382" i="10" s="1"/>
  <c r="T328" i="6"/>
  <c r="AL382" i="10" s="1"/>
  <c r="R328" i="6"/>
  <c r="AH382" i="10" s="1"/>
  <c r="H328" i="6"/>
  <c r="K382" i="10" s="1"/>
  <c r="U328" i="6"/>
  <c r="AN382" i="10" s="1"/>
  <c r="G328" i="6"/>
  <c r="I382" i="10" s="1"/>
  <c r="O327" i="6"/>
  <c r="K327" i="6" s="1"/>
  <c r="D330" i="6"/>
  <c r="C329" i="6"/>
  <c r="E330" i="6"/>
  <c r="M329" i="6" l="1"/>
  <c r="W383" i="10" s="1"/>
  <c r="Z329" i="6"/>
  <c r="AP383" i="10" s="1"/>
  <c r="C383" i="10"/>
  <c r="Q381" i="10"/>
  <c r="Y381" i="10"/>
  <c r="V328" i="6"/>
  <c r="W328" i="6"/>
  <c r="G329" i="6"/>
  <c r="I383" i="10" s="1"/>
  <c r="H329" i="6"/>
  <c r="K383" i="10" s="1"/>
  <c r="P329" i="6"/>
  <c r="Z383" i="10" s="1"/>
  <c r="U329" i="6"/>
  <c r="AN383" i="10" s="1"/>
  <c r="L329" i="6"/>
  <c r="S383" i="10" s="1"/>
  <c r="N329" i="6"/>
  <c r="U383" i="10" s="1"/>
  <c r="F329" i="6"/>
  <c r="G383" i="10" s="1"/>
  <c r="Y329" i="6"/>
  <c r="AR383" i="10" s="1"/>
  <c r="J329" i="6"/>
  <c r="O383" i="10" s="1"/>
  <c r="Q329" i="6"/>
  <c r="AD383" i="10" s="1"/>
  <c r="S329" i="6"/>
  <c r="AJ383" i="10" s="1"/>
  <c r="I329" i="6"/>
  <c r="M383" i="10" s="1"/>
  <c r="X329" i="6"/>
  <c r="R329" i="6"/>
  <c r="AH383" i="10" s="1"/>
  <c r="T329" i="6"/>
  <c r="AL383" i="10" s="1"/>
  <c r="O328" i="6"/>
  <c r="D331" i="6"/>
  <c r="C330" i="6"/>
  <c r="E331" i="6"/>
  <c r="M330" i="6" l="1"/>
  <c r="W384" i="10" s="1"/>
  <c r="Z330" i="6"/>
  <c r="AP384" i="10" s="1"/>
  <c r="Y382" i="10"/>
  <c r="K328" i="6"/>
  <c r="Q382" i="10" s="1"/>
  <c r="C384" i="10"/>
  <c r="V329" i="6"/>
  <c r="W329" i="6"/>
  <c r="O329" i="6"/>
  <c r="K329" i="6" s="1"/>
  <c r="T330" i="6"/>
  <c r="AL384" i="10" s="1"/>
  <c r="I330" i="6"/>
  <c r="M384" i="10" s="1"/>
  <c r="U330" i="6"/>
  <c r="AN384" i="10" s="1"/>
  <c r="R330" i="6"/>
  <c r="AH384" i="10" s="1"/>
  <c r="G330" i="6"/>
  <c r="I384" i="10" s="1"/>
  <c r="J330" i="6"/>
  <c r="O384" i="10" s="1"/>
  <c r="H330" i="6"/>
  <c r="K384" i="10" s="1"/>
  <c r="S330" i="6"/>
  <c r="AJ384" i="10" s="1"/>
  <c r="F330" i="6"/>
  <c r="G384" i="10" s="1"/>
  <c r="L330" i="6"/>
  <c r="S384" i="10" s="1"/>
  <c r="Y330" i="6"/>
  <c r="AR384" i="10" s="1"/>
  <c r="X330" i="6"/>
  <c r="N330" i="6"/>
  <c r="U384" i="10" s="1"/>
  <c r="Q330" i="6"/>
  <c r="AD384" i="10" s="1"/>
  <c r="P330" i="6"/>
  <c r="Z384" i="10" s="1"/>
  <c r="D332" i="6"/>
  <c r="C331" i="6"/>
  <c r="E332" i="6"/>
  <c r="M331" i="6" l="1"/>
  <c r="W385" i="10" s="1"/>
  <c r="Z331" i="6"/>
  <c r="AP385" i="10" s="1"/>
  <c r="C385" i="10"/>
  <c r="Q383" i="10"/>
  <c r="Y383" i="10"/>
  <c r="W330" i="6"/>
  <c r="V330" i="6"/>
  <c r="G331" i="6"/>
  <c r="I385" i="10" s="1"/>
  <c r="H331" i="6"/>
  <c r="K385" i="10" s="1"/>
  <c r="U331" i="6"/>
  <c r="AN385" i="10" s="1"/>
  <c r="Y331" i="6"/>
  <c r="AR385" i="10" s="1"/>
  <c r="P331" i="6"/>
  <c r="Z385" i="10" s="1"/>
  <c r="S331" i="6"/>
  <c r="AJ385" i="10" s="1"/>
  <c r="J331" i="6"/>
  <c r="O385" i="10" s="1"/>
  <c r="X331" i="6"/>
  <c r="F331" i="6"/>
  <c r="G385" i="10" s="1"/>
  <c r="T331" i="6"/>
  <c r="AL385" i="10" s="1"/>
  <c r="L331" i="6"/>
  <c r="S385" i="10" s="1"/>
  <c r="R331" i="6"/>
  <c r="AH385" i="10" s="1"/>
  <c r="I331" i="6"/>
  <c r="M385" i="10" s="1"/>
  <c r="N331" i="6"/>
  <c r="U385" i="10" s="1"/>
  <c r="Q331" i="6"/>
  <c r="AD385" i="10" s="1"/>
  <c r="O330" i="6"/>
  <c r="K330" i="6" s="1"/>
  <c r="D333" i="6"/>
  <c r="C332" i="6"/>
  <c r="E333" i="6"/>
  <c r="M332" i="6" l="1"/>
  <c r="W386" i="10" s="1"/>
  <c r="Z332" i="6"/>
  <c r="AP386" i="10" s="1"/>
  <c r="C386" i="10"/>
  <c r="Q384" i="10"/>
  <c r="Y384" i="10"/>
  <c r="W331" i="6"/>
  <c r="V331" i="6"/>
  <c r="O331" i="6"/>
  <c r="Q332" i="6"/>
  <c r="AD386" i="10" s="1"/>
  <c r="H332" i="6"/>
  <c r="K386" i="10" s="1"/>
  <c r="T332" i="6"/>
  <c r="AL386" i="10" s="1"/>
  <c r="X332" i="6"/>
  <c r="L332" i="6"/>
  <c r="S386" i="10" s="1"/>
  <c r="S332" i="6"/>
  <c r="AJ386" i="10" s="1"/>
  <c r="R332" i="6"/>
  <c r="AH386" i="10" s="1"/>
  <c r="U332" i="6"/>
  <c r="AN386" i="10" s="1"/>
  <c r="I332" i="6"/>
  <c r="M386" i="10" s="1"/>
  <c r="P332" i="6"/>
  <c r="Z386" i="10" s="1"/>
  <c r="G332" i="6"/>
  <c r="I386" i="10" s="1"/>
  <c r="F332" i="6"/>
  <c r="G386" i="10" s="1"/>
  <c r="J332" i="6"/>
  <c r="O386" i="10" s="1"/>
  <c r="N332" i="6"/>
  <c r="U386" i="10" s="1"/>
  <c r="Y332" i="6"/>
  <c r="AR386" i="10" s="1"/>
  <c r="D334" i="6"/>
  <c r="C333" i="6"/>
  <c r="E334" i="6"/>
  <c r="M333" i="6" l="1"/>
  <c r="W387" i="10" s="1"/>
  <c r="Z333" i="6"/>
  <c r="AP387" i="10" s="1"/>
  <c r="Y385" i="10"/>
  <c r="K331" i="6"/>
  <c r="Q385" i="10" s="1"/>
  <c r="C387" i="10"/>
  <c r="V332" i="6"/>
  <c r="W332" i="6"/>
  <c r="Y333" i="6"/>
  <c r="AR387" i="10" s="1"/>
  <c r="H333" i="6"/>
  <c r="K387" i="10" s="1"/>
  <c r="Q333" i="6"/>
  <c r="AD387" i="10" s="1"/>
  <c r="P333" i="6"/>
  <c r="Z387" i="10" s="1"/>
  <c r="X333" i="6"/>
  <c r="I333" i="6"/>
  <c r="M387" i="10" s="1"/>
  <c r="S333" i="6"/>
  <c r="AJ387" i="10" s="1"/>
  <c r="T333" i="6"/>
  <c r="AL387" i="10" s="1"/>
  <c r="F333" i="6"/>
  <c r="G387" i="10" s="1"/>
  <c r="R333" i="6"/>
  <c r="AH387" i="10" s="1"/>
  <c r="J333" i="6"/>
  <c r="O387" i="10" s="1"/>
  <c r="U333" i="6"/>
  <c r="AN387" i="10" s="1"/>
  <c r="G333" i="6"/>
  <c r="I387" i="10" s="1"/>
  <c r="L333" i="6"/>
  <c r="S387" i="10" s="1"/>
  <c r="N333" i="6"/>
  <c r="U387" i="10" s="1"/>
  <c r="O332" i="6"/>
  <c r="K332" i="6" s="1"/>
  <c r="D335" i="6"/>
  <c r="C334" i="6"/>
  <c r="E335" i="6"/>
  <c r="M334" i="6" l="1"/>
  <c r="W388" i="10" s="1"/>
  <c r="Z334" i="6"/>
  <c r="AP388" i="10" s="1"/>
  <c r="C388" i="10"/>
  <c r="Q386" i="10"/>
  <c r="Y386" i="10"/>
  <c r="V333" i="6"/>
  <c r="W333" i="6"/>
  <c r="J334" i="6"/>
  <c r="O388" i="10" s="1"/>
  <c r="R334" i="6"/>
  <c r="AH388" i="10" s="1"/>
  <c r="T334" i="6"/>
  <c r="AL388" i="10" s="1"/>
  <c r="G334" i="6"/>
  <c r="I388" i="10" s="1"/>
  <c r="Y334" i="6"/>
  <c r="AR388" i="10" s="1"/>
  <c r="X334" i="6"/>
  <c r="F334" i="6"/>
  <c r="G388" i="10" s="1"/>
  <c r="L334" i="6"/>
  <c r="S388" i="10" s="1"/>
  <c r="P334" i="6"/>
  <c r="Z388" i="10" s="1"/>
  <c r="U334" i="6"/>
  <c r="AN388" i="10" s="1"/>
  <c r="Q334" i="6"/>
  <c r="AD388" i="10" s="1"/>
  <c r="N334" i="6"/>
  <c r="U388" i="10" s="1"/>
  <c r="S334" i="6"/>
  <c r="AJ388" i="10" s="1"/>
  <c r="I334" i="6"/>
  <c r="M388" i="10" s="1"/>
  <c r="H334" i="6"/>
  <c r="K388" i="10" s="1"/>
  <c r="O333" i="6"/>
  <c r="D336" i="6"/>
  <c r="C335" i="6"/>
  <c r="E336" i="6"/>
  <c r="M335" i="6" l="1"/>
  <c r="W389" i="10" s="1"/>
  <c r="Z335" i="6"/>
  <c r="AP389" i="10" s="1"/>
  <c r="Y387" i="10"/>
  <c r="K333" i="6"/>
  <c r="Q387" i="10" s="1"/>
  <c r="C389" i="10"/>
  <c r="W334" i="6"/>
  <c r="V334" i="6"/>
  <c r="O334" i="6"/>
  <c r="H335" i="6"/>
  <c r="K389" i="10" s="1"/>
  <c r="N335" i="6"/>
  <c r="U389" i="10" s="1"/>
  <c r="T335" i="6"/>
  <c r="AL389" i="10" s="1"/>
  <c r="S335" i="6"/>
  <c r="AJ389" i="10" s="1"/>
  <c r="R335" i="6"/>
  <c r="AH389" i="10" s="1"/>
  <c r="I335" i="6"/>
  <c r="M389" i="10" s="1"/>
  <c r="Q335" i="6"/>
  <c r="AD389" i="10" s="1"/>
  <c r="Y335" i="6"/>
  <c r="AR389" i="10" s="1"/>
  <c r="G335" i="6"/>
  <c r="I389" i="10" s="1"/>
  <c r="U335" i="6"/>
  <c r="AN389" i="10" s="1"/>
  <c r="P335" i="6"/>
  <c r="Z389" i="10" s="1"/>
  <c r="X335" i="6"/>
  <c r="F335" i="6"/>
  <c r="G389" i="10" s="1"/>
  <c r="L335" i="6"/>
  <c r="S389" i="10" s="1"/>
  <c r="J335" i="6"/>
  <c r="O389" i="10" s="1"/>
  <c r="D337" i="6"/>
  <c r="C336" i="6"/>
  <c r="E337" i="6"/>
  <c r="M336" i="6" l="1"/>
  <c r="W390" i="10" s="1"/>
  <c r="Z336" i="6"/>
  <c r="AP390" i="10" s="1"/>
  <c r="Y388" i="10"/>
  <c r="K334" i="6"/>
  <c r="Q388" i="10" s="1"/>
  <c r="C390" i="10"/>
  <c r="V335" i="6"/>
  <c r="W335" i="6"/>
  <c r="S336" i="6"/>
  <c r="AJ390" i="10" s="1"/>
  <c r="H336" i="6"/>
  <c r="K390" i="10" s="1"/>
  <c r="G336" i="6"/>
  <c r="I390" i="10" s="1"/>
  <c r="F336" i="6"/>
  <c r="G390" i="10" s="1"/>
  <c r="I336" i="6"/>
  <c r="M390" i="10" s="1"/>
  <c r="P336" i="6"/>
  <c r="Z390" i="10" s="1"/>
  <c r="U336" i="6"/>
  <c r="AN390" i="10" s="1"/>
  <c r="N336" i="6"/>
  <c r="U390" i="10" s="1"/>
  <c r="Y336" i="6"/>
  <c r="AR390" i="10" s="1"/>
  <c r="L336" i="6"/>
  <c r="S390" i="10" s="1"/>
  <c r="J336" i="6"/>
  <c r="O390" i="10" s="1"/>
  <c r="R336" i="6"/>
  <c r="AH390" i="10" s="1"/>
  <c r="Q336" i="6"/>
  <c r="AD390" i="10" s="1"/>
  <c r="T336" i="6"/>
  <c r="AL390" i="10" s="1"/>
  <c r="X336" i="6"/>
  <c r="O335" i="6"/>
  <c r="D338" i="6"/>
  <c r="C337" i="6"/>
  <c r="E338" i="6"/>
  <c r="M337" i="6" l="1"/>
  <c r="W391" i="10" s="1"/>
  <c r="Z337" i="6"/>
  <c r="AP391" i="10" s="1"/>
  <c r="Y389" i="10"/>
  <c r="K335" i="6"/>
  <c r="Q389" i="10" s="1"/>
  <c r="C391" i="10"/>
  <c r="W336" i="6"/>
  <c r="V336" i="6"/>
  <c r="L337" i="6"/>
  <c r="S391" i="10" s="1"/>
  <c r="Y337" i="6"/>
  <c r="AR391" i="10" s="1"/>
  <c r="I337" i="6"/>
  <c r="M391" i="10" s="1"/>
  <c r="J337" i="6"/>
  <c r="O391" i="10" s="1"/>
  <c r="R337" i="6"/>
  <c r="AH391" i="10" s="1"/>
  <c r="U337" i="6"/>
  <c r="AN391" i="10" s="1"/>
  <c r="H337" i="6"/>
  <c r="K391" i="10" s="1"/>
  <c r="S337" i="6"/>
  <c r="AJ391" i="10" s="1"/>
  <c r="X337" i="6"/>
  <c r="G337" i="6"/>
  <c r="I391" i="10" s="1"/>
  <c r="P337" i="6"/>
  <c r="Z391" i="10" s="1"/>
  <c r="T337" i="6"/>
  <c r="AL391" i="10" s="1"/>
  <c r="F337" i="6"/>
  <c r="G391" i="10" s="1"/>
  <c r="Q337" i="6"/>
  <c r="AD391" i="10" s="1"/>
  <c r="N337" i="6"/>
  <c r="U391" i="10" s="1"/>
  <c r="O336" i="6"/>
  <c r="D339" i="6"/>
  <c r="C338" i="6"/>
  <c r="E339" i="6"/>
  <c r="M338" i="6" l="1"/>
  <c r="W392" i="10" s="1"/>
  <c r="Z338" i="6"/>
  <c r="AP392" i="10" s="1"/>
  <c r="Y390" i="10"/>
  <c r="K336" i="6"/>
  <c r="Q390" i="10" s="1"/>
  <c r="C392" i="10"/>
  <c r="W337" i="6"/>
  <c r="V337" i="6"/>
  <c r="O337" i="6"/>
  <c r="K337" i="6" s="1"/>
  <c r="R338" i="6"/>
  <c r="AH392" i="10" s="1"/>
  <c r="H338" i="6"/>
  <c r="K392" i="10" s="1"/>
  <c r="P338" i="6"/>
  <c r="Z392" i="10" s="1"/>
  <c r="F338" i="6"/>
  <c r="G392" i="10" s="1"/>
  <c r="I338" i="6"/>
  <c r="M392" i="10" s="1"/>
  <c r="Q338" i="6"/>
  <c r="AD392" i="10" s="1"/>
  <c r="U338" i="6"/>
  <c r="AN392" i="10" s="1"/>
  <c r="Y338" i="6"/>
  <c r="AR392" i="10" s="1"/>
  <c r="J338" i="6"/>
  <c r="O392" i="10" s="1"/>
  <c r="N338" i="6"/>
  <c r="U392" i="10" s="1"/>
  <c r="T338" i="6"/>
  <c r="AL392" i="10" s="1"/>
  <c r="L338" i="6"/>
  <c r="S392" i="10" s="1"/>
  <c r="X338" i="6"/>
  <c r="G338" i="6"/>
  <c r="I392" i="10" s="1"/>
  <c r="S338" i="6"/>
  <c r="AJ392" i="10" s="1"/>
  <c r="D340" i="6"/>
  <c r="C339" i="6"/>
  <c r="E340" i="6"/>
  <c r="M339" i="6" l="1"/>
  <c r="W393" i="10" s="1"/>
  <c r="Z339" i="6"/>
  <c r="AP393" i="10" s="1"/>
  <c r="C393" i="10"/>
  <c r="Q391" i="10"/>
  <c r="Y391" i="10"/>
  <c r="W338" i="6"/>
  <c r="V338" i="6"/>
  <c r="U339" i="6"/>
  <c r="AN393" i="10" s="1"/>
  <c r="G339" i="6"/>
  <c r="I393" i="10" s="1"/>
  <c r="N339" i="6"/>
  <c r="U393" i="10" s="1"/>
  <c r="S339" i="6"/>
  <c r="AJ393" i="10" s="1"/>
  <c r="Q339" i="6"/>
  <c r="AD393" i="10" s="1"/>
  <c r="F339" i="6"/>
  <c r="G393" i="10" s="1"/>
  <c r="H339" i="6"/>
  <c r="K393" i="10" s="1"/>
  <c r="I339" i="6"/>
  <c r="M393" i="10" s="1"/>
  <c r="Y339" i="6"/>
  <c r="AR393" i="10" s="1"/>
  <c r="X339" i="6"/>
  <c r="T339" i="6"/>
  <c r="AL393" i="10" s="1"/>
  <c r="J339" i="6"/>
  <c r="O393" i="10" s="1"/>
  <c r="R339" i="6"/>
  <c r="AH393" i="10" s="1"/>
  <c r="L339" i="6"/>
  <c r="S393" i="10" s="1"/>
  <c r="P339" i="6"/>
  <c r="Z393" i="10" s="1"/>
  <c r="O338" i="6"/>
  <c r="K338" i="6" s="1"/>
  <c r="D341" i="6"/>
  <c r="C340" i="6"/>
  <c r="E341" i="6"/>
  <c r="M340" i="6" l="1"/>
  <c r="W394" i="10" s="1"/>
  <c r="Z340" i="6"/>
  <c r="AP394" i="10" s="1"/>
  <c r="C394" i="10"/>
  <c r="Q392" i="10"/>
  <c r="Y392" i="10"/>
  <c r="W339" i="6"/>
  <c r="V339" i="6"/>
  <c r="R340" i="6"/>
  <c r="AH394" i="10" s="1"/>
  <c r="H340" i="6"/>
  <c r="K394" i="10" s="1"/>
  <c r="N340" i="6"/>
  <c r="U394" i="10" s="1"/>
  <c r="Y340" i="6"/>
  <c r="AR394" i="10" s="1"/>
  <c r="I340" i="6"/>
  <c r="M394" i="10" s="1"/>
  <c r="P340" i="6"/>
  <c r="Z394" i="10" s="1"/>
  <c r="T340" i="6"/>
  <c r="AL394" i="10" s="1"/>
  <c r="L340" i="6"/>
  <c r="S394" i="10" s="1"/>
  <c r="J340" i="6"/>
  <c r="O394" i="10" s="1"/>
  <c r="Q340" i="6"/>
  <c r="AD394" i="10" s="1"/>
  <c r="U340" i="6"/>
  <c r="AN394" i="10" s="1"/>
  <c r="S340" i="6"/>
  <c r="AJ394" i="10" s="1"/>
  <c r="X340" i="6"/>
  <c r="F340" i="6"/>
  <c r="G394" i="10" s="1"/>
  <c r="G340" i="6"/>
  <c r="I394" i="10" s="1"/>
  <c r="O339" i="6"/>
  <c r="D342" i="6"/>
  <c r="C341" i="6"/>
  <c r="E342" i="6"/>
  <c r="M341" i="6" l="1"/>
  <c r="W395" i="10" s="1"/>
  <c r="Z341" i="6"/>
  <c r="AP395" i="10" s="1"/>
  <c r="Y393" i="10"/>
  <c r="K339" i="6"/>
  <c r="Q393" i="10" s="1"/>
  <c r="C395" i="10"/>
  <c r="V340" i="6"/>
  <c r="W340" i="6"/>
  <c r="O340" i="6"/>
  <c r="K340" i="6" s="1"/>
  <c r="G341" i="6"/>
  <c r="I395" i="10" s="1"/>
  <c r="L341" i="6"/>
  <c r="S395" i="10" s="1"/>
  <c r="P341" i="6"/>
  <c r="Z395" i="10" s="1"/>
  <c r="J341" i="6"/>
  <c r="O395" i="10" s="1"/>
  <c r="Q341" i="6"/>
  <c r="AD395" i="10" s="1"/>
  <c r="F341" i="6"/>
  <c r="G395" i="10" s="1"/>
  <c r="H341" i="6"/>
  <c r="K395" i="10" s="1"/>
  <c r="N341" i="6"/>
  <c r="U395" i="10" s="1"/>
  <c r="S341" i="6"/>
  <c r="AJ395" i="10" s="1"/>
  <c r="Y341" i="6"/>
  <c r="AR395" i="10" s="1"/>
  <c r="T341" i="6"/>
  <c r="AL395" i="10" s="1"/>
  <c r="I341" i="6"/>
  <c r="M395" i="10" s="1"/>
  <c r="R341" i="6"/>
  <c r="AH395" i="10" s="1"/>
  <c r="U341" i="6"/>
  <c r="AN395" i="10" s="1"/>
  <c r="X341" i="6"/>
  <c r="D343" i="6"/>
  <c r="C342" i="6"/>
  <c r="E343" i="6"/>
  <c r="M342" i="6" l="1"/>
  <c r="W396" i="10" s="1"/>
  <c r="Z342" i="6"/>
  <c r="AP396" i="10" s="1"/>
  <c r="C396" i="10"/>
  <c r="Q394" i="10"/>
  <c r="Y394" i="10"/>
  <c r="V341" i="6"/>
  <c r="W341" i="6"/>
  <c r="O341" i="6"/>
  <c r="K341" i="6" s="1"/>
  <c r="G342" i="6"/>
  <c r="I396" i="10" s="1"/>
  <c r="N342" i="6"/>
  <c r="U396" i="10" s="1"/>
  <c r="R342" i="6"/>
  <c r="AH396" i="10" s="1"/>
  <c r="T342" i="6"/>
  <c r="AL396" i="10" s="1"/>
  <c r="Y342" i="6"/>
  <c r="AR396" i="10" s="1"/>
  <c r="H342" i="6"/>
  <c r="K396" i="10" s="1"/>
  <c r="U342" i="6"/>
  <c r="AN396" i="10" s="1"/>
  <c r="F342" i="6"/>
  <c r="G396" i="10" s="1"/>
  <c r="J342" i="6"/>
  <c r="O396" i="10" s="1"/>
  <c r="Q342" i="6"/>
  <c r="AD396" i="10" s="1"/>
  <c r="L342" i="6"/>
  <c r="S396" i="10" s="1"/>
  <c r="S342" i="6"/>
  <c r="AJ396" i="10" s="1"/>
  <c r="I342" i="6"/>
  <c r="M396" i="10" s="1"/>
  <c r="P342" i="6"/>
  <c r="Z396" i="10" s="1"/>
  <c r="X342" i="6"/>
  <c r="D344" i="6"/>
  <c r="C343" i="6"/>
  <c r="E344" i="6"/>
  <c r="M343" i="6" l="1"/>
  <c r="W397" i="10" s="1"/>
  <c r="Z343" i="6"/>
  <c r="AP397" i="10" s="1"/>
  <c r="C397" i="10"/>
  <c r="Q395" i="10"/>
  <c r="Y395" i="10"/>
  <c r="V342" i="6"/>
  <c r="W342" i="6"/>
  <c r="O342" i="6"/>
  <c r="K342" i="6" s="1"/>
  <c r="I343" i="6"/>
  <c r="M397" i="10" s="1"/>
  <c r="S343" i="6"/>
  <c r="AJ397" i="10" s="1"/>
  <c r="U343" i="6"/>
  <c r="AN397" i="10" s="1"/>
  <c r="X343" i="6"/>
  <c r="T343" i="6"/>
  <c r="AL397" i="10" s="1"/>
  <c r="H343" i="6"/>
  <c r="K397" i="10" s="1"/>
  <c r="Q343" i="6"/>
  <c r="AD397" i="10" s="1"/>
  <c r="F343" i="6"/>
  <c r="G397" i="10" s="1"/>
  <c r="J343" i="6"/>
  <c r="O397" i="10" s="1"/>
  <c r="N343" i="6"/>
  <c r="U397" i="10" s="1"/>
  <c r="Y343" i="6"/>
  <c r="AR397" i="10" s="1"/>
  <c r="L343" i="6"/>
  <c r="S397" i="10" s="1"/>
  <c r="P343" i="6"/>
  <c r="Z397" i="10" s="1"/>
  <c r="R343" i="6"/>
  <c r="AH397" i="10" s="1"/>
  <c r="G343" i="6"/>
  <c r="I397" i="10" s="1"/>
  <c r="D345" i="6"/>
  <c r="C344" i="6"/>
  <c r="E345" i="6"/>
  <c r="M344" i="6" l="1"/>
  <c r="W398" i="10" s="1"/>
  <c r="Z344" i="6"/>
  <c r="AP398" i="10" s="1"/>
  <c r="C398" i="10"/>
  <c r="Q396" i="10"/>
  <c r="Y396" i="10"/>
  <c r="V343" i="6"/>
  <c r="W343" i="6"/>
  <c r="Q344" i="6"/>
  <c r="AD398" i="10" s="1"/>
  <c r="G344" i="6"/>
  <c r="I398" i="10" s="1"/>
  <c r="J344" i="6"/>
  <c r="O398" i="10" s="1"/>
  <c r="P344" i="6"/>
  <c r="Z398" i="10" s="1"/>
  <c r="U344" i="6"/>
  <c r="AN398" i="10" s="1"/>
  <c r="R344" i="6"/>
  <c r="AH398" i="10" s="1"/>
  <c r="F344" i="6"/>
  <c r="G398" i="10" s="1"/>
  <c r="L344" i="6"/>
  <c r="S398" i="10" s="1"/>
  <c r="S344" i="6"/>
  <c r="AJ398" i="10" s="1"/>
  <c r="N344" i="6"/>
  <c r="U398" i="10" s="1"/>
  <c r="I344" i="6"/>
  <c r="M398" i="10" s="1"/>
  <c r="H344" i="6"/>
  <c r="K398" i="10" s="1"/>
  <c r="Y344" i="6"/>
  <c r="AR398" i="10" s="1"/>
  <c r="X344" i="6"/>
  <c r="T344" i="6"/>
  <c r="AL398" i="10" s="1"/>
  <c r="O343" i="6"/>
  <c r="D346" i="6"/>
  <c r="C345" i="6"/>
  <c r="E346" i="6"/>
  <c r="M345" i="6" l="1"/>
  <c r="W399" i="10" s="1"/>
  <c r="Z345" i="6"/>
  <c r="AP399" i="10" s="1"/>
  <c r="Y397" i="10"/>
  <c r="K343" i="6"/>
  <c r="Q397" i="10" s="1"/>
  <c r="C399" i="10"/>
  <c r="W344" i="6"/>
  <c r="V344" i="6"/>
  <c r="R345" i="6"/>
  <c r="AH399" i="10" s="1"/>
  <c r="P345" i="6"/>
  <c r="Z399" i="10" s="1"/>
  <c r="H345" i="6"/>
  <c r="K399" i="10" s="1"/>
  <c r="G345" i="6"/>
  <c r="I399" i="10" s="1"/>
  <c r="S345" i="6"/>
  <c r="AJ399" i="10" s="1"/>
  <c r="Y345" i="6"/>
  <c r="AR399" i="10" s="1"/>
  <c r="N345" i="6"/>
  <c r="U399" i="10" s="1"/>
  <c r="T345" i="6"/>
  <c r="AL399" i="10" s="1"/>
  <c r="X345" i="6"/>
  <c r="J345" i="6"/>
  <c r="O399" i="10" s="1"/>
  <c r="L345" i="6"/>
  <c r="S399" i="10" s="1"/>
  <c r="Q345" i="6"/>
  <c r="AD399" i="10" s="1"/>
  <c r="U345" i="6"/>
  <c r="AN399" i="10" s="1"/>
  <c r="F345" i="6"/>
  <c r="G399" i="10" s="1"/>
  <c r="I345" i="6"/>
  <c r="M399" i="10" s="1"/>
  <c r="O344" i="6"/>
  <c r="K344" i="6" s="1"/>
  <c r="D347" i="6"/>
  <c r="C346" i="6"/>
  <c r="E347" i="6"/>
  <c r="M346" i="6" l="1"/>
  <c r="W400" i="10" s="1"/>
  <c r="Z346" i="6"/>
  <c r="AP400" i="10" s="1"/>
  <c r="C400" i="10"/>
  <c r="Q398" i="10"/>
  <c r="Y398" i="10"/>
  <c r="W345" i="6"/>
  <c r="V345" i="6"/>
  <c r="U346" i="6"/>
  <c r="AN400" i="10" s="1"/>
  <c r="F346" i="6"/>
  <c r="G400" i="10" s="1"/>
  <c r="L346" i="6"/>
  <c r="S400" i="10" s="1"/>
  <c r="I346" i="6"/>
  <c r="M400" i="10" s="1"/>
  <c r="H346" i="6"/>
  <c r="K400" i="10" s="1"/>
  <c r="Q346" i="6"/>
  <c r="AD400" i="10" s="1"/>
  <c r="T346" i="6"/>
  <c r="AL400" i="10" s="1"/>
  <c r="X346" i="6"/>
  <c r="G346" i="6"/>
  <c r="I400" i="10" s="1"/>
  <c r="J346" i="6"/>
  <c r="O400" i="10" s="1"/>
  <c r="R346" i="6"/>
  <c r="AH400" i="10" s="1"/>
  <c r="N346" i="6"/>
  <c r="U400" i="10" s="1"/>
  <c r="S346" i="6"/>
  <c r="AJ400" i="10" s="1"/>
  <c r="Y346" i="6"/>
  <c r="AR400" i="10" s="1"/>
  <c r="P346" i="6"/>
  <c r="Z400" i="10" s="1"/>
  <c r="O345" i="6"/>
  <c r="D348" i="6"/>
  <c r="C347" i="6"/>
  <c r="E348" i="6"/>
  <c r="M347" i="6" l="1"/>
  <c r="W401" i="10" s="1"/>
  <c r="Z347" i="6"/>
  <c r="AP401" i="10" s="1"/>
  <c r="Y399" i="10"/>
  <c r="K345" i="6"/>
  <c r="Q399" i="10" s="1"/>
  <c r="C401" i="10"/>
  <c r="W346" i="6"/>
  <c r="V346" i="6"/>
  <c r="T347" i="6"/>
  <c r="AL401" i="10" s="1"/>
  <c r="U347" i="6"/>
  <c r="AN401" i="10" s="1"/>
  <c r="Q347" i="6"/>
  <c r="AD401" i="10" s="1"/>
  <c r="H347" i="6"/>
  <c r="K401" i="10" s="1"/>
  <c r="R347" i="6"/>
  <c r="AH401" i="10" s="1"/>
  <c r="Y347" i="6"/>
  <c r="AR401" i="10" s="1"/>
  <c r="I347" i="6"/>
  <c r="M401" i="10" s="1"/>
  <c r="J347" i="6"/>
  <c r="O401" i="10" s="1"/>
  <c r="S347" i="6"/>
  <c r="AJ401" i="10" s="1"/>
  <c r="P347" i="6"/>
  <c r="Z401" i="10" s="1"/>
  <c r="N347" i="6"/>
  <c r="U401" i="10" s="1"/>
  <c r="G347" i="6"/>
  <c r="I401" i="10" s="1"/>
  <c r="F347" i="6"/>
  <c r="G401" i="10" s="1"/>
  <c r="X347" i="6"/>
  <c r="L347" i="6"/>
  <c r="S401" i="10" s="1"/>
  <c r="O346" i="6"/>
  <c r="D349" i="6"/>
  <c r="C348" i="6"/>
  <c r="E349" i="6"/>
  <c r="M348" i="6" l="1"/>
  <c r="W402" i="10" s="1"/>
  <c r="Z348" i="6"/>
  <c r="AP402" i="10" s="1"/>
  <c r="Y400" i="10"/>
  <c r="K346" i="6"/>
  <c r="Q400" i="10" s="1"/>
  <c r="C402" i="10"/>
  <c r="W347" i="6"/>
  <c r="V347" i="6"/>
  <c r="O347" i="6"/>
  <c r="K347" i="6" s="1"/>
  <c r="U348" i="6"/>
  <c r="AN402" i="10" s="1"/>
  <c r="G348" i="6"/>
  <c r="I402" i="10" s="1"/>
  <c r="S348" i="6"/>
  <c r="AJ402" i="10" s="1"/>
  <c r="L348" i="6"/>
  <c r="S402" i="10" s="1"/>
  <c r="R348" i="6"/>
  <c r="AH402" i="10" s="1"/>
  <c r="F348" i="6"/>
  <c r="G402" i="10" s="1"/>
  <c r="J348" i="6"/>
  <c r="O402" i="10" s="1"/>
  <c r="Q348" i="6"/>
  <c r="AD402" i="10" s="1"/>
  <c r="X348" i="6"/>
  <c r="P348" i="6"/>
  <c r="Z402" i="10" s="1"/>
  <c r="I348" i="6"/>
  <c r="M402" i="10" s="1"/>
  <c r="H348" i="6"/>
  <c r="K402" i="10" s="1"/>
  <c r="N348" i="6"/>
  <c r="U402" i="10" s="1"/>
  <c r="T348" i="6"/>
  <c r="AL402" i="10" s="1"/>
  <c r="Y348" i="6"/>
  <c r="AR402" i="10" s="1"/>
  <c r="D350" i="6"/>
  <c r="C349" i="6"/>
  <c r="E350" i="6"/>
  <c r="M349" i="6" l="1"/>
  <c r="W403" i="10" s="1"/>
  <c r="Z349" i="6"/>
  <c r="AP403" i="10" s="1"/>
  <c r="C403" i="10"/>
  <c r="Q401" i="10"/>
  <c r="Y401" i="10"/>
  <c r="W348" i="6"/>
  <c r="V348" i="6"/>
  <c r="O348" i="6"/>
  <c r="K348" i="6" s="1"/>
  <c r="Q349" i="6"/>
  <c r="AD403" i="10" s="1"/>
  <c r="X349" i="6"/>
  <c r="H349" i="6"/>
  <c r="K403" i="10" s="1"/>
  <c r="J349" i="6"/>
  <c r="O403" i="10" s="1"/>
  <c r="U349" i="6"/>
  <c r="AN403" i="10" s="1"/>
  <c r="N349" i="6"/>
  <c r="U403" i="10" s="1"/>
  <c r="S349" i="6"/>
  <c r="AJ403" i="10" s="1"/>
  <c r="L349" i="6"/>
  <c r="S403" i="10" s="1"/>
  <c r="Y349" i="6"/>
  <c r="AR403" i="10" s="1"/>
  <c r="F349" i="6"/>
  <c r="G403" i="10" s="1"/>
  <c r="G349" i="6"/>
  <c r="I403" i="10" s="1"/>
  <c r="I349" i="6"/>
  <c r="M403" i="10" s="1"/>
  <c r="T349" i="6"/>
  <c r="AL403" i="10" s="1"/>
  <c r="R349" i="6"/>
  <c r="AH403" i="10" s="1"/>
  <c r="P349" i="6"/>
  <c r="Z403" i="10" s="1"/>
  <c r="D351" i="6"/>
  <c r="C350" i="6"/>
  <c r="E351" i="6"/>
  <c r="M350" i="6" l="1"/>
  <c r="W404" i="10" s="1"/>
  <c r="Z350" i="6"/>
  <c r="AP404" i="10" s="1"/>
  <c r="C404" i="10"/>
  <c r="Q402" i="10"/>
  <c r="Y402" i="10"/>
  <c r="V349" i="6"/>
  <c r="W349" i="6"/>
  <c r="O349" i="6"/>
  <c r="Q350" i="6"/>
  <c r="AD404" i="10" s="1"/>
  <c r="N350" i="6"/>
  <c r="U404" i="10" s="1"/>
  <c r="J350" i="6"/>
  <c r="O404" i="10" s="1"/>
  <c r="F350" i="6"/>
  <c r="G404" i="10" s="1"/>
  <c r="X350" i="6"/>
  <c r="I350" i="6"/>
  <c r="M404" i="10" s="1"/>
  <c r="U350" i="6"/>
  <c r="AN404" i="10" s="1"/>
  <c r="L350" i="6"/>
  <c r="S404" i="10" s="1"/>
  <c r="H350" i="6"/>
  <c r="K404" i="10" s="1"/>
  <c r="G350" i="6"/>
  <c r="I404" i="10" s="1"/>
  <c r="R350" i="6"/>
  <c r="AH404" i="10" s="1"/>
  <c r="S350" i="6"/>
  <c r="AJ404" i="10" s="1"/>
  <c r="P350" i="6"/>
  <c r="Z404" i="10" s="1"/>
  <c r="T350" i="6"/>
  <c r="AL404" i="10" s="1"/>
  <c r="Y350" i="6"/>
  <c r="AR404" i="10" s="1"/>
  <c r="D352" i="6"/>
  <c r="C351" i="6"/>
  <c r="E352" i="6"/>
  <c r="M351" i="6" l="1"/>
  <c r="W405" i="10" s="1"/>
  <c r="Z351" i="6"/>
  <c r="AP405" i="10" s="1"/>
  <c r="Y403" i="10"/>
  <c r="K349" i="6"/>
  <c r="Q403" i="10" s="1"/>
  <c r="C405" i="10"/>
  <c r="V350" i="6"/>
  <c r="W350" i="6"/>
  <c r="L351" i="6"/>
  <c r="S405" i="10" s="1"/>
  <c r="F351" i="6"/>
  <c r="G405" i="10" s="1"/>
  <c r="S351" i="6"/>
  <c r="AJ405" i="10" s="1"/>
  <c r="N351" i="6"/>
  <c r="U405" i="10" s="1"/>
  <c r="T351" i="6"/>
  <c r="AL405" i="10" s="1"/>
  <c r="I351" i="6"/>
  <c r="M405" i="10" s="1"/>
  <c r="U351" i="6"/>
  <c r="AN405" i="10" s="1"/>
  <c r="Y351" i="6"/>
  <c r="AR405" i="10" s="1"/>
  <c r="X351" i="6"/>
  <c r="H351" i="6"/>
  <c r="K405" i="10" s="1"/>
  <c r="P351" i="6"/>
  <c r="Z405" i="10" s="1"/>
  <c r="Q351" i="6"/>
  <c r="AD405" i="10" s="1"/>
  <c r="J351" i="6"/>
  <c r="O405" i="10" s="1"/>
  <c r="G351" i="6"/>
  <c r="I405" i="10" s="1"/>
  <c r="R351" i="6"/>
  <c r="AH405" i="10" s="1"/>
  <c r="O350" i="6"/>
  <c r="K350" i="6" s="1"/>
  <c r="D353" i="6"/>
  <c r="C352" i="6"/>
  <c r="E353" i="6"/>
  <c r="M352" i="6" l="1"/>
  <c r="W406" i="10" s="1"/>
  <c r="Z352" i="6"/>
  <c r="AP406" i="10" s="1"/>
  <c r="C406" i="10"/>
  <c r="Q404" i="10"/>
  <c r="Y404" i="10"/>
  <c r="V351" i="6"/>
  <c r="W351" i="6"/>
  <c r="O351" i="6"/>
  <c r="Y352" i="6"/>
  <c r="AR406" i="10" s="1"/>
  <c r="J352" i="6"/>
  <c r="O406" i="10" s="1"/>
  <c r="U352" i="6"/>
  <c r="AN406" i="10" s="1"/>
  <c r="R352" i="6"/>
  <c r="AH406" i="10" s="1"/>
  <c r="Q352" i="6"/>
  <c r="AD406" i="10" s="1"/>
  <c r="T352" i="6"/>
  <c r="AL406" i="10" s="1"/>
  <c r="N352" i="6"/>
  <c r="U406" i="10" s="1"/>
  <c r="S352" i="6"/>
  <c r="AJ406" i="10" s="1"/>
  <c r="F352" i="6"/>
  <c r="G406" i="10" s="1"/>
  <c r="L352" i="6"/>
  <c r="S406" i="10" s="1"/>
  <c r="H352" i="6"/>
  <c r="K406" i="10" s="1"/>
  <c r="I352" i="6"/>
  <c r="M406" i="10" s="1"/>
  <c r="P352" i="6"/>
  <c r="Z406" i="10" s="1"/>
  <c r="G352" i="6"/>
  <c r="I406" i="10" s="1"/>
  <c r="X352" i="6"/>
  <c r="D354" i="6"/>
  <c r="C353" i="6"/>
  <c r="E354" i="6"/>
  <c r="M353" i="6" l="1"/>
  <c r="W407" i="10" s="1"/>
  <c r="Z353" i="6"/>
  <c r="AP407" i="10" s="1"/>
  <c r="Y405" i="10"/>
  <c r="K351" i="6"/>
  <c r="Q405" i="10" s="1"/>
  <c r="C407" i="10"/>
  <c r="V352" i="6"/>
  <c r="W352" i="6"/>
  <c r="O352" i="6"/>
  <c r="K352" i="6" s="1"/>
  <c r="N353" i="6"/>
  <c r="U407" i="10" s="1"/>
  <c r="U353" i="6"/>
  <c r="AN407" i="10" s="1"/>
  <c r="L353" i="6"/>
  <c r="S407" i="10" s="1"/>
  <c r="F353" i="6"/>
  <c r="G407" i="10" s="1"/>
  <c r="H353" i="6"/>
  <c r="K407" i="10" s="1"/>
  <c r="S353" i="6"/>
  <c r="AJ407" i="10" s="1"/>
  <c r="T353" i="6"/>
  <c r="AL407" i="10" s="1"/>
  <c r="Y353" i="6"/>
  <c r="AR407" i="10" s="1"/>
  <c r="R353" i="6"/>
  <c r="AH407" i="10" s="1"/>
  <c r="G353" i="6"/>
  <c r="I407" i="10" s="1"/>
  <c r="P353" i="6"/>
  <c r="Z407" i="10" s="1"/>
  <c r="I353" i="6"/>
  <c r="M407" i="10" s="1"/>
  <c r="J353" i="6"/>
  <c r="O407" i="10" s="1"/>
  <c r="X353" i="6"/>
  <c r="Q353" i="6"/>
  <c r="AD407" i="10" s="1"/>
  <c r="D355" i="6"/>
  <c r="C354" i="6"/>
  <c r="E355" i="6"/>
  <c r="M354" i="6" l="1"/>
  <c r="W408" i="10" s="1"/>
  <c r="Z354" i="6"/>
  <c r="AP408" i="10" s="1"/>
  <c r="C408" i="10"/>
  <c r="Q406" i="10"/>
  <c r="Y406" i="10"/>
  <c r="W353" i="6"/>
  <c r="V353" i="6"/>
  <c r="O353" i="6"/>
  <c r="K353" i="6" s="1"/>
  <c r="G354" i="6"/>
  <c r="I408" i="10" s="1"/>
  <c r="L354" i="6"/>
  <c r="S408" i="10" s="1"/>
  <c r="R354" i="6"/>
  <c r="AH408" i="10" s="1"/>
  <c r="N354" i="6"/>
  <c r="U408" i="10" s="1"/>
  <c r="X354" i="6"/>
  <c r="H354" i="6"/>
  <c r="K408" i="10" s="1"/>
  <c r="T354" i="6"/>
  <c r="AL408" i="10" s="1"/>
  <c r="S354" i="6"/>
  <c r="AJ408" i="10" s="1"/>
  <c r="I354" i="6"/>
  <c r="M408" i="10" s="1"/>
  <c r="P354" i="6"/>
  <c r="Z408" i="10" s="1"/>
  <c r="Y354" i="6"/>
  <c r="AR408" i="10" s="1"/>
  <c r="F354" i="6"/>
  <c r="G408" i="10" s="1"/>
  <c r="J354" i="6"/>
  <c r="O408" i="10" s="1"/>
  <c r="Q354" i="6"/>
  <c r="AD408" i="10" s="1"/>
  <c r="U354" i="6"/>
  <c r="AN408" i="10" s="1"/>
  <c r="D356" i="6"/>
  <c r="C355" i="6"/>
  <c r="E356" i="6"/>
  <c r="M355" i="6" l="1"/>
  <c r="W409" i="10" s="1"/>
  <c r="Z355" i="6"/>
  <c r="AP409" i="10" s="1"/>
  <c r="C409" i="10"/>
  <c r="Q407" i="10"/>
  <c r="Y407" i="10"/>
  <c r="W354" i="6"/>
  <c r="V354" i="6"/>
  <c r="U355" i="6"/>
  <c r="AN409" i="10" s="1"/>
  <c r="X355" i="6"/>
  <c r="G355" i="6"/>
  <c r="I409" i="10" s="1"/>
  <c r="S355" i="6"/>
  <c r="AJ409" i="10" s="1"/>
  <c r="Y355" i="6"/>
  <c r="AR409" i="10" s="1"/>
  <c r="L355" i="6"/>
  <c r="S409" i="10" s="1"/>
  <c r="H355" i="6"/>
  <c r="K409" i="10" s="1"/>
  <c r="R355" i="6"/>
  <c r="AH409" i="10" s="1"/>
  <c r="I355" i="6"/>
  <c r="M409" i="10" s="1"/>
  <c r="J355" i="6"/>
  <c r="O409" i="10" s="1"/>
  <c r="T355" i="6"/>
  <c r="AL409" i="10" s="1"/>
  <c r="N355" i="6"/>
  <c r="U409" i="10" s="1"/>
  <c r="Q355" i="6"/>
  <c r="AD409" i="10" s="1"/>
  <c r="F355" i="6"/>
  <c r="G409" i="10" s="1"/>
  <c r="P355" i="6"/>
  <c r="Z409" i="10" s="1"/>
  <c r="O354" i="6"/>
  <c r="K354" i="6" s="1"/>
  <c r="D357" i="6"/>
  <c r="C356" i="6"/>
  <c r="E357" i="6"/>
  <c r="M356" i="6" l="1"/>
  <c r="W410" i="10" s="1"/>
  <c r="Z356" i="6"/>
  <c r="AP410" i="10" s="1"/>
  <c r="C410" i="10"/>
  <c r="Q408" i="10"/>
  <c r="Y408" i="10"/>
  <c r="W355" i="6"/>
  <c r="V355" i="6"/>
  <c r="O355" i="6"/>
  <c r="P356" i="6"/>
  <c r="Z410" i="10" s="1"/>
  <c r="S356" i="6"/>
  <c r="AJ410" i="10" s="1"/>
  <c r="J356" i="6"/>
  <c r="O410" i="10" s="1"/>
  <c r="Q356" i="6"/>
  <c r="AD410" i="10" s="1"/>
  <c r="T356" i="6"/>
  <c r="AL410" i="10" s="1"/>
  <c r="G356" i="6"/>
  <c r="I410" i="10" s="1"/>
  <c r="L356" i="6"/>
  <c r="S410" i="10" s="1"/>
  <c r="F356" i="6"/>
  <c r="G410" i="10" s="1"/>
  <c r="H356" i="6"/>
  <c r="K410" i="10" s="1"/>
  <c r="N356" i="6"/>
  <c r="U410" i="10" s="1"/>
  <c r="R356" i="6"/>
  <c r="AH410" i="10" s="1"/>
  <c r="I356" i="6"/>
  <c r="M410" i="10" s="1"/>
  <c r="U356" i="6"/>
  <c r="AN410" i="10" s="1"/>
  <c r="Y356" i="6"/>
  <c r="AR410" i="10" s="1"/>
  <c r="X356" i="6"/>
  <c r="D358" i="6"/>
  <c r="C357" i="6"/>
  <c r="E358" i="6"/>
  <c r="M357" i="6" l="1"/>
  <c r="W411" i="10" s="1"/>
  <c r="Z357" i="6"/>
  <c r="AP411" i="10" s="1"/>
  <c r="Y409" i="10"/>
  <c r="K355" i="6"/>
  <c r="Q409" i="10" s="1"/>
  <c r="C411" i="10"/>
  <c r="V356" i="6"/>
  <c r="W356" i="6"/>
  <c r="O356" i="6"/>
  <c r="K356" i="6" s="1"/>
  <c r="Y357" i="6"/>
  <c r="AR411" i="10" s="1"/>
  <c r="L357" i="6"/>
  <c r="S411" i="10" s="1"/>
  <c r="P357" i="6"/>
  <c r="Z411" i="10" s="1"/>
  <c r="I357" i="6"/>
  <c r="M411" i="10" s="1"/>
  <c r="T357" i="6"/>
  <c r="AL411" i="10" s="1"/>
  <c r="U357" i="6"/>
  <c r="AN411" i="10" s="1"/>
  <c r="S357" i="6"/>
  <c r="AJ411" i="10" s="1"/>
  <c r="J357" i="6"/>
  <c r="O411" i="10" s="1"/>
  <c r="H357" i="6"/>
  <c r="K411" i="10" s="1"/>
  <c r="R357" i="6"/>
  <c r="AH411" i="10" s="1"/>
  <c r="F357" i="6"/>
  <c r="G411" i="10" s="1"/>
  <c r="X357" i="6"/>
  <c r="N357" i="6"/>
  <c r="U411" i="10" s="1"/>
  <c r="Q357" i="6"/>
  <c r="AD411" i="10" s="1"/>
  <c r="G357" i="6"/>
  <c r="I411" i="10" s="1"/>
  <c r="D359" i="6"/>
  <c r="C358" i="6"/>
  <c r="E359" i="6"/>
  <c r="M358" i="6" l="1"/>
  <c r="W412" i="10" s="1"/>
  <c r="Z358" i="6"/>
  <c r="AP412" i="10" s="1"/>
  <c r="C412" i="10"/>
  <c r="Q410" i="10"/>
  <c r="Y410" i="10"/>
  <c r="W357" i="6"/>
  <c r="V357" i="6"/>
  <c r="O357" i="6"/>
  <c r="K357" i="6" s="1"/>
  <c r="R358" i="6"/>
  <c r="AH412" i="10" s="1"/>
  <c r="H358" i="6"/>
  <c r="K412" i="10" s="1"/>
  <c r="P358" i="6"/>
  <c r="Z412" i="10" s="1"/>
  <c r="N358" i="6"/>
  <c r="U412" i="10" s="1"/>
  <c r="G358" i="6"/>
  <c r="I412" i="10" s="1"/>
  <c r="X358" i="6"/>
  <c r="Y358" i="6"/>
  <c r="AR412" i="10" s="1"/>
  <c r="S358" i="6"/>
  <c r="AJ412" i="10" s="1"/>
  <c r="Q358" i="6"/>
  <c r="AD412" i="10" s="1"/>
  <c r="T358" i="6"/>
  <c r="AL412" i="10" s="1"/>
  <c r="F358" i="6"/>
  <c r="G412" i="10" s="1"/>
  <c r="L358" i="6"/>
  <c r="S412" i="10" s="1"/>
  <c r="U358" i="6"/>
  <c r="AN412" i="10" s="1"/>
  <c r="J358" i="6"/>
  <c r="O412" i="10" s="1"/>
  <c r="I358" i="6"/>
  <c r="M412" i="10" s="1"/>
  <c r="D360" i="6"/>
  <c r="C359" i="6"/>
  <c r="E360" i="6"/>
  <c r="M359" i="6" l="1"/>
  <c r="W413" i="10" s="1"/>
  <c r="Z359" i="6"/>
  <c r="AP413" i="10" s="1"/>
  <c r="C413" i="10"/>
  <c r="Q411" i="10"/>
  <c r="Y411" i="10"/>
  <c r="W358" i="6"/>
  <c r="V358" i="6"/>
  <c r="O358" i="6"/>
  <c r="N359" i="6"/>
  <c r="U413" i="10" s="1"/>
  <c r="L359" i="6"/>
  <c r="S413" i="10" s="1"/>
  <c r="S359" i="6"/>
  <c r="AJ413" i="10" s="1"/>
  <c r="Y359" i="6"/>
  <c r="AR413" i="10" s="1"/>
  <c r="X359" i="6"/>
  <c r="R359" i="6"/>
  <c r="AH413" i="10" s="1"/>
  <c r="U359" i="6"/>
  <c r="AN413" i="10" s="1"/>
  <c r="G359" i="6"/>
  <c r="I413" i="10" s="1"/>
  <c r="F359" i="6"/>
  <c r="G413" i="10" s="1"/>
  <c r="J359" i="6"/>
  <c r="O413" i="10" s="1"/>
  <c r="Q359" i="6"/>
  <c r="AD413" i="10" s="1"/>
  <c r="H359" i="6"/>
  <c r="K413" i="10" s="1"/>
  <c r="I359" i="6"/>
  <c r="M413" i="10" s="1"/>
  <c r="P359" i="6"/>
  <c r="Z413" i="10" s="1"/>
  <c r="T359" i="6"/>
  <c r="AL413" i="10" s="1"/>
  <c r="D361" i="6"/>
  <c r="C360" i="6"/>
  <c r="E361" i="6"/>
  <c r="M360" i="6" l="1"/>
  <c r="W414" i="10" s="1"/>
  <c r="Z360" i="6"/>
  <c r="AP414" i="10" s="1"/>
  <c r="Y412" i="10"/>
  <c r="K358" i="6"/>
  <c r="Q412" i="10" s="1"/>
  <c r="C414" i="10"/>
  <c r="W359" i="6"/>
  <c r="V359" i="6"/>
  <c r="O359" i="6"/>
  <c r="L360" i="6"/>
  <c r="S414" i="10" s="1"/>
  <c r="T360" i="6"/>
  <c r="AL414" i="10" s="1"/>
  <c r="Y360" i="6"/>
  <c r="AR414" i="10" s="1"/>
  <c r="G360" i="6"/>
  <c r="I414" i="10" s="1"/>
  <c r="H360" i="6"/>
  <c r="K414" i="10" s="1"/>
  <c r="N360" i="6"/>
  <c r="U414" i="10" s="1"/>
  <c r="F360" i="6"/>
  <c r="G414" i="10" s="1"/>
  <c r="I360" i="6"/>
  <c r="M414" i="10" s="1"/>
  <c r="P360" i="6"/>
  <c r="Z414" i="10" s="1"/>
  <c r="Q360" i="6"/>
  <c r="AD414" i="10" s="1"/>
  <c r="X360" i="6"/>
  <c r="J360" i="6"/>
  <c r="O414" i="10" s="1"/>
  <c r="R360" i="6"/>
  <c r="AH414" i="10" s="1"/>
  <c r="S360" i="6"/>
  <c r="AJ414" i="10" s="1"/>
  <c r="U360" i="6"/>
  <c r="AN414" i="10" s="1"/>
  <c r="D362" i="6"/>
  <c r="C361" i="6"/>
  <c r="E362" i="6"/>
  <c r="M361" i="6" l="1"/>
  <c r="W415" i="10" s="1"/>
  <c r="Z361" i="6"/>
  <c r="AP415" i="10" s="1"/>
  <c r="Y413" i="10"/>
  <c r="K359" i="6"/>
  <c r="Q413" i="10" s="1"/>
  <c r="C415" i="10"/>
  <c r="W360" i="6"/>
  <c r="V360" i="6"/>
  <c r="T361" i="6"/>
  <c r="AL415" i="10" s="1"/>
  <c r="F361" i="6"/>
  <c r="G415" i="10" s="1"/>
  <c r="L361" i="6"/>
  <c r="S415" i="10" s="1"/>
  <c r="N361" i="6"/>
  <c r="U415" i="10" s="1"/>
  <c r="U361" i="6"/>
  <c r="AN415" i="10" s="1"/>
  <c r="H361" i="6"/>
  <c r="K415" i="10" s="1"/>
  <c r="J361" i="6"/>
  <c r="O415" i="10" s="1"/>
  <c r="Q361" i="6"/>
  <c r="AD415" i="10" s="1"/>
  <c r="S361" i="6"/>
  <c r="AJ415" i="10" s="1"/>
  <c r="X361" i="6"/>
  <c r="G361" i="6"/>
  <c r="I415" i="10" s="1"/>
  <c r="P361" i="6"/>
  <c r="Z415" i="10" s="1"/>
  <c r="Y361" i="6"/>
  <c r="AR415" i="10" s="1"/>
  <c r="I361" i="6"/>
  <c r="M415" i="10" s="1"/>
  <c r="R361" i="6"/>
  <c r="AH415" i="10" s="1"/>
  <c r="O360" i="6"/>
  <c r="K360" i="6" s="1"/>
  <c r="D363" i="6"/>
  <c r="C362" i="6"/>
  <c r="E363" i="6"/>
  <c r="M362" i="6" l="1"/>
  <c r="W416" i="10" s="1"/>
  <c r="Z362" i="6"/>
  <c r="AP416" i="10" s="1"/>
  <c r="C416" i="10"/>
  <c r="Q414" i="10"/>
  <c r="Y414" i="10"/>
  <c r="W361" i="6"/>
  <c r="V361" i="6"/>
  <c r="O361" i="6"/>
  <c r="K361" i="6" s="1"/>
  <c r="H362" i="6"/>
  <c r="K416" i="10" s="1"/>
  <c r="N362" i="6"/>
  <c r="U416" i="10" s="1"/>
  <c r="T362" i="6"/>
  <c r="AL416" i="10" s="1"/>
  <c r="X362" i="6"/>
  <c r="L362" i="6"/>
  <c r="S416" i="10" s="1"/>
  <c r="Q362" i="6"/>
  <c r="AD416" i="10" s="1"/>
  <c r="S362" i="6"/>
  <c r="AJ416" i="10" s="1"/>
  <c r="G362" i="6"/>
  <c r="I416" i="10" s="1"/>
  <c r="P362" i="6"/>
  <c r="Z416" i="10" s="1"/>
  <c r="U362" i="6"/>
  <c r="AN416" i="10" s="1"/>
  <c r="I362" i="6"/>
  <c r="M416" i="10" s="1"/>
  <c r="F362" i="6"/>
  <c r="G416" i="10" s="1"/>
  <c r="J362" i="6"/>
  <c r="O416" i="10" s="1"/>
  <c r="R362" i="6"/>
  <c r="AH416" i="10" s="1"/>
  <c r="Y362" i="6"/>
  <c r="AR416" i="10" s="1"/>
  <c r="D364" i="6"/>
  <c r="C363" i="6"/>
  <c r="E364" i="6"/>
  <c r="M363" i="6" l="1"/>
  <c r="W417" i="10" s="1"/>
  <c r="Z363" i="6"/>
  <c r="AP417" i="10" s="1"/>
  <c r="C417" i="10"/>
  <c r="Q415" i="10"/>
  <c r="Y415" i="10"/>
  <c r="V362" i="6"/>
  <c r="W362" i="6"/>
  <c r="O362" i="6"/>
  <c r="K362" i="6" s="1"/>
  <c r="R363" i="6"/>
  <c r="AH417" i="10" s="1"/>
  <c r="J363" i="6"/>
  <c r="O417" i="10" s="1"/>
  <c r="H363" i="6"/>
  <c r="K417" i="10" s="1"/>
  <c r="P363" i="6"/>
  <c r="Z417" i="10" s="1"/>
  <c r="T363" i="6"/>
  <c r="AL417" i="10" s="1"/>
  <c r="S363" i="6"/>
  <c r="AJ417" i="10" s="1"/>
  <c r="X363" i="6"/>
  <c r="Y363" i="6"/>
  <c r="AR417" i="10" s="1"/>
  <c r="I363" i="6"/>
  <c r="M417" i="10" s="1"/>
  <c r="F363" i="6"/>
  <c r="G417" i="10" s="1"/>
  <c r="Q363" i="6"/>
  <c r="AD417" i="10" s="1"/>
  <c r="G363" i="6"/>
  <c r="I417" i="10" s="1"/>
  <c r="U363" i="6"/>
  <c r="AN417" i="10" s="1"/>
  <c r="L363" i="6"/>
  <c r="S417" i="10" s="1"/>
  <c r="N363" i="6"/>
  <c r="U417" i="10" s="1"/>
  <c r="D365" i="6"/>
  <c r="C364" i="6"/>
  <c r="E365" i="6"/>
  <c r="M364" i="6" l="1"/>
  <c r="W418" i="10" s="1"/>
  <c r="Z364" i="6"/>
  <c r="AP418" i="10" s="1"/>
  <c r="C418" i="10"/>
  <c r="Q416" i="10"/>
  <c r="Y416" i="10"/>
  <c r="W363" i="6"/>
  <c r="V363" i="6"/>
  <c r="Q364" i="6"/>
  <c r="AD418" i="10" s="1"/>
  <c r="R364" i="6"/>
  <c r="AH418" i="10" s="1"/>
  <c r="F364" i="6"/>
  <c r="G418" i="10" s="1"/>
  <c r="I364" i="6"/>
  <c r="M418" i="10" s="1"/>
  <c r="S364" i="6"/>
  <c r="AJ418" i="10" s="1"/>
  <c r="H364" i="6"/>
  <c r="K418" i="10" s="1"/>
  <c r="N364" i="6"/>
  <c r="U418" i="10" s="1"/>
  <c r="J364" i="6"/>
  <c r="O418" i="10" s="1"/>
  <c r="X364" i="6"/>
  <c r="Y364" i="6"/>
  <c r="AR418" i="10" s="1"/>
  <c r="L364" i="6"/>
  <c r="S418" i="10" s="1"/>
  <c r="P364" i="6"/>
  <c r="Z418" i="10" s="1"/>
  <c r="U364" i="6"/>
  <c r="AN418" i="10" s="1"/>
  <c r="G364" i="6"/>
  <c r="I418" i="10" s="1"/>
  <c r="T364" i="6"/>
  <c r="AL418" i="10" s="1"/>
  <c r="O363" i="6"/>
  <c r="D366" i="6"/>
  <c r="C365" i="6"/>
  <c r="E366" i="6"/>
  <c r="M365" i="6" l="1"/>
  <c r="W419" i="10" s="1"/>
  <c r="Z365" i="6"/>
  <c r="AP419" i="10" s="1"/>
  <c r="Y417" i="10"/>
  <c r="K363" i="6"/>
  <c r="Q417" i="10" s="1"/>
  <c r="C419" i="10"/>
  <c r="V364" i="6"/>
  <c r="W364" i="6"/>
  <c r="O364" i="6"/>
  <c r="X365" i="6"/>
  <c r="N365" i="6"/>
  <c r="U419" i="10" s="1"/>
  <c r="R365" i="6"/>
  <c r="AH419" i="10" s="1"/>
  <c r="T365" i="6"/>
  <c r="AL419" i="10" s="1"/>
  <c r="F365" i="6"/>
  <c r="G419" i="10" s="1"/>
  <c r="P365" i="6"/>
  <c r="Z419" i="10" s="1"/>
  <c r="Y365" i="6"/>
  <c r="AR419" i="10" s="1"/>
  <c r="L365" i="6"/>
  <c r="S419" i="10" s="1"/>
  <c r="Q365" i="6"/>
  <c r="AD419" i="10" s="1"/>
  <c r="S365" i="6"/>
  <c r="AJ419" i="10" s="1"/>
  <c r="H365" i="6"/>
  <c r="K419" i="10" s="1"/>
  <c r="U365" i="6"/>
  <c r="AN419" i="10" s="1"/>
  <c r="G365" i="6"/>
  <c r="I419" i="10" s="1"/>
  <c r="I365" i="6"/>
  <c r="M419" i="10" s="1"/>
  <c r="J365" i="6"/>
  <c r="O419" i="10" s="1"/>
  <c r="D367" i="6"/>
  <c r="C366" i="6"/>
  <c r="E367" i="6"/>
  <c r="M366" i="6" l="1"/>
  <c r="W420" i="10" s="1"/>
  <c r="Z366" i="6"/>
  <c r="AP420" i="10" s="1"/>
  <c r="Y418" i="10"/>
  <c r="K364" i="6"/>
  <c r="Q418" i="10" s="1"/>
  <c r="C420" i="10"/>
  <c r="V365" i="6"/>
  <c r="W365" i="6"/>
  <c r="R366" i="6"/>
  <c r="AH420" i="10" s="1"/>
  <c r="Y366" i="6"/>
  <c r="AR420" i="10" s="1"/>
  <c r="X366" i="6"/>
  <c r="H366" i="6"/>
  <c r="K420" i="10" s="1"/>
  <c r="N366" i="6"/>
  <c r="U420" i="10" s="1"/>
  <c r="S366" i="6"/>
  <c r="AJ420" i="10" s="1"/>
  <c r="J366" i="6"/>
  <c r="O420" i="10" s="1"/>
  <c r="Q366" i="6"/>
  <c r="AD420" i="10" s="1"/>
  <c r="T366" i="6"/>
  <c r="AL420" i="10" s="1"/>
  <c r="F366" i="6"/>
  <c r="G420" i="10" s="1"/>
  <c r="L366" i="6"/>
  <c r="S420" i="10" s="1"/>
  <c r="P366" i="6"/>
  <c r="Z420" i="10" s="1"/>
  <c r="U366" i="6"/>
  <c r="AN420" i="10" s="1"/>
  <c r="G366" i="6"/>
  <c r="I420" i="10" s="1"/>
  <c r="I366" i="6"/>
  <c r="M420" i="10" s="1"/>
  <c r="O365" i="6"/>
  <c r="K365" i="6" s="1"/>
  <c r="D368" i="6"/>
  <c r="C367" i="6"/>
  <c r="E368" i="6"/>
  <c r="M367" i="6" l="1"/>
  <c r="W421" i="10" s="1"/>
  <c r="Z367" i="6"/>
  <c r="AP421" i="10" s="1"/>
  <c r="C421" i="10"/>
  <c r="Q419" i="10"/>
  <c r="Y419" i="10"/>
  <c r="V366" i="6"/>
  <c r="W366" i="6"/>
  <c r="O366" i="6"/>
  <c r="P367" i="6"/>
  <c r="Z421" i="10" s="1"/>
  <c r="Q367" i="6"/>
  <c r="AD421" i="10" s="1"/>
  <c r="H367" i="6"/>
  <c r="K421" i="10" s="1"/>
  <c r="F367" i="6"/>
  <c r="G421" i="10" s="1"/>
  <c r="J367" i="6"/>
  <c r="O421" i="10" s="1"/>
  <c r="U367" i="6"/>
  <c r="AN421" i="10" s="1"/>
  <c r="N367" i="6"/>
  <c r="U421" i="10" s="1"/>
  <c r="R367" i="6"/>
  <c r="AH421" i="10" s="1"/>
  <c r="G367" i="6"/>
  <c r="I421" i="10" s="1"/>
  <c r="L367" i="6"/>
  <c r="S421" i="10" s="1"/>
  <c r="S367" i="6"/>
  <c r="AJ421" i="10" s="1"/>
  <c r="T367" i="6"/>
  <c r="AL421" i="10" s="1"/>
  <c r="Y367" i="6"/>
  <c r="AR421" i="10" s="1"/>
  <c r="X367" i="6"/>
  <c r="I367" i="6"/>
  <c r="M421" i="10" s="1"/>
  <c r="D369" i="6"/>
  <c r="C368" i="6"/>
  <c r="E369" i="6"/>
  <c r="M368" i="6" l="1"/>
  <c r="W422" i="10" s="1"/>
  <c r="Z368" i="6"/>
  <c r="AP422" i="10" s="1"/>
  <c r="Y420" i="10"/>
  <c r="K366" i="6"/>
  <c r="Q420" i="10" s="1"/>
  <c r="C422" i="10"/>
  <c r="V367" i="6"/>
  <c r="W367" i="6"/>
  <c r="I368" i="6"/>
  <c r="M422" i="10" s="1"/>
  <c r="P368" i="6"/>
  <c r="Z422" i="10" s="1"/>
  <c r="U368" i="6"/>
  <c r="AN422" i="10" s="1"/>
  <c r="J368" i="6"/>
  <c r="O422" i="10" s="1"/>
  <c r="Y368" i="6"/>
  <c r="AR422" i="10" s="1"/>
  <c r="F368" i="6"/>
  <c r="G422" i="10" s="1"/>
  <c r="L368" i="6"/>
  <c r="S422" i="10" s="1"/>
  <c r="R368" i="6"/>
  <c r="AH422" i="10" s="1"/>
  <c r="Q368" i="6"/>
  <c r="AD422" i="10" s="1"/>
  <c r="G368" i="6"/>
  <c r="I422" i="10" s="1"/>
  <c r="T368" i="6"/>
  <c r="AL422" i="10" s="1"/>
  <c r="H368" i="6"/>
  <c r="K422" i="10" s="1"/>
  <c r="X368" i="6"/>
  <c r="S368" i="6"/>
  <c r="AJ422" i="10" s="1"/>
  <c r="N368" i="6"/>
  <c r="U422" i="10" s="1"/>
  <c r="O367" i="6"/>
  <c r="K367" i="6" s="1"/>
  <c r="D370" i="6"/>
  <c r="C369" i="6"/>
  <c r="E370" i="6"/>
  <c r="M369" i="6" l="1"/>
  <c r="W423" i="10" s="1"/>
  <c r="Z369" i="6"/>
  <c r="AP423" i="10" s="1"/>
  <c r="C423" i="10"/>
  <c r="Q421" i="10"/>
  <c r="Y421" i="10"/>
  <c r="W368" i="6"/>
  <c r="V368" i="6"/>
  <c r="O368" i="6"/>
  <c r="J369" i="6"/>
  <c r="O423" i="10" s="1"/>
  <c r="L369" i="6"/>
  <c r="S423" i="10" s="1"/>
  <c r="I369" i="6"/>
  <c r="M423" i="10" s="1"/>
  <c r="H369" i="6"/>
  <c r="K423" i="10" s="1"/>
  <c r="P369" i="6"/>
  <c r="Z423" i="10" s="1"/>
  <c r="S369" i="6"/>
  <c r="AJ423" i="10" s="1"/>
  <c r="Y369" i="6"/>
  <c r="AR423" i="10" s="1"/>
  <c r="G369" i="6"/>
  <c r="I423" i="10" s="1"/>
  <c r="Q369" i="6"/>
  <c r="AD423" i="10" s="1"/>
  <c r="U369" i="6"/>
  <c r="AN423" i="10" s="1"/>
  <c r="N369" i="6"/>
  <c r="U423" i="10" s="1"/>
  <c r="R369" i="6"/>
  <c r="AH423" i="10" s="1"/>
  <c r="F369" i="6"/>
  <c r="G423" i="10" s="1"/>
  <c r="X369" i="6"/>
  <c r="T369" i="6"/>
  <c r="AL423" i="10" s="1"/>
  <c r="D371" i="6"/>
  <c r="C370" i="6"/>
  <c r="E371" i="6"/>
  <c r="M370" i="6" l="1"/>
  <c r="W424" i="10" s="1"/>
  <c r="Z370" i="6"/>
  <c r="AP424" i="10" s="1"/>
  <c r="Y422" i="10"/>
  <c r="K368" i="6"/>
  <c r="Q422" i="10" s="1"/>
  <c r="C424" i="10"/>
  <c r="V369" i="6"/>
  <c r="W369" i="6"/>
  <c r="O369" i="6"/>
  <c r="K369" i="6" s="1"/>
  <c r="Y370" i="6"/>
  <c r="AR424" i="10" s="1"/>
  <c r="N370" i="6"/>
  <c r="U424" i="10" s="1"/>
  <c r="X370" i="6"/>
  <c r="I370" i="6"/>
  <c r="M424" i="10" s="1"/>
  <c r="Q370" i="6"/>
  <c r="AD424" i="10" s="1"/>
  <c r="T370" i="6"/>
  <c r="AL424" i="10" s="1"/>
  <c r="F370" i="6"/>
  <c r="G424" i="10" s="1"/>
  <c r="S370" i="6"/>
  <c r="AJ424" i="10" s="1"/>
  <c r="P370" i="6"/>
  <c r="Z424" i="10" s="1"/>
  <c r="J370" i="6"/>
  <c r="O424" i="10" s="1"/>
  <c r="R370" i="6"/>
  <c r="AH424" i="10" s="1"/>
  <c r="U370" i="6"/>
  <c r="AN424" i="10" s="1"/>
  <c r="G370" i="6"/>
  <c r="I424" i="10" s="1"/>
  <c r="L370" i="6"/>
  <c r="S424" i="10" s="1"/>
  <c r="H370" i="6"/>
  <c r="K424" i="10" s="1"/>
  <c r="D372" i="6"/>
  <c r="C371" i="6"/>
  <c r="E372" i="6"/>
  <c r="M371" i="6" l="1"/>
  <c r="W425" i="10" s="1"/>
  <c r="Z371" i="6"/>
  <c r="AP425" i="10" s="1"/>
  <c r="C425" i="10"/>
  <c r="Q423" i="10"/>
  <c r="Y423" i="10"/>
  <c r="W370" i="6"/>
  <c r="V370" i="6"/>
  <c r="Q371" i="6"/>
  <c r="AD425" i="10" s="1"/>
  <c r="H371" i="6"/>
  <c r="K425" i="10" s="1"/>
  <c r="S371" i="6"/>
  <c r="AJ425" i="10" s="1"/>
  <c r="N371" i="6"/>
  <c r="U425" i="10" s="1"/>
  <c r="T371" i="6"/>
  <c r="AL425" i="10" s="1"/>
  <c r="G371" i="6"/>
  <c r="I425" i="10" s="1"/>
  <c r="Y371" i="6"/>
  <c r="AR425" i="10" s="1"/>
  <c r="F371" i="6"/>
  <c r="G425" i="10" s="1"/>
  <c r="J371" i="6"/>
  <c r="O425" i="10" s="1"/>
  <c r="U371" i="6"/>
  <c r="AN425" i="10" s="1"/>
  <c r="R371" i="6"/>
  <c r="AH425" i="10" s="1"/>
  <c r="P371" i="6"/>
  <c r="Z425" i="10" s="1"/>
  <c r="X371" i="6"/>
  <c r="I371" i="6"/>
  <c r="M425" i="10" s="1"/>
  <c r="L371" i="6"/>
  <c r="S425" i="10" s="1"/>
  <c r="O370" i="6"/>
  <c r="D373" i="6"/>
  <c r="C372" i="6"/>
  <c r="E373" i="6"/>
  <c r="M372" i="6" l="1"/>
  <c r="W426" i="10" s="1"/>
  <c r="Z372" i="6"/>
  <c r="AP426" i="10" s="1"/>
  <c r="Y424" i="10"/>
  <c r="K370" i="6"/>
  <c r="Q424" i="10" s="1"/>
  <c r="C426" i="10"/>
  <c r="V371" i="6"/>
  <c r="W371" i="6"/>
  <c r="O371" i="6"/>
  <c r="K371" i="6" s="1"/>
  <c r="F372" i="6"/>
  <c r="G426" i="10" s="1"/>
  <c r="Y372" i="6"/>
  <c r="AR426" i="10" s="1"/>
  <c r="L372" i="6"/>
  <c r="S426" i="10" s="1"/>
  <c r="T372" i="6"/>
  <c r="AL426" i="10" s="1"/>
  <c r="X372" i="6"/>
  <c r="P372" i="6"/>
  <c r="Z426" i="10" s="1"/>
  <c r="H372" i="6"/>
  <c r="K426" i="10" s="1"/>
  <c r="R372" i="6"/>
  <c r="AH426" i="10" s="1"/>
  <c r="S372" i="6"/>
  <c r="AJ426" i="10" s="1"/>
  <c r="Q372" i="6"/>
  <c r="AD426" i="10" s="1"/>
  <c r="N372" i="6"/>
  <c r="U426" i="10" s="1"/>
  <c r="J372" i="6"/>
  <c r="O426" i="10" s="1"/>
  <c r="I372" i="6"/>
  <c r="M426" i="10" s="1"/>
  <c r="G372" i="6"/>
  <c r="I426" i="10" s="1"/>
  <c r="U372" i="6"/>
  <c r="AN426" i="10" s="1"/>
  <c r="D374" i="6"/>
  <c r="C373" i="6"/>
  <c r="E374" i="6"/>
  <c r="M373" i="6" l="1"/>
  <c r="W427" i="10" s="1"/>
  <c r="Z373" i="6"/>
  <c r="AP427" i="10" s="1"/>
  <c r="C427" i="10"/>
  <c r="Q425" i="10"/>
  <c r="Y425" i="10"/>
  <c r="W372" i="6"/>
  <c r="V372" i="6"/>
  <c r="O372" i="6"/>
  <c r="K372" i="6" s="1"/>
  <c r="P373" i="6"/>
  <c r="Z427" i="10" s="1"/>
  <c r="Y373" i="6"/>
  <c r="AR427" i="10" s="1"/>
  <c r="T373" i="6"/>
  <c r="AL427" i="10" s="1"/>
  <c r="Q373" i="6"/>
  <c r="AD427" i="10" s="1"/>
  <c r="S373" i="6"/>
  <c r="AJ427" i="10" s="1"/>
  <c r="I373" i="6"/>
  <c r="M427" i="10" s="1"/>
  <c r="G373" i="6"/>
  <c r="I427" i="10" s="1"/>
  <c r="N373" i="6"/>
  <c r="U427" i="10" s="1"/>
  <c r="F373" i="6"/>
  <c r="G427" i="10" s="1"/>
  <c r="J373" i="6"/>
  <c r="O427" i="10" s="1"/>
  <c r="H373" i="6"/>
  <c r="K427" i="10" s="1"/>
  <c r="U373" i="6"/>
  <c r="AN427" i="10" s="1"/>
  <c r="X373" i="6"/>
  <c r="R373" i="6"/>
  <c r="AH427" i="10" s="1"/>
  <c r="L373" i="6"/>
  <c r="S427" i="10" s="1"/>
  <c r="D375" i="6"/>
  <c r="C374" i="6"/>
  <c r="E375" i="6"/>
  <c r="M374" i="6" l="1"/>
  <c r="W428" i="10" s="1"/>
  <c r="Z374" i="6"/>
  <c r="AP428" i="10" s="1"/>
  <c r="C428" i="10"/>
  <c r="Q426" i="10"/>
  <c r="Y426" i="10"/>
  <c r="V373" i="6"/>
  <c r="W373" i="6"/>
  <c r="Q374" i="6"/>
  <c r="AD428" i="10" s="1"/>
  <c r="T374" i="6"/>
  <c r="AL428" i="10" s="1"/>
  <c r="X374" i="6"/>
  <c r="J374" i="6"/>
  <c r="O428" i="10" s="1"/>
  <c r="F374" i="6"/>
  <c r="G428" i="10" s="1"/>
  <c r="L374" i="6"/>
  <c r="S428" i="10" s="1"/>
  <c r="R374" i="6"/>
  <c r="AH428" i="10" s="1"/>
  <c r="U374" i="6"/>
  <c r="AN428" i="10" s="1"/>
  <c r="G374" i="6"/>
  <c r="I428" i="10" s="1"/>
  <c r="I374" i="6"/>
  <c r="M428" i="10" s="1"/>
  <c r="Y374" i="6"/>
  <c r="AR428" i="10" s="1"/>
  <c r="H374" i="6"/>
  <c r="K428" i="10" s="1"/>
  <c r="N374" i="6"/>
  <c r="U428" i="10" s="1"/>
  <c r="P374" i="6"/>
  <c r="Z428" i="10" s="1"/>
  <c r="S374" i="6"/>
  <c r="AJ428" i="10" s="1"/>
  <c r="O373" i="6"/>
  <c r="D376" i="6"/>
  <c r="C375" i="6"/>
  <c r="E376" i="6"/>
  <c r="M375" i="6" l="1"/>
  <c r="W429" i="10" s="1"/>
  <c r="Z375" i="6"/>
  <c r="AP429" i="10" s="1"/>
  <c r="Y427" i="10"/>
  <c r="K373" i="6"/>
  <c r="Q427" i="10" s="1"/>
  <c r="C429" i="10"/>
  <c r="V374" i="6"/>
  <c r="W374" i="6"/>
  <c r="O374" i="6"/>
  <c r="K374" i="6" s="1"/>
  <c r="T375" i="6"/>
  <c r="AL429" i="10" s="1"/>
  <c r="H375" i="6"/>
  <c r="K429" i="10" s="1"/>
  <c r="N375" i="6"/>
  <c r="U429" i="10" s="1"/>
  <c r="F375" i="6"/>
  <c r="G429" i="10" s="1"/>
  <c r="S375" i="6"/>
  <c r="AJ429" i="10" s="1"/>
  <c r="L375" i="6"/>
  <c r="S429" i="10" s="1"/>
  <c r="P375" i="6"/>
  <c r="Z429" i="10" s="1"/>
  <c r="R375" i="6"/>
  <c r="AH429" i="10" s="1"/>
  <c r="X375" i="6"/>
  <c r="Q375" i="6"/>
  <c r="AD429" i="10" s="1"/>
  <c r="I375" i="6"/>
  <c r="M429" i="10" s="1"/>
  <c r="U375" i="6"/>
  <c r="AN429" i="10" s="1"/>
  <c r="J375" i="6"/>
  <c r="O429" i="10" s="1"/>
  <c r="Y375" i="6"/>
  <c r="AR429" i="10" s="1"/>
  <c r="G375" i="6"/>
  <c r="I429" i="10" s="1"/>
  <c r="D377" i="6"/>
  <c r="C376" i="6"/>
  <c r="E377" i="6"/>
  <c r="M376" i="6" l="1"/>
  <c r="W430" i="10" s="1"/>
  <c r="Z376" i="6"/>
  <c r="AP430" i="10" s="1"/>
  <c r="C430" i="10"/>
  <c r="Q428" i="10"/>
  <c r="Y428" i="10"/>
  <c r="V375" i="6"/>
  <c r="W375" i="6"/>
  <c r="F376" i="6"/>
  <c r="G430" i="10" s="1"/>
  <c r="L376" i="6"/>
  <c r="S430" i="10" s="1"/>
  <c r="S376" i="6"/>
  <c r="AJ430" i="10" s="1"/>
  <c r="T376" i="6"/>
  <c r="AL430" i="10" s="1"/>
  <c r="Q376" i="6"/>
  <c r="AD430" i="10" s="1"/>
  <c r="U376" i="6"/>
  <c r="AN430" i="10" s="1"/>
  <c r="I376" i="6"/>
  <c r="M430" i="10" s="1"/>
  <c r="Y376" i="6"/>
  <c r="AR430" i="10" s="1"/>
  <c r="R376" i="6"/>
  <c r="AH430" i="10" s="1"/>
  <c r="G376" i="6"/>
  <c r="I430" i="10" s="1"/>
  <c r="J376" i="6"/>
  <c r="O430" i="10" s="1"/>
  <c r="H376" i="6"/>
  <c r="K430" i="10" s="1"/>
  <c r="P376" i="6"/>
  <c r="Z430" i="10" s="1"/>
  <c r="X376" i="6"/>
  <c r="N376" i="6"/>
  <c r="U430" i="10" s="1"/>
  <c r="O375" i="6"/>
  <c r="D378" i="6"/>
  <c r="C377" i="6"/>
  <c r="E378" i="6"/>
  <c r="M377" i="6" l="1"/>
  <c r="W431" i="10" s="1"/>
  <c r="Z377" i="6"/>
  <c r="AP431" i="10" s="1"/>
  <c r="Y429" i="10"/>
  <c r="K375" i="6"/>
  <c r="Q429" i="10" s="1"/>
  <c r="C431" i="10"/>
  <c r="W376" i="6"/>
  <c r="V376" i="6"/>
  <c r="F377" i="6"/>
  <c r="G431" i="10" s="1"/>
  <c r="J377" i="6"/>
  <c r="O431" i="10" s="1"/>
  <c r="Y377" i="6"/>
  <c r="AR431" i="10" s="1"/>
  <c r="X377" i="6"/>
  <c r="H377" i="6"/>
  <c r="K431" i="10" s="1"/>
  <c r="Q377" i="6"/>
  <c r="AD431" i="10" s="1"/>
  <c r="N377" i="6"/>
  <c r="U431" i="10" s="1"/>
  <c r="T377" i="6"/>
  <c r="AL431" i="10" s="1"/>
  <c r="S377" i="6"/>
  <c r="AJ431" i="10" s="1"/>
  <c r="I377" i="6"/>
  <c r="M431" i="10" s="1"/>
  <c r="G377" i="6"/>
  <c r="I431" i="10" s="1"/>
  <c r="R377" i="6"/>
  <c r="AH431" i="10" s="1"/>
  <c r="P377" i="6"/>
  <c r="Z431" i="10" s="1"/>
  <c r="L377" i="6"/>
  <c r="S431" i="10" s="1"/>
  <c r="U377" i="6"/>
  <c r="AN431" i="10" s="1"/>
  <c r="O376" i="6"/>
  <c r="D379" i="6"/>
  <c r="C378" i="6"/>
  <c r="E379" i="6"/>
  <c r="M378" i="6" l="1"/>
  <c r="W432" i="10" s="1"/>
  <c r="Z378" i="6"/>
  <c r="AP432" i="10" s="1"/>
  <c r="Y430" i="10"/>
  <c r="K376" i="6"/>
  <c r="Q430" i="10" s="1"/>
  <c r="C432" i="10"/>
  <c r="W377" i="6"/>
  <c r="V377" i="6"/>
  <c r="S378" i="6"/>
  <c r="AJ432" i="10" s="1"/>
  <c r="G378" i="6"/>
  <c r="I432" i="10" s="1"/>
  <c r="P378" i="6"/>
  <c r="Z432" i="10" s="1"/>
  <c r="R378" i="6"/>
  <c r="AH432" i="10" s="1"/>
  <c r="U378" i="6"/>
  <c r="AN432" i="10" s="1"/>
  <c r="H378" i="6"/>
  <c r="K432" i="10" s="1"/>
  <c r="F378" i="6"/>
  <c r="G432" i="10" s="1"/>
  <c r="J378" i="6"/>
  <c r="O432" i="10" s="1"/>
  <c r="Y378" i="6"/>
  <c r="AR432" i="10" s="1"/>
  <c r="X378" i="6"/>
  <c r="L378" i="6"/>
  <c r="S432" i="10" s="1"/>
  <c r="I378" i="6"/>
  <c r="M432" i="10" s="1"/>
  <c r="Q378" i="6"/>
  <c r="AD432" i="10" s="1"/>
  <c r="N378" i="6"/>
  <c r="U432" i="10" s="1"/>
  <c r="T378" i="6"/>
  <c r="AL432" i="10" s="1"/>
  <c r="O377" i="6"/>
  <c r="D380" i="6"/>
  <c r="C379" i="6"/>
  <c r="E380" i="6"/>
  <c r="M379" i="6" l="1"/>
  <c r="W433" i="10" s="1"/>
  <c r="Z379" i="6"/>
  <c r="AP433" i="10" s="1"/>
  <c r="Y431" i="10"/>
  <c r="K377" i="6"/>
  <c r="Q431" i="10" s="1"/>
  <c r="C433" i="10"/>
  <c r="W378" i="6"/>
  <c r="V378" i="6"/>
  <c r="X379" i="6"/>
  <c r="T379" i="6"/>
  <c r="AL433" i="10" s="1"/>
  <c r="H379" i="6"/>
  <c r="K433" i="10" s="1"/>
  <c r="U379" i="6"/>
  <c r="AN433" i="10" s="1"/>
  <c r="N379" i="6"/>
  <c r="U433" i="10" s="1"/>
  <c r="J379" i="6"/>
  <c r="O433" i="10" s="1"/>
  <c r="P379" i="6"/>
  <c r="Z433" i="10" s="1"/>
  <c r="S379" i="6"/>
  <c r="AJ433" i="10" s="1"/>
  <c r="F379" i="6"/>
  <c r="G433" i="10" s="1"/>
  <c r="Y379" i="6"/>
  <c r="AR433" i="10" s="1"/>
  <c r="Q379" i="6"/>
  <c r="AD433" i="10" s="1"/>
  <c r="G379" i="6"/>
  <c r="I433" i="10" s="1"/>
  <c r="L379" i="6"/>
  <c r="S433" i="10" s="1"/>
  <c r="R379" i="6"/>
  <c r="AH433" i="10" s="1"/>
  <c r="I379" i="6"/>
  <c r="M433" i="10" s="1"/>
  <c r="O378" i="6"/>
  <c r="D381" i="6"/>
  <c r="C380" i="6"/>
  <c r="E381" i="6"/>
  <c r="M380" i="6" l="1"/>
  <c r="W434" i="10" s="1"/>
  <c r="Z380" i="6"/>
  <c r="AP434" i="10" s="1"/>
  <c r="Y432" i="10"/>
  <c r="K378" i="6"/>
  <c r="Q432" i="10" s="1"/>
  <c r="C434" i="10"/>
  <c r="W379" i="6"/>
  <c r="V379" i="6"/>
  <c r="O379" i="6"/>
  <c r="L380" i="6"/>
  <c r="S434" i="10" s="1"/>
  <c r="S380" i="6"/>
  <c r="AJ434" i="10" s="1"/>
  <c r="H380" i="6"/>
  <c r="K434" i="10" s="1"/>
  <c r="F380" i="6"/>
  <c r="G434" i="10" s="1"/>
  <c r="I380" i="6"/>
  <c r="M434" i="10" s="1"/>
  <c r="P380" i="6"/>
  <c r="Z434" i="10" s="1"/>
  <c r="U380" i="6"/>
  <c r="AN434" i="10" s="1"/>
  <c r="N380" i="6"/>
  <c r="U434" i="10" s="1"/>
  <c r="J380" i="6"/>
  <c r="O434" i="10" s="1"/>
  <c r="Q380" i="6"/>
  <c r="AD434" i="10" s="1"/>
  <c r="R380" i="6"/>
  <c r="AH434" i="10" s="1"/>
  <c r="G380" i="6"/>
  <c r="I434" i="10" s="1"/>
  <c r="T380" i="6"/>
  <c r="AL434" i="10" s="1"/>
  <c r="Y380" i="6"/>
  <c r="AR434" i="10" s="1"/>
  <c r="X380" i="6"/>
  <c r="D382" i="6"/>
  <c r="C381" i="6"/>
  <c r="E382" i="6"/>
  <c r="M381" i="6" l="1"/>
  <c r="W435" i="10" s="1"/>
  <c r="Z381" i="6"/>
  <c r="AP435" i="10" s="1"/>
  <c r="Y433" i="10"/>
  <c r="K379" i="6"/>
  <c r="Q433" i="10" s="1"/>
  <c r="C435" i="10"/>
  <c r="W380" i="6"/>
  <c r="V380" i="6"/>
  <c r="P381" i="6"/>
  <c r="Z435" i="10" s="1"/>
  <c r="U381" i="6"/>
  <c r="AN435" i="10" s="1"/>
  <c r="G381" i="6"/>
  <c r="I435" i="10" s="1"/>
  <c r="I381" i="6"/>
  <c r="M435" i="10" s="1"/>
  <c r="S381" i="6"/>
  <c r="AJ435" i="10" s="1"/>
  <c r="X381" i="6"/>
  <c r="J381" i="6"/>
  <c r="O435" i="10" s="1"/>
  <c r="R381" i="6"/>
  <c r="AH435" i="10" s="1"/>
  <c r="F381" i="6"/>
  <c r="G435" i="10" s="1"/>
  <c r="N381" i="6"/>
  <c r="U435" i="10" s="1"/>
  <c r="Y381" i="6"/>
  <c r="AR435" i="10" s="1"/>
  <c r="H381" i="6"/>
  <c r="K435" i="10" s="1"/>
  <c r="Q381" i="6"/>
  <c r="AD435" i="10" s="1"/>
  <c r="T381" i="6"/>
  <c r="AL435" i="10" s="1"/>
  <c r="L381" i="6"/>
  <c r="S435" i="10" s="1"/>
  <c r="O380" i="6"/>
  <c r="K380" i="6" s="1"/>
  <c r="D383" i="6"/>
  <c r="C382" i="6"/>
  <c r="E383" i="6"/>
  <c r="M382" i="6" l="1"/>
  <c r="W436" i="10" s="1"/>
  <c r="Z382" i="6"/>
  <c r="AP436" i="10" s="1"/>
  <c r="C436" i="10"/>
  <c r="Q434" i="10"/>
  <c r="Y434" i="10"/>
  <c r="V381" i="6"/>
  <c r="W381" i="6"/>
  <c r="I382" i="6"/>
  <c r="M436" i="10" s="1"/>
  <c r="H382" i="6"/>
  <c r="K436" i="10" s="1"/>
  <c r="X382" i="6"/>
  <c r="Q382" i="6"/>
  <c r="AD436" i="10" s="1"/>
  <c r="S382" i="6"/>
  <c r="AJ436" i="10" s="1"/>
  <c r="T382" i="6"/>
  <c r="AL436" i="10" s="1"/>
  <c r="F382" i="6"/>
  <c r="G436" i="10" s="1"/>
  <c r="J382" i="6"/>
  <c r="O436" i="10" s="1"/>
  <c r="Y382" i="6"/>
  <c r="AR436" i="10" s="1"/>
  <c r="U382" i="6"/>
  <c r="AN436" i="10" s="1"/>
  <c r="L382" i="6"/>
  <c r="S436" i="10" s="1"/>
  <c r="R382" i="6"/>
  <c r="AH436" i="10" s="1"/>
  <c r="G382" i="6"/>
  <c r="I436" i="10" s="1"/>
  <c r="P382" i="6"/>
  <c r="Z436" i="10" s="1"/>
  <c r="N382" i="6"/>
  <c r="U436" i="10" s="1"/>
  <c r="O381" i="6"/>
  <c r="D384" i="6"/>
  <c r="C383" i="6"/>
  <c r="E384" i="6"/>
  <c r="M383" i="6" l="1"/>
  <c r="W437" i="10" s="1"/>
  <c r="Z383" i="6"/>
  <c r="AP437" i="10" s="1"/>
  <c r="Y435" i="10"/>
  <c r="K381" i="6"/>
  <c r="Q435" i="10" s="1"/>
  <c r="C437" i="10"/>
  <c r="V382" i="6"/>
  <c r="W382" i="6"/>
  <c r="N383" i="6"/>
  <c r="U437" i="10" s="1"/>
  <c r="J383" i="6"/>
  <c r="O437" i="10" s="1"/>
  <c r="L383" i="6"/>
  <c r="S437" i="10" s="1"/>
  <c r="U383" i="6"/>
  <c r="AN437" i="10" s="1"/>
  <c r="Y383" i="6"/>
  <c r="AR437" i="10" s="1"/>
  <c r="H383" i="6"/>
  <c r="K437" i="10" s="1"/>
  <c r="G383" i="6"/>
  <c r="I437" i="10" s="1"/>
  <c r="I383" i="6"/>
  <c r="M437" i="10" s="1"/>
  <c r="T383" i="6"/>
  <c r="AL437" i="10" s="1"/>
  <c r="R383" i="6"/>
  <c r="AH437" i="10" s="1"/>
  <c r="Q383" i="6"/>
  <c r="AD437" i="10" s="1"/>
  <c r="X383" i="6"/>
  <c r="P383" i="6"/>
  <c r="Z437" i="10" s="1"/>
  <c r="F383" i="6"/>
  <c r="G437" i="10" s="1"/>
  <c r="S383" i="6"/>
  <c r="AJ437" i="10" s="1"/>
  <c r="O382" i="6"/>
  <c r="D385" i="6"/>
  <c r="C384" i="6"/>
  <c r="E385" i="6"/>
  <c r="M384" i="6" l="1"/>
  <c r="W438" i="10" s="1"/>
  <c r="Z384" i="6"/>
  <c r="AP438" i="10" s="1"/>
  <c r="Y436" i="10"/>
  <c r="K382" i="6"/>
  <c r="Q436" i="10" s="1"/>
  <c r="C438" i="10"/>
  <c r="W383" i="6"/>
  <c r="V383" i="6"/>
  <c r="O383" i="6"/>
  <c r="K383" i="6" s="1"/>
  <c r="S384" i="6"/>
  <c r="AJ438" i="10" s="1"/>
  <c r="H384" i="6"/>
  <c r="K438" i="10" s="1"/>
  <c r="N384" i="6"/>
  <c r="U438" i="10" s="1"/>
  <c r="J384" i="6"/>
  <c r="O438" i="10" s="1"/>
  <c r="I384" i="6"/>
  <c r="M438" i="10" s="1"/>
  <c r="P384" i="6"/>
  <c r="Z438" i="10" s="1"/>
  <c r="U384" i="6"/>
  <c r="AN438" i="10" s="1"/>
  <c r="L384" i="6"/>
  <c r="S438" i="10" s="1"/>
  <c r="T384" i="6"/>
  <c r="AL438" i="10" s="1"/>
  <c r="R384" i="6"/>
  <c r="AH438" i="10" s="1"/>
  <c r="Q384" i="6"/>
  <c r="AD438" i="10" s="1"/>
  <c r="G384" i="6"/>
  <c r="I438" i="10" s="1"/>
  <c r="X384" i="6"/>
  <c r="Y384" i="6"/>
  <c r="AR438" i="10" s="1"/>
  <c r="F384" i="6"/>
  <c r="G438" i="10" s="1"/>
  <c r="D386" i="6"/>
  <c r="C385" i="6"/>
  <c r="E386" i="6"/>
  <c r="M385" i="6" l="1"/>
  <c r="W439" i="10" s="1"/>
  <c r="Z385" i="6"/>
  <c r="AP439" i="10" s="1"/>
  <c r="C439" i="10"/>
  <c r="Q437" i="10"/>
  <c r="Y437" i="10"/>
  <c r="V384" i="6"/>
  <c r="W384" i="6"/>
  <c r="O384" i="6"/>
  <c r="L385" i="6"/>
  <c r="S439" i="10" s="1"/>
  <c r="S385" i="6"/>
  <c r="AJ439" i="10" s="1"/>
  <c r="X385" i="6"/>
  <c r="H385" i="6"/>
  <c r="K439" i="10" s="1"/>
  <c r="P385" i="6"/>
  <c r="Z439" i="10" s="1"/>
  <c r="T385" i="6"/>
  <c r="AL439" i="10" s="1"/>
  <c r="I385" i="6"/>
  <c r="M439" i="10" s="1"/>
  <c r="G385" i="6"/>
  <c r="I439" i="10" s="1"/>
  <c r="Q385" i="6"/>
  <c r="AD439" i="10" s="1"/>
  <c r="U385" i="6"/>
  <c r="AN439" i="10" s="1"/>
  <c r="N385" i="6"/>
  <c r="U439" i="10" s="1"/>
  <c r="J385" i="6"/>
  <c r="O439" i="10" s="1"/>
  <c r="R385" i="6"/>
  <c r="AH439" i="10" s="1"/>
  <c r="Y385" i="6"/>
  <c r="AR439" i="10" s="1"/>
  <c r="F385" i="6"/>
  <c r="G439" i="10" s="1"/>
  <c r="D387" i="6"/>
  <c r="C386" i="6"/>
  <c r="E387" i="6"/>
  <c r="M386" i="6" l="1"/>
  <c r="W440" i="10" s="1"/>
  <c r="Z386" i="6"/>
  <c r="AP440" i="10" s="1"/>
  <c r="Y438" i="10"/>
  <c r="K384" i="6"/>
  <c r="Q438" i="10" s="1"/>
  <c r="C440" i="10"/>
  <c r="O385" i="6"/>
  <c r="K385" i="6" s="1"/>
  <c r="V385" i="6"/>
  <c r="W385" i="6"/>
  <c r="F386" i="6"/>
  <c r="G440" i="10" s="1"/>
  <c r="J386" i="6"/>
  <c r="O440" i="10" s="1"/>
  <c r="Q386" i="6"/>
  <c r="AD440" i="10" s="1"/>
  <c r="U386" i="6"/>
  <c r="AN440" i="10" s="1"/>
  <c r="Y386" i="6"/>
  <c r="AR440" i="10" s="1"/>
  <c r="X386" i="6"/>
  <c r="G386" i="6"/>
  <c r="I440" i="10" s="1"/>
  <c r="L386" i="6"/>
  <c r="S440" i="10" s="1"/>
  <c r="R386" i="6"/>
  <c r="AH440" i="10" s="1"/>
  <c r="H386" i="6"/>
  <c r="K440" i="10" s="1"/>
  <c r="N386" i="6"/>
  <c r="U440" i="10" s="1"/>
  <c r="S386" i="6"/>
  <c r="AJ440" i="10" s="1"/>
  <c r="I386" i="6"/>
  <c r="M440" i="10" s="1"/>
  <c r="P386" i="6"/>
  <c r="Z440" i="10" s="1"/>
  <c r="T386" i="6"/>
  <c r="AL440" i="10" s="1"/>
  <c r="D388" i="6"/>
  <c r="C387" i="6"/>
  <c r="E388" i="6"/>
  <c r="M387" i="6" l="1"/>
  <c r="W441" i="10" s="1"/>
  <c r="Z387" i="6"/>
  <c r="AP441" i="10" s="1"/>
  <c r="C441" i="10"/>
  <c r="Q439" i="10"/>
  <c r="Y439" i="10"/>
  <c r="W386" i="6"/>
  <c r="V386" i="6"/>
  <c r="O386" i="6"/>
  <c r="N387" i="6"/>
  <c r="U441" i="10" s="1"/>
  <c r="T387" i="6"/>
  <c r="AL441" i="10" s="1"/>
  <c r="Q387" i="6"/>
  <c r="AD441" i="10" s="1"/>
  <c r="X387" i="6"/>
  <c r="H387" i="6"/>
  <c r="K441" i="10" s="1"/>
  <c r="G387" i="6"/>
  <c r="I441" i="10" s="1"/>
  <c r="R387" i="6"/>
  <c r="AH441" i="10" s="1"/>
  <c r="F387" i="6"/>
  <c r="G441" i="10" s="1"/>
  <c r="L387" i="6"/>
  <c r="S441" i="10" s="1"/>
  <c r="J387" i="6"/>
  <c r="O441" i="10" s="1"/>
  <c r="I387" i="6"/>
  <c r="M441" i="10" s="1"/>
  <c r="U387" i="6"/>
  <c r="AN441" i="10" s="1"/>
  <c r="Y387" i="6"/>
  <c r="AR441" i="10" s="1"/>
  <c r="S387" i="6"/>
  <c r="AJ441" i="10" s="1"/>
  <c r="P387" i="6"/>
  <c r="Z441" i="10" s="1"/>
  <c r="D389" i="6"/>
  <c r="C388" i="6"/>
  <c r="E389" i="6"/>
  <c r="M388" i="6" l="1"/>
  <c r="W442" i="10" s="1"/>
  <c r="Z388" i="6"/>
  <c r="AP442" i="10" s="1"/>
  <c r="Y440" i="10"/>
  <c r="K386" i="6"/>
  <c r="Q440" i="10" s="1"/>
  <c r="C442" i="10"/>
  <c r="V387" i="6"/>
  <c r="W387" i="6"/>
  <c r="H388" i="6"/>
  <c r="K442" i="10" s="1"/>
  <c r="L388" i="6"/>
  <c r="S442" i="10" s="1"/>
  <c r="F388" i="6"/>
  <c r="G442" i="10" s="1"/>
  <c r="I388" i="6"/>
  <c r="M442" i="10" s="1"/>
  <c r="N388" i="6"/>
  <c r="U442" i="10" s="1"/>
  <c r="S388" i="6"/>
  <c r="AJ442" i="10" s="1"/>
  <c r="J388" i="6"/>
  <c r="O442" i="10" s="1"/>
  <c r="G388" i="6"/>
  <c r="I442" i="10" s="1"/>
  <c r="P388" i="6"/>
  <c r="Z442" i="10" s="1"/>
  <c r="T388" i="6"/>
  <c r="AL442" i="10" s="1"/>
  <c r="X388" i="6"/>
  <c r="Q388" i="6"/>
  <c r="AD442" i="10" s="1"/>
  <c r="U388" i="6"/>
  <c r="AN442" i="10" s="1"/>
  <c r="Y388" i="6"/>
  <c r="AR442" i="10" s="1"/>
  <c r="R388" i="6"/>
  <c r="AH442" i="10" s="1"/>
  <c r="O387" i="6"/>
  <c r="D390" i="6"/>
  <c r="C389" i="6"/>
  <c r="E390" i="6"/>
  <c r="M389" i="6" l="1"/>
  <c r="W443" i="10" s="1"/>
  <c r="Z389" i="6"/>
  <c r="AP443" i="10" s="1"/>
  <c r="Y441" i="10"/>
  <c r="K387" i="6"/>
  <c r="Q441" i="10" s="1"/>
  <c r="C443" i="10"/>
  <c r="V388" i="6"/>
  <c r="W388" i="6"/>
  <c r="O388" i="6"/>
  <c r="K388" i="6" s="1"/>
  <c r="Q389" i="6"/>
  <c r="AD443" i="10" s="1"/>
  <c r="S389" i="6"/>
  <c r="AJ443" i="10" s="1"/>
  <c r="I389" i="6"/>
  <c r="M443" i="10" s="1"/>
  <c r="N389" i="6"/>
  <c r="U443" i="10" s="1"/>
  <c r="J389" i="6"/>
  <c r="O443" i="10" s="1"/>
  <c r="L389" i="6"/>
  <c r="S443" i="10" s="1"/>
  <c r="P389" i="6"/>
  <c r="Z443" i="10" s="1"/>
  <c r="R389" i="6"/>
  <c r="AH443" i="10" s="1"/>
  <c r="T389" i="6"/>
  <c r="AL443" i="10" s="1"/>
  <c r="F389" i="6"/>
  <c r="G443" i="10" s="1"/>
  <c r="G389" i="6"/>
  <c r="I443" i="10" s="1"/>
  <c r="U389" i="6"/>
  <c r="AN443" i="10" s="1"/>
  <c r="X389" i="6"/>
  <c r="H389" i="6"/>
  <c r="K443" i="10" s="1"/>
  <c r="Y389" i="6"/>
  <c r="AR443" i="10" s="1"/>
  <c r="D391" i="6"/>
  <c r="C390" i="6"/>
  <c r="E391" i="6"/>
  <c r="M390" i="6" l="1"/>
  <c r="W444" i="10" s="1"/>
  <c r="Z390" i="6"/>
  <c r="AP444" i="10" s="1"/>
  <c r="C444" i="10"/>
  <c r="Q442" i="10"/>
  <c r="Y442" i="10"/>
  <c r="V389" i="6"/>
  <c r="W389" i="6"/>
  <c r="O389" i="6"/>
  <c r="H390" i="6"/>
  <c r="K444" i="10" s="1"/>
  <c r="P390" i="6"/>
  <c r="Z444" i="10" s="1"/>
  <c r="J390" i="6"/>
  <c r="O444" i="10" s="1"/>
  <c r="Y390" i="6"/>
  <c r="AR444" i="10" s="1"/>
  <c r="L390" i="6"/>
  <c r="S444" i="10" s="1"/>
  <c r="T390" i="6"/>
  <c r="AL444" i="10" s="1"/>
  <c r="S390" i="6"/>
  <c r="AJ444" i="10" s="1"/>
  <c r="I390" i="6"/>
  <c r="M444" i="10" s="1"/>
  <c r="R390" i="6"/>
  <c r="AH444" i="10" s="1"/>
  <c r="X390" i="6"/>
  <c r="F390" i="6"/>
  <c r="G444" i="10" s="1"/>
  <c r="Q390" i="6"/>
  <c r="AD444" i="10" s="1"/>
  <c r="U390" i="6"/>
  <c r="AN444" i="10" s="1"/>
  <c r="G390" i="6"/>
  <c r="I444" i="10" s="1"/>
  <c r="N390" i="6"/>
  <c r="U444" i="10" s="1"/>
  <c r="D392" i="6"/>
  <c r="C391" i="6"/>
  <c r="E392" i="6"/>
  <c r="M391" i="6" l="1"/>
  <c r="W445" i="10" s="1"/>
  <c r="Z391" i="6"/>
  <c r="AP445" i="10" s="1"/>
  <c r="Y443" i="10"/>
  <c r="K389" i="6"/>
  <c r="Q443" i="10" s="1"/>
  <c r="C445" i="10"/>
  <c r="W390" i="6"/>
  <c r="V390" i="6"/>
  <c r="N391" i="6"/>
  <c r="U445" i="10" s="1"/>
  <c r="H391" i="6"/>
  <c r="K445" i="10" s="1"/>
  <c r="P391" i="6"/>
  <c r="Z445" i="10" s="1"/>
  <c r="L391" i="6"/>
  <c r="S445" i="10" s="1"/>
  <c r="Y391" i="6"/>
  <c r="AR445" i="10" s="1"/>
  <c r="S391" i="6"/>
  <c r="AJ445" i="10" s="1"/>
  <c r="R391" i="6"/>
  <c r="AH445" i="10" s="1"/>
  <c r="F391" i="6"/>
  <c r="G445" i="10" s="1"/>
  <c r="J391" i="6"/>
  <c r="O445" i="10" s="1"/>
  <c r="G391" i="6"/>
  <c r="I445" i="10" s="1"/>
  <c r="T391" i="6"/>
  <c r="AL445" i="10" s="1"/>
  <c r="U391" i="6"/>
  <c r="AN445" i="10" s="1"/>
  <c r="Q391" i="6"/>
  <c r="AD445" i="10" s="1"/>
  <c r="X391" i="6"/>
  <c r="I391" i="6"/>
  <c r="M445" i="10" s="1"/>
  <c r="O390" i="6"/>
  <c r="D393" i="6"/>
  <c r="C392" i="6"/>
  <c r="E393" i="6"/>
  <c r="M392" i="6" l="1"/>
  <c r="W446" i="10" s="1"/>
  <c r="Z392" i="6"/>
  <c r="AP446" i="10" s="1"/>
  <c r="Y444" i="10"/>
  <c r="K390" i="6"/>
  <c r="Q444" i="10" s="1"/>
  <c r="C446" i="10"/>
  <c r="W391" i="6"/>
  <c r="V391" i="6"/>
  <c r="O391" i="6"/>
  <c r="G392" i="6"/>
  <c r="I446" i="10" s="1"/>
  <c r="J392" i="6"/>
  <c r="O446" i="10" s="1"/>
  <c r="H392" i="6"/>
  <c r="K446" i="10" s="1"/>
  <c r="N392" i="6"/>
  <c r="U446" i="10" s="1"/>
  <c r="F392" i="6"/>
  <c r="G446" i="10" s="1"/>
  <c r="L392" i="6"/>
  <c r="S446" i="10" s="1"/>
  <c r="S392" i="6"/>
  <c r="AJ446" i="10" s="1"/>
  <c r="R392" i="6"/>
  <c r="AH446" i="10" s="1"/>
  <c r="X392" i="6"/>
  <c r="Q392" i="6"/>
  <c r="AD446" i="10" s="1"/>
  <c r="P392" i="6"/>
  <c r="Z446" i="10" s="1"/>
  <c r="U392" i="6"/>
  <c r="AN446" i="10" s="1"/>
  <c r="Y392" i="6"/>
  <c r="AR446" i="10" s="1"/>
  <c r="I392" i="6"/>
  <c r="M446" i="10" s="1"/>
  <c r="T392" i="6"/>
  <c r="AL446" i="10" s="1"/>
  <c r="D394" i="6"/>
  <c r="C393" i="6"/>
  <c r="E394" i="6"/>
  <c r="M393" i="6" l="1"/>
  <c r="W447" i="10" s="1"/>
  <c r="Z393" i="6"/>
  <c r="AP447" i="10" s="1"/>
  <c r="Y445" i="10"/>
  <c r="K391" i="6"/>
  <c r="Q445" i="10" s="1"/>
  <c r="C447" i="10"/>
  <c r="V392" i="6"/>
  <c r="W392" i="6"/>
  <c r="O392" i="6"/>
  <c r="K392" i="6" s="1"/>
  <c r="T393" i="6"/>
  <c r="AL447" i="10" s="1"/>
  <c r="P393" i="6"/>
  <c r="Z447" i="10" s="1"/>
  <c r="Q393" i="6"/>
  <c r="AD447" i="10" s="1"/>
  <c r="L393" i="6"/>
  <c r="S447" i="10" s="1"/>
  <c r="U393" i="6"/>
  <c r="AN447" i="10" s="1"/>
  <c r="X393" i="6"/>
  <c r="J393" i="6"/>
  <c r="O447" i="10" s="1"/>
  <c r="S393" i="6"/>
  <c r="AJ447" i="10" s="1"/>
  <c r="G393" i="6"/>
  <c r="I447" i="10" s="1"/>
  <c r="R393" i="6"/>
  <c r="AH447" i="10" s="1"/>
  <c r="N393" i="6"/>
  <c r="U447" i="10" s="1"/>
  <c r="Y393" i="6"/>
  <c r="AR447" i="10" s="1"/>
  <c r="F393" i="6"/>
  <c r="G447" i="10" s="1"/>
  <c r="I393" i="6"/>
  <c r="M447" i="10" s="1"/>
  <c r="H393" i="6"/>
  <c r="K447" i="10" s="1"/>
  <c r="D395" i="6"/>
  <c r="C394" i="6"/>
  <c r="E395" i="6"/>
  <c r="M394" i="6" l="1"/>
  <c r="W448" i="10" s="1"/>
  <c r="Z394" i="6"/>
  <c r="AP448" i="10" s="1"/>
  <c r="C448" i="10"/>
  <c r="Q446" i="10"/>
  <c r="Y446" i="10"/>
  <c r="V393" i="6"/>
  <c r="W393" i="6"/>
  <c r="U394" i="6"/>
  <c r="AN448" i="10" s="1"/>
  <c r="Y394" i="6"/>
  <c r="AR448" i="10" s="1"/>
  <c r="X394" i="6"/>
  <c r="Q394" i="6"/>
  <c r="AD448" i="10" s="1"/>
  <c r="J394" i="6"/>
  <c r="O448" i="10" s="1"/>
  <c r="R394" i="6"/>
  <c r="AH448" i="10" s="1"/>
  <c r="G394" i="6"/>
  <c r="I448" i="10" s="1"/>
  <c r="H394" i="6"/>
  <c r="K448" i="10" s="1"/>
  <c r="L394" i="6"/>
  <c r="S448" i="10" s="1"/>
  <c r="P394" i="6"/>
  <c r="Z448" i="10" s="1"/>
  <c r="N394" i="6"/>
  <c r="U448" i="10" s="1"/>
  <c r="F394" i="6"/>
  <c r="G448" i="10" s="1"/>
  <c r="T394" i="6"/>
  <c r="AL448" i="10" s="1"/>
  <c r="I394" i="6"/>
  <c r="M448" i="10" s="1"/>
  <c r="S394" i="6"/>
  <c r="AJ448" i="10" s="1"/>
  <c r="O393" i="6"/>
  <c r="D396" i="6"/>
  <c r="C395" i="6"/>
  <c r="E396" i="6"/>
  <c r="M395" i="6" l="1"/>
  <c r="W449" i="10" s="1"/>
  <c r="Z395" i="6"/>
  <c r="AP449" i="10" s="1"/>
  <c r="Y447" i="10"/>
  <c r="K393" i="6"/>
  <c r="Q447" i="10" s="1"/>
  <c r="C449" i="10"/>
  <c r="V394" i="6"/>
  <c r="W394" i="6"/>
  <c r="O394" i="6"/>
  <c r="K394" i="6" s="1"/>
  <c r="Y395" i="6"/>
  <c r="AR449" i="10" s="1"/>
  <c r="R395" i="6"/>
  <c r="AH449" i="10" s="1"/>
  <c r="N395" i="6"/>
  <c r="U449" i="10" s="1"/>
  <c r="J395" i="6"/>
  <c r="O449" i="10" s="1"/>
  <c r="P395" i="6"/>
  <c r="Z449" i="10" s="1"/>
  <c r="I395" i="6"/>
  <c r="M449" i="10" s="1"/>
  <c r="H395" i="6"/>
  <c r="K449" i="10" s="1"/>
  <c r="F395" i="6"/>
  <c r="G449" i="10" s="1"/>
  <c r="S395" i="6"/>
  <c r="AJ449" i="10" s="1"/>
  <c r="U395" i="6"/>
  <c r="AN449" i="10" s="1"/>
  <c r="G395" i="6"/>
  <c r="I449" i="10" s="1"/>
  <c r="T395" i="6"/>
  <c r="AL449" i="10" s="1"/>
  <c r="X395" i="6"/>
  <c r="L395" i="6"/>
  <c r="S449" i="10" s="1"/>
  <c r="Q395" i="6"/>
  <c r="AD449" i="10" s="1"/>
  <c r="D397" i="6"/>
  <c r="C396" i="6"/>
  <c r="E397" i="6"/>
  <c r="M396" i="6" l="1"/>
  <c r="W450" i="10" s="1"/>
  <c r="Z396" i="6"/>
  <c r="AP450" i="10" s="1"/>
  <c r="C450" i="10"/>
  <c r="Q448" i="10"/>
  <c r="Y448" i="10"/>
  <c r="V395" i="6"/>
  <c r="W395" i="6"/>
  <c r="R396" i="6"/>
  <c r="AH450" i="10" s="1"/>
  <c r="H396" i="6"/>
  <c r="K450" i="10" s="1"/>
  <c r="L396" i="6"/>
  <c r="S450" i="10" s="1"/>
  <c r="J396" i="6"/>
  <c r="O450" i="10" s="1"/>
  <c r="T396" i="6"/>
  <c r="AL450" i="10" s="1"/>
  <c r="I396" i="6"/>
  <c r="M450" i="10" s="1"/>
  <c r="P396" i="6"/>
  <c r="Z450" i="10" s="1"/>
  <c r="N396" i="6"/>
  <c r="U450" i="10" s="1"/>
  <c r="X396" i="6"/>
  <c r="F396" i="6"/>
  <c r="G450" i="10" s="1"/>
  <c r="Q396" i="6"/>
  <c r="AD450" i="10" s="1"/>
  <c r="G396" i="6"/>
  <c r="I450" i="10" s="1"/>
  <c r="S396" i="6"/>
  <c r="AJ450" i="10" s="1"/>
  <c r="U396" i="6"/>
  <c r="AN450" i="10" s="1"/>
  <c r="Y396" i="6"/>
  <c r="AR450" i="10" s="1"/>
  <c r="O395" i="6"/>
  <c r="K395" i="6" s="1"/>
  <c r="D398" i="6"/>
  <c r="C397" i="6"/>
  <c r="E398" i="6"/>
  <c r="M397" i="6" l="1"/>
  <c r="W451" i="10" s="1"/>
  <c r="Z397" i="6"/>
  <c r="AP451" i="10" s="1"/>
  <c r="C451" i="10"/>
  <c r="Q449" i="10"/>
  <c r="Y449" i="10"/>
  <c r="W396" i="6"/>
  <c r="V396" i="6"/>
  <c r="O396" i="6"/>
  <c r="K396" i="6" s="1"/>
  <c r="T397" i="6"/>
  <c r="AL451" i="10" s="1"/>
  <c r="I397" i="6"/>
  <c r="M451" i="10" s="1"/>
  <c r="F397" i="6"/>
  <c r="G451" i="10" s="1"/>
  <c r="G397" i="6"/>
  <c r="I451" i="10" s="1"/>
  <c r="X397" i="6"/>
  <c r="Q397" i="6"/>
  <c r="AD451" i="10" s="1"/>
  <c r="S397" i="6"/>
  <c r="AJ451" i="10" s="1"/>
  <c r="U397" i="6"/>
  <c r="AN451" i="10" s="1"/>
  <c r="J397" i="6"/>
  <c r="O451" i="10" s="1"/>
  <c r="H397" i="6"/>
  <c r="K451" i="10" s="1"/>
  <c r="R397" i="6"/>
  <c r="AH451" i="10" s="1"/>
  <c r="Y397" i="6"/>
  <c r="AR451" i="10" s="1"/>
  <c r="L397" i="6"/>
  <c r="S451" i="10" s="1"/>
  <c r="N397" i="6"/>
  <c r="U451" i="10" s="1"/>
  <c r="P397" i="6"/>
  <c r="Z451" i="10" s="1"/>
  <c r="D399" i="6"/>
  <c r="C398" i="6"/>
  <c r="E399" i="6"/>
  <c r="M398" i="6" l="1"/>
  <c r="W452" i="10" s="1"/>
  <c r="Z398" i="6"/>
  <c r="AP452" i="10" s="1"/>
  <c r="C452" i="10"/>
  <c r="Q450" i="10"/>
  <c r="Y450" i="10"/>
  <c r="W397" i="6"/>
  <c r="V397" i="6"/>
  <c r="R398" i="6"/>
  <c r="AH452" i="10" s="1"/>
  <c r="T398" i="6"/>
  <c r="AL452" i="10" s="1"/>
  <c r="F398" i="6"/>
  <c r="G452" i="10" s="1"/>
  <c r="G398" i="6"/>
  <c r="I452" i="10" s="1"/>
  <c r="J398" i="6"/>
  <c r="O452" i="10" s="1"/>
  <c r="P398" i="6"/>
  <c r="Z452" i="10" s="1"/>
  <c r="U398" i="6"/>
  <c r="AN452" i="10" s="1"/>
  <c r="Y398" i="6"/>
  <c r="AR452" i="10" s="1"/>
  <c r="N398" i="6"/>
  <c r="U452" i="10" s="1"/>
  <c r="I398" i="6"/>
  <c r="M452" i="10" s="1"/>
  <c r="Q398" i="6"/>
  <c r="AD452" i="10" s="1"/>
  <c r="L398" i="6"/>
  <c r="S452" i="10" s="1"/>
  <c r="X398" i="6"/>
  <c r="H398" i="6"/>
  <c r="K452" i="10" s="1"/>
  <c r="S398" i="6"/>
  <c r="AJ452" i="10" s="1"/>
  <c r="O397" i="6"/>
  <c r="D400" i="6"/>
  <c r="C399" i="6"/>
  <c r="E400" i="6"/>
  <c r="M399" i="6" l="1"/>
  <c r="W453" i="10" s="1"/>
  <c r="Z399" i="6"/>
  <c r="AP453" i="10" s="1"/>
  <c r="Y451" i="10"/>
  <c r="K397" i="6"/>
  <c r="Q451" i="10" s="1"/>
  <c r="C453" i="10"/>
  <c r="V398" i="6"/>
  <c r="W398" i="6"/>
  <c r="F399" i="6"/>
  <c r="G453" i="10" s="1"/>
  <c r="L399" i="6"/>
  <c r="S453" i="10" s="1"/>
  <c r="R399" i="6"/>
  <c r="AH453" i="10" s="1"/>
  <c r="Y399" i="6"/>
  <c r="AR453" i="10" s="1"/>
  <c r="X399" i="6"/>
  <c r="J399" i="6"/>
  <c r="O453" i="10" s="1"/>
  <c r="P399" i="6"/>
  <c r="Z453" i="10" s="1"/>
  <c r="U399" i="6"/>
  <c r="AN453" i="10" s="1"/>
  <c r="G399" i="6"/>
  <c r="I453" i="10" s="1"/>
  <c r="I399" i="6"/>
  <c r="M453" i="10" s="1"/>
  <c r="S399" i="6"/>
  <c r="AJ453" i="10" s="1"/>
  <c r="H399" i="6"/>
  <c r="K453" i="10" s="1"/>
  <c r="N399" i="6"/>
  <c r="U453" i="10" s="1"/>
  <c r="T399" i="6"/>
  <c r="AL453" i="10" s="1"/>
  <c r="Q399" i="6"/>
  <c r="AD453" i="10" s="1"/>
  <c r="O398" i="6"/>
  <c r="D401" i="6"/>
  <c r="C400" i="6"/>
  <c r="E401" i="6"/>
  <c r="M400" i="6" l="1"/>
  <c r="W454" i="10" s="1"/>
  <c r="Z400" i="6"/>
  <c r="AP454" i="10" s="1"/>
  <c r="Y452" i="10"/>
  <c r="K398" i="6"/>
  <c r="Q452" i="10" s="1"/>
  <c r="C454" i="10"/>
  <c r="V399" i="6"/>
  <c r="W399" i="6"/>
  <c r="O399" i="6"/>
  <c r="K399" i="6" s="1"/>
  <c r="G400" i="6"/>
  <c r="I454" i="10" s="1"/>
  <c r="L400" i="6"/>
  <c r="S454" i="10" s="1"/>
  <c r="R400" i="6"/>
  <c r="AH454" i="10" s="1"/>
  <c r="Y400" i="6"/>
  <c r="AR454" i="10" s="1"/>
  <c r="T400" i="6"/>
  <c r="AL454" i="10" s="1"/>
  <c r="S400" i="6"/>
  <c r="AJ454" i="10" s="1"/>
  <c r="N400" i="6"/>
  <c r="U454" i="10" s="1"/>
  <c r="I400" i="6"/>
  <c r="M454" i="10" s="1"/>
  <c r="U400" i="6"/>
  <c r="AN454" i="10" s="1"/>
  <c r="X400" i="6"/>
  <c r="Q400" i="6"/>
  <c r="AD454" i="10" s="1"/>
  <c r="F400" i="6"/>
  <c r="G454" i="10" s="1"/>
  <c r="J400" i="6"/>
  <c r="O454" i="10" s="1"/>
  <c r="H400" i="6"/>
  <c r="K454" i="10" s="1"/>
  <c r="P400" i="6"/>
  <c r="Z454" i="10" s="1"/>
  <c r="D402" i="6"/>
  <c r="C401" i="6"/>
  <c r="E402" i="6"/>
  <c r="M401" i="6" l="1"/>
  <c r="W455" i="10" s="1"/>
  <c r="Z401" i="6"/>
  <c r="AP455" i="10" s="1"/>
  <c r="C455" i="10"/>
  <c r="Q453" i="10"/>
  <c r="Y453" i="10"/>
  <c r="W400" i="6"/>
  <c r="V400" i="6"/>
  <c r="G401" i="6"/>
  <c r="I455" i="10" s="1"/>
  <c r="Q401" i="6"/>
  <c r="AD455" i="10" s="1"/>
  <c r="U401" i="6"/>
  <c r="AN455" i="10" s="1"/>
  <c r="N401" i="6"/>
  <c r="U455" i="10" s="1"/>
  <c r="X401" i="6"/>
  <c r="F401" i="6"/>
  <c r="G455" i="10" s="1"/>
  <c r="R401" i="6"/>
  <c r="AH455" i="10" s="1"/>
  <c r="H401" i="6"/>
  <c r="K455" i="10" s="1"/>
  <c r="J401" i="6"/>
  <c r="O455" i="10" s="1"/>
  <c r="S401" i="6"/>
  <c r="AJ455" i="10" s="1"/>
  <c r="L401" i="6"/>
  <c r="S455" i="10" s="1"/>
  <c r="I401" i="6"/>
  <c r="M455" i="10" s="1"/>
  <c r="P401" i="6"/>
  <c r="Z455" i="10" s="1"/>
  <c r="T401" i="6"/>
  <c r="AL455" i="10" s="1"/>
  <c r="Y401" i="6"/>
  <c r="AR455" i="10" s="1"/>
  <c r="O400" i="6"/>
  <c r="D403" i="6"/>
  <c r="C402" i="6"/>
  <c r="E403" i="6"/>
  <c r="M402" i="6" l="1"/>
  <c r="W456" i="10" s="1"/>
  <c r="Z402" i="6"/>
  <c r="AP456" i="10" s="1"/>
  <c r="Y454" i="10"/>
  <c r="K400" i="6"/>
  <c r="Q454" i="10" s="1"/>
  <c r="C456" i="10"/>
  <c r="W401" i="6"/>
  <c r="V401" i="6"/>
  <c r="O401" i="6"/>
  <c r="N402" i="6"/>
  <c r="U456" i="10" s="1"/>
  <c r="T402" i="6"/>
  <c r="AL456" i="10" s="1"/>
  <c r="L402" i="6"/>
  <c r="S456" i="10" s="1"/>
  <c r="S402" i="6"/>
  <c r="AJ456" i="10" s="1"/>
  <c r="R402" i="6"/>
  <c r="AH456" i="10" s="1"/>
  <c r="H402" i="6"/>
  <c r="K456" i="10" s="1"/>
  <c r="G402" i="6"/>
  <c r="I456" i="10" s="1"/>
  <c r="F402" i="6"/>
  <c r="G456" i="10" s="1"/>
  <c r="Q402" i="6"/>
  <c r="AD456" i="10" s="1"/>
  <c r="U402" i="6"/>
  <c r="AN456" i="10" s="1"/>
  <c r="I402" i="6"/>
  <c r="M456" i="10" s="1"/>
  <c r="J402" i="6"/>
  <c r="O456" i="10" s="1"/>
  <c r="Y402" i="6"/>
  <c r="AR456" i="10" s="1"/>
  <c r="X402" i="6"/>
  <c r="P402" i="6"/>
  <c r="Z456" i="10" s="1"/>
  <c r="D404" i="6"/>
  <c r="C403" i="6"/>
  <c r="E404" i="6"/>
  <c r="M403" i="6" l="1"/>
  <c r="W457" i="10" s="1"/>
  <c r="Z403" i="6"/>
  <c r="AP457" i="10" s="1"/>
  <c r="Y455" i="10"/>
  <c r="K401" i="6"/>
  <c r="Q455" i="10" s="1"/>
  <c r="C457" i="10"/>
  <c r="W402" i="6"/>
  <c r="V402" i="6"/>
  <c r="H403" i="6"/>
  <c r="K457" i="10" s="1"/>
  <c r="T403" i="6"/>
  <c r="AL457" i="10" s="1"/>
  <c r="U403" i="6"/>
  <c r="AN457" i="10" s="1"/>
  <c r="L403" i="6"/>
  <c r="S457" i="10" s="1"/>
  <c r="Q403" i="6"/>
  <c r="AD457" i="10" s="1"/>
  <c r="X403" i="6"/>
  <c r="N403" i="6"/>
  <c r="U457" i="10" s="1"/>
  <c r="P403" i="6"/>
  <c r="Z457" i="10" s="1"/>
  <c r="Y403" i="6"/>
  <c r="AR457" i="10" s="1"/>
  <c r="I403" i="6"/>
  <c r="M457" i="10" s="1"/>
  <c r="J403" i="6"/>
  <c r="O457" i="10" s="1"/>
  <c r="R403" i="6"/>
  <c r="AH457" i="10" s="1"/>
  <c r="F403" i="6"/>
  <c r="G457" i="10" s="1"/>
  <c r="S403" i="6"/>
  <c r="AJ457" i="10" s="1"/>
  <c r="G403" i="6"/>
  <c r="I457" i="10" s="1"/>
  <c r="O402" i="6"/>
  <c r="K402" i="6" s="1"/>
  <c r="D405" i="6"/>
  <c r="C404" i="6"/>
  <c r="E405" i="6"/>
  <c r="M404" i="6" l="1"/>
  <c r="W458" i="10" s="1"/>
  <c r="Z404" i="6"/>
  <c r="AP458" i="10" s="1"/>
  <c r="C458" i="10"/>
  <c r="Q456" i="10"/>
  <c r="Y456" i="10"/>
  <c r="V403" i="6"/>
  <c r="W403" i="6"/>
  <c r="O403" i="6"/>
  <c r="K403" i="6" s="1"/>
  <c r="F404" i="6"/>
  <c r="G458" i="10" s="1"/>
  <c r="P404" i="6"/>
  <c r="Z458" i="10" s="1"/>
  <c r="T404" i="6"/>
  <c r="AL458" i="10" s="1"/>
  <c r="L404" i="6"/>
  <c r="S458" i="10" s="1"/>
  <c r="R404" i="6"/>
  <c r="AH458" i="10" s="1"/>
  <c r="N404" i="6"/>
  <c r="U458" i="10" s="1"/>
  <c r="J404" i="6"/>
  <c r="O458" i="10" s="1"/>
  <c r="Q404" i="6"/>
  <c r="AD458" i="10" s="1"/>
  <c r="U404" i="6"/>
  <c r="AN458" i="10" s="1"/>
  <c r="S404" i="6"/>
  <c r="AJ458" i="10" s="1"/>
  <c r="X404" i="6"/>
  <c r="H404" i="6"/>
  <c r="K458" i="10" s="1"/>
  <c r="G404" i="6"/>
  <c r="I458" i="10" s="1"/>
  <c r="I404" i="6"/>
  <c r="M458" i="10" s="1"/>
  <c r="Y404" i="6"/>
  <c r="AR458" i="10" s="1"/>
  <c r="D406" i="6"/>
  <c r="C405" i="6"/>
  <c r="E406" i="6"/>
  <c r="M405" i="6" l="1"/>
  <c r="W459" i="10" s="1"/>
  <c r="Z405" i="6"/>
  <c r="AP459" i="10" s="1"/>
  <c r="C459" i="10"/>
  <c r="Q457" i="10"/>
  <c r="Y457" i="10"/>
  <c r="W404" i="6"/>
  <c r="V404" i="6"/>
  <c r="O404" i="6"/>
  <c r="K404" i="6" s="1"/>
  <c r="T405" i="6"/>
  <c r="AL459" i="10" s="1"/>
  <c r="F405" i="6"/>
  <c r="G459" i="10" s="1"/>
  <c r="J405" i="6"/>
  <c r="O459" i="10" s="1"/>
  <c r="H405" i="6"/>
  <c r="K459" i="10" s="1"/>
  <c r="U405" i="6"/>
  <c r="AN459" i="10" s="1"/>
  <c r="X405" i="6"/>
  <c r="Q405" i="6"/>
  <c r="AD459" i="10" s="1"/>
  <c r="L405" i="6"/>
  <c r="S459" i="10" s="1"/>
  <c r="R405" i="6"/>
  <c r="AH459" i="10" s="1"/>
  <c r="N405" i="6"/>
  <c r="U459" i="10" s="1"/>
  <c r="S405" i="6"/>
  <c r="AJ459" i="10" s="1"/>
  <c r="I405" i="6"/>
  <c r="M459" i="10" s="1"/>
  <c r="G405" i="6"/>
  <c r="I459" i="10" s="1"/>
  <c r="P405" i="6"/>
  <c r="Z459" i="10" s="1"/>
  <c r="Y405" i="6"/>
  <c r="AR459" i="10" s="1"/>
  <c r="D407" i="6"/>
  <c r="C406" i="6"/>
  <c r="E407" i="6"/>
  <c r="M406" i="6" l="1"/>
  <c r="W460" i="10" s="1"/>
  <c r="Z406" i="6"/>
  <c r="AP460" i="10" s="1"/>
  <c r="C460" i="10"/>
  <c r="Q458" i="10"/>
  <c r="Y458" i="10"/>
  <c r="V405" i="6"/>
  <c r="W405" i="6"/>
  <c r="L406" i="6"/>
  <c r="S460" i="10" s="1"/>
  <c r="S406" i="6"/>
  <c r="AJ460" i="10" s="1"/>
  <c r="I406" i="6"/>
  <c r="M460" i="10" s="1"/>
  <c r="U406" i="6"/>
  <c r="AN460" i="10" s="1"/>
  <c r="F406" i="6"/>
  <c r="G460" i="10" s="1"/>
  <c r="J406" i="6"/>
  <c r="O460" i="10" s="1"/>
  <c r="Q406" i="6"/>
  <c r="AD460" i="10" s="1"/>
  <c r="H406" i="6"/>
  <c r="K460" i="10" s="1"/>
  <c r="T406" i="6"/>
  <c r="AL460" i="10" s="1"/>
  <c r="X406" i="6"/>
  <c r="Y406" i="6"/>
  <c r="AR460" i="10" s="1"/>
  <c r="G406" i="6"/>
  <c r="I460" i="10" s="1"/>
  <c r="N406" i="6"/>
  <c r="U460" i="10" s="1"/>
  <c r="R406" i="6"/>
  <c r="AH460" i="10" s="1"/>
  <c r="P406" i="6"/>
  <c r="Z460" i="10" s="1"/>
  <c r="O405" i="6"/>
  <c r="D408" i="6"/>
  <c r="C407" i="6"/>
  <c r="E408" i="6"/>
  <c r="M407" i="6" l="1"/>
  <c r="W461" i="10" s="1"/>
  <c r="Z407" i="6"/>
  <c r="AP461" i="10" s="1"/>
  <c r="Y459" i="10"/>
  <c r="K405" i="6"/>
  <c r="Q459" i="10" s="1"/>
  <c r="C461" i="10"/>
  <c r="V406" i="6"/>
  <c r="W406" i="6"/>
  <c r="O406" i="6"/>
  <c r="F407" i="6"/>
  <c r="G461" i="10" s="1"/>
  <c r="I407" i="6"/>
  <c r="M461" i="10" s="1"/>
  <c r="S407" i="6"/>
  <c r="AJ461" i="10" s="1"/>
  <c r="U407" i="6"/>
  <c r="AN461" i="10" s="1"/>
  <c r="H407" i="6"/>
  <c r="K461" i="10" s="1"/>
  <c r="J407" i="6"/>
  <c r="O461" i="10" s="1"/>
  <c r="T407" i="6"/>
  <c r="AL461" i="10" s="1"/>
  <c r="G407" i="6"/>
  <c r="I461" i="10" s="1"/>
  <c r="X407" i="6"/>
  <c r="N407" i="6"/>
  <c r="U461" i="10" s="1"/>
  <c r="Q407" i="6"/>
  <c r="AD461" i="10" s="1"/>
  <c r="L407" i="6"/>
  <c r="S461" i="10" s="1"/>
  <c r="P407" i="6"/>
  <c r="Z461" i="10" s="1"/>
  <c r="R407" i="6"/>
  <c r="AH461" i="10" s="1"/>
  <c r="Y407" i="6"/>
  <c r="AR461" i="10" s="1"/>
  <c r="D409" i="6"/>
  <c r="C408" i="6"/>
  <c r="E409" i="6"/>
  <c r="M408" i="6" l="1"/>
  <c r="W462" i="10" s="1"/>
  <c r="Z408" i="6"/>
  <c r="AP462" i="10" s="1"/>
  <c r="Y460" i="10"/>
  <c r="K406" i="6"/>
  <c r="Q460" i="10" s="1"/>
  <c r="C462" i="10"/>
  <c r="V407" i="6"/>
  <c r="W407" i="6"/>
  <c r="I408" i="6"/>
  <c r="M462" i="10" s="1"/>
  <c r="P408" i="6"/>
  <c r="Z462" i="10" s="1"/>
  <c r="Q408" i="6"/>
  <c r="AD462" i="10" s="1"/>
  <c r="F408" i="6"/>
  <c r="G462" i="10" s="1"/>
  <c r="J408" i="6"/>
  <c r="O462" i="10" s="1"/>
  <c r="S408" i="6"/>
  <c r="AJ462" i="10" s="1"/>
  <c r="R408" i="6"/>
  <c r="AH462" i="10" s="1"/>
  <c r="X408" i="6"/>
  <c r="H408" i="6"/>
  <c r="K462" i="10" s="1"/>
  <c r="N408" i="6"/>
  <c r="U462" i="10" s="1"/>
  <c r="G408" i="6"/>
  <c r="I462" i="10" s="1"/>
  <c r="L408" i="6"/>
  <c r="S462" i="10" s="1"/>
  <c r="T408" i="6"/>
  <c r="AL462" i="10" s="1"/>
  <c r="Y408" i="6"/>
  <c r="AR462" i="10" s="1"/>
  <c r="U408" i="6"/>
  <c r="AN462" i="10" s="1"/>
  <c r="O407" i="6"/>
  <c r="D410" i="6"/>
  <c r="C409" i="6"/>
  <c r="E410" i="6"/>
  <c r="M409" i="6" l="1"/>
  <c r="W463" i="10" s="1"/>
  <c r="Z409" i="6"/>
  <c r="AP463" i="10" s="1"/>
  <c r="Y461" i="10"/>
  <c r="K407" i="6"/>
  <c r="Q461" i="10" s="1"/>
  <c r="C463" i="10"/>
  <c r="V408" i="6"/>
  <c r="W408" i="6"/>
  <c r="O408" i="6"/>
  <c r="T409" i="6"/>
  <c r="AL463" i="10" s="1"/>
  <c r="X409" i="6"/>
  <c r="I409" i="6"/>
  <c r="M463" i="10" s="1"/>
  <c r="R409" i="6"/>
  <c r="AH463" i="10" s="1"/>
  <c r="P409" i="6"/>
  <c r="Z463" i="10" s="1"/>
  <c r="G409" i="6"/>
  <c r="I463" i="10" s="1"/>
  <c r="J409" i="6"/>
  <c r="O463" i="10" s="1"/>
  <c r="N409" i="6"/>
  <c r="U463" i="10" s="1"/>
  <c r="U409" i="6"/>
  <c r="AN463" i="10" s="1"/>
  <c r="F409" i="6"/>
  <c r="G463" i="10" s="1"/>
  <c r="L409" i="6"/>
  <c r="S463" i="10" s="1"/>
  <c r="S409" i="6"/>
  <c r="AJ463" i="10" s="1"/>
  <c r="H409" i="6"/>
  <c r="K463" i="10" s="1"/>
  <c r="Q409" i="6"/>
  <c r="AD463" i="10" s="1"/>
  <c r="Y409" i="6"/>
  <c r="AR463" i="10" s="1"/>
  <c r="D411" i="6"/>
  <c r="C410" i="6"/>
  <c r="E411" i="6"/>
  <c r="M410" i="6" l="1"/>
  <c r="W464" i="10" s="1"/>
  <c r="Z410" i="6"/>
  <c r="AP464" i="10" s="1"/>
  <c r="Y462" i="10"/>
  <c r="K408" i="6"/>
  <c r="Q462" i="10" s="1"/>
  <c r="C464" i="10"/>
  <c r="V409" i="6"/>
  <c r="W409" i="6"/>
  <c r="O409" i="6"/>
  <c r="T410" i="6"/>
  <c r="AL464" i="10" s="1"/>
  <c r="I410" i="6"/>
  <c r="M464" i="10" s="1"/>
  <c r="N410" i="6"/>
  <c r="U464" i="10" s="1"/>
  <c r="Q410" i="6"/>
  <c r="AD464" i="10" s="1"/>
  <c r="F410" i="6"/>
  <c r="G464" i="10" s="1"/>
  <c r="J410" i="6"/>
  <c r="O464" i="10" s="1"/>
  <c r="P410" i="6"/>
  <c r="Z464" i="10" s="1"/>
  <c r="S410" i="6"/>
  <c r="AJ464" i="10" s="1"/>
  <c r="G410" i="6"/>
  <c r="I464" i="10" s="1"/>
  <c r="L410" i="6"/>
  <c r="S464" i="10" s="1"/>
  <c r="R410" i="6"/>
  <c r="AH464" i="10" s="1"/>
  <c r="U410" i="6"/>
  <c r="AN464" i="10" s="1"/>
  <c r="Y410" i="6"/>
  <c r="AR464" i="10" s="1"/>
  <c r="X410" i="6"/>
  <c r="H410" i="6"/>
  <c r="K464" i="10" s="1"/>
  <c r="D412" i="6"/>
  <c r="C411" i="6"/>
  <c r="E412" i="6"/>
  <c r="M411" i="6" l="1"/>
  <c r="W465" i="10" s="1"/>
  <c r="Z411" i="6"/>
  <c r="AP465" i="10" s="1"/>
  <c r="Y463" i="10"/>
  <c r="K409" i="6"/>
  <c r="Q463" i="10" s="1"/>
  <c r="C465" i="10"/>
  <c r="W410" i="6"/>
  <c r="V410" i="6"/>
  <c r="P411" i="6"/>
  <c r="Z465" i="10" s="1"/>
  <c r="Y411" i="6"/>
  <c r="AR465" i="10" s="1"/>
  <c r="F411" i="6"/>
  <c r="G465" i="10" s="1"/>
  <c r="H411" i="6"/>
  <c r="K465" i="10" s="1"/>
  <c r="R411" i="6"/>
  <c r="AH465" i="10" s="1"/>
  <c r="T411" i="6"/>
  <c r="AL465" i="10" s="1"/>
  <c r="L411" i="6"/>
  <c r="S465" i="10" s="1"/>
  <c r="S411" i="6"/>
  <c r="AJ465" i="10" s="1"/>
  <c r="N411" i="6"/>
  <c r="U465" i="10" s="1"/>
  <c r="G411" i="6"/>
  <c r="I465" i="10" s="1"/>
  <c r="J411" i="6"/>
  <c r="O465" i="10" s="1"/>
  <c r="X411" i="6"/>
  <c r="I411" i="6"/>
  <c r="M465" i="10" s="1"/>
  <c r="Q411" i="6"/>
  <c r="AD465" i="10" s="1"/>
  <c r="U411" i="6"/>
  <c r="AN465" i="10" s="1"/>
  <c r="O410" i="6"/>
  <c r="D413" i="6"/>
  <c r="C412" i="6"/>
  <c r="E413" i="6"/>
  <c r="M412" i="6" l="1"/>
  <c r="W466" i="10" s="1"/>
  <c r="Z412" i="6"/>
  <c r="AP466" i="10" s="1"/>
  <c r="Y464" i="10"/>
  <c r="K410" i="6"/>
  <c r="Q464" i="10" s="1"/>
  <c r="C466" i="10"/>
  <c r="W411" i="6"/>
  <c r="V411" i="6"/>
  <c r="O411" i="6"/>
  <c r="F412" i="6"/>
  <c r="G466" i="10" s="1"/>
  <c r="R412" i="6"/>
  <c r="AH466" i="10" s="1"/>
  <c r="S412" i="6"/>
  <c r="AJ466" i="10" s="1"/>
  <c r="N412" i="6"/>
  <c r="U466" i="10" s="1"/>
  <c r="T412" i="6"/>
  <c r="AL466" i="10" s="1"/>
  <c r="I412" i="6"/>
  <c r="M466" i="10" s="1"/>
  <c r="G412" i="6"/>
  <c r="I466" i="10" s="1"/>
  <c r="J412" i="6"/>
  <c r="O466" i="10" s="1"/>
  <c r="X412" i="6"/>
  <c r="Q412" i="6"/>
  <c r="AD466" i="10" s="1"/>
  <c r="H412" i="6"/>
  <c r="K466" i="10" s="1"/>
  <c r="L412" i="6"/>
  <c r="S466" i="10" s="1"/>
  <c r="Y412" i="6"/>
  <c r="AR466" i="10" s="1"/>
  <c r="U412" i="6"/>
  <c r="AN466" i="10" s="1"/>
  <c r="P412" i="6"/>
  <c r="Z466" i="10" s="1"/>
  <c r="D414" i="6"/>
  <c r="C413" i="6"/>
  <c r="E414" i="6"/>
  <c r="M413" i="6" l="1"/>
  <c r="W467" i="10" s="1"/>
  <c r="Z413" i="6"/>
  <c r="AP467" i="10" s="1"/>
  <c r="Y465" i="10"/>
  <c r="K411" i="6"/>
  <c r="Q465" i="10" s="1"/>
  <c r="C467" i="10"/>
  <c r="V412" i="6"/>
  <c r="W412" i="6"/>
  <c r="O412" i="6"/>
  <c r="K412" i="6" s="1"/>
  <c r="X413" i="6"/>
  <c r="R413" i="6"/>
  <c r="AH467" i="10" s="1"/>
  <c r="P413" i="6"/>
  <c r="Z467" i="10" s="1"/>
  <c r="U413" i="6"/>
  <c r="AN467" i="10" s="1"/>
  <c r="F413" i="6"/>
  <c r="G467" i="10" s="1"/>
  <c r="S413" i="6"/>
  <c r="AJ467" i="10" s="1"/>
  <c r="T413" i="6"/>
  <c r="AL467" i="10" s="1"/>
  <c r="H413" i="6"/>
  <c r="K467" i="10" s="1"/>
  <c r="L413" i="6"/>
  <c r="S467" i="10" s="1"/>
  <c r="N413" i="6"/>
  <c r="U467" i="10" s="1"/>
  <c r="G413" i="6"/>
  <c r="I467" i="10" s="1"/>
  <c r="Y413" i="6"/>
  <c r="AR467" i="10" s="1"/>
  <c r="I413" i="6"/>
  <c r="M467" i="10" s="1"/>
  <c r="Q413" i="6"/>
  <c r="AD467" i="10" s="1"/>
  <c r="J413" i="6"/>
  <c r="O467" i="10" s="1"/>
  <c r="D415" i="6"/>
  <c r="C414" i="6"/>
  <c r="E415" i="6"/>
  <c r="M414" i="6" l="1"/>
  <c r="W468" i="10" s="1"/>
  <c r="Z414" i="6"/>
  <c r="AP468" i="10" s="1"/>
  <c r="C468" i="10"/>
  <c r="Q466" i="10"/>
  <c r="Y466" i="10"/>
  <c r="W413" i="6"/>
  <c r="V413" i="6"/>
  <c r="R414" i="6"/>
  <c r="AH468" i="10" s="1"/>
  <c r="Q414" i="6"/>
  <c r="AD468" i="10" s="1"/>
  <c r="J414" i="6"/>
  <c r="O468" i="10" s="1"/>
  <c r="N414" i="6"/>
  <c r="U468" i="10" s="1"/>
  <c r="P414" i="6"/>
  <c r="Z468" i="10" s="1"/>
  <c r="L414" i="6"/>
  <c r="S468" i="10" s="1"/>
  <c r="X414" i="6"/>
  <c r="F414" i="6"/>
  <c r="G468" i="10" s="1"/>
  <c r="Y414" i="6"/>
  <c r="AR468" i="10" s="1"/>
  <c r="U414" i="6"/>
  <c r="AN468" i="10" s="1"/>
  <c r="S414" i="6"/>
  <c r="AJ468" i="10" s="1"/>
  <c r="H414" i="6"/>
  <c r="K468" i="10" s="1"/>
  <c r="I414" i="6"/>
  <c r="M468" i="10" s="1"/>
  <c r="G414" i="6"/>
  <c r="I468" i="10" s="1"/>
  <c r="T414" i="6"/>
  <c r="AL468" i="10" s="1"/>
  <c r="O413" i="6"/>
  <c r="D416" i="6"/>
  <c r="C415" i="6"/>
  <c r="E416" i="6"/>
  <c r="M415" i="6" l="1"/>
  <c r="W469" i="10" s="1"/>
  <c r="Z415" i="6"/>
  <c r="AP469" i="10" s="1"/>
  <c r="Y467" i="10"/>
  <c r="K413" i="6"/>
  <c r="Q467" i="10" s="1"/>
  <c r="C469" i="10"/>
  <c r="V414" i="6"/>
  <c r="W414" i="6"/>
  <c r="Q415" i="6"/>
  <c r="AD469" i="10" s="1"/>
  <c r="J415" i="6"/>
  <c r="O469" i="10" s="1"/>
  <c r="R415" i="6"/>
  <c r="AH469" i="10" s="1"/>
  <c r="P415" i="6"/>
  <c r="Z469" i="10" s="1"/>
  <c r="F415" i="6"/>
  <c r="G469" i="10" s="1"/>
  <c r="T415" i="6"/>
  <c r="AL469" i="10" s="1"/>
  <c r="L415" i="6"/>
  <c r="S469" i="10" s="1"/>
  <c r="U415" i="6"/>
  <c r="AN469" i="10" s="1"/>
  <c r="X415" i="6"/>
  <c r="I415" i="6"/>
  <c r="M469" i="10" s="1"/>
  <c r="N415" i="6"/>
  <c r="U469" i="10" s="1"/>
  <c r="G415" i="6"/>
  <c r="I469" i="10" s="1"/>
  <c r="S415" i="6"/>
  <c r="AJ469" i="10" s="1"/>
  <c r="Y415" i="6"/>
  <c r="AR469" i="10" s="1"/>
  <c r="H415" i="6"/>
  <c r="K469" i="10" s="1"/>
  <c r="O414" i="6"/>
  <c r="D417" i="6"/>
  <c r="C416" i="6"/>
  <c r="E417" i="6"/>
  <c r="M416" i="6" l="1"/>
  <c r="W470" i="10" s="1"/>
  <c r="Z416" i="6"/>
  <c r="AP470" i="10" s="1"/>
  <c r="Y468" i="10"/>
  <c r="K414" i="6"/>
  <c r="Q468" i="10" s="1"/>
  <c r="C470" i="10"/>
  <c r="V415" i="6"/>
  <c r="W415" i="6"/>
  <c r="G416" i="6"/>
  <c r="I470" i="10" s="1"/>
  <c r="L416" i="6"/>
  <c r="S470" i="10" s="1"/>
  <c r="S416" i="6"/>
  <c r="AJ470" i="10" s="1"/>
  <c r="Q416" i="6"/>
  <c r="AD470" i="10" s="1"/>
  <c r="R416" i="6"/>
  <c r="AH470" i="10" s="1"/>
  <c r="N416" i="6"/>
  <c r="U470" i="10" s="1"/>
  <c r="T416" i="6"/>
  <c r="AL470" i="10" s="1"/>
  <c r="P416" i="6"/>
  <c r="Z470" i="10" s="1"/>
  <c r="F416" i="6"/>
  <c r="G470" i="10" s="1"/>
  <c r="J416" i="6"/>
  <c r="O470" i="10" s="1"/>
  <c r="H416" i="6"/>
  <c r="K470" i="10" s="1"/>
  <c r="Y416" i="6"/>
  <c r="AR470" i="10" s="1"/>
  <c r="U416" i="6"/>
  <c r="AN470" i="10" s="1"/>
  <c r="X416" i="6"/>
  <c r="I416" i="6"/>
  <c r="M470" i="10" s="1"/>
  <c r="O415" i="6"/>
  <c r="D418" i="6"/>
  <c r="C417" i="6"/>
  <c r="E418" i="6"/>
  <c r="M417" i="6" l="1"/>
  <c r="W471" i="10" s="1"/>
  <c r="Z417" i="6"/>
  <c r="AP471" i="10" s="1"/>
  <c r="Y469" i="10"/>
  <c r="K415" i="6"/>
  <c r="Q469" i="10" s="1"/>
  <c r="C471" i="10"/>
  <c r="V416" i="6"/>
  <c r="W416" i="6"/>
  <c r="O416" i="6"/>
  <c r="K416" i="6" s="1"/>
  <c r="L417" i="6"/>
  <c r="S471" i="10" s="1"/>
  <c r="Y417" i="6"/>
  <c r="AR471" i="10" s="1"/>
  <c r="H417" i="6"/>
  <c r="K471" i="10" s="1"/>
  <c r="I417" i="6"/>
  <c r="M471" i="10" s="1"/>
  <c r="G417" i="6"/>
  <c r="I471" i="10" s="1"/>
  <c r="T417" i="6"/>
  <c r="AL471" i="10" s="1"/>
  <c r="J417" i="6"/>
  <c r="O471" i="10" s="1"/>
  <c r="S417" i="6"/>
  <c r="AJ471" i="10" s="1"/>
  <c r="X417" i="6"/>
  <c r="F417" i="6"/>
  <c r="G471" i="10" s="1"/>
  <c r="N417" i="6"/>
  <c r="U471" i="10" s="1"/>
  <c r="R417" i="6"/>
  <c r="AH471" i="10" s="1"/>
  <c r="U417" i="6"/>
  <c r="AN471" i="10" s="1"/>
  <c r="P417" i="6"/>
  <c r="Z471" i="10" s="1"/>
  <c r="Q417" i="6"/>
  <c r="AD471" i="10" s="1"/>
  <c r="D419" i="6"/>
  <c r="C418" i="6"/>
  <c r="E419" i="6"/>
  <c r="M418" i="6" l="1"/>
  <c r="W472" i="10" s="1"/>
  <c r="Z418" i="6"/>
  <c r="AP472" i="10" s="1"/>
  <c r="C472" i="10"/>
  <c r="Q470" i="10"/>
  <c r="Y470" i="10"/>
  <c r="W417" i="6"/>
  <c r="V417" i="6"/>
  <c r="P418" i="6"/>
  <c r="Z472" i="10" s="1"/>
  <c r="U418" i="6"/>
  <c r="AN472" i="10" s="1"/>
  <c r="R418" i="6"/>
  <c r="AH472" i="10" s="1"/>
  <c r="F418" i="6"/>
  <c r="G472" i="10" s="1"/>
  <c r="Y418" i="6"/>
  <c r="AR472" i="10" s="1"/>
  <c r="X418" i="6"/>
  <c r="S418" i="6"/>
  <c r="AJ472" i="10" s="1"/>
  <c r="J418" i="6"/>
  <c r="O472" i="10" s="1"/>
  <c r="Q418" i="6"/>
  <c r="AD472" i="10" s="1"/>
  <c r="T418" i="6"/>
  <c r="AL472" i="10" s="1"/>
  <c r="H418" i="6"/>
  <c r="K472" i="10" s="1"/>
  <c r="G418" i="6"/>
  <c r="I472" i="10" s="1"/>
  <c r="L418" i="6"/>
  <c r="S472" i="10" s="1"/>
  <c r="I418" i="6"/>
  <c r="M472" i="10" s="1"/>
  <c r="N418" i="6"/>
  <c r="U472" i="10" s="1"/>
  <c r="O417" i="6"/>
  <c r="D420" i="6"/>
  <c r="C419" i="6"/>
  <c r="E420" i="6"/>
  <c r="M419" i="6" l="1"/>
  <c r="W473" i="10" s="1"/>
  <c r="Z419" i="6"/>
  <c r="AP473" i="10" s="1"/>
  <c r="Y471" i="10"/>
  <c r="K417" i="6"/>
  <c r="Q471" i="10" s="1"/>
  <c r="C473" i="10"/>
  <c r="V418" i="6"/>
  <c r="W418" i="6"/>
  <c r="O418" i="6"/>
  <c r="K418" i="6" s="1"/>
  <c r="F419" i="6"/>
  <c r="G473" i="10" s="1"/>
  <c r="N419" i="6"/>
  <c r="U473" i="10" s="1"/>
  <c r="G419" i="6"/>
  <c r="I473" i="10" s="1"/>
  <c r="Q419" i="6"/>
  <c r="AD473" i="10" s="1"/>
  <c r="X419" i="6"/>
  <c r="I419" i="6"/>
  <c r="M473" i="10" s="1"/>
  <c r="H419" i="6"/>
  <c r="K473" i="10" s="1"/>
  <c r="Y419" i="6"/>
  <c r="AR473" i="10" s="1"/>
  <c r="R419" i="6"/>
  <c r="AH473" i="10" s="1"/>
  <c r="L419" i="6"/>
  <c r="S473" i="10" s="1"/>
  <c r="S419" i="6"/>
  <c r="AJ473" i="10" s="1"/>
  <c r="P419" i="6"/>
  <c r="Z473" i="10" s="1"/>
  <c r="T419" i="6"/>
  <c r="AL473" i="10" s="1"/>
  <c r="U419" i="6"/>
  <c r="AN473" i="10" s="1"/>
  <c r="J419" i="6"/>
  <c r="O473" i="10" s="1"/>
  <c r="D421" i="6"/>
  <c r="C420" i="6"/>
  <c r="E421" i="6"/>
  <c r="M420" i="6" l="1"/>
  <c r="W474" i="10" s="1"/>
  <c r="Z420" i="6"/>
  <c r="AP474" i="10" s="1"/>
  <c r="C474" i="10"/>
  <c r="Q472" i="10"/>
  <c r="Y472" i="10"/>
  <c r="V419" i="6"/>
  <c r="W419" i="6"/>
  <c r="J420" i="6"/>
  <c r="O474" i="10" s="1"/>
  <c r="Q420" i="6"/>
  <c r="AD474" i="10" s="1"/>
  <c r="U420" i="6"/>
  <c r="AN474" i="10" s="1"/>
  <c r="T420" i="6"/>
  <c r="AL474" i="10" s="1"/>
  <c r="R420" i="6"/>
  <c r="AH474" i="10" s="1"/>
  <c r="H420" i="6"/>
  <c r="K474" i="10" s="1"/>
  <c r="G420" i="6"/>
  <c r="I474" i="10" s="1"/>
  <c r="Y420" i="6"/>
  <c r="AR474" i="10" s="1"/>
  <c r="I420" i="6"/>
  <c r="M474" i="10" s="1"/>
  <c r="P420" i="6"/>
  <c r="Z474" i="10" s="1"/>
  <c r="N420" i="6"/>
  <c r="U474" i="10" s="1"/>
  <c r="F420" i="6"/>
  <c r="G474" i="10" s="1"/>
  <c r="X420" i="6"/>
  <c r="L420" i="6"/>
  <c r="S474" i="10" s="1"/>
  <c r="S420" i="6"/>
  <c r="AJ474" i="10" s="1"/>
  <c r="O419" i="6"/>
  <c r="D422" i="6"/>
  <c r="C421" i="6"/>
  <c r="E422" i="6"/>
  <c r="M421" i="6" l="1"/>
  <c r="W475" i="10" s="1"/>
  <c r="Z421" i="6"/>
  <c r="AP475" i="10" s="1"/>
  <c r="Y473" i="10"/>
  <c r="K419" i="6"/>
  <c r="Q473" i="10" s="1"/>
  <c r="C475" i="10"/>
  <c r="V420" i="6"/>
  <c r="W420" i="6"/>
  <c r="F421" i="6"/>
  <c r="G475" i="10" s="1"/>
  <c r="G421" i="6"/>
  <c r="I475" i="10" s="1"/>
  <c r="X421" i="6"/>
  <c r="T421" i="6"/>
  <c r="AL475" i="10" s="1"/>
  <c r="R421" i="6"/>
  <c r="AH475" i="10" s="1"/>
  <c r="S421" i="6"/>
  <c r="AJ475" i="10" s="1"/>
  <c r="N421" i="6"/>
  <c r="U475" i="10" s="1"/>
  <c r="L421" i="6"/>
  <c r="S475" i="10" s="1"/>
  <c r="P421" i="6"/>
  <c r="Z475" i="10" s="1"/>
  <c r="H421" i="6"/>
  <c r="K475" i="10" s="1"/>
  <c r="Q421" i="6"/>
  <c r="AD475" i="10" s="1"/>
  <c r="U421" i="6"/>
  <c r="AN475" i="10" s="1"/>
  <c r="J421" i="6"/>
  <c r="O475" i="10" s="1"/>
  <c r="Y421" i="6"/>
  <c r="AR475" i="10" s="1"/>
  <c r="I421" i="6"/>
  <c r="M475" i="10" s="1"/>
  <c r="O420" i="6"/>
  <c r="K420" i="6" s="1"/>
  <c r="D423" i="6"/>
  <c r="C422" i="6"/>
  <c r="E423" i="6"/>
  <c r="M422" i="6" l="1"/>
  <c r="W476" i="10" s="1"/>
  <c r="Z422" i="6"/>
  <c r="AP476" i="10" s="1"/>
  <c r="C476" i="10"/>
  <c r="Q474" i="10"/>
  <c r="Y474" i="10"/>
  <c r="W421" i="6"/>
  <c r="V421" i="6"/>
  <c r="Q422" i="6"/>
  <c r="AD476" i="10" s="1"/>
  <c r="T422" i="6"/>
  <c r="AL476" i="10" s="1"/>
  <c r="F422" i="6"/>
  <c r="G476" i="10" s="1"/>
  <c r="R422" i="6"/>
  <c r="AH476" i="10" s="1"/>
  <c r="P422" i="6"/>
  <c r="Z476" i="10" s="1"/>
  <c r="S422" i="6"/>
  <c r="AJ476" i="10" s="1"/>
  <c r="L422" i="6"/>
  <c r="S476" i="10" s="1"/>
  <c r="U422" i="6"/>
  <c r="AN476" i="10" s="1"/>
  <c r="X422" i="6"/>
  <c r="I422" i="6"/>
  <c r="M476" i="10" s="1"/>
  <c r="Y422" i="6"/>
  <c r="AR476" i="10" s="1"/>
  <c r="G422" i="6"/>
  <c r="I476" i="10" s="1"/>
  <c r="N422" i="6"/>
  <c r="U476" i="10" s="1"/>
  <c r="J422" i="6"/>
  <c r="O476" i="10" s="1"/>
  <c r="H422" i="6"/>
  <c r="K476" i="10" s="1"/>
  <c r="O421" i="6"/>
  <c r="D424" i="6"/>
  <c r="C423" i="6"/>
  <c r="E424" i="6"/>
  <c r="M423" i="6" l="1"/>
  <c r="W477" i="10" s="1"/>
  <c r="Z423" i="6"/>
  <c r="AP477" i="10" s="1"/>
  <c r="Y475" i="10"/>
  <c r="K421" i="6"/>
  <c r="Q475" i="10" s="1"/>
  <c r="C477" i="10"/>
  <c r="V422" i="6"/>
  <c r="W422" i="6"/>
  <c r="T423" i="6"/>
  <c r="AL477" i="10" s="1"/>
  <c r="Q423" i="6"/>
  <c r="AD477" i="10" s="1"/>
  <c r="L423" i="6"/>
  <c r="S477" i="10" s="1"/>
  <c r="Y423" i="6"/>
  <c r="AR477" i="10" s="1"/>
  <c r="G423" i="6"/>
  <c r="I477" i="10" s="1"/>
  <c r="P423" i="6"/>
  <c r="Z477" i="10" s="1"/>
  <c r="F423" i="6"/>
  <c r="G477" i="10" s="1"/>
  <c r="I423" i="6"/>
  <c r="M477" i="10" s="1"/>
  <c r="X423" i="6"/>
  <c r="N423" i="6"/>
  <c r="U477" i="10" s="1"/>
  <c r="R423" i="6"/>
  <c r="AH477" i="10" s="1"/>
  <c r="H423" i="6"/>
  <c r="K477" i="10" s="1"/>
  <c r="J423" i="6"/>
  <c r="O477" i="10" s="1"/>
  <c r="S423" i="6"/>
  <c r="AJ477" i="10" s="1"/>
  <c r="U423" i="6"/>
  <c r="AN477" i="10" s="1"/>
  <c r="O422" i="6"/>
  <c r="D425" i="6"/>
  <c r="C424" i="6"/>
  <c r="E425" i="6"/>
  <c r="M424" i="6" l="1"/>
  <c r="W478" i="10" s="1"/>
  <c r="Z424" i="6"/>
  <c r="AP478" i="10" s="1"/>
  <c r="Y476" i="10"/>
  <c r="K422" i="6"/>
  <c r="Q476" i="10" s="1"/>
  <c r="C478" i="10"/>
  <c r="V423" i="6"/>
  <c r="W423" i="6"/>
  <c r="Y424" i="6"/>
  <c r="AR478" i="10" s="1"/>
  <c r="X424" i="6"/>
  <c r="P424" i="6"/>
  <c r="Z478" i="10" s="1"/>
  <c r="N424" i="6"/>
  <c r="U478" i="10" s="1"/>
  <c r="U424" i="6"/>
  <c r="AN478" i="10" s="1"/>
  <c r="I424" i="6"/>
  <c r="M478" i="10" s="1"/>
  <c r="S424" i="6"/>
  <c r="AJ478" i="10" s="1"/>
  <c r="Q424" i="6"/>
  <c r="AD478" i="10" s="1"/>
  <c r="T424" i="6"/>
  <c r="AL478" i="10" s="1"/>
  <c r="H424" i="6"/>
  <c r="K478" i="10" s="1"/>
  <c r="G424" i="6"/>
  <c r="I478" i="10" s="1"/>
  <c r="J424" i="6"/>
  <c r="O478" i="10" s="1"/>
  <c r="R424" i="6"/>
  <c r="AH478" i="10" s="1"/>
  <c r="F424" i="6"/>
  <c r="G478" i="10" s="1"/>
  <c r="L424" i="6"/>
  <c r="S478" i="10" s="1"/>
  <c r="O423" i="6"/>
  <c r="K423" i="6" s="1"/>
  <c r="D426" i="6"/>
  <c r="C425" i="6"/>
  <c r="E426" i="6"/>
  <c r="M425" i="6" l="1"/>
  <c r="W479" i="10" s="1"/>
  <c r="Z425" i="6"/>
  <c r="AP479" i="10" s="1"/>
  <c r="C479" i="10"/>
  <c r="Q477" i="10"/>
  <c r="Y477" i="10"/>
  <c r="V424" i="6"/>
  <c r="W424" i="6"/>
  <c r="J425" i="6"/>
  <c r="O479" i="10" s="1"/>
  <c r="P425" i="6"/>
  <c r="Z479" i="10" s="1"/>
  <c r="F425" i="6"/>
  <c r="G479" i="10" s="1"/>
  <c r="I425" i="6"/>
  <c r="M479" i="10" s="1"/>
  <c r="R425" i="6"/>
  <c r="AH479" i="10" s="1"/>
  <c r="U425" i="6"/>
  <c r="AN479" i="10" s="1"/>
  <c r="N425" i="6"/>
  <c r="U479" i="10" s="1"/>
  <c r="G425" i="6"/>
  <c r="I479" i="10" s="1"/>
  <c r="Y425" i="6"/>
  <c r="AR479" i="10" s="1"/>
  <c r="Q425" i="6"/>
  <c r="AD479" i="10" s="1"/>
  <c r="S425" i="6"/>
  <c r="AJ479" i="10" s="1"/>
  <c r="L425" i="6"/>
  <c r="S479" i="10" s="1"/>
  <c r="T425" i="6"/>
  <c r="AL479" i="10" s="1"/>
  <c r="X425" i="6"/>
  <c r="H425" i="6"/>
  <c r="K479" i="10" s="1"/>
  <c r="O424" i="6"/>
  <c r="K424" i="6" s="1"/>
  <c r="D427" i="6"/>
  <c r="C426" i="6"/>
  <c r="E427" i="6"/>
  <c r="M426" i="6" l="1"/>
  <c r="W480" i="10" s="1"/>
  <c r="Z426" i="6"/>
  <c r="AP480" i="10" s="1"/>
  <c r="C480" i="10"/>
  <c r="Q478" i="10"/>
  <c r="Y478" i="10"/>
  <c r="V425" i="6"/>
  <c r="W425" i="6"/>
  <c r="O425" i="6"/>
  <c r="K425" i="6" s="1"/>
  <c r="S426" i="6"/>
  <c r="AJ480" i="10" s="1"/>
  <c r="H426" i="6"/>
  <c r="K480" i="10" s="1"/>
  <c r="L426" i="6"/>
  <c r="S480" i="10" s="1"/>
  <c r="T426" i="6"/>
  <c r="AL480" i="10" s="1"/>
  <c r="X426" i="6"/>
  <c r="F426" i="6"/>
  <c r="G480" i="10" s="1"/>
  <c r="J426" i="6"/>
  <c r="O480" i="10" s="1"/>
  <c r="P426" i="6"/>
  <c r="Z480" i="10" s="1"/>
  <c r="U426" i="6"/>
  <c r="AN480" i="10" s="1"/>
  <c r="Y426" i="6"/>
  <c r="AR480" i="10" s="1"/>
  <c r="N426" i="6"/>
  <c r="U480" i="10" s="1"/>
  <c r="Q426" i="6"/>
  <c r="AD480" i="10" s="1"/>
  <c r="G426" i="6"/>
  <c r="I480" i="10" s="1"/>
  <c r="I426" i="6"/>
  <c r="M480" i="10" s="1"/>
  <c r="R426" i="6"/>
  <c r="AH480" i="10" s="1"/>
  <c r="D428" i="6"/>
  <c r="C427" i="6"/>
  <c r="E428" i="6"/>
  <c r="M427" i="6" l="1"/>
  <c r="W481" i="10" s="1"/>
  <c r="Z427" i="6"/>
  <c r="AP481" i="10" s="1"/>
  <c r="C481" i="10"/>
  <c r="Q479" i="10"/>
  <c r="Y479" i="10"/>
  <c r="V426" i="6"/>
  <c r="W426" i="6"/>
  <c r="O426" i="6"/>
  <c r="K426" i="6" s="1"/>
  <c r="I427" i="6"/>
  <c r="M481" i="10" s="1"/>
  <c r="R427" i="6"/>
  <c r="AH481" i="10" s="1"/>
  <c r="X427" i="6"/>
  <c r="U427" i="6"/>
  <c r="AN481" i="10" s="1"/>
  <c r="G427" i="6"/>
  <c r="I481" i="10" s="1"/>
  <c r="J427" i="6"/>
  <c r="O481" i="10" s="1"/>
  <c r="P427" i="6"/>
  <c r="Z481" i="10" s="1"/>
  <c r="H427" i="6"/>
  <c r="K481" i="10" s="1"/>
  <c r="Y427" i="6"/>
  <c r="AR481" i="10" s="1"/>
  <c r="N427" i="6"/>
  <c r="U481" i="10" s="1"/>
  <c r="F427" i="6"/>
  <c r="G481" i="10" s="1"/>
  <c r="Q427" i="6"/>
  <c r="AD481" i="10" s="1"/>
  <c r="L427" i="6"/>
  <c r="S481" i="10" s="1"/>
  <c r="S427" i="6"/>
  <c r="AJ481" i="10" s="1"/>
  <c r="T427" i="6"/>
  <c r="AL481" i="10" s="1"/>
  <c r="D429" i="6"/>
  <c r="C428" i="6"/>
  <c r="E429" i="6"/>
  <c r="M428" i="6" l="1"/>
  <c r="W482" i="10" s="1"/>
  <c r="Z428" i="6"/>
  <c r="AP482" i="10" s="1"/>
  <c r="C482" i="10"/>
  <c r="Q480" i="10"/>
  <c r="Y480" i="10"/>
  <c r="W427" i="6"/>
  <c r="V427" i="6"/>
  <c r="P428" i="6"/>
  <c r="Z482" i="10" s="1"/>
  <c r="T428" i="6"/>
  <c r="AL482" i="10" s="1"/>
  <c r="Y428" i="6"/>
  <c r="AR482" i="10" s="1"/>
  <c r="U428" i="6"/>
  <c r="AN482" i="10" s="1"/>
  <c r="J428" i="6"/>
  <c r="O482" i="10" s="1"/>
  <c r="F428" i="6"/>
  <c r="G482" i="10" s="1"/>
  <c r="R428" i="6"/>
  <c r="AH482" i="10" s="1"/>
  <c r="G428" i="6"/>
  <c r="I482" i="10" s="1"/>
  <c r="L428" i="6"/>
  <c r="S482" i="10" s="1"/>
  <c r="Q428" i="6"/>
  <c r="AD482" i="10" s="1"/>
  <c r="I428" i="6"/>
  <c r="M482" i="10" s="1"/>
  <c r="H428" i="6"/>
  <c r="K482" i="10" s="1"/>
  <c r="N428" i="6"/>
  <c r="U482" i="10" s="1"/>
  <c r="S428" i="6"/>
  <c r="AJ482" i="10" s="1"/>
  <c r="X428" i="6"/>
  <c r="O427" i="6"/>
  <c r="D430" i="6"/>
  <c r="C429" i="6"/>
  <c r="E430" i="6"/>
  <c r="M429" i="6" l="1"/>
  <c r="W483" i="10" s="1"/>
  <c r="Z429" i="6"/>
  <c r="AP483" i="10" s="1"/>
  <c r="Y481" i="10"/>
  <c r="K427" i="6"/>
  <c r="Q481" i="10" s="1"/>
  <c r="C483" i="10"/>
  <c r="W428" i="6"/>
  <c r="V428" i="6"/>
  <c r="T429" i="6"/>
  <c r="AL483" i="10" s="1"/>
  <c r="J429" i="6"/>
  <c r="O483" i="10" s="1"/>
  <c r="U429" i="6"/>
  <c r="AN483" i="10" s="1"/>
  <c r="X429" i="6"/>
  <c r="F429" i="6"/>
  <c r="G483" i="10" s="1"/>
  <c r="R429" i="6"/>
  <c r="AH483" i="10" s="1"/>
  <c r="I429" i="6"/>
  <c r="M483" i="10" s="1"/>
  <c r="Q429" i="6"/>
  <c r="AD483" i="10" s="1"/>
  <c r="S429" i="6"/>
  <c r="AJ483" i="10" s="1"/>
  <c r="Y429" i="6"/>
  <c r="AR483" i="10" s="1"/>
  <c r="N429" i="6"/>
  <c r="U483" i="10" s="1"/>
  <c r="H429" i="6"/>
  <c r="K483" i="10" s="1"/>
  <c r="L429" i="6"/>
  <c r="S483" i="10" s="1"/>
  <c r="P429" i="6"/>
  <c r="Z483" i="10" s="1"/>
  <c r="G429" i="6"/>
  <c r="I483" i="10" s="1"/>
  <c r="O428" i="6"/>
  <c r="K428" i="6" s="1"/>
  <c r="D431" i="6"/>
  <c r="C430" i="6"/>
  <c r="E431" i="6"/>
  <c r="M430" i="6" l="1"/>
  <c r="W484" i="10" s="1"/>
  <c r="Z430" i="6"/>
  <c r="AP484" i="10" s="1"/>
  <c r="C484" i="10"/>
  <c r="Q482" i="10"/>
  <c r="Y482" i="10"/>
  <c r="V429" i="6"/>
  <c r="W429" i="6"/>
  <c r="O429" i="6"/>
  <c r="G430" i="6"/>
  <c r="I484" i="10" s="1"/>
  <c r="R430" i="6"/>
  <c r="AH484" i="10" s="1"/>
  <c r="H430" i="6"/>
  <c r="K484" i="10" s="1"/>
  <c r="T430" i="6"/>
  <c r="AL484" i="10" s="1"/>
  <c r="L430" i="6"/>
  <c r="S484" i="10" s="1"/>
  <c r="I430" i="6"/>
  <c r="M484" i="10" s="1"/>
  <c r="Q430" i="6"/>
  <c r="AD484" i="10" s="1"/>
  <c r="Y430" i="6"/>
  <c r="AR484" i="10" s="1"/>
  <c r="N430" i="6"/>
  <c r="U484" i="10" s="1"/>
  <c r="F430" i="6"/>
  <c r="G484" i="10" s="1"/>
  <c r="J430" i="6"/>
  <c r="O484" i="10" s="1"/>
  <c r="P430" i="6"/>
  <c r="Z484" i="10" s="1"/>
  <c r="S430" i="6"/>
  <c r="AJ484" i="10" s="1"/>
  <c r="X430" i="6"/>
  <c r="U430" i="6"/>
  <c r="AN484" i="10" s="1"/>
  <c r="D432" i="6"/>
  <c r="C431" i="6"/>
  <c r="E432" i="6"/>
  <c r="M431" i="6" l="1"/>
  <c r="W485" i="10" s="1"/>
  <c r="Z431" i="6"/>
  <c r="AP485" i="10" s="1"/>
  <c r="Y483" i="10"/>
  <c r="K429" i="6"/>
  <c r="Q483" i="10" s="1"/>
  <c r="C485" i="10"/>
  <c r="W430" i="6"/>
  <c r="V430" i="6"/>
  <c r="Y431" i="6"/>
  <c r="AR485" i="10" s="1"/>
  <c r="X431" i="6"/>
  <c r="H431" i="6"/>
  <c r="K485" i="10" s="1"/>
  <c r="Q431" i="6"/>
  <c r="AD485" i="10" s="1"/>
  <c r="F431" i="6"/>
  <c r="G485" i="10" s="1"/>
  <c r="L431" i="6"/>
  <c r="S485" i="10" s="1"/>
  <c r="T431" i="6"/>
  <c r="AL485" i="10" s="1"/>
  <c r="U431" i="6"/>
  <c r="AN485" i="10" s="1"/>
  <c r="G431" i="6"/>
  <c r="I485" i="10" s="1"/>
  <c r="N431" i="6"/>
  <c r="U485" i="10" s="1"/>
  <c r="S431" i="6"/>
  <c r="AJ485" i="10" s="1"/>
  <c r="P431" i="6"/>
  <c r="Z485" i="10" s="1"/>
  <c r="I431" i="6"/>
  <c r="M485" i="10" s="1"/>
  <c r="J431" i="6"/>
  <c r="O485" i="10" s="1"/>
  <c r="R431" i="6"/>
  <c r="AH485" i="10" s="1"/>
  <c r="O430" i="6"/>
  <c r="D433" i="6"/>
  <c r="C432" i="6"/>
  <c r="E433" i="6"/>
  <c r="M432" i="6" l="1"/>
  <c r="W486" i="10" s="1"/>
  <c r="Z432" i="6"/>
  <c r="AP486" i="10" s="1"/>
  <c r="Y484" i="10"/>
  <c r="K430" i="6"/>
  <c r="Q484" i="10" s="1"/>
  <c r="C486" i="10"/>
  <c r="V431" i="6"/>
  <c r="W431" i="6"/>
  <c r="O431" i="6"/>
  <c r="G432" i="6"/>
  <c r="I486" i="10" s="1"/>
  <c r="L432" i="6"/>
  <c r="S486" i="10" s="1"/>
  <c r="S432" i="6"/>
  <c r="AJ486" i="10" s="1"/>
  <c r="H432" i="6"/>
  <c r="K486" i="10" s="1"/>
  <c r="N432" i="6"/>
  <c r="U486" i="10" s="1"/>
  <c r="T432" i="6"/>
  <c r="AL486" i="10" s="1"/>
  <c r="I432" i="6"/>
  <c r="M486" i="10" s="1"/>
  <c r="P432" i="6"/>
  <c r="Z486" i="10" s="1"/>
  <c r="Y432" i="6"/>
  <c r="AR486" i="10" s="1"/>
  <c r="U432" i="6"/>
  <c r="AN486" i="10" s="1"/>
  <c r="X432" i="6"/>
  <c r="R432" i="6"/>
  <c r="AH486" i="10" s="1"/>
  <c r="F432" i="6"/>
  <c r="G486" i="10" s="1"/>
  <c r="J432" i="6"/>
  <c r="O486" i="10" s="1"/>
  <c r="Q432" i="6"/>
  <c r="AD486" i="10" s="1"/>
  <c r="D434" i="6"/>
  <c r="C433" i="6"/>
  <c r="E434" i="6"/>
  <c r="M433" i="6" l="1"/>
  <c r="W487" i="10" s="1"/>
  <c r="Z433" i="6"/>
  <c r="AP487" i="10" s="1"/>
  <c r="Y485" i="10"/>
  <c r="K431" i="6"/>
  <c r="Q485" i="10" s="1"/>
  <c r="C487" i="10"/>
  <c r="V432" i="6"/>
  <c r="W432" i="6"/>
  <c r="O432" i="6"/>
  <c r="K432" i="6" s="1"/>
  <c r="J433" i="6"/>
  <c r="O487" i="10" s="1"/>
  <c r="S433" i="6"/>
  <c r="AJ487" i="10" s="1"/>
  <c r="P433" i="6"/>
  <c r="Z487" i="10" s="1"/>
  <c r="T433" i="6"/>
  <c r="AL487" i="10" s="1"/>
  <c r="I433" i="6"/>
  <c r="M487" i="10" s="1"/>
  <c r="X433" i="6"/>
  <c r="U433" i="6"/>
  <c r="AN487" i="10" s="1"/>
  <c r="R433" i="6"/>
  <c r="AH487" i="10" s="1"/>
  <c r="Q433" i="6"/>
  <c r="AD487" i="10" s="1"/>
  <c r="N433" i="6"/>
  <c r="U487" i="10" s="1"/>
  <c r="F433" i="6"/>
  <c r="G487" i="10" s="1"/>
  <c r="G433" i="6"/>
  <c r="I487" i="10" s="1"/>
  <c r="Y433" i="6"/>
  <c r="AR487" i="10" s="1"/>
  <c r="H433" i="6"/>
  <c r="K487" i="10" s="1"/>
  <c r="L433" i="6"/>
  <c r="S487" i="10" s="1"/>
  <c r="D435" i="6"/>
  <c r="C434" i="6"/>
  <c r="E435" i="6"/>
  <c r="M434" i="6" l="1"/>
  <c r="W488" i="10" s="1"/>
  <c r="Z434" i="6"/>
  <c r="AP488" i="10" s="1"/>
  <c r="C488" i="10"/>
  <c r="Q486" i="10"/>
  <c r="Y486" i="10"/>
  <c r="W433" i="6"/>
  <c r="V433" i="6"/>
  <c r="N434" i="6"/>
  <c r="U488" i="10" s="1"/>
  <c r="Y434" i="6"/>
  <c r="AR488" i="10" s="1"/>
  <c r="L434" i="6"/>
  <c r="S488" i="10" s="1"/>
  <c r="X434" i="6"/>
  <c r="I434" i="6"/>
  <c r="M488" i="10" s="1"/>
  <c r="S434" i="6"/>
  <c r="AJ488" i="10" s="1"/>
  <c r="U434" i="6"/>
  <c r="AN488" i="10" s="1"/>
  <c r="P434" i="6"/>
  <c r="Z488" i="10" s="1"/>
  <c r="H434" i="6"/>
  <c r="K488" i="10" s="1"/>
  <c r="Q434" i="6"/>
  <c r="AD488" i="10" s="1"/>
  <c r="T434" i="6"/>
  <c r="AL488" i="10" s="1"/>
  <c r="G434" i="6"/>
  <c r="I488" i="10" s="1"/>
  <c r="F434" i="6"/>
  <c r="G488" i="10" s="1"/>
  <c r="R434" i="6"/>
  <c r="AH488" i="10" s="1"/>
  <c r="J434" i="6"/>
  <c r="O488" i="10" s="1"/>
  <c r="O433" i="6"/>
  <c r="D436" i="6"/>
  <c r="C435" i="6"/>
  <c r="E436" i="6"/>
  <c r="M435" i="6" l="1"/>
  <c r="W489" i="10" s="1"/>
  <c r="Z435" i="6"/>
  <c r="AP489" i="10" s="1"/>
  <c r="Y487" i="10"/>
  <c r="K433" i="6"/>
  <c r="Q487" i="10" s="1"/>
  <c r="C489" i="10"/>
  <c r="W434" i="6"/>
  <c r="V434" i="6"/>
  <c r="O434" i="6"/>
  <c r="X435" i="6"/>
  <c r="I435" i="6"/>
  <c r="M489" i="10" s="1"/>
  <c r="S435" i="6"/>
  <c r="AJ489" i="10" s="1"/>
  <c r="U435" i="6"/>
  <c r="AN489" i="10" s="1"/>
  <c r="L435" i="6"/>
  <c r="S489" i="10" s="1"/>
  <c r="N435" i="6"/>
  <c r="U489" i="10" s="1"/>
  <c r="Y435" i="6"/>
  <c r="AR489" i="10" s="1"/>
  <c r="G435" i="6"/>
  <c r="I489" i="10" s="1"/>
  <c r="Q435" i="6"/>
  <c r="AD489" i="10" s="1"/>
  <c r="P435" i="6"/>
  <c r="Z489" i="10" s="1"/>
  <c r="H435" i="6"/>
  <c r="K489" i="10" s="1"/>
  <c r="J435" i="6"/>
  <c r="O489" i="10" s="1"/>
  <c r="R435" i="6"/>
  <c r="AH489" i="10" s="1"/>
  <c r="F435" i="6"/>
  <c r="G489" i="10" s="1"/>
  <c r="T435" i="6"/>
  <c r="AL489" i="10" s="1"/>
  <c r="D437" i="6"/>
  <c r="C436" i="6"/>
  <c r="E437" i="6"/>
  <c r="M436" i="6" l="1"/>
  <c r="W490" i="10" s="1"/>
  <c r="Z436" i="6"/>
  <c r="AP490" i="10" s="1"/>
  <c r="Y488" i="10"/>
  <c r="K434" i="6"/>
  <c r="Q488" i="10" s="1"/>
  <c r="C490" i="10"/>
  <c r="V435" i="6"/>
  <c r="W435" i="6"/>
  <c r="O435" i="6"/>
  <c r="H436" i="6"/>
  <c r="K490" i="10" s="1"/>
  <c r="I436" i="6"/>
  <c r="M490" i="10" s="1"/>
  <c r="Y436" i="6"/>
  <c r="AR490" i="10" s="1"/>
  <c r="F436" i="6"/>
  <c r="G490" i="10" s="1"/>
  <c r="X436" i="6"/>
  <c r="N436" i="6"/>
  <c r="U490" i="10" s="1"/>
  <c r="L436" i="6"/>
  <c r="S490" i="10" s="1"/>
  <c r="P436" i="6"/>
  <c r="Z490" i="10" s="1"/>
  <c r="J436" i="6"/>
  <c r="O490" i="10" s="1"/>
  <c r="S436" i="6"/>
  <c r="AJ490" i="10" s="1"/>
  <c r="U436" i="6"/>
  <c r="AN490" i="10" s="1"/>
  <c r="G436" i="6"/>
  <c r="I490" i="10" s="1"/>
  <c r="R436" i="6"/>
  <c r="AH490" i="10" s="1"/>
  <c r="T436" i="6"/>
  <c r="AL490" i="10" s="1"/>
  <c r="Q436" i="6"/>
  <c r="AD490" i="10" s="1"/>
  <c r="D438" i="6"/>
  <c r="C437" i="6"/>
  <c r="E438" i="6"/>
  <c r="M437" i="6" l="1"/>
  <c r="W491" i="10" s="1"/>
  <c r="Z437" i="6"/>
  <c r="AP491" i="10" s="1"/>
  <c r="Y489" i="10"/>
  <c r="K435" i="6"/>
  <c r="Q489" i="10" s="1"/>
  <c r="C491" i="10"/>
  <c r="V436" i="6"/>
  <c r="W436" i="6"/>
  <c r="O436" i="6"/>
  <c r="K436" i="6" s="1"/>
  <c r="F437" i="6"/>
  <c r="G491" i="10" s="1"/>
  <c r="Q437" i="6"/>
  <c r="AD491" i="10" s="1"/>
  <c r="U437" i="6"/>
  <c r="AN491" i="10" s="1"/>
  <c r="I437" i="6"/>
  <c r="M491" i="10" s="1"/>
  <c r="X437" i="6"/>
  <c r="S437" i="6"/>
  <c r="AJ491" i="10" s="1"/>
  <c r="L437" i="6"/>
  <c r="S491" i="10" s="1"/>
  <c r="Y437" i="6"/>
  <c r="AR491" i="10" s="1"/>
  <c r="J437" i="6"/>
  <c r="O491" i="10" s="1"/>
  <c r="P437" i="6"/>
  <c r="Z491" i="10" s="1"/>
  <c r="H437" i="6"/>
  <c r="K491" i="10" s="1"/>
  <c r="N437" i="6"/>
  <c r="U491" i="10" s="1"/>
  <c r="G437" i="6"/>
  <c r="I491" i="10" s="1"/>
  <c r="R437" i="6"/>
  <c r="AH491" i="10" s="1"/>
  <c r="T437" i="6"/>
  <c r="AL491" i="10" s="1"/>
  <c r="D439" i="6"/>
  <c r="C438" i="6"/>
  <c r="E439" i="6"/>
  <c r="M438" i="6" l="1"/>
  <c r="W492" i="10" s="1"/>
  <c r="Z438" i="6"/>
  <c r="AP492" i="10" s="1"/>
  <c r="C492" i="10"/>
  <c r="Q490" i="10"/>
  <c r="Y490" i="10"/>
  <c r="W437" i="6"/>
  <c r="V437" i="6"/>
  <c r="G438" i="6"/>
  <c r="I492" i="10" s="1"/>
  <c r="Y438" i="6"/>
  <c r="AR492" i="10" s="1"/>
  <c r="R438" i="6"/>
  <c r="AH492" i="10" s="1"/>
  <c r="F438" i="6"/>
  <c r="G492" i="10" s="1"/>
  <c r="N438" i="6"/>
  <c r="U492" i="10" s="1"/>
  <c r="Q438" i="6"/>
  <c r="AD492" i="10" s="1"/>
  <c r="H438" i="6"/>
  <c r="K492" i="10" s="1"/>
  <c r="I438" i="6"/>
  <c r="M492" i="10" s="1"/>
  <c r="P438" i="6"/>
  <c r="Z492" i="10" s="1"/>
  <c r="T438" i="6"/>
  <c r="AL492" i="10" s="1"/>
  <c r="S438" i="6"/>
  <c r="AJ492" i="10" s="1"/>
  <c r="J438" i="6"/>
  <c r="O492" i="10" s="1"/>
  <c r="U438" i="6"/>
  <c r="AN492" i="10" s="1"/>
  <c r="X438" i="6"/>
  <c r="L438" i="6"/>
  <c r="S492" i="10" s="1"/>
  <c r="O437" i="6"/>
  <c r="D440" i="6"/>
  <c r="C439" i="6"/>
  <c r="E440" i="6"/>
  <c r="M439" i="6" l="1"/>
  <c r="W493" i="10" s="1"/>
  <c r="Z439" i="6"/>
  <c r="AP493" i="10" s="1"/>
  <c r="Y491" i="10"/>
  <c r="K437" i="6"/>
  <c r="Q491" i="10" s="1"/>
  <c r="C493" i="10"/>
  <c r="V438" i="6"/>
  <c r="W438" i="6"/>
  <c r="Q439" i="6"/>
  <c r="AD493" i="10" s="1"/>
  <c r="R439" i="6"/>
  <c r="AH493" i="10" s="1"/>
  <c r="G439" i="6"/>
  <c r="I493" i="10" s="1"/>
  <c r="J439" i="6"/>
  <c r="O493" i="10" s="1"/>
  <c r="S439" i="6"/>
  <c r="AJ493" i="10" s="1"/>
  <c r="L439" i="6"/>
  <c r="S493" i="10" s="1"/>
  <c r="F439" i="6"/>
  <c r="G493" i="10" s="1"/>
  <c r="T439" i="6"/>
  <c r="AL493" i="10" s="1"/>
  <c r="X439" i="6"/>
  <c r="Y439" i="6"/>
  <c r="AR493" i="10" s="1"/>
  <c r="I439" i="6"/>
  <c r="M493" i="10" s="1"/>
  <c r="P439" i="6"/>
  <c r="Z493" i="10" s="1"/>
  <c r="U439" i="6"/>
  <c r="AN493" i="10" s="1"/>
  <c r="H439" i="6"/>
  <c r="K493" i="10" s="1"/>
  <c r="N439" i="6"/>
  <c r="U493" i="10" s="1"/>
  <c r="O438" i="6"/>
  <c r="D441" i="6"/>
  <c r="C440" i="6"/>
  <c r="E441" i="6"/>
  <c r="M440" i="6" l="1"/>
  <c r="W494" i="10" s="1"/>
  <c r="Z440" i="6"/>
  <c r="AP494" i="10" s="1"/>
  <c r="Y492" i="10"/>
  <c r="K438" i="6"/>
  <c r="Q492" i="10" s="1"/>
  <c r="C494" i="10"/>
  <c r="V439" i="6"/>
  <c r="W439" i="6"/>
  <c r="O439" i="6"/>
  <c r="K439" i="6" s="1"/>
  <c r="Q440" i="6"/>
  <c r="AD494" i="10" s="1"/>
  <c r="G440" i="6"/>
  <c r="I494" i="10" s="1"/>
  <c r="J440" i="6"/>
  <c r="O494" i="10" s="1"/>
  <c r="P440" i="6"/>
  <c r="Z494" i="10" s="1"/>
  <c r="R440" i="6"/>
  <c r="AH494" i="10" s="1"/>
  <c r="F440" i="6"/>
  <c r="G494" i="10" s="1"/>
  <c r="L440" i="6"/>
  <c r="S494" i="10" s="1"/>
  <c r="H440" i="6"/>
  <c r="K494" i="10" s="1"/>
  <c r="X440" i="6"/>
  <c r="N440" i="6"/>
  <c r="U494" i="10" s="1"/>
  <c r="U440" i="6"/>
  <c r="AN494" i="10" s="1"/>
  <c r="I440" i="6"/>
  <c r="M494" i="10" s="1"/>
  <c r="T440" i="6"/>
  <c r="AL494" i="10" s="1"/>
  <c r="Y440" i="6"/>
  <c r="AR494" i="10" s="1"/>
  <c r="S440" i="6"/>
  <c r="AJ494" i="10" s="1"/>
  <c r="D442" i="6"/>
  <c r="C441" i="6"/>
  <c r="E442" i="6"/>
  <c r="M441" i="6" l="1"/>
  <c r="W495" i="10" s="1"/>
  <c r="Z441" i="6"/>
  <c r="AP495" i="10" s="1"/>
  <c r="C495" i="10"/>
  <c r="Q493" i="10"/>
  <c r="Y493" i="10"/>
  <c r="W440" i="6"/>
  <c r="V440" i="6"/>
  <c r="O440" i="6"/>
  <c r="K440" i="6" s="1"/>
  <c r="S441" i="6"/>
  <c r="AJ495" i="10" s="1"/>
  <c r="F441" i="6"/>
  <c r="G495" i="10" s="1"/>
  <c r="X441" i="6"/>
  <c r="Q441" i="6"/>
  <c r="AD495" i="10" s="1"/>
  <c r="P441" i="6"/>
  <c r="Z495" i="10" s="1"/>
  <c r="H441" i="6"/>
  <c r="K495" i="10" s="1"/>
  <c r="L441" i="6"/>
  <c r="S495" i="10" s="1"/>
  <c r="T441" i="6"/>
  <c r="AL495" i="10" s="1"/>
  <c r="I441" i="6"/>
  <c r="M495" i="10" s="1"/>
  <c r="N441" i="6"/>
  <c r="U495" i="10" s="1"/>
  <c r="Y441" i="6"/>
  <c r="AR495" i="10" s="1"/>
  <c r="U441" i="6"/>
  <c r="AN495" i="10" s="1"/>
  <c r="G441" i="6"/>
  <c r="I495" i="10" s="1"/>
  <c r="J441" i="6"/>
  <c r="O495" i="10" s="1"/>
  <c r="R441" i="6"/>
  <c r="AH495" i="10" s="1"/>
  <c r="D443" i="6"/>
  <c r="C442" i="6"/>
  <c r="E443" i="6"/>
  <c r="M442" i="6" l="1"/>
  <c r="W496" i="10" s="1"/>
  <c r="Z442" i="6"/>
  <c r="AP496" i="10" s="1"/>
  <c r="C496" i="10"/>
  <c r="Q494" i="10"/>
  <c r="Y494" i="10"/>
  <c r="V441" i="6"/>
  <c r="W441" i="6"/>
  <c r="Q442" i="6"/>
  <c r="AD496" i="10" s="1"/>
  <c r="R442" i="6"/>
  <c r="AH496" i="10" s="1"/>
  <c r="F442" i="6"/>
  <c r="G496" i="10" s="1"/>
  <c r="J442" i="6"/>
  <c r="O496" i="10" s="1"/>
  <c r="X442" i="6"/>
  <c r="H442" i="6"/>
  <c r="K496" i="10" s="1"/>
  <c r="G442" i="6"/>
  <c r="I496" i="10" s="1"/>
  <c r="L442" i="6"/>
  <c r="S496" i="10" s="1"/>
  <c r="N442" i="6"/>
  <c r="U496" i="10" s="1"/>
  <c r="Y442" i="6"/>
  <c r="AR496" i="10" s="1"/>
  <c r="S442" i="6"/>
  <c r="AJ496" i="10" s="1"/>
  <c r="P442" i="6"/>
  <c r="Z496" i="10" s="1"/>
  <c r="I442" i="6"/>
  <c r="M496" i="10" s="1"/>
  <c r="T442" i="6"/>
  <c r="AL496" i="10" s="1"/>
  <c r="U442" i="6"/>
  <c r="AN496" i="10" s="1"/>
  <c r="O441" i="6"/>
  <c r="K441" i="6" s="1"/>
  <c r="D444" i="6"/>
  <c r="C443" i="6"/>
  <c r="E444" i="6"/>
  <c r="M443" i="6" l="1"/>
  <c r="W497" i="10" s="1"/>
  <c r="Z443" i="6"/>
  <c r="AP497" i="10" s="1"/>
  <c r="C497" i="10"/>
  <c r="Q495" i="10"/>
  <c r="Y495" i="10"/>
  <c r="V442" i="6"/>
  <c r="W442" i="6"/>
  <c r="O442" i="6"/>
  <c r="K442" i="6" s="1"/>
  <c r="U443" i="6"/>
  <c r="AN497" i="10" s="1"/>
  <c r="L443" i="6"/>
  <c r="S497" i="10" s="1"/>
  <c r="Q443" i="6"/>
  <c r="AD497" i="10" s="1"/>
  <c r="P443" i="6"/>
  <c r="Z497" i="10" s="1"/>
  <c r="N443" i="6"/>
  <c r="U497" i="10" s="1"/>
  <c r="F443" i="6"/>
  <c r="G497" i="10" s="1"/>
  <c r="Y443" i="6"/>
  <c r="AR497" i="10" s="1"/>
  <c r="S443" i="6"/>
  <c r="AJ497" i="10" s="1"/>
  <c r="H443" i="6"/>
  <c r="K497" i="10" s="1"/>
  <c r="G443" i="6"/>
  <c r="I497" i="10" s="1"/>
  <c r="J443" i="6"/>
  <c r="O497" i="10" s="1"/>
  <c r="X443" i="6"/>
  <c r="T443" i="6"/>
  <c r="AL497" i="10" s="1"/>
  <c r="R443" i="6"/>
  <c r="AH497" i="10" s="1"/>
  <c r="I443" i="6"/>
  <c r="M497" i="10" s="1"/>
  <c r="D445" i="6"/>
  <c r="C444" i="6"/>
  <c r="E445" i="6"/>
  <c r="M444" i="6" l="1"/>
  <c r="W498" i="10" s="1"/>
  <c r="Z444" i="6"/>
  <c r="AP498" i="10" s="1"/>
  <c r="C498" i="10"/>
  <c r="Q496" i="10"/>
  <c r="Y496" i="10"/>
  <c r="W443" i="6"/>
  <c r="V443" i="6"/>
  <c r="T444" i="6"/>
  <c r="AL498" i="10" s="1"/>
  <c r="X444" i="6"/>
  <c r="F444" i="6"/>
  <c r="G498" i="10" s="1"/>
  <c r="S444" i="6"/>
  <c r="AJ498" i="10" s="1"/>
  <c r="R444" i="6"/>
  <c r="AH498" i="10" s="1"/>
  <c r="H444" i="6"/>
  <c r="K498" i="10" s="1"/>
  <c r="L444" i="6"/>
  <c r="S498" i="10" s="1"/>
  <c r="P444" i="6"/>
  <c r="Z498" i="10" s="1"/>
  <c r="U444" i="6"/>
  <c r="AN498" i="10" s="1"/>
  <c r="G444" i="6"/>
  <c r="I498" i="10" s="1"/>
  <c r="J444" i="6"/>
  <c r="O498" i="10" s="1"/>
  <c r="Y444" i="6"/>
  <c r="AR498" i="10" s="1"/>
  <c r="I444" i="6"/>
  <c r="M498" i="10" s="1"/>
  <c r="N444" i="6"/>
  <c r="U498" i="10" s="1"/>
  <c r="Q444" i="6"/>
  <c r="AD498" i="10" s="1"/>
  <c r="O443" i="6"/>
  <c r="K443" i="6" s="1"/>
  <c r="D446" i="6"/>
  <c r="C445" i="6"/>
  <c r="E446" i="6"/>
  <c r="M445" i="6" l="1"/>
  <c r="W499" i="10" s="1"/>
  <c r="Z445" i="6"/>
  <c r="AP499" i="10" s="1"/>
  <c r="C499" i="10"/>
  <c r="Q497" i="10"/>
  <c r="Y497" i="10"/>
  <c r="V444" i="6"/>
  <c r="W444" i="6"/>
  <c r="H445" i="6"/>
  <c r="K499" i="10" s="1"/>
  <c r="L445" i="6"/>
  <c r="S499" i="10" s="1"/>
  <c r="N445" i="6"/>
  <c r="U499" i="10" s="1"/>
  <c r="Q445" i="6"/>
  <c r="AD499" i="10" s="1"/>
  <c r="P445" i="6"/>
  <c r="Z499" i="10" s="1"/>
  <c r="T445" i="6"/>
  <c r="AL499" i="10" s="1"/>
  <c r="Y445" i="6"/>
  <c r="AR499" i="10" s="1"/>
  <c r="F445" i="6"/>
  <c r="G499" i="10" s="1"/>
  <c r="X445" i="6"/>
  <c r="I445" i="6"/>
  <c r="M499" i="10" s="1"/>
  <c r="J445" i="6"/>
  <c r="O499" i="10" s="1"/>
  <c r="S445" i="6"/>
  <c r="AJ499" i="10" s="1"/>
  <c r="G445" i="6"/>
  <c r="I499" i="10" s="1"/>
  <c r="R445" i="6"/>
  <c r="AH499" i="10" s="1"/>
  <c r="U445" i="6"/>
  <c r="AN499" i="10" s="1"/>
  <c r="O444" i="6"/>
  <c r="K444" i="6" s="1"/>
  <c r="D447" i="6"/>
  <c r="C446" i="6"/>
  <c r="E447" i="6"/>
  <c r="M446" i="6" l="1"/>
  <c r="W500" i="10" s="1"/>
  <c r="Z446" i="6"/>
  <c r="AP500" i="10" s="1"/>
  <c r="C500" i="10"/>
  <c r="Q498" i="10"/>
  <c r="Y498" i="10"/>
  <c r="W445" i="6"/>
  <c r="V445" i="6"/>
  <c r="O445" i="6"/>
  <c r="K445" i="6" s="1"/>
  <c r="G446" i="6"/>
  <c r="I500" i="10" s="1"/>
  <c r="L446" i="6"/>
  <c r="S500" i="10" s="1"/>
  <c r="R446" i="6"/>
  <c r="AH500" i="10" s="1"/>
  <c r="Q446" i="6"/>
  <c r="AD500" i="10" s="1"/>
  <c r="S446" i="6"/>
  <c r="AJ500" i="10" s="1"/>
  <c r="U446" i="6"/>
  <c r="AN500" i="10" s="1"/>
  <c r="P446" i="6"/>
  <c r="Z500" i="10" s="1"/>
  <c r="N446" i="6"/>
  <c r="U500" i="10" s="1"/>
  <c r="I446" i="6"/>
  <c r="M500" i="10" s="1"/>
  <c r="H446" i="6"/>
  <c r="K500" i="10" s="1"/>
  <c r="T446" i="6"/>
  <c r="AL500" i="10" s="1"/>
  <c r="Y446" i="6"/>
  <c r="AR500" i="10" s="1"/>
  <c r="X446" i="6"/>
  <c r="F446" i="6"/>
  <c r="G500" i="10" s="1"/>
  <c r="J446" i="6"/>
  <c r="O500" i="10" s="1"/>
  <c r="D448" i="6"/>
  <c r="C447" i="6"/>
  <c r="E448" i="6"/>
  <c r="M447" i="6" l="1"/>
  <c r="W501" i="10" s="1"/>
  <c r="C501" i="10"/>
  <c r="Z447" i="6"/>
  <c r="AP501" i="10" s="1"/>
  <c r="Q499" i="10"/>
  <c r="Y499" i="10"/>
  <c r="V446" i="6"/>
  <c r="W446" i="6"/>
  <c r="O446" i="6"/>
  <c r="K446" i="6" s="1"/>
  <c r="Y447" i="6"/>
  <c r="AR501" i="10" s="1"/>
  <c r="X447" i="6"/>
  <c r="J447" i="6"/>
  <c r="O501" i="10" s="1"/>
  <c r="G447" i="6"/>
  <c r="I501" i="10" s="1"/>
  <c r="F447" i="6"/>
  <c r="G501" i="10" s="1"/>
  <c r="Q447" i="6"/>
  <c r="AD501" i="10" s="1"/>
  <c r="N447" i="6"/>
  <c r="U501" i="10" s="1"/>
  <c r="R447" i="6"/>
  <c r="AH501" i="10" s="1"/>
  <c r="U447" i="6"/>
  <c r="AN501" i="10" s="1"/>
  <c r="L447" i="6"/>
  <c r="S501" i="10" s="1"/>
  <c r="S447" i="6"/>
  <c r="AJ501" i="10" s="1"/>
  <c r="T447" i="6"/>
  <c r="AL501" i="10" s="1"/>
  <c r="P447" i="6"/>
  <c r="Z501" i="10" s="1"/>
  <c r="H447" i="6"/>
  <c r="K501" i="10" s="1"/>
  <c r="I447" i="6"/>
  <c r="M501" i="10" s="1"/>
  <c r="D449" i="6"/>
  <c r="C448" i="6"/>
  <c r="E449" i="6"/>
  <c r="M448" i="6" l="1"/>
  <c r="W502" i="10" s="1"/>
  <c r="C502" i="10"/>
  <c r="Z448" i="6"/>
  <c r="AP502" i="10" s="1"/>
  <c r="Q500" i="10"/>
  <c r="Y500" i="10"/>
  <c r="V447" i="6"/>
  <c r="W447" i="6"/>
  <c r="H448" i="6"/>
  <c r="K502" i="10" s="1"/>
  <c r="T448" i="6"/>
  <c r="AL502" i="10" s="1"/>
  <c r="I448" i="6"/>
  <c r="M502" i="10" s="1"/>
  <c r="P448" i="6"/>
  <c r="Z502" i="10" s="1"/>
  <c r="G448" i="6"/>
  <c r="I502" i="10" s="1"/>
  <c r="X448" i="6"/>
  <c r="Y448" i="6"/>
  <c r="AR502" i="10" s="1"/>
  <c r="N448" i="6"/>
  <c r="U502" i="10" s="1"/>
  <c r="J448" i="6"/>
  <c r="O502" i="10" s="1"/>
  <c r="R448" i="6"/>
  <c r="AH502" i="10" s="1"/>
  <c r="Q448" i="6"/>
  <c r="AD502" i="10" s="1"/>
  <c r="U448" i="6"/>
  <c r="AN502" i="10" s="1"/>
  <c r="S448" i="6"/>
  <c r="AJ502" i="10" s="1"/>
  <c r="F448" i="6"/>
  <c r="G502" i="10" s="1"/>
  <c r="L448" i="6"/>
  <c r="S502" i="10" s="1"/>
  <c r="O447" i="6"/>
  <c r="Y501" i="10" s="1"/>
  <c r="D450" i="6"/>
  <c r="C449" i="6"/>
  <c r="E450" i="6"/>
  <c r="M449" i="6" l="1"/>
  <c r="W503" i="10" s="1"/>
  <c r="C503" i="10"/>
  <c r="Z449" i="6"/>
  <c r="AP503" i="10" s="1"/>
  <c r="K447" i="6"/>
  <c r="Q501" i="10" s="1"/>
  <c r="V448" i="6"/>
  <c r="W448" i="6"/>
  <c r="F449" i="6"/>
  <c r="G503" i="10" s="1"/>
  <c r="N449" i="6"/>
  <c r="U503" i="10" s="1"/>
  <c r="Q449" i="6"/>
  <c r="AD503" i="10" s="1"/>
  <c r="I449" i="6"/>
  <c r="M503" i="10" s="1"/>
  <c r="H449" i="6"/>
  <c r="K503" i="10" s="1"/>
  <c r="X449" i="6"/>
  <c r="J449" i="6"/>
  <c r="O503" i="10" s="1"/>
  <c r="L449" i="6"/>
  <c r="S503" i="10" s="1"/>
  <c r="S449" i="6"/>
  <c r="AJ503" i="10" s="1"/>
  <c r="Y449" i="6"/>
  <c r="AR503" i="10" s="1"/>
  <c r="T449" i="6"/>
  <c r="AL503" i="10" s="1"/>
  <c r="R449" i="6"/>
  <c r="AH503" i="10" s="1"/>
  <c r="G449" i="6"/>
  <c r="I503" i="10" s="1"/>
  <c r="P449" i="6"/>
  <c r="Z503" i="10" s="1"/>
  <c r="U449" i="6"/>
  <c r="AN503" i="10" s="1"/>
  <c r="O448" i="6"/>
  <c r="D451" i="6"/>
  <c r="C450" i="6"/>
  <c r="E451" i="6"/>
  <c r="M450" i="6" l="1"/>
  <c r="W504" i="10" s="1"/>
  <c r="C504" i="10"/>
  <c r="K448" i="6"/>
  <c r="Q502" i="10" s="1"/>
  <c r="Y502" i="10"/>
  <c r="Z450" i="6"/>
  <c r="AP504" i="10" s="1"/>
  <c r="V449" i="6"/>
  <c r="W449" i="6"/>
  <c r="O449" i="6"/>
  <c r="L450" i="6"/>
  <c r="S504" i="10" s="1"/>
  <c r="R450" i="6"/>
  <c r="AH504" i="10" s="1"/>
  <c r="N450" i="6"/>
  <c r="U504" i="10" s="1"/>
  <c r="U450" i="6"/>
  <c r="AN504" i="10" s="1"/>
  <c r="S450" i="6"/>
  <c r="AJ504" i="10" s="1"/>
  <c r="G450" i="6"/>
  <c r="I504" i="10" s="1"/>
  <c r="T450" i="6"/>
  <c r="AL504" i="10" s="1"/>
  <c r="Q450" i="6"/>
  <c r="AD504" i="10" s="1"/>
  <c r="H450" i="6"/>
  <c r="K504" i="10" s="1"/>
  <c r="J450" i="6"/>
  <c r="O504" i="10" s="1"/>
  <c r="P450" i="6"/>
  <c r="Z504" i="10" s="1"/>
  <c r="I450" i="6"/>
  <c r="M504" i="10" s="1"/>
  <c r="Y450" i="6"/>
  <c r="AR504" i="10" s="1"/>
  <c r="X450" i="6"/>
  <c r="F450" i="6"/>
  <c r="G504" i="10" s="1"/>
  <c r="D452" i="6"/>
  <c r="C451" i="6"/>
  <c r="E452" i="6"/>
  <c r="M451" i="6" l="1"/>
  <c r="W505" i="10" s="1"/>
  <c r="C505" i="10"/>
  <c r="K449" i="6"/>
  <c r="Q503" i="10" s="1"/>
  <c r="Y503" i="10"/>
  <c r="Z451" i="6"/>
  <c r="AP505" i="10" s="1"/>
  <c r="W450" i="6"/>
  <c r="V450" i="6"/>
  <c r="O450" i="6"/>
  <c r="Y504" i="10" s="1"/>
  <c r="Q451" i="6"/>
  <c r="AD505" i="10" s="1"/>
  <c r="X451" i="6"/>
  <c r="G451" i="6"/>
  <c r="I505" i="10" s="1"/>
  <c r="J451" i="6"/>
  <c r="O505" i="10" s="1"/>
  <c r="P451" i="6"/>
  <c r="Z505" i="10" s="1"/>
  <c r="U451" i="6"/>
  <c r="AN505" i="10" s="1"/>
  <c r="I451" i="6"/>
  <c r="M505" i="10" s="1"/>
  <c r="H451" i="6"/>
  <c r="K505" i="10" s="1"/>
  <c r="R451" i="6"/>
  <c r="AH505" i="10" s="1"/>
  <c r="Y451" i="6"/>
  <c r="AR505" i="10" s="1"/>
  <c r="L451" i="6"/>
  <c r="S505" i="10" s="1"/>
  <c r="S451" i="6"/>
  <c r="AJ505" i="10" s="1"/>
  <c r="T451" i="6"/>
  <c r="AL505" i="10" s="1"/>
  <c r="F451" i="6"/>
  <c r="G505" i="10" s="1"/>
  <c r="N451" i="6"/>
  <c r="U505" i="10" s="1"/>
  <c r="D453" i="6"/>
  <c r="C452" i="6"/>
  <c r="E453" i="6"/>
  <c r="M452" i="6" l="1"/>
  <c r="W506" i="10" s="1"/>
  <c r="C506" i="10"/>
  <c r="Z452" i="6"/>
  <c r="AP506" i="10" s="1"/>
  <c r="K450" i="6"/>
  <c r="Q504" i="10" s="1"/>
  <c r="W451" i="6"/>
  <c r="V451" i="6"/>
  <c r="L452" i="6"/>
  <c r="S506" i="10" s="1"/>
  <c r="H452" i="6"/>
  <c r="K506" i="10" s="1"/>
  <c r="U452" i="6"/>
  <c r="AN506" i="10" s="1"/>
  <c r="T452" i="6"/>
  <c r="AL506" i="10" s="1"/>
  <c r="S452" i="6"/>
  <c r="AJ506" i="10" s="1"/>
  <c r="P452" i="6"/>
  <c r="Z506" i="10" s="1"/>
  <c r="I452" i="6"/>
  <c r="M506" i="10" s="1"/>
  <c r="R452" i="6"/>
  <c r="AH506" i="10" s="1"/>
  <c r="G452" i="6"/>
  <c r="I506" i="10" s="1"/>
  <c r="Q452" i="6"/>
  <c r="AD506" i="10" s="1"/>
  <c r="X452" i="6"/>
  <c r="J452" i="6"/>
  <c r="O506" i="10" s="1"/>
  <c r="Y452" i="6"/>
  <c r="AR506" i="10" s="1"/>
  <c r="N452" i="6"/>
  <c r="U506" i="10" s="1"/>
  <c r="F452" i="6"/>
  <c r="G506" i="10" s="1"/>
  <c r="O451" i="6"/>
  <c r="D454" i="6"/>
  <c r="C453" i="6"/>
  <c r="E454" i="6"/>
  <c r="M453" i="6" l="1"/>
  <c r="W507" i="10" s="1"/>
  <c r="C507" i="10"/>
  <c r="K451" i="6"/>
  <c r="Q505" i="10" s="1"/>
  <c r="Y505" i="10"/>
  <c r="Z453" i="6"/>
  <c r="AP507" i="10" s="1"/>
  <c r="V452" i="6"/>
  <c r="W452" i="6"/>
  <c r="O452" i="6"/>
  <c r="Y506" i="10" s="1"/>
  <c r="U453" i="6"/>
  <c r="AN507" i="10" s="1"/>
  <c r="G453" i="6"/>
  <c r="I507" i="10" s="1"/>
  <c r="L453" i="6"/>
  <c r="S507" i="10" s="1"/>
  <c r="P453" i="6"/>
  <c r="Z507" i="10" s="1"/>
  <c r="R453" i="6"/>
  <c r="AH507" i="10" s="1"/>
  <c r="T453" i="6"/>
  <c r="AL507" i="10" s="1"/>
  <c r="X453" i="6"/>
  <c r="F453" i="6"/>
  <c r="G507" i="10" s="1"/>
  <c r="H453" i="6"/>
  <c r="K507" i="10" s="1"/>
  <c r="Q453" i="6"/>
  <c r="AD507" i="10" s="1"/>
  <c r="S453" i="6"/>
  <c r="AJ507" i="10" s="1"/>
  <c r="I453" i="6"/>
  <c r="M507" i="10" s="1"/>
  <c r="Y453" i="6"/>
  <c r="AR507" i="10" s="1"/>
  <c r="J453" i="6"/>
  <c r="O507" i="10" s="1"/>
  <c r="N453" i="6"/>
  <c r="U507" i="10" s="1"/>
  <c r="D455" i="6"/>
  <c r="C454" i="6"/>
  <c r="E455" i="6"/>
  <c r="M454" i="6" l="1"/>
  <c r="W508" i="10" s="1"/>
  <c r="C508" i="10"/>
  <c r="Z454" i="6"/>
  <c r="AP508" i="10" s="1"/>
  <c r="K452" i="6"/>
  <c r="Q506" i="10" s="1"/>
  <c r="W453" i="6"/>
  <c r="V453" i="6"/>
  <c r="P454" i="6"/>
  <c r="Z508" i="10" s="1"/>
  <c r="S454" i="6"/>
  <c r="AJ508" i="10" s="1"/>
  <c r="L454" i="6"/>
  <c r="S508" i="10" s="1"/>
  <c r="N454" i="6"/>
  <c r="U508" i="10" s="1"/>
  <c r="U454" i="6"/>
  <c r="AN508" i="10" s="1"/>
  <c r="G454" i="6"/>
  <c r="I508" i="10" s="1"/>
  <c r="Q454" i="6"/>
  <c r="AD508" i="10" s="1"/>
  <c r="X454" i="6"/>
  <c r="Y454" i="6"/>
  <c r="AR508" i="10" s="1"/>
  <c r="I454" i="6"/>
  <c r="M508" i="10" s="1"/>
  <c r="T454" i="6"/>
  <c r="AL508" i="10" s="1"/>
  <c r="F454" i="6"/>
  <c r="G508" i="10" s="1"/>
  <c r="R454" i="6"/>
  <c r="AH508" i="10" s="1"/>
  <c r="H454" i="6"/>
  <c r="K508" i="10" s="1"/>
  <c r="J454" i="6"/>
  <c r="O508" i="10" s="1"/>
  <c r="O453" i="6"/>
  <c r="Y507" i="10" s="1"/>
  <c r="D456" i="6"/>
  <c r="C455" i="6"/>
  <c r="E456" i="6"/>
  <c r="M455" i="6" l="1"/>
  <c r="W509" i="10" s="1"/>
  <c r="C509" i="10"/>
  <c r="Z455" i="6"/>
  <c r="AP509" i="10" s="1"/>
  <c r="K453" i="6"/>
  <c r="Q507" i="10" s="1"/>
  <c r="V454" i="6"/>
  <c r="W454" i="6"/>
  <c r="O454" i="6"/>
  <c r="Y508" i="10" s="1"/>
  <c r="F455" i="6"/>
  <c r="G509" i="10" s="1"/>
  <c r="I455" i="6"/>
  <c r="M509" i="10" s="1"/>
  <c r="Q455" i="6"/>
  <c r="AD509" i="10" s="1"/>
  <c r="G455" i="6"/>
  <c r="I509" i="10" s="1"/>
  <c r="P455" i="6"/>
  <c r="Z509" i="10" s="1"/>
  <c r="N455" i="6"/>
  <c r="U509" i="10" s="1"/>
  <c r="L455" i="6"/>
  <c r="S509" i="10" s="1"/>
  <c r="Y455" i="6"/>
  <c r="AR509" i="10" s="1"/>
  <c r="U455" i="6"/>
  <c r="AN509" i="10" s="1"/>
  <c r="T455" i="6"/>
  <c r="AL509" i="10" s="1"/>
  <c r="H455" i="6"/>
  <c r="K509" i="10" s="1"/>
  <c r="J455" i="6"/>
  <c r="O509" i="10" s="1"/>
  <c r="R455" i="6"/>
  <c r="AH509" i="10" s="1"/>
  <c r="S455" i="6"/>
  <c r="AJ509" i="10" s="1"/>
  <c r="X455" i="6"/>
  <c r="D457" i="6"/>
  <c r="C456" i="6"/>
  <c r="E457" i="6"/>
  <c r="M456" i="6" l="1"/>
  <c r="W510" i="10" s="1"/>
  <c r="C510" i="10"/>
  <c r="Z456" i="6"/>
  <c r="AP510" i="10" s="1"/>
  <c r="K454" i="6"/>
  <c r="Q508" i="10" s="1"/>
  <c r="V455" i="6"/>
  <c r="W455" i="6"/>
  <c r="O455" i="6"/>
  <c r="Y509" i="10" s="1"/>
  <c r="T456" i="6"/>
  <c r="AL510" i="10" s="1"/>
  <c r="Y456" i="6"/>
  <c r="AR510" i="10" s="1"/>
  <c r="X456" i="6"/>
  <c r="H456" i="6"/>
  <c r="K510" i="10" s="1"/>
  <c r="N456" i="6"/>
  <c r="U510" i="10" s="1"/>
  <c r="U456" i="6"/>
  <c r="AN510" i="10" s="1"/>
  <c r="I456" i="6"/>
  <c r="M510" i="10" s="1"/>
  <c r="P456" i="6"/>
  <c r="Z510" i="10" s="1"/>
  <c r="Q456" i="6"/>
  <c r="AD510" i="10" s="1"/>
  <c r="G456" i="6"/>
  <c r="I510" i="10" s="1"/>
  <c r="J456" i="6"/>
  <c r="O510" i="10" s="1"/>
  <c r="S456" i="6"/>
  <c r="AJ510" i="10" s="1"/>
  <c r="R456" i="6"/>
  <c r="AH510" i="10" s="1"/>
  <c r="F456" i="6"/>
  <c r="G510" i="10" s="1"/>
  <c r="L456" i="6"/>
  <c r="S510" i="10" s="1"/>
  <c r="D458" i="6"/>
  <c r="C457" i="6"/>
  <c r="E458" i="6"/>
  <c r="M457" i="6" l="1"/>
  <c r="W511" i="10" s="1"/>
  <c r="C511" i="10"/>
  <c r="Z457" i="6"/>
  <c r="AP511" i="10" s="1"/>
  <c r="K455" i="6"/>
  <c r="Q509" i="10" s="1"/>
  <c r="W456" i="6"/>
  <c r="V456" i="6"/>
  <c r="Y457" i="6"/>
  <c r="AR511" i="10" s="1"/>
  <c r="I457" i="6"/>
  <c r="M511" i="10" s="1"/>
  <c r="U457" i="6"/>
  <c r="AN511" i="10" s="1"/>
  <c r="J457" i="6"/>
  <c r="O511" i="10" s="1"/>
  <c r="H457" i="6"/>
  <c r="K511" i="10" s="1"/>
  <c r="G457" i="6"/>
  <c r="I511" i="10" s="1"/>
  <c r="P457" i="6"/>
  <c r="Z511" i="10" s="1"/>
  <c r="S457" i="6"/>
  <c r="AJ511" i="10" s="1"/>
  <c r="Q457" i="6"/>
  <c r="AD511" i="10" s="1"/>
  <c r="N457" i="6"/>
  <c r="U511" i="10" s="1"/>
  <c r="L457" i="6"/>
  <c r="S511" i="10" s="1"/>
  <c r="F457" i="6"/>
  <c r="G511" i="10" s="1"/>
  <c r="R457" i="6"/>
  <c r="AH511" i="10" s="1"/>
  <c r="T457" i="6"/>
  <c r="AL511" i="10" s="1"/>
  <c r="X457" i="6"/>
  <c r="O456" i="6"/>
  <c r="D459" i="6"/>
  <c r="C458" i="6"/>
  <c r="E459" i="6"/>
  <c r="M458" i="6" l="1"/>
  <c r="W512" i="10" s="1"/>
  <c r="C512" i="10"/>
  <c r="K456" i="6"/>
  <c r="Q510" i="10" s="1"/>
  <c r="Y510" i="10"/>
  <c r="Z458" i="6"/>
  <c r="AP512" i="10" s="1"/>
  <c r="W457" i="6"/>
  <c r="V457" i="6"/>
  <c r="O457" i="6"/>
  <c r="U458" i="6"/>
  <c r="AN512" i="10" s="1"/>
  <c r="G458" i="6"/>
  <c r="I512" i="10" s="1"/>
  <c r="Y458" i="6"/>
  <c r="AR512" i="10" s="1"/>
  <c r="J458" i="6"/>
  <c r="O512" i="10" s="1"/>
  <c r="F458" i="6"/>
  <c r="G512" i="10" s="1"/>
  <c r="Q458" i="6"/>
  <c r="AD512" i="10" s="1"/>
  <c r="X458" i="6"/>
  <c r="T458" i="6"/>
  <c r="AL512" i="10" s="1"/>
  <c r="S458" i="6"/>
  <c r="AJ512" i="10" s="1"/>
  <c r="R458" i="6"/>
  <c r="AH512" i="10" s="1"/>
  <c r="H458" i="6"/>
  <c r="K512" i="10" s="1"/>
  <c r="N458" i="6"/>
  <c r="U512" i="10" s="1"/>
  <c r="I458" i="6"/>
  <c r="M512" i="10" s="1"/>
  <c r="P458" i="6"/>
  <c r="Z512" i="10" s="1"/>
  <c r="L458" i="6"/>
  <c r="S512" i="10" s="1"/>
  <c r="D460" i="6"/>
  <c r="C459" i="6"/>
  <c r="E460" i="6"/>
  <c r="M459" i="6" l="1"/>
  <c r="W513" i="10" s="1"/>
  <c r="C513" i="10"/>
  <c r="K457" i="6"/>
  <c r="Q511" i="10" s="1"/>
  <c r="Y511" i="10"/>
  <c r="Z459" i="6"/>
  <c r="AP513" i="10" s="1"/>
  <c r="V458" i="6"/>
  <c r="W458" i="6"/>
  <c r="G459" i="6"/>
  <c r="I513" i="10" s="1"/>
  <c r="X459" i="6"/>
  <c r="S459" i="6"/>
  <c r="AJ513" i="10" s="1"/>
  <c r="Y459" i="6"/>
  <c r="AR513" i="10" s="1"/>
  <c r="L459" i="6"/>
  <c r="S513" i="10" s="1"/>
  <c r="P459" i="6"/>
  <c r="Z513" i="10" s="1"/>
  <c r="N459" i="6"/>
  <c r="U513" i="10" s="1"/>
  <c r="H459" i="6"/>
  <c r="K513" i="10" s="1"/>
  <c r="J459" i="6"/>
  <c r="O513" i="10" s="1"/>
  <c r="Q459" i="6"/>
  <c r="AD513" i="10" s="1"/>
  <c r="U459" i="6"/>
  <c r="AN513" i="10" s="1"/>
  <c r="F459" i="6"/>
  <c r="G513" i="10" s="1"/>
  <c r="I459" i="6"/>
  <c r="M513" i="10" s="1"/>
  <c r="T459" i="6"/>
  <c r="AL513" i="10" s="1"/>
  <c r="R459" i="6"/>
  <c r="AH513" i="10" s="1"/>
  <c r="O458" i="6"/>
  <c r="Y512" i="10" s="1"/>
  <c r="D461" i="6"/>
  <c r="C460" i="6"/>
  <c r="E461" i="6"/>
  <c r="M460" i="6" l="1"/>
  <c r="W514" i="10" s="1"/>
  <c r="C514" i="10"/>
  <c r="Z460" i="6"/>
  <c r="AP514" i="10" s="1"/>
  <c r="K458" i="6"/>
  <c r="Q512" i="10" s="1"/>
  <c r="W459" i="6"/>
  <c r="V459" i="6"/>
  <c r="O459" i="6"/>
  <c r="Y513" i="10" s="1"/>
  <c r="F460" i="6"/>
  <c r="G514" i="10" s="1"/>
  <c r="U460" i="6"/>
  <c r="AN514" i="10" s="1"/>
  <c r="J460" i="6"/>
  <c r="O514" i="10" s="1"/>
  <c r="L460" i="6"/>
  <c r="S514" i="10" s="1"/>
  <c r="Q460" i="6"/>
  <c r="AD514" i="10" s="1"/>
  <c r="R460" i="6"/>
  <c r="AH514" i="10" s="1"/>
  <c r="N460" i="6"/>
  <c r="U514" i="10" s="1"/>
  <c r="T460" i="6"/>
  <c r="AL514" i="10" s="1"/>
  <c r="G460" i="6"/>
  <c r="I514" i="10" s="1"/>
  <c r="S460" i="6"/>
  <c r="AJ514" i="10" s="1"/>
  <c r="I460" i="6"/>
  <c r="M514" i="10" s="1"/>
  <c r="H460" i="6"/>
  <c r="K514" i="10" s="1"/>
  <c r="Y460" i="6"/>
  <c r="AR514" i="10" s="1"/>
  <c r="X460" i="6"/>
  <c r="P460" i="6"/>
  <c r="Z514" i="10" s="1"/>
  <c r="D462" i="6"/>
  <c r="C461" i="6"/>
  <c r="E462" i="6"/>
  <c r="M461" i="6" l="1"/>
  <c r="W515" i="10" s="1"/>
  <c r="C515" i="10"/>
  <c r="Z461" i="6"/>
  <c r="AP515" i="10" s="1"/>
  <c r="K459" i="6"/>
  <c r="Q513" i="10" s="1"/>
  <c r="V460" i="6"/>
  <c r="W460" i="6"/>
  <c r="O460" i="6"/>
  <c r="Y461" i="6"/>
  <c r="AR515" i="10" s="1"/>
  <c r="X461" i="6"/>
  <c r="Q461" i="6"/>
  <c r="AD515" i="10" s="1"/>
  <c r="S461" i="6"/>
  <c r="AJ515" i="10" s="1"/>
  <c r="G461" i="6"/>
  <c r="I515" i="10" s="1"/>
  <c r="T461" i="6"/>
  <c r="AL515" i="10" s="1"/>
  <c r="U461" i="6"/>
  <c r="AN515" i="10" s="1"/>
  <c r="J461" i="6"/>
  <c r="O515" i="10" s="1"/>
  <c r="P461" i="6"/>
  <c r="Z515" i="10" s="1"/>
  <c r="F461" i="6"/>
  <c r="G515" i="10" s="1"/>
  <c r="I461" i="6"/>
  <c r="M515" i="10" s="1"/>
  <c r="H461" i="6"/>
  <c r="K515" i="10" s="1"/>
  <c r="L461" i="6"/>
  <c r="S515" i="10" s="1"/>
  <c r="N461" i="6"/>
  <c r="U515" i="10" s="1"/>
  <c r="R461" i="6"/>
  <c r="AH515" i="10" s="1"/>
  <c r="D463" i="6"/>
  <c r="C462" i="6"/>
  <c r="E463" i="6"/>
  <c r="M462" i="6" l="1"/>
  <c r="K460" i="6"/>
  <c r="Q514" i="10" s="1"/>
  <c r="Y514" i="10"/>
  <c r="Z462" i="6"/>
  <c r="W461" i="6"/>
  <c r="V461" i="6"/>
  <c r="P462" i="6"/>
  <c r="H462" i="6"/>
  <c r="G462" i="6"/>
  <c r="F462" i="6"/>
  <c r="I462" i="6"/>
  <c r="Q462" i="6"/>
  <c r="T462" i="6"/>
  <c r="N462" i="6"/>
  <c r="L462" i="6"/>
  <c r="R462" i="6"/>
  <c r="U462" i="6"/>
  <c r="S462" i="6"/>
  <c r="Y462" i="6"/>
  <c r="X462" i="6"/>
  <c r="J462" i="6"/>
  <c r="O461" i="6"/>
  <c r="Y515" i="10" s="1"/>
  <c r="D464" i="6"/>
  <c r="C463" i="6"/>
  <c r="E464" i="6"/>
  <c r="M463" i="6" l="1"/>
  <c r="Z463" i="6"/>
  <c r="K461" i="6"/>
  <c r="Q515" i="10" s="1"/>
  <c r="V462" i="6"/>
  <c r="W462" i="6"/>
  <c r="Y463" i="6"/>
  <c r="F463" i="6"/>
  <c r="L463" i="6"/>
  <c r="R463" i="6"/>
  <c r="T463" i="6"/>
  <c r="G463" i="6"/>
  <c r="I463" i="6"/>
  <c r="Q463" i="6"/>
  <c r="S463" i="6"/>
  <c r="H463" i="6"/>
  <c r="N463" i="6"/>
  <c r="U463" i="6"/>
  <c r="X463" i="6"/>
  <c r="J463" i="6"/>
  <c r="P463" i="6"/>
  <c r="O462" i="6"/>
  <c r="D465" i="6"/>
  <c r="C464" i="6"/>
  <c r="E465" i="6"/>
  <c r="M464" i="6" l="1"/>
  <c r="K462" i="6"/>
  <c r="Z464" i="6"/>
  <c r="V463" i="6"/>
  <c r="W463" i="6"/>
  <c r="O463" i="6"/>
  <c r="R464" i="6"/>
  <c r="Q464" i="6"/>
  <c r="X464" i="6"/>
  <c r="T464" i="6"/>
  <c r="S464" i="6"/>
  <c r="H464" i="6"/>
  <c r="F464" i="6"/>
  <c r="G464" i="6"/>
  <c r="I464" i="6"/>
  <c r="P464" i="6"/>
  <c r="N464" i="6"/>
  <c r="U464" i="6"/>
  <c r="J464" i="6"/>
  <c r="Y464" i="6"/>
  <c r="L464" i="6"/>
  <c r="D466" i="6"/>
  <c r="C465" i="6"/>
  <c r="E466" i="6"/>
  <c r="M465" i="6" l="1"/>
  <c r="K463" i="6"/>
  <c r="Z465" i="6"/>
  <c r="V464" i="6"/>
  <c r="W464" i="6"/>
  <c r="O464" i="6"/>
  <c r="H465" i="6"/>
  <c r="I465" i="6"/>
  <c r="G465" i="6"/>
  <c r="Y465" i="6"/>
  <c r="L465" i="6"/>
  <c r="Q465" i="6"/>
  <c r="X465" i="6"/>
  <c r="J465" i="6"/>
  <c r="T465" i="6"/>
  <c r="R465" i="6"/>
  <c r="U465" i="6"/>
  <c r="S465" i="6"/>
  <c r="F465" i="6"/>
  <c r="P465" i="6"/>
  <c r="N465" i="6"/>
  <c r="D467" i="6"/>
  <c r="C466" i="6"/>
  <c r="E467" i="6"/>
  <c r="M466" i="6" l="1"/>
  <c r="Z466" i="6"/>
  <c r="K464" i="6"/>
  <c r="V465" i="6"/>
  <c r="W465" i="6"/>
  <c r="O465" i="6"/>
  <c r="F466" i="6"/>
  <c r="J466" i="6"/>
  <c r="N466" i="6"/>
  <c r="T466" i="6"/>
  <c r="X466" i="6"/>
  <c r="L466" i="6"/>
  <c r="R466" i="6"/>
  <c r="I466" i="6"/>
  <c r="U466" i="6"/>
  <c r="S466" i="6"/>
  <c r="G466" i="6"/>
  <c r="Q466" i="6"/>
  <c r="H466" i="6"/>
  <c r="Y466" i="6"/>
  <c r="P466" i="6"/>
  <c r="D468" i="6"/>
  <c r="C467" i="6"/>
  <c r="E468" i="6"/>
  <c r="M467" i="6" l="1"/>
  <c r="Z467" i="6"/>
  <c r="K465" i="6"/>
  <c r="W466" i="6"/>
  <c r="V466" i="6"/>
  <c r="O466" i="6"/>
  <c r="P467" i="6"/>
  <c r="U467" i="6"/>
  <c r="F467" i="6"/>
  <c r="N467" i="6"/>
  <c r="T467" i="6"/>
  <c r="R467" i="6"/>
  <c r="I467" i="6"/>
  <c r="J467" i="6"/>
  <c r="Q467" i="6"/>
  <c r="L467" i="6"/>
  <c r="S467" i="6"/>
  <c r="Y467" i="6"/>
  <c r="X467" i="6"/>
  <c r="G467" i="6"/>
  <c r="H467" i="6"/>
  <c r="D469" i="6"/>
  <c r="C468" i="6"/>
  <c r="E469" i="6"/>
  <c r="M468" i="6" l="1"/>
  <c r="Z468" i="6"/>
  <c r="K466" i="6"/>
  <c r="W467" i="6"/>
  <c r="V467" i="6"/>
  <c r="R468" i="6"/>
  <c r="P468" i="6"/>
  <c r="Y468" i="6"/>
  <c r="S468" i="6"/>
  <c r="G468" i="6"/>
  <c r="L468" i="6"/>
  <c r="I468" i="6"/>
  <c r="H468" i="6"/>
  <c r="N468" i="6"/>
  <c r="T468" i="6"/>
  <c r="J468" i="6"/>
  <c r="Q468" i="6"/>
  <c r="U468" i="6"/>
  <c r="F468" i="6"/>
  <c r="X468" i="6"/>
  <c r="O467" i="6"/>
  <c r="D470" i="6"/>
  <c r="C469" i="6"/>
  <c r="E470" i="6"/>
  <c r="M469" i="6" l="1"/>
  <c r="Z469" i="6"/>
  <c r="K467" i="6"/>
  <c r="W468" i="6"/>
  <c r="V468" i="6"/>
  <c r="L469" i="6"/>
  <c r="R469" i="6"/>
  <c r="P469" i="6"/>
  <c r="G469" i="6"/>
  <c r="S469" i="6"/>
  <c r="F469" i="6"/>
  <c r="X469" i="6"/>
  <c r="H469" i="6"/>
  <c r="Y469" i="6"/>
  <c r="U469" i="6"/>
  <c r="N469" i="6"/>
  <c r="J469" i="6"/>
  <c r="Q469" i="6"/>
  <c r="I469" i="6"/>
  <c r="T469" i="6"/>
  <c r="O468" i="6"/>
  <c r="D471" i="6"/>
  <c r="C470" i="6"/>
  <c r="E471" i="6"/>
  <c r="M470" i="6" l="1"/>
  <c r="Z470" i="6"/>
  <c r="K468" i="6"/>
  <c r="W469" i="6"/>
  <c r="V469" i="6"/>
  <c r="O469" i="6"/>
  <c r="S470" i="6"/>
  <c r="I470" i="6"/>
  <c r="P470" i="6"/>
  <c r="U470" i="6"/>
  <c r="J470" i="6"/>
  <c r="Q470" i="6"/>
  <c r="F470" i="6"/>
  <c r="X470" i="6"/>
  <c r="Y470" i="6"/>
  <c r="H470" i="6"/>
  <c r="T470" i="6"/>
  <c r="G470" i="6"/>
  <c r="N470" i="6"/>
  <c r="R470" i="6"/>
  <c r="L470" i="6"/>
  <c r="D472" i="6"/>
  <c r="C471" i="6"/>
  <c r="E472" i="6"/>
  <c r="M471" i="6" l="1"/>
  <c r="K469" i="6"/>
  <c r="Z471" i="6"/>
  <c r="W470" i="6"/>
  <c r="V470" i="6"/>
  <c r="U471" i="6"/>
  <c r="F471" i="6"/>
  <c r="I471" i="6"/>
  <c r="Y471" i="6"/>
  <c r="T471" i="6"/>
  <c r="X471" i="6"/>
  <c r="G471" i="6"/>
  <c r="N471" i="6"/>
  <c r="P471" i="6"/>
  <c r="L471" i="6"/>
  <c r="Q471" i="6"/>
  <c r="H471" i="6"/>
  <c r="J471" i="6"/>
  <c r="R471" i="6"/>
  <c r="S471" i="6"/>
  <c r="O470" i="6"/>
  <c r="D473" i="6"/>
  <c r="C472" i="6"/>
  <c r="E473" i="6"/>
  <c r="M472" i="6" l="1"/>
  <c r="Z472" i="6"/>
  <c r="K470" i="6"/>
  <c r="W471" i="6"/>
  <c r="V471" i="6"/>
  <c r="P472" i="6"/>
  <c r="Q472" i="6"/>
  <c r="F472" i="6"/>
  <c r="J472" i="6"/>
  <c r="S472" i="6"/>
  <c r="R472" i="6"/>
  <c r="G472" i="6"/>
  <c r="L472" i="6"/>
  <c r="T472" i="6"/>
  <c r="Y472" i="6"/>
  <c r="X472" i="6"/>
  <c r="I472" i="6"/>
  <c r="H472" i="6"/>
  <c r="N472" i="6"/>
  <c r="U472" i="6"/>
  <c r="O471" i="6"/>
  <c r="D474" i="6"/>
  <c r="C473" i="6"/>
  <c r="E474" i="6"/>
  <c r="M473" i="6" l="1"/>
  <c r="Z473" i="6"/>
  <c r="K471" i="6"/>
  <c r="W472" i="6"/>
  <c r="V472" i="6"/>
  <c r="N473" i="6"/>
  <c r="I473" i="6"/>
  <c r="Q473" i="6"/>
  <c r="J473" i="6"/>
  <c r="L473" i="6"/>
  <c r="G473" i="6"/>
  <c r="Y473" i="6"/>
  <c r="F473" i="6"/>
  <c r="R473" i="6"/>
  <c r="H473" i="6"/>
  <c r="P473" i="6"/>
  <c r="T473" i="6"/>
  <c r="S473" i="6"/>
  <c r="X473" i="6"/>
  <c r="U473" i="6"/>
  <c r="O472" i="6"/>
  <c r="D475" i="6"/>
  <c r="C474" i="6"/>
  <c r="E475" i="6"/>
  <c r="M474" i="6" l="1"/>
  <c r="Z474" i="6"/>
  <c r="K472" i="6"/>
  <c r="V473" i="6"/>
  <c r="W473" i="6"/>
  <c r="O473" i="6"/>
  <c r="G474" i="6"/>
  <c r="J474" i="6"/>
  <c r="N474" i="6"/>
  <c r="H474" i="6"/>
  <c r="Y474" i="6"/>
  <c r="U474" i="6"/>
  <c r="F474" i="6"/>
  <c r="I474" i="6"/>
  <c r="Q474" i="6"/>
  <c r="T474" i="6"/>
  <c r="P474" i="6"/>
  <c r="L474" i="6"/>
  <c r="R474" i="6"/>
  <c r="S474" i="6"/>
  <c r="X474" i="6"/>
  <c r="D476" i="6"/>
  <c r="C475" i="6"/>
  <c r="E476" i="6"/>
  <c r="M475" i="6" l="1"/>
  <c r="K473" i="6"/>
  <c r="Z475" i="6"/>
  <c r="W474" i="6"/>
  <c r="V474" i="6"/>
  <c r="H475" i="6"/>
  <c r="F475" i="6"/>
  <c r="Y475" i="6"/>
  <c r="L475" i="6"/>
  <c r="P475" i="6"/>
  <c r="S475" i="6"/>
  <c r="N475" i="6"/>
  <c r="Q475" i="6"/>
  <c r="J475" i="6"/>
  <c r="U475" i="6"/>
  <c r="X475" i="6"/>
  <c r="R475" i="6"/>
  <c r="G475" i="6"/>
  <c r="T475" i="6"/>
  <c r="I475" i="6"/>
  <c r="O474" i="6"/>
  <c r="D477" i="6"/>
  <c r="C476" i="6"/>
  <c r="E477" i="6"/>
  <c r="M476" i="6" l="1"/>
  <c r="K474" i="6"/>
  <c r="Z476" i="6"/>
  <c r="W475" i="6"/>
  <c r="V475" i="6"/>
  <c r="O475" i="6"/>
  <c r="S476" i="6"/>
  <c r="G476" i="6"/>
  <c r="P476" i="6"/>
  <c r="L476" i="6"/>
  <c r="U476" i="6"/>
  <c r="R476" i="6"/>
  <c r="F476" i="6"/>
  <c r="N476" i="6"/>
  <c r="J476" i="6"/>
  <c r="T476" i="6"/>
  <c r="Q476" i="6"/>
  <c r="I476" i="6"/>
  <c r="Y476" i="6"/>
  <c r="H476" i="6"/>
  <c r="X476" i="6"/>
  <c r="D478" i="6"/>
  <c r="C477" i="6"/>
  <c r="E478" i="6"/>
  <c r="M477" i="6" l="1"/>
  <c r="Z477" i="6"/>
  <c r="K475" i="6"/>
  <c r="V476" i="6"/>
  <c r="W476" i="6"/>
  <c r="O476" i="6"/>
  <c r="P477" i="6"/>
  <c r="S477" i="6"/>
  <c r="Q477" i="6"/>
  <c r="F477" i="6"/>
  <c r="T477" i="6"/>
  <c r="H477" i="6"/>
  <c r="J477" i="6"/>
  <c r="I477" i="6"/>
  <c r="R477" i="6"/>
  <c r="N477" i="6"/>
  <c r="U477" i="6"/>
  <c r="G477" i="6"/>
  <c r="Y477" i="6"/>
  <c r="X477" i="6"/>
  <c r="L477" i="6"/>
  <c r="D479" i="6"/>
  <c r="C478" i="6"/>
  <c r="E479" i="6"/>
  <c r="M478" i="6" l="1"/>
  <c r="K476" i="6"/>
  <c r="Z478" i="6"/>
  <c r="W477" i="6"/>
  <c r="V477" i="6"/>
  <c r="I478" i="6"/>
  <c r="U478" i="6"/>
  <c r="S478" i="6"/>
  <c r="T478" i="6"/>
  <c r="R478" i="6"/>
  <c r="L478" i="6"/>
  <c r="N478" i="6"/>
  <c r="X478" i="6"/>
  <c r="H478" i="6"/>
  <c r="F478" i="6"/>
  <c r="Y478" i="6"/>
  <c r="Q478" i="6"/>
  <c r="J478" i="6"/>
  <c r="P478" i="6"/>
  <c r="G478" i="6"/>
  <c r="O477" i="6"/>
  <c r="D480" i="6"/>
  <c r="C479" i="6"/>
  <c r="E480" i="6"/>
  <c r="M479" i="6" l="1"/>
  <c r="Z479" i="6"/>
  <c r="K477" i="6"/>
  <c r="V478" i="6"/>
  <c r="W478" i="6"/>
  <c r="O478" i="6"/>
  <c r="N479" i="6"/>
  <c r="Q479" i="6"/>
  <c r="H479" i="6"/>
  <c r="I479" i="6"/>
  <c r="P479" i="6"/>
  <c r="J479" i="6"/>
  <c r="R479" i="6"/>
  <c r="S479" i="6"/>
  <c r="T479" i="6"/>
  <c r="Y479" i="6"/>
  <c r="G479" i="6"/>
  <c r="X479" i="6"/>
  <c r="F479" i="6"/>
  <c r="L479" i="6"/>
  <c r="U479" i="6"/>
  <c r="D481" i="6"/>
  <c r="C480" i="6"/>
  <c r="E481" i="6"/>
  <c r="M480" i="6" l="1"/>
  <c r="Z480" i="6"/>
  <c r="K478" i="6"/>
  <c r="W479" i="6"/>
  <c r="V479" i="6"/>
  <c r="X480" i="6"/>
  <c r="Y480" i="6"/>
  <c r="P480" i="6"/>
  <c r="F480" i="6"/>
  <c r="J480" i="6"/>
  <c r="H480" i="6"/>
  <c r="U480" i="6"/>
  <c r="L480" i="6"/>
  <c r="S480" i="6"/>
  <c r="N480" i="6"/>
  <c r="R480" i="6"/>
  <c r="T480" i="6"/>
  <c r="I480" i="6"/>
  <c r="Q480" i="6"/>
  <c r="G480" i="6"/>
  <c r="O479" i="6"/>
  <c r="D482" i="6"/>
  <c r="C481" i="6"/>
  <c r="E482" i="6"/>
  <c r="M481" i="6" l="1"/>
  <c r="K479" i="6"/>
  <c r="Z481" i="6"/>
  <c r="V480" i="6"/>
  <c r="W480" i="6"/>
  <c r="O480" i="6"/>
  <c r="S481" i="6"/>
  <c r="Y481" i="6"/>
  <c r="F481" i="6"/>
  <c r="J481" i="6"/>
  <c r="L481" i="6"/>
  <c r="I481" i="6"/>
  <c r="X481" i="6"/>
  <c r="G481" i="6"/>
  <c r="Q481" i="6"/>
  <c r="H481" i="6"/>
  <c r="P481" i="6"/>
  <c r="N481" i="6"/>
  <c r="R481" i="6"/>
  <c r="T481" i="6"/>
  <c r="U481" i="6"/>
  <c r="D483" i="6"/>
  <c r="C482" i="6"/>
  <c r="E483" i="6"/>
  <c r="M482" i="6" l="1"/>
  <c r="Z482" i="6"/>
  <c r="K480" i="6"/>
  <c r="V481" i="6"/>
  <c r="W481" i="6"/>
  <c r="Y482" i="6"/>
  <c r="R482" i="6"/>
  <c r="I482" i="6"/>
  <c r="L482" i="6"/>
  <c r="G482" i="6"/>
  <c r="J482" i="6"/>
  <c r="X482" i="6"/>
  <c r="H482" i="6"/>
  <c r="Q482" i="6"/>
  <c r="S482" i="6"/>
  <c r="P482" i="6"/>
  <c r="N482" i="6"/>
  <c r="F482" i="6"/>
  <c r="T482" i="6"/>
  <c r="U482" i="6"/>
  <c r="O481" i="6"/>
  <c r="D484" i="6"/>
  <c r="C483" i="6"/>
  <c r="E484" i="6"/>
  <c r="M483" i="6" l="1"/>
  <c r="Z483" i="6"/>
  <c r="K481" i="6"/>
  <c r="W482" i="6"/>
  <c r="V482" i="6"/>
  <c r="O482" i="6"/>
  <c r="X483" i="6"/>
  <c r="F483" i="6"/>
  <c r="H483" i="6"/>
  <c r="R483" i="6"/>
  <c r="I483" i="6"/>
  <c r="S483" i="6"/>
  <c r="Q483" i="6"/>
  <c r="P483" i="6"/>
  <c r="G483" i="6"/>
  <c r="J483" i="6"/>
  <c r="L483" i="6"/>
  <c r="U483" i="6"/>
  <c r="Y483" i="6"/>
  <c r="N483" i="6"/>
  <c r="T483" i="6"/>
  <c r="D485" i="6"/>
  <c r="C484" i="6"/>
  <c r="E485" i="6"/>
  <c r="M484" i="6" l="1"/>
  <c r="Z484" i="6"/>
  <c r="K482" i="6"/>
  <c r="W483" i="6"/>
  <c r="V483" i="6"/>
  <c r="Y484" i="6"/>
  <c r="X484" i="6"/>
  <c r="L484" i="6"/>
  <c r="N484" i="6"/>
  <c r="T484" i="6"/>
  <c r="H484" i="6"/>
  <c r="Q484" i="6"/>
  <c r="F484" i="6"/>
  <c r="U484" i="6"/>
  <c r="S484" i="6"/>
  <c r="P484" i="6"/>
  <c r="G484" i="6"/>
  <c r="I484" i="6"/>
  <c r="J484" i="6"/>
  <c r="R484" i="6"/>
  <c r="O483" i="6"/>
  <c r="D486" i="6"/>
  <c r="C485" i="6"/>
  <c r="E486" i="6"/>
  <c r="M485" i="6" l="1"/>
  <c r="Z485" i="6"/>
  <c r="K483" i="6"/>
  <c r="V484" i="6"/>
  <c r="W484" i="6"/>
  <c r="L485" i="6"/>
  <c r="N485" i="6"/>
  <c r="T485" i="6"/>
  <c r="Q485" i="6"/>
  <c r="S485" i="6"/>
  <c r="F485" i="6"/>
  <c r="I485" i="6"/>
  <c r="U485" i="6"/>
  <c r="Y485" i="6"/>
  <c r="X485" i="6"/>
  <c r="G485" i="6"/>
  <c r="J485" i="6"/>
  <c r="R485" i="6"/>
  <c r="H485" i="6"/>
  <c r="P485" i="6"/>
  <c r="O484" i="6"/>
  <c r="D487" i="6"/>
  <c r="C486" i="6"/>
  <c r="E487" i="6"/>
  <c r="K484" i="6" l="1"/>
  <c r="M486" i="6"/>
  <c r="Z486" i="6"/>
  <c r="W485" i="6"/>
  <c r="V485" i="6"/>
  <c r="O485" i="6"/>
  <c r="S486" i="6"/>
  <c r="H486" i="6"/>
  <c r="I486" i="6"/>
  <c r="J486" i="6"/>
  <c r="R486" i="6"/>
  <c r="F486" i="6"/>
  <c r="P486" i="6"/>
  <c r="N486" i="6"/>
  <c r="L486" i="6"/>
  <c r="Y486" i="6"/>
  <c r="X486" i="6"/>
  <c r="G486" i="6"/>
  <c r="Q486" i="6"/>
  <c r="T486" i="6"/>
  <c r="U486" i="6"/>
  <c r="D488" i="6"/>
  <c r="C487" i="6"/>
  <c r="E488" i="6"/>
  <c r="K485" i="6" l="1"/>
  <c r="M487" i="6"/>
  <c r="Z487" i="6"/>
  <c r="W486" i="6"/>
  <c r="V486" i="6"/>
  <c r="O486" i="6"/>
  <c r="G487" i="6"/>
  <c r="J487" i="6"/>
  <c r="R487" i="6"/>
  <c r="X487" i="6"/>
  <c r="H487" i="6"/>
  <c r="S487" i="6"/>
  <c r="P487" i="6"/>
  <c r="L487" i="6"/>
  <c r="Q487" i="6"/>
  <c r="U487" i="6"/>
  <c r="F487" i="6"/>
  <c r="I487" i="6"/>
  <c r="N487" i="6"/>
  <c r="T487" i="6"/>
  <c r="Y487" i="6"/>
  <c r="D489" i="6"/>
  <c r="C488" i="6"/>
  <c r="E489" i="6"/>
  <c r="K486" i="6" l="1"/>
  <c r="M488" i="6"/>
  <c r="Z488" i="6"/>
  <c r="W487" i="6"/>
  <c r="V487" i="6"/>
  <c r="J488" i="6"/>
  <c r="S488" i="6"/>
  <c r="Q488" i="6"/>
  <c r="X488" i="6"/>
  <c r="L488" i="6"/>
  <c r="T488" i="6"/>
  <c r="H488" i="6"/>
  <c r="R488" i="6"/>
  <c r="U488" i="6"/>
  <c r="Y488" i="6"/>
  <c r="F488" i="6"/>
  <c r="G488" i="6"/>
  <c r="I488" i="6"/>
  <c r="P488" i="6"/>
  <c r="N488" i="6"/>
  <c r="O487" i="6"/>
  <c r="D490" i="6"/>
  <c r="C489" i="6"/>
  <c r="E490" i="6"/>
  <c r="M489" i="6" l="1"/>
  <c r="Z489" i="6"/>
  <c r="K487" i="6"/>
  <c r="V488" i="6"/>
  <c r="W488" i="6"/>
  <c r="J489" i="6"/>
  <c r="R489" i="6"/>
  <c r="U489" i="6"/>
  <c r="N489" i="6"/>
  <c r="Y489" i="6"/>
  <c r="G489" i="6"/>
  <c r="S489" i="6"/>
  <c r="L489" i="6"/>
  <c r="H489" i="6"/>
  <c r="P489" i="6"/>
  <c r="F489" i="6"/>
  <c r="Q489" i="6"/>
  <c r="X489" i="6"/>
  <c r="I489" i="6"/>
  <c r="T489" i="6"/>
  <c r="O488" i="6"/>
  <c r="D491" i="6"/>
  <c r="C490" i="6"/>
  <c r="E491" i="6"/>
  <c r="K488" i="6" l="1"/>
  <c r="M490" i="6"/>
  <c r="Z490" i="6"/>
  <c r="V489" i="6"/>
  <c r="W489" i="6"/>
  <c r="O489" i="6"/>
  <c r="S490" i="6"/>
  <c r="Y490" i="6"/>
  <c r="X490" i="6"/>
  <c r="L490" i="6"/>
  <c r="F490" i="6"/>
  <c r="H490" i="6"/>
  <c r="P490" i="6"/>
  <c r="U490" i="6"/>
  <c r="G490" i="6"/>
  <c r="R490" i="6"/>
  <c r="J490" i="6"/>
  <c r="Q490" i="6"/>
  <c r="T490" i="6"/>
  <c r="N490" i="6"/>
  <c r="I490" i="6"/>
  <c r="D492" i="6"/>
  <c r="C491" i="6"/>
  <c r="E492" i="6"/>
  <c r="M491" i="6" l="1"/>
  <c r="Z491" i="6"/>
  <c r="K489" i="6"/>
  <c r="V490" i="6"/>
  <c r="W490" i="6"/>
  <c r="F491" i="6"/>
  <c r="R491" i="6"/>
  <c r="N491" i="6"/>
  <c r="Y491" i="6"/>
  <c r="T491" i="6"/>
  <c r="I491" i="6"/>
  <c r="X491" i="6"/>
  <c r="J491" i="6"/>
  <c r="G491" i="6"/>
  <c r="P491" i="6"/>
  <c r="H491" i="6"/>
  <c r="Q491" i="6"/>
  <c r="S491" i="6"/>
  <c r="L491" i="6"/>
  <c r="U491" i="6"/>
  <c r="O490" i="6"/>
  <c r="D493" i="6"/>
  <c r="C492" i="6"/>
  <c r="E493" i="6"/>
  <c r="M492" i="6" l="1"/>
  <c r="Z492" i="6"/>
  <c r="K490" i="6"/>
  <c r="W491" i="6"/>
  <c r="V491" i="6"/>
  <c r="S492" i="6"/>
  <c r="R492" i="6"/>
  <c r="G492" i="6"/>
  <c r="U492" i="6"/>
  <c r="T492" i="6"/>
  <c r="N492" i="6"/>
  <c r="Y492" i="6"/>
  <c r="X492" i="6"/>
  <c r="F492" i="6"/>
  <c r="L492" i="6"/>
  <c r="H492" i="6"/>
  <c r="I492" i="6"/>
  <c r="Q492" i="6"/>
  <c r="P492" i="6"/>
  <c r="J492" i="6"/>
  <c r="O491" i="6"/>
  <c r="D494" i="6"/>
  <c r="C493" i="6"/>
  <c r="E494" i="6"/>
  <c r="M493" i="6" l="1"/>
  <c r="Z493" i="6"/>
  <c r="K491" i="6"/>
  <c r="W492" i="6"/>
  <c r="V492" i="6"/>
  <c r="O492" i="6"/>
  <c r="S493" i="6"/>
  <c r="F493" i="6"/>
  <c r="Q493" i="6"/>
  <c r="U493" i="6"/>
  <c r="G493" i="6"/>
  <c r="J493" i="6"/>
  <c r="R493" i="6"/>
  <c r="Y493" i="6"/>
  <c r="H493" i="6"/>
  <c r="L493" i="6"/>
  <c r="N493" i="6"/>
  <c r="P493" i="6"/>
  <c r="X493" i="6"/>
  <c r="I493" i="6"/>
  <c r="T493" i="6"/>
  <c r="D495" i="6"/>
  <c r="C494" i="6"/>
  <c r="E495" i="6"/>
  <c r="M494" i="6" l="1"/>
  <c r="Z494" i="6"/>
  <c r="K492" i="6"/>
  <c r="V493" i="6"/>
  <c r="W493" i="6"/>
  <c r="F494" i="6"/>
  <c r="S494" i="6"/>
  <c r="T494" i="6"/>
  <c r="H494" i="6"/>
  <c r="J494" i="6"/>
  <c r="I494" i="6"/>
  <c r="X494" i="6"/>
  <c r="U494" i="6"/>
  <c r="G494" i="6"/>
  <c r="Y494" i="6"/>
  <c r="R494" i="6"/>
  <c r="Q494" i="6"/>
  <c r="N494" i="6"/>
  <c r="L494" i="6"/>
  <c r="P494" i="6"/>
  <c r="O493" i="6"/>
  <c r="D496" i="6"/>
  <c r="C495" i="6"/>
  <c r="E496" i="6"/>
  <c r="M495" i="6" l="1"/>
  <c r="Z495" i="6"/>
  <c r="K493" i="6"/>
  <c r="V494" i="6"/>
  <c r="W494" i="6"/>
  <c r="S495" i="6"/>
  <c r="U495" i="6"/>
  <c r="F495" i="6"/>
  <c r="H495" i="6"/>
  <c r="N495" i="6"/>
  <c r="I495" i="6"/>
  <c r="Y495" i="6"/>
  <c r="J495" i="6"/>
  <c r="R495" i="6"/>
  <c r="P495" i="6"/>
  <c r="G495" i="6"/>
  <c r="Q495" i="6"/>
  <c r="T495" i="6"/>
  <c r="X495" i="6"/>
  <c r="L495" i="6"/>
  <c r="O494" i="6"/>
  <c r="D497" i="6"/>
  <c r="C496" i="6"/>
  <c r="E497" i="6"/>
  <c r="K494" i="6" l="1"/>
  <c r="M496" i="6"/>
  <c r="Z496" i="6"/>
  <c r="W495" i="6"/>
  <c r="V495" i="6"/>
  <c r="F496" i="6"/>
  <c r="J496" i="6"/>
  <c r="R496" i="6"/>
  <c r="G496" i="6"/>
  <c r="Y496" i="6"/>
  <c r="H496" i="6"/>
  <c r="N496" i="6"/>
  <c r="T496" i="6"/>
  <c r="P496" i="6"/>
  <c r="U496" i="6"/>
  <c r="L496" i="6"/>
  <c r="S496" i="6"/>
  <c r="Q496" i="6"/>
  <c r="X496" i="6"/>
  <c r="I496" i="6"/>
  <c r="O495" i="6"/>
  <c r="D498" i="6"/>
  <c r="C497" i="6"/>
  <c r="E498" i="6"/>
  <c r="M497" i="6" l="1"/>
  <c r="Z497" i="6"/>
  <c r="K495" i="6"/>
  <c r="W496" i="6"/>
  <c r="V496" i="6"/>
  <c r="I497" i="6"/>
  <c r="P497" i="6"/>
  <c r="F497" i="6"/>
  <c r="T497" i="6"/>
  <c r="J497" i="6"/>
  <c r="R497" i="6"/>
  <c r="U497" i="6"/>
  <c r="G497" i="6"/>
  <c r="N497" i="6"/>
  <c r="Q497" i="6"/>
  <c r="L497" i="6"/>
  <c r="H497" i="6"/>
  <c r="Y497" i="6"/>
  <c r="S497" i="6"/>
  <c r="X497" i="6"/>
  <c r="O496" i="6"/>
  <c r="D499" i="6"/>
  <c r="C498" i="6"/>
  <c r="E499" i="6"/>
  <c r="M498" i="6" l="1"/>
  <c r="Z498" i="6"/>
  <c r="K496" i="6"/>
  <c r="W497" i="6"/>
  <c r="V497" i="6"/>
  <c r="O497" i="6"/>
  <c r="N498" i="6"/>
  <c r="H498" i="6"/>
  <c r="U498" i="6"/>
  <c r="T498" i="6"/>
  <c r="L498" i="6"/>
  <c r="S498" i="6"/>
  <c r="G498" i="6"/>
  <c r="P498" i="6"/>
  <c r="F498" i="6"/>
  <c r="J498" i="6"/>
  <c r="I498" i="6"/>
  <c r="Q498" i="6"/>
  <c r="Y498" i="6"/>
  <c r="X498" i="6"/>
  <c r="R498" i="6"/>
  <c r="D500" i="6"/>
  <c r="C499" i="6"/>
  <c r="E500" i="6"/>
  <c r="K497" i="6" l="1"/>
  <c r="M499" i="6"/>
  <c r="Z499" i="6"/>
  <c r="V498" i="6"/>
  <c r="W498" i="6"/>
  <c r="O498" i="6"/>
  <c r="U499" i="6"/>
  <c r="G499" i="6"/>
  <c r="L499" i="6"/>
  <c r="Q499" i="6"/>
  <c r="Y499" i="6"/>
  <c r="X499" i="6"/>
  <c r="I499" i="6"/>
  <c r="R499" i="6"/>
  <c r="S499" i="6"/>
  <c r="J499" i="6"/>
  <c r="H499" i="6"/>
  <c r="T499" i="6"/>
  <c r="F499" i="6"/>
  <c r="N499" i="6"/>
  <c r="P499" i="6"/>
  <c r="D501" i="6"/>
  <c r="C500" i="6"/>
  <c r="E501" i="6"/>
  <c r="K498" i="6" l="1"/>
  <c r="M500" i="6"/>
  <c r="Z500" i="6"/>
  <c r="V499" i="6"/>
  <c r="W499" i="6"/>
  <c r="Y500" i="6"/>
  <c r="P500" i="6"/>
  <c r="T500" i="6"/>
  <c r="H500" i="6"/>
  <c r="J500" i="6"/>
  <c r="Q500" i="6"/>
  <c r="I500" i="6"/>
  <c r="F500" i="6"/>
  <c r="R500" i="6"/>
  <c r="L500" i="6"/>
  <c r="X500" i="6"/>
  <c r="G500" i="6"/>
  <c r="S500" i="6"/>
  <c r="U500" i="6"/>
  <c r="N500" i="6"/>
  <c r="O499" i="6"/>
  <c r="D502" i="6"/>
  <c r="C501" i="6"/>
  <c r="E502" i="6"/>
  <c r="M501" i="6" l="1"/>
  <c r="Z501" i="6"/>
  <c r="K499" i="6"/>
  <c r="W500" i="6"/>
  <c r="V500" i="6"/>
  <c r="H501" i="6"/>
  <c r="L501" i="6"/>
  <c r="P501" i="6"/>
  <c r="F501" i="6"/>
  <c r="G501" i="6"/>
  <c r="J501" i="6"/>
  <c r="U501" i="6"/>
  <c r="X501" i="6"/>
  <c r="N501" i="6"/>
  <c r="S501" i="6"/>
  <c r="Q501" i="6"/>
  <c r="I501" i="6"/>
  <c r="T501" i="6"/>
  <c r="Y501" i="6"/>
  <c r="R501" i="6"/>
  <c r="O500" i="6"/>
  <c r="D503" i="6"/>
  <c r="C502" i="6"/>
  <c r="E503" i="6"/>
  <c r="M502" i="6" l="1"/>
  <c r="Z502" i="6"/>
  <c r="K500" i="6"/>
  <c r="V501" i="6"/>
  <c r="W501" i="6"/>
  <c r="O501" i="6"/>
  <c r="Q502" i="6"/>
  <c r="T502" i="6"/>
  <c r="Y502" i="6"/>
  <c r="N502" i="6"/>
  <c r="U502" i="6"/>
  <c r="F502" i="6"/>
  <c r="L502" i="6"/>
  <c r="S502" i="6"/>
  <c r="R502" i="6"/>
  <c r="G502" i="6"/>
  <c r="X502" i="6"/>
  <c r="H502" i="6"/>
  <c r="P502" i="6"/>
  <c r="J502" i="6"/>
  <c r="I502" i="6"/>
  <c r="D504" i="6"/>
  <c r="C503" i="6"/>
  <c r="E504" i="6"/>
  <c r="K501" i="6" l="1"/>
  <c r="M503" i="6"/>
  <c r="Z503" i="6"/>
  <c r="W502" i="6"/>
  <c r="V502" i="6"/>
  <c r="R503" i="6"/>
  <c r="H503" i="6"/>
  <c r="N503" i="6"/>
  <c r="P503" i="6"/>
  <c r="L503" i="6"/>
  <c r="U503" i="6"/>
  <c r="Q503" i="6"/>
  <c r="X503" i="6"/>
  <c r="S503" i="6"/>
  <c r="F503" i="6"/>
  <c r="T503" i="6"/>
  <c r="G503" i="6"/>
  <c r="J503" i="6"/>
  <c r="I503" i="6"/>
  <c r="Y503" i="6"/>
  <c r="O502" i="6"/>
  <c r="D505" i="6"/>
  <c r="C504" i="6"/>
  <c r="E505" i="6"/>
  <c r="M504" i="6" l="1"/>
  <c r="Z504" i="6"/>
  <c r="K502" i="6"/>
  <c r="W503" i="6"/>
  <c r="V503" i="6"/>
  <c r="G504" i="6"/>
  <c r="L504" i="6"/>
  <c r="T504" i="6"/>
  <c r="R504" i="6"/>
  <c r="N504" i="6"/>
  <c r="I504" i="6"/>
  <c r="H504" i="6"/>
  <c r="X504" i="6"/>
  <c r="U504" i="6"/>
  <c r="F504" i="6"/>
  <c r="J504" i="6"/>
  <c r="S504" i="6"/>
  <c r="P504" i="6"/>
  <c r="Q504" i="6"/>
  <c r="Y504" i="6"/>
  <c r="O503" i="6"/>
  <c r="D506" i="6"/>
  <c r="C505" i="6"/>
  <c r="E506" i="6"/>
  <c r="K503" i="6" l="1"/>
  <c r="M505" i="6"/>
  <c r="Z505" i="6"/>
  <c r="W504" i="6"/>
  <c r="V504" i="6"/>
  <c r="X505" i="6"/>
  <c r="Y505" i="6"/>
  <c r="R505" i="6"/>
  <c r="N505" i="6"/>
  <c r="L505" i="6"/>
  <c r="G505" i="6"/>
  <c r="P505" i="6"/>
  <c r="S505" i="6"/>
  <c r="I505" i="6"/>
  <c r="T505" i="6"/>
  <c r="U505" i="6"/>
  <c r="F505" i="6"/>
  <c r="J505" i="6"/>
  <c r="H505" i="6"/>
  <c r="Q505" i="6"/>
  <c r="O504" i="6"/>
  <c r="D507" i="6"/>
  <c r="C506" i="6"/>
  <c r="E507" i="6"/>
  <c r="K504" i="6" l="1"/>
  <c r="M506" i="6"/>
  <c r="Z506" i="6"/>
  <c r="V505" i="6"/>
  <c r="W505" i="6"/>
  <c r="L506" i="6"/>
  <c r="R506" i="6"/>
  <c r="T506" i="6"/>
  <c r="I506" i="6"/>
  <c r="N506" i="6"/>
  <c r="S506" i="6"/>
  <c r="Y506" i="6"/>
  <c r="X506" i="6"/>
  <c r="H506" i="6"/>
  <c r="Q506" i="6"/>
  <c r="F506" i="6"/>
  <c r="G506" i="6"/>
  <c r="J506" i="6"/>
  <c r="P506" i="6"/>
  <c r="U506" i="6"/>
  <c r="O505" i="6"/>
  <c r="D508" i="6"/>
  <c r="C507" i="6"/>
  <c r="E508" i="6"/>
  <c r="M507" i="6" l="1"/>
  <c r="Z507" i="6"/>
  <c r="K505" i="6"/>
  <c r="V506" i="6"/>
  <c r="W506" i="6"/>
  <c r="O506" i="6"/>
  <c r="K506" i="6" s="1"/>
  <c r="H507" i="6"/>
  <c r="L507" i="6"/>
  <c r="P507" i="6"/>
  <c r="T507" i="6"/>
  <c r="R507" i="6"/>
  <c r="N507" i="6"/>
  <c r="Y507" i="6"/>
  <c r="U507" i="6"/>
  <c r="F507" i="6"/>
  <c r="G507" i="6"/>
  <c r="X507" i="6"/>
  <c r="Q507" i="6"/>
  <c r="I507" i="6"/>
  <c r="J507" i="6"/>
  <c r="S507" i="6"/>
  <c r="D509" i="6"/>
  <c r="C508" i="6"/>
  <c r="E509" i="6"/>
  <c r="M508" i="6" l="1"/>
  <c r="Z508" i="6"/>
  <c r="W507" i="6"/>
  <c r="V507" i="6"/>
  <c r="J508" i="6"/>
  <c r="P508" i="6"/>
  <c r="U508" i="6"/>
  <c r="L508" i="6"/>
  <c r="X508" i="6"/>
  <c r="R508" i="6"/>
  <c r="Y508" i="6"/>
  <c r="T508" i="6"/>
  <c r="G508" i="6"/>
  <c r="H508" i="6"/>
  <c r="Q508" i="6"/>
  <c r="I508" i="6"/>
  <c r="N508" i="6"/>
  <c r="S508" i="6"/>
  <c r="F508" i="6"/>
  <c r="O507" i="6"/>
  <c r="D510" i="6"/>
  <c r="C509" i="6"/>
  <c r="E510" i="6"/>
  <c r="M509" i="6" l="1"/>
  <c r="Z509" i="6"/>
  <c r="K507" i="6"/>
  <c r="V508" i="6"/>
  <c r="W508" i="6"/>
  <c r="O508" i="6"/>
  <c r="Q509" i="6"/>
  <c r="J509" i="6"/>
  <c r="R509" i="6"/>
  <c r="U509" i="6"/>
  <c r="H509" i="6"/>
  <c r="L509" i="6"/>
  <c r="X509" i="6"/>
  <c r="N509" i="6"/>
  <c r="Y509" i="6"/>
  <c r="I509" i="6"/>
  <c r="P509" i="6"/>
  <c r="S509" i="6"/>
  <c r="F509" i="6"/>
  <c r="T509" i="6"/>
  <c r="G509" i="6"/>
  <c r="D511" i="6"/>
  <c r="C510" i="6"/>
  <c r="E511" i="6"/>
  <c r="M510" i="6" l="1"/>
  <c r="Z510" i="6"/>
  <c r="K508" i="6"/>
  <c r="V509" i="6"/>
  <c r="W509" i="6"/>
  <c r="O509" i="6"/>
  <c r="N510" i="6"/>
  <c r="R510" i="6"/>
  <c r="H510" i="6"/>
  <c r="T510" i="6"/>
  <c r="Q510" i="6"/>
  <c r="S510" i="6"/>
  <c r="I510" i="6"/>
  <c r="P510" i="6"/>
  <c r="F510" i="6"/>
  <c r="J510" i="6"/>
  <c r="U510" i="6"/>
  <c r="L510" i="6"/>
  <c r="Y510" i="6"/>
  <c r="X510" i="6"/>
  <c r="G510" i="6"/>
  <c r="D512" i="6"/>
  <c r="C511" i="6"/>
  <c r="E512" i="6"/>
  <c r="M511" i="6" l="1"/>
  <c r="Z511" i="6"/>
  <c r="K509" i="6"/>
  <c r="W510" i="6"/>
  <c r="V510" i="6"/>
  <c r="O510" i="6"/>
  <c r="F511" i="6"/>
  <c r="G511" i="6"/>
  <c r="Q511" i="6"/>
  <c r="J511" i="6"/>
  <c r="N511" i="6"/>
  <c r="P511" i="6"/>
  <c r="Y511" i="6"/>
  <c r="L511" i="6"/>
  <c r="U511" i="6"/>
  <c r="T511" i="6"/>
  <c r="H511" i="6"/>
  <c r="I511" i="6"/>
  <c r="X511" i="6"/>
  <c r="R511" i="6"/>
  <c r="S511" i="6"/>
  <c r="D513" i="6"/>
  <c r="C512" i="6"/>
  <c r="E513" i="6"/>
  <c r="M512" i="6" l="1"/>
  <c r="Z512" i="6"/>
  <c r="K510" i="6"/>
  <c r="W511" i="6"/>
  <c r="V511" i="6"/>
  <c r="O511" i="6"/>
  <c r="K511" i="6" s="1"/>
  <c r="J512" i="6"/>
  <c r="P512" i="6"/>
  <c r="U512" i="6"/>
  <c r="F512" i="6"/>
  <c r="S512" i="6"/>
  <c r="R512" i="6"/>
  <c r="L512" i="6"/>
  <c r="T512" i="6"/>
  <c r="Q512" i="6"/>
  <c r="H512" i="6"/>
  <c r="I512" i="6"/>
  <c r="X512" i="6"/>
  <c r="Y512" i="6"/>
  <c r="G512" i="6"/>
  <c r="N512" i="6"/>
  <c r="D514" i="6"/>
  <c r="C513" i="6"/>
  <c r="E514" i="6"/>
  <c r="M513" i="6" l="1"/>
  <c r="Z513" i="6"/>
  <c r="W512" i="6"/>
  <c r="V512" i="6"/>
  <c r="O512" i="6"/>
  <c r="K512" i="6" s="1"/>
  <c r="J513" i="6"/>
  <c r="L513" i="6"/>
  <c r="H513" i="6"/>
  <c r="P513" i="6"/>
  <c r="S513" i="6"/>
  <c r="Y513" i="6"/>
  <c r="X513" i="6"/>
  <c r="F513" i="6"/>
  <c r="N513" i="6"/>
  <c r="R513" i="6"/>
  <c r="U513" i="6"/>
  <c r="G513" i="6"/>
  <c r="I513" i="6"/>
  <c r="Q513" i="6"/>
  <c r="T513" i="6"/>
  <c r="D515" i="6"/>
  <c r="C514" i="6"/>
  <c r="E515" i="6"/>
  <c r="M514" i="6" l="1"/>
  <c r="Z514" i="6"/>
  <c r="V513" i="6"/>
  <c r="W513" i="6"/>
  <c r="O513" i="6"/>
  <c r="K513" i="6" s="1"/>
  <c r="J514" i="6"/>
  <c r="Q514" i="6"/>
  <c r="T514" i="6"/>
  <c r="F514" i="6"/>
  <c r="H514" i="6"/>
  <c r="U514" i="6"/>
  <c r="X514" i="6"/>
  <c r="G514" i="6"/>
  <c r="Y514" i="6"/>
  <c r="R514" i="6"/>
  <c r="I514" i="6"/>
  <c r="N514" i="6"/>
  <c r="L514" i="6"/>
  <c r="P514" i="6"/>
  <c r="S514" i="6"/>
  <c r="D516" i="6"/>
  <c r="C515" i="6"/>
  <c r="E516" i="6"/>
  <c r="M515" i="6" l="1"/>
  <c r="Z515" i="6"/>
  <c r="V514" i="6"/>
  <c r="W514" i="6"/>
  <c r="N515" i="6"/>
  <c r="Y515" i="6"/>
  <c r="T515" i="6"/>
  <c r="X515" i="6"/>
  <c r="U515" i="6"/>
  <c r="F515" i="6"/>
  <c r="J515" i="6"/>
  <c r="L515" i="6"/>
  <c r="I515" i="6"/>
  <c r="G515" i="6"/>
  <c r="S515" i="6"/>
  <c r="Q515" i="6"/>
  <c r="H515" i="6"/>
  <c r="P515" i="6"/>
  <c r="R515" i="6"/>
  <c r="O514" i="6"/>
  <c r="D517" i="6"/>
  <c r="C516" i="6"/>
  <c r="E517" i="6"/>
  <c r="M516" i="6" l="1"/>
  <c r="Z516" i="6"/>
  <c r="K514" i="6"/>
  <c r="V515" i="6"/>
  <c r="W515" i="6"/>
  <c r="O515" i="6"/>
  <c r="K515" i="6" s="1"/>
  <c r="H516" i="6"/>
  <c r="N516" i="6"/>
  <c r="L516" i="6"/>
  <c r="S516" i="6"/>
  <c r="U516" i="6"/>
  <c r="X516" i="6"/>
  <c r="R516" i="6"/>
  <c r="Q516" i="6"/>
  <c r="Y516" i="6"/>
  <c r="T516" i="6"/>
  <c r="F516" i="6"/>
  <c r="J516" i="6"/>
  <c r="P516" i="6"/>
  <c r="G516" i="6"/>
  <c r="I516" i="6"/>
  <c r="D518" i="6"/>
  <c r="C517" i="6"/>
  <c r="E518" i="6"/>
  <c r="M517" i="6" l="1"/>
  <c r="Z517" i="6"/>
  <c r="W516" i="6"/>
  <c r="V516" i="6"/>
  <c r="O516" i="6"/>
  <c r="K516" i="6" s="1"/>
  <c r="R517" i="6"/>
  <c r="G517" i="6"/>
  <c r="I517" i="6"/>
  <c r="Q517" i="6"/>
  <c r="H517" i="6"/>
  <c r="J517" i="6"/>
  <c r="F517" i="6"/>
  <c r="P517" i="6"/>
  <c r="S517" i="6"/>
  <c r="Y517" i="6"/>
  <c r="X517" i="6"/>
  <c r="T517" i="6"/>
  <c r="U517" i="6"/>
  <c r="N517" i="6"/>
  <c r="L517" i="6"/>
  <c r="D519" i="6"/>
  <c r="C518" i="6"/>
  <c r="E519" i="6"/>
  <c r="M518" i="6" l="1"/>
  <c r="Z518" i="6"/>
  <c r="V517" i="6"/>
  <c r="W517" i="6"/>
  <c r="Q518" i="6"/>
  <c r="T518" i="6"/>
  <c r="N518" i="6"/>
  <c r="Y518" i="6"/>
  <c r="R518" i="6"/>
  <c r="U518" i="6"/>
  <c r="S518" i="6"/>
  <c r="H518" i="6"/>
  <c r="J518" i="6"/>
  <c r="X518" i="6"/>
  <c r="F518" i="6"/>
  <c r="P518" i="6"/>
  <c r="L518" i="6"/>
  <c r="I518" i="6"/>
  <c r="G518" i="6"/>
  <c r="O517" i="6"/>
  <c r="K517" i="6" s="1"/>
  <c r="D520" i="6"/>
  <c r="C519" i="6"/>
  <c r="E520" i="6"/>
  <c r="M519" i="6" l="1"/>
  <c r="Z519" i="6"/>
  <c r="V518" i="6"/>
  <c r="W518" i="6"/>
  <c r="F519" i="6"/>
  <c r="Q519" i="6"/>
  <c r="X519" i="6"/>
  <c r="R519" i="6"/>
  <c r="H519" i="6"/>
  <c r="P519" i="6"/>
  <c r="Y519" i="6"/>
  <c r="L519" i="6"/>
  <c r="S519" i="6"/>
  <c r="N519" i="6"/>
  <c r="U519" i="6"/>
  <c r="J519" i="6"/>
  <c r="G519" i="6"/>
  <c r="T519" i="6"/>
  <c r="I519" i="6"/>
  <c r="O518" i="6"/>
  <c r="K518" i="6" s="1"/>
  <c r="D521" i="6"/>
  <c r="C520" i="6"/>
  <c r="E521" i="6"/>
  <c r="M520" i="6" l="1"/>
  <c r="Z520" i="6"/>
  <c r="V519" i="6"/>
  <c r="W519" i="6"/>
  <c r="H520" i="6"/>
  <c r="N520" i="6"/>
  <c r="X520" i="6"/>
  <c r="J520" i="6"/>
  <c r="F520" i="6"/>
  <c r="P520" i="6"/>
  <c r="Q520" i="6"/>
  <c r="L520" i="6"/>
  <c r="U520" i="6"/>
  <c r="Y520" i="6"/>
  <c r="G520" i="6"/>
  <c r="T520" i="6"/>
  <c r="S520" i="6"/>
  <c r="R520" i="6"/>
  <c r="I520" i="6"/>
  <c r="O519" i="6"/>
  <c r="K519" i="6" s="1"/>
  <c r="D522" i="6"/>
  <c r="C521" i="6"/>
  <c r="E522" i="6"/>
  <c r="M521" i="6" l="1"/>
  <c r="Z521" i="6"/>
  <c r="V520" i="6"/>
  <c r="W520" i="6"/>
  <c r="G521" i="6"/>
  <c r="N521" i="6"/>
  <c r="L521" i="6"/>
  <c r="Q521" i="6"/>
  <c r="P521" i="6"/>
  <c r="I521" i="6"/>
  <c r="R521" i="6"/>
  <c r="S521" i="6"/>
  <c r="T521" i="6"/>
  <c r="F521" i="6"/>
  <c r="J521" i="6"/>
  <c r="H521" i="6"/>
  <c r="U521" i="6"/>
  <c r="X521" i="6"/>
  <c r="Y521" i="6"/>
  <c r="O520" i="6"/>
  <c r="D523" i="6"/>
  <c r="C522" i="6"/>
  <c r="E523" i="6"/>
  <c r="M522" i="6" l="1"/>
  <c r="Z522" i="6"/>
  <c r="K520" i="6"/>
  <c r="V521" i="6"/>
  <c r="W521" i="6"/>
  <c r="H522" i="6"/>
  <c r="P522" i="6"/>
  <c r="G522" i="6"/>
  <c r="N522" i="6"/>
  <c r="R522" i="6"/>
  <c r="T522" i="6"/>
  <c r="L522" i="6"/>
  <c r="I522" i="6"/>
  <c r="S522" i="6"/>
  <c r="Y522" i="6"/>
  <c r="F522" i="6"/>
  <c r="J522" i="6"/>
  <c r="U522" i="6"/>
  <c r="Q522" i="6"/>
  <c r="X522" i="6"/>
  <c r="O521" i="6"/>
  <c r="K521" i="6" s="1"/>
  <c r="D524" i="6"/>
  <c r="C523" i="6"/>
  <c r="E524" i="6"/>
  <c r="M523" i="6" l="1"/>
  <c r="Z523" i="6"/>
  <c r="V522" i="6"/>
  <c r="W522" i="6"/>
  <c r="O522" i="6"/>
  <c r="K522" i="6" s="1"/>
  <c r="X523" i="6"/>
  <c r="I523" i="6"/>
  <c r="Q523" i="6"/>
  <c r="T523" i="6"/>
  <c r="G523" i="6"/>
  <c r="J523" i="6"/>
  <c r="S523" i="6"/>
  <c r="U523" i="6"/>
  <c r="F523" i="6"/>
  <c r="L523" i="6"/>
  <c r="P523" i="6"/>
  <c r="H523" i="6"/>
  <c r="R523" i="6"/>
  <c r="Y523" i="6"/>
  <c r="N523" i="6"/>
  <c r="D525" i="6"/>
  <c r="C524" i="6"/>
  <c r="E525" i="6"/>
  <c r="M524" i="6" l="1"/>
  <c r="Z524" i="6"/>
  <c r="W523" i="6"/>
  <c r="V523" i="6"/>
  <c r="O523" i="6"/>
  <c r="F524" i="6"/>
  <c r="Q524" i="6"/>
  <c r="L524" i="6"/>
  <c r="N524" i="6"/>
  <c r="G524" i="6"/>
  <c r="S524" i="6"/>
  <c r="P524" i="6"/>
  <c r="R524" i="6"/>
  <c r="X524" i="6"/>
  <c r="T524" i="6"/>
  <c r="Y524" i="6"/>
  <c r="U524" i="6"/>
  <c r="H524" i="6"/>
  <c r="I524" i="6"/>
  <c r="J524" i="6"/>
  <c r="D526" i="6"/>
  <c r="C525" i="6"/>
  <c r="E526" i="6"/>
  <c r="M525" i="6" l="1"/>
  <c r="Z525" i="6"/>
  <c r="K523" i="6"/>
  <c r="V524" i="6"/>
  <c r="W524" i="6"/>
  <c r="T525" i="6"/>
  <c r="G525" i="6"/>
  <c r="J525" i="6"/>
  <c r="I525" i="6"/>
  <c r="U525" i="6"/>
  <c r="H525" i="6"/>
  <c r="L525" i="6"/>
  <c r="Q525" i="6"/>
  <c r="S525" i="6"/>
  <c r="F525" i="6"/>
  <c r="Y525" i="6"/>
  <c r="X525" i="6"/>
  <c r="R525" i="6"/>
  <c r="P525" i="6"/>
  <c r="N525" i="6"/>
  <c r="O524" i="6"/>
  <c r="K524" i="6" s="1"/>
  <c r="D527" i="6"/>
  <c r="C526" i="6"/>
  <c r="E527" i="6"/>
  <c r="M526" i="6" l="1"/>
  <c r="Z526" i="6"/>
  <c r="W525" i="6"/>
  <c r="V525" i="6"/>
  <c r="P526" i="6"/>
  <c r="S526" i="6"/>
  <c r="I526" i="6"/>
  <c r="Q526" i="6"/>
  <c r="T526" i="6"/>
  <c r="Y526" i="6"/>
  <c r="X526" i="6"/>
  <c r="F526" i="6"/>
  <c r="R526" i="6"/>
  <c r="U526" i="6"/>
  <c r="G526" i="6"/>
  <c r="N526" i="6"/>
  <c r="L526" i="6"/>
  <c r="H526" i="6"/>
  <c r="J526" i="6"/>
  <c r="O525" i="6"/>
  <c r="K525" i="6" s="1"/>
  <c r="D528" i="6"/>
  <c r="C527" i="6"/>
  <c r="E528" i="6"/>
  <c r="M527" i="6" l="1"/>
  <c r="Z527" i="6"/>
  <c r="V526" i="6"/>
  <c r="W526" i="6"/>
  <c r="X527" i="6"/>
  <c r="F527" i="6"/>
  <c r="G527" i="6"/>
  <c r="N527" i="6"/>
  <c r="H527" i="6"/>
  <c r="L527" i="6"/>
  <c r="S527" i="6"/>
  <c r="Y527" i="6"/>
  <c r="T527" i="6"/>
  <c r="I527" i="6"/>
  <c r="P527" i="6"/>
  <c r="U527" i="6"/>
  <c r="Q527" i="6"/>
  <c r="J527" i="6"/>
  <c r="R527" i="6"/>
  <c r="O526" i="6"/>
  <c r="D529" i="6"/>
  <c r="C528" i="6"/>
  <c r="E529" i="6"/>
  <c r="M528" i="6" l="1"/>
  <c r="Z528" i="6"/>
  <c r="K526" i="6"/>
  <c r="V527" i="6"/>
  <c r="W527" i="6"/>
  <c r="O527" i="6"/>
  <c r="J528" i="6"/>
  <c r="S528" i="6"/>
  <c r="U528" i="6"/>
  <c r="N528" i="6"/>
  <c r="L528" i="6"/>
  <c r="G528" i="6"/>
  <c r="P528" i="6"/>
  <c r="Q528" i="6"/>
  <c r="H528" i="6"/>
  <c r="F528" i="6"/>
  <c r="T528" i="6"/>
  <c r="R528" i="6"/>
  <c r="Y528" i="6"/>
  <c r="I528" i="6"/>
  <c r="X528" i="6"/>
  <c r="D530" i="6"/>
  <c r="C529" i="6"/>
  <c r="E530" i="6"/>
  <c r="M529" i="6" l="1"/>
  <c r="Z529" i="6"/>
  <c r="K527" i="6"/>
  <c r="W528" i="6"/>
  <c r="V528" i="6"/>
  <c r="O528" i="6"/>
  <c r="J529" i="6"/>
  <c r="R529" i="6"/>
  <c r="U529" i="6"/>
  <c r="H529" i="6"/>
  <c r="S529" i="6"/>
  <c r="Y529" i="6"/>
  <c r="X529" i="6"/>
  <c r="G529" i="6"/>
  <c r="L529" i="6"/>
  <c r="I529" i="6"/>
  <c r="P529" i="6"/>
  <c r="F529" i="6"/>
  <c r="N529" i="6"/>
  <c r="Q529" i="6"/>
  <c r="T529" i="6"/>
  <c r="D531" i="6"/>
  <c r="C530" i="6"/>
  <c r="E531" i="6"/>
  <c r="M530" i="6" l="1"/>
  <c r="Z530" i="6"/>
  <c r="K528" i="6"/>
  <c r="V529" i="6"/>
  <c r="W529" i="6"/>
  <c r="O529" i="6"/>
  <c r="K529" i="6" s="1"/>
  <c r="F530" i="6"/>
  <c r="J530" i="6"/>
  <c r="N530" i="6"/>
  <c r="U530" i="6"/>
  <c r="Y530" i="6"/>
  <c r="X530" i="6"/>
  <c r="L530" i="6"/>
  <c r="R530" i="6"/>
  <c r="I530" i="6"/>
  <c r="G530" i="6"/>
  <c r="S530" i="6"/>
  <c r="H530" i="6"/>
  <c r="Q530" i="6"/>
  <c r="P530" i="6"/>
  <c r="T530" i="6"/>
  <c r="D532" i="6"/>
  <c r="C531" i="6"/>
  <c r="E532" i="6"/>
  <c r="M531" i="6" l="1"/>
  <c r="Z531" i="6"/>
  <c r="W530" i="6"/>
  <c r="V530" i="6"/>
  <c r="O530" i="6"/>
  <c r="Q531" i="6"/>
  <c r="Y531" i="6"/>
  <c r="J531" i="6"/>
  <c r="R531" i="6"/>
  <c r="H531" i="6"/>
  <c r="S531" i="6"/>
  <c r="F531" i="6"/>
  <c r="N531" i="6"/>
  <c r="P531" i="6"/>
  <c r="U531" i="6"/>
  <c r="G531" i="6"/>
  <c r="L531" i="6"/>
  <c r="I531" i="6"/>
  <c r="T531" i="6"/>
  <c r="X531" i="6"/>
  <c r="D533" i="6"/>
  <c r="C532" i="6"/>
  <c r="E533" i="6"/>
  <c r="M532" i="6" l="1"/>
  <c r="Z532" i="6"/>
  <c r="K530" i="6"/>
  <c r="W531" i="6"/>
  <c r="V531" i="6"/>
  <c r="S532" i="6"/>
  <c r="Q532" i="6"/>
  <c r="U532" i="6"/>
  <c r="F532" i="6"/>
  <c r="T532" i="6"/>
  <c r="H532" i="6"/>
  <c r="N532" i="6"/>
  <c r="L532" i="6"/>
  <c r="I532" i="6"/>
  <c r="R532" i="6"/>
  <c r="G532" i="6"/>
  <c r="Y532" i="6"/>
  <c r="X532" i="6"/>
  <c r="J532" i="6"/>
  <c r="P532" i="6"/>
  <c r="O531" i="6"/>
  <c r="K531" i="6" s="1"/>
  <c r="D534" i="6"/>
  <c r="C533" i="6"/>
  <c r="E534" i="6"/>
  <c r="M533" i="6" l="1"/>
  <c r="Z533" i="6"/>
  <c r="W532" i="6"/>
  <c r="V532" i="6"/>
  <c r="N533" i="6"/>
  <c r="S533" i="6"/>
  <c r="F533" i="6"/>
  <c r="P533" i="6"/>
  <c r="T533" i="6"/>
  <c r="Y533" i="6"/>
  <c r="X533" i="6"/>
  <c r="G533" i="6"/>
  <c r="J533" i="6"/>
  <c r="Q533" i="6"/>
  <c r="U533" i="6"/>
  <c r="L533" i="6"/>
  <c r="I533" i="6"/>
  <c r="H533" i="6"/>
  <c r="R533" i="6"/>
  <c r="O532" i="6"/>
  <c r="D535" i="6"/>
  <c r="C534" i="6"/>
  <c r="E535" i="6"/>
  <c r="M534" i="6" l="1"/>
  <c r="Z534" i="6"/>
  <c r="K532" i="6"/>
  <c r="W533" i="6"/>
  <c r="V533" i="6"/>
  <c r="J534" i="6"/>
  <c r="H534" i="6"/>
  <c r="F534" i="6"/>
  <c r="U534" i="6"/>
  <c r="N534" i="6"/>
  <c r="L534" i="6"/>
  <c r="G534" i="6"/>
  <c r="X534" i="6"/>
  <c r="S534" i="6"/>
  <c r="Q534" i="6"/>
  <c r="P534" i="6"/>
  <c r="I534" i="6"/>
  <c r="Y534" i="6"/>
  <c r="R534" i="6"/>
  <c r="T534" i="6"/>
  <c r="O533" i="6"/>
  <c r="D536" i="6"/>
  <c r="C535" i="6"/>
  <c r="E536" i="6"/>
  <c r="M535" i="6" l="1"/>
  <c r="Z535" i="6"/>
  <c r="K533" i="6"/>
  <c r="W534" i="6"/>
  <c r="V534" i="6"/>
  <c r="I535" i="6"/>
  <c r="Q535" i="6"/>
  <c r="U535" i="6"/>
  <c r="F535" i="6"/>
  <c r="L535" i="6"/>
  <c r="S535" i="6"/>
  <c r="J535" i="6"/>
  <c r="G535" i="6"/>
  <c r="R535" i="6"/>
  <c r="T535" i="6"/>
  <c r="Y535" i="6"/>
  <c r="X535" i="6"/>
  <c r="H535" i="6"/>
  <c r="P535" i="6"/>
  <c r="N535" i="6"/>
  <c r="O534" i="6"/>
  <c r="K534" i="6" s="1"/>
  <c r="D537" i="6"/>
  <c r="C536" i="6"/>
  <c r="E537" i="6"/>
  <c r="M536" i="6" l="1"/>
  <c r="Z536" i="6"/>
  <c r="W535" i="6"/>
  <c r="V535" i="6"/>
  <c r="T536" i="6"/>
  <c r="H536" i="6"/>
  <c r="Y536" i="6"/>
  <c r="F536" i="6"/>
  <c r="N536" i="6"/>
  <c r="I536" i="6"/>
  <c r="P536" i="6"/>
  <c r="G536" i="6"/>
  <c r="R536" i="6"/>
  <c r="J536" i="6"/>
  <c r="Q536" i="6"/>
  <c r="S536" i="6"/>
  <c r="X536" i="6"/>
  <c r="L536" i="6"/>
  <c r="U536" i="6"/>
  <c r="O535" i="6"/>
  <c r="K535" i="6" s="1"/>
  <c r="D538" i="6"/>
  <c r="C537" i="6"/>
  <c r="E538" i="6"/>
  <c r="M537" i="6" l="1"/>
  <c r="Z537" i="6"/>
  <c r="W536" i="6"/>
  <c r="V536" i="6"/>
  <c r="U537" i="6"/>
  <c r="F537" i="6"/>
  <c r="J537" i="6"/>
  <c r="Q537" i="6"/>
  <c r="R537" i="6"/>
  <c r="N537" i="6"/>
  <c r="L537" i="6"/>
  <c r="P537" i="6"/>
  <c r="T537" i="6"/>
  <c r="X537" i="6"/>
  <c r="Y537" i="6"/>
  <c r="G537" i="6"/>
  <c r="S537" i="6"/>
  <c r="I537" i="6"/>
  <c r="H537" i="6"/>
  <c r="O536" i="6"/>
  <c r="K536" i="6" s="1"/>
  <c r="D539" i="6"/>
  <c r="C538" i="6"/>
  <c r="E539" i="6"/>
  <c r="M538" i="6" l="1"/>
  <c r="Z538" i="6"/>
  <c r="V537" i="6"/>
  <c r="W537" i="6"/>
  <c r="L538" i="6"/>
  <c r="Y538" i="6"/>
  <c r="P538" i="6"/>
  <c r="S538" i="6"/>
  <c r="Q538" i="6"/>
  <c r="R538" i="6"/>
  <c r="H538" i="6"/>
  <c r="T538" i="6"/>
  <c r="U538" i="6"/>
  <c r="F538" i="6"/>
  <c r="J538" i="6"/>
  <c r="X538" i="6"/>
  <c r="I538" i="6"/>
  <c r="G538" i="6"/>
  <c r="N538" i="6"/>
  <c r="O537" i="6"/>
  <c r="D540" i="6"/>
  <c r="C539" i="6"/>
  <c r="E540" i="6"/>
  <c r="M539" i="6" l="1"/>
  <c r="Z539" i="6"/>
  <c r="K537" i="6"/>
  <c r="W538" i="6"/>
  <c r="V538" i="6"/>
  <c r="R539" i="6"/>
  <c r="X539" i="6"/>
  <c r="F539" i="6"/>
  <c r="I539" i="6"/>
  <c r="J539" i="6"/>
  <c r="S539" i="6"/>
  <c r="U539" i="6"/>
  <c r="H539" i="6"/>
  <c r="N539" i="6"/>
  <c r="Y539" i="6"/>
  <c r="G539" i="6"/>
  <c r="Q539" i="6"/>
  <c r="L539" i="6"/>
  <c r="P539" i="6"/>
  <c r="T539" i="6"/>
  <c r="O538" i="6"/>
  <c r="D541" i="6"/>
  <c r="C540" i="6"/>
  <c r="E541" i="6"/>
  <c r="M540" i="6" l="1"/>
  <c r="Z540" i="6"/>
  <c r="K538" i="6"/>
  <c r="W539" i="6"/>
  <c r="V539" i="6"/>
  <c r="U540" i="6"/>
  <c r="H540" i="6"/>
  <c r="I540" i="6"/>
  <c r="J540" i="6"/>
  <c r="G540" i="6"/>
  <c r="S540" i="6"/>
  <c r="P540" i="6"/>
  <c r="N540" i="6"/>
  <c r="F540" i="6"/>
  <c r="Q540" i="6"/>
  <c r="L540" i="6"/>
  <c r="R540" i="6"/>
  <c r="X540" i="6"/>
  <c r="T540" i="6"/>
  <c r="Y540" i="6"/>
  <c r="O539" i="6"/>
  <c r="K539" i="6" s="1"/>
  <c r="D542" i="6"/>
  <c r="C541" i="6"/>
  <c r="E542" i="6"/>
  <c r="M541" i="6" l="1"/>
  <c r="Z541" i="6"/>
  <c r="W540" i="6"/>
  <c r="V540" i="6"/>
  <c r="I541" i="6"/>
  <c r="P541" i="6"/>
  <c r="T541" i="6"/>
  <c r="J541" i="6"/>
  <c r="Q541" i="6"/>
  <c r="G541" i="6"/>
  <c r="R541" i="6"/>
  <c r="N541" i="6"/>
  <c r="H541" i="6"/>
  <c r="F541" i="6"/>
  <c r="S541" i="6"/>
  <c r="Y541" i="6"/>
  <c r="X541" i="6"/>
  <c r="U541" i="6"/>
  <c r="L541" i="6"/>
  <c r="O540" i="6"/>
  <c r="D543" i="6"/>
  <c r="C542" i="6"/>
  <c r="E543" i="6"/>
  <c r="M542" i="6" l="1"/>
  <c r="Z542" i="6"/>
  <c r="K540" i="6"/>
  <c r="W541" i="6"/>
  <c r="V541" i="6"/>
  <c r="H542" i="6"/>
  <c r="L542" i="6"/>
  <c r="S542" i="6"/>
  <c r="I542" i="6"/>
  <c r="P542" i="6"/>
  <c r="T542" i="6"/>
  <c r="Y542" i="6"/>
  <c r="X542" i="6"/>
  <c r="U542" i="6"/>
  <c r="G542" i="6"/>
  <c r="N542" i="6"/>
  <c r="R542" i="6"/>
  <c r="F542" i="6"/>
  <c r="J542" i="6"/>
  <c r="Q542" i="6"/>
  <c r="O541" i="6"/>
  <c r="D544" i="6"/>
  <c r="C543" i="6"/>
  <c r="E544" i="6"/>
  <c r="M543" i="6" l="1"/>
  <c r="Z543" i="6"/>
  <c r="K541" i="6"/>
  <c r="W542" i="6"/>
  <c r="V542" i="6"/>
  <c r="O542" i="6"/>
  <c r="I543" i="6"/>
  <c r="Q543" i="6"/>
  <c r="J543" i="6"/>
  <c r="U543" i="6"/>
  <c r="H543" i="6"/>
  <c r="F543" i="6"/>
  <c r="G543" i="6"/>
  <c r="L543" i="6"/>
  <c r="S543" i="6"/>
  <c r="T543" i="6"/>
  <c r="R543" i="6"/>
  <c r="P543" i="6"/>
  <c r="N543" i="6"/>
  <c r="Y543" i="6"/>
  <c r="X543" i="6"/>
  <c r="D545" i="6"/>
  <c r="C544" i="6"/>
  <c r="E545" i="6"/>
  <c r="M544" i="6" l="1"/>
  <c r="Z544" i="6"/>
  <c r="K542" i="6"/>
  <c r="W543" i="6"/>
  <c r="V543" i="6"/>
  <c r="O543" i="6"/>
  <c r="K543" i="6" s="1"/>
  <c r="T544" i="6"/>
  <c r="F544" i="6"/>
  <c r="J544" i="6"/>
  <c r="Q544" i="6"/>
  <c r="U544" i="6"/>
  <c r="G544" i="6"/>
  <c r="L544" i="6"/>
  <c r="R544" i="6"/>
  <c r="Y544" i="6"/>
  <c r="I544" i="6"/>
  <c r="P544" i="6"/>
  <c r="H544" i="6"/>
  <c r="N544" i="6"/>
  <c r="S544" i="6"/>
  <c r="X544" i="6"/>
  <c r="D546" i="6"/>
  <c r="C545" i="6"/>
  <c r="E546" i="6"/>
  <c r="M545" i="6" l="1"/>
  <c r="Z545" i="6"/>
  <c r="V544" i="6"/>
  <c r="W544" i="6"/>
  <c r="P545" i="6"/>
  <c r="S545" i="6"/>
  <c r="Y545" i="6"/>
  <c r="H545" i="6"/>
  <c r="G545" i="6"/>
  <c r="L545" i="6"/>
  <c r="I545" i="6"/>
  <c r="Q545" i="6"/>
  <c r="X545" i="6"/>
  <c r="F545" i="6"/>
  <c r="N545" i="6"/>
  <c r="R545" i="6"/>
  <c r="T545" i="6"/>
  <c r="J545" i="6"/>
  <c r="U545" i="6"/>
  <c r="O544" i="6"/>
  <c r="K544" i="6" s="1"/>
  <c r="D547" i="6"/>
  <c r="C546" i="6"/>
  <c r="E547" i="6"/>
  <c r="M546" i="6" l="1"/>
  <c r="Z546" i="6"/>
  <c r="W545" i="6"/>
  <c r="V545" i="6"/>
  <c r="N546" i="6"/>
  <c r="I546" i="6"/>
  <c r="F546" i="6"/>
  <c r="P546" i="6"/>
  <c r="T546" i="6"/>
  <c r="Y546" i="6"/>
  <c r="X546" i="6"/>
  <c r="G546" i="6"/>
  <c r="L546" i="6"/>
  <c r="R546" i="6"/>
  <c r="Q546" i="6"/>
  <c r="U546" i="6"/>
  <c r="J546" i="6"/>
  <c r="S546" i="6"/>
  <c r="H546" i="6"/>
  <c r="O545" i="6"/>
  <c r="K545" i="6" s="1"/>
  <c r="D548" i="6"/>
  <c r="C547" i="6"/>
  <c r="E548" i="6"/>
  <c r="M547" i="6" l="1"/>
  <c r="Z547" i="6"/>
  <c r="W546" i="6"/>
  <c r="V546" i="6"/>
  <c r="L547" i="6"/>
  <c r="T547" i="6"/>
  <c r="G547" i="6"/>
  <c r="H547" i="6"/>
  <c r="P547" i="6"/>
  <c r="U547" i="6"/>
  <c r="S547" i="6"/>
  <c r="J547" i="6"/>
  <c r="I547" i="6"/>
  <c r="X547" i="6"/>
  <c r="F547" i="6"/>
  <c r="N547" i="6"/>
  <c r="Q547" i="6"/>
  <c r="Y547" i="6"/>
  <c r="R547" i="6"/>
  <c r="O546" i="6"/>
  <c r="K546" i="6" s="1"/>
  <c r="D549" i="6"/>
  <c r="C548" i="6"/>
  <c r="E549" i="6"/>
  <c r="M548" i="6" l="1"/>
  <c r="Z548" i="6"/>
  <c r="V547" i="6"/>
  <c r="W547" i="6"/>
  <c r="Y548" i="6"/>
  <c r="R548" i="6"/>
  <c r="H548" i="6"/>
  <c r="L548" i="6"/>
  <c r="T548" i="6"/>
  <c r="N548" i="6"/>
  <c r="G548" i="6"/>
  <c r="U548" i="6"/>
  <c r="I548" i="6"/>
  <c r="P548" i="6"/>
  <c r="S548" i="6"/>
  <c r="Q548" i="6"/>
  <c r="X548" i="6"/>
  <c r="J548" i="6"/>
  <c r="F548" i="6"/>
  <c r="O547" i="6"/>
  <c r="D550" i="6"/>
  <c r="C549" i="6"/>
  <c r="E550" i="6"/>
  <c r="M549" i="6" l="1"/>
  <c r="Z549" i="6"/>
  <c r="K547" i="6"/>
  <c r="W548" i="6"/>
  <c r="V548" i="6"/>
  <c r="O548" i="6"/>
  <c r="G549" i="6"/>
  <c r="J549" i="6"/>
  <c r="R549" i="6"/>
  <c r="X549" i="6"/>
  <c r="T549" i="6"/>
  <c r="Q549" i="6"/>
  <c r="H549" i="6"/>
  <c r="L549" i="6"/>
  <c r="N549" i="6"/>
  <c r="I549" i="6"/>
  <c r="Y549" i="6"/>
  <c r="P549" i="6"/>
  <c r="S549" i="6"/>
  <c r="F549" i="6"/>
  <c r="U549" i="6"/>
  <c r="D551" i="6"/>
  <c r="C550" i="6"/>
  <c r="E551" i="6"/>
  <c r="M550" i="6" l="1"/>
  <c r="Z550" i="6"/>
  <c r="K548" i="6"/>
  <c r="W549" i="6"/>
  <c r="V549" i="6"/>
  <c r="O549" i="6"/>
  <c r="K549" i="6" s="1"/>
  <c r="G550" i="6"/>
  <c r="I550" i="6"/>
  <c r="X550" i="6"/>
  <c r="R550" i="6"/>
  <c r="J550" i="6"/>
  <c r="L550" i="6"/>
  <c r="P550" i="6"/>
  <c r="F550" i="6"/>
  <c r="U550" i="6"/>
  <c r="T550" i="6"/>
  <c r="Y550" i="6"/>
  <c r="H550" i="6"/>
  <c r="S550" i="6"/>
  <c r="N550" i="6"/>
  <c r="Q550" i="6"/>
  <c r="D552" i="6"/>
  <c r="C551" i="6"/>
  <c r="E552" i="6"/>
  <c r="M551" i="6" l="1"/>
  <c r="Z551" i="6"/>
  <c r="V550" i="6"/>
  <c r="W550" i="6"/>
  <c r="O550" i="6"/>
  <c r="T551" i="6"/>
  <c r="P551" i="6"/>
  <c r="Q551" i="6"/>
  <c r="J551" i="6"/>
  <c r="R551" i="6"/>
  <c r="X551" i="6"/>
  <c r="G551" i="6"/>
  <c r="H551" i="6"/>
  <c r="I551" i="6"/>
  <c r="Y551" i="6"/>
  <c r="S551" i="6"/>
  <c r="U551" i="6"/>
  <c r="F551" i="6"/>
  <c r="L551" i="6"/>
  <c r="N551" i="6"/>
  <c r="D553" i="6"/>
  <c r="C552" i="6"/>
  <c r="E553" i="6"/>
  <c r="M552" i="6" l="1"/>
  <c r="Z552" i="6"/>
  <c r="K550" i="6"/>
  <c r="W551" i="6"/>
  <c r="V551" i="6"/>
  <c r="Y552" i="6"/>
  <c r="X552" i="6"/>
  <c r="G552" i="6"/>
  <c r="T552" i="6"/>
  <c r="Q552" i="6"/>
  <c r="L552" i="6"/>
  <c r="N552" i="6"/>
  <c r="S552" i="6"/>
  <c r="U552" i="6"/>
  <c r="I552" i="6"/>
  <c r="R552" i="6"/>
  <c r="H552" i="6"/>
  <c r="F552" i="6"/>
  <c r="J552" i="6"/>
  <c r="P552" i="6"/>
  <c r="O551" i="6"/>
  <c r="K551" i="6" s="1"/>
  <c r="D554" i="6"/>
  <c r="C553" i="6"/>
  <c r="E554" i="6"/>
  <c r="M553" i="6" l="1"/>
  <c r="Z553" i="6"/>
  <c r="V552" i="6"/>
  <c r="W552" i="6"/>
  <c r="O552" i="6"/>
  <c r="P553" i="6"/>
  <c r="S553" i="6"/>
  <c r="J553" i="6"/>
  <c r="X553" i="6"/>
  <c r="T553" i="6"/>
  <c r="F553" i="6"/>
  <c r="Y553" i="6"/>
  <c r="H553" i="6"/>
  <c r="U553" i="6"/>
  <c r="G553" i="6"/>
  <c r="I553" i="6"/>
  <c r="R553" i="6"/>
  <c r="L553" i="6"/>
  <c r="Q553" i="6"/>
  <c r="N553" i="6"/>
  <c r="D555" i="6"/>
  <c r="C554" i="6"/>
  <c r="E555" i="6"/>
  <c r="M554" i="6" l="1"/>
  <c r="Z554" i="6"/>
  <c r="K552" i="6"/>
  <c r="V553" i="6"/>
  <c r="W553" i="6"/>
  <c r="O553" i="6"/>
  <c r="X554" i="6"/>
  <c r="R554" i="6"/>
  <c r="P554" i="6"/>
  <c r="U554" i="6"/>
  <c r="F554" i="6"/>
  <c r="Y554" i="6"/>
  <c r="S554" i="6"/>
  <c r="Q554" i="6"/>
  <c r="I554" i="6"/>
  <c r="L554" i="6"/>
  <c r="T554" i="6"/>
  <c r="G554" i="6"/>
  <c r="H554" i="6"/>
  <c r="J554" i="6"/>
  <c r="N554" i="6"/>
  <c r="D556" i="6"/>
  <c r="C555" i="6"/>
  <c r="E556" i="6"/>
  <c r="M555" i="6" l="1"/>
  <c r="Z555" i="6"/>
  <c r="K553" i="6"/>
  <c r="V554" i="6"/>
  <c r="W554" i="6"/>
  <c r="O554" i="6"/>
  <c r="S555" i="6"/>
  <c r="U555" i="6"/>
  <c r="R555" i="6"/>
  <c r="Y555" i="6"/>
  <c r="X555" i="6"/>
  <c r="L555" i="6"/>
  <c r="G555" i="6"/>
  <c r="N555" i="6"/>
  <c r="J555" i="6"/>
  <c r="H555" i="6"/>
  <c r="Q555" i="6"/>
  <c r="T555" i="6"/>
  <c r="P555" i="6"/>
  <c r="F555" i="6"/>
  <c r="I555" i="6"/>
  <c r="D557" i="6"/>
  <c r="C556" i="6"/>
  <c r="E557" i="6"/>
  <c r="M556" i="6" l="1"/>
  <c r="Z556" i="6"/>
  <c r="K554" i="6"/>
  <c r="V555" i="6"/>
  <c r="W555" i="6"/>
  <c r="R556" i="6"/>
  <c r="X556" i="6"/>
  <c r="T556" i="6"/>
  <c r="Y556" i="6"/>
  <c r="G556" i="6"/>
  <c r="S556" i="6"/>
  <c r="P556" i="6"/>
  <c r="U556" i="6"/>
  <c r="H556" i="6"/>
  <c r="I556" i="6"/>
  <c r="J556" i="6"/>
  <c r="F556" i="6"/>
  <c r="Q556" i="6"/>
  <c r="N556" i="6"/>
  <c r="L556" i="6"/>
  <c r="O555" i="6"/>
  <c r="D558" i="6"/>
  <c r="C557" i="6"/>
  <c r="E558" i="6"/>
  <c r="M557" i="6" l="1"/>
  <c r="Z557" i="6"/>
  <c r="K555" i="6"/>
  <c r="W556" i="6"/>
  <c r="V556" i="6"/>
  <c r="I557" i="6"/>
  <c r="P557" i="6"/>
  <c r="X557" i="6"/>
  <c r="L557" i="6"/>
  <c r="Q557" i="6"/>
  <c r="T557" i="6"/>
  <c r="S557" i="6"/>
  <c r="G557" i="6"/>
  <c r="R557" i="6"/>
  <c r="U557" i="6"/>
  <c r="H557" i="6"/>
  <c r="Y557" i="6"/>
  <c r="N557" i="6"/>
  <c r="J557" i="6"/>
  <c r="F557" i="6"/>
  <c r="O556" i="6"/>
  <c r="K556" i="6" s="1"/>
  <c r="D559" i="6"/>
  <c r="C558" i="6"/>
  <c r="E559" i="6"/>
  <c r="M558" i="6" l="1"/>
  <c r="Z558" i="6"/>
  <c r="V557" i="6"/>
  <c r="W557" i="6"/>
  <c r="O557" i="6"/>
  <c r="R558" i="6"/>
  <c r="H558" i="6"/>
  <c r="P558" i="6"/>
  <c r="S558" i="6"/>
  <c r="I558" i="6"/>
  <c r="L558" i="6"/>
  <c r="T558" i="6"/>
  <c r="Y558" i="6"/>
  <c r="X558" i="6"/>
  <c r="F558" i="6"/>
  <c r="J558" i="6"/>
  <c r="Q558" i="6"/>
  <c r="U558" i="6"/>
  <c r="G558" i="6"/>
  <c r="N558" i="6"/>
  <c r="D560" i="6"/>
  <c r="C559" i="6"/>
  <c r="E560" i="6"/>
  <c r="M559" i="6" l="1"/>
  <c r="Z559" i="6"/>
  <c r="K557" i="6"/>
  <c r="V558" i="6"/>
  <c r="W558" i="6"/>
  <c r="O558" i="6"/>
  <c r="K558" i="6" s="1"/>
  <c r="L559" i="6"/>
  <c r="I559" i="6"/>
  <c r="T559" i="6"/>
  <c r="S559" i="6"/>
  <c r="R559" i="6"/>
  <c r="Q559" i="6"/>
  <c r="J559" i="6"/>
  <c r="U559" i="6"/>
  <c r="G559" i="6"/>
  <c r="Y559" i="6"/>
  <c r="P559" i="6"/>
  <c r="N559" i="6"/>
  <c r="X559" i="6"/>
  <c r="H559" i="6"/>
  <c r="F559" i="6"/>
  <c r="D561" i="6"/>
  <c r="C560" i="6"/>
  <c r="E561" i="6"/>
  <c r="M560" i="6" l="1"/>
  <c r="Z560" i="6"/>
  <c r="V559" i="6"/>
  <c r="W559" i="6"/>
  <c r="O559" i="6"/>
  <c r="K559" i="6" s="1"/>
  <c r="Q560" i="6"/>
  <c r="U560" i="6"/>
  <c r="G560" i="6"/>
  <c r="L560" i="6"/>
  <c r="R560" i="6"/>
  <c r="H560" i="6"/>
  <c r="N560" i="6"/>
  <c r="S560" i="6"/>
  <c r="Y560" i="6"/>
  <c r="T560" i="6"/>
  <c r="J560" i="6"/>
  <c r="X560" i="6"/>
  <c r="I560" i="6"/>
  <c r="P560" i="6"/>
  <c r="F560" i="6"/>
  <c r="D562" i="6"/>
  <c r="C561" i="6"/>
  <c r="E562" i="6"/>
  <c r="M561" i="6" l="1"/>
  <c r="Z561" i="6"/>
  <c r="V560" i="6"/>
  <c r="W560" i="6"/>
  <c r="O560" i="6"/>
  <c r="R561" i="6"/>
  <c r="H561" i="6"/>
  <c r="N561" i="6"/>
  <c r="I561" i="6"/>
  <c r="Q561" i="6"/>
  <c r="U561" i="6"/>
  <c r="G561" i="6"/>
  <c r="S561" i="6"/>
  <c r="Y561" i="6"/>
  <c r="X561" i="6"/>
  <c r="J561" i="6"/>
  <c r="P561" i="6"/>
  <c r="T561" i="6"/>
  <c r="F561" i="6"/>
  <c r="L561" i="6"/>
  <c r="D563" i="6"/>
  <c r="C562" i="6"/>
  <c r="E563" i="6"/>
  <c r="M562" i="6" l="1"/>
  <c r="Z562" i="6"/>
  <c r="K560" i="6"/>
  <c r="W561" i="6"/>
  <c r="V561" i="6"/>
  <c r="T562" i="6"/>
  <c r="Y562" i="6"/>
  <c r="I562" i="6"/>
  <c r="G562" i="6"/>
  <c r="L562" i="6"/>
  <c r="P562" i="6"/>
  <c r="Q562" i="6"/>
  <c r="N562" i="6"/>
  <c r="S562" i="6"/>
  <c r="R562" i="6"/>
  <c r="H562" i="6"/>
  <c r="U562" i="6"/>
  <c r="F562" i="6"/>
  <c r="J562" i="6"/>
  <c r="X562" i="6"/>
  <c r="O561" i="6"/>
  <c r="K561" i="6" s="1"/>
  <c r="D564" i="6"/>
  <c r="C563" i="6"/>
  <c r="E564" i="6"/>
  <c r="M563" i="6" l="1"/>
  <c r="Z563" i="6"/>
  <c r="V562" i="6"/>
  <c r="W562" i="6"/>
  <c r="O562" i="6"/>
  <c r="K562" i="6" s="1"/>
  <c r="R563" i="6"/>
  <c r="F563" i="6"/>
  <c r="N563" i="6"/>
  <c r="P563" i="6"/>
  <c r="U563" i="6"/>
  <c r="G563" i="6"/>
  <c r="L563" i="6"/>
  <c r="Q563" i="6"/>
  <c r="T563" i="6"/>
  <c r="X563" i="6"/>
  <c r="J563" i="6"/>
  <c r="S563" i="6"/>
  <c r="H563" i="6"/>
  <c r="Y563" i="6"/>
  <c r="I563" i="6"/>
  <c r="D565" i="6"/>
  <c r="C564" i="6"/>
  <c r="E565" i="6"/>
  <c r="M564" i="6" l="1"/>
  <c r="Z564" i="6"/>
  <c r="V563" i="6"/>
  <c r="W563" i="6"/>
  <c r="N564" i="6"/>
  <c r="Y564" i="6"/>
  <c r="H564" i="6"/>
  <c r="P564" i="6"/>
  <c r="S564" i="6"/>
  <c r="R564" i="6"/>
  <c r="F564" i="6"/>
  <c r="J564" i="6"/>
  <c r="T564" i="6"/>
  <c r="X564" i="6"/>
  <c r="U564" i="6"/>
  <c r="G564" i="6"/>
  <c r="L564" i="6"/>
  <c r="I564" i="6"/>
  <c r="Q564" i="6"/>
  <c r="O563" i="6"/>
  <c r="K563" i="6" s="1"/>
  <c r="D566" i="6"/>
  <c r="C565" i="6"/>
  <c r="E566" i="6"/>
  <c r="M565" i="6" l="1"/>
  <c r="Z565" i="6"/>
  <c r="V564" i="6"/>
  <c r="W564" i="6"/>
  <c r="O564" i="6"/>
  <c r="T565" i="6"/>
  <c r="X565" i="6"/>
  <c r="G565" i="6"/>
  <c r="J565" i="6"/>
  <c r="R565" i="6"/>
  <c r="U565" i="6"/>
  <c r="H565" i="6"/>
  <c r="L565" i="6"/>
  <c r="N565" i="6"/>
  <c r="I565" i="6"/>
  <c r="P565" i="6"/>
  <c r="S565" i="6"/>
  <c r="F565" i="6"/>
  <c r="Q565" i="6"/>
  <c r="Y565" i="6"/>
  <c r="D567" i="6"/>
  <c r="C566" i="6"/>
  <c r="E567" i="6"/>
  <c r="M566" i="6" l="1"/>
  <c r="Z566" i="6"/>
  <c r="K564" i="6"/>
  <c r="V565" i="6"/>
  <c r="W565" i="6"/>
  <c r="S566" i="6"/>
  <c r="I566" i="6"/>
  <c r="Q566" i="6"/>
  <c r="T566" i="6"/>
  <c r="F566" i="6"/>
  <c r="J566" i="6"/>
  <c r="R566" i="6"/>
  <c r="X566" i="6"/>
  <c r="G566" i="6"/>
  <c r="P566" i="6"/>
  <c r="N566" i="6"/>
  <c r="U566" i="6"/>
  <c r="Y566" i="6"/>
  <c r="H566" i="6"/>
  <c r="L566" i="6"/>
  <c r="O565" i="6"/>
  <c r="D568" i="6"/>
  <c r="C567" i="6"/>
  <c r="E568" i="6"/>
  <c r="M567" i="6" l="1"/>
  <c r="Z567" i="6"/>
  <c r="K565" i="6"/>
  <c r="W566" i="6"/>
  <c r="V566" i="6"/>
  <c r="O566" i="6"/>
  <c r="K566" i="6" s="1"/>
  <c r="G567" i="6"/>
  <c r="J567" i="6"/>
  <c r="Q567" i="6"/>
  <c r="H567" i="6"/>
  <c r="X567" i="6"/>
  <c r="L567" i="6"/>
  <c r="Y567" i="6"/>
  <c r="R567" i="6"/>
  <c r="N567" i="6"/>
  <c r="P567" i="6"/>
  <c r="S567" i="6"/>
  <c r="F567" i="6"/>
  <c r="I567" i="6"/>
  <c r="T567" i="6"/>
  <c r="U567" i="6"/>
  <c r="D569" i="6"/>
  <c r="C568" i="6"/>
  <c r="E569" i="6"/>
  <c r="M568" i="6" l="1"/>
  <c r="Z568" i="6"/>
  <c r="V567" i="6"/>
  <c r="W567" i="6"/>
  <c r="O567" i="6"/>
  <c r="K567" i="6" s="1"/>
  <c r="L568" i="6"/>
  <c r="H568" i="6"/>
  <c r="X568" i="6"/>
  <c r="J568" i="6"/>
  <c r="U568" i="6"/>
  <c r="P568" i="6"/>
  <c r="G568" i="6"/>
  <c r="N568" i="6"/>
  <c r="Q568" i="6"/>
  <c r="I568" i="6"/>
  <c r="F568" i="6"/>
  <c r="S568" i="6"/>
  <c r="R568" i="6"/>
  <c r="Y568" i="6"/>
  <c r="T568" i="6"/>
  <c r="D570" i="6"/>
  <c r="C569" i="6"/>
  <c r="E570" i="6"/>
  <c r="M569" i="6" l="1"/>
  <c r="Z569" i="6"/>
  <c r="V568" i="6"/>
  <c r="W568" i="6"/>
  <c r="O568" i="6"/>
  <c r="H569" i="6"/>
  <c r="P569" i="6"/>
  <c r="T569" i="6"/>
  <c r="J569" i="6"/>
  <c r="R569" i="6"/>
  <c r="L569" i="6"/>
  <c r="Y569" i="6"/>
  <c r="G569" i="6"/>
  <c r="I569" i="6"/>
  <c r="Q569" i="6"/>
  <c r="U569" i="6"/>
  <c r="F569" i="6"/>
  <c r="S569" i="6"/>
  <c r="X569" i="6"/>
  <c r="N569" i="6"/>
  <c r="D571" i="6"/>
  <c r="C570" i="6"/>
  <c r="E571" i="6"/>
  <c r="M570" i="6" l="1"/>
  <c r="Z570" i="6"/>
  <c r="K568" i="6"/>
  <c r="W569" i="6"/>
  <c r="V569" i="6"/>
  <c r="S570" i="6"/>
  <c r="Y570" i="6"/>
  <c r="X570" i="6"/>
  <c r="J570" i="6"/>
  <c r="U570" i="6"/>
  <c r="F570" i="6"/>
  <c r="I570" i="6"/>
  <c r="H570" i="6"/>
  <c r="L570" i="6"/>
  <c r="P570" i="6"/>
  <c r="T570" i="6"/>
  <c r="G570" i="6"/>
  <c r="Q570" i="6"/>
  <c r="R570" i="6"/>
  <c r="N570" i="6"/>
  <c r="O569" i="6"/>
  <c r="D572" i="6"/>
  <c r="C571" i="6"/>
  <c r="E572" i="6"/>
  <c r="M571" i="6" l="1"/>
  <c r="Z571" i="6"/>
  <c r="K569" i="6"/>
  <c r="V570" i="6"/>
  <c r="W570" i="6"/>
  <c r="P571" i="6"/>
  <c r="U571" i="6"/>
  <c r="F571" i="6"/>
  <c r="H571" i="6"/>
  <c r="Q571" i="6"/>
  <c r="I571" i="6"/>
  <c r="L571" i="6"/>
  <c r="S571" i="6"/>
  <c r="T571" i="6"/>
  <c r="N571" i="6"/>
  <c r="X571" i="6"/>
  <c r="G571" i="6"/>
  <c r="Y571" i="6"/>
  <c r="R571" i="6"/>
  <c r="J571" i="6"/>
  <c r="O570" i="6"/>
  <c r="K570" i="6" s="1"/>
  <c r="D573" i="6"/>
  <c r="C572" i="6"/>
  <c r="E573" i="6"/>
  <c r="M572" i="6" l="1"/>
  <c r="Z572" i="6"/>
  <c r="V571" i="6"/>
  <c r="W571" i="6"/>
  <c r="O571" i="6"/>
  <c r="K571" i="6" s="1"/>
  <c r="R572" i="6"/>
  <c r="J572" i="6"/>
  <c r="S572" i="6"/>
  <c r="P572" i="6"/>
  <c r="L572" i="6"/>
  <c r="T572" i="6"/>
  <c r="Y572" i="6"/>
  <c r="N572" i="6"/>
  <c r="H572" i="6"/>
  <c r="U572" i="6"/>
  <c r="F572" i="6"/>
  <c r="I572" i="6"/>
  <c r="Q572" i="6"/>
  <c r="G572" i="6"/>
  <c r="X572" i="6"/>
  <c r="D574" i="6"/>
  <c r="C573" i="6"/>
  <c r="E574" i="6"/>
  <c r="M573" i="6" l="1"/>
  <c r="Z573" i="6"/>
  <c r="W572" i="6"/>
  <c r="V572" i="6"/>
  <c r="O572" i="6"/>
  <c r="L573" i="6"/>
  <c r="R573" i="6"/>
  <c r="G573" i="6"/>
  <c r="U573" i="6"/>
  <c r="F573" i="6"/>
  <c r="S573" i="6"/>
  <c r="Y573" i="6"/>
  <c r="H573" i="6"/>
  <c r="I573" i="6"/>
  <c r="P573" i="6"/>
  <c r="X573" i="6"/>
  <c r="J573" i="6"/>
  <c r="Q573" i="6"/>
  <c r="T573" i="6"/>
  <c r="N573" i="6"/>
  <c r="D575" i="6"/>
  <c r="C574" i="6"/>
  <c r="E575" i="6"/>
  <c r="M574" i="6" l="1"/>
  <c r="Z574" i="6"/>
  <c r="K572" i="6"/>
  <c r="W573" i="6"/>
  <c r="V573" i="6"/>
  <c r="O573" i="6"/>
  <c r="K573" i="6" s="1"/>
  <c r="Q574" i="6"/>
  <c r="Y574" i="6"/>
  <c r="X574" i="6"/>
  <c r="G574" i="6"/>
  <c r="N574" i="6"/>
  <c r="U574" i="6"/>
  <c r="I574" i="6"/>
  <c r="H574" i="6"/>
  <c r="L574" i="6"/>
  <c r="J574" i="6"/>
  <c r="F574" i="6"/>
  <c r="P574" i="6"/>
  <c r="T574" i="6"/>
  <c r="S574" i="6"/>
  <c r="R574" i="6"/>
  <c r="C575" i="6"/>
  <c r="M575" i="6" l="1"/>
  <c r="Z575" i="6"/>
  <c r="W574" i="6"/>
  <c r="V574" i="6"/>
  <c r="O574" i="6"/>
  <c r="P575" i="6"/>
  <c r="X575" i="6"/>
  <c r="L575" i="6"/>
  <c r="R575" i="6"/>
  <c r="U575" i="6"/>
  <c r="S575" i="6"/>
  <c r="Y575" i="6"/>
  <c r="T575" i="6"/>
  <c r="F575" i="6"/>
  <c r="H575" i="6"/>
  <c r="N575" i="6"/>
  <c r="Q575" i="6"/>
  <c r="J575" i="6"/>
  <c r="G575" i="6"/>
  <c r="I575" i="6"/>
  <c r="K574" i="6" l="1"/>
  <c r="W575" i="6"/>
  <c r="V575" i="6"/>
  <c r="O575" i="6"/>
  <c r="K57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D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- Itens 4.6.1: 95% do comprimento do lance
- 8HV-7HV-001F: Lance de750m
- 8HV-7HV-001C: Lance de 750m
-TCC3-TCC36-001F: Lance de 500m</t>
        </r>
      </text>
    </comment>
    <comment ref="I306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Revisado para 6240m
Avanço Físico de 9000m
Medido 6240m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36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Valor Medido de 6000m
Avanço físico de 9000m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W1" authorId="0" shapeId="0" xr:uid="{00000000-0006-0000-0C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- Itens 4.6.1: 95% do comprimento do lance
- 8HV-7HV-001F: Lance de750m
- 8HV-7HV-001C: Lance de 750m
-TCC3-TCC36-001F: Lance de 500m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5" authorId="0" shapeId="0" xr:uid="{00000000-0006-0000-0F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Cabo TCC3-TCC36-001F com avanço físico de 9000m, mas foram medidos 6000m.</t>
        </r>
      </text>
    </comment>
    <comment ref="I15" authorId="0" shapeId="0" xr:uid="{00000000-0006-0000-0F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Retirados os 3000m do cabo TCC3-TCC36-001F</t>
        </r>
      </text>
    </comment>
    <comment ref="I20" authorId="0" shapeId="0" xr:uid="{00000000-0006-0000-0F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Medido na Projeção 25m de Cordão Óptico</t>
        </r>
      </text>
    </comment>
  </commentList>
</comments>
</file>

<file path=xl/sharedStrings.xml><?xml version="1.0" encoding="utf-8"?>
<sst xmlns="http://schemas.openxmlformats.org/spreadsheetml/2006/main" count="32703" uniqueCount="2321">
  <si>
    <t>Local</t>
  </si>
  <si>
    <t>Cabo</t>
  </si>
  <si>
    <t>Start</t>
  </si>
  <si>
    <t>Corresp</t>
  </si>
  <si>
    <t>Tipo</t>
  </si>
  <si>
    <t>Formação</t>
  </si>
  <si>
    <t>Tensão</t>
  </si>
  <si>
    <t>Isolamento</t>
  </si>
  <si>
    <t>Lances Totais</t>
  </si>
  <si>
    <t>Lances Realizados</t>
  </si>
  <si>
    <t>Compr. Prev.</t>
  </si>
  <si>
    <t>Compr. Real</t>
  </si>
  <si>
    <t>Compr. Lançado</t>
  </si>
  <si>
    <t>%Lanç</t>
  </si>
  <si>
    <t>DE</t>
  </si>
  <si>
    <t>PARA</t>
  </si>
  <si>
    <t>Teste de Continuidade</t>
  </si>
  <si>
    <t>Born a Born</t>
  </si>
  <si>
    <t>Megger</t>
  </si>
  <si>
    <t>Hipot</t>
  </si>
  <si>
    <t>QTDE Teste</t>
  </si>
  <si>
    <t>% de Testes Realizados</t>
  </si>
  <si>
    <t>Terminações</t>
  </si>
  <si>
    <t>Ligações</t>
  </si>
  <si>
    <t>Disponibilidade</t>
  </si>
  <si>
    <t>Lançamento de Cabos - Projeto Vesta</t>
  </si>
  <si>
    <t>Lançamento de Cabos - Geral</t>
  </si>
  <si>
    <t>Selecionar Área:</t>
  </si>
  <si>
    <t>Geral</t>
  </si>
  <si>
    <t>ESCOPO - Listas de Cabos</t>
  </si>
  <si>
    <t>Lista de Cabos</t>
  </si>
  <si>
    <t>Total (m)</t>
  </si>
  <si>
    <t>Lançado (m)</t>
  </si>
  <si>
    <t>%</t>
  </si>
  <si>
    <t>Qtde Total</t>
  </si>
  <si>
    <t>Qtde Lançada</t>
  </si>
  <si>
    <t>Saldo</t>
  </si>
  <si>
    <t>Força</t>
  </si>
  <si>
    <t>Controle</t>
  </si>
  <si>
    <t>Fibra Ótica</t>
  </si>
  <si>
    <t>Rede</t>
  </si>
  <si>
    <t>Lançamento de Cabos - Aterramento</t>
  </si>
  <si>
    <t>Avanço</t>
  </si>
  <si>
    <t>Total</t>
  </si>
  <si>
    <t>Realizado</t>
  </si>
  <si>
    <t>70 mm² 
19 Fios</t>
  </si>
  <si>
    <t>Teste Cont.</t>
  </si>
  <si>
    <t>25 mm² 
7 Fios</t>
  </si>
  <si>
    <t>Circuito</t>
  </si>
  <si>
    <t>Compr. Total</t>
  </si>
  <si>
    <t>% Lanç</t>
  </si>
  <si>
    <t>Status Liberação</t>
  </si>
  <si>
    <t>Ligações Realizadas</t>
  </si>
  <si>
    <t>Tag do Cabo</t>
  </si>
  <si>
    <t>Tensão do Circuito</t>
  </si>
  <si>
    <t>Classe Isolamento</t>
  </si>
  <si>
    <t>Bitola (mm²)</t>
  </si>
  <si>
    <t>Qtd de Lances</t>
  </si>
  <si>
    <t>Comprimento Lance</t>
  </si>
  <si>
    <t>Comprimento Total</t>
  </si>
  <si>
    <t>Local para Curva de Acomp.</t>
  </si>
  <si>
    <t>Item Medição</t>
  </si>
  <si>
    <t>Qtde. Lançada</t>
  </si>
  <si>
    <t>Qtde Ligações</t>
  </si>
  <si>
    <t>Revisão</t>
  </si>
  <si>
    <t>Luvas/Anilhas</t>
  </si>
  <si>
    <t>ID_Atividade</t>
  </si>
  <si>
    <t>Data de Solcitação do Cabo</t>
  </si>
  <si>
    <t>Data de Liberação dos Cabos</t>
  </si>
  <si>
    <t>Histórico</t>
  </si>
  <si>
    <t>Bobina</t>
  </si>
  <si>
    <t>Programação</t>
  </si>
  <si>
    <t>Comprimento Real</t>
  </si>
  <si>
    <t>Sinal</t>
  </si>
  <si>
    <t>%Ligações</t>
  </si>
  <si>
    <t>Diagrama de Ligação</t>
  </si>
  <si>
    <t>Folha DI</t>
  </si>
  <si>
    <t>NE</t>
  </si>
  <si>
    <t>OBS</t>
  </si>
  <si>
    <t>125VCC-1HVBUS3-001F</t>
  </si>
  <si>
    <t>0,6/1</t>
  </si>
  <si>
    <t>1x2/C#4</t>
  </si>
  <si>
    <t>1HV</t>
  </si>
  <si>
    <t>PAINEL DE 125Vcc (nota 2)</t>
  </si>
  <si>
    <t>1HV-BUS3 - PAINEL 13,8kV - ALIM 1</t>
  </si>
  <si>
    <t>Sim</t>
  </si>
  <si>
    <t>---</t>
  </si>
  <si>
    <t>5.10.2</t>
  </si>
  <si>
    <t>BK-SP54-0900A-LC-74-00001_00000</t>
  </si>
  <si>
    <t>ELE-0480</t>
  </si>
  <si>
    <t>22/01/2021: Liberação da Bobina, Nota1: Estas bobinas (n.72 e n.207), foram liberadas para Montcalm em 20-11-20, para retirada parcial.</t>
  </si>
  <si>
    <t>PR-LC-0004</t>
  </si>
  <si>
    <t>-</t>
  </si>
  <si>
    <t>1HVx1MV</t>
  </si>
  <si>
    <t>BK-SP54-0900B-DI-74-00452</t>
  </si>
  <si>
    <t>7</t>
  </si>
  <si>
    <t>125VCC-PSDC2-001F</t>
  </si>
  <si>
    <t>PSDC2 - PAINEL DE REJEICAO DE CARGAS 1</t>
  </si>
  <si>
    <t>BK-SP54-0900B-DI-74-00450</t>
  </si>
  <si>
    <t>25</t>
  </si>
  <si>
    <t>1HVBUS3-ER1HV-001C</t>
  </si>
  <si>
    <t>FO</t>
  </si>
  <si>
    <t>CORDÃO ÓPTICO</t>
  </si>
  <si>
    <t>FIBRA</t>
  </si>
  <si>
    <t>1HV-BUS3</t>
  </si>
  <si>
    <t>ER-3</t>
  </si>
  <si>
    <t>5.6.1</t>
  </si>
  <si>
    <t>N/A</t>
  </si>
  <si>
    <t>22/01/2021: Liberação da Bobina</t>
  </si>
  <si>
    <t>NE 3147548</t>
  </si>
  <si>
    <t>30</t>
  </si>
  <si>
    <t>1HVBUS3-ER1HV-002C</t>
  </si>
  <si>
    <t>1HVBUS3-ER1HV-003C</t>
  </si>
  <si>
    <t>1HVBUS3-ER1HV-004C</t>
  </si>
  <si>
    <t>1HVBUS3-ER1HV-005C</t>
  </si>
  <si>
    <t>220V-1HVBUS3-001F</t>
  </si>
  <si>
    <t>PAINEL DE 220/127V (nota 2)</t>
  </si>
  <si>
    <t>1HV-BUS3 - PAINEL 13,8kV</t>
  </si>
  <si>
    <t>220V-PSDC2-001F</t>
  </si>
  <si>
    <t>TR2-1HV-002F</t>
  </si>
  <si>
    <t>8,7/15</t>
  </si>
  <si>
    <t>6x3x1/C#150</t>
  </si>
  <si>
    <t>EMENDA NA 1HV - PORAO DE CABOS</t>
  </si>
  <si>
    <t>PAINEL 1HV-BUS3</t>
  </si>
  <si>
    <t>5.2.3</t>
  </si>
  <si>
    <t>01/03/2021: Cabos em compra, previsão para 07-03 a 15-03</t>
  </si>
  <si>
    <t>6</t>
  </si>
  <si>
    <t>TR6A-1HVBUS3-001F</t>
  </si>
  <si>
    <t>3x3x1/C#120</t>
  </si>
  <si>
    <t>TR-6A</t>
  </si>
  <si>
    <t>CUBICULO TR-6A (1HV-BUS3)</t>
  </si>
  <si>
    <t>TR8-1HVBUS1-001F</t>
  </si>
  <si>
    <t>1x3x1/C#120</t>
  </si>
  <si>
    <t>EMENDA NA 1HV - PORÃO DE CABOS</t>
  </si>
  <si>
    <t>CUBICULO TR-8 (1HV-BUS1)</t>
  </si>
  <si>
    <t>GAINE-1HVBUS3-001C</t>
  </si>
  <si>
    <t>1x1x12/C#2,5</t>
  </si>
  <si>
    <t>GAINE 2</t>
  </si>
  <si>
    <t>1HV-BUS3 - PAINEL 13,8kV - 52D1</t>
  </si>
  <si>
    <t>5.8.1</t>
  </si>
  <si>
    <t>Controle 2/18</t>
  </si>
  <si>
    <t>8</t>
  </si>
  <si>
    <t>GAINE-1HVBUS3-002C</t>
  </si>
  <si>
    <t>GAINE-1HVBUS3-003C</t>
  </si>
  <si>
    <t>PSDC2-1HV-001C</t>
  </si>
  <si>
    <t>1x1x7/C#2,5</t>
  </si>
  <si>
    <t>PSDC2 - PAINEL DE REJEICAO DE CARGAS 2 - regua BNC</t>
  </si>
  <si>
    <t>DJ. 1HV-24HV1</t>
  </si>
  <si>
    <t>22/01/2021: Liberação da Bobina
02/03/2021: Alterada a Bobina de 70 para 225, verifciar se atenderá os lançamentos</t>
  </si>
  <si>
    <t>26</t>
  </si>
  <si>
    <t>PSDC2-1HV-002C</t>
  </si>
  <si>
    <t>DJ. 1HV-24HV2</t>
  </si>
  <si>
    <t>PSDC2-1HV-003C</t>
  </si>
  <si>
    <t>DJ. GE902</t>
  </si>
  <si>
    <t>CBO001-SEL</t>
  </si>
  <si>
    <t>ER-4</t>
  </si>
  <si>
    <t>Rede Fibra</t>
  </si>
  <si>
    <t>PSDC2-1MV-001C</t>
  </si>
  <si>
    <t>DJ. 1MV-B1-GA-905C</t>
  </si>
  <si>
    <t>PR-LC-0005</t>
  </si>
  <si>
    <t>27</t>
  </si>
  <si>
    <t>PSDC2-1MV-002C</t>
  </si>
  <si>
    <t>DJ. 1MV-B1-GA-902D</t>
  </si>
  <si>
    <t>PSDC2-1MV-003C</t>
  </si>
  <si>
    <t>DJ. 1MV-B1-GB-302</t>
  </si>
  <si>
    <t>PSDC2-1MV-004C</t>
  </si>
  <si>
    <t>DJ. 1MV-B1-GA-208D</t>
  </si>
  <si>
    <t>PSDC2-1MV-005C</t>
  </si>
  <si>
    <t>DJ. 1MV-B1-GB-601/602</t>
  </si>
  <si>
    <t>PSDC2-1MV-006C</t>
  </si>
  <si>
    <t>DJ. 1MV-B1-GB-966</t>
  </si>
  <si>
    <t>28</t>
  </si>
  <si>
    <t>PSDC2-1MV-007C</t>
  </si>
  <si>
    <t>DJ. 1MV-B1-GB-967A</t>
  </si>
  <si>
    <t>PSDC2-1MV-008C</t>
  </si>
  <si>
    <t>DJ. 1MV-B1-GB-967B</t>
  </si>
  <si>
    <t>PSDC2-1MV-009C</t>
  </si>
  <si>
    <t>DJ. 1MV-B1-GA-906E</t>
  </si>
  <si>
    <t>PSDC2-1MV-010C</t>
  </si>
  <si>
    <t>DJ. 1MV-B1-GA-203F</t>
  </si>
  <si>
    <t>U-2278</t>
  </si>
  <si>
    <t>2P#1,0mm²+SHI+SHC</t>
  </si>
  <si>
    <t>SUBESTAÇÃO 1HV/PAINEL 1MV</t>
  </si>
  <si>
    <t>CCP/SDCD AQUENTE2</t>
  </si>
  <si>
    <t>4.6.1</t>
  </si>
  <si>
    <t>BK-SP54-00200-LC-80-00699_00000</t>
  </si>
  <si>
    <t>Controle 1/18</t>
  </si>
  <si>
    <t>INST-1250</t>
  </si>
  <si>
    <t xml:space="preserve">08/01/2021: Em compra
14/01/2021: Liberação da Bobina 217
15/01/2021: Notificado pelo Rogério que a disponibilidade da bobina 217 deve ser desconsiderada para esse circuito.
19/01/2021: Notificado em email que a bobina deve ser a bobina 73. 
</t>
  </si>
  <si>
    <t>PR-LC-0006</t>
  </si>
  <si>
    <t>Digital (N.I.S.)</t>
  </si>
  <si>
    <t>1HVxCCP</t>
  </si>
  <si>
    <t>BK-SP54-00200-DI-80-05653/BK-SP54-00200-DI-80-05659</t>
  </si>
  <si>
    <t>112/104</t>
  </si>
  <si>
    <t>1MV-GAM-906E-001C</t>
  </si>
  <si>
    <t>1x9/C#2,5</t>
  </si>
  <si>
    <t>PAINEL 1MV</t>
  </si>
  <si>
    <t>1MV-GAINE IV (COMANDO)</t>
  </si>
  <si>
    <t>ELE-0800</t>
  </si>
  <si>
    <t>22/01/2021: Liberação da Bobina, Nota 3: Esta bobina foi paga para a Montcalm em 23-11-20, já para atender estes circuitos. Verificar - bobina deve estar em posse da Montcam ou a mesma não retirou do almoxarifado.</t>
  </si>
  <si>
    <t>PR-LC-0007</t>
  </si>
  <si>
    <t>1MV</t>
  </si>
  <si>
    <t>2</t>
  </si>
  <si>
    <t>1MV-GBM-967B-001C</t>
  </si>
  <si>
    <t>ELE-1250</t>
  </si>
  <si>
    <t>1</t>
  </si>
  <si>
    <t>1MV-GBM-208A-001C</t>
  </si>
  <si>
    <t>ELE-1090</t>
  </si>
  <si>
    <t>22/01/2021: Liberação da Bobina, Nota 3: Esta bobina foi paga para a Montcalm em 23-11-20, já para atender estes circuitos. Verificar - bobina deve estar em posse da Montcam ou a mesma não retirou do almoxarifado.
02/03/2021: Alterada a bobina de 71 para 225, avaliar se atenderá o lançamento dos cabos.</t>
  </si>
  <si>
    <t>5</t>
  </si>
  <si>
    <t>1MV-GBM-967A-001C</t>
  </si>
  <si>
    <t>ELE-1150</t>
  </si>
  <si>
    <t>4</t>
  </si>
  <si>
    <t>U-91156</t>
  </si>
  <si>
    <t>1P#1,5mm²+SHI</t>
  </si>
  <si>
    <t>SALA EL. 1MV (CCM - GBM-967A)</t>
  </si>
  <si>
    <t>SIS - TMR-XVIII</t>
  </si>
  <si>
    <t>BK-SP54-0900A-LC-80-00187_00000</t>
  </si>
  <si>
    <t>INST-1610</t>
  </si>
  <si>
    <t>08/01/2021: Liberação da bobina</t>
  </si>
  <si>
    <t>NE 901166</t>
  </si>
  <si>
    <t>PR-LC-0008</t>
  </si>
  <si>
    <t>1MVxCCU</t>
  </si>
  <si>
    <t>BK-SP54-0900A-DI-80-01645/BK-SP54-0900A-DI-80-01646</t>
  </si>
  <si>
    <t>1/37</t>
  </si>
  <si>
    <t>U-91157</t>
  </si>
  <si>
    <t>1/1, 47</t>
  </si>
  <si>
    <t>U-91158</t>
  </si>
  <si>
    <t>1P#1,0mm²+SHI</t>
  </si>
  <si>
    <t>SALA EL. 1MV (CCM - GBM-967B)</t>
  </si>
  <si>
    <t>3/44</t>
  </si>
  <si>
    <t>U-91159</t>
  </si>
  <si>
    <t>14/01/2021: Liberação da bobina</t>
  </si>
  <si>
    <t>3/16, 48</t>
  </si>
  <si>
    <t>1MV-GAM-906E-001AQ-ANT</t>
  </si>
  <si>
    <t>GA-906E</t>
  </si>
  <si>
    <t>PAINEL DE RESISTENCIA DE AQUECIMENTO</t>
  </si>
  <si>
    <t>MOTOR GAM-906E (AQUECIMENTO)</t>
  </si>
  <si>
    <t>1MVxGA-906E</t>
  </si>
  <si>
    <t>1MV-GAM-906E-001F</t>
  </si>
  <si>
    <t>3,6/6</t>
  </si>
  <si>
    <t>3x1x1/C#185</t>
  </si>
  <si>
    <t>MOTOR GAM-906E</t>
  </si>
  <si>
    <t>5.2.13</t>
  </si>
  <si>
    <t>22/01/2021: Liberação da Bobina, Nota 4: Estas bobinas foram pago para a Montcalm em 15-12-20. Verificar - bobina devem estar em posse da Montcam ou a mesma não retirou do almoxarifado.</t>
  </si>
  <si>
    <t>1MV-GAM-906E-001SA</t>
  </si>
  <si>
    <t>4-20mA</t>
  </si>
  <si>
    <t>1x8T#1,0</t>
  </si>
  <si>
    <t>MOTOR GAM-906E (RTD)</t>
  </si>
  <si>
    <t>5.7.1</t>
  </si>
  <si>
    <t>22/01/2021: Liberação da Bobina, Nota 2: A bobina está com 700m de cabos, para uma necessidade de 780 metros. A Montcalm deve verificar no campo se os 700metros é suficiente (medir rota).</t>
  </si>
  <si>
    <t>1MV-GAM-906E-002C</t>
  </si>
  <si>
    <t>1MV-GAINE IV</t>
  </si>
  <si>
    <t>MOTOR GAM-906E (BOTOEIRA)</t>
  </si>
  <si>
    <t>U-91134</t>
  </si>
  <si>
    <t xml:space="preserve">4P#1,0mm²+SHI+SHC </t>
  </si>
  <si>
    <t>PL-90-127X - GA-906E</t>
  </si>
  <si>
    <t>BK-SP54-0900A-LC-80-00185_00000</t>
  </si>
  <si>
    <t>INST-1160</t>
  </si>
  <si>
    <t>BK-SP54-0900A-DI-80-01647</t>
  </si>
  <si>
    <t>U-91135</t>
  </si>
  <si>
    <t>3</t>
  </si>
  <si>
    <t>1MV-GAM-208A-001F</t>
  </si>
  <si>
    <t>3x1x1/C#120</t>
  </si>
  <si>
    <t>GB-208A</t>
  </si>
  <si>
    <t>MOTOR GAM-208A</t>
  </si>
  <si>
    <t>1MVxGB-208A</t>
  </si>
  <si>
    <t>1MV-GBM-208A-001AQ-ANT</t>
  </si>
  <si>
    <t>1x2/C#6</t>
  </si>
  <si>
    <t>MOTOR GAM-208A (AQUECIMENTO)</t>
  </si>
  <si>
    <t>5.3.3</t>
  </si>
  <si>
    <t>22/01/2021: Liberação da Bobina
09/02/2021: Cabos em compra (bobina antiga: NE 330264)</t>
  </si>
  <si>
    <t>NE 330264</t>
  </si>
  <si>
    <t>1MV-GBM-208A-001SA</t>
  </si>
  <si>
    <t>MOTOR GBM-208A (RTD)</t>
  </si>
  <si>
    <t>22/01/2021: Liberação da Bobina, Nota 2: A bobina está com 700m de cabos, para uma necessidade de 780 metros. A Montcalm deve verificar no campo se os 700metros é suficiente (medir rota).
09/02/2021: Cabos em compra (bobina antiga: 130)</t>
  </si>
  <si>
    <t>1MV-GBM-208A-002C</t>
  </si>
  <si>
    <t>MOTOR GBM-208A (BOTOEIRA)</t>
  </si>
  <si>
    <t>22/01/2021: Liberação da Bobina, Nota 3: Esta bobina foi paga para a Montcalm em 23-11-20, já para atender estes circuitos. Verificar - bobina deve estar em posse da Montcam ou a mesma não retirou do almoxarifado.
09/02/2021: Cabos em compra (bobina antiga: 71)</t>
  </si>
  <si>
    <t>NE 932951</t>
  </si>
  <si>
    <t>1MV-GBM-967A-001AQ-ANT</t>
  </si>
  <si>
    <t>1x2/C#10</t>
  </si>
  <si>
    <t>GB-967A/B</t>
  </si>
  <si>
    <t>MOTOR GBM-967A (AQUECIMENTO)</t>
  </si>
  <si>
    <t>5.5.2</t>
  </si>
  <si>
    <t>1MVxGB-967A</t>
  </si>
  <si>
    <t>1MV-GBM-967A-001F</t>
  </si>
  <si>
    <t>MOTOR GBM-967A</t>
  </si>
  <si>
    <t>1MV-GBM-967A-001SA</t>
  </si>
  <si>
    <t>MOTOR GBM-967A (RTD)</t>
  </si>
  <si>
    <t>1MV-GBM-967A-002C</t>
  </si>
  <si>
    <t>MOTOR GBM-967A (BOTOEIRA)</t>
  </si>
  <si>
    <t>1MV-GBM-967B-001AQ-ANT</t>
  </si>
  <si>
    <t>MOTOR GBM-967B (AQUECIMENTO)</t>
  </si>
  <si>
    <t>1MVxGB-967B</t>
  </si>
  <si>
    <t>1MV-GBM-967B-001F</t>
  </si>
  <si>
    <t>MOTOR GBM-967B</t>
  </si>
  <si>
    <t>1MV-GBM-967B-001SA</t>
  </si>
  <si>
    <t>MOTOR GBM-967B (RTD)</t>
  </si>
  <si>
    <t>1MV-GBM-967B-002C</t>
  </si>
  <si>
    <t>MOTOR GBM-967B (BOTOEIRA)</t>
  </si>
  <si>
    <t>CDC-02290</t>
  </si>
  <si>
    <t>DIO-120-104 (30LV)</t>
  </si>
  <si>
    <t>SWT-120-105 (30LV)</t>
  </si>
  <si>
    <t>4.3.1</t>
  </si>
  <si>
    <t>BK-SP54-0900A-LC-90-00004_00000</t>
  </si>
  <si>
    <t>INST-2170</t>
  </si>
  <si>
    <t>11/01/2021: Liberação da bobina</t>
  </si>
  <si>
    <t>NE 3046024</t>
  </si>
  <si>
    <t>PR-LC-0009</t>
  </si>
  <si>
    <t>30LV</t>
  </si>
  <si>
    <t>Não Localizado</t>
  </si>
  <si>
    <t>CDC-02331</t>
  </si>
  <si>
    <t>PI-1205 (ACESSO REMOTO)</t>
  </si>
  <si>
    <t>28/10/2020: Respondido que havia 1 cordão óptico de 5m disponível, verificar se são necessários dois cordões ópticos.</t>
  </si>
  <si>
    <t>NE 3018894</t>
  </si>
  <si>
    <t>BK-SP54-00200-DP-90-00023</t>
  </si>
  <si>
    <t>CDC-12021</t>
  </si>
  <si>
    <t>CABO ETHERNET</t>
  </si>
  <si>
    <t>REDE</t>
  </si>
  <si>
    <t>PC TRISTATION P1</t>
  </si>
  <si>
    <t>4.4.1</t>
  </si>
  <si>
    <t>28/10/2020: Resposta da Solicitação</t>
  </si>
  <si>
    <t>CDC-12022</t>
  </si>
  <si>
    <t>NET 2 SWITCH</t>
  </si>
  <si>
    <t>CDC-12023</t>
  </si>
  <si>
    <t>NET 1 GB-1201</t>
  </si>
  <si>
    <t>PR-LC-0001</t>
  </si>
  <si>
    <t>CDC-12024</t>
  </si>
  <si>
    <t>NET 1 GB-1203</t>
  </si>
  <si>
    <t>CDC-12025</t>
  </si>
  <si>
    <t>NET 1 GB-1204</t>
  </si>
  <si>
    <t>CDC-12026</t>
  </si>
  <si>
    <t>PC TRILOGGER P1</t>
  </si>
  <si>
    <t>CDC-12027</t>
  </si>
  <si>
    <t>PC TRISTATION P2</t>
  </si>
  <si>
    <t>CDC-12028</t>
  </si>
  <si>
    <t>PC TRILOGGER P2</t>
  </si>
  <si>
    <t>PI-1201-RCK120-103-001F</t>
  </si>
  <si>
    <t>1x1x3/C#4</t>
  </si>
  <si>
    <t>PI-1201</t>
  </si>
  <si>
    <t>ALIMENTAÇÃO RCK-120-103</t>
  </si>
  <si>
    <t>ELE-3090</t>
  </si>
  <si>
    <t>NE 3206802</t>
  </si>
  <si>
    <t>PI-1203-RCK120-103-001F</t>
  </si>
  <si>
    <t>PI-1203</t>
  </si>
  <si>
    <t>U-12574</t>
  </si>
  <si>
    <t>4P#1,0mm²+SHI+SHC (N.I.S.)</t>
  </si>
  <si>
    <t xml:space="preserve">JBI-120-102X </t>
  </si>
  <si>
    <t>30LV/UCP LI-1201A</t>
  </si>
  <si>
    <t>BK-SP54-01200-LC-80-00004_00000</t>
  </si>
  <si>
    <t>26/10/2020: Resposta para liberação
04/11/2020: Revisada planta de instrumentação, nova rota de cabos
18/11/2020: Pendente fornecimento de parafusos cabeça lentilha, para fixação das eletrocalhas.</t>
  </si>
  <si>
    <t>30LVxGB-1201</t>
  </si>
  <si>
    <t>SOK0898307</t>
  </si>
  <si>
    <t>U-12575</t>
  </si>
  <si>
    <t>1P#1,0mm²+SHI (N.I.S.)</t>
  </si>
  <si>
    <t>JB LEAKAGE DETECTOR
(LSH-12008X)</t>
  </si>
  <si>
    <t>U-12576</t>
  </si>
  <si>
    <t>12P#1,0mm²+SHI+SHC (I.S.)</t>
  </si>
  <si>
    <t>EJB-12506X</t>
  </si>
  <si>
    <t>Analógico (I.S.)</t>
  </si>
  <si>
    <t>U-12592</t>
  </si>
  <si>
    <t>1T#1,0mm²+SHI (I.S.)</t>
  </si>
  <si>
    <t xml:space="preserve">JBI-120-103X </t>
  </si>
  <si>
    <t>26/10/2020: Cabos estão para compra
15/01/2021: Liberação da Bobina</t>
  </si>
  <si>
    <t>U-12593</t>
  </si>
  <si>
    <t>8P#1,0mm²+SHI+SHC (I.S.)</t>
  </si>
  <si>
    <t>EJB-12505X</t>
  </si>
  <si>
    <t>U-12793</t>
  </si>
  <si>
    <t xml:space="preserve">JBI-120-101X </t>
  </si>
  <si>
    <t>U-12564</t>
  </si>
  <si>
    <t>JBI-120-107X</t>
  </si>
  <si>
    <t>30LV/UCP LI-1203A</t>
  </si>
  <si>
    <t>30LVxGB-1203</t>
  </si>
  <si>
    <t>SOK0898310/SOK0898307</t>
  </si>
  <si>
    <t>39/19</t>
  </si>
  <si>
    <t>U-12565</t>
  </si>
  <si>
    <t>JB LEAKAGE DETECTOR
(LSH-12005X)</t>
  </si>
  <si>
    <t>SOK0898310</t>
  </si>
  <si>
    <t>U-12675</t>
  </si>
  <si>
    <t>12P#1,5mm²+SHI+SHC (I.S.)</t>
  </si>
  <si>
    <t>7HV/GBM-1203-INV</t>
  </si>
  <si>
    <t>Digital (I.S.)</t>
  </si>
  <si>
    <t>U-12676</t>
  </si>
  <si>
    <t>EJB-12606X</t>
  </si>
  <si>
    <t>U-12678</t>
  </si>
  <si>
    <t>8T#1,0mm²+SHI+SHC (I.S.)</t>
  </si>
  <si>
    <t>JBI-120-105X</t>
  </si>
  <si>
    <t>U-12690</t>
  </si>
  <si>
    <t xml:space="preserve">JBI-120-104X </t>
  </si>
  <si>
    <t>21/22/24</t>
  </si>
  <si>
    <t>U-12697</t>
  </si>
  <si>
    <t>4P#1,0mm²+SHI+SHC (I.S.)</t>
  </si>
  <si>
    <t>JBI-120-106X</t>
  </si>
  <si>
    <t>U-12698</t>
  </si>
  <si>
    <t>2P#1,0mm²+SHI+SHC (N.I.S.)</t>
  </si>
  <si>
    <t xml:space="preserve">JBI-120-106X </t>
  </si>
  <si>
    <t>8, 12</t>
  </si>
  <si>
    <t>U-12700</t>
  </si>
  <si>
    <t>4T#1,0mm²+SHI+SHC (I.S.)</t>
  </si>
  <si>
    <t>7HV FS-C001</t>
  </si>
  <si>
    <t>1x1x3xC#1,5</t>
  </si>
  <si>
    <t>7HV</t>
  </si>
  <si>
    <t>CELLAR AREA (7HV-FS-01)</t>
  </si>
  <si>
    <t>E-HOUSE (PA-7HV-COM)</t>
  </si>
  <si>
    <t>E5WP000490-C-001-LC004</t>
  </si>
  <si>
    <t>Já impresso</t>
  </si>
  <si>
    <t>PR-LC-0000</t>
  </si>
  <si>
    <t>E5WP000490-C-002-DE004</t>
  </si>
  <si>
    <t>7HV FS-C002</t>
  </si>
  <si>
    <t>7HV-M001</t>
  </si>
  <si>
    <t>1x3x1/C#70</t>
  </si>
  <si>
    <t>E-HOUSE (7HV)</t>
  </si>
  <si>
    <t>CELLAR AREA (TR-09A)</t>
  </si>
  <si>
    <t>5.2.4</t>
  </si>
  <si>
    <t>E5WP000490-C-001-LC003</t>
  </si>
  <si>
    <t>E5WP000490-C-002-DE003</t>
  </si>
  <si>
    <t>7HV-M002</t>
  </si>
  <si>
    <t>CELLAR AREA (TR-09B)</t>
  </si>
  <si>
    <t>7HV-M003</t>
  </si>
  <si>
    <t>CELLAR AREA (TR-27)</t>
  </si>
  <si>
    <t>7HV-M004</t>
  </si>
  <si>
    <t>CELLAR AREA (TR-08A/B)</t>
  </si>
  <si>
    <t>7HV-M005</t>
  </si>
  <si>
    <t>CELLAR AREA (TR-24A)</t>
  </si>
  <si>
    <t>7HV-M006</t>
  </si>
  <si>
    <t>CELLAR AREA (TR-24B)</t>
  </si>
  <si>
    <t>7HV-M007</t>
  </si>
  <si>
    <t>1x3x1/C#95</t>
  </si>
  <si>
    <t>CELLAR AREA (TR-26A)</t>
  </si>
  <si>
    <t>7HV-M008</t>
  </si>
  <si>
    <t>CELLAR AREA (TR-26B)</t>
  </si>
  <si>
    <t>BCH18027HV-B001</t>
  </si>
  <si>
    <t>1x1x4/C#10</t>
  </si>
  <si>
    <t>CELLAR AREA (BCH18-PO-02-7HV)</t>
  </si>
  <si>
    <t>E-HOUSE (BCH18-02-7HV)</t>
  </si>
  <si>
    <t>BCH18BAT027HV-B001</t>
  </si>
  <si>
    <t>CELLAR AREA (BCH18-BAT-02-7HV)</t>
  </si>
  <si>
    <t>BCH18BAT-B001</t>
  </si>
  <si>
    <t>CELLAR AREA (BCH18-BAT)</t>
  </si>
  <si>
    <t>CELLAR AREA (BCH18-POT)</t>
  </si>
  <si>
    <t>BCH18POT-B001</t>
  </si>
  <si>
    <t>E-HOUSE (BCH18-7HV)</t>
  </si>
  <si>
    <t>CDC-12015</t>
  </si>
  <si>
    <t>MCV-120-103 (RCK-120-102) / ELETROCENTRO MOTORIZAÇÃO</t>
  </si>
  <si>
    <t>PL-120-101 / ELETROCENTRO MOTORIZAÇÃO</t>
  </si>
  <si>
    <t>BK-SP54-0900B-LC-90-00010_00000</t>
  </si>
  <si>
    <t>27/10/2020: Resposta à solicitação</t>
  </si>
  <si>
    <t>PR-LC-0010</t>
  </si>
  <si>
    <t>SOK0902199</t>
  </si>
  <si>
    <t>CDC-12019</t>
  </si>
  <si>
    <t>INVERSOR GB-1201
 (Eletrocentro da Motorização)</t>
  </si>
  <si>
    <t>RACK-120-102 - SWT-120-102</t>
  </si>
  <si>
    <t>INST-1470</t>
  </si>
  <si>
    <t>BK-SP54-00000-DF-90-00064</t>
  </si>
  <si>
    <t>CDC-12020</t>
  </si>
  <si>
    <t>INVERSOR GB-1203
 (Eletrocentro da Motorização)</t>
  </si>
  <si>
    <t>CDC-2288</t>
  </si>
  <si>
    <t>INVERSOR GB-200 
(Eletrocentro da Motorização)</t>
  </si>
  <si>
    <t>RACK-120-102 - SWT-120-103</t>
  </si>
  <si>
    <t>CDC-3505</t>
  </si>
  <si>
    <t>INVERSOR GB-351 
(Eletrocentro da Motorização)</t>
  </si>
  <si>
    <t>RACK-120-102 - SWT-120-104</t>
  </si>
  <si>
    <t>CL7HVC001</t>
  </si>
  <si>
    <t>1x1x25xC#1,5</t>
  </si>
  <si>
    <t>CELLAR AREA (CL-7HV)</t>
  </si>
  <si>
    <t>E-HOUSE (GB-1201-INV)</t>
  </si>
  <si>
    <t>CL7HVC002</t>
  </si>
  <si>
    <t>1x1x9xC#1,5</t>
  </si>
  <si>
    <t>CL7HVC003</t>
  </si>
  <si>
    <t>1x1x5xC#1,5</t>
  </si>
  <si>
    <t>CL7HVC004</t>
  </si>
  <si>
    <t>E-HOUSE (GB-351-INV)</t>
  </si>
  <si>
    <t>CL7HVC005</t>
  </si>
  <si>
    <t>CL7HVC006</t>
  </si>
  <si>
    <t>GB1201INV-C002</t>
  </si>
  <si>
    <t>1x1x15xC#1,5</t>
  </si>
  <si>
    <t>GB351INV-C002</t>
  </si>
  <si>
    <t>PSDC4-1HV-001C</t>
  </si>
  <si>
    <t>PSDC4 - PAINEL DE REJEICAO DE CARGAS 4 - regua BNC</t>
  </si>
  <si>
    <t>DJ. 7HV-GB-351</t>
  </si>
  <si>
    <t>20/11/2020: Resposta da Solicitação</t>
  </si>
  <si>
    <t>PR-LC-0002</t>
  </si>
  <si>
    <t>23</t>
  </si>
  <si>
    <t>PSDC4-1HV-002C</t>
  </si>
  <si>
    <t>DJ. 7HV-GB-1201</t>
  </si>
  <si>
    <t>PSDC4-1MV-001C</t>
  </si>
  <si>
    <t>DJ. 7HV-GB-200</t>
  </si>
  <si>
    <t>PSDC4-1MV-002C</t>
  </si>
  <si>
    <t>DJ. 7HV-52HV7</t>
  </si>
  <si>
    <t>PSDC4-TC-7HV-001C</t>
  </si>
  <si>
    <t>0,6/0</t>
  </si>
  <si>
    <t>PSDC4 - PAINEL DE REJEICAO DE CARGAS 4 - regua BNI</t>
  </si>
  <si>
    <t>TC ENTRADA 7HV</t>
  </si>
  <si>
    <t>22</t>
  </si>
  <si>
    <t>RSTR27-C001</t>
  </si>
  <si>
    <t>CELLAR AREA (RS-TR-27)</t>
  </si>
  <si>
    <t>E-HOUSE (TCC-49)</t>
  </si>
  <si>
    <t>RSTR27-P001</t>
  </si>
  <si>
    <t>PE</t>
  </si>
  <si>
    <t>1x1x1/C#16</t>
  </si>
  <si>
    <t>MALHA DE TERRA (-)</t>
  </si>
  <si>
    <t>TCC05A-B001</t>
  </si>
  <si>
    <t>1x1x3/C#2,5</t>
  </si>
  <si>
    <t>CELLAR AREA (TR-05A)</t>
  </si>
  <si>
    <t>CELLAR AREA (TR-05B)</t>
  </si>
  <si>
    <t>TCC09A-B001</t>
  </si>
  <si>
    <t>TCC24A-B001</t>
  </si>
  <si>
    <t>TCC26A-B001</t>
  </si>
  <si>
    <t>TCC49-B003</t>
  </si>
  <si>
    <t>1x1x4/C#6</t>
  </si>
  <si>
    <t>CELLAR AREA (TRN-04A)</t>
  </si>
  <si>
    <t>TCC49-B012</t>
  </si>
  <si>
    <t>CELLAR AREA (TRN-03A)</t>
  </si>
  <si>
    <t>TCC49-B014</t>
  </si>
  <si>
    <t>1x1x1/C#2,5</t>
  </si>
  <si>
    <t>TCC50-B005</t>
  </si>
  <si>
    <t>E-HOUSE (TCC-50)</t>
  </si>
  <si>
    <t>CELLAR AREA (TR-08A)</t>
  </si>
  <si>
    <t>TCC50-B006</t>
  </si>
  <si>
    <t>TCC50-B007</t>
  </si>
  <si>
    <t>TCC50-B008</t>
  </si>
  <si>
    <t>TCC50-PSDC4-001F</t>
  </si>
  <si>
    <t>TCC-50 - PAINEL DE 220/127V</t>
  </si>
  <si>
    <t>PSDC4 - PAINEL DE REJEICAO DE CARGAS 4</t>
  </si>
  <si>
    <t>TCC52-B002</t>
  </si>
  <si>
    <t>E-HOUSE (TCC-52)</t>
  </si>
  <si>
    <t>TCC52-B003</t>
  </si>
  <si>
    <t>TCC52-B004</t>
  </si>
  <si>
    <t>TCC52-B005</t>
  </si>
  <si>
    <t>TCC52-B006</t>
  </si>
  <si>
    <t>TCC52-B007</t>
  </si>
  <si>
    <t>TCC52-PSDC4-001F</t>
  </si>
  <si>
    <t>TCC-52 -PAINEL DE 125Vcc</t>
  </si>
  <si>
    <t>TCC52-RCK-120-102-001F</t>
  </si>
  <si>
    <t>RCK-120-102 - RACK DE INSTRUMENTAÇÃO</t>
  </si>
  <si>
    <t>INST-1760</t>
  </si>
  <si>
    <t>BK-SP54-0900B-DI-70-01014</t>
  </si>
  <si>
    <t>TCC52-RCK-120-102-002F</t>
  </si>
  <si>
    <t>TR08A-B002</t>
  </si>
  <si>
    <t>CELLAR AREA (TR-08B)</t>
  </si>
  <si>
    <t>TR08A-C001</t>
  </si>
  <si>
    <t>TR08A-M001</t>
  </si>
  <si>
    <t>1x3x1/C#150</t>
  </si>
  <si>
    <t>TR08A-M002</t>
  </si>
  <si>
    <t>TR08B-M001</t>
  </si>
  <si>
    <t>TR08B-M002</t>
  </si>
  <si>
    <t>TR09A-B002</t>
  </si>
  <si>
    <t>TR09A-C001</t>
  </si>
  <si>
    <t>TR09A-C002</t>
  </si>
  <si>
    <t>TR09A-M001</t>
  </si>
  <si>
    <t>2x3x1/C#150</t>
  </si>
  <si>
    <t>E-HOUSE (GB-200-INV)</t>
  </si>
  <si>
    <t>TR09A-M002</t>
  </si>
  <si>
    <t>TR09B-M001</t>
  </si>
  <si>
    <t>TR09B-M002</t>
  </si>
  <si>
    <t>TR24A-B002</t>
  </si>
  <si>
    <t>TR24A-C001</t>
  </si>
  <si>
    <t>TR24A-C002</t>
  </si>
  <si>
    <t>TR24A-M001</t>
  </si>
  <si>
    <t>2x3x1/C#120</t>
  </si>
  <si>
    <t>TR24A-M002</t>
  </si>
  <si>
    <t>TR24B-M001</t>
  </si>
  <si>
    <t>TR24B-M002</t>
  </si>
  <si>
    <t>TR26A-B002</t>
  </si>
  <si>
    <t>TR26A-C001</t>
  </si>
  <si>
    <t>TR26A-M001</t>
  </si>
  <si>
    <t>3x3x1/C#150</t>
  </si>
  <si>
    <t>E-HOUSE (GB-1203-INV)</t>
  </si>
  <si>
    <t>TR26A-M002</t>
  </si>
  <si>
    <t>TR26B-M001</t>
  </si>
  <si>
    <t>TR26B-M002</t>
  </si>
  <si>
    <t>TR27-B001</t>
  </si>
  <si>
    <t>TR27-B002</t>
  </si>
  <si>
    <t>TR27-C001</t>
  </si>
  <si>
    <t>TRN03A-B001</t>
  </si>
  <si>
    <t>1x1x4/C#25</t>
  </si>
  <si>
    <t>E-HOUSE (TCC-51)</t>
  </si>
  <si>
    <t>5.2.8</t>
  </si>
  <si>
    <t>TRN04A-B001</t>
  </si>
  <si>
    <t>7HV-1HV-001C</t>
  </si>
  <si>
    <t>CABO ÓPTICO 4 VIAS</t>
  </si>
  <si>
    <t>REMOTA 1HV</t>
  </si>
  <si>
    <t>5.10.1</t>
  </si>
  <si>
    <t>16/12/2020: Resposta da solicitação</t>
  </si>
  <si>
    <t>PR-LC-0011</t>
  </si>
  <si>
    <t>7HVx1HV</t>
  </si>
  <si>
    <t>CBO005-RS</t>
  </si>
  <si>
    <t>PSDC2-DIO</t>
  </si>
  <si>
    <t>PSDC4-DIO1</t>
  </si>
  <si>
    <t>29</t>
  </si>
  <si>
    <t>30LV-TCC-49-7HV-001F</t>
  </si>
  <si>
    <t>3x3x1/C#185</t>
  </si>
  <si>
    <t>PAINEL TCC-49 (7HV)</t>
  </si>
  <si>
    <t>ALIMENTAÇÃO REDUNDANTE - 30LV</t>
  </si>
  <si>
    <t>24/08/2020: Cabos retirados</t>
  </si>
  <si>
    <t>NE 3169726</t>
  </si>
  <si>
    <t>7HVx30LV</t>
  </si>
  <si>
    <t>CDC-12009</t>
  </si>
  <si>
    <t>FIBRA OPTICA SM 6 PARES</t>
  </si>
  <si>
    <t>RACK 7HV - RCK-120-102</t>
  </si>
  <si>
    <t>RCK-120-103 - RACK 30LV</t>
  </si>
  <si>
    <t>U-12577</t>
  </si>
  <si>
    <t>7HV/BNC</t>
  </si>
  <si>
    <t>U-12578</t>
  </si>
  <si>
    <t>7HV/TR-26A</t>
  </si>
  <si>
    <t>U-12579</t>
  </si>
  <si>
    <t>U-12580</t>
  </si>
  <si>
    <t>8P#1,0mm²+SHI+SHC (N.I.S.)</t>
  </si>
  <si>
    <t>7HV/GBM-1201-INV</t>
  </si>
  <si>
    <t>Analógico (N.I.S.)</t>
  </si>
  <si>
    <t>U-12585</t>
  </si>
  <si>
    <t>12P#1,0mm²+SHI+SHC (N.I.S.)</t>
  </si>
  <si>
    <t>U-12586</t>
  </si>
  <si>
    <t xml:space="preserve">7HV/AMB-GB-1201 </t>
  </si>
  <si>
    <t>U-12587</t>
  </si>
  <si>
    <t>7HV/TCC-49</t>
  </si>
  <si>
    <t>U-12588</t>
  </si>
  <si>
    <t>U-12589</t>
  </si>
  <si>
    <t>U-12590</t>
  </si>
  <si>
    <t>18/11/2020: Revisão, alteração da formação para 4P</t>
  </si>
  <si>
    <t>U-12591</t>
  </si>
  <si>
    <t>U-12594</t>
  </si>
  <si>
    <t>26/10/2020: Cabos estão para compra
18/11/2020: Revisão, alteração da formação para 4P
18/11/2020: Bobina determinada e liberada.</t>
  </si>
  <si>
    <t>U-12595</t>
  </si>
  <si>
    <t>U-12596</t>
  </si>
  <si>
    <t>U-12597</t>
  </si>
  <si>
    <t>U-12598</t>
  </si>
  <si>
    <t>7HV/TR-24A</t>
  </si>
  <si>
    <t>U-12599</t>
  </si>
  <si>
    <t>7HV/TR-24B</t>
  </si>
  <si>
    <t>U-12673</t>
  </si>
  <si>
    <t>12P#1,5mm²+SHI+SHC (N.I.S.)</t>
  </si>
  <si>
    <t>U-12674</t>
  </si>
  <si>
    <t>18/11/2020: Revisão, alteração da formação para 4P
18/11/2020: Bobina determinada e liberada.</t>
  </si>
  <si>
    <t>U-12677</t>
  </si>
  <si>
    <t>U-12679</t>
  </si>
  <si>
    <t>U-12680</t>
  </si>
  <si>
    <t>U-12685</t>
  </si>
  <si>
    <t>U-12686</t>
  </si>
  <si>
    <t>U-12687</t>
  </si>
  <si>
    <t>U-12688</t>
  </si>
  <si>
    <t>U-12689</t>
  </si>
  <si>
    <t>U-12694</t>
  </si>
  <si>
    <t>U-12695</t>
  </si>
  <si>
    <t>U-12696</t>
  </si>
  <si>
    <t>CDC-12007</t>
  </si>
  <si>
    <t>DIO-120-104 (RCK-120-102) / ELETROCENTRO MOTORIZAÇÃO</t>
  </si>
  <si>
    <t>DIO-CCP-104 (RCK-CCP-101) / CCP</t>
  </si>
  <si>
    <t>11/01/2021: Liberação da bobina
20/02/2021: Alterada a Bobina de 158 para 164, para atender lance real de 350m.</t>
  </si>
  <si>
    <t>7HVxCCP</t>
  </si>
  <si>
    <t>BK-SP54-0900B-DP-90-00038</t>
  </si>
  <si>
    <t>CDC-12010</t>
  </si>
  <si>
    <t>RACK CCP - RCK-90-105</t>
  </si>
  <si>
    <t>SOK0898308</t>
  </si>
  <si>
    <t>44</t>
  </si>
  <si>
    <t>U-21708</t>
  </si>
  <si>
    <t>7HV/GBM-200-INV</t>
  </si>
  <si>
    <t>CCP/UCP LI-200A</t>
  </si>
  <si>
    <t>BK-SP54-00200-LC-81-00001_00000</t>
  </si>
  <si>
    <t>09/12/2020: Liberação da Bobina</t>
  </si>
  <si>
    <t>9</t>
  </si>
  <si>
    <t>U-21709</t>
  </si>
  <si>
    <t>10</t>
  </si>
  <si>
    <t>U-21710</t>
  </si>
  <si>
    <t>U-21714</t>
  </si>
  <si>
    <t>31</t>
  </si>
  <si>
    <t>U-21715</t>
  </si>
  <si>
    <t>U-21716</t>
  </si>
  <si>
    <t>32</t>
  </si>
  <si>
    <t>U-21717</t>
  </si>
  <si>
    <t>33</t>
  </si>
  <si>
    <t>U-21718</t>
  </si>
  <si>
    <t>09/12/2020 Cabo pendente de compra, previsão de entrega em 11/12/2020
13/01/2020: Liberação da Bobina</t>
  </si>
  <si>
    <t>U-21719</t>
  </si>
  <si>
    <t>U-21720</t>
  </si>
  <si>
    <t>09/12/2020 Cabo pendente de compra, previsão de entrega em 11/12/2020
10/12/2020: Liberada bobina 92</t>
  </si>
  <si>
    <t>42</t>
  </si>
  <si>
    <t>U-31210</t>
  </si>
  <si>
    <t>SIS-CCP-103-B</t>
  </si>
  <si>
    <t>BK-SP54-00350-LC-80-00006_00000</t>
  </si>
  <si>
    <t>15/01/2021: Liberação da Bobina</t>
  </si>
  <si>
    <t>38</t>
  </si>
  <si>
    <t>U-31211</t>
  </si>
  <si>
    <t>U-31577</t>
  </si>
  <si>
    <t>37</t>
  </si>
  <si>
    <t>U-31673</t>
  </si>
  <si>
    <t>GB-351-INV</t>
  </si>
  <si>
    <t>33-34</t>
  </si>
  <si>
    <t>U-31675</t>
  </si>
  <si>
    <t>SIS-CCP-103-C</t>
  </si>
  <si>
    <t>35-36</t>
  </si>
  <si>
    <t>U-31685</t>
  </si>
  <si>
    <t>30-31</t>
  </si>
  <si>
    <t>U-31686</t>
  </si>
  <si>
    <t>XS-20328X</t>
  </si>
  <si>
    <t>7HV/TR-09A</t>
  </si>
  <si>
    <t>43</t>
  </si>
  <si>
    <t>XS-20329X</t>
  </si>
  <si>
    <t>7HV/TR-09B</t>
  </si>
  <si>
    <t>XS-20331X</t>
  </si>
  <si>
    <t>GBM-1201-INV-GBM-1201-001F</t>
  </si>
  <si>
    <t>2x3x1/c#240</t>
  </si>
  <si>
    <t>GB-1201</t>
  </si>
  <si>
    <t>GBM-1201-INV</t>
  </si>
  <si>
    <t>GBM-1201</t>
  </si>
  <si>
    <t>BK-SP54-0900B-LC-74-00004_00000</t>
  </si>
  <si>
    <t>ELE-1430</t>
  </si>
  <si>
    <t>15/09/2020: Resposta da Solicitação</t>
  </si>
  <si>
    <t>NE 330702</t>
  </si>
  <si>
    <t>7HVxGB-1201</t>
  </si>
  <si>
    <t>TCC49-GBM-1201-001F</t>
  </si>
  <si>
    <t>1x1x3/C#50</t>
  </si>
  <si>
    <t>GBM-1201 - FAN 1</t>
  </si>
  <si>
    <t>24/09/2020: Informado que os Cabos estavam pendentes.
03/11/2020: Cabos recebidos.</t>
  </si>
  <si>
    <t>TCC49-GBM-1201-002F</t>
  </si>
  <si>
    <t>GBM-1201 - FAN 2</t>
  </si>
  <si>
    <t>TCC51-GBM-1201-001AQ</t>
  </si>
  <si>
    <t>1x1x2/C#2,5</t>
  </si>
  <si>
    <t>PAINEL TCC-51 (7HV)</t>
  </si>
  <si>
    <t>GBM-1201 - AQUECIMENTO 1</t>
  </si>
  <si>
    <t>5.5.1</t>
  </si>
  <si>
    <t>24/09/2020: Informado que os Cabos estavam pendentes.
30/10/2020: Cabos recebidos.</t>
  </si>
  <si>
    <t>TCC51-GBM-1201-002AQ</t>
  </si>
  <si>
    <t>GBM-1201 - AQUECIMENTO 2</t>
  </si>
  <si>
    <t>TCC51-GBM-1201-003AQ</t>
  </si>
  <si>
    <t>GBM-1201 - AQUECIMENTO 3</t>
  </si>
  <si>
    <t>U-12794</t>
  </si>
  <si>
    <t>7HV/AMB-GB-1201</t>
  </si>
  <si>
    <t>U-12795</t>
  </si>
  <si>
    <t>JBI-120-103X</t>
  </si>
  <si>
    <t>GBM-1203-INV-GBM-1203-001F</t>
  </si>
  <si>
    <t>4x3x1/c#240</t>
  </si>
  <si>
    <t>GB-1203</t>
  </si>
  <si>
    <t>GBM-1203-INV</t>
  </si>
  <si>
    <t>GBM-1203</t>
  </si>
  <si>
    <t>ELE-1490</t>
  </si>
  <si>
    <t>7HVxGB-1203</t>
  </si>
  <si>
    <t>TCC49-GBM-1203-001F</t>
  </si>
  <si>
    <t>GBM-1203 - FAN 1</t>
  </si>
  <si>
    <t>TCC49-GBM-1203-002F</t>
  </si>
  <si>
    <t>GBM-1203 - FAN 2</t>
  </si>
  <si>
    <t>TCC49-GBM-1203-003F</t>
  </si>
  <si>
    <t>GBM-1203 - FAN 3</t>
  </si>
  <si>
    <t>TCC49-GBM-1203-004F</t>
  </si>
  <si>
    <t>GBM-1203 - FAN 4</t>
  </si>
  <si>
    <t>TCC49-GBM-1203-005F</t>
  </si>
  <si>
    <t>1x1x3/C#4,0</t>
  </si>
  <si>
    <t>GBM-1203 - JACKING OIL PUMP</t>
  </si>
  <si>
    <t>09/11/2020: Cabos Recebidos.</t>
  </si>
  <si>
    <t>TCC51-GBM-1203-001AQ</t>
  </si>
  <si>
    <t>GBM-1203 - AQUECIMENTO 1</t>
  </si>
  <si>
    <t>TCC51-GBM-1203-002AQ</t>
  </si>
  <si>
    <t>GBM-1203 - AQUECIMENTO 2</t>
  </si>
  <si>
    <t>TCC51-GBM-1203-003AQ</t>
  </si>
  <si>
    <t>GBM-1203 - AQUECIMENTO 3</t>
  </si>
  <si>
    <t>TCC51-GBM-1203-004AQ</t>
  </si>
  <si>
    <t>GBM-1203 - AQUECIMENTO 4</t>
  </si>
  <si>
    <t>TCC51-GBM-1203-005AQ</t>
  </si>
  <si>
    <t>GBM-1203 - AQUECIMENTO 5</t>
  </si>
  <si>
    <t>GBM-200-INV-GBM-200-001F</t>
  </si>
  <si>
    <t>4x3x1/C#240</t>
  </si>
  <si>
    <t>GB-200</t>
  </si>
  <si>
    <t>GBM-200-INV</t>
  </si>
  <si>
    <t>GBM-200</t>
  </si>
  <si>
    <t>ELE-1310</t>
  </si>
  <si>
    <t>10/11/2020: Resposta Solicitação</t>
  </si>
  <si>
    <t>22/24/25/36/37/38/39/41/43/44/54/57</t>
  </si>
  <si>
    <t>7HVxGB-200</t>
  </si>
  <si>
    <t>TCC49-GBM-200-001F</t>
  </si>
  <si>
    <t>1x1x3/C#95</t>
  </si>
  <si>
    <t>GBM-200 - FAN 1</t>
  </si>
  <si>
    <t>TCC49-GBM-200-002F</t>
  </si>
  <si>
    <t>GBM-200 - FAN 2</t>
  </si>
  <si>
    <t>10/11/2020: Cabo em compra
13/01/2020: Liberação da Bobina</t>
  </si>
  <si>
    <t>TCC49-GBM-200-003F</t>
  </si>
  <si>
    <t>GBM-200 - JACKING OIL PUMP</t>
  </si>
  <si>
    <t>TCC51-GBM-200-001AQ</t>
  </si>
  <si>
    <t>1x1x2/C#10</t>
  </si>
  <si>
    <t>GBM-200 - AQUECIMENTO 1</t>
  </si>
  <si>
    <t>09/11/2020: Cabo está em compra
11/12/2020: Liberação dos cabos.</t>
  </si>
  <si>
    <t>TCC51-GBM-200-002AQ</t>
  </si>
  <si>
    <t>GBM-200 - AQUECIMENTO 2</t>
  </si>
  <si>
    <t>TCC51-GBM-200-003AQ</t>
  </si>
  <si>
    <t>GBM-200 - AQUECIMENTO 3</t>
  </si>
  <si>
    <t>GBM-351-INV-GBM-351-001F</t>
  </si>
  <si>
    <t>2x3x1/C#95</t>
  </si>
  <si>
    <t>GB-351</t>
  </si>
  <si>
    <t>GBM-351-INV</t>
  </si>
  <si>
    <t>GBM-351</t>
  </si>
  <si>
    <t>ELE-1370</t>
  </si>
  <si>
    <t>19/10/2020: Resposta da Solicitação</t>
  </si>
  <si>
    <t>19/23/56</t>
  </si>
  <si>
    <t>7HVxGB-351</t>
  </si>
  <si>
    <t>TCC51-GBM-351-001AQ</t>
  </si>
  <si>
    <t>GBM-351 - AQUECIMENTO 1</t>
  </si>
  <si>
    <t>19/10/2020: Cabo está em compra
11/12/2020: Liberação dos Cabos</t>
  </si>
  <si>
    <t>CBO006-RS</t>
  </si>
  <si>
    <t>PSDC4 - DIO1</t>
  </si>
  <si>
    <t>PSINC1 - DOI 1</t>
  </si>
  <si>
    <t>7HVxQ3</t>
  </si>
  <si>
    <t>4, 24</t>
  </si>
  <si>
    <t>BCH19-8HV-BCH19-POT-8HV-001F</t>
  </si>
  <si>
    <t>2x2x1/C#120</t>
  </si>
  <si>
    <t>8HV</t>
  </si>
  <si>
    <t>BCH19-8HV - RETIFICADOR</t>
  </si>
  <si>
    <t>BCH19-POT-8HV - PAINEL DA BATERIA</t>
  </si>
  <si>
    <t>5.2.11</t>
  </si>
  <si>
    <t>ELE-2710</t>
  </si>
  <si>
    <t>18/11/2020: Resposta da Solicitação
18/11/2020: TAG será alterado</t>
  </si>
  <si>
    <t>NE 331971</t>
  </si>
  <si>
    <t>BK-SP54-0900B-DI-70-00451</t>
  </si>
  <si>
    <t>BCH19-8HV-TCC34-001F</t>
  </si>
  <si>
    <t>1x2/C#50</t>
  </si>
  <si>
    <t xml:space="preserve">BCH19-8HV - RETIFICADOR  </t>
  </si>
  <si>
    <t>TCC-34 - PAINEL 125Vcc</t>
  </si>
  <si>
    <t>19/11/2020: Resposta para solicitação</t>
  </si>
  <si>
    <t>NE 318690</t>
  </si>
  <si>
    <t>PSDC1-8HV-001C</t>
  </si>
  <si>
    <t>1x1x9/C#2,5</t>
  </si>
  <si>
    <t>PSDC1 - PAINEL DE REJEICAO DE CARGAS 1</t>
  </si>
  <si>
    <t>DJ. 8HV-52D14</t>
  </si>
  <si>
    <t>24/11/2020: Resposta dad solicitação</t>
  </si>
  <si>
    <t>BK-SP54-0900B-DI-70-00450</t>
  </si>
  <si>
    <t>12</t>
  </si>
  <si>
    <t>PSINC2-1HV-002C</t>
  </si>
  <si>
    <t>1x1x9/C#4</t>
  </si>
  <si>
    <t>PSINC2 - PAINEL DE SINCRONISMO - regua BNP</t>
  </si>
  <si>
    <t>24HV8-1 - 1HV</t>
  </si>
  <si>
    <t>ELE-0220</t>
  </si>
  <si>
    <t>PSINC2-1HV-004C</t>
  </si>
  <si>
    <t>PSINC2 - PAINEL DE SINCRONISMO - regua BNC1</t>
  </si>
  <si>
    <t>24/11/2020: Resposta da solicitação</t>
  </si>
  <si>
    <t>PSINC2-8HV-001C</t>
  </si>
  <si>
    <t>PSINC2 - PAINEL DE SINCRONISMO - regua BNU</t>
  </si>
  <si>
    <t>8HV / K05 (52D14)</t>
  </si>
  <si>
    <t>14</t>
  </si>
  <si>
    <t>PSINC2-8HV-002C</t>
  </si>
  <si>
    <t>8HV / K03 (24HV8)</t>
  </si>
  <si>
    <t>16</t>
  </si>
  <si>
    <t>PSINC2-8HV-003C</t>
  </si>
  <si>
    <t>8HV / K04 (T15)</t>
  </si>
  <si>
    <t>17</t>
  </si>
  <si>
    <t>PSINC2-8HV-004C</t>
  </si>
  <si>
    <t>PSINC2-8HV-005C</t>
  </si>
  <si>
    <t>PSINC2-8HV-006C</t>
  </si>
  <si>
    <t>PSINC2-8HV-007C</t>
  </si>
  <si>
    <t>PSINC2 - PAINEL DE SINCRONISMO - regua BNC</t>
  </si>
  <si>
    <t>PSINC2-8HV-008C</t>
  </si>
  <si>
    <t>PSINC2-8HV-009C</t>
  </si>
  <si>
    <t>PSINC2 - PAINEL DE SINCRONISMO - regua BNC e BNC1</t>
  </si>
  <si>
    <t>8HV (24HV8-1)</t>
  </si>
  <si>
    <t>15</t>
  </si>
  <si>
    <t>PSINC2-8HV-010C</t>
  </si>
  <si>
    <t>TCC33-8HV-001F</t>
  </si>
  <si>
    <t>TCC-33 - PAINEL CA 220-127V</t>
  </si>
  <si>
    <t>PAINEL 8HV</t>
  </si>
  <si>
    <t>18/11/2020: Resposta da Solicitação
20/11/2020: Bobina alterada da 178 para 72</t>
  </si>
  <si>
    <t>TCC33-BCH19-8HV-001F</t>
  </si>
  <si>
    <t>18/11/2020: Resposta da Solicitação
18/11/2020: TAG será alterado
20/11/2020: Bobina alterada da 178 para 72</t>
  </si>
  <si>
    <t>TCC33-BCH19-POT-8HV-001F</t>
  </si>
  <si>
    <t>BCH18-POT-8HV - PAINEL DA BATERIA</t>
  </si>
  <si>
    <t>TCC33-PSDC1-001F</t>
  </si>
  <si>
    <t>PSDC1 - PAINEL DE REJEIÇÃO DE CARGAS</t>
  </si>
  <si>
    <t>TCC33-PSINC2-001F</t>
  </si>
  <si>
    <t>PSINC2 - PAINEL DE SINCRONISMO</t>
  </si>
  <si>
    <t>TCC33-TCC34-001F</t>
  </si>
  <si>
    <t>TCC33-TCC36-001F</t>
  </si>
  <si>
    <t>TCC-36 - 8HV (480V)</t>
  </si>
  <si>
    <t>3,5</t>
  </si>
  <si>
    <t>TCC34-8HV-001F</t>
  </si>
  <si>
    <t>TCC34-PSDC1-001F</t>
  </si>
  <si>
    <t>TCC34-PSYNC2-001F</t>
  </si>
  <si>
    <t>PSYNC2 - PAINEL DE SINCRONISMO</t>
  </si>
  <si>
    <t>TCC34-TCC36-001F</t>
  </si>
  <si>
    <t>TCC-23 - 8HV (480V)</t>
  </si>
  <si>
    <t>3,4</t>
  </si>
  <si>
    <t>TCC36-BCH19-8HV-001F</t>
  </si>
  <si>
    <t>1x3/C#25</t>
  </si>
  <si>
    <t>19/11/2020: Previsão de Compra em 29/12/2020</t>
  </si>
  <si>
    <t>NE 330257</t>
  </si>
  <si>
    <t>TCC36-TRN-01-001F</t>
  </si>
  <si>
    <t>1x1x3/C#10</t>
  </si>
  <si>
    <t>TRN-01 - 8HV</t>
  </si>
  <si>
    <t>TCC34-FIREWALL-001F</t>
  </si>
  <si>
    <t>1x2/C#2,5</t>
  </si>
  <si>
    <t>FIREWALL</t>
  </si>
  <si>
    <t>13</t>
  </si>
  <si>
    <t>TCC34-FIREWALL-002F</t>
  </si>
  <si>
    <t>TRN-01-TCC33-001F</t>
  </si>
  <si>
    <t>1x1x4/C#16</t>
  </si>
  <si>
    <t>5.4.1</t>
  </si>
  <si>
    <t>19/11/2020: Previsão de Compra em 04/12/2020</t>
  </si>
  <si>
    <t>NE 927619</t>
  </si>
  <si>
    <t>CO020-RS</t>
  </si>
  <si>
    <t>PSDC1-DIO2</t>
  </si>
  <si>
    <t>PSINC2-USINC2A</t>
  </si>
  <si>
    <t>20/01/2021: Liberação do Cabo</t>
  </si>
  <si>
    <t>NE 3054429</t>
  </si>
  <si>
    <t>PR-LC-0012</t>
  </si>
  <si>
    <t>CO008-RS</t>
  </si>
  <si>
    <t>PSDC1-UDC1</t>
  </si>
  <si>
    <t>PSINC2-USINC2P</t>
  </si>
  <si>
    <t>INST-1730</t>
  </si>
  <si>
    <t>8HV-1HV-001C</t>
  </si>
  <si>
    <t>1x12/C#2,5</t>
  </si>
  <si>
    <t>8HV x 1HV</t>
  </si>
  <si>
    <t>1HV-BUS1 (BLOQUEIO / TRIP)</t>
  </si>
  <si>
    <t>8HVx1HV</t>
  </si>
  <si>
    <t>8HV-1HV-001F</t>
  </si>
  <si>
    <t>5x3x1/c#185</t>
  </si>
  <si>
    <t>1HV-BUS1</t>
  </si>
  <si>
    <t>5.2.2</t>
  </si>
  <si>
    <t>16/12/2020: Resposta da solicitação
8/01/2020: Bobina substituídas: 13&gt;141 // 47&gt;142 // 87&gt;150 // 116&gt;151 // 123&gt;162</t>
  </si>
  <si>
    <t>9/141/15/16/17/26/34/35/142/58/69/82/150/151/162</t>
  </si>
  <si>
    <t>CBO003-RS</t>
  </si>
  <si>
    <t>22/01/2021: Liberação da Bobina, Nota 6: Bobinas são compartilhadas com a SGS. Montcalm deve solicitar ao almoxarifado , cortar os lances de sua necessidade, para manter o saldo no almoxarifado;</t>
  </si>
  <si>
    <t>PSINC2-1HV-001C</t>
  </si>
  <si>
    <t xml:space="preserve">24HV2 - 1HV </t>
  </si>
  <si>
    <t>12/01/2021: Comunicado pelo Rogério que a bobina utilizada seria a 67.</t>
  </si>
  <si>
    <t>18</t>
  </si>
  <si>
    <t>PSINC2-1HV-003C</t>
  </si>
  <si>
    <t>PSINC2-1HV-005C</t>
  </si>
  <si>
    <t>PSINC2-1HV-006C</t>
  </si>
  <si>
    <t>1HV / 24HV2</t>
  </si>
  <si>
    <t>PSINC2-1HVBUS1-001C</t>
  </si>
  <si>
    <t>TP - 1HV-BUS1</t>
  </si>
  <si>
    <t>19</t>
  </si>
  <si>
    <t>PSINC2-1HVBUS3-001C</t>
  </si>
  <si>
    <t>TP - 1HV-BUS3</t>
  </si>
  <si>
    <t>8HV-7HV-001C</t>
  </si>
  <si>
    <t>8HV x 7HV</t>
  </si>
  <si>
    <t>PAINEL 7HV (BLOQUEIO / TRIP)</t>
  </si>
  <si>
    <t>ELE-2630</t>
  </si>
  <si>
    <t>18/11/2020: Resposta da Solicitação</t>
  </si>
  <si>
    <t>8HVx7HV</t>
  </si>
  <si>
    <t>8HV-7HV-001F</t>
  </si>
  <si>
    <t>PAINEL 7HV</t>
  </si>
  <si>
    <t>40/45/48/49/55/59/60/61/79/80/81/83/84/85/86</t>
  </si>
  <si>
    <t>CBO008-RS</t>
  </si>
  <si>
    <t>PSDC4-DIO2</t>
  </si>
  <si>
    <t>8HV-DIO</t>
  </si>
  <si>
    <t>16/12/2020: Resposta da solicitação
02/03/2021: De acordo com e-mail do Rogério, os cabos serão comprados com previsão para 05/03/2021 [NE 3056722], alterado da bobina 154 (que havia sido utilizada pela SGS).</t>
  </si>
  <si>
    <t>NE3056722</t>
  </si>
  <si>
    <t>24</t>
  </si>
  <si>
    <t>CANCELADO APÓS LANÇAMENTO</t>
  </si>
  <si>
    <t>CBO009-PC</t>
  </si>
  <si>
    <t>8HV-DIO2</t>
  </si>
  <si>
    <t>PSDC4-DIO</t>
  </si>
  <si>
    <t>CBO001-RS</t>
  </si>
  <si>
    <t>PSDC1-DIO1</t>
  </si>
  <si>
    <t>SALA SERVIDORES - CCO-DIO</t>
  </si>
  <si>
    <t>8HVxCCO</t>
  </si>
  <si>
    <t>13, 32</t>
  </si>
  <si>
    <t>CBO002-RS</t>
  </si>
  <si>
    <t>CDC-17001</t>
  </si>
  <si>
    <t>FIBRA OPTICA MM 3 PARES</t>
  </si>
  <si>
    <t>PDG-1701 / SUBESTAÇÃO VESTA</t>
  </si>
  <si>
    <t>FRW-90-102 (RCK-90-101) / CCO</t>
  </si>
  <si>
    <t>11/01/2021: Liberação da bobina
22/02/2021: Bobina alterada de 186 para 161</t>
  </si>
  <si>
    <t>BK-SP54-0900B-DP-90-00039</t>
  </si>
  <si>
    <t>CDC-17002</t>
  </si>
  <si>
    <t>FRW-90-103 (RCK-90-101) / CCO</t>
  </si>
  <si>
    <t>TCC3-TCC36-001F</t>
  </si>
  <si>
    <t>4x3x1/C#185</t>
  </si>
  <si>
    <t>MCC-TCC-3</t>
  </si>
  <si>
    <t>TCC-36 - 8HV</t>
  </si>
  <si>
    <t>62/63/65/76/77/78/88/89/90/91/112/210</t>
  </si>
  <si>
    <t>8HVxCCP</t>
  </si>
  <si>
    <t>PSINC2-CCSE-003C</t>
  </si>
  <si>
    <t>1x1x12/C#4</t>
  </si>
  <si>
    <t>CCSE/1CHA01</t>
  </si>
  <si>
    <t>16/12/2020: Resposta da solicitação
02/03/2021: Os cabos deverão ser comprados NE 932960, bobina antiga: 98
16/03/2021: Cabos recebidos 520m</t>
  </si>
  <si>
    <t>NE 932960</t>
  </si>
  <si>
    <t>PR-LC-0013</t>
  </si>
  <si>
    <t>8HVxCCSE</t>
  </si>
  <si>
    <t>20</t>
  </si>
  <si>
    <t>PSINC2-CCSE-004C</t>
  </si>
  <si>
    <t>16/12/2020: Resposta da solicitação
02/03/2021: Os cabos deverão ser comprados NE 932960, bobina antiga: 209
16/03/2021: Cabos recebidos 520m</t>
  </si>
  <si>
    <t>PSINC2-CCSE-001C</t>
  </si>
  <si>
    <t>PSINC2-CCSE-002C</t>
  </si>
  <si>
    <t>PSINC2-CCSE-005C</t>
  </si>
  <si>
    <t>PSINC2-CCSE-006C</t>
  </si>
  <si>
    <t>PSINC2 - PAINEL DE SINCRONISMO - regua BNO</t>
  </si>
  <si>
    <t>8HV-COG-001C</t>
  </si>
  <si>
    <t>PN-COGERAÇÃO (BLOQUEIO / TRIP)</t>
  </si>
  <si>
    <t>8HVxCOG</t>
  </si>
  <si>
    <t>8HV-COG-001F</t>
  </si>
  <si>
    <t>6x3x1/c#240</t>
  </si>
  <si>
    <t>PN-COGERAÇÃO</t>
  </si>
  <si>
    <t>8HV-COG-002C</t>
  </si>
  <si>
    <t>PN-COGERAÇÃO (protecao de arco)</t>
  </si>
  <si>
    <t>BCH19-POT-8HV-BCH19-BAT-8HV-001F</t>
  </si>
  <si>
    <t>1x2x1/C#120</t>
  </si>
  <si>
    <t xml:space="preserve">BCH19-BAT-8HV - BATERIAS 125VCC </t>
  </si>
  <si>
    <t>26/11/2020: Resposta da solicitação</t>
  </si>
  <si>
    <t>ETH004-RS</t>
  </si>
  <si>
    <t>PSDC1-SW1</t>
  </si>
  <si>
    <t>10CKN15-B010.05</t>
  </si>
  <si>
    <t>ETH005-RS</t>
  </si>
  <si>
    <t>RMC - PSDC1</t>
  </si>
  <si>
    <t>10CKN15-B010.06</t>
  </si>
  <si>
    <t>PSDC1-COG-001C</t>
  </si>
  <si>
    <t>DJ. TG1</t>
  </si>
  <si>
    <t>PSDC1-COG-002C</t>
  </si>
  <si>
    <t>DJ. TG2</t>
  </si>
  <si>
    <t>PSINC2-TG1-001C</t>
  </si>
  <si>
    <t>TG1 - COGERAÇÃO</t>
  </si>
  <si>
    <t>21</t>
  </si>
  <si>
    <t>PSINC2-TG2-001C</t>
  </si>
  <si>
    <t>TG2 - COGERAÇÃO</t>
  </si>
  <si>
    <t>U-90887</t>
  </si>
  <si>
    <t>1Px18AWG+Shield</t>
  </si>
  <si>
    <t>18AWG</t>
  </si>
  <si>
    <t>PERIF. IV</t>
  </si>
  <si>
    <t>EFJB-9042</t>
  </si>
  <si>
    <t>PERIFÉRICOS IV</t>
  </si>
  <si>
    <t>4.7.1</t>
  </si>
  <si>
    <t>BK-SP54-0900A-LC-80-00188_00000</t>
  </si>
  <si>
    <t>14/01/2021: Liberação de Bobina</t>
  </si>
  <si>
    <t>PR-LC-0014</t>
  </si>
  <si>
    <t>BOMBAS</t>
  </si>
  <si>
    <t>BK-SP54-0900A-DI-80-01589</t>
  </si>
  <si>
    <t>U-90888</t>
  </si>
  <si>
    <t>EFJB-9043</t>
  </si>
  <si>
    <t>U-90889</t>
  </si>
  <si>
    <t>EFBJ-9044</t>
  </si>
  <si>
    <t>ETH003-RS</t>
  </si>
  <si>
    <t>MESA DE OPERAÇÃO-THIN CLIENT</t>
  </si>
  <si>
    <t>SALA SERVIDORES-SCC1 -SERVIDOR</t>
  </si>
  <si>
    <t>INST-1690</t>
  </si>
  <si>
    <t>PR-LC-0015</t>
  </si>
  <si>
    <t>CCO</t>
  </si>
  <si>
    <t>CO018-RS</t>
  </si>
  <si>
    <t>SALA SERVIDORES-CONV1</t>
  </si>
  <si>
    <t>SALA SERVIDORES-DIO</t>
  </si>
  <si>
    <t>CO019-RS</t>
  </si>
  <si>
    <t>SALA SERVIDORES-CONV2</t>
  </si>
  <si>
    <t>ETH001-RS</t>
  </si>
  <si>
    <t>ETH002-RS</t>
  </si>
  <si>
    <t>CDC-02325</t>
  </si>
  <si>
    <t>SWT-90-101 (RCK-90-101) / CCO</t>
  </si>
  <si>
    <t>CDC-02326</t>
  </si>
  <si>
    <t>SWT-90-102 (RCK-90-101) / CCO</t>
  </si>
  <si>
    <t>CDC-02327</t>
  </si>
  <si>
    <t>DIO-90-113 (RCK-90-101) / CCO</t>
  </si>
  <si>
    <t>11/01/2021: Liberação da bobina
22/01/2021: Alterado o NE de 3129018 para 3104088</t>
  </si>
  <si>
    <t>NE 3104088</t>
  </si>
  <si>
    <t>CDC-02328</t>
  </si>
  <si>
    <t>CDC-02329</t>
  </si>
  <si>
    <t>CABO RS-485</t>
  </si>
  <si>
    <t>GTW-90104 (CCP)</t>
  </si>
  <si>
    <t>TMR-X</t>
  </si>
  <si>
    <t>PR-LC-0020</t>
  </si>
  <si>
    <t>CCP</t>
  </si>
  <si>
    <t>BK-SP54-00000-DI-90-00025</t>
  </si>
  <si>
    <t>CDC-2289</t>
  </si>
  <si>
    <t>GTW-90103 (CCP)</t>
  </si>
  <si>
    <t>TMR-GB-200</t>
  </si>
  <si>
    <t>INST-1110</t>
  </si>
  <si>
    <t>BK-SP54-00000-DF-90-00063</t>
  </si>
  <si>
    <t>CDC-3506</t>
  </si>
  <si>
    <t>PI-57 (CCP)</t>
  </si>
  <si>
    <t>SDCD A-350</t>
  </si>
  <si>
    <t>PI-42A-RCK-90-105-001F</t>
  </si>
  <si>
    <t>PI-42A</t>
  </si>
  <si>
    <t>ALIMENTAÇÃO RACK RCK-90-105</t>
  </si>
  <si>
    <t>ELE-2790</t>
  </si>
  <si>
    <t>BK-SP54-0900B-DI-74-00454</t>
  </si>
  <si>
    <t>PI-43A-RCK-90-105-001F</t>
  </si>
  <si>
    <t>PI-43A</t>
  </si>
  <si>
    <t>U-31200</t>
  </si>
  <si>
    <t>PI-57 (SEÇÃO 3)</t>
  </si>
  <si>
    <t>IMPRIMIR</t>
  </si>
  <si>
    <t>39</t>
  </si>
  <si>
    <t>CDC-12011</t>
  </si>
  <si>
    <t>MCV-CCP-118 (RCK-CCP-101) / CCP</t>
  </si>
  <si>
    <t>SWT-CCP-101 (RCK-CCP-101) / CCP</t>
  </si>
  <si>
    <t>7,26, 27</t>
  </si>
  <si>
    <t>U-96431</t>
  </si>
  <si>
    <t>PI-57 (SEÇÃO 2)</t>
  </si>
  <si>
    <t>CDC-12013</t>
  </si>
  <si>
    <t>11/01/2021: Liberação da bobina
22/02/2021: E-mail Rogério"Requisitar 1 cordão óptico de 2,5m com este NE"</t>
  </si>
  <si>
    <t>NE 3129018</t>
  </si>
  <si>
    <t>U-91125</t>
  </si>
  <si>
    <t>CCP/3LV (GA-9312)</t>
  </si>
  <si>
    <t>CCU/SIS PLC-74</t>
  </si>
  <si>
    <t>BK-SP54-0900A-LC-80-00186_00000</t>
  </si>
  <si>
    <t>INST-1400</t>
  </si>
  <si>
    <t>25/11/2020: Resposta para solicitação</t>
  </si>
  <si>
    <t>CCPxCCU</t>
  </si>
  <si>
    <t>U-91128</t>
  </si>
  <si>
    <t>11</t>
  </si>
  <si>
    <t>U-91129</t>
  </si>
  <si>
    <t>CCP/3LV (GA-9312S)</t>
  </si>
  <si>
    <t>U-91132</t>
  </si>
  <si>
    <t>25/11/2020: Resposta para solicitação
17/02/2021: Bobina 125 foi insuficiente, está sendo avaliadas outras bitolas para atender o lance</t>
  </si>
  <si>
    <t>3LV-GAM-9312-001AQ</t>
  </si>
  <si>
    <t>GA-9312/S</t>
  </si>
  <si>
    <t>MOTOR GAM-9312 (AQUECIMENTO)</t>
  </si>
  <si>
    <t>ELE-0910</t>
  </si>
  <si>
    <t>PR-LC-0016</t>
  </si>
  <si>
    <t>CCPxGA-9312/S</t>
  </si>
  <si>
    <t>3LV-GAM-9312-001C</t>
  </si>
  <si>
    <t>1x7/C#2,5</t>
  </si>
  <si>
    <t xml:space="preserve">PAINEL 3LV </t>
  </si>
  <si>
    <t>MOTOR GAM-9312 (COMANDO)</t>
  </si>
  <si>
    <t>3LV-GAM-9312-001F</t>
  </si>
  <si>
    <t>1x1x3/C#70</t>
  </si>
  <si>
    <t>PAINEL 3LV</t>
  </si>
  <si>
    <t>MOTOR GAM-9312</t>
  </si>
  <si>
    <t>22/01/2021: Liberação da Bobina
10/02/2021: Alterada a bobina de 8 para 226</t>
  </si>
  <si>
    <t>3LV-GAM-9312S-001AQ</t>
  </si>
  <si>
    <t>MOTOR GAM-9312S (AQUECIMENTO)</t>
  </si>
  <si>
    <t>ELE-1020</t>
  </si>
  <si>
    <t>22/01/2021: Liberação da Bobina
10/02/2021: Alterada a bobina de 178 para 225</t>
  </si>
  <si>
    <t>3LV-GAM-9312S-001C</t>
  </si>
  <si>
    <t>MOTOR GAM-9312S (COMANDO)</t>
  </si>
  <si>
    <t>3LV-GAM-9312S-001F</t>
  </si>
  <si>
    <t>MOTOR GAM-9312S</t>
  </si>
  <si>
    <t>U-21704</t>
  </si>
  <si>
    <t>JBI-20-101X</t>
  </si>
  <si>
    <t>14/01/2021: Liberação da Bobina</t>
  </si>
  <si>
    <t>PR-LC-0021</t>
  </si>
  <si>
    <t>CCPxGB-200</t>
  </si>
  <si>
    <t>U-21705</t>
  </si>
  <si>
    <t>12T#1,0mm²+SHI+SHC (I.S.)</t>
  </si>
  <si>
    <t>JBI-20-102X</t>
  </si>
  <si>
    <t>U-21706</t>
  </si>
  <si>
    <t>JBI-20-104X</t>
  </si>
  <si>
    <t>U-21707</t>
  </si>
  <si>
    <t>JBI-20-106X/LSH-20146X</t>
  </si>
  <si>
    <t>U-21711</t>
  </si>
  <si>
    <t xml:space="preserve">14/01/2021: Liberação da Bobina
14/01/2021: Nota 4: A bobina 94 tem 87m disponíveis. A Montcalm deve avaliar e informar se esta metragem atende o lance do circuito previsto - Checar rota do cabo no campo;  </t>
  </si>
  <si>
    <t>U-21712</t>
  </si>
  <si>
    <t>JBI-20-103X</t>
  </si>
  <si>
    <t>U-21713</t>
  </si>
  <si>
    <t>2P#1,0mm²+SHI (N.I.S.)</t>
  </si>
  <si>
    <t>17, 28</t>
  </si>
  <si>
    <t>U-31171</t>
  </si>
  <si>
    <t>8T#1,0mm²+SHI+SHC (N.I.S.)</t>
  </si>
  <si>
    <t>JBI-35-104X</t>
  </si>
  <si>
    <t>CCPxGB-351</t>
  </si>
  <si>
    <t>U-31175</t>
  </si>
  <si>
    <t>12T#1,0mm²+SHI+SHC (N.I.S.)</t>
  </si>
  <si>
    <t>JBI-35-107X</t>
  </si>
  <si>
    <t>15/01/2021: Liberação da Bobina
08/02/2021: Alterada a bobina de 68.1 para 68, conforme Rogério</t>
  </si>
  <si>
    <t>19-20</t>
  </si>
  <si>
    <t>U-31176</t>
  </si>
  <si>
    <t>20-21</t>
  </si>
  <si>
    <t>U-31177</t>
  </si>
  <si>
    <t>JBI-35-106X</t>
  </si>
  <si>
    <t>16-17</t>
  </si>
  <si>
    <t>U-31178</t>
  </si>
  <si>
    <t>JBI-35-105X</t>
  </si>
  <si>
    <t>U-31179</t>
  </si>
  <si>
    <t>17-18</t>
  </si>
  <si>
    <t>U-31565</t>
  </si>
  <si>
    <t>PI-59(RB4)</t>
  </si>
  <si>
    <t>SIS-CCP-104-E</t>
  </si>
  <si>
    <t>28-29</t>
  </si>
  <si>
    <t>U-31697</t>
  </si>
  <si>
    <t>JBAI-35-106</t>
  </si>
  <si>
    <t>U-357109</t>
  </si>
  <si>
    <t>JBAI-35-104</t>
  </si>
  <si>
    <t>22-23</t>
  </si>
  <si>
    <t>U-357110</t>
  </si>
  <si>
    <t>JBAI-35-105</t>
  </si>
  <si>
    <t>15/01/2021: Liberação da Bobina
08/02/2021: Alterada a bobina de 74.1 para 74, conforme Rogério</t>
  </si>
  <si>
    <t>24-25</t>
  </si>
  <si>
    <t>CO032-RS</t>
  </si>
  <si>
    <t>TS1A</t>
  </si>
  <si>
    <t>22/01/2021: Liberação da Bobina, requisitar um cortão e 10m)</t>
  </si>
  <si>
    <t>CCSE</t>
  </si>
  <si>
    <t>CO033-RS</t>
  </si>
  <si>
    <t>TS1P</t>
  </si>
  <si>
    <t>ETH011-RS</t>
  </si>
  <si>
    <t>MESA DE OPERAÇÃO-SCC2 - SERVIDOR</t>
  </si>
  <si>
    <t>PSDC2-SW1</t>
  </si>
  <si>
    <t>CCSEx1HV</t>
  </si>
  <si>
    <t>29,31</t>
  </si>
  <si>
    <t>ETH013-RS</t>
  </si>
  <si>
    <t>PSDC2-SW2</t>
  </si>
  <si>
    <t>CBO013-RS</t>
  </si>
  <si>
    <t>PSINC1 - DIO 4</t>
  </si>
  <si>
    <t>CCSExQ3</t>
  </si>
  <si>
    <t>4, 31</t>
  </si>
  <si>
    <t>CBO010-PC</t>
  </si>
  <si>
    <t>ER-8 - SUPERVISÓRIO EXIST.</t>
  </si>
  <si>
    <t>SALA SERVIDOR - CCSE</t>
  </si>
  <si>
    <t>22/02/2021: Liberação da Bobina
22/02/2021</t>
  </si>
  <si>
    <t>8, 31</t>
  </si>
  <si>
    <t>CBO014-RS</t>
  </si>
  <si>
    <t>16/12/2020: Resposta da solicitação
11/03/2021: Com o comprimento real de 910m, não foi possível atender dois lançamentos com a bobina 156 que possuía (1500m). Solicitação Enviada)
12/03/2021: Cabo em compra</t>
  </si>
  <si>
    <t>4,31</t>
  </si>
  <si>
    <t>CDC-02330</t>
  </si>
  <si>
    <t>PI-95 (CCU)</t>
  </si>
  <si>
    <t>BF-901</t>
  </si>
  <si>
    <t>INST-1870</t>
  </si>
  <si>
    <t>CCU</t>
  </si>
  <si>
    <t>BK-SP54-0900A-DI-90-00024</t>
  </si>
  <si>
    <t>PI-101-PI-95-001F</t>
  </si>
  <si>
    <t>PI-101</t>
  </si>
  <si>
    <t>ALIMENTAÇÃO PI-95</t>
  </si>
  <si>
    <t>PI-103-PI-95-001F</t>
  </si>
  <si>
    <t>PI-103</t>
  </si>
  <si>
    <t>CCU-GAM-906E-001F</t>
  </si>
  <si>
    <t>1x1x2/C#16</t>
  </si>
  <si>
    <t>CCU - PI-101</t>
  </si>
  <si>
    <t>PNL. CONTROL. MOTOR GAM-906E</t>
  </si>
  <si>
    <t>PR-LC-0017</t>
  </si>
  <si>
    <t>CCUxGA-906E</t>
  </si>
  <si>
    <t>CCU-GAM-906E-002F</t>
  </si>
  <si>
    <t>CCU - PI-103</t>
  </si>
  <si>
    <t>CCU-GAM-906E-003F</t>
  </si>
  <si>
    <t>CCU - PI-102</t>
  </si>
  <si>
    <t>CDC-02141</t>
  </si>
  <si>
    <t>CAMPO - GA-906E (PL-90-127)</t>
  </si>
  <si>
    <t>CCU - DELTA V - PI-95</t>
  </si>
  <si>
    <t>INST-1790</t>
  </si>
  <si>
    <t>11/01/2021: Liberação da bobina
22/01/2021: Alterada a bobina de 155 para 152</t>
  </si>
  <si>
    <t>U-91133</t>
  </si>
  <si>
    <t>CCU/SIS PLC-73</t>
  </si>
  <si>
    <t>U-91136</t>
  </si>
  <si>
    <t>U-91137</t>
  </si>
  <si>
    <t>14/01/2021: Liberação da bobina
17/02/2021: Devido a falta de cabos na bobina 125, sugeriu-se alterar para 128
18/02/2021: Verificado com Paulo Vieira disponibilidade de lançamento utilizando a bobina 128</t>
  </si>
  <si>
    <t>U-91123</t>
  </si>
  <si>
    <t xml:space="preserve">8P#1,0mm²+SHI+SHC </t>
  </si>
  <si>
    <t>JBAI-90-110</t>
  </si>
  <si>
    <t>INST-1320</t>
  </si>
  <si>
    <t>CCUxGA-9312/S</t>
  </si>
  <si>
    <t>U-91124</t>
  </si>
  <si>
    <t>8P#1,0mm²+SHI+SHC</t>
  </si>
  <si>
    <t>JBDI-90-111</t>
  </si>
  <si>
    <t>U-91126</t>
  </si>
  <si>
    <t>CAMPO (GA-9312)</t>
  </si>
  <si>
    <t>U-91130</t>
  </si>
  <si>
    <t>CAMPO (GA-9312S)</t>
  </si>
  <si>
    <t>U-91155</t>
  </si>
  <si>
    <t>Digital  (N.I.S.)</t>
  </si>
  <si>
    <t>U-91152</t>
  </si>
  <si>
    <t>4P#1,0mm²+SHI+SHC</t>
  </si>
  <si>
    <t>JBAI-90-112</t>
  </si>
  <si>
    <t>08/01/2021: Liberação da bobina
15/03/2021: Reportado que a falta cabo de 4P (Bobina Antiga 128)</t>
  </si>
  <si>
    <t>PR-LC-0018</t>
  </si>
  <si>
    <t>CCUxGB-967A/B</t>
  </si>
  <si>
    <t>8/46</t>
  </si>
  <si>
    <t>U-91154</t>
  </si>
  <si>
    <t>12P#1,0mm²+SHI+SHC</t>
  </si>
  <si>
    <t>JBDI-90-115</t>
  </si>
  <si>
    <t>08/01/2021: Liberação da bobina
14/01/2021 Nota 3: A bobina 202 tem 132 m disponíveis. A Montcalm deve avaliar e informar se esta metragem atende o lance do circuito previsto - Checar rota do cabo no campo;</t>
  </si>
  <si>
    <t>6/39</t>
  </si>
  <si>
    <t>U-91149</t>
  </si>
  <si>
    <t>JBAI-90-111</t>
  </si>
  <si>
    <t>7/45</t>
  </si>
  <si>
    <t>U-91151</t>
  </si>
  <si>
    <t>JBDI-90-113</t>
  </si>
  <si>
    <t>5/32</t>
  </si>
  <si>
    <t>U-1703</t>
  </si>
  <si>
    <t>12P#1,5mm²+SHI+
SHTotal</t>
  </si>
  <si>
    <t>COGERAÇÃO - SL.ELETRICA 8HV</t>
  </si>
  <si>
    <t>BK-SP54-0900B-LC-80-00155_00000</t>
  </si>
  <si>
    <t>08/01/2021: Liberação da Bobina
15/03/2021: Reportado que a bobina 92 não foi suficiente para lançamento</t>
  </si>
  <si>
    <t>Botoeira Emer.</t>
  </si>
  <si>
    <t>COGxCCO</t>
  </si>
  <si>
    <t>CDC-17003</t>
  </si>
  <si>
    <t>SUBESTAÇÃO-COGERAÇÃO</t>
  </si>
  <si>
    <t>KVM/THIN CLIENT - 
SUBSOLO CCO</t>
  </si>
  <si>
    <t>11/01/2021: Liberação da bobina
22/01/2021: Alterada a bobina de 159 para 155</t>
  </si>
  <si>
    <t>Pela Guascor</t>
  </si>
  <si>
    <t>CDC-17004</t>
  </si>
  <si>
    <t>11/01/2021: Liberação da bobina
22/02/2021: Reafirmação do uso da bobina 159</t>
  </si>
  <si>
    <t>CDC-17005</t>
  </si>
  <si>
    <t>11/01/2021: Liberação da bobina
22/02/2021: Bobina alterada de 155 para 152</t>
  </si>
  <si>
    <t>U-1701</t>
  </si>
  <si>
    <t>08/01/2021: Liberação da Bobina</t>
  </si>
  <si>
    <t>U-1702</t>
  </si>
  <si>
    <t>U-1704</t>
  </si>
  <si>
    <t xml:space="preserve">08/01/2021: Liberação da Bobina
14/01/2021:Nota 1: Não temos a identificação da bobina neste momento, a Montcalm deve solicitar, pelo NE, o corte de sua necessidade ( 650m = 2 lances de 250m e 1 de 150m).
 Foi fornecido para o projeto, 806 metros deste cabo, no qual a Montcalm já utilizou 105m em novembro (reservado para aplicação na LM-0900A-LC-80-00186),  
tendo disponível nesse momento o total de 701m.       </t>
  </si>
  <si>
    <t>U-1705</t>
  </si>
  <si>
    <t>CFO-RCK-1701-001A</t>
  </si>
  <si>
    <t>CCU - DELTA V - EIOC - PI-95</t>
  </si>
  <si>
    <t>11/01/2021: Liberação da bobina
22/02/2021: Alterada a bobina de 159 para 161
22/02/2021: Pendente de Infra-Estrutura - Eletroduto 2"</t>
  </si>
  <si>
    <t>Pend. Material</t>
  </si>
  <si>
    <t>COGxCCU</t>
  </si>
  <si>
    <t>CFO-RCK-1701-001B</t>
  </si>
  <si>
    <t>PY-17053</t>
  </si>
  <si>
    <t>1P x 1,0mm² + Shield (N.I.S.)</t>
  </si>
  <si>
    <t>COGERAÇÃO - GUASCOR</t>
  </si>
  <si>
    <t>08/01/2021: Liberação da Bobina
fev/2021: Falta de infra estrutura</t>
  </si>
  <si>
    <t>Disponível</t>
  </si>
  <si>
    <t>PR-LC-0019</t>
  </si>
  <si>
    <t>COGxPERIF.IV</t>
  </si>
  <si>
    <t>BK-SP54-0900A-DI-70-00583/BK-SP54-0900A-DI-80-01589/BK-SP54-0900A-DI-80-01644_00000</t>
  </si>
  <si>
    <t>14/49/6</t>
  </si>
  <si>
    <t>PY-17054</t>
  </si>
  <si>
    <t>14/50/6</t>
  </si>
  <si>
    <t>PY-9227F</t>
  </si>
  <si>
    <t>BK-SP54-0900A-DI-70-00583/BK-SP54-0900A-DI-80-01644_00000</t>
  </si>
  <si>
    <t>15/05</t>
  </si>
  <si>
    <t>PY-9227H</t>
  </si>
  <si>
    <t>BK-SP54-0900A-DI-70-00583/BK-SP54-0900A-DI-80-01589</t>
  </si>
  <si>
    <t>15/48/5</t>
  </si>
  <si>
    <t>XS-17021A</t>
  </si>
  <si>
    <t>14/01/2021: Liberação da Bobina
fev/2021: Falta de Infra estrutura</t>
  </si>
  <si>
    <t>12/52/3</t>
  </si>
  <si>
    <t>XS-17022A</t>
  </si>
  <si>
    <t>12/54/3</t>
  </si>
  <si>
    <t>XS-17041A</t>
  </si>
  <si>
    <t>12/53/3</t>
  </si>
  <si>
    <t>XS-17042A</t>
  </si>
  <si>
    <t>12/55/3</t>
  </si>
  <si>
    <t>XS-17043</t>
  </si>
  <si>
    <t>12/56/4</t>
  </si>
  <si>
    <t>XS-17044</t>
  </si>
  <si>
    <t>12/57/4</t>
  </si>
  <si>
    <t>XS-17055</t>
  </si>
  <si>
    <t>12/58/4</t>
  </si>
  <si>
    <t>XS-17056</t>
  </si>
  <si>
    <t>12/59/4</t>
  </si>
  <si>
    <t>XS-17057</t>
  </si>
  <si>
    <t>12/60/4</t>
  </si>
  <si>
    <t>XS-17058</t>
  </si>
  <si>
    <t>12/61/4</t>
  </si>
  <si>
    <t>XS-90305</t>
  </si>
  <si>
    <t>13/51/1</t>
  </si>
  <si>
    <t>PV-9261A</t>
  </si>
  <si>
    <t>JBFF-90-105</t>
  </si>
  <si>
    <t>PV-9261B</t>
  </si>
  <si>
    <t>PT-9261</t>
  </si>
  <si>
    <t>PT-90465</t>
  </si>
  <si>
    <t>TT-90236</t>
  </si>
  <si>
    <t>FV-90223</t>
  </si>
  <si>
    <t>JBFF-90-104</t>
  </si>
  <si>
    <t>U-91115</t>
  </si>
  <si>
    <t>Rede (N.I.S.)</t>
  </si>
  <si>
    <t>U-91116</t>
  </si>
  <si>
    <t>44-46</t>
  </si>
  <si>
    <t>FT-90223</t>
  </si>
  <si>
    <t>U-91114</t>
  </si>
  <si>
    <t>JBFF-90-103</t>
  </si>
  <si>
    <t>32-35</t>
  </si>
  <si>
    <t>SOV-90176</t>
  </si>
  <si>
    <t xml:space="preserve">1P#1,5mm²+SHI </t>
  </si>
  <si>
    <t>ZSH-90240</t>
  </si>
  <si>
    <t>ZSL-90240</t>
  </si>
  <si>
    <t>FV-90252A</t>
  </si>
  <si>
    <t>JBFF-90-106</t>
  </si>
  <si>
    <t>FT-90252</t>
  </si>
  <si>
    <t>FV-90252B</t>
  </si>
  <si>
    <t>PT-90467</t>
  </si>
  <si>
    <t>34</t>
  </si>
  <si>
    <t>TT-90239</t>
  </si>
  <si>
    <t>U-91117</t>
  </si>
  <si>
    <t>FV-90248</t>
  </si>
  <si>
    <t>PT-90521</t>
  </si>
  <si>
    <t xml:space="preserve">1P#1,0mm²+SHI </t>
  </si>
  <si>
    <t>PT-90522</t>
  </si>
  <si>
    <t>FT-90253</t>
  </si>
  <si>
    <t>PT-90417</t>
  </si>
  <si>
    <t>FT-90248</t>
  </si>
  <si>
    <t>TT-90228</t>
  </si>
  <si>
    <t>SOV-3801</t>
  </si>
  <si>
    <t>1P x 1,0mm2 + Shield</t>
  </si>
  <si>
    <t>ROV-3801</t>
  </si>
  <si>
    <t>PAINEL PI-59 - SEÇÃO 3</t>
  </si>
  <si>
    <t>BK-SP54-00350-LC-80-00059_00000</t>
  </si>
  <si>
    <t>INST-1540</t>
  </si>
  <si>
    <t>?</t>
  </si>
  <si>
    <t>BK-SP54-00350-DI-80-00482</t>
  </si>
  <si>
    <t>U-357111</t>
  </si>
  <si>
    <t>PT-90254</t>
  </si>
  <si>
    <t>PT-90524</t>
  </si>
  <si>
    <t>Analógico</t>
  </si>
  <si>
    <t>PT-90253</t>
  </si>
  <si>
    <t>PT-90523</t>
  </si>
  <si>
    <t>14/01/2021: Liberação dos Cabos</t>
  </si>
  <si>
    <t>XS-90385</t>
  </si>
  <si>
    <t>PI-110 (PEAK 150)</t>
  </si>
  <si>
    <t>Digital</t>
  </si>
  <si>
    <t>XS-90386</t>
  </si>
  <si>
    <t>PY-9227B</t>
  </si>
  <si>
    <t>PY-9227B (PERIFÉRICOS IV)</t>
  </si>
  <si>
    <t>GABINETE DELTA V - BF 901</t>
  </si>
  <si>
    <t>BK-SP54-0900A-LC-80-00178_00000</t>
  </si>
  <si>
    <t>Perif.IVxCCU</t>
  </si>
  <si>
    <t>15/38/5</t>
  </si>
  <si>
    <t>PY-9227C</t>
  </si>
  <si>
    <t>PY-9227C (PERIFÉRICOS IV)</t>
  </si>
  <si>
    <t>GABINETE DELTA V - BF 902</t>
  </si>
  <si>
    <t>BK-SP54-0900A-LC-80-00179_00000</t>
  </si>
  <si>
    <t>15/39/5</t>
  </si>
  <si>
    <t>PY-9227D</t>
  </si>
  <si>
    <t>PY-9227D (PERIFÉRICOS IV)</t>
  </si>
  <si>
    <t>GABINETE DELTA V - BF 903</t>
  </si>
  <si>
    <t>BK-SP54-0900A-LC-80-00180_00000</t>
  </si>
  <si>
    <t>15/40/5</t>
  </si>
  <si>
    <t>PY-9227A</t>
  </si>
  <si>
    <t>PY-9227A (PERIFÉRICOS IV)</t>
  </si>
  <si>
    <t>GABINETE DELTA V - BF 900</t>
  </si>
  <si>
    <t>BK-SP54-0900A-LC-80-00177_00000</t>
  </si>
  <si>
    <t>15/37/5</t>
  </si>
  <si>
    <t>PY-9227G</t>
  </si>
  <si>
    <t>PY-9227G (PERIFÉRICOS IV)</t>
  </si>
  <si>
    <t>GABINETE DELTA V - BF 905</t>
  </si>
  <si>
    <t>BK-SP54-0900A-LC-80-00168_00000</t>
  </si>
  <si>
    <t>15/41/5</t>
  </si>
  <si>
    <t>CFO-CCO-VESTA-001</t>
  </si>
  <si>
    <t>FIBRA OPTICA MM 6 PARES</t>
  </si>
  <si>
    <t>SUBSOLO CCO - RACK GUASCOR</t>
  </si>
  <si>
    <t>PRÉDIO VESTA (TI)</t>
  </si>
  <si>
    <t>11/01/2021: Liberação da bobina
15/03/2021: Pendencia de Cabo NE 3185822</t>
  </si>
  <si>
    <t>Predio VestaxCCO</t>
  </si>
  <si>
    <t>TR2-1HV-001F</t>
  </si>
  <si>
    <t>9HV</t>
  </si>
  <si>
    <t>CAIXA DE EMENDA PROXIMA À Q3</t>
  </si>
  <si>
    <t>TRAFO TR-2</t>
  </si>
  <si>
    <t>Q3</t>
  </si>
  <si>
    <t>CBO011-PC</t>
  </si>
  <si>
    <t>22/02/2021: Liberação da Bobina</t>
  </si>
  <si>
    <t>1MV-GBM-967B-001AQ</t>
  </si>
  <si>
    <t>Procurar diagrama</t>
  </si>
  <si>
    <t>REVISÃO 5</t>
  </si>
  <si>
    <t>1MV-GBM-967B-001AQ1</t>
  </si>
  <si>
    <t>1HVxGB-967B</t>
  </si>
  <si>
    <t>1MV-GAM-906E-001AQ</t>
  </si>
  <si>
    <t>1MV-GAM-906E-001AQ1</t>
  </si>
  <si>
    <t>1HVxGA-906E</t>
  </si>
  <si>
    <t>1MV-GBM-967A-001AQ</t>
  </si>
  <si>
    <t>1MV-GBM-967A-001AQ1</t>
  </si>
  <si>
    <t>1HVxGB-967A</t>
  </si>
  <si>
    <t>1MV-GBM-208A-001AQ</t>
  </si>
  <si>
    <t>1MV-GBM-208A-001AQ1</t>
  </si>
  <si>
    <t>1HVxGB-208A</t>
  </si>
  <si>
    <t>125VCC-1HVBUS3-002F</t>
  </si>
  <si>
    <t>PAINEL DE 125Vcc</t>
  </si>
  <si>
    <t>1HV-BUS3 - PAINEL 13,8kV - ALIM 2</t>
  </si>
  <si>
    <t>CBO002-SEL</t>
  </si>
  <si>
    <t>1HVx1HV</t>
  </si>
  <si>
    <t>CBO003-SEL</t>
  </si>
  <si>
    <t>MESA DE OPERAÇÃO</t>
  </si>
  <si>
    <t>CBO004-SEL</t>
  </si>
  <si>
    <t>1HVBUS2-ER3-001C</t>
  </si>
  <si>
    <t>1HVBUS2-ER3-002C</t>
  </si>
  <si>
    <t>1HVBUS2-ER3-003C</t>
  </si>
  <si>
    <t>7HV-1HV-002C</t>
  </si>
  <si>
    <t>PN-7HV - (SWITCH HOLD)</t>
  </si>
  <si>
    <t>GAINE-1HVBUS3-004C</t>
  </si>
  <si>
    <t>Emitir Planta</t>
  </si>
  <si>
    <t>GAINE-1HVBUS3-005C</t>
  </si>
  <si>
    <t>1HV-BUS3 - PAINEL 13,8kV - 52D2</t>
  </si>
  <si>
    <t>GAINE-1HVBUS3-006C</t>
  </si>
  <si>
    <t>GAINE-1HVBUS3-007C</t>
  </si>
  <si>
    <t>GAINE-1HVBUS3-008C</t>
  </si>
  <si>
    <t>GAINE-1HVBUS3-009C</t>
  </si>
  <si>
    <t>GAINE SS</t>
  </si>
  <si>
    <t>GAINE-1HVBUS3-010C</t>
  </si>
  <si>
    <t>GAINE 22A</t>
  </si>
  <si>
    <t>GAINE-1HVBUS3-011C</t>
  </si>
  <si>
    <t>1HV-BUS3 - PAINEL 13,8kV - 24HV1-4</t>
  </si>
  <si>
    <t>GAINE-1HVBUS3-012C</t>
  </si>
  <si>
    <t>GAINE-1HVBUS3-013C</t>
  </si>
  <si>
    <t>GAINE-1HVBUS3-014C</t>
  </si>
  <si>
    <t>GAINE-1HVBUS3-015C</t>
  </si>
  <si>
    <t>GAINE-1HVBUS3-016C</t>
  </si>
  <si>
    <t>GAINE-1HVBUS3-017C</t>
  </si>
  <si>
    <t>GAINE-1HVBUS3-018C</t>
  </si>
  <si>
    <t>1HV-BUS3 - PAINEL 13,8kV - TR-6A</t>
  </si>
  <si>
    <t>GAINE-1HVBUS3-019C</t>
  </si>
  <si>
    <t>GAINE-1HVBUS3-020C</t>
  </si>
  <si>
    <t>GAINE-1HVBUS3-021C</t>
  </si>
  <si>
    <t>GAINE-1HVBUS3-022C</t>
  </si>
  <si>
    <t>GAINE-1HVBUS3-023C</t>
  </si>
  <si>
    <t>1HV-BUS3 - PAINEL 13,8kV - K06</t>
  </si>
  <si>
    <t>GAINE-1HVBUS1-001C</t>
  </si>
  <si>
    <t>GAINE 3</t>
  </si>
  <si>
    <t>1HV-BUS3 - PAINEL 13,8kV - TR-8</t>
  </si>
  <si>
    <t>GAINE-1HVBUS1-002C</t>
  </si>
  <si>
    <t>GAINE 22B</t>
  </si>
  <si>
    <t>ETH004-PC</t>
  </si>
  <si>
    <t>GATEWAY - 1MV BUS 4</t>
  </si>
  <si>
    <t>ETH005-PC</t>
  </si>
  <si>
    <t>GATEWAY - 1MV BUS 2</t>
  </si>
  <si>
    <t>ID_Lnc</t>
  </si>
  <si>
    <t>Tag</t>
  </si>
  <si>
    <t>Metragem</t>
  </si>
  <si>
    <t>Data</t>
  </si>
  <si>
    <t>Área</t>
  </si>
  <si>
    <t>Lista</t>
  </si>
  <si>
    <t>Medição</t>
  </si>
  <si>
    <t>Mês Medição</t>
  </si>
  <si>
    <t>Comprim. Real</t>
  </si>
  <si>
    <t>%Lançado</t>
  </si>
  <si>
    <t>ID_Tst</t>
  </si>
  <si>
    <t>TAG</t>
  </si>
  <si>
    <t>Teste</t>
  </si>
  <si>
    <t>COD_Test</t>
  </si>
  <si>
    <t>Cod_CT</t>
  </si>
  <si>
    <t>Status</t>
  </si>
  <si>
    <t>Condutores</t>
  </si>
  <si>
    <t>Lig.</t>
  </si>
  <si>
    <t>Born</t>
  </si>
  <si>
    <t>Qualidade</t>
  </si>
  <si>
    <t>ID_Lig</t>
  </si>
  <si>
    <t>Qtde Lig</t>
  </si>
  <si>
    <t>OK</t>
  </si>
  <si>
    <t>Item Med.</t>
  </si>
  <si>
    <t>Circuito / Cabo</t>
  </si>
  <si>
    <t>PROJEÇÃO Lançada (m) [Mês]</t>
  </si>
  <si>
    <t>Lançamento Real</t>
  </si>
  <si>
    <t>Diferença</t>
  </si>
  <si>
    <t>Não Lançado</t>
  </si>
  <si>
    <t xml:space="preserve">U-12564 </t>
  </si>
  <si>
    <t xml:space="preserve">U-12577 </t>
  </si>
  <si>
    <t xml:space="preserve">U-12578 </t>
  </si>
  <si>
    <t>Não Solic.</t>
  </si>
  <si>
    <t>PY-9227E</t>
  </si>
  <si>
    <t>CAV/SDCD BF-1900</t>
  </si>
  <si>
    <t>CCU/SDCD PERIFÉRICOS IV</t>
  </si>
  <si>
    <t>BK-SP54-0900A-LC-80-00192_00000</t>
  </si>
  <si>
    <t>CAVxCCU</t>
  </si>
  <si>
    <t>Verificação</t>
  </si>
  <si>
    <t>Diagrama</t>
  </si>
  <si>
    <t>Painel 1</t>
  </si>
  <si>
    <t>Painel 2</t>
  </si>
  <si>
    <t>Pesq. Painel</t>
  </si>
  <si>
    <t>Qtde Anilhas</t>
  </si>
  <si>
    <t>Verificação Anilhas</t>
  </si>
  <si>
    <t>Bitola</t>
  </si>
  <si>
    <t>% Ligações</t>
  </si>
  <si>
    <t>Ligações Realizadas Painel 1</t>
  </si>
  <si>
    <t>Ligações Realizadas Painel 2</t>
  </si>
  <si>
    <t>Observação</t>
  </si>
  <si>
    <t>Allan</t>
  </si>
  <si>
    <t>PAINEL 125VCC</t>
  </si>
  <si>
    <t>PSDC2</t>
  </si>
  <si>
    <t>RST</t>
  </si>
  <si>
    <t>RES. AQUEC.</t>
  </si>
  <si>
    <t>GAINE IV</t>
  </si>
  <si>
    <t>GB-967A</t>
  </si>
  <si>
    <t>GB-967B</t>
  </si>
  <si>
    <t>PAINEL 220V</t>
  </si>
  <si>
    <t>Rodrigo</t>
  </si>
  <si>
    <t>TCC-49</t>
  </si>
  <si>
    <t>PAINEL 30LV</t>
  </si>
  <si>
    <t>RES. AQUEC. CCP</t>
  </si>
  <si>
    <t>GA-9312</t>
  </si>
  <si>
    <t>GA-9312S</t>
  </si>
  <si>
    <t>7HV-FS-01</t>
  </si>
  <si>
    <t>PA-7HV-COM</t>
  </si>
  <si>
    <t>Já Impresso</t>
  </si>
  <si>
    <t>Tag e Formação diferentes na folha 5, ligações ímpares</t>
  </si>
  <si>
    <t>Pend. Diagrama</t>
  </si>
  <si>
    <t>TR-09A</t>
  </si>
  <si>
    <t>TR-09B</t>
  </si>
  <si>
    <t>TR-27</t>
  </si>
  <si>
    <t>TR-08A/B</t>
  </si>
  <si>
    <t>TR-24A</t>
  </si>
  <si>
    <t>TR-24B</t>
  </si>
  <si>
    <t>TR-26A</t>
  </si>
  <si>
    <t>TR-26B</t>
  </si>
  <si>
    <t>PN-COG</t>
  </si>
  <si>
    <t>Faltam Borns PN-COG</t>
  </si>
  <si>
    <t>BCH-18</t>
  </si>
  <si>
    <t>BCH-19</t>
  </si>
  <si>
    <t>TCC-34</t>
  </si>
  <si>
    <t>PSDC1</t>
  </si>
  <si>
    <t>PSDC4</t>
  </si>
  <si>
    <t>PSINC1</t>
  </si>
  <si>
    <t>Painel PSDC3 que consta no diagrama não existe, O cabo vai direto da 7HV para a Q3.</t>
  </si>
  <si>
    <t>ER-8</t>
  </si>
  <si>
    <t>1CHA01</t>
  </si>
  <si>
    <t>JBAC-17007</t>
  </si>
  <si>
    <t>DELTA IV</t>
  </si>
  <si>
    <t>INSTRUMENTO</t>
  </si>
  <si>
    <t>DELTA V</t>
  </si>
  <si>
    <t>DIO-120-104</t>
  </si>
  <si>
    <t>SWT-120-105</t>
  </si>
  <si>
    <t>PSINC2</t>
  </si>
  <si>
    <t>RCK-90-101</t>
  </si>
  <si>
    <t>Não localizado no BK-SP54-0900B-DP-90-00039</t>
  </si>
  <si>
    <t>GTW-90104</t>
  </si>
  <si>
    <t>PI-1205</t>
  </si>
  <si>
    <t>RCK-120-102</t>
  </si>
  <si>
    <t>RCK-CCP-101</t>
  </si>
  <si>
    <t>RCK-120-103</t>
  </si>
  <si>
    <t>RCK-90-105</t>
  </si>
  <si>
    <t>PL-120-101</t>
  </si>
  <si>
    <t>GB-1201-INV</t>
  </si>
  <si>
    <t>GB-1203-INV</t>
  </si>
  <si>
    <t>GB-200-INV</t>
  </si>
  <si>
    <t>GTW-90103</t>
  </si>
  <si>
    <t>PI-57</t>
  </si>
  <si>
    <t>CL-7HV</t>
  </si>
  <si>
    <t>JBDC-17005</t>
  </si>
  <si>
    <t>Régua de Borns XDESCC inexistente.</t>
  </si>
  <si>
    <t>Bornes Painel 7HV,  aguardando Siemens</t>
  </si>
  <si>
    <t>24HV2</t>
  </si>
  <si>
    <t>Bornes Alim. 125Vcc não definidos</t>
  </si>
  <si>
    <t>24HV8</t>
  </si>
  <si>
    <t>6 Ligações em um lado e 8 no outro. Bornes não definidos</t>
  </si>
  <si>
    <t>Régua 1HV-BUS1 em HOLD</t>
  </si>
  <si>
    <t>Régua 1HV-BUS3 em HOLD</t>
  </si>
  <si>
    <t>Régua "XSINC" não existe no equipamento</t>
  </si>
  <si>
    <t>Bornes Alim. 125Vcc a serem definidos pela Guascor</t>
  </si>
  <si>
    <t>Bornes a serem definidos pela Guascor e Régua "XSINC" não existe no equipamento</t>
  </si>
  <si>
    <t>1 Born a ser definido pela Guascor</t>
  </si>
  <si>
    <t>TG1</t>
  </si>
  <si>
    <t>Bornes TG1 a serem definidos pela Guascor</t>
  </si>
  <si>
    <t>TG2</t>
  </si>
  <si>
    <t>Bornes TG2 a serem definidos pela Guascor</t>
  </si>
  <si>
    <t>JBDC-17007</t>
  </si>
  <si>
    <t>RS-TR-27</t>
  </si>
  <si>
    <t>MALHA DE TERRA 7HV</t>
  </si>
  <si>
    <t>PI-59</t>
  </si>
  <si>
    <t>TR-05A</t>
  </si>
  <si>
    <t>TR-05B</t>
  </si>
  <si>
    <t>TCC-33</t>
  </si>
  <si>
    <t>TCC-36</t>
  </si>
  <si>
    <t>PDG-1701</t>
  </si>
  <si>
    <t>TRN-01</t>
  </si>
  <si>
    <t>TCC-3</t>
  </si>
  <si>
    <t>TRN-04A</t>
  </si>
  <si>
    <t>TRN-03A</t>
  </si>
  <si>
    <t>TCC-50</t>
  </si>
  <si>
    <t>TR-08A</t>
  </si>
  <si>
    <t>TCC-51</t>
  </si>
  <si>
    <t>TCC-52</t>
  </si>
  <si>
    <t>TR-08B</t>
  </si>
  <si>
    <t>EMENDA Q3</t>
  </si>
  <si>
    <t>TR-2</t>
  </si>
  <si>
    <t>EMENDA 1HV</t>
  </si>
  <si>
    <t>LI-1203A</t>
  </si>
  <si>
    <t>JB LEAKAGE 1203</t>
  </si>
  <si>
    <t>JBI-120-102X</t>
  </si>
  <si>
    <t>LI-1201A</t>
  </si>
  <si>
    <t>JB LEAKAGE 1201</t>
  </si>
  <si>
    <t>7HV-BNC</t>
  </si>
  <si>
    <t>Bornes numerados com "TBD".</t>
  </si>
  <si>
    <t>Coluna do Painel 7HV não está no diagrama.</t>
  </si>
  <si>
    <t>Ligações Ímpares. 2 na JB, e 3 no Painel;</t>
  </si>
  <si>
    <t>Cabo com DE/PARA não corresponde ao Diagrama</t>
  </si>
  <si>
    <t>JBI-120-104X</t>
  </si>
  <si>
    <t>JBI-120-101X</t>
  </si>
  <si>
    <t>AMB-GB-1201</t>
  </si>
  <si>
    <t>Conforme comentários no DF da BHGE 3858970_SOS4598661 (Active Magnetic Bearings Cabinet Layout And Wiring Diagram - AMB-GB-1201), ver documento em anexo, foi solicitado o envio do diagrama de interligação do painel.</t>
  </si>
  <si>
    <t>GUASCOR</t>
  </si>
  <si>
    <t>Os cabos devem ser lançados e entregues para Guascor. Os serviços de conexão de cabos 
e demais itens necessários são de escopo Guascor no Eletrocentro da Central de
Cogeração e no Prédio da CCO, bem como no Prédio Vesta. Ver item 8.3  do BK-SP54-00000-MD-90-00071</t>
  </si>
  <si>
    <t>LI-200A</t>
  </si>
  <si>
    <t>JBI-20-106X</t>
  </si>
  <si>
    <t>SDCD AQUENTE2</t>
  </si>
  <si>
    <t>Régua em HOLD</t>
  </si>
  <si>
    <t>Indo para o mesmo borne no 7HV que o cabo U-31211</t>
  </si>
  <si>
    <t>Indo para o mesmo borne no 7HV que o cabo U-31212</t>
  </si>
  <si>
    <t>EFJB-9044</t>
  </si>
  <si>
    <t>SIS-TMR-XVIII</t>
  </si>
  <si>
    <t>CCM-GBM-967A</t>
  </si>
  <si>
    <t>PL-90-127X</t>
  </si>
  <si>
    <t>SIS-CCU-102-B</t>
  </si>
  <si>
    <t>SIS-CCU-102-C</t>
  </si>
  <si>
    <t>SIS-CCU-101-B</t>
  </si>
  <si>
    <t>PI-95</t>
  </si>
  <si>
    <t>Ligação no PI-101 Não localizada</t>
  </si>
  <si>
    <t>Ligação no PI-103 Não localizada</t>
  </si>
  <si>
    <t>PI-102</t>
  </si>
  <si>
    <t>PI-110</t>
  </si>
  <si>
    <t>Procurar Diagrama</t>
  </si>
  <si>
    <t>GA-967A</t>
  </si>
  <si>
    <t>GA-208A</t>
  </si>
  <si>
    <t>Colocar anilhas</t>
  </si>
  <si>
    <t>1MV-BUS4</t>
  </si>
  <si>
    <t>1MV-BUS2</t>
  </si>
  <si>
    <t xml:space="preserve">BK-SP54-00000-DI-90-00025 </t>
  </si>
  <si>
    <t>SOS4598772</t>
  </si>
  <si>
    <t>SOS4598767</t>
  </si>
  <si>
    <t>BK-SP54-00000-DI-90-00025 / BK-SP54-0900B-DP-90-00038 / BK-SP54-00000-DF-90-00064</t>
  </si>
  <si>
    <t>SOS4598759</t>
  </si>
  <si>
    <t xml:space="preserve">BK-SP54-0900B-DP-90-00038 </t>
  </si>
  <si>
    <t>SOS4598774</t>
  </si>
  <si>
    <t>BK-SP54-00350-DP-90-00002</t>
  </si>
  <si>
    <t>BK-SP54-00000-DI-90-00025 / BK-SP54-0900B-DP-90-00038 / SOK0902199</t>
  </si>
  <si>
    <t>INVERSOR GB-1201</t>
  </si>
  <si>
    <t>BK-SP54-00000-DI-90-00025 / BK-SP54-00000-DF-90-00064 / SOS4598772</t>
  </si>
  <si>
    <t>(Eletrocentro da Motorização)</t>
  </si>
  <si>
    <t>INVERSOR GB-1203</t>
  </si>
  <si>
    <t>BK-SP54-00000-DI-90-00025 / BK-SP54-00000-DF-90-00064 / SOS4598767</t>
  </si>
  <si>
    <t>KVM/THIN CLIENT -</t>
  </si>
  <si>
    <t>PELA GUASCOR</t>
  </si>
  <si>
    <t>SUBSOLO CCO</t>
  </si>
  <si>
    <t>PELA GUASCOR.</t>
  </si>
  <si>
    <t>INVERSOR GB-200</t>
  </si>
  <si>
    <t>BK-SP54-00000-DI-90-00025 / BK-SP54-00000-DF-90-00064 / SOS4598759</t>
  </si>
  <si>
    <t>BK-SP54-00000-DI-90-00025  / BK-SP54-00000-DF-90-00063</t>
  </si>
  <si>
    <t>INVERSOR GB-351</t>
  </si>
  <si>
    <t>BK-SP54-00000-DI-90-00025 / BK-SP54-00000-DF-90-00064 / SOS4598774</t>
  </si>
  <si>
    <t>BK-SP54-00000-DI-90-00025 / BK-SP54-00350-DP-90-00002</t>
  </si>
  <si>
    <t>BK-SP54-00200-DP-90-00023/ BK-SP54-00000-DI-90-00025 / BK-SP54-00000-DF-90-00064</t>
  </si>
  <si>
    <t>Tag Cabo</t>
  </si>
  <si>
    <t>Painel</t>
  </si>
  <si>
    <t>Régua</t>
  </si>
  <si>
    <t>Anilha</t>
  </si>
  <si>
    <t>Char</t>
  </si>
  <si>
    <t>Tipo Anilha</t>
  </si>
  <si>
    <t>Qtde</t>
  </si>
  <si>
    <t>X1</t>
  </si>
  <si>
    <t>CMS 1/18 (0.5 até 1.5 mm²)</t>
  </si>
  <si>
    <t>Solicitado</t>
  </si>
  <si>
    <t>CMS 2/18 (2.5 até 10.0 mm²)</t>
  </si>
  <si>
    <t>T8801C</t>
  </si>
  <si>
    <t>CMS 3/18 (16 até 60 mm²)</t>
  </si>
  <si>
    <t>Colocar TAG</t>
  </si>
  <si>
    <t>T881C</t>
  </si>
  <si>
    <t>RB4</t>
  </si>
  <si>
    <t>BED-43</t>
  </si>
  <si>
    <t>BED-41</t>
  </si>
  <si>
    <t>BED-42</t>
  </si>
  <si>
    <t>BNC</t>
  </si>
  <si>
    <t>XE</t>
  </si>
  <si>
    <t>BR-01</t>
  </si>
  <si>
    <t>BR-04</t>
  </si>
  <si>
    <t>ALTERADO</t>
  </si>
  <si>
    <t>BR-02</t>
  </si>
  <si>
    <t>NOVO</t>
  </si>
  <si>
    <t>BR-03</t>
  </si>
  <si>
    <t>BR-05</t>
  </si>
  <si>
    <t>RS-01</t>
  </si>
  <si>
    <t>RS-02</t>
  </si>
  <si>
    <t>BR-06</t>
  </si>
  <si>
    <t>IG-03</t>
  </si>
  <si>
    <t>3+</t>
  </si>
  <si>
    <t>2-</t>
  </si>
  <si>
    <t>IG-04</t>
  </si>
  <si>
    <t>8+</t>
  </si>
  <si>
    <t>8-</t>
  </si>
  <si>
    <t>IG-01</t>
  </si>
  <si>
    <t>IG-02</t>
  </si>
  <si>
    <t>IG-11</t>
  </si>
  <si>
    <t>TB2</t>
  </si>
  <si>
    <t>RBI-SI-7</t>
  </si>
  <si>
    <t>RB-NSI-7</t>
  </si>
  <si>
    <t>31+</t>
  </si>
  <si>
    <t>31-</t>
  </si>
  <si>
    <t>1+</t>
  </si>
  <si>
    <t>1-</t>
  </si>
  <si>
    <t>4-</t>
  </si>
  <si>
    <t>32-</t>
  </si>
  <si>
    <t>ES-35105X</t>
  </si>
  <si>
    <t>COM</t>
  </si>
  <si>
    <t>TM</t>
  </si>
  <si>
    <t>BR-07</t>
  </si>
  <si>
    <t>RB-SD1</t>
  </si>
  <si>
    <t>T8801</t>
  </si>
  <si>
    <t>RB-SD2</t>
  </si>
  <si>
    <t>RB-SD3</t>
  </si>
  <si>
    <t>TS1</t>
  </si>
  <si>
    <t>TTU1</t>
  </si>
  <si>
    <t>TTU2</t>
  </si>
  <si>
    <t>TTV1</t>
  </si>
  <si>
    <t>TTW1</t>
  </si>
  <si>
    <t>TTW2</t>
  </si>
  <si>
    <t>+</t>
  </si>
  <si>
    <t>TS-001</t>
  </si>
  <si>
    <t>4+</t>
  </si>
  <si>
    <t>2+</t>
  </si>
  <si>
    <t>3-</t>
  </si>
  <si>
    <t>5+</t>
  </si>
  <si>
    <t>5-</t>
  </si>
  <si>
    <t>6+</t>
  </si>
  <si>
    <t>6-</t>
  </si>
  <si>
    <t>7+</t>
  </si>
  <si>
    <t>7-</t>
  </si>
  <si>
    <t>EA 02.7-1</t>
  </si>
  <si>
    <t>SD 03.4-1</t>
  </si>
  <si>
    <t>05</t>
  </si>
  <si>
    <t>06</t>
  </si>
  <si>
    <t>ED 03.1-1</t>
  </si>
  <si>
    <t>07</t>
  </si>
  <si>
    <t>08</t>
  </si>
  <si>
    <t>HS-90187A</t>
  </si>
  <si>
    <t>NA</t>
  </si>
  <si>
    <t>HS-90187B</t>
  </si>
  <si>
    <t>HS-90187C</t>
  </si>
  <si>
    <t>HS-90187D</t>
  </si>
  <si>
    <t>PB-90103</t>
  </si>
  <si>
    <t>PB-90104</t>
  </si>
  <si>
    <t>NF</t>
  </si>
  <si>
    <t>09</t>
  </si>
  <si>
    <t>SD 02.3-1</t>
  </si>
  <si>
    <t>01</t>
  </si>
  <si>
    <t>02</t>
  </si>
  <si>
    <t>03</t>
  </si>
  <si>
    <t>04</t>
  </si>
  <si>
    <t>ED 03.2-1</t>
  </si>
  <si>
    <t>HS-90188A</t>
  </si>
  <si>
    <t>HS-90188B</t>
  </si>
  <si>
    <t>HS-90188C</t>
  </si>
  <si>
    <t>HS-90188D</t>
  </si>
  <si>
    <t>PB-90106</t>
  </si>
  <si>
    <t>PB-90107</t>
  </si>
  <si>
    <t>RB-ED</t>
  </si>
  <si>
    <t>SD 02.5-1</t>
  </si>
  <si>
    <t>RB-SD</t>
  </si>
  <si>
    <t>ED 01.5-1</t>
  </si>
  <si>
    <t>TS-002</t>
  </si>
  <si>
    <t>ED 01.6-2</t>
  </si>
  <si>
    <t>NC</t>
  </si>
  <si>
    <t>RB-DI-24</t>
  </si>
  <si>
    <t>XE16</t>
  </si>
  <si>
    <t>RB-HOLD</t>
  </si>
  <si>
    <t>RB-DI-30</t>
  </si>
  <si>
    <t>RB3</t>
  </si>
  <si>
    <t>29+</t>
  </si>
  <si>
    <t>30-</t>
  </si>
  <si>
    <t>TIFON</t>
  </si>
  <si>
    <t>XX+</t>
  </si>
  <si>
    <t>XX-</t>
  </si>
  <si>
    <t>TS2</t>
  </si>
  <si>
    <t>RB-EA10</t>
  </si>
  <si>
    <t>XT-3853X</t>
  </si>
  <si>
    <t>24V0C</t>
  </si>
  <si>
    <t>OUT</t>
  </si>
  <si>
    <t>XT-3853Y</t>
  </si>
  <si>
    <t>XT-3851X</t>
  </si>
  <si>
    <t>XT-3851Y</t>
  </si>
  <si>
    <t>KT-3852</t>
  </si>
  <si>
    <t>ZT-3851A</t>
  </si>
  <si>
    <t>ZT-3851B</t>
  </si>
  <si>
    <t>VE-3852</t>
  </si>
  <si>
    <t>RB-EA1</t>
  </si>
  <si>
    <t>RB-EA3</t>
  </si>
  <si>
    <t>RB-EA4</t>
  </si>
  <si>
    <t>RB-EA5</t>
  </si>
  <si>
    <t>RB-EA6</t>
  </si>
  <si>
    <t>RB-EA7</t>
  </si>
  <si>
    <t>RB-EA8</t>
  </si>
  <si>
    <t>XT-3854X</t>
  </si>
  <si>
    <t>XT-3854Y</t>
  </si>
  <si>
    <t>XT-3852X</t>
  </si>
  <si>
    <t>XT-3852Y</t>
  </si>
  <si>
    <t>KT-3851</t>
  </si>
  <si>
    <t>VE-3851</t>
  </si>
  <si>
    <t>XT35116AX</t>
  </si>
  <si>
    <t>XT35116BX</t>
  </si>
  <si>
    <t>XT35117AX</t>
  </si>
  <si>
    <t>XT35117BX</t>
  </si>
  <si>
    <t>TS-01</t>
  </si>
  <si>
    <t>RB-EA12</t>
  </si>
  <si>
    <t>RB-A0-19</t>
  </si>
  <si>
    <t>TBAC01</t>
  </si>
  <si>
    <t>RB-AI-17</t>
  </si>
  <si>
    <t>TBAC02</t>
  </si>
  <si>
    <t>IF-302</t>
  </si>
  <si>
    <t>RB-DI-32</t>
  </si>
  <si>
    <t>BN-SC</t>
  </si>
  <si>
    <t>TBDC02</t>
  </si>
  <si>
    <t>TBDC01</t>
  </si>
  <si>
    <t>RB-DO-31</t>
  </si>
  <si>
    <t>TBCD01</t>
  </si>
  <si>
    <t>S1</t>
  </si>
  <si>
    <t>T</t>
  </si>
  <si>
    <t>S5</t>
  </si>
  <si>
    <t>S4</t>
  </si>
  <si>
    <t>S3</t>
  </si>
  <si>
    <t>S2</t>
  </si>
  <si>
    <t>P1</t>
  </si>
  <si>
    <t>FPS-01</t>
  </si>
  <si>
    <t>FPS-02</t>
  </si>
  <si>
    <t>SO</t>
  </si>
  <si>
    <t>XE2</t>
  </si>
  <si>
    <t>TB1</t>
  </si>
  <si>
    <t>2L1</t>
  </si>
  <si>
    <t>2N1</t>
  </si>
  <si>
    <t>TB4</t>
  </si>
  <si>
    <t>2PW</t>
  </si>
  <si>
    <t>2SN</t>
  </si>
  <si>
    <t>3PW</t>
  </si>
  <si>
    <t>3SN</t>
  </si>
  <si>
    <t>XE8</t>
  </si>
  <si>
    <t>4L1</t>
  </si>
  <si>
    <t>4N1</t>
  </si>
  <si>
    <t>RB-C</t>
  </si>
  <si>
    <t>XE1</t>
  </si>
  <si>
    <t>XQ0</t>
  </si>
  <si>
    <t>XDESCC</t>
  </si>
  <si>
    <t>X30</t>
  </si>
  <si>
    <t>XDC</t>
  </si>
  <si>
    <t>XDI3</t>
  </si>
  <si>
    <t>3F2</t>
  </si>
  <si>
    <t>-X2</t>
  </si>
  <si>
    <t>4F2</t>
  </si>
  <si>
    <t>N</t>
  </si>
  <si>
    <t>X4</t>
  </si>
  <si>
    <t>5F1</t>
  </si>
  <si>
    <t>XAX</t>
  </si>
  <si>
    <t>7F1</t>
  </si>
  <si>
    <t>9F1</t>
  </si>
  <si>
    <t>BNA</t>
  </si>
  <si>
    <t>6F1</t>
  </si>
  <si>
    <t>X2</t>
  </si>
  <si>
    <t>5F2</t>
  </si>
  <si>
    <t>1XEAQ</t>
  </si>
  <si>
    <t>+1</t>
  </si>
  <si>
    <t>+7</t>
  </si>
  <si>
    <t>BNP</t>
  </si>
  <si>
    <t>+6</t>
  </si>
  <si>
    <t>1XECC</t>
  </si>
  <si>
    <t>2Q1</t>
  </si>
  <si>
    <t>X3</t>
  </si>
  <si>
    <t>X0</t>
  </si>
  <si>
    <t>XI 1</t>
  </si>
  <si>
    <t>XC30</t>
  </si>
  <si>
    <t>XF1</t>
  </si>
  <si>
    <t>HE-1</t>
  </si>
  <si>
    <t>H2-2</t>
  </si>
  <si>
    <t>HE1-1</t>
  </si>
  <si>
    <t>HE1-2</t>
  </si>
  <si>
    <t>HE2-1</t>
  </si>
  <si>
    <t>HE2-2</t>
  </si>
  <si>
    <t>HE3-1</t>
  </si>
  <si>
    <t>HE3-2</t>
  </si>
  <si>
    <t>TBA</t>
  </si>
  <si>
    <t>XF3</t>
  </si>
  <si>
    <t>BCN</t>
  </si>
  <si>
    <t>BNC1</t>
  </si>
  <si>
    <t>XSINC</t>
  </si>
  <si>
    <t>BNU</t>
  </si>
  <si>
    <t>XP</t>
  </si>
  <si>
    <t>XS1</t>
  </si>
  <si>
    <t>ALTERADA</t>
  </si>
  <si>
    <t>LIGA</t>
  </si>
  <si>
    <t>FALHA</t>
  </si>
  <si>
    <t>LIGADO</t>
  </si>
  <si>
    <t>DESL</t>
  </si>
  <si>
    <t>L/D REM</t>
  </si>
  <si>
    <t>TB-16</t>
  </si>
  <si>
    <t>LEAKAGE</t>
  </si>
  <si>
    <t>TB-10</t>
  </si>
  <si>
    <t>TB-8</t>
  </si>
  <si>
    <t>TB-32</t>
  </si>
  <si>
    <t>XB10</t>
  </si>
  <si>
    <t>TBD</t>
  </si>
  <si>
    <t>TB-33</t>
  </si>
  <si>
    <t>2XDJ26</t>
  </si>
  <si>
    <t>TB-21</t>
  </si>
  <si>
    <t>2XDJ27</t>
  </si>
  <si>
    <t>TB-22A</t>
  </si>
  <si>
    <t>TB-31</t>
  </si>
  <si>
    <t>TB5</t>
  </si>
  <si>
    <t>TB-04</t>
  </si>
  <si>
    <t>TB-09</t>
  </si>
  <si>
    <t>XB12</t>
  </si>
  <si>
    <t>2H</t>
  </si>
  <si>
    <t>2M</t>
  </si>
  <si>
    <t>TB-08</t>
  </si>
  <si>
    <t>TB-26</t>
  </si>
  <si>
    <t>XB-10</t>
  </si>
  <si>
    <t>9H</t>
  </si>
  <si>
    <t>10M</t>
  </si>
  <si>
    <t>10H</t>
  </si>
  <si>
    <t>11H</t>
  </si>
  <si>
    <t>11M</t>
  </si>
  <si>
    <t>12H</t>
  </si>
  <si>
    <t>12M</t>
  </si>
  <si>
    <t>13H</t>
  </si>
  <si>
    <t>13M</t>
  </si>
  <si>
    <t>14H</t>
  </si>
  <si>
    <t>14M</t>
  </si>
  <si>
    <t>15H</t>
  </si>
  <si>
    <t>15M</t>
  </si>
  <si>
    <t>16H</t>
  </si>
  <si>
    <t>16M</t>
  </si>
  <si>
    <t>17H</t>
  </si>
  <si>
    <t>17M</t>
  </si>
  <si>
    <t>TR-24A-X1</t>
  </si>
  <si>
    <t>TR-24B-X1</t>
  </si>
  <si>
    <t>TB3</t>
  </si>
  <si>
    <t>TB-18</t>
  </si>
  <si>
    <t>TB-03</t>
  </si>
  <si>
    <t>TB-02</t>
  </si>
  <si>
    <t>TB-06</t>
  </si>
  <si>
    <t>LD1-1</t>
  </si>
  <si>
    <t>LD1-3</t>
  </si>
  <si>
    <t>X051.A</t>
  </si>
  <si>
    <t>01A</t>
  </si>
  <si>
    <t>01C</t>
  </si>
  <si>
    <t>X993</t>
  </si>
  <si>
    <t>02A</t>
  </si>
  <si>
    <t>02B</t>
  </si>
  <si>
    <t>101.1A</t>
  </si>
  <si>
    <t>101.1B</t>
  </si>
  <si>
    <t>101.2A</t>
  </si>
  <si>
    <t>101.2B</t>
  </si>
  <si>
    <t>101.1C</t>
  </si>
  <si>
    <t>101.1D</t>
  </si>
  <si>
    <t>101.2C</t>
  </si>
  <si>
    <t>101.2D</t>
  </si>
  <si>
    <t>102.1A</t>
  </si>
  <si>
    <t>102.1B</t>
  </si>
  <si>
    <t>102.1C</t>
  </si>
  <si>
    <t>102.1D</t>
  </si>
  <si>
    <t>TB-07</t>
  </si>
  <si>
    <t>401.1/A</t>
  </si>
  <si>
    <t>401.1/B</t>
  </si>
  <si>
    <t>401.2/A</t>
  </si>
  <si>
    <t>401.2/B</t>
  </si>
  <si>
    <t>301/A</t>
  </si>
  <si>
    <t>301/B</t>
  </si>
  <si>
    <t>301/C</t>
  </si>
  <si>
    <t>301/D</t>
  </si>
  <si>
    <t>TB-13</t>
  </si>
  <si>
    <t>TB-01</t>
  </si>
  <si>
    <t>TB-13A</t>
  </si>
  <si>
    <t>TB-22</t>
  </si>
  <si>
    <t>2XDJ2</t>
  </si>
  <si>
    <t>TB-24</t>
  </si>
  <si>
    <t>2XDJ28</t>
  </si>
  <si>
    <t>2XDJ29</t>
  </si>
  <si>
    <t>TB-25</t>
  </si>
  <si>
    <t>X-993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</si>
  <si>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</si>
  <si>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</si>
  <si>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</si>
  <si>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</si>
  <si>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</si>
  <si>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</si>
  <si>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</si>
  <si>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</si>
  <si>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</si>
  <si>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</si>
  <si>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</si>
  <si>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</si>
  <si>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</si>
  <si>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</si>
  <si>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231A</t>
  </si>
  <si>
    <t>231B</t>
  </si>
  <si>
    <t>231C</t>
  </si>
  <si>
    <t>231D</t>
  </si>
  <si>
    <t>X-995</t>
  </si>
  <si>
    <t>206A</t>
  </si>
  <si>
    <t>206B</t>
  </si>
  <si>
    <t>X-051.A</t>
  </si>
  <si>
    <t>04C</t>
  </si>
  <si>
    <t>04D</t>
  </si>
  <si>
    <t>TR-09A-X1</t>
  </si>
  <si>
    <t>TB-34</t>
  </si>
  <si>
    <t>TR-09B-X1</t>
  </si>
  <si>
    <t>TB-29</t>
  </si>
  <si>
    <t>TR26A</t>
  </si>
  <si>
    <t>X1-30</t>
  </si>
  <si>
    <t>X1-28</t>
  </si>
  <si>
    <t>TR26B</t>
  </si>
  <si>
    <t>X-05.A</t>
  </si>
  <si>
    <t>401.1/C</t>
  </si>
  <si>
    <t>401.1/D</t>
  </si>
  <si>
    <t>402.2/A</t>
  </si>
  <si>
    <t>402.2/B</t>
  </si>
  <si>
    <t>402.2/C</t>
  </si>
  <si>
    <t>402.2/D</t>
  </si>
  <si>
    <t>2XDJ3</t>
  </si>
  <si>
    <t>2XDJ22</t>
  </si>
  <si>
    <t>2XDJ23</t>
  </si>
  <si>
    <t>2XDJ24</t>
  </si>
  <si>
    <t>2XDJ25</t>
  </si>
  <si>
    <t>TB-8A</t>
  </si>
  <si>
    <t>FIA-A</t>
  </si>
  <si>
    <t>FIA-B</t>
  </si>
  <si>
    <t>F1A-A</t>
  </si>
  <si>
    <t>F1A-B</t>
  </si>
  <si>
    <t>PN-CC2</t>
  </si>
  <si>
    <t>-XCI1</t>
  </si>
  <si>
    <t>DJ-1</t>
  </si>
  <si>
    <t>-XDC</t>
  </si>
  <si>
    <t>BOT</t>
  </si>
  <si>
    <t>DJ</t>
  </si>
  <si>
    <t>F</t>
  </si>
  <si>
    <t>120VCA</t>
  </si>
  <si>
    <t>DJ15</t>
  </si>
  <si>
    <t>DJ01</t>
  </si>
  <si>
    <t>DJ02</t>
  </si>
  <si>
    <t>Total de Ligações</t>
  </si>
  <si>
    <t>FASE</t>
  </si>
  <si>
    <t>Fase</t>
  </si>
  <si>
    <t>EXISTENTE</t>
  </si>
  <si>
    <t>Parada</t>
  </si>
  <si>
    <t>Existente</t>
  </si>
  <si>
    <t>Indefinido</t>
  </si>
  <si>
    <t>Pré-Parada</t>
  </si>
  <si>
    <t>Pós-Parada</t>
  </si>
  <si>
    <t>Novo</t>
  </si>
  <si>
    <t>Vários</t>
  </si>
  <si>
    <t>COG</t>
  </si>
  <si>
    <t>Notas: A soma das ligações do painel não bate com o total, pois existem diagramas pendentes que não constam os paineis.</t>
  </si>
  <si>
    <t>Indicador</t>
  </si>
  <si>
    <t>Gráfico Geral</t>
  </si>
  <si>
    <t>Previsto</t>
  </si>
  <si>
    <t>Valor</t>
  </si>
  <si>
    <t>Metragem Total</t>
  </si>
  <si>
    <t>Total Previsto</t>
  </si>
  <si>
    <t>Metragem Lançada</t>
  </si>
  <si>
    <t>Cabos Lançados - Força</t>
  </si>
  <si>
    <t>% Lançado</t>
  </si>
  <si>
    <t>Cabos Lançados - Controle</t>
  </si>
  <si>
    <t>Metragem Total Área</t>
  </si>
  <si>
    <t>Cabos Lançados - Fibra Ótica</t>
  </si>
  <si>
    <t>Met. Lançada Área</t>
  </si>
  <si>
    <t>Cabos Lançados - Rede</t>
  </si>
  <si>
    <t>% Lançado Área</t>
  </si>
  <si>
    <t>Total Lançado</t>
  </si>
  <si>
    <t>Listas</t>
  </si>
  <si>
    <t>Lançado</t>
  </si>
  <si>
    <t>Gráfico Área</t>
  </si>
  <si>
    <t>Gráfico Aterramento</t>
  </si>
  <si>
    <t>70mm² 19 Fios</t>
  </si>
  <si>
    <t>25mm² 7 Fios</t>
  </si>
  <si>
    <t>Teste/Ligações</t>
  </si>
  <si>
    <t>Entrega de Cabos</t>
  </si>
  <si>
    <t>Não Solicitado</t>
  </si>
  <si>
    <t>Respondido</t>
  </si>
  <si>
    <t>Pend. Resp</t>
  </si>
  <si>
    <t>Pend. Compra</t>
  </si>
  <si>
    <t>Comprado</t>
  </si>
  <si>
    <t>Disponível Não Lançado</t>
  </si>
  <si>
    <t xml:space="preserve">9HV-TR2A-001F </t>
  </si>
  <si>
    <t>CANCELADO</t>
  </si>
  <si>
    <t>ESCOPO SGS</t>
  </si>
  <si>
    <t>ELE-3360</t>
  </si>
  <si>
    <t>Escopo SGS</t>
  </si>
  <si>
    <t>CBO002-PC</t>
  </si>
  <si>
    <t>CBO003-PC</t>
  </si>
  <si>
    <t>CBO004-PC</t>
  </si>
  <si>
    <t>8HVxQ3</t>
  </si>
  <si>
    <t>CBO004-RS</t>
  </si>
  <si>
    <t>CBO005-PC</t>
  </si>
  <si>
    <t>CBO007-PC</t>
  </si>
  <si>
    <t>CBO009-RS</t>
  </si>
  <si>
    <t>COGxQ3</t>
  </si>
  <si>
    <t>CBO010-RS</t>
  </si>
  <si>
    <t>CBO011-RS</t>
  </si>
  <si>
    <t>CBO012-RS</t>
  </si>
  <si>
    <t>CFO-CCO-VESTA-002</t>
  </si>
  <si>
    <t>12/01/2020: Email aplicando cabo ao escopo Guascor.</t>
  </si>
  <si>
    <t>Escopo Guascor</t>
  </si>
  <si>
    <t>CO001-PC</t>
  </si>
  <si>
    <t>CO007-PC</t>
  </si>
  <si>
    <t>CO010-PC</t>
  </si>
  <si>
    <t>ETH001-PC</t>
  </si>
  <si>
    <t>ETH006-PC</t>
  </si>
  <si>
    <t>ETH007-PC</t>
  </si>
  <si>
    <t>ETH008-PC</t>
  </si>
  <si>
    <t>ETH009-PC</t>
  </si>
  <si>
    <t>ETH015-RS</t>
  </si>
  <si>
    <t>ETH016-RS</t>
  </si>
  <si>
    <t>ETH017-RS</t>
  </si>
  <si>
    <t>ETH018-RS</t>
  </si>
  <si>
    <t>ETH019-RS</t>
  </si>
  <si>
    <t>ETH020-RS</t>
  </si>
  <si>
    <t>ETH021-RS</t>
  </si>
  <si>
    <t>15/01/2021: CABO EXISTENTE. SERÁ FEITO REMANEJAMENTO DO CONTROLADOR BF-905 PARA O PERIFÉRICOS IV. PEDIR APOIO AO ERICSON DA BRASKEM PARA LOCALIZAÇÃO DESTE CIRCUITO;</t>
  </si>
  <si>
    <t>Programação de Lançamento de Cabos</t>
  </si>
  <si>
    <t>Emissão: 10/12/2020</t>
  </si>
  <si>
    <t>Início</t>
  </si>
  <si>
    <t>Prazo</t>
  </si>
  <si>
    <t>Class. Isol.</t>
  </si>
  <si>
    <t>Compr. Lance</t>
  </si>
  <si>
    <t>Planta de Encaminhamento</t>
  </si>
  <si>
    <t>Solicitação</t>
  </si>
  <si>
    <t>Trajeto</t>
  </si>
  <si>
    <t>Coluna1</t>
  </si>
  <si>
    <t>BK-SP54-00200-DP-90-00014_00000</t>
  </si>
  <si>
    <t>BK-SP54-0900B-DP-80-00827 / BK-SP54-01200-DP-80-00027 / BK-SP54-01200-DP-80-00031</t>
  </si>
  <si>
    <t>30LVxGB1201</t>
  </si>
  <si>
    <t>30LVxGB1203</t>
  </si>
  <si>
    <t>30LVx7HV</t>
  </si>
  <si>
    <t>BK-SP54-00200-DP-80-01000 / BK-SP54-0900B-DP-80-00827</t>
  </si>
  <si>
    <t>BK-SP54-0900B-DP-80-00827 / BK-SP54-01200-DP-80-00027</t>
  </si>
  <si>
    <t>7HVxGB1201</t>
  </si>
  <si>
    <t>BK-SP54-0900B-DP-75-00299 / BK-SP54-0900B-DP-75-00301</t>
  </si>
  <si>
    <t>7HVxGB200</t>
  </si>
  <si>
    <t>BK-SP54-0900B-DP-75-00299 / BK-SP54-0900B-DP-75-00301 /  BK-SP54-0900B-DP-75-00311 /  BK-SP54-0900B-DP-75-00322 /   BK-SP54-0900B-DP-75-00310 /  BK-SP54-0900B-DP-75-00309 /  BK-SP54-0900B-DP-75-00308 / BK-SP54-0900B-DP-75-00320</t>
  </si>
  <si>
    <t xml:space="preserve">8HV-7HV-001C </t>
  </si>
  <si>
    <t>BK-SP54-0900B-DP-75-00308 / BK-SP54-0900B-DP-75-00309 / BK-SP54-0900B-DP-75-00311 / BK-SP54-0900B-DP-75-00310 / BK-SP54-0900B-DP-75-00320</t>
  </si>
  <si>
    <t>Cabo - Aterramento</t>
  </si>
  <si>
    <t>Data de Lançamento</t>
  </si>
  <si>
    <t>Item</t>
  </si>
  <si>
    <t>CABO NU MOLE 19FIOS 70MM2 1</t>
  </si>
  <si>
    <t>Código Cabo</t>
  </si>
  <si>
    <t>Quantidade Prevista (m)</t>
  </si>
  <si>
    <t>Quantidade Comprada (m)</t>
  </si>
  <si>
    <t>Quantidade Lançada</t>
  </si>
  <si>
    <t>7HV/GB-1201-3</t>
  </si>
  <si>
    <t>CCP-8HV</t>
  </si>
  <si>
    <t>% Lançamento</t>
  </si>
  <si>
    <t>1HV-967A</t>
  </si>
  <si>
    <t>Cabo - Picagens</t>
  </si>
  <si>
    <t>1HV-906E</t>
  </si>
  <si>
    <t>CABO NU MOLE 7FIOS 25MM2 1</t>
  </si>
  <si>
    <t>7HVx8HV</t>
  </si>
  <si>
    <t>7HVX8HV/7HVXCCP</t>
  </si>
  <si>
    <t>7HVXCCP/UPGR</t>
  </si>
  <si>
    <t>Preço/m</t>
  </si>
  <si>
    <t>Faturamento</t>
  </si>
  <si>
    <t>5.1.1</t>
  </si>
  <si>
    <t>5.1.2</t>
  </si>
  <si>
    <t>5.2.5</t>
  </si>
  <si>
    <t>5.2.6</t>
  </si>
  <si>
    <t>5.2.7</t>
  </si>
  <si>
    <t>5.2.9</t>
  </si>
  <si>
    <t>5.2.10</t>
  </si>
  <si>
    <t>5.2.12</t>
  </si>
  <si>
    <t>Cabo TCC33-TCC34-001C compensado com 5m do TCC33-8HV-001F e do TCC33-PSDC1-001F</t>
  </si>
  <si>
    <t>AS-06</t>
  </si>
  <si>
    <t>AS-13</t>
  </si>
  <si>
    <t>Mensal</t>
  </si>
  <si>
    <t>Acumulado</t>
  </si>
  <si>
    <t>ID-Ativ</t>
  </si>
  <si>
    <t>% Previsto</t>
  </si>
  <si>
    <t>Aditivo Semana</t>
  </si>
  <si>
    <t>Local_Red</t>
  </si>
  <si>
    <t>SE COGERAÇÃO [8HV] X SE 1HV</t>
  </si>
  <si>
    <t>SE COGERAÇÃO [8HV] X SE 7HV</t>
  </si>
  <si>
    <t>SE 1 HV - LANÇAMENTOS DE CABOS INTERNOS</t>
  </si>
  <si>
    <t>SE COGERAÇÃO - 8HV - LANÇAMENTO DE CABOS INTERNOS</t>
  </si>
  <si>
    <t>88KV</t>
  </si>
  <si>
    <t>SE 88KV - 9HV - LANÇAMENTOS DE CABOS INTERNOS</t>
  </si>
  <si>
    <t>CCP - CASA DE CONTROLE PRINCIPAL - INTERNOS CCP</t>
  </si>
  <si>
    <t>ELE-2870</t>
  </si>
  <si>
    <t>CCP - CASA DE CONTROLE PRINCIPAL - SE 88KV - Q3</t>
  </si>
  <si>
    <t>ELE-2950</t>
  </si>
  <si>
    <t>CCP - CASA DE CONTROLE PRINCIPAL - SE-8HV</t>
  </si>
  <si>
    <t>CCP - CASA DE CONTROLE PRINCIPAL - GB-200</t>
  </si>
  <si>
    <t>INST-1820</t>
  </si>
  <si>
    <t>CCP - CASA DE CONTROLE PRINCIPAL - GB-200 - FIBRA ÓPTICA</t>
  </si>
  <si>
    <t>CCP - CASA DE CONTROLE PRINCIPAL - GB-351</t>
  </si>
  <si>
    <t>CCP - CASA DE CONTROLE PRINCIPAL - ELETROCENTRO 7HV</t>
  </si>
  <si>
    <t xml:space="preserve">CCP - CASA DE CONTROLE PRINCIPAL - ELETROCENTRO 7HV - FIBRA ÓPTICA </t>
  </si>
  <si>
    <t>CCP - CASA DE CONTROLE PRINCIPAL - BOMBA GA-9312 &amp; 9312/S</t>
  </si>
  <si>
    <t>INST-1930</t>
  </si>
  <si>
    <t>CCP - CASA DE CONTROLE PRINCIPAL - GA-208A</t>
  </si>
  <si>
    <t>INST-2000</t>
  </si>
  <si>
    <t>PAINEL BENTLY</t>
  </si>
  <si>
    <t>CCP - CASA DE CONTROLE PRINCIPAL - PAINEL BENTLY (PI-35109) &amp; SWITCH (RCK-90-105)</t>
  </si>
  <si>
    <t>CCO - CASA DE CONTROLE OPERAÇÃO - SE-8HV</t>
  </si>
  <si>
    <t>CCO - CASA DE CONTROLE OPERAÇÃO - SE-8HV - FIBRA ÓPTICA</t>
  </si>
  <si>
    <t>CCU - CASA DE CONTROLE DA UTILIDADES - BOMBA GA-906E</t>
  </si>
  <si>
    <t>CCU - CASA DE CONTROLE DA UTILIDADES - BOMBA GA-906E - FIBRA ÓPTICA</t>
  </si>
  <si>
    <t>CCU - CASA DE CONTROLE DA UTILIDADES - SE - 1HV</t>
  </si>
  <si>
    <t>CCU - CASA DE CONTROLE DA UTILIDADES - BOMBA GA-9312 &amp; 9312/S</t>
  </si>
  <si>
    <t>CCU - CASA DE CONTROLE DA UTILIDADES - GB-967A &amp; GB-967B</t>
  </si>
  <si>
    <t>CCU - CASA DE CONTROLE DA UTILIDADES - SE-8HV - FIBRA ÓPTICA</t>
  </si>
  <si>
    <t>INST-0220</t>
  </si>
  <si>
    <t>LINHA 8"-CC-9014-BC50</t>
  </si>
  <si>
    <t>BOMBA GA-906E</t>
  </si>
  <si>
    <t>BOMBA GA-9312</t>
  </si>
  <si>
    <t>BOMBA GA-9312S</t>
  </si>
  <si>
    <t>BOMBA DE CIRCULAÇÃO - GB-208A</t>
  </si>
  <si>
    <t>VENTILADOR CENTRÍFUGO - GB-967A</t>
  </si>
  <si>
    <t>VENTILADOR CENTRÍFUGO - GB-967B</t>
  </si>
  <si>
    <t>MOTOR GB-200</t>
  </si>
  <si>
    <t>MOTOR GB-351</t>
  </si>
  <si>
    <t>MOTOR GB-1201</t>
  </si>
  <si>
    <t>MOTOR GB-1203</t>
  </si>
  <si>
    <t>SE-30LV</t>
  </si>
  <si>
    <t>INST-2080</t>
  </si>
  <si>
    <t>SE-30LV - EQUIPAMENTOS - CABOS INTERNOS</t>
  </si>
  <si>
    <t>SE-30LV - LANÇAMENTO DE CABOS DE FORÇA E CONTROLE</t>
  </si>
  <si>
    <t>Valores - Cronograma</t>
  </si>
  <si>
    <t>Locais</t>
  </si>
  <si>
    <t>QTDE</t>
  </si>
  <si>
    <t>Testes</t>
  </si>
  <si>
    <t>Novos Locais</t>
  </si>
  <si>
    <t>Descrição</t>
  </si>
  <si>
    <t>Pendências</t>
  </si>
  <si>
    <t>BK-SP54-00200-LC-80-00672_00000</t>
  </si>
  <si>
    <t>LISTA DE CABOS DE INSTRUMENTAÇÃO - SEGREGAÇÃO DOS FORNOS BA-223 / BA-224</t>
  </si>
  <si>
    <t>LISTA DE CABOS DE INSTRUMENTAÇÃO - GA-208A</t>
  </si>
  <si>
    <t>LISTA DE CABOS UNIDADE DE PROCESSAMENTO DE GÁS DE REFINARIA ROL</t>
  </si>
  <si>
    <t>LISTA DE CABOS - COMPRESSOR GB-351 - JB-368,U-35754,U-35755,JB-370,U-35761,JB-369,U-35756,U-35577,U-6540,U-6541,U-35758,U-35760,U-35762,JB-370</t>
  </si>
  <si>
    <t>Fora do escopo</t>
  </si>
  <si>
    <t>LISTA DE CABOS DE INSTRUMENTAÇÃO - RELOCAÇÃO DO PAINEL DO COMPRESSOR GB-351</t>
  </si>
  <si>
    <t>LISTA DE CABOS DE INSTRUMENTAÇAO</t>
  </si>
  <si>
    <t>LISTA DE CABOS ELÉTRICOS - INTERLIGAÇÃO - VESTA</t>
  </si>
  <si>
    <t>BK-SP54-0900A-LC-80-00164_00000</t>
  </si>
  <si>
    <t>LISTA DE CABOS - PERIFERICOS I - CAPA E INDICE</t>
  </si>
  <si>
    <t>Capa/Índice</t>
  </si>
  <si>
    <t>BK-SP54-0900A-LC-80-00164_00020</t>
  </si>
  <si>
    <t>LISTA DE CABOS - PERIFERICOS I - EJB-9054,EJB-9055</t>
  </si>
  <si>
    <t>BK-SP54-0900A-LC-80-00164_00022</t>
  </si>
  <si>
    <t>LISTA DE CABOS - PERIFERICOS I - EFJB-9058,EFJB-9059</t>
  </si>
  <si>
    <t>LISTA DE CABOS - CALDEIRA BF-905 - DELTA V UTILIDADES - CAPA E ÍNDICE</t>
  </si>
  <si>
    <t>BK-SP54-0900A-LC-80-00168_00010</t>
  </si>
  <si>
    <t>LISTA DE CABOS - CALDEIRA BF-905 - DELTA V UTILIDADES - EFJB-9041,EFJB-9042,U-90885,U-90887</t>
  </si>
  <si>
    <t>BK-SP54-0900A-LC-80-00168_00011</t>
  </si>
  <si>
    <t>LISTA DE CABOS - CALDEIRA BF-905 - DELTA V UTILIDADES - EFJB-9043,U-90886,U-90888</t>
  </si>
  <si>
    <t>BK-SP54-0900A-LC-80-00168_00012</t>
  </si>
  <si>
    <t>LISTA DE CABOS - CALDEIRA BF-905 - DELTA V UTILIDADES - EFJB-9044,U-90889</t>
  </si>
  <si>
    <t>BK-SP54-0900A-LC-80-00168_00028</t>
  </si>
  <si>
    <t>LISTA DE CABOS - CALDEIRA BF-905 - DELTA V UTILIDADES - JB-9270,U-90595</t>
  </si>
  <si>
    <t>LISTA DE CABOS - DELTA V BF-900 - CAPA E INDICE</t>
  </si>
  <si>
    <t>BK-SP54-0900A-LC-80-00177_00008</t>
  </si>
  <si>
    <t>LISTA DE CABOS - DELTA V BF-900 - U-90294,U-90851</t>
  </si>
  <si>
    <t>Contido na lista BK-SP54-0900A-LC-80-00188_00000</t>
  </si>
  <si>
    <t>LISTA DE CABOS - DELTA V BF-901 - CAPA E INDICE</t>
  </si>
  <si>
    <t>BK-SP54-0900A-LC-80-00178_00008</t>
  </si>
  <si>
    <t>LISTA DE CABOS - DELTA V BF-901 - U-90859,U-90860</t>
  </si>
  <si>
    <t>LISTA DE CABOS - DELTA V BF-902 - CAPA E INDICE</t>
  </si>
  <si>
    <t>BK-SP54-0900A-LC-80-00179_00008</t>
  </si>
  <si>
    <t>LISTA DE CABOS - DELTA V BF-902 - U-90867,U-90868</t>
  </si>
  <si>
    <t>LISTA DE CABOS - DELTA V BF-903 - CAPA E INDICE</t>
  </si>
  <si>
    <t>BK-SP54-0900A-LC-80-00180_00008</t>
  </si>
  <si>
    <t>LISTA DE CABOS - DELTA V BF-903</t>
  </si>
  <si>
    <t>LISTA DE CABOS - PLC-0073 - VESTA</t>
  </si>
  <si>
    <t>LISTA DE CABOS - PLC-0074 - VESTA</t>
  </si>
  <si>
    <t xml:space="preserve">LISTA DE CABOS DE INSTRUMENTAÇÃO -  GB-967A,GB-967B - VESTA
</t>
  </si>
  <si>
    <t>LISTA DE CABOS DE INSTRUMENTAÇÃO - PERIFERICOS IV - VESTA</t>
  </si>
  <si>
    <t>LISTA DE CABOS - DELTA V BF-1900 - VESTA</t>
  </si>
  <si>
    <t>LISTA DE CABOS DE REDE E FIBRA OPTICA - INTERLIGAÇÃO - VESTA</t>
  </si>
  <si>
    <t>LISTA DE CABOS ELÉTRICOS - MOTORIZAÇÃO - VESTA</t>
  </si>
  <si>
    <t>LISTA DE CABOS DE INSTRUMENTAÇÃO - INTERFACE GUASCOR - VESTA</t>
  </si>
  <si>
    <t>LISTA DE CABOS DE AUTOMAÇÃO - SISTEMA DE FOGO E GÁS - VESTA</t>
  </si>
  <si>
    <t>ELETROCENTRO 7HV - FORÇA</t>
  </si>
  <si>
    <t>ELETROCENTRO 7HV -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</si>
</sst>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"/>
    <numFmt numFmtId="166" formatCode="0.0%"/>
    <numFmt numFmtId="167" formatCode="0.00%;\-0.00%;&quot;&quot;"/>
    <numFmt numFmtId="168" formatCode="0%;\-0%;&quot;&quot;"/>
    <numFmt numFmtId="169" formatCode="#,##0&quot; m&quot;"/>
    <numFmt numFmtId="170" formatCode="[$-416]mmmm\-yy;@"/>
  </numFmts>
  <fonts count="6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strike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color rgb="FF00A84C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A84C"/>
      <name val="Calibri"/>
      <family val="2"/>
      <scheme val="minor"/>
    </font>
    <font>
      <b/>
      <sz val="8"/>
      <color rgb="FFFF0000"/>
      <name val="Calibri"/>
      <family val="2"/>
    </font>
    <font>
      <b/>
      <sz val="8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0000"/>
      <name val="Calibri"/>
      <family val="2"/>
    </font>
    <font>
      <sz val="8"/>
      <name val="Calibri"/>
      <family val="2"/>
    </font>
    <font>
      <strike/>
      <sz val="8"/>
      <color rgb="FF00B050"/>
      <name val="Calibri"/>
      <family val="2"/>
      <scheme val="minor"/>
    </font>
    <font>
      <sz val="8"/>
      <color theme="1"/>
      <name val="Calibri"/>
      <scheme val="minor"/>
    </font>
    <font>
      <sz val="9"/>
      <color theme="1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5C4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9B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2060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D9D9D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57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9" fontId="0" fillId="0" borderId="1" xfId="1" applyFont="1" applyBorder="1"/>
    <xf numFmtId="0" fontId="2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0" fontId="2" fillId="0" borderId="0" xfId="0" applyFont="1"/>
    <xf numFmtId="1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Fill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7" fillId="0" borderId="0" xfId="0" applyFont="1"/>
    <xf numFmtId="166" fontId="3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67" fontId="3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4" fontId="3" fillId="0" borderId="0" xfId="0" applyNumberFormat="1" applyFont="1"/>
    <xf numFmtId="0" fontId="3" fillId="0" borderId="25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5" xfId="0" applyFont="1" applyBorder="1"/>
    <xf numFmtId="10" fontId="3" fillId="0" borderId="19" xfId="1" applyNumberFormat="1" applyFont="1" applyBorder="1" applyAlignment="1">
      <alignment horizontal="center"/>
    </xf>
    <xf numFmtId="0" fontId="0" fillId="0" borderId="3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3" fillId="0" borderId="32" xfId="0" applyFont="1" applyBorder="1"/>
    <xf numFmtId="0" fontId="3" fillId="0" borderId="33" xfId="0" applyFont="1" applyBorder="1" applyAlignment="1">
      <alignment horizontal="center"/>
    </xf>
    <xf numFmtId="10" fontId="3" fillId="0" borderId="34" xfId="1" applyNumberFormat="1" applyFont="1" applyBorder="1" applyAlignment="1">
      <alignment horizontal="center"/>
    </xf>
    <xf numFmtId="10" fontId="6" fillId="0" borderId="11" xfId="0" applyNumberFormat="1" applyFont="1" applyBorder="1" applyAlignment="1">
      <alignment vertical="center"/>
    </xf>
    <xf numFmtId="10" fontId="6" fillId="0" borderId="0" xfId="0" applyNumberFormat="1" applyFont="1" applyBorder="1" applyAlignment="1">
      <alignment vertical="center"/>
    </xf>
    <xf numFmtId="10" fontId="6" fillId="0" borderId="35" xfId="0" applyNumberFormat="1" applyFont="1" applyBorder="1" applyAlignment="1">
      <alignment vertical="center"/>
    </xf>
    <xf numFmtId="10" fontId="6" fillId="0" borderId="13" xfId="0" applyNumberFormat="1" applyFont="1" applyBorder="1" applyAlignment="1">
      <alignment vertical="center"/>
    </xf>
    <xf numFmtId="10" fontId="6" fillId="0" borderId="14" xfId="0" applyNumberFormat="1" applyFont="1" applyBorder="1" applyAlignment="1">
      <alignment vertical="center"/>
    </xf>
    <xf numFmtId="10" fontId="6" fillId="0" borderId="38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0" xfId="0" applyFont="1"/>
    <xf numFmtId="1" fontId="22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0" fillId="0" borderId="12" xfId="0" applyBorder="1"/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4" xfId="0" applyBorder="1"/>
    <xf numFmtId="0" fontId="0" fillId="0" borderId="15" xfId="0" applyBorder="1"/>
    <xf numFmtId="3" fontId="3" fillId="0" borderId="1" xfId="0" applyNumberFormat="1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left"/>
    </xf>
    <xf numFmtId="9" fontId="15" fillId="0" borderId="0" xfId="0" applyNumberFormat="1" applyFont="1" applyFill="1" applyBorder="1" applyAlignment="1">
      <alignment horizontal="center" vertical="center" wrapText="1"/>
    </xf>
    <xf numFmtId="9" fontId="15" fillId="0" borderId="14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left" wrapText="1"/>
    </xf>
    <xf numFmtId="0" fontId="25" fillId="13" borderId="4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3" fillId="15" borderId="11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3" fillId="0" borderId="12" xfId="0" applyNumberFormat="1" applyFont="1" applyFill="1" applyBorder="1" applyAlignment="1">
      <alignment horizontal="left" vertical="center" wrapText="1"/>
    </xf>
    <xf numFmtId="0" fontId="0" fillId="0" borderId="11" xfId="0" applyFont="1" applyBorder="1" applyAlignment="1">
      <alignment horizontal="center" vertical="center"/>
    </xf>
    <xf numFmtId="0" fontId="0" fillId="14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4" fontId="26" fillId="16" borderId="1" xfId="2" applyFont="1" applyFill="1" applyBorder="1" applyAlignment="1" applyProtection="1">
      <alignment horizontal="center" vertical="center"/>
      <protection locked="0"/>
    </xf>
    <xf numFmtId="44" fontId="1" fillId="0" borderId="1" xfId="0" applyNumberFormat="1" applyFont="1" applyBorder="1" applyAlignment="1">
      <alignment horizontal="center" vertical="center"/>
    </xf>
    <xf numFmtId="44" fontId="1" fillId="0" borderId="1" xfId="2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10" fontId="28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26" fillId="16" borderId="1" xfId="2" applyNumberFormat="1" applyFont="1" applyFill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44" fontId="1" fillId="0" borderId="20" xfId="0" applyNumberFormat="1" applyFont="1" applyBorder="1" applyAlignment="1">
      <alignment horizontal="center" vertical="center"/>
    </xf>
    <xf numFmtId="44" fontId="26" fillId="16" borderId="47" xfId="2" applyFont="1" applyFill="1" applyBorder="1" applyAlignment="1" applyProtection="1">
      <alignment horizontal="center" vertical="center"/>
      <protection locked="0"/>
    </xf>
    <xf numFmtId="44" fontId="1" fillId="0" borderId="47" xfId="2" applyFont="1" applyBorder="1" applyAlignment="1">
      <alignment horizontal="center" vertical="center"/>
    </xf>
    <xf numFmtId="0" fontId="26" fillId="17" borderId="21" xfId="0" applyFont="1" applyFill="1" applyBorder="1" applyAlignment="1">
      <alignment horizontal="center" vertical="center"/>
    </xf>
    <xf numFmtId="44" fontId="1" fillId="0" borderId="5" xfId="0" applyNumberFormat="1" applyFont="1" applyBorder="1" applyAlignment="1">
      <alignment horizontal="center" vertical="center"/>
    </xf>
    <xf numFmtId="44" fontId="1" fillId="0" borderId="5" xfId="2" applyFont="1" applyBorder="1" applyAlignment="1">
      <alignment horizontal="center" vertical="center"/>
    </xf>
    <xf numFmtId="0" fontId="27" fillId="19" borderId="21" xfId="3" applyFont="1" applyFill="1" applyBorder="1" applyAlignment="1">
      <alignment horizontal="center" vertical="center"/>
    </xf>
    <xf numFmtId="0" fontId="27" fillId="19" borderId="51" xfId="3" applyFont="1" applyFill="1" applyBorder="1" applyAlignment="1">
      <alignment horizontal="center" vertical="center"/>
    </xf>
    <xf numFmtId="44" fontId="1" fillId="0" borderId="52" xfId="2" applyFont="1" applyBorder="1" applyAlignment="1">
      <alignment horizontal="center" vertical="center"/>
    </xf>
    <xf numFmtId="44" fontId="1" fillId="0" borderId="22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10" fontId="28" fillId="0" borderId="5" xfId="1" applyNumberFormat="1" applyFont="1" applyBorder="1" applyAlignment="1">
      <alignment horizontal="center" vertical="center"/>
    </xf>
    <xf numFmtId="10" fontId="28" fillId="0" borderId="6" xfId="0" applyNumberFormat="1" applyFont="1" applyBorder="1" applyAlignment="1">
      <alignment horizontal="center" vertical="center"/>
    </xf>
    <xf numFmtId="10" fontId="28" fillId="0" borderId="7" xfId="0" applyNumberFormat="1" applyFont="1" applyBorder="1" applyAlignment="1">
      <alignment horizontal="center" vertical="center"/>
    </xf>
    <xf numFmtId="0" fontId="30" fillId="18" borderId="48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170" fontId="3" fillId="0" borderId="0" xfId="0" applyNumberFormat="1" applyFont="1" applyAlignment="1">
      <alignment horizontal="center"/>
    </xf>
    <xf numFmtId="170" fontId="17" fillId="0" borderId="0" xfId="0" applyNumberFormat="1" applyFont="1" applyAlignment="1">
      <alignment horizontal="center"/>
    </xf>
    <xf numFmtId="170" fontId="0" fillId="0" borderId="1" xfId="0" applyNumberFormat="1" applyBorder="1" applyAlignment="1">
      <alignment horizontal="center"/>
    </xf>
    <xf numFmtId="170" fontId="31" fillId="0" borderId="1" xfId="0" applyNumberFormat="1" applyFont="1" applyBorder="1" applyAlignment="1">
      <alignment horizontal="center"/>
    </xf>
    <xf numFmtId="170" fontId="21" fillId="13" borderId="49" xfId="0" applyNumberFormat="1" applyFont="1" applyFill="1" applyBorder="1" applyAlignment="1">
      <alignment horizontal="center" vertical="center"/>
    </xf>
    <xf numFmtId="170" fontId="21" fillId="13" borderId="5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3" fontId="26" fillId="16" borderId="1" xfId="2" applyNumberFormat="1" applyFont="1" applyFill="1" applyBorder="1" applyAlignment="1" applyProtection="1">
      <alignment horizontal="center" vertical="center"/>
    </xf>
    <xf numFmtId="3" fontId="26" fillId="16" borderId="47" xfId="2" applyNumberFormat="1" applyFont="1" applyFill="1" applyBorder="1" applyAlignment="1" applyProtection="1">
      <alignment horizontal="center" vertical="center"/>
    </xf>
    <xf numFmtId="0" fontId="22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10" fontId="3" fillId="0" borderId="0" xfId="1" applyNumberFormat="1" applyFont="1" applyBorder="1" applyAlignment="1">
      <alignment horizontal="center"/>
    </xf>
    <xf numFmtId="0" fontId="5" fillId="0" borderId="11" xfId="0" applyFont="1" applyFill="1" applyBorder="1" applyAlignment="1">
      <alignment horizontal="left" vertical="center"/>
    </xf>
    <xf numFmtId="2" fontId="3" fillId="0" borderId="0" xfId="0" applyNumberFormat="1" applyFont="1" applyAlignment="1">
      <alignment horizontal="center"/>
    </xf>
    <xf numFmtId="0" fontId="37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0" borderId="0" xfId="0" applyFont="1" applyFill="1" applyAlignment="1">
      <alignment horizontal="center"/>
    </xf>
    <xf numFmtId="0" fontId="1" fillId="15" borderId="0" xfId="0" applyFont="1" applyFill="1" applyBorder="1" applyAlignment="1">
      <alignment horizontal="center" vertical="center"/>
    </xf>
    <xf numFmtId="0" fontId="1" fillId="15" borderId="0" xfId="0" applyNumberFormat="1" applyFont="1" applyFill="1" applyBorder="1" applyAlignment="1">
      <alignment horizontal="center" vertical="center"/>
    </xf>
    <xf numFmtId="0" fontId="1" fillId="15" borderId="0" xfId="0" applyNumberFormat="1" applyFont="1" applyFill="1" applyBorder="1" applyAlignment="1">
      <alignment horizontal="left" vertical="center"/>
    </xf>
    <xf numFmtId="0" fontId="1" fillId="15" borderId="0" xfId="0" applyNumberFormat="1" applyFont="1" applyFill="1" applyBorder="1" applyAlignment="1">
      <alignment horizontal="center" vertical="center" wrapText="1"/>
    </xf>
    <xf numFmtId="0" fontId="1" fillId="15" borderId="0" xfId="0" applyNumberFormat="1" applyFont="1" applyFill="1" applyBorder="1" applyAlignment="1">
      <alignment horizontal="left" vertical="center" wrapText="1"/>
    </xf>
    <xf numFmtId="0" fontId="3" fillId="15" borderId="12" xfId="0" applyNumberFormat="1" applyFont="1" applyFill="1" applyBorder="1" applyAlignment="1">
      <alignment horizontal="left" vertical="center" wrapText="1"/>
    </xf>
    <xf numFmtId="0" fontId="3" fillId="15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17" fillId="0" borderId="0" xfId="0" applyFont="1" applyFill="1"/>
    <xf numFmtId="0" fontId="3" fillId="0" borderId="0" xfId="0" quotePrefix="1" applyFont="1" applyFill="1" applyAlignment="1">
      <alignment horizontal="center"/>
    </xf>
    <xf numFmtId="0" fontId="0" fillId="0" borderId="0" xfId="0" applyFill="1" applyAlignment="1">
      <alignment horizontal="center"/>
    </xf>
    <xf numFmtId="0" fontId="40" fillId="21" borderId="54" xfId="0" applyFont="1" applyFill="1" applyBorder="1" applyAlignment="1">
      <alignment horizontal="center" vertical="center" wrapText="1"/>
    </xf>
    <xf numFmtId="0" fontId="40" fillId="21" borderId="55" xfId="0" applyFont="1" applyFill="1" applyBorder="1" applyAlignment="1">
      <alignment horizontal="center" vertical="center" wrapText="1"/>
    </xf>
    <xf numFmtId="0" fontId="3" fillId="22" borderId="54" xfId="0" applyFont="1" applyFill="1" applyBorder="1"/>
    <xf numFmtId="0" fontId="3" fillId="22" borderId="55" xfId="0" applyFont="1" applyFill="1" applyBorder="1" applyAlignment="1">
      <alignment horizontal="center"/>
    </xf>
    <xf numFmtId="0" fontId="3" fillId="0" borderId="54" xfId="0" applyFont="1" applyBorder="1"/>
    <xf numFmtId="0" fontId="3" fillId="0" borderId="55" xfId="0" applyFont="1" applyBorder="1" applyAlignment="1">
      <alignment horizontal="center"/>
    </xf>
    <xf numFmtId="0" fontId="3" fillId="22" borderId="55" xfId="0" applyFont="1" applyFill="1" applyBorder="1" applyAlignment="1">
      <alignment horizontal="left"/>
    </xf>
    <xf numFmtId="165" fontId="3" fillId="22" borderId="55" xfId="0" applyNumberFormat="1" applyFont="1" applyFill="1" applyBorder="1" applyAlignment="1">
      <alignment horizontal="center"/>
    </xf>
    <xf numFmtId="0" fontId="3" fillId="22" borderId="55" xfId="0" applyFont="1" applyFill="1" applyBorder="1"/>
    <xf numFmtId="0" fontId="3" fillId="0" borderId="55" xfId="0" applyFont="1" applyBorder="1" applyAlignment="1">
      <alignment horizontal="left"/>
    </xf>
    <xf numFmtId="165" fontId="3" fillId="0" borderId="55" xfId="0" applyNumberFormat="1" applyFont="1" applyBorder="1" applyAlignment="1">
      <alignment horizontal="center"/>
    </xf>
    <xf numFmtId="0" fontId="3" fillId="0" borderId="55" xfId="0" applyFont="1" applyBorder="1"/>
    <xf numFmtId="14" fontId="3" fillId="0" borderId="55" xfId="0" applyNumberFormat="1" applyFont="1" applyBorder="1" applyAlignment="1">
      <alignment horizontal="center"/>
    </xf>
    <xf numFmtId="14" fontId="3" fillId="22" borderId="55" xfId="0" applyNumberFormat="1" applyFont="1" applyFill="1" applyBorder="1" applyAlignment="1">
      <alignment horizontal="center"/>
    </xf>
    <xf numFmtId="0" fontId="40" fillId="21" borderId="55" xfId="0" applyFont="1" applyFill="1" applyBorder="1" applyAlignment="1">
      <alignment horizontal="center" vertical="center"/>
    </xf>
    <xf numFmtId="0" fontId="40" fillId="21" borderId="56" xfId="0" applyFont="1" applyFill="1" applyBorder="1" applyAlignment="1">
      <alignment horizontal="center" vertical="center" wrapText="1"/>
    </xf>
    <xf numFmtId="0" fontId="3" fillId="22" borderId="56" xfId="0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5" xfId="0" applyNumberFormat="1" applyFont="1" applyBorder="1" applyAlignment="1">
      <alignment horizontal="center"/>
    </xf>
    <xf numFmtId="0" fontId="3" fillId="22" borderId="55" xfId="0" applyNumberFormat="1" applyFont="1" applyFill="1" applyBorder="1" applyAlignment="1">
      <alignment horizontal="center"/>
    </xf>
    <xf numFmtId="0" fontId="41" fillId="0" borderId="54" xfId="0" applyFont="1" applyBorder="1"/>
    <xf numFmtId="0" fontId="41" fillId="0" borderId="55" xfId="0" applyFont="1" applyBorder="1" applyAlignment="1">
      <alignment horizontal="center"/>
    </xf>
    <xf numFmtId="0" fontId="41" fillId="0" borderId="55" xfId="0" applyFont="1" applyBorder="1" applyAlignment="1">
      <alignment horizontal="left"/>
    </xf>
    <xf numFmtId="165" fontId="41" fillId="0" borderId="55" xfId="0" applyNumberFormat="1" applyFont="1" applyBorder="1" applyAlignment="1">
      <alignment horizontal="center"/>
    </xf>
    <xf numFmtId="0" fontId="41" fillId="0" borderId="55" xfId="0" applyFont="1" applyBorder="1"/>
    <xf numFmtId="0" fontId="41" fillId="0" borderId="55" xfId="0" applyNumberFormat="1" applyFont="1" applyBorder="1" applyAlignment="1">
      <alignment horizontal="center"/>
    </xf>
    <xf numFmtId="0" fontId="41" fillId="0" borderId="56" xfId="0" applyFont="1" applyBorder="1" applyAlignment="1">
      <alignment horizontal="center"/>
    </xf>
    <xf numFmtId="0" fontId="41" fillId="22" borderId="54" xfId="0" applyFont="1" applyFill="1" applyBorder="1"/>
    <xf numFmtId="0" fontId="41" fillId="22" borderId="55" xfId="0" applyFont="1" applyFill="1" applyBorder="1" applyAlignment="1">
      <alignment horizontal="center"/>
    </xf>
    <xf numFmtId="0" fontId="41" fillId="22" borderId="55" xfId="0" applyFont="1" applyFill="1" applyBorder="1" applyAlignment="1">
      <alignment horizontal="left"/>
    </xf>
    <xf numFmtId="165" fontId="41" fillId="22" borderId="55" xfId="0" applyNumberFormat="1" applyFont="1" applyFill="1" applyBorder="1" applyAlignment="1">
      <alignment horizontal="center"/>
    </xf>
    <xf numFmtId="0" fontId="41" fillId="22" borderId="55" xfId="0" applyFont="1" applyFill="1" applyBorder="1"/>
    <xf numFmtId="0" fontId="41" fillId="22" borderId="55" xfId="0" applyNumberFormat="1" applyFont="1" applyFill="1" applyBorder="1" applyAlignment="1">
      <alignment horizontal="center"/>
    </xf>
    <xf numFmtId="0" fontId="41" fillId="22" borderId="56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44" fontId="0" fillId="0" borderId="0" xfId="0" applyNumberFormat="1"/>
    <xf numFmtId="43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22" borderId="0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2" fontId="0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44" fillId="0" borderId="30" xfId="0" applyFont="1" applyFill="1" applyBorder="1" applyAlignment="1">
      <alignment horizontal="center" vertical="center" wrapText="1"/>
    </xf>
    <xf numFmtId="0" fontId="44" fillId="0" borderId="20" xfId="0" applyFont="1" applyFill="1" applyBorder="1" applyAlignment="1">
      <alignment horizontal="center" vertical="center" wrapText="1"/>
    </xf>
    <xf numFmtId="0" fontId="44" fillId="0" borderId="3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31" fillId="0" borderId="0" xfId="0" applyFont="1"/>
    <xf numFmtId="0" fontId="43" fillId="0" borderId="0" xfId="0" applyNumberFormat="1" applyFont="1" applyAlignment="1">
      <alignment horizontal="left"/>
    </xf>
    <xf numFmtId="14" fontId="3" fillId="0" borderId="55" xfId="0" applyNumberFormat="1" applyFont="1" applyBorder="1" applyAlignment="1">
      <alignment horizontal="left"/>
    </xf>
    <xf numFmtId="9" fontId="3" fillId="22" borderId="55" xfId="1" applyNumberFormat="1" applyFont="1" applyFill="1" applyBorder="1" applyAlignment="1">
      <alignment horizontal="center"/>
    </xf>
    <xf numFmtId="49" fontId="3" fillId="22" borderId="56" xfId="0" applyNumberFormat="1" applyFont="1" applyFill="1" applyBorder="1" applyAlignment="1">
      <alignment horizontal="left"/>
    </xf>
    <xf numFmtId="9" fontId="3" fillId="0" borderId="55" xfId="1" applyNumberFormat="1" applyFont="1" applyBorder="1" applyAlignment="1">
      <alignment horizontal="center"/>
    </xf>
    <xf numFmtId="49" fontId="3" fillId="0" borderId="56" xfId="0" applyNumberFormat="1" applyFont="1" applyBorder="1" applyAlignment="1">
      <alignment horizontal="left"/>
    </xf>
    <xf numFmtId="0" fontId="39" fillId="0" borderId="55" xfId="0" applyFont="1" applyBorder="1" applyAlignment="1">
      <alignment horizontal="center"/>
    </xf>
    <xf numFmtId="0" fontId="39" fillId="22" borderId="55" xfId="0" applyFont="1" applyFill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22" borderId="55" xfId="0" applyFont="1" applyFill="1" applyBorder="1" applyAlignment="1">
      <alignment horizontal="center"/>
    </xf>
    <xf numFmtId="0" fontId="46" fillId="21" borderId="55" xfId="0" applyFont="1" applyFill="1" applyBorder="1" applyAlignment="1">
      <alignment horizontal="center" vertical="center" wrapText="1"/>
    </xf>
    <xf numFmtId="0" fontId="3" fillId="22" borderId="0" xfId="0" applyFont="1" applyFill="1" applyBorder="1" applyAlignment="1">
      <alignment horizontal="center"/>
    </xf>
    <xf numFmtId="9" fontId="2" fillId="0" borderId="0" xfId="1" applyNumberFormat="1" applyFont="1" applyAlignment="1">
      <alignment horizontal="center"/>
    </xf>
    <xf numFmtId="0" fontId="38" fillId="0" borderId="55" xfId="0" applyFont="1" applyBorder="1"/>
    <xf numFmtId="0" fontId="38" fillId="0" borderId="55" xfId="0" applyFont="1" applyBorder="1" applyAlignment="1">
      <alignment horizontal="center"/>
    </xf>
    <xf numFmtId="0" fontId="38" fillId="0" borderId="55" xfId="0" applyFont="1" applyBorder="1" applyAlignment="1">
      <alignment horizontal="left"/>
    </xf>
    <xf numFmtId="0" fontId="38" fillId="0" borderId="55" xfId="0" applyNumberFormat="1" applyFont="1" applyBorder="1" applyAlignment="1">
      <alignment horizontal="center"/>
    </xf>
    <xf numFmtId="0" fontId="38" fillId="22" borderId="55" xfId="0" applyFont="1" applyFill="1" applyBorder="1" applyAlignment="1">
      <alignment horizontal="center"/>
    </xf>
    <xf numFmtId="0" fontId="38" fillId="22" borderId="55" xfId="0" applyFont="1" applyFill="1" applyBorder="1" applyAlignment="1">
      <alignment horizontal="left"/>
    </xf>
    <xf numFmtId="0" fontId="38" fillId="22" borderId="55" xfId="0" applyFont="1" applyFill="1" applyBorder="1"/>
    <xf numFmtId="0" fontId="38" fillId="22" borderId="55" xfId="0" applyNumberFormat="1" applyFont="1" applyFill="1" applyBorder="1" applyAlignment="1">
      <alignment horizontal="center"/>
    </xf>
    <xf numFmtId="0" fontId="3" fillId="22" borderId="55" xfId="0" quotePrefix="1" applyFont="1" applyFill="1" applyBorder="1" applyAlignment="1">
      <alignment horizontal="center"/>
    </xf>
    <xf numFmtId="0" fontId="3" fillId="0" borderId="55" xfId="0" quotePrefix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47" fillId="0" borderId="0" xfId="0" applyFont="1"/>
    <xf numFmtId="0" fontId="31" fillId="0" borderId="1" xfId="0" applyFont="1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45" fillId="0" borderId="0" xfId="0" applyFont="1" applyAlignment="1">
      <alignment horizontal="left"/>
    </xf>
    <xf numFmtId="0" fontId="3" fillId="0" borderId="0" xfId="0" applyFont="1" applyAlignment="1"/>
    <xf numFmtId="0" fontId="48" fillId="0" borderId="1" xfId="0" applyFont="1" applyFill="1" applyBorder="1" applyAlignment="1">
      <alignment horizontal="center"/>
    </xf>
    <xf numFmtId="0" fontId="5" fillId="0" borderId="57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0" borderId="34" xfId="0" applyFont="1" applyFill="1" applyBorder="1" applyAlignment="1">
      <alignment horizontal="center"/>
    </xf>
    <xf numFmtId="0" fontId="1" fillId="0" borderId="0" xfId="0" applyFont="1" applyFill="1" applyBorder="1"/>
    <xf numFmtId="0" fontId="48" fillId="0" borderId="0" xfId="0" applyFont="1" applyBorder="1" applyAlignment="1">
      <alignment horizontal="center"/>
    </xf>
    <xf numFmtId="0" fontId="3" fillId="0" borderId="0" xfId="1" applyNumberFormat="1" applyFont="1" applyAlignment="1">
      <alignment horizontal="center"/>
    </xf>
    <xf numFmtId="0" fontId="49" fillId="0" borderId="0" xfId="1" applyNumberFormat="1" applyFont="1" applyAlignment="1">
      <alignment horizontal="center"/>
    </xf>
    <xf numFmtId="0" fontId="49" fillId="0" borderId="0" xfId="0" applyNumberFormat="1" applyFont="1" applyAlignment="1">
      <alignment horizontal="center"/>
    </xf>
    <xf numFmtId="0" fontId="17" fillId="0" borderId="0" xfId="1" applyNumberFormat="1" applyFont="1" applyAlignment="1">
      <alignment horizontal="center"/>
    </xf>
    <xf numFmtId="0" fontId="17" fillId="0" borderId="0" xfId="0" applyNumberFormat="1" applyFont="1" applyAlignment="1">
      <alignment horizontal="center"/>
    </xf>
    <xf numFmtId="0" fontId="31" fillId="0" borderId="0" xfId="1" applyNumberFormat="1" applyFont="1"/>
    <xf numFmtId="0" fontId="20" fillId="0" borderId="0" xfId="1" applyNumberFormat="1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9" fontId="3" fillId="0" borderId="19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9" fontId="3" fillId="0" borderId="34" xfId="0" applyNumberFormat="1" applyFont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9" fontId="2" fillId="0" borderId="19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19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50" fillId="0" borderId="25" xfId="0" applyFont="1" applyFill="1" applyBorder="1" applyAlignment="1">
      <alignment horizontal="center"/>
    </xf>
    <xf numFmtId="0" fontId="50" fillId="0" borderId="1" xfId="0" applyFont="1" applyFill="1" applyBorder="1" applyAlignment="1">
      <alignment horizontal="center"/>
    </xf>
    <xf numFmtId="0" fontId="50" fillId="0" borderId="32" xfId="0" applyFont="1" applyFill="1" applyBorder="1" applyAlignment="1">
      <alignment horizontal="center"/>
    </xf>
    <xf numFmtId="0" fontId="50" fillId="0" borderId="33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44" fontId="1" fillId="20" borderId="5" xfId="2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 wrapText="1"/>
    </xf>
    <xf numFmtId="2" fontId="50" fillId="19" borderId="1" xfId="0" applyNumberFormat="1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/>
    </xf>
    <xf numFmtId="0" fontId="51" fillId="20" borderId="2" xfId="0" applyFont="1" applyFill="1" applyBorder="1" applyAlignment="1">
      <alignment horizontal="center" vertical="center" wrapText="1"/>
    </xf>
    <xf numFmtId="0" fontId="50" fillId="19" borderId="1" xfId="0" applyFont="1" applyFill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/>
    </xf>
    <xf numFmtId="170" fontId="2" fillId="0" borderId="1" xfId="0" applyNumberFormat="1" applyFont="1" applyFill="1" applyBorder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17" fillId="0" borderId="0" xfId="0" applyFont="1" applyFill="1" applyAlignment="1"/>
    <xf numFmtId="0" fontId="3" fillId="0" borderId="0" xfId="0" quotePrefix="1" applyFont="1" applyAlignment="1"/>
    <xf numFmtId="0" fontId="17" fillId="0" borderId="0" xfId="0" applyFont="1" applyAlignment="1"/>
    <xf numFmtId="0" fontId="3" fillId="0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/>
    <xf numFmtId="0" fontId="5" fillId="20" borderId="3" xfId="0" applyFont="1" applyFill="1" applyBorder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48" fillId="0" borderId="19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168" fontId="2" fillId="0" borderId="0" xfId="1" applyNumberFormat="1" applyFont="1" applyAlignment="1">
      <alignment horizontal="center"/>
    </xf>
    <xf numFmtId="0" fontId="42" fillId="0" borderId="0" xfId="0" applyFont="1" applyFill="1" applyAlignment="1">
      <alignment horizontal="center"/>
    </xf>
    <xf numFmtId="0" fontId="52" fillId="0" borderId="0" xfId="0" applyFont="1" applyAlignment="1">
      <alignment horizontal="center"/>
    </xf>
    <xf numFmtId="0" fontId="52" fillId="0" borderId="0" xfId="0" applyNumberFormat="1" applyFont="1" applyAlignment="1">
      <alignment horizontal="center"/>
    </xf>
    <xf numFmtId="9" fontId="3" fillId="0" borderId="0" xfId="1" applyNumberFormat="1" applyFont="1" applyAlignment="1">
      <alignment horizontal="center"/>
    </xf>
    <xf numFmtId="14" fontId="3" fillId="0" borderId="0" xfId="0" applyNumberFormat="1" applyFont="1" applyAlignment="1">
      <alignment horizontal="center" wrapText="1"/>
    </xf>
    <xf numFmtId="0" fontId="53" fillId="0" borderId="0" xfId="0" applyFont="1" applyAlignment="1">
      <alignment vertical="center" wrapText="1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0" fontId="53" fillId="25" borderId="0" xfId="0" applyFont="1" applyFill="1" applyAlignment="1">
      <alignment vertical="center" wrapText="1"/>
    </xf>
    <xf numFmtId="0" fontId="5" fillId="0" borderId="34" xfId="0" applyNumberFormat="1" applyFont="1" applyFill="1" applyBorder="1" applyAlignment="1">
      <alignment horizontal="center"/>
    </xf>
    <xf numFmtId="0" fontId="48" fillId="0" borderId="34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 vertical="center"/>
    </xf>
    <xf numFmtId="0" fontId="38" fillId="0" borderId="0" xfId="0" applyFont="1" applyAlignment="1"/>
    <xf numFmtId="0" fontId="38" fillId="0" borderId="0" xfId="0" applyFont="1" applyFill="1" applyAlignmen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165" fontId="38" fillId="0" borderId="0" xfId="0" applyNumberFormat="1" applyFont="1" applyAlignment="1">
      <alignment horizontal="center"/>
    </xf>
    <xf numFmtId="0" fontId="38" fillId="0" borderId="0" xfId="0" quotePrefix="1" applyFont="1" applyAlignment="1">
      <alignment horizontal="center"/>
    </xf>
    <xf numFmtId="0" fontId="58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14" fontId="38" fillId="0" borderId="0" xfId="0" applyNumberFormat="1" applyFont="1" applyAlignment="1">
      <alignment horizontal="left"/>
    </xf>
    <xf numFmtId="0" fontId="38" fillId="0" borderId="0" xfId="0" applyFont="1" applyFill="1" applyAlignment="1">
      <alignment horizontal="center"/>
    </xf>
    <xf numFmtId="9" fontId="38" fillId="0" borderId="0" xfId="1" applyFont="1" applyAlignment="1">
      <alignment horizontal="center"/>
    </xf>
    <xf numFmtId="49" fontId="38" fillId="0" borderId="0" xfId="0" applyNumberFormat="1" applyFont="1" applyAlignment="1">
      <alignment horizontal="left"/>
    </xf>
    <xf numFmtId="0" fontId="38" fillId="0" borderId="0" xfId="0" applyFont="1" applyAlignment="1">
      <alignment horizontal="center" vertical="center"/>
    </xf>
    <xf numFmtId="0" fontId="43" fillId="0" borderId="0" xfId="0" applyFont="1" applyAlignment="1"/>
    <xf numFmtId="0" fontId="22" fillId="0" borderId="0" xfId="0" applyFont="1" applyFill="1" applyAlignment="1"/>
    <xf numFmtId="0" fontId="59" fillId="0" borderId="0" xfId="0" applyFont="1" applyAlignment="1">
      <alignment horizontal="center"/>
    </xf>
    <xf numFmtId="0" fontId="59" fillId="0" borderId="0" xfId="0" applyFont="1"/>
    <xf numFmtId="14" fontId="59" fillId="0" borderId="0" xfId="0" applyNumberFormat="1" applyFont="1" applyAlignment="1">
      <alignment horizontal="center"/>
    </xf>
    <xf numFmtId="14" fontId="59" fillId="0" borderId="0" xfId="0" applyNumberFormat="1" applyFont="1" applyAlignment="1">
      <alignment horizontal="left"/>
    </xf>
    <xf numFmtId="2" fontId="59" fillId="0" borderId="0" xfId="0" applyNumberFormat="1" applyFont="1" applyAlignment="1">
      <alignment horizontal="center"/>
    </xf>
    <xf numFmtId="9" fontId="59" fillId="0" borderId="0" xfId="1" applyFont="1" applyAlignment="1">
      <alignment horizontal="center"/>
    </xf>
    <xf numFmtId="9" fontId="59" fillId="0" borderId="0" xfId="1" applyNumberFormat="1" applyFont="1" applyAlignment="1">
      <alignment horizontal="center"/>
    </xf>
    <xf numFmtId="0" fontId="60" fillId="0" borderId="0" xfId="0" applyFont="1" applyAlignment="1">
      <alignment horizontal="center"/>
    </xf>
    <xf numFmtId="0" fontId="60" fillId="0" borderId="0" xfId="0" applyNumberFormat="1" applyFont="1" applyAlignment="1">
      <alignment horizontal="center"/>
    </xf>
    <xf numFmtId="0" fontId="59" fillId="0" borderId="0" xfId="0" applyNumberFormat="1" applyFont="1" applyAlignment="1">
      <alignment horizontal="left"/>
    </xf>
    <xf numFmtId="9" fontId="60" fillId="0" borderId="0" xfId="0" applyNumberFormat="1" applyFont="1" applyAlignment="1">
      <alignment horizontal="center"/>
    </xf>
    <xf numFmtId="14" fontId="60" fillId="0" borderId="0" xfId="0" applyNumberFormat="1" applyFont="1" applyAlignment="1">
      <alignment horizontal="center"/>
    </xf>
    <xf numFmtId="0" fontId="59" fillId="0" borderId="0" xfId="0" applyNumberFormat="1" applyFont="1" applyAlignment="1">
      <alignment horizontal="center"/>
    </xf>
    <xf numFmtId="9" fontId="59" fillId="0" borderId="0" xfId="0" applyNumberFormat="1" applyFont="1" applyAlignment="1">
      <alignment horizontal="center"/>
    </xf>
    <xf numFmtId="0" fontId="17" fillId="0" borderId="0" xfId="0" applyNumberFormat="1" applyFont="1" applyAlignment="1">
      <alignment horizontal="left"/>
    </xf>
    <xf numFmtId="0" fontId="15" fillId="5" borderId="24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3" fillId="20" borderId="0" xfId="0" applyFont="1" applyFill="1" applyAlignment="1">
      <alignment vertical="center" wrapText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6" fillId="25" borderId="0" xfId="0" applyFont="1" applyFill="1" applyAlignment="1">
      <alignment horizontal="center" vertical="center"/>
    </xf>
    <xf numFmtId="0" fontId="56" fillId="25" borderId="0" xfId="0" applyFont="1" applyFill="1" applyAlignment="1">
      <alignment vertical="center"/>
    </xf>
    <xf numFmtId="0" fontId="53" fillId="25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4" fontId="29" fillId="0" borderId="1" xfId="2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7" borderId="16" xfId="0" applyFont="1" applyFill="1" applyBorder="1" applyAlignment="1">
      <alignment horizontal="center"/>
    </xf>
    <xf numFmtId="0" fontId="9" fillId="7" borderId="17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169" fontId="0" fillId="0" borderId="34" xfId="0" applyNumberFormat="1" applyFont="1" applyBorder="1" applyAlignment="1">
      <alignment horizontal="center" vertical="center"/>
    </xf>
    <xf numFmtId="169" fontId="0" fillId="0" borderId="43" xfId="0" applyNumberFormat="1" applyFont="1" applyBorder="1" applyAlignment="1">
      <alignment horizontal="center" vertical="center"/>
    </xf>
    <xf numFmtId="169" fontId="0" fillId="0" borderId="31" xfId="0" applyNumberFormat="1" applyFont="1" applyBorder="1" applyAlignment="1">
      <alignment horizontal="center" vertical="center"/>
    </xf>
    <xf numFmtId="169" fontId="0" fillId="0" borderId="44" xfId="0" applyNumberFormat="1" applyFont="1" applyBorder="1" applyAlignment="1">
      <alignment horizontal="center" vertical="center"/>
    </xf>
    <xf numFmtId="10" fontId="11" fillId="0" borderId="8" xfId="0" applyNumberFormat="1" applyFont="1" applyBorder="1" applyAlignment="1">
      <alignment horizontal="center" vertical="center"/>
    </xf>
    <xf numFmtId="10" fontId="11" fillId="0" borderId="9" xfId="0" applyNumberFormat="1" applyFont="1" applyBorder="1" applyAlignment="1">
      <alignment horizontal="center" vertical="center"/>
    </xf>
    <xf numFmtId="10" fontId="11" fillId="0" borderId="53" xfId="0" applyNumberFormat="1" applyFont="1" applyBorder="1" applyAlignment="1">
      <alignment horizontal="center" vertical="center"/>
    </xf>
    <xf numFmtId="10" fontId="11" fillId="0" borderId="11" xfId="0" applyNumberFormat="1" applyFont="1" applyBorder="1" applyAlignment="1">
      <alignment horizontal="center" vertical="center"/>
    </xf>
    <xf numFmtId="10" fontId="11" fillId="0" borderId="0" xfId="0" applyNumberFormat="1" applyFont="1" applyBorder="1" applyAlignment="1">
      <alignment horizontal="center" vertical="center"/>
    </xf>
    <xf numFmtId="10" fontId="11" fillId="0" borderId="35" xfId="0" applyNumberFormat="1" applyFont="1" applyBorder="1" applyAlignment="1">
      <alignment horizontal="center" vertical="center"/>
    </xf>
    <xf numFmtId="10" fontId="11" fillId="0" borderId="13" xfId="0" applyNumberFormat="1" applyFont="1" applyBorder="1" applyAlignment="1">
      <alignment horizontal="center" vertical="center"/>
    </xf>
    <xf numFmtId="10" fontId="11" fillId="0" borderId="14" xfId="0" applyNumberFormat="1" applyFont="1" applyBorder="1" applyAlignment="1">
      <alignment horizontal="center" vertical="center"/>
    </xf>
    <xf numFmtId="10" fontId="11" fillId="0" borderId="38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9" fontId="0" fillId="0" borderId="32" xfId="0" applyNumberFormat="1" applyFont="1" applyBorder="1" applyAlignment="1">
      <alignment horizontal="center" vertical="center"/>
    </xf>
    <xf numFmtId="169" fontId="0" fillId="0" borderId="30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9" fontId="5" fillId="0" borderId="0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5" fillId="0" borderId="26" xfId="0" applyNumberFormat="1" applyFont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69" fontId="0" fillId="0" borderId="42" xfId="0" applyNumberFormat="1" applyFont="1" applyBorder="1" applyAlignment="1">
      <alignment horizontal="center" vertical="center"/>
    </xf>
    <xf numFmtId="169" fontId="0" fillId="0" borderId="15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3" fontId="5" fillId="0" borderId="19" xfId="0" applyNumberFormat="1" applyFont="1" applyBorder="1" applyAlignment="1">
      <alignment horizontal="center" vertical="center" wrapText="1"/>
    </xf>
    <xf numFmtId="3" fontId="5" fillId="0" borderId="36" xfId="0" applyNumberFormat="1" applyFont="1" applyBorder="1" applyAlignment="1">
      <alignment horizontal="center" vertical="center" wrapText="1"/>
    </xf>
    <xf numFmtId="169" fontId="0" fillId="0" borderId="38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19" fillId="9" borderId="8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0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3" fontId="5" fillId="0" borderId="25" xfId="0" applyNumberFormat="1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8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/>
    </xf>
    <xf numFmtId="0" fontId="21" fillId="12" borderId="9" xfId="0" applyFont="1" applyFill="1" applyBorder="1" applyAlignment="1">
      <alignment horizontal="center"/>
    </xf>
    <xf numFmtId="0" fontId="21" fillId="12" borderId="10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/>
    </xf>
    <xf numFmtId="10" fontId="15" fillId="0" borderId="19" xfId="1" applyNumberFormat="1" applyFont="1" applyBorder="1" applyAlignment="1">
      <alignment horizontal="center" vertical="center" wrapText="1"/>
    </xf>
    <xf numFmtId="10" fontId="15" fillId="0" borderId="25" xfId="1" applyNumberFormat="1" applyFont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28" xfId="0" applyFont="1" applyFill="1" applyBorder="1" applyAlignment="1">
      <alignment horizontal="center"/>
    </xf>
    <xf numFmtId="0" fontId="10" fillId="6" borderId="29" xfId="0" applyFont="1" applyFill="1" applyBorder="1" applyAlignment="1">
      <alignment horizontal="center"/>
    </xf>
    <xf numFmtId="0" fontId="15" fillId="5" borderId="45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10" fontId="15" fillId="0" borderId="26" xfId="1" applyNumberFormat="1" applyFont="1" applyBorder="1" applyAlignment="1">
      <alignment horizontal="center" vertical="center" wrapText="1"/>
    </xf>
    <xf numFmtId="10" fontId="15" fillId="0" borderId="27" xfId="1" applyNumberFormat="1" applyFont="1" applyBorder="1" applyAlignment="1">
      <alignment horizontal="center" vertical="center" wrapText="1"/>
    </xf>
    <xf numFmtId="10" fontId="10" fillId="0" borderId="21" xfId="0" applyNumberFormat="1" applyFont="1" applyBorder="1" applyAlignment="1">
      <alignment horizontal="center" vertical="center"/>
    </xf>
    <xf numFmtId="10" fontId="10" fillId="0" borderId="20" xfId="0" applyNumberFormat="1" applyFont="1" applyBorder="1" applyAlignment="1">
      <alignment horizontal="center" vertical="center"/>
    </xf>
    <xf numFmtId="10" fontId="10" fillId="0" borderId="3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10" fontId="10" fillId="0" borderId="6" xfId="0" applyNumberFormat="1" applyFont="1" applyBorder="1" applyAlignment="1">
      <alignment horizontal="center" vertical="center"/>
    </xf>
    <xf numFmtId="0" fontId="21" fillId="4" borderId="5" xfId="0" applyFont="1" applyFill="1" applyBorder="1" applyAlignment="1">
      <alignment horizontal="center"/>
    </xf>
    <xf numFmtId="0" fontId="1" fillId="0" borderId="3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24" borderId="8" xfId="0" applyFont="1" applyFill="1" applyBorder="1" applyAlignment="1">
      <alignment horizontal="center" vertical="center"/>
    </xf>
    <xf numFmtId="0" fontId="10" fillId="24" borderId="9" xfId="0" applyFont="1" applyFill="1" applyBorder="1" applyAlignment="1">
      <alignment horizontal="center" vertical="center"/>
    </xf>
    <xf numFmtId="0" fontId="10" fillId="24" borderId="10" xfId="0" applyFont="1" applyFill="1" applyBorder="1" applyAlignment="1">
      <alignment horizontal="center" vertical="center"/>
    </xf>
    <xf numFmtId="0" fontId="10" fillId="24" borderId="13" xfId="0" applyFont="1" applyFill="1" applyBorder="1" applyAlignment="1">
      <alignment horizontal="center" vertical="center"/>
    </xf>
    <xf numFmtId="0" fontId="10" fillId="24" borderId="14" xfId="0" applyFont="1" applyFill="1" applyBorder="1" applyAlignment="1">
      <alignment horizontal="center" vertical="center"/>
    </xf>
    <xf numFmtId="0" fontId="10" fillId="24" borderId="15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10" fontId="6" fillId="0" borderId="39" xfId="0" applyNumberFormat="1" applyFont="1" applyBorder="1" applyAlignment="1">
      <alignment horizontal="center" vertical="center"/>
    </xf>
    <xf numFmtId="10" fontId="6" fillId="0" borderId="40" xfId="0" applyNumberFormat="1" applyFont="1" applyBorder="1" applyAlignment="1">
      <alignment horizontal="center" vertical="center"/>
    </xf>
    <xf numFmtId="10" fontId="6" fillId="0" borderId="41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9" fontId="5" fillId="0" borderId="14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 wrapText="1"/>
    </xf>
    <xf numFmtId="0" fontId="53" fillId="20" borderId="0" xfId="0" applyFont="1" applyFill="1" applyAlignment="1">
      <alignment vertical="center" wrapText="1"/>
    </xf>
    <xf numFmtId="0" fontId="56" fillId="25" borderId="0" xfId="0" applyFont="1" applyFill="1" applyAlignment="1">
      <alignment horizontal="center" vertical="center"/>
    </xf>
    <xf numFmtId="0" fontId="56" fillId="25" borderId="0" xfId="0" applyFont="1" applyFill="1" applyAlignment="1">
      <alignment vertical="center"/>
    </xf>
    <xf numFmtId="0" fontId="53" fillId="25" borderId="0" xfId="0" applyFont="1" applyFill="1" applyAlignment="1">
      <alignment vertical="center"/>
    </xf>
    <xf numFmtId="0" fontId="57" fillId="25" borderId="0" xfId="0" applyFont="1" applyFill="1" applyAlignment="1">
      <alignment vertical="center" wrapText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5" fillId="8" borderId="16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5" fillId="8" borderId="18" xfId="0" applyFont="1" applyFill="1" applyBorder="1" applyAlignment="1">
      <alignment horizontal="center" vertical="center" wrapText="1"/>
    </xf>
    <xf numFmtId="0" fontId="25" fillId="13" borderId="16" xfId="0" applyFont="1" applyFill="1" applyBorder="1" applyAlignment="1">
      <alignment horizontal="center" vertical="center"/>
    </xf>
    <xf numFmtId="0" fontId="25" fillId="13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4" fontId="29" fillId="0" borderId="3" xfId="2" applyFont="1" applyBorder="1" applyAlignment="1">
      <alignment horizontal="center" vertical="center"/>
    </xf>
    <xf numFmtId="44" fontId="29" fillId="0" borderId="1" xfId="2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5">
    <cellStyle name="Moeda" xfId="2" builtinId="4"/>
    <cellStyle name="Moeda 2" xfId="4" xr:uid="{00000000-0005-0000-0000-000001000000}"/>
    <cellStyle name="Normal" xfId="0" builtinId="0"/>
    <cellStyle name="Normal 3" xfId="3" xr:uid="{00000000-0005-0000-0000-000003000000}"/>
    <cellStyle name="Porcentagem" xfId="1" builtinId="5"/>
  </cellStyles>
  <dxfs count="2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strike val="0"/>
        <outline val="0"/>
        <shadow val="0"/>
        <u val="none"/>
        <vertAlign val="baseline"/>
        <sz val="8"/>
        <name val="Calibri"/>
        <scheme val="minor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numFmt numFmtId="0" formatCode="General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70" formatCode="[$-416]mmmm\-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5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BFFEB"/>
        </patternFill>
      </fill>
    </dxf>
    <dxf>
      <font>
        <b/>
        <i val="0"/>
        <color rgb="FFFF0000"/>
      </font>
      <fill>
        <patternFill>
          <bgColor rgb="FFFF9999"/>
        </patternFill>
      </fill>
    </dxf>
    <dxf>
      <font>
        <color rgb="FFFF0000"/>
      </font>
      <fill>
        <patternFill>
          <fgColor rgb="FFFF9797"/>
          <bgColor rgb="FFFF9999"/>
        </patternFill>
      </fill>
    </dxf>
    <dxf>
      <fill>
        <patternFill>
          <bgColor theme="5" tint="0.79998168889431442"/>
        </patternFill>
      </fill>
    </dxf>
    <dxf>
      <font>
        <strike/>
      </font>
    </dxf>
    <dxf>
      <fill>
        <patternFill>
          <bgColor rgb="FF57FF73"/>
        </patternFill>
      </fill>
    </dxf>
    <dxf>
      <font>
        <b/>
        <i val="0"/>
        <color rgb="FF00A84C"/>
      </font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00A84C"/>
      <color rgb="FFFF9797"/>
      <color rgb="FFFFD1D1"/>
      <color rgb="FFD5B8EA"/>
      <color rgb="FFA7E8FF"/>
      <color rgb="FF89E0FF"/>
      <color rgb="FFCCFFCC"/>
      <color rgb="FFFF4747"/>
      <color rgb="FFEB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454922293694281E-2"/>
          <c:y val="3.3823492857117492E-2"/>
          <c:w val="0.7863972003499563"/>
          <c:h val="0.96617630866286341"/>
        </c:manualLayout>
      </c:layout>
      <c:doughnutChart>
        <c:varyColors val="1"/>
        <c:ser>
          <c:idx val="0"/>
          <c:order val="0"/>
          <c:tx>
            <c:v>Cabos</c:v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0A4-49CE-9147-575A6A7FBD9D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F0A4-49CE-9147-575A6A7FBD9D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0A4-49CE-9147-575A6A7FBD9D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0AD-4C67-9904-8EB55C75FC68}"/>
              </c:ext>
            </c:extLst>
          </c:dPt>
          <c:dPt>
            <c:idx val="4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46-4363-BAFA-30E4A17FEDAA}"/>
              </c:ext>
            </c:extLst>
          </c:dPt>
          <c:cat>
            <c:strRef>
              <c:f>(Indicadores!$J$3,Indicadores!$J$4,Indicadores!$J$5,Indicadores!$J$6,Indicadores!$N$1)</c:f>
              <c:strCache>
                <c:ptCount val="5"/>
                <c:pt idx="0">
                  <c:v>Cabos Lançados - Força</c:v>
                </c:pt>
                <c:pt idx="1">
                  <c:v>Cabos Lançados - Controle</c:v>
                </c:pt>
                <c:pt idx="2">
                  <c:v>Cabos Lançados - Fibra Ótica</c:v>
                </c:pt>
                <c:pt idx="3">
                  <c:v>Cabos Lançados - Rede</c:v>
                </c:pt>
                <c:pt idx="4">
                  <c:v>Saldo</c:v>
                </c:pt>
              </c:strCache>
            </c:strRef>
          </c:cat>
          <c:val>
            <c:numRef>
              <c:f>(Indicadores!$L$3,Indicadores!$L$4,Indicadores!$L$5,Indicadores!$L$6,Indicadores!$N$7)</c:f>
              <c:numCache>
                <c:formatCode>General</c:formatCode>
                <c:ptCount val="5"/>
                <c:pt idx="0">
                  <c:v>49068</c:v>
                </c:pt>
                <c:pt idx="1">
                  <c:v>34991</c:v>
                </c:pt>
                <c:pt idx="2">
                  <c:v>9202.5</c:v>
                </c:pt>
                <c:pt idx="3">
                  <c:v>499</c:v>
                </c:pt>
                <c:pt idx="4" formatCode="0">
                  <c:v>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4-49CE-9147-575A6A7FB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80736520048877"/>
          <c:y val="3.3823776817383154E-2"/>
          <c:w val="0.7374553020101926"/>
          <c:h val="0.94124800263592723"/>
        </c:manualLayout>
      </c:layout>
      <c:doughnutChart>
        <c:varyColors val="1"/>
        <c:ser>
          <c:idx val="0"/>
          <c:order val="0"/>
          <c:tx>
            <c:v>Cabos</c:v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A84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6F-4848-8B22-8B80702B7643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6F-4848-8B22-8B80702B7643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6F-4848-8B22-8B80702B7643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70-413C-9721-65ABF1BC9C92}"/>
              </c:ext>
            </c:extLst>
          </c:dPt>
          <c:dPt>
            <c:idx val="4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11-4B9C-A61E-EB5E18EB8162}"/>
              </c:ext>
            </c:extLst>
          </c:dPt>
          <c:cat>
            <c:strRef>
              <c:f>(Indicadores!$J$11,Indicadores!$J$12,Indicadores!$J$13,Indicadores!$J$14,Indicadores!$N$9)</c:f>
              <c:strCache>
                <c:ptCount val="5"/>
                <c:pt idx="0">
                  <c:v>Cabos Lançados - Força</c:v>
                </c:pt>
                <c:pt idx="1">
                  <c:v>Cabos Lançados - Controle</c:v>
                </c:pt>
                <c:pt idx="2">
                  <c:v>Cabos Lançados - Fibra Ótica</c:v>
                </c:pt>
                <c:pt idx="3">
                  <c:v>Cabos Lançados - Rede</c:v>
                </c:pt>
                <c:pt idx="4">
                  <c:v>Saldo</c:v>
                </c:pt>
              </c:strCache>
            </c:strRef>
          </c:cat>
          <c:val>
            <c:numRef>
              <c:f>(Indicadores!$L$11,Indicadores!$L$12,Indicadores!$L$13,Indicadores!$L$14,Indicadores!$N$15)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9202.5</c:v>
                </c:pt>
                <c:pt idx="3">
                  <c:v>0</c:v>
                </c:pt>
                <c:pt idx="4">
                  <c:v>3005.5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6F-4848-8B22-8B80702B7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454922293694281E-2"/>
          <c:y val="3.3823492857117492E-2"/>
          <c:w val="0.83871917068557289"/>
          <c:h val="0.88805489171155749"/>
        </c:manualLayout>
      </c:layout>
      <c:doughnutChart>
        <c:varyColors val="1"/>
        <c:ser>
          <c:idx val="0"/>
          <c:order val="0"/>
          <c:tx>
            <c:v>Cabos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5E-42FB-A46F-79D54F0218F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5E-42FB-A46F-79D54F0218FD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5E-42FB-A46F-79D54F0218FD}"/>
              </c:ext>
            </c:extLst>
          </c:dPt>
          <c:cat>
            <c:strRef>
              <c:f>Indicadores!$J$3:$J$4</c:f>
              <c:strCache>
                <c:ptCount val="2"/>
                <c:pt idx="0">
                  <c:v>Cabos Lançados - Força</c:v>
                </c:pt>
                <c:pt idx="1">
                  <c:v>Cabos Lançados - Controle</c:v>
                </c:pt>
              </c:strCache>
            </c:strRef>
          </c:cat>
          <c:val>
            <c:numRef>
              <c:f>(Indicadores!$L$18,Indicadores!$L$19,Indicadores!$N$20)</c:f>
              <c:numCache>
                <c:formatCode>General</c:formatCode>
                <c:ptCount val="3"/>
                <c:pt idx="0">
                  <c:v>5239</c:v>
                </c:pt>
                <c:pt idx="1">
                  <c:v>1300</c:v>
                </c:pt>
                <c:pt idx="2">
                  <c:v>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5E-42FB-A46F-79D54F021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137791174095392E-2"/>
          <c:y val="6.1912930464698507E-2"/>
          <c:w val="0.94164883539498923"/>
          <c:h val="0.75573723434904927"/>
        </c:manualLayout>
      </c:layout>
      <c:lineChart>
        <c:grouping val="standard"/>
        <c:varyColors val="0"/>
        <c:ser>
          <c:idx val="0"/>
          <c:order val="0"/>
          <c:tx>
            <c:strRef>
              <c:f>Curva!$C$2</c:f>
              <c:strCache>
                <c:ptCount val="1"/>
                <c:pt idx="0">
                  <c:v>% Previsto</c:v>
                </c:pt>
              </c:strCache>
            </c:strRef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Curva!$E$1:$AJ$1</c15:sqref>
                  </c15:fullRef>
                </c:ext>
              </c:extLst>
              <c:f>Curva!$E$1:$AG$1</c:f>
              <c:numCache>
                <c:formatCode>m/d/yyyy</c:formatCode>
                <c:ptCount val="29"/>
                <c:pt idx="0">
                  <c:v>44074</c:v>
                </c:pt>
                <c:pt idx="1">
                  <c:v>44081</c:v>
                </c:pt>
                <c:pt idx="2">
                  <c:v>44088</c:v>
                </c:pt>
                <c:pt idx="3">
                  <c:v>44095</c:v>
                </c:pt>
                <c:pt idx="4">
                  <c:v>44102</c:v>
                </c:pt>
                <c:pt idx="5">
                  <c:v>44109</c:v>
                </c:pt>
                <c:pt idx="6">
                  <c:v>44116</c:v>
                </c:pt>
                <c:pt idx="7">
                  <c:v>44123</c:v>
                </c:pt>
                <c:pt idx="8">
                  <c:v>44130</c:v>
                </c:pt>
                <c:pt idx="9">
                  <c:v>44137</c:v>
                </c:pt>
                <c:pt idx="10">
                  <c:v>44144</c:v>
                </c:pt>
                <c:pt idx="11">
                  <c:v>44151</c:v>
                </c:pt>
                <c:pt idx="12">
                  <c:v>44158</c:v>
                </c:pt>
                <c:pt idx="13">
                  <c:v>44165</c:v>
                </c:pt>
                <c:pt idx="14">
                  <c:v>44172</c:v>
                </c:pt>
                <c:pt idx="15">
                  <c:v>44179</c:v>
                </c:pt>
                <c:pt idx="16">
                  <c:v>44186</c:v>
                </c:pt>
                <c:pt idx="17">
                  <c:v>44193</c:v>
                </c:pt>
                <c:pt idx="18">
                  <c:v>44200</c:v>
                </c:pt>
                <c:pt idx="19">
                  <c:v>44207</c:v>
                </c:pt>
                <c:pt idx="20">
                  <c:v>44214</c:v>
                </c:pt>
                <c:pt idx="21">
                  <c:v>44221</c:v>
                </c:pt>
                <c:pt idx="22">
                  <c:v>44228</c:v>
                </c:pt>
                <c:pt idx="23">
                  <c:v>44235</c:v>
                </c:pt>
                <c:pt idx="24">
                  <c:v>44242</c:v>
                </c:pt>
                <c:pt idx="25">
                  <c:v>44249</c:v>
                </c:pt>
                <c:pt idx="26">
                  <c:v>44256</c:v>
                </c:pt>
                <c:pt idx="27">
                  <c:v>44263</c:v>
                </c:pt>
                <c:pt idx="28">
                  <c:v>44270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Curva!$E$2:$AJ$2</c15:sqref>
                  </c15:fullRef>
                </c:ext>
              </c:extLst>
              <c:f>Curva!$E$2:$AG$2</c:f>
              <c:numCache>
                <c:formatCode>0.0%</c:formatCode>
                <c:ptCount val="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1-46FD-BB00-D545352053AA}"/>
            </c:ext>
          </c:extLst>
        </c:ser>
        <c:ser>
          <c:idx val="1"/>
          <c:order val="1"/>
          <c:tx>
            <c:strRef>
              <c:f>Curva!$C$3</c:f>
              <c:strCache>
                <c:ptCount val="1"/>
                <c:pt idx="0">
                  <c:v>% Lançado</c:v>
                </c:pt>
              </c:strCache>
            </c:strRef>
          </c:tx>
          <c:spPr>
            <a:ln w="22225" cap="rnd">
              <a:solidFill>
                <a:srgbClr val="99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465218073102386E-2"/>
                  <c:y val="-7.545034692935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0BA-4C1A-A3F3-37CACFB2419A}"/>
                </c:ext>
              </c:extLst>
            </c:dLbl>
            <c:dLbl>
              <c:idx val="1"/>
              <c:layout>
                <c:manualLayout>
                  <c:x val="-1.5489200551119076E-2"/>
                  <c:y val="-7.8864000576289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BA-4C1A-A3F3-37CACFB2419A}"/>
                </c:ext>
              </c:extLst>
            </c:dLbl>
            <c:dLbl>
              <c:idx val="2"/>
              <c:layout>
                <c:manualLayout>
                  <c:x val="-1.5489200551119076E-2"/>
                  <c:y val="-8.569130787016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BA-4C1A-A3F3-37CACFB2419A}"/>
                </c:ext>
              </c:extLst>
            </c:dLbl>
            <c:dLbl>
              <c:idx val="3"/>
              <c:layout>
                <c:manualLayout>
                  <c:x val="-1.7199179464228193E-2"/>
                  <c:y val="-7.8864000576289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BA-4C1A-A3F3-37CACFB2419A}"/>
                </c:ext>
              </c:extLst>
            </c:dLbl>
            <c:dLbl>
              <c:idx val="4"/>
              <c:layout>
                <c:manualLayout>
                  <c:x val="-1.5489224182012803E-2"/>
                  <c:y val="-8.22776542232271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BA-4C1A-A3F3-37CACFB2419A}"/>
                </c:ext>
              </c:extLst>
            </c:dLbl>
            <c:dLbl>
              <c:idx val="5"/>
              <c:layout>
                <c:manualLayout>
                  <c:x val="-1.5489200551119091E-2"/>
                  <c:y val="-7.8864000576289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BA-4C1A-A3F3-37CACFB2419A}"/>
                </c:ext>
              </c:extLst>
            </c:dLbl>
            <c:dLbl>
              <c:idx val="6"/>
              <c:layout>
                <c:manualLayout>
                  <c:x val="-1.5489200551119062E-2"/>
                  <c:y val="-7.8864000576289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BA-4C1A-A3F3-37CACFB2419A}"/>
                </c:ext>
              </c:extLst>
            </c:dLbl>
            <c:dLbl>
              <c:idx val="7"/>
              <c:layout>
                <c:manualLayout>
                  <c:x val="-1.5489200551119062E-2"/>
                  <c:y val="-7.8864000576289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BA-4C1A-A3F3-37CACFB2419A}"/>
                </c:ext>
              </c:extLst>
            </c:dLbl>
            <c:dLbl>
              <c:idx val="8"/>
              <c:layout>
                <c:manualLayout>
                  <c:x val="-1.4652174471825071E-2"/>
                  <c:y val="-7.8864000576289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BA-4C1A-A3F3-37CACFB2419A}"/>
                </c:ext>
              </c:extLst>
            </c:dLbl>
            <c:dLbl>
              <c:idx val="9"/>
              <c:layout>
                <c:manualLayout>
                  <c:x val="-1.5489200551119062E-2"/>
                  <c:y val="-8.9104961517103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BA-4C1A-A3F3-37CACFB2419A}"/>
                </c:ext>
              </c:extLst>
            </c:dLbl>
            <c:dLbl>
              <c:idx val="10"/>
              <c:layout>
                <c:manualLayout>
                  <c:x val="-1.4652174471825071E-2"/>
                  <c:y val="-8.910496151710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BA-4C1A-A3F3-37CACFB2419A}"/>
                </c:ext>
              </c:extLst>
            </c:dLbl>
            <c:dLbl>
              <c:idx val="11"/>
              <c:layout>
                <c:manualLayout>
                  <c:x val="-1.5821387046368044E-2"/>
                  <c:y val="-8.569130787016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0BA-4C1A-A3F3-37CACFB2419A}"/>
                </c:ext>
              </c:extLst>
            </c:dLbl>
            <c:dLbl>
              <c:idx val="12"/>
              <c:layout>
                <c:manualLayout>
                  <c:x val="-1.623406048381526E-2"/>
                  <c:y val="-8.22776542232271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98-499C-8CCE-94C569A0AAF8}"/>
                </c:ext>
              </c:extLst>
            </c:dLbl>
            <c:dLbl>
              <c:idx val="13"/>
              <c:layout>
                <c:manualLayout>
                  <c:x val="-1.8218189008052034E-2"/>
                  <c:y val="-5.8382078694661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1F-489E-AE55-6C0819BE4579}"/>
                </c:ext>
              </c:extLst>
            </c:dLbl>
            <c:dLbl>
              <c:idx val="14"/>
              <c:layout>
                <c:manualLayout>
                  <c:x val="-1.9321574997386484E-2"/>
                  <c:y val="-4.8141117753848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A0-4F49-8934-5E683FADD930}"/>
                </c:ext>
              </c:extLst>
            </c:dLbl>
            <c:dLbl>
              <c:idx val="15"/>
              <c:layout>
                <c:manualLayout>
                  <c:x val="-1.9321605084830676E-2"/>
                  <c:y val="-7.8864000576289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A0-4F49-8934-5E683FADD930}"/>
                </c:ext>
              </c:extLst>
            </c:dLbl>
            <c:dLbl>
              <c:idx val="16"/>
              <c:layout>
                <c:manualLayout>
                  <c:x val="-1.9053139791457594E-2"/>
                  <c:y val="-7.545034692935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41-49C2-92FC-CCD6105606CD}"/>
                </c:ext>
              </c:extLst>
            </c:dLbl>
            <c:dLbl>
              <c:idx val="17"/>
              <c:layout>
                <c:manualLayout>
                  <c:x val="-1.8056950538614319E-2"/>
                  <c:y val="-5.8382078694661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76-4F3B-B74A-E99884171A0B}"/>
                </c:ext>
              </c:extLst>
            </c:dLbl>
            <c:dLbl>
              <c:idx val="18"/>
              <c:layout>
                <c:manualLayout>
                  <c:x val="-1.8056920274961887E-2"/>
                  <c:y val="-8.569130787016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3B-4E12-ACC6-984FD2E99205}"/>
                </c:ext>
              </c:extLst>
            </c:dLbl>
            <c:dLbl>
              <c:idx val="28"/>
              <c:layout>
                <c:manualLayout>
                  <c:x val="-1.3852556392064015E-2"/>
                  <c:y val="-2.0831888578344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44-4B7B-84D3-7EFE732A9E2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99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Curva!$E$1:$AJ$1</c15:sqref>
                  </c15:fullRef>
                </c:ext>
              </c:extLst>
              <c:f>Curva!$E$1:$AG$1</c:f>
              <c:numCache>
                <c:formatCode>m/d/yyyy</c:formatCode>
                <c:ptCount val="29"/>
                <c:pt idx="0">
                  <c:v>44074</c:v>
                </c:pt>
                <c:pt idx="1">
                  <c:v>44081</c:v>
                </c:pt>
                <c:pt idx="2">
                  <c:v>44088</c:v>
                </c:pt>
                <c:pt idx="3">
                  <c:v>44095</c:v>
                </c:pt>
                <c:pt idx="4">
                  <c:v>44102</c:v>
                </c:pt>
                <c:pt idx="5">
                  <c:v>44109</c:v>
                </c:pt>
                <c:pt idx="6">
                  <c:v>44116</c:v>
                </c:pt>
                <c:pt idx="7">
                  <c:v>44123</c:v>
                </c:pt>
                <c:pt idx="8">
                  <c:v>44130</c:v>
                </c:pt>
                <c:pt idx="9">
                  <c:v>44137</c:v>
                </c:pt>
                <c:pt idx="10">
                  <c:v>44144</c:v>
                </c:pt>
                <c:pt idx="11">
                  <c:v>44151</c:v>
                </c:pt>
                <c:pt idx="12">
                  <c:v>44158</c:v>
                </c:pt>
                <c:pt idx="13">
                  <c:v>44165</c:v>
                </c:pt>
                <c:pt idx="14">
                  <c:v>44172</c:v>
                </c:pt>
                <c:pt idx="15">
                  <c:v>44179</c:v>
                </c:pt>
                <c:pt idx="16">
                  <c:v>44186</c:v>
                </c:pt>
                <c:pt idx="17">
                  <c:v>44193</c:v>
                </c:pt>
                <c:pt idx="18">
                  <c:v>44200</c:v>
                </c:pt>
                <c:pt idx="19">
                  <c:v>44207</c:v>
                </c:pt>
                <c:pt idx="20">
                  <c:v>44214</c:v>
                </c:pt>
                <c:pt idx="21">
                  <c:v>44221</c:v>
                </c:pt>
                <c:pt idx="22">
                  <c:v>44228</c:v>
                </c:pt>
                <c:pt idx="23">
                  <c:v>44235</c:v>
                </c:pt>
                <c:pt idx="24">
                  <c:v>44242</c:v>
                </c:pt>
                <c:pt idx="25">
                  <c:v>44249</c:v>
                </c:pt>
                <c:pt idx="26">
                  <c:v>44256</c:v>
                </c:pt>
                <c:pt idx="27">
                  <c:v>44263</c:v>
                </c:pt>
                <c:pt idx="28">
                  <c:v>44270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Curva!$E$3:$AJ$3</c15:sqref>
                  </c15:fullRef>
                </c:ext>
              </c:extLst>
              <c:f>Curva!$E$3:$AG$3</c:f>
              <c:numCache>
                <c:formatCode>0.0%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1.2123197903014417E-2</c:v>
                </c:pt>
                <c:pt idx="21">
                  <c:v>1.2123197903014417E-2</c:v>
                </c:pt>
                <c:pt idx="22">
                  <c:v>1.2123197903014417E-2</c:v>
                </c:pt>
                <c:pt idx="23">
                  <c:v>1.2532765399737876E-2</c:v>
                </c:pt>
                <c:pt idx="24">
                  <c:v>1.2532765399737876E-2</c:v>
                </c:pt>
                <c:pt idx="25">
                  <c:v>6.9872214941022276E-2</c:v>
                </c:pt>
                <c:pt idx="26">
                  <c:v>0.36693152031454784</c:v>
                </c:pt>
                <c:pt idx="27">
                  <c:v>0.5008600917431193</c:v>
                </c:pt>
                <c:pt idx="28">
                  <c:v>0.75380897771952815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C1-46FD-BB00-D54535205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746496"/>
        <c:axId val="1561733600"/>
      </c:lineChart>
      <c:dateAx>
        <c:axId val="15617464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52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1733600"/>
        <c:crosses val="autoZero"/>
        <c:auto val="1"/>
        <c:lblOffset val="100"/>
        <c:baseTimeUnit val="days"/>
        <c:majorUnit val="7"/>
        <c:majorTimeUnit val="days"/>
      </c:dateAx>
      <c:valAx>
        <c:axId val="15617336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17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2235334105822956E-2"/>
          <c:y val="7.6681290885672659E-2"/>
          <c:w val="6.9721034273106997E-2"/>
          <c:h val="0.12761420015407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9607843137254902E-2"/>
          <c:y val="2.0997375328083989E-2"/>
          <c:w val="0.98039215686274506"/>
          <c:h val="0.9790026246719160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Dashboard!$Z$22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(Dashboard!$V$23,Dashboard!$V$24,Dashboard!$V$25,Dashboard!$V$26,Dashboard!$V$27)</c:f>
              <c:strCache>
                <c:ptCount val="5"/>
                <c:pt idx="0">
                  <c:v>Teste Cont.</c:v>
                </c:pt>
                <c:pt idx="1">
                  <c:v>Born a Born</c:v>
                </c:pt>
                <c:pt idx="2">
                  <c:v>Megger</c:v>
                </c:pt>
                <c:pt idx="3">
                  <c:v>Hipot</c:v>
                </c:pt>
                <c:pt idx="4">
                  <c:v>Ligações</c:v>
                </c:pt>
              </c:strCache>
            </c:strRef>
          </c:cat>
          <c:val>
            <c:numRef>
              <c:f>(Dashboard!$Z$23,Dashboard!$Z$24,Dashboard!$Z$25,Dashboard!$Z$26,Dashboard!$Z$27)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96-41EE-BD79-B6B703B6FBC2}"/>
            </c:ext>
          </c:extLst>
        </c:ser>
        <c:ser>
          <c:idx val="1"/>
          <c:order val="1"/>
          <c:tx>
            <c:strRef>
              <c:f>Dashboard!$AD$22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(Dashboard!$V$23,Dashboard!$V$24,Dashboard!$V$25,Dashboard!$V$26,Dashboard!$V$27)</c:f>
              <c:strCache>
                <c:ptCount val="5"/>
                <c:pt idx="0">
                  <c:v>Teste Cont.</c:v>
                </c:pt>
                <c:pt idx="1">
                  <c:v>Born a Born</c:v>
                </c:pt>
                <c:pt idx="2">
                  <c:v>Megger</c:v>
                </c:pt>
                <c:pt idx="3">
                  <c:v>Hipot</c:v>
                </c:pt>
                <c:pt idx="4">
                  <c:v>Ligações</c:v>
                </c:pt>
              </c:strCache>
            </c:strRef>
          </c:cat>
          <c:val>
            <c:numRef>
              <c:f>(Dashboard!$AD$23,Dashboard!$AD$24,Dashboard!$AD$25,Dashboard!$AD$26,Dashboard!$AD$27)</c:f>
              <c:numCache>
                <c:formatCode>#,##0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96-41EE-BD79-B6B703B6F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100"/>
        <c:axId val="883362095"/>
        <c:axId val="883373327"/>
      </c:barChart>
      <c:catAx>
        <c:axId val="88336209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3373327"/>
        <c:crosses val="autoZero"/>
        <c:auto val="1"/>
        <c:lblAlgn val="ctr"/>
        <c:lblOffset val="20"/>
        <c:noMultiLvlLbl val="0"/>
      </c:catAx>
      <c:valAx>
        <c:axId val="88337332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88336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Disponibilidade de Cabos (em metros)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Indicadores!$J$29</c:f>
              <c:strCache>
                <c:ptCount val="1"/>
                <c:pt idx="0">
                  <c:v>Entrega de Cabos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CF-409E-BC71-BA631420BA73}"/>
              </c:ext>
            </c:extLst>
          </c:dPt>
          <c:dPt>
            <c:idx val="1"/>
            <c:bubble3D val="0"/>
            <c:spPr>
              <a:solidFill>
                <a:srgbClr val="A3F1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CF-409E-BC71-BA631420BA73}"/>
              </c:ext>
            </c:extLst>
          </c:dPt>
          <c:dLbls>
            <c:dLbl>
              <c:idx val="0"/>
              <c:layout>
                <c:manualLayout>
                  <c:x val="0.22179972126350997"/>
                  <c:y val="-0.2321008976093497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CF-409E-BC71-BA631420BA73}"/>
                </c:ext>
              </c:extLst>
            </c:dLbl>
            <c:dLbl>
              <c:idx val="1"/>
              <c:layout>
                <c:manualLayout>
                  <c:x val="-0.17476981307263975"/>
                  <c:y val="8.9700552797120733E-2"/>
                </c:manualLayout>
              </c:layout>
              <c:numFmt formatCode="0.0%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CF-409E-BC71-BA631420BA73}"/>
                </c:ext>
              </c:extLst>
            </c:dLbl>
            <c:dLbl>
              <c:idx val="2"/>
              <c:layout>
                <c:manualLayout>
                  <c:x val="-0.14511873350923482"/>
                  <c:y val="-7.2186836518046735E-2"/>
                </c:manualLayout>
              </c:layout>
              <c:numFmt formatCode="0.0%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6F-4C3E-9B4D-76BCB63A1502}"/>
                </c:ext>
              </c:extLst>
            </c:dLbl>
            <c:dLbl>
              <c:idx val="3"/>
              <c:layout>
                <c:manualLayout>
                  <c:x val="-6.8601583113456516E-2"/>
                  <c:y val="-0.14012738853503184"/>
                </c:manualLayout>
              </c:layout>
              <c:numFmt formatCode="0.0%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6F-4C3E-9B4D-76BCB63A1502}"/>
                </c:ext>
              </c:extLst>
            </c:dLbl>
            <c:dLbl>
              <c:idx val="4"/>
              <c:layout>
                <c:manualLayout>
                  <c:x val="2.1108179419524968E-2"/>
                  <c:y val="-0.14437367303609341"/>
                </c:manualLayout>
              </c:layout>
              <c:numFmt formatCode="0.0%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6F-4C3E-9B4D-76BCB63A150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(Indicadores!$R$29,Indicadores!$S$29,Indicadores!$O$29,Indicadores!$P$29,Indicadores!$M$29)</c:f>
              <c:strCache>
                <c:ptCount val="5"/>
                <c:pt idx="0">
                  <c:v>Lançado</c:v>
                </c:pt>
                <c:pt idx="1">
                  <c:v>Disponível Não Lançado</c:v>
                </c:pt>
                <c:pt idx="2">
                  <c:v>Pend. Resp</c:v>
                </c:pt>
                <c:pt idx="3">
                  <c:v>Pend. Compra</c:v>
                </c:pt>
                <c:pt idx="4">
                  <c:v>Não Solicitado</c:v>
                </c:pt>
              </c:strCache>
            </c:strRef>
          </c:cat>
          <c:val>
            <c:numRef>
              <c:f>(Indicadores!$R$34,Indicadores!$S$34,Indicadores!$O$34,Indicadores!$P$34,Indicadores!$M$34)</c:f>
              <c:numCache>
                <c:formatCode>#,##0</c:formatCode>
                <c:ptCount val="5"/>
                <c:pt idx="0">
                  <c:v>93760.5</c:v>
                </c:pt>
                <c:pt idx="1">
                  <c:v>2094</c:v>
                </c:pt>
                <c:pt idx="2">
                  <c:v>0</c:v>
                </c:pt>
                <c:pt idx="3">
                  <c:v>5400</c:v>
                </c:pt>
                <c:pt idx="4">
                  <c:v>2473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8CF-409E-BC71-BA631420BA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="1" i="1">
                <a:solidFill>
                  <a:schemeClr val="tx1"/>
                </a:solidFill>
              </a:rPr>
              <a:t>Ligações por Status de Painel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1796503820729388"/>
          <c:w val="0.87753018372703417"/>
          <c:h val="0.7057550093828327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Painéis!$P$1</c:f>
              <c:strCache>
                <c:ptCount val="1"/>
                <c:pt idx="0">
                  <c:v>Ligações Realizadas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CAE-454A-A891-6766E9B362DE}"/>
              </c:ext>
            </c:extLst>
          </c:dPt>
          <c:dPt>
            <c:idx val="4"/>
            <c:invertIfNegative val="0"/>
            <c:bubble3D val="0"/>
            <c:spPr>
              <a:solidFill>
                <a:srgbClr val="00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7CAE-454A-A891-6766E9B362DE}"/>
              </c:ext>
            </c:extLst>
          </c:dPt>
          <c:dPt>
            <c:idx val="5"/>
            <c:invertIfNegative val="0"/>
            <c:bubble3D val="0"/>
            <c:spPr>
              <a:solidFill>
                <a:srgbClr val="00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7CAE-454A-A891-6766E9B362DE}"/>
              </c:ext>
            </c:extLst>
          </c:dPt>
          <c:dLbls>
            <c:dLbl>
              <c:idx val="0"/>
              <c:layout>
                <c:manualLayout>
                  <c:x val="5.334598056938529E-2"/>
                  <c:y val="-5.41062637281712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CAE-454A-A891-6766E9B362DE}"/>
                </c:ext>
              </c:extLst>
            </c:dLbl>
            <c:dLbl>
              <c:idx val="2"/>
              <c:layout>
                <c:manualLayout>
                  <c:x val="6.679538486147793E-2"/>
                  <c:y val="-6.34387498869841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399-4C3C-A27B-C819F4234503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Painéis!$M$2:$N$8</c:f>
              <c:multiLvlStrCache>
                <c:ptCount val="7"/>
                <c:lvl>
                  <c:pt idx="0">
                    <c:v>Indefinido</c:v>
                  </c:pt>
                  <c:pt idx="1">
                    <c:v>Pré-Parada</c:v>
                  </c:pt>
                  <c:pt idx="2">
                    <c:v>Parada</c:v>
                  </c:pt>
                  <c:pt idx="3">
                    <c:v>Pós-Parada</c:v>
                  </c:pt>
                  <c:pt idx="4">
                    <c:v>Pré-Parada</c:v>
                  </c:pt>
                  <c:pt idx="5">
                    <c:v>Parada</c:v>
                  </c:pt>
                  <c:pt idx="6">
                    <c:v>Pós-Parada</c:v>
                  </c:pt>
                </c:lvl>
                <c:lvl>
                  <c:pt idx="0">
                    <c:v>Existente</c:v>
                  </c:pt>
                  <c:pt idx="1">
                    <c:v>Existente</c:v>
                  </c:pt>
                  <c:pt idx="2">
                    <c:v>Existente</c:v>
                  </c:pt>
                  <c:pt idx="3">
                    <c:v>Existente</c:v>
                  </c:pt>
                  <c:pt idx="4">
                    <c:v>Novo</c:v>
                  </c:pt>
                  <c:pt idx="5">
                    <c:v>Novo</c:v>
                  </c:pt>
                  <c:pt idx="6">
                    <c:v>Novo</c:v>
                  </c:pt>
                </c:lvl>
              </c:multiLvlStrCache>
            </c:multiLvlStrRef>
          </c:cat>
          <c:val>
            <c:numRef>
              <c:f>Painéis!$P$2:$P$8</c:f>
              <c:numCache>
                <c:formatCode>General</c:formatCode>
                <c:ptCount val="7"/>
                <c:pt idx="0">
                  <c:v>31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917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E-454A-A891-6766E9B362DE}"/>
            </c:ext>
          </c:extLst>
        </c:ser>
        <c:ser>
          <c:idx val="0"/>
          <c:order val="1"/>
          <c:tx>
            <c:strRef>
              <c:f>Painéis!$Q$1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rgbClr val="CCFF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5B8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CAE-454A-A891-6766E9B362DE}"/>
              </c:ext>
            </c:extLst>
          </c:dPt>
          <c:dPt>
            <c:idx val="1"/>
            <c:invertIfNegative val="0"/>
            <c:bubble3D val="0"/>
            <c:spPr>
              <a:solidFill>
                <a:srgbClr val="D5B8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7CAE-454A-A891-6766E9B362DE}"/>
              </c:ext>
            </c:extLst>
          </c:dPt>
          <c:dPt>
            <c:idx val="2"/>
            <c:invertIfNegative val="0"/>
            <c:bubble3D val="0"/>
            <c:spPr>
              <a:solidFill>
                <a:srgbClr val="D5B8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7CAE-454A-A891-6766E9B362DE}"/>
              </c:ext>
            </c:extLst>
          </c:dPt>
          <c:cat>
            <c:multiLvlStrRef>
              <c:f>Painéis!$M$2:$N$8</c:f>
              <c:multiLvlStrCache>
                <c:ptCount val="7"/>
                <c:lvl>
                  <c:pt idx="0">
                    <c:v>Indefinido</c:v>
                  </c:pt>
                  <c:pt idx="1">
                    <c:v>Pré-Parada</c:v>
                  </c:pt>
                  <c:pt idx="2">
                    <c:v>Parada</c:v>
                  </c:pt>
                  <c:pt idx="3">
                    <c:v>Pós-Parada</c:v>
                  </c:pt>
                  <c:pt idx="4">
                    <c:v>Pré-Parada</c:v>
                  </c:pt>
                  <c:pt idx="5">
                    <c:v>Parada</c:v>
                  </c:pt>
                  <c:pt idx="6">
                    <c:v>Pós-Parada</c:v>
                  </c:pt>
                </c:lvl>
                <c:lvl>
                  <c:pt idx="0">
                    <c:v>Existente</c:v>
                  </c:pt>
                  <c:pt idx="1">
                    <c:v>Existente</c:v>
                  </c:pt>
                  <c:pt idx="2">
                    <c:v>Existente</c:v>
                  </c:pt>
                  <c:pt idx="3">
                    <c:v>Existente</c:v>
                  </c:pt>
                  <c:pt idx="4">
                    <c:v>Novo</c:v>
                  </c:pt>
                  <c:pt idx="5">
                    <c:v>Novo</c:v>
                  </c:pt>
                  <c:pt idx="6">
                    <c:v>Novo</c:v>
                  </c:pt>
                </c:lvl>
              </c:multiLvlStrCache>
            </c:multiLvlStrRef>
          </c:cat>
          <c:val>
            <c:numRef>
              <c:f>Painéis!$Q$2:$Q$8</c:f>
              <c:numCache>
                <c:formatCode>General</c:formatCode>
                <c:ptCount val="7"/>
                <c:pt idx="0">
                  <c:v>1184</c:v>
                </c:pt>
                <c:pt idx="1">
                  <c:v>0</c:v>
                </c:pt>
                <c:pt idx="2">
                  <c:v>381</c:v>
                </c:pt>
                <c:pt idx="3">
                  <c:v>0</c:v>
                </c:pt>
                <c:pt idx="4">
                  <c:v>1766</c:v>
                </c:pt>
                <c:pt idx="5">
                  <c:v>618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E-454A-A891-6766E9B3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780815"/>
        <c:axId val="486789551"/>
      </c:barChart>
      <c:lineChart>
        <c:grouping val="standard"/>
        <c:varyColors val="0"/>
        <c:ser>
          <c:idx val="2"/>
          <c:order val="2"/>
          <c:tx>
            <c:strRef>
              <c:f>Painéis!$O$1</c:f>
              <c:strCache>
                <c:ptCount val="1"/>
                <c:pt idx="0">
                  <c:v>Total de Ligações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Painéis!$M$2:$N$8</c:f>
              <c:multiLvlStrCache>
                <c:ptCount val="7"/>
                <c:lvl>
                  <c:pt idx="0">
                    <c:v>Indefinido</c:v>
                  </c:pt>
                  <c:pt idx="1">
                    <c:v>Pré-Parada</c:v>
                  </c:pt>
                  <c:pt idx="2">
                    <c:v>Parada</c:v>
                  </c:pt>
                  <c:pt idx="3">
                    <c:v>Pós-Parada</c:v>
                  </c:pt>
                  <c:pt idx="4">
                    <c:v>Pré-Parada</c:v>
                  </c:pt>
                  <c:pt idx="5">
                    <c:v>Parada</c:v>
                  </c:pt>
                  <c:pt idx="6">
                    <c:v>Pós-Parada</c:v>
                  </c:pt>
                </c:lvl>
                <c:lvl>
                  <c:pt idx="0">
                    <c:v>Existente</c:v>
                  </c:pt>
                  <c:pt idx="1">
                    <c:v>Existente</c:v>
                  </c:pt>
                  <c:pt idx="2">
                    <c:v>Existente</c:v>
                  </c:pt>
                  <c:pt idx="3">
                    <c:v>Existente</c:v>
                  </c:pt>
                  <c:pt idx="4">
                    <c:v>Novo</c:v>
                  </c:pt>
                  <c:pt idx="5">
                    <c:v>Novo</c:v>
                  </c:pt>
                  <c:pt idx="6">
                    <c:v>Novo</c:v>
                  </c:pt>
                </c:lvl>
              </c:multiLvlStrCache>
            </c:multiLvlStrRef>
          </c:cat>
          <c:val>
            <c:numRef>
              <c:f>Painéis!$O$2:$O$8</c:f>
              <c:numCache>
                <c:formatCode>General</c:formatCode>
                <c:ptCount val="7"/>
                <c:pt idx="0">
                  <c:v>1215</c:v>
                </c:pt>
                <c:pt idx="1">
                  <c:v>0</c:v>
                </c:pt>
                <c:pt idx="2">
                  <c:v>396</c:v>
                </c:pt>
                <c:pt idx="3">
                  <c:v>0</c:v>
                </c:pt>
                <c:pt idx="4">
                  <c:v>2683</c:v>
                </c:pt>
                <c:pt idx="5">
                  <c:v>618</c:v>
                </c:pt>
                <c:pt idx="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E-454A-A891-6766E9B3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780815"/>
        <c:axId val="486789551"/>
      </c:lineChart>
      <c:valAx>
        <c:axId val="4867895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80815"/>
        <c:crosses val="max"/>
        <c:crossBetween val="between"/>
      </c:valAx>
      <c:catAx>
        <c:axId val="486780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89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áf4">
    <tabColor rgb="FF0070C0"/>
  </sheetPr>
  <sheetViews>
    <sheetView zoomScale="79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8</xdr:row>
      <xdr:rowOff>145677</xdr:rowOff>
    </xdr:from>
    <xdr:to>
      <xdr:col>5</xdr:col>
      <xdr:colOff>235323</xdr:colOff>
      <xdr:row>16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75216</xdr:colOff>
      <xdr:row>8</xdr:row>
      <xdr:rowOff>148218</xdr:rowOff>
    </xdr:from>
    <xdr:to>
      <xdr:col>21</xdr:col>
      <xdr:colOff>155481</xdr:colOff>
      <xdr:row>16</xdr:row>
      <xdr:rowOff>56731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289112</xdr:colOff>
      <xdr:row>0</xdr:row>
      <xdr:rowOff>76200</xdr:rowOff>
    </xdr:from>
    <xdr:to>
      <xdr:col>5</xdr:col>
      <xdr:colOff>93569</xdr:colOff>
      <xdr:row>3</xdr:row>
      <xdr:rowOff>69027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5994" y="76200"/>
          <a:ext cx="1193987" cy="564327"/>
        </a:xfrm>
        <a:prstGeom prst="rect">
          <a:avLst/>
        </a:prstGeom>
      </xdr:spPr>
    </xdr:pic>
    <xdr:clientData/>
  </xdr:twoCellAnchor>
  <xdr:twoCellAnchor editAs="oneCell">
    <xdr:from>
      <xdr:col>41</xdr:col>
      <xdr:colOff>54348</xdr:colOff>
      <xdr:row>0</xdr:row>
      <xdr:rowOff>147918</xdr:rowOff>
    </xdr:from>
    <xdr:to>
      <xdr:col>45</xdr:col>
      <xdr:colOff>34689</xdr:colOff>
      <xdr:row>3</xdr:row>
      <xdr:rowOff>13226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16995" y="147918"/>
          <a:ext cx="1485431" cy="436808"/>
        </a:xfrm>
        <a:prstGeom prst="rect">
          <a:avLst/>
        </a:prstGeom>
      </xdr:spPr>
    </xdr:pic>
    <xdr:clientData/>
  </xdr:twoCellAnchor>
  <xdr:twoCellAnchor>
    <xdr:from>
      <xdr:col>0</xdr:col>
      <xdr:colOff>89647</xdr:colOff>
      <xdr:row>21</xdr:row>
      <xdr:rowOff>56029</xdr:rowOff>
    </xdr:from>
    <xdr:to>
      <xdr:col>5</xdr:col>
      <xdr:colOff>100853</xdr:colOff>
      <xdr:row>28</xdr:row>
      <xdr:rowOff>11205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246530</xdr:colOff>
      <xdr:row>31</xdr:row>
      <xdr:rowOff>123264</xdr:rowOff>
    </xdr:from>
    <xdr:to>
      <xdr:col>45</xdr:col>
      <xdr:colOff>78442</xdr:colOff>
      <xdr:row>51</xdr:row>
      <xdr:rowOff>33618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33618</xdr:colOff>
      <xdr:row>21</xdr:row>
      <xdr:rowOff>190499</xdr:rowOff>
    </xdr:from>
    <xdr:to>
      <xdr:col>20</xdr:col>
      <xdr:colOff>314326</xdr:colOff>
      <xdr:row>26</xdr:row>
      <xdr:rowOff>179294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261936</xdr:colOff>
      <xdr:row>2</xdr:row>
      <xdr:rowOff>130971</xdr:rowOff>
    </xdr:from>
    <xdr:to>
      <xdr:col>33</xdr:col>
      <xdr:colOff>261935</xdr:colOff>
      <xdr:row>4</xdr:row>
      <xdr:rowOff>130969</xdr:rowOff>
    </xdr:to>
    <xdr:sp macro="" textlink="">
      <xdr:nvSpPr>
        <xdr:cNvPr id="10" name="Seta em Curva para Cim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0800000">
          <a:off x="9834561" y="511971"/>
          <a:ext cx="1023937" cy="380998"/>
        </a:xfrm>
        <a:prstGeom prst="curvedUpArrow">
          <a:avLst>
            <a:gd name="adj1" fmla="val 31182"/>
            <a:gd name="adj2" fmla="val 77930"/>
            <a:gd name="adj3" fmla="val 50000"/>
          </a:avLst>
        </a:prstGeom>
        <a:solidFill>
          <a:srgbClr val="FFFFFF"/>
        </a:solidFill>
        <a:ln w="190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1890</xdr:colOff>
      <xdr:row>3</xdr:row>
      <xdr:rowOff>150568</xdr:rowOff>
    </xdr:from>
    <xdr:to>
      <xdr:col>35</xdr:col>
      <xdr:colOff>253519</xdr:colOff>
      <xdr:row>6</xdr:row>
      <xdr:rowOff>9043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702119">
          <a:off x="10788953" y="722068"/>
          <a:ext cx="942191" cy="429975"/>
        </a:xfrm>
        <a:prstGeom prst="rect">
          <a:avLst/>
        </a:prstGeom>
        <a:solidFill>
          <a:sysClr val="window" lastClr="FFFFFF"/>
        </a:solidFill>
        <a:ln w="28575" cmpd="sng">
          <a:solidFill>
            <a:srgbClr val="FF0000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rgbClr val="FF0000"/>
              </a:solidFill>
            </a:rPr>
            <a:t>FILTRO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3513" cy="59923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296396</xdr:colOff>
      <xdr:row>8</xdr:row>
      <xdr:rowOff>158563</xdr:rowOff>
    </xdr:from>
    <xdr:to>
      <xdr:col>19</xdr:col>
      <xdr:colOff>276225</xdr:colOff>
      <xdr:row>29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4" displayName="Tabela4" ref="C1:Z575" totalsRowShown="0" headerRowDxfId="277" dataDxfId="276">
  <autoFilter ref="C1:Z575" xr:uid="{00000000-0009-0000-0100-000004000000}"/>
  <tableColumns count="24">
    <tableColumn id="1" xr3:uid="{00000000-0010-0000-0000-000001000000}" name="Cabo" dataDxfId="275">
      <calculatedColumnFormula>IF($B$1="Geral",Tabela1[[#This Row],[Tag do Cabo]],IFERROR(INDEX(INDIRECT("BD!$A"&amp;D2&amp;":$A100000"),E2,1),""))</calculatedColumnFormula>
    </tableColumn>
    <tableColumn id="2" xr3:uid="{00000000-0010-0000-0000-000002000000}" name="Start" dataDxfId="274">
      <calculatedColumnFormula>IFERROR(D1+E1,"")</calculatedColumnFormula>
    </tableColumn>
    <tableColumn id="3" xr3:uid="{00000000-0010-0000-0000-000003000000}" name="Corresp" dataDxfId="273">
      <calculatedColumnFormula>IFERROR(MATCH($B$1,INDIRECT("BD!$J"&amp;D2&amp;":$J100000"),0),"")</calculatedColumnFormula>
    </tableColumn>
    <tableColumn id="4" xr3:uid="{00000000-0010-0000-0000-000004000000}" name="Tipo" dataDxfId="272">
      <calculatedColumnFormula>IFERROR(VLOOKUP(Tabela4[[#This Row],[Cabo]],BD!A:V,2,0),"")</calculatedColumnFormula>
    </tableColumn>
    <tableColumn id="5" xr3:uid="{00000000-0010-0000-0000-000005000000}" name="Formação" dataDxfId="271">
      <calculatedColumnFormula>IFERROR(VLOOKUP(Tabela4[[#This Row],[Cabo]],BD!A:V,5,0),"")</calculatedColumnFormula>
    </tableColumn>
    <tableColumn id="6" xr3:uid="{00000000-0010-0000-0000-000006000000}" name="Tensão" dataDxfId="270">
      <calculatedColumnFormula>IFERROR(VLOOKUP(Tabela4[[#This Row],[Cabo]],BD!A:V,3,0),"")</calculatedColumnFormula>
    </tableColumn>
    <tableColumn id="7" xr3:uid="{00000000-0010-0000-0000-000007000000}" name="Isolamento" dataDxfId="269">
      <calculatedColumnFormula>IFERROR(VLOOKUP(Tabela4[[#This Row],[Cabo]],BD!A:V,4,0),"")</calculatedColumnFormula>
    </tableColumn>
    <tableColumn id="18" xr3:uid="{00000000-0010-0000-0000-000012000000}" name="Lances Totais" dataDxfId="268">
      <calculatedColumnFormula>IFERROR(VLOOKUP(Tabela4[[#This Row],[Cabo]],BD!A:V,7,0),"")</calculatedColumnFormula>
    </tableColumn>
    <tableColumn id="19" xr3:uid="{00000000-0010-0000-0000-000013000000}" name="Lances Realizados" dataDxfId="267">
      <calculatedColumnFormula>IFERROR(IF(ROUNDDOWN(Tabela4[[#This Row],[%Lanç]]*Tabela4[[#This Row],[Lances Totais]],0)&gt;Tabela4[[#This Row],[Lances Totais]],Tabela4[[#This Row],[Lances Totais]],ROUNDDOWN(Tabela4[[#This Row],[%Lanç]]*Tabela4[[#This Row],[Lances Totais]],0)),"")</calculatedColumnFormula>
    </tableColumn>
    <tableColumn id="8" xr3:uid="{00000000-0010-0000-0000-000008000000}" name="Compr. Prev." dataDxfId="266">
      <calculatedColumnFormula>IFERROR(VLOOKUP(Tabela4[[#This Row],[Cabo]],BD!A:V,9,0),"")</calculatedColumnFormula>
    </tableColumn>
    <tableColumn id="24" xr3:uid="{00000000-0010-0000-0000-000018000000}" name="Compr. Real" dataDxfId="265">
      <calculatedColumnFormula>IFERROR(VLOOKUP(Tabela4[[#This Row],[Cabo]],BD!A:AD,30,0),"")</calculatedColumnFormula>
    </tableColumn>
    <tableColumn id="16" xr3:uid="{00000000-0010-0000-0000-000010000000}" name="Compr. Lançado" dataDxfId="264">
      <calculatedColumnFormula>IF(SUMIF('Lançamento de Cabos'!B:B,Tabela4[[#This Row],[Cabo]],'Lançamento de Cabos'!C:C)=0,"",SUMIF('Lançamento de Cabos'!B:B,Tabela4[[#This Row],[Cabo]],'Lançamento de Cabos'!C:C))</calculatedColumnFormula>
    </tableColumn>
    <tableColumn id="17" xr3:uid="{00000000-0010-0000-0000-000011000000}" name="%Lanç" dataDxfId="263">
      <calculatedColumnFormula>IFERROR(IF(Tabela4[[#This Row],[Compr. Lançado]]/Tabela4[[#This Row],[Compr. Prev.]]&gt;1,1,Tabela4[[#This Row],[Compr. Lançado]]/Tabela4[[#This Row],[Compr. Prev.]]),"")</calculatedColumnFormula>
    </tableColumn>
    <tableColumn id="9" xr3:uid="{00000000-0010-0000-0000-000009000000}" name="DE" dataDxfId="262">
      <calculatedColumnFormula>IFERROR(VLOOKUP(Tabela4[[#This Row],[Cabo]],BD!A:V,11,0),"")</calculatedColumnFormula>
    </tableColumn>
    <tableColumn id="10" xr3:uid="{00000000-0010-0000-0000-00000A000000}" name="PARA" dataDxfId="261">
      <calculatedColumnFormula>IFERROR(VLOOKUP(Tabela4[[#This Row],[Cabo]],BD!A:V,12,0),"")</calculatedColumnFormula>
    </tableColumn>
    <tableColumn id="11" xr3:uid="{00000000-0010-0000-0000-00000B000000}" name="Teste de Continuidade" dataDxfId="260">
      <calculatedColumnFormula>IF(Tabela4[[#This Row],[Cabo]]&lt;&gt;"",IFERROR(VLOOKUP(Tabela4[[#This Row],[Cabo]]&amp;"-1",'Lançamento de Cabos'!$S:$T,2,0),IF(VLOOKUP(Tabela4[[#This Row],[Cabo]],BD!A:V,13,0)="---","---","")),"")</calculatedColumnFormula>
    </tableColumn>
    <tableColumn id="12" xr3:uid="{00000000-0010-0000-0000-00000C000000}" name="Born a Born" dataDxfId="259">
      <calculatedColumnFormula>IF(Tabela4[[#This Row],[Cabo]]&lt;&gt;"",IFERROR(VLOOKUP(Tabela4[[#This Row],[Cabo]]&amp;"-2",'Lançamento de Cabos'!$S:$T,2,0),IF(VLOOKUP(Tabela4[[#This Row],[Cabo]],BD!A:V,14,0)="---","---","")),"")</calculatedColumnFormula>
    </tableColumn>
    <tableColumn id="13" xr3:uid="{00000000-0010-0000-0000-00000D000000}" name="Megger" dataDxfId="258">
      <calculatedColumnFormula>IF(Tabela4[[#This Row],[Cabo]]&lt;&gt;"",IFERROR(VLOOKUP(Tabela4[[#This Row],[Cabo]]&amp;"-3",'Lançamento de Cabos'!$S:$T,2,0),IF(VLOOKUP(Tabela4[[#This Row],[Cabo]],BD!A:V,15,0)="---","---","")),"")</calculatedColumnFormula>
    </tableColumn>
    <tableColumn id="14" xr3:uid="{00000000-0010-0000-0000-00000E000000}" name="Hipot" dataDxfId="257">
      <calculatedColumnFormula>IF(Tabela4[[#This Row],[Cabo]]&lt;&gt;"",IFERROR(VLOOKUP(Tabela4[[#This Row],[Cabo]]&amp;"-4",'Lançamento de Cabos'!$S:$T,2,0),IF(VLOOKUP(Tabela4[[#This Row],[Cabo]],BD!A:V,16,0)="---","---","")),"")</calculatedColumnFormula>
    </tableColumn>
    <tableColumn id="20" xr3:uid="{00000000-0010-0000-0000-000014000000}" name="QTDE Teste" dataDxfId="256">
      <calculatedColumnFormula>IF(Tabela4[[#This Row],[Cabo]]&lt;&gt;"",4-COUNTIF(Tabela4[[#This Row],[Teste de Continuidade]:[Hipot]],"---"),"")</calculatedColumnFormula>
    </tableColumn>
    <tableColumn id="21" xr3:uid="{00000000-0010-0000-0000-000015000000}" name="% de Testes Realizados" dataDxfId="255" dataCellStyle="Porcentagem">
      <calculatedColumnFormula>IF(Tabela4[[#This Row],[Cabo]]&lt;&gt;"",(COUNTIF(Tabela4[[#This Row],[Teste de Continuidade]:[Hipot]],"OK"))/(4-COUNTIF(Tabela4[[#This Row],[Teste de Continuidade]:[Hipot]],"---")),"")</calculatedColumnFormula>
    </tableColumn>
    <tableColumn id="15" xr3:uid="{00000000-0010-0000-0000-00000F000000}" name="Terminações" dataDxfId="254">
      <calculatedColumnFormula>IF(Tabela4[[#This Row],[Cabo]]&lt;&gt;"",SUMIFS('Lançamento de Cabos'!$AF:$AF,'Lançamento de Cabos'!AE:AE,Tabela4[[#This Row],[Cabo]],'Lançamento de Cabos'!AJ:AJ,Área!$B$1),"")</calculatedColumnFormula>
    </tableColumn>
    <tableColumn id="22" xr3:uid="{00000000-0010-0000-0000-000016000000}" name="Ligações" dataDxfId="253">
      <calculatedColumnFormula>IF(Tabela4[[#This Row],[Cabo]]&lt;&gt;"",SUMIFS('Lançamento de Cabos'!$AG:$AG,'Lançamento de Cabos'!AE:AE,Tabela4[[#This Row],[Cabo]],'Lançamento de Cabos'!AJ:AJ,Área!$B$1),"")</calculatedColumnFormula>
    </tableColumn>
    <tableColumn id="23" xr3:uid="{00000000-0010-0000-0000-000017000000}" name="Disponibilidade" dataDxfId="252">
      <calculatedColumnFormula>VLOOKUP(Tabela4[[#This Row],[Cabo]],BD!A:AB,28,0)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1:AL501" totalsRowShown="0" headerRowDxfId="235" dataDxfId="234">
  <autoFilter ref="A1:AL501" xr:uid="{00000000-0009-0000-0100-000001000000}"/>
  <tableColumns count="38">
    <tableColumn id="1" xr3:uid="{00000000-0010-0000-0100-000001000000}" name="Tag do Cabo" dataDxfId="233"/>
    <tableColumn id="6" xr3:uid="{00000000-0010-0000-0100-000006000000}" name="Tipo" dataDxfId="232"/>
    <tableColumn id="12" xr3:uid="{00000000-0010-0000-0100-00000C000000}" name="Tensão do Circuito" dataDxfId="231"/>
    <tableColumn id="13" xr3:uid="{00000000-0010-0000-0100-00000D000000}" name="Classe Isolamento" dataDxfId="230"/>
    <tableColumn id="9" xr3:uid="{00000000-0010-0000-0100-000009000000}" name="Formação" dataDxfId="229"/>
    <tableColumn id="23" xr3:uid="{00000000-0010-0000-0100-000017000000}" name="Bitola (mm²)" dataDxfId="228"/>
    <tableColumn id="10" xr3:uid="{00000000-0010-0000-0100-00000A000000}" name="Qtd de Lances" dataDxfId="227"/>
    <tableColumn id="11" xr3:uid="{00000000-0010-0000-0100-00000B000000}" name="Comprimento Lance" dataDxfId="226"/>
    <tableColumn id="5" xr3:uid="{00000000-0010-0000-0100-000005000000}" name="Comprimento Total" dataDxfId="225"/>
    <tableColumn id="14" xr3:uid="{00000000-0010-0000-0100-00000E000000}" name="Local para Curva de Acomp." dataDxfId="224"/>
    <tableColumn id="7" xr3:uid="{00000000-0010-0000-0100-000007000000}" name="DE" dataDxfId="223"/>
    <tableColumn id="8" xr3:uid="{00000000-0010-0000-0100-000008000000}" name="PARA" dataDxfId="222"/>
    <tableColumn id="15" xr3:uid="{00000000-0010-0000-0100-00000F000000}" name="Teste de Continuidade" dataDxfId="221">
      <calculatedColumnFormula>IF(AND(C2&gt;1000,D2="8,7/15"),"---","Sim")</calculatedColumnFormula>
    </tableColumn>
    <tableColumn id="16" xr3:uid="{00000000-0010-0000-0100-000010000000}" name="Born a Born" dataDxfId="220">
      <calculatedColumnFormula>"Sim"</calculatedColumnFormula>
    </tableColumn>
    <tableColumn id="17" xr3:uid="{00000000-0010-0000-0100-000011000000}" name="Megger" dataDxfId="219">
      <calculatedColumnFormula>IF(OR(C2&lt;1000,C2="-"),"---","Sim")</calculatedColumnFormula>
    </tableColumn>
    <tableColumn id="18" xr3:uid="{00000000-0010-0000-0100-000012000000}" name="Hipot" dataDxfId="218">
      <calculatedColumnFormula>IF(OR(C2&lt;1000,C2="-"),"---","Sim")</calculatedColumnFormula>
    </tableColumn>
    <tableColumn id="24" xr3:uid="{00000000-0010-0000-0100-000018000000}" name="Item Medição" dataDxfId="217"/>
    <tableColumn id="20" xr3:uid="{00000000-0010-0000-0100-000014000000}" name="Qtde. Lançada" dataDxfId="216">
      <calculatedColumnFormula>SUMIF('Lançamento de Cabos'!$B:$B,Tabela1[[#This Row],[Tag do Cabo]],'Lançamento de Cabos'!$C:$C)</calculatedColumnFormula>
    </tableColumn>
    <tableColumn id="19" xr3:uid="{00000000-0010-0000-0100-000013000000}" name="Qtde Ligações" dataDxfId="215">
      <calculatedColumnFormula>VLOOKUP(Tabela1[[#This Row],[Tag do Cabo]],'Diagramas Ligações'!A:V,14,0)</calculatedColumnFormula>
    </tableColumn>
    <tableColumn id="2" xr3:uid="{00000000-0010-0000-0100-000002000000}" name="Lista de Cabos" dataDxfId="214"/>
    <tableColumn id="3" xr3:uid="{00000000-0010-0000-0100-000003000000}" name="Revisão" dataDxfId="213"/>
    <tableColumn id="4" xr3:uid="{00000000-0010-0000-0100-000004000000}" name="Luvas/Anilhas" dataDxfId="212"/>
    <tableColumn id="27" xr3:uid="{00000000-0010-0000-0100-00001B000000}" name="ID_Atividade" dataDxfId="211"/>
    <tableColumn id="21" xr3:uid="{00000000-0010-0000-0100-000015000000}" name="Data de Solcitação do Cabo" dataDxfId="210"/>
    <tableColumn id="25" xr3:uid="{00000000-0010-0000-0100-000019000000}" name="Data de Liberação dos Cabos" dataDxfId="209"/>
    <tableColumn id="26" xr3:uid="{00000000-0010-0000-0100-00001A000000}" name="Histórico" dataDxfId="208"/>
    <tableColumn id="29" xr3:uid="{00000000-0010-0000-0100-00001D000000}" name="Bobina" dataDxfId="207"/>
    <tableColumn id="30" xr3:uid="{00000000-0010-0000-0100-00001E000000}" name="Disponibilidade" dataDxfId="206">
      <calculatedColumnFormula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calculatedColumnFormula>
    </tableColumn>
    <tableColumn id="22" xr3:uid="{00000000-0010-0000-0100-000016000000}" name="Programação" dataDxfId="205">
      <calculatedColumnFormula>VLOOKUP(Tabela1[[#This Row],[Tag do Cabo]],'PR-LC-0001'!A:A,1,FALSE)</calculatedColumnFormula>
    </tableColumn>
    <tableColumn id="28" xr3:uid="{00000000-0010-0000-0100-00001C000000}" name="Comprimento Real" dataDxfId="204">
      <calculatedColumnFormula>IF(Tabela1[[#This Row],[Qtde. Lançada]]&gt;Tabela1[[#This Row],[Comprimento Total]],Tabela1[[#This Row],[Qtde. Lançada]],Tabela1[[#This Row],[Comprimento Total]])</calculatedColumnFormula>
    </tableColumn>
    <tableColumn id="31" xr3:uid="{00000000-0010-0000-0100-00001F000000}" name="Sinal" dataDxfId="203"/>
    <tableColumn id="32" xr3:uid="{00000000-0010-0000-0100-000020000000}" name="Circuito" dataDxfId="202"/>
    <tableColumn id="33" xr3:uid="{00000000-0010-0000-0100-000021000000}" name="Ligações Realizadas" dataDxfId="201">
      <calculatedColumnFormula>SUMIF('Lançamento de Cabos'!AE:AK,Tabela1[[#This Row],[Tag do Cabo]],'Lançamento de Cabos'!AG:AG)</calculatedColumnFormula>
    </tableColumn>
    <tableColumn id="34" xr3:uid="{00000000-0010-0000-0100-000022000000}" name="%Ligações" dataDxfId="200">
      <calculatedColumnFormula>IFERROR(VLOOKUP(Tabela1[[#This Row],[Tag do Cabo]],'Lançamento de Cabos'!AE:AK,7,0),0)</calculatedColumnFormula>
    </tableColumn>
    <tableColumn id="35" xr3:uid="{00000000-0010-0000-0100-000023000000}" name="Diagrama de Ligação" dataDxfId="199"/>
    <tableColumn id="38" xr3:uid="{00000000-0010-0000-0100-000026000000}" name="Folha DI" dataDxfId="198"/>
    <tableColumn id="36" xr3:uid="{00000000-0010-0000-0100-000024000000}" name="NE" dataDxfId="197"/>
    <tableColumn id="37" xr3:uid="{00000000-0010-0000-0100-000025000000}" name="OBS" dataDxfId="19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a2" displayName="Tabela2" ref="A1:L427" totalsRowShown="0" headerRowDxfId="187">
  <autoFilter ref="A1:L427" xr:uid="{00000000-0009-0000-0100-000002000000}"/>
  <tableColumns count="12">
    <tableColumn id="1" xr3:uid="{00000000-0010-0000-0200-000001000000}" name="ID_Lnc" dataDxfId="186"/>
    <tableColumn id="2" xr3:uid="{00000000-0010-0000-0200-000002000000}" name="Tag" dataDxfId="185"/>
    <tableColumn id="3" xr3:uid="{00000000-0010-0000-0200-000003000000}" name="Metragem" dataDxfId="184"/>
    <tableColumn id="4" xr3:uid="{00000000-0010-0000-0200-000004000000}" name="Data" dataDxfId="183"/>
    <tableColumn id="6" xr3:uid="{00000000-0010-0000-0200-000006000000}" name="Tipo" dataDxfId="182">
      <calculatedColumnFormula>VLOOKUP(Tabela2[[#This Row],[Tag]],BD!$A:$B,2,0)</calculatedColumnFormula>
    </tableColumn>
    <tableColumn id="7" xr3:uid="{00000000-0010-0000-0200-000007000000}" name="Área" dataDxfId="181">
      <calculatedColumnFormula>VLOOKUP(Tabela2[[#This Row],[Tag]],BD!A:J,10,0)</calculatedColumnFormula>
    </tableColumn>
    <tableColumn id="9" xr3:uid="{00000000-0010-0000-0200-000009000000}" name="Lista" dataDxfId="180">
      <calculatedColumnFormula>VLOOKUP(Tabela2[[#This Row],[Tag]],BD!$A:$V,20,0)</calculatedColumnFormula>
    </tableColumn>
    <tableColumn id="5" xr3:uid="{00000000-0010-0000-0200-000005000000}" name="Medição" dataDxfId="179">
      <calculatedColumnFormula>IF(VLOOKUP(Tabela2[[#This Row],[Tag]],BD!A:T,17,0)=0,"",VLOOKUP(Tabela2[[#This Row],[Tag]],BD!A:T,17,0))</calculatedColumnFormula>
    </tableColumn>
    <tableColumn id="8" xr3:uid="{00000000-0010-0000-0200-000008000000}" name="Mês Medição" dataDxfId="178"/>
    <tableColumn id="10" xr3:uid="{00000000-0010-0000-0200-00000A000000}" name="Comprim. Real" dataDxfId="177">
      <calculatedColumnFormula>VLOOKUP(Tabela2[[#This Row],[Tag]],BD!$A:$AE,30,0)</calculatedColumnFormula>
    </tableColumn>
    <tableColumn id="11" xr3:uid="{00000000-0010-0000-0200-00000B000000}" name="%Lançado" dataDxfId="176" dataCellStyle="Porcentagem">
      <calculatedColumnFormula>SUMIF(B:B,Tabela2[[#This Row],[Tag]],C:C)/Tabela2[[#This Row],[Comprim. Real]]</calculatedColumnFormula>
    </tableColumn>
    <tableColumn id="12" xr3:uid="{00000000-0010-0000-0200-00000C000000}" name="Circuito" dataDxfId="175" dataCellStyle="Porcentagem">
      <calculatedColumnFormula>VLOOKUP(Tabela2[[#This Row],[Tag]],BD!A:AF,32,0)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5" displayName="Tabela5" ref="N1:AB127" totalsRowShown="0" headerRowDxfId="174" dataDxfId="173">
  <autoFilter ref="N1:AB127" xr:uid="{00000000-0009-0000-0100-000005000000}"/>
  <tableColumns count="15">
    <tableColumn id="1" xr3:uid="{00000000-0010-0000-0300-000001000000}" name="ID_Tst" dataDxfId="172"/>
    <tableColumn id="2" xr3:uid="{00000000-0010-0000-0300-000002000000}" name="TAG" dataDxfId="171"/>
    <tableColumn id="3" xr3:uid="{00000000-0010-0000-0300-000003000000}" name="Teste" dataDxfId="170"/>
    <tableColumn id="4" xr3:uid="{00000000-0010-0000-0300-000004000000}" name="Data" dataDxfId="169"/>
    <tableColumn id="7" xr3:uid="{00000000-0010-0000-0300-000007000000}" name="COD_Test" dataDxfId="168">
      <calculatedColumnFormula>VLOOKUP(Tabela5[[#This Row],[Teste]],Referências!$D$2:$E$5,2,0)</calculatedColumnFormula>
    </tableColumn>
    <tableColumn id="8" xr3:uid="{00000000-0010-0000-0300-000008000000}" name="Cod_CT" dataDxfId="167">
      <calculatedColumnFormula>Tabela5[[#This Row],[TAG]]&amp;"-"&amp;Tabela5[[#This Row],[COD_Test]]</calculatedColumnFormula>
    </tableColumn>
    <tableColumn id="5" xr3:uid="{00000000-0010-0000-0300-000005000000}" name="Status" dataDxfId="166"/>
    <tableColumn id="6" xr3:uid="{00000000-0010-0000-0300-000006000000}" name="Área" dataDxfId="165">
      <calculatedColumnFormula>VLOOKUP(Tabela5[[#This Row],[TAG]],BD!A:J,10,0)</calculatedColumnFormula>
    </tableColumn>
    <tableColumn id="11" xr3:uid="{00000000-0010-0000-0300-00000B000000}" name="Formação" dataDxfId="164">
      <calculatedColumnFormula>VLOOKUP(Tabela5[[#This Row],[TAG]],BD!A:E,5,0)</calculatedColumnFormula>
    </tableColumn>
    <tableColumn id="9" xr3:uid="{00000000-0010-0000-0300-000009000000}" name="Condutores" dataDxfId="163"/>
    <tableColumn id="10" xr3:uid="{00000000-0010-0000-0300-00000A000000}" name="Lig." dataDxfId="162">
      <calculatedColumnFormula>VLOOKUP(Tabela5[[#This Row],[TAG]],$AE:$AK,7,0)</calculatedColumnFormula>
    </tableColumn>
    <tableColumn id="12" xr3:uid="{00000000-0010-0000-0300-00000C000000}" name="Born" dataDxfId="161">
      <calculatedColumnFormula>VLOOKUP(Tabela5[[#This Row],[TAG]],BD!A:P,14,0)</calculatedColumnFormula>
    </tableColumn>
    <tableColumn id="13" xr3:uid="{00000000-0010-0000-0300-00000D000000}" name="Megger" dataDxfId="160">
      <calculatedColumnFormula>VLOOKUP(Tabela5[[#This Row],[TAG]],BD!A:P,15,0)</calculatedColumnFormula>
    </tableColumn>
    <tableColumn id="14" xr3:uid="{00000000-0010-0000-0300-00000E000000}" name="Hipot" dataDxfId="159">
      <calculatedColumnFormula>VLOOKUP(Tabela5[[#This Row],[TAG]],BD!A:P,16,0)</calculatedColumnFormula>
    </tableColumn>
    <tableColumn id="15" xr3:uid="{00000000-0010-0000-0300-00000F000000}" name="Qualidade" dataDxfId="158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7" displayName="Tabela7" ref="AD1:AK146" totalsRowShown="0" headerRowDxfId="157" dataDxfId="156">
  <autoFilter ref="AD1:AK146" xr:uid="{00000000-0009-0000-0100-000007000000}"/>
  <tableColumns count="8">
    <tableColumn id="1" xr3:uid="{00000000-0010-0000-0400-000001000000}" name="ID_Lig" dataDxfId="155"/>
    <tableColumn id="2" xr3:uid="{00000000-0010-0000-0400-000002000000}" name="TAG" dataDxfId="154"/>
    <tableColumn id="3" xr3:uid="{00000000-0010-0000-0400-000003000000}" name="Terminações" dataDxfId="153"/>
    <tableColumn id="4" xr3:uid="{00000000-0010-0000-0400-000004000000}" name="Ligações" dataDxfId="152"/>
    <tableColumn id="5" xr3:uid="{00000000-0010-0000-0400-000005000000}" name="Data" dataDxfId="151"/>
    <tableColumn id="6" xr3:uid="{00000000-0010-0000-0400-000006000000}" name="Qtde Lig" dataDxfId="150">
      <calculatedColumnFormula>VLOOKUP(Tabela7[[#This Row],[TAG]],BD!$A:$V,19,0)</calculatedColumnFormula>
    </tableColumn>
    <tableColumn id="7" xr3:uid="{00000000-0010-0000-0400-000007000000}" name="Área" dataDxfId="149">
      <calculatedColumnFormula>VLOOKUP(Tabela7[[#This Row],[TAG]],BD!A:J,10,0)</calculatedColumnFormula>
    </tableColumn>
    <tableColumn id="8" xr3:uid="{00000000-0010-0000-0400-000008000000}" name="%" dataDxfId="148">
      <calculatedColumnFormula>SUMIF(AE:AE,Tabela7[[#This Row],[TAG]],AG:AG)/Tabela7[[#This Row],[Qtde Lig]]</calculatedColumnFormula>
    </tableColumn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ela11" displayName="Tabela11" ref="A1:V501" totalsRowShown="0" headerRowDxfId="138" dataDxfId="137">
  <autoFilter ref="A1:V501" xr:uid="{00000000-0009-0000-0100-00000A000000}">
    <filterColumn colId="10">
      <filters>
        <filter val="SIS-CCU-101-B"/>
      </filters>
    </filterColumn>
  </autoFilter>
  <tableColumns count="22">
    <tableColumn id="1" xr3:uid="{00000000-0010-0000-0500-000001000000}" name="Tag do Cabo" dataDxfId="136"/>
    <tableColumn id="2" xr3:uid="{00000000-0010-0000-0500-000002000000}" name="Tipo" dataDxfId="135">
      <calculatedColumnFormula>VLOOKUP(Tabela11[[#This Row],[Tag do Cabo]],BD!A:AJ,2,0)</calculatedColumnFormula>
    </tableColumn>
    <tableColumn id="3" xr3:uid="{00000000-0010-0000-0500-000003000000}" name="Formação" dataDxfId="134">
      <calculatedColumnFormula>VLOOKUP(Tabela11[[#This Row],[Tag do Cabo]],BD!A:AJ,5,0)</calculatedColumnFormula>
    </tableColumn>
    <tableColumn id="12" xr3:uid="{00000000-0010-0000-0500-00000C000000}" name="Verificação" dataDxfId="133"/>
    <tableColumn id="16" xr3:uid="{00000000-0010-0000-0500-000010000000}" name="Lista de Cabos" dataDxfId="132">
      <calculatedColumnFormula>VLOOKUP(Tabela11[[#This Row],[Tag do Cabo]],BD!A:T,20,0)</calculatedColumnFormula>
    </tableColumn>
    <tableColumn id="4" xr3:uid="{00000000-0010-0000-0500-000004000000}" name="Diagrama" dataDxfId="131">
      <calculatedColumnFormula>IF(VLOOKUP(Tabela11[[#This Row],[Tag do Cabo]],BD!A:AJ,35,0)=0,"Pendente",VLOOKUP(Tabela11[[#This Row],[Tag do Cabo]],BD!A:AJ,35,0))</calculatedColumnFormula>
    </tableColumn>
    <tableColumn id="5" xr3:uid="{00000000-0010-0000-0500-000005000000}" name="Folha DI" dataDxfId="130">
      <calculatedColumnFormula>IF(VLOOKUP(Tabela11[[#This Row],[Tag do Cabo]],BD!A:AJ,36,0)=0,"Pendente",VLOOKUP(Tabela11[[#This Row],[Tag do Cabo]],BD!A:AJ,36,0))</calculatedColumnFormula>
    </tableColumn>
    <tableColumn id="8" xr3:uid="{00000000-0010-0000-0500-000008000000}" name="Circuito" dataDxfId="129">
      <calculatedColumnFormula>VLOOKUP(Tabela11[[#This Row],[Tag do Cabo]],BD!A:AJ,32,0)</calculatedColumnFormula>
    </tableColumn>
    <tableColumn id="6" xr3:uid="{00000000-0010-0000-0500-000006000000}" name="DE" dataDxfId="128">
      <calculatedColumnFormula>VLOOKUP(Tabela11[[#This Row],[Tag do Cabo]],BD!A:AJ,11,0)</calculatedColumnFormula>
    </tableColumn>
    <tableColumn id="7" xr3:uid="{00000000-0010-0000-0500-000007000000}" name="PARA" dataDxfId="127">
      <calculatedColumnFormula>VLOOKUP(Tabela11[[#This Row],[Tag do Cabo]],BD!A:AJ,12,0)</calculatedColumnFormula>
    </tableColumn>
    <tableColumn id="9" xr3:uid="{00000000-0010-0000-0500-000009000000}" name="Painel 1" dataDxfId="126"/>
    <tableColumn id="10" xr3:uid="{00000000-0010-0000-0500-00000A000000}" name="Painel 2" dataDxfId="125"/>
    <tableColumn id="18" xr3:uid="{00000000-0010-0000-0500-000012000000}" name="Pesq. Painel" dataDxfId="124">
      <calculatedColumnFormula>CONCATENATE(Tabela11[[#This Row],[Painel 1]]&amp;" "&amp;Tabela11[[#This Row],[Painel 2]])</calculatedColumnFormula>
    </tableColumn>
    <tableColumn id="11" xr3:uid="{00000000-0010-0000-0500-00000B000000}" name="Qtde Ligações" dataDxfId="123"/>
    <tableColumn id="13" xr3:uid="{00000000-0010-0000-0500-00000D000000}" name="Qtde Anilhas" dataDxfId="122">
      <calculatedColumnFormula>COUNTIF(Tabela12[Tag Cabo],Tabela11[[#This Row],[Tag do Cabo]])</calculatedColumnFormula>
    </tableColumn>
    <tableColumn id="14" xr3:uid="{00000000-0010-0000-0500-00000E000000}" name="Verificação Anilhas" dataDxfId="121">
      <calculatedColumnFormula>IF(Tabela11[[#This Row],[Qtde Ligações]]&lt;&gt;Tabela11[[#This Row],[Qtde Anilhas]],"Ver","Ok")</calculatedColumnFormula>
    </tableColumn>
    <tableColumn id="17" xr3:uid="{00000000-0010-0000-0500-000011000000}" name="Bitola" dataDxfId="120">
      <calculatedColumnFormula>VLOOKUP(Tabela11[[#This Row],[Tag do Cabo]],BD!A:F,6,0)</calculatedColumnFormula>
    </tableColumn>
    <tableColumn id="19" xr3:uid="{00000000-0010-0000-0500-000013000000}" name="Ligações Realizadas" dataDxfId="119">
      <calculatedColumnFormula>SUMIF('Lançamento de Cabos'!AE:AE,Tabela11[[#This Row],[Tag do Cabo]],'Lançamento de Cabos'!AG:AG)</calculatedColumnFormula>
    </tableColumn>
    <tableColumn id="23" xr3:uid="{00000000-0010-0000-0500-000017000000}" name="% Ligações" dataDxfId="118">
      <calculatedColumnFormula>Tabela11[[#This Row],[Ligações Realizadas]]/Tabela11[[#This Row],[Qtde Ligações]]</calculatedColumnFormula>
    </tableColumn>
    <tableColumn id="21" xr3:uid="{00000000-0010-0000-0500-000015000000}" name="Ligações Realizadas Painel 1" dataDxfId="117" dataCellStyle="Porcentagem">
      <calculatedColumnFormula>IF(Tabela11[[#This Row],[Ligações Realizadas]]/Tabela11[[#This Row],[Qtde Ligações]]=0,0,IF(Tabela11[[#This Row],[Ligações Realizadas]]/Tabela11[[#This Row],[Qtde Ligações]]=1,ROUND(N2/2,0),"Ver Painel"))</calculatedColumnFormula>
    </tableColumn>
    <tableColumn id="22" xr3:uid="{00000000-0010-0000-0500-000016000000}" name="Ligações Realizadas Painel 2" dataDxfId="116">
      <calculatedColumnFormula>IF(Tabela11[[#This Row],[Ligações Realizadas]]/Tabela11[[#This Row],[Qtde Ligações]]=0,0,IF(Tabela11[[#This Row],[Ligações Realizadas]]/Tabela11[[#This Row],[Qtde Ligações]]=1,ROUND(N2/2,0),"Ver Painel"))</calculatedColumnFormula>
    </tableColumn>
    <tableColumn id="15" xr3:uid="{00000000-0010-0000-0500-00000F000000}" name="Observação" dataDxfId="115"/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ela12" displayName="Tabela12" ref="A1:J2995" totalsRowShown="0" headerRowDxfId="111" dataDxfId="110">
  <autoFilter ref="A1:J2995" xr:uid="{00000000-0009-0000-0100-00000B000000}"/>
  <tableColumns count="10">
    <tableColumn id="1" xr3:uid="{00000000-0010-0000-0600-000001000000}" name="Tag Cabo" dataDxfId="109"/>
    <tableColumn id="9" xr3:uid="{00000000-0010-0000-0600-000009000000}" name="Local" dataDxfId="108">
      <calculatedColumnFormula>VLOOKUP(Tabela12[[#This Row],[Painel]],Tabela13[],2,0)</calculatedColumnFormula>
    </tableColumn>
    <tableColumn id="6" xr3:uid="{00000000-0010-0000-0600-000006000000}" name="Painel" dataDxfId="107"/>
    <tableColumn id="2" xr3:uid="{00000000-0010-0000-0600-000002000000}" name="Régua" dataDxfId="106"/>
    <tableColumn id="3" xr3:uid="{00000000-0010-0000-0600-000003000000}" name="Born" dataDxfId="105"/>
    <tableColumn id="4" xr3:uid="{00000000-0010-0000-0600-000004000000}" name="Anilha" dataDxfId="104">
      <calculatedColumnFormula>Tabela12[[#This Row],[Régua]]&amp;" ("&amp;Tabela12[[#This Row],[Born]]&amp;")"</calculatedColumnFormula>
    </tableColumn>
    <tableColumn id="5" xr3:uid="{00000000-0010-0000-0600-000005000000}" name="Char" dataDxfId="103">
      <calculatedColumnFormula>LEN(Tabela12[[#This Row],[Anilha]])</calculatedColumnFormula>
    </tableColumn>
    <tableColumn id="7" xr3:uid="{00000000-0010-0000-0600-000007000000}" name="Bitola (mm²)" dataDxfId="102">
      <calculatedColumnFormula>VLOOKUP(Tabela12[[#This Row],[Tag Cabo]],BD!A:F,6,0)</calculatedColumnFormula>
    </tableColumn>
    <tableColumn id="8" xr3:uid="{00000000-0010-0000-0600-000008000000}" name="Tipo Anilha" dataDxfId="101"/>
    <tableColumn id="10" xr3:uid="{00000000-0010-0000-0600-00000A000000}" name="Status" dataDxfId="100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ela13" displayName="Tabela13" ref="A1:F187" totalsRowShown="0" headerRowDxfId="93" dataDxfId="91" headerRowBorderDxfId="92" tableBorderDxfId="90" totalsRowBorderDxfId="89">
  <autoFilter ref="A1:F187" xr:uid="{00000000-0009-0000-0100-00000C000000}"/>
  <tableColumns count="6">
    <tableColumn id="1" xr3:uid="{00000000-0010-0000-0700-000001000000}" name="Painel" dataDxfId="88"/>
    <tableColumn id="2" xr3:uid="{00000000-0010-0000-0700-000002000000}" name="Local" dataDxfId="87"/>
    <tableColumn id="3" xr3:uid="{00000000-0010-0000-0700-000003000000}" name="Total de Ligações" dataDxfId="86">
      <calculatedColumnFormula>ROUND((SUMIF('Diagramas Ligações'!$K:$K,Painéis!$A2,'Diagramas Ligações'!$N:$N)/2)+(SUMIF('Diagramas Ligações'!$L:$L,Painéis!$A2,'Diagramas Ligações'!$N:$N)/2),0)</calculatedColumnFormula>
    </tableColumn>
    <tableColumn id="6" xr3:uid="{00000000-0010-0000-0700-000006000000}" name="Ligações Realizadas" dataDxfId="85">
      <calculatedColumnFormula>(SUMIF('Diagramas Ligações'!$K:$K,Painéis!$A2,'Diagramas Ligações'!$T:$T))+(SUMIF('Diagramas Ligações'!$L:$L,Painéis!$A2,'Diagramas Ligações'!$U:$U))</calculatedColumnFormula>
    </tableColumn>
    <tableColumn id="4" xr3:uid="{00000000-0010-0000-0700-000004000000}" name="Status" dataDxfId="84"/>
    <tableColumn id="5" xr3:uid="{00000000-0010-0000-0700-000005000000}" name="FASE" dataDxfId="83"/>
  </tableColumns>
  <tableStyleInfo name="TableStyleMedium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ela14" displayName="Tabela14" ref="H1:K24" totalsRowShown="0" headerRowDxfId="82" dataDxfId="80" headerRowBorderDxfId="81" tableBorderDxfId="79" totalsRowBorderDxfId="78">
  <autoFilter ref="H1:K24" xr:uid="{00000000-0009-0000-0100-00000D000000}"/>
  <sortState xmlns:xlrd2="http://schemas.microsoft.com/office/spreadsheetml/2017/richdata2" ref="H2:J24">
    <sortCondition descending="1" ref="I1:I24"/>
  </sortState>
  <tableColumns count="4">
    <tableColumn id="1" xr3:uid="{00000000-0010-0000-0800-000001000000}" name="Local" dataDxfId="77"/>
    <tableColumn id="2" xr3:uid="{00000000-0010-0000-0800-000002000000}" name="Total de Ligações" dataDxfId="76">
      <calculatedColumnFormula>SUMIF(B:B,H2,C:C)</calculatedColumnFormula>
    </tableColumn>
    <tableColumn id="3" xr3:uid="{00000000-0010-0000-0800-000003000000}" name="Ligações Realizadas" dataDxfId="75">
      <calculatedColumnFormula>SUMIF(B:B,H2,D:D)</calculatedColumnFormula>
    </tableColumn>
    <tableColumn id="4" xr3:uid="{00000000-0010-0000-0800-000004000000}" name="%" dataDxfId="74">
      <calculatedColumnFormula>Tabela14[[#This Row],[Ligações Realizadas]]/Tabela14[[#This Row],[Total de Ligações]]</calculatedColumnFormula>
    </tableColumn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9000000}" name="Tabela15" displayName="Tabela15" ref="M1:R8" totalsRowShown="0" headerRowDxfId="73" headerRowBorderDxfId="72" tableBorderDxfId="71" totalsRowBorderDxfId="70">
  <autoFilter ref="M1:R8" xr:uid="{00000000-0009-0000-0100-00000E000000}"/>
  <tableColumns count="6">
    <tableColumn id="1" xr3:uid="{00000000-0010-0000-0900-000001000000}" name="Painel" dataDxfId="69"/>
    <tableColumn id="2" xr3:uid="{00000000-0010-0000-0900-000002000000}" name="Fase" dataDxfId="68"/>
    <tableColumn id="3" xr3:uid="{00000000-0010-0000-0900-000003000000}" name="Total de Ligações" dataDxfId="67">
      <calculatedColumnFormula>SUMIFS(C:C,E:E,M2,F:F,N2)</calculatedColumnFormula>
    </tableColumn>
    <tableColumn id="4" xr3:uid="{00000000-0010-0000-0900-000004000000}" name="Ligações Realizadas" dataDxfId="66">
      <calculatedColumnFormula>SUMIFS(D:D,E:E,M2,F:F,N2)</calculatedColumnFormula>
    </tableColumn>
    <tableColumn id="6" xr3:uid="{00000000-0010-0000-0900-000006000000}" name="Saldo" dataDxfId="65">
      <calculatedColumnFormula>Tabela15[[#This Row],[Total de Ligações]]-Tabela15[[#This Row],[Ligações Realizadas]]</calculatedColumnFormula>
    </tableColumn>
    <tableColumn id="5" xr3:uid="{00000000-0010-0000-0900-000005000000}" name="%" dataDxfId="64">
      <calculatedColumnFormula>IFERROR(Tabela15[[#This Row],[Ligações Realizadas]]/Tabela15[[#This Row],[Total de Ligações]],0)</calculatedColumnFormula>
    </tableColumn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Tabela16" displayName="Tabela16" ref="V1:AA182" totalsRowShown="0" headerRowDxfId="63" dataDxfId="61" headerRowBorderDxfId="62" tableBorderDxfId="60" totalsRowBorderDxfId="59">
  <autoFilter ref="V1:AA182" xr:uid="{00000000-0009-0000-0100-000010000000}"/>
  <tableColumns count="6">
    <tableColumn id="1" xr3:uid="{00000000-0010-0000-0A00-000001000000}" name="Painel" dataDxfId="58"/>
    <tableColumn id="2" xr3:uid="{00000000-0010-0000-0A00-000002000000}" name="Local" dataDxfId="57"/>
    <tableColumn id="3" xr3:uid="{00000000-0010-0000-0A00-000003000000}" name="Força" dataDxfId="56">
      <calculatedColumnFormula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calculatedColumnFormula>
    </tableColumn>
    <tableColumn id="4" xr3:uid="{00000000-0010-0000-0A00-000004000000}" name="Controle" dataDxfId="55">
      <calculatedColumnFormula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calculatedColumnFormula>
    </tableColumn>
    <tableColumn id="5" xr3:uid="{00000000-0010-0000-0A00-000005000000}" name="FO" dataDxfId="54">
      <calculatedColumnFormula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calculatedColumnFormula>
    </tableColumn>
    <tableColumn id="6" xr3:uid="{00000000-0010-0000-0A00-000006000000}" name="Rede" dataDxfId="53">
      <calculatedColumnFormula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calculatedColumnFormula>
    </tableColumn>
  </tableColumns>
  <tableStyleInfo name="TableStyleMedium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B000000}" name="Tabela6" displayName="Tabela6" ref="A1:F7" totalsRowShown="0" headerRowDxfId="52" headerRowBorderDxfId="51" tableBorderDxfId="50" totalsRowBorderDxfId="49">
  <autoFilter ref="A1:F7" xr:uid="{00000000-0009-0000-0100-000006000000}"/>
  <tableColumns count="6">
    <tableColumn id="1" xr3:uid="{00000000-0010-0000-0B00-000001000000}" name="Indicador" dataDxfId="48"/>
    <tableColumn id="2" xr3:uid="{00000000-0010-0000-0B00-000002000000}" name="Força" dataDxfId="47"/>
    <tableColumn id="3" xr3:uid="{00000000-0010-0000-0B00-000003000000}" name="Controle" dataDxfId="46"/>
    <tableColumn id="8" xr3:uid="{00000000-0010-0000-0B00-000008000000}" name="FO" dataDxfId="45"/>
    <tableColumn id="7" xr3:uid="{00000000-0010-0000-0B00-000007000000}" name="Rede" dataDxfId="44"/>
    <tableColumn id="4" xr3:uid="{00000000-0010-0000-0B00-000004000000}" name="Geral" dataDxfId="43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C000000}" name="Tabela8" displayName="Tabela8" ref="A9:E30" totalsRowShown="0" headerRowDxfId="42" dataDxfId="40" headerRowBorderDxfId="41" tableBorderDxfId="39" totalsRowBorderDxfId="38">
  <autoFilter ref="A9:E30" xr:uid="{00000000-0009-0000-0100-000008000000}"/>
  <tableColumns count="5">
    <tableColumn id="1" xr3:uid="{00000000-0010-0000-0C00-000001000000}" name="Listas" dataDxfId="37"/>
    <tableColumn id="2" xr3:uid="{00000000-0010-0000-0C00-000002000000}" name="Revisão" dataDxfId="36">
      <calculatedColumnFormula>VLOOKUP(Tabela8[[#This Row],[Listas]],Tabela1[[Lista de Cabos]:[Revisão]],2,0)</calculatedColumnFormula>
    </tableColumn>
    <tableColumn id="3" xr3:uid="{00000000-0010-0000-0C00-000003000000}" name="Total" dataDxfId="35">
      <calculatedColumnFormula>SUMIFS(BD!$AD:$AD,BD!$T:$T,Indicadores!A10)</calculatedColumnFormula>
    </tableColumn>
    <tableColumn id="4" xr3:uid="{00000000-0010-0000-0C00-000004000000}" name="Lançado" dataDxfId="34">
      <calculatedColumnFormula>SUMIF('Lançamento de Cabos'!G:G,A10,'Lançamento de Cabos'!C:C)</calculatedColumnFormula>
    </tableColumn>
    <tableColumn id="5" xr3:uid="{00000000-0010-0000-0C00-000005000000}" name="%" dataDxfId="33" dataCellStyle="Porcentagem">
      <calculatedColumnFormula>IFERROR(IF(D10/C10&gt;1,1,D10/C10),0)</calculatedColumnFormula>
    </tableColumn>
  </tableColumns>
  <tableStyleInfo name="TableStyleMedium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D000000}" name="Tabela10" displayName="Tabela10" ref="A2:Q85" totalsRowShown="0" headerRowDxfId="30" dataDxfId="29">
  <autoFilter ref="A2:Q85" xr:uid="{00000000-0009-0000-0100-000009000000}"/>
  <sortState xmlns:xlrd2="http://schemas.microsoft.com/office/spreadsheetml/2017/richdata2" ref="A3:P106">
    <sortCondition ref="P3:P106"/>
    <sortCondition ref="B3:B106"/>
    <sortCondition ref="A3:A106"/>
  </sortState>
  <tableColumns count="17">
    <tableColumn id="1" xr3:uid="{00000000-0010-0000-0D00-000001000000}" name="Circuito" dataDxfId="28"/>
    <tableColumn id="5" xr3:uid="{00000000-0010-0000-0D00-000005000000}" name="Início" dataDxfId="27"/>
    <tableColumn id="6" xr3:uid="{00000000-0010-0000-0D00-000006000000}" name="Prazo" dataDxfId="26"/>
    <tableColumn id="2" xr3:uid="{00000000-0010-0000-0D00-000002000000}" name="Tensão" dataDxfId="25">
      <calculatedColumnFormula>VLOOKUP(Tabela10[[#This Row],[Circuito]],BD!A:T,3,FALSE)</calculatedColumnFormula>
    </tableColumn>
    <tableColumn id="3" xr3:uid="{00000000-0010-0000-0D00-000003000000}" name="Class. Isol." dataDxfId="24"/>
    <tableColumn id="7" xr3:uid="{00000000-0010-0000-0D00-000007000000}" name="Formação" dataDxfId="23"/>
    <tableColumn id="17" xr3:uid="{00000000-0010-0000-0D00-000011000000}" name="Sinal" dataDxfId="22"/>
    <tableColumn id="8" xr3:uid="{00000000-0010-0000-0D00-000008000000}" name="Compr. Lance" dataDxfId="21"/>
    <tableColumn id="9" xr3:uid="{00000000-0010-0000-0D00-000009000000}" name="Compr. Total" dataDxfId="20"/>
    <tableColumn id="14" xr3:uid="{00000000-0010-0000-0D00-00000E000000}" name="Bobina" dataDxfId="19">
      <calculatedColumnFormula>IF(VLOOKUP(Tabela10[[#This Row],[Circuito]],BD!A:AA,27,FALSE)=0,"",VLOOKUP(Tabela10[[#This Row],[Circuito]],BD!A:AA,27,FALSE))</calculatedColumnFormula>
    </tableColumn>
    <tableColumn id="10" xr3:uid="{00000000-0010-0000-0D00-00000A000000}" name="DE" dataDxfId="18"/>
    <tableColumn id="11" xr3:uid="{00000000-0010-0000-0D00-00000B000000}" name="PARA" dataDxfId="17"/>
    <tableColumn id="12" xr3:uid="{00000000-0010-0000-0D00-00000C000000}" name="Lista de Cabos" dataDxfId="16"/>
    <tableColumn id="4" xr3:uid="{00000000-0010-0000-0D00-000004000000}" name="Planta de Encaminhamento" dataDxfId="15"/>
    <tableColumn id="13" xr3:uid="{00000000-0010-0000-0D00-00000D000000}" name="Solicitação" dataDxfId="14">
      <calculatedColumnFormula>VLOOKUP(Tabela10[[#This Row],[Circuito]],BD!$A:$AB,28,0)</calculatedColumnFormula>
    </tableColumn>
    <tableColumn id="15" xr3:uid="{00000000-0010-0000-0D00-00000F000000}" name="Trajeto" dataDxfId="13"/>
    <tableColumn id="16" xr3:uid="{00000000-0010-0000-0D00-000010000000}" name="Coluna1" dataDxfId="12">
      <calculatedColumnFormula>VLOOKUP(Tabela10[[#This Row],[Circuito]],BD!A:AC,28,0)</calculatedColumnFormula>
    </tableColumn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ela3" displayName="Tabela3" ref="A1:D35" totalsRowShown="0" headerRowDxfId="11" dataDxfId="10">
  <autoFilter ref="A1:D35" xr:uid="{00000000-0009-0000-0100-000003000000}"/>
  <sortState xmlns:xlrd2="http://schemas.microsoft.com/office/spreadsheetml/2017/richdata2" ref="A2:D33">
    <sortCondition ref="A1:A33"/>
  </sortState>
  <tableColumns count="4">
    <tableColumn id="1" xr3:uid="{00000000-0010-0000-0E00-000001000000}" name="Lista" dataDxfId="9"/>
    <tableColumn id="2" xr3:uid="{00000000-0010-0000-0E00-000002000000}" name="Descrição" dataDxfId="8"/>
    <tableColumn id="3" xr3:uid="{00000000-0010-0000-0E00-000003000000}" name="Status" dataDxfId="7"/>
    <tableColumn id="4" xr3:uid="{00000000-0010-0000-0E00-000004000000}" name="Pendências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2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1"/>
  </sheetPr>
  <dimension ref="A1:Z575"/>
  <sheetViews>
    <sheetView topLeftCell="B1" zoomScale="85" zoomScaleNormal="85" workbookViewId="0">
      <selection activeCell="E2" sqref="E2"/>
    </sheetView>
  </sheetViews>
  <sheetFormatPr defaultRowHeight="15" x14ac:dyDescent="0.25"/>
  <cols>
    <col min="1" max="2" width="9.5703125" customWidth="1"/>
    <col min="3" max="3" width="22" bestFit="1" customWidth="1"/>
    <col min="4" max="4" width="9.140625" customWidth="1"/>
    <col min="5" max="5" width="10" customWidth="1"/>
    <col min="7" max="7" width="19" customWidth="1"/>
    <col min="8" max="8" width="11" bestFit="1" customWidth="1"/>
    <col min="9" max="9" width="14.28515625" bestFit="1" customWidth="1"/>
    <col min="10" max="11" width="9" customWidth="1"/>
    <col min="17" max="17" width="38" style="25" bestFit="1" customWidth="1"/>
    <col min="18" max="18" width="36.140625" style="25" bestFit="1" customWidth="1"/>
    <col min="19" max="19" width="10.42578125" customWidth="1"/>
    <col min="27" max="27" width="16" bestFit="1" customWidth="1"/>
  </cols>
  <sheetData>
    <row r="1" spans="1:26" ht="22.5" x14ac:dyDescent="0.25">
      <c r="A1" s="44" t="s">
        <v>0</v>
      </c>
      <c r="B1" s="44" t="str">
        <f>Dashboard!V6</f>
        <v>FIBRA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</row>
    <row r="2" spans="1:26" x14ac:dyDescent="0.25">
      <c r="C2" s="391" t="str">
        <f ca="1">IF($B$1="Geral",Tabela1[[#This Row],[Tag do Cabo]],IFERROR(INDEX(INDIRECT("BD!$A"&amp;D2&amp;":$A100000"),E2,1),""))</f>
        <v>1HVBUS3-ER1HV-001C</v>
      </c>
      <c r="D2" s="391">
        <v>1</v>
      </c>
      <c r="E2" s="391">
        <f t="shared" ref="E2:E33" ca="1" si="0">IFERROR(MATCH($B$1,INDIRECT("BD!$J"&amp;D2&amp;":$J100000"),0),"")</f>
        <v>4</v>
      </c>
      <c r="F2" s="391" t="str">
        <f ca="1">IFERROR(VLOOKUP(Tabela4[[#This Row],[Cabo]],BD!A:V,2,0),"")</f>
        <v>FO</v>
      </c>
      <c r="G2" s="22" t="str">
        <f ca="1">IFERROR(VLOOKUP(Tabela4[[#This Row],[Cabo]],BD!A:V,5,0),"")</f>
        <v>CORDÃO ÓPTICO</v>
      </c>
      <c r="H2" s="391" t="str">
        <f ca="1">IFERROR(VLOOKUP(Tabela4[[#This Row],[Cabo]],BD!A:V,3,0),"")</f>
        <v>-</v>
      </c>
      <c r="I2" s="391" t="str">
        <f ca="1">IFERROR(VLOOKUP(Tabela4[[#This Row],[Cabo]],BD!A:V,4,0),"")</f>
        <v>-</v>
      </c>
      <c r="J2" s="391">
        <f ca="1">IFERROR(VLOOKUP(Tabela4[[#This Row],[Cabo]],BD!A:V,7,0),"")</f>
        <v>1</v>
      </c>
      <c r="K2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2" s="23">
        <f ca="1">IFERROR(VLOOKUP(Tabela4[[#This Row],[Cabo]],BD!A:V,9,0),"")</f>
        <v>40</v>
      </c>
      <c r="M2" s="23">
        <f ca="1">IFERROR(VLOOKUP(Tabela4[[#This Row],[Cabo]],BD!A:AD,30,0),"")</f>
        <v>40</v>
      </c>
      <c r="N2" s="23">
        <f ca="1">IF(SUMIF('Lançamento de Cabos'!B:B,Tabela4[[#This Row],[Cabo]],'Lançamento de Cabos'!C:C)=0,"",SUMIF('Lançamento de Cabos'!B:B,Tabela4[[#This Row],[Cabo]],'Lançamento de Cabos'!C:C))</f>
        <v>40</v>
      </c>
      <c r="O2" s="28">
        <f ca="1">IFERROR(IF(Tabela4[[#This Row],[Compr. Lançado]]/Tabela4[[#This Row],[Compr. Prev.]]&gt;1,1,Tabela4[[#This Row],[Compr. Lançado]]/Tabela4[[#This Row],[Compr. Prev.]]),"")</f>
        <v>1</v>
      </c>
      <c r="P2" s="24" t="str">
        <f ca="1">IFERROR(VLOOKUP(Tabela4[[#This Row],[Cabo]],BD!A:V,11,0),"")</f>
        <v>1HV-BUS3</v>
      </c>
      <c r="Q2" s="24" t="str">
        <f ca="1">IFERROR(VLOOKUP(Tabela4[[#This Row],[Cabo]],BD!A:V,12,0),"")</f>
        <v>ER-3</v>
      </c>
      <c r="R2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" s="23">
        <f ca="1">IF(Tabela4[[#This Row],[Cabo]]&lt;&gt;"",4-COUNTIF(Tabela4[[#This Row],[Teste de Continuidade]:[Hipot]],"---"),"")</f>
        <v>0</v>
      </c>
      <c r="W2" s="29" t="e">
        <f ca="1">IF(Tabela4[[#This Row],[Cabo]]&lt;&gt;"",(COUNTIF(Tabela4[[#This Row],[Teste de Continuidade]:[Hipot]],"OK"))/(4-COUNTIF(Tabela4[[#This Row],[Teste de Continuidade]:[Hipot]],"---")),"")</f>
        <v>#DIV/0!</v>
      </c>
      <c r="X2" s="23">
        <f ca="1">IF(Tabela4[[#This Row],[Cabo]]&lt;&gt;"",SUMIFS('Lançamento de Cabos'!$AF:$AF,'Lançamento de Cabos'!AE:AE,Tabela4[[#This Row],[Cabo]],'Lançamento de Cabos'!AJ:AJ,Área!$B$1),"")</f>
        <v>0</v>
      </c>
      <c r="Y2" s="23">
        <f ca="1">IF(Tabela4[[#This Row],[Cabo]]&lt;&gt;"",SUMIFS('Lançamento de Cabos'!$AG:$AG,'Lançamento de Cabos'!AE:AE,Tabela4[[#This Row],[Cabo]],'Lançamento de Cabos'!AJ:AJ,Área!$B$1),"")</f>
        <v>0</v>
      </c>
      <c r="Z2" s="23" t="str">
        <f ca="1">VLOOKUP(Tabela4[[#This Row],[Cabo]],BD!A:AB,28,0)</f>
        <v>Disponível</v>
      </c>
    </row>
    <row r="3" spans="1:26" x14ac:dyDescent="0.25">
      <c r="C3" s="391" t="str">
        <f ca="1">IF($B$1="Geral",Tabela1[[#This Row],[Tag do Cabo]],IFERROR(INDEX(INDIRECT("BD!$A"&amp;D3&amp;":$A100000"),E3,1),""))</f>
        <v>1HVBUS3-ER1HV-002C</v>
      </c>
      <c r="D3" s="391">
        <f ca="1">IFERROR(D2+E2,"")</f>
        <v>5</v>
      </c>
      <c r="E3" s="391">
        <f t="shared" ca="1" si="0"/>
        <v>1</v>
      </c>
      <c r="F3" s="391" t="str">
        <f ca="1">IFERROR(VLOOKUP(Tabela4[[#This Row],[Cabo]],BD!A:V,2,0),"")</f>
        <v>FO</v>
      </c>
      <c r="G3" s="22" t="str">
        <f ca="1">IFERROR(VLOOKUP(Tabela4[[#This Row],[Cabo]],BD!A:V,5,0),"")</f>
        <v>CORDÃO ÓPTICO</v>
      </c>
      <c r="H3" s="391" t="str">
        <f ca="1">IFERROR(VLOOKUP(Tabela4[[#This Row],[Cabo]],BD!A:V,3,0),"")</f>
        <v>-</v>
      </c>
      <c r="I3" s="391" t="str">
        <f ca="1">IFERROR(VLOOKUP(Tabela4[[#This Row],[Cabo]],BD!A:V,4,0),"")</f>
        <v>-</v>
      </c>
      <c r="J3" s="391">
        <f ca="1">IFERROR(VLOOKUP(Tabela4[[#This Row],[Cabo]],BD!A:V,7,0),"")</f>
        <v>1</v>
      </c>
      <c r="K3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3" s="23">
        <f ca="1">IFERROR(VLOOKUP(Tabela4[[#This Row],[Cabo]],BD!A:V,9,0),"")</f>
        <v>40</v>
      </c>
      <c r="M3" s="23">
        <f ca="1">IFERROR(VLOOKUP(Tabela4[[#This Row],[Cabo]],BD!A:AD,30,0),"")</f>
        <v>40</v>
      </c>
      <c r="N3" s="23">
        <f ca="1">IF(SUMIF('Lançamento de Cabos'!B:B,Tabela4[[#This Row],[Cabo]],'Lançamento de Cabos'!C:C)=0,"",SUMIF('Lançamento de Cabos'!B:B,Tabela4[[#This Row],[Cabo]],'Lançamento de Cabos'!C:C))</f>
        <v>40</v>
      </c>
      <c r="O3" s="28">
        <f ca="1">IFERROR(IF(Tabela4[[#This Row],[Compr. Lançado]]/Tabela4[[#This Row],[Compr. Prev.]]&gt;1,1,Tabela4[[#This Row],[Compr. Lançado]]/Tabela4[[#This Row],[Compr. Prev.]]),"")</f>
        <v>1</v>
      </c>
      <c r="P3" s="24" t="str">
        <f ca="1">IFERROR(VLOOKUP(Tabela4[[#This Row],[Cabo]],BD!A:V,11,0),"")</f>
        <v>1HV-BUS3</v>
      </c>
      <c r="Q3" s="24" t="str">
        <f ca="1">IFERROR(VLOOKUP(Tabela4[[#This Row],[Cabo]],BD!A:V,12,0),"")</f>
        <v>ER-3</v>
      </c>
      <c r="R3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" s="23">
        <f ca="1">IF(Tabela4[[#This Row],[Cabo]]&lt;&gt;"",4-COUNTIF(Tabela4[[#This Row],[Teste de Continuidade]:[Hipot]],"---"),"")</f>
        <v>0</v>
      </c>
      <c r="W3" s="29" t="e">
        <f ca="1">IF(Tabela4[[#This Row],[Cabo]]&lt;&gt;"",(COUNTIF(Tabela4[[#This Row],[Teste de Continuidade]:[Hipot]],"OK"))/(4-COUNTIF(Tabela4[[#This Row],[Teste de Continuidade]:[Hipot]],"---")),"")</f>
        <v>#DIV/0!</v>
      </c>
      <c r="X3" s="23">
        <f ca="1">IF(Tabela4[[#This Row],[Cabo]]&lt;&gt;"",SUMIFS('Lançamento de Cabos'!$AF:$AF,'Lançamento de Cabos'!AE:AE,Tabela4[[#This Row],[Cabo]],'Lançamento de Cabos'!AJ:AJ,Área!$B$1),"")</f>
        <v>0</v>
      </c>
      <c r="Y3" s="23">
        <f ca="1">IF(Tabela4[[#This Row],[Cabo]]&lt;&gt;"",SUMIFS('Lançamento de Cabos'!$AG:$AG,'Lançamento de Cabos'!AE:AE,Tabela4[[#This Row],[Cabo]],'Lançamento de Cabos'!AJ:AJ,Área!$B$1),"")</f>
        <v>0</v>
      </c>
      <c r="Z3" s="23" t="str">
        <f ca="1">VLOOKUP(Tabela4[[#This Row],[Cabo]],BD!A:AB,28,0)</f>
        <v>Disponível</v>
      </c>
    </row>
    <row r="4" spans="1:26" x14ac:dyDescent="0.25">
      <c r="C4" s="391" t="str">
        <f ca="1">IF($B$1="Geral",Tabela1[[#This Row],[Tag do Cabo]],IFERROR(INDEX(INDIRECT("BD!$A"&amp;D4&amp;":$A100000"),E4,1),""))</f>
        <v>1HVBUS3-ER1HV-003C</v>
      </c>
      <c r="D4" s="391">
        <f t="shared" ref="D4:D67" ca="1" si="1">IFERROR(D3+E3,"")</f>
        <v>6</v>
      </c>
      <c r="E4" s="391">
        <f t="shared" ca="1" si="0"/>
        <v>1</v>
      </c>
      <c r="F4" s="391" t="str">
        <f ca="1">IFERROR(VLOOKUP(Tabela4[[#This Row],[Cabo]],BD!A:V,2,0),"")</f>
        <v>FO</v>
      </c>
      <c r="G4" s="22" t="str">
        <f ca="1">IFERROR(VLOOKUP(Tabela4[[#This Row],[Cabo]],BD!A:V,5,0),"")</f>
        <v>CORDÃO ÓPTICO</v>
      </c>
      <c r="H4" s="391" t="str">
        <f ca="1">IFERROR(VLOOKUP(Tabela4[[#This Row],[Cabo]],BD!A:V,3,0),"")</f>
        <v>-</v>
      </c>
      <c r="I4" s="391" t="str">
        <f ca="1">IFERROR(VLOOKUP(Tabela4[[#This Row],[Cabo]],BD!A:V,4,0),"")</f>
        <v>-</v>
      </c>
      <c r="J4" s="391">
        <f ca="1">IFERROR(VLOOKUP(Tabela4[[#This Row],[Cabo]],BD!A:V,7,0),"")</f>
        <v>1</v>
      </c>
      <c r="K4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4" s="23">
        <f ca="1">IFERROR(VLOOKUP(Tabela4[[#This Row],[Cabo]],BD!A:V,9,0),"")</f>
        <v>40</v>
      </c>
      <c r="M4" s="23">
        <f ca="1">IFERROR(VLOOKUP(Tabela4[[#This Row],[Cabo]],BD!A:AD,30,0),"")</f>
        <v>40</v>
      </c>
      <c r="N4" s="23">
        <f ca="1">IF(SUMIF('Lançamento de Cabos'!B:B,Tabela4[[#This Row],[Cabo]],'Lançamento de Cabos'!C:C)=0,"",SUMIF('Lançamento de Cabos'!B:B,Tabela4[[#This Row],[Cabo]],'Lançamento de Cabos'!C:C))</f>
        <v>40</v>
      </c>
      <c r="O4" s="28">
        <f ca="1">IFERROR(IF(Tabela4[[#This Row],[Compr. Lançado]]/Tabela4[[#This Row],[Compr. Prev.]]&gt;1,1,Tabela4[[#This Row],[Compr. Lançado]]/Tabela4[[#This Row],[Compr. Prev.]]),"")</f>
        <v>1</v>
      </c>
      <c r="P4" s="24" t="str">
        <f ca="1">IFERROR(VLOOKUP(Tabela4[[#This Row],[Cabo]],BD!A:V,11,0),"")</f>
        <v>1HV-BUS3</v>
      </c>
      <c r="Q4" s="24" t="str">
        <f ca="1">IFERROR(VLOOKUP(Tabela4[[#This Row],[Cabo]],BD!A:V,12,0),"")</f>
        <v>ER-3</v>
      </c>
      <c r="R4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4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4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" s="23">
        <f ca="1">IF(Tabela4[[#This Row],[Cabo]]&lt;&gt;"",4-COUNTIF(Tabela4[[#This Row],[Teste de Continuidade]:[Hipot]],"---"),"")</f>
        <v>0</v>
      </c>
      <c r="W4" s="29" t="e">
        <f ca="1">IF(Tabela4[[#This Row],[Cabo]]&lt;&gt;"",(COUNTIF(Tabela4[[#This Row],[Teste de Continuidade]:[Hipot]],"OK"))/(4-COUNTIF(Tabela4[[#This Row],[Teste de Continuidade]:[Hipot]],"---")),"")</f>
        <v>#DIV/0!</v>
      </c>
      <c r="X4" s="23">
        <f ca="1">IF(Tabela4[[#This Row],[Cabo]]&lt;&gt;"",SUMIFS('Lançamento de Cabos'!$AF:$AF,'Lançamento de Cabos'!AE:AE,Tabela4[[#This Row],[Cabo]],'Lançamento de Cabos'!AJ:AJ,Área!$B$1),"")</f>
        <v>0</v>
      </c>
      <c r="Y4" s="23">
        <f ca="1">IF(Tabela4[[#This Row],[Cabo]]&lt;&gt;"",SUMIFS('Lançamento de Cabos'!$AG:$AG,'Lançamento de Cabos'!AE:AE,Tabela4[[#This Row],[Cabo]],'Lançamento de Cabos'!AJ:AJ,Área!$B$1),"")</f>
        <v>0</v>
      </c>
      <c r="Z4" s="23" t="str">
        <f ca="1">VLOOKUP(Tabela4[[#This Row],[Cabo]],BD!A:AB,28,0)</f>
        <v>Disponível</v>
      </c>
    </row>
    <row r="5" spans="1:26" x14ac:dyDescent="0.25">
      <c r="C5" s="391" t="str">
        <f ca="1">IF($B$1="Geral",Tabela1[[#This Row],[Tag do Cabo]],IFERROR(INDEX(INDIRECT("BD!$A"&amp;D5&amp;":$A100000"),E5,1),""))</f>
        <v>1HVBUS3-ER1HV-004C</v>
      </c>
      <c r="D5" s="391">
        <f t="shared" ca="1" si="1"/>
        <v>7</v>
      </c>
      <c r="E5" s="391">
        <f t="shared" ca="1" si="0"/>
        <v>1</v>
      </c>
      <c r="F5" s="391" t="str">
        <f ca="1">IFERROR(VLOOKUP(Tabela4[[#This Row],[Cabo]],BD!A:V,2,0),"")</f>
        <v>FO</v>
      </c>
      <c r="G5" s="22" t="str">
        <f ca="1">IFERROR(VLOOKUP(Tabela4[[#This Row],[Cabo]],BD!A:V,5,0),"")</f>
        <v>CORDÃO ÓPTICO</v>
      </c>
      <c r="H5" s="391" t="str">
        <f ca="1">IFERROR(VLOOKUP(Tabela4[[#This Row],[Cabo]],BD!A:V,3,0),"")</f>
        <v>-</v>
      </c>
      <c r="I5" s="391" t="str">
        <f ca="1">IFERROR(VLOOKUP(Tabela4[[#This Row],[Cabo]],BD!A:V,4,0),"")</f>
        <v>-</v>
      </c>
      <c r="J5" s="391">
        <f ca="1">IFERROR(VLOOKUP(Tabela4[[#This Row],[Cabo]],BD!A:V,7,0),"")</f>
        <v>1</v>
      </c>
      <c r="K5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5" s="23">
        <f ca="1">IFERROR(VLOOKUP(Tabela4[[#This Row],[Cabo]],BD!A:V,9,0),"")</f>
        <v>40</v>
      </c>
      <c r="M5" s="23">
        <f ca="1">IFERROR(VLOOKUP(Tabela4[[#This Row],[Cabo]],BD!A:AD,30,0),"")</f>
        <v>40</v>
      </c>
      <c r="N5" s="23">
        <f ca="1">IF(SUMIF('Lançamento de Cabos'!B:B,Tabela4[[#This Row],[Cabo]],'Lançamento de Cabos'!C:C)=0,"",SUMIF('Lançamento de Cabos'!B:B,Tabela4[[#This Row],[Cabo]],'Lançamento de Cabos'!C:C))</f>
        <v>40</v>
      </c>
      <c r="O5" s="28">
        <f ca="1">IFERROR(IF(Tabela4[[#This Row],[Compr. Lançado]]/Tabela4[[#This Row],[Compr. Prev.]]&gt;1,1,Tabela4[[#This Row],[Compr. Lançado]]/Tabela4[[#This Row],[Compr. Prev.]]),"")</f>
        <v>1</v>
      </c>
      <c r="P5" s="24" t="str">
        <f ca="1">IFERROR(VLOOKUP(Tabela4[[#This Row],[Cabo]],BD!A:V,11,0),"")</f>
        <v>1HV-BUS3</v>
      </c>
      <c r="Q5" s="24" t="str">
        <f ca="1">IFERROR(VLOOKUP(Tabela4[[#This Row],[Cabo]],BD!A:V,12,0),"")</f>
        <v>ER-3</v>
      </c>
      <c r="R5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5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5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5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5" s="23">
        <f ca="1">IF(Tabela4[[#This Row],[Cabo]]&lt;&gt;"",4-COUNTIF(Tabela4[[#This Row],[Teste de Continuidade]:[Hipot]],"---"),"")</f>
        <v>0</v>
      </c>
      <c r="W5" s="29" t="e">
        <f ca="1">IF(Tabela4[[#This Row],[Cabo]]&lt;&gt;"",(COUNTIF(Tabela4[[#This Row],[Teste de Continuidade]:[Hipot]],"OK"))/(4-COUNTIF(Tabela4[[#This Row],[Teste de Continuidade]:[Hipot]],"---")),"")</f>
        <v>#DIV/0!</v>
      </c>
      <c r="X5" s="23">
        <f ca="1">IF(Tabela4[[#This Row],[Cabo]]&lt;&gt;"",SUMIFS('Lançamento de Cabos'!$AF:$AF,'Lançamento de Cabos'!AE:AE,Tabela4[[#This Row],[Cabo]],'Lançamento de Cabos'!AJ:AJ,Área!$B$1),"")</f>
        <v>0</v>
      </c>
      <c r="Y5" s="23">
        <f ca="1">IF(Tabela4[[#This Row],[Cabo]]&lt;&gt;"",SUMIFS('Lançamento de Cabos'!$AG:$AG,'Lançamento de Cabos'!AE:AE,Tabela4[[#This Row],[Cabo]],'Lançamento de Cabos'!AJ:AJ,Área!$B$1),"")</f>
        <v>0</v>
      </c>
      <c r="Z5" s="23" t="str">
        <f ca="1">VLOOKUP(Tabela4[[#This Row],[Cabo]],BD!A:AB,28,0)</f>
        <v>Disponível</v>
      </c>
    </row>
    <row r="6" spans="1:26" x14ac:dyDescent="0.25">
      <c r="C6" s="391" t="str">
        <f ca="1">IF($B$1="Geral",Tabela1[[#This Row],[Tag do Cabo]],IFERROR(INDEX(INDIRECT("BD!$A"&amp;D6&amp;":$A100000"),E6,1),""))</f>
        <v>1HVBUS3-ER1HV-005C</v>
      </c>
      <c r="D6" s="391">
        <f t="shared" ca="1" si="1"/>
        <v>8</v>
      </c>
      <c r="E6" s="391">
        <f t="shared" ca="1" si="0"/>
        <v>1</v>
      </c>
      <c r="F6" s="391" t="str">
        <f ca="1">IFERROR(VLOOKUP(Tabela4[[#This Row],[Cabo]],BD!A:V,2,0),"")</f>
        <v>FO</v>
      </c>
      <c r="G6" s="22" t="str">
        <f ca="1">IFERROR(VLOOKUP(Tabela4[[#This Row],[Cabo]],BD!A:V,5,0),"")</f>
        <v>CORDÃO ÓPTICO</v>
      </c>
      <c r="H6" s="391" t="str">
        <f ca="1">IFERROR(VLOOKUP(Tabela4[[#This Row],[Cabo]],BD!A:V,3,0),"")</f>
        <v>-</v>
      </c>
      <c r="I6" s="391" t="str">
        <f ca="1">IFERROR(VLOOKUP(Tabela4[[#This Row],[Cabo]],BD!A:V,4,0),"")</f>
        <v>-</v>
      </c>
      <c r="J6" s="391">
        <f ca="1">IFERROR(VLOOKUP(Tabela4[[#This Row],[Cabo]],BD!A:V,7,0),"")</f>
        <v>1</v>
      </c>
      <c r="K6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6" s="23">
        <f ca="1">IFERROR(VLOOKUP(Tabela4[[#This Row],[Cabo]],BD!A:V,9,0),"")</f>
        <v>40</v>
      </c>
      <c r="M6" s="23">
        <f ca="1">IFERROR(VLOOKUP(Tabela4[[#This Row],[Cabo]],BD!A:AD,30,0),"")</f>
        <v>40</v>
      </c>
      <c r="N6" s="23">
        <f ca="1">IF(SUMIF('Lançamento de Cabos'!B:B,Tabela4[[#This Row],[Cabo]],'Lançamento de Cabos'!C:C)=0,"",SUMIF('Lançamento de Cabos'!B:B,Tabela4[[#This Row],[Cabo]],'Lançamento de Cabos'!C:C))</f>
        <v>40</v>
      </c>
      <c r="O6" s="28">
        <f ca="1">IFERROR(IF(Tabela4[[#This Row],[Compr. Lançado]]/Tabela4[[#This Row],[Compr. Prev.]]&gt;1,1,Tabela4[[#This Row],[Compr. Lançado]]/Tabela4[[#This Row],[Compr. Prev.]]),"")</f>
        <v>1</v>
      </c>
      <c r="P6" s="24" t="str">
        <f ca="1">IFERROR(VLOOKUP(Tabela4[[#This Row],[Cabo]],BD!A:V,11,0),"")</f>
        <v>1HV-BUS3</v>
      </c>
      <c r="Q6" s="24" t="str">
        <f ca="1">IFERROR(VLOOKUP(Tabela4[[#This Row],[Cabo]],BD!A:V,12,0),"")</f>
        <v>ER-3</v>
      </c>
      <c r="R6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6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6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6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6" s="23">
        <f ca="1">IF(Tabela4[[#This Row],[Cabo]]&lt;&gt;"",4-COUNTIF(Tabela4[[#This Row],[Teste de Continuidade]:[Hipot]],"---"),"")</f>
        <v>0</v>
      </c>
      <c r="W6" s="29" t="e">
        <f ca="1">IF(Tabela4[[#This Row],[Cabo]]&lt;&gt;"",(COUNTIF(Tabela4[[#This Row],[Teste de Continuidade]:[Hipot]],"OK"))/(4-COUNTIF(Tabela4[[#This Row],[Teste de Continuidade]:[Hipot]],"---")),"")</f>
        <v>#DIV/0!</v>
      </c>
      <c r="X6" s="23">
        <f ca="1">IF(Tabela4[[#This Row],[Cabo]]&lt;&gt;"",SUMIFS('Lançamento de Cabos'!$AF:$AF,'Lançamento de Cabos'!AE:AE,Tabela4[[#This Row],[Cabo]],'Lançamento de Cabos'!AJ:AJ,Área!$B$1),"")</f>
        <v>0</v>
      </c>
      <c r="Y6" s="23">
        <f ca="1">IF(Tabela4[[#This Row],[Cabo]]&lt;&gt;"",SUMIFS('Lançamento de Cabos'!$AG:$AG,'Lançamento de Cabos'!AE:AE,Tabela4[[#This Row],[Cabo]],'Lançamento de Cabos'!AJ:AJ,Área!$B$1),"")</f>
        <v>0</v>
      </c>
      <c r="Z6" s="23" t="str">
        <f ca="1">VLOOKUP(Tabela4[[#This Row],[Cabo]],BD!A:AB,28,0)</f>
        <v>Disponível</v>
      </c>
    </row>
    <row r="7" spans="1:26" x14ac:dyDescent="0.25">
      <c r="C7" s="391" t="str">
        <f ca="1">IF($B$1="Geral",Tabela1[[#This Row],[Tag do Cabo]],IFERROR(INDEX(INDIRECT("BD!$A"&amp;D7&amp;":$A100000"),E7,1),""))</f>
        <v>CBO001-SEL</v>
      </c>
      <c r="D7" s="391">
        <f t="shared" ca="1" si="1"/>
        <v>9</v>
      </c>
      <c r="E7" s="391">
        <f t="shared" ca="1" si="0"/>
        <v>12</v>
      </c>
      <c r="F7" s="391" t="str">
        <f ca="1">IFERROR(VLOOKUP(Tabela4[[#This Row],[Cabo]],BD!A:V,2,0),"")</f>
        <v>FO</v>
      </c>
      <c r="G7" s="22" t="str">
        <f ca="1">IFERROR(VLOOKUP(Tabela4[[#This Row],[Cabo]],BD!A:V,5,0),"")</f>
        <v>CORDÃO ÓPTICO</v>
      </c>
      <c r="H7" s="391" t="str">
        <f ca="1">IFERROR(VLOOKUP(Tabela4[[#This Row],[Cabo]],BD!A:V,3,0),"")</f>
        <v>-</v>
      </c>
      <c r="I7" s="391" t="str">
        <f ca="1">IFERROR(VLOOKUP(Tabela4[[#This Row],[Cabo]],BD!A:V,4,0),"")</f>
        <v>-</v>
      </c>
      <c r="J7" s="391">
        <f ca="1">IFERROR(VLOOKUP(Tabela4[[#This Row],[Cabo]],BD!A:V,7,0),"")</f>
        <v>1</v>
      </c>
      <c r="K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" s="23">
        <f ca="1">IFERROR(VLOOKUP(Tabela4[[#This Row],[Cabo]],BD!A:V,9,0),"")</f>
        <v>20</v>
      </c>
      <c r="M7" s="23">
        <f ca="1">IFERROR(VLOOKUP(Tabela4[[#This Row],[Cabo]],BD!A:AD,30,0),"")</f>
        <v>20</v>
      </c>
      <c r="N7" s="23" t="str">
        <f ca="1">IF(SUMIF('Lançamento de Cabos'!B:B,Tabela4[[#This Row],[Cabo]],'Lançamento de Cabos'!C:C)=0,"",SUMIF('Lançamento de Cabos'!B:B,Tabela4[[#This Row],[Cabo]],'Lançamento de Cabos'!C:C))</f>
        <v/>
      </c>
      <c r="O7" s="28" t="str">
        <f ca="1">IFERROR(IF(Tabela4[[#This Row],[Compr. Lançado]]/Tabela4[[#This Row],[Compr. Prev.]]&gt;1,1,Tabela4[[#This Row],[Compr. Lançado]]/Tabela4[[#This Row],[Compr. Prev.]]),"")</f>
        <v/>
      </c>
      <c r="P7" s="24" t="str">
        <f ca="1">IFERROR(VLOOKUP(Tabela4[[#This Row],[Cabo]],BD!A:V,11,0),"")</f>
        <v>ER-3</v>
      </c>
      <c r="Q7" s="24" t="str">
        <f ca="1">IFERROR(VLOOKUP(Tabela4[[#This Row],[Cabo]],BD!A:V,12,0),"")</f>
        <v>ER-4</v>
      </c>
      <c r="R7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7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7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7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7" s="23">
        <f ca="1">IF(Tabela4[[#This Row],[Cabo]]&lt;&gt;"",4-COUNTIF(Tabela4[[#This Row],[Teste de Continuidade]:[Hipot]],"---"),"")</f>
        <v>0</v>
      </c>
      <c r="W7" s="29" t="e">
        <f ca="1">IF(Tabela4[[#This Row],[Cabo]]&lt;&gt;"",(COUNTIF(Tabela4[[#This Row],[Teste de Continuidade]:[Hipot]],"OK"))/(4-COUNTIF(Tabela4[[#This Row],[Teste de Continuidade]:[Hipot]],"---")),"")</f>
        <v>#DIV/0!</v>
      </c>
      <c r="X7" s="23">
        <f ca="1">IF(Tabela4[[#This Row],[Cabo]]&lt;&gt;"",SUMIFS('Lançamento de Cabos'!$AF:$AF,'Lançamento de Cabos'!AE:AE,Tabela4[[#This Row],[Cabo]],'Lançamento de Cabos'!AJ:AJ,Área!$B$1),"")</f>
        <v>0</v>
      </c>
      <c r="Y7" s="23">
        <f ca="1">IF(Tabela4[[#This Row],[Cabo]]&lt;&gt;"",SUMIFS('Lançamento de Cabos'!$AG:$AG,'Lançamento de Cabos'!AE:AE,Tabela4[[#This Row],[Cabo]],'Lançamento de Cabos'!AJ:AJ,Área!$B$1),"")</f>
        <v>0</v>
      </c>
      <c r="Z7" s="23" t="str">
        <f ca="1">VLOOKUP(Tabela4[[#This Row],[Cabo]],BD!A:AB,28,0)</f>
        <v>Pend. Compra</v>
      </c>
    </row>
    <row r="8" spans="1:26" x14ac:dyDescent="0.25">
      <c r="C8" s="391" t="str">
        <f ca="1">IF($B$1="Geral",Tabela1[[#This Row],[Tag do Cabo]],IFERROR(INDEX(INDIRECT("BD!$A"&amp;D8&amp;":$A100000"),E8,1),""))</f>
        <v>CDC-02290</v>
      </c>
      <c r="D8" s="391">
        <f t="shared" ca="1" si="1"/>
        <v>21</v>
      </c>
      <c r="E8" s="391">
        <f t="shared" ca="1" si="0"/>
        <v>38</v>
      </c>
      <c r="F8" s="391" t="str">
        <f ca="1">IFERROR(VLOOKUP(Tabela4[[#This Row],[Cabo]],BD!A:V,2,0),"")</f>
        <v>FO</v>
      </c>
      <c r="G8" s="22" t="str">
        <f ca="1">IFERROR(VLOOKUP(Tabela4[[#This Row],[Cabo]],BD!A:V,5,0),"")</f>
        <v>CORDÃO ÓPTICO</v>
      </c>
      <c r="H8" s="391" t="str">
        <f ca="1">IFERROR(VLOOKUP(Tabela4[[#This Row],[Cabo]],BD!A:V,3,0),"")</f>
        <v>-</v>
      </c>
      <c r="I8" s="391" t="str">
        <f ca="1">IFERROR(VLOOKUP(Tabela4[[#This Row],[Cabo]],BD!A:V,4,0),"")</f>
        <v>-</v>
      </c>
      <c r="J8" s="391">
        <f ca="1">IFERROR(VLOOKUP(Tabela4[[#This Row],[Cabo]],BD!A:V,7,0),"")</f>
        <v>1</v>
      </c>
      <c r="K8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8" s="23">
        <f ca="1">IFERROR(VLOOKUP(Tabela4[[#This Row],[Cabo]],BD!A:V,9,0),"")</f>
        <v>2.5</v>
      </c>
      <c r="M8" s="23">
        <f ca="1">IFERROR(VLOOKUP(Tabela4[[#This Row],[Cabo]],BD!A:AD,30,0),"")</f>
        <v>2.5</v>
      </c>
      <c r="N8" s="23">
        <f ca="1">IF(SUMIF('Lançamento de Cabos'!B:B,Tabela4[[#This Row],[Cabo]],'Lançamento de Cabos'!C:C)=0,"",SUMIF('Lançamento de Cabos'!B:B,Tabela4[[#This Row],[Cabo]],'Lançamento de Cabos'!C:C))</f>
        <v>2.5</v>
      </c>
      <c r="O8" s="28">
        <f ca="1">IFERROR(IF(Tabela4[[#This Row],[Compr. Lançado]]/Tabela4[[#This Row],[Compr. Prev.]]&gt;1,1,Tabela4[[#This Row],[Compr. Lançado]]/Tabela4[[#This Row],[Compr. Prev.]]),"")</f>
        <v>1</v>
      </c>
      <c r="P8" s="24" t="str">
        <f ca="1">IFERROR(VLOOKUP(Tabela4[[#This Row],[Cabo]],BD!A:V,11,0),"")</f>
        <v>DIO-120-104 (30LV)</v>
      </c>
      <c r="Q8" s="24" t="str">
        <f ca="1">IFERROR(VLOOKUP(Tabela4[[#This Row],[Cabo]],BD!A:V,12,0),"")</f>
        <v>SWT-120-105 (30LV)</v>
      </c>
      <c r="R8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8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8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8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8" s="23">
        <f ca="1">IF(Tabela4[[#This Row],[Cabo]]&lt;&gt;"",4-COUNTIF(Tabela4[[#This Row],[Teste de Continuidade]:[Hipot]],"---"),"")</f>
        <v>0</v>
      </c>
      <c r="W8" s="29" t="e">
        <f ca="1">IF(Tabela4[[#This Row],[Cabo]]&lt;&gt;"",(COUNTIF(Tabela4[[#This Row],[Teste de Continuidade]:[Hipot]],"OK"))/(4-COUNTIF(Tabela4[[#This Row],[Teste de Continuidade]:[Hipot]],"---")),"")</f>
        <v>#DIV/0!</v>
      </c>
      <c r="X8" s="23">
        <f ca="1">IF(Tabela4[[#This Row],[Cabo]]&lt;&gt;"",SUMIFS('Lançamento de Cabos'!$AF:$AF,'Lançamento de Cabos'!AE:AE,Tabela4[[#This Row],[Cabo]],'Lançamento de Cabos'!AJ:AJ,Área!$B$1),"")</f>
        <v>0</v>
      </c>
      <c r="Y8" s="23">
        <f ca="1">IF(Tabela4[[#This Row],[Cabo]]&lt;&gt;"",SUMIFS('Lançamento de Cabos'!$AG:$AG,'Lançamento de Cabos'!AE:AE,Tabela4[[#This Row],[Cabo]],'Lançamento de Cabos'!AJ:AJ,Área!$B$1),"")</f>
        <v>0</v>
      </c>
      <c r="Z8" s="23" t="str">
        <f ca="1">VLOOKUP(Tabela4[[#This Row],[Cabo]],BD!A:AB,28,0)</f>
        <v>Disponível</v>
      </c>
    </row>
    <row r="9" spans="1:26" x14ac:dyDescent="0.25">
      <c r="C9" s="391" t="str">
        <f ca="1">IF($B$1="Geral",Tabela1[[#This Row],[Tag do Cabo]],IFERROR(INDEX(INDIRECT("BD!$A"&amp;D9&amp;":$A100000"),E9,1),""))</f>
        <v>CDC-02331</v>
      </c>
      <c r="D9" s="391">
        <f t="shared" ca="1" si="1"/>
        <v>59</v>
      </c>
      <c r="E9" s="391">
        <f t="shared" ca="1" si="0"/>
        <v>1</v>
      </c>
      <c r="F9" s="391" t="str">
        <f ca="1">IFERROR(VLOOKUP(Tabela4[[#This Row],[Cabo]],BD!A:V,2,0),"")</f>
        <v>FO</v>
      </c>
      <c r="G9" s="22" t="str">
        <f ca="1">IFERROR(VLOOKUP(Tabela4[[#This Row],[Cabo]],BD!A:V,5,0),"")</f>
        <v>CORDÃO ÓPTICO</v>
      </c>
      <c r="H9" s="391" t="str">
        <f ca="1">IFERROR(VLOOKUP(Tabela4[[#This Row],[Cabo]],BD!A:V,3,0),"")</f>
        <v>-</v>
      </c>
      <c r="I9" s="391" t="str">
        <f ca="1">IFERROR(VLOOKUP(Tabela4[[#This Row],[Cabo]],BD!A:V,4,0),"")</f>
        <v>-</v>
      </c>
      <c r="J9" s="391">
        <f ca="1">IFERROR(VLOOKUP(Tabela4[[#This Row],[Cabo]],BD!A:V,7,0),"")</f>
        <v>1</v>
      </c>
      <c r="K9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9" s="23">
        <f ca="1">IFERROR(VLOOKUP(Tabela4[[#This Row],[Cabo]],BD!A:V,9,0),"")</f>
        <v>5</v>
      </c>
      <c r="M9" s="23">
        <f ca="1">IFERROR(VLOOKUP(Tabela4[[#This Row],[Cabo]],BD!A:AD,30,0),"")</f>
        <v>5</v>
      </c>
      <c r="N9" s="23">
        <f ca="1">IF(SUMIF('Lançamento de Cabos'!B:B,Tabela4[[#This Row],[Cabo]],'Lançamento de Cabos'!C:C)=0,"",SUMIF('Lançamento de Cabos'!B:B,Tabela4[[#This Row],[Cabo]],'Lançamento de Cabos'!C:C))</f>
        <v>5</v>
      </c>
      <c r="O9" s="28">
        <f ca="1">IFERROR(IF(Tabela4[[#This Row],[Compr. Lançado]]/Tabela4[[#This Row],[Compr. Prev.]]&gt;1,1,Tabela4[[#This Row],[Compr. Lançado]]/Tabela4[[#This Row],[Compr. Prev.]]),"")</f>
        <v>1</v>
      </c>
      <c r="P9" s="24" t="str">
        <f ca="1">IFERROR(VLOOKUP(Tabela4[[#This Row],[Cabo]],BD!A:V,11,0),"")</f>
        <v>PI-1205 (ACESSO REMOTO)</v>
      </c>
      <c r="Q9" s="24" t="str">
        <f ca="1">IFERROR(VLOOKUP(Tabela4[[#This Row],[Cabo]],BD!A:V,12,0),"")</f>
        <v>SWT-120-105 (30LV)</v>
      </c>
      <c r="R9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9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9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9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9" s="23">
        <f ca="1">IF(Tabela4[[#This Row],[Cabo]]&lt;&gt;"",4-COUNTIF(Tabela4[[#This Row],[Teste de Continuidade]:[Hipot]],"---"),"")</f>
        <v>0</v>
      </c>
      <c r="W9" s="29" t="e">
        <f ca="1">IF(Tabela4[[#This Row],[Cabo]]&lt;&gt;"",(COUNTIF(Tabela4[[#This Row],[Teste de Continuidade]:[Hipot]],"OK"))/(4-COUNTIF(Tabela4[[#This Row],[Teste de Continuidade]:[Hipot]],"---")),"")</f>
        <v>#DIV/0!</v>
      </c>
      <c r="X9" s="23">
        <f ca="1">IF(Tabela4[[#This Row],[Cabo]]&lt;&gt;"",SUMIFS('Lançamento de Cabos'!$AF:$AF,'Lançamento de Cabos'!AE:AE,Tabela4[[#This Row],[Cabo]],'Lançamento de Cabos'!AJ:AJ,Área!$B$1),"")</f>
        <v>0</v>
      </c>
      <c r="Y9" s="23">
        <f ca="1">IF(Tabela4[[#This Row],[Cabo]]&lt;&gt;"",SUMIFS('Lançamento de Cabos'!$AG:$AG,'Lançamento de Cabos'!AE:AE,Tabela4[[#This Row],[Cabo]],'Lançamento de Cabos'!AJ:AJ,Área!$B$1),"")</f>
        <v>0</v>
      </c>
      <c r="Z9" s="23" t="str">
        <f ca="1">VLOOKUP(Tabela4[[#This Row],[Cabo]],BD!A:AB,28,0)</f>
        <v>Disponível</v>
      </c>
    </row>
    <row r="10" spans="1:26" x14ac:dyDescent="0.25">
      <c r="C10" s="391" t="str">
        <f ca="1">IF($B$1="Geral",Tabela1[[#This Row],[Tag do Cabo]],IFERROR(INDEX(INDIRECT("BD!$A"&amp;D10&amp;":$A100000"),E10,1),""))</f>
        <v>7HV-1HV-001C</v>
      </c>
      <c r="D10" s="391">
        <f t="shared" ca="1" si="1"/>
        <v>60</v>
      </c>
      <c r="E10" s="391">
        <f t="shared" ca="1" si="0"/>
        <v>112</v>
      </c>
      <c r="F10" s="391" t="str">
        <f ca="1">IFERROR(VLOOKUP(Tabela4[[#This Row],[Cabo]],BD!A:V,2,0),"")</f>
        <v>FO</v>
      </c>
      <c r="G10" s="22" t="str">
        <f ca="1">IFERROR(VLOOKUP(Tabela4[[#This Row],[Cabo]],BD!A:V,5,0),"")</f>
        <v>CABO ÓPTICO 4 VIAS</v>
      </c>
      <c r="H10" s="391" t="str">
        <f ca="1">IFERROR(VLOOKUP(Tabela4[[#This Row],[Cabo]],BD!A:V,3,0),"")</f>
        <v>-</v>
      </c>
      <c r="I10" s="391" t="str">
        <f ca="1">IFERROR(VLOOKUP(Tabela4[[#This Row],[Cabo]],BD!A:V,4,0),"")</f>
        <v>-</v>
      </c>
      <c r="J10" s="391">
        <f ca="1">IFERROR(VLOOKUP(Tabela4[[#This Row],[Cabo]],BD!A:V,7,0),"")</f>
        <v>1</v>
      </c>
      <c r="K10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0" s="23">
        <f ca="1">IFERROR(VLOOKUP(Tabela4[[#This Row],[Cabo]],BD!A:V,9,0),"")</f>
        <v>450</v>
      </c>
      <c r="M10" s="23">
        <f ca="1">IFERROR(VLOOKUP(Tabela4[[#This Row],[Cabo]],BD!A:AD,30,0),"")</f>
        <v>450</v>
      </c>
      <c r="N10" s="23">
        <f ca="1">IF(SUMIF('Lançamento de Cabos'!B:B,Tabela4[[#This Row],[Cabo]],'Lançamento de Cabos'!C:C)=0,"",SUMIF('Lançamento de Cabos'!B:B,Tabela4[[#This Row],[Cabo]],'Lançamento de Cabos'!C:C))</f>
        <v>450</v>
      </c>
      <c r="O10" s="28">
        <f ca="1">IFERROR(IF(Tabela4[[#This Row],[Compr. Lançado]]/Tabela4[[#This Row],[Compr. Prev.]]&gt;1,1,Tabela4[[#This Row],[Compr. Lançado]]/Tabela4[[#This Row],[Compr. Prev.]]),"")</f>
        <v>1</v>
      </c>
      <c r="P10" s="24" t="str">
        <f ca="1">IFERROR(VLOOKUP(Tabela4[[#This Row],[Cabo]],BD!A:V,11,0),"")</f>
        <v>7HV</v>
      </c>
      <c r="Q10" s="24" t="str">
        <f ca="1">IFERROR(VLOOKUP(Tabela4[[#This Row],[Cabo]],BD!A:V,12,0),"")</f>
        <v>REMOTA 1HV</v>
      </c>
      <c r="R10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0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0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0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0" s="23">
        <f ca="1">IF(Tabela4[[#This Row],[Cabo]]&lt;&gt;"",4-COUNTIF(Tabela4[[#This Row],[Teste de Continuidade]:[Hipot]],"---"),"")</f>
        <v>0</v>
      </c>
      <c r="W10" s="29" t="e">
        <f ca="1">IF(Tabela4[[#This Row],[Cabo]]&lt;&gt;"",(COUNTIF(Tabela4[[#This Row],[Teste de Continuidade]:[Hipot]],"OK"))/(4-COUNTIF(Tabela4[[#This Row],[Teste de Continuidade]:[Hipot]],"---")),"")</f>
        <v>#DIV/0!</v>
      </c>
      <c r="X10" s="23">
        <f ca="1">IF(Tabela4[[#This Row],[Cabo]]&lt;&gt;"",SUMIFS('Lançamento de Cabos'!$AF:$AF,'Lançamento de Cabos'!AE:AE,Tabela4[[#This Row],[Cabo]],'Lançamento de Cabos'!AJ:AJ,Área!$B$1),"")</f>
        <v>0</v>
      </c>
      <c r="Y10" s="23">
        <f ca="1">IF(Tabela4[[#This Row],[Cabo]]&lt;&gt;"",SUMIFS('Lançamento de Cabos'!$AG:$AG,'Lançamento de Cabos'!AE:AE,Tabela4[[#This Row],[Cabo]],'Lançamento de Cabos'!AJ:AJ,Área!$B$1),"")</f>
        <v>0</v>
      </c>
      <c r="Z10" s="23" t="str">
        <f ca="1">VLOOKUP(Tabela4[[#This Row],[Cabo]],BD!A:AB,28,0)</f>
        <v>Disponível</v>
      </c>
    </row>
    <row r="11" spans="1:26" x14ac:dyDescent="0.25">
      <c r="C11" s="391" t="str">
        <f ca="1">IF($B$1="Geral",Tabela1[[#This Row],[Tag do Cabo]],IFERROR(INDEX(INDIRECT("BD!$A"&amp;D11&amp;":$A100000"),E11,1),""))</f>
        <v>CBO005-RS</v>
      </c>
      <c r="D11" s="391">
        <f t="shared" ca="1" si="1"/>
        <v>172</v>
      </c>
      <c r="E11" s="391">
        <f t="shared" ca="1" si="0"/>
        <v>1</v>
      </c>
      <c r="F11" s="391" t="str">
        <f ca="1">IFERROR(VLOOKUP(Tabela4[[#This Row],[Cabo]],BD!A:V,2,0),"")</f>
        <v>FO</v>
      </c>
      <c r="G11" s="22" t="str">
        <f ca="1">IFERROR(VLOOKUP(Tabela4[[#This Row],[Cabo]],BD!A:V,5,0),"")</f>
        <v>CABO ÓPTICO 4 VIAS</v>
      </c>
      <c r="H11" s="391" t="str">
        <f ca="1">IFERROR(VLOOKUP(Tabela4[[#This Row],[Cabo]],BD!A:V,3,0),"")</f>
        <v>-</v>
      </c>
      <c r="I11" s="391" t="str">
        <f ca="1">IFERROR(VLOOKUP(Tabela4[[#This Row],[Cabo]],BD!A:V,4,0),"")</f>
        <v>-</v>
      </c>
      <c r="J11" s="391">
        <f ca="1">IFERROR(VLOOKUP(Tabela4[[#This Row],[Cabo]],BD!A:V,7,0),"")</f>
        <v>1</v>
      </c>
      <c r="K11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1" s="23">
        <f ca="1">IFERROR(VLOOKUP(Tabela4[[#This Row],[Cabo]],BD!A:V,9,0),"")</f>
        <v>450</v>
      </c>
      <c r="M11" s="23">
        <f ca="1">IFERROR(VLOOKUP(Tabela4[[#This Row],[Cabo]],BD!A:AD,30,0),"")</f>
        <v>450</v>
      </c>
      <c r="N11" s="23">
        <f ca="1">IF(SUMIF('Lançamento de Cabos'!B:B,Tabela4[[#This Row],[Cabo]],'Lançamento de Cabos'!C:C)=0,"",SUMIF('Lançamento de Cabos'!B:B,Tabela4[[#This Row],[Cabo]],'Lançamento de Cabos'!C:C))</f>
        <v>450</v>
      </c>
      <c r="O11" s="28">
        <f ca="1">IFERROR(IF(Tabela4[[#This Row],[Compr. Lançado]]/Tabela4[[#This Row],[Compr. Prev.]]&gt;1,1,Tabela4[[#This Row],[Compr. Lançado]]/Tabela4[[#This Row],[Compr. Prev.]]),"")</f>
        <v>1</v>
      </c>
      <c r="P11" s="24" t="str">
        <f ca="1">IFERROR(VLOOKUP(Tabela4[[#This Row],[Cabo]],BD!A:V,11,0),"")</f>
        <v>PSDC2-DIO</v>
      </c>
      <c r="Q11" s="24" t="str">
        <f ca="1">IFERROR(VLOOKUP(Tabela4[[#This Row],[Cabo]],BD!A:V,12,0),"")</f>
        <v>PSDC4-DIO1</v>
      </c>
      <c r="R11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1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1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1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1" s="23">
        <f ca="1">IF(Tabela4[[#This Row],[Cabo]]&lt;&gt;"",4-COUNTIF(Tabela4[[#This Row],[Teste de Continuidade]:[Hipot]],"---"),"")</f>
        <v>0</v>
      </c>
      <c r="W11" s="29" t="e">
        <f ca="1">IF(Tabela4[[#This Row],[Cabo]]&lt;&gt;"",(COUNTIF(Tabela4[[#This Row],[Teste de Continuidade]:[Hipot]],"OK"))/(4-COUNTIF(Tabela4[[#This Row],[Teste de Continuidade]:[Hipot]],"---")),"")</f>
        <v>#DIV/0!</v>
      </c>
      <c r="X11" s="23">
        <f ca="1">IF(Tabela4[[#This Row],[Cabo]]&lt;&gt;"",SUMIFS('Lançamento de Cabos'!$AF:$AF,'Lançamento de Cabos'!AE:AE,Tabela4[[#This Row],[Cabo]],'Lançamento de Cabos'!AJ:AJ,Área!$B$1),"")</f>
        <v>0</v>
      </c>
      <c r="Y11" s="23">
        <f ca="1">IF(Tabela4[[#This Row],[Cabo]]&lt;&gt;"",SUMIFS('Lançamento de Cabos'!$AG:$AG,'Lançamento de Cabos'!AE:AE,Tabela4[[#This Row],[Cabo]],'Lançamento de Cabos'!AJ:AJ,Área!$B$1),"")</f>
        <v>8</v>
      </c>
      <c r="Z11" s="23" t="str">
        <f ca="1">VLOOKUP(Tabela4[[#This Row],[Cabo]],BD!A:AB,28,0)</f>
        <v>Disponível</v>
      </c>
    </row>
    <row r="12" spans="1:26" x14ac:dyDescent="0.25">
      <c r="C12" s="391" t="str">
        <f ca="1">IF($B$1="Geral",Tabela1[[#This Row],[Tag do Cabo]],IFERROR(INDEX(INDIRECT("BD!$A"&amp;D12&amp;":$A100000"),E12,1),""))</f>
        <v>CDC-12009</v>
      </c>
      <c r="D12" s="391">
        <f t="shared" ca="1" si="1"/>
        <v>173</v>
      </c>
      <c r="E12" s="391">
        <f t="shared" ca="1" si="0"/>
        <v>2</v>
      </c>
      <c r="F12" s="391" t="str">
        <f ca="1">IFERROR(VLOOKUP(Tabela4[[#This Row],[Cabo]],BD!A:V,2,0),"")</f>
        <v>FO</v>
      </c>
      <c r="G12" s="22" t="str">
        <f ca="1">IFERROR(VLOOKUP(Tabela4[[#This Row],[Cabo]],BD!A:V,5,0),"")</f>
        <v>FIBRA OPTICA SM 6 PARES</v>
      </c>
      <c r="H12" s="391" t="str">
        <f ca="1">IFERROR(VLOOKUP(Tabela4[[#This Row],[Cabo]],BD!A:V,3,0),"")</f>
        <v>-</v>
      </c>
      <c r="I12" s="391" t="str">
        <f ca="1">IFERROR(VLOOKUP(Tabela4[[#This Row],[Cabo]],BD!A:V,4,0),"")</f>
        <v>-</v>
      </c>
      <c r="J12" s="391">
        <f ca="1">IFERROR(VLOOKUP(Tabela4[[#This Row],[Cabo]],BD!A:V,7,0),"")</f>
        <v>1</v>
      </c>
      <c r="K12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2" s="23">
        <f ca="1">IFERROR(VLOOKUP(Tabela4[[#This Row],[Cabo]],BD!A:V,9,0),"")</f>
        <v>125</v>
      </c>
      <c r="M12" s="23">
        <f ca="1">IFERROR(VLOOKUP(Tabela4[[#This Row],[Cabo]],BD!A:AD,30,0),"")</f>
        <v>148</v>
      </c>
      <c r="N12" s="23">
        <f ca="1">IF(SUMIF('Lançamento de Cabos'!B:B,Tabela4[[#This Row],[Cabo]],'Lançamento de Cabos'!C:C)=0,"",SUMIF('Lançamento de Cabos'!B:B,Tabela4[[#This Row],[Cabo]],'Lançamento de Cabos'!C:C))</f>
        <v>148</v>
      </c>
      <c r="O12" s="28">
        <f ca="1">IFERROR(IF(Tabela4[[#This Row],[Compr. Lançado]]/Tabela4[[#This Row],[Compr. Prev.]]&gt;1,1,Tabela4[[#This Row],[Compr. Lançado]]/Tabela4[[#This Row],[Compr. Prev.]]),"")</f>
        <v>1</v>
      </c>
      <c r="P12" s="24" t="str">
        <f ca="1">IFERROR(VLOOKUP(Tabela4[[#This Row],[Cabo]],BD!A:V,11,0),"")</f>
        <v>RACK 7HV - RCK-120-102</v>
      </c>
      <c r="Q12" s="24" t="str">
        <f ca="1">IFERROR(VLOOKUP(Tabela4[[#This Row],[Cabo]],BD!A:V,12,0),"")</f>
        <v>RCK-120-103 - RACK 30LV</v>
      </c>
      <c r="R12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2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2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2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2" s="23">
        <f ca="1">IF(Tabela4[[#This Row],[Cabo]]&lt;&gt;"",4-COUNTIF(Tabela4[[#This Row],[Teste de Continuidade]:[Hipot]],"---"),"")</f>
        <v>0</v>
      </c>
      <c r="W12" s="29" t="e">
        <f ca="1">IF(Tabela4[[#This Row],[Cabo]]&lt;&gt;"",(COUNTIF(Tabela4[[#This Row],[Teste de Continuidade]:[Hipot]],"OK"))/(4-COUNTIF(Tabela4[[#This Row],[Teste de Continuidade]:[Hipot]],"---")),"")</f>
        <v>#DIV/0!</v>
      </c>
      <c r="X12" s="23">
        <f ca="1">IF(Tabela4[[#This Row],[Cabo]]&lt;&gt;"",SUMIFS('Lançamento de Cabos'!$AF:$AF,'Lançamento de Cabos'!AE:AE,Tabela4[[#This Row],[Cabo]],'Lançamento de Cabos'!AJ:AJ,Área!$B$1),"")</f>
        <v>0</v>
      </c>
      <c r="Y12" s="23">
        <f ca="1">IF(Tabela4[[#This Row],[Cabo]]&lt;&gt;"",SUMIFS('Lançamento de Cabos'!$AG:$AG,'Lançamento de Cabos'!AE:AE,Tabela4[[#This Row],[Cabo]],'Lançamento de Cabos'!AJ:AJ,Área!$B$1),"")</f>
        <v>0</v>
      </c>
      <c r="Z12" s="23" t="str">
        <f ca="1">VLOOKUP(Tabela4[[#This Row],[Cabo]],BD!A:AB,28,0)</f>
        <v>Disponível</v>
      </c>
    </row>
    <row r="13" spans="1:26" x14ac:dyDescent="0.25">
      <c r="C13" s="391" t="str">
        <f ca="1">IF($B$1="Geral",Tabela1[[#This Row],[Tag do Cabo]],IFERROR(INDEX(INDIRECT("BD!$A"&amp;D13&amp;":$A100000"),E13,1),""))</f>
        <v>CDC-12007</v>
      </c>
      <c r="D13" s="391">
        <f t="shared" ca="1" si="1"/>
        <v>175</v>
      </c>
      <c r="E13" s="391">
        <f t="shared" ca="1" si="0"/>
        <v>31</v>
      </c>
      <c r="F13" s="391" t="str">
        <f ca="1">IFERROR(VLOOKUP(Tabela4[[#This Row],[Cabo]],BD!A:V,2,0),"")</f>
        <v>FO</v>
      </c>
      <c r="G13" s="22" t="str">
        <f ca="1">IFERROR(VLOOKUP(Tabela4[[#This Row],[Cabo]],BD!A:V,5,0),"")</f>
        <v>FIBRA OPTICA SM 6 PARES</v>
      </c>
      <c r="H13" s="391" t="str">
        <f ca="1">IFERROR(VLOOKUP(Tabela4[[#This Row],[Cabo]],BD!A:V,3,0),"")</f>
        <v>-</v>
      </c>
      <c r="I13" s="391" t="str">
        <f ca="1">IFERROR(VLOOKUP(Tabela4[[#This Row],[Cabo]],BD!A:V,4,0),"")</f>
        <v>-</v>
      </c>
      <c r="J13" s="391">
        <f ca="1">IFERROR(VLOOKUP(Tabela4[[#This Row],[Cabo]],BD!A:V,7,0),"")</f>
        <v>1</v>
      </c>
      <c r="K13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3" s="23">
        <f ca="1">IFERROR(VLOOKUP(Tabela4[[#This Row],[Cabo]],BD!A:V,9,0),"")</f>
        <v>220</v>
      </c>
      <c r="M13" s="23">
        <f ca="1">IFERROR(VLOOKUP(Tabela4[[#This Row],[Cabo]],BD!A:AD,30,0),"")</f>
        <v>350</v>
      </c>
      <c r="N13" s="23">
        <f ca="1">IF(SUMIF('Lançamento de Cabos'!B:B,Tabela4[[#This Row],[Cabo]],'Lançamento de Cabos'!C:C)=0,"",SUMIF('Lançamento de Cabos'!B:B,Tabela4[[#This Row],[Cabo]],'Lançamento de Cabos'!C:C))</f>
        <v>350</v>
      </c>
      <c r="O13" s="28">
        <f ca="1">IFERROR(IF(Tabela4[[#This Row],[Compr. Lançado]]/Tabela4[[#This Row],[Compr. Prev.]]&gt;1,1,Tabela4[[#This Row],[Compr. Lançado]]/Tabela4[[#This Row],[Compr. Prev.]]),"")</f>
        <v>1</v>
      </c>
      <c r="P13" s="24" t="str">
        <f ca="1">IFERROR(VLOOKUP(Tabela4[[#This Row],[Cabo]],BD!A:V,11,0),"")</f>
        <v>DIO-120-104 (RCK-120-102) / ELETROCENTRO MOTORIZAÇÃO</v>
      </c>
      <c r="Q13" s="24" t="str">
        <f ca="1">IFERROR(VLOOKUP(Tabela4[[#This Row],[Cabo]],BD!A:V,12,0),"")</f>
        <v>DIO-CCP-104 (RCK-CCP-101) / CCP</v>
      </c>
      <c r="R13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3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3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3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3" s="23">
        <f ca="1">IF(Tabela4[[#This Row],[Cabo]]&lt;&gt;"",4-COUNTIF(Tabela4[[#This Row],[Teste de Continuidade]:[Hipot]],"---"),"")</f>
        <v>0</v>
      </c>
      <c r="W13" s="29" t="e">
        <f ca="1">IF(Tabela4[[#This Row],[Cabo]]&lt;&gt;"",(COUNTIF(Tabela4[[#This Row],[Teste de Continuidade]:[Hipot]],"OK"))/(4-COUNTIF(Tabela4[[#This Row],[Teste de Continuidade]:[Hipot]],"---")),"")</f>
        <v>#DIV/0!</v>
      </c>
      <c r="X13" s="23">
        <f ca="1">IF(Tabela4[[#This Row],[Cabo]]&lt;&gt;"",SUMIFS('Lançamento de Cabos'!$AF:$AF,'Lançamento de Cabos'!AE:AE,Tabela4[[#This Row],[Cabo]],'Lançamento de Cabos'!AJ:AJ,Área!$B$1),"")</f>
        <v>0</v>
      </c>
      <c r="Y13" s="23">
        <f ca="1">IF(Tabela4[[#This Row],[Cabo]]&lt;&gt;"",SUMIFS('Lançamento de Cabos'!$AG:$AG,'Lançamento de Cabos'!AE:AE,Tabela4[[#This Row],[Cabo]],'Lançamento de Cabos'!AJ:AJ,Área!$B$1),"")</f>
        <v>0</v>
      </c>
      <c r="Z13" s="23" t="str">
        <f ca="1">VLOOKUP(Tabela4[[#This Row],[Cabo]],BD!A:AB,28,0)</f>
        <v>Disponível</v>
      </c>
    </row>
    <row r="14" spans="1:26" x14ac:dyDescent="0.25">
      <c r="C14" s="391" t="str">
        <f ca="1">IF($B$1="Geral",Tabela1[[#This Row],[Tag do Cabo]],IFERROR(INDEX(INDIRECT("BD!$A"&amp;D14&amp;":$A100000"),E14,1),""))</f>
        <v>CDC-12010</v>
      </c>
      <c r="D14" s="391">
        <f t="shared" ca="1" si="1"/>
        <v>206</v>
      </c>
      <c r="E14" s="391">
        <f t="shared" ca="1" si="0"/>
        <v>1</v>
      </c>
      <c r="F14" s="391" t="str">
        <f ca="1">IFERROR(VLOOKUP(Tabela4[[#This Row],[Cabo]],BD!A:V,2,0),"")</f>
        <v>FO</v>
      </c>
      <c r="G14" s="22" t="str">
        <f ca="1">IFERROR(VLOOKUP(Tabela4[[#This Row],[Cabo]],BD!A:V,5,0),"")</f>
        <v>FIBRA OPTICA SM 6 PARES</v>
      </c>
      <c r="H14" s="391" t="str">
        <f ca="1">IFERROR(VLOOKUP(Tabela4[[#This Row],[Cabo]],BD!A:V,3,0),"")</f>
        <v>-</v>
      </c>
      <c r="I14" s="391" t="str">
        <f ca="1">IFERROR(VLOOKUP(Tabela4[[#This Row],[Cabo]],BD!A:V,4,0),"")</f>
        <v>-</v>
      </c>
      <c r="J14" s="391">
        <f ca="1">IFERROR(VLOOKUP(Tabela4[[#This Row],[Cabo]],BD!A:V,7,0),"")</f>
        <v>1</v>
      </c>
      <c r="K14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4" s="23">
        <f ca="1">IFERROR(VLOOKUP(Tabela4[[#This Row],[Cabo]],BD!A:V,9,0),"")</f>
        <v>350</v>
      </c>
      <c r="M14" s="23">
        <f ca="1">IFERROR(VLOOKUP(Tabela4[[#This Row],[Cabo]],BD!A:AD,30,0),"")</f>
        <v>350</v>
      </c>
      <c r="N14" s="23">
        <f ca="1">IF(SUMIF('Lançamento de Cabos'!B:B,Tabela4[[#This Row],[Cabo]],'Lançamento de Cabos'!C:C)=0,"",SUMIF('Lançamento de Cabos'!B:B,Tabela4[[#This Row],[Cabo]],'Lançamento de Cabos'!C:C))</f>
        <v>350</v>
      </c>
      <c r="O14" s="28">
        <f ca="1">IFERROR(IF(Tabela4[[#This Row],[Compr. Lançado]]/Tabela4[[#This Row],[Compr. Prev.]]&gt;1,1,Tabela4[[#This Row],[Compr. Lançado]]/Tabela4[[#This Row],[Compr. Prev.]]),"")</f>
        <v>1</v>
      </c>
      <c r="P14" s="24" t="str">
        <f ca="1">IFERROR(VLOOKUP(Tabela4[[#This Row],[Cabo]],BD!A:V,11,0),"")</f>
        <v>RACK 7HV - RCK-120-102</v>
      </c>
      <c r="Q14" s="24" t="str">
        <f ca="1">IFERROR(VLOOKUP(Tabela4[[#This Row],[Cabo]],BD!A:V,12,0),"")</f>
        <v>RACK CCP - RCK-90-105</v>
      </c>
      <c r="R14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4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4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4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4" s="23">
        <f ca="1">IF(Tabela4[[#This Row],[Cabo]]&lt;&gt;"",4-COUNTIF(Tabela4[[#This Row],[Teste de Continuidade]:[Hipot]],"---"),"")</f>
        <v>0</v>
      </c>
      <c r="W14" s="29" t="e">
        <f ca="1">IF(Tabela4[[#This Row],[Cabo]]&lt;&gt;"",(COUNTIF(Tabela4[[#This Row],[Teste de Continuidade]:[Hipot]],"OK"))/(4-COUNTIF(Tabela4[[#This Row],[Teste de Continuidade]:[Hipot]],"---")),"")</f>
        <v>#DIV/0!</v>
      </c>
      <c r="X14" s="23">
        <f ca="1">IF(Tabela4[[#This Row],[Cabo]]&lt;&gt;"",SUMIFS('Lançamento de Cabos'!$AF:$AF,'Lançamento de Cabos'!AE:AE,Tabela4[[#This Row],[Cabo]],'Lançamento de Cabos'!AJ:AJ,Área!$B$1),"")</f>
        <v>0</v>
      </c>
      <c r="Y14" s="23">
        <f ca="1">IF(Tabela4[[#This Row],[Cabo]]&lt;&gt;"",SUMIFS('Lançamento de Cabos'!$AG:$AG,'Lançamento de Cabos'!AE:AE,Tabela4[[#This Row],[Cabo]],'Lançamento de Cabos'!AJ:AJ,Área!$B$1),"")</f>
        <v>0</v>
      </c>
      <c r="Z14" s="23" t="str">
        <f ca="1">VLOOKUP(Tabela4[[#This Row],[Cabo]],BD!A:AB,28,0)</f>
        <v>Disponível</v>
      </c>
    </row>
    <row r="15" spans="1:26" x14ac:dyDescent="0.25">
      <c r="C15" s="391" t="str">
        <f ca="1">IF($B$1="Geral",Tabela1[[#This Row],[Tag do Cabo]],IFERROR(INDEX(INDIRECT("BD!$A"&amp;D15&amp;":$A100000"),E15,1),""))</f>
        <v>CBO006-RS</v>
      </c>
      <c r="D15" s="391">
        <f t="shared" ca="1" si="1"/>
        <v>207</v>
      </c>
      <c r="E15" s="391">
        <f t="shared" ca="1" si="0"/>
        <v>49</v>
      </c>
      <c r="F15" s="391" t="str">
        <f ca="1">IFERROR(VLOOKUP(Tabela4[[#This Row],[Cabo]],BD!A:V,2,0),"")</f>
        <v>FO</v>
      </c>
      <c r="G15" s="22" t="str">
        <f ca="1">IFERROR(VLOOKUP(Tabela4[[#This Row],[Cabo]],BD!A:V,5,0),"")</f>
        <v>CABO ÓPTICO 4 VIAS</v>
      </c>
      <c r="H15" s="391" t="str">
        <f ca="1">IFERROR(VLOOKUP(Tabela4[[#This Row],[Cabo]],BD!A:V,3,0),"")</f>
        <v>-</v>
      </c>
      <c r="I15" s="391" t="str">
        <f ca="1">IFERROR(VLOOKUP(Tabela4[[#This Row],[Cabo]],BD!A:V,4,0),"")</f>
        <v>-</v>
      </c>
      <c r="J15" s="391">
        <f ca="1">IFERROR(VLOOKUP(Tabela4[[#This Row],[Cabo]],BD!A:V,7,0),"")</f>
        <v>1</v>
      </c>
      <c r="K15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5" s="23">
        <f ca="1">IFERROR(VLOOKUP(Tabela4[[#This Row],[Cabo]],BD!A:V,9,0),"")</f>
        <v>950</v>
      </c>
      <c r="M15" s="23">
        <f ca="1">IFERROR(VLOOKUP(Tabela4[[#This Row],[Cabo]],BD!A:AD,30,0),"")</f>
        <v>1150</v>
      </c>
      <c r="N15" s="23">
        <f ca="1">IF(SUMIF('Lançamento de Cabos'!B:B,Tabela4[[#This Row],[Cabo]],'Lançamento de Cabos'!C:C)=0,"",SUMIF('Lançamento de Cabos'!B:B,Tabela4[[#This Row],[Cabo]],'Lançamento de Cabos'!C:C))</f>
        <v>1150</v>
      </c>
      <c r="O15" s="28">
        <f ca="1">IFERROR(IF(Tabela4[[#This Row],[Compr. Lançado]]/Tabela4[[#This Row],[Compr. Prev.]]&gt;1,1,Tabela4[[#This Row],[Compr. Lançado]]/Tabela4[[#This Row],[Compr. Prev.]]),"")</f>
        <v>1</v>
      </c>
      <c r="P15" s="24" t="str">
        <f ca="1">IFERROR(VLOOKUP(Tabela4[[#This Row],[Cabo]],BD!A:V,11,0),"")</f>
        <v>PSDC4 - DIO1</v>
      </c>
      <c r="Q15" s="24" t="str">
        <f ca="1">IFERROR(VLOOKUP(Tabela4[[#This Row],[Cabo]],BD!A:V,12,0),"")</f>
        <v>PSINC1 - DOI 1</v>
      </c>
      <c r="R15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5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5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5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5" s="23">
        <f ca="1">IF(Tabela4[[#This Row],[Cabo]]&lt;&gt;"",4-COUNTIF(Tabela4[[#This Row],[Teste de Continuidade]:[Hipot]],"---"),"")</f>
        <v>0</v>
      </c>
      <c r="W15" s="29" t="e">
        <f ca="1">IF(Tabela4[[#This Row],[Cabo]]&lt;&gt;"",(COUNTIF(Tabela4[[#This Row],[Teste de Continuidade]:[Hipot]],"OK"))/(4-COUNTIF(Tabela4[[#This Row],[Teste de Continuidade]:[Hipot]],"---")),"")</f>
        <v>#DIV/0!</v>
      </c>
      <c r="X15" s="23">
        <f ca="1">IF(Tabela4[[#This Row],[Cabo]]&lt;&gt;"",SUMIFS('Lançamento de Cabos'!$AF:$AF,'Lançamento de Cabos'!AE:AE,Tabela4[[#This Row],[Cabo]],'Lançamento de Cabos'!AJ:AJ,Área!$B$1),"")</f>
        <v>0</v>
      </c>
      <c r="Y15" s="23">
        <f ca="1">IF(Tabela4[[#This Row],[Cabo]]&lt;&gt;"",SUMIFS('Lançamento de Cabos'!$AG:$AG,'Lançamento de Cabos'!AE:AE,Tabela4[[#This Row],[Cabo]],'Lançamento de Cabos'!AJ:AJ,Área!$B$1),"")</f>
        <v>8</v>
      </c>
      <c r="Z15" s="23" t="str">
        <f ca="1">VLOOKUP(Tabela4[[#This Row],[Cabo]],BD!A:AB,28,0)</f>
        <v>Disponível</v>
      </c>
    </row>
    <row r="16" spans="1:26" x14ac:dyDescent="0.25">
      <c r="C16" s="391" t="str">
        <f ca="1">IF($B$1="Geral",Tabela1[[#This Row],[Tag do Cabo]],IFERROR(INDEX(INDIRECT("BD!$A"&amp;D16&amp;":$A100000"),E16,1),""))</f>
        <v>CO020-RS</v>
      </c>
      <c r="D16" s="391">
        <f t="shared" ca="1" si="1"/>
        <v>256</v>
      </c>
      <c r="E16" s="391">
        <f t="shared" ca="1" si="0"/>
        <v>32</v>
      </c>
      <c r="F16" s="391" t="str">
        <f ca="1">IFERROR(VLOOKUP(Tabela4[[#This Row],[Cabo]],BD!A:V,2,0),"")</f>
        <v>FO</v>
      </c>
      <c r="G16" s="22" t="str">
        <f ca="1">IFERROR(VLOOKUP(Tabela4[[#This Row],[Cabo]],BD!A:V,5,0),"")</f>
        <v>CORDÃO ÓPTICO</v>
      </c>
      <c r="H16" s="391" t="str">
        <f ca="1">IFERROR(VLOOKUP(Tabela4[[#This Row],[Cabo]],BD!A:V,3,0),"")</f>
        <v>-</v>
      </c>
      <c r="I16" s="391" t="str">
        <f ca="1">IFERROR(VLOOKUP(Tabela4[[#This Row],[Cabo]],BD!A:V,4,0),"")</f>
        <v>-</v>
      </c>
      <c r="J16" s="391">
        <f ca="1">IFERROR(VLOOKUP(Tabela4[[#This Row],[Cabo]],BD!A:V,7,0),"")</f>
        <v>1</v>
      </c>
      <c r="K1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" s="23">
        <f ca="1">IFERROR(VLOOKUP(Tabela4[[#This Row],[Cabo]],BD!A:V,9,0),"")</f>
        <v>10</v>
      </c>
      <c r="M16" s="23">
        <f ca="1">IFERROR(VLOOKUP(Tabela4[[#This Row],[Cabo]],BD!A:AD,30,0),"")</f>
        <v>10</v>
      </c>
      <c r="N16" s="23" t="str">
        <f ca="1">IF(SUMIF('Lançamento de Cabos'!B:B,Tabela4[[#This Row],[Cabo]],'Lançamento de Cabos'!C:C)=0,"",SUMIF('Lançamento de Cabos'!B:B,Tabela4[[#This Row],[Cabo]],'Lançamento de Cabos'!C:C))</f>
        <v/>
      </c>
      <c r="O16" s="28" t="str">
        <f ca="1">IFERROR(IF(Tabela4[[#This Row],[Compr. Lançado]]/Tabela4[[#This Row],[Compr. Prev.]]&gt;1,1,Tabela4[[#This Row],[Compr. Lançado]]/Tabela4[[#This Row],[Compr. Prev.]]),"")</f>
        <v/>
      </c>
      <c r="P16" s="24" t="str">
        <f ca="1">IFERROR(VLOOKUP(Tabela4[[#This Row],[Cabo]],BD!A:V,11,0),"")</f>
        <v>PSDC1-DIO2</v>
      </c>
      <c r="Q16" s="24" t="str">
        <f ca="1">IFERROR(VLOOKUP(Tabela4[[#This Row],[Cabo]],BD!A:V,12,0),"")</f>
        <v>PSINC2-USINC2A</v>
      </c>
      <c r="R16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6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6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6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6" s="23">
        <f ca="1">IF(Tabela4[[#This Row],[Cabo]]&lt;&gt;"",4-COUNTIF(Tabela4[[#This Row],[Teste de Continuidade]:[Hipot]],"---"),"")</f>
        <v>0</v>
      </c>
      <c r="W16" s="29" t="e">
        <f ca="1">IF(Tabela4[[#This Row],[Cabo]]&lt;&gt;"",(COUNTIF(Tabela4[[#This Row],[Teste de Continuidade]:[Hipot]],"OK"))/(4-COUNTIF(Tabela4[[#This Row],[Teste de Continuidade]:[Hipot]],"---")),"")</f>
        <v>#DIV/0!</v>
      </c>
      <c r="X16" s="23">
        <f ca="1">IF(Tabela4[[#This Row],[Cabo]]&lt;&gt;"",SUMIFS('Lançamento de Cabos'!$AF:$AF,'Lançamento de Cabos'!AE:AE,Tabela4[[#This Row],[Cabo]],'Lançamento de Cabos'!AJ:AJ,Área!$B$1),"")</f>
        <v>0</v>
      </c>
      <c r="Y16" s="23">
        <f ca="1">IF(Tabela4[[#This Row],[Cabo]]&lt;&gt;"",SUMIFS('Lançamento de Cabos'!$AG:$AG,'Lançamento de Cabos'!AE:AE,Tabela4[[#This Row],[Cabo]],'Lançamento de Cabos'!AJ:AJ,Área!$B$1),"")</f>
        <v>0</v>
      </c>
      <c r="Z16" s="23" t="str">
        <f ca="1">VLOOKUP(Tabela4[[#This Row],[Cabo]],BD!A:AB,28,0)</f>
        <v>Disponível</v>
      </c>
    </row>
    <row r="17" spans="3:26" x14ac:dyDescent="0.25">
      <c r="C17" s="391" t="str">
        <f ca="1">IF($B$1="Geral",Tabela1[[#This Row],[Tag do Cabo]],IFERROR(INDEX(INDIRECT("BD!$A"&amp;D17&amp;":$A100000"),E17,1),""))</f>
        <v>CO008-RS</v>
      </c>
      <c r="D17" s="391">
        <f t="shared" ca="1" si="1"/>
        <v>288</v>
      </c>
      <c r="E17" s="391">
        <f t="shared" ca="1" si="0"/>
        <v>1</v>
      </c>
      <c r="F17" s="391" t="str">
        <f ca="1">IFERROR(VLOOKUP(Tabela4[[#This Row],[Cabo]],BD!A:V,2,0),"")</f>
        <v>FO</v>
      </c>
      <c r="G17" s="22" t="str">
        <f ca="1">IFERROR(VLOOKUP(Tabela4[[#This Row],[Cabo]],BD!A:V,5,0),"")</f>
        <v>CORDÃO ÓPTICO</v>
      </c>
      <c r="H17" s="391" t="str">
        <f ca="1">IFERROR(VLOOKUP(Tabela4[[#This Row],[Cabo]],BD!A:V,3,0),"")</f>
        <v>-</v>
      </c>
      <c r="I17" s="391" t="str">
        <f ca="1">IFERROR(VLOOKUP(Tabela4[[#This Row],[Cabo]],BD!A:V,4,0),"")</f>
        <v>-</v>
      </c>
      <c r="J17" s="391">
        <f ca="1">IFERROR(VLOOKUP(Tabela4[[#This Row],[Cabo]],BD!A:V,7,0),"")</f>
        <v>1</v>
      </c>
      <c r="K1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" s="23">
        <f ca="1">IFERROR(VLOOKUP(Tabela4[[#This Row],[Cabo]],BD!A:V,9,0),"")</f>
        <v>5</v>
      </c>
      <c r="M17" s="23">
        <f ca="1">IFERROR(VLOOKUP(Tabela4[[#This Row],[Cabo]],BD!A:AD,30,0),"")</f>
        <v>5</v>
      </c>
      <c r="N17" s="23" t="str">
        <f ca="1">IF(SUMIF('Lançamento de Cabos'!B:B,Tabela4[[#This Row],[Cabo]],'Lançamento de Cabos'!C:C)=0,"",SUMIF('Lançamento de Cabos'!B:B,Tabela4[[#This Row],[Cabo]],'Lançamento de Cabos'!C:C))</f>
        <v/>
      </c>
      <c r="O17" s="28" t="str">
        <f ca="1">IFERROR(IF(Tabela4[[#This Row],[Compr. Lançado]]/Tabela4[[#This Row],[Compr. Prev.]]&gt;1,1,Tabela4[[#This Row],[Compr. Lançado]]/Tabela4[[#This Row],[Compr. Prev.]]),"")</f>
        <v/>
      </c>
      <c r="P17" s="24" t="str">
        <f ca="1">IFERROR(VLOOKUP(Tabela4[[#This Row],[Cabo]],BD!A:V,11,0),"")</f>
        <v>PSDC1-UDC1</v>
      </c>
      <c r="Q17" s="24" t="str">
        <f ca="1">IFERROR(VLOOKUP(Tabela4[[#This Row],[Cabo]],BD!A:V,12,0),"")</f>
        <v>PSINC2-USINC2P</v>
      </c>
      <c r="R17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7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7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7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7" s="23">
        <f ca="1">IF(Tabela4[[#This Row],[Cabo]]&lt;&gt;"",4-COUNTIF(Tabela4[[#This Row],[Teste de Continuidade]:[Hipot]],"---"),"")</f>
        <v>0</v>
      </c>
      <c r="W17" s="29" t="e">
        <f ca="1">IF(Tabela4[[#This Row],[Cabo]]&lt;&gt;"",(COUNTIF(Tabela4[[#This Row],[Teste de Continuidade]:[Hipot]],"OK"))/(4-COUNTIF(Tabela4[[#This Row],[Teste de Continuidade]:[Hipot]],"---")),"")</f>
        <v>#DIV/0!</v>
      </c>
      <c r="X17" s="23">
        <f ca="1">IF(Tabela4[[#This Row],[Cabo]]&lt;&gt;"",SUMIFS('Lançamento de Cabos'!$AF:$AF,'Lançamento de Cabos'!AE:AE,Tabela4[[#This Row],[Cabo]],'Lançamento de Cabos'!AJ:AJ,Área!$B$1),"")</f>
        <v>0</v>
      </c>
      <c r="Y17" s="23">
        <f ca="1">IF(Tabela4[[#This Row],[Cabo]]&lt;&gt;"",SUMIFS('Lançamento de Cabos'!$AG:$AG,'Lançamento de Cabos'!AE:AE,Tabela4[[#This Row],[Cabo]],'Lançamento de Cabos'!AJ:AJ,Área!$B$1),"")</f>
        <v>0</v>
      </c>
      <c r="Z17" s="23" t="str">
        <f ca="1">VLOOKUP(Tabela4[[#This Row],[Cabo]],BD!A:AB,28,0)</f>
        <v>Disponível</v>
      </c>
    </row>
    <row r="18" spans="3:26" x14ac:dyDescent="0.25">
      <c r="C18" s="391" t="str">
        <f ca="1">IF($B$1="Geral",Tabela1[[#This Row],[Tag do Cabo]],IFERROR(INDEX(INDIRECT("BD!$A"&amp;D18&amp;":$A100000"),E18,1),""))</f>
        <v>CBO003-RS</v>
      </c>
      <c r="D18" s="391">
        <f t="shared" ca="1" si="1"/>
        <v>289</v>
      </c>
      <c r="E18" s="391">
        <f t="shared" ca="1" si="0"/>
        <v>3</v>
      </c>
      <c r="F18" s="391" t="str">
        <f ca="1">IFERROR(VLOOKUP(Tabela4[[#This Row],[Cabo]],BD!A:V,2,0),"")</f>
        <v>FO</v>
      </c>
      <c r="G18" s="22" t="str">
        <f ca="1">IFERROR(VLOOKUP(Tabela4[[#This Row],[Cabo]],BD!A:V,5,0),"")</f>
        <v>CABO ÓPTICO 4 VIAS</v>
      </c>
      <c r="H18" s="391" t="str">
        <f ca="1">IFERROR(VLOOKUP(Tabela4[[#This Row],[Cabo]],BD!A:V,3,0),"")</f>
        <v>-</v>
      </c>
      <c r="I18" s="391" t="str">
        <f ca="1">IFERROR(VLOOKUP(Tabela4[[#This Row],[Cabo]],BD!A:V,4,0),"")</f>
        <v>-</v>
      </c>
      <c r="J18" s="391">
        <f ca="1">IFERROR(VLOOKUP(Tabela4[[#This Row],[Cabo]],BD!A:V,7,0),"")</f>
        <v>1</v>
      </c>
      <c r="K18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8" s="23">
        <f ca="1">IFERROR(VLOOKUP(Tabela4[[#This Row],[Cabo]],BD!A:V,9,0),"")</f>
        <v>430</v>
      </c>
      <c r="M18" s="23">
        <f ca="1">IFERROR(VLOOKUP(Tabela4[[#This Row],[Cabo]],BD!A:AD,30,0),"")</f>
        <v>430</v>
      </c>
      <c r="N18" s="23">
        <f ca="1">IF(SUMIF('Lançamento de Cabos'!B:B,Tabela4[[#This Row],[Cabo]],'Lançamento de Cabos'!C:C)=0,"",SUMIF('Lançamento de Cabos'!B:B,Tabela4[[#This Row],[Cabo]],'Lançamento de Cabos'!C:C))</f>
        <v>430</v>
      </c>
      <c r="O18" s="28">
        <f ca="1">IFERROR(IF(Tabela4[[#This Row],[Compr. Lançado]]/Tabela4[[#This Row],[Compr. Prev.]]&gt;1,1,Tabela4[[#This Row],[Compr. Lançado]]/Tabela4[[#This Row],[Compr. Prev.]]),"")</f>
        <v>1</v>
      </c>
      <c r="P18" s="24" t="str">
        <f ca="1">IFERROR(VLOOKUP(Tabela4[[#This Row],[Cabo]],BD!A:V,11,0),"")</f>
        <v>PSDC1-DIO2</v>
      </c>
      <c r="Q18" s="24" t="str">
        <f ca="1">IFERROR(VLOOKUP(Tabela4[[#This Row],[Cabo]],BD!A:V,12,0),"")</f>
        <v>PSDC2-DIO</v>
      </c>
      <c r="R18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8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8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8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8" s="23">
        <f ca="1">IF(Tabela4[[#This Row],[Cabo]]&lt;&gt;"",4-COUNTIF(Tabela4[[#This Row],[Teste de Continuidade]:[Hipot]],"---"),"")</f>
        <v>0</v>
      </c>
      <c r="W18" s="29" t="e">
        <f ca="1">IF(Tabela4[[#This Row],[Cabo]]&lt;&gt;"",(COUNTIF(Tabela4[[#This Row],[Teste de Continuidade]:[Hipot]],"OK"))/(4-COUNTIF(Tabela4[[#This Row],[Teste de Continuidade]:[Hipot]],"---")),"")</f>
        <v>#DIV/0!</v>
      </c>
      <c r="X18" s="23">
        <f ca="1">IF(Tabela4[[#This Row],[Cabo]]&lt;&gt;"",SUMIFS('Lançamento de Cabos'!$AF:$AF,'Lançamento de Cabos'!AE:AE,Tabela4[[#This Row],[Cabo]],'Lançamento de Cabos'!AJ:AJ,Área!$B$1),"")</f>
        <v>0</v>
      </c>
      <c r="Y18" s="23">
        <f ca="1">IF(Tabela4[[#This Row],[Cabo]]&lt;&gt;"",SUMIFS('Lançamento de Cabos'!$AG:$AG,'Lançamento de Cabos'!AE:AE,Tabela4[[#This Row],[Cabo]],'Lançamento de Cabos'!AJ:AJ,Área!$B$1),"")</f>
        <v>8</v>
      </c>
      <c r="Z18" s="23" t="str">
        <f ca="1">VLOOKUP(Tabela4[[#This Row],[Cabo]],BD!A:AB,28,0)</f>
        <v>Disponível</v>
      </c>
    </row>
    <row r="19" spans="3:26" x14ac:dyDescent="0.25">
      <c r="C19" s="391" t="str">
        <f ca="1">IF($B$1="Geral",Tabela1[[#This Row],[Tag do Cabo]],IFERROR(INDEX(INDIRECT("BD!$A"&amp;D19&amp;":$A100000"),E19,1),""))</f>
        <v>CBO008-RS</v>
      </c>
      <c r="D19" s="391">
        <f t="shared" ca="1" si="1"/>
        <v>292</v>
      </c>
      <c r="E19" s="391">
        <f t="shared" ca="1" si="0"/>
        <v>9</v>
      </c>
      <c r="F19" s="391" t="str">
        <f ca="1">IFERROR(VLOOKUP(Tabela4[[#This Row],[Cabo]],BD!A:V,2,0),"")</f>
        <v>FO</v>
      </c>
      <c r="G19" s="22" t="str">
        <f ca="1">IFERROR(VLOOKUP(Tabela4[[#This Row],[Cabo]],BD!A:V,5,0),"")</f>
        <v>CABO ÓPTICO 4 VIAS</v>
      </c>
      <c r="H19" s="391" t="str">
        <f ca="1">IFERROR(VLOOKUP(Tabela4[[#This Row],[Cabo]],BD!A:V,3,0),"")</f>
        <v>-</v>
      </c>
      <c r="I19" s="391" t="str">
        <f ca="1">IFERROR(VLOOKUP(Tabela4[[#This Row],[Cabo]],BD!A:V,4,0),"")</f>
        <v>-</v>
      </c>
      <c r="J19" s="391">
        <f ca="1">IFERROR(VLOOKUP(Tabela4[[#This Row],[Cabo]],BD!A:V,7,0),"")</f>
        <v>1</v>
      </c>
      <c r="K19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19" s="23">
        <f ca="1">IFERROR(VLOOKUP(Tabela4[[#This Row],[Cabo]],BD!A:V,9,0),"")</f>
        <v>750</v>
      </c>
      <c r="M19" s="23">
        <f ca="1">IFERROR(VLOOKUP(Tabela4[[#This Row],[Cabo]],BD!A:AD,30,0),"")</f>
        <v>774</v>
      </c>
      <c r="N19" s="23">
        <f ca="1">IF(SUMIF('Lançamento de Cabos'!B:B,Tabela4[[#This Row],[Cabo]],'Lançamento de Cabos'!C:C)=0,"",SUMIF('Lançamento de Cabos'!B:B,Tabela4[[#This Row],[Cabo]],'Lançamento de Cabos'!C:C))</f>
        <v>774</v>
      </c>
      <c r="O19" s="28">
        <f ca="1">IFERROR(IF(Tabela4[[#This Row],[Compr. Lançado]]/Tabela4[[#This Row],[Compr. Prev.]]&gt;1,1,Tabela4[[#This Row],[Compr. Lançado]]/Tabela4[[#This Row],[Compr. Prev.]]),"")</f>
        <v>1</v>
      </c>
      <c r="P19" s="24" t="str">
        <f ca="1">IFERROR(VLOOKUP(Tabela4[[#This Row],[Cabo]],BD!A:V,11,0),"")</f>
        <v>PSDC4-DIO2</v>
      </c>
      <c r="Q19" s="24" t="str">
        <f ca="1">IFERROR(VLOOKUP(Tabela4[[#This Row],[Cabo]],BD!A:V,12,0),"")</f>
        <v>8HV-DIO</v>
      </c>
      <c r="R19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19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19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19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19" s="23">
        <f ca="1">IF(Tabela4[[#This Row],[Cabo]]&lt;&gt;"",4-COUNTIF(Tabela4[[#This Row],[Teste de Continuidade]:[Hipot]],"---"),"")</f>
        <v>0</v>
      </c>
      <c r="W19" s="29" t="e">
        <f ca="1">IF(Tabela4[[#This Row],[Cabo]]&lt;&gt;"",(COUNTIF(Tabela4[[#This Row],[Teste de Continuidade]:[Hipot]],"OK"))/(4-COUNTIF(Tabela4[[#This Row],[Teste de Continuidade]:[Hipot]],"---")),"")</f>
        <v>#DIV/0!</v>
      </c>
      <c r="X19" s="23">
        <f ca="1">IF(Tabela4[[#This Row],[Cabo]]&lt;&gt;"",SUMIFS('Lançamento de Cabos'!$AF:$AF,'Lançamento de Cabos'!AE:AE,Tabela4[[#This Row],[Cabo]],'Lançamento de Cabos'!AJ:AJ,Área!$B$1),"")</f>
        <v>0</v>
      </c>
      <c r="Y19" s="23">
        <f ca="1">IF(Tabela4[[#This Row],[Cabo]]&lt;&gt;"",SUMIFS('Lançamento de Cabos'!$AG:$AG,'Lançamento de Cabos'!AE:AE,Tabela4[[#This Row],[Cabo]],'Lançamento de Cabos'!AJ:AJ,Área!$B$1),"")</f>
        <v>4</v>
      </c>
      <c r="Z19" s="23" t="str">
        <f ca="1">VLOOKUP(Tabela4[[#This Row],[Cabo]],BD!A:AB,28,0)</f>
        <v>Disponível</v>
      </c>
    </row>
    <row r="20" spans="3:26" x14ac:dyDescent="0.25">
      <c r="C20" s="391" t="str">
        <f ca="1">IF($B$1="Geral",Tabela1[[#This Row],[Tag do Cabo]],IFERROR(INDEX(INDIRECT("BD!$A"&amp;D20&amp;":$A100000"),E20,1),""))</f>
        <v>CBO009-PC</v>
      </c>
      <c r="D20" s="391">
        <f t="shared" ca="1" si="1"/>
        <v>301</v>
      </c>
      <c r="E20" s="391">
        <f t="shared" ca="1" si="0"/>
        <v>1</v>
      </c>
      <c r="F20" s="391" t="str">
        <f ca="1">IFERROR(VLOOKUP(Tabela4[[#This Row],[Cabo]],BD!A:V,2,0),"")</f>
        <v>FO</v>
      </c>
      <c r="G20" s="22" t="str">
        <f ca="1">IFERROR(VLOOKUP(Tabela4[[#This Row],[Cabo]],BD!A:V,5,0),"")</f>
        <v>CABO ÓPTICO 4 VIAS</v>
      </c>
      <c r="H20" s="391" t="str">
        <f ca="1">IFERROR(VLOOKUP(Tabela4[[#This Row],[Cabo]],BD!A:V,3,0),"")</f>
        <v>-</v>
      </c>
      <c r="I20" s="391" t="str">
        <f ca="1">IFERROR(VLOOKUP(Tabela4[[#This Row],[Cabo]],BD!A:V,4,0),"")</f>
        <v>-</v>
      </c>
      <c r="J20" s="391">
        <f ca="1">IFERROR(VLOOKUP(Tabela4[[#This Row],[Cabo]],BD!A:V,7,0),"")</f>
        <v>1</v>
      </c>
      <c r="K20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20" s="23">
        <f ca="1">IFERROR(VLOOKUP(Tabela4[[#This Row],[Cabo]],BD!A:V,9,0),"")</f>
        <v>750</v>
      </c>
      <c r="M20" s="23">
        <f ca="1">IFERROR(VLOOKUP(Tabela4[[#This Row],[Cabo]],BD!A:AD,30,0),"")</f>
        <v>774</v>
      </c>
      <c r="N20" s="23">
        <f ca="1">IF(SUMIF('Lançamento de Cabos'!B:B,Tabela4[[#This Row],[Cabo]],'Lançamento de Cabos'!C:C)=0,"",SUMIF('Lançamento de Cabos'!B:B,Tabela4[[#This Row],[Cabo]],'Lançamento de Cabos'!C:C))</f>
        <v>774</v>
      </c>
      <c r="O20" s="28">
        <f ca="1">IFERROR(IF(Tabela4[[#This Row],[Compr. Lançado]]/Tabela4[[#This Row],[Compr. Prev.]]&gt;1,1,Tabela4[[#This Row],[Compr. Lançado]]/Tabela4[[#This Row],[Compr. Prev.]]),"")</f>
        <v>1</v>
      </c>
      <c r="P20" s="24" t="str">
        <f ca="1">IFERROR(VLOOKUP(Tabela4[[#This Row],[Cabo]],BD!A:V,11,0),"")</f>
        <v>8HV-DIO2</v>
      </c>
      <c r="Q20" s="24" t="str">
        <f ca="1">IFERROR(VLOOKUP(Tabela4[[#This Row],[Cabo]],BD!A:V,12,0),"")</f>
        <v>PSDC4-DIO</v>
      </c>
      <c r="R20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0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0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0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0" s="23">
        <f ca="1">IF(Tabela4[[#This Row],[Cabo]]&lt;&gt;"",4-COUNTIF(Tabela4[[#This Row],[Teste de Continuidade]:[Hipot]],"---"),"")</f>
        <v>0</v>
      </c>
      <c r="W20" s="29" t="e">
        <f ca="1">IF(Tabela4[[#This Row],[Cabo]]&lt;&gt;"",(COUNTIF(Tabela4[[#This Row],[Teste de Continuidade]:[Hipot]],"OK"))/(4-COUNTIF(Tabela4[[#This Row],[Teste de Continuidade]:[Hipot]],"---")),"")</f>
        <v>#DIV/0!</v>
      </c>
      <c r="X20" s="23">
        <f ca="1">IF(Tabela4[[#This Row],[Cabo]]&lt;&gt;"",SUMIFS('Lançamento de Cabos'!$AF:$AF,'Lançamento de Cabos'!AE:AE,Tabela4[[#This Row],[Cabo]],'Lançamento de Cabos'!AJ:AJ,Área!$B$1),"")</f>
        <v>0</v>
      </c>
      <c r="Y20" s="23">
        <f ca="1">IF(Tabela4[[#This Row],[Cabo]]&lt;&gt;"",SUMIFS('Lançamento de Cabos'!$AG:$AG,'Lançamento de Cabos'!AE:AE,Tabela4[[#This Row],[Cabo]],'Lançamento de Cabos'!AJ:AJ,Área!$B$1),"")</f>
        <v>0</v>
      </c>
      <c r="Z20" s="23" t="str">
        <f ca="1">VLOOKUP(Tabela4[[#This Row],[Cabo]],BD!A:AB,28,0)</f>
        <v>Disponível</v>
      </c>
    </row>
    <row r="21" spans="3:26" x14ac:dyDescent="0.25">
      <c r="C21" s="391" t="str">
        <f ca="1">IF($B$1="Geral",Tabela1[[#This Row],[Tag do Cabo]],IFERROR(INDEX(INDIRECT("BD!$A"&amp;D21&amp;":$A100000"),E21,1),""))</f>
        <v>CBO001-RS</v>
      </c>
      <c r="D21" s="391">
        <f t="shared" ca="1" si="1"/>
        <v>302</v>
      </c>
      <c r="E21" s="391">
        <f t="shared" ca="1" si="0"/>
        <v>1</v>
      </c>
      <c r="F21" s="391" t="str">
        <f ca="1">IFERROR(VLOOKUP(Tabela4[[#This Row],[Cabo]],BD!A:V,2,0),"")</f>
        <v>FO</v>
      </c>
      <c r="G21" s="22" t="str">
        <f ca="1">IFERROR(VLOOKUP(Tabela4[[#This Row],[Cabo]],BD!A:V,5,0),"")</f>
        <v>CABO ÓPTICO 4 VIAS</v>
      </c>
      <c r="H21" s="391" t="str">
        <f ca="1">IFERROR(VLOOKUP(Tabela4[[#This Row],[Cabo]],BD!A:V,3,0),"")</f>
        <v>-</v>
      </c>
      <c r="I21" s="391" t="str">
        <f ca="1">IFERROR(VLOOKUP(Tabela4[[#This Row],[Cabo]],BD!A:V,4,0),"")</f>
        <v>-</v>
      </c>
      <c r="J21" s="391">
        <f ca="1">IFERROR(VLOOKUP(Tabela4[[#This Row],[Cabo]],BD!A:V,7,0),"")</f>
        <v>1</v>
      </c>
      <c r="K21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21" s="23">
        <f ca="1">IFERROR(VLOOKUP(Tabela4[[#This Row],[Cabo]],BD!A:V,9,0),"")</f>
        <v>230</v>
      </c>
      <c r="M21" s="23">
        <f ca="1">IFERROR(VLOOKUP(Tabela4[[#This Row],[Cabo]],BD!A:AD,30,0),"")</f>
        <v>230</v>
      </c>
      <c r="N21" s="23">
        <f ca="1">IF(SUMIF('Lançamento de Cabos'!B:B,Tabela4[[#This Row],[Cabo]],'Lançamento de Cabos'!C:C)=0,"",SUMIF('Lançamento de Cabos'!B:B,Tabela4[[#This Row],[Cabo]],'Lançamento de Cabos'!C:C))</f>
        <v>230</v>
      </c>
      <c r="O21" s="28">
        <f ca="1">IFERROR(IF(Tabela4[[#This Row],[Compr. Lançado]]/Tabela4[[#This Row],[Compr. Prev.]]&gt;1,1,Tabela4[[#This Row],[Compr. Lançado]]/Tabela4[[#This Row],[Compr. Prev.]]),"")</f>
        <v>1</v>
      </c>
      <c r="P21" s="24" t="str">
        <f ca="1">IFERROR(VLOOKUP(Tabela4[[#This Row],[Cabo]],BD!A:V,11,0),"")</f>
        <v>PSDC1-DIO1</v>
      </c>
      <c r="Q21" s="24" t="str">
        <f ca="1">IFERROR(VLOOKUP(Tabela4[[#This Row],[Cabo]],BD!A:V,12,0),"")</f>
        <v>SALA SERVIDORES - CCO-DIO</v>
      </c>
      <c r="R21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1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1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1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1" s="23">
        <f ca="1">IF(Tabela4[[#This Row],[Cabo]]&lt;&gt;"",4-COUNTIF(Tabela4[[#This Row],[Teste de Continuidade]:[Hipot]],"---"),"")</f>
        <v>0</v>
      </c>
      <c r="W21" s="29" t="e">
        <f ca="1">IF(Tabela4[[#This Row],[Cabo]]&lt;&gt;"",(COUNTIF(Tabela4[[#This Row],[Teste de Continuidade]:[Hipot]],"OK"))/(4-COUNTIF(Tabela4[[#This Row],[Teste de Continuidade]:[Hipot]],"---")),"")</f>
        <v>#DIV/0!</v>
      </c>
      <c r="X21" s="23">
        <f ca="1">IF(Tabela4[[#This Row],[Cabo]]&lt;&gt;"",SUMIFS('Lançamento de Cabos'!$AF:$AF,'Lançamento de Cabos'!AE:AE,Tabela4[[#This Row],[Cabo]],'Lançamento de Cabos'!AJ:AJ,Área!$B$1),"")</f>
        <v>0</v>
      </c>
      <c r="Y21" s="23">
        <f ca="1">IF(Tabela4[[#This Row],[Cabo]]&lt;&gt;"",SUMIFS('Lançamento de Cabos'!$AG:$AG,'Lançamento de Cabos'!AE:AE,Tabela4[[#This Row],[Cabo]],'Lançamento de Cabos'!AJ:AJ,Área!$B$1),"")</f>
        <v>4</v>
      </c>
      <c r="Z21" s="23" t="str">
        <f ca="1">VLOOKUP(Tabela4[[#This Row],[Cabo]],BD!A:AB,28,0)</f>
        <v>Disponível</v>
      </c>
    </row>
    <row r="22" spans="3:26" x14ac:dyDescent="0.25">
      <c r="C22" s="391" t="str">
        <f ca="1">IF($B$1="Geral",Tabela1[[#This Row],[Tag do Cabo]],IFERROR(INDEX(INDIRECT("BD!$A"&amp;D22&amp;":$A100000"),E22,1),""))</f>
        <v>CBO002-RS</v>
      </c>
      <c r="D22" s="391">
        <f t="shared" ca="1" si="1"/>
        <v>303</v>
      </c>
      <c r="E22" s="391">
        <f t="shared" ca="1" si="0"/>
        <v>1</v>
      </c>
      <c r="F22" s="391" t="str">
        <f ca="1">IFERROR(VLOOKUP(Tabela4[[#This Row],[Cabo]],BD!A:V,2,0),"")</f>
        <v>FO</v>
      </c>
      <c r="G22" s="22" t="str">
        <f ca="1">IFERROR(VLOOKUP(Tabela4[[#This Row],[Cabo]],BD!A:V,5,0),"")</f>
        <v>CABO ÓPTICO 4 VIAS</v>
      </c>
      <c r="H22" s="391" t="str">
        <f ca="1">IFERROR(VLOOKUP(Tabela4[[#This Row],[Cabo]],BD!A:V,3,0),"")</f>
        <v>-</v>
      </c>
      <c r="I22" s="391" t="str">
        <f ca="1">IFERROR(VLOOKUP(Tabela4[[#This Row],[Cabo]],BD!A:V,4,0),"")</f>
        <v>-</v>
      </c>
      <c r="J22" s="391">
        <f ca="1">IFERROR(VLOOKUP(Tabela4[[#This Row],[Cabo]],BD!A:V,7,0),"")</f>
        <v>1</v>
      </c>
      <c r="K22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22" s="23">
        <f ca="1">IFERROR(VLOOKUP(Tabela4[[#This Row],[Cabo]],BD!A:V,9,0),"")</f>
        <v>230</v>
      </c>
      <c r="M22" s="23">
        <f ca="1">IFERROR(VLOOKUP(Tabela4[[#This Row],[Cabo]],BD!A:AD,30,0),"")</f>
        <v>230</v>
      </c>
      <c r="N22" s="23">
        <f ca="1">IF(SUMIF('Lançamento de Cabos'!B:B,Tabela4[[#This Row],[Cabo]],'Lançamento de Cabos'!C:C)=0,"",SUMIF('Lançamento de Cabos'!B:B,Tabela4[[#This Row],[Cabo]],'Lançamento de Cabos'!C:C))</f>
        <v>230</v>
      </c>
      <c r="O22" s="28">
        <f ca="1">IFERROR(IF(Tabela4[[#This Row],[Compr. Lançado]]/Tabela4[[#This Row],[Compr. Prev.]]&gt;1,1,Tabela4[[#This Row],[Compr. Lançado]]/Tabela4[[#This Row],[Compr. Prev.]]),"")</f>
        <v>1</v>
      </c>
      <c r="P22" s="24" t="str">
        <f ca="1">IFERROR(VLOOKUP(Tabela4[[#This Row],[Cabo]],BD!A:V,11,0),"")</f>
        <v>PSDC1-DIO1</v>
      </c>
      <c r="Q22" s="24" t="str">
        <f ca="1">IFERROR(VLOOKUP(Tabela4[[#This Row],[Cabo]],BD!A:V,12,0),"")</f>
        <v>SALA SERVIDORES - CCO-DIO</v>
      </c>
      <c r="R22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2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2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2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2" s="23">
        <f ca="1">IF(Tabela4[[#This Row],[Cabo]]&lt;&gt;"",4-COUNTIF(Tabela4[[#This Row],[Teste de Continuidade]:[Hipot]],"---"),"")</f>
        <v>0</v>
      </c>
      <c r="W22" s="29" t="e">
        <f ca="1">IF(Tabela4[[#This Row],[Cabo]]&lt;&gt;"",(COUNTIF(Tabela4[[#This Row],[Teste de Continuidade]:[Hipot]],"OK"))/(4-COUNTIF(Tabela4[[#This Row],[Teste de Continuidade]:[Hipot]],"---")),"")</f>
        <v>#DIV/0!</v>
      </c>
      <c r="X22" s="23">
        <f ca="1">IF(Tabela4[[#This Row],[Cabo]]&lt;&gt;"",SUMIFS('Lançamento de Cabos'!$AF:$AF,'Lançamento de Cabos'!AE:AE,Tabela4[[#This Row],[Cabo]],'Lançamento de Cabos'!AJ:AJ,Área!$B$1),"")</f>
        <v>0</v>
      </c>
      <c r="Y22" s="23">
        <f ca="1">IF(Tabela4[[#This Row],[Cabo]]&lt;&gt;"",SUMIFS('Lançamento de Cabos'!$AG:$AG,'Lançamento de Cabos'!AE:AE,Tabela4[[#This Row],[Cabo]],'Lançamento de Cabos'!AJ:AJ,Área!$B$1),"")</f>
        <v>4</v>
      </c>
      <c r="Z22" s="23" t="str">
        <f ca="1">VLOOKUP(Tabela4[[#This Row],[Cabo]],BD!A:AB,28,0)</f>
        <v>Disponível</v>
      </c>
    </row>
    <row r="23" spans="3:26" x14ac:dyDescent="0.25">
      <c r="C23" s="391" t="str">
        <f ca="1">IF($B$1="Geral",Tabela1[[#This Row],[Tag do Cabo]],IFERROR(INDEX(INDIRECT("BD!$A"&amp;D23&amp;":$A100000"),E23,1),""))</f>
        <v>CDC-17001</v>
      </c>
      <c r="D23" s="391">
        <f t="shared" ca="1" si="1"/>
        <v>304</v>
      </c>
      <c r="E23" s="391">
        <f t="shared" ca="1" si="0"/>
        <v>1</v>
      </c>
      <c r="F23" s="391" t="str">
        <f ca="1">IFERROR(VLOOKUP(Tabela4[[#This Row],[Cabo]],BD!A:V,2,0),"")</f>
        <v>FO</v>
      </c>
      <c r="G23" s="22" t="str">
        <f ca="1">IFERROR(VLOOKUP(Tabela4[[#This Row],[Cabo]],BD!A:V,5,0),"")</f>
        <v>FIBRA OPTICA MM 3 PARES</v>
      </c>
      <c r="H23" s="391" t="str">
        <f ca="1">IFERROR(VLOOKUP(Tabela4[[#This Row],[Cabo]],BD!A:V,3,0),"")</f>
        <v>-</v>
      </c>
      <c r="I23" s="391" t="str">
        <f ca="1">IFERROR(VLOOKUP(Tabela4[[#This Row],[Cabo]],BD!A:V,4,0),"")</f>
        <v>-</v>
      </c>
      <c r="J23" s="391">
        <f ca="1">IFERROR(VLOOKUP(Tabela4[[#This Row],[Cabo]],BD!A:V,7,0),"")</f>
        <v>1</v>
      </c>
      <c r="K23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23" s="23">
        <f ca="1">IFERROR(VLOOKUP(Tabela4[[#This Row],[Cabo]],BD!A:V,9,0),"")</f>
        <v>220</v>
      </c>
      <c r="M23" s="23">
        <f ca="1">IFERROR(VLOOKUP(Tabela4[[#This Row],[Cabo]],BD!A:AD,30,0),"")</f>
        <v>247</v>
      </c>
      <c r="N23" s="23">
        <f ca="1">IF(SUMIF('Lançamento de Cabos'!B:B,Tabela4[[#This Row],[Cabo]],'Lançamento de Cabos'!C:C)=0,"",SUMIF('Lançamento de Cabos'!B:B,Tabela4[[#This Row],[Cabo]],'Lançamento de Cabos'!C:C))</f>
        <v>247</v>
      </c>
      <c r="O23" s="28">
        <f ca="1">IFERROR(IF(Tabela4[[#This Row],[Compr. Lançado]]/Tabela4[[#This Row],[Compr. Prev.]]&gt;1,1,Tabela4[[#This Row],[Compr. Lançado]]/Tabela4[[#This Row],[Compr. Prev.]]),"")</f>
        <v>1</v>
      </c>
      <c r="P23" s="24" t="str">
        <f ca="1">IFERROR(VLOOKUP(Tabela4[[#This Row],[Cabo]],BD!A:V,11,0),"")</f>
        <v>PDG-1701 / SUBESTAÇÃO VESTA</v>
      </c>
      <c r="Q23" s="24" t="str">
        <f ca="1">IFERROR(VLOOKUP(Tabela4[[#This Row],[Cabo]],BD!A:V,12,0),"")</f>
        <v>FRW-90-102 (RCK-90-101) / CCO</v>
      </c>
      <c r="R23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3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3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3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3" s="23">
        <f ca="1">IF(Tabela4[[#This Row],[Cabo]]&lt;&gt;"",4-COUNTIF(Tabela4[[#This Row],[Teste de Continuidade]:[Hipot]],"---"),"")</f>
        <v>0</v>
      </c>
      <c r="W23" s="29" t="e">
        <f ca="1">IF(Tabela4[[#This Row],[Cabo]]&lt;&gt;"",(COUNTIF(Tabela4[[#This Row],[Teste de Continuidade]:[Hipot]],"OK"))/(4-COUNTIF(Tabela4[[#This Row],[Teste de Continuidade]:[Hipot]],"---")),"")</f>
        <v>#DIV/0!</v>
      </c>
      <c r="X23" s="23">
        <f ca="1">IF(Tabela4[[#This Row],[Cabo]]&lt;&gt;"",SUMIFS('Lançamento de Cabos'!$AF:$AF,'Lançamento de Cabos'!AE:AE,Tabela4[[#This Row],[Cabo]],'Lançamento de Cabos'!AJ:AJ,Área!$B$1),"")</f>
        <v>0</v>
      </c>
      <c r="Y23" s="23">
        <f ca="1">IF(Tabela4[[#This Row],[Cabo]]&lt;&gt;"",SUMIFS('Lançamento de Cabos'!$AG:$AG,'Lançamento de Cabos'!AE:AE,Tabela4[[#This Row],[Cabo]],'Lançamento de Cabos'!AJ:AJ,Área!$B$1),"")</f>
        <v>0</v>
      </c>
      <c r="Z23" s="23" t="str">
        <f ca="1">VLOOKUP(Tabela4[[#This Row],[Cabo]],BD!A:AB,28,0)</f>
        <v>Disponível</v>
      </c>
    </row>
    <row r="24" spans="3:26" x14ac:dyDescent="0.25">
      <c r="C24" s="391" t="str">
        <f ca="1">IF($B$1="Geral",Tabela1[[#This Row],[Tag do Cabo]],IFERROR(INDEX(INDIRECT("BD!$A"&amp;D24&amp;":$A100000"),E24,1),""))</f>
        <v>CDC-17002</v>
      </c>
      <c r="D24" s="391">
        <f t="shared" ca="1" si="1"/>
        <v>305</v>
      </c>
      <c r="E24" s="391">
        <f t="shared" ca="1" si="0"/>
        <v>1</v>
      </c>
      <c r="F24" s="391" t="str">
        <f ca="1">IFERROR(VLOOKUP(Tabela4[[#This Row],[Cabo]],BD!A:V,2,0),"")</f>
        <v>FO</v>
      </c>
      <c r="G24" s="22" t="str">
        <f ca="1">IFERROR(VLOOKUP(Tabela4[[#This Row],[Cabo]],BD!A:V,5,0),"")</f>
        <v>FIBRA OPTICA MM 3 PARES</v>
      </c>
      <c r="H24" s="391" t="str">
        <f ca="1">IFERROR(VLOOKUP(Tabela4[[#This Row],[Cabo]],BD!A:V,3,0),"")</f>
        <v>-</v>
      </c>
      <c r="I24" s="391" t="str">
        <f ca="1">IFERROR(VLOOKUP(Tabela4[[#This Row],[Cabo]],BD!A:V,4,0),"")</f>
        <v>-</v>
      </c>
      <c r="J24" s="391">
        <f ca="1">IFERROR(VLOOKUP(Tabela4[[#This Row],[Cabo]],BD!A:V,7,0),"")</f>
        <v>1</v>
      </c>
      <c r="K24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24" s="23">
        <f ca="1">IFERROR(VLOOKUP(Tabela4[[#This Row],[Cabo]],BD!A:V,9,0),"")</f>
        <v>220</v>
      </c>
      <c r="M24" s="23">
        <f ca="1">IFERROR(VLOOKUP(Tabela4[[#This Row],[Cabo]],BD!A:AD,30,0),"")</f>
        <v>247</v>
      </c>
      <c r="N24" s="23">
        <f ca="1">IF(SUMIF('Lançamento de Cabos'!B:B,Tabela4[[#This Row],[Cabo]],'Lançamento de Cabos'!C:C)=0,"",SUMIF('Lançamento de Cabos'!B:B,Tabela4[[#This Row],[Cabo]],'Lançamento de Cabos'!C:C))</f>
        <v>247</v>
      </c>
      <c r="O24" s="28">
        <f ca="1">IFERROR(IF(Tabela4[[#This Row],[Compr. Lançado]]/Tabela4[[#This Row],[Compr. Prev.]]&gt;1,1,Tabela4[[#This Row],[Compr. Lançado]]/Tabela4[[#This Row],[Compr. Prev.]]),"")</f>
        <v>1</v>
      </c>
      <c r="P24" s="24" t="str">
        <f ca="1">IFERROR(VLOOKUP(Tabela4[[#This Row],[Cabo]],BD!A:V,11,0),"")</f>
        <v>PDG-1701 / SUBESTAÇÃO VESTA</v>
      </c>
      <c r="Q24" s="24" t="str">
        <f ca="1">IFERROR(VLOOKUP(Tabela4[[#This Row],[Cabo]],BD!A:V,12,0),"")</f>
        <v>FRW-90-103 (RCK-90-101) / CCO</v>
      </c>
      <c r="R24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4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4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4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4" s="23">
        <f ca="1">IF(Tabela4[[#This Row],[Cabo]]&lt;&gt;"",4-COUNTIF(Tabela4[[#This Row],[Teste de Continuidade]:[Hipot]],"---"),"")</f>
        <v>0</v>
      </c>
      <c r="W24" s="29" t="e">
        <f ca="1">IF(Tabela4[[#This Row],[Cabo]]&lt;&gt;"",(COUNTIF(Tabela4[[#This Row],[Teste de Continuidade]:[Hipot]],"OK"))/(4-COUNTIF(Tabela4[[#This Row],[Teste de Continuidade]:[Hipot]],"---")),"")</f>
        <v>#DIV/0!</v>
      </c>
      <c r="X24" s="23">
        <f ca="1">IF(Tabela4[[#This Row],[Cabo]]&lt;&gt;"",SUMIFS('Lançamento de Cabos'!$AF:$AF,'Lançamento de Cabos'!AE:AE,Tabela4[[#This Row],[Cabo]],'Lançamento de Cabos'!AJ:AJ,Área!$B$1),"")</f>
        <v>0</v>
      </c>
      <c r="Y24" s="23">
        <f ca="1">IF(Tabela4[[#This Row],[Cabo]]&lt;&gt;"",SUMIFS('Lançamento de Cabos'!$AG:$AG,'Lançamento de Cabos'!AE:AE,Tabela4[[#This Row],[Cabo]],'Lançamento de Cabos'!AJ:AJ,Área!$B$1),"")</f>
        <v>0</v>
      </c>
      <c r="Z24" s="23" t="str">
        <f ca="1">VLOOKUP(Tabela4[[#This Row],[Cabo]],BD!A:AB,28,0)</f>
        <v>Disponível</v>
      </c>
    </row>
    <row r="25" spans="3:26" x14ac:dyDescent="0.25">
      <c r="C25" s="391" t="str">
        <f ca="1">IF($B$1="Geral",Tabela1[[#This Row],[Tag do Cabo]],IFERROR(INDEX(INDIRECT("BD!$A"&amp;D25&amp;":$A100000"),E25,1),""))</f>
        <v>CO018-RS</v>
      </c>
      <c r="D25" s="391">
        <f t="shared" ca="1" si="1"/>
        <v>306</v>
      </c>
      <c r="E25" s="391">
        <f t="shared" ca="1" si="0"/>
        <v>22</v>
      </c>
      <c r="F25" s="391" t="str">
        <f ca="1">IFERROR(VLOOKUP(Tabela4[[#This Row],[Cabo]],BD!A:V,2,0),"")</f>
        <v>FO</v>
      </c>
      <c r="G25" s="22" t="str">
        <f ca="1">IFERROR(VLOOKUP(Tabela4[[#This Row],[Cabo]],BD!A:V,5,0),"")</f>
        <v>CORDÃO ÓPTICO</v>
      </c>
      <c r="H25" s="391" t="str">
        <f ca="1">IFERROR(VLOOKUP(Tabela4[[#This Row],[Cabo]],BD!A:V,3,0),"")</f>
        <v>-</v>
      </c>
      <c r="I25" s="391" t="str">
        <f ca="1">IFERROR(VLOOKUP(Tabela4[[#This Row],[Cabo]],BD!A:V,4,0),"")</f>
        <v>-</v>
      </c>
      <c r="J25" s="391">
        <f ca="1">IFERROR(VLOOKUP(Tabela4[[#This Row],[Cabo]],BD!A:V,7,0),"")</f>
        <v>1</v>
      </c>
      <c r="K2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" s="23">
        <f ca="1">IFERROR(VLOOKUP(Tabela4[[#This Row],[Cabo]],BD!A:V,9,0),"")</f>
        <v>10</v>
      </c>
      <c r="M25" s="23">
        <f ca="1">IFERROR(VLOOKUP(Tabela4[[#This Row],[Cabo]],BD!A:AD,30,0),"")</f>
        <v>10</v>
      </c>
      <c r="N25" s="23" t="str">
        <f ca="1">IF(SUMIF('Lançamento de Cabos'!B:B,Tabela4[[#This Row],[Cabo]],'Lançamento de Cabos'!C:C)=0,"",SUMIF('Lançamento de Cabos'!B:B,Tabela4[[#This Row],[Cabo]],'Lançamento de Cabos'!C:C))</f>
        <v/>
      </c>
      <c r="O25" s="28" t="str">
        <f ca="1">IFERROR(IF(Tabela4[[#This Row],[Compr. Lançado]]/Tabela4[[#This Row],[Compr. Prev.]]&gt;1,1,Tabela4[[#This Row],[Compr. Lançado]]/Tabela4[[#This Row],[Compr. Prev.]]),"")</f>
        <v/>
      </c>
      <c r="P25" s="24" t="str">
        <f ca="1">IFERROR(VLOOKUP(Tabela4[[#This Row],[Cabo]],BD!A:V,11,0),"")</f>
        <v>SALA SERVIDORES-CONV1</v>
      </c>
      <c r="Q25" s="24" t="str">
        <f ca="1">IFERROR(VLOOKUP(Tabela4[[#This Row],[Cabo]],BD!A:V,12,0),"")</f>
        <v>SALA SERVIDORES-DIO</v>
      </c>
      <c r="R25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5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5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5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5" s="23">
        <f ca="1">IF(Tabela4[[#This Row],[Cabo]]&lt;&gt;"",4-COUNTIF(Tabela4[[#This Row],[Teste de Continuidade]:[Hipot]],"---"),"")</f>
        <v>0</v>
      </c>
      <c r="W25" s="29" t="e">
        <f ca="1">IF(Tabela4[[#This Row],[Cabo]]&lt;&gt;"",(COUNTIF(Tabela4[[#This Row],[Teste de Continuidade]:[Hipot]],"OK"))/(4-COUNTIF(Tabela4[[#This Row],[Teste de Continuidade]:[Hipot]],"---")),"")</f>
        <v>#DIV/0!</v>
      </c>
      <c r="X25" s="23">
        <f ca="1">IF(Tabela4[[#This Row],[Cabo]]&lt;&gt;"",SUMIFS('Lançamento de Cabos'!$AF:$AF,'Lançamento de Cabos'!AE:AE,Tabela4[[#This Row],[Cabo]],'Lançamento de Cabos'!AJ:AJ,Área!$B$1),"")</f>
        <v>0</v>
      </c>
      <c r="Y25" s="23">
        <f ca="1">IF(Tabela4[[#This Row],[Cabo]]&lt;&gt;"",SUMIFS('Lançamento de Cabos'!$AG:$AG,'Lançamento de Cabos'!AE:AE,Tabela4[[#This Row],[Cabo]],'Lançamento de Cabos'!AJ:AJ,Área!$B$1),"")</f>
        <v>0</v>
      </c>
      <c r="Z25" s="23" t="str">
        <f ca="1">VLOOKUP(Tabela4[[#This Row],[Cabo]],BD!A:AB,28,0)</f>
        <v>Disponível</v>
      </c>
    </row>
    <row r="26" spans="3:26" x14ac:dyDescent="0.25">
      <c r="C26" s="391" t="str">
        <f ca="1">IF($B$1="Geral",Tabela1[[#This Row],[Tag do Cabo]],IFERROR(INDEX(INDIRECT("BD!$A"&amp;D26&amp;":$A100000"),E26,1),""))</f>
        <v>CO019-RS</v>
      </c>
      <c r="D26" s="391">
        <f t="shared" ca="1" si="1"/>
        <v>328</v>
      </c>
      <c r="E26" s="391">
        <f t="shared" ca="1" si="0"/>
        <v>1</v>
      </c>
      <c r="F26" s="391" t="str">
        <f ca="1">IFERROR(VLOOKUP(Tabela4[[#This Row],[Cabo]],BD!A:V,2,0),"")</f>
        <v>FO</v>
      </c>
      <c r="G26" s="22" t="str">
        <f ca="1">IFERROR(VLOOKUP(Tabela4[[#This Row],[Cabo]],BD!A:V,5,0),"")</f>
        <v>CORDÃO ÓPTICO</v>
      </c>
      <c r="H26" s="391" t="str">
        <f ca="1">IFERROR(VLOOKUP(Tabela4[[#This Row],[Cabo]],BD!A:V,3,0),"")</f>
        <v>-</v>
      </c>
      <c r="I26" s="391" t="str">
        <f ca="1">IFERROR(VLOOKUP(Tabela4[[#This Row],[Cabo]],BD!A:V,4,0),"")</f>
        <v>-</v>
      </c>
      <c r="J26" s="391">
        <f ca="1">IFERROR(VLOOKUP(Tabela4[[#This Row],[Cabo]],BD!A:V,7,0),"")</f>
        <v>1</v>
      </c>
      <c r="K2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" s="23">
        <f ca="1">IFERROR(VLOOKUP(Tabela4[[#This Row],[Cabo]],BD!A:V,9,0),"")</f>
        <v>10</v>
      </c>
      <c r="M26" s="23">
        <f ca="1">IFERROR(VLOOKUP(Tabela4[[#This Row],[Cabo]],BD!A:AD,30,0),"")</f>
        <v>10</v>
      </c>
      <c r="N26" s="23" t="str">
        <f ca="1">IF(SUMIF('Lançamento de Cabos'!B:B,Tabela4[[#This Row],[Cabo]],'Lançamento de Cabos'!C:C)=0,"",SUMIF('Lançamento de Cabos'!B:B,Tabela4[[#This Row],[Cabo]],'Lançamento de Cabos'!C:C))</f>
        <v/>
      </c>
      <c r="O26" s="28" t="str">
        <f ca="1">IFERROR(IF(Tabela4[[#This Row],[Compr. Lançado]]/Tabela4[[#This Row],[Compr. Prev.]]&gt;1,1,Tabela4[[#This Row],[Compr. Lançado]]/Tabela4[[#This Row],[Compr. Prev.]]),"")</f>
        <v/>
      </c>
      <c r="P26" s="24" t="str">
        <f ca="1">IFERROR(VLOOKUP(Tabela4[[#This Row],[Cabo]],BD!A:V,11,0),"")</f>
        <v>SALA SERVIDORES-CONV2</v>
      </c>
      <c r="Q26" s="24" t="str">
        <f ca="1">IFERROR(VLOOKUP(Tabela4[[#This Row],[Cabo]],BD!A:V,12,0),"")</f>
        <v>SALA SERVIDORES-DIO</v>
      </c>
      <c r="R26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6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6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6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6" s="23">
        <f ca="1">IF(Tabela4[[#This Row],[Cabo]]&lt;&gt;"",4-COUNTIF(Tabela4[[#This Row],[Teste de Continuidade]:[Hipot]],"---"),"")</f>
        <v>0</v>
      </c>
      <c r="W26" s="29" t="e">
        <f ca="1">IF(Tabela4[[#This Row],[Cabo]]&lt;&gt;"",(COUNTIF(Tabela4[[#This Row],[Teste de Continuidade]:[Hipot]],"OK"))/(4-COUNTIF(Tabela4[[#This Row],[Teste de Continuidade]:[Hipot]],"---")),"")</f>
        <v>#DIV/0!</v>
      </c>
      <c r="X26" s="23">
        <f ca="1">IF(Tabela4[[#This Row],[Cabo]]&lt;&gt;"",SUMIFS('Lançamento de Cabos'!$AF:$AF,'Lançamento de Cabos'!AE:AE,Tabela4[[#This Row],[Cabo]],'Lançamento de Cabos'!AJ:AJ,Área!$B$1),"")</f>
        <v>0</v>
      </c>
      <c r="Y26" s="23">
        <f ca="1">IF(Tabela4[[#This Row],[Cabo]]&lt;&gt;"",SUMIFS('Lançamento de Cabos'!$AG:$AG,'Lançamento de Cabos'!AE:AE,Tabela4[[#This Row],[Cabo]],'Lançamento de Cabos'!AJ:AJ,Área!$B$1),"")</f>
        <v>0</v>
      </c>
      <c r="Z26" s="23" t="str">
        <f ca="1">VLOOKUP(Tabela4[[#This Row],[Cabo]],BD!A:AB,28,0)</f>
        <v>Disponível</v>
      </c>
    </row>
    <row r="27" spans="3:26" x14ac:dyDescent="0.25">
      <c r="C27" s="391" t="str">
        <f ca="1">IF($B$1="Geral",Tabela1[[#This Row],[Tag do Cabo]],IFERROR(INDEX(INDIRECT("BD!$A"&amp;D27&amp;":$A100000"),E27,1),""))</f>
        <v>CDC-02327</v>
      </c>
      <c r="D27" s="391">
        <f t="shared" ca="1" si="1"/>
        <v>329</v>
      </c>
      <c r="E27" s="391">
        <f t="shared" ca="1" si="0"/>
        <v>5</v>
      </c>
      <c r="F27" s="391" t="str">
        <f ca="1">IFERROR(VLOOKUP(Tabela4[[#This Row],[Cabo]],BD!A:V,2,0),"")</f>
        <v>FO</v>
      </c>
      <c r="G27" s="22" t="str">
        <f ca="1">IFERROR(VLOOKUP(Tabela4[[#This Row],[Cabo]],BD!A:V,5,0),"")</f>
        <v>CORDÃO ÓPTICO</v>
      </c>
      <c r="H27" s="391" t="str">
        <f ca="1">IFERROR(VLOOKUP(Tabela4[[#This Row],[Cabo]],BD!A:V,3,0),"")</f>
        <v>-</v>
      </c>
      <c r="I27" s="391" t="str">
        <f ca="1">IFERROR(VLOOKUP(Tabela4[[#This Row],[Cabo]],BD!A:V,4,0),"")</f>
        <v>-</v>
      </c>
      <c r="J27" s="391">
        <f ca="1">IFERROR(VLOOKUP(Tabela4[[#This Row],[Cabo]],BD!A:V,7,0),"")</f>
        <v>1</v>
      </c>
      <c r="K2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" s="23">
        <f ca="1">IFERROR(VLOOKUP(Tabela4[[#This Row],[Cabo]],BD!A:V,9,0),"")</f>
        <v>2.5</v>
      </c>
      <c r="M27" s="23">
        <f ca="1">IFERROR(VLOOKUP(Tabela4[[#This Row],[Cabo]],BD!A:AD,30,0),"")</f>
        <v>2.5</v>
      </c>
      <c r="N27" s="23" t="str">
        <f ca="1">IF(SUMIF('Lançamento de Cabos'!B:B,Tabela4[[#This Row],[Cabo]],'Lançamento de Cabos'!C:C)=0,"",SUMIF('Lançamento de Cabos'!B:B,Tabela4[[#This Row],[Cabo]],'Lançamento de Cabos'!C:C))</f>
        <v/>
      </c>
      <c r="O27" s="28" t="str">
        <f ca="1">IFERROR(IF(Tabela4[[#This Row],[Compr. Lançado]]/Tabela4[[#This Row],[Compr. Prev.]]&gt;1,1,Tabela4[[#This Row],[Compr. Lançado]]/Tabela4[[#This Row],[Compr. Prev.]]),"")</f>
        <v/>
      </c>
      <c r="P27" s="24" t="str">
        <f ca="1">IFERROR(VLOOKUP(Tabela4[[#This Row],[Cabo]],BD!A:V,11,0),"")</f>
        <v>FRW-90-102 (RCK-90-101) / CCO</v>
      </c>
      <c r="Q27" s="24" t="str">
        <f ca="1">IFERROR(VLOOKUP(Tabela4[[#This Row],[Cabo]],BD!A:V,12,0),"")</f>
        <v>DIO-90-113 (RCK-90-101) / CCO</v>
      </c>
      <c r="R27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7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7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7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7" s="23">
        <f ca="1">IF(Tabela4[[#This Row],[Cabo]]&lt;&gt;"",4-COUNTIF(Tabela4[[#This Row],[Teste de Continuidade]:[Hipot]],"---"),"")</f>
        <v>0</v>
      </c>
      <c r="W27" s="29" t="e">
        <f ca="1">IF(Tabela4[[#This Row],[Cabo]]&lt;&gt;"",(COUNTIF(Tabela4[[#This Row],[Teste de Continuidade]:[Hipot]],"OK"))/(4-COUNTIF(Tabela4[[#This Row],[Teste de Continuidade]:[Hipot]],"---")),"")</f>
        <v>#DIV/0!</v>
      </c>
      <c r="X27" s="23">
        <f ca="1">IF(Tabela4[[#This Row],[Cabo]]&lt;&gt;"",SUMIFS('Lançamento de Cabos'!$AF:$AF,'Lançamento de Cabos'!AE:AE,Tabela4[[#This Row],[Cabo]],'Lançamento de Cabos'!AJ:AJ,Área!$B$1),"")</f>
        <v>0</v>
      </c>
      <c r="Y27" s="23">
        <f ca="1">IF(Tabela4[[#This Row],[Cabo]]&lt;&gt;"",SUMIFS('Lançamento de Cabos'!$AG:$AG,'Lançamento de Cabos'!AE:AE,Tabela4[[#This Row],[Cabo]],'Lançamento de Cabos'!AJ:AJ,Área!$B$1),"")</f>
        <v>0</v>
      </c>
      <c r="Z27" s="23" t="str">
        <f ca="1">VLOOKUP(Tabela4[[#This Row],[Cabo]],BD!A:AB,28,0)</f>
        <v>Disponível</v>
      </c>
    </row>
    <row r="28" spans="3:26" x14ac:dyDescent="0.25">
      <c r="C28" s="391" t="str">
        <f ca="1">IF($B$1="Geral",Tabela1[[#This Row],[Tag do Cabo]],IFERROR(INDEX(INDIRECT("BD!$A"&amp;D28&amp;":$A100000"),E28,1),""))</f>
        <v>CDC-02328</v>
      </c>
      <c r="D28" s="391">
        <f t="shared" ca="1" si="1"/>
        <v>334</v>
      </c>
      <c r="E28" s="391">
        <f t="shared" ca="1" si="0"/>
        <v>1</v>
      </c>
      <c r="F28" s="391" t="str">
        <f ca="1">IFERROR(VLOOKUP(Tabela4[[#This Row],[Cabo]],BD!A:V,2,0),"")</f>
        <v>FO</v>
      </c>
      <c r="G28" s="22" t="str">
        <f ca="1">IFERROR(VLOOKUP(Tabela4[[#This Row],[Cabo]],BD!A:V,5,0),"")</f>
        <v>CORDÃO ÓPTICO</v>
      </c>
      <c r="H28" s="391" t="str">
        <f ca="1">IFERROR(VLOOKUP(Tabela4[[#This Row],[Cabo]],BD!A:V,3,0),"")</f>
        <v>-</v>
      </c>
      <c r="I28" s="391" t="str">
        <f ca="1">IFERROR(VLOOKUP(Tabela4[[#This Row],[Cabo]],BD!A:V,4,0),"")</f>
        <v>-</v>
      </c>
      <c r="J28" s="391">
        <f ca="1">IFERROR(VLOOKUP(Tabela4[[#This Row],[Cabo]],BD!A:V,7,0),"")</f>
        <v>1</v>
      </c>
      <c r="K2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" s="23">
        <f ca="1">IFERROR(VLOOKUP(Tabela4[[#This Row],[Cabo]],BD!A:V,9,0),"")</f>
        <v>2.5</v>
      </c>
      <c r="M28" s="23">
        <f ca="1">IFERROR(VLOOKUP(Tabela4[[#This Row],[Cabo]],BD!A:AD,30,0),"")</f>
        <v>2.5</v>
      </c>
      <c r="N28" s="23" t="str">
        <f ca="1">IF(SUMIF('Lançamento de Cabos'!B:B,Tabela4[[#This Row],[Cabo]],'Lançamento de Cabos'!C:C)=0,"",SUMIF('Lançamento de Cabos'!B:B,Tabela4[[#This Row],[Cabo]],'Lançamento de Cabos'!C:C))</f>
        <v/>
      </c>
      <c r="O28" s="28" t="str">
        <f ca="1">IFERROR(IF(Tabela4[[#This Row],[Compr. Lançado]]/Tabela4[[#This Row],[Compr. Prev.]]&gt;1,1,Tabela4[[#This Row],[Compr. Lançado]]/Tabela4[[#This Row],[Compr. Prev.]]),"")</f>
        <v/>
      </c>
      <c r="P28" s="24" t="str">
        <f ca="1">IFERROR(VLOOKUP(Tabela4[[#This Row],[Cabo]],BD!A:V,11,0),"")</f>
        <v>FRW-90-103 (RCK-90-101) / CCO</v>
      </c>
      <c r="Q28" s="24" t="str">
        <f ca="1">IFERROR(VLOOKUP(Tabela4[[#This Row],[Cabo]],BD!A:V,12,0),"")</f>
        <v>DIO-90-113 (RCK-90-101) / CCO</v>
      </c>
      <c r="R28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8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8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8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8" s="23">
        <f ca="1">IF(Tabela4[[#This Row],[Cabo]]&lt;&gt;"",4-COUNTIF(Tabela4[[#This Row],[Teste de Continuidade]:[Hipot]],"---"),"")</f>
        <v>0</v>
      </c>
      <c r="W28" s="29" t="e">
        <f ca="1">IF(Tabela4[[#This Row],[Cabo]]&lt;&gt;"",(COUNTIF(Tabela4[[#This Row],[Teste de Continuidade]:[Hipot]],"OK"))/(4-COUNTIF(Tabela4[[#This Row],[Teste de Continuidade]:[Hipot]],"---")),"")</f>
        <v>#DIV/0!</v>
      </c>
      <c r="X28" s="23">
        <f ca="1">IF(Tabela4[[#This Row],[Cabo]]&lt;&gt;"",SUMIFS('Lançamento de Cabos'!$AF:$AF,'Lançamento de Cabos'!AE:AE,Tabela4[[#This Row],[Cabo]],'Lançamento de Cabos'!AJ:AJ,Área!$B$1),"")</f>
        <v>0</v>
      </c>
      <c r="Y28" s="23">
        <f ca="1">IF(Tabela4[[#This Row],[Cabo]]&lt;&gt;"",SUMIFS('Lançamento de Cabos'!$AG:$AG,'Lançamento de Cabos'!AE:AE,Tabela4[[#This Row],[Cabo]],'Lançamento de Cabos'!AJ:AJ,Área!$B$1),"")</f>
        <v>0</v>
      </c>
      <c r="Z28" s="23" t="str">
        <f ca="1">VLOOKUP(Tabela4[[#This Row],[Cabo]],BD!A:AB,28,0)</f>
        <v>Disponível</v>
      </c>
    </row>
    <row r="29" spans="3:26" x14ac:dyDescent="0.25">
      <c r="C29" s="391" t="str">
        <f ca="1">IF($B$1="Geral",Tabela1[[#This Row],[Tag do Cabo]],IFERROR(INDEX(INDIRECT("BD!$A"&amp;D29&amp;":$A100000"),E29,1),""))</f>
        <v>CDC-12013</v>
      </c>
      <c r="D29" s="391">
        <f t="shared" ca="1" si="1"/>
        <v>335</v>
      </c>
      <c r="E29" s="391">
        <f t="shared" ca="1" si="0"/>
        <v>9</v>
      </c>
      <c r="F29" s="391" t="str">
        <f ca="1">IFERROR(VLOOKUP(Tabela4[[#This Row],[Cabo]],BD!A:V,2,0),"")</f>
        <v>FO</v>
      </c>
      <c r="G29" s="22" t="str">
        <f ca="1">IFERROR(VLOOKUP(Tabela4[[#This Row],[Cabo]],BD!A:V,5,0),"")</f>
        <v>CORDÃO ÓPTICO</v>
      </c>
      <c r="H29" s="391" t="str">
        <f ca="1">IFERROR(VLOOKUP(Tabela4[[#This Row],[Cabo]],BD!A:V,3,0),"")</f>
        <v>-</v>
      </c>
      <c r="I29" s="391" t="str">
        <f ca="1">IFERROR(VLOOKUP(Tabela4[[#This Row],[Cabo]],BD!A:V,4,0),"")</f>
        <v>-</v>
      </c>
      <c r="J29" s="391">
        <f ca="1">IFERROR(VLOOKUP(Tabela4[[#This Row],[Cabo]],BD!A:V,7,0),"")</f>
        <v>1</v>
      </c>
      <c r="K2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" s="23">
        <f ca="1">IFERROR(VLOOKUP(Tabela4[[#This Row],[Cabo]],BD!A:V,9,0),"")</f>
        <v>2.5</v>
      </c>
      <c r="M29" s="23">
        <f ca="1">IFERROR(VLOOKUP(Tabela4[[#This Row],[Cabo]],BD!A:AD,30,0),"")</f>
        <v>2.5</v>
      </c>
      <c r="N29" s="23" t="str">
        <f ca="1">IF(SUMIF('Lançamento de Cabos'!B:B,Tabela4[[#This Row],[Cabo]],'Lançamento de Cabos'!C:C)=0,"",SUMIF('Lançamento de Cabos'!B:B,Tabela4[[#This Row],[Cabo]],'Lançamento de Cabos'!C:C))</f>
        <v/>
      </c>
      <c r="O29" s="28" t="str">
        <f ca="1">IFERROR(IF(Tabela4[[#This Row],[Compr. Lançado]]/Tabela4[[#This Row],[Compr. Prev.]]&gt;1,1,Tabela4[[#This Row],[Compr. Lançado]]/Tabela4[[#This Row],[Compr. Prev.]]),"")</f>
        <v/>
      </c>
      <c r="P29" s="24" t="str">
        <f ca="1">IFERROR(VLOOKUP(Tabela4[[#This Row],[Cabo]],BD!A:V,11,0),"")</f>
        <v>MCV-CCP-118 (RCK-CCP-101) / CCP</v>
      </c>
      <c r="Q29" s="24" t="str">
        <f ca="1">IFERROR(VLOOKUP(Tabela4[[#This Row],[Cabo]],BD!A:V,12,0),"")</f>
        <v>DIO-CCP-104 (RCK-CCP-101) / CCP</v>
      </c>
      <c r="R29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29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29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29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29" s="23">
        <f ca="1">IF(Tabela4[[#This Row],[Cabo]]&lt;&gt;"",4-COUNTIF(Tabela4[[#This Row],[Teste de Continuidade]:[Hipot]],"---"),"")</f>
        <v>0</v>
      </c>
      <c r="W29" s="29" t="e">
        <f ca="1">IF(Tabela4[[#This Row],[Cabo]]&lt;&gt;"",(COUNTIF(Tabela4[[#This Row],[Teste de Continuidade]:[Hipot]],"OK"))/(4-COUNTIF(Tabela4[[#This Row],[Teste de Continuidade]:[Hipot]],"---")),"")</f>
        <v>#DIV/0!</v>
      </c>
      <c r="X29" s="23">
        <f ca="1">IF(Tabela4[[#This Row],[Cabo]]&lt;&gt;"",SUMIFS('Lançamento de Cabos'!$AF:$AF,'Lançamento de Cabos'!AE:AE,Tabela4[[#This Row],[Cabo]],'Lançamento de Cabos'!AJ:AJ,Área!$B$1),"")</f>
        <v>0</v>
      </c>
      <c r="Y29" s="23">
        <f ca="1">IF(Tabela4[[#This Row],[Cabo]]&lt;&gt;"",SUMIFS('Lançamento de Cabos'!$AG:$AG,'Lançamento de Cabos'!AE:AE,Tabela4[[#This Row],[Cabo]],'Lançamento de Cabos'!AJ:AJ,Área!$B$1),"")</f>
        <v>0</v>
      </c>
      <c r="Z29" s="23" t="str">
        <f ca="1">VLOOKUP(Tabela4[[#This Row],[Cabo]],BD!A:AB,28,0)</f>
        <v>Disponível</v>
      </c>
    </row>
    <row r="30" spans="3:26" x14ac:dyDescent="0.25">
      <c r="C30" s="391" t="str">
        <f ca="1">IF($B$1="Geral",Tabela1[[#This Row],[Tag do Cabo]],IFERROR(INDEX(INDIRECT("BD!$A"&amp;D30&amp;":$A100000"),E30,1),""))</f>
        <v>CO032-RS</v>
      </c>
      <c r="D30" s="391">
        <f t="shared" ca="1" si="1"/>
        <v>344</v>
      </c>
      <c r="E30" s="391">
        <f t="shared" ca="1" si="0"/>
        <v>28</v>
      </c>
      <c r="F30" s="391" t="str">
        <f ca="1">IFERROR(VLOOKUP(Tabela4[[#This Row],[Cabo]],BD!A:V,2,0),"")</f>
        <v>FO</v>
      </c>
      <c r="G30" s="22" t="str">
        <f ca="1">IFERROR(VLOOKUP(Tabela4[[#This Row],[Cabo]],BD!A:V,5,0),"")</f>
        <v>CORDÃO ÓPTICO</v>
      </c>
      <c r="H30" s="391" t="str">
        <f ca="1">IFERROR(VLOOKUP(Tabela4[[#This Row],[Cabo]],BD!A:V,3,0),"")</f>
        <v>-</v>
      </c>
      <c r="I30" s="391" t="str">
        <f ca="1">IFERROR(VLOOKUP(Tabela4[[#This Row],[Cabo]],BD!A:V,4,0),"")</f>
        <v>-</v>
      </c>
      <c r="J30" s="391">
        <f ca="1">IFERROR(VLOOKUP(Tabela4[[#This Row],[Cabo]],BD!A:V,7,0),"")</f>
        <v>1</v>
      </c>
      <c r="K3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" s="23">
        <f ca="1">IFERROR(VLOOKUP(Tabela4[[#This Row],[Cabo]],BD!A:V,9,0),"")</f>
        <v>10</v>
      </c>
      <c r="M30" s="23">
        <f ca="1">IFERROR(VLOOKUP(Tabela4[[#This Row],[Cabo]],BD!A:AD,30,0),"")</f>
        <v>10</v>
      </c>
      <c r="N30" s="23" t="str">
        <f ca="1">IF(SUMIF('Lançamento de Cabos'!B:B,Tabela4[[#This Row],[Cabo]],'Lançamento de Cabos'!C:C)=0,"",SUMIF('Lançamento de Cabos'!B:B,Tabela4[[#This Row],[Cabo]],'Lançamento de Cabos'!C:C))</f>
        <v/>
      </c>
      <c r="O30" s="28" t="str">
        <f ca="1">IFERROR(IF(Tabela4[[#This Row],[Compr. Lançado]]/Tabela4[[#This Row],[Compr. Prev.]]&gt;1,1,Tabela4[[#This Row],[Compr. Lançado]]/Tabela4[[#This Row],[Compr. Prev.]]),"")</f>
        <v/>
      </c>
      <c r="P30" s="24" t="str">
        <f ca="1">IFERROR(VLOOKUP(Tabela4[[#This Row],[Cabo]],BD!A:V,11,0),"")</f>
        <v>CCSE/1CHA01</v>
      </c>
      <c r="Q30" s="24" t="str">
        <f ca="1">IFERROR(VLOOKUP(Tabela4[[#This Row],[Cabo]],BD!A:V,12,0),"")</f>
        <v>TS1A</v>
      </c>
      <c r="R30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0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0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0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0" s="23">
        <f ca="1">IF(Tabela4[[#This Row],[Cabo]]&lt;&gt;"",4-COUNTIF(Tabela4[[#This Row],[Teste de Continuidade]:[Hipot]],"---"),"")</f>
        <v>0</v>
      </c>
      <c r="W30" s="29" t="e">
        <f ca="1">IF(Tabela4[[#This Row],[Cabo]]&lt;&gt;"",(COUNTIF(Tabela4[[#This Row],[Teste de Continuidade]:[Hipot]],"OK"))/(4-COUNTIF(Tabela4[[#This Row],[Teste de Continuidade]:[Hipot]],"---")),"")</f>
        <v>#DIV/0!</v>
      </c>
      <c r="X30" s="23">
        <f ca="1">IF(Tabela4[[#This Row],[Cabo]]&lt;&gt;"",SUMIFS('Lançamento de Cabos'!$AF:$AF,'Lançamento de Cabos'!AE:AE,Tabela4[[#This Row],[Cabo]],'Lançamento de Cabos'!AJ:AJ,Área!$B$1),"")</f>
        <v>0</v>
      </c>
      <c r="Y30" s="23">
        <f ca="1">IF(Tabela4[[#This Row],[Cabo]]&lt;&gt;"",SUMIFS('Lançamento de Cabos'!$AG:$AG,'Lançamento de Cabos'!AE:AE,Tabela4[[#This Row],[Cabo]],'Lançamento de Cabos'!AJ:AJ,Área!$B$1),"")</f>
        <v>0</v>
      </c>
      <c r="Z30" s="23" t="str">
        <f ca="1">VLOOKUP(Tabela4[[#This Row],[Cabo]],BD!A:AB,28,0)</f>
        <v>Disponível</v>
      </c>
    </row>
    <row r="31" spans="3:26" x14ac:dyDescent="0.25">
      <c r="C31" s="391" t="str">
        <f ca="1">IF($B$1="Geral",Tabela1[[#This Row],[Tag do Cabo]],IFERROR(INDEX(INDIRECT("BD!$A"&amp;D31&amp;":$A100000"),E31,1),""))</f>
        <v>CO033-RS</v>
      </c>
      <c r="D31" s="391">
        <f t="shared" ca="1" si="1"/>
        <v>372</v>
      </c>
      <c r="E31" s="391">
        <f t="shared" ca="1" si="0"/>
        <v>1</v>
      </c>
      <c r="F31" s="391" t="str">
        <f ca="1">IFERROR(VLOOKUP(Tabela4[[#This Row],[Cabo]],BD!A:V,2,0),"")</f>
        <v>FO</v>
      </c>
      <c r="G31" s="22" t="str">
        <f ca="1">IFERROR(VLOOKUP(Tabela4[[#This Row],[Cabo]],BD!A:V,5,0),"")</f>
        <v>CORDÃO ÓPTICO</v>
      </c>
      <c r="H31" s="391" t="str">
        <f ca="1">IFERROR(VLOOKUP(Tabela4[[#This Row],[Cabo]],BD!A:V,3,0),"")</f>
        <v>-</v>
      </c>
      <c r="I31" s="391" t="str">
        <f ca="1">IFERROR(VLOOKUP(Tabela4[[#This Row],[Cabo]],BD!A:V,4,0),"")</f>
        <v>-</v>
      </c>
      <c r="J31" s="391">
        <f ca="1">IFERROR(VLOOKUP(Tabela4[[#This Row],[Cabo]],BD!A:V,7,0),"")</f>
        <v>1</v>
      </c>
      <c r="K3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" s="23">
        <f ca="1">IFERROR(VLOOKUP(Tabela4[[#This Row],[Cabo]],BD!A:V,9,0),"")</f>
        <v>10</v>
      </c>
      <c r="M31" s="23">
        <f ca="1">IFERROR(VLOOKUP(Tabela4[[#This Row],[Cabo]],BD!A:AD,30,0),"")</f>
        <v>10</v>
      </c>
      <c r="N31" s="23" t="str">
        <f ca="1">IF(SUMIF('Lançamento de Cabos'!B:B,Tabela4[[#This Row],[Cabo]],'Lançamento de Cabos'!C:C)=0,"",SUMIF('Lançamento de Cabos'!B:B,Tabela4[[#This Row],[Cabo]],'Lançamento de Cabos'!C:C))</f>
        <v/>
      </c>
      <c r="O31" s="28" t="str">
        <f ca="1">IFERROR(IF(Tabela4[[#This Row],[Compr. Lançado]]/Tabela4[[#This Row],[Compr. Prev.]]&gt;1,1,Tabela4[[#This Row],[Compr. Lançado]]/Tabela4[[#This Row],[Compr. Prev.]]),"")</f>
        <v/>
      </c>
      <c r="P31" s="24" t="str">
        <f ca="1">IFERROR(VLOOKUP(Tabela4[[#This Row],[Cabo]],BD!A:V,11,0),"")</f>
        <v>CCSE/1CHA01</v>
      </c>
      <c r="Q31" s="24" t="str">
        <f ca="1">IFERROR(VLOOKUP(Tabela4[[#This Row],[Cabo]],BD!A:V,12,0),"")</f>
        <v>TS1P</v>
      </c>
      <c r="R31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1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1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1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1" s="23">
        <f ca="1">IF(Tabela4[[#This Row],[Cabo]]&lt;&gt;"",4-COUNTIF(Tabela4[[#This Row],[Teste de Continuidade]:[Hipot]],"---"),"")</f>
        <v>0</v>
      </c>
      <c r="W31" s="29" t="e">
        <f ca="1">IF(Tabela4[[#This Row],[Cabo]]&lt;&gt;"",(COUNTIF(Tabela4[[#This Row],[Teste de Continuidade]:[Hipot]],"OK"))/(4-COUNTIF(Tabela4[[#This Row],[Teste de Continuidade]:[Hipot]],"---")),"")</f>
        <v>#DIV/0!</v>
      </c>
      <c r="X31" s="23">
        <f ca="1">IF(Tabela4[[#This Row],[Cabo]]&lt;&gt;"",SUMIFS('Lançamento de Cabos'!$AF:$AF,'Lançamento de Cabos'!AE:AE,Tabela4[[#This Row],[Cabo]],'Lançamento de Cabos'!AJ:AJ,Área!$B$1),"")</f>
        <v>0</v>
      </c>
      <c r="Y31" s="23">
        <f ca="1">IF(Tabela4[[#This Row],[Cabo]]&lt;&gt;"",SUMIFS('Lançamento de Cabos'!$AG:$AG,'Lançamento de Cabos'!AE:AE,Tabela4[[#This Row],[Cabo]],'Lançamento de Cabos'!AJ:AJ,Área!$B$1),"")</f>
        <v>0</v>
      </c>
      <c r="Z31" s="23" t="str">
        <f ca="1">VLOOKUP(Tabela4[[#This Row],[Cabo]],BD!A:AB,28,0)</f>
        <v>Disponível</v>
      </c>
    </row>
    <row r="32" spans="3:26" x14ac:dyDescent="0.25">
      <c r="C32" s="391" t="str">
        <f ca="1">IF($B$1="Geral",Tabela1[[#This Row],[Tag do Cabo]],IFERROR(INDEX(INDIRECT("BD!$A"&amp;D32&amp;":$A100000"),E32,1),""))</f>
        <v>CBO013-RS</v>
      </c>
      <c r="D32" s="391">
        <f t="shared" ca="1" si="1"/>
        <v>373</v>
      </c>
      <c r="E32" s="391">
        <f t="shared" ca="1" si="0"/>
        <v>3</v>
      </c>
      <c r="F32" s="391" t="str">
        <f ca="1">IFERROR(VLOOKUP(Tabela4[[#This Row],[Cabo]],BD!A:V,2,0),"")</f>
        <v>FO</v>
      </c>
      <c r="G32" s="22" t="str">
        <f ca="1">IFERROR(VLOOKUP(Tabela4[[#This Row],[Cabo]],BD!A:V,5,0),"")</f>
        <v>CABO ÓPTICO 4 VIAS</v>
      </c>
      <c r="H32" s="391" t="str">
        <f ca="1">IFERROR(VLOOKUP(Tabela4[[#This Row],[Cabo]],BD!A:V,3,0),"")</f>
        <v>-</v>
      </c>
      <c r="I32" s="391" t="str">
        <f ca="1">IFERROR(VLOOKUP(Tabela4[[#This Row],[Cabo]],BD!A:V,4,0),"")</f>
        <v>-</v>
      </c>
      <c r="J32" s="391">
        <f ca="1">IFERROR(VLOOKUP(Tabela4[[#This Row],[Cabo]],BD!A:V,7,0),"")</f>
        <v>1</v>
      </c>
      <c r="K32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32" s="23">
        <f ca="1">IFERROR(VLOOKUP(Tabela4[[#This Row],[Cabo]],BD!A:V,9,0),"")</f>
        <v>770</v>
      </c>
      <c r="M32" s="23">
        <f ca="1">IFERROR(VLOOKUP(Tabela4[[#This Row],[Cabo]],BD!A:AD,30,0),"")</f>
        <v>910</v>
      </c>
      <c r="N32" s="23">
        <f ca="1">IF(SUMIF('Lançamento de Cabos'!B:B,Tabela4[[#This Row],[Cabo]],'Lançamento de Cabos'!C:C)=0,"",SUMIF('Lançamento de Cabos'!B:B,Tabela4[[#This Row],[Cabo]],'Lançamento de Cabos'!C:C))</f>
        <v>910</v>
      </c>
      <c r="O32" s="28">
        <f ca="1">IFERROR(IF(Tabela4[[#This Row],[Compr. Lançado]]/Tabela4[[#This Row],[Compr. Prev.]]&gt;1,1,Tabela4[[#This Row],[Compr. Lançado]]/Tabela4[[#This Row],[Compr. Prev.]]),"")</f>
        <v>1</v>
      </c>
      <c r="P32" s="24" t="str">
        <f ca="1">IFERROR(VLOOKUP(Tabela4[[#This Row],[Cabo]],BD!A:V,11,0),"")</f>
        <v>CCSE/1CHA01</v>
      </c>
      <c r="Q32" s="24" t="str">
        <f ca="1">IFERROR(VLOOKUP(Tabela4[[#This Row],[Cabo]],BD!A:V,12,0),"")</f>
        <v>PSINC1 - DIO 4</v>
      </c>
      <c r="R32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2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2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2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2" s="23">
        <f ca="1">IF(Tabela4[[#This Row],[Cabo]]&lt;&gt;"",4-COUNTIF(Tabela4[[#This Row],[Teste de Continuidade]:[Hipot]],"---"),"")</f>
        <v>0</v>
      </c>
      <c r="W32" s="29" t="e">
        <f ca="1">IF(Tabela4[[#This Row],[Cabo]]&lt;&gt;"",(COUNTIF(Tabela4[[#This Row],[Teste de Continuidade]:[Hipot]],"OK"))/(4-COUNTIF(Tabela4[[#This Row],[Teste de Continuidade]:[Hipot]],"---")),"")</f>
        <v>#DIV/0!</v>
      </c>
      <c r="X32" s="23">
        <f ca="1">IF(Tabela4[[#This Row],[Cabo]]&lt;&gt;"",SUMIFS('Lançamento de Cabos'!$AF:$AF,'Lançamento de Cabos'!AE:AE,Tabela4[[#This Row],[Cabo]],'Lançamento de Cabos'!AJ:AJ,Área!$B$1),"")</f>
        <v>0</v>
      </c>
      <c r="Y32" s="23">
        <f ca="1">IF(Tabela4[[#This Row],[Cabo]]&lt;&gt;"",SUMIFS('Lançamento de Cabos'!$AG:$AG,'Lançamento de Cabos'!AE:AE,Tabela4[[#This Row],[Cabo]],'Lançamento de Cabos'!AJ:AJ,Área!$B$1),"")</f>
        <v>0</v>
      </c>
      <c r="Z32" s="23" t="str">
        <f ca="1">VLOOKUP(Tabela4[[#This Row],[Cabo]],BD!A:AB,28,0)</f>
        <v>Disponível</v>
      </c>
    </row>
    <row r="33" spans="3:26" x14ac:dyDescent="0.25">
      <c r="C33" s="391" t="str">
        <f ca="1">IF($B$1="Geral",Tabela1[[#This Row],[Tag do Cabo]],IFERROR(INDEX(INDIRECT("BD!$A"&amp;D33&amp;":$A100000"),E33,1),""))</f>
        <v>CBO010-PC</v>
      </c>
      <c r="D33" s="391">
        <f t="shared" ca="1" si="1"/>
        <v>376</v>
      </c>
      <c r="E33" s="391">
        <f t="shared" ca="1" si="0"/>
        <v>1</v>
      </c>
      <c r="F33" s="391" t="str">
        <f ca="1">IFERROR(VLOOKUP(Tabela4[[#This Row],[Cabo]],BD!A:V,2,0),"")</f>
        <v>FO</v>
      </c>
      <c r="G33" s="22" t="str">
        <f ca="1">IFERROR(VLOOKUP(Tabela4[[#This Row],[Cabo]],BD!A:V,5,0),"")</f>
        <v>CABO ÓPTICO 4 VIAS</v>
      </c>
      <c r="H33" s="391" t="str">
        <f ca="1">IFERROR(VLOOKUP(Tabela4[[#This Row],[Cabo]],BD!A:V,3,0),"")</f>
        <v>-</v>
      </c>
      <c r="I33" s="391" t="str">
        <f ca="1">IFERROR(VLOOKUP(Tabela4[[#This Row],[Cabo]],BD!A:V,4,0),"")</f>
        <v>-</v>
      </c>
      <c r="J33" s="391">
        <f ca="1">IFERROR(VLOOKUP(Tabela4[[#This Row],[Cabo]],BD!A:V,7,0),"")</f>
        <v>1</v>
      </c>
      <c r="K33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33" s="23">
        <f ca="1">IFERROR(VLOOKUP(Tabela4[[#This Row],[Cabo]],BD!A:V,9,0),"")</f>
        <v>800</v>
      </c>
      <c r="M33" s="23">
        <f ca="1">IFERROR(VLOOKUP(Tabela4[[#This Row],[Cabo]],BD!A:AD,30,0),"")</f>
        <v>910</v>
      </c>
      <c r="N33" s="23">
        <f ca="1">IF(SUMIF('Lançamento de Cabos'!B:B,Tabela4[[#This Row],[Cabo]],'Lançamento de Cabos'!C:C)=0,"",SUMIF('Lançamento de Cabos'!B:B,Tabela4[[#This Row],[Cabo]],'Lançamento de Cabos'!C:C))</f>
        <v>910</v>
      </c>
      <c r="O33" s="28">
        <f ca="1">IFERROR(IF(Tabela4[[#This Row],[Compr. Lançado]]/Tabela4[[#This Row],[Compr. Prev.]]&gt;1,1,Tabela4[[#This Row],[Compr. Lançado]]/Tabela4[[#This Row],[Compr. Prev.]]),"")</f>
        <v>1</v>
      </c>
      <c r="P33" s="24" t="str">
        <f ca="1">IFERROR(VLOOKUP(Tabela4[[#This Row],[Cabo]],BD!A:V,11,0),"")</f>
        <v>ER-8 - SUPERVISÓRIO EXIST.</v>
      </c>
      <c r="Q33" s="24" t="str">
        <f ca="1">IFERROR(VLOOKUP(Tabela4[[#This Row],[Cabo]],BD!A:V,12,0),"")</f>
        <v>SALA SERVIDOR - CCSE</v>
      </c>
      <c r="R33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3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3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3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3" s="23">
        <f ca="1">IF(Tabela4[[#This Row],[Cabo]]&lt;&gt;"",4-COUNTIF(Tabela4[[#This Row],[Teste de Continuidade]:[Hipot]],"---"),"")</f>
        <v>0</v>
      </c>
      <c r="W33" s="29" t="e">
        <f ca="1">IF(Tabela4[[#This Row],[Cabo]]&lt;&gt;"",(COUNTIF(Tabela4[[#This Row],[Teste de Continuidade]:[Hipot]],"OK"))/(4-COUNTIF(Tabela4[[#This Row],[Teste de Continuidade]:[Hipot]],"---")),"")</f>
        <v>#DIV/0!</v>
      </c>
      <c r="X33" s="23">
        <f ca="1">IF(Tabela4[[#This Row],[Cabo]]&lt;&gt;"",SUMIFS('Lançamento de Cabos'!$AF:$AF,'Lançamento de Cabos'!AE:AE,Tabela4[[#This Row],[Cabo]],'Lançamento de Cabos'!AJ:AJ,Área!$B$1),"")</f>
        <v>0</v>
      </c>
      <c r="Y33" s="23">
        <f ca="1">IF(Tabela4[[#This Row],[Cabo]]&lt;&gt;"",SUMIFS('Lançamento de Cabos'!$AG:$AG,'Lançamento de Cabos'!AE:AE,Tabela4[[#This Row],[Cabo]],'Lançamento de Cabos'!AJ:AJ,Área!$B$1),"")</f>
        <v>0</v>
      </c>
      <c r="Z33" s="23" t="str">
        <f ca="1">VLOOKUP(Tabela4[[#This Row],[Cabo]],BD!A:AB,28,0)</f>
        <v>Disponível</v>
      </c>
    </row>
    <row r="34" spans="3:26" x14ac:dyDescent="0.25">
      <c r="C34" s="391" t="str">
        <f ca="1">IF($B$1="Geral",Tabela1[[#This Row],[Tag do Cabo]],IFERROR(INDEX(INDIRECT("BD!$A"&amp;D34&amp;":$A100000"),E34,1),""))</f>
        <v>CBO014-RS</v>
      </c>
      <c r="D34" s="391">
        <f t="shared" ca="1" si="1"/>
        <v>377</v>
      </c>
      <c r="E34" s="391">
        <f t="shared" ref="E34:E65" ca="1" si="2">IFERROR(MATCH($B$1,INDIRECT("BD!$J"&amp;D34&amp;":$J100000"),0),"")</f>
        <v>1</v>
      </c>
      <c r="F34" s="391" t="str">
        <f ca="1">IFERROR(VLOOKUP(Tabela4[[#This Row],[Cabo]],BD!A:V,2,0),"")</f>
        <v>FO</v>
      </c>
      <c r="G34" s="22" t="str">
        <f ca="1">IFERROR(VLOOKUP(Tabela4[[#This Row],[Cabo]],BD!A:V,5,0),"")</f>
        <v>CABO ÓPTICO 4 VIAS</v>
      </c>
      <c r="H34" s="391" t="str">
        <f ca="1">IFERROR(VLOOKUP(Tabela4[[#This Row],[Cabo]],BD!A:V,3,0),"")</f>
        <v>-</v>
      </c>
      <c r="I34" s="391" t="str">
        <f ca="1">IFERROR(VLOOKUP(Tabela4[[#This Row],[Cabo]],BD!A:V,4,0),"")</f>
        <v>-</v>
      </c>
      <c r="J34" s="391">
        <f ca="1">IFERROR(VLOOKUP(Tabela4[[#This Row],[Cabo]],BD!A:V,7,0),"")</f>
        <v>1</v>
      </c>
      <c r="K3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" s="23">
        <f ca="1">IFERROR(VLOOKUP(Tabela4[[#This Row],[Cabo]],BD!A:V,9,0),"")</f>
        <v>770</v>
      </c>
      <c r="M34" s="23">
        <f ca="1">IFERROR(VLOOKUP(Tabela4[[#This Row],[Cabo]],BD!A:AD,30,0),"")</f>
        <v>770</v>
      </c>
      <c r="N34" s="23" t="str">
        <f ca="1">IF(SUMIF('Lançamento de Cabos'!B:B,Tabela4[[#This Row],[Cabo]],'Lançamento de Cabos'!C:C)=0,"",SUMIF('Lançamento de Cabos'!B:B,Tabela4[[#This Row],[Cabo]],'Lançamento de Cabos'!C:C))</f>
        <v/>
      </c>
      <c r="O34" s="28" t="str">
        <f ca="1">IFERROR(IF(Tabela4[[#This Row],[Compr. Lançado]]/Tabela4[[#This Row],[Compr. Prev.]]&gt;1,1,Tabela4[[#This Row],[Compr. Lançado]]/Tabela4[[#This Row],[Compr. Prev.]]),"")</f>
        <v/>
      </c>
      <c r="P34" s="24" t="str">
        <f ca="1">IFERROR(VLOOKUP(Tabela4[[#This Row],[Cabo]],BD!A:V,11,0),"")</f>
        <v>CCSE/1CHA01</v>
      </c>
      <c r="Q34" s="24" t="str">
        <f ca="1">IFERROR(VLOOKUP(Tabela4[[#This Row],[Cabo]],BD!A:V,12,0),"")</f>
        <v>PSINC1 - DIO 4</v>
      </c>
      <c r="R34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4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4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4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4" s="23">
        <f ca="1">IF(Tabela4[[#This Row],[Cabo]]&lt;&gt;"",4-COUNTIF(Tabela4[[#This Row],[Teste de Continuidade]:[Hipot]],"---"),"")</f>
        <v>0</v>
      </c>
      <c r="W34" s="29" t="e">
        <f ca="1">IF(Tabela4[[#This Row],[Cabo]]&lt;&gt;"",(COUNTIF(Tabela4[[#This Row],[Teste de Continuidade]:[Hipot]],"OK"))/(4-COUNTIF(Tabela4[[#This Row],[Teste de Continuidade]:[Hipot]],"---")),"")</f>
        <v>#DIV/0!</v>
      </c>
      <c r="X34" s="23">
        <f ca="1">IF(Tabela4[[#This Row],[Cabo]]&lt;&gt;"",SUMIFS('Lançamento de Cabos'!$AF:$AF,'Lançamento de Cabos'!AE:AE,Tabela4[[#This Row],[Cabo]],'Lançamento de Cabos'!AJ:AJ,Área!$B$1),"")</f>
        <v>0</v>
      </c>
      <c r="Y34" s="23">
        <f ca="1">IF(Tabela4[[#This Row],[Cabo]]&lt;&gt;"",SUMIFS('Lançamento de Cabos'!$AG:$AG,'Lançamento de Cabos'!AE:AE,Tabela4[[#This Row],[Cabo]],'Lançamento de Cabos'!AJ:AJ,Área!$B$1),"")</f>
        <v>0</v>
      </c>
      <c r="Z34" s="23" t="str">
        <f ca="1">VLOOKUP(Tabela4[[#This Row],[Cabo]],BD!A:AB,28,0)</f>
        <v>Pend. Compra</v>
      </c>
    </row>
    <row r="35" spans="3:26" x14ac:dyDescent="0.25">
      <c r="C35" s="391" t="str">
        <f ca="1">IF($B$1="Geral",Tabela1[[#This Row],[Tag do Cabo]],IFERROR(INDEX(INDIRECT("BD!$A"&amp;D35&amp;":$A100000"),E35,1),""))</f>
        <v>CDC-02141</v>
      </c>
      <c r="D35" s="391">
        <f t="shared" ca="1" si="1"/>
        <v>378</v>
      </c>
      <c r="E35" s="391">
        <f t="shared" ca="1" si="2"/>
        <v>7</v>
      </c>
      <c r="F35" s="391" t="str">
        <f ca="1">IFERROR(VLOOKUP(Tabela4[[#This Row],[Cabo]],BD!A:V,2,0),"")</f>
        <v>FO</v>
      </c>
      <c r="G35" s="22" t="str">
        <f ca="1">IFERROR(VLOOKUP(Tabela4[[#This Row],[Cabo]],BD!A:V,5,0),"")</f>
        <v>FIBRA OPTICA MM 3 PARES</v>
      </c>
      <c r="H35" s="391" t="str">
        <f ca="1">IFERROR(VLOOKUP(Tabela4[[#This Row],[Cabo]],BD!A:V,3,0),"")</f>
        <v>-</v>
      </c>
      <c r="I35" s="391" t="str">
        <f ca="1">IFERROR(VLOOKUP(Tabela4[[#This Row],[Cabo]],BD!A:V,4,0),"")</f>
        <v>-</v>
      </c>
      <c r="J35" s="391">
        <f ca="1">IFERROR(VLOOKUP(Tabela4[[#This Row],[Cabo]],BD!A:V,7,0),"")</f>
        <v>1</v>
      </c>
      <c r="K35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35" s="23">
        <f ca="1">IFERROR(VLOOKUP(Tabela4[[#This Row],[Cabo]],BD!A:V,9,0),"")</f>
        <v>85</v>
      </c>
      <c r="M35" s="23">
        <f ca="1">IFERROR(VLOOKUP(Tabela4[[#This Row],[Cabo]],BD!A:AD,30,0),"")</f>
        <v>85</v>
      </c>
      <c r="N35" s="23">
        <f ca="1">IF(SUMIF('Lançamento de Cabos'!B:B,Tabela4[[#This Row],[Cabo]],'Lançamento de Cabos'!C:C)=0,"",SUMIF('Lançamento de Cabos'!B:B,Tabela4[[#This Row],[Cabo]],'Lançamento de Cabos'!C:C))</f>
        <v>85</v>
      </c>
      <c r="O35" s="28">
        <f ca="1">IFERROR(IF(Tabela4[[#This Row],[Compr. Lançado]]/Tabela4[[#This Row],[Compr. Prev.]]&gt;1,1,Tabela4[[#This Row],[Compr. Lançado]]/Tabela4[[#This Row],[Compr. Prev.]]),"")</f>
        <v>1</v>
      </c>
      <c r="P35" s="24" t="str">
        <f ca="1">IFERROR(VLOOKUP(Tabela4[[#This Row],[Cabo]],BD!A:V,11,0),"")</f>
        <v>CAMPO - GA-906E (PL-90-127)</v>
      </c>
      <c r="Q35" s="24" t="str">
        <f ca="1">IFERROR(VLOOKUP(Tabela4[[#This Row],[Cabo]],BD!A:V,12,0),"")</f>
        <v>CCU - DELTA V - PI-95</v>
      </c>
      <c r="R35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5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5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5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5" s="23">
        <f ca="1">IF(Tabela4[[#This Row],[Cabo]]&lt;&gt;"",4-COUNTIF(Tabela4[[#This Row],[Teste de Continuidade]:[Hipot]],"---"),"")</f>
        <v>0</v>
      </c>
      <c r="W35" s="29" t="e">
        <f ca="1">IF(Tabela4[[#This Row],[Cabo]]&lt;&gt;"",(COUNTIF(Tabela4[[#This Row],[Teste de Continuidade]:[Hipot]],"OK"))/(4-COUNTIF(Tabela4[[#This Row],[Teste de Continuidade]:[Hipot]],"---")),"")</f>
        <v>#DIV/0!</v>
      </c>
      <c r="X35" s="23">
        <f ca="1">IF(Tabela4[[#This Row],[Cabo]]&lt;&gt;"",SUMIFS('Lançamento de Cabos'!$AF:$AF,'Lançamento de Cabos'!AE:AE,Tabela4[[#This Row],[Cabo]],'Lançamento de Cabos'!AJ:AJ,Área!$B$1),"")</f>
        <v>0</v>
      </c>
      <c r="Y35" s="23">
        <f ca="1">IF(Tabela4[[#This Row],[Cabo]]&lt;&gt;"",SUMIFS('Lançamento de Cabos'!$AG:$AG,'Lançamento de Cabos'!AE:AE,Tabela4[[#This Row],[Cabo]],'Lançamento de Cabos'!AJ:AJ,Área!$B$1),"")</f>
        <v>0</v>
      </c>
      <c r="Z35" s="23" t="str">
        <f ca="1">VLOOKUP(Tabela4[[#This Row],[Cabo]],BD!A:AB,28,0)</f>
        <v>Disponível</v>
      </c>
    </row>
    <row r="36" spans="3:26" x14ac:dyDescent="0.25">
      <c r="C36" s="391" t="str">
        <f ca="1">IF($B$1="Geral",Tabela1[[#This Row],[Tag do Cabo]],IFERROR(INDEX(INDIRECT("BD!$A"&amp;D36&amp;":$A100000"),E36,1),""))</f>
        <v>CDC-17003</v>
      </c>
      <c r="D36" s="391">
        <f t="shared" ca="1" si="1"/>
        <v>385</v>
      </c>
      <c r="E36" s="391">
        <f t="shared" ca="1" si="2"/>
        <v>14</v>
      </c>
      <c r="F36" s="391" t="str">
        <f ca="1">IFERROR(VLOOKUP(Tabela4[[#This Row],[Cabo]],BD!A:V,2,0),"")</f>
        <v>FO</v>
      </c>
      <c r="G36" s="22" t="str">
        <f ca="1">IFERROR(VLOOKUP(Tabela4[[#This Row],[Cabo]],BD!A:V,5,0),"")</f>
        <v>FIBRA OPTICA MM 3 PARES</v>
      </c>
      <c r="H36" s="391" t="str">
        <f ca="1">IFERROR(VLOOKUP(Tabela4[[#This Row],[Cabo]],BD!A:V,3,0),"")</f>
        <v>-</v>
      </c>
      <c r="I36" s="391" t="str">
        <f ca="1">IFERROR(VLOOKUP(Tabela4[[#This Row],[Cabo]],BD!A:V,4,0),"")</f>
        <v>-</v>
      </c>
      <c r="J36" s="391">
        <f ca="1">IFERROR(VLOOKUP(Tabela4[[#This Row],[Cabo]],BD!A:V,7,0),"")</f>
        <v>1</v>
      </c>
      <c r="K36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36" s="23">
        <f ca="1">IFERROR(VLOOKUP(Tabela4[[#This Row],[Cabo]],BD!A:V,9,0),"")</f>
        <v>220</v>
      </c>
      <c r="M36" s="23">
        <f ca="1">IFERROR(VLOOKUP(Tabela4[[#This Row],[Cabo]],BD!A:AD,30,0),"")</f>
        <v>220</v>
      </c>
      <c r="N36" s="23">
        <f ca="1">IF(SUMIF('Lançamento de Cabos'!B:B,Tabela4[[#This Row],[Cabo]],'Lançamento de Cabos'!C:C)=0,"",SUMIF('Lançamento de Cabos'!B:B,Tabela4[[#This Row],[Cabo]],'Lançamento de Cabos'!C:C))</f>
        <v>220</v>
      </c>
      <c r="O36" s="28">
        <f ca="1">IFERROR(IF(Tabela4[[#This Row],[Compr. Lançado]]/Tabela4[[#This Row],[Compr. Prev.]]&gt;1,1,Tabela4[[#This Row],[Compr. Lançado]]/Tabela4[[#This Row],[Compr. Prev.]]),"")</f>
        <v>1</v>
      </c>
      <c r="P36" s="24" t="str">
        <f ca="1">IFERROR(VLOOKUP(Tabela4[[#This Row],[Cabo]],BD!A:V,11,0),"")</f>
        <v>SUBESTAÇÃO-COGERAÇÃO</v>
      </c>
      <c r="Q36" s="24" t="str">
        <f ca="1">IFERROR(VLOOKUP(Tabela4[[#This Row],[Cabo]],BD!A:V,12,0),"")</f>
        <v>KVM/THIN CLIENT - 
SUBSOLO CCO</v>
      </c>
      <c r="R36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6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6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6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6" s="23">
        <f ca="1">IF(Tabela4[[#This Row],[Cabo]]&lt;&gt;"",4-COUNTIF(Tabela4[[#This Row],[Teste de Continuidade]:[Hipot]],"---"),"")</f>
        <v>0</v>
      </c>
      <c r="W36" s="29" t="e">
        <f ca="1">IF(Tabela4[[#This Row],[Cabo]]&lt;&gt;"",(COUNTIF(Tabela4[[#This Row],[Teste de Continuidade]:[Hipot]],"OK"))/(4-COUNTIF(Tabela4[[#This Row],[Teste de Continuidade]:[Hipot]],"---")),"")</f>
        <v>#DIV/0!</v>
      </c>
      <c r="X36" s="23">
        <f ca="1">IF(Tabela4[[#This Row],[Cabo]]&lt;&gt;"",SUMIFS('Lançamento de Cabos'!$AF:$AF,'Lançamento de Cabos'!AE:AE,Tabela4[[#This Row],[Cabo]],'Lançamento de Cabos'!AJ:AJ,Área!$B$1),"")</f>
        <v>0</v>
      </c>
      <c r="Y36" s="23">
        <f ca="1">IF(Tabela4[[#This Row],[Cabo]]&lt;&gt;"",SUMIFS('Lançamento de Cabos'!$AG:$AG,'Lançamento de Cabos'!AE:AE,Tabela4[[#This Row],[Cabo]],'Lançamento de Cabos'!AJ:AJ,Área!$B$1),"")</f>
        <v>0</v>
      </c>
      <c r="Z36" s="23" t="str">
        <f ca="1">VLOOKUP(Tabela4[[#This Row],[Cabo]],BD!A:AB,28,0)</f>
        <v>Disponível</v>
      </c>
    </row>
    <row r="37" spans="3:26" x14ac:dyDescent="0.25">
      <c r="C37" s="391" t="str">
        <f ca="1">IF($B$1="Geral",Tabela1[[#This Row],[Tag do Cabo]],IFERROR(INDEX(INDIRECT("BD!$A"&amp;D37&amp;":$A100000"),E37,1),""))</f>
        <v>CDC-17004</v>
      </c>
      <c r="D37" s="391">
        <f t="shared" ca="1" si="1"/>
        <v>399</v>
      </c>
      <c r="E37" s="391">
        <f t="shared" ca="1" si="2"/>
        <v>1</v>
      </c>
      <c r="F37" s="391" t="str">
        <f ca="1">IFERROR(VLOOKUP(Tabela4[[#This Row],[Cabo]],BD!A:V,2,0),"")</f>
        <v>FO</v>
      </c>
      <c r="G37" s="22" t="str">
        <f ca="1">IFERROR(VLOOKUP(Tabela4[[#This Row],[Cabo]],BD!A:V,5,0),"")</f>
        <v>FIBRA OPTICA MM 3 PARES</v>
      </c>
      <c r="H37" s="391" t="str">
        <f ca="1">IFERROR(VLOOKUP(Tabela4[[#This Row],[Cabo]],BD!A:V,3,0),"")</f>
        <v>-</v>
      </c>
      <c r="I37" s="391" t="str">
        <f ca="1">IFERROR(VLOOKUP(Tabela4[[#This Row],[Cabo]],BD!A:V,4,0),"")</f>
        <v>-</v>
      </c>
      <c r="J37" s="391">
        <f ca="1">IFERROR(VLOOKUP(Tabela4[[#This Row],[Cabo]],BD!A:V,7,0),"")</f>
        <v>1</v>
      </c>
      <c r="K37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37" s="23">
        <f ca="1">IFERROR(VLOOKUP(Tabela4[[#This Row],[Cabo]],BD!A:V,9,0),"")</f>
        <v>220</v>
      </c>
      <c r="M37" s="23">
        <f ca="1">IFERROR(VLOOKUP(Tabela4[[#This Row],[Cabo]],BD!A:AD,30,0),"")</f>
        <v>220</v>
      </c>
      <c r="N37" s="23">
        <f ca="1">IF(SUMIF('Lançamento de Cabos'!B:B,Tabela4[[#This Row],[Cabo]],'Lançamento de Cabos'!C:C)=0,"",SUMIF('Lançamento de Cabos'!B:B,Tabela4[[#This Row],[Cabo]],'Lançamento de Cabos'!C:C))</f>
        <v>220</v>
      </c>
      <c r="O37" s="28">
        <f ca="1">IFERROR(IF(Tabela4[[#This Row],[Compr. Lançado]]/Tabela4[[#This Row],[Compr. Prev.]]&gt;1,1,Tabela4[[#This Row],[Compr. Lançado]]/Tabela4[[#This Row],[Compr. Prev.]]),"")</f>
        <v>1</v>
      </c>
      <c r="P37" s="24" t="str">
        <f ca="1">IFERROR(VLOOKUP(Tabela4[[#This Row],[Cabo]],BD!A:V,11,0),"")</f>
        <v>SUBESTAÇÃO-COGERAÇÃO</v>
      </c>
      <c r="Q37" s="24" t="str">
        <f ca="1">IFERROR(VLOOKUP(Tabela4[[#This Row],[Cabo]],BD!A:V,12,0),"")</f>
        <v>KVM/THIN CLIENT - 
SUBSOLO CCO</v>
      </c>
      <c r="R37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7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7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7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7" s="23">
        <f ca="1">IF(Tabela4[[#This Row],[Cabo]]&lt;&gt;"",4-COUNTIF(Tabela4[[#This Row],[Teste de Continuidade]:[Hipot]],"---"),"")</f>
        <v>0</v>
      </c>
      <c r="W37" s="29" t="e">
        <f ca="1">IF(Tabela4[[#This Row],[Cabo]]&lt;&gt;"",(COUNTIF(Tabela4[[#This Row],[Teste de Continuidade]:[Hipot]],"OK"))/(4-COUNTIF(Tabela4[[#This Row],[Teste de Continuidade]:[Hipot]],"---")),"")</f>
        <v>#DIV/0!</v>
      </c>
      <c r="X37" s="23">
        <f ca="1">IF(Tabela4[[#This Row],[Cabo]]&lt;&gt;"",SUMIFS('Lançamento de Cabos'!$AF:$AF,'Lançamento de Cabos'!AE:AE,Tabela4[[#This Row],[Cabo]],'Lançamento de Cabos'!AJ:AJ,Área!$B$1),"")</f>
        <v>0</v>
      </c>
      <c r="Y37" s="23">
        <f ca="1">IF(Tabela4[[#This Row],[Cabo]]&lt;&gt;"",SUMIFS('Lançamento de Cabos'!$AG:$AG,'Lançamento de Cabos'!AE:AE,Tabela4[[#This Row],[Cabo]],'Lançamento de Cabos'!AJ:AJ,Área!$B$1),"")</f>
        <v>0</v>
      </c>
      <c r="Z37" s="23" t="str">
        <f ca="1">VLOOKUP(Tabela4[[#This Row],[Cabo]],BD!A:AB,28,0)</f>
        <v>Disponível</v>
      </c>
    </row>
    <row r="38" spans="3:26" x14ac:dyDescent="0.25">
      <c r="C38" s="391" t="str">
        <f ca="1">IF($B$1="Geral",Tabela1[[#This Row],[Tag do Cabo]],IFERROR(INDEX(INDIRECT("BD!$A"&amp;D38&amp;":$A100000"),E38,1),""))</f>
        <v>CDC-17005</v>
      </c>
      <c r="D38" s="391">
        <f t="shared" ca="1" si="1"/>
        <v>400</v>
      </c>
      <c r="E38" s="391">
        <f t="shared" ca="1" si="2"/>
        <v>1</v>
      </c>
      <c r="F38" s="391" t="str">
        <f ca="1">IFERROR(VLOOKUP(Tabela4[[#This Row],[Cabo]],BD!A:V,2,0),"")</f>
        <v>FO</v>
      </c>
      <c r="G38" s="22" t="str">
        <f ca="1">IFERROR(VLOOKUP(Tabela4[[#This Row],[Cabo]],BD!A:V,5,0),"")</f>
        <v>FIBRA OPTICA MM 3 PARES</v>
      </c>
      <c r="H38" s="391" t="str">
        <f ca="1">IFERROR(VLOOKUP(Tabela4[[#This Row],[Cabo]],BD!A:V,3,0),"")</f>
        <v>-</v>
      </c>
      <c r="I38" s="391" t="str">
        <f ca="1">IFERROR(VLOOKUP(Tabela4[[#This Row],[Cabo]],BD!A:V,4,0),"")</f>
        <v>-</v>
      </c>
      <c r="J38" s="391">
        <f ca="1">IFERROR(VLOOKUP(Tabela4[[#This Row],[Cabo]],BD!A:V,7,0),"")</f>
        <v>1</v>
      </c>
      <c r="K38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1</v>
      </c>
      <c r="L38" s="23">
        <f ca="1">IFERROR(VLOOKUP(Tabela4[[#This Row],[Cabo]],BD!A:V,9,0),"")</f>
        <v>220</v>
      </c>
      <c r="M38" s="23">
        <f ca="1">IFERROR(VLOOKUP(Tabela4[[#This Row],[Cabo]],BD!A:AD,30,0),"")</f>
        <v>220</v>
      </c>
      <c r="N38" s="23">
        <f ca="1">IF(SUMIF('Lançamento de Cabos'!B:B,Tabela4[[#This Row],[Cabo]],'Lançamento de Cabos'!C:C)=0,"",SUMIF('Lançamento de Cabos'!B:B,Tabela4[[#This Row],[Cabo]],'Lançamento de Cabos'!C:C))</f>
        <v>220</v>
      </c>
      <c r="O38" s="28">
        <f ca="1">IFERROR(IF(Tabela4[[#This Row],[Compr. Lançado]]/Tabela4[[#This Row],[Compr. Prev.]]&gt;1,1,Tabela4[[#This Row],[Compr. Lançado]]/Tabela4[[#This Row],[Compr. Prev.]]),"")</f>
        <v>1</v>
      </c>
      <c r="P38" s="24" t="str">
        <f ca="1">IFERROR(VLOOKUP(Tabela4[[#This Row],[Cabo]],BD!A:V,11,0),"")</f>
        <v>SUBESTAÇÃO-COGERAÇÃO</v>
      </c>
      <c r="Q38" s="24" t="str">
        <f ca="1">IFERROR(VLOOKUP(Tabela4[[#This Row],[Cabo]],BD!A:V,12,0),"")</f>
        <v>KVM/THIN CLIENT - 
SUBSOLO CCO</v>
      </c>
      <c r="R38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8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8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8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8" s="23">
        <f ca="1">IF(Tabela4[[#This Row],[Cabo]]&lt;&gt;"",4-COUNTIF(Tabela4[[#This Row],[Teste de Continuidade]:[Hipot]],"---"),"")</f>
        <v>0</v>
      </c>
      <c r="W38" s="29" t="e">
        <f ca="1">IF(Tabela4[[#This Row],[Cabo]]&lt;&gt;"",(COUNTIF(Tabela4[[#This Row],[Teste de Continuidade]:[Hipot]],"OK"))/(4-COUNTIF(Tabela4[[#This Row],[Teste de Continuidade]:[Hipot]],"---")),"")</f>
        <v>#DIV/0!</v>
      </c>
      <c r="X38" s="23">
        <f ca="1">IF(Tabela4[[#This Row],[Cabo]]&lt;&gt;"",SUMIFS('Lançamento de Cabos'!$AF:$AF,'Lançamento de Cabos'!AE:AE,Tabela4[[#This Row],[Cabo]],'Lançamento de Cabos'!AJ:AJ,Área!$B$1),"")</f>
        <v>0</v>
      </c>
      <c r="Y38" s="23">
        <f ca="1">IF(Tabela4[[#This Row],[Cabo]]&lt;&gt;"",SUMIFS('Lançamento de Cabos'!$AG:$AG,'Lançamento de Cabos'!AE:AE,Tabela4[[#This Row],[Cabo]],'Lançamento de Cabos'!AJ:AJ,Área!$B$1),"")</f>
        <v>0</v>
      </c>
      <c r="Z38" s="23" t="str">
        <f ca="1">VLOOKUP(Tabela4[[#This Row],[Cabo]],BD!A:AB,28,0)</f>
        <v>Disponível</v>
      </c>
    </row>
    <row r="39" spans="3:26" x14ac:dyDescent="0.25">
      <c r="C39" s="391" t="str">
        <f ca="1">IF($B$1="Geral",Tabela1[[#This Row],[Tag do Cabo]],IFERROR(INDEX(INDIRECT("BD!$A"&amp;D39&amp;":$A100000"),E39,1),""))</f>
        <v>CFO-RCK-1701-001A</v>
      </c>
      <c r="D39" s="391">
        <f t="shared" ca="1" si="1"/>
        <v>401</v>
      </c>
      <c r="E39" s="391">
        <f t="shared" ca="1" si="2"/>
        <v>5</v>
      </c>
      <c r="F39" s="391" t="str">
        <f ca="1">IFERROR(VLOOKUP(Tabela4[[#This Row],[Cabo]],BD!A:V,2,0),"")</f>
        <v>FO</v>
      </c>
      <c r="G39" s="22" t="str">
        <f ca="1">IFERROR(VLOOKUP(Tabela4[[#This Row],[Cabo]],BD!A:V,5,0),"")</f>
        <v>FIBRA OPTICA MM 3 PARES</v>
      </c>
      <c r="H39" s="391" t="str">
        <f ca="1">IFERROR(VLOOKUP(Tabela4[[#This Row],[Cabo]],BD!A:V,3,0),"")</f>
        <v>-</v>
      </c>
      <c r="I39" s="391" t="str">
        <f ca="1">IFERROR(VLOOKUP(Tabela4[[#This Row],[Cabo]],BD!A:V,4,0),"")</f>
        <v>-</v>
      </c>
      <c r="J39" s="391">
        <f ca="1">IFERROR(VLOOKUP(Tabela4[[#This Row],[Cabo]],BD!A:V,7,0),"")</f>
        <v>1</v>
      </c>
      <c r="K3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" s="23">
        <f ca="1">IFERROR(VLOOKUP(Tabela4[[#This Row],[Cabo]],BD!A:V,9,0),"")</f>
        <v>510</v>
      </c>
      <c r="M39" s="23">
        <f ca="1">IFERROR(VLOOKUP(Tabela4[[#This Row],[Cabo]],BD!A:AD,30,0),"")</f>
        <v>510</v>
      </c>
      <c r="N39" s="23" t="str">
        <f ca="1">IF(SUMIF('Lançamento de Cabos'!B:B,Tabela4[[#This Row],[Cabo]],'Lançamento de Cabos'!C:C)=0,"",SUMIF('Lançamento de Cabos'!B:B,Tabela4[[#This Row],[Cabo]],'Lançamento de Cabos'!C:C))</f>
        <v/>
      </c>
      <c r="O39" s="28" t="str">
        <f ca="1">IFERROR(IF(Tabela4[[#This Row],[Compr. Lançado]]/Tabela4[[#This Row],[Compr. Prev.]]&gt;1,1,Tabela4[[#This Row],[Compr. Lançado]]/Tabela4[[#This Row],[Compr. Prev.]]),"")</f>
        <v/>
      </c>
      <c r="P39" s="24" t="str">
        <f ca="1">IFERROR(VLOOKUP(Tabela4[[#This Row],[Cabo]],BD!A:V,11,0),"")</f>
        <v>SUBESTAÇÃO-COGERAÇÃO</v>
      </c>
      <c r="Q39" s="24" t="str">
        <f ca="1">IFERROR(VLOOKUP(Tabela4[[#This Row],[Cabo]],BD!A:V,12,0),"")</f>
        <v>CCU - DELTA V - EIOC - PI-95</v>
      </c>
      <c r="R39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39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39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39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39" s="23">
        <f ca="1">IF(Tabela4[[#This Row],[Cabo]]&lt;&gt;"",4-COUNTIF(Tabela4[[#This Row],[Teste de Continuidade]:[Hipot]],"---"),"")</f>
        <v>0</v>
      </c>
      <c r="W39" s="29" t="e">
        <f ca="1">IF(Tabela4[[#This Row],[Cabo]]&lt;&gt;"",(COUNTIF(Tabela4[[#This Row],[Teste de Continuidade]:[Hipot]],"OK"))/(4-COUNTIF(Tabela4[[#This Row],[Teste de Continuidade]:[Hipot]],"---")),"")</f>
        <v>#DIV/0!</v>
      </c>
      <c r="X39" s="23">
        <f ca="1">IF(Tabela4[[#This Row],[Cabo]]&lt;&gt;"",SUMIFS('Lançamento de Cabos'!$AF:$AF,'Lançamento de Cabos'!AE:AE,Tabela4[[#This Row],[Cabo]],'Lançamento de Cabos'!AJ:AJ,Área!$B$1),"")</f>
        <v>0</v>
      </c>
      <c r="Y39" s="23">
        <f ca="1">IF(Tabela4[[#This Row],[Cabo]]&lt;&gt;"",SUMIFS('Lançamento de Cabos'!$AG:$AG,'Lançamento de Cabos'!AE:AE,Tabela4[[#This Row],[Cabo]],'Lançamento de Cabos'!AJ:AJ,Área!$B$1),"")</f>
        <v>0</v>
      </c>
      <c r="Z39" s="23" t="str">
        <f ca="1">VLOOKUP(Tabela4[[#This Row],[Cabo]],BD!A:AB,28,0)</f>
        <v>Pend. Material</v>
      </c>
    </row>
    <row r="40" spans="3:26" x14ac:dyDescent="0.25">
      <c r="C40" s="391" t="str">
        <f ca="1">IF($B$1="Geral",Tabela1[[#This Row],[Tag do Cabo]],IFERROR(INDEX(INDIRECT("BD!$A"&amp;D40&amp;":$A100000"),E40,1),""))</f>
        <v>CFO-RCK-1701-001B</v>
      </c>
      <c r="D40" s="391">
        <f t="shared" ca="1" si="1"/>
        <v>406</v>
      </c>
      <c r="E40" s="391">
        <f t="shared" ca="1" si="2"/>
        <v>1</v>
      </c>
      <c r="F40" s="391" t="str">
        <f ca="1">IFERROR(VLOOKUP(Tabela4[[#This Row],[Cabo]],BD!A:V,2,0),"")</f>
        <v>FO</v>
      </c>
      <c r="G40" s="22" t="str">
        <f ca="1">IFERROR(VLOOKUP(Tabela4[[#This Row],[Cabo]],BD!A:V,5,0),"")</f>
        <v>FIBRA OPTICA MM 3 PARES</v>
      </c>
      <c r="H40" s="391" t="str">
        <f ca="1">IFERROR(VLOOKUP(Tabela4[[#This Row],[Cabo]],BD!A:V,3,0),"")</f>
        <v>-</v>
      </c>
      <c r="I40" s="391" t="str">
        <f ca="1">IFERROR(VLOOKUP(Tabela4[[#This Row],[Cabo]],BD!A:V,4,0),"")</f>
        <v>-</v>
      </c>
      <c r="J40" s="391">
        <f ca="1">IFERROR(VLOOKUP(Tabela4[[#This Row],[Cabo]],BD!A:V,7,0),"")</f>
        <v>1</v>
      </c>
      <c r="K4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" s="23">
        <f ca="1">IFERROR(VLOOKUP(Tabela4[[#This Row],[Cabo]],BD!A:V,9,0),"")</f>
        <v>510</v>
      </c>
      <c r="M40" s="23">
        <f ca="1">IFERROR(VLOOKUP(Tabela4[[#This Row],[Cabo]],BD!A:AD,30,0),"")</f>
        <v>510</v>
      </c>
      <c r="N40" s="23" t="str">
        <f ca="1">IF(SUMIF('Lançamento de Cabos'!B:B,Tabela4[[#This Row],[Cabo]],'Lançamento de Cabos'!C:C)=0,"",SUMIF('Lançamento de Cabos'!B:B,Tabela4[[#This Row],[Cabo]],'Lançamento de Cabos'!C:C))</f>
        <v/>
      </c>
      <c r="O40" s="28" t="str">
        <f ca="1">IFERROR(IF(Tabela4[[#This Row],[Compr. Lançado]]/Tabela4[[#This Row],[Compr. Prev.]]&gt;1,1,Tabela4[[#This Row],[Compr. Lançado]]/Tabela4[[#This Row],[Compr. Prev.]]),"")</f>
        <v/>
      </c>
      <c r="P40" s="24" t="str">
        <f ca="1">IFERROR(VLOOKUP(Tabela4[[#This Row],[Cabo]],BD!A:V,11,0),"")</f>
        <v>SUBESTAÇÃO-COGERAÇÃO</v>
      </c>
      <c r="Q40" s="24" t="str">
        <f ca="1">IFERROR(VLOOKUP(Tabela4[[#This Row],[Cabo]],BD!A:V,12,0),"")</f>
        <v>CCU - DELTA V - EIOC - PI-95</v>
      </c>
      <c r="R40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40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40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0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0" s="23">
        <f ca="1">IF(Tabela4[[#This Row],[Cabo]]&lt;&gt;"",4-COUNTIF(Tabela4[[#This Row],[Teste de Continuidade]:[Hipot]],"---"),"")</f>
        <v>0</v>
      </c>
      <c r="W40" s="29" t="e">
        <f ca="1">IF(Tabela4[[#This Row],[Cabo]]&lt;&gt;"",(COUNTIF(Tabela4[[#This Row],[Teste de Continuidade]:[Hipot]],"OK"))/(4-COUNTIF(Tabela4[[#This Row],[Teste de Continuidade]:[Hipot]],"---")),"")</f>
        <v>#DIV/0!</v>
      </c>
      <c r="X40" s="23">
        <f ca="1">IF(Tabela4[[#This Row],[Cabo]]&lt;&gt;"",SUMIFS('Lançamento de Cabos'!$AF:$AF,'Lançamento de Cabos'!AE:AE,Tabela4[[#This Row],[Cabo]],'Lançamento de Cabos'!AJ:AJ,Área!$B$1),"")</f>
        <v>0</v>
      </c>
      <c r="Y40" s="23">
        <f ca="1">IF(Tabela4[[#This Row],[Cabo]]&lt;&gt;"",SUMIFS('Lançamento de Cabos'!$AG:$AG,'Lançamento de Cabos'!AE:AE,Tabela4[[#This Row],[Cabo]],'Lançamento de Cabos'!AJ:AJ,Área!$B$1),"")</f>
        <v>0</v>
      </c>
      <c r="Z40" s="23" t="str">
        <f ca="1">VLOOKUP(Tabela4[[#This Row],[Cabo]],BD!A:AB,28,0)</f>
        <v>Pend. Material</v>
      </c>
    </row>
    <row r="41" spans="3:26" x14ac:dyDescent="0.25">
      <c r="C41" s="391" t="str">
        <f ca="1">IF($B$1="Geral",Tabela1[[#This Row],[Tag do Cabo]],IFERROR(INDEX(INDIRECT("BD!$A"&amp;D41&amp;":$A100000"),E41,1),""))</f>
        <v>CFO-CCO-VESTA-001</v>
      </c>
      <c r="D41" s="391">
        <f t="shared" ca="1" si="1"/>
        <v>407</v>
      </c>
      <c r="E41" s="391">
        <f t="shared" ca="1" si="2"/>
        <v>53</v>
      </c>
      <c r="F41" s="391" t="str">
        <f ca="1">IFERROR(VLOOKUP(Tabela4[[#This Row],[Cabo]],BD!A:V,2,0),"")</f>
        <v>FO</v>
      </c>
      <c r="G41" s="22" t="str">
        <f ca="1">IFERROR(VLOOKUP(Tabela4[[#This Row],[Cabo]],BD!A:V,5,0),"")</f>
        <v>FIBRA OPTICA MM 6 PARES</v>
      </c>
      <c r="H41" s="391" t="str">
        <f ca="1">IFERROR(VLOOKUP(Tabela4[[#This Row],[Cabo]],BD!A:V,3,0),"")</f>
        <v>-</v>
      </c>
      <c r="I41" s="391" t="str">
        <f ca="1">IFERROR(VLOOKUP(Tabela4[[#This Row],[Cabo]],BD!A:V,4,0),"")</f>
        <v>-</v>
      </c>
      <c r="J41" s="391">
        <f ca="1">IFERROR(VLOOKUP(Tabela4[[#This Row],[Cabo]],BD!A:V,7,0),"")</f>
        <v>1</v>
      </c>
      <c r="K4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" s="23">
        <f ca="1">IFERROR(VLOOKUP(Tabela4[[#This Row],[Cabo]],BD!A:V,9,0),"")</f>
        <v>220</v>
      </c>
      <c r="M41" s="23">
        <f ca="1">IFERROR(VLOOKUP(Tabela4[[#This Row],[Cabo]],BD!A:AD,30,0),"")</f>
        <v>220</v>
      </c>
      <c r="N41" s="23" t="str">
        <f ca="1">IF(SUMIF('Lançamento de Cabos'!B:B,Tabela4[[#This Row],[Cabo]],'Lançamento de Cabos'!C:C)=0,"",SUMIF('Lançamento de Cabos'!B:B,Tabela4[[#This Row],[Cabo]],'Lançamento de Cabos'!C:C))</f>
        <v/>
      </c>
      <c r="O41" s="28" t="str">
        <f ca="1">IFERROR(IF(Tabela4[[#This Row],[Compr. Lançado]]/Tabela4[[#This Row],[Compr. Prev.]]&gt;1,1,Tabela4[[#This Row],[Compr. Lançado]]/Tabela4[[#This Row],[Compr. Prev.]]),"")</f>
        <v/>
      </c>
      <c r="P41" s="24" t="str">
        <f ca="1">IFERROR(VLOOKUP(Tabela4[[#This Row],[Cabo]],BD!A:V,11,0),"")</f>
        <v>SUBSOLO CCO - RACK GUASCOR</v>
      </c>
      <c r="Q41" s="24" t="str">
        <f ca="1">IFERROR(VLOOKUP(Tabela4[[#This Row],[Cabo]],BD!A:V,12,0),"")</f>
        <v>PRÉDIO VESTA (TI)</v>
      </c>
      <c r="R41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41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41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1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1" s="23">
        <f ca="1">IF(Tabela4[[#This Row],[Cabo]]&lt;&gt;"",4-COUNTIF(Tabela4[[#This Row],[Teste de Continuidade]:[Hipot]],"---"),"")</f>
        <v>0</v>
      </c>
      <c r="W41" s="29" t="e">
        <f ca="1">IF(Tabela4[[#This Row],[Cabo]]&lt;&gt;"",(COUNTIF(Tabela4[[#This Row],[Teste de Continuidade]:[Hipot]],"OK"))/(4-COUNTIF(Tabela4[[#This Row],[Teste de Continuidade]:[Hipot]],"---")),"")</f>
        <v>#DIV/0!</v>
      </c>
      <c r="X41" s="23">
        <f ca="1">IF(Tabela4[[#This Row],[Cabo]]&lt;&gt;"",SUMIFS('Lançamento de Cabos'!$AF:$AF,'Lançamento de Cabos'!AE:AE,Tabela4[[#This Row],[Cabo]],'Lançamento de Cabos'!AJ:AJ,Área!$B$1),"")</f>
        <v>0</v>
      </c>
      <c r="Y41" s="23">
        <f ca="1">IF(Tabela4[[#This Row],[Cabo]]&lt;&gt;"",SUMIFS('Lançamento de Cabos'!$AG:$AG,'Lançamento de Cabos'!AE:AE,Tabela4[[#This Row],[Cabo]],'Lançamento de Cabos'!AJ:AJ,Área!$B$1),"")</f>
        <v>0</v>
      </c>
      <c r="Z41" s="23" t="str">
        <f ca="1">VLOOKUP(Tabela4[[#This Row],[Cabo]],BD!A:AB,28,0)</f>
        <v>Pend. Compra</v>
      </c>
    </row>
    <row r="42" spans="3:26" x14ac:dyDescent="0.25">
      <c r="C42" s="391" t="str">
        <f ca="1">IF($B$1="Geral",Tabela1[[#This Row],[Tag do Cabo]],IFERROR(INDEX(INDIRECT("BD!$A"&amp;D42&amp;":$A100000"),E42,1),""))</f>
        <v>CBO011-PC</v>
      </c>
      <c r="D42" s="391">
        <f t="shared" ca="1" si="1"/>
        <v>460</v>
      </c>
      <c r="E42" s="391">
        <f t="shared" ca="1" si="2"/>
        <v>2</v>
      </c>
      <c r="F42" s="391" t="str">
        <f ca="1">IFERROR(VLOOKUP(Tabela4[[#This Row],[Cabo]],BD!A:V,2,0),"")</f>
        <v>FO</v>
      </c>
      <c r="G42" s="22" t="str">
        <f ca="1">IFERROR(VLOOKUP(Tabela4[[#This Row],[Cabo]],BD!A:V,5,0),"")</f>
        <v>CABO ÓPTICO 4 VIAS</v>
      </c>
      <c r="H42" s="391" t="str">
        <f ca="1">IFERROR(VLOOKUP(Tabela4[[#This Row],[Cabo]],BD!A:V,3,0),"")</f>
        <v>-</v>
      </c>
      <c r="I42" s="391" t="str">
        <f ca="1">IFERROR(VLOOKUP(Tabela4[[#This Row],[Cabo]],BD!A:V,4,0),"")</f>
        <v>-</v>
      </c>
      <c r="J42" s="391">
        <f ca="1">IFERROR(VLOOKUP(Tabela4[[#This Row],[Cabo]],BD!A:V,7,0),"")</f>
        <v>1</v>
      </c>
      <c r="K42" s="391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>0</v>
      </c>
      <c r="L42" s="23">
        <f ca="1">IFERROR(VLOOKUP(Tabela4[[#This Row],[Cabo]],BD!A:V,9,0),"")</f>
        <v>800</v>
      </c>
      <c r="M42" s="23">
        <f ca="1">IFERROR(VLOOKUP(Tabela4[[#This Row],[Cabo]],BD!A:AD,30,0),"")</f>
        <v>800</v>
      </c>
      <c r="N42" s="23">
        <f ca="1">IF(SUMIF('Lançamento de Cabos'!B:B,Tabela4[[#This Row],[Cabo]],'Lançamento de Cabos'!C:C)=0,"",SUMIF('Lançamento de Cabos'!B:B,Tabela4[[#This Row],[Cabo]],'Lançamento de Cabos'!C:C))</f>
        <v>600</v>
      </c>
      <c r="O42" s="28">
        <f ca="1">IFERROR(IF(Tabela4[[#This Row],[Compr. Lançado]]/Tabela4[[#This Row],[Compr. Prev.]]&gt;1,1,Tabela4[[#This Row],[Compr. Lançado]]/Tabela4[[#This Row],[Compr. Prev.]]),"")</f>
        <v>0.75</v>
      </c>
      <c r="P42" s="24" t="str">
        <f ca="1">IFERROR(VLOOKUP(Tabela4[[#This Row],[Cabo]],BD!A:V,11,0),"")</f>
        <v>ER-8 - SUPERVISÓRIO EXIST.</v>
      </c>
      <c r="Q42" s="24" t="str">
        <f ca="1">IFERROR(VLOOKUP(Tabela4[[#This Row],[Cabo]],BD!A:V,12,0),"")</f>
        <v>SALA SERVIDOR - CCSE</v>
      </c>
      <c r="R42" s="23" t="str">
        <f ca="1">IF(Tabela4[[#This Row],[Cabo]]&lt;&gt;"",IFERROR(VLOOKUP(Tabela4[[#This Row],[Cabo]]&amp;"-1",'Lançamento de Cabos'!$S:$T,2,0),IF(VLOOKUP(Tabela4[[#This Row],[Cabo]],BD!A:V,13,0)="---","---","")),"")</f>
        <v>---</v>
      </c>
      <c r="S42" s="23" t="str">
        <f ca="1">IF(Tabela4[[#This Row],[Cabo]]&lt;&gt;"",IFERROR(VLOOKUP(Tabela4[[#This Row],[Cabo]]&amp;"-2",'Lançamento de Cabos'!$S:$T,2,0),IF(VLOOKUP(Tabela4[[#This Row],[Cabo]],BD!A:V,14,0)="---","---","")),"")</f>
        <v>---</v>
      </c>
      <c r="T42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2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2" s="23">
        <f ca="1">IF(Tabela4[[#This Row],[Cabo]]&lt;&gt;"",4-COUNTIF(Tabela4[[#This Row],[Teste de Continuidade]:[Hipot]],"---"),"")</f>
        <v>0</v>
      </c>
      <c r="W42" s="29" t="e">
        <f ca="1">IF(Tabela4[[#This Row],[Cabo]]&lt;&gt;"",(COUNTIF(Tabela4[[#This Row],[Teste de Continuidade]:[Hipot]],"OK"))/(4-COUNTIF(Tabela4[[#This Row],[Teste de Continuidade]:[Hipot]],"---")),"")</f>
        <v>#DIV/0!</v>
      </c>
      <c r="X42" s="23">
        <f ca="1">IF(Tabela4[[#This Row],[Cabo]]&lt;&gt;"",SUMIFS('Lançamento de Cabos'!$AF:$AF,'Lançamento de Cabos'!AE:AE,Tabela4[[#This Row],[Cabo]],'Lançamento de Cabos'!AJ:AJ,Área!$B$1),"")</f>
        <v>0</v>
      </c>
      <c r="Y42" s="23">
        <f ca="1">IF(Tabela4[[#This Row],[Cabo]]&lt;&gt;"",SUMIFS('Lançamento de Cabos'!$AG:$AG,'Lançamento de Cabos'!AE:AE,Tabela4[[#This Row],[Cabo]],'Lançamento de Cabos'!AJ:AJ,Área!$B$1),"")</f>
        <v>0</v>
      </c>
      <c r="Z42" s="23" t="str">
        <f ca="1">VLOOKUP(Tabela4[[#This Row],[Cabo]],BD!A:AB,28,0)</f>
        <v>Disponível</v>
      </c>
    </row>
    <row r="43" spans="3:26" x14ac:dyDescent="0.25">
      <c r="C43" s="391" t="str">
        <f ca="1">IF($B$1="Geral",Tabela1[[#This Row],[Tag do Cabo]],IFERROR(INDEX(INDIRECT("BD!$A"&amp;D43&amp;":$A100000"),E43,1),""))</f>
        <v>CBO002-SEL</v>
      </c>
      <c r="D43" s="391">
        <f t="shared" ca="1" si="1"/>
        <v>462</v>
      </c>
      <c r="E43" s="391">
        <f t="shared" ca="1" si="2"/>
        <v>10</v>
      </c>
      <c r="F43" s="391" t="str">
        <f ca="1">IFERROR(VLOOKUP(Tabela4[[#This Row],[Cabo]],BD!A:V,2,0),"")</f>
        <v>FO</v>
      </c>
      <c r="G43" s="22" t="str">
        <f ca="1">IFERROR(VLOOKUP(Tabela4[[#This Row],[Cabo]],BD!A:V,5,0),"")</f>
        <v>CORDÃO ÓPTICO</v>
      </c>
      <c r="H43" s="391" t="str">
        <f ca="1">IFERROR(VLOOKUP(Tabela4[[#This Row],[Cabo]],BD!A:V,3,0),"")</f>
        <v>-</v>
      </c>
      <c r="I43" s="391" t="str">
        <f ca="1">IFERROR(VLOOKUP(Tabela4[[#This Row],[Cabo]],BD!A:V,4,0),"")</f>
        <v>-</v>
      </c>
      <c r="J43" s="391">
        <f ca="1">IFERROR(VLOOKUP(Tabela4[[#This Row],[Cabo]],BD!A:V,7,0),"")</f>
        <v>1</v>
      </c>
      <c r="K4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" s="23">
        <f ca="1">IFERROR(VLOOKUP(Tabela4[[#This Row],[Cabo]],BD!A:V,9,0),"")</f>
        <v>20</v>
      </c>
      <c r="M43" s="23">
        <f ca="1">IFERROR(VLOOKUP(Tabela4[[#This Row],[Cabo]],BD!A:AD,30,0),"")</f>
        <v>20</v>
      </c>
      <c r="N43" s="23" t="str">
        <f ca="1">IF(SUMIF('Lançamento de Cabos'!B:B,Tabela4[[#This Row],[Cabo]],'Lançamento de Cabos'!C:C)=0,"",SUMIF('Lançamento de Cabos'!B:B,Tabela4[[#This Row],[Cabo]],'Lançamento de Cabos'!C:C))</f>
        <v/>
      </c>
      <c r="O43" s="28" t="str">
        <f ca="1">IFERROR(IF(Tabela4[[#This Row],[Compr. Lançado]]/Tabela4[[#This Row],[Compr. Prev.]]&gt;1,1,Tabela4[[#This Row],[Compr. Lançado]]/Tabela4[[#This Row],[Compr. Prev.]]),"")</f>
        <v/>
      </c>
      <c r="P43" s="24" t="str">
        <f ca="1">IFERROR(VLOOKUP(Tabela4[[#This Row],[Cabo]],BD!A:V,11,0),"")</f>
        <v>ER-3</v>
      </c>
      <c r="Q43" s="24" t="str">
        <f ca="1">IFERROR(VLOOKUP(Tabela4[[#This Row],[Cabo]],BD!A:V,12,0),"")</f>
        <v>ER-4</v>
      </c>
      <c r="R4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3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3" s="23">
        <f ca="1">IF(Tabela4[[#This Row],[Cabo]]&lt;&gt;"",4-COUNTIF(Tabela4[[#This Row],[Teste de Continuidade]:[Hipot]],"---"),"")</f>
        <v>2</v>
      </c>
      <c r="W43" s="29">
        <f ca="1">IF(Tabela4[[#This Row],[Cabo]]&lt;&gt;"",(COUNTIF(Tabela4[[#This Row],[Teste de Continuidade]:[Hipot]],"OK"))/(4-COUNTIF(Tabela4[[#This Row],[Teste de Continuidade]:[Hipot]],"---")),"")</f>
        <v>0</v>
      </c>
      <c r="X43" s="23">
        <f ca="1">IF(Tabela4[[#This Row],[Cabo]]&lt;&gt;"",SUMIFS('Lançamento de Cabos'!$AF:$AF,'Lançamento de Cabos'!AE:AE,Tabela4[[#This Row],[Cabo]],'Lançamento de Cabos'!AJ:AJ,Área!$B$1),"")</f>
        <v>0</v>
      </c>
      <c r="Y43" s="23">
        <f ca="1">IF(Tabela4[[#This Row],[Cabo]]&lt;&gt;"",SUMIFS('Lançamento de Cabos'!$AG:$AG,'Lançamento de Cabos'!AE:AE,Tabela4[[#This Row],[Cabo]],'Lançamento de Cabos'!AJ:AJ,Área!$B$1),"")</f>
        <v>0</v>
      </c>
      <c r="Z43" s="23" t="str">
        <f ca="1">VLOOKUP(Tabela4[[#This Row],[Cabo]],BD!A:AB,28,0)</f>
        <v>Não Solic.</v>
      </c>
    </row>
    <row r="44" spans="3:26" x14ac:dyDescent="0.25">
      <c r="C44" s="391" t="str">
        <f ca="1">IF($B$1="Geral",Tabela1[[#This Row],[Tag do Cabo]],IFERROR(INDEX(INDIRECT("BD!$A"&amp;D44&amp;":$A100000"),E44,1),""))</f>
        <v>CBO003-SEL</v>
      </c>
      <c r="D44" s="391">
        <f t="shared" ca="1" si="1"/>
        <v>472</v>
      </c>
      <c r="E44" s="391">
        <f t="shared" ca="1" si="2"/>
        <v>1</v>
      </c>
      <c r="F44" s="391" t="str">
        <f ca="1">IFERROR(VLOOKUP(Tabela4[[#This Row],[Cabo]],BD!A:V,2,0),"")</f>
        <v>FO</v>
      </c>
      <c r="G44" s="22" t="str">
        <f ca="1">IFERROR(VLOOKUP(Tabela4[[#This Row],[Cabo]],BD!A:V,5,0),"")</f>
        <v>CABO ÓPTICO 4 VIAS</v>
      </c>
      <c r="H44" s="391" t="str">
        <f ca="1">IFERROR(VLOOKUP(Tabela4[[#This Row],[Cabo]],BD!A:V,3,0),"")</f>
        <v>-</v>
      </c>
      <c r="I44" s="391" t="str">
        <f ca="1">IFERROR(VLOOKUP(Tabela4[[#This Row],[Cabo]],BD!A:V,4,0),"")</f>
        <v>-</v>
      </c>
      <c r="J44" s="391">
        <f ca="1">IFERROR(VLOOKUP(Tabela4[[#This Row],[Cabo]],BD!A:V,7,0),"")</f>
        <v>1</v>
      </c>
      <c r="K4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" s="23">
        <f ca="1">IFERROR(VLOOKUP(Tabela4[[#This Row],[Cabo]],BD!A:V,9,0),"")</f>
        <v>70</v>
      </c>
      <c r="M44" s="23">
        <f ca="1">IFERROR(VLOOKUP(Tabela4[[#This Row],[Cabo]],BD!A:AD,30,0),"")</f>
        <v>70</v>
      </c>
      <c r="N44" s="23" t="str">
        <f ca="1">IF(SUMIF('Lançamento de Cabos'!B:B,Tabela4[[#This Row],[Cabo]],'Lançamento de Cabos'!C:C)=0,"",SUMIF('Lançamento de Cabos'!B:B,Tabela4[[#This Row],[Cabo]],'Lançamento de Cabos'!C:C))</f>
        <v/>
      </c>
      <c r="O44" s="28" t="str">
        <f ca="1">IFERROR(IF(Tabela4[[#This Row],[Compr. Lançado]]/Tabela4[[#This Row],[Compr. Prev.]]&gt;1,1,Tabela4[[#This Row],[Compr. Lançado]]/Tabela4[[#This Row],[Compr. Prev.]]),"")</f>
        <v/>
      </c>
      <c r="P44" s="24" t="str">
        <f ca="1">IFERROR(VLOOKUP(Tabela4[[#This Row],[Cabo]],BD!A:V,11,0),"")</f>
        <v>MESA DE OPERAÇÃO</v>
      </c>
      <c r="Q44" s="24" t="str">
        <f ca="1">IFERROR(VLOOKUP(Tabela4[[#This Row],[Cabo]],BD!A:V,12,0),"")</f>
        <v>ER-3</v>
      </c>
      <c r="R4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4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4" s="23">
        <f ca="1">IF(Tabela4[[#This Row],[Cabo]]&lt;&gt;"",4-COUNTIF(Tabela4[[#This Row],[Teste de Continuidade]:[Hipot]],"---"),"")</f>
        <v>2</v>
      </c>
      <c r="W44" s="29">
        <f ca="1">IF(Tabela4[[#This Row],[Cabo]]&lt;&gt;"",(COUNTIF(Tabela4[[#This Row],[Teste de Continuidade]:[Hipot]],"OK"))/(4-COUNTIF(Tabela4[[#This Row],[Teste de Continuidade]:[Hipot]],"---")),"")</f>
        <v>0</v>
      </c>
      <c r="X44" s="23">
        <f ca="1">IF(Tabela4[[#This Row],[Cabo]]&lt;&gt;"",SUMIFS('Lançamento de Cabos'!$AF:$AF,'Lançamento de Cabos'!AE:AE,Tabela4[[#This Row],[Cabo]],'Lançamento de Cabos'!AJ:AJ,Área!$B$1),"")</f>
        <v>0</v>
      </c>
      <c r="Y44" s="23">
        <f ca="1">IF(Tabela4[[#This Row],[Cabo]]&lt;&gt;"",SUMIFS('Lançamento de Cabos'!$AG:$AG,'Lançamento de Cabos'!AE:AE,Tabela4[[#This Row],[Cabo]],'Lançamento de Cabos'!AJ:AJ,Área!$B$1),"")</f>
        <v>0</v>
      </c>
      <c r="Z44" s="23" t="str">
        <f ca="1">VLOOKUP(Tabela4[[#This Row],[Cabo]],BD!A:AB,28,0)</f>
        <v>Não Solic.</v>
      </c>
    </row>
    <row r="45" spans="3:26" x14ac:dyDescent="0.25">
      <c r="C45" s="391" t="str">
        <f ca="1">IF($B$1="Geral",Tabela1[[#This Row],[Tag do Cabo]],IFERROR(INDEX(INDIRECT("BD!$A"&amp;D45&amp;":$A100000"),E45,1),""))</f>
        <v>CBO004-SEL</v>
      </c>
      <c r="D45" s="391">
        <f t="shared" ca="1" si="1"/>
        <v>473</v>
      </c>
      <c r="E45" s="391">
        <f t="shared" ca="1" si="2"/>
        <v>1</v>
      </c>
      <c r="F45" s="391" t="str">
        <f ca="1">IFERROR(VLOOKUP(Tabela4[[#This Row],[Cabo]],BD!A:V,2,0),"")</f>
        <v>FO</v>
      </c>
      <c r="G45" s="22" t="str">
        <f ca="1">IFERROR(VLOOKUP(Tabela4[[#This Row],[Cabo]],BD!A:V,5,0),"")</f>
        <v>CABO ÓPTICO 4 VIAS</v>
      </c>
      <c r="H45" s="391" t="str">
        <f ca="1">IFERROR(VLOOKUP(Tabela4[[#This Row],[Cabo]],BD!A:V,3,0),"")</f>
        <v>-</v>
      </c>
      <c r="I45" s="391" t="str">
        <f ca="1">IFERROR(VLOOKUP(Tabela4[[#This Row],[Cabo]],BD!A:V,4,0),"")</f>
        <v>-</v>
      </c>
      <c r="J45" s="391">
        <f ca="1">IFERROR(VLOOKUP(Tabela4[[#This Row],[Cabo]],BD!A:V,7,0),"")</f>
        <v>1</v>
      </c>
      <c r="K4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" s="23">
        <f ca="1">IFERROR(VLOOKUP(Tabela4[[#This Row],[Cabo]],BD!A:V,9,0),"")</f>
        <v>70</v>
      </c>
      <c r="M45" s="23">
        <f ca="1">IFERROR(VLOOKUP(Tabela4[[#This Row],[Cabo]],BD!A:AD,30,0),"")</f>
        <v>70</v>
      </c>
      <c r="N45" s="23" t="str">
        <f ca="1">IF(SUMIF('Lançamento de Cabos'!B:B,Tabela4[[#This Row],[Cabo]],'Lançamento de Cabos'!C:C)=0,"",SUMIF('Lançamento de Cabos'!B:B,Tabela4[[#This Row],[Cabo]],'Lançamento de Cabos'!C:C))</f>
        <v/>
      </c>
      <c r="O45" s="28" t="str">
        <f ca="1">IFERROR(IF(Tabela4[[#This Row],[Compr. Lançado]]/Tabela4[[#This Row],[Compr. Prev.]]&gt;1,1,Tabela4[[#This Row],[Compr. Lançado]]/Tabela4[[#This Row],[Compr. Prev.]]),"")</f>
        <v/>
      </c>
      <c r="P45" s="24" t="str">
        <f ca="1">IFERROR(VLOOKUP(Tabela4[[#This Row],[Cabo]],BD!A:V,11,0),"")</f>
        <v>MESA DE OPERAÇÃO</v>
      </c>
      <c r="Q45" s="24" t="str">
        <f ca="1">IFERROR(VLOOKUP(Tabela4[[#This Row],[Cabo]],BD!A:V,12,0),"")</f>
        <v>ER-3</v>
      </c>
      <c r="R4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5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5" s="23">
        <f ca="1">IF(Tabela4[[#This Row],[Cabo]]&lt;&gt;"",4-COUNTIF(Tabela4[[#This Row],[Teste de Continuidade]:[Hipot]],"---"),"")</f>
        <v>2</v>
      </c>
      <c r="W45" s="29">
        <f ca="1">IF(Tabela4[[#This Row],[Cabo]]&lt;&gt;"",(COUNTIF(Tabela4[[#This Row],[Teste de Continuidade]:[Hipot]],"OK"))/(4-COUNTIF(Tabela4[[#This Row],[Teste de Continuidade]:[Hipot]],"---")),"")</f>
        <v>0</v>
      </c>
      <c r="X45" s="23">
        <f ca="1">IF(Tabela4[[#This Row],[Cabo]]&lt;&gt;"",SUMIFS('Lançamento de Cabos'!$AF:$AF,'Lançamento de Cabos'!AE:AE,Tabela4[[#This Row],[Cabo]],'Lançamento de Cabos'!AJ:AJ,Área!$B$1),"")</f>
        <v>0</v>
      </c>
      <c r="Y45" s="23">
        <f ca="1">IF(Tabela4[[#This Row],[Cabo]]&lt;&gt;"",SUMIFS('Lançamento de Cabos'!$AG:$AG,'Lançamento de Cabos'!AE:AE,Tabela4[[#This Row],[Cabo]],'Lançamento de Cabos'!AJ:AJ,Área!$B$1),"")</f>
        <v>0</v>
      </c>
      <c r="Z45" s="23" t="str">
        <f ca="1">VLOOKUP(Tabela4[[#This Row],[Cabo]],BD!A:AB,28,0)</f>
        <v>Não Solic.</v>
      </c>
    </row>
    <row r="46" spans="3:26" x14ac:dyDescent="0.25">
      <c r="C46" s="391" t="str">
        <f ca="1">IF($B$1="Geral",Tabela1[[#This Row],[Tag do Cabo]],IFERROR(INDEX(INDIRECT("BD!$A"&amp;D46&amp;":$A100000"),E46,1),""))</f>
        <v>1HVBUS2-ER3-001C</v>
      </c>
      <c r="D46" s="391">
        <f t="shared" ca="1" si="1"/>
        <v>474</v>
      </c>
      <c r="E46" s="391">
        <f t="shared" ca="1" si="2"/>
        <v>1</v>
      </c>
      <c r="F46" s="391" t="str">
        <f ca="1">IFERROR(VLOOKUP(Tabela4[[#This Row],[Cabo]],BD!A:V,2,0),"")</f>
        <v>FO</v>
      </c>
      <c r="G46" s="22" t="str">
        <f ca="1">IFERROR(VLOOKUP(Tabela4[[#This Row],[Cabo]],BD!A:V,5,0),"")</f>
        <v>CORDÃO ÓPTICO</v>
      </c>
      <c r="H46" s="391" t="str">
        <f ca="1">IFERROR(VLOOKUP(Tabela4[[#This Row],[Cabo]],BD!A:V,3,0),"")</f>
        <v>-</v>
      </c>
      <c r="I46" s="391" t="str">
        <f ca="1">IFERROR(VLOOKUP(Tabela4[[#This Row],[Cabo]],BD!A:V,4,0),"")</f>
        <v>-</v>
      </c>
      <c r="J46" s="391">
        <f ca="1">IFERROR(VLOOKUP(Tabela4[[#This Row],[Cabo]],BD!A:V,7,0),"")</f>
        <v>1</v>
      </c>
      <c r="K4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" s="23">
        <f ca="1">IFERROR(VLOOKUP(Tabela4[[#This Row],[Cabo]],BD!A:V,9,0),"")</f>
        <v>40</v>
      </c>
      <c r="M46" s="23">
        <f ca="1">IFERROR(VLOOKUP(Tabela4[[#This Row],[Cabo]],BD!A:AD,30,0),"")</f>
        <v>40</v>
      </c>
      <c r="N46" s="23" t="str">
        <f ca="1">IF(SUMIF('Lançamento de Cabos'!B:B,Tabela4[[#This Row],[Cabo]],'Lançamento de Cabos'!C:C)=0,"",SUMIF('Lançamento de Cabos'!B:B,Tabela4[[#This Row],[Cabo]],'Lançamento de Cabos'!C:C))</f>
        <v/>
      </c>
      <c r="O46" s="28" t="str">
        <f ca="1">IFERROR(IF(Tabela4[[#This Row],[Compr. Lançado]]/Tabela4[[#This Row],[Compr. Prev.]]&gt;1,1,Tabela4[[#This Row],[Compr. Lançado]]/Tabela4[[#This Row],[Compr. Prev.]]),"")</f>
        <v/>
      </c>
      <c r="P46" s="24" t="str">
        <f ca="1">IFERROR(VLOOKUP(Tabela4[[#This Row],[Cabo]],BD!A:V,11,0),"")</f>
        <v>1HV-BUS1</v>
      </c>
      <c r="Q46" s="24" t="str">
        <f ca="1">IFERROR(VLOOKUP(Tabela4[[#This Row],[Cabo]],BD!A:V,12,0),"")</f>
        <v>ER-3</v>
      </c>
      <c r="R4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6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6" s="23">
        <f ca="1">IF(Tabela4[[#This Row],[Cabo]]&lt;&gt;"",4-COUNTIF(Tabela4[[#This Row],[Teste de Continuidade]:[Hipot]],"---"),"")</f>
        <v>2</v>
      </c>
      <c r="W46" s="29">
        <f ca="1">IF(Tabela4[[#This Row],[Cabo]]&lt;&gt;"",(COUNTIF(Tabela4[[#This Row],[Teste de Continuidade]:[Hipot]],"OK"))/(4-COUNTIF(Tabela4[[#This Row],[Teste de Continuidade]:[Hipot]],"---")),"")</f>
        <v>0</v>
      </c>
      <c r="X46" s="23">
        <f ca="1">IF(Tabela4[[#This Row],[Cabo]]&lt;&gt;"",SUMIFS('Lançamento de Cabos'!$AF:$AF,'Lançamento de Cabos'!AE:AE,Tabela4[[#This Row],[Cabo]],'Lançamento de Cabos'!AJ:AJ,Área!$B$1),"")</f>
        <v>0</v>
      </c>
      <c r="Y46" s="23">
        <f ca="1">IF(Tabela4[[#This Row],[Cabo]]&lt;&gt;"",SUMIFS('Lançamento de Cabos'!$AG:$AG,'Lançamento de Cabos'!AE:AE,Tabela4[[#This Row],[Cabo]],'Lançamento de Cabos'!AJ:AJ,Área!$B$1),"")</f>
        <v>0</v>
      </c>
      <c r="Z46" s="23" t="str">
        <f ca="1">VLOOKUP(Tabela4[[#This Row],[Cabo]],BD!A:AB,28,0)</f>
        <v>Não Solic.</v>
      </c>
    </row>
    <row r="47" spans="3:26" x14ac:dyDescent="0.25">
      <c r="C47" s="391" t="str">
        <f ca="1">IF($B$1="Geral",Tabela1[[#This Row],[Tag do Cabo]],IFERROR(INDEX(INDIRECT("BD!$A"&amp;D47&amp;":$A100000"),E47,1),""))</f>
        <v>1HVBUS2-ER3-002C</v>
      </c>
      <c r="D47" s="391">
        <f t="shared" ca="1" si="1"/>
        <v>475</v>
      </c>
      <c r="E47" s="391">
        <f t="shared" ca="1" si="2"/>
        <v>1</v>
      </c>
      <c r="F47" s="391" t="str">
        <f ca="1">IFERROR(VLOOKUP(Tabela4[[#This Row],[Cabo]],BD!A:V,2,0),"")</f>
        <v>FO</v>
      </c>
      <c r="G47" s="22" t="str">
        <f ca="1">IFERROR(VLOOKUP(Tabela4[[#This Row],[Cabo]],BD!A:V,5,0),"")</f>
        <v>CORDÃO ÓPTICO</v>
      </c>
      <c r="H47" s="391" t="str">
        <f ca="1">IFERROR(VLOOKUP(Tabela4[[#This Row],[Cabo]],BD!A:V,3,0),"")</f>
        <v>-</v>
      </c>
      <c r="I47" s="391" t="str">
        <f ca="1">IFERROR(VLOOKUP(Tabela4[[#This Row],[Cabo]],BD!A:V,4,0),"")</f>
        <v>-</v>
      </c>
      <c r="J47" s="391">
        <f ca="1">IFERROR(VLOOKUP(Tabela4[[#This Row],[Cabo]],BD!A:V,7,0),"")</f>
        <v>1</v>
      </c>
      <c r="K4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" s="23">
        <f ca="1">IFERROR(VLOOKUP(Tabela4[[#This Row],[Cabo]],BD!A:V,9,0),"")</f>
        <v>35</v>
      </c>
      <c r="M47" s="23">
        <f ca="1">IFERROR(VLOOKUP(Tabela4[[#This Row],[Cabo]],BD!A:AD,30,0),"")</f>
        <v>35</v>
      </c>
      <c r="N47" s="23" t="str">
        <f ca="1">IF(SUMIF('Lançamento de Cabos'!B:B,Tabela4[[#This Row],[Cabo]],'Lançamento de Cabos'!C:C)=0,"",SUMIF('Lançamento de Cabos'!B:B,Tabela4[[#This Row],[Cabo]],'Lançamento de Cabos'!C:C))</f>
        <v/>
      </c>
      <c r="O47" s="28" t="str">
        <f ca="1">IFERROR(IF(Tabela4[[#This Row],[Compr. Lançado]]/Tabela4[[#This Row],[Compr. Prev.]]&gt;1,1,Tabela4[[#This Row],[Compr. Lançado]]/Tabela4[[#This Row],[Compr. Prev.]]),"")</f>
        <v/>
      </c>
      <c r="P47" s="24" t="str">
        <f ca="1">IFERROR(VLOOKUP(Tabela4[[#This Row],[Cabo]],BD!A:V,11,0),"")</f>
        <v>1HV-BUS1</v>
      </c>
      <c r="Q47" s="24" t="str">
        <f ca="1">IFERROR(VLOOKUP(Tabela4[[#This Row],[Cabo]],BD!A:V,12,0),"")</f>
        <v>ER-3</v>
      </c>
      <c r="R4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7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7" s="23">
        <f ca="1">IF(Tabela4[[#This Row],[Cabo]]&lt;&gt;"",4-COUNTIF(Tabela4[[#This Row],[Teste de Continuidade]:[Hipot]],"---"),"")</f>
        <v>2</v>
      </c>
      <c r="W47" s="29">
        <f ca="1">IF(Tabela4[[#This Row],[Cabo]]&lt;&gt;"",(COUNTIF(Tabela4[[#This Row],[Teste de Continuidade]:[Hipot]],"OK"))/(4-COUNTIF(Tabela4[[#This Row],[Teste de Continuidade]:[Hipot]],"---")),"")</f>
        <v>0</v>
      </c>
      <c r="X47" s="23">
        <f ca="1">IF(Tabela4[[#This Row],[Cabo]]&lt;&gt;"",SUMIFS('Lançamento de Cabos'!$AF:$AF,'Lançamento de Cabos'!AE:AE,Tabela4[[#This Row],[Cabo]],'Lançamento de Cabos'!AJ:AJ,Área!$B$1),"")</f>
        <v>0</v>
      </c>
      <c r="Y47" s="23">
        <f ca="1">IF(Tabela4[[#This Row],[Cabo]]&lt;&gt;"",SUMIFS('Lançamento de Cabos'!$AG:$AG,'Lançamento de Cabos'!AE:AE,Tabela4[[#This Row],[Cabo]],'Lançamento de Cabos'!AJ:AJ,Área!$B$1),"")</f>
        <v>0</v>
      </c>
      <c r="Z47" s="23" t="str">
        <f ca="1">VLOOKUP(Tabela4[[#This Row],[Cabo]],BD!A:AB,28,0)</f>
        <v>Não Solic.</v>
      </c>
    </row>
    <row r="48" spans="3:26" x14ac:dyDescent="0.25">
      <c r="C48" s="391" t="str">
        <f ca="1">IF($B$1="Geral",Tabela1[[#This Row],[Tag do Cabo]],IFERROR(INDEX(INDIRECT("BD!$A"&amp;D48&amp;":$A100000"),E48,1),""))</f>
        <v>1HVBUS2-ER3-003C</v>
      </c>
      <c r="D48" s="391">
        <f t="shared" ca="1" si="1"/>
        <v>476</v>
      </c>
      <c r="E48" s="391">
        <f t="shared" ca="1" si="2"/>
        <v>1</v>
      </c>
      <c r="F48" s="391" t="str">
        <f ca="1">IFERROR(VLOOKUP(Tabela4[[#This Row],[Cabo]],BD!A:V,2,0),"")</f>
        <v>FO</v>
      </c>
      <c r="G48" s="22" t="str">
        <f ca="1">IFERROR(VLOOKUP(Tabela4[[#This Row],[Cabo]],BD!A:V,5,0),"")</f>
        <v>CORDÃO ÓPTICO</v>
      </c>
      <c r="H48" s="391" t="str">
        <f ca="1">IFERROR(VLOOKUP(Tabela4[[#This Row],[Cabo]],BD!A:V,3,0),"")</f>
        <v>-</v>
      </c>
      <c r="I48" s="391" t="str">
        <f ca="1">IFERROR(VLOOKUP(Tabela4[[#This Row],[Cabo]],BD!A:V,4,0),"")</f>
        <v>-</v>
      </c>
      <c r="J48" s="391">
        <f ca="1">IFERROR(VLOOKUP(Tabela4[[#This Row],[Cabo]],BD!A:V,7,0),"")</f>
        <v>1</v>
      </c>
      <c r="K4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" s="23">
        <f ca="1">IFERROR(VLOOKUP(Tabela4[[#This Row],[Cabo]],BD!A:V,9,0),"")</f>
        <v>28</v>
      </c>
      <c r="M48" s="23">
        <f ca="1">IFERROR(VLOOKUP(Tabela4[[#This Row],[Cabo]],BD!A:AD,30,0),"")</f>
        <v>28</v>
      </c>
      <c r="N48" s="23" t="str">
        <f ca="1">IF(SUMIF('Lançamento de Cabos'!B:B,Tabela4[[#This Row],[Cabo]],'Lançamento de Cabos'!C:C)=0,"",SUMIF('Lançamento de Cabos'!B:B,Tabela4[[#This Row],[Cabo]],'Lançamento de Cabos'!C:C))</f>
        <v/>
      </c>
      <c r="O48" s="28" t="str">
        <f ca="1">IFERROR(IF(Tabela4[[#This Row],[Compr. Lançado]]/Tabela4[[#This Row],[Compr. Prev.]]&gt;1,1,Tabela4[[#This Row],[Compr. Lançado]]/Tabela4[[#This Row],[Compr. Prev.]]),"")</f>
        <v/>
      </c>
      <c r="P48" s="24" t="str">
        <f ca="1">IFERROR(VLOOKUP(Tabela4[[#This Row],[Cabo]],BD!A:V,11,0),"")</f>
        <v>1HV-BUS1</v>
      </c>
      <c r="Q48" s="24" t="str">
        <f ca="1">IFERROR(VLOOKUP(Tabela4[[#This Row],[Cabo]],BD!A:V,12,0),"")</f>
        <v>ER-3</v>
      </c>
      <c r="R4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8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8" s="23">
        <f ca="1">IF(Tabela4[[#This Row],[Cabo]]&lt;&gt;"",4-COUNTIF(Tabela4[[#This Row],[Teste de Continuidade]:[Hipot]],"---"),"")</f>
        <v>2</v>
      </c>
      <c r="W48" s="29">
        <f ca="1">IF(Tabela4[[#This Row],[Cabo]]&lt;&gt;"",(COUNTIF(Tabela4[[#This Row],[Teste de Continuidade]:[Hipot]],"OK"))/(4-COUNTIF(Tabela4[[#This Row],[Teste de Continuidade]:[Hipot]],"---")),"")</f>
        <v>0</v>
      </c>
      <c r="X48" s="23">
        <f ca="1">IF(Tabela4[[#This Row],[Cabo]]&lt;&gt;"",SUMIFS('Lançamento de Cabos'!$AF:$AF,'Lançamento de Cabos'!AE:AE,Tabela4[[#This Row],[Cabo]],'Lançamento de Cabos'!AJ:AJ,Área!$B$1),"")</f>
        <v>0</v>
      </c>
      <c r="Y48" s="23">
        <f ca="1">IF(Tabela4[[#This Row],[Cabo]]&lt;&gt;"",SUMIFS('Lançamento de Cabos'!$AG:$AG,'Lançamento de Cabos'!AE:AE,Tabela4[[#This Row],[Cabo]],'Lançamento de Cabos'!AJ:AJ,Área!$B$1),"")</f>
        <v>0</v>
      </c>
      <c r="Z48" s="23" t="str">
        <f ca="1">VLOOKUP(Tabela4[[#This Row],[Cabo]],BD!A:AB,28,0)</f>
        <v>Não Solic.</v>
      </c>
    </row>
    <row r="49" spans="3:26" x14ac:dyDescent="0.25">
      <c r="C49" s="391" t="str">
        <f ca="1">IF($B$1="Geral",Tabela1[[#This Row],[Tag do Cabo]],IFERROR(INDEX(INDIRECT("BD!$A"&amp;D49&amp;":$A100000"),E49,1),""))</f>
        <v>7HV-1HV-002C</v>
      </c>
      <c r="D49" s="391">
        <f t="shared" ca="1" si="1"/>
        <v>477</v>
      </c>
      <c r="E49" s="391">
        <f t="shared" ca="1" si="2"/>
        <v>1</v>
      </c>
      <c r="F49" s="391" t="str">
        <f ca="1">IFERROR(VLOOKUP(Tabela4[[#This Row],[Cabo]],BD!A:V,2,0),"")</f>
        <v>FO</v>
      </c>
      <c r="G49" s="22" t="str">
        <f ca="1">IFERROR(VLOOKUP(Tabela4[[#This Row],[Cabo]],BD!A:V,5,0),"")</f>
        <v>CABO ÓPTICO 4 VIAS</v>
      </c>
      <c r="H49" s="391" t="str">
        <f ca="1">IFERROR(VLOOKUP(Tabela4[[#This Row],[Cabo]],BD!A:V,3,0),"")</f>
        <v>-</v>
      </c>
      <c r="I49" s="391" t="str">
        <f ca="1">IFERROR(VLOOKUP(Tabela4[[#This Row],[Cabo]],BD!A:V,4,0),"")</f>
        <v>-</v>
      </c>
      <c r="J49" s="391">
        <f ca="1">IFERROR(VLOOKUP(Tabela4[[#This Row],[Cabo]],BD!A:V,7,0),"")</f>
        <v>1</v>
      </c>
      <c r="K4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" s="23">
        <f ca="1">IFERROR(VLOOKUP(Tabela4[[#This Row],[Cabo]],BD!A:V,9,0),"")</f>
        <v>450</v>
      </c>
      <c r="M49" s="23">
        <f ca="1">IFERROR(VLOOKUP(Tabela4[[#This Row],[Cabo]],BD!A:AD,30,0),"")</f>
        <v>450</v>
      </c>
      <c r="N49" s="23" t="str">
        <f ca="1">IF(SUMIF('Lançamento de Cabos'!B:B,Tabela4[[#This Row],[Cabo]],'Lançamento de Cabos'!C:C)=0,"",SUMIF('Lançamento de Cabos'!B:B,Tabela4[[#This Row],[Cabo]],'Lançamento de Cabos'!C:C))</f>
        <v/>
      </c>
      <c r="O49" s="28" t="str">
        <f ca="1">IFERROR(IF(Tabela4[[#This Row],[Compr. Lançado]]/Tabela4[[#This Row],[Compr. Prev.]]&gt;1,1,Tabela4[[#This Row],[Compr. Lançado]]/Tabela4[[#This Row],[Compr. Prev.]]),"")</f>
        <v/>
      </c>
      <c r="P49" s="24" t="str">
        <f ca="1">IFERROR(VLOOKUP(Tabela4[[#This Row],[Cabo]],BD!A:V,11,0),"")</f>
        <v>PN-7HV - (SWITCH HOLD)</v>
      </c>
      <c r="Q49" s="24" t="str">
        <f ca="1">IFERROR(VLOOKUP(Tabela4[[#This Row],[Cabo]],BD!A:V,12,0),"")</f>
        <v>REMOTA 1HV</v>
      </c>
      <c r="R4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" s="23" t="str">
        <f ca="1">IF(Tabela4[[#This Row],[Cabo]]&lt;&gt;"",IFERROR(VLOOKUP(Tabela4[[#This Row],[Cabo]]&amp;"-3",'Lançamento de Cabos'!$S:$T,2,0),IF(VLOOKUP(Tabela4[[#This Row],[Cabo]],BD!A:V,15,0)="---","---","")),"")</f>
        <v>---</v>
      </c>
      <c r="U49" s="23" t="str">
        <f ca="1">IF(Tabela4[[#This Row],[Cabo]]&lt;&gt;"",IFERROR(VLOOKUP(Tabela4[[#This Row],[Cabo]]&amp;"-4",'Lançamento de Cabos'!$S:$T,2,0),IF(VLOOKUP(Tabela4[[#This Row],[Cabo]],BD!A:V,16,0)="---","---","")),"")</f>
        <v>---</v>
      </c>
      <c r="V49" s="23">
        <f ca="1">IF(Tabela4[[#This Row],[Cabo]]&lt;&gt;"",4-COUNTIF(Tabela4[[#This Row],[Teste de Continuidade]:[Hipot]],"---"),"")</f>
        <v>2</v>
      </c>
      <c r="W49" s="29">
        <f ca="1">IF(Tabela4[[#This Row],[Cabo]]&lt;&gt;"",(COUNTIF(Tabela4[[#This Row],[Teste de Continuidade]:[Hipot]],"OK"))/(4-COUNTIF(Tabela4[[#This Row],[Teste de Continuidade]:[Hipot]],"---")),"")</f>
        <v>0</v>
      </c>
      <c r="X49" s="23">
        <f ca="1">IF(Tabela4[[#This Row],[Cabo]]&lt;&gt;"",SUMIFS('Lançamento de Cabos'!$AF:$AF,'Lançamento de Cabos'!AE:AE,Tabela4[[#This Row],[Cabo]],'Lançamento de Cabos'!AJ:AJ,Área!$B$1),"")</f>
        <v>0</v>
      </c>
      <c r="Y49" s="23">
        <f ca="1">IF(Tabela4[[#This Row],[Cabo]]&lt;&gt;"",SUMIFS('Lançamento de Cabos'!$AG:$AG,'Lançamento de Cabos'!AE:AE,Tabela4[[#This Row],[Cabo]],'Lançamento de Cabos'!AJ:AJ,Área!$B$1),"")</f>
        <v>0</v>
      </c>
      <c r="Z49" s="23" t="str">
        <f ca="1">VLOOKUP(Tabela4[[#This Row],[Cabo]],BD!A:AB,28,0)</f>
        <v>Não Solic.</v>
      </c>
    </row>
    <row r="50" spans="3:26" x14ac:dyDescent="0.25">
      <c r="C50" s="391" t="str">
        <f ca="1">IF($B$1="Geral",Tabela1[[#This Row],[Tag do Cabo]],IFERROR(INDEX(INDIRECT("BD!$A"&amp;D50&amp;":$A100000"),E50,1),""))</f>
        <v/>
      </c>
      <c r="D50" s="391">
        <f t="shared" ca="1" si="1"/>
        <v>478</v>
      </c>
      <c r="E50" s="391" t="str">
        <f t="shared" ca="1" si="2"/>
        <v/>
      </c>
      <c r="F50" s="391" t="str">
        <f ca="1">IFERROR(VLOOKUP(Tabela4[[#This Row],[Cabo]],BD!A:V,2,0),"")</f>
        <v/>
      </c>
      <c r="G50" s="22" t="str">
        <f ca="1">IFERROR(VLOOKUP(Tabela4[[#This Row],[Cabo]],BD!A:V,5,0),"")</f>
        <v/>
      </c>
      <c r="H50" s="391" t="str">
        <f ca="1">IFERROR(VLOOKUP(Tabela4[[#This Row],[Cabo]],BD!A:V,3,0),"")</f>
        <v/>
      </c>
      <c r="I50" s="391" t="str">
        <f ca="1">IFERROR(VLOOKUP(Tabela4[[#This Row],[Cabo]],BD!A:V,4,0),"")</f>
        <v/>
      </c>
      <c r="J50" s="391" t="str">
        <f ca="1">IFERROR(VLOOKUP(Tabela4[[#This Row],[Cabo]],BD!A:V,7,0),"")</f>
        <v/>
      </c>
      <c r="K5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" s="23" t="str">
        <f ca="1">IFERROR(VLOOKUP(Tabela4[[#This Row],[Cabo]],BD!A:V,9,0),"")</f>
        <v/>
      </c>
      <c r="M50" s="23" t="str">
        <f ca="1">IFERROR(VLOOKUP(Tabela4[[#This Row],[Cabo]],BD!A:AD,30,0),"")</f>
        <v/>
      </c>
      <c r="N50" s="23" t="str">
        <f ca="1">IF(SUMIF('Lançamento de Cabos'!B:B,Tabela4[[#This Row],[Cabo]],'Lançamento de Cabos'!C:C)=0,"",SUMIF('Lançamento de Cabos'!B:B,Tabela4[[#This Row],[Cabo]],'Lançamento de Cabos'!C:C))</f>
        <v/>
      </c>
      <c r="O50" s="28" t="str">
        <f ca="1">IFERROR(IF(Tabela4[[#This Row],[Compr. Lançado]]/Tabela4[[#This Row],[Compr. Prev.]]&gt;1,1,Tabela4[[#This Row],[Compr. Lançado]]/Tabela4[[#This Row],[Compr. Prev.]]),"")</f>
        <v/>
      </c>
      <c r="P50" s="24" t="str">
        <f ca="1">IFERROR(VLOOKUP(Tabela4[[#This Row],[Cabo]],BD!A:V,11,0),"")</f>
        <v/>
      </c>
      <c r="Q50" s="24" t="str">
        <f ca="1">IFERROR(VLOOKUP(Tabela4[[#This Row],[Cabo]],BD!A:V,12,0),"")</f>
        <v/>
      </c>
      <c r="R5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" s="23" t="str">
        <f ca="1">IF(Tabela4[[#This Row],[Cabo]]&lt;&gt;"",4-COUNTIF(Tabela4[[#This Row],[Teste de Continuidade]:[Hipot]],"---"),"")</f>
        <v/>
      </c>
      <c r="W50" s="29" t="str">
        <f ca="1">IF(Tabela4[[#This Row],[Cabo]]&lt;&gt;"",(COUNTIF(Tabela4[[#This Row],[Teste de Continuidade]:[Hipot]],"OK"))/(4-COUNTIF(Tabela4[[#This Row],[Teste de Continuidade]:[Hipot]],"---")),"")</f>
        <v/>
      </c>
      <c r="X50" s="23" t="str">
        <f ca="1">IF(Tabela4[[#This Row],[Cabo]]&lt;&gt;"",SUMIFS('Lançamento de Cabos'!$AF:$AF,'Lançamento de Cabos'!AE:AE,Tabela4[[#This Row],[Cabo]],'Lançamento de Cabos'!AJ:AJ,Área!$B$1),"")</f>
        <v/>
      </c>
      <c r="Y50" s="23" t="str">
        <f ca="1">IF(Tabela4[[#This Row],[Cabo]]&lt;&gt;"",SUMIFS('Lançamento de Cabos'!$AG:$AG,'Lançamento de Cabos'!AE:AE,Tabela4[[#This Row],[Cabo]],'Lançamento de Cabos'!AJ:AJ,Área!$B$1),"")</f>
        <v/>
      </c>
      <c r="Z50" s="23" t="e">
        <f ca="1">VLOOKUP(Tabela4[[#This Row],[Cabo]],BD!A:AB,28,0)</f>
        <v>#N/A</v>
      </c>
    </row>
    <row r="51" spans="3:26" x14ac:dyDescent="0.25">
      <c r="C51" s="391" t="str">
        <f ca="1">IF($B$1="Geral",Tabela1[[#This Row],[Tag do Cabo]],IFERROR(INDEX(INDIRECT("BD!$A"&amp;D51&amp;":$A100000"),E51,1),""))</f>
        <v/>
      </c>
      <c r="D51" s="391" t="str">
        <f t="shared" ca="1" si="1"/>
        <v/>
      </c>
      <c r="E51" s="391" t="str">
        <f t="shared" ca="1" si="2"/>
        <v/>
      </c>
      <c r="F51" s="391" t="str">
        <f ca="1">IFERROR(VLOOKUP(Tabela4[[#This Row],[Cabo]],BD!A:V,2,0),"")</f>
        <v/>
      </c>
      <c r="G51" s="22" t="str">
        <f ca="1">IFERROR(VLOOKUP(Tabela4[[#This Row],[Cabo]],BD!A:V,5,0),"")</f>
        <v/>
      </c>
      <c r="H51" s="391" t="str">
        <f ca="1">IFERROR(VLOOKUP(Tabela4[[#This Row],[Cabo]],BD!A:V,3,0),"")</f>
        <v/>
      </c>
      <c r="I51" s="391" t="str">
        <f ca="1">IFERROR(VLOOKUP(Tabela4[[#This Row],[Cabo]],BD!A:V,4,0),"")</f>
        <v/>
      </c>
      <c r="J51" s="391" t="str">
        <f ca="1">IFERROR(VLOOKUP(Tabela4[[#This Row],[Cabo]],BD!A:V,7,0),"")</f>
        <v/>
      </c>
      <c r="K5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" s="23" t="str">
        <f ca="1">IFERROR(VLOOKUP(Tabela4[[#This Row],[Cabo]],BD!A:V,9,0),"")</f>
        <v/>
      </c>
      <c r="M51" s="23" t="str">
        <f ca="1">IFERROR(VLOOKUP(Tabela4[[#This Row],[Cabo]],BD!A:AD,30,0),"")</f>
        <v/>
      </c>
      <c r="N51" s="23" t="str">
        <f ca="1">IF(SUMIF('Lançamento de Cabos'!B:B,Tabela4[[#This Row],[Cabo]],'Lançamento de Cabos'!C:C)=0,"",SUMIF('Lançamento de Cabos'!B:B,Tabela4[[#This Row],[Cabo]],'Lançamento de Cabos'!C:C))</f>
        <v/>
      </c>
      <c r="O51" s="28" t="str">
        <f ca="1">IFERROR(IF(Tabela4[[#This Row],[Compr. Lançado]]/Tabela4[[#This Row],[Compr. Prev.]]&gt;1,1,Tabela4[[#This Row],[Compr. Lançado]]/Tabela4[[#This Row],[Compr. Prev.]]),"")</f>
        <v/>
      </c>
      <c r="P51" s="24" t="str">
        <f ca="1">IFERROR(VLOOKUP(Tabela4[[#This Row],[Cabo]],BD!A:V,11,0),"")</f>
        <v/>
      </c>
      <c r="Q51" s="24" t="str">
        <f ca="1">IFERROR(VLOOKUP(Tabela4[[#This Row],[Cabo]],BD!A:V,12,0),"")</f>
        <v/>
      </c>
      <c r="R5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" s="23" t="str">
        <f ca="1">IF(Tabela4[[#This Row],[Cabo]]&lt;&gt;"",4-COUNTIF(Tabela4[[#This Row],[Teste de Continuidade]:[Hipot]],"---"),"")</f>
        <v/>
      </c>
      <c r="W51" s="29" t="str">
        <f ca="1">IF(Tabela4[[#This Row],[Cabo]]&lt;&gt;"",(COUNTIF(Tabela4[[#This Row],[Teste de Continuidade]:[Hipot]],"OK"))/(4-COUNTIF(Tabela4[[#This Row],[Teste de Continuidade]:[Hipot]],"---")),"")</f>
        <v/>
      </c>
      <c r="X51" s="23" t="str">
        <f ca="1">IF(Tabela4[[#This Row],[Cabo]]&lt;&gt;"",SUMIFS('Lançamento de Cabos'!$AF:$AF,'Lançamento de Cabos'!AE:AE,Tabela4[[#This Row],[Cabo]],'Lançamento de Cabos'!AJ:AJ,Área!$B$1),"")</f>
        <v/>
      </c>
      <c r="Y51" s="23" t="str">
        <f ca="1">IF(Tabela4[[#This Row],[Cabo]]&lt;&gt;"",SUMIFS('Lançamento de Cabos'!$AG:$AG,'Lançamento de Cabos'!AE:AE,Tabela4[[#This Row],[Cabo]],'Lançamento de Cabos'!AJ:AJ,Área!$B$1),"")</f>
        <v/>
      </c>
      <c r="Z51" s="23" t="e">
        <f ca="1">VLOOKUP(Tabela4[[#This Row],[Cabo]],BD!A:AB,28,0)</f>
        <v>#N/A</v>
      </c>
    </row>
    <row r="52" spans="3:26" x14ac:dyDescent="0.25">
      <c r="C52" s="391" t="str">
        <f ca="1">IF($B$1="Geral",Tabela1[[#This Row],[Tag do Cabo]],IFERROR(INDEX(INDIRECT("BD!$A"&amp;D52&amp;":$A100000"),E52,1),""))</f>
        <v/>
      </c>
      <c r="D52" s="391" t="str">
        <f t="shared" ca="1" si="1"/>
        <v/>
      </c>
      <c r="E52" s="391" t="str">
        <f t="shared" ca="1" si="2"/>
        <v/>
      </c>
      <c r="F52" s="391" t="str">
        <f ca="1">IFERROR(VLOOKUP(Tabela4[[#This Row],[Cabo]],BD!A:V,2,0),"")</f>
        <v/>
      </c>
      <c r="G52" s="22" t="str">
        <f ca="1">IFERROR(VLOOKUP(Tabela4[[#This Row],[Cabo]],BD!A:V,5,0),"")</f>
        <v/>
      </c>
      <c r="H52" s="391" t="str">
        <f ca="1">IFERROR(VLOOKUP(Tabela4[[#This Row],[Cabo]],BD!A:V,3,0),"")</f>
        <v/>
      </c>
      <c r="I52" s="391" t="str">
        <f ca="1">IFERROR(VLOOKUP(Tabela4[[#This Row],[Cabo]],BD!A:V,4,0),"")</f>
        <v/>
      </c>
      <c r="J52" s="391" t="str">
        <f ca="1">IFERROR(VLOOKUP(Tabela4[[#This Row],[Cabo]],BD!A:V,7,0),"")</f>
        <v/>
      </c>
      <c r="K5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" s="23" t="str">
        <f ca="1">IFERROR(VLOOKUP(Tabela4[[#This Row],[Cabo]],BD!A:V,9,0),"")</f>
        <v/>
      </c>
      <c r="M52" s="23" t="str">
        <f ca="1">IFERROR(VLOOKUP(Tabela4[[#This Row],[Cabo]],BD!A:AD,30,0),"")</f>
        <v/>
      </c>
      <c r="N52" s="23" t="str">
        <f ca="1">IF(SUMIF('Lançamento de Cabos'!B:B,Tabela4[[#This Row],[Cabo]],'Lançamento de Cabos'!C:C)=0,"",SUMIF('Lançamento de Cabos'!B:B,Tabela4[[#This Row],[Cabo]],'Lançamento de Cabos'!C:C))</f>
        <v/>
      </c>
      <c r="O52" s="28" t="str">
        <f ca="1">IFERROR(IF(Tabela4[[#This Row],[Compr. Lançado]]/Tabela4[[#This Row],[Compr. Prev.]]&gt;1,1,Tabela4[[#This Row],[Compr. Lançado]]/Tabela4[[#This Row],[Compr. Prev.]]),"")</f>
        <v/>
      </c>
      <c r="P52" s="24" t="str">
        <f ca="1">IFERROR(VLOOKUP(Tabela4[[#This Row],[Cabo]],BD!A:V,11,0),"")</f>
        <v/>
      </c>
      <c r="Q52" s="24" t="str">
        <f ca="1">IFERROR(VLOOKUP(Tabela4[[#This Row],[Cabo]],BD!A:V,12,0),"")</f>
        <v/>
      </c>
      <c r="R5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" s="23" t="str">
        <f ca="1">IF(Tabela4[[#This Row],[Cabo]]&lt;&gt;"",4-COUNTIF(Tabela4[[#This Row],[Teste de Continuidade]:[Hipot]],"---"),"")</f>
        <v/>
      </c>
      <c r="W52" s="29" t="str">
        <f ca="1">IF(Tabela4[[#This Row],[Cabo]]&lt;&gt;"",(COUNTIF(Tabela4[[#This Row],[Teste de Continuidade]:[Hipot]],"OK"))/(4-COUNTIF(Tabela4[[#This Row],[Teste de Continuidade]:[Hipot]],"---")),"")</f>
        <v/>
      </c>
      <c r="X52" s="23" t="str">
        <f ca="1">IF(Tabela4[[#This Row],[Cabo]]&lt;&gt;"",SUMIFS('Lançamento de Cabos'!$AF:$AF,'Lançamento de Cabos'!AE:AE,Tabela4[[#This Row],[Cabo]],'Lançamento de Cabos'!AJ:AJ,Área!$B$1),"")</f>
        <v/>
      </c>
      <c r="Y52" s="23" t="str">
        <f ca="1">IF(Tabela4[[#This Row],[Cabo]]&lt;&gt;"",SUMIFS('Lançamento de Cabos'!$AG:$AG,'Lançamento de Cabos'!AE:AE,Tabela4[[#This Row],[Cabo]],'Lançamento de Cabos'!AJ:AJ,Área!$B$1),"")</f>
        <v/>
      </c>
      <c r="Z52" s="23" t="e">
        <f ca="1">VLOOKUP(Tabela4[[#This Row],[Cabo]],BD!A:AB,28,0)</f>
        <v>#N/A</v>
      </c>
    </row>
    <row r="53" spans="3:26" x14ac:dyDescent="0.25">
      <c r="C53" s="391" t="str">
        <f ca="1">IF($B$1="Geral",Tabela1[[#This Row],[Tag do Cabo]],IFERROR(INDEX(INDIRECT("BD!$A"&amp;D53&amp;":$A100000"),E53,1),""))</f>
        <v/>
      </c>
      <c r="D53" s="391" t="str">
        <f t="shared" ca="1" si="1"/>
        <v/>
      </c>
      <c r="E53" s="391" t="str">
        <f t="shared" ca="1" si="2"/>
        <v/>
      </c>
      <c r="F53" s="391" t="str">
        <f ca="1">IFERROR(VLOOKUP(Tabela4[[#This Row],[Cabo]],BD!A:V,2,0),"")</f>
        <v/>
      </c>
      <c r="G53" s="22" t="str">
        <f ca="1">IFERROR(VLOOKUP(Tabela4[[#This Row],[Cabo]],BD!A:V,5,0),"")</f>
        <v/>
      </c>
      <c r="H53" s="391" t="str">
        <f ca="1">IFERROR(VLOOKUP(Tabela4[[#This Row],[Cabo]],BD!A:V,3,0),"")</f>
        <v/>
      </c>
      <c r="I53" s="391" t="str">
        <f ca="1">IFERROR(VLOOKUP(Tabela4[[#This Row],[Cabo]],BD!A:V,4,0),"")</f>
        <v/>
      </c>
      <c r="J53" s="391" t="str">
        <f ca="1">IFERROR(VLOOKUP(Tabela4[[#This Row],[Cabo]],BD!A:V,7,0),"")</f>
        <v/>
      </c>
      <c r="K5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" s="23" t="str">
        <f ca="1">IFERROR(VLOOKUP(Tabela4[[#This Row],[Cabo]],BD!A:V,9,0),"")</f>
        <v/>
      </c>
      <c r="M53" s="23" t="str">
        <f ca="1">IFERROR(VLOOKUP(Tabela4[[#This Row],[Cabo]],BD!A:AD,30,0),"")</f>
        <v/>
      </c>
      <c r="N53" s="23" t="str">
        <f ca="1">IF(SUMIF('Lançamento de Cabos'!B:B,Tabela4[[#This Row],[Cabo]],'Lançamento de Cabos'!C:C)=0,"",SUMIF('Lançamento de Cabos'!B:B,Tabela4[[#This Row],[Cabo]],'Lançamento de Cabos'!C:C))</f>
        <v/>
      </c>
      <c r="O53" s="28" t="str">
        <f ca="1">IFERROR(IF(Tabela4[[#This Row],[Compr. Lançado]]/Tabela4[[#This Row],[Compr. Prev.]]&gt;1,1,Tabela4[[#This Row],[Compr. Lançado]]/Tabela4[[#This Row],[Compr. Prev.]]),"")</f>
        <v/>
      </c>
      <c r="P53" s="24" t="str">
        <f ca="1">IFERROR(VLOOKUP(Tabela4[[#This Row],[Cabo]],BD!A:V,11,0),"")</f>
        <v/>
      </c>
      <c r="Q53" s="24" t="str">
        <f ca="1">IFERROR(VLOOKUP(Tabela4[[#This Row],[Cabo]],BD!A:V,12,0),"")</f>
        <v/>
      </c>
      <c r="R5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" s="23" t="str">
        <f ca="1">IF(Tabela4[[#This Row],[Cabo]]&lt;&gt;"",4-COUNTIF(Tabela4[[#This Row],[Teste de Continuidade]:[Hipot]],"---"),"")</f>
        <v/>
      </c>
      <c r="W53" s="29" t="str">
        <f ca="1">IF(Tabela4[[#This Row],[Cabo]]&lt;&gt;"",(COUNTIF(Tabela4[[#This Row],[Teste de Continuidade]:[Hipot]],"OK"))/(4-COUNTIF(Tabela4[[#This Row],[Teste de Continuidade]:[Hipot]],"---")),"")</f>
        <v/>
      </c>
      <c r="X53" s="23" t="str">
        <f ca="1">IF(Tabela4[[#This Row],[Cabo]]&lt;&gt;"",SUMIFS('Lançamento de Cabos'!$AF:$AF,'Lançamento de Cabos'!AE:AE,Tabela4[[#This Row],[Cabo]],'Lançamento de Cabos'!AJ:AJ,Área!$B$1),"")</f>
        <v/>
      </c>
      <c r="Y53" s="23" t="str">
        <f ca="1">IF(Tabela4[[#This Row],[Cabo]]&lt;&gt;"",SUMIFS('Lançamento de Cabos'!$AG:$AG,'Lançamento de Cabos'!AE:AE,Tabela4[[#This Row],[Cabo]],'Lançamento de Cabos'!AJ:AJ,Área!$B$1),"")</f>
        <v/>
      </c>
      <c r="Z53" s="23" t="e">
        <f ca="1">VLOOKUP(Tabela4[[#This Row],[Cabo]],BD!A:AB,28,0)</f>
        <v>#N/A</v>
      </c>
    </row>
    <row r="54" spans="3:26" x14ac:dyDescent="0.25">
      <c r="C54" s="391" t="str">
        <f ca="1">IF($B$1="Geral",Tabela1[[#This Row],[Tag do Cabo]],IFERROR(INDEX(INDIRECT("BD!$A"&amp;D54&amp;":$A100000"),E54,1),""))</f>
        <v/>
      </c>
      <c r="D54" s="391" t="str">
        <f t="shared" ca="1" si="1"/>
        <v/>
      </c>
      <c r="E54" s="391" t="str">
        <f t="shared" ca="1" si="2"/>
        <v/>
      </c>
      <c r="F54" s="391" t="str">
        <f ca="1">IFERROR(VLOOKUP(Tabela4[[#This Row],[Cabo]],BD!A:V,2,0),"")</f>
        <v/>
      </c>
      <c r="G54" s="22" t="str">
        <f ca="1">IFERROR(VLOOKUP(Tabela4[[#This Row],[Cabo]],BD!A:V,5,0),"")</f>
        <v/>
      </c>
      <c r="H54" s="391" t="str">
        <f ca="1">IFERROR(VLOOKUP(Tabela4[[#This Row],[Cabo]],BD!A:V,3,0),"")</f>
        <v/>
      </c>
      <c r="I54" s="391" t="str">
        <f ca="1">IFERROR(VLOOKUP(Tabela4[[#This Row],[Cabo]],BD!A:V,4,0),"")</f>
        <v/>
      </c>
      <c r="J54" s="391" t="str">
        <f ca="1">IFERROR(VLOOKUP(Tabela4[[#This Row],[Cabo]],BD!A:V,7,0),"")</f>
        <v/>
      </c>
      <c r="K5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" s="23" t="str">
        <f ca="1">IFERROR(VLOOKUP(Tabela4[[#This Row],[Cabo]],BD!A:V,9,0),"")</f>
        <v/>
      </c>
      <c r="M54" s="23" t="str">
        <f ca="1">IFERROR(VLOOKUP(Tabela4[[#This Row],[Cabo]],BD!A:AD,30,0),"")</f>
        <v/>
      </c>
      <c r="N54" s="23" t="str">
        <f ca="1">IF(SUMIF('Lançamento de Cabos'!B:B,Tabela4[[#This Row],[Cabo]],'Lançamento de Cabos'!C:C)=0,"",SUMIF('Lançamento de Cabos'!B:B,Tabela4[[#This Row],[Cabo]],'Lançamento de Cabos'!C:C))</f>
        <v/>
      </c>
      <c r="O54" s="28" t="str">
        <f ca="1">IFERROR(IF(Tabela4[[#This Row],[Compr. Lançado]]/Tabela4[[#This Row],[Compr. Prev.]]&gt;1,1,Tabela4[[#This Row],[Compr. Lançado]]/Tabela4[[#This Row],[Compr. Prev.]]),"")</f>
        <v/>
      </c>
      <c r="P54" s="24" t="str">
        <f ca="1">IFERROR(VLOOKUP(Tabela4[[#This Row],[Cabo]],BD!A:V,11,0),"")</f>
        <v/>
      </c>
      <c r="Q54" s="24" t="str">
        <f ca="1">IFERROR(VLOOKUP(Tabela4[[#This Row],[Cabo]],BD!A:V,12,0),"")</f>
        <v/>
      </c>
      <c r="R5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" s="23" t="str">
        <f ca="1">IF(Tabela4[[#This Row],[Cabo]]&lt;&gt;"",4-COUNTIF(Tabela4[[#This Row],[Teste de Continuidade]:[Hipot]],"---"),"")</f>
        <v/>
      </c>
      <c r="W54" s="29" t="str">
        <f ca="1">IF(Tabela4[[#This Row],[Cabo]]&lt;&gt;"",(COUNTIF(Tabela4[[#This Row],[Teste de Continuidade]:[Hipot]],"OK"))/(4-COUNTIF(Tabela4[[#This Row],[Teste de Continuidade]:[Hipot]],"---")),"")</f>
        <v/>
      </c>
      <c r="X54" s="23" t="str">
        <f ca="1">IF(Tabela4[[#This Row],[Cabo]]&lt;&gt;"",SUMIFS('Lançamento de Cabos'!$AF:$AF,'Lançamento de Cabos'!AE:AE,Tabela4[[#This Row],[Cabo]],'Lançamento de Cabos'!AJ:AJ,Área!$B$1),"")</f>
        <v/>
      </c>
      <c r="Y54" s="23" t="str">
        <f ca="1">IF(Tabela4[[#This Row],[Cabo]]&lt;&gt;"",SUMIFS('Lançamento de Cabos'!$AG:$AG,'Lançamento de Cabos'!AE:AE,Tabela4[[#This Row],[Cabo]],'Lançamento de Cabos'!AJ:AJ,Área!$B$1),"")</f>
        <v/>
      </c>
      <c r="Z54" s="23" t="e">
        <f ca="1">VLOOKUP(Tabela4[[#This Row],[Cabo]],BD!A:AB,28,0)</f>
        <v>#N/A</v>
      </c>
    </row>
    <row r="55" spans="3:26" x14ac:dyDescent="0.25">
      <c r="C55" s="391" t="str">
        <f ca="1">IF($B$1="Geral",Tabela1[[#This Row],[Tag do Cabo]],IFERROR(INDEX(INDIRECT("BD!$A"&amp;D55&amp;":$A100000"),E55,1),""))</f>
        <v/>
      </c>
      <c r="D55" s="391" t="str">
        <f t="shared" ca="1" si="1"/>
        <v/>
      </c>
      <c r="E55" s="391" t="str">
        <f t="shared" ca="1" si="2"/>
        <v/>
      </c>
      <c r="F55" s="391" t="str">
        <f ca="1">IFERROR(VLOOKUP(Tabela4[[#This Row],[Cabo]],BD!A:V,2,0),"")</f>
        <v/>
      </c>
      <c r="G55" s="22" t="str">
        <f ca="1">IFERROR(VLOOKUP(Tabela4[[#This Row],[Cabo]],BD!A:V,5,0),"")</f>
        <v/>
      </c>
      <c r="H55" s="391" t="str">
        <f ca="1">IFERROR(VLOOKUP(Tabela4[[#This Row],[Cabo]],BD!A:V,3,0),"")</f>
        <v/>
      </c>
      <c r="I55" s="391" t="str">
        <f ca="1">IFERROR(VLOOKUP(Tabela4[[#This Row],[Cabo]],BD!A:V,4,0),"")</f>
        <v/>
      </c>
      <c r="J55" s="391" t="str">
        <f ca="1">IFERROR(VLOOKUP(Tabela4[[#This Row],[Cabo]],BD!A:V,7,0),"")</f>
        <v/>
      </c>
      <c r="K5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" s="23" t="str">
        <f ca="1">IFERROR(VLOOKUP(Tabela4[[#This Row],[Cabo]],BD!A:V,9,0),"")</f>
        <v/>
      </c>
      <c r="M55" s="23" t="str">
        <f ca="1">IFERROR(VLOOKUP(Tabela4[[#This Row],[Cabo]],BD!A:AD,30,0),"")</f>
        <v/>
      </c>
      <c r="N55" s="23" t="str">
        <f ca="1">IF(SUMIF('Lançamento de Cabos'!B:B,Tabela4[[#This Row],[Cabo]],'Lançamento de Cabos'!C:C)=0,"",SUMIF('Lançamento de Cabos'!B:B,Tabela4[[#This Row],[Cabo]],'Lançamento de Cabos'!C:C))</f>
        <v/>
      </c>
      <c r="O55" s="28" t="str">
        <f ca="1">IFERROR(IF(Tabela4[[#This Row],[Compr. Lançado]]/Tabela4[[#This Row],[Compr. Prev.]]&gt;1,1,Tabela4[[#This Row],[Compr. Lançado]]/Tabela4[[#This Row],[Compr. Prev.]]),"")</f>
        <v/>
      </c>
      <c r="P55" s="24" t="str">
        <f ca="1">IFERROR(VLOOKUP(Tabela4[[#This Row],[Cabo]],BD!A:V,11,0),"")</f>
        <v/>
      </c>
      <c r="Q55" s="24" t="str">
        <f ca="1">IFERROR(VLOOKUP(Tabela4[[#This Row],[Cabo]],BD!A:V,12,0),"")</f>
        <v/>
      </c>
      <c r="R5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" s="23" t="str">
        <f ca="1">IF(Tabela4[[#This Row],[Cabo]]&lt;&gt;"",4-COUNTIF(Tabela4[[#This Row],[Teste de Continuidade]:[Hipot]],"---"),"")</f>
        <v/>
      </c>
      <c r="W55" s="29" t="str">
        <f ca="1">IF(Tabela4[[#This Row],[Cabo]]&lt;&gt;"",(COUNTIF(Tabela4[[#This Row],[Teste de Continuidade]:[Hipot]],"OK"))/(4-COUNTIF(Tabela4[[#This Row],[Teste de Continuidade]:[Hipot]],"---")),"")</f>
        <v/>
      </c>
      <c r="X55" s="23" t="str">
        <f ca="1">IF(Tabela4[[#This Row],[Cabo]]&lt;&gt;"",SUMIFS('Lançamento de Cabos'!$AF:$AF,'Lançamento de Cabos'!AE:AE,Tabela4[[#This Row],[Cabo]],'Lançamento de Cabos'!AJ:AJ,Área!$B$1),"")</f>
        <v/>
      </c>
      <c r="Y55" s="23" t="str">
        <f ca="1">IF(Tabela4[[#This Row],[Cabo]]&lt;&gt;"",SUMIFS('Lançamento de Cabos'!$AG:$AG,'Lançamento de Cabos'!AE:AE,Tabela4[[#This Row],[Cabo]],'Lançamento de Cabos'!AJ:AJ,Área!$B$1),"")</f>
        <v/>
      </c>
      <c r="Z55" s="23" t="e">
        <f ca="1">VLOOKUP(Tabela4[[#This Row],[Cabo]],BD!A:AB,28,0)</f>
        <v>#N/A</v>
      </c>
    </row>
    <row r="56" spans="3:26" x14ac:dyDescent="0.25">
      <c r="C56" s="391" t="str">
        <f ca="1">IF($B$1="Geral",Tabela1[[#This Row],[Tag do Cabo]],IFERROR(INDEX(INDIRECT("BD!$A"&amp;D56&amp;":$A100000"),E56,1),""))</f>
        <v/>
      </c>
      <c r="D56" s="391" t="str">
        <f t="shared" ca="1" si="1"/>
        <v/>
      </c>
      <c r="E56" s="391" t="str">
        <f t="shared" ca="1" si="2"/>
        <v/>
      </c>
      <c r="F56" s="391" t="str">
        <f ca="1">IFERROR(VLOOKUP(Tabela4[[#This Row],[Cabo]],BD!A:V,2,0),"")</f>
        <v/>
      </c>
      <c r="G56" s="22" t="str">
        <f ca="1">IFERROR(VLOOKUP(Tabela4[[#This Row],[Cabo]],BD!A:V,5,0),"")</f>
        <v/>
      </c>
      <c r="H56" s="391" t="str">
        <f ca="1">IFERROR(VLOOKUP(Tabela4[[#This Row],[Cabo]],BD!A:V,3,0),"")</f>
        <v/>
      </c>
      <c r="I56" s="391" t="str">
        <f ca="1">IFERROR(VLOOKUP(Tabela4[[#This Row],[Cabo]],BD!A:V,4,0),"")</f>
        <v/>
      </c>
      <c r="J56" s="391" t="str">
        <f ca="1">IFERROR(VLOOKUP(Tabela4[[#This Row],[Cabo]],BD!A:V,7,0),"")</f>
        <v/>
      </c>
      <c r="K5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" s="23" t="str">
        <f ca="1">IFERROR(VLOOKUP(Tabela4[[#This Row],[Cabo]],BD!A:V,9,0),"")</f>
        <v/>
      </c>
      <c r="M56" s="23" t="str">
        <f ca="1">IFERROR(VLOOKUP(Tabela4[[#This Row],[Cabo]],BD!A:AD,30,0),"")</f>
        <v/>
      </c>
      <c r="N56" s="23" t="str">
        <f ca="1">IF(SUMIF('Lançamento de Cabos'!B:B,Tabela4[[#This Row],[Cabo]],'Lançamento de Cabos'!C:C)=0,"",SUMIF('Lançamento de Cabos'!B:B,Tabela4[[#This Row],[Cabo]],'Lançamento de Cabos'!C:C))</f>
        <v/>
      </c>
      <c r="O56" s="28" t="str">
        <f ca="1">IFERROR(IF(Tabela4[[#This Row],[Compr. Lançado]]/Tabela4[[#This Row],[Compr. Prev.]]&gt;1,1,Tabela4[[#This Row],[Compr. Lançado]]/Tabela4[[#This Row],[Compr. Prev.]]),"")</f>
        <v/>
      </c>
      <c r="P56" s="24" t="str">
        <f ca="1">IFERROR(VLOOKUP(Tabela4[[#This Row],[Cabo]],BD!A:V,11,0),"")</f>
        <v/>
      </c>
      <c r="Q56" s="24" t="str">
        <f ca="1">IFERROR(VLOOKUP(Tabela4[[#This Row],[Cabo]],BD!A:V,12,0),"")</f>
        <v/>
      </c>
      <c r="R5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" s="23" t="str">
        <f ca="1">IF(Tabela4[[#This Row],[Cabo]]&lt;&gt;"",4-COUNTIF(Tabela4[[#This Row],[Teste de Continuidade]:[Hipot]],"---"),"")</f>
        <v/>
      </c>
      <c r="W56" s="29" t="str">
        <f ca="1">IF(Tabela4[[#This Row],[Cabo]]&lt;&gt;"",(COUNTIF(Tabela4[[#This Row],[Teste de Continuidade]:[Hipot]],"OK"))/(4-COUNTIF(Tabela4[[#This Row],[Teste de Continuidade]:[Hipot]],"---")),"")</f>
        <v/>
      </c>
      <c r="X56" s="23" t="str">
        <f ca="1">IF(Tabela4[[#This Row],[Cabo]]&lt;&gt;"",SUMIFS('Lançamento de Cabos'!$AF:$AF,'Lançamento de Cabos'!AE:AE,Tabela4[[#This Row],[Cabo]],'Lançamento de Cabos'!AJ:AJ,Área!$B$1),"")</f>
        <v/>
      </c>
      <c r="Y56" s="23" t="str">
        <f ca="1">IF(Tabela4[[#This Row],[Cabo]]&lt;&gt;"",SUMIFS('Lançamento de Cabos'!$AG:$AG,'Lançamento de Cabos'!AE:AE,Tabela4[[#This Row],[Cabo]],'Lançamento de Cabos'!AJ:AJ,Área!$B$1),"")</f>
        <v/>
      </c>
      <c r="Z56" s="23" t="e">
        <f ca="1">VLOOKUP(Tabela4[[#This Row],[Cabo]],BD!A:AB,28,0)</f>
        <v>#N/A</v>
      </c>
    </row>
    <row r="57" spans="3:26" x14ac:dyDescent="0.25">
      <c r="C57" s="391" t="str">
        <f ca="1">IF($B$1="Geral",Tabela1[[#This Row],[Tag do Cabo]],IFERROR(INDEX(INDIRECT("BD!$A"&amp;D57&amp;":$A100000"),E57,1),""))</f>
        <v/>
      </c>
      <c r="D57" s="391" t="str">
        <f t="shared" ca="1" si="1"/>
        <v/>
      </c>
      <c r="E57" s="391" t="str">
        <f t="shared" ca="1" si="2"/>
        <v/>
      </c>
      <c r="F57" s="391" t="str">
        <f ca="1">IFERROR(VLOOKUP(Tabela4[[#This Row],[Cabo]],BD!A:V,2,0),"")</f>
        <v/>
      </c>
      <c r="G57" s="22" t="str">
        <f ca="1">IFERROR(VLOOKUP(Tabela4[[#This Row],[Cabo]],BD!A:V,5,0),"")</f>
        <v/>
      </c>
      <c r="H57" s="391" t="str">
        <f ca="1">IFERROR(VLOOKUP(Tabela4[[#This Row],[Cabo]],BD!A:V,3,0),"")</f>
        <v/>
      </c>
      <c r="I57" s="391" t="str">
        <f ca="1">IFERROR(VLOOKUP(Tabela4[[#This Row],[Cabo]],BD!A:V,4,0),"")</f>
        <v/>
      </c>
      <c r="J57" s="391" t="str">
        <f ca="1">IFERROR(VLOOKUP(Tabela4[[#This Row],[Cabo]],BD!A:V,7,0),"")</f>
        <v/>
      </c>
      <c r="K5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7" s="23" t="str">
        <f ca="1">IFERROR(VLOOKUP(Tabela4[[#This Row],[Cabo]],BD!A:V,9,0),"")</f>
        <v/>
      </c>
      <c r="M57" s="23" t="str">
        <f ca="1">IFERROR(VLOOKUP(Tabela4[[#This Row],[Cabo]],BD!A:AD,30,0),"")</f>
        <v/>
      </c>
      <c r="N57" s="23" t="str">
        <f ca="1">IF(SUMIF('Lançamento de Cabos'!B:B,Tabela4[[#This Row],[Cabo]],'Lançamento de Cabos'!C:C)=0,"",SUMIF('Lançamento de Cabos'!B:B,Tabela4[[#This Row],[Cabo]],'Lançamento de Cabos'!C:C))</f>
        <v/>
      </c>
      <c r="O57" s="28" t="str">
        <f ca="1">IFERROR(IF(Tabela4[[#This Row],[Compr. Lançado]]/Tabela4[[#This Row],[Compr. Prev.]]&gt;1,1,Tabela4[[#This Row],[Compr. Lançado]]/Tabela4[[#This Row],[Compr. Prev.]]),"")</f>
        <v/>
      </c>
      <c r="P57" s="24" t="str">
        <f ca="1">IFERROR(VLOOKUP(Tabela4[[#This Row],[Cabo]],BD!A:V,11,0),"")</f>
        <v/>
      </c>
      <c r="Q57" s="24" t="str">
        <f ca="1">IFERROR(VLOOKUP(Tabela4[[#This Row],[Cabo]],BD!A:V,12,0),"")</f>
        <v/>
      </c>
      <c r="R5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7" s="23" t="str">
        <f ca="1">IF(Tabela4[[#This Row],[Cabo]]&lt;&gt;"",4-COUNTIF(Tabela4[[#This Row],[Teste de Continuidade]:[Hipot]],"---"),"")</f>
        <v/>
      </c>
      <c r="W57" s="29" t="str">
        <f ca="1">IF(Tabela4[[#This Row],[Cabo]]&lt;&gt;"",(COUNTIF(Tabela4[[#This Row],[Teste de Continuidade]:[Hipot]],"OK"))/(4-COUNTIF(Tabela4[[#This Row],[Teste de Continuidade]:[Hipot]],"---")),"")</f>
        <v/>
      </c>
      <c r="X57" s="23" t="str">
        <f ca="1">IF(Tabela4[[#This Row],[Cabo]]&lt;&gt;"",SUMIFS('Lançamento de Cabos'!$AF:$AF,'Lançamento de Cabos'!AE:AE,Tabela4[[#This Row],[Cabo]],'Lançamento de Cabos'!AJ:AJ,Área!$B$1),"")</f>
        <v/>
      </c>
      <c r="Y57" s="23" t="str">
        <f ca="1">IF(Tabela4[[#This Row],[Cabo]]&lt;&gt;"",SUMIFS('Lançamento de Cabos'!$AG:$AG,'Lançamento de Cabos'!AE:AE,Tabela4[[#This Row],[Cabo]],'Lançamento de Cabos'!AJ:AJ,Área!$B$1),"")</f>
        <v/>
      </c>
      <c r="Z57" s="23" t="e">
        <f ca="1">VLOOKUP(Tabela4[[#This Row],[Cabo]],BD!A:AB,28,0)</f>
        <v>#N/A</v>
      </c>
    </row>
    <row r="58" spans="3:26" x14ac:dyDescent="0.25">
      <c r="C58" s="391" t="str">
        <f ca="1">IF($B$1="Geral",Tabela1[[#This Row],[Tag do Cabo]],IFERROR(INDEX(INDIRECT("BD!$A"&amp;D58&amp;":$A100000"),E58,1),""))</f>
        <v/>
      </c>
      <c r="D58" s="391" t="str">
        <f t="shared" ca="1" si="1"/>
        <v/>
      </c>
      <c r="E58" s="391" t="str">
        <f t="shared" ca="1" si="2"/>
        <v/>
      </c>
      <c r="F58" s="391" t="str">
        <f ca="1">IFERROR(VLOOKUP(Tabela4[[#This Row],[Cabo]],BD!A:V,2,0),"")</f>
        <v/>
      </c>
      <c r="G58" s="22" t="str">
        <f ca="1">IFERROR(VLOOKUP(Tabela4[[#This Row],[Cabo]],BD!A:V,5,0),"")</f>
        <v/>
      </c>
      <c r="H58" s="391" t="str">
        <f ca="1">IFERROR(VLOOKUP(Tabela4[[#This Row],[Cabo]],BD!A:V,3,0),"")</f>
        <v/>
      </c>
      <c r="I58" s="391" t="str">
        <f ca="1">IFERROR(VLOOKUP(Tabela4[[#This Row],[Cabo]],BD!A:V,4,0),"")</f>
        <v/>
      </c>
      <c r="J58" s="391" t="str">
        <f ca="1">IFERROR(VLOOKUP(Tabela4[[#This Row],[Cabo]],BD!A:V,7,0),"")</f>
        <v/>
      </c>
      <c r="K5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8" s="23" t="str">
        <f ca="1">IFERROR(VLOOKUP(Tabela4[[#This Row],[Cabo]],BD!A:V,9,0),"")</f>
        <v/>
      </c>
      <c r="M58" s="23" t="str">
        <f ca="1">IFERROR(VLOOKUP(Tabela4[[#This Row],[Cabo]],BD!A:AD,30,0),"")</f>
        <v/>
      </c>
      <c r="N58" s="23" t="str">
        <f ca="1">IF(SUMIF('Lançamento de Cabos'!B:B,Tabela4[[#This Row],[Cabo]],'Lançamento de Cabos'!C:C)=0,"",SUMIF('Lançamento de Cabos'!B:B,Tabela4[[#This Row],[Cabo]],'Lançamento de Cabos'!C:C))</f>
        <v/>
      </c>
      <c r="O58" s="28" t="str">
        <f ca="1">IFERROR(IF(Tabela4[[#This Row],[Compr. Lançado]]/Tabela4[[#This Row],[Compr. Prev.]]&gt;1,1,Tabela4[[#This Row],[Compr. Lançado]]/Tabela4[[#This Row],[Compr. Prev.]]),"")</f>
        <v/>
      </c>
      <c r="P58" s="24" t="str">
        <f ca="1">IFERROR(VLOOKUP(Tabela4[[#This Row],[Cabo]],BD!A:V,11,0),"")</f>
        <v/>
      </c>
      <c r="Q58" s="24" t="str">
        <f ca="1">IFERROR(VLOOKUP(Tabela4[[#This Row],[Cabo]],BD!A:V,12,0),"")</f>
        <v/>
      </c>
      <c r="R5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8" s="23" t="str">
        <f ca="1">IF(Tabela4[[#This Row],[Cabo]]&lt;&gt;"",4-COUNTIF(Tabela4[[#This Row],[Teste de Continuidade]:[Hipot]],"---"),"")</f>
        <v/>
      </c>
      <c r="W58" s="29" t="str">
        <f ca="1">IF(Tabela4[[#This Row],[Cabo]]&lt;&gt;"",(COUNTIF(Tabela4[[#This Row],[Teste de Continuidade]:[Hipot]],"OK"))/(4-COUNTIF(Tabela4[[#This Row],[Teste de Continuidade]:[Hipot]],"---")),"")</f>
        <v/>
      </c>
      <c r="X58" s="23" t="str">
        <f ca="1">IF(Tabela4[[#This Row],[Cabo]]&lt;&gt;"",SUMIFS('Lançamento de Cabos'!$AF:$AF,'Lançamento de Cabos'!AE:AE,Tabela4[[#This Row],[Cabo]],'Lançamento de Cabos'!AJ:AJ,Área!$B$1),"")</f>
        <v/>
      </c>
      <c r="Y58" s="23" t="str">
        <f ca="1">IF(Tabela4[[#This Row],[Cabo]]&lt;&gt;"",SUMIFS('Lançamento de Cabos'!$AG:$AG,'Lançamento de Cabos'!AE:AE,Tabela4[[#This Row],[Cabo]],'Lançamento de Cabos'!AJ:AJ,Área!$B$1),"")</f>
        <v/>
      </c>
      <c r="Z58" s="23" t="e">
        <f ca="1">VLOOKUP(Tabela4[[#This Row],[Cabo]],BD!A:AB,28,0)</f>
        <v>#N/A</v>
      </c>
    </row>
    <row r="59" spans="3:26" x14ac:dyDescent="0.25">
      <c r="C59" s="391" t="str">
        <f ca="1">IF($B$1="Geral",Tabela1[[#This Row],[Tag do Cabo]],IFERROR(INDEX(INDIRECT("BD!$A"&amp;D59&amp;":$A100000"),E59,1),""))</f>
        <v/>
      </c>
      <c r="D59" s="391" t="str">
        <f t="shared" ca="1" si="1"/>
        <v/>
      </c>
      <c r="E59" s="391" t="str">
        <f t="shared" ca="1" si="2"/>
        <v/>
      </c>
      <c r="F59" s="391" t="str">
        <f ca="1">IFERROR(VLOOKUP(Tabela4[[#This Row],[Cabo]],BD!A:V,2,0),"")</f>
        <v/>
      </c>
      <c r="G59" s="22" t="str">
        <f ca="1">IFERROR(VLOOKUP(Tabela4[[#This Row],[Cabo]],BD!A:V,5,0),"")</f>
        <v/>
      </c>
      <c r="H59" s="391" t="str">
        <f ca="1">IFERROR(VLOOKUP(Tabela4[[#This Row],[Cabo]],BD!A:V,3,0),"")</f>
        <v/>
      </c>
      <c r="I59" s="391" t="str">
        <f ca="1">IFERROR(VLOOKUP(Tabela4[[#This Row],[Cabo]],BD!A:V,4,0),"")</f>
        <v/>
      </c>
      <c r="J59" s="391" t="str">
        <f ca="1">IFERROR(VLOOKUP(Tabela4[[#This Row],[Cabo]],BD!A:V,7,0),"")</f>
        <v/>
      </c>
      <c r="K5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9" s="23" t="str">
        <f ca="1">IFERROR(VLOOKUP(Tabela4[[#This Row],[Cabo]],BD!A:V,9,0),"")</f>
        <v/>
      </c>
      <c r="M59" s="23" t="str">
        <f ca="1">IFERROR(VLOOKUP(Tabela4[[#This Row],[Cabo]],BD!A:AD,30,0),"")</f>
        <v/>
      </c>
      <c r="N59" s="23" t="str">
        <f ca="1">IF(SUMIF('Lançamento de Cabos'!B:B,Tabela4[[#This Row],[Cabo]],'Lançamento de Cabos'!C:C)=0,"",SUMIF('Lançamento de Cabos'!B:B,Tabela4[[#This Row],[Cabo]],'Lançamento de Cabos'!C:C))</f>
        <v/>
      </c>
      <c r="O59" s="28" t="str">
        <f ca="1">IFERROR(IF(Tabela4[[#This Row],[Compr. Lançado]]/Tabela4[[#This Row],[Compr. Prev.]]&gt;1,1,Tabela4[[#This Row],[Compr. Lançado]]/Tabela4[[#This Row],[Compr. Prev.]]),"")</f>
        <v/>
      </c>
      <c r="P59" s="24" t="str">
        <f ca="1">IFERROR(VLOOKUP(Tabela4[[#This Row],[Cabo]],BD!A:V,11,0),"")</f>
        <v/>
      </c>
      <c r="Q59" s="24" t="str">
        <f ca="1">IFERROR(VLOOKUP(Tabela4[[#This Row],[Cabo]],BD!A:V,12,0),"")</f>
        <v/>
      </c>
      <c r="R5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9" s="23" t="str">
        <f ca="1">IF(Tabela4[[#This Row],[Cabo]]&lt;&gt;"",4-COUNTIF(Tabela4[[#This Row],[Teste de Continuidade]:[Hipot]],"---"),"")</f>
        <v/>
      </c>
      <c r="W59" s="29" t="str">
        <f ca="1">IF(Tabela4[[#This Row],[Cabo]]&lt;&gt;"",(COUNTIF(Tabela4[[#This Row],[Teste de Continuidade]:[Hipot]],"OK"))/(4-COUNTIF(Tabela4[[#This Row],[Teste de Continuidade]:[Hipot]],"---")),"")</f>
        <v/>
      </c>
      <c r="X59" s="23" t="str">
        <f ca="1">IF(Tabela4[[#This Row],[Cabo]]&lt;&gt;"",SUMIFS('Lançamento de Cabos'!$AF:$AF,'Lançamento de Cabos'!AE:AE,Tabela4[[#This Row],[Cabo]],'Lançamento de Cabos'!AJ:AJ,Área!$B$1),"")</f>
        <v/>
      </c>
      <c r="Y59" s="23" t="str">
        <f ca="1">IF(Tabela4[[#This Row],[Cabo]]&lt;&gt;"",SUMIFS('Lançamento de Cabos'!$AG:$AG,'Lançamento de Cabos'!AE:AE,Tabela4[[#This Row],[Cabo]],'Lançamento de Cabos'!AJ:AJ,Área!$B$1),"")</f>
        <v/>
      </c>
      <c r="Z59" s="23" t="e">
        <f ca="1">VLOOKUP(Tabela4[[#This Row],[Cabo]],BD!A:AB,28,0)</f>
        <v>#N/A</v>
      </c>
    </row>
    <row r="60" spans="3:26" x14ac:dyDescent="0.25">
      <c r="C60" s="391" t="str">
        <f ca="1">IF($B$1="Geral",Tabela1[[#This Row],[Tag do Cabo]],IFERROR(INDEX(INDIRECT("BD!$A"&amp;D60&amp;":$A100000"),E60,1),""))</f>
        <v/>
      </c>
      <c r="D60" s="391" t="str">
        <f t="shared" ca="1" si="1"/>
        <v/>
      </c>
      <c r="E60" s="391" t="str">
        <f t="shared" ca="1" si="2"/>
        <v/>
      </c>
      <c r="F60" s="391" t="str">
        <f ca="1">IFERROR(VLOOKUP(Tabela4[[#This Row],[Cabo]],BD!A:V,2,0),"")</f>
        <v/>
      </c>
      <c r="G60" s="22" t="str">
        <f ca="1">IFERROR(VLOOKUP(Tabela4[[#This Row],[Cabo]],BD!A:V,5,0),"")</f>
        <v/>
      </c>
      <c r="H60" s="391" t="str">
        <f ca="1">IFERROR(VLOOKUP(Tabela4[[#This Row],[Cabo]],BD!A:V,3,0),"")</f>
        <v/>
      </c>
      <c r="I60" s="391" t="str">
        <f ca="1">IFERROR(VLOOKUP(Tabela4[[#This Row],[Cabo]],BD!A:V,4,0),"")</f>
        <v/>
      </c>
      <c r="J60" s="391" t="str">
        <f ca="1">IFERROR(VLOOKUP(Tabela4[[#This Row],[Cabo]],BD!A:V,7,0),"")</f>
        <v/>
      </c>
      <c r="K6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0" s="23" t="str">
        <f ca="1">IFERROR(VLOOKUP(Tabela4[[#This Row],[Cabo]],BD!A:V,9,0),"")</f>
        <v/>
      </c>
      <c r="M60" s="23" t="str">
        <f ca="1">IFERROR(VLOOKUP(Tabela4[[#This Row],[Cabo]],BD!A:AD,30,0),"")</f>
        <v/>
      </c>
      <c r="N60" s="23" t="str">
        <f ca="1">IF(SUMIF('Lançamento de Cabos'!B:B,Tabela4[[#This Row],[Cabo]],'Lançamento de Cabos'!C:C)=0,"",SUMIF('Lançamento de Cabos'!B:B,Tabela4[[#This Row],[Cabo]],'Lançamento de Cabos'!C:C))</f>
        <v/>
      </c>
      <c r="O60" s="28" t="str">
        <f ca="1">IFERROR(IF(Tabela4[[#This Row],[Compr. Lançado]]/Tabela4[[#This Row],[Compr. Prev.]]&gt;1,1,Tabela4[[#This Row],[Compr. Lançado]]/Tabela4[[#This Row],[Compr. Prev.]]),"")</f>
        <v/>
      </c>
      <c r="P60" s="24" t="str">
        <f ca="1">IFERROR(VLOOKUP(Tabela4[[#This Row],[Cabo]],BD!A:V,11,0),"")</f>
        <v/>
      </c>
      <c r="Q60" s="24" t="str">
        <f ca="1">IFERROR(VLOOKUP(Tabela4[[#This Row],[Cabo]],BD!A:V,12,0),"")</f>
        <v/>
      </c>
      <c r="R60" s="23" t="str">
        <f ca="1">IF(Tabela4[[#This Row],[Cabo]]&lt;&gt;"",IFERROR(VLOOKUP(Tabela4[[#This Row],[Cabo]]&amp;"-1",'Lançamento de Cabos'!$S:$T,2,0),IF(VLOOKUP(Tabela4[[#This Row],[Cabo]],BD!A:V,13,0)="---","---","")),"")</f>
        <v/>
      </c>
      <c r="S60" s="23" t="str">
        <f ca="1">IF(Tabela4[[#This Row],[Cabo]]&lt;&gt;"",IFERROR(VLOOKUP(Tabela4[[#This Row],[Cabo]]&amp;"-2",'Lançamento de Cabos'!$S:$T,2,0),IF(VLOOKUP(Tabela4[[#This Row],[Cabo]],BD!A:V,14,0)="---","---","")),"")</f>
        <v/>
      </c>
      <c r="T60" s="23" t="str">
        <f ca="1">IF(Tabela4[[#This Row],[Cabo]]&lt;&gt;"",IFERROR(VLOOKUP(Tabela4[[#This Row],[Cabo]]&amp;"-3",'Lançamento de Cabos'!$S:$T,2,0),IF(VLOOKUP(Tabela4[[#This Row],[Cabo]],BD!A:V,15,0)="---","---","")),"")</f>
        <v/>
      </c>
      <c r="U60" s="23" t="str">
        <f ca="1">IF(Tabela4[[#This Row],[Cabo]]&lt;&gt;"",IFERROR(VLOOKUP(Tabela4[[#This Row],[Cabo]]&amp;"-4",'Lançamento de Cabos'!$S:$T,2,0),IF(VLOOKUP(Tabela4[[#This Row],[Cabo]],BD!A:V,16,0)="---","---","")),"")</f>
        <v/>
      </c>
      <c r="V60" s="23" t="str">
        <f ca="1">IF(Tabela4[[#This Row],[Cabo]]&lt;&gt;"",4-COUNTIF(Tabela4[[#This Row],[Teste de Continuidade]:[Hipot]],"---"),"")</f>
        <v/>
      </c>
      <c r="W60" s="29" t="str">
        <f ca="1">IF(Tabela4[[#This Row],[Cabo]]&lt;&gt;"",(COUNTIF(Tabela4[[#This Row],[Teste de Continuidade]:[Hipot]],"OK"))/(4-COUNTIF(Tabela4[[#This Row],[Teste de Continuidade]:[Hipot]],"---")),"")</f>
        <v/>
      </c>
      <c r="X60" s="23" t="str">
        <f ca="1">IF(Tabela4[[#This Row],[Cabo]]&lt;&gt;"",SUMIFS('Lançamento de Cabos'!$AF:$AF,'Lançamento de Cabos'!AE:AE,Tabela4[[#This Row],[Cabo]],'Lançamento de Cabos'!AJ:AJ,Área!$B$1),"")</f>
        <v/>
      </c>
      <c r="Y60" s="23" t="str">
        <f ca="1">IF(Tabela4[[#This Row],[Cabo]]&lt;&gt;"",SUMIFS('Lançamento de Cabos'!$AG:$AG,'Lançamento de Cabos'!AE:AE,Tabela4[[#This Row],[Cabo]],'Lançamento de Cabos'!AJ:AJ,Área!$B$1),"")</f>
        <v/>
      </c>
      <c r="Z60" s="23" t="e">
        <f ca="1">VLOOKUP(Tabela4[[#This Row],[Cabo]],BD!A:AB,28,0)</f>
        <v>#N/A</v>
      </c>
    </row>
    <row r="61" spans="3:26" x14ac:dyDescent="0.25">
      <c r="C61" s="391" t="str">
        <f ca="1">IF($B$1="Geral",Tabela1[[#This Row],[Tag do Cabo]],IFERROR(INDEX(INDIRECT("BD!$A"&amp;D61&amp;":$A100000"),E61,1),""))</f>
        <v/>
      </c>
      <c r="D61" s="391" t="str">
        <f t="shared" ca="1" si="1"/>
        <v/>
      </c>
      <c r="E61" s="391" t="str">
        <f t="shared" ca="1" si="2"/>
        <v/>
      </c>
      <c r="F61" s="391" t="str">
        <f ca="1">IFERROR(VLOOKUP(Tabela4[[#This Row],[Cabo]],BD!A:V,2,0),"")</f>
        <v/>
      </c>
      <c r="G61" s="22" t="str">
        <f ca="1">IFERROR(VLOOKUP(Tabela4[[#This Row],[Cabo]],BD!A:V,5,0),"")</f>
        <v/>
      </c>
      <c r="H61" s="391" t="str">
        <f ca="1">IFERROR(VLOOKUP(Tabela4[[#This Row],[Cabo]],BD!A:V,3,0),"")</f>
        <v/>
      </c>
      <c r="I61" s="391" t="str">
        <f ca="1">IFERROR(VLOOKUP(Tabela4[[#This Row],[Cabo]],BD!A:V,4,0),"")</f>
        <v/>
      </c>
      <c r="J61" s="391" t="str">
        <f ca="1">IFERROR(VLOOKUP(Tabela4[[#This Row],[Cabo]],BD!A:V,7,0),"")</f>
        <v/>
      </c>
      <c r="K6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1" s="23" t="str">
        <f ca="1">IFERROR(VLOOKUP(Tabela4[[#This Row],[Cabo]],BD!A:V,9,0),"")</f>
        <v/>
      </c>
      <c r="M61" s="23" t="str">
        <f ca="1">IFERROR(VLOOKUP(Tabela4[[#This Row],[Cabo]],BD!A:AD,30,0),"")</f>
        <v/>
      </c>
      <c r="N61" s="23" t="str">
        <f ca="1">IF(SUMIF('Lançamento de Cabos'!B:B,Tabela4[[#This Row],[Cabo]],'Lançamento de Cabos'!C:C)=0,"",SUMIF('Lançamento de Cabos'!B:B,Tabela4[[#This Row],[Cabo]],'Lançamento de Cabos'!C:C))</f>
        <v/>
      </c>
      <c r="O61" s="28" t="str">
        <f ca="1">IFERROR(IF(Tabela4[[#This Row],[Compr. Lançado]]/Tabela4[[#This Row],[Compr. Prev.]]&gt;1,1,Tabela4[[#This Row],[Compr. Lançado]]/Tabela4[[#This Row],[Compr. Prev.]]),"")</f>
        <v/>
      </c>
      <c r="P61" s="24" t="str">
        <f ca="1">IFERROR(VLOOKUP(Tabela4[[#This Row],[Cabo]],BD!A:V,11,0),"")</f>
        <v/>
      </c>
      <c r="Q61" s="24" t="str">
        <f ca="1">IFERROR(VLOOKUP(Tabela4[[#This Row],[Cabo]],BD!A:V,12,0),"")</f>
        <v/>
      </c>
      <c r="R61" s="23" t="str">
        <f ca="1">IF(Tabela4[[#This Row],[Cabo]]&lt;&gt;"",IFERROR(VLOOKUP(Tabela4[[#This Row],[Cabo]]&amp;"-1",'Lançamento de Cabos'!$S:$T,2,0),IF(VLOOKUP(Tabela4[[#This Row],[Cabo]],BD!A:V,13,0)="---","---","")),"")</f>
        <v/>
      </c>
      <c r="S61" s="23" t="str">
        <f ca="1">IF(Tabela4[[#This Row],[Cabo]]&lt;&gt;"",IFERROR(VLOOKUP(Tabela4[[#This Row],[Cabo]]&amp;"-2",'Lançamento de Cabos'!$S:$T,2,0),IF(VLOOKUP(Tabela4[[#This Row],[Cabo]],BD!A:V,14,0)="---","---","")),"")</f>
        <v/>
      </c>
      <c r="T61" s="23" t="str">
        <f ca="1">IF(Tabela4[[#This Row],[Cabo]]&lt;&gt;"",IFERROR(VLOOKUP(Tabela4[[#This Row],[Cabo]]&amp;"-3",'Lançamento de Cabos'!$S:$T,2,0),IF(VLOOKUP(Tabela4[[#This Row],[Cabo]],BD!A:V,15,0)="---","---","")),"")</f>
        <v/>
      </c>
      <c r="U61" s="23" t="str">
        <f ca="1">IF(Tabela4[[#This Row],[Cabo]]&lt;&gt;"",IFERROR(VLOOKUP(Tabela4[[#This Row],[Cabo]]&amp;"-4",'Lançamento de Cabos'!$S:$T,2,0),IF(VLOOKUP(Tabela4[[#This Row],[Cabo]],BD!A:V,16,0)="---","---","")),"")</f>
        <v/>
      </c>
      <c r="V61" s="23" t="str">
        <f ca="1">IF(Tabela4[[#This Row],[Cabo]]&lt;&gt;"",4-COUNTIF(Tabela4[[#This Row],[Teste de Continuidade]:[Hipot]],"---"),"")</f>
        <v/>
      </c>
      <c r="W61" s="29" t="str">
        <f ca="1">IF(Tabela4[[#This Row],[Cabo]]&lt;&gt;"",(COUNTIF(Tabela4[[#This Row],[Teste de Continuidade]:[Hipot]],"OK"))/(4-COUNTIF(Tabela4[[#This Row],[Teste de Continuidade]:[Hipot]],"---")),"")</f>
        <v/>
      </c>
      <c r="X61" s="23" t="str">
        <f ca="1">IF(Tabela4[[#This Row],[Cabo]]&lt;&gt;"",SUMIFS('Lançamento de Cabos'!$AF:$AF,'Lançamento de Cabos'!AE:AE,Tabela4[[#This Row],[Cabo]],'Lançamento de Cabos'!AJ:AJ,Área!$B$1),"")</f>
        <v/>
      </c>
      <c r="Y61" s="23" t="str">
        <f ca="1">IF(Tabela4[[#This Row],[Cabo]]&lt;&gt;"",SUMIFS('Lançamento de Cabos'!$AG:$AG,'Lançamento de Cabos'!AE:AE,Tabela4[[#This Row],[Cabo]],'Lançamento de Cabos'!AJ:AJ,Área!$B$1),"")</f>
        <v/>
      </c>
      <c r="Z61" s="23" t="e">
        <f ca="1">VLOOKUP(Tabela4[[#This Row],[Cabo]],BD!A:AB,28,0)</f>
        <v>#N/A</v>
      </c>
    </row>
    <row r="62" spans="3:26" x14ac:dyDescent="0.25">
      <c r="C62" s="391" t="str">
        <f ca="1">IF($B$1="Geral",Tabela1[[#This Row],[Tag do Cabo]],IFERROR(INDEX(INDIRECT("BD!$A"&amp;D62&amp;":$A100000"),E62,1),""))</f>
        <v/>
      </c>
      <c r="D62" s="391" t="str">
        <f t="shared" ca="1" si="1"/>
        <v/>
      </c>
      <c r="E62" s="391" t="str">
        <f t="shared" ca="1" si="2"/>
        <v/>
      </c>
      <c r="F62" s="391" t="str">
        <f ca="1">IFERROR(VLOOKUP(Tabela4[[#This Row],[Cabo]],BD!A:V,2,0),"")</f>
        <v/>
      </c>
      <c r="G62" s="22" t="str">
        <f ca="1">IFERROR(VLOOKUP(Tabela4[[#This Row],[Cabo]],BD!A:V,5,0),"")</f>
        <v/>
      </c>
      <c r="H62" s="391" t="str">
        <f ca="1">IFERROR(VLOOKUP(Tabela4[[#This Row],[Cabo]],BD!A:V,3,0),"")</f>
        <v/>
      </c>
      <c r="I62" s="391" t="str">
        <f ca="1">IFERROR(VLOOKUP(Tabela4[[#This Row],[Cabo]],BD!A:V,4,0),"")</f>
        <v/>
      </c>
      <c r="J62" s="391" t="str">
        <f ca="1">IFERROR(VLOOKUP(Tabela4[[#This Row],[Cabo]],BD!A:V,7,0),"")</f>
        <v/>
      </c>
      <c r="K6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2" s="23" t="str">
        <f ca="1">IFERROR(VLOOKUP(Tabela4[[#This Row],[Cabo]],BD!A:V,9,0),"")</f>
        <v/>
      </c>
      <c r="M62" s="23" t="str">
        <f ca="1">IFERROR(VLOOKUP(Tabela4[[#This Row],[Cabo]],BD!A:AD,30,0),"")</f>
        <v/>
      </c>
      <c r="N62" s="23" t="str">
        <f ca="1">IF(SUMIF('Lançamento de Cabos'!B:B,Tabela4[[#This Row],[Cabo]],'Lançamento de Cabos'!C:C)=0,"",SUMIF('Lançamento de Cabos'!B:B,Tabela4[[#This Row],[Cabo]],'Lançamento de Cabos'!C:C))</f>
        <v/>
      </c>
      <c r="O62" s="28" t="str">
        <f ca="1">IFERROR(IF(Tabela4[[#This Row],[Compr. Lançado]]/Tabela4[[#This Row],[Compr. Prev.]]&gt;1,1,Tabela4[[#This Row],[Compr. Lançado]]/Tabela4[[#This Row],[Compr. Prev.]]),"")</f>
        <v/>
      </c>
      <c r="P62" s="24" t="str">
        <f ca="1">IFERROR(VLOOKUP(Tabela4[[#This Row],[Cabo]],BD!A:V,11,0),"")</f>
        <v/>
      </c>
      <c r="Q62" s="24" t="str">
        <f ca="1">IFERROR(VLOOKUP(Tabela4[[#This Row],[Cabo]],BD!A:V,12,0),"")</f>
        <v/>
      </c>
      <c r="R62" s="23" t="str">
        <f ca="1">IF(Tabela4[[#This Row],[Cabo]]&lt;&gt;"",IFERROR(VLOOKUP(Tabela4[[#This Row],[Cabo]]&amp;"-1",'Lançamento de Cabos'!$S:$T,2,0),IF(VLOOKUP(Tabela4[[#This Row],[Cabo]],BD!A:V,13,0)="---","---","")),"")</f>
        <v/>
      </c>
      <c r="S62" s="23" t="str">
        <f ca="1">IF(Tabela4[[#This Row],[Cabo]]&lt;&gt;"",IFERROR(VLOOKUP(Tabela4[[#This Row],[Cabo]]&amp;"-2",'Lançamento de Cabos'!$S:$T,2,0),IF(VLOOKUP(Tabela4[[#This Row],[Cabo]],BD!A:V,14,0)="---","---","")),"")</f>
        <v/>
      </c>
      <c r="T62" s="23" t="str">
        <f ca="1">IF(Tabela4[[#This Row],[Cabo]]&lt;&gt;"",IFERROR(VLOOKUP(Tabela4[[#This Row],[Cabo]]&amp;"-3",'Lançamento de Cabos'!$S:$T,2,0),IF(VLOOKUP(Tabela4[[#This Row],[Cabo]],BD!A:V,15,0)="---","---","")),"")</f>
        <v/>
      </c>
      <c r="U62" s="23" t="str">
        <f ca="1">IF(Tabela4[[#This Row],[Cabo]]&lt;&gt;"",IFERROR(VLOOKUP(Tabela4[[#This Row],[Cabo]]&amp;"-4",'Lançamento de Cabos'!$S:$T,2,0),IF(VLOOKUP(Tabela4[[#This Row],[Cabo]],BD!A:V,16,0)="---","---","")),"")</f>
        <v/>
      </c>
      <c r="V62" s="23" t="str">
        <f ca="1">IF(Tabela4[[#This Row],[Cabo]]&lt;&gt;"",4-COUNTIF(Tabela4[[#This Row],[Teste de Continuidade]:[Hipot]],"---"),"")</f>
        <v/>
      </c>
      <c r="W62" s="29" t="str">
        <f ca="1">IF(Tabela4[[#This Row],[Cabo]]&lt;&gt;"",(COUNTIF(Tabela4[[#This Row],[Teste de Continuidade]:[Hipot]],"OK"))/(4-COUNTIF(Tabela4[[#This Row],[Teste de Continuidade]:[Hipot]],"---")),"")</f>
        <v/>
      </c>
      <c r="X62" s="23" t="str">
        <f ca="1">IF(Tabela4[[#This Row],[Cabo]]&lt;&gt;"",SUMIFS('Lançamento de Cabos'!$AF:$AF,'Lançamento de Cabos'!AE:AE,Tabela4[[#This Row],[Cabo]],'Lançamento de Cabos'!AJ:AJ,Área!$B$1),"")</f>
        <v/>
      </c>
      <c r="Y62" s="23" t="str">
        <f ca="1">IF(Tabela4[[#This Row],[Cabo]]&lt;&gt;"",SUMIFS('Lançamento de Cabos'!$AG:$AG,'Lançamento de Cabos'!AE:AE,Tabela4[[#This Row],[Cabo]],'Lançamento de Cabos'!AJ:AJ,Área!$B$1),"")</f>
        <v/>
      </c>
      <c r="Z62" s="23" t="e">
        <f ca="1">VLOOKUP(Tabela4[[#This Row],[Cabo]],BD!A:AB,28,0)</f>
        <v>#N/A</v>
      </c>
    </row>
    <row r="63" spans="3:26" x14ac:dyDescent="0.25">
      <c r="C63" s="391" t="str">
        <f ca="1">IF($B$1="Geral",Tabela1[[#This Row],[Tag do Cabo]],IFERROR(INDEX(INDIRECT("BD!$A"&amp;D63&amp;":$A100000"),E63,1),""))</f>
        <v/>
      </c>
      <c r="D63" s="391" t="str">
        <f t="shared" ca="1" si="1"/>
        <v/>
      </c>
      <c r="E63" s="391" t="str">
        <f t="shared" ca="1" si="2"/>
        <v/>
      </c>
      <c r="F63" s="391" t="str">
        <f ca="1">IFERROR(VLOOKUP(Tabela4[[#This Row],[Cabo]],BD!A:V,2,0),"")</f>
        <v/>
      </c>
      <c r="G63" s="22" t="str">
        <f ca="1">IFERROR(VLOOKUP(Tabela4[[#This Row],[Cabo]],BD!A:V,5,0),"")</f>
        <v/>
      </c>
      <c r="H63" s="391" t="str">
        <f ca="1">IFERROR(VLOOKUP(Tabela4[[#This Row],[Cabo]],BD!A:V,3,0),"")</f>
        <v/>
      </c>
      <c r="I63" s="391" t="str">
        <f ca="1">IFERROR(VLOOKUP(Tabela4[[#This Row],[Cabo]],BD!A:V,4,0),"")</f>
        <v/>
      </c>
      <c r="J63" s="391" t="str">
        <f ca="1">IFERROR(VLOOKUP(Tabela4[[#This Row],[Cabo]],BD!A:V,7,0),"")</f>
        <v/>
      </c>
      <c r="K6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3" s="23" t="str">
        <f ca="1">IFERROR(VLOOKUP(Tabela4[[#This Row],[Cabo]],BD!A:V,9,0),"")</f>
        <v/>
      </c>
      <c r="M63" s="23" t="str">
        <f ca="1">IFERROR(VLOOKUP(Tabela4[[#This Row],[Cabo]],BD!A:AD,30,0),"")</f>
        <v/>
      </c>
      <c r="N63" s="23" t="str">
        <f ca="1">IF(SUMIF('Lançamento de Cabos'!B:B,Tabela4[[#This Row],[Cabo]],'Lançamento de Cabos'!C:C)=0,"",SUMIF('Lançamento de Cabos'!B:B,Tabela4[[#This Row],[Cabo]],'Lançamento de Cabos'!C:C))</f>
        <v/>
      </c>
      <c r="O63" s="28" t="str">
        <f ca="1">IFERROR(IF(Tabela4[[#This Row],[Compr. Lançado]]/Tabela4[[#This Row],[Compr. Prev.]]&gt;1,1,Tabela4[[#This Row],[Compr. Lançado]]/Tabela4[[#This Row],[Compr. Prev.]]),"")</f>
        <v/>
      </c>
      <c r="P63" s="24" t="str">
        <f ca="1">IFERROR(VLOOKUP(Tabela4[[#This Row],[Cabo]],BD!A:V,11,0),"")</f>
        <v/>
      </c>
      <c r="Q63" s="24" t="str">
        <f ca="1">IFERROR(VLOOKUP(Tabela4[[#This Row],[Cabo]],BD!A:V,12,0),"")</f>
        <v/>
      </c>
      <c r="R63" s="23" t="str">
        <f ca="1">IF(Tabela4[[#This Row],[Cabo]]&lt;&gt;"",IFERROR(VLOOKUP(Tabela4[[#This Row],[Cabo]]&amp;"-1",'Lançamento de Cabos'!$S:$T,2,0),IF(VLOOKUP(Tabela4[[#This Row],[Cabo]],BD!A:V,13,0)="---","---","")),"")</f>
        <v/>
      </c>
      <c r="S63" s="23" t="str">
        <f ca="1">IF(Tabela4[[#This Row],[Cabo]]&lt;&gt;"",IFERROR(VLOOKUP(Tabela4[[#This Row],[Cabo]]&amp;"-2",'Lançamento de Cabos'!$S:$T,2,0),IF(VLOOKUP(Tabela4[[#This Row],[Cabo]],BD!A:V,14,0)="---","---","")),"")</f>
        <v/>
      </c>
      <c r="T63" s="23" t="str">
        <f ca="1">IF(Tabela4[[#This Row],[Cabo]]&lt;&gt;"",IFERROR(VLOOKUP(Tabela4[[#This Row],[Cabo]]&amp;"-3",'Lançamento de Cabos'!$S:$T,2,0),IF(VLOOKUP(Tabela4[[#This Row],[Cabo]],BD!A:V,15,0)="---","---","")),"")</f>
        <v/>
      </c>
      <c r="U63" s="23" t="str">
        <f ca="1">IF(Tabela4[[#This Row],[Cabo]]&lt;&gt;"",IFERROR(VLOOKUP(Tabela4[[#This Row],[Cabo]]&amp;"-4",'Lançamento de Cabos'!$S:$T,2,0),IF(VLOOKUP(Tabela4[[#This Row],[Cabo]],BD!A:V,16,0)="---","---","")),"")</f>
        <v/>
      </c>
      <c r="V63" s="23" t="str">
        <f ca="1">IF(Tabela4[[#This Row],[Cabo]]&lt;&gt;"",4-COUNTIF(Tabela4[[#This Row],[Teste de Continuidade]:[Hipot]],"---"),"")</f>
        <v/>
      </c>
      <c r="W63" s="29" t="str">
        <f ca="1">IF(Tabela4[[#This Row],[Cabo]]&lt;&gt;"",(COUNTIF(Tabela4[[#This Row],[Teste de Continuidade]:[Hipot]],"OK"))/(4-COUNTIF(Tabela4[[#This Row],[Teste de Continuidade]:[Hipot]],"---")),"")</f>
        <v/>
      </c>
      <c r="X63" s="23" t="str">
        <f ca="1">IF(Tabela4[[#This Row],[Cabo]]&lt;&gt;"",SUMIFS('Lançamento de Cabos'!$AF:$AF,'Lançamento de Cabos'!AE:AE,Tabela4[[#This Row],[Cabo]],'Lançamento de Cabos'!AJ:AJ,Área!$B$1),"")</f>
        <v/>
      </c>
      <c r="Y63" s="23" t="str">
        <f ca="1">IF(Tabela4[[#This Row],[Cabo]]&lt;&gt;"",SUMIFS('Lançamento de Cabos'!$AG:$AG,'Lançamento de Cabos'!AE:AE,Tabela4[[#This Row],[Cabo]],'Lançamento de Cabos'!AJ:AJ,Área!$B$1),"")</f>
        <v/>
      </c>
      <c r="Z63" s="23" t="e">
        <f ca="1">VLOOKUP(Tabela4[[#This Row],[Cabo]],BD!A:AB,28,0)</f>
        <v>#N/A</v>
      </c>
    </row>
    <row r="64" spans="3:26" x14ac:dyDescent="0.25">
      <c r="C64" s="391" t="str">
        <f ca="1">IF($B$1="Geral",Tabela1[[#This Row],[Tag do Cabo]],IFERROR(INDEX(INDIRECT("BD!$A"&amp;D64&amp;":$A100000"),E64,1),""))</f>
        <v/>
      </c>
      <c r="D64" s="391" t="str">
        <f t="shared" ca="1" si="1"/>
        <v/>
      </c>
      <c r="E64" s="391" t="str">
        <f t="shared" ca="1" si="2"/>
        <v/>
      </c>
      <c r="F64" s="391" t="str">
        <f ca="1">IFERROR(VLOOKUP(Tabela4[[#This Row],[Cabo]],BD!A:V,2,0),"")</f>
        <v/>
      </c>
      <c r="G64" s="22" t="str">
        <f ca="1">IFERROR(VLOOKUP(Tabela4[[#This Row],[Cabo]],BD!A:V,5,0),"")</f>
        <v/>
      </c>
      <c r="H64" s="391" t="str">
        <f ca="1">IFERROR(VLOOKUP(Tabela4[[#This Row],[Cabo]],BD!A:V,3,0),"")</f>
        <v/>
      </c>
      <c r="I64" s="391" t="str">
        <f ca="1">IFERROR(VLOOKUP(Tabela4[[#This Row],[Cabo]],BD!A:V,4,0),"")</f>
        <v/>
      </c>
      <c r="J64" s="391" t="str">
        <f ca="1">IFERROR(VLOOKUP(Tabela4[[#This Row],[Cabo]],BD!A:V,7,0),"")</f>
        <v/>
      </c>
      <c r="K6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4" s="23" t="str">
        <f ca="1">IFERROR(VLOOKUP(Tabela4[[#This Row],[Cabo]],BD!A:V,9,0),"")</f>
        <v/>
      </c>
      <c r="M64" s="23" t="str">
        <f ca="1">IFERROR(VLOOKUP(Tabela4[[#This Row],[Cabo]],BD!A:AD,30,0),"")</f>
        <v/>
      </c>
      <c r="N64" s="23" t="str">
        <f ca="1">IF(SUMIF('Lançamento de Cabos'!B:B,Tabela4[[#This Row],[Cabo]],'Lançamento de Cabos'!C:C)=0,"",SUMIF('Lançamento de Cabos'!B:B,Tabela4[[#This Row],[Cabo]],'Lançamento de Cabos'!C:C))</f>
        <v/>
      </c>
      <c r="O64" s="28" t="str">
        <f ca="1">IFERROR(IF(Tabela4[[#This Row],[Compr. Lançado]]/Tabela4[[#This Row],[Compr. Prev.]]&gt;1,1,Tabela4[[#This Row],[Compr. Lançado]]/Tabela4[[#This Row],[Compr. Prev.]]),"")</f>
        <v/>
      </c>
      <c r="P64" s="24" t="str">
        <f ca="1">IFERROR(VLOOKUP(Tabela4[[#This Row],[Cabo]],BD!A:V,11,0),"")</f>
        <v/>
      </c>
      <c r="Q64" s="24" t="str">
        <f ca="1">IFERROR(VLOOKUP(Tabela4[[#This Row],[Cabo]],BD!A:V,12,0),"")</f>
        <v/>
      </c>
      <c r="R64" s="23" t="str">
        <f ca="1">IF(Tabela4[[#This Row],[Cabo]]&lt;&gt;"",IFERROR(VLOOKUP(Tabela4[[#This Row],[Cabo]]&amp;"-1",'Lançamento de Cabos'!$S:$T,2,0),IF(VLOOKUP(Tabela4[[#This Row],[Cabo]],BD!A:V,13,0)="---","---","")),"")</f>
        <v/>
      </c>
      <c r="S64" s="23" t="str">
        <f ca="1">IF(Tabela4[[#This Row],[Cabo]]&lt;&gt;"",IFERROR(VLOOKUP(Tabela4[[#This Row],[Cabo]]&amp;"-2",'Lançamento de Cabos'!$S:$T,2,0),IF(VLOOKUP(Tabela4[[#This Row],[Cabo]],BD!A:V,14,0)="---","---","")),"")</f>
        <v/>
      </c>
      <c r="T64" s="23" t="str">
        <f ca="1">IF(Tabela4[[#This Row],[Cabo]]&lt;&gt;"",IFERROR(VLOOKUP(Tabela4[[#This Row],[Cabo]]&amp;"-3",'Lançamento de Cabos'!$S:$T,2,0),IF(VLOOKUP(Tabela4[[#This Row],[Cabo]],BD!A:V,15,0)="---","---","")),"")</f>
        <v/>
      </c>
      <c r="U64" s="23" t="str">
        <f ca="1">IF(Tabela4[[#This Row],[Cabo]]&lt;&gt;"",IFERROR(VLOOKUP(Tabela4[[#This Row],[Cabo]]&amp;"-4",'Lançamento de Cabos'!$S:$T,2,0),IF(VLOOKUP(Tabela4[[#This Row],[Cabo]],BD!A:V,16,0)="---","---","")),"")</f>
        <v/>
      </c>
      <c r="V64" s="23" t="str">
        <f ca="1">IF(Tabela4[[#This Row],[Cabo]]&lt;&gt;"",4-COUNTIF(Tabela4[[#This Row],[Teste de Continuidade]:[Hipot]],"---"),"")</f>
        <v/>
      </c>
      <c r="W64" s="29" t="str">
        <f ca="1">IF(Tabela4[[#This Row],[Cabo]]&lt;&gt;"",(COUNTIF(Tabela4[[#This Row],[Teste de Continuidade]:[Hipot]],"OK"))/(4-COUNTIF(Tabela4[[#This Row],[Teste de Continuidade]:[Hipot]],"---")),"")</f>
        <v/>
      </c>
      <c r="X64" s="23" t="str">
        <f ca="1">IF(Tabela4[[#This Row],[Cabo]]&lt;&gt;"",SUMIFS('Lançamento de Cabos'!$AF:$AF,'Lançamento de Cabos'!AE:AE,Tabela4[[#This Row],[Cabo]],'Lançamento de Cabos'!AJ:AJ,Área!$B$1),"")</f>
        <v/>
      </c>
      <c r="Y64" s="23" t="str">
        <f ca="1">IF(Tabela4[[#This Row],[Cabo]]&lt;&gt;"",SUMIFS('Lançamento de Cabos'!$AG:$AG,'Lançamento de Cabos'!AE:AE,Tabela4[[#This Row],[Cabo]],'Lançamento de Cabos'!AJ:AJ,Área!$B$1),"")</f>
        <v/>
      </c>
      <c r="Z64" s="23" t="e">
        <f ca="1">VLOOKUP(Tabela4[[#This Row],[Cabo]],BD!A:AB,28,0)</f>
        <v>#N/A</v>
      </c>
    </row>
    <row r="65" spans="3:26" x14ac:dyDescent="0.25">
      <c r="C65" s="391" t="str">
        <f ca="1">IF($B$1="Geral",Tabela1[[#This Row],[Tag do Cabo]],IFERROR(INDEX(INDIRECT("BD!$A"&amp;D65&amp;":$A100000"),E65,1),""))</f>
        <v/>
      </c>
      <c r="D65" s="391" t="str">
        <f t="shared" ca="1" si="1"/>
        <v/>
      </c>
      <c r="E65" s="391" t="str">
        <f t="shared" ca="1" si="2"/>
        <v/>
      </c>
      <c r="F65" s="391" t="str">
        <f ca="1">IFERROR(VLOOKUP(Tabela4[[#This Row],[Cabo]],BD!A:V,2,0),"")</f>
        <v/>
      </c>
      <c r="G65" s="22" t="str">
        <f ca="1">IFERROR(VLOOKUP(Tabela4[[#This Row],[Cabo]],BD!A:V,5,0),"")</f>
        <v/>
      </c>
      <c r="H65" s="391" t="str">
        <f ca="1">IFERROR(VLOOKUP(Tabela4[[#This Row],[Cabo]],BD!A:V,3,0),"")</f>
        <v/>
      </c>
      <c r="I65" s="391" t="str">
        <f ca="1">IFERROR(VLOOKUP(Tabela4[[#This Row],[Cabo]],BD!A:V,4,0),"")</f>
        <v/>
      </c>
      <c r="J65" s="391" t="str">
        <f ca="1">IFERROR(VLOOKUP(Tabela4[[#This Row],[Cabo]],BD!A:V,7,0),"")</f>
        <v/>
      </c>
      <c r="K6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5" s="23" t="str">
        <f ca="1">IFERROR(VLOOKUP(Tabela4[[#This Row],[Cabo]],BD!A:V,9,0),"")</f>
        <v/>
      </c>
      <c r="M65" s="23" t="str">
        <f ca="1">IFERROR(VLOOKUP(Tabela4[[#This Row],[Cabo]],BD!A:AD,30,0),"")</f>
        <v/>
      </c>
      <c r="N65" s="23" t="str">
        <f ca="1">IF(SUMIF('Lançamento de Cabos'!B:B,Tabela4[[#This Row],[Cabo]],'Lançamento de Cabos'!C:C)=0,"",SUMIF('Lançamento de Cabos'!B:B,Tabela4[[#This Row],[Cabo]],'Lançamento de Cabos'!C:C))</f>
        <v/>
      </c>
      <c r="O65" s="28" t="str">
        <f ca="1">IFERROR(IF(Tabela4[[#This Row],[Compr. Lançado]]/Tabela4[[#This Row],[Compr. Prev.]]&gt;1,1,Tabela4[[#This Row],[Compr. Lançado]]/Tabela4[[#This Row],[Compr. Prev.]]),"")</f>
        <v/>
      </c>
      <c r="P65" s="24" t="str">
        <f ca="1">IFERROR(VLOOKUP(Tabela4[[#This Row],[Cabo]],BD!A:V,11,0),"")</f>
        <v/>
      </c>
      <c r="Q65" s="24" t="str">
        <f ca="1">IFERROR(VLOOKUP(Tabela4[[#This Row],[Cabo]],BD!A:V,12,0),"")</f>
        <v/>
      </c>
      <c r="R65" s="23" t="str">
        <f ca="1">IF(Tabela4[[#This Row],[Cabo]]&lt;&gt;"",IFERROR(VLOOKUP(Tabela4[[#This Row],[Cabo]]&amp;"-1",'Lançamento de Cabos'!$S:$T,2,0),IF(VLOOKUP(Tabela4[[#This Row],[Cabo]],BD!A:V,13,0)="---","---","")),"")</f>
        <v/>
      </c>
      <c r="S65" s="23" t="str">
        <f ca="1">IF(Tabela4[[#This Row],[Cabo]]&lt;&gt;"",IFERROR(VLOOKUP(Tabela4[[#This Row],[Cabo]]&amp;"-2",'Lançamento de Cabos'!$S:$T,2,0),IF(VLOOKUP(Tabela4[[#This Row],[Cabo]],BD!A:V,14,0)="---","---","")),"")</f>
        <v/>
      </c>
      <c r="T65" s="23" t="str">
        <f ca="1">IF(Tabela4[[#This Row],[Cabo]]&lt;&gt;"",IFERROR(VLOOKUP(Tabela4[[#This Row],[Cabo]]&amp;"-3",'Lançamento de Cabos'!$S:$T,2,0),IF(VLOOKUP(Tabela4[[#This Row],[Cabo]],BD!A:V,15,0)="---","---","")),"")</f>
        <v/>
      </c>
      <c r="U65" s="23" t="str">
        <f ca="1">IF(Tabela4[[#This Row],[Cabo]]&lt;&gt;"",IFERROR(VLOOKUP(Tabela4[[#This Row],[Cabo]]&amp;"-4",'Lançamento de Cabos'!$S:$T,2,0),IF(VLOOKUP(Tabela4[[#This Row],[Cabo]],BD!A:V,16,0)="---","---","")),"")</f>
        <v/>
      </c>
      <c r="V65" s="23" t="str">
        <f ca="1">IF(Tabela4[[#This Row],[Cabo]]&lt;&gt;"",4-COUNTIF(Tabela4[[#This Row],[Teste de Continuidade]:[Hipot]],"---"),"")</f>
        <v/>
      </c>
      <c r="W65" s="29" t="str">
        <f ca="1">IF(Tabela4[[#This Row],[Cabo]]&lt;&gt;"",(COUNTIF(Tabela4[[#This Row],[Teste de Continuidade]:[Hipot]],"OK"))/(4-COUNTIF(Tabela4[[#This Row],[Teste de Continuidade]:[Hipot]],"---")),"")</f>
        <v/>
      </c>
      <c r="X65" s="23" t="str">
        <f ca="1">IF(Tabela4[[#This Row],[Cabo]]&lt;&gt;"",SUMIFS('Lançamento de Cabos'!$AF:$AF,'Lançamento de Cabos'!AE:AE,Tabela4[[#This Row],[Cabo]],'Lançamento de Cabos'!AJ:AJ,Área!$B$1),"")</f>
        <v/>
      </c>
      <c r="Y65" s="23" t="str">
        <f ca="1">IF(Tabela4[[#This Row],[Cabo]]&lt;&gt;"",SUMIFS('Lançamento de Cabos'!$AG:$AG,'Lançamento de Cabos'!AE:AE,Tabela4[[#This Row],[Cabo]],'Lançamento de Cabos'!AJ:AJ,Área!$B$1),"")</f>
        <v/>
      </c>
      <c r="Z65" s="23" t="e">
        <f ca="1">VLOOKUP(Tabela4[[#This Row],[Cabo]],BD!A:AB,28,0)</f>
        <v>#N/A</v>
      </c>
    </row>
    <row r="66" spans="3:26" x14ac:dyDescent="0.25">
      <c r="C66" s="391" t="str">
        <f ca="1">IF($B$1="Geral",Tabela1[[#This Row],[Tag do Cabo]],IFERROR(INDEX(INDIRECT("BD!$A"&amp;D66&amp;":$A100000"),E66,1),""))</f>
        <v/>
      </c>
      <c r="D66" s="391" t="str">
        <f t="shared" ca="1" si="1"/>
        <v/>
      </c>
      <c r="E66" s="391" t="str">
        <f t="shared" ref="E66:E97" ca="1" si="3">IFERROR(MATCH($B$1,INDIRECT("BD!$J"&amp;D66&amp;":$J100000"),0),"")</f>
        <v/>
      </c>
      <c r="F66" s="391" t="str">
        <f ca="1">IFERROR(VLOOKUP(Tabela4[[#This Row],[Cabo]],BD!A:V,2,0),"")</f>
        <v/>
      </c>
      <c r="G66" s="22" t="str">
        <f ca="1">IFERROR(VLOOKUP(Tabela4[[#This Row],[Cabo]],BD!A:V,5,0),"")</f>
        <v/>
      </c>
      <c r="H66" s="391" t="str">
        <f ca="1">IFERROR(VLOOKUP(Tabela4[[#This Row],[Cabo]],BD!A:V,3,0),"")</f>
        <v/>
      </c>
      <c r="I66" s="391" t="str">
        <f ca="1">IFERROR(VLOOKUP(Tabela4[[#This Row],[Cabo]],BD!A:V,4,0),"")</f>
        <v/>
      </c>
      <c r="J66" s="391" t="str">
        <f ca="1">IFERROR(VLOOKUP(Tabela4[[#This Row],[Cabo]],BD!A:V,7,0),"")</f>
        <v/>
      </c>
      <c r="K6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6" s="23" t="str">
        <f ca="1">IFERROR(VLOOKUP(Tabela4[[#This Row],[Cabo]],BD!A:V,9,0),"")</f>
        <v/>
      </c>
      <c r="M66" s="23" t="str">
        <f ca="1">IFERROR(VLOOKUP(Tabela4[[#This Row],[Cabo]],BD!A:AD,30,0),"")</f>
        <v/>
      </c>
      <c r="N66" s="23" t="str">
        <f ca="1">IF(SUMIF('Lançamento de Cabos'!B:B,Tabela4[[#This Row],[Cabo]],'Lançamento de Cabos'!C:C)=0,"",SUMIF('Lançamento de Cabos'!B:B,Tabela4[[#This Row],[Cabo]],'Lançamento de Cabos'!C:C))</f>
        <v/>
      </c>
      <c r="O66" s="28" t="str">
        <f ca="1">IFERROR(IF(Tabela4[[#This Row],[Compr. Lançado]]/Tabela4[[#This Row],[Compr. Prev.]]&gt;1,1,Tabela4[[#This Row],[Compr. Lançado]]/Tabela4[[#This Row],[Compr. Prev.]]),"")</f>
        <v/>
      </c>
      <c r="P66" s="24" t="str">
        <f ca="1">IFERROR(VLOOKUP(Tabela4[[#This Row],[Cabo]],BD!A:V,11,0),"")</f>
        <v/>
      </c>
      <c r="Q66" s="24" t="str">
        <f ca="1">IFERROR(VLOOKUP(Tabela4[[#This Row],[Cabo]],BD!A:V,12,0),"")</f>
        <v/>
      </c>
      <c r="R66" s="23" t="str">
        <f ca="1">IF(Tabela4[[#This Row],[Cabo]]&lt;&gt;"",IFERROR(VLOOKUP(Tabela4[[#This Row],[Cabo]]&amp;"-1",'Lançamento de Cabos'!$S:$T,2,0),IF(VLOOKUP(Tabela4[[#This Row],[Cabo]],BD!A:V,13,0)="---","---","")),"")</f>
        <v/>
      </c>
      <c r="S66" s="23" t="str">
        <f ca="1">IF(Tabela4[[#This Row],[Cabo]]&lt;&gt;"",IFERROR(VLOOKUP(Tabela4[[#This Row],[Cabo]]&amp;"-2",'Lançamento de Cabos'!$S:$T,2,0),IF(VLOOKUP(Tabela4[[#This Row],[Cabo]],BD!A:V,14,0)="---","---","")),"")</f>
        <v/>
      </c>
      <c r="T66" s="23" t="str">
        <f ca="1">IF(Tabela4[[#This Row],[Cabo]]&lt;&gt;"",IFERROR(VLOOKUP(Tabela4[[#This Row],[Cabo]]&amp;"-3",'Lançamento de Cabos'!$S:$T,2,0),IF(VLOOKUP(Tabela4[[#This Row],[Cabo]],BD!A:V,15,0)="---","---","")),"")</f>
        <v/>
      </c>
      <c r="U66" s="23" t="str">
        <f ca="1">IF(Tabela4[[#This Row],[Cabo]]&lt;&gt;"",IFERROR(VLOOKUP(Tabela4[[#This Row],[Cabo]]&amp;"-4",'Lançamento de Cabos'!$S:$T,2,0),IF(VLOOKUP(Tabela4[[#This Row],[Cabo]],BD!A:V,16,0)="---","---","")),"")</f>
        <v/>
      </c>
      <c r="V66" s="23" t="str">
        <f ca="1">IF(Tabela4[[#This Row],[Cabo]]&lt;&gt;"",4-COUNTIF(Tabela4[[#This Row],[Teste de Continuidade]:[Hipot]],"---"),"")</f>
        <v/>
      </c>
      <c r="W66" s="29" t="str">
        <f ca="1">IF(Tabela4[[#This Row],[Cabo]]&lt;&gt;"",(COUNTIF(Tabela4[[#This Row],[Teste de Continuidade]:[Hipot]],"OK"))/(4-COUNTIF(Tabela4[[#This Row],[Teste de Continuidade]:[Hipot]],"---")),"")</f>
        <v/>
      </c>
      <c r="X66" s="23" t="str">
        <f ca="1">IF(Tabela4[[#This Row],[Cabo]]&lt;&gt;"",SUMIFS('Lançamento de Cabos'!$AF:$AF,'Lançamento de Cabos'!AE:AE,Tabela4[[#This Row],[Cabo]],'Lançamento de Cabos'!AJ:AJ,Área!$B$1),"")</f>
        <v/>
      </c>
      <c r="Y66" s="23" t="str">
        <f ca="1">IF(Tabela4[[#This Row],[Cabo]]&lt;&gt;"",SUMIFS('Lançamento de Cabos'!$AG:$AG,'Lançamento de Cabos'!AE:AE,Tabela4[[#This Row],[Cabo]],'Lançamento de Cabos'!AJ:AJ,Área!$B$1),"")</f>
        <v/>
      </c>
      <c r="Z66" s="23" t="e">
        <f ca="1">VLOOKUP(Tabela4[[#This Row],[Cabo]],BD!A:AB,28,0)</f>
        <v>#N/A</v>
      </c>
    </row>
    <row r="67" spans="3:26" x14ac:dyDescent="0.25">
      <c r="C67" s="391" t="str">
        <f ca="1">IF($B$1="Geral",Tabela1[[#This Row],[Tag do Cabo]],IFERROR(INDEX(INDIRECT("BD!$A"&amp;D67&amp;":$A100000"),E67,1),""))</f>
        <v/>
      </c>
      <c r="D67" s="391" t="str">
        <f t="shared" ca="1" si="1"/>
        <v/>
      </c>
      <c r="E67" s="391" t="str">
        <f t="shared" ca="1" si="3"/>
        <v/>
      </c>
      <c r="F67" s="391" t="str">
        <f ca="1">IFERROR(VLOOKUP(Tabela4[[#This Row],[Cabo]],BD!A:V,2,0),"")</f>
        <v/>
      </c>
      <c r="G67" s="22" t="str">
        <f ca="1">IFERROR(VLOOKUP(Tabela4[[#This Row],[Cabo]],BD!A:V,5,0),"")</f>
        <v/>
      </c>
      <c r="H67" s="391" t="str">
        <f ca="1">IFERROR(VLOOKUP(Tabela4[[#This Row],[Cabo]],BD!A:V,3,0),"")</f>
        <v/>
      </c>
      <c r="I67" s="391" t="str">
        <f ca="1">IFERROR(VLOOKUP(Tabela4[[#This Row],[Cabo]],BD!A:V,4,0),"")</f>
        <v/>
      </c>
      <c r="J67" s="391" t="str">
        <f ca="1">IFERROR(VLOOKUP(Tabela4[[#This Row],[Cabo]],BD!A:V,7,0),"")</f>
        <v/>
      </c>
      <c r="K6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7" s="23" t="str">
        <f ca="1">IFERROR(VLOOKUP(Tabela4[[#This Row],[Cabo]],BD!A:V,9,0),"")</f>
        <v/>
      </c>
      <c r="M67" s="23" t="str">
        <f ca="1">IFERROR(VLOOKUP(Tabela4[[#This Row],[Cabo]],BD!A:AD,30,0),"")</f>
        <v/>
      </c>
      <c r="N67" s="23" t="str">
        <f ca="1">IF(SUMIF('Lançamento de Cabos'!B:B,Tabela4[[#This Row],[Cabo]],'Lançamento de Cabos'!C:C)=0,"",SUMIF('Lançamento de Cabos'!B:B,Tabela4[[#This Row],[Cabo]],'Lançamento de Cabos'!C:C))</f>
        <v/>
      </c>
      <c r="O67" s="28" t="str">
        <f ca="1">IFERROR(IF(Tabela4[[#This Row],[Compr. Lançado]]/Tabela4[[#This Row],[Compr. Prev.]]&gt;1,1,Tabela4[[#This Row],[Compr. Lançado]]/Tabela4[[#This Row],[Compr. Prev.]]),"")</f>
        <v/>
      </c>
      <c r="P67" s="24" t="str">
        <f ca="1">IFERROR(VLOOKUP(Tabela4[[#This Row],[Cabo]],BD!A:V,11,0),"")</f>
        <v/>
      </c>
      <c r="Q67" s="24" t="str">
        <f ca="1">IFERROR(VLOOKUP(Tabela4[[#This Row],[Cabo]],BD!A:V,12,0),"")</f>
        <v/>
      </c>
      <c r="R67" s="23" t="str">
        <f ca="1">IF(Tabela4[[#This Row],[Cabo]]&lt;&gt;"",IFERROR(VLOOKUP(Tabela4[[#This Row],[Cabo]]&amp;"-1",'Lançamento de Cabos'!$S:$T,2,0),IF(VLOOKUP(Tabela4[[#This Row],[Cabo]],BD!A:V,13,0)="---","---","")),"")</f>
        <v/>
      </c>
      <c r="S67" s="23" t="str">
        <f ca="1">IF(Tabela4[[#This Row],[Cabo]]&lt;&gt;"",IFERROR(VLOOKUP(Tabela4[[#This Row],[Cabo]]&amp;"-2",'Lançamento de Cabos'!$S:$T,2,0),IF(VLOOKUP(Tabela4[[#This Row],[Cabo]],BD!A:V,14,0)="---","---","")),"")</f>
        <v/>
      </c>
      <c r="T67" s="23" t="str">
        <f ca="1">IF(Tabela4[[#This Row],[Cabo]]&lt;&gt;"",IFERROR(VLOOKUP(Tabela4[[#This Row],[Cabo]]&amp;"-3",'Lançamento de Cabos'!$S:$T,2,0),IF(VLOOKUP(Tabela4[[#This Row],[Cabo]],BD!A:V,15,0)="---","---","")),"")</f>
        <v/>
      </c>
      <c r="U67" s="23" t="str">
        <f ca="1">IF(Tabela4[[#This Row],[Cabo]]&lt;&gt;"",IFERROR(VLOOKUP(Tabela4[[#This Row],[Cabo]]&amp;"-4",'Lançamento de Cabos'!$S:$T,2,0),IF(VLOOKUP(Tabela4[[#This Row],[Cabo]],BD!A:V,16,0)="---","---","")),"")</f>
        <v/>
      </c>
      <c r="V67" s="23" t="str">
        <f ca="1">IF(Tabela4[[#This Row],[Cabo]]&lt;&gt;"",4-COUNTIF(Tabela4[[#This Row],[Teste de Continuidade]:[Hipot]],"---"),"")</f>
        <v/>
      </c>
      <c r="W67" s="29" t="str">
        <f ca="1">IF(Tabela4[[#This Row],[Cabo]]&lt;&gt;"",(COUNTIF(Tabela4[[#This Row],[Teste de Continuidade]:[Hipot]],"OK"))/(4-COUNTIF(Tabela4[[#This Row],[Teste de Continuidade]:[Hipot]],"---")),"")</f>
        <v/>
      </c>
      <c r="X67" s="23" t="str">
        <f ca="1">IF(Tabela4[[#This Row],[Cabo]]&lt;&gt;"",SUMIFS('Lançamento de Cabos'!$AF:$AF,'Lançamento de Cabos'!AE:AE,Tabela4[[#This Row],[Cabo]],'Lançamento de Cabos'!AJ:AJ,Área!$B$1),"")</f>
        <v/>
      </c>
      <c r="Y67" s="23" t="str">
        <f ca="1">IF(Tabela4[[#This Row],[Cabo]]&lt;&gt;"",SUMIFS('Lançamento de Cabos'!$AG:$AG,'Lançamento de Cabos'!AE:AE,Tabela4[[#This Row],[Cabo]],'Lançamento de Cabos'!AJ:AJ,Área!$B$1),"")</f>
        <v/>
      </c>
      <c r="Z67" s="23" t="e">
        <f ca="1">VLOOKUP(Tabela4[[#This Row],[Cabo]],BD!A:AB,28,0)</f>
        <v>#N/A</v>
      </c>
    </row>
    <row r="68" spans="3:26" x14ac:dyDescent="0.25">
      <c r="C68" s="391" t="str">
        <f ca="1">IF($B$1="Geral",Tabela1[[#This Row],[Tag do Cabo]],IFERROR(INDEX(INDIRECT("BD!$A"&amp;D68&amp;":$A100000"),E68,1),""))</f>
        <v/>
      </c>
      <c r="D68" s="391" t="str">
        <f t="shared" ref="D68:D131" ca="1" si="4">IFERROR(D67+E67,"")</f>
        <v/>
      </c>
      <c r="E68" s="391" t="str">
        <f t="shared" ca="1" si="3"/>
        <v/>
      </c>
      <c r="F68" s="391" t="str">
        <f ca="1">IFERROR(VLOOKUP(Tabela4[[#This Row],[Cabo]],BD!A:V,2,0),"")</f>
        <v/>
      </c>
      <c r="G68" s="22" t="str">
        <f ca="1">IFERROR(VLOOKUP(Tabela4[[#This Row],[Cabo]],BD!A:V,5,0),"")</f>
        <v/>
      </c>
      <c r="H68" s="391" t="str">
        <f ca="1">IFERROR(VLOOKUP(Tabela4[[#This Row],[Cabo]],BD!A:V,3,0),"")</f>
        <v/>
      </c>
      <c r="I68" s="391" t="str">
        <f ca="1">IFERROR(VLOOKUP(Tabela4[[#This Row],[Cabo]],BD!A:V,4,0),"")</f>
        <v/>
      </c>
      <c r="J68" s="391" t="str">
        <f ca="1">IFERROR(VLOOKUP(Tabela4[[#This Row],[Cabo]],BD!A:V,7,0),"")</f>
        <v/>
      </c>
      <c r="K6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8" s="23" t="str">
        <f ca="1">IFERROR(VLOOKUP(Tabela4[[#This Row],[Cabo]],BD!A:V,9,0),"")</f>
        <v/>
      </c>
      <c r="M68" s="23" t="str">
        <f ca="1">IFERROR(VLOOKUP(Tabela4[[#This Row],[Cabo]],BD!A:AD,30,0),"")</f>
        <v/>
      </c>
      <c r="N68" s="23" t="str">
        <f ca="1">IF(SUMIF('Lançamento de Cabos'!B:B,Tabela4[[#This Row],[Cabo]],'Lançamento de Cabos'!C:C)=0,"",SUMIF('Lançamento de Cabos'!B:B,Tabela4[[#This Row],[Cabo]],'Lançamento de Cabos'!C:C))</f>
        <v/>
      </c>
      <c r="O68" s="28" t="str">
        <f ca="1">IFERROR(IF(Tabela4[[#This Row],[Compr. Lançado]]/Tabela4[[#This Row],[Compr. Prev.]]&gt;1,1,Tabela4[[#This Row],[Compr. Lançado]]/Tabela4[[#This Row],[Compr. Prev.]]),"")</f>
        <v/>
      </c>
      <c r="P68" s="24" t="str">
        <f ca="1">IFERROR(VLOOKUP(Tabela4[[#This Row],[Cabo]],BD!A:V,11,0),"")</f>
        <v/>
      </c>
      <c r="Q68" s="24" t="str">
        <f ca="1">IFERROR(VLOOKUP(Tabela4[[#This Row],[Cabo]],BD!A:V,12,0),"")</f>
        <v/>
      </c>
      <c r="R68" s="23" t="str">
        <f ca="1">IF(Tabela4[[#This Row],[Cabo]]&lt;&gt;"",IFERROR(VLOOKUP(Tabela4[[#This Row],[Cabo]]&amp;"-1",'Lançamento de Cabos'!$S:$T,2,0),IF(VLOOKUP(Tabela4[[#This Row],[Cabo]],BD!A:V,13,0)="---","---","")),"")</f>
        <v/>
      </c>
      <c r="S68" s="23" t="str">
        <f ca="1">IF(Tabela4[[#This Row],[Cabo]]&lt;&gt;"",IFERROR(VLOOKUP(Tabela4[[#This Row],[Cabo]]&amp;"-2",'Lançamento de Cabos'!$S:$T,2,0),IF(VLOOKUP(Tabela4[[#This Row],[Cabo]],BD!A:V,14,0)="---","---","")),"")</f>
        <v/>
      </c>
      <c r="T68" s="23" t="str">
        <f ca="1">IF(Tabela4[[#This Row],[Cabo]]&lt;&gt;"",IFERROR(VLOOKUP(Tabela4[[#This Row],[Cabo]]&amp;"-3",'Lançamento de Cabos'!$S:$T,2,0),IF(VLOOKUP(Tabela4[[#This Row],[Cabo]],BD!A:V,15,0)="---","---","")),"")</f>
        <v/>
      </c>
      <c r="U68" s="23" t="str">
        <f ca="1">IF(Tabela4[[#This Row],[Cabo]]&lt;&gt;"",IFERROR(VLOOKUP(Tabela4[[#This Row],[Cabo]]&amp;"-4",'Lançamento de Cabos'!$S:$T,2,0),IF(VLOOKUP(Tabela4[[#This Row],[Cabo]],BD!A:V,16,0)="---","---","")),"")</f>
        <v/>
      </c>
      <c r="V68" s="23" t="str">
        <f ca="1">IF(Tabela4[[#This Row],[Cabo]]&lt;&gt;"",4-COUNTIF(Tabela4[[#This Row],[Teste de Continuidade]:[Hipot]],"---"),"")</f>
        <v/>
      </c>
      <c r="W68" s="29" t="str">
        <f ca="1">IF(Tabela4[[#This Row],[Cabo]]&lt;&gt;"",(COUNTIF(Tabela4[[#This Row],[Teste de Continuidade]:[Hipot]],"OK"))/(4-COUNTIF(Tabela4[[#This Row],[Teste de Continuidade]:[Hipot]],"---")),"")</f>
        <v/>
      </c>
      <c r="X68" s="23" t="str">
        <f ca="1">IF(Tabela4[[#This Row],[Cabo]]&lt;&gt;"",SUMIFS('Lançamento de Cabos'!$AF:$AF,'Lançamento de Cabos'!AE:AE,Tabela4[[#This Row],[Cabo]],'Lançamento de Cabos'!AJ:AJ,Área!$B$1),"")</f>
        <v/>
      </c>
      <c r="Y68" s="23" t="str">
        <f ca="1">IF(Tabela4[[#This Row],[Cabo]]&lt;&gt;"",SUMIFS('Lançamento de Cabos'!$AG:$AG,'Lançamento de Cabos'!AE:AE,Tabela4[[#This Row],[Cabo]],'Lançamento de Cabos'!AJ:AJ,Área!$B$1),"")</f>
        <v/>
      </c>
      <c r="Z68" s="23" t="e">
        <f ca="1">VLOOKUP(Tabela4[[#This Row],[Cabo]],BD!A:AB,28,0)</f>
        <v>#N/A</v>
      </c>
    </row>
    <row r="69" spans="3:26" x14ac:dyDescent="0.25">
      <c r="C69" s="391" t="str">
        <f ca="1">IF($B$1="Geral",Tabela1[[#This Row],[Tag do Cabo]],IFERROR(INDEX(INDIRECT("BD!$A"&amp;D69&amp;":$A100000"),E69,1),""))</f>
        <v/>
      </c>
      <c r="D69" s="391" t="str">
        <f t="shared" ca="1" si="4"/>
        <v/>
      </c>
      <c r="E69" s="391" t="str">
        <f t="shared" ca="1" si="3"/>
        <v/>
      </c>
      <c r="F69" s="391" t="str">
        <f ca="1">IFERROR(VLOOKUP(Tabela4[[#This Row],[Cabo]],BD!A:V,2,0),"")</f>
        <v/>
      </c>
      <c r="G69" s="22" t="str">
        <f ca="1">IFERROR(VLOOKUP(Tabela4[[#This Row],[Cabo]],BD!A:V,5,0),"")</f>
        <v/>
      </c>
      <c r="H69" s="391" t="str">
        <f ca="1">IFERROR(VLOOKUP(Tabela4[[#This Row],[Cabo]],BD!A:V,3,0),"")</f>
        <v/>
      </c>
      <c r="I69" s="391" t="str">
        <f ca="1">IFERROR(VLOOKUP(Tabela4[[#This Row],[Cabo]],BD!A:V,4,0),"")</f>
        <v/>
      </c>
      <c r="J69" s="391" t="str">
        <f ca="1">IFERROR(VLOOKUP(Tabela4[[#This Row],[Cabo]],BD!A:V,7,0),"")</f>
        <v/>
      </c>
      <c r="K6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69" s="23" t="str">
        <f ca="1">IFERROR(VLOOKUP(Tabela4[[#This Row],[Cabo]],BD!A:V,9,0),"")</f>
        <v/>
      </c>
      <c r="M69" s="23" t="str">
        <f ca="1">IFERROR(VLOOKUP(Tabela4[[#This Row],[Cabo]],BD!A:AD,30,0),"")</f>
        <v/>
      </c>
      <c r="N69" s="23" t="str">
        <f ca="1">IF(SUMIF('Lançamento de Cabos'!B:B,Tabela4[[#This Row],[Cabo]],'Lançamento de Cabos'!C:C)=0,"",SUMIF('Lançamento de Cabos'!B:B,Tabela4[[#This Row],[Cabo]],'Lançamento de Cabos'!C:C))</f>
        <v/>
      </c>
      <c r="O69" s="28" t="str">
        <f ca="1">IFERROR(IF(Tabela4[[#This Row],[Compr. Lançado]]/Tabela4[[#This Row],[Compr. Prev.]]&gt;1,1,Tabela4[[#This Row],[Compr. Lançado]]/Tabela4[[#This Row],[Compr. Prev.]]),"")</f>
        <v/>
      </c>
      <c r="P69" s="24" t="str">
        <f ca="1">IFERROR(VLOOKUP(Tabela4[[#This Row],[Cabo]],BD!A:V,11,0),"")</f>
        <v/>
      </c>
      <c r="Q69" s="24" t="str">
        <f ca="1">IFERROR(VLOOKUP(Tabela4[[#This Row],[Cabo]],BD!A:V,12,0),"")</f>
        <v/>
      </c>
      <c r="R69" s="23" t="str">
        <f ca="1">IF(Tabela4[[#This Row],[Cabo]]&lt;&gt;"",IFERROR(VLOOKUP(Tabela4[[#This Row],[Cabo]]&amp;"-1",'Lançamento de Cabos'!$S:$T,2,0),IF(VLOOKUP(Tabela4[[#This Row],[Cabo]],BD!A:V,13,0)="---","---","")),"")</f>
        <v/>
      </c>
      <c r="S69" s="23" t="str">
        <f ca="1">IF(Tabela4[[#This Row],[Cabo]]&lt;&gt;"",IFERROR(VLOOKUP(Tabela4[[#This Row],[Cabo]]&amp;"-2",'Lançamento de Cabos'!$S:$T,2,0),IF(VLOOKUP(Tabela4[[#This Row],[Cabo]],BD!A:V,14,0)="---","---","")),"")</f>
        <v/>
      </c>
      <c r="T69" s="23" t="str">
        <f ca="1">IF(Tabela4[[#This Row],[Cabo]]&lt;&gt;"",IFERROR(VLOOKUP(Tabela4[[#This Row],[Cabo]]&amp;"-3",'Lançamento de Cabos'!$S:$T,2,0),IF(VLOOKUP(Tabela4[[#This Row],[Cabo]],BD!A:V,15,0)="---","---","")),"")</f>
        <v/>
      </c>
      <c r="U69" s="23" t="str">
        <f ca="1">IF(Tabela4[[#This Row],[Cabo]]&lt;&gt;"",IFERROR(VLOOKUP(Tabela4[[#This Row],[Cabo]]&amp;"-4",'Lançamento de Cabos'!$S:$T,2,0),IF(VLOOKUP(Tabela4[[#This Row],[Cabo]],BD!A:V,16,0)="---","---","")),"")</f>
        <v/>
      </c>
      <c r="V69" s="23" t="str">
        <f ca="1">IF(Tabela4[[#This Row],[Cabo]]&lt;&gt;"",4-COUNTIF(Tabela4[[#This Row],[Teste de Continuidade]:[Hipot]],"---"),"")</f>
        <v/>
      </c>
      <c r="W69" s="29" t="str">
        <f ca="1">IF(Tabela4[[#This Row],[Cabo]]&lt;&gt;"",(COUNTIF(Tabela4[[#This Row],[Teste de Continuidade]:[Hipot]],"OK"))/(4-COUNTIF(Tabela4[[#This Row],[Teste de Continuidade]:[Hipot]],"---")),"")</f>
        <v/>
      </c>
      <c r="X69" s="23" t="str">
        <f ca="1">IF(Tabela4[[#This Row],[Cabo]]&lt;&gt;"",SUMIFS('Lançamento de Cabos'!$AF:$AF,'Lançamento de Cabos'!AE:AE,Tabela4[[#This Row],[Cabo]],'Lançamento de Cabos'!AJ:AJ,Área!$B$1),"")</f>
        <v/>
      </c>
      <c r="Y69" s="23" t="str">
        <f ca="1">IF(Tabela4[[#This Row],[Cabo]]&lt;&gt;"",SUMIFS('Lançamento de Cabos'!$AG:$AG,'Lançamento de Cabos'!AE:AE,Tabela4[[#This Row],[Cabo]],'Lançamento de Cabos'!AJ:AJ,Área!$B$1),"")</f>
        <v/>
      </c>
      <c r="Z69" s="23" t="e">
        <f ca="1">VLOOKUP(Tabela4[[#This Row],[Cabo]],BD!A:AB,28,0)</f>
        <v>#N/A</v>
      </c>
    </row>
    <row r="70" spans="3:26" x14ac:dyDescent="0.25">
      <c r="C70" s="391" t="str">
        <f ca="1">IF($B$1="Geral",Tabela1[[#This Row],[Tag do Cabo]],IFERROR(INDEX(INDIRECT("BD!$A"&amp;D70&amp;":$A100000"),E70,1),""))</f>
        <v/>
      </c>
      <c r="D70" s="391" t="str">
        <f t="shared" ca="1" si="4"/>
        <v/>
      </c>
      <c r="E70" s="391" t="str">
        <f t="shared" ca="1" si="3"/>
        <v/>
      </c>
      <c r="F70" s="391" t="str">
        <f ca="1">IFERROR(VLOOKUP(Tabela4[[#This Row],[Cabo]],BD!A:V,2,0),"")</f>
        <v/>
      </c>
      <c r="G70" s="22" t="str">
        <f ca="1">IFERROR(VLOOKUP(Tabela4[[#This Row],[Cabo]],BD!A:V,5,0),"")</f>
        <v/>
      </c>
      <c r="H70" s="391" t="str">
        <f ca="1">IFERROR(VLOOKUP(Tabela4[[#This Row],[Cabo]],BD!A:V,3,0),"")</f>
        <v/>
      </c>
      <c r="I70" s="391" t="str">
        <f ca="1">IFERROR(VLOOKUP(Tabela4[[#This Row],[Cabo]],BD!A:V,4,0),"")</f>
        <v/>
      </c>
      <c r="J70" s="391" t="str">
        <f ca="1">IFERROR(VLOOKUP(Tabela4[[#This Row],[Cabo]],BD!A:V,7,0),"")</f>
        <v/>
      </c>
      <c r="K7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0" s="23" t="str">
        <f ca="1">IFERROR(VLOOKUP(Tabela4[[#This Row],[Cabo]],BD!A:V,9,0),"")</f>
        <v/>
      </c>
      <c r="M70" s="23" t="str">
        <f ca="1">IFERROR(VLOOKUP(Tabela4[[#This Row],[Cabo]],BD!A:AD,30,0),"")</f>
        <v/>
      </c>
      <c r="N70" s="23" t="str">
        <f ca="1">IF(SUMIF('Lançamento de Cabos'!B:B,Tabela4[[#This Row],[Cabo]],'Lançamento de Cabos'!C:C)=0,"",SUMIF('Lançamento de Cabos'!B:B,Tabela4[[#This Row],[Cabo]],'Lançamento de Cabos'!C:C))</f>
        <v/>
      </c>
      <c r="O70" s="28" t="str">
        <f ca="1">IFERROR(IF(Tabela4[[#This Row],[Compr. Lançado]]/Tabela4[[#This Row],[Compr. Prev.]]&gt;1,1,Tabela4[[#This Row],[Compr. Lançado]]/Tabela4[[#This Row],[Compr. Prev.]]),"")</f>
        <v/>
      </c>
      <c r="P70" s="24" t="str">
        <f ca="1">IFERROR(VLOOKUP(Tabela4[[#This Row],[Cabo]],BD!A:V,11,0),"")</f>
        <v/>
      </c>
      <c r="Q70" s="24" t="str">
        <f ca="1">IFERROR(VLOOKUP(Tabela4[[#This Row],[Cabo]],BD!A:V,12,0),"")</f>
        <v/>
      </c>
      <c r="R70" s="23" t="str">
        <f ca="1">IF(Tabela4[[#This Row],[Cabo]]&lt;&gt;"",IFERROR(VLOOKUP(Tabela4[[#This Row],[Cabo]]&amp;"-1",'Lançamento de Cabos'!$S:$T,2,0),IF(VLOOKUP(Tabela4[[#This Row],[Cabo]],BD!A:V,13,0)="---","---","")),"")</f>
        <v/>
      </c>
      <c r="S70" s="23" t="str">
        <f ca="1">IF(Tabela4[[#This Row],[Cabo]]&lt;&gt;"",IFERROR(VLOOKUP(Tabela4[[#This Row],[Cabo]]&amp;"-2",'Lançamento de Cabos'!$S:$T,2,0),IF(VLOOKUP(Tabela4[[#This Row],[Cabo]],BD!A:V,14,0)="---","---","")),"")</f>
        <v/>
      </c>
      <c r="T70" s="23" t="str">
        <f ca="1">IF(Tabela4[[#This Row],[Cabo]]&lt;&gt;"",IFERROR(VLOOKUP(Tabela4[[#This Row],[Cabo]]&amp;"-3",'Lançamento de Cabos'!$S:$T,2,0),IF(VLOOKUP(Tabela4[[#This Row],[Cabo]],BD!A:V,15,0)="---","---","")),"")</f>
        <v/>
      </c>
      <c r="U70" s="23" t="str">
        <f ca="1">IF(Tabela4[[#This Row],[Cabo]]&lt;&gt;"",IFERROR(VLOOKUP(Tabela4[[#This Row],[Cabo]]&amp;"-4",'Lançamento de Cabos'!$S:$T,2,0),IF(VLOOKUP(Tabela4[[#This Row],[Cabo]],BD!A:V,16,0)="---","---","")),"")</f>
        <v/>
      </c>
      <c r="V70" s="23" t="str">
        <f ca="1">IF(Tabela4[[#This Row],[Cabo]]&lt;&gt;"",4-COUNTIF(Tabela4[[#This Row],[Teste de Continuidade]:[Hipot]],"---"),"")</f>
        <v/>
      </c>
      <c r="W70" s="29" t="str">
        <f ca="1">IF(Tabela4[[#This Row],[Cabo]]&lt;&gt;"",(COUNTIF(Tabela4[[#This Row],[Teste de Continuidade]:[Hipot]],"OK"))/(4-COUNTIF(Tabela4[[#This Row],[Teste de Continuidade]:[Hipot]],"---")),"")</f>
        <v/>
      </c>
      <c r="X70" s="23" t="str">
        <f ca="1">IF(Tabela4[[#This Row],[Cabo]]&lt;&gt;"",SUMIFS('Lançamento de Cabos'!$AF:$AF,'Lançamento de Cabos'!AE:AE,Tabela4[[#This Row],[Cabo]],'Lançamento de Cabos'!AJ:AJ,Área!$B$1),"")</f>
        <v/>
      </c>
      <c r="Y70" s="23" t="str">
        <f ca="1">IF(Tabela4[[#This Row],[Cabo]]&lt;&gt;"",SUMIFS('Lançamento de Cabos'!$AG:$AG,'Lançamento de Cabos'!AE:AE,Tabela4[[#This Row],[Cabo]],'Lançamento de Cabos'!AJ:AJ,Área!$B$1),"")</f>
        <v/>
      </c>
      <c r="Z70" s="23" t="e">
        <f ca="1">VLOOKUP(Tabela4[[#This Row],[Cabo]],BD!A:AB,28,0)</f>
        <v>#N/A</v>
      </c>
    </row>
    <row r="71" spans="3:26" x14ac:dyDescent="0.25">
      <c r="C71" s="391" t="str">
        <f ca="1">IF($B$1="Geral",Tabela1[[#This Row],[Tag do Cabo]],IFERROR(INDEX(INDIRECT("BD!$A"&amp;D71&amp;":$A100000"),E71,1),""))</f>
        <v/>
      </c>
      <c r="D71" s="391" t="str">
        <f t="shared" ca="1" si="4"/>
        <v/>
      </c>
      <c r="E71" s="391" t="str">
        <f t="shared" ca="1" si="3"/>
        <v/>
      </c>
      <c r="F71" s="391" t="str">
        <f ca="1">IFERROR(VLOOKUP(Tabela4[[#This Row],[Cabo]],BD!A:V,2,0),"")</f>
        <v/>
      </c>
      <c r="G71" s="22" t="str">
        <f ca="1">IFERROR(VLOOKUP(Tabela4[[#This Row],[Cabo]],BD!A:V,5,0),"")</f>
        <v/>
      </c>
      <c r="H71" s="391" t="str">
        <f ca="1">IFERROR(VLOOKUP(Tabela4[[#This Row],[Cabo]],BD!A:V,3,0),"")</f>
        <v/>
      </c>
      <c r="I71" s="391" t="str">
        <f ca="1">IFERROR(VLOOKUP(Tabela4[[#This Row],[Cabo]],BD!A:V,4,0),"")</f>
        <v/>
      </c>
      <c r="J71" s="391" t="str">
        <f ca="1">IFERROR(VLOOKUP(Tabela4[[#This Row],[Cabo]],BD!A:V,7,0),"")</f>
        <v/>
      </c>
      <c r="K7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1" s="23" t="str">
        <f ca="1">IFERROR(VLOOKUP(Tabela4[[#This Row],[Cabo]],BD!A:V,9,0),"")</f>
        <v/>
      </c>
      <c r="M71" s="23" t="str">
        <f ca="1">IFERROR(VLOOKUP(Tabela4[[#This Row],[Cabo]],BD!A:AD,30,0),"")</f>
        <v/>
      </c>
      <c r="N71" s="23" t="str">
        <f ca="1">IF(SUMIF('Lançamento de Cabos'!B:B,Tabela4[[#This Row],[Cabo]],'Lançamento de Cabos'!C:C)=0,"",SUMIF('Lançamento de Cabos'!B:B,Tabela4[[#This Row],[Cabo]],'Lançamento de Cabos'!C:C))</f>
        <v/>
      </c>
      <c r="O71" s="28" t="str">
        <f ca="1">IFERROR(IF(Tabela4[[#This Row],[Compr. Lançado]]/Tabela4[[#This Row],[Compr. Prev.]]&gt;1,1,Tabela4[[#This Row],[Compr. Lançado]]/Tabela4[[#This Row],[Compr. Prev.]]),"")</f>
        <v/>
      </c>
      <c r="P71" s="24" t="str">
        <f ca="1">IFERROR(VLOOKUP(Tabela4[[#This Row],[Cabo]],BD!A:V,11,0),"")</f>
        <v/>
      </c>
      <c r="Q71" s="24" t="str">
        <f ca="1">IFERROR(VLOOKUP(Tabela4[[#This Row],[Cabo]],BD!A:V,12,0),"")</f>
        <v/>
      </c>
      <c r="R71" s="23" t="str">
        <f ca="1">IF(Tabela4[[#This Row],[Cabo]]&lt;&gt;"",IFERROR(VLOOKUP(Tabela4[[#This Row],[Cabo]]&amp;"-1",'Lançamento de Cabos'!$S:$T,2,0),IF(VLOOKUP(Tabela4[[#This Row],[Cabo]],BD!A:V,13,0)="---","---","")),"")</f>
        <v/>
      </c>
      <c r="S71" s="23" t="str">
        <f ca="1">IF(Tabela4[[#This Row],[Cabo]]&lt;&gt;"",IFERROR(VLOOKUP(Tabela4[[#This Row],[Cabo]]&amp;"-2",'Lançamento de Cabos'!$S:$T,2,0),IF(VLOOKUP(Tabela4[[#This Row],[Cabo]],BD!A:V,14,0)="---","---","")),"")</f>
        <v/>
      </c>
      <c r="T71" s="23" t="str">
        <f ca="1">IF(Tabela4[[#This Row],[Cabo]]&lt;&gt;"",IFERROR(VLOOKUP(Tabela4[[#This Row],[Cabo]]&amp;"-3",'Lançamento de Cabos'!$S:$T,2,0),IF(VLOOKUP(Tabela4[[#This Row],[Cabo]],BD!A:V,15,0)="---","---","")),"")</f>
        <v/>
      </c>
      <c r="U71" s="23" t="str">
        <f ca="1">IF(Tabela4[[#This Row],[Cabo]]&lt;&gt;"",IFERROR(VLOOKUP(Tabela4[[#This Row],[Cabo]]&amp;"-4",'Lançamento de Cabos'!$S:$T,2,0),IF(VLOOKUP(Tabela4[[#This Row],[Cabo]],BD!A:V,16,0)="---","---","")),"")</f>
        <v/>
      </c>
      <c r="V71" s="23" t="str">
        <f ca="1">IF(Tabela4[[#This Row],[Cabo]]&lt;&gt;"",4-COUNTIF(Tabela4[[#This Row],[Teste de Continuidade]:[Hipot]],"---"),"")</f>
        <v/>
      </c>
      <c r="W71" s="29" t="str">
        <f ca="1">IF(Tabela4[[#This Row],[Cabo]]&lt;&gt;"",(COUNTIF(Tabela4[[#This Row],[Teste de Continuidade]:[Hipot]],"OK"))/(4-COUNTIF(Tabela4[[#This Row],[Teste de Continuidade]:[Hipot]],"---")),"")</f>
        <v/>
      </c>
      <c r="X71" s="23" t="str">
        <f ca="1">IF(Tabela4[[#This Row],[Cabo]]&lt;&gt;"",SUMIFS('Lançamento de Cabos'!$AF:$AF,'Lançamento de Cabos'!AE:AE,Tabela4[[#This Row],[Cabo]],'Lançamento de Cabos'!AJ:AJ,Área!$B$1),"")</f>
        <v/>
      </c>
      <c r="Y71" s="23" t="str">
        <f ca="1">IF(Tabela4[[#This Row],[Cabo]]&lt;&gt;"",SUMIFS('Lançamento de Cabos'!$AG:$AG,'Lançamento de Cabos'!AE:AE,Tabela4[[#This Row],[Cabo]],'Lançamento de Cabos'!AJ:AJ,Área!$B$1),"")</f>
        <v/>
      </c>
      <c r="Z71" s="23" t="e">
        <f ca="1">VLOOKUP(Tabela4[[#This Row],[Cabo]],BD!A:AB,28,0)</f>
        <v>#N/A</v>
      </c>
    </row>
    <row r="72" spans="3:26" x14ac:dyDescent="0.25">
      <c r="C72" s="391" t="str">
        <f ca="1">IF($B$1="Geral",Tabela1[[#This Row],[Tag do Cabo]],IFERROR(INDEX(INDIRECT("BD!$A"&amp;D72&amp;":$A100000"),E72,1),""))</f>
        <v/>
      </c>
      <c r="D72" s="391" t="str">
        <f t="shared" ca="1" si="4"/>
        <v/>
      </c>
      <c r="E72" s="391" t="str">
        <f t="shared" ca="1" si="3"/>
        <v/>
      </c>
      <c r="F72" s="391" t="str">
        <f ca="1">IFERROR(VLOOKUP(Tabela4[[#This Row],[Cabo]],BD!A:V,2,0),"")</f>
        <v/>
      </c>
      <c r="G72" s="22" t="str">
        <f ca="1">IFERROR(VLOOKUP(Tabela4[[#This Row],[Cabo]],BD!A:V,5,0),"")</f>
        <v/>
      </c>
      <c r="H72" s="391" t="str">
        <f ca="1">IFERROR(VLOOKUP(Tabela4[[#This Row],[Cabo]],BD!A:V,3,0),"")</f>
        <v/>
      </c>
      <c r="I72" s="391" t="str">
        <f ca="1">IFERROR(VLOOKUP(Tabela4[[#This Row],[Cabo]],BD!A:V,4,0),"")</f>
        <v/>
      </c>
      <c r="J72" s="391" t="str">
        <f ca="1">IFERROR(VLOOKUP(Tabela4[[#This Row],[Cabo]],BD!A:V,7,0),"")</f>
        <v/>
      </c>
      <c r="K7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2" s="23" t="str">
        <f ca="1">IFERROR(VLOOKUP(Tabela4[[#This Row],[Cabo]],BD!A:V,9,0),"")</f>
        <v/>
      </c>
      <c r="M72" s="23" t="str">
        <f ca="1">IFERROR(VLOOKUP(Tabela4[[#This Row],[Cabo]],BD!A:AD,30,0),"")</f>
        <v/>
      </c>
      <c r="N72" s="23" t="str">
        <f ca="1">IF(SUMIF('Lançamento de Cabos'!B:B,Tabela4[[#This Row],[Cabo]],'Lançamento de Cabos'!C:C)=0,"",SUMIF('Lançamento de Cabos'!B:B,Tabela4[[#This Row],[Cabo]],'Lançamento de Cabos'!C:C))</f>
        <v/>
      </c>
      <c r="O72" s="28" t="str">
        <f ca="1">IFERROR(IF(Tabela4[[#This Row],[Compr. Lançado]]/Tabela4[[#This Row],[Compr. Prev.]]&gt;1,1,Tabela4[[#This Row],[Compr. Lançado]]/Tabela4[[#This Row],[Compr. Prev.]]),"")</f>
        <v/>
      </c>
      <c r="P72" s="24" t="str">
        <f ca="1">IFERROR(VLOOKUP(Tabela4[[#This Row],[Cabo]],BD!A:V,11,0),"")</f>
        <v/>
      </c>
      <c r="Q72" s="24" t="str">
        <f ca="1">IFERROR(VLOOKUP(Tabela4[[#This Row],[Cabo]],BD!A:V,12,0),"")</f>
        <v/>
      </c>
      <c r="R72" s="23" t="str">
        <f ca="1">IF(Tabela4[[#This Row],[Cabo]]&lt;&gt;"",IFERROR(VLOOKUP(Tabela4[[#This Row],[Cabo]]&amp;"-1",'Lançamento de Cabos'!$S:$T,2,0),IF(VLOOKUP(Tabela4[[#This Row],[Cabo]],BD!A:V,13,0)="---","---","")),"")</f>
        <v/>
      </c>
      <c r="S72" s="23" t="str">
        <f ca="1">IF(Tabela4[[#This Row],[Cabo]]&lt;&gt;"",IFERROR(VLOOKUP(Tabela4[[#This Row],[Cabo]]&amp;"-2",'Lançamento de Cabos'!$S:$T,2,0),IF(VLOOKUP(Tabela4[[#This Row],[Cabo]],BD!A:V,14,0)="---","---","")),"")</f>
        <v/>
      </c>
      <c r="T72" s="23" t="str">
        <f ca="1">IF(Tabela4[[#This Row],[Cabo]]&lt;&gt;"",IFERROR(VLOOKUP(Tabela4[[#This Row],[Cabo]]&amp;"-3",'Lançamento de Cabos'!$S:$T,2,0),IF(VLOOKUP(Tabela4[[#This Row],[Cabo]],BD!A:V,15,0)="---","---","")),"")</f>
        <v/>
      </c>
      <c r="U72" s="23" t="str">
        <f ca="1">IF(Tabela4[[#This Row],[Cabo]]&lt;&gt;"",IFERROR(VLOOKUP(Tabela4[[#This Row],[Cabo]]&amp;"-4",'Lançamento de Cabos'!$S:$T,2,0),IF(VLOOKUP(Tabela4[[#This Row],[Cabo]],BD!A:V,16,0)="---","---","")),"")</f>
        <v/>
      </c>
      <c r="V72" s="23" t="str">
        <f ca="1">IF(Tabela4[[#This Row],[Cabo]]&lt;&gt;"",4-COUNTIF(Tabela4[[#This Row],[Teste de Continuidade]:[Hipot]],"---"),"")</f>
        <v/>
      </c>
      <c r="W72" s="29" t="str">
        <f ca="1">IF(Tabela4[[#This Row],[Cabo]]&lt;&gt;"",(COUNTIF(Tabela4[[#This Row],[Teste de Continuidade]:[Hipot]],"OK"))/(4-COUNTIF(Tabela4[[#This Row],[Teste de Continuidade]:[Hipot]],"---")),"")</f>
        <v/>
      </c>
      <c r="X72" s="23" t="str">
        <f ca="1">IF(Tabela4[[#This Row],[Cabo]]&lt;&gt;"",SUMIFS('Lançamento de Cabos'!$AF:$AF,'Lançamento de Cabos'!AE:AE,Tabela4[[#This Row],[Cabo]],'Lançamento de Cabos'!AJ:AJ,Área!$B$1),"")</f>
        <v/>
      </c>
      <c r="Y72" s="23" t="str">
        <f ca="1">IF(Tabela4[[#This Row],[Cabo]]&lt;&gt;"",SUMIFS('Lançamento de Cabos'!$AG:$AG,'Lançamento de Cabos'!AE:AE,Tabela4[[#This Row],[Cabo]],'Lançamento de Cabos'!AJ:AJ,Área!$B$1),"")</f>
        <v/>
      </c>
      <c r="Z72" s="23" t="e">
        <f ca="1">VLOOKUP(Tabela4[[#This Row],[Cabo]],BD!A:AB,28,0)</f>
        <v>#N/A</v>
      </c>
    </row>
    <row r="73" spans="3:26" x14ac:dyDescent="0.25">
      <c r="C73" s="391" t="str">
        <f ca="1">IF($B$1="Geral",Tabela1[[#This Row],[Tag do Cabo]],IFERROR(INDEX(INDIRECT("BD!$A"&amp;D73&amp;":$A100000"),E73,1),""))</f>
        <v/>
      </c>
      <c r="D73" s="391" t="str">
        <f t="shared" ca="1" si="4"/>
        <v/>
      </c>
      <c r="E73" s="391" t="str">
        <f t="shared" ca="1" si="3"/>
        <v/>
      </c>
      <c r="F73" s="391" t="str">
        <f ca="1">IFERROR(VLOOKUP(Tabela4[[#This Row],[Cabo]],BD!A:V,2,0),"")</f>
        <v/>
      </c>
      <c r="G73" s="22" t="str">
        <f ca="1">IFERROR(VLOOKUP(Tabela4[[#This Row],[Cabo]],BD!A:V,5,0),"")</f>
        <v/>
      </c>
      <c r="H73" s="391" t="str">
        <f ca="1">IFERROR(VLOOKUP(Tabela4[[#This Row],[Cabo]],BD!A:V,3,0),"")</f>
        <v/>
      </c>
      <c r="I73" s="391" t="str">
        <f ca="1">IFERROR(VLOOKUP(Tabela4[[#This Row],[Cabo]],BD!A:V,4,0),"")</f>
        <v/>
      </c>
      <c r="J73" s="391" t="str">
        <f ca="1">IFERROR(VLOOKUP(Tabela4[[#This Row],[Cabo]],BD!A:V,7,0),"")</f>
        <v/>
      </c>
      <c r="K7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3" s="23" t="str">
        <f ca="1">IFERROR(VLOOKUP(Tabela4[[#This Row],[Cabo]],BD!A:V,9,0),"")</f>
        <v/>
      </c>
      <c r="M73" s="23" t="str">
        <f ca="1">IFERROR(VLOOKUP(Tabela4[[#This Row],[Cabo]],BD!A:AD,30,0),"")</f>
        <v/>
      </c>
      <c r="N73" s="23" t="str">
        <f ca="1">IF(SUMIF('Lançamento de Cabos'!B:B,Tabela4[[#This Row],[Cabo]],'Lançamento de Cabos'!C:C)=0,"",SUMIF('Lançamento de Cabos'!B:B,Tabela4[[#This Row],[Cabo]],'Lançamento de Cabos'!C:C))</f>
        <v/>
      </c>
      <c r="O73" s="28" t="str">
        <f ca="1">IFERROR(IF(Tabela4[[#This Row],[Compr. Lançado]]/Tabela4[[#This Row],[Compr. Prev.]]&gt;1,1,Tabela4[[#This Row],[Compr. Lançado]]/Tabela4[[#This Row],[Compr. Prev.]]),"")</f>
        <v/>
      </c>
      <c r="P73" s="24" t="str">
        <f ca="1">IFERROR(VLOOKUP(Tabela4[[#This Row],[Cabo]],BD!A:V,11,0),"")</f>
        <v/>
      </c>
      <c r="Q73" s="24" t="str">
        <f ca="1">IFERROR(VLOOKUP(Tabela4[[#This Row],[Cabo]],BD!A:V,12,0),"")</f>
        <v/>
      </c>
      <c r="R73" s="23" t="str">
        <f ca="1">IF(Tabela4[[#This Row],[Cabo]]&lt;&gt;"",IFERROR(VLOOKUP(Tabela4[[#This Row],[Cabo]]&amp;"-1",'Lançamento de Cabos'!$S:$T,2,0),IF(VLOOKUP(Tabela4[[#This Row],[Cabo]],BD!A:V,13,0)="---","---","")),"")</f>
        <v/>
      </c>
      <c r="S73" s="23" t="str">
        <f ca="1">IF(Tabela4[[#This Row],[Cabo]]&lt;&gt;"",IFERROR(VLOOKUP(Tabela4[[#This Row],[Cabo]]&amp;"-2",'Lançamento de Cabos'!$S:$T,2,0),IF(VLOOKUP(Tabela4[[#This Row],[Cabo]],BD!A:V,14,0)="---","---","")),"")</f>
        <v/>
      </c>
      <c r="T73" s="23" t="str">
        <f ca="1">IF(Tabela4[[#This Row],[Cabo]]&lt;&gt;"",IFERROR(VLOOKUP(Tabela4[[#This Row],[Cabo]]&amp;"-3",'Lançamento de Cabos'!$S:$T,2,0),IF(VLOOKUP(Tabela4[[#This Row],[Cabo]],BD!A:V,15,0)="---","---","")),"")</f>
        <v/>
      </c>
      <c r="U73" s="23" t="str">
        <f ca="1">IF(Tabela4[[#This Row],[Cabo]]&lt;&gt;"",IFERROR(VLOOKUP(Tabela4[[#This Row],[Cabo]]&amp;"-4",'Lançamento de Cabos'!$S:$T,2,0),IF(VLOOKUP(Tabela4[[#This Row],[Cabo]],BD!A:V,16,0)="---","---","")),"")</f>
        <v/>
      </c>
      <c r="V73" s="23" t="str">
        <f ca="1">IF(Tabela4[[#This Row],[Cabo]]&lt;&gt;"",4-COUNTIF(Tabela4[[#This Row],[Teste de Continuidade]:[Hipot]],"---"),"")</f>
        <v/>
      </c>
      <c r="W73" s="29" t="str">
        <f ca="1">IF(Tabela4[[#This Row],[Cabo]]&lt;&gt;"",(COUNTIF(Tabela4[[#This Row],[Teste de Continuidade]:[Hipot]],"OK"))/(4-COUNTIF(Tabela4[[#This Row],[Teste de Continuidade]:[Hipot]],"---")),"")</f>
        <v/>
      </c>
      <c r="X73" s="23" t="str">
        <f ca="1">IF(Tabela4[[#This Row],[Cabo]]&lt;&gt;"",SUMIFS('Lançamento de Cabos'!$AF:$AF,'Lançamento de Cabos'!AE:AE,Tabela4[[#This Row],[Cabo]],'Lançamento de Cabos'!AJ:AJ,Área!$B$1),"")</f>
        <v/>
      </c>
      <c r="Y73" s="23" t="str">
        <f ca="1">IF(Tabela4[[#This Row],[Cabo]]&lt;&gt;"",SUMIFS('Lançamento de Cabos'!$AG:$AG,'Lançamento de Cabos'!AE:AE,Tabela4[[#This Row],[Cabo]],'Lançamento de Cabos'!AJ:AJ,Área!$B$1),"")</f>
        <v/>
      </c>
      <c r="Z73" s="23" t="e">
        <f ca="1">VLOOKUP(Tabela4[[#This Row],[Cabo]],BD!A:AB,28,0)</f>
        <v>#N/A</v>
      </c>
    </row>
    <row r="74" spans="3:26" x14ac:dyDescent="0.25">
      <c r="C74" s="391" t="str">
        <f ca="1">IF($B$1="Geral",Tabela1[[#This Row],[Tag do Cabo]],IFERROR(INDEX(INDIRECT("BD!$A"&amp;D74&amp;":$A100000"),E74,1),""))</f>
        <v/>
      </c>
      <c r="D74" s="391" t="str">
        <f t="shared" ca="1" si="4"/>
        <v/>
      </c>
      <c r="E74" s="391" t="str">
        <f t="shared" ca="1" si="3"/>
        <v/>
      </c>
      <c r="F74" s="391" t="str">
        <f ca="1">IFERROR(VLOOKUP(Tabela4[[#This Row],[Cabo]],BD!A:V,2,0),"")</f>
        <v/>
      </c>
      <c r="G74" s="22" t="str">
        <f ca="1">IFERROR(VLOOKUP(Tabela4[[#This Row],[Cabo]],BD!A:V,5,0),"")</f>
        <v/>
      </c>
      <c r="H74" s="391" t="str">
        <f ca="1">IFERROR(VLOOKUP(Tabela4[[#This Row],[Cabo]],BD!A:V,3,0),"")</f>
        <v/>
      </c>
      <c r="I74" s="391" t="str">
        <f ca="1">IFERROR(VLOOKUP(Tabela4[[#This Row],[Cabo]],BD!A:V,4,0),"")</f>
        <v/>
      </c>
      <c r="J74" s="391" t="str">
        <f ca="1">IFERROR(VLOOKUP(Tabela4[[#This Row],[Cabo]],BD!A:V,7,0),"")</f>
        <v/>
      </c>
      <c r="K7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4" s="23" t="str">
        <f ca="1">IFERROR(VLOOKUP(Tabela4[[#This Row],[Cabo]],BD!A:V,9,0),"")</f>
        <v/>
      </c>
      <c r="M74" s="23" t="str">
        <f ca="1">IFERROR(VLOOKUP(Tabela4[[#This Row],[Cabo]],BD!A:AD,30,0),"")</f>
        <v/>
      </c>
      <c r="N74" s="23" t="str">
        <f ca="1">IF(SUMIF('Lançamento de Cabos'!B:B,Tabela4[[#This Row],[Cabo]],'Lançamento de Cabos'!C:C)=0,"",SUMIF('Lançamento de Cabos'!B:B,Tabela4[[#This Row],[Cabo]],'Lançamento de Cabos'!C:C))</f>
        <v/>
      </c>
      <c r="O74" s="28" t="str">
        <f ca="1">IFERROR(IF(Tabela4[[#This Row],[Compr. Lançado]]/Tabela4[[#This Row],[Compr. Prev.]]&gt;1,1,Tabela4[[#This Row],[Compr. Lançado]]/Tabela4[[#This Row],[Compr. Prev.]]),"")</f>
        <v/>
      </c>
      <c r="P74" s="24" t="str">
        <f ca="1">IFERROR(VLOOKUP(Tabela4[[#This Row],[Cabo]],BD!A:V,11,0),"")</f>
        <v/>
      </c>
      <c r="Q74" s="24" t="str">
        <f ca="1">IFERROR(VLOOKUP(Tabela4[[#This Row],[Cabo]],BD!A:V,12,0),"")</f>
        <v/>
      </c>
      <c r="R74" s="23" t="str">
        <f ca="1">IF(Tabela4[[#This Row],[Cabo]]&lt;&gt;"",IFERROR(VLOOKUP(Tabela4[[#This Row],[Cabo]]&amp;"-1",'Lançamento de Cabos'!$S:$T,2,0),IF(VLOOKUP(Tabela4[[#This Row],[Cabo]],BD!A:V,13,0)="---","---","")),"")</f>
        <v/>
      </c>
      <c r="S74" s="23" t="str">
        <f ca="1">IF(Tabela4[[#This Row],[Cabo]]&lt;&gt;"",IFERROR(VLOOKUP(Tabela4[[#This Row],[Cabo]]&amp;"-2",'Lançamento de Cabos'!$S:$T,2,0),IF(VLOOKUP(Tabela4[[#This Row],[Cabo]],BD!A:V,14,0)="---","---","")),"")</f>
        <v/>
      </c>
      <c r="T74" s="23" t="str">
        <f ca="1">IF(Tabela4[[#This Row],[Cabo]]&lt;&gt;"",IFERROR(VLOOKUP(Tabela4[[#This Row],[Cabo]]&amp;"-3",'Lançamento de Cabos'!$S:$T,2,0),IF(VLOOKUP(Tabela4[[#This Row],[Cabo]],BD!A:V,15,0)="---","---","")),"")</f>
        <v/>
      </c>
      <c r="U74" s="23" t="str">
        <f ca="1">IF(Tabela4[[#This Row],[Cabo]]&lt;&gt;"",IFERROR(VLOOKUP(Tabela4[[#This Row],[Cabo]]&amp;"-4",'Lançamento de Cabos'!$S:$T,2,0),IF(VLOOKUP(Tabela4[[#This Row],[Cabo]],BD!A:V,16,0)="---","---","")),"")</f>
        <v/>
      </c>
      <c r="V74" s="23" t="str">
        <f ca="1">IF(Tabela4[[#This Row],[Cabo]]&lt;&gt;"",4-COUNTIF(Tabela4[[#This Row],[Teste de Continuidade]:[Hipot]],"---"),"")</f>
        <v/>
      </c>
      <c r="W74" s="29" t="str">
        <f ca="1">IF(Tabela4[[#This Row],[Cabo]]&lt;&gt;"",(COUNTIF(Tabela4[[#This Row],[Teste de Continuidade]:[Hipot]],"OK"))/(4-COUNTIF(Tabela4[[#This Row],[Teste de Continuidade]:[Hipot]],"---")),"")</f>
        <v/>
      </c>
      <c r="X74" s="23" t="str">
        <f ca="1">IF(Tabela4[[#This Row],[Cabo]]&lt;&gt;"",SUMIFS('Lançamento de Cabos'!$AF:$AF,'Lançamento de Cabos'!AE:AE,Tabela4[[#This Row],[Cabo]],'Lançamento de Cabos'!AJ:AJ,Área!$B$1),"")</f>
        <v/>
      </c>
      <c r="Y74" s="23" t="str">
        <f ca="1">IF(Tabela4[[#This Row],[Cabo]]&lt;&gt;"",SUMIFS('Lançamento de Cabos'!$AG:$AG,'Lançamento de Cabos'!AE:AE,Tabela4[[#This Row],[Cabo]],'Lançamento de Cabos'!AJ:AJ,Área!$B$1),"")</f>
        <v/>
      </c>
      <c r="Z74" s="23" t="e">
        <f ca="1">VLOOKUP(Tabela4[[#This Row],[Cabo]],BD!A:AB,28,0)</f>
        <v>#N/A</v>
      </c>
    </row>
    <row r="75" spans="3:26" x14ac:dyDescent="0.25">
      <c r="C75" s="391" t="str">
        <f ca="1">IF($B$1="Geral",Tabela1[[#This Row],[Tag do Cabo]],IFERROR(INDEX(INDIRECT("BD!$A"&amp;D75&amp;":$A100000"),E75,1),""))</f>
        <v/>
      </c>
      <c r="D75" s="391" t="str">
        <f t="shared" ca="1" si="4"/>
        <v/>
      </c>
      <c r="E75" s="391" t="str">
        <f t="shared" ca="1" si="3"/>
        <v/>
      </c>
      <c r="F75" s="391" t="str">
        <f ca="1">IFERROR(VLOOKUP(Tabela4[[#This Row],[Cabo]],BD!A:V,2,0),"")</f>
        <v/>
      </c>
      <c r="G75" s="22" t="str">
        <f ca="1">IFERROR(VLOOKUP(Tabela4[[#This Row],[Cabo]],BD!A:V,5,0),"")</f>
        <v/>
      </c>
      <c r="H75" s="391" t="str">
        <f ca="1">IFERROR(VLOOKUP(Tabela4[[#This Row],[Cabo]],BD!A:V,3,0),"")</f>
        <v/>
      </c>
      <c r="I75" s="391" t="str">
        <f ca="1">IFERROR(VLOOKUP(Tabela4[[#This Row],[Cabo]],BD!A:V,4,0),"")</f>
        <v/>
      </c>
      <c r="J75" s="391" t="str">
        <f ca="1">IFERROR(VLOOKUP(Tabela4[[#This Row],[Cabo]],BD!A:V,7,0),"")</f>
        <v/>
      </c>
      <c r="K7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5" s="23" t="str">
        <f ca="1">IFERROR(VLOOKUP(Tabela4[[#This Row],[Cabo]],BD!A:V,9,0),"")</f>
        <v/>
      </c>
      <c r="M75" s="23" t="str">
        <f ca="1">IFERROR(VLOOKUP(Tabela4[[#This Row],[Cabo]],BD!A:AD,30,0),"")</f>
        <v/>
      </c>
      <c r="N75" s="23" t="str">
        <f ca="1">IF(SUMIF('Lançamento de Cabos'!B:B,Tabela4[[#This Row],[Cabo]],'Lançamento de Cabos'!C:C)=0,"",SUMIF('Lançamento de Cabos'!B:B,Tabela4[[#This Row],[Cabo]],'Lançamento de Cabos'!C:C))</f>
        <v/>
      </c>
      <c r="O75" s="28" t="str">
        <f ca="1">IFERROR(IF(Tabela4[[#This Row],[Compr. Lançado]]/Tabela4[[#This Row],[Compr. Prev.]]&gt;1,1,Tabela4[[#This Row],[Compr. Lançado]]/Tabela4[[#This Row],[Compr. Prev.]]),"")</f>
        <v/>
      </c>
      <c r="P75" s="24" t="str">
        <f ca="1">IFERROR(VLOOKUP(Tabela4[[#This Row],[Cabo]],BD!A:V,11,0),"")</f>
        <v/>
      </c>
      <c r="Q75" s="24" t="str">
        <f ca="1">IFERROR(VLOOKUP(Tabela4[[#This Row],[Cabo]],BD!A:V,12,0),"")</f>
        <v/>
      </c>
      <c r="R75" s="23" t="str">
        <f ca="1">IF(Tabela4[[#This Row],[Cabo]]&lt;&gt;"",IFERROR(VLOOKUP(Tabela4[[#This Row],[Cabo]]&amp;"-1",'Lançamento de Cabos'!$S:$T,2,0),IF(VLOOKUP(Tabela4[[#This Row],[Cabo]],BD!A:V,13,0)="---","---","")),"")</f>
        <v/>
      </c>
      <c r="S75" s="23" t="str">
        <f ca="1">IF(Tabela4[[#This Row],[Cabo]]&lt;&gt;"",IFERROR(VLOOKUP(Tabela4[[#This Row],[Cabo]]&amp;"-2",'Lançamento de Cabos'!$S:$T,2,0),IF(VLOOKUP(Tabela4[[#This Row],[Cabo]],BD!A:V,14,0)="---","---","")),"")</f>
        <v/>
      </c>
      <c r="T75" s="23" t="str">
        <f ca="1">IF(Tabela4[[#This Row],[Cabo]]&lt;&gt;"",IFERROR(VLOOKUP(Tabela4[[#This Row],[Cabo]]&amp;"-3",'Lançamento de Cabos'!$S:$T,2,0),IF(VLOOKUP(Tabela4[[#This Row],[Cabo]],BD!A:V,15,0)="---","---","")),"")</f>
        <v/>
      </c>
      <c r="U75" s="23" t="str">
        <f ca="1">IF(Tabela4[[#This Row],[Cabo]]&lt;&gt;"",IFERROR(VLOOKUP(Tabela4[[#This Row],[Cabo]]&amp;"-4",'Lançamento de Cabos'!$S:$T,2,0),IF(VLOOKUP(Tabela4[[#This Row],[Cabo]],BD!A:V,16,0)="---","---","")),"")</f>
        <v/>
      </c>
      <c r="V75" s="23" t="str">
        <f ca="1">IF(Tabela4[[#This Row],[Cabo]]&lt;&gt;"",4-COUNTIF(Tabela4[[#This Row],[Teste de Continuidade]:[Hipot]],"---"),"")</f>
        <v/>
      </c>
      <c r="W75" s="29" t="str">
        <f ca="1">IF(Tabela4[[#This Row],[Cabo]]&lt;&gt;"",(COUNTIF(Tabela4[[#This Row],[Teste de Continuidade]:[Hipot]],"OK"))/(4-COUNTIF(Tabela4[[#This Row],[Teste de Continuidade]:[Hipot]],"---")),"")</f>
        <v/>
      </c>
      <c r="X75" s="23" t="str">
        <f ca="1">IF(Tabela4[[#This Row],[Cabo]]&lt;&gt;"",SUMIFS('Lançamento de Cabos'!$AF:$AF,'Lançamento de Cabos'!AE:AE,Tabela4[[#This Row],[Cabo]],'Lançamento de Cabos'!AJ:AJ,Área!$B$1),"")</f>
        <v/>
      </c>
      <c r="Y75" s="23" t="str">
        <f ca="1">IF(Tabela4[[#This Row],[Cabo]]&lt;&gt;"",SUMIFS('Lançamento de Cabos'!$AG:$AG,'Lançamento de Cabos'!AE:AE,Tabela4[[#This Row],[Cabo]],'Lançamento de Cabos'!AJ:AJ,Área!$B$1),"")</f>
        <v/>
      </c>
      <c r="Z75" s="23" t="e">
        <f ca="1">VLOOKUP(Tabela4[[#This Row],[Cabo]],BD!A:AB,28,0)</f>
        <v>#N/A</v>
      </c>
    </row>
    <row r="76" spans="3:26" x14ac:dyDescent="0.25">
      <c r="C76" s="391" t="str">
        <f ca="1">IF($B$1="Geral",Tabela1[[#This Row],[Tag do Cabo]],IFERROR(INDEX(INDIRECT("BD!$A"&amp;D76&amp;":$A100000"),E76,1),""))</f>
        <v/>
      </c>
      <c r="D76" s="391" t="str">
        <f t="shared" ca="1" si="4"/>
        <v/>
      </c>
      <c r="E76" s="391" t="str">
        <f t="shared" ca="1" si="3"/>
        <v/>
      </c>
      <c r="F76" s="391" t="str">
        <f ca="1">IFERROR(VLOOKUP(Tabela4[[#This Row],[Cabo]],BD!A:V,2,0),"")</f>
        <v/>
      </c>
      <c r="G76" s="22" t="str">
        <f ca="1">IFERROR(VLOOKUP(Tabela4[[#This Row],[Cabo]],BD!A:V,5,0),"")</f>
        <v/>
      </c>
      <c r="H76" s="391" t="str">
        <f ca="1">IFERROR(VLOOKUP(Tabela4[[#This Row],[Cabo]],BD!A:V,3,0),"")</f>
        <v/>
      </c>
      <c r="I76" s="391" t="str">
        <f ca="1">IFERROR(VLOOKUP(Tabela4[[#This Row],[Cabo]],BD!A:V,4,0),"")</f>
        <v/>
      </c>
      <c r="J76" s="391" t="str">
        <f ca="1">IFERROR(VLOOKUP(Tabela4[[#This Row],[Cabo]],BD!A:V,7,0),"")</f>
        <v/>
      </c>
      <c r="K7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6" s="23" t="str">
        <f ca="1">IFERROR(VLOOKUP(Tabela4[[#This Row],[Cabo]],BD!A:V,9,0),"")</f>
        <v/>
      </c>
      <c r="M76" s="23" t="str">
        <f ca="1">IFERROR(VLOOKUP(Tabela4[[#This Row],[Cabo]],BD!A:AD,30,0),"")</f>
        <v/>
      </c>
      <c r="N76" s="23" t="str">
        <f ca="1">IF(SUMIF('Lançamento de Cabos'!B:B,Tabela4[[#This Row],[Cabo]],'Lançamento de Cabos'!C:C)=0,"",SUMIF('Lançamento de Cabos'!B:B,Tabela4[[#This Row],[Cabo]],'Lançamento de Cabos'!C:C))</f>
        <v/>
      </c>
      <c r="O76" s="28" t="str">
        <f ca="1">IFERROR(IF(Tabela4[[#This Row],[Compr. Lançado]]/Tabela4[[#This Row],[Compr. Prev.]]&gt;1,1,Tabela4[[#This Row],[Compr. Lançado]]/Tabela4[[#This Row],[Compr. Prev.]]),"")</f>
        <v/>
      </c>
      <c r="P76" s="24" t="str">
        <f ca="1">IFERROR(VLOOKUP(Tabela4[[#This Row],[Cabo]],BD!A:V,11,0),"")</f>
        <v/>
      </c>
      <c r="Q76" s="24" t="str">
        <f ca="1">IFERROR(VLOOKUP(Tabela4[[#This Row],[Cabo]],BD!A:V,12,0),"")</f>
        <v/>
      </c>
      <c r="R76" s="23" t="str">
        <f ca="1">IF(Tabela4[[#This Row],[Cabo]]&lt;&gt;"",IFERROR(VLOOKUP(Tabela4[[#This Row],[Cabo]]&amp;"-1",'Lançamento de Cabos'!$S:$T,2,0),IF(VLOOKUP(Tabela4[[#This Row],[Cabo]],BD!A:V,13,0)="---","---","")),"")</f>
        <v/>
      </c>
      <c r="S76" s="23" t="str">
        <f ca="1">IF(Tabela4[[#This Row],[Cabo]]&lt;&gt;"",IFERROR(VLOOKUP(Tabela4[[#This Row],[Cabo]]&amp;"-2",'Lançamento de Cabos'!$S:$T,2,0),IF(VLOOKUP(Tabela4[[#This Row],[Cabo]],BD!A:V,14,0)="---","---","")),"")</f>
        <v/>
      </c>
      <c r="T76" s="23" t="str">
        <f ca="1">IF(Tabela4[[#This Row],[Cabo]]&lt;&gt;"",IFERROR(VLOOKUP(Tabela4[[#This Row],[Cabo]]&amp;"-3",'Lançamento de Cabos'!$S:$T,2,0),IF(VLOOKUP(Tabela4[[#This Row],[Cabo]],BD!A:V,15,0)="---","---","")),"")</f>
        <v/>
      </c>
      <c r="U76" s="23" t="str">
        <f ca="1">IF(Tabela4[[#This Row],[Cabo]]&lt;&gt;"",IFERROR(VLOOKUP(Tabela4[[#This Row],[Cabo]]&amp;"-4",'Lançamento de Cabos'!$S:$T,2,0),IF(VLOOKUP(Tabela4[[#This Row],[Cabo]],BD!A:V,16,0)="---","---","")),"")</f>
        <v/>
      </c>
      <c r="V76" s="23" t="str">
        <f ca="1">IF(Tabela4[[#This Row],[Cabo]]&lt;&gt;"",4-COUNTIF(Tabela4[[#This Row],[Teste de Continuidade]:[Hipot]],"---"),"")</f>
        <v/>
      </c>
      <c r="W76" s="29" t="str">
        <f ca="1">IF(Tabela4[[#This Row],[Cabo]]&lt;&gt;"",(COUNTIF(Tabela4[[#This Row],[Teste de Continuidade]:[Hipot]],"OK"))/(4-COUNTIF(Tabela4[[#This Row],[Teste de Continuidade]:[Hipot]],"---")),"")</f>
        <v/>
      </c>
      <c r="X76" s="23" t="str">
        <f ca="1">IF(Tabela4[[#This Row],[Cabo]]&lt;&gt;"",SUMIFS('Lançamento de Cabos'!$AF:$AF,'Lançamento de Cabos'!AE:AE,Tabela4[[#This Row],[Cabo]],'Lançamento de Cabos'!AJ:AJ,Área!$B$1),"")</f>
        <v/>
      </c>
      <c r="Y76" s="23" t="str">
        <f ca="1">IF(Tabela4[[#This Row],[Cabo]]&lt;&gt;"",SUMIFS('Lançamento de Cabos'!$AG:$AG,'Lançamento de Cabos'!AE:AE,Tabela4[[#This Row],[Cabo]],'Lançamento de Cabos'!AJ:AJ,Área!$B$1),"")</f>
        <v/>
      </c>
      <c r="Z76" s="23" t="e">
        <f ca="1">VLOOKUP(Tabela4[[#This Row],[Cabo]],BD!A:AB,28,0)</f>
        <v>#N/A</v>
      </c>
    </row>
    <row r="77" spans="3:26" x14ac:dyDescent="0.25">
      <c r="C77" s="391" t="str">
        <f ca="1">IF($B$1="Geral",Tabela1[[#This Row],[Tag do Cabo]],IFERROR(INDEX(INDIRECT("BD!$A"&amp;D77&amp;":$A100000"),E77,1),""))</f>
        <v/>
      </c>
      <c r="D77" s="391" t="str">
        <f t="shared" ca="1" si="4"/>
        <v/>
      </c>
      <c r="E77" s="391" t="str">
        <f t="shared" ca="1" si="3"/>
        <v/>
      </c>
      <c r="F77" s="391" t="str">
        <f ca="1">IFERROR(VLOOKUP(Tabela4[[#This Row],[Cabo]],BD!A:V,2,0),"")</f>
        <v/>
      </c>
      <c r="G77" s="22" t="str">
        <f ca="1">IFERROR(VLOOKUP(Tabela4[[#This Row],[Cabo]],BD!A:V,5,0),"")</f>
        <v/>
      </c>
      <c r="H77" s="391" t="str">
        <f ca="1">IFERROR(VLOOKUP(Tabela4[[#This Row],[Cabo]],BD!A:V,3,0),"")</f>
        <v/>
      </c>
      <c r="I77" s="391" t="str">
        <f ca="1">IFERROR(VLOOKUP(Tabela4[[#This Row],[Cabo]],BD!A:V,4,0),"")</f>
        <v/>
      </c>
      <c r="J77" s="391" t="str">
        <f ca="1">IFERROR(VLOOKUP(Tabela4[[#This Row],[Cabo]],BD!A:V,7,0),"")</f>
        <v/>
      </c>
      <c r="K7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7" s="23" t="str">
        <f ca="1">IFERROR(VLOOKUP(Tabela4[[#This Row],[Cabo]],BD!A:V,9,0),"")</f>
        <v/>
      </c>
      <c r="M77" s="23" t="str">
        <f ca="1">IFERROR(VLOOKUP(Tabela4[[#This Row],[Cabo]],BD!A:AD,30,0),"")</f>
        <v/>
      </c>
      <c r="N77" s="23" t="str">
        <f ca="1">IF(SUMIF('Lançamento de Cabos'!B:B,Tabela4[[#This Row],[Cabo]],'Lançamento de Cabos'!C:C)=0,"",SUMIF('Lançamento de Cabos'!B:B,Tabela4[[#This Row],[Cabo]],'Lançamento de Cabos'!C:C))</f>
        <v/>
      </c>
      <c r="O77" s="28" t="str">
        <f ca="1">IFERROR(IF(Tabela4[[#This Row],[Compr. Lançado]]/Tabela4[[#This Row],[Compr. Prev.]]&gt;1,1,Tabela4[[#This Row],[Compr. Lançado]]/Tabela4[[#This Row],[Compr. Prev.]]),"")</f>
        <v/>
      </c>
      <c r="P77" s="24" t="str">
        <f ca="1">IFERROR(VLOOKUP(Tabela4[[#This Row],[Cabo]],BD!A:V,11,0),"")</f>
        <v/>
      </c>
      <c r="Q77" s="24" t="str">
        <f ca="1">IFERROR(VLOOKUP(Tabela4[[#This Row],[Cabo]],BD!A:V,12,0),"")</f>
        <v/>
      </c>
      <c r="R77" s="23" t="str">
        <f ca="1">IF(Tabela4[[#This Row],[Cabo]]&lt;&gt;"",IFERROR(VLOOKUP(Tabela4[[#This Row],[Cabo]]&amp;"-1",'Lançamento de Cabos'!$S:$T,2,0),IF(VLOOKUP(Tabela4[[#This Row],[Cabo]],BD!A:V,13,0)="---","---","")),"")</f>
        <v/>
      </c>
      <c r="S77" s="23" t="str">
        <f ca="1">IF(Tabela4[[#This Row],[Cabo]]&lt;&gt;"",IFERROR(VLOOKUP(Tabela4[[#This Row],[Cabo]]&amp;"-2",'Lançamento de Cabos'!$S:$T,2,0),IF(VLOOKUP(Tabela4[[#This Row],[Cabo]],BD!A:V,14,0)="---","---","")),"")</f>
        <v/>
      </c>
      <c r="T77" s="23" t="str">
        <f ca="1">IF(Tabela4[[#This Row],[Cabo]]&lt;&gt;"",IFERROR(VLOOKUP(Tabela4[[#This Row],[Cabo]]&amp;"-3",'Lançamento de Cabos'!$S:$T,2,0),IF(VLOOKUP(Tabela4[[#This Row],[Cabo]],BD!A:V,15,0)="---","---","")),"")</f>
        <v/>
      </c>
      <c r="U77" s="23" t="str">
        <f ca="1">IF(Tabela4[[#This Row],[Cabo]]&lt;&gt;"",IFERROR(VLOOKUP(Tabela4[[#This Row],[Cabo]]&amp;"-4",'Lançamento de Cabos'!$S:$T,2,0),IF(VLOOKUP(Tabela4[[#This Row],[Cabo]],BD!A:V,16,0)="---","---","")),"")</f>
        <v/>
      </c>
      <c r="V77" s="23" t="str">
        <f ca="1">IF(Tabela4[[#This Row],[Cabo]]&lt;&gt;"",4-COUNTIF(Tabela4[[#This Row],[Teste de Continuidade]:[Hipot]],"---"),"")</f>
        <v/>
      </c>
      <c r="W77" s="29" t="str">
        <f ca="1">IF(Tabela4[[#This Row],[Cabo]]&lt;&gt;"",(COUNTIF(Tabela4[[#This Row],[Teste de Continuidade]:[Hipot]],"OK"))/(4-COUNTIF(Tabela4[[#This Row],[Teste de Continuidade]:[Hipot]],"---")),"")</f>
        <v/>
      </c>
      <c r="X77" s="23" t="str">
        <f ca="1">IF(Tabela4[[#This Row],[Cabo]]&lt;&gt;"",SUMIFS('Lançamento de Cabos'!$AF:$AF,'Lançamento de Cabos'!AE:AE,Tabela4[[#This Row],[Cabo]],'Lançamento de Cabos'!AJ:AJ,Área!$B$1),"")</f>
        <v/>
      </c>
      <c r="Y77" s="23" t="str">
        <f ca="1">IF(Tabela4[[#This Row],[Cabo]]&lt;&gt;"",SUMIFS('Lançamento de Cabos'!$AG:$AG,'Lançamento de Cabos'!AE:AE,Tabela4[[#This Row],[Cabo]],'Lançamento de Cabos'!AJ:AJ,Área!$B$1),"")</f>
        <v/>
      </c>
      <c r="Z77" s="23" t="e">
        <f ca="1">VLOOKUP(Tabela4[[#This Row],[Cabo]],BD!A:AB,28,0)</f>
        <v>#N/A</v>
      </c>
    </row>
    <row r="78" spans="3:26" x14ac:dyDescent="0.25">
      <c r="C78" s="391" t="str">
        <f ca="1">IF($B$1="Geral",Tabela1[[#This Row],[Tag do Cabo]],IFERROR(INDEX(INDIRECT("BD!$A"&amp;D78&amp;":$A100000"),E78,1),""))</f>
        <v/>
      </c>
      <c r="D78" s="391" t="str">
        <f t="shared" ca="1" si="4"/>
        <v/>
      </c>
      <c r="E78" s="391" t="str">
        <f t="shared" ca="1" si="3"/>
        <v/>
      </c>
      <c r="F78" s="391" t="str">
        <f ca="1">IFERROR(VLOOKUP(Tabela4[[#This Row],[Cabo]],BD!A:V,2,0),"")</f>
        <v/>
      </c>
      <c r="G78" s="22" t="str">
        <f ca="1">IFERROR(VLOOKUP(Tabela4[[#This Row],[Cabo]],BD!A:V,5,0),"")</f>
        <v/>
      </c>
      <c r="H78" s="391" t="str">
        <f ca="1">IFERROR(VLOOKUP(Tabela4[[#This Row],[Cabo]],BD!A:V,3,0),"")</f>
        <v/>
      </c>
      <c r="I78" s="391" t="str">
        <f ca="1">IFERROR(VLOOKUP(Tabela4[[#This Row],[Cabo]],BD!A:V,4,0),"")</f>
        <v/>
      </c>
      <c r="J78" s="391" t="str">
        <f ca="1">IFERROR(VLOOKUP(Tabela4[[#This Row],[Cabo]],BD!A:V,7,0),"")</f>
        <v/>
      </c>
      <c r="K7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8" s="23" t="str">
        <f ca="1">IFERROR(VLOOKUP(Tabela4[[#This Row],[Cabo]],BD!A:V,9,0),"")</f>
        <v/>
      </c>
      <c r="M78" s="23" t="str">
        <f ca="1">IFERROR(VLOOKUP(Tabela4[[#This Row],[Cabo]],BD!A:AD,30,0),"")</f>
        <v/>
      </c>
      <c r="N78" s="23" t="str">
        <f ca="1">IF(SUMIF('Lançamento de Cabos'!B:B,Tabela4[[#This Row],[Cabo]],'Lançamento de Cabos'!C:C)=0,"",SUMIF('Lançamento de Cabos'!B:B,Tabela4[[#This Row],[Cabo]],'Lançamento de Cabos'!C:C))</f>
        <v/>
      </c>
      <c r="O78" s="28" t="str">
        <f ca="1">IFERROR(IF(Tabela4[[#This Row],[Compr. Lançado]]/Tabela4[[#This Row],[Compr. Prev.]]&gt;1,1,Tabela4[[#This Row],[Compr. Lançado]]/Tabela4[[#This Row],[Compr. Prev.]]),"")</f>
        <v/>
      </c>
      <c r="P78" s="24" t="str">
        <f ca="1">IFERROR(VLOOKUP(Tabela4[[#This Row],[Cabo]],BD!A:V,11,0),"")</f>
        <v/>
      </c>
      <c r="Q78" s="24" t="str">
        <f ca="1">IFERROR(VLOOKUP(Tabela4[[#This Row],[Cabo]],BD!A:V,12,0),"")</f>
        <v/>
      </c>
      <c r="R78" s="23" t="str">
        <f ca="1">IF(Tabela4[[#This Row],[Cabo]]&lt;&gt;"",IFERROR(VLOOKUP(Tabela4[[#This Row],[Cabo]]&amp;"-1",'Lançamento de Cabos'!$S:$T,2,0),IF(VLOOKUP(Tabela4[[#This Row],[Cabo]],BD!A:V,13,0)="---","---","")),"")</f>
        <v/>
      </c>
      <c r="S78" s="23" t="str">
        <f ca="1">IF(Tabela4[[#This Row],[Cabo]]&lt;&gt;"",IFERROR(VLOOKUP(Tabela4[[#This Row],[Cabo]]&amp;"-2",'Lançamento de Cabos'!$S:$T,2,0),IF(VLOOKUP(Tabela4[[#This Row],[Cabo]],BD!A:V,14,0)="---","---","")),"")</f>
        <v/>
      </c>
      <c r="T78" s="23" t="str">
        <f ca="1">IF(Tabela4[[#This Row],[Cabo]]&lt;&gt;"",IFERROR(VLOOKUP(Tabela4[[#This Row],[Cabo]]&amp;"-3",'Lançamento de Cabos'!$S:$T,2,0),IF(VLOOKUP(Tabela4[[#This Row],[Cabo]],BD!A:V,15,0)="---","---","")),"")</f>
        <v/>
      </c>
      <c r="U78" s="23" t="str">
        <f ca="1">IF(Tabela4[[#This Row],[Cabo]]&lt;&gt;"",IFERROR(VLOOKUP(Tabela4[[#This Row],[Cabo]]&amp;"-4",'Lançamento de Cabos'!$S:$T,2,0),IF(VLOOKUP(Tabela4[[#This Row],[Cabo]],BD!A:V,16,0)="---","---","")),"")</f>
        <v/>
      </c>
      <c r="V78" s="23" t="str">
        <f ca="1">IF(Tabela4[[#This Row],[Cabo]]&lt;&gt;"",4-COUNTIF(Tabela4[[#This Row],[Teste de Continuidade]:[Hipot]],"---"),"")</f>
        <v/>
      </c>
      <c r="W78" s="29" t="str">
        <f ca="1">IF(Tabela4[[#This Row],[Cabo]]&lt;&gt;"",(COUNTIF(Tabela4[[#This Row],[Teste de Continuidade]:[Hipot]],"OK"))/(4-COUNTIF(Tabela4[[#This Row],[Teste de Continuidade]:[Hipot]],"---")),"")</f>
        <v/>
      </c>
      <c r="X78" s="23" t="str">
        <f ca="1">IF(Tabela4[[#This Row],[Cabo]]&lt;&gt;"",SUMIFS('Lançamento de Cabos'!$AF:$AF,'Lançamento de Cabos'!AE:AE,Tabela4[[#This Row],[Cabo]],'Lançamento de Cabos'!AJ:AJ,Área!$B$1),"")</f>
        <v/>
      </c>
      <c r="Y78" s="23" t="str">
        <f ca="1">IF(Tabela4[[#This Row],[Cabo]]&lt;&gt;"",SUMIFS('Lançamento de Cabos'!$AG:$AG,'Lançamento de Cabos'!AE:AE,Tabela4[[#This Row],[Cabo]],'Lançamento de Cabos'!AJ:AJ,Área!$B$1),"")</f>
        <v/>
      </c>
      <c r="Z78" s="23" t="e">
        <f ca="1">VLOOKUP(Tabela4[[#This Row],[Cabo]],BD!A:AB,28,0)</f>
        <v>#N/A</v>
      </c>
    </row>
    <row r="79" spans="3:26" x14ac:dyDescent="0.25">
      <c r="C79" s="391" t="str">
        <f ca="1">IF($B$1="Geral",Tabela1[[#This Row],[Tag do Cabo]],IFERROR(INDEX(INDIRECT("BD!$A"&amp;D79&amp;":$A100000"),E79,1),""))</f>
        <v/>
      </c>
      <c r="D79" s="391" t="str">
        <f t="shared" ca="1" si="4"/>
        <v/>
      </c>
      <c r="E79" s="391" t="str">
        <f t="shared" ca="1" si="3"/>
        <v/>
      </c>
      <c r="F79" s="391" t="str">
        <f ca="1">IFERROR(VLOOKUP(Tabela4[[#This Row],[Cabo]],BD!A:V,2,0),"")</f>
        <v/>
      </c>
      <c r="G79" s="22" t="str">
        <f ca="1">IFERROR(VLOOKUP(Tabela4[[#This Row],[Cabo]],BD!A:V,5,0),"")</f>
        <v/>
      </c>
      <c r="H79" s="391" t="str">
        <f ca="1">IFERROR(VLOOKUP(Tabela4[[#This Row],[Cabo]],BD!A:V,3,0),"")</f>
        <v/>
      </c>
      <c r="I79" s="391" t="str">
        <f ca="1">IFERROR(VLOOKUP(Tabela4[[#This Row],[Cabo]],BD!A:V,4,0),"")</f>
        <v/>
      </c>
      <c r="J79" s="391" t="str">
        <f ca="1">IFERROR(VLOOKUP(Tabela4[[#This Row],[Cabo]],BD!A:V,7,0),"")</f>
        <v/>
      </c>
      <c r="K7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79" s="23" t="str">
        <f ca="1">IFERROR(VLOOKUP(Tabela4[[#This Row],[Cabo]],BD!A:V,9,0),"")</f>
        <v/>
      </c>
      <c r="M79" s="23" t="str">
        <f ca="1">IFERROR(VLOOKUP(Tabela4[[#This Row],[Cabo]],BD!A:AD,30,0),"")</f>
        <v/>
      </c>
      <c r="N79" s="23" t="str">
        <f ca="1">IF(SUMIF('Lançamento de Cabos'!B:B,Tabela4[[#This Row],[Cabo]],'Lançamento de Cabos'!C:C)=0,"",SUMIF('Lançamento de Cabos'!B:B,Tabela4[[#This Row],[Cabo]],'Lançamento de Cabos'!C:C))</f>
        <v/>
      </c>
      <c r="O79" s="28" t="str">
        <f ca="1">IFERROR(IF(Tabela4[[#This Row],[Compr. Lançado]]/Tabela4[[#This Row],[Compr. Prev.]]&gt;1,1,Tabela4[[#This Row],[Compr. Lançado]]/Tabela4[[#This Row],[Compr. Prev.]]),"")</f>
        <v/>
      </c>
      <c r="P79" s="24" t="str">
        <f ca="1">IFERROR(VLOOKUP(Tabela4[[#This Row],[Cabo]],BD!A:V,11,0),"")</f>
        <v/>
      </c>
      <c r="Q79" s="24" t="str">
        <f ca="1">IFERROR(VLOOKUP(Tabela4[[#This Row],[Cabo]],BD!A:V,12,0),"")</f>
        <v/>
      </c>
      <c r="R79" s="23" t="str">
        <f ca="1">IF(Tabela4[[#This Row],[Cabo]]&lt;&gt;"",IFERROR(VLOOKUP(Tabela4[[#This Row],[Cabo]]&amp;"-1",'Lançamento de Cabos'!$S:$T,2,0),IF(VLOOKUP(Tabela4[[#This Row],[Cabo]],BD!A:V,13,0)="---","---","")),"")</f>
        <v/>
      </c>
      <c r="S79" s="23" t="str">
        <f ca="1">IF(Tabela4[[#This Row],[Cabo]]&lt;&gt;"",IFERROR(VLOOKUP(Tabela4[[#This Row],[Cabo]]&amp;"-2",'Lançamento de Cabos'!$S:$T,2,0),IF(VLOOKUP(Tabela4[[#This Row],[Cabo]],BD!A:V,14,0)="---","---","")),"")</f>
        <v/>
      </c>
      <c r="T79" s="23" t="str">
        <f ca="1">IF(Tabela4[[#This Row],[Cabo]]&lt;&gt;"",IFERROR(VLOOKUP(Tabela4[[#This Row],[Cabo]]&amp;"-3",'Lançamento de Cabos'!$S:$T,2,0),IF(VLOOKUP(Tabela4[[#This Row],[Cabo]],BD!A:V,15,0)="---","---","")),"")</f>
        <v/>
      </c>
      <c r="U79" s="23" t="str">
        <f ca="1">IF(Tabela4[[#This Row],[Cabo]]&lt;&gt;"",IFERROR(VLOOKUP(Tabela4[[#This Row],[Cabo]]&amp;"-4",'Lançamento de Cabos'!$S:$T,2,0),IF(VLOOKUP(Tabela4[[#This Row],[Cabo]],BD!A:V,16,0)="---","---","")),"")</f>
        <v/>
      </c>
      <c r="V79" s="23" t="str">
        <f ca="1">IF(Tabela4[[#This Row],[Cabo]]&lt;&gt;"",4-COUNTIF(Tabela4[[#This Row],[Teste de Continuidade]:[Hipot]],"---"),"")</f>
        <v/>
      </c>
      <c r="W79" s="29" t="str">
        <f ca="1">IF(Tabela4[[#This Row],[Cabo]]&lt;&gt;"",(COUNTIF(Tabela4[[#This Row],[Teste de Continuidade]:[Hipot]],"OK"))/(4-COUNTIF(Tabela4[[#This Row],[Teste de Continuidade]:[Hipot]],"---")),"")</f>
        <v/>
      </c>
      <c r="X79" s="23" t="str">
        <f ca="1">IF(Tabela4[[#This Row],[Cabo]]&lt;&gt;"",SUMIFS('Lançamento de Cabos'!$AF:$AF,'Lançamento de Cabos'!AE:AE,Tabela4[[#This Row],[Cabo]],'Lançamento de Cabos'!AJ:AJ,Área!$B$1),"")</f>
        <v/>
      </c>
      <c r="Y79" s="23" t="str">
        <f ca="1">IF(Tabela4[[#This Row],[Cabo]]&lt;&gt;"",SUMIFS('Lançamento de Cabos'!$AG:$AG,'Lançamento de Cabos'!AE:AE,Tabela4[[#This Row],[Cabo]],'Lançamento de Cabos'!AJ:AJ,Área!$B$1),"")</f>
        <v/>
      </c>
      <c r="Z79" s="23" t="e">
        <f ca="1">VLOOKUP(Tabela4[[#This Row],[Cabo]],BD!A:AB,28,0)</f>
        <v>#N/A</v>
      </c>
    </row>
    <row r="80" spans="3:26" x14ac:dyDescent="0.25">
      <c r="C80" s="391" t="str">
        <f ca="1">IF($B$1="Geral",Tabela1[[#This Row],[Tag do Cabo]],IFERROR(INDEX(INDIRECT("BD!$A"&amp;D80&amp;":$A100000"),E80,1),""))</f>
        <v/>
      </c>
      <c r="D80" s="391" t="str">
        <f t="shared" ca="1" si="4"/>
        <v/>
      </c>
      <c r="E80" s="391" t="str">
        <f t="shared" ca="1" si="3"/>
        <v/>
      </c>
      <c r="F80" s="391" t="str">
        <f ca="1">IFERROR(VLOOKUP(Tabela4[[#This Row],[Cabo]],BD!A:V,2,0),"")</f>
        <v/>
      </c>
      <c r="G80" s="22" t="str">
        <f ca="1">IFERROR(VLOOKUP(Tabela4[[#This Row],[Cabo]],BD!A:V,5,0),"")</f>
        <v/>
      </c>
      <c r="H80" s="391" t="str">
        <f ca="1">IFERROR(VLOOKUP(Tabela4[[#This Row],[Cabo]],BD!A:V,3,0),"")</f>
        <v/>
      </c>
      <c r="I80" s="391" t="str">
        <f ca="1">IFERROR(VLOOKUP(Tabela4[[#This Row],[Cabo]],BD!A:V,4,0),"")</f>
        <v/>
      </c>
      <c r="J80" s="391" t="str">
        <f ca="1">IFERROR(VLOOKUP(Tabela4[[#This Row],[Cabo]],BD!A:V,7,0),"")</f>
        <v/>
      </c>
      <c r="K8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0" s="23" t="str">
        <f ca="1">IFERROR(VLOOKUP(Tabela4[[#This Row],[Cabo]],BD!A:V,9,0),"")</f>
        <v/>
      </c>
      <c r="M80" s="23" t="str">
        <f ca="1">IFERROR(VLOOKUP(Tabela4[[#This Row],[Cabo]],BD!A:AD,30,0),"")</f>
        <v/>
      </c>
      <c r="N80" s="23" t="str">
        <f ca="1">IF(SUMIF('Lançamento de Cabos'!B:B,Tabela4[[#This Row],[Cabo]],'Lançamento de Cabos'!C:C)=0,"",SUMIF('Lançamento de Cabos'!B:B,Tabela4[[#This Row],[Cabo]],'Lançamento de Cabos'!C:C))</f>
        <v/>
      </c>
      <c r="O80" s="28" t="str">
        <f ca="1">IFERROR(IF(Tabela4[[#This Row],[Compr. Lançado]]/Tabela4[[#This Row],[Compr. Prev.]]&gt;1,1,Tabela4[[#This Row],[Compr. Lançado]]/Tabela4[[#This Row],[Compr. Prev.]]),"")</f>
        <v/>
      </c>
      <c r="P80" s="24" t="str">
        <f ca="1">IFERROR(VLOOKUP(Tabela4[[#This Row],[Cabo]],BD!A:V,11,0),"")</f>
        <v/>
      </c>
      <c r="Q80" s="24" t="str">
        <f ca="1">IFERROR(VLOOKUP(Tabela4[[#This Row],[Cabo]],BD!A:V,12,0),"")</f>
        <v/>
      </c>
      <c r="R80" s="23" t="str">
        <f ca="1">IF(Tabela4[[#This Row],[Cabo]]&lt;&gt;"",IFERROR(VLOOKUP(Tabela4[[#This Row],[Cabo]]&amp;"-1",'Lançamento de Cabos'!$S:$T,2,0),IF(VLOOKUP(Tabela4[[#This Row],[Cabo]],BD!A:V,13,0)="---","---","")),"")</f>
        <v/>
      </c>
      <c r="S80" s="23" t="str">
        <f ca="1">IF(Tabela4[[#This Row],[Cabo]]&lt;&gt;"",IFERROR(VLOOKUP(Tabela4[[#This Row],[Cabo]]&amp;"-2",'Lançamento de Cabos'!$S:$T,2,0),IF(VLOOKUP(Tabela4[[#This Row],[Cabo]],BD!A:V,14,0)="---","---","")),"")</f>
        <v/>
      </c>
      <c r="T80" s="23" t="str">
        <f ca="1">IF(Tabela4[[#This Row],[Cabo]]&lt;&gt;"",IFERROR(VLOOKUP(Tabela4[[#This Row],[Cabo]]&amp;"-3",'Lançamento de Cabos'!$S:$T,2,0),IF(VLOOKUP(Tabela4[[#This Row],[Cabo]],BD!A:V,15,0)="---","---","")),"")</f>
        <v/>
      </c>
      <c r="U80" s="23" t="str">
        <f ca="1">IF(Tabela4[[#This Row],[Cabo]]&lt;&gt;"",IFERROR(VLOOKUP(Tabela4[[#This Row],[Cabo]]&amp;"-4",'Lançamento de Cabos'!$S:$T,2,0),IF(VLOOKUP(Tabela4[[#This Row],[Cabo]],BD!A:V,16,0)="---","---","")),"")</f>
        <v/>
      </c>
      <c r="V80" s="23" t="str">
        <f ca="1">IF(Tabela4[[#This Row],[Cabo]]&lt;&gt;"",4-COUNTIF(Tabela4[[#This Row],[Teste de Continuidade]:[Hipot]],"---"),"")</f>
        <v/>
      </c>
      <c r="W80" s="29" t="str">
        <f ca="1">IF(Tabela4[[#This Row],[Cabo]]&lt;&gt;"",(COUNTIF(Tabela4[[#This Row],[Teste de Continuidade]:[Hipot]],"OK"))/(4-COUNTIF(Tabela4[[#This Row],[Teste de Continuidade]:[Hipot]],"---")),"")</f>
        <v/>
      </c>
      <c r="X80" s="23" t="str">
        <f ca="1">IF(Tabela4[[#This Row],[Cabo]]&lt;&gt;"",SUMIFS('Lançamento de Cabos'!$AF:$AF,'Lançamento de Cabos'!AE:AE,Tabela4[[#This Row],[Cabo]],'Lançamento de Cabos'!AJ:AJ,Área!$B$1),"")</f>
        <v/>
      </c>
      <c r="Y80" s="23" t="str">
        <f ca="1">IF(Tabela4[[#This Row],[Cabo]]&lt;&gt;"",SUMIFS('Lançamento de Cabos'!$AG:$AG,'Lançamento de Cabos'!AE:AE,Tabela4[[#This Row],[Cabo]],'Lançamento de Cabos'!AJ:AJ,Área!$B$1),"")</f>
        <v/>
      </c>
      <c r="Z80" s="23" t="e">
        <f ca="1">VLOOKUP(Tabela4[[#This Row],[Cabo]],BD!A:AB,28,0)</f>
        <v>#N/A</v>
      </c>
    </row>
    <row r="81" spans="3:26" x14ac:dyDescent="0.25">
      <c r="C81" s="391" t="str">
        <f ca="1">IF($B$1="Geral",Tabela1[[#This Row],[Tag do Cabo]],IFERROR(INDEX(INDIRECT("BD!$A"&amp;D81&amp;":$A100000"),E81,1),""))</f>
        <v/>
      </c>
      <c r="D81" s="391" t="str">
        <f t="shared" ca="1" si="4"/>
        <v/>
      </c>
      <c r="E81" s="391" t="str">
        <f t="shared" ca="1" si="3"/>
        <v/>
      </c>
      <c r="F81" s="391" t="str">
        <f ca="1">IFERROR(VLOOKUP(Tabela4[[#This Row],[Cabo]],BD!A:V,2,0),"")</f>
        <v/>
      </c>
      <c r="G81" s="22" t="str">
        <f ca="1">IFERROR(VLOOKUP(Tabela4[[#This Row],[Cabo]],BD!A:V,5,0),"")</f>
        <v/>
      </c>
      <c r="H81" s="391" t="str">
        <f ca="1">IFERROR(VLOOKUP(Tabela4[[#This Row],[Cabo]],BD!A:V,3,0),"")</f>
        <v/>
      </c>
      <c r="I81" s="391" t="str">
        <f ca="1">IFERROR(VLOOKUP(Tabela4[[#This Row],[Cabo]],BD!A:V,4,0),"")</f>
        <v/>
      </c>
      <c r="J81" s="391" t="str">
        <f ca="1">IFERROR(VLOOKUP(Tabela4[[#This Row],[Cabo]],BD!A:V,7,0),"")</f>
        <v/>
      </c>
      <c r="K8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1" s="23" t="str">
        <f ca="1">IFERROR(VLOOKUP(Tabela4[[#This Row],[Cabo]],BD!A:V,9,0),"")</f>
        <v/>
      </c>
      <c r="M81" s="23" t="str">
        <f ca="1">IFERROR(VLOOKUP(Tabela4[[#This Row],[Cabo]],BD!A:AD,30,0),"")</f>
        <v/>
      </c>
      <c r="N81" s="23" t="str">
        <f ca="1">IF(SUMIF('Lançamento de Cabos'!B:B,Tabela4[[#This Row],[Cabo]],'Lançamento de Cabos'!C:C)=0,"",SUMIF('Lançamento de Cabos'!B:B,Tabela4[[#This Row],[Cabo]],'Lançamento de Cabos'!C:C))</f>
        <v/>
      </c>
      <c r="O81" s="28" t="str">
        <f ca="1">IFERROR(IF(Tabela4[[#This Row],[Compr. Lançado]]/Tabela4[[#This Row],[Compr. Prev.]]&gt;1,1,Tabela4[[#This Row],[Compr. Lançado]]/Tabela4[[#This Row],[Compr. Prev.]]),"")</f>
        <v/>
      </c>
      <c r="P81" s="24" t="str">
        <f ca="1">IFERROR(VLOOKUP(Tabela4[[#This Row],[Cabo]],BD!A:V,11,0),"")</f>
        <v/>
      </c>
      <c r="Q81" s="24" t="str">
        <f ca="1">IFERROR(VLOOKUP(Tabela4[[#This Row],[Cabo]],BD!A:V,12,0),"")</f>
        <v/>
      </c>
      <c r="R81" s="23" t="str">
        <f ca="1">IF(Tabela4[[#This Row],[Cabo]]&lt;&gt;"",IFERROR(VLOOKUP(Tabela4[[#This Row],[Cabo]]&amp;"-1",'Lançamento de Cabos'!$S:$T,2,0),IF(VLOOKUP(Tabela4[[#This Row],[Cabo]],BD!A:V,13,0)="---","---","")),"")</f>
        <v/>
      </c>
      <c r="S81" s="23" t="str">
        <f ca="1">IF(Tabela4[[#This Row],[Cabo]]&lt;&gt;"",IFERROR(VLOOKUP(Tabela4[[#This Row],[Cabo]]&amp;"-2",'Lançamento de Cabos'!$S:$T,2,0),IF(VLOOKUP(Tabela4[[#This Row],[Cabo]],BD!A:V,14,0)="---","---","")),"")</f>
        <v/>
      </c>
      <c r="T81" s="23" t="str">
        <f ca="1">IF(Tabela4[[#This Row],[Cabo]]&lt;&gt;"",IFERROR(VLOOKUP(Tabela4[[#This Row],[Cabo]]&amp;"-3",'Lançamento de Cabos'!$S:$T,2,0),IF(VLOOKUP(Tabela4[[#This Row],[Cabo]],BD!A:V,15,0)="---","---","")),"")</f>
        <v/>
      </c>
      <c r="U81" s="23" t="str">
        <f ca="1">IF(Tabela4[[#This Row],[Cabo]]&lt;&gt;"",IFERROR(VLOOKUP(Tabela4[[#This Row],[Cabo]]&amp;"-4",'Lançamento de Cabos'!$S:$T,2,0),IF(VLOOKUP(Tabela4[[#This Row],[Cabo]],BD!A:V,16,0)="---","---","")),"")</f>
        <v/>
      </c>
      <c r="V81" s="23" t="str">
        <f ca="1">IF(Tabela4[[#This Row],[Cabo]]&lt;&gt;"",4-COUNTIF(Tabela4[[#This Row],[Teste de Continuidade]:[Hipot]],"---"),"")</f>
        <v/>
      </c>
      <c r="W81" s="29" t="str">
        <f ca="1">IF(Tabela4[[#This Row],[Cabo]]&lt;&gt;"",(COUNTIF(Tabela4[[#This Row],[Teste de Continuidade]:[Hipot]],"OK"))/(4-COUNTIF(Tabela4[[#This Row],[Teste de Continuidade]:[Hipot]],"---")),"")</f>
        <v/>
      </c>
      <c r="X81" s="23" t="str">
        <f ca="1">IF(Tabela4[[#This Row],[Cabo]]&lt;&gt;"",SUMIFS('Lançamento de Cabos'!$AF:$AF,'Lançamento de Cabos'!AE:AE,Tabela4[[#This Row],[Cabo]],'Lançamento de Cabos'!AJ:AJ,Área!$B$1),"")</f>
        <v/>
      </c>
      <c r="Y81" s="23" t="str">
        <f ca="1">IF(Tabela4[[#This Row],[Cabo]]&lt;&gt;"",SUMIFS('Lançamento de Cabos'!$AG:$AG,'Lançamento de Cabos'!AE:AE,Tabela4[[#This Row],[Cabo]],'Lançamento de Cabos'!AJ:AJ,Área!$B$1),"")</f>
        <v/>
      </c>
      <c r="Z81" s="23" t="e">
        <f ca="1">VLOOKUP(Tabela4[[#This Row],[Cabo]],BD!A:AB,28,0)</f>
        <v>#N/A</v>
      </c>
    </row>
    <row r="82" spans="3:26" x14ac:dyDescent="0.25">
      <c r="C82" s="391" t="str">
        <f ca="1">IF($B$1="Geral",Tabela1[[#This Row],[Tag do Cabo]],IFERROR(INDEX(INDIRECT("BD!$A"&amp;D82&amp;":$A100000"),E82,1),""))</f>
        <v/>
      </c>
      <c r="D82" s="391" t="str">
        <f t="shared" ca="1" si="4"/>
        <v/>
      </c>
      <c r="E82" s="391" t="str">
        <f t="shared" ca="1" si="3"/>
        <v/>
      </c>
      <c r="F82" s="391" t="str">
        <f ca="1">IFERROR(VLOOKUP(Tabela4[[#This Row],[Cabo]],BD!A:V,2,0),"")</f>
        <v/>
      </c>
      <c r="G82" s="22" t="str">
        <f ca="1">IFERROR(VLOOKUP(Tabela4[[#This Row],[Cabo]],BD!A:V,5,0),"")</f>
        <v/>
      </c>
      <c r="H82" s="391" t="str">
        <f ca="1">IFERROR(VLOOKUP(Tabela4[[#This Row],[Cabo]],BD!A:V,3,0),"")</f>
        <v/>
      </c>
      <c r="I82" s="391" t="str">
        <f ca="1">IFERROR(VLOOKUP(Tabela4[[#This Row],[Cabo]],BD!A:V,4,0),"")</f>
        <v/>
      </c>
      <c r="J82" s="391" t="str">
        <f ca="1">IFERROR(VLOOKUP(Tabela4[[#This Row],[Cabo]],BD!A:V,7,0),"")</f>
        <v/>
      </c>
      <c r="K8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2" s="23" t="str">
        <f ca="1">IFERROR(VLOOKUP(Tabela4[[#This Row],[Cabo]],BD!A:V,9,0),"")</f>
        <v/>
      </c>
      <c r="M82" s="23" t="str">
        <f ca="1">IFERROR(VLOOKUP(Tabela4[[#This Row],[Cabo]],BD!A:AD,30,0),"")</f>
        <v/>
      </c>
      <c r="N82" s="23" t="str">
        <f ca="1">IF(SUMIF('Lançamento de Cabos'!B:B,Tabela4[[#This Row],[Cabo]],'Lançamento de Cabos'!C:C)=0,"",SUMIF('Lançamento de Cabos'!B:B,Tabela4[[#This Row],[Cabo]],'Lançamento de Cabos'!C:C))</f>
        <v/>
      </c>
      <c r="O82" s="28" t="str">
        <f ca="1">IFERROR(IF(Tabela4[[#This Row],[Compr. Lançado]]/Tabela4[[#This Row],[Compr. Prev.]]&gt;1,1,Tabela4[[#This Row],[Compr. Lançado]]/Tabela4[[#This Row],[Compr. Prev.]]),"")</f>
        <v/>
      </c>
      <c r="P82" s="24" t="str">
        <f ca="1">IFERROR(VLOOKUP(Tabela4[[#This Row],[Cabo]],BD!A:V,11,0),"")</f>
        <v/>
      </c>
      <c r="Q82" s="24" t="str">
        <f ca="1">IFERROR(VLOOKUP(Tabela4[[#This Row],[Cabo]],BD!A:V,12,0),"")</f>
        <v/>
      </c>
      <c r="R82" s="23" t="str">
        <f ca="1">IF(Tabela4[[#This Row],[Cabo]]&lt;&gt;"",IFERROR(VLOOKUP(Tabela4[[#This Row],[Cabo]]&amp;"-1",'Lançamento de Cabos'!$S:$T,2,0),IF(VLOOKUP(Tabela4[[#This Row],[Cabo]],BD!A:V,13,0)="---","---","")),"")</f>
        <v/>
      </c>
      <c r="S82" s="23" t="str">
        <f ca="1">IF(Tabela4[[#This Row],[Cabo]]&lt;&gt;"",IFERROR(VLOOKUP(Tabela4[[#This Row],[Cabo]]&amp;"-2",'Lançamento de Cabos'!$S:$T,2,0),IF(VLOOKUP(Tabela4[[#This Row],[Cabo]],BD!A:V,14,0)="---","---","")),"")</f>
        <v/>
      </c>
      <c r="T82" s="23" t="str">
        <f ca="1">IF(Tabela4[[#This Row],[Cabo]]&lt;&gt;"",IFERROR(VLOOKUP(Tabela4[[#This Row],[Cabo]]&amp;"-3",'Lançamento de Cabos'!$S:$T,2,0),IF(VLOOKUP(Tabela4[[#This Row],[Cabo]],BD!A:V,15,0)="---","---","")),"")</f>
        <v/>
      </c>
      <c r="U82" s="23" t="str">
        <f ca="1">IF(Tabela4[[#This Row],[Cabo]]&lt;&gt;"",IFERROR(VLOOKUP(Tabela4[[#This Row],[Cabo]]&amp;"-4",'Lançamento de Cabos'!$S:$T,2,0),IF(VLOOKUP(Tabela4[[#This Row],[Cabo]],BD!A:V,16,0)="---","---","")),"")</f>
        <v/>
      </c>
      <c r="V82" s="23" t="str">
        <f ca="1">IF(Tabela4[[#This Row],[Cabo]]&lt;&gt;"",4-COUNTIF(Tabela4[[#This Row],[Teste de Continuidade]:[Hipot]],"---"),"")</f>
        <v/>
      </c>
      <c r="W82" s="29" t="str">
        <f ca="1">IF(Tabela4[[#This Row],[Cabo]]&lt;&gt;"",(COUNTIF(Tabela4[[#This Row],[Teste de Continuidade]:[Hipot]],"OK"))/(4-COUNTIF(Tabela4[[#This Row],[Teste de Continuidade]:[Hipot]],"---")),"")</f>
        <v/>
      </c>
      <c r="X82" s="23" t="str">
        <f ca="1">IF(Tabela4[[#This Row],[Cabo]]&lt;&gt;"",SUMIFS('Lançamento de Cabos'!$AF:$AF,'Lançamento de Cabos'!AE:AE,Tabela4[[#This Row],[Cabo]],'Lançamento de Cabos'!AJ:AJ,Área!$B$1),"")</f>
        <v/>
      </c>
      <c r="Y82" s="23" t="str">
        <f ca="1">IF(Tabela4[[#This Row],[Cabo]]&lt;&gt;"",SUMIFS('Lançamento de Cabos'!$AG:$AG,'Lançamento de Cabos'!AE:AE,Tabela4[[#This Row],[Cabo]],'Lançamento de Cabos'!AJ:AJ,Área!$B$1),"")</f>
        <v/>
      </c>
      <c r="Z82" s="23" t="e">
        <f ca="1">VLOOKUP(Tabela4[[#This Row],[Cabo]],BD!A:AB,28,0)</f>
        <v>#N/A</v>
      </c>
    </row>
    <row r="83" spans="3:26" x14ac:dyDescent="0.25">
      <c r="C83" s="391" t="str">
        <f ca="1">IF($B$1="Geral",Tabela1[[#This Row],[Tag do Cabo]],IFERROR(INDEX(INDIRECT("BD!$A"&amp;D83&amp;":$A100000"),E83,1),""))</f>
        <v/>
      </c>
      <c r="D83" s="391" t="str">
        <f t="shared" ca="1" si="4"/>
        <v/>
      </c>
      <c r="E83" s="391" t="str">
        <f t="shared" ca="1" si="3"/>
        <v/>
      </c>
      <c r="F83" s="391" t="str">
        <f ca="1">IFERROR(VLOOKUP(Tabela4[[#This Row],[Cabo]],BD!A:V,2,0),"")</f>
        <v/>
      </c>
      <c r="G83" s="22" t="str">
        <f ca="1">IFERROR(VLOOKUP(Tabela4[[#This Row],[Cabo]],BD!A:V,5,0),"")</f>
        <v/>
      </c>
      <c r="H83" s="391" t="str">
        <f ca="1">IFERROR(VLOOKUP(Tabela4[[#This Row],[Cabo]],BD!A:V,3,0),"")</f>
        <v/>
      </c>
      <c r="I83" s="391" t="str">
        <f ca="1">IFERROR(VLOOKUP(Tabela4[[#This Row],[Cabo]],BD!A:V,4,0),"")</f>
        <v/>
      </c>
      <c r="J83" s="391" t="str">
        <f ca="1">IFERROR(VLOOKUP(Tabela4[[#This Row],[Cabo]],BD!A:V,7,0),"")</f>
        <v/>
      </c>
      <c r="K8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3" s="23" t="str">
        <f ca="1">IFERROR(VLOOKUP(Tabela4[[#This Row],[Cabo]],BD!A:V,9,0),"")</f>
        <v/>
      </c>
      <c r="M83" s="23" t="str">
        <f ca="1">IFERROR(VLOOKUP(Tabela4[[#This Row],[Cabo]],BD!A:AD,30,0),"")</f>
        <v/>
      </c>
      <c r="N83" s="23" t="str">
        <f ca="1">IF(SUMIF('Lançamento de Cabos'!B:B,Tabela4[[#This Row],[Cabo]],'Lançamento de Cabos'!C:C)=0,"",SUMIF('Lançamento de Cabos'!B:B,Tabela4[[#This Row],[Cabo]],'Lançamento de Cabos'!C:C))</f>
        <v/>
      </c>
      <c r="O83" s="28" t="str">
        <f ca="1">IFERROR(IF(Tabela4[[#This Row],[Compr. Lançado]]/Tabela4[[#This Row],[Compr. Prev.]]&gt;1,1,Tabela4[[#This Row],[Compr. Lançado]]/Tabela4[[#This Row],[Compr. Prev.]]),"")</f>
        <v/>
      </c>
      <c r="P83" s="24" t="str">
        <f ca="1">IFERROR(VLOOKUP(Tabela4[[#This Row],[Cabo]],BD!A:V,11,0),"")</f>
        <v/>
      </c>
      <c r="Q83" s="24" t="str">
        <f ca="1">IFERROR(VLOOKUP(Tabela4[[#This Row],[Cabo]],BD!A:V,12,0),"")</f>
        <v/>
      </c>
      <c r="R83" s="23" t="str">
        <f ca="1">IF(Tabela4[[#This Row],[Cabo]]&lt;&gt;"",IFERROR(VLOOKUP(Tabela4[[#This Row],[Cabo]]&amp;"-1",'Lançamento de Cabos'!$S:$T,2,0),IF(VLOOKUP(Tabela4[[#This Row],[Cabo]],BD!A:V,13,0)="---","---","")),"")</f>
        <v/>
      </c>
      <c r="S83" s="23" t="str">
        <f ca="1">IF(Tabela4[[#This Row],[Cabo]]&lt;&gt;"",IFERROR(VLOOKUP(Tabela4[[#This Row],[Cabo]]&amp;"-2",'Lançamento de Cabos'!$S:$T,2,0),IF(VLOOKUP(Tabela4[[#This Row],[Cabo]],BD!A:V,14,0)="---","---","")),"")</f>
        <v/>
      </c>
      <c r="T83" s="23" t="str">
        <f ca="1">IF(Tabela4[[#This Row],[Cabo]]&lt;&gt;"",IFERROR(VLOOKUP(Tabela4[[#This Row],[Cabo]]&amp;"-3",'Lançamento de Cabos'!$S:$T,2,0),IF(VLOOKUP(Tabela4[[#This Row],[Cabo]],BD!A:V,15,0)="---","---","")),"")</f>
        <v/>
      </c>
      <c r="U83" s="23" t="str">
        <f ca="1">IF(Tabela4[[#This Row],[Cabo]]&lt;&gt;"",IFERROR(VLOOKUP(Tabela4[[#This Row],[Cabo]]&amp;"-4",'Lançamento de Cabos'!$S:$T,2,0),IF(VLOOKUP(Tabela4[[#This Row],[Cabo]],BD!A:V,16,0)="---","---","")),"")</f>
        <v/>
      </c>
      <c r="V83" s="23" t="str">
        <f ca="1">IF(Tabela4[[#This Row],[Cabo]]&lt;&gt;"",4-COUNTIF(Tabela4[[#This Row],[Teste de Continuidade]:[Hipot]],"---"),"")</f>
        <v/>
      </c>
      <c r="W83" s="29" t="str">
        <f ca="1">IF(Tabela4[[#This Row],[Cabo]]&lt;&gt;"",(COUNTIF(Tabela4[[#This Row],[Teste de Continuidade]:[Hipot]],"OK"))/(4-COUNTIF(Tabela4[[#This Row],[Teste de Continuidade]:[Hipot]],"---")),"")</f>
        <v/>
      </c>
      <c r="X83" s="23" t="str">
        <f ca="1">IF(Tabela4[[#This Row],[Cabo]]&lt;&gt;"",SUMIFS('Lançamento de Cabos'!$AF:$AF,'Lançamento de Cabos'!AE:AE,Tabela4[[#This Row],[Cabo]],'Lançamento de Cabos'!AJ:AJ,Área!$B$1),"")</f>
        <v/>
      </c>
      <c r="Y83" s="23" t="str">
        <f ca="1">IF(Tabela4[[#This Row],[Cabo]]&lt;&gt;"",SUMIFS('Lançamento de Cabos'!$AG:$AG,'Lançamento de Cabos'!AE:AE,Tabela4[[#This Row],[Cabo]],'Lançamento de Cabos'!AJ:AJ,Área!$B$1),"")</f>
        <v/>
      </c>
      <c r="Z83" s="23" t="e">
        <f ca="1">VLOOKUP(Tabela4[[#This Row],[Cabo]],BD!A:AB,28,0)</f>
        <v>#N/A</v>
      </c>
    </row>
    <row r="84" spans="3:26" x14ac:dyDescent="0.25">
      <c r="C84" s="391" t="str">
        <f ca="1">IF($B$1="Geral",Tabela1[[#This Row],[Tag do Cabo]],IFERROR(INDEX(INDIRECT("BD!$A"&amp;D84&amp;":$A100000"),E84,1),""))</f>
        <v/>
      </c>
      <c r="D84" s="391" t="str">
        <f t="shared" ca="1" si="4"/>
        <v/>
      </c>
      <c r="E84" s="391" t="str">
        <f t="shared" ca="1" si="3"/>
        <v/>
      </c>
      <c r="F84" s="391" t="str">
        <f ca="1">IFERROR(VLOOKUP(Tabela4[[#This Row],[Cabo]],BD!A:V,2,0),"")</f>
        <v/>
      </c>
      <c r="G84" s="22" t="str">
        <f ca="1">IFERROR(VLOOKUP(Tabela4[[#This Row],[Cabo]],BD!A:V,5,0),"")</f>
        <v/>
      </c>
      <c r="H84" s="391" t="str">
        <f ca="1">IFERROR(VLOOKUP(Tabela4[[#This Row],[Cabo]],BD!A:V,3,0),"")</f>
        <v/>
      </c>
      <c r="I84" s="391" t="str">
        <f ca="1">IFERROR(VLOOKUP(Tabela4[[#This Row],[Cabo]],BD!A:V,4,0),"")</f>
        <v/>
      </c>
      <c r="J84" s="391" t="str">
        <f ca="1">IFERROR(VLOOKUP(Tabela4[[#This Row],[Cabo]],BD!A:V,7,0),"")</f>
        <v/>
      </c>
      <c r="K8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4" s="23" t="str">
        <f ca="1">IFERROR(VLOOKUP(Tabela4[[#This Row],[Cabo]],BD!A:V,9,0),"")</f>
        <v/>
      </c>
      <c r="M84" s="23" t="str">
        <f ca="1">IFERROR(VLOOKUP(Tabela4[[#This Row],[Cabo]],BD!A:AD,30,0),"")</f>
        <v/>
      </c>
      <c r="N84" s="23" t="str">
        <f ca="1">IF(SUMIF('Lançamento de Cabos'!B:B,Tabela4[[#This Row],[Cabo]],'Lançamento de Cabos'!C:C)=0,"",SUMIF('Lançamento de Cabos'!B:B,Tabela4[[#This Row],[Cabo]],'Lançamento de Cabos'!C:C))</f>
        <v/>
      </c>
      <c r="O84" s="28" t="str">
        <f ca="1">IFERROR(IF(Tabela4[[#This Row],[Compr. Lançado]]/Tabela4[[#This Row],[Compr. Prev.]]&gt;1,1,Tabela4[[#This Row],[Compr. Lançado]]/Tabela4[[#This Row],[Compr. Prev.]]),"")</f>
        <v/>
      </c>
      <c r="P84" s="24" t="str">
        <f ca="1">IFERROR(VLOOKUP(Tabela4[[#This Row],[Cabo]],BD!A:V,11,0),"")</f>
        <v/>
      </c>
      <c r="Q84" s="24" t="str">
        <f ca="1">IFERROR(VLOOKUP(Tabela4[[#This Row],[Cabo]],BD!A:V,12,0),"")</f>
        <v/>
      </c>
      <c r="R84" s="23" t="str">
        <f ca="1">IF(Tabela4[[#This Row],[Cabo]]&lt;&gt;"",IFERROR(VLOOKUP(Tabela4[[#This Row],[Cabo]]&amp;"-1",'Lançamento de Cabos'!$S:$T,2,0),IF(VLOOKUP(Tabela4[[#This Row],[Cabo]],BD!A:V,13,0)="---","---","")),"")</f>
        <v/>
      </c>
      <c r="S84" s="23" t="str">
        <f ca="1">IF(Tabela4[[#This Row],[Cabo]]&lt;&gt;"",IFERROR(VLOOKUP(Tabela4[[#This Row],[Cabo]]&amp;"-2",'Lançamento de Cabos'!$S:$T,2,0),IF(VLOOKUP(Tabela4[[#This Row],[Cabo]],BD!A:V,14,0)="---","---","")),"")</f>
        <v/>
      </c>
      <c r="T84" s="23" t="str">
        <f ca="1">IF(Tabela4[[#This Row],[Cabo]]&lt;&gt;"",IFERROR(VLOOKUP(Tabela4[[#This Row],[Cabo]]&amp;"-3",'Lançamento de Cabos'!$S:$T,2,0),IF(VLOOKUP(Tabela4[[#This Row],[Cabo]],BD!A:V,15,0)="---","---","")),"")</f>
        <v/>
      </c>
      <c r="U84" s="23" t="str">
        <f ca="1">IF(Tabela4[[#This Row],[Cabo]]&lt;&gt;"",IFERROR(VLOOKUP(Tabela4[[#This Row],[Cabo]]&amp;"-4",'Lançamento de Cabos'!$S:$T,2,0),IF(VLOOKUP(Tabela4[[#This Row],[Cabo]],BD!A:V,16,0)="---","---","")),"")</f>
        <v/>
      </c>
      <c r="V84" s="23" t="str">
        <f ca="1">IF(Tabela4[[#This Row],[Cabo]]&lt;&gt;"",4-COUNTIF(Tabela4[[#This Row],[Teste de Continuidade]:[Hipot]],"---"),"")</f>
        <v/>
      </c>
      <c r="W84" s="29" t="str">
        <f ca="1">IF(Tabela4[[#This Row],[Cabo]]&lt;&gt;"",(COUNTIF(Tabela4[[#This Row],[Teste de Continuidade]:[Hipot]],"OK"))/(4-COUNTIF(Tabela4[[#This Row],[Teste de Continuidade]:[Hipot]],"---")),"")</f>
        <v/>
      </c>
      <c r="X84" s="23" t="str">
        <f ca="1">IF(Tabela4[[#This Row],[Cabo]]&lt;&gt;"",SUMIFS('Lançamento de Cabos'!$AF:$AF,'Lançamento de Cabos'!AE:AE,Tabela4[[#This Row],[Cabo]],'Lançamento de Cabos'!AJ:AJ,Área!$B$1),"")</f>
        <v/>
      </c>
      <c r="Y84" s="23" t="str">
        <f ca="1">IF(Tabela4[[#This Row],[Cabo]]&lt;&gt;"",SUMIFS('Lançamento de Cabos'!$AG:$AG,'Lançamento de Cabos'!AE:AE,Tabela4[[#This Row],[Cabo]],'Lançamento de Cabos'!AJ:AJ,Área!$B$1),"")</f>
        <v/>
      </c>
      <c r="Z84" s="23" t="e">
        <f ca="1">VLOOKUP(Tabela4[[#This Row],[Cabo]],BD!A:AB,28,0)</f>
        <v>#N/A</v>
      </c>
    </row>
    <row r="85" spans="3:26" x14ac:dyDescent="0.25">
      <c r="C85" s="391" t="str">
        <f ca="1">IF($B$1="Geral",Tabela1[[#This Row],[Tag do Cabo]],IFERROR(INDEX(INDIRECT("BD!$A"&amp;D85&amp;":$A100000"),E85,1),""))</f>
        <v/>
      </c>
      <c r="D85" s="391" t="str">
        <f t="shared" ca="1" si="4"/>
        <v/>
      </c>
      <c r="E85" s="391" t="str">
        <f t="shared" ca="1" si="3"/>
        <v/>
      </c>
      <c r="F85" s="391" t="str">
        <f ca="1">IFERROR(VLOOKUP(Tabela4[[#This Row],[Cabo]],BD!A:V,2,0),"")</f>
        <v/>
      </c>
      <c r="G85" s="22" t="str">
        <f ca="1">IFERROR(VLOOKUP(Tabela4[[#This Row],[Cabo]],BD!A:V,5,0),"")</f>
        <v/>
      </c>
      <c r="H85" s="391" t="str">
        <f ca="1">IFERROR(VLOOKUP(Tabela4[[#This Row],[Cabo]],BD!A:V,3,0),"")</f>
        <v/>
      </c>
      <c r="I85" s="391" t="str">
        <f ca="1">IFERROR(VLOOKUP(Tabela4[[#This Row],[Cabo]],BD!A:V,4,0),"")</f>
        <v/>
      </c>
      <c r="J85" s="391" t="str">
        <f ca="1">IFERROR(VLOOKUP(Tabela4[[#This Row],[Cabo]],BD!A:V,7,0),"")</f>
        <v/>
      </c>
      <c r="K8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5" s="23" t="str">
        <f ca="1">IFERROR(VLOOKUP(Tabela4[[#This Row],[Cabo]],BD!A:V,9,0),"")</f>
        <v/>
      </c>
      <c r="M85" s="23" t="str">
        <f ca="1">IFERROR(VLOOKUP(Tabela4[[#This Row],[Cabo]],BD!A:AD,30,0),"")</f>
        <v/>
      </c>
      <c r="N85" s="23" t="str">
        <f ca="1">IF(SUMIF('Lançamento de Cabos'!B:B,Tabela4[[#This Row],[Cabo]],'Lançamento de Cabos'!C:C)=0,"",SUMIF('Lançamento de Cabos'!B:B,Tabela4[[#This Row],[Cabo]],'Lançamento de Cabos'!C:C))</f>
        <v/>
      </c>
      <c r="O85" s="28" t="str">
        <f ca="1">IFERROR(IF(Tabela4[[#This Row],[Compr. Lançado]]/Tabela4[[#This Row],[Compr. Prev.]]&gt;1,1,Tabela4[[#This Row],[Compr. Lançado]]/Tabela4[[#This Row],[Compr. Prev.]]),"")</f>
        <v/>
      </c>
      <c r="P85" s="24" t="str">
        <f ca="1">IFERROR(VLOOKUP(Tabela4[[#This Row],[Cabo]],BD!A:V,11,0),"")</f>
        <v/>
      </c>
      <c r="Q85" s="24" t="str">
        <f ca="1">IFERROR(VLOOKUP(Tabela4[[#This Row],[Cabo]],BD!A:V,12,0),"")</f>
        <v/>
      </c>
      <c r="R85" s="23" t="str">
        <f ca="1">IF(Tabela4[[#This Row],[Cabo]]&lt;&gt;"",IFERROR(VLOOKUP(Tabela4[[#This Row],[Cabo]]&amp;"-1",'Lançamento de Cabos'!$S:$T,2,0),IF(VLOOKUP(Tabela4[[#This Row],[Cabo]],BD!A:V,13,0)="---","---","")),"")</f>
        <v/>
      </c>
      <c r="S85" s="23" t="str">
        <f ca="1">IF(Tabela4[[#This Row],[Cabo]]&lt;&gt;"",IFERROR(VLOOKUP(Tabela4[[#This Row],[Cabo]]&amp;"-2",'Lançamento de Cabos'!$S:$T,2,0),IF(VLOOKUP(Tabela4[[#This Row],[Cabo]],BD!A:V,14,0)="---","---","")),"")</f>
        <v/>
      </c>
      <c r="T85" s="23" t="str">
        <f ca="1">IF(Tabela4[[#This Row],[Cabo]]&lt;&gt;"",IFERROR(VLOOKUP(Tabela4[[#This Row],[Cabo]]&amp;"-3",'Lançamento de Cabos'!$S:$T,2,0),IF(VLOOKUP(Tabela4[[#This Row],[Cabo]],BD!A:V,15,0)="---","---","")),"")</f>
        <v/>
      </c>
      <c r="U85" s="23" t="str">
        <f ca="1">IF(Tabela4[[#This Row],[Cabo]]&lt;&gt;"",IFERROR(VLOOKUP(Tabela4[[#This Row],[Cabo]]&amp;"-4",'Lançamento de Cabos'!$S:$T,2,0),IF(VLOOKUP(Tabela4[[#This Row],[Cabo]],BD!A:V,16,0)="---","---","")),"")</f>
        <v/>
      </c>
      <c r="V85" s="23" t="str">
        <f ca="1">IF(Tabela4[[#This Row],[Cabo]]&lt;&gt;"",4-COUNTIF(Tabela4[[#This Row],[Teste de Continuidade]:[Hipot]],"---"),"")</f>
        <v/>
      </c>
      <c r="W85" s="29" t="str">
        <f ca="1">IF(Tabela4[[#This Row],[Cabo]]&lt;&gt;"",(COUNTIF(Tabela4[[#This Row],[Teste de Continuidade]:[Hipot]],"OK"))/(4-COUNTIF(Tabela4[[#This Row],[Teste de Continuidade]:[Hipot]],"---")),"")</f>
        <v/>
      </c>
      <c r="X85" s="23" t="str">
        <f ca="1">IF(Tabela4[[#This Row],[Cabo]]&lt;&gt;"",SUMIFS('Lançamento de Cabos'!$AF:$AF,'Lançamento de Cabos'!AE:AE,Tabela4[[#This Row],[Cabo]],'Lançamento de Cabos'!AJ:AJ,Área!$B$1),"")</f>
        <v/>
      </c>
      <c r="Y85" s="23" t="str">
        <f ca="1">IF(Tabela4[[#This Row],[Cabo]]&lt;&gt;"",SUMIFS('Lançamento de Cabos'!$AG:$AG,'Lançamento de Cabos'!AE:AE,Tabela4[[#This Row],[Cabo]],'Lançamento de Cabos'!AJ:AJ,Área!$B$1),"")</f>
        <v/>
      </c>
      <c r="Z85" s="23" t="e">
        <f ca="1">VLOOKUP(Tabela4[[#This Row],[Cabo]],BD!A:AB,28,0)</f>
        <v>#N/A</v>
      </c>
    </row>
    <row r="86" spans="3:26" x14ac:dyDescent="0.25">
      <c r="C86" s="391" t="str">
        <f ca="1">IF($B$1="Geral",Tabela1[[#This Row],[Tag do Cabo]],IFERROR(INDEX(INDIRECT("BD!$A"&amp;D86&amp;":$A100000"),E86,1),""))</f>
        <v/>
      </c>
      <c r="D86" s="391" t="str">
        <f t="shared" ca="1" si="4"/>
        <v/>
      </c>
      <c r="E86" s="391" t="str">
        <f t="shared" ca="1" si="3"/>
        <v/>
      </c>
      <c r="F86" s="391" t="str">
        <f ca="1">IFERROR(VLOOKUP(Tabela4[[#This Row],[Cabo]],BD!A:V,2,0),"")</f>
        <v/>
      </c>
      <c r="G86" s="22" t="str">
        <f ca="1">IFERROR(VLOOKUP(Tabela4[[#This Row],[Cabo]],BD!A:V,5,0),"")</f>
        <v/>
      </c>
      <c r="H86" s="391" t="str">
        <f ca="1">IFERROR(VLOOKUP(Tabela4[[#This Row],[Cabo]],BD!A:V,3,0),"")</f>
        <v/>
      </c>
      <c r="I86" s="391" t="str">
        <f ca="1">IFERROR(VLOOKUP(Tabela4[[#This Row],[Cabo]],BD!A:V,4,0),"")</f>
        <v/>
      </c>
      <c r="J86" s="391" t="str">
        <f ca="1">IFERROR(VLOOKUP(Tabela4[[#This Row],[Cabo]],BD!A:V,7,0),"")</f>
        <v/>
      </c>
      <c r="K8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6" s="23" t="str">
        <f ca="1">IFERROR(VLOOKUP(Tabela4[[#This Row],[Cabo]],BD!A:V,9,0),"")</f>
        <v/>
      </c>
      <c r="M86" s="23" t="str">
        <f ca="1">IFERROR(VLOOKUP(Tabela4[[#This Row],[Cabo]],BD!A:AD,30,0),"")</f>
        <v/>
      </c>
      <c r="N86" s="23" t="str">
        <f ca="1">IF(SUMIF('Lançamento de Cabos'!B:B,Tabela4[[#This Row],[Cabo]],'Lançamento de Cabos'!C:C)=0,"",SUMIF('Lançamento de Cabos'!B:B,Tabela4[[#This Row],[Cabo]],'Lançamento de Cabos'!C:C))</f>
        <v/>
      </c>
      <c r="O86" s="28" t="str">
        <f ca="1">IFERROR(IF(Tabela4[[#This Row],[Compr. Lançado]]/Tabela4[[#This Row],[Compr. Prev.]]&gt;1,1,Tabela4[[#This Row],[Compr. Lançado]]/Tabela4[[#This Row],[Compr. Prev.]]),"")</f>
        <v/>
      </c>
      <c r="P86" s="24" t="str">
        <f ca="1">IFERROR(VLOOKUP(Tabela4[[#This Row],[Cabo]],BD!A:V,11,0),"")</f>
        <v/>
      </c>
      <c r="Q86" s="24" t="str">
        <f ca="1">IFERROR(VLOOKUP(Tabela4[[#This Row],[Cabo]],BD!A:V,12,0),"")</f>
        <v/>
      </c>
      <c r="R86" s="23" t="str">
        <f ca="1">IF(Tabela4[[#This Row],[Cabo]]&lt;&gt;"",IFERROR(VLOOKUP(Tabela4[[#This Row],[Cabo]]&amp;"-1",'Lançamento de Cabos'!$S:$T,2,0),IF(VLOOKUP(Tabela4[[#This Row],[Cabo]],BD!A:V,13,0)="---","---","")),"")</f>
        <v/>
      </c>
      <c r="S86" s="23" t="str">
        <f ca="1">IF(Tabela4[[#This Row],[Cabo]]&lt;&gt;"",IFERROR(VLOOKUP(Tabela4[[#This Row],[Cabo]]&amp;"-2",'Lançamento de Cabos'!$S:$T,2,0),IF(VLOOKUP(Tabela4[[#This Row],[Cabo]],BD!A:V,14,0)="---","---","")),"")</f>
        <v/>
      </c>
      <c r="T86" s="23" t="str">
        <f ca="1">IF(Tabela4[[#This Row],[Cabo]]&lt;&gt;"",IFERROR(VLOOKUP(Tabela4[[#This Row],[Cabo]]&amp;"-3",'Lançamento de Cabos'!$S:$T,2,0),IF(VLOOKUP(Tabela4[[#This Row],[Cabo]],BD!A:V,15,0)="---","---","")),"")</f>
        <v/>
      </c>
      <c r="U86" s="23" t="str">
        <f ca="1">IF(Tabela4[[#This Row],[Cabo]]&lt;&gt;"",IFERROR(VLOOKUP(Tabela4[[#This Row],[Cabo]]&amp;"-4",'Lançamento de Cabos'!$S:$T,2,0),IF(VLOOKUP(Tabela4[[#This Row],[Cabo]],BD!A:V,16,0)="---","---","")),"")</f>
        <v/>
      </c>
      <c r="V86" s="23" t="str">
        <f ca="1">IF(Tabela4[[#This Row],[Cabo]]&lt;&gt;"",4-COUNTIF(Tabela4[[#This Row],[Teste de Continuidade]:[Hipot]],"---"),"")</f>
        <v/>
      </c>
      <c r="W86" s="29" t="str">
        <f ca="1">IF(Tabela4[[#This Row],[Cabo]]&lt;&gt;"",(COUNTIF(Tabela4[[#This Row],[Teste de Continuidade]:[Hipot]],"OK"))/(4-COUNTIF(Tabela4[[#This Row],[Teste de Continuidade]:[Hipot]],"---")),"")</f>
        <v/>
      </c>
      <c r="X86" s="23" t="str">
        <f ca="1">IF(Tabela4[[#This Row],[Cabo]]&lt;&gt;"",SUMIFS('Lançamento de Cabos'!$AF:$AF,'Lançamento de Cabos'!AE:AE,Tabela4[[#This Row],[Cabo]],'Lançamento de Cabos'!AJ:AJ,Área!$B$1),"")</f>
        <v/>
      </c>
      <c r="Y86" s="23" t="str">
        <f ca="1">IF(Tabela4[[#This Row],[Cabo]]&lt;&gt;"",SUMIFS('Lançamento de Cabos'!$AG:$AG,'Lançamento de Cabos'!AE:AE,Tabela4[[#This Row],[Cabo]],'Lançamento de Cabos'!AJ:AJ,Área!$B$1),"")</f>
        <v/>
      </c>
      <c r="Z86" s="23" t="e">
        <f ca="1">VLOOKUP(Tabela4[[#This Row],[Cabo]],BD!A:AB,28,0)</f>
        <v>#N/A</v>
      </c>
    </row>
    <row r="87" spans="3:26" x14ac:dyDescent="0.25">
      <c r="C87" s="391" t="str">
        <f ca="1">IF($B$1="Geral",Tabela1[[#This Row],[Tag do Cabo]],IFERROR(INDEX(INDIRECT("BD!$A"&amp;D87&amp;":$A100000"),E87,1),""))</f>
        <v/>
      </c>
      <c r="D87" s="391" t="str">
        <f t="shared" ca="1" si="4"/>
        <v/>
      </c>
      <c r="E87" s="391" t="str">
        <f t="shared" ca="1" si="3"/>
        <v/>
      </c>
      <c r="F87" s="391" t="str">
        <f ca="1">IFERROR(VLOOKUP(Tabela4[[#This Row],[Cabo]],BD!A:V,2,0),"")</f>
        <v/>
      </c>
      <c r="G87" s="22" t="str">
        <f ca="1">IFERROR(VLOOKUP(Tabela4[[#This Row],[Cabo]],BD!A:V,5,0),"")</f>
        <v/>
      </c>
      <c r="H87" s="391" t="str">
        <f ca="1">IFERROR(VLOOKUP(Tabela4[[#This Row],[Cabo]],BD!A:V,3,0),"")</f>
        <v/>
      </c>
      <c r="I87" s="391" t="str">
        <f ca="1">IFERROR(VLOOKUP(Tabela4[[#This Row],[Cabo]],BD!A:V,4,0),"")</f>
        <v/>
      </c>
      <c r="J87" s="391" t="str">
        <f ca="1">IFERROR(VLOOKUP(Tabela4[[#This Row],[Cabo]],BD!A:V,7,0),"")</f>
        <v/>
      </c>
      <c r="K8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7" s="23" t="str">
        <f ca="1">IFERROR(VLOOKUP(Tabela4[[#This Row],[Cabo]],BD!A:V,9,0),"")</f>
        <v/>
      </c>
      <c r="M87" s="23" t="str">
        <f ca="1">IFERROR(VLOOKUP(Tabela4[[#This Row],[Cabo]],BD!A:AD,30,0),"")</f>
        <v/>
      </c>
      <c r="N87" s="23" t="str">
        <f ca="1">IF(SUMIF('Lançamento de Cabos'!B:B,Tabela4[[#This Row],[Cabo]],'Lançamento de Cabos'!C:C)=0,"",SUMIF('Lançamento de Cabos'!B:B,Tabela4[[#This Row],[Cabo]],'Lançamento de Cabos'!C:C))</f>
        <v/>
      </c>
      <c r="O87" s="28" t="str">
        <f ca="1">IFERROR(IF(Tabela4[[#This Row],[Compr. Lançado]]/Tabela4[[#This Row],[Compr. Prev.]]&gt;1,1,Tabela4[[#This Row],[Compr. Lançado]]/Tabela4[[#This Row],[Compr. Prev.]]),"")</f>
        <v/>
      </c>
      <c r="P87" s="24" t="str">
        <f ca="1">IFERROR(VLOOKUP(Tabela4[[#This Row],[Cabo]],BD!A:V,11,0),"")</f>
        <v/>
      </c>
      <c r="Q87" s="24" t="str">
        <f ca="1">IFERROR(VLOOKUP(Tabela4[[#This Row],[Cabo]],BD!A:V,12,0),"")</f>
        <v/>
      </c>
      <c r="R87" s="23" t="str">
        <f ca="1">IF(Tabela4[[#This Row],[Cabo]]&lt;&gt;"",IFERROR(VLOOKUP(Tabela4[[#This Row],[Cabo]]&amp;"-1",'Lançamento de Cabos'!$S:$T,2,0),IF(VLOOKUP(Tabela4[[#This Row],[Cabo]],BD!A:V,13,0)="---","---","")),"")</f>
        <v/>
      </c>
      <c r="S87" s="23" t="str">
        <f ca="1">IF(Tabela4[[#This Row],[Cabo]]&lt;&gt;"",IFERROR(VLOOKUP(Tabela4[[#This Row],[Cabo]]&amp;"-2",'Lançamento de Cabos'!$S:$T,2,0),IF(VLOOKUP(Tabela4[[#This Row],[Cabo]],BD!A:V,14,0)="---","---","")),"")</f>
        <v/>
      </c>
      <c r="T87" s="23" t="str">
        <f ca="1">IF(Tabela4[[#This Row],[Cabo]]&lt;&gt;"",IFERROR(VLOOKUP(Tabela4[[#This Row],[Cabo]]&amp;"-3",'Lançamento de Cabos'!$S:$T,2,0),IF(VLOOKUP(Tabela4[[#This Row],[Cabo]],BD!A:V,15,0)="---","---","")),"")</f>
        <v/>
      </c>
      <c r="U87" s="23" t="str">
        <f ca="1">IF(Tabela4[[#This Row],[Cabo]]&lt;&gt;"",IFERROR(VLOOKUP(Tabela4[[#This Row],[Cabo]]&amp;"-4",'Lançamento de Cabos'!$S:$T,2,0),IF(VLOOKUP(Tabela4[[#This Row],[Cabo]],BD!A:V,16,0)="---","---","")),"")</f>
        <v/>
      </c>
      <c r="V87" s="23" t="str">
        <f ca="1">IF(Tabela4[[#This Row],[Cabo]]&lt;&gt;"",4-COUNTIF(Tabela4[[#This Row],[Teste de Continuidade]:[Hipot]],"---"),"")</f>
        <v/>
      </c>
      <c r="W87" s="29" t="str">
        <f ca="1">IF(Tabela4[[#This Row],[Cabo]]&lt;&gt;"",(COUNTIF(Tabela4[[#This Row],[Teste de Continuidade]:[Hipot]],"OK"))/(4-COUNTIF(Tabela4[[#This Row],[Teste de Continuidade]:[Hipot]],"---")),"")</f>
        <v/>
      </c>
      <c r="X87" s="23" t="str">
        <f ca="1">IF(Tabela4[[#This Row],[Cabo]]&lt;&gt;"",SUMIFS('Lançamento de Cabos'!$AF:$AF,'Lançamento de Cabos'!AE:AE,Tabela4[[#This Row],[Cabo]],'Lançamento de Cabos'!AJ:AJ,Área!$B$1),"")</f>
        <v/>
      </c>
      <c r="Y87" s="23" t="str">
        <f ca="1">IF(Tabela4[[#This Row],[Cabo]]&lt;&gt;"",SUMIFS('Lançamento de Cabos'!$AG:$AG,'Lançamento de Cabos'!AE:AE,Tabela4[[#This Row],[Cabo]],'Lançamento de Cabos'!AJ:AJ,Área!$B$1),"")</f>
        <v/>
      </c>
      <c r="Z87" s="23" t="e">
        <f ca="1">VLOOKUP(Tabela4[[#This Row],[Cabo]],BD!A:AB,28,0)</f>
        <v>#N/A</v>
      </c>
    </row>
    <row r="88" spans="3:26" x14ac:dyDescent="0.25">
      <c r="C88" s="391" t="str">
        <f ca="1">IF($B$1="Geral",Tabela1[[#This Row],[Tag do Cabo]],IFERROR(INDEX(INDIRECT("BD!$A"&amp;D88&amp;":$A100000"),E88,1),""))</f>
        <v/>
      </c>
      <c r="D88" s="391" t="str">
        <f t="shared" ca="1" si="4"/>
        <v/>
      </c>
      <c r="E88" s="391" t="str">
        <f t="shared" ca="1" si="3"/>
        <v/>
      </c>
      <c r="F88" s="391" t="str">
        <f ca="1">IFERROR(VLOOKUP(Tabela4[[#This Row],[Cabo]],BD!A:V,2,0),"")</f>
        <v/>
      </c>
      <c r="G88" s="22" t="str">
        <f ca="1">IFERROR(VLOOKUP(Tabela4[[#This Row],[Cabo]],BD!A:V,5,0),"")</f>
        <v/>
      </c>
      <c r="H88" s="391" t="str">
        <f ca="1">IFERROR(VLOOKUP(Tabela4[[#This Row],[Cabo]],BD!A:V,3,0),"")</f>
        <v/>
      </c>
      <c r="I88" s="391" t="str">
        <f ca="1">IFERROR(VLOOKUP(Tabela4[[#This Row],[Cabo]],BD!A:V,4,0),"")</f>
        <v/>
      </c>
      <c r="J88" s="391" t="str">
        <f ca="1">IFERROR(VLOOKUP(Tabela4[[#This Row],[Cabo]],BD!A:V,7,0),"")</f>
        <v/>
      </c>
      <c r="K8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8" s="23" t="str">
        <f ca="1">IFERROR(VLOOKUP(Tabela4[[#This Row],[Cabo]],BD!A:V,9,0),"")</f>
        <v/>
      </c>
      <c r="M88" s="23" t="str">
        <f ca="1">IFERROR(VLOOKUP(Tabela4[[#This Row],[Cabo]],BD!A:AD,30,0),"")</f>
        <v/>
      </c>
      <c r="N88" s="23" t="str">
        <f ca="1">IF(SUMIF('Lançamento de Cabos'!B:B,Tabela4[[#This Row],[Cabo]],'Lançamento de Cabos'!C:C)=0,"",SUMIF('Lançamento de Cabos'!B:B,Tabela4[[#This Row],[Cabo]],'Lançamento de Cabos'!C:C))</f>
        <v/>
      </c>
      <c r="O88" s="28" t="str">
        <f ca="1">IFERROR(IF(Tabela4[[#This Row],[Compr. Lançado]]/Tabela4[[#This Row],[Compr. Prev.]]&gt;1,1,Tabela4[[#This Row],[Compr. Lançado]]/Tabela4[[#This Row],[Compr. Prev.]]),"")</f>
        <v/>
      </c>
      <c r="P88" s="24" t="str">
        <f ca="1">IFERROR(VLOOKUP(Tabela4[[#This Row],[Cabo]],BD!A:V,11,0),"")</f>
        <v/>
      </c>
      <c r="Q88" s="24" t="str">
        <f ca="1">IFERROR(VLOOKUP(Tabela4[[#This Row],[Cabo]],BD!A:V,12,0),"")</f>
        <v/>
      </c>
      <c r="R88" s="23" t="str">
        <f ca="1">IF(Tabela4[[#This Row],[Cabo]]&lt;&gt;"",IFERROR(VLOOKUP(Tabela4[[#This Row],[Cabo]]&amp;"-1",'Lançamento de Cabos'!$S:$T,2,0),IF(VLOOKUP(Tabela4[[#This Row],[Cabo]],BD!A:V,13,0)="---","---","")),"")</f>
        <v/>
      </c>
      <c r="S88" s="23" t="str">
        <f ca="1">IF(Tabela4[[#This Row],[Cabo]]&lt;&gt;"",IFERROR(VLOOKUP(Tabela4[[#This Row],[Cabo]]&amp;"-2",'Lançamento de Cabos'!$S:$T,2,0),IF(VLOOKUP(Tabela4[[#This Row],[Cabo]],BD!A:V,14,0)="---","---","")),"")</f>
        <v/>
      </c>
      <c r="T88" s="23" t="str">
        <f ca="1">IF(Tabela4[[#This Row],[Cabo]]&lt;&gt;"",IFERROR(VLOOKUP(Tabela4[[#This Row],[Cabo]]&amp;"-3",'Lançamento de Cabos'!$S:$T,2,0),IF(VLOOKUP(Tabela4[[#This Row],[Cabo]],BD!A:V,15,0)="---","---","")),"")</f>
        <v/>
      </c>
      <c r="U88" s="23" t="str">
        <f ca="1">IF(Tabela4[[#This Row],[Cabo]]&lt;&gt;"",IFERROR(VLOOKUP(Tabela4[[#This Row],[Cabo]]&amp;"-4",'Lançamento de Cabos'!$S:$T,2,0),IF(VLOOKUP(Tabela4[[#This Row],[Cabo]],BD!A:V,16,0)="---","---","")),"")</f>
        <v/>
      </c>
      <c r="V88" s="23" t="str">
        <f ca="1">IF(Tabela4[[#This Row],[Cabo]]&lt;&gt;"",4-COUNTIF(Tabela4[[#This Row],[Teste de Continuidade]:[Hipot]],"---"),"")</f>
        <v/>
      </c>
      <c r="W88" s="29" t="str">
        <f ca="1">IF(Tabela4[[#This Row],[Cabo]]&lt;&gt;"",(COUNTIF(Tabela4[[#This Row],[Teste de Continuidade]:[Hipot]],"OK"))/(4-COUNTIF(Tabela4[[#This Row],[Teste de Continuidade]:[Hipot]],"---")),"")</f>
        <v/>
      </c>
      <c r="X88" s="23" t="str">
        <f ca="1">IF(Tabela4[[#This Row],[Cabo]]&lt;&gt;"",SUMIFS('Lançamento de Cabos'!$AF:$AF,'Lançamento de Cabos'!AE:AE,Tabela4[[#This Row],[Cabo]],'Lançamento de Cabos'!AJ:AJ,Área!$B$1),"")</f>
        <v/>
      </c>
      <c r="Y88" s="23" t="str">
        <f ca="1">IF(Tabela4[[#This Row],[Cabo]]&lt;&gt;"",SUMIFS('Lançamento de Cabos'!$AG:$AG,'Lançamento de Cabos'!AE:AE,Tabela4[[#This Row],[Cabo]],'Lançamento de Cabos'!AJ:AJ,Área!$B$1),"")</f>
        <v/>
      </c>
      <c r="Z88" s="23" t="e">
        <f ca="1">VLOOKUP(Tabela4[[#This Row],[Cabo]],BD!A:AB,28,0)</f>
        <v>#N/A</v>
      </c>
    </row>
    <row r="89" spans="3:26" x14ac:dyDescent="0.25">
      <c r="C89" s="391" t="str">
        <f ca="1">IF($B$1="Geral",Tabela1[[#This Row],[Tag do Cabo]],IFERROR(INDEX(INDIRECT("BD!$A"&amp;D89&amp;":$A100000"),E89,1),""))</f>
        <v/>
      </c>
      <c r="D89" s="391" t="str">
        <f t="shared" ca="1" si="4"/>
        <v/>
      </c>
      <c r="E89" s="391" t="str">
        <f t="shared" ca="1" si="3"/>
        <v/>
      </c>
      <c r="F89" s="391" t="str">
        <f ca="1">IFERROR(VLOOKUP(Tabela4[[#This Row],[Cabo]],BD!A:V,2,0),"")</f>
        <v/>
      </c>
      <c r="G89" s="22" t="str">
        <f ca="1">IFERROR(VLOOKUP(Tabela4[[#This Row],[Cabo]],BD!A:V,5,0),"")</f>
        <v/>
      </c>
      <c r="H89" s="391" t="str">
        <f ca="1">IFERROR(VLOOKUP(Tabela4[[#This Row],[Cabo]],BD!A:V,3,0),"")</f>
        <v/>
      </c>
      <c r="I89" s="391" t="str">
        <f ca="1">IFERROR(VLOOKUP(Tabela4[[#This Row],[Cabo]],BD!A:V,4,0),"")</f>
        <v/>
      </c>
      <c r="J89" s="391" t="str">
        <f ca="1">IFERROR(VLOOKUP(Tabela4[[#This Row],[Cabo]],BD!A:V,7,0),"")</f>
        <v/>
      </c>
      <c r="K8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89" s="23" t="str">
        <f ca="1">IFERROR(VLOOKUP(Tabela4[[#This Row],[Cabo]],BD!A:V,9,0),"")</f>
        <v/>
      </c>
      <c r="M89" s="23" t="str">
        <f ca="1">IFERROR(VLOOKUP(Tabela4[[#This Row],[Cabo]],BD!A:AD,30,0),"")</f>
        <v/>
      </c>
      <c r="N89" s="23" t="str">
        <f ca="1">IF(SUMIF('Lançamento de Cabos'!B:B,Tabela4[[#This Row],[Cabo]],'Lançamento de Cabos'!C:C)=0,"",SUMIF('Lançamento de Cabos'!B:B,Tabela4[[#This Row],[Cabo]],'Lançamento de Cabos'!C:C))</f>
        <v/>
      </c>
      <c r="O89" s="28" t="str">
        <f ca="1">IFERROR(IF(Tabela4[[#This Row],[Compr. Lançado]]/Tabela4[[#This Row],[Compr. Prev.]]&gt;1,1,Tabela4[[#This Row],[Compr. Lançado]]/Tabela4[[#This Row],[Compr. Prev.]]),"")</f>
        <v/>
      </c>
      <c r="P89" s="24" t="str">
        <f ca="1">IFERROR(VLOOKUP(Tabela4[[#This Row],[Cabo]],BD!A:V,11,0),"")</f>
        <v/>
      </c>
      <c r="Q89" s="24" t="str">
        <f ca="1">IFERROR(VLOOKUP(Tabela4[[#This Row],[Cabo]],BD!A:V,12,0),"")</f>
        <v/>
      </c>
      <c r="R89" s="23" t="str">
        <f ca="1">IF(Tabela4[[#This Row],[Cabo]]&lt;&gt;"",IFERROR(VLOOKUP(Tabela4[[#This Row],[Cabo]]&amp;"-1",'Lançamento de Cabos'!$S:$T,2,0),IF(VLOOKUP(Tabela4[[#This Row],[Cabo]],BD!A:V,13,0)="---","---","")),"")</f>
        <v/>
      </c>
      <c r="S89" s="23" t="str">
        <f ca="1">IF(Tabela4[[#This Row],[Cabo]]&lt;&gt;"",IFERROR(VLOOKUP(Tabela4[[#This Row],[Cabo]]&amp;"-2",'Lançamento de Cabos'!$S:$T,2,0),IF(VLOOKUP(Tabela4[[#This Row],[Cabo]],BD!A:V,14,0)="---","---","")),"")</f>
        <v/>
      </c>
      <c r="T89" s="23" t="str">
        <f ca="1">IF(Tabela4[[#This Row],[Cabo]]&lt;&gt;"",IFERROR(VLOOKUP(Tabela4[[#This Row],[Cabo]]&amp;"-3",'Lançamento de Cabos'!$S:$T,2,0),IF(VLOOKUP(Tabela4[[#This Row],[Cabo]],BD!A:V,15,0)="---","---","")),"")</f>
        <v/>
      </c>
      <c r="U89" s="23" t="str">
        <f ca="1">IF(Tabela4[[#This Row],[Cabo]]&lt;&gt;"",IFERROR(VLOOKUP(Tabela4[[#This Row],[Cabo]]&amp;"-4",'Lançamento de Cabos'!$S:$T,2,0),IF(VLOOKUP(Tabela4[[#This Row],[Cabo]],BD!A:V,16,0)="---","---","")),"")</f>
        <v/>
      </c>
      <c r="V89" s="23" t="str">
        <f ca="1">IF(Tabela4[[#This Row],[Cabo]]&lt;&gt;"",4-COUNTIF(Tabela4[[#This Row],[Teste de Continuidade]:[Hipot]],"---"),"")</f>
        <v/>
      </c>
      <c r="W89" s="29" t="str">
        <f ca="1">IF(Tabela4[[#This Row],[Cabo]]&lt;&gt;"",(COUNTIF(Tabela4[[#This Row],[Teste de Continuidade]:[Hipot]],"OK"))/(4-COUNTIF(Tabela4[[#This Row],[Teste de Continuidade]:[Hipot]],"---")),"")</f>
        <v/>
      </c>
      <c r="X89" s="23" t="str">
        <f ca="1">IF(Tabela4[[#This Row],[Cabo]]&lt;&gt;"",SUMIFS('Lançamento de Cabos'!$AF:$AF,'Lançamento de Cabos'!AE:AE,Tabela4[[#This Row],[Cabo]],'Lançamento de Cabos'!AJ:AJ,Área!$B$1),"")</f>
        <v/>
      </c>
      <c r="Y89" s="23" t="str">
        <f ca="1">IF(Tabela4[[#This Row],[Cabo]]&lt;&gt;"",SUMIFS('Lançamento de Cabos'!$AG:$AG,'Lançamento de Cabos'!AE:AE,Tabela4[[#This Row],[Cabo]],'Lançamento de Cabos'!AJ:AJ,Área!$B$1),"")</f>
        <v/>
      </c>
      <c r="Z89" s="23" t="e">
        <f ca="1">VLOOKUP(Tabela4[[#This Row],[Cabo]],BD!A:AB,28,0)</f>
        <v>#N/A</v>
      </c>
    </row>
    <row r="90" spans="3:26" x14ac:dyDescent="0.25">
      <c r="C90" s="391" t="str">
        <f ca="1">IF($B$1="Geral",Tabela1[[#This Row],[Tag do Cabo]],IFERROR(INDEX(INDIRECT("BD!$A"&amp;D90&amp;":$A100000"),E90,1),""))</f>
        <v/>
      </c>
      <c r="D90" s="391" t="str">
        <f t="shared" ca="1" si="4"/>
        <v/>
      </c>
      <c r="E90" s="391" t="str">
        <f t="shared" ca="1" si="3"/>
        <v/>
      </c>
      <c r="F90" s="391" t="str">
        <f ca="1">IFERROR(VLOOKUP(Tabela4[[#This Row],[Cabo]],BD!A:V,2,0),"")</f>
        <v/>
      </c>
      <c r="G90" s="22" t="str">
        <f ca="1">IFERROR(VLOOKUP(Tabela4[[#This Row],[Cabo]],BD!A:V,5,0),"")</f>
        <v/>
      </c>
      <c r="H90" s="391" t="str">
        <f ca="1">IFERROR(VLOOKUP(Tabela4[[#This Row],[Cabo]],BD!A:V,3,0),"")</f>
        <v/>
      </c>
      <c r="I90" s="391" t="str">
        <f ca="1">IFERROR(VLOOKUP(Tabela4[[#This Row],[Cabo]],BD!A:V,4,0),"")</f>
        <v/>
      </c>
      <c r="J90" s="391" t="str">
        <f ca="1">IFERROR(VLOOKUP(Tabela4[[#This Row],[Cabo]],BD!A:V,7,0),"")</f>
        <v/>
      </c>
      <c r="K9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0" s="23" t="str">
        <f ca="1">IFERROR(VLOOKUP(Tabela4[[#This Row],[Cabo]],BD!A:V,9,0),"")</f>
        <v/>
      </c>
      <c r="M90" s="23" t="str">
        <f ca="1">IFERROR(VLOOKUP(Tabela4[[#This Row],[Cabo]],BD!A:AD,30,0),"")</f>
        <v/>
      </c>
      <c r="N90" s="23" t="str">
        <f ca="1">IF(SUMIF('Lançamento de Cabos'!B:B,Tabela4[[#This Row],[Cabo]],'Lançamento de Cabos'!C:C)=0,"",SUMIF('Lançamento de Cabos'!B:B,Tabela4[[#This Row],[Cabo]],'Lançamento de Cabos'!C:C))</f>
        <v/>
      </c>
      <c r="O90" s="28" t="str">
        <f ca="1">IFERROR(IF(Tabela4[[#This Row],[Compr. Lançado]]/Tabela4[[#This Row],[Compr. Prev.]]&gt;1,1,Tabela4[[#This Row],[Compr. Lançado]]/Tabela4[[#This Row],[Compr. Prev.]]),"")</f>
        <v/>
      </c>
      <c r="P90" s="24" t="str">
        <f ca="1">IFERROR(VLOOKUP(Tabela4[[#This Row],[Cabo]],BD!A:V,11,0),"")</f>
        <v/>
      </c>
      <c r="Q90" s="24" t="str">
        <f ca="1">IFERROR(VLOOKUP(Tabela4[[#This Row],[Cabo]],BD!A:V,12,0),"")</f>
        <v/>
      </c>
      <c r="R90" s="23" t="str">
        <f ca="1">IF(Tabela4[[#This Row],[Cabo]]&lt;&gt;"",IFERROR(VLOOKUP(Tabela4[[#This Row],[Cabo]]&amp;"-1",'Lançamento de Cabos'!$S:$T,2,0),IF(VLOOKUP(Tabela4[[#This Row],[Cabo]],BD!A:V,13,0)="---","---","")),"")</f>
        <v/>
      </c>
      <c r="S90" s="23" t="str">
        <f ca="1">IF(Tabela4[[#This Row],[Cabo]]&lt;&gt;"",IFERROR(VLOOKUP(Tabela4[[#This Row],[Cabo]]&amp;"-2",'Lançamento de Cabos'!$S:$T,2,0),IF(VLOOKUP(Tabela4[[#This Row],[Cabo]],BD!A:V,14,0)="---","---","")),"")</f>
        <v/>
      </c>
      <c r="T90" s="23" t="str">
        <f ca="1">IF(Tabela4[[#This Row],[Cabo]]&lt;&gt;"",IFERROR(VLOOKUP(Tabela4[[#This Row],[Cabo]]&amp;"-3",'Lançamento de Cabos'!$S:$T,2,0),IF(VLOOKUP(Tabela4[[#This Row],[Cabo]],BD!A:V,15,0)="---","---","")),"")</f>
        <v/>
      </c>
      <c r="U90" s="23" t="str">
        <f ca="1">IF(Tabela4[[#This Row],[Cabo]]&lt;&gt;"",IFERROR(VLOOKUP(Tabela4[[#This Row],[Cabo]]&amp;"-4",'Lançamento de Cabos'!$S:$T,2,0),IF(VLOOKUP(Tabela4[[#This Row],[Cabo]],BD!A:V,16,0)="---","---","")),"")</f>
        <v/>
      </c>
      <c r="V90" s="23" t="str">
        <f ca="1">IF(Tabela4[[#This Row],[Cabo]]&lt;&gt;"",4-COUNTIF(Tabela4[[#This Row],[Teste de Continuidade]:[Hipot]],"---"),"")</f>
        <v/>
      </c>
      <c r="W90" s="29" t="str">
        <f ca="1">IF(Tabela4[[#This Row],[Cabo]]&lt;&gt;"",(COUNTIF(Tabela4[[#This Row],[Teste de Continuidade]:[Hipot]],"OK"))/(4-COUNTIF(Tabela4[[#This Row],[Teste de Continuidade]:[Hipot]],"---")),"")</f>
        <v/>
      </c>
      <c r="X90" s="23" t="str">
        <f ca="1">IF(Tabela4[[#This Row],[Cabo]]&lt;&gt;"",SUMIFS('Lançamento de Cabos'!$AF:$AF,'Lançamento de Cabos'!AE:AE,Tabela4[[#This Row],[Cabo]],'Lançamento de Cabos'!AJ:AJ,Área!$B$1),"")</f>
        <v/>
      </c>
      <c r="Y90" s="23" t="str">
        <f ca="1">IF(Tabela4[[#This Row],[Cabo]]&lt;&gt;"",SUMIFS('Lançamento de Cabos'!$AG:$AG,'Lançamento de Cabos'!AE:AE,Tabela4[[#This Row],[Cabo]],'Lançamento de Cabos'!AJ:AJ,Área!$B$1),"")</f>
        <v/>
      </c>
      <c r="Z90" s="23" t="e">
        <f ca="1">VLOOKUP(Tabela4[[#This Row],[Cabo]],BD!A:AB,28,0)</f>
        <v>#N/A</v>
      </c>
    </row>
    <row r="91" spans="3:26" x14ac:dyDescent="0.25">
      <c r="C91" s="391" t="str">
        <f ca="1">IF($B$1="Geral",Tabela1[[#This Row],[Tag do Cabo]],IFERROR(INDEX(INDIRECT("BD!$A"&amp;D91&amp;":$A100000"),E91,1),""))</f>
        <v/>
      </c>
      <c r="D91" s="391" t="str">
        <f t="shared" ca="1" si="4"/>
        <v/>
      </c>
      <c r="E91" s="391" t="str">
        <f t="shared" ca="1" si="3"/>
        <v/>
      </c>
      <c r="F91" s="391" t="str">
        <f ca="1">IFERROR(VLOOKUP(Tabela4[[#This Row],[Cabo]],BD!A:V,2,0),"")</f>
        <v/>
      </c>
      <c r="G91" s="22" t="str">
        <f ca="1">IFERROR(VLOOKUP(Tabela4[[#This Row],[Cabo]],BD!A:V,5,0),"")</f>
        <v/>
      </c>
      <c r="H91" s="391" t="str">
        <f ca="1">IFERROR(VLOOKUP(Tabela4[[#This Row],[Cabo]],BD!A:V,3,0),"")</f>
        <v/>
      </c>
      <c r="I91" s="391" t="str">
        <f ca="1">IFERROR(VLOOKUP(Tabela4[[#This Row],[Cabo]],BD!A:V,4,0),"")</f>
        <v/>
      </c>
      <c r="J91" s="391" t="str">
        <f ca="1">IFERROR(VLOOKUP(Tabela4[[#This Row],[Cabo]],BD!A:V,7,0),"")</f>
        <v/>
      </c>
      <c r="K9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1" s="23" t="str">
        <f ca="1">IFERROR(VLOOKUP(Tabela4[[#This Row],[Cabo]],BD!A:V,9,0),"")</f>
        <v/>
      </c>
      <c r="M91" s="23" t="str">
        <f ca="1">IFERROR(VLOOKUP(Tabela4[[#This Row],[Cabo]],BD!A:AD,30,0),"")</f>
        <v/>
      </c>
      <c r="N91" s="23" t="str">
        <f ca="1">IF(SUMIF('Lançamento de Cabos'!B:B,Tabela4[[#This Row],[Cabo]],'Lançamento de Cabos'!C:C)=0,"",SUMIF('Lançamento de Cabos'!B:B,Tabela4[[#This Row],[Cabo]],'Lançamento de Cabos'!C:C))</f>
        <v/>
      </c>
      <c r="O91" s="28" t="str">
        <f ca="1">IFERROR(IF(Tabela4[[#This Row],[Compr. Lançado]]/Tabela4[[#This Row],[Compr. Prev.]]&gt;1,1,Tabela4[[#This Row],[Compr. Lançado]]/Tabela4[[#This Row],[Compr. Prev.]]),"")</f>
        <v/>
      </c>
      <c r="P91" s="24" t="str">
        <f ca="1">IFERROR(VLOOKUP(Tabela4[[#This Row],[Cabo]],BD!A:V,11,0),"")</f>
        <v/>
      </c>
      <c r="Q91" s="24" t="str">
        <f ca="1">IFERROR(VLOOKUP(Tabela4[[#This Row],[Cabo]],BD!A:V,12,0),"")</f>
        <v/>
      </c>
      <c r="R91" s="23" t="str">
        <f ca="1">IF(Tabela4[[#This Row],[Cabo]]&lt;&gt;"",IFERROR(VLOOKUP(Tabela4[[#This Row],[Cabo]]&amp;"-1",'Lançamento de Cabos'!$S:$T,2,0),IF(VLOOKUP(Tabela4[[#This Row],[Cabo]],BD!A:V,13,0)="---","---","")),"")</f>
        <v/>
      </c>
      <c r="S91" s="23" t="str">
        <f ca="1">IF(Tabela4[[#This Row],[Cabo]]&lt;&gt;"",IFERROR(VLOOKUP(Tabela4[[#This Row],[Cabo]]&amp;"-2",'Lançamento de Cabos'!$S:$T,2,0),IF(VLOOKUP(Tabela4[[#This Row],[Cabo]],BD!A:V,14,0)="---","---","")),"")</f>
        <v/>
      </c>
      <c r="T91" s="23" t="str">
        <f ca="1">IF(Tabela4[[#This Row],[Cabo]]&lt;&gt;"",IFERROR(VLOOKUP(Tabela4[[#This Row],[Cabo]]&amp;"-3",'Lançamento de Cabos'!$S:$T,2,0),IF(VLOOKUP(Tabela4[[#This Row],[Cabo]],BD!A:V,15,0)="---","---","")),"")</f>
        <v/>
      </c>
      <c r="U91" s="23" t="str">
        <f ca="1">IF(Tabela4[[#This Row],[Cabo]]&lt;&gt;"",IFERROR(VLOOKUP(Tabela4[[#This Row],[Cabo]]&amp;"-4",'Lançamento de Cabos'!$S:$T,2,0),IF(VLOOKUP(Tabela4[[#This Row],[Cabo]],BD!A:V,16,0)="---","---","")),"")</f>
        <v/>
      </c>
      <c r="V91" s="23" t="str">
        <f ca="1">IF(Tabela4[[#This Row],[Cabo]]&lt;&gt;"",4-COUNTIF(Tabela4[[#This Row],[Teste de Continuidade]:[Hipot]],"---"),"")</f>
        <v/>
      </c>
      <c r="W91" s="29" t="str">
        <f ca="1">IF(Tabela4[[#This Row],[Cabo]]&lt;&gt;"",(COUNTIF(Tabela4[[#This Row],[Teste de Continuidade]:[Hipot]],"OK"))/(4-COUNTIF(Tabela4[[#This Row],[Teste de Continuidade]:[Hipot]],"---")),"")</f>
        <v/>
      </c>
      <c r="X91" s="23" t="str">
        <f ca="1">IF(Tabela4[[#This Row],[Cabo]]&lt;&gt;"",SUMIFS('Lançamento de Cabos'!$AF:$AF,'Lançamento de Cabos'!AE:AE,Tabela4[[#This Row],[Cabo]],'Lançamento de Cabos'!AJ:AJ,Área!$B$1),"")</f>
        <v/>
      </c>
      <c r="Y91" s="23" t="str">
        <f ca="1">IF(Tabela4[[#This Row],[Cabo]]&lt;&gt;"",SUMIFS('Lançamento de Cabos'!$AG:$AG,'Lançamento de Cabos'!AE:AE,Tabela4[[#This Row],[Cabo]],'Lançamento de Cabos'!AJ:AJ,Área!$B$1),"")</f>
        <v/>
      </c>
      <c r="Z91" s="23" t="e">
        <f ca="1">VLOOKUP(Tabela4[[#This Row],[Cabo]],BD!A:AB,28,0)</f>
        <v>#N/A</v>
      </c>
    </row>
    <row r="92" spans="3:26" x14ac:dyDescent="0.25">
      <c r="C92" s="391" t="str">
        <f ca="1">IF($B$1="Geral",Tabela1[[#This Row],[Tag do Cabo]],IFERROR(INDEX(INDIRECT("BD!$A"&amp;D92&amp;":$A100000"),E92,1),""))</f>
        <v/>
      </c>
      <c r="D92" s="391" t="str">
        <f t="shared" ca="1" si="4"/>
        <v/>
      </c>
      <c r="E92" s="391" t="str">
        <f t="shared" ca="1" si="3"/>
        <v/>
      </c>
      <c r="F92" s="391" t="str">
        <f ca="1">IFERROR(VLOOKUP(Tabela4[[#This Row],[Cabo]],BD!A:V,2,0),"")</f>
        <v/>
      </c>
      <c r="G92" s="22" t="str">
        <f ca="1">IFERROR(VLOOKUP(Tabela4[[#This Row],[Cabo]],BD!A:V,5,0),"")</f>
        <v/>
      </c>
      <c r="H92" s="391" t="str">
        <f ca="1">IFERROR(VLOOKUP(Tabela4[[#This Row],[Cabo]],BD!A:V,3,0),"")</f>
        <v/>
      </c>
      <c r="I92" s="391" t="str">
        <f ca="1">IFERROR(VLOOKUP(Tabela4[[#This Row],[Cabo]],BD!A:V,4,0),"")</f>
        <v/>
      </c>
      <c r="J92" s="391" t="str">
        <f ca="1">IFERROR(VLOOKUP(Tabela4[[#This Row],[Cabo]],BD!A:V,7,0),"")</f>
        <v/>
      </c>
      <c r="K9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2" s="23" t="str">
        <f ca="1">IFERROR(VLOOKUP(Tabela4[[#This Row],[Cabo]],BD!A:V,9,0),"")</f>
        <v/>
      </c>
      <c r="M92" s="23" t="str">
        <f ca="1">IFERROR(VLOOKUP(Tabela4[[#This Row],[Cabo]],BD!A:AD,30,0),"")</f>
        <v/>
      </c>
      <c r="N92" s="23" t="str">
        <f ca="1">IF(SUMIF('Lançamento de Cabos'!B:B,Tabela4[[#This Row],[Cabo]],'Lançamento de Cabos'!C:C)=0,"",SUMIF('Lançamento de Cabos'!B:B,Tabela4[[#This Row],[Cabo]],'Lançamento de Cabos'!C:C))</f>
        <v/>
      </c>
      <c r="O92" s="28" t="str">
        <f ca="1">IFERROR(IF(Tabela4[[#This Row],[Compr. Lançado]]/Tabela4[[#This Row],[Compr. Prev.]]&gt;1,1,Tabela4[[#This Row],[Compr. Lançado]]/Tabela4[[#This Row],[Compr. Prev.]]),"")</f>
        <v/>
      </c>
      <c r="P92" s="24" t="str">
        <f ca="1">IFERROR(VLOOKUP(Tabela4[[#This Row],[Cabo]],BD!A:V,11,0),"")</f>
        <v/>
      </c>
      <c r="Q92" s="24" t="str">
        <f ca="1">IFERROR(VLOOKUP(Tabela4[[#This Row],[Cabo]],BD!A:V,12,0),"")</f>
        <v/>
      </c>
      <c r="R92" s="23" t="str">
        <f ca="1">IF(Tabela4[[#This Row],[Cabo]]&lt;&gt;"",IFERROR(VLOOKUP(Tabela4[[#This Row],[Cabo]]&amp;"-1",'Lançamento de Cabos'!$S:$T,2,0),IF(VLOOKUP(Tabela4[[#This Row],[Cabo]],BD!A:V,13,0)="---","---","")),"")</f>
        <v/>
      </c>
      <c r="S92" s="23" t="str">
        <f ca="1">IF(Tabela4[[#This Row],[Cabo]]&lt;&gt;"",IFERROR(VLOOKUP(Tabela4[[#This Row],[Cabo]]&amp;"-2",'Lançamento de Cabos'!$S:$T,2,0),IF(VLOOKUP(Tabela4[[#This Row],[Cabo]],BD!A:V,14,0)="---","---","")),"")</f>
        <v/>
      </c>
      <c r="T92" s="23" t="str">
        <f ca="1">IF(Tabela4[[#This Row],[Cabo]]&lt;&gt;"",IFERROR(VLOOKUP(Tabela4[[#This Row],[Cabo]]&amp;"-3",'Lançamento de Cabos'!$S:$T,2,0),IF(VLOOKUP(Tabela4[[#This Row],[Cabo]],BD!A:V,15,0)="---","---","")),"")</f>
        <v/>
      </c>
      <c r="U92" s="23" t="str">
        <f ca="1">IF(Tabela4[[#This Row],[Cabo]]&lt;&gt;"",IFERROR(VLOOKUP(Tabela4[[#This Row],[Cabo]]&amp;"-4",'Lançamento de Cabos'!$S:$T,2,0),IF(VLOOKUP(Tabela4[[#This Row],[Cabo]],BD!A:V,16,0)="---","---","")),"")</f>
        <v/>
      </c>
      <c r="V92" s="23" t="str">
        <f ca="1">IF(Tabela4[[#This Row],[Cabo]]&lt;&gt;"",4-COUNTIF(Tabela4[[#This Row],[Teste de Continuidade]:[Hipot]],"---"),"")</f>
        <v/>
      </c>
      <c r="W92" s="29" t="str">
        <f ca="1">IF(Tabela4[[#This Row],[Cabo]]&lt;&gt;"",(COUNTIF(Tabela4[[#This Row],[Teste de Continuidade]:[Hipot]],"OK"))/(4-COUNTIF(Tabela4[[#This Row],[Teste de Continuidade]:[Hipot]],"---")),"")</f>
        <v/>
      </c>
      <c r="X92" s="23" t="str">
        <f ca="1">IF(Tabela4[[#This Row],[Cabo]]&lt;&gt;"",SUMIFS('Lançamento de Cabos'!$AF:$AF,'Lançamento de Cabos'!AE:AE,Tabela4[[#This Row],[Cabo]],'Lançamento de Cabos'!AJ:AJ,Área!$B$1),"")</f>
        <v/>
      </c>
      <c r="Y92" s="23" t="str">
        <f ca="1">IF(Tabela4[[#This Row],[Cabo]]&lt;&gt;"",SUMIFS('Lançamento de Cabos'!$AG:$AG,'Lançamento de Cabos'!AE:AE,Tabela4[[#This Row],[Cabo]],'Lançamento de Cabos'!AJ:AJ,Área!$B$1),"")</f>
        <v/>
      </c>
      <c r="Z92" s="23" t="e">
        <f ca="1">VLOOKUP(Tabela4[[#This Row],[Cabo]],BD!A:AB,28,0)</f>
        <v>#N/A</v>
      </c>
    </row>
    <row r="93" spans="3:26" x14ac:dyDescent="0.25">
      <c r="C93" s="391" t="str">
        <f ca="1">IF($B$1="Geral",Tabela1[[#This Row],[Tag do Cabo]],IFERROR(INDEX(INDIRECT("BD!$A"&amp;D93&amp;":$A100000"),E93,1),""))</f>
        <v/>
      </c>
      <c r="D93" s="391" t="str">
        <f t="shared" ca="1" si="4"/>
        <v/>
      </c>
      <c r="E93" s="391" t="str">
        <f t="shared" ca="1" si="3"/>
        <v/>
      </c>
      <c r="F93" s="391" t="str">
        <f ca="1">IFERROR(VLOOKUP(Tabela4[[#This Row],[Cabo]],BD!A:V,2,0),"")</f>
        <v/>
      </c>
      <c r="G93" s="22" t="str">
        <f ca="1">IFERROR(VLOOKUP(Tabela4[[#This Row],[Cabo]],BD!A:V,5,0),"")</f>
        <v/>
      </c>
      <c r="H93" s="391" t="str">
        <f ca="1">IFERROR(VLOOKUP(Tabela4[[#This Row],[Cabo]],BD!A:V,3,0),"")</f>
        <v/>
      </c>
      <c r="I93" s="391" t="str">
        <f ca="1">IFERROR(VLOOKUP(Tabela4[[#This Row],[Cabo]],BD!A:V,4,0),"")</f>
        <v/>
      </c>
      <c r="J93" s="391" t="str">
        <f ca="1">IFERROR(VLOOKUP(Tabela4[[#This Row],[Cabo]],BD!A:V,7,0),"")</f>
        <v/>
      </c>
      <c r="K9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3" s="23" t="str">
        <f ca="1">IFERROR(VLOOKUP(Tabela4[[#This Row],[Cabo]],BD!A:V,9,0),"")</f>
        <v/>
      </c>
      <c r="M93" s="23" t="str">
        <f ca="1">IFERROR(VLOOKUP(Tabela4[[#This Row],[Cabo]],BD!A:AD,30,0),"")</f>
        <v/>
      </c>
      <c r="N93" s="23" t="str">
        <f ca="1">IF(SUMIF('Lançamento de Cabos'!B:B,Tabela4[[#This Row],[Cabo]],'Lançamento de Cabos'!C:C)=0,"",SUMIF('Lançamento de Cabos'!B:B,Tabela4[[#This Row],[Cabo]],'Lançamento de Cabos'!C:C))</f>
        <v/>
      </c>
      <c r="O93" s="28" t="str">
        <f ca="1">IFERROR(IF(Tabela4[[#This Row],[Compr. Lançado]]/Tabela4[[#This Row],[Compr. Prev.]]&gt;1,1,Tabela4[[#This Row],[Compr. Lançado]]/Tabela4[[#This Row],[Compr. Prev.]]),"")</f>
        <v/>
      </c>
      <c r="P93" s="24" t="str">
        <f ca="1">IFERROR(VLOOKUP(Tabela4[[#This Row],[Cabo]],BD!A:V,11,0),"")</f>
        <v/>
      </c>
      <c r="Q93" s="24" t="str">
        <f ca="1">IFERROR(VLOOKUP(Tabela4[[#This Row],[Cabo]],BD!A:V,12,0),"")</f>
        <v/>
      </c>
      <c r="R93" s="23" t="str">
        <f ca="1">IF(Tabela4[[#This Row],[Cabo]]&lt;&gt;"",IFERROR(VLOOKUP(Tabela4[[#This Row],[Cabo]]&amp;"-1",'Lançamento de Cabos'!$S:$T,2,0),IF(VLOOKUP(Tabela4[[#This Row],[Cabo]],BD!A:V,13,0)="---","---","")),"")</f>
        <v/>
      </c>
      <c r="S93" s="23" t="str">
        <f ca="1">IF(Tabela4[[#This Row],[Cabo]]&lt;&gt;"",IFERROR(VLOOKUP(Tabela4[[#This Row],[Cabo]]&amp;"-2",'Lançamento de Cabos'!$S:$T,2,0),IF(VLOOKUP(Tabela4[[#This Row],[Cabo]],BD!A:V,14,0)="---","---","")),"")</f>
        <v/>
      </c>
      <c r="T93" s="23" t="str">
        <f ca="1">IF(Tabela4[[#This Row],[Cabo]]&lt;&gt;"",IFERROR(VLOOKUP(Tabela4[[#This Row],[Cabo]]&amp;"-3",'Lançamento de Cabos'!$S:$T,2,0),IF(VLOOKUP(Tabela4[[#This Row],[Cabo]],BD!A:V,15,0)="---","---","")),"")</f>
        <v/>
      </c>
      <c r="U93" s="23" t="str">
        <f ca="1">IF(Tabela4[[#This Row],[Cabo]]&lt;&gt;"",IFERROR(VLOOKUP(Tabela4[[#This Row],[Cabo]]&amp;"-4",'Lançamento de Cabos'!$S:$T,2,0),IF(VLOOKUP(Tabela4[[#This Row],[Cabo]],BD!A:V,16,0)="---","---","")),"")</f>
        <v/>
      </c>
      <c r="V93" s="23" t="str">
        <f ca="1">IF(Tabela4[[#This Row],[Cabo]]&lt;&gt;"",4-COUNTIF(Tabela4[[#This Row],[Teste de Continuidade]:[Hipot]],"---"),"")</f>
        <v/>
      </c>
      <c r="W93" s="29" t="str">
        <f ca="1">IF(Tabela4[[#This Row],[Cabo]]&lt;&gt;"",(COUNTIF(Tabela4[[#This Row],[Teste de Continuidade]:[Hipot]],"OK"))/(4-COUNTIF(Tabela4[[#This Row],[Teste de Continuidade]:[Hipot]],"---")),"")</f>
        <v/>
      </c>
      <c r="X93" s="23" t="str">
        <f ca="1">IF(Tabela4[[#This Row],[Cabo]]&lt;&gt;"",SUMIFS('Lançamento de Cabos'!$AF:$AF,'Lançamento de Cabos'!AE:AE,Tabela4[[#This Row],[Cabo]],'Lançamento de Cabos'!AJ:AJ,Área!$B$1),"")</f>
        <v/>
      </c>
      <c r="Y93" s="23" t="str">
        <f ca="1">IF(Tabela4[[#This Row],[Cabo]]&lt;&gt;"",SUMIFS('Lançamento de Cabos'!$AG:$AG,'Lançamento de Cabos'!AE:AE,Tabela4[[#This Row],[Cabo]],'Lançamento de Cabos'!AJ:AJ,Área!$B$1),"")</f>
        <v/>
      </c>
      <c r="Z93" s="23" t="e">
        <f ca="1">VLOOKUP(Tabela4[[#This Row],[Cabo]],BD!A:AB,28,0)</f>
        <v>#N/A</v>
      </c>
    </row>
    <row r="94" spans="3:26" x14ac:dyDescent="0.25">
      <c r="C94" s="391" t="str">
        <f ca="1">IF($B$1="Geral",Tabela1[[#This Row],[Tag do Cabo]],IFERROR(INDEX(INDIRECT("BD!$A"&amp;D94&amp;":$A100000"),E94,1),""))</f>
        <v/>
      </c>
      <c r="D94" s="391" t="str">
        <f t="shared" ca="1" si="4"/>
        <v/>
      </c>
      <c r="E94" s="391" t="str">
        <f t="shared" ca="1" si="3"/>
        <v/>
      </c>
      <c r="F94" s="391" t="str">
        <f ca="1">IFERROR(VLOOKUP(Tabela4[[#This Row],[Cabo]],BD!A:V,2,0),"")</f>
        <v/>
      </c>
      <c r="G94" s="22" t="str">
        <f ca="1">IFERROR(VLOOKUP(Tabela4[[#This Row],[Cabo]],BD!A:V,5,0),"")</f>
        <v/>
      </c>
      <c r="H94" s="391" t="str">
        <f ca="1">IFERROR(VLOOKUP(Tabela4[[#This Row],[Cabo]],BD!A:V,3,0),"")</f>
        <v/>
      </c>
      <c r="I94" s="391" t="str">
        <f ca="1">IFERROR(VLOOKUP(Tabela4[[#This Row],[Cabo]],BD!A:V,4,0),"")</f>
        <v/>
      </c>
      <c r="J94" s="391" t="str">
        <f ca="1">IFERROR(VLOOKUP(Tabela4[[#This Row],[Cabo]],BD!A:V,7,0),"")</f>
        <v/>
      </c>
      <c r="K9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4" s="23" t="str">
        <f ca="1">IFERROR(VLOOKUP(Tabela4[[#This Row],[Cabo]],BD!A:V,9,0),"")</f>
        <v/>
      </c>
      <c r="M94" s="23" t="str">
        <f ca="1">IFERROR(VLOOKUP(Tabela4[[#This Row],[Cabo]],BD!A:AD,30,0),"")</f>
        <v/>
      </c>
      <c r="N94" s="23" t="str">
        <f ca="1">IF(SUMIF('Lançamento de Cabos'!B:B,Tabela4[[#This Row],[Cabo]],'Lançamento de Cabos'!C:C)=0,"",SUMIF('Lançamento de Cabos'!B:B,Tabela4[[#This Row],[Cabo]],'Lançamento de Cabos'!C:C))</f>
        <v/>
      </c>
      <c r="O94" s="28" t="str">
        <f ca="1">IFERROR(IF(Tabela4[[#This Row],[Compr. Lançado]]/Tabela4[[#This Row],[Compr. Prev.]]&gt;1,1,Tabela4[[#This Row],[Compr. Lançado]]/Tabela4[[#This Row],[Compr. Prev.]]),"")</f>
        <v/>
      </c>
      <c r="P94" s="24" t="str">
        <f ca="1">IFERROR(VLOOKUP(Tabela4[[#This Row],[Cabo]],BD!A:V,11,0),"")</f>
        <v/>
      </c>
      <c r="Q94" s="24" t="str">
        <f ca="1">IFERROR(VLOOKUP(Tabela4[[#This Row],[Cabo]],BD!A:V,12,0),"")</f>
        <v/>
      </c>
      <c r="R94" s="23" t="str">
        <f ca="1">IF(Tabela4[[#This Row],[Cabo]]&lt;&gt;"",IFERROR(VLOOKUP(Tabela4[[#This Row],[Cabo]]&amp;"-1",'Lançamento de Cabos'!$S:$T,2,0),IF(VLOOKUP(Tabela4[[#This Row],[Cabo]],BD!A:V,13,0)="---","---","")),"")</f>
        <v/>
      </c>
      <c r="S94" s="23" t="str">
        <f ca="1">IF(Tabela4[[#This Row],[Cabo]]&lt;&gt;"",IFERROR(VLOOKUP(Tabela4[[#This Row],[Cabo]]&amp;"-2",'Lançamento de Cabos'!$S:$T,2,0),IF(VLOOKUP(Tabela4[[#This Row],[Cabo]],BD!A:V,14,0)="---","---","")),"")</f>
        <v/>
      </c>
      <c r="T94" s="23" t="str">
        <f ca="1">IF(Tabela4[[#This Row],[Cabo]]&lt;&gt;"",IFERROR(VLOOKUP(Tabela4[[#This Row],[Cabo]]&amp;"-3",'Lançamento de Cabos'!$S:$T,2,0),IF(VLOOKUP(Tabela4[[#This Row],[Cabo]],BD!A:V,15,0)="---","---","")),"")</f>
        <v/>
      </c>
      <c r="U94" s="23" t="str">
        <f ca="1">IF(Tabela4[[#This Row],[Cabo]]&lt;&gt;"",IFERROR(VLOOKUP(Tabela4[[#This Row],[Cabo]]&amp;"-4",'Lançamento de Cabos'!$S:$T,2,0),IF(VLOOKUP(Tabela4[[#This Row],[Cabo]],BD!A:V,16,0)="---","---","")),"")</f>
        <v/>
      </c>
      <c r="V94" s="23" t="str">
        <f ca="1">IF(Tabela4[[#This Row],[Cabo]]&lt;&gt;"",4-COUNTIF(Tabela4[[#This Row],[Teste de Continuidade]:[Hipot]],"---"),"")</f>
        <v/>
      </c>
      <c r="W94" s="29" t="str">
        <f ca="1">IF(Tabela4[[#This Row],[Cabo]]&lt;&gt;"",(COUNTIF(Tabela4[[#This Row],[Teste de Continuidade]:[Hipot]],"OK"))/(4-COUNTIF(Tabela4[[#This Row],[Teste de Continuidade]:[Hipot]],"---")),"")</f>
        <v/>
      </c>
      <c r="X94" s="23" t="str">
        <f ca="1">IF(Tabela4[[#This Row],[Cabo]]&lt;&gt;"",SUMIFS('Lançamento de Cabos'!$AF:$AF,'Lançamento de Cabos'!AE:AE,Tabela4[[#This Row],[Cabo]],'Lançamento de Cabos'!AJ:AJ,Área!$B$1),"")</f>
        <v/>
      </c>
      <c r="Y94" s="23" t="str">
        <f ca="1">IF(Tabela4[[#This Row],[Cabo]]&lt;&gt;"",SUMIFS('Lançamento de Cabos'!$AG:$AG,'Lançamento de Cabos'!AE:AE,Tabela4[[#This Row],[Cabo]],'Lançamento de Cabos'!AJ:AJ,Área!$B$1),"")</f>
        <v/>
      </c>
      <c r="Z94" s="23" t="e">
        <f ca="1">VLOOKUP(Tabela4[[#This Row],[Cabo]],BD!A:AB,28,0)</f>
        <v>#N/A</v>
      </c>
    </row>
    <row r="95" spans="3:26" x14ac:dyDescent="0.25">
      <c r="C95" s="391" t="str">
        <f ca="1">IF($B$1="Geral",Tabela1[[#This Row],[Tag do Cabo]],IFERROR(INDEX(INDIRECT("BD!$A"&amp;D95&amp;":$A100000"),E95,1),""))</f>
        <v/>
      </c>
      <c r="D95" s="391" t="str">
        <f t="shared" ca="1" si="4"/>
        <v/>
      </c>
      <c r="E95" s="391" t="str">
        <f t="shared" ca="1" si="3"/>
        <v/>
      </c>
      <c r="F95" s="391" t="str">
        <f ca="1">IFERROR(VLOOKUP(Tabela4[[#This Row],[Cabo]],BD!A:V,2,0),"")</f>
        <v/>
      </c>
      <c r="G95" s="22" t="str">
        <f ca="1">IFERROR(VLOOKUP(Tabela4[[#This Row],[Cabo]],BD!A:V,5,0),"")</f>
        <v/>
      </c>
      <c r="H95" s="391" t="str">
        <f ca="1">IFERROR(VLOOKUP(Tabela4[[#This Row],[Cabo]],BD!A:V,3,0),"")</f>
        <v/>
      </c>
      <c r="I95" s="391" t="str">
        <f ca="1">IFERROR(VLOOKUP(Tabela4[[#This Row],[Cabo]],BD!A:V,4,0),"")</f>
        <v/>
      </c>
      <c r="J95" s="391" t="str">
        <f ca="1">IFERROR(VLOOKUP(Tabela4[[#This Row],[Cabo]],BD!A:V,7,0),"")</f>
        <v/>
      </c>
      <c r="K9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5" s="23" t="str">
        <f ca="1">IFERROR(VLOOKUP(Tabela4[[#This Row],[Cabo]],BD!A:V,9,0),"")</f>
        <v/>
      </c>
      <c r="M95" s="23" t="str">
        <f ca="1">IFERROR(VLOOKUP(Tabela4[[#This Row],[Cabo]],BD!A:AD,30,0),"")</f>
        <v/>
      </c>
      <c r="N95" s="23" t="str">
        <f ca="1">IF(SUMIF('Lançamento de Cabos'!B:B,Tabela4[[#This Row],[Cabo]],'Lançamento de Cabos'!C:C)=0,"",SUMIF('Lançamento de Cabos'!B:B,Tabela4[[#This Row],[Cabo]],'Lançamento de Cabos'!C:C))</f>
        <v/>
      </c>
      <c r="O95" s="28" t="str">
        <f ca="1">IFERROR(IF(Tabela4[[#This Row],[Compr. Lançado]]/Tabela4[[#This Row],[Compr. Prev.]]&gt;1,1,Tabela4[[#This Row],[Compr. Lançado]]/Tabela4[[#This Row],[Compr. Prev.]]),"")</f>
        <v/>
      </c>
      <c r="P95" s="24" t="str">
        <f ca="1">IFERROR(VLOOKUP(Tabela4[[#This Row],[Cabo]],BD!A:V,11,0),"")</f>
        <v/>
      </c>
      <c r="Q95" s="24" t="str">
        <f ca="1">IFERROR(VLOOKUP(Tabela4[[#This Row],[Cabo]],BD!A:V,12,0),"")</f>
        <v/>
      </c>
      <c r="R95" s="23" t="str">
        <f ca="1">IF(Tabela4[[#This Row],[Cabo]]&lt;&gt;"",IFERROR(VLOOKUP(Tabela4[[#This Row],[Cabo]]&amp;"-1",'Lançamento de Cabos'!$S:$T,2,0),IF(VLOOKUP(Tabela4[[#This Row],[Cabo]],BD!A:V,13,0)="---","---","")),"")</f>
        <v/>
      </c>
      <c r="S95" s="23" t="str">
        <f ca="1">IF(Tabela4[[#This Row],[Cabo]]&lt;&gt;"",IFERROR(VLOOKUP(Tabela4[[#This Row],[Cabo]]&amp;"-2",'Lançamento de Cabos'!$S:$T,2,0),IF(VLOOKUP(Tabela4[[#This Row],[Cabo]],BD!A:V,14,0)="---","---","")),"")</f>
        <v/>
      </c>
      <c r="T95" s="23" t="str">
        <f ca="1">IF(Tabela4[[#This Row],[Cabo]]&lt;&gt;"",IFERROR(VLOOKUP(Tabela4[[#This Row],[Cabo]]&amp;"-3",'Lançamento de Cabos'!$S:$T,2,0),IF(VLOOKUP(Tabela4[[#This Row],[Cabo]],BD!A:V,15,0)="---","---","")),"")</f>
        <v/>
      </c>
      <c r="U95" s="23" t="str">
        <f ca="1">IF(Tabela4[[#This Row],[Cabo]]&lt;&gt;"",IFERROR(VLOOKUP(Tabela4[[#This Row],[Cabo]]&amp;"-4",'Lançamento de Cabos'!$S:$T,2,0),IF(VLOOKUP(Tabela4[[#This Row],[Cabo]],BD!A:V,16,0)="---","---","")),"")</f>
        <v/>
      </c>
      <c r="V95" s="23" t="str">
        <f ca="1">IF(Tabela4[[#This Row],[Cabo]]&lt;&gt;"",4-COUNTIF(Tabela4[[#This Row],[Teste de Continuidade]:[Hipot]],"---"),"")</f>
        <v/>
      </c>
      <c r="W95" s="29" t="str">
        <f ca="1">IF(Tabela4[[#This Row],[Cabo]]&lt;&gt;"",(COUNTIF(Tabela4[[#This Row],[Teste de Continuidade]:[Hipot]],"OK"))/(4-COUNTIF(Tabela4[[#This Row],[Teste de Continuidade]:[Hipot]],"---")),"")</f>
        <v/>
      </c>
      <c r="X95" s="23" t="str">
        <f ca="1">IF(Tabela4[[#This Row],[Cabo]]&lt;&gt;"",SUMIFS('Lançamento de Cabos'!$AF:$AF,'Lançamento de Cabos'!AE:AE,Tabela4[[#This Row],[Cabo]],'Lançamento de Cabos'!AJ:AJ,Área!$B$1),"")</f>
        <v/>
      </c>
      <c r="Y95" s="23" t="str">
        <f ca="1">IF(Tabela4[[#This Row],[Cabo]]&lt;&gt;"",SUMIFS('Lançamento de Cabos'!$AG:$AG,'Lançamento de Cabos'!AE:AE,Tabela4[[#This Row],[Cabo]],'Lançamento de Cabos'!AJ:AJ,Área!$B$1),"")</f>
        <v/>
      </c>
      <c r="Z95" s="23" t="e">
        <f ca="1">VLOOKUP(Tabela4[[#This Row],[Cabo]],BD!A:AB,28,0)</f>
        <v>#N/A</v>
      </c>
    </row>
    <row r="96" spans="3:26" x14ac:dyDescent="0.25">
      <c r="C96" s="391" t="str">
        <f ca="1">IF($B$1="Geral",Tabela1[[#This Row],[Tag do Cabo]],IFERROR(INDEX(INDIRECT("BD!$A"&amp;D96&amp;":$A100000"),E96,1),""))</f>
        <v/>
      </c>
      <c r="D96" s="391" t="str">
        <f t="shared" ca="1" si="4"/>
        <v/>
      </c>
      <c r="E96" s="391" t="str">
        <f t="shared" ca="1" si="3"/>
        <v/>
      </c>
      <c r="F96" s="391" t="str">
        <f ca="1">IFERROR(VLOOKUP(Tabela4[[#This Row],[Cabo]],BD!A:V,2,0),"")</f>
        <v/>
      </c>
      <c r="G96" s="22" t="str">
        <f ca="1">IFERROR(VLOOKUP(Tabela4[[#This Row],[Cabo]],BD!A:V,5,0),"")</f>
        <v/>
      </c>
      <c r="H96" s="391" t="str">
        <f ca="1">IFERROR(VLOOKUP(Tabela4[[#This Row],[Cabo]],BD!A:V,3,0),"")</f>
        <v/>
      </c>
      <c r="I96" s="391" t="str">
        <f ca="1">IFERROR(VLOOKUP(Tabela4[[#This Row],[Cabo]],BD!A:V,4,0),"")</f>
        <v/>
      </c>
      <c r="J96" s="391" t="str">
        <f ca="1">IFERROR(VLOOKUP(Tabela4[[#This Row],[Cabo]],BD!A:V,7,0),"")</f>
        <v/>
      </c>
      <c r="K9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6" s="23" t="str">
        <f ca="1">IFERROR(VLOOKUP(Tabela4[[#This Row],[Cabo]],BD!A:V,9,0),"")</f>
        <v/>
      </c>
      <c r="M96" s="23" t="str">
        <f ca="1">IFERROR(VLOOKUP(Tabela4[[#This Row],[Cabo]],BD!A:AD,30,0),"")</f>
        <v/>
      </c>
      <c r="N96" s="23" t="str">
        <f ca="1">IF(SUMIF('Lançamento de Cabos'!B:B,Tabela4[[#This Row],[Cabo]],'Lançamento de Cabos'!C:C)=0,"",SUMIF('Lançamento de Cabos'!B:B,Tabela4[[#This Row],[Cabo]],'Lançamento de Cabos'!C:C))</f>
        <v/>
      </c>
      <c r="O96" s="28" t="str">
        <f ca="1">IFERROR(IF(Tabela4[[#This Row],[Compr. Lançado]]/Tabela4[[#This Row],[Compr. Prev.]]&gt;1,1,Tabela4[[#This Row],[Compr. Lançado]]/Tabela4[[#This Row],[Compr. Prev.]]),"")</f>
        <v/>
      </c>
      <c r="P96" s="24" t="str">
        <f ca="1">IFERROR(VLOOKUP(Tabela4[[#This Row],[Cabo]],BD!A:V,11,0),"")</f>
        <v/>
      </c>
      <c r="Q96" s="24" t="str">
        <f ca="1">IFERROR(VLOOKUP(Tabela4[[#This Row],[Cabo]],BD!A:V,12,0),"")</f>
        <v/>
      </c>
      <c r="R96" s="23" t="str">
        <f ca="1">IF(Tabela4[[#This Row],[Cabo]]&lt;&gt;"",IFERROR(VLOOKUP(Tabela4[[#This Row],[Cabo]]&amp;"-1",'Lançamento de Cabos'!$S:$T,2,0),IF(VLOOKUP(Tabela4[[#This Row],[Cabo]],BD!A:V,13,0)="---","---","")),"")</f>
        <v/>
      </c>
      <c r="S96" s="23" t="str">
        <f ca="1">IF(Tabela4[[#This Row],[Cabo]]&lt;&gt;"",IFERROR(VLOOKUP(Tabela4[[#This Row],[Cabo]]&amp;"-2",'Lançamento de Cabos'!$S:$T,2,0),IF(VLOOKUP(Tabela4[[#This Row],[Cabo]],BD!A:V,14,0)="---","---","")),"")</f>
        <v/>
      </c>
      <c r="T96" s="23" t="str">
        <f ca="1">IF(Tabela4[[#This Row],[Cabo]]&lt;&gt;"",IFERROR(VLOOKUP(Tabela4[[#This Row],[Cabo]]&amp;"-3",'Lançamento de Cabos'!$S:$T,2,0),IF(VLOOKUP(Tabela4[[#This Row],[Cabo]],BD!A:V,15,0)="---","---","")),"")</f>
        <v/>
      </c>
      <c r="U96" s="23" t="str">
        <f ca="1">IF(Tabela4[[#This Row],[Cabo]]&lt;&gt;"",IFERROR(VLOOKUP(Tabela4[[#This Row],[Cabo]]&amp;"-4",'Lançamento de Cabos'!$S:$T,2,0),IF(VLOOKUP(Tabela4[[#This Row],[Cabo]],BD!A:V,16,0)="---","---","")),"")</f>
        <v/>
      </c>
      <c r="V96" s="23" t="str">
        <f ca="1">IF(Tabela4[[#This Row],[Cabo]]&lt;&gt;"",4-COUNTIF(Tabela4[[#This Row],[Teste de Continuidade]:[Hipot]],"---"),"")</f>
        <v/>
      </c>
      <c r="W96" s="29" t="str">
        <f ca="1">IF(Tabela4[[#This Row],[Cabo]]&lt;&gt;"",(COUNTIF(Tabela4[[#This Row],[Teste de Continuidade]:[Hipot]],"OK"))/(4-COUNTIF(Tabela4[[#This Row],[Teste de Continuidade]:[Hipot]],"---")),"")</f>
        <v/>
      </c>
      <c r="X96" s="23" t="str">
        <f ca="1">IF(Tabela4[[#This Row],[Cabo]]&lt;&gt;"",SUMIFS('Lançamento de Cabos'!$AF:$AF,'Lançamento de Cabos'!AE:AE,Tabela4[[#This Row],[Cabo]],'Lançamento de Cabos'!AJ:AJ,Área!$B$1),"")</f>
        <v/>
      </c>
      <c r="Y96" s="23" t="str">
        <f ca="1">IF(Tabela4[[#This Row],[Cabo]]&lt;&gt;"",SUMIFS('Lançamento de Cabos'!$AG:$AG,'Lançamento de Cabos'!AE:AE,Tabela4[[#This Row],[Cabo]],'Lançamento de Cabos'!AJ:AJ,Área!$B$1),"")</f>
        <v/>
      </c>
      <c r="Z96" s="23" t="e">
        <f ca="1">VLOOKUP(Tabela4[[#This Row],[Cabo]],BD!A:AB,28,0)</f>
        <v>#N/A</v>
      </c>
    </row>
    <row r="97" spans="3:26" x14ac:dyDescent="0.25">
      <c r="C97" s="391" t="str">
        <f ca="1">IF($B$1="Geral",Tabela1[[#This Row],[Tag do Cabo]],IFERROR(INDEX(INDIRECT("BD!$A"&amp;D97&amp;":$A100000"),E97,1),""))</f>
        <v/>
      </c>
      <c r="D97" s="391" t="str">
        <f t="shared" ca="1" si="4"/>
        <v/>
      </c>
      <c r="E97" s="391" t="str">
        <f t="shared" ca="1" si="3"/>
        <v/>
      </c>
      <c r="F97" s="391" t="str">
        <f ca="1">IFERROR(VLOOKUP(Tabela4[[#This Row],[Cabo]],BD!A:V,2,0),"")</f>
        <v/>
      </c>
      <c r="G97" s="22" t="str">
        <f ca="1">IFERROR(VLOOKUP(Tabela4[[#This Row],[Cabo]],BD!A:V,5,0),"")</f>
        <v/>
      </c>
      <c r="H97" s="391" t="str">
        <f ca="1">IFERROR(VLOOKUP(Tabela4[[#This Row],[Cabo]],BD!A:V,3,0),"")</f>
        <v/>
      </c>
      <c r="I97" s="391" t="str">
        <f ca="1">IFERROR(VLOOKUP(Tabela4[[#This Row],[Cabo]],BD!A:V,4,0),"")</f>
        <v/>
      </c>
      <c r="J97" s="391" t="str">
        <f ca="1">IFERROR(VLOOKUP(Tabela4[[#This Row],[Cabo]],BD!A:V,7,0),"")</f>
        <v/>
      </c>
      <c r="K9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7" s="23" t="str">
        <f ca="1">IFERROR(VLOOKUP(Tabela4[[#This Row],[Cabo]],BD!A:V,9,0),"")</f>
        <v/>
      </c>
      <c r="M97" s="23" t="str">
        <f ca="1">IFERROR(VLOOKUP(Tabela4[[#This Row],[Cabo]],BD!A:AD,30,0),"")</f>
        <v/>
      </c>
      <c r="N97" s="23" t="str">
        <f ca="1">IF(SUMIF('Lançamento de Cabos'!B:B,Tabela4[[#This Row],[Cabo]],'Lançamento de Cabos'!C:C)=0,"",SUMIF('Lançamento de Cabos'!B:B,Tabela4[[#This Row],[Cabo]],'Lançamento de Cabos'!C:C))</f>
        <v/>
      </c>
      <c r="O97" s="28" t="str">
        <f ca="1">IFERROR(IF(Tabela4[[#This Row],[Compr. Lançado]]/Tabela4[[#This Row],[Compr. Prev.]]&gt;1,1,Tabela4[[#This Row],[Compr. Lançado]]/Tabela4[[#This Row],[Compr. Prev.]]),"")</f>
        <v/>
      </c>
      <c r="P97" s="24" t="str">
        <f ca="1">IFERROR(VLOOKUP(Tabela4[[#This Row],[Cabo]],BD!A:V,11,0),"")</f>
        <v/>
      </c>
      <c r="Q97" s="24" t="str">
        <f ca="1">IFERROR(VLOOKUP(Tabela4[[#This Row],[Cabo]],BD!A:V,12,0),"")</f>
        <v/>
      </c>
      <c r="R97" s="23" t="str">
        <f ca="1">IF(Tabela4[[#This Row],[Cabo]]&lt;&gt;"",IFERROR(VLOOKUP(Tabela4[[#This Row],[Cabo]]&amp;"-1",'Lançamento de Cabos'!$S:$T,2,0),IF(VLOOKUP(Tabela4[[#This Row],[Cabo]],BD!A:V,13,0)="---","---","")),"")</f>
        <v/>
      </c>
      <c r="S97" s="23" t="str">
        <f ca="1">IF(Tabela4[[#This Row],[Cabo]]&lt;&gt;"",IFERROR(VLOOKUP(Tabela4[[#This Row],[Cabo]]&amp;"-2",'Lançamento de Cabos'!$S:$T,2,0),IF(VLOOKUP(Tabela4[[#This Row],[Cabo]],BD!A:V,14,0)="---","---","")),"")</f>
        <v/>
      </c>
      <c r="T97" s="23" t="str">
        <f ca="1">IF(Tabela4[[#This Row],[Cabo]]&lt;&gt;"",IFERROR(VLOOKUP(Tabela4[[#This Row],[Cabo]]&amp;"-3",'Lançamento de Cabos'!$S:$T,2,0),IF(VLOOKUP(Tabela4[[#This Row],[Cabo]],BD!A:V,15,0)="---","---","")),"")</f>
        <v/>
      </c>
      <c r="U97" s="23" t="str">
        <f ca="1">IF(Tabela4[[#This Row],[Cabo]]&lt;&gt;"",IFERROR(VLOOKUP(Tabela4[[#This Row],[Cabo]]&amp;"-4",'Lançamento de Cabos'!$S:$T,2,0),IF(VLOOKUP(Tabela4[[#This Row],[Cabo]],BD!A:V,16,0)="---","---","")),"")</f>
        <v/>
      </c>
      <c r="V97" s="23" t="str">
        <f ca="1">IF(Tabela4[[#This Row],[Cabo]]&lt;&gt;"",4-COUNTIF(Tabela4[[#This Row],[Teste de Continuidade]:[Hipot]],"---"),"")</f>
        <v/>
      </c>
      <c r="W97" s="29" t="str">
        <f ca="1">IF(Tabela4[[#This Row],[Cabo]]&lt;&gt;"",(COUNTIF(Tabela4[[#This Row],[Teste de Continuidade]:[Hipot]],"OK"))/(4-COUNTIF(Tabela4[[#This Row],[Teste de Continuidade]:[Hipot]],"---")),"")</f>
        <v/>
      </c>
      <c r="X97" s="23" t="str">
        <f ca="1">IF(Tabela4[[#This Row],[Cabo]]&lt;&gt;"",SUMIFS('Lançamento de Cabos'!$AF:$AF,'Lançamento de Cabos'!AE:AE,Tabela4[[#This Row],[Cabo]],'Lançamento de Cabos'!AJ:AJ,Área!$B$1),"")</f>
        <v/>
      </c>
      <c r="Y97" s="23" t="str">
        <f ca="1">IF(Tabela4[[#This Row],[Cabo]]&lt;&gt;"",SUMIFS('Lançamento de Cabos'!$AG:$AG,'Lançamento de Cabos'!AE:AE,Tabela4[[#This Row],[Cabo]],'Lançamento de Cabos'!AJ:AJ,Área!$B$1),"")</f>
        <v/>
      </c>
      <c r="Z97" s="23" t="e">
        <f ca="1">VLOOKUP(Tabela4[[#This Row],[Cabo]],BD!A:AB,28,0)</f>
        <v>#N/A</v>
      </c>
    </row>
    <row r="98" spans="3:26" x14ac:dyDescent="0.25">
      <c r="C98" s="391" t="str">
        <f ca="1">IF($B$1="Geral",Tabela1[[#This Row],[Tag do Cabo]],IFERROR(INDEX(INDIRECT("BD!$A"&amp;D98&amp;":$A100000"),E98,1),""))</f>
        <v/>
      </c>
      <c r="D98" s="391" t="str">
        <f t="shared" ca="1" si="4"/>
        <v/>
      </c>
      <c r="E98" s="391" t="str">
        <f t="shared" ref="E98:E129" ca="1" si="5">IFERROR(MATCH($B$1,INDIRECT("BD!$J"&amp;D98&amp;":$J100000"),0),"")</f>
        <v/>
      </c>
      <c r="F98" s="391" t="str">
        <f ca="1">IFERROR(VLOOKUP(Tabela4[[#This Row],[Cabo]],BD!A:V,2,0),"")</f>
        <v/>
      </c>
      <c r="G98" s="22" t="str">
        <f ca="1">IFERROR(VLOOKUP(Tabela4[[#This Row],[Cabo]],BD!A:V,5,0),"")</f>
        <v/>
      </c>
      <c r="H98" s="391" t="str">
        <f ca="1">IFERROR(VLOOKUP(Tabela4[[#This Row],[Cabo]],BD!A:V,3,0),"")</f>
        <v/>
      </c>
      <c r="I98" s="391" t="str">
        <f ca="1">IFERROR(VLOOKUP(Tabela4[[#This Row],[Cabo]],BD!A:V,4,0),"")</f>
        <v/>
      </c>
      <c r="J98" s="391" t="str">
        <f ca="1">IFERROR(VLOOKUP(Tabela4[[#This Row],[Cabo]],BD!A:V,7,0),"")</f>
        <v/>
      </c>
      <c r="K9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8" s="23" t="str">
        <f ca="1">IFERROR(VLOOKUP(Tabela4[[#This Row],[Cabo]],BD!A:V,9,0),"")</f>
        <v/>
      </c>
      <c r="M98" s="23" t="str">
        <f ca="1">IFERROR(VLOOKUP(Tabela4[[#This Row],[Cabo]],BD!A:AD,30,0),"")</f>
        <v/>
      </c>
      <c r="N98" s="23" t="str">
        <f ca="1">IF(SUMIF('Lançamento de Cabos'!B:B,Tabela4[[#This Row],[Cabo]],'Lançamento de Cabos'!C:C)=0,"",SUMIF('Lançamento de Cabos'!B:B,Tabela4[[#This Row],[Cabo]],'Lançamento de Cabos'!C:C))</f>
        <v/>
      </c>
      <c r="O98" s="28" t="str">
        <f ca="1">IFERROR(IF(Tabela4[[#This Row],[Compr. Lançado]]/Tabela4[[#This Row],[Compr. Prev.]]&gt;1,1,Tabela4[[#This Row],[Compr. Lançado]]/Tabela4[[#This Row],[Compr. Prev.]]),"")</f>
        <v/>
      </c>
      <c r="P98" s="24" t="str">
        <f ca="1">IFERROR(VLOOKUP(Tabela4[[#This Row],[Cabo]],BD!A:V,11,0),"")</f>
        <v/>
      </c>
      <c r="Q98" s="24" t="str">
        <f ca="1">IFERROR(VLOOKUP(Tabela4[[#This Row],[Cabo]],BD!A:V,12,0),"")</f>
        <v/>
      </c>
      <c r="R98" s="23" t="str">
        <f ca="1">IF(Tabela4[[#This Row],[Cabo]]&lt;&gt;"",IFERROR(VLOOKUP(Tabela4[[#This Row],[Cabo]]&amp;"-1",'Lançamento de Cabos'!$S:$T,2,0),IF(VLOOKUP(Tabela4[[#This Row],[Cabo]],BD!A:V,13,0)="---","---","")),"")</f>
        <v/>
      </c>
      <c r="S98" s="23" t="str">
        <f ca="1">IF(Tabela4[[#This Row],[Cabo]]&lt;&gt;"",IFERROR(VLOOKUP(Tabela4[[#This Row],[Cabo]]&amp;"-2",'Lançamento de Cabos'!$S:$T,2,0),IF(VLOOKUP(Tabela4[[#This Row],[Cabo]],BD!A:V,14,0)="---","---","")),"")</f>
        <v/>
      </c>
      <c r="T98" s="23" t="str">
        <f ca="1">IF(Tabela4[[#This Row],[Cabo]]&lt;&gt;"",IFERROR(VLOOKUP(Tabela4[[#This Row],[Cabo]]&amp;"-3",'Lançamento de Cabos'!$S:$T,2,0),IF(VLOOKUP(Tabela4[[#This Row],[Cabo]],BD!A:V,15,0)="---","---","")),"")</f>
        <v/>
      </c>
      <c r="U98" s="23" t="str">
        <f ca="1">IF(Tabela4[[#This Row],[Cabo]]&lt;&gt;"",IFERROR(VLOOKUP(Tabela4[[#This Row],[Cabo]]&amp;"-4",'Lançamento de Cabos'!$S:$T,2,0),IF(VLOOKUP(Tabela4[[#This Row],[Cabo]],BD!A:V,16,0)="---","---","")),"")</f>
        <v/>
      </c>
      <c r="V98" s="23" t="str">
        <f ca="1">IF(Tabela4[[#This Row],[Cabo]]&lt;&gt;"",4-COUNTIF(Tabela4[[#This Row],[Teste de Continuidade]:[Hipot]],"---"),"")</f>
        <v/>
      </c>
      <c r="W98" s="29" t="str">
        <f ca="1">IF(Tabela4[[#This Row],[Cabo]]&lt;&gt;"",(COUNTIF(Tabela4[[#This Row],[Teste de Continuidade]:[Hipot]],"OK"))/(4-COUNTIF(Tabela4[[#This Row],[Teste de Continuidade]:[Hipot]],"---")),"")</f>
        <v/>
      </c>
      <c r="X98" s="23" t="str">
        <f ca="1">IF(Tabela4[[#This Row],[Cabo]]&lt;&gt;"",SUMIFS('Lançamento de Cabos'!$AF:$AF,'Lançamento de Cabos'!AE:AE,Tabela4[[#This Row],[Cabo]],'Lançamento de Cabos'!AJ:AJ,Área!$B$1),"")</f>
        <v/>
      </c>
      <c r="Y98" s="23" t="str">
        <f ca="1">IF(Tabela4[[#This Row],[Cabo]]&lt;&gt;"",SUMIFS('Lançamento de Cabos'!$AG:$AG,'Lançamento de Cabos'!AE:AE,Tabela4[[#This Row],[Cabo]],'Lançamento de Cabos'!AJ:AJ,Área!$B$1),"")</f>
        <v/>
      </c>
      <c r="Z98" s="23" t="e">
        <f ca="1">VLOOKUP(Tabela4[[#This Row],[Cabo]],BD!A:AB,28,0)</f>
        <v>#N/A</v>
      </c>
    </row>
    <row r="99" spans="3:26" x14ac:dyDescent="0.25">
      <c r="C99" s="391" t="str">
        <f ca="1">IF($B$1="Geral",Tabela1[[#This Row],[Tag do Cabo]],IFERROR(INDEX(INDIRECT("BD!$A"&amp;D99&amp;":$A100000"),E99,1),""))</f>
        <v/>
      </c>
      <c r="D99" s="391" t="str">
        <f t="shared" ca="1" si="4"/>
        <v/>
      </c>
      <c r="E99" s="391" t="str">
        <f t="shared" ca="1" si="5"/>
        <v/>
      </c>
      <c r="F99" s="391" t="str">
        <f ca="1">IFERROR(VLOOKUP(Tabela4[[#This Row],[Cabo]],BD!A:V,2,0),"")</f>
        <v/>
      </c>
      <c r="G99" s="22" t="str">
        <f ca="1">IFERROR(VLOOKUP(Tabela4[[#This Row],[Cabo]],BD!A:V,5,0),"")</f>
        <v/>
      </c>
      <c r="H99" s="391" t="str">
        <f ca="1">IFERROR(VLOOKUP(Tabela4[[#This Row],[Cabo]],BD!A:V,3,0),"")</f>
        <v/>
      </c>
      <c r="I99" s="391" t="str">
        <f ca="1">IFERROR(VLOOKUP(Tabela4[[#This Row],[Cabo]],BD!A:V,4,0),"")</f>
        <v/>
      </c>
      <c r="J99" s="391" t="str">
        <f ca="1">IFERROR(VLOOKUP(Tabela4[[#This Row],[Cabo]],BD!A:V,7,0),"")</f>
        <v/>
      </c>
      <c r="K9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99" s="23" t="str">
        <f ca="1">IFERROR(VLOOKUP(Tabela4[[#This Row],[Cabo]],BD!A:V,9,0),"")</f>
        <v/>
      </c>
      <c r="M99" s="23" t="str">
        <f ca="1">IFERROR(VLOOKUP(Tabela4[[#This Row],[Cabo]],BD!A:AD,30,0),"")</f>
        <v/>
      </c>
      <c r="N99" s="23" t="str">
        <f ca="1">IF(SUMIF('Lançamento de Cabos'!B:B,Tabela4[[#This Row],[Cabo]],'Lançamento de Cabos'!C:C)=0,"",SUMIF('Lançamento de Cabos'!B:B,Tabela4[[#This Row],[Cabo]],'Lançamento de Cabos'!C:C))</f>
        <v/>
      </c>
      <c r="O99" s="28" t="str">
        <f ca="1">IFERROR(IF(Tabela4[[#This Row],[Compr. Lançado]]/Tabela4[[#This Row],[Compr. Prev.]]&gt;1,1,Tabela4[[#This Row],[Compr. Lançado]]/Tabela4[[#This Row],[Compr. Prev.]]),"")</f>
        <v/>
      </c>
      <c r="P99" s="24" t="str">
        <f ca="1">IFERROR(VLOOKUP(Tabela4[[#This Row],[Cabo]],BD!A:V,11,0),"")</f>
        <v/>
      </c>
      <c r="Q99" s="24" t="str">
        <f ca="1">IFERROR(VLOOKUP(Tabela4[[#This Row],[Cabo]],BD!A:V,12,0),"")</f>
        <v/>
      </c>
      <c r="R99" s="23" t="str">
        <f ca="1">IF(Tabela4[[#This Row],[Cabo]]&lt;&gt;"",IFERROR(VLOOKUP(Tabela4[[#This Row],[Cabo]]&amp;"-1",'Lançamento de Cabos'!$S:$T,2,0),IF(VLOOKUP(Tabela4[[#This Row],[Cabo]],BD!A:V,13,0)="---","---","")),"")</f>
        <v/>
      </c>
      <c r="S99" s="23" t="str">
        <f ca="1">IF(Tabela4[[#This Row],[Cabo]]&lt;&gt;"",IFERROR(VLOOKUP(Tabela4[[#This Row],[Cabo]]&amp;"-2",'Lançamento de Cabos'!$S:$T,2,0),IF(VLOOKUP(Tabela4[[#This Row],[Cabo]],BD!A:V,14,0)="---","---","")),"")</f>
        <v/>
      </c>
      <c r="T99" s="23" t="str">
        <f ca="1">IF(Tabela4[[#This Row],[Cabo]]&lt;&gt;"",IFERROR(VLOOKUP(Tabela4[[#This Row],[Cabo]]&amp;"-3",'Lançamento de Cabos'!$S:$T,2,0),IF(VLOOKUP(Tabela4[[#This Row],[Cabo]],BD!A:V,15,0)="---","---","")),"")</f>
        <v/>
      </c>
      <c r="U99" s="23" t="str">
        <f ca="1">IF(Tabela4[[#This Row],[Cabo]]&lt;&gt;"",IFERROR(VLOOKUP(Tabela4[[#This Row],[Cabo]]&amp;"-4",'Lançamento de Cabos'!$S:$T,2,0),IF(VLOOKUP(Tabela4[[#This Row],[Cabo]],BD!A:V,16,0)="---","---","")),"")</f>
        <v/>
      </c>
      <c r="V99" s="23" t="str">
        <f ca="1">IF(Tabela4[[#This Row],[Cabo]]&lt;&gt;"",4-COUNTIF(Tabela4[[#This Row],[Teste de Continuidade]:[Hipot]],"---"),"")</f>
        <v/>
      </c>
      <c r="W99" s="29" t="str">
        <f ca="1">IF(Tabela4[[#This Row],[Cabo]]&lt;&gt;"",(COUNTIF(Tabela4[[#This Row],[Teste de Continuidade]:[Hipot]],"OK"))/(4-COUNTIF(Tabela4[[#This Row],[Teste de Continuidade]:[Hipot]],"---")),"")</f>
        <v/>
      </c>
      <c r="X99" s="23" t="str">
        <f ca="1">IF(Tabela4[[#This Row],[Cabo]]&lt;&gt;"",SUMIFS('Lançamento de Cabos'!$AF:$AF,'Lançamento de Cabos'!AE:AE,Tabela4[[#This Row],[Cabo]],'Lançamento de Cabos'!AJ:AJ,Área!$B$1),"")</f>
        <v/>
      </c>
      <c r="Y99" s="23" t="str">
        <f ca="1">IF(Tabela4[[#This Row],[Cabo]]&lt;&gt;"",SUMIFS('Lançamento de Cabos'!$AG:$AG,'Lançamento de Cabos'!AE:AE,Tabela4[[#This Row],[Cabo]],'Lançamento de Cabos'!AJ:AJ,Área!$B$1),"")</f>
        <v/>
      </c>
      <c r="Z99" s="23" t="e">
        <f ca="1">VLOOKUP(Tabela4[[#This Row],[Cabo]],BD!A:AB,28,0)</f>
        <v>#N/A</v>
      </c>
    </row>
    <row r="100" spans="3:26" x14ac:dyDescent="0.25">
      <c r="C100" s="391" t="str">
        <f ca="1">IF($B$1="Geral",Tabela1[[#This Row],[Tag do Cabo]],IFERROR(INDEX(INDIRECT("BD!$A"&amp;D100&amp;":$A100000"),E100,1),""))</f>
        <v/>
      </c>
      <c r="D100" s="391" t="str">
        <f t="shared" ca="1" si="4"/>
        <v/>
      </c>
      <c r="E100" s="391" t="str">
        <f t="shared" ca="1" si="5"/>
        <v/>
      </c>
      <c r="F100" s="391" t="str">
        <f ca="1">IFERROR(VLOOKUP(Tabela4[[#This Row],[Cabo]],BD!A:V,2,0),"")</f>
        <v/>
      </c>
      <c r="G100" s="22" t="str">
        <f ca="1">IFERROR(VLOOKUP(Tabela4[[#This Row],[Cabo]],BD!A:V,5,0),"")</f>
        <v/>
      </c>
      <c r="H100" s="391" t="str">
        <f ca="1">IFERROR(VLOOKUP(Tabela4[[#This Row],[Cabo]],BD!A:V,3,0),"")</f>
        <v/>
      </c>
      <c r="I100" s="391" t="str">
        <f ca="1">IFERROR(VLOOKUP(Tabela4[[#This Row],[Cabo]],BD!A:V,4,0),"")</f>
        <v/>
      </c>
      <c r="J100" s="391" t="str">
        <f ca="1">IFERROR(VLOOKUP(Tabela4[[#This Row],[Cabo]],BD!A:V,7,0),"")</f>
        <v/>
      </c>
      <c r="K10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0" s="23" t="str">
        <f ca="1">IFERROR(VLOOKUP(Tabela4[[#This Row],[Cabo]],BD!A:V,9,0),"")</f>
        <v/>
      </c>
      <c r="M100" s="23" t="str">
        <f ca="1">IFERROR(VLOOKUP(Tabela4[[#This Row],[Cabo]],BD!A:AD,30,0),"")</f>
        <v/>
      </c>
      <c r="N100" s="23" t="str">
        <f ca="1">IF(SUMIF('Lançamento de Cabos'!B:B,Tabela4[[#This Row],[Cabo]],'Lançamento de Cabos'!C:C)=0,"",SUMIF('Lançamento de Cabos'!B:B,Tabela4[[#This Row],[Cabo]],'Lançamento de Cabos'!C:C))</f>
        <v/>
      </c>
      <c r="O100" s="28" t="str">
        <f ca="1">IFERROR(IF(Tabela4[[#This Row],[Compr. Lançado]]/Tabela4[[#This Row],[Compr. Prev.]]&gt;1,1,Tabela4[[#This Row],[Compr. Lançado]]/Tabela4[[#This Row],[Compr. Prev.]]),"")</f>
        <v/>
      </c>
      <c r="P100" s="24" t="str">
        <f ca="1">IFERROR(VLOOKUP(Tabela4[[#This Row],[Cabo]],BD!A:V,11,0),"")</f>
        <v/>
      </c>
      <c r="Q100" s="24" t="str">
        <f ca="1">IFERROR(VLOOKUP(Tabela4[[#This Row],[Cabo]],BD!A:V,12,0),"")</f>
        <v/>
      </c>
      <c r="R10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0" s="23" t="str">
        <f ca="1">IF(Tabela4[[#This Row],[Cabo]]&lt;&gt;"",4-COUNTIF(Tabela4[[#This Row],[Teste de Continuidade]:[Hipot]],"---"),"")</f>
        <v/>
      </c>
      <c r="W100" s="29" t="str">
        <f ca="1">IF(Tabela4[[#This Row],[Cabo]]&lt;&gt;"",(COUNTIF(Tabela4[[#This Row],[Teste de Continuidade]:[Hipot]],"OK"))/(4-COUNTIF(Tabela4[[#This Row],[Teste de Continuidade]:[Hipot]],"---")),"")</f>
        <v/>
      </c>
      <c r="X100" s="23" t="str">
        <f ca="1">IF(Tabela4[[#This Row],[Cabo]]&lt;&gt;"",SUMIFS('Lançamento de Cabos'!$AF:$AF,'Lançamento de Cabos'!AE:AE,Tabela4[[#This Row],[Cabo]],'Lançamento de Cabos'!AJ:AJ,Área!$B$1),"")</f>
        <v/>
      </c>
      <c r="Y100" s="23" t="str">
        <f ca="1">IF(Tabela4[[#This Row],[Cabo]]&lt;&gt;"",SUMIFS('Lançamento de Cabos'!$AG:$AG,'Lançamento de Cabos'!AE:AE,Tabela4[[#This Row],[Cabo]],'Lançamento de Cabos'!AJ:AJ,Área!$B$1),"")</f>
        <v/>
      </c>
      <c r="Z100" s="23" t="e">
        <f ca="1">VLOOKUP(Tabela4[[#This Row],[Cabo]],BD!A:AB,28,0)</f>
        <v>#N/A</v>
      </c>
    </row>
    <row r="101" spans="3:26" x14ac:dyDescent="0.25">
      <c r="C101" s="391" t="str">
        <f ca="1">IF($B$1="Geral",Tabela1[[#This Row],[Tag do Cabo]],IFERROR(INDEX(INDIRECT("BD!$A"&amp;D101&amp;":$A100000"),E101,1),""))</f>
        <v/>
      </c>
      <c r="D101" s="391" t="str">
        <f t="shared" ca="1" si="4"/>
        <v/>
      </c>
      <c r="E101" s="391" t="str">
        <f t="shared" ca="1" si="5"/>
        <v/>
      </c>
      <c r="F101" s="391" t="str">
        <f ca="1">IFERROR(VLOOKUP(Tabela4[[#This Row],[Cabo]],BD!A:V,2,0),"")</f>
        <v/>
      </c>
      <c r="G101" s="22" t="str">
        <f ca="1">IFERROR(VLOOKUP(Tabela4[[#This Row],[Cabo]],BD!A:V,5,0),"")</f>
        <v/>
      </c>
      <c r="H101" s="391" t="str">
        <f ca="1">IFERROR(VLOOKUP(Tabela4[[#This Row],[Cabo]],BD!A:V,3,0),"")</f>
        <v/>
      </c>
      <c r="I101" s="391" t="str">
        <f ca="1">IFERROR(VLOOKUP(Tabela4[[#This Row],[Cabo]],BD!A:V,4,0),"")</f>
        <v/>
      </c>
      <c r="J101" s="391" t="str">
        <f ca="1">IFERROR(VLOOKUP(Tabela4[[#This Row],[Cabo]],BD!A:V,7,0),"")</f>
        <v/>
      </c>
      <c r="K10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1" s="23" t="str">
        <f ca="1">IFERROR(VLOOKUP(Tabela4[[#This Row],[Cabo]],BD!A:V,9,0),"")</f>
        <v/>
      </c>
      <c r="M101" s="23" t="str">
        <f ca="1">IFERROR(VLOOKUP(Tabela4[[#This Row],[Cabo]],BD!A:AD,30,0),"")</f>
        <v/>
      </c>
      <c r="N101" s="23" t="str">
        <f ca="1">IF(SUMIF('Lançamento de Cabos'!B:B,Tabela4[[#This Row],[Cabo]],'Lançamento de Cabos'!C:C)=0,"",SUMIF('Lançamento de Cabos'!B:B,Tabela4[[#This Row],[Cabo]],'Lançamento de Cabos'!C:C))</f>
        <v/>
      </c>
      <c r="O101" s="28" t="str">
        <f ca="1">IFERROR(IF(Tabela4[[#This Row],[Compr. Lançado]]/Tabela4[[#This Row],[Compr. Prev.]]&gt;1,1,Tabela4[[#This Row],[Compr. Lançado]]/Tabela4[[#This Row],[Compr. Prev.]]),"")</f>
        <v/>
      </c>
      <c r="P101" s="24" t="str">
        <f ca="1">IFERROR(VLOOKUP(Tabela4[[#This Row],[Cabo]],BD!A:V,11,0),"")</f>
        <v/>
      </c>
      <c r="Q101" s="24" t="str">
        <f ca="1">IFERROR(VLOOKUP(Tabela4[[#This Row],[Cabo]],BD!A:V,12,0),"")</f>
        <v/>
      </c>
      <c r="R10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1" s="23" t="str">
        <f ca="1">IF(Tabela4[[#This Row],[Cabo]]&lt;&gt;"",4-COUNTIF(Tabela4[[#This Row],[Teste de Continuidade]:[Hipot]],"---"),"")</f>
        <v/>
      </c>
      <c r="W101" s="29" t="str">
        <f ca="1">IF(Tabela4[[#This Row],[Cabo]]&lt;&gt;"",(COUNTIF(Tabela4[[#This Row],[Teste de Continuidade]:[Hipot]],"OK"))/(4-COUNTIF(Tabela4[[#This Row],[Teste de Continuidade]:[Hipot]],"---")),"")</f>
        <v/>
      </c>
      <c r="X101" s="23" t="str">
        <f ca="1">IF(Tabela4[[#This Row],[Cabo]]&lt;&gt;"",SUMIFS('Lançamento de Cabos'!$AF:$AF,'Lançamento de Cabos'!AE:AE,Tabela4[[#This Row],[Cabo]],'Lançamento de Cabos'!AJ:AJ,Área!$B$1),"")</f>
        <v/>
      </c>
      <c r="Y101" s="23" t="str">
        <f ca="1">IF(Tabela4[[#This Row],[Cabo]]&lt;&gt;"",SUMIFS('Lançamento de Cabos'!$AG:$AG,'Lançamento de Cabos'!AE:AE,Tabela4[[#This Row],[Cabo]],'Lançamento de Cabos'!AJ:AJ,Área!$B$1),"")</f>
        <v/>
      </c>
      <c r="Z101" s="23" t="e">
        <f ca="1">VLOOKUP(Tabela4[[#This Row],[Cabo]],BD!A:AB,28,0)</f>
        <v>#N/A</v>
      </c>
    </row>
    <row r="102" spans="3:26" x14ac:dyDescent="0.25">
      <c r="C102" s="391" t="str">
        <f ca="1">IF($B$1="Geral",Tabela1[[#This Row],[Tag do Cabo]],IFERROR(INDEX(INDIRECT("BD!$A"&amp;D102&amp;":$A100000"),E102,1),""))</f>
        <v/>
      </c>
      <c r="D102" s="391" t="str">
        <f t="shared" ca="1" si="4"/>
        <v/>
      </c>
      <c r="E102" s="391" t="str">
        <f t="shared" ca="1" si="5"/>
        <v/>
      </c>
      <c r="F102" s="391" t="str">
        <f ca="1">IFERROR(VLOOKUP(Tabela4[[#This Row],[Cabo]],BD!A:V,2,0),"")</f>
        <v/>
      </c>
      <c r="G102" s="22" t="str">
        <f ca="1">IFERROR(VLOOKUP(Tabela4[[#This Row],[Cabo]],BD!A:V,5,0),"")</f>
        <v/>
      </c>
      <c r="H102" s="391" t="str">
        <f ca="1">IFERROR(VLOOKUP(Tabela4[[#This Row],[Cabo]],BD!A:V,3,0),"")</f>
        <v/>
      </c>
      <c r="I102" s="391" t="str">
        <f ca="1">IFERROR(VLOOKUP(Tabela4[[#This Row],[Cabo]],BD!A:V,4,0),"")</f>
        <v/>
      </c>
      <c r="J102" s="391" t="str">
        <f ca="1">IFERROR(VLOOKUP(Tabela4[[#This Row],[Cabo]],BD!A:V,7,0),"")</f>
        <v/>
      </c>
      <c r="K10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2" s="23" t="str">
        <f ca="1">IFERROR(VLOOKUP(Tabela4[[#This Row],[Cabo]],BD!A:V,9,0),"")</f>
        <v/>
      </c>
      <c r="M102" s="23" t="str">
        <f ca="1">IFERROR(VLOOKUP(Tabela4[[#This Row],[Cabo]],BD!A:AD,30,0),"")</f>
        <v/>
      </c>
      <c r="N102" s="23" t="str">
        <f ca="1">IF(SUMIF('Lançamento de Cabos'!B:B,Tabela4[[#This Row],[Cabo]],'Lançamento de Cabos'!C:C)=0,"",SUMIF('Lançamento de Cabos'!B:B,Tabela4[[#This Row],[Cabo]],'Lançamento de Cabos'!C:C))</f>
        <v/>
      </c>
      <c r="O102" s="28" t="str">
        <f ca="1">IFERROR(IF(Tabela4[[#This Row],[Compr. Lançado]]/Tabela4[[#This Row],[Compr. Prev.]]&gt;1,1,Tabela4[[#This Row],[Compr. Lançado]]/Tabela4[[#This Row],[Compr. Prev.]]),"")</f>
        <v/>
      </c>
      <c r="P102" s="24" t="str">
        <f ca="1">IFERROR(VLOOKUP(Tabela4[[#This Row],[Cabo]],BD!A:V,11,0),"")</f>
        <v/>
      </c>
      <c r="Q102" s="24" t="str">
        <f ca="1">IFERROR(VLOOKUP(Tabela4[[#This Row],[Cabo]],BD!A:V,12,0),"")</f>
        <v/>
      </c>
      <c r="R10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2" s="23" t="str">
        <f ca="1">IF(Tabela4[[#This Row],[Cabo]]&lt;&gt;"",4-COUNTIF(Tabela4[[#This Row],[Teste de Continuidade]:[Hipot]],"---"),"")</f>
        <v/>
      </c>
      <c r="W102" s="29" t="str">
        <f ca="1">IF(Tabela4[[#This Row],[Cabo]]&lt;&gt;"",(COUNTIF(Tabela4[[#This Row],[Teste de Continuidade]:[Hipot]],"OK"))/(4-COUNTIF(Tabela4[[#This Row],[Teste de Continuidade]:[Hipot]],"---")),"")</f>
        <v/>
      </c>
      <c r="X102" s="23" t="str">
        <f ca="1">IF(Tabela4[[#This Row],[Cabo]]&lt;&gt;"",SUMIFS('Lançamento de Cabos'!$AF:$AF,'Lançamento de Cabos'!AE:AE,Tabela4[[#This Row],[Cabo]],'Lançamento de Cabos'!AJ:AJ,Área!$B$1),"")</f>
        <v/>
      </c>
      <c r="Y102" s="23" t="str">
        <f ca="1">IF(Tabela4[[#This Row],[Cabo]]&lt;&gt;"",SUMIFS('Lançamento de Cabos'!$AG:$AG,'Lançamento de Cabos'!AE:AE,Tabela4[[#This Row],[Cabo]],'Lançamento de Cabos'!AJ:AJ,Área!$B$1),"")</f>
        <v/>
      </c>
      <c r="Z102" s="23" t="e">
        <f ca="1">VLOOKUP(Tabela4[[#This Row],[Cabo]],BD!A:AB,28,0)</f>
        <v>#N/A</v>
      </c>
    </row>
    <row r="103" spans="3:26" x14ac:dyDescent="0.25">
      <c r="C103" s="391" t="str">
        <f ca="1">IF($B$1="Geral",Tabela1[[#This Row],[Tag do Cabo]],IFERROR(INDEX(INDIRECT("BD!$A"&amp;D103&amp;":$A100000"),E103,1),""))</f>
        <v/>
      </c>
      <c r="D103" s="391" t="str">
        <f t="shared" ca="1" si="4"/>
        <v/>
      </c>
      <c r="E103" s="391" t="str">
        <f t="shared" ca="1" si="5"/>
        <v/>
      </c>
      <c r="F103" s="391" t="str">
        <f ca="1">IFERROR(VLOOKUP(Tabela4[[#This Row],[Cabo]],BD!A:V,2,0),"")</f>
        <v/>
      </c>
      <c r="G103" s="22" t="str">
        <f ca="1">IFERROR(VLOOKUP(Tabela4[[#This Row],[Cabo]],BD!A:V,5,0),"")</f>
        <v/>
      </c>
      <c r="H103" s="391" t="str">
        <f ca="1">IFERROR(VLOOKUP(Tabela4[[#This Row],[Cabo]],BD!A:V,3,0),"")</f>
        <v/>
      </c>
      <c r="I103" s="391" t="str">
        <f ca="1">IFERROR(VLOOKUP(Tabela4[[#This Row],[Cabo]],BD!A:V,4,0),"")</f>
        <v/>
      </c>
      <c r="J103" s="391" t="str">
        <f ca="1">IFERROR(VLOOKUP(Tabela4[[#This Row],[Cabo]],BD!A:V,7,0),"")</f>
        <v/>
      </c>
      <c r="K10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3" s="23" t="str">
        <f ca="1">IFERROR(VLOOKUP(Tabela4[[#This Row],[Cabo]],BD!A:V,9,0),"")</f>
        <v/>
      </c>
      <c r="M103" s="23" t="str">
        <f ca="1">IFERROR(VLOOKUP(Tabela4[[#This Row],[Cabo]],BD!A:AD,30,0),"")</f>
        <v/>
      </c>
      <c r="N103" s="23" t="str">
        <f ca="1">IF(SUMIF('Lançamento de Cabos'!B:B,Tabela4[[#This Row],[Cabo]],'Lançamento de Cabos'!C:C)=0,"",SUMIF('Lançamento de Cabos'!B:B,Tabela4[[#This Row],[Cabo]],'Lançamento de Cabos'!C:C))</f>
        <v/>
      </c>
      <c r="O103" s="28" t="str">
        <f ca="1">IFERROR(IF(Tabela4[[#This Row],[Compr. Lançado]]/Tabela4[[#This Row],[Compr. Prev.]]&gt;1,1,Tabela4[[#This Row],[Compr. Lançado]]/Tabela4[[#This Row],[Compr. Prev.]]),"")</f>
        <v/>
      </c>
      <c r="P103" s="24" t="str">
        <f ca="1">IFERROR(VLOOKUP(Tabela4[[#This Row],[Cabo]],BD!A:V,11,0),"")</f>
        <v/>
      </c>
      <c r="Q103" s="24" t="str">
        <f ca="1">IFERROR(VLOOKUP(Tabela4[[#This Row],[Cabo]],BD!A:V,12,0),"")</f>
        <v/>
      </c>
      <c r="R10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3" s="23" t="str">
        <f ca="1">IF(Tabela4[[#This Row],[Cabo]]&lt;&gt;"",4-COUNTIF(Tabela4[[#This Row],[Teste de Continuidade]:[Hipot]],"---"),"")</f>
        <v/>
      </c>
      <c r="W103" s="29" t="str">
        <f ca="1">IF(Tabela4[[#This Row],[Cabo]]&lt;&gt;"",(COUNTIF(Tabela4[[#This Row],[Teste de Continuidade]:[Hipot]],"OK"))/(4-COUNTIF(Tabela4[[#This Row],[Teste de Continuidade]:[Hipot]],"---")),"")</f>
        <v/>
      </c>
      <c r="X103" s="23" t="str">
        <f ca="1">IF(Tabela4[[#This Row],[Cabo]]&lt;&gt;"",SUMIFS('Lançamento de Cabos'!$AF:$AF,'Lançamento de Cabos'!AE:AE,Tabela4[[#This Row],[Cabo]],'Lançamento de Cabos'!AJ:AJ,Área!$B$1),"")</f>
        <v/>
      </c>
      <c r="Y103" s="23" t="str">
        <f ca="1">IF(Tabela4[[#This Row],[Cabo]]&lt;&gt;"",SUMIFS('Lançamento de Cabos'!$AG:$AG,'Lançamento de Cabos'!AE:AE,Tabela4[[#This Row],[Cabo]],'Lançamento de Cabos'!AJ:AJ,Área!$B$1),"")</f>
        <v/>
      </c>
      <c r="Z103" s="23" t="e">
        <f ca="1">VLOOKUP(Tabela4[[#This Row],[Cabo]],BD!A:AB,28,0)</f>
        <v>#N/A</v>
      </c>
    </row>
    <row r="104" spans="3:26" x14ac:dyDescent="0.25">
      <c r="C104" s="391" t="str">
        <f ca="1">IF($B$1="Geral",Tabela1[[#This Row],[Tag do Cabo]],IFERROR(INDEX(INDIRECT("BD!$A"&amp;D104&amp;":$A100000"),E104,1),""))</f>
        <v/>
      </c>
      <c r="D104" s="391" t="str">
        <f t="shared" ca="1" si="4"/>
        <v/>
      </c>
      <c r="E104" s="391" t="str">
        <f t="shared" ca="1" si="5"/>
        <v/>
      </c>
      <c r="F104" s="391" t="str">
        <f ca="1">IFERROR(VLOOKUP(Tabela4[[#This Row],[Cabo]],BD!A:V,2,0),"")</f>
        <v/>
      </c>
      <c r="G104" s="22" t="str">
        <f ca="1">IFERROR(VLOOKUP(Tabela4[[#This Row],[Cabo]],BD!A:V,5,0),"")</f>
        <v/>
      </c>
      <c r="H104" s="391" t="str">
        <f ca="1">IFERROR(VLOOKUP(Tabela4[[#This Row],[Cabo]],BD!A:V,3,0),"")</f>
        <v/>
      </c>
      <c r="I104" s="391" t="str">
        <f ca="1">IFERROR(VLOOKUP(Tabela4[[#This Row],[Cabo]],BD!A:V,4,0),"")</f>
        <v/>
      </c>
      <c r="J104" s="391" t="str">
        <f ca="1">IFERROR(VLOOKUP(Tabela4[[#This Row],[Cabo]],BD!A:V,7,0),"")</f>
        <v/>
      </c>
      <c r="K10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4" s="23" t="str">
        <f ca="1">IFERROR(VLOOKUP(Tabela4[[#This Row],[Cabo]],BD!A:V,9,0),"")</f>
        <v/>
      </c>
      <c r="M104" s="23" t="str">
        <f ca="1">IFERROR(VLOOKUP(Tabela4[[#This Row],[Cabo]],BD!A:AD,30,0),"")</f>
        <v/>
      </c>
      <c r="N104" s="23" t="str">
        <f ca="1">IF(SUMIF('Lançamento de Cabos'!B:B,Tabela4[[#This Row],[Cabo]],'Lançamento de Cabos'!C:C)=0,"",SUMIF('Lançamento de Cabos'!B:B,Tabela4[[#This Row],[Cabo]],'Lançamento de Cabos'!C:C))</f>
        <v/>
      </c>
      <c r="O104" s="28" t="str">
        <f ca="1">IFERROR(IF(Tabela4[[#This Row],[Compr. Lançado]]/Tabela4[[#This Row],[Compr. Prev.]]&gt;1,1,Tabela4[[#This Row],[Compr. Lançado]]/Tabela4[[#This Row],[Compr. Prev.]]),"")</f>
        <v/>
      </c>
      <c r="P104" s="24" t="str">
        <f ca="1">IFERROR(VLOOKUP(Tabela4[[#This Row],[Cabo]],BD!A:V,11,0),"")</f>
        <v/>
      </c>
      <c r="Q104" s="24" t="str">
        <f ca="1">IFERROR(VLOOKUP(Tabela4[[#This Row],[Cabo]],BD!A:V,12,0),"")</f>
        <v/>
      </c>
      <c r="R10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4" s="23" t="str">
        <f ca="1">IF(Tabela4[[#This Row],[Cabo]]&lt;&gt;"",4-COUNTIF(Tabela4[[#This Row],[Teste de Continuidade]:[Hipot]],"---"),"")</f>
        <v/>
      </c>
      <c r="W104" s="29" t="str">
        <f ca="1">IF(Tabela4[[#This Row],[Cabo]]&lt;&gt;"",(COUNTIF(Tabela4[[#This Row],[Teste de Continuidade]:[Hipot]],"OK"))/(4-COUNTIF(Tabela4[[#This Row],[Teste de Continuidade]:[Hipot]],"---")),"")</f>
        <v/>
      </c>
      <c r="X104" s="23" t="str">
        <f ca="1">IF(Tabela4[[#This Row],[Cabo]]&lt;&gt;"",SUMIFS('Lançamento de Cabos'!$AF:$AF,'Lançamento de Cabos'!AE:AE,Tabela4[[#This Row],[Cabo]],'Lançamento de Cabos'!AJ:AJ,Área!$B$1),"")</f>
        <v/>
      </c>
      <c r="Y104" s="23" t="str">
        <f ca="1">IF(Tabela4[[#This Row],[Cabo]]&lt;&gt;"",SUMIFS('Lançamento de Cabos'!$AG:$AG,'Lançamento de Cabos'!AE:AE,Tabela4[[#This Row],[Cabo]],'Lançamento de Cabos'!AJ:AJ,Área!$B$1),"")</f>
        <v/>
      </c>
      <c r="Z104" s="23" t="e">
        <f ca="1">VLOOKUP(Tabela4[[#This Row],[Cabo]],BD!A:AB,28,0)</f>
        <v>#N/A</v>
      </c>
    </row>
    <row r="105" spans="3:26" x14ac:dyDescent="0.25">
      <c r="C105" s="391" t="str">
        <f ca="1">IF($B$1="Geral",Tabela1[[#This Row],[Tag do Cabo]],IFERROR(INDEX(INDIRECT("BD!$A"&amp;D105&amp;":$A100000"),E105,1),""))</f>
        <v/>
      </c>
      <c r="D105" s="391" t="str">
        <f t="shared" ca="1" si="4"/>
        <v/>
      </c>
      <c r="E105" s="391" t="str">
        <f t="shared" ca="1" si="5"/>
        <v/>
      </c>
      <c r="F105" s="391" t="str">
        <f ca="1">IFERROR(VLOOKUP(Tabela4[[#This Row],[Cabo]],BD!A:V,2,0),"")</f>
        <v/>
      </c>
      <c r="G105" s="22" t="str">
        <f ca="1">IFERROR(VLOOKUP(Tabela4[[#This Row],[Cabo]],BD!A:V,5,0),"")</f>
        <v/>
      </c>
      <c r="H105" s="391" t="str">
        <f ca="1">IFERROR(VLOOKUP(Tabela4[[#This Row],[Cabo]],BD!A:V,3,0),"")</f>
        <v/>
      </c>
      <c r="I105" s="391" t="str">
        <f ca="1">IFERROR(VLOOKUP(Tabela4[[#This Row],[Cabo]],BD!A:V,4,0),"")</f>
        <v/>
      </c>
      <c r="J105" s="391" t="str">
        <f ca="1">IFERROR(VLOOKUP(Tabela4[[#This Row],[Cabo]],BD!A:V,7,0),"")</f>
        <v/>
      </c>
      <c r="K10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5" s="23" t="str">
        <f ca="1">IFERROR(VLOOKUP(Tabela4[[#This Row],[Cabo]],BD!A:V,9,0),"")</f>
        <v/>
      </c>
      <c r="M105" s="23" t="str">
        <f ca="1">IFERROR(VLOOKUP(Tabela4[[#This Row],[Cabo]],BD!A:AD,30,0),"")</f>
        <v/>
      </c>
      <c r="N105" s="23" t="str">
        <f ca="1">IF(SUMIF('Lançamento de Cabos'!B:B,Tabela4[[#This Row],[Cabo]],'Lançamento de Cabos'!C:C)=0,"",SUMIF('Lançamento de Cabos'!B:B,Tabela4[[#This Row],[Cabo]],'Lançamento de Cabos'!C:C))</f>
        <v/>
      </c>
      <c r="O105" s="28" t="str">
        <f ca="1">IFERROR(IF(Tabela4[[#This Row],[Compr. Lançado]]/Tabela4[[#This Row],[Compr. Prev.]]&gt;1,1,Tabela4[[#This Row],[Compr. Lançado]]/Tabela4[[#This Row],[Compr. Prev.]]),"")</f>
        <v/>
      </c>
      <c r="P105" s="24" t="str">
        <f ca="1">IFERROR(VLOOKUP(Tabela4[[#This Row],[Cabo]],BD!A:V,11,0),"")</f>
        <v/>
      </c>
      <c r="Q105" s="24" t="str">
        <f ca="1">IFERROR(VLOOKUP(Tabela4[[#This Row],[Cabo]],BD!A:V,12,0),"")</f>
        <v/>
      </c>
      <c r="R10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5" s="23" t="str">
        <f ca="1">IF(Tabela4[[#This Row],[Cabo]]&lt;&gt;"",4-COUNTIF(Tabela4[[#This Row],[Teste de Continuidade]:[Hipot]],"---"),"")</f>
        <v/>
      </c>
      <c r="W105" s="29" t="str">
        <f ca="1">IF(Tabela4[[#This Row],[Cabo]]&lt;&gt;"",(COUNTIF(Tabela4[[#This Row],[Teste de Continuidade]:[Hipot]],"OK"))/(4-COUNTIF(Tabela4[[#This Row],[Teste de Continuidade]:[Hipot]],"---")),"")</f>
        <v/>
      </c>
      <c r="X105" s="23" t="str">
        <f ca="1">IF(Tabela4[[#This Row],[Cabo]]&lt;&gt;"",SUMIFS('Lançamento de Cabos'!$AF:$AF,'Lançamento de Cabos'!AE:AE,Tabela4[[#This Row],[Cabo]],'Lançamento de Cabos'!AJ:AJ,Área!$B$1),"")</f>
        <v/>
      </c>
      <c r="Y105" s="23" t="str">
        <f ca="1">IF(Tabela4[[#This Row],[Cabo]]&lt;&gt;"",SUMIFS('Lançamento de Cabos'!$AG:$AG,'Lançamento de Cabos'!AE:AE,Tabela4[[#This Row],[Cabo]],'Lançamento de Cabos'!AJ:AJ,Área!$B$1),"")</f>
        <v/>
      </c>
      <c r="Z105" s="23" t="e">
        <f ca="1">VLOOKUP(Tabela4[[#This Row],[Cabo]],BD!A:AB,28,0)</f>
        <v>#N/A</v>
      </c>
    </row>
    <row r="106" spans="3:26" x14ac:dyDescent="0.25">
      <c r="C106" s="391" t="str">
        <f ca="1">IF($B$1="Geral",Tabela1[[#This Row],[Tag do Cabo]],IFERROR(INDEX(INDIRECT("BD!$A"&amp;D106&amp;":$A100000"),E106,1),""))</f>
        <v/>
      </c>
      <c r="D106" s="391" t="str">
        <f t="shared" ca="1" si="4"/>
        <v/>
      </c>
      <c r="E106" s="391" t="str">
        <f t="shared" ca="1" si="5"/>
        <v/>
      </c>
      <c r="F106" s="391" t="str">
        <f ca="1">IFERROR(VLOOKUP(Tabela4[[#This Row],[Cabo]],BD!A:V,2,0),"")</f>
        <v/>
      </c>
      <c r="G106" s="22" t="str">
        <f ca="1">IFERROR(VLOOKUP(Tabela4[[#This Row],[Cabo]],BD!A:V,5,0),"")</f>
        <v/>
      </c>
      <c r="H106" s="391" t="str">
        <f ca="1">IFERROR(VLOOKUP(Tabela4[[#This Row],[Cabo]],BD!A:V,3,0),"")</f>
        <v/>
      </c>
      <c r="I106" s="391" t="str">
        <f ca="1">IFERROR(VLOOKUP(Tabela4[[#This Row],[Cabo]],BD!A:V,4,0),"")</f>
        <v/>
      </c>
      <c r="J106" s="391" t="str">
        <f ca="1">IFERROR(VLOOKUP(Tabela4[[#This Row],[Cabo]],BD!A:V,7,0),"")</f>
        <v/>
      </c>
      <c r="K10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6" s="23" t="str">
        <f ca="1">IFERROR(VLOOKUP(Tabela4[[#This Row],[Cabo]],BD!A:V,9,0),"")</f>
        <v/>
      </c>
      <c r="M106" s="23" t="str">
        <f ca="1">IFERROR(VLOOKUP(Tabela4[[#This Row],[Cabo]],BD!A:AD,30,0),"")</f>
        <v/>
      </c>
      <c r="N106" s="23" t="str">
        <f ca="1">IF(SUMIF('Lançamento de Cabos'!B:B,Tabela4[[#This Row],[Cabo]],'Lançamento de Cabos'!C:C)=0,"",SUMIF('Lançamento de Cabos'!B:B,Tabela4[[#This Row],[Cabo]],'Lançamento de Cabos'!C:C))</f>
        <v/>
      </c>
      <c r="O106" s="28" t="str">
        <f ca="1">IFERROR(IF(Tabela4[[#This Row],[Compr. Lançado]]/Tabela4[[#This Row],[Compr. Prev.]]&gt;1,1,Tabela4[[#This Row],[Compr. Lançado]]/Tabela4[[#This Row],[Compr. Prev.]]),"")</f>
        <v/>
      </c>
      <c r="P106" s="24" t="str">
        <f ca="1">IFERROR(VLOOKUP(Tabela4[[#This Row],[Cabo]],BD!A:V,11,0),"")</f>
        <v/>
      </c>
      <c r="Q106" s="24" t="str">
        <f ca="1">IFERROR(VLOOKUP(Tabela4[[#This Row],[Cabo]],BD!A:V,12,0),"")</f>
        <v/>
      </c>
      <c r="R10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6" s="23" t="str">
        <f ca="1">IF(Tabela4[[#This Row],[Cabo]]&lt;&gt;"",4-COUNTIF(Tabela4[[#This Row],[Teste de Continuidade]:[Hipot]],"---"),"")</f>
        <v/>
      </c>
      <c r="W106" s="29" t="str">
        <f ca="1">IF(Tabela4[[#This Row],[Cabo]]&lt;&gt;"",(COUNTIF(Tabela4[[#This Row],[Teste de Continuidade]:[Hipot]],"OK"))/(4-COUNTIF(Tabela4[[#This Row],[Teste de Continuidade]:[Hipot]],"---")),"")</f>
        <v/>
      </c>
      <c r="X106" s="23" t="str">
        <f ca="1">IF(Tabela4[[#This Row],[Cabo]]&lt;&gt;"",SUMIFS('Lançamento de Cabos'!$AF:$AF,'Lançamento de Cabos'!AE:AE,Tabela4[[#This Row],[Cabo]],'Lançamento de Cabos'!AJ:AJ,Área!$B$1),"")</f>
        <v/>
      </c>
      <c r="Y106" s="23" t="str">
        <f ca="1">IF(Tabela4[[#This Row],[Cabo]]&lt;&gt;"",SUMIFS('Lançamento de Cabos'!$AG:$AG,'Lançamento de Cabos'!AE:AE,Tabela4[[#This Row],[Cabo]],'Lançamento de Cabos'!AJ:AJ,Área!$B$1),"")</f>
        <v/>
      </c>
      <c r="Z106" s="23" t="e">
        <f ca="1">VLOOKUP(Tabela4[[#This Row],[Cabo]],BD!A:AB,28,0)</f>
        <v>#N/A</v>
      </c>
    </row>
    <row r="107" spans="3:26" x14ac:dyDescent="0.25">
      <c r="C107" s="391" t="str">
        <f ca="1">IF($B$1="Geral",Tabela1[[#This Row],[Tag do Cabo]],IFERROR(INDEX(INDIRECT("BD!$A"&amp;D107&amp;":$A100000"),E107,1),""))</f>
        <v/>
      </c>
      <c r="D107" s="391" t="str">
        <f t="shared" ca="1" si="4"/>
        <v/>
      </c>
      <c r="E107" s="391" t="str">
        <f t="shared" ca="1" si="5"/>
        <v/>
      </c>
      <c r="F107" s="391" t="str">
        <f ca="1">IFERROR(VLOOKUP(Tabela4[[#This Row],[Cabo]],BD!A:V,2,0),"")</f>
        <v/>
      </c>
      <c r="G107" s="22" t="str">
        <f ca="1">IFERROR(VLOOKUP(Tabela4[[#This Row],[Cabo]],BD!A:V,5,0),"")</f>
        <v/>
      </c>
      <c r="H107" s="391" t="str">
        <f ca="1">IFERROR(VLOOKUP(Tabela4[[#This Row],[Cabo]],BD!A:V,3,0),"")</f>
        <v/>
      </c>
      <c r="I107" s="391" t="str">
        <f ca="1">IFERROR(VLOOKUP(Tabela4[[#This Row],[Cabo]],BD!A:V,4,0),"")</f>
        <v/>
      </c>
      <c r="J107" s="391" t="str">
        <f ca="1">IFERROR(VLOOKUP(Tabela4[[#This Row],[Cabo]],BD!A:V,7,0),"")</f>
        <v/>
      </c>
      <c r="K10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7" s="23" t="str">
        <f ca="1">IFERROR(VLOOKUP(Tabela4[[#This Row],[Cabo]],BD!A:V,9,0),"")</f>
        <v/>
      </c>
      <c r="M107" s="23" t="str">
        <f ca="1">IFERROR(VLOOKUP(Tabela4[[#This Row],[Cabo]],BD!A:AD,30,0),"")</f>
        <v/>
      </c>
      <c r="N107" s="23" t="str">
        <f ca="1">IF(SUMIF('Lançamento de Cabos'!B:B,Tabela4[[#This Row],[Cabo]],'Lançamento de Cabos'!C:C)=0,"",SUMIF('Lançamento de Cabos'!B:B,Tabela4[[#This Row],[Cabo]],'Lançamento de Cabos'!C:C))</f>
        <v/>
      </c>
      <c r="O107" s="28" t="str">
        <f ca="1">IFERROR(IF(Tabela4[[#This Row],[Compr. Lançado]]/Tabela4[[#This Row],[Compr. Prev.]]&gt;1,1,Tabela4[[#This Row],[Compr. Lançado]]/Tabela4[[#This Row],[Compr. Prev.]]),"")</f>
        <v/>
      </c>
      <c r="P107" s="24" t="str">
        <f ca="1">IFERROR(VLOOKUP(Tabela4[[#This Row],[Cabo]],BD!A:V,11,0),"")</f>
        <v/>
      </c>
      <c r="Q107" s="24" t="str">
        <f ca="1">IFERROR(VLOOKUP(Tabela4[[#This Row],[Cabo]],BD!A:V,12,0),"")</f>
        <v/>
      </c>
      <c r="R10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7" s="23" t="str">
        <f ca="1">IF(Tabela4[[#This Row],[Cabo]]&lt;&gt;"",4-COUNTIF(Tabela4[[#This Row],[Teste de Continuidade]:[Hipot]],"---"),"")</f>
        <v/>
      </c>
      <c r="W107" s="29" t="str">
        <f ca="1">IF(Tabela4[[#This Row],[Cabo]]&lt;&gt;"",(COUNTIF(Tabela4[[#This Row],[Teste de Continuidade]:[Hipot]],"OK"))/(4-COUNTIF(Tabela4[[#This Row],[Teste de Continuidade]:[Hipot]],"---")),"")</f>
        <v/>
      </c>
      <c r="X107" s="23" t="str">
        <f ca="1">IF(Tabela4[[#This Row],[Cabo]]&lt;&gt;"",SUMIFS('Lançamento de Cabos'!$AF:$AF,'Lançamento de Cabos'!AE:AE,Tabela4[[#This Row],[Cabo]],'Lançamento de Cabos'!AJ:AJ,Área!$B$1),"")</f>
        <v/>
      </c>
      <c r="Y107" s="23" t="str">
        <f ca="1">IF(Tabela4[[#This Row],[Cabo]]&lt;&gt;"",SUMIFS('Lançamento de Cabos'!$AG:$AG,'Lançamento de Cabos'!AE:AE,Tabela4[[#This Row],[Cabo]],'Lançamento de Cabos'!AJ:AJ,Área!$B$1),"")</f>
        <v/>
      </c>
      <c r="Z107" s="23" t="e">
        <f ca="1">VLOOKUP(Tabela4[[#This Row],[Cabo]],BD!A:AB,28,0)</f>
        <v>#N/A</v>
      </c>
    </row>
    <row r="108" spans="3:26" x14ac:dyDescent="0.25">
      <c r="C108" s="391" t="str">
        <f ca="1">IF($B$1="Geral",Tabela1[[#This Row],[Tag do Cabo]],IFERROR(INDEX(INDIRECT("BD!$A"&amp;D108&amp;":$A100000"),E108,1),""))</f>
        <v/>
      </c>
      <c r="D108" s="391" t="str">
        <f t="shared" ca="1" si="4"/>
        <v/>
      </c>
      <c r="E108" s="391" t="str">
        <f t="shared" ca="1" si="5"/>
        <v/>
      </c>
      <c r="F108" s="391" t="str">
        <f ca="1">IFERROR(VLOOKUP(Tabela4[[#This Row],[Cabo]],BD!A:V,2,0),"")</f>
        <v/>
      </c>
      <c r="G108" s="22" t="str">
        <f ca="1">IFERROR(VLOOKUP(Tabela4[[#This Row],[Cabo]],BD!A:V,5,0),"")</f>
        <v/>
      </c>
      <c r="H108" s="391" t="str">
        <f ca="1">IFERROR(VLOOKUP(Tabela4[[#This Row],[Cabo]],BD!A:V,3,0),"")</f>
        <v/>
      </c>
      <c r="I108" s="391" t="str">
        <f ca="1">IFERROR(VLOOKUP(Tabela4[[#This Row],[Cabo]],BD!A:V,4,0),"")</f>
        <v/>
      </c>
      <c r="J108" s="391" t="str">
        <f ca="1">IFERROR(VLOOKUP(Tabela4[[#This Row],[Cabo]],BD!A:V,7,0),"")</f>
        <v/>
      </c>
      <c r="K10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8" s="23" t="str">
        <f ca="1">IFERROR(VLOOKUP(Tabela4[[#This Row],[Cabo]],BD!A:V,9,0),"")</f>
        <v/>
      </c>
      <c r="M108" s="23" t="str">
        <f ca="1">IFERROR(VLOOKUP(Tabela4[[#This Row],[Cabo]],BD!A:AD,30,0),"")</f>
        <v/>
      </c>
      <c r="N108" s="23" t="str">
        <f ca="1">IF(SUMIF('Lançamento de Cabos'!B:B,Tabela4[[#This Row],[Cabo]],'Lançamento de Cabos'!C:C)=0,"",SUMIF('Lançamento de Cabos'!B:B,Tabela4[[#This Row],[Cabo]],'Lançamento de Cabos'!C:C))</f>
        <v/>
      </c>
      <c r="O108" s="28" t="str">
        <f ca="1">IFERROR(IF(Tabela4[[#This Row],[Compr. Lançado]]/Tabela4[[#This Row],[Compr. Prev.]]&gt;1,1,Tabela4[[#This Row],[Compr. Lançado]]/Tabela4[[#This Row],[Compr. Prev.]]),"")</f>
        <v/>
      </c>
      <c r="P108" s="24" t="str">
        <f ca="1">IFERROR(VLOOKUP(Tabela4[[#This Row],[Cabo]],BD!A:V,11,0),"")</f>
        <v/>
      </c>
      <c r="Q108" s="24" t="str">
        <f ca="1">IFERROR(VLOOKUP(Tabela4[[#This Row],[Cabo]],BD!A:V,12,0),"")</f>
        <v/>
      </c>
      <c r="R10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8" s="23" t="str">
        <f ca="1">IF(Tabela4[[#This Row],[Cabo]]&lt;&gt;"",4-COUNTIF(Tabela4[[#This Row],[Teste de Continuidade]:[Hipot]],"---"),"")</f>
        <v/>
      </c>
      <c r="W108" s="29" t="str">
        <f ca="1">IF(Tabela4[[#This Row],[Cabo]]&lt;&gt;"",(COUNTIF(Tabela4[[#This Row],[Teste de Continuidade]:[Hipot]],"OK"))/(4-COUNTIF(Tabela4[[#This Row],[Teste de Continuidade]:[Hipot]],"---")),"")</f>
        <v/>
      </c>
      <c r="X108" s="23" t="str">
        <f ca="1">IF(Tabela4[[#This Row],[Cabo]]&lt;&gt;"",SUMIFS('Lançamento de Cabos'!$AF:$AF,'Lançamento de Cabos'!AE:AE,Tabela4[[#This Row],[Cabo]],'Lançamento de Cabos'!AJ:AJ,Área!$B$1),"")</f>
        <v/>
      </c>
      <c r="Y108" s="23" t="str">
        <f ca="1">IF(Tabela4[[#This Row],[Cabo]]&lt;&gt;"",SUMIFS('Lançamento de Cabos'!$AG:$AG,'Lançamento de Cabos'!AE:AE,Tabela4[[#This Row],[Cabo]],'Lançamento de Cabos'!AJ:AJ,Área!$B$1),"")</f>
        <v/>
      </c>
      <c r="Z108" s="23" t="e">
        <f ca="1">VLOOKUP(Tabela4[[#This Row],[Cabo]],BD!A:AB,28,0)</f>
        <v>#N/A</v>
      </c>
    </row>
    <row r="109" spans="3:26" x14ac:dyDescent="0.25">
      <c r="C109" s="391" t="str">
        <f ca="1">IF($B$1="Geral",Tabela1[[#This Row],[Tag do Cabo]],IFERROR(INDEX(INDIRECT("BD!$A"&amp;D109&amp;":$A100000"),E109,1),""))</f>
        <v/>
      </c>
      <c r="D109" s="391" t="str">
        <f t="shared" ca="1" si="4"/>
        <v/>
      </c>
      <c r="E109" s="391" t="str">
        <f t="shared" ca="1" si="5"/>
        <v/>
      </c>
      <c r="F109" s="391" t="str">
        <f ca="1">IFERROR(VLOOKUP(Tabela4[[#This Row],[Cabo]],BD!A:V,2,0),"")</f>
        <v/>
      </c>
      <c r="G109" s="22" t="str">
        <f ca="1">IFERROR(VLOOKUP(Tabela4[[#This Row],[Cabo]],BD!A:V,5,0),"")</f>
        <v/>
      </c>
      <c r="H109" s="391" t="str">
        <f ca="1">IFERROR(VLOOKUP(Tabela4[[#This Row],[Cabo]],BD!A:V,3,0),"")</f>
        <v/>
      </c>
      <c r="I109" s="391" t="str">
        <f ca="1">IFERROR(VLOOKUP(Tabela4[[#This Row],[Cabo]],BD!A:V,4,0),"")</f>
        <v/>
      </c>
      <c r="J109" s="391" t="str">
        <f ca="1">IFERROR(VLOOKUP(Tabela4[[#This Row],[Cabo]],BD!A:V,7,0),"")</f>
        <v/>
      </c>
      <c r="K10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09" s="23" t="str">
        <f ca="1">IFERROR(VLOOKUP(Tabela4[[#This Row],[Cabo]],BD!A:V,9,0),"")</f>
        <v/>
      </c>
      <c r="M109" s="23" t="str">
        <f ca="1">IFERROR(VLOOKUP(Tabela4[[#This Row],[Cabo]],BD!A:AD,30,0),"")</f>
        <v/>
      </c>
      <c r="N109" s="23" t="str">
        <f ca="1">IF(SUMIF('Lançamento de Cabos'!B:B,Tabela4[[#This Row],[Cabo]],'Lançamento de Cabos'!C:C)=0,"",SUMIF('Lançamento de Cabos'!B:B,Tabela4[[#This Row],[Cabo]],'Lançamento de Cabos'!C:C))</f>
        <v/>
      </c>
      <c r="O109" s="28" t="str">
        <f ca="1">IFERROR(IF(Tabela4[[#This Row],[Compr. Lançado]]/Tabela4[[#This Row],[Compr. Prev.]]&gt;1,1,Tabela4[[#This Row],[Compr. Lançado]]/Tabela4[[#This Row],[Compr. Prev.]]),"")</f>
        <v/>
      </c>
      <c r="P109" s="24" t="str">
        <f ca="1">IFERROR(VLOOKUP(Tabela4[[#This Row],[Cabo]],BD!A:V,11,0),"")</f>
        <v/>
      </c>
      <c r="Q109" s="24" t="str">
        <f ca="1">IFERROR(VLOOKUP(Tabela4[[#This Row],[Cabo]],BD!A:V,12,0),"")</f>
        <v/>
      </c>
      <c r="R10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0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0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0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09" s="23" t="str">
        <f ca="1">IF(Tabela4[[#This Row],[Cabo]]&lt;&gt;"",4-COUNTIF(Tabela4[[#This Row],[Teste de Continuidade]:[Hipot]],"---"),"")</f>
        <v/>
      </c>
      <c r="W109" s="29" t="str">
        <f ca="1">IF(Tabela4[[#This Row],[Cabo]]&lt;&gt;"",(COUNTIF(Tabela4[[#This Row],[Teste de Continuidade]:[Hipot]],"OK"))/(4-COUNTIF(Tabela4[[#This Row],[Teste de Continuidade]:[Hipot]],"---")),"")</f>
        <v/>
      </c>
      <c r="X109" s="23" t="str">
        <f ca="1">IF(Tabela4[[#This Row],[Cabo]]&lt;&gt;"",SUMIFS('Lançamento de Cabos'!$AF:$AF,'Lançamento de Cabos'!AE:AE,Tabela4[[#This Row],[Cabo]],'Lançamento de Cabos'!AJ:AJ,Área!$B$1),"")</f>
        <v/>
      </c>
      <c r="Y109" s="23" t="str">
        <f ca="1">IF(Tabela4[[#This Row],[Cabo]]&lt;&gt;"",SUMIFS('Lançamento de Cabos'!$AG:$AG,'Lançamento de Cabos'!AE:AE,Tabela4[[#This Row],[Cabo]],'Lançamento de Cabos'!AJ:AJ,Área!$B$1),"")</f>
        <v/>
      </c>
      <c r="Z109" s="23" t="e">
        <f ca="1">VLOOKUP(Tabela4[[#This Row],[Cabo]],BD!A:AB,28,0)</f>
        <v>#N/A</v>
      </c>
    </row>
    <row r="110" spans="3:26" x14ac:dyDescent="0.25">
      <c r="C110" s="391" t="str">
        <f ca="1">IF($B$1="Geral",Tabela1[[#This Row],[Tag do Cabo]],IFERROR(INDEX(INDIRECT("BD!$A"&amp;D110&amp;":$A100000"),E110,1),""))</f>
        <v/>
      </c>
      <c r="D110" s="391" t="str">
        <f t="shared" ca="1" si="4"/>
        <v/>
      </c>
      <c r="E110" s="391" t="str">
        <f t="shared" ca="1" si="5"/>
        <v/>
      </c>
      <c r="F110" s="391" t="str">
        <f ca="1">IFERROR(VLOOKUP(Tabela4[[#This Row],[Cabo]],BD!A:V,2,0),"")</f>
        <v/>
      </c>
      <c r="G110" s="22" t="str">
        <f ca="1">IFERROR(VLOOKUP(Tabela4[[#This Row],[Cabo]],BD!A:V,5,0),"")</f>
        <v/>
      </c>
      <c r="H110" s="391" t="str">
        <f ca="1">IFERROR(VLOOKUP(Tabela4[[#This Row],[Cabo]],BD!A:V,3,0),"")</f>
        <v/>
      </c>
      <c r="I110" s="391" t="str">
        <f ca="1">IFERROR(VLOOKUP(Tabela4[[#This Row],[Cabo]],BD!A:V,4,0),"")</f>
        <v/>
      </c>
      <c r="J110" s="391" t="str">
        <f ca="1">IFERROR(VLOOKUP(Tabela4[[#This Row],[Cabo]],BD!A:V,7,0),"")</f>
        <v/>
      </c>
      <c r="K11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0" s="23" t="str">
        <f ca="1">IFERROR(VLOOKUP(Tabela4[[#This Row],[Cabo]],BD!A:V,9,0),"")</f>
        <v/>
      </c>
      <c r="M110" s="23" t="str">
        <f ca="1">IFERROR(VLOOKUP(Tabela4[[#This Row],[Cabo]],BD!A:AD,30,0),"")</f>
        <v/>
      </c>
      <c r="N110" s="23" t="str">
        <f ca="1">IF(SUMIF('Lançamento de Cabos'!B:B,Tabela4[[#This Row],[Cabo]],'Lançamento de Cabos'!C:C)=0,"",SUMIF('Lançamento de Cabos'!B:B,Tabela4[[#This Row],[Cabo]],'Lançamento de Cabos'!C:C))</f>
        <v/>
      </c>
      <c r="O110" s="28" t="str">
        <f ca="1">IFERROR(IF(Tabela4[[#This Row],[Compr. Lançado]]/Tabela4[[#This Row],[Compr. Prev.]]&gt;1,1,Tabela4[[#This Row],[Compr. Lançado]]/Tabela4[[#This Row],[Compr. Prev.]]),"")</f>
        <v/>
      </c>
      <c r="P110" s="24" t="str">
        <f ca="1">IFERROR(VLOOKUP(Tabela4[[#This Row],[Cabo]],BD!A:V,11,0),"")</f>
        <v/>
      </c>
      <c r="Q110" s="24" t="str">
        <f ca="1">IFERROR(VLOOKUP(Tabela4[[#This Row],[Cabo]],BD!A:V,12,0),"")</f>
        <v/>
      </c>
      <c r="R11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0" s="23" t="str">
        <f ca="1">IF(Tabela4[[#This Row],[Cabo]]&lt;&gt;"",4-COUNTIF(Tabela4[[#This Row],[Teste de Continuidade]:[Hipot]],"---"),"")</f>
        <v/>
      </c>
      <c r="W110" s="29" t="str">
        <f ca="1">IF(Tabela4[[#This Row],[Cabo]]&lt;&gt;"",(COUNTIF(Tabela4[[#This Row],[Teste de Continuidade]:[Hipot]],"OK"))/(4-COUNTIF(Tabela4[[#This Row],[Teste de Continuidade]:[Hipot]],"---")),"")</f>
        <v/>
      </c>
      <c r="X110" s="23" t="str">
        <f ca="1">IF(Tabela4[[#This Row],[Cabo]]&lt;&gt;"",SUMIFS('Lançamento de Cabos'!$AF:$AF,'Lançamento de Cabos'!AE:AE,Tabela4[[#This Row],[Cabo]],'Lançamento de Cabos'!AJ:AJ,Área!$B$1),"")</f>
        <v/>
      </c>
      <c r="Y110" s="23" t="str">
        <f ca="1">IF(Tabela4[[#This Row],[Cabo]]&lt;&gt;"",SUMIFS('Lançamento de Cabos'!$AG:$AG,'Lançamento de Cabos'!AE:AE,Tabela4[[#This Row],[Cabo]],'Lançamento de Cabos'!AJ:AJ,Área!$B$1),"")</f>
        <v/>
      </c>
      <c r="Z110" s="23" t="e">
        <f ca="1">VLOOKUP(Tabela4[[#This Row],[Cabo]],BD!A:AB,28,0)</f>
        <v>#N/A</v>
      </c>
    </row>
    <row r="111" spans="3:26" x14ac:dyDescent="0.25">
      <c r="C111" s="391" t="str">
        <f ca="1">IF($B$1="Geral",Tabela1[[#This Row],[Tag do Cabo]],IFERROR(INDEX(INDIRECT("BD!$A"&amp;D111&amp;":$A100000"),E111,1),""))</f>
        <v/>
      </c>
      <c r="D111" s="391" t="str">
        <f t="shared" ca="1" si="4"/>
        <v/>
      </c>
      <c r="E111" s="391" t="str">
        <f t="shared" ca="1" si="5"/>
        <v/>
      </c>
      <c r="F111" s="391" t="str">
        <f ca="1">IFERROR(VLOOKUP(Tabela4[[#This Row],[Cabo]],BD!A:V,2,0),"")</f>
        <v/>
      </c>
      <c r="G111" s="22" t="str">
        <f ca="1">IFERROR(VLOOKUP(Tabela4[[#This Row],[Cabo]],BD!A:V,5,0),"")</f>
        <v/>
      </c>
      <c r="H111" s="391" t="str">
        <f ca="1">IFERROR(VLOOKUP(Tabela4[[#This Row],[Cabo]],BD!A:V,3,0),"")</f>
        <v/>
      </c>
      <c r="I111" s="391" t="str">
        <f ca="1">IFERROR(VLOOKUP(Tabela4[[#This Row],[Cabo]],BD!A:V,4,0),"")</f>
        <v/>
      </c>
      <c r="J111" s="391" t="str">
        <f ca="1">IFERROR(VLOOKUP(Tabela4[[#This Row],[Cabo]],BD!A:V,7,0),"")</f>
        <v/>
      </c>
      <c r="K11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1" s="23" t="str">
        <f ca="1">IFERROR(VLOOKUP(Tabela4[[#This Row],[Cabo]],BD!A:V,9,0),"")</f>
        <v/>
      </c>
      <c r="M111" s="23" t="str">
        <f ca="1">IFERROR(VLOOKUP(Tabela4[[#This Row],[Cabo]],BD!A:AD,30,0),"")</f>
        <v/>
      </c>
      <c r="N111" s="23" t="str">
        <f ca="1">IF(SUMIF('Lançamento de Cabos'!B:B,Tabela4[[#This Row],[Cabo]],'Lançamento de Cabos'!C:C)=0,"",SUMIF('Lançamento de Cabos'!B:B,Tabela4[[#This Row],[Cabo]],'Lançamento de Cabos'!C:C))</f>
        <v/>
      </c>
      <c r="O111" s="28" t="str">
        <f ca="1">IFERROR(IF(Tabela4[[#This Row],[Compr. Lançado]]/Tabela4[[#This Row],[Compr. Prev.]]&gt;1,1,Tabela4[[#This Row],[Compr. Lançado]]/Tabela4[[#This Row],[Compr. Prev.]]),"")</f>
        <v/>
      </c>
      <c r="P111" s="24" t="str">
        <f ca="1">IFERROR(VLOOKUP(Tabela4[[#This Row],[Cabo]],BD!A:V,11,0),"")</f>
        <v/>
      </c>
      <c r="Q111" s="24" t="str">
        <f ca="1">IFERROR(VLOOKUP(Tabela4[[#This Row],[Cabo]],BD!A:V,12,0),"")</f>
        <v/>
      </c>
      <c r="R11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1" s="23" t="str">
        <f ca="1">IF(Tabela4[[#This Row],[Cabo]]&lt;&gt;"",4-COUNTIF(Tabela4[[#This Row],[Teste de Continuidade]:[Hipot]],"---"),"")</f>
        <v/>
      </c>
      <c r="W111" s="29" t="str">
        <f ca="1">IF(Tabela4[[#This Row],[Cabo]]&lt;&gt;"",(COUNTIF(Tabela4[[#This Row],[Teste de Continuidade]:[Hipot]],"OK"))/(4-COUNTIF(Tabela4[[#This Row],[Teste de Continuidade]:[Hipot]],"---")),"")</f>
        <v/>
      </c>
      <c r="X111" s="23" t="str">
        <f ca="1">IF(Tabela4[[#This Row],[Cabo]]&lt;&gt;"",SUMIFS('Lançamento de Cabos'!$AF:$AF,'Lançamento de Cabos'!AE:AE,Tabela4[[#This Row],[Cabo]],'Lançamento de Cabos'!AJ:AJ,Área!$B$1),"")</f>
        <v/>
      </c>
      <c r="Y111" s="23" t="str">
        <f ca="1">IF(Tabela4[[#This Row],[Cabo]]&lt;&gt;"",SUMIFS('Lançamento de Cabos'!$AG:$AG,'Lançamento de Cabos'!AE:AE,Tabela4[[#This Row],[Cabo]],'Lançamento de Cabos'!AJ:AJ,Área!$B$1),"")</f>
        <v/>
      </c>
      <c r="Z111" s="23" t="e">
        <f ca="1">VLOOKUP(Tabela4[[#This Row],[Cabo]],BD!A:AB,28,0)</f>
        <v>#N/A</v>
      </c>
    </row>
    <row r="112" spans="3:26" x14ac:dyDescent="0.25">
      <c r="C112" s="391" t="str">
        <f ca="1">IF($B$1="Geral",Tabela1[[#This Row],[Tag do Cabo]],IFERROR(INDEX(INDIRECT("BD!$A"&amp;D112&amp;":$A100000"),E112,1),""))</f>
        <v/>
      </c>
      <c r="D112" s="391" t="str">
        <f t="shared" ca="1" si="4"/>
        <v/>
      </c>
      <c r="E112" s="391" t="str">
        <f t="shared" ca="1" si="5"/>
        <v/>
      </c>
      <c r="F112" s="391" t="str">
        <f ca="1">IFERROR(VLOOKUP(Tabela4[[#This Row],[Cabo]],BD!A:V,2,0),"")</f>
        <v/>
      </c>
      <c r="G112" s="22" t="str">
        <f ca="1">IFERROR(VLOOKUP(Tabela4[[#This Row],[Cabo]],BD!A:V,5,0),"")</f>
        <v/>
      </c>
      <c r="H112" s="391" t="str">
        <f ca="1">IFERROR(VLOOKUP(Tabela4[[#This Row],[Cabo]],BD!A:V,3,0),"")</f>
        <v/>
      </c>
      <c r="I112" s="391" t="str">
        <f ca="1">IFERROR(VLOOKUP(Tabela4[[#This Row],[Cabo]],BD!A:V,4,0),"")</f>
        <v/>
      </c>
      <c r="J112" s="391" t="str">
        <f ca="1">IFERROR(VLOOKUP(Tabela4[[#This Row],[Cabo]],BD!A:V,7,0),"")</f>
        <v/>
      </c>
      <c r="K11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2" s="23" t="str">
        <f ca="1">IFERROR(VLOOKUP(Tabela4[[#This Row],[Cabo]],BD!A:V,9,0),"")</f>
        <v/>
      </c>
      <c r="M112" s="23" t="str">
        <f ca="1">IFERROR(VLOOKUP(Tabela4[[#This Row],[Cabo]],BD!A:AD,30,0),"")</f>
        <v/>
      </c>
      <c r="N112" s="23" t="str">
        <f ca="1">IF(SUMIF('Lançamento de Cabos'!B:B,Tabela4[[#This Row],[Cabo]],'Lançamento de Cabos'!C:C)=0,"",SUMIF('Lançamento de Cabos'!B:B,Tabela4[[#This Row],[Cabo]],'Lançamento de Cabos'!C:C))</f>
        <v/>
      </c>
      <c r="O112" s="28" t="str">
        <f ca="1">IFERROR(IF(Tabela4[[#This Row],[Compr. Lançado]]/Tabela4[[#This Row],[Compr. Prev.]]&gt;1,1,Tabela4[[#This Row],[Compr. Lançado]]/Tabela4[[#This Row],[Compr. Prev.]]),"")</f>
        <v/>
      </c>
      <c r="P112" s="24" t="str">
        <f ca="1">IFERROR(VLOOKUP(Tabela4[[#This Row],[Cabo]],BD!A:V,11,0),"")</f>
        <v/>
      </c>
      <c r="Q112" s="24" t="str">
        <f ca="1">IFERROR(VLOOKUP(Tabela4[[#This Row],[Cabo]],BD!A:V,12,0),"")</f>
        <v/>
      </c>
      <c r="R11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2" s="23" t="str">
        <f ca="1">IF(Tabela4[[#This Row],[Cabo]]&lt;&gt;"",4-COUNTIF(Tabela4[[#This Row],[Teste de Continuidade]:[Hipot]],"---"),"")</f>
        <v/>
      </c>
      <c r="W112" s="29" t="str">
        <f ca="1">IF(Tabela4[[#This Row],[Cabo]]&lt;&gt;"",(COUNTIF(Tabela4[[#This Row],[Teste de Continuidade]:[Hipot]],"OK"))/(4-COUNTIF(Tabela4[[#This Row],[Teste de Continuidade]:[Hipot]],"---")),"")</f>
        <v/>
      </c>
      <c r="X112" s="23" t="str">
        <f ca="1">IF(Tabela4[[#This Row],[Cabo]]&lt;&gt;"",SUMIFS('Lançamento de Cabos'!$AF:$AF,'Lançamento de Cabos'!AE:AE,Tabela4[[#This Row],[Cabo]],'Lançamento de Cabos'!AJ:AJ,Área!$B$1),"")</f>
        <v/>
      </c>
      <c r="Y112" s="23" t="str">
        <f ca="1">IF(Tabela4[[#This Row],[Cabo]]&lt;&gt;"",SUMIFS('Lançamento de Cabos'!$AG:$AG,'Lançamento de Cabos'!AE:AE,Tabela4[[#This Row],[Cabo]],'Lançamento de Cabos'!AJ:AJ,Área!$B$1),"")</f>
        <v/>
      </c>
      <c r="Z112" s="23" t="e">
        <f ca="1">VLOOKUP(Tabela4[[#This Row],[Cabo]],BD!A:AB,28,0)</f>
        <v>#N/A</v>
      </c>
    </row>
    <row r="113" spans="3:26" x14ac:dyDescent="0.25">
      <c r="C113" s="391" t="str">
        <f ca="1">IF($B$1="Geral",Tabela1[[#This Row],[Tag do Cabo]],IFERROR(INDEX(INDIRECT("BD!$A"&amp;D113&amp;":$A100000"),E113,1),""))</f>
        <v/>
      </c>
      <c r="D113" s="391" t="str">
        <f t="shared" ca="1" si="4"/>
        <v/>
      </c>
      <c r="E113" s="391" t="str">
        <f t="shared" ca="1" si="5"/>
        <v/>
      </c>
      <c r="F113" s="391" t="str">
        <f ca="1">IFERROR(VLOOKUP(Tabela4[[#This Row],[Cabo]],BD!A:V,2,0),"")</f>
        <v/>
      </c>
      <c r="G113" s="22" t="str">
        <f ca="1">IFERROR(VLOOKUP(Tabela4[[#This Row],[Cabo]],BD!A:V,5,0),"")</f>
        <v/>
      </c>
      <c r="H113" s="391" t="str">
        <f ca="1">IFERROR(VLOOKUP(Tabela4[[#This Row],[Cabo]],BD!A:V,3,0),"")</f>
        <v/>
      </c>
      <c r="I113" s="391" t="str">
        <f ca="1">IFERROR(VLOOKUP(Tabela4[[#This Row],[Cabo]],BD!A:V,4,0),"")</f>
        <v/>
      </c>
      <c r="J113" s="391" t="str">
        <f ca="1">IFERROR(VLOOKUP(Tabela4[[#This Row],[Cabo]],BD!A:V,7,0),"")</f>
        <v/>
      </c>
      <c r="K11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3" s="23" t="str">
        <f ca="1">IFERROR(VLOOKUP(Tabela4[[#This Row],[Cabo]],BD!A:V,9,0),"")</f>
        <v/>
      </c>
      <c r="M113" s="23" t="str">
        <f ca="1">IFERROR(VLOOKUP(Tabela4[[#This Row],[Cabo]],BD!A:AD,30,0),"")</f>
        <v/>
      </c>
      <c r="N113" s="23" t="str">
        <f ca="1">IF(SUMIF('Lançamento de Cabos'!B:B,Tabela4[[#This Row],[Cabo]],'Lançamento de Cabos'!C:C)=0,"",SUMIF('Lançamento de Cabos'!B:B,Tabela4[[#This Row],[Cabo]],'Lançamento de Cabos'!C:C))</f>
        <v/>
      </c>
      <c r="O113" s="28" t="str">
        <f ca="1">IFERROR(IF(Tabela4[[#This Row],[Compr. Lançado]]/Tabela4[[#This Row],[Compr. Prev.]]&gt;1,1,Tabela4[[#This Row],[Compr. Lançado]]/Tabela4[[#This Row],[Compr. Prev.]]),"")</f>
        <v/>
      </c>
      <c r="P113" s="24" t="str">
        <f ca="1">IFERROR(VLOOKUP(Tabela4[[#This Row],[Cabo]],BD!A:V,11,0),"")</f>
        <v/>
      </c>
      <c r="Q113" s="24" t="str">
        <f ca="1">IFERROR(VLOOKUP(Tabela4[[#This Row],[Cabo]],BD!A:V,12,0),"")</f>
        <v/>
      </c>
      <c r="R11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3" s="23" t="str">
        <f ca="1">IF(Tabela4[[#This Row],[Cabo]]&lt;&gt;"",4-COUNTIF(Tabela4[[#This Row],[Teste de Continuidade]:[Hipot]],"---"),"")</f>
        <v/>
      </c>
      <c r="W113" s="29" t="str">
        <f ca="1">IF(Tabela4[[#This Row],[Cabo]]&lt;&gt;"",(COUNTIF(Tabela4[[#This Row],[Teste de Continuidade]:[Hipot]],"OK"))/(4-COUNTIF(Tabela4[[#This Row],[Teste de Continuidade]:[Hipot]],"---")),"")</f>
        <v/>
      </c>
      <c r="X113" s="23" t="str">
        <f ca="1">IF(Tabela4[[#This Row],[Cabo]]&lt;&gt;"",SUMIFS('Lançamento de Cabos'!$AF:$AF,'Lançamento de Cabos'!AE:AE,Tabela4[[#This Row],[Cabo]],'Lançamento de Cabos'!AJ:AJ,Área!$B$1),"")</f>
        <v/>
      </c>
      <c r="Y113" s="23" t="str">
        <f ca="1">IF(Tabela4[[#This Row],[Cabo]]&lt;&gt;"",SUMIFS('Lançamento de Cabos'!$AG:$AG,'Lançamento de Cabos'!AE:AE,Tabela4[[#This Row],[Cabo]],'Lançamento de Cabos'!AJ:AJ,Área!$B$1),"")</f>
        <v/>
      </c>
      <c r="Z113" s="23" t="e">
        <f ca="1">VLOOKUP(Tabela4[[#This Row],[Cabo]],BD!A:AB,28,0)</f>
        <v>#N/A</v>
      </c>
    </row>
    <row r="114" spans="3:26" x14ac:dyDescent="0.25">
      <c r="C114" s="391" t="str">
        <f ca="1">IF($B$1="Geral",Tabela1[[#This Row],[Tag do Cabo]],IFERROR(INDEX(INDIRECT("BD!$A"&amp;D114&amp;":$A100000"),E114,1),""))</f>
        <v/>
      </c>
      <c r="D114" s="391" t="str">
        <f t="shared" ca="1" si="4"/>
        <v/>
      </c>
      <c r="E114" s="391" t="str">
        <f t="shared" ca="1" si="5"/>
        <v/>
      </c>
      <c r="F114" s="391" t="str">
        <f ca="1">IFERROR(VLOOKUP(Tabela4[[#This Row],[Cabo]],BD!A:V,2,0),"")</f>
        <v/>
      </c>
      <c r="G114" s="22" t="str">
        <f ca="1">IFERROR(VLOOKUP(Tabela4[[#This Row],[Cabo]],BD!A:V,5,0),"")</f>
        <v/>
      </c>
      <c r="H114" s="391" t="str">
        <f ca="1">IFERROR(VLOOKUP(Tabela4[[#This Row],[Cabo]],BD!A:V,3,0),"")</f>
        <v/>
      </c>
      <c r="I114" s="391" t="str">
        <f ca="1">IFERROR(VLOOKUP(Tabela4[[#This Row],[Cabo]],BD!A:V,4,0),"")</f>
        <v/>
      </c>
      <c r="J114" s="391" t="str">
        <f ca="1">IFERROR(VLOOKUP(Tabela4[[#This Row],[Cabo]],BD!A:V,7,0),"")</f>
        <v/>
      </c>
      <c r="K11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4" s="23" t="str">
        <f ca="1">IFERROR(VLOOKUP(Tabela4[[#This Row],[Cabo]],BD!A:V,9,0),"")</f>
        <v/>
      </c>
      <c r="M114" s="23" t="str">
        <f ca="1">IFERROR(VLOOKUP(Tabela4[[#This Row],[Cabo]],BD!A:AD,30,0),"")</f>
        <v/>
      </c>
      <c r="N114" s="23" t="str">
        <f ca="1">IF(SUMIF('Lançamento de Cabos'!B:B,Tabela4[[#This Row],[Cabo]],'Lançamento de Cabos'!C:C)=0,"",SUMIF('Lançamento de Cabos'!B:B,Tabela4[[#This Row],[Cabo]],'Lançamento de Cabos'!C:C))</f>
        <v/>
      </c>
      <c r="O114" s="28" t="str">
        <f ca="1">IFERROR(IF(Tabela4[[#This Row],[Compr. Lançado]]/Tabela4[[#This Row],[Compr. Prev.]]&gt;1,1,Tabela4[[#This Row],[Compr. Lançado]]/Tabela4[[#This Row],[Compr. Prev.]]),"")</f>
        <v/>
      </c>
      <c r="P114" s="24" t="str">
        <f ca="1">IFERROR(VLOOKUP(Tabela4[[#This Row],[Cabo]],BD!A:V,11,0),"")</f>
        <v/>
      </c>
      <c r="Q114" s="24" t="str">
        <f ca="1">IFERROR(VLOOKUP(Tabela4[[#This Row],[Cabo]],BD!A:V,12,0),"")</f>
        <v/>
      </c>
      <c r="R11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4" s="23" t="str">
        <f ca="1">IF(Tabela4[[#This Row],[Cabo]]&lt;&gt;"",4-COUNTIF(Tabela4[[#This Row],[Teste de Continuidade]:[Hipot]],"---"),"")</f>
        <v/>
      </c>
      <c r="W114" s="29" t="str">
        <f ca="1">IF(Tabela4[[#This Row],[Cabo]]&lt;&gt;"",(COUNTIF(Tabela4[[#This Row],[Teste de Continuidade]:[Hipot]],"OK"))/(4-COUNTIF(Tabela4[[#This Row],[Teste de Continuidade]:[Hipot]],"---")),"")</f>
        <v/>
      </c>
      <c r="X114" s="23" t="str">
        <f ca="1">IF(Tabela4[[#This Row],[Cabo]]&lt;&gt;"",SUMIFS('Lançamento de Cabos'!$AF:$AF,'Lançamento de Cabos'!AE:AE,Tabela4[[#This Row],[Cabo]],'Lançamento de Cabos'!AJ:AJ,Área!$B$1),"")</f>
        <v/>
      </c>
      <c r="Y114" s="23" t="str">
        <f ca="1">IF(Tabela4[[#This Row],[Cabo]]&lt;&gt;"",SUMIFS('Lançamento de Cabos'!$AG:$AG,'Lançamento de Cabos'!AE:AE,Tabela4[[#This Row],[Cabo]],'Lançamento de Cabos'!AJ:AJ,Área!$B$1),"")</f>
        <v/>
      </c>
      <c r="Z114" s="23" t="e">
        <f ca="1">VLOOKUP(Tabela4[[#This Row],[Cabo]],BD!A:AB,28,0)</f>
        <v>#N/A</v>
      </c>
    </row>
    <row r="115" spans="3:26" x14ac:dyDescent="0.25">
      <c r="C115" s="391" t="str">
        <f ca="1">IF($B$1="Geral",Tabela1[[#This Row],[Tag do Cabo]],IFERROR(INDEX(INDIRECT("BD!$A"&amp;D115&amp;":$A100000"),E115,1),""))</f>
        <v/>
      </c>
      <c r="D115" s="391" t="str">
        <f t="shared" ca="1" si="4"/>
        <v/>
      </c>
      <c r="E115" s="391" t="str">
        <f t="shared" ca="1" si="5"/>
        <v/>
      </c>
      <c r="F115" s="391" t="str">
        <f ca="1">IFERROR(VLOOKUP(Tabela4[[#This Row],[Cabo]],BD!A:V,2,0),"")</f>
        <v/>
      </c>
      <c r="G115" s="22" t="str">
        <f ca="1">IFERROR(VLOOKUP(Tabela4[[#This Row],[Cabo]],BD!A:V,5,0),"")</f>
        <v/>
      </c>
      <c r="H115" s="391" t="str">
        <f ca="1">IFERROR(VLOOKUP(Tabela4[[#This Row],[Cabo]],BD!A:V,3,0),"")</f>
        <v/>
      </c>
      <c r="I115" s="391" t="str">
        <f ca="1">IFERROR(VLOOKUP(Tabela4[[#This Row],[Cabo]],BD!A:V,4,0),"")</f>
        <v/>
      </c>
      <c r="J115" s="391" t="str">
        <f ca="1">IFERROR(VLOOKUP(Tabela4[[#This Row],[Cabo]],BD!A:V,7,0),"")</f>
        <v/>
      </c>
      <c r="K11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5" s="23" t="str">
        <f ca="1">IFERROR(VLOOKUP(Tabela4[[#This Row],[Cabo]],BD!A:V,9,0),"")</f>
        <v/>
      </c>
      <c r="M115" s="23" t="str">
        <f ca="1">IFERROR(VLOOKUP(Tabela4[[#This Row],[Cabo]],BD!A:AD,30,0),"")</f>
        <v/>
      </c>
      <c r="N115" s="23" t="str">
        <f ca="1">IF(SUMIF('Lançamento de Cabos'!B:B,Tabela4[[#This Row],[Cabo]],'Lançamento de Cabos'!C:C)=0,"",SUMIF('Lançamento de Cabos'!B:B,Tabela4[[#This Row],[Cabo]],'Lançamento de Cabos'!C:C))</f>
        <v/>
      </c>
      <c r="O115" s="28" t="str">
        <f ca="1">IFERROR(IF(Tabela4[[#This Row],[Compr. Lançado]]/Tabela4[[#This Row],[Compr. Prev.]]&gt;1,1,Tabela4[[#This Row],[Compr. Lançado]]/Tabela4[[#This Row],[Compr. Prev.]]),"")</f>
        <v/>
      </c>
      <c r="P115" s="24" t="str">
        <f ca="1">IFERROR(VLOOKUP(Tabela4[[#This Row],[Cabo]],BD!A:V,11,0),"")</f>
        <v/>
      </c>
      <c r="Q115" s="24" t="str">
        <f ca="1">IFERROR(VLOOKUP(Tabela4[[#This Row],[Cabo]],BD!A:V,12,0),"")</f>
        <v/>
      </c>
      <c r="R11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5" s="23" t="str">
        <f ca="1">IF(Tabela4[[#This Row],[Cabo]]&lt;&gt;"",4-COUNTIF(Tabela4[[#This Row],[Teste de Continuidade]:[Hipot]],"---"),"")</f>
        <v/>
      </c>
      <c r="W115" s="29" t="str">
        <f ca="1">IF(Tabela4[[#This Row],[Cabo]]&lt;&gt;"",(COUNTIF(Tabela4[[#This Row],[Teste de Continuidade]:[Hipot]],"OK"))/(4-COUNTIF(Tabela4[[#This Row],[Teste de Continuidade]:[Hipot]],"---")),"")</f>
        <v/>
      </c>
      <c r="X115" s="23" t="str">
        <f ca="1">IF(Tabela4[[#This Row],[Cabo]]&lt;&gt;"",SUMIFS('Lançamento de Cabos'!$AF:$AF,'Lançamento de Cabos'!AE:AE,Tabela4[[#This Row],[Cabo]],'Lançamento de Cabos'!AJ:AJ,Área!$B$1),"")</f>
        <v/>
      </c>
      <c r="Y115" s="23" t="str">
        <f ca="1">IF(Tabela4[[#This Row],[Cabo]]&lt;&gt;"",SUMIFS('Lançamento de Cabos'!$AG:$AG,'Lançamento de Cabos'!AE:AE,Tabela4[[#This Row],[Cabo]],'Lançamento de Cabos'!AJ:AJ,Área!$B$1),"")</f>
        <v/>
      </c>
      <c r="Z115" s="23" t="e">
        <f ca="1">VLOOKUP(Tabela4[[#This Row],[Cabo]],BD!A:AB,28,0)</f>
        <v>#N/A</v>
      </c>
    </row>
    <row r="116" spans="3:26" x14ac:dyDescent="0.25">
      <c r="C116" s="391" t="str">
        <f ca="1">IF($B$1="Geral",Tabela1[[#This Row],[Tag do Cabo]],IFERROR(INDEX(INDIRECT("BD!$A"&amp;D116&amp;":$A100000"),E116,1),""))</f>
        <v/>
      </c>
      <c r="D116" s="391" t="str">
        <f t="shared" ca="1" si="4"/>
        <v/>
      </c>
      <c r="E116" s="391" t="str">
        <f t="shared" ca="1" si="5"/>
        <v/>
      </c>
      <c r="F116" s="391" t="str">
        <f ca="1">IFERROR(VLOOKUP(Tabela4[[#This Row],[Cabo]],BD!A:V,2,0),"")</f>
        <v/>
      </c>
      <c r="G116" s="22" t="str">
        <f ca="1">IFERROR(VLOOKUP(Tabela4[[#This Row],[Cabo]],BD!A:V,5,0),"")</f>
        <v/>
      </c>
      <c r="H116" s="391" t="str">
        <f ca="1">IFERROR(VLOOKUP(Tabela4[[#This Row],[Cabo]],BD!A:V,3,0),"")</f>
        <v/>
      </c>
      <c r="I116" s="391" t="str">
        <f ca="1">IFERROR(VLOOKUP(Tabela4[[#This Row],[Cabo]],BD!A:V,4,0),"")</f>
        <v/>
      </c>
      <c r="J116" s="391" t="str">
        <f ca="1">IFERROR(VLOOKUP(Tabela4[[#This Row],[Cabo]],BD!A:V,7,0),"")</f>
        <v/>
      </c>
      <c r="K11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6" s="23" t="str">
        <f ca="1">IFERROR(VLOOKUP(Tabela4[[#This Row],[Cabo]],BD!A:V,9,0),"")</f>
        <v/>
      </c>
      <c r="M116" s="23" t="str">
        <f ca="1">IFERROR(VLOOKUP(Tabela4[[#This Row],[Cabo]],BD!A:AD,30,0),"")</f>
        <v/>
      </c>
      <c r="N116" s="23" t="str">
        <f ca="1">IF(SUMIF('Lançamento de Cabos'!B:B,Tabela4[[#This Row],[Cabo]],'Lançamento de Cabos'!C:C)=0,"",SUMIF('Lançamento de Cabos'!B:B,Tabela4[[#This Row],[Cabo]],'Lançamento de Cabos'!C:C))</f>
        <v/>
      </c>
      <c r="O116" s="28" t="str">
        <f ca="1">IFERROR(IF(Tabela4[[#This Row],[Compr. Lançado]]/Tabela4[[#This Row],[Compr. Prev.]]&gt;1,1,Tabela4[[#This Row],[Compr. Lançado]]/Tabela4[[#This Row],[Compr. Prev.]]),"")</f>
        <v/>
      </c>
      <c r="P116" s="24" t="str">
        <f ca="1">IFERROR(VLOOKUP(Tabela4[[#This Row],[Cabo]],BD!A:V,11,0),"")</f>
        <v/>
      </c>
      <c r="Q116" s="24" t="str">
        <f ca="1">IFERROR(VLOOKUP(Tabela4[[#This Row],[Cabo]],BD!A:V,12,0),"")</f>
        <v/>
      </c>
      <c r="R11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6" s="23" t="str">
        <f ca="1">IF(Tabela4[[#This Row],[Cabo]]&lt;&gt;"",4-COUNTIF(Tabela4[[#This Row],[Teste de Continuidade]:[Hipot]],"---"),"")</f>
        <v/>
      </c>
      <c r="W116" s="29" t="str">
        <f ca="1">IF(Tabela4[[#This Row],[Cabo]]&lt;&gt;"",(COUNTIF(Tabela4[[#This Row],[Teste de Continuidade]:[Hipot]],"OK"))/(4-COUNTIF(Tabela4[[#This Row],[Teste de Continuidade]:[Hipot]],"---")),"")</f>
        <v/>
      </c>
      <c r="X116" s="23" t="str">
        <f ca="1">IF(Tabela4[[#This Row],[Cabo]]&lt;&gt;"",SUMIFS('Lançamento de Cabos'!$AF:$AF,'Lançamento de Cabos'!AE:AE,Tabela4[[#This Row],[Cabo]],'Lançamento de Cabos'!AJ:AJ,Área!$B$1),"")</f>
        <v/>
      </c>
      <c r="Y116" s="23" t="str">
        <f ca="1">IF(Tabela4[[#This Row],[Cabo]]&lt;&gt;"",SUMIFS('Lançamento de Cabos'!$AG:$AG,'Lançamento de Cabos'!AE:AE,Tabela4[[#This Row],[Cabo]],'Lançamento de Cabos'!AJ:AJ,Área!$B$1),"")</f>
        <v/>
      </c>
      <c r="Z116" s="23" t="e">
        <f ca="1">VLOOKUP(Tabela4[[#This Row],[Cabo]],BD!A:AB,28,0)</f>
        <v>#N/A</v>
      </c>
    </row>
    <row r="117" spans="3:26" x14ac:dyDescent="0.25">
      <c r="C117" s="391" t="str">
        <f ca="1">IF($B$1="Geral",Tabela1[[#This Row],[Tag do Cabo]],IFERROR(INDEX(INDIRECT("BD!$A"&amp;D117&amp;":$A100000"),E117,1),""))</f>
        <v/>
      </c>
      <c r="D117" s="391" t="str">
        <f t="shared" ca="1" si="4"/>
        <v/>
      </c>
      <c r="E117" s="391" t="str">
        <f t="shared" ca="1" si="5"/>
        <v/>
      </c>
      <c r="F117" s="391" t="str">
        <f ca="1">IFERROR(VLOOKUP(Tabela4[[#This Row],[Cabo]],BD!A:V,2,0),"")</f>
        <v/>
      </c>
      <c r="G117" s="22" t="str">
        <f ca="1">IFERROR(VLOOKUP(Tabela4[[#This Row],[Cabo]],BD!A:V,5,0),"")</f>
        <v/>
      </c>
      <c r="H117" s="391" t="str">
        <f ca="1">IFERROR(VLOOKUP(Tabela4[[#This Row],[Cabo]],BD!A:V,3,0),"")</f>
        <v/>
      </c>
      <c r="I117" s="391" t="str">
        <f ca="1">IFERROR(VLOOKUP(Tabela4[[#This Row],[Cabo]],BD!A:V,4,0),"")</f>
        <v/>
      </c>
      <c r="J117" s="391" t="str">
        <f ca="1">IFERROR(VLOOKUP(Tabela4[[#This Row],[Cabo]],BD!A:V,7,0),"")</f>
        <v/>
      </c>
      <c r="K11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7" s="23" t="str">
        <f ca="1">IFERROR(VLOOKUP(Tabela4[[#This Row],[Cabo]],BD!A:V,9,0),"")</f>
        <v/>
      </c>
      <c r="M117" s="23" t="str">
        <f ca="1">IFERROR(VLOOKUP(Tabela4[[#This Row],[Cabo]],BD!A:AD,30,0),"")</f>
        <v/>
      </c>
      <c r="N117" s="23" t="str">
        <f ca="1">IF(SUMIF('Lançamento de Cabos'!B:B,Tabela4[[#This Row],[Cabo]],'Lançamento de Cabos'!C:C)=0,"",SUMIF('Lançamento de Cabos'!B:B,Tabela4[[#This Row],[Cabo]],'Lançamento de Cabos'!C:C))</f>
        <v/>
      </c>
      <c r="O117" s="28" t="str">
        <f ca="1">IFERROR(IF(Tabela4[[#This Row],[Compr. Lançado]]/Tabela4[[#This Row],[Compr. Prev.]]&gt;1,1,Tabela4[[#This Row],[Compr. Lançado]]/Tabela4[[#This Row],[Compr. Prev.]]),"")</f>
        <v/>
      </c>
      <c r="P117" s="24" t="str">
        <f ca="1">IFERROR(VLOOKUP(Tabela4[[#This Row],[Cabo]],BD!A:V,11,0),"")</f>
        <v/>
      </c>
      <c r="Q117" s="24" t="str">
        <f ca="1">IFERROR(VLOOKUP(Tabela4[[#This Row],[Cabo]],BD!A:V,12,0),"")</f>
        <v/>
      </c>
      <c r="R11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7" s="23" t="str">
        <f ca="1">IF(Tabela4[[#This Row],[Cabo]]&lt;&gt;"",4-COUNTIF(Tabela4[[#This Row],[Teste de Continuidade]:[Hipot]],"---"),"")</f>
        <v/>
      </c>
      <c r="W117" s="29" t="str">
        <f ca="1">IF(Tabela4[[#This Row],[Cabo]]&lt;&gt;"",(COUNTIF(Tabela4[[#This Row],[Teste de Continuidade]:[Hipot]],"OK"))/(4-COUNTIF(Tabela4[[#This Row],[Teste de Continuidade]:[Hipot]],"---")),"")</f>
        <v/>
      </c>
      <c r="X117" s="23" t="str">
        <f ca="1">IF(Tabela4[[#This Row],[Cabo]]&lt;&gt;"",SUMIFS('Lançamento de Cabos'!$AF:$AF,'Lançamento de Cabos'!AE:AE,Tabela4[[#This Row],[Cabo]],'Lançamento de Cabos'!AJ:AJ,Área!$B$1),"")</f>
        <v/>
      </c>
      <c r="Y117" s="23" t="str">
        <f ca="1">IF(Tabela4[[#This Row],[Cabo]]&lt;&gt;"",SUMIFS('Lançamento de Cabos'!$AG:$AG,'Lançamento de Cabos'!AE:AE,Tabela4[[#This Row],[Cabo]],'Lançamento de Cabos'!AJ:AJ,Área!$B$1),"")</f>
        <v/>
      </c>
      <c r="Z117" s="23" t="e">
        <f ca="1">VLOOKUP(Tabela4[[#This Row],[Cabo]],BD!A:AB,28,0)</f>
        <v>#N/A</v>
      </c>
    </row>
    <row r="118" spans="3:26" x14ac:dyDescent="0.25">
      <c r="C118" s="391" t="str">
        <f ca="1">IF($B$1="Geral",Tabela1[[#This Row],[Tag do Cabo]],IFERROR(INDEX(INDIRECT("BD!$A"&amp;D118&amp;":$A100000"),E118,1),""))</f>
        <v/>
      </c>
      <c r="D118" s="391" t="str">
        <f t="shared" ca="1" si="4"/>
        <v/>
      </c>
      <c r="E118" s="391" t="str">
        <f t="shared" ca="1" si="5"/>
        <v/>
      </c>
      <c r="F118" s="391" t="str">
        <f ca="1">IFERROR(VLOOKUP(Tabela4[[#This Row],[Cabo]],BD!A:V,2,0),"")</f>
        <v/>
      </c>
      <c r="G118" s="22" t="str">
        <f ca="1">IFERROR(VLOOKUP(Tabela4[[#This Row],[Cabo]],BD!A:V,5,0),"")</f>
        <v/>
      </c>
      <c r="H118" s="391" t="str">
        <f ca="1">IFERROR(VLOOKUP(Tabela4[[#This Row],[Cabo]],BD!A:V,3,0),"")</f>
        <v/>
      </c>
      <c r="I118" s="391" t="str">
        <f ca="1">IFERROR(VLOOKUP(Tabela4[[#This Row],[Cabo]],BD!A:V,4,0),"")</f>
        <v/>
      </c>
      <c r="J118" s="391" t="str">
        <f ca="1">IFERROR(VLOOKUP(Tabela4[[#This Row],[Cabo]],BD!A:V,7,0),"")</f>
        <v/>
      </c>
      <c r="K11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8" s="23" t="str">
        <f ca="1">IFERROR(VLOOKUP(Tabela4[[#This Row],[Cabo]],BD!A:V,9,0),"")</f>
        <v/>
      </c>
      <c r="M118" s="23" t="str">
        <f ca="1">IFERROR(VLOOKUP(Tabela4[[#This Row],[Cabo]],BD!A:AD,30,0),"")</f>
        <v/>
      </c>
      <c r="N118" s="23" t="str">
        <f ca="1">IF(SUMIF('Lançamento de Cabos'!B:B,Tabela4[[#This Row],[Cabo]],'Lançamento de Cabos'!C:C)=0,"",SUMIF('Lançamento de Cabos'!B:B,Tabela4[[#This Row],[Cabo]],'Lançamento de Cabos'!C:C))</f>
        <v/>
      </c>
      <c r="O118" s="28" t="str">
        <f ca="1">IFERROR(IF(Tabela4[[#This Row],[Compr. Lançado]]/Tabela4[[#This Row],[Compr. Prev.]]&gt;1,1,Tabela4[[#This Row],[Compr. Lançado]]/Tabela4[[#This Row],[Compr. Prev.]]),"")</f>
        <v/>
      </c>
      <c r="P118" s="24" t="str">
        <f ca="1">IFERROR(VLOOKUP(Tabela4[[#This Row],[Cabo]],BD!A:V,11,0),"")</f>
        <v/>
      </c>
      <c r="Q118" s="24" t="str">
        <f ca="1">IFERROR(VLOOKUP(Tabela4[[#This Row],[Cabo]],BD!A:V,12,0),"")</f>
        <v/>
      </c>
      <c r="R11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8" s="23" t="str">
        <f ca="1">IF(Tabela4[[#This Row],[Cabo]]&lt;&gt;"",4-COUNTIF(Tabela4[[#This Row],[Teste de Continuidade]:[Hipot]],"---"),"")</f>
        <v/>
      </c>
      <c r="W118" s="29" t="str">
        <f ca="1">IF(Tabela4[[#This Row],[Cabo]]&lt;&gt;"",(COUNTIF(Tabela4[[#This Row],[Teste de Continuidade]:[Hipot]],"OK"))/(4-COUNTIF(Tabela4[[#This Row],[Teste de Continuidade]:[Hipot]],"---")),"")</f>
        <v/>
      </c>
      <c r="X118" s="23" t="str">
        <f ca="1">IF(Tabela4[[#This Row],[Cabo]]&lt;&gt;"",SUMIFS('Lançamento de Cabos'!$AF:$AF,'Lançamento de Cabos'!AE:AE,Tabela4[[#This Row],[Cabo]],'Lançamento de Cabos'!AJ:AJ,Área!$B$1),"")</f>
        <v/>
      </c>
      <c r="Y118" s="23" t="str">
        <f ca="1">IF(Tabela4[[#This Row],[Cabo]]&lt;&gt;"",SUMIFS('Lançamento de Cabos'!$AG:$AG,'Lançamento de Cabos'!AE:AE,Tabela4[[#This Row],[Cabo]],'Lançamento de Cabos'!AJ:AJ,Área!$B$1),"")</f>
        <v/>
      </c>
      <c r="Z118" s="23" t="e">
        <f ca="1">VLOOKUP(Tabela4[[#This Row],[Cabo]],BD!A:AB,28,0)</f>
        <v>#N/A</v>
      </c>
    </row>
    <row r="119" spans="3:26" x14ac:dyDescent="0.25">
      <c r="C119" s="391" t="str">
        <f ca="1">IF($B$1="Geral",Tabela1[[#This Row],[Tag do Cabo]],IFERROR(INDEX(INDIRECT("BD!$A"&amp;D119&amp;":$A100000"),E119,1),""))</f>
        <v/>
      </c>
      <c r="D119" s="391" t="str">
        <f t="shared" ca="1" si="4"/>
        <v/>
      </c>
      <c r="E119" s="391" t="str">
        <f t="shared" ca="1" si="5"/>
        <v/>
      </c>
      <c r="F119" s="391" t="str">
        <f ca="1">IFERROR(VLOOKUP(Tabela4[[#This Row],[Cabo]],BD!A:V,2,0),"")</f>
        <v/>
      </c>
      <c r="G119" s="22" t="str">
        <f ca="1">IFERROR(VLOOKUP(Tabela4[[#This Row],[Cabo]],BD!A:V,5,0),"")</f>
        <v/>
      </c>
      <c r="H119" s="391" t="str">
        <f ca="1">IFERROR(VLOOKUP(Tabela4[[#This Row],[Cabo]],BD!A:V,3,0),"")</f>
        <v/>
      </c>
      <c r="I119" s="391" t="str">
        <f ca="1">IFERROR(VLOOKUP(Tabela4[[#This Row],[Cabo]],BD!A:V,4,0),"")</f>
        <v/>
      </c>
      <c r="J119" s="391" t="str">
        <f ca="1">IFERROR(VLOOKUP(Tabela4[[#This Row],[Cabo]],BD!A:V,7,0),"")</f>
        <v/>
      </c>
      <c r="K11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19" s="23" t="str">
        <f ca="1">IFERROR(VLOOKUP(Tabela4[[#This Row],[Cabo]],BD!A:V,9,0),"")</f>
        <v/>
      </c>
      <c r="M119" s="23" t="str">
        <f ca="1">IFERROR(VLOOKUP(Tabela4[[#This Row],[Cabo]],BD!A:AD,30,0),"")</f>
        <v/>
      </c>
      <c r="N119" s="23" t="str">
        <f ca="1">IF(SUMIF('Lançamento de Cabos'!B:B,Tabela4[[#This Row],[Cabo]],'Lançamento de Cabos'!C:C)=0,"",SUMIF('Lançamento de Cabos'!B:B,Tabela4[[#This Row],[Cabo]],'Lançamento de Cabos'!C:C))</f>
        <v/>
      </c>
      <c r="O119" s="28" t="str">
        <f ca="1">IFERROR(IF(Tabela4[[#This Row],[Compr. Lançado]]/Tabela4[[#This Row],[Compr. Prev.]]&gt;1,1,Tabela4[[#This Row],[Compr. Lançado]]/Tabela4[[#This Row],[Compr. Prev.]]),"")</f>
        <v/>
      </c>
      <c r="P119" s="24" t="str">
        <f ca="1">IFERROR(VLOOKUP(Tabela4[[#This Row],[Cabo]],BD!A:V,11,0),"")</f>
        <v/>
      </c>
      <c r="Q119" s="24" t="str">
        <f ca="1">IFERROR(VLOOKUP(Tabela4[[#This Row],[Cabo]],BD!A:V,12,0),"")</f>
        <v/>
      </c>
      <c r="R11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1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1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1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19" s="23" t="str">
        <f ca="1">IF(Tabela4[[#This Row],[Cabo]]&lt;&gt;"",4-COUNTIF(Tabela4[[#This Row],[Teste de Continuidade]:[Hipot]],"---"),"")</f>
        <v/>
      </c>
      <c r="W119" s="29" t="str">
        <f ca="1">IF(Tabela4[[#This Row],[Cabo]]&lt;&gt;"",(COUNTIF(Tabela4[[#This Row],[Teste de Continuidade]:[Hipot]],"OK"))/(4-COUNTIF(Tabela4[[#This Row],[Teste de Continuidade]:[Hipot]],"---")),"")</f>
        <v/>
      </c>
      <c r="X119" s="23" t="str">
        <f ca="1">IF(Tabela4[[#This Row],[Cabo]]&lt;&gt;"",SUMIFS('Lançamento de Cabos'!$AF:$AF,'Lançamento de Cabos'!AE:AE,Tabela4[[#This Row],[Cabo]],'Lançamento de Cabos'!AJ:AJ,Área!$B$1),"")</f>
        <v/>
      </c>
      <c r="Y119" s="23" t="str">
        <f ca="1">IF(Tabela4[[#This Row],[Cabo]]&lt;&gt;"",SUMIFS('Lançamento de Cabos'!$AG:$AG,'Lançamento de Cabos'!AE:AE,Tabela4[[#This Row],[Cabo]],'Lançamento de Cabos'!AJ:AJ,Área!$B$1),"")</f>
        <v/>
      </c>
      <c r="Z119" s="23" t="e">
        <f ca="1">VLOOKUP(Tabela4[[#This Row],[Cabo]],BD!A:AB,28,0)</f>
        <v>#N/A</v>
      </c>
    </row>
    <row r="120" spans="3:26" x14ac:dyDescent="0.25">
      <c r="C120" s="391" t="str">
        <f ca="1">IF($B$1="Geral",Tabela1[[#This Row],[Tag do Cabo]],IFERROR(INDEX(INDIRECT("BD!$A"&amp;D120&amp;":$A100000"),E120,1),""))</f>
        <v/>
      </c>
      <c r="D120" s="391" t="str">
        <f t="shared" ca="1" si="4"/>
        <v/>
      </c>
      <c r="E120" s="391" t="str">
        <f t="shared" ca="1" si="5"/>
        <v/>
      </c>
      <c r="F120" s="391" t="str">
        <f ca="1">IFERROR(VLOOKUP(Tabela4[[#This Row],[Cabo]],BD!A:V,2,0),"")</f>
        <v/>
      </c>
      <c r="G120" s="22" t="str">
        <f ca="1">IFERROR(VLOOKUP(Tabela4[[#This Row],[Cabo]],BD!A:V,5,0),"")</f>
        <v/>
      </c>
      <c r="H120" s="391" t="str">
        <f ca="1">IFERROR(VLOOKUP(Tabela4[[#This Row],[Cabo]],BD!A:V,3,0),"")</f>
        <v/>
      </c>
      <c r="I120" s="391" t="str">
        <f ca="1">IFERROR(VLOOKUP(Tabela4[[#This Row],[Cabo]],BD!A:V,4,0),"")</f>
        <v/>
      </c>
      <c r="J120" s="391" t="str">
        <f ca="1">IFERROR(VLOOKUP(Tabela4[[#This Row],[Cabo]],BD!A:V,7,0),"")</f>
        <v/>
      </c>
      <c r="K12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0" s="23" t="str">
        <f ca="1">IFERROR(VLOOKUP(Tabela4[[#This Row],[Cabo]],BD!A:V,9,0),"")</f>
        <v/>
      </c>
      <c r="M120" s="23" t="str">
        <f ca="1">IFERROR(VLOOKUP(Tabela4[[#This Row],[Cabo]],BD!A:AD,30,0),"")</f>
        <v/>
      </c>
      <c r="N120" s="23" t="str">
        <f ca="1">IF(SUMIF('Lançamento de Cabos'!B:B,Tabela4[[#This Row],[Cabo]],'Lançamento de Cabos'!C:C)=0,"",SUMIF('Lançamento de Cabos'!B:B,Tabela4[[#This Row],[Cabo]],'Lançamento de Cabos'!C:C))</f>
        <v/>
      </c>
      <c r="O120" s="28" t="str">
        <f ca="1">IFERROR(IF(Tabela4[[#This Row],[Compr. Lançado]]/Tabela4[[#This Row],[Compr. Prev.]]&gt;1,1,Tabela4[[#This Row],[Compr. Lançado]]/Tabela4[[#This Row],[Compr. Prev.]]),"")</f>
        <v/>
      </c>
      <c r="P120" s="24" t="str">
        <f ca="1">IFERROR(VLOOKUP(Tabela4[[#This Row],[Cabo]],BD!A:V,11,0),"")</f>
        <v/>
      </c>
      <c r="Q120" s="24" t="str">
        <f ca="1">IFERROR(VLOOKUP(Tabela4[[#This Row],[Cabo]],BD!A:V,12,0),"")</f>
        <v/>
      </c>
      <c r="R12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0" s="23" t="str">
        <f ca="1">IF(Tabela4[[#This Row],[Cabo]]&lt;&gt;"",4-COUNTIF(Tabela4[[#This Row],[Teste de Continuidade]:[Hipot]],"---"),"")</f>
        <v/>
      </c>
      <c r="W120" s="29" t="str">
        <f ca="1">IF(Tabela4[[#This Row],[Cabo]]&lt;&gt;"",(COUNTIF(Tabela4[[#This Row],[Teste de Continuidade]:[Hipot]],"OK"))/(4-COUNTIF(Tabela4[[#This Row],[Teste de Continuidade]:[Hipot]],"---")),"")</f>
        <v/>
      </c>
      <c r="X120" s="23" t="str">
        <f ca="1">IF(Tabela4[[#This Row],[Cabo]]&lt;&gt;"",SUMIFS('Lançamento de Cabos'!$AF:$AF,'Lançamento de Cabos'!AE:AE,Tabela4[[#This Row],[Cabo]],'Lançamento de Cabos'!AJ:AJ,Área!$B$1),"")</f>
        <v/>
      </c>
      <c r="Y120" s="23" t="str">
        <f ca="1">IF(Tabela4[[#This Row],[Cabo]]&lt;&gt;"",SUMIFS('Lançamento de Cabos'!$AG:$AG,'Lançamento de Cabos'!AE:AE,Tabela4[[#This Row],[Cabo]],'Lançamento de Cabos'!AJ:AJ,Área!$B$1),"")</f>
        <v/>
      </c>
      <c r="Z120" s="23" t="e">
        <f ca="1">VLOOKUP(Tabela4[[#This Row],[Cabo]],BD!A:AB,28,0)</f>
        <v>#N/A</v>
      </c>
    </row>
    <row r="121" spans="3:26" x14ac:dyDescent="0.25">
      <c r="C121" s="391" t="str">
        <f ca="1">IF($B$1="Geral",Tabela1[[#This Row],[Tag do Cabo]],IFERROR(INDEX(INDIRECT("BD!$A"&amp;D121&amp;":$A100000"),E121,1),""))</f>
        <v/>
      </c>
      <c r="D121" s="391" t="str">
        <f t="shared" ca="1" si="4"/>
        <v/>
      </c>
      <c r="E121" s="391" t="str">
        <f t="shared" ca="1" si="5"/>
        <v/>
      </c>
      <c r="F121" s="391" t="str">
        <f ca="1">IFERROR(VLOOKUP(Tabela4[[#This Row],[Cabo]],BD!A:V,2,0),"")</f>
        <v/>
      </c>
      <c r="G121" s="22" t="str">
        <f ca="1">IFERROR(VLOOKUP(Tabela4[[#This Row],[Cabo]],BD!A:V,5,0),"")</f>
        <v/>
      </c>
      <c r="H121" s="391" t="str">
        <f ca="1">IFERROR(VLOOKUP(Tabela4[[#This Row],[Cabo]],BD!A:V,3,0),"")</f>
        <v/>
      </c>
      <c r="I121" s="391" t="str">
        <f ca="1">IFERROR(VLOOKUP(Tabela4[[#This Row],[Cabo]],BD!A:V,4,0),"")</f>
        <v/>
      </c>
      <c r="J121" s="391" t="str">
        <f ca="1">IFERROR(VLOOKUP(Tabela4[[#This Row],[Cabo]],BD!A:V,7,0),"")</f>
        <v/>
      </c>
      <c r="K12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1" s="23" t="str">
        <f ca="1">IFERROR(VLOOKUP(Tabela4[[#This Row],[Cabo]],BD!A:V,9,0),"")</f>
        <v/>
      </c>
      <c r="M121" s="23" t="str">
        <f ca="1">IFERROR(VLOOKUP(Tabela4[[#This Row],[Cabo]],BD!A:AD,30,0),"")</f>
        <v/>
      </c>
      <c r="N121" s="23" t="str">
        <f ca="1">IF(SUMIF('Lançamento de Cabos'!B:B,Tabela4[[#This Row],[Cabo]],'Lançamento de Cabos'!C:C)=0,"",SUMIF('Lançamento de Cabos'!B:B,Tabela4[[#This Row],[Cabo]],'Lançamento de Cabos'!C:C))</f>
        <v/>
      </c>
      <c r="O121" s="28" t="str">
        <f ca="1">IFERROR(IF(Tabela4[[#This Row],[Compr. Lançado]]/Tabela4[[#This Row],[Compr. Prev.]]&gt;1,1,Tabela4[[#This Row],[Compr. Lançado]]/Tabela4[[#This Row],[Compr. Prev.]]),"")</f>
        <v/>
      </c>
      <c r="P121" s="24" t="str">
        <f ca="1">IFERROR(VLOOKUP(Tabela4[[#This Row],[Cabo]],BD!A:V,11,0),"")</f>
        <v/>
      </c>
      <c r="Q121" s="24" t="str">
        <f ca="1">IFERROR(VLOOKUP(Tabela4[[#This Row],[Cabo]],BD!A:V,12,0),"")</f>
        <v/>
      </c>
      <c r="R12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1" s="23" t="str">
        <f ca="1">IF(Tabela4[[#This Row],[Cabo]]&lt;&gt;"",4-COUNTIF(Tabela4[[#This Row],[Teste de Continuidade]:[Hipot]],"---"),"")</f>
        <v/>
      </c>
      <c r="W121" s="29" t="str">
        <f ca="1">IF(Tabela4[[#This Row],[Cabo]]&lt;&gt;"",(COUNTIF(Tabela4[[#This Row],[Teste de Continuidade]:[Hipot]],"OK"))/(4-COUNTIF(Tabela4[[#This Row],[Teste de Continuidade]:[Hipot]],"---")),"")</f>
        <v/>
      </c>
      <c r="X121" s="23" t="str">
        <f ca="1">IF(Tabela4[[#This Row],[Cabo]]&lt;&gt;"",SUMIFS('Lançamento de Cabos'!$AF:$AF,'Lançamento de Cabos'!AE:AE,Tabela4[[#This Row],[Cabo]],'Lançamento de Cabos'!AJ:AJ,Área!$B$1),"")</f>
        <v/>
      </c>
      <c r="Y121" s="23" t="str">
        <f ca="1">IF(Tabela4[[#This Row],[Cabo]]&lt;&gt;"",SUMIFS('Lançamento de Cabos'!$AG:$AG,'Lançamento de Cabos'!AE:AE,Tabela4[[#This Row],[Cabo]],'Lançamento de Cabos'!AJ:AJ,Área!$B$1),"")</f>
        <v/>
      </c>
      <c r="Z121" s="23" t="e">
        <f ca="1">VLOOKUP(Tabela4[[#This Row],[Cabo]],BD!A:AB,28,0)</f>
        <v>#N/A</v>
      </c>
    </row>
    <row r="122" spans="3:26" x14ac:dyDescent="0.25">
      <c r="C122" s="391" t="str">
        <f ca="1">IF($B$1="Geral",Tabela1[[#This Row],[Tag do Cabo]],IFERROR(INDEX(INDIRECT("BD!$A"&amp;D122&amp;":$A100000"),E122,1),""))</f>
        <v/>
      </c>
      <c r="D122" s="391" t="str">
        <f t="shared" ca="1" si="4"/>
        <v/>
      </c>
      <c r="E122" s="391" t="str">
        <f t="shared" ca="1" si="5"/>
        <v/>
      </c>
      <c r="F122" s="391" t="str">
        <f ca="1">IFERROR(VLOOKUP(Tabela4[[#This Row],[Cabo]],BD!A:V,2,0),"")</f>
        <v/>
      </c>
      <c r="G122" s="22" t="str">
        <f ca="1">IFERROR(VLOOKUP(Tabela4[[#This Row],[Cabo]],BD!A:V,5,0),"")</f>
        <v/>
      </c>
      <c r="H122" s="391" t="str">
        <f ca="1">IFERROR(VLOOKUP(Tabela4[[#This Row],[Cabo]],BD!A:V,3,0),"")</f>
        <v/>
      </c>
      <c r="I122" s="391" t="str">
        <f ca="1">IFERROR(VLOOKUP(Tabela4[[#This Row],[Cabo]],BD!A:V,4,0),"")</f>
        <v/>
      </c>
      <c r="J122" s="391" t="str">
        <f ca="1">IFERROR(VLOOKUP(Tabela4[[#This Row],[Cabo]],BD!A:V,7,0),"")</f>
        <v/>
      </c>
      <c r="K12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2" s="23" t="str">
        <f ca="1">IFERROR(VLOOKUP(Tabela4[[#This Row],[Cabo]],BD!A:V,9,0),"")</f>
        <v/>
      </c>
      <c r="M122" s="23" t="str">
        <f ca="1">IFERROR(VLOOKUP(Tabela4[[#This Row],[Cabo]],BD!A:AD,30,0),"")</f>
        <v/>
      </c>
      <c r="N122" s="23" t="str">
        <f ca="1">IF(SUMIF('Lançamento de Cabos'!B:B,Tabela4[[#This Row],[Cabo]],'Lançamento de Cabos'!C:C)=0,"",SUMIF('Lançamento de Cabos'!B:B,Tabela4[[#This Row],[Cabo]],'Lançamento de Cabos'!C:C))</f>
        <v/>
      </c>
      <c r="O122" s="28" t="str">
        <f ca="1">IFERROR(IF(Tabela4[[#This Row],[Compr. Lançado]]/Tabela4[[#This Row],[Compr. Prev.]]&gt;1,1,Tabela4[[#This Row],[Compr. Lançado]]/Tabela4[[#This Row],[Compr. Prev.]]),"")</f>
        <v/>
      </c>
      <c r="P122" s="24" t="str">
        <f ca="1">IFERROR(VLOOKUP(Tabela4[[#This Row],[Cabo]],BD!A:V,11,0),"")</f>
        <v/>
      </c>
      <c r="Q122" s="24" t="str">
        <f ca="1">IFERROR(VLOOKUP(Tabela4[[#This Row],[Cabo]],BD!A:V,12,0),"")</f>
        <v/>
      </c>
      <c r="R12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2" s="23" t="str">
        <f ca="1">IF(Tabela4[[#This Row],[Cabo]]&lt;&gt;"",4-COUNTIF(Tabela4[[#This Row],[Teste de Continuidade]:[Hipot]],"---"),"")</f>
        <v/>
      </c>
      <c r="W122" s="29" t="str">
        <f ca="1">IF(Tabela4[[#This Row],[Cabo]]&lt;&gt;"",(COUNTIF(Tabela4[[#This Row],[Teste de Continuidade]:[Hipot]],"OK"))/(4-COUNTIF(Tabela4[[#This Row],[Teste de Continuidade]:[Hipot]],"---")),"")</f>
        <v/>
      </c>
      <c r="X122" s="23" t="str">
        <f ca="1">IF(Tabela4[[#This Row],[Cabo]]&lt;&gt;"",SUMIFS('Lançamento de Cabos'!$AF:$AF,'Lançamento de Cabos'!AE:AE,Tabela4[[#This Row],[Cabo]],'Lançamento de Cabos'!AJ:AJ,Área!$B$1),"")</f>
        <v/>
      </c>
      <c r="Y122" s="23" t="str">
        <f ca="1">IF(Tabela4[[#This Row],[Cabo]]&lt;&gt;"",SUMIFS('Lançamento de Cabos'!$AG:$AG,'Lançamento de Cabos'!AE:AE,Tabela4[[#This Row],[Cabo]],'Lançamento de Cabos'!AJ:AJ,Área!$B$1),"")</f>
        <v/>
      </c>
      <c r="Z122" s="23" t="e">
        <f ca="1">VLOOKUP(Tabela4[[#This Row],[Cabo]],BD!A:AB,28,0)</f>
        <v>#N/A</v>
      </c>
    </row>
    <row r="123" spans="3:26" x14ac:dyDescent="0.25">
      <c r="C123" s="391" t="str">
        <f ca="1">IF($B$1="Geral",Tabela1[[#This Row],[Tag do Cabo]],IFERROR(INDEX(INDIRECT("BD!$A"&amp;D123&amp;":$A100000"),E123,1),""))</f>
        <v/>
      </c>
      <c r="D123" s="391" t="str">
        <f t="shared" ca="1" si="4"/>
        <v/>
      </c>
      <c r="E123" s="391" t="str">
        <f t="shared" ca="1" si="5"/>
        <v/>
      </c>
      <c r="F123" s="391" t="str">
        <f ca="1">IFERROR(VLOOKUP(Tabela4[[#This Row],[Cabo]],BD!A:V,2,0),"")</f>
        <v/>
      </c>
      <c r="G123" s="22" t="str">
        <f ca="1">IFERROR(VLOOKUP(Tabela4[[#This Row],[Cabo]],BD!A:V,5,0),"")</f>
        <v/>
      </c>
      <c r="H123" s="391" t="str">
        <f ca="1">IFERROR(VLOOKUP(Tabela4[[#This Row],[Cabo]],BD!A:V,3,0),"")</f>
        <v/>
      </c>
      <c r="I123" s="391" t="str">
        <f ca="1">IFERROR(VLOOKUP(Tabela4[[#This Row],[Cabo]],BD!A:V,4,0),"")</f>
        <v/>
      </c>
      <c r="J123" s="391" t="str">
        <f ca="1">IFERROR(VLOOKUP(Tabela4[[#This Row],[Cabo]],BD!A:V,7,0),"")</f>
        <v/>
      </c>
      <c r="K12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3" s="23" t="str">
        <f ca="1">IFERROR(VLOOKUP(Tabela4[[#This Row],[Cabo]],BD!A:V,9,0),"")</f>
        <v/>
      </c>
      <c r="M123" s="23" t="str">
        <f ca="1">IFERROR(VLOOKUP(Tabela4[[#This Row],[Cabo]],BD!A:AD,30,0),"")</f>
        <v/>
      </c>
      <c r="N123" s="23" t="str">
        <f ca="1">IF(SUMIF('Lançamento de Cabos'!B:B,Tabela4[[#This Row],[Cabo]],'Lançamento de Cabos'!C:C)=0,"",SUMIF('Lançamento de Cabos'!B:B,Tabela4[[#This Row],[Cabo]],'Lançamento de Cabos'!C:C))</f>
        <v/>
      </c>
      <c r="O123" s="28" t="str">
        <f ca="1">IFERROR(IF(Tabela4[[#This Row],[Compr. Lançado]]/Tabela4[[#This Row],[Compr. Prev.]]&gt;1,1,Tabela4[[#This Row],[Compr. Lançado]]/Tabela4[[#This Row],[Compr. Prev.]]),"")</f>
        <v/>
      </c>
      <c r="P123" s="24" t="str">
        <f ca="1">IFERROR(VLOOKUP(Tabela4[[#This Row],[Cabo]],BD!A:V,11,0),"")</f>
        <v/>
      </c>
      <c r="Q123" s="24" t="str">
        <f ca="1">IFERROR(VLOOKUP(Tabela4[[#This Row],[Cabo]],BD!A:V,12,0),"")</f>
        <v/>
      </c>
      <c r="R12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3" s="23" t="str">
        <f ca="1">IF(Tabela4[[#This Row],[Cabo]]&lt;&gt;"",4-COUNTIF(Tabela4[[#This Row],[Teste de Continuidade]:[Hipot]],"---"),"")</f>
        <v/>
      </c>
      <c r="W123" s="29" t="str">
        <f ca="1">IF(Tabela4[[#This Row],[Cabo]]&lt;&gt;"",(COUNTIF(Tabela4[[#This Row],[Teste de Continuidade]:[Hipot]],"OK"))/(4-COUNTIF(Tabela4[[#This Row],[Teste de Continuidade]:[Hipot]],"---")),"")</f>
        <v/>
      </c>
      <c r="X123" s="23" t="str">
        <f ca="1">IF(Tabela4[[#This Row],[Cabo]]&lt;&gt;"",SUMIFS('Lançamento de Cabos'!$AF:$AF,'Lançamento de Cabos'!AE:AE,Tabela4[[#This Row],[Cabo]],'Lançamento de Cabos'!AJ:AJ,Área!$B$1),"")</f>
        <v/>
      </c>
      <c r="Y123" s="23" t="str">
        <f ca="1">IF(Tabela4[[#This Row],[Cabo]]&lt;&gt;"",SUMIFS('Lançamento de Cabos'!$AG:$AG,'Lançamento de Cabos'!AE:AE,Tabela4[[#This Row],[Cabo]],'Lançamento de Cabos'!AJ:AJ,Área!$B$1),"")</f>
        <v/>
      </c>
      <c r="Z123" s="23" t="e">
        <f ca="1">VLOOKUP(Tabela4[[#This Row],[Cabo]],BD!A:AB,28,0)</f>
        <v>#N/A</v>
      </c>
    </row>
    <row r="124" spans="3:26" x14ac:dyDescent="0.25">
      <c r="C124" s="391" t="str">
        <f ca="1">IF($B$1="Geral",Tabela1[[#This Row],[Tag do Cabo]],IFERROR(INDEX(INDIRECT("BD!$A"&amp;D124&amp;":$A100000"),E124,1),""))</f>
        <v/>
      </c>
      <c r="D124" s="391" t="str">
        <f t="shared" ca="1" si="4"/>
        <v/>
      </c>
      <c r="E124" s="391" t="str">
        <f t="shared" ca="1" si="5"/>
        <v/>
      </c>
      <c r="F124" s="391" t="str">
        <f ca="1">IFERROR(VLOOKUP(Tabela4[[#This Row],[Cabo]],BD!A:V,2,0),"")</f>
        <v/>
      </c>
      <c r="G124" s="22" t="str">
        <f ca="1">IFERROR(VLOOKUP(Tabela4[[#This Row],[Cabo]],BD!A:V,5,0),"")</f>
        <v/>
      </c>
      <c r="H124" s="391" t="str">
        <f ca="1">IFERROR(VLOOKUP(Tabela4[[#This Row],[Cabo]],BD!A:V,3,0),"")</f>
        <v/>
      </c>
      <c r="I124" s="391" t="str">
        <f ca="1">IFERROR(VLOOKUP(Tabela4[[#This Row],[Cabo]],BD!A:V,4,0),"")</f>
        <v/>
      </c>
      <c r="J124" s="391" t="str">
        <f ca="1">IFERROR(VLOOKUP(Tabela4[[#This Row],[Cabo]],BD!A:V,7,0),"")</f>
        <v/>
      </c>
      <c r="K12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4" s="23" t="str">
        <f ca="1">IFERROR(VLOOKUP(Tabela4[[#This Row],[Cabo]],BD!A:V,9,0),"")</f>
        <v/>
      </c>
      <c r="M124" s="23" t="str">
        <f ca="1">IFERROR(VLOOKUP(Tabela4[[#This Row],[Cabo]],BD!A:AD,30,0),"")</f>
        <v/>
      </c>
      <c r="N124" s="23" t="str">
        <f ca="1">IF(SUMIF('Lançamento de Cabos'!B:B,Tabela4[[#This Row],[Cabo]],'Lançamento de Cabos'!C:C)=0,"",SUMIF('Lançamento de Cabos'!B:B,Tabela4[[#This Row],[Cabo]],'Lançamento de Cabos'!C:C))</f>
        <v/>
      </c>
      <c r="O124" s="28" t="str">
        <f ca="1">IFERROR(IF(Tabela4[[#This Row],[Compr. Lançado]]/Tabela4[[#This Row],[Compr. Prev.]]&gt;1,1,Tabela4[[#This Row],[Compr. Lançado]]/Tabela4[[#This Row],[Compr. Prev.]]),"")</f>
        <v/>
      </c>
      <c r="P124" s="24" t="str">
        <f ca="1">IFERROR(VLOOKUP(Tabela4[[#This Row],[Cabo]],BD!A:V,11,0),"")</f>
        <v/>
      </c>
      <c r="Q124" s="24" t="str">
        <f ca="1">IFERROR(VLOOKUP(Tabela4[[#This Row],[Cabo]],BD!A:V,12,0),"")</f>
        <v/>
      </c>
      <c r="R12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4" s="23" t="str">
        <f ca="1">IF(Tabela4[[#This Row],[Cabo]]&lt;&gt;"",4-COUNTIF(Tabela4[[#This Row],[Teste de Continuidade]:[Hipot]],"---"),"")</f>
        <v/>
      </c>
      <c r="W124" s="29" t="str">
        <f ca="1">IF(Tabela4[[#This Row],[Cabo]]&lt;&gt;"",(COUNTIF(Tabela4[[#This Row],[Teste de Continuidade]:[Hipot]],"OK"))/(4-COUNTIF(Tabela4[[#This Row],[Teste de Continuidade]:[Hipot]],"---")),"")</f>
        <v/>
      </c>
      <c r="X124" s="23" t="str">
        <f ca="1">IF(Tabela4[[#This Row],[Cabo]]&lt;&gt;"",SUMIFS('Lançamento de Cabos'!$AF:$AF,'Lançamento de Cabos'!AE:AE,Tabela4[[#This Row],[Cabo]],'Lançamento de Cabos'!AJ:AJ,Área!$B$1),"")</f>
        <v/>
      </c>
      <c r="Y124" s="23" t="str">
        <f ca="1">IF(Tabela4[[#This Row],[Cabo]]&lt;&gt;"",SUMIFS('Lançamento de Cabos'!$AG:$AG,'Lançamento de Cabos'!AE:AE,Tabela4[[#This Row],[Cabo]],'Lançamento de Cabos'!AJ:AJ,Área!$B$1),"")</f>
        <v/>
      </c>
      <c r="Z124" s="23" t="e">
        <f ca="1">VLOOKUP(Tabela4[[#This Row],[Cabo]],BD!A:AB,28,0)</f>
        <v>#N/A</v>
      </c>
    </row>
    <row r="125" spans="3:26" x14ac:dyDescent="0.25">
      <c r="C125" s="391" t="str">
        <f ca="1">IF($B$1="Geral",Tabela1[[#This Row],[Tag do Cabo]],IFERROR(INDEX(INDIRECT("BD!$A"&amp;D125&amp;":$A100000"),E125,1),""))</f>
        <v/>
      </c>
      <c r="D125" s="391" t="str">
        <f t="shared" ca="1" si="4"/>
        <v/>
      </c>
      <c r="E125" s="391" t="str">
        <f t="shared" ca="1" si="5"/>
        <v/>
      </c>
      <c r="F125" s="391" t="str">
        <f ca="1">IFERROR(VLOOKUP(Tabela4[[#This Row],[Cabo]],BD!A:V,2,0),"")</f>
        <v/>
      </c>
      <c r="G125" s="22" t="str">
        <f ca="1">IFERROR(VLOOKUP(Tabela4[[#This Row],[Cabo]],BD!A:V,5,0),"")</f>
        <v/>
      </c>
      <c r="H125" s="391" t="str">
        <f ca="1">IFERROR(VLOOKUP(Tabela4[[#This Row],[Cabo]],BD!A:V,3,0),"")</f>
        <v/>
      </c>
      <c r="I125" s="391" t="str">
        <f ca="1">IFERROR(VLOOKUP(Tabela4[[#This Row],[Cabo]],BD!A:V,4,0),"")</f>
        <v/>
      </c>
      <c r="J125" s="391" t="str">
        <f ca="1">IFERROR(VLOOKUP(Tabela4[[#This Row],[Cabo]],BD!A:V,7,0),"")</f>
        <v/>
      </c>
      <c r="K12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5" s="23" t="str">
        <f ca="1">IFERROR(VLOOKUP(Tabela4[[#This Row],[Cabo]],BD!A:V,9,0),"")</f>
        <v/>
      </c>
      <c r="M125" s="23" t="str">
        <f ca="1">IFERROR(VLOOKUP(Tabela4[[#This Row],[Cabo]],BD!A:AD,30,0),"")</f>
        <v/>
      </c>
      <c r="N125" s="23" t="str">
        <f ca="1">IF(SUMIF('Lançamento de Cabos'!B:B,Tabela4[[#This Row],[Cabo]],'Lançamento de Cabos'!C:C)=0,"",SUMIF('Lançamento de Cabos'!B:B,Tabela4[[#This Row],[Cabo]],'Lançamento de Cabos'!C:C))</f>
        <v/>
      </c>
      <c r="O125" s="28" t="str">
        <f ca="1">IFERROR(IF(Tabela4[[#This Row],[Compr. Lançado]]/Tabela4[[#This Row],[Compr. Prev.]]&gt;1,1,Tabela4[[#This Row],[Compr. Lançado]]/Tabela4[[#This Row],[Compr. Prev.]]),"")</f>
        <v/>
      </c>
      <c r="P125" s="24" t="str">
        <f ca="1">IFERROR(VLOOKUP(Tabela4[[#This Row],[Cabo]],BD!A:V,11,0),"")</f>
        <v/>
      </c>
      <c r="Q125" s="24" t="str">
        <f ca="1">IFERROR(VLOOKUP(Tabela4[[#This Row],[Cabo]],BD!A:V,12,0),"")</f>
        <v/>
      </c>
      <c r="R12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5" s="23" t="str">
        <f ca="1">IF(Tabela4[[#This Row],[Cabo]]&lt;&gt;"",4-COUNTIF(Tabela4[[#This Row],[Teste de Continuidade]:[Hipot]],"---"),"")</f>
        <v/>
      </c>
      <c r="W125" s="29" t="str">
        <f ca="1">IF(Tabela4[[#This Row],[Cabo]]&lt;&gt;"",(COUNTIF(Tabela4[[#This Row],[Teste de Continuidade]:[Hipot]],"OK"))/(4-COUNTIF(Tabela4[[#This Row],[Teste de Continuidade]:[Hipot]],"---")),"")</f>
        <v/>
      </c>
      <c r="X125" s="23" t="str">
        <f ca="1">IF(Tabela4[[#This Row],[Cabo]]&lt;&gt;"",SUMIFS('Lançamento de Cabos'!$AF:$AF,'Lançamento de Cabos'!AE:AE,Tabela4[[#This Row],[Cabo]],'Lançamento de Cabos'!AJ:AJ,Área!$B$1),"")</f>
        <v/>
      </c>
      <c r="Y125" s="23" t="str">
        <f ca="1">IF(Tabela4[[#This Row],[Cabo]]&lt;&gt;"",SUMIFS('Lançamento de Cabos'!$AG:$AG,'Lançamento de Cabos'!AE:AE,Tabela4[[#This Row],[Cabo]],'Lançamento de Cabos'!AJ:AJ,Área!$B$1),"")</f>
        <v/>
      </c>
      <c r="Z125" s="23" t="e">
        <f ca="1">VLOOKUP(Tabela4[[#This Row],[Cabo]],BD!A:AB,28,0)</f>
        <v>#N/A</v>
      </c>
    </row>
    <row r="126" spans="3:26" x14ac:dyDescent="0.25">
      <c r="C126" s="391" t="str">
        <f ca="1">IF($B$1="Geral",Tabela1[[#This Row],[Tag do Cabo]],IFERROR(INDEX(INDIRECT("BD!$A"&amp;D126&amp;":$A100000"),E126,1),""))</f>
        <v/>
      </c>
      <c r="D126" s="391" t="str">
        <f t="shared" ca="1" si="4"/>
        <v/>
      </c>
      <c r="E126" s="391" t="str">
        <f t="shared" ca="1" si="5"/>
        <v/>
      </c>
      <c r="F126" s="391" t="str">
        <f ca="1">IFERROR(VLOOKUP(Tabela4[[#This Row],[Cabo]],BD!A:V,2,0),"")</f>
        <v/>
      </c>
      <c r="G126" s="22" t="str">
        <f ca="1">IFERROR(VLOOKUP(Tabela4[[#This Row],[Cabo]],BD!A:V,5,0),"")</f>
        <v/>
      </c>
      <c r="H126" s="391" t="str">
        <f ca="1">IFERROR(VLOOKUP(Tabela4[[#This Row],[Cabo]],BD!A:V,3,0),"")</f>
        <v/>
      </c>
      <c r="I126" s="391" t="str">
        <f ca="1">IFERROR(VLOOKUP(Tabela4[[#This Row],[Cabo]],BD!A:V,4,0),"")</f>
        <v/>
      </c>
      <c r="J126" s="391" t="str">
        <f ca="1">IFERROR(VLOOKUP(Tabela4[[#This Row],[Cabo]],BD!A:V,7,0),"")</f>
        <v/>
      </c>
      <c r="K12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6" s="23" t="str">
        <f ca="1">IFERROR(VLOOKUP(Tabela4[[#This Row],[Cabo]],BD!A:V,9,0),"")</f>
        <v/>
      </c>
      <c r="M126" s="23" t="str">
        <f ca="1">IFERROR(VLOOKUP(Tabela4[[#This Row],[Cabo]],BD!A:AD,30,0),"")</f>
        <v/>
      </c>
      <c r="N126" s="23" t="str">
        <f ca="1">IF(SUMIF('Lançamento de Cabos'!B:B,Tabela4[[#This Row],[Cabo]],'Lançamento de Cabos'!C:C)=0,"",SUMIF('Lançamento de Cabos'!B:B,Tabela4[[#This Row],[Cabo]],'Lançamento de Cabos'!C:C))</f>
        <v/>
      </c>
      <c r="O126" s="28" t="str">
        <f ca="1">IFERROR(IF(Tabela4[[#This Row],[Compr. Lançado]]/Tabela4[[#This Row],[Compr. Prev.]]&gt;1,1,Tabela4[[#This Row],[Compr. Lançado]]/Tabela4[[#This Row],[Compr. Prev.]]),"")</f>
        <v/>
      </c>
      <c r="P126" s="24" t="str">
        <f ca="1">IFERROR(VLOOKUP(Tabela4[[#This Row],[Cabo]],BD!A:V,11,0),"")</f>
        <v/>
      </c>
      <c r="Q126" s="24" t="str">
        <f ca="1">IFERROR(VLOOKUP(Tabela4[[#This Row],[Cabo]],BD!A:V,12,0),"")</f>
        <v/>
      </c>
      <c r="R12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6" s="23" t="str">
        <f ca="1">IF(Tabela4[[#This Row],[Cabo]]&lt;&gt;"",4-COUNTIF(Tabela4[[#This Row],[Teste de Continuidade]:[Hipot]],"---"),"")</f>
        <v/>
      </c>
      <c r="W126" s="29" t="str">
        <f ca="1">IF(Tabela4[[#This Row],[Cabo]]&lt;&gt;"",(COUNTIF(Tabela4[[#This Row],[Teste de Continuidade]:[Hipot]],"OK"))/(4-COUNTIF(Tabela4[[#This Row],[Teste de Continuidade]:[Hipot]],"---")),"")</f>
        <v/>
      </c>
      <c r="X126" s="23" t="str">
        <f ca="1">IF(Tabela4[[#This Row],[Cabo]]&lt;&gt;"",SUMIFS('Lançamento de Cabos'!$AF:$AF,'Lançamento de Cabos'!AE:AE,Tabela4[[#This Row],[Cabo]],'Lançamento de Cabos'!AJ:AJ,Área!$B$1),"")</f>
        <v/>
      </c>
      <c r="Y126" s="23" t="str">
        <f ca="1">IF(Tabela4[[#This Row],[Cabo]]&lt;&gt;"",SUMIFS('Lançamento de Cabos'!$AG:$AG,'Lançamento de Cabos'!AE:AE,Tabela4[[#This Row],[Cabo]],'Lançamento de Cabos'!AJ:AJ,Área!$B$1),"")</f>
        <v/>
      </c>
      <c r="Z126" s="23" t="e">
        <f ca="1">VLOOKUP(Tabela4[[#This Row],[Cabo]],BD!A:AB,28,0)</f>
        <v>#N/A</v>
      </c>
    </row>
    <row r="127" spans="3:26" x14ac:dyDescent="0.25">
      <c r="C127" s="391" t="str">
        <f ca="1">IF($B$1="Geral",Tabela1[[#This Row],[Tag do Cabo]],IFERROR(INDEX(INDIRECT("BD!$A"&amp;D127&amp;":$A100000"),E127,1),""))</f>
        <v/>
      </c>
      <c r="D127" s="391" t="str">
        <f t="shared" ca="1" si="4"/>
        <v/>
      </c>
      <c r="E127" s="391" t="str">
        <f t="shared" ca="1" si="5"/>
        <v/>
      </c>
      <c r="F127" s="391" t="str">
        <f ca="1">IFERROR(VLOOKUP(Tabela4[[#This Row],[Cabo]],BD!A:V,2,0),"")</f>
        <v/>
      </c>
      <c r="G127" s="22" t="str">
        <f ca="1">IFERROR(VLOOKUP(Tabela4[[#This Row],[Cabo]],BD!A:V,5,0),"")</f>
        <v/>
      </c>
      <c r="H127" s="391" t="str">
        <f ca="1">IFERROR(VLOOKUP(Tabela4[[#This Row],[Cabo]],BD!A:V,3,0),"")</f>
        <v/>
      </c>
      <c r="I127" s="391" t="str">
        <f ca="1">IFERROR(VLOOKUP(Tabela4[[#This Row],[Cabo]],BD!A:V,4,0),"")</f>
        <v/>
      </c>
      <c r="J127" s="391" t="str">
        <f ca="1">IFERROR(VLOOKUP(Tabela4[[#This Row],[Cabo]],BD!A:V,7,0),"")</f>
        <v/>
      </c>
      <c r="K12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7" s="23" t="str">
        <f ca="1">IFERROR(VLOOKUP(Tabela4[[#This Row],[Cabo]],BD!A:V,9,0),"")</f>
        <v/>
      </c>
      <c r="M127" s="23" t="str">
        <f ca="1">IFERROR(VLOOKUP(Tabela4[[#This Row],[Cabo]],BD!A:AD,30,0),"")</f>
        <v/>
      </c>
      <c r="N127" s="23" t="str">
        <f ca="1">IF(SUMIF('Lançamento de Cabos'!B:B,Tabela4[[#This Row],[Cabo]],'Lançamento de Cabos'!C:C)=0,"",SUMIF('Lançamento de Cabos'!B:B,Tabela4[[#This Row],[Cabo]],'Lançamento de Cabos'!C:C))</f>
        <v/>
      </c>
      <c r="O127" s="28" t="str">
        <f ca="1">IFERROR(IF(Tabela4[[#This Row],[Compr. Lançado]]/Tabela4[[#This Row],[Compr. Prev.]]&gt;1,1,Tabela4[[#This Row],[Compr. Lançado]]/Tabela4[[#This Row],[Compr. Prev.]]),"")</f>
        <v/>
      </c>
      <c r="P127" s="24" t="str">
        <f ca="1">IFERROR(VLOOKUP(Tabela4[[#This Row],[Cabo]],BD!A:V,11,0),"")</f>
        <v/>
      </c>
      <c r="Q127" s="24" t="str">
        <f ca="1">IFERROR(VLOOKUP(Tabela4[[#This Row],[Cabo]],BD!A:V,12,0),"")</f>
        <v/>
      </c>
      <c r="R12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7" s="23" t="str">
        <f ca="1">IF(Tabela4[[#This Row],[Cabo]]&lt;&gt;"",4-COUNTIF(Tabela4[[#This Row],[Teste de Continuidade]:[Hipot]],"---"),"")</f>
        <v/>
      </c>
      <c r="W127" s="29" t="str">
        <f ca="1">IF(Tabela4[[#This Row],[Cabo]]&lt;&gt;"",(COUNTIF(Tabela4[[#This Row],[Teste de Continuidade]:[Hipot]],"OK"))/(4-COUNTIF(Tabela4[[#This Row],[Teste de Continuidade]:[Hipot]],"---")),"")</f>
        <v/>
      </c>
      <c r="X127" s="23" t="str">
        <f ca="1">IF(Tabela4[[#This Row],[Cabo]]&lt;&gt;"",SUMIFS('Lançamento de Cabos'!$AF:$AF,'Lançamento de Cabos'!AE:AE,Tabela4[[#This Row],[Cabo]],'Lançamento de Cabos'!AJ:AJ,Área!$B$1),"")</f>
        <v/>
      </c>
      <c r="Y127" s="23" t="str">
        <f ca="1">IF(Tabela4[[#This Row],[Cabo]]&lt;&gt;"",SUMIFS('Lançamento de Cabos'!$AG:$AG,'Lançamento de Cabos'!AE:AE,Tabela4[[#This Row],[Cabo]],'Lançamento de Cabos'!AJ:AJ,Área!$B$1),"")</f>
        <v/>
      </c>
      <c r="Z127" s="23" t="e">
        <f ca="1">VLOOKUP(Tabela4[[#This Row],[Cabo]],BD!A:AB,28,0)</f>
        <v>#N/A</v>
      </c>
    </row>
    <row r="128" spans="3:26" x14ac:dyDescent="0.25">
      <c r="C128" s="391" t="str">
        <f ca="1">IF($B$1="Geral",Tabela1[[#This Row],[Tag do Cabo]],IFERROR(INDEX(INDIRECT("BD!$A"&amp;D128&amp;":$A100000"),E128,1),""))</f>
        <v/>
      </c>
      <c r="D128" s="391" t="str">
        <f t="shared" ca="1" si="4"/>
        <v/>
      </c>
      <c r="E128" s="391" t="str">
        <f t="shared" ca="1" si="5"/>
        <v/>
      </c>
      <c r="F128" s="391" t="str">
        <f ca="1">IFERROR(VLOOKUP(Tabela4[[#This Row],[Cabo]],BD!A:V,2,0),"")</f>
        <v/>
      </c>
      <c r="G128" s="22" t="str">
        <f ca="1">IFERROR(VLOOKUP(Tabela4[[#This Row],[Cabo]],BD!A:V,5,0),"")</f>
        <v/>
      </c>
      <c r="H128" s="391" t="str">
        <f ca="1">IFERROR(VLOOKUP(Tabela4[[#This Row],[Cabo]],BD!A:V,3,0),"")</f>
        <v/>
      </c>
      <c r="I128" s="391" t="str">
        <f ca="1">IFERROR(VLOOKUP(Tabela4[[#This Row],[Cabo]],BD!A:V,4,0),"")</f>
        <v/>
      </c>
      <c r="J128" s="391" t="str">
        <f ca="1">IFERROR(VLOOKUP(Tabela4[[#This Row],[Cabo]],BD!A:V,7,0),"")</f>
        <v/>
      </c>
      <c r="K12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8" s="23" t="str">
        <f ca="1">IFERROR(VLOOKUP(Tabela4[[#This Row],[Cabo]],BD!A:V,9,0),"")</f>
        <v/>
      </c>
      <c r="M128" s="23" t="str">
        <f ca="1">IFERROR(VLOOKUP(Tabela4[[#This Row],[Cabo]],BD!A:AD,30,0),"")</f>
        <v/>
      </c>
      <c r="N128" s="23" t="str">
        <f ca="1">IF(SUMIF('Lançamento de Cabos'!B:B,Tabela4[[#This Row],[Cabo]],'Lançamento de Cabos'!C:C)=0,"",SUMIF('Lançamento de Cabos'!B:B,Tabela4[[#This Row],[Cabo]],'Lançamento de Cabos'!C:C))</f>
        <v/>
      </c>
      <c r="O128" s="28" t="str">
        <f ca="1">IFERROR(IF(Tabela4[[#This Row],[Compr. Lançado]]/Tabela4[[#This Row],[Compr. Prev.]]&gt;1,1,Tabela4[[#This Row],[Compr. Lançado]]/Tabela4[[#This Row],[Compr. Prev.]]),"")</f>
        <v/>
      </c>
      <c r="P128" s="24" t="str">
        <f ca="1">IFERROR(VLOOKUP(Tabela4[[#This Row],[Cabo]],BD!A:V,11,0),"")</f>
        <v/>
      </c>
      <c r="Q128" s="24" t="str">
        <f ca="1">IFERROR(VLOOKUP(Tabela4[[#This Row],[Cabo]],BD!A:V,12,0),"")</f>
        <v/>
      </c>
      <c r="R12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8" s="23" t="str">
        <f ca="1">IF(Tabela4[[#This Row],[Cabo]]&lt;&gt;"",4-COUNTIF(Tabela4[[#This Row],[Teste de Continuidade]:[Hipot]],"---"),"")</f>
        <v/>
      </c>
      <c r="W128" s="29" t="str">
        <f ca="1">IF(Tabela4[[#This Row],[Cabo]]&lt;&gt;"",(COUNTIF(Tabela4[[#This Row],[Teste de Continuidade]:[Hipot]],"OK"))/(4-COUNTIF(Tabela4[[#This Row],[Teste de Continuidade]:[Hipot]],"---")),"")</f>
        <v/>
      </c>
      <c r="X128" s="23" t="str">
        <f ca="1">IF(Tabela4[[#This Row],[Cabo]]&lt;&gt;"",SUMIFS('Lançamento de Cabos'!$AF:$AF,'Lançamento de Cabos'!AE:AE,Tabela4[[#This Row],[Cabo]],'Lançamento de Cabos'!AJ:AJ,Área!$B$1),"")</f>
        <v/>
      </c>
      <c r="Y128" s="23" t="str">
        <f ca="1">IF(Tabela4[[#This Row],[Cabo]]&lt;&gt;"",SUMIFS('Lançamento de Cabos'!$AG:$AG,'Lançamento de Cabos'!AE:AE,Tabela4[[#This Row],[Cabo]],'Lançamento de Cabos'!AJ:AJ,Área!$B$1),"")</f>
        <v/>
      </c>
      <c r="Z128" s="23" t="e">
        <f ca="1">VLOOKUP(Tabela4[[#This Row],[Cabo]],BD!A:AB,28,0)</f>
        <v>#N/A</v>
      </c>
    </row>
    <row r="129" spans="3:26" x14ac:dyDescent="0.25">
      <c r="C129" s="391" t="str">
        <f ca="1">IF($B$1="Geral",Tabela1[[#This Row],[Tag do Cabo]],IFERROR(INDEX(INDIRECT("BD!$A"&amp;D129&amp;":$A100000"),E129,1),""))</f>
        <v/>
      </c>
      <c r="D129" s="391" t="str">
        <f t="shared" ca="1" si="4"/>
        <v/>
      </c>
      <c r="E129" s="391" t="str">
        <f t="shared" ca="1" si="5"/>
        <v/>
      </c>
      <c r="F129" s="391" t="str">
        <f ca="1">IFERROR(VLOOKUP(Tabela4[[#This Row],[Cabo]],BD!A:V,2,0),"")</f>
        <v/>
      </c>
      <c r="G129" s="22" t="str">
        <f ca="1">IFERROR(VLOOKUP(Tabela4[[#This Row],[Cabo]],BD!A:V,5,0),"")</f>
        <v/>
      </c>
      <c r="H129" s="391" t="str">
        <f ca="1">IFERROR(VLOOKUP(Tabela4[[#This Row],[Cabo]],BD!A:V,3,0),"")</f>
        <v/>
      </c>
      <c r="I129" s="391" t="str">
        <f ca="1">IFERROR(VLOOKUP(Tabela4[[#This Row],[Cabo]],BD!A:V,4,0),"")</f>
        <v/>
      </c>
      <c r="J129" s="391" t="str">
        <f ca="1">IFERROR(VLOOKUP(Tabela4[[#This Row],[Cabo]],BD!A:V,7,0),"")</f>
        <v/>
      </c>
      <c r="K12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29" s="23" t="str">
        <f ca="1">IFERROR(VLOOKUP(Tabela4[[#This Row],[Cabo]],BD!A:V,9,0),"")</f>
        <v/>
      </c>
      <c r="M129" s="23" t="str">
        <f ca="1">IFERROR(VLOOKUP(Tabela4[[#This Row],[Cabo]],BD!A:AD,30,0),"")</f>
        <v/>
      </c>
      <c r="N129" s="23" t="str">
        <f ca="1">IF(SUMIF('Lançamento de Cabos'!B:B,Tabela4[[#This Row],[Cabo]],'Lançamento de Cabos'!C:C)=0,"",SUMIF('Lançamento de Cabos'!B:B,Tabela4[[#This Row],[Cabo]],'Lançamento de Cabos'!C:C))</f>
        <v/>
      </c>
      <c r="O129" s="28" t="str">
        <f ca="1">IFERROR(IF(Tabela4[[#This Row],[Compr. Lançado]]/Tabela4[[#This Row],[Compr. Prev.]]&gt;1,1,Tabela4[[#This Row],[Compr. Lançado]]/Tabela4[[#This Row],[Compr. Prev.]]),"")</f>
        <v/>
      </c>
      <c r="P129" s="24" t="str">
        <f ca="1">IFERROR(VLOOKUP(Tabela4[[#This Row],[Cabo]],BD!A:V,11,0),"")</f>
        <v/>
      </c>
      <c r="Q129" s="24" t="str">
        <f ca="1">IFERROR(VLOOKUP(Tabela4[[#This Row],[Cabo]],BD!A:V,12,0),"")</f>
        <v/>
      </c>
      <c r="R12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2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2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2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29" s="23" t="str">
        <f ca="1">IF(Tabela4[[#This Row],[Cabo]]&lt;&gt;"",4-COUNTIF(Tabela4[[#This Row],[Teste de Continuidade]:[Hipot]],"---"),"")</f>
        <v/>
      </c>
      <c r="W129" s="29" t="str">
        <f ca="1">IF(Tabela4[[#This Row],[Cabo]]&lt;&gt;"",(COUNTIF(Tabela4[[#This Row],[Teste de Continuidade]:[Hipot]],"OK"))/(4-COUNTIF(Tabela4[[#This Row],[Teste de Continuidade]:[Hipot]],"---")),"")</f>
        <v/>
      </c>
      <c r="X129" s="23" t="str">
        <f ca="1">IF(Tabela4[[#This Row],[Cabo]]&lt;&gt;"",SUMIFS('Lançamento de Cabos'!$AF:$AF,'Lançamento de Cabos'!AE:AE,Tabela4[[#This Row],[Cabo]],'Lançamento de Cabos'!AJ:AJ,Área!$B$1),"")</f>
        <v/>
      </c>
      <c r="Y129" s="23" t="str">
        <f ca="1">IF(Tabela4[[#This Row],[Cabo]]&lt;&gt;"",SUMIFS('Lançamento de Cabos'!$AG:$AG,'Lançamento de Cabos'!AE:AE,Tabela4[[#This Row],[Cabo]],'Lançamento de Cabos'!AJ:AJ,Área!$B$1),"")</f>
        <v/>
      </c>
      <c r="Z129" s="23" t="e">
        <f ca="1">VLOOKUP(Tabela4[[#This Row],[Cabo]],BD!A:AB,28,0)</f>
        <v>#N/A</v>
      </c>
    </row>
    <row r="130" spans="3:26" x14ac:dyDescent="0.25">
      <c r="C130" s="391" t="str">
        <f ca="1">IF($B$1="Geral",Tabela1[[#This Row],[Tag do Cabo]],IFERROR(INDEX(INDIRECT("BD!$A"&amp;D130&amp;":$A100000"),E130,1),""))</f>
        <v/>
      </c>
      <c r="D130" s="391" t="str">
        <f t="shared" ca="1" si="4"/>
        <v/>
      </c>
      <c r="E130" s="391" t="str">
        <f t="shared" ref="E130:E161" ca="1" si="6">IFERROR(MATCH($B$1,INDIRECT("BD!$J"&amp;D130&amp;":$J100000"),0),"")</f>
        <v/>
      </c>
      <c r="F130" s="391" t="str">
        <f ca="1">IFERROR(VLOOKUP(Tabela4[[#This Row],[Cabo]],BD!A:V,2,0),"")</f>
        <v/>
      </c>
      <c r="G130" s="22" t="str">
        <f ca="1">IFERROR(VLOOKUP(Tabela4[[#This Row],[Cabo]],BD!A:V,5,0),"")</f>
        <v/>
      </c>
      <c r="H130" s="391" t="str">
        <f ca="1">IFERROR(VLOOKUP(Tabela4[[#This Row],[Cabo]],BD!A:V,3,0),"")</f>
        <v/>
      </c>
      <c r="I130" s="391" t="str">
        <f ca="1">IFERROR(VLOOKUP(Tabela4[[#This Row],[Cabo]],BD!A:V,4,0),"")</f>
        <v/>
      </c>
      <c r="J130" s="391" t="str">
        <f ca="1">IFERROR(VLOOKUP(Tabela4[[#This Row],[Cabo]],BD!A:V,7,0),"")</f>
        <v/>
      </c>
      <c r="K13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0" s="23" t="str">
        <f ca="1">IFERROR(VLOOKUP(Tabela4[[#This Row],[Cabo]],BD!A:V,9,0),"")</f>
        <v/>
      </c>
      <c r="M130" s="23" t="str">
        <f ca="1">IFERROR(VLOOKUP(Tabela4[[#This Row],[Cabo]],BD!A:AD,30,0),"")</f>
        <v/>
      </c>
      <c r="N130" s="23" t="str">
        <f ca="1">IF(SUMIF('Lançamento de Cabos'!B:B,Tabela4[[#This Row],[Cabo]],'Lançamento de Cabos'!C:C)=0,"",SUMIF('Lançamento de Cabos'!B:B,Tabela4[[#This Row],[Cabo]],'Lançamento de Cabos'!C:C))</f>
        <v/>
      </c>
      <c r="O130" s="28" t="str">
        <f ca="1">IFERROR(IF(Tabela4[[#This Row],[Compr. Lançado]]/Tabela4[[#This Row],[Compr. Prev.]]&gt;1,1,Tabela4[[#This Row],[Compr. Lançado]]/Tabela4[[#This Row],[Compr. Prev.]]),"")</f>
        <v/>
      </c>
      <c r="P130" s="24" t="str">
        <f ca="1">IFERROR(VLOOKUP(Tabela4[[#This Row],[Cabo]],BD!A:V,11,0),"")</f>
        <v/>
      </c>
      <c r="Q130" s="24" t="str">
        <f ca="1">IFERROR(VLOOKUP(Tabela4[[#This Row],[Cabo]],BD!A:V,12,0),"")</f>
        <v/>
      </c>
      <c r="R13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0" s="23" t="str">
        <f ca="1">IF(Tabela4[[#This Row],[Cabo]]&lt;&gt;"",4-COUNTIF(Tabela4[[#This Row],[Teste de Continuidade]:[Hipot]],"---"),"")</f>
        <v/>
      </c>
      <c r="W130" s="29" t="str">
        <f ca="1">IF(Tabela4[[#This Row],[Cabo]]&lt;&gt;"",(COUNTIF(Tabela4[[#This Row],[Teste de Continuidade]:[Hipot]],"OK"))/(4-COUNTIF(Tabela4[[#This Row],[Teste de Continuidade]:[Hipot]],"---")),"")</f>
        <v/>
      </c>
      <c r="X130" s="23" t="str">
        <f ca="1">IF(Tabela4[[#This Row],[Cabo]]&lt;&gt;"",SUMIFS('Lançamento de Cabos'!$AF:$AF,'Lançamento de Cabos'!AE:AE,Tabela4[[#This Row],[Cabo]],'Lançamento de Cabos'!AJ:AJ,Área!$B$1),"")</f>
        <v/>
      </c>
      <c r="Y130" s="23" t="str">
        <f ca="1">IF(Tabela4[[#This Row],[Cabo]]&lt;&gt;"",SUMIFS('Lançamento de Cabos'!$AG:$AG,'Lançamento de Cabos'!AE:AE,Tabela4[[#This Row],[Cabo]],'Lançamento de Cabos'!AJ:AJ,Área!$B$1),"")</f>
        <v/>
      </c>
      <c r="Z130" s="23" t="e">
        <f ca="1">VLOOKUP(Tabela4[[#This Row],[Cabo]],BD!A:AB,28,0)</f>
        <v>#N/A</v>
      </c>
    </row>
    <row r="131" spans="3:26" x14ac:dyDescent="0.25">
      <c r="C131" s="391" t="str">
        <f ca="1">IF($B$1="Geral",Tabela1[[#This Row],[Tag do Cabo]],IFERROR(INDEX(INDIRECT("BD!$A"&amp;D131&amp;":$A100000"),E131,1),""))</f>
        <v/>
      </c>
      <c r="D131" s="391" t="str">
        <f t="shared" ca="1" si="4"/>
        <v/>
      </c>
      <c r="E131" s="391" t="str">
        <f t="shared" ca="1" si="6"/>
        <v/>
      </c>
      <c r="F131" s="391" t="str">
        <f ca="1">IFERROR(VLOOKUP(Tabela4[[#This Row],[Cabo]],BD!A:V,2,0),"")</f>
        <v/>
      </c>
      <c r="G131" s="22" t="str">
        <f ca="1">IFERROR(VLOOKUP(Tabela4[[#This Row],[Cabo]],BD!A:V,5,0),"")</f>
        <v/>
      </c>
      <c r="H131" s="391" t="str">
        <f ca="1">IFERROR(VLOOKUP(Tabela4[[#This Row],[Cabo]],BD!A:V,3,0),"")</f>
        <v/>
      </c>
      <c r="I131" s="391" t="str">
        <f ca="1">IFERROR(VLOOKUP(Tabela4[[#This Row],[Cabo]],BD!A:V,4,0),"")</f>
        <v/>
      </c>
      <c r="J131" s="391" t="str">
        <f ca="1">IFERROR(VLOOKUP(Tabela4[[#This Row],[Cabo]],BD!A:V,7,0),"")</f>
        <v/>
      </c>
      <c r="K13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1" s="23" t="str">
        <f ca="1">IFERROR(VLOOKUP(Tabela4[[#This Row],[Cabo]],BD!A:V,9,0),"")</f>
        <v/>
      </c>
      <c r="M131" s="23" t="str">
        <f ca="1">IFERROR(VLOOKUP(Tabela4[[#This Row],[Cabo]],BD!A:AD,30,0),"")</f>
        <v/>
      </c>
      <c r="N131" s="23" t="str">
        <f ca="1">IF(SUMIF('Lançamento de Cabos'!B:B,Tabela4[[#This Row],[Cabo]],'Lançamento de Cabos'!C:C)=0,"",SUMIF('Lançamento de Cabos'!B:B,Tabela4[[#This Row],[Cabo]],'Lançamento de Cabos'!C:C))</f>
        <v/>
      </c>
      <c r="O131" s="28" t="str">
        <f ca="1">IFERROR(IF(Tabela4[[#This Row],[Compr. Lançado]]/Tabela4[[#This Row],[Compr. Prev.]]&gt;1,1,Tabela4[[#This Row],[Compr. Lançado]]/Tabela4[[#This Row],[Compr. Prev.]]),"")</f>
        <v/>
      </c>
      <c r="P131" s="24" t="str">
        <f ca="1">IFERROR(VLOOKUP(Tabela4[[#This Row],[Cabo]],BD!A:V,11,0),"")</f>
        <v/>
      </c>
      <c r="Q131" s="24" t="str">
        <f ca="1">IFERROR(VLOOKUP(Tabela4[[#This Row],[Cabo]],BD!A:V,12,0),"")</f>
        <v/>
      </c>
      <c r="R13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1" s="23" t="str">
        <f ca="1">IF(Tabela4[[#This Row],[Cabo]]&lt;&gt;"",4-COUNTIF(Tabela4[[#This Row],[Teste de Continuidade]:[Hipot]],"---"),"")</f>
        <v/>
      </c>
      <c r="W131" s="29" t="str">
        <f ca="1">IF(Tabela4[[#This Row],[Cabo]]&lt;&gt;"",(COUNTIF(Tabela4[[#This Row],[Teste de Continuidade]:[Hipot]],"OK"))/(4-COUNTIF(Tabela4[[#This Row],[Teste de Continuidade]:[Hipot]],"---")),"")</f>
        <v/>
      </c>
      <c r="X131" s="23" t="str">
        <f ca="1">IF(Tabela4[[#This Row],[Cabo]]&lt;&gt;"",SUMIFS('Lançamento de Cabos'!$AF:$AF,'Lançamento de Cabos'!AE:AE,Tabela4[[#This Row],[Cabo]],'Lançamento de Cabos'!AJ:AJ,Área!$B$1),"")</f>
        <v/>
      </c>
      <c r="Y131" s="23" t="str">
        <f ca="1">IF(Tabela4[[#This Row],[Cabo]]&lt;&gt;"",SUMIFS('Lançamento de Cabos'!$AG:$AG,'Lançamento de Cabos'!AE:AE,Tabela4[[#This Row],[Cabo]],'Lançamento de Cabos'!AJ:AJ,Área!$B$1),"")</f>
        <v/>
      </c>
      <c r="Z131" s="23" t="e">
        <f ca="1">VLOOKUP(Tabela4[[#This Row],[Cabo]],BD!A:AB,28,0)</f>
        <v>#N/A</v>
      </c>
    </row>
    <row r="132" spans="3:26" x14ac:dyDescent="0.25">
      <c r="C132" s="391" t="str">
        <f ca="1">IF($B$1="Geral",Tabela1[[#This Row],[Tag do Cabo]],IFERROR(INDEX(INDIRECT("BD!$A"&amp;D132&amp;":$A100000"),E132,1),""))</f>
        <v/>
      </c>
      <c r="D132" s="391" t="str">
        <f t="shared" ref="D132:D150" ca="1" si="7">IFERROR(D131+E131,"")</f>
        <v/>
      </c>
      <c r="E132" s="391" t="str">
        <f t="shared" ca="1" si="6"/>
        <v/>
      </c>
      <c r="F132" s="391" t="str">
        <f ca="1">IFERROR(VLOOKUP(Tabela4[[#This Row],[Cabo]],BD!A:V,2,0),"")</f>
        <v/>
      </c>
      <c r="G132" s="22" t="str">
        <f ca="1">IFERROR(VLOOKUP(Tabela4[[#This Row],[Cabo]],BD!A:V,5,0),"")</f>
        <v/>
      </c>
      <c r="H132" s="391" t="str">
        <f ca="1">IFERROR(VLOOKUP(Tabela4[[#This Row],[Cabo]],BD!A:V,3,0),"")</f>
        <v/>
      </c>
      <c r="I132" s="391" t="str">
        <f ca="1">IFERROR(VLOOKUP(Tabela4[[#This Row],[Cabo]],BD!A:V,4,0),"")</f>
        <v/>
      </c>
      <c r="J132" s="391" t="str">
        <f ca="1">IFERROR(VLOOKUP(Tabela4[[#This Row],[Cabo]],BD!A:V,7,0),"")</f>
        <v/>
      </c>
      <c r="K13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2" s="23" t="str">
        <f ca="1">IFERROR(VLOOKUP(Tabela4[[#This Row],[Cabo]],BD!A:V,9,0),"")</f>
        <v/>
      </c>
      <c r="M132" s="23" t="str">
        <f ca="1">IFERROR(VLOOKUP(Tabela4[[#This Row],[Cabo]],BD!A:AD,30,0),"")</f>
        <v/>
      </c>
      <c r="N132" s="23" t="str">
        <f ca="1">IF(SUMIF('Lançamento de Cabos'!B:B,Tabela4[[#This Row],[Cabo]],'Lançamento de Cabos'!C:C)=0,"",SUMIF('Lançamento de Cabos'!B:B,Tabela4[[#This Row],[Cabo]],'Lançamento de Cabos'!C:C))</f>
        <v/>
      </c>
      <c r="O132" s="28" t="str">
        <f ca="1">IFERROR(IF(Tabela4[[#This Row],[Compr. Lançado]]/Tabela4[[#This Row],[Compr. Prev.]]&gt;1,1,Tabela4[[#This Row],[Compr. Lançado]]/Tabela4[[#This Row],[Compr. Prev.]]),"")</f>
        <v/>
      </c>
      <c r="P132" s="24" t="str">
        <f ca="1">IFERROR(VLOOKUP(Tabela4[[#This Row],[Cabo]],BD!A:V,11,0),"")</f>
        <v/>
      </c>
      <c r="Q132" s="24" t="str">
        <f ca="1">IFERROR(VLOOKUP(Tabela4[[#This Row],[Cabo]],BD!A:V,12,0),"")</f>
        <v/>
      </c>
      <c r="R13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2" s="23" t="str">
        <f ca="1">IF(Tabela4[[#This Row],[Cabo]]&lt;&gt;"",4-COUNTIF(Tabela4[[#This Row],[Teste de Continuidade]:[Hipot]],"---"),"")</f>
        <v/>
      </c>
      <c r="W132" s="29" t="str">
        <f ca="1">IF(Tabela4[[#This Row],[Cabo]]&lt;&gt;"",(COUNTIF(Tabela4[[#This Row],[Teste de Continuidade]:[Hipot]],"OK"))/(4-COUNTIF(Tabela4[[#This Row],[Teste de Continuidade]:[Hipot]],"---")),"")</f>
        <v/>
      </c>
      <c r="X132" s="23" t="str">
        <f ca="1">IF(Tabela4[[#This Row],[Cabo]]&lt;&gt;"",SUMIFS('Lançamento de Cabos'!$AF:$AF,'Lançamento de Cabos'!AE:AE,Tabela4[[#This Row],[Cabo]],'Lançamento de Cabos'!AJ:AJ,Área!$B$1),"")</f>
        <v/>
      </c>
      <c r="Y132" s="23" t="str">
        <f ca="1">IF(Tabela4[[#This Row],[Cabo]]&lt;&gt;"",SUMIFS('Lançamento de Cabos'!$AG:$AG,'Lançamento de Cabos'!AE:AE,Tabela4[[#This Row],[Cabo]],'Lançamento de Cabos'!AJ:AJ,Área!$B$1),"")</f>
        <v/>
      </c>
      <c r="Z132" s="23" t="e">
        <f ca="1">VLOOKUP(Tabela4[[#This Row],[Cabo]],BD!A:AB,28,0)</f>
        <v>#N/A</v>
      </c>
    </row>
    <row r="133" spans="3:26" x14ac:dyDescent="0.25">
      <c r="C133" s="391" t="str">
        <f ca="1">IF($B$1="Geral",Tabela1[[#This Row],[Tag do Cabo]],IFERROR(INDEX(INDIRECT("BD!$A"&amp;D133&amp;":$A100000"),E133,1),""))</f>
        <v/>
      </c>
      <c r="D133" s="391" t="str">
        <f t="shared" ca="1" si="7"/>
        <v/>
      </c>
      <c r="E133" s="391" t="str">
        <f t="shared" ca="1" si="6"/>
        <v/>
      </c>
      <c r="F133" s="391" t="str">
        <f ca="1">IFERROR(VLOOKUP(Tabela4[[#This Row],[Cabo]],BD!A:V,2,0),"")</f>
        <v/>
      </c>
      <c r="G133" s="22" t="str">
        <f ca="1">IFERROR(VLOOKUP(Tabela4[[#This Row],[Cabo]],BD!A:V,5,0),"")</f>
        <v/>
      </c>
      <c r="H133" s="391" t="str">
        <f ca="1">IFERROR(VLOOKUP(Tabela4[[#This Row],[Cabo]],BD!A:V,3,0),"")</f>
        <v/>
      </c>
      <c r="I133" s="391" t="str">
        <f ca="1">IFERROR(VLOOKUP(Tabela4[[#This Row],[Cabo]],BD!A:V,4,0),"")</f>
        <v/>
      </c>
      <c r="J133" s="391" t="str">
        <f ca="1">IFERROR(VLOOKUP(Tabela4[[#This Row],[Cabo]],BD!A:V,7,0),"")</f>
        <v/>
      </c>
      <c r="K13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3" s="23" t="str">
        <f ca="1">IFERROR(VLOOKUP(Tabela4[[#This Row],[Cabo]],BD!A:V,9,0),"")</f>
        <v/>
      </c>
      <c r="M133" s="23" t="str">
        <f ca="1">IFERROR(VLOOKUP(Tabela4[[#This Row],[Cabo]],BD!A:AD,30,0),"")</f>
        <v/>
      </c>
      <c r="N133" s="23" t="str">
        <f ca="1">IF(SUMIF('Lançamento de Cabos'!B:B,Tabela4[[#This Row],[Cabo]],'Lançamento de Cabos'!C:C)=0,"",SUMIF('Lançamento de Cabos'!B:B,Tabela4[[#This Row],[Cabo]],'Lançamento de Cabos'!C:C))</f>
        <v/>
      </c>
      <c r="O133" s="28" t="str">
        <f ca="1">IFERROR(IF(Tabela4[[#This Row],[Compr. Lançado]]/Tabela4[[#This Row],[Compr. Prev.]]&gt;1,1,Tabela4[[#This Row],[Compr. Lançado]]/Tabela4[[#This Row],[Compr. Prev.]]),"")</f>
        <v/>
      </c>
      <c r="P133" s="24" t="str">
        <f ca="1">IFERROR(VLOOKUP(Tabela4[[#This Row],[Cabo]],BD!A:V,11,0),"")</f>
        <v/>
      </c>
      <c r="Q133" s="24" t="str">
        <f ca="1">IFERROR(VLOOKUP(Tabela4[[#This Row],[Cabo]],BD!A:V,12,0),"")</f>
        <v/>
      </c>
      <c r="R13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3" s="23" t="str">
        <f ca="1">IF(Tabela4[[#This Row],[Cabo]]&lt;&gt;"",4-COUNTIF(Tabela4[[#This Row],[Teste de Continuidade]:[Hipot]],"---"),"")</f>
        <v/>
      </c>
      <c r="W133" s="29" t="str">
        <f ca="1">IF(Tabela4[[#This Row],[Cabo]]&lt;&gt;"",(COUNTIF(Tabela4[[#This Row],[Teste de Continuidade]:[Hipot]],"OK"))/(4-COUNTIF(Tabela4[[#This Row],[Teste de Continuidade]:[Hipot]],"---")),"")</f>
        <v/>
      </c>
      <c r="X133" s="23" t="str">
        <f ca="1">IF(Tabela4[[#This Row],[Cabo]]&lt;&gt;"",SUMIFS('Lançamento de Cabos'!$AF:$AF,'Lançamento de Cabos'!AE:AE,Tabela4[[#This Row],[Cabo]],'Lançamento de Cabos'!AJ:AJ,Área!$B$1),"")</f>
        <v/>
      </c>
      <c r="Y133" s="23" t="str">
        <f ca="1">IF(Tabela4[[#This Row],[Cabo]]&lt;&gt;"",SUMIFS('Lançamento de Cabos'!$AG:$AG,'Lançamento de Cabos'!AE:AE,Tabela4[[#This Row],[Cabo]],'Lançamento de Cabos'!AJ:AJ,Área!$B$1),"")</f>
        <v/>
      </c>
      <c r="Z133" s="23" t="e">
        <f ca="1">VLOOKUP(Tabela4[[#This Row],[Cabo]],BD!A:AB,28,0)</f>
        <v>#N/A</v>
      </c>
    </row>
    <row r="134" spans="3:26" x14ac:dyDescent="0.25">
      <c r="C134" s="391" t="str">
        <f ca="1">IF($B$1="Geral",Tabela1[[#This Row],[Tag do Cabo]],IFERROR(INDEX(INDIRECT("BD!$A"&amp;D134&amp;":$A100000"),E134,1),""))</f>
        <v/>
      </c>
      <c r="D134" s="391" t="str">
        <f t="shared" ca="1" si="7"/>
        <v/>
      </c>
      <c r="E134" s="391" t="str">
        <f t="shared" ca="1" si="6"/>
        <v/>
      </c>
      <c r="F134" s="391" t="str">
        <f ca="1">IFERROR(VLOOKUP(Tabela4[[#This Row],[Cabo]],BD!A:V,2,0),"")</f>
        <v/>
      </c>
      <c r="G134" s="22" t="str">
        <f ca="1">IFERROR(VLOOKUP(Tabela4[[#This Row],[Cabo]],BD!A:V,5,0),"")</f>
        <v/>
      </c>
      <c r="H134" s="391" t="str">
        <f ca="1">IFERROR(VLOOKUP(Tabela4[[#This Row],[Cabo]],BD!A:V,3,0),"")</f>
        <v/>
      </c>
      <c r="I134" s="391" t="str">
        <f ca="1">IFERROR(VLOOKUP(Tabela4[[#This Row],[Cabo]],BD!A:V,4,0),"")</f>
        <v/>
      </c>
      <c r="J134" s="391" t="str">
        <f ca="1">IFERROR(VLOOKUP(Tabela4[[#This Row],[Cabo]],BD!A:V,7,0),"")</f>
        <v/>
      </c>
      <c r="K13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4" s="23" t="str">
        <f ca="1">IFERROR(VLOOKUP(Tabela4[[#This Row],[Cabo]],BD!A:V,9,0),"")</f>
        <v/>
      </c>
      <c r="M134" s="23" t="str">
        <f ca="1">IFERROR(VLOOKUP(Tabela4[[#This Row],[Cabo]],BD!A:AD,30,0),"")</f>
        <v/>
      </c>
      <c r="N134" s="23" t="str">
        <f ca="1">IF(SUMIF('Lançamento de Cabos'!B:B,Tabela4[[#This Row],[Cabo]],'Lançamento de Cabos'!C:C)=0,"",SUMIF('Lançamento de Cabos'!B:B,Tabela4[[#This Row],[Cabo]],'Lançamento de Cabos'!C:C))</f>
        <v/>
      </c>
      <c r="O134" s="28" t="str">
        <f ca="1">IFERROR(IF(Tabela4[[#This Row],[Compr. Lançado]]/Tabela4[[#This Row],[Compr. Prev.]]&gt;1,1,Tabela4[[#This Row],[Compr. Lançado]]/Tabela4[[#This Row],[Compr. Prev.]]),"")</f>
        <v/>
      </c>
      <c r="P134" s="24" t="str">
        <f ca="1">IFERROR(VLOOKUP(Tabela4[[#This Row],[Cabo]],BD!A:V,11,0),"")</f>
        <v/>
      </c>
      <c r="Q134" s="24" t="str">
        <f ca="1">IFERROR(VLOOKUP(Tabela4[[#This Row],[Cabo]],BD!A:V,12,0),"")</f>
        <v/>
      </c>
      <c r="R13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4" s="23" t="str">
        <f ca="1">IF(Tabela4[[#This Row],[Cabo]]&lt;&gt;"",4-COUNTIF(Tabela4[[#This Row],[Teste de Continuidade]:[Hipot]],"---"),"")</f>
        <v/>
      </c>
      <c r="W134" s="29" t="str">
        <f ca="1">IF(Tabela4[[#This Row],[Cabo]]&lt;&gt;"",(COUNTIF(Tabela4[[#This Row],[Teste de Continuidade]:[Hipot]],"OK"))/(4-COUNTIF(Tabela4[[#This Row],[Teste de Continuidade]:[Hipot]],"---")),"")</f>
        <v/>
      </c>
      <c r="X134" s="23" t="str">
        <f ca="1">IF(Tabela4[[#This Row],[Cabo]]&lt;&gt;"",SUMIFS('Lançamento de Cabos'!$AF:$AF,'Lançamento de Cabos'!AE:AE,Tabela4[[#This Row],[Cabo]],'Lançamento de Cabos'!AJ:AJ,Área!$B$1),"")</f>
        <v/>
      </c>
      <c r="Y134" s="23" t="str">
        <f ca="1">IF(Tabela4[[#This Row],[Cabo]]&lt;&gt;"",SUMIFS('Lançamento de Cabos'!$AG:$AG,'Lançamento de Cabos'!AE:AE,Tabela4[[#This Row],[Cabo]],'Lançamento de Cabos'!AJ:AJ,Área!$B$1),"")</f>
        <v/>
      </c>
      <c r="Z134" s="23" t="e">
        <f ca="1">VLOOKUP(Tabela4[[#This Row],[Cabo]],BD!A:AB,28,0)</f>
        <v>#N/A</v>
      </c>
    </row>
    <row r="135" spans="3:26" x14ac:dyDescent="0.25">
      <c r="C135" s="391" t="str">
        <f ca="1">IF($B$1="Geral",Tabela1[[#This Row],[Tag do Cabo]],IFERROR(INDEX(INDIRECT("BD!$A"&amp;D135&amp;":$A100000"),E135,1),""))</f>
        <v/>
      </c>
      <c r="D135" s="391" t="str">
        <f t="shared" ca="1" si="7"/>
        <v/>
      </c>
      <c r="E135" s="391" t="str">
        <f t="shared" ca="1" si="6"/>
        <v/>
      </c>
      <c r="F135" s="391" t="str">
        <f ca="1">IFERROR(VLOOKUP(Tabela4[[#This Row],[Cabo]],BD!A:V,2,0),"")</f>
        <v/>
      </c>
      <c r="G135" s="22" t="str">
        <f ca="1">IFERROR(VLOOKUP(Tabela4[[#This Row],[Cabo]],BD!A:V,5,0),"")</f>
        <v/>
      </c>
      <c r="H135" s="391" t="str">
        <f ca="1">IFERROR(VLOOKUP(Tabela4[[#This Row],[Cabo]],BD!A:V,3,0),"")</f>
        <v/>
      </c>
      <c r="I135" s="391" t="str">
        <f ca="1">IFERROR(VLOOKUP(Tabela4[[#This Row],[Cabo]],BD!A:V,4,0),"")</f>
        <v/>
      </c>
      <c r="J135" s="391" t="str">
        <f ca="1">IFERROR(VLOOKUP(Tabela4[[#This Row],[Cabo]],BD!A:V,7,0),"")</f>
        <v/>
      </c>
      <c r="K13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5" s="23" t="str">
        <f ca="1">IFERROR(VLOOKUP(Tabela4[[#This Row],[Cabo]],BD!A:V,9,0),"")</f>
        <v/>
      </c>
      <c r="M135" s="23" t="str">
        <f ca="1">IFERROR(VLOOKUP(Tabela4[[#This Row],[Cabo]],BD!A:AD,30,0),"")</f>
        <v/>
      </c>
      <c r="N135" s="23" t="str">
        <f ca="1">IF(SUMIF('Lançamento de Cabos'!B:B,Tabela4[[#This Row],[Cabo]],'Lançamento de Cabos'!C:C)=0,"",SUMIF('Lançamento de Cabos'!B:B,Tabela4[[#This Row],[Cabo]],'Lançamento de Cabos'!C:C))</f>
        <v/>
      </c>
      <c r="O135" s="28" t="str">
        <f ca="1">IFERROR(IF(Tabela4[[#This Row],[Compr. Lançado]]/Tabela4[[#This Row],[Compr. Prev.]]&gt;1,1,Tabela4[[#This Row],[Compr. Lançado]]/Tabela4[[#This Row],[Compr. Prev.]]),"")</f>
        <v/>
      </c>
      <c r="P135" s="24" t="str">
        <f ca="1">IFERROR(VLOOKUP(Tabela4[[#This Row],[Cabo]],BD!A:V,11,0),"")</f>
        <v/>
      </c>
      <c r="Q135" s="24" t="str">
        <f ca="1">IFERROR(VLOOKUP(Tabela4[[#This Row],[Cabo]],BD!A:V,12,0),"")</f>
        <v/>
      </c>
      <c r="R13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5" s="23" t="str">
        <f ca="1">IF(Tabela4[[#This Row],[Cabo]]&lt;&gt;"",4-COUNTIF(Tabela4[[#This Row],[Teste de Continuidade]:[Hipot]],"---"),"")</f>
        <v/>
      </c>
      <c r="W135" s="29" t="str">
        <f ca="1">IF(Tabela4[[#This Row],[Cabo]]&lt;&gt;"",(COUNTIF(Tabela4[[#This Row],[Teste de Continuidade]:[Hipot]],"OK"))/(4-COUNTIF(Tabela4[[#This Row],[Teste de Continuidade]:[Hipot]],"---")),"")</f>
        <v/>
      </c>
      <c r="X135" s="23" t="str">
        <f ca="1">IF(Tabela4[[#This Row],[Cabo]]&lt;&gt;"",SUMIFS('Lançamento de Cabos'!$AF:$AF,'Lançamento de Cabos'!AE:AE,Tabela4[[#This Row],[Cabo]],'Lançamento de Cabos'!AJ:AJ,Área!$B$1),"")</f>
        <v/>
      </c>
      <c r="Y135" s="23" t="str">
        <f ca="1">IF(Tabela4[[#This Row],[Cabo]]&lt;&gt;"",SUMIFS('Lançamento de Cabos'!$AG:$AG,'Lançamento de Cabos'!AE:AE,Tabela4[[#This Row],[Cabo]],'Lançamento de Cabos'!AJ:AJ,Área!$B$1),"")</f>
        <v/>
      </c>
      <c r="Z135" s="23" t="e">
        <f ca="1">VLOOKUP(Tabela4[[#This Row],[Cabo]],BD!A:AB,28,0)</f>
        <v>#N/A</v>
      </c>
    </row>
    <row r="136" spans="3:26" x14ac:dyDescent="0.25">
      <c r="C136" s="391" t="str">
        <f ca="1">IF($B$1="Geral",Tabela1[[#This Row],[Tag do Cabo]],IFERROR(INDEX(INDIRECT("BD!$A"&amp;D136&amp;":$A100000"),E136,1),""))</f>
        <v/>
      </c>
      <c r="D136" s="391" t="str">
        <f t="shared" ca="1" si="7"/>
        <v/>
      </c>
      <c r="E136" s="391" t="str">
        <f t="shared" ca="1" si="6"/>
        <v/>
      </c>
      <c r="F136" s="391" t="str">
        <f ca="1">IFERROR(VLOOKUP(Tabela4[[#This Row],[Cabo]],BD!A:V,2,0),"")</f>
        <v/>
      </c>
      <c r="G136" s="22" t="str">
        <f ca="1">IFERROR(VLOOKUP(Tabela4[[#This Row],[Cabo]],BD!A:V,5,0),"")</f>
        <v/>
      </c>
      <c r="H136" s="391" t="str">
        <f ca="1">IFERROR(VLOOKUP(Tabela4[[#This Row],[Cabo]],BD!A:V,3,0),"")</f>
        <v/>
      </c>
      <c r="I136" s="391" t="str">
        <f ca="1">IFERROR(VLOOKUP(Tabela4[[#This Row],[Cabo]],BD!A:V,4,0),"")</f>
        <v/>
      </c>
      <c r="J136" s="391" t="str">
        <f ca="1">IFERROR(VLOOKUP(Tabela4[[#This Row],[Cabo]],BD!A:V,7,0),"")</f>
        <v/>
      </c>
      <c r="K13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6" s="23" t="str">
        <f ca="1">IFERROR(VLOOKUP(Tabela4[[#This Row],[Cabo]],BD!A:V,9,0),"")</f>
        <v/>
      </c>
      <c r="M136" s="23" t="str">
        <f ca="1">IFERROR(VLOOKUP(Tabela4[[#This Row],[Cabo]],BD!A:AD,30,0),"")</f>
        <v/>
      </c>
      <c r="N136" s="23" t="str">
        <f ca="1">IF(SUMIF('Lançamento de Cabos'!B:B,Tabela4[[#This Row],[Cabo]],'Lançamento de Cabos'!C:C)=0,"",SUMIF('Lançamento de Cabos'!B:B,Tabela4[[#This Row],[Cabo]],'Lançamento de Cabos'!C:C))</f>
        <v/>
      </c>
      <c r="O136" s="28" t="str">
        <f ca="1">IFERROR(IF(Tabela4[[#This Row],[Compr. Lançado]]/Tabela4[[#This Row],[Compr. Prev.]]&gt;1,1,Tabela4[[#This Row],[Compr. Lançado]]/Tabela4[[#This Row],[Compr. Prev.]]),"")</f>
        <v/>
      </c>
      <c r="P136" s="24" t="str">
        <f ca="1">IFERROR(VLOOKUP(Tabela4[[#This Row],[Cabo]],BD!A:V,11,0),"")</f>
        <v/>
      </c>
      <c r="Q136" s="24" t="str">
        <f ca="1">IFERROR(VLOOKUP(Tabela4[[#This Row],[Cabo]],BD!A:V,12,0),"")</f>
        <v/>
      </c>
      <c r="R13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6" s="23" t="str">
        <f ca="1">IF(Tabela4[[#This Row],[Cabo]]&lt;&gt;"",4-COUNTIF(Tabela4[[#This Row],[Teste de Continuidade]:[Hipot]],"---"),"")</f>
        <v/>
      </c>
      <c r="W136" s="29" t="str">
        <f ca="1">IF(Tabela4[[#This Row],[Cabo]]&lt;&gt;"",(COUNTIF(Tabela4[[#This Row],[Teste de Continuidade]:[Hipot]],"OK"))/(4-COUNTIF(Tabela4[[#This Row],[Teste de Continuidade]:[Hipot]],"---")),"")</f>
        <v/>
      </c>
      <c r="X136" s="23" t="str">
        <f ca="1">IF(Tabela4[[#This Row],[Cabo]]&lt;&gt;"",SUMIFS('Lançamento de Cabos'!$AF:$AF,'Lançamento de Cabos'!AE:AE,Tabela4[[#This Row],[Cabo]],'Lançamento de Cabos'!AJ:AJ,Área!$B$1),"")</f>
        <v/>
      </c>
      <c r="Y136" s="23" t="str">
        <f ca="1">IF(Tabela4[[#This Row],[Cabo]]&lt;&gt;"",SUMIFS('Lançamento de Cabos'!$AG:$AG,'Lançamento de Cabos'!AE:AE,Tabela4[[#This Row],[Cabo]],'Lançamento de Cabos'!AJ:AJ,Área!$B$1),"")</f>
        <v/>
      </c>
      <c r="Z136" s="23" t="e">
        <f ca="1">VLOOKUP(Tabela4[[#This Row],[Cabo]],BD!A:AB,28,0)</f>
        <v>#N/A</v>
      </c>
    </row>
    <row r="137" spans="3:26" x14ac:dyDescent="0.25">
      <c r="C137" s="391" t="str">
        <f ca="1">IF($B$1="Geral",Tabela1[[#This Row],[Tag do Cabo]],IFERROR(INDEX(INDIRECT("BD!$A"&amp;D137&amp;":$A100000"),E137,1),""))</f>
        <v/>
      </c>
      <c r="D137" s="391" t="str">
        <f t="shared" ca="1" si="7"/>
        <v/>
      </c>
      <c r="E137" s="391" t="str">
        <f t="shared" ca="1" si="6"/>
        <v/>
      </c>
      <c r="F137" s="391" t="str">
        <f ca="1">IFERROR(VLOOKUP(Tabela4[[#This Row],[Cabo]],BD!A:V,2,0),"")</f>
        <v/>
      </c>
      <c r="G137" s="22" t="str">
        <f ca="1">IFERROR(VLOOKUP(Tabela4[[#This Row],[Cabo]],BD!A:V,5,0),"")</f>
        <v/>
      </c>
      <c r="H137" s="391" t="str">
        <f ca="1">IFERROR(VLOOKUP(Tabela4[[#This Row],[Cabo]],BD!A:V,3,0),"")</f>
        <v/>
      </c>
      <c r="I137" s="391" t="str">
        <f ca="1">IFERROR(VLOOKUP(Tabela4[[#This Row],[Cabo]],BD!A:V,4,0),"")</f>
        <v/>
      </c>
      <c r="J137" s="391" t="str">
        <f ca="1">IFERROR(VLOOKUP(Tabela4[[#This Row],[Cabo]],BD!A:V,7,0),"")</f>
        <v/>
      </c>
      <c r="K13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7" s="23" t="str">
        <f ca="1">IFERROR(VLOOKUP(Tabela4[[#This Row],[Cabo]],BD!A:V,9,0),"")</f>
        <v/>
      </c>
      <c r="M137" s="23" t="str">
        <f ca="1">IFERROR(VLOOKUP(Tabela4[[#This Row],[Cabo]],BD!A:AD,30,0),"")</f>
        <v/>
      </c>
      <c r="N137" s="23" t="str">
        <f ca="1">IF(SUMIF('Lançamento de Cabos'!B:B,Tabela4[[#This Row],[Cabo]],'Lançamento de Cabos'!C:C)=0,"",SUMIF('Lançamento de Cabos'!B:B,Tabela4[[#This Row],[Cabo]],'Lançamento de Cabos'!C:C))</f>
        <v/>
      </c>
      <c r="O137" s="28" t="str">
        <f ca="1">IFERROR(IF(Tabela4[[#This Row],[Compr. Lançado]]/Tabela4[[#This Row],[Compr. Prev.]]&gt;1,1,Tabela4[[#This Row],[Compr. Lançado]]/Tabela4[[#This Row],[Compr. Prev.]]),"")</f>
        <v/>
      </c>
      <c r="P137" s="24" t="str">
        <f ca="1">IFERROR(VLOOKUP(Tabela4[[#This Row],[Cabo]],BD!A:V,11,0),"")</f>
        <v/>
      </c>
      <c r="Q137" s="24" t="str">
        <f ca="1">IFERROR(VLOOKUP(Tabela4[[#This Row],[Cabo]],BD!A:V,12,0),"")</f>
        <v/>
      </c>
      <c r="R13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7" s="23" t="str">
        <f ca="1">IF(Tabela4[[#This Row],[Cabo]]&lt;&gt;"",4-COUNTIF(Tabela4[[#This Row],[Teste de Continuidade]:[Hipot]],"---"),"")</f>
        <v/>
      </c>
      <c r="W137" s="29" t="str">
        <f ca="1">IF(Tabela4[[#This Row],[Cabo]]&lt;&gt;"",(COUNTIF(Tabela4[[#This Row],[Teste de Continuidade]:[Hipot]],"OK"))/(4-COUNTIF(Tabela4[[#This Row],[Teste de Continuidade]:[Hipot]],"---")),"")</f>
        <v/>
      </c>
      <c r="X137" s="23" t="str">
        <f ca="1">IF(Tabela4[[#This Row],[Cabo]]&lt;&gt;"",SUMIFS('Lançamento de Cabos'!$AF:$AF,'Lançamento de Cabos'!AE:AE,Tabela4[[#This Row],[Cabo]],'Lançamento de Cabos'!AJ:AJ,Área!$B$1),"")</f>
        <v/>
      </c>
      <c r="Y137" s="23" t="str">
        <f ca="1">IF(Tabela4[[#This Row],[Cabo]]&lt;&gt;"",SUMIFS('Lançamento de Cabos'!$AG:$AG,'Lançamento de Cabos'!AE:AE,Tabela4[[#This Row],[Cabo]],'Lançamento de Cabos'!AJ:AJ,Área!$B$1),"")</f>
        <v/>
      </c>
      <c r="Z137" s="23" t="e">
        <f ca="1">VLOOKUP(Tabela4[[#This Row],[Cabo]],BD!A:AB,28,0)</f>
        <v>#N/A</v>
      </c>
    </row>
    <row r="138" spans="3:26" x14ac:dyDescent="0.25">
      <c r="C138" s="391" t="str">
        <f ca="1">IF($B$1="Geral",Tabela1[[#This Row],[Tag do Cabo]],IFERROR(INDEX(INDIRECT("BD!$A"&amp;D138&amp;":$A100000"),E138,1),""))</f>
        <v/>
      </c>
      <c r="D138" s="391" t="str">
        <f t="shared" ca="1" si="7"/>
        <v/>
      </c>
      <c r="E138" s="391" t="str">
        <f t="shared" ca="1" si="6"/>
        <v/>
      </c>
      <c r="F138" s="391" t="str">
        <f ca="1">IFERROR(VLOOKUP(Tabela4[[#This Row],[Cabo]],BD!A:V,2,0),"")</f>
        <v/>
      </c>
      <c r="G138" s="22" t="str">
        <f ca="1">IFERROR(VLOOKUP(Tabela4[[#This Row],[Cabo]],BD!A:V,5,0),"")</f>
        <v/>
      </c>
      <c r="H138" s="391" t="str">
        <f ca="1">IFERROR(VLOOKUP(Tabela4[[#This Row],[Cabo]],BD!A:V,3,0),"")</f>
        <v/>
      </c>
      <c r="I138" s="391" t="str">
        <f ca="1">IFERROR(VLOOKUP(Tabela4[[#This Row],[Cabo]],BD!A:V,4,0),"")</f>
        <v/>
      </c>
      <c r="J138" s="391" t="str">
        <f ca="1">IFERROR(VLOOKUP(Tabela4[[#This Row],[Cabo]],BD!A:V,7,0),"")</f>
        <v/>
      </c>
      <c r="K13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8" s="23" t="str">
        <f ca="1">IFERROR(VLOOKUP(Tabela4[[#This Row],[Cabo]],BD!A:V,9,0),"")</f>
        <v/>
      </c>
      <c r="M138" s="23" t="str">
        <f ca="1">IFERROR(VLOOKUP(Tabela4[[#This Row],[Cabo]],BD!A:AD,30,0),"")</f>
        <v/>
      </c>
      <c r="N138" s="23" t="str">
        <f ca="1">IF(SUMIF('Lançamento de Cabos'!B:B,Tabela4[[#This Row],[Cabo]],'Lançamento de Cabos'!C:C)=0,"",SUMIF('Lançamento de Cabos'!B:B,Tabela4[[#This Row],[Cabo]],'Lançamento de Cabos'!C:C))</f>
        <v/>
      </c>
      <c r="O138" s="28" t="str">
        <f ca="1">IFERROR(IF(Tabela4[[#This Row],[Compr. Lançado]]/Tabela4[[#This Row],[Compr. Prev.]]&gt;1,1,Tabela4[[#This Row],[Compr. Lançado]]/Tabela4[[#This Row],[Compr. Prev.]]),"")</f>
        <v/>
      </c>
      <c r="P138" s="24" t="str">
        <f ca="1">IFERROR(VLOOKUP(Tabela4[[#This Row],[Cabo]],BD!A:V,11,0),"")</f>
        <v/>
      </c>
      <c r="Q138" s="24" t="str">
        <f ca="1">IFERROR(VLOOKUP(Tabela4[[#This Row],[Cabo]],BD!A:V,12,0),"")</f>
        <v/>
      </c>
      <c r="R13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8" s="23" t="str">
        <f ca="1">IF(Tabela4[[#This Row],[Cabo]]&lt;&gt;"",4-COUNTIF(Tabela4[[#This Row],[Teste de Continuidade]:[Hipot]],"---"),"")</f>
        <v/>
      </c>
      <c r="W138" s="29" t="str">
        <f ca="1">IF(Tabela4[[#This Row],[Cabo]]&lt;&gt;"",(COUNTIF(Tabela4[[#This Row],[Teste de Continuidade]:[Hipot]],"OK"))/(4-COUNTIF(Tabela4[[#This Row],[Teste de Continuidade]:[Hipot]],"---")),"")</f>
        <v/>
      </c>
      <c r="X138" s="23" t="str">
        <f ca="1">IF(Tabela4[[#This Row],[Cabo]]&lt;&gt;"",SUMIFS('Lançamento de Cabos'!$AF:$AF,'Lançamento de Cabos'!AE:AE,Tabela4[[#This Row],[Cabo]],'Lançamento de Cabos'!AJ:AJ,Área!$B$1),"")</f>
        <v/>
      </c>
      <c r="Y138" s="23" t="str">
        <f ca="1">IF(Tabela4[[#This Row],[Cabo]]&lt;&gt;"",SUMIFS('Lançamento de Cabos'!$AG:$AG,'Lançamento de Cabos'!AE:AE,Tabela4[[#This Row],[Cabo]],'Lançamento de Cabos'!AJ:AJ,Área!$B$1),"")</f>
        <v/>
      </c>
      <c r="Z138" s="23" t="e">
        <f ca="1">VLOOKUP(Tabela4[[#This Row],[Cabo]],BD!A:AB,28,0)</f>
        <v>#N/A</v>
      </c>
    </row>
    <row r="139" spans="3:26" x14ac:dyDescent="0.25">
      <c r="C139" s="391" t="str">
        <f ca="1">IF($B$1="Geral",Tabela1[[#This Row],[Tag do Cabo]],IFERROR(INDEX(INDIRECT("BD!$A"&amp;D139&amp;":$A100000"),E139,1),""))</f>
        <v/>
      </c>
      <c r="D139" s="391" t="str">
        <f t="shared" ca="1" si="7"/>
        <v/>
      </c>
      <c r="E139" s="391" t="str">
        <f t="shared" ca="1" si="6"/>
        <v/>
      </c>
      <c r="F139" s="391" t="str">
        <f ca="1">IFERROR(VLOOKUP(Tabela4[[#This Row],[Cabo]],BD!A:V,2,0),"")</f>
        <v/>
      </c>
      <c r="G139" s="22" t="str">
        <f ca="1">IFERROR(VLOOKUP(Tabela4[[#This Row],[Cabo]],BD!A:V,5,0),"")</f>
        <v/>
      </c>
      <c r="H139" s="391" t="str">
        <f ca="1">IFERROR(VLOOKUP(Tabela4[[#This Row],[Cabo]],BD!A:V,3,0),"")</f>
        <v/>
      </c>
      <c r="I139" s="391" t="str">
        <f ca="1">IFERROR(VLOOKUP(Tabela4[[#This Row],[Cabo]],BD!A:V,4,0),"")</f>
        <v/>
      </c>
      <c r="J139" s="391" t="str">
        <f ca="1">IFERROR(VLOOKUP(Tabela4[[#This Row],[Cabo]],BD!A:V,7,0),"")</f>
        <v/>
      </c>
      <c r="K13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39" s="23" t="str">
        <f ca="1">IFERROR(VLOOKUP(Tabela4[[#This Row],[Cabo]],BD!A:V,9,0),"")</f>
        <v/>
      </c>
      <c r="M139" s="23" t="str">
        <f ca="1">IFERROR(VLOOKUP(Tabela4[[#This Row],[Cabo]],BD!A:AD,30,0),"")</f>
        <v/>
      </c>
      <c r="N139" s="23" t="str">
        <f ca="1">IF(SUMIF('Lançamento de Cabos'!B:B,Tabela4[[#This Row],[Cabo]],'Lançamento de Cabos'!C:C)=0,"",SUMIF('Lançamento de Cabos'!B:B,Tabela4[[#This Row],[Cabo]],'Lançamento de Cabos'!C:C))</f>
        <v/>
      </c>
      <c r="O139" s="28" t="str">
        <f ca="1">IFERROR(IF(Tabela4[[#This Row],[Compr. Lançado]]/Tabela4[[#This Row],[Compr. Prev.]]&gt;1,1,Tabela4[[#This Row],[Compr. Lançado]]/Tabela4[[#This Row],[Compr. Prev.]]),"")</f>
        <v/>
      </c>
      <c r="P139" s="24" t="str">
        <f ca="1">IFERROR(VLOOKUP(Tabela4[[#This Row],[Cabo]],BD!A:V,11,0),"")</f>
        <v/>
      </c>
      <c r="Q139" s="24" t="str">
        <f ca="1">IFERROR(VLOOKUP(Tabela4[[#This Row],[Cabo]],BD!A:V,12,0),"")</f>
        <v/>
      </c>
      <c r="R13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3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3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3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39" s="23" t="str">
        <f ca="1">IF(Tabela4[[#This Row],[Cabo]]&lt;&gt;"",4-COUNTIF(Tabela4[[#This Row],[Teste de Continuidade]:[Hipot]],"---"),"")</f>
        <v/>
      </c>
      <c r="W139" s="29" t="str">
        <f ca="1">IF(Tabela4[[#This Row],[Cabo]]&lt;&gt;"",(COUNTIF(Tabela4[[#This Row],[Teste de Continuidade]:[Hipot]],"OK"))/(4-COUNTIF(Tabela4[[#This Row],[Teste de Continuidade]:[Hipot]],"---")),"")</f>
        <v/>
      </c>
      <c r="X139" s="23" t="str">
        <f ca="1">IF(Tabela4[[#This Row],[Cabo]]&lt;&gt;"",SUMIFS('Lançamento de Cabos'!$AF:$AF,'Lançamento de Cabos'!AE:AE,Tabela4[[#This Row],[Cabo]],'Lançamento de Cabos'!AJ:AJ,Área!$B$1),"")</f>
        <v/>
      </c>
      <c r="Y139" s="23" t="str">
        <f ca="1">IF(Tabela4[[#This Row],[Cabo]]&lt;&gt;"",SUMIFS('Lançamento de Cabos'!$AG:$AG,'Lançamento de Cabos'!AE:AE,Tabela4[[#This Row],[Cabo]],'Lançamento de Cabos'!AJ:AJ,Área!$B$1),"")</f>
        <v/>
      </c>
      <c r="Z139" s="23" t="e">
        <f ca="1">VLOOKUP(Tabela4[[#This Row],[Cabo]],BD!A:AB,28,0)</f>
        <v>#N/A</v>
      </c>
    </row>
    <row r="140" spans="3:26" x14ac:dyDescent="0.25">
      <c r="C140" s="391" t="str">
        <f ca="1">IF($B$1="Geral",Tabela1[[#This Row],[Tag do Cabo]],IFERROR(INDEX(INDIRECT("BD!$A"&amp;D140&amp;":$A100000"),E140,1),""))</f>
        <v/>
      </c>
      <c r="D140" s="391" t="str">
        <f t="shared" ca="1" si="7"/>
        <v/>
      </c>
      <c r="E140" s="391" t="str">
        <f t="shared" ca="1" si="6"/>
        <v/>
      </c>
      <c r="F140" s="391" t="str">
        <f ca="1">IFERROR(VLOOKUP(Tabela4[[#This Row],[Cabo]],BD!A:V,2,0),"")</f>
        <v/>
      </c>
      <c r="G140" s="22" t="str">
        <f ca="1">IFERROR(VLOOKUP(Tabela4[[#This Row],[Cabo]],BD!A:V,5,0),"")</f>
        <v/>
      </c>
      <c r="H140" s="391" t="str">
        <f ca="1">IFERROR(VLOOKUP(Tabela4[[#This Row],[Cabo]],BD!A:V,3,0),"")</f>
        <v/>
      </c>
      <c r="I140" s="391" t="str">
        <f ca="1">IFERROR(VLOOKUP(Tabela4[[#This Row],[Cabo]],BD!A:V,4,0),"")</f>
        <v/>
      </c>
      <c r="J140" s="391" t="str">
        <f ca="1">IFERROR(VLOOKUP(Tabela4[[#This Row],[Cabo]],BD!A:V,7,0),"")</f>
        <v/>
      </c>
      <c r="K14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0" s="23" t="str">
        <f ca="1">IFERROR(VLOOKUP(Tabela4[[#This Row],[Cabo]],BD!A:V,9,0),"")</f>
        <v/>
      </c>
      <c r="M140" s="23" t="str">
        <f ca="1">IFERROR(VLOOKUP(Tabela4[[#This Row],[Cabo]],BD!A:AD,30,0),"")</f>
        <v/>
      </c>
      <c r="N140" s="23" t="str">
        <f ca="1">IF(SUMIF('Lançamento de Cabos'!B:B,Tabela4[[#This Row],[Cabo]],'Lançamento de Cabos'!C:C)=0,"",SUMIF('Lançamento de Cabos'!B:B,Tabela4[[#This Row],[Cabo]],'Lançamento de Cabos'!C:C))</f>
        <v/>
      </c>
      <c r="O140" s="28" t="str">
        <f ca="1">IFERROR(IF(Tabela4[[#This Row],[Compr. Lançado]]/Tabela4[[#This Row],[Compr. Prev.]]&gt;1,1,Tabela4[[#This Row],[Compr. Lançado]]/Tabela4[[#This Row],[Compr. Prev.]]),"")</f>
        <v/>
      </c>
      <c r="P140" s="24" t="str">
        <f ca="1">IFERROR(VLOOKUP(Tabela4[[#This Row],[Cabo]],BD!A:V,11,0),"")</f>
        <v/>
      </c>
      <c r="Q140" s="24" t="str">
        <f ca="1">IFERROR(VLOOKUP(Tabela4[[#This Row],[Cabo]],BD!A:V,12,0),"")</f>
        <v/>
      </c>
      <c r="R14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0" s="23" t="str">
        <f ca="1">IF(Tabela4[[#This Row],[Cabo]]&lt;&gt;"",4-COUNTIF(Tabela4[[#This Row],[Teste de Continuidade]:[Hipot]],"---"),"")</f>
        <v/>
      </c>
      <c r="W140" s="29" t="str">
        <f ca="1">IF(Tabela4[[#This Row],[Cabo]]&lt;&gt;"",(COUNTIF(Tabela4[[#This Row],[Teste de Continuidade]:[Hipot]],"OK"))/(4-COUNTIF(Tabela4[[#This Row],[Teste de Continuidade]:[Hipot]],"---")),"")</f>
        <v/>
      </c>
      <c r="X140" s="23" t="str">
        <f ca="1">IF(Tabela4[[#This Row],[Cabo]]&lt;&gt;"",SUMIFS('Lançamento de Cabos'!$AF:$AF,'Lançamento de Cabos'!AE:AE,Tabela4[[#This Row],[Cabo]],'Lançamento de Cabos'!AJ:AJ,Área!$B$1),"")</f>
        <v/>
      </c>
      <c r="Y140" s="23" t="str">
        <f ca="1">IF(Tabela4[[#This Row],[Cabo]]&lt;&gt;"",SUMIFS('Lançamento de Cabos'!$AG:$AG,'Lançamento de Cabos'!AE:AE,Tabela4[[#This Row],[Cabo]],'Lançamento de Cabos'!AJ:AJ,Área!$B$1),"")</f>
        <v/>
      </c>
      <c r="Z140" s="23" t="e">
        <f ca="1">VLOOKUP(Tabela4[[#This Row],[Cabo]],BD!A:AB,28,0)</f>
        <v>#N/A</v>
      </c>
    </row>
    <row r="141" spans="3:26" x14ac:dyDescent="0.25">
      <c r="C141" s="391" t="str">
        <f ca="1">IF($B$1="Geral",Tabela1[[#This Row],[Tag do Cabo]],IFERROR(INDEX(INDIRECT("BD!$A"&amp;D141&amp;":$A100000"),E141,1),""))</f>
        <v/>
      </c>
      <c r="D141" s="391" t="str">
        <f t="shared" ca="1" si="7"/>
        <v/>
      </c>
      <c r="E141" s="391" t="str">
        <f t="shared" ca="1" si="6"/>
        <v/>
      </c>
      <c r="F141" s="391" t="str">
        <f ca="1">IFERROR(VLOOKUP(Tabela4[[#This Row],[Cabo]],BD!A:V,2,0),"")</f>
        <v/>
      </c>
      <c r="G141" s="22" t="str">
        <f ca="1">IFERROR(VLOOKUP(Tabela4[[#This Row],[Cabo]],BD!A:V,5,0),"")</f>
        <v/>
      </c>
      <c r="H141" s="391" t="str">
        <f ca="1">IFERROR(VLOOKUP(Tabela4[[#This Row],[Cabo]],BD!A:V,3,0),"")</f>
        <v/>
      </c>
      <c r="I141" s="391" t="str">
        <f ca="1">IFERROR(VLOOKUP(Tabela4[[#This Row],[Cabo]],BD!A:V,4,0),"")</f>
        <v/>
      </c>
      <c r="J141" s="391" t="str">
        <f ca="1">IFERROR(VLOOKUP(Tabela4[[#This Row],[Cabo]],BD!A:V,7,0),"")</f>
        <v/>
      </c>
      <c r="K14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1" s="23" t="str">
        <f ca="1">IFERROR(VLOOKUP(Tabela4[[#This Row],[Cabo]],BD!A:V,9,0),"")</f>
        <v/>
      </c>
      <c r="M141" s="23" t="str">
        <f ca="1">IFERROR(VLOOKUP(Tabela4[[#This Row],[Cabo]],BD!A:AD,30,0),"")</f>
        <v/>
      </c>
      <c r="N141" s="23" t="str">
        <f ca="1">IF(SUMIF('Lançamento de Cabos'!B:B,Tabela4[[#This Row],[Cabo]],'Lançamento de Cabos'!C:C)=0,"",SUMIF('Lançamento de Cabos'!B:B,Tabela4[[#This Row],[Cabo]],'Lançamento de Cabos'!C:C))</f>
        <v/>
      </c>
      <c r="O141" s="28" t="str">
        <f ca="1">IFERROR(IF(Tabela4[[#This Row],[Compr. Lançado]]/Tabela4[[#This Row],[Compr. Prev.]]&gt;1,1,Tabela4[[#This Row],[Compr. Lançado]]/Tabela4[[#This Row],[Compr. Prev.]]),"")</f>
        <v/>
      </c>
      <c r="P141" s="24" t="str">
        <f ca="1">IFERROR(VLOOKUP(Tabela4[[#This Row],[Cabo]],BD!A:V,11,0),"")</f>
        <v/>
      </c>
      <c r="Q141" s="24" t="str">
        <f ca="1">IFERROR(VLOOKUP(Tabela4[[#This Row],[Cabo]],BD!A:V,12,0),"")</f>
        <v/>
      </c>
      <c r="R14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1" s="23" t="str">
        <f ca="1">IF(Tabela4[[#This Row],[Cabo]]&lt;&gt;"",4-COUNTIF(Tabela4[[#This Row],[Teste de Continuidade]:[Hipot]],"---"),"")</f>
        <v/>
      </c>
      <c r="W141" s="29" t="str">
        <f ca="1">IF(Tabela4[[#This Row],[Cabo]]&lt;&gt;"",(COUNTIF(Tabela4[[#This Row],[Teste de Continuidade]:[Hipot]],"OK"))/(4-COUNTIF(Tabela4[[#This Row],[Teste de Continuidade]:[Hipot]],"---")),"")</f>
        <v/>
      </c>
      <c r="X141" s="23" t="str">
        <f ca="1">IF(Tabela4[[#This Row],[Cabo]]&lt;&gt;"",SUMIFS('Lançamento de Cabos'!$AF:$AF,'Lançamento de Cabos'!AE:AE,Tabela4[[#This Row],[Cabo]],'Lançamento de Cabos'!AJ:AJ,Área!$B$1),"")</f>
        <v/>
      </c>
      <c r="Y141" s="23" t="str">
        <f ca="1">IF(Tabela4[[#This Row],[Cabo]]&lt;&gt;"",SUMIFS('Lançamento de Cabos'!$AG:$AG,'Lançamento de Cabos'!AE:AE,Tabela4[[#This Row],[Cabo]],'Lançamento de Cabos'!AJ:AJ,Área!$B$1),"")</f>
        <v/>
      </c>
      <c r="Z141" s="23" t="e">
        <f ca="1">VLOOKUP(Tabela4[[#This Row],[Cabo]],BD!A:AB,28,0)</f>
        <v>#N/A</v>
      </c>
    </row>
    <row r="142" spans="3:26" x14ac:dyDescent="0.25">
      <c r="C142" s="391" t="str">
        <f ca="1">IF($B$1="Geral",Tabela1[[#This Row],[Tag do Cabo]],IFERROR(INDEX(INDIRECT("BD!$A"&amp;D142&amp;":$A100000"),E142,1),""))</f>
        <v/>
      </c>
      <c r="D142" s="391" t="str">
        <f t="shared" ca="1" si="7"/>
        <v/>
      </c>
      <c r="E142" s="391" t="str">
        <f t="shared" ca="1" si="6"/>
        <v/>
      </c>
      <c r="F142" s="391" t="str">
        <f ca="1">IFERROR(VLOOKUP(Tabela4[[#This Row],[Cabo]],BD!A:V,2,0),"")</f>
        <v/>
      </c>
      <c r="G142" s="22" t="str">
        <f ca="1">IFERROR(VLOOKUP(Tabela4[[#This Row],[Cabo]],BD!A:V,5,0),"")</f>
        <v/>
      </c>
      <c r="H142" s="391" t="str">
        <f ca="1">IFERROR(VLOOKUP(Tabela4[[#This Row],[Cabo]],BD!A:V,3,0),"")</f>
        <v/>
      </c>
      <c r="I142" s="391" t="str">
        <f ca="1">IFERROR(VLOOKUP(Tabela4[[#This Row],[Cabo]],BD!A:V,4,0),"")</f>
        <v/>
      </c>
      <c r="J142" s="391" t="str">
        <f ca="1">IFERROR(VLOOKUP(Tabela4[[#This Row],[Cabo]],BD!A:V,7,0),"")</f>
        <v/>
      </c>
      <c r="K14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2" s="23" t="str">
        <f ca="1">IFERROR(VLOOKUP(Tabela4[[#This Row],[Cabo]],BD!A:V,9,0),"")</f>
        <v/>
      </c>
      <c r="M142" s="23" t="str">
        <f ca="1">IFERROR(VLOOKUP(Tabela4[[#This Row],[Cabo]],BD!A:AD,30,0),"")</f>
        <v/>
      </c>
      <c r="N142" s="23" t="str">
        <f ca="1">IF(SUMIF('Lançamento de Cabos'!B:B,Tabela4[[#This Row],[Cabo]],'Lançamento de Cabos'!C:C)=0,"",SUMIF('Lançamento de Cabos'!B:B,Tabela4[[#This Row],[Cabo]],'Lançamento de Cabos'!C:C))</f>
        <v/>
      </c>
      <c r="O142" s="28" t="str">
        <f ca="1">IFERROR(IF(Tabela4[[#This Row],[Compr. Lançado]]/Tabela4[[#This Row],[Compr. Prev.]]&gt;1,1,Tabela4[[#This Row],[Compr. Lançado]]/Tabela4[[#This Row],[Compr. Prev.]]),"")</f>
        <v/>
      </c>
      <c r="P142" s="24" t="str">
        <f ca="1">IFERROR(VLOOKUP(Tabela4[[#This Row],[Cabo]],BD!A:V,11,0),"")</f>
        <v/>
      </c>
      <c r="Q142" s="24" t="str">
        <f ca="1">IFERROR(VLOOKUP(Tabela4[[#This Row],[Cabo]],BD!A:V,12,0),"")</f>
        <v/>
      </c>
      <c r="R14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2" s="23" t="str">
        <f ca="1">IF(Tabela4[[#This Row],[Cabo]]&lt;&gt;"",4-COUNTIF(Tabela4[[#This Row],[Teste de Continuidade]:[Hipot]],"---"),"")</f>
        <v/>
      </c>
      <c r="W142" s="29" t="str">
        <f ca="1">IF(Tabela4[[#This Row],[Cabo]]&lt;&gt;"",(COUNTIF(Tabela4[[#This Row],[Teste de Continuidade]:[Hipot]],"OK"))/(4-COUNTIF(Tabela4[[#This Row],[Teste de Continuidade]:[Hipot]],"---")),"")</f>
        <v/>
      </c>
      <c r="X142" s="23" t="str">
        <f ca="1">IF(Tabela4[[#This Row],[Cabo]]&lt;&gt;"",SUMIFS('Lançamento de Cabos'!$AF:$AF,'Lançamento de Cabos'!AE:AE,Tabela4[[#This Row],[Cabo]],'Lançamento de Cabos'!AJ:AJ,Área!$B$1),"")</f>
        <v/>
      </c>
      <c r="Y142" s="23" t="str">
        <f ca="1">IF(Tabela4[[#This Row],[Cabo]]&lt;&gt;"",SUMIFS('Lançamento de Cabos'!$AG:$AG,'Lançamento de Cabos'!AE:AE,Tabela4[[#This Row],[Cabo]],'Lançamento de Cabos'!AJ:AJ,Área!$B$1),"")</f>
        <v/>
      </c>
      <c r="Z142" s="23" t="e">
        <f ca="1">VLOOKUP(Tabela4[[#This Row],[Cabo]],BD!A:AB,28,0)</f>
        <v>#N/A</v>
      </c>
    </row>
    <row r="143" spans="3:26" x14ac:dyDescent="0.25">
      <c r="C143" s="391" t="str">
        <f ca="1">IF($B$1="Geral",Tabela1[[#This Row],[Tag do Cabo]],IFERROR(INDEX(INDIRECT("BD!$A"&amp;D143&amp;":$A100000"),E143,1),""))</f>
        <v/>
      </c>
      <c r="D143" s="391" t="str">
        <f t="shared" ca="1" si="7"/>
        <v/>
      </c>
      <c r="E143" s="391" t="str">
        <f t="shared" ca="1" si="6"/>
        <v/>
      </c>
      <c r="F143" s="391" t="str">
        <f ca="1">IFERROR(VLOOKUP(Tabela4[[#This Row],[Cabo]],BD!A:V,2,0),"")</f>
        <v/>
      </c>
      <c r="G143" s="22" t="str">
        <f ca="1">IFERROR(VLOOKUP(Tabela4[[#This Row],[Cabo]],BD!A:V,5,0),"")</f>
        <v/>
      </c>
      <c r="H143" s="391" t="str">
        <f ca="1">IFERROR(VLOOKUP(Tabela4[[#This Row],[Cabo]],BD!A:V,3,0),"")</f>
        <v/>
      </c>
      <c r="I143" s="391" t="str">
        <f ca="1">IFERROR(VLOOKUP(Tabela4[[#This Row],[Cabo]],BD!A:V,4,0),"")</f>
        <v/>
      </c>
      <c r="J143" s="391" t="str">
        <f ca="1">IFERROR(VLOOKUP(Tabela4[[#This Row],[Cabo]],BD!A:V,7,0),"")</f>
        <v/>
      </c>
      <c r="K14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3" s="23" t="str">
        <f ca="1">IFERROR(VLOOKUP(Tabela4[[#This Row],[Cabo]],BD!A:V,9,0),"")</f>
        <v/>
      </c>
      <c r="M143" s="23" t="str">
        <f ca="1">IFERROR(VLOOKUP(Tabela4[[#This Row],[Cabo]],BD!A:AD,30,0),"")</f>
        <v/>
      </c>
      <c r="N143" s="23" t="str">
        <f ca="1">IF(SUMIF('Lançamento de Cabos'!B:B,Tabela4[[#This Row],[Cabo]],'Lançamento de Cabos'!C:C)=0,"",SUMIF('Lançamento de Cabos'!B:B,Tabela4[[#This Row],[Cabo]],'Lançamento de Cabos'!C:C))</f>
        <v/>
      </c>
      <c r="O143" s="28" t="str">
        <f ca="1">IFERROR(IF(Tabela4[[#This Row],[Compr. Lançado]]/Tabela4[[#This Row],[Compr. Prev.]]&gt;1,1,Tabela4[[#This Row],[Compr. Lançado]]/Tabela4[[#This Row],[Compr. Prev.]]),"")</f>
        <v/>
      </c>
      <c r="P143" s="24" t="str">
        <f ca="1">IFERROR(VLOOKUP(Tabela4[[#This Row],[Cabo]],BD!A:V,11,0),"")</f>
        <v/>
      </c>
      <c r="Q143" s="24" t="str">
        <f ca="1">IFERROR(VLOOKUP(Tabela4[[#This Row],[Cabo]],BD!A:V,12,0),"")</f>
        <v/>
      </c>
      <c r="R14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3" s="23" t="str">
        <f ca="1">IF(Tabela4[[#This Row],[Cabo]]&lt;&gt;"",4-COUNTIF(Tabela4[[#This Row],[Teste de Continuidade]:[Hipot]],"---"),"")</f>
        <v/>
      </c>
      <c r="W143" s="29" t="str">
        <f ca="1">IF(Tabela4[[#This Row],[Cabo]]&lt;&gt;"",(COUNTIF(Tabela4[[#This Row],[Teste de Continuidade]:[Hipot]],"OK"))/(4-COUNTIF(Tabela4[[#This Row],[Teste de Continuidade]:[Hipot]],"---")),"")</f>
        <v/>
      </c>
      <c r="X143" s="23" t="str">
        <f ca="1">IF(Tabela4[[#This Row],[Cabo]]&lt;&gt;"",SUMIFS('Lançamento de Cabos'!$AF:$AF,'Lançamento de Cabos'!AE:AE,Tabela4[[#This Row],[Cabo]],'Lançamento de Cabos'!AJ:AJ,Área!$B$1),"")</f>
        <v/>
      </c>
      <c r="Y143" s="23" t="str">
        <f ca="1">IF(Tabela4[[#This Row],[Cabo]]&lt;&gt;"",SUMIFS('Lançamento de Cabos'!$AG:$AG,'Lançamento de Cabos'!AE:AE,Tabela4[[#This Row],[Cabo]],'Lançamento de Cabos'!AJ:AJ,Área!$B$1),"")</f>
        <v/>
      </c>
      <c r="Z143" s="23" t="e">
        <f ca="1">VLOOKUP(Tabela4[[#This Row],[Cabo]],BD!A:AB,28,0)</f>
        <v>#N/A</v>
      </c>
    </row>
    <row r="144" spans="3:26" x14ac:dyDescent="0.25">
      <c r="C144" s="391" t="str">
        <f ca="1">IF($B$1="Geral",Tabela1[[#This Row],[Tag do Cabo]],IFERROR(INDEX(INDIRECT("BD!$A"&amp;D144&amp;":$A100000"),E144,1),""))</f>
        <v/>
      </c>
      <c r="D144" s="391" t="str">
        <f t="shared" ca="1" si="7"/>
        <v/>
      </c>
      <c r="E144" s="391" t="str">
        <f t="shared" ca="1" si="6"/>
        <v/>
      </c>
      <c r="F144" s="391" t="str">
        <f ca="1">IFERROR(VLOOKUP(Tabela4[[#This Row],[Cabo]],BD!A:V,2,0),"")</f>
        <v/>
      </c>
      <c r="G144" s="22" t="str">
        <f ca="1">IFERROR(VLOOKUP(Tabela4[[#This Row],[Cabo]],BD!A:V,5,0),"")</f>
        <v/>
      </c>
      <c r="H144" s="391" t="str">
        <f ca="1">IFERROR(VLOOKUP(Tabela4[[#This Row],[Cabo]],BD!A:V,3,0),"")</f>
        <v/>
      </c>
      <c r="I144" s="391" t="str">
        <f ca="1">IFERROR(VLOOKUP(Tabela4[[#This Row],[Cabo]],BD!A:V,4,0),"")</f>
        <v/>
      </c>
      <c r="J144" s="391" t="str">
        <f ca="1">IFERROR(VLOOKUP(Tabela4[[#This Row],[Cabo]],BD!A:V,7,0),"")</f>
        <v/>
      </c>
      <c r="K14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4" s="23" t="str">
        <f ca="1">IFERROR(VLOOKUP(Tabela4[[#This Row],[Cabo]],BD!A:V,9,0),"")</f>
        <v/>
      </c>
      <c r="M144" s="23" t="str">
        <f ca="1">IFERROR(VLOOKUP(Tabela4[[#This Row],[Cabo]],BD!A:AD,30,0),"")</f>
        <v/>
      </c>
      <c r="N144" s="23" t="str">
        <f ca="1">IF(SUMIF('Lançamento de Cabos'!B:B,Tabela4[[#This Row],[Cabo]],'Lançamento de Cabos'!C:C)=0,"",SUMIF('Lançamento de Cabos'!B:B,Tabela4[[#This Row],[Cabo]],'Lançamento de Cabos'!C:C))</f>
        <v/>
      </c>
      <c r="O144" s="28" t="str">
        <f ca="1">IFERROR(IF(Tabela4[[#This Row],[Compr. Lançado]]/Tabela4[[#This Row],[Compr. Prev.]]&gt;1,1,Tabela4[[#This Row],[Compr. Lançado]]/Tabela4[[#This Row],[Compr. Prev.]]),"")</f>
        <v/>
      </c>
      <c r="P144" s="24" t="str">
        <f ca="1">IFERROR(VLOOKUP(Tabela4[[#This Row],[Cabo]],BD!A:V,11,0),"")</f>
        <v/>
      </c>
      <c r="Q144" s="24" t="str">
        <f ca="1">IFERROR(VLOOKUP(Tabela4[[#This Row],[Cabo]],BD!A:V,12,0),"")</f>
        <v/>
      </c>
      <c r="R14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4" s="23" t="str">
        <f ca="1">IF(Tabela4[[#This Row],[Cabo]]&lt;&gt;"",4-COUNTIF(Tabela4[[#This Row],[Teste de Continuidade]:[Hipot]],"---"),"")</f>
        <v/>
      </c>
      <c r="W144" s="29" t="str">
        <f ca="1">IF(Tabela4[[#This Row],[Cabo]]&lt;&gt;"",(COUNTIF(Tabela4[[#This Row],[Teste de Continuidade]:[Hipot]],"OK"))/(4-COUNTIF(Tabela4[[#This Row],[Teste de Continuidade]:[Hipot]],"---")),"")</f>
        <v/>
      </c>
      <c r="X144" s="23" t="str">
        <f ca="1">IF(Tabela4[[#This Row],[Cabo]]&lt;&gt;"",SUMIFS('Lançamento de Cabos'!$AF:$AF,'Lançamento de Cabos'!AE:AE,Tabela4[[#This Row],[Cabo]],'Lançamento de Cabos'!AJ:AJ,Área!$B$1),"")</f>
        <v/>
      </c>
      <c r="Y144" s="23" t="str">
        <f ca="1">IF(Tabela4[[#This Row],[Cabo]]&lt;&gt;"",SUMIFS('Lançamento de Cabos'!$AG:$AG,'Lançamento de Cabos'!AE:AE,Tabela4[[#This Row],[Cabo]],'Lançamento de Cabos'!AJ:AJ,Área!$B$1),"")</f>
        <v/>
      </c>
      <c r="Z144" s="23" t="e">
        <f ca="1">VLOOKUP(Tabela4[[#This Row],[Cabo]],BD!A:AB,28,0)</f>
        <v>#N/A</v>
      </c>
    </row>
    <row r="145" spans="3:26" x14ac:dyDescent="0.25">
      <c r="C145" s="391" t="str">
        <f ca="1">IF($B$1="Geral",Tabela1[[#This Row],[Tag do Cabo]],IFERROR(INDEX(INDIRECT("BD!$A"&amp;D145&amp;":$A100000"),E145,1),""))</f>
        <v/>
      </c>
      <c r="D145" s="391" t="str">
        <f t="shared" ca="1" si="7"/>
        <v/>
      </c>
      <c r="E145" s="391" t="str">
        <f t="shared" ca="1" si="6"/>
        <v/>
      </c>
      <c r="F145" s="391" t="str">
        <f ca="1">IFERROR(VLOOKUP(Tabela4[[#This Row],[Cabo]],BD!A:V,2,0),"")</f>
        <v/>
      </c>
      <c r="G145" s="22" t="str">
        <f ca="1">IFERROR(VLOOKUP(Tabela4[[#This Row],[Cabo]],BD!A:V,5,0),"")</f>
        <v/>
      </c>
      <c r="H145" s="391" t="str">
        <f ca="1">IFERROR(VLOOKUP(Tabela4[[#This Row],[Cabo]],BD!A:V,3,0),"")</f>
        <v/>
      </c>
      <c r="I145" s="391" t="str">
        <f ca="1">IFERROR(VLOOKUP(Tabela4[[#This Row],[Cabo]],BD!A:V,4,0),"")</f>
        <v/>
      </c>
      <c r="J145" s="391" t="str">
        <f ca="1">IFERROR(VLOOKUP(Tabela4[[#This Row],[Cabo]],BD!A:V,7,0),"")</f>
        <v/>
      </c>
      <c r="K14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5" s="23" t="str">
        <f ca="1">IFERROR(VLOOKUP(Tabela4[[#This Row],[Cabo]],BD!A:V,9,0),"")</f>
        <v/>
      </c>
      <c r="M145" s="23" t="str">
        <f ca="1">IFERROR(VLOOKUP(Tabela4[[#This Row],[Cabo]],BD!A:AD,30,0),"")</f>
        <v/>
      </c>
      <c r="N145" s="23" t="str">
        <f ca="1">IF(SUMIF('Lançamento de Cabos'!B:B,Tabela4[[#This Row],[Cabo]],'Lançamento de Cabos'!C:C)=0,"",SUMIF('Lançamento de Cabos'!B:B,Tabela4[[#This Row],[Cabo]],'Lançamento de Cabos'!C:C))</f>
        <v/>
      </c>
      <c r="O145" s="28" t="str">
        <f ca="1">IFERROR(IF(Tabela4[[#This Row],[Compr. Lançado]]/Tabela4[[#This Row],[Compr. Prev.]]&gt;1,1,Tabela4[[#This Row],[Compr. Lançado]]/Tabela4[[#This Row],[Compr. Prev.]]),"")</f>
        <v/>
      </c>
      <c r="P145" s="24" t="str">
        <f ca="1">IFERROR(VLOOKUP(Tabela4[[#This Row],[Cabo]],BD!A:V,11,0),"")</f>
        <v/>
      </c>
      <c r="Q145" s="24" t="str">
        <f ca="1">IFERROR(VLOOKUP(Tabela4[[#This Row],[Cabo]],BD!A:V,12,0),"")</f>
        <v/>
      </c>
      <c r="R14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5" s="23" t="str">
        <f ca="1">IF(Tabela4[[#This Row],[Cabo]]&lt;&gt;"",4-COUNTIF(Tabela4[[#This Row],[Teste de Continuidade]:[Hipot]],"---"),"")</f>
        <v/>
      </c>
      <c r="W145" s="29" t="str">
        <f ca="1">IF(Tabela4[[#This Row],[Cabo]]&lt;&gt;"",(COUNTIF(Tabela4[[#This Row],[Teste de Continuidade]:[Hipot]],"OK"))/(4-COUNTIF(Tabela4[[#This Row],[Teste de Continuidade]:[Hipot]],"---")),"")</f>
        <v/>
      </c>
      <c r="X145" s="23" t="str">
        <f ca="1">IF(Tabela4[[#This Row],[Cabo]]&lt;&gt;"",SUMIFS('Lançamento de Cabos'!$AF:$AF,'Lançamento de Cabos'!AE:AE,Tabela4[[#This Row],[Cabo]],'Lançamento de Cabos'!AJ:AJ,Área!$B$1),"")</f>
        <v/>
      </c>
      <c r="Y145" s="23" t="str">
        <f ca="1">IF(Tabela4[[#This Row],[Cabo]]&lt;&gt;"",SUMIFS('Lançamento de Cabos'!$AG:$AG,'Lançamento de Cabos'!AE:AE,Tabela4[[#This Row],[Cabo]],'Lançamento de Cabos'!AJ:AJ,Área!$B$1),"")</f>
        <v/>
      </c>
      <c r="Z145" s="23" t="e">
        <f ca="1">VLOOKUP(Tabela4[[#This Row],[Cabo]],BD!A:AB,28,0)</f>
        <v>#N/A</v>
      </c>
    </row>
    <row r="146" spans="3:26" x14ac:dyDescent="0.25">
      <c r="C146" s="391" t="str">
        <f ca="1">IF($B$1="Geral",Tabela1[[#This Row],[Tag do Cabo]],IFERROR(INDEX(INDIRECT("BD!$A"&amp;D146&amp;":$A100000"),E146,1),""))</f>
        <v/>
      </c>
      <c r="D146" s="391" t="str">
        <f t="shared" ca="1" si="7"/>
        <v/>
      </c>
      <c r="E146" s="391" t="str">
        <f t="shared" ca="1" si="6"/>
        <v/>
      </c>
      <c r="F146" s="391" t="str">
        <f ca="1">IFERROR(VLOOKUP(Tabela4[[#This Row],[Cabo]],BD!A:V,2,0),"")</f>
        <v/>
      </c>
      <c r="G146" s="22" t="str">
        <f ca="1">IFERROR(VLOOKUP(Tabela4[[#This Row],[Cabo]],BD!A:V,5,0),"")</f>
        <v/>
      </c>
      <c r="H146" s="391" t="str">
        <f ca="1">IFERROR(VLOOKUP(Tabela4[[#This Row],[Cabo]],BD!A:V,3,0),"")</f>
        <v/>
      </c>
      <c r="I146" s="391" t="str">
        <f ca="1">IFERROR(VLOOKUP(Tabela4[[#This Row],[Cabo]],BD!A:V,4,0),"")</f>
        <v/>
      </c>
      <c r="J146" s="391" t="str">
        <f ca="1">IFERROR(VLOOKUP(Tabela4[[#This Row],[Cabo]],BD!A:V,7,0),"")</f>
        <v/>
      </c>
      <c r="K14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6" s="23" t="str">
        <f ca="1">IFERROR(VLOOKUP(Tabela4[[#This Row],[Cabo]],BD!A:V,9,0),"")</f>
        <v/>
      </c>
      <c r="M146" s="23" t="str">
        <f ca="1">IFERROR(VLOOKUP(Tabela4[[#This Row],[Cabo]],BD!A:AD,30,0),"")</f>
        <v/>
      </c>
      <c r="N146" s="23" t="str">
        <f ca="1">IF(SUMIF('Lançamento de Cabos'!B:B,Tabela4[[#This Row],[Cabo]],'Lançamento de Cabos'!C:C)=0,"",SUMIF('Lançamento de Cabos'!B:B,Tabela4[[#This Row],[Cabo]],'Lançamento de Cabos'!C:C))</f>
        <v/>
      </c>
      <c r="O146" s="28" t="str">
        <f ca="1">IFERROR(IF(Tabela4[[#This Row],[Compr. Lançado]]/Tabela4[[#This Row],[Compr. Prev.]]&gt;1,1,Tabela4[[#This Row],[Compr. Lançado]]/Tabela4[[#This Row],[Compr. Prev.]]),"")</f>
        <v/>
      </c>
      <c r="P146" s="24" t="str">
        <f ca="1">IFERROR(VLOOKUP(Tabela4[[#This Row],[Cabo]],BD!A:V,11,0),"")</f>
        <v/>
      </c>
      <c r="Q146" s="24" t="str">
        <f ca="1">IFERROR(VLOOKUP(Tabela4[[#This Row],[Cabo]],BD!A:V,12,0),"")</f>
        <v/>
      </c>
      <c r="R14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6" s="23" t="str">
        <f ca="1">IF(Tabela4[[#This Row],[Cabo]]&lt;&gt;"",4-COUNTIF(Tabela4[[#This Row],[Teste de Continuidade]:[Hipot]],"---"),"")</f>
        <v/>
      </c>
      <c r="W146" s="29" t="str">
        <f ca="1">IF(Tabela4[[#This Row],[Cabo]]&lt;&gt;"",(COUNTIF(Tabela4[[#This Row],[Teste de Continuidade]:[Hipot]],"OK"))/(4-COUNTIF(Tabela4[[#This Row],[Teste de Continuidade]:[Hipot]],"---")),"")</f>
        <v/>
      </c>
      <c r="X146" s="23" t="str">
        <f ca="1">IF(Tabela4[[#This Row],[Cabo]]&lt;&gt;"",SUMIFS('Lançamento de Cabos'!$AF:$AF,'Lançamento de Cabos'!AE:AE,Tabela4[[#This Row],[Cabo]],'Lançamento de Cabos'!AJ:AJ,Área!$B$1),"")</f>
        <v/>
      </c>
      <c r="Y146" s="23" t="str">
        <f ca="1">IF(Tabela4[[#This Row],[Cabo]]&lt;&gt;"",SUMIFS('Lançamento de Cabos'!$AG:$AG,'Lançamento de Cabos'!AE:AE,Tabela4[[#This Row],[Cabo]],'Lançamento de Cabos'!AJ:AJ,Área!$B$1),"")</f>
        <v/>
      </c>
      <c r="Z146" s="23" t="e">
        <f ca="1">VLOOKUP(Tabela4[[#This Row],[Cabo]],BD!A:AB,28,0)</f>
        <v>#N/A</v>
      </c>
    </row>
    <row r="147" spans="3:26" x14ac:dyDescent="0.25">
      <c r="C147" s="391" t="str">
        <f ca="1">IF($B$1="Geral",Tabela1[[#This Row],[Tag do Cabo]],IFERROR(INDEX(INDIRECT("BD!$A"&amp;D147&amp;":$A100000"),E147,1),""))</f>
        <v/>
      </c>
      <c r="D147" s="391" t="str">
        <f t="shared" ca="1" si="7"/>
        <v/>
      </c>
      <c r="E147" s="391" t="str">
        <f t="shared" ca="1" si="6"/>
        <v/>
      </c>
      <c r="F147" s="391" t="str">
        <f ca="1">IFERROR(VLOOKUP(Tabela4[[#This Row],[Cabo]],BD!A:V,2,0),"")</f>
        <v/>
      </c>
      <c r="G147" s="22" t="str">
        <f ca="1">IFERROR(VLOOKUP(Tabela4[[#This Row],[Cabo]],BD!A:V,5,0),"")</f>
        <v/>
      </c>
      <c r="H147" s="391" t="str">
        <f ca="1">IFERROR(VLOOKUP(Tabela4[[#This Row],[Cabo]],BD!A:V,3,0),"")</f>
        <v/>
      </c>
      <c r="I147" s="391" t="str">
        <f ca="1">IFERROR(VLOOKUP(Tabela4[[#This Row],[Cabo]],BD!A:V,4,0),"")</f>
        <v/>
      </c>
      <c r="J147" s="391" t="str">
        <f ca="1">IFERROR(VLOOKUP(Tabela4[[#This Row],[Cabo]],BD!A:V,7,0),"")</f>
        <v/>
      </c>
      <c r="K14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7" s="23" t="str">
        <f ca="1">IFERROR(VLOOKUP(Tabela4[[#This Row],[Cabo]],BD!A:V,9,0),"")</f>
        <v/>
      </c>
      <c r="M147" s="23" t="str">
        <f ca="1">IFERROR(VLOOKUP(Tabela4[[#This Row],[Cabo]],BD!A:AD,30,0),"")</f>
        <v/>
      </c>
      <c r="N147" s="23" t="str">
        <f ca="1">IF(SUMIF('Lançamento de Cabos'!B:B,Tabela4[[#This Row],[Cabo]],'Lançamento de Cabos'!C:C)=0,"",SUMIF('Lançamento de Cabos'!B:B,Tabela4[[#This Row],[Cabo]],'Lançamento de Cabos'!C:C))</f>
        <v/>
      </c>
      <c r="O147" s="28" t="str">
        <f ca="1">IFERROR(IF(Tabela4[[#This Row],[Compr. Lançado]]/Tabela4[[#This Row],[Compr. Prev.]]&gt;1,1,Tabela4[[#This Row],[Compr. Lançado]]/Tabela4[[#This Row],[Compr. Prev.]]),"")</f>
        <v/>
      </c>
      <c r="P147" s="24" t="str">
        <f ca="1">IFERROR(VLOOKUP(Tabela4[[#This Row],[Cabo]],BD!A:V,11,0),"")</f>
        <v/>
      </c>
      <c r="Q147" s="24" t="str">
        <f ca="1">IFERROR(VLOOKUP(Tabela4[[#This Row],[Cabo]],BD!A:V,12,0),"")</f>
        <v/>
      </c>
      <c r="R14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7" s="23" t="str">
        <f ca="1">IF(Tabela4[[#This Row],[Cabo]]&lt;&gt;"",4-COUNTIF(Tabela4[[#This Row],[Teste de Continuidade]:[Hipot]],"---"),"")</f>
        <v/>
      </c>
      <c r="W147" s="29" t="str">
        <f ca="1">IF(Tabela4[[#This Row],[Cabo]]&lt;&gt;"",(COUNTIF(Tabela4[[#This Row],[Teste de Continuidade]:[Hipot]],"OK"))/(4-COUNTIF(Tabela4[[#This Row],[Teste de Continuidade]:[Hipot]],"---")),"")</f>
        <v/>
      </c>
      <c r="X147" s="23" t="str">
        <f ca="1">IF(Tabela4[[#This Row],[Cabo]]&lt;&gt;"",SUMIFS('Lançamento de Cabos'!$AF:$AF,'Lançamento de Cabos'!AE:AE,Tabela4[[#This Row],[Cabo]],'Lançamento de Cabos'!AJ:AJ,Área!$B$1),"")</f>
        <v/>
      </c>
      <c r="Y147" s="23" t="str">
        <f ca="1">IF(Tabela4[[#This Row],[Cabo]]&lt;&gt;"",SUMIFS('Lançamento de Cabos'!$AG:$AG,'Lançamento de Cabos'!AE:AE,Tabela4[[#This Row],[Cabo]],'Lançamento de Cabos'!AJ:AJ,Área!$B$1),"")</f>
        <v/>
      </c>
      <c r="Z147" s="23" t="e">
        <f ca="1">VLOOKUP(Tabela4[[#This Row],[Cabo]],BD!A:AB,28,0)</f>
        <v>#N/A</v>
      </c>
    </row>
    <row r="148" spans="3:26" x14ac:dyDescent="0.25">
      <c r="C148" s="391" t="str">
        <f ca="1">IF($B$1="Geral",Tabela1[[#This Row],[Tag do Cabo]],IFERROR(INDEX(INDIRECT("BD!$A"&amp;D148&amp;":$A100000"),E148,1),""))</f>
        <v/>
      </c>
      <c r="D148" s="391" t="str">
        <f t="shared" ca="1" si="7"/>
        <v/>
      </c>
      <c r="E148" s="391" t="str">
        <f t="shared" ca="1" si="6"/>
        <v/>
      </c>
      <c r="F148" s="391" t="str">
        <f ca="1">IFERROR(VLOOKUP(Tabela4[[#This Row],[Cabo]],BD!A:V,2,0),"")</f>
        <v/>
      </c>
      <c r="G148" s="22" t="str">
        <f ca="1">IFERROR(VLOOKUP(Tabela4[[#This Row],[Cabo]],BD!A:V,5,0),"")</f>
        <v/>
      </c>
      <c r="H148" s="391" t="str">
        <f ca="1">IFERROR(VLOOKUP(Tabela4[[#This Row],[Cabo]],BD!A:V,3,0),"")</f>
        <v/>
      </c>
      <c r="I148" s="391" t="str">
        <f ca="1">IFERROR(VLOOKUP(Tabela4[[#This Row],[Cabo]],BD!A:V,4,0),"")</f>
        <v/>
      </c>
      <c r="J148" s="391" t="str">
        <f ca="1">IFERROR(VLOOKUP(Tabela4[[#This Row],[Cabo]],BD!A:V,7,0),"")</f>
        <v/>
      </c>
      <c r="K14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8" s="23" t="str">
        <f ca="1">IFERROR(VLOOKUP(Tabela4[[#This Row],[Cabo]],BD!A:V,9,0),"")</f>
        <v/>
      </c>
      <c r="M148" s="23" t="str">
        <f ca="1">IFERROR(VLOOKUP(Tabela4[[#This Row],[Cabo]],BD!A:AD,30,0),"")</f>
        <v/>
      </c>
      <c r="N148" s="23" t="str">
        <f ca="1">IF(SUMIF('Lançamento de Cabos'!B:B,Tabela4[[#This Row],[Cabo]],'Lançamento de Cabos'!C:C)=0,"",SUMIF('Lançamento de Cabos'!B:B,Tabela4[[#This Row],[Cabo]],'Lançamento de Cabos'!C:C))</f>
        <v/>
      </c>
      <c r="O148" s="28" t="str">
        <f ca="1">IFERROR(IF(Tabela4[[#This Row],[Compr. Lançado]]/Tabela4[[#This Row],[Compr. Prev.]]&gt;1,1,Tabela4[[#This Row],[Compr. Lançado]]/Tabela4[[#This Row],[Compr. Prev.]]),"")</f>
        <v/>
      </c>
      <c r="P148" s="24" t="str">
        <f ca="1">IFERROR(VLOOKUP(Tabela4[[#This Row],[Cabo]],BD!A:V,11,0),"")</f>
        <v/>
      </c>
      <c r="Q148" s="24" t="str">
        <f ca="1">IFERROR(VLOOKUP(Tabela4[[#This Row],[Cabo]],BD!A:V,12,0),"")</f>
        <v/>
      </c>
      <c r="R14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8" s="23" t="str">
        <f ca="1">IF(Tabela4[[#This Row],[Cabo]]&lt;&gt;"",4-COUNTIF(Tabela4[[#This Row],[Teste de Continuidade]:[Hipot]],"---"),"")</f>
        <v/>
      </c>
      <c r="W148" s="29" t="str">
        <f ca="1">IF(Tabela4[[#This Row],[Cabo]]&lt;&gt;"",(COUNTIF(Tabela4[[#This Row],[Teste de Continuidade]:[Hipot]],"OK"))/(4-COUNTIF(Tabela4[[#This Row],[Teste de Continuidade]:[Hipot]],"---")),"")</f>
        <v/>
      </c>
      <c r="X148" s="23" t="str">
        <f ca="1">IF(Tabela4[[#This Row],[Cabo]]&lt;&gt;"",SUMIFS('Lançamento de Cabos'!$AF:$AF,'Lançamento de Cabos'!AE:AE,Tabela4[[#This Row],[Cabo]],'Lançamento de Cabos'!AJ:AJ,Área!$B$1),"")</f>
        <v/>
      </c>
      <c r="Y148" s="23" t="str">
        <f ca="1">IF(Tabela4[[#This Row],[Cabo]]&lt;&gt;"",SUMIFS('Lançamento de Cabos'!$AG:$AG,'Lançamento de Cabos'!AE:AE,Tabela4[[#This Row],[Cabo]],'Lançamento de Cabos'!AJ:AJ,Área!$B$1),"")</f>
        <v/>
      </c>
      <c r="Z148" s="23" t="e">
        <f ca="1">VLOOKUP(Tabela4[[#This Row],[Cabo]],BD!A:AB,28,0)</f>
        <v>#N/A</v>
      </c>
    </row>
    <row r="149" spans="3:26" x14ac:dyDescent="0.25">
      <c r="C149" s="391" t="str">
        <f ca="1">IF($B$1="Geral",Tabela1[[#This Row],[Tag do Cabo]],IFERROR(INDEX(INDIRECT("BD!$A"&amp;D149&amp;":$A100000"),E149,1),""))</f>
        <v/>
      </c>
      <c r="D149" s="391" t="str">
        <f t="shared" ca="1" si="7"/>
        <v/>
      </c>
      <c r="E149" s="391" t="str">
        <f t="shared" ca="1" si="6"/>
        <v/>
      </c>
      <c r="F149" s="391" t="str">
        <f ca="1">IFERROR(VLOOKUP(Tabela4[[#This Row],[Cabo]],BD!A:V,2,0),"")</f>
        <v/>
      </c>
      <c r="G149" s="22" t="str">
        <f ca="1">IFERROR(VLOOKUP(Tabela4[[#This Row],[Cabo]],BD!A:V,5,0),"")</f>
        <v/>
      </c>
      <c r="H149" s="391" t="str">
        <f ca="1">IFERROR(VLOOKUP(Tabela4[[#This Row],[Cabo]],BD!A:V,3,0),"")</f>
        <v/>
      </c>
      <c r="I149" s="391" t="str">
        <f ca="1">IFERROR(VLOOKUP(Tabela4[[#This Row],[Cabo]],BD!A:V,4,0),"")</f>
        <v/>
      </c>
      <c r="J149" s="391" t="str">
        <f ca="1">IFERROR(VLOOKUP(Tabela4[[#This Row],[Cabo]],BD!A:V,7,0),"")</f>
        <v/>
      </c>
      <c r="K14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49" s="23" t="str">
        <f ca="1">IFERROR(VLOOKUP(Tabela4[[#This Row],[Cabo]],BD!A:V,9,0),"")</f>
        <v/>
      </c>
      <c r="M149" s="23" t="str">
        <f ca="1">IFERROR(VLOOKUP(Tabela4[[#This Row],[Cabo]],BD!A:AD,30,0),"")</f>
        <v/>
      </c>
      <c r="N149" s="23" t="str">
        <f ca="1">IF(SUMIF('Lançamento de Cabos'!B:B,Tabela4[[#This Row],[Cabo]],'Lançamento de Cabos'!C:C)=0,"",SUMIF('Lançamento de Cabos'!B:B,Tabela4[[#This Row],[Cabo]],'Lançamento de Cabos'!C:C))</f>
        <v/>
      </c>
      <c r="O149" s="28" t="str">
        <f ca="1">IFERROR(IF(Tabela4[[#This Row],[Compr. Lançado]]/Tabela4[[#This Row],[Compr. Prev.]]&gt;1,1,Tabela4[[#This Row],[Compr. Lançado]]/Tabela4[[#This Row],[Compr. Prev.]]),"")</f>
        <v/>
      </c>
      <c r="P149" s="24" t="str">
        <f ca="1">IFERROR(VLOOKUP(Tabela4[[#This Row],[Cabo]],BD!A:V,11,0),"")</f>
        <v/>
      </c>
      <c r="Q149" s="24" t="str">
        <f ca="1">IFERROR(VLOOKUP(Tabela4[[#This Row],[Cabo]],BD!A:V,12,0),"")</f>
        <v/>
      </c>
      <c r="R14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4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4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4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49" s="23" t="str">
        <f ca="1">IF(Tabela4[[#This Row],[Cabo]]&lt;&gt;"",4-COUNTIF(Tabela4[[#This Row],[Teste de Continuidade]:[Hipot]],"---"),"")</f>
        <v/>
      </c>
      <c r="W149" s="29" t="str">
        <f ca="1">IF(Tabela4[[#This Row],[Cabo]]&lt;&gt;"",(COUNTIF(Tabela4[[#This Row],[Teste de Continuidade]:[Hipot]],"OK"))/(4-COUNTIF(Tabela4[[#This Row],[Teste de Continuidade]:[Hipot]],"---")),"")</f>
        <v/>
      </c>
      <c r="X149" s="23" t="str">
        <f ca="1">IF(Tabela4[[#This Row],[Cabo]]&lt;&gt;"",SUMIFS('Lançamento de Cabos'!$AF:$AF,'Lançamento de Cabos'!AE:AE,Tabela4[[#This Row],[Cabo]],'Lançamento de Cabos'!AJ:AJ,Área!$B$1),"")</f>
        <v/>
      </c>
      <c r="Y149" s="23" t="str">
        <f ca="1">IF(Tabela4[[#This Row],[Cabo]]&lt;&gt;"",SUMIFS('Lançamento de Cabos'!$AG:$AG,'Lançamento de Cabos'!AE:AE,Tabela4[[#This Row],[Cabo]],'Lançamento de Cabos'!AJ:AJ,Área!$B$1),"")</f>
        <v/>
      </c>
      <c r="Z149" s="23" t="e">
        <f ca="1">VLOOKUP(Tabela4[[#This Row],[Cabo]],BD!A:AB,28,0)</f>
        <v>#N/A</v>
      </c>
    </row>
    <row r="150" spans="3:26" x14ac:dyDescent="0.25">
      <c r="C150" s="391" t="str">
        <f ca="1">IF($B$1="Geral",Tabela1[[#This Row],[Tag do Cabo]],IFERROR(INDEX(INDIRECT("BD!$A"&amp;D150&amp;":$A100000"),E150,1),""))</f>
        <v/>
      </c>
      <c r="D150" s="391" t="str">
        <f t="shared" ca="1" si="7"/>
        <v/>
      </c>
      <c r="E150" s="391" t="str">
        <f t="shared" ca="1" si="6"/>
        <v/>
      </c>
      <c r="F150" s="391" t="str">
        <f ca="1">IFERROR(VLOOKUP(Tabela4[[#This Row],[Cabo]],BD!A:V,2,0),"")</f>
        <v/>
      </c>
      <c r="G150" s="22" t="str">
        <f ca="1">IFERROR(VLOOKUP(Tabela4[[#This Row],[Cabo]],BD!A:V,5,0),"")</f>
        <v/>
      </c>
      <c r="H150" s="391" t="str">
        <f ca="1">IFERROR(VLOOKUP(Tabela4[[#This Row],[Cabo]],BD!A:V,3,0),"")</f>
        <v/>
      </c>
      <c r="I150" s="391" t="str">
        <f ca="1">IFERROR(VLOOKUP(Tabela4[[#This Row],[Cabo]],BD!A:V,4,0),"")</f>
        <v/>
      </c>
      <c r="J150" s="391" t="str">
        <f ca="1">IFERROR(VLOOKUP(Tabela4[[#This Row],[Cabo]],BD!A:V,7,0),"")</f>
        <v/>
      </c>
      <c r="K15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0" s="23" t="str">
        <f ca="1">IFERROR(VLOOKUP(Tabela4[[#This Row],[Cabo]],BD!A:V,9,0),"")</f>
        <v/>
      </c>
      <c r="M150" s="23" t="str">
        <f ca="1">IFERROR(VLOOKUP(Tabela4[[#This Row],[Cabo]],BD!A:AD,30,0),"")</f>
        <v/>
      </c>
      <c r="N150" s="23" t="str">
        <f ca="1">IF(SUMIF('Lançamento de Cabos'!B:B,Tabela4[[#This Row],[Cabo]],'Lançamento de Cabos'!C:C)=0,"",SUMIF('Lançamento de Cabos'!B:B,Tabela4[[#This Row],[Cabo]],'Lançamento de Cabos'!C:C))</f>
        <v/>
      </c>
      <c r="O150" s="28" t="str">
        <f ca="1">IFERROR(IF(Tabela4[[#This Row],[Compr. Lançado]]/Tabela4[[#This Row],[Compr. Prev.]]&gt;1,1,Tabela4[[#This Row],[Compr. Lançado]]/Tabela4[[#This Row],[Compr. Prev.]]),"")</f>
        <v/>
      </c>
      <c r="P150" s="24" t="str">
        <f ca="1">IFERROR(VLOOKUP(Tabela4[[#This Row],[Cabo]],BD!A:V,11,0),"")</f>
        <v/>
      </c>
      <c r="Q150" s="24" t="str">
        <f ca="1">IFERROR(VLOOKUP(Tabela4[[#This Row],[Cabo]],BD!A:V,12,0),"")</f>
        <v/>
      </c>
      <c r="R15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0" s="23" t="str">
        <f ca="1">IF(Tabela4[[#This Row],[Cabo]]&lt;&gt;"",4-COUNTIF(Tabela4[[#This Row],[Teste de Continuidade]:[Hipot]],"---"),"")</f>
        <v/>
      </c>
      <c r="W150" s="29" t="str">
        <f ca="1">IF(Tabela4[[#This Row],[Cabo]]&lt;&gt;"",(COUNTIF(Tabela4[[#This Row],[Teste de Continuidade]:[Hipot]],"OK"))/(4-COUNTIF(Tabela4[[#This Row],[Teste de Continuidade]:[Hipot]],"---")),"")</f>
        <v/>
      </c>
      <c r="X150" s="23" t="str">
        <f ca="1">IF(Tabela4[[#This Row],[Cabo]]&lt;&gt;"",SUMIFS('Lançamento de Cabos'!$AF:$AF,'Lançamento de Cabos'!AE:AE,Tabela4[[#This Row],[Cabo]],'Lançamento de Cabos'!AJ:AJ,Área!$B$1),"")</f>
        <v/>
      </c>
      <c r="Y150" s="23" t="str">
        <f ca="1">IF(Tabela4[[#This Row],[Cabo]]&lt;&gt;"",SUMIFS('Lançamento de Cabos'!$AG:$AG,'Lançamento de Cabos'!AE:AE,Tabela4[[#This Row],[Cabo]],'Lançamento de Cabos'!AJ:AJ,Área!$B$1),"")</f>
        <v/>
      </c>
      <c r="Z150" s="23" t="e">
        <f ca="1">VLOOKUP(Tabela4[[#This Row],[Cabo]],BD!A:AB,28,0)</f>
        <v>#N/A</v>
      </c>
    </row>
    <row r="151" spans="3:26" x14ac:dyDescent="0.25">
      <c r="C151" s="391" t="str">
        <f ca="1">IF($B$1="Geral",Tabela1[[#This Row],[Tag do Cabo]],IFERROR(INDEX(INDIRECT("BD!$A"&amp;D151&amp;":$A100000"),E151,1),""))</f>
        <v/>
      </c>
      <c r="D151" s="391" t="str">
        <f t="shared" ref="D151:D170" ca="1" si="8">IFERROR(D150+E150,"")</f>
        <v/>
      </c>
      <c r="E151" s="391" t="str">
        <f t="shared" ca="1" si="6"/>
        <v/>
      </c>
      <c r="F151" s="391" t="str">
        <f ca="1">IFERROR(VLOOKUP(Tabela4[[#This Row],[Cabo]],BD!A:V,2,0),"")</f>
        <v/>
      </c>
      <c r="G151" s="22" t="str">
        <f ca="1">IFERROR(VLOOKUP(Tabela4[[#This Row],[Cabo]],BD!A:V,5,0),"")</f>
        <v/>
      </c>
      <c r="H151" s="391" t="str">
        <f ca="1">IFERROR(VLOOKUP(Tabela4[[#This Row],[Cabo]],BD!A:V,3,0),"")</f>
        <v/>
      </c>
      <c r="I151" s="391" t="str">
        <f ca="1">IFERROR(VLOOKUP(Tabela4[[#This Row],[Cabo]],BD!A:V,4,0),"")</f>
        <v/>
      </c>
      <c r="J151" s="391" t="str">
        <f ca="1">IFERROR(VLOOKUP(Tabela4[[#This Row],[Cabo]],BD!A:V,7,0),"")</f>
        <v/>
      </c>
      <c r="K15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1" s="23" t="str">
        <f ca="1">IFERROR(VLOOKUP(Tabela4[[#This Row],[Cabo]],BD!A:V,9,0),"")</f>
        <v/>
      </c>
      <c r="M151" s="23" t="str">
        <f ca="1">IFERROR(VLOOKUP(Tabela4[[#This Row],[Cabo]],BD!A:AD,30,0),"")</f>
        <v/>
      </c>
      <c r="N151" s="23" t="str">
        <f ca="1">IF(SUMIF('Lançamento de Cabos'!B:B,Tabela4[[#This Row],[Cabo]],'Lançamento de Cabos'!C:C)=0,"",SUMIF('Lançamento de Cabos'!B:B,Tabela4[[#This Row],[Cabo]],'Lançamento de Cabos'!C:C))</f>
        <v/>
      </c>
      <c r="O151" s="28" t="str">
        <f ca="1">IFERROR(IF(Tabela4[[#This Row],[Compr. Lançado]]/Tabela4[[#This Row],[Compr. Prev.]]&gt;1,1,Tabela4[[#This Row],[Compr. Lançado]]/Tabela4[[#This Row],[Compr. Prev.]]),"")</f>
        <v/>
      </c>
      <c r="P151" s="24" t="str">
        <f ca="1">IFERROR(VLOOKUP(Tabela4[[#This Row],[Cabo]],BD!A:V,11,0),"")</f>
        <v/>
      </c>
      <c r="Q151" s="24" t="str">
        <f ca="1">IFERROR(VLOOKUP(Tabela4[[#This Row],[Cabo]],BD!A:V,12,0),"")</f>
        <v/>
      </c>
      <c r="R15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1" s="23" t="str">
        <f ca="1">IF(Tabela4[[#This Row],[Cabo]]&lt;&gt;"",4-COUNTIF(Tabela4[[#This Row],[Teste de Continuidade]:[Hipot]],"---"),"")</f>
        <v/>
      </c>
      <c r="W151" s="29" t="str">
        <f ca="1">IF(Tabela4[[#This Row],[Cabo]]&lt;&gt;"",(COUNTIF(Tabela4[[#This Row],[Teste de Continuidade]:[Hipot]],"OK"))/(4-COUNTIF(Tabela4[[#This Row],[Teste de Continuidade]:[Hipot]],"---")),"")</f>
        <v/>
      </c>
      <c r="X151" s="23" t="str">
        <f ca="1">IF(Tabela4[[#This Row],[Cabo]]&lt;&gt;"",SUMIFS('Lançamento de Cabos'!$AF:$AF,'Lançamento de Cabos'!AE:AE,Tabela4[[#This Row],[Cabo]],'Lançamento de Cabos'!AJ:AJ,Área!$B$1),"")</f>
        <v/>
      </c>
      <c r="Y151" s="23" t="str">
        <f ca="1">IF(Tabela4[[#This Row],[Cabo]]&lt;&gt;"",SUMIFS('Lançamento de Cabos'!$AG:$AG,'Lançamento de Cabos'!AE:AE,Tabela4[[#This Row],[Cabo]],'Lançamento de Cabos'!AJ:AJ,Área!$B$1),"")</f>
        <v/>
      </c>
      <c r="Z151" s="23" t="e">
        <f ca="1">VLOOKUP(Tabela4[[#This Row],[Cabo]],BD!A:AB,28,0)</f>
        <v>#N/A</v>
      </c>
    </row>
    <row r="152" spans="3:26" x14ac:dyDescent="0.25">
      <c r="C152" s="391" t="str">
        <f ca="1">IF($B$1="Geral",Tabela1[[#This Row],[Tag do Cabo]],IFERROR(INDEX(INDIRECT("BD!$A"&amp;D152&amp;":$A100000"),E152,1),""))</f>
        <v/>
      </c>
      <c r="D152" s="391" t="str">
        <f t="shared" ca="1" si="8"/>
        <v/>
      </c>
      <c r="E152" s="391" t="str">
        <f t="shared" ca="1" si="6"/>
        <v/>
      </c>
      <c r="F152" s="391" t="str">
        <f ca="1">IFERROR(VLOOKUP(Tabela4[[#This Row],[Cabo]],BD!A:V,2,0),"")</f>
        <v/>
      </c>
      <c r="G152" s="22" t="str">
        <f ca="1">IFERROR(VLOOKUP(Tabela4[[#This Row],[Cabo]],BD!A:V,5,0),"")</f>
        <v/>
      </c>
      <c r="H152" s="391" t="str">
        <f ca="1">IFERROR(VLOOKUP(Tabela4[[#This Row],[Cabo]],BD!A:V,3,0),"")</f>
        <v/>
      </c>
      <c r="I152" s="391" t="str">
        <f ca="1">IFERROR(VLOOKUP(Tabela4[[#This Row],[Cabo]],BD!A:V,4,0),"")</f>
        <v/>
      </c>
      <c r="J152" s="391" t="str">
        <f ca="1">IFERROR(VLOOKUP(Tabela4[[#This Row],[Cabo]],BD!A:V,7,0),"")</f>
        <v/>
      </c>
      <c r="K15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2" s="23" t="str">
        <f ca="1">IFERROR(VLOOKUP(Tabela4[[#This Row],[Cabo]],BD!A:V,9,0),"")</f>
        <v/>
      </c>
      <c r="M152" s="23" t="str">
        <f ca="1">IFERROR(VLOOKUP(Tabela4[[#This Row],[Cabo]],BD!A:AD,30,0),"")</f>
        <v/>
      </c>
      <c r="N152" s="23" t="str">
        <f ca="1">IF(SUMIF('Lançamento de Cabos'!B:B,Tabela4[[#This Row],[Cabo]],'Lançamento de Cabos'!C:C)=0,"",SUMIF('Lançamento de Cabos'!B:B,Tabela4[[#This Row],[Cabo]],'Lançamento de Cabos'!C:C))</f>
        <v/>
      </c>
      <c r="O152" s="28" t="str">
        <f ca="1">IFERROR(IF(Tabela4[[#This Row],[Compr. Lançado]]/Tabela4[[#This Row],[Compr. Prev.]]&gt;1,1,Tabela4[[#This Row],[Compr. Lançado]]/Tabela4[[#This Row],[Compr. Prev.]]),"")</f>
        <v/>
      </c>
      <c r="P152" s="24" t="str">
        <f ca="1">IFERROR(VLOOKUP(Tabela4[[#This Row],[Cabo]],BD!A:V,11,0),"")</f>
        <v/>
      </c>
      <c r="Q152" s="24" t="str">
        <f ca="1">IFERROR(VLOOKUP(Tabela4[[#This Row],[Cabo]],BD!A:V,12,0),"")</f>
        <v/>
      </c>
      <c r="R15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2" s="23" t="str">
        <f ca="1">IF(Tabela4[[#This Row],[Cabo]]&lt;&gt;"",4-COUNTIF(Tabela4[[#This Row],[Teste de Continuidade]:[Hipot]],"---"),"")</f>
        <v/>
      </c>
      <c r="W152" s="29" t="str">
        <f ca="1">IF(Tabela4[[#This Row],[Cabo]]&lt;&gt;"",(COUNTIF(Tabela4[[#This Row],[Teste de Continuidade]:[Hipot]],"OK"))/(4-COUNTIF(Tabela4[[#This Row],[Teste de Continuidade]:[Hipot]],"---")),"")</f>
        <v/>
      </c>
      <c r="X152" s="23" t="str">
        <f ca="1">IF(Tabela4[[#This Row],[Cabo]]&lt;&gt;"",SUMIFS('Lançamento de Cabos'!$AF:$AF,'Lançamento de Cabos'!AE:AE,Tabela4[[#This Row],[Cabo]],'Lançamento de Cabos'!AJ:AJ,Área!$B$1),"")</f>
        <v/>
      </c>
      <c r="Y152" s="23" t="str">
        <f ca="1">IF(Tabela4[[#This Row],[Cabo]]&lt;&gt;"",SUMIFS('Lançamento de Cabos'!$AG:$AG,'Lançamento de Cabos'!AE:AE,Tabela4[[#This Row],[Cabo]],'Lançamento de Cabos'!AJ:AJ,Área!$B$1),"")</f>
        <v/>
      </c>
      <c r="Z152" s="23" t="e">
        <f ca="1">VLOOKUP(Tabela4[[#This Row],[Cabo]],BD!A:AB,28,0)</f>
        <v>#N/A</v>
      </c>
    </row>
    <row r="153" spans="3:26" x14ac:dyDescent="0.25">
      <c r="C153" s="391" t="str">
        <f ca="1">IF($B$1="Geral",Tabela1[[#This Row],[Tag do Cabo]],IFERROR(INDEX(INDIRECT("BD!$A"&amp;D153&amp;":$A100000"),E153,1),""))</f>
        <v/>
      </c>
      <c r="D153" s="391" t="str">
        <f t="shared" ca="1" si="8"/>
        <v/>
      </c>
      <c r="E153" s="391" t="str">
        <f t="shared" ca="1" si="6"/>
        <v/>
      </c>
      <c r="F153" s="391" t="str">
        <f ca="1">IFERROR(VLOOKUP(Tabela4[[#This Row],[Cabo]],BD!A:V,2,0),"")</f>
        <v/>
      </c>
      <c r="G153" s="22" t="str">
        <f ca="1">IFERROR(VLOOKUP(Tabela4[[#This Row],[Cabo]],BD!A:V,5,0),"")</f>
        <v/>
      </c>
      <c r="H153" s="391" t="str">
        <f ca="1">IFERROR(VLOOKUP(Tabela4[[#This Row],[Cabo]],BD!A:V,3,0),"")</f>
        <v/>
      </c>
      <c r="I153" s="391" t="str">
        <f ca="1">IFERROR(VLOOKUP(Tabela4[[#This Row],[Cabo]],BD!A:V,4,0),"")</f>
        <v/>
      </c>
      <c r="J153" s="391" t="str">
        <f ca="1">IFERROR(VLOOKUP(Tabela4[[#This Row],[Cabo]],BD!A:V,7,0),"")</f>
        <v/>
      </c>
      <c r="K15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3" s="23" t="str">
        <f ca="1">IFERROR(VLOOKUP(Tabela4[[#This Row],[Cabo]],BD!A:V,9,0),"")</f>
        <v/>
      </c>
      <c r="M153" s="23" t="str">
        <f ca="1">IFERROR(VLOOKUP(Tabela4[[#This Row],[Cabo]],BD!A:AD,30,0),"")</f>
        <v/>
      </c>
      <c r="N153" s="23" t="str">
        <f ca="1">IF(SUMIF('Lançamento de Cabos'!B:B,Tabela4[[#This Row],[Cabo]],'Lançamento de Cabos'!C:C)=0,"",SUMIF('Lançamento de Cabos'!B:B,Tabela4[[#This Row],[Cabo]],'Lançamento de Cabos'!C:C))</f>
        <v/>
      </c>
      <c r="O153" s="28" t="str">
        <f ca="1">IFERROR(IF(Tabela4[[#This Row],[Compr. Lançado]]/Tabela4[[#This Row],[Compr. Prev.]]&gt;1,1,Tabela4[[#This Row],[Compr. Lançado]]/Tabela4[[#This Row],[Compr. Prev.]]),"")</f>
        <v/>
      </c>
      <c r="P153" s="24" t="str">
        <f ca="1">IFERROR(VLOOKUP(Tabela4[[#This Row],[Cabo]],BD!A:V,11,0),"")</f>
        <v/>
      </c>
      <c r="Q153" s="24" t="str">
        <f ca="1">IFERROR(VLOOKUP(Tabela4[[#This Row],[Cabo]],BD!A:V,12,0),"")</f>
        <v/>
      </c>
      <c r="R15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3" s="23" t="str">
        <f ca="1">IF(Tabela4[[#This Row],[Cabo]]&lt;&gt;"",4-COUNTIF(Tabela4[[#This Row],[Teste de Continuidade]:[Hipot]],"---"),"")</f>
        <v/>
      </c>
      <c r="W153" s="29" t="str">
        <f ca="1">IF(Tabela4[[#This Row],[Cabo]]&lt;&gt;"",(COUNTIF(Tabela4[[#This Row],[Teste de Continuidade]:[Hipot]],"OK"))/(4-COUNTIF(Tabela4[[#This Row],[Teste de Continuidade]:[Hipot]],"---")),"")</f>
        <v/>
      </c>
      <c r="X153" s="23" t="str">
        <f ca="1">IF(Tabela4[[#This Row],[Cabo]]&lt;&gt;"",SUMIFS('Lançamento de Cabos'!$AF:$AF,'Lançamento de Cabos'!AE:AE,Tabela4[[#This Row],[Cabo]],'Lançamento de Cabos'!AJ:AJ,Área!$B$1),"")</f>
        <v/>
      </c>
      <c r="Y153" s="23" t="str">
        <f ca="1">IF(Tabela4[[#This Row],[Cabo]]&lt;&gt;"",SUMIFS('Lançamento de Cabos'!$AG:$AG,'Lançamento de Cabos'!AE:AE,Tabela4[[#This Row],[Cabo]],'Lançamento de Cabos'!AJ:AJ,Área!$B$1),"")</f>
        <v/>
      </c>
      <c r="Z153" s="23" t="e">
        <f ca="1">VLOOKUP(Tabela4[[#This Row],[Cabo]],BD!A:AB,28,0)</f>
        <v>#N/A</v>
      </c>
    </row>
    <row r="154" spans="3:26" x14ac:dyDescent="0.25">
      <c r="C154" s="391" t="str">
        <f ca="1">IF($B$1="Geral",Tabela1[[#This Row],[Tag do Cabo]],IFERROR(INDEX(INDIRECT("BD!$A"&amp;D154&amp;":$A100000"),E154,1),""))</f>
        <v/>
      </c>
      <c r="D154" s="391" t="str">
        <f t="shared" ca="1" si="8"/>
        <v/>
      </c>
      <c r="E154" s="391" t="str">
        <f t="shared" ca="1" si="6"/>
        <v/>
      </c>
      <c r="F154" s="391" t="str">
        <f ca="1">IFERROR(VLOOKUP(Tabela4[[#This Row],[Cabo]],BD!A:V,2,0),"")</f>
        <v/>
      </c>
      <c r="G154" s="22" t="str">
        <f ca="1">IFERROR(VLOOKUP(Tabela4[[#This Row],[Cabo]],BD!A:V,5,0),"")</f>
        <v/>
      </c>
      <c r="H154" s="391" t="str">
        <f ca="1">IFERROR(VLOOKUP(Tabela4[[#This Row],[Cabo]],BD!A:V,3,0),"")</f>
        <v/>
      </c>
      <c r="I154" s="391" t="str">
        <f ca="1">IFERROR(VLOOKUP(Tabela4[[#This Row],[Cabo]],BD!A:V,4,0),"")</f>
        <v/>
      </c>
      <c r="J154" s="391" t="str">
        <f ca="1">IFERROR(VLOOKUP(Tabela4[[#This Row],[Cabo]],BD!A:V,7,0),"")</f>
        <v/>
      </c>
      <c r="K15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4" s="23" t="str">
        <f ca="1">IFERROR(VLOOKUP(Tabela4[[#This Row],[Cabo]],BD!A:V,9,0),"")</f>
        <v/>
      </c>
      <c r="M154" s="23" t="str">
        <f ca="1">IFERROR(VLOOKUP(Tabela4[[#This Row],[Cabo]],BD!A:AD,30,0),"")</f>
        <v/>
      </c>
      <c r="N154" s="23" t="str">
        <f ca="1">IF(SUMIF('Lançamento de Cabos'!B:B,Tabela4[[#This Row],[Cabo]],'Lançamento de Cabos'!C:C)=0,"",SUMIF('Lançamento de Cabos'!B:B,Tabela4[[#This Row],[Cabo]],'Lançamento de Cabos'!C:C))</f>
        <v/>
      </c>
      <c r="O154" s="28" t="str">
        <f ca="1">IFERROR(IF(Tabela4[[#This Row],[Compr. Lançado]]/Tabela4[[#This Row],[Compr. Prev.]]&gt;1,1,Tabela4[[#This Row],[Compr. Lançado]]/Tabela4[[#This Row],[Compr. Prev.]]),"")</f>
        <v/>
      </c>
      <c r="P154" s="24" t="str">
        <f ca="1">IFERROR(VLOOKUP(Tabela4[[#This Row],[Cabo]],BD!A:V,11,0),"")</f>
        <v/>
      </c>
      <c r="Q154" s="24" t="str">
        <f ca="1">IFERROR(VLOOKUP(Tabela4[[#This Row],[Cabo]],BD!A:V,12,0),"")</f>
        <v/>
      </c>
      <c r="R15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4" s="23" t="str">
        <f ca="1">IF(Tabela4[[#This Row],[Cabo]]&lt;&gt;"",4-COUNTIF(Tabela4[[#This Row],[Teste de Continuidade]:[Hipot]],"---"),"")</f>
        <v/>
      </c>
      <c r="W154" s="29" t="str">
        <f ca="1">IF(Tabela4[[#This Row],[Cabo]]&lt;&gt;"",(COUNTIF(Tabela4[[#This Row],[Teste de Continuidade]:[Hipot]],"OK"))/(4-COUNTIF(Tabela4[[#This Row],[Teste de Continuidade]:[Hipot]],"---")),"")</f>
        <v/>
      </c>
      <c r="X154" s="23" t="str">
        <f ca="1">IF(Tabela4[[#This Row],[Cabo]]&lt;&gt;"",SUMIFS('Lançamento de Cabos'!$AF:$AF,'Lançamento de Cabos'!AE:AE,Tabela4[[#This Row],[Cabo]],'Lançamento de Cabos'!AJ:AJ,Área!$B$1),"")</f>
        <v/>
      </c>
      <c r="Y154" s="23" t="str">
        <f ca="1">IF(Tabela4[[#This Row],[Cabo]]&lt;&gt;"",SUMIFS('Lançamento de Cabos'!$AG:$AG,'Lançamento de Cabos'!AE:AE,Tabela4[[#This Row],[Cabo]],'Lançamento de Cabos'!AJ:AJ,Área!$B$1),"")</f>
        <v/>
      </c>
      <c r="Z154" s="23" t="e">
        <f ca="1">VLOOKUP(Tabela4[[#This Row],[Cabo]],BD!A:AB,28,0)</f>
        <v>#N/A</v>
      </c>
    </row>
    <row r="155" spans="3:26" x14ac:dyDescent="0.25">
      <c r="C155" s="391" t="str">
        <f ca="1">IF($B$1="Geral",Tabela1[[#This Row],[Tag do Cabo]],IFERROR(INDEX(INDIRECT("BD!$A"&amp;D155&amp;":$A100000"),E155,1),""))</f>
        <v/>
      </c>
      <c r="D155" s="391" t="str">
        <f t="shared" ca="1" si="8"/>
        <v/>
      </c>
      <c r="E155" s="391" t="str">
        <f t="shared" ca="1" si="6"/>
        <v/>
      </c>
      <c r="F155" s="391" t="str">
        <f ca="1">IFERROR(VLOOKUP(Tabela4[[#This Row],[Cabo]],BD!A:V,2,0),"")</f>
        <v/>
      </c>
      <c r="G155" s="22" t="str">
        <f ca="1">IFERROR(VLOOKUP(Tabela4[[#This Row],[Cabo]],BD!A:V,5,0),"")</f>
        <v/>
      </c>
      <c r="H155" s="391" t="str">
        <f ca="1">IFERROR(VLOOKUP(Tabela4[[#This Row],[Cabo]],BD!A:V,3,0),"")</f>
        <v/>
      </c>
      <c r="I155" s="391" t="str">
        <f ca="1">IFERROR(VLOOKUP(Tabela4[[#This Row],[Cabo]],BD!A:V,4,0),"")</f>
        <v/>
      </c>
      <c r="J155" s="391" t="str">
        <f ca="1">IFERROR(VLOOKUP(Tabela4[[#This Row],[Cabo]],BD!A:V,7,0),"")</f>
        <v/>
      </c>
      <c r="K15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5" s="23" t="str">
        <f ca="1">IFERROR(VLOOKUP(Tabela4[[#This Row],[Cabo]],BD!A:V,9,0),"")</f>
        <v/>
      </c>
      <c r="M155" s="23" t="str">
        <f ca="1">IFERROR(VLOOKUP(Tabela4[[#This Row],[Cabo]],BD!A:AD,30,0),"")</f>
        <v/>
      </c>
      <c r="N155" s="23" t="str">
        <f ca="1">IF(SUMIF('Lançamento de Cabos'!B:B,Tabela4[[#This Row],[Cabo]],'Lançamento de Cabos'!C:C)=0,"",SUMIF('Lançamento de Cabos'!B:B,Tabela4[[#This Row],[Cabo]],'Lançamento de Cabos'!C:C))</f>
        <v/>
      </c>
      <c r="O155" s="28" t="str">
        <f ca="1">IFERROR(IF(Tabela4[[#This Row],[Compr. Lançado]]/Tabela4[[#This Row],[Compr. Prev.]]&gt;1,1,Tabela4[[#This Row],[Compr. Lançado]]/Tabela4[[#This Row],[Compr. Prev.]]),"")</f>
        <v/>
      </c>
      <c r="P155" s="24" t="str">
        <f ca="1">IFERROR(VLOOKUP(Tabela4[[#This Row],[Cabo]],BD!A:V,11,0),"")</f>
        <v/>
      </c>
      <c r="Q155" s="24" t="str">
        <f ca="1">IFERROR(VLOOKUP(Tabela4[[#This Row],[Cabo]],BD!A:V,12,0),"")</f>
        <v/>
      </c>
      <c r="R15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5" s="23" t="str">
        <f ca="1">IF(Tabela4[[#This Row],[Cabo]]&lt;&gt;"",4-COUNTIF(Tabela4[[#This Row],[Teste de Continuidade]:[Hipot]],"---"),"")</f>
        <v/>
      </c>
      <c r="W155" s="29" t="str">
        <f ca="1">IF(Tabela4[[#This Row],[Cabo]]&lt;&gt;"",(COUNTIF(Tabela4[[#This Row],[Teste de Continuidade]:[Hipot]],"OK"))/(4-COUNTIF(Tabela4[[#This Row],[Teste de Continuidade]:[Hipot]],"---")),"")</f>
        <v/>
      </c>
      <c r="X155" s="23" t="str">
        <f ca="1">IF(Tabela4[[#This Row],[Cabo]]&lt;&gt;"",SUMIFS('Lançamento de Cabos'!$AF:$AF,'Lançamento de Cabos'!AE:AE,Tabela4[[#This Row],[Cabo]],'Lançamento de Cabos'!AJ:AJ,Área!$B$1),"")</f>
        <v/>
      </c>
      <c r="Y155" s="23" t="str">
        <f ca="1">IF(Tabela4[[#This Row],[Cabo]]&lt;&gt;"",SUMIFS('Lançamento de Cabos'!$AG:$AG,'Lançamento de Cabos'!AE:AE,Tabela4[[#This Row],[Cabo]],'Lançamento de Cabos'!AJ:AJ,Área!$B$1),"")</f>
        <v/>
      </c>
      <c r="Z155" s="23" t="e">
        <f ca="1">VLOOKUP(Tabela4[[#This Row],[Cabo]],BD!A:AB,28,0)</f>
        <v>#N/A</v>
      </c>
    </row>
    <row r="156" spans="3:26" x14ac:dyDescent="0.25">
      <c r="C156" s="391" t="str">
        <f ca="1">IF($B$1="Geral",Tabela1[[#This Row],[Tag do Cabo]],IFERROR(INDEX(INDIRECT("BD!$A"&amp;D156&amp;":$A100000"),E156,1),""))</f>
        <v/>
      </c>
      <c r="D156" s="391" t="str">
        <f t="shared" ca="1" si="8"/>
        <v/>
      </c>
      <c r="E156" s="391" t="str">
        <f t="shared" ca="1" si="6"/>
        <v/>
      </c>
      <c r="F156" s="391" t="str">
        <f ca="1">IFERROR(VLOOKUP(Tabela4[[#This Row],[Cabo]],BD!A:V,2,0),"")</f>
        <v/>
      </c>
      <c r="G156" s="22" t="str">
        <f ca="1">IFERROR(VLOOKUP(Tabela4[[#This Row],[Cabo]],BD!A:V,5,0),"")</f>
        <v/>
      </c>
      <c r="H156" s="391" t="str">
        <f ca="1">IFERROR(VLOOKUP(Tabela4[[#This Row],[Cabo]],BD!A:V,3,0),"")</f>
        <v/>
      </c>
      <c r="I156" s="391" t="str">
        <f ca="1">IFERROR(VLOOKUP(Tabela4[[#This Row],[Cabo]],BD!A:V,4,0),"")</f>
        <v/>
      </c>
      <c r="J156" s="391" t="str">
        <f ca="1">IFERROR(VLOOKUP(Tabela4[[#This Row],[Cabo]],BD!A:V,7,0),"")</f>
        <v/>
      </c>
      <c r="K15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6" s="23" t="str">
        <f ca="1">IFERROR(VLOOKUP(Tabela4[[#This Row],[Cabo]],BD!A:V,9,0),"")</f>
        <v/>
      </c>
      <c r="M156" s="23" t="str">
        <f ca="1">IFERROR(VLOOKUP(Tabela4[[#This Row],[Cabo]],BD!A:AD,30,0),"")</f>
        <v/>
      </c>
      <c r="N156" s="23" t="str">
        <f ca="1">IF(SUMIF('Lançamento de Cabos'!B:B,Tabela4[[#This Row],[Cabo]],'Lançamento de Cabos'!C:C)=0,"",SUMIF('Lançamento de Cabos'!B:B,Tabela4[[#This Row],[Cabo]],'Lançamento de Cabos'!C:C))</f>
        <v/>
      </c>
      <c r="O156" s="28" t="str">
        <f ca="1">IFERROR(IF(Tabela4[[#This Row],[Compr. Lançado]]/Tabela4[[#This Row],[Compr. Prev.]]&gt;1,1,Tabela4[[#This Row],[Compr. Lançado]]/Tabela4[[#This Row],[Compr. Prev.]]),"")</f>
        <v/>
      </c>
      <c r="P156" s="24" t="str">
        <f ca="1">IFERROR(VLOOKUP(Tabela4[[#This Row],[Cabo]],BD!A:V,11,0),"")</f>
        <v/>
      </c>
      <c r="Q156" s="24" t="str">
        <f ca="1">IFERROR(VLOOKUP(Tabela4[[#This Row],[Cabo]],BD!A:V,12,0),"")</f>
        <v/>
      </c>
      <c r="R15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6" s="23" t="str">
        <f ca="1">IF(Tabela4[[#This Row],[Cabo]]&lt;&gt;"",4-COUNTIF(Tabela4[[#This Row],[Teste de Continuidade]:[Hipot]],"---"),"")</f>
        <v/>
      </c>
      <c r="W156" s="29" t="str">
        <f ca="1">IF(Tabela4[[#This Row],[Cabo]]&lt;&gt;"",(COUNTIF(Tabela4[[#This Row],[Teste de Continuidade]:[Hipot]],"OK"))/(4-COUNTIF(Tabela4[[#This Row],[Teste de Continuidade]:[Hipot]],"---")),"")</f>
        <v/>
      </c>
      <c r="X156" s="23" t="str">
        <f ca="1">IF(Tabela4[[#This Row],[Cabo]]&lt;&gt;"",SUMIFS('Lançamento de Cabos'!$AF:$AF,'Lançamento de Cabos'!AE:AE,Tabela4[[#This Row],[Cabo]],'Lançamento de Cabos'!AJ:AJ,Área!$B$1),"")</f>
        <v/>
      </c>
      <c r="Y156" s="23" t="str">
        <f ca="1">IF(Tabela4[[#This Row],[Cabo]]&lt;&gt;"",SUMIFS('Lançamento de Cabos'!$AG:$AG,'Lançamento de Cabos'!AE:AE,Tabela4[[#This Row],[Cabo]],'Lançamento de Cabos'!AJ:AJ,Área!$B$1),"")</f>
        <v/>
      </c>
      <c r="Z156" s="23" t="e">
        <f ca="1">VLOOKUP(Tabela4[[#This Row],[Cabo]],BD!A:AB,28,0)</f>
        <v>#N/A</v>
      </c>
    </row>
    <row r="157" spans="3:26" x14ac:dyDescent="0.25">
      <c r="C157" s="391" t="str">
        <f ca="1">IF($B$1="Geral",Tabela1[[#This Row],[Tag do Cabo]],IFERROR(INDEX(INDIRECT("BD!$A"&amp;D157&amp;":$A100000"),E157,1),""))</f>
        <v/>
      </c>
      <c r="D157" s="391" t="str">
        <f t="shared" ca="1" si="8"/>
        <v/>
      </c>
      <c r="E157" s="391" t="str">
        <f t="shared" ca="1" si="6"/>
        <v/>
      </c>
      <c r="F157" s="391" t="str">
        <f ca="1">IFERROR(VLOOKUP(Tabela4[[#This Row],[Cabo]],BD!A:V,2,0),"")</f>
        <v/>
      </c>
      <c r="G157" s="22" t="str">
        <f ca="1">IFERROR(VLOOKUP(Tabela4[[#This Row],[Cabo]],BD!A:V,5,0),"")</f>
        <v/>
      </c>
      <c r="H157" s="391" t="str">
        <f ca="1">IFERROR(VLOOKUP(Tabela4[[#This Row],[Cabo]],BD!A:V,3,0),"")</f>
        <v/>
      </c>
      <c r="I157" s="391" t="str">
        <f ca="1">IFERROR(VLOOKUP(Tabela4[[#This Row],[Cabo]],BD!A:V,4,0),"")</f>
        <v/>
      </c>
      <c r="J157" s="391" t="str">
        <f ca="1">IFERROR(VLOOKUP(Tabela4[[#This Row],[Cabo]],BD!A:V,7,0),"")</f>
        <v/>
      </c>
      <c r="K15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7" s="23" t="str">
        <f ca="1">IFERROR(VLOOKUP(Tabela4[[#This Row],[Cabo]],BD!A:V,9,0),"")</f>
        <v/>
      </c>
      <c r="M157" s="23" t="str">
        <f ca="1">IFERROR(VLOOKUP(Tabela4[[#This Row],[Cabo]],BD!A:AD,30,0),"")</f>
        <v/>
      </c>
      <c r="N157" s="23" t="str">
        <f ca="1">IF(SUMIF('Lançamento de Cabos'!B:B,Tabela4[[#This Row],[Cabo]],'Lançamento de Cabos'!C:C)=0,"",SUMIF('Lançamento de Cabos'!B:B,Tabela4[[#This Row],[Cabo]],'Lançamento de Cabos'!C:C))</f>
        <v/>
      </c>
      <c r="O157" s="28" t="str">
        <f ca="1">IFERROR(IF(Tabela4[[#This Row],[Compr. Lançado]]/Tabela4[[#This Row],[Compr. Prev.]]&gt;1,1,Tabela4[[#This Row],[Compr. Lançado]]/Tabela4[[#This Row],[Compr. Prev.]]),"")</f>
        <v/>
      </c>
      <c r="P157" s="24" t="str">
        <f ca="1">IFERROR(VLOOKUP(Tabela4[[#This Row],[Cabo]],BD!A:V,11,0),"")</f>
        <v/>
      </c>
      <c r="Q157" s="24" t="str">
        <f ca="1">IFERROR(VLOOKUP(Tabela4[[#This Row],[Cabo]],BD!A:V,12,0),"")</f>
        <v/>
      </c>
      <c r="R15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7" s="23" t="str">
        <f ca="1">IF(Tabela4[[#This Row],[Cabo]]&lt;&gt;"",4-COUNTIF(Tabela4[[#This Row],[Teste de Continuidade]:[Hipot]],"---"),"")</f>
        <v/>
      </c>
      <c r="W157" s="29" t="str">
        <f ca="1">IF(Tabela4[[#This Row],[Cabo]]&lt;&gt;"",(COUNTIF(Tabela4[[#This Row],[Teste de Continuidade]:[Hipot]],"OK"))/(4-COUNTIF(Tabela4[[#This Row],[Teste de Continuidade]:[Hipot]],"---")),"")</f>
        <v/>
      </c>
      <c r="X157" s="23" t="str">
        <f ca="1">IF(Tabela4[[#This Row],[Cabo]]&lt;&gt;"",SUMIFS('Lançamento de Cabos'!$AF:$AF,'Lançamento de Cabos'!AE:AE,Tabela4[[#This Row],[Cabo]],'Lançamento de Cabos'!AJ:AJ,Área!$B$1),"")</f>
        <v/>
      </c>
      <c r="Y157" s="23" t="str">
        <f ca="1">IF(Tabela4[[#This Row],[Cabo]]&lt;&gt;"",SUMIFS('Lançamento de Cabos'!$AG:$AG,'Lançamento de Cabos'!AE:AE,Tabela4[[#This Row],[Cabo]],'Lançamento de Cabos'!AJ:AJ,Área!$B$1),"")</f>
        <v/>
      </c>
      <c r="Z157" s="23" t="e">
        <f ca="1">VLOOKUP(Tabela4[[#This Row],[Cabo]],BD!A:AB,28,0)</f>
        <v>#N/A</v>
      </c>
    </row>
    <row r="158" spans="3:26" x14ac:dyDescent="0.25">
      <c r="C158" s="391" t="str">
        <f ca="1">IF($B$1="Geral",Tabela1[[#This Row],[Tag do Cabo]],IFERROR(INDEX(INDIRECT("BD!$A"&amp;D158&amp;":$A100000"),E158,1),""))</f>
        <v/>
      </c>
      <c r="D158" s="391" t="str">
        <f t="shared" ca="1" si="8"/>
        <v/>
      </c>
      <c r="E158" s="391" t="str">
        <f t="shared" ca="1" si="6"/>
        <v/>
      </c>
      <c r="F158" s="391" t="str">
        <f ca="1">IFERROR(VLOOKUP(Tabela4[[#This Row],[Cabo]],BD!A:V,2,0),"")</f>
        <v/>
      </c>
      <c r="G158" s="22" t="str">
        <f ca="1">IFERROR(VLOOKUP(Tabela4[[#This Row],[Cabo]],BD!A:V,5,0),"")</f>
        <v/>
      </c>
      <c r="H158" s="391" t="str">
        <f ca="1">IFERROR(VLOOKUP(Tabela4[[#This Row],[Cabo]],BD!A:V,3,0),"")</f>
        <v/>
      </c>
      <c r="I158" s="391" t="str">
        <f ca="1">IFERROR(VLOOKUP(Tabela4[[#This Row],[Cabo]],BD!A:V,4,0),"")</f>
        <v/>
      </c>
      <c r="J158" s="391" t="str">
        <f ca="1">IFERROR(VLOOKUP(Tabela4[[#This Row],[Cabo]],BD!A:V,7,0),"")</f>
        <v/>
      </c>
      <c r="K15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8" s="23" t="str">
        <f ca="1">IFERROR(VLOOKUP(Tabela4[[#This Row],[Cabo]],BD!A:V,9,0),"")</f>
        <v/>
      </c>
      <c r="M158" s="23" t="str">
        <f ca="1">IFERROR(VLOOKUP(Tabela4[[#This Row],[Cabo]],BD!A:AD,30,0),"")</f>
        <v/>
      </c>
      <c r="N158" s="23" t="str">
        <f ca="1">IF(SUMIF('Lançamento de Cabos'!B:B,Tabela4[[#This Row],[Cabo]],'Lançamento de Cabos'!C:C)=0,"",SUMIF('Lançamento de Cabos'!B:B,Tabela4[[#This Row],[Cabo]],'Lançamento de Cabos'!C:C))</f>
        <v/>
      </c>
      <c r="O158" s="28" t="str">
        <f ca="1">IFERROR(IF(Tabela4[[#This Row],[Compr. Lançado]]/Tabela4[[#This Row],[Compr. Prev.]]&gt;1,1,Tabela4[[#This Row],[Compr. Lançado]]/Tabela4[[#This Row],[Compr. Prev.]]),"")</f>
        <v/>
      </c>
      <c r="P158" s="24" t="str">
        <f ca="1">IFERROR(VLOOKUP(Tabela4[[#This Row],[Cabo]],BD!A:V,11,0),"")</f>
        <v/>
      </c>
      <c r="Q158" s="24" t="str">
        <f ca="1">IFERROR(VLOOKUP(Tabela4[[#This Row],[Cabo]],BD!A:V,12,0),"")</f>
        <v/>
      </c>
      <c r="R15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8" s="23" t="str">
        <f ca="1">IF(Tabela4[[#This Row],[Cabo]]&lt;&gt;"",4-COUNTIF(Tabela4[[#This Row],[Teste de Continuidade]:[Hipot]],"---"),"")</f>
        <v/>
      </c>
      <c r="W158" s="29" t="str">
        <f ca="1">IF(Tabela4[[#This Row],[Cabo]]&lt;&gt;"",(COUNTIF(Tabela4[[#This Row],[Teste de Continuidade]:[Hipot]],"OK"))/(4-COUNTIF(Tabela4[[#This Row],[Teste de Continuidade]:[Hipot]],"---")),"")</f>
        <v/>
      </c>
      <c r="X158" s="23" t="str">
        <f ca="1">IF(Tabela4[[#This Row],[Cabo]]&lt;&gt;"",SUMIFS('Lançamento de Cabos'!$AF:$AF,'Lançamento de Cabos'!AE:AE,Tabela4[[#This Row],[Cabo]],'Lançamento de Cabos'!AJ:AJ,Área!$B$1),"")</f>
        <v/>
      </c>
      <c r="Y158" s="23" t="str">
        <f ca="1">IF(Tabela4[[#This Row],[Cabo]]&lt;&gt;"",SUMIFS('Lançamento de Cabos'!$AG:$AG,'Lançamento de Cabos'!AE:AE,Tabela4[[#This Row],[Cabo]],'Lançamento de Cabos'!AJ:AJ,Área!$B$1),"")</f>
        <v/>
      </c>
      <c r="Z158" s="23" t="e">
        <f ca="1">VLOOKUP(Tabela4[[#This Row],[Cabo]],BD!A:AB,28,0)</f>
        <v>#N/A</v>
      </c>
    </row>
    <row r="159" spans="3:26" x14ac:dyDescent="0.25">
      <c r="C159" s="391" t="str">
        <f ca="1">IF($B$1="Geral",Tabela1[[#This Row],[Tag do Cabo]],IFERROR(INDEX(INDIRECT("BD!$A"&amp;D159&amp;":$A100000"),E159,1),""))</f>
        <v/>
      </c>
      <c r="D159" s="391" t="str">
        <f t="shared" ca="1" si="8"/>
        <v/>
      </c>
      <c r="E159" s="391" t="str">
        <f t="shared" ca="1" si="6"/>
        <v/>
      </c>
      <c r="F159" s="391" t="str">
        <f ca="1">IFERROR(VLOOKUP(Tabela4[[#This Row],[Cabo]],BD!A:V,2,0),"")</f>
        <v/>
      </c>
      <c r="G159" s="22" t="str">
        <f ca="1">IFERROR(VLOOKUP(Tabela4[[#This Row],[Cabo]],BD!A:V,5,0),"")</f>
        <v/>
      </c>
      <c r="H159" s="391" t="str">
        <f ca="1">IFERROR(VLOOKUP(Tabela4[[#This Row],[Cabo]],BD!A:V,3,0),"")</f>
        <v/>
      </c>
      <c r="I159" s="391" t="str">
        <f ca="1">IFERROR(VLOOKUP(Tabela4[[#This Row],[Cabo]],BD!A:V,4,0),"")</f>
        <v/>
      </c>
      <c r="J159" s="391" t="str">
        <f ca="1">IFERROR(VLOOKUP(Tabela4[[#This Row],[Cabo]],BD!A:V,7,0),"")</f>
        <v/>
      </c>
      <c r="K15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59" s="23" t="str">
        <f ca="1">IFERROR(VLOOKUP(Tabela4[[#This Row],[Cabo]],BD!A:V,9,0),"")</f>
        <v/>
      </c>
      <c r="M159" s="23" t="str">
        <f ca="1">IFERROR(VLOOKUP(Tabela4[[#This Row],[Cabo]],BD!A:AD,30,0),"")</f>
        <v/>
      </c>
      <c r="N159" s="23" t="str">
        <f ca="1">IF(SUMIF('Lançamento de Cabos'!B:B,Tabela4[[#This Row],[Cabo]],'Lançamento de Cabos'!C:C)=0,"",SUMIF('Lançamento de Cabos'!B:B,Tabela4[[#This Row],[Cabo]],'Lançamento de Cabos'!C:C))</f>
        <v/>
      </c>
      <c r="O159" s="28" t="str">
        <f ca="1">IFERROR(IF(Tabela4[[#This Row],[Compr. Lançado]]/Tabela4[[#This Row],[Compr. Prev.]]&gt;1,1,Tabela4[[#This Row],[Compr. Lançado]]/Tabela4[[#This Row],[Compr. Prev.]]),"")</f>
        <v/>
      </c>
      <c r="P159" s="24" t="str">
        <f ca="1">IFERROR(VLOOKUP(Tabela4[[#This Row],[Cabo]],BD!A:V,11,0),"")</f>
        <v/>
      </c>
      <c r="Q159" s="24" t="str">
        <f ca="1">IFERROR(VLOOKUP(Tabela4[[#This Row],[Cabo]],BD!A:V,12,0),"")</f>
        <v/>
      </c>
      <c r="R15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5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5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5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59" s="23" t="str">
        <f ca="1">IF(Tabela4[[#This Row],[Cabo]]&lt;&gt;"",4-COUNTIF(Tabela4[[#This Row],[Teste de Continuidade]:[Hipot]],"---"),"")</f>
        <v/>
      </c>
      <c r="W159" s="29" t="str">
        <f ca="1">IF(Tabela4[[#This Row],[Cabo]]&lt;&gt;"",(COUNTIF(Tabela4[[#This Row],[Teste de Continuidade]:[Hipot]],"OK"))/(4-COUNTIF(Tabela4[[#This Row],[Teste de Continuidade]:[Hipot]],"---")),"")</f>
        <v/>
      </c>
      <c r="X159" s="23" t="str">
        <f ca="1">IF(Tabela4[[#This Row],[Cabo]]&lt;&gt;"",SUMIFS('Lançamento de Cabos'!$AF:$AF,'Lançamento de Cabos'!AE:AE,Tabela4[[#This Row],[Cabo]],'Lançamento de Cabos'!AJ:AJ,Área!$B$1),"")</f>
        <v/>
      </c>
      <c r="Y159" s="23" t="str">
        <f ca="1">IF(Tabela4[[#This Row],[Cabo]]&lt;&gt;"",SUMIFS('Lançamento de Cabos'!$AG:$AG,'Lançamento de Cabos'!AE:AE,Tabela4[[#This Row],[Cabo]],'Lançamento de Cabos'!AJ:AJ,Área!$B$1),"")</f>
        <v/>
      </c>
      <c r="Z159" s="23" t="e">
        <f ca="1">VLOOKUP(Tabela4[[#This Row],[Cabo]],BD!A:AB,28,0)</f>
        <v>#N/A</v>
      </c>
    </row>
    <row r="160" spans="3:26" x14ac:dyDescent="0.25">
      <c r="C160" s="391" t="str">
        <f ca="1">IF($B$1="Geral",Tabela1[[#This Row],[Tag do Cabo]],IFERROR(INDEX(INDIRECT("BD!$A"&amp;D160&amp;":$A100000"),E160,1),""))</f>
        <v/>
      </c>
      <c r="D160" s="391" t="str">
        <f t="shared" ca="1" si="8"/>
        <v/>
      </c>
      <c r="E160" s="391" t="str">
        <f t="shared" ca="1" si="6"/>
        <v/>
      </c>
      <c r="F160" s="391" t="str">
        <f ca="1">IFERROR(VLOOKUP(Tabela4[[#This Row],[Cabo]],BD!A:V,2,0),"")</f>
        <v/>
      </c>
      <c r="G160" s="22" t="str">
        <f ca="1">IFERROR(VLOOKUP(Tabela4[[#This Row],[Cabo]],BD!A:V,5,0),"")</f>
        <v/>
      </c>
      <c r="H160" s="391" t="str">
        <f ca="1">IFERROR(VLOOKUP(Tabela4[[#This Row],[Cabo]],BD!A:V,3,0),"")</f>
        <v/>
      </c>
      <c r="I160" s="391" t="str">
        <f ca="1">IFERROR(VLOOKUP(Tabela4[[#This Row],[Cabo]],BD!A:V,4,0),"")</f>
        <v/>
      </c>
      <c r="J160" s="391" t="str">
        <f ca="1">IFERROR(VLOOKUP(Tabela4[[#This Row],[Cabo]],BD!A:V,7,0),"")</f>
        <v/>
      </c>
      <c r="K16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0" s="23" t="str">
        <f ca="1">IFERROR(VLOOKUP(Tabela4[[#This Row],[Cabo]],BD!A:V,9,0),"")</f>
        <v/>
      </c>
      <c r="M160" s="23" t="str">
        <f ca="1">IFERROR(VLOOKUP(Tabela4[[#This Row],[Cabo]],BD!A:AD,30,0),"")</f>
        <v/>
      </c>
      <c r="N160" s="23" t="str">
        <f ca="1">IF(SUMIF('Lançamento de Cabos'!B:B,Tabela4[[#This Row],[Cabo]],'Lançamento de Cabos'!C:C)=0,"",SUMIF('Lançamento de Cabos'!B:B,Tabela4[[#This Row],[Cabo]],'Lançamento de Cabos'!C:C))</f>
        <v/>
      </c>
      <c r="O160" s="28" t="str">
        <f ca="1">IFERROR(IF(Tabela4[[#This Row],[Compr. Lançado]]/Tabela4[[#This Row],[Compr. Prev.]]&gt;1,1,Tabela4[[#This Row],[Compr. Lançado]]/Tabela4[[#This Row],[Compr. Prev.]]),"")</f>
        <v/>
      </c>
      <c r="P160" s="24" t="str">
        <f ca="1">IFERROR(VLOOKUP(Tabela4[[#This Row],[Cabo]],BD!A:V,11,0),"")</f>
        <v/>
      </c>
      <c r="Q160" s="24" t="str">
        <f ca="1">IFERROR(VLOOKUP(Tabela4[[#This Row],[Cabo]],BD!A:V,12,0),"")</f>
        <v/>
      </c>
      <c r="R16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0" s="23" t="str">
        <f ca="1">IF(Tabela4[[#This Row],[Cabo]]&lt;&gt;"",4-COUNTIF(Tabela4[[#This Row],[Teste de Continuidade]:[Hipot]],"---"),"")</f>
        <v/>
      </c>
      <c r="W160" s="29" t="str">
        <f ca="1">IF(Tabela4[[#This Row],[Cabo]]&lt;&gt;"",(COUNTIF(Tabela4[[#This Row],[Teste de Continuidade]:[Hipot]],"OK"))/(4-COUNTIF(Tabela4[[#This Row],[Teste de Continuidade]:[Hipot]],"---")),"")</f>
        <v/>
      </c>
      <c r="X160" s="23" t="str">
        <f ca="1">IF(Tabela4[[#This Row],[Cabo]]&lt;&gt;"",SUMIFS('Lançamento de Cabos'!$AF:$AF,'Lançamento de Cabos'!AE:AE,Tabela4[[#This Row],[Cabo]],'Lançamento de Cabos'!AJ:AJ,Área!$B$1),"")</f>
        <v/>
      </c>
      <c r="Y160" s="23" t="str">
        <f ca="1">IF(Tabela4[[#This Row],[Cabo]]&lt;&gt;"",SUMIFS('Lançamento de Cabos'!$AG:$AG,'Lançamento de Cabos'!AE:AE,Tabela4[[#This Row],[Cabo]],'Lançamento de Cabos'!AJ:AJ,Área!$B$1),"")</f>
        <v/>
      </c>
      <c r="Z160" s="23" t="e">
        <f ca="1">VLOOKUP(Tabela4[[#This Row],[Cabo]],BD!A:AB,28,0)</f>
        <v>#N/A</v>
      </c>
    </row>
    <row r="161" spans="3:26" x14ac:dyDescent="0.25">
      <c r="C161" s="391" t="str">
        <f ca="1">IF($B$1="Geral",Tabela1[[#This Row],[Tag do Cabo]],IFERROR(INDEX(INDIRECT("BD!$A"&amp;D161&amp;":$A100000"),E161,1),""))</f>
        <v/>
      </c>
      <c r="D161" s="391" t="str">
        <f t="shared" ca="1" si="8"/>
        <v/>
      </c>
      <c r="E161" s="391" t="str">
        <f t="shared" ca="1" si="6"/>
        <v/>
      </c>
      <c r="F161" s="391" t="str">
        <f ca="1">IFERROR(VLOOKUP(Tabela4[[#This Row],[Cabo]],BD!A:V,2,0),"")</f>
        <v/>
      </c>
      <c r="G161" s="22" t="str">
        <f ca="1">IFERROR(VLOOKUP(Tabela4[[#This Row],[Cabo]],BD!A:V,5,0),"")</f>
        <v/>
      </c>
      <c r="H161" s="391" t="str">
        <f ca="1">IFERROR(VLOOKUP(Tabela4[[#This Row],[Cabo]],BD!A:V,3,0),"")</f>
        <v/>
      </c>
      <c r="I161" s="391" t="str">
        <f ca="1">IFERROR(VLOOKUP(Tabela4[[#This Row],[Cabo]],BD!A:V,4,0),"")</f>
        <v/>
      </c>
      <c r="J161" s="391" t="str">
        <f ca="1">IFERROR(VLOOKUP(Tabela4[[#This Row],[Cabo]],BD!A:V,7,0),"")</f>
        <v/>
      </c>
      <c r="K161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1" s="23" t="str">
        <f ca="1">IFERROR(VLOOKUP(Tabela4[[#This Row],[Cabo]],BD!A:V,9,0),"")</f>
        <v/>
      </c>
      <c r="M161" s="23" t="str">
        <f ca="1">IFERROR(VLOOKUP(Tabela4[[#This Row],[Cabo]],BD!A:AD,30,0),"")</f>
        <v/>
      </c>
      <c r="N161" s="23" t="str">
        <f ca="1">IF(SUMIF('Lançamento de Cabos'!B:B,Tabela4[[#This Row],[Cabo]],'Lançamento de Cabos'!C:C)=0,"",SUMIF('Lançamento de Cabos'!B:B,Tabela4[[#This Row],[Cabo]],'Lançamento de Cabos'!C:C))</f>
        <v/>
      </c>
      <c r="O161" s="28" t="str">
        <f ca="1">IFERROR(IF(Tabela4[[#This Row],[Compr. Lançado]]/Tabela4[[#This Row],[Compr. Prev.]]&gt;1,1,Tabela4[[#This Row],[Compr. Lançado]]/Tabela4[[#This Row],[Compr. Prev.]]),"")</f>
        <v/>
      </c>
      <c r="P161" s="24" t="str">
        <f ca="1">IFERROR(VLOOKUP(Tabela4[[#This Row],[Cabo]],BD!A:V,11,0),"")</f>
        <v/>
      </c>
      <c r="Q161" s="24" t="str">
        <f ca="1">IFERROR(VLOOKUP(Tabela4[[#This Row],[Cabo]],BD!A:V,12,0),"")</f>
        <v/>
      </c>
      <c r="R16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1" s="23" t="str">
        <f ca="1">IF(Tabela4[[#This Row],[Cabo]]&lt;&gt;"",4-COUNTIF(Tabela4[[#This Row],[Teste de Continuidade]:[Hipot]],"---"),"")</f>
        <v/>
      </c>
      <c r="W161" s="29" t="str">
        <f ca="1">IF(Tabela4[[#This Row],[Cabo]]&lt;&gt;"",(COUNTIF(Tabela4[[#This Row],[Teste de Continuidade]:[Hipot]],"OK"))/(4-COUNTIF(Tabela4[[#This Row],[Teste de Continuidade]:[Hipot]],"---")),"")</f>
        <v/>
      </c>
      <c r="X161" s="23" t="str">
        <f ca="1">IF(Tabela4[[#This Row],[Cabo]]&lt;&gt;"",SUMIFS('Lançamento de Cabos'!$AF:$AF,'Lançamento de Cabos'!AE:AE,Tabela4[[#This Row],[Cabo]],'Lançamento de Cabos'!AJ:AJ,Área!$B$1),"")</f>
        <v/>
      </c>
      <c r="Y161" s="23" t="str">
        <f ca="1">IF(Tabela4[[#This Row],[Cabo]]&lt;&gt;"",SUMIFS('Lançamento de Cabos'!$AG:$AG,'Lançamento de Cabos'!AE:AE,Tabela4[[#This Row],[Cabo]],'Lançamento de Cabos'!AJ:AJ,Área!$B$1),"")</f>
        <v/>
      </c>
      <c r="Z161" s="23" t="e">
        <f ca="1">VLOOKUP(Tabela4[[#This Row],[Cabo]],BD!A:AB,28,0)</f>
        <v>#N/A</v>
      </c>
    </row>
    <row r="162" spans="3:26" x14ac:dyDescent="0.25">
      <c r="C162" s="391" t="str">
        <f ca="1">IF($B$1="Geral",Tabela1[[#This Row],[Tag do Cabo]],IFERROR(INDEX(INDIRECT("BD!$A"&amp;D162&amp;":$A100000"),E162,1),""))</f>
        <v/>
      </c>
      <c r="D162" s="391" t="str">
        <f t="shared" ca="1" si="8"/>
        <v/>
      </c>
      <c r="E162" s="391" t="str">
        <f t="shared" ref="E162:E170" ca="1" si="9">IFERROR(MATCH($B$1,INDIRECT("BD!$J"&amp;D162&amp;":$J100000"),0),"")</f>
        <v/>
      </c>
      <c r="F162" s="391" t="str">
        <f ca="1">IFERROR(VLOOKUP(Tabela4[[#This Row],[Cabo]],BD!A:V,2,0),"")</f>
        <v/>
      </c>
      <c r="G162" s="22" t="str">
        <f ca="1">IFERROR(VLOOKUP(Tabela4[[#This Row],[Cabo]],BD!A:V,5,0),"")</f>
        <v/>
      </c>
      <c r="H162" s="391" t="str">
        <f ca="1">IFERROR(VLOOKUP(Tabela4[[#This Row],[Cabo]],BD!A:V,3,0),"")</f>
        <v/>
      </c>
      <c r="I162" s="391" t="str">
        <f ca="1">IFERROR(VLOOKUP(Tabela4[[#This Row],[Cabo]],BD!A:V,4,0),"")</f>
        <v/>
      </c>
      <c r="J162" s="391" t="str">
        <f ca="1">IFERROR(VLOOKUP(Tabela4[[#This Row],[Cabo]],BD!A:V,7,0),"")</f>
        <v/>
      </c>
      <c r="K162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2" s="23" t="str">
        <f ca="1">IFERROR(VLOOKUP(Tabela4[[#This Row],[Cabo]],BD!A:V,9,0),"")</f>
        <v/>
      </c>
      <c r="M162" s="23" t="str">
        <f ca="1">IFERROR(VLOOKUP(Tabela4[[#This Row],[Cabo]],BD!A:AD,30,0),"")</f>
        <v/>
      </c>
      <c r="N162" s="23" t="str">
        <f ca="1">IF(SUMIF('Lançamento de Cabos'!B:B,Tabela4[[#This Row],[Cabo]],'Lançamento de Cabos'!C:C)=0,"",SUMIF('Lançamento de Cabos'!B:B,Tabela4[[#This Row],[Cabo]],'Lançamento de Cabos'!C:C))</f>
        <v/>
      </c>
      <c r="O162" s="28" t="str">
        <f ca="1">IFERROR(IF(Tabela4[[#This Row],[Compr. Lançado]]/Tabela4[[#This Row],[Compr. Prev.]]&gt;1,1,Tabela4[[#This Row],[Compr. Lançado]]/Tabela4[[#This Row],[Compr. Prev.]]),"")</f>
        <v/>
      </c>
      <c r="P162" s="24" t="str">
        <f ca="1">IFERROR(VLOOKUP(Tabela4[[#This Row],[Cabo]],BD!A:V,11,0),"")</f>
        <v/>
      </c>
      <c r="Q162" s="24" t="str">
        <f ca="1">IFERROR(VLOOKUP(Tabela4[[#This Row],[Cabo]],BD!A:V,12,0),"")</f>
        <v/>
      </c>
      <c r="R16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2" s="23" t="str">
        <f ca="1">IF(Tabela4[[#This Row],[Cabo]]&lt;&gt;"",4-COUNTIF(Tabela4[[#This Row],[Teste de Continuidade]:[Hipot]],"---"),"")</f>
        <v/>
      </c>
      <c r="W162" s="29" t="str">
        <f ca="1">IF(Tabela4[[#This Row],[Cabo]]&lt;&gt;"",(COUNTIF(Tabela4[[#This Row],[Teste de Continuidade]:[Hipot]],"OK"))/(4-COUNTIF(Tabela4[[#This Row],[Teste de Continuidade]:[Hipot]],"---")),"")</f>
        <v/>
      </c>
      <c r="X162" s="23" t="str">
        <f ca="1">IF(Tabela4[[#This Row],[Cabo]]&lt;&gt;"",SUMIFS('Lançamento de Cabos'!$AF:$AF,'Lançamento de Cabos'!AE:AE,Tabela4[[#This Row],[Cabo]],'Lançamento de Cabos'!AJ:AJ,Área!$B$1),"")</f>
        <v/>
      </c>
      <c r="Y162" s="23" t="str">
        <f ca="1">IF(Tabela4[[#This Row],[Cabo]]&lt;&gt;"",SUMIFS('Lançamento de Cabos'!$AG:$AG,'Lançamento de Cabos'!AE:AE,Tabela4[[#This Row],[Cabo]],'Lançamento de Cabos'!AJ:AJ,Área!$B$1),"")</f>
        <v/>
      </c>
      <c r="Z162" s="23" t="e">
        <f ca="1">VLOOKUP(Tabela4[[#This Row],[Cabo]],BD!A:AB,28,0)</f>
        <v>#N/A</v>
      </c>
    </row>
    <row r="163" spans="3:26" x14ac:dyDescent="0.25">
      <c r="C163" s="391" t="str">
        <f ca="1">IF($B$1="Geral",Tabela1[[#This Row],[Tag do Cabo]],IFERROR(INDEX(INDIRECT("BD!$A"&amp;D163&amp;":$A100000"),E163,1),""))</f>
        <v/>
      </c>
      <c r="D163" s="391" t="str">
        <f t="shared" ca="1" si="8"/>
        <v/>
      </c>
      <c r="E163" s="391" t="str">
        <f t="shared" ca="1" si="9"/>
        <v/>
      </c>
      <c r="F163" s="391" t="str">
        <f ca="1">IFERROR(VLOOKUP(Tabela4[[#This Row],[Cabo]],BD!A:V,2,0),"")</f>
        <v/>
      </c>
      <c r="G163" s="22" t="str">
        <f ca="1">IFERROR(VLOOKUP(Tabela4[[#This Row],[Cabo]],BD!A:V,5,0),"")</f>
        <v/>
      </c>
      <c r="H163" s="391" t="str">
        <f ca="1">IFERROR(VLOOKUP(Tabela4[[#This Row],[Cabo]],BD!A:V,3,0),"")</f>
        <v/>
      </c>
      <c r="I163" s="391" t="str">
        <f ca="1">IFERROR(VLOOKUP(Tabela4[[#This Row],[Cabo]],BD!A:V,4,0),"")</f>
        <v/>
      </c>
      <c r="J163" s="391" t="str">
        <f ca="1">IFERROR(VLOOKUP(Tabela4[[#This Row],[Cabo]],BD!A:V,7,0),"")</f>
        <v/>
      </c>
      <c r="K163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3" s="23" t="str">
        <f ca="1">IFERROR(VLOOKUP(Tabela4[[#This Row],[Cabo]],BD!A:V,9,0),"")</f>
        <v/>
      </c>
      <c r="M163" s="23" t="str">
        <f ca="1">IFERROR(VLOOKUP(Tabela4[[#This Row],[Cabo]],BD!A:AD,30,0),"")</f>
        <v/>
      </c>
      <c r="N163" s="23" t="str">
        <f ca="1">IF(SUMIF('Lançamento de Cabos'!B:B,Tabela4[[#This Row],[Cabo]],'Lançamento de Cabos'!C:C)=0,"",SUMIF('Lançamento de Cabos'!B:B,Tabela4[[#This Row],[Cabo]],'Lançamento de Cabos'!C:C))</f>
        <v/>
      </c>
      <c r="O163" s="28" t="str">
        <f ca="1">IFERROR(IF(Tabela4[[#This Row],[Compr. Lançado]]/Tabela4[[#This Row],[Compr. Prev.]]&gt;1,1,Tabela4[[#This Row],[Compr. Lançado]]/Tabela4[[#This Row],[Compr. Prev.]]),"")</f>
        <v/>
      </c>
      <c r="P163" s="24" t="str">
        <f ca="1">IFERROR(VLOOKUP(Tabela4[[#This Row],[Cabo]],BD!A:V,11,0),"")</f>
        <v/>
      </c>
      <c r="Q163" s="24" t="str">
        <f ca="1">IFERROR(VLOOKUP(Tabela4[[#This Row],[Cabo]],BD!A:V,12,0),"")</f>
        <v/>
      </c>
      <c r="R16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3" s="23" t="str">
        <f ca="1">IF(Tabela4[[#This Row],[Cabo]]&lt;&gt;"",4-COUNTIF(Tabela4[[#This Row],[Teste de Continuidade]:[Hipot]],"---"),"")</f>
        <v/>
      </c>
      <c r="W163" s="29" t="str">
        <f ca="1">IF(Tabela4[[#This Row],[Cabo]]&lt;&gt;"",(COUNTIF(Tabela4[[#This Row],[Teste de Continuidade]:[Hipot]],"OK"))/(4-COUNTIF(Tabela4[[#This Row],[Teste de Continuidade]:[Hipot]],"---")),"")</f>
        <v/>
      </c>
      <c r="X163" s="23" t="str">
        <f ca="1">IF(Tabela4[[#This Row],[Cabo]]&lt;&gt;"",SUMIFS('Lançamento de Cabos'!$AF:$AF,'Lançamento de Cabos'!AE:AE,Tabela4[[#This Row],[Cabo]],'Lançamento de Cabos'!AJ:AJ,Área!$B$1),"")</f>
        <v/>
      </c>
      <c r="Y163" s="23" t="str">
        <f ca="1">IF(Tabela4[[#This Row],[Cabo]]&lt;&gt;"",SUMIFS('Lançamento de Cabos'!$AG:$AG,'Lançamento de Cabos'!AE:AE,Tabela4[[#This Row],[Cabo]],'Lançamento de Cabos'!AJ:AJ,Área!$B$1),"")</f>
        <v/>
      </c>
      <c r="Z163" s="23" t="e">
        <f ca="1">VLOOKUP(Tabela4[[#This Row],[Cabo]],BD!A:AB,28,0)</f>
        <v>#N/A</v>
      </c>
    </row>
    <row r="164" spans="3:26" x14ac:dyDescent="0.25">
      <c r="C164" s="391" t="str">
        <f ca="1">IF($B$1="Geral",Tabela1[[#This Row],[Tag do Cabo]],IFERROR(INDEX(INDIRECT("BD!$A"&amp;D164&amp;":$A100000"),E164,1),""))</f>
        <v/>
      </c>
      <c r="D164" s="391" t="str">
        <f t="shared" ca="1" si="8"/>
        <v/>
      </c>
      <c r="E164" s="391" t="str">
        <f t="shared" ca="1" si="9"/>
        <v/>
      </c>
      <c r="F164" s="391" t="str">
        <f ca="1">IFERROR(VLOOKUP(Tabela4[[#This Row],[Cabo]],BD!A:V,2,0),"")</f>
        <v/>
      </c>
      <c r="G164" s="22" t="str">
        <f ca="1">IFERROR(VLOOKUP(Tabela4[[#This Row],[Cabo]],BD!A:V,5,0),"")</f>
        <v/>
      </c>
      <c r="H164" s="391" t="str">
        <f ca="1">IFERROR(VLOOKUP(Tabela4[[#This Row],[Cabo]],BD!A:V,3,0),"")</f>
        <v/>
      </c>
      <c r="I164" s="391" t="str">
        <f ca="1">IFERROR(VLOOKUP(Tabela4[[#This Row],[Cabo]],BD!A:V,4,0),"")</f>
        <v/>
      </c>
      <c r="J164" s="391" t="str">
        <f ca="1">IFERROR(VLOOKUP(Tabela4[[#This Row],[Cabo]],BD!A:V,7,0),"")</f>
        <v/>
      </c>
      <c r="K164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4" s="23" t="str">
        <f ca="1">IFERROR(VLOOKUP(Tabela4[[#This Row],[Cabo]],BD!A:V,9,0),"")</f>
        <v/>
      </c>
      <c r="M164" s="23" t="str">
        <f ca="1">IFERROR(VLOOKUP(Tabela4[[#This Row],[Cabo]],BD!A:AD,30,0),"")</f>
        <v/>
      </c>
      <c r="N164" s="23" t="str">
        <f ca="1">IF(SUMIF('Lançamento de Cabos'!B:B,Tabela4[[#This Row],[Cabo]],'Lançamento de Cabos'!C:C)=0,"",SUMIF('Lançamento de Cabos'!B:B,Tabela4[[#This Row],[Cabo]],'Lançamento de Cabos'!C:C))</f>
        <v/>
      </c>
      <c r="O164" s="28" t="str">
        <f ca="1">IFERROR(IF(Tabela4[[#This Row],[Compr. Lançado]]/Tabela4[[#This Row],[Compr. Prev.]]&gt;1,1,Tabela4[[#This Row],[Compr. Lançado]]/Tabela4[[#This Row],[Compr. Prev.]]),"")</f>
        <v/>
      </c>
      <c r="P164" s="24" t="str">
        <f ca="1">IFERROR(VLOOKUP(Tabela4[[#This Row],[Cabo]],BD!A:V,11,0),"")</f>
        <v/>
      </c>
      <c r="Q164" s="24" t="str">
        <f ca="1">IFERROR(VLOOKUP(Tabela4[[#This Row],[Cabo]],BD!A:V,12,0),"")</f>
        <v/>
      </c>
      <c r="R16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4" s="23" t="str">
        <f ca="1">IF(Tabela4[[#This Row],[Cabo]]&lt;&gt;"",4-COUNTIF(Tabela4[[#This Row],[Teste de Continuidade]:[Hipot]],"---"),"")</f>
        <v/>
      </c>
      <c r="W164" s="29" t="str">
        <f ca="1">IF(Tabela4[[#This Row],[Cabo]]&lt;&gt;"",(COUNTIF(Tabela4[[#This Row],[Teste de Continuidade]:[Hipot]],"OK"))/(4-COUNTIF(Tabela4[[#This Row],[Teste de Continuidade]:[Hipot]],"---")),"")</f>
        <v/>
      </c>
      <c r="X164" s="23" t="str">
        <f ca="1">IF(Tabela4[[#This Row],[Cabo]]&lt;&gt;"",SUMIFS('Lançamento de Cabos'!$AF:$AF,'Lançamento de Cabos'!AE:AE,Tabela4[[#This Row],[Cabo]],'Lançamento de Cabos'!AJ:AJ,Área!$B$1),"")</f>
        <v/>
      </c>
      <c r="Y164" s="23" t="str">
        <f ca="1">IF(Tabela4[[#This Row],[Cabo]]&lt;&gt;"",SUMIFS('Lançamento de Cabos'!$AG:$AG,'Lançamento de Cabos'!AE:AE,Tabela4[[#This Row],[Cabo]],'Lançamento de Cabos'!AJ:AJ,Área!$B$1),"")</f>
        <v/>
      </c>
      <c r="Z164" s="23" t="e">
        <f ca="1">VLOOKUP(Tabela4[[#This Row],[Cabo]],BD!A:AB,28,0)</f>
        <v>#N/A</v>
      </c>
    </row>
    <row r="165" spans="3:26" x14ac:dyDescent="0.25">
      <c r="C165" s="391" t="str">
        <f ca="1">IF($B$1="Geral",Tabela1[[#This Row],[Tag do Cabo]],IFERROR(INDEX(INDIRECT("BD!$A"&amp;D165&amp;":$A100000"),E165,1),""))</f>
        <v/>
      </c>
      <c r="D165" s="391" t="str">
        <f t="shared" ca="1" si="8"/>
        <v/>
      </c>
      <c r="E165" s="391" t="str">
        <f t="shared" ca="1" si="9"/>
        <v/>
      </c>
      <c r="F165" s="391" t="str">
        <f ca="1">IFERROR(VLOOKUP(Tabela4[[#This Row],[Cabo]],BD!A:V,2,0),"")</f>
        <v/>
      </c>
      <c r="G165" s="22" t="str">
        <f ca="1">IFERROR(VLOOKUP(Tabela4[[#This Row],[Cabo]],BD!A:V,5,0),"")</f>
        <v/>
      </c>
      <c r="H165" s="391" t="str">
        <f ca="1">IFERROR(VLOOKUP(Tabela4[[#This Row],[Cabo]],BD!A:V,3,0),"")</f>
        <v/>
      </c>
      <c r="I165" s="391" t="str">
        <f ca="1">IFERROR(VLOOKUP(Tabela4[[#This Row],[Cabo]],BD!A:V,4,0),"")</f>
        <v/>
      </c>
      <c r="J165" s="391" t="str">
        <f ca="1">IFERROR(VLOOKUP(Tabela4[[#This Row],[Cabo]],BD!A:V,7,0),"")</f>
        <v/>
      </c>
      <c r="K165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5" s="23" t="str">
        <f ca="1">IFERROR(VLOOKUP(Tabela4[[#This Row],[Cabo]],BD!A:V,9,0),"")</f>
        <v/>
      </c>
      <c r="M165" s="23" t="str">
        <f ca="1">IFERROR(VLOOKUP(Tabela4[[#This Row],[Cabo]],BD!A:AD,30,0),"")</f>
        <v/>
      </c>
      <c r="N165" s="23" t="str">
        <f ca="1">IF(SUMIF('Lançamento de Cabos'!B:B,Tabela4[[#This Row],[Cabo]],'Lançamento de Cabos'!C:C)=0,"",SUMIF('Lançamento de Cabos'!B:B,Tabela4[[#This Row],[Cabo]],'Lançamento de Cabos'!C:C))</f>
        <v/>
      </c>
      <c r="O165" s="28" t="str">
        <f ca="1">IFERROR(IF(Tabela4[[#This Row],[Compr. Lançado]]/Tabela4[[#This Row],[Compr. Prev.]]&gt;1,1,Tabela4[[#This Row],[Compr. Lançado]]/Tabela4[[#This Row],[Compr. Prev.]]),"")</f>
        <v/>
      </c>
      <c r="P165" s="24" t="str">
        <f ca="1">IFERROR(VLOOKUP(Tabela4[[#This Row],[Cabo]],BD!A:V,11,0),"")</f>
        <v/>
      </c>
      <c r="Q165" s="24" t="str">
        <f ca="1">IFERROR(VLOOKUP(Tabela4[[#This Row],[Cabo]],BD!A:V,12,0),"")</f>
        <v/>
      </c>
      <c r="R16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5" s="23" t="str">
        <f ca="1">IF(Tabela4[[#This Row],[Cabo]]&lt;&gt;"",4-COUNTIF(Tabela4[[#This Row],[Teste de Continuidade]:[Hipot]],"---"),"")</f>
        <v/>
      </c>
      <c r="W165" s="29" t="str">
        <f ca="1">IF(Tabela4[[#This Row],[Cabo]]&lt;&gt;"",(COUNTIF(Tabela4[[#This Row],[Teste de Continuidade]:[Hipot]],"OK"))/(4-COUNTIF(Tabela4[[#This Row],[Teste de Continuidade]:[Hipot]],"---")),"")</f>
        <v/>
      </c>
      <c r="X165" s="23" t="str">
        <f ca="1">IF(Tabela4[[#This Row],[Cabo]]&lt;&gt;"",SUMIFS('Lançamento de Cabos'!$AF:$AF,'Lançamento de Cabos'!AE:AE,Tabela4[[#This Row],[Cabo]],'Lançamento de Cabos'!AJ:AJ,Área!$B$1),"")</f>
        <v/>
      </c>
      <c r="Y165" s="23" t="str">
        <f ca="1">IF(Tabela4[[#This Row],[Cabo]]&lt;&gt;"",SUMIFS('Lançamento de Cabos'!$AG:$AG,'Lançamento de Cabos'!AE:AE,Tabela4[[#This Row],[Cabo]],'Lançamento de Cabos'!AJ:AJ,Área!$B$1),"")</f>
        <v/>
      </c>
      <c r="Z165" s="23" t="e">
        <f ca="1">VLOOKUP(Tabela4[[#This Row],[Cabo]],BD!A:AB,28,0)</f>
        <v>#N/A</v>
      </c>
    </row>
    <row r="166" spans="3:26" x14ac:dyDescent="0.25">
      <c r="C166" s="391" t="str">
        <f ca="1">IF($B$1="Geral",Tabela1[[#This Row],[Tag do Cabo]],IFERROR(INDEX(INDIRECT("BD!$A"&amp;D166&amp;":$A100000"),E166,1),""))</f>
        <v/>
      </c>
      <c r="D166" s="391" t="str">
        <f t="shared" ca="1" si="8"/>
        <v/>
      </c>
      <c r="E166" s="391" t="str">
        <f t="shared" ca="1" si="9"/>
        <v/>
      </c>
      <c r="F166" s="391" t="str">
        <f ca="1">IFERROR(VLOOKUP(Tabela4[[#This Row],[Cabo]],BD!A:V,2,0),"")</f>
        <v/>
      </c>
      <c r="G166" s="22" t="str">
        <f ca="1">IFERROR(VLOOKUP(Tabela4[[#This Row],[Cabo]],BD!A:V,5,0),"")</f>
        <v/>
      </c>
      <c r="H166" s="391" t="str">
        <f ca="1">IFERROR(VLOOKUP(Tabela4[[#This Row],[Cabo]],BD!A:V,3,0),"")</f>
        <v/>
      </c>
      <c r="I166" s="391" t="str">
        <f ca="1">IFERROR(VLOOKUP(Tabela4[[#This Row],[Cabo]],BD!A:V,4,0),"")</f>
        <v/>
      </c>
      <c r="J166" s="391" t="str">
        <f ca="1">IFERROR(VLOOKUP(Tabela4[[#This Row],[Cabo]],BD!A:V,7,0),"")</f>
        <v/>
      </c>
      <c r="K166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6" s="23" t="str">
        <f ca="1">IFERROR(VLOOKUP(Tabela4[[#This Row],[Cabo]],BD!A:V,9,0),"")</f>
        <v/>
      </c>
      <c r="M166" s="23" t="str">
        <f ca="1">IFERROR(VLOOKUP(Tabela4[[#This Row],[Cabo]],BD!A:AD,30,0),"")</f>
        <v/>
      </c>
      <c r="N166" s="23" t="str">
        <f ca="1">IF(SUMIF('Lançamento de Cabos'!B:B,Tabela4[[#This Row],[Cabo]],'Lançamento de Cabos'!C:C)=0,"",SUMIF('Lançamento de Cabos'!B:B,Tabela4[[#This Row],[Cabo]],'Lançamento de Cabos'!C:C))</f>
        <v/>
      </c>
      <c r="O166" s="28" t="str">
        <f ca="1">IFERROR(IF(Tabela4[[#This Row],[Compr. Lançado]]/Tabela4[[#This Row],[Compr. Prev.]]&gt;1,1,Tabela4[[#This Row],[Compr. Lançado]]/Tabela4[[#This Row],[Compr. Prev.]]),"")</f>
        <v/>
      </c>
      <c r="P166" s="24" t="str">
        <f ca="1">IFERROR(VLOOKUP(Tabela4[[#This Row],[Cabo]],BD!A:V,11,0),"")</f>
        <v/>
      </c>
      <c r="Q166" s="24" t="str">
        <f ca="1">IFERROR(VLOOKUP(Tabela4[[#This Row],[Cabo]],BD!A:V,12,0),"")</f>
        <v/>
      </c>
      <c r="R16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6" s="23" t="str">
        <f ca="1">IF(Tabela4[[#This Row],[Cabo]]&lt;&gt;"",4-COUNTIF(Tabela4[[#This Row],[Teste de Continuidade]:[Hipot]],"---"),"")</f>
        <v/>
      </c>
      <c r="W166" s="29" t="str">
        <f ca="1">IF(Tabela4[[#This Row],[Cabo]]&lt;&gt;"",(COUNTIF(Tabela4[[#This Row],[Teste de Continuidade]:[Hipot]],"OK"))/(4-COUNTIF(Tabela4[[#This Row],[Teste de Continuidade]:[Hipot]],"---")),"")</f>
        <v/>
      </c>
      <c r="X166" s="23" t="str">
        <f ca="1">IF(Tabela4[[#This Row],[Cabo]]&lt;&gt;"",SUMIFS('Lançamento de Cabos'!$AF:$AF,'Lançamento de Cabos'!AE:AE,Tabela4[[#This Row],[Cabo]],'Lançamento de Cabos'!AJ:AJ,Área!$B$1),"")</f>
        <v/>
      </c>
      <c r="Y166" s="23" t="str">
        <f ca="1">IF(Tabela4[[#This Row],[Cabo]]&lt;&gt;"",SUMIFS('Lançamento de Cabos'!$AG:$AG,'Lançamento de Cabos'!AE:AE,Tabela4[[#This Row],[Cabo]],'Lançamento de Cabos'!AJ:AJ,Área!$B$1),"")</f>
        <v/>
      </c>
      <c r="Z166" s="23" t="e">
        <f ca="1">VLOOKUP(Tabela4[[#This Row],[Cabo]],BD!A:AB,28,0)</f>
        <v>#N/A</v>
      </c>
    </row>
    <row r="167" spans="3:26" x14ac:dyDescent="0.25">
      <c r="C167" s="391" t="str">
        <f ca="1">IF($B$1="Geral",Tabela1[[#This Row],[Tag do Cabo]],IFERROR(INDEX(INDIRECT("BD!$A"&amp;D167&amp;":$A100000"),E167,1),""))</f>
        <v/>
      </c>
      <c r="D167" s="391" t="str">
        <f t="shared" ca="1" si="8"/>
        <v/>
      </c>
      <c r="E167" s="391" t="str">
        <f t="shared" ca="1" si="9"/>
        <v/>
      </c>
      <c r="F167" s="391" t="str">
        <f ca="1">IFERROR(VLOOKUP(Tabela4[[#This Row],[Cabo]],BD!A:V,2,0),"")</f>
        <v/>
      </c>
      <c r="G167" s="22" t="str">
        <f ca="1">IFERROR(VLOOKUP(Tabela4[[#This Row],[Cabo]],BD!A:V,5,0),"")</f>
        <v/>
      </c>
      <c r="H167" s="391" t="str">
        <f ca="1">IFERROR(VLOOKUP(Tabela4[[#This Row],[Cabo]],BD!A:V,3,0),"")</f>
        <v/>
      </c>
      <c r="I167" s="391" t="str">
        <f ca="1">IFERROR(VLOOKUP(Tabela4[[#This Row],[Cabo]],BD!A:V,4,0),"")</f>
        <v/>
      </c>
      <c r="J167" s="391" t="str">
        <f ca="1">IFERROR(VLOOKUP(Tabela4[[#This Row],[Cabo]],BD!A:V,7,0),"")</f>
        <v/>
      </c>
      <c r="K167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7" s="23" t="str">
        <f ca="1">IFERROR(VLOOKUP(Tabela4[[#This Row],[Cabo]],BD!A:V,9,0),"")</f>
        <v/>
      </c>
      <c r="M167" s="23" t="str">
        <f ca="1">IFERROR(VLOOKUP(Tabela4[[#This Row],[Cabo]],BD!A:AD,30,0),"")</f>
        <v/>
      </c>
      <c r="N167" s="23" t="str">
        <f ca="1">IF(SUMIF('Lançamento de Cabos'!B:B,Tabela4[[#This Row],[Cabo]],'Lançamento de Cabos'!C:C)=0,"",SUMIF('Lançamento de Cabos'!B:B,Tabela4[[#This Row],[Cabo]],'Lançamento de Cabos'!C:C))</f>
        <v/>
      </c>
      <c r="O167" s="28" t="str">
        <f ca="1">IFERROR(IF(Tabela4[[#This Row],[Compr. Lançado]]/Tabela4[[#This Row],[Compr. Prev.]]&gt;1,1,Tabela4[[#This Row],[Compr. Lançado]]/Tabela4[[#This Row],[Compr. Prev.]]),"")</f>
        <v/>
      </c>
      <c r="P167" s="24" t="str">
        <f ca="1">IFERROR(VLOOKUP(Tabela4[[#This Row],[Cabo]],BD!A:V,11,0),"")</f>
        <v/>
      </c>
      <c r="Q167" s="24" t="str">
        <f ca="1">IFERROR(VLOOKUP(Tabela4[[#This Row],[Cabo]],BD!A:V,12,0),"")</f>
        <v/>
      </c>
      <c r="R16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7" s="23" t="str">
        <f ca="1">IF(Tabela4[[#This Row],[Cabo]]&lt;&gt;"",4-COUNTIF(Tabela4[[#This Row],[Teste de Continuidade]:[Hipot]],"---"),"")</f>
        <v/>
      </c>
      <c r="W167" s="29" t="str">
        <f ca="1">IF(Tabela4[[#This Row],[Cabo]]&lt;&gt;"",(COUNTIF(Tabela4[[#This Row],[Teste de Continuidade]:[Hipot]],"OK"))/(4-COUNTIF(Tabela4[[#This Row],[Teste de Continuidade]:[Hipot]],"---")),"")</f>
        <v/>
      </c>
      <c r="X167" s="23" t="str">
        <f ca="1">IF(Tabela4[[#This Row],[Cabo]]&lt;&gt;"",SUMIFS('Lançamento de Cabos'!$AF:$AF,'Lançamento de Cabos'!AE:AE,Tabela4[[#This Row],[Cabo]],'Lançamento de Cabos'!AJ:AJ,Área!$B$1),"")</f>
        <v/>
      </c>
      <c r="Y167" s="23" t="str">
        <f ca="1">IF(Tabela4[[#This Row],[Cabo]]&lt;&gt;"",SUMIFS('Lançamento de Cabos'!$AG:$AG,'Lançamento de Cabos'!AE:AE,Tabela4[[#This Row],[Cabo]],'Lançamento de Cabos'!AJ:AJ,Área!$B$1),"")</f>
        <v/>
      </c>
      <c r="Z167" s="23" t="e">
        <f ca="1">VLOOKUP(Tabela4[[#This Row],[Cabo]],BD!A:AB,28,0)</f>
        <v>#N/A</v>
      </c>
    </row>
    <row r="168" spans="3:26" x14ac:dyDescent="0.25">
      <c r="C168" s="391" t="str">
        <f ca="1">IF($B$1="Geral",Tabela1[[#This Row],[Tag do Cabo]],IFERROR(INDEX(INDIRECT("BD!$A"&amp;D168&amp;":$A100000"),E168,1),""))</f>
        <v/>
      </c>
      <c r="D168" s="391" t="str">
        <f t="shared" ca="1" si="8"/>
        <v/>
      </c>
      <c r="E168" s="391" t="str">
        <f t="shared" ca="1" si="9"/>
        <v/>
      </c>
      <c r="F168" s="391" t="str">
        <f ca="1">IFERROR(VLOOKUP(Tabela4[[#This Row],[Cabo]],BD!A:V,2,0),"")</f>
        <v/>
      </c>
      <c r="G168" s="22" t="str">
        <f ca="1">IFERROR(VLOOKUP(Tabela4[[#This Row],[Cabo]],BD!A:V,5,0),"")</f>
        <v/>
      </c>
      <c r="H168" s="391" t="str">
        <f ca="1">IFERROR(VLOOKUP(Tabela4[[#This Row],[Cabo]],BD!A:V,3,0),"")</f>
        <v/>
      </c>
      <c r="I168" s="391" t="str">
        <f ca="1">IFERROR(VLOOKUP(Tabela4[[#This Row],[Cabo]],BD!A:V,4,0),"")</f>
        <v/>
      </c>
      <c r="J168" s="391" t="str">
        <f ca="1">IFERROR(VLOOKUP(Tabela4[[#This Row],[Cabo]],BD!A:V,7,0),"")</f>
        <v/>
      </c>
      <c r="K168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8" s="23" t="str">
        <f ca="1">IFERROR(VLOOKUP(Tabela4[[#This Row],[Cabo]],BD!A:V,9,0),"")</f>
        <v/>
      </c>
      <c r="M168" s="23" t="str">
        <f ca="1">IFERROR(VLOOKUP(Tabela4[[#This Row],[Cabo]],BD!A:AD,30,0),"")</f>
        <v/>
      </c>
      <c r="N168" s="23" t="str">
        <f ca="1">IF(SUMIF('Lançamento de Cabos'!B:B,Tabela4[[#This Row],[Cabo]],'Lançamento de Cabos'!C:C)=0,"",SUMIF('Lançamento de Cabos'!B:B,Tabela4[[#This Row],[Cabo]],'Lançamento de Cabos'!C:C))</f>
        <v/>
      </c>
      <c r="O168" s="28" t="str">
        <f ca="1">IFERROR(IF(Tabela4[[#This Row],[Compr. Lançado]]/Tabela4[[#This Row],[Compr. Prev.]]&gt;1,1,Tabela4[[#This Row],[Compr. Lançado]]/Tabela4[[#This Row],[Compr. Prev.]]),"")</f>
        <v/>
      </c>
      <c r="P168" s="24" t="str">
        <f ca="1">IFERROR(VLOOKUP(Tabela4[[#This Row],[Cabo]],BD!A:V,11,0),"")</f>
        <v/>
      </c>
      <c r="Q168" s="24" t="str">
        <f ca="1">IFERROR(VLOOKUP(Tabela4[[#This Row],[Cabo]],BD!A:V,12,0),"")</f>
        <v/>
      </c>
      <c r="R16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8" s="23" t="str">
        <f ca="1">IF(Tabela4[[#This Row],[Cabo]]&lt;&gt;"",4-COUNTIF(Tabela4[[#This Row],[Teste de Continuidade]:[Hipot]],"---"),"")</f>
        <v/>
      </c>
      <c r="W168" s="29" t="str">
        <f ca="1">IF(Tabela4[[#This Row],[Cabo]]&lt;&gt;"",(COUNTIF(Tabela4[[#This Row],[Teste de Continuidade]:[Hipot]],"OK"))/(4-COUNTIF(Tabela4[[#This Row],[Teste de Continuidade]:[Hipot]],"---")),"")</f>
        <v/>
      </c>
      <c r="X168" s="23" t="str">
        <f ca="1">IF(Tabela4[[#This Row],[Cabo]]&lt;&gt;"",SUMIFS('Lançamento de Cabos'!$AF:$AF,'Lançamento de Cabos'!AE:AE,Tabela4[[#This Row],[Cabo]],'Lançamento de Cabos'!AJ:AJ,Área!$B$1),"")</f>
        <v/>
      </c>
      <c r="Y168" s="23" t="str">
        <f ca="1">IF(Tabela4[[#This Row],[Cabo]]&lt;&gt;"",SUMIFS('Lançamento de Cabos'!$AG:$AG,'Lançamento de Cabos'!AE:AE,Tabela4[[#This Row],[Cabo]],'Lançamento de Cabos'!AJ:AJ,Área!$B$1),"")</f>
        <v/>
      </c>
      <c r="Z168" s="23" t="e">
        <f ca="1">VLOOKUP(Tabela4[[#This Row],[Cabo]],BD!A:AB,28,0)</f>
        <v>#N/A</v>
      </c>
    </row>
    <row r="169" spans="3:26" x14ac:dyDescent="0.25">
      <c r="C169" s="391" t="str">
        <f ca="1">IF($B$1="Geral",Tabela1[[#This Row],[Tag do Cabo]],IFERROR(INDEX(INDIRECT("BD!$A"&amp;D169&amp;":$A100000"),E169,1),""))</f>
        <v/>
      </c>
      <c r="D169" s="391" t="str">
        <f t="shared" ca="1" si="8"/>
        <v/>
      </c>
      <c r="E169" s="391" t="str">
        <f t="shared" ca="1" si="9"/>
        <v/>
      </c>
      <c r="F169" s="391" t="str">
        <f ca="1">IFERROR(VLOOKUP(Tabela4[[#This Row],[Cabo]],BD!A:V,2,0),"")</f>
        <v/>
      </c>
      <c r="G169" s="22" t="str">
        <f ca="1">IFERROR(VLOOKUP(Tabela4[[#This Row],[Cabo]],BD!A:V,5,0),"")</f>
        <v/>
      </c>
      <c r="H169" s="391" t="str">
        <f ca="1">IFERROR(VLOOKUP(Tabela4[[#This Row],[Cabo]],BD!A:V,3,0),"")</f>
        <v/>
      </c>
      <c r="I169" s="391" t="str">
        <f ca="1">IFERROR(VLOOKUP(Tabela4[[#This Row],[Cabo]],BD!A:V,4,0),"")</f>
        <v/>
      </c>
      <c r="J169" s="391" t="str">
        <f ca="1">IFERROR(VLOOKUP(Tabela4[[#This Row],[Cabo]],BD!A:V,7,0),"")</f>
        <v/>
      </c>
      <c r="K169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69" s="23" t="str">
        <f ca="1">IFERROR(VLOOKUP(Tabela4[[#This Row],[Cabo]],BD!A:V,9,0),"")</f>
        <v/>
      </c>
      <c r="M169" s="23" t="str">
        <f ca="1">IFERROR(VLOOKUP(Tabela4[[#This Row],[Cabo]],BD!A:AD,30,0),"")</f>
        <v/>
      </c>
      <c r="N169" s="23" t="str">
        <f ca="1">IF(SUMIF('Lançamento de Cabos'!B:B,Tabela4[[#This Row],[Cabo]],'Lançamento de Cabos'!C:C)=0,"",SUMIF('Lançamento de Cabos'!B:B,Tabela4[[#This Row],[Cabo]],'Lançamento de Cabos'!C:C))</f>
        <v/>
      </c>
      <c r="O169" s="28" t="str">
        <f ca="1">IFERROR(IF(Tabela4[[#This Row],[Compr. Lançado]]/Tabela4[[#This Row],[Compr. Prev.]]&gt;1,1,Tabela4[[#This Row],[Compr. Lançado]]/Tabela4[[#This Row],[Compr. Prev.]]),"")</f>
        <v/>
      </c>
      <c r="P169" s="24" t="str">
        <f ca="1">IFERROR(VLOOKUP(Tabela4[[#This Row],[Cabo]],BD!A:V,11,0),"")</f>
        <v/>
      </c>
      <c r="Q169" s="24" t="str">
        <f ca="1">IFERROR(VLOOKUP(Tabela4[[#This Row],[Cabo]],BD!A:V,12,0),"")</f>
        <v/>
      </c>
      <c r="R16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6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6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6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69" s="23" t="str">
        <f ca="1">IF(Tabela4[[#This Row],[Cabo]]&lt;&gt;"",4-COUNTIF(Tabela4[[#This Row],[Teste de Continuidade]:[Hipot]],"---"),"")</f>
        <v/>
      </c>
      <c r="W169" s="29" t="str">
        <f ca="1">IF(Tabela4[[#This Row],[Cabo]]&lt;&gt;"",(COUNTIF(Tabela4[[#This Row],[Teste de Continuidade]:[Hipot]],"OK"))/(4-COUNTIF(Tabela4[[#This Row],[Teste de Continuidade]:[Hipot]],"---")),"")</f>
        <v/>
      </c>
      <c r="X169" s="23" t="str">
        <f ca="1">IF(Tabela4[[#This Row],[Cabo]]&lt;&gt;"",SUMIFS('Lançamento de Cabos'!$AF:$AF,'Lançamento de Cabos'!AE:AE,Tabela4[[#This Row],[Cabo]],'Lançamento de Cabos'!AJ:AJ,Área!$B$1),"")</f>
        <v/>
      </c>
      <c r="Y169" s="23" t="str">
        <f ca="1">IF(Tabela4[[#This Row],[Cabo]]&lt;&gt;"",SUMIFS('Lançamento de Cabos'!$AG:$AG,'Lançamento de Cabos'!AE:AE,Tabela4[[#This Row],[Cabo]],'Lançamento de Cabos'!AJ:AJ,Área!$B$1),"")</f>
        <v/>
      </c>
      <c r="Z169" s="23" t="e">
        <f ca="1">VLOOKUP(Tabela4[[#This Row],[Cabo]],BD!A:AB,28,0)</f>
        <v>#N/A</v>
      </c>
    </row>
    <row r="170" spans="3:26" x14ac:dyDescent="0.25">
      <c r="C170" s="391" t="str">
        <f ca="1">IF($B$1="Geral",Tabela1[[#This Row],[Tag do Cabo]],IFERROR(INDEX(INDIRECT("BD!$A"&amp;D170&amp;":$A100000"),E170,1),""))</f>
        <v/>
      </c>
      <c r="D170" s="391" t="str">
        <f t="shared" ca="1" si="8"/>
        <v/>
      </c>
      <c r="E170" s="391" t="str">
        <f t="shared" ca="1" si="9"/>
        <v/>
      </c>
      <c r="F170" s="391" t="str">
        <f ca="1">IFERROR(VLOOKUP(Tabela4[[#This Row],[Cabo]],BD!A:V,2,0),"")</f>
        <v/>
      </c>
      <c r="G170" s="22" t="str">
        <f ca="1">IFERROR(VLOOKUP(Tabela4[[#This Row],[Cabo]],BD!A:V,5,0),"")</f>
        <v/>
      </c>
      <c r="H170" s="391" t="str">
        <f ca="1">IFERROR(VLOOKUP(Tabela4[[#This Row],[Cabo]],BD!A:V,3,0),"")</f>
        <v/>
      </c>
      <c r="I170" s="391" t="str">
        <f ca="1">IFERROR(VLOOKUP(Tabela4[[#This Row],[Cabo]],BD!A:V,4,0),"")</f>
        <v/>
      </c>
      <c r="J170" s="391" t="str">
        <f ca="1">IFERROR(VLOOKUP(Tabela4[[#This Row],[Cabo]],BD!A:V,7,0),"")</f>
        <v/>
      </c>
      <c r="K170" s="391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0" s="23" t="str">
        <f ca="1">IFERROR(VLOOKUP(Tabela4[[#This Row],[Cabo]],BD!A:V,9,0),"")</f>
        <v/>
      </c>
      <c r="M170" s="23" t="str">
        <f ca="1">IFERROR(VLOOKUP(Tabela4[[#This Row],[Cabo]],BD!A:AD,30,0),"")</f>
        <v/>
      </c>
      <c r="N170" s="23" t="str">
        <f ca="1">IF(SUMIF('Lançamento de Cabos'!B:B,Tabela4[[#This Row],[Cabo]],'Lançamento de Cabos'!C:C)=0,"",SUMIF('Lançamento de Cabos'!B:B,Tabela4[[#This Row],[Cabo]],'Lançamento de Cabos'!C:C))</f>
        <v/>
      </c>
      <c r="O170" s="28" t="str">
        <f ca="1">IFERROR(IF(Tabela4[[#This Row],[Compr. Lançado]]/Tabela4[[#This Row],[Compr. Prev.]]&gt;1,1,Tabela4[[#This Row],[Compr. Lançado]]/Tabela4[[#This Row],[Compr. Prev.]]),"")</f>
        <v/>
      </c>
      <c r="P170" s="24" t="str">
        <f ca="1">IFERROR(VLOOKUP(Tabela4[[#This Row],[Cabo]],BD!A:V,11,0),"")</f>
        <v/>
      </c>
      <c r="Q170" s="24" t="str">
        <f ca="1">IFERROR(VLOOKUP(Tabela4[[#This Row],[Cabo]],BD!A:V,12,0),"")</f>
        <v/>
      </c>
      <c r="R17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0" s="23" t="str">
        <f ca="1">IF(Tabela4[[#This Row],[Cabo]]&lt;&gt;"",4-COUNTIF(Tabela4[[#This Row],[Teste de Continuidade]:[Hipot]],"---"),"")</f>
        <v/>
      </c>
      <c r="W170" s="29" t="str">
        <f ca="1">IF(Tabela4[[#This Row],[Cabo]]&lt;&gt;"",(COUNTIF(Tabela4[[#This Row],[Teste de Continuidade]:[Hipot]],"OK"))/(4-COUNTIF(Tabela4[[#This Row],[Teste de Continuidade]:[Hipot]],"---")),"")</f>
        <v/>
      </c>
      <c r="X170" s="23" t="str">
        <f ca="1">IF(Tabela4[[#This Row],[Cabo]]&lt;&gt;"",SUMIFS('Lançamento de Cabos'!$AF:$AF,'Lançamento de Cabos'!AE:AE,Tabela4[[#This Row],[Cabo]],'Lançamento de Cabos'!AJ:AJ,Área!$B$1),"")</f>
        <v/>
      </c>
      <c r="Y170" s="23" t="str">
        <f ca="1">IF(Tabela4[[#This Row],[Cabo]]&lt;&gt;"",SUMIFS('Lançamento de Cabos'!$AG:$AG,'Lançamento de Cabos'!AE:AE,Tabela4[[#This Row],[Cabo]],'Lançamento de Cabos'!AJ:AJ,Área!$B$1),"")</f>
        <v/>
      </c>
      <c r="Z170" s="23" t="e">
        <f ca="1">VLOOKUP(Tabela4[[#This Row],[Cabo]],BD!A:AB,28,0)</f>
        <v>#N/A</v>
      </c>
    </row>
    <row r="171" spans="3:26" x14ac:dyDescent="0.25">
      <c r="C171" s="391" t="str">
        <f ca="1">IF($B$1="Geral",Tabela1[[#This Row],[Tag do Cabo]],IFERROR(INDEX(INDIRECT("BD!$A"&amp;D171&amp;":$A100000"),E171,1),""))</f>
        <v/>
      </c>
      <c r="D171" s="391" t="str">
        <f t="shared" ref="D171:D234" ca="1" si="10">IFERROR(D170+E170,"")</f>
        <v/>
      </c>
      <c r="E171" s="391" t="str">
        <f t="shared" ref="E171:E234" ca="1" si="11">IFERROR(MATCH($B$1,INDIRECT("BD!$J"&amp;D171&amp;":$J100000"),0),"")</f>
        <v/>
      </c>
      <c r="F171" s="23" t="str">
        <f ca="1">IFERROR(VLOOKUP(Tabela4[[#This Row],[Cabo]],BD!A:V,2,0),"")</f>
        <v/>
      </c>
      <c r="G171" s="391" t="str">
        <f ca="1">IFERROR(VLOOKUP(Tabela4[[#This Row],[Cabo]],BD!A:V,5,0),"")</f>
        <v/>
      </c>
      <c r="H171" s="23" t="str">
        <f ca="1">IFERROR(VLOOKUP(Tabela4[[#This Row],[Cabo]],BD!A:V,3,0),"")</f>
        <v/>
      </c>
      <c r="I171" s="23" t="str">
        <f ca="1">IFERROR(VLOOKUP(Tabela4[[#This Row],[Cabo]],BD!A:V,4,0),"")</f>
        <v/>
      </c>
      <c r="J171" s="23" t="str">
        <f ca="1">IFERROR(VLOOKUP(Tabela4[[#This Row],[Cabo]],BD!A:V,7,0),"")</f>
        <v/>
      </c>
      <c r="K17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1" s="23" t="str">
        <f ca="1">IFERROR(VLOOKUP(Tabela4[[#This Row],[Cabo]],BD!A:V,9,0),"")</f>
        <v/>
      </c>
      <c r="M171" s="23" t="str">
        <f ca="1">IFERROR(VLOOKUP(Tabela4[[#This Row],[Cabo]],BD!A:AD,30,0),"")</f>
        <v/>
      </c>
      <c r="N171" s="23" t="str">
        <f ca="1">IF(SUMIF('Lançamento de Cabos'!B:B,Tabela4[[#This Row],[Cabo]],'Lançamento de Cabos'!C:C)=0,"",SUMIF('Lançamento de Cabos'!B:B,Tabela4[[#This Row],[Cabo]],'Lançamento de Cabos'!C:C))</f>
        <v/>
      </c>
      <c r="O171" s="28" t="str">
        <f ca="1">IFERROR(IF(Tabela4[[#This Row],[Compr. Lançado]]/Tabela4[[#This Row],[Compr. Prev.]]&gt;1,1,Tabela4[[#This Row],[Compr. Lançado]]/Tabela4[[#This Row],[Compr. Prev.]]),"")</f>
        <v/>
      </c>
      <c r="P171" s="24" t="str">
        <f ca="1">IFERROR(VLOOKUP(Tabela4[[#This Row],[Cabo]],BD!A:V,11,0),"")</f>
        <v/>
      </c>
      <c r="Q171" s="24" t="str">
        <f ca="1">IFERROR(VLOOKUP(Tabela4[[#This Row],[Cabo]],BD!A:V,12,0),"")</f>
        <v/>
      </c>
      <c r="R17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1" s="23" t="str">
        <f ca="1">IF(Tabela4[[#This Row],[Cabo]]&lt;&gt;"",4-COUNTIF(Tabela4[[#This Row],[Teste de Continuidade]:[Hipot]],"---"),"")</f>
        <v/>
      </c>
      <c r="W171" s="29" t="str">
        <f ca="1">IF(Tabela4[[#This Row],[Cabo]]&lt;&gt;"",(COUNTIF(Tabela4[[#This Row],[Teste de Continuidade]:[Hipot]],"OK"))/(4-COUNTIF(Tabela4[[#This Row],[Teste de Continuidade]:[Hipot]],"---")),"")</f>
        <v/>
      </c>
      <c r="X171" s="23" t="str">
        <f ca="1">IF(Tabela4[[#This Row],[Cabo]]&lt;&gt;"",SUMIFS('Lançamento de Cabos'!$AF:$AF,'Lançamento de Cabos'!AE:AE,Tabela4[[#This Row],[Cabo]],'Lançamento de Cabos'!AJ:AJ,Área!$B$1),"")</f>
        <v/>
      </c>
      <c r="Y171" s="23" t="str">
        <f ca="1">IF(Tabela4[[#This Row],[Cabo]]&lt;&gt;"",SUMIFS('Lançamento de Cabos'!$AG:$AG,'Lançamento de Cabos'!AE:AE,Tabela4[[#This Row],[Cabo]],'Lançamento de Cabos'!AJ:AJ,Área!$B$1),"")</f>
        <v/>
      </c>
      <c r="Z171" s="23" t="e">
        <f ca="1">VLOOKUP(Tabela4[[#This Row],[Cabo]],BD!A:AB,28,0)</f>
        <v>#N/A</v>
      </c>
    </row>
    <row r="172" spans="3:26" x14ac:dyDescent="0.25">
      <c r="C172" s="391" t="str">
        <f ca="1">IF($B$1="Geral",Tabela1[[#This Row],[Tag do Cabo]],IFERROR(INDEX(INDIRECT("BD!$A"&amp;D172&amp;":$A100000"),E172,1),""))</f>
        <v/>
      </c>
      <c r="D172" s="391" t="str">
        <f t="shared" ca="1" si="10"/>
        <v/>
      </c>
      <c r="E172" s="391" t="str">
        <f t="shared" ca="1" si="11"/>
        <v/>
      </c>
      <c r="F172" s="23" t="str">
        <f ca="1">IFERROR(VLOOKUP(Tabela4[[#This Row],[Cabo]],BD!A:V,2,0),"")</f>
        <v/>
      </c>
      <c r="G172" s="391" t="str">
        <f ca="1">IFERROR(VLOOKUP(Tabela4[[#This Row],[Cabo]],BD!A:V,5,0),"")</f>
        <v/>
      </c>
      <c r="H172" s="23" t="str">
        <f ca="1">IFERROR(VLOOKUP(Tabela4[[#This Row],[Cabo]],BD!A:V,3,0),"")</f>
        <v/>
      </c>
      <c r="I172" s="23" t="str">
        <f ca="1">IFERROR(VLOOKUP(Tabela4[[#This Row],[Cabo]],BD!A:V,4,0),"")</f>
        <v/>
      </c>
      <c r="J172" s="23" t="str">
        <f ca="1">IFERROR(VLOOKUP(Tabela4[[#This Row],[Cabo]],BD!A:V,7,0),"")</f>
        <v/>
      </c>
      <c r="K17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2" s="23" t="str">
        <f ca="1">IFERROR(VLOOKUP(Tabela4[[#This Row],[Cabo]],BD!A:V,9,0),"")</f>
        <v/>
      </c>
      <c r="M172" s="23" t="str">
        <f ca="1">IFERROR(VLOOKUP(Tabela4[[#This Row],[Cabo]],BD!A:AD,30,0),"")</f>
        <v/>
      </c>
      <c r="N172" s="23" t="str">
        <f ca="1">IF(SUMIF('Lançamento de Cabos'!B:B,Tabela4[[#This Row],[Cabo]],'Lançamento de Cabos'!C:C)=0,"",SUMIF('Lançamento de Cabos'!B:B,Tabela4[[#This Row],[Cabo]],'Lançamento de Cabos'!C:C))</f>
        <v/>
      </c>
      <c r="O172" s="28" t="str">
        <f ca="1">IFERROR(IF(Tabela4[[#This Row],[Compr. Lançado]]/Tabela4[[#This Row],[Compr. Prev.]]&gt;1,1,Tabela4[[#This Row],[Compr. Lançado]]/Tabela4[[#This Row],[Compr. Prev.]]),"")</f>
        <v/>
      </c>
      <c r="P172" s="24" t="str">
        <f ca="1">IFERROR(VLOOKUP(Tabela4[[#This Row],[Cabo]],BD!A:V,11,0),"")</f>
        <v/>
      </c>
      <c r="Q172" s="24" t="str">
        <f ca="1">IFERROR(VLOOKUP(Tabela4[[#This Row],[Cabo]],BD!A:V,12,0),"")</f>
        <v/>
      </c>
      <c r="R17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2" s="23" t="str">
        <f ca="1">IF(Tabela4[[#This Row],[Cabo]]&lt;&gt;"",4-COUNTIF(Tabela4[[#This Row],[Teste de Continuidade]:[Hipot]],"---"),"")</f>
        <v/>
      </c>
      <c r="W172" s="29" t="str">
        <f ca="1">IF(Tabela4[[#This Row],[Cabo]]&lt;&gt;"",(COUNTIF(Tabela4[[#This Row],[Teste de Continuidade]:[Hipot]],"OK"))/(4-COUNTIF(Tabela4[[#This Row],[Teste de Continuidade]:[Hipot]],"---")),"")</f>
        <v/>
      </c>
      <c r="X172" s="23" t="str">
        <f ca="1">IF(Tabela4[[#This Row],[Cabo]]&lt;&gt;"",SUMIFS('Lançamento de Cabos'!$AF:$AF,'Lançamento de Cabos'!AE:AE,Tabela4[[#This Row],[Cabo]],'Lançamento de Cabos'!AJ:AJ,Área!$B$1),"")</f>
        <v/>
      </c>
      <c r="Y172" s="23" t="str">
        <f ca="1">IF(Tabela4[[#This Row],[Cabo]]&lt;&gt;"",SUMIFS('Lançamento de Cabos'!$AG:$AG,'Lançamento de Cabos'!AE:AE,Tabela4[[#This Row],[Cabo]],'Lançamento de Cabos'!AJ:AJ,Área!$B$1),"")</f>
        <v/>
      </c>
      <c r="Z172" s="23" t="e">
        <f ca="1">VLOOKUP(Tabela4[[#This Row],[Cabo]],BD!A:AB,28,0)</f>
        <v>#N/A</v>
      </c>
    </row>
    <row r="173" spans="3:26" x14ac:dyDescent="0.25">
      <c r="C173" s="391" t="str">
        <f ca="1">IF($B$1="Geral",Tabela1[[#This Row],[Tag do Cabo]],IFERROR(INDEX(INDIRECT("BD!$A"&amp;D173&amp;":$A100000"),E173,1),""))</f>
        <v/>
      </c>
      <c r="D173" s="391" t="str">
        <f t="shared" ca="1" si="10"/>
        <v/>
      </c>
      <c r="E173" s="391" t="str">
        <f t="shared" ca="1" si="11"/>
        <v/>
      </c>
      <c r="F173" s="23" t="str">
        <f ca="1">IFERROR(VLOOKUP(Tabela4[[#This Row],[Cabo]],BD!A:V,2,0),"")</f>
        <v/>
      </c>
      <c r="G173" s="391" t="str">
        <f ca="1">IFERROR(VLOOKUP(Tabela4[[#This Row],[Cabo]],BD!A:V,5,0),"")</f>
        <v/>
      </c>
      <c r="H173" s="23" t="str">
        <f ca="1">IFERROR(VLOOKUP(Tabela4[[#This Row],[Cabo]],BD!A:V,3,0),"")</f>
        <v/>
      </c>
      <c r="I173" s="23" t="str">
        <f ca="1">IFERROR(VLOOKUP(Tabela4[[#This Row],[Cabo]],BD!A:V,4,0),"")</f>
        <v/>
      </c>
      <c r="J173" s="23" t="str">
        <f ca="1">IFERROR(VLOOKUP(Tabela4[[#This Row],[Cabo]],BD!A:V,7,0),"")</f>
        <v/>
      </c>
      <c r="K17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3" s="23" t="str">
        <f ca="1">IFERROR(VLOOKUP(Tabela4[[#This Row],[Cabo]],BD!A:V,9,0),"")</f>
        <v/>
      </c>
      <c r="M173" s="23" t="str">
        <f ca="1">IFERROR(VLOOKUP(Tabela4[[#This Row],[Cabo]],BD!A:AD,30,0),"")</f>
        <v/>
      </c>
      <c r="N173" s="23" t="str">
        <f ca="1">IF(SUMIF('Lançamento de Cabos'!B:B,Tabela4[[#This Row],[Cabo]],'Lançamento de Cabos'!C:C)=0,"",SUMIF('Lançamento de Cabos'!B:B,Tabela4[[#This Row],[Cabo]],'Lançamento de Cabos'!C:C))</f>
        <v/>
      </c>
      <c r="O173" s="28" t="str">
        <f ca="1">IFERROR(IF(Tabela4[[#This Row],[Compr. Lançado]]/Tabela4[[#This Row],[Compr. Prev.]]&gt;1,1,Tabela4[[#This Row],[Compr. Lançado]]/Tabela4[[#This Row],[Compr. Prev.]]),"")</f>
        <v/>
      </c>
      <c r="P173" s="24" t="str">
        <f ca="1">IFERROR(VLOOKUP(Tabela4[[#This Row],[Cabo]],BD!A:V,11,0),"")</f>
        <v/>
      </c>
      <c r="Q173" s="24" t="str">
        <f ca="1">IFERROR(VLOOKUP(Tabela4[[#This Row],[Cabo]],BD!A:V,12,0),"")</f>
        <v/>
      </c>
      <c r="R17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3" s="23" t="str">
        <f ca="1">IF(Tabela4[[#This Row],[Cabo]]&lt;&gt;"",4-COUNTIF(Tabela4[[#This Row],[Teste de Continuidade]:[Hipot]],"---"),"")</f>
        <v/>
      </c>
      <c r="W173" s="29" t="str">
        <f ca="1">IF(Tabela4[[#This Row],[Cabo]]&lt;&gt;"",(COUNTIF(Tabela4[[#This Row],[Teste de Continuidade]:[Hipot]],"OK"))/(4-COUNTIF(Tabela4[[#This Row],[Teste de Continuidade]:[Hipot]],"---")),"")</f>
        <v/>
      </c>
      <c r="X173" s="23" t="str">
        <f ca="1">IF(Tabela4[[#This Row],[Cabo]]&lt;&gt;"",SUMIFS('Lançamento de Cabos'!$AF:$AF,'Lançamento de Cabos'!AE:AE,Tabela4[[#This Row],[Cabo]],'Lançamento de Cabos'!AJ:AJ,Área!$B$1),"")</f>
        <v/>
      </c>
      <c r="Y173" s="23" t="str">
        <f ca="1">IF(Tabela4[[#This Row],[Cabo]]&lt;&gt;"",SUMIFS('Lançamento de Cabos'!$AG:$AG,'Lançamento de Cabos'!AE:AE,Tabela4[[#This Row],[Cabo]],'Lançamento de Cabos'!AJ:AJ,Área!$B$1),"")</f>
        <v/>
      </c>
      <c r="Z173" s="23" t="e">
        <f ca="1">VLOOKUP(Tabela4[[#This Row],[Cabo]],BD!A:AB,28,0)</f>
        <v>#N/A</v>
      </c>
    </row>
    <row r="174" spans="3:26" x14ac:dyDescent="0.25">
      <c r="C174" s="391" t="str">
        <f ca="1">IF($B$1="Geral",Tabela1[[#This Row],[Tag do Cabo]],IFERROR(INDEX(INDIRECT("BD!$A"&amp;D174&amp;":$A100000"),E174,1),""))</f>
        <v/>
      </c>
      <c r="D174" s="391" t="str">
        <f t="shared" ca="1" si="10"/>
        <v/>
      </c>
      <c r="E174" s="391" t="str">
        <f t="shared" ca="1" si="11"/>
        <v/>
      </c>
      <c r="F174" s="23" t="str">
        <f ca="1">IFERROR(VLOOKUP(Tabela4[[#This Row],[Cabo]],BD!A:V,2,0),"")</f>
        <v/>
      </c>
      <c r="G174" s="391" t="str">
        <f ca="1">IFERROR(VLOOKUP(Tabela4[[#This Row],[Cabo]],BD!A:V,5,0),"")</f>
        <v/>
      </c>
      <c r="H174" s="23" t="str">
        <f ca="1">IFERROR(VLOOKUP(Tabela4[[#This Row],[Cabo]],BD!A:V,3,0),"")</f>
        <v/>
      </c>
      <c r="I174" s="23" t="str">
        <f ca="1">IFERROR(VLOOKUP(Tabela4[[#This Row],[Cabo]],BD!A:V,4,0),"")</f>
        <v/>
      </c>
      <c r="J174" s="23" t="str">
        <f ca="1">IFERROR(VLOOKUP(Tabela4[[#This Row],[Cabo]],BD!A:V,7,0),"")</f>
        <v/>
      </c>
      <c r="K17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4" s="23" t="str">
        <f ca="1">IFERROR(VLOOKUP(Tabela4[[#This Row],[Cabo]],BD!A:V,9,0),"")</f>
        <v/>
      </c>
      <c r="M174" s="23" t="str">
        <f ca="1">IFERROR(VLOOKUP(Tabela4[[#This Row],[Cabo]],BD!A:AD,30,0),"")</f>
        <v/>
      </c>
      <c r="N174" s="23" t="str">
        <f ca="1">IF(SUMIF('Lançamento de Cabos'!B:B,Tabela4[[#This Row],[Cabo]],'Lançamento de Cabos'!C:C)=0,"",SUMIF('Lançamento de Cabos'!B:B,Tabela4[[#This Row],[Cabo]],'Lançamento de Cabos'!C:C))</f>
        <v/>
      </c>
      <c r="O174" s="28" t="str">
        <f ca="1">IFERROR(IF(Tabela4[[#This Row],[Compr. Lançado]]/Tabela4[[#This Row],[Compr. Prev.]]&gt;1,1,Tabela4[[#This Row],[Compr. Lançado]]/Tabela4[[#This Row],[Compr. Prev.]]),"")</f>
        <v/>
      </c>
      <c r="P174" s="24" t="str">
        <f ca="1">IFERROR(VLOOKUP(Tabela4[[#This Row],[Cabo]],BD!A:V,11,0),"")</f>
        <v/>
      </c>
      <c r="Q174" s="24" t="str">
        <f ca="1">IFERROR(VLOOKUP(Tabela4[[#This Row],[Cabo]],BD!A:V,12,0),"")</f>
        <v/>
      </c>
      <c r="R17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4" s="23" t="str">
        <f ca="1">IF(Tabela4[[#This Row],[Cabo]]&lt;&gt;"",4-COUNTIF(Tabela4[[#This Row],[Teste de Continuidade]:[Hipot]],"---"),"")</f>
        <v/>
      </c>
      <c r="W174" s="29" t="str">
        <f ca="1">IF(Tabela4[[#This Row],[Cabo]]&lt;&gt;"",(COUNTIF(Tabela4[[#This Row],[Teste de Continuidade]:[Hipot]],"OK"))/(4-COUNTIF(Tabela4[[#This Row],[Teste de Continuidade]:[Hipot]],"---")),"")</f>
        <v/>
      </c>
      <c r="X174" s="23" t="str">
        <f ca="1">IF(Tabela4[[#This Row],[Cabo]]&lt;&gt;"",SUMIFS('Lançamento de Cabos'!$AF:$AF,'Lançamento de Cabos'!AE:AE,Tabela4[[#This Row],[Cabo]],'Lançamento de Cabos'!AJ:AJ,Área!$B$1),"")</f>
        <v/>
      </c>
      <c r="Y174" s="23" t="str">
        <f ca="1">IF(Tabela4[[#This Row],[Cabo]]&lt;&gt;"",SUMIFS('Lançamento de Cabos'!$AG:$AG,'Lançamento de Cabos'!AE:AE,Tabela4[[#This Row],[Cabo]],'Lançamento de Cabos'!AJ:AJ,Área!$B$1),"")</f>
        <v/>
      </c>
      <c r="Z174" s="23" t="e">
        <f ca="1">VLOOKUP(Tabela4[[#This Row],[Cabo]],BD!A:AB,28,0)</f>
        <v>#N/A</v>
      </c>
    </row>
    <row r="175" spans="3:26" x14ac:dyDescent="0.25">
      <c r="C175" s="391" t="str">
        <f ca="1">IF($B$1="Geral",Tabela1[[#This Row],[Tag do Cabo]],IFERROR(INDEX(INDIRECT("BD!$A"&amp;D175&amp;":$A100000"),E175,1),""))</f>
        <v/>
      </c>
      <c r="D175" s="391" t="str">
        <f t="shared" ca="1" si="10"/>
        <v/>
      </c>
      <c r="E175" s="391" t="str">
        <f t="shared" ca="1" si="11"/>
        <v/>
      </c>
      <c r="F175" s="23" t="str">
        <f ca="1">IFERROR(VLOOKUP(Tabela4[[#This Row],[Cabo]],BD!A:V,2,0),"")</f>
        <v/>
      </c>
      <c r="G175" s="391" t="str">
        <f ca="1">IFERROR(VLOOKUP(Tabela4[[#This Row],[Cabo]],BD!A:V,5,0),"")</f>
        <v/>
      </c>
      <c r="H175" s="23" t="str">
        <f ca="1">IFERROR(VLOOKUP(Tabela4[[#This Row],[Cabo]],BD!A:V,3,0),"")</f>
        <v/>
      </c>
      <c r="I175" s="23" t="str">
        <f ca="1">IFERROR(VLOOKUP(Tabela4[[#This Row],[Cabo]],BD!A:V,4,0),"")</f>
        <v/>
      </c>
      <c r="J175" s="23" t="str">
        <f ca="1">IFERROR(VLOOKUP(Tabela4[[#This Row],[Cabo]],BD!A:V,7,0),"")</f>
        <v/>
      </c>
      <c r="K17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5" s="23" t="str">
        <f ca="1">IFERROR(VLOOKUP(Tabela4[[#This Row],[Cabo]],BD!A:V,9,0),"")</f>
        <v/>
      </c>
      <c r="M175" s="23" t="str">
        <f ca="1">IFERROR(VLOOKUP(Tabela4[[#This Row],[Cabo]],BD!A:AD,30,0),"")</f>
        <v/>
      </c>
      <c r="N175" s="23" t="str">
        <f ca="1">IF(SUMIF('Lançamento de Cabos'!B:B,Tabela4[[#This Row],[Cabo]],'Lançamento de Cabos'!C:C)=0,"",SUMIF('Lançamento de Cabos'!B:B,Tabela4[[#This Row],[Cabo]],'Lançamento de Cabos'!C:C))</f>
        <v/>
      </c>
      <c r="O175" s="28" t="str">
        <f ca="1">IFERROR(IF(Tabela4[[#This Row],[Compr. Lançado]]/Tabela4[[#This Row],[Compr. Prev.]]&gt;1,1,Tabela4[[#This Row],[Compr. Lançado]]/Tabela4[[#This Row],[Compr. Prev.]]),"")</f>
        <v/>
      </c>
      <c r="P175" s="24" t="str">
        <f ca="1">IFERROR(VLOOKUP(Tabela4[[#This Row],[Cabo]],BD!A:V,11,0),"")</f>
        <v/>
      </c>
      <c r="Q175" s="24" t="str">
        <f ca="1">IFERROR(VLOOKUP(Tabela4[[#This Row],[Cabo]],BD!A:V,12,0),"")</f>
        <v/>
      </c>
      <c r="R17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5" s="23" t="str">
        <f ca="1">IF(Tabela4[[#This Row],[Cabo]]&lt;&gt;"",4-COUNTIF(Tabela4[[#This Row],[Teste de Continuidade]:[Hipot]],"---"),"")</f>
        <v/>
      </c>
      <c r="W175" s="29" t="str">
        <f ca="1">IF(Tabela4[[#This Row],[Cabo]]&lt;&gt;"",(COUNTIF(Tabela4[[#This Row],[Teste de Continuidade]:[Hipot]],"OK"))/(4-COUNTIF(Tabela4[[#This Row],[Teste de Continuidade]:[Hipot]],"---")),"")</f>
        <v/>
      </c>
      <c r="X175" s="23" t="str">
        <f ca="1">IF(Tabela4[[#This Row],[Cabo]]&lt;&gt;"",SUMIFS('Lançamento de Cabos'!$AF:$AF,'Lançamento de Cabos'!AE:AE,Tabela4[[#This Row],[Cabo]],'Lançamento de Cabos'!AJ:AJ,Área!$B$1),"")</f>
        <v/>
      </c>
      <c r="Y175" s="23" t="str">
        <f ca="1">IF(Tabela4[[#This Row],[Cabo]]&lt;&gt;"",SUMIFS('Lançamento de Cabos'!$AG:$AG,'Lançamento de Cabos'!AE:AE,Tabela4[[#This Row],[Cabo]],'Lançamento de Cabos'!AJ:AJ,Área!$B$1),"")</f>
        <v/>
      </c>
      <c r="Z175" s="23" t="e">
        <f ca="1">VLOOKUP(Tabela4[[#This Row],[Cabo]],BD!A:AB,28,0)</f>
        <v>#N/A</v>
      </c>
    </row>
    <row r="176" spans="3:26" x14ac:dyDescent="0.25">
      <c r="C176" s="391" t="str">
        <f ca="1">IF($B$1="Geral",Tabela1[[#This Row],[Tag do Cabo]],IFERROR(INDEX(INDIRECT("BD!$A"&amp;D176&amp;":$A100000"),E176,1),""))</f>
        <v/>
      </c>
      <c r="D176" s="391" t="str">
        <f t="shared" ca="1" si="10"/>
        <v/>
      </c>
      <c r="E176" s="391" t="str">
        <f t="shared" ca="1" si="11"/>
        <v/>
      </c>
      <c r="F176" s="23" t="str">
        <f ca="1">IFERROR(VLOOKUP(Tabela4[[#This Row],[Cabo]],BD!A:V,2,0),"")</f>
        <v/>
      </c>
      <c r="G176" s="391" t="str">
        <f ca="1">IFERROR(VLOOKUP(Tabela4[[#This Row],[Cabo]],BD!A:V,5,0),"")</f>
        <v/>
      </c>
      <c r="H176" s="23" t="str">
        <f ca="1">IFERROR(VLOOKUP(Tabela4[[#This Row],[Cabo]],BD!A:V,3,0),"")</f>
        <v/>
      </c>
      <c r="I176" s="23" t="str">
        <f ca="1">IFERROR(VLOOKUP(Tabela4[[#This Row],[Cabo]],BD!A:V,4,0),"")</f>
        <v/>
      </c>
      <c r="J176" s="23" t="str">
        <f ca="1">IFERROR(VLOOKUP(Tabela4[[#This Row],[Cabo]],BD!A:V,7,0),"")</f>
        <v/>
      </c>
      <c r="K17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6" s="23" t="str">
        <f ca="1">IFERROR(VLOOKUP(Tabela4[[#This Row],[Cabo]],BD!A:V,9,0),"")</f>
        <v/>
      </c>
      <c r="M176" s="23" t="str">
        <f ca="1">IFERROR(VLOOKUP(Tabela4[[#This Row],[Cabo]],BD!A:AD,30,0),"")</f>
        <v/>
      </c>
      <c r="N176" s="23" t="str">
        <f ca="1">IF(SUMIF('Lançamento de Cabos'!B:B,Tabela4[[#This Row],[Cabo]],'Lançamento de Cabos'!C:C)=0,"",SUMIF('Lançamento de Cabos'!B:B,Tabela4[[#This Row],[Cabo]],'Lançamento de Cabos'!C:C))</f>
        <v/>
      </c>
      <c r="O176" s="28" t="str">
        <f ca="1">IFERROR(IF(Tabela4[[#This Row],[Compr. Lançado]]/Tabela4[[#This Row],[Compr. Prev.]]&gt;1,1,Tabela4[[#This Row],[Compr. Lançado]]/Tabela4[[#This Row],[Compr. Prev.]]),"")</f>
        <v/>
      </c>
      <c r="P176" s="24" t="str">
        <f ca="1">IFERROR(VLOOKUP(Tabela4[[#This Row],[Cabo]],BD!A:V,11,0),"")</f>
        <v/>
      </c>
      <c r="Q176" s="24" t="str">
        <f ca="1">IFERROR(VLOOKUP(Tabela4[[#This Row],[Cabo]],BD!A:V,12,0),"")</f>
        <v/>
      </c>
      <c r="R17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6" s="23" t="str">
        <f ca="1">IF(Tabela4[[#This Row],[Cabo]]&lt;&gt;"",4-COUNTIF(Tabela4[[#This Row],[Teste de Continuidade]:[Hipot]],"---"),"")</f>
        <v/>
      </c>
      <c r="W176" s="29" t="str">
        <f ca="1">IF(Tabela4[[#This Row],[Cabo]]&lt;&gt;"",(COUNTIF(Tabela4[[#This Row],[Teste de Continuidade]:[Hipot]],"OK"))/(4-COUNTIF(Tabela4[[#This Row],[Teste de Continuidade]:[Hipot]],"---")),"")</f>
        <v/>
      </c>
      <c r="X176" s="23" t="str">
        <f ca="1">IF(Tabela4[[#This Row],[Cabo]]&lt;&gt;"",SUMIFS('Lançamento de Cabos'!$AF:$AF,'Lançamento de Cabos'!AE:AE,Tabela4[[#This Row],[Cabo]],'Lançamento de Cabos'!AJ:AJ,Área!$B$1),"")</f>
        <v/>
      </c>
      <c r="Y176" s="23" t="str">
        <f ca="1">IF(Tabela4[[#This Row],[Cabo]]&lt;&gt;"",SUMIFS('Lançamento de Cabos'!$AG:$AG,'Lançamento de Cabos'!AE:AE,Tabela4[[#This Row],[Cabo]],'Lançamento de Cabos'!AJ:AJ,Área!$B$1),"")</f>
        <v/>
      </c>
      <c r="Z176" s="23" t="e">
        <f ca="1">VLOOKUP(Tabela4[[#This Row],[Cabo]],BD!A:AB,28,0)</f>
        <v>#N/A</v>
      </c>
    </row>
    <row r="177" spans="3:26" x14ac:dyDescent="0.25">
      <c r="C177" s="391" t="str">
        <f ca="1">IF($B$1="Geral",Tabela1[[#This Row],[Tag do Cabo]],IFERROR(INDEX(INDIRECT("BD!$A"&amp;D177&amp;":$A100000"),E177,1),""))</f>
        <v/>
      </c>
      <c r="D177" s="391" t="str">
        <f t="shared" ca="1" si="10"/>
        <v/>
      </c>
      <c r="E177" s="391" t="str">
        <f t="shared" ca="1" si="11"/>
        <v/>
      </c>
      <c r="F177" s="23" t="str">
        <f ca="1">IFERROR(VLOOKUP(Tabela4[[#This Row],[Cabo]],BD!A:V,2,0),"")</f>
        <v/>
      </c>
      <c r="G177" s="391" t="str">
        <f ca="1">IFERROR(VLOOKUP(Tabela4[[#This Row],[Cabo]],BD!A:V,5,0),"")</f>
        <v/>
      </c>
      <c r="H177" s="23" t="str">
        <f ca="1">IFERROR(VLOOKUP(Tabela4[[#This Row],[Cabo]],BD!A:V,3,0),"")</f>
        <v/>
      </c>
      <c r="I177" s="23" t="str">
        <f ca="1">IFERROR(VLOOKUP(Tabela4[[#This Row],[Cabo]],BD!A:V,4,0),"")</f>
        <v/>
      </c>
      <c r="J177" s="23" t="str">
        <f ca="1">IFERROR(VLOOKUP(Tabela4[[#This Row],[Cabo]],BD!A:V,7,0),"")</f>
        <v/>
      </c>
      <c r="K17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7" s="23" t="str">
        <f ca="1">IFERROR(VLOOKUP(Tabela4[[#This Row],[Cabo]],BD!A:V,9,0),"")</f>
        <v/>
      </c>
      <c r="M177" s="23" t="str">
        <f ca="1">IFERROR(VLOOKUP(Tabela4[[#This Row],[Cabo]],BD!A:AD,30,0),"")</f>
        <v/>
      </c>
      <c r="N177" s="23" t="str">
        <f ca="1">IF(SUMIF('Lançamento de Cabos'!B:B,Tabela4[[#This Row],[Cabo]],'Lançamento de Cabos'!C:C)=0,"",SUMIF('Lançamento de Cabos'!B:B,Tabela4[[#This Row],[Cabo]],'Lançamento de Cabos'!C:C))</f>
        <v/>
      </c>
      <c r="O177" s="28" t="str">
        <f ca="1">IFERROR(IF(Tabela4[[#This Row],[Compr. Lançado]]/Tabela4[[#This Row],[Compr. Prev.]]&gt;1,1,Tabela4[[#This Row],[Compr. Lançado]]/Tabela4[[#This Row],[Compr. Prev.]]),"")</f>
        <v/>
      </c>
      <c r="P177" s="24" t="str">
        <f ca="1">IFERROR(VLOOKUP(Tabela4[[#This Row],[Cabo]],BD!A:V,11,0),"")</f>
        <v/>
      </c>
      <c r="Q177" s="24" t="str">
        <f ca="1">IFERROR(VLOOKUP(Tabela4[[#This Row],[Cabo]],BD!A:V,12,0),"")</f>
        <v/>
      </c>
      <c r="R17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7" s="23" t="str">
        <f ca="1">IF(Tabela4[[#This Row],[Cabo]]&lt;&gt;"",4-COUNTIF(Tabela4[[#This Row],[Teste de Continuidade]:[Hipot]],"---"),"")</f>
        <v/>
      </c>
      <c r="W177" s="29" t="str">
        <f ca="1">IF(Tabela4[[#This Row],[Cabo]]&lt;&gt;"",(COUNTIF(Tabela4[[#This Row],[Teste de Continuidade]:[Hipot]],"OK"))/(4-COUNTIF(Tabela4[[#This Row],[Teste de Continuidade]:[Hipot]],"---")),"")</f>
        <v/>
      </c>
      <c r="X177" s="23" t="str">
        <f ca="1">IF(Tabela4[[#This Row],[Cabo]]&lt;&gt;"",SUMIFS('Lançamento de Cabos'!$AF:$AF,'Lançamento de Cabos'!AE:AE,Tabela4[[#This Row],[Cabo]],'Lançamento de Cabos'!AJ:AJ,Área!$B$1),"")</f>
        <v/>
      </c>
      <c r="Y177" s="23" t="str">
        <f ca="1">IF(Tabela4[[#This Row],[Cabo]]&lt;&gt;"",SUMIFS('Lançamento de Cabos'!$AG:$AG,'Lançamento de Cabos'!AE:AE,Tabela4[[#This Row],[Cabo]],'Lançamento de Cabos'!AJ:AJ,Área!$B$1),"")</f>
        <v/>
      </c>
      <c r="Z177" s="23" t="e">
        <f ca="1">VLOOKUP(Tabela4[[#This Row],[Cabo]],BD!A:AB,28,0)</f>
        <v>#N/A</v>
      </c>
    </row>
    <row r="178" spans="3:26" x14ac:dyDescent="0.25">
      <c r="C178" s="391" t="str">
        <f ca="1">IF($B$1="Geral",Tabela1[[#This Row],[Tag do Cabo]],IFERROR(INDEX(INDIRECT("BD!$A"&amp;D178&amp;":$A100000"),E178,1),""))</f>
        <v/>
      </c>
      <c r="D178" s="391" t="str">
        <f t="shared" ca="1" si="10"/>
        <v/>
      </c>
      <c r="E178" s="391" t="str">
        <f t="shared" ca="1" si="11"/>
        <v/>
      </c>
      <c r="F178" s="23" t="str">
        <f ca="1">IFERROR(VLOOKUP(Tabela4[[#This Row],[Cabo]],BD!A:V,2,0),"")</f>
        <v/>
      </c>
      <c r="G178" s="391" t="str">
        <f ca="1">IFERROR(VLOOKUP(Tabela4[[#This Row],[Cabo]],BD!A:V,5,0),"")</f>
        <v/>
      </c>
      <c r="H178" s="23" t="str">
        <f ca="1">IFERROR(VLOOKUP(Tabela4[[#This Row],[Cabo]],BD!A:V,3,0),"")</f>
        <v/>
      </c>
      <c r="I178" s="23" t="str">
        <f ca="1">IFERROR(VLOOKUP(Tabela4[[#This Row],[Cabo]],BD!A:V,4,0),"")</f>
        <v/>
      </c>
      <c r="J178" s="23" t="str">
        <f ca="1">IFERROR(VLOOKUP(Tabela4[[#This Row],[Cabo]],BD!A:V,7,0),"")</f>
        <v/>
      </c>
      <c r="K17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8" s="23" t="str">
        <f ca="1">IFERROR(VLOOKUP(Tabela4[[#This Row],[Cabo]],BD!A:V,9,0),"")</f>
        <v/>
      </c>
      <c r="M178" s="23" t="str">
        <f ca="1">IFERROR(VLOOKUP(Tabela4[[#This Row],[Cabo]],BD!A:AD,30,0),"")</f>
        <v/>
      </c>
      <c r="N178" s="23" t="str">
        <f ca="1">IF(SUMIF('Lançamento de Cabos'!B:B,Tabela4[[#This Row],[Cabo]],'Lançamento de Cabos'!C:C)=0,"",SUMIF('Lançamento de Cabos'!B:B,Tabela4[[#This Row],[Cabo]],'Lançamento de Cabos'!C:C))</f>
        <v/>
      </c>
      <c r="O178" s="28" t="str">
        <f ca="1">IFERROR(IF(Tabela4[[#This Row],[Compr. Lançado]]/Tabela4[[#This Row],[Compr. Prev.]]&gt;1,1,Tabela4[[#This Row],[Compr. Lançado]]/Tabela4[[#This Row],[Compr. Prev.]]),"")</f>
        <v/>
      </c>
      <c r="P178" s="24" t="str">
        <f ca="1">IFERROR(VLOOKUP(Tabela4[[#This Row],[Cabo]],BD!A:V,11,0),"")</f>
        <v/>
      </c>
      <c r="Q178" s="24" t="str">
        <f ca="1">IFERROR(VLOOKUP(Tabela4[[#This Row],[Cabo]],BD!A:V,12,0),"")</f>
        <v/>
      </c>
      <c r="R17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8" s="23" t="str">
        <f ca="1">IF(Tabela4[[#This Row],[Cabo]]&lt;&gt;"",4-COUNTIF(Tabela4[[#This Row],[Teste de Continuidade]:[Hipot]],"---"),"")</f>
        <v/>
      </c>
      <c r="W178" s="29" t="str">
        <f ca="1">IF(Tabela4[[#This Row],[Cabo]]&lt;&gt;"",(COUNTIF(Tabela4[[#This Row],[Teste de Continuidade]:[Hipot]],"OK"))/(4-COUNTIF(Tabela4[[#This Row],[Teste de Continuidade]:[Hipot]],"---")),"")</f>
        <v/>
      </c>
      <c r="X178" s="23" t="str">
        <f ca="1">IF(Tabela4[[#This Row],[Cabo]]&lt;&gt;"",SUMIFS('Lançamento de Cabos'!$AF:$AF,'Lançamento de Cabos'!AE:AE,Tabela4[[#This Row],[Cabo]],'Lançamento de Cabos'!AJ:AJ,Área!$B$1),"")</f>
        <v/>
      </c>
      <c r="Y178" s="23" t="str">
        <f ca="1">IF(Tabela4[[#This Row],[Cabo]]&lt;&gt;"",SUMIFS('Lançamento de Cabos'!$AG:$AG,'Lançamento de Cabos'!AE:AE,Tabela4[[#This Row],[Cabo]],'Lançamento de Cabos'!AJ:AJ,Área!$B$1),"")</f>
        <v/>
      </c>
      <c r="Z178" s="23" t="e">
        <f ca="1">VLOOKUP(Tabela4[[#This Row],[Cabo]],BD!A:AB,28,0)</f>
        <v>#N/A</v>
      </c>
    </row>
    <row r="179" spans="3:26" x14ac:dyDescent="0.25">
      <c r="C179" s="391" t="str">
        <f ca="1">IF($B$1="Geral",Tabela1[[#This Row],[Tag do Cabo]],IFERROR(INDEX(INDIRECT("BD!$A"&amp;D179&amp;":$A100000"),E179,1),""))</f>
        <v/>
      </c>
      <c r="D179" s="391" t="str">
        <f t="shared" ca="1" si="10"/>
        <v/>
      </c>
      <c r="E179" s="391" t="str">
        <f t="shared" ca="1" si="11"/>
        <v/>
      </c>
      <c r="F179" s="23" t="str">
        <f ca="1">IFERROR(VLOOKUP(Tabela4[[#This Row],[Cabo]],BD!A:V,2,0),"")</f>
        <v/>
      </c>
      <c r="G179" s="391" t="str">
        <f ca="1">IFERROR(VLOOKUP(Tabela4[[#This Row],[Cabo]],BD!A:V,5,0),"")</f>
        <v/>
      </c>
      <c r="H179" s="23" t="str">
        <f ca="1">IFERROR(VLOOKUP(Tabela4[[#This Row],[Cabo]],BD!A:V,3,0),"")</f>
        <v/>
      </c>
      <c r="I179" s="23" t="str">
        <f ca="1">IFERROR(VLOOKUP(Tabela4[[#This Row],[Cabo]],BD!A:V,4,0),"")</f>
        <v/>
      </c>
      <c r="J179" s="23" t="str">
        <f ca="1">IFERROR(VLOOKUP(Tabela4[[#This Row],[Cabo]],BD!A:V,7,0),"")</f>
        <v/>
      </c>
      <c r="K17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79" s="23" t="str">
        <f ca="1">IFERROR(VLOOKUP(Tabela4[[#This Row],[Cabo]],BD!A:V,9,0),"")</f>
        <v/>
      </c>
      <c r="M179" s="23" t="str">
        <f ca="1">IFERROR(VLOOKUP(Tabela4[[#This Row],[Cabo]],BD!A:AD,30,0),"")</f>
        <v/>
      </c>
      <c r="N179" s="23" t="str">
        <f ca="1">IF(SUMIF('Lançamento de Cabos'!B:B,Tabela4[[#This Row],[Cabo]],'Lançamento de Cabos'!C:C)=0,"",SUMIF('Lançamento de Cabos'!B:B,Tabela4[[#This Row],[Cabo]],'Lançamento de Cabos'!C:C))</f>
        <v/>
      </c>
      <c r="O179" s="28" t="str">
        <f ca="1">IFERROR(IF(Tabela4[[#This Row],[Compr. Lançado]]/Tabela4[[#This Row],[Compr. Prev.]]&gt;1,1,Tabela4[[#This Row],[Compr. Lançado]]/Tabela4[[#This Row],[Compr. Prev.]]),"")</f>
        <v/>
      </c>
      <c r="P179" s="24" t="str">
        <f ca="1">IFERROR(VLOOKUP(Tabela4[[#This Row],[Cabo]],BD!A:V,11,0),"")</f>
        <v/>
      </c>
      <c r="Q179" s="24" t="str">
        <f ca="1">IFERROR(VLOOKUP(Tabela4[[#This Row],[Cabo]],BD!A:V,12,0),"")</f>
        <v/>
      </c>
      <c r="R17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7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7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7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79" s="23" t="str">
        <f ca="1">IF(Tabela4[[#This Row],[Cabo]]&lt;&gt;"",4-COUNTIF(Tabela4[[#This Row],[Teste de Continuidade]:[Hipot]],"---"),"")</f>
        <v/>
      </c>
      <c r="W179" s="29" t="str">
        <f ca="1">IF(Tabela4[[#This Row],[Cabo]]&lt;&gt;"",(COUNTIF(Tabela4[[#This Row],[Teste de Continuidade]:[Hipot]],"OK"))/(4-COUNTIF(Tabela4[[#This Row],[Teste de Continuidade]:[Hipot]],"---")),"")</f>
        <v/>
      </c>
      <c r="X179" s="23" t="str">
        <f ca="1">IF(Tabela4[[#This Row],[Cabo]]&lt;&gt;"",SUMIFS('Lançamento de Cabos'!$AF:$AF,'Lançamento de Cabos'!AE:AE,Tabela4[[#This Row],[Cabo]],'Lançamento de Cabos'!AJ:AJ,Área!$B$1),"")</f>
        <v/>
      </c>
      <c r="Y179" s="23" t="str">
        <f ca="1">IF(Tabela4[[#This Row],[Cabo]]&lt;&gt;"",SUMIFS('Lançamento de Cabos'!$AG:$AG,'Lançamento de Cabos'!AE:AE,Tabela4[[#This Row],[Cabo]],'Lançamento de Cabos'!AJ:AJ,Área!$B$1),"")</f>
        <v/>
      </c>
      <c r="Z179" s="23" t="e">
        <f ca="1">VLOOKUP(Tabela4[[#This Row],[Cabo]],BD!A:AB,28,0)</f>
        <v>#N/A</v>
      </c>
    </row>
    <row r="180" spans="3:26" x14ac:dyDescent="0.25">
      <c r="C180" s="391" t="str">
        <f ca="1">IF($B$1="Geral",Tabela1[[#This Row],[Tag do Cabo]],IFERROR(INDEX(INDIRECT("BD!$A"&amp;D180&amp;":$A100000"),E180,1),""))</f>
        <v/>
      </c>
      <c r="D180" s="391" t="str">
        <f t="shared" ca="1" si="10"/>
        <v/>
      </c>
      <c r="E180" s="391" t="str">
        <f t="shared" ca="1" si="11"/>
        <v/>
      </c>
      <c r="F180" s="23" t="str">
        <f ca="1">IFERROR(VLOOKUP(Tabela4[[#This Row],[Cabo]],BD!A:V,2,0),"")</f>
        <v/>
      </c>
      <c r="G180" s="391" t="str">
        <f ca="1">IFERROR(VLOOKUP(Tabela4[[#This Row],[Cabo]],BD!A:V,5,0),"")</f>
        <v/>
      </c>
      <c r="H180" s="23" t="str">
        <f ca="1">IFERROR(VLOOKUP(Tabela4[[#This Row],[Cabo]],BD!A:V,3,0),"")</f>
        <v/>
      </c>
      <c r="I180" s="23" t="str">
        <f ca="1">IFERROR(VLOOKUP(Tabela4[[#This Row],[Cabo]],BD!A:V,4,0),"")</f>
        <v/>
      </c>
      <c r="J180" s="23" t="str">
        <f ca="1">IFERROR(VLOOKUP(Tabela4[[#This Row],[Cabo]],BD!A:V,7,0),"")</f>
        <v/>
      </c>
      <c r="K18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0" s="23" t="str">
        <f ca="1">IFERROR(VLOOKUP(Tabela4[[#This Row],[Cabo]],BD!A:V,9,0),"")</f>
        <v/>
      </c>
      <c r="M180" s="23" t="str">
        <f ca="1">IFERROR(VLOOKUP(Tabela4[[#This Row],[Cabo]],BD!A:AD,30,0),"")</f>
        <v/>
      </c>
      <c r="N180" s="23" t="str">
        <f ca="1">IF(SUMIF('Lançamento de Cabos'!B:B,Tabela4[[#This Row],[Cabo]],'Lançamento de Cabos'!C:C)=0,"",SUMIF('Lançamento de Cabos'!B:B,Tabela4[[#This Row],[Cabo]],'Lançamento de Cabos'!C:C))</f>
        <v/>
      </c>
      <c r="O180" s="28" t="str">
        <f ca="1">IFERROR(IF(Tabela4[[#This Row],[Compr. Lançado]]/Tabela4[[#This Row],[Compr. Prev.]]&gt;1,1,Tabela4[[#This Row],[Compr. Lançado]]/Tabela4[[#This Row],[Compr. Prev.]]),"")</f>
        <v/>
      </c>
      <c r="P180" s="24" t="str">
        <f ca="1">IFERROR(VLOOKUP(Tabela4[[#This Row],[Cabo]],BD!A:V,11,0),"")</f>
        <v/>
      </c>
      <c r="Q180" s="24" t="str">
        <f ca="1">IFERROR(VLOOKUP(Tabela4[[#This Row],[Cabo]],BD!A:V,12,0),"")</f>
        <v/>
      </c>
      <c r="R18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0" s="23" t="str">
        <f ca="1">IF(Tabela4[[#This Row],[Cabo]]&lt;&gt;"",4-COUNTIF(Tabela4[[#This Row],[Teste de Continuidade]:[Hipot]],"---"),"")</f>
        <v/>
      </c>
      <c r="W180" s="29" t="str">
        <f ca="1">IF(Tabela4[[#This Row],[Cabo]]&lt;&gt;"",(COUNTIF(Tabela4[[#This Row],[Teste de Continuidade]:[Hipot]],"OK"))/(4-COUNTIF(Tabela4[[#This Row],[Teste de Continuidade]:[Hipot]],"---")),"")</f>
        <v/>
      </c>
      <c r="X180" s="23" t="str">
        <f ca="1">IF(Tabela4[[#This Row],[Cabo]]&lt;&gt;"",SUMIFS('Lançamento de Cabos'!$AF:$AF,'Lançamento de Cabos'!AE:AE,Tabela4[[#This Row],[Cabo]],'Lançamento de Cabos'!AJ:AJ,Área!$B$1),"")</f>
        <v/>
      </c>
      <c r="Y180" s="23" t="str">
        <f ca="1">IF(Tabela4[[#This Row],[Cabo]]&lt;&gt;"",SUMIFS('Lançamento de Cabos'!$AG:$AG,'Lançamento de Cabos'!AE:AE,Tabela4[[#This Row],[Cabo]],'Lançamento de Cabos'!AJ:AJ,Área!$B$1),"")</f>
        <v/>
      </c>
      <c r="Z180" s="23" t="e">
        <f ca="1">VLOOKUP(Tabela4[[#This Row],[Cabo]],BD!A:AB,28,0)</f>
        <v>#N/A</v>
      </c>
    </row>
    <row r="181" spans="3:26" x14ac:dyDescent="0.25">
      <c r="C181" s="391" t="str">
        <f ca="1">IF($B$1="Geral",Tabela1[[#This Row],[Tag do Cabo]],IFERROR(INDEX(INDIRECT("BD!$A"&amp;D181&amp;":$A100000"),E181,1),""))</f>
        <v/>
      </c>
      <c r="D181" s="391" t="str">
        <f t="shared" ca="1" si="10"/>
        <v/>
      </c>
      <c r="E181" s="391" t="str">
        <f t="shared" ca="1" si="11"/>
        <v/>
      </c>
      <c r="F181" s="23" t="str">
        <f ca="1">IFERROR(VLOOKUP(Tabela4[[#This Row],[Cabo]],BD!A:V,2,0),"")</f>
        <v/>
      </c>
      <c r="G181" s="391" t="str">
        <f ca="1">IFERROR(VLOOKUP(Tabela4[[#This Row],[Cabo]],BD!A:V,5,0),"")</f>
        <v/>
      </c>
      <c r="H181" s="23" t="str">
        <f ca="1">IFERROR(VLOOKUP(Tabela4[[#This Row],[Cabo]],BD!A:V,3,0),"")</f>
        <v/>
      </c>
      <c r="I181" s="23" t="str">
        <f ca="1">IFERROR(VLOOKUP(Tabela4[[#This Row],[Cabo]],BD!A:V,4,0),"")</f>
        <v/>
      </c>
      <c r="J181" s="23" t="str">
        <f ca="1">IFERROR(VLOOKUP(Tabela4[[#This Row],[Cabo]],BD!A:V,7,0),"")</f>
        <v/>
      </c>
      <c r="K18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1" s="23" t="str">
        <f ca="1">IFERROR(VLOOKUP(Tabela4[[#This Row],[Cabo]],BD!A:V,9,0),"")</f>
        <v/>
      </c>
      <c r="M181" s="23" t="str">
        <f ca="1">IFERROR(VLOOKUP(Tabela4[[#This Row],[Cabo]],BD!A:AD,30,0),"")</f>
        <v/>
      </c>
      <c r="N181" s="23" t="str">
        <f ca="1">IF(SUMIF('Lançamento de Cabos'!B:B,Tabela4[[#This Row],[Cabo]],'Lançamento de Cabos'!C:C)=0,"",SUMIF('Lançamento de Cabos'!B:B,Tabela4[[#This Row],[Cabo]],'Lançamento de Cabos'!C:C))</f>
        <v/>
      </c>
      <c r="O181" s="28" t="str">
        <f ca="1">IFERROR(IF(Tabela4[[#This Row],[Compr. Lançado]]/Tabela4[[#This Row],[Compr. Prev.]]&gt;1,1,Tabela4[[#This Row],[Compr. Lançado]]/Tabela4[[#This Row],[Compr. Prev.]]),"")</f>
        <v/>
      </c>
      <c r="P181" s="24" t="str">
        <f ca="1">IFERROR(VLOOKUP(Tabela4[[#This Row],[Cabo]],BD!A:V,11,0),"")</f>
        <v/>
      </c>
      <c r="Q181" s="24" t="str">
        <f ca="1">IFERROR(VLOOKUP(Tabela4[[#This Row],[Cabo]],BD!A:V,12,0),"")</f>
        <v/>
      </c>
      <c r="R18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1" s="23" t="str">
        <f ca="1">IF(Tabela4[[#This Row],[Cabo]]&lt;&gt;"",4-COUNTIF(Tabela4[[#This Row],[Teste de Continuidade]:[Hipot]],"---"),"")</f>
        <v/>
      </c>
      <c r="W181" s="29" t="str">
        <f ca="1">IF(Tabela4[[#This Row],[Cabo]]&lt;&gt;"",(COUNTIF(Tabela4[[#This Row],[Teste de Continuidade]:[Hipot]],"OK"))/(4-COUNTIF(Tabela4[[#This Row],[Teste de Continuidade]:[Hipot]],"---")),"")</f>
        <v/>
      </c>
      <c r="X181" s="23" t="str">
        <f ca="1">IF(Tabela4[[#This Row],[Cabo]]&lt;&gt;"",SUMIFS('Lançamento de Cabos'!$AF:$AF,'Lançamento de Cabos'!AE:AE,Tabela4[[#This Row],[Cabo]],'Lançamento de Cabos'!AJ:AJ,Área!$B$1),"")</f>
        <v/>
      </c>
      <c r="Y181" s="23" t="str">
        <f ca="1">IF(Tabela4[[#This Row],[Cabo]]&lt;&gt;"",SUMIFS('Lançamento de Cabos'!$AG:$AG,'Lançamento de Cabos'!AE:AE,Tabela4[[#This Row],[Cabo]],'Lançamento de Cabos'!AJ:AJ,Área!$B$1),"")</f>
        <v/>
      </c>
      <c r="Z181" s="23" t="e">
        <f ca="1">VLOOKUP(Tabela4[[#This Row],[Cabo]],BD!A:AB,28,0)</f>
        <v>#N/A</v>
      </c>
    </row>
    <row r="182" spans="3:26" x14ac:dyDescent="0.25">
      <c r="C182" s="391" t="str">
        <f ca="1">IF($B$1="Geral",Tabela1[[#This Row],[Tag do Cabo]],IFERROR(INDEX(INDIRECT("BD!$A"&amp;D182&amp;":$A100000"),E182,1),""))</f>
        <v/>
      </c>
      <c r="D182" s="391" t="str">
        <f t="shared" ca="1" si="10"/>
        <v/>
      </c>
      <c r="E182" s="391" t="str">
        <f t="shared" ca="1" si="11"/>
        <v/>
      </c>
      <c r="F182" s="23" t="str">
        <f ca="1">IFERROR(VLOOKUP(Tabela4[[#This Row],[Cabo]],BD!A:V,2,0),"")</f>
        <v/>
      </c>
      <c r="G182" s="391" t="str">
        <f ca="1">IFERROR(VLOOKUP(Tabela4[[#This Row],[Cabo]],BD!A:V,5,0),"")</f>
        <v/>
      </c>
      <c r="H182" s="23" t="str">
        <f ca="1">IFERROR(VLOOKUP(Tabela4[[#This Row],[Cabo]],BD!A:V,3,0),"")</f>
        <v/>
      </c>
      <c r="I182" s="23" t="str">
        <f ca="1">IFERROR(VLOOKUP(Tabela4[[#This Row],[Cabo]],BD!A:V,4,0),"")</f>
        <v/>
      </c>
      <c r="J182" s="23" t="str">
        <f ca="1">IFERROR(VLOOKUP(Tabela4[[#This Row],[Cabo]],BD!A:V,7,0),"")</f>
        <v/>
      </c>
      <c r="K18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2" s="23" t="str">
        <f ca="1">IFERROR(VLOOKUP(Tabela4[[#This Row],[Cabo]],BD!A:V,9,0),"")</f>
        <v/>
      </c>
      <c r="M182" s="23" t="str">
        <f ca="1">IFERROR(VLOOKUP(Tabela4[[#This Row],[Cabo]],BD!A:AD,30,0),"")</f>
        <v/>
      </c>
      <c r="N182" s="23" t="str">
        <f ca="1">IF(SUMIF('Lançamento de Cabos'!B:B,Tabela4[[#This Row],[Cabo]],'Lançamento de Cabos'!C:C)=0,"",SUMIF('Lançamento de Cabos'!B:B,Tabela4[[#This Row],[Cabo]],'Lançamento de Cabos'!C:C))</f>
        <v/>
      </c>
      <c r="O182" s="28" t="str">
        <f ca="1">IFERROR(IF(Tabela4[[#This Row],[Compr. Lançado]]/Tabela4[[#This Row],[Compr. Prev.]]&gt;1,1,Tabela4[[#This Row],[Compr. Lançado]]/Tabela4[[#This Row],[Compr. Prev.]]),"")</f>
        <v/>
      </c>
      <c r="P182" s="24" t="str">
        <f ca="1">IFERROR(VLOOKUP(Tabela4[[#This Row],[Cabo]],BD!A:V,11,0),"")</f>
        <v/>
      </c>
      <c r="Q182" s="24" t="str">
        <f ca="1">IFERROR(VLOOKUP(Tabela4[[#This Row],[Cabo]],BD!A:V,12,0),"")</f>
        <v/>
      </c>
      <c r="R18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2" s="23" t="str">
        <f ca="1">IF(Tabela4[[#This Row],[Cabo]]&lt;&gt;"",4-COUNTIF(Tabela4[[#This Row],[Teste de Continuidade]:[Hipot]],"---"),"")</f>
        <v/>
      </c>
      <c r="W182" s="29" t="str">
        <f ca="1">IF(Tabela4[[#This Row],[Cabo]]&lt;&gt;"",(COUNTIF(Tabela4[[#This Row],[Teste de Continuidade]:[Hipot]],"OK"))/(4-COUNTIF(Tabela4[[#This Row],[Teste de Continuidade]:[Hipot]],"---")),"")</f>
        <v/>
      </c>
      <c r="X182" s="23" t="str">
        <f ca="1">IF(Tabela4[[#This Row],[Cabo]]&lt;&gt;"",SUMIFS('Lançamento de Cabos'!$AF:$AF,'Lançamento de Cabos'!AE:AE,Tabela4[[#This Row],[Cabo]],'Lançamento de Cabos'!AJ:AJ,Área!$B$1),"")</f>
        <v/>
      </c>
      <c r="Y182" s="23" t="str">
        <f ca="1">IF(Tabela4[[#This Row],[Cabo]]&lt;&gt;"",SUMIFS('Lançamento de Cabos'!$AG:$AG,'Lançamento de Cabos'!AE:AE,Tabela4[[#This Row],[Cabo]],'Lançamento de Cabos'!AJ:AJ,Área!$B$1),"")</f>
        <v/>
      </c>
      <c r="Z182" s="23" t="e">
        <f ca="1">VLOOKUP(Tabela4[[#This Row],[Cabo]],BD!A:AB,28,0)</f>
        <v>#N/A</v>
      </c>
    </row>
    <row r="183" spans="3:26" x14ac:dyDescent="0.25">
      <c r="C183" s="391" t="str">
        <f ca="1">IF($B$1="Geral",Tabela1[[#This Row],[Tag do Cabo]],IFERROR(INDEX(INDIRECT("BD!$A"&amp;D183&amp;":$A100000"),E183,1),""))</f>
        <v/>
      </c>
      <c r="D183" s="391" t="str">
        <f t="shared" ca="1" si="10"/>
        <v/>
      </c>
      <c r="E183" s="391" t="str">
        <f t="shared" ca="1" si="11"/>
        <v/>
      </c>
      <c r="F183" s="23" t="str">
        <f ca="1">IFERROR(VLOOKUP(Tabela4[[#This Row],[Cabo]],BD!A:V,2,0),"")</f>
        <v/>
      </c>
      <c r="G183" s="391" t="str">
        <f ca="1">IFERROR(VLOOKUP(Tabela4[[#This Row],[Cabo]],BD!A:V,5,0),"")</f>
        <v/>
      </c>
      <c r="H183" s="23" t="str">
        <f ca="1">IFERROR(VLOOKUP(Tabela4[[#This Row],[Cabo]],BD!A:V,3,0),"")</f>
        <v/>
      </c>
      <c r="I183" s="23" t="str">
        <f ca="1">IFERROR(VLOOKUP(Tabela4[[#This Row],[Cabo]],BD!A:V,4,0),"")</f>
        <v/>
      </c>
      <c r="J183" s="23" t="str">
        <f ca="1">IFERROR(VLOOKUP(Tabela4[[#This Row],[Cabo]],BD!A:V,7,0),"")</f>
        <v/>
      </c>
      <c r="K18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3" s="23" t="str">
        <f ca="1">IFERROR(VLOOKUP(Tabela4[[#This Row],[Cabo]],BD!A:V,9,0),"")</f>
        <v/>
      </c>
      <c r="M183" s="23" t="str">
        <f ca="1">IFERROR(VLOOKUP(Tabela4[[#This Row],[Cabo]],BD!A:AD,30,0),"")</f>
        <v/>
      </c>
      <c r="N183" s="23" t="str">
        <f ca="1">IF(SUMIF('Lançamento de Cabos'!B:B,Tabela4[[#This Row],[Cabo]],'Lançamento de Cabos'!C:C)=0,"",SUMIF('Lançamento de Cabos'!B:B,Tabela4[[#This Row],[Cabo]],'Lançamento de Cabos'!C:C))</f>
        <v/>
      </c>
      <c r="O183" s="28" t="str">
        <f ca="1">IFERROR(IF(Tabela4[[#This Row],[Compr. Lançado]]/Tabela4[[#This Row],[Compr. Prev.]]&gt;1,1,Tabela4[[#This Row],[Compr. Lançado]]/Tabela4[[#This Row],[Compr. Prev.]]),"")</f>
        <v/>
      </c>
      <c r="P183" s="24" t="str">
        <f ca="1">IFERROR(VLOOKUP(Tabela4[[#This Row],[Cabo]],BD!A:V,11,0),"")</f>
        <v/>
      </c>
      <c r="Q183" s="24" t="str">
        <f ca="1">IFERROR(VLOOKUP(Tabela4[[#This Row],[Cabo]],BD!A:V,12,0),"")</f>
        <v/>
      </c>
      <c r="R18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3" s="23" t="str">
        <f ca="1">IF(Tabela4[[#This Row],[Cabo]]&lt;&gt;"",4-COUNTIF(Tabela4[[#This Row],[Teste de Continuidade]:[Hipot]],"---"),"")</f>
        <v/>
      </c>
      <c r="W183" s="29" t="str">
        <f ca="1">IF(Tabela4[[#This Row],[Cabo]]&lt;&gt;"",(COUNTIF(Tabela4[[#This Row],[Teste de Continuidade]:[Hipot]],"OK"))/(4-COUNTIF(Tabela4[[#This Row],[Teste de Continuidade]:[Hipot]],"---")),"")</f>
        <v/>
      </c>
      <c r="X183" s="23" t="str">
        <f ca="1">IF(Tabela4[[#This Row],[Cabo]]&lt;&gt;"",SUMIFS('Lançamento de Cabos'!$AF:$AF,'Lançamento de Cabos'!AE:AE,Tabela4[[#This Row],[Cabo]],'Lançamento de Cabos'!AJ:AJ,Área!$B$1),"")</f>
        <v/>
      </c>
      <c r="Y183" s="23" t="str">
        <f ca="1">IF(Tabela4[[#This Row],[Cabo]]&lt;&gt;"",SUMIFS('Lançamento de Cabos'!$AG:$AG,'Lançamento de Cabos'!AE:AE,Tabela4[[#This Row],[Cabo]],'Lançamento de Cabos'!AJ:AJ,Área!$B$1),"")</f>
        <v/>
      </c>
      <c r="Z183" s="23" t="e">
        <f ca="1">VLOOKUP(Tabela4[[#This Row],[Cabo]],BD!A:AB,28,0)</f>
        <v>#N/A</v>
      </c>
    </row>
    <row r="184" spans="3:26" x14ac:dyDescent="0.25">
      <c r="C184" s="391" t="str">
        <f ca="1">IF($B$1="Geral",Tabela1[[#This Row],[Tag do Cabo]],IFERROR(INDEX(INDIRECT("BD!$A"&amp;D184&amp;":$A100000"),E184,1),""))</f>
        <v/>
      </c>
      <c r="D184" s="391" t="str">
        <f t="shared" ca="1" si="10"/>
        <v/>
      </c>
      <c r="E184" s="391" t="str">
        <f t="shared" ca="1" si="11"/>
        <v/>
      </c>
      <c r="F184" s="23" t="str">
        <f ca="1">IFERROR(VLOOKUP(Tabela4[[#This Row],[Cabo]],BD!A:V,2,0),"")</f>
        <v/>
      </c>
      <c r="G184" s="391" t="str">
        <f ca="1">IFERROR(VLOOKUP(Tabela4[[#This Row],[Cabo]],BD!A:V,5,0),"")</f>
        <v/>
      </c>
      <c r="H184" s="23" t="str">
        <f ca="1">IFERROR(VLOOKUP(Tabela4[[#This Row],[Cabo]],BD!A:V,3,0),"")</f>
        <v/>
      </c>
      <c r="I184" s="23" t="str">
        <f ca="1">IFERROR(VLOOKUP(Tabela4[[#This Row],[Cabo]],BD!A:V,4,0),"")</f>
        <v/>
      </c>
      <c r="J184" s="23" t="str">
        <f ca="1">IFERROR(VLOOKUP(Tabela4[[#This Row],[Cabo]],BD!A:V,7,0),"")</f>
        <v/>
      </c>
      <c r="K18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4" s="23" t="str">
        <f ca="1">IFERROR(VLOOKUP(Tabela4[[#This Row],[Cabo]],BD!A:V,9,0),"")</f>
        <v/>
      </c>
      <c r="M184" s="23" t="str">
        <f ca="1">IFERROR(VLOOKUP(Tabela4[[#This Row],[Cabo]],BD!A:AD,30,0),"")</f>
        <v/>
      </c>
      <c r="N184" s="23" t="str">
        <f ca="1">IF(SUMIF('Lançamento de Cabos'!B:B,Tabela4[[#This Row],[Cabo]],'Lançamento de Cabos'!C:C)=0,"",SUMIF('Lançamento de Cabos'!B:B,Tabela4[[#This Row],[Cabo]],'Lançamento de Cabos'!C:C))</f>
        <v/>
      </c>
      <c r="O184" s="28" t="str">
        <f ca="1">IFERROR(IF(Tabela4[[#This Row],[Compr. Lançado]]/Tabela4[[#This Row],[Compr. Prev.]]&gt;1,1,Tabela4[[#This Row],[Compr. Lançado]]/Tabela4[[#This Row],[Compr. Prev.]]),"")</f>
        <v/>
      </c>
      <c r="P184" s="24" t="str">
        <f ca="1">IFERROR(VLOOKUP(Tabela4[[#This Row],[Cabo]],BD!A:V,11,0),"")</f>
        <v/>
      </c>
      <c r="Q184" s="24" t="str">
        <f ca="1">IFERROR(VLOOKUP(Tabela4[[#This Row],[Cabo]],BD!A:V,12,0),"")</f>
        <v/>
      </c>
      <c r="R18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4" s="23" t="str">
        <f ca="1">IF(Tabela4[[#This Row],[Cabo]]&lt;&gt;"",4-COUNTIF(Tabela4[[#This Row],[Teste de Continuidade]:[Hipot]],"---"),"")</f>
        <v/>
      </c>
      <c r="W184" s="29" t="str">
        <f ca="1">IF(Tabela4[[#This Row],[Cabo]]&lt;&gt;"",(COUNTIF(Tabela4[[#This Row],[Teste de Continuidade]:[Hipot]],"OK"))/(4-COUNTIF(Tabela4[[#This Row],[Teste de Continuidade]:[Hipot]],"---")),"")</f>
        <v/>
      </c>
      <c r="X184" s="23" t="str">
        <f ca="1">IF(Tabela4[[#This Row],[Cabo]]&lt;&gt;"",SUMIFS('Lançamento de Cabos'!$AF:$AF,'Lançamento de Cabos'!AE:AE,Tabela4[[#This Row],[Cabo]],'Lançamento de Cabos'!AJ:AJ,Área!$B$1),"")</f>
        <v/>
      </c>
      <c r="Y184" s="23" t="str">
        <f ca="1">IF(Tabela4[[#This Row],[Cabo]]&lt;&gt;"",SUMIFS('Lançamento de Cabos'!$AG:$AG,'Lançamento de Cabos'!AE:AE,Tabela4[[#This Row],[Cabo]],'Lançamento de Cabos'!AJ:AJ,Área!$B$1),"")</f>
        <v/>
      </c>
      <c r="Z184" s="23" t="e">
        <f ca="1">VLOOKUP(Tabela4[[#This Row],[Cabo]],BD!A:AB,28,0)</f>
        <v>#N/A</v>
      </c>
    </row>
    <row r="185" spans="3:26" x14ac:dyDescent="0.25">
      <c r="C185" s="391" t="str">
        <f ca="1">IF($B$1="Geral",Tabela1[[#This Row],[Tag do Cabo]],IFERROR(INDEX(INDIRECT("BD!$A"&amp;D185&amp;":$A100000"),E185,1),""))</f>
        <v/>
      </c>
      <c r="D185" s="391" t="str">
        <f t="shared" ca="1" si="10"/>
        <v/>
      </c>
      <c r="E185" s="391" t="str">
        <f t="shared" ca="1" si="11"/>
        <v/>
      </c>
      <c r="F185" s="23" t="str">
        <f ca="1">IFERROR(VLOOKUP(Tabela4[[#This Row],[Cabo]],BD!A:V,2,0),"")</f>
        <v/>
      </c>
      <c r="G185" s="391" t="str">
        <f ca="1">IFERROR(VLOOKUP(Tabela4[[#This Row],[Cabo]],BD!A:V,5,0),"")</f>
        <v/>
      </c>
      <c r="H185" s="23" t="str">
        <f ca="1">IFERROR(VLOOKUP(Tabela4[[#This Row],[Cabo]],BD!A:V,3,0),"")</f>
        <v/>
      </c>
      <c r="I185" s="23" t="str">
        <f ca="1">IFERROR(VLOOKUP(Tabela4[[#This Row],[Cabo]],BD!A:V,4,0),"")</f>
        <v/>
      </c>
      <c r="J185" s="23" t="str">
        <f ca="1">IFERROR(VLOOKUP(Tabela4[[#This Row],[Cabo]],BD!A:V,7,0),"")</f>
        <v/>
      </c>
      <c r="K18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5" s="23" t="str">
        <f ca="1">IFERROR(VLOOKUP(Tabela4[[#This Row],[Cabo]],BD!A:V,9,0),"")</f>
        <v/>
      </c>
      <c r="M185" s="23" t="str">
        <f ca="1">IFERROR(VLOOKUP(Tabela4[[#This Row],[Cabo]],BD!A:AD,30,0),"")</f>
        <v/>
      </c>
      <c r="N185" s="23" t="str">
        <f ca="1">IF(SUMIF('Lançamento de Cabos'!B:B,Tabela4[[#This Row],[Cabo]],'Lançamento de Cabos'!C:C)=0,"",SUMIF('Lançamento de Cabos'!B:B,Tabela4[[#This Row],[Cabo]],'Lançamento de Cabos'!C:C))</f>
        <v/>
      </c>
      <c r="O185" s="28" t="str">
        <f ca="1">IFERROR(IF(Tabela4[[#This Row],[Compr. Lançado]]/Tabela4[[#This Row],[Compr. Prev.]]&gt;1,1,Tabela4[[#This Row],[Compr. Lançado]]/Tabela4[[#This Row],[Compr. Prev.]]),"")</f>
        <v/>
      </c>
      <c r="P185" s="24" t="str">
        <f ca="1">IFERROR(VLOOKUP(Tabela4[[#This Row],[Cabo]],BD!A:V,11,0),"")</f>
        <v/>
      </c>
      <c r="Q185" s="24" t="str">
        <f ca="1">IFERROR(VLOOKUP(Tabela4[[#This Row],[Cabo]],BD!A:V,12,0),"")</f>
        <v/>
      </c>
      <c r="R18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5" s="23" t="str">
        <f ca="1">IF(Tabela4[[#This Row],[Cabo]]&lt;&gt;"",4-COUNTIF(Tabela4[[#This Row],[Teste de Continuidade]:[Hipot]],"---"),"")</f>
        <v/>
      </c>
      <c r="W185" s="29" t="str">
        <f ca="1">IF(Tabela4[[#This Row],[Cabo]]&lt;&gt;"",(COUNTIF(Tabela4[[#This Row],[Teste de Continuidade]:[Hipot]],"OK"))/(4-COUNTIF(Tabela4[[#This Row],[Teste de Continuidade]:[Hipot]],"---")),"")</f>
        <v/>
      </c>
      <c r="X185" s="23" t="str">
        <f ca="1">IF(Tabela4[[#This Row],[Cabo]]&lt;&gt;"",SUMIFS('Lançamento de Cabos'!$AF:$AF,'Lançamento de Cabos'!AE:AE,Tabela4[[#This Row],[Cabo]],'Lançamento de Cabos'!AJ:AJ,Área!$B$1),"")</f>
        <v/>
      </c>
      <c r="Y185" s="23" t="str">
        <f ca="1">IF(Tabela4[[#This Row],[Cabo]]&lt;&gt;"",SUMIFS('Lançamento de Cabos'!$AG:$AG,'Lançamento de Cabos'!AE:AE,Tabela4[[#This Row],[Cabo]],'Lançamento de Cabos'!AJ:AJ,Área!$B$1),"")</f>
        <v/>
      </c>
      <c r="Z185" s="23" t="e">
        <f ca="1">VLOOKUP(Tabela4[[#This Row],[Cabo]],BD!A:AB,28,0)</f>
        <v>#N/A</v>
      </c>
    </row>
    <row r="186" spans="3:26" x14ac:dyDescent="0.25">
      <c r="C186" s="391" t="str">
        <f ca="1">IF($B$1="Geral",Tabela1[[#This Row],[Tag do Cabo]],IFERROR(INDEX(INDIRECT("BD!$A"&amp;D186&amp;":$A100000"),E186,1),""))</f>
        <v/>
      </c>
      <c r="D186" s="391" t="str">
        <f t="shared" ca="1" si="10"/>
        <v/>
      </c>
      <c r="E186" s="391" t="str">
        <f t="shared" ca="1" si="11"/>
        <v/>
      </c>
      <c r="F186" s="23" t="str">
        <f ca="1">IFERROR(VLOOKUP(Tabela4[[#This Row],[Cabo]],BD!A:V,2,0),"")</f>
        <v/>
      </c>
      <c r="G186" s="391" t="str">
        <f ca="1">IFERROR(VLOOKUP(Tabela4[[#This Row],[Cabo]],BD!A:V,5,0),"")</f>
        <v/>
      </c>
      <c r="H186" s="23" t="str">
        <f ca="1">IFERROR(VLOOKUP(Tabela4[[#This Row],[Cabo]],BD!A:V,3,0),"")</f>
        <v/>
      </c>
      <c r="I186" s="23" t="str">
        <f ca="1">IFERROR(VLOOKUP(Tabela4[[#This Row],[Cabo]],BD!A:V,4,0),"")</f>
        <v/>
      </c>
      <c r="J186" s="23" t="str">
        <f ca="1">IFERROR(VLOOKUP(Tabela4[[#This Row],[Cabo]],BD!A:V,7,0),"")</f>
        <v/>
      </c>
      <c r="K18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6" s="23" t="str">
        <f ca="1">IFERROR(VLOOKUP(Tabela4[[#This Row],[Cabo]],BD!A:V,9,0),"")</f>
        <v/>
      </c>
      <c r="M186" s="23" t="str">
        <f ca="1">IFERROR(VLOOKUP(Tabela4[[#This Row],[Cabo]],BD!A:AD,30,0),"")</f>
        <v/>
      </c>
      <c r="N186" s="23" t="str">
        <f ca="1">IF(SUMIF('Lançamento de Cabos'!B:B,Tabela4[[#This Row],[Cabo]],'Lançamento de Cabos'!C:C)=0,"",SUMIF('Lançamento de Cabos'!B:B,Tabela4[[#This Row],[Cabo]],'Lançamento de Cabos'!C:C))</f>
        <v/>
      </c>
      <c r="O186" s="28" t="str">
        <f ca="1">IFERROR(IF(Tabela4[[#This Row],[Compr. Lançado]]/Tabela4[[#This Row],[Compr. Prev.]]&gt;1,1,Tabela4[[#This Row],[Compr. Lançado]]/Tabela4[[#This Row],[Compr. Prev.]]),"")</f>
        <v/>
      </c>
      <c r="P186" s="24" t="str">
        <f ca="1">IFERROR(VLOOKUP(Tabela4[[#This Row],[Cabo]],BD!A:V,11,0),"")</f>
        <v/>
      </c>
      <c r="Q186" s="24" t="str">
        <f ca="1">IFERROR(VLOOKUP(Tabela4[[#This Row],[Cabo]],BD!A:V,12,0),"")</f>
        <v/>
      </c>
      <c r="R18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6" s="23" t="str">
        <f ca="1">IF(Tabela4[[#This Row],[Cabo]]&lt;&gt;"",4-COUNTIF(Tabela4[[#This Row],[Teste de Continuidade]:[Hipot]],"---"),"")</f>
        <v/>
      </c>
      <c r="W186" s="29" t="str">
        <f ca="1">IF(Tabela4[[#This Row],[Cabo]]&lt;&gt;"",(COUNTIF(Tabela4[[#This Row],[Teste de Continuidade]:[Hipot]],"OK"))/(4-COUNTIF(Tabela4[[#This Row],[Teste de Continuidade]:[Hipot]],"---")),"")</f>
        <v/>
      </c>
      <c r="X186" s="23" t="str">
        <f ca="1">IF(Tabela4[[#This Row],[Cabo]]&lt;&gt;"",SUMIFS('Lançamento de Cabos'!$AF:$AF,'Lançamento de Cabos'!AE:AE,Tabela4[[#This Row],[Cabo]],'Lançamento de Cabos'!AJ:AJ,Área!$B$1),"")</f>
        <v/>
      </c>
      <c r="Y186" s="23" t="str">
        <f ca="1">IF(Tabela4[[#This Row],[Cabo]]&lt;&gt;"",SUMIFS('Lançamento de Cabos'!$AG:$AG,'Lançamento de Cabos'!AE:AE,Tabela4[[#This Row],[Cabo]],'Lançamento de Cabos'!AJ:AJ,Área!$B$1),"")</f>
        <v/>
      </c>
      <c r="Z186" s="23" t="e">
        <f ca="1">VLOOKUP(Tabela4[[#This Row],[Cabo]],BD!A:AB,28,0)</f>
        <v>#N/A</v>
      </c>
    </row>
    <row r="187" spans="3:26" x14ac:dyDescent="0.25">
      <c r="C187" s="391" t="str">
        <f ca="1">IF($B$1="Geral",Tabela1[[#This Row],[Tag do Cabo]],IFERROR(INDEX(INDIRECT("BD!$A"&amp;D187&amp;":$A100000"),E187,1),""))</f>
        <v/>
      </c>
      <c r="D187" s="391" t="str">
        <f t="shared" ca="1" si="10"/>
        <v/>
      </c>
      <c r="E187" s="391" t="str">
        <f t="shared" ca="1" si="11"/>
        <v/>
      </c>
      <c r="F187" s="23" t="str">
        <f ca="1">IFERROR(VLOOKUP(Tabela4[[#This Row],[Cabo]],BD!A:V,2,0),"")</f>
        <v/>
      </c>
      <c r="G187" s="391" t="str">
        <f ca="1">IFERROR(VLOOKUP(Tabela4[[#This Row],[Cabo]],BD!A:V,5,0),"")</f>
        <v/>
      </c>
      <c r="H187" s="23" t="str">
        <f ca="1">IFERROR(VLOOKUP(Tabela4[[#This Row],[Cabo]],BD!A:V,3,0),"")</f>
        <v/>
      </c>
      <c r="I187" s="23" t="str">
        <f ca="1">IFERROR(VLOOKUP(Tabela4[[#This Row],[Cabo]],BD!A:V,4,0),"")</f>
        <v/>
      </c>
      <c r="J187" s="23" t="str">
        <f ca="1">IFERROR(VLOOKUP(Tabela4[[#This Row],[Cabo]],BD!A:V,7,0),"")</f>
        <v/>
      </c>
      <c r="K18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7" s="23" t="str">
        <f ca="1">IFERROR(VLOOKUP(Tabela4[[#This Row],[Cabo]],BD!A:V,9,0),"")</f>
        <v/>
      </c>
      <c r="M187" s="23" t="str">
        <f ca="1">IFERROR(VLOOKUP(Tabela4[[#This Row],[Cabo]],BD!A:AD,30,0),"")</f>
        <v/>
      </c>
      <c r="N187" s="23" t="str">
        <f ca="1">IF(SUMIF('Lançamento de Cabos'!B:B,Tabela4[[#This Row],[Cabo]],'Lançamento de Cabos'!C:C)=0,"",SUMIF('Lançamento de Cabos'!B:B,Tabela4[[#This Row],[Cabo]],'Lançamento de Cabos'!C:C))</f>
        <v/>
      </c>
      <c r="O187" s="28" t="str">
        <f ca="1">IFERROR(IF(Tabela4[[#This Row],[Compr. Lançado]]/Tabela4[[#This Row],[Compr. Prev.]]&gt;1,1,Tabela4[[#This Row],[Compr. Lançado]]/Tabela4[[#This Row],[Compr. Prev.]]),"")</f>
        <v/>
      </c>
      <c r="P187" s="24" t="str">
        <f ca="1">IFERROR(VLOOKUP(Tabela4[[#This Row],[Cabo]],BD!A:V,11,0),"")</f>
        <v/>
      </c>
      <c r="Q187" s="24" t="str">
        <f ca="1">IFERROR(VLOOKUP(Tabela4[[#This Row],[Cabo]],BD!A:V,12,0),"")</f>
        <v/>
      </c>
      <c r="R18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7" s="23" t="str">
        <f ca="1">IF(Tabela4[[#This Row],[Cabo]]&lt;&gt;"",4-COUNTIF(Tabela4[[#This Row],[Teste de Continuidade]:[Hipot]],"---"),"")</f>
        <v/>
      </c>
      <c r="W187" s="29" t="str">
        <f ca="1">IF(Tabela4[[#This Row],[Cabo]]&lt;&gt;"",(COUNTIF(Tabela4[[#This Row],[Teste de Continuidade]:[Hipot]],"OK"))/(4-COUNTIF(Tabela4[[#This Row],[Teste de Continuidade]:[Hipot]],"---")),"")</f>
        <v/>
      </c>
      <c r="X187" s="23" t="str">
        <f ca="1">IF(Tabela4[[#This Row],[Cabo]]&lt;&gt;"",SUMIFS('Lançamento de Cabos'!$AF:$AF,'Lançamento de Cabos'!AE:AE,Tabela4[[#This Row],[Cabo]],'Lançamento de Cabos'!AJ:AJ,Área!$B$1),"")</f>
        <v/>
      </c>
      <c r="Y187" s="23" t="str">
        <f ca="1">IF(Tabela4[[#This Row],[Cabo]]&lt;&gt;"",SUMIFS('Lançamento de Cabos'!$AG:$AG,'Lançamento de Cabos'!AE:AE,Tabela4[[#This Row],[Cabo]],'Lançamento de Cabos'!AJ:AJ,Área!$B$1),"")</f>
        <v/>
      </c>
      <c r="Z187" s="23" t="e">
        <f ca="1">VLOOKUP(Tabela4[[#This Row],[Cabo]],BD!A:AB,28,0)</f>
        <v>#N/A</v>
      </c>
    </row>
    <row r="188" spans="3:26" x14ac:dyDescent="0.25">
      <c r="C188" s="391" t="str">
        <f ca="1">IF($B$1="Geral",Tabela1[[#This Row],[Tag do Cabo]],IFERROR(INDEX(INDIRECT("BD!$A"&amp;D188&amp;":$A100000"),E188,1),""))</f>
        <v/>
      </c>
      <c r="D188" s="391" t="str">
        <f t="shared" ca="1" si="10"/>
        <v/>
      </c>
      <c r="E188" s="391" t="str">
        <f t="shared" ca="1" si="11"/>
        <v/>
      </c>
      <c r="F188" s="23" t="str">
        <f ca="1">IFERROR(VLOOKUP(Tabela4[[#This Row],[Cabo]],BD!A:V,2,0),"")</f>
        <v/>
      </c>
      <c r="G188" s="391" t="str">
        <f ca="1">IFERROR(VLOOKUP(Tabela4[[#This Row],[Cabo]],BD!A:V,5,0),"")</f>
        <v/>
      </c>
      <c r="H188" s="23" t="str">
        <f ca="1">IFERROR(VLOOKUP(Tabela4[[#This Row],[Cabo]],BD!A:V,3,0),"")</f>
        <v/>
      </c>
      <c r="I188" s="23" t="str">
        <f ca="1">IFERROR(VLOOKUP(Tabela4[[#This Row],[Cabo]],BD!A:V,4,0),"")</f>
        <v/>
      </c>
      <c r="J188" s="23" t="str">
        <f ca="1">IFERROR(VLOOKUP(Tabela4[[#This Row],[Cabo]],BD!A:V,7,0),"")</f>
        <v/>
      </c>
      <c r="K18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8" s="23" t="str">
        <f ca="1">IFERROR(VLOOKUP(Tabela4[[#This Row],[Cabo]],BD!A:V,9,0),"")</f>
        <v/>
      </c>
      <c r="M188" s="23" t="str">
        <f ca="1">IFERROR(VLOOKUP(Tabela4[[#This Row],[Cabo]],BD!A:AD,30,0),"")</f>
        <v/>
      </c>
      <c r="N188" s="23" t="str">
        <f ca="1">IF(SUMIF('Lançamento de Cabos'!B:B,Tabela4[[#This Row],[Cabo]],'Lançamento de Cabos'!C:C)=0,"",SUMIF('Lançamento de Cabos'!B:B,Tabela4[[#This Row],[Cabo]],'Lançamento de Cabos'!C:C))</f>
        <v/>
      </c>
      <c r="O188" s="28" t="str">
        <f ca="1">IFERROR(IF(Tabela4[[#This Row],[Compr. Lançado]]/Tabela4[[#This Row],[Compr. Prev.]]&gt;1,1,Tabela4[[#This Row],[Compr. Lançado]]/Tabela4[[#This Row],[Compr. Prev.]]),"")</f>
        <v/>
      </c>
      <c r="P188" s="24" t="str">
        <f ca="1">IFERROR(VLOOKUP(Tabela4[[#This Row],[Cabo]],BD!A:V,11,0),"")</f>
        <v/>
      </c>
      <c r="Q188" s="24" t="str">
        <f ca="1">IFERROR(VLOOKUP(Tabela4[[#This Row],[Cabo]],BD!A:V,12,0),"")</f>
        <v/>
      </c>
      <c r="R18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8" s="23" t="str">
        <f ca="1">IF(Tabela4[[#This Row],[Cabo]]&lt;&gt;"",4-COUNTIF(Tabela4[[#This Row],[Teste de Continuidade]:[Hipot]],"---"),"")</f>
        <v/>
      </c>
      <c r="W188" s="29" t="str">
        <f ca="1">IF(Tabela4[[#This Row],[Cabo]]&lt;&gt;"",(COUNTIF(Tabela4[[#This Row],[Teste de Continuidade]:[Hipot]],"OK"))/(4-COUNTIF(Tabela4[[#This Row],[Teste de Continuidade]:[Hipot]],"---")),"")</f>
        <v/>
      </c>
      <c r="X188" s="23" t="str">
        <f ca="1">IF(Tabela4[[#This Row],[Cabo]]&lt;&gt;"",SUMIFS('Lançamento de Cabos'!$AF:$AF,'Lançamento de Cabos'!AE:AE,Tabela4[[#This Row],[Cabo]],'Lançamento de Cabos'!AJ:AJ,Área!$B$1),"")</f>
        <v/>
      </c>
      <c r="Y188" s="23" t="str">
        <f ca="1">IF(Tabela4[[#This Row],[Cabo]]&lt;&gt;"",SUMIFS('Lançamento de Cabos'!$AG:$AG,'Lançamento de Cabos'!AE:AE,Tabela4[[#This Row],[Cabo]],'Lançamento de Cabos'!AJ:AJ,Área!$B$1),"")</f>
        <v/>
      </c>
      <c r="Z188" s="23" t="e">
        <f ca="1">VLOOKUP(Tabela4[[#This Row],[Cabo]],BD!A:AB,28,0)</f>
        <v>#N/A</v>
      </c>
    </row>
    <row r="189" spans="3:26" x14ac:dyDescent="0.25">
      <c r="C189" s="391" t="str">
        <f ca="1">IF($B$1="Geral",Tabela1[[#This Row],[Tag do Cabo]],IFERROR(INDEX(INDIRECT("BD!$A"&amp;D189&amp;":$A100000"),E189,1),""))</f>
        <v/>
      </c>
      <c r="D189" s="391" t="str">
        <f t="shared" ca="1" si="10"/>
        <v/>
      </c>
      <c r="E189" s="391" t="str">
        <f t="shared" ca="1" si="11"/>
        <v/>
      </c>
      <c r="F189" s="23" t="str">
        <f ca="1">IFERROR(VLOOKUP(Tabela4[[#This Row],[Cabo]],BD!A:V,2,0),"")</f>
        <v/>
      </c>
      <c r="G189" s="391" t="str">
        <f ca="1">IFERROR(VLOOKUP(Tabela4[[#This Row],[Cabo]],BD!A:V,5,0),"")</f>
        <v/>
      </c>
      <c r="H189" s="23" t="str">
        <f ca="1">IFERROR(VLOOKUP(Tabela4[[#This Row],[Cabo]],BD!A:V,3,0),"")</f>
        <v/>
      </c>
      <c r="I189" s="23" t="str">
        <f ca="1">IFERROR(VLOOKUP(Tabela4[[#This Row],[Cabo]],BD!A:V,4,0),"")</f>
        <v/>
      </c>
      <c r="J189" s="23" t="str">
        <f ca="1">IFERROR(VLOOKUP(Tabela4[[#This Row],[Cabo]],BD!A:V,7,0),"")</f>
        <v/>
      </c>
      <c r="K18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89" s="23" t="str">
        <f ca="1">IFERROR(VLOOKUP(Tabela4[[#This Row],[Cabo]],BD!A:V,9,0),"")</f>
        <v/>
      </c>
      <c r="M189" s="23" t="str">
        <f ca="1">IFERROR(VLOOKUP(Tabela4[[#This Row],[Cabo]],BD!A:AD,30,0),"")</f>
        <v/>
      </c>
      <c r="N189" s="23" t="str">
        <f ca="1">IF(SUMIF('Lançamento de Cabos'!B:B,Tabela4[[#This Row],[Cabo]],'Lançamento de Cabos'!C:C)=0,"",SUMIF('Lançamento de Cabos'!B:B,Tabela4[[#This Row],[Cabo]],'Lançamento de Cabos'!C:C))</f>
        <v/>
      </c>
      <c r="O189" s="28" t="str">
        <f ca="1">IFERROR(IF(Tabela4[[#This Row],[Compr. Lançado]]/Tabela4[[#This Row],[Compr. Prev.]]&gt;1,1,Tabela4[[#This Row],[Compr. Lançado]]/Tabela4[[#This Row],[Compr. Prev.]]),"")</f>
        <v/>
      </c>
      <c r="P189" s="24" t="str">
        <f ca="1">IFERROR(VLOOKUP(Tabela4[[#This Row],[Cabo]],BD!A:V,11,0),"")</f>
        <v/>
      </c>
      <c r="Q189" s="24" t="str">
        <f ca="1">IFERROR(VLOOKUP(Tabela4[[#This Row],[Cabo]],BD!A:V,12,0),"")</f>
        <v/>
      </c>
      <c r="R18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8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8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8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89" s="23" t="str">
        <f ca="1">IF(Tabela4[[#This Row],[Cabo]]&lt;&gt;"",4-COUNTIF(Tabela4[[#This Row],[Teste de Continuidade]:[Hipot]],"---"),"")</f>
        <v/>
      </c>
      <c r="W189" s="29" t="str">
        <f ca="1">IF(Tabela4[[#This Row],[Cabo]]&lt;&gt;"",(COUNTIF(Tabela4[[#This Row],[Teste de Continuidade]:[Hipot]],"OK"))/(4-COUNTIF(Tabela4[[#This Row],[Teste de Continuidade]:[Hipot]],"---")),"")</f>
        <v/>
      </c>
      <c r="X189" s="23" t="str">
        <f ca="1">IF(Tabela4[[#This Row],[Cabo]]&lt;&gt;"",SUMIFS('Lançamento de Cabos'!$AF:$AF,'Lançamento de Cabos'!AE:AE,Tabela4[[#This Row],[Cabo]],'Lançamento de Cabos'!AJ:AJ,Área!$B$1),"")</f>
        <v/>
      </c>
      <c r="Y189" s="23" t="str">
        <f ca="1">IF(Tabela4[[#This Row],[Cabo]]&lt;&gt;"",SUMIFS('Lançamento de Cabos'!$AG:$AG,'Lançamento de Cabos'!AE:AE,Tabela4[[#This Row],[Cabo]],'Lançamento de Cabos'!AJ:AJ,Área!$B$1),"")</f>
        <v/>
      </c>
      <c r="Z189" s="23" t="e">
        <f ca="1">VLOOKUP(Tabela4[[#This Row],[Cabo]],BD!A:AB,28,0)</f>
        <v>#N/A</v>
      </c>
    </row>
    <row r="190" spans="3:26" x14ac:dyDescent="0.25">
      <c r="C190" s="391" t="str">
        <f ca="1">IF($B$1="Geral",Tabela1[[#This Row],[Tag do Cabo]],IFERROR(INDEX(INDIRECT("BD!$A"&amp;D190&amp;":$A100000"),E190,1),""))</f>
        <v/>
      </c>
      <c r="D190" s="391" t="str">
        <f t="shared" ca="1" si="10"/>
        <v/>
      </c>
      <c r="E190" s="391" t="str">
        <f t="shared" ca="1" si="11"/>
        <v/>
      </c>
      <c r="F190" s="23" t="str">
        <f ca="1">IFERROR(VLOOKUP(Tabela4[[#This Row],[Cabo]],BD!A:V,2,0),"")</f>
        <v/>
      </c>
      <c r="G190" s="391" t="str">
        <f ca="1">IFERROR(VLOOKUP(Tabela4[[#This Row],[Cabo]],BD!A:V,5,0),"")</f>
        <v/>
      </c>
      <c r="H190" s="23" t="str">
        <f ca="1">IFERROR(VLOOKUP(Tabela4[[#This Row],[Cabo]],BD!A:V,3,0),"")</f>
        <v/>
      </c>
      <c r="I190" s="23" t="str">
        <f ca="1">IFERROR(VLOOKUP(Tabela4[[#This Row],[Cabo]],BD!A:V,4,0),"")</f>
        <v/>
      </c>
      <c r="J190" s="23" t="str">
        <f ca="1">IFERROR(VLOOKUP(Tabela4[[#This Row],[Cabo]],BD!A:V,7,0),"")</f>
        <v/>
      </c>
      <c r="K19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0" s="23" t="str">
        <f ca="1">IFERROR(VLOOKUP(Tabela4[[#This Row],[Cabo]],BD!A:V,9,0),"")</f>
        <v/>
      </c>
      <c r="M190" s="23" t="str">
        <f ca="1">IFERROR(VLOOKUP(Tabela4[[#This Row],[Cabo]],BD!A:AD,30,0),"")</f>
        <v/>
      </c>
      <c r="N190" s="23" t="str">
        <f ca="1">IF(SUMIF('Lançamento de Cabos'!B:B,Tabela4[[#This Row],[Cabo]],'Lançamento de Cabos'!C:C)=0,"",SUMIF('Lançamento de Cabos'!B:B,Tabela4[[#This Row],[Cabo]],'Lançamento de Cabos'!C:C))</f>
        <v/>
      </c>
      <c r="O190" s="28" t="str">
        <f ca="1">IFERROR(IF(Tabela4[[#This Row],[Compr. Lançado]]/Tabela4[[#This Row],[Compr. Prev.]]&gt;1,1,Tabela4[[#This Row],[Compr. Lançado]]/Tabela4[[#This Row],[Compr. Prev.]]),"")</f>
        <v/>
      </c>
      <c r="P190" s="24" t="str">
        <f ca="1">IFERROR(VLOOKUP(Tabela4[[#This Row],[Cabo]],BD!A:V,11,0),"")</f>
        <v/>
      </c>
      <c r="Q190" s="24" t="str">
        <f ca="1">IFERROR(VLOOKUP(Tabela4[[#This Row],[Cabo]],BD!A:V,12,0),"")</f>
        <v/>
      </c>
      <c r="R190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0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0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0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0" s="23" t="str">
        <f ca="1">IF(Tabela4[[#This Row],[Cabo]]&lt;&gt;"",4-COUNTIF(Tabela4[[#This Row],[Teste de Continuidade]:[Hipot]],"---"),"")</f>
        <v/>
      </c>
      <c r="W190" s="29" t="str">
        <f ca="1">IF(Tabela4[[#This Row],[Cabo]]&lt;&gt;"",(COUNTIF(Tabela4[[#This Row],[Teste de Continuidade]:[Hipot]],"OK"))/(4-COUNTIF(Tabela4[[#This Row],[Teste de Continuidade]:[Hipot]],"---")),"")</f>
        <v/>
      </c>
      <c r="X190" s="23" t="str">
        <f ca="1">IF(Tabela4[[#This Row],[Cabo]]&lt;&gt;"",SUMIFS('Lançamento de Cabos'!$AF:$AF,'Lançamento de Cabos'!AE:AE,Tabela4[[#This Row],[Cabo]],'Lançamento de Cabos'!AJ:AJ,Área!$B$1),"")</f>
        <v/>
      </c>
      <c r="Y190" s="23" t="str">
        <f ca="1">IF(Tabela4[[#This Row],[Cabo]]&lt;&gt;"",SUMIFS('Lançamento de Cabos'!$AG:$AG,'Lançamento de Cabos'!AE:AE,Tabela4[[#This Row],[Cabo]],'Lançamento de Cabos'!AJ:AJ,Área!$B$1),"")</f>
        <v/>
      </c>
      <c r="Z190" s="23" t="e">
        <f ca="1">VLOOKUP(Tabela4[[#This Row],[Cabo]],BD!A:AB,28,0)</f>
        <v>#N/A</v>
      </c>
    </row>
    <row r="191" spans="3:26" x14ac:dyDescent="0.25">
      <c r="C191" s="391" t="str">
        <f ca="1">IF($B$1="Geral",Tabela1[[#This Row],[Tag do Cabo]],IFERROR(INDEX(INDIRECT("BD!$A"&amp;D191&amp;":$A100000"),E191,1),""))</f>
        <v/>
      </c>
      <c r="D191" s="391" t="str">
        <f t="shared" ca="1" si="10"/>
        <v/>
      </c>
      <c r="E191" s="391" t="str">
        <f t="shared" ca="1" si="11"/>
        <v/>
      </c>
      <c r="F191" s="23" t="str">
        <f ca="1">IFERROR(VLOOKUP(Tabela4[[#This Row],[Cabo]],BD!A:V,2,0),"")</f>
        <v/>
      </c>
      <c r="G191" s="391" t="str">
        <f ca="1">IFERROR(VLOOKUP(Tabela4[[#This Row],[Cabo]],BD!A:V,5,0),"")</f>
        <v/>
      </c>
      <c r="H191" s="23" t="str">
        <f ca="1">IFERROR(VLOOKUP(Tabela4[[#This Row],[Cabo]],BD!A:V,3,0),"")</f>
        <v/>
      </c>
      <c r="I191" s="23" t="str">
        <f ca="1">IFERROR(VLOOKUP(Tabela4[[#This Row],[Cabo]],BD!A:V,4,0),"")</f>
        <v/>
      </c>
      <c r="J191" s="23" t="str">
        <f ca="1">IFERROR(VLOOKUP(Tabela4[[#This Row],[Cabo]],BD!A:V,7,0),"")</f>
        <v/>
      </c>
      <c r="K19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1" s="23" t="str">
        <f ca="1">IFERROR(VLOOKUP(Tabela4[[#This Row],[Cabo]],BD!A:V,9,0),"")</f>
        <v/>
      </c>
      <c r="M191" s="23" t="str">
        <f ca="1">IFERROR(VLOOKUP(Tabela4[[#This Row],[Cabo]],BD!A:AD,30,0),"")</f>
        <v/>
      </c>
      <c r="N191" s="23" t="str">
        <f ca="1">IF(SUMIF('Lançamento de Cabos'!B:B,Tabela4[[#This Row],[Cabo]],'Lançamento de Cabos'!C:C)=0,"",SUMIF('Lançamento de Cabos'!B:B,Tabela4[[#This Row],[Cabo]],'Lançamento de Cabos'!C:C))</f>
        <v/>
      </c>
      <c r="O191" s="28" t="str">
        <f ca="1">IFERROR(IF(Tabela4[[#This Row],[Compr. Lançado]]/Tabela4[[#This Row],[Compr. Prev.]]&gt;1,1,Tabela4[[#This Row],[Compr. Lançado]]/Tabela4[[#This Row],[Compr. Prev.]]),"")</f>
        <v/>
      </c>
      <c r="P191" s="24" t="str">
        <f ca="1">IFERROR(VLOOKUP(Tabela4[[#This Row],[Cabo]],BD!A:V,11,0),"")</f>
        <v/>
      </c>
      <c r="Q191" s="24" t="str">
        <f ca="1">IFERROR(VLOOKUP(Tabela4[[#This Row],[Cabo]],BD!A:V,12,0),"")</f>
        <v/>
      </c>
      <c r="R191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1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1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1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1" s="23" t="str">
        <f ca="1">IF(Tabela4[[#This Row],[Cabo]]&lt;&gt;"",4-COUNTIF(Tabela4[[#This Row],[Teste de Continuidade]:[Hipot]],"---"),"")</f>
        <v/>
      </c>
      <c r="W191" s="29" t="str">
        <f ca="1">IF(Tabela4[[#This Row],[Cabo]]&lt;&gt;"",(COUNTIF(Tabela4[[#This Row],[Teste de Continuidade]:[Hipot]],"OK"))/(4-COUNTIF(Tabela4[[#This Row],[Teste de Continuidade]:[Hipot]],"---")),"")</f>
        <v/>
      </c>
      <c r="X191" s="23" t="str">
        <f ca="1">IF(Tabela4[[#This Row],[Cabo]]&lt;&gt;"",SUMIFS('Lançamento de Cabos'!$AF:$AF,'Lançamento de Cabos'!AE:AE,Tabela4[[#This Row],[Cabo]],'Lançamento de Cabos'!AJ:AJ,Área!$B$1),"")</f>
        <v/>
      </c>
      <c r="Y191" s="23" t="str">
        <f ca="1">IF(Tabela4[[#This Row],[Cabo]]&lt;&gt;"",SUMIFS('Lançamento de Cabos'!$AG:$AG,'Lançamento de Cabos'!AE:AE,Tabela4[[#This Row],[Cabo]],'Lançamento de Cabos'!AJ:AJ,Área!$B$1),"")</f>
        <v/>
      </c>
      <c r="Z191" s="23" t="e">
        <f ca="1">VLOOKUP(Tabela4[[#This Row],[Cabo]],BD!A:AB,28,0)</f>
        <v>#N/A</v>
      </c>
    </row>
    <row r="192" spans="3:26" x14ac:dyDescent="0.25">
      <c r="C192" s="391" t="str">
        <f ca="1">IF($B$1="Geral",Tabela1[[#This Row],[Tag do Cabo]],IFERROR(INDEX(INDIRECT("BD!$A"&amp;D192&amp;":$A100000"),E192,1),""))</f>
        <v/>
      </c>
      <c r="D192" s="391" t="str">
        <f t="shared" ca="1" si="10"/>
        <v/>
      </c>
      <c r="E192" s="391" t="str">
        <f t="shared" ca="1" si="11"/>
        <v/>
      </c>
      <c r="F192" s="23" t="str">
        <f ca="1">IFERROR(VLOOKUP(Tabela4[[#This Row],[Cabo]],BD!A:V,2,0),"")</f>
        <v/>
      </c>
      <c r="G192" s="391" t="str">
        <f ca="1">IFERROR(VLOOKUP(Tabela4[[#This Row],[Cabo]],BD!A:V,5,0),"")</f>
        <v/>
      </c>
      <c r="H192" s="23" t="str">
        <f ca="1">IFERROR(VLOOKUP(Tabela4[[#This Row],[Cabo]],BD!A:V,3,0),"")</f>
        <v/>
      </c>
      <c r="I192" s="23" t="str">
        <f ca="1">IFERROR(VLOOKUP(Tabela4[[#This Row],[Cabo]],BD!A:V,4,0),"")</f>
        <v/>
      </c>
      <c r="J192" s="23" t="str">
        <f ca="1">IFERROR(VLOOKUP(Tabela4[[#This Row],[Cabo]],BD!A:V,7,0),"")</f>
        <v/>
      </c>
      <c r="K19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2" s="23" t="str">
        <f ca="1">IFERROR(VLOOKUP(Tabela4[[#This Row],[Cabo]],BD!A:V,9,0),"")</f>
        <v/>
      </c>
      <c r="M192" s="23" t="str">
        <f ca="1">IFERROR(VLOOKUP(Tabela4[[#This Row],[Cabo]],BD!A:AD,30,0),"")</f>
        <v/>
      </c>
      <c r="N192" s="23" t="str">
        <f ca="1">IF(SUMIF('Lançamento de Cabos'!B:B,Tabela4[[#This Row],[Cabo]],'Lançamento de Cabos'!C:C)=0,"",SUMIF('Lançamento de Cabos'!B:B,Tabela4[[#This Row],[Cabo]],'Lançamento de Cabos'!C:C))</f>
        <v/>
      </c>
      <c r="O192" s="28" t="str">
        <f ca="1">IFERROR(IF(Tabela4[[#This Row],[Compr. Lançado]]/Tabela4[[#This Row],[Compr. Prev.]]&gt;1,1,Tabela4[[#This Row],[Compr. Lançado]]/Tabela4[[#This Row],[Compr. Prev.]]),"")</f>
        <v/>
      </c>
      <c r="P192" s="24" t="str">
        <f ca="1">IFERROR(VLOOKUP(Tabela4[[#This Row],[Cabo]],BD!A:V,11,0),"")</f>
        <v/>
      </c>
      <c r="Q192" s="24" t="str">
        <f ca="1">IFERROR(VLOOKUP(Tabela4[[#This Row],[Cabo]],BD!A:V,12,0),"")</f>
        <v/>
      </c>
      <c r="R192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2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2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2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2" s="23" t="str">
        <f ca="1">IF(Tabela4[[#This Row],[Cabo]]&lt;&gt;"",4-COUNTIF(Tabela4[[#This Row],[Teste de Continuidade]:[Hipot]],"---"),"")</f>
        <v/>
      </c>
      <c r="W192" s="29" t="str">
        <f ca="1">IF(Tabela4[[#This Row],[Cabo]]&lt;&gt;"",(COUNTIF(Tabela4[[#This Row],[Teste de Continuidade]:[Hipot]],"OK"))/(4-COUNTIF(Tabela4[[#This Row],[Teste de Continuidade]:[Hipot]],"---")),"")</f>
        <v/>
      </c>
      <c r="X192" s="23" t="str">
        <f ca="1">IF(Tabela4[[#This Row],[Cabo]]&lt;&gt;"",SUMIFS('Lançamento de Cabos'!$AF:$AF,'Lançamento de Cabos'!AE:AE,Tabela4[[#This Row],[Cabo]],'Lançamento de Cabos'!AJ:AJ,Área!$B$1),"")</f>
        <v/>
      </c>
      <c r="Y192" s="23" t="str">
        <f ca="1">IF(Tabela4[[#This Row],[Cabo]]&lt;&gt;"",SUMIFS('Lançamento de Cabos'!$AG:$AG,'Lançamento de Cabos'!AE:AE,Tabela4[[#This Row],[Cabo]],'Lançamento de Cabos'!AJ:AJ,Área!$B$1),"")</f>
        <v/>
      </c>
      <c r="Z192" s="23" t="e">
        <f ca="1">VLOOKUP(Tabela4[[#This Row],[Cabo]],BD!A:AB,28,0)</f>
        <v>#N/A</v>
      </c>
    </row>
    <row r="193" spans="3:26" x14ac:dyDescent="0.25">
      <c r="C193" s="391" t="str">
        <f ca="1">IF($B$1="Geral",Tabela1[[#This Row],[Tag do Cabo]],IFERROR(INDEX(INDIRECT("BD!$A"&amp;D193&amp;":$A100000"),E193,1),""))</f>
        <v/>
      </c>
      <c r="D193" s="391" t="str">
        <f t="shared" ca="1" si="10"/>
        <v/>
      </c>
      <c r="E193" s="391" t="str">
        <f t="shared" ca="1" si="11"/>
        <v/>
      </c>
      <c r="F193" s="23" t="str">
        <f ca="1">IFERROR(VLOOKUP(Tabela4[[#This Row],[Cabo]],BD!A:V,2,0),"")</f>
        <v/>
      </c>
      <c r="G193" s="391" t="str">
        <f ca="1">IFERROR(VLOOKUP(Tabela4[[#This Row],[Cabo]],BD!A:V,5,0),"")</f>
        <v/>
      </c>
      <c r="H193" s="23" t="str">
        <f ca="1">IFERROR(VLOOKUP(Tabela4[[#This Row],[Cabo]],BD!A:V,3,0),"")</f>
        <v/>
      </c>
      <c r="I193" s="23" t="str">
        <f ca="1">IFERROR(VLOOKUP(Tabela4[[#This Row],[Cabo]],BD!A:V,4,0),"")</f>
        <v/>
      </c>
      <c r="J193" s="23" t="str">
        <f ca="1">IFERROR(VLOOKUP(Tabela4[[#This Row],[Cabo]],BD!A:V,7,0),"")</f>
        <v/>
      </c>
      <c r="K19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3" s="23" t="str">
        <f ca="1">IFERROR(VLOOKUP(Tabela4[[#This Row],[Cabo]],BD!A:V,9,0),"")</f>
        <v/>
      </c>
      <c r="M193" s="23" t="str">
        <f ca="1">IFERROR(VLOOKUP(Tabela4[[#This Row],[Cabo]],BD!A:AD,30,0),"")</f>
        <v/>
      </c>
      <c r="N193" s="23" t="str">
        <f ca="1">IF(SUMIF('Lançamento de Cabos'!B:B,Tabela4[[#This Row],[Cabo]],'Lançamento de Cabos'!C:C)=0,"",SUMIF('Lançamento de Cabos'!B:B,Tabela4[[#This Row],[Cabo]],'Lançamento de Cabos'!C:C))</f>
        <v/>
      </c>
      <c r="O193" s="28" t="str">
        <f ca="1">IFERROR(IF(Tabela4[[#This Row],[Compr. Lançado]]/Tabela4[[#This Row],[Compr. Prev.]]&gt;1,1,Tabela4[[#This Row],[Compr. Lançado]]/Tabela4[[#This Row],[Compr. Prev.]]),"")</f>
        <v/>
      </c>
      <c r="P193" s="24" t="str">
        <f ca="1">IFERROR(VLOOKUP(Tabela4[[#This Row],[Cabo]],BD!A:V,11,0),"")</f>
        <v/>
      </c>
      <c r="Q193" s="24" t="str">
        <f ca="1">IFERROR(VLOOKUP(Tabela4[[#This Row],[Cabo]],BD!A:V,12,0),"")</f>
        <v/>
      </c>
      <c r="R193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3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3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3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3" s="23" t="str">
        <f ca="1">IF(Tabela4[[#This Row],[Cabo]]&lt;&gt;"",4-COUNTIF(Tabela4[[#This Row],[Teste de Continuidade]:[Hipot]],"---"),"")</f>
        <v/>
      </c>
      <c r="W193" s="29" t="str">
        <f ca="1">IF(Tabela4[[#This Row],[Cabo]]&lt;&gt;"",(COUNTIF(Tabela4[[#This Row],[Teste de Continuidade]:[Hipot]],"OK"))/(4-COUNTIF(Tabela4[[#This Row],[Teste de Continuidade]:[Hipot]],"---")),"")</f>
        <v/>
      </c>
      <c r="X193" s="23" t="str">
        <f ca="1">IF(Tabela4[[#This Row],[Cabo]]&lt;&gt;"",SUMIFS('Lançamento de Cabos'!$AF:$AF,'Lançamento de Cabos'!AE:AE,Tabela4[[#This Row],[Cabo]],'Lançamento de Cabos'!AJ:AJ,Área!$B$1),"")</f>
        <v/>
      </c>
      <c r="Y193" s="23" t="str">
        <f ca="1">IF(Tabela4[[#This Row],[Cabo]]&lt;&gt;"",SUMIFS('Lançamento de Cabos'!$AG:$AG,'Lançamento de Cabos'!AE:AE,Tabela4[[#This Row],[Cabo]],'Lançamento de Cabos'!AJ:AJ,Área!$B$1),"")</f>
        <v/>
      </c>
      <c r="Z193" s="23" t="e">
        <f ca="1">VLOOKUP(Tabela4[[#This Row],[Cabo]],BD!A:AB,28,0)</f>
        <v>#N/A</v>
      </c>
    </row>
    <row r="194" spans="3:26" x14ac:dyDescent="0.25">
      <c r="C194" s="391" t="str">
        <f ca="1">IF($B$1="Geral",Tabela1[[#This Row],[Tag do Cabo]],IFERROR(INDEX(INDIRECT("BD!$A"&amp;D194&amp;":$A100000"),E194,1),""))</f>
        <v/>
      </c>
      <c r="D194" s="391" t="str">
        <f t="shared" ca="1" si="10"/>
        <v/>
      </c>
      <c r="E194" s="391" t="str">
        <f t="shared" ca="1" si="11"/>
        <v/>
      </c>
      <c r="F194" s="23" t="str">
        <f ca="1">IFERROR(VLOOKUP(Tabela4[[#This Row],[Cabo]],BD!A:V,2,0),"")</f>
        <v/>
      </c>
      <c r="G194" s="391" t="str">
        <f ca="1">IFERROR(VLOOKUP(Tabela4[[#This Row],[Cabo]],BD!A:V,5,0),"")</f>
        <v/>
      </c>
      <c r="H194" s="23" t="str">
        <f ca="1">IFERROR(VLOOKUP(Tabela4[[#This Row],[Cabo]],BD!A:V,3,0),"")</f>
        <v/>
      </c>
      <c r="I194" s="23" t="str">
        <f ca="1">IFERROR(VLOOKUP(Tabela4[[#This Row],[Cabo]],BD!A:V,4,0),"")</f>
        <v/>
      </c>
      <c r="J194" s="23" t="str">
        <f ca="1">IFERROR(VLOOKUP(Tabela4[[#This Row],[Cabo]],BD!A:V,7,0),"")</f>
        <v/>
      </c>
      <c r="K19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4" s="23" t="str">
        <f ca="1">IFERROR(VLOOKUP(Tabela4[[#This Row],[Cabo]],BD!A:V,9,0),"")</f>
        <v/>
      </c>
      <c r="M194" s="23" t="str">
        <f ca="1">IFERROR(VLOOKUP(Tabela4[[#This Row],[Cabo]],BD!A:AD,30,0),"")</f>
        <v/>
      </c>
      <c r="N194" s="23" t="str">
        <f ca="1">IF(SUMIF('Lançamento de Cabos'!B:B,Tabela4[[#This Row],[Cabo]],'Lançamento de Cabos'!C:C)=0,"",SUMIF('Lançamento de Cabos'!B:B,Tabela4[[#This Row],[Cabo]],'Lançamento de Cabos'!C:C))</f>
        <v/>
      </c>
      <c r="O194" s="28" t="str">
        <f ca="1">IFERROR(IF(Tabela4[[#This Row],[Compr. Lançado]]/Tabela4[[#This Row],[Compr. Prev.]]&gt;1,1,Tabela4[[#This Row],[Compr. Lançado]]/Tabela4[[#This Row],[Compr. Prev.]]),"")</f>
        <v/>
      </c>
      <c r="P194" s="24" t="str">
        <f ca="1">IFERROR(VLOOKUP(Tabela4[[#This Row],[Cabo]],BD!A:V,11,0),"")</f>
        <v/>
      </c>
      <c r="Q194" s="24" t="str">
        <f ca="1">IFERROR(VLOOKUP(Tabela4[[#This Row],[Cabo]],BD!A:V,12,0),"")</f>
        <v/>
      </c>
      <c r="R194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4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4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4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4" s="23" t="str">
        <f ca="1">IF(Tabela4[[#This Row],[Cabo]]&lt;&gt;"",4-COUNTIF(Tabela4[[#This Row],[Teste de Continuidade]:[Hipot]],"---"),"")</f>
        <v/>
      </c>
      <c r="W194" s="29" t="str">
        <f ca="1">IF(Tabela4[[#This Row],[Cabo]]&lt;&gt;"",(COUNTIF(Tabela4[[#This Row],[Teste de Continuidade]:[Hipot]],"OK"))/(4-COUNTIF(Tabela4[[#This Row],[Teste de Continuidade]:[Hipot]],"---")),"")</f>
        <v/>
      </c>
      <c r="X194" s="23" t="str">
        <f ca="1">IF(Tabela4[[#This Row],[Cabo]]&lt;&gt;"",SUMIFS('Lançamento de Cabos'!$AF:$AF,'Lançamento de Cabos'!AE:AE,Tabela4[[#This Row],[Cabo]],'Lançamento de Cabos'!AJ:AJ,Área!$B$1),"")</f>
        <v/>
      </c>
      <c r="Y194" s="23" t="str">
        <f ca="1">IF(Tabela4[[#This Row],[Cabo]]&lt;&gt;"",SUMIFS('Lançamento de Cabos'!$AG:$AG,'Lançamento de Cabos'!AE:AE,Tabela4[[#This Row],[Cabo]],'Lançamento de Cabos'!AJ:AJ,Área!$B$1),"")</f>
        <v/>
      </c>
      <c r="Z194" s="23" t="e">
        <f ca="1">VLOOKUP(Tabela4[[#This Row],[Cabo]],BD!A:AB,28,0)</f>
        <v>#N/A</v>
      </c>
    </row>
    <row r="195" spans="3:26" x14ac:dyDescent="0.25">
      <c r="C195" s="391" t="str">
        <f ca="1">IF($B$1="Geral",Tabela1[[#This Row],[Tag do Cabo]],IFERROR(INDEX(INDIRECT("BD!$A"&amp;D195&amp;":$A100000"),E195,1),""))</f>
        <v/>
      </c>
      <c r="D195" s="391" t="str">
        <f t="shared" ca="1" si="10"/>
        <v/>
      </c>
      <c r="E195" s="391" t="str">
        <f t="shared" ca="1" si="11"/>
        <v/>
      </c>
      <c r="F195" s="23" t="str">
        <f ca="1">IFERROR(VLOOKUP(Tabela4[[#This Row],[Cabo]],BD!A:V,2,0),"")</f>
        <v/>
      </c>
      <c r="G195" s="391" t="str">
        <f ca="1">IFERROR(VLOOKUP(Tabela4[[#This Row],[Cabo]],BD!A:V,5,0),"")</f>
        <v/>
      </c>
      <c r="H195" s="23" t="str">
        <f ca="1">IFERROR(VLOOKUP(Tabela4[[#This Row],[Cabo]],BD!A:V,3,0),"")</f>
        <v/>
      </c>
      <c r="I195" s="23" t="str">
        <f ca="1">IFERROR(VLOOKUP(Tabela4[[#This Row],[Cabo]],BD!A:V,4,0),"")</f>
        <v/>
      </c>
      <c r="J195" s="23" t="str">
        <f ca="1">IFERROR(VLOOKUP(Tabela4[[#This Row],[Cabo]],BD!A:V,7,0),"")</f>
        <v/>
      </c>
      <c r="K19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5" s="23" t="str">
        <f ca="1">IFERROR(VLOOKUP(Tabela4[[#This Row],[Cabo]],BD!A:V,9,0),"")</f>
        <v/>
      </c>
      <c r="M195" s="23" t="str">
        <f ca="1">IFERROR(VLOOKUP(Tabela4[[#This Row],[Cabo]],BD!A:AD,30,0),"")</f>
        <v/>
      </c>
      <c r="N195" s="23" t="str">
        <f ca="1">IF(SUMIF('Lançamento de Cabos'!B:B,Tabela4[[#This Row],[Cabo]],'Lançamento de Cabos'!C:C)=0,"",SUMIF('Lançamento de Cabos'!B:B,Tabela4[[#This Row],[Cabo]],'Lançamento de Cabos'!C:C))</f>
        <v/>
      </c>
      <c r="O195" s="28" t="str">
        <f ca="1">IFERROR(IF(Tabela4[[#This Row],[Compr. Lançado]]/Tabela4[[#This Row],[Compr. Prev.]]&gt;1,1,Tabela4[[#This Row],[Compr. Lançado]]/Tabela4[[#This Row],[Compr. Prev.]]),"")</f>
        <v/>
      </c>
      <c r="P195" s="24" t="str">
        <f ca="1">IFERROR(VLOOKUP(Tabela4[[#This Row],[Cabo]],BD!A:V,11,0),"")</f>
        <v/>
      </c>
      <c r="Q195" s="24" t="str">
        <f ca="1">IFERROR(VLOOKUP(Tabela4[[#This Row],[Cabo]],BD!A:V,12,0),"")</f>
        <v/>
      </c>
      <c r="R195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5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5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5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5" s="23" t="str">
        <f ca="1">IF(Tabela4[[#This Row],[Cabo]]&lt;&gt;"",4-COUNTIF(Tabela4[[#This Row],[Teste de Continuidade]:[Hipot]],"---"),"")</f>
        <v/>
      </c>
      <c r="W195" s="29" t="str">
        <f ca="1">IF(Tabela4[[#This Row],[Cabo]]&lt;&gt;"",(COUNTIF(Tabela4[[#This Row],[Teste de Continuidade]:[Hipot]],"OK"))/(4-COUNTIF(Tabela4[[#This Row],[Teste de Continuidade]:[Hipot]],"---")),"")</f>
        <v/>
      </c>
      <c r="X195" s="23" t="str">
        <f ca="1">IF(Tabela4[[#This Row],[Cabo]]&lt;&gt;"",SUMIFS('Lançamento de Cabos'!$AF:$AF,'Lançamento de Cabos'!AE:AE,Tabela4[[#This Row],[Cabo]],'Lançamento de Cabos'!AJ:AJ,Área!$B$1),"")</f>
        <v/>
      </c>
      <c r="Y195" s="23" t="str">
        <f ca="1">IF(Tabela4[[#This Row],[Cabo]]&lt;&gt;"",SUMIFS('Lançamento de Cabos'!$AG:$AG,'Lançamento de Cabos'!AE:AE,Tabela4[[#This Row],[Cabo]],'Lançamento de Cabos'!AJ:AJ,Área!$B$1),"")</f>
        <v/>
      </c>
      <c r="Z195" s="23" t="e">
        <f ca="1">VLOOKUP(Tabela4[[#This Row],[Cabo]],BD!A:AB,28,0)</f>
        <v>#N/A</v>
      </c>
    </row>
    <row r="196" spans="3:26" x14ac:dyDescent="0.25">
      <c r="C196" s="391" t="str">
        <f ca="1">IF($B$1="Geral",Tabela1[[#This Row],[Tag do Cabo]],IFERROR(INDEX(INDIRECT("BD!$A"&amp;D196&amp;":$A100000"),E196,1),""))</f>
        <v/>
      </c>
      <c r="D196" s="391" t="str">
        <f t="shared" ca="1" si="10"/>
        <v/>
      </c>
      <c r="E196" s="391" t="str">
        <f t="shared" ca="1" si="11"/>
        <v/>
      </c>
      <c r="F196" s="23" t="str">
        <f ca="1">IFERROR(VLOOKUP(Tabela4[[#This Row],[Cabo]],BD!A:V,2,0),"")</f>
        <v/>
      </c>
      <c r="G196" s="391" t="str">
        <f ca="1">IFERROR(VLOOKUP(Tabela4[[#This Row],[Cabo]],BD!A:V,5,0),"")</f>
        <v/>
      </c>
      <c r="H196" s="23" t="str">
        <f ca="1">IFERROR(VLOOKUP(Tabela4[[#This Row],[Cabo]],BD!A:V,3,0),"")</f>
        <v/>
      </c>
      <c r="I196" s="23" t="str">
        <f ca="1">IFERROR(VLOOKUP(Tabela4[[#This Row],[Cabo]],BD!A:V,4,0),"")</f>
        <v/>
      </c>
      <c r="J196" s="23" t="str">
        <f ca="1">IFERROR(VLOOKUP(Tabela4[[#This Row],[Cabo]],BD!A:V,7,0),"")</f>
        <v/>
      </c>
      <c r="K19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6" s="23" t="str">
        <f ca="1">IFERROR(VLOOKUP(Tabela4[[#This Row],[Cabo]],BD!A:V,9,0),"")</f>
        <v/>
      </c>
      <c r="M196" s="23" t="str">
        <f ca="1">IFERROR(VLOOKUP(Tabela4[[#This Row],[Cabo]],BD!A:AD,30,0),"")</f>
        <v/>
      </c>
      <c r="N196" s="23" t="str">
        <f ca="1">IF(SUMIF('Lançamento de Cabos'!B:B,Tabela4[[#This Row],[Cabo]],'Lançamento de Cabos'!C:C)=0,"",SUMIF('Lançamento de Cabos'!B:B,Tabela4[[#This Row],[Cabo]],'Lançamento de Cabos'!C:C))</f>
        <v/>
      </c>
      <c r="O196" s="28" t="str">
        <f ca="1">IFERROR(IF(Tabela4[[#This Row],[Compr. Lançado]]/Tabela4[[#This Row],[Compr. Prev.]]&gt;1,1,Tabela4[[#This Row],[Compr. Lançado]]/Tabela4[[#This Row],[Compr. Prev.]]),"")</f>
        <v/>
      </c>
      <c r="P196" s="24" t="str">
        <f ca="1">IFERROR(VLOOKUP(Tabela4[[#This Row],[Cabo]],BD!A:V,11,0),"")</f>
        <v/>
      </c>
      <c r="Q196" s="24" t="str">
        <f ca="1">IFERROR(VLOOKUP(Tabela4[[#This Row],[Cabo]],BD!A:V,12,0),"")</f>
        <v/>
      </c>
      <c r="R196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6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6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6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6" s="23" t="str">
        <f ca="1">IF(Tabela4[[#This Row],[Cabo]]&lt;&gt;"",4-COUNTIF(Tabela4[[#This Row],[Teste de Continuidade]:[Hipot]],"---"),"")</f>
        <v/>
      </c>
      <c r="W196" s="29" t="str">
        <f ca="1">IF(Tabela4[[#This Row],[Cabo]]&lt;&gt;"",(COUNTIF(Tabela4[[#This Row],[Teste de Continuidade]:[Hipot]],"OK"))/(4-COUNTIF(Tabela4[[#This Row],[Teste de Continuidade]:[Hipot]],"---")),"")</f>
        <v/>
      </c>
      <c r="X196" s="23" t="str">
        <f ca="1">IF(Tabela4[[#This Row],[Cabo]]&lt;&gt;"",SUMIFS('Lançamento de Cabos'!$AF:$AF,'Lançamento de Cabos'!AE:AE,Tabela4[[#This Row],[Cabo]],'Lançamento de Cabos'!AJ:AJ,Área!$B$1),"")</f>
        <v/>
      </c>
      <c r="Y196" s="23" t="str">
        <f ca="1">IF(Tabela4[[#This Row],[Cabo]]&lt;&gt;"",SUMIFS('Lançamento de Cabos'!$AG:$AG,'Lançamento de Cabos'!AE:AE,Tabela4[[#This Row],[Cabo]],'Lançamento de Cabos'!AJ:AJ,Área!$B$1),"")</f>
        <v/>
      </c>
      <c r="Z196" s="23" t="e">
        <f ca="1">VLOOKUP(Tabela4[[#This Row],[Cabo]],BD!A:AB,28,0)</f>
        <v>#N/A</v>
      </c>
    </row>
    <row r="197" spans="3:26" x14ac:dyDescent="0.25">
      <c r="C197" s="391" t="str">
        <f ca="1">IF($B$1="Geral",Tabela1[[#This Row],[Tag do Cabo]],IFERROR(INDEX(INDIRECT("BD!$A"&amp;D197&amp;":$A100000"),E197,1),""))</f>
        <v/>
      </c>
      <c r="D197" s="391" t="str">
        <f t="shared" ca="1" si="10"/>
        <v/>
      </c>
      <c r="E197" s="391" t="str">
        <f t="shared" ca="1" si="11"/>
        <v/>
      </c>
      <c r="F197" s="23" t="str">
        <f ca="1">IFERROR(VLOOKUP(Tabela4[[#This Row],[Cabo]],BD!A:V,2,0),"")</f>
        <v/>
      </c>
      <c r="G197" s="391" t="str">
        <f ca="1">IFERROR(VLOOKUP(Tabela4[[#This Row],[Cabo]],BD!A:V,5,0),"")</f>
        <v/>
      </c>
      <c r="H197" s="23" t="str">
        <f ca="1">IFERROR(VLOOKUP(Tabela4[[#This Row],[Cabo]],BD!A:V,3,0),"")</f>
        <v/>
      </c>
      <c r="I197" s="23" t="str">
        <f ca="1">IFERROR(VLOOKUP(Tabela4[[#This Row],[Cabo]],BD!A:V,4,0),"")</f>
        <v/>
      </c>
      <c r="J197" s="23" t="str">
        <f ca="1">IFERROR(VLOOKUP(Tabela4[[#This Row],[Cabo]],BD!A:V,7,0),"")</f>
        <v/>
      </c>
      <c r="K19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7" s="23" t="str">
        <f ca="1">IFERROR(VLOOKUP(Tabela4[[#This Row],[Cabo]],BD!A:V,9,0),"")</f>
        <v/>
      </c>
      <c r="M197" s="23" t="str">
        <f ca="1">IFERROR(VLOOKUP(Tabela4[[#This Row],[Cabo]],BD!A:AD,30,0),"")</f>
        <v/>
      </c>
      <c r="N197" s="23" t="str">
        <f ca="1">IF(SUMIF('Lançamento de Cabos'!B:B,Tabela4[[#This Row],[Cabo]],'Lançamento de Cabos'!C:C)=0,"",SUMIF('Lançamento de Cabos'!B:B,Tabela4[[#This Row],[Cabo]],'Lançamento de Cabos'!C:C))</f>
        <v/>
      </c>
      <c r="O197" s="28" t="str">
        <f ca="1">IFERROR(IF(Tabela4[[#This Row],[Compr. Lançado]]/Tabela4[[#This Row],[Compr. Prev.]]&gt;1,1,Tabela4[[#This Row],[Compr. Lançado]]/Tabela4[[#This Row],[Compr. Prev.]]),"")</f>
        <v/>
      </c>
      <c r="P197" s="24" t="str">
        <f ca="1">IFERROR(VLOOKUP(Tabela4[[#This Row],[Cabo]],BD!A:V,11,0),"")</f>
        <v/>
      </c>
      <c r="Q197" s="24" t="str">
        <f ca="1">IFERROR(VLOOKUP(Tabela4[[#This Row],[Cabo]],BD!A:V,12,0),"")</f>
        <v/>
      </c>
      <c r="R197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7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7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7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7" s="23" t="str">
        <f ca="1">IF(Tabela4[[#This Row],[Cabo]]&lt;&gt;"",4-COUNTIF(Tabela4[[#This Row],[Teste de Continuidade]:[Hipot]],"---"),"")</f>
        <v/>
      </c>
      <c r="W197" s="29" t="str">
        <f ca="1">IF(Tabela4[[#This Row],[Cabo]]&lt;&gt;"",(COUNTIF(Tabela4[[#This Row],[Teste de Continuidade]:[Hipot]],"OK"))/(4-COUNTIF(Tabela4[[#This Row],[Teste de Continuidade]:[Hipot]],"---")),"")</f>
        <v/>
      </c>
      <c r="X197" s="23" t="str">
        <f ca="1">IF(Tabela4[[#This Row],[Cabo]]&lt;&gt;"",SUMIFS('Lançamento de Cabos'!$AF:$AF,'Lançamento de Cabos'!AE:AE,Tabela4[[#This Row],[Cabo]],'Lançamento de Cabos'!AJ:AJ,Área!$B$1),"")</f>
        <v/>
      </c>
      <c r="Y197" s="23" t="str">
        <f ca="1">IF(Tabela4[[#This Row],[Cabo]]&lt;&gt;"",SUMIFS('Lançamento de Cabos'!$AG:$AG,'Lançamento de Cabos'!AE:AE,Tabela4[[#This Row],[Cabo]],'Lançamento de Cabos'!AJ:AJ,Área!$B$1),"")</f>
        <v/>
      </c>
      <c r="Z197" s="23" t="e">
        <f ca="1">VLOOKUP(Tabela4[[#This Row],[Cabo]],BD!A:AB,28,0)</f>
        <v>#N/A</v>
      </c>
    </row>
    <row r="198" spans="3:26" x14ac:dyDescent="0.25">
      <c r="C198" s="391" t="str">
        <f ca="1">IF($B$1="Geral",Tabela1[[#This Row],[Tag do Cabo]],IFERROR(INDEX(INDIRECT("BD!$A"&amp;D198&amp;":$A100000"),E198,1),""))</f>
        <v/>
      </c>
      <c r="D198" s="391" t="str">
        <f t="shared" ca="1" si="10"/>
        <v/>
      </c>
      <c r="E198" s="391" t="str">
        <f t="shared" ca="1" si="11"/>
        <v/>
      </c>
      <c r="F198" s="23" t="str">
        <f ca="1">IFERROR(VLOOKUP(Tabela4[[#This Row],[Cabo]],BD!A:V,2,0),"")</f>
        <v/>
      </c>
      <c r="G198" s="391" t="str">
        <f ca="1">IFERROR(VLOOKUP(Tabela4[[#This Row],[Cabo]],BD!A:V,5,0),"")</f>
        <v/>
      </c>
      <c r="H198" s="23" t="str">
        <f ca="1">IFERROR(VLOOKUP(Tabela4[[#This Row],[Cabo]],BD!A:V,3,0),"")</f>
        <v/>
      </c>
      <c r="I198" s="23" t="str">
        <f ca="1">IFERROR(VLOOKUP(Tabela4[[#This Row],[Cabo]],BD!A:V,4,0),"")</f>
        <v/>
      </c>
      <c r="J198" s="23" t="str">
        <f ca="1">IFERROR(VLOOKUP(Tabela4[[#This Row],[Cabo]],BD!A:V,7,0),"")</f>
        <v/>
      </c>
      <c r="K19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8" s="23" t="str">
        <f ca="1">IFERROR(VLOOKUP(Tabela4[[#This Row],[Cabo]],BD!A:V,9,0),"")</f>
        <v/>
      </c>
      <c r="M198" s="23" t="str">
        <f ca="1">IFERROR(VLOOKUP(Tabela4[[#This Row],[Cabo]],BD!A:AD,30,0),"")</f>
        <v/>
      </c>
      <c r="N198" s="23" t="str">
        <f ca="1">IF(SUMIF('Lançamento de Cabos'!B:B,Tabela4[[#This Row],[Cabo]],'Lançamento de Cabos'!C:C)=0,"",SUMIF('Lançamento de Cabos'!B:B,Tabela4[[#This Row],[Cabo]],'Lançamento de Cabos'!C:C))</f>
        <v/>
      </c>
      <c r="O198" s="28" t="str">
        <f ca="1">IFERROR(IF(Tabela4[[#This Row],[Compr. Lançado]]/Tabela4[[#This Row],[Compr. Prev.]]&gt;1,1,Tabela4[[#This Row],[Compr. Lançado]]/Tabela4[[#This Row],[Compr. Prev.]]),"")</f>
        <v/>
      </c>
      <c r="P198" s="24" t="str">
        <f ca="1">IFERROR(VLOOKUP(Tabela4[[#This Row],[Cabo]],BD!A:V,11,0),"")</f>
        <v/>
      </c>
      <c r="Q198" s="24" t="str">
        <f ca="1">IFERROR(VLOOKUP(Tabela4[[#This Row],[Cabo]],BD!A:V,12,0),"")</f>
        <v/>
      </c>
      <c r="R198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8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8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8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8" s="23" t="str">
        <f ca="1">IF(Tabela4[[#This Row],[Cabo]]&lt;&gt;"",4-COUNTIF(Tabela4[[#This Row],[Teste de Continuidade]:[Hipot]],"---"),"")</f>
        <v/>
      </c>
      <c r="W198" s="29" t="str">
        <f ca="1">IF(Tabela4[[#This Row],[Cabo]]&lt;&gt;"",(COUNTIF(Tabela4[[#This Row],[Teste de Continuidade]:[Hipot]],"OK"))/(4-COUNTIF(Tabela4[[#This Row],[Teste de Continuidade]:[Hipot]],"---")),"")</f>
        <v/>
      </c>
      <c r="X198" s="23" t="str">
        <f ca="1">IF(Tabela4[[#This Row],[Cabo]]&lt;&gt;"",SUMIFS('Lançamento de Cabos'!$AF:$AF,'Lançamento de Cabos'!AE:AE,Tabela4[[#This Row],[Cabo]],'Lançamento de Cabos'!AJ:AJ,Área!$B$1),"")</f>
        <v/>
      </c>
      <c r="Y198" s="23" t="str">
        <f ca="1">IF(Tabela4[[#This Row],[Cabo]]&lt;&gt;"",SUMIFS('Lançamento de Cabos'!$AG:$AG,'Lançamento de Cabos'!AE:AE,Tabela4[[#This Row],[Cabo]],'Lançamento de Cabos'!AJ:AJ,Área!$B$1),"")</f>
        <v/>
      </c>
      <c r="Z198" s="23" t="e">
        <f ca="1">VLOOKUP(Tabela4[[#This Row],[Cabo]],BD!A:AB,28,0)</f>
        <v>#N/A</v>
      </c>
    </row>
    <row r="199" spans="3:26" x14ac:dyDescent="0.25">
      <c r="C199" s="391" t="str">
        <f ca="1">IF($B$1="Geral",Tabela1[[#This Row],[Tag do Cabo]],IFERROR(INDEX(INDIRECT("BD!$A"&amp;D199&amp;":$A100000"),E199,1),""))</f>
        <v/>
      </c>
      <c r="D199" s="391" t="str">
        <f t="shared" ca="1" si="10"/>
        <v/>
      </c>
      <c r="E199" s="391" t="str">
        <f t="shared" ca="1" si="11"/>
        <v/>
      </c>
      <c r="F199" s="23" t="str">
        <f ca="1">IFERROR(VLOOKUP(Tabela4[[#This Row],[Cabo]],BD!A:V,2,0),"")</f>
        <v/>
      </c>
      <c r="G199" s="391" t="str">
        <f ca="1">IFERROR(VLOOKUP(Tabela4[[#This Row],[Cabo]],BD!A:V,5,0),"")</f>
        <v/>
      </c>
      <c r="H199" s="23" t="str">
        <f ca="1">IFERROR(VLOOKUP(Tabela4[[#This Row],[Cabo]],BD!A:V,3,0),"")</f>
        <v/>
      </c>
      <c r="I199" s="23" t="str">
        <f ca="1">IFERROR(VLOOKUP(Tabela4[[#This Row],[Cabo]],BD!A:V,4,0),"")</f>
        <v/>
      </c>
      <c r="J199" s="23" t="str">
        <f ca="1">IFERROR(VLOOKUP(Tabela4[[#This Row],[Cabo]],BD!A:V,7,0),"")</f>
        <v/>
      </c>
      <c r="K19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199" s="23" t="str">
        <f ca="1">IFERROR(VLOOKUP(Tabela4[[#This Row],[Cabo]],BD!A:V,9,0),"")</f>
        <v/>
      </c>
      <c r="M199" s="23" t="str">
        <f ca="1">IFERROR(VLOOKUP(Tabela4[[#This Row],[Cabo]],BD!A:AD,30,0),"")</f>
        <v/>
      </c>
      <c r="N199" s="23" t="str">
        <f ca="1">IF(SUMIF('Lançamento de Cabos'!B:B,Tabela4[[#This Row],[Cabo]],'Lançamento de Cabos'!C:C)=0,"",SUMIF('Lançamento de Cabos'!B:B,Tabela4[[#This Row],[Cabo]],'Lançamento de Cabos'!C:C))</f>
        <v/>
      </c>
      <c r="O199" s="28" t="str">
        <f ca="1">IFERROR(IF(Tabela4[[#This Row],[Compr. Lançado]]/Tabela4[[#This Row],[Compr. Prev.]]&gt;1,1,Tabela4[[#This Row],[Compr. Lançado]]/Tabela4[[#This Row],[Compr. Prev.]]),"")</f>
        <v/>
      </c>
      <c r="P199" s="24" t="str">
        <f ca="1">IFERROR(VLOOKUP(Tabela4[[#This Row],[Cabo]],BD!A:V,11,0),"")</f>
        <v/>
      </c>
      <c r="Q199" s="24" t="str">
        <f ca="1">IFERROR(VLOOKUP(Tabela4[[#This Row],[Cabo]],BD!A:V,12,0),"")</f>
        <v/>
      </c>
      <c r="R199" s="23" t="str">
        <f ca="1">IF(Tabela4[[#This Row],[Cabo]]&lt;&gt;"",IFERROR(VLOOKUP(Tabela4[[#This Row],[Cabo]]&amp;"-1",'Lançamento de Cabos'!$S:$T,2,0),IF(VLOOKUP(Tabela4[[#This Row],[Cabo]],BD!A:V,13,0)="---","---","")),"")</f>
        <v/>
      </c>
      <c r="S199" s="23" t="str">
        <f ca="1">IF(Tabela4[[#This Row],[Cabo]]&lt;&gt;"",IFERROR(VLOOKUP(Tabela4[[#This Row],[Cabo]]&amp;"-2",'Lançamento de Cabos'!$S:$T,2,0),IF(VLOOKUP(Tabela4[[#This Row],[Cabo]],BD!A:V,14,0)="---","---","")),"")</f>
        <v/>
      </c>
      <c r="T199" s="23" t="str">
        <f ca="1">IF(Tabela4[[#This Row],[Cabo]]&lt;&gt;"",IFERROR(VLOOKUP(Tabela4[[#This Row],[Cabo]]&amp;"-3",'Lançamento de Cabos'!$S:$T,2,0),IF(VLOOKUP(Tabela4[[#This Row],[Cabo]],BD!A:V,15,0)="---","---","")),"")</f>
        <v/>
      </c>
      <c r="U199" s="23" t="str">
        <f ca="1">IF(Tabela4[[#This Row],[Cabo]]&lt;&gt;"",IFERROR(VLOOKUP(Tabela4[[#This Row],[Cabo]]&amp;"-4",'Lançamento de Cabos'!$S:$T,2,0),IF(VLOOKUP(Tabela4[[#This Row],[Cabo]],BD!A:V,16,0)="---","---","")),"")</f>
        <v/>
      </c>
      <c r="V199" s="23" t="str">
        <f ca="1">IF(Tabela4[[#This Row],[Cabo]]&lt;&gt;"",4-COUNTIF(Tabela4[[#This Row],[Teste de Continuidade]:[Hipot]],"---"),"")</f>
        <v/>
      </c>
      <c r="W199" s="29" t="str">
        <f ca="1">IF(Tabela4[[#This Row],[Cabo]]&lt;&gt;"",(COUNTIF(Tabela4[[#This Row],[Teste de Continuidade]:[Hipot]],"OK"))/(4-COUNTIF(Tabela4[[#This Row],[Teste de Continuidade]:[Hipot]],"---")),"")</f>
        <v/>
      </c>
      <c r="X199" s="23" t="str">
        <f ca="1">IF(Tabela4[[#This Row],[Cabo]]&lt;&gt;"",SUMIFS('Lançamento de Cabos'!$AF:$AF,'Lançamento de Cabos'!AE:AE,Tabela4[[#This Row],[Cabo]],'Lançamento de Cabos'!AJ:AJ,Área!$B$1),"")</f>
        <v/>
      </c>
      <c r="Y199" s="23" t="str">
        <f ca="1">IF(Tabela4[[#This Row],[Cabo]]&lt;&gt;"",SUMIFS('Lançamento de Cabos'!$AG:$AG,'Lançamento de Cabos'!AE:AE,Tabela4[[#This Row],[Cabo]],'Lançamento de Cabos'!AJ:AJ,Área!$B$1),"")</f>
        <v/>
      </c>
      <c r="Z199" s="23" t="e">
        <f ca="1">VLOOKUP(Tabela4[[#This Row],[Cabo]],BD!A:AB,28,0)</f>
        <v>#N/A</v>
      </c>
    </row>
    <row r="200" spans="3:26" x14ac:dyDescent="0.25">
      <c r="C200" s="391" t="str">
        <f ca="1">IF($B$1="Geral",Tabela1[[#This Row],[Tag do Cabo]],IFERROR(INDEX(INDIRECT("BD!$A"&amp;D200&amp;":$A100000"),E200,1),""))</f>
        <v/>
      </c>
      <c r="D200" s="391" t="str">
        <f t="shared" ca="1" si="10"/>
        <v/>
      </c>
      <c r="E200" s="391" t="str">
        <f t="shared" ca="1" si="11"/>
        <v/>
      </c>
      <c r="F200" s="23" t="str">
        <f ca="1">IFERROR(VLOOKUP(Tabela4[[#This Row],[Cabo]],BD!A:V,2,0),"")</f>
        <v/>
      </c>
      <c r="G200" s="391" t="str">
        <f ca="1">IFERROR(VLOOKUP(Tabela4[[#This Row],[Cabo]],BD!A:V,5,0),"")</f>
        <v/>
      </c>
      <c r="H200" s="23" t="str">
        <f ca="1">IFERROR(VLOOKUP(Tabela4[[#This Row],[Cabo]],BD!A:V,3,0),"")</f>
        <v/>
      </c>
      <c r="I200" s="23" t="str">
        <f ca="1">IFERROR(VLOOKUP(Tabela4[[#This Row],[Cabo]],BD!A:V,4,0),"")</f>
        <v/>
      </c>
      <c r="J200" s="23" t="str">
        <f ca="1">IFERROR(VLOOKUP(Tabela4[[#This Row],[Cabo]],BD!A:V,7,0),"")</f>
        <v/>
      </c>
      <c r="K20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0" s="23" t="str">
        <f ca="1">IFERROR(VLOOKUP(Tabela4[[#This Row],[Cabo]],BD!A:V,9,0),"")</f>
        <v/>
      </c>
      <c r="M200" s="23" t="str">
        <f ca="1">IFERROR(VLOOKUP(Tabela4[[#This Row],[Cabo]],BD!A:AD,30,0),"")</f>
        <v/>
      </c>
      <c r="N200" s="23" t="str">
        <f ca="1">IF(SUMIF('Lançamento de Cabos'!B:B,Tabela4[[#This Row],[Cabo]],'Lançamento de Cabos'!C:C)=0,"",SUMIF('Lançamento de Cabos'!B:B,Tabela4[[#This Row],[Cabo]],'Lançamento de Cabos'!C:C))</f>
        <v/>
      </c>
      <c r="O200" s="28" t="str">
        <f ca="1">IFERROR(IF(Tabela4[[#This Row],[Compr. Lançado]]/Tabela4[[#This Row],[Compr. Prev.]]&gt;1,1,Tabela4[[#This Row],[Compr. Lançado]]/Tabela4[[#This Row],[Compr. Prev.]]),"")</f>
        <v/>
      </c>
      <c r="P200" s="24" t="str">
        <f ca="1">IFERROR(VLOOKUP(Tabela4[[#This Row],[Cabo]],BD!A:V,11,0),"")</f>
        <v/>
      </c>
      <c r="Q200" s="24" t="str">
        <f ca="1">IFERROR(VLOOKUP(Tabela4[[#This Row],[Cabo]],BD!A:V,12,0),"")</f>
        <v/>
      </c>
      <c r="R20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0" s="23" t="str">
        <f ca="1">IF(Tabela4[[#This Row],[Cabo]]&lt;&gt;"",4-COUNTIF(Tabela4[[#This Row],[Teste de Continuidade]:[Hipot]],"---"),"")</f>
        <v/>
      </c>
      <c r="W200" s="29" t="str">
        <f ca="1">IF(Tabela4[[#This Row],[Cabo]]&lt;&gt;"",(COUNTIF(Tabela4[[#This Row],[Teste de Continuidade]:[Hipot]],"OK"))/(4-COUNTIF(Tabela4[[#This Row],[Teste de Continuidade]:[Hipot]],"---")),"")</f>
        <v/>
      </c>
      <c r="X200" s="23" t="str">
        <f ca="1">IF(Tabela4[[#This Row],[Cabo]]&lt;&gt;"",SUMIFS('Lançamento de Cabos'!$AF:$AF,'Lançamento de Cabos'!AE:AE,Tabela4[[#This Row],[Cabo]],'Lançamento de Cabos'!AJ:AJ,Área!$B$1),"")</f>
        <v/>
      </c>
      <c r="Y200" s="23" t="str">
        <f ca="1">IF(Tabela4[[#This Row],[Cabo]]&lt;&gt;"",SUMIFS('Lançamento de Cabos'!$AG:$AG,'Lançamento de Cabos'!AE:AE,Tabela4[[#This Row],[Cabo]],'Lançamento de Cabos'!AJ:AJ,Área!$B$1),"")</f>
        <v/>
      </c>
      <c r="Z200" s="23" t="e">
        <f ca="1">VLOOKUP(Tabela4[[#This Row],[Cabo]],BD!A:AB,28,0)</f>
        <v>#N/A</v>
      </c>
    </row>
    <row r="201" spans="3:26" x14ac:dyDescent="0.25">
      <c r="C201" s="391" t="str">
        <f ca="1">IF($B$1="Geral",Tabela1[[#This Row],[Tag do Cabo]],IFERROR(INDEX(INDIRECT("BD!$A"&amp;D201&amp;":$A100000"),E201,1),""))</f>
        <v/>
      </c>
      <c r="D201" s="391" t="str">
        <f t="shared" ca="1" si="10"/>
        <v/>
      </c>
      <c r="E201" s="391" t="str">
        <f t="shared" ca="1" si="11"/>
        <v/>
      </c>
      <c r="F201" s="23" t="str">
        <f ca="1">IFERROR(VLOOKUP(Tabela4[[#This Row],[Cabo]],BD!A:V,2,0),"")</f>
        <v/>
      </c>
      <c r="G201" s="391" t="str">
        <f ca="1">IFERROR(VLOOKUP(Tabela4[[#This Row],[Cabo]],BD!A:V,5,0),"")</f>
        <v/>
      </c>
      <c r="H201" s="23" t="str">
        <f ca="1">IFERROR(VLOOKUP(Tabela4[[#This Row],[Cabo]],BD!A:V,3,0),"")</f>
        <v/>
      </c>
      <c r="I201" s="23" t="str">
        <f ca="1">IFERROR(VLOOKUP(Tabela4[[#This Row],[Cabo]],BD!A:V,4,0),"")</f>
        <v/>
      </c>
      <c r="J201" s="23" t="str">
        <f ca="1">IFERROR(VLOOKUP(Tabela4[[#This Row],[Cabo]],BD!A:V,7,0),"")</f>
        <v/>
      </c>
      <c r="K20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1" s="23" t="str">
        <f ca="1">IFERROR(VLOOKUP(Tabela4[[#This Row],[Cabo]],BD!A:V,9,0),"")</f>
        <v/>
      </c>
      <c r="M201" s="23" t="str">
        <f ca="1">IFERROR(VLOOKUP(Tabela4[[#This Row],[Cabo]],BD!A:AD,30,0),"")</f>
        <v/>
      </c>
      <c r="N201" s="23" t="str">
        <f ca="1">IF(SUMIF('Lançamento de Cabos'!B:B,Tabela4[[#This Row],[Cabo]],'Lançamento de Cabos'!C:C)=0,"",SUMIF('Lançamento de Cabos'!B:B,Tabela4[[#This Row],[Cabo]],'Lançamento de Cabos'!C:C))</f>
        <v/>
      </c>
      <c r="O201" s="28" t="str">
        <f ca="1">IFERROR(IF(Tabela4[[#This Row],[Compr. Lançado]]/Tabela4[[#This Row],[Compr. Prev.]]&gt;1,1,Tabela4[[#This Row],[Compr. Lançado]]/Tabela4[[#This Row],[Compr. Prev.]]),"")</f>
        <v/>
      </c>
      <c r="P201" s="24" t="str">
        <f ca="1">IFERROR(VLOOKUP(Tabela4[[#This Row],[Cabo]],BD!A:V,11,0),"")</f>
        <v/>
      </c>
      <c r="Q201" s="24" t="str">
        <f ca="1">IFERROR(VLOOKUP(Tabela4[[#This Row],[Cabo]],BD!A:V,12,0),"")</f>
        <v/>
      </c>
      <c r="R20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1" s="23" t="str">
        <f ca="1">IF(Tabela4[[#This Row],[Cabo]]&lt;&gt;"",4-COUNTIF(Tabela4[[#This Row],[Teste de Continuidade]:[Hipot]],"---"),"")</f>
        <v/>
      </c>
      <c r="W201" s="29" t="str">
        <f ca="1">IF(Tabela4[[#This Row],[Cabo]]&lt;&gt;"",(COUNTIF(Tabela4[[#This Row],[Teste de Continuidade]:[Hipot]],"OK"))/(4-COUNTIF(Tabela4[[#This Row],[Teste de Continuidade]:[Hipot]],"---")),"")</f>
        <v/>
      </c>
      <c r="X201" s="23" t="str">
        <f ca="1">IF(Tabela4[[#This Row],[Cabo]]&lt;&gt;"",SUMIFS('Lançamento de Cabos'!$AF:$AF,'Lançamento de Cabos'!AE:AE,Tabela4[[#This Row],[Cabo]],'Lançamento de Cabos'!AJ:AJ,Área!$B$1),"")</f>
        <v/>
      </c>
      <c r="Y201" s="23" t="str">
        <f ca="1">IF(Tabela4[[#This Row],[Cabo]]&lt;&gt;"",SUMIFS('Lançamento de Cabos'!$AG:$AG,'Lançamento de Cabos'!AE:AE,Tabela4[[#This Row],[Cabo]],'Lançamento de Cabos'!AJ:AJ,Área!$B$1),"")</f>
        <v/>
      </c>
      <c r="Z201" s="23" t="e">
        <f ca="1">VLOOKUP(Tabela4[[#This Row],[Cabo]],BD!A:AB,28,0)</f>
        <v>#N/A</v>
      </c>
    </row>
    <row r="202" spans="3:26" x14ac:dyDescent="0.25">
      <c r="C202" s="391" t="str">
        <f ca="1">IF($B$1="Geral",Tabela1[[#This Row],[Tag do Cabo]],IFERROR(INDEX(INDIRECT("BD!$A"&amp;D202&amp;":$A100000"),E202,1),""))</f>
        <v/>
      </c>
      <c r="D202" s="391" t="str">
        <f t="shared" ca="1" si="10"/>
        <v/>
      </c>
      <c r="E202" s="391" t="str">
        <f t="shared" ca="1" si="11"/>
        <v/>
      </c>
      <c r="F202" s="23" t="str">
        <f ca="1">IFERROR(VLOOKUP(Tabela4[[#This Row],[Cabo]],BD!A:V,2,0),"")</f>
        <v/>
      </c>
      <c r="G202" s="391" t="str">
        <f ca="1">IFERROR(VLOOKUP(Tabela4[[#This Row],[Cabo]],BD!A:V,5,0),"")</f>
        <v/>
      </c>
      <c r="H202" s="23" t="str">
        <f ca="1">IFERROR(VLOOKUP(Tabela4[[#This Row],[Cabo]],BD!A:V,3,0),"")</f>
        <v/>
      </c>
      <c r="I202" s="23" t="str">
        <f ca="1">IFERROR(VLOOKUP(Tabela4[[#This Row],[Cabo]],BD!A:V,4,0),"")</f>
        <v/>
      </c>
      <c r="J202" s="23" t="str">
        <f ca="1">IFERROR(VLOOKUP(Tabela4[[#This Row],[Cabo]],BD!A:V,7,0),"")</f>
        <v/>
      </c>
      <c r="K20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2" s="23" t="str">
        <f ca="1">IFERROR(VLOOKUP(Tabela4[[#This Row],[Cabo]],BD!A:V,9,0),"")</f>
        <v/>
      </c>
      <c r="M202" s="23" t="str">
        <f ca="1">IFERROR(VLOOKUP(Tabela4[[#This Row],[Cabo]],BD!A:AD,30,0),"")</f>
        <v/>
      </c>
      <c r="N202" s="23" t="str">
        <f ca="1">IF(SUMIF('Lançamento de Cabos'!B:B,Tabela4[[#This Row],[Cabo]],'Lançamento de Cabos'!C:C)=0,"",SUMIF('Lançamento de Cabos'!B:B,Tabela4[[#This Row],[Cabo]],'Lançamento de Cabos'!C:C))</f>
        <v/>
      </c>
      <c r="O202" s="28" t="str">
        <f ca="1">IFERROR(IF(Tabela4[[#This Row],[Compr. Lançado]]/Tabela4[[#This Row],[Compr. Prev.]]&gt;1,1,Tabela4[[#This Row],[Compr. Lançado]]/Tabela4[[#This Row],[Compr. Prev.]]),"")</f>
        <v/>
      </c>
      <c r="P202" s="24" t="str">
        <f ca="1">IFERROR(VLOOKUP(Tabela4[[#This Row],[Cabo]],BD!A:V,11,0),"")</f>
        <v/>
      </c>
      <c r="Q202" s="24" t="str">
        <f ca="1">IFERROR(VLOOKUP(Tabela4[[#This Row],[Cabo]],BD!A:V,12,0),"")</f>
        <v/>
      </c>
      <c r="R20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2" s="23" t="str">
        <f ca="1">IF(Tabela4[[#This Row],[Cabo]]&lt;&gt;"",4-COUNTIF(Tabela4[[#This Row],[Teste de Continuidade]:[Hipot]],"---"),"")</f>
        <v/>
      </c>
      <c r="W202" s="29" t="str">
        <f ca="1">IF(Tabela4[[#This Row],[Cabo]]&lt;&gt;"",(COUNTIF(Tabela4[[#This Row],[Teste de Continuidade]:[Hipot]],"OK"))/(4-COUNTIF(Tabela4[[#This Row],[Teste de Continuidade]:[Hipot]],"---")),"")</f>
        <v/>
      </c>
      <c r="X202" s="23" t="str">
        <f ca="1">IF(Tabela4[[#This Row],[Cabo]]&lt;&gt;"",SUMIFS('Lançamento de Cabos'!$AF:$AF,'Lançamento de Cabos'!AE:AE,Tabela4[[#This Row],[Cabo]],'Lançamento de Cabos'!AJ:AJ,Área!$B$1),"")</f>
        <v/>
      </c>
      <c r="Y202" s="23" t="str">
        <f ca="1">IF(Tabela4[[#This Row],[Cabo]]&lt;&gt;"",SUMIFS('Lançamento de Cabos'!$AG:$AG,'Lançamento de Cabos'!AE:AE,Tabela4[[#This Row],[Cabo]],'Lançamento de Cabos'!AJ:AJ,Área!$B$1),"")</f>
        <v/>
      </c>
      <c r="Z202" s="23" t="e">
        <f ca="1">VLOOKUP(Tabela4[[#This Row],[Cabo]],BD!A:AB,28,0)</f>
        <v>#N/A</v>
      </c>
    </row>
    <row r="203" spans="3:26" x14ac:dyDescent="0.25">
      <c r="C203" s="391" t="str">
        <f ca="1">IF($B$1="Geral",Tabela1[[#This Row],[Tag do Cabo]],IFERROR(INDEX(INDIRECT("BD!$A"&amp;D203&amp;":$A100000"),E203,1),""))</f>
        <v/>
      </c>
      <c r="D203" s="391" t="str">
        <f t="shared" ca="1" si="10"/>
        <v/>
      </c>
      <c r="E203" s="391" t="str">
        <f t="shared" ca="1" si="11"/>
        <v/>
      </c>
      <c r="F203" s="23" t="str">
        <f ca="1">IFERROR(VLOOKUP(Tabela4[[#This Row],[Cabo]],BD!A:V,2,0),"")</f>
        <v/>
      </c>
      <c r="G203" s="391" t="str">
        <f ca="1">IFERROR(VLOOKUP(Tabela4[[#This Row],[Cabo]],BD!A:V,5,0),"")</f>
        <v/>
      </c>
      <c r="H203" s="23" t="str">
        <f ca="1">IFERROR(VLOOKUP(Tabela4[[#This Row],[Cabo]],BD!A:V,3,0),"")</f>
        <v/>
      </c>
      <c r="I203" s="23" t="str">
        <f ca="1">IFERROR(VLOOKUP(Tabela4[[#This Row],[Cabo]],BD!A:V,4,0),"")</f>
        <v/>
      </c>
      <c r="J203" s="23" t="str">
        <f ca="1">IFERROR(VLOOKUP(Tabela4[[#This Row],[Cabo]],BD!A:V,7,0),"")</f>
        <v/>
      </c>
      <c r="K20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3" s="23" t="str">
        <f ca="1">IFERROR(VLOOKUP(Tabela4[[#This Row],[Cabo]],BD!A:V,9,0),"")</f>
        <v/>
      </c>
      <c r="M203" s="23" t="str">
        <f ca="1">IFERROR(VLOOKUP(Tabela4[[#This Row],[Cabo]],BD!A:AD,30,0),"")</f>
        <v/>
      </c>
      <c r="N203" s="23" t="str">
        <f ca="1">IF(SUMIF('Lançamento de Cabos'!B:B,Tabela4[[#This Row],[Cabo]],'Lançamento de Cabos'!C:C)=0,"",SUMIF('Lançamento de Cabos'!B:B,Tabela4[[#This Row],[Cabo]],'Lançamento de Cabos'!C:C))</f>
        <v/>
      </c>
      <c r="O203" s="28" t="str">
        <f ca="1">IFERROR(IF(Tabela4[[#This Row],[Compr. Lançado]]/Tabela4[[#This Row],[Compr. Prev.]]&gt;1,1,Tabela4[[#This Row],[Compr. Lançado]]/Tabela4[[#This Row],[Compr. Prev.]]),"")</f>
        <v/>
      </c>
      <c r="P203" s="24" t="str">
        <f ca="1">IFERROR(VLOOKUP(Tabela4[[#This Row],[Cabo]],BD!A:V,11,0),"")</f>
        <v/>
      </c>
      <c r="Q203" s="24" t="str">
        <f ca="1">IFERROR(VLOOKUP(Tabela4[[#This Row],[Cabo]],BD!A:V,12,0),"")</f>
        <v/>
      </c>
      <c r="R20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3" s="23" t="str">
        <f ca="1">IF(Tabela4[[#This Row],[Cabo]]&lt;&gt;"",4-COUNTIF(Tabela4[[#This Row],[Teste de Continuidade]:[Hipot]],"---"),"")</f>
        <v/>
      </c>
      <c r="W203" s="29" t="str">
        <f ca="1">IF(Tabela4[[#This Row],[Cabo]]&lt;&gt;"",(COUNTIF(Tabela4[[#This Row],[Teste de Continuidade]:[Hipot]],"OK"))/(4-COUNTIF(Tabela4[[#This Row],[Teste de Continuidade]:[Hipot]],"---")),"")</f>
        <v/>
      </c>
      <c r="X203" s="23" t="str">
        <f ca="1">IF(Tabela4[[#This Row],[Cabo]]&lt;&gt;"",SUMIFS('Lançamento de Cabos'!$AF:$AF,'Lançamento de Cabos'!AE:AE,Tabela4[[#This Row],[Cabo]],'Lançamento de Cabos'!AJ:AJ,Área!$B$1),"")</f>
        <v/>
      </c>
      <c r="Y203" s="23" t="str">
        <f ca="1">IF(Tabela4[[#This Row],[Cabo]]&lt;&gt;"",SUMIFS('Lançamento de Cabos'!$AG:$AG,'Lançamento de Cabos'!AE:AE,Tabela4[[#This Row],[Cabo]],'Lançamento de Cabos'!AJ:AJ,Área!$B$1),"")</f>
        <v/>
      </c>
      <c r="Z203" s="23" t="e">
        <f ca="1">VLOOKUP(Tabela4[[#This Row],[Cabo]],BD!A:AB,28,0)</f>
        <v>#N/A</v>
      </c>
    </row>
    <row r="204" spans="3:26" x14ac:dyDescent="0.25">
      <c r="C204" s="391" t="str">
        <f ca="1">IF($B$1="Geral",Tabela1[[#This Row],[Tag do Cabo]],IFERROR(INDEX(INDIRECT("BD!$A"&amp;D204&amp;":$A100000"),E204,1),""))</f>
        <v/>
      </c>
      <c r="D204" s="391" t="str">
        <f t="shared" ca="1" si="10"/>
        <v/>
      </c>
      <c r="E204" s="391" t="str">
        <f t="shared" ca="1" si="11"/>
        <v/>
      </c>
      <c r="F204" s="23" t="str">
        <f ca="1">IFERROR(VLOOKUP(Tabela4[[#This Row],[Cabo]],BD!A:V,2,0),"")</f>
        <v/>
      </c>
      <c r="G204" s="391" t="str">
        <f ca="1">IFERROR(VLOOKUP(Tabela4[[#This Row],[Cabo]],BD!A:V,5,0),"")</f>
        <v/>
      </c>
      <c r="H204" s="23" t="str">
        <f ca="1">IFERROR(VLOOKUP(Tabela4[[#This Row],[Cabo]],BD!A:V,3,0),"")</f>
        <v/>
      </c>
      <c r="I204" s="23" t="str">
        <f ca="1">IFERROR(VLOOKUP(Tabela4[[#This Row],[Cabo]],BD!A:V,4,0),"")</f>
        <v/>
      </c>
      <c r="J204" s="23" t="str">
        <f ca="1">IFERROR(VLOOKUP(Tabela4[[#This Row],[Cabo]],BD!A:V,7,0),"")</f>
        <v/>
      </c>
      <c r="K20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4" s="23" t="str">
        <f ca="1">IFERROR(VLOOKUP(Tabela4[[#This Row],[Cabo]],BD!A:V,9,0),"")</f>
        <v/>
      </c>
      <c r="M204" s="23" t="str">
        <f ca="1">IFERROR(VLOOKUP(Tabela4[[#This Row],[Cabo]],BD!A:AD,30,0),"")</f>
        <v/>
      </c>
      <c r="N204" s="23" t="str">
        <f ca="1">IF(SUMIF('Lançamento de Cabos'!B:B,Tabela4[[#This Row],[Cabo]],'Lançamento de Cabos'!C:C)=0,"",SUMIF('Lançamento de Cabos'!B:B,Tabela4[[#This Row],[Cabo]],'Lançamento de Cabos'!C:C))</f>
        <v/>
      </c>
      <c r="O204" s="28" t="str">
        <f ca="1">IFERROR(IF(Tabela4[[#This Row],[Compr. Lançado]]/Tabela4[[#This Row],[Compr. Prev.]]&gt;1,1,Tabela4[[#This Row],[Compr. Lançado]]/Tabela4[[#This Row],[Compr. Prev.]]),"")</f>
        <v/>
      </c>
      <c r="P204" s="24" t="str">
        <f ca="1">IFERROR(VLOOKUP(Tabela4[[#This Row],[Cabo]],BD!A:V,11,0),"")</f>
        <v/>
      </c>
      <c r="Q204" s="24" t="str">
        <f ca="1">IFERROR(VLOOKUP(Tabela4[[#This Row],[Cabo]],BD!A:V,12,0),"")</f>
        <v/>
      </c>
      <c r="R20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4" s="23" t="str">
        <f ca="1">IF(Tabela4[[#This Row],[Cabo]]&lt;&gt;"",4-COUNTIF(Tabela4[[#This Row],[Teste de Continuidade]:[Hipot]],"---"),"")</f>
        <v/>
      </c>
      <c r="W204" s="29" t="str">
        <f ca="1">IF(Tabela4[[#This Row],[Cabo]]&lt;&gt;"",(COUNTIF(Tabela4[[#This Row],[Teste de Continuidade]:[Hipot]],"OK"))/(4-COUNTIF(Tabela4[[#This Row],[Teste de Continuidade]:[Hipot]],"---")),"")</f>
        <v/>
      </c>
      <c r="X204" s="23" t="str">
        <f ca="1">IF(Tabela4[[#This Row],[Cabo]]&lt;&gt;"",SUMIFS('Lançamento de Cabos'!$AF:$AF,'Lançamento de Cabos'!AE:AE,Tabela4[[#This Row],[Cabo]],'Lançamento de Cabos'!AJ:AJ,Área!$B$1),"")</f>
        <v/>
      </c>
      <c r="Y204" s="23" t="str">
        <f ca="1">IF(Tabela4[[#This Row],[Cabo]]&lt;&gt;"",SUMIFS('Lançamento de Cabos'!$AG:$AG,'Lançamento de Cabos'!AE:AE,Tabela4[[#This Row],[Cabo]],'Lançamento de Cabos'!AJ:AJ,Área!$B$1),"")</f>
        <v/>
      </c>
      <c r="Z204" s="23" t="e">
        <f ca="1">VLOOKUP(Tabela4[[#This Row],[Cabo]],BD!A:AB,28,0)</f>
        <v>#N/A</v>
      </c>
    </row>
    <row r="205" spans="3:26" x14ac:dyDescent="0.25">
      <c r="C205" s="391" t="str">
        <f ca="1">IF($B$1="Geral",Tabela1[[#This Row],[Tag do Cabo]],IFERROR(INDEX(INDIRECT("BD!$A"&amp;D205&amp;":$A100000"),E205,1),""))</f>
        <v/>
      </c>
      <c r="D205" s="391" t="str">
        <f t="shared" ca="1" si="10"/>
        <v/>
      </c>
      <c r="E205" s="391" t="str">
        <f t="shared" ca="1" si="11"/>
        <v/>
      </c>
      <c r="F205" s="23" t="str">
        <f ca="1">IFERROR(VLOOKUP(Tabela4[[#This Row],[Cabo]],BD!A:V,2,0),"")</f>
        <v/>
      </c>
      <c r="G205" s="391" t="str">
        <f ca="1">IFERROR(VLOOKUP(Tabela4[[#This Row],[Cabo]],BD!A:V,5,0),"")</f>
        <v/>
      </c>
      <c r="H205" s="23" t="str">
        <f ca="1">IFERROR(VLOOKUP(Tabela4[[#This Row],[Cabo]],BD!A:V,3,0),"")</f>
        <v/>
      </c>
      <c r="I205" s="23" t="str">
        <f ca="1">IFERROR(VLOOKUP(Tabela4[[#This Row],[Cabo]],BD!A:V,4,0),"")</f>
        <v/>
      </c>
      <c r="J205" s="23" t="str">
        <f ca="1">IFERROR(VLOOKUP(Tabela4[[#This Row],[Cabo]],BD!A:V,7,0),"")</f>
        <v/>
      </c>
      <c r="K20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5" s="23" t="str">
        <f ca="1">IFERROR(VLOOKUP(Tabela4[[#This Row],[Cabo]],BD!A:V,9,0),"")</f>
        <v/>
      </c>
      <c r="M205" s="23" t="str">
        <f ca="1">IFERROR(VLOOKUP(Tabela4[[#This Row],[Cabo]],BD!A:AD,30,0),"")</f>
        <v/>
      </c>
      <c r="N205" s="23" t="str">
        <f ca="1">IF(SUMIF('Lançamento de Cabos'!B:B,Tabela4[[#This Row],[Cabo]],'Lançamento de Cabos'!C:C)=0,"",SUMIF('Lançamento de Cabos'!B:B,Tabela4[[#This Row],[Cabo]],'Lançamento de Cabos'!C:C))</f>
        <v/>
      </c>
      <c r="O205" s="28" t="str">
        <f ca="1">IFERROR(IF(Tabela4[[#This Row],[Compr. Lançado]]/Tabela4[[#This Row],[Compr. Prev.]]&gt;1,1,Tabela4[[#This Row],[Compr. Lançado]]/Tabela4[[#This Row],[Compr. Prev.]]),"")</f>
        <v/>
      </c>
      <c r="P205" s="24" t="str">
        <f ca="1">IFERROR(VLOOKUP(Tabela4[[#This Row],[Cabo]],BD!A:V,11,0),"")</f>
        <v/>
      </c>
      <c r="Q205" s="24" t="str">
        <f ca="1">IFERROR(VLOOKUP(Tabela4[[#This Row],[Cabo]],BD!A:V,12,0),"")</f>
        <v/>
      </c>
      <c r="R20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5" s="23" t="str">
        <f ca="1">IF(Tabela4[[#This Row],[Cabo]]&lt;&gt;"",4-COUNTIF(Tabela4[[#This Row],[Teste de Continuidade]:[Hipot]],"---"),"")</f>
        <v/>
      </c>
      <c r="W205" s="29" t="str">
        <f ca="1">IF(Tabela4[[#This Row],[Cabo]]&lt;&gt;"",(COUNTIF(Tabela4[[#This Row],[Teste de Continuidade]:[Hipot]],"OK"))/(4-COUNTIF(Tabela4[[#This Row],[Teste de Continuidade]:[Hipot]],"---")),"")</f>
        <v/>
      </c>
      <c r="X205" s="23" t="str">
        <f ca="1">IF(Tabela4[[#This Row],[Cabo]]&lt;&gt;"",SUMIFS('Lançamento de Cabos'!$AF:$AF,'Lançamento de Cabos'!AE:AE,Tabela4[[#This Row],[Cabo]],'Lançamento de Cabos'!AJ:AJ,Área!$B$1),"")</f>
        <v/>
      </c>
      <c r="Y205" s="23" t="str">
        <f ca="1">IF(Tabela4[[#This Row],[Cabo]]&lt;&gt;"",SUMIFS('Lançamento de Cabos'!$AG:$AG,'Lançamento de Cabos'!AE:AE,Tabela4[[#This Row],[Cabo]],'Lançamento de Cabos'!AJ:AJ,Área!$B$1),"")</f>
        <v/>
      </c>
      <c r="Z205" s="23" t="e">
        <f ca="1">VLOOKUP(Tabela4[[#This Row],[Cabo]],BD!A:AB,28,0)</f>
        <v>#N/A</v>
      </c>
    </row>
    <row r="206" spans="3:26" x14ac:dyDescent="0.25">
      <c r="C206" s="391" t="str">
        <f ca="1">IF($B$1="Geral",Tabela1[[#This Row],[Tag do Cabo]],IFERROR(INDEX(INDIRECT("BD!$A"&amp;D206&amp;":$A100000"),E206,1),""))</f>
        <v/>
      </c>
      <c r="D206" s="391" t="str">
        <f t="shared" ca="1" si="10"/>
        <v/>
      </c>
      <c r="E206" s="391" t="str">
        <f t="shared" ca="1" si="11"/>
        <v/>
      </c>
      <c r="F206" s="23" t="str">
        <f ca="1">IFERROR(VLOOKUP(Tabela4[[#This Row],[Cabo]],BD!A:V,2,0),"")</f>
        <v/>
      </c>
      <c r="G206" s="391" t="str">
        <f ca="1">IFERROR(VLOOKUP(Tabela4[[#This Row],[Cabo]],BD!A:V,5,0),"")</f>
        <v/>
      </c>
      <c r="H206" s="23" t="str">
        <f ca="1">IFERROR(VLOOKUP(Tabela4[[#This Row],[Cabo]],BD!A:V,3,0),"")</f>
        <v/>
      </c>
      <c r="I206" s="23" t="str">
        <f ca="1">IFERROR(VLOOKUP(Tabela4[[#This Row],[Cabo]],BD!A:V,4,0),"")</f>
        <v/>
      </c>
      <c r="J206" s="23" t="str">
        <f ca="1">IFERROR(VLOOKUP(Tabela4[[#This Row],[Cabo]],BD!A:V,7,0),"")</f>
        <v/>
      </c>
      <c r="K20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6" s="23" t="str">
        <f ca="1">IFERROR(VLOOKUP(Tabela4[[#This Row],[Cabo]],BD!A:V,9,0),"")</f>
        <v/>
      </c>
      <c r="M206" s="23" t="str">
        <f ca="1">IFERROR(VLOOKUP(Tabela4[[#This Row],[Cabo]],BD!A:AD,30,0),"")</f>
        <v/>
      </c>
      <c r="N206" s="23" t="str">
        <f ca="1">IF(SUMIF('Lançamento de Cabos'!B:B,Tabela4[[#This Row],[Cabo]],'Lançamento de Cabos'!C:C)=0,"",SUMIF('Lançamento de Cabos'!B:B,Tabela4[[#This Row],[Cabo]],'Lançamento de Cabos'!C:C))</f>
        <v/>
      </c>
      <c r="O206" s="28" t="str">
        <f ca="1">IFERROR(IF(Tabela4[[#This Row],[Compr. Lançado]]/Tabela4[[#This Row],[Compr. Prev.]]&gt;1,1,Tabela4[[#This Row],[Compr. Lançado]]/Tabela4[[#This Row],[Compr. Prev.]]),"")</f>
        <v/>
      </c>
      <c r="P206" s="24" t="str">
        <f ca="1">IFERROR(VLOOKUP(Tabela4[[#This Row],[Cabo]],BD!A:V,11,0),"")</f>
        <v/>
      </c>
      <c r="Q206" s="24" t="str">
        <f ca="1">IFERROR(VLOOKUP(Tabela4[[#This Row],[Cabo]],BD!A:V,12,0),"")</f>
        <v/>
      </c>
      <c r="R20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6" s="23" t="str">
        <f ca="1">IF(Tabela4[[#This Row],[Cabo]]&lt;&gt;"",4-COUNTIF(Tabela4[[#This Row],[Teste de Continuidade]:[Hipot]],"---"),"")</f>
        <v/>
      </c>
      <c r="W206" s="29" t="str">
        <f ca="1">IF(Tabela4[[#This Row],[Cabo]]&lt;&gt;"",(COUNTIF(Tabela4[[#This Row],[Teste de Continuidade]:[Hipot]],"OK"))/(4-COUNTIF(Tabela4[[#This Row],[Teste de Continuidade]:[Hipot]],"---")),"")</f>
        <v/>
      </c>
      <c r="X206" s="23" t="str">
        <f ca="1">IF(Tabela4[[#This Row],[Cabo]]&lt;&gt;"",SUMIFS('Lançamento de Cabos'!$AF:$AF,'Lançamento de Cabos'!AE:AE,Tabela4[[#This Row],[Cabo]],'Lançamento de Cabos'!AJ:AJ,Área!$B$1),"")</f>
        <v/>
      </c>
      <c r="Y206" s="23" t="str">
        <f ca="1">IF(Tabela4[[#This Row],[Cabo]]&lt;&gt;"",SUMIFS('Lançamento de Cabos'!$AG:$AG,'Lançamento de Cabos'!AE:AE,Tabela4[[#This Row],[Cabo]],'Lançamento de Cabos'!AJ:AJ,Área!$B$1),"")</f>
        <v/>
      </c>
      <c r="Z206" s="23" t="e">
        <f ca="1">VLOOKUP(Tabela4[[#This Row],[Cabo]],BD!A:AB,28,0)</f>
        <v>#N/A</v>
      </c>
    </row>
    <row r="207" spans="3:26" x14ac:dyDescent="0.25">
      <c r="C207" s="391" t="str">
        <f ca="1">IF($B$1="Geral",Tabela1[[#This Row],[Tag do Cabo]],IFERROR(INDEX(INDIRECT("BD!$A"&amp;D207&amp;":$A100000"),E207,1),""))</f>
        <v/>
      </c>
      <c r="D207" s="391" t="str">
        <f t="shared" ca="1" si="10"/>
        <v/>
      </c>
      <c r="E207" s="391" t="str">
        <f t="shared" ca="1" si="11"/>
        <v/>
      </c>
      <c r="F207" s="23" t="str">
        <f ca="1">IFERROR(VLOOKUP(Tabela4[[#This Row],[Cabo]],BD!A:V,2,0),"")</f>
        <v/>
      </c>
      <c r="G207" s="391" t="str">
        <f ca="1">IFERROR(VLOOKUP(Tabela4[[#This Row],[Cabo]],BD!A:V,5,0),"")</f>
        <v/>
      </c>
      <c r="H207" s="23" t="str">
        <f ca="1">IFERROR(VLOOKUP(Tabela4[[#This Row],[Cabo]],BD!A:V,3,0),"")</f>
        <v/>
      </c>
      <c r="I207" s="23" t="str">
        <f ca="1">IFERROR(VLOOKUP(Tabela4[[#This Row],[Cabo]],BD!A:V,4,0),"")</f>
        <v/>
      </c>
      <c r="J207" s="23" t="str">
        <f ca="1">IFERROR(VLOOKUP(Tabela4[[#This Row],[Cabo]],BD!A:V,7,0),"")</f>
        <v/>
      </c>
      <c r="K20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7" s="23" t="str">
        <f ca="1">IFERROR(VLOOKUP(Tabela4[[#This Row],[Cabo]],BD!A:V,9,0),"")</f>
        <v/>
      </c>
      <c r="M207" s="23" t="str">
        <f ca="1">IFERROR(VLOOKUP(Tabela4[[#This Row],[Cabo]],BD!A:AD,30,0),"")</f>
        <v/>
      </c>
      <c r="N207" s="23" t="str">
        <f ca="1">IF(SUMIF('Lançamento de Cabos'!B:B,Tabela4[[#This Row],[Cabo]],'Lançamento de Cabos'!C:C)=0,"",SUMIF('Lançamento de Cabos'!B:B,Tabela4[[#This Row],[Cabo]],'Lançamento de Cabos'!C:C))</f>
        <v/>
      </c>
      <c r="O207" s="28" t="str">
        <f ca="1">IFERROR(IF(Tabela4[[#This Row],[Compr. Lançado]]/Tabela4[[#This Row],[Compr. Prev.]]&gt;1,1,Tabela4[[#This Row],[Compr. Lançado]]/Tabela4[[#This Row],[Compr. Prev.]]),"")</f>
        <v/>
      </c>
      <c r="P207" s="24" t="str">
        <f ca="1">IFERROR(VLOOKUP(Tabela4[[#This Row],[Cabo]],BD!A:V,11,0),"")</f>
        <v/>
      </c>
      <c r="Q207" s="24" t="str">
        <f ca="1">IFERROR(VLOOKUP(Tabela4[[#This Row],[Cabo]],BD!A:V,12,0),"")</f>
        <v/>
      </c>
      <c r="R20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7" s="23" t="str">
        <f ca="1">IF(Tabela4[[#This Row],[Cabo]]&lt;&gt;"",4-COUNTIF(Tabela4[[#This Row],[Teste de Continuidade]:[Hipot]],"---"),"")</f>
        <v/>
      </c>
      <c r="W207" s="29" t="str">
        <f ca="1">IF(Tabela4[[#This Row],[Cabo]]&lt;&gt;"",(COUNTIF(Tabela4[[#This Row],[Teste de Continuidade]:[Hipot]],"OK"))/(4-COUNTIF(Tabela4[[#This Row],[Teste de Continuidade]:[Hipot]],"---")),"")</f>
        <v/>
      </c>
      <c r="X207" s="23" t="str">
        <f ca="1">IF(Tabela4[[#This Row],[Cabo]]&lt;&gt;"",SUMIFS('Lançamento de Cabos'!$AF:$AF,'Lançamento de Cabos'!AE:AE,Tabela4[[#This Row],[Cabo]],'Lançamento de Cabos'!AJ:AJ,Área!$B$1),"")</f>
        <v/>
      </c>
      <c r="Y207" s="23" t="str">
        <f ca="1">IF(Tabela4[[#This Row],[Cabo]]&lt;&gt;"",SUMIFS('Lançamento de Cabos'!$AG:$AG,'Lançamento de Cabos'!AE:AE,Tabela4[[#This Row],[Cabo]],'Lançamento de Cabos'!AJ:AJ,Área!$B$1),"")</f>
        <v/>
      </c>
      <c r="Z207" s="23" t="e">
        <f ca="1">VLOOKUP(Tabela4[[#This Row],[Cabo]],BD!A:AB,28,0)</f>
        <v>#N/A</v>
      </c>
    </row>
    <row r="208" spans="3:26" x14ac:dyDescent="0.25">
      <c r="C208" s="391" t="str">
        <f ca="1">IF($B$1="Geral",Tabela1[[#This Row],[Tag do Cabo]],IFERROR(INDEX(INDIRECT("BD!$A"&amp;D208&amp;":$A100000"),E208,1),""))</f>
        <v/>
      </c>
      <c r="D208" s="391" t="str">
        <f t="shared" ca="1" si="10"/>
        <v/>
      </c>
      <c r="E208" s="391" t="str">
        <f t="shared" ca="1" si="11"/>
        <v/>
      </c>
      <c r="F208" s="23" t="str">
        <f ca="1">IFERROR(VLOOKUP(Tabela4[[#This Row],[Cabo]],BD!A:V,2,0),"")</f>
        <v/>
      </c>
      <c r="G208" s="391" t="str">
        <f ca="1">IFERROR(VLOOKUP(Tabela4[[#This Row],[Cabo]],BD!A:V,5,0),"")</f>
        <v/>
      </c>
      <c r="H208" s="23" t="str">
        <f ca="1">IFERROR(VLOOKUP(Tabela4[[#This Row],[Cabo]],BD!A:V,3,0),"")</f>
        <v/>
      </c>
      <c r="I208" s="23" t="str">
        <f ca="1">IFERROR(VLOOKUP(Tabela4[[#This Row],[Cabo]],BD!A:V,4,0),"")</f>
        <v/>
      </c>
      <c r="J208" s="23" t="str">
        <f ca="1">IFERROR(VLOOKUP(Tabela4[[#This Row],[Cabo]],BD!A:V,7,0),"")</f>
        <v/>
      </c>
      <c r="K20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8" s="23" t="str">
        <f ca="1">IFERROR(VLOOKUP(Tabela4[[#This Row],[Cabo]],BD!A:V,9,0),"")</f>
        <v/>
      </c>
      <c r="M208" s="23" t="str">
        <f ca="1">IFERROR(VLOOKUP(Tabela4[[#This Row],[Cabo]],BD!A:AD,30,0),"")</f>
        <v/>
      </c>
      <c r="N208" s="23" t="str">
        <f ca="1">IF(SUMIF('Lançamento de Cabos'!B:B,Tabela4[[#This Row],[Cabo]],'Lançamento de Cabos'!C:C)=0,"",SUMIF('Lançamento de Cabos'!B:B,Tabela4[[#This Row],[Cabo]],'Lançamento de Cabos'!C:C))</f>
        <v/>
      </c>
      <c r="O208" s="28" t="str">
        <f ca="1">IFERROR(IF(Tabela4[[#This Row],[Compr. Lançado]]/Tabela4[[#This Row],[Compr. Prev.]]&gt;1,1,Tabela4[[#This Row],[Compr. Lançado]]/Tabela4[[#This Row],[Compr. Prev.]]),"")</f>
        <v/>
      </c>
      <c r="P208" s="24" t="str">
        <f ca="1">IFERROR(VLOOKUP(Tabela4[[#This Row],[Cabo]],BD!A:V,11,0),"")</f>
        <v/>
      </c>
      <c r="Q208" s="24" t="str">
        <f ca="1">IFERROR(VLOOKUP(Tabela4[[#This Row],[Cabo]],BD!A:V,12,0),"")</f>
        <v/>
      </c>
      <c r="R20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8" s="23" t="str">
        <f ca="1">IF(Tabela4[[#This Row],[Cabo]]&lt;&gt;"",4-COUNTIF(Tabela4[[#This Row],[Teste de Continuidade]:[Hipot]],"---"),"")</f>
        <v/>
      </c>
      <c r="W208" s="29" t="str">
        <f ca="1">IF(Tabela4[[#This Row],[Cabo]]&lt;&gt;"",(COUNTIF(Tabela4[[#This Row],[Teste de Continuidade]:[Hipot]],"OK"))/(4-COUNTIF(Tabela4[[#This Row],[Teste de Continuidade]:[Hipot]],"---")),"")</f>
        <v/>
      </c>
      <c r="X208" s="23" t="str">
        <f ca="1">IF(Tabela4[[#This Row],[Cabo]]&lt;&gt;"",SUMIFS('Lançamento de Cabos'!$AF:$AF,'Lançamento de Cabos'!AE:AE,Tabela4[[#This Row],[Cabo]],'Lançamento de Cabos'!AJ:AJ,Área!$B$1),"")</f>
        <v/>
      </c>
      <c r="Y208" s="23" t="str">
        <f ca="1">IF(Tabela4[[#This Row],[Cabo]]&lt;&gt;"",SUMIFS('Lançamento de Cabos'!$AG:$AG,'Lançamento de Cabos'!AE:AE,Tabela4[[#This Row],[Cabo]],'Lançamento de Cabos'!AJ:AJ,Área!$B$1),"")</f>
        <v/>
      </c>
      <c r="Z208" s="23" t="e">
        <f ca="1">VLOOKUP(Tabela4[[#This Row],[Cabo]],BD!A:AB,28,0)</f>
        <v>#N/A</v>
      </c>
    </row>
    <row r="209" spans="3:26" x14ac:dyDescent="0.25">
      <c r="C209" s="391" t="str">
        <f ca="1">IF($B$1="Geral",Tabela1[[#This Row],[Tag do Cabo]],IFERROR(INDEX(INDIRECT("BD!$A"&amp;D209&amp;":$A100000"),E209,1),""))</f>
        <v/>
      </c>
      <c r="D209" s="391" t="str">
        <f t="shared" ca="1" si="10"/>
        <v/>
      </c>
      <c r="E209" s="391" t="str">
        <f t="shared" ca="1" si="11"/>
        <v/>
      </c>
      <c r="F209" s="23" t="str">
        <f ca="1">IFERROR(VLOOKUP(Tabela4[[#This Row],[Cabo]],BD!A:V,2,0),"")</f>
        <v/>
      </c>
      <c r="G209" s="391" t="str">
        <f ca="1">IFERROR(VLOOKUP(Tabela4[[#This Row],[Cabo]],BD!A:V,5,0),"")</f>
        <v/>
      </c>
      <c r="H209" s="23" t="str">
        <f ca="1">IFERROR(VLOOKUP(Tabela4[[#This Row],[Cabo]],BD!A:V,3,0),"")</f>
        <v/>
      </c>
      <c r="I209" s="23" t="str">
        <f ca="1">IFERROR(VLOOKUP(Tabela4[[#This Row],[Cabo]],BD!A:V,4,0),"")</f>
        <v/>
      </c>
      <c r="J209" s="23" t="str">
        <f ca="1">IFERROR(VLOOKUP(Tabela4[[#This Row],[Cabo]],BD!A:V,7,0),"")</f>
        <v/>
      </c>
      <c r="K20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09" s="23" t="str">
        <f ca="1">IFERROR(VLOOKUP(Tabela4[[#This Row],[Cabo]],BD!A:V,9,0),"")</f>
        <v/>
      </c>
      <c r="M209" s="23" t="str">
        <f ca="1">IFERROR(VLOOKUP(Tabela4[[#This Row],[Cabo]],BD!A:AD,30,0),"")</f>
        <v/>
      </c>
      <c r="N209" s="23" t="str">
        <f ca="1">IF(SUMIF('Lançamento de Cabos'!B:B,Tabela4[[#This Row],[Cabo]],'Lançamento de Cabos'!C:C)=0,"",SUMIF('Lançamento de Cabos'!B:B,Tabela4[[#This Row],[Cabo]],'Lançamento de Cabos'!C:C))</f>
        <v/>
      </c>
      <c r="O209" s="28" t="str">
        <f ca="1">IFERROR(IF(Tabela4[[#This Row],[Compr. Lançado]]/Tabela4[[#This Row],[Compr. Prev.]]&gt;1,1,Tabela4[[#This Row],[Compr. Lançado]]/Tabela4[[#This Row],[Compr. Prev.]]),"")</f>
        <v/>
      </c>
      <c r="P209" s="24" t="str">
        <f ca="1">IFERROR(VLOOKUP(Tabela4[[#This Row],[Cabo]],BD!A:V,11,0),"")</f>
        <v/>
      </c>
      <c r="Q209" s="24" t="str">
        <f ca="1">IFERROR(VLOOKUP(Tabela4[[#This Row],[Cabo]],BD!A:V,12,0),"")</f>
        <v/>
      </c>
      <c r="R20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0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0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0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09" s="23" t="str">
        <f ca="1">IF(Tabela4[[#This Row],[Cabo]]&lt;&gt;"",4-COUNTIF(Tabela4[[#This Row],[Teste de Continuidade]:[Hipot]],"---"),"")</f>
        <v/>
      </c>
      <c r="W209" s="29" t="str">
        <f ca="1">IF(Tabela4[[#This Row],[Cabo]]&lt;&gt;"",(COUNTIF(Tabela4[[#This Row],[Teste de Continuidade]:[Hipot]],"OK"))/(4-COUNTIF(Tabela4[[#This Row],[Teste de Continuidade]:[Hipot]],"---")),"")</f>
        <v/>
      </c>
      <c r="X209" s="23" t="str">
        <f ca="1">IF(Tabela4[[#This Row],[Cabo]]&lt;&gt;"",SUMIFS('Lançamento de Cabos'!$AF:$AF,'Lançamento de Cabos'!AE:AE,Tabela4[[#This Row],[Cabo]],'Lançamento de Cabos'!AJ:AJ,Área!$B$1),"")</f>
        <v/>
      </c>
      <c r="Y209" s="23" t="str">
        <f ca="1">IF(Tabela4[[#This Row],[Cabo]]&lt;&gt;"",SUMIFS('Lançamento de Cabos'!$AG:$AG,'Lançamento de Cabos'!AE:AE,Tabela4[[#This Row],[Cabo]],'Lançamento de Cabos'!AJ:AJ,Área!$B$1),"")</f>
        <v/>
      </c>
      <c r="Z209" s="23" t="e">
        <f ca="1">VLOOKUP(Tabela4[[#This Row],[Cabo]],BD!A:AB,28,0)</f>
        <v>#N/A</v>
      </c>
    </row>
    <row r="210" spans="3:26" x14ac:dyDescent="0.25">
      <c r="C210" s="391" t="str">
        <f ca="1">IF($B$1="Geral",Tabela1[[#This Row],[Tag do Cabo]],IFERROR(INDEX(INDIRECT("BD!$A"&amp;D210&amp;":$A100000"),E210,1),""))</f>
        <v/>
      </c>
      <c r="D210" s="391" t="str">
        <f t="shared" ca="1" si="10"/>
        <v/>
      </c>
      <c r="E210" s="391" t="str">
        <f t="shared" ca="1" si="11"/>
        <v/>
      </c>
      <c r="F210" s="23" t="str">
        <f ca="1">IFERROR(VLOOKUP(Tabela4[[#This Row],[Cabo]],BD!A:V,2,0),"")</f>
        <v/>
      </c>
      <c r="G210" s="391" t="str">
        <f ca="1">IFERROR(VLOOKUP(Tabela4[[#This Row],[Cabo]],BD!A:V,5,0),"")</f>
        <v/>
      </c>
      <c r="H210" s="23" t="str">
        <f ca="1">IFERROR(VLOOKUP(Tabela4[[#This Row],[Cabo]],BD!A:V,3,0),"")</f>
        <v/>
      </c>
      <c r="I210" s="23" t="str">
        <f ca="1">IFERROR(VLOOKUP(Tabela4[[#This Row],[Cabo]],BD!A:V,4,0),"")</f>
        <v/>
      </c>
      <c r="J210" s="23" t="str">
        <f ca="1">IFERROR(VLOOKUP(Tabela4[[#This Row],[Cabo]],BD!A:V,7,0),"")</f>
        <v/>
      </c>
      <c r="K21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0" s="23" t="str">
        <f ca="1">IFERROR(VLOOKUP(Tabela4[[#This Row],[Cabo]],BD!A:V,9,0),"")</f>
        <v/>
      </c>
      <c r="M210" s="23" t="str">
        <f ca="1">IFERROR(VLOOKUP(Tabela4[[#This Row],[Cabo]],BD!A:AD,30,0),"")</f>
        <v/>
      </c>
      <c r="N210" s="23" t="str">
        <f ca="1">IF(SUMIF('Lançamento de Cabos'!B:B,Tabela4[[#This Row],[Cabo]],'Lançamento de Cabos'!C:C)=0,"",SUMIF('Lançamento de Cabos'!B:B,Tabela4[[#This Row],[Cabo]],'Lançamento de Cabos'!C:C))</f>
        <v/>
      </c>
      <c r="O210" s="28" t="str">
        <f ca="1">IFERROR(IF(Tabela4[[#This Row],[Compr. Lançado]]/Tabela4[[#This Row],[Compr. Prev.]]&gt;1,1,Tabela4[[#This Row],[Compr. Lançado]]/Tabela4[[#This Row],[Compr. Prev.]]),"")</f>
        <v/>
      </c>
      <c r="P210" s="24" t="str">
        <f ca="1">IFERROR(VLOOKUP(Tabela4[[#This Row],[Cabo]],BD!A:V,11,0),"")</f>
        <v/>
      </c>
      <c r="Q210" s="24" t="str">
        <f ca="1">IFERROR(VLOOKUP(Tabela4[[#This Row],[Cabo]],BD!A:V,12,0),"")</f>
        <v/>
      </c>
      <c r="R21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0" s="23" t="str">
        <f ca="1">IF(Tabela4[[#This Row],[Cabo]]&lt;&gt;"",4-COUNTIF(Tabela4[[#This Row],[Teste de Continuidade]:[Hipot]],"---"),"")</f>
        <v/>
      </c>
      <c r="W210" s="29" t="str">
        <f ca="1">IF(Tabela4[[#This Row],[Cabo]]&lt;&gt;"",(COUNTIF(Tabela4[[#This Row],[Teste de Continuidade]:[Hipot]],"OK"))/(4-COUNTIF(Tabela4[[#This Row],[Teste de Continuidade]:[Hipot]],"---")),"")</f>
        <v/>
      </c>
      <c r="X210" s="23" t="str">
        <f ca="1">IF(Tabela4[[#This Row],[Cabo]]&lt;&gt;"",SUMIFS('Lançamento de Cabos'!$AF:$AF,'Lançamento de Cabos'!AE:AE,Tabela4[[#This Row],[Cabo]],'Lançamento de Cabos'!AJ:AJ,Área!$B$1),"")</f>
        <v/>
      </c>
      <c r="Y210" s="23" t="str">
        <f ca="1">IF(Tabela4[[#This Row],[Cabo]]&lt;&gt;"",SUMIFS('Lançamento de Cabos'!$AG:$AG,'Lançamento de Cabos'!AE:AE,Tabela4[[#This Row],[Cabo]],'Lançamento de Cabos'!AJ:AJ,Área!$B$1),"")</f>
        <v/>
      </c>
      <c r="Z210" s="23" t="e">
        <f ca="1">VLOOKUP(Tabela4[[#This Row],[Cabo]],BD!A:AB,28,0)</f>
        <v>#N/A</v>
      </c>
    </row>
    <row r="211" spans="3:26" x14ac:dyDescent="0.25">
      <c r="C211" s="391" t="str">
        <f ca="1">IF($B$1="Geral",Tabela1[[#This Row],[Tag do Cabo]],IFERROR(INDEX(INDIRECT("BD!$A"&amp;D211&amp;":$A100000"),E211,1),""))</f>
        <v/>
      </c>
      <c r="D211" s="391" t="str">
        <f t="shared" ca="1" si="10"/>
        <v/>
      </c>
      <c r="E211" s="391" t="str">
        <f t="shared" ca="1" si="11"/>
        <v/>
      </c>
      <c r="F211" s="23" t="str">
        <f ca="1">IFERROR(VLOOKUP(Tabela4[[#This Row],[Cabo]],BD!A:V,2,0),"")</f>
        <v/>
      </c>
      <c r="G211" s="391" t="str">
        <f ca="1">IFERROR(VLOOKUP(Tabela4[[#This Row],[Cabo]],BD!A:V,5,0),"")</f>
        <v/>
      </c>
      <c r="H211" s="23" t="str">
        <f ca="1">IFERROR(VLOOKUP(Tabela4[[#This Row],[Cabo]],BD!A:V,3,0),"")</f>
        <v/>
      </c>
      <c r="I211" s="23" t="str">
        <f ca="1">IFERROR(VLOOKUP(Tabela4[[#This Row],[Cabo]],BD!A:V,4,0),"")</f>
        <v/>
      </c>
      <c r="J211" s="23" t="str">
        <f ca="1">IFERROR(VLOOKUP(Tabela4[[#This Row],[Cabo]],BD!A:V,7,0),"")</f>
        <v/>
      </c>
      <c r="K21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1" s="23" t="str">
        <f ca="1">IFERROR(VLOOKUP(Tabela4[[#This Row],[Cabo]],BD!A:V,9,0),"")</f>
        <v/>
      </c>
      <c r="M211" s="23" t="str">
        <f ca="1">IFERROR(VLOOKUP(Tabela4[[#This Row],[Cabo]],BD!A:AD,30,0),"")</f>
        <v/>
      </c>
      <c r="N211" s="23" t="str">
        <f ca="1">IF(SUMIF('Lançamento de Cabos'!B:B,Tabela4[[#This Row],[Cabo]],'Lançamento de Cabos'!C:C)=0,"",SUMIF('Lançamento de Cabos'!B:B,Tabela4[[#This Row],[Cabo]],'Lançamento de Cabos'!C:C))</f>
        <v/>
      </c>
      <c r="O211" s="28" t="str">
        <f ca="1">IFERROR(IF(Tabela4[[#This Row],[Compr. Lançado]]/Tabela4[[#This Row],[Compr. Prev.]]&gt;1,1,Tabela4[[#This Row],[Compr. Lançado]]/Tabela4[[#This Row],[Compr. Prev.]]),"")</f>
        <v/>
      </c>
      <c r="P211" s="24" t="str">
        <f ca="1">IFERROR(VLOOKUP(Tabela4[[#This Row],[Cabo]],BD!A:V,11,0),"")</f>
        <v/>
      </c>
      <c r="Q211" s="24" t="str">
        <f ca="1">IFERROR(VLOOKUP(Tabela4[[#This Row],[Cabo]],BD!A:V,12,0),"")</f>
        <v/>
      </c>
      <c r="R21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1" s="23" t="str">
        <f ca="1">IF(Tabela4[[#This Row],[Cabo]]&lt;&gt;"",4-COUNTIF(Tabela4[[#This Row],[Teste de Continuidade]:[Hipot]],"---"),"")</f>
        <v/>
      </c>
      <c r="W211" s="29" t="str">
        <f ca="1">IF(Tabela4[[#This Row],[Cabo]]&lt;&gt;"",(COUNTIF(Tabela4[[#This Row],[Teste de Continuidade]:[Hipot]],"OK"))/(4-COUNTIF(Tabela4[[#This Row],[Teste de Continuidade]:[Hipot]],"---")),"")</f>
        <v/>
      </c>
      <c r="X211" s="23" t="str">
        <f ca="1">IF(Tabela4[[#This Row],[Cabo]]&lt;&gt;"",SUMIFS('Lançamento de Cabos'!$AF:$AF,'Lançamento de Cabos'!AE:AE,Tabela4[[#This Row],[Cabo]],'Lançamento de Cabos'!AJ:AJ,Área!$B$1),"")</f>
        <v/>
      </c>
      <c r="Y211" s="23" t="str">
        <f ca="1">IF(Tabela4[[#This Row],[Cabo]]&lt;&gt;"",SUMIFS('Lançamento de Cabos'!$AG:$AG,'Lançamento de Cabos'!AE:AE,Tabela4[[#This Row],[Cabo]],'Lançamento de Cabos'!AJ:AJ,Área!$B$1),"")</f>
        <v/>
      </c>
      <c r="Z211" s="23" t="e">
        <f ca="1">VLOOKUP(Tabela4[[#This Row],[Cabo]],BD!A:AB,28,0)</f>
        <v>#N/A</v>
      </c>
    </row>
    <row r="212" spans="3:26" x14ac:dyDescent="0.25">
      <c r="C212" s="391" t="str">
        <f ca="1">IF($B$1="Geral",Tabela1[[#This Row],[Tag do Cabo]],IFERROR(INDEX(INDIRECT("BD!$A"&amp;D212&amp;":$A100000"),E212,1),""))</f>
        <v/>
      </c>
      <c r="D212" s="391" t="str">
        <f t="shared" ca="1" si="10"/>
        <v/>
      </c>
      <c r="E212" s="391" t="str">
        <f t="shared" ca="1" si="11"/>
        <v/>
      </c>
      <c r="F212" s="23" t="str">
        <f ca="1">IFERROR(VLOOKUP(Tabela4[[#This Row],[Cabo]],BD!A:V,2,0),"")</f>
        <v/>
      </c>
      <c r="G212" s="391" t="str">
        <f ca="1">IFERROR(VLOOKUP(Tabela4[[#This Row],[Cabo]],BD!A:V,5,0),"")</f>
        <v/>
      </c>
      <c r="H212" s="23" t="str">
        <f ca="1">IFERROR(VLOOKUP(Tabela4[[#This Row],[Cabo]],BD!A:V,3,0),"")</f>
        <v/>
      </c>
      <c r="I212" s="23" t="str">
        <f ca="1">IFERROR(VLOOKUP(Tabela4[[#This Row],[Cabo]],BD!A:V,4,0),"")</f>
        <v/>
      </c>
      <c r="J212" s="23" t="str">
        <f ca="1">IFERROR(VLOOKUP(Tabela4[[#This Row],[Cabo]],BD!A:V,7,0),"")</f>
        <v/>
      </c>
      <c r="K21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2" s="23" t="str">
        <f ca="1">IFERROR(VLOOKUP(Tabela4[[#This Row],[Cabo]],BD!A:V,9,0),"")</f>
        <v/>
      </c>
      <c r="M212" s="23" t="str">
        <f ca="1">IFERROR(VLOOKUP(Tabela4[[#This Row],[Cabo]],BD!A:AD,30,0),"")</f>
        <v/>
      </c>
      <c r="N212" s="23" t="str">
        <f ca="1">IF(SUMIF('Lançamento de Cabos'!B:B,Tabela4[[#This Row],[Cabo]],'Lançamento de Cabos'!C:C)=0,"",SUMIF('Lançamento de Cabos'!B:B,Tabela4[[#This Row],[Cabo]],'Lançamento de Cabos'!C:C))</f>
        <v/>
      </c>
      <c r="O212" s="28" t="str">
        <f ca="1">IFERROR(IF(Tabela4[[#This Row],[Compr. Lançado]]/Tabela4[[#This Row],[Compr. Prev.]]&gt;1,1,Tabela4[[#This Row],[Compr. Lançado]]/Tabela4[[#This Row],[Compr. Prev.]]),"")</f>
        <v/>
      </c>
      <c r="P212" s="24" t="str">
        <f ca="1">IFERROR(VLOOKUP(Tabela4[[#This Row],[Cabo]],BD!A:V,11,0),"")</f>
        <v/>
      </c>
      <c r="Q212" s="24" t="str">
        <f ca="1">IFERROR(VLOOKUP(Tabela4[[#This Row],[Cabo]],BD!A:V,12,0),"")</f>
        <v/>
      </c>
      <c r="R21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2" s="23" t="str">
        <f ca="1">IF(Tabela4[[#This Row],[Cabo]]&lt;&gt;"",4-COUNTIF(Tabela4[[#This Row],[Teste de Continuidade]:[Hipot]],"---"),"")</f>
        <v/>
      </c>
      <c r="W212" s="29" t="str">
        <f ca="1">IF(Tabela4[[#This Row],[Cabo]]&lt;&gt;"",(COUNTIF(Tabela4[[#This Row],[Teste de Continuidade]:[Hipot]],"OK"))/(4-COUNTIF(Tabela4[[#This Row],[Teste de Continuidade]:[Hipot]],"---")),"")</f>
        <v/>
      </c>
      <c r="X212" s="23" t="str">
        <f ca="1">IF(Tabela4[[#This Row],[Cabo]]&lt;&gt;"",SUMIFS('Lançamento de Cabos'!$AF:$AF,'Lançamento de Cabos'!AE:AE,Tabela4[[#This Row],[Cabo]],'Lançamento de Cabos'!AJ:AJ,Área!$B$1),"")</f>
        <v/>
      </c>
      <c r="Y212" s="23" t="str">
        <f ca="1">IF(Tabela4[[#This Row],[Cabo]]&lt;&gt;"",SUMIFS('Lançamento de Cabos'!$AG:$AG,'Lançamento de Cabos'!AE:AE,Tabela4[[#This Row],[Cabo]],'Lançamento de Cabos'!AJ:AJ,Área!$B$1),"")</f>
        <v/>
      </c>
      <c r="Z212" s="23" t="e">
        <f ca="1">VLOOKUP(Tabela4[[#This Row],[Cabo]],BD!A:AB,28,0)</f>
        <v>#N/A</v>
      </c>
    </row>
    <row r="213" spans="3:26" x14ac:dyDescent="0.25">
      <c r="C213" s="391" t="str">
        <f ca="1">IF($B$1="Geral",Tabela1[[#This Row],[Tag do Cabo]],IFERROR(INDEX(INDIRECT("BD!$A"&amp;D213&amp;":$A100000"),E213,1),""))</f>
        <v/>
      </c>
      <c r="D213" s="391" t="str">
        <f t="shared" ca="1" si="10"/>
        <v/>
      </c>
      <c r="E213" s="391" t="str">
        <f t="shared" ca="1" si="11"/>
        <v/>
      </c>
      <c r="F213" s="23" t="str">
        <f ca="1">IFERROR(VLOOKUP(Tabela4[[#This Row],[Cabo]],BD!A:V,2,0),"")</f>
        <v/>
      </c>
      <c r="G213" s="391" t="str">
        <f ca="1">IFERROR(VLOOKUP(Tabela4[[#This Row],[Cabo]],BD!A:V,5,0),"")</f>
        <v/>
      </c>
      <c r="H213" s="23" t="str">
        <f ca="1">IFERROR(VLOOKUP(Tabela4[[#This Row],[Cabo]],BD!A:V,3,0),"")</f>
        <v/>
      </c>
      <c r="I213" s="23" t="str">
        <f ca="1">IFERROR(VLOOKUP(Tabela4[[#This Row],[Cabo]],BD!A:V,4,0),"")</f>
        <v/>
      </c>
      <c r="J213" s="23" t="str">
        <f ca="1">IFERROR(VLOOKUP(Tabela4[[#This Row],[Cabo]],BD!A:V,7,0),"")</f>
        <v/>
      </c>
      <c r="K21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3" s="23" t="str">
        <f ca="1">IFERROR(VLOOKUP(Tabela4[[#This Row],[Cabo]],BD!A:V,9,0),"")</f>
        <v/>
      </c>
      <c r="M213" s="23" t="str">
        <f ca="1">IFERROR(VLOOKUP(Tabela4[[#This Row],[Cabo]],BD!A:AD,30,0),"")</f>
        <v/>
      </c>
      <c r="N213" s="23" t="str">
        <f ca="1">IF(SUMIF('Lançamento de Cabos'!B:B,Tabela4[[#This Row],[Cabo]],'Lançamento de Cabos'!C:C)=0,"",SUMIF('Lançamento de Cabos'!B:B,Tabela4[[#This Row],[Cabo]],'Lançamento de Cabos'!C:C))</f>
        <v/>
      </c>
      <c r="O213" s="28" t="str">
        <f ca="1">IFERROR(IF(Tabela4[[#This Row],[Compr. Lançado]]/Tabela4[[#This Row],[Compr. Prev.]]&gt;1,1,Tabela4[[#This Row],[Compr. Lançado]]/Tabela4[[#This Row],[Compr. Prev.]]),"")</f>
        <v/>
      </c>
      <c r="P213" s="24" t="str">
        <f ca="1">IFERROR(VLOOKUP(Tabela4[[#This Row],[Cabo]],BD!A:V,11,0),"")</f>
        <v/>
      </c>
      <c r="Q213" s="24" t="str">
        <f ca="1">IFERROR(VLOOKUP(Tabela4[[#This Row],[Cabo]],BD!A:V,12,0),"")</f>
        <v/>
      </c>
      <c r="R21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3" s="23" t="str">
        <f ca="1">IF(Tabela4[[#This Row],[Cabo]]&lt;&gt;"",4-COUNTIF(Tabela4[[#This Row],[Teste de Continuidade]:[Hipot]],"---"),"")</f>
        <v/>
      </c>
      <c r="W213" s="29" t="str">
        <f ca="1">IF(Tabela4[[#This Row],[Cabo]]&lt;&gt;"",(COUNTIF(Tabela4[[#This Row],[Teste de Continuidade]:[Hipot]],"OK"))/(4-COUNTIF(Tabela4[[#This Row],[Teste de Continuidade]:[Hipot]],"---")),"")</f>
        <v/>
      </c>
      <c r="X213" s="23" t="str">
        <f ca="1">IF(Tabela4[[#This Row],[Cabo]]&lt;&gt;"",SUMIFS('Lançamento de Cabos'!$AF:$AF,'Lançamento de Cabos'!AE:AE,Tabela4[[#This Row],[Cabo]],'Lançamento de Cabos'!AJ:AJ,Área!$B$1),"")</f>
        <v/>
      </c>
      <c r="Y213" s="23" t="str">
        <f ca="1">IF(Tabela4[[#This Row],[Cabo]]&lt;&gt;"",SUMIFS('Lançamento de Cabos'!$AG:$AG,'Lançamento de Cabos'!AE:AE,Tabela4[[#This Row],[Cabo]],'Lançamento de Cabos'!AJ:AJ,Área!$B$1),"")</f>
        <v/>
      </c>
      <c r="Z213" s="23" t="e">
        <f ca="1">VLOOKUP(Tabela4[[#This Row],[Cabo]],BD!A:AB,28,0)</f>
        <v>#N/A</v>
      </c>
    </row>
    <row r="214" spans="3:26" x14ac:dyDescent="0.25">
      <c r="C214" s="391" t="str">
        <f ca="1">IF($B$1="Geral",Tabela1[[#This Row],[Tag do Cabo]],IFERROR(INDEX(INDIRECT("BD!$A"&amp;D214&amp;":$A100000"),E214,1),""))</f>
        <v/>
      </c>
      <c r="D214" s="391" t="str">
        <f t="shared" ca="1" si="10"/>
        <v/>
      </c>
      <c r="E214" s="391" t="str">
        <f t="shared" ca="1" si="11"/>
        <v/>
      </c>
      <c r="F214" s="23" t="str">
        <f ca="1">IFERROR(VLOOKUP(Tabela4[[#This Row],[Cabo]],BD!A:V,2,0),"")</f>
        <v/>
      </c>
      <c r="G214" s="391" t="str">
        <f ca="1">IFERROR(VLOOKUP(Tabela4[[#This Row],[Cabo]],BD!A:V,5,0),"")</f>
        <v/>
      </c>
      <c r="H214" s="23" t="str">
        <f ca="1">IFERROR(VLOOKUP(Tabela4[[#This Row],[Cabo]],BD!A:V,3,0),"")</f>
        <v/>
      </c>
      <c r="I214" s="23" t="str">
        <f ca="1">IFERROR(VLOOKUP(Tabela4[[#This Row],[Cabo]],BD!A:V,4,0),"")</f>
        <v/>
      </c>
      <c r="J214" s="23" t="str">
        <f ca="1">IFERROR(VLOOKUP(Tabela4[[#This Row],[Cabo]],BD!A:V,7,0),"")</f>
        <v/>
      </c>
      <c r="K21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4" s="23" t="str">
        <f ca="1">IFERROR(VLOOKUP(Tabela4[[#This Row],[Cabo]],BD!A:V,9,0),"")</f>
        <v/>
      </c>
      <c r="M214" s="23" t="str">
        <f ca="1">IFERROR(VLOOKUP(Tabela4[[#This Row],[Cabo]],BD!A:AD,30,0),"")</f>
        <v/>
      </c>
      <c r="N214" s="23" t="str">
        <f ca="1">IF(SUMIF('Lançamento de Cabos'!B:B,Tabela4[[#This Row],[Cabo]],'Lançamento de Cabos'!C:C)=0,"",SUMIF('Lançamento de Cabos'!B:B,Tabela4[[#This Row],[Cabo]],'Lançamento de Cabos'!C:C))</f>
        <v/>
      </c>
      <c r="O214" s="28" t="str">
        <f ca="1">IFERROR(IF(Tabela4[[#This Row],[Compr. Lançado]]/Tabela4[[#This Row],[Compr. Prev.]]&gt;1,1,Tabela4[[#This Row],[Compr. Lançado]]/Tabela4[[#This Row],[Compr. Prev.]]),"")</f>
        <v/>
      </c>
      <c r="P214" s="24" t="str">
        <f ca="1">IFERROR(VLOOKUP(Tabela4[[#This Row],[Cabo]],BD!A:V,11,0),"")</f>
        <v/>
      </c>
      <c r="Q214" s="24" t="str">
        <f ca="1">IFERROR(VLOOKUP(Tabela4[[#This Row],[Cabo]],BD!A:V,12,0),"")</f>
        <v/>
      </c>
      <c r="R21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4" s="23" t="str">
        <f ca="1">IF(Tabela4[[#This Row],[Cabo]]&lt;&gt;"",4-COUNTIF(Tabela4[[#This Row],[Teste de Continuidade]:[Hipot]],"---"),"")</f>
        <v/>
      </c>
      <c r="W214" s="29" t="str">
        <f ca="1">IF(Tabela4[[#This Row],[Cabo]]&lt;&gt;"",(COUNTIF(Tabela4[[#This Row],[Teste de Continuidade]:[Hipot]],"OK"))/(4-COUNTIF(Tabela4[[#This Row],[Teste de Continuidade]:[Hipot]],"---")),"")</f>
        <v/>
      </c>
      <c r="X214" s="23" t="str">
        <f ca="1">IF(Tabela4[[#This Row],[Cabo]]&lt;&gt;"",SUMIFS('Lançamento de Cabos'!$AF:$AF,'Lançamento de Cabos'!AE:AE,Tabela4[[#This Row],[Cabo]],'Lançamento de Cabos'!AJ:AJ,Área!$B$1),"")</f>
        <v/>
      </c>
      <c r="Y214" s="23" t="str">
        <f ca="1">IF(Tabela4[[#This Row],[Cabo]]&lt;&gt;"",SUMIFS('Lançamento de Cabos'!$AG:$AG,'Lançamento de Cabos'!AE:AE,Tabela4[[#This Row],[Cabo]],'Lançamento de Cabos'!AJ:AJ,Área!$B$1),"")</f>
        <v/>
      </c>
      <c r="Z214" s="23" t="e">
        <f ca="1">VLOOKUP(Tabela4[[#This Row],[Cabo]],BD!A:AB,28,0)</f>
        <v>#N/A</v>
      </c>
    </row>
    <row r="215" spans="3:26" x14ac:dyDescent="0.25">
      <c r="C215" s="391" t="str">
        <f ca="1">IF($B$1="Geral",Tabela1[[#This Row],[Tag do Cabo]],IFERROR(INDEX(INDIRECT("BD!$A"&amp;D215&amp;":$A100000"),E215,1),""))</f>
        <v/>
      </c>
      <c r="D215" s="391" t="str">
        <f t="shared" ca="1" si="10"/>
        <v/>
      </c>
      <c r="E215" s="391" t="str">
        <f t="shared" ca="1" si="11"/>
        <v/>
      </c>
      <c r="F215" s="23" t="str">
        <f ca="1">IFERROR(VLOOKUP(Tabela4[[#This Row],[Cabo]],BD!A:V,2,0),"")</f>
        <v/>
      </c>
      <c r="G215" s="391" t="str">
        <f ca="1">IFERROR(VLOOKUP(Tabela4[[#This Row],[Cabo]],BD!A:V,5,0),"")</f>
        <v/>
      </c>
      <c r="H215" s="23" t="str">
        <f ca="1">IFERROR(VLOOKUP(Tabela4[[#This Row],[Cabo]],BD!A:V,3,0),"")</f>
        <v/>
      </c>
      <c r="I215" s="23" t="str">
        <f ca="1">IFERROR(VLOOKUP(Tabela4[[#This Row],[Cabo]],BD!A:V,4,0),"")</f>
        <v/>
      </c>
      <c r="J215" s="23" t="str">
        <f ca="1">IFERROR(VLOOKUP(Tabela4[[#This Row],[Cabo]],BD!A:V,7,0),"")</f>
        <v/>
      </c>
      <c r="K21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5" s="23" t="str">
        <f ca="1">IFERROR(VLOOKUP(Tabela4[[#This Row],[Cabo]],BD!A:V,9,0),"")</f>
        <v/>
      </c>
      <c r="M215" s="23" t="str">
        <f ca="1">IFERROR(VLOOKUP(Tabela4[[#This Row],[Cabo]],BD!A:AD,30,0),"")</f>
        <v/>
      </c>
      <c r="N215" s="23" t="str">
        <f ca="1">IF(SUMIF('Lançamento de Cabos'!B:B,Tabela4[[#This Row],[Cabo]],'Lançamento de Cabos'!C:C)=0,"",SUMIF('Lançamento de Cabos'!B:B,Tabela4[[#This Row],[Cabo]],'Lançamento de Cabos'!C:C))</f>
        <v/>
      </c>
      <c r="O215" s="28" t="str">
        <f ca="1">IFERROR(IF(Tabela4[[#This Row],[Compr. Lançado]]/Tabela4[[#This Row],[Compr. Prev.]]&gt;1,1,Tabela4[[#This Row],[Compr. Lançado]]/Tabela4[[#This Row],[Compr. Prev.]]),"")</f>
        <v/>
      </c>
      <c r="P215" s="24" t="str">
        <f ca="1">IFERROR(VLOOKUP(Tabela4[[#This Row],[Cabo]],BD!A:V,11,0),"")</f>
        <v/>
      </c>
      <c r="Q215" s="24" t="str">
        <f ca="1">IFERROR(VLOOKUP(Tabela4[[#This Row],[Cabo]],BD!A:V,12,0),"")</f>
        <v/>
      </c>
      <c r="R21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5" s="23" t="str">
        <f ca="1">IF(Tabela4[[#This Row],[Cabo]]&lt;&gt;"",4-COUNTIF(Tabela4[[#This Row],[Teste de Continuidade]:[Hipot]],"---"),"")</f>
        <v/>
      </c>
      <c r="W215" s="29" t="str">
        <f ca="1">IF(Tabela4[[#This Row],[Cabo]]&lt;&gt;"",(COUNTIF(Tabela4[[#This Row],[Teste de Continuidade]:[Hipot]],"OK"))/(4-COUNTIF(Tabela4[[#This Row],[Teste de Continuidade]:[Hipot]],"---")),"")</f>
        <v/>
      </c>
      <c r="X215" s="23" t="str">
        <f ca="1">IF(Tabela4[[#This Row],[Cabo]]&lt;&gt;"",SUMIFS('Lançamento de Cabos'!$AF:$AF,'Lançamento de Cabos'!AE:AE,Tabela4[[#This Row],[Cabo]],'Lançamento de Cabos'!AJ:AJ,Área!$B$1),"")</f>
        <v/>
      </c>
      <c r="Y215" s="23" t="str">
        <f ca="1">IF(Tabela4[[#This Row],[Cabo]]&lt;&gt;"",SUMIFS('Lançamento de Cabos'!$AG:$AG,'Lançamento de Cabos'!AE:AE,Tabela4[[#This Row],[Cabo]],'Lançamento de Cabos'!AJ:AJ,Área!$B$1),"")</f>
        <v/>
      </c>
      <c r="Z215" s="23" t="e">
        <f ca="1">VLOOKUP(Tabela4[[#This Row],[Cabo]],BD!A:AB,28,0)</f>
        <v>#N/A</v>
      </c>
    </row>
    <row r="216" spans="3:26" x14ac:dyDescent="0.25">
      <c r="C216" s="391" t="str">
        <f ca="1">IF($B$1="Geral",Tabela1[[#This Row],[Tag do Cabo]],IFERROR(INDEX(INDIRECT("BD!$A"&amp;D216&amp;":$A100000"),E216,1),""))</f>
        <v/>
      </c>
      <c r="D216" s="391" t="str">
        <f t="shared" ca="1" si="10"/>
        <v/>
      </c>
      <c r="E216" s="391" t="str">
        <f t="shared" ca="1" si="11"/>
        <v/>
      </c>
      <c r="F216" s="23" t="str">
        <f ca="1">IFERROR(VLOOKUP(Tabela4[[#This Row],[Cabo]],BD!A:V,2,0),"")</f>
        <v/>
      </c>
      <c r="G216" s="391" t="str">
        <f ca="1">IFERROR(VLOOKUP(Tabela4[[#This Row],[Cabo]],BD!A:V,5,0),"")</f>
        <v/>
      </c>
      <c r="H216" s="23" t="str">
        <f ca="1">IFERROR(VLOOKUP(Tabela4[[#This Row],[Cabo]],BD!A:V,3,0),"")</f>
        <v/>
      </c>
      <c r="I216" s="23" t="str">
        <f ca="1">IFERROR(VLOOKUP(Tabela4[[#This Row],[Cabo]],BD!A:V,4,0),"")</f>
        <v/>
      </c>
      <c r="J216" s="23" t="str">
        <f ca="1">IFERROR(VLOOKUP(Tabela4[[#This Row],[Cabo]],BD!A:V,7,0),"")</f>
        <v/>
      </c>
      <c r="K21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6" s="23" t="str">
        <f ca="1">IFERROR(VLOOKUP(Tabela4[[#This Row],[Cabo]],BD!A:V,9,0),"")</f>
        <v/>
      </c>
      <c r="M216" s="23" t="str">
        <f ca="1">IFERROR(VLOOKUP(Tabela4[[#This Row],[Cabo]],BD!A:AD,30,0),"")</f>
        <v/>
      </c>
      <c r="N216" s="23" t="str">
        <f ca="1">IF(SUMIF('Lançamento de Cabos'!B:B,Tabela4[[#This Row],[Cabo]],'Lançamento de Cabos'!C:C)=0,"",SUMIF('Lançamento de Cabos'!B:B,Tabela4[[#This Row],[Cabo]],'Lançamento de Cabos'!C:C))</f>
        <v/>
      </c>
      <c r="O216" s="28" t="str">
        <f ca="1">IFERROR(IF(Tabela4[[#This Row],[Compr. Lançado]]/Tabela4[[#This Row],[Compr. Prev.]]&gt;1,1,Tabela4[[#This Row],[Compr. Lançado]]/Tabela4[[#This Row],[Compr. Prev.]]),"")</f>
        <v/>
      </c>
      <c r="P216" s="24" t="str">
        <f ca="1">IFERROR(VLOOKUP(Tabela4[[#This Row],[Cabo]],BD!A:V,11,0),"")</f>
        <v/>
      </c>
      <c r="Q216" s="24" t="str">
        <f ca="1">IFERROR(VLOOKUP(Tabela4[[#This Row],[Cabo]],BD!A:V,12,0),"")</f>
        <v/>
      </c>
      <c r="R21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6" s="23" t="str">
        <f ca="1">IF(Tabela4[[#This Row],[Cabo]]&lt;&gt;"",4-COUNTIF(Tabela4[[#This Row],[Teste de Continuidade]:[Hipot]],"---"),"")</f>
        <v/>
      </c>
      <c r="W216" s="29" t="str">
        <f ca="1">IF(Tabela4[[#This Row],[Cabo]]&lt;&gt;"",(COUNTIF(Tabela4[[#This Row],[Teste de Continuidade]:[Hipot]],"OK"))/(4-COUNTIF(Tabela4[[#This Row],[Teste de Continuidade]:[Hipot]],"---")),"")</f>
        <v/>
      </c>
      <c r="X216" s="23" t="str">
        <f ca="1">IF(Tabela4[[#This Row],[Cabo]]&lt;&gt;"",SUMIFS('Lançamento de Cabos'!$AF:$AF,'Lançamento de Cabos'!AE:AE,Tabela4[[#This Row],[Cabo]],'Lançamento de Cabos'!AJ:AJ,Área!$B$1),"")</f>
        <v/>
      </c>
      <c r="Y216" s="23" t="str">
        <f ca="1">IF(Tabela4[[#This Row],[Cabo]]&lt;&gt;"",SUMIFS('Lançamento de Cabos'!$AG:$AG,'Lançamento de Cabos'!AE:AE,Tabela4[[#This Row],[Cabo]],'Lançamento de Cabos'!AJ:AJ,Área!$B$1),"")</f>
        <v/>
      </c>
      <c r="Z216" s="23" t="e">
        <f ca="1">VLOOKUP(Tabela4[[#This Row],[Cabo]],BD!A:AB,28,0)</f>
        <v>#N/A</v>
      </c>
    </row>
    <row r="217" spans="3:26" x14ac:dyDescent="0.25">
      <c r="C217" s="391" t="str">
        <f ca="1">IF($B$1="Geral",Tabela1[[#This Row],[Tag do Cabo]],IFERROR(INDEX(INDIRECT("BD!$A"&amp;D217&amp;":$A100000"),E217,1),""))</f>
        <v/>
      </c>
      <c r="D217" s="391" t="str">
        <f t="shared" ca="1" si="10"/>
        <v/>
      </c>
      <c r="E217" s="391" t="str">
        <f t="shared" ca="1" si="11"/>
        <v/>
      </c>
      <c r="F217" s="23" t="str">
        <f ca="1">IFERROR(VLOOKUP(Tabela4[[#This Row],[Cabo]],BD!A:V,2,0),"")</f>
        <v/>
      </c>
      <c r="G217" s="391" t="str">
        <f ca="1">IFERROR(VLOOKUP(Tabela4[[#This Row],[Cabo]],BD!A:V,5,0),"")</f>
        <v/>
      </c>
      <c r="H217" s="23" t="str">
        <f ca="1">IFERROR(VLOOKUP(Tabela4[[#This Row],[Cabo]],BD!A:V,3,0),"")</f>
        <v/>
      </c>
      <c r="I217" s="23" t="str">
        <f ca="1">IFERROR(VLOOKUP(Tabela4[[#This Row],[Cabo]],BD!A:V,4,0),"")</f>
        <v/>
      </c>
      <c r="J217" s="23" t="str">
        <f ca="1">IFERROR(VLOOKUP(Tabela4[[#This Row],[Cabo]],BD!A:V,7,0),"")</f>
        <v/>
      </c>
      <c r="K21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7" s="23" t="str">
        <f ca="1">IFERROR(VLOOKUP(Tabela4[[#This Row],[Cabo]],BD!A:V,9,0),"")</f>
        <v/>
      </c>
      <c r="M217" s="23" t="str">
        <f ca="1">IFERROR(VLOOKUP(Tabela4[[#This Row],[Cabo]],BD!A:AD,30,0),"")</f>
        <v/>
      </c>
      <c r="N217" s="23" t="str">
        <f ca="1">IF(SUMIF('Lançamento de Cabos'!B:B,Tabela4[[#This Row],[Cabo]],'Lançamento de Cabos'!C:C)=0,"",SUMIF('Lançamento de Cabos'!B:B,Tabela4[[#This Row],[Cabo]],'Lançamento de Cabos'!C:C))</f>
        <v/>
      </c>
      <c r="O217" s="28" t="str">
        <f ca="1">IFERROR(IF(Tabela4[[#This Row],[Compr. Lançado]]/Tabela4[[#This Row],[Compr. Prev.]]&gt;1,1,Tabela4[[#This Row],[Compr. Lançado]]/Tabela4[[#This Row],[Compr. Prev.]]),"")</f>
        <v/>
      </c>
      <c r="P217" s="24" t="str">
        <f ca="1">IFERROR(VLOOKUP(Tabela4[[#This Row],[Cabo]],BD!A:V,11,0),"")</f>
        <v/>
      </c>
      <c r="Q217" s="24" t="str">
        <f ca="1">IFERROR(VLOOKUP(Tabela4[[#This Row],[Cabo]],BD!A:V,12,0),"")</f>
        <v/>
      </c>
      <c r="R21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7" s="23" t="str">
        <f ca="1">IF(Tabela4[[#This Row],[Cabo]]&lt;&gt;"",4-COUNTIF(Tabela4[[#This Row],[Teste de Continuidade]:[Hipot]],"---"),"")</f>
        <v/>
      </c>
      <c r="W217" s="29" t="str">
        <f ca="1">IF(Tabela4[[#This Row],[Cabo]]&lt;&gt;"",(COUNTIF(Tabela4[[#This Row],[Teste de Continuidade]:[Hipot]],"OK"))/(4-COUNTIF(Tabela4[[#This Row],[Teste de Continuidade]:[Hipot]],"---")),"")</f>
        <v/>
      </c>
      <c r="X217" s="23" t="str">
        <f ca="1">IF(Tabela4[[#This Row],[Cabo]]&lt;&gt;"",SUMIFS('Lançamento de Cabos'!$AF:$AF,'Lançamento de Cabos'!AE:AE,Tabela4[[#This Row],[Cabo]],'Lançamento de Cabos'!AJ:AJ,Área!$B$1),"")</f>
        <v/>
      </c>
      <c r="Y217" s="23" t="str">
        <f ca="1">IF(Tabela4[[#This Row],[Cabo]]&lt;&gt;"",SUMIFS('Lançamento de Cabos'!$AG:$AG,'Lançamento de Cabos'!AE:AE,Tabela4[[#This Row],[Cabo]],'Lançamento de Cabos'!AJ:AJ,Área!$B$1),"")</f>
        <v/>
      </c>
      <c r="Z217" s="23" t="e">
        <f ca="1">VLOOKUP(Tabela4[[#This Row],[Cabo]],BD!A:AB,28,0)</f>
        <v>#N/A</v>
      </c>
    </row>
    <row r="218" spans="3:26" x14ac:dyDescent="0.25">
      <c r="C218" s="391" t="str">
        <f ca="1">IF($B$1="Geral",Tabela1[[#This Row],[Tag do Cabo]],IFERROR(INDEX(INDIRECT("BD!$A"&amp;D218&amp;":$A100000"),E218,1),""))</f>
        <v/>
      </c>
      <c r="D218" s="391" t="str">
        <f t="shared" ca="1" si="10"/>
        <v/>
      </c>
      <c r="E218" s="391" t="str">
        <f t="shared" ca="1" si="11"/>
        <v/>
      </c>
      <c r="F218" s="23" t="str">
        <f ca="1">IFERROR(VLOOKUP(Tabela4[[#This Row],[Cabo]],BD!A:V,2,0),"")</f>
        <v/>
      </c>
      <c r="G218" s="391" t="str">
        <f ca="1">IFERROR(VLOOKUP(Tabela4[[#This Row],[Cabo]],BD!A:V,5,0),"")</f>
        <v/>
      </c>
      <c r="H218" s="23" t="str">
        <f ca="1">IFERROR(VLOOKUP(Tabela4[[#This Row],[Cabo]],BD!A:V,3,0),"")</f>
        <v/>
      </c>
      <c r="I218" s="23" t="str">
        <f ca="1">IFERROR(VLOOKUP(Tabela4[[#This Row],[Cabo]],BD!A:V,4,0),"")</f>
        <v/>
      </c>
      <c r="J218" s="23" t="str">
        <f ca="1">IFERROR(VLOOKUP(Tabela4[[#This Row],[Cabo]],BD!A:V,7,0),"")</f>
        <v/>
      </c>
      <c r="K21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8" s="23" t="str">
        <f ca="1">IFERROR(VLOOKUP(Tabela4[[#This Row],[Cabo]],BD!A:V,9,0),"")</f>
        <v/>
      </c>
      <c r="M218" s="23" t="str">
        <f ca="1">IFERROR(VLOOKUP(Tabela4[[#This Row],[Cabo]],BD!A:AD,30,0),"")</f>
        <v/>
      </c>
      <c r="N218" s="23" t="str">
        <f ca="1">IF(SUMIF('Lançamento de Cabos'!B:B,Tabela4[[#This Row],[Cabo]],'Lançamento de Cabos'!C:C)=0,"",SUMIF('Lançamento de Cabos'!B:B,Tabela4[[#This Row],[Cabo]],'Lançamento de Cabos'!C:C))</f>
        <v/>
      </c>
      <c r="O218" s="28" t="str">
        <f ca="1">IFERROR(IF(Tabela4[[#This Row],[Compr. Lançado]]/Tabela4[[#This Row],[Compr. Prev.]]&gt;1,1,Tabela4[[#This Row],[Compr. Lançado]]/Tabela4[[#This Row],[Compr. Prev.]]),"")</f>
        <v/>
      </c>
      <c r="P218" s="24" t="str">
        <f ca="1">IFERROR(VLOOKUP(Tabela4[[#This Row],[Cabo]],BD!A:V,11,0),"")</f>
        <v/>
      </c>
      <c r="Q218" s="24" t="str">
        <f ca="1">IFERROR(VLOOKUP(Tabela4[[#This Row],[Cabo]],BD!A:V,12,0),"")</f>
        <v/>
      </c>
      <c r="R21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8" s="23" t="str">
        <f ca="1">IF(Tabela4[[#This Row],[Cabo]]&lt;&gt;"",4-COUNTIF(Tabela4[[#This Row],[Teste de Continuidade]:[Hipot]],"---"),"")</f>
        <v/>
      </c>
      <c r="W218" s="29" t="str">
        <f ca="1">IF(Tabela4[[#This Row],[Cabo]]&lt;&gt;"",(COUNTIF(Tabela4[[#This Row],[Teste de Continuidade]:[Hipot]],"OK"))/(4-COUNTIF(Tabela4[[#This Row],[Teste de Continuidade]:[Hipot]],"---")),"")</f>
        <v/>
      </c>
      <c r="X218" s="23" t="str">
        <f ca="1">IF(Tabela4[[#This Row],[Cabo]]&lt;&gt;"",SUMIFS('Lançamento de Cabos'!$AF:$AF,'Lançamento de Cabos'!AE:AE,Tabela4[[#This Row],[Cabo]],'Lançamento de Cabos'!AJ:AJ,Área!$B$1),"")</f>
        <v/>
      </c>
      <c r="Y218" s="23" t="str">
        <f ca="1">IF(Tabela4[[#This Row],[Cabo]]&lt;&gt;"",SUMIFS('Lançamento de Cabos'!$AG:$AG,'Lançamento de Cabos'!AE:AE,Tabela4[[#This Row],[Cabo]],'Lançamento de Cabos'!AJ:AJ,Área!$B$1),"")</f>
        <v/>
      </c>
      <c r="Z218" s="23" t="e">
        <f ca="1">VLOOKUP(Tabela4[[#This Row],[Cabo]],BD!A:AB,28,0)</f>
        <v>#N/A</v>
      </c>
    </row>
    <row r="219" spans="3:26" x14ac:dyDescent="0.25">
      <c r="C219" s="391" t="str">
        <f ca="1">IF($B$1="Geral",Tabela1[[#This Row],[Tag do Cabo]],IFERROR(INDEX(INDIRECT("BD!$A"&amp;D219&amp;":$A100000"),E219,1),""))</f>
        <v/>
      </c>
      <c r="D219" s="391" t="str">
        <f t="shared" ca="1" si="10"/>
        <v/>
      </c>
      <c r="E219" s="391" t="str">
        <f t="shared" ca="1" si="11"/>
        <v/>
      </c>
      <c r="F219" s="23" t="str">
        <f ca="1">IFERROR(VLOOKUP(Tabela4[[#This Row],[Cabo]],BD!A:V,2,0),"")</f>
        <v/>
      </c>
      <c r="G219" s="391" t="str">
        <f ca="1">IFERROR(VLOOKUP(Tabela4[[#This Row],[Cabo]],BD!A:V,5,0),"")</f>
        <v/>
      </c>
      <c r="H219" s="23" t="str">
        <f ca="1">IFERROR(VLOOKUP(Tabela4[[#This Row],[Cabo]],BD!A:V,3,0),"")</f>
        <v/>
      </c>
      <c r="I219" s="23" t="str">
        <f ca="1">IFERROR(VLOOKUP(Tabela4[[#This Row],[Cabo]],BD!A:V,4,0),"")</f>
        <v/>
      </c>
      <c r="J219" s="23" t="str">
        <f ca="1">IFERROR(VLOOKUP(Tabela4[[#This Row],[Cabo]],BD!A:V,7,0),"")</f>
        <v/>
      </c>
      <c r="K21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19" s="23" t="str">
        <f ca="1">IFERROR(VLOOKUP(Tabela4[[#This Row],[Cabo]],BD!A:V,9,0),"")</f>
        <v/>
      </c>
      <c r="M219" s="23" t="str">
        <f ca="1">IFERROR(VLOOKUP(Tabela4[[#This Row],[Cabo]],BD!A:AD,30,0),"")</f>
        <v/>
      </c>
      <c r="N219" s="23" t="str">
        <f ca="1">IF(SUMIF('Lançamento de Cabos'!B:B,Tabela4[[#This Row],[Cabo]],'Lançamento de Cabos'!C:C)=0,"",SUMIF('Lançamento de Cabos'!B:B,Tabela4[[#This Row],[Cabo]],'Lançamento de Cabos'!C:C))</f>
        <v/>
      </c>
      <c r="O219" s="28" t="str">
        <f ca="1">IFERROR(IF(Tabela4[[#This Row],[Compr. Lançado]]/Tabela4[[#This Row],[Compr. Prev.]]&gt;1,1,Tabela4[[#This Row],[Compr. Lançado]]/Tabela4[[#This Row],[Compr. Prev.]]),"")</f>
        <v/>
      </c>
      <c r="P219" s="24" t="str">
        <f ca="1">IFERROR(VLOOKUP(Tabela4[[#This Row],[Cabo]],BD!A:V,11,0),"")</f>
        <v/>
      </c>
      <c r="Q219" s="24" t="str">
        <f ca="1">IFERROR(VLOOKUP(Tabela4[[#This Row],[Cabo]],BD!A:V,12,0),"")</f>
        <v/>
      </c>
      <c r="R21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1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1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1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19" s="23" t="str">
        <f ca="1">IF(Tabela4[[#This Row],[Cabo]]&lt;&gt;"",4-COUNTIF(Tabela4[[#This Row],[Teste de Continuidade]:[Hipot]],"---"),"")</f>
        <v/>
      </c>
      <c r="W219" s="29" t="str">
        <f ca="1">IF(Tabela4[[#This Row],[Cabo]]&lt;&gt;"",(COUNTIF(Tabela4[[#This Row],[Teste de Continuidade]:[Hipot]],"OK"))/(4-COUNTIF(Tabela4[[#This Row],[Teste de Continuidade]:[Hipot]],"---")),"")</f>
        <v/>
      </c>
      <c r="X219" s="23" t="str">
        <f ca="1">IF(Tabela4[[#This Row],[Cabo]]&lt;&gt;"",SUMIFS('Lançamento de Cabos'!$AF:$AF,'Lançamento de Cabos'!AE:AE,Tabela4[[#This Row],[Cabo]],'Lançamento de Cabos'!AJ:AJ,Área!$B$1),"")</f>
        <v/>
      </c>
      <c r="Y219" s="23" t="str">
        <f ca="1">IF(Tabela4[[#This Row],[Cabo]]&lt;&gt;"",SUMIFS('Lançamento de Cabos'!$AG:$AG,'Lançamento de Cabos'!AE:AE,Tabela4[[#This Row],[Cabo]],'Lançamento de Cabos'!AJ:AJ,Área!$B$1),"")</f>
        <v/>
      </c>
      <c r="Z219" s="23" t="e">
        <f ca="1">VLOOKUP(Tabela4[[#This Row],[Cabo]],BD!A:AB,28,0)</f>
        <v>#N/A</v>
      </c>
    </row>
    <row r="220" spans="3:26" x14ac:dyDescent="0.25">
      <c r="C220" s="391" t="str">
        <f ca="1">IF($B$1="Geral",Tabela1[[#This Row],[Tag do Cabo]],IFERROR(INDEX(INDIRECT("BD!$A"&amp;D220&amp;":$A100000"),E220,1),""))</f>
        <v/>
      </c>
      <c r="D220" s="391" t="str">
        <f t="shared" ca="1" si="10"/>
        <v/>
      </c>
      <c r="E220" s="391" t="str">
        <f t="shared" ca="1" si="11"/>
        <v/>
      </c>
      <c r="F220" s="23" t="str">
        <f ca="1">IFERROR(VLOOKUP(Tabela4[[#This Row],[Cabo]],BD!A:V,2,0),"")</f>
        <v/>
      </c>
      <c r="G220" s="391" t="str">
        <f ca="1">IFERROR(VLOOKUP(Tabela4[[#This Row],[Cabo]],BD!A:V,5,0),"")</f>
        <v/>
      </c>
      <c r="H220" s="23" t="str">
        <f ca="1">IFERROR(VLOOKUP(Tabela4[[#This Row],[Cabo]],BD!A:V,3,0),"")</f>
        <v/>
      </c>
      <c r="I220" s="23" t="str">
        <f ca="1">IFERROR(VLOOKUP(Tabela4[[#This Row],[Cabo]],BD!A:V,4,0),"")</f>
        <v/>
      </c>
      <c r="J220" s="23" t="str">
        <f ca="1">IFERROR(VLOOKUP(Tabela4[[#This Row],[Cabo]],BD!A:V,7,0),"")</f>
        <v/>
      </c>
      <c r="K22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0" s="23" t="str">
        <f ca="1">IFERROR(VLOOKUP(Tabela4[[#This Row],[Cabo]],BD!A:V,9,0),"")</f>
        <v/>
      </c>
      <c r="M220" s="23" t="str">
        <f ca="1">IFERROR(VLOOKUP(Tabela4[[#This Row],[Cabo]],BD!A:AD,30,0),"")</f>
        <v/>
      </c>
      <c r="N220" s="23" t="str">
        <f ca="1">IF(SUMIF('Lançamento de Cabos'!B:B,Tabela4[[#This Row],[Cabo]],'Lançamento de Cabos'!C:C)=0,"",SUMIF('Lançamento de Cabos'!B:B,Tabela4[[#This Row],[Cabo]],'Lançamento de Cabos'!C:C))</f>
        <v/>
      </c>
      <c r="O220" s="28" t="str">
        <f ca="1">IFERROR(IF(Tabela4[[#This Row],[Compr. Lançado]]/Tabela4[[#This Row],[Compr. Prev.]]&gt;1,1,Tabela4[[#This Row],[Compr. Lançado]]/Tabela4[[#This Row],[Compr. Prev.]]),"")</f>
        <v/>
      </c>
      <c r="P220" s="24" t="str">
        <f ca="1">IFERROR(VLOOKUP(Tabela4[[#This Row],[Cabo]],BD!A:V,11,0),"")</f>
        <v/>
      </c>
      <c r="Q220" s="24" t="str">
        <f ca="1">IFERROR(VLOOKUP(Tabela4[[#This Row],[Cabo]],BD!A:V,12,0),"")</f>
        <v/>
      </c>
      <c r="R22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0" s="23" t="str">
        <f ca="1">IF(Tabela4[[#This Row],[Cabo]]&lt;&gt;"",4-COUNTIF(Tabela4[[#This Row],[Teste de Continuidade]:[Hipot]],"---"),"")</f>
        <v/>
      </c>
      <c r="W220" s="29" t="str">
        <f ca="1">IF(Tabela4[[#This Row],[Cabo]]&lt;&gt;"",(COUNTIF(Tabela4[[#This Row],[Teste de Continuidade]:[Hipot]],"OK"))/(4-COUNTIF(Tabela4[[#This Row],[Teste de Continuidade]:[Hipot]],"---")),"")</f>
        <v/>
      </c>
      <c r="X220" s="23" t="str">
        <f ca="1">IF(Tabela4[[#This Row],[Cabo]]&lt;&gt;"",SUMIFS('Lançamento de Cabos'!$AF:$AF,'Lançamento de Cabos'!AE:AE,Tabela4[[#This Row],[Cabo]],'Lançamento de Cabos'!AJ:AJ,Área!$B$1),"")</f>
        <v/>
      </c>
      <c r="Y220" s="23" t="str">
        <f ca="1">IF(Tabela4[[#This Row],[Cabo]]&lt;&gt;"",SUMIFS('Lançamento de Cabos'!$AG:$AG,'Lançamento de Cabos'!AE:AE,Tabela4[[#This Row],[Cabo]],'Lançamento de Cabos'!AJ:AJ,Área!$B$1),"")</f>
        <v/>
      </c>
      <c r="Z220" s="23" t="e">
        <f ca="1">VLOOKUP(Tabela4[[#This Row],[Cabo]],BD!A:AB,28,0)</f>
        <v>#N/A</v>
      </c>
    </row>
    <row r="221" spans="3:26" x14ac:dyDescent="0.25">
      <c r="C221" s="391" t="str">
        <f ca="1">IF($B$1="Geral",Tabela1[[#This Row],[Tag do Cabo]],IFERROR(INDEX(INDIRECT("BD!$A"&amp;D221&amp;":$A100000"),E221,1),""))</f>
        <v/>
      </c>
      <c r="D221" s="391" t="str">
        <f t="shared" ca="1" si="10"/>
        <v/>
      </c>
      <c r="E221" s="391" t="str">
        <f t="shared" ca="1" si="11"/>
        <v/>
      </c>
      <c r="F221" s="23" t="str">
        <f ca="1">IFERROR(VLOOKUP(Tabela4[[#This Row],[Cabo]],BD!A:V,2,0),"")</f>
        <v/>
      </c>
      <c r="G221" s="391" t="str">
        <f ca="1">IFERROR(VLOOKUP(Tabela4[[#This Row],[Cabo]],BD!A:V,5,0),"")</f>
        <v/>
      </c>
      <c r="H221" s="23" t="str">
        <f ca="1">IFERROR(VLOOKUP(Tabela4[[#This Row],[Cabo]],BD!A:V,3,0),"")</f>
        <v/>
      </c>
      <c r="I221" s="23" t="str">
        <f ca="1">IFERROR(VLOOKUP(Tabela4[[#This Row],[Cabo]],BD!A:V,4,0),"")</f>
        <v/>
      </c>
      <c r="J221" s="23" t="str">
        <f ca="1">IFERROR(VLOOKUP(Tabela4[[#This Row],[Cabo]],BD!A:V,7,0),"")</f>
        <v/>
      </c>
      <c r="K22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1" s="23" t="str">
        <f ca="1">IFERROR(VLOOKUP(Tabela4[[#This Row],[Cabo]],BD!A:V,9,0),"")</f>
        <v/>
      </c>
      <c r="M221" s="23" t="str">
        <f ca="1">IFERROR(VLOOKUP(Tabela4[[#This Row],[Cabo]],BD!A:AD,30,0),"")</f>
        <v/>
      </c>
      <c r="N221" s="23" t="str">
        <f ca="1">IF(SUMIF('Lançamento de Cabos'!B:B,Tabela4[[#This Row],[Cabo]],'Lançamento de Cabos'!C:C)=0,"",SUMIF('Lançamento de Cabos'!B:B,Tabela4[[#This Row],[Cabo]],'Lançamento de Cabos'!C:C))</f>
        <v/>
      </c>
      <c r="O221" s="28" t="str">
        <f ca="1">IFERROR(IF(Tabela4[[#This Row],[Compr. Lançado]]/Tabela4[[#This Row],[Compr. Prev.]]&gt;1,1,Tabela4[[#This Row],[Compr. Lançado]]/Tabela4[[#This Row],[Compr. Prev.]]),"")</f>
        <v/>
      </c>
      <c r="P221" s="24" t="str">
        <f ca="1">IFERROR(VLOOKUP(Tabela4[[#This Row],[Cabo]],BD!A:V,11,0),"")</f>
        <v/>
      </c>
      <c r="Q221" s="24" t="str">
        <f ca="1">IFERROR(VLOOKUP(Tabela4[[#This Row],[Cabo]],BD!A:V,12,0),"")</f>
        <v/>
      </c>
      <c r="R22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1" s="23" t="str">
        <f ca="1">IF(Tabela4[[#This Row],[Cabo]]&lt;&gt;"",4-COUNTIF(Tabela4[[#This Row],[Teste de Continuidade]:[Hipot]],"---"),"")</f>
        <v/>
      </c>
      <c r="W221" s="29" t="str">
        <f ca="1">IF(Tabela4[[#This Row],[Cabo]]&lt;&gt;"",(COUNTIF(Tabela4[[#This Row],[Teste de Continuidade]:[Hipot]],"OK"))/(4-COUNTIF(Tabela4[[#This Row],[Teste de Continuidade]:[Hipot]],"---")),"")</f>
        <v/>
      </c>
      <c r="X221" s="23" t="str">
        <f ca="1">IF(Tabela4[[#This Row],[Cabo]]&lt;&gt;"",SUMIFS('Lançamento de Cabos'!$AF:$AF,'Lançamento de Cabos'!AE:AE,Tabela4[[#This Row],[Cabo]],'Lançamento de Cabos'!AJ:AJ,Área!$B$1),"")</f>
        <v/>
      </c>
      <c r="Y221" s="23" t="str">
        <f ca="1">IF(Tabela4[[#This Row],[Cabo]]&lt;&gt;"",SUMIFS('Lançamento de Cabos'!$AG:$AG,'Lançamento de Cabos'!AE:AE,Tabela4[[#This Row],[Cabo]],'Lançamento de Cabos'!AJ:AJ,Área!$B$1),"")</f>
        <v/>
      </c>
      <c r="Z221" s="23" t="e">
        <f ca="1">VLOOKUP(Tabela4[[#This Row],[Cabo]],BD!A:AB,28,0)</f>
        <v>#N/A</v>
      </c>
    </row>
    <row r="222" spans="3:26" x14ac:dyDescent="0.25">
      <c r="C222" s="391" t="str">
        <f ca="1">IF($B$1="Geral",Tabela1[[#This Row],[Tag do Cabo]],IFERROR(INDEX(INDIRECT("BD!$A"&amp;D222&amp;":$A100000"),E222,1),""))</f>
        <v/>
      </c>
      <c r="D222" s="391" t="str">
        <f t="shared" ca="1" si="10"/>
        <v/>
      </c>
      <c r="E222" s="391" t="str">
        <f t="shared" ca="1" si="11"/>
        <v/>
      </c>
      <c r="F222" s="23" t="str">
        <f ca="1">IFERROR(VLOOKUP(Tabela4[[#This Row],[Cabo]],BD!A:V,2,0),"")</f>
        <v/>
      </c>
      <c r="G222" s="391" t="str">
        <f ca="1">IFERROR(VLOOKUP(Tabela4[[#This Row],[Cabo]],BD!A:V,5,0),"")</f>
        <v/>
      </c>
      <c r="H222" s="23" t="str">
        <f ca="1">IFERROR(VLOOKUP(Tabela4[[#This Row],[Cabo]],BD!A:V,3,0),"")</f>
        <v/>
      </c>
      <c r="I222" s="23" t="str">
        <f ca="1">IFERROR(VLOOKUP(Tabela4[[#This Row],[Cabo]],BD!A:V,4,0),"")</f>
        <v/>
      </c>
      <c r="J222" s="23" t="str">
        <f ca="1">IFERROR(VLOOKUP(Tabela4[[#This Row],[Cabo]],BD!A:V,7,0),"")</f>
        <v/>
      </c>
      <c r="K22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2" s="23" t="str">
        <f ca="1">IFERROR(VLOOKUP(Tabela4[[#This Row],[Cabo]],BD!A:V,9,0),"")</f>
        <v/>
      </c>
      <c r="M222" s="23" t="str">
        <f ca="1">IFERROR(VLOOKUP(Tabela4[[#This Row],[Cabo]],BD!A:AD,30,0),"")</f>
        <v/>
      </c>
      <c r="N222" s="23" t="str">
        <f ca="1">IF(SUMIF('Lançamento de Cabos'!B:B,Tabela4[[#This Row],[Cabo]],'Lançamento de Cabos'!C:C)=0,"",SUMIF('Lançamento de Cabos'!B:B,Tabela4[[#This Row],[Cabo]],'Lançamento de Cabos'!C:C))</f>
        <v/>
      </c>
      <c r="O222" s="28" t="str">
        <f ca="1">IFERROR(IF(Tabela4[[#This Row],[Compr. Lançado]]/Tabela4[[#This Row],[Compr. Prev.]]&gt;1,1,Tabela4[[#This Row],[Compr. Lançado]]/Tabela4[[#This Row],[Compr. Prev.]]),"")</f>
        <v/>
      </c>
      <c r="P222" s="24" t="str">
        <f ca="1">IFERROR(VLOOKUP(Tabela4[[#This Row],[Cabo]],BD!A:V,11,0),"")</f>
        <v/>
      </c>
      <c r="Q222" s="24" t="str">
        <f ca="1">IFERROR(VLOOKUP(Tabela4[[#This Row],[Cabo]],BD!A:V,12,0),"")</f>
        <v/>
      </c>
      <c r="R22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2" s="23" t="str">
        <f ca="1">IF(Tabela4[[#This Row],[Cabo]]&lt;&gt;"",4-COUNTIF(Tabela4[[#This Row],[Teste de Continuidade]:[Hipot]],"---"),"")</f>
        <v/>
      </c>
      <c r="W222" s="29" t="str">
        <f ca="1">IF(Tabela4[[#This Row],[Cabo]]&lt;&gt;"",(COUNTIF(Tabela4[[#This Row],[Teste de Continuidade]:[Hipot]],"OK"))/(4-COUNTIF(Tabela4[[#This Row],[Teste de Continuidade]:[Hipot]],"---")),"")</f>
        <v/>
      </c>
      <c r="X222" s="23" t="str">
        <f ca="1">IF(Tabela4[[#This Row],[Cabo]]&lt;&gt;"",SUMIFS('Lançamento de Cabos'!$AF:$AF,'Lançamento de Cabos'!AE:AE,Tabela4[[#This Row],[Cabo]],'Lançamento de Cabos'!AJ:AJ,Área!$B$1),"")</f>
        <v/>
      </c>
      <c r="Y222" s="23" t="str">
        <f ca="1">IF(Tabela4[[#This Row],[Cabo]]&lt;&gt;"",SUMIFS('Lançamento de Cabos'!$AG:$AG,'Lançamento de Cabos'!AE:AE,Tabela4[[#This Row],[Cabo]],'Lançamento de Cabos'!AJ:AJ,Área!$B$1),"")</f>
        <v/>
      </c>
      <c r="Z222" s="23" t="e">
        <f ca="1">VLOOKUP(Tabela4[[#This Row],[Cabo]],BD!A:AB,28,0)</f>
        <v>#N/A</v>
      </c>
    </row>
    <row r="223" spans="3:26" x14ac:dyDescent="0.25">
      <c r="C223" s="391" t="str">
        <f ca="1">IF($B$1="Geral",Tabela1[[#This Row],[Tag do Cabo]],IFERROR(INDEX(INDIRECT("BD!$A"&amp;D223&amp;":$A100000"),E223,1),""))</f>
        <v/>
      </c>
      <c r="D223" s="391" t="str">
        <f t="shared" ca="1" si="10"/>
        <v/>
      </c>
      <c r="E223" s="391" t="str">
        <f t="shared" ca="1" si="11"/>
        <v/>
      </c>
      <c r="F223" s="23" t="str">
        <f ca="1">IFERROR(VLOOKUP(Tabela4[[#This Row],[Cabo]],BD!A:V,2,0),"")</f>
        <v/>
      </c>
      <c r="G223" s="391" t="str">
        <f ca="1">IFERROR(VLOOKUP(Tabela4[[#This Row],[Cabo]],BD!A:V,5,0),"")</f>
        <v/>
      </c>
      <c r="H223" s="23" t="str">
        <f ca="1">IFERROR(VLOOKUP(Tabela4[[#This Row],[Cabo]],BD!A:V,3,0),"")</f>
        <v/>
      </c>
      <c r="I223" s="23" t="str">
        <f ca="1">IFERROR(VLOOKUP(Tabela4[[#This Row],[Cabo]],BD!A:V,4,0),"")</f>
        <v/>
      </c>
      <c r="J223" s="23" t="str">
        <f ca="1">IFERROR(VLOOKUP(Tabela4[[#This Row],[Cabo]],BD!A:V,7,0),"")</f>
        <v/>
      </c>
      <c r="K22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3" s="23" t="str">
        <f ca="1">IFERROR(VLOOKUP(Tabela4[[#This Row],[Cabo]],BD!A:V,9,0),"")</f>
        <v/>
      </c>
      <c r="M223" s="23" t="str">
        <f ca="1">IFERROR(VLOOKUP(Tabela4[[#This Row],[Cabo]],BD!A:AD,30,0),"")</f>
        <v/>
      </c>
      <c r="N223" s="23" t="str">
        <f ca="1">IF(SUMIF('Lançamento de Cabos'!B:B,Tabela4[[#This Row],[Cabo]],'Lançamento de Cabos'!C:C)=0,"",SUMIF('Lançamento de Cabos'!B:B,Tabela4[[#This Row],[Cabo]],'Lançamento de Cabos'!C:C))</f>
        <v/>
      </c>
      <c r="O223" s="28" t="str">
        <f ca="1">IFERROR(IF(Tabela4[[#This Row],[Compr. Lançado]]/Tabela4[[#This Row],[Compr. Prev.]]&gt;1,1,Tabela4[[#This Row],[Compr. Lançado]]/Tabela4[[#This Row],[Compr. Prev.]]),"")</f>
        <v/>
      </c>
      <c r="P223" s="24" t="str">
        <f ca="1">IFERROR(VLOOKUP(Tabela4[[#This Row],[Cabo]],BD!A:V,11,0),"")</f>
        <v/>
      </c>
      <c r="Q223" s="24" t="str">
        <f ca="1">IFERROR(VLOOKUP(Tabela4[[#This Row],[Cabo]],BD!A:V,12,0),"")</f>
        <v/>
      </c>
      <c r="R22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3" s="23" t="str">
        <f ca="1">IF(Tabela4[[#This Row],[Cabo]]&lt;&gt;"",4-COUNTIF(Tabela4[[#This Row],[Teste de Continuidade]:[Hipot]],"---"),"")</f>
        <v/>
      </c>
      <c r="W223" s="29" t="str">
        <f ca="1">IF(Tabela4[[#This Row],[Cabo]]&lt;&gt;"",(COUNTIF(Tabela4[[#This Row],[Teste de Continuidade]:[Hipot]],"OK"))/(4-COUNTIF(Tabela4[[#This Row],[Teste de Continuidade]:[Hipot]],"---")),"")</f>
        <v/>
      </c>
      <c r="X223" s="23" t="str">
        <f ca="1">IF(Tabela4[[#This Row],[Cabo]]&lt;&gt;"",SUMIFS('Lançamento de Cabos'!$AF:$AF,'Lançamento de Cabos'!AE:AE,Tabela4[[#This Row],[Cabo]],'Lançamento de Cabos'!AJ:AJ,Área!$B$1),"")</f>
        <v/>
      </c>
      <c r="Y223" s="23" t="str">
        <f ca="1">IF(Tabela4[[#This Row],[Cabo]]&lt;&gt;"",SUMIFS('Lançamento de Cabos'!$AG:$AG,'Lançamento de Cabos'!AE:AE,Tabela4[[#This Row],[Cabo]],'Lançamento de Cabos'!AJ:AJ,Área!$B$1),"")</f>
        <v/>
      </c>
      <c r="Z223" s="23" t="e">
        <f ca="1">VLOOKUP(Tabela4[[#This Row],[Cabo]],BD!A:AB,28,0)</f>
        <v>#N/A</v>
      </c>
    </row>
    <row r="224" spans="3:26" x14ac:dyDescent="0.25">
      <c r="C224" s="391" t="str">
        <f ca="1">IF($B$1="Geral",Tabela1[[#This Row],[Tag do Cabo]],IFERROR(INDEX(INDIRECT("BD!$A"&amp;D224&amp;":$A100000"),E224,1),""))</f>
        <v/>
      </c>
      <c r="D224" s="391" t="str">
        <f t="shared" ca="1" si="10"/>
        <v/>
      </c>
      <c r="E224" s="391" t="str">
        <f t="shared" ca="1" si="11"/>
        <v/>
      </c>
      <c r="F224" s="23" t="str">
        <f ca="1">IFERROR(VLOOKUP(Tabela4[[#This Row],[Cabo]],BD!A:V,2,0),"")</f>
        <v/>
      </c>
      <c r="G224" s="391" t="str">
        <f ca="1">IFERROR(VLOOKUP(Tabela4[[#This Row],[Cabo]],BD!A:V,5,0),"")</f>
        <v/>
      </c>
      <c r="H224" s="23" t="str">
        <f ca="1">IFERROR(VLOOKUP(Tabela4[[#This Row],[Cabo]],BD!A:V,3,0),"")</f>
        <v/>
      </c>
      <c r="I224" s="23" t="str">
        <f ca="1">IFERROR(VLOOKUP(Tabela4[[#This Row],[Cabo]],BD!A:V,4,0),"")</f>
        <v/>
      </c>
      <c r="J224" s="23" t="str">
        <f ca="1">IFERROR(VLOOKUP(Tabela4[[#This Row],[Cabo]],BD!A:V,7,0),"")</f>
        <v/>
      </c>
      <c r="K22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4" s="23" t="str">
        <f ca="1">IFERROR(VLOOKUP(Tabela4[[#This Row],[Cabo]],BD!A:V,9,0),"")</f>
        <v/>
      </c>
      <c r="M224" s="23" t="str">
        <f ca="1">IFERROR(VLOOKUP(Tabela4[[#This Row],[Cabo]],BD!A:AD,30,0),"")</f>
        <v/>
      </c>
      <c r="N224" s="23" t="str">
        <f ca="1">IF(SUMIF('Lançamento de Cabos'!B:B,Tabela4[[#This Row],[Cabo]],'Lançamento de Cabos'!C:C)=0,"",SUMIF('Lançamento de Cabos'!B:B,Tabela4[[#This Row],[Cabo]],'Lançamento de Cabos'!C:C))</f>
        <v/>
      </c>
      <c r="O224" s="28" t="str">
        <f ca="1">IFERROR(IF(Tabela4[[#This Row],[Compr. Lançado]]/Tabela4[[#This Row],[Compr. Prev.]]&gt;1,1,Tabela4[[#This Row],[Compr. Lançado]]/Tabela4[[#This Row],[Compr. Prev.]]),"")</f>
        <v/>
      </c>
      <c r="P224" s="24" t="str">
        <f ca="1">IFERROR(VLOOKUP(Tabela4[[#This Row],[Cabo]],BD!A:V,11,0),"")</f>
        <v/>
      </c>
      <c r="Q224" s="24" t="str">
        <f ca="1">IFERROR(VLOOKUP(Tabela4[[#This Row],[Cabo]],BD!A:V,12,0),"")</f>
        <v/>
      </c>
      <c r="R22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4" s="23" t="str">
        <f ca="1">IF(Tabela4[[#This Row],[Cabo]]&lt;&gt;"",4-COUNTIF(Tabela4[[#This Row],[Teste de Continuidade]:[Hipot]],"---"),"")</f>
        <v/>
      </c>
      <c r="W224" s="29" t="str">
        <f ca="1">IF(Tabela4[[#This Row],[Cabo]]&lt;&gt;"",(COUNTIF(Tabela4[[#This Row],[Teste de Continuidade]:[Hipot]],"OK"))/(4-COUNTIF(Tabela4[[#This Row],[Teste de Continuidade]:[Hipot]],"---")),"")</f>
        <v/>
      </c>
      <c r="X224" s="23" t="str">
        <f ca="1">IF(Tabela4[[#This Row],[Cabo]]&lt;&gt;"",SUMIFS('Lançamento de Cabos'!$AF:$AF,'Lançamento de Cabos'!AE:AE,Tabela4[[#This Row],[Cabo]],'Lançamento de Cabos'!AJ:AJ,Área!$B$1),"")</f>
        <v/>
      </c>
      <c r="Y224" s="23" t="str">
        <f ca="1">IF(Tabela4[[#This Row],[Cabo]]&lt;&gt;"",SUMIFS('Lançamento de Cabos'!$AG:$AG,'Lançamento de Cabos'!AE:AE,Tabela4[[#This Row],[Cabo]],'Lançamento de Cabos'!AJ:AJ,Área!$B$1),"")</f>
        <v/>
      </c>
      <c r="Z224" s="23" t="e">
        <f ca="1">VLOOKUP(Tabela4[[#This Row],[Cabo]],BD!A:AB,28,0)</f>
        <v>#N/A</v>
      </c>
    </row>
    <row r="225" spans="3:26" x14ac:dyDescent="0.25">
      <c r="C225" s="391" t="str">
        <f ca="1">IF($B$1="Geral",Tabela1[[#This Row],[Tag do Cabo]],IFERROR(INDEX(INDIRECT("BD!$A"&amp;D225&amp;":$A100000"),E225,1),""))</f>
        <v/>
      </c>
      <c r="D225" s="391" t="str">
        <f t="shared" ca="1" si="10"/>
        <v/>
      </c>
      <c r="E225" s="391" t="str">
        <f t="shared" ca="1" si="11"/>
        <v/>
      </c>
      <c r="F225" s="23" t="str">
        <f ca="1">IFERROR(VLOOKUP(Tabela4[[#This Row],[Cabo]],BD!A:V,2,0),"")</f>
        <v/>
      </c>
      <c r="G225" s="391" t="str">
        <f ca="1">IFERROR(VLOOKUP(Tabela4[[#This Row],[Cabo]],BD!A:V,5,0),"")</f>
        <v/>
      </c>
      <c r="H225" s="23" t="str">
        <f ca="1">IFERROR(VLOOKUP(Tabela4[[#This Row],[Cabo]],BD!A:V,3,0),"")</f>
        <v/>
      </c>
      <c r="I225" s="23" t="str">
        <f ca="1">IFERROR(VLOOKUP(Tabela4[[#This Row],[Cabo]],BD!A:V,4,0),"")</f>
        <v/>
      </c>
      <c r="J225" s="23" t="str">
        <f ca="1">IFERROR(VLOOKUP(Tabela4[[#This Row],[Cabo]],BD!A:V,7,0),"")</f>
        <v/>
      </c>
      <c r="K22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5" s="23" t="str">
        <f ca="1">IFERROR(VLOOKUP(Tabela4[[#This Row],[Cabo]],BD!A:V,9,0),"")</f>
        <v/>
      </c>
      <c r="M225" s="23" t="str">
        <f ca="1">IFERROR(VLOOKUP(Tabela4[[#This Row],[Cabo]],BD!A:AD,30,0),"")</f>
        <v/>
      </c>
      <c r="N225" s="23" t="str">
        <f ca="1">IF(SUMIF('Lançamento de Cabos'!B:B,Tabela4[[#This Row],[Cabo]],'Lançamento de Cabos'!C:C)=0,"",SUMIF('Lançamento de Cabos'!B:B,Tabela4[[#This Row],[Cabo]],'Lançamento de Cabos'!C:C))</f>
        <v/>
      </c>
      <c r="O225" s="28" t="str">
        <f ca="1">IFERROR(IF(Tabela4[[#This Row],[Compr. Lançado]]/Tabela4[[#This Row],[Compr. Prev.]]&gt;1,1,Tabela4[[#This Row],[Compr. Lançado]]/Tabela4[[#This Row],[Compr. Prev.]]),"")</f>
        <v/>
      </c>
      <c r="P225" s="24" t="str">
        <f ca="1">IFERROR(VLOOKUP(Tabela4[[#This Row],[Cabo]],BD!A:V,11,0),"")</f>
        <v/>
      </c>
      <c r="Q225" s="24" t="str">
        <f ca="1">IFERROR(VLOOKUP(Tabela4[[#This Row],[Cabo]],BD!A:V,12,0),"")</f>
        <v/>
      </c>
      <c r="R22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5" s="23" t="str">
        <f ca="1">IF(Tabela4[[#This Row],[Cabo]]&lt;&gt;"",4-COUNTIF(Tabela4[[#This Row],[Teste de Continuidade]:[Hipot]],"---"),"")</f>
        <v/>
      </c>
      <c r="W225" s="29" t="str">
        <f ca="1">IF(Tabela4[[#This Row],[Cabo]]&lt;&gt;"",(COUNTIF(Tabela4[[#This Row],[Teste de Continuidade]:[Hipot]],"OK"))/(4-COUNTIF(Tabela4[[#This Row],[Teste de Continuidade]:[Hipot]],"---")),"")</f>
        <v/>
      </c>
      <c r="X225" s="23" t="str">
        <f ca="1">IF(Tabela4[[#This Row],[Cabo]]&lt;&gt;"",SUMIFS('Lançamento de Cabos'!$AF:$AF,'Lançamento de Cabos'!AE:AE,Tabela4[[#This Row],[Cabo]],'Lançamento de Cabos'!AJ:AJ,Área!$B$1),"")</f>
        <v/>
      </c>
      <c r="Y225" s="23" t="str">
        <f ca="1">IF(Tabela4[[#This Row],[Cabo]]&lt;&gt;"",SUMIFS('Lançamento de Cabos'!$AG:$AG,'Lançamento de Cabos'!AE:AE,Tabela4[[#This Row],[Cabo]],'Lançamento de Cabos'!AJ:AJ,Área!$B$1),"")</f>
        <v/>
      </c>
      <c r="Z225" s="23" t="e">
        <f ca="1">VLOOKUP(Tabela4[[#This Row],[Cabo]],BD!A:AB,28,0)</f>
        <v>#N/A</v>
      </c>
    </row>
    <row r="226" spans="3:26" x14ac:dyDescent="0.25">
      <c r="C226" s="391" t="str">
        <f ca="1">IF($B$1="Geral",Tabela1[[#This Row],[Tag do Cabo]],IFERROR(INDEX(INDIRECT("BD!$A"&amp;D226&amp;":$A100000"),E226,1),""))</f>
        <v/>
      </c>
      <c r="D226" s="391" t="str">
        <f t="shared" ca="1" si="10"/>
        <v/>
      </c>
      <c r="E226" s="391" t="str">
        <f t="shared" ca="1" si="11"/>
        <v/>
      </c>
      <c r="F226" s="23" t="str">
        <f ca="1">IFERROR(VLOOKUP(Tabela4[[#This Row],[Cabo]],BD!A:V,2,0),"")</f>
        <v/>
      </c>
      <c r="G226" s="391" t="str">
        <f ca="1">IFERROR(VLOOKUP(Tabela4[[#This Row],[Cabo]],BD!A:V,5,0),"")</f>
        <v/>
      </c>
      <c r="H226" s="23" t="str">
        <f ca="1">IFERROR(VLOOKUP(Tabela4[[#This Row],[Cabo]],BD!A:V,3,0),"")</f>
        <v/>
      </c>
      <c r="I226" s="23" t="str">
        <f ca="1">IFERROR(VLOOKUP(Tabela4[[#This Row],[Cabo]],BD!A:V,4,0),"")</f>
        <v/>
      </c>
      <c r="J226" s="23" t="str">
        <f ca="1">IFERROR(VLOOKUP(Tabela4[[#This Row],[Cabo]],BD!A:V,7,0),"")</f>
        <v/>
      </c>
      <c r="K22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6" s="23" t="str">
        <f ca="1">IFERROR(VLOOKUP(Tabela4[[#This Row],[Cabo]],BD!A:V,9,0),"")</f>
        <v/>
      </c>
      <c r="M226" s="23" t="str">
        <f ca="1">IFERROR(VLOOKUP(Tabela4[[#This Row],[Cabo]],BD!A:AD,30,0),"")</f>
        <v/>
      </c>
      <c r="N226" s="23" t="str">
        <f ca="1">IF(SUMIF('Lançamento de Cabos'!B:B,Tabela4[[#This Row],[Cabo]],'Lançamento de Cabos'!C:C)=0,"",SUMIF('Lançamento de Cabos'!B:B,Tabela4[[#This Row],[Cabo]],'Lançamento de Cabos'!C:C))</f>
        <v/>
      </c>
      <c r="O226" s="28" t="str">
        <f ca="1">IFERROR(IF(Tabela4[[#This Row],[Compr. Lançado]]/Tabela4[[#This Row],[Compr. Prev.]]&gt;1,1,Tabela4[[#This Row],[Compr. Lançado]]/Tabela4[[#This Row],[Compr. Prev.]]),"")</f>
        <v/>
      </c>
      <c r="P226" s="24" t="str">
        <f ca="1">IFERROR(VLOOKUP(Tabela4[[#This Row],[Cabo]],BD!A:V,11,0),"")</f>
        <v/>
      </c>
      <c r="Q226" s="24" t="str">
        <f ca="1">IFERROR(VLOOKUP(Tabela4[[#This Row],[Cabo]],BD!A:V,12,0),"")</f>
        <v/>
      </c>
      <c r="R22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6" s="23" t="str">
        <f ca="1">IF(Tabela4[[#This Row],[Cabo]]&lt;&gt;"",4-COUNTIF(Tabela4[[#This Row],[Teste de Continuidade]:[Hipot]],"---"),"")</f>
        <v/>
      </c>
      <c r="W226" s="29" t="str">
        <f ca="1">IF(Tabela4[[#This Row],[Cabo]]&lt;&gt;"",(COUNTIF(Tabela4[[#This Row],[Teste de Continuidade]:[Hipot]],"OK"))/(4-COUNTIF(Tabela4[[#This Row],[Teste de Continuidade]:[Hipot]],"---")),"")</f>
        <v/>
      </c>
      <c r="X226" s="23" t="str">
        <f ca="1">IF(Tabela4[[#This Row],[Cabo]]&lt;&gt;"",SUMIFS('Lançamento de Cabos'!$AF:$AF,'Lançamento de Cabos'!AE:AE,Tabela4[[#This Row],[Cabo]],'Lançamento de Cabos'!AJ:AJ,Área!$B$1),"")</f>
        <v/>
      </c>
      <c r="Y226" s="23" t="str">
        <f ca="1">IF(Tabela4[[#This Row],[Cabo]]&lt;&gt;"",SUMIFS('Lançamento de Cabos'!$AG:$AG,'Lançamento de Cabos'!AE:AE,Tabela4[[#This Row],[Cabo]],'Lançamento de Cabos'!AJ:AJ,Área!$B$1),"")</f>
        <v/>
      </c>
      <c r="Z226" s="23" t="e">
        <f ca="1">VLOOKUP(Tabela4[[#This Row],[Cabo]],BD!A:AB,28,0)</f>
        <v>#N/A</v>
      </c>
    </row>
    <row r="227" spans="3:26" x14ac:dyDescent="0.25">
      <c r="C227" s="391" t="str">
        <f ca="1">IF($B$1="Geral",Tabela1[[#This Row],[Tag do Cabo]],IFERROR(INDEX(INDIRECT("BD!$A"&amp;D227&amp;":$A100000"),E227,1),""))</f>
        <v/>
      </c>
      <c r="D227" s="391" t="str">
        <f t="shared" ca="1" si="10"/>
        <v/>
      </c>
      <c r="E227" s="391" t="str">
        <f t="shared" ca="1" si="11"/>
        <v/>
      </c>
      <c r="F227" s="23" t="str">
        <f ca="1">IFERROR(VLOOKUP(Tabela4[[#This Row],[Cabo]],BD!A:V,2,0),"")</f>
        <v/>
      </c>
      <c r="G227" s="391" t="str">
        <f ca="1">IFERROR(VLOOKUP(Tabela4[[#This Row],[Cabo]],BD!A:V,5,0),"")</f>
        <v/>
      </c>
      <c r="H227" s="23" t="str">
        <f ca="1">IFERROR(VLOOKUP(Tabela4[[#This Row],[Cabo]],BD!A:V,3,0),"")</f>
        <v/>
      </c>
      <c r="I227" s="23" t="str">
        <f ca="1">IFERROR(VLOOKUP(Tabela4[[#This Row],[Cabo]],BD!A:V,4,0),"")</f>
        <v/>
      </c>
      <c r="J227" s="23" t="str">
        <f ca="1">IFERROR(VLOOKUP(Tabela4[[#This Row],[Cabo]],BD!A:V,7,0),"")</f>
        <v/>
      </c>
      <c r="K22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7" s="23" t="str">
        <f ca="1">IFERROR(VLOOKUP(Tabela4[[#This Row],[Cabo]],BD!A:V,9,0),"")</f>
        <v/>
      </c>
      <c r="M227" s="23" t="str">
        <f ca="1">IFERROR(VLOOKUP(Tabela4[[#This Row],[Cabo]],BD!A:AD,30,0),"")</f>
        <v/>
      </c>
      <c r="N227" s="23" t="str">
        <f ca="1">IF(SUMIF('Lançamento de Cabos'!B:B,Tabela4[[#This Row],[Cabo]],'Lançamento de Cabos'!C:C)=0,"",SUMIF('Lançamento de Cabos'!B:B,Tabela4[[#This Row],[Cabo]],'Lançamento de Cabos'!C:C))</f>
        <v/>
      </c>
      <c r="O227" s="28" t="str">
        <f ca="1">IFERROR(IF(Tabela4[[#This Row],[Compr. Lançado]]/Tabela4[[#This Row],[Compr. Prev.]]&gt;1,1,Tabela4[[#This Row],[Compr. Lançado]]/Tabela4[[#This Row],[Compr. Prev.]]),"")</f>
        <v/>
      </c>
      <c r="P227" s="24" t="str">
        <f ca="1">IFERROR(VLOOKUP(Tabela4[[#This Row],[Cabo]],BD!A:V,11,0),"")</f>
        <v/>
      </c>
      <c r="Q227" s="24" t="str">
        <f ca="1">IFERROR(VLOOKUP(Tabela4[[#This Row],[Cabo]],BD!A:V,12,0),"")</f>
        <v/>
      </c>
      <c r="R22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7" s="23" t="str">
        <f ca="1">IF(Tabela4[[#This Row],[Cabo]]&lt;&gt;"",4-COUNTIF(Tabela4[[#This Row],[Teste de Continuidade]:[Hipot]],"---"),"")</f>
        <v/>
      </c>
      <c r="W227" s="29" t="str">
        <f ca="1">IF(Tabela4[[#This Row],[Cabo]]&lt;&gt;"",(COUNTIF(Tabela4[[#This Row],[Teste de Continuidade]:[Hipot]],"OK"))/(4-COUNTIF(Tabela4[[#This Row],[Teste de Continuidade]:[Hipot]],"---")),"")</f>
        <v/>
      </c>
      <c r="X227" s="23" t="str">
        <f ca="1">IF(Tabela4[[#This Row],[Cabo]]&lt;&gt;"",SUMIFS('Lançamento de Cabos'!$AF:$AF,'Lançamento de Cabos'!AE:AE,Tabela4[[#This Row],[Cabo]],'Lançamento de Cabos'!AJ:AJ,Área!$B$1),"")</f>
        <v/>
      </c>
      <c r="Y227" s="23" t="str">
        <f ca="1">IF(Tabela4[[#This Row],[Cabo]]&lt;&gt;"",SUMIFS('Lançamento de Cabos'!$AG:$AG,'Lançamento de Cabos'!AE:AE,Tabela4[[#This Row],[Cabo]],'Lançamento de Cabos'!AJ:AJ,Área!$B$1),"")</f>
        <v/>
      </c>
      <c r="Z227" s="23" t="e">
        <f ca="1">VLOOKUP(Tabela4[[#This Row],[Cabo]],BD!A:AB,28,0)</f>
        <v>#N/A</v>
      </c>
    </row>
    <row r="228" spans="3:26" x14ac:dyDescent="0.25">
      <c r="C228" s="391" t="str">
        <f ca="1">IF($B$1="Geral",Tabela1[[#This Row],[Tag do Cabo]],IFERROR(INDEX(INDIRECT("BD!$A"&amp;D228&amp;":$A100000"),E228,1),""))</f>
        <v/>
      </c>
      <c r="D228" s="391" t="str">
        <f t="shared" ca="1" si="10"/>
        <v/>
      </c>
      <c r="E228" s="391" t="str">
        <f t="shared" ca="1" si="11"/>
        <v/>
      </c>
      <c r="F228" s="23" t="str">
        <f ca="1">IFERROR(VLOOKUP(Tabela4[[#This Row],[Cabo]],BD!A:V,2,0),"")</f>
        <v/>
      </c>
      <c r="G228" s="391" t="str">
        <f ca="1">IFERROR(VLOOKUP(Tabela4[[#This Row],[Cabo]],BD!A:V,5,0),"")</f>
        <v/>
      </c>
      <c r="H228" s="23" t="str">
        <f ca="1">IFERROR(VLOOKUP(Tabela4[[#This Row],[Cabo]],BD!A:V,3,0),"")</f>
        <v/>
      </c>
      <c r="I228" s="23" t="str">
        <f ca="1">IFERROR(VLOOKUP(Tabela4[[#This Row],[Cabo]],BD!A:V,4,0),"")</f>
        <v/>
      </c>
      <c r="J228" s="23" t="str">
        <f ca="1">IFERROR(VLOOKUP(Tabela4[[#This Row],[Cabo]],BD!A:V,7,0),"")</f>
        <v/>
      </c>
      <c r="K22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8" s="23" t="str">
        <f ca="1">IFERROR(VLOOKUP(Tabela4[[#This Row],[Cabo]],BD!A:V,9,0),"")</f>
        <v/>
      </c>
      <c r="M228" s="23" t="str">
        <f ca="1">IFERROR(VLOOKUP(Tabela4[[#This Row],[Cabo]],BD!A:AD,30,0),"")</f>
        <v/>
      </c>
      <c r="N228" s="23" t="str">
        <f ca="1">IF(SUMIF('Lançamento de Cabos'!B:B,Tabela4[[#This Row],[Cabo]],'Lançamento de Cabos'!C:C)=0,"",SUMIF('Lançamento de Cabos'!B:B,Tabela4[[#This Row],[Cabo]],'Lançamento de Cabos'!C:C))</f>
        <v/>
      </c>
      <c r="O228" s="28" t="str">
        <f ca="1">IFERROR(IF(Tabela4[[#This Row],[Compr. Lançado]]/Tabela4[[#This Row],[Compr. Prev.]]&gt;1,1,Tabela4[[#This Row],[Compr. Lançado]]/Tabela4[[#This Row],[Compr. Prev.]]),"")</f>
        <v/>
      </c>
      <c r="P228" s="24" t="str">
        <f ca="1">IFERROR(VLOOKUP(Tabela4[[#This Row],[Cabo]],BD!A:V,11,0),"")</f>
        <v/>
      </c>
      <c r="Q228" s="24" t="str">
        <f ca="1">IFERROR(VLOOKUP(Tabela4[[#This Row],[Cabo]],BD!A:V,12,0),"")</f>
        <v/>
      </c>
      <c r="R22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8" s="23" t="str">
        <f ca="1">IF(Tabela4[[#This Row],[Cabo]]&lt;&gt;"",4-COUNTIF(Tabela4[[#This Row],[Teste de Continuidade]:[Hipot]],"---"),"")</f>
        <v/>
      </c>
      <c r="W228" s="29" t="str">
        <f ca="1">IF(Tabela4[[#This Row],[Cabo]]&lt;&gt;"",(COUNTIF(Tabela4[[#This Row],[Teste de Continuidade]:[Hipot]],"OK"))/(4-COUNTIF(Tabela4[[#This Row],[Teste de Continuidade]:[Hipot]],"---")),"")</f>
        <v/>
      </c>
      <c r="X228" s="23" t="str">
        <f ca="1">IF(Tabela4[[#This Row],[Cabo]]&lt;&gt;"",SUMIFS('Lançamento de Cabos'!$AF:$AF,'Lançamento de Cabos'!AE:AE,Tabela4[[#This Row],[Cabo]],'Lançamento de Cabos'!AJ:AJ,Área!$B$1),"")</f>
        <v/>
      </c>
      <c r="Y228" s="23" t="str">
        <f ca="1">IF(Tabela4[[#This Row],[Cabo]]&lt;&gt;"",SUMIFS('Lançamento de Cabos'!$AG:$AG,'Lançamento de Cabos'!AE:AE,Tabela4[[#This Row],[Cabo]],'Lançamento de Cabos'!AJ:AJ,Área!$B$1),"")</f>
        <v/>
      </c>
      <c r="Z228" s="23" t="e">
        <f ca="1">VLOOKUP(Tabela4[[#This Row],[Cabo]],BD!A:AB,28,0)</f>
        <v>#N/A</v>
      </c>
    </row>
    <row r="229" spans="3:26" x14ac:dyDescent="0.25">
      <c r="C229" s="391" t="str">
        <f ca="1">IF($B$1="Geral",Tabela1[[#This Row],[Tag do Cabo]],IFERROR(INDEX(INDIRECT("BD!$A"&amp;D229&amp;":$A100000"),E229,1),""))</f>
        <v/>
      </c>
      <c r="D229" s="391" t="str">
        <f t="shared" ca="1" si="10"/>
        <v/>
      </c>
      <c r="E229" s="391" t="str">
        <f t="shared" ca="1" si="11"/>
        <v/>
      </c>
      <c r="F229" s="23" t="str">
        <f ca="1">IFERROR(VLOOKUP(Tabela4[[#This Row],[Cabo]],BD!A:V,2,0),"")</f>
        <v/>
      </c>
      <c r="G229" s="391" t="str">
        <f ca="1">IFERROR(VLOOKUP(Tabela4[[#This Row],[Cabo]],BD!A:V,5,0),"")</f>
        <v/>
      </c>
      <c r="H229" s="23" t="str">
        <f ca="1">IFERROR(VLOOKUP(Tabela4[[#This Row],[Cabo]],BD!A:V,3,0),"")</f>
        <v/>
      </c>
      <c r="I229" s="23" t="str">
        <f ca="1">IFERROR(VLOOKUP(Tabela4[[#This Row],[Cabo]],BD!A:V,4,0),"")</f>
        <v/>
      </c>
      <c r="J229" s="23" t="str">
        <f ca="1">IFERROR(VLOOKUP(Tabela4[[#This Row],[Cabo]],BD!A:V,7,0),"")</f>
        <v/>
      </c>
      <c r="K22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29" s="23" t="str">
        <f ca="1">IFERROR(VLOOKUP(Tabela4[[#This Row],[Cabo]],BD!A:V,9,0),"")</f>
        <v/>
      </c>
      <c r="M229" s="23" t="str">
        <f ca="1">IFERROR(VLOOKUP(Tabela4[[#This Row],[Cabo]],BD!A:AD,30,0),"")</f>
        <v/>
      </c>
      <c r="N229" s="23" t="str">
        <f ca="1">IF(SUMIF('Lançamento de Cabos'!B:B,Tabela4[[#This Row],[Cabo]],'Lançamento de Cabos'!C:C)=0,"",SUMIF('Lançamento de Cabos'!B:B,Tabela4[[#This Row],[Cabo]],'Lançamento de Cabos'!C:C))</f>
        <v/>
      </c>
      <c r="O229" s="28" t="str">
        <f ca="1">IFERROR(IF(Tabela4[[#This Row],[Compr. Lançado]]/Tabela4[[#This Row],[Compr. Prev.]]&gt;1,1,Tabela4[[#This Row],[Compr. Lançado]]/Tabela4[[#This Row],[Compr. Prev.]]),"")</f>
        <v/>
      </c>
      <c r="P229" s="24" t="str">
        <f ca="1">IFERROR(VLOOKUP(Tabela4[[#This Row],[Cabo]],BD!A:V,11,0),"")</f>
        <v/>
      </c>
      <c r="Q229" s="24" t="str">
        <f ca="1">IFERROR(VLOOKUP(Tabela4[[#This Row],[Cabo]],BD!A:V,12,0),"")</f>
        <v/>
      </c>
      <c r="R22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2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2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2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29" s="23" t="str">
        <f ca="1">IF(Tabela4[[#This Row],[Cabo]]&lt;&gt;"",4-COUNTIF(Tabela4[[#This Row],[Teste de Continuidade]:[Hipot]],"---"),"")</f>
        <v/>
      </c>
      <c r="W229" s="29" t="str">
        <f ca="1">IF(Tabela4[[#This Row],[Cabo]]&lt;&gt;"",(COUNTIF(Tabela4[[#This Row],[Teste de Continuidade]:[Hipot]],"OK"))/(4-COUNTIF(Tabela4[[#This Row],[Teste de Continuidade]:[Hipot]],"---")),"")</f>
        <v/>
      </c>
      <c r="X229" s="23" t="str">
        <f ca="1">IF(Tabela4[[#This Row],[Cabo]]&lt;&gt;"",SUMIFS('Lançamento de Cabos'!$AF:$AF,'Lançamento de Cabos'!AE:AE,Tabela4[[#This Row],[Cabo]],'Lançamento de Cabos'!AJ:AJ,Área!$B$1),"")</f>
        <v/>
      </c>
      <c r="Y229" s="23" t="str">
        <f ca="1">IF(Tabela4[[#This Row],[Cabo]]&lt;&gt;"",SUMIFS('Lançamento de Cabos'!$AG:$AG,'Lançamento de Cabos'!AE:AE,Tabela4[[#This Row],[Cabo]],'Lançamento de Cabos'!AJ:AJ,Área!$B$1),"")</f>
        <v/>
      </c>
      <c r="Z229" s="23" t="e">
        <f ca="1">VLOOKUP(Tabela4[[#This Row],[Cabo]],BD!A:AB,28,0)</f>
        <v>#N/A</v>
      </c>
    </row>
    <row r="230" spans="3:26" x14ac:dyDescent="0.25">
      <c r="C230" s="391" t="str">
        <f ca="1">IF($B$1="Geral",Tabela1[[#This Row],[Tag do Cabo]],IFERROR(INDEX(INDIRECT("BD!$A"&amp;D230&amp;":$A100000"),E230,1),""))</f>
        <v/>
      </c>
      <c r="D230" s="391" t="str">
        <f t="shared" ca="1" si="10"/>
        <v/>
      </c>
      <c r="E230" s="391" t="str">
        <f t="shared" ca="1" si="11"/>
        <v/>
      </c>
      <c r="F230" s="23" t="str">
        <f ca="1">IFERROR(VLOOKUP(Tabela4[[#This Row],[Cabo]],BD!A:V,2,0),"")</f>
        <v/>
      </c>
      <c r="G230" s="391" t="str">
        <f ca="1">IFERROR(VLOOKUP(Tabela4[[#This Row],[Cabo]],BD!A:V,5,0),"")</f>
        <v/>
      </c>
      <c r="H230" s="23" t="str">
        <f ca="1">IFERROR(VLOOKUP(Tabela4[[#This Row],[Cabo]],BD!A:V,3,0),"")</f>
        <v/>
      </c>
      <c r="I230" s="23" t="str">
        <f ca="1">IFERROR(VLOOKUP(Tabela4[[#This Row],[Cabo]],BD!A:V,4,0),"")</f>
        <v/>
      </c>
      <c r="J230" s="23" t="str">
        <f ca="1">IFERROR(VLOOKUP(Tabela4[[#This Row],[Cabo]],BD!A:V,7,0),"")</f>
        <v/>
      </c>
      <c r="K23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0" s="23" t="str">
        <f ca="1">IFERROR(VLOOKUP(Tabela4[[#This Row],[Cabo]],BD!A:V,9,0),"")</f>
        <v/>
      </c>
      <c r="M230" s="23" t="str">
        <f ca="1">IFERROR(VLOOKUP(Tabela4[[#This Row],[Cabo]],BD!A:AD,30,0),"")</f>
        <v/>
      </c>
      <c r="N230" s="23" t="str">
        <f ca="1">IF(SUMIF('Lançamento de Cabos'!B:B,Tabela4[[#This Row],[Cabo]],'Lançamento de Cabos'!C:C)=0,"",SUMIF('Lançamento de Cabos'!B:B,Tabela4[[#This Row],[Cabo]],'Lançamento de Cabos'!C:C))</f>
        <v/>
      </c>
      <c r="O230" s="28" t="str">
        <f ca="1">IFERROR(IF(Tabela4[[#This Row],[Compr. Lançado]]/Tabela4[[#This Row],[Compr. Prev.]]&gt;1,1,Tabela4[[#This Row],[Compr. Lançado]]/Tabela4[[#This Row],[Compr. Prev.]]),"")</f>
        <v/>
      </c>
      <c r="P230" s="24" t="str">
        <f ca="1">IFERROR(VLOOKUP(Tabela4[[#This Row],[Cabo]],BD!A:V,11,0),"")</f>
        <v/>
      </c>
      <c r="Q230" s="24" t="str">
        <f ca="1">IFERROR(VLOOKUP(Tabela4[[#This Row],[Cabo]],BD!A:V,12,0),"")</f>
        <v/>
      </c>
      <c r="R23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0" s="23" t="str">
        <f ca="1">IF(Tabela4[[#This Row],[Cabo]]&lt;&gt;"",4-COUNTIF(Tabela4[[#This Row],[Teste de Continuidade]:[Hipot]],"---"),"")</f>
        <v/>
      </c>
      <c r="W230" s="29" t="str">
        <f ca="1">IF(Tabela4[[#This Row],[Cabo]]&lt;&gt;"",(COUNTIF(Tabela4[[#This Row],[Teste de Continuidade]:[Hipot]],"OK"))/(4-COUNTIF(Tabela4[[#This Row],[Teste de Continuidade]:[Hipot]],"---")),"")</f>
        <v/>
      </c>
      <c r="X230" s="23" t="str">
        <f ca="1">IF(Tabela4[[#This Row],[Cabo]]&lt;&gt;"",SUMIFS('Lançamento de Cabos'!$AF:$AF,'Lançamento de Cabos'!AE:AE,Tabela4[[#This Row],[Cabo]],'Lançamento de Cabos'!AJ:AJ,Área!$B$1),"")</f>
        <v/>
      </c>
      <c r="Y230" s="23" t="str">
        <f ca="1">IF(Tabela4[[#This Row],[Cabo]]&lt;&gt;"",SUMIFS('Lançamento de Cabos'!$AG:$AG,'Lançamento de Cabos'!AE:AE,Tabela4[[#This Row],[Cabo]],'Lançamento de Cabos'!AJ:AJ,Área!$B$1),"")</f>
        <v/>
      </c>
      <c r="Z230" s="23" t="e">
        <f ca="1">VLOOKUP(Tabela4[[#This Row],[Cabo]],BD!A:AB,28,0)</f>
        <v>#N/A</v>
      </c>
    </row>
    <row r="231" spans="3:26" x14ac:dyDescent="0.25">
      <c r="C231" s="391" t="str">
        <f ca="1">IF($B$1="Geral",Tabela1[[#This Row],[Tag do Cabo]],IFERROR(INDEX(INDIRECT("BD!$A"&amp;D231&amp;":$A100000"),E231,1),""))</f>
        <v/>
      </c>
      <c r="D231" s="391" t="str">
        <f t="shared" ca="1" si="10"/>
        <v/>
      </c>
      <c r="E231" s="391" t="str">
        <f t="shared" ca="1" si="11"/>
        <v/>
      </c>
      <c r="F231" s="23" t="str">
        <f ca="1">IFERROR(VLOOKUP(Tabela4[[#This Row],[Cabo]],BD!A:V,2,0),"")</f>
        <v/>
      </c>
      <c r="G231" s="391" t="str">
        <f ca="1">IFERROR(VLOOKUP(Tabela4[[#This Row],[Cabo]],BD!A:V,5,0),"")</f>
        <v/>
      </c>
      <c r="H231" s="23" t="str">
        <f ca="1">IFERROR(VLOOKUP(Tabela4[[#This Row],[Cabo]],BD!A:V,3,0),"")</f>
        <v/>
      </c>
      <c r="I231" s="23" t="str">
        <f ca="1">IFERROR(VLOOKUP(Tabela4[[#This Row],[Cabo]],BD!A:V,4,0),"")</f>
        <v/>
      </c>
      <c r="J231" s="23" t="str">
        <f ca="1">IFERROR(VLOOKUP(Tabela4[[#This Row],[Cabo]],BD!A:V,7,0),"")</f>
        <v/>
      </c>
      <c r="K23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1" s="23" t="str">
        <f ca="1">IFERROR(VLOOKUP(Tabela4[[#This Row],[Cabo]],BD!A:V,9,0),"")</f>
        <v/>
      </c>
      <c r="M231" s="23" t="str">
        <f ca="1">IFERROR(VLOOKUP(Tabela4[[#This Row],[Cabo]],BD!A:AD,30,0),"")</f>
        <v/>
      </c>
      <c r="N231" s="23" t="str">
        <f ca="1">IF(SUMIF('Lançamento de Cabos'!B:B,Tabela4[[#This Row],[Cabo]],'Lançamento de Cabos'!C:C)=0,"",SUMIF('Lançamento de Cabos'!B:B,Tabela4[[#This Row],[Cabo]],'Lançamento de Cabos'!C:C))</f>
        <v/>
      </c>
      <c r="O231" s="28" t="str">
        <f ca="1">IFERROR(IF(Tabela4[[#This Row],[Compr. Lançado]]/Tabela4[[#This Row],[Compr. Prev.]]&gt;1,1,Tabela4[[#This Row],[Compr. Lançado]]/Tabela4[[#This Row],[Compr. Prev.]]),"")</f>
        <v/>
      </c>
      <c r="P231" s="24" t="str">
        <f ca="1">IFERROR(VLOOKUP(Tabela4[[#This Row],[Cabo]],BD!A:V,11,0),"")</f>
        <v/>
      </c>
      <c r="Q231" s="24" t="str">
        <f ca="1">IFERROR(VLOOKUP(Tabela4[[#This Row],[Cabo]],BD!A:V,12,0),"")</f>
        <v/>
      </c>
      <c r="R23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1" s="23" t="str">
        <f ca="1">IF(Tabela4[[#This Row],[Cabo]]&lt;&gt;"",4-COUNTIF(Tabela4[[#This Row],[Teste de Continuidade]:[Hipot]],"---"),"")</f>
        <v/>
      </c>
      <c r="W231" s="29" t="str">
        <f ca="1">IF(Tabela4[[#This Row],[Cabo]]&lt;&gt;"",(COUNTIF(Tabela4[[#This Row],[Teste de Continuidade]:[Hipot]],"OK"))/(4-COUNTIF(Tabela4[[#This Row],[Teste de Continuidade]:[Hipot]],"---")),"")</f>
        <v/>
      </c>
      <c r="X231" s="23" t="str">
        <f ca="1">IF(Tabela4[[#This Row],[Cabo]]&lt;&gt;"",SUMIFS('Lançamento de Cabos'!$AF:$AF,'Lançamento de Cabos'!AE:AE,Tabela4[[#This Row],[Cabo]],'Lançamento de Cabos'!AJ:AJ,Área!$B$1),"")</f>
        <v/>
      </c>
      <c r="Y231" s="23" t="str">
        <f ca="1">IF(Tabela4[[#This Row],[Cabo]]&lt;&gt;"",SUMIFS('Lançamento de Cabos'!$AG:$AG,'Lançamento de Cabos'!AE:AE,Tabela4[[#This Row],[Cabo]],'Lançamento de Cabos'!AJ:AJ,Área!$B$1),"")</f>
        <v/>
      </c>
      <c r="Z231" s="23" t="e">
        <f ca="1">VLOOKUP(Tabela4[[#This Row],[Cabo]],BD!A:AB,28,0)</f>
        <v>#N/A</v>
      </c>
    </row>
    <row r="232" spans="3:26" x14ac:dyDescent="0.25">
      <c r="C232" s="391" t="str">
        <f ca="1">IF($B$1="Geral",Tabela1[[#This Row],[Tag do Cabo]],IFERROR(INDEX(INDIRECT("BD!$A"&amp;D232&amp;":$A100000"),E232,1),""))</f>
        <v/>
      </c>
      <c r="D232" s="391" t="str">
        <f t="shared" ca="1" si="10"/>
        <v/>
      </c>
      <c r="E232" s="391" t="str">
        <f t="shared" ca="1" si="11"/>
        <v/>
      </c>
      <c r="F232" s="23" t="str">
        <f ca="1">IFERROR(VLOOKUP(Tabela4[[#This Row],[Cabo]],BD!A:V,2,0),"")</f>
        <v/>
      </c>
      <c r="G232" s="391" t="str">
        <f ca="1">IFERROR(VLOOKUP(Tabela4[[#This Row],[Cabo]],BD!A:V,5,0),"")</f>
        <v/>
      </c>
      <c r="H232" s="23" t="str">
        <f ca="1">IFERROR(VLOOKUP(Tabela4[[#This Row],[Cabo]],BD!A:V,3,0),"")</f>
        <v/>
      </c>
      <c r="I232" s="23" t="str">
        <f ca="1">IFERROR(VLOOKUP(Tabela4[[#This Row],[Cabo]],BD!A:V,4,0),"")</f>
        <v/>
      </c>
      <c r="J232" s="23" t="str">
        <f ca="1">IFERROR(VLOOKUP(Tabela4[[#This Row],[Cabo]],BD!A:V,7,0),"")</f>
        <v/>
      </c>
      <c r="K23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2" s="23" t="str">
        <f ca="1">IFERROR(VLOOKUP(Tabela4[[#This Row],[Cabo]],BD!A:V,9,0),"")</f>
        <v/>
      </c>
      <c r="M232" s="23" t="str">
        <f ca="1">IFERROR(VLOOKUP(Tabela4[[#This Row],[Cabo]],BD!A:AD,30,0),"")</f>
        <v/>
      </c>
      <c r="N232" s="23" t="str">
        <f ca="1">IF(SUMIF('Lançamento de Cabos'!B:B,Tabela4[[#This Row],[Cabo]],'Lançamento de Cabos'!C:C)=0,"",SUMIF('Lançamento de Cabos'!B:B,Tabela4[[#This Row],[Cabo]],'Lançamento de Cabos'!C:C))</f>
        <v/>
      </c>
      <c r="O232" s="28" t="str">
        <f ca="1">IFERROR(IF(Tabela4[[#This Row],[Compr. Lançado]]/Tabela4[[#This Row],[Compr. Prev.]]&gt;1,1,Tabela4[[#This Row],[Compr. Lançado]]/Tabela4[[#This Row],[Compr. Prev.]]),"")</f>
        <v/>
      </c>
      <c r="P232" s="24" t="str">
        <f ca="1">IFERROR(VLOOKUP(Tabela4[[#This Row],[Cabo]],BD!A:V,11,0),"")</f>
        <v/>
      </c>
      <c r="Q232" s="24" t="str">
        <f ca="1">IFERROR(VLOOKUP(Tabela4[[#This Row],[Cabo]],BD!A:V,12,0),"")</f>
        <v/>
      </c>
      <c r="R23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2" s="23" t="str">
        <f ca="1">IF(Tabela4[[#This Row],[Cabo]]&lt;&gt;"",4-COUNTIF(Tabela4[[#This Row],[Teste de Continuidade]:[Hipot]],"---"),"")</f>
        <v/>
      </c>
      <c r="W232" s="29" t="str">
        <f ca="1">IF(Tabela4[[#This Row],[Cabo]]&lt;&gt;"",(COUNTIF(Tabela4[[#This Row],[Teste de Continuidade]:[Hipot]],"OK"))/(4-COUNTIF(Tabela4[[#This Row],[Teste de Continuidade]:[Hipot]],"---")),"")</f>
        <v/>
      </c>
      <c r="X232" s="23" t="str">
        <f ca="1">IF(Tabela4[[#This Row],[Cabo]]&lt;&gt;"",SUMIFS('Lançamento de Cabos'!$AF:$AF,'Lançamento de Cabos'!AE:AE,Tabela4[[#This Row],[Cabo]],'Lançamento de Cabos'!AJ:AJ,Área!$B$1),"")</f>
        <v/>
      </c>
      <c r="Y232" s="23" t="str">
        <f ca="1">IF(Tabela4[[#This Row],[Cabo]]&lt;&gt;"",SUMIFS('Lançamento de Cabos'!$AG:$AG,'Lançamento de Cabos'!AE:AE,Tabela4[[#This Row],[Cabo]],'Lançamento de Cabos'!AJ:AJ,Área!$B$1),"")</f>
        <v/>
      </c>
      <c r="Z232" s="23" t="e">
        <f ca="1">VLOOKUP(Tabela4[[#This Row],[Cabo]],BD!A:AB,28,0)</f>
        <v>#N/A</v>
      </c>
    </row>
    <row r="233" spans="3:26" x14ac:dyDescent="0.25">
      <c r="C233" s="391" t="str">
        <f ca="1">IF($B$1="Geral",Tabela1[[#This Row],[Tag do Cabo]],IFERROR(INDEX(INDIRECT("BD!$A"&amp;D233&amp;":$A100000"),E233,1),""))</f>
        <v/>
      </c>
      <c r="D233" s="391" t="str">
        <f t="shared" ca="1" si="10"/>
        <v/>
      </c>
      <c r="E233" s="391" t="str">
        <f t="shared" ca="1" si="11"/>
        <v/>
      </c>
      <c r="F233" s="23" t="str">
        <f ca="1">IFERROR(VLOOKUP(Tabela4[[#This Row],[Cabo]],BD!A:V,2,0),"")</f>
        <v/>
      </c>
      <c r="G233" s="391" t="str">
        <f ca="1">IFERROR(VLOOKUP(Tabela4[[#This Row],[Cabo]],BD!A:V,5,0),"")</f>
        <v/>
      </c>
      <c r="H233" s="23" t="str">
        <f ca="1">IFERROR(VLOOKUP(Tabela4[[#This Row],[Cabo]],BD!A:V,3,0),"")</f>
        <v/>
      </c>
      <c r="I233" s="23" t="str">
        <f ca="1">IFERROR(VLOOKUP(Tabela4[[#This Row],[Cabo]],BD!A:V,4,0),"")</f>
        <v/>
      </c>
      <c r="J233" s="23" t="str">
        <f ca="1">IFERROR(VLOOKUP(Tabela4[[#This Row],[Cabo]],BD!A:V,7,0),"")</f>
        <v/>
      </c>
      <c r="K23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3" s="23" t="str">
        <f ca="1">IFERROR(VLOOKUP(Tabela4[[#This Row],[Cabo]],BD!A:V,9,0),"")</f>
        <v/>
      </c>
      <c r="M233" s="23" t="str">
        <f ca="1">IFERROR(VLOOKUP(Tabela4[[#This Row],[Cabo]],BD!A:AD,30,0),"")</f>
        <v/>
      </c>
      <c r="N233" s="23" t="str">
        <f ca="1">IF(SUMIF('Lançamento de Cabos'!B:B,Tabela4[[#This Row],[Cabo]],'Lançamento de Cabos'!C:C)=0,"",SUMIF('Lançamento de Cabos'!B:B,Tabela4[[#This Row],[Cabo]],'Lançamento de Cabos'!C:C))</f>
        <v/>
      </c>
      <c r="O233" s="28" t="str">
        <f ca="1">IFERROR(IF(Tabela4[[#This Row],[Compr. Lançado]]/Tabela4[[#This Row],[Compr. Prev.]]&gt;1,1,Tabela4[[#This Row],[Compr. Lançado]]/Tabela4[[#This Row],[Compr. Prev.]]),"")</f>
        <v/>
      </c>
      <c r="P233" s="24" t="str">
        <f ca="1">IFERROR(VLOOKUP(Tabela4[[#This Row],[Cabo]],BD!A:V,11,0),"")</f>
        <v/>
      </c>
      <c r="Q233" s="24" t="str">
        <f ca="1">IFERROR(VLOOKUP(Tabela4[[#This Row],[Cabo]],BD!A:V,12,0),"")</f>
        <v/>
      </c>
      <c r="R23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3" s="23" t="str">
        <f ca="1">IF(Tabela4[[#This Row],[Cabo]]&lt;&gt;"",4-COUNTIF(Tabela4[[#This Row],[Teste de Continuidade]:[Hipot]],"---"),"")</f>
        <v/>
      </c>
      <c r="W233" s="29" t="str">
        <f ca="1">IF(Tabela4[[#This Row],[Cabo]]&lt;&gt;"",(COUNTIF(Tabela4[[#This Row],[Teste de Continuidade]:[Hipot]],"OK"))/(4-COUNTIF(Tabela4[[#This Row],[Teste de Continuidade]:[Hipot]],"---")),"")</f>
        <v/>
      </c>
      <c r="X233" s="23" t="str">
        <f ca="1">IF(Tabela4[[#This Row],[Cabo]]&lt;&gt;"",SUMIFS('Lançamento de Cabos'!$AF:$AF,'Lançamento de Cabos'!AE:AE,Tabela4[[#This Row],[Cabo]],'Lançamento de Cabos'!AJ:AJ,Área!$B$1),"")</f>
        <v/>
      </c>
      <c r="Y233" s="23" t="str">
        <f ca="1">IF(Tabela4[[#This Row],[Cabo]]&lt;&gt;"",SUMIFS('Lançamento de Cabos'!$AG:$AG,'Lançamento de Cabos'!AE:AE,Tabela4[[#This Row],[Cabo]],'Lançamento de Cabos'!AJ:AJ,Área!$B$1),"")</f>
        <v/>
      </c>
      <c r="Z233" s="23" t="e">
        <f ca="1">VLOOKUP(Tabela4[[#This Row],[Cabo]],BD!A:AB,28,0)</f>
        <v>#N/A</v>
      </c>
    </row>
    <row r="234" spans="3:26" x14ac:dyDescent="0.25">
      <c r="C234" s="391" t="str">
        <f ca="1">IF($B$1="Geral",Tabela1[[#This Row],[Tag do Cabo]],IFERROR(INDEX(INDIRECT("BD!$A"&amp;D234&amp;":$A100000"),E234,1),""))</f>
        <v/>
      </c>
      <c r="D234" s="391" t="str">
        <f t="shared" ca="1" si="10"/>
        <v/>
      </c>
      <c r="E234" s="391" t="str">
        <f t="shared" ca="1" si="11"/>
        <v/>
      </c>
      <c r="F234" s="23" t="str">
        <f ca="1">IFERROR(VLOOKUP(Tabela4[[#This Row],[Cabo]],BD!A:V,2,0),"")</f>
        <v/>
      </c>
      <c r="G234" s="391" t="str">
        <f ca="1">IFERROR(VLOOKUP(Tabela4[[#This Row],[Cabo]],BD!A:V,5,0),"")</f>
        <v/>
      </c>
      <c r="H234" s="23" t="str">
        <f ca="1">IFERROR(VLOOKUP(Tabela4[[#This Row],[Cabo]],BD!A:V,3,0),"")</f>
        <v/>
      </c>
      <c r="I234" s="23" t="str">
        <f ca="1">IFERROR(VLOOKUP(Tabela4[[#This Row],[Cabo]],BD!A:V,4,0),"")</f>
        <v/>
      </c>
      <c r="J234" s="23" t="str">
        <f ca="1">IFERROR(VLOOKUP(Tabela4[[#This Row],[Cabo]],BD!A:V,7,0),"")</f>
        <v/>
      </c>
      <c r="K23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4" s="23" t="str">
        <f ca="1">IFERROR(VLOOKUP(Tabela4[[#This Row],[Cabo]],BD!A:V,9,0),"")</f>
        <v/>
      </c>
      <c r="M234" s="23" t="str">
        <f ca="1">IFERROR(VLOOKUP(Tabela4[[#This Row],[Cabo]],BD!A:AD,30,0),"")</f>
        <v/>
      </c>
      <c r="N234" s="23" t="str">
        <f ca="1">IF(SUMIF('Lançamento de Cabos'!B:B,Tabela4[[#This Row],[Cabo]],'Lançamento de Cabos'!C:C)=0,"",SUMIF('Lançamento de Cabos'!B:B,Tabela4[[#This Row],[Cabo]],'Lançamento de Cabos'!C:C))</f>
        <v/>
      </c>
      <c r="O234" s="28" t="str">
        <f ca="1">IFERROR(IF(Tabela4[[#This Row],[Compr. Lançado]]/Tabela4[[#This Row],[Compr. Prev.]]&gt;1,1,Tabela4[[#This Row],[Compr. Lançado]]/Tabela4[[#This Row],[Compr. Prev.]]),"")</f>
        <v/>
      </c>
      <c r="P234" s="24" t="str">
        <f ca="1">IFERROR(VLOOKUP(Tabela4[[#This Row],[Cabo]],BD!A:V,11,0),"")</f>
        <v/>
      </c>
      <c r="Q234" s="24" t="str">
        <f ca="1">IFERROR(VLOOKUP(Tabela4[[#This Row],[Cabo]],BD!A:V,12,0),"")</f>
        <v/>
      </c>
      <c r="R23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4" s="23" t="str">
        <f ca="1">IF(Tabela4[[#This Row],[Cabo]]&lt;&gt;"",4-COUNTIF(Tabela4[[#This Row],[Teste de Continuidade]:[Hipot]],"---"),"")</f>
        <v/>
      </c>
      <c r="W234" s="29" t="str">
        <f ca="1">IF(Tabela4[[#This Row],[Cabo]]&lt;&gt;"",(COUNTIF(Tabela4[[#This Row],[Teste de Continuidade]:[Hipot]],"OK"))/(4-COUNTIF(Tabela4[[#This Row],[Teste de Continuidade]:[Hipot]],"---")),"")</f>
        <v/>
      </c>
      <c r="X234" s="23" t="str">
        <f ca="1">IF(Tabela4[[#This Row],[Cabo]]&lt;&gt;"",SUMIFS('Lançamento de Cabos'!$AF:$AF,'Lançamento de Cabos'!AE:AE,Tabela4[[#This Row],[Cabo]],'Lançamento de Cabos'!AJ:AJ,Área!$B$1),"")</f>
        <v/>
      </c>
      <c r="Y234" s="23" t="str">
        <f ca="1">IF(Tabela4[[#This Row],[Cabo]]&lt;&gt;"",SUMIFS('Lançamento de Cabos'!$AG:$AG,'Lançamento de Cabos'!AE:AE,Tabela4[[#This Row],[Cabo]],'Lançamento de Cabos'!AJ:AJ,Área!$B$1),"")</f>
        <v/>
      </c>
      <c r="Z234" s="23" t="e">
        <f ca="1">VLOOKUP(Tabela4[[#This Row],[Cabo]],BD!A:AB,28,0)</f>
        <v>#N/A</v>
      </c>
    </row>
    <row r="235" spans="3:26" x14ac:dyDescent="0.25">
      <c r="C235" s="391" t="str">
        <f ca="1">IF($B$1="Geral",Tabela1[[#This Row],[Tag do Cabo]],IFERROR(INDEX(INDIRECT("BD!$A"&amp;D235&amp;":$A100000"),E235,1),""))</f>
        <v/>
      </c>
      <c r="D235" s="391" t="str">
        <f t="shared" ref="D235:D298" ca="1" si="12">IFERROR(D234+E234,"")</f>
        <v/>
      </c>
      <c r="E235" s="391" t="str">
        <f t="shared" ref="E235:E298" ca="1" si="13">IFERROR(MATCH($B$1,INDIRECT("BD!$J"&amp;D235&amp;":$J100000"),0),"")</f>
        <v/>
      </c>
      <c r="F235" s="23" t="str">
        <f ca="1">IFERROR(VLOOKUP(Tabela4[[#This Row],[Cabo]],BD!A:V,2,0),"")</f>
        <v/>
      </c>
      <c r="G235" s="391" t="str">
        <f ca="1">IFERROR(VLOOKUP(Tabela4[[#This Row],[Cabo]],BD!A:V,5,0),"")</f>
        <v/>
      </c>
      <c r="H235" s="23" t="str">
        <f ca="1">IFERROR(VLOOKUP(Tabela4[[#This Row],[Cabo]],BD!A:V,3,0),"")</f>
        <v/>
      </c>
      <c r="I235" s="23" t="str">
        <f ca="1">IFERROR(VLOOKUP(Tabela4[[#This Row],[Cabo]],BD!A:V,4,0),"")</f>
        <v/>
      </c>
      <c r="J235" s="23" t="str">
        <f ca="1">IFERROR(VLOOKUP(Tabela4[[#This Row],[Cabo]],BD!A:V,7,0),"")</f>
        <v/>
      </c>
      <c r="K23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5" s="23" t="str">
        <f ca="1">IFERROR(VLOOKUP(Tabela4[[#This Row],[Cabo]],BD!A:V,9,0),"")</f>
        <v/>
      </c>
      <c r="M235" s="23" t="str">
        <f ca="1">IFERROR(VLOOKUP(Tabela4[[#This Row],[Cabo]],BD!A:AD,30,0),"")</f>
        <v/>
      </c>
      <c r="N235" s="23" t="str">
        <f ca="1">IF(SUMIF('Lançamento de Cabos'!B:B,Tabela4[[#This Row],[Cabo]],'Lançamento de Cabos'!C:C)=0,"",SUMIF('Lançamento de Cabos'!B:B,Tabela4[[#This Row],[Cabo]],'Lançamento de Cabos'!C:C))</f>
        <v/>
      </c>
      <c r="O235" s="28" t="str">
        <f ca="1">IFERROR(IF(Tabela4[[#This Row],[Compr. Lançado]]/Tabela4[[#This Row],[Compr. Prev.]]&gt;1,1,Tabela4[[#This Row],[Compr. Lançado]]/Tabela4[[#This Row],[Compr. Prev.]]),"")</f>
        <v/>
      </c>
      <c r="P235" s="24" t="str">
        <f ca="1">IFERROR(VLOOKUP(Tabela4[[#This Row],[Cabo]],BD!A:V,11,0),"")</f>
        <v/>
      </c>
      <c r="Q235" s="24" t="str">
        <f ca="1">IFERROR(VLOOKUP(Tabela4[[#This Row],[Cabo]],BD!A:V,12,0),"")</f>
        <v/>
      </c>
      <c r="R23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5" s="23" t="str">
        <f ca="1">IF(Tabela4[[#This Row],[Cabo]]&lt;&gt;"",4-COUNTIF(Tabela4[[#This Row],[Teste de Continuidade]:[Hipot]],"---"),"")</f>
        <v/>
      </c>
      <c r="W235" s="29" t="str">
        <f ca="1">IF(Tabela4[[#This Row],[Cabo]]&lt;&gt;"",(COUNTIF(Tabela4[[#This Row],[Teste de Continuidade]:[Hipot]],"OK"))/(4-COUNTIF(Tabela4[[#This Row],[Teste de Continuidade]:[Hipot]],"---")),"")</f>
        <v/>
      </c>
      <c r="X235" s="23" t="str">
        <f ca="1">IF(Tabela4[[#This Row],[Cabo]]&lt;&gt;"",SUMIFS('Lançamento de Cabos'!$AF:$AF,'Lançamento de Cabos'!AE:AE,Tabela4[[#This Row],[Cabo]],'Lançamento de Cabos'!AJ:AJ,Área!$B$1),"")</f>
        <v/>
      </c>
      <c r="Y235" s="23" t="str">
        <f ca="1">IF(Tabela4[[#This Row],[Cabo]]&lt;&gt;"",SUMIFS('Lançamento de Cabos'!$AG:$AG,'Lançamento de Cabos'!AE:AE,Tabela4[[#This Row],[Cabo]],'Lançamento de Cabos'!AJ:AJ,Área!$B$1),"")</f>
        <v/>
      </c>
      <c r="Z235" s="23" t="e">
        <f ca="1">VLOOKUP(Tabela4[[#This Row],[Cabo]],BD!A:AB,28,0)</f>
        <v>#N/A</v>
      </c>
    </row>
    <row r="236" spans="3:26" x14ac:dyDescent="0.25">
      <c r="C236" s="391" t="str">
        <f ca="1">IF($B$1="Geral",Tabela1[[#This Row],[Tag do Cabo]],IFERROR(INDEX(INDIRECT("BD!$A"&amp;D236&amp;":$A100000"),E236,1),""))</f>
        <v/>
      </c>
      <c r="D236" s="391" t="str">
        <f t="shared" ca="1" si="12"/>
        <v/>
      </c>
      <c r="E236" s="391" t="str">
        <f t="shared" ca="1" si="13"/>
        <v/>
      </c>
      <c r="F236" s="23" t="str">
        <f ca="1">IFERROR(VLOOKUP(Tabela4[[#This Row],[Cabo]],BD!A:V,2,0),"")</f>
        <v/>
      </c>
      <c r="G236" s="391" t="str">
        <f ca="1">IFERROR(VLOOKUP(Tabela4[[#This Row],[Cabo]],BD!A:V,5,0),"")</f>
        <v/>
      </c>
      <c r="H236" s="23" t="str">
        <f ca="1">IFERROR(VLOOKUP(Tabela4[[#This Row],[Cabo]],BD!A:V,3,0),"")</f>
        <v/>
      </c>
      <c r="I236" s="23" t="str">
        <f ca="1">IFERROR(VLOOKUP(Tabela4[[#This Row],[Cabo]],BD!A:V,4,0),"")</f>
        <v/>
      </c>
      <c r="J236" s="23" t="str">
        <f ca="1">IFERROR(VLOOKUP(Tabela4[[#This Row],[Cabo]],BD!A:V,7,0),"")</f>
        <v/>
      </c>
      <c r="K23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6" s="23" t="str">
        <f ca="1">IFERROR(VLOOKUP(Tabela4[[#This Row],[Cabo]],BD!A:V,9,0),"")</f>
        <v/>
      </c>
      <c r="M236" s="23" t="str">
        <f ca="1">IFERROR(VLOOKUP(Tabela4[[#This Row],[Cabo]],BD!A:AD,30,0),"")</f>
        <v/>
      </c>
      <c r="N236" s="23" t="str">
        <f ca="1">IF(SUMIF('Lançamento de Cabos'!B:B,Tabela4[[#This Row],[Cabo]],'Lançamento de Cabos'!C:C)=0,"",SUMIF('Lançamento de Cabos'!B:B,Tabela4[[#This Row],[Cabo]],'Lançamento de Cabos'!C:C))</f>
        <v/>
      </c>
      <c r="O236" s="28" t="str">
        <f ca="1">IFERROR(IF(Tabela4[[#This Row],[Compr. Lançado]]/Tabela4[[#This Row],[Compr. Prev.]]&gt;1,1,Tabela4[[#This Row],[Compr. Lançado]]/Tabela4[[#This Row],[Compr. Prev.]]),"")</f>
        <v/>
      </c>
      <c r="P236" s="24" t="str">
        <f ca="1">IFERROR(VLOOKUP(Tabela4[[#This Row],[Cabo]],BD!A:V,11,0),"")</f>
        <v/>
      </c>
      <c r="Q236" s="24" t="str">
        <f ca="1">IFERROR(VLOOKUP(Tabela4[[#This Row],[Cabo]],BD!A:V,12,0),"")</f>
        <v/>
      </c>
      <c r="R23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6" s="23" t="str">
        <f ca="1">IF(Tabela4[[#This Row],[Cabo]]&lt;&gt;"",4-COUNTIF(Tabela4[[#This Row],[Teste de Continuidade]:[Hipot]],"---"),"")</f>
        <v/>
      </c>
      <c r="W236" s="29" t="str">
        <f ca="1">IF(Tabela4[[#This Row],[Cabo]]&lt;&gt;"",(COUNTIF(Tabela4[[#This Row],[Teste de Continuidade]:[Hipot]],"OK"))/(4-COUNTIF(Tabela4[[#This Row],[Teste de Continuidade]:[Hipot]],"---")),"")</f>
        <v/>
      </c>
      <c r="X236" s="23" t="str">
        <f ca="1">IF(Tabela4[[#This Row],[Cabo]]&lt;&gt;"",SUMIFS('Lançamento de Cabos'!$AF:$AF,'Lançamento de Cabos'!AE:AE,Tabela4[[#This Row],[Cabo]],'Lançamento de Cabos'!AJ:AJ,Área!$B$1),"")</f>
        <v/>
      </c>
      <c r="Y236" s="23" t="str">
        <f ca="1">IF(Tabela4[[#This Row],[Cabo]]&lt;&gt;"",SUMIFS('Lançamento de Cabos'!$AG:$AG,'Lançamento de Cabos'!AE:AE,Tabela4[[#This Row],[Cabo]],'Lançamento de Cabos'!AJ:AJ,Área!$B$1),"")</f>
        <v/>
      </c>
      <c r="Z236" s="23" t="e">
        <f ca="1">VLOOKUP(Tabela4[[#This Row],[Cabo]],BD!A:AB,28,0)</f>
        <v>#N/A</v>
      </c>
    </row>
    <row r="237" spans="3:26" x14ac:dyDescent="0.25">
      <c r="C237" s="391" t="str">
        <f ca="1">IF($B$1="Geral",Tabela1[[#This Row],[Tag do Cabo]],IFERROR(INDEX(INDIRECT("BD!$A"&amp;D237&amp;":$A100000"),E237,1),""))</f>
        <v/>
      </c>
      <c r="D237" s="391" t="str">
        <f t="shared" ca="1" si="12"/>
        <v/>
      </c>
      <c r="E237" s="391" t="str">
        <f t="shared" ca="1" si="13"/>
        <v/>
      </c>
      <c r="F237" s="23" t="str">
        <f ca="1">IFERROR(VLOOKUP(Tabela4[[#This Row],[Cabo]],BD!A:V,2,0),"")</f>
        <v/>
      </c>
      <c r="G237" s="391" t="str">
        <f ca="1">IFERROR(VLOOKUP(Tabela4[[#This Row],[Cabo]],BD!A:V,5,0),"")</f>
        <v/>
      </c>
      <c r="H237" s="23" t="str">
        <f ca="1">IFERROR(VLOOKUP(Tabela4[[#This Row],[Cabo]],BD!A:V,3,0),"")</f>
        <v/>
      </c>
      <c r="I237" s="23" t="str">
        <f ca="1">IFERROR(VLOOKUP(Tabela4[[#This Row],[Cabo]],BD!A:V,4,0),"")</f>
        <v/>
      </c>
      <c r="J237" s="23" t="str">
        <f ca="1">IFERROR(VLOOKUP(Tabela4[[#This Row],[Cabo]],BD!A:V,7,0),"")</f>
        <v/>
      </c>
      <c r="K23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7" s="23" t="str">
        <f ca="1">IFERROR(VLOOKUP(Tabela4[[#This Row],[Cabo]],BD!A:V,9,0),"")</f>
        <v/>
      </c>
      <c r="M237" s="23" t="str">
        <f ca="1">IFERROR(VLOOKUP(Tabela4[[#This Row],[Cabo]],BD!A:AD,30,0),"")</f>
        <v/>
      </c>
      <c r="N237" s="23" t="str">
        <f ca="1">IF(SUMIF('Lançamento de Cabos'!B:B,Tabela4[[#This Row],[Cabo]],'Lançamento de Cabos'!C:C)=0,"",SUMIF('Lançamento de Cabos'!B:B,Tabela4[[#This Row],[Cabo]],'Lançamento de Cabos'!C:C))</f>
        <v/>
      </c>
      <c r="O237" s="28" t="str">
        <f ca="1">IFERROR(IF(Tabela4[[#This Row],[Compr. Lançado]]/Tabela4[[#This Row],[Compr. Prev.]]&gt;1,1,Tabela4[[#This Row],[Compr. Lançado]]/Tabela4[[#This Row],[Compr. Prev.]]),"")</f>
        <v/>
      </c>
      <c r="P237" s="24" t="str">
        <f ca="1">IFERROR(VLOOKUP(Tabela4[[#This Row],[Cabo]],BD!A:V,11,0),"")</f>
        <v/>
      </c>
      <c r="Q237" s="24" t="str">
        <f ca="1">IFERROR(VLOOKUP(Tabela4[[#This Row],[Cabo]],BD!A:V,12,0),"")</f>
        <v/>
      </c>
      <c r="R23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7" s="23" t="str">
        <f ca="1">IF(Tabela4[[#This Row],[Cabo]]&lt;&gt;"",4-COUNTIF(Tabela4[[#This Row],[Teste de Continuidade]:[Hipot]],"---"),"")</f>
        <v/>
      </c>
      <c r="W237" s="29" t="str">
        <f ca="1">IF(Tabela4[[#This Row],[Cabo]]&lt;&gt;"",(COUNTIF(Tabela4[[#This Row],[Teste de Continuidade]:[Hipot]],"OK"))/(4-COUNTIF(Tabela4[[#This Row],[Teste de Continuidade]:[Hipot]],"---")),"")</f>
        <v/>
      </c>
      <c r="X237" s="23" t="str">
        <f ca="1">IF(Tabela4[[#This Row],[Cabo]]&lt;&gt;"",SUMIFS('Lançamento de Cabos'!$AF:$AF,'Lançamento de Cabos'!AE:AE,Tabela4[[#This Row],[Cabo]],'Lançamento de Cabos'!AJ:AJ,Área!$B$1),"")</f>
        <v/>
      </c>
      <c r="Y237" s="23" t="str">
        <f ca="1">IF(Tabela4[[#This Row],[Cabo]]&lt;&gt;"",SUMIFS('Lançamento de Cabos'!$AG:$AG,'Lançamento de Cabos'!AE:AE,Tabela4[[#This Row],[Cabo]],'Lançamento de Cabos'!AJ:AJ,Área!$B$1),"")</f>
        <v/>
      </c>
      <c r="Z237" s="23" t="e">
        <f ca="1">VLOOKUP(Tabela4[[#This Row],[Cabo]],BD!A:AB,28,0)</f>
        <v>#N/A</v>
      </c>
    </row>
    <row r="238" spans="3:26" x14ac:dyDescent="0.25">
      <c r="C238" s="391" t="str">
        <f ca="1">IF($B$1="Geral",Tabela1[[#This Row],[Tag do Cabo]],IFERROR(INDEX(INDIRECT("BD!$A"&amp;D238&amp;":$A100000"),E238,1),""))</f>
        <v/>
      </c>
      <c r="D238" s="391" t="str">
        <f t="shared" ca="1" si="12"/>
        <v/>
      </c>
      <c r="E238" s="391" t="str">
        <f t="shared" ca="1" si="13"/>
        <v/>
      </c>
      <c r="F238" s="23" t="str">
        <f ca="1">IFERROR(VLOOKUP(Tabela4[[#This Row],[Cabo]],BD!A:V,2,0),"")</f>
        <v/>
      </c>
      <c r="G238" s="391" t="str">
        <f ca="1">IFERROR(VLOOKUP(Tabela4[[#This Row],[Cabo]],BD!A:V,5,0),"")</f>
        <v/>
      </c>
      <c r="H238" s="23" t="str">
        <f ca="1">IFERROR(VLOOKUP(Tabela4[[#This Row],[Cabo]],BD!A:V,3,0),"")</f>
        <v/>
      </c>
      <c r="I238" s="23" t="str">
        <f ca="1">IFERROR(VLOOKUP(Tabela4[[#This Row],[Cabo]],BD!A:V,4,0),"")</f>
        <v/>
      </c>
      <c r="J238" s="23" t="str">
        <f ca="1">IFERROR(VLOOKUP(Tabela4[[#This Row],[Cabo]],BD!A:V,7,0),"")</f>
        <v/>
      </c>
      <c r="K23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8" s="23" t="str">
        <f ca="1">IFERROR(VLOOKUP(Tabela4[[#This Row],[Cabo]],BD!A:V,9,0),"")</f>
        <v/>
      </c>
      <c r="M238" s="23" t="str">
        <f ca="1">IFERROR(VLOOKUP(Tabela4[[#This Row],[Cabo]],BD!A:AD,30,0),"")</f>
        <v/>
      </c>
      <c r="N238" s="23" t="str">
        <f ca="1">IF(SUMIF('Lançamento de Cabos'!B:B,Tabela4[[#This Row],[Cabo]],'Lançamento de Cabos'!C:C)=0,"",SUMIF('Lançamento de Cabos'!B:B,Tabela4[[#This Row],[Cabo]],'Lançamento de Cabos'!C:C))</f>
        <v/>
      </c>
      <c r="O238" s="28" t="str">
        <f ca="1">IFERROR(IF(Tabela4[[#This Row],[Compr. Lançado]]/Tabela4[[#This Row],[Compr. Prev.]]&gt;1,1,Tabela4[[#This Row],[Compr. Lançado]]/Tabela4[[#This Row],[Compr. Prev.]]),"")</f>
        <v/>
      </c>
      <c r="P238" s="24" t="str">
        <f ca="1">IFERROR(VLOOKUP(Tabela4[[#This Row],[Cabo]],BD!A:V,11,0),"")</f>
        <v/>
      </c>
      <c r="Q238" s="24" t="str">
        <f ca="1">IFERROR(VLOOKUP(Tabela4[[#This Row],[Cabo]],BD!A:V,12,0),"")</f>
        <v/>
      </c>
      <c r="R23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8" s="23" t="str">
        <f ca="1">IF(Tabela4[[#This Row],[Cabo]]&lt;&gt;"",4-COUNTIF(Tabela4[[#This Row],[Teste de Continuidade]:[Hipot]],"---"),"")</f>
        <v/>
      </c>
      <c r="W238" s="29" t="str">
        <f ca="1">IF(Tabela4[[#This Row],[Cabo]]&lt;&gt;"",(COUNTIF(Tabela4[[#This Row],[Teste de Continuidade]:[Hipot]],"OK"))/(4-COUNTIF(Tabela4[[#This Row],[Teste de Continuidade]:[Hipot]],"---")),"")</f>
        <v/>
      </c>
      <c r="X238" s="23" t="str">
        <f ca="1">IF(Tabela4[[#This Row],[Cabo]]&lt;&gt;"",SUMIFS('Lançamento de Cabos'!$AF:$AF,'Lançamento de Cabos'!AE:AE,Tabela4[[#This Row],[Cabo]],'Lançamento de Cabos'!AJ:AJ,Área!$B$1),"")</f>
        <v/>
      </c>
      <c r="Y238" s="23" t="str">
        <f ca="1">IF(Tabela4[[#This Row],[Cabo]]&lt;&gt;"",SUMIFS('Lançamento de Cabos'!$AG:$AG,'Lançamento de Cabos'!AE:AE,Tabela4[[#This Row],[Cabo]],'Lançamento de Cabos'!AJ:AJ,Área!$B$1),"")</f>
        <v/>
      </c>
      <c r="Z238" s="23" t="e">
        <f ca="1">VLOOKUP(Tabela4[[#This Row],[Cabo]],BD!A:AB,28,0)</f>
        <v>#N/A</v>
      </c>
    </row>
    <row r="239" spans="3:26" x14ac:dyDescent="0.25">
      <c r="C239" s="391" t="str">
        <f ca="1">IF($B$1="Geral",Tabela1[[#This Row],[Tag do Cabo]],IFERROR(INDEX(INDIRECT("BD!$A"&amp;D239&amp;":$A100000"),E239,1),""))</f>
        <v/>
      </c>
      <c r="D239" s="391" t="str">
        <f t="shared" ca="1" si="12"/>
        <v/>
      </c>
      <c r="E239" s="391" t="str">
        <f t="shared" ca="1" si="13"/>
        <v/>
      </c>
      <c r="F239" s="23" t="str">
        <f ca="1">IFERROR(VLOOKUP(Tabela4[[#This Row],[Cabo]],BD!A:V,2,0),"")</f>
        <v/>
      </c>
      <c r="G239" s="391" t="str">
        <f ca="1">IFERROR(VLOOKUP(Tabela4[[#This Row],[Cabo]],BD!A:V,5,0),"")</f>
        <v/>
      </c>
      <c r="H239" s="23" t="str">
        <f ca="1">IFERROR(VLOOKUP(Tabela4[[#This Row],[Cabo]],BD!A:V,3,0),"")</f>
        <v/>
      </c>
      <c r="I239" s="23" t="str">
        <f ca="1">IFERROR(VLOOKUP(Tabela4[[#This Row],[Cabo]],BD!A:V,4,0),"")</f>
        <v/>
      </c>
      <c r="J239" s="23" t="str">
        <f ca="1">IFERROR(VLOOKUP(Tabela4[[#This Row],[Cabo]],BD!A:V,7,0),"")</f>
        <v/>
      </c>
      <c r="K23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39" s="23" t="str">
        <f ca="1">IFERROR(VLOOKUP(Tabela4[[#This Row],[Cabo]],BD!A:V,9,0),"")</f>
        <v/>
      </c>
      <c r="M239" s="23" t="str">
        <f ca="1">IFERROR(VLOOKUP(Tabela4[[#This Row],[Cabo]],BD!A:AD,30,0),"")</f>
        <v/>
      </c>
      <c r="N239" s="23" t="str">
        <f ca="1">IF(SUMIF('Lançamento de Cabos'!B:B,Tabela4[[#This Row],[Cabo]],'Lançamento de Cabos'!C:C)=0,"",SUMIF('Lançamento de Cabos'!B:B,Tabela4[[#This Row],[Cabo]],'Lançamento de Cabos'!C:C))</f>
        <v/>
      </c>
      <c r="O239" s="28" t="str">
        <f ca="1">IFERROR(IF(Tabela4[[#This Row],[Compr. Lançado]]/Tabela4[[#This Row],[Compr. Prev.]]&gt;1,1,Tabela4[[#This Row],[Compr. Lançado]]/Tabela4[[#This Row],[Compr. Prev.]]),"")</f>
        <v/>
      </c>
      <c r="P239" s="24" t="str">
        <f ca="1">IFERROR(VLOOKUP(Tabela4[[#This Row],[Cabo]],BD!A:V,11,0),"")</f>
        <v/>
      </c>
      <c r="Q239" s="24" t="str">
        <f ca="1">IFERROR(VLOOKUP(Tabela4[[#This Row],[Cabo]],BD!A:V,12,0),"")</f>
        <v/>
      </c>
      <c r="R23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3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3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3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39" s="23" t="str">
        <f ca="1">IF(Tabela4[[#This Row],[Cabo]]&lt;&gt;"",4-COUNTIF(Tabela4[[#This Row],[Teste de Continuidade]:[Hipot]],"---"),"")</f>
        <v/>
      </c>
      <c r="W239" s="29" t="str">
        <f ca="1">IF(Tabela4[[#This Row],[Cabo]]&lt;&gt;"",(COUNTIF(Tabela4[[#This Row],[Teste de Continuidade]:[Hipot]],"OK"))/(4-COUNTIF(Tabela4[[#This Row],[Teste de Continuidade]:[Hipot]],"---")),"")</f>
        <v/>
      </c>
      <c r="X239" s="23" t="str">
        <f ca="1">IF(Tabela4[[#This Row],[Cabo]]&lt;&gt;"",SUMIFS('Lançamento de Cabos'!$AF:$AF,'Lançamento de Cabos'!AE:AE,Tabela4[[#This Row],[Cabo]],'Lançamento de Cabos'!AJ:AJ,Área!$B$1),"")</f>
        <v/>
      </c>
      <c r="Y239" s="23" t="str">
        <f ca="1">IF(Tabela4[[#This Row],[Cabo]]&lt;&gt;"",SUMIFS('Lançamento de Cabos'!$AG:$AG,'Lançamento de Cabos'!AE:AE,Tabela4[[#This Row],[Cabo]],'Lançamento de Cabos'!AJ:AJ,Área!$B$1),"")</f>
        <v/>
      </c>
      <c r="Z239" s="23" t="e">
        <f ca="1">VLOOKUP(Tabela4[[#This Row],[Cabo]],BD!A:AB,28,0)</f>
        <v>#N/A</v>
      </c>
    </row>
    <row r="240" spans="3:26" x14ac:dyDescent="0.25">
      <c r="C240" s="391" t="str">
        <f ca="1">IF($B$1="Geral",Tabela1[[#This Row],[Tag do Cabo]],IFERROR(INDEX(INDIRECT("BD!$A"&amp;D240&amp;":$A100000"),E240,1),""))</f>
        <v/>
      </c>
      <c r="D240" s="391" t="str">
        <f t="shared" ca="1" si="12"/>
        <v/>
      </c>
      <c r="E240" s="391" t="str">
        <f t="shared" ca="1" si="13"/>
        <v/>
      </c>
      <c r="F240" s="23" t="str">
        <f ca="1">IFERROR(VLOOKUP(Tabela4[[#This Row],[Cabo]],BD!A:V,2,0),"")</f>
        <v/>
      </c>
      <c r="G240" s="391" t="str">
        <f ca="1">IFERROR(VLOOKUP(Tabela4[[#This Row],[Cabo]],BD!A:V,5,0),"")</f>
        <v/>
      </c>
      <c r="H240" s="23" t="str">
        <f ca="1">IFERROR(VLOOKUP(Tabela4[[#This Row],[Cabo]],BD!A:V,3,0),"")</f>
        <v/>
      </c>
      <c r="I240" s="23" t="str">
        <f ca="1">IFERROR(VLOOKUP(Tabela4[[#This Row],[Cabo]],BD!A:V,4,0),"")</f>
        <v/>
      </c>
      <c r="J240" s="23" t="str">
        <f ca="1">IFERROR(VLOOKUP(Tabela4[[#This Row],[Cabo]],BD!A:V,7,0),"")</f>
        <v/>
      </c>
      <c r="K24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0" s="23" t="str">
        <f ca="1">IFERROR(VLOOKUP(Tabela4[[#This Row],[Cabo]],BD!A:V,9,0),"")</f>
        <v/>
      </c>
      <c r="M240" s="23" t="str">
        <f ca="1">IFERROR(VLOOKUP(Tabela4[[#This Row],[Cabo]],BD!A:AD,30,0),"")</f>
        <v/>
      </c>
      <c r="N240" s="23" t="str">
        <f ca="1">IF(SUMIF('Lançamento de Cabos'!B:B,Tabela4[[#This Row],[Cabo]],'Lançamento de Cabos'!C:C)=0,"",SUMIF('Lançamento de Cabos'!B:B,Tabela4[[#This Row],[Cabo]],'Lançamento de Cabos'!C:C))</f>
        <v/>
      </c>
      <c r="O240" s="28" t="str">
        <f ca="1">IFERROR(IF(Tabela4[[#This Row],[Compr. Lançado]]/Tabela4[[#This Row],[Compr. Prev.]]&gt;1,1,Tabela4[[#This Row],[Compr. Lançado]]/Tabela4[[#This Row],[Compr. Prev.]]),"")</f>
        <v/>
      </c>
      <c r="P240" s="24" t="str">
        <f ca="1">IFERROR(VLOOKUP(Tabela4[[#This Row],[Cabo]],BD!A:V,11,0),"")</f>
        <v/>
      </c>
      <c r="Q240" s="24" t="str">
        <f ca="1">IFERROR(VLOOKUP(Tabela4[[#This Row],[Cabo]],BD!A:V,12,0),"")</f>
        <v/>
      </c>
      <c r="R24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0" s="23" t="str">
        <f ca="1">IF(Tabela4[[#This Row],[Cabo]]&lt;&gt;"",4-COUNTIF(Tabela4[[#This Row],[Teste de Continuidade]:[Hipot]],"---"),"")</f>
        <v/>
      </c>
      <c r="W240" s="29" t="str">
        <f ca="1">IF(Tabela4[[#This Row],[Cabo]]&lt;&gt;"",(COUNTIF(Tabela4[[#This Row],[Teste de Continuidade]:[Hipot]],"OK"))/(4-COUNTIF(Tabela4[[#This Row],[Teste de Continuidade]:[Hipot]],"---")),"")</f>
        <v/>
      </c>
      <c r="X240" s="23" t="str">
        <f ca="1">IF(Tabela4[[#This Row],[Cabo]]&lt;&gt;"",SUMIFS('Lançamento de Cabos'!$AF:$AF,'Lançamento de Cabos'!AE:AE,Tabela4[[#This Row],[Cabo]],'Lançamento de Cabos'!AJ:AJ,Área!$B$1),"")</f>
        <v/>
      </c>
      <c r="Y240" s="23" t="str">
        <f ca="1">IF(Tabela4[[#This Row],[Cabo]]&lt;&gt;"",SUMIFS('Lançamento de Cabos'!$AG:$AG,'Lançamento de Cabos'!AE:AE,Tabela4[[#This Row],[Cabo]],'Lançamento de Cabos'!AJ:AJ,Área!$B$1),"")</f>
        <v/>
      </c>
      <c r="Z240" s="23" t="e">
        <f ca="1">VLOOKUP(Tabela4[[#This Row],[Cabo]],BD!A:AB,28,0)</f>
        <v>#N/A</v>
      </c>
    </row>
    <row r="241" spans="3:26" x14ac:dyDescent="0.25">
      <c r="C241" s="391" t="str">
        <f ca="1">IF($B$1="Geral",Tabela1[[#This Row],[Tag do Cabo]],IFERROR(INDEX(INDIRECT("BD!$A"&amp;D241&amp;":$A100000"),E241,1),""))</f>
        <v/>
      </c>
      <c r="D241" s="391" t="str">
        <f t="shared" ca="1" si="12"/>
        <v/>
      </c>
      <c r="E241" s="391" t="str">
        <f t="shared" ca="1" si="13"/>
        <v/>
      </c>
      <c r="F241" s="23" t="str">
        <f ca="1">IFERROR(VLOOKUP(Tabela4[[#This Row],[Cabo]],BD!A:V,2,0),"")</f>
        <v/>
      </c>
      <c r="G241" s="391" t="str">
        <f ca="1">IFERROR(VLOOKUP(Tabela4[[#This Row],[Cabo]],BD!A:V,5,0),"")</f>
        <v/>
      </c>
      <c r="H241" s="23" t="str">
        <f ca="1">IFERROR(VLOOKUP(Tabela4[[#This Row],[Cabo]],BD!A:V,3,0),"")</f>
        <v/>
      </c>
      <c r="I241" s="23" t="str">
        <f ca="1">IFERROR(VLOOKUP(Tabela4[[#This Row],[Cabo]],BD!A:V,4,0),"")</f>
        <v/>
      </c>
      <c r="J241" s="23" t="str">
        <f ca="1">IFERROR(VLOOKUP(Tabela4[[#This Row],[Cabo]],BD!A:V,7,0),"")</f>
        <v/>
      </c>
      <c r="K24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1" s="23" t="str">
        <f ca="1">IFERROR(VLOOKUP(Tabela4[[#This Row],[Cabo]],BD!A:V,9,0),"")</f>
        <v/>
      </c>
      <c r="M241" s="23" t="str">
        <f ca="1">IFERROR(VLOOKUP(Tabela4[[#This Row],[Cabo]],BD!A:AD,30,0),"")</f>
        <v/>
      </c>
      <c r="N241" s="23" t="str">
        <f ca="1">IF(SUMIF('Lançamento de Cabos'!B:B,Tabela4[[#This Row],[Cabo]],'Lançamento de Cabos'!C:C)=0,"",SUMIF('Lançamento de Cabos'!B:B,Tabela4[[#This Row],[Cabo]],'Lançamento de Cabos'!C:C))</f>
        <v/>
      </c>
      <c r="O241" s="28" t="str">
        <f ca="1">IFERROR(IF(Tabela4[[#This Row],[Compr. Lançado]]/Tabela4[[#This Row],[Compr. Prev.]]&gt;1,1,Tabela4[[#This Row],[Compr. Lançado]]/Tabela4[[#This Row],[Compr. Prev.]]),"")</f>
        <v/>
      </c>
      <c r="P241" s="24" t="str">
        <f ca="1">IFERROR(VLOOKUP(Tabela4[[#This Row],[Cabo]],BD!A:V,11,0),"")</f>
        <v/>
      </c>
      <c r="Q241" s="24" t="str">
        <f ca="1">IFERROR(VLOOKUP(Tabela4[[#This Row],[Cabo]],BD!A:V,12,0),"")</f>
        <v/>
      </c>
      <c r="R24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1" s="23" t="str">
        <f ca="1">IF(Tabela4[[#This Row],[Cabo]]&lt;&gt;"",4-COUNTIF(Tabela4[[#This Row],[Teste de Continuidade]:[Hipot]],"---"),"")</f>
        <v/>
      </c>
      <c r="W241" s="29" t="str">
        <f ca="1">IF(Tabela4[[#This Row],[Cabo]]&lt;&gt;"",(COUNTIF(Tabela4[[#This Row],[Teste de Continuidade]:[Hipot]],"OK"))/(4-COUNTIF(Tabela4[[#This Row],[Teste de Continuidade]:[Hipot]],"---")),"")</f>
        <v/>
      </c>
      <c r="X241" s="23" t="str">
        <f ca="1">IF(Tabela4[[#This Row],[Cabo]]&lt;&gt;"",SUMIFS('Lançamento de Cabos'!$AF:$AF,'Lançamento de Cabos'!AE:AE,Tabela4[[#This Row],[Cabo]],'Lançamento de Cabos'!AJ:AJ,Área!$B$1),"")</f>
        <v/>
      </c>
      <c r="Y241" s="23" t="str">
        <f ca="1">IF(Tabela4[[#This Row],[Cabo]]&lt;&gt;"",SUMIFS('Lançamento de Cabos'!$AG:$AG,'Lançamento de Cabos'!AE:AE,Tabela4[[#This Row],[Cabo]],'Lançamento de Cabos'!AJ:AJ,Área!$B$1),"")</f>
        <v/>
      </c>
      <c r="Z241" s="23" t="e">
        <f ca="1">VLOOKUP(Tabela4[[#This Row],[Cabo]],BD!A:AB,28,0)</f>
        <v>#N/A</v>
      </c>
    </row>
    <row r="242" spans="3:26" x14ac:dyDescent="0.25">
      <c r="C242" s="391" t="str">
        <f ca="1">IF($B$1="Geral",Tabela1[[#This Row],[Tag do Cabo]],IFERROR(INDEX(INDIRECT("BD!$A"&amp;D242&amp;":$A100000"),E242,1),""))</f>
        <v/>
      </c>
      <c r="D242" s="391" t="str">
        <f t="shared" ca="1" si="12"/>
        <v/>
      </c>
      <c r="E242" s="391" t="str">
        <f t="shared" ca="1" si="13"/>
        <v/>
      </c>
      <c r="F242" s="23" t="str">
        <f ca="1">IFERROR(VLOOKUP(Tabela4[[#This Row],[Cabo]],BD!A:V,2,0),"")</f>
        <v/>
      </c>
      <c r="G242" s="391" t="str">
        <f ca="1">IFERROR(VLOOKUP(Tabela4[[#This Row],[Cabo]],BD!A:V,5,0),"")</f>
        <v/>
      </c>
      <c r="H242" s="23" t="str">
        <f ca="1">IFERROR(VLOOKUP(Tabela4[[#This Row],[Cabo]],BD!A:V,3,0),"")</f>
        <v/>
      </c>
      <c r="I242" s="23" t="str">
        <f ca="1">IFERROR(VLOOKUP(Tabela4[[#This Row],[Cabo]],BD!A:V,4,0),"")</f>
        <v/>
      </c>
      <c r="J242" s="23" t="str">
        <f ca="1">IFERROR(VLOOKUP(Tabela4[[#This Row],[Cabo]],BD!A:V,7,0),"")</f>
        <v/>
      </c>
      <c r="K24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2" s="23" t="str">
        <f ca="1">IFERROR(VLOOKUP(Tabela4[[#This Row],[Cabo]],BD!A:V,9,0),"")</f>
        <v/>
      </c>
      <c r="M242" s="23" t="str">
        <f ca="1">IFERROR(VLOOKUP(Tabela4[[#This Row],[Cabo]],BD!A:AD,30,0),"")</f>
        <v/>
      </c>
      <c r="N242" s="23" t="str">
        <f ca="1">IF(SUMIF('Lançamento de Cabos'!B:B,Tabela4[[#This Row],[Cabo]],'Lançamento de Cabos'!C:C)=0,"",SUMIF('Lançamento de Cabos'!B:B,Tabela4[[#This Row],[Cabo]],'Lançamento de Cabos'!C:C))</f>
        <v/>
      </c>
      <c r="O242" s="28" t="str">
        <f ca="1">IFERROR(IF(Tabela4[[#This Row],[Compr. Lançado]]/Tabela4[[#This Row],[Compr. Prev.]]&gt;1,1,Tabela4[[#This Row],[Compr. Lançado]]/Tabela4[[#This Row],[Compr. Prev.]]),"")</f>
        <v/>
      </c>
      <c r="P242" s="24" t="str">
        <f ca="1">IFERROR(VLOOKUP(Tabela4[[#This Row],[Cabo]],BD!A:V,11,0),"")</f>
        <v/>
      </c>
      <c r="Q242" s="24" t="str">
        <f ca="1">IFERROR(VLOOKUP(Tabela4[[#This Row],[Cabo]],BD!A:V,12,0),"")</f>
        <v/>
      </c>
      <c r="R24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2" s="23" t="str">
        <f ca="1">IF(Tabela4[[#This Row],[Cabo]]&lt;&gt;"",4-COUNTIF(Tabela4[[#This Row],[Teste de Continuidade]:[Hipot]],"---"),"")</f>
        <v/>
      </c>
      <c r="W242" s="29" t="str">
        <f ca="1">IF(Tabela4[[#This Row],[Cabo]]&lt;&gt;"",(COUNTIF(Tabela4[[#This Row],[Teste de Continuidade]:[Hipot]],"OK"))/(4-COUNTIF(Tabela4[[#This Row],[Teste de Continuidade]:[Hipot]],"---")),"")</f>
        <v/>
      </c>
      <c r="X242" s="23" t="str">
        <f ca="1">IF(Tabela4[[#This Row],[Cabo]]&lt;&gt;"",SUMIFS('Lançamento de Cabos'!$AF:$AF,'Lançamento de Cabos'!AE:AE,Tabela4[[#This Row],[Cabo]],'Lançamento de Cabos'!AJ:AJ,Área!$B$1),"")</f>
        <v/>
      </c>
      <c r="Y242" s="23" t="str">
        <f ca="1">IF(Tabela4[[#This Row],[Cabo]]&lt;&gt;"",SUMIFS('Lançamento de Cabos'!$AG:$AG,'Lançamento de Cabos'!AE:AE,Tabela4[[#This Row],[Cabo]],'Lançamento de Cabos'!AJ:AJ,Área!$B$1),"")</f>
        <v/>
      </c>
      <c r="Z242" s="23" t="e">
        <f ca="1">VLOOKUP(Tabela4[[#This Row],[Cabo]],BD!A:AB,28,0)</f>
        <v>#N/A</v>
      </c>
    </row>
    <row r="243" spans="3:26" x14ac:dyDescent="0.25">
      <c r="C243" s="391" t="str">
        <f ca="1">IF($B$1="Geral",Tabela1[[#This Row],[Tag do Cabo]],IFERROR(INDEX(INDIRECT("BD!$A"&amp;D243&amp;":$A100000"),E243,1),""))</f>
        <v/>
      </c>
      <c r="D243" s="391" t="str">
        <f t="shared" ca="1" si="12"/>
        <v/>
      </c>
      <c r="E243" s="391" t="str">
        <f t="shared" ca="1" si="13"/>
        <v/>
      </c>
      <c r="F243" s="23" t="str">
        <f ca="1">IFERROR(VLOOKUP(Tabela4[[#This Row],[Cabo]],BD!A:V,2,0),"")</f>
        <v/>
      </c>
      <c r="G243" s="391" t="str">
        <f ca="1">IFERROR(VLOOKUP(Tabela4[[#This Row],[Cabo]],BD!A:V,5,0),"")</f>
        <v/>
      </c>
      <c r="H243" s="23" t="str">
        <f ca="1">IFERROR(VLOOKUP(Tabela4[[#This Row],[Cabo]],BD!A:V,3,0),"")</f>
        <v/>
      </c>
      <c r="I243" s="23" t="str">
        <f ca="1">IFERROR(VLOOKUP(Tabela4[[#This Row],[Cabo]],BD!A:V,4,0),"")</f>
        <v/>
      </c>
      <c r="J243" s="23" t="str">
        <f ca="1">IFERROR(VLOOKUP(Tabela4[[#This Row],[Cabo]],BD!A:V,7,0),"")</f>
        <v/>
      </c>
      <c r="K24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3" s="23" t="str">
        <f ca="1">IFERROR(VLOOKUP(Tabela4[[#This Row],[Cabo]],BD!A:V,9,0),"")</f>
        <v/>
      </c>
      <c r="M243" s="23" t="str">
        <f ca="1">IFERROR(VLOOKUP(Tabela4[[#This Row],[Cabo]],BD!A:AD,30,0),"")</f>
        <v/>
      </c>
      <c r="N243" s="23" t="str">
        <f ca="1">IF(SUMIF('Lançamento de Cabos'!B:B,Tabela4[[#This Row],[Cabo]],'Lançamento de Cabos'!C:C)=0,"",SUMIF('Lançamento de Cabos'!B:B,Tabela4[[#This Row],[Cabo]],'Lançamento de Cabos'!C:C))</f>
        <v/>
      </c>
      <c r="O243" s="28" t="str">
        <f ca="1">IFERROR(IF(Tabela4[[#This Row],[Compr. Lançado]]/Tabela4[[#This Row],[Compr. Prev.]]&gt;1,1,Tabela4[[#This Row],[Compr. Lançado]]/Tabela4[[#This Row],[Compr. Prev.]]),"")</f>
        <v/>
      </c>
      <c r="P243" s="24" t="str">
        <f ca="1">IFERROR(VLOOKUP(Tabela4[[#This Row],[Cabo]],BD!A:V,11,0),"")</f>
        <v/>
      </c>
      <c r="Q243" s="24" t="str">
        <f ca="1">IFERROR(VLOOKUP(Tabela4[[#This Row],[Cabo]],BD!A:V,12,0),"")</f>
        <v/>
      </c>
      <c r="R24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3" s="23" t="str">
        <f ca="1">IF(Tabela4[[#This Row],[Cabo]]&lt;&gt;"",4-COUNTIF(Tabela4[[#This Row],[Teste de Continuidade]:[Hipot]],"---"),"")</f>
        <v/>
      </c>
      <c r="W243" s="29" t="str">
        <f ca="1">IF(Tabela4[[#This Row],[Cabo]]&lt;&gt;"",(COUNTIF(Tabela4[[#This Row],[Teste de Continuidade]:[Hipot]],"OK"))/(4-COUNTIF(Tabela4[[#This Row],[Teste de Continuidade]:[Hipot]],"---")),"")</f>
        <v/>
      </c>
      <c r="X243" s="23" t="str">
        <f ca="1">IF(Tabela4[[#This Row],[Cabo]]&lt;&gt;"",SUMIFS('Lançamento de Cabos'!$AF:$AF,'Lançamento de Cabos'!AE:AE,Tabela4[[#This Row],[Cabo]],'Lançamento de Cabos'!AJ:AJ,Área!$B$1),"")</f>
        <v/>
      </c>
      <c r="Y243" s="23" t="str">
        <f ca="1">IF(Tabela4[[#This Row],[Cabo]]&lt;&gt;"",SUMIFS('Lançamento de Cabos'!$AG:$AG,'Lançamento de Cabos'!AE:AE,Tabela4[[#This Row],[Cabo]],'Lançamento de Cabos'!AJ:AJ,Área!$B$1),"")</f>
        <v/>
      </c>
      <c r="Z243" s="23" t="e">
        <f ca="1">VLOOKUP(Tabela4[[#This Row],[Cabo]],BD!A:AB,28,0)</f>
        <v>#N/A</v>
      </c>
    </row>
    <row r="244" spans="3:26" x14ac:dyDescent="0.25">
      <c r="C244" s="391" t="str">
        <f ca="1">IF($B$1="Geral",Tabela1[[#This Row],[Tag do Cabo]],IFERROR(INDEX(INDIRECT("BD!$A"&amp;D244&amp;":$A100000"),E244,1),""))</f>
        <v/>
      </c>
      <c r="D244" s="391" t="str">
        <f t="shared" ca="1" si="12"/>
        <v/>
      </c>
      <c r="E244" s="391" t="str">
        <f t="shared" ca="1" si="13"/>
        <v/>
      </c>
      <c r="F244" s="23" t="str">
        <f ca="1">IFERROR(VLOOKUP(Tabela4[[#This Row],[Cabo]],BD!A:V,2,0),"")</f>
        <v/>
      </c>
      <c r="G244" s="391" t="str">
        <f ca="1">IFERROR(VLOOKUP(Tabela4[[#This Row],[Cabo]],BD!A:V,5,0),"")</f>
        <v/>
      </c>
      <c r="H244" s="23" t="str">
        <f ca="1">IFERROR(VLOOKUP(Tabela4[[#This Row],[Cabo]],BD!A:V,3,0),"")</f>
        <v/>
      </c>
      <c r="I244" s="23" t="str">
        <f ca="1">IFERROR(VLOOKUP(Tabela4[[#This Row],[Cabo]],BD!A:V,4,0),"")</f>
        <v/>
      </c>
      <c r="J244" s="23" t="str">
        <f ca="1">IFERROR(VLOOKUP(Tabela4[[#This Row],[Cabo]],BD!A:V,7,0),"")</f>
        <v/>
      </c>
      <c r="K24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4" s="23" t="str">
        <f ca="1">IFERROR(VLOOKUP(Tabela4[[#This Row],[Cabo]],BD!A:V,9,0),"")</f>
        <v/>
      </c>
      <c r="M244" s="23" t="str">
        <f ca="1">IFERROR(VLOOKUP(Tabela4[[#This Row],[Cabo]],BD!A:AD,30,0),"")</f>
        <v/>
      </c>
      <c r="N244" s="23" t="str">
        <f ca="1">IF(SUMIF('Lançamento de Cabos'!B:B,Tabela4[[#This Row],[Cabo]],'Lançamento de Cabos'!C:C)=0,"",SUMIF('Lançamento de Cabos'!B:B,Tabela4[[#This Row],[Cabo]],'Lançamento de Cabos'!C:C))</f>
        <v/>
      </c>
      <c r="O244" s="28" t="str">
        <f ca="1">IFERROR(IF(Tabela4[[#This Row],[Compr. Lançado]]/Tabela4[[#This Row],[Compr. Prev.]]&gt;1,1,Tabela4[[#This Row],[Compr. Lançado]]/Tabela4[[#This Row],[Compr. Prev.]]),"")</f>
        <v/>
      </c>
      <c r="P244" s="24" t="str">
        <f ca="1">IFERROR(VLOOKUP(Tabela4[[#This Row],[Cabo]],BD!A:V,11,0),"")</f>
        <v/>
      </c>
      <c r="Q244" s="24" t="str">
        <f ca="1">IFERROR(VLOOKUP(Tabela4[[#This Row],[Cabo]],BD!A:V,12,0),"")</f>
        <v/>
      </c>
      <c r="R24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4" s="23" t="str">
        <f ca="1">IF(Tabela4[[#This Row],[Cabo]]&lt;&gt;"",4-COUNTIF(Tabela4[[#This Row],[Teste de Continuidade]:[Hipot]],"---"),"")</f>
        <v/>
      </c>
      <c r="W244" s="29" t="str">
        <f ca="1">IF(Tabela4[[#This Row],[Cabo]]&lt;&gt;"",(COUNTIF(Tabela4[[#This Row],[Teste de Continuidade]:[Hipot]],"OK"))/(4-COUNTIF(Tabela4[[#This Row],[Teste de Continuidade]:[Hipot]],"---")),"")</f>
        <v/>
      </c>
      <c r="X244" s="23" t="str">
        <f ca="1">IF(Tabela4[[#This Row],[Cabo]]&lt;&gt;"",SUMIFS('Lançamento de Cabos'!$AF:$AF,'Lançamento de Cabos'!AE:AE,Tabela4[[#This Row],[Cabo]],'Lançamento de Cabos'!AJ:AJ,Área!$B$1),"")</f>
        <v/>
      </c>
      <c r="Y244" s="23" t="str">
        <f ca="1">IF(Tabela4[[#This Row],[Cabo]]&lt;&gt;"",SUMIFS('Lançamento de Cabos'!$AG:$AG,'Lançamento de Cabos'!AE:AE,Tabela4[[#This Row],[Cabo]],'Lançamento de Cabos'!AJ:AJ,Área!$B$1),"")</f>
        <v/>
      </c>
      <c r="Z244" s="23" t="e">
        <f ca="1">VLOOKUP(Tabela4[[#This Row],[Cabo]],BD!A:AB,28,0)</f>
        <v>#N/A</v>
      </c>
    </row>
    <row r="245" spans="3:26" x14ac:dyDescent="0.25">
      <c r="C245" s="391" t="str">
        <f ca="1">IF($B$1="Geral",Tabela1[[#This Row],[Tag do Cabo]],IFERROR(INDEX(INDIRECT("BD!$A"&amp;D245&amp;":$A100000"),E245,1),""))</f>
        <v/>
      </c>
      <c r="D245" s="391" t="str">
        <f t="shared" ca="1" si="12"/>
        <v/>
      </c>
      <c r="E245" s="391" t="str">
        <f t="shared" ca="1" si="13"/>
        <v/>
      </c>
      <c r="F245" s="23" t="str">
        <f ca="1">IFERROR(VLOOKUP(Tabela4[[#This Row],[Cabo]],BD!A:V,2,0),"")</f>
        <v/>
      </c>
      <c r="G245" s="391" t="str">
        <f ca="1">IFERROR(VLOOKUP(Tabela4[[#This Row],[Cabo]],BD!A:V,5,0),"")</f>
        <v/>
      </c>
      <c r="H245" s="23" t="str">
        <f ca="1">IFERROR(VLOOKUP(Tabela4[[#This Row],[Cabo]],BD!A:V,3,0),"")</f>
        <v/>
      </c>
      <c r="I245" s="23" t="str">
        <f ca="1">IFERROR(VLOOKUP(Tabela4[[#This Row],[Cabo]],BD!A:V,4,0),"")</f>
        <v/>
      </c>
      <c r="J245" s="23" t="str">
        <f ca="1">IFERROR(VLOOKUP(Tabela4[[#This Row],[Cabo]],BD!A:V,7,0),"")</f>
        <v/>
      </c>
      <c r="K24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5" s="23" t="str">
        <f ca="1">IFERROR(VLOOKUP(Tabela4[[#This Row],[Cabo]],BD!A:V,9,0),"")</f>
        <v/>
      </c>
      <c r="M245" s="23" t="str">
        <f ca="1">IFERROR(VLOOKUP(Tabela4[[#This Row],[Cabo]],BD!A:AD,30,0),"")</f>
        <v/>
      </c>
      <c r="N245" s="23" t="str">
        <f ca="1">IF(SUMIF('Lançamento de Cabos'!B:B,Tabela4[[#This Row],[Cabo]],'Lançamento de Cabos'!C:C)=0,"",SUMIF('Lançamento de Cabos'!B:B,Tabela4[[#This Row],[Cabo]],'Lançamento de Cabos'!C:C))</f>
        <v/>
      </c>
      <c r="O245" s="28" t="str">
        <f ca="1">IFERROR(IF(Tabela4[[#This Row],[Compr. Lançado]]/Tabela4[[#This Row],[Compr. Prev.]]&gt;1,1,Tabela4[[#This Row],[Compr. Lançado]]/Tabela4[[#This Row],[Compr. Prev.]]),"")</f>
        <v/>
      </c>
      <c r="P245" s="24" t="str">
        <f ca="1">IFERROR(VLOOKUP(Tabela4[[#This Row],[Cabo]],BD!A:V,11,0),"")</f>
        <v/>
      </c>
      <c r="Q245" s="24" t="str">
        <f ca="1">IFERROR(VLOOKUP(Tabela4[[#This Row],[Cabo]],BD!A:V,12,0),"")</f>
        <v/>
      </c>
      <c r="R24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5" s="23" t="str">
        <f ca="1">IF(Tabela4[[#This Row],[Cabo]]&lt;&gt;"",4-COUNTIF(Tabela4[[#This Row],[Teste de Continuidade]:[Hipot]],"---"),"")</f>
        <v/>
      </c>
      <c r="W245" s="29" t="str">
        <f ca="1">IF(Tabela4[[#This Row],[Cabo]]&lt;&gt;"",(COUNTIF(Tabela4[[#This Row],[Teste de Continuidade]:[Hipot]],"OK"))/(4-COUNTIF(Tabela4[[#This Row],[Teste de Continuidade]:[Hipot]],"---")),"")</f>
        <v/>
      </c>
      <c r="X245" s="23" t="str">
        <f ca="1">IF(Tabela4[[#This Row],[Cabo]]&lt;&gt;"",SUMIFS('Lançamento de Cabos'!$AF:$AF,'Lançamento de Cabos'!AE:AE,Tabela4[[#This Row],[Cabo]],'Lançamento de Cabos'!AJ:AJ,Área!$B$1),"")</f>
        <v/>
      </c>
      <c r="Y245" s="23" t="str">
        <f ca="1">IF(Tabela4[[#This Row],[Cabo]]&lt;&gt;"",SUMIFS('Lançamento de Cabos'!$AG:$AG,'Lançamento de Cabos'!AE:AE,Tabela4[[#This Row],[Cabo]],'Lançamento de Cabos'!AJ:AJ,Área!$B$1),"")</f>
        <v/>
      </c>
      <c r="Z245" s="23" t="e">
        <f ca="1">VLOOKUP(Tabela4[[#This Row],[Cabo]],BD!A:AB,28,0)</f>
        <v>#N/A</v>
      </c>
    </row>
    <row r="246" spans="3:26" x14ac:dyDescent="0.25">
      <c r="C246" s="391" t="str">
        <f ca="1">IF($B$1="Geral",Tabela1[[#This Row],[Tag do Cabo]],IFERROR(INDEX(INDIRECT("BD!$A"&amp;D246&amp;":$A100000"),E246,1),""))</f>
        <v/>
      </c>
      <c r="D246" s="391" t="str">
        <f t="shared" ca="1" si="12"/>
        <v/>
      </c>
      <c r="E246" s="391" t="str">
        <f t="shared" ca="1" si="13"/>
        <v/>
      </c>
      <c r="F246" s="23" t="str">
        <f ca="1">IFERROR(VLOOKUP(Tabela4[[#This Row],[Cabo]],BD!A:V,2,0),"")</f>
        <v/>
      </c>
      <c r="G246" s="391" t="str">
        <f ca="1">IFERROR(VLOOKUP(Tabela4[[#This Row],[Cabo]],BD!A:V,5,0),"")</f>
        <v/>
      </c>
      <c r="H246" s="23" t="str">
        <f ca="1">IFERROR(VLOOKUP(Tabela4[[#This Row],[Cabo]],BD!A:V,3,0),"")</f>
        <v/>
      </c>
      <c r="I246" s="23" t="str">
        <f ca="1">IFERROR(VLOOKUP(Tabela4[[#This Row],[Cabo]],BD!A:V,4,0),"")</f>
        <v/>
      </c>
      <c r="J246" s="23" t="str">
        <f ca="1">IFERROR(VLOOKUP(Tabela4[[#This Row],[Cabo]],BD!A:V,7,0),"")</f>
        <v/>
      </c>
      <c r="K24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6" s="23" t="str">
        <f ca="1">IFERROR(VLOOKUP(Tabela4[[#This Row],[Cabo]],BD!A:V,9,0),"")</f>
        <v/>
      </c>
      <c r="M246" s="23" t="str">
        <f ca="1">IFERROR(VLOOKUP(Tabela4[[#This Row],[Cabo]],BD!A:AD,30,0),"")</f>
        <v/>
      </c>
      <c r="N246" s="23" t="str">
        <f ca="1">IF(SUMIF('Lançamento de Cabos'!B:B,Tabela4[[#This Row],[Cabo]],'Lançamento de Cabos'!C:C)=0,"",SUMIF('Lançamento de Cabos'!B:B,Tabela4[[#This Row],[Cabo]],'Lançamento de Cabos'!C:C))</f>
        <v/>
      </c>
      <c r="O246" s="28" t="str">
        <f ca="1">IFERROR(IF(Tabela4[[#This Row],[Compr. Lançado]]/Tabela4[[#This Row],[Compr. Prev.]]&gt;1,1,Tabela4[[#This Row],[Compr. Lançado]]/Tabela4[[#This Row],[Compr. Prev.]]),"")</f>
        <v/>
      </c>
      <c r="P246" s="24" t="str">
        <f ca="1">IFERROR(VLOOKUP(Tabela4[[#This Row],[Cabo]],BD!A:V,11,0),"")</f>
        <v/>
      </c>
      <c r="Q246" s="24" t="str">
        <f ca="1">IFERROR(VLOOKUP(Tabela4[[#This Row],[Cabo]],BD!A:V,12,0),"")</f>
        <v/>
      </c>
      <c r="R24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6" s="23" t="str">
        <f ca="1">IF(Tabela4[[#This Row],[Cabo]]&lt;&gt;"",4-COUNTIF(Tabela4[[#This Row],[Teste de Continuidade]:[Hipot]],"---"),"")</f>
        <v/>
      </c>
      <c r="W246" s="29" t="str">
        <f ca="1">IF(Tabela4[[#This Row],[Cabo]]&lt;&gt;"",(COUNTIF(Tabela4[[#This Row],[Teste de Continuidade]:[Hipot]],"OK"))/(4-COUNTIF(Tabela4[[#This Row],[Teste de Continuidade]:[Hipot]],"---")),"")</f>
        <v/>
      </c>
      <c r="X246" s="23" t="str">
        <f ca="1">IF(Tabela4[[#This Row],[Cabo]]&lt;&gt;"",SUMIFS('Lançamento de Cabos'!$AF:$AF,'Lançamento de Cabos'!AE:AE,Tabela4[[#This Row],[Cabo]],'Lançamento de Cabos'!AJ:AJ,Área!$B$1),"")</f>
        <v/>
      </c>
      <c r="Y246" s="23" t="str">
        <f ca="1">IF(Tabela4[[#This Row],[Cabo]]&lt;&gt;"",SUMIFS('Lançamento de Cabos'!$AG:$AG,'Lançamento de Cabos'!AE:AE,Tabela4[[#This Row],[Cabo]],'Lançamento de Cabos'!AJ:AJ,Área!$B$1),"")</f>
        <v/>
      </c>
      <c r="Z246" s="23" t="e">
        <f ca="1">VLOOKUP(Tabela4[[#This Row],[Cabo]],BD!A:AB,28,0)</f>
        <v>#N/A</v>
      </c>
    </row>
    <row r="247" spans="3:26" x14ac:dyDescent="0.25">
      <c r="C247" s="391" t="str">
        <f ca="1">IF($B$1="Geral",Tabela1[[#This Row],[Tag do Cabo]],IFERROR(INDEX(INDIRECT("BD!$A"&amp;D247&amp;":$A100000"),E247,1),""))</f>
        <v/>
      </c>
      <c r="D247" s="391" t="str">
        <f t="shared" ca="1" si="12"/>
        <v/>
      </c>
      <c r="E247" s="391" t="str">
        <f t="shared" ca="1" si="13"/>
        <v/>
      </c>
      <c r="F247" s="23" t="str">
        <f ca="1">IFERROR(VLOOKUP(Tabela4[[#This Row],[Cabo]],BD!A:V,2,0),"")</f>
        <v/>
      </c>
      <c r="G247" s="391" t="str">
        <f ca="1">IFERROR(VLOOKUP(Tabela4[[#This Row],[Cabo]],BD!A:V,5,0),"")</f>
        <v/>
      </c>
      <c r="H247" s="23" t="str">
        <f ca="1">IFERROR(VLOOKUP(Tabela4[[#This Row],[Cabo]],BD!A:V,3,0),"")</f>
        <v/>
      </c>
      <c r="I247" s="23" t="str">
        <f ca="1">IFERROR(VLOOKUP(Tabela4[[#This Row],[Cabo]],BD!A:V,4,0),"")</f>
        <v/>
      </c>
      <c r="J247" s="23" t="str">
        <f ca="1">IFERROR(VLOOKUP(Tabela4[[#This Row],[Cabo]],BD!A:V,7,0),"")</f>
        <v/>
      </c>
      <c r="K24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7" s="23" t="str">
        <f ca="1">IFERROR(VLOOKUP(Tabela4[[#This Row],[Cabo]],BD!A:V,9,0),"")</f>
        <v/>
      </c>
      <c r="M247" s="23" t="str">
        <f ca="1">IFERROR(VLOOKUP(Tabela4[[#This Row],[Cabo]],BD!A:AD,30,0),"")</f>
        <v/>
      </c>
      <c r="N247" s="23" t="str">
        <f ca="1">IF(SUMIF('Lançamento de Cabos'!B:B,Tabela4[[#This Row],[Cabo]],'Lançamento de Cabos'!C:C)=0,"",SUMIF('Lançamento de Cabos'!B:B,Tabela4[[#This Row],[Cabo]],'Lançamento de Cabos'!C:C))</f>
        <v/>
      </c>
      <c r="O247" s="28" t="str">
        <f ca="1">IFERROR(IF(Tabela4[[#This Row],[Compr. Lançado]]/Tabela4[[#This Row],[Compr. Prev.]]&gt;1,1,Tabela4[[#This Row],[Compr. Lançado]]/Tabela4[[#This Row],[Compr. Prev.]]),"")</f>
        <v/>
      </c>
      <c r="P247" s="24" t="str">
        <f ca="1">IFERROR(VLOOKUP(Tabela4[[#This Row],[Cabo]],BD!A:V,11,0),"")</f>
        <v/>
      </c>
      <c r="Q247" s="24" t="str">
        <f ca="1">IFERROR(VLOOKUP(Tabela4[[#This Row],[Cabo]],BD!A:V,12,0),"")</f>
        <v/>
      </c>
      <c r="R24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7" s="23" t="str">
        <f ca="1">IF(Tabela4[[#This Row],[Cabo]]&lt;&gt;"",4-COUNTIF(Tabela4[[#This Row],[Teste de Continuidade]:[Hipot]],"---"),"")</f>
        <v/>
      </c>
      <c r="W247" s="29" t="str">
        <f ca="1">IF(Tabela4[[#This Row],[Cabo]]&lt;&gt;"",(COUNTIF(Tabela4[[#This Row],[Teste de Continuidade]:[Hipot]],"OK"))/(4-COUNTIF(Tabela4[[#This Row],[Teste de Continuidade]:[Hipot]],"---")),"")</f>
        <v/>
      </c>
      <c r="X247" s="23" t="str">
        <f ca="1">IF(Tabela4[[#This Row],[Cabo]]&lt;&gt;"",SUMIFS('Lançamento de Cabos'!$AF:$AF,'Lançamento de Cabos'!AE:AE,Tabela4[[#This Row],[Cabo]],'Lançamento de Cabos'!AJ:AJ,Área!$B$1),"")</f>
        <v/>
      </c>
      <c r="Y247" s="23" t="str">
        <f ca="1">IF(Tabela4[[#This Row],[Cabo]]&lt;&gt;"",SUMIFS('Lançamento de Cabos'!$AG:$AG,'Lançamento de Cabos'!AE:AE,Tabela4[[#This Row],[Cabo]],'Lançamento de Cabos'!AJ:AJ,Área!$B$1),"")</f>
        <v/>
      </c>
      <c r="Z247" s="23" t="e">
        <f ca="1">VLOOKUP(Tabela4[[#This Row],[Cabo]],BD!A:AB,28,0)</f>
        <v>#N/A</v>
      </c>
    </row>
    <row r="248" spans="3:26" x14ac:dyDescent="0.25">
      <c r="C248" s="391" t="str">
        <f ca="1">IF($B$1="Geral",Tabela1[[#This Row],[Tag do Cabo]],IFERROR(INDEX(INDIRECT("BD!$A"&amp;D248&amp;":$A100000"),E248,1),""))</f>
        <v/>
      </c>
      <c r="D248" s="391" t="str">
        <f t="shared" ca="1" si="12"/>
        <v/>
      </c>
      <c r="E248" s="391" t="str">
        <f t="shared" ca="1" si="13"/>
        <v/>
      </c>
      <c r="F248" s="23" t="str">
        <f ca="1">IFERROR(VLOOKUP(Tabela4[[#This Row],[Cabo]],BD!A:V,2,0),"")</f>
        <v/>
      </c>
      <c r="G248" s="391" t="str">
        <f ca="1">IFERROR(VLOOKUP(Tabela4[[#This Row],[Cabo]],BD!A:V,5,0),"")</f>
        <v/>
      </c>
      <c r="H248" s="23" t="str">
        <f ca="1">IFERROR(VLOOKUP(Tabela4[[#This Row],[Cabo]],BD!A:V,3,0),"")</f>
        <v/>
      </c>
      <c r="I248" s="23" t="str">
        <f ca="1">IFERROR(VLOOKUP(Tabela4[[#This Row],[Cabo]],BD!A:V,4,0),"")</f>
        <v/>
      </c>
      <c r="J248" s="23" t="str">
        <f ca="1">IFERROR(VLOOKUP(Tabela4[[#This Row],[Cabo]],BD!A:V,7,0),"")</f>
        <v/>
      </c>
      <c r="K24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8" s="23" t="str">
        <f ca="1">IFERROR(VLOOKUP(Tabela4[[#This Row],[Cabo]],BD!A:V,9,0),"")</f>
        <v/>
      </c>
      <c r="M248" s="23" t="str">
        <f ca="1">IFERROR(VLOOKUP(Tabela4[[#This Row],[Cabo]],BD!A:AD,30,0),"")</f>
        <v/>
      </c>
      <c r="N248" s="23" t="str">
        <f ca="1">IF(SUMIF('Lançamento de Cabos'!B:B,Tabela4[[#This Row],[Cabo]],'Lançamento de Cabos'!C:C)=0,"",SUMIF('Lançamento de Cabos'!B:B,Tabela4[[#This Row],[Cabo]],'Lançamento de Cabos'!C:C))</f>
        <v/>
      </c>
      <c r="O248" s="28" t="str">
        <f ca="1">IFERROR(IF(Tabela4[[#This Row],[Compr. Lançado]]/Tabela4[[#This Row],[Compr. Prev.]]&gt;1,1,Tabela4[[#This Row],[Compr. Lançado]]/Tabela4[[#This Row],[Compr. Prev.]]),"")</f>
        <v/>
      </c>
      <c r="P248" s="24" t="str">
        <f ca="1">IFERROR(VLOOKUP(Tabela4[[#This Row],[Cabo]],BD!A:V,11,0),"")</f>
        <v/>
      </c>
      <c r="Q248" s="24" t="str">
        <f ca="1">IFERROR(VLOOKUP(Tabela4[[#This Row],[Cabo]],BD!A:V,12,0),"")</f>
        <v/>
      </c>
      <c r="R24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8" s="23" t="str">
        <f ca="1">IF(Tabela4[[#This Row],[Cabo]]&lt;&gt;"",4-COUNTIF(Tabela4[[#This Row],[Teste de Continuidade]:[Hipot]],"---"),"")</f>
        <v/>
      </c>
      <c r="W248" s="29" t="str">
        <f ca="1">IF(Tabela4[[#This Row],[Cabo]]&lt;&gt;"",(COUNTIF(Tabela4[[#This Row],[Teste de Continuidade]:[Hipot]],"OK"))/(4-COUNTIF(Tabela4[[#This Row],[Teste de Continuidade]:[Hipot]],"---")),"")</f>
        <v/>
      </c>
      <c r="X248" s="23" t="str">
        <f ca="1">IF(Tabela4[[#This Row],[Cabo]]&lt;&gt;"",SUMIFS('Lançamento de Cabos'!$AF:$AF,'Lançamento de Cabos'!AE:AE,Tabela4[[#This Row],[Cabo]],'Lançamento de Cabos'!AJ:AJ,Área!$B$1),"")</f>
        <v/>
      </c>
      <c r="Y248" s="23" t="str">
        <f ca="1">IF(Tabela4[[#This Row],[Cabo]]&lt;&gt;"",SUMIFS('Lançamento de Cabos'!$AG:$AG,'Lançamento de Cabos'!AE:AE,Tabela4[[#This Row],[Cabo]],'Lançamento de Cabos'!AJ:AJ,Área!$B$1),"")</f>
        <v/>
      </c>
      <c r="Z248" s="23" t="e">
        <f ca="1">VLOOKUP(Tabela4[[#This Row],[Cabo]],BD!A:AB,28,0)</f>
        <v>#N/A</v>
      </c>
    </row>
    <row r="249" spans="3:26" x14ac:dyDescent="0.25">
      <c r="C249" s="391" t="str">
        <f ca="1">IF($B$1="Geral",Tabela1[[#This Row],[Tag do Cabo]],IFERROR(INDEX(INDIRECT("BD!$A"&amp;D249&amp;":$A100000"),E249,1),""))</f>
        <v/>
      </c>
      <c r="D249" s="391" t="str">
        <f t="shared" ca="1" si="12"/>
        <v/>
      </c>
      <c r="E249" s="391" t="str">
        <f t="shared" ca="1" si="13"/>
        <v/>
      </c>
      <c r="F249" s="23" t="str">
        <f ca="1">IFERROR(VLOOKUP(Tabela4[[#This Row],[Cabo]],BD!A:V,2,0),"")</f>
        <v/>
      </c>
      <c r="G249" s="391" t="str">
        <f ca="1">IFERROR(VLOOKUP(Tabela4[[#This Row],[Cabo]],BD!A:V,5,0),"")</f>
        <v/>
      </c>
      <c r="H249" s="23" t="str">
        <f ca="1">IFERROR(VLOOKUP(Tabela4[[#This Row],[Cabo]],BD!A:V,3,0),"")</f>
        <v/>
      </c>
      <c r="I249" s="23" t="str">
        <f ca="1">IFERROR(VLOOKUP(Tabela4[[#This Row],[Cabo]],BD!A:V,4,0),"")</f>
        <v/>
      </c>
      <c r="J249" s="23" t="str">
        <f ca="1">IFERROR(VLOOKUP(Tabela4[[#This Row],[Cabo]],BD!A:V,7,0),"")</f>
        <v/>
      </c>
      <c r="K24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49" s="23" t="str">
        <f ca="1">IFERROR(VLOOKUP(Tabela4[[#This Row],[Cabo]],BD!A:V,9,0),"")</f>
        <v/>
      </c>
      <c r="M249" s="23" t="str">
        <f ca="1">IFERROR(VLOOKUP(Tabela4[[#This Row],[Cabo]],BD!A:AD,30,0),"")</f>
        <v/>
      </c>
      <c r="N249" s="23" t="str">
        <f ca="1">IF(SUMIF('Lançamento de Cabos'!B:B,Tabela4[[#This Row],[Cabo]],'Lançamento de Cabos'!C:C)=0,"",SUMIF('Lançamento de Cabos'!B:B,Tabela4[[#This Row],[Cabo]],'Lançamento de Cabos'!C:C))</f>
        <v/>
      </c>
      <c r="O249" s="28" t="str">
        <f ca="1">IFERROR(IF(Tabela4[[#This Row],[Compr. Lançado]]/Tabela4[[#This Row],[Compr. Prev.]]&gt;1,1,Tabela4[[#This Row],[Compr. Lançado]]/Tabela4[[#This Row],[Compr. Prev.]]),"")</f>
        <v/>
      </c>
      <c r="P249" s="24" t="str">
        <f ca="1">IFERROR(VLOOKUP(Tabela4[[#This Row],[Cabo]],BD!A:V,11,0),"")</f>
        <v/>
      </c>
      <c r="Q249" s="24" t="str">
        <f ca="1">IFERROR(VLOOKUP(Tabela4[[#This Row],[Cabo]],BD!A:V,12,0),"")</f>
        <v/>
      </c>
      <c r="R24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4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4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4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49" s="23" t="str">
        <f ca="1">IF(Tabela4[[#This Row],[Cabo]]&lt;&gt;"",4-COUNTIF(Tabela4[[#This Row],[Teste de Continuidade]:[Hipot]],"---"),"")</f>
        <v/>
      </c>
      <c r="W249" s="29" t="str">
        <f ca="1">IF(Tabela4[[#This Row],[Cabo]]&lt;&gt;"",(COUNTIF(Tabela4[[#This Row],[Teste de Continuidade]:[Hipot]],"OK"))/(4-COUNTIF(Tabela4[[#This Row],[Teste de Continuidade]:[Hipot]],"---")),"")</f>
        <v/>
      </c>
      <c r="X249" s="23" t="str">
        <f ca="1">IF(Tabela4[[#This Row],[Cabo]]&lt;&gt;"",SUMIFS('Lançamento de Cabos'!$AF:$AF,'Lançamento de Cabos'!AE:AE,Tabela4[[#This Row],[Cabo]],'Lançamento de Cabos'!AJ:AJ,Área!$B$1),"")</f>
        <v/>
      </c>
      <c r="Y249" s="23" t="str">
        <f ca="1">IF(Tabela4[[#This Row],[Cabo]]&lt;&gt;"",SUMIFS('Lançamento de Cabos'!$AG:$AG,'Lançamento de Cabos'!AE:AE,Tabela4[[#This Row],[Cabo]],'Lançamento de Cabos'!AJ:AJ,Área!$B$1),"")</f>
        <v/>
      </c>
      <c r="Z249" s="23" t="e">
        <f ca="1">VLOOKUP(Tabela4[[#This Row],[Cabo]],BD!A:AB,28,0)</f>
        <v>#N/A</v>
      </c>
    </row>
    <row r="250" spans="3:26" x14ac:dyDescent="0.25">
      <c r="C250" s="391" t="str">
        <f ca="1">IF($B$1="Geral",Tabela1[[#This Row],[Tag do Cabo]],IFERROR(INDEX(INDIRECT("BD!$A"&amp;D250&amp;":$A100000"),E250,1),""))</f>
        <v/>
      </c>
      <c r="D250" s="391" t="str">
        <f t="shared" ca="1" si="12"/>
        <v/>
      </c>
      <c r="E250" s="391" t="str">
        <f t="shared" ca="1" si="13"/>
        <v/>
      </c>
      <c r="F250" s="23" t="str">
        <f ca="1">IFERROR(VLOOKUP(Tabela4[[#This Row],[Cabo]],BD!A:V,2,0),"")</f>
        <v/>
      </c>
      <c r="G250" s="391" t="str">
        <f ca="1">IFERROR(VLOOKUP(Tabela4[[#This Row],[Cabo]],BD!A:V,5,0),"")</f>
        <v/>
      </c>
      <c r="H250" s="23" t="str">
        <f ca="1">IFERROR(VLOOKUP(Tabela4[[#This Row],[Cabo]],BD!A:V,3,0),"")</f>
        <v/>
      </c>
      <c r="I250" s="23" t="str">
        <f ca="1">IFERROR(VLOOKUP(Tabela4[[#This Row],[Cabo]],BD!A:V,4,0),"")</f>
        <v/>
      </c>
      <c r="J250" s="23" t="str">
        <f ca="1">IFERROR(VLOOKUP(Tabela4[[#This Row],[Cabo]],BD!A:V,7,0),"")</f>
        <v/>
      </c>
      <c r="K25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0" s="23" t="str">
        <f ca="1">IFERROR(VLOOKUP(Tabela4[[#This Row],[Cabo]],BD!A:V,9,0),"")</f>
        <v/>
      </c>
      <c r="M250" s="23" t="str">
        <f ca="1">IFERROR(VLOOKUP(Tabela4[[#This Row],[Cabo]],BD!A:AD,30,0),"")</f>
        <v/>
      </c>
      <c r="N250" s="23" t="str">
        <f ca="1">IF(SUMIF('Lançamento de Cabos'!B:B,Tabela4[[#This Row],[Cabo]],'Lançamento de Cabos'!C:C)=0,"",SUMIF('Lançamento de Cabos'!B:B,Tabela4[[#This Row],[Cabo]],'Lançamento de Cabos'!C:C))</f>
        <v/>
      </c>
      <c r="O250" s="28" t="str">
        <f ca="1">IFERROR(IF(Tabela4[[#This Row],[Compr. Lançado]]/Tabela4[[#This Row],[Compr. Prev.]]&gt;1,1,Tabela4[[#This Row],[Compr. Lançado]]/Tabela4[[#This Row],[Compr. Prev.]]),"")</f>
        <v/>
      </c>
      <c r="P250" s="24" t="str">
        <f ca="1">IFERROR(VLOOKUP(Tabela4[[#This Row],[Cabo]],BD!A:V,11,0),"")</f>
        <v/>
      </c>
      <c r="Q250" s="24" t="str">
        <f ca="1">IFERROR(VLOOKUP(Tabela4[[#This Row],[Cabo]],BD!A:V,12,0),"")</f>
        <v/>
      </c>
      <c r="R25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0" s="23" t="str">
        <f ca="1">IF(Tabela4[[#This Row],[Cabo]]&lt;&gt;"",4-COUNTIF(Tabela4[[#This Row],[Teste de Continuidade]:[Hipot]],"---"),"")</f>
        <v/>
      </c>
      <c r="W250" s="29" t="str">
        <f ca="1">IF(Tabela4[[#This Row],[Cabo]]&lt;&gt;"",(COUNTIF(Tabela4[[#This Row],[Teste de Continuidade]:[Hipot]],"OK"))/(4-COUNTIF(Tabela4[[#This Row],[Teste de Continuidade]:[Hipot]],"---")),"")</f>
        <v/>
      </c>
      <c r="X250" s="23" t="str">
        <f ca="1">IF(Tabela4[[#This Row],[Cabo]]&lt;&gt;"",SUMIFS('Lançamento de Cabos'!$AF:$AF,'Lançamento de Cabos'!AE:AE,Tabela4[[#This Row],[Cabo]],'Lançamento de Cabos'!AJ:AJ,Área!$B$1),"")</f>
        <v/>
      </c>
      <c r="Y250" s="23" t="str">
        <f ca="1">IF(Tabela4[[#This Row],[Cabo]]&lt;&gt;"",SUMIFS('Lançamento de Cabos'!$AG:$AG,'Lançamento de Cabos'!AE:AE,Tabela4[[#This Row],[Cabo]],'Lançamento de Cabos'!AJ:AJ,Área!$B$1),"")</f>
        <v/>
      </c>
      <c r="Z250" s="23" t="e">
        <f ca="1">VLOOKUP(Tabela4[[#This Row],[Cabo]],BD!A:AB,28,0)</f>
        <v>#N/A</v>
      </c>
    </row>
    <row r="251" spans="3:26" x14ac:dyDescent="0.25">
      <c r="C251" s="391" t="str">
        <f ca="1">IF($B$1="Geral",Tabela1[[#This Row],[Tag do Cabo]],IFERROR(INDEX(INDIRECT("BD!$A"&amp;D251&amp;":$A100000"),E251,1),""))</f>
        <v/>
      </c>
      <c r="D251" s="391" t="str">
        <f t="shared" ca="1" si="12"/>
        <v/>
      </c>
      <c r="E251" s="391" t="str">
        <f t="shared" ca="1" si="13"/>
        <v/>
      </c>
      <c r="F251" s="23" t="str">
        <f ca="1">IFERROR(VLOOKUP(Tabela4[[#This Row],[Cabo]],BD!A:V,2,0),"")</f>
        <v/>
      </c>
      <c r="G251" s="391" t="str">
        <f ca="1">IFERROR(VLOOKUP(Tabela4[[#This Row],[Cabo]],BD!A:V,5,0),"")</f>
        <v/>
      </c>
      <c r="H251" s="23" t="str">
        <f ca="1">IFERROR(VLOOKUP(Tabela4[[#This Row],[Cabo]],BD!A:V,3,0),"")</f>
        <v/>
      </c>
      <c r="I251" s="23" t="str">
        <f ca="1">IFERROR(VLOOKUP(Tabela4[[#This Row],[Cabo]],BD!A:V,4,0),"")</f>
        <v/>
      </c>
      <c r="J251" s="23" t="str">
        <f ca="1">IFERROR(VLOOKUP(Tabela4[[#This Row],[Cabo]],BD!A:V,7,0),"")</f>
        <v/>
      </c>
      <c r="K25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1" s="23" t="str">
        <f ca="1">IFERROR(VLOOKUP(Tabela4[[#This Row],[Cabo]],BD!A:V,9,0),"")</f>
        <v/>
      </c>
      <c r="M251" s="23" t="str">
        <f ca="1">IFERROR(VLOOKUP(Tabela4[[#This Row],[Cabo]],BD!A:AD,30,0),"")</f>
        <v/>
      </c>
      <c r="N251" s="23" t="str">
        <f ca="1">IF(SUMIF('Lançamento de Cabos'!B:B,Tabela4[[#This Row],[Cabo]],'Lançamento de Cabos'!C:C)=0,"",SUMIF('Lançamento de Cabos'!B:B,Tabela4[[#This Row],[Cabo]],'Lançamento de Cabos'!C:C))</f>
        <v/>
      </c>
      <c r="O251" s="28" t="str">
        <f ca="1">IFERROR(IF(Tabela4[[#This Row],[Compr. Lançado]]/Tabela4[[#This Row],[Compr. Prev.]]&gt;1,1,Tabela4[[#This Row],[Compr. Lançado]]/Tabela4[[#This Row],[Compr. Prev.]]),"")</f>
        <v/>
      </c>
      <c r="P251" s="24" t="str">
        <f ca="1">IFERROR(VLOOKUP(Tabela4[[#This Row],[Cabo]],BD!A:V,11,0),"")</f>
        <v/>
      </c>
      <c r="Q251" s="24" t="str">
        <f ca="1">IFERROR(VLOOKUP(Tabela4[[#This Row],[Cabo]],BD!A:V,12,0),"")</f>
        <v/>
      </c>
      <c r="R25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1" s="23" t="str">
        <f ca="1">IF(Tabela4[[#This Row],[Cabo]]&lt;&gt;"",4-COUNTIF(Tabela4[[#This Row],[Teste de Continuidade]:[Hipot]],"---"),"")</f>
        <v/>
      </c>
      <c r="W251" s="29" t="str">
        <f ca="1">IF(Tabela4[[#This Row],[Cabo]]&lt;&gt;"",(COUNTIF(Tabela4[[#This Row],[Teste de Continuidade]:[Hipot]],"OK"))/(4-COUNTIF(Tabela4[[#This Row],[Teste de Continuidade]:[Hipot]],"---")),"")</f>
        <v/>
      </c>
      <c r="X251" s="23" t="str">
        <f ca="1">IF(Tabela4[[#This Row],[Cabo]]&lt;&gt;"",SUMIFS('Lançamento de Cabos'!$AF:$AF,'Lançamento de Cabos'!AE:AE,Tabela4[[#This Row],[Cabo]],'Lançamento de Cabos'!AJ:AJ,Área!$B$1),"")</f>
        <v/>
      </c>
      <c r="Y251" s="23" t="str">
        <f ca="1">IF(Tabela4[[#This Row],[Cabo]]&lt;&gt;"",SUMIFS('Lançamento de Cabos'!$AG:$AG,'Lançamento de Cabos'!AE:AE,Tabela4[[#This Row],[Cabo]],'Lançamento de Cabos'!AJ:AJ,Área!$B$1),"")</f>
        <v/>
      </c>
      <c r="Z251" s="23" t="e">
        <f ca="1">VLOOKUP(Tabela4[[#This Row],[Cabo]],BD!A:AB,28,0)</f>
        <v>#N/A</v>
      </c>
    </row>
    <row r="252" spans="3:26" x14ac:dyDescent="0.25">
      <c r="C252" s="391" t="str">
        <f ca="1">IF($B$1="Geral",Tabela1[[#This Row],[Tag do Cabo]],IFERROR(INDEX(INDIRECT("BD!$A"&amp;D252&amp;":$A100000"),E252,1),""))</f>
        <v/>
      </c>
      <c r="D252" s="391" t="str">
        <f t="shared" ca="1" si="12"/>
        <v/>
      </c>
      <c r="E252" s="391" t="str">
        <f t="shared" ca="1" si="13"/>
        <v/>
      </c>
      <c r="F252" s="23" t="str">
        <f ca="1">IFERROR(VLOOKUP(Tabela4[[#This Row],[Cabo]],BD!A:V,2,0),"")</f>
        <v/>
      </c>
      <c r="G252" s="391" t="str">
        <f ca="1">IFERROR(VLOOKUP(Tabela4[[#This Row],[Cabo]],BD!A:V,5,0),"")</f>
        <v/>
      </c>
      <c r="H252" s="23" t="str">
        <f ca="1">IFERROR(VLOOKUP(Tabela4[[#This Row],[Cabo]],BD!A:V,3,0),"")</f>
        <v/>
      </c>
      <c r="I252" s="23" t="str">
        <f ca="1">IFERROR(VLOOKUP(Tabela4[[#This Row],[Cabo]],BD!A:V,4,0),"")</f>
        <v/>
      </c>
      <c r="J252" s="23" t="str">
        <f ca="1">IFERROR(VLOOKUP(Tabela4[[#This Row],[Cabo]],BD!A:V,7,0),"")</f>
        <v/>
      </c>
      <c r="K25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2" s="23" t="str">
        <f ca="1">IFERROR(VLOOKUP(Tabela4[[#This Row],[Cabo]],BD!A:V,9,0),"")</f>
        <v/>
      </c>
      <c r="M252" s="23" t="str">
        <f ca="1">IFERROR(VLOOKUP(Tabela4[[#This Row],[Cabo]],BD!A:AD,30,0),"")</f>
        <v/>
      </c>
      <c r="N252" s="23" t="str">
        <f ca="1">IF(SUMIF('Lançamento de Cabos'!B:B,Tabela4[[#This Row],[Cabo]],'Lançamento de Cabos'!C:C)=0,"",SUMIF('Lançamento de Cabos'!B:B,Tabela4[[#This Row],[Cabo]],'Lançamento de Cabos'!C:C))</f>
        <v/>
      </c>
      <c r="O252" s="28" t="str">
        <f ca="1">IFERROR(IF(Tabela4[[#This Row],[Compr. Lançado]]/Tabela4[[#This Row],[Compr. Prev.]]&gt;1,1,Tabela4[[#This Row],[Compr. Lançado]]/Tabela4[[#This Row],[Compr. Prev.]]),"")</f>
        <v/>
      </c>
      <c r="P252" s="24" t="str">
        <f ca="1">IFERROR(VLOOKUP(Tabela4[[#This Row],[Cabo]],BD!A:V,11,0),"")</f>
        <v/>
      </c>
      <c r="Q252" s="24" t="str">
        <f ca="1">IFERROR(VLOOKUP(Tabela4[[#This Row],[Cabo]],BD!A:V,12,0),"")</f>
        <v/>
      </c>
      <c r="R25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2" s="23" t="str">
        <f ca="1">IF(Tabela4[[#This Row],[Cabo]]&lt;&gt;"",4-COUNTIF(Tabela4[[#This Row],[Teste de Continuidade]:[Hipot]],"---"),"")</f>
        <v/>
      </c>
      <c r="W252" s="29" t="str">
        <f ca="1">IF(Tabela4[[#This Row],[Cabo]]&lt;&gt;"",(COUNTIF(Tabela4[[#This Row],[Teste de Continuidade]:[Hipot]],"OK"))/(4-COUNTIF(Tabela4[[#This Row],[Teste de Continuidade]:[Hipot]],"---")),"")</f>
        <v/>
      </c>
      <c r="X252" s="23" t="str">
        <f ca="1">IF(Tabela4[[#This Row],[Cabo]]&lt;&gt;"",SUMIFS('Lançamento de Cabos'!$AF:$AF,'Lançamento de Cabos'!AE:AE,Tabela4[[#This Row],[Cabo]],'Lançamento de Cabos'!AJ:AJ,Área!$B$1),"")</f>
        <v/>
      </c>
      <c r="Y252" s="23" t="str">
        <f ca="1">IF(Tabela4[[#This Row],[Cabo]]&lt;&gt;"",SUMIFS('Lançamento de Cabos'!$AG:$AG,'Lançamento de Cabos'!AE:AE,Tabela4[[#This Row],[Cabo]],'Lançamento de Cabos'!AJ:AJ,Área!$B$1),"")</f>
        <v/>
      </c>
      <c r="Z252" s="23" t="e">
        <f ca="1">VLOOKUP(Tabela4[[#This Row],[Cabo]],BD!A:AB,28,0)</f>
        <v>#N/A</v>
      </c>
    </row>
    <row r="253" spans="3:26" x14ac:dyDescent="0.25">
      <c r="C253" s="391" t="str">
        <f ca="1">IF($B$1="Geral",Tabela1[[#This Row],[Tag do Cabo]],IFERROR(INDEX(INDIRECT("BD!$A"&amp;D253&amp;":$A100000"),E253,1),""))</f>
        <v/>
      </c>
      <c r="D253" s="391" t="str">
        <f t="shared" ca="1" si="12"/>
        <v/>
      </c>
      <c r="E253" s="391" t="str">
        <f t="shared" ca="1" si="13"/>
        <v/>
      </c>
      <c r="F253" s="23" t="str">
        <f ca="1">IFERROR(VLOOKUP(Tabela4[[#This Row],[Cabo]],BD!A:V,2,0),"")</f>
        <v/>
      </c>
      <c r="G253" s="391" t="str">
        <f ca="1">IFERROR(VLOOKUP(Tabela4[[#This Row],[Cabo]],BD!A:V,5,0),"")</f>
        <v/>
      </c>
      <c r="H253" s="23" t="str">
        <f ca="1">IFERROR(VLOOKUP(Tabela4[[#This Row],[Cabo]],BD!A:V,3,0),"")</f>
        <v/>
      </c>
      <c r="I253" s="23" t="str">
        <f ca="1">IFERROR(VLOOKUP(Tabela4[[#This Row],[Cabo]],BD!A:V,4,0),"")</f>
        <v/>
      </c>
      <c r="J253" s="23" t="str">
        <f ca="1">IFERROR(VLOOKUP(Tabela4[[#This Row],[Cabo]],BD!A:V,7,0),"")</f>
        <v/>
      </c>
      <c r="K25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3" s="23" t="str">
        <f ca="1">IFERROR(VLOOKUP(Tabela4[[#This Row],[Cabo]],BD!A:V,9,0),"")</f>
        <v/>
      </c>
      <c r="M253" s="23" t="str">
        <f ca="1">IFERROR(VLOOKUP(Tabela4[[#This Row],[Cabo]],BD!A:AD,30,0),"")</f>
        <v/>
      </c>
      <c r="N253" s="23" t="str">
        <f ca="1">IF(SUMIF('Lançamento de Cabos'!B:B,Tabela4[[#This Row],[Cabo]],'Lançamento de Cabos'!C:C)=0,"",SUMIF('Lançamento de Cabos'!B:B,Tabela4[[#This Row],[Cabo]],'Lançamento de Cabos'!C:C))</f>
        <v/>
      </c>
      <c r="O253" s="28" t="str">
        <f ca="1">IFERROR(IF(Tabela4[[#This Row],[Compr. Lançado]]/Tabela4[[#This Row],[Compr. Prev.]]&gt;1,1,Tabela4[[#This Row],[Compr. Lançado]]/Tabela4[[#This Row],[Compr. Prev.]]),"")</f>
        <v/>
      </c>
      <c r="P253" s="24" t="str">
        <f ca="1">IFERROR(VLOOKUP(Tabela4[[#This Row],[Cabo]],BD!A:V,11,0),"")</f>
        <v/>
      </c>
      <c r="Q253" s="24" t="str">
        <f ca="1">IFERROR(VLOOKUP(Tabela4[[#This Row],[Cabo]],BD!A:V,12,0),"")</f>
        <v/>
      </c>
      <c r="R25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3" s="23" t="str">
        <f ca="1">IF(Tabela4[[#This Row],[Cabo]]&lt;&gt;"",4-COUNTIF(Tabela4[[#This Row],[Teste de Continuidade]:[Hipot]],"---"),"")</f>
        <v/>
      </c>
      <c r="W253" s="29" t="str">
        <f ca="1">IF(Tabela4[[#This Row],[Cabo]]&lt;&gt;"",(COUNTIF(Tabela4[[#This Row],[Teste de Continuidade]:[Hipot]],"OK"))/(4-COUNTIF(Tabela4[[#This Row],[Teste de Continuidade]:[Hipot]],"---")),"")</f>
        <v/>
      </c>
      <c r="X253" s="23" t="str">
        <f ca="1">IF(Tabela4[[#This Row],[Cabo]]&lt;&gt;"",SUMIFS('Lançamento de Cabos'!$AF:$AF,'Lançamento de Cabos'!AE:AE,Tabela4[[#This Row],[Cabo]],'Lançamento de Cabos'!AJ:AJ,Área!$B$1),"")</f>
        <v/>
      </c>
      <c r="Y253" s="23" t="str">
        <f ca="1">IF(Tabela4[[#This Row],[Cabo]]&lt;&gt;"",SUMIFS('Lançamento de Cabos'!$AG:$AG,'Lançamento de Cabos'!AE:AE,Tabela4[[#This Row],[Cabo]],'Lançamento de Cabos'!AJ:AJ,Área!$B$1),"")</f>
        <v/>
      </c>
      <c r="Z253" s="23" t="e">
        <f ca="1">VLOOKUP(Tabela4[[#This Row],[Cabo]],BD!A:AB,28,0)</f>
        <v>#N/A</v>
      </c>
    </row>
    <row r="254" spans="3:26" x14ac:dyDescent="0.25">
      <c r="C254" s="391" t="str">
        <f ca="1">IF($B$1="Geral",Tabela1[[#This Row],[Tag do Cabo]],IFERROR(INDEX(INDIRECT("BD!$A"&amp;D254&amp;":$A100000"),E254,1),""))</f>
        <v/>
      </c>
      <c r="D254" s="391" t="str">
        <f t="shared" ca="1" si="12"/>
        <v/>
      </c>
      <c r="E254" s="391" t="str">
        <f t="shared" ca="1" si="13"/>
        <v/>
      </c>
      <c r="F254" s="23" t="str">
        <f ca="1">IFERROR(VLOOKUP(Tabela4[[#This Row],[Cabo]],BD!A:V,2,0),"")</f>
        <v/>
      </c>
      <c r="G254" s="391" t="str">
        <f ca="1">IFERROR(VLOOKUP(Tabela4[[#This Row],[Cabo]],BD!A:V,5,0),"")</f>
        <v/>
      </c>
      <c r="H254" s="23" t="str">
        <f ca="1">IFERROR(VLOOKUP(Tabela4[[#This Row],[Cabo]],BD!A:V,3,0),"")</f>
        <v/>
      </c>
      <c r="I254" s="23" t="str">
        <f ca="1">IFERROR(VLOOKUP(Tabela4[[#This Row],[Cabo]],BD!A:V,4,0),"")</f>
        <v/>
      </c>
      <c r="J254" s="23" t="str">
        <f ca="1">IFERROR(VLOOKUP(Tabela4[[#This Row],[Cabo]],BD!A:V,7,0),"")</f>
        <v/>
      </c>
      <c r="K25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4" s="23" t="str">
        <f ca="1">IFERROR(VLOOKUP(Tabela4[[#This Row],[Cabo]],BD!A:V,9,0),"")</f>
        <v/>
      </c>
      <c r="M254" s="23" t="str">
        <f ca="1">IFERROR(VLOOKUP(Tabela4[[#This Row],[Cabo]],BD!A:AD,30,0),"")</f>
        <v/>
      </c>
      <c r="N254" s="23" t="str">
        <f ca="1">IF(SUMIF('Lançamento de Cabos'!B:B,Tabela4[[#This Row],[Cabo]],'Lançamento de Cabos'!C:C)=0,"",SUMIF('Lançamento de Cabos'!B:B,Tabela4[[#This Row],[Cabo]],'Lançamento de Cabos'!C:C))</f>
        <v/>
      </c>
      <c r="O254" s="28" t="str">
        <f ca="1">IFERROR(IF(Tabela4[[#This Row],[Compr. Lançado]]/Tabela4[[#This Row],[Compr. Prev.]]&gt;1,1,Tabela4[[#This Row],[Compr. Lançado]]/Tabela4[[#This Row],[Compr. Prev.]]),"")</f>
        <v/>
      </c>
      <c r="P254" s="24" t="str">
        <f ca="1">IFERROR(VLOOKUP(Tabela4[[#This Row],[Cabo]],BD!A:V,11,0),"")</f>
        <v/>
      </c>
      <c r="Q254" s="24" t="str">
        <f ca="1">IFERROR(VLOOKUP(Tabela4[[#This Row],[Cabo]],BD!A:V,12,0),"")</f>
        <v/>
      </c>
      <c r="R25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4" s="23" t="str">
        <f ca="1">IF(Tabela4[[#This Row],[Cabo]]&lt;&gt;"",4-COUNTIF(Tabela4[[#This Row],[Teste de Continuidade]:[Hipot]],"---"),"")</f>
        <v/>
      </c>
      <c r="W254" s="29" t="str">
        <f ca="1">IF(Tabela4[[#This Row],[Cabo]]&lt;&gt;"",(COUNTIF(Tabela4[[#This Row],[Teste de Continuidade]:[Hipot]],"OK"))/(4-COUNTIF(Tabela4[[#This Row],[Teste de Continuidade]:[Hipot]],"---")),"")</f>
        <v/>
      </c>
      <c r="X254" s="23" t="str">
        <f ca="1">IF(Tabela4[[#This Row],[Cabo]]&lt;&gt;"",SUMIFS('Lançamento de Cabos'!$AF:$AF,'Lançamento de Cabos'!AE:AE,Tabela4[[#This Row],[Cabo]],'Lançamento de Cabos'!AJ:AJ,Área!$B$1),"")</f>
        <v/>
      </c>
      <c r="Y254" s="23" t="str">
        <f ca="1">IF(Tabela4[[#This Row],[Cabo]]&lt;&gt;"",SUMIFS('Lançamento de Cabos'!$AG:$AG,'Lançamento de Cabos'!AE:AE,Tabela4[[#This Row],[Cabo]],'Lançamento de Cabos'!AJ:AJ,Área!$B$1),"")</f>
        <v/>
      </c>
      <c r="Z254" s="23" t="e">
        <f ca="1">VLOOKUP(Tabela4[[#This Row],[Cabo]],BD!A:AB,28,0)</f>
        <v>#N/A</v>
      </c>
    </row>
    <row r="255" spans="3:26" x14ac:dyDescent="0.25">
      <c r="C255" s="391" t="str">
        <f ca="1">IF($B$1="Geral",Tabela1[[#This Row],[Tag do Cabo]],IFERROR(INDEX(INDIRECT("BD!$A"&amp;D255&amp;":$A100000"),E255,1),""))</f>
        <v/>
      </c>
      <c r="D255" s="391" t="str">
        <f t="shared" ca="1" si="12"/>
        <v/>
      </c>
      <c r="E255" s="391" t="str">
        <f t="shared" ca="1" si="13"/>
        <v/>
      </c>
      <c r="F255" s="23" t="str">
        <f ca="1">IFERROR(VLOOKUP(Tabela4[[#This Row],[Cabo]],BD!A:V,2,0),"")</f>
        <v/>
      </c>
      <c r="G255" s="391" t="str">
        <f ca="1">IFERROR(VLOOKUP(Tabela4[[#This Row],[Cabo]],BD!A:V,5,0),"")</f>
        <v/>
      </c>
      <c r="H255" s="23" t="str">
        <f ca="1">IFERROR(VLOOKUP(Tabela4[[#This Row],[Cabo]],BD!A:V,3,0),"")</f>
        <v/>
      </c>
      <c r="I255" s="23" t="str">
        <f ca="1">IFERROR(VLOOKUP(Tabela4[[#This Row],[Cabo]],BD!A:V,4,0),"")</f>
        <v/>
      </c>
      <c r="J255" s="23" t="str">
        <f ca="1">IFERROR(VLOOKUP(Tabela4[[#This Row],[Cabo]],BD!A:V,7,0),"")</f>
        <v/>
      </c>
      <c r="K25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5" s="23" t="str">
        <f ca="1">IFERROR(VLOOKUP(Tabela4[[#This Row],[Cabo]],BD!A:V,9,0),"")</f>
        <v/>
      </c>
      <c r="M255" s="23" t="str">
        <f ca="1">IFERROR(VLOOKUP(Tabela4[[#This Row],[Cabo]],BD!A:AD,30,0),"")</f>
        <v/>
      </c>
      <c r="N255" s="23" t="str">
        <f ca="1">IF(SUMIF('Lançamento de Cabos'!B:B,Tabela4[[#This Row],[Cabo]],'Lançamento de Cabos'!C:C)=0,"",SUMIF('Lançamento de Cabos'!B:B,Tabela4[[#This Row],[Cabo]],'Lançamento de Cabos'!C:C))</f>
        <v/>
      </c>
      <c r="O255" s="28" t="str">
        <f ca="1">IFERROR(IF(Tabela4[[#This Row],[Compr. Lançado]]/Tabela4[[#This Row],[Compr. Prev.]]&gt;1,1,Tabela4[[#This Row],[Compr. Lançado]]/Tabela4[[#This Row],[Compr. Prev.]]),"")</f>
        <v/>
      </c>
      <c r="P255" s="24" t="str">
        <f ca="1">IFERROR(VLOOKUP(Tabela4[[#This Row],[Cabo]],BD!A:V,11,0),"")</f>
        <v/>
      </c>
      <c r="Q255" s="24" t="str">
        <f ca="1">IFERROR(VLOOKUP(Tabela4[[#This Row],[Cabo]],BD!A:V,12,0),"")</f>
        <v/>
      </c>
      <c r="R25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5" s="23" t="str">
        <f ca="1">IF(Tabela4[[#This Row],[Cabo]]&lt;&gt;"",4-COUNTIF(Tabela4[[#This Row],[Teste de Continuidade]:[Hipot]],"---"),"")</f>
        <v/>
      </c>
      <c r="W255" s="29" t="str">
        <f ca="1">IF(Tabela4[[#This Row],[Cabo]]&lt;&gt;"",(COUNTIF(Tabela4[[#This Row],[Teste de Continuidade]:[Hipot]],"OK"))/(4-COUNTIF(Tabela4[[#This Row],[Teste de Continuidade]:[Hipot]],"---")),"")</f>
        <v/>
      </c>
      <c r="X255" s="23" t="str">
        <f ca="1">IF(Tabela4[[#This Row],[Cabo]]&lt;&gt;"",SUMIFS('Lançamento de Cabos'!$AF:$AF,'Lançamento de Cabos'!AE:AE,Tabela4[[#This Row],[Cabo]],'Lançamento de Cabos'!AJ:AJ,Área!$B$1),"")</f>
        <v/>
      </c>
      <c r="Y255" s="23" t="str">
        <f ca="1">IF(Tabela4[[#This Row],[Cabo]]&lt;&gt;"",SUMIFS('Lançamento de Cabos'!$AG:$AG,'Lançamento de Cabos'!AE:AE,Tabela4[[#This Row],[Cabo]],'Lançamento de Cabos'!AJ:AJ,Área!$B$1),"")</f>
        <v/>
      </c>
      <c r="Z255" s="23" t="e">
        <f ca="1">VLOOKUP(Tabela4[[#This Row],[Cabo]],BD!A:AB,28,0)</f>
        <v>#N/A</v>
      </c>
    </row>
    <row r="256" spans="3:26" x14ac:dyDescent="0.25">
      <c r="C256" s="391" t="str">
        <f ca="1">IF($B$1="Geral",Tabela1[[#This Row],[Tag do Cabo]],IFERROR(INDEX(INDIRECT("BD!$A"&amp;D256&amp;":$A100000"),E256,1),""))</f>
        <v/>
      </c>
      <c r="D256" s="391" t="str">
        <f t="shared" ca="1" si="12"/>
        <v/>
      </c>
      <c r="E256" s="391" t="str">
        <f t="shared" ca="1" si="13"/>
        <v/>
      </c>
      <c r="F256" s="23" t="str">
        <f ca="1">IFERROR(VLOOKUP(Tabela4[[#This Row],[Cabo]],BD!A:V,2,0),"")</f>
        <v/>
      </c>
      <c r="G256" s="391" t="str">
        <f ca="1">IFERROR(VLOOKUP(Tabela4[[#This Row],[Cabo]],BD!A:V,5,0),"")</f>
        <v/>
      </c>
      <c r="H256" s="23" t="str">
        <f ca="1">IFERROR(VLOOKUP(Tabela4[[#This Row],[Cabo]],BD!A:V,3,0),"")</f>
        <v/>
      </c>
      <c r="I256" s="23" t="str">
        <f ca="1">IFERROR(VLOOKUP(Tabela4[[#This Row],[Cabo]],BD!A:V,4,0),"")</f>
        <v/>
      </c>
      <c r="J256" s="23" t="str">
        <f ca="1">IFERROR(VLOOKUP(Tabela4[[#This Row],[Cabo]],BD!A:V,7,0),"")</f>
        <v/>
      </c>
      <c r="K25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6" s="23" t="str">
        <f ca="1">IFERROR(VLOOKUP(Tabela4[[#This Row],[Cabo]],BD!A:V,9,0),"")</f>
        <v/>
      </c>
      <c r="M256" s="23" t="str">
        <f ca="1">IFERROR(VLOOKUP(Tabela4[[#This Row],[Cabo]],BD!A:AD,30,0),"")</f>
        <v/>
      </c>
      <c r="N256" s="23" t="str">
        <f ca="1">IF(SUMIF('Lançamento de Cabos'!B:B,Tabela4[[#This Row],[Cabo]],'Lançamento de Cabos'!C:C)=0,"",SUMIF('Lançamento de Cabos'!B:B,Tabela4[[#This Row],[Cabo]],'Lançamento de Cabos'!C:C))</f>
        <v/>
      </c>
      <c r="O256" s="28" t="str">
        <f ca="1">IFERROR(IF(Tabela4[[#This Row],[Compr. Lançado]]/Tabela4[[#This Row],[Compr. Prev.]]&gt;1,1,Tabela4[[#This Row],[Compr. Lançado]]/Tabela4[[#This Row],[Compr. Prev.]]),"")</f>
        <v/>
      </c>
      <c r="P256" s="24" t="str">
        <f ca="1">IFERROR(VLOOKUP(Tabela4[[#This Row],[Cabo]],BD!A:V,11,0),"")</f>
        <v/>
      </c>
      <c r="Q256" s="24" t="str">
        <f ca="1">IFERROR(VLOOKUP(Tabela4[[#This Row],[Cabo]],BD!A:V,12,0),"")</f>
        <v/>
      </c>
      <c r="R25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6" s="23" t="str">
        <f ca="1">IF(Tabela4[[#This Row],[Cabo]]&lt;&gt;"",4-COUNTIF(Tabela4[[#This Row],[Teste de Continuidade]:[Hipot]],"---"),"")</f>
        <v/>
      </c>
      <c r="W256" s="29" t="str">
        <f ca="1">IF(Tabela4[[#This Row],[Cabo]]&lt;&gt;"",(COUNTIF(Tabela4[[#This Row],[Teste de Continuidade]:[Hipot]],"OK"))/(4-COUNTIF(Tabela4[[#This Row],[Teste de Continuidade]:[Hipot]],"---")),"")</f>
        <v/>
      </c>
      <c r="X256" s="23" t="str">
        <f ca="1">IF(Tabela4[[#This Row],[Cabo]]&lt;&gt;"",SUMIFS('Lançamento de Cabos'!$AF:$AF,'Lançamento de Cabos'!AE:AE,Tabela4[[#This Row],[Cabo]],'Lançamento de Cabos'!AJ:AJ,Área!$B$1),"")</f>
        <v/>
      </c>
      <c r="Y256" s="23" t="str">
        <f ca="1">IF(Tabela4[[#This Row],[Cabo]]&lt;&gt;"",SUMIFS('Lançamento de Cabos'!$AG:$AG,'Lançamento de Cabos'!AE:AE,Tabela4[[#This Row],[Cabo]],'Lançamento de Cabos'!AJ:AJ,Área!$B$1),"")</f>
        <v/>
      </c>
      <c r="Z256" s="23" t="e">
        <f ca="1">VLOOKUP(Tabela4[[#This Row],[Cabo]],BD!A:AB,28,0)</f>
        <v>#N/A</v>
      </c>
    </row>
    <row r="257" spans="3:26" x14ac:dyDescent="0.25">
      <c r="C257" s="391" t="str">
        <f ca="1">IF($B$1="Geral",Tabela1[[#This Row],[Tag do Cabo]],IFERROR(INDEX(INDIRECT("BD!$A"&amp;D257&amp;":$A100000"),E257,1),""))</f>
        <v/>
      </c>
      <c r="D257" s="391" t="str">
        <f t="shared" ca="1" si="12"/>
        <v/>
      </c>
      <c r="E257" s="391" t="str">
        <f t="shared" ca="1" si="13"/>
        <v/>
      </c>
      <c r="F257" s="23" t="str">
        <f ca="1">IFERROR(VLOOKUP(Tabela4[[#This Row],[Cabo]],BD!A:V,2,0),"")</f>
        <v/>
      </c>
      <c r="G257" s="391" t="str">
        <f ca="1">IFERROR(VLOOKUP(Tabela4[[#This Row],[Cabo]],BD!A:V,5,0),"")</f>
        <v/>
      </c>
      <c r="H257" s="23" t="str">
        <f ca="1">IFERROR(VLOOKUP(Tabela4[[#This Row],[Cabo]],BD!A:V,3,0),"")</f>
        <v/>
      </c>
      <c r="I257" s="23" t="str">
        <f ca="1">IFERROR(VLOOKUP(Tabela4[[#This Row],[Cabo]],BD!A:V,4,0),"")</f>
        <v/>
      </c>
      <c r="J257" s="23" t="str">
        <f ca="1">IFERROR(VLOOKUP(Tabela4[[#This Row],[Cabo]],BD!A:V,7,0),"")</f>
        <v/>
      </c>
      <c r="K25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7" s="23" t="str">
        <f ca="1">IFERROR(VLOOKUP(Tabela4[[#This Row],[Cabo]],BD!A:V,9,0),"")</f>
        <v/>
      </c>
      <c r="M257" s="23" t="str">
        <f ca="1">IFERROR(VLOOKUP(Tabela4[[#This Row],[Cabo]],BD!A:AD,30,0),"")</f>
        <v/>
      </c>
      <c r="N257" s="23" t="str">
        <f ca="1">IF(SUMIF('Lançamento de Cabos'!B:B,Tabela4[[#This Row],[Cabo]],'Lançamento de Cabos'!C:C)=0,"",SUMIF('Lançamento de Cabos'!B:B,Tabela4[[#This Row],[Cabo]],'Lançamento de Cabos'!C:C))</f>
        <v/>
      </c>
      <c r="O257" s="28" t="str">
        <f ca="1">IFERROR(IF(Tabela4[[#This Row],[Compr. Lançado]]/Tabela4[[#This Row],[Compr. Prev.]]&gt;1,1,Tabela4[[#This Row],[Compr. Lançado]]/Tabela4[[#This Row],[Compr. Prev.]]),"")</f>
        <v/>
      </c>
      <c r="P257" s="24" t="str">
        <f ca="1">IFERROR(VLOOKUP(Tabela4[[#This Row],[Cabo]],BD!A:V,11,0),"")</f>
        <v/>
      </c>
      <c r="Q257" s="24" t="str">
        <f ca="1">IFERROR(VLOOKUP(Tabela4[[#This Row],[Cabo]],BD!A:V,12,0),"")</f>
        <v/>
      </c>
      <c r="R25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7" s="23" t="str">
        <f ca="1">IF(Tabela4[[#This Row],[Cabo]]&lt;&gt;"",4-COUNTIF(Tabela4[[#This Row],[Teste de Continuidade]:[Hipot]],"---"),"")</f>
        <v/>
      </c>
      <c r="W257" s="29" t="str">
        <f ca="1">IF(Tabela4[[#This Row],[Cabo]]&lt;&gt;"",(COUNTIF(Tabela4[[#This Row],[Teste de Continuidade]:[Hipot]],"OK"))/(4-COUNTIF(Tabela4[[#This Row],[Teste de Continuidade]:[Hipot]],"---")),"")</f>
        <v/>
      </c>
      <c r="X257" s="23" t="str">
        <f ca="1">IF(Tabela4[[#This Row],[Cabo]]&lt;&gt;"",SUMIFS('Lançamento de Cabos'!$AF:$AF,'Lançamento de Cabos'!AE:AE,Tabela4[[#This Row],[Cabo]],'Lançamento de Cabos'!AJ:AJ,Área!$B$1),"")</f>
        <v/>
      </c>
      <c r="Y257" s="23" t="str">
        <f ca="1">IF(Tabela4[[#This Row],[Cabo]]&lt;&gt;"",SUMIFS('Lançamento de Cabos'!$AG:$AG,'Lançamento de Cabos'!AE:AE,Tabela4[[#This Row],[Cabo]],'Lançamento de Cabos'!AJ:AJ,Área!$B$1),"")</f>
        <v/>
      </c>
      <c r="Z257" s="23" t="e">
        <f ca="1">VLOOKUP(Tabela4[[#This Row],[Cabo]],BD!A:AB,28,0)</f>
        <v>#N/A</v>
      </c>
    </row>
    <row r="258" spans="3:26" x14ac:dyDescent="0.25">
      <c r="C258" s="391" t="str">
        <f ca="1">IF($B$1="Geral",Tabela1[[#This Row],[Tag do Cabo]],IFERROR(INDEX(INDIRECT("BD!$A"&amp;D258&amp;":$A100000"),E258,1),""))</f>
        <v/>
      </c>
      <c r="D258" s="391" t="str">
        <f t="shared" ca="1" si="12"/>
        <v/>
      </c>
      <c r="E258" s="391" t="str">
        <f t="shared" ca="1" si="13"/>
        <v/>
      </c>
      <c r="F258" s="23" t="str">
        <f ca="1">IFERROR(VLOOKUP(Tabela4[[#This Row],[Cabo]],BD!A:V,2,0),"")</f>
        <v/>
      </c>
      <c r="G258" s="391" t="str">
        <f ca="1">IFERROR(VLOOKUP(Tabela4[[#This Row],[Cabo]],BD!A:V,5,0),"")</f>
        <v/>
      </c>
      <c r="H258" s="23" t="str">
        <f ca="1">IFERROR(VLOOKUP(Tabela4[[#This Row],[Cabo]],BD!A:V,3,0),"")</f>
        <v/>
      </c>
      <c r="I258" s="23" t="str">
        <f ca="1">IFERROR(VLOOKUP(Tabela4[[#This Row],[Cabo]],BD!A:V,4,0),"")</f>
        <v/>
      </c>
      <c r="J258" s="23" t="str">
        <f ca="1">IFERROR(VLOOKUP(Tabela4[[#This Row],[Cabo]],BD!A:V,7,0),"")</f>
        <v/>
      </c>
      <c r="K25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8" s="23" t="str">
        <f ca="1">IFERROR(VLOOKUP(Tabela4[[#This Row],[Cabo]],BD!A:V,9,0),"")</f>
        <v/>
      </c>
      <c r="M258" s="23" t="str">
        <f ca="1">IFERROR(VLOOKUP(Tabela4[[#This Row],[Cabo]],BD!A:AD,30,0),"")</f>
        <v/>
      </c>
      <c r="N258" s="23" t="str">
        <f ca="1">IF(SUMIF('Lançamento de Cabos'!B:B,Tabela4[[#This Row],[Cabo]],'Lançamento de Cabos'!C:C)=0,"",SUMIF('Lançamento de Cabos'!B:B,Tabela4[[#This Row],[Cabo]],'Lançamento de Cabos'!C:C))</f>
        <v/>
      </c>
      <c r="O258" s="28" t="str">
        <f ca="1">IFERROR(IF(Tabela4[[#This Row],[Compr. Lançado]]/Tabela4[[#This Row],[Compr. Prev.]]&gt;1,1,Tabela4[[#This Row],[Compr. Lançado]]/Tabela4[[#This Row],[Compr. Prev.]]),"")</f>
        <v/>
      </c>
      <c r="P258" s="24" t="str">
        <f ca="1">IFERROR(VLOOKUP(Tabela4[[#This Row],[Cabo]],BD!A:V,11,0),"")</f>
        <v/>
      </c>
      <c r="Q258" s="24" t="str">
        <f ca="1">IFERROR(VLOOKUP(Tabela4[[#This Row],[Cabo]],BD!A:V,12,0),"")</f>
        <v/>
      </c>
      <c r="R25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8" s="23" t="str">
        <f ca="1">IF(Tabela4[[#This Row],[Cabo]]&lt;&gt;"",4-COUNTIF(Tabela4[[#This Row],[Teste de Continuidade]:[Hipot]],"---"),"")</f>
        <v/>
      </c>
      <c r="W258" s="29" t="str">
        <f ca="1">IF(Tabela4[[#This Row],[Cabo]]&lt;&gt;"",(COUNTIF(Tabela4[[#This Row],[Teste de Continuidade]:[Hipot]],"OK"))/(4-COUNTIF(Tabela4[[#This Row],[Teste de Continuidade]:[Hipot]],"---")),"")</f>
        <v/>
      </c>
      <c r="X258" s="23" t="str">
        <f ca="1">IF(Tabela4[[#This Row],[Cabo]]&lt;&gt;"",SUMIFS('Lançamento de Cabos'!$AF:$AF,'Lançamento de Cabos'!AE:AE,Tabela4[[#This Row],[Cabo]],'Lançamento de Cabos'!AJ:AJ,Área!$B$1),"")</f>
        <v/>
      </c>
      <c r="Y258" s="23" t="str">
        <f ca="1">IF(Tabela4[[#This Row],[Cabo]]&lt;&gt;"",SUMIFS('Lançamento de Cabos'!$AG:$AG,'Lançamento de Cabos'!AE:AE,Tabela4[[#This Row],[Cabo]],'Lançamento de Cabos'!AJ:AJ,Área!$B$1),"")</f>
        <v/>
      </c>
      <c r="Z258" s="23" t="e">
        <f ca="1">VLOOKUP(Tabela4[[#This Row],[Cabo]],BD!A:AB,28,0)</f>
        <v>#N/A</v>
      </c>
    </row>
    <row r="259" spans="3:26" x14ac:dyDescent="0.25">
      <c r="C259" s="391" t="str">
        <f ca="1">IF($B$1="Geral",Tabela1[[#This Row],[Tag do Cabo]],IFERROR(INDEX(INDIRECT("BD!$A"&amp;D259&amp;":$A100000"),E259,1),""))</f>
        <v/>
      </c>
      <c r="D259" s="391" t="str">
        <f t="shared" ca="1" si="12"/>
        <v/>
      </c>
      <c r="E259" s="391" t="str">
        <f t="shared" ca="1" si="13"/>
        <v/>
      </c>
      <c r="F259" s="23" t="str">
        <f ca="1">IFERROR(VLOOKUP(Tabela4[[#This Row],[Cabo]],BD!A:V,2,0),"")</f>
        <v/>
      </c>
      <c r="G259" s="391" t="str">
        <f ca="1">IFERROR(VLOOKUP(Tabela4[[#This Row],[Cabo]],BD!A:V,5,0),"")</f>
        <v/>
      </c>
      <c r="H259" s="23" t="str">
        <f ca="1">IFERROR(VLOOKUP(Tabela4[[#This Row],[Cabo]],BD!A:V,3,0),"")</f>
        <v/>
      </c>
      <c r="I259" s="23" t="str">
        <f ca="1">IFERROR(VLOOKUP(Tabela4[[#This Row],[Cabo]],BD!A:V,4,0),"")</f>
        <v/>
      </c>
      <c r="J259" s="23" t="str">
        <f ca="1">IFERROR(VLOOKUP(Tabela4[[#This Row],[Cabo]],BD!A:V,7,0),"")</f>
        <v/>
      </c>
      <c r="K25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59" s="23" t="str">
        <f ca="1">IFERROR(VLOOKUP(Tabela4[[#This Row],[Cabo]],BD!A:V,9,0),"")</f>
        <v/>
      </c>
      <c r="M259" s="23" t="str">
        <f ca="1">IFERROR(VLOOKUP(Tabela4[[#This Row],[Cabo]],BD!A:AD,30,0),"")</f>
        <v/>
      </c>
      <c r="N259" s="23" t="str">
        <f ca="1">IF(SUMIF('Lançamento de Cabos'!B:B,Tabela4[[#This Row],[Cabo]],'Lançamento de Cabos'!C:C)=0,"",SUMIF('Lançamento de Cabos'!B:B,Tabela4[[#This Row],[Cabo]],'Lançamento de Cabos'!C:C))</f>
        <v/>
      </c>
      <c r="O259" s="28" t="str">
        <f ca="1">IFERROR(IF(Tabela4[[#This Row],[Compr. Lançado]]/Tabela4[[#This Row],[Compr. Prev.]]&gt;1,1,Tabela4[[#This Row],[Compr. Lançado]]/Tabela4[[#This Row],[Compr. Prev.]]),"")</f>
        <v/>
      </c>
      <c r="P259" s="24" t="str">
        <f ca="1">IFERROR(VLOOKUP(Tabela4[[#This Row],[Cabo]],BD!A:V,11,0),"")</f>
        <v/>
      </c>
      <c r="Q259" s="24" t="str">
        <f ca="1">IFERROR(VLOOKUP(Tabela4[[#This Row],[Cabo]],BD!A:V,12,0),"")</f>
        <v/>
      </c>
      <c r="R25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5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5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5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59" s="23" t="str">
        <f ca="1">IF(Tabela4[[#This Row],[Cabo]]&lt;&gt;"",4-COUNTIF(Tabela4[[#This Row],[Teste de Continuidade]:[Hipot]],"---"),"")</f>
        <v/>
      </c>
      <c r="W259" s="29" t="str">
        <f ca="1">IF(Tabela4[[#This Row],[Cabo]]&lt;&gt;"",(COUNTIF(Tabela4[[#This Row],[Teste de Continuidade]:[Hipot]],"OK"))/(4-COUNTIF(Tabela4[[#This Row],[Teste de Continuidade]:[Hipot]],"---")),"")</f>
        <v/>
      </c>
      <c r="X259" s="23" t="str">
        <f ca="1">IF(Tabela4[[#This Row],[Cabo]]&lt;&gt;"",SUMIFS('Lançamento de Cabos'!$AF:$AF,'Lançamento de Cabos'!AE:AE,Tabela4[[#This Row],[Cabo]],'Lançamento de Cabos'!AJ:AJ,Área!$B$1),"")</f>
        <v/>
      </c>
      <c r="Y259" s="23" t="str">
        <f ca="1">IF(Tabela4[[#This Row],[Cabo]]&lt;&gt;"",SUMIFS('Lançamento de Cabos'!$AG:$AG,'Lançamento de Cabos'!AE:AE,Tabela4[[#This Row],[Cabo]],'Lançamento de Cabos'!AJ:AJ,Área!$B$1),"")</f>
        <v/>
      </c>
      <c r="Z259" s="23" t="e">
        <f ca="1">VLOOKUP(Tabela4[[#This Row],[Cabo]],BD!A:AB,28,0)</f>
        <v>#N/A</v>
      </c>
    </row>
    <row r="260" spans="3:26" x14ac:dyDescent="0.25">
      <c r="C260" s="391" t="str">
        <f ca="1">IF($B$1="Geral",Tabela1[[#This Row],[Tag do Cabo]],IFERROR(INDEX(INDIRECT("BD!$A"&amp;D260&amp;":$A100000"),E260,1),""))</f>
        <v/>
      </c>
      <c r="D260" s="391" t="str">
        <f t="shared" ca="1" si="12"/>
        <v/>
      </c>
      <c r="E260" s="391" t="str">
        <f t="shared" ca="1" si="13"/>
        <v/>
      </c>
      <c r="F260" s="23" t="str">
        <f ca="1">IFERROR(VLOOKUP(Tabela4[[#This Row],[Cabo]],BD!A:V,2,0),"")</f>
        <v/>
      </c>
      <c r="G260" s="391" t="str">
        <f ca="1">IFERROR(VLOOKUP(Tabela4[[#This Row],[Cabo]],BD!A:V,5,0),"")</f>
        <v/>
      </c>
      <c r="H260" s="23" t="str">
        <f ca="1">IFERROR(VLOOKUP(Tabela4[[#This Row],[Cabo]],BD!A:V,3,0),"")</f>
        <v/>
      </c>
      <c r="I260" s="23" t="str">
        <f ca="1">IFERROR(VLOOKUP(Tabela4[[#This Row],[Cabo]],BD!A:V,4,0),"")</f>
        <v/>
      </c>
      <c r="J260" s="23" t="str">
        <f ca="1">IFERROR(VLOOKUP(Tabela4[[#This Row],[Cabo]],BD!A:V,7,0),"")</f>
        <v/>
      </c>
      <c r="K26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0" s="23" t="str">
        <f ca="1">IFERROR(VLOOKUP(Tabela4[[#This Row],[Cabo]],BD!A:V,9,0),"")</f>
        <v/>
      </c>
      <c r="M260" s="23" t="str">
        <f ca="1">IFERROR(VLOOKUP(Tabela4[[#This Row],[Cabo]],BD!A:AD,30,0),"")</f>
        <v/>
      </c>
      <c r="N260" s="23" t="str">
        <f ca="1">IF(SUMIF('Lançamento de Cabos'!B:B,Tabela4[[#This Row],[Cabo]],'Lançamento de Cabos'!C:C)=0,"",SUMIF('Lançamento de Cabos'!B:B,Tabela4[[#This Row],[Cabo]],'Lançamento de Cabos'!C:C))</f>
        <v/>
      </c>
      <c r="O260" s="28" t="str">
        <f ca="1">IFERROR(IF(Tabela4[[#This Row],[Compr. Lançado]]/Tabela4[[#This Row],[Compr. Prev.]]&gt;1,1,Tabela4[[#This Row],[Compr. Lançado]]/Tabela4[[#This Row],[Compr. Prev.]]),"")</f>
        <v/>
      </c>
      <c r="P260" s="24" t="str">
        <f ca="1">IFERROR(VLOOKUP(Tabela4[[#This Row],[Cabo]],BD!A:V,11,0),"")</f>
        <v/>
      </c>
      <c r="Q260" s="24" t="str">
        <f ca="1">IFERROR(VLOOKUP(Tabela4[[#This Row],[Cabo]],BD!A:V,12,0),"")</f>
        <v/>
      </c>
      <c r="R26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0" s="23" t="str">
        <f ca="1">IF(Tabela4[[#This Row],[Cabo]]&lt;&gt;"",4-COUNTIF(Tabela4[[#This Row],[Teste de Continuidade]:[Hipot]],"---"),"")</f>
        <v/>
      </c>
      <c r="W260" s="29" t="str">
        <f ca="1">IF(Tabela4[[#This Row],[Cabo]]&lt;&gt;"",(COUNTIF(Tabela4[[#This Row],[Teste de Continuidade]:[Hipot]],"OK"))/(4-COUNTIF(Tabela4[[#This Row],[Teste de Continuidade]:[Hipot]],"---")),"")</f>
        <v/>
      </c>
      <c r="X260" s="23" t="str">
        <f ca="1">IF(Tabela4[[#This Row],[Cabo]]&lt;&gt;"",SUMIFS('Lançamento de Cabos'!$AF:$AF,'Lançamento de Cabos'!AE:AE,Tabela4[[#This Row],[Cabo]],'Lançamento de Cabos'!AJ:AJ,Área!$B$1),"")</f>
        <v/>
      </c>
      <c r="Y260" s="23" t="str">
        <f ca="1">IF(Tabela4[[#This Row],[Cabo]]&lt;&gt;"",SUMIFS('Lançamento de Cabos'!$AG:$AG,'Lançamento de Cabos'!AE:AE,Tabela4[[#This Row],[Cabo]],'Lançamento de Cabos'!AJ:AJ,Área!$B$1),"")</f>
        <v/>
      </c>
      <c r="Z260" s="23" t="e">
        <f ca="1">VLOOKUP(Tabela4[[#This Row],[Cabo]],BD!A:AB,28,0)</f>
        <v>#N/A</v>
      </c>
    </row>
    <row r="261" spans="3:26" x14ac:dyDescent="0.25">
      <c r="C261" s="391" t="str">
        <f ca="1">IF($B$1="Geral",Tabela1[[#This Row],[Tag do Cabo]],IFERROR(INDEX(INDIRECT("BD!$A"&amp;D261&amp;":$A100000"),E261,1),""))</f>
        <v/>
      </c>
      <c r="D261" s="391" t="str">
        <f t="shared" ca="1" si="12"/>
        <v/>
      </c>
      <c r="E261" s="391" t="str">
        <f t="shared" ca="1" si="13"/>
        <v/>
      </c>
      <c r="F261" s="23" t="str">
        <f ca="1">IFERROR(VLOOKUP(Tabela4[[#This Row],[Cabo]],BD!A:V,2,0),"")</f>
        <v/>
      </c>
      <c r="G261" s="391" t="str">
        <f ca="1">IFERROR(VLOOKUP(Tabela4[[#This Row],[Cabo]],BD!A:V,5,0),"")</f>
        <v/>
      </c>
      <c r="H261" s="23" t="str">
        <f ca="1">IFERROR(VLOOKUP(Tabela4[[#This Row],[Cabo]],BD!A:V,3,0),"")</f>
        <v/>
      </c>
      <c r="I261" s="23" t="str">
        <f ca="1">IFERROR(VLOOKUP(Tabela4[[#This Row],[Cabo]],BD!A:V,4,0),"")</f>
        <v/>
      </c>
      <c r="J261" s="23" t="str">
        <f ca="1">IFERROR(VLOOKUP(Tabela4[[#This Row],[Cabo]],BD!A:V,7,0),"")</f>
        <v/>
      </c>
      <c r="K26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1" s="23" t="str">
        <f ca="1">IFERROR(VLOOKUP(Tabela4[[#This Row],[Cabo]],BD!A:V,9,0),"")</f>
        <v/>
      </c>
      <c r="M261" s="23" t="str">
        <f ca="1">IFERROR(VLOOKUP(Tabela4[[#This Row],[Cabo]],BD!A:AD,30,0),"")</f>
        <v/>
      </c>
      <c r="N261" s="23" t="str">
        <f ca="1">IF(SUMIF('Lançamento de Cabos'!B:B,Tabela4[[#This Row],[Cabo]],'Lançamento de Cabos'!C:C)=0,"",SUMIF('Lançamento de Cabos'!B:B,Tabela4[[#This Row],[Cabo]],'Lançamento de Cabos'!C:C))</f>
        <v/>
      </c>
      <c r="O261" s="28" t="str">
        <f ca="1">IFERROR(IF(Tabela4[[#This Row],[Compr. Lançado]]/Tabela4[[#This Row],[Compr. Prev.]]&gt;1,1,Tabela4[[#This Row],[Compr. Lançado]]/Tabela4[[#This Row],[Compr. Prev.]]),"")</f>
        <v/>
      </c>
      <c r="P261" s="24" t="str">
        <f ca="1">IFERROR(VLOOKUP(Tabela4[[#This Row],[Cabo]],BD!A:V,11,0),"")</f>
        <v/>
      </c>
      <c r="Q261" s="24" t="str">
        <f ca="1">IFERROR(VLOOKUP(Tabela4[[#This Row],[Cabo]],BD!A:V,12,0),"")</f>
        <v/>
      </c>
      <c r="R26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1" s="23" t="str">
        <f ca="1">IF(Tabela4[[#This Row],[Cabo]]&lt;&gt;"",4-COUNTIF(Tabela4[[#This Row],[Teste de Continuidade]:[Hipot]],"---"),"")</f>
        <v/>
      </c>
      <c r="W261" s="29" t="str">
        <f ca="1">IF(Tabela4[[#This Row],[Cabo]]&lt;&gt;"",(COUNTIF(Tabela4[[#This Row],[Teste de Continuidade]:[Hipot]],"OK"))/(4-COUNTIF(Tabela4[[#This Row],[Teste de Continuidade]:[Hipot]],"---")),"")</f>
        <v/>
      </c>
      <c r="X261" s="23" t="str">
        <f ca="1">IF(Tabela4[[#This Row],[Cabo]]&lt;&gt;"",SUMIFS('Lançamento de Cabos'!$AF:$AF,'Lançamento de Cabos'!AE:AE,Tabela4[[#This Row],[Cabo]],'Lançamento de Cabos'!AJ:AJ,Área!$B$1),"")</f>
        <v/>
      </c>
      <c r="Y261" s="23" t="str">
        <f ca="1">IF(Tabela4[[#This Row],[Cabo]]&lt;&gt;"",SUMIFS('Lançamento de Cabos'!$AG:$AG,'Lançamento de Cabos'!AE:AE,Tabela4[[#This Row],[Cabo]],'Lançamento de Cabos'!AJ:AJ,Área!$B$1),"")</f>
        <v/>
      </c>
      <c r="Z261" s="23" t="e">
        <f ca="1">VLOOKUP(Tabela4[[#This Row],[Cabo]],BD!A:AB,28,0)</f>
        <v>#N/A</v>
      </c>
    </row>
    <row r="262" spans="3:26" x14ac:dyDescent="0.25">
      <c r="C262" s="391" t="str">
        <f ca="1">IF($B$1="Geral",Tabela1[[#This Row],[Tag do Cabo]],IFERROR(INDEX(INDIRECT("BD!$A"&amp;D262&amp;":$A100000"),E262,1),""))</f>
        <v/>
      </c>
      <c r="D262" s="391" t="str">
        <f t="shared" ca="1" si="12"/>
        <v/>
      </c>
      <c r="E262" s="391" t="str">
        <f t="shared" ca="1" si="13"/>
        <v/>
      </c>
      <c r="F262" s="23" t="str">
        <f ca="1">IFERROR(VLOOKUP(Tabela4[[#This Row],[Cabo]],BD!A:V,2,0),"")</f>
        <v/>
      </c>
      <c r="G262" s="391" t="str">
        <f ca="1">IFERROR(VLOOKUP(Tabela4[[#This Row],[Cabo]],BD!A:V,5,0),"")</f>
        <v/>
      </c>
      <c r="H262" s="23" t="str">
        <f ca="1">IFERROR(VLOOKUP(Tabela4[[#This Row],[Cabo]],BD!A:V,3,0),"")</f>
        <v/>
      </c>
      <c r="I262" s="23" t="str">
        <f ca="1">IFERROR(VLOOKUP(Tabela4[[#This Row],[Cabo]],BD!A:V,4,0),"")</f>
        <v/>
      </c>
      <c r="J262" s="23" t="str">
        <f ca="1">IFERROR(VLOOKUP(Tabela4[[#This Row],[Cabo]],BD!A:V,7,0),"")</f>
        <v/>
      </c>
      <c r="K26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2" s="23" t="str">
        <f ca="1">IFERROR(VLOOKUP(Tabela4[[#This Row],[Cabo]],BD!A:V,9,0),"")</f>
        <v/>
      </c>
      <c r="M262" s="23" t="str">
        <f ca="1">IFERROR(VLOOKUP(Tabela4[[#This Row],[Cabo]],BD!A:AD,30,0),"")</f>
        <v/>
      </c>
      <c r="N262" s="23" t="str">
        <f ca="1">IF(SUMIF('Lançamento de Cabos'!B:B,Tabela4[[#This Row],[Cabo]],'Lançamento de Cabos'!C:C)=0,"",SUMIF('Lançamento de Cabos'!B:B,Tabela4[[#This Row],[Cabo]],'Lançamento de Cabos'!C:C))</f>
        <v/>
      </c>
      <c r="O262" s="28" t="str">
        <f ca="1">IFERROR(IF(Tabela4[[#This Row],[Compr. Lançado]]/Tabela4[[#This Row],[Compr. Prev.]]&gt;1,1,Tabela4[[#This Row],[Compr. Lançado]]/Tabela4[[#This Row],[Compr. Prev.]]),"")</f>
        <v/>
      </c>
      <c r="P262" s="24" t="str">
        <f ca="1">IFERROR(VLOOKUP(Tabela4[[#This Row],[Cabo]],BD!A:V,11,0),"")</f>
        <v/>
      </c>
      <c r="Q262" s="24" t="str">
        <f ca="1">IFERROR(VLOOKUP(Tabela4[[#This Row],[Cabo]],BD!A:V,12,0),"")</f>
        <v/>
      </c>
      <c r="R26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2" s="23" t="str">
        <f ca="1">IF(Tabela4[[#This Row],[Cabo]]&lt;&gt;"",4-COUNTIF(Tabela4[[#This Row],[Teste de Continuidade]:[Hipot]],"---"),"")</f>
        <v/>
      </c>
      <c r="W262" s="29" t="str">
        <f ca="1">IF(Tabela4[[#This Row],[Cabo]]&lt;&gt;"",(COUNTIF(Tabela4[[#This Row],[Teste de Continuidade]:[Hipot]],"OK"))/(4-COUNTIF(Tabela4[[#This Row],[Teste de Continuidade]:[Hipot]],"---")),"")</f>
        <v/>
      </c>
      <c r="X262" s="23" t="str">
        <f ca="1">IF(Tabela4[[#This Row],[Cabo]]&lt;&gt;"",SUMIFS('Lançamento de Cabos'!$AF:$AF,'Lançamento de Cabos'!AE:AE,Tabela4[[#This Row],[Cabo]],'Lançamento de Cabos'!AJ:AJ,Área!$B$1),"")</f>
        <v/>
      </c>
      <c r="Y262" s="23" t="str">
        <f ca="1">IF(Tabela4[[#This Row],[Cabo]]&lt;&gt;"",SUMIFS('Lançamento de Cabos'!$AG:$AG,'Lançamento de Cabos'!AE:AE,Tabela4[[#This Row],[Cabo]],'Lançamento de Cabos'!AJ:AJ,Área!$B$1),"")</f>
        <v/>
      </c>
      <c r="Z262" s="23" t="e">
        <f ca="1">VLOOKUP(Tabela4[[#This Row],[Cabo]],BD!A:AB,28,0)</f>
        <v>#N/A</v>
      </c>
    </row>
    <row r="263" spans="3:26" x14ac:dyDescent="0.25">
      <c r="C263" s="391" t="str">
        <f ca="1">IF($B$1="Geral",Tabela1[[#This Row],[Tag do Cabo]],IFERROR(INDEX(INDIRECT("BD!$A"&amp;D263&amp;":$A100000"),E263,1),""))</f>
        <v/>
      </c>
      <c r="D263" s="391" t="str">
        <f t="shared" ca="1" si="12"/>
        <v/>
      </c>
      <c r="E263" s="391" t="str">
        <f t="shared" ca="1" si="13"/>
        <v/>
      </c>
      <c r="F263" s="23" t="str">
        <f ca="1">IFERROR(VLOOKUP(Tabela4[[#This Row],[Cabo]],BD!A:V,2,0),"")</f>
        <v/>
      </c>
      <c r="G263" s="391" t="str">
        <f ca="1">IFERROR(VLOOKUP(Tabela4[[#This Row],[Cabo]],BD!A:V,5,0),"")</f>
        <v/>
      </c>
      <c r="H263" s="23" t="str">
        <f ca="1">IFERROR(VLOOKUP(Tabela4[[#This Row],[Cabo]],BD!A:V,3,0),"")</f>
        <v/>
      </c>
      <c r="I263" s="23" t="str">
        <f ca="1">IFERROR(VLOOKUP(Tabela4[[#This Row],[Cabo]],BD!A:V,4,0),"")</f>
        <v/>
      </c>
      <c r="J263" s="23" t="str">
        <f ca="1">IFERROR(VLOOKUP(Tabela4[[#This Row],[Cabo]],BD!A:V,7,0),"")</f>
        <v/>
      </c>
      <c r="K26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3" s="23" t="str">
        <f ca="1">IFERROR(VLOOKUP(Tabela4[[#This Row],[Cabo]],BD!A:V,9,0),"")</f>
        <v/>
      </c>
      <c r="M263" s="23" t="str">
        <f ca="1">IFERROR(VLOOKUP(Tabela4[[#This Row],[Cabo]],BD!A:AD,30,0),"")</f>
        <v/>
      </c>
      <c r="N263" s="23" t="str">
        <f ca="1">IF(SUMIF('Lançamento de Cabos'!B:B,Tabela4[[#This Row],[Cabo]],'Lançamento de Cabos'!C:C)=0,"",SUMIF('Lançamento de Cabos'!B:B,Tabela4[[#This Row],[Cabo]],'Lançamento de Cabos'!C:C))</f>
        <v/>
      </c>
      <c r="O263" s="28" t="str">
        <f ca="1">IFERROR(IF(Tabela4[[#This Row],[Compr. Lançado]]/Tabela4[[#This Row],[Compr. Prev.]]&gt;1,1,Tabela4[[#This Row],[Compr. Lançado]]/Tabela4[[#This Row],[Compr. Prev.]]),"")</f>
        <v/>
      </c>
      <c r="P263" s="24" t="str">
        <f ca="1">IFERROR(VLOOKUP(Tabela4[[#This Row],[Cabo]],BD!A:V,11,0),"")</f>
        <v/>
      </c>
      <c r="Q263" s="24" t="str">
        <f ca="1">IFERROR(VLOOKUP(Tabela4[[#This Row],[Cabo]],BD!A:V,12,0),"")</f>
        <v/>
      </c>
      <c r="R26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3" s="23" t="str">
        <f ca="1">IF(Tabela4[[#This Row],[Cabo]]&lt;&gt;"",4-COUNTIF(Tabela4[[#This Row],[Teste de Continuidade]:[Hipot]],"---"),"")</f>
        <v/>
      </c>
      <c r="W263" s="29" t="str">
        <f ca="1">IF(Tabela4[[#This Row],[Cabo]]&lt;&gt;"",(COUNTIF(Tabela4[[#This Row],[Teste de Continuidade]:[Hipot]],"OK"))/(4-COUNTIF(Tabela4[[#This Row],[Teste de Continuidade]:[Hipot]],"---")),"")</f>
        <v/>
      </c>
      <c r="X263" s="23" t="str">
        <f ca="1">IF(Tabela4[[#This Row],[Cabo]]&lt;&gt;"",SUMIFS('Lançamento de Cabos'!$AF:$AF,'Lançamento de Cabos'!AE:AE,Tabela4[[#This Row],[Cabo]],'Lançamento de Cabos'!AJ:AJ,Área!$B$1),"")</f>
        <v/>
      </c>
      <c r="Y263" s="23" t="str">
        <f ca="1">IF(Tabela4[[#This Row],[Cabo]]&lt;&gt;"",SUMIFS('Lançamento de Cabos'!$AG:$AG,'Lançamento de Cabos'!AE:AE,Tabela4[[#This Row],[Cabo]],'Lançamento de Cabos'!AJ:AJ,Área!$B$1),"")</f>
        <v/>
      </c>
      <c r="Z263" s="23" t="e">
        <f ca="1">VLOOKUP(Tabela4[[#This Row],[Cabo]],BD!A:AB,28,0)</f>
        <v>#N/A</v>
      </c>
    </row>
    <row r="264" spans="3:26" x14ac:dyDescent="0.25">
      <c r="C264" s="391" t="str">
        <f ca="1">IF($B$1="Geral",Tabela1[[#This Row],[Tag do Cabo]],IFERROR(INDEX(INDIRECT("BD!$A"&amp;D264&amp;":$A100000"),E264,1),""))</f>
        <v/>
      </c>
      <c r="D264" s="391" t="str">
        <f t="shared" ca="1" si="12"/>
        <v/>
      </c>
      <c r="E264" s="391" t="str">
        <f t="shared" ca="1" si="13"/>
        <v/>
      </c>
      <c r="F264" s="23" t="str">
        <f ca="1">IFERROR(VLOOKUP(Tabela4[[#This Row],[Cabo]],BD!A:V,2,0),"")</f>
        <v/>
      </c>
      <c r="G264" s="391" t="str">
        <f ca="1">IFERROR(VLOOKUP(Tabela4[[#This Row],[Cabo]],BD!A:V,5,0),"")</f>
        <v/>
      </c>
      <c r="H264" s="23" t="str">
        <f ca="1">IFERROR(VLOOKUP(Tabela4[[#This Row],[Cabo]],BD!A:V,3,0),"")</f>
        <v/>
      </c>
      <c r="I264" s="23" t="str">
        <f ca="1">IFERROR(VLOOKUP(Tabela4[[#This Row],[Cabo]],BD!A:V,4,0),"")</f>
        <v/>
      </c>
      <c r="J264" s="23" t="str">
        <f ca="1">IFERROR(VLOOKUP(Tabela4[[#This Row],[Cabo]],BD!A:V,7,0),"")</f>
        <v/>
      </c>
      <c r="K26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4" s="23" t="str">
        <f ca="1">IFERROR(VLOOKUP(Tabela4[[#This Row],[Cabo]],BD!A:V,9,0),"")</f>
        <v/>
      </c>
      <c r="M264" s="23" t="str">
        <f ca="1">IFERROR(VLOOKUP(Tabela4[[#This Row],[Cabo]],BD!A:AD,30,0),"")</f>
        <v/>
      </c>
      <c r="N264" s="23" t="str">
        <f ca="1">IF(SUMIF('Lançamento de Cabos'!B:B,Tabela4[[#This Row],[Cabo]],'Lançamento de Cabos'!C:C)=0,"",SUMIF('Lançamento de Cabos'!B:B,Tabela4[[#This Row],[Cabo]],'Lançamento de Cabos'!C:C))</f>
        <v/>
      </c>
      <c r="O264" s="28" t="str">
        <f ca="1">IFERROR(IF(Tabela4[[#This Row],[Compr. Lançado]]/Tabela4[[#This Row],[Compr. Prev.]]&gt;1,1,Tabela4[[#This Row],[Compr. Lançado]]/Tabela4[[#This Row],[Compr. Prev.]]),"")</f>
        <v/>
      </c>
      <c r="P264" s="24" t="str">
        <f ca="1">IFERROR(VLOOKUP(Tabela4[[#This Row],[Cabo]],BD!A:V,11,0),"")</f>
        <v/>
      </c>
      <c r="Q264" s="24" t="str">
        <f ca="1">IFERROR(VLOOKUP(Tabela4[[#This Row],[Cabo]],BD!A:V,12,0),"")</f>
        <v/>
      </c>
      <c r="R26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4" s="23" t="str">
        <f ca="1">IF(Tabela4[[#This Row],[Cabo]]&lt;&gt;"",4-COUNTIF(Tabela4[[#This Row],[Teste de Continuidade]:[Hipot]],"---"),"")</f>
        <v/>
      </c>
      <c r="W264" s="29" t="str">
        <f ca="1">IF(Tabela4[[#This Row],[Cabo]]&lt;&gt;"",(COUNTIF(Tabela4[[#This Row],[Teste de Continuidade]:[Hipot]],"OK"))/(4-COUNTIF(Tabela4[[#This Row],[Teste de Continuidade]:[Hipot]],"---")),"")</f>
        <v/>
      </c>
      <c r="X264" s="23" t="str">
        <f ca="1">IF(Tabela4[[#This Row],[Cabo]]&lt;&gt;"",SUMIFS('Lançamento de Cabos'!$AF:$AF,'Lançamento de Cabos'!AE:AE,Tabela4[[#This Row],[Cabo]],'Lançamento de Cabos'!AJ:AJ,Área!$B$1),"")</f>
        <v/>
      </c>
      <c r="Y264" s="23" t="str">
        <f ca="1">IF(Tabela4[[#This Row],[Cabo]]&lt;&gt;"",SUMIFS('Lançamento de Cabos'!$AG:$AG,'Lançamento de Cabos'!AE:AE,Tabela4[[#This Row],[Cabo]],'Lançamento de Cabos'!AJ:AJ,Área!$B$1),"")</f>
        <v/>
      </c>
      <c r="Z264" s="23" t="e">
        <f ca="1">VLOOKUP(Tabela4[[#This Row],[Cabo]],BD!A:AB,28,0)</f>
        <v>#N/A</v>
      </c>
    </row>
    <row r="265" spans="3:26" x14ac:dyDescent="0.25">
      <c r="C265" s="391" t="str">
        <f ca="1">IF($B$1="Geral",Tabela1[[#This Row],[Tag do Cabo]],IFERROR(INDEX(INDIRECT("BD!$A"&amp;D265&amp;":$A100000"),E265,1),""))</f>
        <v/>
      </c>
      <c r="D265" s="391" t="str">
        <f t="shared" ca="1" si="12"/>
        <v/>
      </c>
      <c r="E265" s="391" t="str">
        <f t="shared" ca="1" si="13"/>
        <v/>
      </c>
      <c r="F265" s="23" t="str">
        <f ca="1">IFERROR(VLOOKUP(Tabela4[[#This Row],[Cabo]],BD!A:V,2,0),"")</f>
        <v/>
      </c>
      <c r="G265" s="391" t="str">
        <f ca="1">IFERROR(VLOOKUP(Tabela4[[#This Row],[Cabo]],BD!A:V,5,0),"")</f>
        <v/>
      </c>
      <c r="H265" s="23" t="str">
        <f ca="1">IFERROR(VLOOKUP(Tabela4[[#This Row],[Cabo]],BD!A:V,3,0),"")</f>
        <v/>
      </c>
      <c r="I265" s="23" t="str">
        <f ca="1">IFERROR(VLOOKUP(Tabela4[[#This Row],[Cabo]],BD!A:V,4,0),"")</f>
        <v/>
      </c>
      <c r="J265" s="23" t="str">
        <f ca="1">IFERROR(VLOOKUP(Tabela4[[#This Row],[Cabo]],BD!A:V,7,0),"")</f>
        <v/>
      </c>
      <c r="K26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5" s="23" t="str">
        <f ca="1">IFERROR(VLOOKUP(Tabela4[[#This Row],[Cabo]],BD!A:V,9,0),"")</f>
        <v/>
      </c>
      <c r="M265" s="23" t="str">
        <f ca="1">IFERROR(VLOOKUP(Tabela4[[#This Row],[Cabo]],BD!A:AD,30,0),"")</f>
        <v/>
      </c>
      <c r="N265" s="23" t="str">
        <f ca="1">IF(SUMIF('Lançamento de Cabos'!B:B,Tabela4[[#This Row],[Cabo]],'Lançamento de Cabos'!C:C)=0,"",SUMIF('Lançamento de Cabos'!B:B,Tabela4[[#This Row],[Cabo]],'Lançamento de Cabos'!C:C))</f>
        <v/>
      </c>
      <c r="O265" s="28" t="str">
        <f ca="1">IFERROR(IF(Tabela4[[#This Row],[Compr. Lançado]]/Tabela4[[#This Row],[Compr. Prev.]]&gt;1,1,Tabela4[[#This Row],[Compr. Lançado]]/Tabela4[[#This Row],[Compr. Prev.]]),"")</f>
        <v/>
      </c>
      <c r="P265" s="24" t="str">
        <f ca="1">IFERROR(VLOOKUP(Tabela4[[#This Row],[Cabo]],BD!A:V,11,0),"")</f>
        <v/>
      </c>
      <c r="Q265" s="24" t="str">
        <f ca="1">IFERROR(VLOOKUP(Tabela4[[#This Row],[Cabo]],BD!A:V,12,0),"")</f>
        <v/>
      </c>
      <c r="R26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5" s="23" t="str">
        <f ca="1">IF(Tabela4[[#This Row],[Cabo]]&lt;&gt;"",4-COUNTIF(Tabela4[[#This Row],[Teste de Continuidade]:[Hipot]],"---"),"")</f>
        <v/>
      </c>
      <c r="W265" s="29" t="str">
        <f ca="1">IF(Tabela4[[#This Row],[Cabo]]&lt;&gt;"",(COUNTIF(Tabela4[[#This Row],[Teste de Continuidade]:[Hipot]],"OK"))/(4-COUNTIF(Tabela4[[#This Row],[Teste de Continuidade]:[Hipot]],"---")),"")</f>
        <v/>
      </c>
      <c r="X265" s="23" t="str">
        <f ca="1">IF(Tabela4[[#This Row],[Cabo]]&lt;&gt;"",SUMIFS('Lançamento de Cabos'!$AF:$AF,'Lançamento de Cabos'!AE:AE,Tabela4[[#This Row],[Cabo]],'Lançamento de Cabos'!AJ:AJ,Área!$B$1),"")</f>
        <v/>
      </c>
      <c r="Y265" s="23" t="str">
        <f ca="1">IF(Tabela4[[#This Row],[Cabo]]&lt;&gt;"",SUMIFS('Lançamento de Cabos'!$AG:$AG,'Lançamento de Cabos'!AE:AE,Tabela4[[#This Row],[Cabo]],'Lançamento de Cabos'!AJ:AJ,Área!$B$1),"")</f>
        <v/>
      </c>
      <c r="Z265" s="23" t="e">
        <f ca="1">VLOOKUP(Tabela4[[#This Row],[Cabo]],BD!A:AB,28,0)</f>
        <v>#N/A</v>
      </c>
    </row>
    <row r="266" spans="3:26" x14ac:dyDescent="0.25">
      <c r="C266" s="391" t="str">
        <f ca="1">IF($B$1="Geral",Tabela1[[#This Row],[Tag do Cabo]],IFERROR(INDEX(INDIRECT("BD!$A"&amp;D266&amp;":$A100000"),E266,1),""))</f>
        <v/>
      </c>
      <c r="D266" s="391" t="str">
        <f t="shared" ca="1" si="12"/>
        <v/>
      </c>
      <c r="E266" s="391" t="str">
        <f t="shared" ca="1" si="13"/>
        <v/>
      </c>
      <c r="F266" s="23" t="str">
        <f ca="1">IFERROR(VLOOKUP(Tabela4[[#This Row],[Cabo]],BD!A:V,2,0),"")</f>
        <v/>
      </c>
      <c r="G266" s="391" t="str">
        <f ca="1">IFERROR(VLOOKUP(Tabela4[[#This Row],[Cabo]],BD!A:V,5,0),"")</f>
        <v/>
      </c>
      <c r="H266" s="23" t="str">
        <f ca="1">IFERROR(VLOOKUP(Tabela4[[#This Row],[Cabo]],BD!A:V,3,0),"")</f>
        <v/>
      </c>
      <c r="I266" s="23" t="str">
        <f ca="1">IFERROR(VLOOKUP(Tabela4[[#This Row],[Cabo]],BD!A:V,4,0),"")</f>
        <v/>
      </c>
      <c r="J266" s="23" t="str">
        <f ca="1">IFERROR(VLOOKUP(Tabela4[[#This Row],[Cabo]],BD!A:V,7,0),"")</f>
        <v/>
      </c>
      <c r="K26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6" s="23" t="str">
        <f ca="1">IFERROR(VLOOKUP(Tabela4[[#This Row],[Cabo]],BD!A:V,9,0),"")</f>
        <v/>
      </c>
      <c r="M266" s="23" t="str">
        <f ca="1">IFERROR(VLOOKUP(Tabela4[[#This Row],[Cabo]],BD!A:AD,30,0),"")</f>
        <v/>
      </c>
      <c r="N266" s="23" t="str">
        <f ca="1">IF(SUMIF('Lançamento de Cabos'!B:B,Tabela4[[#This Row],[Cabo]],'Lançamento de Cabos'!C:C)=0,"",SUMIF('Lançamento de Cabos'!B:B,Tabela4[[#This Row],[Cabo]],'Lançamento de Cabos'!C:C))</f>
        <v/>
      </c>
      <c r="O266" s="28" t="str">
        <f ca="1">IFERROR(IF(Tabela4[[#This Row],[Compr. Lançado]]/Tabela4[[#This Row],[Compr. Prev.]]&gt;1,1,Tabela4[[#This Row],[Compr. Lançado]]/Tabela4[[#This Row],[Compr. Prev.]]),"")</f>
        <v/>
      </c>
      <c r="P266" s="24" t="str">
        <f ca="1">IFERROR(VLOOKUP(Tabela4[[#This Row],[Cabo]],BD!A:V,11,0),"")</f>
        <v/>
      </c>
      <c r="Q266" s="24" t="str">
        <f ca="1">IFERROR(VLOOKUP(Tabela4[[#This Row],[Cabo]],BD!A:V,12,0),"")</f>
        <v/>
      </c>
      <c r="R26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6" s="23" t="str">
        <f ca="1">IF(Tabela4[[#This Row],[Cabo]]&lt;&gt;"",4-COUNTIF(Tabela4[[#This Row],[Teste de Continuidade]:[Hipot]],"---"),"")</f>
        <v/>
      </c>
      <c r="W266" s="29" t="str">
        <f ca="1">IF(Tabela4[[#This Row],[Cabo]]&lt;&gt;"",(COUNTIF(Tabela4[[#This Row],[Teste de Continuidade]:[Hipot]],"OK"))/(4-COUNTIF(Tabela4[[#This Row],[Teste de Continuidade]:[Hipot]],"---")),"")</f>
        <v/>
      </c>
      <c r="X266" s="23" t="str">
        <f ca="1">IF(Tabela4[[#This Row],[Cabo]]&lt;&gt;"",SUMIFS('Lançamento de Cabos'!$AF:$AF,'Lançamento de Cabos'!AE:AE,Tabela4[[#This Row],[Cabo]],'Lançamento de Cabos'!AJ:AJ,Área!$B$1),"")</f>
        <v/>
      </c>
      <c r="Y266" s="23" t="str">
        <f ca="1">IF(Tabela4[[#This Row],[Cabo]]&lt;&gt;"",SUMIFS('Lançamento de Cabos'!$AG:$AG,'Lançamento de Cabos'!AE:AE,Tabela4[[#This Row],[Cabo]],'Lançamento de Cabos'!AJ:AJ,Área!$B$1),"")</f>
        <v/>
      </c>
      <c r="Z266" s="23" t="e">
        <f ca="1">VLOOKUP(Tabela4[[#This Row],[Cabo]],BD!A:AB,28,0)</f>
        <v>#N/A</v>
      </c>
    </row>
    <row r="267" spans="3:26" x14ac:dyDescent="0.25">
      <c r="C267" s="391" t="str">
        <f ca="1">IF($B$1="Geral",Tabela1[[#This Row],[Tag do Cabo]],IFERROR(INDEX(INDIRECT("BD!$A"&amp;D267&amp;":$A100000"),E267,1),""))</f>
        <v/>
      </c>
      <c r="D267" s="391" t="str">
        <f t="shared" ca="1" si="12"/>
        <v/>
      </c>
      <c r="E267" s="391" t="str">
        <f t="shared" ca="1" si="13"/>
        <v/>
      </c>
      <c r="F267" s="23" t="str">
        <f ca="1">IFERROR(VLOOKUP(Tabela4[[#This Row],[Cabo]],BD!A:V,2,0),"")</f>
        <v/>
      </c>
      <c r="G267" s="391" t="str">
        <f ca="1">IFERROR(VLOOKUP(Tabela4[[#This Row],[Cabo]],BD!A:V,5,0),"")</f>
        <v/>
      </c>
      <c r="H267" s="23" t="str">
        <f ca="1">IFERROR(VLOOKUP(Tabela4[[#This Row],[Cabo]],BD!A:V,3,0),"")</f>
        <v/>
      </c>
      <c r="I267" s="23" t="str">
        <f ca="1">IFERROR(VLOOKUP(Tabela4[[#This Row],[Cabo]],BD!A:V,4,0),"")</f>
        <v/>
      </c>
      <c r="J267" s="23" t="str">
        <f ca="1">IFERROR(VLOOKUP(Tabela4[[#This Row],[Cabo]],BD!A:V,7,0),"")</f>
        <v/>
      </c>
      <c r="K26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7" s="23" t="str">
        <f ca="1">IFERROR(VLOOKUP(Tabela4[[#This Row],[Cabo]],BD!A:V,9,0),"")</f>
        <v/>
      </c>
      <c r="M267" s="23" t="str">
        <f ca="1">IFERROR(VLOOKUP(Tabela4[[#This Row],[Cabo]],BD!A:AD,30,0),"")</f>
        <v/>
      </c>
      <c r="N267" s="23" t="str">
        <f ca="1">IF(SUMIF('Lançamento de Cabos'!B:B,Tabela4[[#This Row],[Cabo]],'Lançamento de Cabos'!C:C)=0,"",SUMIF('Lançamento de Cabos'!B:B,Tabela4[[#This Row],[Cabo]],'Lançamento de Cabos'!C:C))</f>
        <v/>
      </c>
      <c r="O267" s="28" t="str">
        <f ca="1">IFERROR(IF(Tabela4[[#This Row],[Compr. Lançado]]/Tabela4[[#This Row],[Compr. Prev.]]&gt;1,1,Tabela4[[#This Row],[Compr. Lançado]]/Tabela4[[#This Row],[Compr. Prev.]]),"")</f>
        <v/>
      </c>
      <c r="P267" s="24" t="str">
        <f ca="1">IFERROR(VLOOKUP(Tabela4[[#This Row],[Cabo]],BD!A:V,11,0),"")</f>
        <v/>
      </c>
      <c r="Q267" s="24" t="str">
        <f ca="1">IFERROR(VLOOKUP(Tabela4[[#This Row],[Cabo]],BD!A:V,12,0),"")</f>
        <v/>
      </c>
      <c r="R26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7" s="23" t="str">
        <f ca="1">IF(Tabela4[[#This Row],[Cabo]]&lt;&gt;"",4-COUNTIF(Tabela4[[#This Row],[Teste de Continuidade]:[Hipot]],"---"),"")</f>
        <v/>
      </c>
      <c r="W267" s="29" t="str">
        <f ca="1">IF(Tabela4[[#This Row],[Cabo]]&lt;&gt;"",(COUNTIF(Tabela4[[#This Row],[Teste de Continuidade]:[Hipot]],"OK"))/(4-COUNTIF(Tabela4[[#This Row],[Teste de Continuidade]:[Hipot]],"---")),"")</f>
        <v/>
      </c>
      <c r="X267" s="23" t="str">
        <f ca="1">IF(Tabela4[[#This Row],[Cabo]]&lt;&gt;"",SUMIFS('Lançamento de Cabos'!$AF:$AF,'Lançamento de Cabos'!AE:AE,Tabela4[[#This Row],[Cabo]],'Lançamento de Cabos'!AJ:AJ,Área!$B$1),"")</f>
        <v/>
      </c>
      <c r="Y267" s="23" t="str">
        <f ca="1">IF(Tabela4[[#This Row],[Cabo]]&lt;&gt;"",SUMIFS('Lançamento de Cabos'!$AG:$AG,'Lançamento de Cabos'!AE:AE,Tabela4[[#This Row],[Cabo]],'Lançamento de Cabos'!AJ:AJ,Área!$B$1),"")</f>
        <v/>
      </c>
      <c r="Z267" s="23" t="e">
        <f ca="1">VLOOKUP(Tabela4[[#This Row],[Cabo]],BD!A:AB,28,0)</f>
        <v>#N/A</v>
      </c>
    </row>
    <row r="268" spans="3:26" x14ac:dyDescent="0.25">
      <c r="C268" s="391" t="str">
        <f ca="1">IF($B$1="Geral",Tabela1[[#This Row],[Tag do Cabo]],IFERROR(INDEX(INDIRECT("BD!$A"&amp;D268&amp;":$A100000"),E268,1),""))</f>
        <v/>
      </c>
      <c r="D268" s="391" t="str">
        <f t="shared" ca="1" si="12"/>
        <v/>
      </c>
      <c r="E268" s="391" t="str">
        <f t="shared" ca="1" si="13"/>
        <v/>
      </c>
      <c r="F268" s="23" t="str">
        <f ca="1">IFERROR(VLOOKUP(Tabela4[[#This Row],[Cabo]],BD!A:V,2,0),"")</f>
        <v/>
      </c>
      <c r="G268" s="391" t="str">
        <f ca="1">IFERROR(VLOOKUP(Tabela4[[#This Row],[Cabo]],BD!A:V,5,0),"")</f>
        <v/>
      </c>
      <c r="H268" s="23" t="str">
        <f ca="1">IFERROR(VLOOKUP(Tabela4[[#This Row],[Cabo]],BD!A:V,3,0),"")</f>
        <v/>
      </c>
      <c r="I268" s="23" t="str">
        <f ca="1">IFERROR(VLOOKUP(Tabela4[[#This Row],[Cabo]],BD!A:V,4,0),"")</f>
        <v/>
      </c>
      <c r="J268" s="23" t="str">
        <f ca="1">IFERROR(VLOOKUP(Tabela4[[#This Row],[Cabo]],BD!A:V,7,0),"")</f>
        <v/>
      </c>
      <c r="K26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8" s="23" t="str">
        <f ca="1">IFERROR(VLOOKUP(Tabela4[[#This Row],[Cabo]],BD!A:V,9,0),"")</f>
        <v/>
      </c>
      <c r="M268" s="23" t="str">
        <f ca="1">IFERROR(VLOOKUP(Tabela4[[#This Row],[Cabo]],BD!A:AD,30,0),"")</f>
        <v/>
      </c>
      <c r="N268" s="23" t="str">
        <f ca="1">IF(SUMIF('Lançamento de Cabos'!B:B,Tabela4[[#This Row],[Cabo]],'Lançamento de Cabos'!C:C)=0,"",SUMIF('Lançamento de Cabos'!B:B,Tabela4[[#This Row],[Cabo]],'Lançamento de Cabos'!C:C))</f>
        <v/>
      </c>
      <c r="O268" s="28" t="str">
        <f ca="1">IFERROR(IF(Tabela4[[#This Row],[Compr. Lançado]]/Tabela4[[#This Row],[Compr. Prev.]]&gt;1,1,Tabela4[[#This Row],[Compr. Lançado]]/Tabela4[[#This Row],[Compr. Prev.]]),"")</f>
        <v/>
      </c>
      <c r="P268" s="24" t="str">
        <f ca="1">IFERROR(VLOOKUP(Tabela4[[#This Row],[Cabo]],BD!A:V,11,0),"")</f>
        <v/>
      </c>
      <c r="Q268" s="24" t="str">
        <f ca="1">IFERROR(VLOOKUP(Tabela4[[#This Row],[Cabo]],BD!A:V,12,0),"")</f>
        <v/>
      </c>
      <c r="R26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8" s="23" t="str">
        <f ca="1">IF(Tabela4[[#This Row],[Cabo]]&lt;&gt;"",4-COUNTIF(Tabela4[[#This Row],[Teste de Continuidade]:[Hipot]],"---"),"")</f>
        <v/>
      </c>
      <c r="W268" s="29" t="str">
        <f ca="1">IF(Tabela4[[#This Row],[Cabo]]&lt;&gt;"",(COUNTIF(Tabela4[[#This Row],[Teste de Continuidade]:[Hipot]],"OK"))/(4-COUNTIF(Tabela4[[#This Row],[Teste de Continuidade]:[Hipot]],"---")),"")</f>
        <v/>
      </c>
      <c r="X268" s="23" t="str">
        <f ca="1">IF(Tabela4[[#This Row],[Cabo]]&lt;&gt;"",SUMIFS('Lançamento de Cabos'!$AF:$AF,'Lançamento de Cabos'!AE:AE,Tabela4[[#This Row],[Cabo]],'Lançamento de Cabos'!AJ:AJ,Área!$B$1),"")</f>
        <v/>
      </c>
      <c r="Y268" s="23" t="str">
        <f ca="1">IF(Tabela4[[#This Row],[Cabo]]&lt;&gt;"",SUMIFS('Lançamento de Cabos'!$AG:$AG,'Lançamento de Cabos'!AE:AE,Tabela4[[#This Row],[Cabo]],'Lançamento de Cabos'!AJ:AJ,Área!$B$1),"")</f>
        <v/>
      </c>
      <c r="Z268" s="23" t="e">
        <f ca="1">VLOOKUP(Tabela4[[#This Row],[Cabo]],BD!A:AB,28,0)</f>
        <v>#N/A</v>
      </c>
    </row>
    <row r="269" spans="3:26" x14ac:dyDescent="0.25">
      <c r="C269" s="391" t="str">
        <f ca="1">IF($B$1="Geral",Tabela1[[#This Row],[Tag do Cabo]],IFERROR(INDEX(INDIRECT("BD!$A"&amp;D269&amp;":$A100000"),E269,1),""))</f>
        <v/>
      </c>
      <c r="D269" s="391" t="str">
        <f t="shared" ca="1" si="12"/>
        <v/>
      </c>
      <c r="E269" s="391" t="str">
        <f t="shared" ca="1" si="13"/>
        <v/>
      </c>
      <c r="F269" s="23" t="str">
        <f ca="1">IFERROR(VLOOKUP(Tabela4[[#This Row],[Cabo]],BD!A:V,2,0),"")</f>
        <v/>
      </c>
      <c r="G269" s="391" t="str">
        <f ca="1">IFERROR(VLOOKUP(Tabela4[[#This Row],[Cabo]],BD!A:V,5,0),"")</f>
        <v/>
      </c>
      <c r="H269" s="23" t="str">
        <f ca="1">IFERROR(VLOOKUP(Tabela4[[#This Row],[Cabo]],BD!A:V,3,0),"")</f>
        <v/>
      </c>
      <c r="I269" s="23" t="str">
        <f ca="1">IFERROR(VLOOKUP(Tabela4[[#This Row],[Cabo]],BD!A:V,4,0),"")</f>
        <v/>
      </c>
      <c r="J269" s="23" t="str">
        <f ca="1">IFERROR(VLOOKUP(Tabela4[[#This Row],[Cabo]],BD!A:V,7,0),"")</f>
        <v/>
      </c>
      <c r="K26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69" s="23" t="str">
        <f ca="1">IFERROR(VLOOKUP(Tabela4[[#This Row],[Cabo]],BD!A:V,9,0),"")</f>
        <v/>
      </c>
      <c r="M269" s="23" t="str">
        <f ca="1">IFERROR(VLOOKUP(Tabela4[[#This Row],[Cabo]],BD!A:AD,30,0),"")</f>
        <v/>
      </c>
      <c r="N269" s="23" t="str">
        <f ca="1">IF(SUMIF('Lançamento de Cabos'!B:B,Tabela4[[#This Row],[Cabo]],'Lançamento de Cabos'!C:C)=0,"",SUMIF('Lançamento de Cabos'!B:B,Tabela4[[#This Row],[Cabo]],'Lançamento de Cabos'!C:C))</f>
        <v/>
      </c>
      <c r="O269" s="28" t="str">
        <f ca="1">IFERROR(IF(Tabela4[[#This Row],[Compr. Lançado]]/Tabela4[[#This Row],[Compr. Prev.]]&gt;1,1,Tabela4[[#This Row],[Compr. Lançado]]/Tabela4[[#This Row],[Compr. Prev.]]),"")</f>
        <v/>
      </c>
      <c r="P269" s="24" t="str">
        <f ca="1">IFERROR(VLOOKUP(Tabela4[[#This Row],[Cabo]],BD!A:V,11,0),"")</f>
        <v/>
      </c>
      <c r="Q269" s="24" t="str">
        <f ca="1">IFERROR(VLOOKUP(Tabela4[[#This Row],[Cabo]],BD!A:V,12,0),"")</f>
        <v/>
      </c>
      <c r="R26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6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6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6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69" s="23" t="str">
        <f ca="1">IF(Tabela4[[#This Row],[Cabo]]&lt;&gt;"",4-COUNTIF(Tabela4[[#This Row],[Teste de Continuidade]:[Hipot]],"---"),"")</f>
        <v/>
      </c>
      <c r="W269" s="29" t="str">
        <f ca="1">IF(Tabela4[[#This Row],[Cabo]]&lt;&gt;"",(COUNTIF(Tabela4[[#This Row],[Teste de Continuidade]:[Hipot]],"OK"))/(4-COUNTIF(Tabela4[[#This Row],[Teste de Continuidade]:[Hipot]],"---")),"")</f>
        <v/>
      </c>
      <c r="X269" s="23" t="str">
        <f ca="1">IF(Tabela4[[#This Row],[Cabo]]&lt;&gt;"",SUMIFS('Lançamento de Cabos'!$AF:$AF,'Lançamento de Cabos'!AE:AE,Tabela4[[#This Row],[Cabo]],'Lançamento de Cabos'!AJ:AJ,Área!$B$1),"")</f>
        <v/>
      </c>
      <c r="Y269" s="23" t="str">
        <f ca="1">IF(Tabela4[[#This Row],[Cabo]]&lt;&gt;"",SUMIFS('Lançamento de Cabos'!$AG:$AG,'Lançamento de Cabos'!AE:AE,Tabela4[[#This Row],[Cabo]],'Lançamento de Cabos'!AJ:AJ,Área!$B$1),"")</f>
        <v/>
      </c>
      <c r="Z269" s="23" t="e">
        <f ca="1">VLOOKUP(Tabela4[[#This Row],[Cabo]],BD!A:AB,28,0)</f>
        <v>#N/A</v>
      </c>
    </row>
    <row r="270" spans="3:26" x14ac:dyDescent="0.25">
      <c r="C270" s="391" t="str">
        <f ca="1">IF($B$1="Geral",Tabela1[[#This Row],[Tag do Cabo]],IFERROR(INDEX(INDIRECT("BD!$A"&amp;D270&amp;":$A100000"),E270,1),""))</f>
        <v/>
      </c>
      <c r="D270" s="391" t="str">
        <f t="shared" ca="1" si="12"/>
        <v/>
      </c>
      <c r="E270" s="391" t="str">
        <f t="shared" ca="1" si="13"/>
        <v/>
      </c>
      <c r="F270" s="23" t="str">
        <f ca="1">IFERROR(VLOOKUP(Tabela4[[#This Row],[Cabo]],BD!A:V,2,0),"")</f>
        <v/>
      </c>
      <c r="G270" s="391" t="str">
        <f ca="1">IFERROR(VLOOKUP(Tabela4[[#This Row],[Cabo]],BD!A:V,5,0),"")</f>
        <v/>
      </c>
      <c r="H270" s="23" t="str">
        <f ca="1">IFERROR(VLOOKUP(Tabela4[[#This Row],[Cabo]],BD!A:V,3,0),"")</f>
        <v/>
      </c>
      <c r="I270" s="23" t="str">
        <f ca="1">IFERROR(VLOOKUP(Tabela4[[#This Row],[Cabo]],BD!A:V,4,0),"")</f>
        <v/>
      </c>
      <c r="J270" s="23" t="str">
        <f ca="1">IFERROR(VLOOKUP(Tabela4[[#This Row],[Cabo]],BD!A:V,7,0),"")</f>
        <v/>
      </c>
      <c r="K27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0" s="23" t="str">
        <f ca="1">IFERROR(VLOOKUP(Tabela4[[#This Row],[Cabo]],BD!A:V,9,0),"")</f>
        <v/>
      </c>
      <c r="M270" s="23" t="str">
        <f ca="1">IFERROR(VLOOKUP(Tabela4[[#This Row],[Cabo]],BD!A:AD,30,0),"")</f>
        <v/>
      </c>
      <c r="N270" s="23" t="str">
        <f ca="1">IF(SUMIF('Lançamento de Cabos'!B:B,Tabela4[[#This Row],[Cabo]],'Lançamento de Cabos'!C:C)=0,"",SUMIF('Lançamento de Cabos'!B:B,Tabela4[[#This Row],[Cabo]],'Lançamento de Cabos'!C:C))</f>
        <v/>
      </c>
      <c r="O270" s="28" t="str">
        <f ca="1">IFERROR(IF(Tabela4[[#This Row],[Compr. Lançado]]/Tabela4[[#This Row],[Compr. Prev.]]&gt;1,1,Tabela4[[#This Row],[Compr. Lançado]]/Tabela4[[#This Row],[Compr. Prev.]]),"")</f>
        <v/>
      </c>
      <c r="P270" s="24" t="str">
        <f ca="1">IFERROR(VLOOKUP(Tabela4[[#This Row],[Cabo]],BD!A:V,11,0),"")</f>
        <v/>
      </c>
      <c r="Q270" s="24" t="str">
        <f ca="1">IFERROR(VLOOKUP(Tabela4[[#This Row],[Cabo]],BD!A:V,12,0),"")</f>
        <v/>
      </c>
      <c r="R27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0" s="23" t="str">
        <f ca="1">IF(Tabela4[[#This Row],[Cabo]]&lt;&gt;"",4-COUNTIF(Tabela4[[#This Row],[Teste de Continuidade]:[Hipot]],"---"),"")</f>
        <v/>
      </c>
      <c r="W270" s="29" t="str">
        <f ca="1">IF(Tabela4[[#This Row],[Cabo]]&lt;&gt;"",(COUNTIF(Tabela4[[#This Row],[Teste de Continuidade]:[Hipot]],"OK"))/(4-COUNTIF(Tabela4[[#This Row],[Teste de Continuidade]:[Hipot]],"---")),"")</f>
        <v/>
      </c>
      <c r="X270" s="23" t="str">
        <f ca="1">IF(Tabela4[[#This Row],[Cabo]]&lt;&gt;"",SUMIFS('Lançamento de Cabos'!$AF:$AF,'Lançamento de Cabos'!AE:AE,Tabela4[[#This Row],[Cabo]],'Lançamento de Cabos'!AJ:AJ,Área!$B$1),"")</f>
        <v/>
      </c>
      <c r="Y270" s="23" t="str">
        <f ca="1">IF(Tabela4[[#This Row],[Cabo]]&lt;&gt;"",SUMIFS('Lançamento de Cabos'!$AG:$AG,'Lançamento de Cabos'!AE:AE,Tabela4[[#This Row],[Cabo]],'Lançamento de Cabos'!AJ:AJ,Área!$B$1),"")</f>
        <v/>
      </c>
      <c r="Z270" s="23" t="e">
        <f ca="1">VLOOKUP(Tabela4[[#This Row],[Cabo]],BD!A:AB,28,0)</f>
        <v>#N/A</v>
      </c>
    </row>
    <row r="271" spans="3:26" x14ac:dyDescent="0.25">
      <c r="C271" s="391" t="str">
        <f ca="1">IF($B$1="Geral",Tabela1[[#This Row],[Tag do Cabo]],IFERROR(INDEX(INDIRECT("BD!$A"&amp;D271&amp;":$A100000"),E271,1),""))</f>
        <v/>
      </c>
      <c r="D271" s="391" t="str">
        <f t="shared" ca="1" si="12"/>
        <v/>
      </c>
      <c r="E271" s="391" t="str">
        <f t="shared" ca="1" si="13"/>
        <v/>
      </c>
      <c r="F271" s="23" t="str">
        <f ca="1">IFERROR(VLOOKUP(Tabela4[[#This Row],[Cabo]],BD!A:V,2,0),"")</f>
        <v/>
      </c>
      <c r="G271" s="391" t="str">
        <f ca="1">IFERROR(VLOOKUP(Tabela4[[#This Row],[Cabo]],BD!A:V,5,0),"")</f>
        <v/>
      </c>
      <c r="H271" s="23" t="str">
        <f ca="1">IFERROR(VLOOKUP(Tabela4[[#This Row],[Cabo]],BD!A:V,3,0),"")</f>
        <v/>
      </c>
      <c r="I271" s="23" t="str">
        <f ca="1">IFERROR(VLOOKUP(Tabela4[[#This Row],[Cabo]],BD!A:V,4,0),"")</f>
        <v/>
      </c>
      <c r="J271" s="23" t="str">
        <f ca="1">IFERROR(VLOOKUP(Tabela4[[#This Row],[Cabo]],BD!A:V,7,0),"")</f>
        <v/>
      </c>
      <c r="K27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1" s="23" t="str">
        <f ca="1">IFERROR(VLOOKUP(Tabela4[[#This Row],[Cabo]],BD!A:V,9,0),"")</f>
        <v/>
      </c>
      <c r="M271" s="23" t="str">
        <f ca="1">IFERROR(VLOOKUP(Tabela4[[#This Row],[Cabo]],BD!A:AD,30,0),"")</f>
        <v/>
      </c>
      <c r="N271" s="23" t="str">
        <f ca="1">IF(SUMIF('Lançamento de Cabos'!B:B,Tabela4[[#This Row],[Cabo]],'Lançamento de Cabos'!C:C)=0,"",SUMIF('Lançamento de Cabos'!B:B,Tabela4[[#This Row],[Cabo]],'Lançamento de Cabos'!C:C))</f>
        <v/>
      </c>
      <c r="O271" s="28" t="str">
        <f ca="1">IFERROR(IF(Tabela4[[#This Row],[Compr. Lançado]]/Tabela4[[#This Row],[Compr. Prev.]]&gt;1,1,Tabela4[[#This Row],[Compr. Lançado]]/Tabela4[[#This Row],[Compr. Prev.]]),"")</f>
        <v/>
      </c>
      <c r="P271" s="24" t="str">
        <f ca="1">IFERROR(VLOOKUP(Tabela4[[#This Row],[Cabo]],BD!A:V,11,0),"")</f>
        <v/>
      </c>
      <c r="Q271" s="24" t="str">
        <f ca="1">IFERROR(VLOOKUP(Tabela4[[#This Row],[Cabo]],BD!A:V,12,0),"")</f>
        <v/>
      </c>
      <c r="R27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1" s="23" t="str">
        <f ca="1">IF(Tabela4[[#This Row],[Cabo]]&lt;&gt;"",4-COUNTIF(Tabela4[[#This Row],[Teste de Continuidade]:[Hipot]],"---"),"")</f>
        <v/>
      </c>
      <c r="W271" s="29" t="str">
        <f ca="1">IF(Tabela4[[#This Row],[Cabo]]&lt;&gt;"",(COUNTIF(Tabela4[[#This Row],[Teste de Continuidade]:[Hipot]],"OK"))/(4-COUNTIF(Tabela4[[#This Row],[Teste de Continuidade]:[Hipot]],"---")),"")</f>
        <v/>
      </c>
      <c r="X271" s="23" t="str">
        <f ca="1">IF(Tabela4[[#This Row],[Cabo]]&lt;&gt;"",SUMIFS('Lançamento de Cabos'!$AF:$AF,'Lançamento de Cabos'!AE:AE,Tabela4[[#This Row],[Cabo]],'Lançamento de Cabos'!AJ:AJ,Área!$B$1),"")</f>
        <v/>
      </c>
      <c r="Y271" s="23" t="str">
        <f ca="1">IF(Tabela4[[#This Row],[Cabo]]&lt;&gt;"",SUMIFS('Lançamento de Cabos'!$AG:$AG,'Lançamento de Cabos'!AE:AE,Tabela4[[#This Row],[Cabo]],'Lançamento de Cabos'!AJ:AJ,Área!$B$1),"")</f>
        <v/>
      </c>
      <c r="Z271" s="23" t="e">
        <f ca="1">VLOOKUP(Tabela4[[#This Row],[Cabo]],BD!A:AB,28,0)</f>
        <v>#N/A</v>
      </c>
    </row>
    <row r="272" spans="3:26" x14ac:dyDescent="0.25">
      <c r="C272" s="391" t="str">
        <f ca="1">IF($B$1="Geral",Tabela1[[#This Row],[Tag do Cabo]],IFERROR(INDEX(INDIRECT("BD!$A"&amp;D272&amp;":$A100000"),E272,1),""))</f>
        <v/>
      </c>
      <c r="D272" s="391" t="str">
        <f t="shared" ca="1" si="12"/>
        <v/>
      </c>
      <c r="E272" s="391" t="str">
        <f t="shared" ca="1" si="13"/>
        <v/>
      </c>
      <c r="F272" s="23" t="str">
        <f ca="1">IFERROR(VLOOKUP(Tabela4[[#This Row],[Cabo]],BD!A:V,2,0),"")</f>
        <v/>
      </c>
      <c r="G272" s="391" t="str">
        <f ca="1">IFERROR(VLOOKUP(Tabela4[[#This Row],[Cabo]],BD!A:V,5,0),"")</f>
        <v/>
      </c>
      <c r="H272" s="23" t="str">
        <f ca="1">IFERROR(VLOOKUP(Tabela4[[#This Row],[Cabo]],BD!A:V,3,0),"")</f>
        <v/>
      </c>
      <c r="I272" s="23" t="str">
        <f ca="1">IFERROR(VLOOKUP(Tabela4[[#This Row],[Cabo]],BD!A:V,4,0),"")</f>
        <v/>
      </c>
      <c r="J272" s="23" t="str">
        <f ca="1">IFERROR(VLOOKUP(Tabela4[[#This Row],[Cabo]],BD!A:V,7,0),"")</f>
        <v/>
      </c>
      <c r="K27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2" s="23" t="str">
        <f ca="1">IFERROR(VLOOKUP(Tabela4[[#This Row],[Cabo]],BD!A:V,9,0),"")</f>
        <v/>
      </c>
      <c r="M272" s="23" t="str">
        <f ca="1">IFERROR(VLOOKUP(Tabela4[[#This Row],[Cabo]],BD!A:AD,30,0),"")</f>
        <v/>
      </c>
      <c r="N272" s="23" t="str">
        <f ca="1">IF(SUMIF('Lançamento de Cabos'!B:B,Tabela4[[#This Row],[Cabo]],'Lançamento de Cabos'!C:C)=0,"",SUMIF('Lançamento de Cabos'!B:B,Tabela4[[#This Row],[Cabo]],'Lançamento de Cabos'!C:C))</f>
        <v/>
      </c>
      <c r="O272" s="28" t="str">
        <f ca="1">IFERROR(IF(Tabela4[[#This Row],[Compr. Lançado]]/Tabela4[[#This Row],[Compr. Prev.]]&gt;1,1,Tabela4[[#This Row],[Compr. Lançado]]/Tabela4[[#This Row],[Compr. Prev.]]),"")</f>
        <v/>
      </c>
      <c r="P272" s="24" t="str">
        <f ca="1">IFERROR(VLOOKUP(Tabela4[[#This Row],[Cabo]],BD!A:V,11,0),"")</f>
        <v/>
      </c>
      <c r="Q272" s="24" t="str">
        <f ca="1">IFERROR(VLOOKUP(Tabela4[[#This Row],[Cabo]],BD!A:V,12,0),"")</f>
        <v/>
      </c>
      <c r="R27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2" s="23" t="str">
        <f ca="1">IF(Tabela4[[#This Row],[Cabo]]&lt;&gt;"",4-COUNTIF(Tabela4[[#This Row],[Teste de Continuidade]:[Hipot]],"---"),"")</f>
        <v/>
      </c>
      <c r="W272" s="29" t="str">
        <f ca="1">IF(Tabela4[[#This Row],[Cabo]]&lt;&gt;"",(COUNTIF(Tabela4[[#This Row],[Teste de Continuidade]:[Hipot]],"OK"))/(4-COUNTIF(Tabela4[[#This Row],[Teste de Continuidade]:[Hipot]],"---")),"")</f>
        <v/>
      </c>
      <c r="X272" s="23" t="str">
        <f ca="1">IF(Tabela4[[#This Row],[Cabo]]&lt;&gt;"",SUMIFS('Lançamento de Cabos'!$AF:$AF,'Lançamento de Cabos'!AE:AE,Tabela4[[#This Row],[Cabo]],'Lançamento de Cabos'!AJ:AJ,Área!$B$1),"")</f>
        <v/>
      </c>
      <c r="Y272" s="23" t="str">
        <f ca="1">IF(Tabela4[[#This Row],[Cabo]]&lt;&gt;"",SUMIFS('Lançamento de Cabos'!$AG:$AG,'Lançamento de Cabos'!AE:AE,Tabela4[[#This Row],[Cabo]],'Lançamento de Cabos'!AJ:AJ,Área!$B$1),"")</f>
        <v/>
      </c>
      <c r="Z272" s="23" t="e">
        <f ca="1">VLOOKUP(Tabela4[[#This Row],[Cabo]],BD!A:AB,28,0)</f>
        <v>#N/A</v>
      </c>
    </row>
    <row r="273" spans="3:26" x14ac:dyDescent="0.25">
      <c r="C273" s="391" t="str">
        <f ca="1">IF($B$1="Geral",Tabela1[[#This Row],[Tag do Cabo]],IFERROR(INDEX(INDIRECT("BD!$A"&amp;D273&amp;":$A100000"),E273,1),""))</f>
        <v/>
      </c>
      <c r="D273" s="391" t="str">
        <f t="shared" ca="1" si="12"/>
        <v/>
      </c>
      <c r="E273" s="391" t="str">
        <f t="shared" ca="1" si="13"/>
        <v/>
      </c>
      <c r="F273" s="23" t="str">
        <f ca="1">IFERROR(VLOOKUP(Tabela4[[#This Row],[Cabo]],BD!A:V,2,0),"")</f>
        <v/>
      </c>
      <c r="G273" s="391" t="str">
        <f ca="1">IFERROR(VLOOKUP(Tabela4[[#This Row],[Cabo]],BD!A:V,5,0),"")</f>
        <v/>
      </c>
      <c r="H273" s="23" t="str">
        <f ca="1">IFERROR(VLOOKUP(Tabela4[[#This Row],[Cabo]],BD!A:V,3,0),"")</f>
        <v/>
      </c>
      <c r="I273" s="23" t="str">
        <f ca="1">IFERROR(VLOOKUP(Tabela4[[#This Row],[Cabo]],BD!A:V,4,0),"")</f>
        <v/>
      </c>
      <c r="J273" s="23" t="str">
        <f ca="1">IFERROR(VLOOKUP(Tabela4[[#This Row],[Cabo]],BD!A:V,7,0),"")</f>
        <v/>
      </c>
      <c r="K27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3" s="23" t="str">
        <f ca="1">IFERROR(VLOOKUP(Tabela4[[#This Row],[Cabo]],BD!A:V,9,0),"")</f>
        <v/>
      </c>
      <c r="M273" s="23" t="str">
        <f ca="1">IFERROR(VLOOKUP(Tabela4[[#This Row],[Cabo]],BD!A:AD,30,0),"")</f>
        <v/>
      </c>
      <c r="N273" s="23" t="str">
        <f ca="1">IF(SUMIF('Lançamento de Cabos'!B:B,Tabela4[[#This Row],[Cabo]],'Lançamento de Cabos'!C:C)=0,"",SUMIF('Lançamento de Cabos'!B:B,Tabela4[[#This Row],[Cabo]],'Lançamento de Cabos'!C:C))</f>
        <v/>
      </c>
      <c r="O273" s="28" t="str">
        <f ca="1">IFERROR(IF(Tabela4[[#This Row],[Compr. Lançado]]/Tabela4[[#This Row],[Compr. Prev.]]&gt;1,1,Tabela4[[#This Row],[Compr. Lançado]]/Tabela4[[#This Row],[Compr. Prev.]]),"")</f>
        <v/>
      </c>
      <c r="P273" s="24" t="str">
        <f ca="1">IFERROR(VLOOKUP(Tabela4[[#This Row],[Cabo]],BD!A:V,11,0),"")</f>
        <v/>
      </c>
      <c r="Q273" s="24" t="str">
        <f ca="1">IFERROR(VLOOKUP(Tabela4[[#This Row],[Cabo]],BD!A:V,12,0),"")</f>
        <v/>
      </c>
      <c r="R27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3" s="23" t="str">
        <f ca="1">IF(Tabela4[[#This Row],[Cabo]]&lt;&gt;"",4-COUNTIF(Tabela4[[#This Row],[Teste de Continuidade]:[Hipot]],"---"),"")</f>
        <v/>
      </c>
      <c r="W273" s="29" t="str">
        <f ca="1">IF(Tabela4[[#This Row],[Cabo]]&lt;&gt;"",(COUNTIF(Tabela4[[#This Row],[Teste de Continuidade]:[Hipot]],"OK"))/(4-COUNTIF(Tabela4[[#This Row],[Teste de Continuidade]:[Hipot]],"---")),"")</f>
        <v/>
      </c>
      <c r="X273" s="23" t="str">
        <f ca="1">IF(Tabela4[[#This Row],[Cabo]]&lt;&gt;"",SUMIFS('Lançamento de Cabos'!$AF:$AF,'Lançamento de Cabos'!AE:AE,Tabela4[[#This Row],[Cabo]],'Lançamento de Cabos'!AJ:AJ,Área!$B$1),"")</f>
        <v/>
      </c>
      <c r="Y273" s="23" t="str">
        <f ca="1">IF(Tabela4[[#This Row],[Cabo]]&lt;&gt;"",SUMIFS('Lançamento de Cabos'!$AG:$AG,'Lançamento de Cabos'!AE:AE,Tabela4[[#This Row],[Cabo]],'Lançamento de Cabos'!AJ:AJ,Área!$B$1),"")</f>
        <v/>
      </c>
      <c r="Z273" s="23" t="e">
        <f ca="1">VLOOKUP(Tabela4[[#This Row],[Cabo]],BD!A:AB,28,0)</f>
        <v>#N/A</v>
      </c>
    </row>
    <row r="274" spans="3:26" x14ac:dyDescent="0.25">
      <c r="C274" s="391" t="str">
        <f ca="1">IF($B$1="Geral",Tabela1[[#This Row],[Tag do Cabo]],IFERROR(INDEX(INDIRECT("BD!$A"&amp;D274&amp;":$A100000"),E274,1),""))</f>
        <v/>
      </c>
      <c r="D274" s="391" t="str">
        <f t="shared" ca="1" si="12"/>
        <v/>
      </c>
      <c r="E274" s="391" t="str">
        <f t="shared" ca="1" si="13"/>
        <v/>
      </c>
      <c r="F274" s="23" t="str">
        <f ca="1">IFERROR(VLOOKUP(Tabela4[[#This Row],[Cabo]],BD!A:V,2,0),"")</f>
        <v/>
      </c>
      <c r="G274" s="391" t="str">
        <f ca="1">IFERROR(VLOOKUP(Tabela4[[#This Row],[Cabo]],BD!A:V,5,0),"")</f>
        <v/>
      </c>
      <c r="H274" s="23" t="str">
        <f ca="1">IFERROR(VLOOKUP(Tabela4[[#This Row],[Cabo]],BD!A:V,3,0),"")</f>
        <v/>
      </c>
      <c r="I274" s="23" t="str">
        <f ca="1">IFERROR(VLOOKUP(Tabela4[[#This Row],[Cabo]],BD!A:V,4,0),"")</f>
        <v/>
      </c>
      <c r="J274" s="23" t="str">
        <f ca="1">IFERROR(VLOOKUP(Tabela4[[#This Row],[Cabo]],BD!A:V,7,0),"")</f>
        <v/>
      </c>
      <c r="K27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4" s="23" t="str">
        <f ca="1">IFERROR(VLOOKUP(Tabela4[[#This Row],[Cabo]],BD!A:V,9,0),"")</f>
        <v/>
      </c>
      <c r="M274" s="23" t="str">
        <f ca="1">IFERROR(VLOOKUP(Tabela4[[#This Row],[Cabo]],BD!A:AD,30,0),"")</f>
        <v/>
      </c>
      <c r="N274" s="23" t="str">
        <f ca="1">IF(SUMIF('Lançamento de Cabos'!B:B,Tabela4[[#This Row],[Cabo]],'Lançamento de Cabos'!C:C)=0,"",SUMIF('Lançamento de Cabos'!B:B,Tabela4[[#This Row],[Cabo]],'Lançamento de Cabos'!C:C))</f>
        <v/>
      </c>
      <c r="O274" s="28" t="str">
        <f ca="1">IFERROR(IF(Tabela4[[#This Row],[Compr. Lançado]]/Tabela4[[#This Row],[Compr. Prev.]]&gt;1,1,Tabela4[[#This Row],[Compr. Lançado]]/Tabela4[[#This Row],[Compr. Prev.]]),"")</f>
        <v/>
      </c>
      <c r="P274" s="24" t="str">
        <f ca="1">IFERROR(VLOOKUP(Tabela4[[#This Row],[Cabo]],BD!A:V,11,0),"")</f>
        <v/>
      </c>
      <c r="Q274" s="24" t="str">
        <f ca="1">IFERROR(VLOOKUP(Tabela4[[#This Row],[Cabo]],BD!A:V,12,0),"")</f>
        <v/>
      </c>
      <c r="R27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4" s="23" t="str">
        <f ca="1">IF(Tabela4[[#This Row],[Cabo]]&lt;&gt;"",4-COUNTIF(Tabela4[[#This Row],[Teste de Continuidade]:[Hipot]],"---"),"")</f>
        <v/>
      </c>
      <c r="W274" s="29" t="str">
        <f ca="1">IF(Tabela4[[#This Row],[Cabo]]&lt;&gt;"",(COUNTIF(Tabela4[[#This Row],[Teste de Continuidade]:[Hipot]],"OK"))/(4-COUNTIF(Tabela4[[#This Row],[Teste de Continuidade]:[Hipot]],"---")),"")</f>
        <v/>
      </c>
      <c r="X274" s="23" t="str">
        <f ca="1">IF(Tabela4[[#This Row],[Cabo]]&lt;&gt;"",SUMIFS('Lançamento de Cabos'!$AF:$AF,'Lançamento de Cabos'!AE:AE,Tabela4[[#This Row],[Cabo]],'Lançamento de Cabos'!AJ:AJ,Área!$B$1),"")</f>
        <v/>
      </c>
      <c r="Y274" s="23" t="str">
        <f ca="1">IF(Tabela4[[#This Row],[Cabo]]&lt;&gt;"",SUMIFS('Lançamento de Cabos'!$AG:$AG,'Lançamento de Cabos'!AE:AE,Tabela4[[#This Row],[Cabo]],'Lançamento de Cabos'!AJ:AJ,Área!$B$1),"")</f>
        <v/>
      </c>
      <c r="Z274" s="23" t="e">
        <f ca="1">VLOOKUP(Tabela4[[#This Row],[Cabo]],BD!A:AB,28,0)</f>
        <v>#N/A</v>
      </c>
    </row>
    <row r="275" spans="3:26" x14ac:dyDescent="0.25">
      <c r="C275" s="391" t="str">
        <f ca="1">IF($B$1="Geral",Tabela1[[#This Row],[Tag do Cabo]],IFERROR(INDEX(INDIRECT("BD!$A"&amp;D275&amp;":$A100000"),E275,1),""))</f>
        <v/>
      </c>
      <c r="D275" s="391" t="str">
        <f t="shared" ca="1" si="12"/>
        <v/>
      </c>
      <c r="E275" s="391" t="str">
        <f t="shared" ca="1" si="13"/>
        <v/>
      </c>
      <c r="F275" s="23" t="str">
        <f ca="1">IFERROR(VLOOKUP(Tabela4[[#This Row],[Cabo]],BD!A:V,2,0),"")</f>
        <v/>
      </c>
      <c r="G275" s="391" t="str">
        <f ca="1">IFERROR(VLOOKUP(Tabela4[[#This Row],[Cabo]],BD!A:V,5,0),"")</f>
        <v/>
      </c>
      <c r="H275" s="23" t="str">
        <f ca="1">IFERROR(VLOOKUP(Tabela4[[#This Row],[Cabo]],BD!A:V,3,0),"")</f>
        <v/>
      </c>
      <c r="I275" s="23" t="str">
        <f ca="1">IFERROR(VLOOKUP(Tabela4[[#This Row],[Cabo]],BD!A:V,4,0),"")</f>
        <v/>
      </c>
      <c r="J275" s="23" t="str">
        <f ca="1">IFERROR(VLOOKUP(Tabela4[[#This Row],[Cabo]],BD!A:V,7,0),"")</f>
        <v/>
      </c>
      <c r="K27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5" s="23" t="str">
        <f ca="1">IFERROR(VLOOKUP(Tabela4[[#This Row],[Cabo]],BD!A:V,9,0),"")</f>
        <v/>
      </c>
      <c r="M275" s="23" t="str">
        <f ca="1">IFERROR(VLOOKUP(Tabela4[[#This Row],[Cabo]],BD!A:AD,30,0),"")</f>
        <v/>
      </c>
      <c r="N275" s="23" t="str">
        <f ca="1">IF(SUMIF('Lançamento de Cabos'!B:B,Tabela4[[#This Row],[Cabo]],'Lançamento de Cabos'!C:C)=0,"",SUMIF('Lançamento de Cabos'!B:B,Tabela4[[#This Row],[Cabo]],'Lançamento de Cabos'!C:C))</f>
        <v/>
      </c>
      <c r="O275" s="28" t="str">
        <f ca="1">IFERROR(IF(Tabela4[[#This Row],[Compr. Lançado]]/Tabela4[[#This Row],[Compr. Prev.]]&gt;1,1,Tabela4[[#This Row],[Compr. Lançado]]/Tabela4[[#This Row],[Compr. Prev.]]),"")</f>
        <v/>
      </c>
      <c r="P275" s="24" t="str">
        <f ca="1">IFERROR(VLOOKUP(Tabela4[[#This Row],[Cabo]],BD!A:V,11,0),"")</f>
        <v/>
      </c>
      <c r="Q275" s="24" t="str">
        <f ca="1">IFERROR(VLOOKUP(Tabela4[[#This Row],[Cabo]],BD!A:V,12,0),"")</f>
        <v/>
      </c>
      <c r="R27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5" s="23" t="str">
        <f ca="1">IF(Tabela4[[#This Row],[Cabo]]&lt;&gt;"",4-COUNTIF(Tabela4[[#This Row],[Teste de Continuidade]:[Hipot]],"---"),"")</f>
        <v/>
      </c>
      <c r="W275" s="29" t="str">
        <f ca="1">IF(Tabela4[[#This Row],[Cabo]]&lt;&gt;"",(COUNTIF(Tabela4[[#This Row],[Teste de Continuidade]:[Hipot]],"OK"))/(4-COUNTIF(Tabela4[[#This Row],[Teste de Continuidade]:[Hipot]],"---")),"")</f>
        <v/>
      </c>
      <c r="X275" s="23" t="str">
        <f ca="1">IF(Tabela4[[#This Row],[Cabo]]&lt;&gt;"",SUMIFS('Lançamento de Cabos'!$AF:$AF,'Lançamento de Cabos'!AE:AE,Tabela4[[#This Row],[Cabo]],'Lançamento de Cabos'!AJ:AJ,Área!$B$1),"")</f>
        <v/>
      </c>
      <c r="Y275" s="23" t="str">
        <f ca="1">IF(Tabela4[[#This Row],[Cabo]]&lt;&gt;"",SUMIFS('Lançamento de Cabos'!$AG:$AG,'Lançamento de Cabos'!AE:AE,Tabela4[[#This Row],[Cabo]],'Lançamento de Cabos'!AJ:AJ,Área!$B$1),"")</f>
        <v/>
      </c>
      <c r="Z275" s="23" t="e">
        <f ca="1">VLOOKUP(Tabela4[[#This Row],[Cabo]],BD!A:AB,28,0)</f>
        <v>#N/A</v>
      </c>
    </row>
    <row r="276" spans="3:26" x14ac:dyDescent="0.25">
      <c r="C276" s="391" t="str">
        <f ca="1">IF($B$1="Geral",Tabela1[[#This Row],[Tag do Cabo]],IFERROR(INDEX(INDIRECT("BD!$A"&amp;D276&amp;":$A100000"),E276,1),""))</f>
        <v/>
      </c>
      <c r="D276" s="391" t="str">
        <f t="shared" ca="1" si="12"/>
        <v/>
      </c>
      <c r="E276" s="391" t="str">
        <f t="shared" ca="1" si="13"/>
        <v/>
      </c>
      <c r="F276" s="23" t="str">
        <f ca="1">IFERROR(VLOOKUP(Tabela4[[#This Row],[Cabo]],BD!A:V,2,0),"")</f>
        <v/>
      </c>
      <c r="G276" s="391" t="str">
        <f ca="1">IFERROR(VLOOKUP(Tabela4[[#This Row],[Cabo]],BD!A:V,5,0),"")</f>
        <v/>
      </c>
      <c r="H276" s="23" t="str">
        <f ca="1">IFERROR(VLOOKUP(Tabela4[[#This Row],[Cabo]],BD!A:V,3,0),"")</f>
        <v/>
      </c>
      <c r="I276" s="23" t="str">
        <f ca="1">IFERROR(VLOOKUP(Tabela4[[#This Row],[Cabo]],BD!A:V,4,0),"")</f>
        <v/>
      </c>
      <c r="J276" s="23" t="str">
        <f ca="1">IFERROR(VLOOKUP(Tabela4[[#This Row],[Cabo]],BD!A:V,7,0),"")</f>
        <v/>
      </c>
      <c r="K27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6" s="23" t="str">
        <f ca="1">IFERROR(VLOOKUP(Tabela4[[#This Row],[Cabo]],BD!A:V,9,0),"")</f>
        <v/>
      </c>
      <c r="M276" s="23" t="str">
        <f ca="1">IFERROR(VLOOKUP(Tabela4[[#This Row],[Cabo]],BD!A:AD,30,0),"")</f>
        <v/>
      </c>
      <c r="N276" s="23" t="str">
        <f ca="1">IF(SUMIF('Lançamento de Cabos'!B:B,Tabela4[[#This Row],[Cabo]],'Lançamento de Cabos'!C:C)=0,"",SUMIF('Lançamento de Cabos'!B:B,Tabela4[[#This Row],[Cabo]],'Lançamento de Cabos'!C:C))</f>
        <v/>
      </c>
      <c r="O276" s="28" t="str">
        <f ca="1">IFERROR(IF(Tabela4[[#This Row],[Compr. Lançado]]/Tabela4[[#This Row],[Compr. Prev.]]&gt;1,1,Tabela4[[#This Row],[Compr. Lançado]]/Tabela4[[#This Row],[Compr. Prev.]]),"")</f>
        <v/>
      </c>
      <c r="P276" s="24" t="str">
        <f ca="1">IFERROR(VLOOKUP(Tabela4[[#This Row],[Cabo]],BD!A:V,11,0),"")</f>
        <v/>
      </c>
      <c r="Q276" s="24" t="str">
        <f ca="1">IFERROR(VLOOKUP(Tabela4[[#This Row],[Cabo]],BD!A:V,12,0),"")</f>
        <v/>
      </c>
      <c r="R27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6" s="23" t="str">
        <f ca="1">IF(Tabela4[[#This Row],[Cabo]]&lt;&gt;"",4-COUNTIF(Tabela4[[#This Row],[Teste de Continuidade]:[Hipot]],"---"),"")</f>
        <v/>
      </c>
      <c r="W276" s="29" t="str">
        <f ca="1">IF(Tabela4[[#This Row],[Cabo]]&lt;&gt;"",(COUNTIF(Tabela4[[#This Row],[Teste de Continuidade]:[Hipot]],"OK"))/(4-COUNTIF(Tabela4[[#This Row],[Teste de Continuidade]:[Hipot]],"---")),"")</f>
        <v/>
      </c>
      <c r="X276" s="23" t="str">
        <f ca="1">IF(Tabela4[[#This Row],[Cabo]]&lt;&gt;"",SUMIFS('Lançamento de Cabos'!$AF:$AF,'Lançamento de Cabos'!AE:AE,Tabela4[[#This Row],[Cabo]],'Lançamento de Cabos'!AJ:AJ,Área!$B$1),"")</f>
        <v/>
      </c>
      <c r="Y276" s="23" t="str">
        <f ca="1">IF(Tabela4[[#This Row],[Cabo]]&lt;&gt;"",SUMIFS('Lançamento de Cabos'!$AG:$AG,'Lançamento de Cabos'!AE:AE,Tabela4[[#This Row],[Cabo]],'Lançamento de Cabos'!AJ:AJ,Área!$B$1),"")</f>
        <v/>
      </c>
      <c r="Z276" s="23" t="e">
        <f ca="1">VLOOKUP(Tabela4[[#This Row],[Cabo]],BD!A:AB,28,0)</f>
        <v>#N/A</v>
      </c>
    </row>
    <row r="277" spans="3:26" x14ac:dyDescent="0.25">
      <c r="C277" s="391" t="str">
        <f ca="1">IF($B$1="Geral",Tabela1[[#This Row],[Tag do Cabo]],IFERROR(INDEX(INDIRECT("BD!$A"&amp;D277&amp;":$A100000"),E277,1),""))</f>
        <v/>
      </c>
      <c r="D277" s="391" t="str">
        <f t="shared" ca="1" si="12"/>
        <v/>
      </c>
      <c r="E277" s="391" t="str">
        <f t="shared" ca="1" si="13"/>
        <v/>
      </c>
      <c r="F277" s="23" t="str">
        <f ca="1">IFERROR(VLOOKUP(Tabela4[[#This Row],[Cabo]],BD!A:V,2,0),"")</f>
        <v/>
      </c>
      <c r="G277" s="391" t="str">
        <f ca="1">IFERROR(VLOOKUP(Tabela4[[#This Row],[Cabo]],BD!A:V,5,0),"")</f>
        <v/>
      </c>
      <c r="H277" s="23" t="str">
        <f ca="1">IFERROR(VLOOKUP(Tabela4[[#This Row],[Cabo]],BD!A:V,3,0),"")</f>
        <v/>
      </c>
      <c r="I277" s="23" t="str">
        <f ca="1">IFERROR(VLOOKUP(Tabela4[[#This Row],[Cabo]],BD!A:V,4,0),"")</f>
        <v/>
      </c>
      <c r="J277" s="23" t="str">
        <f ca="1">IFERROR(VLOOKUP(Tabela4[[#This Row],[Cabo]],BD!A:V,7,0),"")</f>
        <v/>
      </c>
      <c r="K27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7" s="23" t="str">
        <f ca="1">IFERROR(VLOOKUP(Tabela4[[#This Row],[Cabo]],BD!A:V,9,0),"")</f>
        <v/>
      </c>
      <c r="M277" s="23" t="str">
        <f ca="1">IFERROR(VLOOKUP(Tabela4[[#This Row],[Cabo]],BD!A:AD,30,0),"")</f>
        <v/>
      </c>
      <c r="N277" s="23" t="str">
        <f ca="1">IF(SUMIF('Lançamento de Cabos'!B:B,Tabela4[[#This Row],[Cabo]],'Lançamento de Cabos'!C:C)=0,"",SUMIF('Lançamento de Cabos'!B:B,Tabela4[[#This Row],[Cabo]],'Lançamento de Cabos'!C:C))</f>
        <v/>
      </c>
      <c r="O277" s="28" t="str">
        <f ca="1">IFERROR(IF(Tabela4[[#This Row],[Compr. Lançado]]/Tabela4[[#This Row],[Compr. Prev.]]&gt;1,1,Tabela4[[#This Row],[Compr. Lançado]]/Tabela4[[#This Row],[Compr. Prev.]]),"")</f>
        <v/>
      </c>
      <c r="P277" s="24" t="str">
        <f ca="1">IFERROR(VLOOKUP(Tabela4[[#This Row],[Cabo]],BD!A:V,11,0),"")</f>
        <v/>
      </c>
      <c r="Q277" s="24" t="str">
        <f ca="1">IFERROR(VLOOKUP(Tabela4[[#This Row],[Cabo]],BD!A:V,12,0),"")</f>
        <v/>
      </c>
      <c r="R27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7" s="23" t="str">
        <f ca="1">IF(Tabela4[[#This Row],[Cabo]]&lt;&gt;"",4-COUNTIF(Tabela4[[#This Row],[Teste de Continuidade]:[Hipot]],"---"),"")</f>
        <v/>
      </c>
      <c r="W277" s="29" t="str">
        <f ca="1">IF(Tabela4[[#This Row],[Cabo]]&lt;&gt;"",(COUNTIF(Tabela4[[#This Row],[Teste de Continuidade]:[Hipot]],"OK"))/(4-COUNTIF(Tabela4[[#This Row],[Teste de Continuidade]:[Hipot]],"---")),"")</f>
        <v/>
      </c>
      <c r="X277" s="23" t="str">
        <f ca="1">IF(Tabela4[[#This Row],[Cabo]]&lt;&gt;"",SUMIFS('Lançamento de Cabos'!$AF:$AF,'Lançamento de Cabos'!AE:AE,Tabela4[[#This Row],[Cabo]],'Lançamento de Cabos'!AJ:AJ,Área!$B$1),"")</f>
        <v/>
      </c>
      <c r="Y277" s="23" t="str">
        <f ca="1">IF(Tabela4[[#This Row],[Cabo]]&lt;&gt;"",SUMIFS('Lançamento de Cabos'!$AG:$AG,'Lançamento de Cabos'!AE:AE,Tabela4[[#This Row],[Cabo]],'Lançamento de Cabos'!AJ:AJ,Área!$B$1),"")</f>
        <v/>
      </c>
      <c r="Z277" s="23" t="e">
        <f ca="1">VLOOKUP(Tabela4[[#This Row],[Cabo]],BD!A:AB,28,0)</f>
        <v>#N/A</v>
      </c>
    </row>
    <row r="278" spans="3:26" x14ac:dyDescent="0.25">
      <c r="C278" s="391" t="str">
        <f ca="1">IF($B$1="Geral",Tabela1[[#This Row],[Tag do Cabo]],IFERROR(INDEX(INDIRECT("BD!$A"&amp;D278&amp;":$A100000"),E278,1),""))</f>
        <v/>
      </c>
      <c r="D278" s="391" t="str">
        <f t="shared" ca="1" si="12"/>
        <v/>
      </c>
      <c r="E278" s="391" t="str">
        <f t="shared" ca="1" si="13"/>
        <v/>
      </c>
      <c r="F278" s="23" t="str">
        <f ca="1">IFERROR(VLOOKUP(Tabela4[[#This Row],[Cabo]],BD!A:V,2,0),"")</f>
        <v/>
      </c>
      <c r="G278" s="391" t="str">
        <f ca="1">IFERROR(VLOOKUP(Tabela4[[#This Row],[Cabo]],BD!A:V,5,0),"")</f>
        <v/>
      </c>
      <c r="H278" s="23" t="str">
        <f ca="1">IFERROR(VLOOKUP(Tabela4[[#This Row],[Cabo]],BD!A:V,3,0),"")</f>
        <v/>
      </c>
      <c r="I278" s="23" t="str">
        <f ca="1">IFERROR(VLOOKUP(Tabela4[[#This Row],[Cabo]],BD!A:V,4,0),"")</f>
        <v/>
      </c>
      <c r="J278" s="23" t="str">
        <f ca="1">IFERROR(VLOOKUP(Tabela4[[#This Row],[Cabo]],BD!A:V,7,0),"")</f>
        <v/>
      </c>
      <c r="K27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8" s="23" t="str">
        <f ca="1">IFERROR(VLOOKUP(Tabela4[[#This Row],[Cabo]],BD!A:V,9,0),"")</f>
        <v/>
      </c>
      <c r="M278" s="23" t="str">
        <f ca="1">IFERROR(VLOOKUP(Tabela4[[#This Row],[Cabo]],BD!A:AD,30,0),"")</f>
        <v/>
      </c>
      <c r="N278" s="23" t="str">
        <f ca="1">IF(SUMIF('Lançamento de Cabos'!B:B,Tabela4[[#This Row],[Cabo]],'Lançamento de Cabos'!C:C)=0,"",SUMIF('Lançamento de Cabos'!B:B,Tabela4[[#This Row],[Cabo]],'Lançamento de Cabos'!C:C))</f>
        <v/>
      </c>
      <c r="O278" s="28" t="str">
        <f ca="1">IFERROR(IF(Tabela4[[#This Row],[Compr. Lançado]]/Tabela4[[#This Row],[Compr. Prev.]]&gt;1,1,Tabela4[[#This Row],[Compr. Lançado]]/Tabela4[[#This Row],[Compr. Prev.]]),"")</f>
        <v/>
      </c>
      <c r="P278" s="24" t="str">
        <f ca="1">IFERROR(VLOOKUP(Tabela4[[#This Row],[Cabo]],BD!A:V,11,0),"")</f>
        <v/>
      </c>
      <c r="Q278" s="24" t="str">
        <f ca="1">IFERROR(VLOOKUP(Tabela4[[#This Row],[Cabo]],BD!A:V,12,0),"")</f>
        <v/>
      </c>
      <c r="R27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8" s="23" t="str">
        <f ca="1">IF(Tabela4[[#This Row],[Cabo]]&lt;&gt;"",4-COUNTIF(Tabela4[[#This Row],[Teste de Continuidade]:[Hipot]],"---"),"")</f>
        <v/>
      </c>
      <c r="W278" s="29" t="str">
        <f ca="1">IF(Tabela4[[#This Row],[Cabo]]&lt;&gt;"",(COUNTIF(Tabela4[[#This Row],[Teste de Continuidade]:[Hipot]],"OK"))/(4-COUNTIF(Tabela4[[#This Row],[Teste de Continuidade]:[Hipot]],"---")),"")</f>
        <v/>
      </c>
      <c r="X278" s="23" t="str">
        <f ca="1">IF(Tabela4[[#This Row],[Cabo]]&lt;&gt;"",SUMIFS('Lançamento de Cabos'!$AF:$AF,'Lançamento de Cabos'!AE:AE,Tabela4[[#This Row],[Cabo]],'Lançamento de Cabos'!AJ:AJ,Área!$B$1),"")</f>
        <v/>
      </c>
      <c r="Y278" s="23" t="str">
        <f ca="1">IF(Tabela4[[#This Row],[Cabo]]&lt;&gt;"",SUMIFS('Lançamento de Cabos'!$AG:$AG,'Lançamento de Cabos'!AE:AE,Tabela4[[#This Row],[Cabo]],'Lançamento de Cabos'!AJ:AJ,Área!$B$1),"")</f>
        <v/>
      </c>
      <c r="Z278" s="23" t="e">
        <f ca="1">VLOOKUP(Tabela4[[#This Row],[Cabo]],BD!A:AB,28,0)</f>
        <v>#N/A</v>
      </c>
    </row>
    <row r="279" spans="3:26" x14ac:dyDescent="0.25">
      <c r="C279" s="391" t="str">
        <f ca="1">IF($B$1="Geral",Tabela1[[#This Row],[Tag do Cabo]],IFERROR(INDEX(INDIRECT("BD!$A"&amp;D279&amp;":$A100000"),E279,1),""))</f>
        <v/>
      </c>
      <c r="D279" s="391" t="str">
        <f t="shared" ca="1" si="12"/>
        <v/>
      </c>
      <c r="E279" s="391" t="str">
        <f t="shared" ca="1" si="13"/>
        <v/>
      </c>
      <c r="F279" s="23" t="str">
        <f ca="1">IFERROR(VLOOKUP(Tabela4[[#This Row],[Cabo]],BD!A:V,2,0),"")</f>
        <v/>
      </c>
      <c r="G279" s="391" t="str">
        <f ca="1">IFERROR(VLOOKUP(Tabela4[[#This Row],[Cabo]],BD!A:V,5,0),"")</f>
        <v/>
      </c>
      <c r="H279" s="23" t="str">
        <f ca="1">IFERROR(VLOOKUP(Tabela4[[#This Row],[Cabo]],BD!A:V,3,0),"")</f>
        <v/>
      </c>
      <c r="I279" s="23" t="str">
        <f ca="1">IFERROR(VLOOKUP(Tabela4[[#This Row],[Cabo]],BD!A:V,4,0),"")</f>
        <v/>
      </c>
      <c r="J279" s="23" t="str">
        <f ca="1">IFERROR(VLOOKUP(Tabela4[[#This Row],[Cabo]],BD!A:V,7,0),"")</f>
        <v/>
      </c>
      <c r="K27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79" s="23" t="str">
        <f ca="1">IFERROR(VLOOKUP(Tabela4[[#This Row],[Cabo]],BD!A:V,9,0),"")</f>
        <v/>
      </c>
      <c r="M279" s="23" t="str">
        <f ca="1">IFERROR(VLOOKUP(Tabela4[[#This Row],[Cabo]],BD!A:AD,30,0),"")</f>
        <v/>
      </c>
      <c r="N279" s="23" t="str">
        <f ca="1">IF(SUMIF('Lançamento de Cabos'!B:B,Tabela4[[#This Row],[Cabo]],'Lançamento de Cabos'!C:C)=0,"",SUMIF('Lançamento de Cabos'!B:B,Tabela4[[#This Row],[Cabo]],'Lançamento de Cabos'!C:C))</f>
        <v/>
      </c>
      <c r="O279" s="28" t="str">
        <f ca="1">IFERROR(IF(Tabela4[[#This Row],[Compr. Lançado]]/Tabela4[[#This Row],[Compr. Prev.]]&gt;1,1,Tabela4[[#This Row],[Compr. Lançado]]/Tabela4[[#This Row],[Compr. Prev.]]),"")</f>
        <v/>
      </c>
      <c r="P279" s="24" t="str">
        <f ca="1">IFERROR(VLOOKUP(Tabela4[[#This Row],[Cabo]],BD!A:V,11,0),"")</f>
        <v/>
      </c>
      <c r="Q279" s="24" t="str">
        <f ca="1">IFERROR(VLOOKUP(Tabela4[[#This Row],[Cabo]],BD!A:V,12,0),"")</f>
        <v/>
      </c>
      <c r="R27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7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7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7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79" s="23" t="str">
        <f ca="1">IF(Tabela4[[#This Row],[Cabo]]&lt;&gt;"",4-COUNTIF(Tabela4[[#This Row],[Teste de Continuidade]:[Hipot]],"---"),"")</f>
        <v/>
      </c>
      <c r="W279" s="29" t="str">
        <f ca="1">IF(Tabela4[[#This Row],[Cabo]]&lt;&gt;"",(COUNTIF(Tabela4[[#This Row],[Teste de Continuidade]:[Hipot]],"OK"))/(4-COUNTIF(Tabela4[[#This Row],[Teste de Continuidade]:[Hipot]],"---")),"")</f>
        <v/>
      </c>
      <c r="X279" s="23" t="str">
        <f ca="1">IF(Tabela4[[#This Row],[Cabo]]&lt;&gt;"",SUMIFS('Lançamento de Cabos'!$AF:$AF,'Lançamento de Cabos'!AE:AE,Tabela4[[#This Row],[Cabo]],'Lançamento de Cabos'!AJ:AJ,Área!$B$1),"")</f>
        <v/>
      </c>
      <c r="Y279" s="23" t="str">
        <f ca="1">IF(Tabela4[[#This Row],[Cabo]]&lt;&gt;"",SUMIFS('Lançamento de Cabos'!$AG:$AG,'Lançamento de Cabos'!AE:AE,Tabela4[[#This Row],[Cabo]],'Lançamento de Cabos'!AJ:AJ,Área!$B$1),"")</f>
        <v/>
      </c>
      <c r="Z279" s="23" t="e">
        <f ca="1">VLOOKUP(Tabela4[[#This Row],[Cabo]],BD!A:AB,28,0)</f>
        <v>#N/A</v>
      </c>
    </row>
    <row r="280" spans="3:26" x14ac:dyDescent="0.25">
      <c r="C280" s="391" t="str">
        <f ca="1">IF($B$1="Geral",Tabela1[[#This Row],[Tag do Cabo]],IFERROR(INDEX(INDIRECT("BD!$A"&amp;D280&amp;":$A100000"),E280,1),""))</f>
        <v/>
      </c>
      <c r="D280" s="391" t="str">
        <f t="shared" ca="1" si="12"/>
        <v/>
      </c>
      <c r="E280" s="391" t="str">
        <f t="shared" ca="1" si="13"/>
        <v/>
      </c>
      <c r="F280" s="23" t="str">
        <f ca="1">IFERROR(VLOOKUP(Tabela4[[#This Row],[Cabo]],BD!A:V,2,0),"")</f>
        <v/>
      </c>
      <c r="G280" s="391" t="str">
        <f ca="1">IFERROR(VLOOKUP(Tabela4[[#This Row],[Cabo]],BD!A:V,5,0),"")</f>
        <v/>
      </c>
      <c r="H280" s="23" t="str">
        <f ca="1">IFERROR(VLOOKUP(Tabela4[[#This Row],[Cabo]],BD!A:V,3,0),"")</f>
        <v/>
      </c>
      <c r="I280" s="23" t="str">
        <f ca="1">IFERROR(VLOOKUP(Tabela4[[#This Row],[Cabo]],BD!A:V,4,0),"")</f>
        <v/>
      </c>
      <c r="J280" s="23" t="str">
        <f ca="1">IFERROR(VLOOKUP(Tabela4[[#This Row],[Cabo]],BD!A:V,7,0),"")</f>
        <v/>
      </c>
      <c r="K28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0" s="23" t="str">
        <f ca="1">IFERROR(VLOOKUP(Tabela4[[#This Row],[Cabo]],BD!A:V,9,0),"")</f>
        <v/>
      </c>
      <c r="M280" s="23" t="str">
        <f ca="1">IFERROR(VLOOKUP(Tabela4[[#This Row],[Cabo]],BD!A:AD,30,0),"")</f>
        <v/>
      </c>
      <c r="N280" s="23" t="str">
        <f ca="1">IF(SUMIF('Lançamento de Cabos'!B:B,Tabela4[[#This Row],[Cabo]],'Lançamento de Cabos'!C:C)=0,"",SUMIF('Lançamento de Cabos'!B:B,Tabela4[[#This Row],[Cabo]],'Lançamento de Cabos'!C:C))</f>
        <v/>
      </c>
      <c r="O280" s="28" t="str">
        <f ca="1">IFERROR(IF(Tabela4[[#This Row],[Compr. Lançado]]/Tabela4[[#This Row],[Compr. Prev.]]&gt;1,1,Tabela4[[#This Row],[Compr. Lançado]]/Tabela4[[#This Row],[Compr. Prev.]]),"")</f>
        <v/>
      </c>
      <c r="P280" s="24" t="str">
        <f ca="1">IFERROR(VLOOKUP(Tabela4[[#This Row],[Cabo]],BD!A:V,11,0),"")</f>
        <v/>
      </c>
      <c r="Q280" s="24" t="str">
        <f ca="1">IFERROR(VLOOKUP(Tabela4[[#This Row],[Cabo]],BD!A:V,12,0),"")</f>
        <v/>
      </c>
      <c r="R28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0" s="23" t="str">
        <f ca="1">IF(Tabela4[[#This Row],[Cabo]]&lt;&gt;"",4-COUNTIF(Tabela4[[#This Row],[Teste de Continuidade]:[Hipot]],"---"),"")</f>
        <v/>
      </c>
      <c r="W280" s="29" t="str">
        <f ca="1">IF(Tabela4[[#This Row],[Cabo]]&lt;&gt;"",(COUNTIF(Tabela4[[#This Row],[Teste de Continuidade]:[Hipot]],"OK"))/(4-COUNTIF(Tabela4[[#This Row],[Teste de Continuidade]:[Hipot]],"---")),"")</f>
        <v/>
      </c>
      <c r="X280" s="23" t="str">
        <f ca="1">IF(Tabela4[[#This Row],[Cabo]]&lt;&gt;"",SUMIFS('Lançamento de Cabos'!$AF:$AF,'Lançamento de Cabos'!AE:AE,Tabela4[[#This Row],[Cabo]],'Lançamento de Cabos'!AJ:AJ,Área!$B$1),"")</f>
        <v/>
      </c>
      <c r="Y280" s="23" t="str">
        <f ca="1">IF(Tabela4[[#This Row],[Cabo]]&lt;&gt;"",SUMIFS('Lançamento de Cabos'!$AG:$AG,'Lançamento de Cabos'!AE:AE,Tabela4[[#This Row],[Cabo]],'Lançamento de Cabos'!AJ:AJ,Área!$B$1),"")</f>
        <v/>
      </c>
      <c r="Z280" s="23" t="e">
        <f ca="1">VLOOKUP(Tabela4[[#This Row],[Cabo]],BD!A:AB,28,0)</f>
        <v>#N/A</v>
      </c>
    </row>
    <row r="281" spans="3:26" x14ac:dyDescent="0.25">
      <c r="C281" s="391" t="str">
        <f ca="1">IF($B$1="Geral",Tabela1[[#This Row],[Tag do Cabo]],IFERROR(INDEX(INDIRECT("BD!$A"&amp;D281&amp;":$A100000"),E281,1),""))</f>
        <v/>
      </c>
      <c r="D281" s="391" t="str">
        <f t="shared" ca="1" si="12"/>
        <v/>
      </c>
      <c r="E281" s="391" t="str">
        <f t="shared" ca="1" si="13"/>
        <v/>
      </c>
      <c r="F281" s="23" t="str">
        <f ca="1">IFERROR(VLOOKUP(Tabela4[[#This Row],[Cabo]],BD!A:V,2,0),"")</f>
        <v/>
      </c>
      <c r="G281" s="391" t="str">
        <f ca="1">IFERROR(VLOOKUP(Tabela4[[#This Row],[Cabo]],BD!A:V,5,0),"")</f>
        <v/>
      </c>
      <c r="H281" s="23" t="str">
        <f ca="1">IFERROR(VLOOKUP(Tabela4[[#This Row],[Cabo]],BD!A:V,3,0),"")</f>
        <v/>
      </c>
      <c r="I281" s="23" t="str">
        <f ca="1">IFERROR(VLOOKUP(Tabela4[[#This Row],[Cabo]],BD!A:V,4,0),"")</f>
        <v/>
      </c>
      <c r="J281" s="23" t="str">
        <f ca="1">IFERROR(VLOOKUP(Tabela4[[#This Row],[Cabo]],BD!A:V,7,0),"")</f>
        <v/>
      </c>
      <c r="K28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1" s="23" t="str">
        <f ca="1">IFERROR(VLOOKUP(Tabela4[[#This Row],[Cabo]],BD!A:V,9,0),"")</f>
        <v/>
      </c>
      <c r="M281" s="23" t="str">
        <f ca="1">IFERROR(VLOOKUP(Tabela4[[#This Row],[Cabo]],BD!A:AD,30,0),"")</f>
        <v/>
      </c>
      <c r="N281" s="23" t="str">
        <f ca="1">IF(SUMIF('Lançamento de Cabos'!B:B,Tabela4[[#This Row],[Cabo]],'Lançamento de Cabos'!C:C)=0,"",SUMIF('Lançamento de Cabos'!B:B,Tabela4[[#This Row],[Cabo]],'Lançamento de Cabos'!C:C))</f>
        <v/>
      </c>
      <c r="O281" s="28" t="str">
        <f ca="1">IFERROR(IF(Tabela4[[#This Row],[Compr. Lançado]]/Tabela4[[#This Row],[Compr. Prev.]]&gt;1,1,Tabela4[[#This Row],[Compr. Lançado]]/Tabela4[[#This Row],[Compr. Prev.]]),"")</f>
        <v/>
      </c>
      <c r="P281" s="24" t="str">
        <f ca="1">IFERROR(VLOOKUP(Tabela4[[#This Row],[Cabo]],BD!A:V,11,0),"")</f>
        <v/>
      </c>
      <c r="Q281" s="24" t="str">
        <f ca="1">IFERROR(VLOOKUP(Tabela4[[#This Row],[Cabo]],BD!A:V,12,0),"")</f>
        <v/>
      </c>
      <c r="R28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1" s="23" t="str">
        <f ca="1">IF(Tabela4[[#This Row],[Cabo]]&lt;&gt;"",4-COUNTIF(Tabela4[[#This Row],[Teste de Continuidade]:[Hipot]],"---"),"")</f>
        <v/>
      </c>
      <c r="W281" s="29" t="str">
        <f ca="1">IF(Tabela4[[#This Row],[Cabo]]&lt;&gt;"",(COUNTIF(Tabela4[[#This Row],[Teste de Continuidade]:[Hipot]],"OK"))/(4-COUNTIF(Tabela4[[#This Row],[Teste de Continuidade]:[Hipot]],"---")),"")</f>
        <v/>
      </c>
      <c r="X281" s="23" t="str">
        <f ca="1">IF(Tabela4[[#This Row],[Cabo]]&lt;&gt;"",SUMIFS('Lançamento de Cabos'!$AF:$AF,'Lançamento de Cabos'!AE:AE,Tabela4[[#This Row],[Cabo]],'Lançamento de Cabos'!AJ:AJ,Área!$B$1),"")</f>
        <v/>
      </c>
      <c r="Y281" s="23" t="str">
        <f ca="1">IF(Tabela4[[#This Row],[Cabo]]&lt;&gt;"",SUMIFS('Lançamento de Cabos'!$AG:$AG,'Lançamento de Cabos'!AE:AE,Tabela4[[#This Row],[Cabo]],'Lançamento de Cabos'!AJ:AJ,Área!$B$1),"")</f>
        <v/>
      </c>
      <c r="Z281" s="23" t="e">
        <f ca="1">VLOOKUP(Tabela4[[#This Row],[Cabo]],BD!A:AB,28,0)</f>
        <v>#N/A</v>
      </c>
    </row>
    <row r="282" spans="3:26" x14ac:dyDescent="0.25">
      <c r="C282" s="391" t="str">
        <f ca="1">IF($B$1="Geral",Tabela1[[#This Row],[Tag do Cabo]],IFERROR(INDEX(INDIRECT("BD!$A"&amp;D282&amp;":$A100000"),E282,1),""))</f>
        <v/>
      </c>
      <c r="D282" s="391" t="str">
        <f t="shared" ca="1" si="12"/>
        <v/>
      </c>
      <c r="E282" s="391" t="str">
        <f t="shared" ca="1" si="13"/>
        <v/>
      </c>
      <c r="F282" s="23" t="str">
        <f ca="1">IFERROR(VLOOKUP(Tabela4[[#This Row],[Cabo]],BD!A:V,2,0),"")</f>
        <v/>
      </c>
      <c r="G282" s="391" t="str">
        <f ca="1">IFERROR(VLOOKUP(Tabela4[[#This Row],[Cabo]],BD!A:V,5,0),"")</f>
        <v/>
      </c>
      <c r="H282" s="23" t="str">
        <f ca="1">IFERROR(VLOOKUP(Tabela4[[#This Row],[Cabo]],BD!A:V,3,0),"")</f>
        <v/>
      </c>
      <c r="I282" s="23" t="str">
        <f ca="1">IFERROR(VLOOKUP(Tabela4[[#This Row],[Cabo]],BD!A:V,4,0),"")</f>
        <v/>
      </c>
      <c r="J282" s="23" t="str">
        <f ca="1">IFERROR(VLOOKUP(Tabela4[[#This Row],[Cabo]],BD!A:V,7,0),"")</f>
        <v/>
      </c>
      <c r="K28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2" s="23" t="str">
        <f ca="1">IFERROR(VLOOKUP(Tabela4[[#This Row],[Cabo]],BD!A:V,9,0),"")</f>
        <v/>
      </c>
      <c r="M282" s="23" t="str">
        <f ca="1">IFERROR(VLOOKUP(Tabela4[[#This Row],[Cabo]],BD!A:AD,30,0),"")</f>
        <v/>
      </c>
      <c r="N282" s="23" t="str">
        <f ca="1">IF(SUMIF('Lançamento de Cabos'!B:B,Tabela4[[#This Row],[Cabo]],'Lançamento de Cabos'!C:C)=0,"",SUMIF('Lançamento de Cabos'!B:B,Tabela4[[#This Row],[Cabo]],'Lançamento de Cabos'!C:C))</f>
        <v/>
      </c>
      <c r="O282" s="28" t="str">
        <f ca="1">IFERROR(IF(Tabela4[[#This Row],[Compr. Lançado]]/Tabela4[[#This Row],[Compr. Prev.]]&gt;1,1,Tabela4[[#This Row],[Compr. Lançado]]/Tabela4[[#This Row],[Compr. Prev.]]),"")</f>
        <v/>
      </c>
      <c r="P282" s="24" t="str">
        <f ca="1">IFERROR(VLOOKUP(Tabela4[[#This Row],[Cabo]],BD!A:V,11,0),"")</f>
        <v/>
      </c>
      <c r="Q282" s="24" t="str">
        <f ca="1">IFERROR(VLOOKUP(Tabela4[[#This Row],[Cabo]],BD!A:V,12,0),"")</f>
        <v/>
      </c>
      <c r="R28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2" s="23" t="str">
        <f ca="1">IF(Tabela4[[#This Row],[Cabo]]&lt;&gt;"",4-COUNTIF(Tabela4[[#This Row],[Teste de Continuidade]:[Hipot]],"---"),"")</f>
        <v/>
      </c>
      <c r="W282" s="29" t="str">
        <f ca="1">IF(Tabela4[[#This Row],[Cabo]]&lt;&gt;"",(COUNTIF(Tabela4[[#This Row],[Teste de Continuidade]:[Hipot]],"OK"))/(4-COUNTIF(Tabela4[[#This Row],[Teste de Continuidade]:[Hipot]],"---")),"")</f>
        <v/>
      </c>
      <c r="X282" s="23" t="str">
        <f ca="1">IF(Tabela4[[#This Row],[Cabo]]&lt;&gt;"",SUMIFS('Lançamento de Cabos'!$AF:$AF,'Lançamento de Cabos'!AE:AE,Tabela4[[#This Row],[Cabo]],'Lançamento de Cabos'!AJ:AJ,Área!$B$1),"")</f>
        <v/>
      </c>
      <c r="Y282" s="23" t="str">
        <f ca="1">IF(Tabela4[[#This Row],[Cabo]]&lt;&gt;"",SUMIFS('Lançamento de Cabos'!$AG:$AG,'Lançamento de Cabos'!AE:AE,Tabela4[[#This Row],[Cabo]],'Lançamento de Cabos'!AJ:AJ,Área!$B$1),"")</f>
        <v/>
      </c>
      <c r="Z282" s="23" t="e">
        <f ca="1">VLOOKUP(Tabela4[[#This Row],[Cabo]],BD!A:AB,28,0)</f>
        <v>#N/A</v>
      </c>
    </row>
    <row r="283" spans="3:26" x14ac:dyDescent="0.25">
      <c r="C283" s="391" t="str">
        <f ca="1">IF($B$1="Geral",Tabela1[[#This Row],[Tag do Cabo]],IFERROR(INDEX(INDIRECT("BD!$A"&amp;D283&amp;":$A100000"),E283,1),""))</f>
        <v/>
      </c>
      <c r="D283" s="391" t="str">
        <f t="shared" ca="1" si="12"/>
        <v/>
      </c>
      <c r="E283" s="391" t="str">
        <f t="shared" ca="1" si="13"/>
        <v/>
      </c>
      <c r="F283" s="23" t="str">
        <f ca="1">IFERROR(VLOOKUP(Tabela4[[#This Row],[Cabo]],BD!A:V,2,0),"")</f>
        <v/>
      </c>
      <c r="G283" s="391" t="str">
        <f ca="1">IFERROR(VLOOKUP(Tabela4[[#This Row],[Cabo]],BD!A:V,5,0),"")</f>
        <v/>
      </c>
      <c r="H283" s="23" t="str">
        <f ca="1">IFERROR(VLOOKUP(Tabela4[[#This Row],[Cabo]],BD!A:V,3,0),"")</f>
        <v/>
      </c>
      <c r="I283" s="23" t="str">
        <f ca="1">IFERROR(VLOOKUP(Tabela4[[#This Row],[Cabo]],BD!A:V,4,0),"")</f>
        <v/>
      </c>
      <c r="J283" s="23" t="str">
        <f ca="1">IFERROR(VLOOKUP(Tabela4[[#This Row],[Cabo]],BD!A:V,7,0),"")</f>
        <v/>
      </c>
      <c r="K28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3" s="23" t="str">
        <f ca="1">IFERROR(VLOOKUP(Tabela4[[#This Row],[Cabo]],BD!A:V,9,0),"")</f>
        <v/>
      </c>
      <c r="M283" s="23" t="str">
        <f ca="1">IFERROR(VLOOKUP(Tabela4[[#This Row],[Cabo]],BD!A:AD,30,0),"")</f>
        <v/>
      </c>
      <c r="N283" s="23" t="str">
        <f ca="1">IF(SUMIF('Lançamento de Cabos'!B:B,Tabela4[[#This Row],[Cabo]],'Lançamento de Cabos'!C:C)=0,"",SUMIF('Lançamento de Cabos'!B:B,Tabela4[[#This Row],[Cabo]],'Lançamento de Cabos'!C:C))</f>
        <v/>
      </c>
      <c r="O283" s="28" t="str">
        <f ca="1">IFERROR(IF(Tabela4[[#This Row],[Compr. Lançado]]/Tabela4[[#This Row],[Compr. Prev.]]&gt;1,1,Tabela4[[#This Row],[Compr. Lançado]]/Tabela4[[#This Row],[Compr. Prev.]]),"")</f>
        <v/>
      </c>
      <c r="P283" s="24" t="str">
        <f ca="1">IFERROR(VLOOKUP(Tabela4[[#This Row],[Cabo]],BD!A:V,11,0),"")</f>
        <v/>
      </c>
      <c r="Q283" s="24" t="str">
        <f ca="1">IFERROR(VLOOKUP(Tabela4[[#This Row],[Cabo]],BD!A:V,12,0),"")</f>
        <v/>
      </c>
      <c r="R28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3" s="23" t="str">
        <f ca="1">IF(Tabela4[[#This Row],[Cabo]]&lt;&gt;"",4-COUNTIF(Tabela4[[#This Row],[Teste de Continuidade]:[Hipot]],"---"),"")</f>
        <v/>
      </c>
      <c r="W283" s="29" t="str">
        <f ca="1">IF(Tabela4[[#This Row],[Cabo]]&lt;&gt;"",(COUNTIF(Tabela4[[#This Row],[Teste de Continuidade]:[Hipot]],"OK"))/(4-COUNTIF(Tabela4[[#This Row],[Teste de Continuidade]:[Hipot]],"---")),"")</f>
        <v/>
      </c>
      <c r="X283" s="23" t="str">
        <f ca="1">IF(Tabela4[[#This Row],[Cabo]]&lt;&gt;"",SUMIFS('Lançamento de Cabos'!$AF:$AF,'Lançamento de Cabos'!AE:AE,Tabela4[[#This Row],[Cabo]],'Lançamento de Cabos'!AJ:AJ,Área!$B$1),"")</f>
        <v/>
      </c>
      <c r="Y283" s="23" t="str">
        <f ca="1">IF(Tabela4[[#This Row],[Cabo]]&lt;&gt;"",SUMIFS('Lançamento de Cabos'!$AG:$AG,'Lançamento de Cabos'!AE:AE,Tabela4[[#This Row],[Cabo]],'Lançamento de Cabos'!AJ:AJ,Área!$B$1),"")</f>
        <v/>
      </c>
      <c r="Z283" s="23" t="e">
        <f ca="1">VLOOKUP(Tabela4[[#This Row],[Cabo]],BD!A:AB,28,0)</f>
        <v>#N/A</v>
      </c>
    </row>
    <row r="284" spans="3:26" x14ac:dyDescent="0.25">
      <c r="C284" s="391" t="str">
        <f ca="1">IF($B$1="Geral",Tabela1[[#This Row],[Tag do Cabo]],IFERROR(INDEX(INDIRECT("BD!$A"&amp;D284&amp;":$A100000"),E284,1),""))</f>
        <v/>
      </c>
      <c r="D284" s="391" t="str">
        <f t="shared" ca="1" si="12"/>
        <v/>
      </c>
      <c r="E284" s="391" t="str">
        <f t="shared" ca="1" si="13"/>
        <v/>
      </c>
      <c r="F284" s="23" t="str">
        <f ca="1">IFERROR(VLOOKUP(Tabela4[[#This Row],[Cabo]],BD!A:V,2,0),"")</f>
        <v/>
      </c>
      <c r="G284" s="391" t="str">
        <f ca="1">IFERROR(VLOOKUP(Tabela4[[#This Row],[Cabo]],BD!A:V,5,0),"")</f>
        <v/>
      </c>
      <c r="H284" s="23" t="str">
        <f ca="1">IFERROR(VLOOKUP(Tabela4[[#This Row],[Cabo]],BD!A:V,3,0),"")</f>
        <v/>
      </c>
      <c r="I284" s="23" t="str">
        <f ca="1">IFERROR(VLOOKUP(Tabela4[[#This Row],[Cabo]],BD!A:V,4,0),"")</f>
        <v/>
      </c>
      <c r="J284" s="23" t="str">
        <f ca="1">IFERROR(VLOOKUP(Tabela4[[#This Row],[Cabo]],BD!A:V,7,0),"")</f>
        <v/>
      </c>
      <c r="K28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4" s="23" t="str">
        <f ca="1">IFERROR(VLOOKUP(Tabela4[[#This Row],[Cabo]],BD!A:V,9,0),"")</f>
        <v/>
      </c>
      <c r="M284" s="23" t="str">
        <f ca="1">IFERROR(VLOOKUP(Tabela4[[#This Row],[Cabo]],BD!A:AD,30,0),"")</f>
        <v/>
      </c>
      <c r="N284" s="23" t="str">
        <f ca="1">IF(SUMIF('Lançamento de Cabos'!B:B,Tabela4[[#This Row],[Cabo]],'Lançamento de Cabos'!C:C)=0,"",SUMIF('Lançamento de Cabos'!B:B,Tabela4[[#This Row],[Cabo]],'Lançamento de Cabos'!C:C))</f>
        <v/>
      </c>
      <c r="O284" s="28" t="str">
        <f ca="1">IFERROR(IF(Tabela4[[#This Row],[Compr. Lançado]]/Tabela4[[#This Row],[Compr. Prev.]]&gt;1,1,Tabela4[[#This Row],[Compr. Lançado]]/Tabela4[[#This Row],[Compr. Prev.]]),"")</f>
        <v/>
      </c>
      <c r="P284" s="24" t="str">
        <f ca="1">IFERROR(VLOOKUP(Tabela4[[#This Row],[Cabo]],BD!A:V,11,0),"")</f>
        <v/>
      </c>
      <c r="Q284" s="24" t="str">
        <f ca="1">IFERROR(VLOOKUP(Tabela4[[#This Row],[Cabo]],BD!A:V,12,0),"")</f>
        <v/>
      </c>
      <c r="R28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4" s="23" t="str">
        <f ca="1">IF(Tabela4[[#This Row],[Cabo]]&lt;&gt;"",4-COUNTIF(Tabela4[[#This Row],[Teste de Continuidade]:[Hipot]],"---"),"")</f>
        <v/>
      </c>
      <c r="W284" s="29" t="str">
        <f ca="1">IF(Tabela4[[#This Row],[Cabo]]&lt;&gt;"",(COUNTIF(Tabela4[[#This Row],[Teste de Continuidade]:[Hipot]],"OK"))/(4-COUNTIF(Tabela4[[#This Row],[Teste de Continuidade]:[Hipot]],"---")),"")</f>
        <v/>
      </c>
      <c r="X284" s="23" t="str">
        <f ca="1">IF(Tabela4[[#This Row],[Cabo]]&lt;&gt;"",SUMIFS('Lançamento de Cabos'!$AF:$AF,'Lançamento de Cabos'!AE:AE,Tabela4[[#This Row],[Cabo]],'Lançamento de Cabos'!AJ:AJ,Área!$B$1),"")</f>
        <v/>
      </c>
      <c r="Y284" s="23" t="str">
        <f ca="1">IF(Tabela4[[#This Row],[Cabo]]&lt;&gt;"",SUMIFS('Lançamento de Cabos'!$AG:$AG,'Lançamento de Cabos'!AE:AE,Tabela4[[#This Row],[Cabo]],'Lançamento de Cabos'!AJ:AJ,Área!$B$1),"")</f>
        <v/>
      </c>
      <c r="Z284" s="23" t="e">
        <f ca="1">VLOOKUP(Tabela4[[#This Row],[Cabo]],BD!A:AB,28,0)</f>
        <v>#N/A</v>
      </c>
    </row>
    <row r="285" spans="3:26" x14ac:dyDescent="0.25">
      <c r="C285" s="391" t="str">
        <f ca="1">IF($B$1="Geral",Tabela1[[#This Row],[Tag do Cabo]],IFERROR(INDEX(INDIRECT("BD!$A"&amp;D285&amp;":$A100000"),E285,1),""))</f>
        <v/>
      </c>
      <c r="D285" s="391" t="str">
        <f t="shared" ca="1" si="12"/>
        <v/>
      </c>
      <c r="E285" s="391" t="str">
        <f t="shared" ca="1" si="13"/>
        <v/>
      </c>
      <c r="F285" s="23" t="str">
        <f ca="1">IFERROR(VLOOKUP(Tabela4[[#This Row],[Cabo]],BD!A:V,2,0),"")</f>
        <v/>
      </c>
      <c r="G285" s="391" t="str">
        <f ca="1">IFERROR(VLOOKUP(Tabela4[[#This Row],[Cabo]],BD!A:V,5,0),"")</f>
        <v/>
      </c>
      <c r="H285" s="23" t="str">
        <f ca="1">IFERROR(VLOOKUP(Tabela4[[#This Row],[Cabo]],BD!A:V,3,0),"")</f>
        <v/>
      </c>
      <c r="I285" s="23" t="str">
        <f ca="1">IFERROR(VLOOKUP(Tabela4[[#This Row],[Cabo]],BD!A:V,4,0),"")</f>
        <v/>
      </c>
      <c r="J285" s="23" t="str">
        <f ca="1">IFERROR(VLOOKUP(Tabela4[[#This Row],[Cabo]],BD!A:V,7,0),"")</f>
        <v/>
      </c>
      <c r="K28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5" s="23" t="str">
        <f ca="1">IFERROR(VLOOKUP(Tabela4[[#This Row],[Cabo]],BD!A:V,9,0),"")</f>
        <v/>
      </c>
      <c r="M285" s="23" t="str">
        <f ca="1">IFERROR(VLOOKUP(Tabela4[[#This Row],[Cabo]],BD!A:AD,30,0),"")</f>
        <v/>
      </c>
      <c r="N285" s="23" t="str">
        <f ca="1">IF(SUMIF('Lançamento de Cabos'!B:B,Tabela4[[#This Row],[Cabo]],'Lançamento de Cabos'!C:C)=0,"",SUMIF('Lançamento de Cabos'!B:B,Tabela4[[#This Row],[Cabo]],'Lançamento de Cabos'!C:C))</f>
        <v/>
      </c>
      <c r="O285" s="28" t="str">
        <f ca="1">IFERROR(IF(Tabela4[[#This Row],[Compr. Lançado]]/Tabela4[[#This Row],[Compr. Prev.]]&gt;1,1,Tabela4[[#This Row],[Compr. Lançado]]/Tabela4[[#This Row],[Compr. Prev.]]),"")</f>
        <v/>
      </c>
      <c r="P285" s="24" t="str">
        <f ca="1">IFERROR(VLOOKUP(Tabela4[[#This Row],[Cabo]],BD!A:V,11,0),"")</f>
        <v/>
      </c>
      <c r="Q285" s="24" t="str">
        <f ca="1">IFERROR(VLOOKUP(Tabela4[[#This Row],[Cabo]],BD!A:V,12,0),"")</f>
        <v/>
      </c>
      <c r="R28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5" s="23" t="str">
        <f ca="1">IF(Tabela4[[#This Row],[Cabo]]&lt;&gt;"",4-COUNTIF(Tabela4[[#This Row],[Teste de Continuidade]:[Hipot]],"---"),"")</f>
        <v/>
      </c>
      <c r="W285" s="29" t="str">
        <f ca="1">IF(Tabela4[[#This Row],[Cabo]]&lt;&gt;"",(COUNTIF(Tabela4[[#This Row],[Teste de Continuidade]:[Hipot]],"OK"))/(4-COUNTIF(Tabela4[[#This Row],[Teste de Continuidade]:[Hipot]],"---")),"")</f>
        <v/>
      </c>
      <c r="X285" s="23" t="str">
        <f ca="1">IF(Tabela4[[#This Row],[Cabo]]&lt;&gt;"",SUMIFS('Lançamento de Cabos'!$AF:$AF,'Lançamento de Cabos'!AE:AE,Tabela4[[#This Row],[Cabo]],'Lançamento de Cabos'!AJ:AJ,Área!$B$1),"")</f>
        <v/>
      </c>
      <c r="Y285" s="23" t="str">
        <f ca="1">IF(Tabela4[[#This Row],[Cabo]]&lt;&gt;"",SUMIFS('Lançamento de Cabos'!$AG:$AG,'Lançamento de Cabos'!AE:AE,Tabela4[[#This Row],[Cabo]],'Lançamento de Cabos'!AJ:AJ,Área!$B$1),"")</f>
        <v/>
      </c>
      <c r="Z285" s="23" t="e">
        <f ca="1">VLOOKUP(Tabela4[[#This Row],[Cabo]],BD!A:AB,28,0)</f>
        <v>#N/A</v>
      </c>
    </row>
    <row r="286" spans="3:26" x14ac:dyDescent="0.25">
      <c r="C286" s="391" t="str">
        <f ca="1">IF($B$1="Geral",Tabela1[[#This Row],[Tag do Cabo]],IFERROR(INDEX(INDIRECT("BD!$A"&amp;D286&amp;":$A100000"),E286,1),""))</f>
        <v/>
      </c>
      <c r="D286" s="391" t="str">
        <f t="shared" ca="1" si="12"/>
        <v/>
      </c>
      <c r="E286" s="391" t="str">
        <f t="shared" ca="1" si="13"/>
        <v/>
      </c>
      <c r="F286" s="23" t="str">
        <f ca="1">IFERROR(VLOOKUP(Tabela4[[#This Row],[Cabo]],BD!A:V,2,0),"")</f>
        <v/>
      </c>
      <c r="G286" s="391" t="str">
        <f ca="1">IFERROR(VLOOKUP(Tabela4[[#This Row],[Cabo]],BD!A:V,5,0),"")</f>
        <v/>
      </c>
      <c r="H286" s="23" t="str">
        <f ca="1">IFERROR(VLOOKUP(Tabela4[[#This Row],[Cabo]],BD!A:V,3,0),"")</f>
        <v/>
      </c>
      <c r="I286" s="23" t="str">
        <f ca="1">IFERROR(VLOOKUP(Tabela4[[#This Row],[Cabo]],BD!A:V,4,0),"")</f>
        <v/>
      </c>
      <c r="J286" s="23" t="str">
        <f ca="1">IFERROR(VLOOKUP(Tabela4[[#This Row],[Cabo]],BD!A:V,7,0),"")</f>
        <v/>
      </c>
      <c r="K28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6" s="23" t="str">
        <f ca="1">IFERROR(VLOOKUP(Tabela4[[#This Row],[Cabo]],BD!A:V,9,0),"")</f>
        <v/>
      </c>
      <c r="M286" s="23" t="str">
        <f ca="1">IFERROR(VLOOKUP(Tabela4[[#This Row],[Cabo]],BD!A:AD,30,0),"")</f>
        <v/>
      </c>
      <c r="N286" s="23" t="str">
        <f ca="1">IF(SUMIF('Lançamento de Cabos'!B:B,Tabela4[[#This Row],[Cabo]],'Lançamento de Cabos'!C:C)=0,"",SUMIF('Lançamento de Cabos'!B:B,Tabela4[[#This Row],[Cabo]],'Lançamento de Cabos'!C:C))</f>
        <v/>
      </c>
      <c r="O286" s="28" t="str">
        <f ca="1">IFERROR(IF(Tabela4[[#This Row],[Compr. Lançado]]/Tabela4[[#This Row],[Compr. Prev.]]&gt;1,1,Tabela4[[#This Row],[Compr. Lançado]]/Tabela4[[#This Row],[Compr. Prev.]]),"")</f>
        <v/>
      </c>
      <c r="P286" s="24" t="str">
        <f ca="1">IFERROR(VLOOKUP(Tabela4[[#This Row],[Cabo]],BD!A:V,11,0),"")</f>
        <v/>
      </c>
      <c r="Q286" s="24" t="str">
        <f ca="1">IFERROR(VLOOKUP(Tabela4[[#This Row],[Cabo]],BD!A:V,12,0),"")</f>
        <v/>
      </c>
      <c r="R28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6" s="23" t="str">
        <f ca="1">IF(Tabela4[[#This Row],[Cabo]]&lt;&gt;"",4-COUNTIF(Tabela4[[#This Row],[Teste de Continuidade]:[Hipot]],"---"),"")</f>
        <v/>
      </c>
      <c r="W286" s="29" t="str">
        <f ca="1">IF(Tabela4[[#This Row],[Cabo]]&lt;&gt;"",(COUNTIF(Tabela4[[#This Row],[Teste de Continuidade]:[Hipot]],"OK"))/(4-COUNTIF(Tabela4[[#This Row],[Teste de Continuidade]:[Hipot]],"---")),"")</f>
        <v/>
      </c>
      <c r="X286" s="23" t="str">
        <f ca="1">IF(Tabela4[[#This Row],[Cabo]]&lt;&gt;"",SUMIFS('Lançamento de Cabos'!$AF:$AF,'Lançamento de Cabos'!AE:AE,Tabela4[[#This Row],[Cabo]],'Lançamento de Cabos'!AJ:AJ,Área!$B$1),"")</f>
        <v/>
      </c>
      <c r="Y286" s="23" t="str">
        <f ca="1">IF(Tabela4[[#This Row],[Cabo]]&lt;&gt;"",SUMIFS('Lançamento de Cabos'!$AG:$AG,'Lançamento de Cabos'!AE:AE,Tabela4[[#This Row],[Cabo]],'Lançamento de Cabos'!AJ:AJ,Área!$B$1),"")</f>
        <v/>
      </c>
      <c r="Z286" s="23" t="e">
        <f ca="1">VLOOKUP(Tabela4[[#This Row],[Cabo]],BD!A:AB,28,0)</f>
        <v>#N/A</v>
      </c>
    </row>
    <row r="287" spans="3:26" x14ac:dyDescent="0.25">
      <c r="C287" s="391" t="str">
        <f ca="1">IF($B$1="Geral",Tabela1[[#This Row],[Tag do Cabo]],IFERROR(INDEX(INDIRECT("BD!$A"&amp;D287&amp;":$A100000"),E287,1),""))</f>
        <v/>
      </c>
      <c r="D287" s="391" t="str">
        <f t="shared" ca="1" si="12"/>
        <v/>
      </c>
      <c r="E287" s="391" t="str">
        <f t="shared" ca="1" si="13"/>
        <v/>
      </c>
      <c r="F287" s="23" t="str">
        <f ca="1">IFERROR(VLOOKUP(Tabela4[[#This Row],[Cabo]],BD!A:V,2,0),"")</f>
        <v/>
      </c>
      <c r="G287" s="391" t="str">
        <f ca="1">IFERROR(VLOOKUP(Tabela4[[#This Row],[Cabo]],BD!A:V,5,0),"")</f>
        <v/>
      </c>
      <c r="H287" s="23" t="str">
        <f ca="1">IFERROR(VLOOKUP(Tabela4[[#This Row],[Cabo]],BD!A:V,3,0),"")</f>
        <v/>
      </c>
      <c r="I287" s="23" t="str">
        <f ca="1">IFERROR(VLOOKUP(Tabela4[[#This Row],[Cabo]],BD!A:V,4,0),"")</f>
        <v/>
      </c>
      <c r="J287" s="23" t="str">
        <f ca="1">IFERROR(VLOOKUP(Tabela4[[#This Row],[Cabo]],BD!A:V,7,0),"")</f>
        <v/>
      </c>
      <c r="K28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7" s="23" t="str">
        <f ca="1">IFERROR(VLOOKUP(Tabela4[[#This Row],[Cabo]],BD!A:V,9,0),"")</f>
        <v/>
      </c>
      <c r="M287" s="23" t="str">
        <f ca="1">IFERROR(VLOOKUP(Tabela4[[#This Row],[Cabo]],BD!A:AD,30,0),"")</f>
        <v/>
      </c>
      <c r="N287" s="23" t="str">
        <f ca="1">IF(SUMIF('Lançamento de Cabos'!B:B,Tabela4[[#This Row],[Cabo]],'Lançamento de Cabos'!C:C)=0,"",SUMIF('Lançamento de Cabos'!B:B,Tabela4[[#This Row],[Cabo]],'Lançamento de Cabos'!C:C))</f>
        <v/>
      </c>
      <c r="O287" s="28" t="str">
        <f ca="1">IFERROR(IF(Tabela4[[#This Row],[Compr. Lançado]]/Tabela4[[#This Row],[Compr. Prev.]]&gt;1,1,Tabela4[[#This Row],[Compr. Lançado]]/Tabela4[[#This Row],[Compr. Prev.]]),"")</f>
        <v/>
      </c>
      <c r="P287" s="24" t="str">
        <f ca="1">IFERROR(VLOOKUP(Tabela4[[#This Row],[Cabo]],BD!A:V,11,0),"")</f>
        <v/>
      </c>
      <c r="Q287" s="24" t="str">
        <f ca="1">IFERROR(VLOOKUP(Tabela4[[#This Row],[Cabo]],BD!A:V,12,0),"")</f>
        <v/>
      </c>
      <c r="R28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7" s="23" t="str">
        <f ca="1">IF(Tabela4[[#This Row],[Cabo]]&lt;&gt;"",4-COUNTIF(Tabela4[[#This Row],[Teste de Continuidade]:[Hipot]],"---"),"")</f>
        <v/>
      </c>
      <c r="W287" s="29" t="str">
        <f ca="1">IF(Tabela4[[#This Row],[Cabo]]&lt;&gt;"",(COUNTIF(Tabela4[[#This Row],[Teste de Continuidade]:[Hipot]],"OK"))/(4-COUNTIF(Tabela4[[#This Row],[Teste de Continuidade]:[Hipot]],"---")),"")</f>
        <v/>
      </c>
      <c r="X287" s="23" t="str">
        <f ca="1">IF(Tabela4[[#This Row],[Cabo]]&lt;&gt;"",SUMIFS('Lançamento de Cabos'!$AF:$AF,'Lançamento de Cabos'!AE:AE,Tabela4[[#This Row],[Cabo]],'Lançamento de Cabos'!AJ:AJ,Área!$B$1),"")</f>
        <v/>
      </c>
      <c r="Y287" s="23" t="str">
        <f ca="1">IF(Tabela4[[#This Row],[Cabo]]&lt;&gt;"",SUMIFS('Lançamento de Cabos'!$AG:$AG,'Lançamento de Cabos'!AE:AE,Tabela4[[#This Row],[Cabo]],'Lançamento de Cabos'!AJ:AJ,Área!$B$1),"")</f>
        <v/>
      </c>
      <c r="Z287" s="23" t="e">
        <f ca="1">VLOOKUP(Tabela4[[#This Row],[Cabo]],BD!A:AB,28,0)</f>
        <v>#N/A</v>
      </c>
    </row>
    <row r="288" spans="3:26" x14ac:dyDescent="0.25">
      <c r="C288" s="391" t="str">
        <f ca="1">IF($B$1="Geral",Tabela1[[#This Row],[Tag do Cabo]],IFERROR(INDEX(INDIRECT("BD!$A"&amp;D288&amp;":$A100000"),E288,1),""))</f>
        <v/>
      </c>
      <c r="D288" s="391" t="str">
        <f t="shared" ca="1" si="12"/>
        <v/>
      </c>
      <c r="E288" s="391" t="str">
        <f t="shared" ca="1" si="13"/>
        <v/>
      </c>
      <c r="F288" s="23" t="str">
        <f ca="1">IFERROR(VLOOKUP(Tabela4[[#This Row],[Cabo]],BD!A:V,2,0),"")</f>
        <v/>
      </c>
      <c r="G288" s="391" t="str">
        <f ca="1">IFERROR(VLOOKUP(Tabela4[[#This Row],[Cabo]],BD!A:V,5,0),"")</f>
        <v/>
      </c>
      <c r="H288" s="23" t="str">
        <f ca="1">IFERROR(VLOOKUP(Tabela4[[#This Row],[Cabo]],BD!A:V,3,0),"")</f>
        <v/>
      </c>
      <c r="I288" s="23" t="str">
        <f ca="1">IFERROR(VLOOKUP(Tabela4[[#This Row],[Cabo]],BD!A:V,4,0),"")</f>
        <v/>
      </c>
      <c r="J288" s="23" t="str">
        <f ca="1">IFERROR(VLOOKUP(Tabela4[[#This Row],[Cabo]],BD!A:V,7,0),"")</f>
        <v/>
      </c>
      <c r="K28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8" s="23" t="str">
        <f ca="1">IFERROR(VLOOKUP(Tabela4[[#This Row],[Cabo]],BD!A:V,9,0),"")</f>
        <v/>
      </c>
      <c r="M288" s="23" t="str">
        <f ca="1">IFERROR(VLOOKUP(Tabela4[[#This Row],[Cabo]],BD!A:AD,30,0),"")</f>
        <v/>
      </c>
      <c r="N288" s="23" t="str">
        <f ca="1">IF(SUMIF('Lançamento de Cabos'!B:B,Tabela4[[#This Row],[Cabo]],'Lançamento de Cabos'!C:C)=0,"",SUMIF('Lançamento de Cabos'!B:B,Tabela4[[#This Row],[Cabo]],'Lançamento de Cabos'!C:C))</f>
        <v/>
      </c>
      <c r="O288" s="28" t="str">
        <f ca="1">IFERROR(IF(Tabela4[[#This Row],[Compr. Lançado]]/Tabela4[[#This Row],[Compr. Prev.]]&gt;1,1,Tabela4[[#This Row],[Compr. Lançado]]/Tabela4[[#This Row],[Compr. Prev.]]),"")</f>
        <v/>
      </c>
      <c r="P288" s="24" t="str">
        <f ca="1">IFERROR(VLOOKUP(Tabela4[[#This Row],[Cabo]],BD!A:V,11,0),"")</f>
        <v/>
      </c>
      <c r="Q288" s="24" t="str">
        <f ca="1">IFERROR(VLOOKUP(Tabela4[[#This Row],[Cabo]],BD!A:V,12,0),"")</f>
        <v/>
      </c>
      <c r="R28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8" s="23" t="str">
        <f ca="1">IF(Tabela4[[#This Row],[Cabo]]&lt;&gt;"",4-COUNTIF(Tabela4[[#This Row],[Teste de Continuidade]:[Hipot]],"---"),"")</f>
        <v/>
      </c>
      <c r="W288" s="29" t="str">
        <f ca="1">IF(Tabela4[[#This Row],[Cabo]]&lt;&gt;"",(COUNTIF(Tabela4[[#This Row],[Teste de Continuidade]:[Hipot]],"OK"))/(4-COUNTIF(Tabela4[[#This Row],[Teste de Continuidade]:[Hipot]],"---")),"")</f>
        <v/>
      </c>
      <c r="X288" s="23" t="str">
        <f ca="1">IF(Tabela4[[#This Row],[Cabo]]&lt;&gt;"",SUMIFS('Lançamento de Cabos'!$AF:$AF,'Lançamento de Cabos'!AE:AE,Tabela4[[#This Row],[Cabo]],'Lançamento de Cabos'!AJ:AJ,Área!$B$1),"")</f>
        <v/>
      </c>
      <c r="Y288" s="23" t="str">
        <f ca="1">IF(Tabela4[[#This Row],[Cabo]]&lt;&gt;"",SUMIFS('Lançamento de Cabos'!$AG:$AG,'Lançamento de Cabos'!AE:AE,Tabela4[[#This Row],[Cabo]],'Lançamento de Cabos'!AJ:AJ,Área!$B$1),"")</f>
        <v/>
      </c>
      <c r="Z288" s="23" t="e">
        <f ca="1">VLOOKUP(Tabela4[[#This Row],[Cabo]],BD!A:AB,28,0)</f>
        <v>#N/A</v>
      </c>
    </row>
    <row r="289" spans="3:26" x14ac:dyDescent="0.25">
      <c r="C289" s="391" t="str">
        <f ca="1">IF($B$1="Geral",Tabela1[[#This Row],[Tag do Cabo]],IFERROR(INDEX(INDIRECT("BD!$A"&amp;D289&amp;":$A100000"),E289,1),""))</f>
        <v/>
      </c>
      <c r="D289" s="391" t="str">
        <f t="shared" ca="1" si="12"/>
        <v/>
      </c>
      <c r="E289" s="391" t="str">
        <f t="shared" ca="1" si="13"/>
        <v/>
      </c>
      <c r="F289" s="23" t="str">
        <f ca="1">IFERROR(VLOOKUP(Tabela4[[#This Row],[Cabo]],BD!A:V,2,0),"")</f>
        <v/>
      </c>
      <c r="G289" s="391" t="str">
        <f ca="1">IFERROR(VLOOKUP(Tabela4[[#This Row],[Cabo]],BD!A:V,5,0),"")</f>
        <v/>
      </c>
      <c r="H289" s="23" t="str">
        <f ca="1">IFERROR(VLOOKUP(Tabela4[[#This Row],[Cabo]],BD!A:V,3,0),"")</f>
        <v/>
      </c>
      <c r="I289" s="23" t="str">
        <f ca="1">IFERROR(VLOOKUP(Tabela4[[#This Row],[Cabo]],BD!A:V,4,0),"")</f>
        <v/>
      </c>
      <c r="J289" s="23" t="str">
        <f ca="1">IFERROR(VLOOKUP(Tabela4[[#This Row],[Cabo]],BD!A:V,7,0),"")</f>
        <v/>
      </c>
      <c r="K28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89" s="23" t="str">
        <f ca="1">IFERROR(VLOOKUP(Tabela4[[#This Row],[Cabo]],BD!A:V,9,0),"")</f>
        <v/>
      </c>
      <c r="M289" s="23" t="str">
        <f ca="1">IFERROR(VLOOKUP(Tabela4[[#This Row],[Cabo]],BD!A:AD,30,0),"")</f>
        <v/>
      </c>
      <c r="N289" s="23" t="str">
        <f ca="1">IF(SUMIF('Lançamento de Cabos'!B:B,Tabela4[[#This Row],[Cabo]],'Lançamento de Cabos'!C:C)=0,"",SUMIF('Lançamento de Cabos'!B:B,Tabela4[[#This Row],[Cabo]],'Lançamento de Cabos'!C:C))</f>
        <v/>
      </c>
      <c r="O289" s="28" t="str">
        <f ca="1">IFERROR(IF(Tabela4[[#This Row],[Compr. Lançado]]/Tabela4[[#This Row],[Compr. Prev.]]&gt;1,1,Tabela4[[#This Row],[Compr. Lançado]]/Tabela4[[#This Row],[Compr. Prev.]]),"")</f>
        <v/>
      </c>
      <c r="P289" s="24" t="str">
        <f ca="1">IFERROR(VLOOKUP(Tabela4[[#This Row],[Cabo]],BD!A:V,11,0),"")</f>
        <v/>
      </c>
      <c r="Q289" s="24" t="str">
        <f ca="1">IFERROR(VLOOKUP(Tabela4[[#This Row],[Cabo]],BD!A:V,12,0),"")</f>
        <v/>
      </c>
      <c r="R28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8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8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8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89" s="23" t="str">
        <f ca="1">IF(Tabela4[[#This Row],[Cabo]]&lt;&gt;"",4-COUNTIF(Tabela4[[#This Row],[Teste de Continuidade]:[Hipot]],"---"),"")</f>
        <v/>
      </c>
      <c r="W289" s="29" t="str">
        <f ca="1">IF(Tabela4[[#This Row],[Cabo]]&lt;&gt;"",(COUNTIF(Tabela4[[#This Row],[Teste de Continuidade]:[Hipot]],"OK"))/(4-COUNTIF(Tabela4[[#This Row],[Teste de Continuidade]:[Hipot]],"---")),"")</f>
        <v/>
      </c>
      <c r="X289" s="23" t="str">
        <f ca="1">IF(Tabela4[[#This Row],[Cabo]]&lt;&gt;"",SUMIFS('Lançamento de Cabos'!$AF:$AF,'Lançamento de Cabos'!AE:AE,Tabela4[[#This Row],[Cabo]],'Lançamento de Cabos'!AJ:AJ,Área!$B$1),"")</f>
        <v/>
      </c>
      <c r="Y289" s="23" t="str">
        <f ca="1">IF(Tabela4[[#This Row],[Cabo]]&lt;&gt;"",SUMIFS('Lançamento de Cabos'!$AG:$AG,'Lançamento de Cabos'!AE:AE,Tabela4[[#This Row],[Cabo]],'Lançamento de Cabos'!AJ:AJ,Área!$B$1),"")</f>
        <v/>
      </c>
      <c r="Z289" s="23" t="e">
        <f ca="1">VLOOKUP(Tabela4[[#This Row],[Cabo]],BD!A:AB,28,0)</f>
        <v>#N/A</v>
      </c>
    </row>
    <row r="290" spans="3:26" x14ac:dyDescent="0.25">
      <c r="C290" s="391" t="str">
        <f ca="1">IF($B$1="Geral",Tabela1[[#This Row],[Tag do Cabo]],IFERROR(INDEX(INDIRECT("BD!$A"&amp;D290&amp;":$A100000"),E290,1),""))</f>
        <v/>
      </c>
      <c r="D290" s="391" t="str">
        <f t="shared" ca="1" si="12"/>
        <v/>
      </c>
      <c r="E290" s="391" t="str">
        <f t="shared" ca="1" si="13"/>
        <v/>
      </c>
      <c r="F290" s="23" t="str">
        <f ca="1">IFERROR(VLOOKUP(Tabela4[[#This Row],[Cabo]],BD!A:V,2,0),"")</f>
        <v/>
      </c>
      <c r="G290" s="391" t="str">
        <f ca="1">IFERROR(VLOOKUP(Tabela4[[#This Row],[Cabo]],BD!A:V,5,0),"")</f>
        <v/>
      </c>
      <c r="H290" s="23" t="str">
        <f ca="1">IFERROR(VLOOKUP(Tabela4[[#This Row],[Cabo]],BD!A:V,3,0),"")</f>
        <v/>
      </c>
      <c r="I290" s="23" t="str">
        <f ca="1">IFERROR(VLOOKUP(Tabela4[[#This Row],[Cabo]],BD!A:V,4,0),"")</f>
        <v/>
      </c>
      <c r="J290" s="23" t="str">
        <f ca="1">IFERROR(VLOOKUP(Tabela4[[#This Row],[Cabo]],BD!A:V,7,0),"")</f>
        <v/>
      </c>
      <c r="K29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0" s="23" t="str">
        <f ca="1">IFERROR(VLOOKUP(Tabela4[[#This Row],[Cabo]],BD!A:V,9,0),"")</f>
        <v/>
      </c>
      <c r="M290" s="23" t="str">
        <f ca="1">IFERROR(VLOOKUP(Tabela4[[#This Row],[Cabo]],BD!A:AD,30,0),"")</f>
        <v/>
      </c>
      <c r="N290" s="23" t="str">
        <f ca="1">IF(SUMIF('Lançamento de Cabos'!B:B,Tabela4[[#This Row],[Cabo]],'Lançamento de Cabos'!C:C)=0,"",SUMIF('Lançamento de Cabos'!B:B,Tabela4[[#This Row],[Cabo]],'Lançamento de Cabos'!C:C))</f>
        <v/>
      </c>
      <c r="O290" s="28" t="str">
        <f ca="1">IFERROR(IF(Tabela4[[#This Row],[Compr. Lançado]]/Tabela4[[#This Row],[Compr. Prev.]]&gt;1,1,Tabela4[[#This Row],[Compr. Lançado]]/Tabela4[[#This Row],[Compr. Prev.]]),"")</f>
        <v/>
      </c>
      <c r="P290" s="24" t="str">
        <f ca="1">IFERROR(VLOOKUP(Tabela4[[#This Row],[Cabo]],BD!A:V,11,0),"")</f>
        <v/>
      </c>
      <c r="Q290" s="24" t="str">
        <f ca="1">IFERROR(VLOOKUP(Tabela4[[#This Row],[Cabo]],BD!A:V,12,0),"")</f>
        <v/>
      </c>
      <c r="R290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0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0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0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0" s="23" t="str">
        <f ca="1">IF(Tabela4[[#This Row],[Cabo]]&lt;&gt;"",4-COUNTIF(Tabela4[[#This Row],[Teste de Continuidade]:[Hipot]],"---"),"")</f>
        <v/>
      </c>
      <c r="W290" s="29" t="str">
        <f ca="1">IF(Tabela4[[#This Row],[Cabo]]&lt;&gt;"",(COUNTIF(Tabela4[[#This Row],[Teste de Continuidade]:[Hipot]],"OK"))/(4-COUNTIF(Tabela4[[#This Row],[Teste de Continuidade]:[Hipot]],"---")),"")</f>
        <v/>
      </c>
      <c r="X290" s="23" t="str">
        <f ca="1">IF(Tabela4[[#This Row],[Cabo]]&lt;&gt;"",SUMIFS('Lançamento de Cabos'!$AF:$AF,'Lançamento de Cabos'!AE:AE,Tabela4[[#This Row],[Cabo]],'Lançamento de Cabos'!AJ:AJ,Área!$B$1),"")</f>
        <v/>
      </c>
      <c r="Y290" s="23" t="str">
        <f ca="1">IF(Tabela4[[#This Row],[Cabo]]&lt;&gt;"",SUMIFS('Lançamento de Cabos'!$AG:$AG,'Lançamento de Cabos'!AE:AE,Tabela4[[#This Row],[Cabo]],'Lançamento de Cabos'!AJ:AJ,Área!$B$1),"")</f>
        <v/>
      </c>
      <c r="Z290" s="23" t="e">
        <f ca="1">VLOOKUP(Tabela4[[#This Row],[Cabo]],BD!A:AB,28,0)</f>
        <v>#N/A</v>
      </c>
    </row>
    <row r="291" spans="3:26" x14ac:dyDescent="0.25">
      <c r="C291" s="391" t="str">
        <f ca="1">IF($B$1="Geral",Tabela1[[#This Row],[Tag do Cabo]],IFERROR(INDEX(INDIRECT("BD!$A"&amp;D291&amp;":$A100000"),E291,1),""))</f>
        <v/>
      </c>
      <c r="D291" s="391" t="str">
        <f t="shared" ca="1" si="12"/>
        <v/>
      </c>
      <c r="E291" s="391" t="str">
        <f t="shared" ca="1" si="13"/>
        <v/>
      </c>
      <c r="F291" s="23" t="str">
        <f ca="1">IFERROR(VLOOKUP(Tabela4[[#This Row],[Cabo]],BD!A:V,2,0),"")</f>
        <v/>
      </c>
      <c r="G291" s="391" t="str">
        <f ca="1">IFERROR(VLOOKUP(Tabela4[[#This Row],[Cabo]],BD!A:V,5,0),"")</f>
        <v/>
      </c>
      <c r="H291" s="23" t="str">
        <f ca="1">IFERROR(VLOOKUP(Tabela4[[#This Row],[Cabo]],BD!A:V,3,0),"")</f>
        <v/>
      </c>
      <c r="I291" s="23" t="str">
        <f ca="1">IFERROR(VLOOKUP(Tabela4[[#This Row],[Cabo]],BD!A:V,4,0),"")</f>
        <v/>
      </c>
      <c r="J291" s="23" t="str">
        <f ca="1">IFERROR(VLOOKUP(Tabela4[[#This Row],[Cabo]],BD!A:V,7,0),"")</f>
        <v/>
      </c>
      <c r="K29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1" s="23" t="str">
        <f ca="1">IFERROR(VLOOKUP(Tabela4[[#This Row],[Cabo]],BD!A:V,9,0),"")</f>
        <v/>
      </c>
      <c r="M291" s="23" t="str">
        <f ca="1">IFERROR(VLOOKUP(Tabela4[[#This Row],[Cabo]],BD!A:AD,30,0),"")</f>
        <v/>
      </c>
      <c r="N291" s="23" t="str">
        <f ca="1">IF(SUMIF('Lançamento de Cabos'!B:B,Tabela4[[#This Row],[Cabo]],'Lançamento de Cabos'!C:C)=0,"",SUMIF('Lançamento de Cabos'!B:B,Tabela4[[#This Row],[Cabo]],'Lançamento de Cabos'!C:C))</f>
        <v/>
      </c>
      <c r="O291" s="28" t="str">
        <f ca="1">IFERROR(IF(Tabela4[[#This Row],[Compr. Lançado]]/Tabela4[[#This Row],[Compr. Prev.]]&gt;1,1,Tabela4[[#This Row],[Compr. Lançado]]/Tabela4[[#This Row],[Compr. Prev.]]),"")</f>
        <v/>
      </c>
      <c r="P291" s="24" t="str">
        <f ca="1">IFERROR(VLOOKUP(Tabela4[[#This Row],[Cabo]],BD!A:V,11,0),"")</f>
        <v/>
      </c>
      <c r="Q291" s="24" t="str">
        <f ca="1">IFERROR(VLOOKUP(Tabela4[[#This Row],[Cabo]],BD!A:V,12,0),"")</f>
        <v/>
      </c>
      <c r="R291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1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1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1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1" s="23" t="str">
        <f ca="1">IF(Tabela4[[#This Row],[Cabo]]&lt;&gt;"",4-COUNTIF(Tabela4[[#This Row],[Teste de Continuidade]:[Hipot]],"---"),"")</f>
        <v/>
      </c>
      <c r="W291" s="29" t="str">
        <f ca="1">IF(Tabela4[[#This Row],[Cabo]]&lt;&gt;"",(COUNTIF(Tabela4[[#This Row],[Teste de Continuidade]:[Hipot]],"OK"))/(4-COUNTIF(Tabela4[[#This Row],[Teste de Continuidade]:[Hipot]],"---")),"")</f>
        <v/>
      </c>
      <c r="X291" s="23" t="str">
        <f ca="1">IF(Tabela4[[#This Row],[Cabo]]&lt;&gt;"",SUMIFS('Lançamento de Cabos'!$AF:$AF,'Lançamento de Cabos'!AE:AE,Tabela4[[#This Row],[Cabo]],'Lançamento de Cabos'!AJ:AJ,Área!$B$1),"")</f>
        <v/>
      </c>
      <c r="Y291" s="23" t="str">
        <f ca="1">IF(Tabela4[[#This Row],[Cabo]]&lt;&gt;"",SUMIFS('Lançamento de Cabos'!$AG:$AG,'Lançamento de Cabos'!AE:AE,Tabela4[[#This Row],[Cabo]],'Lançamento de Cabos'!AJ:AJ,Área!$B$1),"")</f>
        <v/>
      </c>
      <c r="Z291" s="23" t="e">
        <f ca="1">VLOOKUP(Tabela4[[#This Row],[Cabo]],BD!A:AB,28,0)</f>
        <v>#N/A</v>
      </c>
    </row>
    <row r="292" spans="3:26" x14ac:dyDescent="0.25">
      <c r="C292" s="391" t="str">
        <f ca="1">IF($B$1="Geral",Tabela1[[#This Row],[Tag do Cabo]],IFERROR(INDEX(INDIRECT("BD!$A"&amp;D292&amp;":$A100000"),E292,1),""))</f>
        <v/>
      </c>
      <c r="D292" s="391" t="str">
        <f t="shared" ca="1" si="12"/>
        <v/>
      </c>
      <c r="E292" s="391" t="str">
        <f t="shared" ca="1" si="13"/>
        <v/>
      </c>
      <c r="F292" s="23" t="str">
        <f ca="1">IFERROR(VLOOKUP(Tabela4[[#This Row],[Cabo]],BD!A:V,2,0),"")</f>
        <v/>
      </c>
      <c r="G292" s="391" t="str">
        <f ca="1">IFERROR(VLOOKUP(Tabela4[[#This Row],[Cabo]],BD!A:V,5,0),"")</f>
        <v/>
      </c>
      <c r="H292" s="23" t="str">
        <f ca="1">IFERROR(VLOOKUP(Tabela4[[#This Row],[Cabo]],BD!A:V,3,0),"")</f>
        <v/>
      </c>
      <c r="I292" s="23" t="str">
        <f ca="1">IFERROR(VLOOKUP(Tabela4[[#This Row],[Cabo]],BD!A:V,4,0),"")</f>
        <v/>
      </c>
      <c r="J292" s="23" t="str">
        <f ca="1">IFERROR(VLOOKUP(Tabela4[[#This Row],[Cabo]],BD!A:V,7,0),"")</f>
        <v/>
      </c>
      <c r="K29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2" s="23" t="str">
        <f ca="1">IFERROR(VLOOKUP(Tabela4[[#This Row],[Cabo]],BD!A:V,9,0),"")</f>
        <v/>
      </c>
      <c r="M292" s="23" t="str">
        <f ca="1">IFERROR(VLOOKUP(Tabela4[[#This Row],[Cabo]],BD!A:AD,30,0),"")</f>
        <v/>
      </c>
      <c r="N292" s="23" t="str">
        <f ca="1">IF(SUMIF('Lançamento de Cabos'!B:B,Tabela4[[#This Row],[Cabo]],'Lançamento de Cabos'!C:C)=0,"",SUMIF('Lançamento de Cabos'!B:B,Tabela4[[#This Row],[Cabo]],'Lançamento de Cabos'!C:C))</f>
        <v/>
      </c>
      <c r="O292" s="28" t="str">
        <f ca="1">IFERROR(IF(Tabela4[[#This Row],[Compr. Lançado]]/Tabela4[[#This Row],[Compr. Prev.]]&gt;1,1,Tabela4[[#This Row],[Compr. Lançado]]/Tabela4[[#This Row],[Compr. Prev.]]),"")</f>
        <v/>
      </c>
      <c r="P292" s="24" t="str">
        <f ca="1">IFERROR(VLOOKUP(Tabela4[[#This Row],[Cabo]],BD!A:V,11,0),"")</f>
        <v/>
      </c>
      <c r="Q292" s="24" t="str">
        <f ca="1">IFERROR(VLOOKUP(Tabela4[[#This Row],[Cabo]],BD!A:V,12,0),"")</f>
        <v/>
      </c>
      <c r="R292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2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2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2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2" s="23" t="str">
        <f ca="1">IF(Tabela4[[#This Row],[Cabo]]&lt;&gt;"",4-COUNTIF(Tabela4[[#This Row],[Teste de Continuidade]:[Hipot]],"---"),"")</f>
        <v/>
      </c>
      <c r="W292" s="29" t="str">
        <f ca="1">IF(Tabela4[[#This Row],[Cabo]]&lt;&gt;"",(COUNTIF(Tabela4[[#This Row],[Teste de Continuidade]:[Hipot]],"OK"))/(4-COUNTIF(Tabela4[[#This Row],[Teste de Continuidade]:[Hipot]],"---")),"")</f>
        <v/>
      </c>
      <c r="X292" s="23" t="str">
        <f ca="1">IF(Tabela4[[#This Row],[Cabo]]&lt;&gt;"",SUMIFS('Lançamento de Cabos'!$AF:$AF,'Lançamento de Cabos'!AE:AE,Tabela4[[#This Row],[Cabo]],'Lançamento de Cabos'!AJ:AJ,Área!$B$1),"")</f>
        <v/>
      </c>
      <c r="Y292" s="23" t="str">
        <f ca="1">IF(Tabela4[[#This Row],[Cabo]]&lt;&gt;"",SUMIFS('Lançamento de Cabos'!$AG:$AG,'Lançamento de Cabos'!AE:AE,Tabela4[[#This Row],[Cabo]],'Lançamento de Cabos'!AJ:AJ,Área!$B$1),"")</f>
        <v/>
      </c>
      <c r="Z292" s="23" t="e">
        <f ca="1">VLOOKUP(Tabela4[[#This Row],[Cabo]],BD!A:AB,28,0)</f>
        <v>#N/A</v>
      </c>
    </row>
    <row r="293" spans="3:26" x14ac:dyDescent="0.25">
      <c r="C293" s="391" t="str">
        <f ca="1">IF($B$1="Geral",Tabela1[[#This Row],[Tag do Cabo]],IFERROR(INDEX(INDIRECT("BD!$A"&amp;D293&amp;":$A100000"),E293,1),""))</f>
        <v/>
      </c>
      <c r="D293" s="391" t="str">
        <f t="shared" ca="1" si="12"/>
        <v/>
      </c>
      <c r="E293" s="391" t="str">
        <f t="shared" ca="1" si="13"/>
        <v/>
      </c>
      <c r="F293" s="23" t="str">
        <f ca="1">IFERROR(VLOOKUP(Tabela4[[#This Row],[Cabo]],BD!A:V,2,0),"")</f>
        <v/>
      </c>
      <c r="G293" s="391" t="str">
        <f ca="1">IFERROR(VLOOKUP(Tabela4[[#This Row],[Cabo]],BD!A:V,5,0),"")</f>
        <v/>
      </c>
      <c r="H293" s="23" t="str">
        <f ca="1">IFERROR(VLOOKUP(Tabela4[[#This Row],[Cabo]],BD!A:V,3,0),"")</f>
        <v/>
      </c>
      <c r="I293" s="23" t="str">
        <f ca="1">IFERROR(VLOOKUP(Tabela4[[#This Row],[Cabo]],BD!A:V,4,0),"")</f>
        <v/>
      </c>
      <c r="J293" s="23" t="str">
        <f ca="1">IFERROR(VLOOKUP(Tabela4[[#This Row],[Cabo]],BD!A:V,7,0),"")</f>
        <v/>
      </c>
      <c r="K29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3" s="23" t="str">
        <f ca="1">IFERROR(VLOOKUP(Tabela4[[#This Row],[Cabo]],BD!A:V,9,0),"")</f>
        <v/>
      </c>
      <c r="M293" s="23" t="str">
        <f ca="1">IFERROR(VLOOKUP(Tabela4[[#This Row],[Cabo]],BD!A:AD,30,0),"")</f>
        <v/>
      </c>
      <c r="N293" s="23" t="str">
        <f ca="1">IF(SUMIF('Lançamento de Cabos'!B:B,Tabela4[[#This Row],[Cabo]],'Lançamento de Cabos'!C:C)=0,"",SUMIF('Lançamento de Cabos'!B:B,Tabela4[[#This Row],[Cabo]],'Lançamento de Cabos'!C:C))</f>
        <v/>
      </c>
      <c r="O293" s="28" t="str">
        <f ca="1">IFERROR(IF(Tabela4[[#This Row],[Compr. Lançado]]/Tabela4[[#This Row],[Compr. Prev.]]&gt;1,1,Tabela4[[#This Row],[Compr. Lançado]]/Tabela4[[#This Row],[Compr. Prev.]]),"")</f>
        <v/>
      </c>
      <c r="P293" s="24" t="str">
        <f ca="1">IFERROR(VLOOKUP(Tabela4[[#This Row],[Cabo]],BD!A:V,11,0),"")</f>
        <v/>
      </c>
      <c r="Q293" s="24" t="str">
        <f ca="1">IFERROR(VLOOKUP(Tabela4[[#This Row],[Cabo]],BD!A:V,12,0),"")</f>
        <v/>
      </c>
      <c r="R293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3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3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3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3" s="23" t="str">
        <f ca="1">IF(Tabela4[[#This Row],[Cabo]]&lt;&gt;"",4-COUNTIF(Tabela4[[#This Row],[Teste de Continuidade]:[Hipot]],"---"),"")</f>
        <v/>
      </c>
      <c r="W293" s="29" t="str">
        <f ca="1">IF(Tabela4[[#This Row],[Cabo]]&lt;&gt;"",(COUNTIF(Tabela4[[#This Row],[Teste de Continuidade]:[Hipot]],"OK"))/(4-COUNTIF(Tabela4[[#This Row],[Teste de Continuidade]:[Hipot]],"---")),"")</f>
        <v/>
      </c>
      <c r="X293" s="23" t="str">
        <f ca="1">IF(Tabela4[[#This Row],[Cabo]]&lt;&gt;"",SUMIFS('Lançamento de Cabos'!$AF:$AF,'Lançamento de Cabos'!AE:AE,Tabela4[[#This Row],[Cabo]],'Lançamento de Cabos'!AJ:AJ,Área!$B$1),"")</f>
        <v/>
      </c>
      <c r="Y293" s="23" t="str">
        <f ca="1">IF(Tabela4[[#This Row],[Cabo]]&lt;&gt;"",SUMIFS('Lançamento de Cabos'!$AG:$AG,'Lançamento de Cabos'!AE:AE,Tabela4[[#This Row],[Cabo]],'Lançamento de Cabos'!AJ:AJ,Área!$B$1),"")</f>
        <v/>
      </c>
      <c r="Z293" s="23" t="e">
        <f ca="1">VLOOKUP(Tabela4[[#This Row],[Cabo]],BD!A:AB,28,0)</f>
        <v>#N/A</v>
      </c>
    </row>
    <row r="294" spans="3:26" x14ac:dyDescent="0.25">
      <c r="C294" s="391" t="str">
        <f ca="1">IF($B$1="Geral",Tabela1[[#This Row],[Tag do Cabo]],IFERROR(INDEX(INDIRECT("BD!$A"&amp;D294&amp;":$A100000"),E294,1),""))</f>
        <v/>
      </c>
      <c r="D294" s="391" t="str">
        <f t="shared" ca="1" si="12"/>
        <v/>
      </c>
      <c r="E294" s="391" t="str">
        <f t="shared" ca="1" si="13"/>
        <v/>
      </c>
      <c r="F294" s="23" t="str">
        <f ca="1">IFERROR(VLOOKUP(Tabela4[[#This Row],[Cabo]],BD!A:V,2,0),"")</f>
        <v/>
      </c>
      <c r="G294" s="391" t="str">
        <f ca="1">IFERROR(VLOOKUP(Tabela4[[#This Row],[Cabo]],BD!A:V,5,0),"")</f>
        <v/>
      </c>
      <c r="H294" s="23" t="str">
        <f ca="1">IFERROR(VLOOKUP(Tabela4[[#This Row],[Cabo]],BD!A:V,3,0),"")</f>
        <v/>
      </c>
      <c r="I294" s="23" t="str">
        <f ca="1">IFERROR(VLOOKUP(Tabela4[[#This Row],[Cabo]],BD!A:V,4,0),"")</f>
        <v/>
      </c>
      <c r="J294" s="23" t="str">
        <f ca="1">IFERROR(VLOOKUP(Tabela4[[#This Row],[Cabo]],BD!A:V,7,0),"")</f>
        <v/>
      </c>
      <c r="K29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4" s="23" t="str">
        <f ca="1">IFERROR(VLOOKUP(Tabela4[[#This Row],[Cabo]],BD!A:V,9,0),"")</f>
        <v/>
      </c>
      <c r="M294" s="23" t="str">
        <f ca="1">IFERROR(VLOOKUP(Tabela4[[#This Row],[Cabo]],BD!A:AD,30,0),"")</f>
        <v/>
      </c>
      <c r="N294" s="23" t="str">
        <f ca="1">IF(SUMIF('Lançamento de Cabos'!B:B,Tabela4[[#This Row],[Cabo]],'Lançamento de Cabos'!C:C)=0,"",SUMIF('Lançamento de Cabos'!B:B,Tabela4[[#This Row],[Cabo]],'Lançamento de Cabos'!C:C))</f>
        <v/>
      </c>
      <c r="O294" s="28" t="str">
        <f ca="1">IFERROR(IF(Tabela4[[#This Row],[Compr. Lançado]]/Tabela4[[#This Row],[Compr. Prev.]]&gt;1,1,Tabela4[[#This Row],[Compr. Lançado]]/Tabela4[[#This Row],[Compr. Prev.]]),"")</f>
        <v/>
      </c>
      <c r="P294" s="24" t="str">
        <f ca="1">IFERROR(VLOOKUP(Tabela4[[#This Row],[Cabo]],BD!A:V,11,0),"")</f>
        <v/>
      </c>
      <c r="Q294" s="24" t="str">
        <f ca="1">IFERROR(VLOOKUP(Tabela4[[#This Row],[Cabo]],BD!A:V,12,0),"")</f>
        <v/>
      </c>
      <c r="R294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4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4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4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4" s="23" t="str">
        <f ca="1">IF(Tabela4[[#This Row],[Cabo]]&lt;&gt;"",4-COUNTIF(Tabela4[[#This Row],[Teste de Continuidade]:[Hipot]],"---"),"")</f>
        <v/>
      </c>
      <c r="W294" s="29" t="str">
        <f ca="1">IF(Tabela4[[#This Row],[Cabo]]&lt;&gt;"",(COUNTIF(Tabela4[[#This Row],[Teste de Continuidade]:[Hipot]],"OK"))/(4-COUNTIF(Tabela4[[#This Row],[Teste de Continuidade]:[Hipot]],"---")),"")</f>
        <v/>
      </c>
      <c r="X294" s="23" t="str">
        <f ca="1">IF(Tabela4[[#This Row],[Cabo]]&lt;&gt;"",SUMIFS('Lançamento de Cabos'!$AF:$AF,'Lançamento de Cabos'!AE:AE,Tabela4[[#This Row],[Cabo]],'Lançamento de Cabos'!AJ:AJ,Área!$B$1),"")</f>
        <v/>
      </c>
      <c r="Y294" s="23" t="str">
        <f ca="1">IF(Tabela4[[#This Row],[Cabo]]&lt;&gt;"",SUMIFS('Lançamento de Cabos'!$AG:$AG,'Lançamento de Cabos'!AE:AE,Tabela4[[#This Row],[Cabo]],'Lançamento de Cabos'!AJ:AJ,Área!$B$1),"")</f>
        <v/>
      </c>
      <c r="Z294" s="23" t="e">
        <f ca="1">VLOOKUP(Tabela4[[#This Row],[Cabo]],BD!A:AB,28,0)</f>
        <v>#N/A</v>
      </c>
    </row>
    <row r="295" spans="3:26" x14ac:dyDescent="0.25">
      <c r="C295" s="391" t="str">
        <f ca="1">IF($B$1="Geral",Tabela1[[#This Row],[Tag do Cabo]],IFERROR(INDEX(INDIRECT("BD!$A"&amp;D295&amp;":$A100000"),E295,1),""))</f>
        <v/>
      </c>
      <c r="D295" s="391" t="str">
        <f t="shared" ca="1" si="12"/>
        <v/>
      </c>
      <c r="E295" s="391" t="str">
        <f t="shared" ca="1" si="13"/>
        <v/>
      </c>
      <c r="F295" s="23" t="str">
        <f ca="1">IFERROR(VLOOKUP(Tabela4[[#This Row],[Cabo]],BD!A:V,2,0),"")</f>
        <v/>
      </c>
      <c r="G295" s="391" t="str">
        <f ca="1">IFERROR(VLOOKUP(Tabela4[[#This Row],[Cabo]],BD!A:V,5,0),"")</f>
        <v/>
      </c>
      <c r="H295" s="23" t="str">
        <f ca="1">IFERROR(VLOOKUP(Tabela4[[#This Row],[Cabo]],BD!A:V,3,0),"")</f>
        <v/>
      </c>
      <c r="I295" s="23" t="str">
        <f ca="1">IFERROR(VLOOKUP(Tabela4[[#This Row],[Cabo]],BD!A:V,4,0),"")</f>
        <v/>
      </c>
      <c r="J295" s="23" t="str">
        <f ca="1">IFERROR(VLOOKUP(Tabela4[[#This Row],[Cabo]],BD!A:V,7,0),"")</f>
        <v/>
      </c>
      <c r="K29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5" s="23" t="str">
        <f ca="1">IFERROR(VLOOKUP(Tabela4[[#This Row],[Cabo]],BD!A:V,9,0),"")</f>
        <v/>
      </c>
      <c r="M295" s="23" t="str">
        <f ca="1">IFERROR(VLOOKUP(Tabela4[[#This Row],[Cabo]],BD!A:AD,30,0),"")</f>
        <v/>
      </c>
      <c r="N295" s="23" t="str">
        <f ca="1">IF(SUMIF('Lançamento de Cabos'!B:B,Tabela4[[#This Row],[Cabo]],'Lançamento de Cabos'!C:C)=0,"",SUMIF('Lançamento de Cabos'!B:B,Tabela4[[#This Row],[Cabo]],'Lançamento de Cabos'!C:C))</f>
        <v/>
      </c>
      <c r="O295" s="28" t="str">
        <f ca="1">IFERROR(IF(Tabela4[[#This Row],[Compr. Lançado]]/Tabela4[[#This Row],[Compr. Prev.]]&gt;1,1,Tabela4[[#This Row],[Compr. Lançado]]/Tabela4[[#This Row],[Compr. Prev.]]),"")</f>
        <v/>
      </c>
      <c r="P295" s="24" t="str">
        <f ca="1">IFERROR(VLOOKUP(Tabela4[[#This Row],[Cabo]],BD!A:V,11,0),"")</f>
        <v/>
      </c>
      <c r="Q295" s="24" t="str">
        <f ca="1">IFERROR(VLOOKUP(Tabela4[[#This Row],[Cabo]],BD!A:V,12,0),"")</f>
        <v/>
      </c>
      <c r="R295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5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5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5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5" s="23" t="str">
        <f ca="1">IF(Tabela4[[#This Row],[Cabo]]&lt;&gt;"",4-COUNTIF(Tabela4[[#This Row],[Teste de Continuidade]:[Hipot]],"---"),"")</f>
        <v/>
      </c>
      <c r="W295" s="29" t="str">
        <f ca="1">IF(Tabela4[[#This Row],[Cabo]]&lt;&gt;"",(COUNTIF(Tabela4[[#This Row],[Teste de Continuidade]:[Hipot]],"OK"))/(4-COUNTIF(Tabela4[[#This Row],[Teste de Continuidade]:[Hipot]],"---")),"")</f>
        <v/>
      </c>
      <c r="X295" s="23" t="str">
        <f ca="1">IF(Tabela4[[#This Row],[Cabo]]&lt;&gt;"",SUMIFS('Lançamento de Cabos'!$AF:$AF,'Lançamento de Cabos'!AE:AE,Tabela4[[#This Row],[Cabo]],'Lançamento de Cabos'!AJ:AJ,Área!$B$1),"")</f>
        <v/>
      </c>
      <c r="Y295" s="23" t="str">
        <f ca="1">IF(Tabela4[[#This Row],[Cabo]]&lt;&gt;"",SUMIFS('Lançamento de Cabos'!$AG:$AG,'Lançamento de Cabos'!AE:AE,Tabela4[[#This Row],[Cabo]],'Lançamento de Cabos'!AJ:AJ,Área!$B$1),"")</f>
        <v/>
      </c>
      <c r="Z295" s="23" t="e">
        <f ca="1">VLOOKUP(Tabela4[[#This Row],[Cabo]],BD!A:AB,28,0)</f>
        <v>#N/A</v>
      </c>
    </row>
    <row r="296" spans="3:26" x14ac:dyDescent="0.25">
      <c r="C296" s="391" t="str">
        <f ca="1">IF($B$1="Geral",Tabela1[[#This Row],[Tag do Cabo]],IFERROR(INDEX(INDIRECT("BD!$A"&amp;D296&amp;":$A100000"),E296,1),""))</f>
        <v/>
      </c>
      <c r="D296" s="391" t="str">
        <f t="shared" ca="1" si="12"/>
        <v/>
      </c>
      <c r="E296" s="391" t="str">
        <f t="shared" ca="1" si="13"/>
        <v/>
      </c>
      <c r="F296" s="23" t="str">
        <f ca="1">IFERROR(VLOOKUP(Tabela4[[#This Row],[Cabo]],BD!A:V,2,0),"")</f>
        <v/>
      </c>
      <c r="G296" s="391" t="str">
        <f ca="1">IFERROR(VLOOKUP(Tabela4[[#This Row],[Cabo]],BD!A:V,5,0),"")</f>
        <v/>
      </c>
      <c r="H296" s="23" t="str">
        <f ca="1">IFERROR(VLOOKUP(Tabela4[[#This Row],[Cabo]],BD!A:V,3,0),"")</f>
        <v/>
      </c>
      <c r="I296" s="23" t="str">
        <f ca="1">IFERROR(VLOOKUP(Tabela4[[#This Row],[Cabo]],BD!A:V,4,0),"")</f>
        <v/>
      </c>
      <c r="J296" s="23" t="str">
        <f ca="1">IFERROR(VLOOKUP(Tabela4[[#This Row],[Cabo]],BD!A:V,7,0),"")</f>
        <v/>
      </c>
      <c r="K29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6" s="23" t="str">
        <f ca="1">IFERROR(VLOOKUP(Tabela4[[#This Row],[Cabo]],BD!A:V,9,0),"")</f>
        <v/>
      </c>
      <c r="M296" s="23" t="str">
        <f ca="1">IFERROR(VLOOKUP(Tabela4[[#This Row],[Cabo]],BD!A:AD,30,0),"")</f>
        <v/>
      </c>
      <c r="N296" s="23" t="str">
        <f ca="1">IF(SUMIF('Lançamento de Cabos'!B:B,Tabela4[[#This Row],[Cabo]],'Lançamento de Cabos'!C:C)=0,"",SUMIF('Lançamento de Cabos'!B:B,Tabela4[[#This Row],[Cabo]],'Lançamento de Cabos'!C:C))</f>
        <v/>
      </c>
      <c r="O296" s="28" t="str">
        <f ca="1">IFERROR(IF(Tabela4[[#This Row],[Compr. Lançado]]/Tabela4[[#This Row],[Compr. Prev.]]&gt;1,1,Tabela4[[#This Row],[Compr. Lançado]]/Tabela4[[#This Row],[Compr. Prev.]]),"")</f>
        <v/>
      </c>
      <c r="P296" s="24" t="str">
        <f ca="1">IFERROR(VLOOKUP(Tabela4[[#This Row],[Cabo]],BD!A:V,11,0),"")</f>
        <v/>
      </c>
      <c r="Q296" s="24" t="str">
        <f ca="1">IFERROR(VLOOKUP(Tabela4[[#This Row],[Cabo]],BD!A:V,12,0),"")</f>
        <v/>
      </c>
      <c r="R296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6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6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6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6" s="23" t="str">
        <f ca="1">IF(Tabela4[[#This Row],[Cabo]]&lt;&gt;"",4-COUNTIF(Tabela4[[#This Row],[Teste de Continuidade]:[Hipot]],"---"),"")</f>
        <v/>
      </c>
      <c r="W296" s="29" t="str">
        <f ca="1">IF(Tabela4[[#This Row],[Cabo]]&lt;&gt;"",(COUNTIF(Tabela4[[#This Row],[Teste de Continuidade]:[Hipot]],"OK"))/(4-COUNTIF(Tabela4[[#This Row],[Teste de Continuidade]:[Hipot]],"---")),"")</f>
        <v/>
      </c>
      <c r="X296" s="23" t="str">
        <f ca="1">IF(Tabela4[[#This Row],[Cabo]]&lt;&gt;"",SUMIFS('Lançamento de Cabos'!$AF:$AF,'Lançamento de Cabos'!AE:AE,Tabela4[[#This Row],[Cabo]],'Lançamento de Cabos'!AJ:AJ,Área!$B$1),"")</f>
        <v/>
      </c>
      <c r="Y296" s="23" t="str">
        <f ca="1">IF(Tabela4[[#This Row],[Cabo]]&lt;&gt;"",SUMIFS('Lançamento de Cabos'!$AG:$AG,'Lançamento de Cabos'!AE:AE,Tabela4[[#This Row],[Cabo]],'Lançamento de Cabos'!AJ:AJ,Área!$B$1),"")</f>
        <v/>
      </c>
      <c r="Z296" s="23" t="e">
        <f ca="1">VLOOKUP(Tabela4[[#This Row],[Cabo]],BD!A:AB,28,0)</f>
        <v>#N/A</v>
      </c>
    </row>
    <row r="297" spans="3:26" x14ac:dyDescent="0.25">
      <c r="C297" s="391" t="str">
        <f ca="1">IF($B$1="Geral",Tabela1[[#This Row],[Tag do Cabo]],IFERROR(INDEX(INDIRECT("BD!$A"&amp;D297&amp;":$A100000"),E297,1),""))</f>
        <v/>
      </c>
      <c r="D297" s="391" t="str">
        <f t="shared" ca="1" si="12"/>
        <v/>
      </c>
      <c r="E297" s="391" t="str">
        <f t="shared" ca="1" si="13"/>
        <v/>
      </c>
      <c r="F297" s="23" t="str">
        <f ca="1">IFERROR(VLOOKUP(Tabela4[[#This Row],[Cabo]],BD!A:V,2,0),"")</f>
        <v/>
      </c>
      <c r="G297" s="391" t="str">
        <f ca="1">IFERROR(VLOOKUP(Tabela4[[#This Row],[Cabo]],BD!A:V,5,0),"")</f>
        <v/>
      </c>
      <c r="H297" s="23" t="str">
        <f ca="1">IFERROR(VLOOKUP(Tabela4[[#This Row],[Cabo]],BD!A:V,3,0),"")</f>
        <v/>
      </c>
      <c r="I297" s="23" t="str">
        <f ca="1">IFERROR(VLOOKUP(Tabela4[[#This Row],[Cabo]],BD!A:V,4,0),"")</f>
        <v/>
      </c>
      <c r="J297" s="23" t="str">
        <f ca="1">IFERROR(VLOOKUP(Tabela4[[#This Row],[Cabo]],BD!A:V,7,0),"")</f>
        <v/>
      </c>
      <c r="K29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7" s="23" t="str">
        <f ca="1">IFERROR(VLOOKUP(Tabela4[[#This Row],[Cabo]],BD!A:V,9,0),"")</f>
        <v/>
      </c>
      <c r="M297" s="23" t="str">
        <f ca="1">IFERROR(VLOOKUP(Tabela4[[#This Row],[Cabo]],BD!A:AD,30,0),"")</f>
        <v/>
      </c>
      <c r="N297" s="23" t="str">
        <f ca="1">IF(SUMIF('Lançamento de Cabos'!B:B,Tabela4[[#This Row],[Cabo]],'Lançamento de Cabos'!C:C)=0,"",SUMIF('Lançamento de Cabos'!B:B,Tabela4[[#This Row],[Cabo]],'Lançamento de Cabos'!C:C))</f>
        <v/>
      </c>
      <c r="O297" s="28" t="str">
        <f ca="1">IFERROR(IF(Tabela4[[#This Row],[Compr. Lançado]]/Tabela4[[#This Row],[Compr. Prev.]]&gt;1,1,Tabela4[[#This Row],[Compr. Lançado]]/Tabela4[[#This Row],[Compr. Prev.]]),"")</f>
        <v/>
      </c>
      <c r="P297" s="24" t="str">
        <f ca="1">IFERROR(VLOOKUP(Tabela4[[#This Row],[Cabo]],BD!A:V,11,0),"")</f>
        <v/>
      </c>
      <c r="Q297" s="24" t="str">
        <f ca="1">IFERROR(VLOOKUP(Tabela4[[#This Row],[Cabo]],BD!A:V,12,0),"")</f>
        <v/>
      </c>
      <c r="R297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7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7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7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7" s="23" t="str">
        <f ca="1">IF(Tabela4[[#This Row],[Cabo]]&lt;&gt;"",4-COUNTIF(Tabela4[[#This Row],[Teste de Continuidade]:[Hipot]],"---"),"")</f>
        <v/>
      </c>
      <c r="W297" s="29" t="str">
        <f ca="1">IF(Tabela4[[#This Row],[Cabo]]&lt;&gt;"",(COUNTIF(Tabela4[[#This Row],[Teste de Continuidade]:[Hipot]],"OK"))/(4-COUNTIF(Tabela4[[#This Row],[Teste de Continuidade]:[Hipot]],"---")),"")</f>
        <v/>
      </c>
      <c r="X297" s="23" t="str">
        <f ca="1">IF(Tabela4[[#This Row],[Cabo]]&lt;&gt;"",SUMIFS('Lançamento de Cabos'!$AF:$AF,'Lançamento de Cabos'!AE:AE,Tabela4[[#This Row],[Cabo]],'Lançamento de Cabos'!AJ:AJ,Área!$B$1),"")</f>
        <v/>
      </c>
      <c r="Y297" s="23" t="str">
        <f ca="1">IF(Tabela4[[#This Row],[Cabo]]&lt;&gt;"",SUMIFS('Lançamento de Cabos'!$AG:$AG,'Lançamento de Cabos'!AE:AE,Tabela4[[#This Row],[Cabo]],'Lançamento de Cabos'!AJ:AJ,Área!$B$1),"")</f>
        <v/>
      </c>
      <c r="Z297" s="23" t="e">
        <f ca="1">VLOOKUP(Tabela4[[#This Row],[Cabo]],BD!A:AB,28,0)</f>
        <v>#N/A</v>
      </c>
    </row>
    <row r="298" spans="3:26" x14ac:dyDescent="0.25">
      <c r="C298" s="391" t="str">
        <f ca="1">IF($B$1="Geral",Tabela1[[#This Row],[Tag do Cabo]],IFERROR(INDEX(INDIRECT("BD!$A"&amp;D298&amp;":$A100000"),E298,1),""))</f>
        <v/>
      </c>
      <c r="D298" s="391" t="str">
        <f t="shared" ca="1" si="12"/>
        <v/>
      </c>
      <c r="E298" s="391" t="str">
        <f t="shared" ca="1" si="13"/>
        <v/>
      </c>
      <c r="F298" s="23" t="str">
        <f ca="1">IFERROR(VLOOKUP(Tabela4[[#This Row],[Cabo]],BD!A:V,2,0),"")</f>
        <v/>
      </c>
      <c r="G298" s="391" t="str">
        <f ca="1">IFERROR(VLOOKUP(Tabela4[[#This Row],[Cabo]],BD!A:V,5,0),"")</f>
        <v/>
      </c>
      <c r="H298" s="23" t="str">
        <f ca="1">IFERROR(VLOOKUP(Tabela4[[#This Row],[Cabo]],BD!A:V,3,0),"")</f>
        <v/>
      </c>
      <c r="I298" s="23" t="str">
        <f ca="1">IFERROR(VLOOKUP(Tabela4[[#This Row],[Cabo]],BD!A:V,4,0),"")</f>
        <v/>
      </c>
      <c r="J298" s="23" t="str">
        <f ca="1">IFERROR(VLOOKUP(Tabela4[[#This Row],[Cabo]],BD!A:V,7,0),"")</f>
        <v/>
      </c>
      <c r="K29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8" s="23" t="str">
        <f ca="1">IFERROR(VLOOKUP(Tabela4[[#This Row],[Cabo]],BD!A:V,9,0),"")</f>
        <v/>
      </c>
      <c r="M298" s="23" t="str">
        <f ca="1">IFERROR(VLOOKUP(Tabela4[[#This Row],[Cabo]],BD!A:AD,30,0),"")</f>
        <v/>
      </c>
      <c r="N298" s="23" t="str">
        <f ca="1">IF(SUMIF('Lançamento de Cabos'!B:B,Tabela4[[#This Row],[Cabo]],'Lançamento de Cabos'!C:C)=0,"",SUMIF('Lançamento de Cabos'!B:B,Tabela4[[#This Row],[Cabo]],'Lançamento de Cabos'!C:C))</f>
        <v/>
      </c>
      <c r="O298" s="28" t="str">
        <f ca="1">IFERROR(IF(Tabela4[[#This Row],[Compr. Lançado]]/Tabela4[[#This Row],[Compr. Prev.]]&gt;1,1,Tabela4[[#This Row],[Compr. Lançado]]/Tabela4[[#This Row],[Compr. Prev.]]),"")</f>
        <v/>
      </c>
      <c r="P298" s="24" t="str">
        <f ca="1">IFERROR(VLOOKUP(Tabela4[[#This Row],[Cabo]],BD!A:V,11,0),"")</f>
        <v/>
      </c>
      <c r="Q298" s="24" t="str">
        <f ca="1">IFERROR(VLOOKUP(Tabela4[[#This Row],[Cabo]],BD!A:V,12,0),"")</f>
        <v/>
      </c>
      <c r="R298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8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8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8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8" s="23" t="str">
        <f ca="1">IF(Tabela4[[#This Row],[Cabo]]&lt;&gt;"",4-COUNTIF(Tabela4[[#This Row],[Teste de Continuidade]:[Hipot]],"---"),"")</f>
        <v/>
      </c>
      <c r="W298" s="29" t="str">
        <f ca="1">IF(Tabela4[[#This Row],[Cabo]]&lt;&gt;"",(COUNTIF(Tabela4[[#This Row],[Teste de Continuidade]:[Hipot]],"OK"))/(4-COUNTIF(Tabela4[[#This Row],[Teste de Continuidade]:[Hipot]],"---")),"")</f>
        <v/>
      </c>
      <c r="X298" s="23" t="str">
        <f ca="1">IF(Tabela4[[#This Row],[Cabo]]&lt;&gt;"",SUMIFS('Lançamento de Cabos'!$AF:$AF,'Lançamento de Cabos'!AE:AE,Tabela4[[#This Row],[Cabo]],'Lançamento de Cabos'!AJ:AJ,Área!$B$1),"")</f>
        <v/>
      </c>
      <c r="Y298" s="23" t="str">
        <f ca="1">IF(Tabela4[[#This Row],[Cabo]]&lt;&gt;"",SUMIFS('Lançamento de Cabos'!$AG:$AG,'Lançamento de Cabos'!AE:AE,Tabela4[[#This Row],[Cabo]],'Lançamento de Cabos'!AJ:AJ,Área!$B$1),"")</f>
        <v/>
      </c>
      <c r="Z298" s="23" t="e">
        <f ca="1">VLOOKUP(Tabela4[[#This Row],[Cabo]],BD!A:AB,28,0)</f>
        <v>#N/A</v>
      </c>
    </row>
    <row r="299" spans="3:26" x14ac:dyDescent="0.25">
      <c r="C299" s="391" t="str">
        <f ca="1">IF($B$1="Geral",Tabela1[[#This Row],[Tag do Cabo]],IFERROR(INDEX(INDIRECT("BD!$A"&amp;D299&amp;":$A100000"),E299,1),""))</f>
        <v/>
      </c>
      <c r="D299" s="391" t="str">
        <f t="shared" ref="D299:D362" ca="1" si="14">IFERROR(D298+E298,"")</f>
        <v/>
      </c>
      <c r="E299" s="391" t="str">
        <f t="shared" ref="E299:E362" ca="1" si="15">IFERROR(MATCH($B$1,INDIRECT("BD!$J"&amp;D299&amp;":$J100000"),0),"")</f>
        <v/>
      </c>
      <c r="F299" s="23" t="str">
        <f ca="1">IFERROR(VLOOKUP(Tabela4[[#This Row],[Cabo]],BD!A:V,2,0),"")</f>
        <v/>
      </c>
      <c r="G299" s="391" t="str">
        <f ca="1">IFERROR(VLOOKUP(Tabela4[[#This Row],[Cabo]],BD!A:V,5,0),"")</f>
        <v/>
      </c>
      <c r="H299" s="23" t="str">
        <f ca="1">IFERROR(VLOOKUP(Tabela4[[#This Row],[Cabo]],BD!A:V,3,0),"")</f>
        <v/>
      </c>
      <c r="I299" s="23" t="str">
        <f ca="1">IFERROR(VLOOKUP(Tabela4[[#This Row],[Cabo]],BD!A:V,4,0),"")</f>
        <v/>
      </c>
      <c r="J299" s="23" t="str">
        <f ca="1">IFERROR(VLOOKUP(Tabela4[[#This Row],[Cabo]],BD!A:V,7,0),"")</f>
        <v/>
      </c>
      <c r="K29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299" s="23" t="str">
        <f ca="1">IFERROR(VLOOKUP(Tabela4[[#This Row],[Cabo]],BD!A:V,9,0),"")</f>
        <v/>
      </c>
      <c r="M299" s="23" t="str">
        <f ca="1">IFERROR(VLOOKUP(Tabela4[[#This Row],[Cabo]],BD!A:AD,30,0),"")</f>
        <v/>
      </c>
      <c r="N299" s="23" t="str">
        <f ca="1">IF(SUMIF('Lançamento de Cabos'!B:B,Tabela4[[#This Row],[Cabo]],'Lançamento de Cabos'!C:C)=0,"",SUMIF('Lançamento de Cabos'!B:B,Tabela4[[#This Row],[Cabo]],'Lançamento de Cabos'!C:C))</f>
        <v/>
      </c>
      <c r="O299" s="28" t="str">
        <f ca="1">IFERROR(IF(Tabela4[[#This Row],[Compr. Lançado]]/Tabela4[[#This Row],[Compr. Prev.]]&gt;1,1,Tabela4[[#This Row],[Compr. Lançado]]/Tabela4[[#This Row],[Compr. Prev.]]),"")</f>
        <v/>
      </c>
      <c r="P299" s="24" t="str">
        <f ca="1">IFERROR(VLOOKUP(Tabela4[[#This Row],[Cabo]],BD!A:V,11,0),"")</f>
        <v/>
      </c>
      <c r="Q299" s="24" t="str">
        <f ca="1">IFERROR(VLOOKUP(Tabela4[[#This Row],[Cabo]],BD!A:V,12,0),"")</f>
        <v/>
      </c>
      <c r="R299" s="23" t="str">
        <f ca="1">IF(Tabela4[[#This Row],[Cabo]]&lt;&gt;"",IFERROR(VLOOKUP(Tabela4[[#This Row],[Cabo]]&amp;"-1",'Lançamento de Cabos'!$S:$T,2,0),IF(VLOOKUP(Tabela4[[#This Row],[Cabo]],BD!A:V,13,0)="---","---","")),"")</f>
        <v/>
      </c>
      <c r="S299" s="23" t="str">
        <f ca="1">IF(Tabela4[[#This Row],[Cabo]]&lt;&gt;"",IFERROR(VLOOKUP(Tabela4[[#This Row],[Cabo]]&amp;"-2",'Lançamento de Cabos'!$S:$T,2,0),IF(VLOOKUP(Tabela4[[#This Row],[Cabo]],BD!A:V,14,0)="---","---","")),"")</f>
        <v/>
      </c>
      <c r="T299" s="23" t="str">
        <f ca="1">IF(Tabela4[[#This Row],[Cabo]]&lt;&gt;"",IFERROR(VLOOKUP(Tabela4[[#This Row],[Cabo]]&amp;"-3",'Lançamento de Cabos'!$S:$T,2,0),IF(VLOOKUP(Tabela4[[#This Row],[Cabo]],BD!A:V,15,0)="---","---","")),"")</f>
        <v/>
      </c>
      <c r="U299" s="23" t="str">
        <f ca="1">IF(Tabela4[[#This Row],[Cabo]]&lt;&gt;"",IFERROR(VLOOKUP(Tabela4[[#This Row],[Cabo]]&amp;"-4",'Lançamento de Cabos'!$S:$T,2,0),IF(VLOOKUP(Tabela4[[#This Row],[Cabo]],BD!A:V,16,0)="---","---","")),"")</f>
        <v/>
      </c>
      <c r="V299" s="23" t="str">
        <f ca="1">IF(Tabela4[[#This Row],[Cabo]]&lt;&gt;"",4-COUNTIF(Tabela4[[#This Row],[Teste de Continuidade]:[Hipot]],"---"),"")</f>
        <v/>
      </c>
      <c r="W299" s="29" t="str">
        <f ca="1">IF(Tabela4[[#This Row],[Cabo]]&lt;&gt;"",(COUNTIF(Tabela4[[#This Row],[Teste de Continuidade]:[Hipot]],"OK"))/(4-COUNTIF(Tabela4[[#This Row],[Teste de Continuidade]:[Hipot]],"---")),"")</f>
        <v/>
      </c>
      <c r="X299" s="23" t="str">
        <f ca="1">IF(Tabela4[[#This Row],[Cabo]]&lt;&gt;"",SUMIFS('Lançamento de Cabos'!$AF:$AF,'Lançamento de Cabos'!AE:AE,Tabela4[[#This Row],[Cabo]],'Lançamento de Cabos'!AJ:AJ,Área!$B$1),"")</f>
        <v/>
      </c>
      <c r="Y299" s="23" t="str">
        <f ca="1">IF(Tabela4[[#This Row],[Cabo]]&lt;&gt;"",SUMIFS('Lançamento de Cabos'!$AG:$AG,'Lançamento de Cabos'!AE:AE,Tabela4[[#This Row],[Cabo]],'Lançamento de Cabos'!AJ:AJ,Área!$B$1),"")</f>
        <v/>
      </c>
      <c r="Z299" s="23" t="e">
        <f ca="1">VLOOKUP(Tabela4[[#This Row],[Cabo]],BD!A:AB,28,0)</f>
        <v>#N/A</v>
      </c>
    </row>
    <row r="300" spans="3:26" x14ac:dyDescent="0.25">
      <c r="C300" s="391" t="str">
        <f ca="1">IF($B$1="Geral",Tabela1[[#This Row],[Tag do Cabo]],IFERROR(INDEX(INDIRECT("BD!$A"&amp;D300&amp;":$A100000"),E300,1),""))</f>
        <v/>
      </c>
      <c r="D300" s="391" t="str">
        <f t="shared" ca="1" si="14"/>
        <v/>
      </c>
      <c r="E300" s="391" t="str">
        <f t="shared" ca="1" si="15"/>
        <v/>
      </c>
      <c r="F300" s="23" t="str">
        <f ca="1">IFERROR(VLOOKUP(Tabela4[[#This Row],[Cabo]],BD!A:V,2,0),"")</f>
        <v/>
      </c>
      <c r="G300" s="391" t="str">
        <f ca="1">IFERROR(VLOOKUP(Tabela4[[#This Row],[Cabo]],BD!A:V,5,0),"")</f>
        <v/>
      </c>
      <c r="H300" s="23" t="str">
        <f ca="1">IFERROR(VLOOKUP(Tabela4[[#This Row],[Cabo]],BD!A:V,3,0),"")</f>
        <v/>
      </c>
      <c r="I300" s="23" t="str">
        <f ca="1">IFERROR(VLOOKUP(Tabela4[[#This Row],[Cabo]],BD!A:V,4,0),"")</f>
        <v/>
      </c>
      <c r="J300" s="23" t="str">
        <f ca="1">IFERROR(VLOOKUP(Tabela4[[#This Row],[Cabo]],BD!A:V,7,0),"")</f>
        <v/>
      </c>
      <c r="K30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0" s="23" t="str">
        <f ca="1">IFERROR(VLOOKUP(Tabela4[[#This Row],[Cabo]],BD!A:V,9,0),"")</f>
        <v/>
      </c>
      <c r="M300" s="23" t="str">
        <f ca="1">IFERROR(VLOOKUP(Tabela4[[#This Row],[Cabo]],BD!A:AD,30,0),"")</f>
        <v/>
      </c>
      <c r="N300" s="23" t="str">
        <f ca="1">IF(SUMIF('Lançamento de Cabos'!B:B,Tabela4[[#This Row],[Cabo]],'Lançamento de Cabos'!C:C)=0,"",SUMIF('Lançamento de Cabos'!B:B,Tabela4[[#This Row],[Cabo]],'Lançamento de Cabos'!C:C))</f>
        <v/>
      </c>
      <c r="O300" s="28" t="str">
        <f ca="1">IFERROR(IF(Tabela4[[#This Row],[Compr. Lançado]]/Tabela4[[#This Row],[Compr. Prev.]]&gt;1,1,Tabela4[[#This Row],[Compr. Lançado]]/Tabela4[[#This Row],[Compr. Prev.]]),"")</f>
        <v/>
      </c>
      <c r="P300" s="24" t="str">
        <f ca="1">IFERROR(VLOOKUP(Tabela4[[#This Row],[Cabo]],BD!A:V,11,0),"")</f>
        <v/>
      </c>
      <c r="Q300" s="24" t="str">
        <f ca="1">IFERROR(VLOOKUP(Tabela4[[#This Row],[Cabo]],BD!A:V,12,0),"")</f>
        <v/>
      </c>
      <c r="R30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0" s="23" t="str">
        <f ca="1">IF(Tabela4[[#This Row],[Cabo]]&lt;&gt;"",4-COUNTIF(Tabela4[[#This Row],[Teste de Continuidade]:[Hipot]],"---"),"")</f>
        <v/>
      </c>
      <c r="W300" s="29" t="str">
        <f ca="1">IF(Tabela4[[#This Row],[Cabo]]&lt;&gt;"",(COUNTIF(Tabela4[[#This Row],[Teste de Continuidade]:[Hipot]],"OK"))/(4-COUNTIF(Tabela4[[#This Row],[Teste de Continuidade]:[Hipot]],"---")),"")</f>
        <v/>
      </c>
      <c r="X300" s="23" t="str">
        <f ca="1">IF(Tabela4[[#This Row],[Cabo]]&lt;&gt;"",SUMIFS('Lançamento de Cabos'!$AF:$AF,'Lançamento de Cabos'!AE:AE,Tabela4[[#This Row],[Cabo]],'Lançamento de Cabos'!AJ:AJ,Área!$B$1),"")</f>
        <v/>
      </c>
      <c r="Y300" s="23" t="str">
        <f ca="1">IF(Tabela4[[#This Row],[Cabo]]&lt;&gt;"",SUMIFS('Lançamento de Cabos'!$AG:$AG,'Lançamento de Cabos'!AE:AE,Tabela4[[#This Row],[Cabo]],'Lançamento de Cabos'!AJ:AJ,Área!$B$1),"")</f>
        <v/>
      </c>
      <c r="Z300" s="23" t="e">
        <f ca="1">VLOOKUP(Tabela4[[#This Row],[Cabo]],BD!A:AB,28,0)</f>
        <v>#N/A</v>
      </c>
    </row>
    <row r="301" spans="3:26" x14ac:dyDescent="0.25">
      <c r="C301" s="391" t="str">
        <f ca="1">IF($B$1="Geral",Tabela1[[#This Row],[Tag do Cabo]],IFERROR(INDEX(INDIRECT("BD!$A"&amp;D301&amp;":$A100000"),E301,1),""))</f>
        <v/>
      </c>
      <c r="D301" s="391" t="str">
        <f t="shared" ca="1" si="14"/>
        <v/>
      </c>
      <c r="E301" s="391" t="str">
        <f t="shared" ca="1" si="15"/>
        <v/>
      </c>
      <c r="F301" s="23" t="str">
        <f ca="1">IFERROR(VLOOKUP(Tabela4[[#This Row],[Cabo]],BD!A:V,2,0),"")</f>
        <v/>
      </c>
      <c r="G301" s="391" t="str">
        <f ca="1">IFERROR(VLOOKUP(Tabela4[[#This Row],[Cabo]],BD!A:V,5,0),"")</f>
        <v/>
      </c>
      <c r="H301" s="23" t="str">
        <f ca="1">IFERROR(VLOOKUP(Tabela4[[#This Row],[Cabo]],BD!A:V,3,0),"")</f>
        <v/>
      </c>
      <c r="I301" s="23" t="str">
        <f ca="1">IFERROR(VLOOKUP(Tabela4[[#This Row],[Cabo]],BD!A:V,4,0),"")</f>
        <v/>
      </c>
      <c r="J301" s="23" t="str">
        <f ca="1">IFERROR(VLOOKUP(Tabela4[[#This Row],[Cabo]],BD!A:V,7,0),"")</f>
        <v/>
      </c>
      <c r="K30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1" s="23" t="str">
        <f ca="1">IFERROR(VLOOKUP(Tabela4[[#This Row],[Cabo]],BD!A:V,9,0),"")</f>
        <v/>
      </c>
      <c r="M301" s="23" t="str">
        <f ca="1">IFERROR(VLOOKUP(Tabela4[[#This Row],[Cabo]],BD!A:AD,30,0),"")</f>
        <v/>
      </c>
      <c r="N301" s="23" t="str">
        <f ca="1">IF(SUMIF('Lançamento de Cabos'!B:B,Tabela4[[#This Row],[Cabo]],'Lançamento de Cabos'!C:C)=0,"",SUMIF('Lançamento de Cabos'!B:B,Tabela4[[#This Row],[Cabo]],'Lançamento de Cabos'!C:C))</f>
        <v/>
      </c>
      <c r="O301" s="28" t="str">
        <f ca="1">IFERROR(IF(Tabela4[[#This Row],[Compr. Lançado]]/Tabela4[[#This Row],[Compr. Prev.]]&gt;1,1,Tabela4[[#This Row],[Compr. Lançado]]/Tabela4[[#This Row],[Compr. Prev.]]),"")</f>
        <v/>
      </c>
      <c r="P301" s="24" t="str">
        <f ca="1">IFERROR(VLOOKUP(Tabela4[[#This Row],[Cabo]],BD!A:V,11,0),"")</f>
        <v/>
      </c>
      <c r="Q301" s="24" t="str">
        <f ca="1">IFERROR(VLOOKUP(Tabela4[[#This Row],[Cabo]],BD!A:V,12,0),"")</f>
        <v/>
      </c>
      <c r="R30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1" s="23" t="str">
        <f ca="1">IF(Tabela4[[#This Row],[Cabo]]&lt;&gt;"",4-COUNTIF(Tabela4[[#This Row],[Teste de Continuidade]:[Hipot]],"---"),"")</f>
        <v/>
      </c>
      <c r="W301" s="29" t="str">
        <f ca="1">IF(Tabela4[[#This Row],[Cabo]]&lt;&gt;"",(COUNTIF(Tabela4[[#This Row],[Teste de Continuidade]:[Hipot]],"OK"))/(4-COUNTIF(Tabela4[[#This Row],[Teste de Continuidade]:[Hipot]],"---")),"")</f>
        <v/>
      </c>
      <c r="X301" s="23" t="str">
        <f ca="1">IF(Tabela4[[#This Row],[Cabo]]&lt;&gt;"",SUMIFS('Lançamento de Cabos'!$AF:$AF,'Lançamento de Cabos'!AE:AE,Tabela4[[#This Row],[Cabo]],'Lançamento de Cabos'!AJ:AJ,Área!$B$1),"")</f>
        <v/>
      </c>
      <c r="Y301" s="23" t="str">
        <f ca="1">IF(Tabela4[[#This Row],[Cabo]]&lt;&gt;"",SUMIFS('Lançamento de Cabos'!$AG:$AG,'Lançamento de Cabos'!AE:AE,Tabela4[[#This Row],[Cabo]],'Lançamento de Cabos'!AJ:AJ,Área!$B$1),"")</f>
        <v/>
      </c>
      <c r="Z301" s="23" t="e">
        <f ca="1">VLOOKUP(Tabela4[[#This Row],[Cabo]],BD!A:AB,28,0)</f>
        <v>#N/A</v>
      </c>
    </row>
    <row r="302" spans="3:26" x14ac:dyDescent="0.25">
      <c r="C302" s="391" t="str">
        <f ca="1">IF($B$1="Geral",Tabela1[[#This Row],[Tag do Cabo]],IFERROR(INDEX(INDIRECT("BD!$A"&amp;D302&amp;":$A100000"),E302,1),""))</f>
        <v/>
      </c>
      <c r="D302" s="391" t="str">
        <f t="shared" ca="1" si="14"/>
        <v/>
      </c>
      <c r="E302" s="391" t="str">
        <f t="shared" ca="1" si="15"/>
        <v/>
      </c>
      <c r="F302" s="23" t="str">
        <f ca="1">IFERROR(VLOOKUP(Tabela4[[#This Row],[Cabo]],BD!A:V,2,0),"")</f>
        <v/>
      </c>
      <c r="G302" s="391" t="str">
        <f ca="1">IFERROR(VLOOKUP(Tabela4[[#This Row],[Cabo]],BD!A:V,5,0),"")</f>
        <v/>
      </c>
      <c r="H302" s="23" t="str">
        <f ca="1">IFERROR(VLOOKUP(Tabela4[[#This Row],[Cabo]],BD!A:V,3,0),"")</f>
        <v/>
      </c>
      <c r="I302" s="23" t="str">
        <f ca="1">IFERROR(VLOOKUP(Tabela4[[#This Row],[Cabo]],BD!A:V,4,0),"")</f>
        <v/>
      </c>
      <c r="J302" s="23" t="str">
        <f ca="1">IFERROR(VLOOKUP(Tabela4[[#This Row],[Cabo]],BD!A:V,7,0),"")</f>
        <v/>
      </c>
      <c r="K30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2" s="23" t="str">
        <f ca="1">IFERROR(VLOOKUP(Tabela4[[#This Row],[Cabo]],BD!A:V,9,0),"")</f>
        <v/>
      </c>
      <c r="M302" s="23" t="str">
        <f ca="1">IFERROR(VLOOKUP(Tabela4[[#This Row],[Cabo]],BD!A:AD,30,0),"")</f>
        <v/>
      </c>
      <c r="N302" s="23" t="str">
        <f ca="1">IF(SUMIF('Lançamento de Cabos'!B:B,Tabela4[[#This Row],[Cabo]],'Lançamento de Cabos'!C:C)=0,"",SUMIF('Lançamento de Cabos'!B:B,Tabela4[[#This Row],[Cabo]],'Lançamento de Cabos'!C:C))</f>
        <v/>
      </c>
      <c r="O302" s="28" t="str">
        <f ca="1">IFERROR(IF(Tabela4[[#This Row],[Compr. Lançado]]/Tabela4[[#This Row],[Compr. Prev.]]&gt;1,1,Tabela4[[#This Row],[Compr. Lançado]]/Tabela4[[#This Row],[Compr. Prev.]]),"")</f>
        <v/>
      </c>
      <c r="P302" s="24" t="str">
        <f ca="1">IFERROR(VLOOKUP(Tabela4[[#This Row],[Cabo]],BD!A:V,11,0),"")</f>
        <v/>
      </c>
      <c r="Q302" s="24" t="str">
        <f ca="1">IFERROR(VLOOKUP(Tabela4[[#This Row],[Cabo]],BD!A:V,12,0),"")</f>
        <v/>
      </c>
      <c r="R30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2" s="23" t="str">
        <f ca="1">IF(Tabela4[[#This Row],[Cabo]]&lt;&gt;"",4-COUNTIF(Tabela4[[#This Row],[Teste de Continuidade]:[Hipot]],"---"),"")</f>
        <v/>
      </c>
      <c r="W302" s="29" t="str">
        <f ca="1">IF(Tabela4[[#This Row],[Cabo]]&lt;&gt;"",(COUNTIF(Tabela4[[#This Row],[Teste de Continuidade]:[Hipot]],"OK"))/(4-COUNTIF(Tabela4[[#This Row],[Teste de Continuidade]:[Hipot]],"---")),"")</f>
        <v/>
      </c>
      <c r="X302" s="23" t="str">
        <f ca="1">IF(Tabela4[[#This Row],[Cabo]]&lt;&gt;"",SUMIFS('Lançamento de Cabos'!$AF:$AF,'Lançamento de Cabos'!AE:AE,Tabela4[[#This Row],[Cabo]],'Lançamento de Cabos'!AJ:AJ,Área!$B$1),"")</f>
        <v/>
      </c>
      <c r="Y302" s="23" t="str">
        <f ca="1">IF(Tabela4[[#This Row],[Cabo]]&lt;&gt;"",SUMIFS('Lançamento de Cabos'!$AG:$AG,'Lançamento de Cabos'!AE:AE,Tabela4[[#This Row],[Cabo]],'Lançamento de Cabos'!AJ:AJ,Área!$B$1),"")</f>
        <v/>
      </c>
      <c r="Z302" s="23" t="e">
        <f ca="1">VLOOKUP(Tabela4[[#This Row],[Cabo]],BD!A:AB,28,0)</f>
        <v>#N/A</v>
      </c>
    </row>
    <row r="303" spans="3:26" x14ac:dyDescent="0.25">
      <c r="C303" s="391" t="str">
        <f ca="1">IF($B$1="Geral",Tabela1[[#This Row],[Tag do Cabo]],IFERROR(INDEX(INDIRECT("BD!$A"&amp;D303&amp;":$A100000"),E303,1),""))</f>
        <v/>
      </c>
      <c r="D303" s="391" t="str">
        <f t="shared" ca="1" si="14"/>
        <v/>
      </c>
      <c r="E303" s="391" t="str">
        <f t="shared" ca="1" si="15"/>
        <v/>
      </c>
      <c r="F303" s="23" t="str">
        <f ca="1">IFERROR(VLOOKUP(Tabela4[[#This Row],[Cabo]],BD!A:V,2,0),"")</f>
        <v/>
      </c>
      <c r="G303" s="391" t="str">
        <f ca="1">IFERROR(VLOOKUP(Tabela4[[#This Row],[Cabo]],BD!A:V,5,0),"")</f>
        <v/>
      </c>
      <c r="H303" s="23" t="str">
        <f ca="1">IFERROR(VLOOKUP(Tabela4[[#This Row],[Cabo]],BD!A:V,3,0),"")</f>
        <v/>
      </c>
      <c r="I303" s="23" t="str">
        <f ca="1">IFERROR(VLOOKUP(Tabela4[[#This Row],[Cabo]],BD!A:V,4,0),"")</f>
        <v/>
      </c>
      <c r="J303" s="23" t="str">
        <f ca="1">IFERROR(VLOOKUP(Tabela4[[#This Row],[Cabo]],BD!A:V,7,0),"")</f>
        <v/>
      </c>
      <c r="K30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3" s="23" t="str">
        <f ca="1">IFERROR(VLOOKUP(Tabela4[[#This Row],[Cabo]],BD!A:V,9,0),"")</f>
        <v/>
      </c>
      <c r="M303" s="23" t="str">
        <f ca="1">IFERROR(VLOOKUP(Tabela4[[#This Row],[Cabo]],BD!A:AD,30,0),"")</f>
        <v/>
      </c>
      <c r="N303" s="23" t="str">
        <f ca="1">IF(SUMIF('Lançamento de Cabos'!B:B,Tabela4[[#This Row],[Cabo]],'Lançamento de Cabos'!C:C)=0,"",SUMIF('Lançamento de Cabos'!B:B,Tabela4[[#This Row],[Cabo]],'Lançamento de Cabos'!C:C))</f>
        <v/>
      </c>
      <c r="O303" s="28" t="str">
        <f ca="1">IFERROR(IF(Tabela4[[#This Row],[Compr. Lançado]]/Tabela4[[#This Row],[Compr. Prev.]]&gt;1,1,Tabela4[[#This Row],[Compr. Lançado]]/Tabela4[[#This Row],[Compr. Prev.]]),"")</f>
        <v/>
      </c>
      <c r="P303" s="24" t="str">
        <f ca="1">IFERROR(VLOOKUP(Tabela4[[#This Row],[Cabo]],BD!A:V,11,0),"")</f>
        <v/>
      </c>
      <c r="Q303" s="24" t="str">
        <f ca="1">IFERROR(VLOOKUP(Tabela4[[#This Row],[Cabo]],BD!A:V,12,0),"")</f>
        <v/>
      </c>
      <c r="R30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3" s="23" t="str">
        <f ca="1">IF(Tabela4[[#This Row],[Cabo]]&lt;&gt;"",4-COUNTIF(Tabela4[[#This Row],[Teste de Continuidade]:[Hipot]],"---"),"")</f>
        <v/>
      </c>
      <c r="W303" s="29" t="str">
        <f ca="1">IF(Tabela4[[#This Row],[Cabo]]&lt;&gt;"",(COUNTIF(Tabela4[[#This Row],[Teste de Continuidade]:[Hipot]],"OK"))/(4-COUNTIF(Tabela4[[#This Row],[Teste de Continuidade]:[Hipot]],"---")),"")</f>
        <v/>
      </c>
      <c r="X303" s="23" t="str">
        <f ca="1">IF(Tabela4[[#This Row],[Cabo]]&lt;&gt;"",SUMIFS('Lançamento de Cabos'!$AF:$AF,'Lançamento de Cabos'!AE:AE,Tabela4[[#This Row],[Cabo]],'Lançamento de Cabos'!AJ:AJ,Área!$B$1),"")</f>
        <v/>
      </c>
      <c r="Y303" s="23" t="str">
        <f ca="1">IF(Tabela4[[#This Row],[Cabo]]&lt;&gt;"",SUMIFS('Lançamento de Cabos'!$AG:$AG,'Lançamento de Cabos'!AE:AE,Tabela4[[#This Row],[Cabo]],'Lançamento de Cabos'!AJ:AJ,Área!$B$1),"")</f>
        <v/>
      </c>
      <c r="Z303" s="23" t="e">
        <f ca="1">VLOOKUP(Tabela4[[#This Row],[Cabo]],BD!A:AB,28,0)</f>
        <v>#N/A</v>
      </c>
    </row>
    <row r="304" spans="3:26" x14ac:dyDescent="0.25">
      <c r="C304" s="391" t="str">
        <f ca="1">IF($B$1="Geral",Tabela1[[#This Row],[Tag do Cabo]],IFERROR(INDEX(INDIRECT("BD!$A"&amp;D304&amp;":$A100000"),E304,1),""))</f>
        <v/>
      </c>
      <c r="D304" s="391" t="str">
        <f t="shared" ca="1" si="14"/>
        <v/>
      </c>
      <c r="E304" s="391" t="str">
        <f t="shared" ca="1" si="15"/>
        <v/>
      </c>
      <c r="F304" s="23" t="str">
        <f ca="1">IFERROR(VLOOKUP(Tabela4[[#This Row],[Cabo]],BD!A:V,2,0),"")</f>
        <v/>
      </c>
      <c r="G304" s="391" t="str">
        <f ca="1">IFERROR(VLOOKUP(Tabela4[[#This Row],[Cabo]],BD!A:V,5,0),"")</f>
        <v/>
      </c>
      <c r="H304" s="23" t="str">
        <f ca="1">IFERROR(VLOOKUP(Tabela4[[#This Row],[Cabo]],BD!A:V,3,0),"")</f>
        <v/>
      </c>
      <c r="I304" s="23" t="str">
        <f ca="1">IFERROR(VLOOKUP(Tabela4[[#This Row],[Cabo]],BD!A:V,4,0),"")</f>
        <v/>
      </c>
      <c r="J304" s="23" t="str">
        <f ca="1">IFERROR(VLOOKUP(Tabela4[[#This Row],[Cabo]],BD!A:V,7,0),"")</f>
        <v/>
      </c>
      <c r="K30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4" s="23" t="str">
        <f ca="1">IFERROR(VLOOKUP(Tabela4[[#This Row],[Cabo]],BD!A:V,9,0),"")</f>
        <v/>
      </c>
      <c r="M304" s="23" t="str">
        <f ca="1">IFERROR(VLOOKUP(Tabela4[[#This Row],[Cabo]],BD!A:AD,30,0),"")</f>
        <v/>
      </c>
      <c r="N304" s="23" t="str">
        <f ca="1">IF(SUMIF('Lançamento de Cabos'!B:B,Tabela4[[#This Row],[Cabo]],'Lançamento de Cabos'!C:C)=0,"",SUMIF('Lançamento de Cabos'!B:B,Tabela4[[#This Row],[Cabo]],'Lançamento de Cabos'!C:C))</f>
        <v/>
      </c>
      <c r="O304" s="28" t="str">
        <f ca="1">IFERROR(IF(Tabela4[[#This Row],[Compr. Lançado]]/Tabela4[[#This Row],[Compr. Prev.]]&gt;1,1,Tabela4[[#This Row],[Compr. Lançado]]/Tabela4[[#This Row],[Compr. Prev.]]),"")</f>
        <v/>
      </c>
      <c r="P304" s="24" t="str">
        <f ca="1">IFERROR(VLOOKUP(Tabela4[[#This Row],[Cabo]],BD!A:V,11,0),"")</f>
        <v/>
      </c>
      <c r="Q304" s="24" t="str">
        <f ca="1">IFERROR(VLOOKUP(Tabela4[[#This Row],[Cabo]],BD!A:V,12,0),"")</f>
        <v/>
      </c>
      <c r="R30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4" s="23" t="str">
        <f ca="1">IF(Tabela4[[#This Row],[Cabo]]&lt;&gt;"",4-COUNTIF(Tabela4[[#This Row],[Teste de Continuidade]:[Hipot]],"---"),"")</f>
        <v/>
      </c>
      <c r="W304" s="29" t="str">
        <f ca="1">IF(Tabela4[[#This Row],[Cabo]]&lt;&gt;"",(COUNTIF(Tabela4[[#This Row],[Teste de Continuidade]:[Hipot]],"OK"))/(4-COUNTIF(Tabela4[[#This Row],[Teste de Continuidade]:[Hipot]],"---")),"")</f>
        <v/>
      </c>
      <c r="X304" s="23" t="str">
        <f ca="1">IF(Tabela4[[#This Row],[Cabo]]&lt;&gt;"",SUMIFS('Lançamento de Cabos'!$AF:$AF,'Lançamento de Cabos'!AE:AE,Tabela4[[#This Row],[Cabo]],'Lançamento de Cabos'!AJ:AJ,Área!$B$1),"")</f>
        <v/>
      </c>
      <c r="Y304" s="23" t="str">
        <f ca="1">IF(Tabela4[[#This Row],[Cabo]]&lt;&gt;"",SUMIFS('Lançamento de Cabos'!$AG:$AG,'Lançamento de Cabos'!AE:AE,Tabela4[[#This Row],[Cabo]],'Lançamento de Cabos'!AJ:AJ,Área!$B$1),"")</f>
        <v/>
      </c>
      <c r="Z304" s="23" t="e">
        <f ca="1">VLOOKUP(Tabela4[[#This Row],[Cabo]],BD!A:AB,28,0)</f>
        <v>#N/A</v>
      </c>
    </row>
    <row r="305" spans="3:26" x14ac:dyDescent="0.25">
      <c r="C305" s="391" t="str">
        <f ca="1">IF($B$1="Geral",Tabela1[[#This Row],[Tag do Cabo]],IFERROR(INDEX(INDIRECT("BD!$A"&amp;D305&amp;":$A100000"),E305,1),""))</f>
        <v/>
      </c>
      <c r="D305" s="391" t="str">
        <f t="shared" ca="1" si="14"/>
        <v/>
      </c>
      <c r="E305" s="391" t="str">
        <f t="shared" ca="1" si="15"/>
        <v/>
      </c>
      <c r="F305" s="23" t="str">
        <f ca="1">IFERROR(VLOOKUP(Tabela4[[#This Row],[Cabo]],BD!A:V,2,0),"")</f>
        <v/>
      </c>
      <c r="G305" s="391" t="str">
        <f ca="1">IFERROR(VLOOKUP(Tabela4[[#This Row],[Cabo]],BD!A:V,5,0),"")</f>
        <v/>
      </c>
      <c r="H305" s="23" t="str">
        <f ca="1">IFERROR(VLOOKUP(Tabela4[[#This Row],[Cabo]],BD!A:V,3,0),"")</f>
        <v/>
      </c>
      <c r="I305" s="23" t="str">
        <f ca="1">IFERROR(VLOOKUP(Tabela4[[#This Row],[Cabo]],BD!A:V,4,0),"")</f>
        <v/>
      </c>
      <c r="J305" s="23" t="str">
        <f ca="1">IFERROR(VLOOKUP(Tabela4[[#This Row],[Cabo]],BD!A:V,7,0),"")</f>
        <v/>
      </c>
      <c r="K30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5" s="23" t="str">
        <f ca="1">IFERROR(VLOOKUP(Tabela4[[#This Row],[Cabo]],BD!A:V,9,0),"")</f>
        <v/>
      </c>
      <c r="M305" s="23" t="str">
        <f ca="1">IFERROR(VLOOKUP(Tabela4[[#This Row],[Cabo]],BD!A:AD,30,0),"")</f>
        <v/>
      </c>
      <c r="N305" s="23" t="str">
        <f ca="1">IF(SUMIF('Lançamento de Cabos'!B:B,Tabela4[[#This Row],[Cabo]],'Lançamento de Cabos'!C:C)=0,"",SUMIF('Lançamento de Cabos'!B:B,Tabela4[[#This Row],[Cabo]],'Lançamento de Cabos'!C:C))</f>
        <v/>
      </c>
      <c r="O305" s="28" t="str">
        <f ca="1">IFERROR(IF(Tabela4[[#This Row],[Compr. Lançado]]/Tabela4[[#This Row],[Compr. Prev.]]&gt;1,1,Tabela4[[#This Row],[Compr. Lançado]]/Tabela4[[#This Row],[Compr. Prev.]]),"")</f>
        <v/>
      </c>
      <c r="P305" s="24" t="str">
        <f ca="1">IFERROR(VLOOKUP(Tabela4[[#This Row],[Cabo]],BD!A:V,11,0),"")</f>
        <v/>
      </c>
      <c r="Q305" s="24" t="str">
        <f ca="1">IFERROR(VLOOKUP(Tabela4[[#This Row],[Cabo]],BD!A:V,12,0),"")</f>
        <v/>
      </c>
      <c r="R30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5" s="23" t="str">
        <f ca="1">IF(Tabela4[[#This Row],[Cabo]]&lt;&gt;"",4-COUNTIF(Tabela4[[#This Row],[Teste de Continuidade]:[Hipot]],"---"),"")</f>
        <v/>
      </c>
      <c r="W305" s="29" t="str">
        <f ca="1">IF(Tabela4[[#This Row],[Cabo]]&lt;&gt;"",(COUNTIF(Tabela4[[#This Row],[Teste de Continuidade]:[Hipot]],"OK"))/(4-COUNTIF(Tabela4[[#This Row],[Teste de Continuidade]:[Hipot]],"---")),"")</f>
        <v/>
      </c>
      <c r="X305" s="23" t="str">
        <f ca="1">IF(Tabela4[[#This Row],[Cabo]]&lt;&gt;"",SUMIFS('Lançamento de Cabos'!$AF:$AF,'Lançamento de Cabos'!AE:AE,Tabela4[[#This Row],[Cabo]],'Lançamento de Cabos'!AJ:AJ,Área!$B$1),"")</f>
        <v/>
      </c>
      <c r="Y305" s="23" t="str">
        <f ca="1">IF(Tabela4[[#This Row],[Cabo]]&lt;&gt;"",SUMIFS('Lançamento de Cabos'!$AG:$AG,'Lançamento de Cabos'!AE:AE,Tabela4[[#This Row],[Cabo]],'Lançamento de Cabos'!AJ:AJ,Área!$B$1),"")</f>
        <v/>
      </c>
      <c r="Z305" s="23" t="e">
        <f ca="1">VLOOKUP(Tabela4[[#This Row],[Cabo]],BD!A:AB,28,0)</f>
        <v>#N/A</v>
      </c>
    </row>
    <row r="306" spans="3:26" x14ac:dyDescent="0.25">
      <c r="C306" s="391" t="str">
        <f ca="1">IF($B$1="Geral",Tabela1[[#This Row],[Tag do Cabo]],IFERROR(INDEX(INDIRECT("BD!$A"&amp;D306&amp;":$A100000"),E306,1),""))</f>
        <v/>
      </c>
      <c r="D306" s="391" t="str">
        <f t="shared" ca="1" si="14"/>
        <v/>
      </c>
      <c r="E306" s="391" t="str">
        <f t="shared" ca="1" si="15"/>
        <v/>
      </c>
      <c r="F306" s="23" t="str">
        <f ca="1">IFERROR(VLOOKUP(Tabela4[[#This Row],[Cabo]],BD!A:V,2,0),"")</f>
        <v/>
      </c>
      <c r="G306" s="391" t="str">
        <f ca="1">IFERROR(VLOOKUP(Tabela4[[#This Row],[Cabo]],BD!A:V,5,0),"")</f>
        <v/>
      </c>
      <c r="H306" s="23" t="str">
        <f ca="1">IFERROR(VLOOKUP(Tabela4[[#This Row],[Cabo]],BD!A:V,3,0),"")</f>
        <v/>
      </c>
      <c r="I306" s="23" t="str">
        <f ca="1">IFERROR(VLOOKUP(Tabela4[[#This Row],[Cabo]],BD!A:V,4,0),"")</f>
        <v/>
      </c>
      <c r="J306" s="23" t="str">
        <f ca="1">IFERROR(VLOOKUP(Tabela4[[#This Row],[Cabo]],BD!A:V,7,0),"")</f>
        <v/>
      </c>
      <c r="K30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6" s="23" t="str">
        <f ca="1">IFERROR(VLOOKUP(Tabela4[[#This Row],[Cabo]],BD!A:V,9,0),"")</f>
        <v/>
      </c>
      <c r="M306" s="23" t="str">
        <f ca="1">IFERROR(VLOOKUP(Tabela4[[#This Row],[Cabo]],BD!A:AD,30,0),"")</f>
        <v/>
      </c>
      <c r="N306" s="23" t="str">
        <f ca="1">IF(SUMIF('Lançamento de Cabos'!B:B,Tabela4[[#This Row],[Cabo]],'Lançamento de Cabos'!C:C)=0,"",SUMIF('Lançamento de Cabos'!B:B,Tabela4[[#This Row],[Cabo]],'Lançamento de Cabos'!C:C))</f>
        <v/>
      </c>
      <c r="O306" s="28" t="str">
        <f ca="1">IFERROR(IF(Tabela4[[#This Row],[Compr. Lançado]]/Tabela4[[#This Row],[Compr. Prev.]]&gt;1,1,Tabela4[[#This Row],[Compr. Lançado]]/Tabela4[[#This Row],[Compr. Prev.]]),"")</f>
        <v/>
      </c>
      <c r="P306" s="24" t="str">
        <f ca="1">IFERROR(VLOOKUP(Tabela4[[#This Row],[Cabo]],BD!A:V,11,0),"")</f>
        <v/>
      </c>
      <c r="Q306" s="24" t="str">
        <f ca="1">IFERROR(VLOOKUP(Tabela4[[#This Row],[Cabo]],BD!A:V,12,0),"")</f>
        <v/>
      </c>
      <c r="R30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6" s="23" t="str">
        <f ca="1">IF(Tabela4[[#This Row],[Cabo]]&lt;&gt;"",4-COUNTIF(Tabela4[[#This Row],[Teste de Continuidade]:[Hipot]],"---"),"")</f>
        <v/>
      </c>
      <c r="W306" s="29" t="str">
        <f ca="1">IF(Tabela4[[#This Row],[Cabo]]&lt;&gt;"",(COUNTIF(Tabela4[[#This Row],[Teste de Continuidade]:[Hipot]],"OK"))/(4-COUNTIF(Tabela4[[#This Row],[Teste de Continuidade]:[Hipot]],"---")),"")</f>
        <v/>
      </c>
      <c r="X306" s="23" t="str">
        <f ca="1">IF(Tabela4[[#This Row],[Cabo]]&lt;&gt;"",SUMIFS('Lançamento de Cabos'!$AF:$AF,'Lançamento de Cabos'!AE:AE,Tabela4[[#This Row],[Cabo]],'Lançamento de Cabos'!AJ:AJ,Área!$B$1),"")</f>
        <v/>
      </c>
      <c r="Y306" s="23" t="str">
        <f ca="1">IF(Tabela4[[#This Row],[Cabo]]&lt;&gt;"",SUMIFS('Lançamento de Cabos'!$AG:$AG,'Lançamento de Cabos'!AE:AE,Tabela4[[#This Row],[Cabo]],'Lançamento de Cabos'!AJ:AJ,Área!$B$1),"")</f>
        <v/>
      </c>
      <c r="Z306" s="23" t="e">
        <f ca="1">VLOOKUP(Tabela4[[#This Row],[Cabo]],BD!A:AB,28,0)</f>
        <v>#N/A</v>
      </c>
    </row>
    <row r="307" spans="3:26" x14ac:dyDescent="0.25">
      <c r="C307" s="391" t="str">
        <f ca="1">IF($B$1="Geral",Tabela1[[#This Row],[Tag do Cabo]],IFERROR(INDEX(INDIRECT("BD!$A"&amp;D307&amp;":$A100000"),E307,1),""))</f>
        <v/>
      </c>
      <c r="D307" s="391" t="str">
        <f t="shared" ca="1" si="14"/>
        <v/>
      </c>
      <c r="E307" s="391" t="str">
        <f t="shared" ca="1" si="15"/>
        <v/>
      </c>
      <c r="F307" s="23" t="str">
        <f ca="1">IFERROR(VLOOKUP(Tabela4[[#This Row],[Cabo]],BD!A:V,2,0),"")</f>
        <v/>
      </c>
      <c r="G307" s="391" t="str">
        <f ca="1">IFERROR(VLOOKUP(Tabela4[[#This Row],[Cabo]],BD!A:V,5,0),"")</f>
        <v/>
      </c>
      <c r="H307" s="23" t="str">
        <f ca="1">IFERROR(VLOOKUP(Tabela4[[#This Row],[Cabo]],BD!A:V,3,0),"")</f>
        <v/>
      </c>
      <c r="I307" s="23" t="str">
        <f ca="1">IFERROR(VLOOKUP(Tabela4[[#This Row],[Cabo]],BD!A:V,4,0),"")</f>
        <v/>
      </c>
      <c r="J307" s="23" t="str">
        <f ca="1">IFERROR(VLOOKUP(Tabela4[[#This Row],[Cabo]],BD!A:V,7,0),"")</f>
        <v/>
      </c>
      <c r="K30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7" s="23" t="str">
        <f ca="1">IFERROR(VLOOKUP(Tabela4[[#This Row],[Cabo]],BD!A:V,9,0),"")</f>
        <v/>
      </c>
      <c r="M307" s="23" t="str">
        <f ca="1">IFERROR(VLOOKUP(Tabela4[[#This Row],[Cabo]],BD!A:AD,30,0),"")</f>
        <v/>
      </c>
      <c r="N307" s="23" t="str">
        <f ca="1">IF(SUMIF('Lançamento de Cabos'!B:B,Tabela4[[#This Row],[Cabo]],'Lançamento de Cabos'!C:C)=0,"",SUMIF('Lançamento de Cabos'!B:B,Tabela4[[#This Row],[Cabo]],'Lançamento de Cabos'!C:C))</f>
        <v/>
      </c>
      <c r="O307" s="28" t="str">
        <f ca="1">IFERROR(IF(Tabela4[[#This Row],[Compr. Lançado]]/Tabela4[[#This Row],[Compr. Prev.]]&gt;1,1,Tabela4[[#This Row],[Compr. Lançado]]/Tabela4[[#This Row],[Compr. Prev.]]),"")</f>
        <v/>
      </c>
      <c r="P307" s="24" t="str">
        <f ca="1">IFERROR(VLOOKUP(Tabela4[[#This Row],[Cabo]],BD!A:V,11,0),"")</f>
        <v/>
      </c>
      <c r="Q307" s="24" t="str">
        <f ca="1">IFERROR(VLOOKUP(Tabela4[[#This Row],[Cabo]],BD!A:V,12,0),"")</f>
        <v/>
      </c>
      <c r="R30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7" s="23" t="str">
        <f ca="1">IF(Tabela4[[#This Row],[Cabo]]&lt;&gt;"",4-COUNTIF(Tabela4[[#This Row],[Teste de Continuidade]:[Hipot]],"---"),"")</f>
        <v/>
      </c>
      <c r="W307" s="29" t="str">
        <f ca="1">IF(Tabela4[[#This Row],[Cabo]]&lt;&gt;"",(COUNTIF(Tabela4[[#This Row],[Teste de Continuidade]:[Hipot]],"OK"))/(4-COUNTIF(Tabela4[[#This Row],[Teste de Continuidade]:[Hipot]],"---")),"")</f>
        <v/>
      </c>
      <c r="X307" s="23" t="str">
        <f ca="1">IF(Tabela4[[#This Row],[Cabo]]&lt;&gt;"",SUMIFS('Lançamento de Cabos'!$AF:$AF,'Lançamento de Cabos'!AE:AE,Tabela4[[#This Row],[Cabo]],'Lançamento de Cabos'!AJ:AJ,Área!$B$1),"")</f>
        <v/>
      </c>
      <c r="Y307" s="23" t="str">
        <f ca="1">IF(Tabela4[[#This Row],[Cabo]]&lt;&gt;"",SUMIFS('Lançamento de Cabos'!$AG:$AG,'Lançamento de Cabos'!AE:AE,Tabela4[[#This Row],[Cabo]],'Lançamento de Cabos'!AJ:AJ,Área!$B$1),"")</f>
        <v/>
      </c>
      <c r="Z307" s="23" t="e">
        <f ca="1">VLOOKUP(Tabela4[[#This Row],[Cabo]],BD!A:AB,28,0)</f>
        <v>#N/A</v>
      </c>
    </row>
    <row r="308" spans="3:26" x14ac:dyDescent="0.25">
      <c r="C308" s="391" t="str">
        <f ca="1">IF($B$1="Geral",Tabela1[[#This Row],[Tag do Cabo]],IFERROR(INDEX(INDIRECT("BD!$A"&amp;D308&amp;":$A100000"),E308,1),""))</f>
        <v/>
      </c>
      <c r="D308" s="391" t="str">
        <f t="shared" ca="1" si="14"/>
        <v/>
      </c>
      <c r="E308" s="391" t="str">
        <f t="shared" ca="1" si="15"/>
        <v/>
      </c>
      <c r="F308" s="23" t="str">
        <f ca="1">IFERROR(VLOOKUP(Tabela4[[#This Row],[Cabo]],BD!A:V,2,0),"")</f>
        <v/>
      </c>
      <c r="G308" s="391" t="str">
        <f ca="1">IFERROR(VLOOKUP(Tabela4[[#This Row],[Cabo]],BD!A:V,5,0),"")</f>
        <v/>
      </c>
      <c r="H308" s="23" t="str">
        <f ca="1">IFERROR(VLOOKUP(Tabela4[[#This Row],[Cabo]],BD!A:V,3,0),"")</f>
        <v/>
      </c>
      <c r="I308" s="23" t="str">
        <f ca="1">IFERROR(VLOOKUP(Tabela4[[#This Row],[Cabo]],BD!A:V,4,0),"")</f>
        <v/>
      </c>
      <c r="J308" s="23" t="str">
        <f ca="1">IFERROR(VLOOKUP(Tabela4[[#This Row],[Cabo]],BD!A:V,7,0),"")</f>
        <v/>
      </c>
      <c r="K30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8" s="23" t="str">
        <f ca="1">IFERROR(VLOOKUP(Tabela4[[#This Row],[Cabo]],BD!A:V,9,0),"")</f>
        <v/>
      </c>
      <c r="M308" s="23" t="str">
        <f ca="1">IFERROR(VLOOKUP(Tabela4[[#This Row],[Cabo]],BD!A:AD,30,0),"")</f>
        <v/>
      </c>
      <c r="N308" s="23" t="str">
        <f ca="1">IF(SUMIF('Lançamento de Cabos'!B:B,Tabela4[[#This Row],[Cabo]],'Lançamento de Cabos'!C:C)=0,"",SUMIF('Lançamento de Cabos'!B:B,Tabela4[[#This Row],[Cabo]],'Lançamento de Cabos'!C:C))</f>
        <v/>
      </c>
      <c r="O308" s="28" t="str">
        <f ca="1">IFERROR(IF(Tabela4[[#This Row],[Compr. Lançado]]/Tabela4[[#This Row],[Compr. Prev.]]&gt;1,1,Tabela4[[#This Row],[Compr. Lançado]]/Tabela4[[#This Row],[Compr. Prev.]]),"")</f>
        <v/>
      </c>
      <c r="P308" s="24" t="str">
        <f ca="1">IFERROR(VLOOKUP(Tabela4[[#This Row],[Cabo]],BD!A:V,11,0),"")</f>
        <v/>
      </c>
      <c r="Q308" s="24" t="str">
        <f ca="1">IFERROR(VLOOKUP(Tabela4[[#This Row],[Cabo]],BD!A:V,12,0),"")</f>
        <v/>
      </c>
      <c r="R30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8" s="23" t="str">
        <f ca="1">IF(Tabela4[[#This Row],[Cabo]]&lt;&gt;"",4-COUNTIF(Tabela4[[#This Row],[Teste de Continuidade]:[Hipot]],"---"),"")</f>
        <v/>
      </c>
      <c r="W308" s="29" t="str">
        <f ca="1">IF(Tabela4[[#This Row],[Cabo]]&lt;&gt;"",(COUNTIF(Tabela4[[#This Row],[Teste de Continuidade]:[Hipot]],"OK"))/(4-COUNTIF(Tabela4[[#This Row],[Teste de Continuidade]:[Hipot]],"---")),"")</f>
        <v/>
      </c>
      <c r="X308" s="23" t="str">
        <f ca="1">IF(Tabela4[[#This Row],[Cabo]]&lt;&gt;"",SUMIFS('Lançamento de Cabos'!$AF:$AF,'Lançamento de Cabos'!AE:AE,Tabela4[[#This Row],[Cabo]],'Lançamento de Cabos'!AJ:AJ,Área!$B$1),"")</f>
        <v/>
      </c>
      <c r="Y308" s="23" t="str">
        <f ca="1">IF(Tabela4[[#This Row],[Cabo]]&lt;&gt;"",SUMIFS('Lançamento de Cabos'!$AG:$AG,'Lançamento de Cabos'!AE:AE,Tabela4[[#This Row],[Cabo]],'Lançamento de Cabos'!AJ:AJ,Área!$B$1),"")</f>
        <v/>
      </c>
      <c r="Z308" s="23" t="e">
        <f ca="1">VLOOKUP(Tabela4[[#This Row],[Cabo]],BD!A:AB,28,0)</f>
        <v>#N/A</v>
      </c>
    </row>
    <row r="309" spans="3:26" x14ac:dyDescent="0.25">
      <c r="C309" s="391" t="str">
        <f ca="1">IF($B$1="Geral",Tabela1[[#This Row],[Tag do Cabo]],IFERROR(INDEX(INDIRECT("BD!$A"&amp;D309&amp;":$A100000"),E309,1),""))</f>
        <v/>
      </c>
      <c r="D309" s="391" t="str">
        <f t="shared" ca="1" si="14"/>
        <v/>
      </c>
      <c r="E309" s="391" t="str">
        <f t="shared" ca="1" si="15"/>
        <v/>
      </c>
      <c r="F309" s="23" t="str">
        <f ca="1">IFERROR(VLOOKUP(Tabela4[[#This Row],[Cabo]],BD!A:V,2,0),"")</f>
        <v/>
      </c>
      <c r="G309" s="391" t="str">
        <f ca="1">IFERROR(VLOOKUP(Tabela4[[#This Row],[Cabo]],BD!A:V,5,0),"")</f>
        <v/>
      </c>
      <c r="H309" s="23" t="str">
        <f ca="1">IFERROR(VLOOKUP(Tabela4[[#This Row],[Cabo]],BD!A:V,3,0),"")</f>
        <v/>
      </c>
      <c r="I309" s="23" t="str">
        <f ca="1">IFERROR(VLOOKUP(Tabela4[[#This Row],[Cabo]],BD!A:V,4,0),"")</f>
        <v/>
      </c>
      <c r="J309" s="23" t="str">
        <f ca="1">IFERROR(VLOOKUP(Tabela4[[#This Row],[Cabo]],BD!A:V,7,0),"")</f>
        <v/>
      </c>
      <c r="K30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09" s="23" t="str">
        <f ca="1">IFERROR(VLOOKUP(Tabela4[[#This Row],[Cabo]],BD!A:V,9,0),"")</f>
        <v/>
      </c>
      <c r="M309" s="23" t="str">
        <f ca="1">IFERROR(VLOOKUP(Tabela4[[#This Row],[Cabo]],BD!A:AD,30,0),"")</f>
        <v/>
      </c>
      <c r="N309" s="23" t="str">
        <f ca="1">IF(SUMIF('Lançamento de Cabos'!B:B,Tabela4[[#This Row],[Cabo]],'Lançamento de Cabos'!C:C)=0,"",SUMIF('Lançamento de Cabos'!B:B,Tabela4[[#This Row],[Cabo]],'Lançamento de Cabos'!C:C))</f>
        <v/>
      </c>
      <c r="O309" s="28" t="str">
        <f ca="1">IFERROR(IF(Tabela4[[#This Row],[Compr. Lançado]]/Tabela4[[#This Row],[Compr. Prev.]]&gt;1,1,Tabela4[[#This Row],[Compr. Lançado]]/Tabela4[[#This Row],[Compr. Prev.]]),"")</f>
        <v/>
      </c>
      <c r="P309" s="24" t="str">
        <f ca="1">IFERROR(VLOOKUP(Tabela4[[#This Row],[Cabo]],BD!A:V,11,0),"")</f>
        <v/>
      </c>
      <c r="Q309" s="24" t="str">
        <f ca="1">IFERROR(VLOOKUP(Tabela4[[#This Row],[Cabo]],BD!A:V,12,0),"")</f>
        <v/>
      </c>
      <c r="R30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0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0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0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09" s="23" t="str">
        <f ca="1">IF(Tabela4[[#This Row],[Cabo]]&lt;&gt;"",4-COUNTIF(Tabela4[[#This Row],[Teste de Continuidade]:[Hipot]],"---"),"")</f>
        <v/>
      </c>
      <c r="W309" s="29" t="str">
        <f ca="1">IF(Tabela4[[#This Row],[Cabo]]&lt;&gt;"",(COUNTIF(Tabela4[[#This Row],[Teste de Continuidade]:[Hipot]],"OK"))/(4-COUNTIF(Tabela4[[#This Row],[Teste de Continuidade]:[Hipot]],"---")),"")</f>
        <v/>
      </c>
      <c r="X309" s="23" t="str">
        <f ca="1">IF(Tabela4[[#This Row],[Cabo]]&lt;&gt;"",SUMIFS('Lançamento de Cabos'!$AF:$AF,'Lançamento de Cabos'!AE:AE,Tabela4[[#This Row],[Cabo]],'Lançamento de Cabos'!AJ:AJ,Área!$B$1),"")</f>
        <v/>
      </c>
      <c r="Y309" s="23" t="str">
        <f ca="1">IF(Tabela4[[#This Row],[Cabo]]&lt;&gt;"",SUMIFS('Lançamento de Cabos'!$AG:$AG,'Lançamento de Cabos'!AE:AE,Tabela4[[#This Row],[Cabo]],'Lançamento de Cabos'!AJ:AJ,Área!$B$1),"")</f>
        <v/>
      </c>
      <c r="Z309" s="23" t="e">
        <f ca="1">VLOOKUP(Tabela4[[#This Row],[Cabo]],BD!A:AB,28,0)</f>
        <v>#N/A</v>
      </c>
    </row>
    <row r="310" spans="3:26" x14ac:dyDescent="0.25">
      <c r="C310" s="391" t="str">
        <f ca="1">IF($B$1="Geral",Tabela1[[#This Row],[Tag do Cabo]],IFERROR(INDEX(INDIRECT("BD!$A"&amp;D310&amp;":$A100000"),E310,1),""))</f>
        <v/>
      </c>
      <c r="D310" s="391" t="str">
        <f t="shared" ca="1" si="14"/>
        <v/>
      </c>
      <c r="E310" s="391" t="str">
        <f t="shared" ca="1" si="15"/>
        <v/>
      </c>
      <c r="F310" s="23" t="str">
        <f ca="1">IFERROR(VLOOKUP(Tabela4[[#This Row],[Cabo]],BD!A:V,2,0),"")</f>
        <v/>
      </c>
      <c r="G310" s="391" t="str">
        <f ca="1">IFERROR(VLOOKUP(Tabela4[[#This Row],[Cabo]],BD!A:V,5,0),"")</f>
        <v/>
      </c>
      <c r="H310" s="23" t="str">
        <f ca="1">IFERROR(VLOOKUP(Tabela4[[#This Row],[Cabo]],BD!A:V,3,0),"")</f>
        <v/>
      </c>
      <c r="I310" s="23" t="str">
        <f ca="1">IFERROR(VLOOKUP(Tabela4[[#This Row],[Cabo]],BD!A:V,4,0),"")</f>
        <v/>
      </c>
      <c r="J310" s="23" t="str">
        <f ca="1">IFERROR(VLOOKUP(Tabela4[[#This Row],[Cabo]],BD!A:V,7,0),"")</f>
        <v/>
      </c>
      <c r="K31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0" s="23" t="str">
        <f ca="1">IFERROR(VLOOKUP(Tabela4[[#This Row],[Cabo]],BD!A:V,9,0),"")</f>
        <v/>
      </c>
      <c r="M310" s="23" t="str">
        <f ca="1">IFERROR(VLOOKUP(Tabela4[[#This Row],[Cabo]],BD!A:AD,30,0),"")</f>
        <v/>
      </c>
      <c r="N310" s="23" t="str">
        <f ca="1">IF(SUMIF('Lançamento de Cabos'!B:B,Tabela4[[#This Row],[Cabo]],'Lançamento de Cabos'!C:C)=0,"",SUMIF('Lançamento de Cabos'!B:B,Tabela4[[#This Row],[Cabo]],'Lançamento de Cabos'!C:C))</f>
        <v/>
      </c>
      <c r="O310" s="28" t="str">
        <f ca="1">IFERROR(IF(Tabela4[[#This Row],[Compr. Lançado]]/Tabela4[[#This Row],[Compr. Prev.]]&gt;1,1,Tabela4[[#This Row],[Compr. Lançado]]/Tabela4[[#This Row],[Compr. Prev.]]),"")</f>
        <v/>
      </c>
      <c r="P310" s="24" t="str">
        <f ca="1">IFERROR(VLOOKUP(Tabela4[[#This Row],[Cabo]],BD!A:V,11,0),"")</f>
        <v/>
      </c>
      <c r="Q310" s="24" t="str">
        <f ca="1">IFERROR(VLOOKUP(Tabela4[[#This Row],[Cabo]],BD!A:V,12,0),"")</f>
        <v/>
      </c>
      <c r="R31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0" s="23" t="str">
        <f ca="1">IF(Tabela4[[#This Row],[Cabo]]&lt;&gt;"",4-COUNTIF(Tabela4[[#This Row],[Teste de Continuidade]:[Hipot]],"---"),"")</f>
        <v/>
      </c>
      <c r="W310" s="29" t="str">
        <f ca="1">IF(Tabela4[[#This Row],[Cabo]]&lt;&gt;"",(COUNTIF(Tabela4[[#This Row],[Teste de Continuidade]:[Hipot]],"OK"))/(4-COUNTIF(Tabela4[[#This Row],[Teste de Continuidade]:[Hipot]],"---")),"")</f>
        <v/>
      </c>
      <c r="X310" s="23" t="str">
        <f ca="1">IF(Tabela4[[#This Row],[Cabo]]&lt;&gt;"",SUMIFS('Lançamento de Cabos'!$AF:$AF,'Lançamento de Cabos'!AE:AE,Tabela4[[#This Row],[Cabo]],'Lançamento de Cabos'!AJ:AJ,Área!$B$1),"")</f>
        <v/>
      </c>
      <c r="Y310" s="23" t="str">
        <f ca="1">IF(Tabela4[[#This Row],[Cabo]]&lt;&gt;"",SUMIFS('Lançamento de Cabos'!$AG:$AG,'Lançamento de Cabos'!AE:AE,Tabela4[[#This Row],[Cabo]],'Lançamento de Cabos'!AJ:AJ,Área!$B$1),"")</f>
        <v/>
      </c>
      <c r="Z310" s="23" t="e">
        <f ca="1">VLOOKUP(Tabela4[[#This Row],[Cabo]],BD!A:AB,28,0)</f>
        <v>#N/A</v>
      </c>
    </row>
    <row r="311" spans="3:26" x14ac:dyDescent="0.25">
      <c r="C311" s="391" t="str">
        <f ca="1">IF($B$1="Geral",Tabela1[[#This Row],[Tag do Cabo]],IFERROR(INDEX(INDIRECT("BD!$A"&amp;D311&amp;":$A100000"),E311,1),""))</f>
        <v/>
      </c>
      <c r="D311" s="391" t="str">
        <f t="shared" ca="1" si="14"/>
        <v/>
      </c>
      <c r="E311" s="391" t="str">
        <f t="shared" ca="1" si="15"/>
        <v/>
      </c>
      <c r="F311" s="23" t="str">
        <f ca="1">IFERROR(VLOOKUP(Tabela4[[#This Row],[Cabo]],BD!A:V,2,0),"")</f>
        <v/>
      </c>
      <c r="G311" s="391" t="str">
        <f ca="1">IFERROR(VLOOKUP(Tabela4[[#This Row],[Cabo]],BD!A:V,5,0),"")</f>
        <v/>
      </c>
      <c r="H311" s="23" t="str">
        <f ca="1">IFERROR(VLOOKUP(Tabela4[[#This Row],[Cabo]],BD!A:V,3,0),"")</f>
        <v/>
      </c>
      <c r="I311" s="23" t="str">
        <f ca="1">IFERROR(VLOOKUP(Tabela4[[#This Row],[Cabo]],BD!A:V,4,0),"")</f>
        <v/>
      </c>
      <c r="J311" s="23" t="str">
        <f ca="1">IFERROR(VLOOKUP(Tabela4[[#This Row],[Cabo]],BD!A:V,7,0),"")</f>
        <v/>
      </c>
      <c r="K31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1" s="23" t="str">
        <f ca="1">IFERROR(VLOOKUP(Tabela4[[#This Row],[Cabo]],BD!A:V,9,0),"")</f>
        <v/>
      </c>
      <c r="M311" s="23" t="str">
        <f ca="1">IFERROR(VLOOKUP(Tabela4[[#This Row],[Cabo]],BD!A:AD,30,0),"")</f>
        <v/>
      </c>
      <c r="N311" s="23" t="str">
        <f ca="1">IF(SUMIF('Lançamento de Cabos'!B:B,Tabela4[[#This Row],[Cabo]],'Lançamento de Cabos'!C:C)=0,"",SUMIF('Lançamento de Cabos'!B:B,Tabela4[[#This Row],[Cabo]],'Lançamento de Cabos'!C:C))</f>
        <v/>
      </c>
      <c r="O311" s="28" t="str">
        <f ca="1">IFERROR(IF(Tabela4[[#This Row],[Compr. Lançado]]/Tabela4[[#This Row],[Compr. Prev.]]&gt;1,1,Tabela4[[#This Row],[Compr. Lançado]]/Tabela4[[#This Row],[Compr. Prev.]]),"")</f>
        <v/>
      </c>
      <c r="P311" s="24" t="str">
        <f ca="1">IFERROR(VLOOKUP(Tabela4[[#This Row],[Cabo]],BD!A:V,11,0),"")</f>
        <v/>
      </c>
      <c r="Q311" s="24" t="str">
        <f ca="1">IFERROR(VLOOKUP(Tabela4[[#This Row],[Cabo]],BD!A:V,12,0),"")</f>
        <v/>
      </c>
      <c r="R31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1" s="23" t="str">
        <f ca="1">IF(Tabela4[[#This Row],[Cabo]]&lt;&gt;"",4-COUNTIF(Tabela4[[#This Row],[Teste de Continuidade]:[Hipot]],"---"),"")</f>
        <v/>
      </c>
      <c r="W311" s="29" t="str">
        <f ca="1">IF(Tabela4[[#This Row],[Cabo]]&lt;&gt;"",(COUNTIF(Tabela4[[#This Row],[Teste de Continuidade]:[Hipot]],"OK"))/(4-COUNTIF(Tabela4[[#This Row],[Teste de Continuidade]:[Hipot]],"---")),"")</f>
        <v/>
      </c>
      <c r="X311" s="23" t="str">
        <f ca="1">IF(Tabela4[[#This Row],[Cabo]]&lt;&gt;"",SUMIFS('Lançamento de Cabos'!$AF:$AF,'Lançamento de Cabos'!AE:AE,Tabela4[[#This Row],[Cabo]],'Lançamento de Cabos'!AJ:AJ,Área!$B$1),"")</f>
        <v/>
      </c>
      <c r="Y311" s="23" t="str">
        <f ca="1">IF(Tabela4[[#This Row],[Cabo]]&lt;&gt;"",SUMIFS('Lançamento de Cabos'!$AG:$AG,'Lançamento de Cabos'!AE:AE,Tabela4[[#This Row],[Cabo]],'Lançamento de Cabos'!AJ:AJ,Área!$B$1),"")</f>
        <v/>
      </c>
      <c r="Z311" s="23" t="e">
        <f ca="1">VLOOKUP(Tabela4[[#This Row],[Cabo]],BD!A:AB,28,0)</f>
        <v>#N/A</v>
      </c>
    </row>
    <row r="312" spans="3:26" x14ac:dyDescent="0.25">
      <c r="C312" s="391" t="str">
        <f ca="1">IF($B$1="Geral",Tabela1[[#This Row],[Tag do Cabo]],IFERROR(INDEX(INDIRECT("BD!$A"&amp;D312&amp;":$A100000"),E312,1),""))</f>
        <v/>
      </c>
      <c r="D312" s="391" t="str">
        <f t="shared" ca="1" si="14"/>
        <v/>
      </c>
      <c r="E312" s="391" t="str">
        <f t="shared" ca="1" si="15"/>
        <v/>
      </c>
      <c r="F312" s="23" t="str">
        <f ca="1">IFERROR(VLOOKUP(Tabela4[[#This Row],[Cabo]],BD!A:V,2,0),"")</f>
        <v/>
      </c>
      <c r="G312" s="391" t="str">
        <f ca="1">IFERROR(VLOOKUP(Tabela4[[#This Row],[Cabo]],BD!A:V,5,0),"")</f>
        <v/>
      </c>
      <c r="H312" s="23" t="str">
        <f ca="1">IFERROR(VLOOKUP(Tabela4[[#This Row],[Cabo]],BD!A:V,3,0),"")</f>
        <v/>
      </c>
      <c r="I312" s="23" t="str">
        <f ca="1">IFERROR(VLOOKUP(Tabela4[[#This Row],[Cabo]],BD!A:V,4,0),"")</f>
        <v/>
      </c>
      <c r="J312" s="23" t="str">
        <f ca="1">IFERROR(VLOOKUP(Tabela4[[#This Row],[Cabo]],BD!A:V,7,0),"")</f>
        <v/>
      </c>
      <c r="K31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2" s="23" t="str">
        <f ca="1">IFERROR(VLOOKUP(Tabela4[[#This Row],[Cabo]],BD!A:V,9,0),"")</f>
        <v/>
      </c>
      <c r="M312" s="23" t="str">
        <f ca="1">IFERROR(VLOOKUP(Tabela4[[#This Row],[Cabo]],BD!A:AD,30,0),"")</f>
        <v/>
      </c>
      <c r="N312" s="23" t="str">
        <f ca="1">IF(SUMIF('Lançamento de Cabos'!B:B,Tabela4[[#This Row],[Cabo]],'Lançamento de Cabos'!C:C)=0,"",SUMIF('Lançamento de Cabos'!B:B,Tabela4[[#This Row],[Cabo]],'Lançamento de Cabos'!C:C))</f>
        <v/>
      </c>
      <c r="O312" s="28" t="str">
        <f ca="1">IFERROR(IF(Tabela4[[#This Row],[Compr. Lançado]]/Tabela4[[#This Row],[Compr. Prev.]]&gt;1,1,Tabela4[[#This Row],[Compr. Lançado]]/Tabela4[[#This Row],[Compr. Prev.]]),"")</f>
        <v/>
      </c>
      <c r="P312" s="24" t="str">
        <f ca="1">IFERROR(VLOOKUP(Tabela4[[#This Row],[Cabo]],BD!A:V,11,0),"")</f>
        <v/>
      </c>
      <c r="Q312" s="24" t="str">
        <f ca="1">IFERROR(VLOOKUP(Tabela4[[#This Row],[Cabo]],BD!A:V,12,0),"")</f>
        <v/>
      </c>
      <c r="R31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2" s="23" t="str">
        <f ca="1">IF(Tabela4[[#This Row],[Cabo]]&lt;&gt;"",4-COUNTIF(Tabela4[[#This Row],[Teste de Continuidade]:[Hipot]],"---"),"")</f>
        <v/>
      </c>
      <c r="W312" s="29" t="str">
        <f ca="1">IF(Tabela4[[#This Row],[Cabo]]&lt;&gt;"",(COUNTIF(Tabela4[[#This Row],[Teste de Continuidade]:[Hipot]],"OK"))/(4-COUNTIF(Tabela4[[#This Row],[Teste de Continuidade]:[Hipot]],"---")),"")</f>
        <v/>
      </c>
      <c r="X312" s="23" t="str">
        <f ca="1">IF(Tabela4[[#This Row],[Cabo]]&lt;&gt;"",SUMIFS('Lançamento de Cabos'!$AF:$AF,'Lançamento de Cabos'!AE:AE,Tabela4[[#This Row],[Cabo]],'Lançamento de Cabos'!AJ:AJ,Área!$B$1),"")</f>
        <v/>
      </c>
      <c r="Y312" s="23" t="str">
        <f ca="1">IF(Tabela4[[#This Row],[Cabo]]&lt;&gt;"",SUMIFS('Lançamento de Cabos'!$AG:$AG,'Lançamento de Cabos'!AE:AE,Tabela4[[#This Row],[Cabo]],'Lançamento de Cabos'!AJ:AJ,Área!$B$1),"")</f>
        <v/>
      </c>
      <c r="Z312" s="23" t="e">
        <f ca="1">VLOOKUP(Tabela4[[#This Row],[Cabo]],BD!A:AB,28,0)</f>
        <v>#N/A</v>
      </c>
    </row>
    <row r="313" spans="3:26" x14ac:dyDescent="0.25">
      <c r="C313" s="391" t="str">
        <f ca="1">IF($B$1="Geral",Tabela1[[#This Row],[Tag do Cabo]],IFERROR(INDEX(INDIRECT("BD!$A"&amp;D313&amp;":$A100000"),E313,1),""))</f>
        <v/>
      </c>
      <c r="D313" s="391" t="str">
        <f t="shared" ca="1" si="14"/>
        <v/>
      </c>
      <c r="E313" s="391" t="str">
        <f t="shared" ca="1" si="15"/>
        <v/>
      </c>
      <c r="F313" s="23" t="str">
        <f ca="1">IFERROR(VLOOKUP(Tabela4[[#This Row],[Cabo]],BD!A:V,2,0),"")</f>
        <v/>
      </c>
      <c r="G313" s="391" t="str">
        <f ca="1">IFERROR(VLOOKUP(Tabela4[[#This Row],[Cabo]],BD!A:V,5,0),"")</f>
        <v/>
      </c>
      <c r="H313" s="23" t="str">
        <f ca="1">IFERROR(VLOOKUP(Tabela4[[#This Row],[Cabo]],BD!A:V,3,0),"")</f>
        <v/>
      </c>
      <c r="I313" s="23" t="str">
        <f ca="1">IFERROR(VLOOKUP(Tabela4[[#This Row],[Cabo]],BD!A:V,4,0),"")</f>
        <v/>
      </c>
      <c r="J313" s="23" t="str">
        <f ca="1">IFERROR(VLOOKUP(Tabela4[[#This Row],[Cabo]],BD!A:V,7,0),"")</f>
        <v/>
      </c>
      <c r="K31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3" s="23" t="str">
        <f ca="1">IFERROR(VLOOKUP(Tabela4[[#This Row],[Cabo]],BD!A:V,9,0),"")</f>
        <v/>
      </c>
      <c r="M313" s="23" t="str">
        <f ca="1">IFERROR(VLOOKUP(Tabela4[[#This Row],[Cabo]],BD!A:AD,30,0),"")</f>
        <v/>
      </c>
      <c r="N313" s="23" t="str">
        <f ca="1">IF(SUMIF('Lançamento de Cabos'!B:B,Tabela4[[#This Row],[Cabo]],'Lançamento de Cabos'!C:C)=0,"",SUMIF('Lançamento de Cabos'!B:B,Tabela4[[#This Row],[Cabo]],'Lançamento de Cabos'!C:C))</f>
        <v/>
      </c>
      <c r="O313" s="28" t="str">
        <f ca="1">IFERROR(IF(Tabela4[[#This Row],[Compr. Lançado]]/Tabela4[[#This Row],[Compr. Prev.]]&gt;1,1,Tabela4[[#This Row],[Compr. Lançado]]/Tabela4[[#This Row],[Compr. Prev.]]),"")</f>
        <v/>
      </c>
      <c r="P313" s="24" t="str">
        <f ca="1">IFERROR(VLOOKUP(Tabela4[[#This Row],[Cabo]],BD!A:V,11,0),"")</f>
        <v/>
      </c>
      <c r="Q313" s="24" t="str">
        <f ca="1">IFERROR(VLOOKUP(Tabela4[[#This Row],[Cabo]],BD!A:V,12,0),"")</f>
        <v/>
      </c>
      <c r="R31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3" s="23" t="str">
        <f ca="1">IF(Tabela4[[#This Row],[Cabo]]&lt;&gt;"",4-COUNTIF(Tabela4[[#This Row],[Teste de Continuidade]:[Hipot]],"---"),"")</f>
        <v/>
      </c>
      <c r="W313" s="29" t="str">
        <f ca="1">IF(Tabela4[[#This Row],[Cabo]]&lt;&gt;"",(COUNTIF(Tabela4[[#This Row],[Teste de Continuidade]:[Hipot]],"OK"))/(4-COUNTIF(Tabela4[[#This Row],[Teste de Continuidade]:[Hipot]],"---")),"")</f>
        <v/>
      </c>
      <c r="X313" s="23" t="str">
        <f ca="1">IF(Tabela4[[#This Row],[Cabo]]&lt;&gt;"",SUMIFS('Lançamento de Cabos'!$AF:$AF,'Lançamento de Cabos'!AE:AE,Tabela4[[#This Row],[Cabo]],'Lançamento de Cabos'!AJ:AJ,Área!$B$1),"")</f>
        <v/>
      </c>
      <c r="Y313" s="23" t="str">
        <f ca="1">IF(Tabela4[[#This Row],[Cabo]]&lt;&gt;"",SUMIFS('Lançamento de Cabos'!$AG:$AG,'Lançamento de Cabos'!AE:AE,Tabela4[[#This Row],[Cabo]],'Lançamento de Cabos'!AJ:AJ,Área!$B$1),"")</f>
        <v/>
      </c>
      <c r="Z313" s="23" t="e">
        <f ca="1">VLOOKUP(Tabela4[[#This Row],[Cabo]],BD!A:AB,28,0)</f>
        <v>#N/A</v>
      </c>
    </row>
    <row r="314" spans="3:26" x14ac:dyDescent="0.25">
      <c r="C314" s="391" t="str">
        <f ca="1">IF($B$1="Geral",Tabela1[[#This Row],[Tag do Cabo]],IFERROR(INDEX(INDIRECT("BD!$A"&amp;D314&amp;":$A100000"),E314,1),""))</f>
        <v/>
      </c>
      <c r="D314" s="391" t="str">
        <f t="shared" ca="1" si="14"/>
        <v/>
      </c>
      <c r="E314" s="391" t="str">
        <f t="shared" ca="1" si="15"/>
        <v/>
      </c>
      <c r="F314" s="23" t="str">
        <f ca="1">IFERROR(VLOOKUP(Tabela4[[#This Row],[Cabo]],BD!A:V,2,0),"")</f>
        <v/>
      </c>
      <c r="G314" s="391" t="str">
        <f ca="1">IFERROR(VLOOKUP(Tabela4[[#This Row],[Cabo]],BD!A:V,5,0),"")</f>
        <v/>
      </c>
      <c r="H314" s="23" t="str">
        <f ca="1">IFERROR(VLOOKUP(Tabela4[[#This Row],[Cabo]],BD!A:V,3,0),"")</f>
        <v/>
      </c>
      <c r="I314" s="23" t="str">
        <f ca="1">IFERROR(VLOOKUP(Tabela4[[#This Row],[Cabo]],BD!A:V,4,0),"")</f>
        <v/>
      </c>
      <c r="J314" s="23" t="str">
        <f ca="1">IFERROR(VLOOKUP(Tabela4[[#This Row],[Cabo]],BD!A:V,7,0),"")</f>
        <v/>
      </c>
      <c r="K31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4" s="23" t="str">
        <f ca="1">IFERROR(VLOOKUP(Tabela4[[#This Row],[Cabo]],BD!A:V,9,0),"")</f>
        <v/>
      </c>
      <c r="M314" s="23" t="str">
        <f ca="1">IFERROR(VLOOKUP(Tabela4[[#This Row],[Cabo]],BD!A:AD,30,0),"")</f>
        <v/>
      </c>
      <c r="N314" s="23" t="str">
        <f ca="1">IF(SUMIF('Lançamento de Cabos'!B:B,Tabela4[[#This Row],[Cabo]],'Lançamento de Cabos'!C:C)=0,"",SUMIF('Lançamento de Cabos'!B:B,Tabela4[[#This Row],[Cabo]],'Lançamento de Cabos'!C:C))</f>
        <v/>
      </c>
      <c r="O314" s="28" t="str">
        <f ca="1">IFERROR(IF(Tabela4[[#This Row],[Compr. Lançado]]/Tabela4[[#This Row],[Compr. Prev.]]&gt;1,1,Tabela4[[#This Row],[Compr. Lançado]]/Tabela4[[#This Row],[Compr. Prev.]]),"")</f>
        <v/>
      </c>
      <c r="P314" s="24" t="str">
        <f ca="1">IFERROR(VLOOKUP(Tabela4[[#This Row],[Cabo]],BD!A:V,11,0),"")</f>
        <v/>
      </c>
      <c r="Q314" s="24" t="str">
        <f ca="1">IFERROR(VLOOKUP(Tabela4[[#This Row],[Cabo]],BD!A:V,12,0),"")</f>
        <v/>
      </c>
      <c r="R31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4" s="23" t="str">
        <f ca="1">IF(Tabela4[[#This Row],[Cabo]]&lt;&gt;"",4-COUNTIF(Tabela4[[#This Row],[Teste de Continuidade]:[Hipot]],"---"),"")</f>
        <v/>
      </c>
      <c r="W314" s="29" t="str">
        <f ca="1">IF(Tabela4[[#This Row],[Cabo]]&lt;&gt;"",(COUNTIF(Tabela4[[#This Row],[Teste de Continuidade]:[Hipot]],"OK"))/(4-COUNTIF(Tabela4[[#This Row],[Teste de Continuidade]:[Hipot]],"---")),"")</f>
        <v/>
      </c>
      <c r="X314" s="23" t="str">
        <f ca="1">IF(Tabela4[[#This Row],[Cabo]]&lt;&gt;"",SUMIFS('Lançamento de Cabos'!$AF:$AF,'Lançamento de Cabos'!AE:AE,Tabela4[[#This Row],[Cabo]],'Lançamento de Cabos'!AJ:AJ,Área!$B$1),"")</f>
        <v/>
      </c>
      <c r="Y314" s="23" t="str">
        <f ca="1">IF(Tabela4[[#This Row],[Cabo]]&lt;&gt;"",SUMIFS('Lançamento de Cabos'!$AG:$AG,'Lançamento de Cabos'!AE:AE,Tabela4[[#This Row],[Cabo]],'Lançamento de Cabos'!AJ:AJ,Área!$B$1),"")</f>
        <v/>
      </c>
      <c r="Z314" s="23" t="e">
        <f ca="1">VLOOKUP(Tabela4[[#This Row],[Cabo]],BD!A:AB,28,0)</f>
        <v>#N/A</v>
      </c>
    </row>
    <row r="315" spans="3:26" x14ac:dyDescent="0.25">
      <c r="C315" s="391" t="str">
        <f ca="1">IF($B$1="Geral",Tabela1[[#This Row],[Tag do Cabo]],IFERROR(INDEX(INDIRECT("BD!$A"&amp;D315&amp;":$A100000"),E315,1),""))</f>
        <v/>
      </c>
      <c r="D315" s="391" t="str">
        <f t="shared" ca="1" si="14"/>
        <v/>
      </c>
      <c r="E315" s="391" t="str">
        <f t="shared" ca="1" si="15"/>
        <v/>
      </c>
      <c r="F315" s="23" t="str">
        <f ca="1">IFERROR(VLOOKUP(Tabela4[[#This Row],[Cabo]],BD!A:V,2,0),"")</f>
        <v/>
      </c>
      <c r="G315" s="391" t="str">
        <f ca="1">IFERROR(VLOOKUP(Tabela4[[#This Row],[Cabo]],BD!A:V,5,0),"")</f>
        <v/>
      </c>
      <c r="H315" s="23" t="str">
        <f ca="1">IFERROR(VLOOKUP(Tabela4[[#This Row],[Cabo]],BD!A:V,3,0),"")</f>
        <v/>
      </c>
      <c r="I315" s="23" t="str">
        <f ca="1">IFERROR(VLOOKUP(Tabela4[[#This Row],[Cabo]],BD!A:V,4,0),"")</f>
        <v/>
      </c>
      <c r="J315" s="23" t="str">
        <f ca="1">IFERROR(VLOOKUP(Tabela4[[#This Row],[Cabo]],BD!A:V,7,0),"")</f>
        <v/>
      </c>
      <c r="K31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5" s="23" t="str">
        <f ca="1">IFERROR(VLOOKUP(Tabela4[[#This Row],[Cabo]],BD!A:V,9,0),"")</f>
        <v/>
      </c>
      <c r="M315" s="23" t="str">
        <f ca="1">IFERROR(VLOOKUP(Tabela4[[#This Row],[Cabo]],BD!A:AD,30,0),"")</f>
        <v/>
      </c>
      <c r="N315" s="23" t="str">
        <f ca="1">IF(SUMIF('Lançamento de Cabos'!B:B,Tabela4[[#This Row],[Cabo]],'Lançamento de Cabos'!C:C)=0,"",SUMIF('Lançamento de Cabos'!B:B,Tabela4[[#This Row],[Cabo]],'Lançamento de Cabos'!C:C))</f>
        <v/>
      </c>
      <c r="O315" s="28" t="str">
        <f ca="1">IFERROR(IF(Tabela4[[#This Row],[Compr. Lançado]]/Tabela4[[#This Row],[Compr. Prev.]]&gt;1,1,Tabela4[[#This Row],[Compr. Lançado]]/Tabela4[[#This Row],[Compr. Prev.]]),"")</f>
        <v/>
      </c>
      <c r="P315" s="24" t="str">
        <f ca="1">IFERROR(VLOOKUP(Tabela4[[#This Row],[Cabo]],BD!A:V,11,0),"")</f>
        <v/>
      </c>
      <c r="Q315" s="24" t="str">
        <f ca="1">IFERROR(VLOOKUP(Tabela4[[#This Row],[Cabo]],BD!A:V,12,0),"")</f>
        <v/>
      </c>
      <c r="R31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5" s="23" t="str">
        <f ca="1">IF(Tabela4[[#This Row],[Cabo]]&lt;&gt;"",4-COUNTIF(Tabela4[[#This Row],[Teste de Continuidade]:[Hipot]],"---"),"")</f>
        <v/>
      </c>
      <c r="W315" s="29" t="str">
        <f ca="1">IF(Tabela4[[#This Row],[Cabo]]&lt;&gt;"",(COUNTIF(Tabela4[[#This Row],[Teste de Continuidade]:[Hipot]],"OK"))/(4-COUNTIF(Tabela4[[#This Row],[Teste de Continuidade]:[Hipot]],"---")),"")</f>
        <v/>
      </c>
      <c r="X315" s="23" t="str">
        <f ca="1">IF(Tabela4[[#This Row],[Cabo]]&lt;&gt;"",SUMIFS('Lançamento de Cabos'!$AF:$AF,'Lançamento de Cabos'!AE:AE,Tabela4[[#This Row],[Cabo]],'Lançamento de Cabos'!AJ:AJ,Área!$B$1),"")</f>
        <v/>
      </c>
      <c r="Y315" s="23" t="str">
        <f ca="1">IF(Tabela4[[#This Row],[Cabo]]&lt;&gt;"",SUMIFS('Lançamento de Cabos'!$AG:$AG,'Lançamento de Cabos'!AE:AE,Tabela4[[#This Row],[Cabo]],'Lançamento de Cabos'!AJ:AJ,Área!$B$1),"")</f>
        <v/>
      </c>
      <c r="Z315" s="23" t="e">
        <f ca="1">VLOOKUP(Tabela4[[#This Row],[Cabo]],BD!A:AB,28,0)</f>
        <v>#N/A</v>
      </c>
    </row>
    <row r="316" spans="3:26" x14ac:dyDescent="0.25">
      <c r="C316" s="391" t="str">
        <f ca="1">IF($B$1="Geral",Tabela1[[#This Row],[Tag do Cabo]],IFERROR(INDEX(INDIRECT("BD!$A"&amp;D316&amp;":$A100000"),E316,1),""))</f>
        <v/>
      </c>
      <c r="D316" s="391" t="str">
        <f t="shared" ca="1" si="14"/>
        <v/>
      </c>
      <c r="E316" s="391" t="str">
        <f t="shared" ca="1" si="15"/>
        <v/>
      </c>
      <c r="F316" s="23" t="str">
        <f ca="1">IFERROR(VLOOKUP(Tabela4[[#This Row],[Cabo]],BD!A:V,2,0),"")</f>
        <v/>
      </c>
      <c r="G316" s="391" t="str">
        <f ca="1">IFERROR(VLOOKUP(Tabela4[[#This Row],[Cabo]],BD!A:V,5,0),"")</f>
        <v/>
      </c>
      <c r="H316" s="23" t="str">
        <f ca="1">IFERROR(VLOOKUP(Tabela4[[#This Row],[Cabo]],BD!A:V,3,0),"")</f>
        <v/>
      </c>
      <c r="I316" s="23" t="str">
        <f ca="1">IFERROR(VLOOKUP(Tabela4[[#This Row],[Cabo]],BD!A:V,4,0),"")</f>
        <v/>
      </c>
      <c r="J316" s="23" t="str">
        <f ca="1">IFERROR(VLOOKUP(Tabela4[[#This Row],[Cabo]],BD!A:V,7,0),"")</f>
        <v/>
      </c>
      <c r="K31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6" s="23" t="str">
        <f ca="1">IFERROR(VLOOKUP(Tabela4[[#This Row],[Cabo]],BD!A:V,9,0),"")</f>
        <v/>
      </c>
      <c r="M316" s="23" t="str">
        <f ca="1">IFERROR(VLOOKUP(Tabela4[[#This Row],[Cabo]],BD!A:AD,30,0),"")</f>
        <v/>
      </c>
      <c r="N316" s="23" t="str">
        <f ca="1">IF(SUMIF('Lançamento de Cabos'!B:B,Tabela4[[#This Row],[Cabo]],'Lançamento de Cabos'!C:C)=0,"",SUMIF('Lançamento de Cabos'!B:B,Tabela4[[#This Row],[Cabo]],'Lançamento de Cabos'!C:C))</f>
        <v/>
      </c>
      <c r="O316" s="28" t="str">
        <f ca="1">IFERROR(IF(Tabela4[[#This Row],[Compr. Lançado]]/Tabela4[[#This Row],[Compr. Prev.]]&gt;1,1,Tabela4[[#This Row],[Compr. Lançado]]/Tabela4[[#This Row],[Compr. Prev.]]),"")</f>
        <v/>
      </c>
      <c r="P316" s="24" t="str">
        <f ca="1">IFERROR(VLOOKUP(Tabela4[[#This Row],[Cabo]],BD!A:V,11,0),"")</f>
        <v/>
      </c>
      <c r="Q316" s="24" t="str">
        <f ca="1">IFERROR(VLOOKUP(Tabela4[[#This Row],[Cabo]],BD!A:V,12,0),"")</f>
        <v/>
      </c>
      <c r="R31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6" s="23" t="str">
        <f ca="1">IF(Tabela4[[#This Row],[Cabo]]&lt;&gt;"",4-COUNTIF(Tabela4[[#This Row],[Teste de Continuidade]:[Hipot]],"---"),"")</f>
        <v/>
      </c>
      <c r="W316" s="29" t="str">
        <f ca="1">IF(Tabela4[[#This Row],[Cabo]]&lt;&gt;"",(COUNTIF(Tabela4[[#This Row],[Teste de Continuidade]:[Hipot]],"OK"))/(4-COUNTIF(Tabela4[[#This Row],[Teste de Continuidade]:[Hipot]],"---")),"")</f>
        <v/>
      </c>
      <c r="X316" s="23" t="str">
        <f ca="1">IF(Tabela4[[#This Row],[Cabo]]&lt;&gt;"",SUMIFS('Lançamento de Cabos'!$AF:$AF,'Lançamento de Cabos'!AE:AE,Tabela4[[#This Row],[Cabo]],'Lançamento de Cabos'!AJ:AJ,Área!$B$1),"")</f>
        <v/>
      </c>
      <c r="Y316" s="23" t="str">
        <f ca="1">IF(Tabela4[[#This Row],[Cabo]]&lt;&gt;"",SUMIFS('Lançamento de Cabos'!$AG:$AG,'Lançamento de Cabos'!AE:AE,Tabela4[[#This Row],[Cabo]],'Lançamento de Cabos'!AJ:AJ,Área!$B$1),"")</f>
        <v/>
      </c>
      <c r="Z316" s="23" t="e">
        <f ca="1">VLOOKUP(Tabela4[[#This Row],[Cabo]],BD!A:AB,28,0)</f>
        <v>#N/A</v>
      </c>
    </row>
    <row r="317" spans="3:26" x14ac:dyDescent="0.25">
      <c r="C317" s="391" t="str">
        <f ca="1">IF($B$1="Geral",Tabela1[[#This Row],[Tag do Cabo]],IFERROR(INDEX(INDIRECT("BD!$A"&amp;D317&amp;":$A100000"),E317,1),""))</f>
        <v/>
      </c>
      <c r="D317" s="391" t="str">
        <f t="shared" ca="1" si="14"/>
        <v/>
      </c>
      <c r="E317" s="391" t="str">
        <f t="shared" ca="1" si="15"/>
        <v/>
      </c>
      <c r="F317" s="23" t="str">
        <f ca="1">IFERROR(VLOOKUP(Tabela4[[#This Row],[Cabo]],BD!A:V,2,0),"")</f>
        <v/>
      </c>
      <c r="G317" s="391" t="str">
        <f ca="1">IFERROR(VLOOKUP(Tabela4[[#This Row],[Cabo]],BD!A:V,5,0),"")</f>
        <v/>
      </c>
      <c r="H317" s="23" t="str">
        <f ca="1">IFERROR(VLOOKUP(Tabela4[[#This Row],[Cabo]],BD!A:V,3,0),"")</f>
        <v/>
      </c>
      <c r="I317" s="23" t="str">
        <f ca="1">IFERROR(VLOOKUP(Tabela4[[#This Row],[Cabo]],BD!A:V,4,0),"")</f>
        <v/>
      </c>
      <c r="J317" s="23" t="str">
        <f ca="1">IFERROR(VLOOKUP(Tabela4[[#This Row],[Cabo]],BD!A:V,7,0),"")</f>
        <v/>
      </c>
      <c r="K31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7" s="23" t="str">
        <f ca="1">IFERROR(VLOOKUP(Tabela4[[#This Row],[Cabo]],BD!A:V,9,0),"")</f>
        <v/>
      </c>
      <c r="M317" s="23" t="str">
        <f ca="1">IFERROR(VLOOKUP(Tabela4[[#This Row],[Cabo]],BD!A:AD,30,0),"")</f>
        <v/>
      </c>
      <c r="N317" s="23" t="str">
        <f ca="1">IF(SUMIF('Lançamento de Cabos'!B:B,Tabela4[[#This Row],[Cabo]],'Lançamento de Cabos'!C:C)=0,"",SUMIF('Lançamento de Cabos'!B:B,Tabela4[[#This Row],[Cabo]],'Lançamento de Cabos'!C:C))</f>
        <v/>
      </c>
      <c r="O317" s="28" t="str">
        <f ca="1">IFERROR(IF(Tabela4[[#This Row],[Compr. Lançado]]/Tabela4[[#This Row],[Compr. Prev.]]&gt;1,1,Tabela4[[#This Row],[Compr. Lançado]]/Tabela4[[#This Row],[Compr. Prev.]]),"")</f>
        <v/>
      </c>
      <c r="P317" s="24" t="str">
        <f ca="1">IFERROR(VLOOKUP(Tabela4[[#This Row],[Cabo]],BD!A:V,11,0),"")</f>
        <v/>
      </c>
      <c r="Q317" s="24" t="str">
        <f ca="1">IFERROR(VLOOKUP(Tabela4[[#This Row],[Cabo]],BD!A:V,12,0),"")</f>
        <v/>
      </c>
      <c r="R31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7" s="23" t="str">
        <f ca="1">IF(Tabela4[[#This Row],[Cabo]]&lt;&gt;"",4-COUNTIF(Tabela4[[#This Row],[Teste de Continuidade]:[Hipot]],"---"),"")</f>
        <v/>
      </c>
      <c r="W317" s="29" t="str">
        <f ca="1">IF(Tabela4[[#This Row],[Cabo]]&lt;&gt;"",(COUNTIF(Tabela4[[#This Row],[Teste de Continuidade]:[Hipot]],"OK"))/(4-COUNTIF(Tabela4[[#This Row],[Teste de Continuidade]:[Hipot]],"---")),"")</f>
        <v/>
      </c>
      <c r="X317" s="23" t="str">
        <f ca="1">IF(Tabela4[[#This Row],[Cabo]]&lt;&gt;"",SUMIFS('Lançamento de Cabos'!$AF:$AF,'Lançamento de Cabos'!AE:AE,Tabela4[[#This Row],[Cabo]],'Lançamento de Cabos'!AJ:AJ,Área!$B$1),"")</f>
        <v/>
      </c>
      <c r="Y317" s="23" t="str">
        <f ca="1">IF(Tabela4[[#This Row],[Cabo]]&lt;&gt;"",SUMIFS('Lançamento de Cabos'!$AG:$AG,'Lançamento de Cabos'!AE:AE,Tabela4[[#This Row],[Cabo]],'Lançamento de Cabos'!AJ:AJ,Área!$B$1),"")</f>
        <v/>
      </c>
      <c r="Z317" s="23" t="e">
        <f ca="1">VLOOKUP(Tabela4[[#This Row],[Cabo]],BD!A:AB,28,0)</f>
        <v>#N/A</v>
      </c>
    </row>
    <row r="318" spans="3:26" x14ac:dyDescent="0.25">
      <c r="C318" s="391" t="str">
        <f ca="1">IF($B$1="Geral",Tabela1[[#This Row],[Tag do Cabo]],IFERROR(INDEX(INDIRECT("BD!$A"&amp;D318&amp;":$A100000"),E318,1),""))</f>
        <v/>
      </c>
      <c r="D318" s="391" t="str">
        <f t="shared" ca="1" si="14"/>
        <v/>
      </c>
      <c r="E318" s="391" t="str">
        <f t="shared" ca="1" si="15"/>
        <v/>
      </c>
      <c r="F318" s="23" t="str">
        <f ca="1">IFERROR(VLOOKUP(Tabela4[[#This Row],[Cabo]],BD!A:V,2,0),"")</f>
        <v/>
      </c>
      <c r="G318" s="391" t="str">
        <f ca="1">IFERROR(VLOOKUP(Tabela4[[#This Row],[Cabo]],BD!A:V,5,0),"")</f>
        <v/>
      </c>
      <c r="H318" s="23" t="str">
        <f ca="1">IFERROR(VLOOKUP(Tabela4[[#This Row],[Cabo]],BD!A:V,3,0),"")</f>
        <v/>
      </c>
      <c r="I318" s="23" t="str">
        <f ca="1">IFERROR(VLOOKUP(Tabela4[[#This Row],[Cabo]],BD!A:V,4,0),"")</f>
        <v/>
      </c>
      <c r="J318" s="23" t="str">
        <f ca="1">IFERROR(VLOOKUP(Tabela4[[#This Row],[Cabo]],BD!A:V,7,0),"")</f>
        <v/>
      </c>
      <c r="K31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8" s="23" t="str">
        <f ca="1">IFERROR(VLOOKUP(Tabela4[[#This Row],[Cabo]],BD!A:V,9,0),"")</f>
        <v/>
      </c>
      <c r="M318" s="23" t="str">
        <f ca="1">IFERROR(VLOOKUP(Tabela4[[#This Row],[Cabo]],BD!A:AD,30,0),"")</f>
        <v/>
      </c>
      <c r="N318" s="23" t="str">
        <f ca="1">IF(SUMIF('Lançamento de Cabos'!B:B,Tabela4[[#This Row],[Cabo]],'Lançamento de Cabos'!C:C)=0,"",SUMIF('Lançamento de Cabos'!B:B,Tabela4[[#This Row],[Cabo]],'Lançamento de Cabos'!C:C))</f>
        <v/>
      </c>
      <c r="O318" s="28" t="str">
        <f ca="1">IFERROR(IF(Tabela4[[#This Row],[Compr. Lançado]]/Tabela4[[#This Row],[Compr. Prev.]]&gt;1,1,Tabela4[[#This Row],[Compr. Lançado]]/Tabela4[[#This Row],[Compr. Prev.]]),"")</f>
        <v/>
      </c>
      <c r="P318" s="24" t="str">
        <f ca="1">IFERROR(VLOOKUP(Tabela4[[#This Row],[Cabo]],BD!A:V,11,0),"")</f>
        <v/>
      </c>
      <c r="Q318" s="24" t="str">
        <f ca="1">IFERROR(VLOOKUP(Tabela4[[#This Row],[Cabo]],BD!A:V,12,0),"")</f>
        <v/>
      </c>
      <c r="R31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8" s="23" t="str">
        <f ca="1">IF(Tabela4[[#This Row],[Cabo]]&lt;&gt;"",4-COUNTIF(Tabela4[[#This Row],[Teste de Continuidade]:[Hipot]],"---"),"")</f>
        <v/>
      </c>
      <c r="W318" s="29" t="str">
        <f ca="1">IF(Tabela4[[#This Row],[Cabo]]&lt;&gt;"",(COUNTIF(Tabela4[[#This Row],[Teste de Continuidade]:[Hipot]],"OK"))/(4-COUNTIF(Tabela4[[#This Row],[Teste de Continuidade]:[Hipot]],"---")),"")</f>
        <v/>
      </c>
      <c r="X318" s="23" t="str">
        <f ca="1">IF(Tabela4[[#This Row],[Cabo]]&lt;&gt;"",SUMIFS('Lançamento de Cabos'!$AF:$AF,'Lançamento de Cabos'!AE:AE,Tabela4[[#This Row],[Cabo]],'Lançamento de Cabos'!AJ:AJ,Área!$B$1),"")</f>
        <v/>
      </c>
      <c r="Y318" s="23" t="str">
        <f ca="1">IF(Tabela4[[#This Row],[Cabo]]&lt;&gt;"",SUMIFS('Lançamento de Cabos'!$AG:$AG,'Lançamento de Cabos'!AE:AE,Tabela4[[#This Row],[Cabo]],'Lançamento de Cabos'!AJ:AJ,Área!$B$1),"")</f>
        <v/>
      </c>
      <c r="Z318" s="23" t="e">
        <f ca="1">VLOOKUP(Tabela4[[#This Row],[Cabo]],BD!A:AB,28,0)</f>
        <v>#N/A</v>
      </c>
    </row>
    <row r="319" spans="3:26" x14ac:dyDescent="0.25">
      <c r="C319" s="391" t="str">
        <f ca="1">IF($B$1="Geral",Tabela1[[#This Row],[Tag do Cabo]],IFERROR(INDEX(INDIRECT("BD!$A"&amp;D319&amp;":$A100000"),E319,1),""))</f>
        <v/>
      </c>
      <c r="D319" s="391" t="str">
        <f t="shared" ca="1" si="14"/>
        <v/>
      </c>
      <c r="E319" s="391" t="str">
        <f t="shared" ca="1" si="15"/>
        <v/>
      </c>
      <c r="F319" s="23" t="str">
        <f ca="1">IFERROR(VLOOKUP(Tabela4[[#This Row],[Cabo]],BD!A:V,2,0),"")</f>
        <v/>
      </c>
      <c r="G319" s="391" t="str">
        <f ca="1">IFERROR(VLOOKUP(Tabela4[[#This Row],[Cabo]],BD!A:V,5,0),"")</f>
        <v/>
      </c>
      <c r="H319" s="23" t="str">
        <f ca="1">IFERROR(VLOOKUP(Tabela4[[#This Row],[Cabo]],BD!A:V,3,0),"")</f>
        <v/>
      </c>
      <c r="I319" s="23" t="str">
        <f ca="1">IFERROR(VLOOKUP(Tabela4[[#This Row],[Cabo]],BD!A:V,4,0),"")</f>
        <v/>
      </c>
      <c r="J319" s="23" t="str">
        <f ca="1">IFERROR(VLOOKUP(Tabela4[[#This Row],[Cabo]],BD!A:V,7,0),"")</f>
        <v/>
      </c>
      <c r="K31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19" s="23" t="str">
        <f ca="1">IFERROR(VLOOKUP(Tabela4[[#This Row],[Cabo]],BD!A:V,9,0),"")</f>
        <v/>
      </c>
      <c r="M319" s="23" t="str">
        <f ca="1">IFERROR(VLOOKUP(Tabela4[[#This Row],[Cabo]],BD!A:AD,30,0),"")</f>
        <v/>
      </c>
      <c r="N319" s="23" t="str">
        <f ca="1">IF(SUMIF('Lançamento de Cabos'!B:B,Tabela4[[#This Row],[Cabo]],'Lançamento de Cabos'!C:C)=0,"",SUMIF('Lançamento de Cabos'!B:B,Tabela4[[#This Row],[Cabo]],'Lançamento de Cabos'!C:C))</f>
        <v/>
      </c>
      <c r="O319" s="28" t="str">
        <f ca="1">IFERROR(IF(Tabela4[[#This Row],[Compr. Lançado]]/Tabela4[[#This Row],[Compr. Prev.]]&gt;1,1,Tabela4[[#This Row],[Compr. Lançado]]/Tabela4[[#This Row],[Compr. Prev.]]),"")</f>
        <v/>
      </c>
      <c r="P319" s="24" t="str">
        <f ca="1">IFERROR(VLOOKUP(Tabela4[[#This Row],[Cabo]],BD!A:V,11,0),"")</f>
        <v/>
      </c>
      <c r="Q319" s="24" t="str">
        <f ca="1">IFERROR(VLOOKUP(Tabela4[[#This Row],[Cabo]],BD!A:V,12,0),"")</f>
        <v/>
      </c>
      <c r="R31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1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1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1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19" s="23" t="str">
        <f ca="1">IF(Tabela4[[#This Row],[Cabo]]&lt;&gt;"",4-COUNTIF(Tabela4[[#This Row],[Teste de Continuidade]:[Hipot]],"---"),"")</f>
        <v/>
      </c>
      <c r="W319" s="29" t="str">
        <f ca="1">IF(Tabela4[[#This Row],[Cabo]]&lt;&gt;"",(COUNTIF(Tabela4[[#This Row],[Teste de Continuidade]:[Hipot]],"OK"))/(4-COUNTIF(Tabela4[[#This Row],[Teste de Continuidade]:[Hipot]],"---")),"")</f>
        <v/>
      </c>
      <c r="X319" s="23" t="str">
        <f ca="1">IF(Tabela4[[#This Row],[Cabo]]&lt;&gt;"",SUMIFS('Lançamento de Cabos'!$AF:$AF,'Lançamento de Cabos'!AE:AE,Tabela4[[#This Row],[Cabo]],'Lançamento de Cabos'!AJ:AJ,Área!$B$1),"")</f>
        <v/>
      </c>
      <c r="Y319" s="23" t="str">
        <f ca="1">IF(Tabela4[[#This Row],[Cabo]]&lt;&gt;"",SUMIFS('Lançamento de Cabos'!$AG:$AG,'Lançamento de Cabos'!AE:AE,Tabela4[[#This Row],[Cabo]],'Lançamento de Cabos'!AJ:AJ,Área!$B$1),"")</f>
        <v/>
      </c>
      <c r="Z319" s="23" t="e">
        <f ca="1">VLOOKUP(Tabela4[[#This Row],[Cabo]],BD!A:AB,28,0)</f>
        <v>#N/A</v>
      </c>
    </row>
    <row r="320" spans="3:26" x14ac:dyDescent="0.25">
      <c r="C320" s="391" t="str">
        <f ca="1">IF($B$1="Geral",Tabela1[[#This Row],[Tag do Cabo]],IFERROR(INDEX(INDIRECT("BD!$A"&amp;D320&amp;":$A100000"),E320,1),""))</f>
        <v/>
      </c>
      <c r="D320" s="391" t="str">
        <f t="shared" ca="1" si="14"/>
        <v/>
      </c>
      <c r="E320" s="391" t="str">
        <f t="shared" ca="1" si="15"/>
        <v/>
      </c>
      <c r="F320" s="23" t="str">
        <f ca="1">IFERROR(VLOOKUP(Tabela4[[#This Row],[Cabo]],BD!A:V,2,0),"")</f>
        <v/>
      </c>
      <c r="G320" s="391" t="str">
        <f ca="1">IFERROR(VLOOKUP(Tabela4[[#This Row],[Cabo]],BD!A:V,5,0),"")</f>
        <v/>
      </c>
      <c r="H320" s="23" t="str">
        <f ca="1">IFERROR(VLOOKUP(Tabela4[[#This Row],[Cabo]],BD!A:V,3,0),"")</f>
        <v/>
      </c>
      <c r="I320" s="23" t="str">
        <f ca="1">IFERROR(VLOOKUP(Tabela4[[#This Row],[Cabo]],BD!A:V,4,0),"")</f>
        <v/>
      </c>
      <c r="J320" s="23" t="str">
        <f ca="1">IFERROR(VLOOKUP(Tabela4[[#This Row],[Cabo]],BD!A:V,7,0),"")</f>
        <v/>
      </c>
      <c r="K32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0" s="23" t="str">
        <f ca="1">IFERROR(VLOOKUP(Tabela4[[#This Row],[Cabo]],BD!A:V,9,0),"")</f>
        <v/>
      </c>
      <c r="M320" s="23" t="str">
        <f ca="1">IFERROR(VLOOKUP(Tabela4[[#This Row],[Cabo]],BD!A:AD,30,0),"")</f>
        <v/>
      </c>
      <c r="N320" s="23" t="str">
        <f ca="1">IF(SUMIF('Lançamento de Cabos'!B:B,Tabela4[[#This Row],[Cabo]],'Lançamento de Cabos'!C:C)=0,"",SUMIF('Lançamento de Cabos'!B:B,Tabela4[[#This Row],[Cabo]],'Lançamento de Cabos'!C:C))</f>
        <v/>
      </c>
      <c r="O320" s="28" t="str">
        <f ca="1">IFERROR(IF(Tabela4[[#This Row],[Compr. Lançado]]/Tabela4[[#This Row],[Compr. Prev.]]&gt;1,1,Tabela4[[#This Row],[Compr. Lançado]]/Tabela4[[#This Row],[Compr. Prev.]]),"")</f>
        <v/>
      </c>
      <c r="P320" s="24" t="str">
        <f ca="1">IFERROR(VLOOKUP(Tabela4[[#This Row],[Cabo]],BD!A:V,11,0),"")</f>
        <v/>
      </c>
      <c r="Q320" s="24" t="str">
        <f ca="1">IFERROR(VLOOKUP(Tabela4[[#This Row],[Cabo]],BD!A:V,12,0),"")</f>
        <v/>
      </c>
      <c r="R32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0" s="23" t="str">
        <f ca="1">IF(Tabela4[[#This Row],[Cabo]]&lt;&gt;"",4-COUNTIF(Tabela4[[#This Row],[Teste de Continuidade]:[Hipot]],"---"),"")</f>
        <v/>
      </c>
      <c r="W320" s="29" t="str">
        <f ca="1">IF(Tabela4[[#This Row],[Cabo]]&lt;&gt;"",(COUNTIF(Tabela4[[#This Row],[Teste de Continuidade]:[Hipot]],"OK"))/(4-COUNTIF(Tabela4[[#This Row],[Teste de Continuidade]:[Hipot]],"---")),"")</f>
        <v/>
      </c>
      <c r="X320" s="23" t="str">
        <f ca="1">IF(Tabela4[[#This Row],[Cabo]]&lt;&gt;"",SUMIFS('Lançamento de Cabos'!$AF:$AF,'Lançamento de Cabos'!AE:AE,Tabela4[[#This Row],[Cabo]],'Lançamento de Cabos'!AJ:AJ,Área!$B$1),"")</f>
        <v/>
      </c>
      <c r="Y320" s="23" t="str">
        <f ca="1">IF(Tabela4[[#This Row],[Cabo]]&lt;&gt;"",SUMIFS('Lançamento de Cabos'!$AG:$AG,'Lançamento de Cabos'!AE:AE,Tabela4[[#This Row],[Cabo]],'Lançamento de Cabos'!AJ:AJ,Área!$B$1),"")</f>
        <v/>
      </c>
      <c r="Z320" s="23" t="e">
        <f ca="1">VLOOKUP(Tabela4[[#This Row],[Cabo]],BD!A:AB,28,0)</f>
        <v>#N/A</v>
      </c>
    </row>
    <row r="321" spans="3:26" x14ac:dyDescent="0.25">
      <c r="C321" s="391" t="str">
        <f ca="1">IF($B$1="Geral",Tabela1[[#This Row],[Tag do Cabo]],IFERROR(INDEX(INDIRECT("BD!$A"&amp;D321&amp;":$A100000"),E321,1),""))</f>
        <v/>
      </c>
      <c r="D321" s="391" t="str">
        <f t="shared" ca="1" si="14"/>
        <v/>
      </c>
      <c r="E321" s="391" t="str">
        <f t="shared" ca="1" si="15"/>
        <v/>
      </c>
      <c r="F321" s="23" t="str">
        <f ca="1">IFERROR(VLOOKUP(Tabela4[[#This Row],[Cabo]],BD!A:V,2,0),"")</f>
        <v/>
      </c>
      <c r="G321" s="391" t="str">
        <f ca="1">IFERROR(VLOOKUP(Tabela4[[#This Row],[Cabo]],BD!A:V,5,0),"")</f>
        <v/>
      </c>
      <c r="H321" s="23" t="str">
        <f ca="1">IFERROR(VLOOKUP(Tabela4[[#This Row],[Cabo]],BD!A:V,3,0),"")</f>
        <v/>
      </c>
      <c r="I321" s="23" t="str">
        <f ca="1">IFERROR(VLOOKUP(Tabela4[[#This Row],[Cabo]],BD!A:V,4,0),"")</f>
        <v/>
      </c>
      <c r="J321" s="23" t="str">
        <f ca="1">IFERROR(VLOOKUP(Tabela4[[#This Row],[Cabo]],BD!A:V,7,0),"")</f>
        <v/>
      </c>
      <c r="K32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1" s="23" t="str">
        <f ca="1">IFERROR(VLOOKUP(Tabela4[[#This Row],[Cabo]],BD!A:V,9,0),"")</f>
        <v/>
      </c>
      <c r="M321" s="23" t="str">
        <f ca="1">IFERROR(VLOOKUP(Tabela4[[#This Row],[Cabo]],BD!A:AD,30,0),"")</f>
        <v/>
      </c>
      <c r="N321" s="23" t="str">
        <f ca="1">IF(SUMIF('Lançamento de Cabos'!B:B,Tabela4[[#This Row],[Cabo]],'Lançamento de Cabos'!C:C)=0,"",SUMIF('Lançamento de Cabos'!B:B,Tabela4[[#This Row],[Cabo]],'Lançamento de Cabos'!C:C))</f>
        <v/>
      </c>
      <c r="O321" s="28" t="str">
        <f ca="1">IFERROR(IF(Tabela4[[#This Row],[Compr. Lançado]]/Tabela4[[#This Row],[Compr. Prev.]]&gt;1,1,Tabela4[[#This Row],[Compr. Lançado]]/Tabela4[[#This Row],[Compr. Prev.]]),"")</f>
        <v/>
      </c>
      <c r="P321" s="24" t="str">
        <f ca="1">IFERROR(VLOOKUP(Tabela4[[#This Row],[Cabo]],BD!A:V,11,0),"")</f>
        <v/>
      </c>
      <c r="Q321" s="24" t="str">
        <f ca="1">IFERROR(VLOOKUP(Tabela4[[#This Row],[Cabo]],BD!A:V,12,0),"")</f>
        <v/>
      </c>
      <c r="R32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1" s="23" t="str">
        <f ca="1">IF(Tabela4[[#This Row],[Cabo]]&lt;&gt;"",4-COUNTIF(Tabela4[[#This Row],[Teste de Continuidade]:[Hipot]],"---"),"")</f>
        <v/>
      </c>
      <c r="W321" s="29" t="str">
        <f ca="1">IF(Tabela4[[#This Row],[Cabo]]&lt;&gt;"",(COUNTIF(Tabela4[[#This Row],[Teste de Continuidade]:[Hipot]],"OK"))/(4-COUNTIF(Tabela4[[#This Row],[Teste de Continuidade]:[Hipot]],"---")),"")</f>
        <v/>
      </c>
      <c r="X321" s="23" t="str">
        <f ca="1">IF(Tabela4[[#This Row],[Cabo]]&lt;&gt;"",SUMIFS('Lançamento de Cabos'!$AF:$AF,'Lançamento de Cabos'!AE:AE,Tabela4[[#This Row],[Cabo]],'Lançamento de Cabos'!AJ:AJ,Área!$B$1),"")</f>
        <v/>
      </c>
      <c r="Y321" s="23" t="str">
        <f ca="1">IF(Tabela4[[#This Row],[Cabo]]&lt;&gt;"",SUMIFS('Lançamento de Cabos'!$AG:$AG,'Lançamento de Cabos'!AE:AE,Tabela4[[#This Row],[Cabo]],'Lançamento de Cabos'!AJ:AJ,Área!$B$1),"")</f>
        <v/>
      </c>
      <c r="Z321" s="23" t="e">
        <f ca="1">VLOOKUP(Tabela4[[#This Row],[Cabo]],BD!A:AB,28,0)</f>
        <v>#N/A</v>
      </c>
    </row>
    <row r="322" spans="3:26" x14ac:dyDescent="0.25">
      <c r="C322" s="391" t="str">
        <f ca="1">IF($B$1="Geral",Tabela1[[#This Row],[Tag do Cabo]],IFERROR(INDEX(INDIRECT("BD!$A"&amp;D322&amp;":$A100000"),E322,1),""))</f>
        <v/>
      </c>
      <c r="D322" s="391" t="str">
        <f t="shared" ca="1" si="14"/>
        <v/>
      </c>
      <c r="E322" s="391" t="str">
        <f t="shared" ca="1" si="15"/>
        <v/>
      </c>
      <c r="F322" s="23" t="str">
        <f ca="1">IFERROR(VLOOKUP(Tabela4[[#This Row],[Cabo]],BD!A:V,2,0),"")</f>
        <v/>
      </c>
      <c r="G322" s="391" t="str">
        <f ca="1">IFERROR(VLOOKUP(Tabela4[[#This Row],[Cabo]],BD!A:V,5,0),"")</f>
        <v/>
      </c>
      <c r="H322" s="23" t="str">
        <f ca="1">IFERROR(VLOOKUP(Tabela4[[#This Row],[Cabo]],BD!A:V,3,0),"")</f>
        <v/>
      </c>
      <c r="I322" s="23" t="str">
        <f ca="1">IFERROR(VLOOKUP(Tabela4[[#This Row],[Cabo]],BD!A:V,4,0),"")</f>
        <v/>
      </c>
      <c r="J322" s="23" t="str">
        <f ca="1">IFERROR(VLOOKUP(Tabela4[[#This Row],[Cabo]],BD!A:V,7,0),"")</f>
        <v/>
      </c>
      <c r="K32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2" s="23" t="str">
        <f ca="1">IFERROR(VLOOKUP(Tabela4[[#This Row],[Cabo]],BD!A:V,9,0),"")</f>
        <v/>
      </c>
      <c r="M322" s="23" t="str">
        <f ca="1">IFERROR(VLOOKUP(Tabela4[[#This Row],[Cabo]],BD!A:AD,30,0),"")</f>
        <v/>
      </c>
      <c r="N322" s="23" t="str">
        <f ca="1">IF(SUMIF('Lançamento de Cabos'!B:B,Tabela4[[#This Row],[Cabo]],'Lançamento de Cabos'!C:C)=0,"",SUMIF('Lançamento de Cabos'!B:B,Tabela4[[#This Row],[Cabo]],'Lançamento de Cabos'!C:C))</f>
        <v/>
      </c>
      <c r="O322" s="28" t="str">
        <f ca="1">IFERROR(IF(Tabela4[[#This Row],[Compr. Lançado]]/Tabela4[[#This Row],[Compr. Prev.]]&gt;1,1,Tabela4[[#This Row],[Compr. Lançado]]/Tabela4[[#This Row],[Compr. Prev.]]),"")</f>
        <v/>
      </c>
      <c r="P322" s="24" t="str">
        <f ca="1">IFERROR(VLOOKUP(Tabela4[[#This Row],[Cabo]],BD!A:V,11,0),"")</f>
        <v/>
      </c>
      <c r="Q322" s="24" t="str">
        <f ca="1">IFERROR(VLOOKUP(Tabela4[[#This Row],[Cabo]],BD!A:V,12,0),"")</f>
        <v/>
      </c>
      <c r="R32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2" s="23" t="str">
        <f ca="1">IF(Tabela4[[#This Row],[Cabo]]&lt;&gt;"",4-COUNTIF(Tabela4[[#This Row],[Teste de Continuidade]:[Hipot]],"---"),"")</f>
        <v/>
      </c>
      <c r="W322" s="29" t="str">
        <f ca="1">IF(Tabela4[[#This Row],[Cabo]]&lt;&gt;"",(COUNTIF(Tabela4[[#This Row],[Teste de Continuidade]:[Hipot]],"OK"))/(4-COUNTIF(Tabela4[[#This Row],[Teste de Continuidade]:[Hipot]],"---")),"")</f>
        <v/>
      </c>
      <c r="X322" s="23" t="str">
        <f ca="1">IF(Tabela4[[#This Row],[Cabo]]&lt;&gt;"",SUMIFS('Lançamento de Cabos'!$AF:$AF,'Lançamento de Cabos'!AE:AE,Tabela4[[#This Row],[Cabo]],'Lançamento de Cabos'!AJ:AJ,Área!$B$1),"")</f>
        <v/>
      </c>
      <c r="Y322" s="23" t="str">
        <f ca="1">IF(Tabela4[[#This Row],[Cabo]]&lt;&gt;"",SUMIFS('Lançamento de Cabos'!$AG:$AG,'Lançamento de Cabos'!AE:AE,Tabela4[[#This Row],[Cabo]],'Lançamento de Cabos'!AJ:AJ,Área!$B$1),"")</f>
        <v/>
      </c>
      <c r="Z322" s="23" t="e">
        <f ca="1">VLOOKUP(Tabela4[[#This Row],[Cabo]],BD!A:AB,28,0)</f>
        <v>#N/A</v>
      </c>
    </row>
    <row r="323" spans="3:26" x14ac:dyDescent="0.25">
      <c r="C323" s="391" t="str">
        <f ca="1">IF($B$1="Geral",Tabela1[[#This Row],[Tag do Cabo]],IFERROR(INDEX(INDIRECT("BD!$A"&amp;D323&amp;":$A100000"),E323,1),""))</f>
        <v/>
      </c>
      <c r="D323" s="391" t="str">
        <f t="shared" ca="1" si="14"/>
        <v/>
      </c>
      <c r="E323" s="391" t="str">
        <f t="shared" ca="1" si="15"/>
        <v/>
      </c>
      <c r="F323" s="23" t="str">
        <f ca="1">IFERROR(VLOOKUP(Tabela4[[#This Row],[Cabo]],BD!A:V,2,0),"")</f>
        <v/>
      </c>
      <c r="G323" s="391" t="str">
        <f ca="1">IFERROR(VLOOKUP(Tabela4[[#This Row],[Cabo]],BD!A:V,5,0),"")</f>
        <v/>
      </c>
      <c r="H323" s="23" t="str">
        <f ca="1">IFERROR(VLOOKUP(Tabela4[[#This Row],[Cabo]],BD!A:V,3,0),"")</f>
        <v/>
      </c>
      <c r="I323" s="23" t="str">
        <f ca="1">IFERROR(VLOOKUP(Tabela4[[#This Row],[Cabo]],BD!A:V,4,0),"")</f>
        <v/>
      </c>
      <c r="J323" s="23" t="str">
        <f ca="1">IFERROR(VLOOKUP(Tabela4[[#This Row],[Cabo]],BD!A:V,7,0),"")</f>
        <v/>
      </c>
      <c r="K32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3" s="23" t="str">
        <f ca="1">IFERROR(VLOOKUP(Tabela4[[#This Row],[Cabo]],BD!A:V,9,0),"")</f>
        <v/>
      </c>
      <c r="M323" s="23" t="str">
        <f ca="1">IFERROR(VLOOKUP(Tabela4[[#This Row],[Cabo]],BD!A:AD,30,0),"")</f>
        <v/>
      </c>
      <c r="N323" s="23" t="str">
        <f ca="1">IF(SUMIF('Lançamento de Cabos'!B:B,Tabela4[[#This Row],[Cabo]],'Lançamento de Cabos'!C:C)=0,"",SUMIF('Lançamento de Cabos'!B:B,Tabela4[[#This Row],[Cabo]],'Lançamento de Cabos'!C:C))</f>
        <v/>
      </c>
      <c r="O323" s="28" t="str">
        <f ca="1">IFERROR(IF(Tabela4[[#This Row],[Compr. Lançado]]/Tabela4[[#This Row],[Compr. Prev.]]&gt;1,1,Tabela4[[#This Row],[Compr. Lançado]]/Tabela4[[#This Row],[Compr. Prev.]]),"")</f>
        <v/>
      </c>
      <c r="P323" s="24" t="str">
        <f ca="1">IFERROR(VLOOKUP(Tabela4[[#This Row],[Cabo]],BD!A:V,11,0),"")</f>
        <v/>
      </c>
      <c r="Q323" s="24" t="str">
        <f ca="1">IFERROR(VLOOKUP(Tabela4[[#This Row],[Cabo]],BD!A:V,12,0),"")</f>
        <v/>
      </c>
      <c r="R32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3" s="23" t="str">
        <f ca="1">IF(Tabela4[[#This Row],[Cabo]]&lt;&gt;"",4-COUNTIF(Tabela4[[#This Row],[Teste de Continuidade]:[Hipot]],"---"),"")</f>
        <v/>
      </c>
      <c r="W323" s="29" t="str">
        <f ca="1">IF(Tabela4[[#This Row],[Cabo]]&lt;&gt;"",(COUNTIF(Tabela4[[#This Row],[Teste de Continuidade]:[Hipot]],"OK"))/(4-COUNTIF(Tabela4[[#This Row],[Teste de Continuidade]:[Hipot]],"---")),"")</f>
        <v/>
      </c>
      <c r="X323" s="23" t="str">
        <f ca="1">IF(Tabela4[[#This Row],[Cabo]]&lt;&gt;"",SUMIFS('Lançamento de Cabos'!$AF:$AF,'Lançamento de Cabos'!AE:AE,Tabela4[[#This Row],[Cabo]],'Lançamento de Cabos'!AJ:AJ,Área!$B$1),"")</f>
        <v/>
      </c>
      <c r="Y323" s="23" t="str">
        <f ca="1">IF(Tabela4[[#This Row],[Cabo]]&lt;&gt;"",SUMIFS('Lançamento de Cabos'!$AG:$AG,'Lançamento de Cabos'!AE:AE,Tabela4[[#This Row],[Cabo]],'Lançamento de Cabos'!AJ:AJ,Área!$B$1),"")</f>
        <v/>
      </c>
      <c r="Z323" s="23" t="e">
        <f ca="1">VLOOKUP(Tabela4[[#This Row],[Cabo]],BD!A:AB,28,0)</f>
        <v>#N/A</v>
      </c>
    </row>
    <row r="324" spans="3:26" x14ac:dyDescent="0.25">
      <c r="C324" s="391" t="str">
        <f ca="1">IF($B$1="Geral",Tabela1[[#This Row],[Tag do Cabo]],IFERROR(INDEX(INDIRECT("BD!$A"&amp;D324&amp;":$A100000"),E324,1),""))</f>
        <v/>
      </c>
      <c r="D324" s="391" t="str">
        <f t="shared" ca="1" si="14"/>
        <v/>
      </c>
      <c r="E324" s="391" t="str">
        <f t="shared" ca="1" si="15"/>
        <v/>
      </c>
      <c r="F324" s="23" t="str">
        <f ca="1">IFERROR(VLOOKUP(Tabela4[[#This Row],[Cabo]],BD!A:V,2,0),"")</f>
        <v/>
      </c>
      <c r="G324" s="391" t="str">
        <f ca="1">IFERROR(VLOOKUP(Tabela4[[#This Row],[Cabo]],BD!A:V,5,0),"")</f>
        <v/>
      </c>
      <c r="H324" s="23" t="str">
        <f ca="1">IFERROR(VLOOKUP(Tabela4[[#This Row],[Cabo]],BD!A:V,3,0),"")</f>
        <v/>
      </c>
      <c r="I324" s="23" t="str">
        <f ca="1">IFERROR(VLOOKUP(Tabela4[[#This Row],[Cabo]],BD!A:V,4,0),"")</f>
        <v/>
      </c>
      <c r="J324" s="23" t="str">
        <f ca="1">IFERROR(VLOOKUP(Tabela4[[#This Row],[Cabo]],BD!A:V,7,0),"")</f>
        <v/>
      </c>
      <c r="K32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4" s="23" t="str">
        <f ca="1">IFERROR(VLOOKUP(Tabela4[[#This Row],[Cabo]],BD!A:V,9,0),"")</f>
        <v/>
      </c>
      <c r="M324" s="23" t="str">
        <f ca="1">IFERROR(VLOOKUP(Tabela4[[#This Row],[Cabo]],BD!A:AD,30,0),"")</f>
        <v/>
      </c>
      <c r="N324" s="23" t="str">
        <f ca="1">IF(SUMIF('Lançamento de Cabos'!B:B,Tabela4[[#This Row],[Cabo]],'Lançamento de Cabos'!C:C)=0,"",SUMIF('Lançamento de Cabos'!B:B,Tabela4[[#This Row],[Cabo]],'Lançamento de Cabos'!C:C))</f>
        <v/>
      </c>
      <c r="O324" s="28" t="str">
        <f ca="1">IFERROR(IF(Tabela4[[#This Row],[Compr. Lançado]]/Tabela4[[#This Row],[Compr. Prev.]]&gt;1,1,Tabela4[[#This Row],[Compr. Lançado]]/Tabela4[[#This Row],[Compr. Prev.]]),"")</f>
        <v/>
      </c>
      <c r="P324" s="24" t="str">
        <f ca="1">IFERROR(VLOOKUP(Tabela4[[#This Row],[Cabo]],BD!A:V,11,0),"")</f>
        <v/>
      </c>
      <c r="Q324" s="24" t="str">
        <f ca="1">IFERROR(VLOOKUP(Tabela4[[#This Row],[Cabo]],BD!A:V,12,0),"")</f>
        <v/>
      </c>
      <c r="R32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4" s="23" t="str">
        <f ca="1">IF(Tabela4[[#This Row],[Cabo]]&lt;&gt;"",4-COUNTIF(Tabela4[[#This Row],[Teste de Continuidade]:[Hipot]],"---"),"")</f>
        <v/>
      </c>
      <c r="W324" s="29" t="str">
        <f ca="1">IF(Tabela4[[#This Row],[Cabo]]&lt;&gt;"",(COUNTIF(Tabela4[[#This Row],[Teste de Continuidade]:[Hipot]],"OK"))/(4-COUNTIF(Tabela4[[#This Row],[Teste de Continuidade]:[Hipot]],"---")),"")</f>
        <v/>
      </c>
      <c r="X324" s="23" t="str">
        <f ca="1">IF(Tabela4[[#This Row],[Cabo]]&lt;&gt;"",SUMIFS('Lançamento de Cabos'!$AF:$AF,'Lançamento de Cabos'!AE:AE,Tabela4[[#This Row],[Cabo]],'Lançamento de Cabos'!AJ:AJ,Área!$B$1),"")</f>
        <v/>
      </c>
      <c r="Y324" s="23" t="str">
        <f ca="1">IF(Tabela4[[#This Row],[Cabo]]&lt;&gt;"",SUMIFS('Lançamento de Cabos'!$AG:$AG,'Lançamento de Cabos'!AE:AE,Tabela4[[#This Row],[Cabo]],'Lançamento de Cabos'!AJ:AJ,Área!$B$1),"")</f>
        <v/>
      </c>
      <c r="Z324" s="23" t="e">
        <f ca="1">VLOOKUP(Tabela4[[#This Row],[Cabo]],BD!A:AB,28,0)</f>
        <v>#N/A</v>
      </c>
    </row>
    <row r="325" spans="3:26" x14ac:dyDescent="0.25">
      <c r="C325" s="391" t="str">
        <f ca="1">IF($B$1="Geral",Tabela1[[#This Row],[Tag do Cabo]],IFERROR(INDEX(INDIRECT("BD!$A"&amp;D325&amp;":$A100000"),E325,1),""))</f>
        <v/>
      </c>
      <c r="D325" s="391" t="str">
        <f t="shared" ca="1" si="14"/>
        <v/>
      </c>
      <c r="E325" s="391" t="str">
        <f t="shared" ca="1" si="15"/>
        <v/>
      </c>
      <c r="F325" s="23" t="str">
        <f ca="1">IFERROR(VLOOKUP(Tabela4[[#This Row],[Cabo]],BD!A:V,2,0),"")</f>
        <v/>
      </c>
      <c r="G325" s="391" t="str">
        <f ca="1">IFERROR(VLOOKUP(Tabela4[[#This Row],[Cabo]],BD!A:V,5,0),"")</f>
        <v/>
      </c>
      <c r="H325" s="23" t="str">
        <f ca="1">IFERROR(VLOOKUP(Tabela4[[#This Row],[Cabo]],BD!A:V,3,0),"")</f>
        <v/>
      </c>
      <c r="I325" s="23" t="str">
        <f ca="1">IFERROR(VLOOKUP(Tabela4[[#This Row],[Cabo]],BD!A:V,4,0),"")</f>
        <v/>
      </c>
      <c r="J325" s="23" t="str">
        <f ca="1">IFERROR(VLOOKUP(Tabela4[[#This Row],[Cabo]],BD!A:V,7,0),"")</f>
        <v/>
      </c>
      <c r="K32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5" s="23" t="str">
        <f ca="1">IFERROR(VLOOKUP(Tabela4[[#This Row],[Cabo]],BD!A:V,9,0),"")</f>
        <v/>
      </c>
      <c r="M325" s="23" t="str">
        <f ca="1">IFERROR(VLOOKUP(Tabela4[[#This Row],[Cabo]],BD!A:AD,30,0),"")</f>
        <v/>
      </c>
      <c r="N325" s="23" t="str">
        <f ca="1">IF(SUMIF('Lançamento de Cabos'!B:B,Tabela4[[#This Row],[Cabo]],'Lançamento de Cabos'!C:C)=0,"",SUMIF('Lançamento de Cabos'!B:B,Tabela4[[#This Row],[Cabo]],'Lançamento de Cabos'!C:C))</f>
        <v/>
      </c>
      <c r="O325" s="28" t="str">
        <f ca="1">IFERROR(IF(Tabela4[[#This Row],[Compr. Lançado]]/Tabela4[[#This Row],[Compr. Prev.]]&gt;1,1,Tabela4[[#This Row],[Compr. Lançado]]/Tabela4[[#This Row],[Compr. Prev.]]),"")</f>
        <v/>
      </c>
      <c r="P325" s="24" t="str">
        <f ca="1">IFERROR(VLOOKUP(Tabela4[[#This Row],[Cabo]],BD!A:V,11,0),"")</f>
        <v/>
      </c>
      <c r="Q325" s="24" t="str">
        <f ca="1">IFERROR(VLOOKUP(Tabela4[[#This Row],[Cabo]],BD!A:V,12,0),"")</f>
        <v/>
      </c>
      <c r="R32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5" s="23" t="str">
        <f ca="1">IF(Tabela4[[#This Row],[Cabo]]&lt;&gt;"",4-COUNTIF(Tabela4[[#This Row],[Teste de Continuidade]:[Hipot]],"---"),"")</f>
        <v/>
      </c>
      <c r="W325" s="29" t="str">
        <f ca="1">IF(Tabela4[[#This Row],[Cabo]]&lt;&gt;"",(COUNTIF(Tabela4[[#This Row],[Teste de Continuidade]:[Hipot]],"OK"))/(4-COUNTIF(Tabela4[[#This Row],[Teste de Continuidade]:[Hipot]],"---")),"")</f>
        <v/>
      </c>
      <c r="X325" s="23" t="str">
        <f ca="1">IF(Tabela4[[#This Row],[Cabo]]&lt;&gt;"",SUMIFS('Lançamento de Cabos'!$AF:$AF,'Lançamento de Cabos'!AE:AE,Tabela4[[#This Row],[Cabo]],'Lançamento de Cabos'!AJ:AJ,Área!$B$1),"")</f>
        <v/>
      </c>
      <c r="Y325" s="23" t="str">
        <f ca="1">IF(Tabela4[[#This Row],[Cabo]]&lt;&gt;"",SUMIFS('Lançamento de Cabos'!$AG:$AG,'Lançamento de Cabos'!AE:AE,Tabela4[[#This Row],[Cabo]],'Lançamento de Cabos'!AJ:AJ,Área!$B$1),"")</f>
        <v/>
      </c>
      <c r="Z325" s="23" t="e">
        <f ca="1">VLOOKUP(Tabela4[[#This Row],[Cabo]],BD!A:AB,28,0)</f>
        <v>#N/A</v>
      </c>
    </row>
    <row r="326" spans="3:26" x14ac:dyDescent="0.25">
      <c r="C326" s="391" t="str">
        <f ca="1">IF($B$1="Geral",Tabela1[[#This Row],[Tag do Cabo]],IFERROR(INDEX(INDIRECT("BD!$A"&amp;D326&amp;":$A100000"),E326,1),""))</f>
        <v/>
      </c>
      <c r="D326" s="391" t="str">
        <f t="shared" ca="1" si="14"/>
        <v/>
      </c>
      <c r="E326" s="391" t="str">
        <f t="shared" ca="1" si="15"/>
        <v/>
      </c>
      <c r="F326" s="23" t="str">
        <f ca="1">IFERROR(VLOOKUP(Tabela4[[#This Row],[Cabo]],BD!A:V,2,0),"")</f>
        <v/>
      </c>
      <c r="G326" s="391" t="str">
        <f ca="1">IFERROR(VLOOKUP(Tabela4[[#This Row],[Cabo]],BD!A:V,5,0),"")</f>
        <v/>
      </c>
      <c r="H326" s="23" t="str">
        <f ca="1">IFERROR(VLOOKUP(Tabela4[[#This Row],[Cabo]],BD!A:V,3,0),"")</f>
        <v/>
      </c>
      <c r="I326" s="23" t="str">
        <f ca="1">IFERROR(VLOOKUP(Tabela4[[#This Row],[Cabo]],BD!A:V,4,0),"")</f>
        <v/>
      </c>
      <c r="J326" s="23" t="str">
        <f ca="1">IFERROR(VLOOKUP(Tabela4[[#This Row],[Cabo]],BD!A:V,7,0),"")</f>
        <v/>
      </c>
      <c r="K32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6" s="23" t="str">
        <f ca="1">IFERROR(VLOOKUP(Tabela4[[#This Row],[Cabo]],BD!A:V,9,0),"")</f>
        <v/>
      </c>
      <c r="M326" s="23" t="str">
        <f ca="1">IFERROR(VLOOKUP(Tabela4[[#This Row],[Cabo]],BD!A:AD,30,0),"")</f>
        <v/>
      </c>
      <c r="N326" s="23" t="str">
        <f ca="1">IF(SUMIF('Lançamento de Cabos'!B:B,Tabela4[[#This Row],[Cabo]],'Lançamento de Cabos'!C:C)=0,"",SUMIF('Lançamento de Cabos'!B:B,Tabela4[[#This Row],[Cabo]],'Lançamento de Cabos'!C:C))</f>
        <v/>
      </c>
      <c r="O326" s="28" t="str">
        <f ca="1">IFERROR(IF(Tabela4[[#This Row],[Compr. Lançado]]/Tabela4[[#This Row],[Compr. Prev.]]&gt;1,1,Tabela4[[#This Row],[Compr. Lançado]]/Tabela4[[#This Row],[Compr. Prev.]]),"")</f>
        <v/>
      </c>
      <c r="P326" s="24" t="str">
        <f ca="1">IFERROR(VLOOKUP(Tabela4[[#This Row],[Cabo]],BD!A:V,11,0),"")</f>
        <v/>
      </c>
      <c r="Q326" s="24" t="str">
        <f ca="1">IFERROR(VLOOKUP(Tabela4[[#This Row],[Cabo]],BD!A:V,12,0),"")</f>
        <v/>
      </c>
      <c r="R32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6" s="23" t="str">
        <f ca="1">IF(Tabela4[[#This Row],[Cabo]]&lt;&gt;"",4-COUNTIF(Tabela4[[#This Row],[Teste de Continuidade]:[Hipot]],"---"),"")</f>
        <v/>
      </c>
      <c r="W326" s="29" t="str">
        <f ca="1">IF(Tabela4[[#This Row],[Cabo]]&lt;&gt;"",(COUNTIF(Tabela4[[#This Row],[Teste de Continuidade]:[Hipot]],"OK"))/(4-COUNTIF(Tabela4[[#This Row],[Teste de Continuidade]:[Hipot]],"---")),"")</f>
        <v/>
      </c>
      <c r="X326" s="23" t="str">
        <f ca="1">IF(Tabela4[[#This Row],[Cabo]]&lt;&gt;"",SUMIFS('Lançamento de Cabos'!$AF:$AF,'Lançamento de Cabos'!AE:AE,Tabela4[[#This Row],[Cabo]],'Lançamento de Cabos'!AJ:AJ,Área!$B$1),"")</f>
        <v/>
      </c>
      <c r="Y326" s="23" t="str">
        <f ca="1">IF(Tabela4[[#This Row],[Cabo]]&lt;&gt;"",SUMIFS('Lançamento de Cabos'!$AG:$AG,'Lançamento de Cabos'!AE:AE,Tabela4[[#This Row],[Cabo]],'Lançamento de Cabos'!AJ:AJ,Área!$B$1),"")</f>
        <v/>
      </c>
      <c r="Z326" s="23" t="e">
        <f ca="1">VLOOKUP(Tabela4[[#This Row],[Cabo]],BD!A:AB,28,0)</f>
        <v>#N/A</v>
      </c>
    </row>
    <row r="327" spans="3:26" x14ac:dyDescent="0.25">
      <c r="C327" s="391" t="str">
        <f ca="1">IF($B$1="Geral",Tabela1[[#This Row],[Tag do Cabo]],IFERROR(INDEX(INDIRECT("BD!$A"&amp;D327&amp;":$A100000"),E327,1),""))</f>
        <v/>
      </c>
      <c r="D327" s="391" t="str">
        <f t="shared" ca="1" si="14"/>
        <v/>
      </c>
      <c r="E327" s="391" t="str">
        <f t="shared" ca="1" si="15"/>
        <v/>
      </c>
      <c r="F327" s="23" t="str">
        <f ca="1">IFERROR(VLOOKUP(Tabela4[[#This Row],[Cabo]],BD!A:V,2,0),"")</f>
        <v/>
      </c>
      <c r="G327" s="391" t="str">
        <f ca="1">IFERROR(VLOOKUP(Tabela4[[#This Row],[Cabo]],BD!A:V,5,0),"")</f>
        <v/>
      </c>
      <c r="H327" s="23" t="str">
        <f ca="1">IFERROR(VLOOKUP(Tabela4[[#This Row],[Cabo]],BD!A:V,3,0),"")</f>
        <v/>
      </c>
      <c r="I327" s="23" t="str">
        <f ca="1">IFERROR(VLOOKUP(Tabela4[[#This Row],[Cabo]],BD!A:V,4,0),"")</f>
        <v/>
      </c>
      <c r="J327" s="23" t="str">
        <f ca="1">IFERROR(VLOOKUP(Tabela4[[#This Row],[Cabo]],BD!A:V,7,0),"")</f>
        <v/>
      </c>
      <c r="K32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7" s="23" t="str">
        <f ca="1">IFERROR(VLOOKUP(Tabela4[[#This Row],[Cabo]],BD!A:V,9,0),"")</f>
        <v/>
      </c>
      <c r="M327" s="23" t="str">
        <f ca="1">IFERROR(VLOOKUP(Tabela4[[#This Row],[Cabo]],BD!A:AD,30,0),"")</f>
        <v/>
      </c>
      <c r="N327" s="23" t="str">
        <f ca="1">IF(SUMIF('Lançamento de Cabos'!B:B,Tabela4[[#This Row],[Cabo]],'Lançamento de Cabos'!C:C)=0,"",SUMIF('Lançamento de Cabos'!B:B,Tabela4[[#This Row],[Cabo]],'Lançamento de Cabos'!C:C))</f>
        <v/>
      </c>
      <c r="O327" s="28" t="str">
        <f ca="1">IFERROR(IF(Tabela4[[#This Row],[Compr. Lançado]]/Tabela4[[#This Row],[Compr. Prev.]]&gt;1,1,Tabela4[[#This Row],[Compr. Lançado]]/Tabela4[[#This Row],[Compr. Prev.]]),"")</f>
        <v/>
      </c>
      <c r="P327" s="24" t="str">
        <f ca="1">IFERROR(VLOOKUP(Tabela4[[#This Row],[Cabo]],BD!A:V,11,0),"")</f>
        <v/>
      </c>
      <c r="Q327" s="24" t="str">
        <f ca="1">IFERROR(VLOOKUP(Tabela4[[#This Row],[Cabo]],BD!A:V,12,0),"")</f>
        <v/>
      </c>
      <c r="R32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7" s="23" t="str">
        <f ca="1">IF(Tabela4[[#This Row],[Cabo]]&lt;&gt;"",4-COUNTIF(Tabela4[[#This Row],[Teste de Continuidade]:[Hipot]],"---"),"")</f>
        <v/>
      </c>
      <c r="W327" s="29" t="str">
        <f ca="1">IF(Tabela4[[#This Row],[Cabo]]&lt;&gt;"",(COUNTIF(Tabela4[[#This Row],[Teste de Continuidade]:[Hipot]],"OK"))/(4-COUNTIF(Tabela4[[#This Row],[Teste de Continuidade]:[Hipot]],"---")),"")</f>
        <v/>
      </c>
      <c r="X327" s="23" t="str">
        <f ca="1">IF(Tabela4[[#This Row],[Cabo]]&lt;&gt;"",SUMIFS('Lançamento de Cabos'!$AF:$AF,'Lançamento de Cabos'!AE:AE,Tabela4[[#This Row],[Cabo]],'Lançamento de Cabos'!AJ:AJ,Área!$B$1),"")</f>
        <v/>
      </c>
      <c r="Y327" s="23" t="str">
        <f ca="1">IF(Tabela4[[#This Row],[Cabo]]&lt;&gt;"",SUMIFS('Lançamento de Cabos'!$AG:$AG,'Lançamento de Cabos'!AE:AE,Tabela4[[#This Row],[Cabo]],'Lançamento de Cabos'!AJ:AJ,Área!$B$1),"")</f>
        <v/>
      </c>
      <c r="Z327" s="23" t="e">
        <f ca="1">VLOOKUP(Tabela4[[#This Row],[Cabo]],BD!A:AB,28,0)</f>
        <v>#N/A</v>
      </c>
    </row>
    <row r="328" spans="3:26" x14ac:dyDescent="0.25">
      <c r="C328" s="391" t="str">
        <f ca="1">IF($B$1="Geral",Tabela1[[#This Row],[Tag do Cabo]],IFERROR(INDEX(INDIRECT("BD!$A"&amp;D328&amp;":$A100000"),E328,1),""))</f>
        <v/>
      </c>
      <c r="D328" s="391" t="str">
        <f t="shared" ca="1" si="14"/>
        <v/>
      </c>
      <c r="E328" s="391" t="str">
        <f t="shared" ca="1" si="15"/>
        <v/>
      </c>
      <c r="F328" s="23" t="str">
        <f ca="1">IFERROR(VLOOKUP(Tabela4[[#This Row],[Cabo]],BD!A:V,2,0),"")</f>
        <v/>
      </c>
      <c r="G328" s="391" t="str">
        <f ca="1">IFERROR(VLOOKUP(Tabela4[[#This Row],[Cabo]],BD!A:V,5,0),"")</f>
        <v/>
      </c>
      <c r="H328" s="23" t="str">
        <f ca="1">IFERROR(VLOOKUP(Tabela4[[#This Row],[Cabo]],BD!A:V,3,0),"")</f>
        <v/>
      </c>
      <c r="I328" s="23" t="str">
        <f ca="1">IFERROR(VLOOKUP(Tabela4[[#This Row],[Cabo]],BD!A:V,4,0),"")</f>
        <v/>
      </c>
      <c r="J328" s="23" t="str">
        <f ca="1">IFERROR(VLOOKUP(Tabela4[[#This Row],[Cabo]],BD!A:V,7,0),"")</f>
        <v/>
      </c>
      <c r="K32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8" s="23" t="str">
        <f ca="1">IFERROR(VLOOKUP(Tabela4[[#This Row],[Cabo]],BD!A:V,9,0),"")</f>
        <v/>
      </c>
      <c r="M328" s="23" t="str">
        <f ca="1">IFERROR(VLOOKUP(Tabela4[[#This Row],[Cabo]],BD!A:AD,30,0),"")</f>
        <v/>
      </c>
      <c r="N328" s="23" t="str">
        <f ca="1">IF(SUMIF('Lançamento de Cabos'!B:B,Tabela4[[#This Row],[Cabo]],'Lançamento de Cabos'!C:C)=0,"",SUMIF('Lançamento de Cabos'!B:B,Tabela4[[#This Row],[Cabo]],'Lançamento de Cabos'!C:C))</f>
        <v/>
      </c>
      <c r="O328" s="28" t="str">
        <f ca="1">IFERROR(IF(Tabela4[[#This Row],[Compr. Lançado]]/Tabela4[[#This Row],[Compr. Prev.]]&gt;1,1,Tabela4[[#This Row],[Compr. Lançado]]/Tabela4[[#This Row],[Compr. Prev.]]),"")</f>
        <v/>
      </c>
      <c r="P328" s="24" t="str">
        <f ca="1">IFERROR(VLOOKUP(Tabela4[[#This Row],[Cabo]],BD!A:V,11,0),"")</f>
        <v/>
      </c>
      <c r="Q328" s="24" t="str">
        <f ca="1">IFERROR(VLOOKUP(Tabela4[[#This Row],[Cabo]],BD!A:V,12,0),"")</f>
        <v/>
      </c>
      <c r="R32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8" s="23" t="str">
        <f ca="1">IF(Tabela4[[#This Row],[Cabo]]&lt;&gt;"",4-COUNTIF(Tabela4[[#This Row],[Teste de Continuidade]:[Hipot]],"---"),"")</f>
        <v/>
      </c>
      <c r="W328" s="29" t="str">
        <f ca="1">IF(Tabela4[[#This Row],[Cabo]]&lt;&gt;"",(COUNTIF(Tabela4[[#This Row],[Teste de Continuidade]:[Hipot]],"OK"))/(4-COUNTIF(Tabela4[[#This Row],[Teste de Continuidade]:[Hipot]],"---")),"")</f>
        <v/>
      </c>
      <c r="X328" s="23" t="str">
        <f ca="1">IF(Tabela4[[#This Row],[Cabo]]&lt;&gt;"",SUMIFS('Lançamento de Cabos'!$AF:$AF,'Lançamento de Cabos'!AE:AE,Tabela4[[#This Row],[Cabo]],'Lançamento de Cabos'!AJ:AJ,Área!$B$1),"")</f>
        <v/>
      </c>
      <c r="Y328" s="23" t="str">
        <f ca="1">IF(Tabela4[[#This Row],[Cabo]]&lt;&gt;"",SUMIFS('Lançamento de Cabos'!$AG:$AG,'Lançamento de Cabos'!AE:AE,Tabela4[[#This Row],[Cabo]],'Lançamento de Cabos'!AJ:AJ,Área!$B$1),"")</f>
        <v/>
      </c>
      <c r="Z328" s="23" t="e">
        <f ca="1">VLOOKUP(Tabela4[[#This Row],[Cabo]],BD!A:AB,28,0)</f>
        <v>#N/A</v>
      </c>
    </row>
    <row r="329" spans="3:26" x14ac:dyDescent="0.25">
      <c r="C329" s="391" t="str">
        <f ca="1">IF($B$1="Geral",Tabela1[[#This Row],[Tag do Cabo]],IFERROR(INDEX(INDIRECT("BD!$A"&amp;D329&amp;":$A100000"),E329,1),""))</f>
        <v/>
      </c>
      <c r="D329" s="391" t="str">
        <f t="shared" ca="1" si="14"/>
        <v/>
      </c>
      <c r="E329" s="391" t="str">
        <f t="shared" ca="1" si="15"/>
        <v/>
      </c>
      <c r="F329" s="23" t="str">
        <f ca="1">IFERROR(VLOOKUP(Tabela4[[#This Row],[Cabo]],BD!A:V,2,0),"")</f>
        <v/>
      </c>
      <c r="G329" s="391" t="str">
        <f ca="1">IFERROR(VLOOKUP(Tabela4[[#This Row],[Cabo]],BD!A:V,5,0),"")</f>
        <v/>
      </c>
      <c r="H329" s="23" t="str">
        <f ca="1">IFERROR(VLOOKUP(Tabela4[[#This Row],[Cabo]],BD!A:V,3,0),"")</f>
        <v/>
      </c>
      <c r="I329" s="23" t="str">
        <f ca="1">IFERROR(VLOOKUP(Tabela4[[#This Row],[Cabo]],BD!A:V,4,0),"")</f>
        <v/>
      </c>
      <c r="J329" s="23" t="str">
        <f ca="1">IFERROR(VLOOKUP(Tabela4[[#This Row],[Cabo]],BD!A:V,7,0),"")</f>
        <v/>
      </c>
      <c r="K32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29" s="23" t="str">
        <f ca="1">IFERROR(VLOOKUP(Tabela4[[#This Row],[Cabo]],BD!A:V,9,0),"")</f>
        <v/>
      </c>
      <c r="M329" s="23" t="str">
        <f ca="1">IFERROR(VLOOKUP(Tabela4[[#This Row],[Cabo]],BD!A:AD,30,0),"")</f>
        <v/>
      </c>
      <c r="N329" s="23" t="str">
        <f ca="1">IF(SUMIF('Lançamento de Cabos'!B:B,Tabela4[[#This Row],[Cabo]],'Lançamento de Cabos'!C:C)=0,"",SUMIF('Lançamento de Cabos'!B:B,Tabela4[[#This Row],[Cabo]],'Lançamento de Cabos'!C:C))</f>
        <v/>
      </c>
      <c r="O329" s="28" t="str">
        <f ca="1">IFERROR(IF(Tabela4[[#This Row],[Compr. Lançado]]/Tabela4[[#This Row],[Compr. Prev.]]&gt;1,1,Tabela4[[#This Row],[Compr. Lançado]]/Tabela4[[#This Row],[Compr. Prev.]]),"")</f>
        <v/>
      </c>
      <c r="P329" s="24" t="str">
        <f ca="1">IFERROR(VLOOKUP(Tabela4[[#This Row],[Cabo]],BD!A:V,11,0),"")</f>
        <v/>
      </c>
      <c r="Q329" s="24" t="str">
        <f ca="1">IFERROR(VLOOKUP(Tabela4[[#This Row],[Cabo]],BD!A:V,12,0),"")</f>
        <v/>
      </c>
      <c r="R32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2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2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2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29" s="23" t="str">
        <f ca="1">IF(Tabela4[[#This Row],[Cabo]]&lt;&gt;"",4-COUNTIF(Tabela4[[#This Row],[Teste de Continuidade]:[Hipot]],"---"),"")</f>
        <v/>
      </c>
      <c r="W329" s="29" t="str">
        <f ca="1">IF(Tabela4[[#This Row],[Cabo]]&lt;&gt;"",(COUNTIF(Tabela4[[#This Row],[Teste de Continuidade]:[Hipot]],"OK"))/(4-COUNTIF(Tabela4[[#This Row],[Teste de Continuidade]:[Hipot]],"---")),"")</f>
        <v/>
      </c>
      <c r="X329" s="23" t="str">
        <f ca="1">IF(Tabela4[[#This Row],[Cabo]]&lt;&gt;"",SUMIFS('Lançamento de Cabos'!$AF:$AF,'Lançamento de Cabos'!AE:AE,Tabela4[[#This Row],[Cabo]],'Lançamento de Cabos'!AJ:AJ,Área!$B$1),"")</f>
        <v/>
      </c>
      <c r="Y329" s="23" t="str">
        <f ca="1">IF(Tabela4[[#This Row],[Cabo]]&lt;&gt;"",SUMIFS('Lançamento de Cabos'!$AG:$AG,'Lançamento de Cabos'!AE:AE,Tabela4[[#This Row],[Cabo]],'Lançamento de Cabos'!AJ:AJ,Área!$B$1),"")</f>
        <v/>
      </c>
      <c r="Z329" s="23" t="e">
        <f ca="1">VLOOKUP(Tabela4[[#This Row],[Cabo]],BD!A:AB,28,0)</f>
        <v>#N/A</v>
      </c>
    </row>
    <row r="330" spans="3:26" x14ac:dyDescent="0.25">
      <c r="C330" s="391" t="str">
        <f ca="1">IF($B$1="Geral",Tabela1[[#This Row],[Tag do Cabo]],IFERROR(INDEX(INDIRECT("BD!$A"&amp;D330&amp;":$A100000"),E330,1),""))</f>
        <v/>
      </c>
      <c r="D330" s="391" t="str">
        <f t="shared" ca="1" si="14"/>
        <v/>
      </c>
      <c r="E330" s="391" t="str">
        <f t="shared" ca="1" si="15"/>
        <v/>
      </c>
      <c r="F330" s="23" t="str">
        <f ca="1">IFERROR(VLOOKUP(Tabela4[[#This Row],[Cabo]],BD!A:V,2,0),"")</f>
        <v/>
      </c>
      <c r="G330" s="391" t="str">
        <f ca="1">IFERROR(VLOOKUP(Tabela4[[#This Row],[Cabo]],BD!A:V,5,0),"")</f>
        <v/>
      </c>
      <c r="H330" s="23" t="str">
        <f ca="1">IFERROR(VLOOKUP(Tabela4[[#This Row],[Cabo]],BD!A:V,3,0),"")</f>
        <v/>
      </c>
      <c r="I330" s="23" t="str">
        <f ca="1">IFERROR(VLOOKUP(Tabela4[[#This Row],[Cabo]],BD!A:V,4,0),"")</f>
        <v/>
      </c>
      <c r="J330" s="23" t="str">
        <f ca="1">IFERROR(VLOOKUP(Tabela4[[#This Row],[Cabo]],BD!A:V,7,0),"")</f>
        <v/>
      </c>
      <c r="K33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0" s="23" t="str">
        <f ca="1">IFERROR(VLOOKUP(Tabela4[[#This Row],[Cabo]],BD!A:V,9,0),"")</f>
        <v/>
      </c>
      <c r="M330" s="23" t="str">
        <f ca="1">IFERROR(VLOOKUP(Tabela4[[#This Row],[Cabo]],BD!A:AD,30,0),"")</f>
        <v/>
      </c>
      <c r="N330" s="23" t="str">
        <f ca="1">IF(SUMIF('Lançamento de Cabos'!B:B,Tabela4[[#This Row],[Cabo]],'Lançamento de Cabos'!C:C)=0,"",SUMIF('Lançamento de Cabos'!B:B,Tabela4[[#This Row],[Cabo]],'Lançamento de Cabos'!C:C))</f>
        <v/>
      </c>
      <c r="O330" s="28" t="str">
        <f ca="1">IFERROR(IF(Tabela4[[#This Row],[Compr. Lançado]]/Tabela4[[#This Row],[Compr. Prev.]]&gt;1,1,Tabela4[[#This Row],[Compr. Lançado]]/Tabela4[[#This Row],[Compr. Prev.]]),"")</f>
        <v/>
      </c>
      <c r="P330" s="24" t="str">
        <f ca="1">IFERROR(VLOOKUP(Tabela4[[#This Row],[Cabo]],BD!A:V,11,0),"")</f>
        <v/>
      </c>
      <c r="Q330" s="24" t="str">
        <f ca="1">IFERROR(VLOOKUP(Tabela4[[#This Row],[Cabo]],BD!A:V,12,0),"")</f>
        <v/>
      </c>
      <c r="R33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0" s="23" t="str">
        <f ca="1">IF(Tabela4[[#This Row],[Cabo]]&lt;&gt;"",4-COUNTIF(Tabela4[[#This Row],[Teste de Continuidade]:[Hipot]],"---"),"")</f>
        <v/>
      </c>
      <c r="W330" s="29" t="str">
        <f ca="1">IF(Tabela4[[#This Row],[Cabo]]&lt;&gt;"",(COUNTIF(Tabela4[[#This Row],[Teste de Continuidade]:[Hipot]],"OK"))/(4-COUNTIF(Tabela4[[#This Row],[Teste de Continuidade]:[Hipot]],"---")),"")</f>
        <v/>
      </c>
      <c r="X330" s="23" t="str">
        <f ca="1">IF(Tabela4[[#This Row],[Cabo]]&lt;&gt;"",SUMIFS('Lançamento de Cabos'!$AF:$AF,'Lançamento de Cabos'!AE:AE,Tabela4[[#This Row],[Cabo]],'Lançamento de Cabos'!AJ:AJ,Área!$B$1),"")</f>
        <v/>
      </c>
      <c r="Y330" s="23" t="str">
        <f ca="1">IF(Tabela4[[#This Row],[Cabo]]&lt;&gt;"",SUMIFS('Lançamento de Cabos'!$AG:$AG,'Lançamento de Cabos'!AE:AE,Tabela4[[#This Row],[Cabo]],'Lançamento de Cabos'!AJ:AJ,Área!$B$1),"")</f>
        <v/>
      </c>
      <c r="Z330" s="23" t="e">
        <f ca="1">VLOOKUP(Tabela4[[#This Row],[Cabo]],BD!A:AB,28,0)</f>
        <v>#N/A</v>
      </c>
    </row>
    <row r="331" spans="3:26" x14ac:dyDescent="0.25">
      <c r="C331" s="391" t="str">
        <f ca="1">IF($B$1="Geral",Tabela1[[#This Row],[Tag do Cabo]],IFERROR(INDEX(INDIRECT("BD!$A"&amp;D331&amp;":$A100000"),E331,1),""))</f>
        <v/>
      </c>
      <c r="D331" s="391" t="str">
        <f t="shared" ca="1" si="14"/>
        <v/>
      </c>
      <c r="E331" s="391" t="str">
        <f t="shared" ca="1" si="15"/>
        <v/>
      </c>
      <c r="F331" s="23" t="str">
        <f ca="1">IFERROR(VLOOKUP(Tabela4[[#This Row],[Cabo]],BD!A:V,2,0),"")</f>
        <v/>
      </c>
      <c r="G331" s="391" t="str">
        <f ca="1">IFERROR(VLOOKUP(Tabela4[[#This Row],[Cabo]],BD!A:V,5,0),"")</f>
        <v/>
      </c>
      <c r="H331" s="23" t="str">
        <f ca="1">IFERROR(VLOOKUP(Tabela4[[#This Row],[Cabo]],BD!A:V,3,0),"")</f>
        <v/>
      </c>
      <c r="I331" s="23" t="str">
        <f ca="1">IFERROR(VLOOKUP(Tabela4[[#This Row],[Cabo]],BD!A:V,4,0),"")</f>
        <v/>
      </c>
      <c r="J331" s="23" t="str">
        <f ca="1">IFERROR(VLOOKUP(Tabela4[[#This Row],[Cabo]],BD!A:V,7,0),"")</f>
        <v/>
      </c>
      <c r="K33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1" s="23" t="str">
        <f ca="1">IFERROR(VLOOKUP(Tabela4[[#This Row],[Cabo]],BD!A:V,9,0),"")</f>
        <v/>
      </c>
      <c r="M331" s="23" t="str">
        <f ca="1">IFERROR(VLOOKUP(Tabela4[[#This Row],[Cabo]],BD!A:AD,30,0),"")</f>
        <v/>
      </c>
      <c r="N331" s="23" t="str">
        <f ca="1">IF(SUMIF('Lançamento de Cabos'!B:B,Tabela4[[#This Row],[Cabo]],'Lançamento de Cabos'!C:C)=0,"",SUMIF('Lançamento de Cabos'!B:B,Tabela4[[#This Row],[Cabo]],'Lançamento de Cabos'!C:C))</f>
        <v/>
      </c>
      <c r="O331" s="28" t="str">
        <f ca="1">IFERROR(IF(Tabela4[[#This Row],[Compr. Lançado]]/Tabela4[[#This Row],[Compr. Prev.]]&gt;1,1,Tabela4[[#This Row],[Compr. Lançado]]/Tabela4[[#This Row],[Compr. Prev.]]),"")</f>
        <v/>
      </c>
      <c r="P331" s="24" t="str">
        <f ca="1">IFERROR(VLOOKUP(Tabela4[[#This Row],[Cabo]],BD!A:V,11,0),"")</f>
        <v/>
      </c>
      <c r="Q331" s="24" t="str">
        <f ca="1">IFERROR(VLOOKUP(Tabela4[[#This Row],[Cabo]],BD!A:V,12,0),"")</f>
        <v/>
      </c>
      <c r="R33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1" s="23" t="str">
        <f ca="1">IF(Tabela4[[#This Row],[Cabo]]&lt;&gt;"",4-COUNTIF(Tabela4[[#This Row],[Teste de Continuidade]:[Hipot]],"---"),"")</f>
        <v/>
      </c>
      <c r="W331" s="29" t="str">
        <f ca="1">IF(Tabela4[[#This Row],[Cabo]]&lt;&gt;"",(COUNTIF(Tabela4[[#This Row],[Teste de Continuidade]:[Hipot]],"OK"))/(4-COUNTIF(Tabela4[[#This Row],[Teste de Continuidade]:[Hipot]],"---")),"")</f>
        <v/>
      </c>
      <c r="X331" s="23" t="str">
        <f ca="1">IF(Tabela4[[#This Row],[Cabo]]&lt;&gt;"",SUMIFS('Lançamento de Cabos'!$AF:$AF,'Lançamento de Cabos'!AE:AE,Tabela4[[#This Row],[Cabo]],'Lançamento de Cabos'!AJ:AJ,Área!$B$1),"")</f>
        <v/>
      </c>
      <c r="Y331" s="23" t="str">
        <f ca="1">IF(Tabela4[[#This Row],[Cabo]]&lt;&gt;"",SUMIFS('Lançamento de Cabos'!$AG:$AG,'Lançamento de Cabos'!AE:AE,Tabela4[[#This Row],[Cabo]],'Lançamento de Cabos'!AJ:AJ,Área!$B$1),"")</f>
        <v/>
      </c>
      <c r="Z331" s="23" t="e">
        <f ca="1">VLOOKUP(Tabela4[[#This Row],[Cabo]],BD!A:AB,28,0)</f>
        <v>#N/A</v>
      </c>
    </row>
    <row r="332" spans="3:26" x14ac:dyDescent="0.25">
      <c r="C332" s="391" t="str">
        <f ca="1">IF($B$1="Geral",Tabela1[[#This Row],[Tag do Cabo]],IFERROR(INDEX(INDIRECT("BD!$A"&amp;D332&amp;":$A100000"),E332,1),""))</f>
        <v/>
      </c>
      <c r="D332" s="391" t="str">
        <f t="shared" ca="1" si="14"/>
        <v/>
      </c>
      <c r="E332" s="391" t="str">
        <f t="shared" ca="1" si="15"/>
        <v/>
      </c>
      <c r="F332" s="23" t="str">
        <f ca="1">IFERROR(VLOOKUP(Tabela4[[#This Row],[Cabo]],BD!A:V,2,0),"")</f>
        <v/>
      </c>
      <c r="G332" s="391" t="str">
        <f ca="1">IFERROR(VLOOKUP(Tabela4[[#This Row],[Cabo]],BD!A:V,5,0),"")</f>
        <v/>
      </c>
      <c r="H332" s="23" t="str">
        <f ca="1">IFERROR(VLOOKUP(Tabela4[[#This Row],[Cabo]],BD!A:V,3,0),"")</f>
        <v/>
      </c>
      <c r="I332" s="23" t="str">
        <f ca="1">IFERROR(VLOOKUP(Tabela4[[#This Row],[Cabo]],BD!A:V,4,0),"")</f>
        <v/>
      </c>
      <c r="J332" s="23" t="str">
        <f ca="1">IFERROR(VLOOKUP(Tabela4[[#This Row],[Cabo]],BD!A:V,7,0),"")</f>
        <v/>
      </c>
      <c r="K33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2" s="23" t="str">
        <f ca="1">IFERROR(VLOOKUP(Tabela4[[#This Row],[Cabo]],BD!A:V,9,0),"")</f>
        <v/>
      </c>
      <c r="M332" s="23" t="str">
        <f ca="1">IFERROR(VLOOKUP(Tabela4[[#This Row],[Cabo]],BD!A:AD,30,0),"")</f>
        <v/>
      </c>
      <c r="N332" s="23" t="str">
        <f ca="1">IF(SUMIF('Lançamento de Cabos'!B:B,Tabela4[[#This Row],[Cabo]],'Lançamento de Cabos'!C:C)=0,"",SUMIF('Lançamento de Cabos'!B:B,Tabela4[[#This Row],[Cabo]],'Lançamento de Cabos'!C:C))</f>
        <v/>
      </c>
      <c r="O332" s="28" t="str">
        <f ca="1">IFERROR(IF(Tabela4[[#This Row],[Compr. Lançado]]/Tabela4[[#This Row],[Compr. Prev.]]&gt;1,1,Tabela4[[#This Row],[Compr. Lançado]]/Tabela4[[#This Row],[Compr. Prev.]]),"")</f>
        <v/>
      </c>
      <c r="P332" s="24" t="str">
        <f ca="1">IFERROR(VLOOKUP(Tabela4[[#This Row],[Cabo]],BD!A:V,11,0),"")</f>
        <v/>
      </c>
      <c r="Q332" s="24" t="str">
        <f ca="1">IFERROR(VLOOKUP(Tabela4[[#This Row],[Cabo]],BD!A:V,12,0),"")</f>
        <v/>
      </c>
      <c r="R33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2" s="23" t="str">
        <f ca="1">IF(Tabela4[[#This Row],[Cabo]]&lt;&gt;"",4-COUNTIF(Tabela4[[#This Row],[Teste de Continuidade]:[Hipot]],"---"),"")</f>
        <v/>
      </c>
      <c r="W332" s="29" t="str">
        <f ca="1">IF(Tabela4[[#This Row],[Cabo]]&lt;&gt;"",(COUNTIF(Tabela4[[#This Row],[Teste de Continuidade]:[Hipot]],"OK"))/(4-COUNTIF(Tabela4[[#This Row],[Teste de Continuidade]:[Hipot]],"---")),"")</f>
        <v/>
      </c>
      <c r="X332" s="23" t="str">
        <f ca="1">IF(Tabela4[[#This Row],[Cabo]]&lt;&gt;"",SUMIFS('Lançamento de Cabos'!$AF:$AF,'Lançamento de Cabos'!AE:AE,Tabela4[[#This Row],[Cabo]],'Lançamento de Cabos'!AJ:AJ,Área!$B$1),"")</f>
        <v/>
      </c>
      <c r="Y332" s="23" t="str">
        <f ca="1">IF(Tabela4[[#This Row],[Cabo]]&lt;&gt;"",SUMIFS('Lançamento de Cabos'!$AG:$AG,'Lançamento de Cabos'!AE:AE,Tabela4[[#This Row],[Cabo]],'Lançamento de Cabos'!AJ:AJ,Área!$B$1),"")</f>
        <v/>
      </c>
      <c r="Z332" s="23" t="e">
        <f ca="1">VLOOKUP(Tabela4[[#This Row],[Cabo]],BD!A:AB,28,0)</f>
        <v>#N/A</v>
      </c>
    </row>
    <row r="333" spans="3:26" x14ac:dyDescent="0.25">
      <c r="C333" s="391" t="str">
        <f ca="1">IF($B$1="Geral",Tabela1[[#This Row],[Tag do Cabo]],IFERROR(INDEX(INDIRECT("BD!$A"&amp;D333&amp;":$A100000"),E333,1),""))</f>
        <v/>
      </c>
      <c r="D333" s="391" t="str">
        <f t="shared" ca="1" si="14"/>
        <v/>
      </c>
      <c r="E333" s="391" t="str">
        <f t="shared" ca="1" si="15"/>
        <v/>
      </c>
      <c r="F333" s="23" t="str">
        <f ca="1">IFERROR(VLOOKUP(Tabela4[[#This Row],[Cabo]],BD!A:V,2,0),"")</f>
        <v/>
      </c>
      <c r="G333" s="391" t="str">
        <f ca="1">IFERROR(VLOOKUP(Tabela4[[#This Row],[Cabo]],BD!A:V,5,0),"")</f>
        <v/>
      </c>
      <c r="H333" s="23" t="str">
        <f ca="1">IFERROR(VLOOKUP(Tabela4[[#This Row],[Cabo]],BD!A:V,3,0),"")</f>
        <v/>
      </c>
      <c r="I333" s="23" t="str">
        <f ca="1">IFERROR(VLOOKUP(Tabela4[[#This Row],[Cabo]],BD!A:V,4,0),"")</f>
        <v/>
      </c>
      <c r="J333" s="23" t="str">
        <f ca="1">IFERROR(VLOOKUP(Tabela4[[#This Row],[Cabo]],BD!A:V,7,0),"")</f>
        <v/>
      </c>
      <c r="K33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3" s="23" t="str">
        <f ca="1">IFERROR(VLOOKUP(Tabela4[[#This Row],[Cabo]],BD!A:V,9,0),"")</f>
        <v/>
      </c>
      <c r="M333" s="23" t="str">
        <f ca="1">IFERROR(VLOOKUP(Tabela4[[#This Row],[Cabo]],BD!A:AD,30,0),"")</f>
        <v/>
      </c>
      <c r="N333" s="23" t="str">
        <f ca="1">IF(SUMIF('Lançamento de Cabos'!B:B,Tabela4[[#This Row],[Cabo]],'Lançamento de Cabos'!C:C)=0,"",SUMIF('Lançamento de Cabos'!B:B,Tabela4[[#This Row],[Cabo]],'Lançamento de Cabos'!C:C))</f>
        <v/>
      </c>
      <c r="O333" s="28" t="str">
        <f ca="1">IFERROR(IF(Tabela4[[#This Row],[Compr. Lançado]]/Tabela4[[#This Row],[Compr. Prev.]]&gt;1,1,Tabela4[[#This Row],[Compr. Lançado]]/Tabela4[[#This Row],[Compr. Prev.]]),"")</f>
        <v/>
      </c>
      <c r="P333" s="24" t="str">
        <f ca="1">IFERROR(VLOOKUP(Tabela4[[#This Row],[Cabo]],BD!A:V,11,0),"")</f>
        <v/>
      </c>
      <c r="Q333" s="24" t="str">
        <f ca="1">IFERROR(VLOOKUP(Tabela4[[#This Row],[Cabo]],BD!A:V,12,0),"")</f>
        <v/>
      </c>
      <c r="R33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3" s="23" t="str">
        <f ca="1">IF(Tabela4[[#This Row],[Cabo]]&lt;&gt;"",4-COUNTIF(Tabela4[[#This Row],[Teste de Continuidade]:[Hipot]],"---"),"")</f>
        <v/>
      </c>
      <c r="W333" s="29" t="str">
        <f ca="1">IF(Tabela4[[#This Row],[Cabo]]&lt;&gt;"",(COUNTIF(Tabela4[[#This Row],[Teste de Continuidade]:[Hipot]],"OK"))/(4-COUNTIF(Tabela4[[#This Row],[Teste de Continuidade]:[Hipot]],"---")),"")</f>
        <v/>
      </c>
      <c r="X333" s="23" t="str">
        <f ca="1">IF(Tabela4[[#This Row],[Cabo]]&lt;&gt;"",SUMIFS('Lançamento de Cabos'!$AF:$AF,'Lançamento de Cabos'!AE:AE,Tabela4[[#This Row],[Cabo]],'Lançamento de Cabos'!AJ:AJ,Área!$B$1),"")</f>
        <v/>
      </c>
      <c r="Y333" s="23" t="str">
        <f ca="1">IF(Tabela4[[#This Row],[Cabo]]&lt;&gt;"",SUMIFS('Lançamento de Cabos'!$AG:$AG,'Lançamento de Cabos'!AE:AE,Tabela4[[#This Row],[Cabo]],'Lançamento de Cabos'!AJ:AJ,Área!$B$1),"")</f>
        <v/>
      </c>
      <c r="Z333" s="23" t="e">
        <f ca="1">VLOOKUP(Tabela4[[#This Row],[Cabo]],BD!A:AB,28,0)</f>
        <v>#N/A</v>
      </c>
    </row>
    <row r="334" spans="3:26" x14ac:dyDescent="0.25">
      <c r="C334" s="391" t="str">
        <f ca="1">IF($B$1="Geral",Tabela1[[#This Row],[Tag do Cabo]],IFERROR(INDEX(INDIRECT("BD!$A"&amp;D334&amp;":$A100000"),E334,1),""))</f>
        <v/>
      </c>
      <c r="D334" s="391" t="str">
        <f t="shared" ca="1" si="14"/>
        <v/>
      </c>
      <c r="E334" s="391" t="str">
        <f t="shared" ca="1" si="15"/>
        <v/>
      </c>
      <c r="F334" s="23" t="str">
        <f ca="1">IFERROR(VLOOKUP(Tabela4[[#This Row],[Cabo]],BD!A:V,2,0),"")</f>
        <v/>
      </c>
      <c r="G334" s="391" t="str">
        <f ca="1">IFERROR(VLOOKUP(Tabela4[[#This Row],[Cabo]],BD!A:V,5,0),"")</f>
        <v/>
      </c>
      <c r="H334" s="23" t="str">
        <f ca="1">IFERROR(VLOOKUP(Tabela4[[#This Row],[Cabo]],BD!A:V,3,0),"")</f>
        <v/>
      </c>
      <c r="I334" s="23" t="str">
        <f ca="1">IFERROR(VLOOKUP(Tabela4[[#This Row],[Cabo]],BD!A:V,4,0),"")</f>
        <v/>
      </c>
      <c r="J334" s="23" t="str">
        <f ca="1">IFERROR(VLOOKUP(Tabela4[[#This Row],[Cabo]],BD!A:V,7,0),"")</f>
        <v/>
      </c>
      <c r="K33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4" s="23" t="str">
        <f ca="1">IFERROR(VLOOKUP(Tabela4[[#This Row],[Cabo]],BD!A:V,9,0),"")</f>
        <v/>
      </c>
      <c r="M334" s="23" t="str">
        <f ca="1">IFERROR(VLOOKUP(Tabela4[[#This Row],[Cabo]],BD!A:AD,30,0),"")</f>
        <v/>
      </c>
      <c r="N334" s="23" t="str">
        <f ca="1">IF(SUMIF('Lançamento de Cabos'!B:B,Tabela4[[#This Row],[Cabo]],'Lançamento de Cabos'!C:C)=0,"",SUMIF('Lançamento de Cabos'!B:B,Tabela4[[#This Row],[Cabo]],'Lançamento de Cabos'!C:C))</f>
        <v/>
      </c>
      <c r="O334" s="28" t="str">
        <f ca="1">IFERROR(IF(Tabela4[[#This Row],[Compr. Lançado]]/Tabela4[[#This Row],[Compr. Prev.]]&gt;1,1,Tabela4[[#This Row],[Compr. Lançado]]/Tabela4[[#This Row],[Compr. Prev.]]),"")</f>
        <v/>
      </c>
      <c r="P334" s="24" t="str">
        <f ca="1">IFERROR(VLOOKUP(Tabela4[[#This Row],[Cabo]],BD!A:V,11,0),"")</f>
        <v/>
      </c>
      <c r="Q334" s="24" t="str">
        <f ca="1">IFERROR(VLOOKUP(Tabela4[[#This Row],[Cabo]],BD!A:V,12,0),"")</f>
        <v/>
      </c>
      <c r="R33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4" s="23" t="str">
        <f ca="1">IF(Tabela4[[#This Row],[Cabo]]&lt;&gt;"",4-COUNTIF(Tabela4[[#This Row],[Teste de Continuidade]:[Hipot]],"---"),"")</f>
        <v/>
      </c>
      <c r="W334" s="29" t="str">
        <f ca="1">IF(Tabela4[[#This Row],[Cabo]]&lt;&gt;"",(COUNTIF(Tabela4[[#This Row],[Teste de Continuidade]:[Hipot]],"OK"))/(4-COUNTIF(Tabela4[[#This Row],[Teste de Continuidade]:[Hipot]],"---")),"")</f>
        <v/>
      </c>
      <c r="X334" s="23" t="str">
        <f ca="1">IF(Tabela4[[#This Row],[Cabo]]&lt;&gt;"",SUMIFS('Lançamento de Cabos'!$AF:$AF,'Lançamento de Cabos'!AE:AE,Tabela4[[#This Row],[Cabo]],'Lançamento de Cabos'!AJ:AJ,Área!$B$1),"")</f>
        <v/>
      </c>
      <c r="Y334" s="23" t="str">
        <f ca="1">IF(Tabela4[[#This Row],[Cabo]]&lt;&gt;"",SUMIFS('Lançamento de Cabos'!$AG:$AG,'Lançamento de Cabos'!AE:AE,Tabela4[[#This Row],[Cabo]],'Lançamento de Cabos'!AJ:AJ,Área!$B$1),"")</f>
        <v/>
      </c>
      <c r="Z334" s="23" t="e">
        <f ca="1">VLOOKUP(Tabela4[[#This Row],[Cabo]],BD!A:AB,28,0)</f>
        <v>#N/A</v>
      </c>
    </row>
    <row r="335" spans="3:26" x14ac:dyDescent="0.25">
      <c r="C335" s="391" t="str">
        <f ca="1">IF($B$1="Geral",Tabela1[[#This Row],[Tag do Cabo]],IFERROR(INDEX(INDIRECT("BD!$A"&amp;D335&amp;":$A100000"),E335,1),""))</f>
        <v/>
      </c>
      <c r="D335" s="391" t="str">
        <f t="shared" ca="1" si="14"/>
        <v/>
      </c>
      <c r="E335" s="391" t="str">
        <f t="shared" ca="1" si="15"/>
        <v/>
      </c>
      <c r="F335" s="23" t="str">
        <f ca="1">IFERROR(VLOOKUP(Tabela4[[#This Row],[Cabo]],BD!A:V,2,0),"")</f>
        <v/>
      </c>
      <c r="G335" s="391" t="str">
        <f ca="1">IFERROR(VLOOKUP(Tabela4[[#This Row],[Cabo]],BD!A:V,5,0),"")</f>
        <v/>
      </c>
      <c r="H335" s="23" t="str">
        <f ca="1">IFERROR(VLOOKUP(Tabela4[[#This Row],[Cabo]],BD!A:V,3,0),"")</f>
        <v/>
      </c>
      <c r="I335" s="23" t="str">
        <f ca="1">IFERROR(VLOOKUP(Tabela4[[#This Row],[Cabo]],BD!A:V,4,0),"")</f>
        <v/>
      </c>
      <c r="J335" s="23" t="str">
        <f ca="1">IFERROR(VLOOKUP(Tabela4[[#This Row],[Cabo]],BD!A:V,7,0),"")</f>
        <v/>
      </c>
      <c r="K33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5" s="23" t="str">
        <f ca="1">IFERROR(VLOOKUP(Tabela4[[#This Row],[Cabo]],BD!A:V,9,0),"")</f>
        <v/>
      </c>
      <c r="M335" s="23" t="str">
        <f ca="1">IFERROR(VLOOKUP(Tabela4[[#This Row],[Cabo]],BD!A:AD,30,0),"")</f>
        <v/>
      </c>
      <c r="N335" s="23" t="str">
        <f ca="1">IF(SUMIF('Lançamento de Cabos'!B:B,Tabela4[[#This Row],[Cabo]],'Lançamento de Cabos'!C:C)=0,"",SUMIF('Lançamento de Cabos'!B:B,Tabela4[[#This Row],[Cabo]],'Lançamento de Cabos'!C:C))</f>
        <v/>
      </c>
      <c r="O335" s="28" t="str">
        <f ca="1">IFERROR(IF(Tabela4[[#This Row],[Compr. Lançado]]/Tabela4[[#This Row],[Compr. Prev.]]&gt;1,1,Tabela4[[#This Row],[Compr. Lançado]]/Tabela4[[#This Row],[Compr. Prev.]]),"")</f>
        <v/>
      </c>
      <c r="P335" s="24" t="str">
        <f ca="1">IFERROR(VLOOKUP(Tabela4[[#This Row],[Cabo]],BD!A:V,11,0),"")</f>
        <v/>
      </c>
      <c r="Q335" s="24" t="str">
        <f ca="1">IFERROR(VLOOKUP(Tabela4[[#This Row],[Cabo]],BD!A:V,12,0),"")</f>
        <v/>
      </c>
      <c r="R33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5" s="23" t="str">
        <f ca="1">IF(Tabela4[[#This Row],[Cabo]]&lt;&gt;"",4-COUNTIF(Tabela4[[#This Row],[Teste de Continuidade]:[Hipot]],"---"),"")</f>
        <v/>
      </c>
      <c r="W335" s="29" t="str">
        <f ca="1">IF(Tabela4[[#This Row],[Cabo]]&lt;&gt;"",(COUNTIF(Tabela4[[#This Row],[Teste de Continuidade]:[Hipot]],"OK"))/(4-COUNTIF(Tabela4[[#This Row],[Teste de Continuidade]:[Hipot]],"---")),"")</f>
        <v/>
      </c>
      <c r="X335" s="23" t="str">
        <f ca="1">IF(Tabela4[[#This Row],[Cabo]]&lt;&gt;"",SUMIFS('Lançamento de Cabos'!$AF:$AF,'Lançamento de Cabos'!AE:AE,Tabela4[[#This Row],[Cabo]],'Lançamento de Cabos'!AJ:AJ,Área!$B$1),"")</f>
        <v/>
      </c>
      <c r="Y335" s="23" t="str">
        <f ca="1">IF(Tabela4[[#This Row],[Cabo]]&lt;&gt;"",SUMIFS('Lançamento de Cabos'!$AG:$AG,'Lançamento de Cabos'!AE:AE,Tabela4[[#This Row],[Cabo]],'Lançamento de Cabos'!AJ:AJ,Área!$B$1),"")</f>
        <v/>
      </c>
      <c r="Z335" s="23" t="e">
        <f ca="1">VLOOKUP(Tabela4[[#This Row],[Cabo]],BD!A:AB,28,0)</f>
        <v>#N/A</v>
      </c>
    </row>
    <row r="336" spans="3:26" x14ac:dyDescent="0.25">
      <c r="C336" s="391" t="str">
        <f ca="1">IF($B$1="Geral",Tabela1[[#This Row],[Tag do Cabo]],IFERROR(INDEX(INDIRECT("BD!$A"&amp;D336&amp;":$A100000"),E336,1),""))</f>
        <v/>
      </c>
      <c r="D336" s="391" t="str">
        <f t="shared" ca="1" si="14"/>
        <v/>
      </c>
      <c r="E336" s="391" t="str">
        <f t="shared" ca="1" si="15"/>
        <v/>
      </c>
      <c r="F336" s="23" t="str">
        <f ca="1">IFERROR(VLOOKUP(Tabela4[[#This Row],[Cabo]],BD!A:V,2,0),"")</f>
        <v/>
      </c>
      <c r="G336" s="391" t="str">
        <f ca="1">IFERROR(VLOOKUP(Tabela4[[#This Row],[Cabo]],BD!A:V,5,0),"")</f>
        <v/>
      </c>
      <c r="H336" s="23" t="str">
        <f ca="1">IFERROR(VLOOKUP(Tabela4[[#This Row],[Cabo]],BD!A:V,3,0),"")</f>
        <v/>
      </c>
      <c r="I336" s="23" t="str">
        <f ca="1">IFERROR(VLOOKUP(Tabela4[[#This Row],[Cabo]],BD!A:V,4,0),"")</f>
        <v/>
      </c>
      <c r="J336" s="23" t="str">
        <f ca="1">IFERROR(VLOOKUP(Tabela4[[#This Row],[Cabo]],BD!A:V,7,0),"")</f>
        <v/>
      </c>
      <c r="K33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6" s="23" t="str">
        <f ca="1">IFERROR(VLOOKUP(Tabela4[[#This Row],[Cabo]],BD!A:V,9,0),"")</f>
        <v/>
      </c>
      <c r="M336" s="23" t="str">
        <f ca="1">IFERROR(VLOOKUP(Tabela4[[#This Row],[Cabo]],BD!A:AD,30,0),"")</f>
        <v/>
      </c>
      <c r="N336" s="23" t="str">
        <f ca="1">IF(SUMIF('Lançamento de Cabos'!B:B,Tabela4[[#This Row],[Cabo]],'Lançamento de Cabos'!C:C)=0,"",SUMIF('Lançamento de Cabos'!B:B,Tabela4[[#This Row],[Cabo]],'Lançamento de Cabos'!C:C))</f>
        <v/>
      </c>
      <c r="O336" s="28" t="str">
        <f ca="1">IFERROR(IF(Tabela4[[#This Row],[Compr. Lançado]]/Tabela4[[#This Row],[Compr. Prev.]]&gt;1,1,Tabela4[[#This Row],[Compr. Lançado]]/Tabela4[[#This Row],[Compr. Prev.]]),"")</f>
        <v/>
      </c>
      <c r="P336" s="24" t="str">
        <f ca="1">IFERROR(VLOOKUP(Tabela4[[#This Row],[Cabo]],BD!A:V,11,0),"")</f>
        <v/>
      </c>
      <c r="Q336" s="24" t="str">
        <f ca="1">IFERROR(VLOOKUP(Tabela4[[#This Row],[Cabo]],BD!A:V,12,0),"")</f>
        <v/>
      </c>
      <c r="R33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6" s="23" t="str">
        <f ca="1">IF(Tabela4[[#This Row],[Cabo]]&lt;&gt;"",4-COUNTIF(Tabela4[[#This Row],[Teste de Continuidade]:[Hipot]],"---"),"")</f>
        <v/>
      </c>
      <c r="W336" s="29" t="str">
        <f ca="1">IF(Tabela4[[#This Row],[Cabo]]&lt;&gt;"",(COUNTIF(Tabela4[[#This Row],[Teste de Continuidade]:[Hipot]],"OK"))/(4-COUNTIF(Tabela4[[#This Row],[Teste de Continuidade]:[Hipot]],"---")),"")</f>
        <v/>
      </c>
      <c r="X336" s="23" t="str">
        <f ca="1">IF(Tabela4[[#This Row],[Cabo]]&lt;&gt;"",SUMIFS('Lançamento de Cabos'!$AF:$AF,'Lançamento de Cabos'!AE:AE,Tabela4[[#This Row],[Cabo]],'Lançamento de Cabos'!AJ:AJ,Área!$B$1),"")</f>
        <v/>
      </c>
      <c r="Y336" s="23" t="str">
        <f ca="1">IF(Tabela4[[#This Row],[Cabo]]&lt;&gt;"",SUMIFS('Lançamento de Cabos'!$AG:$AG,'Lançamento de Cabos'!AE:AE,Tabela4[[#This Row],[Cabo]],'Lançamento de Cabos'!AJ:AJ,Área!$B$1),"")</f>
        <v/>
      </c>
      <c r="Z336" s="23" t="e">
        <f ca="1">VLOOKUP(Tabela4[[#This Row],[Cabo]],BD!A:AB,28,0)</f>
        <v>#N/A</v>
      </c>
    </row>
    <row r="337" spans="3:26" x14ac:dyDescent="0.25">
      <c r="C337" s="391" t="str">
        <f ca="1">IF($B$1="Geral",Tabela1[[#This Row],[Tag do Cabo]],IFERROR(INDEX(INDIRECT("BD!$A"&amp;D337&amp;":$A100000"),E337,1),""))</f>
        <v/>
      </c>
      <c r="D337" s="391" t="str">
        <f t="shared" ca="1" si="14"/>
        <v/>
      </c>
      <c r="E337" s="391" t="str">
        <f t="shared" ca="1" si="15"/>
        <v/>
      </c>
      <c r="F337" s="23" t="str">
        <f ca="1">IFERROR(VLOOKUP(Tabela4[[#This Row],[Cabo]],BD!A:V,2,0),"")</f>
        <v/>
      </c>
      <c r="G337" s="391" t="str">
        <f ca="1">IFERROR(VLOOKUP(Tabela4[[#This Row],[Cabo]],BD!A:V,5,0),"")</f>
        <v/>
      </c>
      <c r="H337" s="23" t="str">
        <f ca="1">IFERROR(VLOOKUP(Tabela4[[#This Row],[Cabo]],BD!A:V,3,0),"")</f>
        <v/>
      </c>
      <c r="I337" s="23" t="str">
        <f ca="1">IFERROR(VLOOKUP(Tabela4[[#This Row],[Cabo]],BD!A:V,4,0),"")</f>
        <v/>
      </c>
      <c r="J337" s="23" t="str">
        <f ca="1">IFERROR(VLOOKUP(Tabela4[[#This Row],[Cabo]],BD!A:V,7,0),"")</f>
        <v/>
      </c>
      <c r="K33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7" s="23" t="str">
        <f ca="1">IFERROR(VLOOKUP(Tabela4[[#This Row],[Cabo]],BD!A:V,9,0),"")</f>
        <v/>
      </c>
      <c r="M337" s="23" t="str">
        <f ca="1">IFERROR(VLOOKUP(Tabela4[[#This Row],[Cabo]],BD!A:AD,30,0),"")</f>
        <v/>
      </c>
      <c r="N337" s="23" t="str">
        <f ca="1">IF(SUMIF('Lançamento de Cabos'!B:B,Tabela4[[#This Row],[Cabo]],'Lançamento de Cabos'!C:C)=0,"",SUMIF('Lançamento de Cabos'!B:B,Tabela4[[#This Row],[Cabo]],'Lançamento de Cabos'!C:C))</f>
        <v/>
      </c>
      <c r="O337" s="28" t="str">
        <f ca="1">IFERROR(IF(Tabela4[[#This Row],[Compr. Lançado]]/Tabela4[[#This Row],[Compr. Prev.]]&gt;1,1,Tabela4[[#This Row],[Compr. Lançado]]/Tabela4[[#This Row],[Compr. Prev.]]),"")</f>
        <v/>
      </c>
      <c r="P337" s="24" t="str">
        <f ca="1">IFERROR(VLOOKUP(Tabela4[[#This Row],[Cabo]],BD!A:V,11,0),"")</f>
        <v/>
      </c>
      <c r="Q337" s="24" t="str">
        <f ca="1">IFERROR(VLOOKUP(Tabela4[[#This Row],[Cabo]],BD!A:V,12,0),"")</f>
        <v/>
      </c>
      <c r="R33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7" s="23" t="str">
        <f ca="1">IF(Tabela4[[#This Row],[Cabo]]&lt;&gt;"",4-COUNTIF(Tabela4[[#This Row],[Teste de Continuidade]:[Hipot]],"---"),"")</f>
        <v/>
      </c>
      <c r="W337" s="29" t="str">
        <f ca="1">IF(Tabela4[[#This Row],[Cabo]]&lt;&gt;"",(COUNTIF(Tabela4[[#This Row],[Teste de Continuidade]:[Hipot]],"OK"))/(4-COUNTIF(Tabela4[[#This Row],[Teste de Continuidade]:[Hipot]],"---")),"")</f>
        <v/>
      </c>
      <c r="X337" s="23" t="str">
        <f ca="1">IF(Tabela4[[#This Row],[Cabo]]&lt;&gt;"",SUMIFS('Lançamento de Cabos'!$AF:$AF,'Lançamento de Cabos'!AE:AE,Tabela4[[#This Row],[Cabo]],'Lançamento de Cabos'!AJ:AJ,Área!$B$1),"")</f>
        <v/>
      </c>
      <c r="Y337" s="23" t="str">
        <f ca="1">IF(Tabela4[[#This Row],[Cabo]]&lt;&gt;"",SUMIFS('Lançamento de Cabos'!$AG:$AG,'Lançamento de Cabos'!AE:AE,Tabela4[[#This Row],[Cabo]],'Lançamento de Cabos'!AJ:AJ,Área!$B$1),"")</f>
        <v/>
      </c>
      <c r="Z337" s="23" t="e">
        <f ca="1">VLOOKUP(Tabela4[[#This Row],[Cabo]],BD!A:AB,28,0)</f>
        <v>#N/A</v>
      </c>
    </row>
    <row r="338" spans="3:26" x14ac:dyDescent="0.25">
      <c r="C338" s="391" t="str">
        <f ca="1">IF($B$1="Geral",Tabela1[[#This Row],[Tag do Cabo]],IFERROR(INDEX(INDIRECT("BD!$A"&amp;D338&amp;":$A100000"),E338,1),""))</f>
        <v/>
      </c>
      <c r="D338" s="391" t="str">
        <f t="shared" ca="1" si="14"/>
        <v/>
      </c>
      <c r="E338" s="391" t="str">
        <f t="shared" ca="1" si="15"/>
        <v/>
      </c>
      <c r="F338" s="23" t="str">
        <f ca="1">IFERROR(VLOOKUP(Tabela4[[#This Row],[Cabo]],BD!A:V,2,0),"")</f>
        <v/>
      </c>
      <c r="G338" s="391" t="str">
        <f ca="1">IFERROR(VLOOKUP(Tabela4[[#This Row],[Cabo]],BD!A:V,5,0),"")</f>
        <v/>
      </c>
      <c r="H338" s="23" t="str">
        <f ca="1">IFERROR(VLOOKUP(Tabela4[[#This Row],[Cabo]],BD!A:V,3,0),"")</f>
        <v/>
      </c>
      <c r="I338" s="23" t="str">
        <f ca="1">IFERROR(VLOOKUP(Tabela4[[#This Row],[Cabo]],BD!A:V,4,0),"")</f>
        <v/>
      </c>
      <c r="J338" s="23" t="str">
        <f ca="1">IFERROR(VLOOKUP(Tabela4[[#This Row],[Cabo]],BD!A:V,7,0),"")</f>
        <v/>
      </c>
      <c r="K33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8" s="23" t="str">
        <f ca="1">IFERROR(VLOOKUP(Tabela4[[#This Row],[Cabo]],BD!A:V,9,0),"")</f>
        <v/>
      </c>
      <c r="M338" s="23" t="str">
        <f ca="1">IFERROR(VLOOKUP(Tabela4[[#This Row],[Cabo]],BD!A:AD,30,0),"")</f>
        <v/>
      </c>
      <c r="N338" s="23" t="str">
        <f ca="1">IF(SUMIF('Lançamento de Cabos'!B:B,Tabela4[[#This Row],[Cabo]],'Lançamento de Cabos'!C:C)=0,"",SUMIF('Lançamento de Cabos'!B:B,Tabela4[[#This Row],[Cabo]],'Lançamento de Cabos'!C:C))</f>
        <v/>
      </c>
      <c r="O338" s="28" t="str">
        <f ca="1">IFERROR(IF(Tabela4[[#This Row],[Compr. Lançado]]/Tabela4[[#This Row],[Compr. Prev.]]&gt;1,1,Tabela4[[#This Row],[Compr. Lançado]]/Tabela4[[#This Row],[Compr. Prev.]]),"")</f>
        <v/>
      </c>
      <c r="P338" s="24" t="str">
        <f ca="1">IFERROR(VLOOKUP(Tabela4[[#This Row],[Cabo]],BD!A:V,11,0),"")</f>
        <v/>
      </c>
      <c r="Q338" s="24" t="str">
        <f ca="1">IFERROR(VLOOKUP(Tabela4[[#This Row],[Cabo]],BD!A:V,12,0),"")</f>
        <v/>
      </c>
      <c r="R33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8" s="23" t="str">
        <f ca="1">IF(Tabela4[[#This Row],[Cabo]]&lt;&gt;"",4-COUNTIF(Tabela4[[#This Row],[Teste de Continuidade]:[Hipot]],"---"),"")</f>
        <v/>
      </c>
      <c r="W338" s="29" t="str">
        <f ca="1">IF(Tabela4[[#This Row],[Cabo]]&lt;&gt;"",(COUNTIF(Tabela4[[#This Row],[Teste de Continuidade]:[Hipot]],"OK"))/(4-COUNTIF(Tabela4[[#This Row],[Teste de Continuidade]:[Hipot]],"---")),"")</f>
        <v/>
      </c>
      <c r="X338" s="23" t="str">
        <f ca="1">IF(Tabela4[[#This Row],[Cabo]]&lt;&gt;"",SUMIFS('Lançamento de Cabos'!$AF:$AF,'Lançamento de Cabos'!AE:AE,Tabela4[[#This Row],[Cabo]],'Lançamento de Cabos'!AJ:AJ,Área!$B$1),"")</f>
        <v/>
      </c>
      <c r="Y338" s="23" t="str">
        <f ca="1">IF(Tabela4[[#This Row],[Cabo]]&lt;&gt;"",SUMIFS('Lançamento de Cabos'!$AG:$AG,'Lançamento de Cabos'!AE:AE,Tabela4[[#This Row],[Cabo]],'Lançamento de Cabos'!AJ:AJ,Área!$B$1),"")</f>
        <v/>
      </c>
      <c r="Z338" s="23" t="e">
        <f ca="1">VLOOKUP(Tabela4[[#This Row],[Cabo]],BD!A:AB,28,0)</f>
        <v>#N/A</v>
      </c>
    </row>
    <row r="339" spans="3:26" x14ac:dyDescent="0.25">
      <c r="C339" s="391" t="str">
        <f ca="1">IF($B$1="Geral",Tabela1[[#This Row],[Tag do Cabo]],IFERROR(INDEX(INDIRECT("BD!$A"&amp;D339&amp;":$A100000"),E339,1),""))</f>
        <v/>
      </c>
      <c r="D339" s="391" t="str">
        <f t="shared" ca="1" si="14"/>
        <v/>
      </c>
      <c r="E339" s="391" t="str">
        <f t="shared" ca="1" si="15"/>
        <v/>
      </c>
      <c r="F339" s="23" t="str">
        <f ca="1">IFERROR(VLOOKUP(Tabela4[[#This Row],[Cabo]],BD!A:V,2,0),"")</f>
        <v/>
      </c>
      <c r="G339" s="391" t="str">
        <f ca="1">IFERROR(VLOOKUP(Tabela4[[#This Row],[Cabo]],BD!A:V,5,0),"")</f>
        <v/>
      </c>
      <c r="H339" s="23" t="str">
        <f ca="1">IFERROR(VLOOKUP(Tabela4[[#This Row],[Cabo]],BD!A:V,3,0),"")</f>
        <v/>
      </c>
      <c r="I339" s="23" t="str">
        <f ca="1">IFERROR(VLOOKUP(Tabela4[[#This Row],[Cabo]],BD!A:V,4,0),"")</f>
        <v/>
      </c>
      <c r="J339" s="23" t="str">
        <f ca="1">IFERROR(VLOOKUP(Tabela4[[#This Row],[Cabo]],BD!A:V,7,0),"")</f>
        <v/>
      </c>
      <c r="K33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39" s="23" t="str">
        <f ca="1">IFERROR(VLOOKUP(Tabela4[[#This Row],[Cabo]],BD!A:V,9,0),"")</f>
        <v/>
      </c>
      <c r="M339" s="23" t="str">
        <f ca="1">IFERROR(VLOOKUP(Tabela4[[#This Row],[Cabo]],BD!A:AD,30,0),"")</f>
        <v/>
      </c>
      <c r="N339" s="23" t="str">
        <f ca="1">IF(SUMIF('Lançamento de Cabos'!B:B,Tabela4[[#This Row],[Cabo]],'Lançamento de Cabos'!C:C)=0,"",SUMIF('Lançamento de Cabos'!B:B,Tabela4[[#This Row],[Cabo]],'Lançamento de Cabos'!C:C))</f>
        <v/>
      </c>
      <c r="O339" s="28" t="str">
        <f ca="1">IFERROR(IF(Tabela4[[#This Row],[Compr. Lançado]]/Tabela4[[#This Row],[Compr. Prev.]]&gt;1,1,Tabela4[[#This Row],[Compr. Lançado]]/Tabela4[[#This Row],[Compr. Prev.]]),"")</f>
        <v/>
      </c>
      <c r="P339" s="24" t="str">
        <f ca="1">IFERROR(VLOOKUP(Tabela4[[#This Row],[Cabo]],BD!A:V,11,0),"")</f>
        <v/>
      </c>
      <c r="Q339" s="24" t="str">
        <f ca="1">IFERROR(VLOOKUP(Tabela4[[#This Row],[Cabo]],BD!A:V,12,0),"")</f>
        <v/>
      </c>
      <c r="R33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3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3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3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39" s="23" t="str">
        <f ca="1">IF(Tabela4[[#This Row],[Cabo]]&lt;&gt;"",4-COUNTIF(Tabela4[[#This Row],[Teste de Continuidade]:[Hipot]],"---"),"")</f>
        <v/>
      </c>
      <c r="W339" s="29" t="str">
        <f ca="1">IF(Tabela4[[#This Row],[Cabo]]&lt;&gt;"",(COUNTIF(Tabela4[[#This Row],[Teste de Continuidade]:[Hipot]],"OK"))/(4-COUNTIF(Tabela4[[#This Row],[Teste de Continuidade]:[Hipot]],"---")),"")</f>
        <v/>
      </c>
      <c r="X339" s="23" t="str">
        <f ca="1">IF(Tabela4[[#This Row],[Cabo]]&lt;&gt;"",SUMIFS('Lançamento de Cabos'!$AF:$AF,'Lançamento de Cabos'!AE:AE,Tabela4[[#This Row],[Cabo]],'Lançamento de Cabos'!AJ:AJ,Área!$B$1),"")</f>
        <v/>
      </c>
      <c r="Y339" s="23" t="str">
        <f ca="1">IF(Tabela4[[#This Row],[Cabo]]&lt;&gt;"",SUMIFS('Lançamento de Cabos'!$AG:$AG,'Lançamento de Cabos'!AE:AE,Tabela4[[#This Row],[Cabo]],'Lançamento de Cabos'!AJ:AJ,Área!$B$1),"")</f>
        <v/>
      </c>
      <c r="Z339" s="23" t="e">
        <f ca="1">VLOOKUP(Tabela4[[#This Row],[Cabo]],BD!A:AB,28,0)</f>
        <v>#N/A</v>
      </c>
    </row>
    <row r="340" spans="3:26" x14ac:dyDescent="0.25">
      <c r="C340" s="391" t="str">
        <f ca="1">IF($B$1="Geral",Tabela1[[#This Row],[Tag do Cabo]],IFERROR(INDEX(INDIRECT("BD!$A"&amp;D340&amp;":$A100000"),E340,1),""))</f>
        <v/>
      </c>
      <c r="D340" s="391" t="str">
        <f t="shared" ca="1" si="14"/>
        <v/>
      </c>
      <c r="E340" s="391" t="str">
        <f t="shared" ca="1" si="15"/>
        <v/>
      </c>
      <c r="F340" s="23" t="str">
        <f ca="1">IFERROR(VLOOKUP(Tabela4[[#This Row],[Cabo]],BD!A:V,2,0),"")</f>
        <v/>
      </c>
      <c r="G340" s="391" t="str">
        <f ca="1">IFERROR(VLOOKUP(Tabela4[[#This Row],[Cabo]],BD!A:V,5,0),"")</f>
        <v/>
      </c>
      <c r="H340" s="23" t="str">
        <f ca="1">IFERROR(VLOOKUP(Tabela4[[#This Row],[Cabo]],BD!A:V,3,0),"")</f>
        <v/>
      </c>
      <c r="I340" s="23" t="str">
        <f ca="1">IFERROR(VLOOKUP(Tabela4[[#This Row],[Cabo]],BD!A:V,4,0),"")</f>
        <v/>
      </c>
      <c r="J340" s="23" t="str">
        <f ca="1">IFERROR(VLOOKUP(Tabela4[[#This Row],[Cabo]],BD!A:V,7,0),"")</f>
        <v/>
      </c>
      <c r="K34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0" s="23" t="str">
        <f ca="1">IFERROR(VLOOKUP(Tabela4[[#This Row],[Cabo]],BD!A:V,9,0),"")</f>
        <v/>
      </c>
      <c r="M340" s="23" t="str">
        <f ca="1">IFERROR(VLOOKUP(Tabela4[[#This Row],[Cabo]],BD!A:AD,30,0),"")</f>
        <v/>
      </c>
      <c r="N340" s="23" t="str">
        <f ca="1">IF(SUMIF('Lançamento de Cabos'!B:B,Tabela4[[#This Row],[Cabo]],'Lançamento de Cabos'!C:C)=0,"",SUMIF('Lançamento de Cabos'!B:B,Tabela4[[#This Row],[Cabo]],'Lançamento de Cabos'!C:C))</f>
        <v/>
      </c>
      <c r="O340" s="28" t="str">
        <f ca="1">IFERROR(IF(Tabela4[[#This Row],[Compr. Lançado]]/Tabela4[[#This Row],[Compr. Prev.]]&gt;1,1,Tabela4[[#This Row],[Compr. Lançado]]/Tabela4[[#This Row],[Compr. Prev.]]),"")</f>
        <v/>
      </c>
      <c r="P340" s="24" t="str">
        <f ca="1">IFERROR(VLOOKUP(Tabela4[[#This Row],[Cabo]],BD!A:V,11,0),"")</f>
        <v/>
      </c>
      <c r="Q340" s="24" t="str">
        <f ca="1">IFERROR(VLOOKUP(Tabela4[[#This Row],[Cabo]],BD!A:V,12,0),"")</f>
        <v/>
      </c>
      <c r="R34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0" s="23" t="str">
        <f ca="1">IF(Tabela4[[#This Row],[Cabo]]&lt;&gt;"",4-COUNTIF(Tabela4[[#This Row],[Teste de Continuidade]:[Hipot]],"---"),"")</f>
        <v/>
      </c>
      <c r="W340" s="29" t="str">
        <f ca="1">IF(Tabela4[[#This Row],[Cabo]]&lt;&gt;"",(COUNTIF(Tabela4[[#This Row],[Teste de Continuidade]:[Hipot]],"OK"))/(4-COUNTIF(Tabela4[[#This Row],[Teste de Continuidade]:[Hipot]],"---")),"")</f>
        <v/>
      </c>
      <c r="X340" s="23" t="str">
        <f ca="1">IF(Tabela4[[#This Row],[Cabo]]&lt;&gt;"",SUMIFS('Lançamento de Cabos'!$AF:$AF,'Lançamento de Cabos'!AE:AE,Tabela4[[#This Row],[Cabo]],'Lançamento de Cabos'!AJ:AJ,Área!$B$1),"")</f>
        <v/>
      </c>
      <c r="Y340" s="23" t="str">
        <f ca="1">IF(Tabela4[[#This Row],[Cabo]]&lt;&gt;"",SUMIFS('Lançamento de Cabos'!$AG:$AG,'Lançamento de Cabos'!AE:AE,Tabela4[[#This Row],[Cabo]],'Lançamento de Cabos'!AJ:AJ,Área!$B$1),"")</f>
        <v/>
      </c>
      <c r="Z340" s="23" t="e">
        <f ca="1">VLOOKUP(Tabela4[[#This Row],[Cabo]],BD!A:AB,28,0)</f>
        <v>#N/A</v>
      </c>
    </row>
    <row r="341" spans="3:26" x14ac:dyDescent="0.25">
      <c r="C341" s="391" t="str">
        <f ca="1">IF($B$1="Geral",Tabela1[[#This Row],[Tag do Cabo]],IFERROR(INDEX(INDIRECT("BD!$A"&amp;D341&amp;":$A100000"),E341,1),""))</f>
        <v/>
      </c>
      <c r="D341" s="391" t="str">
        <f t="shared" ca="1" si="14"/>
        <v/>
      </c>
      <c r="E341" s="391" t="str">
        <f t="shared" ca="1" si="15"/>
        <v/>
      </c>
      <c r="F341" s="23" t="str">
        <f ca="1">IFERROR(VLOOKUP(Tabela4[[#This Row],[Cabo]],BD!A:V,2,0),"")</f>
        <v/>
      </c>
      <c r="G341" s="391" t="str">
        <f ca="1">IFERROR(VLOOKUP(Tabela4[[#This Row],[Cabo]],BD!A:V,5,0),"")</f>
        <v/>
      </c>
      <c r="H341" s="23" t="str">
        <f ca="1">IFERROR(VLOOKUP(Tabela4[[#This Row],[Cabo]],BD!A:V,3,0),"")</f>
        <v/>
      </c>
      <c r="I341" s="23" t="str">
        <f ca="1">IFERROR(VLOOKUP(Tabela4[[#This Row],[Cabo]],BD!A:V,4,0),"")</f>
        <v/>
      </c>
      <c r="J341" s="23" t="str">
        <f ca="1">IFERROR(VLOOKUP(Tabela4[[#This Row],[Cabo]],BD!A:V,7,0),"")</f>
        <v/>
      </c>
      <c r="K34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1" s="23" t="str">
        <f ca="1">IFERROR(VLOOKUP(Tabela4[[#This Row],[Cabo]],BD!A:V,9,0),"")</f>
        <v/>
      </c>
      <c r="M341" s="23" t="str">
        <f ca="1">IFERROR(VLOOKUP(Tabela4[[#This Row],[Cabo]],BD!A:AD,30,0),"")</f>
        <v/>
      </c>
      <c r="N341" s="23" t="str">
        <f ca="1">IF(SUMIF('Lançamento de Cabos'!B:B,Tabela4[[#This Row],[Cabo]],'Lançamento de Cabos'!C:C)=0,"",SUMIF('Lançamento de Cabos'!B:B,Tabela4[[#This Row],[Cabo]],'Lançamento de Cabos'!C:C))</f>
        <v/>
      </c>
      <c r="O341" s="28" t="str">
        <f ca="1">IFERROR(IF(Tabela4[[#This Row],[Compr. Lançado]]/Tabela4[[#This Row],[Compr. Prev.]]&gt;1,1,Tabela4[[#This Row],[Compr. Lançado]]/Tabela4[[#This Row],[Compr. Prev.]]),"")</f>
        <v/>
      </c>
      <c r="P341" s="24" t="str">
        <f ca="1">IFERROR(VLOOKUP(Tabela4[[#This Row],[Cabo]],BD!A:V,11,0),"")</f>
        <v/>
      </c>
      <c r="Q341" s="24" t="str">
        <f ca="1">IFERROR(VLOOKUP(Tabela4[[#This Row],[Cabo]],BD!A:V,12,0),"")</f>
        <v/>
      </c>
      <c r="R34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1" s="23" t="str">
        <f ca="1">IF(Tabela4[[#This Row],[Cabo]]&lt;&gt;"",4-COUNTIF(Tabela4[[#This Row],[Teste de Continuidade]:[Hipot]],"---"),"")</f>
        <v/>
      </c>
      <c r="W341" s="29" t="str">
        <f ca="1">IF(Tabela4[[#This Row],[Cabo]]&lt;&gt;"",(COUNTIF(Tabela4[[#This Row],[Teste de Continuidade]:[Hipot]],"OK"))/(4-COUNTIF(Tabela4[[#This Row],[Teste de Continuidade]:[Hipot]],"---")),"")</f>
        <v/>
      </c>
      <c r="X341" s="23" t="str">
        <f ca="1">IF(Tabela4[[#This Row],[Cabo]]&lt;&gt;"",SUMIFS('Lançamento de Cabos'!$AF:$AF,'Lançamento de Cabos'!AE:AE,Tabela4[[#This Row],[Cabo]],'Lançamento de Cabos'!AJ:AJ,Área!$B$1),"")</f>
        <v/>
      </c>
      <c r="Y341" s="23" t="str">
        <f ca="1">IF(Tabela4[[#This Row],[Cabo]]&lt;&gt;"",SUMIFS('Lançamento de Cabos'!$AG:$AG,'Lançamento de Cabos'!AE:AE,Tabela4[[#This Row],[Cabo]],'Lançamento de Cabos'!AJ:AJ,Área!$B$1),"")</f>
        <v/>
      </c>
      <c r="Z341" s="23" t="e">
        <f ca="1">VLOOKUP(Tabela4[[#This Row],[Cabo]],BD!A:AB,28,0)</f>
        <v>#N/A</v>
      </c>
    </row>
    <row r="342" spans="3:26" x14ac:dyDescent="0.25">
      <c r="C342" s="391" t="str">
        <f ca="1">IF($B$1="Geral",Tabela1[[#This Row],[Tag do Cabo]],IFERROR(INDEX(INDIRECT("BD!$A"&amp;D342&amp;":$A100000"),E342,1),""))</f>
        <v/>
      </c>
      <c r="D342" s="391" t="str">
        <f t="shared" ca="1" si="14"/>
        <v/>
      </c>
      <c r="E342" s="391" t="str">
        <f t="shared" ca="1" si="15"/>
        <v/>
      </c>
      <c r="F342" s="23" t="str">
        <f ca="1">IFERROR(VLOOKUP(Tabela4[[#This Row],[Cabo]],BD!A:V,2,0),"")</f>
        <v/>
      </c>
      <c r="G342" s="391" t="str">
        <f ca="1">IFERROR(VLOOKUP(Tabela4[[#This Row],[Cabo]],BD!A:V,5,0),"")</f>
        <v/>
      </c>
      <c r="H342" s="23" t="str">
        <f ca="1">IFERROR(VLOOKUP(Tabela4[[#This Row],[Cabo]],BD!A:V,3,0),"")</f>
        <v/>
      </c>
      <c r="I342" s="23" t="str">
        <f ca="1">IFERROR(VLOOKUP(Tabela4[[#This Row],[Cabo]],BD!A:V,4,0),"")</f>
        <v/>
      </c>
      <c r="J342" s="23" t="str">
        <f ca="1">IFERROR(VLOOKUP(Tabela4[[#This Row],[Cabo]],BD!A:V,7,0),"")</f>
        <v/>
      </c>
      <c r="K34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2" s="23" t="str">
        <f ca="1">IFERROR(VLOOKUP(Tabela4[[#This Row],[Cabo]],BD!A:V,9,0),"")</f>
        <v/>
      </c>
      <c r="M342" s="23" t="str">
        <f ca="1">IFERROR(VLOOKUP(Tabela4[[#This Row],[Cabo]],BD!A:AD,30,0),"")</f>
        <v/>
      </c>
      <c r="N342" s="23" t="str">
        <f ca="1">IF(SUMIF('Lançamento de Cabos'!B:B,Tabela4[[#This Row],[Cabo]],'Lançamento de Cabos'!C:C)=0,"",SUMIF('Lançamento de Cabos'!B:B,Tabela4[[#This Row],[Cabo]],'Lançamento de Cabos'!C:C))</f>
        <v/>
      </c>
      <c r="O342" s="28" t="str">
        <f ca="1">IFERROR(IF(Tabela4[[#This Row],[Compr. Lançado]]/Tabela4[[#This Row],[Compr. Prev.]]&gt;1,1,Tabela4[[#This Row],[Compr. Lançado]]/Tabela4[[#This Row],[Compr. Prev.]]),"")</f>
        <v/>
      </c>
      <c r="P342" s="24" t="str">
        <f ca="1">IFERROR(VLOOKUP(Tabela4[[#This Row],[Cabo]],BD!A:V,11,0),"")</f>
        <v/>
      </c>
      <c r="Q342" s="24" t="str">
        <f ca="1">IFERROR(VLOOKUP(Tabela4[[#This Row],[Cabo]],BD!A:V,12,0),"")</f>
        <v/>
      </c>
      <c r="R34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2" s="23" t="str">
        <f ca="1">IF(Tabela4[[#This Row],[Cabo]]&lt;&gt;"",4-COUNTIF(Tabela4[[#This Row],[Teste de Continuidade]:[Hipot]],"---"),"")</f>
        <v/>
      </c>
      <c r="W342" s="29" t="str">
        <f ca="1">IF(Tabela4[[#This Row],[Cabo]]&lt;&gt;"",(COUNTIF(Tabela4[[#This Row],[Teste de Continuidade]:[Hipot]],"OK"))/(4-COUNTIF(Tabela4[[#This Row],[Teste de Continuidade]:[Hipot]],"---")),"")</f>
        <v/>
      </c>
      <c r="X342" s="23" t="str">
        <f ca="1">IF(Tabela4[[#This Row],[Cabo]]&lt;&gt;"",SUMIFS('Lançamento de Cabos'!$AF:$AF,'Lançamento de Cabos'!AE:AE,Tabela4[[#This Row],[Cabo]],'Lançamento de Cabos'!AJ:AJ,Área!$B$1),"")</f>
        <v/>
      </c>
      <c r="Y342" s="23" t="str">
        <f ca="1">IF(Tabela4[[#This Row],[Cabo]]&lt;&gt;"",SUMIFS('Lançamento de Cabos'!$AG:$AG,'Lançamento de Cabos'!AE:AE,Tabela4[[#This Row],[Cabo]],'Lançamento de Cabos'!AJ:AJ,Área!$B$1),"")</f>
        <v/>
      </c>
      <c r="Z342" s="23" t="e">
        <f ca="1">VLOOKUP(Tabela4[[#This Row],[Cabo]],BD!A:AB,28,0)</f>
        <v>#N/A</v>
      </c>
    </row>
    <row r="343" spans="3:26" x14ac:dyDescent="0.25">
      <c r="C343" s="391" t="str">
        <f ca="1">IF($B$1="Geral",Tabela1[[#This Row],[Tag do Cabo]],IFERROR(INDEX(INDIRECT("BD!$A"&amp;D343&amp;":$A100000"),E343,1),""))</f>
        <v/>
      </c>
      <c r="D343" s="391" t="str">
        <f t="shared" ca="1" si="14"/>
        <v/>
      </c>
      <c r="E343" s="391" t="str">
        <f t="shared" ca="1" si="15"/>
        <v/>
      </c>
      <c r="F343" s="23" t="str">
        <f ca="1">IFERROR(VLOOKUP(Tabela4[[#This Row],[Cabo]],BD!A:V,2,0),"")</f>
        <v/>
      </c>
      <c r="G343" s="391" t="str">
        <f ca="1">IFERROR(VLOOKUP(Tabela4[[#This Row],[Cabo]],BD!A:V,5,0),"")</f>
        <v/>
      </c>
      <c r="H343" s="23" t="str">
        <f ca="1">IFERROR(VLOOKUP(Tabela4[[#This Row],[Cabo]],BD!A:V,3,0),"")</f>
        <v/>
      </c>
      <c r="I343" s="23" t="str">
        <f ca="1">IFERROR(VLOOKUP(Tabela4[[#This Row],[Cabo]],BD!A:V,4,0),"")</f>
        <v/>
      </c>
      <c r="J343" s="23" t="str">
        <f ca="1">IFERROR(VLOOKUP(Tabela4[[#This Row],[Cabo]],BD!A:V,7,0),"")</f>
        <v/>
      </c>
      <c r="K34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3" s="23" t="str">
        <f ca="1">IFERROR(VLOOKUP(Tabela4[[#This Row],[Cabo]],BD!A:V,9,0),"")</f>
        <v/>
      </c>
      <c r="M343" s="23" t="str">
        <f ca="1">IFERROR(VLOOKUP(Tabela4[[#This Row],[Cabo]],BD!A:AD,30,0),"")</f>
        <v/>
      </c>
      <c r="N343" s="23" t="str">
        <f ca="1">IF(SUMIF('Lançamento de Cabos'!B:B,Tabela4[[#This Row],[Cabo]],'Lançamento de Cabos'!C:C)=0,"",SUMIF('Lançamento de Cabos'!B:B,Tabela4[[#This Row],[Cabo]],'Lançamento de Cabos'!C:C))</f>
        <v/>
      </c>
      <c r="O343" s="28" t="str">
        <f ca="1">IFERROR(IF(Tabela4[[#This Row],[Compr. Lançado]]/Tabela4[[#This Row],[Compr. Prev.]]&gt;1,1,Tabela4[[#This Row],[Compr. Lançado]]/Tabela4[[#This Row],[Compr. Prev.]]),"")</f>
        <v/>
      </c>
      <c r="P343" s="24" t="str">
        <f ca="1">IFERROR(VLOOKUP(Tabela4[[#This Row],[Cabo]],BD!A:V,11,0),"")</f>
        <v/>
      </c>
      <c r="Q343" s="24" t="str">
        <f ca="1">IFERROR(VLOOKUP(Tabela4[[#This Row],[Cabo]],BD!A:V,12,0),"")</f>
        <v/>
      </c>
      <c r="R34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3" s="23" t="str">
        <f ca="1">IF(Tabela4[[#This Row],[Cabo]]&lt;&gt;"",4-COUNTIF(Tabela4[[#This Row],[Teste de Continuidade]:[Hipot]],"---"),"")</f>
        <v/>
      </c>
      <c r="W343" s="29" t="str">
        <f ca="1">IF(Tabela4[[#This Row],[Cabo]]&lt;&gt;"",(COUNTIF(Tabela4[[#This Row],[Teste de Continuidade]:[Hipot]],"OK"))/(4-COUNTIF(Tabela4[[#This Row],[Teste de Continuidade]:[Hipot]],"---")),"")</f>
        <v/>
      </c>
      <c r="X343" s="23" t="str">
        <f ca="1">IF(Tabela4[[#This Row],[Cabo]]&lt;&gt;"",SUMIFS('Lançamento de Cabos'!$AF:$AF,'Lançamento de Cabos'!AE:AE,Tabela4[[#This Row],[Cabo]],'Lançamento de Cabos'!AJ:AJ,Área!$B$1),"")</f>
        <v/>
      </c>
      <c r="Y343" s="23" t="str">
        <f ca="1">IF(Tabela4[[#This Row],[Cabo]]&lt;&gt;"",SUMIFS('Lançamento de Cabos'!$AG:$AG,'Lançamento de Cabos'!AE:AE,Tabela4[[#This Row],[Cabo]],'Lançamento de Cabos'!AJ:AJ,Área!$B$1),"")</f>
        <v/>
      </c>
      <c r="Z343" s="23" t="e">
        <f ca="1">VLOOKUP(Tabela4[[#This Row],[Cabo]],BD!A:AB,28,0)</f>
        <v>#N/A</v>
      </c>
    </row>
    <row r="344" spans="3:26" x14ac:dyDescent="0.25">
      <c r="C344" s="391" t="str">
        <f ca="1">IF($B$1="Geral",Tabela1[[#This Row],[Tag do Cabo]],IFERROR(INDEX(INDIRECT("BD!$A"&amp;D344&amp;":$A100000"),E344,1),""))</f>
        <v/>
      </c>
      <c r="D344" s="391" t="str">
        <f t="shared" ca="1" si="14"/>
        <v/>
      </c>
      <c r="E344" s="391" t="str">
        <f t="shared" ca="1" si="15"/>
        <v/>
      </c>
      <c r="F344" s="23" t="str">
        <f ca="1">IFERROR(VLOOKUP(Tabela4[[#This Row],[Cabo]],BD!A:V,2,0),"")</f>
        <v/>
      </c>
      <c r="G344" s="391" t="str">
        <f ca="1">IFERROR(VLOOKUP(Tabela4[[#This Row],[Cabo]],BD!A:V,5,0),"")</f>
        <v/>
      </c>
      <c r="H344" s="23" t="str">
        <f ca="1">IFERROR(VLOOKUP(Tabela4[[#This Row],[Cabo]],BD!A:V,3,0),"")</f>
        <v/>
      </c>
      <c r="I344" s="23" t="str">
        <f ca="1">IFERROR(VLOOKUP(Tabela4[[#This Row],[Cabo]],BD!A:V,4,0),"")</f>
        <v/>
      </c>
      <c r="J344" s="23" t="str">
        <f ca="1">IFERROR(VLOOKUP(Tabela4[[#This Row],[Cabo]],BD!A:V,7,0),"")</f>
        <v/>
      </c>
      <c r="K34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4" s="23" t="str">
        <f ca="1">IFERROR(VLOOKUP(Tabela4[[#This Row],[Cabo]],BD!A:V,9,0),"")</f>
        <v/>
      </c>
      <c r="M344" s="23" t="str">
        <f ca="1">IFERROR(VLOOKUP(Tabela4[[#This Row],[Cabo]],BD!A:AD,30,0),"")</f>
        <v/>
      </c>
      <c r="N344" s="23" t="str">
        <f ca="1">IF(SUMIF('Lançamento de Cabos'!B:B,Tabela4[[#This Row],[Cabo]],'Lançamento de Cabos'!C:C)=0,"",SUMIF('Lançamento de Cabos'!B:B,Tabela4[[#This Row],[Cabo]],'Lançamento de Cabos'!C:C))</f>
        <v/>
      </c>
      <c r="O344" s="28" t="str">
        <f ca="1">IFERROR(IF(Tabela4[[#This Row],[Compr. Lançado]]/Tabela4[[#This Row],[Compr. Prev.]]&gt;1,1,Tabela4[[#This Row],[Compr. Lançado]]/Tabela4[[#This Row],[Compr. Prev.]]),"")</f>
        <v/>
      </c>
      <c r="P344" s="24" t="str">
        <f ca="1">IFERROR(VLOOKUP(Tabela4[[#This Row],[Cabo]],BD!A:V,11,0),"")</f>
        <v/>
      </c>
      <c r="Q344" s="24" t="str">
        <f ca="1">IFERROR(VLOOKUP(Tabela4[[#This Row],[Cabo]],BD!A:V,12,0),"")</f>
        <v/>
      </c>
      <c r="R34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4" s="23" t="str">
        <f ca="1">IF(Tabela4[[#This Row],[Cabo]]&lt;&gt;"",4-COUNTIF(Tabela4[[#This Row],[Teste de Continuidade]:[Hipot]],"---"),"")</f>
        <v/>
      </c>
      <c r="W344" s="29" t="str">
        <f ca="1">IF(Tabela4[[#This Row],[Cabo]]&lt;&gt;"",(COUNTIF(Tabela4[[#This Row],[Teste de Continuidade]:[Hipot]],"OK"))/(4-COUNTIF(Tabela4[[#This Row],[Teste de Continuidade]:[Hipot]],"---")),"")</f>
        <v/>
      </c>
      <c r="X344" s="23" t="str">
        <f ca="1">IF(Tabela4[[#This Row],[Cabo]]&lt;&gt;"",SUMIFS('Lançamento de Cabos'!$AF:$AF,'Lançamento de Cabos'!AE:AE,Tabela4[[#This Row],[Cabo]],'Lançamento de Cabos'!AJ:AJ,Área!$B$1),"")</f>
        <v/>
      </c>
      <c r="Y344" s="23" t="str">
        <f ca="1">IF(Tabela4[[#This Row],[Cabo]]&lt;&gt;"",SUMIFS('Lançamento de Cabos'!$AG:$AG,'Lançamento de Cabos'!AE:AE,Tabela4[[#This Row],[Cabo]],'Lançamento de Cabos'!AJ:AJ,Área!$B$1),"")</f>
        <v/>
      </c>
      <c r="Z344" s="23" t="e">
        <f ca="1">VLOOKUP(Tabela4[[#This Row],[Cabo]],BD!A:AB,28,0)</f>
        <v>#N/A</v>
      </c>
    </row>
    <row r="345" spans="3:26" x14ac:dyDescent="0.25">
      <c r="C345" s="391" t="str">
        <f ca="1">IF($B$1="Geral",Tabela1[[#This Row],[Tag do Cabo]],IFERROR(INDEX(INDIRECT("BD!$A"&amp;D345&amp;":$A100000"),E345,1),""))</f>
        <v/>
      </c>
      <c r="D345" s="391" t="str">
        <f t="shared" ca="1" si="14"/>
        <v/>
      </c>
      <c r="E345" s="391" t="str">
        <f t="shared" ca="1" si="15"/>
        <v/>
      </c>
      <c r="F345" s="23" t="str">
        <f ca="1">IFERROR(VLOOKUP(Tabela4[[#This Row],[Cabo]],BD!A:V,2,0),"")</f>
        <v/>
      </c>
      <c r="G345" s="391" t="str">
        <f ca="1">IFERROR(VLOOKUP(Tabela4[[#This Row],[Cabo]],BD!A:V,5,0),"")</f>
        <v/>
      </c>
      <c r="H345" s="23" t="str">
        <f ca="1">IFERROR(VLOOKUP(Tabela4[[#This Row],[Cabo]],BD!A:V,3,0),"")</f>
        <v/>
      </c>
      <c r="I345" s="23" t="str">
        <f ca="1">IFERROR(VLOOKUP(Tabela4[[#This Row],[Cabo]],BD!A:V,4,0),"")</f>
        <v/>
      </c>
      <c r="J345" s="23" t="str">
        <f ca="1">IFERROR(VLOOKUP(Tabela4[[#This Row],[Cabo]],BD!A:V,7,0),"")</f>
        <v/>
      </c>
      <c r="K34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5" s="23" t="str">
        <f ca="1">IFERROR(VLOOKUP(Tabela4[[#This Row],[Cabo]],BD!A:V,9,0),"")</f>
        <v/>
      </c>
      <c r="M345" s="23" t="str">
        <f ca="1">IFERROR(VLOOKUP(Tabela4[[#This Row],[Cabo]],BD!A:AD,30,0),"")</f>
        <v/>
      </c>
      <c r="N345" s="23" t="str">
        <f ca="1">IF(SUMIF('Lançamento de Cabos'!B:B,Tabela4[[#This Row],[Cabo]],'Lançamento de Cabos'!C:C)=0,"",SUMIF('Lançamento de Cabos'!B:B,Tabela4[[#This Row],[Cabo]],'Lançamento de Cabos'!C:C))</f>
        <v/>
      </c>
      <c r="O345" s="28" t="str">
        <f ca="1">IFERROR(IF(Tabela4[[#This Row],[Compr. Lançado]]/Tabela4[[#This Row],[Compr. Prev.]]&gt;1,1,Tabela4[[#This Row],[Compr. Lançado]]/Tabela4[[#This Row],[Compr. Prev.]]),"")</f>
        <v/>
      </c>
      <c r="P345" s="24" t="str">
        <f ca="1">IFERROR(VLOOKUP(Tabela4[[#This Row],[Cabo]],BD!A:V,11,0),"")</f>
        <v/>
      </c>
      <c r="Q345" s="24" t="str">
        <f ca="1">IFERROR(VLOOKUP(Tabela4[[#This Row],[Cabo]],BD!A:V,12,0),"")</f>
        <v/>
      </c>
      <c r="R34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5" s="23" t="str">
        <f ca="1">IF(Tabela4[[#This Row],[Cabo]]&lt;&gt;"",4-COUNTIF(Tabela4[[#This Row],[Teste de Continuidade]:[Hipot]],"---"),"")</f>
        <v/>
      </c>
      <c r="W345" s="29" t="str">
        <f ca="1">IF(Tabela4[[#This Row],[Cabo]]&lt;&gt;"",(COUNTIF(Tabela4[[#This Row],[Teste de Continuidade]:[Hipot]],"OK"))/(4-COUNTIF(Tabela4[[#This Row],[Teste de Continuidade]:[Hipot]],"---")),"")</f>
        <v/>
      </c>
      <c r="X345" s="23" t="str">
        <f ca="1">IF(Tabela4[[#This Row],[Cabo]]&lt;&gt;"",SUMIFS('Lançamento de Cabos'!$AF:$AF,'Lançamento de Cabos'!AE:AE,Tabela4[[#This Row],[Cabo]],'Lançamento de Cabos'!AJ:AJ,Área!$B$1),"")</f>
        <v/>
      </c>
      <c r="Y345" s="23" t="str">
        <f ca="1">IF(Tabela4[[#This Row],[Cabo]]&lt;&gt;"",SUMIFS('Lançamento de Cabos'!$AG:$AG,'Lançamento de Cabos'!AE:AE,Tabela4[[#This Row],[Cabo]],'Lançamento de Cabos'!AJ:AJ,Área!$B$1),"")</f>
        <v/>
      </c>
      <c r="Z345" s="23" t="e">
        <f ca="1">VLOOKUP(Tabela4[[#This Row],[Cabo]],BD!A:AB,28,0)</f>
        <v>#N/A</v>
      </c>
    </row>
    <row r="346" spans="3:26" x14ac:dyDescent="0.25">
      <c r="C346" s="391" t="str">
        <f ca="1">IF($B$1="Geral",Tabela1[[#This Row],[Tag do Cabo]],IFERROR(INDEX(INDIRECT("BD!$A"&amp;D346&amp;":$A100000"),E346,1),""))</f>
        <v/>
      </c>
      <c r="D346" s="391" t="str">
        <f t="shared" ca="1" si="14"/>
        <v/>
      </c>
      <c r="E346" s="391" t="str">
        <f t="shared" ca="1" si="15"/>
        <v/>
      </c>
      <c r="F346" s="23" t="str">
        <f ca="1">IFERROR(VLOOKUP(Tabela4[[#This Row],[Cabo]],BD!A:V,2,0),"")</f>
        <v/>
      </c>
      <c r="G346" s="391" t="str">
        <f ca="1">IFERROR(VLOOKUP(Tabela4[[#This Row],[Cabo]],BD!A:V,5,0),"")</f>
        <v/>
      </c>
      <c r="H346" s="23" t="str">
        <f ca="1">IFERROR(VLOOKUP(Tabela4[[#This Row],[Cabo]],BD!A:V,3,0),"")</f>
        <v/>
      </c>
      <c r="I346" s="23" t="str">
        <f ca="1">IFERROR(VLOOKUP(Tabela4[[#This Row],[Cabo]],BD!A:V,4,0),"")</f>
        <v/>
      </c>
      <c r="J346" s="23" t="str">
        <f ca="1">IFERROR(VLOOKUP(Tabela4[[#This Row],[Cabo]],BD!A:V,7,0),"")</f>
        <v/>
      </c>
      <c r="K34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6" s="23" t="str">
        <f ca="1">IFERROR(VLOOKUP(Tabela4[[#This Row],[Cabo]],BD!A:V,9,0),"")</f>
        <v/>
      </c>
      <c r="M346" s="23" t="str">
        <f ca="1">IFERROR(VLOOKUP(Tabela4[[#This Row],[Cabo]],BD!A:AD,30,0),"")</f>
        <v/>
      </c>
      <c r="N346" s="23" t="str">
        <f ca="1">IF(SUMIF('Lançamento de Cabos'!B:B,Tabela4[[#This Row],[Cabo]],'Lançamento de Cabos'!C:C)=0,"",SUMIF('Lançamento de Cabos'!B:B,Tabela4[[#This Row],[Cabo]],'Lançamento de Cabos'!C:C))</f>
        <v/>
      </c>
      <c r="O346" s="28" t="str">
        <f ca="1">IFERROR(IF(Tabela4[[#This Row],[Compr. Lançado]]/Tabela4[[#This Row],[Compr. Prev.]]&gt;1,1,Tabela4[[#This Row],[Compr. Lançado]]/Tabela4[[#This Row],[Compr. Prev.]]),"")</f>
        <v/>
      </c>
      <c r="P346" s="24" t="str">
        <f ca="1">IFERROR(VLOOKUP(Tabela4[[#This Row],[Cabo]],BD!A:V,11,0),"")</f>
        <v/>
      </c>
      <c r="Q346" s="24" t="str">
        <f ca="1">IFERROR(VLOOKUP(Tabela4[[#This Row],[Cabo]],BD!A:V,12,0),"")</f>
        <v/>
      </c>
      <c r="R34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6" s="23" t="str">
        <f ca="1">IF(Tabela4[[#This Row],[Cabo]]&lt;&gt;"",4-COUNTIF(Tabela4[[#This Row],[Teste de Continuidade]:[Hipot]],"---"),"")</f>
        <v/>
      </c>
      <c r="W346" s="29" t="str">
        <f ca="1">IF(Tabela4[[#This Row],[Cabo]]&lt;&gt;"",(COUNTIF(Tabela4[[#This Row],[Teste de Continuidade]:[Hipot]],"OK"))/(4-COUNTIF(Tabela4[[#This Row],[Teste de Continuidade]:[Hipot]],"---")),"")</f>
        <v/>
      </c>
      <c r="X346" s="23" t="str">
        <f ca="1">IF(Tabela4[[#This Row],[Cabo]]&lt;&gt;"",SUMIFS('Lançamento de Cabos'!$AF:$AF,'Lançamento de Cabos'!AE:AE,Tabela4[[#This Row],[Cabo]],'Lançamento de Cabos'!AJ:AJ,Área!$B$1),"")</f>
        <v/>
      </c>
      <c r="Y346" s="23" t="str">
        <f ca="1">IF(Tabela4[[#This Row],[Cabo]]&lt;&gt;"",SUMIFS('Lançamento de Cabos'!$AG:$AG,'Lançamento de Cabos'!AE:AE,Tabela4[[#This Row],[Cabo]],'Lançamento de Cabos'!AJ:AJ,Área!$B$1),"")</f>
        <v/>
      </c>
      <c r="Z346" s="23" t="e">
        <f ca="1">VLOOKUP(Tabela4[[#This Row],[Cabo]],BD!A:AB,28,0)</f>
        <v>#N/A</v>
      </c>
    </row>
    <row r="347" spans="3:26" x14ac:dyDescent="0.25">
      <c r="C347" s="391" t="str">
        <f ca="1">IF($B$1="Geral",Tabela1[[#This Row],[Tag do Cabo]],IFERROR(INDEX(INDIRECT("BD!$A"&amp;D347&amp;":$A100000"),E347,1),""))</f>
        <v/>
      </c>
      <c r="D347" s="391" t="str">
        <f t="shared" ca="1" si="14"/>
        <v/>
      </c>
      <c r="E347" s="391" t="str">
        <f t="shared" ca="1" si="15"/>
        <v/>
      </c>
      <c r="F347" s="23" t="str">
        <f ca="1">IFERROR(VLOOKUP(Tabela4[[#This Row],[Cabo]],BD!A:V,2,0),"")</f>
        <v/>
      </c>
      <c r="G347" s="391" t="str">
        <f ca="1">IFERROR(VLOOKUP(Tabela4[[#This Row],[Cabo]],BD!A:V,5,0),"")</f>
        <v/>
      </c>
      <c r="H347" s="23" t="str">
        <f ca="1">IFERROR(VLOOKUP(Tabela4[[#This Row],[Cabo]],BD!A:V,3,0),"")</f>
        <v/>
      </c>
      <c r="I347" s="23" t="str">
        <f ca="1">IFERROR(VLOOKUP(Tabela4[[#This Row],[Cabo]],BD!A:V,4,0),"")</f>
        <v/>
      </c>
      <c r="J347" s="23" t="str">
        <f ca="1">IFERROR(VLOOKUP(Tabela4[[#This Row],[Cabo]],BD!A:V,7,0),"")</f>
        <v/>
      </c>
      <c r="K34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7" s="23" t="str">
        <f ca="1">IFERROR(VLOOKUP(Tabela4[[#This Row],[Cabo]],BD!A:V,9,0),"")</f>
        <v/>
      </c>
      <c r="M347" s="23" t="str">
        <f ca="1">IFERROR(VLOOKUP(Tabela4[[#This Row],[Cabo]],BD!A:AD,30,0),"")</f>
        <v/>
      </c>
      <c r="N347" s="23" t="str">
        <f ca="1">IF(SUMIF('Lançamento de Cabos'!B:B,Tabela4[[#This Row],[Cabo]],'Lançamento de Cabos'!C:C)=0,"",SUMIF('Lançamento de Cabos'!B:B,Tabela4[[#This Row],[Cabo]],'Lançamento de Cabos'!C:C))</f>
        <v/>
      </c>
      <c r="O347" s="28" t="str">
        <f ca="1">IFERROR(IF(Tabela4[[#This Row],[Compr. Lançado]]/Tabela4[[#This Row],[Compr. Prev.]]&gt;1,1,Tabela4[[#This Row],[Compr. Lançado]]/Tabela4[[#This Row],[Compr. Prev.]]),"")</f>
        <v/>
      </c>
      <c r="P347" s="24" t="str">
        <f ca="1">IFERROR(VLOOKUP(Tabela4[[#This Row],[Cabo]],BD!A:V,11,0),"")</f>
        <v/>
      </c>
      <c r="Q347" s="24" t="str">
        <f ca="1">IFERROR(VLOOKUP(Tabela4[[#This Row],[Cabo]],BD!A:V,12,0),"")</f>
        <v/>
      </c>
      <c r="R34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7" s="23" t="str">
        <f ca="1">IF(Tabela4[[#This Row],[Cabo]]&lt;&gt;"",4-COUNTIF(Tabela4[[#This Row],[Teste de Continuidade]:[Hipot]],"---"),"")</f>
        <v/>
      </c>
      <c r="W347" s="29" t="str">
        <f ca="1">IF(Tabela4[[#This Row],[Cabo]]&lt;&gt;"",(COUNTIF(Tabela4[[#This Row],[Teste de Continuidade]:[Hipot]],"OK"))/(4-COUNTIF(Tabela4[[#This Row],[Teste de Continuidade]:[Hipot]],"---")),"")</f>
        <v/>
      </c>
      <c r="X347" s="23" t="str">
        <f ca="1">IF(Tabela4[[#This Row],[Cabo]]&lt;&gt;"",SUMIFS('Lançamento de Cabos'!$AF:$AF,'Lançamento de Cabos'!AE:AE,Tabela4[[#This Row],[Cabo]],'Lançamento de Cabos'!AJ:AJ,Área!$B$1),"")</f>
        <v/>
      </c>
      <c r="Y347" s="23" t="str">
        <f ca="1">IF(Tabela4[[#This Row],[Cabo]]&lt;&gt;"",SUMIFS('Lançamento de Cabos'!$AG:$AG,'Lançamento de Cabos'!AE:AE,Tabela4[[#This Row],[Cabo]],'Lançamento de Cabos'!AJ:AJ,Área!$B$1),"")</f>
        <v/>
      </c>
      <c r="Z347" s="23" t="e">
        <f ca="1">VLOOKUP(Tabela4[[#This Row],[Cabo]],BD!A:AB,28,0)</f>
        <v>#N/A</v>
      </c>
    </row>
    <row r="348" spans="3:26" x14ac:dyDescent="0.25">
      <c r="C348" s="391" t="str">
        <f ca="1">IF($B$1="Geral",Tabela1[[#This Row],[Tag do Cabo]],IFERROR(INDEX(INDIRECT("BD!$A"&amp;D348&amp;":$A100000"),E348,1),""))</f>
        <v/>
      </c>
      <c r="D348" s="391" t="str">
        <f t="shared" ca="1" si="14"/>
        <v/>
      </c>
      <c r="E348" s="391" t="str">
        <f t="shared" ca="1" si="15"/>
        <v/>
      </c>
      <c r="F348" s="23" t="str">
        <f ca="1">IFERROR(VLOOKUP(Tabela4[[#This Row],[Cabo]],BD!A:V,2,0),"")</f>
        <v/>
      </c>
      <c r="G348" s="391" t="str">
        <f ca="1">IFERROR(VLOOKUP(Tabela4[[#This Row],[Cabo]],BD!A:V,5,0),"")</f>
        <v/>
      </c>
      <c r="H348" s="23" t="str">
        <f ca="1">IFERROR(VLOOKUP(Tabela4[[#This Row],[Cabo]],BD!A:V,3,0),"")</f>
        <v/>
      </c>
      <c r="I348" s="23" t="str">
        <f ca="1">IFERROR(VLOOKUP(Tabela4[[#This Row],[Cabo]],BD!A:V,4,0),"")</f>
        <v/>
      </c>
      <c r="J348" s="23" t="str">
        <f ca="1">IFERROR(VLOOKUP(Tabela4[[#This Row],[Cabo]],BD!A:V,7,0),"")</f>
        <v/>
      </c>
      <c r="K34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8" s="23" t="str">
        <f ca="1">IFERROR(VLOOKUP(Tabela4[[#This Row],[Cabo]],BD!A:V,9,0),"")</f>
        <v/>
      </c>
      <c r="M348" s="23" t="str">
        <f ca="1">IFERROR(VLOOKUP(Tabela4[[#This Row],[Cabo]],BD!A:AD,30,0),"")</f>
        <v/>
      </c>
      <c r="N348" s="23" t="str">
        <f ca="1">IF(SUMIF('Lançamento de Cabos'!B:B,Tabela4[[#This Row],[Cabo]],'Lançamento de Cabos'!C:C)=0,"",SUMIF('Lançamento de Cabos'!B:B,Tabela4[[#This Row],[Cabo]],'Lançamento de Cabos'!C:C))</f>
        <v/>
      </c>
      <c r="O348" s="28" t="str">
        <f ca="1">IFERROR(IF(Tabela4[[#This Row],[Compr. Lançado]]/Tabela4[[#This Row],[Compr. Prev.]]&gt;1,1,Tabela4[[#This Row],[Compr. Lançado]]/Tabela4[[#This Row],[Compr. Prev.]]),"")</f>
        <v/>
      </c>
      <c r="P348" s="24" t="str">
        <f ca="1">IFERROR(VLOOKUP(Tabela4[[#This Row],[Cabo]],BD!A:V,11,0),"")</f>
        <v/>
      </c>
      <c r="Q348" s="24" t="str">
        <f ca="1">IFERROR(VLOOKUP(Tabela4[[#This Row],[Cabo]],BD!A:V,12,0),"")</f>
        <v/>
      </c>
      <c r="R34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8" s="23" t="str">
        <f ca="1">IF(Tabela4[[#This Row],[Cabo]]&lt;&gt;"",4-COUNTIF(Tabela4[[#This Row],[Teste de Continuidade]:[Hipot]],"---"),"")</f>
        <v/>
      </c>
      <c r="W348" s="29" t="str">
        <f ca="1">IF(Tabela4[[#This Row],[Cabo]]&lt;&gt;"",(COUNTIF(Tabela4[[#This Row],[Teste de Continuidade]:[Hipot]],"OK"))/(4-COUNTIF(Tabela4[[#This Row],[Teste de Continuidade]:[Hipot]],"---")),"")</f>
        <v/>
      </c>
      <c r="X348" s="23" t="str">
        <f ca="1">IF(Tabela4[[#This Row],[Cabo]]&lt;&gt;"",SUMIFS('Lançamento de Cabos'!$AF:$AF,'Lançamento de Cabos'!AE:AE,Tabela4[[#This Row],[Cabo]],'Lançamento de Cabos'!AJ:AJ,Área!$B$1),"")</f>
        <v/>
      </c>
      <c r="Y348" s="23" t="str">
        <f ca="1">IF(Tabela4[[#This Row],[Cabo]]&lt;&gt;"",SUMIFS('Lançamento de Cabos'!$AG:$AG,'Lançamento de Cabos'!AE:AE,Tabela4[[#This Row],[Cabo]],'Lançamento de Cabos'!AJ:AJ,Área!$B$1),"")</f>
        <v/>
      </c>
      <c r="Z348" s="23" t="e">
        <f ca="1">VLOOKUP(Tabela4[[#This Row],[Cabo]],BD!A:AB,28,0)</f>
        <v>#N/A</v>
      </c>
    </row>
    <row r="349" spans="3:26" x14ac:dyDescent="0.25">
      <c r="C349" s="391" t="str">
        <f ca="1">IF($B$1="Geral",Tabela1[[#This Row],[Tag do Cabo]],IFERROR(INDEX(INDIRECT("BD!$A"&amp;D349&amp;":$A100000"),E349,1),""))</f>
        <v/>
      </c>
      <c r="D349" s="391" t="str">
        <f t="shared" ca="1" si="14"/>
        <v/>
      </c>
      <c r="E349" s="391" t="str">
        <f t="shared" ca="1" si="15"/>
        <v/>
      </c>
      <c r="F349" s="23" t="str">
        <f ca="1">IFERROR(VLOOKUP(Tabela4[[#This Row],[Cabo]],BD!A:V,2,0),"")</f>
        <v/>
      </c>
      <c r="G349" s="391" t="str">
        <f ca="1">IFERROR(VLOOKUP(Tabela4[[#This Row],[Cabo]],BD!A:V,5,0),"")</f>
        <v/>
      </c>
      <c r="H349" s="23" t="str">
        <f ca="1">IFERROR(VLOOKUP(Tabela4[[#This Row],[Cabo]],BD!A:V,3,0),"")</f>
        <v/>
      </c>
      <c r="I349" s="23" t="str">
        <f ca="1">IFERROR(VLOOKUP(Tabela4[[#This Row],[Cabo]],BD!A:V,4,0),"")</f>
        <v/>
      </c>
      <c r="J349" s="23" t="str">
        <f ca="1">IFERROR(VLOOKUP(Tabela4[[#This Row],[Cabo]],BD!A:V,7,0),"")</f>
        <v/>
      </c>
      <c r="K34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49" s="23" t="str">
        <f ca="1">IFERROR(VLOOKUP(Tabela4[[#This Row],[Cabo]],BD!A:V,9,0),"")</f>
        <v/>
      </c>
      <c r="M349" s="23" t="str">
        <f ca="1">IFERROR(VLOOKUP(Tabela4[[#This Row],[Cabo]],BD!A:AD,30,0),"")</f>
        <v/>
      </c>
      <c r="N349" s="23" t="str">
        <f ca="1">IF(SUMIF('Lançamento de Cabos'!B:B,Tabela4[[#This Row],[Cabo]],'Lançamento de Cabos'!C:C)=0,"",SUMIF('Lançamento de Cabos'!B:B,Tabela4[[#This Row],[Cabo]],'Lançamento de Cabos'!C:C))</f>
        <v/>
      </c>
      <c r="O349" s="28" t="str">
        <f ca="1">IFERROR(IF(Tabela4[[#This Row],[Compr. Lançado]]/Tabela4[[#This Row],[Compr. Prev.]]&gt;1,1,Tabela4[[#This Row],[Compr. Lançado]]/Tabela4[[#This Row],[Compr. Prev.]]),"")</f>
        <v/>
      </c>
      <c r="P349" s="24" t="str">
        <f ca="1">IFERROR(VLOOKUP(Tabela4[[#This Row],[Cabo]],BD!A:V,11,0),"")</f>
        <v/>
      </c>
      <c r="Q349" s="24" t="str">
        <f ca="1">IFERROR(VLOOKUP(Tabela4[[#This Row],[Cabo]],BD!A:V,12,0),"")</f>
        <v/>
      </c>
      <c r="R34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4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4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4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49" s="23" t="str">
        <f ca="1">IF(Tabela4[[#This Row],[Cabo]]&lt;&gt;"",4-COUNTIF(Tabela4[[#This Row],[Teste de Continuidade]:[Hipot]],"---"),"")</f>
        <v/>
      </c>
      <c r="W349" s="29" t="str">
        <f ca="1">IF(Tabela4[[#This Row],[Cabo]]&lt;&gt;"",(COUNTIF(Tabela4[[#This Row],[Teste de Continuidade]:[Hipot]],"OK"))/(4-COUNTIF(Tabela4[[#This Row],[Teste de Continuidade]:[Hipot]],"---")),"")</f>
        <v/>
      </c>
      <c r="X349" s="23" t="str">
        <f ca="1">IF(Tabela4[[#This Row],[Cabo]]&lt;&gt;"",SUMIFS('Lançamento de Cabos'!$AF:$AF,'Lançamento de Cabos'!AE:AE,Tabela4[[#This Row],[Cabo]],'Lançamento de Cabos'!AJ:AJ,Área!$B$1),"")</f>
        <v/>
      </c>
      <c r="Y349" s="23" t="str">
        <f ca="1">IF(Tabela4[[#This Row],[Cabo]]&lt;&gt;"",SUMIFS('Lançamento de Cabos'!$AG:$AG,'Lançamento de Cabos'!AE:AE,Tabela4[[#This Row],[Cabo]],'Lançamento de Cabos'!AJ:AJ,Área!$B$1),"")</f>
        <v/>
      </c>
      <c r="Z349" s="23" t="e">
        <f ca="1">VLOOKUP(Tabela4[[#This Row],[Cabo]],BD!A:AB,28,0)</f>
        <v>#N/A</v>
      </c>
    </row>
    <row r="350" spans="3:26" x14ac:dyDescent="0.25">
      <c r="C350" s="391" t="str">
        <f ca="1">IF($B$1="Geral",Tabela1[[#This Row],[Tag do Cabo]],IFERROR(INDEX(INDIRECT("BD!$A"&amp;D350&amp;":$A100000"),E350,1),""))</f>
        <v/>
      </c>
      <c r="D350" s="391" t="str">
        <f t="shared" ca="1" si="14"/>
        <v/>
      </c>
      <c r="E350" s="391" t="str">
        <f t="shared" ca="1" si="15"/>
        <v/>
      </c>
      <c r="F350" s="23" t="str">
        <f ca="1">IFERROR(VLOOKUP(Tabela4[[#This Row],[Cabo]],BD!A:V,2,0),"")</f>
        <v/>
      </c>
      <c r="G350" s="391" t="str">
        <f ca="1">IFERROR(VLOOKUP(Tabela4[[#This Row],[Cabo]],BD!A:V,5,0),"")</f>
        <v/>
      </c>
      <c r="H350" s="23" t="str">
        <f ca="1">IFERROR(VLOOKUP(Tabela4[[#This Row],[Cabo]],BD!A:V,3,0),"")</f>
        <v/>
      </c>
      <c r="I350" s="23" t="str">
        <f ca="1">IFERROR(VLOOKUP(Tabela4[[#This Row],[Cabo]],BD!A:V,4,0),"")</f>
        <v/>
      </c>
      <c r="J350" s="23" t="str">
        <f ca="1">IFERROR(VLOOKUP(Tabela4[[#This Row],[Cabo]],BD!A:V,7,0),"")</f>
        <v/>
      </c>
      <c r="K35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0" s="23" t="str">
        <f ca="1">IFERROR(VLOOKUP(Tabela4[[#This Row],[Cabo]],BD!A:V,9,0),"")</f>
        <v/>
      </c>
      <c r="M350" s="23" t="str">
        <f ca="1">IFERROR(VLOOKUP(Tabela4[[#This Row],[Cabo]],BD!A:AD,30,0),"")</f>
        <v/>
      </c>
      <c r="N350" s="23" t="str">
        <f ca="1">IF(SUMIF('Lançamento de Cabos'!B:B,Tabela4[[#This Row],[Cabo]],'Lançamento de Cabos'!C:C)=0,"",SUMIF('Lançamento de Cabos'!B:B,Tabela4[[#This Row],[Cabo]],'Lançamento de Cabos'!C:C))</f>
        <v/>
      </c>
      <c r="O350" s="28" t="str">
        <f ca="1">IFERROR(IF(Tabela4[[#This Row],[Compr. Lançado]]/Tabela4[[#This Row],[Compr. Prev.]]&gt;1,1,Tabela4[[#This Row],[Compr. Lançado]]/Tabela4[[#This Row],[Compr. Prev.]]),"")</f>
        <v/>
      </c>
      <c r="P350" s="24" t="str">
        <f ca="1">IFERROR(VLOOKUP(Tabela4[[#This Row],[Cabo]],BD!A:V,11,0),"")</f>
        <v/>
      </c>
      <c r="Q350" s="24" t="str">
        <f ca="1">IFERROR(VLOOKUP(Tabela4[[#This Row],[Cabo]],BD!A:V,12,0),"")</f>
        <v/>
      </c>
      <c r="R35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0" s="23" t="str">
        <f ca="1">IF(Tabela4[[#This Row],[Cabo]]&lt;&gt;"",4-COUNTIF(Tabela4[[#This Row],[Teste de Continuidade]:[Hipot]],"---"),"")</f>
        <v/>
      </c>
      <c r="W350" s="29" t="str">
        <f ca="1">IF(Tabela4[[#This Row],[Cabo]]&lt;&gt;"",(COUNTIF(Tabela4[[#This Row],[Teste de Continuidade]:[Hipot]],"OK"))/(4-COUNTIF(Tabela4[[#This Row],[Teste de Continuidade]:[Hipot]],"---")),"")</f>
        <v/>
      </c>
      <c r="X350" s="23" t="str">
        <f ca="1">IF(Tabela4[[#This Row],[Cabo]]&lt;&gt;"",SUMIFS('Lançamento de Cabos'!$AF:$AF,'Lançamento de Cabos'!AE:AE,Tabela4[[#This Row],[Cabo]],'Lançamento de Cabos'!AJ:AJ,Área!$B$1),"")</f>
        <v/>
      </c>
      <c r="Y350" s="23" t="str">
        <f ca="1">IF(Tabela4[[#This Row],[Cabo]]&lt;&gt;"",SUMIFS('Lançamento de Cabos'!$AG:$AG,'Lançamento de Cabos'!AE:AE,Tabela4[[#This Row],[Cabo]],'Lançamento de Cabos'!AJ:AJ,Área!$B$1),"")</f>
        <v/>
      </c>
      <c r="Z350" s="23" t="e">
        <f ca="1">VLOOKUP(Tabela4[[#This Row],[Cabo]],BD!A:AB,28,0)</f>
        <v>#N/A</v>
      </c>
    </row>
    <row r="351" spans="3:26" x14ac:dyDescent="0.25">
      <c r="C351" s="391" t="str">
        <f ca="1">IF($B$1="Geral",Tabela1[[#This Row],[Tag do Cabo]],IFERROR(INDEX(INDIRECT("BD!$A"&amp;D351&amp;":$A100000"),E351,1),""))</f>
        <v/>
      </c>
      <c r="D351" s="391" t="str">
        <f t="shared" ca="1" si="14"/>
        <v/>
      </c>
      <c r="E351" s="391" t="str">
        <f t="shared" ca="1" si="15"/>
        <v/>
      </c>
      <c r="F351" s="23" t="str">
        <f ca="1">IFERROR(VLOOKUP(Tabela4[[#This Row],[Cabo]],BD!A:V,2,0),"")</f>
        <v/>
      </c>
      <c r="G351" s="391" t="str">
        <f ca="1">IFERROR(VLOOKUP(Tabela4[[#This Row],[Cabo]],BD!A:V,5,0),"")</f>
        <v/>
      </c>
      <c r="H351" s="23" t="str">
        <f ca="1">IFERROR(VLOOKUP(Tabela4[[#This Row],[Cabo]],BD!A:V,3,0),"")</f>
        <v/>
      </c>
      <c r="I351" s="23" t="str">
        <f ca="1">IFERROR(VLOOKUP(Tabela4[[#This Row],[Cabo]],BD!A:V,4,0),"")</f>
        <v/>
      </c>
      <c r="J351" s="23" t="str">
        <f ca="1">IFERROR(VLOOKUP(Tabela4[[#This Row],[Cabo]],BD!A:V,7,0),"")</f>
        <v/>
      </c>
      <c r="K35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1" s="23" t="str">
        <f ca="1">IFERROR(VLOOKUP(Tabela4[[#This Row],[Cabo]],BD!A:V,9,0),"")</f>
        <v/>
      </c>
      <c r="M351" s="23" t="str">
        <f ca="1">IFERROR(VLOOKUP(Tabela4[[#This Row],[Cabo]],BD!A:AD,30,0),"")</f>
        <v/>
      </c>
      <c r="N351" s="23" t="str">
        <f ca="1">IF(SUMIF('Lançamento de Cabos'!B:B,Tabela4[[#This Row],[Cabo]],'Lançamento de Cabos'!C:C)=0,"",SUMIF('Lançamento de Cabos'!B:B,Tabela4[[#This Row],[Cabo]],'Lançamento de Cabos'!C:C))</f>
        <v/>
      </c>
      <c r="O351" s="28" t="str">
        <f ca="1">IFERROR(IF(Tabela4[[#This Row],[Compr. Lançado]]/Tabela4[[#This Row],[Compr. Prev.]]&gt;1,1,Tabela4[[#This Row],[Compr. Lançado]]/Tabela4[[#This Row],[Compr. Prev.]]),"")</f>
        <v/>
      </c>
      <c r="P351" s="24" t="str">
        <f ca="1">IFERROR(VLOOKUP(Tabela4[[#This Row],[Cabo]],BD!A:V,11,0),"")</f>
        <v/>
      </c>
      <c r="Q351" s="24" t="str">
        <f ca="1">IFERROR(VLOOKUP(Tabela4[[#This Row],[Cabo]],BD!A:V,12,0),"")</f>
        <v/>
      </c>
      <c r="R35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1" s="23" t="str">
        <f ca="1">IF(Tabela4[[#This Row],[Cabo]]&lt;&gt;"",4-COUNTIF(Tabela4[[#This Row],[Teste de Continuidade]:[Hipot]],"---"),"")</f>
        <v/>
      </c>
      <c r="W351" s="29" t="str">
        <f ca="1">IF(Tabela4[[#This Row],[Cabo]]&lt;&gt;"",(COUNTIF(Tabela4[[#This Row],[Teste de Continuidade]:[Hipot]],"OK"))/(4-COUNTIF(Tabela4[[#This Row],[Teste de Continuidade]:[Hipot]],"---")),"")</f>
        <v/>
      </c>
      <c r="X351" s="23" t="str">
        <f ca="1">IF(Tabela4[[#This Row],[Cabo]]&lt;&gt;"",SUMIFS('Lançamento de Cabos'!$AF:$AF,'Lançamento de Cabos'!AE:AE,Tabela4[[#This Row],[Cabo]],'Lançamento de Cabos'!AJ:AJ,Área!$B$1),"")</f>
        <v/>
      </c>
      <c r="Y351" s="23" t="str">
        <f ca="1">IF(Tabela4[[#This Row],[Cabo]]&lt;&gt;"",SUMIFS('Lançamento de Cabos'!$AG:$AG,'Lançamento de Cabos'!AE:AE,Tabela4[[#This Row],[Cabo]],'Lançamento de Cabos'!AJ:AJ,Área!$B$1),"")</f>
        <v/>
      </c>
      <c r="Z351" s="23" t="e">
        <f ca="1">VLOOKUP(Tabela4[[#This Row],[Cabo]],BD!A:AB,28,0)</f>
        <v>#N/A</v>
      </c>
    </row>
    <row r="352" spans="3:26" x14ac:dyDescent="0.25">
      <c r="C352" s="391" t="str">
        <f ca="1">IF($B$1="Geral",Tabela1[[#This Row],[Tag do Cabo]],IFERROR(INDEX(INDIRECT("BD!$A"&amp;D352&amp;":$A100000"),E352,1),""))</f>
        <v/>
      </c>
      <c r="D352" s="391" t="str">
        <f t="shared" ca="1" si="14"/>
        <v/>
      </c>
      <c r="E352" s="391" t="str">
        <f t="shared" ca="1" si="15"/>
        <v/>
      </c>
      <c r="F352" s="23" t="str">
        <f ca="1">IFERROR(VLOOKUP(Tabela4[[#This Row],[Cabo]],BD!A:V,2,0),"")</f>
        <v/>
      </c>
      <c r="G352" s="391" t="str">
        <f ca="1">IFERROR(VLOOKUP(Tabela4[[#This Row],[Cabo]],BD!A:V,5,0),"")</f>
        <v/>
      </c>
      <c r="H352" s="23" t="str">
        <f ca="1">IFERROR(VLOOKUP(Tabela4[[#This Row],[Cabo]],BD!A:V,3,0),"")</f>
        <v/>
      </c>
      <c r="I352" s="23" t="str">
        <f ca="1">IFERROR(VLOOKUP(Tabela4[[#This Row],[Cabo]],BD!A:V,4,0),"")</f>
        <v/>
      </c>
      <c r="J352" s="23" t="str">
        <f ca="1">IFERROR(VLOOKUP(Tabela4[[#This Row],[Cabo]],BD!A:V,7,0),"")</f>
        <v/>
      </c>
      <c r="K35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2" s="23" t="str">
        <f ca="1">IFERROR(VLOOKUP(Tabela4[[#This Row],[Cabo]],BD!A:V,9,0),"")</f>
        <v/>
      </c>
      <c r="M352" s="23" t="str">
        <f ca="1">IFERROR(VLOOKUP(Tabela4[[#This Row],[Cabo]],BD!A:AD,30,0),"")</f>
        <v/>
      </c>
      <c r="N352" s="23" t="str">
        <f ca="1">IF(SUMIF('Lançamento de Cabos'!B:B,Tabela4[[#This Row],[Cabo]],'Lançamento de Cabos'!C:C)=0,"",SUMIF('Lançamento de Cabos'!B:B,Tabela4[[#This Row],[Cabo]],'Lançamento de Cabos'!C:C))</f>
        <v/>
      </c>
      <c r="O352" s="28" t="str">
        <f ca="1">IFERROR(IF(Tabela4[[#This Row],[Compr. Lançado]]/Tabela4[[#This Row],[Compr. Prev.]]&gt;1,1,Tabela4[[#This Row],[Compr. Lançado]]/Tabela4[[#This Row],[Compr. Prev.]]),"")</f>
        <v/>
      </c>
      <c r="P352" s="24" t="str">
        <f ca="1">IFERROR(VLOOKUP(Tabela4[[#This Row],[Cabo]],BD!A:V,11,0),"")</f>
        <v/>
      </c>
      <c r="Q352" s="24" t="str">
        <f ca="1">IFERROR(VLOOKUP(Tabela4[[#This Row],[Cabo]],BD!A:V,12,0),"")</f>
        <v/>
      </c>
      <c r="R35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2" s="23" t="str">
        <f ca="1">IF(Tabela4[[#This Row],[Cabo]]&lt;&gt;"",4-COUNTIF(Tabela4[[#This Row],[Teste de Continuidade]:[Hipot]],"---"),"")</f>
        <v/>
      </c>
      <c r="W352" s="29" t="str">
        <f ca="1">IF(Tabela4[[#This Row],[Cabo]]&lt;&gt;"",(COUNTIF(Tabela4[[#This Row],[Teste de Continuidade]:[Hipot]],"OK"))/(4-COUNTIF(Tabela4[[#This Row],[Teste de Continuidade]:[Hipot]],"---")),"")</f>
        <v/>
      </c>
      <c r="X352" s="23" t="str">
        <f ca="1">IF(Tabela4[[#This Row],[Cabo]]&lt;&gt;"",SUMIFS('Lançamento de Cabos'!$AF:$AF,'Lançamento de Cabos'!AE:AE,Tabela4[[#This Row],[Cabo]],'Lançamento de Cabos'!AJ:AJ,Área!$B$1),"")</f>
        <v/>
      </c>
      <c r="Y352" s="23" t="str">
        <f ca="1">IF(Tabela4[[#This Row],[Cabo]]&lt;&gt;"",SUMIFS('Lançamento de Cabos'!$AG:$AG,'Lançamento de Cabos'!AE:AE,Tabela4[[#This Row],[Cabo]],'Lançamento de Cabos'!AJ:AJ,Área!$B$1),"")</f>
        <v/>
      </c>
      <c r="Z352" s="23" t="e">
        <f ca="1">VLOOKUP(Tabela4[[#This Row],[Cabo]],BD!A:AB,28,0)</f>
        <v>#N/A</v>
      </c>
    </row>
    <row r="353" spans="3:26" x14ac:dyDescent="0.25">
      <c r="C353" s="391" t="str">
        <f ca="1">IF($B$1="Geral",Tabela1[[#This Row],[Tag do Cabo]],IFERROR(INDEX(INDIRECT("BD!$A"&amp;D353&amp;":$A100000"),E353,1),""))</f>
        <v/>
      </c>
      <c r="D353" s="391" t="str">
        <f t="shared" ca="1" si="14"/>
        <v/>
      </c>
      <c r="E353" s="391" t="str">
        <f t="shared" ca="1" si="15"/>
        <v/>
      </c>
      <c r="F353" s="23" t="str">
        <f ca="1">IFERROR(VLOOKUP(Tabela4[[#This Row],[Cabo]],BD!A:V,2,0),"")</f>
        <v/>
      </c>
      <c r="G353" s="391" t="str">
        <f ca="1">IFERROR(VLOOKUP(Tabela4[[#This Row],[Cabo]],BD!A:V,5,0),"")</f>
        <v/>
      </c>
      <c r="H353" s="23" t="str">
        <f ca="1">IFERROR(VLOOKUP(Tabela4[[#This Row],[Cabo]],BD!A:V,3,0),"")</f>
        <v/>
      </c>
      <c r="I353" s="23" t="str">
        <f ca="1">IFERROR(VLOOKUP(Tabela4[[#This Row],[Cabo]],BD!A:V,4,0),"")</f>
        <v/>
      </c>
      <c r="J353" s="23" t="str">
        <f ca="1">IFERROR(VLOOKUP(Tabela4[[#This Row],[Cabo]],BD!A:V,7,0),"")</f>
        <v/>
      </c>
      <c r="K35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3" s="23" t="str">
        <f ca="1">IFERROR(VLOOKUP(Tabela4[[#This Row],[Cabo]],BD!A:V,9,0),"")</f>
        <v/>
      </c>
      <c r="M353" s="23" t="str">
        <f ca="1">IFERROR(VLOOKUP(Tabela4[[#This Row],[Cabo]],BD!A:AD,30,0),"")</f>
        <v/>
      </c>
      <c r="N353" s="23" t="str">
        <f ca="1">IF(SUMIF('Lançamento de Cabos'!B:B,Tabela4[[#This Row],[Cabo]],'Lançamento de Cabos'!C:C)=0,"",SUMIF('Lançamento de Cabos'!B:B,Tabela4[[#This Row],[Cabo]],'Lançamento de Cabos'!C:C))</f>
        <v/>
      </c>
      <c r="O353" s="28" t="str">
        <f ca="1">IFERROR(IF(Tabela4[[#This Row],[Compr. Lançado]]/Tabela4[[#This Row],[Compr. Prev.]]&gt;1,1,Tabela4[[#This Row],[Compr. Lançado]]/Tabela4[[#This Row],[Compr. Prev.]]),"")</f>
        <v/>
      </c>
      <c r="P353" s="24" t="str">
        <f ca="1">IFERROR(VLOOKUP(Tabela4[[#This Row],[Cabo]],BD!A:V,11,0),"")</f>
        <v/>
      </c>
      <c r="Q353" s="24" t="str">
        <f ca="1">IFERROR(VLOOKUP(Tabela4[[#This Row],[Cabo]],BD!A:V,12,0),"")</f>
        <v/>
      </c>
      <c r="R35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3" s="23" t="str">
        <f ca="1">IF(Tabela4[[#This Row],[Cabo]]&lt;&gt;"",4-COUNTIF(Tabela4[[#This Row],[Teste de Continuidade]:[Hipot]],"---"),"")</f>
        <v/>
      </c>
      <c r="W353" s="29" t="str">
        <f ca="1">IF(Tabela4[[#This Row],[Cabo]]&lt;&gt;"",(COUNTIF(Tabela4[[#This Row],[Teste de Continuidade]:[Hipot]],"OK"))/(4-COUNTIF(Tabela4[[#This Row],[Teste de Continuidade]:[Hipot]],"---")),"")</f>
        <v/>
      </c>
      <c r="X353" s="23" t="str">
        <f ca="1">IF(Tabela4[[#This Row],[Cabo]]&lt;&gt;"",SUMIFS('Lançamento de Cabos'!$AF:$AF,'Lançamento de Cabos'!AE:AE,Tabela4[[#This Row],[Cabo]],'Lançamento de Cabos'!AJ:AJ,Área!$B$1),"")</f>
        <v/>
      </c>
      <c r="Y353" s="23" t="str">
        <f ca="1">IF(Tabela4[[#This Row],[Cabo]]&lt;&gt;"",SUMIFS('Lançamento de Cabos'!$AG:$AG,'Lançamento de Cabos'!AE:AE,Tabela4[[#This Row],[Cabo]],'Lançamento de Cabos'!AJ:AJ,Área!$B$1),"")</f>
        <v/>
      </c>
      <c r="Z353" s="23" t="e">
        <f ca="1">VLOOKUP(Tabela4[[#This Row],[Cabo]],BD!A:AB,28,0)</f>
        <v>#N/A</v>
      </c>
    </row>
    <row r="354" spans="3:26" x14ac:dyDescent="0.25">
      <c r="C354" s="391" t="str">
        <f ca="1">IF($B$1="Geral",Tabela1[[#This Row],[Tag do Cabo]],IFERROR(INDEX(INDIRECT("BD!$A"&amp;D354&amp;":$A100000"),E354,1),""))</f>
        <v/>
      </c>
      <c r="D354" s="391" t="str">
        <f t="shared" ca="1" si="14"/>
        <v/>
      </c>
      <c r="E354" s="391" t="str">
        <f t="shared" ca="1" si="15"/>
        <v/>
      </c>
      <c r="F354" s="23" t="str">
        <f ca="1">IFERROR(VLOOKUP(Tabela4[[#This Row],[Cabo]],BD!A:V,2,0),"")</f>
        <v/>
      </c>
      <c r="G354" s="391" t="str">
        <f ca="1">IFERROR(VLOOKUP(Tabela4[[#This Row],[Cabo]],BD!A:V,5,0),"")</f>
        <v/>
      </c>
      <c r="H354" s="23" t="str">
        <f ca="1">IFERROR(VLOOKUP(Tabela4[[#This Row],[Cabo]],BD!A:V,3,0),"")</f>
        <v/>
      </c>
      <c r="I354" s="23" t="str">
        <f ca="1">IFERROR(VLOOKUP(Tabela4[[#This Row],[Cabo]],BD!A:V,4,0),"")</f>
        <v/>
      </c>
      <c r="J354" s="23" t="str">
        <f ca="1">IFERROR(VLOOKUP(Tabela4[[#This Row],[Cabo]],BD!A:V,7,0),"")</f>
        <v/>
      </c>
      <c r="K35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4" s="23" t="str">
        <f ca="1">IFERROR(VLOOKUP(Tabela4[[#This Row],[Cabo]],BD!A:V,9,0),"")</f>
        <v/>
      </c>
      <c r="M354" s="23" t="str">
        <f ca="1">IFERROR(VLOOKUP(Tabela4[[#This Row],[Cabo]],BD!A:AD,30,0),"")</f>
        <v/>
      </c>
      <c r="N354" s="23" t="str">
        <f ca="1">IF(SUMIF('Lançamento de Cabos'!B:B,Tabela4[[#This Row],[Cabo]],'Lançamento de Cabos'!C:C)=0,"",SUMIF('Lançamento de Cabos'!B:B,Tabela4[[#This Row],[Cabo]],'Lançamento de Cabos'!C:C))</f>
        <v/>
      </c>
      <c r="O354" s="28" t="str">
        <f ca="1">IFERROR(IF(Tabela4[[#This Row],[Compr. Lançado]]/Tabela4[[#This Row],[Compr. Prev.]]&gt;1,1,Tabela4[[#This Row],[Compr. Lançado]]/Tabela4[[#This Row],[Compr. Prev.]]),"")</f>
        <v/>
      </c>
      <c r="P354" s="24" t="str">
        <f ca="1">IFERROR(VLOOKUP(Tabela4[[#This Row],[Cabo]],BD!A:V,11,0),"")</f>
        <v/>
      </c>
      <c r="Q354" s="24" t="str">
        <f ca="1">IFERROR(VLOOKUP(Tabela4[[#This Row],[Cabo]],BD!A:V,12,0),"")</f>
        <v/>
      </c>
      <c r="R35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4" s="23" t="str">
        <f ca="1">IF(Tabela4[[#This Row],[Cabo]]&lt;&gt;"",4-COUNTIF(Tabela4[[#This Row],[Teste de Continuidade]:[Hipot]],"---"),"")</f>
        <v/>
      </c>
      <c r="W354" s="29" t="str">
        <f ca="1">IF(Tabela4[[#This Row],[Cabo]]&lt;&gt;"",(COUNTIF(Tabela4[[#This Row],[Teste de Continuidade]:[Hipot]],"OK"))/(4-COUNTIF(Tabela4[[#This Row],[Teste de Continuidade]:[Hipot]],"---")),"")</f>
        <v/>
      </c>
      <c r="X354" s="23" t="str">
        <f ca="1">IF(Tabela4[[#This Row],[Cabo]]&lt;&gt;"",SUMIFS('Lançamento de Cabos'!$AF:$AF,'Lançamento de Cabos'!AE:AE,Tabela4[[#This Row],[Cabo]],'Lançamento de Cabos'!AJ:AJ,Área!$B$1),"")</f>
        <v/>
      </c>
      <c r="Y354" s="23" t="str">
        <f ca="1">IF(Tabela4[[#This Row],[Cabo]]&lt;&gt;"",SUMIFS('Lançamento de Cabos'!$AG:$AG,'Lançamento de Cabos'!AE:AE,Tabela4[[#This Row],[Cabo]],'Lançamento de Cabos'!AJ:AJ,Área!$B$1),"")</f>
        <v/>
      </c>
      <c r="Z354" s="23" t="e">
        <f ca="1">VLOOKUP(Tabela4[[#This Row],[Cabo]],BD!A:AB,28,0)</f>
        <v>#N/A</v>
      </c>
    </row>
    <row r="355" spans="3:26" x14ac:dyDescent="0.25">
      <c r="C355" s="391" t="str">
        <f ca="1">IF($B$1="Geral",Tabela1[[#This Row],[Tag do Cabo]],IFERROR(INDEX(INDIRECT("BD!$A"&amp;D355&amp;":$A100000"),E355,1),""))</f>
        <v/>
      </c>
      <c r="D355" s="391" t="str">
        <f t="shared" ca="1" si="14"/>
        <v/>
      </c>
      <c r="E355" s="391" t="str">
        <f t="shared" ca="1" si="15"/>
        <v/>
      </c>
      <c r="F355" s="23" t="str">
        <f ca="1">IFERROR(VLOOKUP(Tabela4[[#This Row],[Cabo]],BD!A:V,2,0),"")</f>
        <v/>
      </c>
      <c r="G355" s="391" t="str">
        <f ca="1">IFERROR(VLOOKUP(Tabela4[[#This Row],[Cabo]],BD!A:V,5,0),"")</f>
        <v/>
      </c>
      <c r="H355" s="23" t="str">
        <f ca="1">IFERROR(VLOOKUP(Tabela4[[#This Row],[Cabo]],BD!A:V,3,0),"")</f>
        <v/>
      </c>
      <c r="I355" s="23" t="str">
        <f ca="1">IFERROR(VLOOKUP(Tabela4[[#This Row],[Cabo]],BD!A:V,4,0),"")</f>
        <v/>
      </c>
      <c r="J355" s="23" t="str">
        <f ca="1">IFERROR(VLOOKUP(Tabela4[[#This Row],[Cabo]],BD!A:V,7,0),"")</f>
        <v/>
      </c>
      <c r="K35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5" s="23" t="str">
        <f ca="1">IFERROR(VLOOKUP(Tabela4[[#This Row],[Cabo]],BD!A:V,9,0),"")</f>
        <v/>
      </c>
      <c r="M355" s="23" t="str">
        <f ca="1">IFERROR(VLOOKUP(Tabela4[[#This Row],[Cabo]],BD!A:AD,30,0),"")</f>
        <v/>
      </c>
      <c r="N355" s="23" t="str">
        <f ca="1">IF(SUMIF('Lançamento de Cabos'!B:B,Tabela4[[#This Row],[Cabo]],'Lançamento de Cabos'!C:C)=0,"",SUMIF('Lançamento de Cabos'!B:B,Tabela4[[#This Row],[Cabo]],'Lançamento de Cabos'!C:C))</f>
        <v/>
      </c>
      <c r="O355" s="28" t="str">
        <f ca="1">IFERROR(IF(Tabela4[[#This Row],[Compr. Lançado]]/Tabela4[[#This Row],[Compr. Prev.]]&gt;1,1,Tabela4[[#This Row],[Compr. Lançado]]/Tabela4[[#This Row],[Compr. Prev.]]),"")</f>
        <v/>
      </c>
      <c r="P355" s="24" t="str">
        <f ca="1">IFERROR(VLOOKUP(Tabela4[[#This Row],[Cabo]],BD!A:V,11,0),"")</f>
        <v/>
      </c>
      <c r="Q355" s="24" t="str">
        <f ca="1">IFERROR(VLOOKUP(Tabela4[[#This Row],[Cabo]],BD!A:V,12,0),"")</f>
        <v/>
      </c>
      <c r="R35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5" s="23" t="str">
        <f ca="1">IF(Tabela4[[#This Row],[Cabo]]&lt;&gt;"",4-COUNTIF(Tabela4[[#This Row],[Teste de Continuidade]:[Hipot]],"---"),"")</f>
        <v/>
      </c>
      <c r="W355" s="29" t="str">
        <f ca="1">IF(Tabela4[[#This Row],[Cabo]]&lt;&gt;"",(COUNTIF(Tabela4[[#This Row],[Teste de Continuidade]:[Hipot]],"OK"))/(4-COUNTIF(Tabela4[[#This Row],[Teste de Continuidade]:[Hipot]],"---")),"")</f>
        <v/>
      </c>
      <c r="X355" s="23" t="str">
        <f ca="1">IF(Tabela4[[#This Row],[Cabo]]&lt;&gt;"",SUMIFS('Lançamento de Cabos'!$AF:$AF,'Lançamento de Cabos'!AE:AE,Tabela4[[#This Row],[Cabo]],'Lançamento de Cabos'!AJ:AJ,Área!$B$1),"")</f>
        <v/>
      </c>
      <c r="Y355" s="23" t="str">
        <f ca="1">IF(Tabela4[[#This Row],[Cabo]]&lt;&gt;"",SUMIFS('Lançamento de Cabos'!$AG:$AG,'Lançamento de Cabos'!AE:AE,Tabela4[[#This Row],[Cabo]],'Lançamento de Cabos'!AJ:AJ,Área!$B$1),"")</f>
        <v/>
      </c>
      <c r="Z355" s="23" t="e">
        <f ca="1">VLOOKUP(Tabela4[[#This Row],[Cabo]],BD!A:AB,28,0)</f>
        <v>#N/A</v>
      </c>
    </row>
    <row r="356" spans="3:26" x14ac:dyDescent="0.25">
      <c r="C356" s="391" t="str">
        <f ca="1">IF($B$1="Geral",Tabela1[[#This Row],[Tag do Cabo]],IFERROR(INDEX(INDIRECT("BD!$A"&amp;D356&amp;":$A100000"),E356,1),""))</f>
        <v/>
      </c>
      <c r="D356" s="391" t="str">
        <f t="shared" ca="1" si="14"/>
        <v/>
      </c>
      <c r="E356" s="391" t="str">
        <f t="shared" ca="1" si="15"/>
        <v/>
      </c>
      <c r="F356" s="23" t="str">
        <f ca="1">IFERROR(VLOOKUP(Tabela4[[#This Row],[Cabo]],BD!A:V,2,0),"")</f>
        <v/>
      </c>
      <c r="G356" s="391" t="str">
        <f ca="1">IFERROR(VLOOKUP(Tabela4[[#This Row],[Cabo]],BD!A:V,5,0),"")</f>
        <v/>
      </c>
      <c r="H356" s="23" t="str">
        <f ca="1">IFERROR(VLOOKUP(Tabela4[[#This Row],[Cabo]],BD!A:V,3,0),"")</f>
        <v/>
      </c>
      <c r="I356" s="23" t="str">
        <f ca="1">IFERROR(VLOOKUP(Tabela4[[#This Row],[Cabo]],BD!A:V,4,0),"")</f>
        <v/>
      </c>
      <c r="J356" s="23" t="str">
        <f ca="1">IFERROR(VLOOKUP(Tabela4[[#This Row],[Cabo]],BD!A:V,7,0),"")</f>
        <v/>
      </c>
      <c r="K35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6" s="23" t="str">
        <f ca="1">IFERROR(VLOOKUP(Tabela4[[#This Row],[Cabo]],BD!A:V,9,0),"")</f>
        <v/>
      </c>
      <c r="M356" s="23" t="str">
        <f ca="1">IFERROR(VLOOKUP(Tabela4[[#This Row],[Cabo]],BD!A:AD,30,0),"")</f>
        <v/>
      </c>
      <c r="N356" s="23" t="str">
        <f ca="1">IF(SUMIF('Lançamento de Cabos'!B:B,Tabela4[[#This Row],[Cabo]],'Lançamento de Cabos'!C:C)=0,"",SUMIF('Lançamento de Cabos'!B:B,Tabela4[[#This Row],[Cabo]],'Lançamento de Cabos'!C:C))</f>
        <v/>
      </c>
      <c r="O356" s="28" t="str">
        <f ca="1">IFERROR(IF(Tabela4[[#This Row],[Compr. Lançado]]/Tabela4[[#This Row],[Compr. Prev.]]&gt;1,1,Tabela4[[#This Row],[Compr. Lançado]]/Tabela4[[#This Row],[Compr. Prev.]]),"")</f>
        <v/>
      </c>
      <c r="P356" s="24" t="str">
        <f ca="1">IFERROR(VLOOKUP(Tabela4[[#This Row],[Cabo]],BD!A:V,11,0),"")</f>
        <v/>
      </c>
      <c r="Q356" s="24" t="str">
        <f ca="1">IFERROR(VLOOKUP(Tabela4[[#This Row],[Cabo]],BD!A:V,12,0),"")</f>
        <v/>
      </c>
      <c r="R35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6" s="23" t="str">
        <f ca="1">IF(Tabela4[[#This Row],[Cabo]]&lt;&gt;"",4-COUNTIF(Tabela4[[#This Row],[Teste de Continuidade]:[Hipot]],"---"),"")</f>
        <v/>
      </c>
      <c r="W356" s="29" t="str">
        <f ca="1">IF(Tabela4[[#This Row],[Cabo]]&lt;&gt;"",(COUNTIF(Tabela4[[#This Row],[Teste de Continuidade]:[Hipot]],"OK"))/(4-COUNTIF(Tabela4[[#This Row],[Teste de Continuidade]:[Hipot]],"---")),"")</f>
        <v/>
      </c>
      <c r="X356" s="23" t="str">
        <f ca="1">IF(Tabela4[[#This Row],[Cabo]]&lt;&gt;"",SUMIFS('Lançamento de Cabos'!$AF:$AF,'Lançamento de Cabos'!AE:AE,Tabela4[[#This Row],[Cabo]],'Lançamento de Cabos'!AJ:AJ,Área!$B$1),"")</f>
        <v/>
      </c>
      <c r="Y356" s="23" t="str">
        <f ca="1">IF(Tabela4[[#This Row],[Cabo]]&lt;&gt;"",SUMIFS('Lançamento de Cabos'!$AG:$AG,'Lançamento de Cabos'!AE:AE,Tabela4[[#This Row],[Cabo]],'Lançamento de Cabos'!AJ:AJ,Área!$B$1),"")</f>
        <v/>
      </c>
      <c r="Z356" s="23" t="e">
        <f ca="1">VLOOKUP(Tabela4[[#This Row],[Cabo]],BD!A:AB,28,0)</f>
        <v>#N/A</v>
      </c>
    </row>
    <row r="357" spans="3:26" x14ac:dyDescent="0.25">
      <c r="C357" s="391" t="str">
        <f ca="1">IF($B$1="Geral",Tabela1[[#This Row],[Tag do Cabo]],IFERROR(INDEX(INDIRECT("BD!$A"&amp;D357&amp;":$A100000"),E357,1),""))</f>
        <v/>
      </c>
      <c r="D357" s="391" t="str">
        <f t="shared" ca="1" si="14"/>
        <v/>
      </c>
      <c r="E357" s="391" t="str">
        <f t="shared" ca="1" si="15"/>
        <v/>
      </c>
      <c r="F357" s="23" t="str">
        <f ca="1">IFERROR(VLOOKUP(Tabela4[[#This Row],[Cabo]],BD!A:V,2,0),"")</f>
        <v/>
      </c>
      <c r="G357" s="391" t="str">
        <f ca="1">IFERROR(VLOOKUP(Tabela4[[#This Row],[Cabo]],BD!A:V,5,0),"")</f>
        <v/>
      </c>
      <c r="H357" s="23" t="str">
        <f ca="1">IFERROR(VLOOKUP(Tabela4[[#This Row],[Cabo]],BD!A:V,3,0),"")</f>
        <v/>
      </c>
      <c r="I357" s="23" t="str">
        <f ca="1">IFERROR(VLOOKUP(Tabela4[[#This Row],[Cabo]],BD!A:V,4,0),"")</f>
        <v/>
      </c>
      <c r="J357" s="23" t="str">
        <f ca="1">IFERROR(VLOOKUP(Tabela4[[#This Row],[Cabo]],BD!A:V,7,0),"")</f>
        <v/>
      </c>
      <c r="K35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7" s="23" t="str">
        <f ca="1">IFERROR(VLOOKUP(Tabela4[[#This Row],[Cabo]],BD!A:V,9,0),"")</f>
        <v/>
      </c>
      <c r="M357" s="23" t="str">
        <f ca="1">IFERROR(VLOOKUP(Tabela4[[#This Row],[Cabo]],BD!A:AD,30,0),"")</f>
        <v/>
      </c>
      <c r="N357" s="23" t="str">
        <f ca="1">IF(SUMIF('Lançamento de Cabos'!B:B,Tabela4[[#This Row],[Cabo]],'Lançamento de Cabos'!C:C)=0,"",SUMIF('Lançamento de Cabos'!B:B,Tabela4[[#This Row],[Cabo]],'Lançamento de Cabos'!C:C))</f>
        <v/>
      </c>
      <c r="O357" s="28" t="str">
        <f ca="1">IFERROR(IF(Tabela4[[#This Row],[Compr. Lançado]]/Tabela4[[#This Row],[Compr. Prev.]]&gt;1,1,Tabela4[[#This Row],[Compr. Lançado]]/Tabela4[[#This Row],[Compr. Prev.]]),"")</f>
        <v/>
      </c>
      <c r="P357" s="24" t="str">
        <f ca="1">IFERROR(VLOOKUP(Tabela4[[#This Row],[Cabo]],BD!A:V,11,0),"")</f>
        <v/>
      </c>
      <c r="Q357" s="24" t="str">
        <f ca="1">IFERROR(VLOOKUP(Tabela4[[#This Row],[Cabo]],BD!A:V,12,0),"")</f>
        <v/>
      </c>
      <c r="R35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7" s="23" t="str">
        <f ca="1">IF(Tabela4[[#This Row],[Cabo]]&lt;&gt;"",4-COUNTIF(Tabela4[[#This Row],[Teste de Continuidade]:[Hipot]],"---"),"")</f>
        <v/>
      </c>
      <c r="W357" s="29" t="str">
        <f ca="1">IF(Tabela4[[#This Row],[Cabo]]&lt;&gt;"",(COUNTIF(Tabela4[[#This Row],[Teste de Continuidade]:[Hipot]],"OK"))/(4-COUNTIF(Tabela4[[#This Row],[Teste de Continuidade]:[Hipot]],"---")),"")</f>
        <v/>
      </c>
      <c r="X357" s="23" t="str">
        <f ca="1">IF(Tabela4[[#This Row],[Cabo]]&lt;&gt;"",SUMIFS('Lançamento de Cabos'!$AF:$AF,'Lançamento de Cabos'!AE:AE,Tabela4[[#This Row],[Cabo]],'Lançamento de Cabos'!AJ:AJ,Área!$B$1),"")</f>
        <v/>
      </c>
      <c r="Y357" s="23" t="str">
        <f ca="1">IF(Tabela4[[#This Row],[Cabo]]&lt;&gt;"",SUMIFS('Lançamento de Cabos'!$AG:$AG,'Lançamento de Cabos'!AE:AE,Tabela4[[#This Row],[Cabo]],'Lançamento de Cabos'!AJ:AJ,Área!$B$1),"")</f>
        <v/>
      </c>
      <c r="Z357" s="23" t="e">
        <f ca="1">VLOOKUP(Tabela4[[#This Row],[Cabo]],BD!A:AB,28,0)</f>
        <v>#N/A</v>
      </c>
    </row>
    <row r="358" spans="3:26" x14ac:dyDescent="0.25">
      <c r="C358" s="391" t="str">
        <f ca="1">IF($B$1="Geral",Tabela1[[#This Row],[Tag do Cabo]],IFERROR(INDEX(INDIRECT("BD!$A"&amp;D358&amp;":$A100000"),E358,1),""))</f>
        <v/>
      </c>
      <c r="D358" s="391" t="str">
        <f t="shared" ca="1" si="14"/>
        <v/>
      </c>
      <c r="E358" s="391" t="str">
        <f t="shared" ca="1" si="15"/>
        <v/>
      </c>
      <c r="F358" s="23" t="str">
        <f ca="1">IFERROR(VLOOKUP(Tabela4[[#This Row],[Cabo]],BD!A:V,2,0),"")</f>
        <v/>
      </c>
      <c r="G358" s="391" t="str">
        <f ca="1">IFERROR(VLOOKUP(Tabela4[[#This Row],[Cabo]],BD!A:V,5,0),"")</f>
        <v/>
      </c>
      <c r="H358" s="23" t="str">
        <f ca="1">IFERROR(VLOOKUP(Tabela4[[#This Row],[Cabo]],BD!A:V,3,0),"")</f>
        <v/>
      </c>
      <c r="I358" s="23" t="str">
        <f ca="1">IFERROR(VLOOKUP(Tabela4[[#This Row],[Cabo]],BD!A:V,4,0),"")</f>
        <v/>
      </c>
      <c r="J358" s="23" t="str">
        <f ca="1">IFERROR(VLOOKUP(Tabela4[[#This Row],[Cabo]],BD!A:V,7,0),"")</f>
        <v/>
      </c>
      <c r="K35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8" s="23" t="str">
        <f ca="1">IFERROR(VLOOKUP(Tabela4[[#This Row],[Cabo]],BD!A:V,9,0),"")</f>
        <v/>
      </c>
      <c r="M358" s="23" t="str">
        <f ca="1">IFERROR(VLOOKUP(Tabela4[[#This Row],[Cabo]],BD!A:AD,30,0),"")</f>
        <v/>
      </c>
      <c r="N358" s="23" t="str">
        <f ca="1">IF(SUMIF('Lançamento de Cabos'!B:B,Tabela4[[#This Row],[Cabo]],'Lançamento de Cabos'!C:C)=0,"",SUMIF('Lançamento de Cabos'!B:B,Tabela4[[#This Row],[Cabo]],'Lançamento de Cabos'!C:C))</f>
        <v/>
      </c>
      <c r="O358" s="28" t="str">
        <f ca="1">IFERROR(IF(Tabela4[[#This Row],[Compr. Lançado]]/Tabela4[[#This Row],[Compr. Prev.]]&gt;1,1,Tabela4[[#This Row],[Compr. Lançado]]/Tabela4[[#This Row],[Compr. Prev.]]),"")</f>
        <v/>
      </c>
      <c r="P358" s="24" t="str">
        <f ca="1">IFERROR(VLOOKUP(Tabela4[[#This Row],[Cabo]],BD!A:V,11,0),"")</f>
        <v/>
      </c>
      <c r="Q358" s="24" t="str">
        <f ca="1">IFERROR(VLOOKUP(Tabela4[[#This Row],[Cabo]],BD!A:V,12,0),"")</f>
        <v/>
      </c>
      <c r="R35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8" s="23" t="str">
        <f ca="1">IF(Tabela4[[#This Row],[Cabo]]&lt;&gt;"",4-COUNTIF(Tabela4[[#This Row],[Teste de Continuidade]:[Hipot]],"---"),"")</f>
        <v/>
      </c>
      <c r="W358" s="29" t="str">
        <f ca="1">IF(Tabela4[[#This Row],[Cabo]]&lt;&gt;"",(COUNTIF(Tabela4[[#This Row],[Teste de Continuidade]:[Hipot]],"OK"))/(4-COUNTIF(Tabela4[[#This Row],[Teste de Continuidade]:[Hipot]],"---")),"")</f>
        <v/>
      </c>
      <c r="X358" s="23" t="str">
        <f ca="1">IF(Tabela4[[#This Row],[Cabo]]&lt;&gt;"",SUMIFS('Lançamento de Cabos'!$AF:$AF,'Lançamento de Cabos'!AE:AE,Tabela4[[#This Row],[Cabo]],'Lançamento de Cabos'!AJ:AJ,Área!$B$1),"")</f>
        <v/>
      </c>
      <c r="Y358" s="23" t="str">
        <f ca="1">IF(Tabela4[[#This Row],[Cabo]]&lt;&gt;"",SUMIFS('Lançamento de Cabos'!$AG:$AG,'Lançamento de Cabos'!AE:AE,Tabela4[[#This Row],[Cabo]],'Lançamento de Cabos'!AJ:AJ,Área!$B$1),"")</f>
        <v/>
      </c>
      <c r="Z358" s="23" t="e">
        <f ca="1">VLOOKUP(Tabela4[[#This Row],[Cabo]],BD!A:AB,28,0)</f>
        <v>#N/A</v>
      </c>
    </row>
    <row r="359" spans="3:26" x14ac:dyDescent="0.25">
      <c r="C359" s="391" t="str">
        <f ca="1">IF($B$1="Geral",Tabela1[[#This Row],[Tag do Cabo]],IFERROR(INDEX(INDIRECT("BD!$A"&amp;D359&amp;":$A100000"),E359,1),""))</f>
        <v/>
      </c>
      <c r="D359" s="391" t="str">
        <f t="shared" ca="1" si="14"/>
        <v/>
      </c>
      <c r="E359" s="391" t="str">
        <f t="shared" ca="1" si="15"/>
        <v/>
      </c>
      <c r="F359" s="23" t="str">
        <f ca="1">IFERROR(VLOOKUP(Tabela4[[#This Row],[Cabo]],BD!A:V,2,0),"")</f>
        <v/>
      </c>
      <c r="G359" s="391" t="str">
        <f ca="1">IFERROR(VLOOKUP(Tabela4[[#This Row],[Cabo]],BD!A:V,5,0),"")</f>
        <v/>
      </c>
      <c r="H359" s="23" t="str">
        <f ca="1">IFERROR(VLOOKUP(Tabela4[[#This Row],[Cabo]],BD!A:V,3,0),"")</f>
        <v/>
      </c>
      <c r="I359" s="23" t="str">
        <f ca="1">IFERROR(VLOOKUP(Tabela4[[#This Row],[Cabo]],BD!A:V,4,0),"")</f>
        <v/>
      </c>
      <c r="J359" s="23" t="str">
        <f ca="1">IFERROR(VLOOKUP(Tabela4[[#This Row],[Cabo]],BD!A:V,7,0),"")</f>
        <v/>
      </c>
      <c r="K35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59" s="23" t="str">
        <f ca="1">IFERROR(VLOOKUP(Tabela4[[#This Row],[Cabo]],BD!A:V,9,0),"")</f>
        <v/>
      </c>
      <c r="M359" s="23" t="str">
        <f ca="1">IFERROR(VLOOKUP(Tabela4[[#This Row],[Cabo]],BD!A:AD,30,0),"")</f>
        <v/>
      </c>
      <c r="N359" s="23" t="str">
        <f ca="1">IF(SUMIF('Lançamento de Cabos'!B:B,Tabela4[[#This Row],[Cabo]],'Lançamento de Cabos'!C:C)=0,"",SUMIF('Lançamento de Cabos'!B:B,Tabela4[[#This Row],[Cabo]],'Lançamento de Cabos'!C:C))</f>
        <v/>
      </c>
      <c r="O359" s="28" t="str">
        <f ca="1">IFERROR(IF(Tabela4[[#This Row],[Compr. Lançado]]/Tabela4[[#This Row],[Compr. Prev.]]&gt;1,1,Tabela4[[#This Row],[Compr. Lançado]]/Tabela4[[#This Row],[Compr. Prev.]]),"")</f>
        <v/>
      </c>
      <c r="P359" s="24" t="str">
        <f ca="1">IFERROR(VLOOKUP(Tabela4[[#This Row],[Cabo]],BD!A:V,11,0),"")</f>
        <v/>
      </c>
      <c r="Q359" s="24" t="str">
        <f ca="1">IFERROR(VLOOKUP(Tabela4[[#This Row],[Cabo]],BD!A:V,12,0),"")</f>
        <v/>
      </c>
      <c r="R35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5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5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5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59" s="23" t="str">
        <f ca="1">IF(Tabela4[[#This Row],[Cabo]]&lt;&gt;"",4-COUNTIF(Tabela4[[#This Row],[Teste de Continuidade]:[Hipot]],"---"),"")</f>
        <v/>
      </c>
      <c r="W359" s="29" t="str">
        <f ca="1">IF(Tabela4[[#This Row],[Cabo]]&lt;&gt;"",(COUNTIF(Tabela4[[#This Row],[Teste de Continuidade]:[Hipot]],"OK"))/(4-COUNTIF(Tabela4[[#This Row],[Teste de Continuidade]:[Hipot]],"---")),"")</f>
        <v/>
      </c>
      <c r="X359" s="23" t="str">
        <f ca="1">IF(Tabela4[[#This Row],[Cabo]]&lt;&gt;"",SUMIFS('Lançamento de Cabos'!$AF:$AF,'Lançamento de Cabos'!AE:AE,Tabela4[[#This Row],[Cabo]],'Lançamento de Cabos'!AJ:AJ,Área!$B$1),"")</f>
        <v/>
      </c>
      <c r="Y359" s="23" t="str">
        <f ca="1">IF(Tabela4[[#This Row],[Cabo]]&lt;&gt;"",SUMIFS('Lançamento de Cabos'!$AG:$AG,'Lançamento de Cabos'!AE:AE,Tabela4[[#This Row],[Cabo]],'Lançamento de Cabos'!AJ:AJ,Área!$B$1),"")</f>
        <v/>
      </c>
      <c r="Z359" s="23" t="e">
        <f ca="1">VLOOKUP(Tabela4[[#This Row],[Cabo]],BD!A:AB,28,0)</f>
        <v>#N/A</v>
      </c>
    </row>
    <row r="360" spans="3:26" x14ac:dyDescent="0.25">
      <c r="C360" s="391" t="str">
        <f ca="1">IF($B$1="Geral",Tabela1[[#This Row],[Tag do Cabo]],IFERROR(INDEX(INDIRECT("BD!$A"&amp;D360&amp;":$A100000"),E360,1),""))</f>
        <v/>
      </c>
      <c r="D360" s="391" t="str">
        <f t="shared" ca="1" si="14"/>
        <v/>
      </c>
      <c r="E360" s="391" t="str">
        <f t="shared" ca="1" si="15"/>
        <v/>
      </c>
      <c r="F360" s="23" t="str">
        <f ca="1">IFERROR(VLOOKUP(Tabela4[[#This Row],[Cabo]],BD!A:V,2,0),"")</f>
        <v/>
      </c>
      <c r="G360" s="391" t="str">
        <f ca="1">IFERROR(VLOOKUP(Tabela4[[#This Row],[Cabo]],BD!A:V,5,0),"")</f>
        <v/>
      </c>
      <c r="H360" s="23" t="str">
        <f ca="1">IFERROR(VLOOKUP(Tabela4[[#This Row],[Cabo]],BD!A:V,3,0),"")</f>
        <v/>
      </c>
      <c r="I360" s="23" t="str">
        <f ca="1">IFERROR(VLOOKUP(Tabela4[[#This Row],[Cabo]],BD!A:V,4,0),"")</f>
        <v/>
      </c>
      <c r="J360" s="23" t="str">
        <f ca="1">IFERROR(VLOOKUP(Tabela4[[#This Row],[Cabo]],BD!A:V,7,0),"")</f>
        <v/>
      </c>
      <c r="K36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0" s="23" t="str">
        <f ca="1">IFERROR(VLOOKUP(Tabela4[[#This Row],[Cabo]],BD!A:V,9,0),"")</f>
        <v/>
      </c>
      <c r="M360" s="23" t="str">
        <f ca="1">IFERROR(VLOOKUP(Tabela4[[#This Row],[Cabo]],BD!A:AD,30,0),"")</f>
        <v/>
      </c>
      <c r="N360" s="23" t="str">
        <f ca="1">IF(SUMIF('Lançamento de Cabos'!B:B,Tabela4[[#This Row],[Cabo]],'Lançamento de Cabos'!C:C)=0,"",SUMIF('Lançamento de Cabos'!B:B,Tabela4[[#This Row],[Cabo]],'Lançamento de Cabos'!C:C))</f>
        <v/>
      </c>
      <c r="O360" s="28" t="str">
        <f ca="1">IFERROR(IF(Tabela4[[#This Row],[Compr. Lançado]]/Tabela4[[#This Row],[Compr. Prev.]]&gt;1,1,Tabela4[[#This Row],[Compr. Lançado]]/Tabela4[[#This Row],[Compr. Prev.]]),"")</f>
        <v/>
      </c>
      <c r="P360" s="24" t="str">
        <f ca="1">IFERROR(VLOOKUP(Tabela4[[#This Row],[Cabo]],BD!A:V,11,0),"")</f>
        <v/>
      </c>
      <c r="Q360" s="24" t="str">
        <f ca="1">IFERROR(VLOOKUP(Tabela4[[#This Row],[Cabo]],BD!A:V,12,0),"")</f>
        <v/>
      </c>
      <c r="R36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0" s="23" t="str">
        <f ca="1">IF(Tabela4[[#This Row],[Cabo]]&lt;&gt;"",4-COUNTIF(Tabela4[[#This Row],[Teste de Continuidade]:[Hipot]],"---"),"")</f>
        <v/>
      </c>
      <c r="W360" s="29" t="str">
        <f ca="1">IF(Tabela4[[#This Row],[Cabo]]&lt;&gt;"",(COUNTIF(Tabela4[[#This Row],[Teste de Continuidade]:[Hipot]],"OK"))/(4-COUNTIF(Tabela4[[#This Row],[Teste de Continuidade]:[Hipot]],"---")),"")</f>
        <v/>
      </c>
      <c r="X360" s="23" t="str">
        <f ca="1">IF(Tabela4[[#This Row],[Cabo]]&lt;&gt;"",SUMIFS('Lançamento de Cabos'!$AF:$AF,'Lançamento de Cabos'!AE:AE,Tabela4[[#This Row],[Cabo]],'Lançamento de Cabos'!AJ:AJ,Área!$B$1),"")</f>
        <v/>
      </c>
      <c r="Y360" s="23" t="str">
        <f ca="1">IF(Tabela4[[#This Row],[Cabo]]&lt;&gt;"",SUMIFS('Lançamento de Cabos'!$AG:$AG,'Lançamento de Cabos'!AE:AE,Tabela4[[#This Row],[Cabo]],'Lançamento de Cabos'!AJ:AJ,Área!$B$1),"")</f>
        <v/>
      </c>
      <c r="Z360" s="23" t="e">
        <f ca="1">VLOOKUP(Tabela4[[#This Row],[Cabo]],BD!A:AB,28,0)</f>
        <v>#N/A</v>
      </c>
    </row>
    <row r="361" spans="3:26" x14ac:dyDescent="0.25">
      <c r="C361" s="391" t="str">
        <f ca="1">IF($B$1="Geral",Tabela1[[#This Row],[Tag do Cabo]],IFERROR(INDEX(INDIRECT("BD!$A"&amp;D361&amp;":$A100000"),E361,1),""))</f>
        <v/>
      </c>
      <c r="D361" s="391" t="str">
        <f t="shared" ca="1" si="14"/>
        <v/>
      </c>
      <c r="E361" s="391" t="str">
        <f t="shared" ca="1" si="15"/>
        <v/>
      </c>
      <c r="F361" s="23" t="str">
        <f ca="1">IFERROR(VLOOKUP(Tabela4[[#This Row],[Cabo]],BD!A:V,2,0),"")</f>
        <v/>
      </c>
      <c r="G361" s="391" t="str">
        <f ca="1">IFERROR(VLOOKUP(Tabela4[[#This Row],[Cabo]],BD!A:V,5,0),"")</f>
        <v/>
      </c>
      <c r="H361" s="23" t="str">
        <f ca="1">IFERROR(VLOOKUP(Tabela4[[#This Row],[Cabo]],BD!A:V,3,0),"")</f>
        <v/>
      </c>
      <c r="I361" s="23" t="str">
        <f ca="1">IFERROR(VLOOKUP(Tabela4[[#This Row],[Cabo]],BD!A:V,4,0),"")</f>
        <v/>
      </c>
      <c r="J361" s="23" t="str">
        <f ca="1">IFERROR(VLOOKUP(Tabela4[[#This Row],[Cabo]],BD!A:V,7,0),"")</f>
        <v/>
      </c>
      <c r="K36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1" s="23" t="str">
        <f ca="1">IFERROR(VLOOKUP(Tabela4[[#This Row],[Cabo]],BD!A:V,9,0),"")</f>
        <v/>
      </c>
      <c r="M361" s="23" t="str">
        <f ca="1">IFERROR(VLOOKUP(Tabela4[[#This Row],[Cabo]],BD!A:AD,30,0),"")</f>
        <v/>
      </c>
      <c r="N361" s="23" t="str">
        <f ca="1">IF(SUMIF('Lançamento de Cabos'!B:B,Tabela4[[#This Row],[Cabo]],'Lançamento de Cabos'!C:C)=0,"",SUMIF('Lançamento de Cabos'!B:B,Tabela4[[#This Row],[Cabo]],'Lançamento de Cabos'!C:C))</f>
        <v/>
      </c>
      <c r="O361" s="28" t="str">
        <f ca="1">IFERROR(IF(Tabela4[[#This Row],[Compr. Lançado]]/Tabela4[[#This Row],[Compr. Prev.]]&gt;1,1,Tabela4[[#This Row],[Compr. Lançado]]/Tabela4[[#This Row],[Compr. Prev.]]),"")</f>
        <v/>
      </c>
      <c r="P361" s="24" t="str">
        <f ca="1">IFERROR(VLOOKUP(Tabela4[[#This Row],[Cabo]],BD!A:V,11,0),"")</f>
        <v/>
      </c>
      <c r="Q361" s="24" t="str">
        <f ca="1">IFERROR(VLOOKUP(Tabela4[[#This Row],[Cabo]],BD!A:V,12,0),"")</f>
        <v/>
      </c>
      <c r="R36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1" s="23" t="str">
        <f ca="1">IF(Tabela4[[#This Row],[Cabo]]&lt;&gt;"",4-COUNTIF(Tabela4[[#This Row],[Teste de Continuidade]:[Hipot]],"---"),"")</f>
        <v/>
      </c>
      <c r="W361" s="29" t="str">
        <f ca="1">IF(Tabela4[[#This Row],[Cabo]]&lt;&gt;"",(COUNTIF(Tabela4[[#This Row],[Teste de Continuidade]:[Hipot]],"OK"))/(4-COUNTIF(Tabela4[[#This Row],[Teste de Continuidade]:[Hipot]],"---")),"")</f>
        <v/>
      </c>
      <c r="X361" s="23" t="str">
        <f ca="1">IF(Tabela4[[#This Row],[Cabo]]&lt;&gt;"",SUMIFS('Lançamento de Cabos'!$AF:$AF,'Lançamento de Cabos'!AE:AE,Tabela4[[#This Row],[Cabo]],'Lançamento de Cabos'!AJ:AJ,Área!$B$1),"")</f>
        <v/>
      </c>
      <c r="Y361" s="23" t="str">
        <f ca="1">IF(Tabela4[[#This Row],[Cabo]]&lt;&gt;"",SUMIFS('Lançamento de Cabos'!$AG:$AG,'Lançamento de Cabos'!AE:AE,Tabela4[[#This Row],[Cabo]],'Lançamento de Cabos'!AJ:AJ,Área!$B$1),"")</f>
        <v/>
      </c>
      <c r="Z361" s="23" t="e">
        <f ca="1">VLOOKUP(Tabela4[[#This Row],[Cabo]],BD!A:AB,28,0)</f>
        <v>#N/A</v>
      </c>
    </row>
    <row r="362" spans="3:26" x14ac:dyDescent="0.25">
      <c r="C362" s="391" t="str">
        <f ca="1">IF($B$1="Geral",Tabela1[[#This Row],[Tag do Cabo]],IFERROR(INDEX(INDIRECT("BD!$A"&amp;D362&amp;":$A100000"),E362,1),""))</f>
        <v/>
      </c>
      <c r="D362" s="391" t="str">
        <f t="shared" ca="1" si="14"/>
        <v/>
      </c>
      <c r="E362" s="391" t="str">
        <f t="shared" ca="1" si="15"/>
        <v/>
      </c>
      <c r="F362" s="23" t="str">
        <f ca="1">IFERROR(VLOOKUP(Tabela4[[#This Row],[Cabo]],BD!A:V,2,0),"")</f>
        <v/>
      </c>
      <c r="G362" s="391" t="str">
        <f ca="1">IFERROR(VLOOKUP(Tabela4[[#This Row],[Cabo]],BD!A:V,5,0),"")</f>
        <v/>
      </c>
      <c r="H362" s="23" t="str">
        <f ca="1">IFERROR(VLOOKUP(Tabela4[[#This Row],[Cabo]],BD!A:V,3,0),"")</f>
        <v/>
      </c>
      <c r="I362" s="23" t="str">
        <f ca="1">IFERROR(VLOOKUP(Tabela4[[#This Row],[Cabo]],BD!A:V,4,0),"")</f>
        <v/>
      </c>
      <c r="J362" s="23" t="str">
        <f ca="1">IFERROR(VLOOKUP(Tabela4[[#This Row],[Cabo]],BD!A:V,7,0),"")</f>
        <v/>
      </c>
      <c r="K36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2" s="23" t="str">
        <f ca="1">IFERROR(VLOOKUP(Tabela4[[#This Row],[Cabo]],BD!A:V,9,0),"")</f>
        <v/>
      </c>
      <c r="M362" s="23" t="str">
        <f ca="1">IFERROR(VLOOKUP(Tabela4[[#This Row],[Cabo]],BD!A:AD,30,0),"")</f>
        <v/>
      </c>
      <c r="N362" s="23" t="str">
        <f ca="1">IF(SUMIF('Lançamento de Cabos'!B:B,Tabela4[[#This Row],[Cabo]],'Lançamento de Cabos'!C:C)=0,"",SUMIF('Lançamento de Cabos'!B:B,Tabela4[[#This Row],[Cabo]],'Lançamento de Cabos'!C:C))</f>
        <v/>
      </c>
      <c r="O362" s="28" t="str">
        <f ca="1">IFERROR(IF(Tabela4[[#This Row],[Compr. Lançado]]/Tabela4[[#This Row],[Compr. Prev.]]&gt;1,1,Tabela4[[#This Row],[Compr. Lançado]]/Tabela4[[#This Row],[Compr. Prev.]]),"")</f>
        <v/>
      </c>
      <c r="P362" s="24" t="str">
        <f ca="1">IFERROR(VLOOKUP(Tabela4[[#This Row],[Cabo]],BD!A:V,11,0),"")</f>
        <v/>
      </c>
      <c r="Q362" s="24" t="str">
        <f ca="1">IFERROR(VLOOKUP(Tabela4[[#This Row],[Cabo]],BD!A:V,12,0),"")</f>
        <v/>
      </c>
      <c r="R36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2" s="23" t="str">
        <f ca="1">IF(Tabela4[[#This Row],[Cabo]]&lt;&gt;"",4-COUNTIF(Tabela4[[#This Row],[Teste de Continuidade]:[Hipot]],"---"),"")</f>
        <v/>
      </c>
      <c r="W362" s="29" t="str">
        <f ca="1">IF(Tabela4[[#This Row],[Cabo]]&lt;&gt;"",(COUNTIF(Tabela4[[#This Row],[Teste de Continuidade]:[Hipot]],"OK"))/(4-COUNTIF(Tabela4[[#This Row],[Teste de Continuidade]:[Hipot]],"---")),"")</f>
        <v/>
      </c>
      <c r="X362" s="23" t="str">
        <f ca="1">IF(Tabela4[[#This Row],[Cabo]]&lt;&gt;"",SUMIFS('Lançamento de Cabos'!$AF:$AF,'Lançamento de Cabos'!AE:AE,Tabela4[[#This Row],[Cabo]],'Lançamento de Cabos'!AJ:AJ,Área!$B$1),"")</f>
        <v/>
      </c>
      <c r="Y362" s="23" t="str">
        <f ca="1">IF(Tabela4[[#This Row],[Cabo]]&lt;&gt;"",SUMIFS('Lançamento de Cabos'!$AG:$AG,'Lançamento de Cabos'!AE:AE,Tabela4[[#This Row],[Cabo]],'Lançamento de Cabos'!AJ:AJ,Área!$B$1),"")</f>
        <v/>
      </c>
      <c r="Z362" s="23" t="e">
        <f ca="1">VLOOKUP(Tabela4[[#This Row],[Cabo]],BD!A:AB,28,0)</f>
        <v>#N/A</v>
      </c>
    </row>
    <row r="363" spans="3:26" x14ac:dyDescent="0.25">
      <c r="C363" s="391" t="str">
        <f ca="1">IF($B$1="Geral",Tabela1[[#This Row],[Tag do Cabo]],IFERROR(INDEX(INDIRECT("BD!$A"&amp;D363&amp;":$A100000"),E363,1),""))</f>
        <v/>
      </c>
      <c r="D363" s="391" t="str">
        <f t="shared" ref="D363:D426" ca="1" si="16">IFERROR(D362+E362,"")</f>
        <v/>
      </c>
      <c r="E363" s="391" t="str">
        <f t="shared" ref="E363:E426" ca="1" si="17">IFERROR(MATCH($B$1,INDIRECT("BD!$J"&amp;D363&amp;":$J100000"),0),"")</f>
        <v/>
      </c>
      <c r="F363" s="23" t="str">
        <f ca="1">IFERROR(VLOOKUP(Tabela4[[#This Row],[Cabo]],BD!A:V,2,0),"")</f>
        <v/>
      </c>
      <c r="G363" s="391" t="str">
        <f ca="1">IFERROR(VLOOKUP(Tabela4[[#This Row],[Cabo]],BD!A:V,5,0),"")</f>
        <v/>
      </c>
      <c r="H363" s="23" t="str">
        <f ca="1">IFERROR(VLOOKUP(Tabela4[[#This Row],[Cabo]],BD!A:V,3,0),"")</f>
        <v/>
      </c>
      <c r="I363" s="23" t="str">
        <f ca="1">IFERROR(VLOOKUP(Tabela4[[#This Row],[Cabo]],BD!A:V,4,0),"")</f>
        <v/>
      </c>
      <c r="J363" s="23" t="str">
        <f ca="1">IFERROR(VLOOKUP(Tabela4[[#This Row],[Cabo]],BD!A:V,7,0),"")</f>
        <v/>
      </c>
      <c r="K36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3" s="23" t="str">
        <f ca="1">IFERROR(VLOOKUP(Tabela4[[#This Row],[Cabo]],BD!A:V,9,0),"")</f>
        <v/>
      </c>
      <c r="M363" s="23" t="str">
        <f ca="1">IFERROR(VLOOKUP(Tabela4[[#This Row],[Cabo]],BD!A:AD,30,0),"")</f>
        <v/>
      </c>
      <c r="N363" s="23" t="str">
        <f ca="1">IF(SUMIF('Lançamento de Cabos'!B:B,Tabela4[[#This Row],[Cabo]],'Lançamento de Cabos'!C:C)=0,"",SUMIF('Lançamento de Cabos'!B:B,Tabela4[[#This Row],[Cabo]],'Lançamento de Cabos'!C:C))</f>
        <v/>
      </c>
      <c r="O363" s="28" t="str">
        <f ca="1">IFERROR(IF(Tabela4[[#This Row],[Compr. Lançado]]/Tabela4[[#This Row],[Compr. Prev.]]&gt;1,1,Tabela4[[#This Row],[Compr. Lançado]]/Tabela4[[#This Row],[Compr. Prev.]]),"")</f>
        <v/>
      </c>
      <c r="P363" s="24" t="str">
        <f ca="1">IFERROR(VLOOKUP(Tabela4[[#This Row],[Cabo]],BD!A:V,11,0),"")</f>
        <v/>
      </c>
      <c r="Q363" s="24" t="str">
        <f ca="1">IFERROR(VLOOKUP(Tabela4[[#This Row],[Cabo]],BD!A:V,12,0),"")</f>
        <v/>
      </c>
      <c r="R36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3" s="23" t="str">
        <f ca="1">IF(Tabela4[[#This Row],[Cabo]]&lt;&gt;"",4-COUNTIF(Tabela4[[#This Row],[Teste de Continuidade]:[Hipot]],"---"),"")</f>
        <v/>
      </c>
      <c r="W363" s="29" t="str">
        <f ca="1">IF(Tabela4[[#This Row],[Cabo]]&lt;&gt;"",(COUNTIF(Tabela4[[#This Row],[Teste de Continuidade]:[Hipot]],"OK"))/(4-COUNTIF(Tabela4[[#This Row],[Teste de Continuidade]:[Hipot]],"---")),"")</f>
        <v/>
      </c>
      <c r="X363" s="23" t="str">
        <f ca="1">IF(Tabela4[[#This Row],[Cabo]]&lt;&gt;"",SUMIFS('Lançamento de Cabos'!$AF:$AF,'Lançamento de Cabos'!AE:AE,Tabela4[[#This Row],[Cabo]],'Lançamento de Cabos'!AJ:AJ,Área!$B$1),"")</f>
        <v/>
      </c>
      <c r="Y363" s="23" t="str">
        <f ca="1">IF(Tabela4[[#This Row],[Cabo]]&lt;&gt;"",SUMIFS('Lançamento de Cabos'!$AG:$AG,'Lançamento de Cabos'!AE:AE,Tabela4[[#This Row],[Cabo]],'Lançamento de Cabos'!AJ:AJ,Área!$B$1),"")</f>
        <v/>
      </c>
      <c r="Z363" s="23" t="e">
        <f ca="1">VLOOKUP(Tabela4[[#This Row],[Cabo]],BD!A:AB,28,0)</f>
        <v>#N/A</v>
      </c>
    </row>
    <row r="364" spans="3:26" x14ac:dyDescent="0.25">
      <c r="C364" s="391" t="str">
        <f ca="1">IF($B$1="Geral",Tabela1[[#This Row],[Tag do Cabo]],IFERROR(INDEX(INDIRECT("BD!$A"&amp;D364&amp;":$A100000"),E364,1),""))</f>
        <v/>
      </c>
      <c r="D364" s="391" t="str">
        <f t="shared" ca="1" si="16"/>
        <v/>
      </c>
      <c r="E364" s="391" t="str">
        <f t="shared" ca="1" si="17"/>
        <v/>
      </c>
      <c r="F364" s="23" t="str">
        <f ca="1">IFERROR(VLOOKUP(Tabela4[[#This Row],[Cabo]],BD!A:V,2,0),"")</f>
        <v/>
      </c>
      <c r="G364" s="391" t="str">
        <f ca="1">IFERROR(VLOOKUP(Tabela4[[#This Row],[Cabo]],BD!A:V,5,0),"")</f>
        <v/>
      </c>
      <c r="H364" s="23" t="str">
        <f ca="1">IFERROR(VLOOKUP(Tabela4[[#This Row],[Cabo]],BD!A:V,3,0),"")</f>
        <v/>
      </c>
      <c r="I364" s="23" t="str">
        <f ca="1">IFERROR(VLOOKUP(Tabela4[[#This Row],[Cabo]],BD!A:V,4,0),"")</f>
        <v/>
      </c>
      <c r="J364" s="23" t="str">
        <f ca="1">IFERROR(VLOOKUP(Tabela4[[#This Row],[Cabo]],BD!A:V,7,0),"")</f>
        <v/>
      </c>
      <c r="K36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4" s="23" t="str">
        <f ca="1">IFERROR(VLOOKUP(Tabela4[[#This Row],[Cabo]],BD!A:V,9,0),"")</f>
        <v/>
      </c>
      <c r="M364" s="23" t="str">
        <f ca="1">IFERROR(VLOOKUP(Tabela4[[#This Row],[Cabo]],BD!A:AD,30,0),"")</f>
        <v/>
      </c>
      <c r="N364" s="23" t="str">
        <f ca="1">IF(SUMIF('Lançamento de Cabos'!B:B,Tabela4[[#This Row],[Cabo]],'Lançamento de Cabos'!C:C)=0,"",SUMIF('Lançamento de Cabos'!B:B,Tabela4[[#This Row],[Cabo]],'Lançamento de Cabos'!C:C))</f>
        <v/>
      </c>
      <c r="O364" s="28" t="str">
        <f ca="1">IFERROR(IF(Tabela4[[#This Row],[Compr. Lançado]]/Tabela4[[#This Row],[Compr. Prev.]]&gt;1,1,Tabela4[[#This Row],[Compr. Lançado]]/Tabela4[[#This Row],[Compr. Prev.]]),"")</f>
        <v/>
      </c>
      <c r="P364" s="24" t="str">
        <f ca="1">IFERROR(VLOOKUP(Tabela4[[#This Row],[Cabo]],BD!A:V,11,0),"")</f>
        <v/>
      </c>
      <c r="Q364" s="24" t="str">
        <f ca="1">IFERROR(VLOOKUP(Tabela4[[#This Row],[Cabo]],BD!A:V,12,0),"")</f>
        <v/>
      </c>
      <c r="R36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4" s="23" t="str">
        <f ca="1">IF(Tabela4[[#This Row],[Cabo]]&lt;&gt;"",4-COUNTIF(Tabela4[[#This Row],[Teste de Continuidade]:[Hipot]],"---"),"")</f>
        <v/>
      </c>
      <c r="W364" s="29" t="str">
        <f ca="1">IF(Tabela4[[#This Row],[Cabo]]&lt;&gt;"",(COUNTIF(Tabela4[[#This Row],[Teste de Continuidade]:[Hipot]],"OK"))/(4-COUNTIF(Tabela4[[#This Row],[Teste de Continuidade]:[Hipot]],"---")),"")</f>
        <v/>
      </c>
      <c r="X364" s="23" t="str">
        <f ca="1">IF(Tabela4[[#This Row],[Cabo]]&lt;&gt;"",SUMIFS('Lançamento de Cabos'!$AF:$AF,'Lançamento de Cabos'!AE:AE,Tabela4[[#This Row],[Cabo]],'Lançamento de Cabos'!AJ:AJ,Área!$B$1),"")</f>
        <v/>
      </c>
      <c r="Y364" s="23" t="str">
        <f ca="1">IF(Tabela4[[#This Row],[Cabo]]&lt;&gt;"",SUMIFS('Lançamento de Cabos'!$AG:$AG,'Lançamento de Cabos'!AE:AE,Tabela4[[#This Row],[Cabo]],'Lançamento de Cabos'!AJ:AJ,Área!$B$1),"")</f>
        <v/>
      </c>
      <c r="Z364" s="23" t="e">
        <f ca="1">VLOOKUP(Tabela4[[#This Row],[Cabo]],BD!A:AB,28,0)</f>
        <v>#N/A</v>
      </c>
    </row>
    <row r="365" spans="3:26" x14ac:dyDescent="0.25">
      <c r="C365" s="391" t="str">
        <f ca="1">IF($B$1="Geral",Tabela1[[#This Row],[Tag do Cabo]],IFERROR(INDEX(INDIRECT("BD!$A"&amp;D365&amp;":$A100000"),E365,1),""))</f>
        <v/>
      </c>
      <c r="D365" s="391" t="str">
        <f t="shared" ca="1" si="16"/>
        <v/>
      </c>
      <c r="E365" s="391" t="str">
        <f t="shared" ca="1" si="17"/>
        <v/>
      </c>
      <c r="F365" s="23" t="str">
        <f ca="1">IFERROR(VLOOKUP(Tabela4[[#This Row],[Cabo]],BD!A:V,2,0),"")</f>
        <v/>
      </c>
      <c r="G365" s="391" t="str">
        <f ca="1">IFERROR(VLOOKUP(Tabela4[[#This Row],[Cabo]],BD!A:V,5,0),"")</f>
        <v/>
      </c>
      <c r="H365" s="23" t="str">
        <f ca="1">IFERROR(VLOOKUP(Tabela4[[#This Row],[Cabo]],BD!A:V,3,0),"")</f>
        <v/>
      </c>
      <c r="I365" s="23" t="str">
        <f ca="1">IFERROR(VLOOKUP(Tabela4[[#This Row],[Cabo]],BD!A:V,4,0),"")</f>
        <v/>
      </c>
      <c r="J365" s="23" t="str">
        <f ca="1">IFERROR(VLOOKUP(Tabela4[[#This Row],[Cabo]],BD!A:V,7,0),"")</f>
        <v/>
      </c>
      <c r="K36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5" s="23" t="str">
        <f ca="1">IFERROR(VLOOKUP(Tabela4[[#This Row],[Cabo]],BD!A:V,9,0),"")</f>
        <v/>
      </c>
      <c r="M365" s="23" t="str">
        <f ca="1">IFERROR(VLOOKUP(Tabela4[[#This Row],[Cabo]],BD!A:AD,30,0),"")</f>
        <v/>
      </c>
      <c r="N365" s="23" t="str">
        <f ca="1">IF(SUMIF('Lançamento de Cabos'!B:B,Tabela4[[#This Row],[Cabo]],'Lançamento de Cabos'!C:C)=0,"",SUMIF('Lançamento de Cabos'!B:B,Tabela4[[#This Row],[Cabo]],'Lançamento de Cabos'!C:C))</f>
        <v/>
      </c>
      <c r="O365" s="28" t="str">
        <f ca="1">IFERROR(IF(Tabela4[[#This Row],[Compr. Lançado]]/Tabela4[[#This Row],[Compr. Prev.]]&gt;1,1,Tabela4[[#This Row],[Compr. Lançado]]/Tabela4[[#This Row],[Compr. Prev.]]),"")</f>
        <v/>
      </c>
      <c r="P365" s="24" t="str">
        <f ca="1">IFERROR(VLOOKUP(Tabela4[[#This Row],[Cabo]],BD!A:V,11,0),"")</f>
        <v/>
      </c>
      <c r="Q365" s="24" t="str">
        <f ca="1">IFERROR(VLOOKUP(Tabela4[[#This Row],[Cabo]],BD!A:V,12,0),"")</f>
        <v/>
      </c>
      <c r="R36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5" s="23" t="str">
        <f ca="1">IF(Tabela4[[#This Row],[Cabo]]&lt;&gt;"",4-COUNTIF(Tabela4[[#This Row],[Teste de Continuidade]:[Hipot]],"---"),"")</f>
        <v/>
      </c>
      <c r="W365" s="29" t="str">
        <f ca="1">IF(Tabela4[[#This Row],[Cabo]]&lt;&gt;"",(COUNTIF(Tabela4[[#This Row],[Teste de Continuidade]:[Hipot]],"OK"))/(4-COUNTIF(Tabela4[[#This Row],[Teste de Continuidade]:[Hipot]],"---")),"")</f>
        <v/>
      </c>
      <c r="X365" s="23" t="str">
        <f ca="1">IF(Tabela4[[#This Row],[Cabo]]&lt;&gt;"",SUMIFS('Lançamento de Cabos'!$AF:$AF,'Lançamento de Cabos'!AE:AE,Tabela4[[#This Row],[Cabo]],'Lançamento de Cabos'!AJ:AJ,Área!$B$1),"")</f>
        <v/>
      </c>
      <c r="Y365" s="23" t="str">
        <f ca="1">IF(Tabela4[[#This Row],[Cabo]]&lt;&gt;"",SUMIFS('Lançamento de Cabos'!$AG:$AG,'Lançamento de Cabos'!AE:AE,Tabela4[[#This Row],[Cabo]],'Lançamento de Cabos'!AJ:AJ,Área!$B$1),"")</f>
        <v/>
      </c>
      <c r="Z365" s="23" t="e">
        <f ca="1">VLOOKUP(Tabela4[[#This Row],[Cabo]],BD!A:AB,28,0)</f>
        <v>#N/A</v>
      </c>
    </row>
    <row r="366" spans="3:26" x14ac:dyDescent="0.25">
      <c r="C366" s="391" t="str">
        <f ca="1">IF($B$1="Geral",Tabela1[[#This Row],[Tag do Cabo]],IFERROR(INDEX(INDIRECT("BD!$A"&amp;D366&amp;":$A100000"),E366,1),""))</f>
        <v/>
      </c>
      <c r="D366" s="391" t="str">
        <f t="shared" ca="1" si="16"/>
        <v/>
      </c>
      <c r="E366" s="391" t="str">
        <f t="shared" ca="1" si="17"/>
        <v/>
      </c>
      <c r="F366" s="23" t="str">
        <f ca="1">IFERROR(VLOOKUP(Tabela4[[#This Row],[Cabo]],BD!A:V,2,0),"")</f>
        <v/>
      </c>
      <c r="G366" s="391" t="str">
        <f ca="1">IFERROR(VLOOKUP(Tabela4[[#This Row],[Cabo]],BD!A:V,5,0),"")</f>
        <v/>
      </c>
      <c r="H366" s="23" t="str">
        <f ca="1">IFERROR(VLOOKUP(Tabela4[[#This Row],[Cabo]],BD!A:V,3,0),"")</f>
        <v/>
      </c>
      <c r="I366" s="23" t="str">
        <f ca="1">IFERROR(VLOOKUP(Tabela4[[#This Row],[Cabo]],BD!A:V,4,0),"")</f>
        <v/>
      </c>
      <c r="J366" s="23" t="str">
        <f ca="1">IFERROR(VLOOKUP(Tabela4[[#This Row],[Cabo]],BD!A:V,7,0),"")</f>
        <v/>
      </c>
      <c r="K36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6" s="23" t="str">
        <f ca="1">IFERROR(VLOOKUP(Tabela4[[#This Row],[Cabo]],BD!A:V,9,0),"")</f>
        <v/>
      </c>
      <c r="M366" s="23" t="str">
        <f ca="1">IFERROR(VLOOKUP(Tabela4[[#This Row],[Cabo]],BD!A:AD,30,0),"")</f>
        <v/>
      </c>
      <c r="N366" s="23" t="str">
        <f ca="1">IF(SUMIF('Lançamento de Cabos'!B:B,Tabela4[[#This Row],[Cabo]],'Lançamento de Cabos'!C:C)=0,"",SUMIF('Lançamento de Cabos'!B:B,Tabela4[[#This Row],[Cabo]],'Lançamento de Cabos'!C:C))</f>
        <v/>
      </c>
      <c r="O366" s="28" t="str">
        <f ca="1">IFERROR(IF(Tabela4[[#This Row],[Compr. Lançado]]/Tabela4[[#This Row],[Compr. Prev.]]&gt;1,1,Tabela4[[#This Row],[Compr. Lançado]]/Tabela4[[#This Row],[Compr. Prev.]]),"")</f>
        <v/>
      </c>
      <c r="P366" s="24" t="str">
        <f ca="1">IFERROR(VLOOKUP(Tabela4[[#This Row],[Cabo]],BD!A:V,11,0),"")</f>
        <v/>
      </c>
      <c r="Q366" s="24" t="str">
        <f ca="1">IFERROR(VLOOKUP(Tabela4[[#This Row],[Cabo]],BD!A:V,12,0),"")</f>
        <v/>
      </c>
      <c r="R36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6" s="23" t="str">
        <f ca="1">IF(Tabela4[[#This Row],[Cabo]]&lt;&gt;"",4-COUNTIF(Tabela4[[#This Row],[Teste de Continuidade]:[Hipot]],"---"),"")</f>
        <v/>
      </c>
      <c r="W366" s="29" t="str">
        <f ca="1">IF(Tabela4[[#This Row],[Cabo]]&lt;&gt;"",(COUNTIF(Tabela4[[#This Row],[Teste de Continuidade]:[Hipot]],"OK"))/(4-COUNTIF(Tabela4[[#This Row],[Teste de Continuidade]:[Hipot]],"---")),"")</f>
        <v/>
      </c>
      <c r="X366" s="23" t="str">
        <f ca="1">IF(Tabela4[[#This Row],[Cabo]]&lt;&gt;"",SUMIFS('Lançamento de Cabos'!$AF:$AF,'Lançamento de Cabos'!AE:AE,Tabela4[[#This Row],[Cabo]],'Lançamento de Cabos'!AJ:AJ,Área!$B$1),"")</f>
        <v/>
      </c>
      <c r="Y366" s="23" t="str">
        <f ca="1">IF(Tabela4[[#This Row],[Cabo]]&lt;&gt;"",SUMIFS('Lançamento de Cabos'!$AG:$AG,'Lançamento de Cabos'!AE:AE,Tabela4[[#This Row],[Cabo]],'Lançamento de Cabos'!AJ:AJ,Área!$B$1),"")</f>
        <v/>
      </c>
      <c r="Z366" s="23" t="e">
        <f ca="1">VLOOKUP(Tabela4[[#This Row],[Cabo]],BD!A:AB,28,0)</f>
        <v>#N/A</v>
      </c>
    </row>
    <row r="367" spans="3:26" x14ac:dyDescent="0.25">
      <c r="C367" s="391" t="str">
        <f ca="1">IF($B$1="Geral",Tabela1[[#This Row],[Tag do Cabo]],IFERROR(INDEX(INDIRECT("BD!$A"&amp;D367&amp;":$A100000"),E367,1),""))</f>
        <v/>
      </c>
      <c r="D367" s="391" t="str">
        <f t="shared" ca="1" si="16"/>
        <v/>
      </c>
      <c r="E367" s="391" t="str">
        <f t="shared" ca="1" si="17"/>
        <v/>
      </c>
      <c r="F367" s="23" t="str">
        <f ca="1">IFERROR(VLOOKUP(Tabela4[[#This Row],[Cabo]],BD!A:V,2,0),"")</f>
        <v/>
      </c>
      <c r="G367" s="391" t="str">
        <f ca="1">IFERROR(VLOOKUP(Tabela4[[#This Row],[Cabo]],BD!A:V,5,0),"")</f>
        <v/>
      </c>
      <c r="H367" s="23" t="str">
        <f ca="1">IFERROR(VLOOKUP(Tabela4[[#This Row],[Cabo]],BD!A:V,3,0),"")</f>
        <v/>
      </c>
      <c r="I367" s="23" t="str">
        <f ca="1">IFERROR(VLOOKUP(Tabela4[[#This Row],[Cabo]],BD!A:V,4,0),"")</f>
        <v/>
      </c>
      <c r="J367" s="23" t="str">
        <f ca="1">IFERROR(VLOOKUP(Tabela4[[#This Row],[Cabo]],BD!A:V,7,0),"")</f>
        <v/>
      </c>
      <c r="K36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7" s="23" t="str">
        <f ca="1">IFERROR(VLOOKUP(Tabela4[[#This Row],[Cabo]],BD!A:V,9,0),"")</f>
        <v/>
      </c>
      <c r="M367" s="23" t="str">
        <f ca="1">IFERROR(VLOOKUP(Tabela4[[#This Row],[Cabo]],BD!A:AD,30,0),"")</f>
        <v/>
      </c>
      <c r="N367" s="23" t="str">
        <f ca="1">IF(SUMIF('Lançamento de Cabos'!B:B,Tabela4[[#This Row],[Cabo]],'Lançamento de Cabos'!C:C)=0,"",SUMIF('Lançamento de Cabos'!B:B,Tabela4[[#This Row],[Cabo]],'Lançamento de Cabos'!C:C))</f>
        <v/>
      </c>
      <c r="O367" s="28" t="str">
        <f ca="1">IFERROR(IF(Tabela4[[#This Row],[Compr. Lançado]]/Tabela4[[#This Row],[Compr. Prev.]]&gt;1,1,Tabela4[[#This Row],[Compr. Lançado]]/Tabela4[[#This Row],[Compr. Prev.]]),"")</f>
        <v/>
      </c>
      <c r="P367" s="24" t="str">
        <f ca="1">IFERROR(VLOOKUP(Tabela4[[#This Row],[Cabo]],BD!A:V,11,0),"")</f>
        <v/>
      </c>
      <c r="Q367" s="24" t="str">
        <f ca="1">IFERROR(VLOOKUP(Tabela4[[#This Row],[Cabo]],BD!A:V,12,0),"")</f>
        <v/>
      </c>
      <c r="R36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7" s="23" t="str">
        <f ca="1">IF(Tabela4[[#This Row],[Cabo]]&lt;&gt;"",4-COUNTIF(Tabela4[[#This Row],[Teste de Continuidade]:[Hipot]],"---"),"")</f>
        <v/>
      </c>
      <c r="W367" s="29" t="str">
        <f ca="1">IF(Tabela4[[#This Row],[Cabo]]&lt;&gt;"",(COUNTIF(Tabela4[[#This Row],[Teste de Continuidade]:[Hipot]],"OK"))/(4-COUNTIF(Tabela4[[#This Row],[Teste de Continuidade]:[Hipot]],"---")),"")</f>
        <v/>
      </c>
      <c r="X367" s="23" t="str">
        <f ca="1">IF(Tabela4[[#This Row],[Cabo]]&lt;&gt;"",SUMIFS('Lançamento de Cabos'!$AF:$AF,'Lançamento de Cabos'!AE:AE,Tabela4[[#This Row],[Cabo]],'Lançamento de Cabos'!AJ:AJ,Área!$B$1),"")</f>
        <v/>
      </c>
      <c r="Y367" s="23" t="str">
        <f ca="1">IF(Tabela4[[#This Row],[Cabo]]&lt;&gt;"",SUMIFS('Lançamento de Cabos'!$AG:$AG,'Lançamento de Cabos'!AE:AE,Tabela4[[#This Row],[Cabo]],'Lançamento de Cabos'!AJ:AJ,Área!$B$1),"")</f>
        <v/>
      </c>
      <c r="Z367" s="23" t="e">
        <f ca="1">VLOOKUP(Tabela4[[#This Row],[Cabo]],BD!A:AB,28,0)</f>
        <v>#N/A</v>
      </c>
    </row>
    <row r="368" spans="3:26" x14ac:dyDescent="0.25">
      <c r="C368" s="391" t="str">
        <f ca="1">IF($B$1="Geral",Tabela1[[#This Row],[Tag do Cabo]],IFERROR(INDEX(INDIRECT("BD!$A"&amp;D368&amp;":$A100000"),E368,1),""))</f>
        <v/>
      </c>
      <c r="D368" s="391" t="str">
        <f t="shared" ca="1" si="16"/>
        <v/>
      </c>
      <c r="E368" s="391" t="str">
        <f t="shared" ca="1" si="17"/>
        <v/>
      </c>
      <c r="F368" s="23" t="str">
        <f ca="1">IFERROR(VLOOKUP(Tabela4[[#This Row],[Cabo]],BD!A:V,2,0),"")</f>
        <v/>
      </c>
      <c r="G368" s="391" t="str">
        <f ca="1">IFERROR(VLOOKUP(Tabela4[[#This Row],[Cabo]],BD!A:V,5,0),"")</f>
        <v/>
      </c>
      <c r="H368" s="23" t="str">
        <f ca="1">IFERROR(VLOOKUP(Tabela4[[#This Row],[Cabo]],BD!A:V,3,0),"")</f>
        <v/>
      </c>
      <c r="I368" s="23" t="str">
        <f ca="1">IFERROR(VLOOKUP(Tabela4[[#This Row],[Cabo]],BD!A:V,4,0),"")</f>
        <v/>
      </c>
      <c r="J368" s="23" t="str">
        <f ca="1">IFERROR(VLOOKUP(Tabela4[[#This Row],[Cabo]],BD!A:V,7,0),"")</f>
        <v/>
      </c>
      <c r="K36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8" s="23" t="str">
        <f ca="1">IFERROR(VLOOKUP(Tabela4[[#This Row],[Cabo]],BD!A:V,9,0),"")</f>
        <v/>
      </c>
      <c r="M368" s="23" t="str">
        <f ca="1">IFERROR(VLOOKUP(Tabela4[[#This Row],[Cabo]],BD!A:AD,30,0),"")</f>
        <v/>
      </c>
      <c r="N368" s="23" t="str">
        <f ca="1">IF(SUMIF('Lançamento de Cabos'!B:B,Tabela4[[#This Row],[Cabo]],'Lançamento de Cabos'!C:C)=0,"",SUMIF('Lançamento de Cabos'!B:B,Tabela4[[#This Row],[Cabo]],'Lançamento de Cabos'!C:C))</f>
        <v/>
      </c>
      <c r="O368" s="28" t="str">
        <f ca="1">IFERROR(IF(Tabela4[[#This Row],[Compr. Lançado]]/Tabela4[[#This Row],[Compr. Prev.]]&gt;1,1,Tabela4[[#This Row],[Compr. Lançado]]/Tabela4[[#This Row],[Compr. Prev.]]),"")</f>
        <v/>
      </c>
      <c r="P368" s="24" t="str">
        <f ca="1">IFERROR(VLOOKUP(Tabela4[[#This Row],[Cabo]],BD!A:V,11,0),"")</f>
        <v/>
      </c>
      <c r="Q368" s="24" t="str">
        <f ca="1">IFERROR(VLOOKUP(Tabela4[[#This Row],[Cabo]],BD!A:V,12,0),"")</f>
        <v/>
      </c>
      <c r="R36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8" s="23" t="str">
        <f ca="1">IF(Tabela4[[#This Row],[Cabo]]&lt;&gt;"",4-COUNTIF(Tabela4[[#This Row],[Teste de Continuidade]:[Hipot]],"---"),"")</f>
        <v/>
      </c>
      <c r="W368" s="29" t="str">
        <f ca="1">IF(Tabela4[[#This Row],[Cabo]]&lt;&gt;"",(COUNTIF(Tabela4[[#This Row],[Teste de Continuidade]:[Hipot]],"OK"))/(4-COUNTIF(Tabela4[[#This Row],[Teste de Continuidade]:[Hipot]],"---")),"")</f>
        <v/>
      </c>
      <c r="X368" s="23" t="str">
        <f ca="1">IF(Tabela4[[#This Row],[Cabo]]&lt;&gt;"",SUMIFS('Lançamento de Cabos'!$AF:$AF,'Lançamento de Cabos'!AE:AE,Tabela4[[#This Row],[Cabo]],'Lançamento de Cabos'!AJ:AJ,Área!$B$1),"")</f>
        <v/>
      </c>
      <c r="Y368" s="23" t="str">
        <f ca="1">IF(Tabela4[[#This Row],[Cabo]]&lt;&gt;"",SUMIFS('Lançamento de Cabos'!$AG:$AG,'Lançamento de Cabos'!AE:AE,Tabela4[[#This Row],[Cabo]],'Lançamento de Cabos'!AJ:AJ,Área!$B$1),"")</f>
        <v/>
      </c>
      <c r="Z368" s="23" t="e">
        <f ca="1">VLOOKUP(Tabela4[[#This Row],[Cabo]],BD!A:AB,28,0)</f>
        <v>#N/A</v>
      </c>
    </row>
    <row r="369" spans="3:26" x14ac:dyDescent="0.25">
      <c r="C369" s="391" t="str">
        <f ca="1">IF($B$1="Geral",Tabela1[[#This Row],[Tag do Cabo]],IFERROR(INDEX(INDIRECT("BD!$A"&amp;D369&amp;":$A100000"),E369,1),""))</f>
        <v/>
      </c>
      <c r="D369" s="391" t="str">
        <f t="shared" ca="1" si="16"/>
        <v/>
      </c>
      <c r="E369" s="391" t="str">
        <f t="shared" ca="1" si="17"/>
        <v/>
      </c>
      <c r="F369" s="23" t="str">
        <f ca="1">IFERROR(VLOOKUP(Tabela4[[#This Row],[Cabo]],BD!A:V,2,0),"")</f>
        <v/>
      </c>
      <c r="G369" s="391" t="str">
        <f ca="1">IFERROR(VLOOKUP(Tabela4[[#This Row],[Cabo]],BD!A:V,5,0),"")</f>
        <v/>
      </c>
      <c r="H369" s="23" t="str">
        <f ca="1">IFERROR(VLOOKUP(Tabela4[[#This Row],[Cabo]],BD!A:V,3,0),"")</f>
        <v/>
      </c>
      <c r="I369" s="23" t="str">
        <f ca="1">IFERROR(VLOOKUP(Tabela4[[#This Row],[Cabo]],BD!A:V,4,0),"")</f>
        <v/>
      </c>
      <c r="J369" s="23" t="str">
        <f ca="1">IFERROR(VLOOKUP(Tabela4[[#This Row],[Cabo]],BD!A:V,7,0),"")</f>
        <v/>
      </c>
      <c r="K36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69" s="23" t="str">
        <f ca="1">IFERROR(VLOOKUP(Tabela4[[#This Row],[Cabo]],BD!A:V,9,0),"")</f>
        <v/>
      </c>
      <c r="M369" s="23" t="str">
        <f ca="1">IFERROR(VLOOKUP(Tabela4[[#This Row],[Cabo]],BD!A:AD,30,0),"")</f>
        <v/>
      </c>
      <c r="N369" s="23" t="str">
        <f ca="1">IF(SUMIF('Lançamento de Cabos'!B:B,Tabela4[[#This Row],[Cabo]],'Lançamento de Cabos'!C:C)=0,"",SUMIF('Lançamento de Cabos'!B:B,Tabela4[[#This Row],[Cabo]],'Lançamento de Cabos'!C:C))</f>
        <v/>
      </c>
      <c r="O369" s="28" t="str">
        <f ca="1">IFERROR(IF(Tabela4[[#This Row],[Compr. Lançado]]/Tabela4[[#This Row],[Compr. Prev.]]&gt;1,1,Tabela4[[#This Row],[Compr. Lançado]]/Tabela4[[#This Row],[Compr. Prev.]]),"")</f>
        <v/>
      </c>
      <c r="P369" s="24" t="str">
        <f ca="1">IFERROR(VLOOKUP(Tabela4[[#This Row],[Cabo]],BD!A:V,11,0),"")</f>
        <v/>
      </c>
      <c r="Q369" s="24" t="str">
        <f ca="1">IFERROR(VLOOKUP(Tabela4[[#This Row],[Cabo]],BD!A:V,12,0),"")</f>
        <v/>
      </c>
      <c r="R36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6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6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6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69" s="23" t="str">
        <f ca="1">IF(Tabela4[[#This Row],[Cabo]]&lt;&gt;"",4-COUNTIF(Tabela4[[#This Row],[Teste de Continuidade]:[Hipot]],"---"),"")</f>
        <v/>
      </c>
      <c r="W369" s="29" t="str">
        <f ca="1">IF(Tabela4[[#This Row],[Cabo]]&lt;&gt;"",(COUNTIF(Tabela4[[#This Row],[Teste de Continuidade]:[Hipot]],"OK"))/(4-COUNTIF(Tabela4[[#This Row],[Teste de Continuidade]:[Hipot]],"---")),"")</f>
        <v/>
      </c>
      <c r="X369" s="23" t="str">
        <f ca="1">IF(Tabela4[[#This Row],[Cabo]]&lt;&gt;"",SUMIFS('Lançamento de Cabos'!$AF:$AF,'Lançamento de Cabos'!AE:AE,Tabela4[[#This Row],[Cabo]],'Lançamento de Cabos'!AJ:AJ,Área!$B$1),"")</f>
        <v/>
      </c>
      <c r="Y369" s="23" t="str">
        <f ca="1">IF(Tabela4[[#This Row],[Cabo]]&lt;&gt;"",SUMIFS('Lançamento de Cabos'!$AG:$AG,'Lançamento de Cabos'!AE:AE,Tabela4[[#This Row],[Cabo]],'Lançamento de Cabos'!AJ:AJ,Área!$B$1),"")</f>
        <v/>
      </c>
      <c r="Z369" s="23" t="e">
        <f ca="1">VLOOKUP(Tabela4[[#This Row],[Cabo]],BD!A:AB,28,0)</f>
        <v>#N/A</v>
      </c>
    </row>
    <row r="370" spans="3:26" x14ac:dyDescent="0.25">
      <c r="C370" s="391" t="str">
        <f ca="1">IF($B$1="Geral",Tabela1[[#This Row],[Tag do Cabo]],IFERROR(INDEX(INDIRECT("BD!$A"&amp;D370&amp;":$A100000"),E370,1),""))</f>
        <v/>
      </c>
      <c r="D370" s="391" t="str">
        <f t="shared" ca="1" si="16"/>
        <v/>
      </c>
      <c r="E370" s="391" t="str">
        <f t="shared" ca="1" si="17"/>
        <v/>
      </c>
      <c r="F370" s="23" t="str">
        <f ca="1">IFERROR(VLOOKUP(Tabela4[[#This Row],[Cabo]],BD!A:V,2,0),"")</f>
        <v/>
      </c>
      <c r="G370" s="391" t="str">
        <f ca="1">IFERROR(VLOOKUP(Tabela4[[#This Row],[Cabo]],BD!A:V,5,0),"")</f>
        <v/>
      </c>
      <c r="H370" s="23" t="str">
        <f ca="1">IFERROR(VLOOKUP(Tabela4[[#This Row],[Cabo]],BD!A:V,3,0),"")</f>
        <v/>
      </c>
      <c r="I370" s="23" t="str">
        <f ca="1">IFERROR(VLOOKUP(Tabela4[[#This Row],[Cabo]],BD!A:V,4,0),"")</f>
        <v/>
      </c>
      <c r="J370" s="23" t="str">
        <f ca="1">IFERROR(VLOOKUP(Tabela4[[#This Row],[Cabo]],BD!A:V,7,0),"")</f>
        <v/>
      </c>
      <c r="K37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0" s="23" t="str">
        <f ca="1">IFERROR(VLOOKUP(Tabela4[[#This Row],[Cabo]],BD!A:V,9,0),"")</f>
        <v/>
      </c>
      <c r="M370" s="23" t="str">
        <f ca="1">IFERROR(VLOOKUP(Tabela4[[#This Row],[Cabo]],BD!A:AD,30,0),"")</f>
        <v/>
      </c>
      <c r="N370" s="23" t="str">
        <f ca="1">IF(SUMIF('Lançamento de Cabos'!B:B,Tabela4[[#This Row],[Cabo]],'Lançamento de Cabos'!C:C)=0,"",SUMIF('Lançamento de Cabos'!B:B,Tabela4[[#This Row],[Cabo]],'Lançamento de Cabos'!C:C))</f>
        <v/>
      </c>
      <c r="O370" s="28" t="str">
        <f ca="1">IFERROR(IF(Tabela4[[#This Row],[Compr. Lançado]]/Tabela4[[#This Row],[Compr. Prev.]]&gt;1,1,Tabela4[[#This Row],[Compr. Lançado]]/Tabela4[[#This Row],[Compr. Prev.]]),"")</f>
        <v/>
      </c>
      <c r="P370" s="24" t="str">
        <f ca="1">IFERROR(VLOOKUP(Tabela4[[#This Row],[Cabo]],BD!A:V,11,0),"")</f>
        <v/>
      </c>
      <c r="Q370" s="24" t="str">
        <f ca="1">IFERROR(VLOOKUP(Tabela4[[#This Row],[Cabo]],BD!A:V,12,0),"")</f>
        <v/>
      </c>
      <c r="R37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0" s="23" t="str">
        <f ca="1">IF(Tabela4[[#This Row],[Cabo]]&lt;&gt;"",4-COUNTIF(Tabela4[[#This Row],[Teste de Continuidade]:[Hipot]],"---"),"")</f>
        <v/>
      </c>
      <c r="W370" s="29" t="str">
        <f ca="1">IF(Tabela4[[#This Row],[Cabo]]&lt;&gt;"",(COUNTIF(Tabela4[[#This Row],[Teste de Continuidade]:[Hipot]],"OK"))/(4-COUNTIF(Tabela4[[#This Row],[Teste de Continuidade]:[Hipot]],"---")),"")</f>
        <v/>
      </c>
      <c r="X370" s="23" t="str">
        <f ca="1">IF(Tabela4[[#This Row],[Cabo]]&lt;&gt;"",SUMIFS('Lançamento de Cabos'!$AF:$AF,'Lançamento de Cabos'!AE:AE,Tabela4[[#This Row],[Cabo]],'Lançamento de Cabos'!AJ:AJ,Área!$B$1),"")</f>
        <v/>
      </c>
      <c r="Y370" s="23" t="str">
        <f ca="1">IF(Tabela4[[#This Row],[Cabo]]&lt;&gt;"",SUMIFS('Lançamento de Cabos'!$AG:$AG,'Lançamento de Cabos'!AE:AE,Tabela4[[#This Row],[Cabo]],'Lançamento de Cabos'!AJ:AJ,Área!$B$1),"")</f>
        <v/>
      </c>
      <c r="Z370" s="23" t="e">
        <f ca="1">VLOOKUP(Tabela4[[#This Row],[Cabo]],BD!A:AB,28,0)</f>
        <v>#N/A</v>
      </c>
    </row>
    <row r="371" spans="3:26" x14ac:dyDescent="0.25">
      <c r="C371" s="391" t="str">
        <f ca="1">IF($B$1="Geral",Tabela1[[#This Row],[Tag do Cabo]],IFERROR(INDEX(INDIRECT("BD!$A"&amp;D371&amp;":$A100000"),E371,1),""))</f>
        <v/>
      </c>
      <c r="D371" s="391" t="str">
        <f t="shared" ca="1" si="16"/>
        <v/>
      </c>
      <c r="E371" s="391" t="str">
        <f t="shared" ca="1" si="17"/>
        <v/>
      </c>
      <c r="F371" s="23" t="str">
        <f ca="1">IFERROR(VLOOKUP(Tabela4[[#This Row],[Cabo]],BD!A:V,2,0),"")</f>
        <v/>
      </c>
      <c r="G371" s="391" t="str">
        <f ca="1">IFERROR(VLOOKUP(Tabela4[[#This Row],[Cabo]],BD!A:V,5,0),"")</f>
        <v/>
      </c>
      <c r="H371" s="23" t="str">
        <f ca="1">IFERROR(VLOOKUP(Tabela4[[#This Row],[Cabo]],BD!A:V,3,0),"")</f>
        <v/>
      </c>
      <c r="I371" s="23" t="str">
        <f ca="1">IFERROR(VLOOKUP(Tabela4[[#This Row],[Cabo]],BD!A:V,4,0),"")</f>
        <v/>
      </c>
      <c r="J371" s="23" t="str">
        <f ca="1">IFERROR(VLOOKUP(Tabela4[[#This Row],[Cabo]],BD!A:V,7,0),"")</f>
        <v/>
      </c>
      <c r="K37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1" s="23" t="str">
        <f ca="1">IFERROR(VLOOKUP(Tabela4[[#This Row],[Cabo]],BD!A:V,9,0),"")</f>
        <v/>
      </c>
      <c r="M371" s="23" t="str">
        <f ca="1">IFERROR(VLOOKUP(Tabela4[[#This Row],[Cabo]],BD!A:AD,30,0),"")</f>
        <v/>
      </c>
      <c r="N371" s="23" t="str">
        <f ca="1">IF(SUMIF('Lançamento de Cabos'!B:B,Tabela4[[#This Row],[Cabo]],'Lançamento de Cabos'!C:C)=0,"",SUMIF('Lançamento de Cabos'!B:B,Tabela4[[#This Row],[Cabo]],'Lançamento de Cabos'!C:C))</f>
        <v/>
      </c>
      <c r="O371" s="28" t="str">
        <f ca="1">IFERROR(IF(Tabela4[[#This Row],[Compr. Lançado]]/Tabela4[[#This Row],[Compr. Prev.]]&gt;1,1,Tabela4[[#This Row],[Compr. Lançado]]/Tabela4[[#This Row],[Compr. Prev.]]),"")</f>
        <v/>
      </c>
      <c r="P371" s="24" t="str">
        <f ca="1">IFERROR(VLOOKUP(Tabela4[[#This Row],[Cabo]],BD!A:V,11,0),"")</f>
        <v/>
      </c>
      <c r="Q371" s="24" t="str">
        <f ca="1">IFERROR(VLOOKUP(Tabela4[[#This Row],[Cabo]],BD!A:V,12,0),"")</f>
        <v/>
      </c>
      <c r="R37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1" s="23" t="str">
        <f ca="1">IF(Tabela4[[#This Row],[Cabo]]&lt;&gt;"",4-COUNTIF(Tabela4[[#This Row],[Teste de Continuidade]:[Hipot]],"---"),"")</f>
        <v/>
      </c>
      <c r="W371" s="29" t="str">
        <f ca="1">IF(Tabela4[[#This Row],[Cabo]]&lt;&gt;"",(COUNTIF(Tabela4[[#This Row],[Teste de Continuidade]:[Hipot]],"OK"))/(4-COUNTIF(Tabela4[[#This Row],[Teste de Continuidade]:[Hipot]],"---")),"")</f>
        <v/>
      </c>
      <c r="X371" s="23" t="str">
        <f ca="1">IF(Tabela4[[#This Row],[Cabo]]&lt;&gt;"",SUMIFS('Lançamento de Cabos'!$AF:$AF,'Lançamento de Cabos'!AE:AE,Tabela4[[#This Row],[Cabo]],'Lançamento de Cabos'!AJ:AJ,Área!$B$1),"")</f>
        <v/>
      </c>
      <c r="Y371" s="23" t="str">
        <f ca="1">IF(Tabela4[[#This Row],[Cabo]]&lt;&gt;"",SUMIFS('Lançamento de Cabos'!$AG:$AG,'Lançamento de Cabos'!AE:AE,Tabela4[[#This Row],[Cabo]],'Lançamento de Cabos'!AJ:AJ,Área!$B$1),"")</f>
        <v/>
      </c>
      <c r="Z371" s="23" t="e">
        <f ca="1">VLOOKUP(Tabela4[[#This Row],[Cabo]],BD!A:AB,28,0)</f>
        <v>#N/A</v>
      </c>
    </row>
    <row r="372" spans="3:26" x14ac:dyDescent="0.25">
      <c r="C372" s="391" t="str">
        <f ca="1">IF($B$1="Geral",Tabela1[[#This Row],[Tag do Cabo]],IFERROR(INDEX(INDIRECT("BD!$A"&amp;D372&amp;":$A100000"),E372,1),""))</f>
        <v/>
      </c>
      <c r="D372" s="391" t="str">
        <f t="shared" ca="1" si="16"/>
        <v/>
      </c>
      <c r="E372" s="391" t="str">
        <f t="shared" ca="1" si="17"/>
        <v/>
      </c>
      <c r="F372" s="23" t="str">
        <f ca="1">IFERROR(VLOOKUP(Tabela4[[#This Row],[Cabo]],BD!A:V,2,0),"")</f>
        <v/>
      </c>
      <c r="G372" s="391" t="str">
        <f ca="1">IFERROR(VLOOKUP(Tabela4[[#This Row],[Cabo]],BD!A:V,5,0),"")</f>
        <v/>
      </c>
      <c r="H372" s="23" t="str">
        <f ca="1">IFERROR(VLOOKUP(Tabela4[[#This Row],[Cabo]],BD!A:V,3,0),"")</f>
        <v/>
      </c>
      <c r="I372" s="23" t="str">
        <f ca="1">IFERROR(VLOOKUP(Tabela4[[#This Row],[Cabo]],BD!A:V,4,0),"")</f>
        <v/>
      </c>
      <c r="J372" s="23" t="str">
        <f ca="1">IFERROR(VLOOKUP(Tabela4[[#This Row],[Cabo]],BD!A:V,7,0),"")</f>
        <v/>
      </c>
      <c r="K37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2" s="23" t="str">
        <f ca="1">IFERROR(VLOOKUP(Tabela4[[#This Row],[Cabo]],BD!A:V,9,0),"")</f>
        <v/>
      </c>
      <c r="M372" s="23" t="str">
        <f ca="1">IFERROR(VLOOKUP(Tabela4[[#This Row],[Cabo]],BD!A:AD,30,0),"")</f>
        <v/>
      </c>
      <c r="N372" s="23" t="str">
        <f ca="1">IF(SUMIF('Lançamento de Cabos'!B:B,Tabela4[[#This Row],[Cabo]],'Lançamento de Cabos'!C:C)=0,"",SUMIF('Lançamento de Cabos'!B:B,Tabela4[[#This Row],[Cabo]],'Lançamento de Cabos'!C:C))</f>
        <v/>
      </c>
      <c r="O372" s="28" t="str">
        <f ca="1">IFERROR(IF(Tabela4[[#This Row],[Compr. Lançado]]/Tabela4[[#This Row],[Compr. Prev.]]&gt;1,1,Tabela4[[#This Row],[Compr. Lançado]]/Tabela4[[#This Row],[Compr. Prev.]]),"")</f>
        <v/>
      </c>
      <c r="P372" s="24" t="str">
        <f ca="1">IFERROR(VLOOKUP(Tabela4[[#This Row],[Cabo]],BD!A:V,11,0),"")</f>
        <v/>
      </c>
      <c r="Q372" s="24" t="str">
        <f ca="1">IFERROR(VLOOKUP(Tabela4[[#This Row],[Cabo]],BD!A:V,12,0),"")</f>
        <v/>
      </c>
      <c r="R37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2" s="23" t="str">
        <f ca="1">IF(Tabela4[[#This Row],[Cabo]]&lt;&gt;"",4-COUNTIF(Tabela4[[#This Row],[Teste de Continuidade]:[Hipot]],"---"),"")</f>
        <v/>
      </c>
      <c r="W372" s="29" t="str">
        <f ca="1">IF(Tabela4[[#This Row],[Cabo]]&lt;&gt;"",(COUNTIF(Tabela4[[#This Row],[Teste de Continuidade]:[Hipot]],"OK"))/(4-COUNTIF(Tabela4[[#This Row],[Teste de Continuidade]:[Hipot]],"---")),"")</f>
        <v/>
      </c>
      <c r="X372" s="23" t="str">
        <f ca="1">IF(Tabela4[[#This Row],[Cabo]]&lt;&gt;"",SUMIFS('Lançamento de Cabos'!$AF:$AF,'Lançamento de Cabos'!AE:AE,Tabela4[[#This Row],[Cabo]],'Lançamento de Cabos'!AJ:AJ,Área!$B$1),"")</f>
        <v/>
      </c>
      <c r="Y372" s="23" t="str">
        <f ca="1">IF(Tabela4[[#This Row],[Cabo]]&lt;&gt;"",SUMIFS('Lançamento de Cabos'!$AG:$AG,'Lançamento de Cabos'!AE:AE,Tabela4[[#This Row],[Cabo]],'Lançamento de Cabos'!AJ:AJ,Área!$B$1),"")</f>
        <v/>
      </c>
      <c r="Z372" s="23" t="e">
        <f ca="1">VLOOKUP(Tabela4[[#This Row],[Cabo]],BD!A:AB,28,0)</f>
        <v>#N/A</v>
      </c>
    </row>
    <row r="373" spans="3:26" x14ac:dyDescent="0.25">
      <c r="C373" s="391" t="str">
        <f ca="1">IF($B$1="Geral",Tabela1[[#This Row],[Tag do Cabo]],IFERROR(INDEX(INDIRECT("BD!$A"&amp;D373&amp;":$A100000"),E373,1),""))</f>
        <v/>
      </c>
      <c r="D373" s="391" t="str">
        <f t="shared" ca="1" si="16"/>
        <v/>
      </c>
      <c r="E373" s="391" t="str">
        <f t="shared" ca="1" si="17"/>
        <v/>
      </c>
      <c r="F373" s="23" t="str">
        <f ca="1">IFERROR(VLOOKUP(Tabela4[[#This Row],[Cabo]],BD!A:V,2,0),"")</f>
        <v/>
      </c>
      <c r="G373" s="391" t="str">
        <f ca="1">IFERROR(VLOOKUP(Tabela4[[#This Row],[Cabo]],BD!A:V,5,0),"")</f>
        <v/>
      </c>
      <c r="H373" s="23" t="str">
        <f ca="1">IFERROR(VLOOKUP(Tabela4[[#This Row],[Cabo]],BD!A:V,3,0),"")</f>
        <v/>
      </c>
      <c r="I373" s="23" t="str">
        <f ca="1">IFERROR(VLOOKUP(Tabela4[[#This Row],[Cabo]],BD!A:V,4,0),"")</f>
        <v/>
      </c>
      <c r="J373" s="23" t="str">
        <f ca="1">IFERROR(VLOOKUP(Tabela4[[#This Row],[Cabo]],BD!A:V,7,0),"")</f>
        <v/>
      </c>
      <c r="K37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3" s="23" t="str">
        <f ca="1">IFERROR(VLOOKUP(Tabela4[[#This Row],[Cabo]],BD!A:V,9,0),"")</f>
        <v/>
      </c>
      <c r="M373" s="23" t="str">
        <f ca="1">IFERROR(VLOOKUP(Tabela4[[#This Row],[Cabo]],BD!A:AD,30,0),"")</f>
        <v/>
      </c>
      <c r="N373" s="23" t="str">
        <f ca="1">IF(SUMIF('Lançamento de Cabos'!B:B,Tabela4[[#This Row],[Cabo]],'Lançamento de Cabos'!C:C)=0,"",SUMIF('Lançamento de Cabos'!B:B,Tabela4[[#This Row],[Cabo]],'Lançamento de Cabos'!C:C))</f>
        <v/>
      </c>
      <c r="O373" s="28" t="str">
        <f ca="1">IFERROR(IF(Tabela4[[#This Row],[Compr. Lançado]]/Tabela4[[#This Row],[Compr. Prev.]]&gt;1,1,Tabela4[[#This Row],[Compr. Lançado]]/Tabela4[[#This Row],[Compr. Prev.]]),"")</f>
        <v/>
      </c>
      <c r="P373" s="24" t="str">
        <f ca="1">IFERROR(VLOOKUP(Tabela4[[#This Row],[Cabo]],BD!A:V,11,0),"")</f>
        <v/>
      </c>
      <c r="Q373" s="24" t="str">
        <f ca="1">IFERROR(VLOOKUP(Tabela4[[#This Row],[Cabo]],BD!A:V,12,0),"")</f>
        <v/>
      </c>
      <c r="R37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3" s="23" t="str">
        <f ca="1">IF(Tabela4[[#This Row],[Cabo]]&lt;&gt;"",4-COUNTIF(Tabela4[[#This Row],[Teste de Continuidade]:[Hipot]],"---"),"")</f>
        <v/>
      </c>
      <c r="W373" s="29" t="str">
        <f ca="1">IF(Tabela4[[#This Row],[Cabo]]&lt;&gt;"",(COUNTIF(Tabela4[[#This Row],[Teste de Continuidade]:[Hipot]],"OK"))/(4-COUNTIF(Tabela4[[#This Row],[Teste de Continuidade]:[Hipot]],"---")),"")</f>
        <v/>
      </c>
      <c r="X373" s="23" t="str">
        <f ca="1">IF(Tabela4[[#This Row],[Cabo]]&lt;&gt;"",SUMIFS('Lançamento de Cabos'!$AF:$AF,'Lançamento de Cabos'!AE:AE,Tabela4[[#This Row],[Cabo]],'Lançamento de Cabos'!AJ:AJ,Área!$B$1),"")</f>
        <v/>
      </c>
      <c r="Y373" s="23" t="str">
        <f ca="1">IF(Tabela4[[#This Row],[Cabo]]&lt;&gt;"",SUMIFS('Lançamento de Cabos'!$AG:$AG,'Lançamento de Cabos'!AE:AE,Tabela4[[#This Row],[Cabo]],'Lançamento de Cabos'!AJ:AJ,Área!$B$1),"")</f>
        <v/>
      </c>
      <c r="Z373" s="23" t="e">
        <f ca="1">VLOOKUP(Tabela4[[#This Row],[Cabo]],BD!A:AB,28,0)</f>
        <v>#N/A</v>
      </c>
    </row>
    <row r="374" spans="3:26" x14ac:dyDescent="0.25">
      <c r="C374" s="391" t="str">
        <f ca="1">IF($B$1="Geral",Tabela1[[#This Row],[Tag do Cabo]],IFERROR(INDEX(INDIRECT("BD!$A"&amp;D374&amp;":$A100000"),E374,1),""))</f>
        <v/>
      </c>
      <c r="D374" s="391" t="str">
        <f t="shared" ca="1" si="16"/>
        <v/>
      </c>
      <c r="E374" s="391" t="str">
        <f t="shared" ca="1" si="17"/>
        <v/>
      </c>
      <c r="F374" s="23" t="str">
        <f ca="1">IFERROR(VLOOKUP(Tabela4[[#This Row],[Cabo]],BD!A:V,2,0),"")</f>
        <v/>
      </c>
      <c r="G374" s="391" t="str">
        <f ca="1">IFERROR(VLOOKUP(Tabela4[[#This Row],[Cabo]],BD!A:V,5,0),"")</f>
        <v/>
      </c>
      <c r="H374" s="23" t="str">
        <f ca="1">IFERROR(VLOOKUP(Tabela4[[#This Row],[Cabo]],BD!A:V,3,0),"")</f>
        <v/>
      </c>
      <c r="I374" s="23" t="str">
        <f ca="1">IFERROR(VLOOKUP(Tabela4[[#This Row],[Cabo]],BD!A:V,4,0),"")</f>
        <v/>
      </c>
      <c r="J374" s="23" t="str">
        <f ca="1">IFERROR(VLOOKUP(Tabela4[[#This Row],[Cabo]],BD!A:V,7,0),"")</f>
        <v/>
      </c>
      <c r="K37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4" s="23" t="str">
        <f ca="1">IFERROR(VLOOKUP(Tabela4[[#This Row],[Cabo]],BD!A:V,9,0),"")</f>
        <v/>
      </c>
      <c r="M374" s="23" t="str">
        <f ca="1">IFERROR(VLOOKUP(Tabela4[[#This Row],[Cabo]],BD!A:AD,30,0),"")</f>
        <v/>
      </c>
      <c r="N374" s="23" t="str">
        <f ca="1">IF(SUMIF('Lançamento de Cabos'!B:B,Tabela4[[#This Row],[Cabo]],'Lançamento de Cabos'!C:C)=0,"",SUMIF('Lançamento de Cabos'!B:B,Tabela4[[#This Row],[Cabo]],'Lançamento de Cabos'!C:C))</f>
        <v/>
      </c>
      <c r="O374" s="28" t="str">
        <f ca="1">IFERROR(IF(Tabela4[[#This Row],[Compr. Lançado]]/Tabela4[[#This Row],[Compr. Prev.]]&gt;1,1,Tabela4[[#This Row],[Compr. Lançado]]/Tabela4[[#This Row],[Compr. Prev.]]),"")</f>
        <v/>
      </c>
      <c r="P374" s="24" t="str">
        <f ca="1">IFERROR(VLOOKUP(Tabela4[[#This Row],[Cabo]],BD!A:V,11,0),"")</f>
        <v/>
      </c>
      <c r="Q374" s="24" t="str">
        <f ca="1">IFERROR(VLOOKUP(Tabela4[[#This Row],[Cabo]],BD!A:V,12,0),"")</f>
        <v/>
      </c>
      <c r="R37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4" s="23" t="str">
        <f ca="1">IF(Tabela4[[#This Row],[Cabo]]&lt;&gt;"",4-COUNTIF(Tabela4[[#This Row],[Teste de Continuidade]:[Hipot]],"---"),"")</f>
        <v/>
      </c>
      <c r="W374" s="29" t="str">
        <f ca="1">IF(Tabela4[[#This Row],[Cabo]]&lt;&gt;"",(COUNTIF(Tabela4[[#This Row],[Teste de Continuidade]:[Hipot]],"OK"))/(4-COUNTIF(Tabela4[[#This Row],[Teste de Continuidade]:[Hipot]],"---")),"")</f>
        <v/>
      </c>
      <c r="X374" s="23" t="str">
        <f ca="1">IF(Tabela4[[#This Row],[Cabo]]&lt;&gt;"",SUMIFS('Lançamento de Cabos'!$AF:$AF,'Lançamento de Cabos'!AE:AE,Tabela4[[#This Row],[Cabo]],'Lançamento de Cabos'!AJ:AJ,Área!$B$1),"")</f>
        <v/>
      </c>
      <c r="Y374" s="23" t="str">
        <f ca="1">IF(Tabela4[[#This Row],[Cabo]]&lt;&gt;"",SUMIFS('Lançamento de Cabos'!$AG:$AG,'Lançamento de Cabos'!AE:AE,Tabela4[[#This Row],[Cabo]],'Lançamento de Cabos'!AJ:AJ,Área!$B$1),"")</f>
        <v/>
      </c>
      <c r="Z374" s="23" t="e">
        <f ca="1">VLOOKUP(Tabela4[[#This Row],[Cabo]],BD!A:AB,28,0)</f>
        <v>#N/A</v>
      </c>
    </row>
    <row r="375" spans="3:26" x14ac:dyDescent="0.25">
      <c r="C375" s="391" t="str">
        <f ca="1">IF($B$1="Geral",Tabela1[[#This Row],[Tag do Cabo]],IFERROR(INDEX(INDIRECT("BD!$A"&amp;D375&amp;":$A100000"),E375,1),""))</f>
        <v/>
      </c>
      <c r="D375" s="391" t="str">
        <f t="shared" ca="1" si="16"/>
        <v/>
      </c>
      <c r="E375" s="391" t="str">
        <f t="shared" ca="1" si="17"/>
        <v/>
      </c>
      <c r="F375" s="23" t="str">
        <f ca="1">IFERROR(VLOOKUP(Tabela4[[#This Row],[Cabo]],BD!A:V,2,0),"")</f>
        <v/>
      </c>
      <c r="G375" s="391" t="str">
        <f ca="1">IFERROR(VLOOKUP(Tabela4[[#This Row],[Cabo]],BD!A:V,5,0),"")</f>
        <v/>
      </c>
      <c r="H375" s="23" t="str">
        <f ca="1">IFERROR(VLOOKUP(Tabela4[[#This Row],[Cabo]],BD!A:V,3,0),"")</f>
        <v/>
      </c>
      <c r="I375" s="23" t="str">
        <f ca="1">IFERROR(VLOOKUP(Tabela4[[#This Row],[Cabo]],BD!A:V,4,0),"")</f>
        <v/>
      </c>
      <c r="J375" s="23" t="str">
        <f ca="1">IFERROR(VLOOKUP(Tabela4[[#This Row],[Cabo]],BD!A:V,7,0),"")</f>
        <v/>
      </c>
      <c r="K37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5" s="23" t="str">
        <f ca="1">IFERROR(VLOOKUP(Tabela4[[#This Row],[Cabo]],BD!A:V,9,0),"")</f>
        <v/>
      </c>
      <c r="M375" s="23" t="str">
        <f ca="1">IFERROR(VLOOKUP(Tabela4[[#This Row],[Cabo]],BD!A:AD,30,0),"")</f>
        <v/>
      </c>
      <c r="N375" s="23" t="str">
        <f ca="1">IF(SUMIF('Lançamento de Cabos'!B:B,Tabela4[[#This Row],[Cabo]],'Lançamento de Cabos'!C:C)=0,"",SUMIF('Lançamento de Cabos'!B:B,Tabela4[[#This Row],[Cabo]],'Lançamento de Cabos'!C:C))</f>
        <v/>
      </c>
      <c r="O375" s="28" t="str">
        <f ca="1">IFERROR(IF(Tabela4[[#This Row],[Compr. Lançado]]/Tabela4[[#This Row],[Compr. Prev.]]&gt;1,1,Tabela4[[#This Row],[Compr. Lançado]]/Tabela4[[#This Row],[Compr. Prev.]]),"")</f>
        <v/>
      </c>
      <c r="P375" s="24" t="str">
        <f ca="1">IFERROR(VLOOKUP(Tabela4[[#This Row],[Cabo]],BD!A:V,11,0),"")</f>
        <v/>
      </c>
      <c r="Q375" s="24" t="str">
        <f ca="1">IFERROR(VLOOKUP(Tabela4[[#This Row],[Cabo]],BD!A:V,12,0),"")</f>
        <v/>
      </c>
      <c r="R37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5" s="23" t="str">
        <f ca="1">IF(Tabela4[[#This Row],[Cabo]]&lt;&gt;"",4-COUNTIF(Tabela4[[#This Row],[Teste de Continuidade]:[Hipot]],"---"),"")</f>
        <v/>
      </c>
      <c r="W375" s="29" t="str">
        <f ca="1">IF(Tabela4[[#This Row],[Cabo]]&lt;&gt;"",(COUNTIF(Tabela4[[#This Row],[Teste de Continuidade]:[Hipot]],"OK"))/(4-COUNTIF(Tabela4[[#This Row],[Teste de Continuidade]:[Hipot]],"---")),"")</f>
        <v/>
      </c>
      <c r="X375" s="23" t="str">
        <f ca="1">IF(Tabela4[[#This Row],[Cabo]]&lt;&gt;"",SUMIFS('Lançamento de Cabos'!$AF:$AF,'Lançamento de Cabos'!AE:AE,Tabela4[[#This Row],[Cabo]],'Lançamento de Cabos'!AJ:AJ,Área!$B$1),"")</f>
        <v/>
      </c>
      <c r="Y375" s="23" t="str">
        <f ca="1">IF(Tabela4[[#This Row],[Cabo]]&lt;&gt;"",SUMIFS('Lançamento de Cabos'!$AG:$AG,'Lançamento de Cabos'!AE:AE,Tabela4[[#This Row],[Cabo]],'Lançamento de Cabos'!AJ:AJ,Área!$B$1),"")</f>
        <v/>
      </c>
      <c r="Z375" s="23" t="e">
        <f ca="1">VLOOKUP(Tabela4[[#This Row],[Cabo]],BD!A:AB,28,0)</f>
        <v>#N/A</v>
      </c>
    </row>
    <row r="376" spans="3:26" x14ac:dyDescent="0.25">
      <c r="C376" s="391" t="str">
        <f ca="1">IF($B$1="Geral",Tabela1[[#This Row],[Tag do Cabo]],IFERROR(INDEX(INDIRECT("BD!$A"&amp;D376&amp;":$A100000"),E376,1),""))</f>
        <v/>
      </c>
      <c r="D376" s="391" t="str">
        <f t="shared" ca="1" si="16"/>
        <v/>
      </c>
      <c r="E376" s="391" t="str">
        <f t="shared" ca="1" si="17"/>
        <v/>
      </c>
      <c r="F376" s="23" t="str">
        <f ca="1">IFERROR(VLOOKUP(Tabela4[[#This Row],[Cabo]],BD!A:V,2,0),"")</f>
        <v/>
      </c>
      <c r="G376" s="391" t="str">
        <f ca="1">IFERROR(VLOOKUP(Tabela4[[#This Row],[Cabo]],BD!A:V,5,0),"")</f>
        <v/>
      </c>
      <c r="H376" s="23" t="str">
        <f ca="1">IFERROR(VLOOKUP(Tabela4[[#This Row],[Cabo]],BD!A:V,3,0),"")</f>
        <v/>
      </c>
      <c r="I376" s="23" t="str">
        <f ca="1">IFERROR(VLOOKUP(Tabela4[[#This Row],[Cabo]],BD!A:V,4,0),"")</f>
        <v/>
      </c>
      <c r="J376" s="23" t="str">
        <f ca="1">IFERROR(VLOOKUP(Tabela4[[#This Row],[Cabo]],BD!A:V,7,0),"")</f>
        <v/>
      </c>
      <c r="K37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6" s="23" t="str">
        <f ca="1">IFERROR(VLOOKUP(Tabela4[[#This Row],[Cabo]],BD!A:V,9,0),"")</f>
        <v/>
      </c>
      <c r="M376" s="23" t="str">
        <f ca="1">IFERROR(VLOOKUP(Tabela4[[#This Row],[Cabo]],BD!A:AD,30,0),"")</f>
        <v/>
      </c>
      <c r="N376" s="23" t="str">
        <f ca="1">IF(SUMIF('Lançamento de Cabos'!B:B,Tabela4[[#This Row],[Cabo]],'Lançamento de Cabos'!C:C)=0,"",SUMIF('Lançamento de Cabos'!B:B,Tabela4[[#This Row],[Cabo]],'Lançamento de Cabos'!C:C))</f>
        <v/>
      </c>
      <c r="O376" s="28" t="str">
        <f ca="1">IFERROR(IF(Tabela4[[#This Row],[Compr. Lançado]]/Tabela4[[#This Row],[Compr. Prev.]]&gt;1,1,Tabela4[[#This Row],[Compr. Lançado]]/Tabela4[[#This Row],[Compr. Prev.]]),"")</f>
        <v/>
      </c>
      <c r="P376" s="24" t="str">
        <f ca="1">IFERROR(VLOOKUP(Tabela4[[#This Row],[Cabo]],BD!A:V,11,0),"")</f>
        <v/>
      </c>
      <c r="Q376" s="24" t="str">
        <f ca="1">IFERROR(VLOOKUP(Tabela4[[#This Row],[Cabo]],BD!A:V,12,0),"")</f>
        <v/>
      </c>
      <c r="R37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6" s="23" t="str">
        <f ca="1">IF(Tabela4[[#This Row],[Cabo]]&lt;&gt;"",4-COUNTIF(Tabela4[[#This Row],[Teste de Continuidade]:[Hipot]],"---"),"")</f>
        <v/>
      </c>
      <c r="W376" s="29" t="str">
        <f ca="1">IF(Tabela4[[#This Row],[Cabo]]&lt;&gt;"",(COUNTIF(Tabela4[[#This Row],[Teste de Continuidade]:[Hipot]],"OK"))/(4-COUNTIF(Tabela4[[#This Row],[Teste de Continuidade]:[Hipot]],"---")),"")</f>
        <v/>
      </c>
      <c r="X376" s="23" t="str">
        <f ca="1">IF(Tabela4[[#This Row],[Cabo]]&lt;&gt;"",SUMIFS('Lançamento de Cabos'!$AF:$AF,'Lançamento de Cabos'!AE:AE,Tabela4[[#This Row],[Cabo]],'Lançamento de Cabos'!AJ:AJ,Área!$B$1),"")</f>
        <v/>
      </c>
      <c r="Y376" s="23" t="str">
        <f ca="1">IF(Tabela4[[#This Row],[Cabo]]&lt;&gt;"",SUMIFS('Lançamento de Cabos'!$AG:$AG,'Lançamento de Cabos'!AE:AE,Tabela4[[#This Row],[Cabo]],'Lançamento de Cabos'!AJ:AJ,Área!$B$1),"")</f>
        <v/>
      </c>
      <c r="Z376" s="23" t="e">
        <f ca="1">VLOOKUP(Tabela4[[#This Row],[Cabo]],BD!A:AB,28,0)</f>
        <v>#N/A</v>
      </c>
    </row>
    <row r="377" spans="3:26" x14ac:dyDescent="0.25">
      <c r="C377" s="391" t="str">
        <f ca="1">IF($B$1="Geral",Tabela1[[#This Row],[Tag do Cabo]],IFERROR(INDEX(INDIRECT("BD!$A"&amp;D377&amp;":$A100000"),E377,1),""))</f>
        <v/>
      </c>
      <c r="D377" s="391" t="str">
        <f t="shared" ca="1" si="16"/>
        <v/>
      </c>
      <c r="E377" s="391" t="str">
        <f t="shared" ca="1" si="17"/>
        <v/>
      </c>
      <c r="F377" s="23" t="str">
        <f ca="1">IFERROR(VLOOKUP(Tabela4[[#This Row],[Cabo]],BD!A:V,2,0),"")</f>
        <v/>
      </c>
      <c r="G377" s="391" t="str">
        <f ca="1">IFERROR(VLOOKUP(Tabela4[[#This Row],[Cabo]],BD!A:V,5,0),"")</f>
        <v/>
      </c>
      <c r="H377" s="23" t="str">
        <f ca="1">IFERROR(VLOOKUP(Tabela4[[#This Row],[Cabo]],BD!A:V,3,0),"")</f>
        <v/>
      </c>
      <c r="I377" s="23" t="str">
        <f ca="1">IFERROR(VLOOKUP(Tabela4[[#This Row],[Cabo]],BD!A:V,4,0),"")</f>
        <v/>
      </c>
      <c r="J377" s="23" t="str">
        <f ca="1">IFERROR(VLOOKUP(Tabela4[[#This Row],[Cabo]],BD!A:V,7,0),"")</f>
        <v/>
      </c>
      <c r="K37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7" s="23" t="str">
        <f ca="1">IFERROR(VLOOKUP(Tabela4[[#This Row],[Cabo]],BD!A:V,9,0),"")</f>
        <v/>
      </c>
      <c r="M377" s="23" t="str">
        <f ca="1">IFERROR(VLOOKUP(Tabela4[[#This Row],[Cabo]],BD!A:AD,30,0),"")</f>
        <v/>
      </c>
      <c r="N377" s="23" t="str">
        <f ca="1">IF(SUMIF('Lançamento de Cabos'!B:B,Tabela4[[#This Row],[Cabo]],'Lançamento de Cabos'!C:C)=0,"",SUMIF('Lançamento de Cabos'!B:B,Tabela4[[#This Row],[Cabo]],'Lançamento de Cabos'!C:C))</f>
        <v/>
      </c>
      <c r="O377" s="28" t="str">
        <f ca="1">IFERROR(IF(Tabela4[[#This Row],[Compr. Lançado]]/Tabela4[[#This Row],[Compr. Prev.]]&gt;1,1,Tabela4[[#This Row],[Compr. Lançado]]/Tabela4[[#This Row],[Compr. Prev.]]),"")</f>
        <v/>
      </c>
      <c r="P377" s="24" t="str">
        <f ca="1">IFERROR(VLOOKUP(Tabela4[[#This Row],[Cabo]],BD!A:V,11,0),"")</f>
        <v/>
      </c>
      <c r="Q377" s="24" t="str">
        <f ca="1">IFERROR(VLOOKUP(Tabela4[[#This Row],[Cabo]],BD!A:V,12,0),"")</f>
        <v/>
      </c>
      <c r="R37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7" s="23" t="str">
        <f ca="1">IF(Tabela4[[#This Row],[Cabo]]&lt;&gt;"",4-COUNTIF(Tabela4[[#This Row],[Teste de Continuidade]:[Hipot]],"---"),"")</f>
        <v/>
      </c>
      <c r="W377" s="29" t="str">
        <f ca="1">IF(Tabela4[[#This Row],[Cabo]]&lt;&gt;"",(COUNTIF(Tabela4[[#This Row],[Teste de Continuidade]:[Hipot]],"OK"))/(4-COUNTIF(Tabela4[[#This Row],[Teste de Continuidade]:[Hipot]],"---")),"")</f>
        <v/>
      </c>
      <c r="X377" s="23" t="str">
        <f ca="1">IF(Tabela4[[#This Row],[Cabo]]&lt;&gt;"",SUMIFS('Lançamento de Cabos'!$AF:$AF,'Lançamento de Cabos'!AE:AE,Tabela4[[#This Row],[Cabo]],'Lançamento de Cabos'!AJ:AJ,Área!$B$1),"")</f>
        <v/>
      </c>
      <c r="Y377" s="23" t="str">
        <f ca="1">IF(Tabela4[[#This Row],[Cabo]]&lt;&gt;"",SUMIFS('Lançamento de Cabos'!$AG:$AG,'Lançamento de Cabos'!AE:AE,Tabela4[[#This Row],[Cabo]],'Lançamento de Cabos'!AJ:AJ,Área!$B$1),"")</f>
        <v/>
      </c>
      <c r="Z377" s="23" t="e">
        <f ca="1">VLOOKUP(Tabela4[[#This Row],[Cabo]],BD!A:AB,28,0)</f>
        <v>#N/A</v>
      </c>
    </row>
    <row r="378" spans="3:26" x14ac:dyDescent="0.25">
      <c r="C378" s="391" t="str">
        <f ca="1">IF($B$1="Geral",Tabela1[[#This Row],[Tag do Cabo]],IFERROR(INDEX(INDIRECT("BD!$A"&amp;D378&amp;":$A100000"),E378,1),""))</f>
        <v/>
      </c>
      <c r="D378" s="391" t="str">
        <f t="shared" ca="1" si="16"/>
        <v/>
      </c>
      <c r="E378" s="391" t="str">
        <f t="shared" ca="1" si="17"/>
        <v/>
      </c>
      <c r="F378" s="23" t="str">
        <f ca="1">IFERROR(VLOOKUP(Tabela4[[#This Row],[Cabo]],BD!A:V,2,0),"")</f>
        <v/>
      </c>
      <c r="G378" s="391" t="str">
        <f ca="1">IFERROR(VLOOKUP(Tabela4[[#This Row],[Cabo]],BD!A:V,5,0),"")</f>
        <v/>
      </c>
      <c r="H378" s="23" t="str">
        <f ca="1">IFERROR(VLOOKUP(Tabela4[[#This Row],[Cabo]],BD!A:V,3,0),"")</f>
        <v/>
      </c>
      <c r="I378" s="23" t="str">
        <f ca="1">IFERROR(VLOOKUP(Tabela4[[#This Row],[Cabo]],BD!A:V,4,0),"")</f>
        <v/>
      </c>
      <c r="J378" s="23" t="str">
        <f ca="1">IFERROR(VLOOKUP(Tabela4[[#This Row],[Cabo]],BD!A:V,7,0),"")</f>
        <v/>
      </c>
      <c r="K37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8" s="23" t="str">
        <f ca="1">IFERROR(VLOOKUP(Tabela4[[#This Row],[Cabo]],BD!A:V,9,0),"")</f>
        <v/>
      </c>
      <c r="M378" s="23" t="str">
        <f ca="1">IFERROR(VLOOKUP(Tabela4[[#This Row],[Cabo]],BD!A:AD,30,0),"")</f>
        <v/>
      </c>
      <c r="N378" s="23" t="str">
        <f ca="1">IF(SUMIF('Lançamento de Cabos'!B:B,Tabela4[[#This Row],[Cabo]],'Lançamento de Cabos'!C:C)=0,"",SUMIF('Lançamento de Cabos'!B:B,Tabela4[[#This Row],[Cabo]],'Lançamento de Cabos'!C:C))</f>
        <v/>
      </c>
      <c r="O378" s="28" t="str">
        <f ca="1">IFERROR(IF(Tabela4[[#This Row],[Compr. Lançado]]/Tabela4[[#This Row],[Compr. Prev.]]&gt;1,1,Tabela4[[#This Row],[Compr. Lançado]]/Tabela4[[#This Row],[Compr. Prev.]]),"")</f>
        <v/>
      </c>
      <c r="P378" s="24" t="str">
        <f ca="1">IFERROR(VLOOKUP(Tabela4[[#This Row],[Cabo]],BD!A:V,11,0),"")</f>
        <v/>
      </c>
      <c r="Q378" s="24" t="str">
        <f ca="1">IFERROR(VLOOKUP(Tabela4[[#This Row],[Cabo]],BD!A:V,12,0),"")</f>
        <v/>
      </c>
      <c r="R37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8" s="23" t="str">
        <f ca="1">IF(Tabela4[[#This Row],[Cabo]]&lt;&gt;"",4-COUNTIF(Tabela4[[#This Row],[Teste de Continuidade]:[Hipot]],"---"),"")</f>
        <v/>
      </c>
      <c r="W378" s="29" t="str">
        <f ca="1">IF(Tabela4[[#This Row],[Cabo]]&lt;&gt;"",(COUNTIF(Tabela4[[#This Row],[Teste de Continuidade]:[Hipot]],"OK"))/(4-COUNTIF(Tabela4[[#This Row],[Teste de Continuidade]:[Hipot]],"---")),"")</f>
        <v/>
      </c>
      <c r="X378" s="23" t="str">
        <f ca="1">IF(Tabela4[[#This Row],[Cabo]]&lt;&gt;"",SUMIFS('Lançamento de Cabos'!$AF:$AF,'Lançamento de Cabos'!AE:AE,Tabela4[[#This Row],[Cabo]],'Lançamento de Cabos'!AJ:AJ,Área!$B$1),"")</f>
        <v/>
      </c>
      <c r="Y378" s="23" t="str">
        <f ca="1">IF(Tabela4[[#This Row],[Cabo]]&lt;&gt;"",SUMIFS('Lançamento de Cabos'!$AG:$AG,'Lançamento de Cabos'!AE:AE,Tabela4[[#This Row],[Cabo]],'Lançamento de Cabos'!AJ:AJ,Área!$B$1),"")</f>
        <v/>
      </c>
      <c r="Z378" s="23" t="e">
        <f ca="1">VLOOKUP(Tabela4[[#This Row],[Cabo]],BD!A:AB,28,0)</f>
        <v>#N/A</v>
      </c>
    </row>
    <row r="379" spans="3:26" x14ac:dyDescent="0.25">
      <c r="C379" s="391" t="str">
        <f ca="1">IF($B$1="Geral",Tabela1[[#This Row],[Tag do Cabo]],IFERROR(INDEX(INDIRECT("BD!$A"&amp;D379&amp;":$A100000"),E379,1),""))</f>
        <v/>
      </c>
      <c r="D379" s="391" t="str">
        <f t="shared" ca="1" si="16"/>
        <v/>
      </c>
      <c r="E379" s="391" t="str">
        <f t="shared" ca="1" si="17"/>
        <v/>
      </c>
      <c r="F379" s="23" t="str">
        <f ca="1">IFERROR(VLOOKUP(Tabela4[[#This Row],[Cabo]],BD!A:V,2,0),"")</f>
        <v/>
      </c>
      <c r="G379" s="391" t="str">
        <f ca="1">IFERROR(VLOOKUP(Tabela4[[#This Row],[Cabo]],BD!A:V,5,0),"")</f>
        <v/>
      </c>
      <c r="H379" s="23" t="str">
        <f ca="1">IFERROR(VLOOKUP(Tabela4[[#This Row],[Cabo]],BD!A:V,3,0),"")</f>
        <v/>
      </c>
      <c r="I379" s="23" t="str">
        <f ca="1">IFERROR(VLOOKUP(Tabela4[[#This Row],[Cabo]],BD!A:V,4,0),"")</f>
        <v/>
      </c>
      <c r="J379" s="23" t="str">
        <f ca="1">IFERROR(VLOOKUP(Tabela4[[#This Row],[Cabo]],BD!A:V,7,0),"")</f>
        <v/>
      </c>
      <c r="K37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79" s="23" t="str">
        <f ca="1">IFERROR(VLOOKUP(Tabela4[[#This Row],[Cabo]],BD!A:V,9,0),"")</f>
        <v/>
      </c>
      <c r="M379" s="23" t="str">
        <f ca="1">IFERROR(VLOOKUP(Tabela4[[#This Row],[Cabo]],BD!A:AD,30,0),"")</f>
        <v/>
      </c>
      <c r="N379" s="23" t="str">
        <f ca="1">IF(SUMIF('Lançamento de Cabos'!B:B,Tabela4[[#This Row],[Cabo]],'Lançamento de Cabos'!C:C)=0,"",SUMIF('Lançamento de Cabos'!B:B,Tabela4[[#This Row],[Cabo]],'Lançamento de Cabos'!C:C))</f>
        <v/>
      </c>
      <c r="O379" s="28" t="str">
        <f ca="1">IFERROR(IF(Tabela4[[#This Row],[Compr. Lançado]]/Tabela4[[#This Row],[Compr. Prev.]]&gt;1,1,Tabela4[[#This Row],[Compr. Lançado]]/Tabela4[[#This Row],[Compr. Prev.]]),"")</f>
        <v/>
      </c>
      <c r="P379" s="24" t="str">
        <f ca="1">IFERROR(VLOOKUP(Tabela4[[#This Row],[Cabo]],BD!A:V,11,0),"")</f>
        <v/>
      </c>
      <c r="Q379" s="24" t="str">
        <f ca="1">IFERROR(VLOOKUP(Tabela4[[#This Row],[Cabo]],BD!A:V,12,0),"")</f>
        <v/>
      </c>
      <c r="R37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7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7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7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79" s="23" t="str">
        <f ca="1">IF(Tabela4[[#This Row],[Cabo]]&lt;&gt;"",4-COUNTIF(Tabela4[[#This Row],[Teste de Continuidade]:[Hipot]],"---"),"")</f>
        <v/>
      </c>
      <c r="W379" s="29" t="str">
        <f ca="1">IF(Tabela4[[#This Row],[Cabo]]&lt;&gt;"",(COUNTIF(Tabela4[[#This Row],[Teste de Continuidade]:[Hipot]],"OK"))/(4-COUNTIF(Tabela4[[#This Row],[Teste de Continuidade]:[Hipot]],"---")),"")</f>
        <v/>
      </c>
      <c r="X379" s="23" t="str">
        <f ca="1">IF(Tabela4[[#This Row],[Cabo]]&lt;&gt;"",SUMIFS('Lançamento de Cabos'!$AF:$AF,'Lançamento de Cabos'!AE:AE,Tabela4[[#This Row],[Cabo]],'Lançamento de Cabos'!AJ:AJ,Área!$B$1),"")</f>
        <v/>
      </c>
      <c r="Y379" s="23" t="str">
        <f ca="1">IF(Tabela4[[#This Row],[Cabo]]&lt;&gt;"",SUMIFS('Lançamento de Cabos'!$AG:$AG,'Lançamento de Cabos'!AE:AE,Tabela4[[#This Row],[Cabo]],'Lançamento de Cabos'!AJ:AJ,Área!$B$1),"")</f>
        <v/>
      </c>
      <c r="Z379" s="23" t="e">
        <f ca="1">VLOOKUP(Tabela4[[#This Row],[Cabo]],BD!A:AB,28,0)</f>
        <v>#N/A</v>
      </c>
    </row>
    <row r="380" spans="3:26" x14ac:dyDescent="0.25">
      <c r="C380" s="391" t="str">
        <f ca="1">IF($B$1="Geral",Tabela1[[#This Row],[Tag do Cabo]],IFERROR(INDEX(INDIRECT("BD!$A"&amp;D380&amp;":$A100000"),E380,1),""))</f>
        <v/>
      </c>
      <c r="D380" s="391" t="str">
        <f t="shared" ca="1" si="16"/>
        <v/>
      </c>
      <c r="E380" s="391" t="str">
        <f t="shared" ca="1" si="17"/>
        <v/>
      </c>
      <c r="F380" s="23" t="str">
        <f ca="1">IFERROR(VLOOKUP(Tabela4[[#This Row],[Cabo]],BD!A:V,2,0),"")</f>
        <v/>
      </c>
      <c r="G380" s="391" t="str">
        <f ca="1">IFERROR(VLOOKUP(Tabela4[[#This Row],[Cabo]],BD!A:V,5,0),"")</f>
        <v/>
      </c>
      <c r="H380" s="23" t="str">
        <f ca="1">IFERROR(VLOOKUP(Tabela4[[#This Row],[Cabo]],BD!A:V,3,0),"")</f>
        <v/>
      </c>
      <c r="I380" s="23" t="str">
        <f ca="1">IFERROR(VLOOKUP(Tabela4[[#This Row],[Cabo]],BD!A:V,4,0),"")</f>
        <v/>
      </c>
      <c r="J380" s="23" t="str">
        <f ca="1">IFERROR(VLOOKUP(Tabela4[[#This Row],[Cabo]],BD!A:V,7,0),"")</f>
        <v/>
      </c>
      <c r="K38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0" s="23" t="str">
        <f ca="1">IFERROR(VLOOKUP(Tabela4[[#This Row],[Cabo]],BD!A:V,9,0),"")</f>
        <v/>
      </c>
      <c r="M380" s="23" t="str">
        <f ca="1">IFERROR(VLOOKUP(Tabela4[[#This Row],[Cabo]],BD!A:AD,30,0),"")</f>
        <v/>
      </c>
      <c r="N380" s="23" t="str">
        <f ca="1">IF(SUMIF('Lançamento de Cabos'!B:B,Tabela4[[#This Row],[Cabo]],'Lançamento de Cabos'!C:C)=0,"",SUMIF('Lançamento de Cabos'!B:B,Tabela4[[#This Row],[Cabo]],'Lançamento de Cabos'!C:C))</f>
        <v/>
      </c>
      <c r="O380" s="28" t="str">
        <f ca="1">IFERROR(IF(Tabela4[[#This Row],[Compr. Lançado]]/Tabela4[[#This Row],[Compr. Prev.]]&gt;1,1,Tabela4[[#This Row],[Compr. Lançado]]/Tabela4[[#This Row],[Compr. Prev.]]),"")</f>
        <v/>
      </c>
      <c r="P380" s="24" t="str">
        <f ca="1">IFERROR(VLOOKUP(Tabela4[[#This Row],[Cabo]],BD!A:V,11,0),"")</f>
        <v/>
      </c>
      <c r="Q380" s="24" t="str">
        <f ca="1">IFERROR(VLOOKUP(Tabela4[[#This Row],[Cabo]],BD!A:V,12,0),"")</f>
        <v/>
      </c>
      <c r="R38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0" s="23" t="str">
        <f ca="1">IF(Tabela4[[#This Row],[Cabo]]&lt;&gt;"",4-COUNTIF(Tabela4[[#This Row],[Teste de Continuidade]:[Hipot]],"---"),"")</f>
        <v/>
      </c>
      <c r="W380" s="29" t="str">
        <f ca="1">IF(Tabela4[[#This Row],[Cabo]]&lt;&gt;"",(COUNTIF(Tabela4[[#This Row],[Teste de Continuidade]:[Hipot]],"OK"))/(4-COUNTIF(Tabela4[[#This Row],[Teste de Continuidade]:[Hipot]],"---")),"")</f>
        <v/>
      </c>
      <c r="X380" s="23" t="str">
        <f ca="1">IF(Tabela4[[#This Row],[Cabo]]&lt;&gt;"",SUMIFS('Lançamento de Cabos'!$AF:$AF,'Lançamento de Cabos'!AE:AE,Tabela4[[#This Row],[Cabo]],'Lançamento de Cabos'!AJ:AJ,Área!$B$1),"")</f>
        <v/>
      </c>
      <c r="Y380" s="23" t="str">
        <f ca="1">IF(Tabela4[[#This Row],[Cabo]]&lt;&gt;"",SUMIFS('Lançamento de Cabos'!$AG:$AG,'Lançamento de Cabos'!AE:AE,Tabela4[[#This Row],[Cabo]],'Lançamento de Cabos'!AJ:AJ,Área!$B$1),"")</f>
        <v/>
      </c>
      <c r="Z380" s="23" t="e">
        <f ca="1">VLOOKUP(Tabela4[[#This Row],[Cabo]],BD!A:AB,28,0)</f>
        <v>#N/A</v>
      </c>
    </row>
    <row r="381" spans="3:26" x14ac:dyDescent="0.25">
      <c r="C381" s="391" t="str">
        <f ca="1">IF($B$1="Geral",Tabela1[[#This Row],[Tag do Cabo]],IFERROR(INDEX(INDIRECT("BD!$A"&amp;D381&amp;":$A100000"),E381,1),""))</f>
        <v/>
      </c>
      <c r="D381" s="391" t="str">
        <f t="shared" ca="1" si="16"/>
        <v/>
      </c>
      <c r="E381" s="391" t="str">
        <f t="shared" ca="1" si="17"/>
        <v/>
      </c>
      <c r="F381" s="23" t="str">
        <f ca="1">IFERROR(VLOOKUP(Tabela4[[#This Row],[Cabo]],BD!A:V,2,0),"")</f>
        <v/>
      </c>
      <c r="G381" s="391" t="str">
        <f ca="1">IFERROR(VLOOKUP(Tabela4[[#This Row],[Cabo]],BD!A:V,5,0),"")</f>
        <v/>
      </c>
      <c r="H381" s="23" t="str">
        <f ca="1">IFERROR(VLOOKUP(Tabela4[[#This Row],[Cabo]],BD!A:V,3,0),"")</f>
        <v/>
      </c>
      <c r="I381" s="23" t="str">
        <f ca="1">IFERROR(VLOOKUP(Tabela4[[#This Row],[Cabo]],BD!A:V,4,0),"")</f>
        <v/>
      </c>
      <c r="J381" s="23" t="str">
        <f ca="1">IFERROR(VLOOKUP(Tabela4[[#This Row],[Cabo]],BD!A:V,7,0),"")</f>
        <v/>
      </c>
      <c r="K38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1" s="23" t="str">
        <f ca="1">IFERROR(VLOOKUP(Tabela4[[#This Row],[Cabo]],BD!A:V,9,0),"")</f>
        <v/>
      </c>
      <c r="M381" s="23" t="str">
        <f ca="1">IFERROR(VLOOKUP(Tabela4[[#This Row],[Cabo]],BD!A:AD,30,0),"")</f>
        <v/>
      </c>
      <c r="N381" s="23" t="str">
        <f ca="1">IF(SUMIF('Lançamento de Cabos'!B:B,Tabela4[[#This Row],[Cabo]],'Lançamento de Cabos'!C:C)=0,"",SUMIF('Lançamento de Cabos'!B:B,Tabela4[[#This Row],[Cabo]],'Lançamento de Cabos'!C:C))</f>
        <v/>
      </c>
      <c r="O381" s="28" t="str">
        <f ca="1">IFERROR(IF(Tabela4[[#This Row],[Compr. Lançado]]/Tabela4[[#This Row],[Compr. Prev.]]&gt;1,1,Tabela4[[#This Row],[Compr. Lançado]]/Tabela4[[#This Row],[Compr. Prev.]]),"")</f>
        <v/>
      </c>
      <c r="P381" s="24" t="str">
        <f ca="1">IFERROR(VLOOKUP(Tabela4[[#This Row],[Cabo]],BD!A:V,11,0),"")</f>
        <v/>
      </c>
      <c r="Q381" s="24" t="str">
        <f ca="1">IFERROR(VLOOKUP(Tabela4[[#This Row],[Cabo]],BD!A:V,12,0),"")</f>
        <v/>
      </c>
      <c r="R38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1" s="23" t="str">
        <f ca="1">IF(Tabela4[[#This Row],[Cabo]]&lt;&gt;"",4-COUNTIF(Tabela4[[#This Row],[Teste de Continuidade]:[Hipot]],"---"),"")</f>
        <v/>
      </c>
      <c r="W381" s="29" t="str">
        <f ca="1">IF(Tabela4[[#This Row],[Cabo]]&lt;&gt;"",(COUNTIF(Tabela4[[#This Row],[Teste de Continuidade]:[Hipot]],"OK"))/(4-COUNTIF(Tabela4[[#This Row],[Teste de Continuidade]:[Hipot]],"---")),"")</f>
        <v/>
      </c>
      <c r="X381" s="23" t="str">
        <f ca="1">IF(Tabela4[[#This Row],[Cabo]]&lt;&gt;"",SUMIFS('Lançamento de Cabos'!$AF:$AF,'Lançamento de Cabos'!AE:AE,Tabela4[[#This Row],[Cabo]],'Lançamento de Cabos'!AJ:AJ,Área!$B$1),"")</f>
        <v/>
      </c>
      <c r="Y381" s="23" t="str">
        <f ca="1">IF(Tabela4[[#This Row],[Cabo]]&lt;&gt;"",SUMIFS('Lançamento de Cabos'!$AG:$AG,'Lançamento de Cabos'!AE:AE,Tabela4[[#This Row],[Cabo]],'Lançamento de Cabos'!AJ:AJ,Área!$B$1),"")</f>
        <v/>
      </c>
      <c r="Z381" s="23" t="e">
        <f ca="1">VLOOKUP(Tabela4[[#This Row],[Cabo]],BD!A:AB,28,0)</f>
        <v>#N/A</v>
      </c>
    </row>
    <row r="382" spans="3:26" x14ac:dyDescent="0.25">
      <c r="C382" s="391" t="str">
        <f ca="1">IF($B$1="Geral",Tabela1[[#This Row],[Tag do Cabo]],IFERROR(INDEX(INDIRECT("BD!$A"&amp;D382&amp;":$A100000"),E382,1),""))</f>
        <v/>
      </c>
      <c r="D382" s="391" t="str">
        <f t="shared" ca="1" si="16"/>
        <v/>
      </c>
      <c r="E382" s="391" t="str">
        <f t="shared" ca="1" si="17"/>
        <v/>
      </c>
      <c r="F382" s="23" t="str">
        <f ca="1">IFERROR(VLOOKUP(Tabela4[[#This Row],[Cabo]],BD!A:V,2,0),"")</f>
        <v/>
      </c>
      <c r="G382" s="391" t="str">
        <f ca="1">IFERROR(VLOOKUP(Tabela4[[#This Row],[Cabo]],BD!A:V,5,0),"")</f>
        <v/>
      </c>
      <c r="H382" s="23" t="str">
        <f ca="1">IFERROR(VLOOKUP(Tabela4[[#This Row],[Cabo]],BD!A:V,3,0),"")</f>
        <v/>
      </c>
      <c r="I382" s="23" t="str">
        <f ca="1">IFERROR(VLOOKUP(Tabela4[[#This Row],[Cabo]],BD!A:V,4,0),"")</f>
        <v/>
      </c>
      <c r="J382" s="23" t="str">
        <f ca="1">IFERROR(VLOOKUP(Tabela4[[#This Row],[Cabo]],BD!A:V,7,0),"")</f>
        <v/>
      </c>
      <c r="K38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2" s="23" t="str">
        <f ca="1">IFERROR(VLOOKUP(Tabela4[[#This Row],[Cabo]],BD!A:V,9,0),"")</f>
        <v/>
      </c>
      <c r="M382" s="23" t="str">
        <f ca="1">IFERROR(VLOOKUP(Tabela4[[#This Row],[Cabo]],BD!A:AD,30,0),"")</f>
        <v/>
      </c>
      <c r="N382" s="23" t="str">
        <f ca="1">IF(SUMIF('Lançamento de Cabos'!B:B,Tabela4[[#This Row],[Cabo]],'Lançamento de Cabos'!C:C)=0,"",SUMIF('Lançamento de Cabos'!B:B,Tabela4[[#This Row],[Cabo]],'Lançamento de Cabos'!C:C))</f>
        <v/>
      </c>
      <c r="O382" s="28" t="str">
        <f ca="1">IFERROR(IF(Tabela4[[#This Row],[Compr. Lançado]]/Tabela4[[#This Row],[Compr. Prev.]]&gt;1,1,Tabela4[[#This Row],[Compr. Lançado]]/Tabela4[[#This Row],[Compr. Prev.]]),"")</f>
        <v/>
      </c>
      <c r="P382" s="24" t="str">
        <f ca="1">IFERROR(VLOOKUP(Tabela4[[#This Row],[Cabo]],BD!A:V,11,0),"")</f>
        <v/>
      </c>
      <c r="Q382" s="24" t="str">
        <f ca="1">IFERROR(VLOOKUP(Tabela4[[#This Row],[Cabo]],BD!A:V,12,0),"")</f>
        <v/>
      </c>
      <c r="R38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2" s="23" t="str">
        <f ca="1">IF(Tabela4[[#This Row],[Cabo]]&lt;&gt;"",4-COUNTIF(Tabela4[[#This Row],[Teste de Continuidade]:[Hipot]],"---"),"")</f>
        <v/>
      </c>
      <c r="W382" s="29" t="str">
        <f ca="1">IF(Tabela4[[#This Row],[Cabo]]&lt;&gt;"",(COUNTIF(Tabela4[[#This Row],[Teste de Continuidade]:[Hipot]],"OK"))/(4-COUNTIF(Tabela4[[#This Row],[Teste de Continuidade]:[Hipot]],"---")),"")</f>
        <v/>
      </c>
      <c r="X382" s="23" t="str">
        <f ca="1">IF(Tabela4[[#This Row],[Cabo]]&lt;&gt;"",SUMIFS('Lançamento de Cabos'!$AF:$AF,'Lançamento de Cabos'!AE:AE,Tabela4[[#This Row],[Cabo]],'Lançamento de Cabos'!AJ:AJ,Área!$B$1),"")</f>
        <v/>
      </c>
      <c r="Y382" s="23" t="str">
        <f ca="1">IF(Tabela4[[#This Row],[Cabo]]&lt;&gt;"",SUMIFS('Lançamento de Cabos'!$AG:$AG,'Lançamento de Cabos'!AE:AE,Tabela4[[#This Row],[Cabo]],'Lançamento de Cabos'!AJ:AJ,Área!$B$1),"")</f>
        <v/>
      </c>
      <c r="Z382" s="23" t="e">
        <f ca="1">VLOOKUP(Tabela4[[#This Row],[Cabo]],BD!A:AB,28,0)</f>
        <v>#N/A</v>
      </c>
    </row>
    <row r="383" spans="3:26" x14ac:dyDescent="0.25">
      <c r="C383" s="391" t="str">
        <f ca="1">IF($B$1="Geral",Tabela1[[#This Row],[Tag do Cabo]],IFERROR(INDEX(INDIRECT("BD!$A"&amp;D383&amp;":$A100000"),E383,1),""))</f>
        <v/>
      </c>
      <c r="D383" s="391" t="str">
        <f t="shared" ca="1" si="16"/>
        <v/>
      </c>
      <c r="E383" s="391" t="str">
        <f t="shared" ca="1" si="17"/>
        <v/>
      </c>
      <c r="F383" s="23" t="str">
        <f ca="1">IFERROR(VLOOKUP(Tabela4[[#This Row],[Cabo]],BD!A:V,2,0),"")</f>
        <v/>
      </c>
      <c r="G383" s="391" t="str">
        <f ca="1">IFERROR(VLOOKUP(Tabela4[[#This Row],[Cabo]],BD!A:V,5,0),"")</f>
        <v/>
      </c>
      <c r="H383" s="23" t="str">
        <f ca="1">IFERROR(VLOOKUP(Tabela4[[#This Row],[Cabo]],BD!A:V,3,0),"")</f>
        <v/>
      </c>
      <c r="I383" s="23" t="str">
        <f ca="1">IFERROR(VLOOKUP(Tabela4[[#This Row],[Cabo]],BD!A:V,4,0),"")</f>
        <v/>
      </c>
      <c r="J383" s="23" t="str">
        <f ca="1">IFERROR(VLOOKUP(Tabela4[[#This Row],[Cabo]],BD!A:V,7,0),"")</f>
        <v/>
      </c>
      <c r="K38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3" s="23" t="str">
        <f ca="1">IFERROR(VLOOKUP(Tabela4[[#This Row],[Cabo]],BD!A:V,9,0),"")</f>
        <v/>
      </c>
      <c r="M383" s="23" t="str">
        <f ca="1">IFERROR(VLOOKUP(Tabela4[[#This Row],[Cabo]],BD!A:AD,30,0),"")</f>
        <v/>
      </c>
      <c r="N383" s="23" t="str">
        <f ca="1">IF(SUMIF('Lançamento de Cabos'!B:B,Tabela4[[#This Row],[Cabo]],'Lançamento de Cabos'!C:C)=0,"",SUMIF('Lançamento de Cabos'!B:B,Tabela4[[#This Row],[Cabo]],'Lançamento de Cabos'!C:C))</f>
        <v/>
      </c>
      <c r="O383" s="28" t="str">
        <f ca="1">IFERROR(IF(Tabela4[[#This Row],[Compr. Lançado]]/Tabela4[[#This Row],[Compr. Prev.]]&gt;1,1,Tabela4[[#This Row],[Compr. Lançado]]/Tabela4[[#This Row],[Compr. Prev.]]),"")</f>
        <v/>
      </c>
      <c r="P383" s="24" t="str">
        <f ca="1">IFERROR(VLOOKUP(Tabela4[[#This Row],[Cabo]],BD!A:V,11,0),"")</f>
        <v/>
      </c>
      <c r="Q383" s="24" t="str">
        <f ca="1">IFERROR(VLOOKUP(Tabela4[[#This Row],[Cabo]],BD!A:V,12,0),"")</f>
        <v/>
      </c>
      <c r="R38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3" s="23" t="str">
        <f ca="1">IF(Tabela4[[#This Row],[Cabo]]&lt;&gt;"",4-COUNTIF(Tabela4[[#This Row],[Teste de Continuidade]:[Hipot]],"---"),"")</f>
        <v/>
      </c>
      <c r="W383" s="29" t="str">
        <f ca="1">IF(Tabela4[[#This Row],[Cabo]]&lt;&gt;"",(COUNTIF(Tabela4[[#This Row],[Teste de Continuidade]:[Hipot]],"OK"))/(4-COUNTIF(Tabela4[[#This Row],[Teste de Continuidade]:[Hipot]],"---")),"")</f>
        <v/>
      </c>
      <c r="X383" s="23" t="str">
        <f ca="1">IF(Tabela4[[#This Row],[Cabo]]&lt;&gt;"",SUMIFS('Lançamento de Cabos'!$AF:$AF,'Lançamento de Cabos'!AE:AE,Tabela4[[#This Row],[Cabo]],'Lançamento de Cabos'!AJ:AJ,Área!$B$1),"")</f>
        <v/>
      </c>
      <c r="Y383" s="23" t="str">
        <f ca="1">IF(Tabela4[[#This Row],[Cabo]]&lt;&gt;"",SUMIFS('Lançamento de Cabos'!$AG:$AG,'Lançamento de Cabos'!AE:AE,Tabela4[[#This Row],[Cabo]],'Lançamento de Cabos'!AJ:AJ,Área!$B$1),"")</f>
        <v/>
      </c>
      <c r="Z383" s="23" t="e">
        <f ca="1">VLOOKUP(Tabela4[[#This Row],[Cabo]],BD!A:AB,28,0)</f>
        <v>#N/A</v>
      </c>
    </row>
    <row r="384" spans="3:26" x14ac:dyDescent="0.25">
      <c r="C384" s="391" t="str">
        <f ca="1">IF($B$1="Geral",Tabela1[[#This Row],[Tag do Cabo]],IFERROR(INDEX(INDIRECT("BD!$A"&amp;D384&amp;":$A100000"),E384,1),""))</f>
        <v/>
      </c>
      <c r="D384" s="391" t="str">
        <f t="shared" ca="1" si="16"/>
        <v/>
      </c>
      <c r="E384" s="391" t="str">
        <f t="shared" ca="1" si="17"/>
        <v/>
      </c>
      <c r="F384" s="23" t="str">
        <f ca="1">IFERROR(VLOOKUP(Tabela4[[#This Row],[Cabo]],BD!A:V,2,0),"")</f>
        <v/>
      </c>
      <c r="G384" s="391" t="str">
        <f ca="1">IFERROR(VLOOKUP(Tabela4[[#This Row],[Cabo]],BD!A:V,5,0),"")</f>
        <v/>
      </c>
      <c r="H384" s="23" t="str">
        <f ca="1">IFERROR(VLOOKUP(Tabela4[[#This Row],[Cabo]],BD!A:V,3,0),"")</f>
        <v/>
      </c>
      <c r="I384" s="23" t="str">
        <f ca="1">IFERROR(VLOOKUP(Tabela4[[#This Row],[Cabo]],BD!A:V,4,0),"")</f>
        <v/>
      </c>
      <c r="J384" s="23" t="str">
        <f ca="1">IFERROR(VLOOKUP(Tabela4[[#This Row],[Cabo]],BD!A:V,7,0),"")</f>
        <v/>
      </c>
      <c r="K38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4" s="23" t="str">
        <f ca="1">IFERROR(VLOOKUP(Tabela4[[#This Row],[Cabo]],BD!A:V,9,0),"")</f>
        <v/>
      </c>
      <c r="M384" s="23" t="str">
        <f ca="1">IFERROR(VLOOKUP(Tabela4[[#This Row],[Cabo]],BD!A:AD,30,0),"")</f>
        <v/>
      </c>
      <c r="N384" s="23" t="str">
        <f ca="1">IF(SUMIF('Lançamento de Cabos'!B:B,Tabela4[[#This Row],[Cabo]],'Lançamento de Cabos'!C:C)=0,"",SUMIF('Lançamento de Cabos'!B:B,Tabela4[[#This Row],[Cabo]],'Lançamento de Cabos'!C:C))</f>
        <v/>
      </c>
      <c r="O384" s="28" t="str">
        <f ca="1">IFERROR(IF(Tabela4[[#This Row],[Compr. Lançado]]/Tabela4[[#This Row],[Compr. Prev.]]&gt;1,1,Tabela4[[#This Row],[Compr. Lançado]]/Tabela4[[#This Row],[Compr. Prev.]]),"")</f>
        <v/>
      </c>
      <c r="P384" s="24" t="str">
        <f ca="1">IFERROR(VLOOKUP(Tabela4[[#This Row],[Cabo]],BD!A:V,11,0),"")</f>
        <v/>
      </c>
      <c r="Q384" s="24" t="str">
        <f ca="1">IFERROR(VLOOKUP(Tabela4[[#This Row],[Cabo]],BD!A:V,12,0),"")</f>
        <v/>
      </c>
      <c r="R38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4" s="23" t="str">
        <f ca="1">IF(Tabela4[[#This Row],[Cabo]]&lt;&gt;"",4-COUNTIF(Tabela4[[#This Row],[Teste de Continuidade]:[Hipot]],"---"),"")</f>
        <v/>
      </c>
      <c r="W384" s="29" t="str">
        <f ca="1">IF(Tabela4[[#This Row],[Cabo]]&lt;&gt;"",(COUNTIF(Tabela4[[#This Row],[Teste de Continuidade]:[Hipot]],"OK"))/(4-COUNTIF(Tabela4[[#This Row],[Teste de Continuidade]:[Hipot]],"---")),"")</f>
        <v/>
      </c>
      <c r="X384" s="23" t="str">
        <f ca="1">IF(Tabela4[[#This Row],[Cabo]]&lt;&gt;"",SUMIFS('Lançamento de Cabos'!$AF:$AF,'Lançamento de Cabos'!AE:AE,Tabela4[[#This Row],[Cabo]],'Lançamento de Cabos'!AJ:AJ,Área!$B$1),"")</f>
        <v/>
      </c>
      <c r="Y384" s="23" t="str">
        <f ca="1">IF(Tabela4[[#This Row],[Cabo]]&lt;&gt;"",SUMIFS('Lançamento de Cabos'!$AG:$AG,'Lançamento de Cabos'!AE:AE,Tabela4[[#This Row],[Cabo]],'Lançamento de Cabos'!AJ:AJ,Área!$B$1),"")</f>
        <v/>
      </c>
      <c r="Z384" s="23" t="e">
        <f ca="1">VLOOKUP(Tabela4[[#This Row],[Cabo]],BD!A:AB,28,0)</f>
        <v>#N/A</v>
      </c>
    </row>
    <row r="385" spans="3:26" x14ac:dyDescent="0.25">
      <c r="C385" s="391" t="str">
        <f ca="1">IF($B$1="Geral",Tabela1[[#This Row],[Tag do Cabo]],IFERROR(INDEX(INDIRECT("BD!$A"&amp;D385&amp;":$A100000"),E385,1),""))</f>
        <v/>
      </c>
      <c r="D385" s="391" t="str">
        <f t="shared" ca="1" si="16"/>
        <v/>
      </c>
      <c r="E385" s="391" t="str">
        <f t="shared" ca="1" si="17"/>
        <v/>
      </c>
      <c r="F385" s="23" t="str">
        <f ca="1">IFERROR(VLOOKUP(Tabela4[[#This Row],[Cabo]],BD!A:V,2,0),"")</f>
        <v/>
      </c>
      <c r="G385" s="391" t="str">
        <f ca="1">IFERROR(VLOOKUP(Tabela4[[#This Row],[Cabo]],BD!A:V,5,0),"")</f>
        <v/>
      </c>
      <c r="H385" s="23" t="str">
        <f ca="1">IFERROR(VLOOKUP(Tabela4[[#This Row],[Cabo]],BD!A:V,3,0),"")</f>
        <v/>
      </c>
      <c r="I385" s="23" t="str">
        <f ca="1">IFERROR(VLOOKUP(Tabela4[[#This Row],[Cabo]],BD!A:V,4,0),"")</f>
        <v/>
      </c>
      <c r="J385" s="23" t="str">
        <f ca="1">IFERROR(VLOOKUP(Tabela4[[#This Row],[Cabo]],BD!A:V,7,0),"")</f>
        <v/>
      </c>
      <c r="K38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5" s="23" t="str">
        <f ca="1">IFERROR(VLOOKUP(Tabela4[[#This Row],[Cabo]],BD!A:V,9,0),"")</f>
        <v/>
      </c>
      <c r="M385" s="23" t="str">
        <f ca="1">IFERROR(VLOOKUP(Tabela4[[#This Row],[Cabo]],BD!A:AD,30,0),"")</f>
        <v/>
      </c>
      <c r="N385" s="23" t="str">
        <f ca="1">IF(SUMIF('Lançamento de Cabos'!B:B,Tabela4[[#This Row],[Cabo]],'Lançamento de Cabos'!C:C)=0,"",SUMIF('Lançamento de Cabos'!B:B,Tabela4[[#This Row],[Cabo]],'Lançamento de Cabos'!C:C))</f>
        <v/>
      </c>
      <c r="O385" s="28" t="str">
        <f ca="1">IFERROR(IF(Tabela4[[#This Row],[Compr. Lançado]]/Tabela4[[#This Row],[Compr. Prev.]]&gt;1,1,Tabela4[[#This Row],[Compr. Lançado]]/Tabela4[[#This Row],[Compr. Prev.]]),"")</f>
        <v/>
      </c>
      <c r="P385" s="24" t="str">
        <f ca="1">IFERROR(VLOOKUP(Tabela4[[#This Row],[Cabo]],BD!A:V,11,0),"")</f>
        <v/>
      </c>
      <c r="Q385" s="24" t="str">
        <f ca="1">IFERROR(VLOOKUP(Tabela4[[#This Row],[Cabo]],BD!A:V,12,0),"")</f>
        <v/>
      </c>
      <c r="R38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5" s="23" t="str">
        <f ca="1">IF(Tabela4[[#This Row],[Cabo]]&lt;&gt;"",4-COUNTIF(Tabela4[[#This Row],[Teste de Continuidade]:[Hipot]],"---"),"")</f>
        <v/>
      </c>
      <c r="W385" s="29" t="str">
        <f ca="1">IF(Tabela4[[#This Row],[Cabo]]&lt;&gt;"",(COUNTIF(Tabela4[[#This Row],[Teste de Continuidade]:[Hipot]],"OK"))/(4-COUNTIF(Tabela4[[#This Row],[Teste de Continuidade]:[Hipot]],"---")),"")</f>
        <v/>
      </c>
      <c r="X385" s="23" t="str">
        <f ca="1">IF(Tabela4[[#This Row],[Cabo]]&lt;&gt;"",SUMIFS('Lançamento de Cabos'!$AF:$AF,'Lançamento de Cabos'!AE:AE,Tabela4[[#This Row],[Cabo]],'Lançamento de Cabos'!AJ:AJ,Área!$B$1),"")</f>
        <v/>
      </c>
      <c r="Y385" s="23" t="str">
        <f ca="1">IF(Tabela4[[#This Row],[Cabo]]&lt;&gt;"",SUMIFS('Lançamento de Cabos'!$AG:$AG,'Lançamento de Cabos'!AE:AE,Tabela4[[#This Row],[Cabo]],'Lançamento de Cabos'!AJ:AJ,Área!$B$1),"")</f>
        <v/>
      </c>
      <c r="Z385" s="23" t="e">
        <f ca="1">VLOOKUP(Tabela4[[#This Row],[Cabo]],BD!A:AB,28,0)</f>
        <v>#N/A</v>
      </c>
    </row>
    <row r="386" spans="3:26" x14ac:dyDescent="0.25">
      <c r="C386" s="391" t="str">
        <f ca="1">IF($B$1="Geral",Tabela1[[#This Row],[Tag do Cabo]],IFERROR(INDEX(INDIRECT("BD!$A"&amp;D386&amp;":$A100000"),E386,1),""))</f>
        <v/>
      </c>
      <c r="D386" s="391" t="str">
        <f t="shared" ca="1" si="16"/>
        <v/>
      </c>
      <c r="E386" s="391" t="str">
        <f t="shared" ca="1" si="17"/>
        <v/>
      </c>
      <c r="F386" s="23" t="str">
        <f ca="1">IFERROR(VLOOKUP(Tabela4[[#This Row],[Cabo]],BD!A:V,2,0),"")</f>
        <v/>
      </c>
      <c r="G386" s="391" t="str">
        <f ca="1">IFERROR(VLOOKUP(Tabela4[[#This Row],[Cabo]],BD!A:V,5,0),"")</f>
        <v/>
      </c>
      <c r="H386" s="23" t="str">
        <f ca="1">IFERROR(VLOOKUP(Tabela4[[#This Row],[Cabo]],BD!A:V,3,0),"")</f>
        <v/>
      </c>
      <c r="I386" s="23" t="str">
        <f ca="1">IFERROR(VLOOKUP(Tabela4[[#This Row],[Cabo]],BD!A:V,4,0),"")</f>
        <v/>
      </c>
      <c r="J386" s="23" t="str">
        <f ca="1">IFERROR(VLOOKUP(Tabela4[[#This Row],[Cabo]],BD!A:V,7,0),"")</f>
        <v/>
      </c>
      <c r="K38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6" s="23" t="str">
        <f ca="1">IFERROR(VLOOKUP(Tabela4[[#This Row],[Cabo]],BD!A:V,9,0),"")</f>
        <v/>
      </c>
      <c r="M386" s="23" t="str">
        <f ca="1">IFERROR(VLOOKUP(Tabela4[[#This Row],[Cabo]],BD!A:AD,30,0),"")</f>
        <v/>
      </c>
      <c r="N386" s="23" t="str">
        <f ca="1">IF(SUMIF('Lançamento de Cabos'!B:B,Tabela4[[#This Row],[Cabo]],'Lançamento de Cabos'!C:C)=0,"",SUMIF('Lançamento de Cabos'!B:B,Tabela4[[#This Row],[Cabo]],'Lançamento de Cabos'!C:C))</f>
        <v/>
      </c>
      <c r="O386" s="28" t="str">
        <f ca="1">IFERROR(IF(Tabela4[[#This Row],[Compr. Lançado]]/Tabela4[[#This Row],[Compr. Prev.]]&gt;1,1,Tabela4[[#This Row],[Compr. Lançado]]/Tabela4[[#This Row],[Compr. Prev.]]),"")</f>
        <v/>
      </c>
      <c r="P386" s="24" t="str">
        <f ca="1">IFERROR(VLOOKUP(Tabela4[[#This Row],[Cabo]],BD!A:V,11,0),"")</f>
        <v/>
      </c>
      <c r="Q386" s="24" t="str">
        <f ca="1">IFERROR(VLOOKUP(Tabela4[[#This Row],[Cabo]],BD!A:V,12,0),"")</f>
        <v/>
      </c>
      <c r="R38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6" s="23" t="str">
        <f ca="1">IF(Tabela4[[#This Row],[Cabo]]&lt;&gt;"",4-COUNTIF(Tabela4[[#This Row],[Teste de Continuidade]:[Hipot]],"---"),"")</f>
        <v/>
      </c>
      <c r="W386" s="29" t="str">
        <f ca="1">IF(Tabela4[[#This Row],[Cabo]]&lt;&gt;"",(COUNTIF(Tabela4[[#This Row],[Teste de Continuidade]:[Hipot]],"OK"))/(4-COUNTIF(Tabela4[[#This Row],[Teste de Continuidade]:[Hipot]],"---")),"")</f>
        <v/>
      </c>
      <c r="X386" s="23" t="str">
        <f ca="1">IF(Tabela4[[#This Row],[Cabo]]&lt;&gt;"",SUMIFS('Lançamento de Cabos'!$AF:$AF,'Lançamento de Cabos'!AE:AE,Tabela4[[#This Row],[Cabo]],'Lançamento de Cabos'!AJ:AJ,Área!$B$1),"")</f>
        <v/>
      </c>
      <c r="Y386" s="23" t="str">
        <f ca="1">IF(Tabela4[[#This Row],[Cabo]]&lt;&gt;"",SUMIFS('Lançamento de Cabos'!$AG:$AG,'Lançamento de Cabos'!AE:AE,Tabela4[[#This Row],[Cabo]],'Lançamento de Cabos'!AJ:AJ,Área!$B$1),"")</f>
        <v/>
      </c>
      <c r="Z386" s="23" t="e">
        <f ca="1">VLOOKUP(Tabela4[[#This Row],[Cabo]],BD!A:AB,28,0)</f>
        <v>#N/A</v>
      </c>
    </row>
    <row r="387" spans="3:26" x14ac:dyDescent="0.25">
      <c r="C387" s="391" t="str">
        <f ca="1">IF($B$1="Geral",Tabela1[[#This Row],[Tag do Cabo]],IFERROR(INDEX(INDIRECT("BD!$A"&amp;D387&amp;":$A100000"),E387,1),""))</f>
        <v/>
      </c>
      <c r="D387" s="391" t="str">
        <f t="shared" ca="1" si="16"/>
        <v/>
      </c>
      <c r="E387" s="391" t="str">
        <f t="shared" ca="1" si="17"/>
        <v/>
      </c>
      <c r="F387" s="23" t="str">
        <f ca="1">IFERROR(VLOOKUP(Tabela4[[#This Row],[Cabo]],BD!A:V,2,0),"")</f>
        <v/>
      </c>
      <c r="G387" s="391" t="str">
        <f ca="1">IFERROR(VLOOKUP(Tabela4[[#This Row],[Cabo]],BD!A:V,5,0),"")</f>
        <v/>
      </c>
      <c r="H387" s="23" t="str">
        <f ca="1">IFERROR(VLOOKUP(Tabela4[[#This Row],[Cabo]],BD!A:V,3,0),"")</f>
        <v/>
      </c>
      <c r="I387" s="23" t="str">
        <f ca="1">IFERROR(VLOOKUP(Tabela4[[#This Row],[Cabo]],BD!A:V,4,0),"")</f>
        <v/>
      </c>
      <c r="J387" s="23" t="str">
        <f ca="1">IFERROR(VLOOKUP(Tabela4[[#This Row],[Cabo]],BD!A:V,7,0),"")</f>
        <v/>
      </c>
      <c r="K38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7" s="23" t="str">
        <f ca="1">IFERROR(VLOOKUP(Tabela4[[#This Row],[Cabo]],BD!A:V,9,0),"")</f>
        <v/>
      </c>
      <c r="M387" s="23" t="str">
        <f ca="1">IFERROR(VLOOKUP(Tabela4[[#This Row],[Cabo]],BD!A:AD,30,0),"")</f>
        <v/>
      </c>
      <c r="N387" s="23" t="str">
        <f ca="1">IF(SUMIF('Lançamento de Cabos'!B:B,Tabela4[[#This Row],[Cabo]],'Lançamento de Cabos'!C:C)=0,"",SUMIF('Lançamento de Cabos'!B:B,Tabela4[[#This Row],[Cabo]],'Lançamento de Cabos'!C:C))</f>
        <v/>
      </c>
      <c r="O387" s="28" t="str">
        <f ca="1">IFERROR(IF(Tabela4[[#This Row],[Compr. Lançado]]/Tabela4[[#This Row],[Compr. Prev.]]&gt;1,1,Tabela4[[#This Row],[Compr. Lançado]]/Tabela4[[#This Row],[Compr. Prev.]]),"")</f>
        <v/>
      </c>
      <c r="P387" s="24" t="str">
        <f ca="1">IFERROR(VLOOKUP(Tabela4[[#This Row],[Cabo]],BD!A:V,11,0),"")</f>
        <v/>
      </c>
      <c r="Q387" s="24" t="str">
        <f ca="1">IFERROR(VLOOKUP(Tabela4[[#This Row],[Cabo]],BD!A:V,12,0),"")</f>
        <v/>
      </c>
      <c r="R38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7" s="23" t="str">
        <f ca="1">IF(Tabela4[[#This Row],[Cabo]]&lt;&gt;"",4-COUNTIF(Tabela4[[#This Row],[Teste de Continuidade]:[Hipot]],"---"),"")</f>
        <v/>
      </c>
      <c r="W387" s="29" t="str">
        <f ca="1">IF(Tabela4[[#This Row],[Cabo]]&lt;&gt;"",(COUNTIF(Tabela4[[#This Row],[Teste de Continuidade]:[Hipot]],"OK"))/(4-COUNTIF(Tabela4[[#This Row],[Teste de Continuidade]:[Hipot]],"---")),"")</f>
        <v/>
      </c>
      <c r="X387" s="23" t="str">
        <f ca="1">IF(Tabela4[[#This Row],[Cabo]]&lt;&gt;"",SUMIFS('Lançamento de Cabos'!$AF:$AF,'Lançamento de Cabos'!AE:AE,Tabela4[[#This Row],[Cabo]],'Lançamento de Cabos'!AJ:AJ,Área!$B$1),"")</f>
        <v/>
      </c>
      <c r="Y387" s="23" t="str">
        <f ca="1">IF(Tabela4[[#This Row],[Cabo]]&lt;&gt;"",SUMIFS('Lançamento de Cabos'!$AG:$AG,'Lançamento de Cabos'!AE:AE,Tabela4[[#This Row],[Cabo]],'Lançamento de Cabos'!AJ:AJ,Área!$B$1),"")</f>
        <v/>
      </c>
      <c r="Z387" s="23" t="e">
        <f ca="1">VLOOKUP(Tabela4[[#This Row],[Cabo]],BD!A:AB,28,0)</f>
        <v>#N/A</v>
      </c>
    </row>
    <row r="388" spans="3:26" x14ac:dyDescent="0.25">
      <c r="C388" s="391" t="str">
        <f ca="1">IF($B$1="Geral",Tabela1[[#This Row],[Tag do Cabo]],IFERROR(INDEX(INDIRECT("BD!$A"&amp;D388&amp;":$A100000"),E388,1),""))</f>
        <v/>
      </c>
      <c r="D388" s="391" t="str">
        <f t="shared" ca="1" si="16"/>
        <v/>
      </c>
      <c r="E388" s="391" t="str">
        <f t="shared" ca="1" si="17"/>
        <v/>
      </c>
      <c r="F388" s="23" t="str">
        <f ca="1">IFERROR(VLOOKUP(Tabela4[[#This Row],[Cabo]],BD!A:V,2,0),"")</f>
        <v/>
      </c>
      <c r="G388" s="391" t="str">
        <f ca="1">IFERROR(VLOOKUP(Tabela4[[#This Row],[Cabo]],BD!A:V,5,0),"")</f>
        <v/>
      </c>
      <c r="H388" s="23" t="str">
        <f ca="1">IFERROR(VLOOKUP(Tabela4[[#This Row],[Cabo]],BD!A:V,3,0),"")</f>
        <v/>
      </c>
      <c r="I388" s="23" t="str">
        <f ca="1">IFERROR(VLOOKUP(Tabela4[[#This Row],[Cabo]],BD!A:V,4,0),"")</f>
        <v/>
      </c>
      <c r="J388" s="23" t="str">
        <f ca="1">IFERROR(VLOOKUP(Tabela4[[#This Row],[Cabo]],BD!A:V,7,0),"")</f>
        <v/>
      </c>
      <c r="K38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8" s="23" t="str">
        <f ca="1">IFERROR(VLOOKUP(Tabela4[[#This Row],[Cabo]],BD!A:V,9,0),"")</f>
        <v/>
      </c>
      <c r="M388" s="23" t="str">
        <f ca="1">IFERROR(VLOOKUP(Tabela4[[#This Row],[Cabo]],BD!A:AD,30,0),"")</f>
        <v/>
      </c>
      <c r="N388" s="23" t="str">
        <f ca="1">IF(SUMIF('Lançamento de Cabos'!B:B,Tabela4[[#This Row],[Cabo]],'Lançamento de Cabos'!C:C)=0,"",SUMIF('Lançamento de Cabos'!B:B,Tabela4[[#This Row],[Cabo]],'Lançamento de Cabos'!C:C))</f>
        <v/>
      </c>
      <c r="O388" s="28" t="str">
        <f ca="1">IFERROR(IF(Tabela4[[#This Row],[Compr. Lançado]]/Tabela4[[#This Row],[Compr. Prev.]]&gt;1,1,Tabela4[[#This Row],[Compr. Lançado]]/Tabela4[[#This Row],[Compr. Prev.]]),"")</f>
        <v/>
      </c>
      <c r="P388" s="24" t="str">
        <f ca="1">IFERROR(VLOOKUP(Tabela4[[#This Row],[Cabo]],BD!A:V,11,0),"")</f>
        <v/>
      </c>
      <c r="Q388" s="24" t="str">
        <f ca="1">IFERROR(VLOOKUP(Tabela4[[#This Row],[Cabo]],BD!A:V,12,0),"")</f>
        <v/>
      </c>
      <c r="R38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8" s="23" t="str">
        <f ca="1">IF(Tabela4[[#This Row],[Cabo]]&lt;&gt;"",4-COUNTIF(Tabela4[[#This Row],[Teste de Continuidade]:[Hipot]],"---"),"")</f>
        <v/>
      </c>
      <c r="W388" s="29" t="str">
        <f ca="1">IF(Tabela4[[#This Row],[Cabo]]&lt;&gt;"",(COUNTIF(Tabela4[[#This Row],[Teste de Continuidade]:[Hipot]],"OK"))/(4-COUNTIF(Tabela4[[#This Row],[Teste de Continuidade]:[Hipot]],"---")),"")</f>
        <v/>
      </c>
      <c r="X388" s="23" t="str">
        <f ca="1">IF(Tabela4[[#This Row],[Cabo]]&lt;&gt;"",SUMIFS('Lançamento de Cabos'!$AF:$AF,'Lançamento de Cabos'!AE:AE,Tabela4[[#This Row],[Cabo]],'Lançamento de Cabos'!AJ:AJ,Área!$B$1),"")</f>
        <v/>
      </c>
      <c r="Y388" s="23" t="str">
        <f ca="1">IF(Tabela4[[#This Row],[Cabo]]&lt;&gt;"",SUMIFS('Lançamento de Cabos'!$AG:$AG,'Lançamento de Cabos'!AE:AE,Tabela4[[#This Row],[Cabo]],'Lançamento de Cabos'!AJ:AJ,Área!$B$1),"")</f>
        <v/>
      </c>
      <c r="Z388" s="23" t="e">
        <f ca="1">VLOOKUP(Tabela4[[#This Row],[Cabo]],BD!A:AB,28,0)</f>
        <v>#N/A</v>
      </c>
    </row>
    <row r="389" spans="3:26" x14ac:dyDescent="0.25">
      <c r="C389" s="391" t="str">
        <f ca="1">IF($B$1="Geral",Tabela1[[#This Row],[Tag do Cabo]],IFERROR(INDEX(INDIRECT("BD!$A"&amp;D389&amp;":$A100000"),E389,1),""))</f>
        <v/>
      </c>
      <c r="D389" s="391" t="str">
        <f t="shared" ca="1" si="16"/>
        <v/>
      </c>
      <c r="E389" s="391" t="str">
        <f t="shared" ca="1" si="17"/>
        <v/>
      </c>
      <c r="F389" s="23" t="str">
        <f ca="1">IFERROR(VLOOKUP(Tabela4[[#This Row],[Cabo]],BD!A:V,2,0),"")</f>
        <v/>
      </c>
      <c r="G389" s="391" t="str">
        <f ca="1">IFERROR(VLOOKUP(Tabela4[[#This Row],[Cabo]],BD!A:V,5,0),"")</f>
        <v/>
      </c>
      <c r="H389" s="23" t="str">
        <f ca="1">IFERROR(VLOOKUP(Tabela4[[#This Row],[Cabo]],BD!A:V,3,0),"")</f>
        <v/>
      </c>
      <c r="I389" s="23" t="str">
        <f ca="1">IFERROR(VLOOKUP(Tabela4[[#This Row],[Cabo]],BD!A:V,4,0),"")</f>
        <v/>
      </c>
      <c r="J389" s="23" t="str">
        <f ca="1">IFERROR(VLOOKUP(Tabela4[[#This Row],[Cabo]],BD!A:V,7,0),"")</f>
        <v/>
      </c>
      <c r="K38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89" s="23" t="str">
        <f ca="1">IFERROR(VLOOKUP(Tabela4[[#This Row],[Cabo]],BD!A:V,9,0),"")</f>
        <v/>
      </c>
      <c r="M389" s="23" t="str">
        <f ca="1">IFERROR(VLOOKUP(Tabela4[[#This Row],[Cabo]],BD!A:AD,30,0),"")</f>
        <v/>
      </c>
      <c r="N389" s="23" t="str">
        <f ca="1">IF(SUMIF('Lançamento de Cabos'!B:B,Tabela4[[#This Row],[Cabo]],'Lançamento de Cabos'!C:C)=0,"",SUMIF('Lançamento de Cabos'!B:B,Tabela4[[#This Row],[Cabo]],'Lançamento de Cabos'!C:C))</f>
        <v/>
      </c>
      <c r="O389" s="28" t="str">
        <f ca="1">IFERROR(IF(Tabela4[[#This Row],[Compr. Lançado]]/Tabela4[[#This Row],[Compr. Prev.]]&gt;1,1,Tabela4[[#This Row],[Compr. Lançado]]/Tabela4[[#This Row],[Compr. Prev.]]),"")</f>
        <v/>
      </c>
      <c r="P389" s="24" t="str">
        <f ca="1">IFERROR(VLOOKUP(Tabela4[[#This Row],[Cabo]],BD!A:V,11,0),"")</f>
        <v/>
      </c>
      <c r="Q389" s="24" t="str">
        <f ca="1">IFERROR(VLOOKUP(Tabela4[[#This Row],[Cabo]],BD!A:V,12,0),"")</f>
        <v/>
      </c>
      <c r="R38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8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8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8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89" s="23" t="str">
        <f ca="1">IF(Tabela4[[#This Row],[Cabo]]&lt;&gt;"",4-COUNTIF(Tabela4[[#This Row],[Teste de Continuidade]:[Hipot]],"---"),"")</f>
        <v/>
      </c>
      <c r="W389" s="29" t="str">
        <f ca="1">IF(Tabela4[[#This Row],[Cabo]]&lt;&gt;"",(COUNTIF(Tabela4[[#This Row],[Teste de Continuidade]:[Hipot]],"OK"))/(4-COUNTIF(Tabela4[[#This Row],[Teste de Continuidade]:[Hipot]],"---")),"")</f>
        <v/>
      </c>
      <c r="X389" s="23" t="str">
        <f ca="1">IF(Tabela4[[#This Row],[Cabo]]&lt;&gt;"",SUMIFS('Lançamento de Cabos'!$AF:$AF,'Lançamento de Cabos'!AE:AE,Tabela4[[#This Row],[Cabo]],'Lançamento de Cabos'!AJ:AJ,Área!$B$1),"")</f>
        <v/>
      </c>
      <c r="Y389" s="23" t="str">
        <f ca="1">IF(Tabela4[[#This Row],[Cabo]]&lt;&gt;"",SUMIFS('Lançamento de Cabos'!$AG:$AG,'Lançamento de Cabos'!AE:AE,Tabela4[[#This Row],[Cabo]],'Lançamento de Cabos'!AJ:AJ,Área!$B$1),"")</f>
        <v/>
      </c>
      <c r="Z389" s="23" t="e">
        <f ca="1">VLOOKUP(Tabela4[[#This Row],[Cabo]],BD!A:AB,28,0)</f>
        <v>#N/A</v>
      </c>
    </row>
    <row r="390" spans="3:26" x14ac:dyDescent="0.25">
      <c r="C390" s="391" t="str">
        <f ca="1">IF($B$1="Geral",Tabela1[[#This Row],[Tag do Cabo]],IFERROR(INDEX(INDIRECT("BD!$A"&amp;D390&amp;":$A100000"),E390,1),""))</f>
        <v/>
      </c>
      <c r="D390" s="391" t="str">
        <f t="shared" ca="1" si="16"/>
        <v/>
      </c>
      <c r="E390" s="391" t="str">
        <f t="shared" ca="1" si="17"/>
        <v/>
      </c>
      <c r="F390" s="23" t="str">
        <f ca="1">IFERROR(VLOOKUP(Tabela4[[#This Row],[Cabo]],BD!A:V,2,0),"")</f>
        <v/>
      </c>
      <c r="G390" s="391" t="str">
        <f ca="1">IFERROR(VLOOKUP(Tabela4[[#This Row],[Cabo]],BD!A:V,5,0),"")</f>
        <v/>
      </c>
      <c r="H390" s="23" t="str">
        <f ca="1">IFERROR(VLOOKUP(Tabela4[[#This Row],[Cabo]],BD!A:V,3,0),"")</f>
        <v/>
      </c>
      <c r="I390" s="23" t="str">
        <f ca="1">IFERROR(VLOOKUP(Tabela4[[#This Row],[Cabo]],BD!A:V,4,0),"")</f>
        <v/>
      </c>
      <c r="J390" s="23" t="str">
        <f ca="1">IFERROR(VLOOKUP(Tabela4[[#This Row],[Cabo]],BD!A:V,7,0),"")</f>
        <v/>
      </c>
      <c r="K39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0" s="23" t="str">
        <f ca="1">IFERROR(VLOOKUP(Tabela4[[#This Row],[Cabo]],BD!A:V,9,0),"")</f>
        <v/>
      </c>
      <c r="M390" s="23" t="str">
        <f ca="1">IFERROR(VLOOKUP(Tabela4[[#This Row],[Cabo]],BD!A:AD,30,0),"")</f>
        <v/>
      </c>
      <c r="N390" s="23" t="str">
        <f ca="1">IF(SUMIF('Lançamento de Cabos'!B:B,Tabela4[[#This Row],[Cabo]],'Lançamento de Cabos'!C:C)=0,"",SUMIF('Lançamento de Cabos'!B:B,Tabela4[[#This Row],[Cabo]],'Lançamento de Cabos'!C:C))</f>
        <v/>
      </c>
      <c r="O390" s="28" t="str">
        <f ca="1">IFERROR(IF(Tabela4[[#This Row],[Compr. Lançado]]/Tabela4[[#This Row],[Compr. Prev.]]&gt;1,1,Tabela4[[#This Row],[Compr. Lançado]]/Tabela4[[#This Row],[Compr. Prev.]]),"")</f>
        <v/>
      </c>
      <c r="P390" s="24" t="str">
        <f ca="1">IFERROR(VLOOKUP(Tabela4[[#This Row],[Cabo]],BD!A:V,11,0),"")</f>
        <v/>
      </c>
      <c r="Q390" s="24" t="str">
        <f ca="1">IFERROR(VLOOKUP(Tabela4[[#This Row],[Cabo]],BD!A:V,12,0),"")</f>
        <v/>
      </c>
      <c r="R390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0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0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0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0" s="23" t="str">
        <f ca="1">IF(Tabela4[[#This Row],[Cabo]]&lt;&gt;"",4-COUNTIF(Tabela4[[#This Row],[Teste de Continuidade]:[Hipot]],"---"),"")</f>
        <v/>
      </c>
      <c r="W390" s="29" t="str">
        <f ca="1">IF(Tabela4[[#This Row],[Cabo]]&lt;&gt;"",(COUNTIF(Tabela4[[#This Row],[Teste de Continuidade]:[Hipot]],"OK"))/(4-COUNTIF(Tabela4[[#This Row],[Teste de Continuidade]:[Hipot]],"---")),"")</f>
        <v/>
      </c>
      <c r="X390" s="23" t="str">
        <f ca="1">IF(Tabela4[[#This Row],[Cabo]]&lt;&gt;"",SUMIFS('Lançamento de Cabos'!$AF:$AF,'Lançamento de Cabos'!AE:AE,Tabela4[[#This Row],[Cabo]],'Lançamento de Cabos'!AJ:AJ,Área!$B$1),"")</f>
        <v/>
      </c>
      <c r="Y390" s="23" t="str">
        <f ca="1">IF(Tabela4[[#This Row],[Cabo]]&lt;&gt;"",SUMIFS('Lançamento de Cabos'!$AG:$AG,'Lançamento de Cabos'!AE:AE,Tabela4[[#This Row],[Cabo]],'Lançamento de Cabos'!AJ:AJ,Área!$B$1),"")</f>
        <v/>
      </c>
      <c r="Z390" s="23" t="e">
        <f ca="1">VLOOKUP(Tabela4[[#This Row],[Cabo]],BD!A:AB,28,0)</f>
        <v>#N/A</v>
      </c>
    </row>
    <row r="391" spans="3:26" x14ac:dyDescent="0.25">
      <c r="C391" s="391" t="str">
        <f ca="1">IF($B$1="Geral",Tabela1[[#This Row],[Tag do Cabo]],IFERROR(INDEX(INDIRECT("BD!$A"&amp;D391&amp;":$A100000"),E391,1),""))</f>
        <v/>
      </c>
      <c r="D391" s="391" t="str">
        <f t="shared" ca="1" si="16"/>
        <v/>
      </c>
      <c r="E391" s="391" t="str">
        <f t="shared" ca="1" si="17"/>
        <v/>
      </c>
      <c r="F391" s="23" t="str">
        <f ca="1">IFERROR(VLOOKUP(Tabela4[[#This Row],[Cabo]],BD!A:V,2,0),"")</f>
        <v/>
      </c>
      <c r="G391" s="391" t="str">
        <f ca="1">IFERROR(VLOOKUP(Tabela4[[#This Row],[Cabo]],BD!A:V,5,0),"")</f>
        <v/>
      </c>
      <c r="H391" s="23" t="str">
        <f ca="1">IFERROR(VLOOKUP(Tabela4[[#This Row],[Cabo]],BD!A:V,3,0),"")</f>
        <v/>
      </c>
      <c r="I391" s="23" t="str">
        <f ca="1">IFERROR(VLOOKUP(Tabela4[[#This Row],[Cabo]],BD!A:V,4,0),"")</f>
        <v/>
      </c>
      <c r="J391" s="23" t="str">
        <f ca="1">IFERROR(VLOOKUP(Tabela4[[#This Row],[Cabo]],BD!A:V,7,0),"")</f>
        <v/>
      </c>
      <c r="K39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1" s="23" t="str">
        <f ca="1">IFERROR(VLOOKUP(Tabela4[[#This Row],[Cabo]],BD!A:V,9,0),"")</f>
        <v/>
      </c>
      <c r="M391" s="23" t="str">
        <f ca="1">IFERROR(VLOOKUP(Tabela4[[#This Row],[Cabo]],BD!A:AD,30,0),"")</f>
        <v/>
      </c>
      <c r="N391" s="23" t="str">
        <f ca="1">IF(SUMIF('Lançamento de Cabos'!B:B,Tabela4[[#This Row],[Cabo]],'Lançamento de Cabos'!C:C)=0,"",SUMIF('Lançamento de Cabos'!B:B,Tabela4[[#This Row],[Cabo]],'Lançamento de Cabos'!C:C))</f>
        <v/>
      </c>
      <c r="O391" s="28" t="str">
        <f ca="1">IFERROR(IF(Tabela4[[#This Row],[Compr. Lançado]]/Tabela4[[#This Row],[Compr. Prev.]]&gt;1,1,Tabela4[[#This Row],[Compr. Lançado]]/Tabela4[[#This Row],[Compr. Prev.]]),"")</f>
        <v/>
      </c>
      <c r="P391" s="24" t="str">
        <f ca="1">IFERROR(VLOOKUP(Tabela4[[#This Row],[Cabo]],BD!A:V,11,0),"")</f>
        <v/>
      </c>
      <c r="Q391" s="24" t="str">
        <f ca="1">IFERROR(VLOOKUP(Tabela4[[#This Row],[Cabo]],BD!A:V,12,0),"")</f>
        <v/>
      </c>
      <c r="R391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1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1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1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1" s="23" t="str">
        <f ca="1">IF(Tabela4[[#This Row],[Cabo]]&lt;&gt;"",4-COUNTIF(Tabela4[[#This Row],[Teste de Continuidade]:[Hipot]],"---"),"")</f>
        <v/>
      </c>
      <c r="W391" s="29" t="str">
        <f ca="1">IF(Tabela4[[#This Row],[Cabo]]&lt;&gt;"",(COUNTIF(Tabela4[[#This Row],[Teste de Continuidade]:[Hipot]],"OK"))/(4-COUNTIF(Tabela4[[#This Row],[Teste de Continuidade]:[Hipot]],"---")),"")</f>
        <v/>
      </c>
      <c r="X391" s="23" t="str">
        <f ca="1">IF(Tabela4[[#This Row],[Cabo]]&lt;&gt;"",SUMIFS('Lançamento de Cabos'!$AF:$AF,'Lançamento de Cabos'!AE:AE,Tabela4[[#This Row],[Cabo]],'Lançamento de Cabos'!AJ:AJ,Área!$B$1),"")</f>
        <v/>
      </c>
      <c r="Y391" s="23" t="str">
        <f ca="1">IF(Tabela4[[#This Row],[Cabo]]&lt;&gt;"",SUMIFS('Lançamento de Cabos'!$AG:$AG,'Lançamento de Cabos'!AE:AE,Tabela4[[#This Row],[Cabo]],'Lançamento de Cabos'!AJ:AJ,Área!$B$1),"")</f>
        <v/>
      </c>
      <c r="Z391" s="23" t="e">
        <f ca="1">VLOOKUP(Tabela4[[#This Row],[Cabo]],BD!A:AB,28,0)</f>
        <v>#N/A</v>
      </c>
    </row>
    <row r="392" spans="3:26" x14ac:dyDescent="0.25">
      <c r="C392" s="391" t="str">
        <f ca="1">IF($B$1="Geral",Tabela1[[#This Row],[Tag do Cabo]],IFERROR(INDEX(INDIRECT("BD!$A"&amp;D392&amp;":$A100000"),E392,1),""))</f>
        <v/>
      </c>
      <c r="D392" s="391" t="str">
        <f t="shared" ca="1" si="16"/>
        <v/>
      </c>
      <c r="E392" s="391" t="str">
        <f t="shared" ca="1" si="17"/>
        <v/>
      </c>
      <c r="F392" s="23" t="str">
        <f ca="1">IFERROR(VLOOKUP(Tabela4[[#This Row],[Cabo]],BD!A:V,2,0),"")</f>
        <v/>
      </c>
      <c r="G392" s="391" t="str">
        <f ca="1">IFERROR(VLOOKUP(Tabela4[[#This Row],[Cabo]],BD!A:V,5,0),"")</f>
        <v/>
      </c>
      <c r="H392" s="23" t="str">
        <f ca="1">IFERROR(VLOOKUP(Tabela4[[#This Row],[Cabo]],BD!A:V,3,0),"")</f>
        <v/>
      </c>
      <c r="I392" s="23" t="str">
        <f ca="1">IFERROR(VLOOKUP(Tabela4[[#This Row],[Cabo]],BD!A:V,4,0),"")</f>
        <v/>
      </c>
      <c r="J392" s="23" t="str">
        <f ca="1">IFERROR(VLOOKUP(Tabela4[[#This Row],[Cabo]],BD!A:V,7,0),"")</f>
        <v/>
      </c>
      <c r="K39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2" s="23" t="str">
        <f ca="1">IFERROR(VLOOKUP(Tabela4[[#This Row],[Cabo]],BD!A:V,9,0),"")</f>
        <v/>
      </c>
      <c r="M392" s="23" t="str">
        <f ca="1">IFERROR(VLOOKUP(Tabela4[[#This Row],[Cabo]],BD!A:AD,30,0),"")</f>
        <v/>
      </c>
      <c r="N392" s="23" t="str">
        <f ca="1">IF(SUMIF('Lançamento de Cabos'!B:B,Tabela4[[#This Row],[Cabo]],'Lançamento de Cabos'!C:C)=0,"",SUMIF('Lançamento de Cabos'!B:B,Tabela4[[#This Row],[Cabo]],'Lançamento de Cabos'!C:C))</f>
        <v/>
      </c>
      <c r="O392" s="28" t="str">
        <f ca="1">IFERROR(IF(Tabela4[[#This Row],[Compr. Lançado]]/Tabela4[[#This Row],[Compr. Prev.]]&gt;1,1,Tabela4[[#This Row],[Compr. Lançado]]/Tabela4[[#This Row],[Compr. Prev.]]),"")</f>
        <v/>
      </c>
      <c r="P392" s="24" t="str">
        <f ca="1">IFERROR(VLOOKUP(Tabela4[[#This Row],[Cabo]],BD!A:V,11,0),"")</f>
        <v/>
      </c>
      <c r="Q392" s="24" t="str">
        <f ca="1">IFERROR(VLOOKUP(Tabela4[[#This Row],[Cabo]],BD!A:V,12,0),"")</f>
        <v/>
      </c>
      <c r="R392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2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2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2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2" s="23" t="str">
        <f ca="1">IF(Tabela4[[#This Row],[Cabo]]&lt;&gt;"",4-COUNTIF(Tabela4[[#This Row],[Teste de Continuidade]:[Hipot]],"---"),"")</f>
        <v/>
      </c>
      <c r="W392" s="29" t="str">
        <f ca="1">IF(Tabela4[[#This Row],[Cabo]]&lt;&gt;"",(COUNTIF(Tabela4[[#This Row],[Teste de Continuidade]:[Hipot]],"OK"))/(4-COUNTIF(Tabela4[[#This Row],[Teste de Continuidade]:[Hipot]],"---")),"")</f>
        <v/>
      </c>
      <c r="X392" s="23" t="str">
        <f ca="1">IF(Tabela4[[#This Row],[Cabo]]&lt;&gt;"",SUMIFS('Lançamento de Cabos'!$AF:$AF,'Lançamento de Cabos'!AE:AE,Tabela4[[#This Row],[Cabo]],'Lançamento de Cabos'!AJ:AJ,Área!$B$1),"")</f>
        <v/>
      </c>
      <c r="Y392" s="23" t="str">
        <f ca="1">IF(Tabela4[[#This Row],[Cabo]]&lt;&gt;"",SUMIFS('Lançamento de Cabos'!$AG:$AG,'Lançamento de Cabos'!AE:AE,Tabela4[[#This Row],[Cabo]],'Lançamento de Cabos'!AJ:AJ,Área!$B$1),"")</f>
        <v/>
      </c>
      <c r="Z392" s="23" t="e">
        <f ca="1">VLOOKUP(Tabela4[[#This Row],[Cabo]],BD!A:AB,28,0)</f>
        <v>#N/A</v>
      </c>
    </row>
    <row r="393" spans="3:26" x14ac:dyDescent="0.25">
      <c r="C393" s="391" t="str">
        <f ca="1">IF($B$1="Geral",Tabela1[[#This Row],[Tag do Cabo]],IFERROR(INDEX(INDIRECT("BD!$A"&amp;D393&amp;":$A100000"),E393,1),""))</f>
        <v/>
      </c>
      <c r="D393" s="391" t="str">
        <f t="shared" ca="1" si="16"/>
        <v/>
      </c>
      <c r="E393" s="391" t="str">
        <f t="shared" ca="1" si="17"/>
        <v/>
      </c>
      <c r="F393" s="23" t="str">
        <f ca="1">IFERROR(VLOOKUP(Tabela4[[#This Row],[Cabo]],BD!A:V,2,0),"")</f>
        <v/>
      </c>
      <c r="G393" s="391" t="str">
        <f ca="1">IFERROR(VLOOKUP(Tabela4[[#This Row],[Cabo]],BD!A:V,5,0),"")</f>
        <v/>
      </c>
      <c r="H393" s="23" t="str">
        <f ca="1">IFERROR(VLOOKUP(Tabela4[[#This Row],[Cabo]],BD!A:V,3,0),"")</f>
        <v/>
      </c>
      <c r="I393" s="23" t="str">
        <f ca="1">IFERROR(VLOOKUP(Tabela4[[#This Row],[Cabo]],BD!A:V,4,0),"")</f>
        <v/>
      </c>
      <c r="J393" s="23" t="str">
        <f ca="1">IFERROR(VLOOKUP(Tabela4[[#This Row],[Cabo]],BD!A:V,7,0),"")</f>
        <v/>
      </c>
      <c r="K39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3" s="23" t="str">
        <f ca="1">IFERROR(VLOOKUP(Tabela4[[#This Row],[Cabo]],BD!A:V,9,0),"")</f>
        <v/>
      </c>
      <c r="M393" s="23" t="str">
        <f ca="1">IFERROR(VLOOKUP(Tabela4[[#This Row],[Cabo]],BD!A:AD,30,0),"")</f>
        <v/>
      </c>
      <c r="N393" s="23" t="str">
        <f ca="1">IF(SUMIF('Lançamento de Cabos'!B:B,Tabela4[[#This Row],[Cabo]],'Lançamento de Cabos'!C:C)=0,"",SUMIF('Lançamento de Cabos'!B:B,Tabela4[[#This Row],[Cabo]],'Lançamento de Cabos'!C:C))</f>
        <v/>
      </c>
      <c r="O393" s="28" t="str">
        <f ca="1">IFERROR(IF(Tabela4[[#This Row],[Compr. Lançado]]/Tabela4[[#This Row],[Compr. Prev.]]&gt;1,1,Tabela4[[#This Row],[Compr. Lançado]]/Tabela4[[#This Row],[Compr. Prev.]]),"")</f>
        <v/>
      </c>
      <c r="P393" s="24" t="str">
        <f ca="1">IFERROR(VLOOKUP(Tabela4[[#This Row],[Cabo]],BD!A:V,11,0),"")</f>
        <v/>
      </c>
      <c r="Q393" s="24" t="str">
        <f ca="1">IFERROR(VLOOKUP(Tabela4[[#This Row],[Cabo]],BD!A:V,12,0),"")</f>
        <v/>
      </c>
      <c r="R393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3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3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3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3" s="23" t="str">
        <f ca="1">IF(Tabela4[[#This Row],[Cabo]]&lt;&gt;"",4-COUNTIF(Tabela4[[#This Row],[Teste de Continuidade]:[Hipot]],"---"),"")</f>
        <v/>
      </c>
      <c r="W393" s="29" t="str">
        <f ca="1">IF(Tabela4[[#This Row],[Cabo]]&lt;&gt;"",(COUNTIF(Tabela4[[#This Row],[Teste de Continuidade]:[Hipot]],"OK"))/(4-COUNTIF(Tabela4[[#This Row],[Teste de Continuidade]:[Hipot]],"---")),"")</f>
        <v/>
      </c>
      <c r="X393" s="23" t="str">
        <f ca="1">IF(Tabela4[[#This Row],[Cabo]]&lt;&gt;"",SUMIFS('Lançamento de Cabos'!$AF:$AF,'Lançamento de Cabos'!AE:AE,Tabela4[[#This Row],[Cabo]],'Lançamento de Cabos'!AJ:AJ,Área!$B$1),"")</f>
        <v/>
      </c>
      <c r="Y393" s="23" t="str">
        <f ca="1">IF(Tabela4[[#This Row],[Cabo]]&lt;&gt;"",SUMIFS('Lançamento de Cabos'!$AG:$AG,'Lançamento de Cabos'!AE:AE,Tabela4[[#This Row],[Cabo]],'Lançamento de Cabos'!AJ:AJ,Área!$B$1),"")</f>
        <v/>
      </c>
      <c r="Z393" s="23" t="e">
        <f ca="1">VLOOKUP(Tabela4[[#This Row],[Cabo]],BD!A:AB,28,0)</f>
        <v>#N/A</v>
      </c>
    </row>
    <row r="394" spans="3:26" x14ac:dyDescent="0.25">
      <c r="C394" s="391" t="str">
        <f ca="1">IF($B$1="Geral",Tabela1[[#This Row],[Tag do Cabo]],IFERROR(INDEX(INDIRECT("BD!$A"&amp;D394&amp;":$A100000"),E394,1),""))</f>
        <v/>
      </c>
      <c r="D394" s="391" t="str">
        <f t="shared" ca="1" si="16"/>
        <v/>
      </c>
      <c r="E394" s="391" t="str">
        <f t="shared" ca="1" si="17"/>
        <v/>
      </c>
      <c r="F394" s="23" t="str">
        <f ca="1">IFERROR(VLOOKUP(Tabela4[[#This Row],[Cabo]],BD!A:V,2,0),"")</f>
        <v/>
      </c>
      <c r="G394" s="391" t="str">
        <f ca="1">IFERROR(VLOOKUP(Tabela4[[#This Row],[Cabo]],BD!A:V,5,0),"")</f>
        <v/>
      </c>
      <c r="H394" s="23" t="str">
        <f ca="1">IFERROR(VLOOKUP(Tabela4[[#This Row],[Cabo]],BD!A:V,3,0),"")</f>
        <v/>
      </c>
      <c r="I394" s="23" t="str">
        <f ca="1">IFERROR(VLOOKUP(Tabela4[[#This Row],[Cabo]],BD!A:V,4,0),"")</f>
        <v/>
      </c>
      <c r="J394" s="23" t="str">
        <f ca="1">IFERROR(VLOOKUP(Tabela4[[#This Row],[Cabo]],BD!A:V,7,0),"")</f>
        <v/>
      </c>
      <c r="K39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4" s="23" t="str">
        <f ca="1">IFERROR(VLOOKUP(Tabela4[[#This Row],[Cabo]],BD!A:V,9,0),"")</f>
        <v/>
      </c>
      <c r="M394" s="23" t="str">
        <f ca="1">IFERROR(VLOOKUP(Tabela4[[#This Row],[Cabo]],BD!A:AD,30,0),"")</f>
        <v/>
      </c>
      <c r="N394" s="23" t="str">
        <f ca="1">IF(SUMIF('Lançamento de Cabos'!B:B,Tabela4[[#This Row],[Cabo]],'Lançamento de Cabos'!C:C)=0,"",SUMIF('Lançamento de Cabos'!B:B,Tabela4[[#This Row],[Cabo]],'Lançamento de Cabos'!C:C))</f>
        <v/>
      </c>
      <c r="O394" s="28" t="str">
        <f ca="1">IFERROR(IF(Tabela4[[#This Row],[Compr. Lançado]]/Tabela4[[#This Row],[Compr. Prev.]]&gt;1,1,Tabela4[[#This Row],[Compr. Lançado]]/Tabela4[[#This Row],[Compr. Prev.]]),"")</f>
        <v/>
      </c>
      <c r="P394" s="24" t="str">
        <f ca="1">IFERROR(VLOOKUP(Tabela4[[#This Row],[Cabo]],BD!A:V,11,0),"")</f>
        <v/>
      </c>
      <c r="Q394" s="24" t="str">
        <f ca="1">IFERROR(VLOOKUP(Tabela4[[#This Row],[Cabo]],BD!A:V,12,0),"")</f>
        <v/>
      </c>
      <c r="R394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4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4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4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4" s="23" t="str">
        <f ca="1">IF(Tabela4[[#This Row],[Cabo]]&lt;&gt;"",4-COUNTIF(Tabela4[[#This Row],[Teste de Continuidade]:[Hipot]],"---"),"")</f>
        <v/>
      </c>
      <c r="W394" s="29" t="str">
        <f ca="1">IF(Tabela4[[#This Row],[Cabo]]&lt;&gt;"",(COUNTIF(Tabela4[[#This Row],[Teste de Continuidade]:[Hipot]],"OK"))/(4-COUNTIF(Tabela4[[#This Row],[Teste de Continuidade]:[Hipot]],"---")),"")</f>
        <v/>
      </c>
      <c r="X394" s="23" t="str">
        <f ca="1">IF(Tabela4[[#This Row],[Cabo]]&lt;&gt;"",SUMIFS('Lançamento de Cabos'!$AF:$AF,'Lançamento de Cabos'!AE:AE,Tabela4[[#This Row],[Cabo]],'Lançamento de Cabos'!AJ:AJ,Área!$B$1),"")</f>
        <v/>
      </c>
      <c r="Y394" s="23" t="str">
        <f ca="1">IF(Tabela4[[#This Row],[Cabo]]&lt;&gt;"",SUMIFS('Lançamento de Cabos'!$AG:$AG,'Lançamento de Cabos'!AE:AE,Tabela4[[#This Row],[Cabo]],'Lançamento de Cabos'!AJ:AJ,Área!$B$1),"")</f>
        <v/>
      </c>
      <c r="Z394" s="23" t="e">
        <f ca="1">VLOOKUP(Tabela4[[#This Row],[Cabo]],BD!A:AB,28,0)</f>
        <v>#N/A</v>
      </c>
    </row>
    <row r="395" spans="3:26" x14ac:dyDescent="0.25">
      <c r="C395" s="391" t="str">
        <f ca="1">IF($B$1="Geral",Tabela1[[#This Row],[Tag do Cabo]],IFERROR(INDEX(INDIRECT("BD!$A"&amp;D395&amp;":$A100000"),E395,1),""))</f>
        <v/>
      </c>
      <c r="D395" s="391" t="str">
        <f t="shared" ca="1" si="16"/>
        <v/>
      </c>
      <c r="E395" s="391" t="str">
        <f t="shared" ca="1" si="17"/>
        <v/>
      </c>
      <c r="F395" s="23" t="str">
        <f ca="1">IFERROR(VLOOKUP(Tabela4[[#This Row],[Cabo]],BD!A:V,2,0),"")</f>
        <v/>
      </c>
      <c r="G395" s="391" t="str">
        <f ca="1">IFERROR(VLOOKUP(Tabela4[[#This Row],[Cabo]],BD!A:V,5,0),"")</f>
        <v/>
      </c>
      <c r="H395" s="23" t="str">
        <f ca="1">IFERROR(VLOOKUP(Tabela4[[#This Row],[Cabo]],BD!A:V,3,0),"")</f>
        <v/>
      </c>
      <c r="I395" s="23" t="str">
        <f ca="1">IFERROR(VLOOKUP(Tabela4[[#This Row],[Cabo]],BD!A:V,4,0),"")</f>
        <v/>
      </c>
      <c r="J395" s="23" t="str">
        <f ca="1">IFERROR(VLOOKUP(Tabela4[[#This Row],[Cabo]],BD!A:V,7,0),"")</f>
        <v/>
      </c>
      <c r="K39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5" s="23" t="str">
        <f ca="1">IFERROR(VLOOKUP(Tabela4[[#This Row],[Cabo]],BD!A:V,9,0),"")</f>
        <v/>
      </c>
      <c r="M395" s="23" t="str">
        <f ca="1">IFERROR(VLOOKUP(Tabela4[[#This Row],[Cabo]],BD!A:AD,30,0),"")</f>
        <v/>
      </c>
      <c r="N395" s="23" t="str">
        <f ca="1">IF(SUMIF('Lançamento de Cabos'!B:B,Tabela4[[#This Row],[Cabo]],'Lançamento de Cabos'!C:C)=0,"",SUMIF('Lançamento de Cabos'!B:B,Tabela4[[#This Row],[Cabo]],'Lançamento de Cabos'!C:C))</f>
        <v/>
      </c>
      <c r="O395" s="28" t="str">
        <f ca="1">IFERROR(IF(Tabela4[[#This Row],[Compr. Lançado]]/Tabela4[[#This Row],[Compr. Prev.]]&gt;1,1,Tabela4[[#This Row],[Compr. Lançado]]/Tabela4[[#This Row],[Compr. Prev.]]),"")</f>
        <v/>
      </c>
      <c r="P395" s="24" t="str">
        <f ca="1">IFERROR(VLOOKUP(Tabela4[[#This Row],[Cabo]],BD!A:V,11,0),"")</f>
        <v/>
      </c>
      <c r="Q395" s="24" t="str">
        <f ca="1">IFERROR(VLOOKUP(Tabela4[[#This Row],[Cabo]],BD!A:V,12,0),"")</f>
        <v/>
      </c>
      <c r="R395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5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5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5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5" s="23" t="str">
        <f ca="1">IF(Tabela4[[#This Row],[Cabo]]&lt;&gt;"",4-COUNTIF(Tabela4[[#This Row],[Teste de Continuidade]:[Hipot]],"---"),"")</f>
        <v/>
      </c>
      <c r="W395" s="29" t="str">
        <f ca="1">IF(Tabela4[[#This Row],[Cabo]]&lt;&gt;"",(COUNTIF(Tabela4[[#This Row],[Teste de Continuidade]:[Hipot]],"OK"))/(4-COUNTIF(Tabela4[[#This Row],[Teste de Continuidade]:[Hipot]],"---")),"")</f>
        <v/>
      </c>
      <c r="X395" s="23" t="str">
        <f ca="1">IF(Tabela4[[#This Row],[Cabo]]&lt;&gt;"",SUMIFS('Lançamento de Cabos'!$AF:$AF,'Lançamento de Cabos'!AE:AE,Tabela4[[#This Row],[Cabo]],'Lançamento de Cabos'!AJ:AJ,Área!$B$1),"")</f>
        <v/>
      </c>
      <c r="Y395" s="23" t="str">
        <f ca="1">IF(Tabela4[[#This Row],[Cabo]]&lt;&gt;"",SUMIFS('Lançamento de Cabos'!$AG:$AG,'Lançamento de Cabos'!AE:AE,Tabela4[[#This Row],[Cabo]],'Lançamento de Cabos'!AJ:AJ,Área!$B$1),"")</f>
        <v/>
      </c>
      <c r="Z395" s="23" t="e">
        <f ca="1">VLOOKUP(Tabela4[[#This Row],[Cabo]],BD!A:AB,28,0)</f>
        <v>#N/A</v>
      </c>
    </row>
    <row r="396" spans="3:26" x14ac:dyDescent="0.25">
      <c r="C396" s="391" t="str">
        <f ca="1">IF($B$1="Geral",Tabela1[[#This Row],[Tag do Cabo]],IFERROR(INDEX(INDIRECT("BD!$A"&amp;D396&amp;":$A100000"),E396,1),""))</f>
        <v/>
      </c>
      <c r="D396" s="391" t="str">
        <f t="shared" ca="1" si="16"/>
        <v/>
      </c>
      <c r="E396" s="391" t="str">
        <f t="shared" ca="1" si="17"/>
        <v/>
      </c>
      <c r="F396" s="23" t="str">
        <f ca="1">IFERROR(VLOOKUP(Tabela4[[#This Row],[Cabo]],BD!A:V,2,0),"")</f>
        <v/>
      </c>
      <c r="G396" s="391" t="str">
        <f ca="1">IFERROR(VLOOKUP(Tabela4[[#This Row],[Cabo]],BD!A:V,5,0),"")</f>
        <v/>
      </c>
      <c r="H396" s="23" t="str">
        <f ca="1">IFERROR(VLOOKUP(Tabela4[[#This Row],[Cabo]],BD!A:V,3,0),"")</f>
        <v/>
      </c>
      <c r="I396" s="23" t="str">
        <f ca="1">IFERROR(VLOOKUP(Tabela4[[#This Row],[Cabo]],BD!A:V,4,0),"")</f>
        <v/>
      </c>
      <c r="J396" s="23" t="str">
        <f ca="1">IFERROR(VLOOKUP(Tabela4[[#This Row],[Cabo]],BD!A:V,7,0),"")</f>
        <v/>
      </c>
      <c r="K39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6" s="23" t="str">
        <f ca="1">IFERROR(VLOOKUP(Tabela4[[#This Row],[Cabo]],BD!A:V,9,0),"")</f>
        <v/>
      </c>
      <c r="M396" s="23" t="str">
        <f ca="1">IFERROR(VLOOKUP(Tabela4[[#This Row],[Cabo]],BD!A:AD,30,0),"")</f>
        <v/>
      </c>
      <c r="N396" s="23" t="str">
        <f ca="1">IF(SUMIF('Lançamento de Cabos'!B:B,Tabela4[[#This Row],[Cabo]],'Lançamento de Cabos'!C:C)=0,"",SUMIF('Lançamento de Cabos'!B:B,Tabela4[[#This Row],[Cabo]],'Lançamento de Cabos'!C:C))</f>
        <v/>
      </c>
      <c r="O396" s="28" t="str">
        <f ca="1">IFERROR(IF(Tabela4[[#This Row],[Compr. Lançado]]/Tabela4[[#This Row],[Compr. Prev.]]&gt;1,1,Tabela4[[#This Row],[Compr. Lançado]]/Tabela4[[#This Row],[Compr. Prev.]]),"")</f>
        <v/>
      </c>
      <c r="P396" s="24" t="str">
        <f ca="1">IFERROR(VLOOKUP(Tabela4[[#This Row],[Cabo]],BD!A:V,11,0),"")</f>
        <v/>
      </c>
      <c r="Q396" s="24" t="str">
        <f ca="1">IFERROR(VLOOKUP(Tabela4[[#This Row],[Cabo]],BD!A:V,12,0),"")</f>
        <v/>
      </c>
      <c r="R396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6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6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6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6" s="23" t="str">
        <f ca="1">IF(Tabela4[[#This Row],[Cabo]]&lt;&gt;"",4-COUNTIF(Tabela4[[#This Row],[Teste de Continuidade]:[Hipot]],"---"),"")</f>
        <v/>
      </c>
      <c r="W396" s="29" t="str">
        <f ca="1">IF(Tabela4[[#This Row],[Cabo]]&lt;&gt;"",(COUNTIF(Tabela4[[#This Row],[Teste de Continuidade]:[Hipot]],"OK"))/(4-COUNTIF(Tabela4[[#This Row],[Teste de Continuidade]:[Hipot]],"---")),"")</f>
        <v/>
      </c>
      <c r="X396" s="23" t="str">
        <f ca="1">IF(Tabela4[[#This Row],[Cabo]]&lt;&gt;"",SUMIFS('Lançamento de Cabos'!$AF:$AF,'Lançamento de Cabos'!AE:AE,Tabela4[[#This Row],[Cabo]],'Lançamento de Cabos'!AJ:AJ,Área!$B$1),"")</f>
        <v/>
      </c>
      <c r="Y396" s="23" t="str">
        <f ca="1">IF(Tabela4[[#This Row],[Cabo]]&lt;&gt;"",SUMIFS('Lançamento de Cabos'!$AG:$AG,'Lançamento de Cabos'!AE:AE,Tabela4[[#This Row],[Cabo]],'Lançamento de Cabos'!AJ:AJ,Área!$B$1),"")</f>
        <v/>
      </c>
      <c r="Z396" s="23" t="e">
        <f ca="1">VLOOKUP(Tabela4[[#This Row],[Cabo]],BD!A:AB,28,0)</f>
        <v>#N/A</v>
      </c>
    </row>
    <row r="397" spans="3:26" x14ac:dyDescent="0.25">
      <c r="C397" s="391" t="str">
        <f ca="1">IF($B$1="Geral",Tabela1[[#This Row],[Tag do Cabo]],IFERROR(INDEX(INDIRECT("BD!$A"&amp;D397&amp;":$A100000"),E397,1),""))</f>
        <v/>
      </c>
      <c r="D397" s="391" t="str">
        <f t="shared" ca="1" si="16"/>
        <v/>
      </c>
      <c r="E397" s="391" t="str">
        <f t="shared" ca="1" si="17"/>
        <v/>
      </c>
      <c r="F397" s="23" t="str">
        <f ca="1">IFERROR(VLOOKUP(Tabela4[[#This Row],[Cabo]],BD!A:V,2,0),"")</f>
        <v/>
      </c>
      <c r="G397" s="391" t="str">
        <f ca="1">IFERROR(VLOOKUP(Tabela4[[#This Row],[Cabo]],BD!A:V,5,0),"")</f>
        <v/>
      </c>
      <c r="H397" s="23" t="str">
        <f ca="1">IFERROR(VLOOKUP(Tabela4[[#This Row],[Cabo]],BD!A:V,3,0),"")</f>
        <v/>
      </c>
      <c r="I397" s="23" t="str">
        <f ca="1">IFERROR(VLOOKUP(Tabela4[[#This Row],[Cabo]],BD!A:V,4,0),"")</f>
        <v/>
      </c>
      <c r="J397" s="23" t="str">
        <f ca="1">IFERROR(VLOOKUP(Tabela4[[#This Row],[Cabo]],BD!A:V,7,0),"")</f>
        <v/>
      </c>
      <c r="K39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7" s="23" t="str">
        <f ca="1">IFERROR(VLOOKUP(Tabela4[[#This Row],[Cabo]],BD!A:V,9,0),"")</f>
        <v/>
      </c>
      <c r="M397" s="23" t="str">
        <f ca="1">IFERROR(VLOOKUP(Tabela4[[#This Row],[Cabo]],BD!A:AD,30,0),"")</f>
        <v/>
      </c>
      <c r="N397" s="23" t="str">
        <f ca="1">IF(SUMIF('Lançamento de Cabos'!B:B,Tabela4[[#This Row],[Cabo]],'Lançamento de Cabos'!C:C)=0,"",SUMIF('Lançamento de Cabos'!B:B,Tabela4[[#This Row],[Cabo]],'Lançamento de Cabos'!C:C))</f>
        <v/>
      </c>
      <c r="O397" s="28" t="str">
        <f ca="1">IFERROR(IF(Tabela4[[#This Row],[Compr. Lançado]]/Tabela4[[#This Row],[Compr. Prev.]]&gt;1,1,Tabela4[[#This Row],[Compr. Lançado]]/Tabela4[[#This Row],[Compr. Prev.]]),"")</f>
        <v/>
      </c>
      <c r="P397" s="24" t="str">
        <f ca="1">IFERROR(VLOOKUP(Tabela4[[#This Row],[Cabo]],BD!A:V,11,0),"")</f>
        <v/>
      </c>
      <c r="Q397" s="24" t="str">
        <f ca="1">IFERROR(VLOOKUP(Tabela4[[#This Row],[Cabo]],BD!A:V,12,0),"")</f>
        <v/>
      </c>
      <c r="R397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7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7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7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7" s="23" t="str">
        <f ca="1">IF(Tabela4[[#This Row],[Cabo]]&lt;&gt;"",4-COUNTIF(Tabela4[[#This Row],[Teste de Continuidade]:[Hipot]],"---"),"")</f>
        <v/>
      </c>
      <c r="W397" s="29" t="str">
        <f ca="1">IF(Tabela4[[#This Row],[Cabo]]&lt;&gt;"",(COUNTIF(Tabela4[[#This Row],[Teste de Continuidade]:[Hipot]],"OK"))/(4-COUNTIF(Tabela4[[#This Row],[Teste de Continuidade]:[Hipot]],"---")),"")</f>
        <v/>
      </c>
      <c r="X397" s="23" t="str">
        <f ca="1">IF(Tabela4[[#This Row],[Cabo]]&lt;&gt;"",SUMIFS('Lançamento de Cabos'!$AF:$AF,'Lançamento de Cabos'!AE:AE,Tabela4[[#This Row],[Cabo]],'Lançamento de Cabos'!AJ:AJ,Área!$B$1),"")</f>
        <v/>
      </c>
      <c r="Y397" s="23" t="str">
        <f ca="1">IF(Tabela4[[#This Row],[Cabo]]&lt;&gt;"",SUMIFS('Lançamento de Cabos'!$AG:$AG,'Lançamento de Cabos'!AE:AE,Tabela4[[#This Row],[Cabo]],'Lançamento de Cabos'!AJ:AJ,Área!$B$1),"")</f>
        <v/>
      </c>
      <c r="Z397" s="23" t="e">
        <f ca="1">VLOOKUP(Tabela4[[#This Row],[Cabo]],BD!A:AB,28,0)</f>
        <v>#N/A</v>
      </c>
    </row>
    <row r="398" spans="3:26" x14ac:dyDescent="0.25">
      <c r="C398" s="391" t="str">
        <f ca="1">IF($B$1="Geral",Tabela1[[#This Row],[Tag do Cabo]],IFERROR(INDEX(INDIRECT("BD!$A"&amp;D398&amp;":$A100000"),E398,1),""))</f>
        <v/>
      </c>
      <c r="D398" s="391" t="str">
        <f t="shared" ca="1" si="16"/>
        <v/>
      </c>
      <c r="E398" s="391" t="str">
        <f t="shared" ca="1" si="17"/>
        <v/>
      </c>
      <c r="F398" s="23" t="str">
        <f ca="1">IFERROR(VLOOKUP(Tabela4[[#This Row],[Cabo]],BD!A:V,2,0),"")</f>
        <v/>
      </c>
      <c r="G398" s="391" t="str">
        <f ca="1">IFERROR(VLOOKUP(Tabela4[[#This Row],[Cabo]],BD!A:V,5,0),"")</f>
        <v/>
      </c>
      <c r="H398" s="23" t="str">
        <f ca="1">IFERROR(VLOOKUP(Tabela4[[#This Row],[Cabo]],BD!A:V,3,0),"")</f>
        <v/>
      </c>
      <c r="I398" s="23" t="str">
        <f ca="1">IFERROR(VLOOKUP(Tabela4[[#This Row],[Cabo]],BD!A:V,4,0),"")</f>
        <v/>
      </c>
      <c r="J398" s="23" t="str">
        <f ca="1">IFERROR(VLOOKUP(Tabela4[[#This Row],[Cabo]],BD!A:V,7,0),"")</f>
        <v/>
      </c>
      <c r="K39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8" s="23" t="str">
        <f ca="1">IFERROR(VLOOKUP(Tabela4[[#This Row],[Cabo]],BD!A:V,9,0),"")</f>
        <v/>
      </c>
      <c r="M398" s="23" t="str">
        <f ca="1">IFERROR(VLOOKUP(Tabela4[[#This Row],[Cabo]],BD!A:AD,30,0),"")</f>
        <v/>
      </c>
      <c r="N398" s="23" t="str">
        <f ca="1">IF(SUMIF('Lançamento de Cabos'!B:B,Tabela4[[#This Row],[Cabo]],'Lançamento de Cabos'!C:C)=0,"",SUMIF('Lançamento de Cabos'!B:B,Tabela4[[#This Row],[Cabo]],'Lançamento de Cabos'!C:C))</f>
        <v/>
      </c>
      <c r="O398" s="28" t="str">
        <f ca="1">IFERROR(IF(Tabela4[[#This Row],[Compr. Lançado]]/Tabela4[[#This Row],[Compr. Prev.]]&gt;1,1,Tabela4[[#This Row],[Compr. Lançado]]/Tabela4[[#This Row],[Compr. Prev.]]),"")</f>
        <v/>
      </c>
      <c r="P398" s="24" t="str">
        <f ca="1">IFERROR(VLOOKUP(Tabela4[[#This Row],[Cabo]],BD!A:V,11,0),"")</f>
        <v/>
      </c>
      <c r="Q398" s="24" t="str">
        <f ca="1">IFERROR(VLOOKUP(Tabela4[[#This Row],[Cabo]],BD!A:V,12,0),"")</f>
        <v/>
      </c>
      <c r="R398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8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8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8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8" s="23" t="str">
        <f ca="1">IF(Tabela4[[#This Row],[Cabo]]&lt;&gt;"",4-COUNTIF(Tabela4[[#This Row],[Teste de Continuidade]:[Hipot]],"---"),"")</f>
        <v/>
      </c>
      <c r="W398" s="29" t="str">
        <f ca="1">IF(Tabela4[[#This Row],[Cabo]]&lt;&gt;"",(COUNTIF(Tabela4[[#This Row],[Teste de Continuidade]:[Hipot]],"OK"))/(4-COUNTIF(Tabela4[[#This Row],[Teste de Continuidade]:[Hipot]],"---")),"")</f>
        <v/>
      </c>
      <c r="X398" s="23" t="str">
        <f ca="1">IF(Tabela4[[#This Row],[Cabo]]&lt;&gt;"",SUMIFS('Lançamento de Cabos'!$AF:$AF,'Lançamento de Cabos'!AE:AE,Tabela4[[#This Row],[Cabo]],'Lançamento de Cabos'!AJ:AJ,Área!$B$1),"")</f>
        <v/>
      </c>
      <c r="Y398" s="23" t="str">
        <f ca="1">IF(Tabela4[[#This Row],[Cabo]]&lt;&gt;"",SUMIFS('Lançamento de Cabos'!$AG:$AG,'Lançamento de Cabos'!AE:AE,Tabela4[[#This Row],[Cabo]],'Lançamento de Cabos'!AJ:AJ,Área!$B$1),"")</f>
        <v/>
      </c>
      <c r="Z398" s="23" t="e">
        <f ca="1">VLOOKUP(Tabela4[[#This Row],[Cabo]],BD!A:AB,28,0)</f>
        <v>#N/A</v>
      </c>
    </row>
    <row r="399" spans="3:26" x14ac:dyDescent="0.25">
      <c r="C399" s="391" t="str">
        <f ca="1">IF($B$1="Geral",Tabela1[[#This Row],[Tag do Cabo]],IFERROR(INDEX(INDIRECT("BD!$A"&amp;D399&amp;":$A100000"),E399,1),""))</f>
        <v/>
      </c>
      <c r="D399" s="391" t="str">
        <f t="shared" ca="1" si="16"/>
        <v/>
      </c>
      <c r="E399" s="391" t="str">
        <f t="shared" ca="1" si="17"/>
        <v/>
      </c>
      <c r="F399" s="23" t="str">
        <f ca="1">IFERROR(VLOOKUP(Tabela4[[#This Row],[Cabo]],BD!A:V,2,0),"")</f>
        <v/>
      </c>
      <c r="G399" s="391" t="str">
        <f ca="1">IFERROR(VLOOKUP(Tabela4[[#This Row],[Cabo]],BD!A:V,5,0),"")</f>
        <v/>
      </c>
      <c r="H399" s="23" t="str">
        <f ca="1">IFERROR(VLOOKUP(Tabela4[[#This Row],[Cabo]],BD!A:V,3,0),"")</f>
        <v/>
      </c>
      <c r="I399" s="23" t="str">
        <f ca="1">IFERROR(VLOOKUP(Tabela4[[#This Row],[Cabo]],BD!A:V,4,0),"")</f>
        <v/>
      </c>
      <c r="J399" s="23" t="str">
        <f ca="1">IFERROR(VLOOKUP(Tabela4[[#This Row],[Cabo]],BD!A:V,7,0),"")</f>
        <v/>
      </c>
      <c r="K39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399" s="23" t="str">
        <f ca="1">IFERROR(VLOOKUP(Tabela4[[#This Row],[Cabo]],BD!A:V,9,0),"")</f>
        <v/>
      </c>
      <c r="M399" s="23" t="str">
        <f ca="1">IFERROR(VLOOKUP(Tabela4[[#This Row],[Cabo]],BD!A:AD,30,0),"")</f>
        <v/>
      </c>
      <c r="N399" s="23" t="str">
        <f ca="1">IF(SUMIF('Lançamento de Cabos'!B:B,Tabela4[[#This Row],[Cabo]],'Lançamento de Cabos'!C:C)=0,"",SUMIF('Lançamento de Cabos'!B:B,Tabela4[[#This Row],[Cabo]],'Lançamento de Cabos'!C:C))</f>
        <v/>
      </c>
      <c r="O399" s="28" t="str">
        <f ca="1">IFERROR(IF(Tabela4[[#This Row],[Compr. Lançado]]/Tabela4[[#This Row],[Compr. Prev.]]&gt;1,1,Tabela4[[#This Row],[Compr. Lançado]]/Tabela4[[#This Row],[Compr. Prev.]]),"")</f>
        <v/>
      </c>
      <c r="P399" s="24" t="str">
        <f ca="1">IFERROR(VLOOKUP(Tabela4[[#This Row],[Cabo]],BD!A:V,11,0),"")</f>
        <v/>
      </c>
      <c r="Q399" s="24" t="str">
        <f ca="1">IFERROR(VLOOKUP(Tabela4[[#This Row],[Cabo]],BD!A:V,12,0),"")</f>
        <v/>
      </c>
      <c r="R399" s="23" t="str">
        <f ca="1">IF(Tabela4[[#This Row],[Cabo]]&lt;&gt;"",IFERROR(VLOOKUP(Tabela4[[#This Row],[Cabo]]&amp;"-1",'Lançamento de Cabos'!$S:$T,2,0),IF(VLOOKUP(Tabela4[[#This Row],[Cabo]],BD!A:V,13,0)="---","---","")),"")</f>
        <v/>
      </c>
      <c r="S399" s="23" t="str">
        <f ca="1">IF(Tabela4[[#This Row],[Cabo]]&lt;&gt;"",IFERROR(VLOOKUP(Tabela4[[#This Row],[Cabo]]&amp;"-2",'Lançamento de Cabos'!$S:$T,2,0),IF(VLOOKUP(Tabela4[[#This Row],[Cabo]],BD!A:V,14,0)="---","---","")),"")</f>
        <v/>
      </c>
      <c r="T399" s="23" t="str">
        <f ca="1">IF(Tabela4[[#This Row],[Cabo]]&lt;&gt;"",IFERROR(VLOOKUP(Tabela4[[#This Row],[Cabo]]&amp;"-3",'Lançamento de Cabos'!$S:$T,2,0),IF(VLOOKUP(Tabela4[[#This Row],[Cabo]],BD!A:V,15,0)="---","---","")),"")</f>
        <v/>
      </c>
      <c r="U399" s="23" t="str">
        <f ca="1">IF(Tabela4[[#This Row],[Cabo]]&lt;&gt;"",IFERROR(VLOOKUP(Tabela4[[#This Row],[Cabo]]&amp;"-4",'Lançamento de Cabos'!$S:$T,2,0),IF(VLOOKUP(Tabela4[[#This Row],[Cabo]],BD!A:V,16,0)="---","---","")),"")</f>
        <v/>
      </c>
      <c r="V399" s="23" t="str">
        <f ca="1">IF(Tabela4[[#This Row],[Cabo]]&lt;&gt;"",4-COUNTIF(Tabela4[[#This Row],[Teste de Continuidade]:[Hipot]],"---"),"")</f>
        <v/>
      </c>
      <c r="W399" s="29" t="str">
        <f ca="1">IF(Tabela4[[#This Row],[Cabo]]&lt;&gt;"",(COUNTIF(Tabela4[[#This Row],[Teste de Continuidade]:[Hipot]],"OK"))/(4-COUNTIF(Tabela4[[#This Row],[Teste de Continuidade]:[Hipot]],"---")),"")</f>
        <v/>
      </c>
      <c r="X399" s="23" t="str">
        <f ca="1">IF(Tabela4[[#This Row],[Cabo]]&lt;&gt;"",SUMIFS('Lançamento de Cabos'!$AF:$AF,'Lançamento de Cabos'!AE:AE,Tabela4[[#This Row],[Cabo]],'Lançamento de Cabos'!AJ:AJ,Área!$B$1),"")</f>
        <v/>
      </c>
      <c r="Y399" s="23" t="str">
        <f ca="1">IF(Tabela4[[#This Row],[Cabo]]&lt;&gt;"",SUMIFS('Lançamento de Cabos'!$AG:$AG,'Lançamento de Cabos'!AE:AE,Tabela4[[#This Row],[Cabo]],'Lançamento de Cabos'!AJ:AJ,Área!$B$1),"")</f>
        <v/>
      </c>
      <c r="Z399" s="23" t="e">
        <f ca="1">VLOOKUP(Tabela4[[#This Row],[Cabo]],BD!A:AB,28,0)</f>
        <v>#N/A</v>
      </c>
    </row>
    <row r="400" spans="3:26" x14ac:dyDescent="0.25">
      <c r="C400" s="391" t="str">
        <f ca="1">IF($B$1="Geral",Tabela1[[#This Row],[Tag do Cabo]],IFERROR(INDEX(INDIRECT("BD!$A"&amp;D400&amp;":$A100000"),E400,1),""))</f>
        <v/>
      </c>
      <c r="D400" s="391" t="str">
        <f t="shared" ca="1" si="16"/>
        <v/>
      </c>
      <c r="E400" s="391" t="str">
        <f t="shared" ca="1" si="17"/>
        <v/>
      </c>
      <c r="F400" s="23" t="str">
        <f ca="1">IFERROR(VLOOKUP(Tabela4[[#This Row],[Cabo]],BD!A:V,2,0),"")</f>
        <v/>
      </c>
      <c r="G400" s="391" t="str">
        <f ca="1">IFERROR(VLOOKUP(Tabela4[[#This Row],[Cabo]],BD!A:V,5,0),"")</f>
        <v/>
      </c>
      <c r="H400" s="23" t="str">
        <f ca="1">IFERROR(VLOOKUP(Tabela4[[#This Row],[Cabo]],BD!A:V,3,0),"")</f>
        <v/>
      </c>
      <c r="I400" s="23" t="str">
        <f ca="1">IFERROR(VLOOKUP(Tabela4[[#This Row],[Cabo]],BD!A:V,4,0),"")</f>
        <v/>
      </c>
      <c r="J400" s="23" t="str">
        <f ca="1">IFERROR(VLOOKUP(Tabela4[[#This Row],[Cabo]],BD!A:V,7,0),"")</f>
        <v/>
      </c>
      <c r="K40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0" s="23" t="str">
        <f ca="1">IFERROR(VLOOKUP(Tabela4[[#This Row],[Cabo]],BD!A:V,9,0),"")</f>
        <v/>
      </c>
      <c r="M400" s="23" t="str">
        <f ca="1">IFERROR(VLOOKUP(Tabela4[[#This Row],[Cabo]],BD!A:AD,30,0),"")</f>
        <v/>
      </c>
      <c r="N400" s="23" t="str">
        <f ca="1">IF(SUMIF('Lançamento de Cabos'!B:B,Tabela4[[#This Row],[Cabo]],'Lançamento de Cabos'!C:C)=0,"",SUMIF('Lançamento de Cabos'!B:B,Tabela4[[#This Row],[Cabo]],'Lançamento de Cabos'!C:C))</f>
        <v/>
      </c>
      <c r="O400" s="28" t="str">
        <f ca="1">IFERROR(IF(Tabela4[[#This Row],[Compr. Lançado]]/Tabela4[[#This Row],[Compr. Prev.]]&gt;1,1,Tabela4[[#This Row],[Compr. Lançado]]/Tabela4[[#This Row],[Compr. Prev.]]),"")</f>
        <v/>
      </c>
      <c r="P400" s="24" t="str">
        <f ca="1">IFERROR(VLOOKUP(Tabela4[[#This Row],[Cabo]],BD!A:V,11,0),"")</f>
        <v/>
      </c>
      <c r="Q400" s="24" t="str">
        <f ca="1">IFERROR(VLOOKUP(Tabela4[[#This Row],[Cabo]],BD!A:V,12,0),"")</f>
        <v/>
      </c>
      <c r="R40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0" s="23" t="str">
        <f ca="1">IF(Tabela4[[#This Row],[Cabo]]&lt;&gt;"",4-COUNTIF(Tabela4[[#This Row],[Teste de Continuidade]:[Hipot]],"---"),"")</f>
        <v/>
      </c>
      <c r="W400" s="29" t="str">
        <f ca="1">IF(Tabela4[[#This Row],[Cabo]]&lt;&gt;"",(COUNTIF(Tabela4[[#This Row],[Teste de Continuidade]:[Hipot]],"OK"))/(4-COUNTIF(Tabela4[[#This Row],[Teste de Continuidade]:[Hipot]],"---")),"")</f>
        <v/>
      </c>
      <c r="X400" s="23" t="str">
        <f ca="1">IF(Tabela4[[#This Row],[Cabo]]&lt;&gt;"",SUMIFS('Lançamento de Cabos'!$AF:$AF,'Lançamento de Cabos'!AE:AE,Tabela4[[#This Row],[Cabo]],'Lançamento de Cabos'!AJ:AJ,Área!$B$1),"")</f>
        <v/>
      </c>
      <c r="Y400" s="23" t="str">
        <f ca="1">IF(Tabela4[[#This Row],[Cabo]]&lt;&gt;"",SUMIFS('Lançamento de Cabos'!$AG:$AG,'Lançamento de Cabos'!AE:AE,Tabela4[[#This Row],[Cabo]],'Lançamento de Cabos'!AJ:AJ,Área!$B$1),"")</f>
        <v/>
      </c>
      <c r="Z400" s="23" t="e">
        <f ca="1">VLOOKUP(Tabela4[[#This Row],[Cabo]],BD!A:AB,28,0)</f>
        <v>#N/A</v>
      </c>
    </row>
    <row r="401" spans="3:26" x14ac:dyDescent="0.25">
      <c r="C401" s="391" t="str">
        <f ca="1">IF($B$1="Geral",Tabela1[[#This Row],[Tag do Cabo]],IFERROR(INDEX(INDIRECT("BD!$A"&amp;D401&amp;":$A100000"),E401,1),""))</f>
        <v/>
      </c>
      <c r="D401" s="391" t="str">
        <f t="shared" ca="1" si="16"/>
        <v/>
      </c>
      <c r="E401" s="391" t="str">
        <f t="shared" ca="1" si="17"/>
        <v/>
      </c>
      <c r="F401" s="23" t="str">
        <f ca="1">IFERROR(VLOOKUP(Tabela4[[#This Row],[Cabo]],BD!A:V,2,0),"")</f>
        <v/>
      </c>
      <c r="G401" s="391" t="str">
        <f ca="1">IFERROR(VLOOKUP(Tabela4[[#This Row],[Cabo]],BD!A:V,5,0),"")</f>
        <v/>
      </c>
      <c r="H401" s="23" t="str">
        <f ca="1">IFERROR(VLOOKUP(Tabela4[[#This Row],[Cabo]],BD!A:V,3,0),"")</f>
        <v/>
      </c>
      <c r="I401" s="23" t="str">
        <f ca="1">IFERROR(VLOOKUP(Tabela4[[#This Row],[Cabo]],BD!A:V,4,0),"")</f>
        <v/>
      </c>
      <c r="J401" s="23" t="str">
        <f ca="1">IFERROR(VLOOKUP(Tabela4[[#This Row],[Cabo]],BD!A:V,7,0),"")</f>
        <v/>
      </c>
      <c r="K40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1" s="23" t="str">
        <f ca="1">IFERROR(VLOOKUP(Tabela4[[#This Row],[Cabo]],BD!A:V,9,0),"")</f>
        <v/>
      </c>
      <c r="M401" s="23" t="str">
        <f ca="1">IFERROR(VLOOKUP(Tabela4[[#This Row],[Cabo]],BD!A:AD,30,0),"")</f>
        <v/>
      </c>
      <c r="N401" s="23" t="str">
        <f ca="1">IF(SUMIF('Lançamento de Cabos'!B:B,Tabela4[[#This Row],[Cabo]],'Lançamento de Cabos'!C:C)=0,"",SUMIF('Lançamento de Cabos'!B:B,Tabela4[[#This Row],[Cabo]],'Lançamento de Cabos'!C:C))</f>
        <v/>
      </c>
      <c r="O401" s="28" t="str">
        <f ca="1">IFERROR(IF(Tabela4[[#This Row],[Compr. Lançado]]/Tabela4[[#This Row],[Compr. Prev.]]&gt;1,1,Tabela4[[#This Row],[Compr. Lançado]]/Tabela4[[#This Row],[Compr. Prev.]]),"")</f>
        <v/>
      </c>
      <c r="P401" s="24" t="str">
        <f ca="1">IFERROR(VLOOKUP(Tabela4[[#This Row],[Cabo]],BD!A:V,11,0),"")</f>
        <v/>
      </c>
      <c r="Q401" s="24" t="str">
        <f ca="1">IFERROR(VLOOKUP(Tabela4[[#This Row],[Cabo]],BD!A:V,12,0),"")</f>
        <v/>
      </c>
      <c r="R40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1" s="23" t="str">
        <f ca="1">IF(Tabela4[[#This Row],[Cabo]]&lt;&gt;"",4-COUNTIF(Tabela4[[#This Row],[Teste de Continuidade]:[Hipot]],"---"),"")</f>
        <v/>
      </c>
      <c r="W401" s="29" t="str">
        <f ca="1">IF(Tabela4[[#This Row],[Cabo]]&lt;&gt;"",(COUNTIF(Tabela4[[#This Row],[Teste de Continuidade]:[Hipot]],"OK"))/(4-COUNTIF(Tabela4[[#This Row],[Teste de Continuidade]:[Hipot]],"---")),"")</f>
        <v/>
      </c>
      <c r="X401" s="23" t="str">
        <f ca="1">IF(Tabela4[[#This Row],[Cabo]]&lt;&gt;"",SUMIFS('Lançamento de Cabos'!$AF:$AF,'Lançamento de Cabos'!AE:AE,Tabela4[[#This Row],[Cabo]],'Lançamento de Cabos'!AJ:AJ,Área!$B$1),"")</f>
        <v/>
      </c>
      <c r="Y401" s="23" t="str">
        <f ca="1">IF(Tabela4[[#This Row],[Cabo]]&lt;&gt;"",SUMIFS('Lançamento de Cabos'!$AG:$AG,'Lançamento de Cabos'!AE:AE,Tabela4[[#This Row],[Cabo]],'Lançamento de Cabos'!AJ:AJ,Área!$B$1),"")</f>
        <v/>
      </c>
      <c r="Z401" s="23" t="e">
        <f ca="1">VLOOKUP(Tabela4[[#This Row],[Cabo]],BD!A:AB,28,0)</f>
        <v>#N/A</v>
      </c>
    </row>
    <row r="402" spans="3:26" x14ac:dyDescent="0.25">
      <c r="C402" s="391" t="str">
        <f ca="1">IF($B$1="Geral",Tabela1[[#This Row],[Tag do Cabo]],IFERROR(INDEX(INDIRECT("BD!$A"&amp;D402&amp;":$A100000"),E402,1),""))</f>
        <v/>
      </c>
      <c r="D402" s="391" t="str">
        <f t="shared" ca="1" si="16"/>
        <v/>
      </c>
      <c r="E402" s="391" t="str">
        <f t="shared" ca="1" si="17"/>
        <v/>
      </c>
      <c r="F402" s="23" t="str">
        <f ca="1">IFERROR(VLOOKUP(Tabela4[[#This Row],[Cabo]],BD!A:V,2,0),"")</f>
        <v/>
      </c>
      <c r="G402" s="391" t="str">
        <f ca="1">IFERROR(VLOOKUP(Tabela4[[#This Row],[Cabo]],BD!A:V,5,0),"")</f>
        <v/>
      </c>
      <c r="H402" s="23" t="str">
        <f ca="1">IFERROR(VLOOKUP(Tabela4[[#This Row],[Cabo]],BD!A:V,3,0),"")</f>
        <v/>
      </c>
      <c r="I402" s="23" t="str">
        <f ca="1">IFERROR(VLOOKUP(Tabela4[[#This Row],[Cabo]],BD!A:V,4,0),"")</f>
        <v/>
      </c>
      <c r="J402" s="23" t="str">
        <f ca="1">IFERROR(VLOOKUP(Tabela4[[#This Row],[Cabo]],BD!A:V,7,0),"")</f>
        <v/>
      </c>
      <c r="K40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2" s="23" t="str">
        <f ca="1">IFERROR(VLOOKUP(Tabela4[[#This Row],[Cabo]],BD!A:V,9,0),"")</f>
        <v/>
      </c>
      <c r="M402" s="23" t="str">
        <f ca="1">IFERROR(VLOOKUP(Tabela4[[#This Row],[Cabo]],BD!A:AD,30,0),"")</f>
        <v/>
      </c>
      <c r="N402" s="23" t="str">
        <f ca="1">IF(SUMIF('Lançamento de Cabos'!B:B,Tabela4[[#This Row],[Cabo]],'Lançamento de Cabos'!C:C)=0,"",SUMIF('Lançamento de Cabos'!B:B,Tabela4[[#This Row],[Cabo]],'Lançamento de Cabos'!C:C))</f>
        <v/>
      </c>
      <c r="O402" s="28" t="str">
        <f ca="1">IFERROR(IF(Tabela4[[#This Row],[Compr. Lançado]]/Tabela4[[#This Row],[Compr. Prev.]]&gt;1,1,Tabela4[[#This Row],[Compr. Lançado]]/Tabela4[[#This Row],[Compr. Prev.]]),"")</f>
        <v/>
      </c>
      <c r="P402" s="24" t="str">
        <f ca="1">IFERROR(VLOOKUP(Tabela4[[#This Row],[Cabo]],BD!A:V,11,0),"")</f>
        <v/>
      </c>
      <c r="Q402" s="24" t="str">
        <f ca="1">IFERROR(VLOOKUP(Tabela4[[#This Row],[Cabo]],BD!A:V,12,0),"")</f>
        <v/>
      </c>
      <c r="R40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2" s="23" t="str">
        <f ca="1">IF(Tabela4[[#This Row],[Cabo]]&lt;&gt;"",4-COUNTIF(Tabela4[[#This Row],[Teste de Continuidade]:[Hipot]],"---"),"")</f>
        <v/>
      </c>
      <c r="W402" s="29" t="str">
        <f ca="1">IF(Tabela4[[#This Row],[Cabo]]&lt;&gt;"",(COUNTIF(Tabela4[[#This Row],[Teste de Continuidade]:[Hipot]],"OK"))/(4-COUNTIF(Tabela4[[#This Row],[Teste de Continuidade]:[Hipot]],"---")),"")</f>
        <v/>
      </c>
      <c r="X402" s="23" t="str">
        <f ca="1">IF(Tabela4[[#This Row],[Cabo]]&lt;&gt;"",SUMIFS('Lançamento de Cabos'!$AF:$AF,'Lançamento de Cabos'!AE:AE,Tabela4[[#This Row],[Cabo]],'Lançamento de Cabos'!AJ:AJ,Área!$B$1),"")</f>
        <v/>
      </c>
      <c r="Y402" s="23" t="str">
        <f ca="1">IF(Tabela4[[#This Row],[Cabo]]&lt;&gt;"",SUMIFS('Lançamento de Cabos'!$AG:$AG,'Lançamento de Cabos'!AE:AE,Tabela4[[#This Row],[Cabo]],'Lançamento de Cabos'!AJ:AJ,Área!$B$1),"")</f>
        <v/>
      </c>
      <c r="Z402" s="23" t="e">
        <f ca="1">VLOOKUP(Tabela4[[#This Row],[Cabo]],BD!A:AB,28,0)</f>
        <v>#N/A</v>
      </c>
    </row>
    <row r="403" spans="3:26" x14ac:dyDescent="0.25">
      <c r="C403" s="391" t="str">
        <f ca="1">IF($B$1="Geral",Tabela1[[#This Row],[Tag do Cabo]],IFERROR(INDEX(INDIRECT("BD!$A"&amp;D403&amp;":$A100000"),E403,1),""))</f>
        <v/>
      </c>
      <c r="D403" s="391" t="str">
        <f t="shared" ca="1" si="16"/>
        <v/>
      </c>
      <c r="E403" s="391" t="str">
        <f t="shared" ca="1" si="17"/>
        <v/>
      </c>
      <c r="F403" s="23" t="str">
        <f ca="1">IFERROR(VLOOKUP(Tabela4[[#This Row],[Cabo]],BD!A:V,2,0),"")</f>
        <v/>
      </c>
      <c r="G403" s="391" t="str">
        <f ca="1">IFERROR(VLOOKUP(Tabela4[[#This Row],[Cabo]],BD!A:V,5,0),"")</f>
        <v/>
      </c>
      <c r="H403" s="23" t="str">
        <f ca="1">IFERROR(VLOOKUP(Tabela4[[#This Row],[Cabo]],BD!A:V,3,0),"")</f>
        <v/>
      </c>
      <c r="I403" s="23" t="str">
        <f ca="1">IFERROR(VLOOKUP(Tabela4[[#This Row],[Cabo]],BD!A:V,4,0),"")</f>
        <v/>
      </c>
      <c r="J403" s="23" t="str">
        <f ca="1">IFERROR(VLOOKUP(Tabela4[[#This Row],[Cabo]],BD!A:V,7,0),"")</f>
        <v/>
      </c>
      <c r="K40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3" s="23" t="str">
        <f ca="1">IFERROR(VLOOKUP(Tabela4[[#This Row],[Cabo]],BD!A:V,9,0),"")</f>
        <v/>
      </c>
      <c r="M403" s="23" t="str">
        <f ca="1">IFERROR(VLOOKUP(Tabela4[[#This Row],[Cabo]],BD!A:AD,30,0),"")</f>
        <v/>
      </c>
      <c r="N403" s="23" t="str">
        <f ca="1">IF(SUMIF('Lançamento de Cabos'!B:B,Tabela4[[#This Row],[Cabo]],'Lançamento de Cabos'!C:C)=0,"",SUMIF('Lançamento de Cabos'!B:B,Tabela4[[#This Row],[Cabo]],'Lançamento de Cabos'!C:C))</f>
        <v/>
      </c>
      <c r="O403" s="28" t="str">
        <f ca="1">IFERROR(IF(Tabela4[[#This Row],[Compr. Lançado]]/Tabela4[[#This Row],[Compr. Prev.]]&gt;1,1,Tabela4[[#This Row],[Compr. Lançado]]/Tabela4[[#This Row],[Compr. Prev.]]),"")</f>
        <v/>
      </c>
      <c r="P403" s="24" t="str">
        <f ca="1">IFERROR(VLOOKUP(Tabela4[[#This Row],[Cabo]],BD!A:V,11,0),"")</f>
        <v/>
      </c>
      <c r="Q403" s="24" t="str">
        <f ca="1">IFERROR(VLOOKUP(Tabela4[[#This Row],[Cabo]],BD!A:V,12,0),"")</f>
        <v/>
      </c>
      <c r="R40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3" s="23" t="str">
        <f ca="1">IF(Tabela4[[#This Row],[Cabo]]&lt;&gt;"",4-COUNTIF(Tabela4[[#This Row],[Teste de Continuidade]:[Hipot]],"---"),"")</f>
        <v/>
      </c>
      <c r="W403" s="29" t="str">
        <f ca="1">IF(Tabela4[[#This Row],[Cabo]]&lt;&gt;"",(COUNTIF(Tabela4[[#This Row],[Teste de Continuidade]:[Hipot]],"OK"))/(4-COUNTIF(Tabela4[[#This Row],[Teste de Continuidade]:[Hipot]],"---")),"")</f>
        <v/>
      </c>
      <c r="X403" s="23" t="str">
        <f ca="1">IF(Tabela4[[#This Row],[Cabo]]&lt;&gt;"",SUMIFS('Lançamento de Cabos'!$AF:$AF,'Lançamento de Cabos'!AE:AE,Tabela4[[#This Row],[Cabo]],'Lançamento de Cabos'!AJ:AJ,Área!$B$1),"")</f>
        <v/>
      </c>
      <c r="Y403" s="23" t="str">
        <f ca="1">IF(Tabela4[[#This Row],[Cabo]]&lt;&gt;"",SUMIFS('Lançamento de Cabos'!$AG:$AG,'Lançamento de Cabos'!AE:AE,Tabela4[[#This Row],[Cabo]],'Lançamento de Cabos'!AJ:AJ,Área!$B$1),"")</f>
        <v/>
      </c>
      <c r="Z403" s="23" t="e">
        <f ca="1">VLOOKUP(Tabela4[[#This Row],[Cabo]],BD!A:AB,28,0)</f>
        <v>#N/A</v>
      </c>
    </row>
    <row r="404" spans="3:26" x14ac:dyDescent="0.25">
      <c r="C404" s="391" t="str">
        <f ca="1">IF($B$1="Geral",Tabela1[[#This Row],[Tag do Cabo]],IFERROR(INDEX(INDIRECT("BD!$A"&amp;D404&amp;":$A100000"),E404,1),""))</f>
        <v/>
      </c>
      <c r="D404" s="391" t="str">
        <f t="shared" ca="1" si="16"/>
        <v/>
      </c>
      <c r="E404" s="391" t="str">
        <f t="shared" ca="1" si="17"/>
        <v/>
      </c>
      <c r="F404" s="23" t="str">
        <f ca="1">IFERROR(VLOOKUP(Tabela4[[#This Row],[Cabo]],BD!A:V,2,0),"")</f>
        <v/>
      </c>
      <c r="G404" s="391" t="str">
        <f ca="1">IFERROR(VLOOKUP(Tabela4[[#This Row],[Cabo]],BD!A:V,5,0),"")</f>
        <v/>
      </c>
      <c r="H404" s="23" t="str">
        <f ca="1">IFERROR(VLOOKUP(Tabela4[[#This Row],[Cabo]],BD!A:V,3,0),"")</f>
        <v/>
      </c>
      <c r="I404" s="23" t="str">
        <f ca="1">IFERROR(VLOOKUP(Tabela4[[#This Row],[Cabo]],BD!A:V,4,0),"")</f>
        <v/>
      </c>
      <c r="J404" s="23" t="str">
        <f ca="1">IFERROR(VLOOKUP(Tabela4[[#This Row],[Cabo]],BD!A:V,7,0),"")</f>
        <v/>
      </c>
      <c r="K40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4" s="23" t="str">
        <f ca="1">IFERROR(VLOOKUP(Tabela4[[#This Row],[Cabo]],BD!A:V,9,0),"")</f>
        <v/>
      </c>
      <c r="M404" s="23" t="str">
        <f ca="1">IFERROR(VLOOKUP(Tabela4[[#This Row],[Cabo]],BD!A:AD,30,0),"")</f>
        <v/>
      </c>
      <c r="N404" s="23" t="str">
        <f ca="1">IF(SUMIF('Lançamento de Cabos'!B:B,Tabela4[[#This Row],[Cabo]],'Lançamento de Cabos'!C:C)=0,"",SUMIF('Lançamento de Cabos'!B:B,Tabela4[[#This Row],[Cabo]],'Lançamento de Cabos'!C:C))</f>
        <v/>
      </c>
      <c r="O404" s="28" t="str">
        <f ca="1">IFERROR(IF(Tabela4[[#This Row],[Compr. Lançado]]/Tabela4[[#This Row],[Compr. Prev.]]&gt;1,1,Tabela4[[#This Row],[Compr. Lançado]]/Tabela4[[#This Row],[Compr. Prev.]]),"")</f>
        <v/>
      </c>
      <c r="P404" s="24" t="str">
        <f ca="1">IFERROR(VLOOKUP(Tabela4[[#This Row],[Cabo]],BD!A:V,11,0),"")</f>
        <v/>
      </c>
      <c r="Q404" s="24" t="str">
        <f ca="1">IFERROR(VLOOKUP(Tabela4[[#This Row],[Cabo]],BD!A:V,12,0),"")</f>
        <v/>
      </c>
      <c r="R40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4" s="23" t="str">
        <f ca="1">IF(Tabela4[[#This Row],[Cabo]]&lt;&gt;"",4-COUNTIF(Tabela4[[#This Row],[Teste de Continuidade]:[Hipot]],"---"),"")</f>
        <v/>
      </c>
      <c r="W404" s="29" t="str">
        <f ca="1">IF(Tabela4[[#This Row],[Cabo]]&lt;&gt;"",(COUNTIF(Tabela4[[#This Row],[Teste de Continuidade]:[Hipot]],"OK"))/(4-COUNTIF(Tabela4[[#This Row],[Teste de Continuidade]:[Hipot]],"---")),"")</f>
        <v/>
      </c>
      <c r="X404" s="23" t="str">
        <f ca="1">IF(Tabela4[[#This Row],[Cabo]]&lt;&gt;"",SUMIFS('Lançamento de Cabos'!$AF:$AF,'Lançamento de Cabos'!AE:AE,Tabela4[[#This Row],[Cabo]],'Lançamento de Cabos'!AJ:AJ,Área!$B$1),"")</f>
        <v/>
      </c>
      <c r="Y404" s="23" t="str">
        <f ca="1">IF(Tabela4[[#This Row],[Cabo]]&lt;&gt;"",SUMIFS('Lançamento de Cabos'!$AG:$AG,'Lançamento de Cabos'!AE:AE,Tabela4[[#This Row],[Cabo]],'Lançamento de Cabos'!AJ:AJ,Área!$B$1),"")</f>
        <v/>
      </c>
      <c r="Z404" s="23" t="e">
        <f ca="1">VLOOKUP(Tabela4[[#This Row],[Cabo]],BD!A:AB,28,0)</f>
        <v>#N/A</v>
      </c>
    </row>
    <row r="405" spans="3:26" x14ac:dyDescent="0.25">
      <c r="C405" s="391" t="str">
        <f ca="1">IF($B$1="Geral",Tabela1[[#This Row],[Tag do Cabo]],IFERROR(INDEX(INDIRECT("BD!$A"&amp;D405&amp;":$A100000"),E405,1),""))</f>
        <v/>
      </c>
      <c r="D405" s="391" t="str">
        <f t="shared" ca="1" si="16"/>
        <v/>
      </c>
      <c r="E405" s="391" t="str">
        <f t="shared" ca="1" si="17"/>
        <v/>
      </c>
      <c r="F405" s="23" t="str">
        <f ca="1">IFERROR(VLOOKUP(Tabela4[[#This Row],[Cabo]],BD!A:V,2,0),"")</f>
        <v/>
      </c>
      <c r="G405" s="391" t="str">
        <f ca="1">IFERROR(VLOOKUP(Tabela4[[#This Row],[Cabo]],BD!A:V,5,0),"")</f>
        <v/>
      </c>
      <c r="H405" s="23" t="str">
        <f ca="1">IFERROR(VLOOKUP(Tabela4[[#This Row],[Cabo]],BD!A:V,3,0),"")</f>
        <v/>
      </c>
      <c r="I405" s="23" t="str">
        <f ca="1">IFERROR(VLOOKUP(Tabela4[[#This Row],[Cabo]],BD!A:V,4,0),"")</f>
        <v/>
      </c>
      <c r="J405" s="23" t="str">
        <f ca="1">IFERROR(VLOOKUP(Tabela4[[#This Row],[Cabo]],BD!A:V,7,0),"")</f>
        <v/>
      </c>
      <c r="K40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5" s="23" t="str">
        <f ca="1">IFERROR(VLOOKUP(Tabela4[[#This Row],[Cabo]],BD!A:V,9,0),"")</f>
        <v/>
      </c>
      <c r="M405" s="23" t="str">
        <f ca="1">IFERROR(VLOOKUP(Tabela4[[#This Row],[Cabo]],BD!A:AD,30,0),"")</f>
        <v/>
      </c>
      <c r="N405" s="23" t="str">
        <f ca="1">IF(SUMIF('Lançamento de Cabos'!B:B,Tabela4[[#This Row],[Cabo]],'Lançamento de Cabos'!C:C)=0,"",SUMIF('Lançamento de Cabos'!B:B,Tabela4[[#This Row],[Cabo]],'Lançamento de Cabos'!C:C))</f>
        <v/>
      </c>
      <c r="O405" s="28" t="str">
        <f ca="1">IFERROR(IF(Tabela4[[#This Row],[Compr. Lançado]]/Tabela4[[#This Row],[Compr. Prev.]]&gt;1,1,Tabela4[[#This Row],[Compr. Lançado]]/Tabela4[[#This Row],[Compr. Prev.]]),"")</f>
        <v/>
      </c>
      <c r="P405" s="24" t="str">
        <f ca="1">IFERROR(VLOOKUP(Tabela4[[#This Row],[Cabo]],BD!A:V,11,0),"")</f>
        <v/>
      </c>
      <c r="Q405" s="24" t="str">
        <f ca="1">IFERROR(VLOOKUP(Tabela4[[#This Row],[Cabo]],BD!A:V,12,0),"")</f>
        <v/>
      </c>
      <c r="R40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5" s="23" t="str">
        <f ca="1">IF(Tabela4[[#This Row],[Cabo]]&lt;&gt;"",4-COUNTIF(Tabela4[[#This Row],[Teste de Continuidade]:[Hipot]],"---"),"")</f>
        <v/>
      </c>
      <c r="W405" s="29" t="str">
        <f ca="1">IF(Tabela4[[#This Row],[Cabo]]&lt;&gt;"",(COUNTIF(Tabela4[[#This Row],[Teste de Continuidade]:[Hipot]],"OK"))/(4-COUNTIF(Tabela4[[#This Row],[Teste de Continuidade]:[Hipot]],"---")),"")</f>
        <v/>
      </c>
      <c r="X405" s="23" t="str">
        <f ca="1">IF(Tabela4[[#This Row],[Cabo]]&lt;&gt;"",SUMIFS('Lançamento de Cabos'!$AF:$AF,'Lançamento de Cabos'!AE:AE,Tabela4[[#This Row],[Cabo]],'Lançamento de Cabos'!AJ:AJ,Área!$B$1),"")</f>
        <v/>
      </c>
      <c r="Y405" s="23" t="str">
        <f ca="1">IF(Tabela4[[#This Row],[Cabo]]&lt;&gt;"",SUMIFS('Lançamento de Cabos'!$AG:$AG,'Lançamento de Cabos'!AE:AE,Tabela4[[#This Row],[Cabo]],'Lançamento de Cabos'!AJ:AJ,Área!$B$1),"")</f>
        <v/>
      </c>
      <c r="Z405" s="23" t="e">
        <f ca="1">VLOOKUP(Tabela4[[#This Row],[Cabo]],BD!A:AB,28,0)</f>
        <v>#N/A</v>
      </c>
    </row>
    <row r="406" spans="3:26" x14ac:dyDescent="0.25">
      <c r="C406" s="391" t="str">
        <f ca="1">IF($B$1="Geral",Tabela1[[#This Row],[Tag do Cabo]],IFERROR(INDEX(INDIRECT("BD!$A"&amp;D406&amp;":$A100000"),E406,1),""))</f>
        <v/>
      </c>
      <c r="D406" s="391" t="str">
        <f t="shared" ca="1" si="16"/>
        <v/>
      </c>
      <c r="E406" s="391" t="str">
        <f t="shared" ca="1" si="17"/>
        <v/>
      </c>
      <c r="F406" s="23" t="str">
        <f ca="1">IFERROR(VLOOKUP(Tabela4[[#This Row],[Cabo]],BD!A:V,2,0),"")</f>
        <v/>
      </c>
      <c r="G406" s="391" t="str">
        <f ca="1">IFERROR(VLOOKUP(Tabela4[[#This Row],[Cabo]],BD!A:V,5,0),"")</f>
        <v/>
      </c>
      <c r="H406" s="23" t="str">
        <f ca="1">IFERROR(VLOOKUP(Tabela4[[#This Row],[Cabo]],BD!A:V,3,0),"")</f>
        <v/>
      </c>
      <c r="I406" s="23" t="str">
        <f ca="1">IFERROR(VLOOKUP(Tabela4[[#This Row],[Cabo]],BD!A:V,4,0),"")</f>
        <v/>
      </c>
      <c r="J406" s="23" t="str">
        <f ca="1">IFERROR(VLOOKUP(Tabela4[[#This Row],[Cabo]],BD!A:V,7,0),"")</f>
        <v/>
      </c>
      <c r="K40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6" s="23" t="str">
        <f ca="1">IFERROR(VLOOKUP(Tabela4[[#This Row],[Cabo]],BD!A:V,9,0),"")</f>
        <v/>
      </c>
      <c r="M406" s="23" t="str">
        <f ca="1">IFERROR(VLOOKUP(Tabela4[[#This Row],[Cabo]],BD!A:AD,30,0),"")</f>
        <v/>
      </c>
      <c r="N406" s="23" t="str">
        <f ca="1">IF(SUMIF('Lançamento de Cabos'!B:B,Tabela4[[#This Row],[Cabo]],'Lançamento de Cabos'!C:C)=0,"",SUMIF('Lançamento de Cabos'!B:B,Tabela4[[#This Row],[Cabo]],'Lançamento de Cabos'!C:C))</f>
        <v/>
      </c>
      <c r="O406" s="28" t="str">
        <f ca="1">IFERROR(IF(Tabela4[[#This Row],[Compr. Lançado]]/Tabela4[[#This Row],[Compr. Prev.]]&gt;1,1,Tabela4[[#This Row],[Compr. Lançado]]/Tabela4[[#This Row],[Compr. Prev.]]),"")</f>
        <v/>
      </c>
      <c r="P406" s="24" t="str">
        <f ca="1">IFERROR(VLOOKUP(Tabela4[[#This Row],[Cabo]],BD!A:V,11,0),"")</f>
        <v/>
      </c>
      <c r="Q406" s="24" t="str">
        <f ca="1">IFERROR(VLOOKUP(Tabela4[[#This Row],[Cabo]],BD!A:V,12,0),"")</f>
        <v/>
      </c>
      <c r="R40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6" s="23" t="str">
        <f ca="1">IF(Tabela4[[#This Row],[Cabo]]&lt;&gt;"",4-COUNTIF(Tabela4[[#This Row],[Teste de Continuidade]:[Hipot]],"---"),"")</f>
        <v/>
      </c>
      <c r="W406" s="29" t="str">
        <f ca="1">IF(Tabela4[[#This Row],[Cabo]]&lt;&gt;"",(COUNTIF(Tabela4[[#This Row],[Teste de Continuidade]:[Hipot]],"OK"))/(4-COUNTIF(Tabela4[[#This Row],[Teste de Continuidade]:[Hipot]],"---")),"")</f>
        <v/>
      </c>
      <c r="X406" s="23" t="str">
        <f ca="1">IF(Tabela4[[#This Row],[Cabo]]&lt;&gt;"",SUMIFS('Lançamento de Cabos'!$AF:$AF,'Lançamento de Cabos'!AE:AE,Tabela4[[#This Row],[Cabo]],'Lançamento de Cabos'!AJ:AJ,Área!$B$1),"")</f>
        <v/>
      </c>
      <c r="Y406" s="23" t="str">
        <f ca="1">IF(Tabela4[[#This Row],[Cabo]]&lt;&gt;"",SUMIFS('Lançamento de Cabos'!$AG:$AG,'Lançamento de Cabos'!AE:AE,Tabela4[[#This Row],[Cabo]],'Lançamento de Cabos'!AJ:AJ,Área!$B$1),"")</f>
        <v/>
      </c>
      <c r="Z406" s="23" t="e">
        <f ca="1">VLOOKUP(Tabela4[[#This Row],[Cabo]],BD!A:AB,28,0)</f>
        <v>#N/A</v>
      </c>
    </row>
    <row r="407" spans="3:26" x14ac:dyDescent="0.25">
      <c r="C407" s="391" t="str">
        <f ca="1">IF($B$1="Geral",Tabela1[[#This Row],[Tag do Cabo]],IFERROR(INDEX(INDIRECT("BD!$A"&amp;D407&amp;":$A100000"),E407,1),""))</f>
        <v/>
      </c>
      <c r="D407" s="391" t="str">
        <f t="shared" ca="1" si="16"/>
        <v/>
      </c>
      <c r="E407" s="391" t="str">
        <f t="shared" ca="1" si="17"/>
        <v/>
      </c>
      <c r="F407" s="23" t="str">
        <f ca="1">IFERROR(VLOOKUP(Tabela4[[#This Row],[Cabo]],BD!A:V,2,0),"")</f>
        <v/>
      </c>
      <c r="G407" s="391" t="str">
        <f ca="1">IFERROR(VLOOKUP(Tabela4[[#This Row],[Cabo]],BD!A:V,5,0),"")</f>
        <v/>
      </c>
      <c r="H407" s="23" t="str">
        <f ca="1">IFERROR(VLOOKUP(Tabela4[[#This Row],[Cabo]],BD!A:V,3,0),"")</f>
        <v/>
      </c>
      <c r="I407" s="23" t="str">
        <f ca="1">IFERROR(VLOOKUP(Tabela4[[#This Row],[Cabo]],BD!A:V,4,0),"")</f>
        <v/>
      </c>
      <c r="J407" s="23" t="str">
        <f ca="1">IFERROR(VLOOKUP(Tabela4[[#This Row],[Cabo]],BD!A:V,7,0),"")</f>
        <v/>
      </c>
      <c r="K40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7" s="23" t="str">
        <f ca="1">IFERROR(VLOOKUP(Tabela4[[#This Row],[Cabo]],BD!A:V,9,0),"")</f>
        <v/>
      </c>
      <c r="M407" s="23" t="str">
        <f ca="1">IFERROR(VLOOKUP(Tabela4[[#This Row],[Cabo]],BD!A:AD,30,0),"")</f>
        <v/>
      </c>
      <c r="N407" s="23" t="str">
        <f ca="1">IF(SUMIF('Lançamento de Cabos'!B:B,Tabela4[[#This Row],[Cabo]],'Lançamento de Cabos'!C:C)=0,"",SUMIF('Lançamento de Cabos'!B:B,Tabela4[[#This Row],[Cabo]],'Lançamento de Cabos'!C:C))</f>
        <v/>
      </c>
      <c r="O407" s="28" t="str">
        <f ca="1">IFERROR(IF(Tabela4[[#This Row],[Compr. Lançado]]/Tabela4[[#This Row],[Compr. Prev.]]&gt;1,1,Tabela4[[#This Row],[Compr. Lançado]]/Tabela4[[#This Row],[Compr. Prev.]]),"")</f>
        <v/>
      </c>
      <c r="P407" s="24" t="str">
        <f ca="1">IFERROR(VLOOKUP(Tabela4[[#This Row],[Cabo]],BD!A:V,11,0),"")</f>
        <v/>
      </c>
      <c r="Q407" s="24" t="str">
        <f ca="1">IFERROR(VLOOKUP(Tabela4[[#This Row],[Cabo]],BD!A:V,12,0),"")</f>
        <v/>
      </c>
      <c r="R40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7" s="23" t="str">
        <f ca="1">IF(Tabela4[[#This Row],[Cabo]]&lt;&gt;"",4-COUNTIF(Tabela4[[#This Row],[Teste de Continuidade]:[Hipot]],"---"),"")</f>
        <v/>
      </c>
      <c r="W407" s="29" t="str">
        <f ca="1">IF(Tabela4[[#This Row],[Cabo]]&lt;&gt;"",(COUNTIF(Tabela4[[#This Row],[Teste de Continuidade]:[Hipot]],"OK"))/(4-COUNTIF(Tabela4[[#This Row],[Teste de Continuidade]:[Hipot]],"---")),"")</f>
        <v/>
      </c>
      <c r="X407" s="23" t="str">
        <f ca="1">IF(Tabela4[[#This Row],[Cabo]]&lt;&gt;"",SUMIFS('Lançamento de Cabos'!$AF:$AF,'Lançamento de Cabos'!AE:AE,Tabela4[[#This Row],[Cabo]],'Lançamento de Cabos'!AJ:AJ,Área!$B$1),"")</f>
        <v/>
      </c>
      <c r="Y407" s="23" t="str">
        <f ca="1">IF(Tabela4[[#This Row],[Cabo]]&lt;&gt;"",SUMIFS('Lançamento de Cabos'!$AG:$AG,'Lançamento de Cabos'!AE:AE,Tabela4[[#This Row],[Cabo]],'Lançamento de Cabos'!AJ:AJ,Área!$B$1),"")</f>
        <v/>
      </c>
      <c r="Z407" s="23" t="e">
        <f ca="1">VLOOKUP(Tabela4[[#This Row],[Cabo]],BD!A:AB,28,0)</f>
        <v>#N/A</v>
      </c>
    </row>
    <row r="408" spans="3:26" x14ac:dyDescent="0.25">
      <c r="C408" s="391" t="str">
        <f ca="1">IF($B$1="Geral",Tabela1[[#This Row],[Tag do Cabo]],IFERROR(INDEX(INDIRECT("BD!$A"&amp;D408&amp;":$A100000"),E408,1),""))</f>
        <v/>
      </c>
      <c r="D408" s="391" t="str">
        <f t="shared" ca="1" si="16"/>
        <v/>
      </c>
      <c r="E408" s="391" t="str">
        <f t="shared" ca="1" si="17"/>
        <v/>
      </c>
      <c r="F408" s="23" t="str">
        <f ca="1">IFERROR(VLOOKUP(Tabela4[[#This Row],[Cabo]],BD!A:V,2,0),"")</f>
        <v/>
      </c>
      <c r="G408" s="391" t="str">
        <f ca="1">IFERROR(VLOOKUP(Tabela4[[#This Row],[Cabo]],BD!A:V,5,0),"")</f>
        <v/>
      </c>
      <c r="H408" s="23" t="str">
        <f ca="1">IFERROR(VLOOKUP(Tabela4[[#This Row],[Cabo]],BD!A:V,3,0),"")</f>
        <v/>
      </c>
      <c r="I408" s="23" t="str">
        <f ca="1">IFERROR(VLOOKUP(Tabela4[[#This Row],[Cabo]],BD!A:V,4,0),"")</f>
        <v/>
      </c>
      <c r="J408" s="23" t="str">
        <f ca="1">IFERROR(VLOOKUP(Tabela4[[#This Row],[Cabo]],BD!A:V,7,0),"")</f>
        <v/>
      </c>
      <c r="K40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8" s="23" t="str">
        <f ca="1">IFERROR(VLOOKUP(Tabela4[[#This Row],[Cabo]],BD!A:V,9,0),"")</f>
        <v/>
      </c>
      <c r="M408" s="23" t="str">
        <f ca="1">IFERROR(VLOOKUP(Tabela4[[#This Row],[Cabo]],BD!A:AD,30,0),"")</f>
        <v/>
      </c>
      <c r="N408" s="23" t="str">
        <f ca="1">IF(SUMIF('Lançamento de Cabos'!B:B,Tabela4[[#This Row],[Cabo]],'Lançamento de Cabos'!C:C)=0,"",SUMIF('Lançamento de Cabos'!B:B,Tabela4[[#This Row],[Cabo]],'Lançamento de Cabos'!C:C))</f>
        <v/>
      </c>
      <c r="O408" s="28" t="str">
        <f ca="1">IFERROR(IF(Tabela4[[#This Row],[Compr. Lançado]]/Tabela4[[#This Row],[Compr. Prev.]]&gt;1,1,Tabela4[[#This Row],[Compr. Lançado]]/Tabela4[[#This Row],[Compr. Prev.]]),"")</f>
        <v/>
      </c>
      <c r="P408" s="24" t="str">
        <f ca="1">IFERROR(VLOOKUP(Tabela4[[#This Row],[Cabo]],BD!A:V,11,0),"")</f>
        <v/>
      </c>
      <c r="Q408" s="24" t="str">
        <f ca="1">IFERROR(VLOOKUP(Tabela4[[#This Row],[Cabo]],BD!A:V,12,0),"")</f>
        <v/>
      </c>
      <c r="R40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8" s="23" t="str">
        <f ca="1">IF(Tabela4[[#This Row],[Cabo]]&lt;&gt;"",4-COUNTIF(Tabela4[[#This Row],[Teste de Continuidade]:[Hipot]],"---"),"")</f>
        <v/>
      </c>
      <c r="W408" s="29" t="str">
        <f ca="1">IF(Tabela4[[#This Row],[Cabo]]&lt;&gt;"",(COUNTIF(Tabela4[[#This Row],[Teste de Continuidade]:[Hipot]],"OK"))/(4-COUNTIF(Tabela4[[#This Row],[Teste de Continuidade]:[Hipot]],"---")),"")</f>
        <v/>
      </c>
      <c r="X408" s="23" t="str">
        <f ca="1">IF(Tabela4[[#This Row],[Cabo]]&lt;&gt;"",SUMIFS('Lançamento de Cabos'!$AF:$AF,'Lançamento de Cabos'!AE:AE,Tabela4[[#This Row],[Cabo]],'Lançamento de Cabos'!AJ:AJ,Área!$B$1),"")</f>
        <v/>
      </c>
      <c r="Y408" s="23" t="str">
        <f ca="1">IF(Tabela4[[#This Row],[Cabo]]&lt;&gt;"",SUMIFS('Lançamento de Cabos'!$AG:$AG,'Lançamento de Cabos'!AE:AE,Tabela4[[#This Row],[Cabo]],'Lançamento de Cabos'!AJ:AJ,Área!$B$1),"")</f>
        <v/>
      </c>
      <c r="Z408" s="23" t="e">
        <f ca="1">VLOOKUP(Tabela4[[#This Row],[Cabo]],BD!A:AB,28,0)</f>
        <v>#N/A</v>
      </c>
    </row>
    <row r="409" spans="3:26" x14ac:dyDescent="0.25">
      <c r="C409" s="391" t="str">
        <f ca="1">IF($B$1="Geral",Tabela1[[#This Row],[Tag do Cabo]],IFERROR(INDEX(INDIRECT("BD!$A"&amp;D409&amp;":$A100000"),E409,1),""))</f>
        <v/>
      </c>
      <c r="D409" s="391" t="str">
        <f t="shared" ca="1" si="16"/>
        <v/>
      </c>
      <c r="E409" s="391" t="str">
        <f t="shared" ca="1" si="17"/>
        <v/>
      </c>
      <c r="F409" s="23" t="str">
        <f ca="1">IFERROR(VLOOKUP(Tabela4[[#This Row],[Cabo]],BD!A:V,2,0),"")</f>
        <v/>
      </c>
      <c r="G409" s="391" t="str">
        <f ca="1">IFERROR(VLOOKUP(Tabela4[[#This Row],[Cabo]],BD!A:V,5,0),"")</f>
        <v/>
      </c>
      <c r="H409" s="23" t="str">
        <f ca="1">IFERROR(VLOOKUP(Tabela4[[#This Row],[Cabo]],BD!A:V,3,0),"")</f>
        <v/>
      </c>
      <c r="I409" s="23" t="str">
        <f ca="1">IFERROR(VLOOKUP(Tabela4[[#This Row],[Cabo]],BD!A:V,4,0),"")</f>
        <v/>
      </c>
      <c r="J409" s="23" t="str">
        <f ca="1">IFERROR(VLOOKUP(Tabela4[[#This Row],[Cabo]],BD!A:V,7,0),"")</f>
        <v/>
      </c>
      <c r="K40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09" s="23" t="str">
        <f ca="1">IFERROR(VLOOKUP(Tabela4[[#This Row],[Cabo]],BD!A:V,9,0),"")</f>
        <v/>
      </c>
      <c r="M409" s="23" t="str">
        <f ca="1">IFERROR(VLOOKUP(Tabela4[[#This Row],[Cabo]],BD!A:AD,30,0),"")</f>
        <v/>
      </c>
      <c r="N409" s="23" t="str">
        <f ca="1">IF(SUMIF('Lançamento de Cabos'!B:B,Tabela4[[#This Row],[Cabo]],'Lançamento de Cabos'!C:C)=0,"",SUMIF('Lançamento de Cabos'!B:B,Tabela4[[#This Row],[Cabo]],'Lançamento de Cabos'!C:C))</f>
        <v/>
      </c>
      <c r="O409" s="28" t="str">
        <f ca="1">IFERROR(IF(Tabela4[[#This Row],[Compr. Lançado]]/Tabela4[[#This Row],[Compr. Prev.]]&gt;1,1,Tabela4[[#This Row],[Compr. Lançado]]/Tabela4[[#This Row],[Compr. Prev.]]),"")</f>
        <v/>
      </c>
      <c r="P409" s="24" t="str">
        <f ca="1">IFERROR(VLOOKUP(Tabela4[[#This Row],[Cabo]],BD!A:V,11,0),"")</f>
        <v/>
      </c>
      <c r="Q409" s="24" t="str">
        <f ca="1">IFERROR(VLOOKUP(Tabela4[[#This Row],[Cabo]],BD!A:V,12,0),"")</f>
        <v/>
      </c>
      <c r="R40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0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0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0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09" s="23" t="str">
        <f ca="1">IF(Tabela4[[#This Row],[Cabo]]&lt;&gt;"",4-COUNTIF(Tabela4[[#This Row],[Teste de Continuidade]:[Hipot]],"---"),"")</f>
        <v/>
      </c>
      <c r="W409" s="29" t="str">
        <f ca="1">IF(Tabela4[[#This Row],[Cabo]]&lt;&gt;"",(COUNTIF(Tabela4[[#This Row],[Teste de Continuidade]:[Hipot]],"OK"))/(4-COUNTIF(Tabela4[[#This Row],[Teste de Continuidade]:[Hipot]],"---")),"")</f>
        <v/>
      </c>
      <c r="X409" s="23" t="str">
        <f ca="1">IF(Tabela4[[#This Row],[Cabo]]&lt;&gt;"",SUMIFS('Lançamento de Cabos'!$AF:$AF,'Lançamento de Cabos'!AE:AE,Tabela4[[#This Row],[Cabo]],'Lançamento de Cabos'!AJ:AJ,Área!$B$1),"")</f>
        <v/>
      </c>
      <c r="Y409" s="23" t="str">
        <f ca="1">IF(Tabela4[[#This Row],[Cabo]]&lt;&gt;"",SUMIFS('Lançamento de Cabos'!$AG:$AG,'Lançamento de Cabos'!AE:AE,Tabela4[[#This Row],[Cabo]],'Lançamento de Cabos'!AJ:AJ,Área!$B$1),"")</f>
        <v/>
      </c>
      <c r="Z409" s="23" t="e">
        <f ca="1">VLOOKUP(Tabela4[[#This Row],[Cabo]],BD!A:AB,28,0)</f>
        <v>#N/A</v>
      </c>
    </row>
    <row r="410" spans="3:26" x14ac:dyDescent="0.25">
      <c r="C410" s="391" t="str">
        <f ca="1">IF($B$1="Geral",Tabela1[[#This Row],[Tag do Cabo]],IFERROR(INDEX(INDIRECT("BD!$A"&amp;D410&amp;":$A100000"),E410,1),""))</f>
        <v/>
      </c>
      <c r="D410" s="391" t="str">
        <f t="shared" ca="1" si="16"/>
        <v/>
      </c>
      <c r="E410" s="391" t="str">
        <f t="shared" ca="1" si="17"/>
        <v/>
      </c>
      <c r="F410" s="23" t="str">
        <f ca="1">IFERROR(VLOOKUP(Tabela4[[#This Row],[Cabo]],BD!A:V,2,0),"")</f>
        <v/>
      </c>
      <c r="G410" s="391" t="str">
        <f ca="1">IFERROR(VLOOKUP(Tabela4[[#This Row],[Cabo]],BD!A:V,5,0),"")</f>
        <v/>
      </c>
      <c r="H410" s="23" t="str">
        <f ca="1">IFERROR(VLOOKUP(Tabela4[[#This Row],[Cabo]],BD!A:V,3,0),"")</f>
        <v/>
      </c>
      <c r="I410" s="23" t="str">
        <f ca="1">IFERROR(VLOOKUP(Tabela4[[#This Row],[Cabo]],BD!A:V,4,0),"")</f>
        <v/>
      </c>
      <c r="J410" s="23" t="str">
        <f ca="1">IFERROR(VLOOKUP(Tabela4[[#This Row],[Cabo]],BD!A:V,7,0),"")</f>
        <v/>
      </c>
      <c r="K41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0" s="23" t="str">
        <f ca="1">IFERROR(VLOOKUP(Tabela4[[#This Row],[Cabo]],BD!A:V,9,0),"")</f>
        <v/>
      </c>
      <c r="M410" s="23" t="str">
        <f ca="1">IFERROR(VLOOKUP(Tabela4[[#This Row],[Cabo]],BD!A:AD,30,0),"")</f>
        <v/>
      </c>
      <c r="N410" s="23" t="str">
        <f ca="1">IF(SUMIF('Lançamento de Cabos'!B:B,Tabela4[[#This Row],[Cabo]],'Lançamento de Cabos'!C:C)=0,"",SUMIF('Lançamento de Cabos'!B:B,Tabela4[[#This Row],[Cabo]],'Lançamento de Cabos'!C:C))</f>
        <v/>
      </c>
      <c r="O410" s="28" t="str">
        <f ca="1">IFERROR(IF(Tabela4[[#This Row],[Compr. Lançado]]/Tabela4[[#This Row],[Compr. Prev.]]&gt;1,1,Tabela4[[#This Row],[Compr. Lançado]]/Tabela4[[#This Row],[Compr. Prev.]]),"")</f>
        <v/>
      </c>
      <c r="P410" s="24" t="str">
        <f ca="1">IFERROR(VLOOKUP(Tabela4[[#This Row],[Cabo]],BD!A:V,11,0),"")</f>
        <v/>
      </c>
      <c r="Q410" s="24" t="str">
        <f ca="1">IFERROR(VLOOKUP(Tabela4[[#This Row],[Cabo]],BD!A:V,12,0),"")</f>
        <v/>
      </c>
      <c r="R41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0" s="23" t="str">
        <f ca="1">IF(Tabela4[[#This Row],[Cabo]]&lt;&gt;"",4-COUNTIF(Tabela4[[#This Row],[Teste de Continuidade]:[Hipot]],"---"),"")</f>
        <v/>
      </c>
      <c r="W410" s="29" t="str">
        <f ca="1">IF(Tabela4[[#This Row],[Cabo]]&lt;&gt;"",(COUNTIF(Tabela4[[#This Row],[Teste de Continuidade]:[Hipot]],"OK"))/(4-COUNTIF(Tabela4[[#This Row],[Teste de Continuidade]:[Hipot]],"---")),"")</f>
        <v/>
      </c>
      <c r="X410" s="23" t="str">
        <f ca="1">IF(Tabela4[[#This Row],[Cabo]]&lt;&gt;"",SUMIFS('Lançamento de Cabos'!$AF:$AF,'Lançamento de Cabos'!AE:AE,Tabela4[[#This Row],[Cabo]],'Lançamento de Cabos'!AJ:AJ,Área!$B$1),"")</f>
        <v/>
      </c>
      <c r="Y410" s="23" t="str">
        <f ca="1">IF(Tabela4[[#This Row],[Cabo]]&lt;&gt;"",SUMIFS('Lançamento de Cabos'!$AG:$AG,'Lançamento de Cabos'!AE:AE,Tabela4[[#This Row],[Cabo]],'Lançamento de Cabos'!AJ:AJ,Área!$B$1),"")</f>
        <v/>
      </c>
      <c r="Z410" s="23" t="e">
        <f ca="1">VLOOKUP(Tabela4[[#This Row],[Cabo]],BD!A:AB,28,0)</f>
        <v>#N/A</v>
      </c>
    </row>
    <row r="411" spans="3:26" x14ac:dyDescent="0.25">
      <c r="C411" s="391" t="str">
        <f ca="1">IF($B$1="Geral",Tabela1[[#This Row],[Tag do Cabo]],IFERROR(INDEX(INDIRECT("BD!$A"&amp;D411&amp;":$A100000"),E411,1),""))</f>
        <v/>
      </c>
      <c r="D411" s="391" t="str">
        <f t="shared" ca="1" si="16"/>
        <v/>
      </c>
      <c r="E411" s="391" t="str">
        <f t="shared" ca="1" si="17"/>
        <v/>
      </c>
      <c r="F411" s="23" t="str">
        <f ca="1">IFERROR(VLOOKUP(Tabela4[[#This Row],[Cabo]],BD!A:V,2,0),"")</f>
        <v/>
      </c>
      <c r="G411" s="391" t="str">
        <f ca="1">IFERROR(VLOOKUP(Tabela4[[#This Row],[Cabo]],BD!A:V,5,0),"")</f>
        <v/>
      </c>
      <c r="H411" s="23" t="str">
        <f ca="1">IFERROR(VLOOKUP(Tabela4[[#This Row],[Cabo]],BD!A:V,3,0),"")</f>
        <v/>
      </c>
      <c r="I411" s="23" t="str">
        <f ca="1">IFERROR(VLOOKUP(Tabela4[[#This Row],[Cabo]],BD!A:V,4,0),"")</f>
        <v/>
      </c>
      <c r="J411" s="23" t="str">
        <f ca="1">IFERROR(VLOOKUP(Tabela4[[#This Row],[Cabo]],BD!A:V,7,0),"")</f>
        <v/>
      </c>
      <c r="K41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1" s="23" t="str">
        <f ca="1">IFERROR(VLOOKUP(Tabela4[[#This Row],[Cabo]],BD!A:V,9,0),"")</f>
        <v/>
      </c>
      <c r="M411" s="23" t="str">
        <f ca="1">IFERROR(VLOOKUP(Tabela4[[#This Row],[Cabo]],BD!A:AD,30,0),"")</f>
        <v/>
      </c>
      <c r="N411" s="23" t="str">
        <f ca="1">IF(SUMIF('Lançamento de Cabos'!B:B,Tabela4[[#This Row],[Cabo]],'Lançamento de Cabos'!C:C)=0,"",SUMIF('Lançamento de Cabos'!B:B,Tabela4[[#This Row],[Cabo]],'Lançamento de Cabos'!C:C))</f>
        <v/>
      </c>
      <c r="O411" s="28" t="str">
        <f ca="1">IFERROR(IF(Tabela4[[#This Row],[Compr. Lançado]]/Tabela4[[#This Row],[Compr. Prev.]]&gt;1,1,Tabela4[[#This Row],[Compr. Lançado]]/Tabela4[[#This Row],[Compr. Prev.]]),"")</f>
        <v/>
      </c>
      <c r="P411" s="24" t="str">
        <f ca="1">IFERROR(VLOOKUP(Tabela4[[#This Row],[Cabo]],BD!A:V,11,0),"")</f>
        <v/>
      </c>
      <c r="Q411" s="24" t="str">
        <f ca="1">IFERROR(VLOOKUP(Tabela4[[#This Row],[Cabo]],BD!A:V,12,0),"")</f>
        <v/>
      </c>
      <c r="R41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1" s="23" t="str">
        <f ca="1">IF(Tabela4[[#This Row],[Cabo]]&lt;&gt;"",4-COUNTIF(Tabela4[[#This Row],[Teste de Continuidade]:[Hipot]],"---"),"")</f>
        <v/>
      </c>
      <c r="W411" s="29" t="str">
        <f ca="1">IF(Tabela4[[#This Row],[Cabo]]&lt;&gt;"",(COUNTIF(Tabela4[[#This Row],[Teste de Continuidade]:[Hipot]],"OK"))/(4-COUNTIF(Tabela4[[#This Row],[Teste de Continuidade]:[Hipot]],"---")),"")</f>
        <v/>
      </c>
      <c r="X411" s="23" t="str">
        <f ca="1">IF(Tabela4[[#This Row],[Cabo]]&lt;&gt;"",SUMIFS('Lançamento de Cabos'!$AF:$AF,'Lançamento de Cabos'!AE:AE,Tabela4[[#This Row],[Cabo]],'Lançamento de Cabos'!AJ:AJ,Área!$B$1),"")</f>
        <v/>
      </c>
      <c r="Y411" s="23" t="str">
        <f ca="1">IF(Tabela4[[#This Row],[Cabo]]&lt;&gt;"",SUMIFS('Lançamento de Cabos'!$AG:$AG,'Lançamento de Cabos'!AE:AE,Tabela4[[#This Row],[Cabo]],'Lançamento de Cabos'!AJ:AJ,Área!$B$1),"")</f>
        <v/>
      </c>
      <c r="Z411" s="23" t="e">
        <f ca="1">VLOOKUP(Tabela4[[#This Row],[Cabo]],BD!A:AB,28,0)</f>
        <v>#N/A</v>
      </c>
    </row>
    <row r="412" spans="3:26" x14ac:dyDescent="0.25">
      <c r="C412" s="391" t="str">
        <f ca="1">IF($B$1="Geral",Tabela1[[#This Row],[Tag do Cabo]],IFERROR(INDEX(INDIRECT("BD!$A"&amp;D412&amp;":$A100000"),E412,1),""))</f>
        <v/>
      </c>
      <c r="D412" s="391" t="str">
        <f t="shared" ca="1" si="16"/>
        <v/>
      </c>
      <c r="E412" s="391" t="str">
        <f t="shared" ca="1" si="17"/>
        <v/>
      </c>
      <c r="F412" s="23" t="str">
        <f ca="1">IFERROR(VLOOKUP(Tabela4[[#This Row],[Cabo]],BD!A:V,2,0),"")</f>
        <v/>
      </c>
      <c r="G412" s="391" t="str">
        <f ca="1">IFERROR(VLOOKUP(Tabela4[[#This Row],[Cabo]],BD!A:V,5,0),"")</f>
        <v/>
      </c>
      <c r="H412" s="23" t="str">
        <f ca="1">IFERROR(VLOOKUP(Tabela4[[#This Row],[Cabo]],BD!A:V,3,0),"")</f>
        <v/>
      </c>
      <c r="I412" s="23" t="str">
        <f ca="1">IFERROR(VLOOKUP(Tabela4[[#This Row],[Cabo]],BD!A:V,4,0),"")</f>
        <v/>
      </c>
      <c r="J412" s="23" t="str">
        <f ca="1">IFERROR(VLOOKUP(Tabela4[[#This Row],[Cabo]],BD!A:V,7,0),"")</f>
        <v/>
      </c>
      <c r="K41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2" s="23" t="str">
        <f ca="1">IFERROR(VLOOKUP(Tabela4[[#This Row],[Cabo]],BD!A:V,9,0),"")</f>
        <v/>
      </c>
      <c r="M412" s="23" t="str">
        <f ca="1">IFERROR(VLOOKUP(Tabela4[[#This Row],[Cabo]],BD!A:AD,30,0),"")</f>
        <v/>
      </c>
      <c r="N412" s="23" t="str">
        <f ca="1">IF(SUMIF('Lançamento de Cabos'!B:B,Tabela4[[#This Row],[Cabo]],'Lançamento de Cabos'!C:C)=0,"",SUMIF('Lançamento de Cabos'!B:B,Tabela4[[#This Row],[Cabo]],'Lançamento de Cabos'!C:C))</f>
        <v/>
      </c>
      <c r="O412" s="28" t="str">
        <f ca="1">IFERROR(IF(Tabela4[[#This Row],[Compr. Lançado]]/Tabela4[[#This Row],[Compr. Prev.]]&gt;1,1,Tabela4[[#This Row],[Compr. Lançado]]/Tabela4[[#This Row],[Compr. Prev.]]),"")</f>
        <v/>
      </c>
      <c r="P412" s="24" t="str">
        <f ca="1">IFERROR(VLOOKUP(Tabela4[[#This Row],[Cabo]],BD!A:V,11,0),"")</f>
        <v/>
      </c>
      <c r="Q412" s="24" t="str">
        <f ca="1">IFERROR(VLOOKUP(Tabela4[[#This Row],[Cabo]],BD!A:V,12,0),"")</f>
        <v/>
      </c>
      <c r="R41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2" s="23" t="str">
        <f ca="1">IF(Tabela4[[#This Row],[Cabo]]&lt;&gt;"",4-COUNTIF(Tabela4[[#This Row],[Teste de Continuidade]:[Hipot]],"---"),"")</f>
        <v/>
      </c>
      <c r="W412" s="29" t="str">
        <f ca="1">IF(Tabela4[[#This Row],[Cabo]]&lt;&gt;"",(COUNTIF(Tabela4[[#This Row],[Teste de Continuidade]:[Hipot]],"OK"))/(4-COUNTIF(Tabela4[[#This Row],[Teste de Continuidade]:[Hipot]],"---")),"")</f>
        <v/>
      </c>
      <c r="X412" s="23" t="str">
        <f ca="1">IF(Tabela4[[#This Row],[Cabo]]&lt;&gt;"",SUMIFS('Lançamento de Cabos'!$AF:$AF,'Lançamento de Cabos'!AE:AE,Tabela4[[#This Row],[Cabo]],'Lançamento de Cabos'!AJ:AJ,Área!$B$1),"")</f>
        <v/>
      </c>
      <c r="Y412" s="23" t="str">
        <f ca="1">IF(Tabela4[[#This Row],[Cabo]]&lt;&gt;"",SUMIFS('Lançamento de Cabos'!$AG:$AG,'Lançamento de Cabos'!AE:AE,Tabela4[[#This Row],[Cabo]],'Lançamento de Cabos'!AJ:AJ,Área!$B$1),"")</f>
        <v/>
      </c>
      <c r="Z412" s="23" t="e">
        <f ca="1">VLOOKUP(Tabela4[[#This Row],[Cabo]],BD!A:AB,28,0)</f>
        <v>#N/A</v>
      </c>
    </row>
    <row r="413" spans="3:26" x14ac:dyDescent="0.25">
      <c r="C413" s="391" t="str">
        <f ca="1">IF($B$1="Geral",Tabela1[[#This Row],[Tag do Cabo]],IFERROR(INDEX(INDIRECT("BD!$A"&amp;D413&amp;":$A100000"),E413,1),""))</f>
        <v/>
      </c>
      <c r="D413" s="391" t="str">
        <f t="shared" ca="1" si="16"/>
        <v/>
      </c>
      <c r="E413" s="391" t="str">
        <f t="shared" ca="1" si="17"/>
        <v/>
      </c>
      <c r="F413" s="23" t="str">
        <f ca="1">IFERROR(VLOOKUP(Tabela4[[#This Row],[Cabo]],BD!A:V,2,0),"")</f>
        <v/>
      </c>
      <c r="G413" s="391" t="str">
        <f ca="1">IFERROR(VLOOKUP(Tabela4[[#This Row],[Cabo]],BD!A:V,5,0),"")</f>
        <v/>
      </c>
      <c r="H413" s="23" t="str">
        <f ca="1">IFERROR(VLOOKUP(Tabela4[[#This Row],[Cabo]],BD!A:V,3,0),"")</f>
        <v/>
      </c>
      <c r="I413" s="23" t="str">
        <f ca="1">IFERROR(VLOOKUP(Tabela4[[#This Row],[Cabo]],BD!A:V,4,0),"")</f>
        <v/>
      </c>
      <c r="J413" s="23" t="str">
        <f ca="1">IFERROR(VLOOKUP(Tabela4[[#This Row],[Cabo]],BD!A:V,7,0),"")</f>
        <v/>
      </c>
      <c r="K41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3" s="23" t="str">
        <f ca="1">IFERROR(VLOOKUP(Tabela4[[#This Row],[Cabo]],BD!A:V,9,0),"")</f>
        <v/>
      </c>
      <c r="M413" s="23" t="str">
        <f ca="1">IFERROR(VLOOKUP(Tabela4[[#This Row],[Cabo]],BD!A:AD,30,0),"")</f>
        <v/>
      </c>
      <c r="N413" s="23" t="str">
        <f ca="1">IF(SUMIF('Lançamento de Cabos'!B:B,Tabela4[[#This Row],[Cabo]],'Lançamento de Cabos'!C:C)=0,"",SUMIF('Lançamento de Cabos'!B:B,Tabela4[[#This Row],[Cabo]],'Lançamento de Cabos'!C:C))</f>
        <v/>
      </c>
      <c r="O413" s="28" t="str">
        <f ca="1">IFERROR(IF(Tabela4[[#This Row],[Compr. Lançado]]/Tabela4[[#This Row],[Compr. Prev.]]&gt;1,1,Tabela4[[#This Row],[Compr. Lançado]]/Tabela4[[#This Row],[Compr. Prev.]]),"")</f>
        <v/>
      </c>
      <c r="P413" s="24" t="str">
        <f ca="1">IFERROR(VLOOKUP(Tabela4[[#This Row],[Cabo]],BD!A:V,11,0),"")</f>
        <v/>
      </c>
      <c r="Q413" s="24" t="str">
        <f ca="1">IFERROR(VLOOKUP(Tabela4[[#This Row],[Cabo]],BD!A:V,12,0),"")</f>
        <v/>
      </c>
      <c r="R41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3" s="23" t="str">
        <f ca="1">IF(Tabela4[[#This Row],[Cabo]]&lt;&gt;"",4-COUNTIF(Tabela4[[#This Row],[Teste de Continuidade]:[Hipot]],"---"),"")</f>
        <v/>
      </c>
      <c r="W413" s="29" t="str">
        <f ca="1">IF(Tabela4[[#This Row],[Cabo]]&lt;&gt;"",(COUNTIF(Tabela4[[#This Row],[Teste de Continuidade]:[Hipot]],"OK"))/(4-COUNTIF(Tabela4[[#This Row],[Teste de Continuidade]:[Hipot]],"---")),"")</f>
        <v/>
      </c>
      <c r="X413" s="23" t="str">
        <f ca="1">IF(Tabela4[[#This Row],[Cabo]]&lt;&gt;"",SUMIFS('Lançamento de Cabos'!$AF:$AF,'Lançamento de Cabos'!AE:AE,Tabela4[[#This Row],[Cabo]],'Lançamento de Cabos'!AJ:AJ,Área!$B$1),"")</f>
        <v/>
      </c>
      <c r="Y413" s="23" t="str">
        <f ca="1">IF(Tabela4[[#This Row],[Cabo]]&lt;&gt;"",SUMIFS('Lançamento de Cabos'!$AG:$AG,'Lançamento de Cabos'!AE:AE,Tabela4[[#This Row],[Cabo]],'Lançamento de Cabos'!AJ:AJ,Área!$B$1),"")</f>
        <v/>
      </c>
      <c r="Z413" s="23" t="e">
        <f ca="1">VLOOKUP(Tabela4[[#This Row],[Cabo]],BD!A:AB,28,0)</f>
        <v>#N/A</v>
      </c>
    </row>
    <row r="414" spans="3:26" x14ac:dyDescent="0.25">
      <c r="C414" s="391" t="str">
        <f ca="1">IF($B$1="Geral",Tabela1[[#This Row],[Tag do Cabo]],IFERROR(INDEX(INDIRECT("BD!$A"&amp;D414&amp;":$A100000"),E414,1),""))</f>
        <v/>
      </c>
      <c r="D414" s="391" t="str">
        <f t="shared" ca="1" si="16"/>
        <v/>
      </c>
      <c r="E414" s="391" t="str">
        <f t="shared" ca="1" si="17"/>
        <v/>
      </c>
      <c r="F414" s="23" t="str">
        <f ca="1">IFERROR(VLOOKUP(Tabela4[[#This Row],[Cabo]],BD!A:V,2,0),"")</f>
        <v/>
      </c>
      <c r="G414" s="391" t="str">
        <f ca="1">IFERROR(VLOOKUP(Tabela4[[#This Row],[Cabo]],BD!A:V,5,0),"")</f>
        <v/>
      </c>
      <c r="H414" s="23" t="str">
        <f ca="1">IFERROR(VLOOKUP(Tabela4[[#This Row],[Cabo]],BD!A:V,3,0),"")</f>
        <v/>
      </c>
      <c r="I414" s="23" t="str">
        <f ca="1">IFERROR(VLOOKUP(Tabela4[[#This Row],[Cabo]],BD!A:V,4,0),"")</f>
        <v/>
      </c>
      <c r="J414" s="23" t="str">
        <f ca="1">IFERROR(VLOOKUP(Tabela4[[#This Row],[Cabo]],BD!A:V,7,0),"")</f>
        <v/>
      </c>
      <c r="K41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4" s="23" t="str">
        <f ca="1">IFERROR(VLOOKUP(Tabela4[[#This Row],[Cabo]],BD!A:V,9,0),"")</f>
        <v/>
      </c>
      <c r="M414" s="23" t="str">
        <f ca="1">IFERROR(VLOOKUP(Tabela4[[#This Row],[Cabo]],BD!A:AD,30,0),"")</f>
        <v/>
      </c>
      <c r="N414" s="23" t="str">
        <f ca="1">IF(SUMIF('Lançamento de Cabos'!B:B,Tabela4[[#This Row],[Cabo]],'Lançamento de Cabos'!C:C)=0,"",SUMIF('Lançamento de Cabos'!B:B,Tabela4[[#This Row],[Cabo]],'Lançamento de Cabos'!C:C))</f>
        <v/>
      </c>
      <c r="O414" s="28" t="str">
        <f ca="1">IFERROR(IF(Tabela4[[#This Row],[Compr. Lançado]]/Tabela4[[#This Row],[Compr. Prev.]]&gt;1,1,Tabela4[[#This Row],[Compr. Lançado]]/Tabela4[[#This Row],[Compr. Prev.]]),"")</f>
        <v/>
      </c>
      <c r="P414" s="24" t="str">
        <f ca="1">IFERROR(VLOOKUP(Tabela4[[#This Row],[Cabo]],BD!A:V,11,0),"")</f>
        <v/>
      </c>
      <c r="Q414" s="24" t="str">
        <f ca="1">IFERROR(VLOOKUP(Tabela4[[#This Row],[Cabo]],BD!A:V,12,0),"")</f>
        <v/>
      </c>
      <c r="R41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4" s="23" t="str">
        <f ca="1">IF(Tabela4[[#This Row],[Cabo]]&lt;&gt;"",4-COUNTIF(Tabela4[[#This Row],[Teste de Continuidade]:[Hipot]],"---"),"")</f>
        <v/>
      </c>
      <c r="W414" s="29" t="str">
        <f ca="1">IF(Tabela4[[#This Row],[Cabo]]&lt;&gt;"",(COUNTIF(Tabela4[[#This Row],[Teste de Continuidade]:[Hipot]],"OK"))/(4-COUNTIF(Tabela4[[#This Row],[Teste de Continuidade]:[Hipot]],"---")),"")</f>
        <v/>
      </c>
      <c r="X414" s="23" t="str">
        <f ca="1">IF(Tabela4[[#This Row],[Cabo]]&lt;&gt;"",SUMIFS('Lançamento de Cabos'!$AF:$AF,'Lançamento de Cabos'!AE:AE,Tabela4[[#This Row],[Cabo]],'Lançamento de Cabos'!AJ:AJ,Área!$B$1),"")</f>
        <v/>
      </c>
      <c r="Y414" s="23" t="str">
        <f ca="1">IF(Tabela4[[#This Row],[Cabo]]&lt;&gt;"",SUMIFS('Lançamento de Cabos'!$AG:$AG,'Lançamento de Cabos'!AE:AE,Tabela4[[#This Row],[Cabo]],'Lançamento de Cabos'!AJ:AJ,Área!$B$1),"")</f>
        <v/>
      </c>
      <c r="Z414" s="23" t="e">
        <f ca="1">VLOOKUP(Tabela4[[#This Row],[Cabo]],BD!A:AB,28,0)</f>
        <v>#N/A</v>
      </c>
    </row>
    <row r="415" spans="3:26" x14ac:dyDescent="0.25">
      <c r="C415" s="391" t="str">
        <f ca="1">IF($B$1="Geral",Tabela1[[#This Row],[Tag do Cabo]],IFERROR(INDEX(INDIRECT("BD!$A"&amp;D415&amp;":$A100000"),E415,1),""))</f>
        <v/>
      </c>
      <c r="D415" s="391" t="str">
        <f t="shared" ca="1" si="16"/>
        <v/>
      </c>
      <c r="E415" s="391" t="str">
        <f t="shared" ca="1" si="17"/>
        <v/>
      </c>
      <c r="F415" s="23" t="str">
        <f ca="1">IFERROR(VLOOKUP(Tabela4[[#This Row],[Cabo]],BD!A:V,2,0),"")</f>
        <v/>
      </c>
      <c r="G415" s="391" t="str">
        <f ca="1">IFERROR(VLOOKUP(Tabela4[[#This Row],[Cabo]],BD!A:V,5,0),"")</f>
        <v/>
      </c>
      <c r="H415" s="23" t="str">
        <f ca="1">IFERROR(VLOOKUP(Tabela4[[#This Row],[Cabo]],BD!A:V,3,0),"")</f>
        <v/>
      </c>
      <c r="I415" s="23" t="str">
        <f ca="1">IFERROR(VLOOKUP(Tabela4[[#This Row],[Cabo]],BD!A:V,4,0),"")</f>
        <v/>
      </c>
      <c r="J415" s="23" t="str">
        <f ca="1">IFERROR(VLOOKUP(Tabela4[[#This Row],[Cabo]],BD!A:V,7,0),"")</f>
        <v/>
      </c>
      <c r="K41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5" s="23" t="str">
        <f ca="1">IFERROR(VLOOKUP(Tabela4[[#This Row],[Cabo]],BD!A:V,9,0),"")</f>
        <v/>
      </c>
      <c r="M415" s="23" t="str">
        <f ca="1">IFERROR(VLOOKUP(Tabela4[[#This Row],[Cabo]],BD!A:AD,30,0),"")</f>
        <v/>
      </c>
      <c r="N415" s="23" t="str">
        <f ca="1">IF(SUMIF('Lançamento de Cabos'!B:B,Tabela4[[#This Row],[Cabo]],'Lançamento de Cabos'!C:C)=0,"",SUMIF('Lançamento de Cabos'!B:B,Tabela4[[#This Row],[Cabo]],'Lançamento de Cabos'!C:C))</f>
        <v/>
      </c>
      <c r="O415" s="28" t="str">
        <f ca="1">IFERROR(IF(Tabela4[[#This Row],[Compr. Lançado]]/Tabela4[[#This Row],[Compr. Prev.]]&gt;1,1,Tabela4[[#This Row],[Compr. Lançado]]/Tabela4[[#This Row],[Compr. Prev.]]),"")</f>
        <v/>
      </c>
      <c r="P415" s="24" t="str">
        <f ca="1">IFERROR(VLOOKUP(Tabela4[[#This Row],[Cabo]],BD!A:V,11,0),"")</f>
        <v/>
      </c>
      <c r="Q415" s="24" t="str">
        <f ca="1">IFERROR(VLOOKUP(Tabela4[[#This Row],[Cabo]],BD!A:V,12,0),"")</f>
        <v/>
      </c>
      <c r="R41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5" s="23" t="str">
        <f ca="1">IF(Tabela4[[#This Row],[Cabo]]&lt;&gt;"",4-COUNTIF(Tabela4[[#This Row],[Teste de Continuidade]:[Hipot]],"---"),"")</f>
        <v/>
      </c>
      <c r="W415" s="29" t="str">
        <f ca="1">IF(Tabela4[[#This Row],[Cabo]]&lt;&gt;"",(COUNTIF(Tabela4[[#This Row],[Teste de Continuidade]:[Hipot]],"OK"))/(4-COUNTIF(Tabela4[[#This Row],[Teste de Continuidade]:[Hipot]],"---")),"")</f>
        <v/>
      </c>
      <c r="X415" s="23" t="str">
        <f ca="1">IF(Tabela4[[#This Row],[Cabo]]&lt;&gt;"",SUMIFS('Lançamento de Cabos'!$AF:$AF,'Lançamento de Cabos'!AE:AE,Tabela4[[#This Row],[Cabo]],'Lançamento de Cabos'!AJ:AJ,Área!$B$1),"")</f>
        <v/>
      </c>
      <c r="Y415" s="23" t="str">
        <f ca="1">IF(Tabela4[[#This Row],[Cabo]]&lt;&gt;"",SUMIFS('Lançamento de Cabos'!$AG:$AG,'Lançamento de Cabos'!AE:AE,Tabela4[[#This Row],[Cabo]],'Lançamento de Cabos'!AJ:AJ,Área!$B$1),"")</f>
        <v/>
      </c>
      <c r="Z415" s="23" t="e">
        <f ca="1">VLOOKUP(Tabela4[[#This Row],[Cabo]],BD!A:AB,28,0)</f>
        <v>#N/A</v>
      </c>
    </row>
    <row r="416" spans="3:26" x14ac:dyDescent="0.25">
      <c r="C416" s="391" t="str">
        <f ca="1">IF($B$1="Geral",Tabela1[[#This Row],[Tag do Cabo]],IFERROR(INDEX(INDIRECT("BD!$A"&amp;D416&amp;":$A100000"),E416,1),""))</f>
        <v/>
      </c>
      <c r="D416" s="391" t="str">
        <f t="shared" ca="1" si="16"/>
        <v/>
      </c>
      <c r="E416" s="391" t="str">
        <f t="shared" ca="1" si="17"/>
        <v/>
      </c>
      <c r="F416" s="23" t="str">
        <f ca="1">IFERROR(VLOOKUP(Tabela4[[#This Row],[Cabo]],BD!A:V,2,0),"")</f>
        <v/>
      </c>
      <c r="G416" s="391" t="str">
        <f ca="1">IFERROR(VLOOKUP(Tabela4[[#This Row],[Cabo]],BD!A:V,5,0),"")</f>
        <v/>
      </c>
      <c r="H416" s="23" t="str">
        <f ca="1">IFERROR(VLOOKUP(Tabela4[[#This Row],[Cabo]],BD!A:V,3,0),"")</f>
        <v/>
      </c>
      <c r="I416" s="23" t="str">
        <f ca="1">IFERROR(VLOOKUP(Tabela4[[#This Row],[Cabo]],BD!A:V,4,0),"")</f>
        <v/>
      </c>
      <c r="J416" s="23" t="str">
        <f ca="1">IFERROR(VLOOKUP(Tabela4[[#This Row],[Cabo]],BD!A:V,7,0),"")</f>
        <v/>
      </c>
      <c r="K41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6" s="23" t="str">
        <f ca="1">IFERROR(VLOOKUP(Tabela4[[#This Row],[Cabo]],BD!A:V,9,0),"")</f>
        <v/>
      </c>
      <c r="M416" s="23" t="str">
        <f ca="1">IFERROR(VLOOKUP(Tabela4[[#This Row],[Cabo]],BD!A:AD,30,0),"")</f>
        <v/>
      </c>
      <c r="N416" s="23" t="str">
        <f ca="1">IF(SUMIF('Lançamento de Cabos'!B:B,Tabela4[[#This Row],[Cabo]],'Lançamento de Cabos'!C:C)=0,"",SUMIF('Lançamento de Cabos'!B:B,Tabela4[[#This Row],[Cabo]],'Lançamento de Cabos'!C:C))</f>
        <v/>
      </c>
      <c r="O416" s="28" t="str">
        <f ca="1">IFERROR(IF(Tabela4[[#This Row],[Compr. Lançado]]/Tabela4[[#This Row],[Compr. Prev.]]&gt;1,1,Tabela4[[#This Row],[Compr. Lançado]]/Tabela4[[#This Row],[Compr. Prev.]]),"")</f>
        <v/>
      </c>
      <c r="P416" s="24" t="str">
        <f ca="1">IFERROR(VLOOKUP(Tabela4[[#This Row],[Cabo]],BD!A:V,11,0),"")</f>
        <v/>
      </c>
      <c r="Q416" s="24" t="str">
        <f ca="1">IFERROR(VLOOKUP(Tabela4[[#This Row],[Cabo]],BD!A:V,12,0),"")</f>
        <v/>
      </c>
      <c r="R41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6" s="23" t="str">
        <f ca="1">IF(Tabela4[[#This Row],[Cabo]]&lt;&gt;"",4-COUNTIF(Tabela4[[#This Row],[Teste de Continuidade]:[Hipot]],"---"),"")</f>
        <v/>
      </c>
      <c r="W416" s="29" t="str">
        <f ca="1">IF(Tabela4[[#This Row],[Cabo]]&lt;&gt;"",(COUNTIF(Tabela4[[#This Row],[Teste de Continuidade]:[Hipot]],"OK"))/(4-COUNTIF(Tabela4[[#This Row],[Teste de Continuidade]:[Hipot]],"---")),"")</f>
        <v/>
      </c>
      <c r="X416" s="23" t="str">
        <f ca="1">IF(Tabela4[[#This Row],[Cabo]]&lt;&gt;"",SUMIFS('Lançamento de Cabos'!$AF:$AF,'Lançamento de Cabos'!AE:AE,Tabela4[[#This Row],[Cabo]],'Lançamento de Cabos'!AJ:AJ,Área!$B$1),"")</f>
        <v/>
      </c>
      <c r="Y416" s="23" t="str">
        <f ca="1">IF(Tabela4[[#This Row],[Cabo]]&lt;&gt;"",SUMIFS('Lançamento de Cabos'!$AG:$AG,'Lançamento de Cabos'!AE:AE,Tabela4[[#This Row],[Cabo]],'Lançamento de Cabos'!AJ:AJ,Área!$B$1),"")</f>
        <v/>
      </c>
      <c r="Z416" s="23" t="e">
        <f ca="1">VLOOKUP(Tabela4[[#This Row],[Cabo]],BD!A:AB,28,0)</f>
        <v>#N/A</v>
      </c>
    </row>
    <row r="417" spans="3:26" x14ac:dyDescent="0.25">
      <c r="C417" s="391" t="str">
        <f ca="1">IF($B$1="Geral",Tabela1[[#This Row],[Tag do Cabo]],IFERROR(INDEX(INDIRECT("BD!$A"&amp;D417&amp;":$A100000"),E417,1),""))</f>
        <v/>
      </c>
      <c r="D417" s="391" t="str">
        <f t="shared" ca="1" si="16"/>
        <v/>
      </c>
      <c r="E417" s="391" t="str">
        <f t="shared" ca="1" si="17"/>
        <v/>
      </c>
      <c r="F417" s="23" t="str">
        <f ca="1">IFERROR(VLOOKUP(Tabela4[[#This Row],[Cabo]],BD!A:V,2,0),"")</f>
        <v/>
      </c>
      <c r="G417" s="391" t="str">
        <f ca="1">IFERROR(VLOOKUP(Tabela4[[#This Row],[Cabo]],BD!A:V,5,0),"")</f>
        <v/>
      </c>
      <c r="H417" s="23" t="str">
        <f ca="1">IFERROR(VLOOKUP(Tabela4[[#This Row],[Cabo]],BD!A:V,3,0),"")</f>
        <v/>
      </c>
      <c r="I417" s="23" t="str">
        <f ca="1">IFERROR(VLOOKUP(Tabela4[[#This Row],[Cabo]],BD!A:V,4,0),"")</f>
        <v/>
      </c>
      <c r="J417" s="23" t="str">
        <f ca="1">IFERROR(VLOOKUP(Tabela4[[#This Row],[Cabo]],BD!A:V,7,0),"")</f>
        <v/>
      </c>
      <c r="K41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7" s="23" t="str">
        <f ca="1">IFERROR(VLOOKUP(Tabela4[[#This Row],[Cabo]],BD!A:V,9,0),"")</f>
        <v/>
      </c>
      <c r="M417" s="23" t="str">
        <f ca="1">IFERROR(VLOOKUP(Tabela4[[#This Row],[Cabo]],BD!A:AD,30,0),"")</f>
        <v/>
      </c>
      <c r="N417" s="23" t="str">
        <f ca="1">IF(SUMIF('Lançamento de Cabos'!B:B,Tabela4[[#This Row],[Cabo]],'Lançamento de Cabos'!C:C)=0,"",SUMIF('Lançamento de Cabos'!B:B,Tabela4[[#This Row],[Cabo]],'Lançamento de Cabos'!C:C))</f>
        <v/>
      </c>
      <c r="O417" s="28" t="str">
        <f ca="1">IFERROR(IF(Tabela4[[#This Row],[Compr. Lançado]]/Tabela4[[#This Row],[Compr. Prev.]]&gt;1,1,Tabela4[[#This Row],[Compr. Lançado]]/Tabela4[[#This Row],[Compr. Prev.]]),"")</f>
        <v/>
      </c>
      <c r="P417" s="24" t="str">
        <f ca="1">IFERROR(VLOOKUP(Tabela4[[#This Row],[Cabo]],BD!A:V,11,0),"")</f>
        <v/>
      </c>
      <c r="Q417" s="24" t="str">
        <f ca="1">IFERROR(VLOOKUP(Tabela4[[#This Row],[Cabo]],BD!A:V,12,0),"")</f>
        <v/>
      </c>
      <c r="R41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7" s="23" t="str">
        <f ca="1">IF(Tabela4[[#This Row],[Cabo]]&lt;&gt;"",4-COUNTIF(Tabela4[[#This Row],[Teste de Continuidade]:[Hipot]],"---"),"")</f>
        <v/>
      </c>
      <c r="W417" s="29" t="str">
        <f ca="1">IF(Tabela4[[#This Row],[Cabo]]&lt;&gt;"",(COUNTIF(Tabela4[[#This Row],[Teste de Continuidade]:[Hipot]],"OK"))/(4-COUNTIF(Tabela4[[#This Row],[Teste de Continuidade]:[Hipot]],"---")),"")</f>
        <v/>
      </c>
      <c r="X417" s="23" t="str">
        <f ca="1">IF(Tabela4[[#This Row],[Cabo]]&lt;&gt;"",SUMIFS('Lançamento de Cabos'!$AF:$AF,'Lançamento de Cabos'!AE:AE,Tabela4[[#This Row],[Cabo]],'Lançamento de Cabos'!AJ:AJ,Área!$B$1),"")</f>
        <v/>
      </c>
      <c r="Y417" s="23" t="str">
        <f ca="1">IF(Tabela4[[#This Row],[Cabo]]&lt;&gt;"",SUMIFS('Lançamento de Cabos'!$AG:$AG,'Lançamento de Cabos'!AE:AE,Tabela4[[#This Row],[Cabo]],'Lançamento de Cabos'!AJ:AJ,Área!$B$1),"")</f>
        <v/>
      </c>
      <c r="Z417" s="23" t="e">
        <f ca="1">VLOOKUP(Tabela4[[#This Row],[Cabo]],BD!A:AB,28,0)</f>
        <v>#N/A</v>
      </c>
    </row>
    <row r="418" spans="3:26" x14ac:dyDescent="0.25">
      <c r="C418" s="391" t="str">
        <f ca="1">IF($B$1="Geral",Tabela1[[#This Row],[Tag do Cabo]],IFERROR(INDEX(INDIRECT("BD!$A"&amp;D418&amp;":$A100000"),E418,1),""))</f>
        <v/>
      </c>
      <c r="D418" s="391" t="str">
        <f t="shared" ca="1" si="16"/>
        <v/>
      </c>
      <c r="E418" s="391" t="str">
        <f t="shared" ca="1" si="17"/>
        <v/>
      </c>
      <c r="F418" s="23" t="str">
        <f ca="1">IFERROR(VLOOKUP(Tabela4[[#This Row],[Cabo]],BD!A:V,2,0),"")</f>
        <v/>
      </c>
      <c r="G418" s="391" t="str">
        <f ca="1">IFERROR(VLOOKUP(Tabela4[[#This Row],[Cabo]],BD!A:V,5,0),"")</f>
        <v/>
      </c>
      <c r="H418" s="23" t="str">
        <f ca="1">IFERROR(VLOOKUP(Tabela4[[#This Row],[Cabo]],BD!A:V,3,0),"")</f>
        <v/>
      </c>
      <c r="I418" s="23" t="str">
        <f ca="1">IFERROR(VLOOKUP(Tabela4[[#This Row],[Cabo]],BD!A:V,4,0),"")</f>
        <v/>
      </c>
      <c r="J418" s="23" t="str">
        <f ca="1">IFERROR(VLOOKUP(Tabela4[[#This Row],[Cabo]],BD!A:V,7,0),"")</f>
        <v/>
      </c>
      <c r="K41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8" s="23" t="str">
        <f ca="1">IFERROR(VLOOKUP(Tabela4[[#This Row],[Cabo]],BD!A:V,9,0),"")</f>
        <v/>
      </c>
      <c r="M418" s="23" t="str">
        <f ca="1">IFERROR(VLOOKUP(Tabela4[[#This Row],[Cabo]],BD!A:AD,30,0),"")</f>
        <v/>
      </c>
      <c r="N418" s="23" t="str">
        <f ca="1">IF(SUMIF('Lançamento de Cabos'!B:B,Tabela4[[#This Row],[Cabo]],'Lançamento de Cabos'!C:C)=0,"",SUMIF('Lançamento de Cabos'!B:B,Tabela4[[#This Row],[Cabo]],'Lançamento de Cabos'!C:C))</f>
        <v/>
      </c>
      <c r="O418" s="28" t="str">
        <f ca="1">IFERROR(IF(Tabela4[[#This Row],[Compr. Lançado]]/Tabela4[[#This Row],[Compr. Prev.]]&gt;1,1,Tabela4[[#This Row],[Compr. Lançado]]/Tabela4[[#This Row],[Compr. Prev.]]),"")</f>
        <v/>
      </c>
      <c r="P418" s="24" t="str">
        <f ca="1">IFERROR(VLOOKUP(Tabela4[[#This Row],[Cabo]],BD!A:V,11,0),"")</f>
        <v/>
      </c>
      <c r="Q418" s="24" t="str">
        <f ca="1">IFERROR(VLOOKUP(Tabela4[[#This Row],[Cabo]],BD!A:V,12,0),"")</f>
        <v/>
      </c>
      <c r="R41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8" s="23" t="str">
        <f ca="1">IF(Tabela4[[#This Row],[Cabo]]&lt;&gt;"",4-COUNTIF(Tabela4[[#This Row],[Teste de Continuidade]:[Hipot]],"---"),"")</f>
        <v/>
      </c>
      <c r="W418" s="29" t="str">
        <f ca="1">IF(Tabela4[[#This Row],[Cabo]]&lt;&gt;"",(COUNTIF(Tabela4[[#This Row],[Teste de Continuidade]:[Hipot]],"OK"))/(4-COUNTIF(Tabela4[[#This Row],[Teste de Continuidade]:[Hipot]],"---")),"")</f>
        <v/>
      </c>
      <c r="X418" s="23" t="str">
        <f ca="1">IF(Tabela4[[#This Row],[Cabo]]&lt;&gt;"",SUMIFS('Lançamento de Cabos'!$AF:$AF,'Lançamento de Cabos'!AE:AE,Tabela4[[#This Row],[Cabo]],'Lançamento de Cabos'!AJ:AJ,Área!$B$1),"")</f>
        <v/>
      </c>
      <c r="Y418" s="23" t="str">
        <f ca="1">IF(Tabela4[[#This Row],[Cabo]]&lt;&gt;"",SUMIFS('Lançamento de Cabos'!$AG:$AG,'Lançamento de Cabos'!AE:AE,Tabela4[[#This Row],[Cabo]],'Lançamento de Cabos'!AJ:AJ,Área!$B$1),"")</f>
        <v/>
      </c>
      <c r="Z418" s="23" t="e">
        <f ca="1">VLOOKUP(Tabela4[[#This Row],[Cabo]],BD!A:AB,28,0)</f>
        <v>#N/A</v>
      </c>
    </row>
    <row r="419" spans="3:26" x14ac:dyDescent="0.25">
      <c r="C419" s="391" t="str">
        <f ca="1">IF($B$1="Geral",Tabela1[[#This Row],[Tag do Cabo]],IFERROR(INDEX(INDIRECT("BD!$A"&amp;D419&amp;":$A100000"),E419,1),""))</f>
        <v/>
      </c>
      <c r="D419" s="391" t="str">
        <f t="shared" ca="1" si="16"/>
        <v/>
      </c>
      <c r="E419" s="391" t="str">
        <f t="shared" ca="1" si="17"/>
        <v/>
      </c>
      <c r="F419" s="23" t="str">
        <f ca="1">IFERROR(VLOOKUP(Tabela4[[#This Row],[Cabo]],BD!A:V,2,0),"")</f>
        <v/>
      </c>
      <c r="G419" s="391" t="str">
        <f ca="1">IFERROR(VLOOKUP(Tabela4[[#This Row],[Cabo]],BD!A:V,5,0),"")</f>
        <v/>
      </c>
      <c r="H419" s="23" t="str">
        <f ca="1">IFERROR(VLOOKUP(Tabela4[[#This Row],[Cabo]],BD!A:V,3,0),"")</f>
        <v/>
      </c>
      <c r="I419" s="23" t="str">
        <f ca="1">IFERROR(VLOOKUP(Tabela4[[#This Row],[Cabo]],BD!A:V,4,0),"")</f>
        <v/>
      </c>
      <c r="J419" s="23" t="str">
        <f ca="1">IFERROR(VLOOKUP(Tabela4[[#This Row],[Cabo]],BD!A:V,7,0),"")</f>
        <v/>
      </c>
      <c r="K41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19" s="23" t="str">
        <f ca="1">IFERROR(VLOOKUP(Tabela4[[#This Row],[Cabo]],BD!A:V,9,0),"")</f>
        <v/>
      </c>
      <c r="M419" s="23" t="str">
        <f ca="1">IFERROR(VLOOKUP(Tabela4[[#This Row],[Cabo]],BD!A:AD,30,0),"")</f>
        <v/>
      </c>
      <c r="N419" s="23" t="str">
        <f ca="1">IF(SUMIF('Lançamento de Cabos'!B:B,Tabela4[[#This Row],[Cabo]],'Lançamento de Cabos'!C:C)=0,"",SUMIF('Lançamento de Cabos'!B:B,Tabela4[[#This Row],[Cabo]],'Lançamento de Cabos'!C:C))</f>
        <v/>
      </c>
      <c r="O419" s="28" t="str">
        <f ca="1">IFERROR(IF(Tabela4[[#This Row],[Compr. Lançado]]/Tabela4[[#This Row],[Compr. Prev.]]&gt;1,1,Tabela4[[#This Row],[Compr. Lançado]]/Tabela4[[#This Row],[Compr. Prev.]]),"")</f>
        <v/>
      </c>
      <c r="P419" s="24" t="str">
        <f ca="1">IFERROR(VLOOKUP(Tabela4[[#This Row],[Cabo]],BD!A:V,11,0),"")</f>
        <v/>
      </c>
      <c r="Q419" s="24" t="str">
        <f ca="1">IFERROR(VLOOKUP(Tabela4[[#This Row],[Cabo]],BD!A:V,12,0),"")</f>
        <v/>
      </c>
      <c r="R41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1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1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1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19" s="23" t="str">
        <f ca="1">IF(Tabela4[[#This Row],[Cabo]]&lt;&gt;"",4-COUNTIF(Tabela4[[#This Row],[Teste de Continuidade]:[Hipot]],"---"),"")</f>
        <v/>
      </c>
      <c r="W419" s="29" t="str">
        <f ca="1">IF(Tabela4[[#This Row],[Cabo]]&lt;&gt;"",(COUNTIF(Tabela4[[#This Row],[Teste de Continuidade]:[Hipot]],"OK"))/(4-COUNTIF(Tabela4[[#This Row],[Teste de Continuidade]:[Hipot]],"---")),"")</f>
        <v/>
      </c>
      <c r="X419" s="23" t="str">
        <f ca="1">IF(Tabela4[[#This Row],[Cabo]]&lt;&gt;"",SUMIFS('Lançamento de Cabos'!$AF:$AF,'Lançamento de Cabos'!AE:AE,Tabela4[[#This Row],[Cabo]],'Lançamento de Cabos'!AJ:AJ,Área!$B$1),"")</f>
        <v/>
      </c>
      <c r="Y419" s="23" t="str">
        <f ca="1">IF(Tabela4[[#This Row],[Cabo]]&lt;&gt;"",SUMIFS('Lançamento de Cabos'!$AG:$AG,'Lançamento de Cabos'!AE:AE,Tabela4[[#This Row],[Cabo]],'Lançamento de Cabos'!AJ:AJ,Área!$B$1),"")</f>
        <v/>
      </c>
      <c r="Z419" s="23" t="e">
        <f ca="1">VLOOKUP(Tabela4[[#This Row],[Cabo]],BD!A:AB,28,0)</f>
        <v>#N/A</v>
      </c>
    </row>
    <row r="420" spans="3:26" x14ac:dyDescent="0.25">
      <c r="C420" s="391" t="str">
        <f ca="1">IF($B$1="Geral",Tabela1[[#This Row],[Tag do Cabo]],IFERROR(INDEX(INDIRECT("BD!$A"&amp;D420&amp;":$A100000"),E420,1),""))</f>
        <v/>
      </c>
      <c r="D420" s="391" t="str">
        <f t="shared" ca="1" si="16"/>
        <v/>
      </c>
      <c r="E420" s="391" t="str">
        <f t="shared" ca="1" si="17"/>
        <v/>
      </c>
      <c r="F420" s="23" t="str">
        <f ca="1">IFERROR(VLOOKUP(Tabela4[[#This Row],[Cabo]],BD!A:V,2,0),"")</f>
        <v/>
      </c>
      <c r="G420" s="391" t="str">
        <f ca="1">IFERROR(VLOOKUP(Tabela4[[#This Row],[Cabo]],BD!A:V,5,0),"")</f>
        <v/>
      </c>
      <c r="H420" s="23" t="str">
        <f ca="1">IFERROR(VLOOKUP(Tabela4[[#This Row],[Cabo]],BD!A:V,3,0),"")</f>
        <v/>
      </c>
      <c r="I420" s="23" t="str">
        <f ca="1">IFERROR(VLOOKUP(Tabela4[[#This Row],[Cabo]],BD!A:V,4,0),"")</f>
        <v/>
      </c>
      <c r="J420" s="23" t="str">
        <f ca="1">IFERROR(VLOOKUP(Tabela4[[#This Row],[Cabo]],BD!A:V,7,0),"")</f>
        <v/>
      </c>
      <c r="K42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0" s="23" t="str">
        <f ca="1">IFERROR(VLOOKUP(Tabela4[[#This Row],[Cabo]],BD!A:V,9,0),"")</f>
        <v/>
      </c>
      <c r="M420" s="23" t="str">
        <f ca="1">IFERROR(VLOOKUP(Tabela4[[#This Row],[Cabo]],BD!A:AD,30,0),"")</f>
        <v/>
      </c>
      <c r="N420" s="23" t="str">
        <f ca="1">IF(SUMIF('Lançamento de Cabos'!B:B,Tabela4[[#This Row],[Cabo]],'Lançamento de Cabos'!C:C)=0,"",SUMIF('Lançamento de Cabos'!B:B,Tabela4[[#This Row],[Cabo]],'Lançamento de Cabos'!C:C))</f>
        <v/>
      </c>
      <c r="O420" s="28" t="str">
        <f ca="1">IFERROR(IF(Tabela4[[#This Row],[Compr. Lançado]]/Tabela4[[#This Row],[Compr. Prev.]]&gt;1,1,Tabela4[[#This Row],[Compr. Lançado]]/Tabela4[[#This Row],[Compr. Prev.]]),"")</f>
        <v/>
      </c>
      <c r="P420" s="24" t="str">
        <f ca="1">IFERROR(VLOOKUP(Tabela4[[#This Row],[Cabo]],BD!A:V,11,0),"")</f>
        <v/>
      </c>
      <c r="Q420" s="24" t="str">
        <f ca="1">IFERROR(VLOOKUP(Tabela4[[#This Row],[Cabo]],BD!A:V,12,0),"")</f>
        <v/>
      </c>
      <c r="R42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0" s="23" t="str">
        <f ca="1">IF(Tabela4[[#This Row],[Cabo]]&lt;&gt;"",4-COUNTIF(Tabela4[[#This Row],[Teste de Continuidade]:[Hipot]],"---"),"")</f>
        <v/>
      </c>
      <c r="W420" s="29" t="str">
        <f ca="1">IF(Tabela4[[#This Row],[Cabo]]&lt;&gt;"",(COUNTIF(Tabela4[[#This Row],[Teste de Continuidade]:[Hipot]],"OK"))/(4-COUNTIF(Tabela4[[#This Row],[Teste de Continuidade]:[Hipot]],"---")),"")</f>
        <v/>
      </c>
      <c r="X420" s="23" t="str">
        <f ca="1">IF(Tabela4[[#This Row],[Cabo]]&lt;&gt;"",SUMIFS('Lançamento de Cabos'!$AF:$AF,'Lançamento de Cabos'!AE:AE,Tabela4[[#This Row],[Cabo]],'Lançamento de Cabos'!AJ:AJ,Área!$B$1),"")</f>
        <v/>
      </c>
      <c r="Y420" s="23" t="str">
        <f ca="1">IF(Tabela4[[#This Row],[Cabo]]&lt;&gt;"",SUMIFS('Lançamento de Cabos'!$AG:$AG,'Lançamento de Cabos'!AE:AE,Tabela4[[#This Row],[Cabo]],'Lançamento de Cabos'!AJ:AJ,Área!$B$1),"")</f>
        <v/>
      </c>
      <c r="Z420" s="23" t="e">
        <f ca="1">VLOOKUP(Tabela4[[#This Row],[Cabo]],BD!A:AB,28,0)</f>
        <v>#N/A</v>
      </c>
    </row>
    <row r="421" spans="3:26" x14ac:dyDescent="0.25">
      <c r="C421" s="391" t="str">
        <f ca="1">IF($B$1="Geral",Tabela1[[#This Row],[Tag do Cabo]],IFERROR(INDEX(INDIRECT("BD!$A"&amp;D421&amp;":$A100000"),E421,1),""))</f>
        <v/>
      </c>
      <c r="D421" s="391" t="str">
        <f t="shared" ca="1" si="16"/>
        <v/>
      </c>
      <c r="E421" s="391" t="str">
        <f t="shared" ca="1" si="17"/>
        <v/>
      </c>
      <c r="F421" s="23" t="str">
        <f ca="1">IFERROR(VLOOKUP(Tabela4[[#This Row],[Cabo]],BD!A:V,2,0),"")</f>
        <v/>
      </c>
      <c r="G421" s="391" t="str">
        <f ca="1">IFERROR(VLOOKUP(Tabela4[[#This Row],[Cabo]],BD!A:V,5,0),"")</f>
        <v/>
      </c>
      <c r="H421" s="23" t="str">
        <f ca="1">IFERROR(VLOOKUP(Tabela4[[#This Row],[Cabo]],BD!A:V,3,0),"")</f>
        <v/>
      </c>
      <c r="I421" s="23" t="str">
        <f ca="1">IFERROR(VLOOKUP(Tabela4[[#This Row],[Cabo]],BD!A:V,4,0),"")</f>
        <v/>
      </c>
      <c r="J421" s="23" t="str">
        <f ca="1">IFERROR(VLOOKUP(Tabela4[[#This Row],[Cabo]],BD!A:V,7,0),"")</f>
        <v/>
      </c>
      <c r="K42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1" s="23" t="str">
        <f ca="1">IFERROR(VLOOKUP(Tabela4[[#This Row],[Cabo]],BD!A:V,9,0),"")</f>
        <v/>
      </c>
      <c r="M421" s="23" t="str">
        <f ca="1">IFERROR(VLOOKUP(Tabela4[[#This Row],[Cabo]],BD!A:AD,30,0),"")</f>
        <v/>
      </c>
      <c r="N421" s="23" t="str">
        <f ca="1">IF(SUMIF('Lançamento de Cabos'!B:B,Tabela4[[#This Row],[Cabo]],'Lançamento de Cabos'!C:C)=0,"",SUMIF('Lançamento de Cabos'!B:B,Tabela4[[#This Row],[Cabo]],'Lançamento de Cabos'!C:C))</f>
        <v/>
      </c>
      <c r="O421" s="28" t="str">
        <f ca="1">IFERROR(IF(Tabela4[[#This Row],[Compr. Lançado]]/Tabela4[[#This Row],[Compr. Prev.]]&gt;1,1,Tabela4[[#This Row],[Compr. Lançado]]/Tabela4[[#This Row],[Compr. Prev.]]),"")</f>
        <v/>
      </c>
      <c r="P421" s="24" t="str">
        <f ca="1">IFERROR(VLOOKUP(Tabela4[[#This Row],[Cabo]],BD!A:V,11,0),"")</f>
        <v/>
      </c>
      <c r="Q421" s="24" t="str">
        <f ca="1">IFERROR(VLOOKUP(Tabela4[[#This Row],[Cabo]],BD!A:V,12,0),"")</f>
        <v/>
      </c>
      <c r="R42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1" s="23" t="str">
        <f ca="1">IF(Tabela4[[#This Row],[Cabo]]&lt;&gt;"",4-COUNTIF(Tabela4[[#This Row],[Teste de Continuidade]:[Hipot]],"---"),"")</f>
        <v/>
      </c>
      <c r="W421" s="29" t="str">
        <f ca="1">IF(Tabela4[[#This Row],[Cabo]]&lt;&gt;"",(COUNTIF(Tabela4[[#This Row],[Teste de Continuidade]:[Hipot]],"OK"))/(4-COUNTIF(Tabela4[[#This Row],[Teste de Continuidade]:[Hipot]],"---")),"")</f>
        <v/>
      </c>
      <c r="X421" s="23" t="str">
        <f ca="1">IF(Tabela4[[#This Row],[Cabo]]&lt;&gt;"",SUMIFS('Lançamento de Cabos'!$AF:$AF,'Lançamento de Cabos'!AE:AE,Tabela4[[#This Row],[Cabo]],'Lançamento de Cabos'!AJ:AJ,Área!$B$1),"")</f>
        <v/>
      </c>
      <c r="Y421" s="23" t="str">
        <f ca="1">IF(Tabela4[[#This Row],[Cabo]]&lt;&gt;"",SUMIFS('Lançamento de Cabos'!$AG:$AG,'Lançamento de Cabos'!AE:AE,Tabela4[[#This Row],[Cabo]],'Lançamento de Cabos'!AJ:AJ,Área!$B$1),"")</f>
        <v/>
      </c>
      <c r="Z421" s="23" t="e">
        <f ca="1">VLOOKUP(Tabela4[[#This Row],[Cabo]],BD!A:AB,28,0)</f>
        <v>#N/A</v>
      </c>
    </row>
    <row r="422" spans="3:26" x14ac:dyDescent="0.25">
      <c r="C422" s="391" t="str">
        <f ca="1">IF($B$1="Geral",Tabela1[[#This Row],[Tag do Cabo]],IFERROR(INDEX(INDIRECT("BD!$A"&amp;D422&amp;":$A100000"),E422,1),""))</f>
        <v/>
      </c>
      <c r="D422" s="391" t="str">
        <f t="shared" ca="1" si="16"/>
        <v/>
      </c>
      <c r="E422" s="391" t="str">
        <f t="shared" ca="1" si="17"/>
        <v/>
      </c>
      <c r="F422" s="23" t="str">
        <f ca="1">IFERROR(VLOOKUP(Tabela4[[#This Row],[Cabo]],BD!A:V,2,0),"")</f>
        <v/>
      </c>
      <c r="G422" s="391" t="str">
        <f ca="1">IFERROR(VLOOKUP(Tabela4[[#This Row],[Cabo]],BD!A:V,5,0),"")</f>
        <v/>
      </c>
      <c r="H422" s="23" t="str">
        <f ca="1">IFERROR(VLOOKUP(Tabela4[[#This Row],[Cabo]],BD!A:V,3,0),"")</f>
        <v/>
      </c>
      <c r="I422" s="23" t="str">
        <f ca="1">IFERROR(VLOOKUP(Tabela4[[#This Row],[Cabo]],BD!A:V,4,0),"")</f>
        <v/>
      </c>
      <c r="J422" s="23" t="str">
        <f ca="1">IFERROR(VLOOKUP(Tabela4[[#This Row],[Cabo]],BD!A:V,7,0),"")</f>
        <v/>
      </c>
      <c r="K42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2" s="23" t="str">
        <f ca="1">IFERROR(VLOOKUP(Tabela4[[#This Row],[Cabo]],BD!A:V,9,0),"")</f>
        <v/>
      </c>
      <c r="M422" s="23" t="str">
        <f ca="1">IFERROR(VLOOKUP(Tabela4[[#This Row],[Cabo]],BD!A:AD,30,0),"")</f>
        <v/>
      </c>
      <c r="N422" s="23" t="str">
        <f ca="1">IF(SUMIF('Lançamento de Cabos'!B:B,Tabela4[[#This Row],[Cabo]],'Lançamento de Cabos'!C:C)=0,"",SUMIF('Lançamento de Cabos'!B:B,Tabela4[[#This Row],[Cabo]],'Lançamento de Cabos'!C:C))</f>
        <v/>
      </c>
      <c r="O422" s="28" t="str">
        <f ca="1">IFERROR(IF(Tabela4[[#This Row],[Compr. Lançado]]/Tabela4[[#This Row],[Compr. Prev.]]&gt;1,1,Tabela4[[#This Row],[Compr. Lançado]]/Tabela4[[#This Row],[Compr. Prev.]]),"")</f>
        <v/>
      </c>
      <c r="P422" s="24" t="str">
        <f ca="1">IFERROR(VLOOKUP(Tabela4[[#This Row],[Cabo]],BD!A:V,11,0),"")</f>
        <v/>
      </c>
      <c r="Q422" s="24" t="str">
        <f ca="1">IFERROR(VLOOKUP(Tabela4[[#This Row],[Cabo]],BD!A:V,12,0),"")</f>
        <v/>
      </c>
      <c r="R42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2" s="23" t="str">
        <f ca="1">IF(Tabela4[[#This Row],[Cabo]]&lt;&gt;"",4-COUNTIF(Tabela4[[#This Row],[Teste de Continuidade]:[Hipot]],"---"),"")</f>
        <v/>
      </c>
      <c r="W422" s="29" t="str">
        <f ca="1">IF(Tabela4[[#This Row],[Cabo]]&lt;&gt;"",(COUNTIF(Tabela4[[#This Row],[Teste de Continuidade]:[Hipot]],"OK"))/(4-COUNTIF(Tabela4[[#This Row],[Teste de Continuidade]:[Hipot]],"---")),"")</f>
        <v/>
      </c>
      <c r="X422" s="23" t="str">
        <f ca="1">IF(Tabela4[[#This Row],[Cabo]]&lt;&gt;"",SUMIFS('Lançamento de Cabos'!$AF:$AF,'Lançamento de Cabos'!AE:AE,Tabela4[[#This Row],[Cabo]],'Lançamento de Cabos'!AJ:AJ,Área!$B$1),"")</f>
        <v/>
      </c>
      <c r="Y422" s="23" t="str">
        <f ca="1">IF(Tabela4[[#This Row],[Cabo]]&lt;&gt;"",SUMIFS('Lançamento de Cabos'!$AG:$AG,'Lançamento de Cabos'!AE:AE,Tabela4[[#This Row],[Cabo]],'Lançamento de Cabos'!AJ:AJ,Área!$B$1),"")</f>
        <v/>
      </c>
      <c r="Z422" s="23" t="e">
        <f ca="1">VLOOKUP(Tabela4[[#This Row],[Cabo]],BD!A:AB,28,0)</f>
        <v>#N/A</v>
      </c>
    </row>
    <row r="423" spans="3:26" x14ac:dyDescent="0.25">
      <c r="C423" s="391" t="str">
        <f ca="1">IF($B$1="Geral",Tabela1[[#This Row],[Tag do Cabo]],IFERROR(INDEX(INDIRECT("BD!$A"&amp;D423&amp;":$A100000"),E423,1),""))</f>
        <v/>
      </c>
      <c r="D423" s="391" t="str">
        <f t="shared" ca="1" si="16"/>
        <v/>
      </c>
      <c r="E423" s="391" t="str">
        <f t="shared" ca="1" si="17"/>
        <v/>
      </c>
      <c r="F423" s="23" t="str">
        <f ca="1">IFERROR(VLOOKUP(Tabela4[[#This Row],[Cabo]],BD!A:V,2,0),"")</f>
        <v/>
      </c>
      <c r="G423" s="391" t="str">
        <f ca="1">IFERROR(VLOOKUP(Tabela4[[#This Row],[Cabo]],BD!A:V,5,0),"")</f>
        <v/>
      </c>
      <c r="H423" s="23" t="str">
        <f ca="1">IFERROR(VLOOKUP(Tabela4[[#This Row],[Cabo]],BD!A:V,3,0),"")</f>
        <v/>
      </c>
      <c r="I423" s="23" t="str">
        <f ca="1">IFERROR(VLOOKUP(Tabela4[[#This Row],[Cabo]],BD!A:V,4,0),"")</f>
        <v/>
      </c>
      <c r="J423" s="23" t="str">
        <f ca="1">IFERROR(VLOOKUP(Tabela4[[#This Row],[Cabo]],BD!A:V,7,0),"")</f>
        <v/>
      </c>
      <c r="K42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3" s="23" t="str">
        <f ca="1">IFERROR(VLOOKUP(Tabela4[[#This Row],[Cabo]],BD!A:V,9,0),"")</f>
        <v/>
      </c>
      <c r="M423" s="23" t="str">
        <f ca="1">IFERROR(VLOOKUP(Tabela4[[#This Row],[Cabo]],BD!A:AD,30,0),"")</f>
        <v/>
      </c>
      <c r="N423" s="23" t="str">
        <f ca="1">IF(SUMIF('Lançamento de Cabos'!B:B,Tabela4[[#This Row],[Cabo]],'Lançamento de Cabos'!C:C)=0,"",SUMIF('Lançamento de Cabos'!B:B,Tabela4[[#This Row],[Cabo]],'Lançamento de Cabos'!C:C))</f>
        <v/>
      </c>
      <c r="O423" s="28" t="str">
        <f ca="1">IFERROR(IF(Tabela4[[#This Row],[Compr. Lançado]]/Tabela4[[#This Row],[Compr. Prev.]]&gt;1,1,Tabela4[[#This Row],[Compr. Lançado]]/Tabela4[[#This Row],[Compr. Prev.]]),"")</f>
        <v/>
      </c>
      <c r="P423" s="24" t="str">
        <f ca="1">IFERROR(VLOOKUP(Tabela4[[#This Row],[Cabo]],BD!A:V,11,0),"")</f>
        <v/>
      </c>
      <c r="Q423" s="24" t="str">
        <f ca="1">IFERROR(VLOOKUP(Tabela4[[#This Row],[Cabo]],BD!A:V,12,0),"")</f>
        <v/>
      </c>
      <c r="R42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3" s="23" t="str">
        <f ca="1">IF(Tabela4[[#This Row],[Cabo]]&lt;&gt;"",4-COUNTIF(Tabela4[[#This Row],[Teste de Continuidade]:[Hipot]],"---"),"")</f>
        <v/>
      </c>
      <c r="W423" s="29" t="str">
        <f ca="1">IF(Tabela4[[#This Row],[Cabo]]&lt;&gt;"",(COUNTIF(Tabela4[[#This Row],[Teste de Continuidade]:[Hipot]],"OK"))/(4-COUNTIF(Tabela4[[#This Row],[Teste de Continuidade]:[Hipot]],"---")),"")</f>
        <v/>
      </c>
      <c r="X423" s="23" t="str">
        <f ca="1">IF(Tabela4[[#This Row],[Cabo]]&lt;&gt;"",SUMIFS('Lançamento de Cabos'!$AF:$AF,'Lançamento de Cabos'!AE:AE,Tabela4[[#This Row],[Cabo]],'Lançamento de Cabos'!AJ:AJ,Área!$B$1),"")</f>
        <v/>
      </c>
      <c r="Y423" s="23" t="str">
        <f ca="1">IF(Tabela4[[#This Row],[Cabo]]&lt;&gt;"",SUMIFS('Lançamento de Cabos'!$AG:$AG,'Lançamento de Cabos'!AE:AE,Tabela4[[#This Row],[Cabo]],'Lançamento de Cabos'!AJ:AJ,Área!$B$1),"")</f>
        <v/>
      </c>
      <c r="Z423" s="23" t="e">
        <f ca="1">VLOOKUP(Tabela4[[#This Row],[Cabo]],BD!A:AB,28,0)</f>
        <v>#N/A</v>
      </c>
    </row>
    <row r="424" spans="3:26" x14ac:dyDescent="0.25">
      <c r="C424" s="391" t="str">
        <f ca="1">IF($B$1="Geral",Tabela1[[#This Row],[Tag do Cabo]],IFERROR(INDEX(INDIRECT("BD!$A"&amp;D424&amp;":$A100000"),E424,1),""))</f>
        <v/>
      </c>
      <c r="D424" s="391" t="str">
        <f t="shared" ca="1" si="16"/>
        <v/>
      </c>
      <c r="E424" s="391" t="str">
        <f t="shared" ca="1" si="17"/>
        <v/>
      </c>
      <c r="F424" s="23" t="str">
        <f ca="1">IFERROR(VLOOKUP(Tabela4[[#This Row],[Cabo]],BD!A:V,2,0),"")</f>
        <v/>
      </c>
      <c r="G424" s="391" t="str">
        <f ca="1">IFERROR(VLOOKUP(Tabela4[[#This Row],[Cabo]],BD!A:V,5,0),"")</f>
        <v/>
      </c>
      <c r="H424" s="23" t="str">
        <f ca="1">IFERROR(VLOOKUP(Tabela4[[#This Row],[Cabo]],BD!A:V,3,0),"")</f>
        <v/>
      </c>
      <c r="I424" s="23" t="str">
        <f ca="1">IFERROR(VLOOKUP(Tabela4[[#This Row],[Cabo]],BD!A:V,4,0),"")</f>
        <v/>
      </c>
      <c r="J424" s="23" t="str">
        <f ca="1">IFERROR(VLOOKUP(Tabela4[[#This Row],[Cabo]],BD!A:V,7,0),"")</f>
        <v/>
      </c>
      <c r="K42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4" s="23" t="str">
        <f ca="1">IFERROR(VLOOKUP(Tabela4[[#This Row],[Cabo]],BD!A:V,9,0),"")</f>
        <v/>
      </c>
      <c r="M424" s="23" t="str">
        <f ca="1">IFERROR(VLOOKUP(Tabela4[[#This Row],[Cabo]],BD!A:AD,30,0),"")</f>
        <v/>
      </c>
      <c r="N424" s="23" t="str">
        <f ca="1">IF(SUMIF('Lançamento de Cabos'!B:B,Tabela4[[#This Row],[Cabo]],'Lançamento de Cabos'!C:C)=0,"",SUMIF('Lançamento de Cabos'!B:B,Tabela4[[#This Row],[Cabo]],'Lançamento de Cabos'!C:C))</f>
        <v/>
      </c>
      <c r="O424" s="28" t="str">
        <f ca="1">IFERROR(IF(Tabela4[[#This Row],[Compr. Lançado]]/Tabela4[[#This Row],[Compr. Prev.]]&gt;1,1,Tabela4[[#This Row],[Compr. Lançado]]/Tabela4[[#This Row],[Compr. Prev.]]),"")</f>
        <v/>
      </c>
      <c r="P424" s="24" t="str">
        <f ca="1">IFERROR(VLOOKUP(Tabela4[[#This Row],[Cabo]],BD!A:V,11,0),"")</f>
        <v/>
      </c>
      <c r="Q424" s="24" t="str">
        <f ca="1">IFERROR(VLOOKUP(Tabela4[[#This Row],[Cabo]],BD!A:V,12,0),"")</f>
        <v/>
      </c>
      <c r="R42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4" s="23" t="str">
        <f ca="1">IF(Tabela4[[#This Row],[Cabo]]&lt;&gt;"",4-COUNTIF(Tabela4[[#This Row],[Teste de Continuidade]:[Hipot]],"---"),"")</f>
        <v/>
      </c>
      <c r="W424" s="29" t="str">
        <f ca="1">IF(Tabela4[[#This Row],[Cabo]]&lt;&gt;"",(COUNTIF(Tabela4[[#This Row],[Teste de Continuidade]:[Hipot]],"OK"))/(4-COUNTIF(Tabela4[[#This Row],[Teste de Continuidade]:[Hipot]],"---")),"")</f>
        <v/>
      </c>
      <c r="X424" s="23" t="str">
        <f ca="1">IF(Tabela4[[#This Row],[Cabo]]&lt;&gt;"",SUMIFS('Lançamento de Cabos'!$AF:$AF,'Lançamento de Cabos'!AE:AE,Tabela4[[#This Row],[Cabo]],'Lançamento de Cabos'!AJ:AJ,Área!$B$1),"")</f>
        <v/>
      </c>
      <c r="Y424" s="23" t="str">
        <f ca="1">IF(Tabela4[[#This Row],[Cabo]]&lt;&gt;"",SUMIFS('Lançamento de Cabos'!$AG:$AG,'Lançamento de Cabos'!AE:AE,Tabela4[[#This Row],[Cabo]],'Lançamento de Cabos'!AJ:AJ,Área!$B$1),"")</f>
        <v/>
      </c>
      <c r="Z424" s="23" t="e">
        <f ca="1">VLOOKUP(Tabela4[[#This Row],[Cabo]],BD!A:AB,28,0)</f>
        <v>#N/A</v>
      </c>
    </row>
    <row r="425" spans="3:26" x14ac:dyDescent="0.25">
      <c r="C425" s="391" t="str">
        <f ca="1">IF($B$1="Geral",Tabela1[[#This Row],[Tag do Cabo]],IFERROR(INDEX(INDIRECT("BD!$A"&amp;D425&amp;":$A100000"),E425,1),""))</f>
        <v/>
      </c>
      <c r="D425" s="391" t="str">
        <f t="shared" ca="1" si="16"/>
        <v/>
      </c>
      <c r="E425" s="391" t="str">
        <f t="shared" ca="1" si="17"/>
        <v/>
      </c>
      <c r="F425" s="23" t="str">
        <f ca="1">IFERROR(VLOOKUP(Tabela4[[#This Row],[Cabo]],BD!A:V,2,0),"")</f>
        <v/>
      </c>
      <c r="G425" s="391" t="str">
        <f ca="1">IFERROR(VLOOKUP(Tabela4[[#This Row],[Cabo]],BD!A:V,5,0),"")</f>
        <v/>
      </c>
      <c r="H425" s="23" t="str">
        <f ca="1">IFERROR(VLOOKUP(Tabela4[[#This Row],[Cabo]],BD!A:V,3,0),"")</f>
        <v/>
      </c>
      <c r="I425" s="23" t="str">
        <f ca="1">IFERROR(VLOOKUP(Tabela4[[#This Row],[Cabo]],BD!A:V,4,0),"")</f>
        <v/>
      </c>
      <c r="J425" s="23" t="str">
        <f ca="1">IFERROR(VLOOKUP(Tabela4[[#This Row],[Cabo]],BD!A:V,7,0),"")</f>
        <v/>
      </c>
      <c r="K42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5" s="23" t="str">
        <f ca="1">IFERROR(VLOOKUP(Tabela4[[#This Row],[Cabo]],BD!A:V,9,0),"")</f>
        <v/>
      </c>
      <c r="M425" s="23" t="str">
        <f ca="1">IFERROR(VLOOKUP(Tabela4[[#This Row],[Cabo]],BD!A:AD,30,0),"")</f>
        <v/>
      </c>
      <c r="N425" s="23" t="str">
        <f ca="1">IF(SUMIF('Lançamento de Cabos'!B:B,Tabela4[[#This Row],[Cabo]],'Lançamento de Cabos'!C:C)=0,"",SUMIF('Lançamento de Cabos'!B:B,Tabela4[[#This Row],[Cabo]],'Lançamento de Cabos'!C:C))</f>
        <v/>
      </c>
      <c r="O425" s="28" t="str">
        <f ca="1">IFERROR(IF(Tabela4[[#This Row],[Compr. Lançado]]/Tabela4[[#This Row],[Compr. Prev.]]&gt;1,1,Tabela4[[#This Row],[Compr. Lançado]]/Tabela4[[#This Row],[Compr. Prev.]]),"")</f>
        <v/>
      </c>
      <c r="P425" s="24" t="str">
        <f ca="1">IFERROR(VLOOKUP(Tabela4[[#This Row],[Cabo]],BD!A:V,11,0),"")</f>
        <v/>
      </c>
      <c r="Q425" s="24" t="str">
        <f ca="1">IFERROR(VLOOKUP(Tabela4[[#This Row],[Cabo]],BD!A:V,12,0),"")</f>
        <v/>
      </c>
      <c r="R42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5" s="23" t="str">
        <f ca="1">IF(Tabela4[[#This Row],[Cabo]]&lt;&gt;"",4-COUNTIF(Tabela4[[#This Row],[Teste de Continuidade]:[Hipot]],"---"),"")</f>
        <v/>
      </c>
      <c r="W425" s="29" t="str">
        <f ca="1">IF(Tabela4[[#This Row],[Cabo]]&lt;&gt;"",(COUNTIF(Tabela4[[#This Row],[Teste de Continuidade]:[Hipot]],"OK"))/(4-COUNTIF(Tabela4[[#This Row],[Teste de Continuidade]:[Hipot]],"---")),"")</f>
        <v/>
      </c>
      <c r="X425" s="23" t="str">
        <f ca="1">IF(Tabela4[[#This Row],[Cabo]]&lt;&gt;"",SUMIFS('Lançamento de Cabos'!$AF:$AF,'Lançamento de Cabos'!AE:AE,Tabela4[[#This Row],[Cabo]],'Lançamento de Cabos'!AJ:AJ,Área!$B$1),"")</f>
        <v/>
      </c>
      <c r="Y425" s="23" t="str">
        <f ca="1">IF(Tabela4[[#This Row],[Cabo]]&lt;&gt;"",SUMIFS('Lançamento de Cabos'!$AG:$AG,'Lançamento de Cabos'!AE:AE,Tabela4[[#This Row],[Cabo]],'Lançamento de Cabos'!AJ:AJ,Área!$B$1),"")</f>
        <v/>
      </c>
      <c r="Z425" s="23" t="e">
        <f ca="1">VLOOKUP(Tabela4[[#This Row],[Cabo]],BD!A:AB,28,0)</f>
        <v>#N/A</v>
      </c>
    </row>
    <row r="426" spans="3:26" x14ac:dyDescent="0.25">
      <c r="C426" s="391" t="str">
        <f ca="1">IF($B$1="Geral",Tabela1[[#This Row],[Tag do Cabo]],IFERROR(INDEX(INDIRECT("BD!$A"&amp;D426&amp;":$A100000"),E426,1),""))</f>
        <v/>
      </c>
      <c r="D426" s="391" t="str">
        <f t="shared" ca="1" si="16"/>
        <v/>
      </c>
      <c r="E426" s="391" t="str">
        <f t="shared" ca="1" si="17"/>
        <v/>
      </c>
      <c r="F426" s="23" t="str">
        <f ca="1">IFERROR(VLOOKUP(Tabela4[[#This Row],[Cabo]],BD!A:V,2,0),"")</f>
        <v/>
      </c>
      <c r="G426" s="391" t="str">
        <f ca="1">IFERROR(VLOOKUP(Tabela4[[#This Row],[Cabo]],BD!A:V,5,0),"")</f>
        <v/>
      </c>
      <c r="H426" s="23" t="str">
        <f ca="1">IFERROR(VLOOKUP(Tabela4[[#This Row],[Cabo]],BD!A:V,3,0),"")</f>
        <v/>
      </c>
      <c r="I426" s="23" t="str">
        <f ca="1">IFERROR(VLOOKUP(Tabela4[[#This Row],[Cabo]],BD!A:V,4,0),"")</f>
        <v/>
      </c>
      <c r="J426" s="23" t="str">
        <f ca="1">IFERROR(VLOOKUP(Tabela4[[#This Row],[Cabo]],BD!A:V,7,0),"")</f>
        <v/>
      </c>
      <c r="K42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6" s="23" t="str">
        <f ca="1">IFERROR(VLOOKUP(Tabela4[[#This Row],[Cabo]],BD!A:V,9,0),"")</f>
        <v/>
      </c>
      <c r="M426" s="23" t="str">
        <f ca="1">IFERROR(VLOOKUP(Tabela4[[#This Row],[Cabo]],BD!A:AD,30,0),"")</f>
        <v/>
      </c>
      <c r="N426" s="23" t="str">
        <f ca="1">IF(SUMIF('Lançamento de Cabos'!B:B,Tabela4[[#This Row],[Cabo]],'Lançamento de Cabos'!C:C)=0,"",SUMIF('Lançamento de Cabos'!B:B,Tabela4[[#This Row],[Cabo]],'Lançamento de Cabos'!C:C))</f>
        <v/>
      </c>
      <c r="O426" s="28" t="str">
        <f ca="1">IFERROR(IF(Tabela4[[#This Row],[Compr. Lançado]]/Tabela4[[#This Row],[Compr. Prev.]]&gt;1,1,Tabela4[[#This Row],[Compr. Lançado]]/Tabela4[[#This Row],[Compr. Prev.]]),"")</f>
        <v/>
      </c>
      <c r="P426" s="24" t="str">
        <f ca="1">IFERROR(VLOOKUP(Tabela4[[#This Row],[Cabo]],BD!A:V,11,0),"")</f>
        <v/>
      </c>
      <c r="Q426" s="24" t="str">
        <f ca="1">IFERROR(VLOOKUP(Tabela4[[#This Row],[Cabo]],BD!A:V,12,0),"")</f>
        <v/>
      </c>
      <c r="R42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6" s="23" t="str">
        <f ca="1">IF(Tabela4[[#This Row],[Cabo]]&lt;&gt;"",4-COUNTIF(Tabela4[[#This Row],[Teste de Continuidade]:[Hipot]],"---"),"")</f>
        <v/>
      </c>
      <c r="W426" s="29" t="str">
        <f ca="1">IF(Tabela4[[#This Row],[Cabo]]&lt;&gt;"",(COUNTIF(Tabela4[[#This Row],[Teste de Continuidade]:[Hipot]],"OK"))/(4-COUNTIF(Tabela4[[#This Row],[Teste de Continuidade]:[Hipot]],"---")),"")</f>
        <v/>
      </c>
      <c r="X426" s="23" t="str">
        <f ca="1">IF(Tabela4[[#This Row],[Cabo]]&lt;&gt;"",SUMIFS('Lançamento de Cabos'!$AF:$AF,'Lançamento de Cabos'!AE:AE,Tabela4[[#This Row],[Cabo]],'Lançamento de Cabos'!AJ:AJ,Área!$B$1),"")</f>
        <v/>
      </c>
      <c r="Y426" s="23" t="str">
        <f ca="1">IF(Tabela4[[#This Row],[Cabo]]&lt;&gt;"",SUMIFS('Lançamento de Cabos'!$AG:$AG,'Lançamento de Cabos'!AE:AE,Tabela4[[#This Row],[Cabo]],'Lançamento de Cabos'!AJ:AJ,Área!$B$1),"")</f>
        <v/>
      </c>
      <c r="Z426" s="23" t="e">
        <f ca="1">VLOOKUP(Tabela4[[#This Row],[Cabo]],BD!A:AB,28,0)</f>
        <v>#N/A</v>
      </c>
    </row>
    <row r="427" spans="3:26" x14ac:dyDescent="0.25">
      <c r="C427" s="391" t="str">
        <f ca="1">IF($B$1="Geral",Tabela1[[#This Row],[Tag do Cabo]],IFERROR(INDEX(INDIRECT("BD!$A"&amp;D427&amp;":$A100000"),E427,1),""))</f>
        <v/>
      </c>
      <c r="D427" s="391" t="str">
        <f t="shared" ref="D427:D490" ca="1" si="18">IFERROR(D426+E426,"")</f>
        <v/>
      </c>
      <c r="E427" s="391" t="str">
        <f t="shared" ref="E427:E490" ca="1" si="19">IFERROR(MATCH($B$1,INDIRECT("BD!$J"&amp;D427&amp;":$J100000"),0),"")</f>
        <v/>
      </c>
      <c r="F427" s="23" t="str">
        <f ca="1">IFERROR(VLOOKUP(Tabela4[[#This Row],[Cabo]],BD!A:V,2,0),"")</f>
        <v/>
      </c>
      <c r="G427" s="391" t="str">
        <f ca="1">IFERROR(VLOOKUP(Tabela4[[#This Row],[Cabo]],BD!A:V,5,0),"")</f>
        <v/>
      </c>
      <c r="H427" s="23" t="str">
        <f ca="1">IFERROR(VLOOKUP(Tabela4[[#This Row],[Cabo]],BD!A:V,3,0),"")</f>
        <v/>
      </c>
      <c r="I427" s="23" t="str">
        <f ca="1">IFERROR(VLOOKUP(Tabela4[[#This Row],[Cabo]],BD!A:V,4,0),"")</f>
        <v/>
      </c>
      <c r="J427" s="23" t="str">
        <f ca="1">IFERROR(VLOOKUP(Tabela4[[#This Row],[Cabo]],BD!A:V,7,0),"")</f>
        <v/>
      </c>
      <c r="K42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7" s="23" t="str">
        <f ca="1">IFERROR(VLOOKUP(Tabela4[[#This Row],[Cabo]],BD!A:V,9,0),"")</f>
        <v/>
      </c>
      <c r="M427" s="23" t="str">
        <f ca="1">IFERROR(VLOOKUP(Tabela4[[#This Row],[Cabo]],BD!A:AD,30,0),"")</f>
        <v/>
      </c>
      <c r="N427" s="23" t="str">
        <f ca="1">IF(SUMIF('Lançamento de Cabos'!B:B,Tabela4[[#This Row],[Cabo]],'Lançamento de Cabos'!C:C)=0,"",SUMIF('Lançamento de Cabos'!B:B,Tabela4[[#This Row],[Cabo]],'Lançamento de Cabos'!C:C))</f>
        <v/>
      </c>
      <c r="O427" s="28" t="str">
        <f ca="1">IFERROR(IF(Tabela4[[#This Row],[Compr. Lançado]]/Tabela4[[#This Row],[Compr. Prev.]]&gt;1,1,Tabela4[[#This Row],[Compr. Lançado]]/Tabela4[[#This Row],[Compr. Prev.]]),"")</f>
        <v/>
      </c>
      <c r="P427" s="24" t="str">
        <f ca="1">IFERROR(VLOOKUP(Tabela4[[#This Row],[Cabo]],BD!A:V,11,0),"")</f>
        <v/>
      </c>
      <c r="Q427" s="24" t="str">
        <f ca="1">IFERROR(VLOOKUP(Tabela4[[#This Row],[Cabo]],BD!A:V,12,0),"")</f>
        <v/>
      </c>
      <c r="R42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7" s="23" t="str">
        <f ca="1">IF(Tabela4[[#This Row],[Cabo]]&lt;&gt;"",4-COUNTIF(Tabela4[[#This Row],[Teste de Continuidade]:[Hipot]],"---"),"")</f>
        <v/>
      </c>
      <c r="W427" s="29" t="str">
        <f ca="1">IF(Tabela4[[#This Row],[Cabo]]&lt;&gt;"",(COUNTIF(Tabela4[[#This Row],[Teste de Continuidade]:[Hipot]],"OK"))/(4-COUNTIF(Tabela4[[#This Row],[Teste de Continuidade]:[Hipot]],"---")),"")</f>
        <v/>
      </c>
      <c r="X427" s="23" t="str">
        <f ca="1">IF(Tabela4[[#This Row],[Cabo]]&lt;&gt;"",SUMIFS('Lançamento de Cabos'!$AF:$AF,'Lançamento de Cabos'!AE:AE,Tabela4[[#This Row],[Cabo]],'Lançamento de Cabos'!AJ:AJ,Área!$B$1),"")</f>
        <v/>
      </c>
      <c r="Y427" s="23" t="str">
        <f ca="1">IF(Tabela4[[#This Row],[Cabo]]&lt;&gt;"",SUMIFS('Lançamento de Cabos'!$AG:$AG,'Lançamento de Cabos'!AE:AE,Tabela4[[#This Row],[Cabo]],'Lançamento de Cabos'!AJ:AJ,Área!$B$1),"")</f>
        <v/>
      </c>
      <c r="Z427" s="23" t="e">
        <f ca="1">VLOOKUP(Tabela4[[#This Row],[Cabo]],BD!A:AB,28,0)</f>
        <v>#N/A</v>
      </c>
    </row>
    <row r="428" spans="3:26" x14ac:dyDescent="0.25">
      <c r="C428" s="391" t="str">
        <f ca="1">IF($B$1="Geral",Tabela1[[#This Row],[Tag do Cabo]],IFERROR(INDEX(INDIRECT("BD!$A"&amp;D428&amp;":$A100000"),E428,1),""))</f>
        <v/>
      </c>
      <c r="D428" s="391" t="str">
        <f t="shared" ca="1" si="18"/>
        <v/>
      </c>
      <c r="E428" s="391" t="str">
        <f t="shared" ca="1" si="19"/>
        <v/>
      </c>
      <c r="F428" s="23" t="str">
        <f ca="1">IFERROR(VLOOKUP(Tabela4[[#This Row],[Cabo]],BD!A:V,2,0),"")</f>
        <v/>
      </c>
      <c r="G428" s="391" t="str">
        <f ca="1">IFERROR(VLOOKUP(Tabela4[[#This Row],[Cabo]],BD!A:V,5,0),"")</f>
        <v/>
      </c>
      <c r="H428" s="23" t="str">
        <f ca="1">IFERROR(VLOOKUP(Tabela4[[#This Row],[Cabo]],BD!A:V,3,0),"")</f>
        <v/>
      </c>
      <c r="I428" s="23" t="str">
        <f ca="1">IFERROR(VLOOKUP(Tabela4[[#This Row],[Cabo]],BD!A:V,4,0),"")</f>
        <v/>
      </c>
      <c r="J428" s="23" t="str">
        <f ca="1">IFERROR(VLOOKUP(Tabela4[[#This Row],[Cabo]],BD!A:V,7,0),"")</f>
        <v/>
      </c>
      <c r="K42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8" s="23" t="str">
        <f ca="1">IFERROR(VLOOKUP(Tabela4[[#This Row],[Cabo]],BD!A:V,9,0),"")</f>
        <v/>
      </c>
      <c r="M428" s="23" t="str">
        <f ca="1">IFERROR(VLOOKUP(Tabela4[[#This Row],[Cabo]],BD!A:AD,30,0),"")</f>
        <v/>
      </c>
      <c r="N428" s="23" t="str">
        <f ca="1">IF(SUMIF('Lançamento de Cabos'!B:B,Tabela4[[#This Row],[Cabo]],'Lançamento de Cabos'!C:C)=0,"",SUMIF('Lançamento de Cabos'!B:B,Tabela4[[#This Row],[Cabo]],'Lançamento de Cabos'!C:C))</f>
        <v/>
      </c>
      <c r="O428" s="28" t="str">
        <f ca="1">IFERROR(IF(Tabela4[[#This Row],[Compr. Lançado]]/Tabela4[[#This Row],[Compr. Prev.]]&gt;1,1,Tabela4[[#This Row],[Compr. Lançado]]/Tabela4[[#This Row],[Compr. Prev.]]),"")</f>
        <v/>
      </c>
      <c r="P428" s="24" t="str">
        <f ca="1">IFERROR(VLOOKUP(Tabela4[[#This Row],[Cabo]],BD!A:V,11,0),"")</f>
        <v/>
      </c>
      <c r="Q428" s="24" t="str">
        <f ca="1">IFERROR(VLOOKUP(Tabela4[[#This Row],[Cabo]],BD!A:V,12,0),"")</f>
        <v/>
      </c>
      <c r="R42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8" s="23" t="str">
        <f ca="1">IF(Tabela4[[#This Row],[Cabo]]&lt;&gt;"",4-COUNTIF(Tabela4[[#This Row],[Teste de Continuidade]:[Hipot]],"---"),"")</f>
        <v/>
      </c>
      <c r="W428" s="29" t="str">
        <f ca="1">IF(Tabela4[[#This Row],[Cabo]]&lt;&gt;"",(COUNTIF(Tabela4[[#This Row],[Teste de Continuidade]:[Hipot]],"OK"))/(4-COUNTIF(Tabela4[[#This Row],[Teste de Continuidade]:[Hipot]],"---")),"")</f>
        <v/>
      </c>
      <c r="X428" s="23" t="str">
        <f ca="1">IF(Tabela4[[#This Row],[Cabo]]&lt;&gt;"",SUMIFS('Lançamento de Cabos'!$AF:$AF,'Lançamento de Cabos'!AE:AE,Tabela4[[#This Row],[Cabo]],'Lançamento de Cabos'!AJ:AJ,Área!$B$1),"")</f>
        <v/>
      </c>
      <c r="Y428" s="23" t="str">
        <f ca="1">IF(Tabela4[[#This Row],[Cabo]]&lt;&gt;"",SUMIFS('Lançamento de Cabos'!$AG:$AG,'Lançamento de Cabos'!AE:AE,Tabela4[[#This Row],[Cabo]],'Lançamento de Cabos'!AJ:AJ,Área!$B$1),"")</f>
        <v/>
      </c>
      <c r="Z428" s="23" t="e">
        <f ca="1">VLOOKUP(Tabela4[[#This Row],[Cabo]],BD!A:AB,28,0)</f>
        <v>#N/A</v>
      </c>
    </row>
    <row r="429" spans="3:26" x14ac:dyDescent="0.25">
      <c r="C429" s="391" t="str">
        <f ca="1">IF($B$1="Geral",Tabela1[[#This Row],[Tag do Cabo]],IFERROR(INDEX(INDIRECT("BD!$A"&amp;D429&amp;":$A100000"),E429,1),""))</f>
        <v/>
      </c>
      <c r="D429" s="391" t="str">
        <f t="shared" ca="1" si="18"/>
        <v/>
      </c>
      <c r="E429" s="391" t="str">
        <f t="shared" ca="1" si="19"/>
        <v/>
      </c>
      <c r="F429" s="23" t="str">
        <f ca="1">IFERROR(VLOOKUP(Tabela4[[#This Row],[Cabo]],BD!A:V,2,0),"")</f>
        <v/>
      </c>
      <c r="G429" s="391" t="str">
        <f ca="1">IFERROR(VLOOKUP(Tabela4[[#This Row],[Cabo]],BD!A:V,5,0),"")</f>
        <v/>
      </c>
      <c r="H429" s="23" t="str">
        <f ca="1">IFERROR(VLOOKUP(Tabela4[[#This Row],[Cabo]],BD!A:V,3,0),"")</f>
        <v/>
      </c>
      <c r="I429" s="23" t="str">
        <f ca="1">IFERROR(VLOOKUP(Tabela4[[#This Row],[Cabo]],BD!A:V,4,0),"")</f>
        <v/>
      </c>
      <c r="J429" s="23" t="str">
        <f ca="1">IFERROR(VLOOKUP(Tabela4[[#This Row],[Cabo]],BD!A:V,7,0),"")</f>
        <v/>
      </c>
      <c r="K42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29" s="23" t="str">
        <f ca="1">IFERROR(VLOOKUP(Tabela4[[#This Row],[Cabo]],BD!A:V,9,0),"")</f>
        <v/>
      </c>
      <c r="M429" s="23" t="str">
        <f ca="1">IFERROR(VLOOKUP(Tabela4[[#This Row],[Cabo]],BD!A:AD,30,0),"")</f>
        <v/>
      </c>
      <c r="N429" s="23" t="str">
        <f ca="1">IF(SUMIF('Lançamento de Cabos'!B:B,Tabela4[[#This Row],[Cabo]],'Lançamento de Cabos'!C:C)=0,"",SUMIF('Lançamento de Cabos'!B:B,Tabela4[[#This Row],[Cabo]],'Lançamento de Cabos'!C:C))</f>
        <v/>
      </c>
      <c r="O429" s="28" t="str">
        <f ca="1">IFERROR(IF(Tabela4[[#This Row],[Compr. Lançado]]/Tabela4[[#This Row],[Compr. Prev.]]&gt;1,1,Tabela4[[#This Row],[Compr. Lançado]]/Tabela4[[#This Row],[Compr. Prev.]]),"")</f>
        <v/>
      </c>
      <c r="P429" s="24" t="str">
        <f ca="1">IFERROR(VLOOKUP(Tabela4[[#This Row],[Cabo]],BD!A:V,11,0),"")</f>
        <v/>
      </c>
      <c r="Q429" s="24" t="str">
        <f ca="1">IFERROR(VLOOKUP(Tabela4[[#This Row],[Cabo]],BD!A:V,12,0),"")</f>
        <v/>
      </c>
      <c r="R42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2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2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2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29" s="23" t="str">
        <f ca="1">IF(Tabela4[[#This Row],[Cabo]]&lt;&gt;"",4-COUNTIF(Tabela4[[#This Row],[Teste de Continuidade]:[Hipot]],"---"),"")</f>
        <v/>
      </c>
      <c r="W429" s="29" t="str">
        <f ca="1">IF(Tabela4[[#This Row],[Cabo]]&lt;&gt;"",(COUNTIF(Tabela4[[#This Row],[Teste de Continuidade]:[Hipot]],"OK"))/(4-COUNTIF(Tabela4[[#This Row],[Teste de Continuidade]:[Hipot]],"---")),"")</f>
        <v/>
      </c>
      <c r="X429" s="23" t="str">
        <f ca="1">IF(Tabela4[[#This Row],[Cabo]]&lt;&gt;"",SUMIFS('Lançamento de Cabos'!$AF:$AF,'Lançamento de Cabos'!AE:AE,Tabela4[[#This Row],[Cabo]],'Lançamento de Cabos'!AJ:AJ,Área!$B$1),"")</f>
        <v/>
      </c>
      <c r="Y429" s="23" t="str">
        <f ca="1">IF(Tabela4[[#This Row],[Cabo]]&lt;&gt;"",SUMIFS('Lançamento de Cabos'!$AG:$AG,'Lançamento de Cabos'!AE:AE,Tabela4[[#This Row],[Cabo]],'Lançamento de Cabos'!AJ:AJ,Área!$B$1),"")</f>
        <v/>
      </c>
      <c r="Z429" s="23" t="e">
        <f ca="1">VLOOKUP(Tabela4[[#This Row],[Cabo]],BD!A:AB,28,0)</f>
        <v>#N/A</v>
      </c>
    </row>
    <row r="430" spans="3:26" x14ac:dyDescent="0.25">
      <c r="C430" s="391" t="str">
        <f ca="1">IF($B$1="Geral",Tabela1[[#This Row],[Tag do Cabo]],IFERROR(INDEX(INDIRECT("BD!$A"&amp;D430&amp;":$A100000"),E430,1),""))</f>
        <v/>
      </c>
      <c r="D430" s="391" t="str">
        <f t="shared" ca="1" si="18"/>
        <v/>
      </c>
      <c r="E430" s="391" t="str">
        <f t="shared" ca="1" si="19"/>
        <v/>
      </c>
      <c r="F430" s="23" t="str">
        <f ca="1">IFERROR(VLOOKUP(Tabela4[[#This Row],[Cabo]],BD!A:V,2,0),"")</f>
        <v/>
      </c>
      <c r="G430" s="391" t="str">
        <f ca="1">IFERROR(VLOOKUP(Tabela4[[#This Row],[Cabo]],BD!A:V,5,0),"")</f>
        <v/>
      </c>
      <c r="H430" s="23" t="str">
        <f ca="1">IFERROR(VLOOKUP(Tabela4[[#This Row],[Cabo]],BD!A:V,3,0),"")</f>
        <v/>
      </c>
      <c r="I430" s="23" t="str">
        <f ca="1">IFERROR(VLOOKUP(Tabela4[[#This Row],[Cabo]],BD!A:V,4,0),"")</f>
        <v/>
      </c>
      <c r="J430" s="23" t="str">
        <f ca="1">IFERROR(VLOOKUP(Tabela4[[#This Row],[Cabo]],BD!A:V,7,0),"")</f>
        <v/>
      </c>
      <c r="K43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0" s="23" t="str">
        <f ca="1">IFERROR(VLOOKUP(Tabela4[[#This Row],[Cabo]],BD!A:V,9,0),"")</f>
        <v/>
      </c>
      <c r="M430" s="23" t="str">
        <f ca="1">IFERROR(VLOOKUP(Tabela4[[#This Row],[Cabo]],BD!A:AD,30,0),"")</f>
        <v/>
      </c>
      <c r="N430" s="23" t="str">
        <f ca="1">IF(SUMIF('Lançamento de Cabos'!B:B,Tabela4[[#This Row],[Cabo]],'Lançamento de Cabos'!C:C)=0,"",SUMIF('Lançamento de Cabos'!B:B,Tabela4[[#This Row],[Cabo]],'Lançamento de Cabos'!C:C))</f>
        <v/>
      </c>
      <c r="O430" s="28" t="str">
        <f ca="1">IFERROR(IF(Tabela4[[#This Row],[Compr. Lançado]]/Tabela4[[#This Row],[Compr. Prev.]]&gt;1,1,Tabela4[[#This Row],[Compr. Lançado]]/Tabela4[[#This Row],[Compr. Prev.]]),"")</f>
        <v/>
      </c>
      <c r="P430" s="24" t="str">
        <f ca="1">IFERROR(VLOOKUP(Tabela4[[#This Row],[Cabo]],BD!A:V,11,0),"")</f>
        <v/>
      </c>
      <c r="Q430" s="24" t="str">
        <f ca="1">IFERROR(VLOOKUP(Tabela4[[#This Row],[Cabo]],BD!A:V,12,0),"")</f>
        <v/>
      </c>
      <c r="R43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0" s="23" t="str">
        <f ca="1">IF(Tabela4[[#This Row],[Cabo]]&lt;&gt;"",4-COUNTIF(Tabela4[[#This Row],[Teste de Continuidade]:[Hipot]],"---"),"")</f>
        <v/>
      </c>
      <c r="W430" s="29" t="str">
        <f ca="1">IF(Tabela4[[#This Row],[Cabo]]&lt;&gt;"",(COUNTIF(Tabela4[[#This Row],[Teste de Continuidade]:[Hipot]],"OK"))/(4-COUNTIF(Tabela4[[#This Row],[Teste de Continuidade]:[Hipot]],"---")),"")</f>
        <v/>
      </c>
      <c r="X430" s="23" t="str">
        <f ca="1">IF(Tabela4[[#This Row],[Cabo]]&lt;&gt;"",SUMIFS('Lançamento de Cabos'!$AF:$AF,'Lançamento de Cabos'!AE:AE,Tabela4[[#This Row],[Cabo]],'Lançamento de Cabos'!AJ:AJ,Área!$B$1),"")</f>
        <v/>
      </c>
      <c r="Y430" s="23" t="str">
        <f ca="1">IF(Tabela4[[#This Row],[Cabo]]&lt;&gt;"",SUMIFS('Lançamento de Cabos'!$AG:$AG,'Lançamento de Cabos'!AE:AE,Tabela4[[#This Row],[Cabo]],'Lançamento de Cabos'!AJ:AJ,Área!$B$1),"")</f>
        <v/>
      </c>
      <c r="Z430" s="23" t="e">
        <f ca="1">VLOOKUP(Tabela4[[#This Row],[Cabo]],BD!A:AB,28,0)</f>
        <v>#N/A</v>
      </c>
    </row>
    <row r="431" spans="3:26" x14ac:dyDescent="0.25">
      <c r="C431" s="391" t="str">
        <f ca="1">IF($B$1="Geral",Tabela1[[#This Row],[Tag do Cabo]],IFERROR(INDEX(INDIRECT("BD!$A"&amp;D431&amp;":$A100000"),E431,1),""))</f>
        <v/>
      </c>
      <c r="D431" s="391" t="str">
        <f t="shared" ca="1" si="18"/>
        <v/>
      </c>
      <c r="E431" s="391" t="str">
        <f t="shared" ca="1" si="19"/>
        <v/>
      </c>
      <c r="F431" s="23" t="str">
        <f ca="1">IFERROR(VLOOKUP(Tabela4[[#This Row],[Cabo]],BD!A:V,2,0),"")</f>
        <v/>
      </c>
      <c r="G431" s="391" t="str">
        <f ca="1">IFERROR(VLOOKUP(Tabela4[[#This Row],[Cabo]],BD!A:V,5,0),"")</f>
        <v/>
      </c>
      <c r="H431" s="23" t="str">
        <f ca="1">IFERROR(VLOOKUP(Tabela4[[#This Row],[Cabo]],BD!A:V,3,0),"")</f>
        <v/>
      </c>
      <c r="I431" s="23" t="str">
        <f ca="1">IFERROR(VLOOKUP(Tabela4[[#This Row],[Cabo]],BD!A:V,4,0),"")</f>
        <v/>
      </c>
      <c r="J431" s="23" t="str">
        <f ca="1">IFERROR(VLOOKUP(Tabela4[[#This Row],[Cabo]],BD!A:V,7,0),"")</f>
        <v/>
      </c>
      <c r="K43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1" s="23" t="str">
        <f ca="1">IFERROR(VLOOKUP(Tabela4[[#This Row],[Cabo]],BD!A:V,9,0),"")</f>
        <v/>
      </c>
      <c r="M431" s="23" t="str">
        <f ca="1">IFERROR(VLOOKUP(Tabela4[[#This Row],[Cabo]],BD!A:AD,30,0),"")</f>
        <v/>
      </c>
      <c r="N431" s="23" t="str">
        <f ca="1">IF(SUMIF('Lançamento de Cabos'!B:B,Tabela4[[#This Row],[Cabo]],'Lançamento de Cabos'!C:C)=0,"",SUMIF('Lançamento de Cabos'!B:B,Tabela4[[#This Row],[Cabo]],'Lançamento de Cabos'!C:C))</f>
        <v/>
      </c>
      <c r="O431" s="28" t="str">
        <f ca="1">IFERROR(IF(Tabela4[[#This Row],[Compr. Lançado]]/Tabela4[[#This Row],[Compr. Prev.]]&gt;1,1,Tabela4[[#This Row],[Compr. Lançado]]/Tabela4[[#This Row],[Compr. Prev.]]),"")</f>
        <v/>
      </c>
      <c r="P431" s="24" t="str">
        <f ca="1">IFERROR(VLOOKUP(Tabela4[[#This Row],[Cabo]],BD!A:V,11,0),"")</f>
        <v/>
      </c>
      <c r="Q431" s="24" t="str">
        <f ca="1">IFERROR(VLOOKUP(Tabela4[[#This Row],[Cabo]],BD!A:V,12,0),"")</f>
        <v/>
      </c>
      <c r="R43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1" s="23" t="str">
        <f ca="1">IF(Tabela4[[#This Row],[Cabo]]&lt;&gt;"",4-COUNTIF(Tabela4[[#This Row],[Teste de Continuidade]:[Hipot]],"---"),"")</f>
        <v/>
      </c>
      <c r="W431" s="29" t="str">
        <f ca="1">IF(Tabela4[[#This Row],[Cabo]]&lt;&gt;"",(COUNTIF(Tabela4[[#This Row],[Teste de Continuidade]:[Hipot]],"OK"))/(4-COUNTIF(Tabela4[[#This Row],[Teste de Continuidade]:[Hipot]],"---")),"")</f>
        <v/>
      </c>
      <c r="X431" s="23" t="str">
        <f ca="1">IF(Tabela4[[#This Row],[Cabo]]&lt;&gt;"",SUMIFS('Lançamento de Cabos'!$AF:$AF,'Lançamento de Cabos'!AE:AE,Tabela4[[#This Row],[Cabo]],'Lançamento de Cabos'!AJ:AJ,Área!$B$1),"")</f>
        <v/>
      </c>
      <c r="Y431" s="23" t="str">
        <f ca="1">IF(Tabela4[[#This Row],[Cabo]]&lt;&gt;"",SUMIFS('Lançamento de Cabos'!$AG:$AG,'Lançamento de Cabos'!AE:AE,Tabela4[[#This Row],[Cabo]],'Lançamento de Cabos'!AJ:AJ,Área!$B$1),"")</f>
        <v/>
      </c>
      <c r="Z431" s="23" t="e">
        <f ca="1">VLOOKUP(Tabela4[[#This Row],[Cabo]],BD!A:AB,28,0)</f>
        <v>#N/A</v>
      </c>
    </row>
    <row r="432" spans="3:26" x14ac:dyDescent="0.25">
      <c r="C432" s="391" t="str">
        <f ca="1">IF($B$1="Geral",Tabela1[[#This Row],[Tag do Cabo]],IFERROR(INDEX(INDIRECT("BD!$A"&amp;D432&amp;":$A100000"),E432,1),""))</f>
        <v/>
      </c>
      <c r="D432" s="391" t="str">
        <f t="shared" ca="1" si="18"/>
        <v/>
      </c>
      <c r="E432" s="391" t="str">
        <f t="shared" ca="1" si="19"/>
        <v/>
      </c>
      <c r="F432" s="23" t="str">
        <f ca="1">IFERROR(VLOOKUP(Tabela4[[#This Row],[Cabo]],BD!A:V,2,0),"")</f>
        <v/>
      </c>
      <c r="G432" s="391" t="str">
        <f ca="1">IFERROR(VLOOKUP(Tabela4[[#This Row],[Cabo]],BD!A:V,5,0),"")</f>
        <v/>
      </c>
      <c r="H432" s="23" t="str">
        <f ca="1">IFERROR(VLOOKUP(Tabela4[[#This Row],[Cabo]],BD!A:V,3,0),"")</f>
        <v/>
      </c>
      <c r="I432" s="23" t="str">
        <f ca="1">IFERROR(VLOOKUP(Tabela4[[#This Row],[Cabo]],BD!A:V,4,0),"")</f>
        <v/>
      </c>
      <c r="J432" s="23" t="str">
        <f ca="1">IFERROR(VLOOKUP(Tabela4[[#This Row],[Cabo]],BD!A:V,7,0),"")</f>
        <v/>
      </c>
      <c r="K43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2" s="23" t="str">
        <f ca="1">IFERROR(VLOOKUP(Tabela4[[#This Row],[Cabo]],BD!A:V,9,0),"")</f>
        <v/>
      </c>
      <c r="M432" s="23" t="str">
        <f ca="1">IFERROR(VLOOKUP(Tabela4[[#This Row],[Cabo]],BD!A:AD,30,0),"")</f>
        <v/>
      </c>
      <c r="N432" s="23" t="str">
        <f ca="1">IF(SUMIF('Lançamento de Cabos'!B:B,Tabela4[[#This Row],[Cabo]],'Lançamento de Cabos'!C:C)=0,"",SUMIF('Lançamento de Cabos'!B:B,Tabela4[[#This Row],[Cabo]],'Lançamento de Cabos'!C:C))</f>
        <v/>
      </c>
      <c r="O432" s="28" t="str">
        <f ca="1">IFERROR(IF(Tabela4[[#This Row],[Compr. Lançado]]/Tabela4[[#This Row],[Compr. Prev.]]&gt;1,1,Tabela4[[#This Row],[Compr. Lançado]]/Tabela4[[#This Row],[Compr. Prev.]]),"")</f>
        <v/>
      </c>
      <c r="P432" s="24" t="str">
        <f ca="1">IFERROR(VLOOKUP(Tabela4[[#This Row],[Cabo]],BD!A:V,11,0),"")</f>
        <v/>
      </c>
      <c r="Q432" s="24" t="str">
        <f ca="1">IFERROR(VLOOKUP(Tabela4[[#This Row],[Cabo]],BD!A:V,12,0),"")</f>
        <v/>
      </c>
      <c r="R43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2" s="23" t="str">
        <f ca="1">IF(Tabela4[[#This Row],[Cabo]]&lt;&gt;"",4-COUNTIF(Tabela4[[#This Row],[Teste de Continuidade]:[Hipot]],"---"),"")</f>
        <v/>
      </c>
      <c r="W432" s="29" t="str">
        <f ca="1">IF(Tabela4[[#This Row],[Cabo]]&lt;&gt;"",(COUNTIF(Tabela4[[#This Row],[Teste de Continuidade]:[Hipot]],"OK"))/(4-COUNTIF(Tabela4[[#This Row],[Teste de Continuidade]:[Hipot]],"---")),"")</f>
        <v/>
      </c>
      <c r="X432" s="23" t="str">
        <f ca="1">IF(Tabela4[[#This Row],[Cabo]]&lt;&gt;"",SUMIFS('Lançamento de Cabos'!$AF:$AF,'Lançamento de Cabos'!AE:AE,Tabela4[[#This Row],[Cabo]],'Lançamento de Cabos'!AJ:AJ,Área!$B$1),"")</f>
        <v/>
      </c>
      <c r="Y432" s="23" t="str">
        <f ca="1">IF(Tabela4[[#This Row],[Cabo]]&lt;&gt;"",SUMIFS('Lançamento de Cabos'!$AG:$AG,'Lançamento de Cabos'!AE:AE,Tabela4[[#This Row],[Cabo]],'Lançamento de Cabos'!AJ:AJ,Área!$B$1),"")</f>
        <v/>
      </c>
      <c r="Z432" s="23" t="e">
        <f ca="1">VLOOKUP(Tabela4[[#This Row],[Cabo]],BD!A:AB,28,0)</f>
        <v>#N/A</v>
      </c>
    </row>
    <row r="433" spans="3:26" x14ac:dyDescent="0.25">
      <c r="C433" s="391" t="str">
        <f ca="1">IF($B$1="Geral",Tabela1[[#This Row],[Tag do Cabo]],IFERROR(INDEX(INDIRECT("BD!$A"&amp;D433&amp;":$A100000"),E433,1),""))</f>
        <v/>
      </c>
      <c r="D433" s="391" t="str">
        <f t="shared" ca="1" si="18"/>
        <v/>
      </c>
      <c r="E433" s="391" t="str">
        <f t="shared" ca="1" si="19"/>
        <v/>
      </c>
      <c r="F433" s="23" t="str">
        <f ca="1">IFERROR(VLOOKUP(Tabela4[[#This Row],[Cabo]],BD!A:V,2,0),"")</f>
        <v/>
      </c>
      <c r="G433" s="391" t="str">
        <f ca="1">IFERROR(VLOOKUP(Tabela4[[#This Row],[Cabo]],BD!A:V,5,0),"")</f>
        <v/>
      </c>
      <c r="H433" s="23" t="str">
        <f ca="1">IFERROR(VLOOKUP(Tabela4[[#This Row],[Cabo]],BD!A:V,3,0),"")</f>
        <v/>
      </c>
      <c r="I433" s="23" t="str">
        <f ca="1">IFERROR(VLOOKUP(Tabela4[[#This Row],[Cabo]],BD!A:V,4,0),"")</f>
        <v/>
      </c>
      <c r="J433" s="23" t="str">
        <f ca="1">IFERROR(VLOOKUP(Tabela4[[#This Row],[Cabo]],BD!A:V,7,0),"")</f>
        <v/>
      </c>
      <c r="K43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3" s="23" t="str">
        <f ca="1">IFERROR(VLOOKUP(Tabela4[[#This Row],[Cabo]],BD!A:V,9,0),"")</f>
        <v/>
      </c>
      <c r="M433" s="23" t="str">
        <f ca="1">IFERROR(VLOOKUP(Tabela4[[#This Row],[Cabo]],BD!A:AD,30,0),"")</f>
        <v/>
      </c>
      <c r="N433" s="23" t="str">
        <f ca="1">IF(SUMIF('Lançamento de Cabos'!B:B,Tabela4[[#This Row],[Cabo]],'Lançamento de Cabos'!C:C)=0,"",SUMIF('Lançamento de Cabos'!B:B,Tabela4[[#This Row],[Cabo]],'Lançamento de Cabos'!C:C))</f>
        <v/>
      </c>
      <c r="O433" s="28" t="str">
        <f ca="1">IFERROR(IF(Tabela4[[#This Row],[Compr. Lançado]]/Tabela4[[#This Row],[Compr. Prev.]]&gt;1,1,Tabela4[[#This Row],[Compr. Lançado]]/Tabela4[[#This Row],[Compr. Prev.]]),"")</f>
        <v/>
      </c>
      <c r="P433" s="24" t="str">
        <f ca="1">IFERROR(VLOOKUP(Tabela4[[#This Row],[Cabo]],BD!A:V,11,0),"")</f>
        <v/>
      </c>
      <c r="Q433" s="24" t="str">
        <f ca="1">IFERROR(VLOOKUP(Tabela4[[#This Row],[Cabo]],BD!A:V,12,0),"")</f>
        <v/>
      </c>
      <c r="R43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3" s="23" t="str">
        <f ca="1">IF(Tabela4[[#This Row],[Cabo]]&lt;&gt;"",4-COUNTIF(Tabela4[[#This Row],[Teste de Continuidade]:[Hipot]],"---"),"")</f>
        <v/>
      </c>
      <c r="W433" s="29" t="str">
        <f ca="1">IF(Tabela4[[#This Row],[Cabo]]&lt;&gt;"",(COUNTIF(Tabela4[[#This Row],[Teste de Continuidade]:[Hipot]],"OK"))/(4-COUNTIF(Tabela4[[#This Row],[Teste de Continuidade]:[Hipot]],"---")),"")</f>
        <v/>
      </c>
      <c r="X433" s="23" t="str">
        <f ca="1">IF(Tabela4[[#This Row],[Cabo]]&lt;&gt;"",SUMIFS('Lançamento de Cabos'!$AF:$AF,'Lançamento de Cabos'!AE:AE,Tabela4[[#This Row],[Cabo]],'Lançamento de Cabos'!AJ:AJ,Área!$B$1),"")</f>
        <v/>
      </c>
      <c r="Y433" s="23" t="str">
        <f ca="1">IF(Tabela4[[#This Row],[Cabo]]&lt;&gt;"",SUMIFS('Lançamento de Cabos'!$AG:$AG,'Lançamento de Cabos'!AE:AE,Tabela4[[#This Row],[Cabo]],'Lançamento de Cabos'!AJ:AJ,Área!$B$1),"")</f>
        <v/>
      </c>
      <c r="Z433" s="23" t="e">
        <f ca="1">VLOOKUP(Tabela4[[#This Row],[Cabo]],BD!A:AB,28,0)</f>
        <v>#N/A</v>
      </c>
    </row>
    <row r="434" spans="3:26" x14ac:dyDescent="0.25">
      <c r="C434" s="391" t="str">
        <f ca="1">IF($B$1="Geral",Tabela1[[#This Row],[Tag do Cabo]],IFERROR(INDEX(INDIRECT("BD!$A"&amp;D434&amp;":$A100000"),E434,1),""))</f>
        <v/>
      </c>
      <c r="D434" s="391" t="str">
        <f t="shared" ca="1" si="18"/>
        <v/>
      </c>
      <c r="E434" s="391" t="str">
        <f t="shared" ca="1" si="19"/>
        <v/>
      </c>
      <c r="F434" s="23" t="str">
        <f ca="1">IFERROR(VLOOKUP(Tabela4[[#This Row],[Cabo]],BD!A:V,2,0),"")</f>
        <v/>
      </c>
      <c r="G434" s="391" t="str">
        <f ca="1">IFERROR(VLOOKUP(Tabela4[[#This Row],[Cabo]],BD!A:V,5,0),"")</f>
        <v/>
      </c>
      <c r="H434" s="23" t="str">
        <f ca="1">IFERROR(VLOOKUP(Tabela4[[#This Row],[Cabo]],BD!A:V,3,0),"")</f>
        <v/>
      </c>
      <c r="I434" s="23" t="str">
        <f ca="1">IFERROR(VLOOKUP(Tabela4[[#This Row],[Cabo]],BD!A:V,4,0),"")</f>
        <v/>
      </c>
      <c r="J434" s="23" t="str">
        <f ca="1">IFERROR(VLOOKUP(Tabela4[[#This Row],[Cabo]],BD!A:V,7,0),"")</f>
        <v/>
      </c>
      <c r="K43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4" s="23" t="str">
        <f ca="1">IFERROR(VLOOKUP(Tabela4[[#This Row],[Cabo]],BD!A:V,9,0),"")</f>
        <v/>
      </c>
      <c r="M434" s="23" t="str">
        <f ca="1">IFERROR(VLOOKUP(Tabela4[[#This Row],[Cabo]],BD!A:AD,30,0),"")</f>
        <v/>
      </c>
      <c r="N434" s="23" t="str">
        <f ca="1">IF(SUMIF('Lançamento de Cabos'!B:B,Tabela4[[#This Row],[Cabo]],'Lançamento de Cabos'!C:C)=0,"",SUMIF('Lançamento de Cabos'!B:B,Tabela4[[#This Row],[Cabo]],'Lançamento de Cabos'!C:C))</f>
        <v/>
      </c>
      <c r="O434" s="28" t="str">
        <f ca="1">IFERROR(IF(Tabela4[[#This Row],[Compr. Lançado]]/Tabela4[[#This Row],[Compr. Prev.]]&gt;1,1,Tabela4[[#This Row],[Compr. Lançado]]/Tabela4[[#This Row],[Compr. Prev.]]),"")</f>
        <v/>
      </c>
      <c r="P434" s="24" t="str">
        <f ca="1">IFERROR(VLOOKUP(Tabela4[[#This Row],[Cabo]],BD!A:V,11,0),"")</f>
        <v/>
      </c>
      <c r="Q434" s="24" t="str">
        <f ca="1">IFERROR(VLOOKUP(Tabela4[[#This Row],[Cabo]],BD!A:V,12,0),"")</f>
        <v/>
      </c>
      <c r="R43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4" s="23" t="str">
        <f ca="1">IF(Tabela4[[#This Row],[Cabo]]&lt;&gt;"",4-COUNTIF(Tabela4[[#This Row],[Teste de Continuidade]:[Hipot]],"---"),"")</f>
        <v/>
      </c>
      <c r="W434" s="29" t="str">
        <f ca="1">IF(Tabela4[[#This Row],[Cabo]]&lt;&gt;"",(COUNTIF(Tabela4[[#This Row],[Teste de Continuidade]:[Hipot]],"OK"))/(4-COUNTIF(Tabela4[[#This Row],[Teste de Continuidade]:[Hipot]],"---")),"")</f>
        <v/>
      </c>
      <c r="X434" s="23" t="str">
        <f ca="1">IF(Tabela4[[#This Row],[Cabo]]&lt;&gt;"",SUMIFS('Lançamento de Cabos'!$AF:$AF,'Lançamento de Cabos'!AE:AE,Tabela4[[#This Row],[Cabo]],'Lançamento de Cabos'!AJ:AJ,Área!$B$1),"")</f>
        <v/>
      </c>
      <c r="Y434" s="23" t="str">
        <f ca="1">IF(Tabela4[[#This Row],[Cabo]]&lt;&gt;"",SUMIFS('Lançamento de Cabos'!$AG:$AG,'Lançamento de Cabos'!AE:AE,Tabela4[[#This Row],[Cabo]],'Lançamento de Cabos'!AJ:AJ,Área!$B$1),"")</f>
        <v/>
      </c>
      <c r="Z434" s="23" t="e">
        <f ca="1">VLOOKUP(Tabela4[[#This Row],[Cabo]],BD!A:AB,28,0)</f>
        <v>#N/A</v>
      </c>
    </row>
    <row r="435" spans="3:26" x14ac:dyDescent="0.25">
      <c r="C435" s="391" t="str">
        <f ca="1">IF($B$1="Geral",Tabela1[[#This Row],[Tag do Cabo]],IFERROR(INDEX(INDIRECT("BD!$A"&amp;D435&amp;":$A100000"),E435,1),""))</f>
        <v/>
      </c>
      <c r="D435" s="391" t="str">
        <f t="shared" ca="1" si="18"/>
        <v/>
      </c>
      <c r="E435" s="391" t="str">
        <f t="shared" ca="1" si="19"/>
        <v/>
      </c>
      <c r="F435" s="23" t="str">
        <f ca="1">IFERROR(VLOOKUP(Tabela4[[#This Row],[Cabo]],BD!A:V,2,0),"")</f>
        <v/>
      </c>
      <c r="G435" s="391" t="str">
        <f ca="1">IFERROR(VLOOKUP(Tabela4[[#This Row],[Cabo]],BD!A:V,5,0),"")</f>
        <v/>
      </c>
      <c r="H435" s="23" t="str">
        <f ca="1">IFERROR(VLOOKUP(Tabela4[[#This Row],[Cabo]],BD!A:V,3,0),"")</f>
        <v/>
      </c>
      <c r="I435" s="23" t="str">
        <f ca="1">IFERROR(VLOOKUP(Tabela4[[#This Row],[Cabo]],BD!A:V,4,0),"")</f>
        <v/>
      </c>
      <c r="J435" s="23" t="str">
        <f ca="1">IFERROR(VLOOKUP(Tabela4[[#This Row],[Cabo]],BD!A:V,7,0),"")</f>
        <v/>
      </c>
      <c r="K43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5" s="23" t="str">
        <f ca="1">IFERROR(VLOOKUP(Tabela4[[#This Row],[Cabo]],BD!A:V,9,0),"")</f>
        <v/>
      </c>
      <c r="M435" s="23" t="str">
        <f ca="1">IFERROR(VLOOKUP(Tabela4[[#This Row],[Cabo]],BD!A:AD,30,0),"")</f>
        <v/>
      </c>
      <c r="N435" s="23" t="str">
        <f ca="1">IF(SUMIF('Lançamento de Cabos'!B:B,Tabela4[[#This Row],[Cabo]],'Lançamento de Cabos'!C:C)=0,"",SUMIF('Lançamento de Cabos'!B:B,Tabela4[[#This Row],[Cabo]],'Lançamento de Cabos'!C:C))</f>
        <v/>
      </c>
      <c r="O435" s="28" t="str">
        <f ca="1">IFERROR(IF(Tabela4[[#This Row],[Compr. Lançado]]/Tabela4[[#This Row],[Compr. Prev.]]&gt;1,1,Tabela4[[#This Row],[Compr. Lançado]]/Tabela4[[#This Row],[Compr. Prev.]]),"")</f>
        <v/>
      </c>
      <c r="P435" s="24" t="str">
        <f ca="1">IFERROR(VLOOKUP(Tabela4[[#This Row],[Cabo]],BD!A:V,11,0),"")</f>
        <v/>
      </c>
      <c r="Q435" s="24" t="str">
        <f ca="1">IFERROR(VLOOKUP(Tabela4[[#This Row],[Cabo]],BD!A:V,12,0),"")</f>
        <v/>
      </c>
      <c r="R43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5" s="23" t="str">
        <f ca="1">IF(Tabela4[[#This Row],[Cabo]]&lt;&gt;"",4-COUNTIF(Tabela4[[#This Row],[Teste de Continuidade]:[Hipot]],"---"),"")</f>
        <v/>
      </c>
      <c r="W435" s="29" t="str">
        <f ca="1">IF(Tabela4[[#This Row],[Cabo]]&lt;&gt;"",(COUNTIF(Tabela4[[#This Row],[Teste de Continuidade]:[Hipot]],"OK"))/(4-COUNTIF(Tabela4[[#This Row],[Teste de Continuidade]:[Hipot]],"---")),"")</f>
        <v/>
      </c>
      <c r="X435" s="23" t="str">
        <f ca="1">IF(Tabela4[[#This Row],[Cabo]]&lt;&gt;"",SUMIFS('Lançamento de Cabos'!$AF:$AF,'Lançamento de Cabos'!AE:AE,Tabela4[[#This Row],[Cabo]],'Lançamento de Cabos'!AJ:AJ,Área!$B$1),"")</f>
        <v/>
      </c>
      <c r="Y435" s="23" t="str">
        <f ca="1">IF(Tabela4[[#This Row],[Cabo]]&lt;&gt;"",SUMIFS('Lançamento de Cabos'!$AG:$AG,'Lançamento de Cabos'!AE:AE,Tabela4[[#This Row],[Cabo]],'Lançamento de Cabos'!AJ:AJ,Área!$B$1),"")</f>
        <v/>
      </c>
      <c r="Z435" s="23" t="e">
        <f ca="1">VLOOKUP(Tabela4[[#This Row],[Cabo]],BD!A:AB,28,0)</f>
        <v>#N/A</v>
      </c>
    </row>
    <row r="436" spans="3:26" x14ac:dyDescent="0.25">
      <c r="C436" s="391" t="str">
        <f ca="1">IF($B$1="Geral",Tabela1[[#This Row],[Tag do Cabo]],IFERROR(INDEX(INDIRECT("BD!$A"&amp;D436&amp;":$A100000"),E436,1),""))</f>
        <v/>
      </c>
      <c r="D436" s="391" t="str">
        <f t="shared" ca="1" si="18"/>
        <v/>
      </c>
      <c r="E436" s="391" t="str">
        <f t="shared" ca="1" si="19"/>
        <v/>
      </c>
      <c r="F436" s="23" t="str">
        <f ca="1">IFERROR(VLOOKUP(Tabela4[[#This Row],[Cabo]],BD!A:V,2,0),"")</f>
        <v/>
      </c>
      <c r="G436" s="391" t="str">
        <f ca="1">IFERROR(VLOOKUP(Tabela4[[#This Row],[Cabo]],BD!A:V,5,0),"")</f>
        <v/>
      </c>
      <c r="H436" s="23" t="str">
        <f ca="1">IFERROR(VLOOKUP(Tabela4[[#This Row],[Cabo]],BD!A:V,3,0),"")</f>
        <v/>
      </c>
      <c r="I436" s="23" t="str">
        <f ca="1">IFERROR(VLOOKUP(Tabela4[[#This Row],[Cabo]],BD!A:V,4,0),"")</f>
        <v/>
      </c>
      <c r="J436" s="23" t="str">
        <f ca="1">IFERROR(VLOOKUP(Tabela4[[#This Row],[Cabo]],BD!A:V,7,0),"")</f>
        <v/>
      </c>
      <c r="K43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6" s="23" t="str">
        <f ca="1">IFERROR(VLOOKUP(Tabela4[[#This Row],[Cabo]],BD!A:V,9,0),"")</f>
        <v/>
      </c>
      <c r="M436" s="23" t="str">
        <f ca="1">IFERROR(VLOOKUP(Tabela4[[#This Row],[Cabo]],BD!A:AD,30,0),"")</f>
        <v/>
      </c>
      <c r="N436" s="23" t="str">
        <f ca="1">IF(SUMIF('Lançamento de Cabos'!B:B,Tabela4[[#This Row],[Cabo]],'Lançamento de Cabos'!C:C)=0,"",SUMIF('Lançamento de Cabos'!B:B,Tabela4[[#This Row],[Cabo]],'Lançamento de Cabos'!C:C))</f>
        <v/>
      </c>
      <c r="O436" s="28" t="str">
        <f ca="1">IFERROR(IF(Tabela4[[#This Row],[Compr. Lançado]]/Tabela4[[#This Row],[Compr. Prev.]]&gt;1,1,Tabela4[[#This Row],[Compr. Lançado]]/Tabela4[[#This Row],[Compr. Prev.]]),"")</f>
        <v/>
      </c>
      <c r="P436" s="24" t="str">
        <f ca="1">IFERROR(VLOOKUP(Tabela4[[#This Row],[Cabo]],BD!A:V,11,0),"")</f>
        <v/>
      </c>
      <c r="Q436" s="24" t="str">
        <f ca="1">IFERROR(VLOOKUP(Tabela4[[#This Row],[Cabo]],BD!A:V,12,0),"")</f>
        <v/>
      </c>
      <c r="R43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6" s="23" t="str">
        <f ca="1">IF(Tabela4[[#This Row],[Cabo]]&lt;&gt;"",4-COUNTIF(Tabela4[[#This Row],[Teste de Continuidade]:[Hipot]],"---"),"")</f>
        <v/>
      </c>
      <c r="W436" s="29" t="str">
        <f ca="1">IF(Tabela4[[#This Row],[Cabo]]&lt;&gt;"",(COUNTIF(Tabela4[[#This Row],[Teste de Continuidade]:[Hipot]],"OK"))/(4-COUNTIF(Tabela4[[#This Row],[Teste de Continuidade]:[Hipot]],"---")),"")</f>
        <v/>
      </c>
      <c r="X436" s="23" t="str">
        <f ca="1">IF(Tabela4[[#This Row],[Cabo]]&lt;&gt;"",SUMIFS('Lançamento de Cabos'!$AF:$AF,'Lançamento de Cabos'!AE:AE,Tabela4[[#This Row],[Cabo]],'Lançamento de Cabos'!AJ:AJ,Área!$B$1),"")</f>
        <v/>
      </c>
      <c r="Y436" s="23" t="str">
        <f ca="1">IF(Tabela4[[#This Row],[Cabo]]&lt;&gt;"",SUMIFS('Lançamento de Cabos'!$AG:$AG,'Lançamento de Cabos'!AE:AE,Tabela4[[#This Row],[Cabo]],'Lançamento de Cabos'!AJ:AJ,Área!$B$1),"")</f>
        <v/>
      </c>
      <c r="Z436" s="23" t="e">
        <f ca="1">VLOOKUP(Tabela4[[#This Row],[Cabo]],BD!A:AB,28,0)</f>
        <v>#N/A</v>
      </c>
    </row>
    <row r="437" spans="3:26" x14ac:dyDescent="0.25">
      <c r="C437" s="391" t="str">
        <f ca="1">IF($B$1="Geral",Tabela1[[#This Row],[Tag do Cabo]],IFERROR(INDEX(INDIRECT("BD!$A"&amp;D437&amp;":$A100000"),E437,1),""))</f>
        <v/>
      </c>
      <c r="D437" s="391" t="str">
        <f t="shared" ca="1" si="18"/>
        <v/>
      </c>
      <c r="E437" s="391" t="str">
        <f t="shared" ca="1" si="19"/>
        <v/>
      </c>
      <c r="F437" s="23" t="str">
        <f ca="1">IFERROR(VLOOKUP(Tabela4[[#This Row],[Cabo]],BD!A:V,2,0),"")</f>
        <v/>
      </c>
      <c r="G437" s="391" t="str">
        <f ca="1">IFERROR(VLOOKUP(Tabela4[[#This Row],[Cabo]],BD!A:V,5,0),"")</f>
        <v/>
      </c>
      <c r="H437" s="23" t="str">
        <f ca="1">IFERROR(VLOOKUP(Tabela4[[#This Row],[Cabo]],BD!A:V,3,0),"")</f>
        <v/>
      </c>
      <c r="I437" s="23" t="str">
        <f ca="1">IFERROR(VLOOKUP(Tabela4[[#This Row],[Cabo]],BD!A:V,4,0),"")</f>
        <v/>
      </c>
      <c r="J437" s="23" t="str">
        <f ca="1">IFERROR(VLOOKUP(Tabela4[[#This Row],[Cabo]],BD!A:V,7,0),"")</f>
        <v/>
      </c>
      <c r="K43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7" s="23" t="str">
        <f ca="1">IFERROR(VLOOKUP(Tabela4[[#This Row],[Cabo]],BD!A:V,9,0),"")</f>
        <v/>
      </c>
      <c r="M437" s="23" t="str">
        <f ca="1">IFERROR(VLOOKUP(Tabela4[[#This Row],[Cabo]],BD!A:AD,30,0),"")</f>
        <v/>
      </c>
      <c r="N437" s="23" t="str">
        <f ca="1">IF(SUMIF('Lançamento de Cabos'!B:B,Tabela4[[#This Row],[Cabo]],'Lançamento de Cabos'!C:C)=0,"",SUMIF('Lançamento de Cabos'!B:B,Tabela4[[#This Row],[Cabo]],'Lançamento de Cabos'!C:C))</f>
        <v/>
      </c>
      <c r="O437" s="28" t="str">
        <f ca="1">IFERROR(IF(Tabela4[[#This Row],[Compr. Lançado]]/Tabela4[[#This Row],[Compr. Prev.]]&gt;1,1,Tabela4[[#This Row],[Compr. Lançado]]/Tabela4[[#This Row],[Compr. Prev.]]),"")</f>
        <v/>
      </c>
      <c r="P437" s="24" t="str">
        <f ca="1">IFERROR(VLOOKUP(Tabela4[[#This Row],[Cabo]],BD!A:V,11,0),"")</f>
        <v/>
      </c>
      <c r="Q437" s="24" t="str">
        <f ca="1">IFERROR(VLOOKUP(Tabela4[[#This Row],[Cabo]],BD!A:V,12,0),"")</f>
        <v/>
      </c>
      <c r="R43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7" s="23" t="str">
        <f ca="1">IF(Tabela4[[#This Row],[Cabo]]&lt;&gt;"",4-COUNTIF(Tabela4[[#This Row],[Teste de Continuidade]:[Hipot]],"---"),"")</f>
        <v/>
      </c>
      <c r="W437" s="29" t="str">
        <f ca="1">IF(Tabela4[[#This Row],[Cabo]]&lt;&gt;"",(COUNTIF(Tabela4[[#This Row],[Teste de Continuidade]:[Hipot]],"OK"))/(4-COUNTIF(Tabela4[[#This Row],[Teste de Continuidade]:[Hipot]],"---")),"")</f>
        <v/>
      </c>
      <c r="X437" s="23" t="str">
        <f ca="1">IF(Tabela4[[#This Row],[Cabo]]&lt;&gt;"",SUMIFS('Lançamento de Cabos'!$AF:$AF,'Lançamento de Cabos'!AE:AE,Tabela4[[#This Row],[Cabo]],'Lançamento de Cabos'!AJ:AJ,Área!$B$1),"")</f>
        <v/>
      </c>
      <c r="Y437" s="23" t="str">
        <f ca="1">IF(Tabela4[[#This Row],[Cabo]]&lt;&gt;"",SUMIFS('Lançamento de Cabos'!$AG:$AG,'Lançamento de Cabos'!AE:AE,Tabela4[[#This Row],[Cabo]],'Lançamento de Cabos'!AJ:AJ,Área!$B$1),"")</f>
        <v/>
      </c>
      <c r="Z437" s="23" t="e">
        <f ca="1">VLOOKUP(Tabela4[[#This Row],[Cabo]],BD!A:AB,28,0)</f>
        <v>#N/A</v>
      </c>
    </row>
    <row r="438" spans="3:26" x14ac:dyDescent="0.25">
      <c r="C438" s="391" t="str">
        <f ca="1">IF($B$1="Geral",Tabela1[[#This Row],[Tag do Cabo]],IFERROR(INDEX(INDIRECT("BD!$A"&amp;D438&amp;":$A100000"),E438,1),""))</f>
        <v/>
      </c>
      <c r="D438" s="391" t="str">
        <f t="shared" ca="1" si="18"/>
        <v/>
      </c>
      <c r="E438" s="391" t="str">
        <f t="shared" ca="1" si="19"/>
        <v/>
      </c>
      <c r="F438" s="23" t="str">
        <f ca="1">IFERROR(VLOOKUP(Tabela4[[#This Row],[Cabo]],BD!A:V,2,0),"")</f>
        <v/>
      </c>
      <c r="G438" s="391" t="str">
        <f ca="1">IFERROR(VLOOKUP(Tabela4[[#This Row],[Cabo]],BD!A:V,5,0),"")</f>
        <v/>
      </c>
      <c r="H438" s="23" t="str">
        <f ca="1">IFERROR(VLOOKUP(Tabela4[[#This Row],[Cabo]],BD!A:V,3,0),"")</f>
        <v/>
      </c>
      <c r="I438" s="23" t="str">
        <f ca="1">IFERROR(VLOOKUP(Tabela4[[#This Row],[Cabo]],BD!A:V,4,0),"")</f>
        <v/>
      </c>
      <c r="J438" s="23" t="str">
        <f ca="1">IFERROR(VLOOKUP(Tabela4[[#This Row],[Cabo]],BD!A:V,7,0),"")</f>
        <v/>
      </c>
      <c r="K43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8" s="23" t="str">
        <f ca="1">IFERROR(VLOOKUP(Tabela4[[#This Row],[Cabo]],BD!A:V,9,0),"")</f>
        <v/>
      </c>
      <c r="M438" s="23" t="str">
        <f ca="1">IFERROR(VLOOKUP(Tabela4[[#This Row],[Cabo]],BD!A:AD,30,0),"")</f>
        <v/>
      </c>
      <c r="N438" s="23" t="str">
        <f ca="1">IF(SUMIF('Lançamento de Cabos'!B:B,Tabela4[[#This Row],[Cabo]],'Lançamento de Cabos'!C:C)=0,"",SUMIF('Lançamento de Cabos'!B:B,Tabela4[[#This Row],[Cabo]],'Lançamento de Cabos'!C:C))</f>
        <v/>
      </c>
      <c r="O438" s="28" t="str">
        <f ca="1">IFERROR(IF(Tabela4[[#This Row],[Compr. Lançado]]/Tabela4[[#This Row],[Compr. Prev.]]&gt;1,1,Tabela4[[#This Row],[Compr. Lançado]]/Tabela4[[#This Row],[Compr. Prev.]]),"")</f>
        <v/>
      </c>
      <c r="P438" s="24" t="str">
        <f ca="1">IFERROR(VLOOKUP(Tabela4[[#This Row],[Cabo]],BD!A:V,11,0),"")</f>
        <v/>
      </c>
      <c r="Q438" s="24" t="str">
        <f ca="1">IFERROR(VLOOKUP(Tabela4[[#This Row],[Cabo]],BD!A:V,12,0),"")</f>
        <v/>
      </c>
      <c r="R43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8" s="23" t="str">
        <f ca="1">IF(Tabela4[[#This Row],[Cabo]]&lt;&gt;"",4-COUNTIF(Tabela4[[#This Row],[Teste de Continuidade]:[Hipot]],"---"),"")</f>
        <v/>
      </c>
      <c r="W438" s="29" t="str">
        <f ca="1">IF(Tabela4[[#This Row],[Cabo]]&lt;&gt;"",(COUNTIF(Tabela4[[#This Row],[Teste de Continuidade]:[Hipot]],"OK"))/(4-COUNTIF(Tabela4[[#This Row],[Teste de Continuidade]:[Hipot]],"---")),"")</f>
        <v/>
      </c>
      <c r="X438" s="23" t="str">
        <f ca="1">IF(Tabela4[[#This Row],[Cabo]]&lt;&gt;"",SUMIFS('Lançamento de Cabos'!$AF:$AF,'Lançamento de Cabos'!AE:AE,Tabela4[[#This Row],[Cabo]],'Lançamento de Cabos'!AJ:AJ,Área!$B$1),"")</f>
        <v/>
      </c>
      <c r="Y438" s="23" t="str">
        <f ca="1">IF(Tabela4[[#This Row],[Cabo]]&lt;&gt;"",SUMIFS('Lançamento de Cabos'!$AG:$AG,'Lançamento de Cabos'!AE:AE,Tabela4[[#This Row],[Cabo]],'Lançamento de Cabos'!AJ:AJ,Área!$B$1),"")</f>
        <v/>
      </c>
      <c r="Z438" s="23" t="e">
        <f ca="1">VLOOKUP(Tabela4[[#This Row],[Cabo]],BD!A:AB,28,0)</f>
        <v>#N/A</v>
      </c>
    </row>
    <row r="439" spans="3:26" x14ac:dyDescent="0.25">
      <c r="C439" s="391" t="str">
        <f ca="1">IF($B$1="Geral",Tabela1[[#This Row],[Tag do Cabo]],IFERROR(INDEX(INDIRECT("BD!$A"&amp;D439&amp;":$A100000"),E439,1),""))</f>
        <v/>
      </c>
      <c r="D439" s="391" t="str">
        <f t="shared" ca="1" si="18"/>
        <v/>
      </c>
      <c r="E439" s="391" t="str">
        <f t="shared" ca="1" si="19"/>
        <v/>
      </c>
      <c r="F439" s="23" t="str">
        <f ca="1">IFERROR(VLOOKUP(Tabela4[[#This Row],[Cabo]],BD!A:V,2,0),"")</f>
        <v/>
      </c>
      <c r="G439" s="391" t="str">
        <f ca="1">IFERROR(VLOOKUP(Tabela4[[#This Row],[Cabo]],BD!A:V,5,0),"")</f>
        <v/>
      </c>
      <c r="H439" s="23" t="str">
        <f ca="1">IFERROR(VLOOKUP(Tabela4[[#This Row],[Cabo]],BD!A:V,3,0),"")</f>
        <v/>
      </c>
      <c r="I439" s="23" t="str">
        <f ca="1">IFERROR(VLOOKUP(Tabela4[[#This Row],[Cabo]],BD!A:V,4,0),"")</f>
        <v/>
      </c>
      <c r="J439" s="23" t="str">
        <f ca="1">IFERROR(VLOOKUP(Tabela4[[#This Row],[Cabo]],BD!A:V,7,0),"")</f>
        <v/>
      </c>
      <c r="K43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39" s="23" t="str">
        <f ca="1">IFERROR(VLOOKUP(Tabela4[[#This Row],[Cabo]],BD!A:V,9,0),"")</f>
        <v/>
      </c>
      <c r="M439" s="23" t="str">
        <f ca="1">IFERROR(VLOOKUP(Tabela4[[#This Row],[Cabo]],BD!A:AD,30,0),"")</f>
        <v/>
      </c>
      <c r="N439" s="23" t="str">
        <f ca="1">IF(SUMIF('Lançamento de Cabos'!B:B,Tabela4[[#This Row],[Cabo]],'Lançamento de Cabos'!C:C)=0,"",SUMIF('Lançamento de Cabos'!B:B,Tabela4[[#This Row],[Cabo]],'Lançamento de Cabos'!C:C))</f>
        <v/>
      </c>
      <c r="O439" s="28" t="str">
        <f ca="1">IFERROR(IF(Tabela4[[#This Row],[Compr. Lançado]]/Tabela4[[#This Row],[Compr. Prev.]]&gt;1,1,Tabela4[[#This Row],[Compr. Lançado]]/Tabela4[[#This Row],[Compr. Prev.]]),"")</f>
        <v/>
      </c>
      <c r="P439" s="24" t="str">
        <f ca="1">IFERROR(VLOOKUP(Tabela4[[#This Row],[Cabo]],BD!A:V,11,0),"")</f>
        <v/>
      </c>
      <c r="Q439" s="24" t="str">
        <f ca="1">IFERROR(VLOOKUP(Tabela4[[#This Row],[Cabo]],BD!A:V,12,0),"")</f>
        <v/>
      </c>
      <c r="R43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3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3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3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39" s="23" t="str">
        <f ca="1">IF(Tabela4[[#This Row],[Cabo]]&lt;&gt;"",4-COUNTIF(Tabela4[[#This Row],[Teste de Continuidade]:[Hipot]],"---"),"")</f>
        <v/>
      </c>
      <c r="W439" s="29" t="str">
        <f ca="1">IF(Tabela4[[#This Row],[Cabo]]&lt;&gt;"",(COUNTIF(Tabela4[[#This Row],[Teste de Continuidade]:[Hipot]],"OK"))/(4-COUNTIF(Tabela4[[#This Row],[Teste de Continuidade]:[Hipot]],"---")),"")</f>
        <v/>
      </c>
      <c r="X439" s="23" t="str">
        <f ca="1">IF(Tabela4[[#This Row],[Cabo]]&lt;&gt;"",SUMIFS('Lançamento de Cabos'!$AF:$AF,'Lançamento de Cabos'!AE:AE,Tabela4[[#This Row],[Cabo]],'Lançamento de Cabos'!AJ:AJ,Área!$B$1),"")</f>
        <v/>
      </c>
      <c r="Y439" s="23" t="str">
        <f ca="1">IF(Tabela4[[#This Row],[Cabo]]&lt;&gt;"",SUMIFS('Lançamento de Cabos'!$AG:$AG,'Lançamento de Cabos'!AE:AE,Tabela4[[#This Row],[Cabo]],'Lançamento de Cabos'!AJ:AJ,Área!$B$1),"")</f>
        <v/>
      </c>
      <c r="Z439" s="23" t="e">
        <f ca="1">VLOOKUP(Tabela4[[#This Row],[Cabo]],BD!A:AB,28,0)</f>
        <v>#N/A</v>
      </c>
    </row>
    <row r="440" spans="3:26" x14ac:dyDescent="0.25">
      <c r="C440" s="391" t="str">
        <f ca="1">IF($B$1="Geral",Tabela1[[#This Row],[Tag do Cabo]],IFERROR(INDEX(INDIRECT("BD!$A"&amp;D440&amp;":$A100000"),E440,1),""))</f>
        <v/>
      </c>
      <c r="D440" s="391" t="str">
        <f t="shared" ca="1" si="18"/>
        <v/>
      </c>
      <c r="E440" s="391" t="str">
        <f t="shared" ca="1" si="19"/>
        <v/>
      </c>
      <c r="F440" s="23" t="str">
        <f ca="1">IFERROR(VLOOKUP(Tabela4[[#This Row],[Cabo]],BD!A:V,2,0),"")</f>
        <v/>
      </c>
      <c r="G440" s="391" t="str">
        <f ca="1">IFERROR(VLOOKUP(Tabela4[[#This Row],[Cabo]],BD!A:V,5,0),"")</f>
        <v/>
      </c>
      <c r="H440" s="23" t="str">
        <f ca="1">IFERROR(VLOOKUP(Tabela4[[#This Row],[Cabo]],BD!A:V,3,0),"")</f>
        <v/>
      </c>
      <c r="I440" s="23" t="str">
        <f ca="1">IFERROR(VLOOKUP(Tabela4[[#This Row],[Cabo]],BD!A:V,4,0),"")</f>
        <v/>
      </c>
      <c r="J440" s="23" t="str">
        <f ca="1">IFERROR(VLOOKUP(Tabela4[[#This Row],[Cabo]],BD!A:V,7,0),"")</f>
        <v/>
      </c>
      <c r="K44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0" s="23" t="str">
        <f ca="1">IFERROR(VLOOKUP(Tabela4[[#This Row],[Cabo]],BD!A:V,9,0),"")</f>
        <v/>
      </c>
      <c r="M440" s="23" t="str">
        <f ca="1">IFERROR(VLOOKUP(Tabela4[[#This Row],[Cabo]],BD!A:AD,30,0),"")</f>
        <v/>
      </c>
      <c r="N440" s="23" t="str">
        <f ca="1">IF(SUMIF('Lançamento de Cabos'!B:B,Tabela4[[#This Row],[Cabo]],'Lançamento de Cabos'!C:C)=0,"",SUMIF('Lançamento de Cabos'!B:B,Tabela4[[#This Row],[Cabo]],'Lançamento de Cabos'!C:C))</f>
        <v/>
      </c>
      <c r="O440" s="28" t="str">
        <f ca="1">IFERROR(IF(Tabela4[[#This Row],[Compr. Lançado]]/Tabela4[[#This Row],[Compr. Prev.]]&gt;1,1,Tabela4[[#This Row],[Compr. Lançado]]/Tabela4[[#This Row],[Compr. Prev.]]),"")</f>
        <v/>
      </c>
      <c r="P440" s="24" t="str">
        <f ca="1">IFERROR(VLOOKUP(Tabela4[[#This Row],[Cabo]],BD!A:V,11,0),"")</f>
        <v/>
      </c>
      <c r="Q440" s="24" t="str">
        <f ca="1">IFERROR(VLOOKUP(Tabela4[[#This Row],[Cabo]],BD!A:V,12,0),"")</f>
        <v/>
      </c>
      <c r="R44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0" s="23" t="str">
        <f ca="1">IF(Tabela4[[#This Row],[Cabo]]&lt;&gt;"",4-COUNTIF(Tabela4[[#This Row],[Teste de Continuidade]:[Hipot]],"---"),"")</f>
        <v/>
      </c>
      <c r="W440" s="29" t="str">
        <f ca="1">IF(Tabela4[[#This Row],[Cabo]]&lt;&gt;"",(COUNTIF(Tabela4[[#This Row],[Teste de Continuidade]:[Hipot]],"OK"))/(4-COUNTIF(Tabela4[[#This Row],[Teste de Continuidade]:[Hipot]],"---")),"")</f>
        <v/>
      </c>
      <c r="X440" s="23" t="str">
        <f ca="1">IF(Tabela4[[#This Row],[Cabo]]&lt;&gt;"",SUMIFS('Lançamento de Cabos'!$AF:$AF,'Lançamento de Cabos'!AE:AE,Tabela4[[#This Row],[Cabo]],'Lançamento de Cabos'!AJ:AJ,Área!$B$1),"")</f>
        <v/>
      </c>
      <c r="Y440" s="23" t="str">
        <f ca="1">IF(Tabela4[[#This Row],[Cabo]]&lt;&gt;"",SUMIFS('Lançamento de Cabos'!$AG:$AG,'Lançamento de Cabos'!AE:AE,Tabela4[[#This Row],[Cabo]],'Lançamento de Cabos'!AJ:AJ,Área!$B$1),"")</f>
        <v/>
      </c>
      <c r="Z440" s="23" t="e">
        <f ca="1">VLOOKUP(Tabela4[[#This Row],[Cabo]],BD!A:AB,28,0)</f>
        <v>#N/A</v>
      </c>
    </row>
    <row r="441" spans="3:26" x14ac:dyDescent="0.25">
      <c r="C441" s="391" t="str">
        <f ca="1">IF($B$1="Geral",Tabela1[[#This Row],[Tag do Cabo]],IFERROR(INDEX(INDIRECT("BD!$A"&amp;D441&amp;":$A100000"),E441,1),""))</f>
        <v/>
      </c>
      <c r="D441" s="391" t="str">
        <f t="shared" ca="1" si="18"/>
        <v/>
      </c>
      <c r="E441" s="391" t="str">
        <f t="shared" ca="1" si="19"/>
        <v/>
      </c>
      <c r="F441" s="23" t="str">
        <f ca="1">IFERROR(VLOOKUP(Tabela4[[#This Row],[Cabo]],BD!A:V,2,0),"")</f>
        <v/>
      </c>
      <c r="G441" s="391" t="str">
        <f ca="1">IFERROR(VLOOKUP(Tabela4[[#This Row],[Cabo]],BD!A:V,5,0),"")</f>
        <v/>
      </c>
      <c r="H441" s="23" t="str">
        <f ca="1">IFERROR(VLOOKUP(Tabela4[[#This Row],[Cabo]],BD!A:V,3,0),"")</f>
        <v/>
      </c>
      <c r="I441" s="23" t="str">
        <f ca="1">IFERROR(VLOOKUP(Tabela4[[#This Row],[Cabo]],BD!A:V,4,0),"")</f>
        <v/>
      </c>
      <c r="J441" s="23" t="str">
        <f ca="1">IFERROR(VLOOKUP(Tabela4[[#This Row],[Cabo]],BD!A:V,7,0),"")</f>
        <v/>
      </c>
      <c r="K44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1" s="23" t="str">
        <f ca="1">IFERROR(VLOOKUP(Tabela4[[#This Row],[Cabo]],BD!A:V,9,0),"")</f>
        <v/>
      </c>
      <c r="M441" s="23" t="str">
        <f ca="1">IFERROR(VLOOKUP(Tabela4[[#This Row],[Cabo]],BD!A:AD,30,0),"")</f>
        <v/>
      </c>
      <c r="N441" s="23" t="str">
        <f ca="1">IF(SUMIF('Lançamento de Cabos'!B:B,Tabela4[[#This Row],[Cabo]],'Lançamento de Cabos'!C:C)=0,"",SUMIF('Lançamento de Cabos'!B:B,Tabela4[[#This Row],[Cabo]],'Lançamento de Cabos'!C:C))</f>
        <v/>
      </c>
      <c r="O441" s="28" t="str">
        <f ca="1">IFERROR(IF(Tabela4[[#This Row],[Compr. Lançado]]/Tabela4[[#This Row],[Compr. Prev.]]&gt;1,1,Tabela4[[#This Row],[Compr. Lançado]]/Tabela4[[#This Row],[Compr. Prev.]]),"")</f>
        <v/>
      </c>
      <c r="P441" s="24" t="str">
        <f ca="1">IFERROR(VLOOKUP(Tabela4[[#This Row],[Cabo]],BD!A:V,11,0),"")</f>
        <v/>
      </c>
      <c r="Q441" s="24" t="str">
        <f ca="1">IFERROR(VLOOKUP(Tabela4[[#This Row],[Cabo]],BD!A:V,12,0),"")</f>
        <v/>
      </c>
      <c r="R44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1" s="23" t="str">
        <f ca="1">IF(Tabela4[[#This Row],[Cabo]]&lt;&gt;"",4-COUNTIF(Tabela4[[#This Row],[Teste de Continuidade]:[Hipot]],"---"),"")</f>
        <v/>
      </c>
      <c r="W441" s="29" t="str">
        <f ca="1">IF(Tabela4[[#This Row],[Cabo]]&lt;&gt;"",(COUNTIF(Tabela4[[#This Row],[Teste de Continuidade]:[Hipot]],"OK"))/(4-COUNTIF(Tabela4[[#This Row],[Teste de Continuidade]:[Hipot]],"---")),"")</f>
        <v/>
      </c>
      <c r="X441" s="23" t="str">
        <f ca="1">IF(Tabela4[[#This Row],[Cabo]]&lt;&gt;"",SUMIFS('Lançamento de Cabos'!$AF:$AF,'Lançamento de Cabos'!AE:AE,Tabela4[[#This Row],[Cabo]],'Lançamento de Cabos'!AJ:AJ,Área!$B$1),"")</f>
        <v/>
      </c>
      <c r="Y441" s="23" t="str">
        <f ca="1">IF(Tabela4[[#This Row],[Cabo]]&lt;&gt;"",SUMIFS('Lançamento de Cabos'!$AG:$AG,'Lançamento de Cabos'!AE:AE,Tabela4[[#This Row],[Cabo]],'Lançamento de Cabos'!AJ:AJ,Área!$B$1),"")</f>
        <v/>
      </c>
      <c r="Z441" s="23" t="e">
        <f ca="1">VLOOKUP(Tabela4[[#This Row],[Cabo]],BD!A:AB,28,0)</f>
        <v>#N/A</v>
      </c>
    </row>
    <row r="442" spans="3:26" x14ac:dyDescent="0.25">
      <c r="C442" s="391" t="str">
        <f ca="1">IF($B$1="Geral",Tabela1[[#This Row],[Tag do Cabo]],IFERROR(INDEX(INDIRECT("BD!$A"&amp;D442&amp;":$A100000"),E442,1),""))</f>
        <v/>
      </c>
      <c r="D442" s="391" t="str">
        <f t="shared" ca="1" si="18"/>
        <v/>
      </c>
      <c r="E442" s="391" t="str">
        <f t="shared" ca="1" si="19"/>
        <v/>
      </c>
      <c r="F442" s="23" t="str">
        <f ca="1">IFERROR(VLOOKUP(Tabela4[[#This Row],[Cabo]],BD!A:V,2,0),"")</f>
        <v/>
      </c>
      <c r="G442" s="391" t="str">
        <f ca="1">IFERROR(VLOOKUP(Tabela4[[#This Row],[Cabo]],BD!A:V,5,0),"")</f>
        <v/>
      </c>
      <c r="H442" s="23" t="str">
        <f ca="1">IFERROR(VLOOKUP(Tabela4[[#This Row],[Cabo]],BD!A:V,3,0),"")</f>
        <v/>
      </c>
      <c r="I442" s="23" t="str">
        <f ca="1">IFERROR(VLOOKUP(Tabela4[[#This Row],[Cabo]],BD!A:V,4,0),"")</f>
        <v/>
      </c>
      <c r="J442" s="23" t="str">
        <f ca="1">IFERROR(VLOOKUP(Tabela4[[#This Row],[Cabo]],BD!A:V,7,0),"")</f>
        <v/>
      </c>
      <c r="K44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2" s="23" t="str">
        <f ca="1">IFERROR(VLOOKUP(Tabela4[[#This Row],[Cabo]],BD!A:V,9,0),"")</f>
        <v/>
      </c>
      <c r="M442" s="23" t="str">
        <f ca="1">IFERROR(VLOOKUP(Tabela4[[#This Row],[Cabo]],BD!A:AD,30,0),"")</f>
        <v/>
      </c>
      <c r="N442" s="23" t="str">
        <f ca="1">IF(SUMIF('Lançamento de Cabos'!B:B,Tabela4[[#This Row],[Cabo]],'Lançamento de Cabos'!C:C)=0,"",SUMIF('Lançamento de Cabos'!B:B,Tabela4[[#This Row],[Cabo]],'Lançamento de Cabos'!C:C))</f>
        <v/>
      </c>
      <c r="O442" s="28" t="str">
        <f ca="1">IFERROR(IF(Tabela4[[#This Row],[Compr. Lançado]]/Tabela4[[#This Row],[Compr. Prev.]]&gt;1,1,Tabela4[[#This Row],[Compr. Lançado]]/Tabela4[[#This Row],[Compr. Prev.]]),"")</f>
        <v/>
      </c>
      <c r="P442" s="24" t="str">
        <f ca="1">IFERROR(VLOOKUP(Tabela4[[#This Row],[Cabo]],BD!A:V,11,0),"")</f>
        <v/>
      </c>
      <c r="Q442" s="24" t="str">
        <f ca="1">IFERROR(VLOOKUP(Tabela4[[#This Row],[Cabo]],BD!A:V,12,0),"")</f>
        <v/>
      </c>
      <c r="R44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2" s="23" t="str">
        <f ca="1">IF(Tabela4[[#This Row],[Cabo]]&lt;&gt;"",4-COUNTIF(Tabela4[[#This Row],[Teste de Continuidade]:[Hipot]],"---"),"")</f>
        <v/>
      </c>
      <c r="W442" s="29" t="str">
        <f ca="1">IF(Tabela4[[#This Row],[Cabo]]&lt;&gt;"",(COUNTIF(Tabela4[[#This Row],[Teste de Continuidade]:[Hipot]],"OK"))/(4-COUNTIF(Tabela4[[#This Row],[Teste de Continuidade]:[Hipot]],"---")),"")</f>
        <v/>
      </c>
      <c r="X442" s="23" t="str">
        <f ca="1">IF(Tabela4[[#This Row],[Cabo]]&lt;&gt;"",SUMIFS('Lançamento de Cabos'!$AF:$AF,'Lançamento de Cabos'!AE:AE,Tabela4[[#This Row],[Cabo]],'Lançamento de Cabos'!AJ:AJ,Área!$B$1),"")</f>
        <v/>
      </c>
      <c r="Y442" s="23" t="str">
        <f ca="1">IF(Tabela4[[#This Row],[Cabo]]&lt;&gt;"",SUMIFS('Lançamento de Cabos'!$AG:$AG,'Lançamento de Cabos'!AE:AE,Tabela4[[#This Row],[Cabo]],'Lançamento de Cabos'!AJ:AJ,Área!$B$1),"")</f>
        <v/>
      </c>
      <c r="Z442" s="23" t="e">
        <f ca="1">VLOOKUP(Tabela4[[#This Row],[Cabo]],BD!A:AB,28,0)</f>
        <v>#N/A</v>
      </c>
    </row>
    <row r="443" spans="3:26" x14ac:dyDescent="0.25">
      <c r="C443" s="391" t="str">
        <f ca="1">IF($B$1="Geral",Tabela1[[#This Row],[Tag do Cabo]],IFERROR(INDEX(INDIRECT("BD!$A"&amp;D443&amp;":$A100000"),E443,1),""))</f>
        <v/>
      </c>
      <c r="D443" s="391" t="str">
        <f t="shared" ca="1" si="18"/>
        <v/>
      </c>
      <c r="E443" s="391" t="str">
        <f t="shared" ca="1" si="19"/>
        <v/>
      </c>
      <c r="F443" s="23" t="str">
        <f ca="1">IFERROR(VLOOKUP(Tabela4[[#This Row],[Cabo]],BD!A:V,2,0),"")</f>
        <v/>
      </c>
      <c r="G443" s="391" t="str">
        <f ca="1">IFERROR(VLOOKUP(Tabela4[[#This Row],[Cabo]],BD!A:V,5,0),"")</f>
        <v/>
      </c>
      <c r="H443" s="23" t="str">
        <f ca="1">IFERROR(VLOOKUP(Tabela4[[#This Row],[Cabo]],BD!A:V,3,0),"")</f>
        <v/>
      </c>
      <c r="I443" s="23" t="str">
        <f ca="1">IFERROR(VLOOKUP(Tabela4[[#This Row],[Cabo]],BD!A:V,4,0),"")</f>
        <v/>
      </c>
      <c r="J443" s="23" t="str">
        <f ca="1">IFERROR(VLOOKUP(Tabela4[[#This Row],[Cabo]],BD!A:V,7,0),"")</f>
        <v/>
      </c>
      <c r="K44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3" s="23" t="str">
        <f ca="1">IFERROR(VLOOKUP(Tabela4[[#This Row],[Cabo]],BD!A:V,9,0),"")</f>
        <v/>
      </c>
      <c r="M443" s="23" t="str">
        <f ca="1">IFERROR(VLOOKUP(Tabela4[[#This Row],[Cabo]],BD!A:AD,30,0),"")</f>
        <v/>
      </c>
      <c r="N443" s="23" t="str">
        <f ca="1">IF(SUMIF('Lançamento de Cabos'!B:B,Tabela4[[#This Row],[Cabo]],'Lançamento de Cabos'!C:C)=0,"",SUMIF('Lançamento de Cabos'!B:B,Tabela4[[#This Row],[Cabo]],'Lançamento de Cabos'!C:C))</f>
        <v/>
      </c>
      <c r="O443" s="28" t="str">
        <f ca="1">IFERROR(IF(Tabela4[[#This Row],[Compr. Lançado]]/Tabela4[[#This Row],[Compr. Prev.]]&gt;1,1,Tabela4[[#This Row],[Compr. Lançado]]/Tabela4[[#This Row],[Compr. Prev.]]),"")</f>
        <v/>
      </c>
      <c r="P443" s="24" t="str">
        <f ca="1">IFERROR(VLOOKUP(Tabela4[[#This Row],[Cabo]],BD!A:V,11,0),"")</f>
        <v/>
      </c>
      <c r="Q443" s="24" t="str">
        <f ca="1">IFERROR(VLOOKUP(Tabela4[[#This Row],[Cabo]],BD!A:V,12,0),"")</f>
        <v/>
      </c>
      <c r="R44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3" s="23" t="str">
        <f ca="1">IF(Tabela4[[#This Row],[Cabo]]&lt;&gt;"",4-COUNTIF(Tabela4[[#This Row],[Teste de Continuidade]:[Hipot]],"---"),"")</f>
        <v/>
      </c>
      <c r="W443" s="29" t="str">
        <f ca="1">IF(Tabela4[[#This Row],[Cabo]]&lt;&gt;"",(COUNTIF(Tabela4[[#This Row],[Teste de Continuidade]:[Hipot]],"OK"))/(4-COUNTIF(Tabela4[[#This Row],[Teste de Continuidade]:[Hipot]],"---")),"")</f>
        <v/>
      </c>
      <c r="X443" s="23" t="str">
        <f ca="1">IF(Tabela4[[#This Row],[Cabo]]&lt;&gt;"",SUMIFS('Lançamento de Cabos'!$AF:$AF,'Lançamento de Cabos'!AE:AE,Tabela4[[#This Row],[Cabo]],'Lançamento de Cabos'!AJ:AJ,Área!$B$1),"")</f>
        <v/>
      </c>
      <c r="Y443" s="23" t="str">
        <f ca="1">IF(Tabela4[[#This Row],[Cabo]]&lt;&gt;"",SUMIFS('Lançamento de Cabos'!$AG:$AG,'Lançamento de Cabos'!AE:AE,Tabela4[[#This Row],[Cabo]],'Lançamento de Cabos'!AJ:AJ,Área!$B$1),"")</f>
        <v/>
      </c>
      <c r="Z443" s="23" t="e">
        <f ca="1">VLOOKUP(Tabela4[[#This Row],[Cabo]],BD!A:AB,28,0)</f>
        <v>#N/A</v>
      </c>
    </row>
    <row r="444" spans="3:26" x14ac:dyDescent="0.25">
      <c r="C444" s="391" t="str">
        <f ca="1">IF($B$1="Geral",Tabela1[[#This Row],[Tag do Cabo]],IFERROR(INDEX(INDIRECT("BD!$A"&amp;D444&amp;":$A100000"),E444,1),""))</f>
        <v/>
      </c>
      <c r="D444" s="391" t="str">
        <f t="shared" ca="1" si="18"/>
        <v/>
      </c>
      <c r="E444" s="391" t="str">
        <f t="shared" ca="1" si="19"/>
        <v/>
      </c>
      <c r="F444" s="23" t="str">
        <f ca="1">IFERROR(VLOOKUP(Tabela4[[#This Row],[Cabo]],BD!A:V,2,0),"")</f>
        <v/>
      </c>
      <c r="G444" s="391" t="str">
        <f ca="1">IFERROR(VLOOKUP(Tabela4[[#This Row],[Cabo]],BD!A:V,5,0),"")</f>
        <v/>
      </c>
      <c r="H444" s="23" t="str">
        <f ca="1">IFERROR(VLOOKUP(Tabela4[[#This Row],[Cabo]],BD!A:V,3,0),"")</f>
        <v/>
      </c>
      <c r="I444" s="23" t="str">
        <f ca="1">IFERROR(VLOOKUP(Tabela4[[#This Row],[Cabo]],BD!A:V,4,0),"")</f>
        <v/>
      </c>
      <c r="J444" s="23" t="str">
        <f ca="1">IFERROR(VLOOKUP(Tabela4[[#This Row],[Cabo]],BD!A:V,7,0),"")</f>
        <v/>
      </c>
      <c r="K44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4" s="23" t="str">
        <f ca="1">IFERROR(VLOOKUP(Tabela4[[#This Row],[Cabo]],BD!A:V,9,0),"")</f>
        <v/>
      </c>
      <c r="M444" s="23" t="str">
        <f ca="1">IFERROR(VLOOKUP(Tabela4[[#This Row],[Cabo]],BD!A:AD,30,0),"")</f>
        <v/>
      </c>
      <c r="N444" s="23" t="str">
        <f ca="1">IF(SUMIF('Lançamento de Cabos'!B:B,Tabela4[[#This Row],[Cabo]],'Lançamento de Cabos'!C:C)=0,"",SUMIF('Lançamento de Cabos'!B:B,Tabela4[[#This Row],[Cabo]],'Lançamento de Cabos'!C:C))</f>
        <v/>
      </c>
      <c r="O444" s="28" t="str">
        <f ca="1">IFERROR(IF(Tabela4[[#This Row],[Compr. Lançado]]/Tabela4[[#This Row],[Compr. Prev.]]&gt;1,1,Tabela4[[#This Row],[Compr. Lançado]]/Tabela4[[#This Row],[Compr. Prev.]]),"")</f>
        <v/>
      </c>
      <c r="P444" s="24" t="str">
        <f ca="1">IFERROR(VLOOKUP(Tabela4[[#This Row],[Cabo]],BD!A:V,11,0),"")</f>
        <v/>
      </c>
      <c r="Q444" s="24" t="str">
        <f ca="1">IFERROR(VLOOKUP(Tabela4[[#This Row],[Cabo]],BD!A:V,12,0),"")</f>
        <v/>
      </c>
      <c r="R44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4" s="23" t="str">
        <f ca="1">IF(Tabela4[[#This Row],[Cabo]]&lt;&gt;"",4-COUNTIF(Tabela4[[#This Row],[Teste de Continuidade]:[Hipot]],"---"),"")</f>
        <v/>
      </c>
      <c r="W444" s="29" t="str">
        <f ca="1">IF(Tabela4[[#This Row],[Cabo]]&lt;&gt;"",(COUNTIF(Tabela4[[#This Row],[Teste de Continuidade]:[Hipot]],"OK"))/(4-COUNTIF(Tabela4[[#This Row],[Teste de Continuidade]:[Hipot]],"---")),"")</f>
        <v/>
      </c>
      <c r="X444" s="23" t="str">
        <f ca="1">IF(Tabela4[[#This Row],[Cabo]]&lt;&gt;"",SUMIFS('Lançamento de Cabos'!$AF:$AF,'Lançamento de Cabos'!AE:AE,Tabela4[[#This Row],[Cabo]],'Lançamento de Cabos'!AJ:AJ,Área!$B$1),"")</f>
        <v/>
      </c>
      <c r="Y444" s="23" t="str">
        <f ca="1">IF(Tabela4[[#This Row],[Cabo]]&lt;&gt;"",SUMIFS('Lançamento de Cabos'!$AG:$AG,'Lançamento de Cabos'!AE:AE,Tabela4[[#This Row],[Cabo]],'Lançamento de Cabos'!AJ:AJ,Área!$B$1),"")</f>
        <v/>
      </c>
      <c r="Z444" s="23" t="e">
        <f ca="1">VLOOKUP(Tabela4[[#This Row],[Cabo]],BD!A:AB,28,0)</f>
        <v>#N/A</v>
      </c>
    </row>
    <row r="445" spans="3:26" x14ac:dyDescent="0.25">
      <c r="C445" s="391" t="str">
        <f ca="1">IF($B$1="Geral",Tabela1[[#This Row],[Tag do Cabo]],IFERROR(INDEX(INDIRECT("BD!$A"&amp;D445&amp;":$A100000"),E445,1),""))</f>
        <v/>
      </c>
      <c r="D445" s="391" t="str">
        <f t="shared" ca="1" si="18"/>
        <v/>
      </c>
      <c r="E445" s="391" t="str">
        <f t="shared" ca="1" si="19"/>
        <v/>
      </c>
      <c r="F445" s="23" t="str">
        <f ca="1">IFERROR(VLOOKUP(Tabela4[[#This Row],[Cabo]],BD!A:V,2,0),"")</f>
        <v/>
      </c>
      <c r="G445" s="391" t="str">
        <f ca="1">IFERROR(VLOOKUP(Tabela4[[#This Row],[Cabo]],BD!A:V,5,0),"")</f>
        <v/>
      </c>
      <c r="H445" s="23" t="str">
        <f ca="1">IFERROR(VLOOKUP(Tabela4[[#This Row],[Cabo]],BD!A:V,3,0),"")</f>
        <v/>
      </c>
      <c r="I445" s="23" t="str">
        <f ca="1">IFERROR(VLOOKUP(Tabela4[[#This Row],[Cabo]],BD!A:V,4,0),"")</f>
        <v/>
      </c>
      <c r="J445" s="23" t="str">
        <f ca="1">IFERROR(VLOOKUP(Tabela4[[#This Row],[Cabo]],BD!A:V,7,0),"")</f>
        <v/>
      </c>
      <c r="K44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5" s="23" t="str">
        <f ca="1">IFERROR(VLOOKUP(Tabela4[[#This Row],[Cabo]],BD!A:V,9,0),"")</f>
        <v/>
      </c>
      <c r="M445" s="23" t="str">
        <f ca="1">IFERROR(VLOOKUP(Tabela4[[#This Row],[Cabo]],BD!A:AD,30,0),"")</f>
        <v/>
      </c>
      <c r="N445" s="23" t="str">
        <f ca="1">IF(SUMIF('Lançamento de Cabos'!B:B,Tabela4[[#This Row],[Cabo]],'Lançamento de Cabos'!C:C)=0,"",SUMIF('Lançamento de Cabos'!B:B,Tabela4[[#This Row],[Cabo]],'Lançamento de Cabos'!C:C))</f>
        <v/>
      </c>
      <c r="O445" s="28" t="str">
        <f ca="1">IFERROR(IF(Tabela4[[#This Row],[Compr. Lançado]]/Tabela4[[#This Row],[Compr. Prev.]]&gt;1,1,Tabela4[[#This Row],[Compr. Lançado]]/Tabela4[[#This Row],[Compr. Prev.]]),"")</f>
        <v/>
      </c>
      <c r="P445" s="24" t="str">
        <f ca="1">IFERROR(VLOOKUP(Tabela4[[#This Row],[Cabo]],BD!A:V,11,0),"")</f>
        <v/>
      </c>
      <c r="Q445" s="24" t="str">
        <f ca="1">IFERROR(VLOOKUP(Tabela4[[#This Row],[Cabo]],BD!A:V,12,0),"")</f>
        <v/>
      </c>
      <c r="R44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5" s="23" t="str">
        <f ca="1">IF(Tabela4[[#This Row],[Cabo]]&lt;&gt;"",4-COUNTIF(Tabela4[[#This Row],[Teste de Continuidade]:[Hipot]],"---"),"")</f>
        <v/>
      </c>
      <c r="W445" s="29" t="str">
        <f ca="1">IF(Tabela4[[#This Row],[Cabo]]&lt;&gt;"",(COUNTIF(Tabela4[[#This Row],[Teste de Continuidade]:[Hipot]],"OK"))/(4-COUNTIF(Tabela4[[#This Row],[Teste de Continuidade]:[Hipot]],"---")),"")</f>
        <v/>
      </c>
      <c r="X445" s="23" t="str">
        <f ca="1">IF(Tabela4[[#This Row],[Cabo]]&lt;&gt;"",SUMIFS('Lançamento de Cabos'!$AF:$AF,'Lançamento de Cabos'!AE:AE,Tabela4[[#This Row],[Cabo]],'Lançamento de Cabos'!AJ:AJ,Área!$B$1),"")</f>
        <v/>
      </c>
      <c r="Y445" s="23" t="str">
        <f ca="1">IF(Tabela4[[#This Row],[Cabo]]&lt;&gt;"",SUMIFS('Lançamento de Cabos'!$AG:$AG,'Lançamento de Cabos'!AE:AE,Tabela4[[#This Row],[Cabo]],'Lançamento de Cabos'!AJ:AJ,Área!$B$1),"")</f>
        <v/>
      </c>
      <c r="Z445" s="23" t="e">
        <f ca="1">VLOOKUP(Tabela4[[#This Row],[Cabo]],BD!A:AB,28,0)</f>
        <v>#N/A</v>
      </c>
    </row>
    <row r="446" spans="3:26" x14ac:dyDescent="0.25">
      <c r="C446" s="391" t="str">
        <f ca="1">IF($B$1="Geral",Tabela1[[#This Row],[Tag do Cabo]],IFERROR(INDEX(INDIRECT("BD!$A"&amp;D446&amp;":$A100000"),E446,1),""))</f>
        <v/>
      </c>
      <c r="D446" s="391" t="str">
        <f t="shared" ca="1" si="18"/>
        <v/>
      </c>
      <c r="E446" s="391" t="str">
        <f t="shared" ca="1" si="19"/>
        <v/>
      </c>
      <c r="F446" s="23" t="str">
        <f ca="1">IFERROR(VLOOKUP(Tabela4[[#This Row],[Cabo]],BD!A:V,2,0),"")</f>
        <v/>
      </c>
      <c r="G446" s="391" t="str">
        <f ca="1">IFERROR(VLOOKUP(Tabela4[[#This Row],[Cabo]],BD!A:V,5,0),"")</f>
        <v/>
      </c>
      <c r="H446" s="23" t="str">
        <f ca="1">IFERROR(VLOOKUP(Tabela4[[#This Row],[Cabo]],BD!A:V,3,0),"")</f>
        <v/>
      </c>
      <c r="I446" s="23" t="str">
        <f ca="1">IFERROR(VLOOKUP(Tabela4[[#This Row],[Cabo]],BD!A:V,4,0),"")</f>
        <v/>
      </c>
      <c r="J446" s="23" t="str">
        <f ca="1">IFERROR(VLOOKUP(Tabela4[[#This Row],[Cabo]],BD!A:V,7,0),"")</f>
        <v/>
      </c>
      <c r="K44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6" s="23" t="str">
        <f ca="1">IFERROR(VLOOKUP(Tabela4[[#This Row],[Cabo]],BD!A:V,9,0),"")</f>
        <v/>
      </c>
      <c r="M446" s="23" t="str">
        <f ca="1">IFERROR(VLOOKUP(Tabela4[[#This Row],[Cabo]],BD!A:AD,30,0),"")</f>
        <v/>
      </c>
      <c r="N446" s="23" t="str">
        <f ca="1">IF(SUMIF('Lançamento de Cabos'!B:B,Tabela4[[#This Row],[Cabo]],'Lançamento de Cabos'!C:C)=0,"",SUMIF('Lançamento de Cabos'!B:B,Tabela4[[#This Row],[Cabo]],'Lançamento de Cabos'!C:C))</f>
        <v/>
      </c>
      <c r="O446" s="28" t="str">
        <f ca="1">IFERROR(IF(Tabela4[[#This Row],[Compr. Lançado]]/Tabela4[[#This Row],[Compr. Prev.]]&gt;1,1,Tabela4[[#This Row],[Compr. Lançado]]/Tabela4[[#This Row],[Compr. Prev.]]),"")</f>
        <v/>
      </c>
      <c r="P446" s="24" t="str">
        <f ca="1">IFERROR(VLOOKUP(Tabela4[[#This Row],[Cabo]],BD!A:V,11,0),"")</f>
        <v/>
      </c>
      <c r="Q446" s="24" t="str">
        <f ca="1">IFERROR(VLOOKUP(Tabela4[[#This Row],[Cabo]],BD!A:V,12,0),"")</f>
        <v/>
      </c>
      <c r="R44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6" s="23" t="str">
        <f ca="1">IF(Tabela4[[#This Row],[Cabo]]&lt;&gt;"",4-COUNTIF(Tabela4[[#This Row],[Teste de Continuidade]:[Hipot]],"---"),"")</f>
        <v/>
      </c>
      <c r="W446" s="29" t="str">
        <f ca="1">IF(Tabela4[[#This Row],[Cabo]]&lt;&gt;"",(COUNTIF(Tabela4[[#This Row],[Teste de Continuidade]:[Hipot]],"OK"))/(4-COUNTIF(Tabela4[[#This Row],[Teste de Continuidade]:[Hipot]],"---")),"")</f>
        <v/>
      </c>
      <c r="X446" s="23" t="str">
        <f ca="1">IF(Tabela4[[#This Row],[Cabo]]&lt;&gt;"",SUMIFS('Lançamento de Cabos'!$AF:$AF,'Lançamento de Cabos'!AE:AE,Tabela4[[#This Row],[Cabo]],'Lançamento de Cabos'!AJ:AJ,Área!$B$1),"")</f>
        <v/>
      </c>
      <c r="Y446" s="23" t="str">
        <f ca="1">IF(Tabela4[[#This Row],[Cabo]]&lt;&gt;"",SUMIFS('Lançamento de Cabos'!$AG:$AG,'Lançamento de Cabos'!AE:AE,Tabela4[[#This Row],[Cabo]],'Lançamento de Cabos'!AJ:AJ,Área!$B$1),"")</f>
        <v/>
      </c>
      <c r="Z446" s="23" t="e">
        <f ca="1">VLOOKUP(Tabela4[[#This Row],[Cabo]],BD!A:AB,28,0)</f>
        <v>#N/A</v>
      </c>
    </row>
    <row r="447" spans="3:26" x14ac:dyDescent="0.25">
      <c r="C447" s="391" t="str">
        <f ca="1">IF($B$1="Geral",Tabela1[[#This Row],[Tag do Cabo]],IFERROR(INDEX(INDIRECT("BD!$A"&amp;D447&amp;":$A100000"),E447,1),""))</f>
        <v/>
      </c>
      <c r="D447" s="391" t="str">
        <f t="shared" ca="1" si="18"/>
        <v/>
      </c>
      <c r="E447" s="391" t="str">
        <f t="shared" ca="1" si="19"/>
        <v/>
      </c>
      <c r="F447" s="23" t="str">
        <f ca="1">IFERROR(VLOOKUP(Tabela4[[#This Row],[Cabo]],BD!A:V,2,0),"")</f>
        <v/>
      </c>
      <c r="G447" s="391" t="str">
        <f ca="1">IFERROR(VLOOKUP(Tabela4[[#This Row],[Cabo]],BD!A:V,5,0),"")</f>
        <v/>
      </c>
      <c r="H447" s="23" t="str">
        <f ca="1">IFERROR(VLOOKUP(Tabela4[[#This Row],[Cabo]],BD!A:V,3,0),"")</f>
        <v/>
      </c>
      <c r="I447" s="23" t="str">
        <f ca="1">IFERROR(VLOOKUP(Tabela4[[#This Row],[Cabo]],BD!A:V,4,0),"")</f>
        <v/>
      </c>
      <c r="J447" s="23" t="str">
        <f ca="1">IFERROR(VLOOKUP(Tabela4[[#This Row],[Cabo]],BD!A:V,7,0),"")</f>
        <v/>
      </c>
      <c r="K44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7" s="23" t="str">
        <f ca="1">IFERROR(VLOOKUP(Tabela4[[#This Row],[Cabo]],BD!A:V,9,0),"")</f>
        <v/>
      </c>
      <c r="M447" s="23" t="str">
        <f ca="1">IFERROR(VLOOKUP(Tabela4[[#This Row],[Cabo]],BD!A:AD,30,0),"")</f>
        <v/>
      </c>
      <c r="N447" s="23" t="str">
        <f ca="1">IF(SUMIF('Lançamento de Cabos'!B:B,Tabela4[[#This Row],[Cabo]],'Lançamento de Cabos'!C:C)=0,"",SUMIF('Lançamento de Cabos'!B:B,Tabela4[[#This Row],[Cabo]],'Lançamento de Cabos'!C:C))</f>
        <v/>
      </c>
      <c r="O447" s="28" t="str">
        <f ca="1">IFERROR(IF(Tabela4[[#This Row],[Compr. Lançado]]/Tabela4[[#This Row],[Compr. Prev.]]&gt;1,1,Tabela4[[#This Row],[Compr. Lançado]]/Tabela4[[#This Row],[Compr. Prev.]]),"")</f>
        <v/>
      </c>
      <c r="P447" s="24" t="str">
        <f ca="1">IFERROR(VLOOKUP(Tabela4[[#This Row],[Cabo]],BD!A:V,11,0),"")</f>
        <v/>
      </c>
      <c r="Q447" s="24" t="str">
        <f ca="1">IFERROR(VLOOKUP(Tabela4[[#This Row],[Cabo]],BD!A:V,12,0),"")</f>
        <v/>
      </c>
      <c r="R44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7" s="23" t="str">
        <f ca="1">IF(Tabela4[[#This Row],[Cabo]]&lt;&gt;"",4-COUNTIF(Tabela4[[#This Row],[Teste de Continuidade]:[Hipot]],"---"),"")</f>
        <v/>
      </c>
      <c r="W447" s="29" t="str">
        <f ca="1">IF(Tabela4[[#This Row],[Cabo]]&lt;&gt;"",(COUNTIF(Tabela4[[#This Row],[Teste de Continuidade]:[Hipot]],"OK"))/(4-COUNTIF(Tabela4[[#This Row],[Teste de Continuidade]:[Hipot]],"---")),"")</f>
        <v/>
      </c>
      <c r="X447" s="23" t="str">
        <f ca="1">IF(Tabela4[[#This Row],[Cabo]]&lt;&gt;"",SUMIFS('Lançamento de Cabos'!$AF:$AF,'Lançamento de Cabos'!AE:AE,Tabela4[[#This Row],[Cabo]],'Lançamento de Cabos'!AJ:AJ,Área!$B$1),"")</f>
        <v/>
      </c>
      <c r="Y447" s="23" t="str">
        <f ca="1">IF(Tabela4[[#This Row],[Cabo]]&lt;&gt;"",SUMIFS('Lançamento de Cabos'!$AG:$AG,'Lançamento de Cabos'!AE:AE,Tabela4[[#This Row],[Cabo]],'Lançamento de Cabos'!AJ:AJ,Área!$B$1),"")</f>
        <v/>
      </c>
      <c r="Z447" s="23" t="e">
        <f ca="1">VLOOKUP(Tabela4[[#This Row],[Cabo]],BD!A:AB,28,0)</f>
        <v>#N/A</v>
      </c>
    </row>
    <row r="448" spans="3:26" x14ac:dyDescent="0.25">
      <c r="C448" s="391" t="str">
        <f ca="1">IF($B$1="Geral",Tabela1[[#This Row],[Tag do Cabo]],IFERROR(INDEX(INDIRECT("BD!$A"&amp;D448&amp;":$A100000"),E448,1),""))</f>
        <v/>
      </c>
      <c r="D448" s="391" t="str">
        <f t="shared" ca="1" si="18"/>
        <v/>
      </c>
      <c r="E448" s="391" t="str">
        <f t="shared" ca="1" si="19"/>
        <v/>
      </c>
      <c r="F448" s="23" t="str">
        <f ca="1">IFERROR(VLOOKUP(Tabela4[[#This Row],[Cabo]],BD!A:V,2,0),"")</f>
        <v/>
      </c>
      <c r="G448" s="391" t="str">
        <f ca="1">IFERROR(VLOOKUP(Tabela4[[#This Row],[Cabo]],BD!A:V,5,0),"")</f>
        <v/>
      </c>
      <c r="H448" s="23" t="str">
        <f ca="1">IFERROR(VLOOKUP(Tabela4[[#This Row],[Cabo]],BD!A:V,3,0),"")</f>
        <v/>
      </c>
      <c r="I448" s="23" t="str">
        <f ca="1">IFERROR(VLOOKUP(Tabela4[[#This Row],[Cabo]],BD!A:V,4,0),"")</f>
        <v/>
      </c>
      <c r="J448" s="23" t="str">
        <f ca="1">IFERROR(VLOOKUP(Tabela4[[#This Row],[Cabo]],BD!A:V,7,0),"")</f>
        <v/>
      </c>
      <c r="K44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8" s="23" t="str">
        <f ca="1">IFERROR(VLOOKUP(Tabela4[[#This Row],[Cabo]],BD!A:V,9,0),"")</f>
        <v/>
      </c>
      <c r="M448" s="23" t="str">
        <f ca="1">IFERROR(VLOOKUP(Tabela4[[#This Row],[Cabo]],BD!A:AD,30,0),"")</f>
        <v/>
      </c>
      <c r="N448" s="23" t="str">
        <f ca="1">IF(SUMIF('Lançamento de Cabos'!B:B,Tabela4[[#This Row],[Cabo]],'Lançamento de Cabos'!C:C)=0,"",SUMIF('Lançamento de Cabos'!B:B,Tabela4[[#This Row],[Cabo]],'Lançamento de Cabos'!C:C))</f>
        <v/>
      </c>
      <c r="O448" s="28" t="str">
        <f ca="1">IFERROR(IF(Tabela4[[#This Row],[Compr. Lançado]]/Tabela4[[#This Row],[Compr. Prev.]]&gt;1,1,Tabela4[[#This Row],[Compr. Lançado]]/Tabela4[[#This Row],[Compr. Prev.]]),"")</f>
        <v/>
      </c>
      <c r="P448" s="24" t="str">
        <f ca="1">IFERROR(VLOOKUP(Tabela4[[#This Row],[Cabo]],BD!A:V,11,0),"")</f>
        <v/>
      </c>
      <c r="Q448" s="24" t="str">
        <f ca="1">IFERROR(VLOOKUP(Tabela4[[#This Row],[Cabo]],BD!A:V,12,0),"")</f>
        <v/>
      </c>
      <c r="R44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8" s="23" t="str">
        <f ca="1">IF(Tabela4[[#This Row],[Cabo]]&lt;&gt;"",4-COUNTIF(Tabela4[[#This Row],[Teste de Continuidade]:[Hipot]],"---"),"")</f>
        <v/>
      </c>
      <c r="W448" s="29" t="str">
        <f ca="1">IF(Tabela4[[#This Row],[Cabo]]&lt;&gt;"",(COUNTIF(Tabela4[[#This Row],[Teste de Continuidade]:[Hipot]],"OK"))/(4-COUNTIF(Tabela4[[#This Row],[Teste de Continuidade]:[Hipot]],"---")),"")</f>
        <v/>
      </c>
      <c r="X448" s="23" t="str">
        <f ca="1">IF(Tabela4[[#This Row],[Cabo]]&lt;&gt;"",SUMIFS('Lançamento de Cabos'!$AF:$AF,'Lançamento de Cabos'!AE:AE,Tabela4[[#This Row],[Cabo]],'Lançamento de Cabos'!AJ:AJ,Área!$B$1),"")</f>
        <v/>
      </c>
      <c r="Y448" s="23" t="str">
        <f ca="1">IF(Tabela4[[#This Row],[Cabo]]&lt;&gt;"",SUMIFS('Lançamento de Cabos'!$AG:$AG,'Lançamento de Cabos'!AE:AE,Tabela4[[#This Row],[Cabo]],'Lançamento de Cabos'!AJ:AJ,Área!$B$1),"")</f>
        <v/>
      </c>
      <c r="Z448" s="23" t="e">
        <f ca="1">VLOOKUP(Tabela4[[#This Row],[Cabo]],BD!A:AB,28,0)</f>
        <v>#N/A</v>
      </c>
    </row>
    <row r="449" spans="3:26" x14ac:dyDescent="0.25">
      <c r="C449" s="391" t="str">
        <f ca="1">IF($B$1="Geral",Tabela1[[#This Row],[Tag do Cabo]],IFERROR(INDEX(INDIRECT("BD!$A"&amp;D449&amp;":$A100000"),E449,1),""))</f>
        <v/>
      </c>
      <c r="D449" s="391" t="str">
        <f t="shared" ca="1" si="18"/>
        <v/>
      </c>
      <c r="E449" s="391" t="str">
        <f t="shared" ca="1" si="19"/>
        <v/>
      </c>
      <c r="F449" s="23" t="str">
        <f ca="1">IFERROR(VLOOKUP(Tabela4[[#This Row],[Cabo]],BD!A:V,2,0),"")</f>
        <v/>
      </c>
      <c r="G449" s="391" t="str">
        <f ca="1">IFERROR(VLOOKUP(Tabela4[[#This Row],[Cabo]],BD!A:V,5,0),"")</f>
        <v/>
      </c>
      <c r="H449" s="23" t="str">
        <f ca="1">IFERROR(VLOOKUP(Tabela4[[#This Row],[Cabo]],BD!A:V,3,0),"")</f>
        <v/>
      </c>
      <c r="I449" s="23" t="str">
        <f ca="1">IFERROR(VLOOKUP(Tabela4[[#This Row],[Cabo]],BD!A:V,4,0),"")</f>
        <v/>
      </c>
      <c r="J449" s="23" t="str">
        <f ca="1">IFERROR(VLOOKUP(Tabela4[[#This Row],[Cabo]],BD!A:V,7,0),"")</f>
        <v/>
      </c>
      <c r="K44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49" s="23" t="str">
        <f ca="1">IFERROR(VLOOKUP(Tabela4[[#This Row],[Cabo]],BD!A:V,9,0),"")</f>
        <v/>
      </c>
      <c r="M449" s="23" t="str">
        <f ca="1">IFERROR(VLOOKUP(Tabela4[[#This Row],[Cabo]],BD!A:AD,30,0),"")</f>
        <v/>
      </c>
      <c r="N449" s="23" t="str">
        <f ca="1">IF(SUMIF('Lançamento de Cabos'!B:B,Tabela4[[#This Row],[Cabo]],'Lançamento de Cabos'!C:C)=0,"",SUMIF('Lançamento de Cabos'!B:B,Tabela4[[#This Row],[Cabo]],'Lançamento de Cabos'!C:C))</f>
        <v/>
      </c>
      <c r="O449" s="28" t="str">
        <f ca="1">IFERROR(IF(Tabela4[[#This Row],[Compr. Lançado]]/Tabela4[[#This Row],[Compr. Prev.]]&gt;1,1,Tabela4[[#This Row],[Compr. Lançado]]/Tabela4[[#This Row],[Compr. Prev.]]),"")</f>
        <v/>
      </c>
      <c r="P449" s="24" t="str">
        <f ca="1">IFERROR(VLOOKUP(Tabela4[[#This Row],[Cabo]],BD!A:V,11,0),"")</f>
        <v/>
      </c>
      <c r="Q449" s="24" t="str">
        <f ca="1">IFERROR(VLOOKUP(Tabela4[[#This Row],[Cabo]],BD!A:V,12,0),"")</f>
        <v/>
      </c>
      <c r="R44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4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4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4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49" s="23" t="str">
        <f ca="1">IF(Tabela4[[#This Row],[Cabo]]&lt;&gt;"",4-COUNTIF(Tabela4[[#This Row],[Teste de Continuidade]:[Hipot]],"---"),"")</f>
        <v/>
      </c>
      <c r="W449" s="29" t="str">
        <f ca="1">IF(Tabela4[[#This Row],[Cabo]]&lt;&gt;"",(COUNTIF(Tabela4[[#This Row],[Teste de Continuidade]:[Hipot]],"OK"))/(4-COUNTIF(Tabela4[[#This Row],[Teste de Continuidade]:[Hipot]],"---")),"")</f>
        <v/>
      </c>
      <c r="X449" s="23" t="str">
        <f ca="1">IF(Tabela4[[#This Row],[Cabo]]&lt;&gt;"",SUMIFS('Lançamento de Cabos'!$AF:$AF,'Lançamento de Cabos'!AE:AE,Tabela4[[#This Row],[Cabo]],'Lançamento de Cabos'!AJ:AJ,Área!$B$1),"")</f>
        <v/>
      </c>
      <c r="Y449" s="23" t="str">
        <f ca="1">IF(Tabela4[[#This Row],[Cabo]]&lt;&gt;"",SUMIFS('Lançamento de Cabos'!$AG:$AG,'Lançamento de Cabos'!AE:AE,Tabela4[[#This Row],[Cabo]],'Lançamento de Cabos'!AJ:AJ,Área!$B$1),"")</f>
        <v/>
      </c>
      <c r="Z449" s="23" t="e">
        <f ca="1">VLOOKUP(Tabela4[[#This Row],[Cabo]],BD!A:AB,28,0)</f>
        <v>#N/A</v>
      </c>
    </row>
    <row r="450" spans="3:26" x14ac:dyDescent="0.25">
      <c r="C450" s="391" t="str">
        <f ca="1">IF($B$1="Geral",Tabela1[[#This Row],[Tag do Cabo]],IFERROR(INDEX(INDIRECT("BD!$A"&amp;D450&amp;":$A100000"),E450,1),""))</f>
        <v/>
      </c>
      <c r="D450" s="391" t="str">
        <f t="shared" ca="1" si="18"/>
        <v/>
      </c>
      <c r="E450" s="391" t="str">
        <f t="shared" ca="1" si="19"/>
        <v/>
      </c>
      <c r="F450" s="23" t="str">
        <f ca="1">IFERROR(VLOOKUP(Tabela4[[#This Row],[Cabo]],BD!A:V,2,0),"")</f>
        <v/>
      </c>
      <c r="G450" s="391" t="str">
        <f ca="1">IFERROR(VLOOKUP(Tabela4[[#This Row],[Cabo]],BD!A:V,5,0),"")</f>
        <v/>
      </c>
      <c r="H450" s="23" t="str">
        <f ca="1">IFERROR(VLOOKUP(Tabela4[[#This Row],[Cabo]],BD!A:V,3,0),"")</f>
        <v/>
      </c>
      <c r="I450" s="23" t="str">
        <f ca="1">IFERROR(VLOOKUP(Tabela4[[#This Row],[Cabo]],BD!A:V,4,0),"")</f>
        <v/>
      </c>
      <c r="J450" s="23" t="str">
        <f ca="1">IFERROR(VLOOKUP(Tabela4[[#This Row],[Cabo]],BD!A:V,7,0),"")</f>
        <v/>
      </c>
      <c r="K45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0" s="23" t="str">
        <f ca="1">IFERROR(VLOOKUP(Tabela4[[#This Row],[Cabo]],BD!A:V,9,0),"")</f>
        <v/>
      </c>
      <c r="M450" s="23" t="str">
        <f ca="1">IFERROR(VLOOKUP(Tabela4[[#This Row],[Cabo]],BD!A:AD,30,0),"")</f>
        <v/>
      </c>
      <c r="N450" s="23" t="str">
        <f ca="1">IF(SUMIF('Lançamento de Cabos'!B:B,Tabela4[[#This Row],[Cabo]],'Lançamento de Cabos'!C:C)=0,"",SUMIF('Lançamento de Cabos'!B:B,Tabela4[[#This Row],[Cabo]],'Lançamento de Cabos'!C:C))</f>
        <v/>
      </c>
      <c r="O450" s="28" t="str">
        <f ca="1">IFERROR(IF(Tabela4[[#This Row],[Compr. Lançado]]/Tabela4[[#This Row],[Compr. Prev.]]&gt;1,1,Tabela4[[#This Row],[Compr. Lançado]]/Tabela4[[#This Row],[Compr. Prev.]]),"")</f>
        <v/>
      </c>
      <c r="P450" s="24" t="str">
        <f ca="1">IFERROR(VLOOKUP(Tabela4[[#This Row],[Cabo]],BD!A:V,11,0),"")</f>
        <v/>
      </c>
      <c r="Q450" s="24" t="str">
        <f ca="1">IFERROR(VLOOKUP(Tabela4[[#This Row],[Cabo]],BD!A:V,12,0),"")</f>
        <v/>
      </c>
      <c r="R45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0" s="23" t="str">
        <f ca="1">IF(Tabela4[[#This Row],[Cabo]]&lt;&gt;"",4-COUNTIF(Tabela4[[#This Row],[Teste de Continuidade]:[Hipot]],"---"),"")</f>
        <v/>
      </c>
      <c r="W450" s="29" t="str">
        <f ca="1">IF(Tabela4[[#This Row],[Cabo]]&lt;&gt;"",(COUNTIF(Tabela4[[#This Row],[Teste de Continuidade]:[Hipot]],"OK"))/(4-COUNTIF(Tabela4[[#This Row],[Teste de Continuidade]:[Hipot]],"---")),"")</f>
        <v/>
      </c>
      <c r="X450" s="23" t="str">
        <f ca="1">IF(Tabela4[[#This Row],[Cabo]]&lt;&gt;"",SUMIFS('Lançamento de Cabos'!$AF:$AF,'Lançamento de Cabos'!AE:AE,Tabela4[[#This Row],[Cabo]],'Lançamento de Cabos'!AJ:AJ,Área!$B$1),"")</f>
        <v/>
      </c>
      <c r="Y450" s="23" t="str">
        <f ca="1">IF(Tabela4[[#This Row],[Cabo]]&lt;&gt;"",SUMIFS('Lançamento de Cabos'!$AG:$AG,'Lançamento de Cabos'!AE:AE,Tabela4[[#This Row],[Cabo]],'Lançamento de Cabos'!AJ:AJ,Área!$B$1),"")</f>
        <v/>
      </c>
      <c r="Z450" s="23" t="e">
        <f ca="1">VLOOKUP(Tabela4[[#This Row],[Cabo]],BD!A:AB,28,0)</f>
        <v>#N/A</v>
      </c>
    </row>
    <row r="451" spans="3:26" x14ac:dyDescent="0.25">
      <c r="C451" s="391" t="str">
        <f ca="1">IF($B$1="Geral",Tabela1[[#This Row],[Tag do Cabo]],IFERROR(INDEX(INDIRECT("BD!$A"&amp;D451&amp;":$A100000"),E451,1),""))</f>
        <v/>
      </c>
      <c r="D451" s="391" t="str">
        <f t="shared" ca="1" si="18"/>
        <v/>
      </c>
      <c r="E451" s="391" t="str">
        <f t="shared" ca="1" si="19"/>
        <v/>
      </c>
      <c r="F451" s="23" t="str">
        <f ca="1">IFERROR(VLOOKUP(Tabela4[[#This Row],[Cabo]],BD!A:V,2,0),"")</f>
        <v/>
      </c>
      <c r="G451" s="391" t="str">
        <f ca="1">IFERROR(VLOOKUP(Tabela4[[#This Row],[Cabo]],BD!A:V,5,0),"")</f>
        <v/>
      </c>
      <c r="H451" s="23" t="str">
        <f ca="1">IFERROR(VLOOKUP(Tabela4[[#This Row],[Cabo]],BD!A:V,3,0),"")</f>
        <v/>
      </c>
      <c r="I451" s="23" t="str">
        <f ca="1">IFERROR(VLOOKUP(Tabela4[[#This Row],[Cabo]],BD!A:V,4,0),"")</f>
        <v/>
      </c>
      <c r="J451" s="23" t="str">
        <f ca="1">IFERROR(VLOOKUP(Tabela4[[#This Row],[Cabo]],BD!A:V,7,0),"")</f>
        <v/>
      </c>
      <c r="K45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1" s="23" t="str">
        <f ca="1">IFERROR(VLOOKUP(Tabela4[[#This Row],[Cabo]],BD!A:V,9,0),"")</f>
        <v/>
      </c>
      <c r="M451" s="23" t="str">
        <f ca="1">IFERROR(VLOOKUP(Tabela4[[#This Row],[Cabo]],BD!A:AD,30,0),"")</f>
        <v/>
      </c>
      <c r="N451" s="23" t="str">
        <f ca="1">IF(SUMIF('Lançamento de Cabos'!B:B,Tabela4[[#This Row],[Cabo]],'Lançamento de Cabos'!C:C)=0,"",SUMIF('Lançamento de Cabos'!B:B,Tabela4[[#This Row],[Cabo]],'Lançamento de Cabos'!C:C))</f>
        <v/>
      </c>
      <c r="O451" s="28" t="str">
        <f ca="1">IFERROR(IF(Tabela4[[#This Row],[Compr. Lançado]]/Tabela4[[#This Row],[Compr. Prev.]]&gt;1,1,Tabela4[[#This Row],[Compr. Lançado]]/Tabela4[[#This Row],[Compr. Prev.]]),"")</f>
        <v/>
      </c>
      <c r="P451" s="24" t="str">
        <f ca="1">IFERROR(VLOOKUP(Tabela4[[#This Row],[Cabo]],BD!A:V,11,0),"")</f>
        <v/>
      </c>
      <c r="Q451" s="24" t="str">
        <f ca="1">IFERROR(VLOOKUP(Tabela4[[#This Row],[Cabo]],BD!A:V,12,0),"")</f>
        <v/>
      </c>
      <c r="R45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1" s="23" t="str">
        <f ca="1">IF(Tabela4[[#This Row],[Cabo]]&lt;&gt;"",4-COUNTIF(Tabela4[[#This Row],[Teste de Continuidade]:[Hipot]],"---"),"")</f>
        <v/>
      </c>
      <c r="W451" s="29" t="str">
        <f ca="1">IF(Tabela4[[#This Row],[Cabo]]&lt;&gt;"",(COUNTIF(Tabela4[[#This Row],[Teste de Continuidade]:[Hipot]],"OK"))/(4-COUNTIF(Tabela4[[#This Row],[Teste de Continuidade]:[Hipot]],"---")),"")</f>
        <v/>
      </c>
      <c r="X451" s="23" t="str">
        <f ca="1">IF(Tabela4[[#This Row],[Cabo]]&lt;&gt;"",SUMIFS('Lançamento de Cabos'!$AF:$AF,'Lançamento de Cabos'!AE:AE,Tabela4[[#This Row],[Cabo]],'Lançamento de Cabos'!AJ:AJ,Área!$B$1),"")</f>
        <v/>
      </c>
      <c r="Y451" s="23" t="str">
        <f ca="1">IF(Tabela4[[#This Row],[Cabo]]&lt;&gt;"",SUMIFS('Lançamento de Cabos'!$AG:$AG,'Lançamento de Cabos'!AE:AE,Tabela4[[#This Row],[Cabo]],'Lançamento de Cabos'!AJ:AJ,Área!$B$1),"")</f>
        <v/>
      </c>
      <c r="Z451" s="23" t="e">
        <f ca="1">VLOOKUP(Tabela4[[#This Row],[Cabo]],BD!A:AB,28,0)</f>
        <v>#N/A</v>
      </c>
    </row>
    <row r="452" spans="3:26" x14ac:dyDescent="0.25">
      <c r="C452" s="391" t="str">
        <f ca="1">IF($B$1="Geral",Tabela1[[#This Row],[Tag do Cabo]],IFERROR(INDEX(INDIRECT("BD!$A"&amp;D452&amp;":$A100000"),E452,1),""))</f>
        <v/>
      </c>
      <c r="D452" s="391" t="str">
        <f t="shared" ca="1" si="18"/>
        <v/>
      </c>
      <c r="E452" s="391" t="str">
        <f t="shared" ca="1" si="19"/>
        <v/>
      </c>
      <c r="F452" s="23" t="str">
        <f ca="1">IFERROR(VLOOKUP(Tabela4[[#This Row],[Cabo]],BD!A:V,2,0),"")</f>
        <v/>
      </c>
      <c r="G452" s="391" t="str">
        <f ca="1">IFERROR(VLOOKUP(Tabela4[[#This Row],[Cabo]],BD!A:V,5,0),"")</f>
        <v/>
      </c>
      <c r="H452" s="23" t="str">
        <f ca="1">IFERROR(VLOOKUP(Tabela4[[#This Row],[Cabo]],BD!A:V,3,0),"")</f>
        <v/>
      </c>
      <c r="I452" s="23" t="str">
        <f ca="1">IFERROR(VLOOKUP(Tabela4[[#This Row],[Cabo]],BD!A:V,4,0),"")</f>
        <v/>
      </c>
      <c r="J452" s="23" t="str">
        <f ca="1">IFERROR(VLOOKUP(Tabela4[[#This Row],[Cabo]],BD!A:V,7,0),"")</f>
        <v/>
      </c>
      <c r="K45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2" s="23" t="str">
        <f ca="1">IFERROR(VLOOKUP(Tabela4[[#This Row],[Cabo]],BD!A:V,9,0),"")</f>
        <v/>
      </c>
      <c r="M452" s="23" t="str">
        <f ca="1">IFERROR(VLOOKUP(Tabela4[[#This Row],[Cabo]],BD!A:AD,30,0),"")</f>
        <v/>
      </c>
      <c r="N452" s="23" t="str">
        <f ca="1">IF(SUMIF('Lançamento de Cabos'!B:B,Tabela4[[#This Row],[Cabo]],'Lançamento de Cabos'!C:C)=0,"",SUMIF('Lançamento de Cabos'!B:B,Tabela4[[#This Row],[Cabo]],'Lançamento de Cabos'!C:C))</f>
        <v/>
      </c>
      <c r="O452" s="28" t="str">
        <f ca="1">IFERROR(IF(Tabela4[[#This Row],[Compr. Lançado]]/Tabela4[[#This Row],[Compr. Prev.]]&gt;1,1,Tabela4[[#This Row],[Compr. Lançado]]/Tabela4[[#This Row],[Compr. Prev.]]),"")</f>
        <v/>
      </c>
      <c r="P452" s="24" t="str">
        <f ca="1">IFERROR(VLOOKUP(Tabela4[[#This Row],[Cabo]],BD!A:V,11,0),"")</f>
        <v/>
      </c>
      <c r="Q452" s="24" t="str">
        <f ca="1">IFERROR(VLOOKUP(Tabela4[[#This Row],[Cabo]],BD!A:V,12,0),"")</f>
        <v/>
      </c>
      <c r="R45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2" s="23" t="str">
        <f ca="1">IF(Tabela4[[#This Row],[Cabo]]&lt;&gt;"",4-COUNTIF(Tabela4[[#This Row],[Teste de Continuidade]:[Hipot]],"---"),"")</f>
        <v/>
      </c>
      <c r="W452" s="29" t="str">
        <f ca="1">IF(Tabela4[[#This Row],[Cabo]]&lt;&gt;"",(COUNTIF(Tabela4[[#This Row],[Teste de Continuidade]:[Hipot]],"OK"))/(4-COUNTIF(Tabela4[[#This Row],[Teste de Continuidade]:[Hipot]],"---")),"")</f>
        <v/>
      </c>
      <c r="X452" s="23" t="str">
        <f ca="1">IF(Tabela4[[#This Row],[Cabo]]&lt;&gt;"",SUMIFS('Lançamento de Cabos'!$AF:$AF,'Lançamento de Cabos'!AE:AE,Tabela4[[#This Row],[Cabo]],'Lançamento de Cabos'!AJ:AJ,Área!$B$1),"")</f>
        <v/>
      </c>
      <c r="Y452" s="23" t="str">
        <f ca="1">IF(Tabela4[[#This Row],[Cabo]]&lt;&gt;"",SUMIFS('Lançamento de Cabos'!$AG:$AG,'Lançamento de Cabos'!AE:AE,Tabela4[[#This Row],[Cabo]],'Lançamento de Cabos'!AJ:AJ,Área!$B$1),"")</f>
        <v/>
      </c>
      <c r="Z452" s="23" t="e">
        <f ca="1">VLOOKUP(Tabela4[[#This Row],[Cabo]],BD!A:AB,28,0)</f>
        <v>#N/A</v>
      </c>
    </row>
    <row r="453" spans="3:26" x14ac:dyDescent="0.25">
      <c r="C453" s="391" t="str">
        <f ca="1">IF($B$1="Geral",Tabela1[[#This Row],[Tag do Cabo]],IFERROR(INDEX(INDIRECT("BD!$A"&amp;D453&amp;":$A100000"),E453,1),""))</f>
        <v/>
      </c>
      <c r="D453" s="391" t="str">
        <f t="shared" ca="1" si="18"/>
        <v/>
      </c>
      <c r="E453" s="391" t="str">
        <f t="shared" ca="1" si="19"/>
        <v/>
      </c>
      <c r="F453" s="23" t="str">
        <f ca="1">IFERROR(VLOOKUP(Tabela4[[#This Row],[Cabo]],BD!A:V,2,0),"")</f>
        <v/>
      </c>
      <c r="G453" s="391" t="str">
        <f ca="1">IFERROR(VLOOKUP(Tabela4[[#This Row],[Cabo]],BD!A:V,5,0),"")</f>
        <v/>
      </c>
      <c r="H453" s="23" t="str">
        <f ca="1">IFERROR(VLOOKUP(Tabela4[[#This Row],[Cabo]],BD!A:V,3,0),"")</f>
        <v/>
      </c>
      <c r="I453" s="23" t="str">
        <f ca="1">IFERROR(VLOOKUP(Tabela4[[#This Row],[Cabo]],BD!A:V,4,0),"")</f>
        <v/>
      </c>
      <c r="J453" s="23" t="str">
        <f ca="1">IFERROR(VLOOKUP(Tabela4[[#This Row],[Cabo]],BD!A:V,7,0),"")</f>
        <v/>
      </c>
      <c r="K45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3" s="23" t="str">
        <f ca="1">IFERROR(VLOOKUP(Tabela4[[#This Row],[Cabo]],BD!A:V,9,0),"")</f>
        <v/>
      </c>
      <c r="M453" s="23" t="str">
        <f ca="1">IFERROR(VLOOKUP(Tabela4[[#This Row],[Cabo]],BD!A:AD,30,0),"")</f>
        <v/>
      </c>
      <c r="N453" s="23" t="str">
        <f ca="1">IF(SUMIF('Lançamento de Cabos'!B:B,Tabela4[[#This Row],[Cabo]],'Lançamento de Cabos'!C:C)=0,"",SUMIF('Lançamento de Cabos'!B:B,Tabela4[[#This Row],[Cabo]],'Lançamento de Cabos'!C:C))</f>
        <v/>
      </c>
      <c r="O453" s="28" t="str">
        <f ca="1">IFERROR(IF(Tabela4[[#This Row],[Compr. Lançado]]/Tabela4[[#This Row],[Compr. Prev.]]&gt;1,1,Tabela4[[#This Row],[Compr. Lançado]]/Tabela4[[#This Row],[Compr. Prev.]]),"")</f>
        <v/>
      </c>
      <c r="P453" s="24" t="str">
        <f ca="1">IFERROR(VLOOKUP(Tabela4[[#This Row],[Cabo]],BD!A:V,11,0),"")</f>
        <v/>
      </c>
      <c r="Q453" s="24" t="str">
        <f ca="1">IFERROR(VLOOKUP(Tabela4[[#This Row],[Cabo]],BD!A:V,12,0),"")</f>
        <v/>
      </c>
      <c r="R45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3" s="23" t="str">
        <f ca="1">IF(Tabela4[[#This Row],[Cabo]]&lt;&gt;"",4-COUNTIF(Tabela4[[#This Row],[Teste de Continuidade]:[Hipot]],"---"),"")</f>
        <v/>
      </c>
      <c r="W453" s="29" t="str">
        <f ca="1">IF(Tabela4[[#This Row],[Cabo]]&lt;&gt;"",(COUNTIF(Tabela4[[#This Row],[Teste de Continuidade]:[Hipot]],"OK"))/(4-COUNTIF(Tabela4[[#This Row],[Teste de Continuidade]:[Hipot]],"---")),"")</f>
        <v/>
      </c>
      <c r="X453" s="23" t="str">
        <f ca="1">IF(Tabela4[[#This Row],[Cabo]]&lt;&gt;"",SUMIFS('Lançamento de Cabos'!$AF:$AF,'Lançamento de Cabos'!AE:AE,Tabela4[[#This Row],[Cabo]],'Lançamento de Cabos'!AJ:AJ,Área!$B$1),"")</f>
        <v/>
      </c>
      <c r="Y453" s="23" t="str">
        <f ca="1">IF(Tabela4[[#This Row],[Cabo]]&lt;&gt;"",SUMIFS('Lançamento de Cabos'!$AG:$AG,'Lançamento de Cabos'!AE:AE,Tabela4[[#This Row],[Cabo]],'Lançamento de Cabos'!AJ:AJ,Área!$B$1),"")</f>
        <v/>
      </c>
      <c r="Z453" s="23" t="e">
        <f ca="1">VLOOKUP(Tabela4[[#This Row],[Cabo]],BD!A:AB,28,0)</f>
        <v>#N/A</v>
      </c>
    </row>
    <row r="454" spans="3:26" x14ac:dyDescent="0.25">
      <c r="C454" s="391" t="str">
        <f ca="1">IF($B$1="Geral",Tabela1[[#This Row],[Tag do Cabo]],IFERROR(INDEX(INDIRECT("BD!$A"&amp;D454&amp;":$A100000"),E454,1),""))</f>
        <v/>
      </c>
      <c r="D454" s="391" t="str">
        <f t="shared" ca="1" si="18"/>
        <v/>
      </c>
      <c r="E454" s="391" t="str">
        <f t="shared" ca="1" si="19"/>
        <v/>
      </c>
      <c r="F454" s="23" t="str">
        <f ca="1">IFERROR(VLOOKUP(Tabela4[[#This Row],[Cabo]],BD!A:V,2,0),"")</f>
        <v/>
      </c>
      <c r="G454" s="391" t="str">
        <f ca="1">IFERROR(VLOOKUP(Tabela4[[#This Row],[Cabo]],BD!A:V,5,0),"")</f>
        <v/>
      </c>
      <c r="H454" s="23" t="str">
        <f ca="1">IFERROR(VLOOKUP(Tabela4[[#This Row],[Cabo]],BD!A:V,3,0),"")</f>
        <v/>
      </c>
      <c r="I454" s="23" t="str">
        <f ca="1">IFERROR(VLOOKUP(Tabela4[[#This Row],[Cabo]],BD!A:V,4,0),"")</f>
        <v/>
      </c>
      <c r="J454" s="23" t="str">
        <f ca="1">IFERROR(VLOOKUP(Tabela4[[#This Row],[Cabo]],BD!A:V,7,0),"")</f>
        <v/>
      </c>
      <c r="K45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4" s="23" t="str">
        <f ca="1">IFERROR(VLOOKUP(Tabela4[[#This Row],[Cabo]],BD!A:V,9,0),"")</f>
        <v/>
      </c>
      <c r="M454" s="23" t="str">
        <f ca="1">IFERROR(VLOOKUP(Tabela4[[#This Row],[Cabo]],BD!A:AD,30,0),"")</f>
        <v/>
      </c>
      <c r="N454" s="23" t="str">
        <f ca="1">IF(SUMIF('Lançamento de Cabos'!B:B,Tabela4[[#This Row],[Cabo]],'Lançamento de Cabos'!C:C)=0,"",SUMIF('Lançamento de Cabos'!B:B,Tabela4[[#This Row],[Cabo]],'Lançamento de Cabos'!C:C))</f>
        <v/>
      </c>
      <c r="O454" s="28" t="str">
        <f ca="1">IFERROR(IF(Tabela4[[#This Row],[Compr. Lançado]]/Tabela4[[#This Row],[Compr. Prev.]]&gt;1,1,Tabela4[[#This Row],[Compr. Lançado]]/Tabela4[[#This Row],[Compr. Prev.]]),"")</f>
        <v/>
      </c>
      <c r="P454" s="24" t="str">
        <f ca="1">IFERROR(VLOOKUP(Tabela4[[#This Row],[Cabo]],BD!A:V,11,0),"")</f>
        <v/>
      </c>
      <c r="Q454" s="24" t="str">
        <f ca="1">IFERROR(VLOOKUP(Tabela4[[#This Row],[Cabo]],BD!A:V,12,0),"")</f>
        <v/>
      </c>
      <c r="R45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4" s="23" t="str">
        <f ca="1">IF(Tabela4[[#This Row],[Cabo]]&lt;&gt;"",4-COUNTIF(Tabela4[[#This Row],[Teste de Continuidade]:[Hipot]],"---"),"")</f>
        <v/>
      </c>
      <c r="W454" s="29" t="str">
        <f ca="1">IF(Tabela4[[#This Row],[Cabo]]&lt;&gt;"",(COUNTIF(Tabela4[[#This Row],[Teste de Continuidade]:[Hipot]],"OK"))/(4-COUNTIF(Tabela4[[#This Row],[Teste de Continuidade]:[Hipot]],"---")),"")</f>
        <v/>
      </c>
      <c r="X454" s="23" t="str">
        <f ca="1">IF(Tabela4[[#This Row],[Cabo]]&lt;&gt;"",SUMIFS('Lançamento de Cabos'!$AF:$AF,'Lançamento de Cabos'!AE:AE,Tabela4[[#This Row],[Cabo]],'Lançamento de Cabos'!AJ:AJ,Área!$B$1),"")</f>
        <v/>
      </c>
      <c r="Y454" s="23" t="str">
        <f ca="1">IF(Tabela4[[#This Row],[Cabo]]&lt;&gt;"",SUMIFS('Lançamento de Cabos'!$AG:$AG,'Lançamento de Cabos'!AE:AE,Tabela4[[#This Row],[Cabo]],'Lançamento de Cabos'!AJ:AJ,Área!$B$1),"")</f>
        <v/>
      </c>
      <c r="Z454" s="23" t="e">
        <f ca="1">VLOOKUP(Tabela4[[#This Row],[Cabo]],BD!A:AB,28,0)</f>
        <v>#N/A</v>
      </c>
    </row>
    <row r="455" spans="3:26" x14ac:dyDescent="0.25">
      <c r="C455" s="391" t="str">
        <f ca="1">IF($B$1="Geral",Tabela1[[#This Row],[Tag do Cabo]],IFERROR(INDEX(INDIRECT("BD!$A"&amp;D455&amp;":$A100000"),E455,1),""))</f>
        <v/>
      </c>
      <c r="D455" s="391" t="str">
        <f t="shared" ca="1" si="18"/>
        <v/>
      </c>
      <c r="E455" s="391" t="str">
        <f t="shared" ca="1" si="19"/>
        <v/>
      </c>
      <c r="F455" s="23" t="str">
        <f ca="1">IFERROR(VLOOKUP(Tabela4[[#This Row],[Cabo]],BD!A:V,2,0),"")</f>
        <v/>
      </c>
      <c r="G455" s="391" t="str">
        <f ca="1">IFERROR(VLOOKUP(Tabela4[[#This Row],[Cabo]],BD!A:V,5,0),"")</f>
        <v/>
      </c>
      <c r="H455" s="23" t="str">
        <f ca="1">IFERROR(VLOOKUP(Tabela4[[#This Row],[Cabo]],BD!A:V,3,0),"")</f>
        <v/>
      </c>
      <c r="I455" s="23" t="str">
        <f ca="1">IFERROR(VLOOKUP(Tabela4[[#This Row],[Cabo]],BD!A:V,4,0),"")</f>
        <v/>
      </c>
      <c r="J455" s="23" t="str">
        <f ca="1">IFERROR(VLOOKUP(Tabela4[[#This Row],[Cabo]],BD!A:V,7,0),"")</f>
        <v/>
      </c>
      <c r="K45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5" s="23" t="str">
        <f ca="1">IFERROR(VLOOKUP(Tabela4[[#This Row],[Cabo]],BD!A:V,9,0),"")</f>
        <v/>
      </c>
      <c r="M455" s="23" t="str">
        <f ca="1">IFERROR(VLOOKUP(Tabela4[[#This Row],[Cabo]],BD!A:AD,30,0),"")</f>
        <v/>
      </c>
      <c r="N455" s="23" t="str">
        <f ca="1">IF(SUMIF('Lançamento de Cabos'!B:B,Tabela4[[#This Row],[Cabo]],'Lançamento de Cabos'!C:C)=0,"",SUMIF('Lançamento de Cabos'!B:B,Tabela4[[#This Row],[Cabo]],'Lançamento de Cabos'!C:C))</f>
        <v/>
      </c>
      <c r="O455" s="28" t="str">
        <f ca="1">IFERROR(IF(Tabela4[[#This Row],[Compr. Lançado]]/Tabela4[[#This Row],[Compr. Prev.]]&gt;1,1,Tabela4[[#This Row],[Compr. Lançado]]/Tabela4[[#This Row],[Compr. Prev.]]),"")</f>
        <v/>
      </c>
      <c r="P455" s="24" t="str">
        <f ca="1">IFERROR(VLOOKUP(Tabela4[[#This Row],[Cabo]],BD!A:V,11,0),"")</f>
        <v/>
      </c>
      <c r="Q455" s="24" t="str">
        <f ca="1">IFERROR(VLOOKUP(Tabela4[[#This Row],[Cabo]],BD!A:V,12,0),"")</f>
        <v/>
      </c>
      <c r="R45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5" s="23" t="str">
        <f ca="1">IF(Tabela4[[#This Row],[Cabo]]&lt;&gt;"",4-COUNTIF(Tabela4[[#This Row],[Teste de Continuidade]:[Hipot]],"---"),"")</f>
        <v/>
      </c>
      <c r="W455" s="29" t="str">
        <f ca="1">IF(Tabela4[[#This Row],[Cabo]]&lt;&gt;"",(COUNTIF(Tabela4[[#This Row],[Teste de Continuidade]:[Hipot]],"OK"))/(4-COUNTIF(Tabela4[[#This Row],[Teste de Continuidade]:[Hipot]],"---")),"")</f>
        <v/>
      </c>
      <c r="X455" s="23" t="str">
        <f ca="1">IF(Tabela4[[#This Row],[Cabo]]&lt;&gt;"",SUMIFS('Lançamento de Cabos'!$AF:$AF,'Lançamento de Cabos'!AE:AE,Tabela4[[#This Row],[Cabo]],'Lançamento de Cabos'!AJ:AJ,Área!$B$1),"")</f>
        <v/>
      </c>
      <c r="Y455" s="23" t="str">
        <f ca="1">IF(Tabela4[[#This Row],[Cabo]]&lt;&gt;"",SUMIFS('Lançamento de Cabos'!$AG:$AG,'Lançamento de Cabos'!AE:AE,Tabela4[[#This Row],[Cabo]],'Lançamento de Cabos'!AJ:AJ,Área!$B$1),"")</f>
        <v/>
      </c>
      <c r="Z455" s="23" t="e">
        <f ca="1">VLOOKUP(Tabela4[[#This Row],[Cabo]],BD!A:AB,28,0)</f>
        <v>#N/A</v>
      </c>
    </row>
    <row r="456" spans="3:26" x14ac:dyDescent="0.25">
      <c r="C456" s="391" t="str">
        <f ca="1">IF($B$1="Geral",Tabela1[[#This Row],[Tag do Cabo]],IFERROR(INDEX(INDIRECT("BD!$A"&amp;D456&amp;":$A100000"),E456,1),""))</f>
        <v/>
      </c>
      <c r="D456" s="391" t="str">
        <f t="shared" ca="1" si="18"/>
        <v/>
      </c>
      <c r="E456" s="391" t="str">
        <f t="shared" ca="1" si="19"/>
        <v/>
      </c>
      <c r="F456" s="23" t="str">
        <f ca="1">IFERROR(VLOOKUP(Tabela4[[#This Row],[Cabo]],BD!A:V,2,0),"")</f>
        <v/>
      </c>
      <c r="G456" s="391" t="str">
        <f ca="1">IFERROR(VLOOKUP(Tabela4[[#This Row],[Cabo]],BD!A:V,5,0),"")</f>
        <v/>
      </c>
      <c r="H456" s="23" t="str">
        <f ca="1">IFERROR(VLOOKUP(Tabela4[[#This Row],[Cabo]],BD!A:V,3,0),"")</f>
        <v/>
      </c>
      <c r="I456" s="23" t="str">
        <f ca="1">IFERROR(VLOOKUP(Tabela4[[#This Row],[Cabo]],BD!A:V,4,0),"")</f>
        <v/>
      </c>
      <c r="J456" s="23" t="str">
        <f ca="1">IFERROR(VLOOKUP(Tabela4[[#This Row],[Cabo]],BD!A:V,7,0),"")</f>
        <v/>
      </c>
      <c r="K45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6" s="23" t="str">
        <f ca="1">IFERROR(VLOOKUP(Tabela4[[#This Row],[Cabo]],BD!A:V,9,0),"")</f>
        <v/>
      </c>
      <c r="M456" s="23" t="str">
        <f ca="1">IFERROR(VLOOKUP(Tabela4[[#This Row],[Cabo]],BD!A:AD,30,0),"")</f>
        <v/>
      </c>
      <c r="N456" s="23" t="str">
        <f ca="1">IF(SUMIF('Lançamento de Cabos'!B:B,Tabela4[[#This Row],[Cabo]],'Lançamento de Cabos'!C:C)=0,"",SUMIF('Lançamento de Cabos'!B:B,Tabela4[[#This Row],[Cabo]],'Lançamento de Cabos'!C:C))</f>
        <v/>
      </c>
      <c r="O456" s="28" t="str">
        <f ca="1">IFERROR(IF(Tabela4[[#This Row],[Compr. Lançado]]/Tabela4[[#This Row],[Compr. Prev.]]&gt;1,1,Tabela4[[#This Row],[Compr. Lançado]]/Tabela4[[#This Row],[Compr. Prev.]]),"")</f>
        <v/>
      </c>
      <c r="P456" s="24" t="str">
        <f ca="1">IFERROR(VLOOKUP(Tabela4[[#This Row],[Cabo]],BD!A:V,11,0),"")</f>
        <v/>
      </c>
      <c r="Q456" s="24" t="str">
        <f ca="1">IFERROR(VLOOKUP(Tabela4[[#This Row],[Cabo]],BD!A:V,12,0),"")</f>
        <v/>
      </c>
      <c r="R45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6" s="23" t="str">
        <f ca="1">IF(Tabela4[[#This Row],[Cabo]]&lt;&gt;"",4-COUNTIF(Tabela4[[#This Row],[Teste de Continuidade]:[Hipot]],"---"),"")</f>
        <v/>
      </c>
      <c r="W456" s="29" t="str">
        <f ca="1">IF(Tabela4[[#This Row],[Cabo]]&lt;&gt;"",(COUNTIF(Tabela4[[#This Row],[Teste de Continuidade]:[Hipot]],"OK"))/(4-COUNTIF(Tabela4[[#This Row],[Teste de Continuidade]:[Hipot]],"---")),"")</f>
        <v/>
      </c>
      <c r="X456" s="23" t="str">
        <f ca="1">IF(Tabela4[[#This Row],[Cabo]]&lt;&gt;"",SUMIFS('Lançamento de Cabos'!$AF:$AF,'Lançamento de Cabos'!AE:AE,Tabela4[[#This Row],[Cabo]],'Lançamento de Cabos'!AJ:AJ,Área!$B$1),"")</f>
        <v/>
      </c>
      <c r="Y456" s="23" t="str">
        <f ca="1">IF(Tabela4[[#This Row],[Cabo]]&lt;&gt;"",SUMIFS('Lançamento de Cabos'!$AG:$AG,'Lançamento de Cabos'!AE:AE,Tabela4[[#This Row],[Cabo]],'Lançamento de Cabos'!AJ:AJ,Área!$B$1),"")</f>
        <v/>
      </c>
      <c r="Z456" s="23" t="e">
        <f ca="1">VLOOKUP(Tabela4[[#This Row],[Cabo]],BD!A:AB,28,0)</f>
        <v>#N/A</v>
      </c>
    </row>
    <row r="457" spans="3:26" x14ac:dyDescent="0.25">
      <c r="C457" s="391" t="str">
        <f ca="1">IF($B$1="Geral",Tabela1[[#This Row],[Tag do Cabo]],IFERROR(INDEX(INDIRECT("BD!$A"&amp;D457&amp;":$A100000"),E457,1),""))</f>
        <v/>
      </c>
      <c r="D457" s="391" t="str">
        <f t="shared" ca="1" si="18"/>
        <v/>
      </c>
      <c r="E457" s="391" t="str">
        <f t="shared" ca="1" si="19"/>
        <v/>
      </c>
      <c r="F457" s="23" t="str">
        <f ca="1">IFERROR(VLOOKUP(Tabela4[[#This Row],[Cabo]],BD!A:V,2,0),"")</f>
        <v/>
      </c>
      <c r="G457" s="391" t="str">
        <f ca="1">IFERROR(VLOOKUP(Tabela4[[#This Row],[Cabo]],BD!A:V,5,0),"")</f>
        <v/>
      </c>
      <c r="H457" s="23" t="str">
        <f ca="1">IFERROR(VLOOKUP(Tabela4[[#This Row],[Cabo]],BD!A:V,3,0),"")</f>
        <v/>
      </c>
      <c r="I457" s="23" t="str">
        <f ca="1">IFERROR(VLOOKUP(Tabela4[[#This Row],[Cabo]],BD!A:V,4,0),"")</f>
        <v/>
      </c>
      <c r="J457" s="23" t="str">
        <f ca="1">IFERROR(VLOOKUP(Tabela4[[#This Row],[Cabo]],BD!A:V,7,0),"")</f>
        <v/>
      </c>
      <c r="K45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7" s="23" t="str">
        <f ca="1">IFERROR(VLOOKUP(Tabela4[[#This Row],[Cabo]],BD!A:V,9,0),"")</f>
        <v/>
      </c>
      <c r="M457" s="23" t="str">
        <f ca="1">IFERROR(VLOOKUP(Tabela4[[#This Row],[Cabo]],BD!A:AD,30,0),"")</f>
        <v/>
      </c>
      <c r="N457" s="23" t="str">
        <f ca="1">IF(SUMIF('Lançamento de Cabos'!B:B,Tabela4[[#This Row],[Cabo]],'Lançamento de Cabos'!C:C)=0,"",SUMIF('Lançamento de Cabos'!B:B,Tabela4[[#This Row],[Cabo]],'Lançamento de Cabos'!C:C))</f>
        <v/>
      </c>
      <c r="O457" s="28" t="str">
        <f ca="1">IFERROR(IF(Tabela4[[#This Row],[Compr. Lançado]]/Tabela4[[#This Row],[Compr. Prev.]]&gt;1,1,Tabela4[[#This Row],[Compr. Lançado]]/Tabela4[[#This Row],[Compr. Prev.]]),"")</f>
        <v/>
      </c>
      <c r="P457" s="24" t="str">
        <f ca="1">IFERROR(VLOOKUP(Tabela4[[#This Row],[Cabo]],BD!A:V,11,0),"")</f>
        <v/>
      </c>
      <c r="Q457" s="24" t="str">
        <f ca="1">IFERROR(VLOOKUP(Tabela4[[#This Row],[Cabo]],BD!A:V,12,0),"")</f>
        <v/>
      </c>
      <c r="R45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7" s="23" t="str">
        <f ca="1">IF(Tabela4[[#This Row],[Cabo]]&lt;&gt;"",4-COUNTIF(Tabela4[[#This Row],[Teste de Continuidade]:[Hipot]],"---"),"")</f>
        <v/>
      </c>
      <c r="W457" s="29" t="str">
        <f ca="1">IF(Tabela4[[#This Row],[Cabo]]&lt;&gt;"",(COUNTIF(Tabela4[[#This Row],[Teste de Continuidade]:[Hipot]],"OK"))/(4-COUNTIF(Tabela4[[#This Row],[Teste de Continuidade]:[Hipot]],"---")),"")</f>
        <v/>
      </c>
      <c r="X457" s="23" t="str">
        <f ca="1">IF(Tabela4[[#This Row],[Cabo]]&lt;&gt;"",SUMIFS('Lançamento de Cabos'!$AF:$AF,'Lançamento de Cabos'!AE:AE,Tabela4[[#This Row],[Cabo]],'Lançamento de Cabos'!AJ:AJ,Área!$B$1),"")</f>
        <v/>
      </c>
      <c r="Y457" s="23" t="str">
        <f ca="1">IF(Tabela4[[#This Row],[Cabo]]&lt;&gt;"",SUMIFS('Lançamento de Cabos'!$AG:$AG,'Lançamento de Cabos'!AE:AE,Tabela4[[#This Row],[Cabo]],'Lançamento de Cabos'!AJ:AJ,Área!$B$1),"")</f>
        <v/>
      </c>
      <c r="Z457" s="23" t="e">
        <f ca="1">VLOOKUP(Tabela4[[#This Row],[Cabo]],BD!A:AB,28,0)</f>
        <v>#N/A</v>
      </c>
    </row>
    <row r="458" spans="3:26" x14ac:dyDescent="0.25">
      <c r="C458" s="391" t="str">
        <f ca="1">IF($B$1="Geral",Tabela1[[#This Row],[Tag do Cabo]],IFERROR(INDEX(INDIRECT("BD!$A"&amp;D458&amp;":$A100000"),E458,1),""))</f>
        <v/>
      </c>
      <c r="D458" s="391" t="str">
        <f t="shared" ca="1" si="18"/>
        <v/>
      </c>
      <c r="E458" s="391" t="str">
        <f t="shared" ca="1" si="19"/>
        <v/>
      </c>
      <c r="F458" s="23" t="str">
        <f ca="1">IFERROR(VLOOKUP(Tabela4[[#This Row],[Cabo]],BD!A:V,2,0),"")</f>
        <v/>
      </c>
      <c r="G458" s="391" t="str">
        <f ca="1">IFERROR(VLOOKUP(Tabela4[[#This Row],[Cabo]],BD!A:V,5,0),"")</f>
        <v/>
      </c>
      <c r="H458" s="23" t="str">
        <f ca="1">IFERROR(VLOOKUP(Tabela4[[#This Row],[Cabo]],BD!A:V,3,0),"")</f>
        <v/>
      </c>
      <c r="I458" s="23" t="str">
        <f ca="1">IFERROR(VLOOKUP(Tabela4[[#This Row],[Cabo]],BD!A:V,4,0),"")</f>
        <v/>
      </c>
      <c r="J458" s="23" t="str">
        <f ca="1">IFERROR(VLOOKUP(Tabela4[[#This Row],[Cabo]],BD!A:V,7,0),"")</f>
        <v/>
      </c>
      <c r="K45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8" s="23" t="str">
        <f ca="1">IFERROR(VLOOKUP(Tabela4[[#This Row],[Cabo]],BD!A:V,9,0),"")</f>
        <v/>
      </c>
      <c r="M458" s="23" t="str">
        <f ca="1">IFERROR(VLOOKUP(Tabela4[[#This Row],[Cabo]],BD!A:AD,30,0),"")</f>
        <v/>
      </c>
      <c r="N458" s="23" t="str">
        <f ca="1">IF(SUMIF('Lançamento de Cabos'!B:B,Tabela4[[#This Row],[Cabo]],'Lançamento de Cabos'!C:C)=0,"",SUMIF('Lançamento de Cabos'!B:B,Tabela4[[#This Row],[Cabo]],'Lançamento de Cabos'!C:C))</f>
        <v/>
      </c>
      <c r="O458" s="28" t="str">
        <f ca="1">IFERROR(IF(Tabela4[[#This Row],[Compr. Lançado]]/Tabela4[[#This Row],[Compr. Prev.]]&gt;1,1,Tabela4[[#This Row],[Compr. Lançado]]/Tabela4[[#This Row],[Compr. Prev.]]),"")</f>
        <v/>
      </c>
      <c r="P458" s="24" t="str">
        <f ca="1">IFERROR(VLOOKUP(Tabela4[[#This Row],[Cabo]],BD!A:V,11,0),"")</f>
        <v/>
      </c>
      <c r="Q458" s="24" t="str">
        <f ca="1">IFERROR(VLOOKUP(Tabela4[[#This Row],[Cabo]],BD!A:V,12,0),"")</f>
        <v/>
      </c>
      <c r="R45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8" s="23" t="str">
        <f ca="1">IF(Tabela4[[#This Row],[Cabo]]&lt;&gt;"",4-COUNTIF(Tabela4[[#This Row],[Teste de Continuidade]:[Hipot]],"---"),"")</f>
        <v/>
      </c>
      <c r="W458" s="29" t="str">
        <f ca="1">IF(Tabela4[[#This Row],[Cabo]]&lt;&gt;"",(COUNTIF(Tabela4[[#This Row],[Teste de Continuidade]:[Hipot]],"OK"))/(4-COUNTIF(Tabela4[[#This Row],[Teste de Continuidade]:[Hipot]],"---")),"")</f>
        <v/>
      </c>
      <c r="X458" s="23" t="str">
        <f ca="1">IF(Tabela4[[#This Row],[Cabo]]&lt;&gt;"",SUMIFS('Lançamento de Cabos'!$AF:$AF,'Lançamento de Cabos'!AE:AE,Tabela4[[#This Row],[Cabo]],'Lançamento de Cabos'!AJ:AJ,Área!$B$1),"")</f>
        <v/>
      </c>
      <c r="Y458" s="23" t="str">
        <f ca="1">IF(Tabela4[[#This Row],[Cabo]]&lt;&gt;"",SUMIFS('Lançamento de Cabos'!$AG:$AG,'Lançamento de Cabos'!AE:AE,Tabela4[[#This Row],[Cabo]],'Lançamento de Cabos'!AJ:AJ,Área!$B$1),"")</f>
        <v/>
      </c>
      <c r="Z458" s="23" t="e">
        <f ca="1">VLOOKUP(Tabela4[[#This Row],[Cabo]],BD!A:AB,28,0)</f>
        <v>#N/A</v>
      </c>
    </row>
    <row r="459" spans="3:26" x14ac:dyDescent="0.25">
      <c r="C459" s="391" t="str">
        <f ca="1">IF($B$1="Geral",Tabela1[[#This Row],[Tag do Cabo]],IFERROR(INDEX(INDIRECT("BD!$A"&amp;D459&amp;":$A100000"),E459,1),""))</f>
        <v/>
      </c>
      <c r="D459" s="391" t="str">
        <f t="shared" ca="1" si="18"/>
        <v/>
      </c>
      <c r="E459" s="391" t="str">
        <f t="shared" ca="1" si="19"/>
        <v/>
      </c>
      <c r="F459" s="23" t="str">
        <f ca="1">IFERROR(VLOOKUP(Tabela4[[#This Row],[Cabo]],BD!A:V,2,0),"")</f>
        <v/>
      </c>
      <c r="G459" s="391" t="str">
        <f ca="1">IFERROR(VLOOKUP(Tabela4[[#This Row],[Cabo]],BD!A:V,5,0),"")</f>
        <v/>
      </c>
      <c r="H459" s="23" t="str">
        <f ca="1">IFERROR(VLOOKUP(Tabela4[[#This Row],[Cabo]],BD!A:V,3,0),"")</f>
        <v/>
      </c>
      <c r="I459" s="23" t="str">
        <f ca="1">IFERROR(VLOOKUP(Tabela4[[#This Row],[Cabo]],BD!A:V,4,0),"")</f>
        <v/>
      </c>
      <c r="J459" s="23" t="str">
        <f ca="1">IFERROR(VLOOKUP(Tabela4[[#This Row],[Cabo]],BD!A:V,7,0),"")</f>
        <v/>
      </c>
      <c r="K45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59" s="23" t="str">
        <f ca="1">IFERROR(VLOOKUP(Tabela4[[#This Row],[Cabo]],BD!A:V,9,0),"")</f>
        <v/>
      </c>
      <c r="M459" s="23" t="str">
        <f ca="1">IFERROR(VLOOKUP(Tabela4[[#This Row],[Cabo]],BD!A:AD,30,0),"")</f>
        <v/>
      </c>
      <c r="N459" s="23" t="str">
        <f ca="1">IF(SUMIF('Lançamento de Cabos'!B:B,Tabela4[[#This Row],[Cabo]],'Lançamento de Cabos'!C:C)=0,"",SUMIF('Lançamento de Cabos'!B:B,Tabela4[[#This Row],[Cabo]],'Lançamento de Cabos'!C:C))</f>
        <v/>
      </c>
      <c r="O459" s="28" t="str">
        <f ca="1">IFERROR(IF(Tabela4[[#This Row],[Compr. Lançado]]/Tabela4[[#This Row],[Compr. Prev.]]&gt;1,1,Tabela4[[#This Row],[Compr. Lançado]]/Tabela4[[#This Row],[Compr. Prev.]]),"")</f>
        <v/>
      </c>
      <c r="P459" s="24" t="str">
        <f ca="1">IFERROR(VLOOKUP(Tabela4[[#This Row],[Cabo]],BD!A:V,11,0),"")</f>
        <v/>
      </c>
      <c r="Q459" s="24" t="str">
        <f ca="1">IFERROR(VLOOKUP(Tabela4[[#This Row],[Cabo]],BD!A:V,12,0),"")</f>
        <v/>
      </c>
      <c r="R45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5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5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5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59" s="23" t="str">
        <f ca="1">IF(Tabela4[[#This Row],[Cabo]]&lt;&gt;"",4-COUNTIF(Tabela4[[#This Row],[Teste de Continuidade]:[Hipot]],"---"),"")</f>
        <v/>
      </c>
      <c r="W459" s="29" t="str">
        <f ca="1">IF(Tabela4[[#This Row],[Cabo]]&lt;&gt;"",(COUNTIF(Tabela4[[#This Row],[Teste de Continuidade]:[Hipot]],"OK"))/(4-COUNTIF(Tabela4[[#This Row],[Teste de Continuidade]:[Hipot]],"---")),"")</f>
        <v/>
      </c>
      <c r="X459" s="23" t="str">
        <f ca="1">IF(Tabela4[[#This Row],[Cabo]]&lt;&gt;"",SUMIFS('Lançamento de Cabos'!$AF:$AF,'Lançamento de Cabos'!AE:AE,Tabela4[[#This Row],[Cabo]],'Lançamento de Cabos'!AJ:AJ,Área!$B$1),"")</f>
        <v/>
      </c>
      <c r="Y459" s="23" t="str">
        <f ca="1">IF(Tabela4[[#This Row],[Cabo]]&lt;&gt;"",SUMIFS('Lançamento de Cabos'!$AG:$AG,'Lançamento de Cabos'!AE:AE,Tabela4[[#This Row],[Cabo]],'Lançamento de Cabos'!AJ:AJ,Área!$B$1),"")</f>
        <v/>
      </c>
      <c r="Z459" s="23" t="e">
        <f ca="1">VLOOKUP(Tabela4[[#This Row],[Cabo]],BD!A:AB,28,0)</f>
        <v>#N/A</v>
      </c>
    </row>
    <row r="460" spans="3:26" x14ac:dyDescent="0.25">
      <c r="C460" s="391" t="str">
        <f ca="1">IF($B$1="Geral",Tabela1[[#This Row],[Tag do Cabo]],IFERROR(INDEX(INDIRECT("BD!$A"&amp;D460&amp;":$A100000"),E460,1),""))</f>
        <v/>
      </c>
      <c r="D460" s="391" t="str">
        <f t="shared" ca="1" si="18"/>
        <v/>
      </c>
      <c r="E460" s="391" t="str">
        <f t="shared" ca="1" si="19"/>
        <v/>
      </c>
      <c r="F460" s="23" t="str">
        <f ca="1">IFERROR(VLOOKUP(Tabela4[[#This Row],[Cabo]],BD!A:V,2,0),"")</f>
        <v/>
      </c>
      <c r="G460" s="391" t="str">
        <f ca="1">IFERROR(VLOOKUP(Tabela4[[#This Row],[Cabo]],BD!A:V,5,0),"")</f>
        <v/>
      </c>
      <c r="H460" s="23" t="str">
        <f ca="1">IFERROR(VLOOKUP(Tabela4[[#This Row],[Cabo]],BD!A:V,3,0),"")</f>
        <v/>
      </c>
      <c r="I460" s="23" t="str">
        <f ca="1">IFERROR(VLOOKUP(Tabela4[[#This Row],[Cabo]],BD!A:V,4,0),"")</f>
        <v/>
      </c>
      <c r="J460" s="23" t="str">
        <f ca="1">IFERROR(VLOOKUP(Tabela4[[#This Row],[Cabo]],BD!A:V,7,0),"")</f>
        <v/>
      </c>
      <c r="K46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0" s="23" t="str">
        <f ca="1">IFERROR(VLOOKUP(Tabela4[[#This Row],[Cabo]],BD!A:V,9,0),"")</f>
        <v/>
      </c>
      <c r="M460" s="23" t="str">
        <f ca="1">IFERROR(VLOOKUP(Tabela4[[#This Row],[Cabo]],BD!A:AD,30,0),"")</f>
        <v/>
      </c>
      <c r="N460" s="23" t="str">
        <f ca="1">IF(SUMIF('Lançamento de Cabos'!B:B,Tabela4[[#This Row],[Cabo]],'Lançamento de Cabos'!C:C)=0,"",SUMIF('Lançamento de Cabos'!B:B,Tabela4[[#This Row],[Cabo]],'Lançamento de Cabos'!C:C))</f>
        <v/>
      </c>
      <c r="O460" s="28" t="str">
        <f ca="1">IFERROR(IF(Tabela4[[#This Row],[Compr. Lançado]]/Tabela4[[#This Row],[Compr. Prev.]]&gt;1,1,Tabela4[[#This Row],[Compr. Lançado]]/Tabela4[[#This Row],[Compr. Prev.]]),"")</f>
        <v/>
      </c>
      <c r="P460" s="24" t="str">
        <f ca="1">IFERROR(VLOOKUP(Tabela4[[#This Row],[Cabo]],BD!A:V,11,0),"")</f>
        <v/>
      </c>
      <c r="Q460" s="24" t="str">
        <f ca="1">IFERROR(VLOOKUP(Tabela4[[#This Row],[Cabo]],BD!A:V,12,0),"")</f>
        <v/>
      </c>
      <c r="R46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0" s="23" t="str">
        <f ca="1">IF(Tabela4[[#This Row],[Cabo]]&lt;&gt;"",4-COUNTIF(Tabela4[[#This Row],[Teste de Continuidade]:[Hipot]],"---"),"")</f>
        <v/>
      </c>
      <c r="W460" s="29" t="str">
        <f ca="1">IF(Tabela4[[#This Row],[Cabo]]&lt;&gt;"",(COUNTIF(Tabela4[[#This Row],[Teste de Continuidade]:[Hipot]],"OK"))/(4-COUNTIF(Tabela4[[#This Row],[Teste de Continuidade]:[Hipot]],"---")),"")</f>
        <v/>
      </c>
      <c r="X460" s="23" t="str">
        <f ca="1">IF(Tabela4[[#This Row],[Cabo]]&lt;&gt;"",SUMIFS('Lançamento de Cabos'!$AF:$AF,'Lançamento de Cabos'!AE:AE,Tabela4[[#This Row],[Cabo]],'Lançamento de Cabos'!AJ:AJ,Área!$B$1),"")</f>
        <v/>
      </c>
      <c r="Y460" s="23" t="str">
        <f ca="1">IF(Tabela4[[#This Row],[Cabo]]&lt;&gt;"",SUMIFS('Lançamento de Cabos'!$AG:$AG,'Lançamento de Cabos'!AE:AE,Tabela4[[#This Row],[Cabo]],'Lançamento de Cabos'!AJ:AJ,Área!$B$1),"")</f>
        <v/>
      </c>
      <c r="Z460" s="23" t="e">
        <f ca="1">VLOOKUP(Tabela4[[#This Row],[Cabo]],BD!A:AB,28,0)</f>
        <v>#N/A</v>
      </c>
    </row>
    <row r="461" spans="3:26" x14ac:dyDescent="0.25">
      <c r="C461" s="391" t="str">
        <f ca="1">IF($B$1="Geral",Tabela1[[#This Row],[Tag do Cabo]],IFERROR(INDEX(INDIRECT("BD!$A"&amp;D461&amp;":$A100000"),E461,1),""))</f>
        <v/>
      </c>
      <c r="D461" s="391" t="str">
        <f t="shared" ca="1" si="18"/>
        <v/>
      </c>
      <c r="E461" s="391" t="str">
        <f t="shared" ca="1" si="19"/>
        <v/>
      </c>
      <c r="F461" s="23" t="str">
        <f ca="1">IFERROR(VLOOKUP(Tabela4[[#This Row],[Cabo]],BD!A:V,2,0),"")</f>
        <v/>
      </c>
      <c r="G461" s="391" t="str">
        <f ca="1">IFERROR(VLOOKUP(Tabela4[[#This Row],[Cabo]],BD!A:V,5,0),"")</f>
        <v/>
      </c>
      <c r="H461" s="23" t="str">
        <f ca="1">IFERROR(VLOOKUP(Tabela4[[#This Row],[Cabo]],BD!A:V,3,0),"")</f>
        <v/>
      </c>
      <c r="I461" s="23" t="str">
        <f ca="1">IFERROR(VLOOKUP(Tabela4[[#This Row],[Cabo]],BD!A:V,4,0),"")</f>
        <v/>
      </c>
      <c r="J461" s="23" t="str">
        <f ca="1">IFERROR(VLOOKUP(Tabela4[[#This Row],[Cabo]],BD!A:V,7,0),"")</f>
        <v/>
      </c>
      <c r="K46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1" s="23" t="str">
        <f ca="1">IFERROR(VLOOKUP(Tabela4[[#This Row],[Cabo]],BD!A:V,9,0),"")</f>
        <v/>
      </c>
      <c r="M461" s="23" t="str">
        <f ca="1">IFERROR(VLOOKUP(Tabela4[[#This Row],[Cabo]],BD!A:AD,30,0),"")</f>
        <v/>
      </c>
      <c r="N461" s="23" t="str">
        <f ca="1">IF(SUMIF('Lançamento de Cabos'!B:B,Tabela4[[#This Row],[Cabo]],'Lançamento de Cabos'!C:C)=0,"",SUMIF('Lançamento de Cabos'!B:B,Tabela4[[#This Row],[Cabo]],'Lançamento de Cabos'!C:C))</f>
        <v/>
      </c>
      <c r="O461" s="28" t="str">
        <f ca="1">IFERROR(IF(Tabela4[[#This Row],[Compr. Lançado]]/Tabela4[[#This Row],[Compr. Prev.]]&gt;1,1,Tabela4[[#This Row],[Compr. Lançado]]/Tabela4[[#This Row],[Compr. Prev.]]),"")</f>
        <v/>
      </c>
      <c r="P461" s="24" t="str">
        <f ca="1">IFERROR(VLOOKUP(Tabela4[[#This Row],[Cabo]],BD!A:V,11,0),"")</f>
        <v/>
      </c>
      <c r="Q461" s="24" t="str">
        <f ca="1">IFERROR(VLOOKUP(Tabela4[[#This Row],[Cabo]],BD!A:V,12,0),"")</f>
        <v/>
      </c>
      <c r="R46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1" s="23" t="str">
        <f ca="1">IF(Tabela4[[#This Row],[Cabo]]&lt;&gt;"",4-COUNTIF(Tabela4[[#This Row],[Teste de Continuidade]:[Hipot]],"---"),"")</f>
        <v/>
      </c>
      <c r="W461" s="29" t="str">
        <f ca="1">IF(Tabela4[[#This Row],[Cabo]]&lt;&gt;"",(COUNTIF(Tabela4[[#This Row],[Teste de Continuidade]:[Hipot]],"OK"))/(4-COUNTIF(Tabela4[[#This Row],[Teste de Continuidade]:[Hipot]],"---")),"")</f>
        <v/>
      </c>
      <c r="X461" s="23" t="str">
        <f ca="1">IF(Tabela4[[#This Row],[Cabo]]&lt;&gt;"",SUMIFS('Lançamento de Cabos'!$AF:$AF,'Lançamento de Cabos'!AE:AE,Tabela4[[#This Row],[Cabo]],'Lançamento de Cabos'!AJ:AJ,Área!$B$1),"")</f>
        <v/>
      </c>
      <c r="Y461" s="23" t="str">
        <f ca="1">IF(Tabela4[[#This Row],[Cabo]]&lt;&gt;"",SUMIFS('Lançamento de Cabos'!$AG:$AG,'Lançamento de Cabos'!AE:AE,Tabela4[[#This Row],[Cabo]],'Lançamento de Cabos'!AJ:AJ,Área!$B$1),"")</f>
        <v/>
      </c>
      <c r="Z461" s="23" t="e">
        <f ca="1">VLOOKUP(Tabela4[[#This Row],[Cabo]],BD!A:AB,28,0)</f>
        <v>#N/A</v>
      </c>
    </row>
    <row r="462" spans="3:26" x14ac:dyDescent="0.25">
      <c r="C462" s="391" t="str">
        <f ca="1">IF($B$1="Geral",Tabela1[[#This Row],[Tag do Cabo]],IFERROR(INDEX(INDIRECT("BD!$A"&amp;D462&amp;":$A100000"),E462,1),""))</f>
        <v/>
      </c>
      <c r="D462" s="391" t="str">
        <f t="shared" ca="1" si="18"/>
        <v/>
      </c>
      <c r="E462" s="391" t="str">
        <f t="shared" ca="1" si="19"/>
        <v/>
      </c>
      <c r="F462" s="23" t="str">
        <f ca="1">IFERROR(VLOOKUP(Tabela4[[#This Row],[Cabo]],BD!A:V,2,0),"")</f>
        <v/>
      </c>
      <c r="G462" s="391" t="str">
        <f ca="1">IFERROR(VLOOKUP(Tabela4[[#This Row],[Cabo]],BD!A:V,5,0),"")</f>
        <v/>
      </c>
      <c r="H462" s="23" t="str">
        <f ca="1">IFERROR(VLOOKUP(Tabela4[[#This Row],[Cabo]],BD!A:V,3,0),"")</f>
        <v/>
      </c>
      <c r="I462" s="23" t="str">
        <f ca="1">IFERROR(VLOOKUP(Tabela4[[#This Row],[Cabo]],BD!A:V,4,0),"")</f>
        <v/>
      </c>
      <c r="J462" s="23" t="str">
        <f ca="1">IFERROR(VLOOKUP(Tabela4[[#This Row],[Cabo]],BD!A:V,7,0),"")</f>
        <v/>
      </c>
      <c r="K46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2" s="23" t="str">
        <f ca="1">IFERROR(VLOOKUP(Tabela4[[#This Row],[Cabo]],BD!A:V,9,0),"")</f>
        <v/>
      </c>
      <c r="M462" s="23" t="str">
        <f ca="1">IFERROR(VLOOKUP(Tabela4[[#This Row],[Cabo]],BD!A:AD,30,0),"")</f>
        <v/>
      </c>
      <c r="N462" s="23" t="str">
        <f ca="1">IF(SUMIF('Lançamento de Cabos'!B:B,Tabela4[[#This Row],[Cabo]],'Lançamento de Cabos'!C:C)=0,"",SUMIF('Lançamento de Cabos'!B:B,Tabela4[[#This Row],[Cabo]],'Lançamento de Cabos'!C:C))</f>
        <v/>
      </c>
      <c r="O462" s="28" t="str">
        <f ca="1">IFERROR(IF(Tabela4[[#This Row],[Compr. Lançado]]/Tabela4[[#This Row],[Compr. Prev.]]&gt;1,1,Tabela4[[#This Row],[Compr. Lançado]]/Tabela4[[#This Row],[Compr. Prev.]]),"")</f>
        <v/>
      </c>
      <c r="P462" s="24" t="str">
        <f ca="1">IFERROR(VLOOKUP(Tabela4[[#This Row],[Cabo]],BD!A:V,11,0),"")</f>
        <v/>
      </c>
      <c r="Q462" s="24" t="str">
        <f ca="1">IFERROR(VLOOKUP(Tabela4[[#This Row],[Cabo]],BD!A:V,12,0),"")</f>
        <v/>
      </c>
      <c r="R46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2" s="23" t="str">
        <f ca="1">IF(Tabela4[[#This Row],[Cabo]]&lt;&gt;"",4-COUNTIF(Tabela4[[#This Row],[Teste de Continuidade]:[Hipot]],"---"),"")</f>
        <v/>
      </c>
      <c r="W462" s="29" t="str">
        <f ca="1">IF(Tabela4[[#This Row],[Cabo]]&lt;&gt;"",(COUNTIF(Tabela4[[#This Row],[Teste de Continuidade]:[Hipot]],"OK"))/(4-COUNTIF(Tabela4[[#This Row],[Teste de Continuidade]:[Hipot]],"---")),"")</f>
        <v/>
      </c>
      <c r="X462" s="23" t="str">
        <f ca="1">IF(Tabela4[[#This Row],[Cabo]]&lt;&gt;"",SUMIFS('Lançamento de Cabos'!$AF:$AF,'Lançamento de Cabos'!AE:AE,Tabela4[[#This Row],[Cabo]],'Lançamento de Cabos'!AJ:AJ,Área!$B$1),"")</f>
        <v/>
      </c>
      <c r="Y462" s="23" t="str">
        <f ca="1">IF(Tabela4[[#This Row],[Cabo]]&lt;&gt;"",SUMIFS('Lançamento de Cabos'!$AG:$AG,'Lançamento de Cabos'!AE:AE,Tabela4[[#This Row],[Cabo]],'Lançamento de Cabos'!AJ:AJ,Área!$B$1),"")</f>
        <v/>
      </c>
      <c r="Z462" s="23" t="e">
        <f ca="1">VLOOKUP(Tabela4[[#This Row],[Cabo]],BD!A:AB,28,0)</f>
        <v>#N/A</v>
      </c>
    </row>
    <row r="463" spans="3:26" x14ac:dyDescent="0.25">
      <c r="C463" s="391" t="str">
        <f ca="1">IF($B$1="Geral",Tabela1[[#This Row],[Tag do Cabo]],IFERROR(INDEX(INDIRECT("BD!$A"&amp;D463&amp;":$A100000"),E463,1),""))</f>
        <v/>
      </c>
      <c r="D463" s="391" t="str">
        <f t="shared" ca="1" si="18"/>
        <v/>
      </c>
      <c r="E463" s="391" t="str">
        <f t="shared" ca="1" si="19"/>
        <v/>
      </c>
      <c r="F463" s="23" t="str">
        <f ca="1">IFERROR(VLOOKUP(Tabela4[[#This Row],[Cabo]],BD!A:V,2,0),"")</f>
        <v/>
      </c>
      <c r="G463" s="391" t="str">
        <f ca="1">IFERROR(VLOOKUP(Tabela4[[#This Row],[Cabo]],BD!A:V,5,0),"")</f>
        <v/>
      </c>
      <c r="H463" s="23" t="str">
        <f ca="1">IFERROR(VLOOKUP(Tabela4[[#This Row],[Cabo]],BD!A:V,3,0),"")</f>
        <v/>
      </c>
      <c r="I463" s="23" t="str">
        <f ca="1">IFERROR(VLOOKUP(Tabela4[[#This Row],[Cabo]],BD!A:V,4,0),"")</f>
        <v/>
      </c>
      <c r="J463" s="23" t="str">
        <f ca="1">IFERROR(VLOOKUP(Tabela4[[#This Row],[Cabo]],BD!A:V,7,0),"")</f>
        <v/>
      </c>
      <c r="K46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3" s="23" t="str">
        <f ca="1">IFERROR(VLOOKUP(Tabela4[[#This Row],[Cabo]],BD!A:V,9,0),"")</f>
        <v/>
      </c>
      <c r="M463" s="23" t="str">
        <f ca="1">IFERROR(VLOOKUP(Tabela4[[#This Row],[Cabo]],BD!A:AD,30,0),"")</f>
        <v/>
      </c>
      <c r="N463" s="23" t="str">
        <f ca="1">IF(SUMIF('Lançamento de Cabos'!B:B,Tabela4[[#This Row],[Cabo]],'Lançamento de Cabos'!C:C)=0,"",SUMIF('Lançamento de Cabos'!B:B,Tabela4[[#This Row],[Cabo]],'Lançamento de Cabos'!C:C))</f>
        <v/>
      </c>
      <c r="O463" s="28" t="str">
        <f ca="1">IFERROR(IF(Tabela4[[#This Row],[Compr. Lançado]]/Tabela4[[#This Row],[Compr. Prev.]]&gt;1,1,Tabela4[[#This Row],[Compr. Lançado]]/Tabela4[[#This Row],[Compr. Prev.]]),"")</f>
        <v/>
      </c>
      <c r="P463" s="24" t="str">
        <f ca="1">IFERROR(VLOOKUP(Tabela4[[#This Row],[Cabo]],BD!A:V,11,0),"")</f>
        <v/>
      </c>
      <c r="Q463" s="24" t="str">
        <f ca="1">IFERROR(VLOOKUP(Tabela4[[#This Row],[Cabo]],BD!A:V,12,0),"")</f>
        <v/>
      </c>
      <c r="R46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3" s="23" t="str">
        <f ca="1">IF(Tabela4[[#This Row],[Cabo]]&lt;&gt;"",4-COUNTIF(Tabela4[[#This Row],[Teste de Continuidade]:[Hipot]],"---"),"")</f>
        <v/>
      </c>
      <c r="W463" s="29" t="str">
        <f ca="1">IF(Tabela4[[#This Row],[Cabo]]&lt;&gt;"",(COUNTIF(Tabela4[[#This Row],[Teste de Continuidade]:[Hipot]],"OK"))/(4-COUNTIF(Tabela4[[#This Row],[Teste de Continuidade]:[Hipot]],"---")),"")</f>
        <v/>
      </c>
      <c r="X463" s="23" t="str">
        <f ca="1">IF(Tabela4[[#This Row],[Cabo]]&lt;&gt;"",SUMIFS('Lançamento de Cabos'!$AF:$AF,'Lançamento de Cabos'!AE:AE,Tabela4[[#This Row],[Cabo]],'Lançamento de Cabos'!AJ:AJ,Área!$B$1),"")</f>
        <v/>
      </c>
      <c r="Y463" s="23" t="str">
        <f ca="1">IF(Tabela4[[#This Row],[Cabo]]&lt;&gt;"",SUMIFS('Lançamento de Cabos'!$AG:$AG,'Lançamento de Cabos'!AE:AE,Tabela4[[#This Row],[Cabo]],'Lançamento de Cabos'!AJ:AJ,Área!$B$1),"")</f>
        <v/>
      </c>
      <c r="Z463" s="23" t="e">
        <f ca="1">VLOOKUP(Tabela4[[#This Row],[Cabo]],BD!A:AB,28,0)</f>
        <v>#N/A</v>
      </c>
    </row>
    <row r="464" spans="3:26" x14ac:dyDescent="0.25">
      <c r="C464" s="391" t="str">
        <f ca="1">IF($B$1="Geral",Tabela1[[#This Row],[Tag do Cabo]],IFERROR(INDEX(INDIRECT("BD!$A"&amp;D464&amp;":$A100000"),E464,1),""))</f>
        <v/>
      </c>
      <c r="D464" s="391" t="str">
        <f t="shared" ca="1" si="18"/>
        <v/>
      </c>
      <c r="E464" s="391" t="str">
        <f t="shared" ca="1" si="19"/>
        <v/>
      </c>
      <c r="F464" s="23" t="str">
        <f ca="1">IFERROR(VLOOKUP(Tabela4[[#This Row],[Cabo]],BD!A:V,2,0),"")</f>
        <v/>
      </c>
      <c r="G464" s="391" t="str">
        <f ca="1">IFERROR(VLOOKUP(Tabela4[[#This Row],[Cabo]],BD!A:V,5,0),"")</f>
        <v/>
      </c>
      <c r="H464" s="23" t="str">
        <f ca="1">IFERROR(VLOOKUP(Tabela4[[#This Row],[Cabo]],BD!A:V,3,0),"")</f>
        <v/>
      </c>
      <c r="I464" s="23" t="str">
        <f ca="1">IFERROR(VLOOKUP(Tabela4[[#This Row],[Cabo]],BD!A:V,4,0),"")</f>
        <v/>
      </c>
      <c r="J464" s="23" t="str">
        <f ca="1">IFERROR(VLOOKUP(Tabela4[[#This Row],[Cabo]],BD!A:V,7,0),"")</f>
        <v/>
      </c>
      <c r="K46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4" s="23" t="str">
        <f ca="1">IFERROR(VLOOKUP(Tabela4[[#This Row],[Cabo]],BD!A:V,9,0),"")</f>
        <v/>
      </c>
      <c r="M464" s="23" t="str">
        <f ca="1">IFERROR(VLOOKUP(Tabela4[[#This Row],[Cabo]],BD!A:AD,30,0),"")</f>
        <v/>
      </c>
      <c r="N464" s="23" t="str">
        <f ca="1">IF(SUMIF('Lançamento de Cabos'!B:B,Tabela4[[#This Row],[Cabo]],'Lançamento de Cabos'!C:C)=0,"",SUMIF('Lançamento de Cabos'!B:B,Tabela4[[#This Row],[Cabo]],'Lançamento de Cabos'!C:C))</f>
        <v/>
      </c>
      <c r="O464" s="28" t="str">
        <f ca="1">IFERROR(IF(Tabela4[[#This Row],[Compr. Lançado]]/Tabela4[[#This Row],[Compr. Prev.]]&gt;1,1,Tabela4[[#This Row],[Compr. Lançado]]/Tabela4[[#This Row],[Compr. Prev.]]),"")</f>
        <v/>
      </c>
      <c r="P464" s="24" t="str">
        <f ca="1">IFERROR(VLOOKUP(Tabela4[[#This Row],[Cabo]],BD!A:V,11,0),"")</f>
        <v/>
      </c>
      <c r="Q464" s="24" t="str">
        <f ca="1">IFERROR(VLOOKUP(Tabela4[[#This Row],[Cabo]],BD!A:V,12,0),"")</f>
        <v/>
      </c>
      <c r="R46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4" s="23" t="str">
        <f ca="1">IF(Tabela4[[#This Row],[Cabo]]&lt;&gt;"",4-COUNTIF(Tabela4[[#This Row],[Teste de Continuidade]:[Hipot]],"---"),"")</f>
        <v/>
      </c>
      <c r="W464" s="29" t="str">
        <f ca="1">IF(Tabela4[[#This Row],[Cabo]]&lt;&gt;"",(COUNTIF(Tabela4[[#This Row],[Teste de Continuidade]:[Hipot]],"OK"))/(4-COUNTIF(Tabela4[[#This Row],[Teste de Continuidade]:[Hipot]],"---")),"")</f>
        <v/>
      </c>
      <c r="X464" s="23" t="str">
        <f ca="1">IF(Tabela4[[#This Row],[Cabo]]&lt;&gt;"",SUMIFS('Lançamento de Cabos'!$AF:$AF,'Lançamento de Cabos'!AE:AE,Tabela4[[#This Row],[Cabo]],'Lançamento de Cabos'!AJ:AJ,Área!$B$1),"")</f>
        <v/>
      </c>
      <c r="Y464" s="23" t="str">
        <f ca="1">IF(Tabela4[[#This Row],[Cabo]]&lt;&gt;"",SUMIFS('Lançamento de Cabos'!$AG:$AG,'Lançamento de Cabos'!AE:AE,Tabela4[[#This Row],[Cabo]],'Lançamento de Cabos'!AJ:AJ,Área!$B$1),"")</f>
        <v/>
      </c>
      <c r="Z464" s="23" t="e">
        <f ca="1">VLOOKUP(Tabela4[[#This Row],[Cabo]],BD!A:AB,28,0)</f>
        <v>#N/A</v>
      </c>
    </row>
    <row r="465" spans="3:26" x14ac:dyDescent="0.25">
      <c r="C465" s="391" t="str">
        <f ca="1">IF($B$1="Geral",Tabela1[[#This Row],[Tag do Cabo]],IFERROR(INDEX(INDIRECT("BD!$A"&amp;D465&amp;":$A100000"),E465,1),""))</f>
        <v/>
      </c>
      <c r="D465" s="391" t="str">
        <f t="shared" ca="1" si="18"/>
        <v/>
      </c>
      <c r="E465" s="391" t="str">
        <f t="shared" ca="1" si="19"/>
        <v/>
      </c>
      <c r="F465" s="23" t="str">
        <f ca="1">IFERROR(VLOOKUP(Tabela4[[#This Row],[Cabo]],BD!A:V,2,0),"")</f>
        <v/>
      </c>
      <c r="G465" s="391" t="str">
        <f ca="1">IFERROR(VLOOKUP(Tabela4[[#This Row],[Cabo]],BD!A:V,5,0),"")</f>
        <v/>
      </c>
      <c r="H465" s="23" t="str">
        <f ca="1">IFERROR(VLOOKUP(Tabela4[[#This Row],[Cabo]],BD!A:V,3,0),"")</f>
        <v/>
      </c>
      <c r="I465" s="23" t="str">
        <f ca="1">IFERROR(VLOOKUP(Tabela4[[#This Row],[Cabo]],BD!A:V,4,0),"")</f>
        <v/>
      </c>
      <c r="J465" s="23" t="str">
        <f ca="1">IFERROR(VLOOKUP(Tabela4[[#This Row],[Cabo]],BD!A:V,7,0),"")</f>
        <v/>
      </c>
      <c r="K46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5" s="23" t="str">
        <f ca="1">IFERROR(VLOOKUP(Tabela4[[#This Row],[Cabo]],BD!A:V,9,0),"")</f>
        <v/>
      </c>
      <c r="M465" s="23" t="str">
        <f ca="1">IFERROR(VLOOKUP(Tabela4[[#This Row],[Cabo]],BD!A:AD,30,0),"")</f>
        <v/>
      </c>
      <c r="N465" s="23" t="str">
        <f ca="1">IF(SUMIF('Lançamento de Cabos'!B:B,Tabela4[[#This Row],[Cabo]],'Lançamento de Cabos'!C:C)=0,"",SUMIF('Lançamento de Cabos'!B:B,Tabela4[[#This Row],[Cabo]],'Lançamento de Cabos'!C:C))</f>
        <v/>
      </c>
      <c r="O465" s="28" t="str">
        <f ca="1">IFERROR(IF(Tabela4[[#This Row],[Compr. Lançado]]/Tabela4[[#This Row],[Compr. Prev.]]&gt;1,1,Tabela4[[#This Row],[Compr. Lançado]]/Tabela4[[#This Row],[Compr. Prev.]]),"")</f>
        <v/>
      </c>
      <c r="P465" s="24" t="str">
        <f ca="1">IFERROR(VLOOKUP(Tabela4[[#This Row],[Cabo]],BD!A:V,11,0),"")</f>
        <v/>
      </c>
      <c r="Q465" s="24" t="str">
        <f ca="1">IFERROR(VLOOKUP(Tabela4[[#This Row],[Cabo]],BD!A:V,12,0),"")</f>
        <v/>
      </c>
      <c r="R46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5" s="23" t="str">
        <f ca="1">IF(Tabela4[[#This Row],[Cabo]]&lt;&gt;"",4-COUNTIF(Tabela4[[#This Row],[Teste de Continuidade]:[Hipot]],"---"),"")</f>
        <v/>
      </c>
      <c r="W465" s="29" t="str">
        <f ca="1">IF(Tabela4[[#This Row],[Cabo]]&lt;&gt;"",(COUNTIF(Tabela4[[#This Row],[Teste de Continuidade]:[Hipot]],"OK"))/(4-COUNTIF(Tabela4[[#This Row],[Teste de Continuidade]:[Hipot]],"---")),"")</f>
        <v/>
      </c>
      <c r="X465" s="23" t="str">
        <f ca="1">IF(Tabela4[[#This Row],[Cabo]]&lt;&gt;"",SUMIFS('Lançamento de Cabos'!$AF:$AF,'Lançamento de Cabos'!AE:AE,Tabela4[[#This Row],[Cabo]],'Lançamento de Cabos'!AJ:AJ,Área!$B$1),"")</f>
        <v/>
      </c>
      <c r="Y465" s="23" t="str">
        <f ca="1">IF(Tabela4[[#This Row],[Cabo]]&lt;&gt;"",SUMIFS('Lançamento de Cabos'!$AG:$AG,'Lançamento de Cabos'!AE:AE,Tabela4[[#This Row],[Cabo]],'Lançamento de Cabos'!AJ:AJ,Área!$B$1),"")</f>
        <v/>
      </c>
      <c r="Z465" s="23" t="e">
        <f ca="1">VLOOKUP(Tabela4[[#This Row],[Cabo]],BD!A:AB,28,0)</f>
        <v>#N/A</v>
      </c>
    </row>
    <row r="466" spans="3:26" x14ac:dyDescent="0.25">
      <c r="C466" s="391" t="str">
        <f ca="1">IF($B$1="Geral",Tabela1[[#This Row],[Tag do Cabo]],IFERROR(INDEX(INDIRECT("BD!$A"&amp;D466&amp;":$A100000"),E466,1),""))</f>
        <v/>
      </c>
      <c r="D466" s="391" t="str">
        <f t="shared" ca="1" si="18"/>
        <v/>
      </c>
      <c r="E466" s="391" t="str">
        <f t="shared" ca="1" si="19"/>
        <v/>
      </c>
      <c r="F466" s="23" t="str">
        <f ca="1">IFERROR(VLOOKUP(Tabela4[[#This Row],[Cabo]],BD!A:V,2,0),"")</f>
        <v/>
      </c>
      <c r="G466" s="391" t="str">
        <f ca="1">IFERROR(VLOOKUP(Tabela4[[#This Row],[Cabo]],BD!A:V,5,0),"")</f>
        <v/>
      </c>
      <c r="H466" s="23" t="str">
        <f ca="1">IFERROR(VLOOKUP(Tabela4[[#This Row],[Cabo]],BD!A:V,3,0),"")</f>
        <v/>
      </c>
      <c r="I466" s="23" t="str">
        <f ca="1">IFERROR(VLOOKUP(Tabela4[[#This Row],[Cabo]],BD!A:V,4,0),"")</f>
        <v/>
      </c>
      <c r="J466" s="23" t="str">
        <f ca="1">IFERROR(VLOOKUP(Tabela4[[#This Row],[Cabo]],BD!A:V,7,0),"")</f>
        <v/>
      </c>
      <c r="K46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6" s="23" t="str">
        <f ca="1">IFERROR(VLOOKUP(Tabela4[[#This Row],[Cabo]],BD!A:V,9,0),"")</f>
        <v/>
      </c>
      <c r="M466" s="23" t="str">
        <f ca="1">IFERROR(VLOOKUP(Tabela4[[#This Row],[Cabo]],BD!A:AD,30,0),"")</f>
        <v/>
      </c>
      <c r="N466" s="23" t="str">
        <f ca="1">IF(SUMIF('Lançamento de Cabos'!B:B,Tabela4[[#This Row],[Cabo]],'Lançamento de Cabos'!C:C)=0,"",SUMIF('Lançamento de Cabos'!B:B,Tabela4[[#This Row],[Cabo]],'Lançamento de Cabos'!C:C))</f>
        <v/>
      </c>
      <c r="O466" s="28" t="str">
        <f ca="1">IFERROR(IF(Tabela4[[#This Row],[Compr. Lançado]]/Tabela4[[#This Row],[Compr. Prev.]]&gt;1,1,Tabela4[[#This Row],[Compr. Lançado]]/Tabela4[[#This Row],[Compr. Prev.]]),"")</f>
        <v/>
      </c>
      <c r="P466" s="24" t="str">
        <f ca="1">IFERROR(VLOOKUP(Tabela4[[#This Row],[Cabo]],BD!A:V,11,0),"")</f>
        <v/>
      </c>
      <c r="Q466" s="24" t="str">
        <f ca="1">IFERROR(VLOOKUP(Tabela4[[#This Row],[Cabo]],BD!A:V,12,0),"")</f>
        <v/>
      </c>
      <c r="R46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6" s="23" t="str">
        <f ca="1">IF(Tabela4[[#This Row],[Cabo]]&lt;&gt;"",4-COUNTIF(Tabela4[[#This Row],[Teste de Continuidade]:[Hipot]],"---"),"")</f>
        <v/>
      </c>
      <c r="W466" s="29" t="str">
        <f ca="1">IF(Tabela4[[#This Row],[Cabo]]&lt;&gt;"",(COUNTIF(Tabela4[[#This Row],[Teste de Continuidade]:[Hipot]],"OK"))/(4-COUNTIF(Tabela4[[#This Row],[Teste de Continuidade]:[Hipot]],"---")),"")</f>
        <v/>
      </c>
      <c r="X466" s="23" t="str">
        <f ca="1">IF(Tabela4[[#This Row],[Cabo]]&lt;&gt;"",SUMIFS('Lançamento de Cabos'!$AF:$AF,'Lançamento de Cabos'!AE:AE,Tabela4[[#This Row],[Cabo]],'Lançamento de Cabos'!AJ:AJ,Área!$B$1),"")</f>
        <v/>
      </c>
      <c r="Y466" s="23" t="str">
        <f ca="1">IF(Tabela4[[#This Row],[Cabo]]&lt;&gt;"",SUMIFS('Lançamento de Cabos'!$AG:$AG,'Lançamento de Cabos'!AE:AE,Tabela4[[#This Row],[Cabo]],'Lançamento de Cabos'!AJ:AJ,Área!$B$1),"")</f>
        <v/>
      </c>
      <c r="Z466" s="23" t="e">
        <f ca="1">VLOOKUP(Tabela4[[#This Row],[Cabo]],BD!A:AB,28,0)</f>
        <v>#N/A</v>
      </c>
    </row>
    <row r="467" spans="3:26" x14ac:dyDescent="0.25">
      <c r="C467" s="391" t="str">
        <f ca="1">IF($B$1="Geral",Tabela1[[#This Row],[Tag do Cabo]],IFERROR(INDEX(INDIRECT("BD!$A"&amp;D467&amp;":$A100000"),E467,1),""))</f>
        <v/>
      </c>
      <c r="D467" s="391" t="str">
        <f t="shared" ca="1" si="18"/>
        <v/>
      </c>
      <c r="E467" s="391" t="str">
        <f t="shared" ca="1" si="19"/>
        <v/>
      </c>
      <c r="F467" s="23" t="str">
        <f ca="1">IFERROR(VLOOKUP(Tabela4[[#This Row],[Cabo]],BD!A:V,2,0),"")</f>
        <v/>
      </c>
      <c r="G467" s="391" t="str">
        <f ca="1">IFERROR(VLOOKUP(Tabela4[[#This Row],[Cabo]],BD!A:V,5,0),"")</f>
        <v/>
      </c>
      <c r="H467" s="23" t="str">
        <f ca="1">IFERROR(VLOOKUP(Tabela4[[#This Row],[Cabo]],BD!A:V,3,0),"")</f>
        <v/>
      </c>
      <c r="I467" s="23" t="str">
        <f ca="1">IFERROR(VLOOKUP(Tabela4[[#This Row],[Cabo]],BD!A:V,4,0),"")</f>
        <v/>
      </c>
      <c r="J467" s="23" t="str">
        <f ca="1">IFERROR(VLOOKUP(Tabela4[[#This Row],[Cabo]],BD!A:V,7,0),"")</f>
        <v/>
      </c>
      <c r="K46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7" s="23" t="str">
        <f ca="1">IFERROR(VLOOKUP(Tabela4[[#This Row],[Cabo]],BD!A:V,9,0),"")</f>
        <v/>
      </c>
      <c r="M467" s="23" t="str">
        <f ca="1">IFERROR(VLOOKUP(Tabela4[[#This Row],[Cabo]],BD!A:AD,30,0),"")</f>
        <v/>
      </c>
      <c r="N467" s="23" t="str">
        <f ca="1">IF(SUMIF('Lançamento de Cabos'!B:B,Tabela4[[#This Row],[Cabo]],'Lançamento de Cabos'!C:C)=0,"",SUMIF('Lançamento de Cabos'!B:B,Tabela4[[#This Row],[Cabo]],'Lançamento de Cabos'!C:C))</f>
        <v/>
      </c>
      <c r="O467" s="28" t="str">
        <f ca="1">IFERROR(IF(Tabela4[[#This Row],[Compr. Lançado]]/Tabela4[[#This Row],[Compr. Prev.]]&gt;1,1,Tabela4[[#This Row],[Compr. Lançado]]/Tabela4[[#This Row],[Compr. Prev.]]),"")</f>
        <v/>
      </c>
      <c r="P467" s="24" t="str">
        <f ca="1">IFERROR(VLOOKUP(Tabela4[[#This Row],[Cabo]],BD!A:V,11,0),"")</f>
        <v/>
      </c>
      <c r="Q467" s="24" t="str">
        <f ca="1">IFERROR(VLOOKUP(Tabela4[[#This Row],[Cabo]],BD!A:V,12,0),"")</f>
        <v/>
      </c>
      <c r="R46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7" s="23" t="str">
        <f ca="1">IF(Tabela4[[#This Row],[Cabo]]&lt;&gt;"",4-COUNTIF(Tabela4[[#This Row],[Teste de Continuidade]:[Hipot]],"---"),"")</f>
        <v/>
      </c>
      <c r="W467" s="29" t="str">
        <f ca="1">IF(Tabela4[[#This Row],[Cabo]]&lt;&gt;"",(COUNTIF(Tabela4[[#This Row],[Teste de Continuidade]:[Hipot]],"OK"))/(4-COUNTIF(Tabela4[[#This Row],[Teste de Continuidade]:[Hipot]],"---")),"")</f>
        <v/>
      </c>
      <c r="X467" s="23" t="str">
        <f ca="1">IF(Tabela4[[#This Row],[Cabo]]&lt;&gt;"",SUMIFS('Lançamento de Cabos'!$AF:$AF,'Lançamento de Cabos'!AE:AE,Tabela4[[#This Row],[Cabo]],'Lançamento de Cabos'!AJ:AJ,Área!$B$1),"")</f>
        <v/>
      </c>
      <c r="Y467" s="23" t="str">
        <f ca="1">IF(Tabela4[[#This Row],[Cabo]]&lt;&gt;"",SUMIFS('Lançamento de Cabos'!$AG:$AG,'Lançamento de Cabos'!AE:AE,Tabela4[[#This Row],[Cabo]],'Lançamento de Cabos'!AJ:AJ,Área!$B$1),"")</f>
        <v/>
      </c>
      <c r="Z467" s="23" t="e">
        <f ca="1">VLOOKUP(Tabela4[[#This Row],[Cabo]],BD!A:AB,28,0)</f>
        <v>#N/A</v>
      </c>
    </row>
    <row r="468" spans="3:26" x14ac:dyDescent="0.25">
      <c r="C468" s="391" t="str">
        <f ca="1">IF($B$1="Geral",Tabela1[[#This Row],[Tag do Cabo]],IFERROR(INDEX(INDIRECT("BD!$A"&amp;D468&amp;":$A100000"),E468,1),""))</f>
        <v/>
      </c>
      <c r="D468" s="391" t="str">
        <f t="shared" ca="1" si="18"/>
        <v/>
      </c>
      <c r="E468" s="391" t="str">
        <f t="shared" ca="1" si="19"/>
        <v/>
      </c>
      <c r="F468" s="23" t="str">
        <f ca="1">IFERROR(VLOOKUP(Tabela4[[#This Row],[Cabo]],BD!A:V,2,0),"")</f>
        <v/>
      </c>
      <c r="G468" s="391" t="str">
        <f ca="1">IFERROR(VLOOKUP(Tabela4[[#This Row],[Cabo]],BD!A:V,5,0),"")</f>
        <v/>
      </c>
      <c r="H468" s="23" t="str">
        <f ca="1">IFERROR(VLOOKUP(Tabela4[[#This Row],[Cabo]],BD!A:V,3,0),"")</f>
        <v/>
      </c>
      <c r="I468" s="23" t="str">
        <f ca="1">IFERROR(VLOOKUP(Tabela4[[#This Row],[Cabo]],BD!A:V,4,0),"")</f>
        <v/>
      </c>
      <c r="J468" s="23" t="str">
        <f ca="1">IFERROR(VLOOKUP(Tabela4[[#This Row],[Cabo]],BD!A:V,7,0),"")</f>
        <v/>
      </c>
      <c r="K46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8" s="23" t="str">
        <f ca="1">IFERROR(VLOOKUP(Tabela4[[#This Row],[Cabo]],BD!A:V,9,0),"")</f>
        <v/>
      </c>
      <c r="M468" s="23" t="str">
        <f ca="1">IFERROR(VLOOKUP(Tabela4[[#This Row],[Cabo]],BD!A:AD,30,0),"")</f>
        <v/>
      </c>
      <c r="N468" s="23" t="str">
        <f ca="1">IF(SUMIF('Lançamento de Cabos'!B:B,Tabela4[[#This Row],[Cabo]],'Lançamento de Cabos'!C:C)=0,"",SUMIF('Lançamento de Cabos'!B:B,Tabela4[[#This Row],[Cabo]],'Lançamento de Cabos'!C:C))</f>
        <v/>
      </c>
      <c r="O468" s="28" t="str">
        <f ca="1">IFERROR(IF(Tabela4[[#This Row],[Compr. Lançado]]/Tabela4[[#This Row],[Compr. Prev.]]&gt;1,1,Tabela4[[#This Row],[Compr. Lançado]]/Tabela4[[#This Row],[Compr. Prev.]]),"")</f>
        <v/>
      </c>
      <c r="P468" s="24" t="str">
        <f ca="1">IFERROR(VLOOKUP(Tabela4[[#This Row],[Cabo]],BD!A:V,11,0),"")</f>
        <v/>
      </c>
      <c r="Q468" s="24" t="str">
        <f ca="1">IFERROR(VLOOKUP(Tabela4[[#This Row],[Cabo]],BD!A:V,12,0),"")</f>
        <v/>
      </c>
      <c r="R46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8" s="23" t="str">
        <f ca="1">IF(Tabela4[[#This Row],[Cabo]]&lt;&gt;"",4-COUNTIF(Tabela4[[#This Row],[Teste de Continuidade]:[Hipot]],"---"),"")</f>
        <v/>
      </c>
      <c r="W468" s="29" t="str">
        <f ca="1">IF(Tabela4[[#This Row],[Cabo]]&lt;&gt;"",(COUNTIF(Tabela4[[#This Row],[Teste de Continuidade]:[Hipot]],"OK"))/(4-COUNTIF(Tabela4[[#This Row],[Teste de Continuidade]:[Hipot]],"---")),"")</f>
        <v/>
      </c>
      <c r="X468" s="23" t="str">
        <f ca="1">IF(Tabela4[[#This Row],[Cabo]]&lt;&gt;"",SUMIFS('Lançamento de Cabos'!$AF:$AF,'Lançamento de Cabos'!AE:AE,Tabela4[[#This Row],[Cabo]],'Lançamento de Cabos'!AJ:AJ,Área!$B$1),"")</f>
        <v/>
      </c>
      <c r="Y468" s="23" t="str">
        <f ca="1">IF(Tabela4[[#This Row],[Cabo]]&lt;&gt;"",SUMIFS('Lançamento de Cabos'!$AG:$AG,'Lançamento de Cabos'!AE:AE,Tabela4[[#This Row],[Cabo]],'Lançamento de Cabos'!AJ:AJ,Área!$B$1),"")</f>
        <v/>
      </c>
      <c r="Z468" s="23" t="e">
        <f ca="1">VLOOKUP(Tabela4[[#This Row],[Cabo]],BD!A:AB,28,0)</f>
        <v>#N/A</v>
      </c>
    </row>
    <row r="469" spans="3:26" x14ac:dyDescent="0.25">
      <c r="C469" s="391" t="str">
        <f ca="1">IF($B$1="Geral",Tabela1[[#This Row],[Tag do Cabo]],IFERROR(INDEX(INDIRECT("BD!$A"&amp;D469&amp;":$A100000"),E469,1),""))</f>
        <v/>
      </c>
      <c r="D469" s="391" t="str">
        <f t="shared" ca="1" si="18"/>
        <v/>
      </c>
      <c r="E469" s="391" t="str">
        <f t="shared" ca="1" si="19"/>
        <v/>
      </c>
      <c r="F469" s="23" t="str">
        <f ca="1">IFERROR(VLOOKUP(Tabela4[[#This Row],[Cabo]],BD!A:V,2,0),"")</f>
        <v/>
      </c>
      <c r="G469" s="391" t="str">
        <f ca="1">IFERROR(VLOOKUP(Tabela4[[#This Row],[Cabo]],BD!A:V,5,0),"")</f>
        <v/>
      </c>
      <c r="H469" s="23" t="str">
        <f ca="1">IFERROR(VLOOKUP(Tabela4[[#This Row],[Cabo]],BD!A:V,3,0),"")</f>
        <v/>
      </c>
      <c r="I469" s="23" t="str">
        <f ca="1">IFERROR(VLOOKUP(Tabela4[[#This Row],[Cabo]],BD!A:V,4,0),"")</f>
        <v/>
      </c>
      <c r="J469" s="23" t="str">
        <f ca="1">IFERROR(VLOOKUP(Tabela4[[#This Row],[Cabo]],BD!A:V,7,0),"")</f>
        <v/>
      </c>
      <c r="K46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69" s="23" t="str">
        <f ca="1">IFERROR(VLOOKUP(Tabela4[[#This Row],[Cabo]],BD!A:V,9,0),"")</f>
        <v/>
      </c>
      <c r="M469" s="23" t="str">
        <f ca="1">IFERROR(VLOOKUP(Tabela4[[#This Row],[Cabo]],BD!A:AD,30,0),"")</f>
        <v/>
      </c>
      <c r="N469" s="23" t="str">
        <f ca="1">IF(SUMIF('Lançamento de Cabos'!B:B,Tabela4[[#This Row],[Cabo]],'Lançamento de Cabos'!C:C)=0,"",SUMIF('Lançamento de Cabos'!B:B,Tabela4[[#This Row],[Cabo]],'Lançamento de Cabos'!C:C))</f>
        <v/>
      </c>
      <c r="O469" s="28" t="str">
        <f ca="1">IFERROR(IF(Tabela4[[#This Row],[Compr. Lançado]]/Tabela4[[#This Row],[Compr. Prev.]]&gt;1,1,Tabela4[[#This Row],[Compr. Lançado]]/Tabela4[[#This Row],[Compr. Prev.]]),"")</f>
        <v/>
      </c>
      <c r="P469" s="24" t="str">
        <f ca="1">IFERROR(VLOOKUP(Tabela4[[#This Row],[Cabo]],BD!A:V,11,0),"")</f>
        <v/>
      </c>
      <c r="Q469" s="24" t="str">
        <f ca="1">IFERROR(VLOOKUP(Tabela4[[#This Row],[Cabo]],BD!A:V,12,0),"")</f>
        <v/>
      </c>
      <c r="R46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6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6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6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69" s="23" t="str">
        <f ca="1">IF(Tabela4[[#This Row],[Cabo]]&lt;&gt;"",4-COUNTIF(Tabela4[[#This Row],[Teste de Continuidade]:[Hipot]],"---"),"")</f>
        <v/>
      </c>
      <c r="W469" s="29" t="str">
        <f ca="1">IF(Tabela4[[#This Row],[Cabo]]&lt;&gt;"",(COUNTIF(Tabela4[[#This Row],[Teste de Continuidade]:[Hipot]],"OK"))/(4-COUNTIF(Tabela4[[#This Row],[Teste de Continuidade]:[Hipot]],"---")),"")</f>
        <v/>
      </c>
      <c r="X469" s="23" t="str">
        <f ca="1">IF(Tabela4[[#This Row],[Cabo]]&lt;&gt;"",SUMIFS('Lançamento de Cabos'!$AF:$AF,'Lançamento de Cabos'!AE:AE,Tabela4[[#This Row],[Cabo]],'Lançamento de Cabos'!AJ:AJ,Área!$B$1),"")</f>
        <v/>
      </c>
      <c r="Y469" s="23" t="str">
        <f ca="1">IF(Tabela4[[#This Row],[Cabo]]&lt;&gt;"",SUMIFS('Lançamento de Cabos'!$AG:$AG,'Lançamento de Cabos'!AE:AE,Tabela4[[#This Row],[Cabo]],'Lançamento de Cabos'!AJ:AJ,Área!$B$1),"")</f>
        <v/>
      </c>
      <c r="Z469" s="23" t="e">
        <f ca="1">VLOOKUP(Tabela4[[#This Row],[Cabo]],BD!A:AB,28,0)</f>
        <v>#N/A</v>
      </c>
    </row>
    <row r="470" spans="3:26" x14ac:dyDescent="0.25">
      <c r="C470" s="391" t="str">
        <f ca="1">IF($B$1="Geral",Tabela1[[#This Row],[Tag do Cabo]],IFERROR(INDEX(INDIRECT("BD!$A"&amp;D470&amp;":$A100000"),E470,1),""))</f>
        <v/>
      </c>
      <c r="D470" s="391" t="str">
        <f t="shared" ca="1" si="18"/>
        <v/>
      </c>
      <c r="E470" s="391" t="str">
        <f t="shared" ca="1" si="19"/>
        <v/>
      </c>
      <c r="F470" s="23" t="str">
        <f ca="1">IFERROR(VLOOKUP(Tabela4[[#This Row],[Cabo]],BD!A:V,2,0),"")</f>
        <v/>
      </c>
      <c r="G470" s="391" t="str">
        <f ca="1">IFERROR(VLOOKUP(Tabela4[[#This Row],[Cabo]],BD!A:V,5,0),"")</f>
        <v/>
      </c>
      <c r="H470" s="23" t="str">
        <f ca="1">IFERROR(VLOOKUP(Tabela4[[#This Row],[Cabo]],BD!A:V,3,0),"")</f>
        <v/>
      </c>
      <c r="I470" s="23" t="str">
        <f ca="1">IFERROR(VLOOKUP(Tabela4[[#This Row],[Cabo]],BD!A:V,4,0),"")</f>
        <v/>
      </c>
      <c r="J470" s="23" t="str">
        <f ca="1">IFERROR(VLOOKUP(Tabela4[[#This Row],[Cabo]],BD!A:V,7,0),"")</f>
        <v/>
      </c>
      <c r="K47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0" s="23" t="str">
        <f ca="1">IFERROR(VLOOKUP(Tabela4[[#This Row],[Cabo]],BD!A:V,9,0),"")</f>
        <v/>
      </c>
      <c r="M470" s="23" t="str">
        <f ca="1">IFERROR(VLOOKUP(Tabela4[[#This Row],[Cabo]],BD!A:AD,30,0),"")</f>
        <v/>
      </c>
      <c r="N470" s="23" t="str">
        <f ca="1">IF(SUMIF('Lançamento de Cabos'!B:B,Tabela4[[#This Row],[Cabo]],'Lançamento de Cabos'!C:C)=0,"",SUMIF('Lançamento de Cabos'!B:B,Tabela4[[#This Row],[Cabo]],'Lançamento de Cabos'!C:C))</f>
        <v/>
      </c>
      <c r="O470" s="28" t="str">
        <f ca="1">IFERROR(IF(Tabela4[[#This Row],[Compr. Lançado]]/Tabela4[[#This Row],[Compr. Prev.]]&gt;1,1,Tabela4[[#This Row],[Compr. Lançado]]/Tabela4[[#This Row],[Compr. Prev.]]),"")</f>
        <v/>
      </c>
      <c r="P470" s="24" t="str">
        <f ca="1">IFERROR(VLOOKUP(Tabela4[[#This Row],[Cabo]],BD!A:V,11,0),"")</f>
        <v/>
      </c>
      <c r="Q470" s="24" t="str">
        <f ca="1">IFERROR(VLOOKUP(Tabela4[[#This Row],[Cabo]],BD!A:V,12,0),"")</f>
        <v/>
      </c>
      <c r="R47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0" s="23" t="str">
        <f ca="1">IF(Tabela4[[#This Row],[Cabo]]&lt;&gt;"",4-COUNTIF(Tabela4[[#This Row],[Teste de Continuidade]:[Hipot]],"---"),"")</f>
        <v/>
      </c>
      <c r="W470" s="29" t="str">
        <f ca="1">IF(Tabela4[[#This Row],[Cabo]]&lt;&gt;"",(COUNTIF(Tabela4[[#This Row],[Teste de Continuidade]:[Hipot]],"OK"))/(4-COUNTIF(Tabela4[[#This Row],[Teste de Continuidade]:[Hipot]],"---")),"")</f>
        <v/>
      </c>
      <c r="X470" s="23" t="str">
        <f ca="1">IF(Tabela4[[#This Row],[Cabo]]&lt;&gt;"",SUMIFS('Lançamento de Cabos'!$AF:$AF,'Lançamento de Cabos'!AE:AE,Tabela4[[#This Row],[Cabo]],'Lançamento de Cabos'!AJ:AJ,Área!$B$1),"")</f>
        <v/>
      </c>
      <c r="Y470" s="23" t="str">
        <f ca="1">IF(Tabela4[[#This Row],[Cabo]]&lt;&gt;"",SUMIFS('Lançamento de Cabos'!$AG:$AG,'Lançamento de Cabos'!AE:AE,Tabela4[[#This Row],[Cabo]],'Lançamento de Cabos'!AJ:AJ,Área!$B$1),"")</f>
        <v/>
      </c>
      <c r="Z470" s="23" t="e">
        <f ca="1">VLOOKUP(Tabela4[[#This Row],[Cabo]],BD!A:AB,28,0)</f>
        <v>#N/A</v>
      </c>
    </row>
    <row r="471" spans="3:26" x14ac:dyDescent="0.25">
      <c r="C471" s="391" t="str">
        <f ca="1">IF($B$1="Geral",Tabela1[[#This Row],[Tag do Cabo]],IFERROR(INDEX(INDIRECT("BD!$A"&amp;D471&amp;":$A100000"),E471,1),""))</f>
        <v/>
      </c>
      <c r="D471" s="391" t="str">
        <f t="shared" ca="1" si="18"/>
        <v/>
      </c>
      <c r="E471" s="391" t="str">
        <f t="shared" ca="1" si="19"/>
        <v/>
      </c>
      <c r="F471" s="23" t="str">
        <f ca="1">IFERROR(VLOOKUP(Tabela4[[#This Row],[Cabo]],BD!A:V,2,0),"")</f>
        <v/>
      </c>
      <c r="G471" s="391" t="str">
        <f ca="1">IFERROR(VLOOKUP(Tabela4[[#This Row],[Cabo]],BD!A:V,5,0),"")</f>
        <v/>
      </c>
      <c r="H471" s="23" t="str">
        <f ca="1">IFERROR(VLOOKUP(Tabela4[[#This Row],[Cabo]],BD!A:V,3,0),"")</f>
        <v/>
      </c>
      <c r="I471" s="23" t="str">
        <f ca="1">IFERROR(VLOOKUP(Tabela4[[#This Row],[Cabo]],BD!A:V,4,0),"")</f>
        <v/>
      </c>
      <c r="J471" s="23" t="str">
        <f ca="1">IFERROR(VLOOKUP(Tabela4[[#This Row],[Cabo]],BD!A:V,7,0),"")</f>
        <v/>
      </c>
      <c r="K47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1" s="23" t="str">
        <f ca="1">IFERROR(VLOOKUP(Tabela4[[#This Row],[Cabo]],BD!A:V,9,0),"")</f>
        <v/>
      </c>
      <c r="M471" s="23" t="str">
        <f ca="1">IFERROR(VLOOKUP(Tabela4[[#This Row],[Cabo]],BD!A:AD,30,0),"")</f>
        <v/>
      </c>
      <c r="N471" s="23" t="str">
        <f ca="1">IF(SUMIF('Lançamento de Cabos'!B:B,Tabela4[[#This Row],[Cabo]],'Lançamento de Cabos'!C:C)=0,"",SUMIF('Lançamento de Cabos'!B:B,Tabela4[[#This Row],[Cabo]],'Lançamento de Cabos'!C:C))</f>
        <v/>
      </c>
      <c r="O471" s="28" t="str">
        <f ca="1">IFERROR(IF(Tabela4[[#This Row],[Compr. Lançado]]/Tabela4[[#This Row],[Compr. Prev.]]&gt;1,1,Tabela4[[#This Row],[Compr. Lançado]]/Tabela4[[#This Row],[Compr. Prev.]]),"")</f>
        <v/>
      </c>
      <c r="P471" s="24" t="str">
        <f ca="1">IFERROR(VLOOKUP(Tabela4[[#This Row],[Cabo]],BD!A:V,11,0),"")</f>
        <v/>
      </c>
      <c r="Q471" s="24" t="str">
        <f ca="1">IFERROR(VLOOKUP(Tabela4[[#This Row],[Cabo]],BD!A:V,12,0),"")</f>
        <v/>
      </c>
      <c r="R47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1" s="23" t="str">
        <f ca="1">IF(Tabela4[[#This Row],[Cabo]]&lt;&gt;"",4-COUNTIF(Tabela4[[#This Row],[Teste de Continuidade]:[Hipot]],"---"),"")</f>
        <v/>
      </c>
      <c r="W471" s="29" t="str">
        <f ca="1">IF(Tabela4[[#This Row],[Cabo]]&lt;&gt;"",(COUNTIF(Tabela4[[#This Row],[Teste de Continuidade]:[Hipot]],"OK"))/(4-COUNTIF(Tabela4[[#This Row],[Teste de Continuidade]:[Hipot]],"---")),"")</f>
        <v/>
      </c>
      <c r="X471" s="23" t="str">
        <f ca="1">IF(Tabela4[[#This Row],[Cabo]]&lt;&gt;"",SUMIFS('Lançamento de Cabos'!$AF:$AF,'Lançamento de Cabos'!AE:AE,Tabela4[[#This Row],[Cabo]],'Lançamento de Cabos'!AJ:AJ,Área!$B$1),"")</f>
        <v/>
      </c>
      <c r="Y471" s="23" t="str">
        <f ca="1">IF(Tabela4[[#This Row],[Cabo]]&lt;&gt;"",SUMIFS('Lançamento de Cabos'!$AG:$AG,'Lançamento de Cabos'!AE:AE,Tabela4[[#This Row],[Cabo]],'Lançamento de Cabos'!AJ:AJ,Área!$B$1),"")</f>
        <v/>
      </c>
      <c r="Z471" s="23" t="e">
        <f ca="1">VLOOKUP(Tabela4[[#This Row],[Cabo]],BD!A:AB,28,0)</f>
        <v>#N/A</v>
      </c>
    </row>
    <row r="472" spans="3:26" x14ac:dyDescent="0.25">
      <c r="C472" s="391" t="str">
        <f ca="1">IF($B$1="Geral",Tabela1[[#This Row],[Tag do Cabo]],IFERROR(INDEX(INDIRECT("BD!$A"&amp;D472&amp;":$A100000"),E472,1),""))</f>
        <v/>
      </c>
      <c r="D472" s="391" t="str">
        <f t="shared" ca="1" si="18"/>
        <v/>
      </c>
      <c r="E472" s="391" t="str">
        <f t="shared" ca="1" si="19"/>
        <v/>
      </c>
      <c r="F472" s="23" t="str">
        <f ca="1">IFERROR(VLOOKUP(Tabela4[[#This Row],[Cabo]],BD!A:V,2,0),"")</f>
        <v/>
      </c>
      <c r="G472" s="391" t="str">
        <f ca="1">IFERROR(VLOOKUP(Tabela4[[#This Row],[Cabo]],BD!A:V,5,0),"")</f>
        <v/>
      </c>
      <c r="H472" s="23" t="str">
        <f ca="1">IFERROR(VLOOKUP(Tabela4[[#This Row],[Cabo]],BD!A:V,3,0),"")</f>
        <v/>
      </c>
      <c r="I472" s="23" t="str">
        <f ca="1">IFERROR(VLOOKUP(Tabela4[[#This Row],[Cabo]],BD!A:V,4,0),"")</f>
        <v/>
      </c>
      <c r="J472" s="23" t="str">
        <f ca="1">IFERROR(VLOOKUP(Tabela4[[#This Row],[Cabo]],BD!A:V,7,0),"")</f>
        <v/>
      </c>
      <c r="K47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2" s="23" t="str">
        <f ca="1">IFERROR(VLOOKUP(Tabela4[[#This Row],[Cabo]],BD!A:V,9,0),"")</f>
        <v/>
      </c>
      <c r="M472" s="23" t="str">
        <f ca="1">IFERROR(VLOOKUP(Tabela4[[#This Row],[Cabo]],BD!A:AD,30,0),"")</f>
        <v/>
      </c>
      <c r="N472" s="23" t="str">
        <f ca="1">IF(SUMIF('Lançamento de Cabos'!B:B,Tabela4[[#This Row],[Cabo]],'Lançamento de Cabos'!C:C)=0,"",SUMIF('Lançamento de Cabos'!B:B,Tabela4[[#This Row],[Cabo]],'Lançamento de Cabos'!C:C))</f>
        <v/>
      </c>
      <c r="O472" s="28" t="str">
        <f ca="1">IFERROR(IF(Tabela4[[#This Row],[Compr. Lançado]]/Tabela4[[#This Row],[Compr. Prev.]]&gt;1,1,Tabela4[[#This Row],[Compr. Lançado]]/Tabela4[[#This Row],[Compr. Prev.]]),"")</f>
        <v/>
      </c>
      <c r="P472" s="24" t="str">
        <f ca="1">IFERROR(VLOOKUP(Tabela4[[#This Row],[Cabo]],BD!A:V,11,0),"")</f>
        <v/>
      </c>
      <c r="Q472" s="24" t="str">
        <f ca="1">IFERROR(VLOOKUP(Tabela4[[#This Row],[Cabo]],BD!A:V,12,0),"")</f>
        <v/>
      </c>
      <c r="R47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2" s="23" t="str">
        <f ca="1">IF(Tabela4[[#This Row],[Cabo]]&lt;&gt;"",4-COUNTIF(Tabela4[[#This Row],[Teste de Continuidade]:[Hipot]],"---"),"")</f>
        <v/>
      </c>
      <c r="W472" s="29" t="str">
        <f ca="1">IF(Tabela4[[#This Row],[Cabo]]&lt;&gt;"",(COUNTIF(Tabela4[[#This Row],[Teste de Continuidade]:[Hipot]],"OK"))/(4-COUNTIF(Tabela4[[#This Row],[Teste de Continuidade]:[Hipot]],"---")),"")</f>
        <v/>
      </c>
      <c r="X472" s="23" t="str">
        <f ca="1">IF(Tabela4[[#This Row],[Cabo]]&lt;&gt;"",SUMIFS('Lançamento de Cabos'!$AF:$AF,'Lançamento de Cabos'!AE:AE,Tabela4[[#This Row],[Cabo]],'Lançamento de Cabos'!AJ:AJ,Área!$B$1),"")</f>
        <v/>
      </c>
      <c r="Y472" s="23" t="str">
        <f ca="1">IF(Tabela4[[#This Row],[Cabo]]&lt;&gt;"",SUMIFS('Lançamento de Cabos'!$AG:$AG,'Lançamento de Cabos'!AE:AE,Tabela4[[#This Row],[Cabo]],'Lançamento de Cabos'!AJ:AJ,Área!$B$1),"")</f>
        <v/>
      </c>
      <c r="Z472" s="23" t="e">
        <f ca="1">VLOOKUP(Tabela4[[#This Row],[Cabo]],BD!A:AB,28,0)</f>
        <v>#N/A</v>
      </c>
    </row>
    <row r="473" spans="3:26" x14ac:dyDescent="0.25">
      <c r="C473" s="391" t="str">
        <f ca="1">IF($B$1="Geral",Tabela1[[#This Row],[Tag do Cabo]],IFERROR(INDEX(INDIRECT("BD!$A"&amp;D473&amp;":$A100000"),E473,1),""))</f>
        <v/>
      </c>
      <c r="D473" s="391" t="str">
        <f t="shared" ca="1" si="18"/>
        <v/>
      </c>
      <c r="E473" s="391" t="str">
        <f t="shared" ca="1" si="19"/>
        <v/>
      </c>
      <c r="F473" s="23" t="str">
        <f ca="1">IFERROR(VLOOKUP(Tabela4[[#This Row],[Cabo]],BD!A:V,2,0),"")</f>
        <v/>
      </c>
      <c r="G473" s="391" t="str">
        <f ca="1">IFERROR(VLOOKUP(Tabela4[[#This Row],[Cabo]],BD!A:V,5,0),"")</f>
        <v/>
      </c>
      <c r="H473" s="23" t="str">
        <f ca="1">IFERROR(VLOOKUP(Tabela4[[#This Row],[Cabo]],BD!A:V,3,0),"")</f>
        <v/>
      </c>
      <c r="I473" s="23" t="str">
        <f ca="1">IFERROR(VLOOKUP(Tabela4[[#This Row],[Cabo]],BD!A:V,4,0),"")</f>
        <v/>
      </c>
      <c r="J473" s="23" t="str">
        <f ca="1">IFERROR(VLOOKUP(Tabela4[[#This Row],[Cabo]],BD!A:V,7,0),"")</f>
        <v/>
      </c>
      <c r="K47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3" s="23" t="str">
        <f ca="1">IFERROR(VLOOKUP(Tabela4[[#This Row],[Cabo]],BD!A:V,9,0),"")</f>
        <v/>
      </c>
      <c r="M473" s="23" t="str">
        <f ca="1">IFERROR(VLOOKUP(Tabela4[[#This Row],[Cabo]],BD!A:AD,30,0),"")</f>
        <v/>
      </c>
      <c r="N473" s="23" t="str">
        <f ca="1">IF(SUMIF('Lançamento de Cabos'!B:B,Tabela4[[#This Row],[Cabo]],'Lançamento de Cabos'!C:C)=0,"",SUMIF('Lançamento de Cabos'!B:B,Tabela4[[#This Row],[Cabo]],'Lançamento de Cabos'!C:C))</f>
        <v/>
      </c>
      <c r="O473" s="28" t="str">
        <f ca="1">IFERROR(IF(Tabela4[[#This Row],[Compr. Lançado]]/Tabela4[[#This Row],[Compr. Prev.]]&gt;1,1,Tabela4[[#This Row],[Compr. Lançado]]/Tabela4[[#This Row],[Compr. Prev.]]),"")</f>
        <v/>
      </c>
      <c r="P473" s="24" t="str">
        <f ca="1">IFERROR(VLOOKUP(Tabela4[[#This Row],[Cabo]],BD!A:V,11,0),"")</f>
        <v/>
      </c>
      <c r="Q473" s="24" t="str">
        <f ca="1">IFERROR(VLOOKUP(Tabela4[[#This Row],[Cabo]],BD!A:V,12,0),"")</f>
        <v/>
      </c>
      <c r="R47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3" s="23" t="str">
        <f ca="1">IF(Tabela4[[#This Row],[Cabo]]&lt;&gt;"",4-COUNTIF(Tabela4[[#This Row],[Teste de Continuidade]:[Hipot]],"---"),"")</f>
        <v/>
      </c>
      <c r="W473" s="29" t="str">
        <f ca="1">IF(Tabela4[[#This Row],[Cabo]]&lt;&gt;"",(COUNTIF(Tabela4[[#This Row],[Teste de Continuidade]:[Hipot]],"OK"))/(4-COUNTIF(Tabela4[[#This Row],[Teste de Continuidade]:[Hipot]],"---")),"")</f>
        <v/>
      </c>
      <c r="X473" s="23" t="str">
        <f ca="1">IF(Tabela4[[#This Row],[Cabo]]&lt;&gt;"",SUMIFS('Lançamento de Cabos'!$AF:$AF,'Lançamento de Cabos'!AE:AE,Tabela4[[#This Row],[Cabo]],'Lançamento de Cabos'!AJ:AJ,Área!$B$1),"")</f>
        <v/>
      </c>
      <c r="Y473" s="23" t="str">
        <f ca="1">IF(Tabela4[[#This Row],[Cabo]]&lt;&gt;"",SUMIFS('Lançamento de Cabos'!$AG:$AG,'Lançamento de Cabos'!AE:AE,Tabela4[[#This Row],[Cabo]],'Lançamento de Cabos'!AJ:AJ,Área!$B$1),"")</f>
        <v/>
      </c>
      <c r="Z473" s="23" t="e">
        <f ca="1">VLOOKUP(Tabela4[[#This Row],[Cabo]],BD!A:AB,28,0)</f>
        <v>#N/A</v>
      </c>
    </row>
    <row r="474" spans="3:26" x14ac:dyDescent="0.25">
      <c r="C474" s="391" t="str">
        <f ca="1">IF($B$1="Geral",Tabela1[[#This Row],[Tag do Cabo]],IFERROR(INDEX(INDIRECT("BD!$A"&amp;D474&amp;":$A100000"),E474,1),""))</f>
        <v/>
      </c>
      <c r="D474" s="391" t="str">
        <f t="shared" ca="1" si="18"/>
        <v/>
      </c>
      <c r="E474" s="391" t="str">
        <f t="shared" ca="1" si="19"/>
        <v/>
      </c>
      <c r="F474" s="23" t="str">
        <f ca="1">IFERROR(VLOOKUP(Tabela4[[#This Row],[Cabo]],BD!A:V,2,0),"")</f>
        <v/>
      </c>
      <c r="G474" s="391" t="str">
        <f ca="1">IFERROR(VLOOKUP(Tabela4[[#This Row],[Cabo]],BD!A:V,5,0),"")</f>
        <v/>
      </c>
      <c r="H474" s="23" t="str">
        <f ca="1">IFERROR(VLOOKUP(Tabela4[[#This Row],[Cabo]],BD!A:V,3,0),"")</f>
        <v/>
      </c>
      <c r="I474" s="23" t="str">
        <f ca="1">IFERROR(VLOOKUP(Tabela4[[#This Row],[Cabo]],BD!A:V,4,0),"")</f>
        <v/>
      </c>
      <c r="J474" s="23" t="str">
        <f ca="1">IFERROR(VLOOKUP(Tabela4[[#This Row],[Cabo]],BD!A:V,7,0),"")</f>
        <v/>
      </c>
      <c r="K47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4" s="23" t="str">
        <f ca="1">IFERROR(VLOOKUP(Tabela4[[#This Row],[Cabo]],BD!A:V,9,0),"")</f>
        <v/>
      </c>
      <c r="M474" s="23" t="str">
        <f ca="1">IFERROR(VLOOKUP(Tabela4[[#This Row],[Cabo]],BD!A:AD,30,0),"")</f>
        <v/>
      </c>
      <c r="N474" s="23" t="str">
        <f ca="1">IF(SUMIF('Lançamento de Cabos'!B:B,Tabela4[[#This Row],[Cabo]],'Lançamento de Cabos'!C:C)=0,"",SUMIF('Lançamento de Cabos'!B:B,Tabela4[[#This Row],[Cabo]],'Lançamento de Cabos'!C:C))</f>
        <v/>
      </c>
      <c r="O474" s="28" t="str">
        <f ca="1">IFERROR(IF(Tabela4[[#This Row],[Compr. Lançado]]/Tabela4[[#This Row],[Compr. Prev.]]&gt;1,1,Tabela4[[#This Row],[Compr. Lançado]]/Tabela4[[#This Row],[Compr. Prev.]]),"")</f>
        <v/>
      </c>
      <c r="P474" s="24" t="str">
        <f ca="1">IFERROR(VLOOKUP(Tabela4[[#This Row],[Cabo]],BD!A:V,11,0),"")</f>
        <v/>
      </c>
      <c r="Q474" s="24" t="str">
        <f ca="1">IFERROR(VLOOKUP(Tabela4[[#This Row],[Cabo]],BD!A:V,12,0),"")</f>
        <v/>
      </c>
      <c r="R47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4" s="23" t="str">
        <f ca="1">IF(Tabela4[[#This Row],[Cabo]]&lt;&gt;"",4-COUNTIF(Tabela4[[#This Row],[Teste de Continuidade]:[Hipot]],"---"),"")</f>
        <v/>
      </c>
      <c r="W474" s="29" t="str">
        <f ca="1">IF(Tabela4[[#This Row],[Cabo]]&lt;&gt;"",(COUNTIF(Tabela4[[#This Row],[Teste de Continuidade]:[Hipot]],"OK"))/(4-COUNTIF(Tabela4[[#This Row],[Teste de Continuidade]:[Hipot]],"---")),"")</f>
        <v/>
      </c>
      <c r="X474" s="23" t="str">
        <f ca="1">IF(Tabela4[[#This Row],[Cabo]]&lt;&gt;"",SUMIFS('Lançamento de Cabos'!$AF:$AF,'Lançamento de Cabos'!AE:AE,Tabela4[[#This Row],[Cabo]],'Lançamento de Cabos'!AJ:AJ,Área!$B$1),"")</f>
        <v/>
      </c>
      <c r="Y474" s="23" t="str">
        <f ca="1">IF(Tabela4[[#This Row],[Cabo]]&lt;&gt;"",SUMIFS('Lançamento de Cabos'!$AG:$AG,'Lançamento de Cabos'!AE:AE,Tabela4[[#This Row],[Cabo]],'Lançamento de Cabos'!AJ:AJ,Área!$B$1),"")</f>
        <v/>
      </c>
      <c r="Z474" s="23" t="e">
        <f ca="1">VLOOKUP(Tabela4[[#This Row],[Cabo]],BD!A:AB,28,0)</f>
        <v>#N/A</v>
      </c>
    </row>
    <row r="475" spans="3:26" x14ac:dyDescent="0.25">
      <c r="C475" s="391" t="str">
        <f ca="1">IF($B$1="Geral",Tabela1[[#This Row],[Tag do Cabo]],IFERROR(INDEX(INDIRECT("BD!$A"&amp;D475&amp;":$A100000"),E475,1),""))</f>
        <v/>
      </c>
      <c r="D475" s="391" t="str">
        <f t="shared" ca="1" si="18"/>
        <v/>
      </c>
      <c r="E475" s="391" t="str">
        <f t="shared" ca="1" si="19"/>
        <v/>
      </c>
      <c r="F475" s="23" t="str">
        <f ca="1">IFERROR(VLOOKUP(Tabela4[[#This Row],[Cabo]],BD!A:V,2,0),"")</f>
        <v/>
      </c>
      <c r="G475" s="391" t="str">
        <f ca="1">IFERROR(VLOOKUP(Tabela4[[#This Row],[Cabo]],BD!A:V,5,0),"")</f>
        <v/>
      </c>
      <c r="H475" s="23" t="str">
        <f ca="1">IFERROR(VLOOKUP(Tabela4[[#This Row],[Cabo]],BD!A:V,3,0),"")</f>
        <v/>
      </c>
      <c r="I475" s="23" t="str">
        <f ca="1">IFERROR(VLOOKUP(Tabela4[[#This Row],[Cabo]],BD!A:V,4,0),"")</f>
        <v/>
      </c>
      <c r="J475" s="23" t="str">
        <f ca="1">IFERROR(VLOOKUP(Tabela4[[#This Row],[Cabo]],BD!A:V,7,0),"")</f>
        <v/>
      </c>
      <c r="K47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5" s="23" t="str">
        <f ca="1">IFERROR(VLOOKUP(Tabela4[[#This Row],[Cabo]],BD!A:V,9,0),"")</f>
        <v/>
      </c>
      <c r="M475" s="23" t="str">
        <f ca="1">IFERROR(VLOOKUP(Tabela4[[#This Row],[Cabo]],BD!A:AD,30,0),"")</f>
        <v/>
      </c>
      <c r="N475" s="23" t="str">
        <f ca="1">IF(SUMIF('Lançamento de Cabos'!B:B,Tabela4[[#This Row],[Cabo]],'Lançamento de Cabos'!C:C)=0,"",SUMIF('Lançamento de Cabos'!B:B,Tabela4[[#This Row],[Cabo]],'Lançamento de Cabos'!C:C))</f>
        <v/>
      </c>
      <c r="O475" s="28" t="str">
        <f ca="1">IFERROR(IF(Tabela4[[#This Row],[Compr. Lançado]]/Tabela4[[#This Row],[Compr. Prev.]]&gt;1,1,Tabela4[[#This Row],[Compr. Lançado]]/Tabela4[[#This Row],[Compr. Prev.]]),"")</f>
        <v/>
      </c>
      <c r="P475" s="24" t="str">
        <f ca="1">IFERROR(VLOOKUP(Tabela4[[#This Row],[Cabo]],BD!A:V,11,0),"")</f>
        <v/>
      </c>
      <c r="Q475" s="24" t="str">
        <f ca="1">IFERROR(VLOOKUP(Tabela4[[#This Row],[Cabo]],BD!A:V,12,0),"")</f>
        <v/>
      </c>
      <c r="R47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5" s="23" t="str">
        <f ca="1">IF(Tabela4[[#This Row],[Cabo]]&lt;&gt;"",4-COUNTIF(Tabela4[[#This Row],[Teste de Continuidade]:[Hipot]],"---"),"")</f>
        <v/>
      </c>
      <c r="W475" s="29" t="str">
        <f ca="1">IF(Tabela4[[#This Row],[Cabo]]&lt;&gt;"",(COUNTIF(Tabela4[[#This Row],[Teste de Continuidade]:[Hipot]],"OK"))/(4-COUNTIF(Tabela4[[#This Row],[Teste de Continuidade]:[Hipot]],"---")),"")</f>
        <v/>
      </c>
      <c r="X475" s="23" t="str">
        <f ca="1">IF(Tabela4[[#This Row],[Cabo]]&lt;&gt;"",SUMIFS('Lançamento de Cabos'!$AF:$AF,'Lançamento de Cabos'!AE:AE,Tabela4[[#This Row],[Cabo]],'Lançamento de Cabos'!AJ:AJ,Área!$B$1),"")</f>
        <v/>
      </c>
      <c r="Y475" s="23" t="str">
        <f ca="1">IF(Tabela4[[#This Row],[Cabo]]&lt;&gt;"",SUMIFS('Lançamento de Cabos'!$AG:$AG,'Lançamento de Cabos'!AE:AE,Tabela4[[#This Row],[Cabo]],'Lançamento de Cabos'!AJ:AJ,Área!$B$1),"")</f>
        <v/>
      </c>
      <c r="Z475" s="23" t="e">
        <f ca="1">VLOOKUP(Tabela4[[#This Row],[Cabo]],BD!A:AB,28,0)</f>
        <v>#N/A</v>
      </c>
    </row>
    <row r="476" spans="3:26" x14ac:dyDescent="0.25">
      <c r="C476" s="391" t="str">
        <f ca="1">IF($B$1="Geral",Tabela1[[#This Row],[Tag do Cabo]],IFERROR(INDEX(INDIRECT("BD!$A"&amp;D476&amp;":$A100000"),E476,1),""))</f>
        <v/>
      </c>
      <c r="D476" s="391" t="str">
        <f t="shared" ca="1" si="18"/>
        <v/>
      </c>
      <c r="E476" s="391" t="str">
        <f t="shared" ca="1" si="19"/>
        <v/>
      </c>
      <c r="F476" s="23" t="str">
        <f ca="1">IFERROR(VLOOKUP(Tabela4[[#This Row],[Cabo]],BD!A:V,2,0),"")</f>
        <v/>
      </c>
      <c r="G476" s="391" t="str">
        <f ca="1">IFERROR(VLOOKUP(Tabela4[[#This Row],[Cabo]],BD!A:V,5,0),"")</f>
        <v/>
      </c>
      <c r="H476" s="23" t="str">
        <f ca="1">IFERROR(VLOOKUP(Tabela4[[#This Row],[Cabo]],BD!A:V,3,0),"")</f>
        <v/>
      </c>
      <c r="I476" s="23" t="str">
        <f ca="1">IFERROR(VLOOKUP(Tabela4[[#This Row],[Cabo]],BD!A:V,4,0),"")</f>
        <v/>
      </c>
      <c r="J476" s="23" t="str">
        <f ca="1">IFERROR(VLOOKUP(Tabela4[[#This Row],[Cabo]],BD!A:V,7,0),"")</f>
        <v/>
      </c>
      <c r="K47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6" s="23" t="str">
        <f ca="1">IFERROR(VLOOKUP(Tabela4[[#This Row],[Cabo]],BD!A:V,9,0),"")</f>
        <v/>
      </c>
      <c r="M476" s="23" t="str">
        <f ca="1">IFERROR(VLOOKUP(Tabela4[[#This Row],[Cabo]],BD!A:AD,30,0),"")</f>
        <v/>
      </c>
      <c r="N476" s="23" t="str">
        <f ca="1">IF(SUMIF('Lançamento de Cabos'!B:B,Tabela4[[#This Row],[Cabo]],'Lançamento de Cabos'!C:C)=0,"",SUMIF('Lançamento de Cabos'!B:B,Tabela4[[#This Row],[Cabo]],'Lançamento de Cabos'!C:C))</f>
        <v/>
      </c>
      <c r="O476" s="28" t="str">
        <f ca="1">IFERROR(IF(Tabela4[[#This Row],[Compr. Lançado]]/Tabela4[[#This Row],[Compr. Prev.]]&gt;1,1,Tabela4[[#This Row],[Compr. Lançado]]/Tabela4[[#This Row],[Compr. Prev.]]),"")</f>
        <v/>
      </c>
      <c r="P476" s="24" t="str">
        <f ca="1">IFERROR(VLOOKUP(Tabela4[[#This Row],[Cabo]],BD!A:V,11,0),"")</f>
        <v/>
      </c>
      <c r="Q476" s="24" t="str">
        <f ca="1">IFERROR(VLOOKUP(Tabela4[[#This Row],[Cabo]],BD!A:V,12,0),"")</f>
        <v/>
      </c>
      <c r="R47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6" s="23" t="str">
        <f ca="1">IF(Tabela4[[#This Row],[Cabo]]&lt;&gt;"",4-COUNTIF(Tabela4[[#This Row],[Teste de Continuidade]:[Hipot]],"---"),"")</f>
        <v/>
      </c>
      <c r="W476" s="29" t="str">
        <f ca="1">IF(Tabela4[[#This Row],[Cabo]]&lt;&gt;"",(COUNTIF(Tabela4[[#This Row],[Teste de Continuidade]:[Hipot]],"OK"))/(4-COUNTIF(Tabela4[[#This Row],[Teste de Continuidade]:[Hipot]],"---")),"")</f>
        <v/>
      </c>
      <c r="X476" s="23" t="str">
        <f ca="1">IF(Tabela4[[#This Row],[Cabo]]&lt;&gt;"",SUMIFS('Lançamento de Cabos'!$AF:$AF,'Lançamento de Cabos'!AE:AE,Tabela4[[#This Row],[Cabo]],'Lançamento de Cabos'!AJ:AJ,Área!$B$1),"")</f>
        <v/>
      </c>
      <c r="Y476" s="23" t="str">
        <f ca="1">IF(Tabela4[[#This Row],[Cabo]]&lt;&gt;"",SUMIFS('Lançamento de Cabos'!$AG:$AG,'Lançamento de Cabos'!AE:AE,Tabela4[[#This Row],[Cabo]],'Lançamento de Cabos'!AJ:AJ,Área!$B$1),"")</f>
        <v/>
      </c>
      <c r="Z476" s="23" t="e">
        <f ca="1">VLOOKUP(Tabela4[[#This Row],[Cabo]],BD!A:AB,28,0)</f>
        <v>#N/A</v>
      </c>
    </row>
    <row r="477" spans="3:26" x14ac:dyDescent="0.25">
      <c r="C477" s="391" t="str">
        <f ca="1">IF($B$1="Geral",Tabela1[[#This Row],[Tag do Cabo]],IFERROR(INDEX(INDIRECT("BD!$A"&amp;D477&amp;":$A100000"),E477,1),""))</f>
        <v/>
      </c>
      <c r="D477" s="391" t="str">
        <f t="shared" ca="1" si="18"/>
        <v/>
      </c>
      <c r="E477" s="391" t="str">
        <f t="shared" ca="1" si="19"/>
        <v/>
      </c>
      <c r="F477" s="23" t="str">
        <f ca="1">IFERROR(VLOOKUP(Tabela4[[#This Row],[Cabo]],BD!A:V,2,0),"")</f>
        <v/>
      </c>
      <c r="G477" s="391" t="str">
        <f ca="1">IFERROR(VLOOKUP(Tabela4[[#This Row],[Cabo]],BD!A:V,5,0),"")</f>
        <v/>
      </c>
      <c r="H477" s="23" t="str">
        <f ca="1">IFERROR(VLOOKUP(Tabela4[[#This Row],[Cabo]],BD!A:V,3,0),"")</f>
        <v/>
      </c>
      <c r="I477" s="23" t="str">
        <f ca="1">IFERROR(VLOOKUP(Tabela4[[#This Row],[Cabo]],BD!A:V,4,0),"")</f>
        <v/>
      </c>
      <c r="J477" s="23" t="str">
        <f ca="1">IFERROR(VLOOKUP(Tabela4[[#This Row],[Cabo]],BD!A:V,7,0),"")</f>
        <v/>
      </c>
      <c r="K47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7" s="23" t="str">
        <f ca="1">IFERROR(VLOOKUP(Tabela4[[#This Row],[Cabo]],BD!A:V,9,0),"")</f>
        <v/>
      </c>
      <c r="M477" s="23" t="str">
        <f ca="1">IFERROR(VLOOKUP(Tabela4[[#This Row],[Cabo]],BD!A:AD,30,0),"")</f>
        <v/>
      </c>
      <c r="N477" s="23" t="str">
        <f ca="1">IF(SUMIF('Lançamento de Cabos'!B:B,Tabela4[[#This Row],[Cabo]],'Lançamento de Cabos'!C:C)=0,"",SUMIF('Lançamento de Cabos'!B:B,Tabela4[[#This Row],[Cabo]],'Lançamento de Cabos'!C:C))</f>
        <v/>
      </c>
      <c r="O477" s="28" t="str">
        <f ca="1">IFERROR(IF(Tabela4[[#This Row],[Compr. Lançado]]/Tabela4[[#This Row],[Compr. Prev.]]&gt;1,1,Tabela4[[#This Row],[Compr. Lançado]]/Tabela4[[#This Row],[Compr. Prev.]]),"")</f>
        <v/>
      </c>
      <c r="P477" s="24" t="str">
        <f ca="1">IFERROR(VLOOKUP(Tabela4[[#This Row],[Cabo]],BD!A:V,11,0),"")</f>
        <v/>
      </c>
      <c r="Q477" s="24" t="str">
        <f ca="1">IFERROR(VLOOKUP(Tabela4[[#This Row],[Cabo]],BD!A:V,12,0),"")</f>
        <v/>
      </c>
      <c r="R47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7" s="23" t="str">
        <f ca="1">IF(Tabela4[[#This Row],[Cabo]]&lt;&gt;"",4-COUNTIF(Tabela4[[#This Row],[Teste de Continuidade]:[Hipot]],"---"),"")</f>
        <v/>
      </c>
      <c r="W477" s="29" t="str">
        <f ca="1">IF(Tabela4[[#This Row],[Cabo]]&lt;&gt;"",(COUNTIF(Tabela4[[#This Row],[Teste de Continuidade]:[Hipot]],"OK"))/(4-COUNTIF(Tabela4[[#This Row],[Teste de Continuidade]:[Hipot]],"---")),"")</f>
        <v/>
      </c>
      <c r="X477" s="23" t="str">
        <f ca="1">IF(Tabela4[[#This Row],[Cabo]]&lt;&gt;"",SUMIFS('Lançamento de Cabos'!$AF:$AF,'Lançamento de Cabos'!AE:AE,Tabela4[[#This Row],[Cabo]],'Lançamento de Cabos'!AJ:AJ,Área!$B$1),"")</f>
        <v/>
      </c>
      <c r="Y477" s="23" t="str">
        <f ca="1">IF(Tabela4[[#This Row],[Cabo]]&lt;&gt;"",SUMIFS('Lançamento de Cabos'!$AG:$AG,'Lançamento de Cabos'!AE:AE,Tabela4[[#This Row],[Cabo]],'Lançamento de Cabos'!AJ:AJ,Área!$B$1),"")</f>
        <v/>
      </c>
      <c r="Z477" s="23" t="e">
        <f ca="1">VLOOKUP(Tabela4[[#This Row],[Cabo]],BD!A:AB,28,0)</f>
        <v>#N/A</v>
      </c>
    </row>
    <row r="478" spans="3:26" x14ac:dyDescent="0.25">
      <c r="C478" s="391" t="str">
        <f ca="1">IF($B$1="Geral",Tabela1[[#This Row],[Tag do Cabo]],IFERROR(INDEX(INDIRECT("BD!$A"&amp;D478&amp;":$A100000"),E478,1),""))</f>
        <v/>
      </c>
      <c r="D478" s="391" t="str">
        <f t="shared" ca="1" si="18"/>
        <v/>
      </c>
      <c r="E478" s="391" t="str">
        <f t="shared" ca="1" si="19"/>
        <v/>
      </c>
      <c r="F478" s="23" t="str">
        <f ca="1">IFERROR(VLOOKUP(Tabela4[[#This Row],[Cabo]],BD!A:V,2,0),"")</f>
        <v/>
      </c>
      <c r="G478" s="391" t="str">
        <f ca="1">IFERROR(VLOOKUP(Tabela4[[#This Row],[Cabo]],BD!A:V,5,0),"")</f>
        <v/>
      </c>
      <c r="H478" s="23" t="str">
        <f ca="1">IFERROR(VLOOKUP(Tabela4[[#This Row],[Cabo]],BD!A:V,3,0),"")</f>
        <v/>
      </c>
      <c r="I478" s="23" t="str">
        <f ca="1">IFERROR(VLOOKUP(Tabela4[[#This Row],[Cabo]],BD!A:V,4,0),"")</f>
        <v/>
      </c>
      <c r="J478" s="23" t="str">
        <f ca="1">IFERROR(VLOOKUP(Tabela4[[#This Row],[Cabo]],BD!A:V,7,0),"")</f>
        <v/>
      </c>
      <c r="K47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8" s="23" t="str">
        <f ca="1">IFERROR(VLOOKUP(Tabela4[[#This Row],[Cabo]],BD!A:V,9,0),"")</f>
        <v/>
      </c>
      <c r="M478" s="23" t="str">
        <f ca="1">IFERROR(VLOOKUP(Tabela4[[#This Row],[Cabo]],BD!A:AD,30,0),"")</f>
        <v/>
      </c>
      <c r="N478" s="23" t="str">
        <f ca="1">IF(SUMIF('Lançamento de Cabos'!B:B,Tabela4[[#This Row],[Cabo]],'Lançamento de Cabos'!C:C)=0,"",SUMIF('Lançamento de Cabos'!B:B,Tabela4[[#This Row],[Cabo]],'Lançamento de Cabos'!C:C))</f>
        <v/>
      </c>
      <c r="O478" s="28" t="str">
        <f ca="1">IFERROR(IF(Tabela4[[#This Row],[Compr. Lançado]]/Tabela4[[#This Row],[Compr. Prev.]]&gt;1,1,Tabela4[[#This Row],[Compr. Lançado]]/Tabela4[[#This Row],[Compr. Prev.]]),"")</f>
        <v/>
      </c>
      <c r="P478" s="24" t="str">
        <f ca="1">IFERROR(VLOOKUP(Tabela4[[#This Row],[Cabo]],BD!A:V,11,0),"")</f>
        <v/>
      </c>
      <c r="Q478" s="24" t="str">
        <f ca="1">IFERROR(VLOOKUP(Tabela4[[#This Row],[Cabo]],BD!A:V,12,0),"")</f>
        <v/>
      </c>
      <c r="R47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8" s="23" t="str">
        <f ca="1">IF(Tabela4[[#This Row],[Cabo]]&lt;&gt;"",4-COUNTIF(Tabela4[[#This Row],[Teste de Continuidade]:[Hipot]],"---"),"")</f>
        <v/>
      </c>
      <c r="W478" s="29" t="str">
        <f ca="1">IF(Tabela4[[#This Row],[Cabo]]&lt;&gt;"",(COUNTIF(Tabela4[[#This Row],[Teste de Continuidade]:[Hipot]],"OK"))/(4-COUNTIF(Tabela4[[#This Row],[Teste de Continuidade]:[Hipot]],"---")),"")</f>
        <v/>
      </c>
      <c r="X478" s="23" t="str">
        <f ca="1">IF(Tabela4[[#This Row],[Cabo]]&lt;&gt;"",SUMIFS('Lançamento de Cabos'!$AF:$AF,'Lançamento de Cabos'!AE:AE,Tabela4[[#This Row],[Cabo]],'Lançamento de Cabos'!AJ:AJ,Área!$B$1),"")</f>
        <v/>
      </c>
      <c r="Y478" s="23" t="str">
        <f ca="1">IF(Tabela4[[#This Row],[Cabo]]&lt;&gt;"",SUMIFS('Lançamento de Cabos'!$AG:$AG,'Lançamento de Cabos'!AE:AE,Tabela4[[#This Row],[Cabo]],'Lançamento de Cabos'!AJ:AJ,Área!$B$1),"")</f>
        <v/>
      </c>
      <c r="Z478" s="23" t="e">
        <f ca="1">VLOOKUP(Tabela4[[#This Row],[Cabo]],BD!A:AB,28,0)</f>
        <v>#N/A</v>
      </c>
    </row>
    <row r="479" spans="3:26" x14ac:dyDescent="0.25">
      <c r="C479" s="391" t="str">
        <f ca="1">IF($B$1="Geral",Tabela1[[#This Row],[Tag do Cabo]],IFERROR(INDEX(INDIRECT("BD!$A"&amp;D479&amp;":$A100000"),E479,1),""))</f>
        <v/>
      </c>
      <c r="D479" s="391" t="str">
        <f t="shared" ca="1" si="18"/>
        <v/>
      </c>
      <c r="E479" s="391" t="str">
        <f t="shared" ca="1" si="19"/>
        <v/>
      </c>
      <c r="F479" s="23" t="str">
        <f ca="1">IFERROR(VLOOKUP(Tabela4[[#This Row],[Cabo]],BD!A:V,2,0),"")</f>
        <v/>
      </c>
      <c r="G479" s="391" t="str">
        <f ca="1">IFERROR(VLOOKUP(Tabela4[[#This Row],[Cabo]],BD!A:V,5,0),"")</f>
        <v/>
      </c>
      <c r="H479" s="23" t="str">
        <f ca="1">IFERROR(VLOOKUP(Tabela4[[#This Row],[Cabo]],BD!A:V,3,0),"")</f>
        <v/>
      </c>
      <c r="I479" s="23" t="str">
        <f ca="1">IFERROR(VLOOKUP(Tabela4[[#This Row],[Cabo]],BD!A:V,4,0),"")</f>
        <v/>
      </c>
      <c r="J479" s="23" t="str">
        <f ca="1">IFERROR(VLOOKUP(Tabela4[[#This Row],[Cabo]],BD!A:V,7,0),"")</f>
        <v/>
      </c>
      <c r="K47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79" s="23" t="str">
        <f ca="1">IFERROR(VLOOKUP(Tabela4[[#This Row],[Cabo]],BD!A:V,9,0),"")</f>
        <v/>
      </c>
      <c r="M479" s="23" t="str">
        <f ca="1">IFERROR(VLOOKUP(Tabela4[[#This Row],[Cabo]],BD!A:AD,30,0),"")</f>
        <v/>
      </c>
      <c r="N479" s="23" t="str">
        <f ca="1">IF(SUMIF('Lançamento de Cabos'!B:B,Tabela4[[#This Row],[Cabo]],'Lançamento de Cabos'!C:C)=0,"",SUMIF('Lançamento de Cabos'!B:B,Tabela4[[#This Row],[Cabo]],'Lançamento de Cabos'!C:C))</f>
        <v/>
      </c>
      <c r="O479" s="28" t="str">
        <f ca="1">IFERROR(IF(Tabela4[[#This Row],[Compr. Lançado]]/Tabela4[[#This Row],[Compr. Prev.]]&gt;1,1,Tabela4[[#This Row],[Compr. Lançado]]/Tabela4[[#This Row],[Compr. Prev.]]),"")</f>
        <v/>
      </c>
      <c r="P479" s="24" t="str">
        <f ca="1">IFERROR(VLOOKUP(Tabela4[[#This Row],[Cabo]],BD!A:V,11,0),"")</f>
        <v/>
      </c>
      <c r="Q479" s="24" t="str">
        <f ca="1">IFERROR(VLOOKUP(Tabela4[[#This Row],[Cabo]],BD!A:V,12,0),"")</f>
        <v/>
      </c>
      <c r="R47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7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7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7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79" s="23" t="str">
        <f ca="1">IF(Tabela4[[#This Row],[Cabo]]&lt;&gt;"",4-COUNTIF(Tabela4[[#This Row],[Teste de Continuidade]:[Hipot]],"---"),"")</f>
        <v/>
      </c>
      <c r="W479" s="29" t="str">
        <f ca="1">IF(Tabela4[[#This Row],[Cabo]]&lt;&gt;"",(COUNTIF(Tabela4[[#This Row],[Teste de Continuidade]:[Hipot]],"OK"))/(4-COUNTIF(Tabela4[[#This Row],[Teste de Continuidade]:[Hipot]],"---")),"")</f>
        <v/>
      </c>
      <c r="X479" s="23" t="str">
        <f ca="1">IF(Tabela4[[#This Row],[Cabo]]&lt;&gt;"",SUMIFS('Lançamento de Cabos'!$AF:$AF,'Lançamento de Cabos'!AE:AE,Tabela4[[#This Row],[Cabo]],'Lançamento de Cabos'!AJ:AJ,Área!$B$1),"")</f>
        <v/>
      </c>
      <c r="Y479" s="23" t="str">
        <f ca="1">IF(Tabela4[[#This Row],[Cabo]]&lt;&gt;"",SUMIFS('Lançamento de Cabos'!$AG:$AG,'Lançamento de Cabos'!AE:AE,Tabela4[[#This Row],[Cabo]],'Lançamento de Cabos'!AJ:AJ,Área!$B$1),"")</f>
        <v/>
      </c>
      <c r="Z479" s="23" t="e">
        <f ca="1">VLOOKUP(Tabela4[[#This Row],[Cabo]],BD!A:AB,28,0)</f>
        <v>#N/A</v>
      </c>
    </row>
    <row r="480" spans="3:26" x14ac:dyDescent="0.25">
      <c r="C480" s="391" t="str">
        <f ca="1">IF($B$1="Geral",Tabela1[[#This Row],[Tag do Cabo]],IFERROR(INDEX(INDIRECT("BD!$A"&amp;D480&amp;":$A100000"),E480,1),""))</f>
        <v/>
      </c>
      <c r="D480" s="391" t="str">
        <f t="shared" ca="1" si="18"/>
        <v/>
      </c>
      <c r="E480" s="391" t="str">
        <f t="shared" ca="1" si="19"/>
        <v/>
      </c>
      <c r="F480" s="23" t="str">
        <f ca="1">IFERROR(VLOOKUP(Tabela4[[#This Row],[Cabo]],BD!A:V,2,0),"")</f>
        <v/>
      </c>
      <c r="G480" s="391" t="str">
        <f ca="1">IFERROR(VLOOKUP(Tabela4[[#This Row],[Cabo]],BD!A:V,5,0),"")</f>
        <v/>
      </c>
      <c r="H480" s="23" t="str">
        <f ca="1">IFERROR(VLOOKUP(Tabela4[[#This Row],[Cabo]],BD!A:V,3,0),"")</f>
        <v/>
      </c>
      <c r="I480" s="23" t="str">
        <f ca="1">IFERROR(VLOOKUP(Tabela4[[#This Row],[Cabo]],BD!A:V,4,0),"")</f>
        <v/>
      </c>
      <c r="J480" s="23" t="str">
        <f ca="1">IFERROR(VLOOKUP(Tabela4[[#This Row],[Cabo]],BD!A:V,7,0),"")</f>
        <v/>
      </c>
      <c r="K48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0" s="23" t="str">
        <f ca="1">IFERROR(VLOOKUP(Tabela4[[#This Row],[Cabo]],BD!A:V,9,0),"")</f>
        <v/>
      </c>
      <c r="M480" s="23" t="str">
        <f ca="1">IFERROR(VLOOKUP(Tabela4[[#This Row],[Cabo]],BD!A:AD,30,0),"")</f>
        <v/>
      </c>
      <c r="N480" s="23" t="str">
        <f ca="1">IF(SUMIF('Lançamento de Cabos'!B:B,Tabela4[[#This Row],[Cabo]],'Lançamento de Cabos'!C:C)=0,"",SUMIF('Lançamento de Cabos'!B:B,Tabela4[[#This Row],[Cabo]],'Lançamento de Cabos'!C:C))</f>
        <v/>
      </c>
      <c r="O480" s="28" t="str">
        <f ca="1">IFERROR(IF(Tabela4[[#This Row],[Compr. Lançado]]/Tabela4[[#This Row],[Compr. Prev.]]&gt;1,1,Tabela4[[#This Row],[Compr. Lançado]]/Tabela4[[#This Row],[Compr. Prev.]]),"")</f>
        <v/>
      </c>
      <c r="P480" s="24" t="str">
        <f ca="1">IFERROR(VLOOKUP(Tabela4[[#This Row],[Cabo]],BD!A:V,11,0),"")</f>
        <v/>
      </c>
      <c r="Q480" s="24" t="str">
        <f ca="1">IFERROR(VLOOKUP(Tabela4[[#This Row],[Cabo]],BD!A:V,12,0),"")</f>
        <v/>
      </c>
      <c r="R48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0" s="23" t="str">
        <f ca="1">IF(Tabela4[[#This Row],[Cabo]]&lt;&gt;"",4-COUNTIF(Tabela4[[#This Row],[Teste de Continuidade]:[Hipot]],"---"),"")</f>
        <v/>
      </c>
      <c r="W480" s="29" t="str">
        <f ca="1">IF(Tabela4[[#This Row],[Cabo]]&lt;&gt;"",(COUNTIF(Tabela4[[#This Row],[Teste de Continuidade]:[Hipot]],"OK"))/(4-COUNTIF(Tabela4[[#This Row],[Teste de Continuidade]:[Hipot]],"---")),"")</f>
        <v/>
      </c>
      <c r="X480" s="23" t="str">
        <f ca="1">IF(Tabela4[[#This Row],[Cabo]]&lt;&gt;"",SUMIFS('Lançamento de Cabos'!$AF:$AF,'Lançamento de Cabos'!AE:AE,Tabela4[[#This Row],[Cabo]],'Lançamento de Cabos'!AJ:AJ,Área!$B$1),"")</f>
        <v/>
      </c>
      <c r="Y480" s="23" t="str">
        <f ca="1">IF(Tabela4[[#This Row],[Cabo]]&lt;&gt;"",SUMIFS('Lançamento de Cabos'!$AG:$AG,'Lançamento de Cabos'!AE:AE,Tabela4[[#This Row],[Cabo]],'Lançamento de Cabos'!AJ:AJ,Área!$B$1),"")</f>
        <v/>
      </c>
      <c r="Z480" s="23" t="e">
        <f ca="1">VLOOKUP(Tabela4[[#This Row],[Cabo]],BD!A:AB,28,0)</f>
        <v>#N/A</v>
      </c>
    </row>
    <row r="481" spans="3:26" x14ac:dyDescent="0.25">
      <c r="C481" s="391" t="str">
        <f ca="1">IF($B$1="Geral",Tabela1[[#This Row],[Tag do Cabo]],IFERROR(INDEX(INDIRECT("BD!$A"&amp;D481&amp;":$A100000"),E481,1),""))</f>
        <v/>
      </c>
      <c r="D481" s="391" t="str">
        <f t="shared" ca="1" si="18"/>
        <v/>
      </c>
      <c r="E481" s="391" t="str">
        <f t="shared" ca="1" si="19"/>
        <v/>
      </c>
      <c r="F481" s="23" t="str">
        <f ca="1">IFERROR(VLOOKUP(Tabela4[[#This Row],[Cabo]],BD!A:V,2,0),"")</f>
        <v/>
      </c>
      <c r="G481" s="391" t="str">
        <f ca="1">IFERROR(VLOOKUP(Tabela4[[#This Row],[Cabo]],BD!A:V,5,0),"")</f>
        <v/>
      </c>
      <c r="H481" s="23" t="str">
        <f ca="1">IFERROR(VLOOKUP(Tabela4[[#This Row],[Cabo]],BD!A:V,3,0),"")</f>
        <v/>
      </c>
      <c r="I481" s="23" t="str">
        <f ca="1">IFERROR(VLOOKUP(Tabela4[[#This Row],[Cabo]],BD!A:V,4,0),"")</f>
        <v/>
      </c>
      <c r="J481" s="23" t="str">
        <f ca="1">IFERROR(VLOOKUP(Tabela4[[#This Row],[Cabo]],BD!A:V,7,0),"")</f>
        <v/>
      </c>
      <c r="K48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1" s="23" t="str">
        <f ca="1">IFERROR(VLOOKUP(Tabela4[[#This Row],[Cabo]],BD!A:V,9,0),"")</f>
        <v/>
      </c>
      <c r="M481" s="23" t="str">
        <f ca="1">IFERROR(VLOOKUP(Tabela4[[#This Row],[Cabo]],BD!A:AD,30,0),"")</f>
        <v/>
      </c>
      <c r="N481" s="23" t="str">
        <f ca="1">IF(SUMIF('Lançamento de Cabos'!B:B,Tabela4[[#This Row],[Cabo]],'Lançamento de Cabos'!C:C)=0,"",SUMIF('Lançamento de Cabos'!B:B,Tabela4[[#This Row],[Cabo]],'Lançamento de Cabos'!C:C))</f>
        <v/>
      </c>
      <c r="O481" s="28" t="str">
        <f ca="1">IFERROR(IF(Tabela4[[#This Row],[Compr. Lançado]]/Tabela4[[#This Row],[Compr. Prev.]]&gt;1,1,Tabela4[[#This Row],[Compr. Lançado]]/Tabela4[[#This Row],[Compr. Prev.]]),"")</f>
        <v/>
      </c>
      <c r="P481" s="24" t="str">
        <f ca="1">IFERROR(VLOOKUP(Tabela4[[#This Row],[Cabo]],BD!A:V,11,0),"")</f>
        <v/>
      </c>
      <c r="Q481" s="24" t="str">
        <f ca="1">IFERROR(VLOOKUP(Tabela4[[#This Row],[Cabo]],BD!A:V,12,0),"")</f>
        <v/>
      </c>
      <c r="R48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1" s="23" t="str">
        <f ca="1">IF(Tabela4[[#This Row],[Cabo]]&lt;&gt;"",4-COUNTIF(Tabela4[[#This Row],[Teste de Continuidade]:[Hipot]],"---"),"")</f>
        <v/>
      </c>
      <c r="W481" s="29" t="str">
        <f ca="1">IF(Tabela4[[#This Row],[Cabo]]&lt;&gt;"",(COUNTIF(Tabela4[[#This Row],[Teste de Continuidade]:[Hipot]],"OK"))/(4-COUNTIF(Tabela4[[#This Row],[Teste de Continuidade]:[Hipot]],"---")),"")</f>
        <v/>
      </c>
      <c r="X481" s="23" t="str">
        <f ca="1">IF(Tabela4[[#This Row],[Cabo]]&lt;&gt;"",SUMIFS('Lançamento de Cabos'!$AF:$AF,'Lançamento de Cabos'!AE:AE,Tabela4[[#This Row],[Cabo]],'Lançamento de Cabos'!AJ:AJ,Área!$B$1),"")</f>
        <v/>
      </c>
      <c r="Y481" s="23" t="str">
        <f ca="1">IF(Tabela4[[#This Row],[Cabo]]&lt;&gt;"",SUMIFS('Lançamento de Cabos'!$AG:$AG,'Lançamento de Cabos'!AE:AE,Tabela4[[#This Row],[Cabo]],'Lançamento de Cabos'!AJ:AJ,Área!$B$1),"")</f>
        <v/>
      </c>
      <c r="Z481" s="23" t="e">
        <f ca="1">VLOOKUP(Tabela4[[#This Row],[Cabo]],BD!A:AB,28,0)</f>
        <v>#N/A</v>
      </c>
    </row>
    <row r="482" spans="3:26" x14ac:dyDescent="0.25">
      <c r="C482" s="391" t="str">
        <f ca="1">IF($B$1="Geral",Tabela1[[#This Row],[Tag do Cabo]],IFERROR(INDEX(INDIRECT("BD!$A"&amp;D482&amp;":$A100000"),E482,1),""))</f>
        <v/>
      </c>
      <c r="D482" s="391" t="str">
        <f t="shared" ca="1" si="18"/>
        <v/>
      </c>
      <c r="E482" s="391" t="str">
        <f t="shared" ca="1" si="19"/>
        <v/>
      </c>
      <c r="F482" s="23" t="str">
        <f ca="1">IFERROR(VLOOKUP(Tabela4[[#This Row],[Cabo]],BD!A:V,2,0),"")</f>
        <v/>
      </c>
      <c r="G482" s="391" t="str">
        <f ca="1">IFERROR(VLOOKUP(Tabela4[[#This Row],[Cabo]],BD!A:V,5,0),"")</f>
        <v/>
      </c>
      <c r="H482" s="23" t="str">
        <f ca="1">IFERROR(VLOOKUP(Tabela4[[#This Row],[Cabo]],BD!A:V,3,0),"")</f>
        <v/>
      </c>
      <c r="I482" s="23" t="str">
        <f ca="1">IFERROR(VLOOKUP(Tabela4[[#This Row],[Cabo]],BD!A:V,4,0),"")</f>
        <v/>
      </c>
      <c r="J482" s="23" t="str">
        <f ca="1">IFERROR(VLOOKUP(Tabela4[[#This Row],[Cabo]],BD!A:V,7,0),"")</f>
        <v/>
      </c>
      <c r="K48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2" s="23" t="str">
        <f ca="1">IFERROR(VLOOKUP(Tabela4[[#This Row],[Cabo]],BD!A:V,9,0),"")</f>
        <v/>
      </c>
      <c r="M482" s="23" t="str">
        <f ca="1">IFERROR(VLOOKUP(Tabela4[[#This Row],[Cabo]],BD!A:AD,30,0),"")</f>
        <v/>
      </c>
      <c r="N482" s="23" t="str">
        <f ca="1">IF(SUMIF('Lançamento de Cabos'!B:B,Tabela4[[#This Row],[Cabo]],'Lançamento de Cabos'!C:C)=0,"",SUMIF('Lançamento de Cabos'!B:B,Tabela4[[#This Row],[Cabo]],'Lançamento de Cabos'!C:C))</f>
        <v/>
      </c>
      <c r="O482" s="28" t="str">
        <f ca="1">IFERROR(IF(Tabela4[[#This Row],[Compr. Lançado]]/Tabela4[[#This Row],[Compr. Prev.]]&gt;1,1,Tabela4[[#This Row],[Compr. Lançado]]/Tabela4[[#This Row],[Compr. Prev.]]),"")</f>
        <v/>
      </c>
      <c r="P482" s="24" t="str">
        <f ca="1">IFERROR(VLOOKUP(Tabela4[[#This Row],[Cabo]],BD!A:V,11,0),"")</f>
        <v/>
      </c>
      <c r="Q482" s="24" t="str">
        <f ca="1">IFERROR(VLOOKUP(Tabela4[[#This Row],[Cabo]],BD!A:V,12,0),"")</f>
        <v/>
      </c>
      <c r="R48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2" s="23" t="str">
        <f ca="1">IF(Tabela4[[#This Row],[Cabo]]&lt;&gt;"",4-COUNTIF(Tabela4[[#This Row],[Teste de Continuidade]:[Hipot]],"---"),"")</f>
        <v/>
      </c>
      <c r="W482" s="29" t="str">
        <f ca="1">IF(Tabela4[[#This Row],[Cabo]]&lt;&gt;"",(COUNTIF(Tabela4[[#This Row],[Teste de Continuidade]:[Hipot]],"OK"))/(4-COUNTIF(Tabela4[[#This Row],[Teste de Continuidade]:[Hipot]],"---")),"")</f>
        <v/>
      </c>
      <c r="X482" s="23" t="str">
        <f ca="1">IF(Tabela4[[#This Row],[Cabo]]&lt;&gt;"",SUMIFS('Lançamento de Cabos'!$AF:$AF,'Lançamento de Cabos'!AE:AE,Tabela4[[#This Row],[Cabo]],'Lançamento de Cabos'!AJ:AJ,Área!$B$1),"")</f>
        <v/>
      </c>
      <c r="Y482" s="23" t="str">
        <f ca="1">IF(Tabela4[[#This Row],[Cabo]]&lt;&gt;"",SUMIFS('Lançamento de Cabos'!$AG:$AG,'Lançamento de Cabos'!AE:AE,Tabela4[[#This Row],[Cabo]],'Lançamento de Cabos'!AJ:AJ,Área!$B$1),"")</f>
        <v/>
      </c>
      <c r="Z482" s="23" t="e">
        <f ca="1">VLOOKUP(Tabela4[[#This Row],[Cabo]],BD!A:AB,28,0)</f>
        <v>#N/A</v>
      </c>
    </row>
    <row r="483" spans="3:26" x14ac:dyDescent="0.25">
      <c r="C483" s="391" t="str">
        <f ca="1">IF($B$1="Geral",Tabela1[[#This Row],[Tag do Cabo]],IFERROR(INDEX(INDIRECT("BD!$A"&amp;D483&amp;":$A100000"),E483,1),""))</f>
        <v/>
      </c>
      <c r="D483" s="391" t="str">
        <f t="shared" ca="1" si="18"/>
        <v/>
      </c>
      <c r="E483" s="391" t="str">
        <f t="shared" ca="1" si="19"/>
        <v/>
      </c>
      <c r="F483" s="23" t="str">
        <f ca="1">IFERROR(VLOOKUP(Tabela4[[#This Row],[Cabo]],BD!A:V,2,0),"")</f>
        <v/>
      </c>
      <c r="G483" s="391" t="str">
        <f ca="1">IFERROR(VLOOKUP(Tabela4[[#This Row],[Cabo]],BD!A:V,5,0),"")</f>
        <v/>
      </c>
      <c r="H483" s="23" t="str">
        <f ca="1">IFERROR(VLOOKUP(Tabela4[[#This Row],[Cabo]],BD!A:V,3,0),"")</f>
        <v/>
      </c>
      <c r="I483" s="23" t="str">
        <f ca="1">IFERROR(VLOOKUP(Tabela4[[#This Row],[Cabo]],BD!A:V,4,0),"")</f>
        <v/>
      </c>
      <c r="J483" s="23" t="str">
        <f ca="1">IFERROR(VLOOKUP(Tabela4[[#This Row],[Cabo]],BD!A:V,7,0),"")</f>
        <v/>
      </c>
      <c r="K48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3" s="23" t="str">
        <f ca="1">IFERROR(VLOOKUP(Tabela4[[#This Row],[Cabo]],BD!A:V,9,0),"")</f>
        <v/>
      </c>
      <c r="M483" s="23" t="str">
        <f ca="1">IFERROR(VLOOKUP(Tabela4[[#This Row],[Cabo]],BD!A:AD,30,0),"")</f>
        <v/>
      </c>
      <c r="N483" s="23" t="str">
        <f ca="1">IF(SUMIF('Lançamento de Cabos'!B:B,Tabela4[[#This Row],[Cabo]],'Lançamento de Cabos'!C:C)=0,"",SUMIF('Lançamento de Cabos'!B:B,Tabela4[[#This Row],[Cabo]],'Lançamento de Cabos'!C:C))</f>
        <v/>
      </c>
      <c r="O483" s="28" t="str">
        <f ca="1">IFERROR(IF(Tabela4[[#This Row],[Compr. Lançado]]/Tabela4[[#This Row],[Compr. Prev.]]&gt;1,1,Tabela4[[#This Row],[Compr. Lançado]]/Tabela4[[#This Row],[Compr. Prev.]]),"")</f>
        <v/>
      </c>
      <c r="P483" s="24" t="str">
        <f ca="1">IFERROR(VLOOKUP(Tabela4[[#This Row],[Cabo]],BD!A:V,11,0),"")</f>
        <v/>
      </c>
      <c r="Q483" s="24" t="str">
        <f ca="1">IFERROR(VLOOKUP(Tabela4[[#This Row],[Cabo]],BD!A:V,12,0),"")</f>
        <v/>
      </c>
      <c r="R48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3" s="23" t="str">
        <f ca="1">IF(Tabela4[[#This Row],[Cabo]]&lt;&gt;"",4-COUNTIF(Tabela4[[#This Row],[Teste de Continuidade]:[Hipot]],"---"),"")</f>
        <v/>
      </c>
      <c r="W483" s="29" t="str">
        <f ca="1">IF(Tabela4[[#This Row],[Cabo]]&lt;&gt;"",(COUNTIF(Tabela4[[#This Row],[Teste de Continuidade]:[Hipot]],"OK"))/(4-COUNTIF(Tabela4[[#This Row],[Teste de Continuidade]:[Hipot]],"---")),"")</f>
        <v/>
      </c>
      <c r="X483" s="23" t="str">
        <f ca="1">IF(Tabela4[[#This Row],[Cabo]]&lt;&gt;"",SUMIFS('Lançamento de Cabos'!$AF:$AF,'Lançamento de Cabos'!AE:AE,Tabela4[[#This Row],[Cabo]],'Lançamento de Cabos'!AJ:AJ,Área!$B$1),"")</f>
        <v/>
      </c>
      <c r="Y483" s="23" t="str">
        <f ca="1">IF(Tabela4[[#This Row],[Cabo]]&lt;&gt;"",SUMIFS('Lançamento de Cabos'!$AG:$AG,'Lançamento de Cabos'!AE:AE,Tabela4[[#This Row],[Cabo]],'Lançamento de Cabos'!AJ:AJ,Área!$B$1),"")</f>
        <v/>
      </c>
      <c r="Z483" s="23" t="e">
        <f ca="1">VLOOKUP(Tabela4[[#This Row],[Cabo]],BD!A:AB,28,0)</f>
        <v>#N/A</v>
      </c>
    </row>
    <row r="484" spans="3:26" x14ac:dyDescent="0.25">
      <c r="C484" s="391" t="str">
        <f ca="1">IF($B$1="Geral",Tabela1[[#This Row],[Tag do Cabo]],IFERROR(INDEX(INDIRECT("BD!$A"&amp;D484&amp;":$A100000"),E484,1),""))</f>
        <v/>
      </c>
      <c r="D484" s="391" t="str">
        <f t="shared" ca="1" si="18"/>
        <v/>
      </c>
      <c r="E484" s="391" t="str">
        <f t="shared" ca="1" si="19"/>
        <v/>
      </c>
      <c r="F484" s="23" t="str">
        <f ca="1">IFERROR(VLOOKUP(Tabela4[[#This Row],[Cabo]],BD!A:V,2,0),"")</f>
        <v/>
      </c>
      <c r="G484" s="391" t="str">
        <f ca="1">IFERROR(VLOOKUP(Tabela4[[#This Row],[Cabo]],BD!A:V,5,0),"")</f>
        <v/>
      </c>
      <c r="H484" s="23" t="str">
        <f ca="1">IFERROR(VLOOKUP(Tabela4[[#This Row],[Cabo]],BD!A:V,3,0),"")</f>
        <v/>
      </c>
      <c r="I484" s="23" t="str">
        <f ca="1">IFERROR(VLOOKUP(Tabela4[[#This Row],[Cabo]],BD!A:V,4,0),"")</f>
        <v/>
      </c>
      <c r="J484" s="23" t="str">
        <f ca="1">IFERROR(VLOOKUP(Tabela4[[#This Row],[Cabo]],BD!A:V,7,0),"")</f>
        <v/>
      </c>
      <c r="K48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4" s="23" t="str">
        <f ca="1">IFERROR(VLOOKUP(Tabela4[[#This Row],[Cabo]],BD!A:V,9,0),"")</f>
        <v/>
      </c>
      <c r="M484" s="23" t="str">
        <f ca="1">IFERROR(VLOOKUP(Tabela4[[#This Row],[Cabo]],BD!A:AD,30,0),"")</f>
        <v/>
      </c>
      <c r="N484" s="23" t="str">
        <f ca="1">IF(SUMIF('Lançamento de Cabos'!B:B,Tabela4[[#This Row],[Cabo]],'Lançamento de Cabos'!C:C)=0,"",SUMIF('Lançamento de Cabos'!B:B,Tabela4[[#This Row],[Cabo]],'Lançamento de Cabos'!C:C))</f>
        <v/>
      </c>
      <c r="O484" s="28" t="str">
        <f ca="1">IFERROR(IF(Tabela4[[#This Row],[Compr. Lançado]]/Tabela4[[#This Row],[Compr. Prev.]]&gt;1,1,Tabela4[[#This Row],[Compr. Lançado]]/Tabela4[[#This Row],[Compr. Prev.]]),"")</f>
        <v/>
      </c>
      <c r="P484" s="24" t="str">
        <f ca="1">IFERROR(VLOOKUP(Tabela4[[#This Row],[Cabo]],BD!A:V,11,0),"")</f>
        <v/>
      </c>
      <c r="Q484" s="24" t="str">
        <f ca="1">IFERROR(VLOOKUP(Tabela4[[#This Row],[Cabo]],BD!A:V,12,0),"")</f>
        <v/>
      </c>
      <c r="R48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4" s="23" t="str">
        <f ca="1">IF(Tabela4[[#This Row],[Cabo]]&lt;&gt;"",4-COUNTIF(Tabela4[[#This Row],[Teste de Continuidade]:[Hipot]],"---"),"")</f>
        <v/>
      </c>
      <c r="W484" s="29" t="str">
        <f ca="1">IF(Tabela4[[#This Row],[Cabo]]&lt;&gt;"",(COUNTIF(Tabela4[[#This Row],[Teste de Continuidade]:[Hipot]],"OK"))/(4-COUNTIF(Tabela4[[#This Row],[Teste de Continuidade]:[Hipot]],"---")),"")</f>
        <v/>
      </c>
      <c r="X484" s="23" t="str">
        <f ca="1">IF(Tabela4[[#This Row],[Cabo]]&lt;&gt;"",SUMIFS('Lançamento de Cabos'!$AF:$AF,'Lançamento de Cabos'!AE:AE,Tabela4[[#This Row],[Cabo]],'Lançamento de Cabos'!AJ:AJ,Área!$B$1),"")</f>
        <v/>
      </c>
      <c r="Y484" s="23" t="str">
        <f ca="1">IF(Tabela4[[#This Row],[Cabo]]&lt;&gt;"",SUMIFS('Lançamento de Cabos'!$AG:$AG,'Lançamento de Cabos'!AE:AE,Tabela4[[#This Row],[Cabo]],'Lançamento de Cabos'!AJ:AJ,Área!$B$1),"")</f>
        <v/>
      </c>
      <c r="Z484" s="23" t="e">
        <f ca="1">VLOOKUP(Tabela4[[#This Row],[Cabo]],BD!A:AB,28,0)</f>
        <v>#N/A</v>
      </c>
    </row>
    <row r="485" spans="3:26" x14ac:dyDescent="0.25">
      <c r="C485" s="391" t="str">
        <f ca="1">IF($B$1="Geral",Tabela1[[#This Row],[Tag do Cabo]],IFERROR(INDEX(INDIRECT("BD!$A"&amp;D485&amp;":$A100000"),E485,1),""))</f>
        <v/>
      </c>
      <c r="D485" s="391" t="str">
        <f t="shared" ca="1" si="18"/>
        <v/>
      </c>
      <c r="E485" s="391" t="str">
        <f t="shared" ca="1" si="19"/>
        <v/>
      </c>
      <c r="F485" s="23" t="str">
        <f ca="1">IFERROR(VLOOKUP(Tabela4[[#This Row],[Cabo]],BD!A:V,2,0),"")</f>
        <v/>
      </c>
      <c r="G485" s="391" t="str">
        <f ca="1">IFERROR(VLOOKUP(Tabela4[[#This Row],[Cabo]],BD!A:V,5,0),"")</f>
        <v/>
      </c>
      <c r="H485" s="23" t="str">
        <f ca="1">IFERROR(VLOOKUP(Tabela4[[#This Row],[Cabo]],BD!A:V,3,0),"")</f>
        <v/>
      </c>
      <c r="I485" s="23" t="str">
        <f ca="1">IFERROR(VLOOKUP(Tabela4[[#This Row],[Cabo]],BD!A:V,4,0),"")</f>
        <v/>
      </c>
      <c r="J485" s="23" t="str">
        <f ca="1">IFERROR(VLOOKUP(Tabela4[[#This Row],[Cabo]],BD!A:V,7,0),"")</f>
        <v/>
      </c>
      <c r="K48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5" s="23" t="str">
        <f ca="1">IFERROR(VLOOKUP(Tabela4[[#This Row],[Cabo]],BD!A:V,9,0),"")</f>
        <v/>
      </c>
      <c r="M485" s="23" t="str">
        <f ca="1">IFERROR(VLOOKUP(Tabela4[[#This Row],[Cabo]],BD!A:AD,30,0),"")</f>
        <v/>
      </c>
      <c r="N485" s="23" t="str">
        <f ca="1">IF(SUMIF('Lançamento de Cabos'!B:B,Tabela4[[#This Row],[Cabo]],'Lançamento de Cabos'!C:C)=0,"",SUMIF('Lançamento de Cabos'!B:B,Tabela4[[#This Row],[Cabo]],'Lançamento de Cabos'!C:C))</f>
        <v/>
      </c>
      <c r="O485" s="28" t="str">
        <f ca="1">IFERROR(IF(Tabela4[[#This Row],[Compr. Lançado]]/Tabela4[[#This Row],[Compr. Prev.]]&gt;1,1,Tabela4[[#This Row],[Compr. Lançado]]/Tabela4[[#This Row],[Compr. Prev.]]),"")</f>
        <v/>
      </c>
      <c r="P485" s="24" t="str">
        <f ca="1">IFERROR(VLOOKUP(Tabela4[[#This Row],[Cabo]],BD!A:V,11,0),"")</f>
        <v/>
      </c>
      <c r="Q485" s="24" t="str">
        <f ca="1">IFERROR(VLOOKUP(Tabela4[[#This Row],[Cabo]],BD!A:V,12,0),"")</f>
        <v/>
      </c>
      <c r="R48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5" s="23" t="str">
        <f ca="1">IF(Tabela4[[#This Row],[Cabo]]&lt;&gt;"",4-COUNTIF(Tabela4[[#This Row],[Teste de Continuidade]:[Hipot]],"---"),"")</f>
        <v/>
      </c>
      <c r="W485" s="29" t="str">
        <f ca="1">IF(Tabela4[[#This Row],[Cabo]]&lt;&gt;"",(COUNTIF(Tabela4[[#This Row],[Teste de Continuidade]:[Hipot]],"OK"))/(4-COUNTIF(Tabela4[[#This Row],[Teste de Continuidade]:[Hipot]],"---")),"")</f>
        <v/>
      </c>
      <c r="X485" s="23" t="str">
        <f ca="1">IF(Tabela4[[#This Row],[Cabo]]&lt;&gt;"",SUMIFS('Lançamento de Cabos'!$AF:$AF,'Lançamento de Cabos'!AE:AE,Tabela4[[#This Row],[Cabo]],'Lançamento de Cabos'!AJ:AJ,Área!$B$1),"")</f>
        <v/>
      </c>
      <c r="Y485" s="23" t="str">
        <f ca="1">IF(Tabela4[[#This Row],[Cabo]]&lt;&gt;"",SUMIFS('Lançamento de Cabos'!$AG:$AG,'Lançamento de Cabos'!AE:AE,Tabela4[[#This Row],[Cabo]],'Lançamento de Cabos'!AJ:AJ,Área!$B$1),"")</f>
        <v/>
      </c>
      <c r="Z485" s="23" t="e">
        <f ca="1">VLOOKUP(Tabela4[[#This Row],[Cabo]],BD!A:AB,28,0)</f>
        <v>#N/A</v>
      </c>
    </row>
    <row r="486" spans="3:26" x14ac:dyDescent="0.25">
      <c r="C486" s="391" t="str">
        <f ca="1">IF($B$1="Geral",Tabela1[[#This Row],[Tag do Cabo]],IFERROR(INDEX(INDIRECT("BD!$A"&amp;D486&amp;":$A100000"),E486,1),""))</f>
        <v/>
      </c>
      <c r="D486" s="391" t="str">
        <f t="shared" ca="1" si="18"/>
        <v/>
      </c>
      <c r="E486" s="391" t="str">
        <f t="shared" ca="1" si="19"/>
        <v/>
      </c>
      <c r="F486" s="23" t="str">
        <f ca="1">IFERROR(VLOOKUP(Tabela4[[#This Row],[Cabo]],BD!A:V,2,0),"")</f>
        <v/>
      </c>
      <c r="G486" s="391" t="str">
        <f ca="1">IFERROR(VLOOKUP(Tabela4[[#This Row],[Cabo]],BD!A:V,5,0),"")</f>
        <v/>
      </c>
      <c r="H486" s="23" t="str">
        <f ca="1">IFERROR(VLOOKUP(Tabela4[[#This Row],[Cabo]],BD!A:V,3,0),"")</f>
        <v/>
      </c>
      <c r="I486" s="23" t="str">
        <f ca="1">IFERROR(VLOOKUP(Tabela4[[#This Row],[Cabo]],BD!A:V,4,0),"")</f>
        <v/>
      </c>
      <c r="J486" s="23" t="str">
        <f ca="1">IFERROR(VLOOKUP(Tabela4[[#This Row],[Cabo]],BD!A:V,7,0),"")</f>
        <v/>
      </c>
      <c r="K48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6" s="23" t="str">
        <f ca="1">IFERROR(VLOOKUP(Tabela4[[#This Row],[Cabo]],BD!A:V,9,0),"")</f>
        <v/>
      </c>
      <c r="M486" s="23" t="str">
        <f ca="1">IFERROR(VLOOKUP(Tabela4[[#This Row],[Cabo]],BD!A:AD,30,0),"")</f>
        <v/>
      </c>
      <c r="N486" s="23" t="str">
        <f ca="1">IF(SUMIF('Lançamento de Cabos'!B:B,Tabela4[[#This Row],[Cabo]],'Lançamento de Cabos'!C:C)=0,"",SUMIF('Lançamento de Cabos'!B:B,Tabela4[[#This Row],[Cabo]],'Lançamento de Cabos'!C:C))</f>
        <v/>
      </c>
      <c r="O486" s="28" t="str">
        <f ca="1">IFERROR(IF(Tabela4[[#This Row],[Compr. Lançado]]/Tabela4[[#This Row],[Compr. Prev.]]&gt;1,1,Tabela4[[#This Row],[Compr. Lançado]]/Tabela4[[#This Row],[Compr. Prev.]]),"")</f>
        <v/>
      </c>
      <c r="P486" s="24" t="str">
        <f ca="1">IFERROR(VLOOKUP(Tabela4[[#This Row],[Cabo]],BD!A:V,11,0),"")</f>
        <v/>
      </c>
      <c r="Q486" s="24" t="str">
        <f ca="1">IFERROR(VLOOKUP(Tabela4[[#This Row],[Cabo]],BD!A:V,12,0),"")</f>
        <v/>
      </c>
      <c r="R48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6" s="23" t="str">
        <f ca="1">IF(Tabela4[[#This Row],[Cabo]]&lt;&gt;"",4-COUNTIF(Tabela4[[#This Row],[Teste de Continuidade]:[Hipot]],"---"),"")</f>
        <v/>
      </c>
      <c r="W486" s="29" t="str">
        <f ca="1">IF(Tabela4[[#This Row],[Cabo]]&lt;&gt;"",(COUNTIF(Tabela4[[#This Row],[Teste de Continuidade]:[Hipot]],"OK"))/(4-COUNTIF(Tabela4[[#This Row],[Teste de Continuidade]:[Hipot]],"---")),"")</f>
        <v/>
      </c>
      <c r="X486" s="23" t="str">
        <f ca="1">IF(Tabela4[[#This Row],[Cabo]]&lt;&gt;"",SUMIFS('Lançamento de Cabos'!$AF:$AF,'Lançamento de Cabos'!AE:AE,Tabela4[[#This Row],[Cabo]],'Lançamento de Cabos'!AJ:AJ,Área!$B$1),"")</f>
        <v/>
      </c>
      <c r="Y486" s="23" t="str">
        <f ca="1">IF(Tabela4[[#This Row],[Cabo]]&lt;&gt;"",SUMIFS('Lançamento de Cabos'!$AG:$AG,'Lançamento de Cabos'!AE:AE,Tabela4[[#This Row],[Cabo]],'Lançamento de Cabos'!AJ:AJ,Área!$B$1),"")</f>
        <v/>
      </c>
      <c r="Z486" s="23" t="e">
        <f ca="1">VLOOKUP(Tabela4[[#This Row],[Cabo]],BD!A:AB,28,0)</f>
        <v>#N/A</v>
      </c>
    </row>
    <row r="487" spans="3:26" x14ac:dyDescent="0.25">
      <c r="C487" s="391" t="str">
        <f ca="1">IF($B$1="Geral",Tabela1[[#This Row],[Tag do Cabo]],IFERROR(INDEX(INDIRECT("BD!$A"&amp;D487&amp;":$A100000"),E487,1),""))</f>
        <v/>
      </c>
      <c r="D487" s="391" t="str">
        <f t="shared" ca="1" si="18"/>
        <v/>
      </c>
      <c r="E487" s="391" t="str">
        <f t="shared" ca="1" si="19"/>
        <v/>
      </c>
      <c r="F487" s="23" t="str">
        <f ca="1">IFERROR(VLOOKUP(Tabela4[[#This Row],[Cabo]],BD!A:V,2,0),"")</f>
        <v/>
      </c>
      <c r="G487" s="391" t="str">
        <f ca="1">IFERROR(VLOOKUP(Tabela4[[#This Row],[Cabo]],BD!A:V,5,0),"")</f>
        <v/>
      </c>
      <c r="H487" s="23" t="str">
        <f ca="1">IFERROR(VLOOKUP(Tabela4[[#This Row],[Cabo]],BD!A:V,3,0),"")</f>
        <v/>
      </c>
      <c r="I487" s="23" t="str">
        <f ca="1">IFERROR(VLOOKUP(Tabela4[[#This Row],[Cabo]],BD!A:V,4,0),"")</f>
        <v/>
      </c>
      <c r="J487" s="23" t="str">
        <f ca="1">IFERROR(VLOOKUP(Tabela4[[#This Row],[Cabo]],BD!A:V,7,0),"")</f>
        <v/>
      </c>
      <c r="K48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7" s="23" t="str">
        <f ca="1">IFERROR(VLOOKUP(Tabela4[[#This Row],[Cabo]],BD!A:V,9,0),"")</f>
        <v/>
      </c>
      <c r="M487" s="23" t="str">
        <f ca="1">IFERROR(VLOOKUP(Tabela4[[#This Row],[Cabo]],BD!A:AD,30,0),"")</f>
        <v/>
      </c>
      <c r="N487" s="23" t="str">
        <f ca="1">IF(SUMIF('Lançamento de Cabos'!B:B,Tabela4[[#This Row],[Cabo]],'Lançamento de Cabos'!C:C)=0,"",SUMIF('Lançamento de Cabos'!B:B,Tabela4[[#This Row],[Cabo]],'Lançamento de Cabos'!C:C))</f>
        <v/>
      </c>
      <c r="O487" s="28" t="str">
        <f ca="1">IFERROR(IF(Tabela4[[#This Row],[Compr. Lançado]]/Tabela4[[#This Row],[Compr. Prev.]]&gt;1,1,Tabela4[[#This Row],[Compr. Lançado]]/Tabela4[[#This Row],[Compr. Prev.]]),"")</f>
        <v/>
      </c>
      <c r="P487" s="24" t="str">
        <f ca="1">IFERROR(VLOOKUP(Tabela4[[#This Row],[Cabo]],BD!A:V,11,0),"")</f>
        <v/>
      </c>
      <c r="Q487" s="24" t="str">
        <f ca="1">IFERROR(VLOOKUP(Tabela4[[#This Row],[Cabo]],BD!A:V,12,0),"")</f>
        <v/>
      </c>
      <c r="R48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7" s="23" t="str">
        <f ca="1">IF(Tabela4[[#This Row],[Cabo]]&lt;&gt;"",4-COUNTIF(Tabela4[[#This Row],[Teste de Continuidade]:[Hipot]],"---"),"")</f>
        <v/>
      </c>
      <c r="W487" s="29" t="str">
        <f ca="1">IF(Tabela4[[#This Row],[Cabo]]&lt;&gt;"",(COUNTIF(Tabela4[[#This Row],[Teste de Continuidade]:[Hipot]],"OK"))/(4-COUNTIF(Tabela4[[#This Row],[Teste de Continuidade]:[Hipot]],"---")),"")</f>
        <v/>
      </c>
      <c r="X487" s="23" t="str">
        <f ca="1">IF(Tabela4[[#This Row],[Cabo]]&lt;&gt;"",SUMIFS('Lançamento de Cabos'!$AF:$AF,'Lançamento de Cabos'!AE:AE,Tabela4[[#This Row],[Cabo]],'Lançamento de Cabos'!AJ:AJ,Área!$B$1),"")</f>
        <v/>
      </c>
      <c r="Y487" s="23" t="str">
        <f ca="1">IF(Tabela4[[#This Row],[Cabo]]&lt;&gt;"",SUMIFS('Lançamento de Cabos'!$AG:$AG,'Lançamento de Cabos'!AE:AE,Tabela4[[#This Row],[Cabo]],'Lançamento de Cabos'!AJ:AJ,Área!$B$1),"")</f>
        <v/>
      </c>
      <c r="Z487" s="23" t="e">
        <f ca="1">VLOOKUP(Tabela4[[#This Row],[Cabo]],BD!A:AB,28,0)</f>
        <v>#N/A</v>
      </c>
    </row>
    <row r="488" spans="3:26" x14ac:dyDescent="0.25">
      <c r="C488" s="391" t="str">
        <f ca="1">IF($B$1="Geral",Tabela1[[#This Row],[Tag do Cabo]],IFERROR(INDEX(INDIRECT("BD!$A"&amp;D488&amp;":$A100000"),E488,1),""))</f>
        <v/>
      </c>
      <c r="D488" s="391" t="str">
        <f t="shared" ca="1" si="18"/>
        <v/>
      </c>
      <c r="E488" s="391" t="str">
        <f t="shared" ca="1" si="19"/>
        <v/>
      </c>
      <c r="F488" s="23" t="str">
        <f ca="1">IFERROR(VLOOKUP(Tabela4[[#This Row],[Cabo]],BD!A:V,2,0),"")</f>
        <v/>
      </c>
      <c r="G488" s="391" t="str">
        <f ca="1">IFERROR(VLOOKUP(Tabela4[[#This Row],[Cabo]],BD!A:V,5,0),"")</f>
        <v/>
      </c>
      <c r="H488" s="23" t="str">
        <f ca="1">IFERROR(VLOOKUP(Tabela4[[#This Row],[Cabo]],BD!A:V,3,0),"")</f>
        <v/>
      </c>
      <c r="I488" s="23" t="str">
        <f ca="1">IFERROR(VLOOKUP(Tabela4[[#This Row],[Cabo]],BD!A:V,4,0),"")</f>
        <v/>
      </c>
      <c r="J488" s="23" t="str">
        <f ca="1">IFERROR(VLOOKUP(Tabela4[[#This Row],[Cabo]],BD!A:V,7,0),"")</f>
        <v/>
      </c>
      <c r="K48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8" s="23" t="str">
        <f ca="1">IFERROR(VLOOKUP(Tabela4[[#This Row],[Cabo]],BD!A:V,9,0),"")</f>
        <v/>
      </c>
      <c r="M488" s="23" t="str">
        <f ca="1">IFERROR(VLOOKUP(Tabela4[[#This Row],[Cabo]],BD!A:AD,30,0),"")</f>
        <v/>
      </c>
      <c r="N488" s="23" t="str">
        <f ca="1">IF(SUMIF('Lançamento de Cabos'!B:B,Tabela4[[#This Row],[Cabo]],'Lançamento de Cabos'!C:C)=0,"",SUMIF('Lançamento de Cabos'!B:B,Tabela4[[#This Row],[Cabo]],'Lançamento de Cabos'!C:C))</f>
        <v/>
      </c>
      <c r="O488" s="28" t="str">
        <f ca="1">IFERROR(IF(Tabela4[[#This Row],[Compr. Lançado]]/Tabela4[[#This Row],[Compr. Prev.]]&gt;1,1,Tabela4[[#This Row],[Compr. Lançado]]/Tabela4[[#This Row],[Compr. Prev.]]),"")</f>
        <v/>
      </c>
      <c r="P488" s="24" t="str">
        <f ca="1">IFERROR(VLOOKUP(Tabela4[[#This Row],[Cabo]],BD!A:V,11,0),"")</f>
        <v/>
      </c>
      <c r="Q488" s="24" t="str">
        <f ca="1">IFERROR(VLOOKUP(Tabela4[[#This Row],[Cabo]],BD!A:V,12,0),"")</f>
        <v/>
      </c>
      <c r="R48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8" s="23" t="str">
        <f ca="1">IF(Tabela4[[#This Row],[Cabo]]&lt;&gt;"",4-COUNTIF(Tabela4[[#This Row],[Teste de Continuidade]:[Hipot]],"---"),"")</f>
        <v/>
      </c>
      <c r="W488" s="29" t="str">
        <f ca="1">IF(Tabela4[[#This Row],[Cabo]]&lt;&gt;"",(COUNTIF(Tabela4[[#This Row],[Teste de Continuidade]:[Hipot]],"OK"))/(4-COUNTIF(Tabela4[[#This Row],[Teste de Continuidade]:[Hipot]],"---")),"")</f>
        <v/>
      </c>
      <c r="X488" s="23" t="str">
        <f ca="1">IF(Tabela4[[#This Row],[Cabo]]&lt;&gt;"",SUMIFS('Lançamento de Cabos'!$AF:$AF,'Lançamento de Cabos'!AE:AE,Tabela4[[#This Row],[Cabo]],'Lançamento de Cabos'!AJ:AJ,Área!$B$1),"")</f>
        <v/>
      </c>
      <c r="Y488" s="23" t="str">
        <f ca="1">IF(Tabela4[[#This Row],[Cabo]]&lt;&gt;"",SUMIFS('Lançamento de Cabos'!$AG:$AG,'Lançamento de Cabos'!AE:AE,Tabela4[[#This Row],[Cabo]],'Lançamento de Cabos'!AJ:AJ,Área!$B$1),"")</f>
        <v/>
      </c>
      <c r="Z488" s="23" t="e">
        <f ca="1">VLOOKUP(Tabela4[[#This Row],[Cabo]],BD!A:AB,28,0)</f>
        <v>#N/A</v>
      </c>
    </row>
    <row r="489" spans="3:26" x14ac:dyDescent="0.25">
      <c r="C489" s="391" t="str">
        <f ca="1">IF($B$1="Geral",Tabela1[[#This Row],[Tag do Cabo]],IFERROR(INDEX(INDIRECT("BD!$A"&amp;D489&amp;":$A100000"),E489,1),""))</f>
        <v/>
      </c>
      <c r="D489" s="391" t="str">
        <f t="shared" ca="1" si="18"/>
        <v/>
      </c>
      <c r="E489" s="391" t="str">
        <f t="shared" ca="1" si="19"/>
        <v/>
      </c>
      <c r="F489" s="23" t="str">
        <f ca="1">IFERROR(VLOOKUP(Tabela4[[#This Row],[Cabo]],BD!A:V,2,0),"")</f>
        <v/>
      </c>
      <c r="G489" s="391" t="str">
        <f ca="1">IFERROR(VLOOKUP(Tabela4[[#This Row],[Cabo]],BD!A:V,5,0),"")</f>
        <v/>
      </c>
      <c r="H489" s="23" t="str">
        <f ca="1">IFERROR(VLOOKUP(Tabela4[[#This Row],[Cabo]],BD!A:V,3,0),"")</f>
        <v/>
      </c>
      <c r="I489" s="23" t="str">
        <f ca="1">IFERROR(VLOOKUP(Tabela4[[#This Row],[Cabo]],BD!A:V,4,0),"")</f>
        <v/>
      </c>
      <c r="J489" s="23" t="str">
        <f ca="1">IFERROR(VLOOKUP(Tabela4[[#This Row],[Cabo]],BD!A:V,7,0),"")</f>
        <v/>
      </c>
      <c r="K48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89" s="23" t="str">
        <f ca="1">IFERROR(VLOOKUP(Tabela4[[#This Row],[Cabo]],BD!A:V,9,0),"")</f>
        <v/>
      </c>
      <c r="M489" s="23" t="str">
        <f ca="1">IFERROR(VLOOKUP(Tabela4[[#This Row],[Cabo]],BD!A:AD,30,0),"")</f>
        <v/>
      </c>
      <c r="N489" s="23" t="str">
        <f ca="1">IF(SUMIF('Lançamento de Cabos'!B:B,Tabela4[[#This Row],[Cabo]],'Lançamento de Cabos'!C:C)=0,"",SUMIF('Lançamento de Cabos'!B:B,Tabela4[[#This Row],[Cabo]],'Lançamento de Cabos'!C:C))</f>
        <v/>
      </c>
      <c r="O489" s="28" t="str">
        <f ca="1">IFERROR(IF(Tabela4[[#This Row],[Compr. Lançado]]/Tabela4[[#This Row],[Compr. Prev.]]&gt;1,1,Tabela4[[#This Row],[Compr. Lançado]]/Tabela4[[#This Row],[Compr. Prev.]]),"")</f>
        <v/>
      </c>
      <c r="P489" s="24" t="str">
        <f ca="1">IFERROR(VLOOKUP(Tabela4[[#This Row],[Cabo]],BD!A:V,11,0),"")</f>
        <v/>
      </c>
      <c r="Q489" s="24" t="str">
        <f ca="1">IFERROR(VLOOKUP(Tabela4[[#This Row],[Cabo]],BD!A:V,12,0),"")</f>
        <v/>
      </c>
      <c r="R48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8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8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8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89" s="23" t="str">
        <f ca="1">IF(Tabela4[[#This Row],[Cabo]]&lt;&gt;"",4-COUNTIF(Tabela4[[#This Row],[Teste de Continuidade]:[Hipot]],"---"),"")</f>
        <v/>
      </c>
      <c r="W489" s="29" t="str">
        <f ca="1">IF(Tabela4[[#This Row],[Cabo]]&lt;&gt;"",(COUNTIF(Tabela4[[#This Row],[Teste de Continuidade]:[Hipot]],"OK"))/(4-COUNTIF(Tabela4[[#This Row],[Teste de Continuidade]:[Hipot]],"---")),"")</f>
        <v/>
      </c>
      <c r="X489" s="23" t="str">
        <f ca="1">IF(Tabela4[[#This Row],[Cabo]]&lt;&gt;"",SUMIFS('Lançamento de Cabos'!$AF:$AF,'Lançamento de Cabos'!AE:AE,Tabela4[[#This Row],[Cabo]],'Lançamento de Cabos'!AJ:AJ,Área!$B$1),"")</f>
        <v/>
      </c>
      <c r="Y489" s="23" t="str">
        <f ca="1">IF(Tabela4[[#This Row],[Cabo]]&lt;&gt;"",SUMIFS('Lançamento de Cabos'!$AG:$AG,'Lançamento de Cabos'!AE:AE,Tabela4[[#This Row],[Cabo]],'Lançamento de Cabos'!AJ:AJ,Área!$B$1),"")</f>
        <v/>
      </c>
      <c r="Z489" s="23" t="e">
        <f ca="1">VLOOKUP(Tabela4[[#This Row],[Cabo]],BD!A:AB,28,0)</f>
        <v>#N/A</v>
      </c>
    </row>
    <row r="490" spans="3:26" x14ac:dyDescent="0.25">
      <c r="C490" s="391" t="str">
        <f ca="1">IF($B$1="Geral",Tabela1[[#This Row],[Tag do Cabo]],IFERROR(INDEX(INDIRECT("BD!$A"&amp;D490&amp;":$A100000"),E490,1),""))</f>
        <v/>
      </c>
      <c r="D490" s="391" t="str">
        <f t="shared" ca="1" si="18"/>
        <v/>
      </c>
      <c r="E490" s="391" t="str">
        <f t="shared" ca="1" si="19"/>
        <v/>
      </c>
      <c r="F490" s="23" t="str">
        <f ca="1">IFERROR(VLOOKUP(Tabela4[[#This Row],[Cabo]],BD!A:V,2,0),"")</f>
        <v/>
      </c>
      <c r="G490" s="391" t="str">
        <f ca="1">IFERROR(VLOOKUP(Tabela4[[#This Row],[Cabo]],BD!A:V,5,0),"")</f>
        <v/>
      </c>
      <c r="H490" s="23" t="str">
        <f ca="1">IFERROR(VLOOKUP(Tabela4[[#This Row],[Cabo]],BD!A:V,3,0),"")</f>
        <v/>
      </c>
      <c r="I490" s="23" t="str">
        <f ca="1">IFERROR(VLOOKUP(Tabela4[[#This Row],[Cabo]],BD!A:V,4,0),"")</f>
        <v/>
      </c>
      <c r="J490" s="23" t="str">
        <f ca="1">IFERROR(VLOOKUP(Tabela4[[#This Row],[Cabo]],BD!A:V,7,0),"")</f>
        <v/>
      </c>
      <c r="K49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0" s="23" t="str">
        <f ca="1">IFERROR(VLOOKUP(Tabela4[[#This Row],[Cabo]],BD!A:V,9,0),"")</f>
        <v/>
      </c>
      <c r="M490" s="23" t="str">
        <f ca="1">IFERROR(VLOOKUP(Tabela4[[#This Row],[Cabo]],BD!A:AD,30,0),"")</f>
        <v/>
      </c>
      <c r="N490" s="23" t="str">
        <f ca="1">IF(SUMIF('Lançamento de Cabos'!B:B,Tabela4[[#This Row],[Cabo]],'Lançamento de Cabos'!C:C)=0,"",SUMIF('Lançamento de Cabos'!B:B,Tabela4[[#This Row],[Cabo]],'Lançamento de Cabos'!C:C))</f>
        <v/>
      </c>
      <c r="O490" s="28" t="str">
        <f ca="1">IFERROR(IF(Tabela4[[#This Row],[Compr. Lançado]]/Tabela4[[#This Row],[Compr. Prev.]]&gt;1,1,Tabela4[[#This Row],[Compr. Lançado]]/Tabela4[[#This Row],[Compr. Prev.]]),"")</f>
        <v/>
      </c>
      <c r="P490" s="24" t="str">
        <f ca="1">IFERROR(VLOOKUP(Tabela4[[#This Row],[Cabo]],BD!A:V,11,0),"")</f>
        <v/>
      </c>
      <c r="Q490" s="24" t="str">
        <f ca="1">IFERROR(VLOOKUP(Tabela4[[#This Row],[Cabo]],BD!A:V,12,0),"")</f>
        <v/>
      </c>
      <c r="R490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0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0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0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0" s="23" t="str">
        <f ca="1">IF(Tabela4[[#This Row],[Cabo]]&lt;&gt;"",4-COUNTIF(Tabela4[[#This Row],[Teste de Continuidade]:[Hipot]],"---"),"")</f>
        <v/>
      </c>
      <c r="W490" s="29" t="str">
        <f ca="1">IF(Tabela4[[#This Row],[Cabo]]&lt;&gt;"",(COUNTIF(Tabela4[[#This Row],[Teste de Continuidade]:[Hipot]],"OK"))/(4-COUNTIF(Tabela4[[#This Row],[Teste de Continuidade]:[Hipot]],"---")),"")</f>
        <v/>
      </c>
      <c r="X490" s="23" t="str">
        <f ca="1">IF(Tabela4[[#This Row],[Cabo]]&lt;&gt;"",SUMIFS('Lançamento de Cabos'!$AF:$AF,'Lançamento de Cabos'!AE:AE,Tabela4[[#This Row],[Cabo]],'Lançamento de Cabos'!AJ:AJ,Área!$B$1),"")</f>
        <v/>
      </c>
      <c r="Y490" s="23" t="str">
        <f ca="1">IF(Tabela4[[#This Row],[Cabo]]&lt;&gt;"",SUMIFS('Lançamento de Cabos'!$AG:$AG,'Lançamento de Cabos'!AE:AE,Tabela4[[#This Row],[Cabo]],'Lançamento de Cabos'!AJ:AJ,Área!$B$1),"")</f>
        <v/>
      </c>
      <c r="Z490" s="23" t="e">
        <f ca="1">VLOOKUP(Tabela4[[#This Row],[Cabo]],BD!A:AB,28,0)</f>
        <v>#N/A</v>
      </c>
    </row>
    <row r="491" spans="3:26" x14ac:dyDescent="0.25">
      <c r="C491" s="391" t="str">
        <f ca="1">IF($B$1="Geral",Tabela1[[#This Row],[Tag do Cabo]],IFERROR(INDEX(INDIRECT("BD!$A"&amp;D491&amp;":$A100000"),E491,1),""))</f>
        <v/>
      </c>
      <c r="D491" s="391" t="str">
        <f t="shared" ref="D491:D554" ca="1" si="20">IFERROR(D490+E490,"")</f>
        <v/>
      </c>
      <c r="E491" s="391" t="str">
        <f t="shared" ref="E491:E554" ca="1" si="21">IFERROR(MATCH($B$1,INDIRECT("BD!$J"&amp;D491&amp;":$J100000"),0),"")</f>
        <v/>
      </c>
      <c r="F491" s="23" t="str">
        <f ca="1">IFERROR(VLOOKUP(Tabela4[[#This Row],[Cabo]],BD!A:V,2,0),"")</f>
        <v/>
      </c>
      <c r="G491" s="391" t="str">
        <f ca="1">IFERROR(VLOOKUP(Tabela4[[#This Row],[Cabo]],BD!A:V,5,0),"")</f>
        <v/>
      </c>
      <c r="H491" s="23" t="str">
        <f ca="1">IFERROR(VLOOKUP(Tabela4[[#This Row],[Cabo]],BD!A:V,3,0),"")</f>
        <v/>
      </c>
      <c r="I491" s="23" t="str">
        <f ca="1">IFERROR(VLOOKUP(Tabela4[[#This Row],[Cabo]],BD!A:V,4,0),"")</f>
        <v/>
      </c>
      <c r="J491" s="23" t="str">
        <f ca="1">IFERROR(VLOOKUP(Tabela4[[#This Row],[Cabo]],BD!A:V,7,0),"")</f>
        <v/>
      </c>
      <c r="K49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1" s="23" t="str">
        <f ca="1">IFERROR(VLOOKUP(Tabela4[[#This Row],[Cabo]],BD!A:V,9,0),"")</f>
        <v/>
      </c>
      <c r="M491" s="23" t="str">
        <f ca="1">IFERROR(VLOOKUP(Tabela4[[#This Row],[Cabo]],BD!A:AD,30,0),"")</f>
        <v/>
      </c>
      <c r="N491" s="23" t="str">
        <f ca="1">IF(SUMIF('Lançamento de Cabos'!B:B,Tabela4[[#This Row],[Cabo]],'Lançamento de Cabos'!C:C)=0,"",SUMIF('Lançamento de Cabos'!B:B,Tabela4[[#This Row],[Cabo]],'Lançamento de Cabos'!C:C))</f>
        <v/>
      </c>
      <c r="O491" s="28" t="str">
        <f ca="1">IFERROR(IF(Tabela4[[#This Row],[Compr. Lançado]]/Tabela4[[#This Row],[Compr. Prev.]]&gt;1,1,Tabela4[[#This Row],[Compr. Lançado]]/Tabela4[[#This Row],[Compr. Prev.]]),"")</f>
        <v/>
      </c>
      <c r="P491" s="24" t="str">
        <f ca="1">IFERROR(VLOOKUP(Tabela4[[#This Row],[Cabo]],BD!A:V,11,0),"")</f>
        <v/>
      </c>
      <c r="Q491" s="24" t="str">
        <f ca="1">IFERROR(VLOOKUP(Tabela4[[#This Row],[Cabo]],BD!A:V,12,0),"")</f>
        <v/>
      </c>
      <c r="R491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1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1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1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1" s="23" t="str">
        <f ca="1">IF(Tabela4[[#This Row],[Cabo]]&lt;&gt;"",4-COUNTIF(Tabela4[[#This Row],[Teste de Continuidade]:[Hipot]],"---"),"")</f>
        <v/>
      </c>
      <c r="W491" s="29" t="str">
        <f ca="1">IF(Tabela4[[#This Row],[Cabo]]&lt;&gt;"",(COUNTIF(Tabela4[[#This Row],[Teste de Continuidade]:[Hipot]],"OK"))/(4-COUNTIF(Tabela4[[#This Row],[Teste de Continuidade]:[Hipot]],"---")),"")</f>
        <v/>
      </c>
      <c r="X491" s="23" t="str">
        <f ca="1">IF(Tabela4[[#This Row],[Cabo]]&lt;&gt;"",SUMIFS('Lançamento de Cabos'!$AF:$AF,'Lançamento de Cabos'!AE:AE,Tabela4[[#This Row],[Cabo]],'Lançamento de Cabos'!AJ:AJ,Área!$B$1),"")</f>
        <v/>
      </c>
      <c r="Y491" s="23" t="str">
        <f ca="1">IF(Tabela4[[#This Row],[Cabo]]&lt;&gt;"",SUMIFS('Lançamento de Cabos'!$AG:$AG,'Lançamento de Cabos'!AE:AE,Tabela4[[#This Row],[Cabo]],'Lançamento de Cabos'!AJ:AJ,Área!$B$1),"")</f>
        <v/>
      </c>
      <c r="Z491" s="23" t="e">
        <f ca="1">VLOOKUP(Tabela4[[#This Row],[Cabo]],BD!A:AB,28,0)</f>
        <v>#N/A</v>
      </c>
    </row>
    <row r="492" spans="3:26" x14ac:dyDescent="0.25">
      <c r="C492" s="391" t="str">
        <f ca="1">IF($B$1="Geral",Tabela1[[#This Row],[Tag do Cabo]],IFERROR(INDEX(INDIRECT("BD!$A"&amp;D492&amp;":$A100000"),E492,1),""))</f>
        <v/>
      </c>
      <c r="D492" s="391" t="str">
        <f t="shared" ca="1" si="20"/>
        <v/>
      </c>
      <c r="E492" s="391" t="str">
        <f t="shared" ca="1" si="21"/>
        <v/>
      </c>
      <c r="F492" s="23" t="str">
        <f ca="1">IFERROR(VLOOKUP(Tabela4[[#This Row],[Cabo]],BD!A:V,2,0),"")</f>
        <v/>
      </c>
      <c r="G492" s="391" t="str">
        <f ca="1">IFERROR(VLOOKUP(Tabela4[[#This Row],[Cabo]],BD!A:V,5,0),"")</f>
        <v/>
      </c>
      <c r="H492" s="23" t="str">
        <f ca="1">IFERROR(VLOOKUP(Tabela4[[#This Row],[Cabo]],BD!A:V,3,0),"")</f>
        <v/>
      </c>
      <c r="I492" s="23" t="str">
        <f ca="1">IFERROR(VLOOKUP(Tabela4[[#This Row],[Cabo]],BD!A:V,4,0),"")</f>
        <v/>
      </c>
      <c r="J492" s="23" t="str">
        <f ca="1">IFERROR(VLOOKUP(Tabela4[[#This Row],[Cabo]],BD!A:V,7,0),"")</f>
        <v/>
      </c>
      <c r="K49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2" s="23" t="str">
        <f ca="1">IFERROR(VLOOKUP(Tabela4[[#This Row],[Cabo]],BD!A:V,9,0),"")</f>
        <v/>
      </c>
      <c r="M492" s="23" t="str">
        <f ca="1">IFERROR(VLOOKUP(Tabela4[[#This Row],[Cabo]],BD!A:AD,30,0),"")</f>
        <v/>
      </c>
      <c r="N492" s="23" t="str">
        <f ca="1">IF(SUMIF('Lançamento de Cabos'!B:B,Tabela4[[#This Row],[Cabo]],'Lançamento de Cabos'!C:C)=0,"",SUMIF('Lançamento de Cabos'!B:B,Tabela4[[#This Row],[Cabo]],'Lançamento de Cabos'!C:C))</f>
        <v/>
      </c>
      <c r="O492" s="28" t="str">
        <f ca="1">IFERROR(IF(Tabela4[[#This Row],[Compr. Lançado]]/Tabela4[[#This Row],[Compr. Prev.]]&gt;1,1,Tabela4[[#This Row],[Compr. Lançado]]/Tabela4[[#This Row],[Compr. Prev.]]),"")</f>
        <v/>
      </c>
      <c r="P492" s="24" t="str">
        <f ca="1">IFERROR(VLOOKUP(Tabela4[[#This Row],[Cabo]],BD!A:V,11,0),"")</f>
        <v/>
      </c>
      <c r="Q492" s="24" t="str">
        <f ca="1">IFERROR(VLOOKUP(Tabela4[[#This Row],[Cabo]],BD!A:V,12,0),"")</f>
        <v/>
      </c>
      <c r="R492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2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2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2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2" s="23" t="str">
        <f ca="1">IF(Tabela4[[#This Row],[Cabo]]&lt;&gt;"",4-COUNTIF(Tabela4[[#This Row],[Teste de Continuidade]:[Hipot]],"---"),"")</f>
        <v/>
      </c>
      <c r="W492" s="29" t="str">
        <f ca="1">IF(Tabela4[[#This Row],[Cabo]]&lt;&gt;"",(COUNTIF(Tabela4[[#This Row],[Teste de Continuidade]:[Hipot]],"OK"))/(4-COUNTIF(Tabela4[[#This Row],[Teste de Continuidade]:[Hipot]],"---")),"")</f>
        <v/>
      </c>
      <c r="X492" s="23" t="str">
        <f ca="1">IF(Tabela4[[#This Row],[Cabo]]&lt;&gt;"",SUMIFS('Lançamento de Cabos'!$AF:$AF,'Lançamento de Cabos'!AE:AE,Tabela4[[#This Row],[Cabo]],'Lançamento de Cabos'!AJ:AJ,Área!$B$1),"")</f>
        <v/>
      </c>
      <c r="Y492" s="23" t="str">
        <f ca="1">IF(Tabela4[[#This Row],[Cabo]]&lt;&gt;"",SUMIFS('Lançamento de Cabos'!$AG:$AG,'Lançamento de Cabos'!AE:AE,Tabela4[[#This Row],[Cabo]],'Lançamento de Cabos'!AJ:AJ,Área!$B$1),"")</f>
        <v/>
      </c>
      <c r="Z492" s="23" t="e">
        <f ca="1">VLOOKUP(Tabela4[[#This Row],[Cabo]],BD!A:AB,28,0)</f>
        <v>#N/A</v>
      </c>
    </row>
    <row r="493" spans="3:26" x14ac:dyDescent="0.25">
      <c r="C493" s="391" t="str">
        <f ca="1">IF($B$1="Geral",Tabela1[[#This Row],[Tag do Cabo]],IFERROR(INDEX(INDIRECT("BD!$A"&amp;D493&amp;":$A100000"),E493,1),""))</f>
        <v/>
      </c>
      <c r="D493" s="391" t="str">
        <f t="shared" ca="1" si="20"/>
        <v/>
      </c>
      <c r="E493" s="391" t="str">
        <f t="shared" ca="1" si="21"/>
        <v/>
      </c>
      <c r="F493" s="23" t="str">
        <f ca="1">IFERROR(VLOOKUP(Tabela4[[#This Row],[Cabo]],BD!A:V,2,0),"")</f>
        <v/>
      </c>
      <c r="G493" s="391" t="str">
        <f ca="1">IFERROR(VLOOKUP(Tabela4[[#This Row],[Cabo]],BD!A:V,5,0),"")</f>
        <v/>
      </c>
      <c r="H493" s="23" t="str">
        <f ca="1">IFERROR(VLOOKUP(Tabela4[[#This Row],[Cabo]],BD!A:V,3,0),"")</f>
        <v/>
      </c>
      <c r="I493" s="23" t="str">
        <f ca="1">IFERROR(VLOOKUP(Tabela4[[#This Row],[Cabo]],BD!A:V,4,0),"")</f>
        <v/>
      </c>
      <c r="J493" s="23" t="str">
        <f ca="1">IFERROR(VLOOKUP(Tabela4[[#This Row],[Cabo]],BD!A:V,7,0),"")</f>
        <v/>
      </c>
      <c r="K49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3" s="23" t="str">
        <f ca="1">IFERROR(VLOOKUP(Tabela4[[#This Row],[Cabo]],BD!A:V,9,0),"")</f>
        <v/>
      </c>
      <c r="M493" s="23" t="str">
        <f ca="1">IFERROR(VLOOKUP(Tabela4[[#This Row],[Cabo]],BD!A:AD,30,0),"")</f>
        <v/>
      </c>
      <c r="N493" s="23" t="str">
        <f ca="1">IF(SUMIF('Lançamento de Cabos'!B:B,Tabela4[[#This Row],[Cabo]],'Lançamento de Cabos'!C:C)=0,"",SUMIF('Lançamento de Cabos'!B:B,Tabela4[[#This Row],[Cabo]],'Lançamento de Cabos'!C:C))</f>
        <v/>
      </c>
      <c r="O493" s="28" t="str">
        <f ca="1">IFERROR(IF(Tabela4[[#This Row],[Compr. Lançado]]/Tabela4[[#This Row],[Compr. Prev.]]&gt;1,1,Tabela4[[#This Row],[Compr. Lançado]]/Tabela4[[#This Row],[Compr. Prev.]]),"")</f>
        <v/>
      </c>
      <c r="P493" s="24" t="str">
        <f ca="1">IFERROR(VLOOKUP(Tabela4[[#This Row],[Cabo]],BD!A:V,11,0),"")</f>
        <v/>
      </c>
      <c r="Q493" s="24" t="str">
        <f ca="1">IFERROR(VLOOKUP(Tabela4[[#This Row],[Cabo]],BD!A:V,12,0),"")</f>
        <v/>
      </c>
      <c r="R493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3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3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3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3" s="23" t="str">
        <f ca="1">IF(Tabela4[[#This Row],[Cabo]]&lt;&gt;"",4-COUNTIF(Tabela4[[#This Row],[Teste de Continuidade]:[Hipot]],"---"),"")</f>
        <v/>
      </c>
      <c r="W493" s="29" t="str">
        <f ca="1">IF(Tabela4[[#This Row],[Cabo]]&lt;&gt;"",(COUNTIF(Tabela4[[#This Row],[Teste de Continuidade]:[Hipot]],"OK"))/(4-COUNTIF(Tabela4[[#This Row],[Teste de Continuidade]:[Hipot]],"---")),"")</f>
        <v/>
      </c>
      <c r="X493" s="23" t="str">
        <f ca="1">IF(Tabela4[[#This Row],[Cabo]]&lt;&gt;"",SUMIFS('Lançamento de Cabos'!$AF:$AF,'Lançamento de Cabos'!AE:AE,Tabela4[[#This Row],[Cabo]],'Lançamento de Cabos'!AJ:AJ,Área!$B$1),"")</f>
        <v/>
      </c>
      <c r="Y493" s="23" t="str">
        <f ca="1">IF(Tabela4[[#This Row],[Cabo]]&lt;&gt;"",SUMIFS('Lançamento de Cabos'!$AG:$AG,'Lançamento de Cabos'!AE:AE,Tabela4[[#This Row],[Cabo]],'Lançamento de Cabos'!AJ:AJ,Área!$B$1),"")</f>
        <v/>
      </c>
      <c r="Z493" s="23" t="e">
        <f ca="1">VLOOKUP(Tabela4[[#This Row],[Cabo]],BD!A:AB,28,0)</f>
        <v>#N/A</v>
      </c>
    </row>
    <row r="494" spans="3:26" x14ac:dyDescent="0.25">
      <c r="C494" s="391" t="str">
        <f ca="1">IF($B$1="Geral",Tabela1[[#This Row],[Tag do Cabo]],IFERROR(INDEX(INDIRECT("BD!$A"&amp;D494&amp;":$A100000"),E494,1),""))</f>
        <v/>
      </c>
      <c r="D494" s="391" t="str">
        <f t="shared" ca="1" si="20"/>
        <v/>
      </c>
      <c r="E494" s="391" t="str">
        <f t="shared" ca="1" si="21"/>
        <v/>
      </c>
      <c r="F494" s="23" t="str">
        <f ca="1">IFERROR(VLOOKUP(Tabela4[[#This Row],[Cabo]],BD!A:V,2,0),"")</f>
        <v/>
      </c>
      <c r="G494" s="391" t="str">
        <f ca="1">IFERROR(VLOOKUP(Tabela4[[#This Row],[Cabo]],BD!A:V,5,0),"")</f>
        <v/>
      </c>
      <c r="H494" s="23" t="str">
        <f ca="1">IFERROR(VLOOKUP(Tabela4[[#This Row],[Cabo]],BD!A:V,3,0),"")</f>
        <v/>
      </c>
      <c r="I494" s="23" t="str">
        <f ca="1">IFERROR(VLOOKUP(Tabela4[[#This Row],[Cabo]],BD!A:V,4,0),"")</f>
        <v/>
      </c>
      <c r="J494" s="23" t="str">
        <f ca="1">IFERROR(VLOOKUP(Tabela4[[#This Row],[Cabo]],BD!A:V,7,0),"")</f>
        <v/>
      </c>
      <c r="K49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4" s="23" t="str">
        <f ca="1">IFERROR(VLOOKUP(Tabela4[[#This Row],[Cabo]],BD!A:V,9,0),"")</f>
        <v/>
      </c>
      <c r="M494" s="23" t="str">
        <f ca="1">IFERROR(VLOOKUP(Tabela4[[#This Row],[Cabo]],BD!A:AD,30,0),"")</f>
        <v/>
      </c>
      <c r="N494" s="23" t="str">
        <f ca="1">IF(SUMIF('Lançamento de Cabos'!B:B,Tabela4[[#This Row],[Cabo]],'Lançamento de Cabos'!C:C)=0,"",SUMIF('Lançamento de Cabos'!B:B,Tabela4[[#This Row],[Cabo]],'Lançamento de Cabos'!C:C))</f>
        <v/>
      </c>
      <c r="O494" s="28" t="str">
        <f ca="1">IFERROR(IF(Tabela4[[#This Row],[Compr. Lançado]]/Tabela4[[#This Row],[Compr. Prev.]]&gt;1,1,Tabela4[[#This Row],[Compr. Lançado]]/Tabela4[[#This Row],[Compr. Prev.]]),"")</f>
        <v/>
      </c>
      <c r="P494" s="24" t="str">
        <f ca="1">IFERROR(VLOOKUP(Tabela4[[#This Row],[Cabo]],BD!A:V,11,0),"")</f>
        <v/>
      </c>
      <c r="Q494" s="24" t="str">
        <f ca="1">IFERROR(VLOOKUP(Tabela4[[#This Row],[Cabo]],BD!A:V,12,0),"")</f>
        <v/>
      </c>
      <c r="R494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4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4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4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4" s="23" t="str">
        <f ca="1">IF(Tabela4[[#This Row],[Cabo]]&lt;&gt;"",4-COUNTIF(Tabela4[[#This Row],[Teste de Continuidade]:[Hipot]],"---"),"")</f>
        <v/>
      </c>
      <c r="W494" s="29" t="str">
        <f ca="1">IF(Tabela4[[#This Row],[Cabo]]&lt;&gt;"",(COUNTIF(Tabela4[[#This Row],[Teste de Continuidade]:[Hipot]],"OK"))/(4-COUNTIF(Tabela4[[#This Row],[Teste de Continuidade]:[Hipot]],"---")),"")</f>
        <v/>
      </c>
      <c r="X494" s="23" t="str">
        <f ca="1">IF(Tabela4[[#This Row],[Cabo]]&lt;&gt;"",SUMIFS('Lançamento de Cabos'!$AF:$AF,'Lançamento de Cabos'!AE:AE,Tabela4[[#This Row],[Cabo]],'Lançamento de Cabos'!AJ:AJ,Área!$B$1),"")</f>
        <v/>
      </c>
      <c r="Y494" s="23" t="str">
        <f ca="1">IF(Tabela4[[#This Row],[Cabo]]&lt;&gt;"",SUMIFS('Lançamento de Cabos'!$AG:$AG,'Lançamento de Cabos'!AE:AE,Tabela4[[#This Row],[Cabo]],'Lançamento de Cabos'!AJ:AJ,Área!$B$1),"")</f>
        <v/>
      </c>
      <c r="Z494" s="23" t="e">
        <f ca="1">VLOOKUP(Tabela4[[#This Row],[Cabo]],BD!A:AB,28,0)</f>
        <v>#N/A</v>
      </c>
    </row>
    <row r="495" spans="3:26" x14ac:dyDescent="0.25">
      <c r="C495" s="391" t="str">
        <f ca="1">IF($B$1="Geral",Tabela1[[#This Row],[Tag do Cabo]],IFERROR(INDEX(INDIRECT("BD!$A"&amp;D495&amp;":$A100000"),E495,1),""))</f>
        <v/>
      </c>
      <c r="D495" s="391" t="str">
        <f t="shared" ca="1" si="20"/>
        <v/>
      </c>
      <c r="E495" s="391" t="str">
        <f t="shared" ca="1" si="21"/>
        <v/>
      </c>
      <c r="F495" s="23" t="str">
        <f ca="1">IFERROR(VLOOKUP(Tabela4[[#This Row],[Cabo]],BD!A:V,2,0),"")</f>
        <v/>
      </c>
      <c r="G495" s="391" t="str">
        <f ca="1">IFERROR(VLOOKUP(Tabela4[[#This Row],[Cabo]],BD!A:V,5,0),"")</f>
        <v/>
      </c>
      <c r="H495" s="23" t="str">
        <f ca="1">IFERROR(VLOOKUP(Tabela4[[#This Row],[Cabo]],BD!A:V,3,0),"")</f>
        <v/>
      </c>
      <c r="I495" s="23" t="str">
        <f ca="1">IFERROR(VLOOKUP(Tabela4[[#This Row],[Cabo]],BD!A:V,4,0),"")</f>
        <v/>
      </c>
      <c r="J495" s="23" t="str">
        <f ca="1">IFERROR(VLOOKUP(Tabela4[[#This Row],[Cabo]],BD!A:V,7,0),"")</f>
        <v/>
      </c>
      <c r="K49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5" s="23" t="str">
        <f ca="1">IFERROR(VLOOKUP(Tabela4[[#This Row],[Cabo]],BD!A:V,9,0),"")</f>
        <v/>
      </c>
      <c r="M495" s="23" t="str">
        <f ca="1">IFERROR(VLOOKUP(Tabela4[[#This Row],[Cabo]],BD!A:AD,30,0),"")</f>
        <v/>
      </c>
      <c r="N495" s="23" t="str">
        <f ca="1">IF(SUMIF('Lançamento de Cabos'!B:B,Tabela4[[#This Row],[Cabo]],'Lançamento de Cabos'!C:C)=0,"",SUMIF('Lançamento de Cabos'!B:B,Tabela4[[#This Row],[Cabo]],'Lançamento de Cabos'!C:C))</f>
        <v/>
      </c>
      <c r="O495" s="28" t="str">
        <f ca="1">IFERROR(IF(Tabela4[[#This Row],[Compr. Lançado]]/Tabela4[[#This Row],[Compr. Prev.]]&gt;1,1,Tabela4[[#This Row],[Compr. Lançado]]/Tabela4[[#This Row],[Compr. Prev.]]),"")</f>
        <v/>
      </c>
      <c r="P495" s="24" t="str">
        <f ca="1">IFERROR(VLOOKUP(Tabela4[[#This Row],[Cabo]],BD!A:V,11,0),"")</f>
        <v/>
      </c>
      <c r="Q495" s="24" t="str">
        <f ca="1">IFERROR(VLOOKUP(Tabela4[[#This Row],[Cabo]],BD!A:V,12,0),"")</f>
        <v/>
      </c>
      <c r="R495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5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5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5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5" s="23" t="str">
        <f ca="1">IF(Tabela4[[#This Row],[Cabo]]&lt;&gt;"",4-COUNTIF(Tabela4[[#This Row],[Teste de Continuidade]:[Hipot]],"---"),"")</f>
        <v/>
      </c>
      <c r="W495" s="29" t="str">
        <f ca="1">IF(Tabela4[[#This Row],[Cabo]]&lt;&gt;"",(COUNTIF(Tabela4[[#This Row],[Teste de Continuidade]:[Hipot]],"OK"))/(4-COUNTIF(Tabela4[[#This Row],[Teste de Continuidade]:[Hipot]],"---")),"")</f>
        <v/>
      </c>
      <c r="X495" s="23" t="str">
        <f ca="1">IF(Tabela4[[#This Row],[Cabo]]&lt;&gt;"",SUMIFS('Lançamento de Cabos'!$AF:$AF,'Lançamento de Cabos'!AE:AE,Tabela4[[#This Row],[Cabo]],'Lançamento de Cabos'!AJ:AJ,Área!$B$1),"")</f>
        <v/>
      </c>
      <c r="Y495" s="23" t="str">
        <f ca="1">IF(Tabela4[[#This Row],[Cabo]]&lt;&gt;"",SUMIFS('Lançamento de Cabos'!$AG:$AG,'Lançamento de Cabos'!AE:AE,Tabela4[[#This Row],[Cabo]],'Lançamento de Cabos'!AJ:AJ,Área!$B$1),"")</f>
        <v/>
      </c>
      <c r="Z495" s="23" t="e">
        <f ca="1">VLOOKUP(Tabela4[[#This Row],[Cabo]],BD!A:AB,28,0)</f>
        <v>#N/A</v>
      </c>
    </row>
    <row r="496" spans="3:26" x14ac:dyDescent="0.25">
      <c r="C496" s="391" t="str">
        <f ca="1">IF($B$1="Geral",Tabela1[[#This Row],[Tag do Cabo]],IFERROR(INDEX(INDIRECT("BD!$A"&amp;D496&amp;":$A100000"),E496,1),""))</f>
        <v/>
      </c>
      <c r="D496" s="391" t="str">
        <f t="shared" ca="1" si="20"/>
        <v/>
      </c>
      <c r="E496" s="391" t="str">
        <f t="shared" ca="1" si="21"/>
        <v/>
      </c>
      <c r="F496" s="23" t="str">
        <f ca="1">IFERROR(VLOOKUP(Tabela4[[#This Row],[Cabo]],BD!A:V,2,0),"")</f>
        <v/>
      </c>
      <c r="G496" s="391" t="str">
        <f ca="1">IFERROR(VLOOKUP(Tabela4[[#This Row],[Cabo]],BD!A:V,5,0),"")</f>
        <v/>
      </c>
      <c r="H496" s="23" t="str">
        <f ca="1">IFERROR(VLOOKUP(Tabela4[[#This Row],[Cabo]],BD!A:V,3,0),"")</f>
        <v/>
      </c>
      <c r="I496" s="23" t="str">
        <f ca="1">IFERROR(VLOOKUP(Tabela4[[#This Row],[Cabo]],BD!A:V,4,0),"")</f>
        <v/>
      </c>
      <c r="J496" s="23" t="str">
        <f ca="1">IFERROR(VLOOKUP(Tabela4[[#This Row],[Cabo]],BD!A:V,7,0),"")</f>
        <v/>
      </c>
      <c r="K49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6" s="23" t="str">
        <f ca="1">IFERROR(VLOOKUP(Tabela4[[#This Row],[Cabo]],BD!A:V,9,0),"")</f>
        <v/>
      </c>
      <c r="M496" s="23" t="str">
        <f ca="1">IFERROR(VLOOKUP(Tabela4[[#This Row],[Cabo]],BD!A:AD,30,0),"")</f>
        <v/>
      </c>
      <c r="N496" s="23" t="str">
        <f ca="1">IF(SUMIF('Lançamento de Cabos'!B:B,Tabela4[[#This Row],[Cabo]],'Lançamento de Cabos'!C:C)=0,"",SUMIF('Lançamento de Cabos'!B:B,Tabela4[[#This Row],[Cabo]],'Lançamento de Cabos'!C:C))</f>
        <v/>
      </c>
      <c r="O496" s="28" t="str">
        <f ca="1">IFERROR(IF(Tabela4[[#This Row],[Compr. Lançado]]/Tabela4[[#This Row],[Compr. Prev.]]&gt;1,1,Tabela4[[#This Row],[Compr. Lançado]]/Tabela4[[#This Row],[Compr. Prev.]]),"")</f>
        <v/>
      </c>
      <c r="P496" s="24" t="str">
        <f ca="1">IFERROR(VLOOKUP(Tabela4[[#This Row],[Cabo]],BD!A:V,11,0),"")</f>
        <v/>
      </c>
      <c r="Q496" s="24" t="str">
        <f ca="1">IFERROR(VLOOKUP(Tabela4[[#This Row],[Cabo]],BD!A:V,12,0),"")</f>
        <v/>
      </c>
      <c r="R496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6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6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6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6" s="23" t="str">
        <f ca="1">IF(Tabela4[[#This Row],[Cabo]]&lt;&gt;"",4-COUNTIF(Tabela4[[#This Row],[Teste de Continuidade]:[Hipot]],"---"),"")</f>
        <v/>
      </c>
      <c r="W496" s="29" t="str">
        <f ca="1">IF(Tabela4[[#This Row],[Cabo]]&lt;&gt;"",(COUNTIF(Tabela4[[#This Row],[Teste de Continuidade]:[Hipot]],"OK"))/(4-COUNTIF(Tabela4[[#This Row],[Teste de Continuidade]:[Hipot]],"---")),"")</f>
        <v/>
      </c>
      <c r="X496" s="23" t="str">
        <f ca="1">IF(Tabela4[[#This Row],[Cabo]]&lt;&gt;"",SUMIFS('Lançamento de Cabos'!$AF:$AF,'Lançamento de Cabos'!AE:AE,Tabela4[[#This Row],[Cabo]],'Lançamento de Cabos'!AJ:AJ,Área!$B$1),"")</f>
        <v/>
      </c>
      <c r="Y496" s="23" t="str">
        <f ca="1">IF(Tabela4[[#This Row],[Cabo]]&lt;&gt;"",SUMIFS('Lançamento de Cabos'!$AG:$AG,'Lançamento de Cabos'!AE:AE,Tabela4[[#This Row],[Cabo]],'Lançamento de Cabos'!AJ:AJ,Área!$B$1),"")</f>
        <v/>
      </c>
      <c r="Z496" s="23" t="e">
        <f ca="1">VLOOKUP(Tabela4[[#This Row],[Cabo]],BD!A:AB,28,0)</f>
        <v>#N/A</v>
      </c>
    </row>
    <row r="497" spans="3:26" x14ac:dyDescent="0.25">
      <c r="C497" s="391" t="str">
        <f ca="1">IF($B$1="Geral",Tabela1[[#This Row],[Tag do Cabo]],IFERROR(INDEX(INDIRECT("BD!$A"&amp;D497&amp;":$A100000"),E497,1),""))</f>
        <v/>
      </c>
      <c r="D497" s="391" t="str">
        <f t="shared" ca="1" si="20"/>
        <v/>
      </c>
      <c r="E497" s="391" t="str">
        <f t="shared" ca="1" si="21"/>
        <v/>
      </c>
      <c r="F497" s="23" t="str">
        <f ca="1">IFERROR(VLOOKUP(Tabela4[[#This Row],[Cabo]],BD!A:V,2,0),"")</f>
        <v/>
      </c>
      <c r="G497" s="391" t="str">
        <f ca="1">IFERROR(VLOOKUP(Tabela4[[#This Row],[Cabo]],BD!A:V,5,0),"")</f>
        <v/>
      </c>
      <c r="H497" s="23" t="str">
        <f ca="1">IFERROR(VLOOKUP(Tabela4[[#This Row],[Cabo]],BD!A:V,3,0),"")</f>
        <v/>
      </c>
      <c r="I497" s="23" t="str">
        <f ca="1">IFERROR(VLOOKUP(Tabela4[[#This Row],[Cabo]],BD!A:V,4,0),"")</f>
        <v/>
      </c>
      <c r="J497" s="23" t="str">
        <f ca="1">IFERROR(VLOOKUP(Tabela4[[#This Row],[Cabo]],BD!A:V,7,0),"")</f>
        <v/>
      </c>
      <c r="K49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7" s="23" t="str">
        <f ca="1">IFERROR(VLOOKUP(Tabela4[[#This Row],[Cabo]],BD!A:V,9,0),"")</f>
        <v/>
      </c>
      <c r="M497" s="23" t="str">
        <f ca="1">IFERROR(VLOOKUP(Tabela4[[#This Row],[Cabo]],BD!A:AD,30,0),"")</f>
        <v/>
      </c>
      <c r="N497" s="23" t="str">
        <f ca="1">IF(SUMIF('Lançamento de Cabos'!B:B,Tabela4[[#This Row],[Cabo]],'Lançamento de Cabos'!C:C)=0,"",SUMIF('Lançamento de Cabos'!B:B,Tabela4[[#This Row],[Cabo]],'Lançamento de Cabos'!C:C))</f>
        <v/>
      </c>
      <c r="O497" s="28" t="str">
        <f ca="1">IFERROR(IF(Tabela4[[#This Row],[Compr. Lançado]]/Tabela4[[#This Row],[Compr. Prev.]]&gt;1,1,Tabela4[[#This Row],[Compr. Lançado]]/Tabela4[[#This Row],[Compr. Prev.]]),"")</f>
        <v/>
      </c>
      <c r="P497" s="24" t="str">
        <f ca="1">IFERROR(VLOOKUP(Tabela4[[#This Row],[Cabo]],BD!A:V,11,0),"")</f>
        <v/>
      </c>
      <c r="Q497" s="24" t="str">
        <f ca="1">IFERROR(VLOOKUP(Tabela4[[#This Row],[Cabo]],BD!A:V,12,0),"")</f>
        <v/>
      </c>
      <c r="R497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7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7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7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7" s="23" t="str">
        <f ca="1">IF(Tabela4[[#This Row],[Cabo]]&lt;&gt;"",4-COUNTIF(Tabela4[[#This Row],[Teste de Continuidade]:[Hipot]],"---"),"")</f>
        <v/>
      </c>
      <c r="W497" s="29" t="str">
        <f ca="1">IF(Tabela4[[#This Row],[Cabo]]&lt;&gt;"",(COUNTIF(Tabela4[[#This Row],[Teste de Continuidade]:[Hipot]],"OK"))/(4-COUNTIF(Tabela4[[#This Row],[Teste de Continuidade]:[Hipot]],"---")),"")</f>
        <v/>
      </c>
      <c r="X497" s="23" t="str">
        <f ca="1">IF(Tabela4[[#This Row],[Cabo]]&lt;&gt;"",SUMIFS('Lançamento de Cabos'!$AF:$AF,'Lançamento de Cabos'!AE:AE,Tabela4[[#This Row],[Cabo]],'Lançamento de Cabos'!AJ:AJ,Área!$B$1),"")</f>
        <v/>
      </c>
      <c r="Y497" s="23" t="str">
        <f ca="1">IF(Tabela4[[#This Row],[Cabo]]&lt;&gt;"",SUMIFS('Lançamento de Cabos'!$AG:$AG,'Lançamento de Cabos'!AE:AE,Tabela4[[#This Row],[Cabo]],'Lançamento de Cabos'!AJ:AJ,Área!$B$1),"")</f>
        <v/>
      </c>
      <c r="Z497" s="23" t="e">
        <f ca="1">VLOOKUP(Tabela4[[#This Row],[Cabo]],BD!A:AB,28,0)</f>
        <v>#N/A</v>
      </c>
    </row>
    <row r="498" spans="3:26" x14ac:dyDescent="0.25">
      <c r="C498" s="391" t="str">
        <f ca="1">IF($B$1="Geral",Tabela1[[#This Row],[Tag do Cabo]],IFERROR(INDEX(INDIRECT("BD!$A"&amp;D498&amp;":$A100000"),E498,1),""))</f>
        <v/>
      </c>
      <c r="D498" s="391" t="str">
        <f t="shared" ca="1" si="20"/>
        <v/>
      </c>
      <c r="E498" s="391" t="str">
        <f t="shared" ca="1" si="21"/>
        <v/>
      </c>
      <c r="F498" s="23" t="str">
        <f ca="1">IFERROR(VLOOKUP(Tabela4[[#This Row],[Cabo]],BD!A:V,2,0),"")</f>
        <v/>
      </c>
      <c r="G498" s="391" t="str">
        <f ca="1">IFERROR(VLOOKUP(Tabela4[[#This Row],[Cabo]],BD!A:V,5,0),"")</f>
        <v/>
      </c>
      <c r="H498" s="23" t="str">
        <f ca="1">IFERROR(VLOOKUP(Tabela4[[#This Row],[Cabo]],BD!A:V,3,0),"")</f>
        <v/>
      </c>
      <c r="I498" s="23" t="str">
        <f ca="1">IFERROR(VLOOKUP(Tabela4[[#This Row],[Cabo]],BD!A:V,4,0),"")</f>
        <v/>
      </c>
      <c r="J498" s="23" t="str">
        <f ca="1">IFERROR(VLOOKUP(Tabela4[[#This Row],[Cabo]],BD!A:V,7,0),"")</f>
        <v/>
      </c>
      <c r="K49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8" s="23" t="str">
        <f ca="1">IFERROR(VLOOKUP(Tabela4[[#This Row],[Cabo]],BD!A:V,9,0),"")</f>
        <v/>
      </c>
      <c r="M498" s="23" t="str">
        <f ca="1">IFERROR(VLOOKUP(Tabela4[[#This Row],[Cabo]],BD!A:AD,30,0),"")</f>
        <v/>
      </c>
      <c r="N498" s="23" t="str">
        <f ca="1">IF(SUMIF('Lançamento de Cabos'!B:B,Tabela4[[#This Row],[Cabo]],'Lançamento de Cabos'!C:C)=0,"",SUMIF('Lançamento de Cabos'!B:B,Tabela4[[#This Row],[Cabo]],'Lançamento de Cabos'!C:C))</f>
        <v/>
      </c>
      <c r="O498" s="28" t="str">
        <f ca="1">IFERROR(IF(Tabela4[[#This Row],[Compr. Lançado]]/Tabela4[[#This Row],[Compr. Prev.]]&gt;1,1,Tabela4[[#This Row],[Compr. Lançado]]/Tabela4[[#This Row],[Compr. Prev.]]),"")</f>
        <v/>
      </c>
      <c r="P498" s="24" t="str">
        <f ca="1">IFERROR(VLOOKUP(Tabela4[[#This Row],[Cabo]],BD!A:V,11,0),"")</f>
        <v/>
      </c>
      <c r="Q498" s="24" t="str">
        <f ca="1">IFERROR(VLOOKUP(Tabela4[[#This Row],[Cabo]],BD!A:V,12,0),"")</f>
        <v/>
      </c>
      <c r="R498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8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8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8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8" s="23" t="str">
        <f ca="1">IF(Tabela4[[#This Row],[Cabo]]&lt;&gt;"",4-COUNTIF(Tabela4[[#This Row],[Teste de Continuidade]:[Hipot]],"---"),"")</f>
        <v/>
      </c>
      <c r="W498" s="29" t="str">
        <f ca="1">IF(Tabela4[[#This Row],[Cabo]]&lt;&gt;"",(COUNTIF(Tabela4[[#This Row],[Teste de Continuidade]:[Hipot]],"OK"))/(4-COUNTIF(Tabela4[[#This Row],[Teste de Continuidade]:[Hipot]],"---")),"")</f>
        <v/>
      </c>
      <c r="X498" s="23" t="str">
        <f ca="1">IF(Tabela4[[#This Row],[Cabo]]&lt;&gt;"",SUMIFS('Lançamento de Cabos'!$AF:$AF,'Lançamento de Cabos'!AE:AE,Tabela4[[#This Row],[Cabo]],'Lançamento de Cabos'!AJ:AJ,Área!$B$1),"")</f>
        <v/>
      </c>
      <c r="Y498" s="23" t="str">
        <f ca="1">IF(Tabela4[[#This Row],[Cabo]]&lt;&gt;"",SUMIFS('Lançamento de Cabos'!$AG:$AG,'Lançamento de Cabos'!AE:AE,Tabela4[[#This Row],[Cabo]],'Lançamento de Cabos'!AJ:AJ,Área!$B$1),"")</f>
        <v/>
      </c>
      <c r="Z498" s="23" t="e">
        <f ca="1">VLOOKUP(Tabela4[[#This Row],[Cabo]],BD!A:AB,28,0)</f>
        <v>#N/A</v>
      </c>
    </row>
    <row r="499" spans="3:26" x14ac:dyDescent="0.25">
      <c r="C499" s="391" t="str">
        <f ca="1">IF($B$1="Geral",Tabela1[[#This Row],[Tag do Cabo]],IFERROR(INDEX(INDIRECT("BD!$A"&amp;D499&amp;":$A100000"),E499,1),""))</f>
        <v/>
      </c>
      <c r="D499" s="391" t="str">
        <f t="shared" ca="1" si="20"/>
        <v/>
      </c>
      <c r="E499" s="391" t="str">
        <f t="shared" ca="1" si="21"/>
        <v/>
      </c>
      <c r="F499" s="23" t="str">
        <f ca="1">IFERROR(VLOOKUP(Tabela4[[#This Row],[Cabo]],BD!A:V,2,0),"")</f>
        <v/>
      </c>
      <c r="G499" s="391" t="str">
        <f ca="1">IFERROR(VLOOKUP(Tabela4[[#This Row],[Cabo]],BD!A:V,5,0),"")</f>
        <v/>
      </c>
      <c r="H499" s="23" t="str">
        <f ca="1">IFERROR(VLOOKUP(Tabela4[[#This Row],[Cabo]],BD!A:V,3,0),"")</f>
        <v/>
      </c>
      <c r="I499" s="23" t="str">
        <f ca="1">IFERROR(VLOOKUP(Tabela4[[#This Row],[Cabo]],BD!A:V,4,0),"")</f>
        <v/>
      </c>
      <c r="J499" s="23" t="str">
        <f ca="1">IFERROR(VLOOKUP(Tabela4[[#This Row],[Cabo]],BD!A:V,7,0),"")</f>
        <v/>
      </c>
      <c r="K49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499" s="23" t="str">
        <f ca="1">IFERROR(VLOOKUP(Tabela4[[#This Row],[Cabo]],BD!A:V,9,0),"")</f>
        <v/>
      </c>
      <c r="M499" s="23" t="str">
        <f ca="1">IFERROR(VLOOKUP(Tabela4[[#This Row],[Cabo]],BD!A:AD,30,0),"")</f>
        <v/>
      </c>
      <c r="N499" s="23" t="str">
        <f ca="1">IF(SUMIF('Lançamento de Cabos'!B:B,Tabela4[[#This Row],[Cabo]],'Lançamento de Cabos'!C:C)=0,"",SUMIF('Lançamento de Cabos'!B:B,Tabela4[[#This Row],[Cabo]],'Lançamento de Cabos'!C:C))</f>
        <v/>
      </c>
      <c r="O499" s="28" t="str">
        <f ca="1">IFERROR(IF(Tabela4[[#This Row],[Compr. Lançado]]/Tabela4[[#This Row],[Compr. Prev.]]&gt;1,1,Tabela4[[#This Row],[Compr. Lançado]]/Tabela4[[#This Row],[Compr. Prev.]]),"")</f>
        <v/>
      </c>
      <c r="P499" s="24" t="str">
        <f ca="1">IFERROR(VLOOKUP(Tabela4[[#This Row],[Cabo]],BD!A:V,11,0),"")</f>
        <v/>
      </c>
      <c r="Q499" s="24" t="str">
        <f ca="1">IFERROR(VLOOKUP(Tabela4[[#This Row],[Cabo]],BD!A:V,12,0),"")</f>
        <v/>
      </c>
      <c r="R499" s="23" t="str">
        <f ca="1">IF(Tabela4[[#This Row],[Cabo]]&lt;&gt;"",IFERROR(VLOOKUP(Tabela4[[#This Row],[Cabo]]&amp;"-1",'Lançamento de Cabos'!$S:$T,2,0),IF(VLOOKUP(Tabela4[[#This Row],[Cabo]],BD!A:V,13,0)="---","---","")),"")</f>
        <v/>
      </c>
      <c r="S499" s="23" t="str">
        <f ca="1">IF(Tabela4[[#This Row],[Cabo]]&lt;&gt;"",IFERROR(VLOOKUP(Tabela4[[#This Row],[Cabo]]&amp;"-2",'Lançamento de Cabos'!$S:$T,2,0),IF(VLOOKUP(Tabela4[[#This Row],[Cabo]],BD!A:V,14,0)="---","---","")),"")</f>
        <v/>
      </c>
      <c r="T499" s="23" t="str">
        <f ca="1">IF(Tabela4[[#This Row],[Cabo]]&lt;&gt;"",IFERROR(VLOOKUP(Tabela4[[#This Row],[Cabo]]&amp;"-3",'Lançamento de Cabos'!$S:$T,2,0),IF(VLOOKUP(Tabela4[[#This Row],[Cabo]],BD!A:V,15,0)="---","---","")),"")</f>
        <v/>
      </c>
      <c r="U499" s="23" t="str">
        <f ca="1">IF(Tabela4[[#This Row],[Cabo]]&lt;&gt;"",IFERROR(VLOOKUP(Tabela4[[#This Row],[Cabo]]&amp;"-4",'Lançamento de Cabos'!$S:$T,2,0),IF(VLOOKUP(Tabela4[[#This Row],[Cabo]],BD!A:V,16,0)="---","---","")),"")</f>
        <v/>
      </c>
      <c r="V499" s="23" t="str">
        <f ca="1">IF(Tabela4[[#This Row],[Cabo]]&lt;&gt;"",4-COUNTIF(Tabela4[[#This Row],[Teste de Continuidade]:[Hipot]],"---"),"")</f>
        <v/>
      </c>
      <c r="W499" s="29" t="str">
        <f ca="1">IF(Tabela4[[#This Row],[Cabo]]&lt;&gt;"",(COUNTIF(Tabela4[[#This Row],[Teste de Continuidade]:[Hipot]],"OK"))/(4-COUNTIF(Tabela4[[#This Row],[Teste de Continuidade]:[Hipot]],"---")),"")</f>
        <v/>
      </c>
      <c r="X499" s="23" t="str">
        <f ca="1">IF(Tabela4[[#This Row],[Cabo]]&lt;&gt;"",SUMIFS('Lançamento de Cabos'!$AF:$AF,'Lançamento de Cabos'!AE:AE,Tabela4[[#This Row],[Cabo]],'Lançamento de Cabos'!AJ:AJ,Área!$B$1),"")</f>
        <v/>
      </c>
      <c r="Y499" s="23" t="str">
        <f ca="1">IF(Tabela4[[#This Row],[Cabo]]&lt;&gt;"",SUMIFS('Lançamento de Cabos'!$AG:$AG,'Lançamento de Cabos'!AE:AE,Tabela4[[#This Row],[Cabo]],'Lançamento de Cabos'!AJ:AJ,Área!$B$1),"")</f>
        <v/>
      </c>
      <c r="Z499" s="23" t="e">
        <f ca="1">VLOOKUP(Tabela4[[#This Row],[Cabo]],BD!A:AB,28,0)</f>
        <v>#N/A</v>
      </c>
    </row>
    <row r="500" spans="3:26" x14ac:dyDescent="0.25">
      <c r="C500" s="391" t="str">
        <f ca="1">IF($B$1="Geral",Tabela1[[#This Row],[Tag do Cabo]],IFERROR(INDEX(INDIRECT("BD!$A"&amp;D500&amp;":$A100000"),E500,1),""))</f>
        <v/>
      </c>
      <c r="D500" s="391" t="str">
        <f t="shared" ca="1" si="20"/>
        <v/>
      </c>
      <c r="E500" s="391" t="str">
        <f t="shared" ca="1" si="21"/>
        <v/>
      </c>
      <c r="F500" s="23" t="str">
        <f ca="1">IFERROR(VLOOKUP(Tabela4[[#This Row],[Cabo]],BD!A:V,2,0),"")</f>
        <v/>
      </c>
      <c r="G500" s="391" t="str">
        <f ca="1">IFERROR(VLOOKUP(Tabela4[[#This Row],[Cabo]],BD!A:V,5,0),"")</f>
        <v/>
      </c>
      <c r="H500" s="23" t="str">
        <f ca="1">IFERROR(VLOOKUP(Tabela4[[#This Row],[Cabo]],BD!A:V,3,0),"")</f>
        <v/>
      </c>
      <c r="I500" s="23" t="str">
        <f ca="1">IFERROR(VLOOKUP(Tabela4[[#This Row],[Cabo]],BD!A:V,4,0),"")</f>
        <v/>
      </c>
      <c r="J500" s="23" t="str">
        <f ca="1">IFERROR(VLOOKUP(Tabela4[[#This Row],[Cabo]],BD!A:V,7,0),"")</f>
        <v/>
      </c>
      <c r="K50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0" s="23" t="str">
        <f ca="1">IFERROR(VLOOKUP(Tabela4[[#This Row],[Cabo]],BD!A:V,9,0),"")</f>
        <v/>
      </c>
      <c r="M500" s="23" t="str">
        <f ca="1">IFERROR(VLOOKUP(Tabela4[[#This Row],[Cabo]],BD!A:AD,30,0),"")</f>
        <v/>
      </c>
      <c r="N500" s="23" t="str">
        <f ca="1">IF(SUMIF('Lançamento de Cabos'!B:B,Tabela4[[#This Row],[Cabo]],'Lançamento de Cabos'!C:C)=0,"",SUMIF('Lançamento de Cabos'!B:B,Tabela4[[#This Row],[Cabo]],'Lançamento de Cabos'!C:C))</f>
        <v/>
      </c>
      <c r="O500" s="28" t="str">
        <f ca="1">IFERROR(IF(Tabela4[[#This Row],[Compr. Lançado]]/Tabela4[[#This Row],[Compr. Prev.]]&gt;1,1,Tabela4[[#This Row],[Compr. Lançado]]/Tabela4[[#This Row],[Compr. Prev.]]),"")</f>
        <v/>
      </c>
      <c r="P500" s="24" t="str">
        <f ca="1">IFERROR(VLOOKUP(Tabela4[[#This Row],[Cabo]],BD!A:V,11,0),"")</f>
        <v/>
      </c>
      <c r="Q500" s="24" t="str">
        <f ca="1">IFERROR(VLOOKUP(Tabela4[[#This Row],[Cabo]],BD!A:V,12,0),"")</f>
        <v/>
      </c>
      <c r="R50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0" s="23" t="str">
        <f ca="1">IF(Tabela4[[#This Row],[Cabo]]&lt;&gt;"",4-COUNTIF(Tabela4[[#This Row],[Teste de Continuidade]:[Hipot]],"---"),"")</f>
        <v/>
      </c>
      <c r="W500" s="29" t="str">
        <f ca="1">IF(Tabela4[[#This Row],[Cabo]]&lt;&gt;"",(COUNTIF(Tabela4[[#This Row],[Teste de Continuidade]:[Hipot]],"OK"))/(4-COUNTIF(Tabela4[[#This Row],[Teste de Continuidade]:[Hipot]],"---")),"")</f>
        <v/>
      </c>
      <c r="X500" s="23" t="str">
        <f ca="1">IF(Tabela4[[#This Row],[Cabo]]&lt;&gt;"",SUMIFS('Lançamento de Cabos'!$AF:$AF,'Lançamento de Cabos'!AE:AE,Tabela4[[#This Row],[Cabo]],'Lançamento de Cabos'!AJ:AJ,Área!$B$1),"")</f>
        <v/>
      </c>
      <c r="Y500" s="23" t="str">
        <f ca="1">IF(Tabela4[[#This Row],[Cabo]]&lt;&gt;"",SUMIFS('Lançamento de Cabos'!$AG:$AG,'Lançamento de Cabos'!AE:AE,Tabela4[[#This Row],[Cabo]],'Lançamento de Cabos'!AJ:AJ,Área!$B$1),"")</f>
        <v/>
      </c>
      <c r="Z500" s="23" t="e">
        <f ca="1">VLOOKUP(Tabela4[[#This Row],[Cabo]],BD!A:AB,28,0)</f>
        <v>#N/A</v>
      </c>
    </row>
    <row r="501" spans="3:26" x14ac:dyDescent="0.25">
      <c r="C501" s="391" t="str">
        <f ca="1">IF($B$1="Geral",Tabela1[[#This Row],[Tag do Cabo]],IFERROR(INDEX(INDIRECT("BD!$A"&amp;D501&amp;":$A100000"),E501,1),""))</f>
        <v/>
      </c>
      <c r="D501" s="391" t="str">
        <f t="shared" ca="1" si="20"/>
        <v/>
      </c>
      <c r="E501" s="391" t="str">
        <f t="shared" ca="1" si="21"/>
        <v/>
      </c>
      <c r="F501" s="23" t="str">
        <f ca="1">IFERROR(VLOOKUP(Tabela4[[#This Row],[Cabo]],BD!A:V,2,0),"")</f>
        <v/>
      </c>
      <c r="G501" s="391" t="str">
        <f ca="1">IFERROR(VLOOKUP(Tabela4[[#This Row],[Cabo]],BD!A:V,5,0),"")</f>
        <v/>
      </c>
      <c r="H501" s="23" t="str">
        <f ca="1">IFERROR(VLOOKUP(Tabela4[[#This Row],[Cabo]],BD!A:V,3,0),"")</f>
        <v/>
      </c>
      <c r="I501" s="23" t="str">
        <f ca="1">IFERROR(VLOOKUP(Tabela4[[#This Row],[Cabo]],BD!A:V,4,0),"")</f>
        <v/>
      </c>
      <c r="J501" s="23" t="str">
        <f ca="1">IFERROR(VLOOKUP(Tabela4[[#This Row],[Cabo]],BD!A:V,7,0),"")</f>
        <v/>
      </c>
      <c r="K50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1" s="23" t="str">
        <f ca="1">IFERROR(VLOOKUP(Tabela4[[#This Row],[Cabo]],BD!A:V,9,0),"")</f>
        <v/>
      </c>
      <c r="M501" s="23" t="str">
        <f ca="1">IFERROR(VLOOKUP(Tabela4[[#This Row],[Cabo]],BD!A:AD,30,0),"")</f>
        <v/>
      </c>
      <c r="N501" s="23" t="str">
        <f ca="1">IF(SUMIF('Lançamento de Cabos'!B:B,Tabela4[[#This Row],[Cabo]],'Lançamento de Cabos'!C:C)=0,"",SUMIF('Lançamento de Cabos'!B:B,Tabela4[[#This Row],[Cabo]],'Lançamento de Cabos'!C:C))</f>
        <v/>
      </c>
      <c r="O501" s="28" t="str">
        <f ca="1">IFERROR(IF(Tabela4[[#This Row],[Compr. Lançado]]/Tabela4[[#This Row],[Compr. Prev.]]&gt;1,1,Tabela4[[#This Row],[Compr. Lançado]]/Tabela4[[#This Row],[Compr. Prev.]]),"")</f>
        <v/>
      </c>
      <c r="P501" s="24" t="str">
        <f ca="1">IFERROR(VLOOKUP(Tabela4[[#This Row],[Cabo]],BD!A:V,11,0),"")</f>
        <v/>
      </c>
      <c r="Q501" s="24" t="str">
        <f ca="1">IFERROR(VLOOKUP(Tabela4[[#This Row],[Cabo]],BD!A:V,12,0),"")</f>
        <v/>
      </c>
      <c r="R50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1" s="23" t="str">
        <f ca="1">IF(Tabela4[[#This Row],[Cabo]]&lt;&gt;"",4-COUNTIF(Tabela4[[#This Row],[Teste de Continuidade]:[Hipot]],"---"),"")</f>
        <v/>
      </c>
      <c r="W501" s="29" t="str">
        <f ca="1">IF(Tabela4[[#This Row],[Cabo]]&lt;&gt;"",(COUNTIF(Tabela4[[#This Row],[Teste de Continuidade]:[Hipot]],"OK"))/(4-COUNTIF(Tabela4[[#This Row],[Teste de Continuidade]:[Hipot]],"---")),"")</f>
        <v/>
      </c>
      <c r="X501" s="23" t="str">
        <f ca="1">IF(Tabela4[[#This Row],[Cabo]]&lt;&gt;"",SUMIFS('Lançamento de Cabos'!$AF:$AF,'Lançamento de Cabos'!AE:AE,Tabela4[[#This Row],[Cabo]],'Lançamento de Cabos'!AJ:AJ,Área!$B$1),"")</f>
        <v/>
      </c>
      <c r="Y501" s="23" t="str">
        <f ca="1">IF(Tabela4[[#This Row],[Cabo]]&lt;&gt;"",SUMIFS('Lançamento de Cabos'!$AG:$AG,'Lançamento de Cabos'!AE:AE,Tabela4[[#This Row],[Cabo]],'Lançamento de Cabos'!AJ:AJ,Área!$B$1),"")</f>
        <v/>
      </c>
      <c r="Z501" s="23" t="e">
        <f ca="1">VLOOKUP(Tabela4[[#This Row],[Cabo]],BD!A:AB,28,0)</f>
        <v>#N/A</v>
      </c>
    </row>
    <row r="502" spans="3:26" x14ac:dyDescent="0.25">
      <c r="C502" s="391" t="str">
        <f ca="1">IF($B$1="Geral",Tabela1[[#This Row],[Tag do Cabo]],IFERROR(INDEX(INDIRECT("BD!$A"&amp;D502&amp;":$A100000"),E502,1),""))</f>
        <v/>
      </c>
      <c r="D502" s="391" t="str">
        <f t="shared" ca="1" si="20"/>
        <v/>
      </c>
      <c r="E502" s="391" t="str">
        <f t="shared" ca="1" si="21"/>
        <v/>
      </c>
      <c r="F502" s="23" t="str">
        <f ca="1">IFERROR(VLOOKUP(Tabela4[[#This Row],[Cabo]],BD!A:V,2,0),"")</f>
        <v/>
      </c>
      <c r="G502" s="391" t="str">
        <f ca="1">IFERROR(VLOOKUP(Tabela4[[#This Row],[Cabo]],BD!A:V,5,0),"")</f>
        <v/>
      </c>
      <c r="H502" s="23" t="str">
        <f ca="1">IFERROR(VLOOKUP(Tabela4[[#This Row],[Cabo]],BD!A:V,3,0),"")</f>
        <v/>
      </c>
      <c r="I502" s="23" t="str">
        <f ca="1">IFERROR(VLOOKUP(Tabela4[[#This Row],[Cabo]],BD!A:V,4,0),"")</f>
        <v/>
      </c>
      <c r="J502" s="23" t="str">
        <f ca="1">IFERROR(VLOOKUP(Tabela4[[#This Row],[Cabo]],BD!A:V,7,0),"")</f>
        <v/>
      </c>
      <c r="K50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2" s="23" t="str">
        <f ca="1">IFERROR(VLOOKUP(Tabela4[[#This Row],[Cabo]],BD!A:V,9,0),"")</f>
        <v/>
      </c>
      <c r="M502" s="23" t="str">
        <f ca="1">IFERROR(VLOOKUP(Tabela4[[#This Row],[Cabo]],BD!A:AD,30,0),"")</f>
        <v/>
      </c>
      <c r="N502" s="23" t="str">
        <f ca="1">IF(SUMIF('Lançamento de Cabos'!B:B,Tabela4[[#This Row],[Cabo]],'Lançamento de Cabos'!C:C)=0,"",SUMIF('Lançamento de Cabos'!B:B,Tabela4[[#This Row],[Cabo]],'Lançamento de Cabos'!C:C))</f>
        <v/>
      </c>
      <c r="O502" s="28" t="str">
        <f ca="1">IFERROR(IF(Tabela4[[#This Row],[Compr. Lançado]]/Tabela4[[#This Row],[Compr. Prev.]]&gt;1,1,Tabela4[[#This Row],[Compr. Lançado]]/Tabela4[[#This Row],[Compr. Prev.]]),"")</f>
        <v/>
      </c>
      <c r="P502" s="24" t="str">
        <f ca="1">IFERROR(VLOOKUP(Tabela4[[#This Row],[Cabo]],BD!A:V,11,0),"")</f>
        <v/>
      </c>
      <c r="Q502" s="24" t="str">
        <f ca="1">IFERROR(VLOOKUP(Tabela4[[#This Row],[Cabo]],BD!A:V,12,0),"")</f>
        <v/>
      </c>
      <c r="R50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2" s="23" t="str">
        <f ca="1">IF(Tabela4[[#This Row],[Cabo]]&lt;&gt;"",4-COUNTIF(Tabela4[[#This Row],[Teste de Continuidade]:[Hipot]],"---"),"")</f>
        <v/>
      </c>
      <c r="W502" s="29" t="str">
        <f ca="1">IF(Tabela4[[#This Row],[Cabo]]&lt;&gt;"",(COUNTIF(Tabela4[[#This Row],[Teste de Continuidade]:[Hipot]],"OK"))/(4-COUNTIF(Tabela4[[#This Row],[Teste de Continuidade]:[Hipot]],"---")),"")</f>
        <v/>
      </c>
      <c r="X502" s="23" t="str">
        <f ca="1">IF(Tabela4[[#This Row],[Cabo]]&lt;&gt;"",SUMIFS('Lançamento de Cabos'!$AF:$AF,'Lançamento de Cabos'!AE:AE,Tabela4[[#This Row],[Cabo]],'Lançamento de Cabos'!AJ:AJ,Área!$B$1),"")</f>
        <v/>
      </c>
      <c r="Y502" s="23" t="str">
        <f ca="1">IF(Tabela4[[#This Row],[Cabo]]&lt;&gt;"",SUMIFS('Lançamento de Cabos'!$AG:$AG,'Lançamento de Cabos'!AE:AE,Tabela4[[#This Row],[Cabo]],'Lançamento de Cabos'!AJ:AJ,Área!$B$1),"")</f>
        <v/>
      </c>
      <c r="Z502" s="23" t="e">
        <f ca="1">VLOOKUP(Tabela4[[#This Row],[Cabo]],BD!A:AB,28,0)</f>
        <v>#N/A</v>
      </c>
    </row>
    <row r="503" spans="3:26" x14ac:dyDescent="0.25">
      <c r="C503" s="391" t="str">
        <f ca="1">IF($B$1="Geral",Tabela1[[#This Row],[Tag do Cabo]],IFERROR(INDEX(INDIRECT("BD!$A"&amp;D503&amp;":$A100000"),E503,1),""))</f>
        <v/>
      </c>
      <c r="D503" s="391" t="str">
        <f t="shared" ca="1" si="20"/>
        <v/>
      </c>
      <c r="E503" s="391" t="str">
        <f t="shared" ca="1" si="21"/>
        <v/>
      </c>
      <c r="F503" s="23" t="str">
        <f ca="1">IFERROR(VLOOKUP(Tabela4[[#This Row],[Cabo]],BD!A:V,2,0),"")</f>
        <v/>
      </c>
      <c r="G503" s="391" t="str">
        <f ca="1">IFERROR(VLOOKUP(Tabela4[[#This Row],[Cabo]],BD!A:V,5,0),"")</f>
        <v/>
      </c>
      <c r="H503" s="23" t="str">
        <f ca="1">IFERROR(VLOOKUP(Tabela4[[#This Row],[Cabo]],BD!A:V,3,0),"")</f>
        <v/>
      </c>
      <c r="I503" s="23" t="str">
        <f ca="1">IFERROR(VLOOKUP(Tabela4[[#This Row],[Cabo]],BD!A:V,4,0),"")</f>
        <v/>
      </c>
      <c r="J503" s="23" t="str">
        <f ca="1">IFERROR(VLOOKUP(Tabela4[[#This Row],[Cabo]],BD!A:V,7,0),"")</f>
        <v/>
      </c>
      <c r="K50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3" s="23" t="str">
        <f ca="1">IFERROR(VLOOKUP(Tabela4[[#This Row],[Cabo]],BD!A:V,9,0),"")</f>
        <v/>
      </c>
      <c r="M503" s="23" t="str">
        <f ca="1">IFERROR(VLOOKUP(Tabela4[[#This Row],[Cabo]],BD!A:AD,30,0),"")</f>
        <v/>
      </c>
      <c r="N503" s="23" t="str">
        <f ca="1">IF(SUMIF('Lançamento de Cabos'!B:B,Tabela4[[#This Row],[Cabo]],'Lançamento de Cabos'!C:C)=0,"",SUMIF('Lançamento de Cabos'!B:B,Tabela4[[#This Row],[Cabo]],'Lançamento de Cabos'!C:C))</f>
        <v/>
      </c>
      <c r="O503" s="28" t="str">
        <f ca="1">IFERROR(IF(Tabela4[[#This Row],[Compr. Lançado]]/Tabela4[[#This Row],[Compr. Prev.]]&gt;1,1,Tabela4[[#This Row],[Compr. Lançado]]/Tabela4[[#This Row],[Compr. Prev.]]),"")</f>
        <v/>
      </c>
      <c r="P503" s="24" t="str">
        <f ca="1">IFERROR(VLOOKUP(Tabela4[[#This Row],[Cabo]],BD!A:V,11,0),"")</f>
        <v/>
      </c>
      <c r="Q503" s="24" t="str">
        <f ca="1">IFERROR(VLOOKUP(Tabela4[[#This Row],[Cabo]],BD!A:V,12,0),"")</f>
        <v/>
      </c>
      <c r="R50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3" s="23" t="str">
        <f ca="1">IF(Tabela4[[#This Row],[Cabo]]&lt;&gt;"",4-COUNTIF(Tabela4[[#This Row],[Teste de Continuidade]:[Hipot]],"---"),"")</f>
        <v/>
      </c>
      <c r="W503" s="29" t="str">
        <f ca="1">IF(Tabela4[[#This Row],[Cabo]]&lt;&gt;"",(COUNTIF(Tabela4[[#This Row],[Teste de Continuidade]:[Hipot]],"OK"))/(4-COUNTIF(Tabela4[[#This Row],[Teste de Continuidade]:[Hipot]],"---")),"")</f>
        <v/>
      </c>
      <c r="X503" s="23" t="str">
        <f ca="1">IF(Tabela4[[#This Row],[Cabo]]&lt;&gt;"",SUMIFS('Lançamento de Cabos'!$AF:$AF,'Lançamento de Cabos'!AE:AE,Tabela4[[#This Row],[Cabo]],'Lançamento de Cabos'!AJ:AJ,Área!$B$1),"")</f>
        <v/>
      </c>
      <c r="Y503" s="23" t="str">
        <f ca="1">IF(Tabela4[[#This Row],[Cabo]]&lt;&gt;"",SUMIFS('Lançamento de Cabos'!$AG:$AG,'Lançamento de Cabos'!AE:AE,Tabela4[[#This Row],[Cabo]],'Lançamento de Cabos'!AJ:AJ,Área!$B$1),"")</f>
        <v/>
      </c>
      <c r="Z503" s="23" t="e">
        <f ca="1">VLOOKUP(Tabela4[[#This Row],[Cabo]],BD!A:AB,28,0)</f>
        <v>#N/A</v>
      </c>
    </row>
    <row r="504" spans="3:26" x14ac:dyDescent="0.25">
      <c r="C504" s="391" t="str">
        <f ca="1">IF($B$1="Geral",Tabela1[[#This Row],[Tag do Cabo]],IFERROR(INDEX(INDIRECT("BD!$A"&amp;D504&amp;":$A100000"),E504,1),""))</f>
        <v/>
      </c>
      <c r="D504" s="391" t="str">
        <f t="shared" ca="1" si="20"/>
        <v/>
      </c>
      <c r="E504" s="391" t="str">
        <f t="shared" ca="1" si="21"/>
        <v/>
      </c>
      <c r="F504" s="23" t="str">
        <f ca="1">IFERROR(VLOOKUP(Tabela4[[#This Row],[Cabo]],BD!A:V,2,0),"")</f>
        <v/>
      </c>
      <c r="G504" s="391" t="str">
        <f ca="1">IFERROR(VLOOKUP(Tabela4[[#This Row],[Cabo]],BD!A:V,5,0),"")</f>
        <v/>
      </c>
      <c r="H504" s="23" t="str">
        <f ca="1">IFERROR(VLOOKUP(Tabela4[[#This Row],[Cabo]],BD!A:V,3,0),"")</f>
        <v/>
      </c>
      <c r="I504" s="23" t="str">
        <f ca="1">IFERROR(VLOOKUP(Tabela4[[#This Row],[Cabo]],BD!A:V,4,0),"")</f>
        <v/>
      </c>
      <c r="J504" s="23" t="str">
        <f ca="1">IFERROR(VLOOKUP(Tabela4[[#This Row],[Cabo]],BD!A:V,7,0),"")</f>
        <v/>
      </c>
      <c r="K50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4" s="23" t="str">
        <f ca="1">IFERROR(VLOOKUP(Tabela4[[#This Row],[Cabo]],BD!A:V,9,0),"")</f>
        <v/>
      </c>
      <c r="M504" s="23" t="str">
        <f ca="1">IFERROR(VLOOKUP(Tabela4[[#This Row],[Cabo]],BD!A:AD,30,0),"")</f>
        <v/>
      </c>
      <c r="N504" s="23" t="str">
        <f ca="1">IF(SUMIF('Lançamento de Cabos'!B:B,Tabela4[[#This Row],[Cabo]],'Lançamento de Cabos'!C:C)=0,"",SUMIF('Lançamento de Cabos'!B:B,Tabela4[[#This Row],[Cabo]],'Lançamento de Cabos'!C:C))</f>
        <v/>
      </c>
      <c r="O504" s="28" t="str">
        <f ca="1">IFERROR(IF(Tabela4[[#This Row],[Compr. Lançado]]/Tabela4[[#This Row],[Compr. Prev.]]&gt;1,1,Tabela4[[#This Row],[Compr. Lançado]]/Tabela4[[#This Row],[Compr. Prev.]]),"")</f>
        <v/>
      </c>
      <c r="P504" s="24" t="str">
        <f ca="1">IFERROR(VLOOKUP(Tabela4[[#This Row],[Cabo]],BD!A:V,11,0),"")</f>
        <v/>
      </c>
      <c r="Q504" s="24" t="str">
        <f ca="1">IFERROR(VLOOKUP(Tabela4[[#This Row],[Cabo]],BD!A:V,12,0),"")</f>
        <v/>
      </c>
      <c r="R50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4" s="23" t="str">
        <f ca="1">IF(Tabela4[[#This Row],[Cabo]]&lt;&gt;"",4-COUNTIF(Tabela4[[#This Row],[Teste de Continuidade]:[Hipot]],"---"),"")</f>
        <v/>
      </c>
      <c r="W504" s="29" t="str">
        <f ca="1">IF(Tabela4[[#This Row],[Cabo]]&lt;&gt;"",(COUNTIF(Tabela4[[#This Row],[Teste de Continuidade]:[Hipot]],"OK"))/(4-COUNTIF(Tabela4[[#This Row],[Teste de Continuidade]:[Hipot]],"---")),"")</f>
        <v/>
      </c>
      <c r="X504" s="23" t="str">
        <f ca="1">IF(Tabela4[[#This Row],[Cabo]]&lt;&gt;"",SUMIFS('Lançamento de Cabos'!$AF:$AF,'Lançamento de Cabos'!AE:AE,Tabela4[[#This Row],[Cabo]],'Lançamento de Cabos'!AJ:AJ,Área!$B$1),"")</f>
        <v/>
      </c>
      <c r="Y504" s="23" t="str">
        <f ca="1">IF(Tabela4[[#This Row],[Cabo]]&lt;&gt;"",SUMIFS('Lançamento de Cabos'!$AG:$AG,'Lançamento de Cabos'!AE:AE,Tabela4[[#This Row],[Cabo]],'Lançamento de Cabos'!AJ:AJ,Área!$B$1),"")</f>
        <v/>
      </c>
      <c r="Z504" s="23" t="e">
        <f ca="1">VLOOKUP(Tabela4[[#This Row],[Cabo]],BD!A:AB,28,0)</f>
        <v>#N/A</v>
      </c>
    </row>
    <row r="505" spans="3:26" x14ac:dyDescent="0.25">
      <c r="C505" s="391" t="str">
        <f ca="1">IF($B$1="Geral",Tabela1[[#This Row],[Tag do Cabo]],IFERROR(INDEX(INDIRECT("BD!$A"&amp;D505&amp;":$A100000"),E505,1),""))</f>
        <v/>
      </c>
      <c r="D505" s="391" t="str">
        <f t="shared" ca="1" si="20"/>
        <v/>
      </c>
      <c r="E505" s="391" t="str">
        <f t="shared" ca="1" si="21"/>
        <v/>
      </c>
      <c r="F505" s="23" t="str">
        <f ca="1">IFERROR(VLOOKUP(Tabela4[[#This Row],[Cabo]],BD!A:V,2,0),"")</f>
        <v/>
      </c>
      <c r="G505" s="391" t="str">
        <f ca="1">IFERROR(VLOOKUP(Tabela4[[#This Row],[Cabo]],BD!A:V,5,0),"")</f>
        <v/>
      </c>
      <c r="H505" s="23" t="str">
        <f ca="1">IFERROR(VLOOKUP(Tabela4[[#This Row],[Cabo]],BD!A:V,3,0),"")</f>
        <v/>
      </c>
      <c r="I505" s="23" t="str">
        <f ca="1">IFERROR(VLOOKUP(Tabela4[[#This Row],[Cabo]],BD!A:V,4,0),"")</f>
        <v/>
      </c>
      <c r="J505" s="23" t="str">
        <f ca="1">IFERROR(VLOOKUP(Tabela4[[#This Row],[Cabo]],BD!A:V,7,0),"")</f>
        <v/>
      </c>
      <c r="K50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5" s="23" t="str">
        <f ca="1">IFERROR(VLOOKUP(Tabela4[[#This Row],[Cabo]],BD!A:V,9,0),"")</f>
        <v/>
      </c>
      <c r="M505" s="23" t="str">
        <f ca="1">IFERROR(VLOOKUP(Tabela4[[#This Row],[Cabo]],BD!A:AD,30,0),"")</f>
        <v/>
      </c>
      <c r="N505" s="23" t="str">
        <f ca="1">IF(SUMIF('Lançamento de Cabos'!B:B,Tabela4[[#This Row],[Cabo]],'Lançamento de Cabos'!C:C)=0,"",SUMIF('Lançamento de Cabos'!B:B,Tabela4[[#This Row],[Cabo]],'Lançamento de Cabos'!C:C))</f>
        <v/>
      </c>
      <c r="O505" s="28" t="str">
        <f ca="1">IFERROR(IF(Tabela4[[#This Row],[Compr. Lançado]]/Tabela4[[#This Row],[Compr. Prev.]]&gt;1,1,Tabela4[[#This Row],[Compr. Lançado]]/Tabela4[[#This Row],[Compr. Prev.]]),"")</f>
        <v/>
      </c>
      <c r="P505" s="24" t="str">
        <f ca="1">IFERROR(VLOOKUP(Tabela4[[#This Row],[Cabo]],BD!A:V,11,0),"")</f>
        <v/>
      </c>
      <c r="Q505" s="24" t="str">
        <f ca="1">IFERROR(VLOOKUP(Tabela4[[#This Row],[Cabo]],BD!A:V,12,0),"")</f>
        <v/>
      </c>
      <c r="R50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5" s="23" t="str">
        <f ca="1">IF(Tabela4[[#This Row],[Cabo]]&lt;&gt;"",4-COUNTIF(Tabela4[[#This Row],[Teste de Continuidade]:[Hipot]],"---"),"")</f>
        <v/>
      </c>
      <c r="W505" s="29" t="str">
        <f ca="1">IF(Tabela4[[#This Row],[Cabo]]&lt;&gt;"",(COUNTIF(Tabela4[[#This Row],[Teste de Continuidade]:[Hipot]],"OK"))/(4-COUNTIF(Tabela4[[#This Row],[Teste de Continuidade]:[Hipot]],"---")),"")</f>
        <v/>
      </c>
      <c r="X505" s="23" t="str">
        <f ca="1">IF(Tabela4[[#This Row],[Cabo]]&lt;&gt;"",SUMIFS('Lançamento de Cabos'!$AF:$AF,'Lançamento de Cabos'!AE:AE,Tabela4[[#This Row],[Cabo]],'Lançamento de Cabos'!AJ:AJ,Área!$B$1),"")</f>
        <v/>
      </c>
      <c r="Y505" s="23" t="str">
        <f ca="1">IF(Tabela4[[#This Row],[Cabo]]&lt;&gt;"",SUMIFS('Lançamento de Cabos'!$AG:$AG,'Lançamento de Cabos'!AE:AE,Tabela4[[#This Row],[Cabo]],'Lançamento de Cabos'!AJ:AJ,Área!$B$1),"")</f>
        <v/>
      </c>
      <c r="Z505" s="23" t="e">
        <f ca="1">VLOOKUP(Tabela4[[#This Row],[Cabo]],BD!A:AB,28,0)</f>
        <v>#N/A</v>
      </c>
    </row>
    <row r="506" spans="3:26" x14ac:dyDescent="0.25">
      <c r="C506" s="391" t="str">
        <f ca="1">IF($B$1="Geral",Tabela1[[#This Row],[Tag do Cabo]],IFERROR(INDEX(INDIRECT("BD!$A"&amp;D506&amp;":$A100000"),E506,1),""))</f>
        <v/>
      </c>
      <c r="D506" s="391" t="str">
        <f t="shared" ca="1" si="20"/>
        <v/>
      </c>
      <c r="E506" s="391" t="str">
        <f t="shared" ca="1" si="21"/>
        <v/>
      </c>
      <c r="F506" s="23" t="str">
        <f ca="1">IFERROR(VLOOKUP(Tabela4[[#This Row],[Cabo]],BD!A:V,2,0),"")</f>
        <v/>
      </c>
      <c r="G506" s="391" t="str">
        <f ca="1">IFERROR(VLOOKUP(Tabela4[[#This Row],[Cabo]],BD!A:V,5,0),"")</f>
        <v/>
      </c>
      <c r="H506" s="23" t="str">
        <f ca="1">IFERROR(VLOOKUP(Tabela4[[#This Row],[Cabo]],BD!A:V,3,0),"")</f>
        <v/>
      </c>
      <c r="I506" s="23" t="str">
        <f ca="1">IFERROR(VLOOKUP(Tabela4[[#This Row],[Cabo]],BD!A:V,4,0),"")</f>
        <v/>
      </c>
      <c r="J506" s="23" t="str">
        <f ca="1">IFERROR(VLOOKUP(Tabela4[[#This Row],[Cabo]],BD!A:V,7,0),"")</f>
        <v/>
      </c>
      <c r="K50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6" s="23" t="str">
        <f ca="1">IFERROR(VLOOKUP(Tabela4[[#This Row],[Cabo]],BD!A:V,9,0),"")</f>
        <v/>
      </c>
      <c r="M506" s="23" t="str">
        <f ca="1">IFERROR(VLOOKUP(Tabela4[[#This Row],[Cabo]],BD!A:AD,30,0),"")</f>
        <v/>
      </c>
      <c r="N506" s="23" t="str">
        <f ca="1">IF(SUMIF('Lançamento de Cabos'!B:B,Tabela4[[#This Row],[Cabo]],'Lançamento de Cabos'!C:C)=0,"",SUMIF('Lançamento de Cabos'!B:B,Tabela4[[#This Row],[Cabo]],'Lançamento de Cabos'!C:C))</f>
        <v/>
      </c>
      <c r="O506" s="28" t="str">
        <f ca="1">IFERROR(IF(Tabela4[[#This Row],[Compr. Lançado]]/Tabela4[[#This Row],[Compr. Prev.]]&gt;1,1,Tabela4[[#This Row],[Compr. Lançado]]/Tabela4[[#This Row],[Compr. Prev.]]),"")</f>
        <v/>
      </c>
      <c r="P506" s="24" t="str">
        <f ca="1">IFERROR(VLOOKUP(Tabela4[[#This Row],[Cabo]],BD!A:V,11,0),"")</f>
        <v/>
      </c>
      <c r="Q506" s="24" t="str">
        <f ca="1">IFERROR(VLOOKUP(Tabela4[[#This Row],[Cabo]],BD!A:V,12,0),"")</f>
        <v/>
      </c>
      <c r="R50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6" s="23" t="str">
        <f ca="1">IF(Tabela4[[#This Row],[Cabo]]&lt;&gt;"",4-COUNTIF(Tabela4[[#This Row],[Teste de Continuidade]:[Hipot]],"---"),"")</f>
        <v/>
      </c>
      <c r="W506" s="29" t="str">
        <f ca="1">IF(Tabela4[[#This Row],[Cabo]]&lt;&gt;"",(COUNTIF(Tabela4[[#This Row],[Teste de Continuidade]:[Hipot]],"OK"))/(4-COUNTIF(Tabela4[[#This Row],[Teste de Continuidade]:[Hipot]],"---")),"")</f>
        <v/>
      </c>
      <c r="X506" s="23" t="str">
        <f ca="1">IF(Tabela4[[#This Row],[Cabo]]&lt;&gt;"",SUMIFS('Lançamento de Cabos'!$AF:$AF,'Lançamento de Cabos'!AE:AE,Tabela4[[#This Row],[Cabo]],'Lançamento de Cabos'!AJ:AJ,Área!$B$1),"")</f>
        <v/>
      </c>
      <c r="Y506" s="23" t="str">
        <f ca="1">IF(Tabela4[[#This Row],[Cabo]]&lt;&gt;"",SUMIFS('Lançamento de Cabos'!$AG:$AG,'Lançamento de Cabos'!AE:AE,Tabela4[[#This Row],[Cabo]],'Lançamento de Cabos'!AJ:AJ,Área!$B$1),"")</f>
        <v/>
      </c>
      <c r="Z506" s="23" t="e">
        <f ca="1">VLOOKUP(Tabela4[[#This Row],[Cabo]],BD!A:AB,28,0)</f>
        <v>#N/A</v>
      </c>
    </row>
    <row r="507" spans="3:26" x14ac:dyDescent="0.25">
      <c r="C507" s="391" t="str">
        <f ca="1">IF($B$1="Geral",Tabela1[[#This Row],[Tag do Cabo]],IFERROR(INDEX(INDIRECT("BD!$A"&amp;D507&amp;":$A100000"),E507,1),""))</f>
        <v/>
      </c>
      <c r="D507" s="391" t="str">
        <f t="shared" ca="1" si="20"/>
        <v/>
      </c>
      <c r="E507" s="391" t="str">
        <f t="shared" ca="1" si="21"/>
        <v/>
      </c>
      <c r="F507" s="23" t="str">
        <f ca="1">IFERROR(VLOOKUP(Tabela4[[#This Row],[Cabo]],BD!A:V,2,0),"")</f>
        <v/>
      </c>
      <c r="G507" s="391" t="str">
        <f ca="1">IFERROR(VLOOKUP(Tabela4[[#This Row],[Cabo]],BD!A:V,5,0),"")</f>
        <v/>
      </c>
      <c r="H507" s="23" t="str">
        <f ca="1">IFERROR(VLOOKUP(Tabela4[[#This Row],[Cabo]],BD!A:V,3,0),"")</f>
        <v/>
      </c>
      <c r="I507" s="23" t="str">
        <f ca="1">IFERROR(VLOOKUP(Tabela4[[#This Row],[Cabo]],BD!A:V,4,0),"")</f>
        <v/>
      </c>
      <c r="J507" s="23" t="str">
        <f ca="1">IFERROR(VLOOKUP(Tabela4[[#This Row],[Cabo]],BD!A:V,7,0),"")</f>
        <v/>
      </c>
      <c r="K50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7" s="23" t="str">
        <f ca="1">IFERROR(VLOOKUP(Tabela4[[#This Row],[Cabo]],BD!A:V,9,0),"")</f>
        <v/>
      </c>
      <c r="M507" s="23" t="str">
        <f ca="1">IFERROR(VLOOKUP(Tabela4[[#This Row],[Cabo]],BD!A:AD,30,0),"")</f>
        <v/>
      </c>
      <c r="N507" s="23" t="str">
        <f ca="1">IF(SUMIF('Lançamento de Cabos'!B:B,Tabela4[[#This Row],[Cabo]],'Lançamento de Cabos'!C:C)=0,"",SUMIF('Lançamento de Cabos'!B:B,Tabela4[[#This Row],[Cabo]],'Lançamento de Cabos'!C:C))</f>
        <v/>
      </c>
      <c r="O507" s="28" t="str">
        <f ca="1">IFERROR(IF(Tabela4[[#This Row],[Compr. Lançado]]/Tabela4[[#This Row],[Compr. Prev.]]&gt;1,1,Tabela4[[#This Row],[Compr. Lançado]]/Tabela4[[#This Row],[Compr. Prev.]]),"")</f>
        <v/>
      </c>
      <c r="P507" s="24" t="str">
        <f ca="1">IFERROR(VLOOKUP(Tabela4[[#This Row],[Cabo]],BD!A:V,11,0),"")</f>
        <v/>
      </c>
      <c r="Q507" s="24" t="str">
        <f ca="1">IFERROR(VLOOKUP(Tabela4[[#This Row],[Cabo]],BD!A:V,12,0),"")</f>
        <v/>
      </c>
      <c r="R50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7" s="23" t="str">
        <f ca="1">IF(Tabela4[[#This Row],[Cabo]]&lt;&gt;"",4-COUNTIF(Tabela4[[#This Row],[Teste de Continuidade]:[Hipot]],"---"),"")</f>
        <v/>
      </c>
      <c r="W507" s="29" t="str">
        <f ca="1">IF(Tabela4[[#This Row],[Cabo]]&lt;&gt;"",(COUNTIF(Tabela4[[#This Row],[Teste de Continuidade]:[Hipot]],"OK"))/(4-COUNTIF(Tabela4[[#This Row],[Teste de Continuidade]:[Hipot]],"---")),"")</f>
        <v/>
      </c>
      <c r="X507" s="23" t="str">
        <f ca="1">IF(Tabela4[[#This Row],[Cabo]]&lt;&gt;"",SUMIFS('Lançamento de Cabos'!$AF:$AF,'Lançamento de Cabos'!AE:AE,Tabela4[[#This Row],[Cabo]],'Lançamento de Cabos'!AJ:AJ,Área!$B$1),"")</f>
        <v/>
      </c>
      <c r="Y507" s="23" t="str">
        <f ca="1">IF(Tabela4[[#This Row],[Cabo]]&lt;&gt;"",SUMIFS('Lançamento de Cabos'!$AG:$AG,'Lançamento de Cabos'!AE:AE,Tabela4[[#This Row],[Cabo]],'Lançamento de Cabos'!AJ:AJ,Área!$B$1),"")</f>
        <v/>
      </c>
      <c r="Z507" s="23" t="e">
        <f ca="1">VLOOKUP(Tabela4[[#This Row],[Cabo]],BD!A:AB,28,0)</f>
        <v>#N/A</v>
      </c>
    </row>
    <row r="508" spans="3:26" x14ac:dyDescent="0.25">
      <c r="C508" s="391" t="str">
        <f ca="1">IF($B$1="Geral",Tabela1[[#This Row],[Tag do Cabo]],IFERROR(INDEX(INDIRECT("BD!$A"&amp;D508&amp;":$A100000"),E508,1),""))</f>
        <v/>
      </c>
      <c r="D508" s="391" t="str">
        <f t="shared" ca="1" si="20"/>
        <v/>
      </c>
      <c r="E508" s="391" t="str">
        <f t="shared" ca="1" si="21"/>
        <v/>
      </c>
      <c r="F508" s="23" t="str">
        <f ca="1">IFERROR(VLOOKUP(Tabela4[[#This Row],[Cabo]],BD!A:V,2,0),"")</f>
        <v/>
      </c>
      <c r="G508" s="391" t="str">
        <f ca="1">IFERROR(VLOOKUP(Tabela4[[#This Row],[Cabo]],BD!A:V,5,0),"")</f>
        <v/>
      </c>
      <c r="H508" s="23" t="str">
        <f ca="1">IFERROR(VLOOKUP(Tabela4[[#This Row],[Cabo]],BD!A:V,3,0),"")</f>
        <v/>
      </c>
      <c r="I508" s="23" t="str">
        <f ca="1">IFERROR(VLOOKUP(Tabela4[[#This Row],[Cabo]],BD!A:V,4,0),"")</f>
        <v/>
      </c>
      <c r="J508" s="23" t="str">
        <f ca="1">IFERROR(VLOOKUP(Tabela4[[#This Row],[Cabo]],BD!A:V,7,0),"")</f>
        <v/>
      </c>
      <c r="K50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8" s="23" t="str">
        <f ca="1">IFERROR(VLOOKUP(Tabela4[[#This Row],[Cabo]],BD!A:V,9,0),"")</f>
        <v/>
      </c>
      <c r="M508" s="23" t="str">
        <f ca="1">IFERROR(VLOOKUP(Tabela4[[#This Row],[Cabo]],BD!A:AD,30,0),"")</f>
        <v/>
      </c>
      <c r="N508" s="23" t="str">
        <f ca="1">IF(SUMIF('Lançamento de Cabos'!B:B,Tabela4[[#This Row],[Cabo]],'Lançamento de Cabos'!C:C)=0,"",SUMIF('Lançamento de Cabos'!B:B,Tabela4[[#This Row],[Cabo]],'Lançamento de Cabos'!C:C))</f>
        <v/>
      </c>
      <c r="O508" s="28" t="str">
        <f ca="1">IFERROR(IF(Tabela4[[#This Row],[Compr. Lançado]]/Tabela4[[#This Row],[Compr. Prev.]]&gt;1,1,Tabela4[[#This Row],[Compr. Lançado]]/Tabela4[[#This Row],[Compr. Prev.]]),"")</f>
        <v/>
      </c>
      <c r="P508" s="24" t="str">
        <f ca="1">IFERROR(VLOOKUP(Tabela4[[#This Row],[Cabo]],BD!A:V,11,0),"")</f>
        <v/>
      </c>
      <c r="Q508" s="24" t="str">
        <f ca="1">IFERROR(VLOOKUP(Tabela4[[#This Row],[Cabo]],BD!A:V,12,0),"")</f>
        <v/>
      </c>
      <c r="R50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8" s="23" t="str">
        <f ca="1">IF(Tabela4[[#This Row],[Cabo]]&lt;&gt;"",4-COUNTIF(Tabela4[[#This Row],[Teste de Continuidade]:[Hipot]],"---"),"")</f>
        <v/>
      </c>
      <c r="W508" s="29" t="str">
        <f ca="1">IF(Tabela4[[#This Row],[Cabo]]&lt;&gt;"",(COUNTIF(Tabela4[[#This Row],[Teste de Continuidade]:[Hipot]],"OK"))/(4-COUNTIF(Tabela4[[#This Row],[Teste de Continuidade]:[Hipot]],"---")),"")</f>
        <v/>
      </c>
      <c r="X508" s="23" t="str">
        <f ca="1">IF(Tabela4[[#This Row],[Cabo]]&lt;&gt;"",SUMIFS('Lançamento de Cabos'!$AF:$AF,'Lançamento de Cabos'!AE:AE,Tabela4[[#This Row],[Cabo]],'Lançamento de Cabos'!AJ:AJ,Área!$B$1),"")</f>
        <v/>
      </c>
      <c r="Y508" s="23" t="str">
        <f ca="1">IF(Tabela4[[#This Row],[Cabo]]&lt;&gt;"",SUMIFS('Lançamento de Cabos'!$AG:$AG,'Lançamento de Cabos'!AE:AE,Tabela4[[#This Row],[Cabo]],'Lançamento de Cabos'!AJ:AJ,Área!$B$1),"")</f>
        <v/>
      </c>
      <c r="Z508" s="23" t="e">
        <f ca="1">VLOOKUP(Tabela4[[#This Row],[Cabo]],BD!A:AB,28,0)</f>
        <v>#N/A</v>
      </c>
    </row>
    <row r="509" spans="3:26" x14ac:dyDescent="0.25">
      <c r="C509" s="391" t="str">
        <f ca="1">IF($B$1="Geral",Tabela1[[#This Row],[Tag do Cabo]],IFERROR(INDEX(INDIRECT("BD!$A"&amp;D509&amp;":$A100000"),E509,1),""))</f>
        <v/>
      </c>
      <c r="D509" s="391" t="str">
        <f t="shared" ca="1" si="20"/>
        <v/>
      </c>
      <c r="E509" s="391" t="str">
        <f t="shared" ca="1" si="21"/>
        <v/>
      </c>
      <c r="F509" s="23" t="str">
        <f ca="1">IFERROR(VLOOKUP(Tabela4[[#This Row],[Cabo]],BD!A:V,2,0),"")</f>
        <v/>
      </c>
      <c r="G509" s="391" t="str">
        <f ca="1">IFERROR(VLOOKUP(Tabela4[[#This Row],[Cabo]],BD!A:V,5,0),"")</f>
        <v/>
      </c>
      <c r="H509" s="23" t="str">
        <f ca="1">IFERROR(VLOOKUP(Tabela4[[#This Row],[Cabo]],BD!A:V,3,0),"")</f>
        <v/>
      </c>
      <c r="I509" s="23" t="str">
        <f ca="1">IFERROR(VLOOKUP(Tabela4[[#This Row],[Cabo]],BD!A:V,4,0),"")</f>
        <v/>
      </c>
      <c r="J509" s="23" t="str">
        <f ca="1">IFERROR(VLOOKUP(Tabela4[[#This Row],[Cabo]],BD!A:V,7,0),"")</f>
        <v/>
      </c>
      <c r="K50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09" s="23" t="str">
        <f ca="1">IFERROR(VLOOKUP(Tabela4[[#This Row],[Cabo]],BD!A:V,9,0),"")</f>
        <v/>
      </c>
      <c r="M509" s="23" t="str">
        <f ca="1">IFERROR(VLOOKUP(Tabela4[[#This Row],[Cabo]],BD!A:AD,30,0),"")</f>
        <v/>
      </c>
      <c r="N509" s="23" t="str">
        <f ca="1">IF(SUMIF('Lançamento de Cabos'!B:B,Tabela4[[#This Row],[Cabo]],'Lançamento de Cabos'!C:C)=0,"",SUMIF('Lançamento de Cabos'!B:B,Tabela4[[#This Row],[Cabo]],'Lançamento de Cabos'!C:C))</f>
        <v/>
      </c>
      <c r="O509" s="28" t="str">
        <f ca="1">IFERROR(IF(Tabela4[[#This Row],[Compr. Lançado]]/Tabela4[[#This Row],[Compr. Prev.]]&gt;1,1,Tabela4[[#This Row],[Compr. Lançado]]/Tabela4[[#This Row],[Compr. Prev.]]),"")</f>
        <v/>
      </c>
      <c r="P509" s="24" t="str">
        <f ca="1">IFERROR(VLOOKUP(Tabela4[[#This Row],[Cabo]],BD!A:V,11,0),"")</f>
        <v/>
      </c>
      <c r="Q509" s="24" t="str">
        <f ca="1">IFERROR(VLOOKUP(Tabela4[[#This Row],[Cabo]],BD!A:V,12,0),"")</f>
        <v/>
      </c>
      <c r="R50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0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0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0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09" s="23" t="str">
        <f ca="1">IF(Tabela4[[#This Row],[Cabo]]&lt;&gt;"",4-COUNTIF(Tabela4[[#This Row],[Teste de Continuidade]:[Hipot]],"---"),"")</f>
        <v/>
      </c>
      <c r="W509" s="29" t="str">
        <f ca="1">IF(Tabela4[[#This Row],[Cabo]]&lt;&gt;"",(COUNTIF(Tabela4[[#This Row],[Teste de Continuidade]:[Hipot]],"OK"))/(4-COUNTIF(Tabela4[[#This Row],[Teste de Continuidade]:[Hipot]],"---")),"")</f>
        <v/>
      </c>
      <c r="X509" s="23" t="str">
        <f ca="1">IF(Tabela4[[#This Row],[Cabo]]&lt;&gt;"",SUMIFS('Lançamento de Cabos'!$AF:$AF,'Lançamento de Cabos'!AE:AE,Tabela4[[#This Row],[Cabo]],'Lançamento de Cabos'!AJ:AJ,Área!$B$1),"")</f>
        <v/>
      </c>
      <c r="Y509" s="23" t="str">
        <f ca="1">IF(Tabela4[[#This Row],[Cabo]]&lt;&gt;"",SUMIFS('Lançamento de Cabos'!$AG:$AG,'Lançamento de Cabos'!AE:AE,Tabela4[[#This Row],[Cabo]],'Lançamento de Cabos'!AJ:AJ,Área!$B$1),"")</f>
        <v/>
      </c>
      <c r="Z509" s="23" t="e">
        <f ca="1">VLOOKUP(Tabela4[[#This Row],[Cabo]],BD!A:AB,28,0)</f>
        <v>#N/A</v>
      </c>
    </row>
    <row r="510" spans="3:26" x14ac:dyDescent="0.25">
      <c r="C510" s="391" t="str">
        <f ca="1">IF($B$1="Geral",Tabela1[[#This Row],[Tag do Cabo]],IFERROR(INDEX(INDIRECT("BD!$A"&amp;D510&amp;":$A100000"),E510,1),""))</f>
        <v/>
      </c>
      <c r="D510" s="391" t="str">
        <f t="shared" ca="1" si="20"/>
        <v/>
      </c>
      <c r="E510" s="391" t="str">
        <f t="shared" ca="1" si="21"/>
        <v/>
      </c>
      <c r="F510" s="23" t="str">
        <f ca="1">IFERROR(VLOOKUP(Tabela4[[#This Row],[Cabo]],BD!A:V,2,0),"")</f>
        <v/>
      </c>
      <c r="G510" s="391" t="str">
        <f ca="1">IFERROR(VLOOKUP(Tabela4[[#This Row],[Cabo]],BD!A:V,5,0),"")</f>
        <v/>
      </c>
      <c r="H510" s="23" t="str">
        <f ca="1">IFERROR(VLOOKUP(Tabela4[[#This Row],[Cabo]],BD!A:V,3,0),"")</f>
        <v/>
      </c>
      <c r="I510" s="23" t="str">
        <f ca="1">IFERROR(VLOOKUP(Tabela4[[#This Row],[Cabo]],BD!A:V,4,0),"")</f>
        <v/>
      </c>
      <c r="J510" s="23" t="str">
        <f ca="1">IFERROR(VLOOKUP(Tabela4[[#This Row],[Cabo]],BD!A:V,7,0),"")</f>
        <v/>
      </c>
      <c r="K51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0" s="23" t="str">
        <f ca="1">IFERROR(VLOOKUP(Tabela4[[#This Row],[Cabo]],BD!A:V,9,0),"")</f>
        <v/>
      </c>
      <c r="M510" s="23" t="str">
        <f ca="1">IFERROR(VLOOKUP(Tabela4[[#This Row],[Cabo]],BD!A:AD,30,0),"")</f>
        <v/>
      </c>
      <c r="N510" s="23" t="str">
        <f ca="1">IF(SUMIF('Lançamento de Cabos'!B:B,Tabela4[[#This Row],[Cabo]],'Lançamento de Cabos'!C:C)=0,"",SUMIF('Lançamento de Cabos'!B:B,Tabela4[[#This Row],[Cabo]],'Lançamento de Cabos'!C:C))</f>
        <v/>
      </c>
      <c r="O510" s="28" t="str">
        <f ca="1">IFERROR(IF(Tabela4[[#This Row],[Compr. Lançado]]/Tabela4[[#This Row],[Compr. Prev.]]&gt;1,1,Tabela4[[#This Row],[Compr. Lançado]]/Tabela4[[#This Row],[Compr. Prev.]]),"")</f>
        <v/>
      </c>
      <c r="P510" s="24" t="str">
        <f ca="1">IFERROR(VLOOKUP(Tabela4[[#This Row],[Cabo]],BD!A:V,11,0),"")</f>
        <v/>
      </c>
      <c r="Q510" s="24" t="str">
        <f ca="1">IFERROR(VLOOKUP(Tabela4[[#This Row],[Cabo]],BD!A:V,12,0),"")</f>
        <v/>
      </c>
      <c r="R51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0" s="23" t="str">
        <f ca="1">IF(Tabela4[[#This Row],[Cabo]]&lt;&gt;"",4-COUNTIF(Tabela4[[#This Row],[Teste de Continuidade]:[Hipot]],"---"),"")</f>
        <v/>
      </c>
      <c r="W510" s="29" t="str">
        <f ca="1">IF(Tabela4[[#This Row],[Cabo]]&lt;&gt;"",(COUNTIF(Tabela4[[#This Row],[Teste de Continuidade]:[Hipot]],"OK"))/(4-COUNTIF(Tabela4[[#This Row],[Teste de Continuidade]:[Hipot]],"---")),"")</f>
        <v/>
      </c>
      <c r="X510" s="23" t="str">
        <f ca="1">IF(Tabela4[[#This Row],[Cabo]]&lt;&gt;"",SUMIFS('Lançamento de Cabos'!$AF:$AF,'Lançamento de Cabos'!AE:AE,Tabela4[[#This Row],[Cabo]],'Lançamento de Cabos'!AJ:AJ,Área!$B$1),"")</f>
        <v/>
      </c>
      <c r="Y510" s="23" t="str">
        <f ca="1">IF(Tabela4[[#This Row],[Cabo]]&lt;&gt;"",SUMIFS('Lançamento de Cabos'!$AG:$AG,'Lançamento de Cabos'!AE:AE,Tabela4[[#This Row],[Cabo]],'Lançamento de Cabos'!AJ:AJ,Área!$B$1),"")</f>
        <v/>
      </c>
      <c r="Z510" s="23" t="e">
        <f ca="1">VLOOKUP(Tabela4[[#This Row],[Cabo]],BD!A:AB,28,0)</f>
        <v>#N/A</v>
      </c>
    </row>
    <row r="511" spans="3:26" x14ac:dyDescent="0.25">
      <c r="C511" s="391" t="str">
        <f ca="1">IF($B$1="Geral",Tabela1[[#This Row],[Tag do Cabo]],IFERROR(INDEX(INDIRECT("BD!$A"&amp;D511&amp;":$A100000"),E511,1),""))</f>
        <v/>
      </c>
      <c r="D511" s="391" t="str">
        <f t="shared" ca="1" si="20"/>
        <v/>
      </c>
      <c r="E511" s="391" t="str">
        <f t="shared" ca="1" si="21"/>
        <v/>
      </c>
      <c r="F511" s="23" t="str">
        <f ca="1">IFERROR(VLOOKUP(Tabela4[[#This Row],[Cabo]],BD!A:V,2,0),"")</f>
        <v/>
      </c>
      <c r="G511" s="391" t="str">
        <f ca="1">IFERROR(VLOOKUP(Tabela4[[#This Row],[Cabo]],BD!A:V,5,0),"")</f>
        <v/>
      </c>
      <c r="H511" s="23" t="str">
        <f ca="1">IFERROR(VLOOKUP(Tabela4[[#This Row],[Cabo]],BD!A:V,3,0),"")</f>
        <v/>
      </c>
      <c r="I511" s="23" t="str">
        <f ca="1">IFERROR(VLOOKUP(Tabela4[[#This Row],[Cabo]],BD!A:V,4,0),"")</f>
        <v/>
      </c>
      <c r="J511" s="23" t="str">
        <f ca="1">IFERROR(VLOOKUP(Tabela4[[#This Row],[Cabo]],BD!A:V,7,0),"")</f>
        <v/>
      </c>
      <c r="K51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1" s="23" t="str">
        <f ca="1">IFERROR(VLOOKUP(Tabela4[[#This Row],[Cabo]],BD!A:V,9,0),"")</f>
        <v/>
      </c>
      <c r="M511" s="23" t="str">
        <f ca="1">IFERROR(VLOOKUP(Tabela4[[#This Row],[Cabo]],BD!A:AD,30,0),"")</f>
        <v/>
      </c>
      <c r="N511" s="23" t="str">
        <f ca="1">IF(SUMIF('Lançamento de Cabos'!B:B,Tabela4[[#This Row],[Cabo]],'Lançamento de Cabos'!C:C)=0,"",SUMIF('Lançamento de Cabos'!B:B,Tabela4[[#This Row],[Cabo]],'Lançamento de Cabos'!C:C))</f>
        <v/>
      </c>
      <c r="O511" s="28" t="str">
        <f ca="1">IFERROR(IF(Tabela4[[#This Row],[Compr. Lançado]]/Tabela4[[#This Row],[Compr. Prev.]]&gt;1,1,Tabela4[[#This Row],[Compr. Lançado]]/Tabela4[[#This Row],[Compr. Prev.]]),"")</f>
        <v/>
      </c>
      <c r="P511" s="24" t="str">
        <f ca="1">IFERROR(VLOOKUP(Tabela4[[#This Row],[Cabo]],BD!A:V,11,0),"")</f>
        <v/>
      </c>
      <c r="Q511" s="24" t="str">
        <f ca="1">IFERROR(VLOOKUP(Tabela4[[#This Row],[Cabo]],BD!A:V,12,0),"")</f>
        <v/>
      </c>
      <c r="R51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1" s="23" t="str">
        <f ca="1">IF(Tabela4[[#This Row],[Cabo]]&lt;&gt;"",4-COUNTIF(Tabela4[[#This Row],[Teste de Continuidade]:[Hipot]],"---"),"")</f>
        <v/>
      </c>
      <c r="W511" s="29" t="str">
        <f ca="1">IF(Tabela4[[#This Row],[Cabo]]&lt;&gt;"",(COUNTIF(Tabela4[[#This Row],[Teste de Continuidade]:[Hipot]],"OK"))/(4-COUNTIF(Tabela4[[#This Row],[Teste de Continuidade]:[Hipot]],"---")),"")</f>
        <v/>
      </c>
      <c r="X511" s="23" t="str">
        <f ca="1">IF(Tabela4[[#This Row],[Cabo]]&lt;&gt;"",SUMIFS('Lançamento de Cabos'!$AF:$AF,'Lançamento de Cabos'!AE:AE,Tabela4[[#This Row],[Cabo]],'Lançamento de Cabos'!AJ:AJ,Área!$B$1),"")</f>
        <v/>
      </c>
      <c r="Y511" s="23" t="str">
        <f ca="1">IF(Tabela4[[#This Row],[Cabo]]&lt;&gt;"",SUMIFS('Lançamento de Cabos'!$AG:$AG,'Lançamento de Cabos'!AE:AE,Tabela4[[#This Row],[Cabo]],'Lançamento de Cabos'!AJ:AJ,Área!$B$1),"")</f>
        <v/>
      </c>
      <c r="Z511" s="23" t="e">
        <f ca="1">VLOOKUP(Tabela4[[#This Row],[Cabo]],BD!A:AB,28,0)</f>
        <v>#N/A</v>
      </c>
    </row>
    <row r="512" spans="3:26" x14ac:dyDescent="0.25">
      <c r="C512" s="391" t="str">
        <f ca="1">IF($B$1="Geral",Tabela1[[#This Row],[Tag do Cabo]],IFERROR(INDEX(INDIRECT("BD!$A"&amp;D512&amp;":$A100000"),E512,1),""))</f>
        <v/>
      </c>
      <c r="D512" s="391" t="str">
        <f t="shared" ca="1" si="20"/>
        <v/>
      </c>
      <c r="E512" s="391" t="str">
        <f t="shared" ca="1" si="21"/>
        <v/>
      </c>
      <c r="F512" s="23" t="str">
        <f ca="1">IFERROR(VLOOKUP(Tabela4[[#This Row],[Cabo]],BD!A:V,2,0),"")</f>
        <v/>
      </c>
      <c r="G512" s="391" t="str">
        <f ca="1">IFERROR(VLOOKUP(Tabela4[[#This Row],[Cabo]],BD!A:V,5,0),"")</f>
        <v/>
      </c>
      <c r="H512" s="23" t="str">
        <f ca="1">IFERROR(VLOOKUP(Tabela4[[#This Row],[Cabo]],BD!A:V,3,0),"")</f>
        <v/>
      </c>
      <c r="I512" s="23" t="str">
        <f ca="1">IFERROR(VLOOKUP(Tabela4[[#This Row],[Cabo]],BD!A:V,4,0),"")</f>
        <v/>
      </c>
      <c r="J512" s="23" t="str">
        <f ca="1">IFERROR(VLOOKUP(Tabela4[[#This Row],[Cabo]],BD!A:V,7,0),"")</f>
        <v/>
      </c>
      <c r="K51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2" s="23" t="str">
        <f ca="1">IFERROR(VLOOKUP(Tabela4[[#This Row],[Cabo]],BD!A:V,9,0),"")</f>
        <v/>
      </c>
      <c r="M512" s="23" t="str">
        <f ca="1">IFERROR(VLOOKUP(Tabela4[[#This Row],[Cabo]],BD!A:AD,30,0),"")</f>
        <v/>
      </c>
      <c r="N512" s="23" t="str">
        <f ca="1">IF(SUMIF('Lançamento de Cabos'!B:B,Tabela4[[#This Row],[Cabo]],'Lançamento de Cabos'!C:C)=0,"",SUMIF('Lançamento de Cabos'!B:B,Tabela4[[#This Row],[Cabo]],'Lançamento de Cabos'!C:C))</f>
        <v/>
      </c>
      <c r="O512" s="28" t="str">
        <f ca="1">IFERROR(IF(Tabela4[[#This Row],[Compr. Lançado]]/Tabela4[[#This Row],[Compr. Prev.]]&gt;1,1,Tabela4[[#This Row],[Compr. Lançado]]/Tabela4[[#This Row],[Compr. Prev.]]),"")</f>
        <v/>
      </c>
      <c r="P512" s="24" t="str">
        <f ca="1">IFERROR(VLOOKUP(Tabela4[[#This Row],[Cabo]],BD!A:V,11,0),"")</f>
        <v/>
      </c>
      <c r="Q512" s="24" t="str">
        <f ca="1">IFERROR(VLOOKUP(Tabela4[[#This Row],[Cabo]],BD!A:V,12,0),"")</f>
        <v/>
      </c>
      <c r="R51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2" s="23" t="str">
        <f ca="1">IF(Tabela4[[#This Row],[Cabo]]&lt;&gt;"",4-COUNTIF(Tabela4[[#This Row],[Teste de Continuidade]:[Hipot]],"---"),"")</f>
        <v/>
      </c>
      <c r="W512" s="29" t="str">
        <f ca="1">IF(Tabela4[[#This Row],[Cabo]]&lt;&gt;"",(COUNTIF(Tabela4[[#This Row],[Teste de Continuidade]:[Hipot]],"OK"))/(4-COUNTIF(Tabela4[[#This Row],[Teste de Continuidade]:[Hipot]],"---")),"")</f>
        <v/>
      </c>
      <c r="X512" s="23" t="str">
        <f ca="1">IF(Tabela4[[#This Row],[Cabo]]&lt;&gt;"",SUMIFS('Lançamento de Cabos'!$AF:$AF,'Lançamento de Cabos'!AE:AE,Tabela4[[#This Row],[Cabo]],'Lançamento de Cabos'!AJ:AJ,Área!$B$1),"")</f>
        <v/>
      </c>
      <c r="Y512" s="23" t="str">
        <f ca="1">IF(Tabela4[[#This Row],[Cabo]]&lt;&gt;"",SUMIFS('Lançamento de Cabos'!$AG:$AG,'Lançamento de Cabos'!AE:AE,Tabela4[[#This Row],[Cabo]],'Lançamento de Cabos'!AJ:AJ,Área!$B$1),"")</f>
        <v/>
      </c>
      <c r="Z512" s="23" t="e">
        <f ca="1">VLOOKUP(Tabela4[[#This Row],[Cabo]],BD!A:AB,28,0)</f>
        <v>#N/A</v>
      </c>
    </row>
    <row r="513" spans="3:26" x14ac:dyDescent="0.25">
      <c r="C513" s="391" t="str">
        <f ca="1">IF($B$1="Geral",Tabela1[[#This Row],[Tag do Cabo]],IFERROR(INDEX(INDIRECT("BD!$A"&amp;D513&amp;":$A100000"),E513,1),""))</f>
        <v/>
      </c>
      <c r="D513" s="391" t="str">
        <f t="shared" ca="1" si="20"/>
        <v/>
      </c>
      <c r="E513" s="391" t="str">
        <f t="shared" ca="1" si="21"/>
        <v/>
      </c>
      <c r="F513" s="23" t="str">
        <f ca="1">IFERROR(VLOOKUP(Tabela4[[#This Row],[Cabo]],BD!A:V,2,0),"")</f>
        <v/>
      </c>
      <c r="G513" s="391" t="str">
        <f ca="1">IFERROR(VLOOKUP(Tabela4[[#This Row],[Cabo]],BD!A:V,5,0),"")</f>
        <v/>
      </c>
      <c r="H513" s="23" t="str">
        <f ca="1">IFERROR(VLOOKUP(Tabela4[[#This Row],[Cabo]],BD!A:V,3,0),"")</f>
        <v/>
      </c>
      <c r="I513" s="23" t="str">
        <f ca="1">IFERROR(VLOOKUP(Tabela4[[#This Row],[Cabo]],BD!A:V,4,0),"")</f>
        <v/>
      </c>
      <c r="J513" s="23" t="str">
        <f ca="1">IFERROR(VLOOKUP(Tabela4[[#This Row],[Cabo]],BD!A:V,7,0),"")</f>
        <v/>
      </c>
      <c r="K51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3" s="23" t="str">
        <f ca="1">IFERROR(VLOOKUP(Tabela4[[#This Row],[Cabo]],BD!A:V,9,0),"")</f>
        <v/>
      </c>
      <c r="M513" s="23" t="str">
        <f ca="1">IFERROR(VLOOKUP(Tabela4[[#This Row],[Cabo]],BD!A:AD,30,0),"")</f>
        <v/>
      </c>
      <c r="N513" s="23" t="str">
        <f ca="1">IF(SUMIF('Lançamento de Cabos'!B:B,Tabela4[[#This Row],[Cabo]],'Lançamento de Cabos'!C:C)=0,"",SUMIF('Lançamento de Cabos'!B:B,Tabela4[[#This Row],[Cabo]],'Lançamento de Cabos'!C:C))</f>
        <v/>
      </c>
      <c r="O513" s="28" t="str">
        <f ca="1">IFERROR(IF(Tabela4[[#This Row],[Compr. Lançado]]/Tabela4[[#This Row],[Compr. Prev.]]&gt;1,1,Tabela4[[#This Row],[Compr. Lançado]]/Tabela4[[#This Row],[Compr. Prev.]]),"")</f>
        <v/>
      </c>
      <c r="P513" s="24" t="str">
        <f ca="1">IFERROR(VLOOKUP(Tabela4[[#This Row],[Cabo]],BD!A:V,11,0),"")</f>
        <v/>
      </c>
      <c r="Q513" s="24" t="str">
        <f ca="1">IFERROR(VLOOKUP(Tabela4[[#This Row],[Cabo]],BD!A:V,12,0),"")</f>
        <v/>
      </c>
      <c r="R51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3" s="23" t="str">
        <f ca="1">IF(Tabela4[[#This Row],[Cabo]]&lt;&gt;"",4-COUNTIF(Tabela4[[#This Row],[Teste de Continuidade]:[Hipot]],"---"),"")</f>
        <v/>
      </c>
      <c r="W513" s="29" t="str">
        <f ca="1">IF(Tabela4[[#This Row],[Cabo]]&lt;&gt;"",(COUNTIF(Tabela4[[#This Row],[Teste de Continuidade]:[Hipot]],"OK"))/(4-COUNTIF(Tabela4[[#This Row],[Teste de Continuidade]:[Hipot]],"---")),"")</f>
        <v/>
      </c>
      <c r="X513" s="23" t="str">
        <f ca="1">IF(Tabela4[[#This Row],[Cabo]]&lt;&gt;"",SUMIFS('Lançamento de Cabos'!$AF:$AF,'Lançamento de Cabos'!AE:AE,Tabela4[[#This Row],[Cabo]],'Lançamento de Cabos'!AJ:AJ,Área!$B$1),"")</f>
        <v/>
      </c>
      <c r="Y513" s="23" t="str">
        <f ca="1">IF(Tabela4[[#This Row],[Cabo]]&lt;&gt;"",SUMIFS('Lançamento de Cabos'!$AG:$AG,'Lançamento de Cabos'!AE:AE,Tabela4[[#This Row],[Cabo]],'Lançamento de Cabos'!AJ:AJ,Área!$B$1),"")</f>
        <v/>
      </c>
      <c r="Z513" s="23" t="e">
        <f ca="1">VLOOKUP(Tabela4[[#This Row],[Cabo]],BD!A:AB,28,0)</f>
        <v>#N/A</v>
      </c>
    </row>
    <row r="514" spans="3:26" x14ac:dyDescent="0.25">
      <c r="C514" s="391" t="str">
        <f ca="1">IF($B$1="Geral",Tabela1[[#This Row],[Tag do Cabo]],IFERROR(INDEX(INDIRECT("BD!$A"&amp;D514&amp;":$A100000"),E514,1),""))</f>
        <v/>
      </c>
      <c r="D514" s="391" t="str">
        <f t="shared" ca="1" si="20"/>
        <v/>
      </c>
      <c r="E514" s="391" t="str">
        <f t="shared" ca="1" si="21"/>
        <v/>
      </c>
      <c r="F514" s="23" t="str">
        <f ca="1">IFERROR(VLOOKUP(Tabela4[[#This Row],[Cabo]],BD!A:V,2,0),"")</f>
        <v/>
      </c>
      <c r="G514" s="391" t="str">
        <f ca="1">IFERROR(VLOOKUP(Tabela4[[#This Row],[Cabo]],BD!A:V,5,0),"")</f>
        <v/>
      </c>
      <c r="H514" s="23" t="str">
        <f ca="1">IFERROR(VLOOKUP(Tabela4[[#This Row],[Cabo]],BD!A:V,3,0),"")</f>
        <v/>
      </c>
      <c r="I514" s="23" t="str">
        <f ca="1">IFERROR(VLOOKUP(Tabela4[[#This Row],[Cabo]],BD!A:V,4,0),"")</f>
        <v/>
      </c>
      <c r="J514" s="23" t="str">
        <f ca="1">IFERROR(VLOOKUP(Tabela4[[#This Row],[Cabo]],BD!A:V,7,0),"")</f>
        <v/>
      </c>
      <c r="K51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4" s="23" t="str">
        <f ca="1">IFERROR(VLOOKUP(Tabela4[[#This Row],[Cabo]],BD!A:V,9,0),"")</f>
        <v/>
      </c>
      <c r="M514" s="23" t="str">
        <f ca="1">IFERROR(VLOOKUP(Tabela4[[#This Row],[Cabo]],BD!A:AD,30,0),"")</f>
        <v/>
      </c>
      <c r="N514" s="23" t="str">
        <f ca="1">IF(SUMIF('Lançamento de Cabos'!B:B,Tabela4[[#This Row],[Cabo]],'Lançamento de Cabos'!C:C)=0,"",SUMIF('Lançamento de Cabos'!B:B,Tabela4[[#This Row],[Cabo]],'Lançamento de Cabos'!C:C))</f>
        <v/>
      </c>
      <c r="O514" s="28" t="str">
        <f ca="1">IFERROR(IF(Tabela4[[#This Row],[Compr. Lançado]]/Tabela4[[#This Row],[Compr. Prev.]]&gt;1,1,Tabela4[[#This Row],[Compr. Lançado]]/Tabela4[[#This Row],[Compr. Prev.]]),"")</f>
        <v/>
      </c>
      <c r="P514" s="24" t="str">
        <f ca="1">IFERROR(VLOOKUP(Tabela4[[#This Row],[Cabo]],BD!A:V,11,0),"")</f>
        <v/>
      </c>
      <c r="Q514" s="24" t="str">
        <f ca="1">IFERROR(VLOOKUP(Tabela4[[#This Row],[Cabo]],BD!A:V,12,0),"")</f>
        <v/>
      </c>
      <c r="R51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4" s="23" t="str">
        <f ca="1">IF(Tabela4[[#This Row],[Cabo]]&lt;&gt;"",4-COUNTIF(Tabela4[[#This Row],[Teste de Continuidade]:[Hipot]],"---"),"")</f>
        <v/>
      </c>
      <c r="W514" s="29" t="str">
        <f ca="1">IF(Tabela4[[#This Row],[Cabo]]&lt;&gt;"",(COUNTIF(Tabela4[[#This Row],[Teste de Continuidade]:[Hipot]],"OK"))/(4-COUNTIF(Tabela4[[#This Row],[Teste de Continuidade]:[Hipot]],"---")),"")</f>
        <v/>
      </c>
      <c r="X514" s="23" t="str">
        <f ca="1">IF(Tabela4[[#This Row],[Cabo]]&lt;&gt;"",SUMIFS('Lançamento de Cabos'!$AF:$AF,'Lançamento de Cabos'!AE:AE,Tabela4[[#This Row],[Cabo]],'Lançamento de Cabos'!AJ:AJ,Área!$B$1),"")</f>
        <v/>
      </c>
      <c r="Y514" s="23" t="str">
        <f ca="1">IF(Tabela4[[#This Row],[Cabo]]&lt;&gt;"",SUMIFS('Lançamento de Cabos'!$AG:$AG,'Lançamento de Cabos'!AE:AE,Tabela4[[#This Row],[Cabo]],'Lançamento de Cabos'!AJ:AJ,Área!$B$1),"")</f>
        <v/>
      </c>
      <c r="Z514" s="23" t="e">
        <f ca="1">VLOOKUP(Tabela4[[#This Row],[Cabo]],BD!A:AB,28,0)</f>
        <v>#N/A</v>
      </c>
    </row>
    <row r="515" spans="3:26" x14ac:dyDescent="0.25">
      <c r="C515" s="391" t="str">
        <f ca="1">IF($B$1="Geral",Tabela1[[#This Row],[Tag do Cabo]],IFERROR(INDEX(INDIRECT("BD!$A"&amp;D515&amp;":$A100000"),E515,1),""))</f>
        <v/>
      </c>
      <c r="D515" s="391" t="str">
        <f t="shared" ca="1" si="20"/>
        <v/>
      </c>
      <c r="E515" s="391" t="str">
        <f t="shared" ca="1" si="21"/>
        <v/>
      </c>
      <c r="F515" s="23" t="str">
        <f ca="1">IFERROR(VLOOKUP(Tabela4[[#This Row],[Cabo]],BD!A:V,2,0),"")</f>
        <v/>
      </c>
      <c r="G515" s="391" t="str">
        <f ca="1">IFERROR(VLOOKUP(Tabela4[[#This Row],[Cabo]],BD!A:V,5,0),"")</f>
        <v/>
      </c>
      <c r="H515" s="23" t="str">
        <f ca="1">IFERROR(VLOOKUP(Tabela4[[#This Row],[Cabo]],BD!A:V,3,0),"")</f>
        <v/>
      </c>
      <c r="I515" s="23" t="str">
        <f ca="1">IFERROR(VLOOKUP(Tabela4[[#This Row],[Cabo]],BD!A:V,4,0),"")</f>
        <v/>
      </c>
      <c r="J515" s="23" t="str">
        <f ca="1">IFERROR(VLOOKUP(Tabela4[[#This Row],[Cabo]],BD!A:V,7,0),"")</f>
        <v/>
      </c>
      <c r="K51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5" s="23" t="str">
        <f ca="1">IFERROR(VLOOKUP(Tabela4[[#This Row],[Cabo]],BD!A:V,9,0),"")</f>
        <v/>
      </c>
      <c r="M515" s="23" t="str">
        <f ca="1">IFERROR(VLOOKUP(Tabela4[[#This Row],[Cabo]],BD!A:AD,30,0),"")</f>
        <v/>
      </c>
      <c r="N515" s="23" t="str">
        <f ca="1">IF(SUMIF('Lançamento de Cabos'!B:B,Tabela4[[#This Row],[Cabo]],'Lançamento de Cabos'!C:C)=0,"",SUMIF('Lançamento de Cabos'!B:B,Tabela4[[#This Row],[Cabo]],'Lançamento de Cabos'!C:C))</f>
        <v/>
      </c>
      <c r="O515" s="28" t="str">
        <f ca="1">IFERROR(IF(Tabela4[[#This Row],[Compr. Lançado]]/Tabela4[[#This Row],[Compr. Prev.]]&gt;1,1,Tabela4[[#This Row],[Compr. Lançado]]/Tabela4[[#This Row],[Compr. Prev.]]),"")</f>
        <v/>
      </c>
      <c r="P515" s="24" t="str">
        <f ca="1">IFERROR(VLOOKUP(Tabela4[[#This Row],[Cabo]],BD!A:V,11,0),"")</f>
        <v/>
      </c>
      <c r="Q515" s="24" t="str">
        <f ca="1">IFERROR(VLOOKUP(Tabela4[[#This Row],[Cabo]],BD!A:V,12,0),"")</f>
        <v/>
      </c>
      <c r="R51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5" s="23" t="str">
        <f ca="1">IF(Tabela4[[#This Row],[Cabo]]&lt;&gt;"",4-COUNTIF(Tabela4[[#This Row],[Teste de Continuidade]:[Hipot]],"---"),"")</f>
        <v/>
      </c>
      <c r="W515" s="29" t="str">
        <f ca="1">IF(Tabela4[[#This Row],[Cabo]]&lt;&gt;"",(COUNTIF(Tabela4[[#This Row],[Teste de Continuidade]:[Hipot]],"OK"))/(4-COUNTIF(Tabela4[[#This Row],[Teste de Continuidade]:[Hipot]],"---")),"")</f>
        <v/>
      </c>
      <c r="X515" s="23" t="str">
        <f ca="1">IF(Tabela4[[#This Row],[Cabo]]&lt;&gt;"",SUMIFS('Lançamento de Cabos'!$AF:$AF,'Lançamento de Cabos'!AE:AE,Tabela4[[#This Row],[Cabo]],'Lançamento de Cabos'!AJ:AJ,Área!$B$1),"")</f>
        <v/>
      </c>
      <c r="Y515" s="23" t="str">
        <f ca="1">IF(Tabela4[[#This Row],[Cabo]]&lt;&gt;"",SUMIFS('Lançamento de Cabos'!$AG:$AG,'Lançamento de Cabos'!AE:AE,Tabela4[[#This Row],[Cabo]],'Lançamento de Cabos'!AJ:AJ,Área!$B$1),"")</f>
        <v/>
      </c>
      <c r="Z515" s="23" t="e">
        <f ca="1">VLOOKUP(Tabela4[[#This Row],[Cabo]],BD!A:AB,28,0)</f>
        <v>#N/A</v>
      </c>
    </row>
    <row r="516" spans="3:26" x14ac:dyDescent="0.25">
      <c r="C516" s="391" t="str">
        <f ca="1">IF($B$1="Geral",Tabela1[[#This Row],[Tag do Cabo]],IFERROR(INDEX(INDIRECT("BD!$A"&amp;D516&amp;":$A100000"),E516,1),""))</f>
        <v/>
      </c>
      <c r="D516" s="391" t="str">
        <f t="shared" ca="1" si="20"/>
        <v/>
      </c>
      <c r="E516" s="391" t="str">
        <f t="shared" ca="1" si="21"/>
        <v/>
      </c>
      <c r="F516" s="23" t="str">
        <f ca="1">IFERROR(VLOOKUP(Tabela4[[#This Row],[Cabo]],BD!A:V,2,0),"")</f>
        <v/>
      </c>
      <c r="G516" s="391" t="str">
        <f ca="1">IFERROR(VLOOKUP(Tabela4[[#This Row],[Cabo]],BD!A:V,5,0),"")</f>
        <v/>
      </c>
      <c r="H516" s="23" t="str">
        <f ca="1">IFERROR(VLOOKUP(Tabela4[[#This Row],[Cabo]],BD!A:V,3,0),"")</f>
        <v/>
      </c>
      <c r="I516" s="23" t="str">
        <f ca="1">IFERROR(VLOOKUP(Tabela4[[#This Row],[Cabo]],BD!A:V,4,0),"")</f>
        <v/>
      </c>
      <c r="J516" s="23" t="str">
        <f ca="1">IFERROR(VLOOKUP(Tabela4[[#This Row],[Cabo]],BD!A:V,7,0),"")</f>
        <v/>
      </c>
      <c r="K51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6" s="23" t="str">
        <f ca="1">IFERROR(VLOOKUP(Tabela4[[#This Row],[Cabo]],BD!A:V,9,0),"")</f>
        <v/>
      </c>
      <c r="M516" s="23" t="str">
        <f ca="1">IFERROR(VLOOKUP(Tabela4[[#This Row],[Cabo]],BD!A:AD,30,0),"")</f>
        <v/>
      </c>
      <c r="N516" s="23" t="str">
        <f ca="1">IF(SUMIF('Lançamento de Cabos'!B:B,Tabela4[[#This Row],[Cabo]],'Lançamento de Cabos'!C:C)=0,"",SUMIF('Lançamento de Cabos'!B:B,Tabela4[[#This Row],[Cabo]],'Lançamento de Cabos'!C:C))</f>
        <v/>
      </c>
      <c r="O516" s="28" t="str">
        <f ca="1">IFERROR(IF(Tabela4[[#This Row],[Compr. Lançado]]/Tabela4[[#This Row],[Compr. Prev.]]&gt;1,1,Tabela4[[#This Row],[Compr. Lançado]]/Tabela4[[#This Row],[Compr. Prev.]]),"")</f>
        <v/>
      </c>
      <c r="P516" s="24" t="str">
        <f ca="1">IFERROR(VLOOKUP(Tabela4[[#This Row],[Cabo]],BD!A:V,11,0),"")</f>
        <v/>
      </c>
      <c r="Q516" s="24" t="str">
        <f ca="1">IFERROR(VLOOKUP(Tabela4[[#This Row],[Cabo]],BD!A:V,12,0),"")</f>
        <v/>
      </c>
      <c r="R51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6" s="23" t="str">
        <f ca="1">IF(Tabela4[[#This Row],[Cabo]]&lt;&gt;"",4-COUNTIF(Tabela4[[#This Row],[Teste de Continuidade]:[Hipot]],"---"),"")</f>
        <v/>
      </c>
      <c r="W516" s="29" t="str">
        <f ca="1">IF(Tabela4[[#This Row],[Cabo]]&lt;&gt;"",(COUNTIF(Tabela4[[#This Row],[Teste de Continuidade]:[Hipot]],"OK"))/(4-COUNTIF(Tabela4[[#This Row],[Teste de Continuidade]:[Hipot]],"---")),"")</f>
        <v/>
      </c>
      <c r="X516" s="23" t="str">
        <f ca="1">IF(Tabela4[[#This Row],[Cabo]]&lt;&gt;"",SUMIFS('Lançamento de Cabos'!$AF:$AF,'Lançamento de Cabos'!AE:AE,Tabela4[[#This Row],[Cabo]],'Lançamento de Cabos'!AJ:AJ,Área!$B$1),"")</f>
        <v/>
      </c>
      <c r="Y516" s="23" t="str">
        <f ca="1">IF(Tabela4[[#This Row],[Cabo]]&lt;&gt;"",SUMIFS('Lançamento de Cabos'!$AG:$AG,'Lançamento de Cabos'!AE:AE,Tabela4[[#This Row],[Cabo]],'Lançamento de Cabos'!AJ:AJ,Área!$B$1),"")</f>
        <v/>
      </c>
      <c r="Z516" s="23" t="e">
        <f ca="1">VLOOKUP(Tabela4[[#This Row],[Cabo]],BD!A:AB,28,0)</f>
        <v>#N/A</v>
      </c>
    </row>
    <row r="517" spans="3:26" x14ac:dyDescent="0.25">
      <c r="C517" s="391" t="str">
        <f ca="1">IF($B$1="Geral",Tabela1[[#This Row],[Tag do Cabo]],IFERROR(INDEX(INDIRECT("BD!$A"&amp;D517&amp;":$A100000"),E517,1),""))</f>
        <v/>
      </c>
      <c r="D517" s="391" t="str">
        <f t="shared" ca="1" si="20"/>
        <v/>
      </c>
      <c r="E517" s="391" t="str">
        <f t="shared" ca="1" si="21"/>
        <v/>
      </c>
      <c r="F517" s="23" t="str">
        <f ca="1">IFERROR(VLOOKUP(Tabela4[[#This Row],[Cabo]],BD!A:V,2,0),"")</f>
        <v/>
      </c>
      <c r="G517" s="391" t="str">
        <f ca="1">IFERROR(VLOOKUP(Tabela4[[#This Row],[Cabo]],BD!A:V,5,0),"")</f>
        <v/>
      </c>
      <c r="H517" s="23" t="str">
        <f ca="1">IFERROR(VLOOKUP(Tabela4[[#This Row],[Cabo]],BD!A:V,3,0),"")</f>
        <v/>
      </c>
      <c r="I517" s="23" t="str">
        <f ca="1">IFERROR(VLOOKUP(Tabela4[[#This Row],[Cabo]],BD!A:V,4,0),"")</f>
        <v/>
      </c>
      <c r="J517" s="23" t="str">
        <f ca="1">IFERROR(VLOOKUP(Tabela4[[#This Row],[Cabo]],BD!A:V,7,0),"")</f>
        <v/>
      </c>
      <c r="K51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7" s="23" t="str">
        <f ca="1">IFERROR(VLOOKUP(Tabela4[[#This Row],[Cabo]],BD!A:V,9,0),"")</f>
        <v/>
      </c>
      <c r="M517" s="23" t="str">
        <f ca="1">IFERROR(VLOOKUP(Tabela4[[#This Row],[Cabo]],BD!A:AD,30,0),"")</f>
        <v/>
      </c>
      <c r="N517" s="23" t="str">
        <f ca="1">IF(SUMIF('Lançamento de Cabos'!B:B,Tabela4[[#This Row],[Cabo]],'Lançamento de Cabos'!C:C)=0,"",SUMIF('Lançamento de Cabos'!B:B,Tabela4[[#This Row],[Cabo]],'Lançamento de Cabos'!C:C))</f>
        <v/>
      </c>
      <c r="O517" s="28" t="str">
        <f ca="1">IFERROR(IF(Tabela4[[#This Row],[Compr. Lançado]]/Tabela4[[#This Row],[Compr. Prev.]]&gt;1,1,Tabela4[[#This Row],[Compr. Lançado]]/Tabela4[[#This Row],[Compr. Prev.]]),"")</f>
        <v/>
      </c>
      <c r="P517" s="24" t="str">
        <f ca="1">IFERROR(VLOOKUP(Tabela4[[#This Row],[Cabo]],BD!A:V,11,0),"")</f>
        <v/>
      </c>
      <c r="Q517" s="24" t="str">
        <f ca="1">IFERROR(VLOOKUP(Tabela4[[#This Row],[Cabo]],BD!A:V,12,0),"")</f>
        <v/>
      </c>
      <c r="R51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7" s="23" t="str">
        <f ca="1">IF(Tabela4[[#This Row],[Cabo]]&lt;&gt;"",4-COUNTIF(Tabela4[[#This Row],[Teste de Continuidade]:[Hipot]],"---"),"")</f>
        <v/>
      </c>
      <c r="W517" s="29" t="str">
        <f ca="1">IF(Tabela4[[#This Row],[Cabo]]&lt;&gt;"",(COUNTIF(Tabela4[[#This Row],[Teste de Continuidade]:[Hipot]],"OK"))/(4-COUNTIF(Tabela4[[#This Row],[Teste de Continuidade]:[Hipot]],"---")),"")</f>
        <v/>
      </c>
      <c r="X517" s="23" t="str">
        <f ca="1">IF(Tabela4[[#This Row],[Cabo]]&lt;&gt;"",SUMIFS('Lançamento de Cabos'!$AF:$AF,'Lançamento de Cabos'!AE:AE,Tabela4[[#This Row],[Cabo]],'Lançamento de Cabos'!AJ:AJ,Área!$B$1),"")</f>
        <v/>
      </c>
      <c r="Y517" s="23" t="str">
        <f ca="1">IF(Tabela4[[#This Row],[Cabo]]&lt;&gt;"",SUMIFS('Lançamento de Cabos'!$AG:$AG,'Lançamento de Cabos'!AE:AE,Tabela4[[#This Row],[Cabo]],'Lançamento de Cabos'!AJ:AJ,Área!$B$1),"")</f>
        <v/>
      </c>
      <c r="Z517" s="23" t="e">
        <f ca="1">VLOOKUP(Tabela4[[#This Row],[Cabo]],BD!A:AB,28,0)</f>
        <v>#N/A</v>
      </c>
    </row>
    <row r="518" spans="3:26" x14ac:dyDescent="0.25">
      <c r="C518" s="391" t="str">
        <f ca="1">IF($B$1="Geral",Tabela1[[#This Row],[Tag do Cabo]],IFERROR(INDEX(INDIRECT("BD!$A"&amp;D518&amp;":$A100000"),E518,1),""))</f>
        <v/>
      </c>
      <c r="D518" s="391" t="str">
        <f t="shared" ca="1" si="20"/>
        <v/>
      </c>
      <c r="E518" s="391" t="str">
        <f t="shared" ca="1" si="21"/>
        <v/>
      </c>
      <c r="F518" s="23" t="str">
        <f ca="1">IFERROR(VLOOKUP(Tabela4[[#This Row],[Cabo]],BD!A:V,2,0),"")</f>
        <v/>
      </c>
      <c r="G518" s="391" t="str">
        <f ca="1">IFERROR(VLOOKUP(Tabela4[[#This Row],[Cabo]],BD!A:V,5,0),"")</f>
        <v/>
      </c>
      <c r="H518" s="23" t="str">
        <f ca="1">IFERROR(VLOOKUP(Tabela4[[#This Row],[Cabo]],BD!A:V,3,0),"")</f>
        <v/>
      </c>
      <c r="I518" s="23" t="str">
        <f ca="1">IFERROR(VLOOKUP(Tabela4[[#This Row],[Cabo]],BD!A:V,4,0),"")</f>
        <v/>
      </c>
      <c r="J518" s="23" t="str">
        <f ca="1">IFERROR(VLOOKUP(Tabela4[[#This Row],[Cabo]],BD!A:V,7,0),"")</f>
        <v/>
      </c>
      <c r="K51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8" s="23" t="str">
        <f ca="1">IFERROR(VLOOKUP(Tabela4[[#This Row],[Cabo]],BD!A:V,9,0),"")</f>
        <v/>
      </c>
      <c r="M518" s="23" t="str">
        <f ca="1">IFERROR(VLOOKUP(Tabela4[[#This Row],[Cabo]],BD!A:AD,30,0),"")</f>
        <v/>
      </c>
      <c r="N518" s="23" t="str">
        <f ca="1">IF(SUMIF('Lançamento de Cabos'!B:B,Tabela4[[#This Row],[Cabo]],'Lançamento de Cabos'!C:C)=0,"",SUMIF('Lançamento de Cabos'!B:B,Tabela4[[#This Row],[Cabo]],'Lançamento de Cabos'!C:C))</f>
        <v/>
      </c>
      <c r="O518" s="28" t="str">
        <f ca="1">IFERROR(IF(Tabela4[[#This Row],[Compr. Lançado]]/Tabela4[[#This Row],[Compr. Prev.]]&gt;1,1,Tabela4[[#This Row],[Compr. Lançado]]/Tabela4[[#This Row],[Compr. Prev.]]),"")</f>
        <v/>
      </c>
      <c r="P518" s="24" t="str">
        <f ca="1">IFERROR(VLOOKUP(Tabela4[[#This Row],[Cabo]],BD!A:V,11,0),"")</f>
        <v/>
      </c>
      <c r="Q518" s="24" t="str">
        <f ca="1">IFERROR(VLOOKUP(Tabela4[[#This Row],[Cabo]],BD!A:V,12,0),"")</f>
        <v/>
      </c>
      <c r="R51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8" s="23" t="str">
        <f ca="1">IF(Tabela4[[#This Row],[Cabo]]&lt;&gt;"",4-COUNTIF(Tabela4[[#This Row],[Teste de Continuidade]:[Hipot]],"---"),"")</f>
        <v/>
      </c>
      <c r="W518" s="29" t="str">
        <f ca="1">IF(Tabela4[[#This Row],[Cabo]]&lt;&gt;"",(COUNTIF(Tabela4[[#This Row],[Teste de Continuidade]:[Hipot]],"OK"))/(4-COUNTIF(Tabela4[[#This Row],[Teste de Continuidade]:[Hipot]],"---")),"")</f>
        <v/>
      </c>
      <c r="X518" s="23" t="str">
        <f ca="1">IF(Tabela4[[#This Row],[Cabo]]&lt;&gt;"",SUMIFS('Lançamento de Cabos'!$AF:$AF,'Lançamento de Cabos'!AE:AE,Tabela4[[#This Row],[Cabo]],'Lançamento de Cabos'!AJ:AJ,Área!$B$1),"")</f>
        <v/>
      </c>
      <c r="Y518" s="23" t="str">
        <f ca="1">IF(Tabela4[[#This Row],[Cabo]]&lt;&gt;"",SUMIFS('Lançamento de Cabos'!$AG:$AG,'Lançamento de Cabos'!AE:AE,Tabela4[[#This Row],[Cabo]],'Lançamento de Cabos'!AJ:AJ,Área!$B$1),"")</f>
        <v/>
      </c>
      <c r="Z518" s="23" t="e">
        <f ca="1">VLOOKUP(Tabela4[[#This Row],[Cabo]],BD!A:AB,28,0)</f>
        <v>#N/A</v>
      </c>
    </row>
    <row r="519" spans="3:26" x14ac:dyDescent="0.25">
      <c r="C519" s="391" t="str">
        <f ca="1">IF($B$1="Geral",Tabela1[[#This Row],[Tag do Cabo]],IFERROR(INDEX(INDIRECT("BD!$A"&amp;D519&amp;":$A100000"),E519,1),""))</f>
        <v/>
      </c>
      <c r="D519" s="391" t="str">
        <f t="shared" ca="1" si="20"/>
        <v/>
      </c>
      <c r="E519" s="391" t="str">
        <f t="shared" ca="1" si="21"/>
        <v/>
      </c>
      <c r="F519" s="23" t="str">
        <f ca="1">IFERROR(VLOOKUP(Tabela4[[#This Row],[Cabo]],BD!A:V,2,0),"")</f>
        <v/>
      </c>
      <c r="G519" s="391" t="str">
        <f ca="1">IFERROR(VLOOKUP(Tabela4[[#This Row],[Cabo]],BD!A:V,5,0),"")</f>
        <v/>
      </c>
      <c r="H519" s="23" t="str">
        <f ca="1">IFERROR(VLOOKUP(Tabela4[[#This Row],[Cabo]],BD!A:V,3,0),"")</f>
        <v/>
      </c>
      <c r="I519" s="23" t="str">
        <f ca="1">IFERROR(VLOOKUP(Tabela4[[#This Row],[Cabo]],BD!A:V,4,0),"")</f>
        <v/>
      </c>
      <c r="J519" s="23" t="str">
        <f ca="1">IFERROR(VLOOKUP(Tabela4[[#This Row],[Cabo]],BD!A:V,7,0),"")</f>
        <v/>
      </c>
      <c r="K51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19" s="23" t="str">
        <f ca="1">IFERROR(VLOOKUP(Tabela4[[#This Row],[Cabo]],BD!A:V,9,0),"")</f>
        <v/>
      </c>
      <c r="M519" s="23" t="str">
        <f ca="1">IFERROR(VLOOKUP(Tabela4[[#This Row],[Cabo]],BD!A:AD,30,0),"")</f>
        <v/>
      </c>
      <c r="N519" s="23" t="str">
        <f ca="1">IF(SUMIF('Lançamento de Cabos'!B:B,Tabela4[[#This Row],[Cabo]],'Lançamento de Cabos'!C:C)=0,"",SUMIF('Lançamento de Cabos'!B:B,Tabela4[[#This Row],[Cabo]],'Lançamento de Cabos'!C:C))</f>
        <v/>
      </c>
      <c r="O519" s="28" t="str">
        <f ca="1">IFERROR(IF(Tabela4[[#This Row],[Compr. Lançado]]/Tabela4[[#This Row],[Compr. Prev.]]&gt;1,1,Tabela4[[#This Row],[Compr. Lançado]]/Tabela4[[#This Row],[Compr. Prev.]]),"")</f>
        <v/>
      </c>
      <c r="P519" s="24" t="str">
        <f ca="1">IFERROR(VLOOKUP(Tabela4[[#This Row],[Cabo]],BD!A:V,11,0),"")</f>
        <v/>
      </c>
      <c r="Q519" s="24" t="str">
        <f ca="1">IFERROR(VLOOKUP(Tabela4[[#This Row],[Cabo]],BD!A:V,12,0),"")</f>
        <v/>
      </c>
      <c r="R51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1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1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1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19" s="23" t="str">
        <f ca="1">IF(Tabela4[[#This Row],[Cabo]]&lt;&gt;"",4-COUNTIF(Tabela4[[#This Row],[Teste de Continuidade]:[Hipot]],"---"),"")</f>
        <v/>
      </c>
      <c r="W519" s="29" t="str">
        <f ca="1">IF(Tabela4[[#This Row],[Cabo]]&lt;&gt;"",(COUNTIF(Tabela4[[#This Row],[Teste de Continuidade]:[Hipot]],"OK"))/(4-COUNTIF(Tabela4[[#This Row],[Teste de Continuidade]:[Hipot]],"---")),"")</f>
        <v/>
      </c>
      <c r="X519" s="23" t="str">
        <f ca="1">IF(Tabela4[[#This Row],[Cabo]]&lt;&gt;"",SUMIFS('Lançamento de Cabos'!$AF:$AF,'Lançamento de Cabos'!AE:AE,Tabela4[[#This Row],[Cabo]],'Lançamento de Cabos'!AJ:AJ,Área!$B$1),"")</f>
        <v/>
      </c>
      <c r="Y519" s="23" t="str">
        <f ca="1">IF(Tabela4[[#This Row],[Cabo]]&lt;&gt;"",SUMIFS('Lançamento de Cabos'!$AG:$AG,'Lançamento de Cabos'!AE:AE,Tabela4[[#This Row],[Cabo]],'Lançamento de Cabos'!AJ:AJ,Área!$B$1),"")</f>
        <v/>
      </c>
      <c r="Z519" s="23" t="e">
        <f ca="1">VLOOKUP(Tabela4[[#This Row],[Cabo]],BD!A:AB,28,0)</f>
        <v>#N/A</v>
      </c>
    </row>
    <row r="520" spans="3:26" x14ac:dyDescent="0.25">
      <c r="C520" s="391" t="str">
        <f ca="1">IF($B$1="Geral",Tabela1[[#This Row],[Tag do Cabo]],IFERROR(INDEX(INDIRECT("BD!$A"&amp;D520&amp;":$A100000"),E520,1),""))</f>
        <v/>
      </c>
      <c r="D520" s="391" t="str">
        <f t="shared" ca="1" si="20"/>
        <v/>
      </c>
      <c r="E520" s="391" t="str">
        <f t="shared" ca="1" si="21"/>
        <v/>
      </c>
      <c r="F520" s="23" t="str">
        <f ca="1">IFERROR(VLOOKUP(Tabela4[[#This Row],[Cabo]],BD!A:V,2,0),"")</f>
        <v/>
      </c>
      <c r="G520" s="391" t="str">
        <f ca="1">IFERROR(VLOOKUP(Tabela4[[#This Row],[Cabo]],BD!A:V,5,0),"")</f>
        <v/>
      </c>
      <c r="H520" s="23" t="str">
        <f ca="1">IFERROR(VLOOKUP(Tabela4[[#This Row],[Cabo]],BD!A:V,3,0),"")</f>
        <v/>
      </c>
      <c r="I520" s="23" t="str">
        <f ca="1">IFERROR(VLOOKUP(Tabela4[[#This Row],[Cabo]],BD!A:V,4,0),"")</f>
        <v/>
      </c>
      <c r="J520" s="23" t="str">
        <f ca="1">IFERROR(VLOOKUP(Tabela4[[#This Row],[Cabo]],BD!A:V,7,0),"")</f>
        <v/>
      </c>
      <c r="K52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0" s="23" t="str">
        <f ca="1">IFERROR(VLOOKUP(Tabela4[[#This Row],[Cabo]],BD!A:V,9,0),"")</f>
        <v/>
      </c>
      <c r="M520" s="23" t="str">
        <f ca="1">IFERROR(VLOOKUP(Tabela4[[#This Row],[Cabo]],BD!A:AD,30,0),"")</f>
        <v/>
      </c>
      <c r="N520" s="23" t="str">
        <f ca="1">IF(SUMIF('Lançamento de Cabos'!B:B,Tabela4[[#This Row],[Cabo]],'Lançamento de Cabos'!C:C)=0,"",SUMIF('Lançamento de Cabos'!B:B,Tabela4[[#This Row],[Cabo]],'Lançamento de Cabos'!C:C))</f>
        <v/>
      </c>
      <c r="O520" s="28" t="str">
        <f ca="1">IFERROR(IF(Tabela4[[#This Row],[Compr. Lançado]]/Tabela4[[#This Row],[Compr. Prev.]]&gt;1,1,Tabela4[[#This Row],[Compr. Lançado]]/Tabela4[[#This Row],[Compr. Prev.]]),"")</f>
        <v/>
      </c>
      <c r="P520" s="24" t="str">
        <f ca="1">IFERROR(VLOOKUP(Tabela4[[#This Row],[Cabo]],BD!A:V,11,0),"")</f>
        <v/>
      </c>
      <c r="Q520" s="24" t="str">
        <f ca="1">IFERROR(VLOOKUP(Tabela4[[#This Row],[Cabo]],BD!A:V,12,0),"")</f>
        <v/>
      </c>
      <c r="R52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0" s="23" t="str">
        <f ca="1">IF(Tabela4[[#This Row],[Cabo]]&lt;&gt;"",4-COUNTIF(Tabela4[[#This Row],[Teste de Continuidade]:[Hipot]],"---"),"")</f>
        <v/>
      </c>
      <c r="W520" s="29" t="str">
        <f ca="1">IF(Tabela4[[#This Row],[Cabo]]&lt;&gt;"",(COUNTIF(Tabela4[[#This Row],[Teste de Continuidade]:[Hipot]],"OK"))/(4-COUNTIF(Tabela4[[#This Row],[Teste de Continuidade]:[Hipot]],"---")),"")</f>
        <v/>
      </c>
      <c r="X520" s="23" t="str">
        <f ca="1">IF(Tabela4[[#This Row],[Cabo]]&lt;&gt;"",SUMIFS('Lançamento de Cabos'!$AF:$AF,'Lançamento de Cabos'!AE:AE,Tabela4[[#This Row],[Cabo]],'Lançamento de Cabos'!AJ:AJ,Área!$B$1),"")</f>
        <v/>
      </c>
      <c r="Y520" s="23" t="str">
        <f ca="1">IF(Tabela4[[#This Row],[Cabo]]&lt;&gt;"",SUMIFS('Lançamento de Cabos'!$AG:$AG,'Lançamento de Cabos'!AE:AE,Tabela4[[#This Row],[Cabo]],'Lançamento de Cabos'!AJ:AJ,Área!$B$1),"")</f>
        <v/>
      </c>
      <c r="Z520" s="23" t="e">
        <f ca="1">VLOOKUP(Tabela4[[#This Row],[Cabo]],BD!A:AB,28,0)</f>
        <v>#N/A</v>
      </c>
    </row>
    <row r="521" spans="3:26" x14ac:dyDescent="0.25">
      <c r="C521" s="391" t="str">
        <f ca="1">IF($B$1="Geral",Tabela1[[#This Row],[Tag do Cabo]],IFERROR(INDEX(INDIRECT("BD!$A"&amp;D521&amp;":$A100000"),E521,1),""))</f>
        <v/>
      </c>
      <c r="D521" s="391" t="str">
        <f t="shared" ca="1" si="20"/>
        <v/>
      </c>
      <c r="E521" s="391" t="str">
        <f t="shared" ca="1" si="21"/>
        <v/>
      </c>
      <c r="F521" s="23" t="str">
        <f ca="1">IFERROR(VLOOKUP(Tabela4[[#This Row],[Cabo]],BD!A:V,2,0),"")</f>
        <v/>
      </c>
      <c r="G521" s="391" t="str">
        <f ca="1">IFERROR(VLOOKUP(Tabela4[[#This Row],[Cabo]],BD!A:V,5,0),"")</f>
        <v/>
      </c>
      <c r="H521" s="23" t="str">
        <f ca="1">IFERROR(VLOOKUP(Tabela4[[#This Row],[Cabo]],BD!A:V,3,0),"")</f>
        <v/>
      </c>
      <c r="I521" s="23" t="str">
        <f ca="1">IFERROR(VLOOKUP(Tabela4[[#This Row],[Cabo]],BD!A:V,4,0),"")</f>
        <v/>
      </c>
      <c r="J521" s="23" t="str">
        <f ca="1">IFERROR(VLOOKUP(Tabela4[[#This Row],[Cabo]],BD!A:V,7,0),"")</f>
        <v/>
      </c>
      <c r="K52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1" s="23" t="str">
        <f ca="1">IFERROR(VLOOKUP(Tabela4[[#This Row],[Cabo]],BD!A:V,9,0),"")</f>
        <v/>
      </c>
      <c r="M521" s="23" t="str">
        <f ca="1">IFERROR(VLOOKUP(Tabela4[[#This Row],[Cabo]],BD!A:AD,30,0),"")</f>
        <v/>
      </c>
      <c r="N521" s="23" t="str">
        <f ca="1">IF(SUMIF('Lançamento de Cabos'!B:B,Tabela4[[#This Row],[Cabo]],'Lançamento de Cabos'!C:C)=0,"",SUMIF('Lançamento de Cabos'!B:B,Tabela4[[#This Row],[Cabo]],'Lançamento de Cabos'!C:C))</f>
        <v/>
      </c>
      <c r="O521" s="28" t="str">
        <f ca="1">IFERROR(IF(Tabela4[[#This Row],[Compr. Lançado]]/Tabela4[[#This Row],[Compr. Prev.]]&gt;1,1,Tabela4[[#This Row],[Compr. Lançado]]/Tabela4[[#This Row],[Compr. Prev.]]),"")</f>
        <v/>
      </c>
      <c r="P521" s="24" t="str">
        <f ca="1">IFERROR(VLOOKUP(Tabela4[[#This Row],[Cabo]],BD!A:V,11,0),"")</f>
        <v/>
      </c>
      <c r="Q521" s="24" t="str">
        <f ca="1">IFERROR(VLOOKUP(Tabela4[[#This Row],[Cabo]],BD!A:V,12,0),"")</f>
        <v/>
      </c>
      <c r="R52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1" s="23" t="str">
        <f ca="1">IF(Tabela4[[#This Row],[Cabo]]&lt;&gt;"",4-COUNTIF(Tabela4[[#This Row],[Teste de Continuidade]:[Hipot]],"---"),"")</f>
        <v/>
      </c>
      <c r="W521" s="29" t="str">
        <f ca="1">IF(Tabela4[[#This Row],[Cabo]]&lt;&gt;"",(COUNTIF(Tabela4[[#This Row],[Teste de Continuidade]:[Hipot]],"OK"))/(4-COUNTIF(Tabela4[[#This Row],[Teste de Continuidade]:[Hipot]],"---")),"")</f>
        <v/>
      </c>
      <c r="X521" s="23" t="str">
        <f ca="1">IF(Tabela4[[#This Row],[Cabo]]&lt;&gt;"",SUMIFS('Lançamento de Cabos'!$AF:$AF,'Lançamento de Cabos'!AE:AE,Tabela4[[#This Row],[Cabo]],'Lançamento de Cabos'!AJ:AJ,Área!$B$1),"")</f>
        <v/>
      </c>
      <c r="Y521" s="23" t="str">
        <f ca="1">IF(Tabela4[[#This Row],[Cabo]]&lt;&gt;"",SUMIFS('Lançamento de Cabos'!$AG:$AG,'Lançamento de Cabos'!AE:AE,Tabela4[[#This Row],[Cabo]],'Lançamento de Cabos'!AJ:AJ,Área!$B$1),"")</f>
        <v/>
      </c>
      <c r="Z521" s="23" t="e">
        <f ca="1">VLOOKUP(Tabela4[[#This Row],[Cabo]],BD!A:AB,28,0)</f>
        <v>#N/A</v>
      </c>
    </row>
    <row r="522" spans="3:26" x14ac:dyDescent="0.25">
      <c r="C522" s="391" t="str">
        <f ca="1">IF($B$1="Geral",Tabela1[[#This Row],[Tag do Cabo]],IFERROR(INDEX(INDIRECT("BD!$A"&amp;D522&amp;":$A100000"),E522,1),""))</f>
        <v/>
      </c>
      <c r="D522" s="391" t="str">
        <f t="shared" ca="1" si="20"/>
        <v/>
      </c>
      <c r="E522" s="391" t="str">
        <f t="shared" ca="1" si="21"/>
        <v/>
      </c>
      <c r="F522" s="23" t="str">
        <f ca="1">IFERROR(VLOOKUP(Tabela4[[#This Row],[Cabo]],BD!A:V,2,0),"")</f>
        <v/>
      </c>
      <c r="G522" s="391" t="str">
        <f ca="1">IFERROR(VLOOKUP(Tabela4[[#This Row],[Cabo]],BD!A:V,5,0),"")</f>
        <v/>
      </c>
      <c r="H522" s="23" t="str">
        <f ca="1">IFERROR(VLOOKUP(Tabela4[[#This Row],[Cabo]],BD!A:V,3,0),"")</f>
        <v/>
      </c>
      <c r="I522" s="23" t="str">
        <f ca="1">IFERROR(VLOOKUP(Tabela4[[#This Row],[Cabo]],BD!A:V,4,0),"")</f>
        <v/>
      </c>
      <c r="J522" s="23" t="str">
        <f ca="1">IFERROR(VLOOKUP(Tabela4[[#This Row],[Cabo]],BD!A:V,7,0),"")</f>
        <v/>
      </c>
      <c r="K52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2" s="23" t="str">
        <f ca="1">IFERROR(VLOOKUP(Tabela4[[#This Row],[Cabo]],BD!A:V,9,0),"")</f>
        <v/>
      </c>
      <c r="M522" s="23" t="str">
        <f ca="1">IFERROR(VLOOKUP(Tabela4[[#This Row],[Cabo]],BD!A:AD,30,0),"")</f>
        <v/>
      </c>
      <c r="N522" s="23" t="str">
        <f ca="1">IF(SUMIF('Lançamento de Cabos'!B:B,Tabela4[[#This Row],[Cabo]],'Lançamento de Cabos'!C:C)=0,"",SUMIF('Lançamento de Cabos'!B:B,Tabela4[[#This Row],[Cabo]],'Lançamento de Cabos'!C:C))</f>
        <v/>
      </c>
      <c r="O522" s="28" t="str">
        <f ca="1">IFERROR(IF(Tabela4[[#This Row],[Compr. Lançado]]/Tabela4[[#This Row],[Compr. Prev.]]&gt;1,1,Tabela4[[#This Row],[Compr. Lançado]]/Tabela4[[#This Row],[Compr. Prev.]]),"")</f>
        <v/>
      </c>
      <c r="P522" s="24" t="str">
        <f ca="1">IFERROR(VLOOKUP(Tabela4[[#This Row],[Cabo]],BD!A:V,11,0),"")</f>
        <v/>
      </c>
      <c r="Q522" s="24" t="str">
        <f ca="1">IFERROR(VLOOKUP(Tabela4[[#This Row],[Cabo]],BD!A:V,12,0),"")</f>
        <v/>
      </c>
      <c r="R52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2" s="23" t="str">
        <f ca="1">IF(Tabela4[[#This Row],[Cabo]]&lt;&gt;"",4-COUNTIF(Tabela4[[#This Row],[Teste de Continuidade]:[Hipot]],"---"),"")</f>
        <v/>
      </c>
      <c r="W522" s="29" t="str">
        <f ca="1">IF(Tabela4[[#This Row],[Cabo]]&lt;&gt;"",(COUNTIF(Tabela4[[#This Row],[Teste de Continuidade]:[Hipot]],"OK"))/(4-COUNTIF(Tabela4[[#This Row],[Teste de Continuidade]:[Hipot]],"---")),"")</f>
        <v/>
      </c>
      <c r="X522" s="23" t="str">
        <f ca="1">IF(Tabela4[[#This Row],[Cabo]]&lt;&gt;"",SUMIFS('Lançamento de Cabos'!$AF:$AF,'Lançamento de Cabos'!AE:AE,Tabela4[[#This Row],[Cabo]],'Lançamento de Cabos'!AJ:AJ,Área!$B$1),"")</f>
        <v/>
      </c>
      <c r="Y522" s="23" t="str">
        <f ca="1">IF(Tabela4[[#This Row],[Cabo]]&lt;&gt;"",SUMIFS('Lançamento de Cabos'!$AG:$AG,'Lançamento de Cabos'!AE:AE,Tabela4[[#This Row],[Cabo]],'Lançamento de Cabos'!AJ:AJ,Área!$B$1),"")</f>
        <v/>
      </c>
      <c r="Z522" s="23" t="e">
        <f ca="1">VLOOKUP(Tabela4[[#This Row],[Cabo]],BD!A:AB,28,0)</f>
        <v>#N/A</v>
      </c>
    </row>
    <row r="523" spans="3:26" x14ac:dyDescent="0.25">
      <c r="C523" s="391" t="str">
        <f ca="1">IF($B$1="Geral",Tabela1[[#This Row],[Tag do Cabo]],IFERROR(INDEX(INDIRECT("BD!$A"&amp;D523&amp;":$A100000"),E523,1),""))</f>
        <v/>
      </c>
      <c r="D523" s="391" t="str">
        <f t="shared" ca="1" si="20"/>
        <v/>
      </c>
      <c r="E523" s="391" t="str">
        <f t="shared" ca="1" si="21"/>
        <v/>
      </c>
      <c r="F523" s="23" t="str">
        <f ca="1">IFERROR(VLOOKUP(Tabela4[[#This Row],[Cabo]],BD!A:V,2,0),"")</f>
        <v/>
      </c>
      <c r="G523" s="391" t="str">
        <f ca="1">IFERROR(VLOOKUP(Tabela4[[#This Row],[Cabo]],BD!A:V,5,0),"")</f>
        <v/>
      </c>
      <c r="H523" s="23" t="str">
        <f ca="1">IFERROR(VLOOKUP(Tabela4[[#This Row],[Cabo]],BD!A:V,3,0),"")</f>
        <v/>
      </c>
      <c r="I523" s="23" t="str">
        <f ca="1">IFERROR(VLOOKUP(Tabela4[[#This Row],[Cabo]],BD!A:V,4,0),"")</f>
        <v/>
      </c>
      <c r="J523" s="23" t="str">
        <f ca="1">IFERROR(VLOOKUP(Tabela4[[#This Row],[Cabo]],BD!A:V,7,0),"")</f>
        <v/>
      </c>
      <c r="K52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3" s="23" t="str">
        <f ca="1">IFERROR(VLOOKUP(Tabela4[[#This Row],[Cabo]],BD!A:V,9,0),"")</f>
        <v/>
      </c>
      <c r="M523" s="23" t="str">
        <f ca="1">IFERROR(VLOOKUP(Tabela4[[#This Row],[Cabo]],BD!A:AD,30,0),"")</f>
        <v/>
      </c>
      <c r="N523" s="23" t="str">
        <f ca="1">IF(SUMIF('Lançamento de Cabos'!B:B,Tabela4[[#This Row],[Cabo]],'Lançamento de Cabos'!C:C)=0,"",SUMIF('Lançamento de Cabos'!B:B,Tabela4[[#This Row],[Cabo]],'Lançamento de Cabos'!C:C))</f>
        <v/>
      </c>
      <c r="O523" s="28" t="str">
        <f ca="1">IFERROR(IF(Tabela4[[#This Row],[Compr. Lançado]]/Tabela4[[#This Row],[Compr. Prev.]]&gt;1,1,Tabela4[[#This Row],[Compr. Lançado]]/Tabela4[[#This Row],[Compr. Prev.]]),"")</f>
        <v/>
      </c>
      <c r="P523" s="24" t="str">
        <f ca="1">IFERROR(VLOOKUP(Tabela4[[#This Row],[Cabo]],BD!A:V,11,0),"")</f>
        <v/>
      </c>
      <c r="Q523" s="24" t="str">
        <f ca="1">IFERROR(VLOOKUP(Tabela4[[#This Row],[Cabo]],BD!A:V,12,0),"")</f>
        <v/>
      </c>
      <c r="R52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3" s="23" t="str">
        <f ca="1">IF(Tabela4[[#This Row],[Cabo]]&lt;&gt;"",4-COUNTIF(Tabela4[[#This Row],[Teste de Continuidade]:[Hipot]],"---"),"")</f>
        <v/>
      </c>
      <c r="W523" s="29" t="str">
        <f ca="1">IF(Tabela4[[#This Row],[Cabo]]&lt;&gt;"",(COUNTIF(Tabela4[[#This Row],[Teste de Continuidade]:[Hipot]],"OK"))/(4-COUNTIF(Tabela4[[#This Row],[Teste de Continuidade]:[Hipot]],"---")),"")</f>
        <v/>
      </c>
      <c r="X523" s="23" t="str">
        <f ca="1">IF(Tabela4[[#This Row],[Cabo]]&lt;&gt;"",SUMIFS('Lançamento de Cabos'!$AF:$AF,'Lançamento de Cabos'!AE:AE,Tabela4[[#This Row],[Cabo]],'Lançamento de Cabos'!AJ:AJ,Área!$B$1),"")</f>
        <v/>
      </c>
      <c r="Y523" s="23" t="str">
        <f ca="1">IF(Tabela4[[#This Row],[Cabo]]&lt;&gt;"",SUMIFS('Lançamento de Cabos'!$AG:$AG,'Lançamento de Cabos'!AE:AE,Tabela4[[#This Row],[Cabo]],'Lançamento de Cabos'!AJ:AJ,Área!$B$1),"")</f>
        <v/>
      </c>
      <c r="Z523" s="23" t="e">
        <f ca="1">VLOOKUP(Tabela4[[#This Row],[Cabo]],BD!A:AB,28,0)</f>
        <v>#N/A</v>
      </c>
    </row>
    <row r="524" spans="3:26" x14ac:dyDescent="0.25">
      <c r="C524" s="391" t="str">
        <f ca="1">IF($B$1="Geral",Tabela1[[#This Row],[Tag do Cabo]],IFERROR(INDEX(INDIRECT("BD!$A"&amp;D524&amp;":$A100000"),E524,1),""))</f>
        <v/>
      </c>
      <c r="D524" s="391" t="str">
        <f t="shared" ca="1" si="20"/>
        <v/>
      </c>
      <c r="E524" s="391" t="str">
        <f t="shared" ca="1" si="21"/>
        <v/>
      </c>
      <c r="F524" s="23" t="str">
        <f ca="1">IFERROR(VLOOKUP(Tabela4[[#This Row],[Cabo]],BD!A:V,2,0),"")</f>
        <v/>
      </c>
      <c r="G524" s="391" t="str">
        <f ca="1">IFERROR(VLOOKUP(Tabela4[[#This Row],[Cabo]],BD!A:V,5,0),"")</f>
        <v/>
      </c>
      <c r="H524" s="23" t="str">
        <f ca="1">IFERROR(VLOOKUP(Tabela4[[#This Row],[Cabo]],BD!A:V,3,0),"")</f>
        <v/>
      </c>
      <c r="I524" s="23" t="str">
        <f ca="1">IFERROR(VLOOKUP(Tabela4[[#This Row],[Cabo]],BD!A:V,4,0),"")</f>
        <v/>
      </c>
      <c r="J524" s="23" t="str">
        <f ca="1">IFERROR(VLOOKUP(Tabela4[[#This Row],[Cabo]],BD!A:V,7,0),"")</f>
        <v/>
      </c>
      <c r="K52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4" s="23" t="str">
        <f ca="1">IFERROR(VLOOKUP(Tabela4[[#This Row],[Cabo]],BD!A:V,9,0),"")</f>
        <v/>
      </c>
      <c r="M524" s="23" t="str">
        <f ca="1">IFERROR(VLOOKUP(Tabela4[[#This Row],[Cabo]],BD!A:AD,30,0),"")</f>
        <v/>
      </c>
      <c r="N524" s="23" t="str">
        <f ca="1">IF(SUMIF('Lançamento de Cabos'!B:B,Tabela4[[#This Row],[Cabo]],'Lançamento de Cabos'!C:C)=0,"",SUMIF('Lançamento de Cabos'!B:B,Tabela4[[#This Row],[Cabo]],'Lançamento de Cabos'!C:C))</f>
        <v/>
      </c>
      <c r="O524" s="28" t="str">
        <f ca="1">IFERROR(IF(Tabela4[[#This Row],[Compr. Lançado]]/Tabela4[[#This Row],[Compr. Prev.]]&gt;1,1,Tabela4[[#This Row],[Compr. Lançado]]/Tabela4[[#This Row],[Compr. Prev.]]),"")</f>
        <v/>
      </c>
      <c r="P524" s="24" t="str">
        <f ca="1">IFERROR(VLOOKUP(Tabela4[[#This Row],[Cabo]],BD!A:V,11,0),"")</f>
        <v/>
      </c>
      <c r="Q524" s="24" t="str">
        <f ca="1">IFERROR(VLOOKUP(Tabela4[[#This Row],[Cabo]],BD!A:V,12,0),"")</f>
        <v/>
      </c>
      <c r="R52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4" s="23" t="str">
        <f ca="1">IF(Tabela4[[#This Row],[Cabo]]&lt;&gt;"",4-COUNTIF(Tabela4[[#This Row],[Teste de Continuidade]:[Hipot]],"---"),"")</f>
        <v/>
      </c>
      <c r="W524" s="29" t="str">
        <f ca="1">IF(Tabela4[[#This Row],[Cabo]]&lt;&gt;"",(COUNTIF(Tabela4[[#This Row],[Teste de Continuidade]:[Hipot]],"OK"))/(4-COUNTIF(Tabela4[[#This Row],[Teste de Continuidade]:[Hipot]],"---")),"")</f>
        <v/>
      </c>
      <c r="X524" s="23" t="str">
        <f ca="1">IF(Tabela4[[#This Row],[Cabo]]&lt;&gt;"",SUMIFS('Lançamento de Cabos'!$AF:$AF,'Lançamento de Cabos'!AE:AE,Tabela4[[#This Row],[Cabo]],'Lançamento de Cabos'!AJ:AJ,Área!$B$1),"")</f>
        <v/>
      </c>
      <c r="Y524" s="23" t="str">
        <f ca="1">IF(Tabela4[[#This Row],[Cabo]]&lt;&gt;"",SUMIFS('Lançamento de Cabos'!$AG:$AG,'Lançamento de Cabos'!AE:AE,Tabela4[[#This Row],[Cabo]],'Lançamento de Cabos'!AJ:AJ,Área!$B$1),"")</f>
        <v/>
      </c>
      <c r="Z524" s="23" t="e">
        <f ca="1">VLOOKUP(Tabela4[[#This Row],[Cabo]],BD!A:AB,28,0)</f>
        <v>#N/A</v>
      </c>
    </row>
    <row r="525" spans="3:26" x14ac:dyDescent="0.25">
      <c r="C525" s="391" t="str">
        <f ca="1">IF($B$1="Geral",Tabela1[[#This Row],[Tag do Cabo]],IFERROR(INDEX(INDIRECT("BD!$A"&amp;D525&amp;":$A100000"),E525,1),""))</f>
        <v/>
      </c>
      <c r="D525" s="391" t="str">
        <f t="shared" ca="1" si="20"/>
        <v/>
      </c>
      <c r="E525" s="391" t="str">
        <f t="shared" ca="1" si="21"/>
        <v/>
      </c>
      <c r="F525" s="23" t="str">
        <f ca="1">IFERROR(VLOOKUP(Tabela4[[#This Row],[Cabo]],BD!A:V,2,0),"")</f>
        <v/>
      </c>
      <c r="G525" s="391" t="str">
        <f ca="1">IFERROR(VLOOKUP(Tabela4[[#This Row],[Cabo]],BD!A:V,5,0),"")</f>
        <v/>
      </c>
      <c r="H525" s="23" t="str">
        <f ca="1">IFERROR(VLOOKUP(Tabela4[[#This Row],[Cabo]],BD!A:V,3,0),"")</f>
        <v/>
      </c>
      <c r="I525" s="23" t="str">
        <f ca="1">IFERROR(VLOOKUP(Tabela4[[#This Row],[Cabo]],BD!A:V,4,0),"")</f>
        <v/>
      </c>
      <c r="J525" s="23" t="str">
        <f ca="1">IFERROR(VLOOKUP(Tabela4[[#This Row],[Cabo]],BD!A:V,7,0),"")</f>
        <v/>
      </c>
      <c r="K52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5" s="23" t="str">
        <f ca="1">IFERROR(VLOOKUP(Tabela4[[#This Row],[Cabo]],BD!A:V,9,0),"")</f>
        <v/>
      </c>
      <c r="M525" s="23" t="str">
        <f ca="1">IFERROR(VLOOKUP(Tabela4[[#This Row],[Cabo]],BD!A:AD,30,0),"")</f>
        <v/>
      </c>
      <c r="N525" s="23" t="str">
        <f ca="1">IF(SUMIF('Lançamento de Cabos'!B:B,Tabela4[[#This Row],[Cabo]],'Lançamento de Cabos'!C:C)=0,"",SUMIF('Lançamento de Cabos'!B:B,Tabela4[[#This Row],[Cabo]],'Lançamento de Cabos'!C:C))</f>
        <v/>
      </c>
      <c r="O525" s="28" t="str">
        <f ca="1">IFERROR(IF(Tabela4[[#This Row],[Compr. Lançado]]/Tabela4[[#This Row],[Compr. Prev.]]&gt;1,1,Tabela4[[#This Row],[Compr. Lançado]]/Tabela4[[#This Row],[Compr. Prev.]]),"")</f>
        <v/>
      </c>
      <c r="P525" s="24" t="str">
        <f ca="1">IFERROR(VLOOKUP(Tabela4[[#This Row],[Cabo]],BD!A:V,11,0),"")</f>
        <v/>
      </c>
      <c r="Q525" s="24" t="str">
        <f ca="1">IFERROR(VLOOKUP(Tabela4[[#This Row],[Cabo]],BD!A:V,12,0),"")</f>
        <v/>
      </c>
      <c r="R52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5" s="23" t="str">
        <f ca="1">IF(Tabela4[[#This Row],[Cabo]]&lt;&gt;"",4-COUNTIF(Tabela4[[#This Row],[Teste de Continuidade]:[Hipot]],"---"),"")</f>
        <v/>
      </c>
      <c r="W525" s="29" t="str">
        <f ca="1">IF(Tabela4[[#This Row],[Cabo]]&lt;&gt;"",(COUNTIF(Tabela4[[#This Row],[Teste de Continuidade]:[Hipot]],"OK"))/(4-COUNTIF(Tabela4[[#This Row],[Teste de Continuidade]:[Hipot]],"---")),"")</f>
        <v/>
      </c>
      <c r="X525" s="23" t="str">
        <f ca="1">IF(Tabela4[[#This Row],[Cabo]]&lt;&gt;"",SUMIFS('Lançamento de Cabos'!$AF:$AF,'Lançamento de Cabos'!AE:AE,Tabela4[[#This Row],[Cabo]],'Lançamento de Cabos'!AJ:AJ,Área!$B$1),"")</f>
        <v/>
      </c>
      <c r="Y525" s="23" t="str">
        <f ca="1">IF(Tabela4[[#This Row],[Cabo]]&lt;&gt;"",SUMIFS('Lançamento de Cabos'!$AG:$AG,'Lançamento de Cabos'!AE:AE,Tabela4[[#This Row],[Cabo]],'Lançamento de Cabos'!AJ:AJ,Área!$B$1),"")</f>
        <v/>
      </c>
      <c r="Z525" s="23" t="e">
        <f ca="1">VLOOKUP(Tabela4[[#This Row],[Cabo]],BD!A:AB,28,0)</f>
        <v>#N/A</v>
      </c>
    </row>
    <row r="526" spans="3:26" x14ac:dyDescent="0.25">
      <c r="C526" s="391" t="str">
        <f ca="1">IF($B$1="Geral",Tabela1[[#This Row],[Tag do Cabo]],IFERROR(INDEX(INDIRECT("BD!$A"&amp;D526&amp;":$A100000"),E526,1),""))</f>
        <v/>
      </c>
      <c r="D526" s="391" t="str">
        <f t="shared" ca="1" si="20"/>
        <v/>
      </c>
      <c r="E526" s="391" t="str">
        <f t="shared" ca="1" si="21"/>
        <v/>
      </c>
      <c r="F526" s="23" t="str">
        <f ca="1">IFERROR(VLOOKUP(Tabela4[[#This Row],[Cabo]],BD!A:V,2,0),"")</f>
        <v/>
      </c>
      <c r="G526" s="391" t="str">
        <f ca="1">IFERROR(VLOOKUP(Tabela4[[#This Row],[Cabo]],BD!A:V,5,0),"")</f>
        <v/>
      </c>
      <c r="H526" s="23" t="str">
        <f ca="1">IFERROR(VLOOKUP(Tabela4[[#This Row],[Cabo]],BD!A:V,3,0),"")</f>
        <v/>
      </c>
      <c r="I526" s="23" t="str">
        <f ca="1">IFERROR(VLOOKUP(Tabela4[[#This Row],[Cabo]],BD!A:V,4,0),"")</f>
        <v/>
      </c>
      <c r="J526" s="23" t="str">
        <f ca="1">IFERROR(VLOOKUP(Tabela4[[#This Row],[Cabo]],BD!A:V,7,0),"")</f>
        <v/>
      </c>
      <c r="K52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6" s="23" t="str">
        <f ca="1">IFERROR(VLOOKUP(Tabela4[[#This Row],[Cabo]],BD!A:V,9,0),"")</f>
        <v/>
      </c>
      <c r="M526" s="23" t="str">
        <f ca="1">IFERROR(VLOOKUP(Tabela4[[#This Row],[Cabo]],BD!A:AD,30,0),"")</f>
        <v/>
      </c>
      <c r="N526" s="23" t="str">
        <f ca="1">IF(SUMIF('Lançamento de Cabos'!B:B,Tabela4[[#This Row],[Cabo]],'Lançamento de Cabos'!C:C)=0,"",SUMIF('Lançamento de Cabos'!B:B,Tabela4[[#This Row],[Cabo]],'Lançamento de Cabos'!C:C))</f>
        <v/>
      </c>
      <c r="O526" s="28" t="str">
        <f ca="1">IFERROR(IF(Tabela4[[#This Row],[Compr. Lançado]]/Tabela4[[#This Row],[Compr. Prev.]]&gt;1,1,Tabela4[[#This Row],[Compr. Lançado]]/Tabela4[[#This Row],[Compr. Prev.]]),"")</f>
        <v/>
      </c>
      <c r="P526" s="24" t="str">
        <f ca="1">IFERROR(VLOOKUP(Tabela4[[#This Row],[Cabo]],BD!A:V,11,0),"")</f>
        <v/>
      </c>
      <c r="Q526" s="24" t="str">
        <f ca="1">IFERROR(VLOOKUP(Tabela4[[#This Row],[Cabo]],BD!A:V,12,0),"")</f>
        <v/>
      </c>
      <c r="R52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6" s="23" t="str">
        <f ca="1">IF(Tabela4[[#This Row],[Cabo]]&lt;&gt;"",4-COUNTIF(Tabela4[[#This Row],[Teste de Continuidade]:[Hipot]],"---"),"")</f>
        <v/>
      </c>
      <c r="W526" s="29" t="str">
        <f ca="1">IF(Tabela4[[#This Row],[Cabo]]&lt;&gt;"",(COUNTIF(Tabela4[[#This Row],[Teste de Continuidade]:[Hipot]],"OK"))/(4-COUNTIF(Tabela4[[#This Row],[Teste de Continuidade]:[Hipot]],"---")),"")</f>
        <v/>
      </c>
      <c r="X526" s="23" t="str">
        <f ca="1">IF(Tabela4[[#This Row],[Cabo]]&lt;&gt;"",SUMIFS('Lançamento de Cabos'!$AF:$AF,'Lançamento de Cabos'!AE:AE,Tabela4[[#This Row],[Cabo]],'Lançamento de Cabos'!AJ:AJ,Área!$B$1),"")</f>
        <v/>
      </c>
      <c r="Y526" s="23" t="str">
        <f ca="1">IF(Tabela4[[#This Row],[Cabo]]&lt;&gt;"",SUMIFS('Lançamento de Cabos'!$AG:$AG,'Lançamento de Cabos'!AE:AE,Tabela4[[#This Row],[Cabo]],'Lançamento de Cabos'!AJ:AJ,Área!$B$1),"")</f>
        <v/>
      </c>
      <c r="Z526" s="23" t="e">
        <f ca="1">VLOOKUP(Tabela4[[#This Row],[Cabo]],BD!A:AB,28,0)</f>
        <v>#N/A</v>
      </c>
    </row>
    <row r="527" spans="3:26" x14ac:dyDescent="0.25">
      <c r="C527" s="391" t="str">
        <f ca="1">IF($B$1="Geral",Tabela1[[#This Row],[Tag do Cabo]],IFERROR(INDEX(INDIRECT("BD!$A"&amp;D527&amp;":$A100000"),E527,1),""))</f>
        <v/>
      </c>
      <c r="D527" s="391" t="str">
        <f t="shared" ca="1" si="20"/>
        <v/>
      </c>
      <c r="E527" s="391" t="str">
        <f t="shared" ca="1" si="21"/>
        <v/>
      </c>
      <c r="F527" s="23" t="str">
        <f ca="1">IFERROR(VLOOKUP(Tabela4[[#This Row],[Cabo]],BD!A:V,2,0),"")</f>
        <v/>
      </c>
      <c r="G527" s="391" t="str">
        <f ca="1">IFERROR(VLOOKUP(Tabela4[[#This Row],[Cabo]],BD!A:V,5,0),"")</f>
        <v/>
      </c>
      <c r="H527" s="23" t="str">
        <f ca="1">IFERROR(VLOOKUP(Tabela4[[#This Row],[Cabo]],BD!A:V,3,0),"")</f>
        <v/>
      </c>
      <c r="I527" s="23" t="str">
        <f ca="1">IFERROR(VLOOKUP(Tabela4[[#This Row],[Cabo]],BD!A:V,4,0),"")</f>
        <v/>
      </c>
      <c r="J527" s="23" t="str">
        <f ca="1">IFERROR(VLOOKUP(Tabela4[[#This Row],[Cabo]],BD!A:V,7,0),"")</f>
        <v/>
      </c>
      <c r="K52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7" s="23" t="str">
        <f ca="1">IFERROR(VLOOKUP(Tabela4[[#This Row],[Cabo]],BD!A:V,9,0),"")</f>
        <v/>
      </c>
      <c r="M527" s="23" t="str">
        <f ca="1">IFERROR(VLOOKUP(Tabela4[[#This Row],[Cabo]],BD!A:AD,30,0),"")</f>
        <v/>
      </c>
      <c r="N527" s="23" t="str">
        <f ca="1">IF(SUMIF('Lançamento de Cabos'!B:B,Tabela4[[#This Row],[Cabo]],'Lançamento de Cabos'!C:C)=0,"",SUMIF('Lançamento de Cabos'!B:B,Tabela4[[#This Row],[Cabo]],'Lançamento de Cabos'!C:C))</f>
        <v/>
      </c>
      <c r="O527" s="28" t="str">
        <f ca="1">IFERROR(IF(Tabela4[[#This Row],[Compr. Lançado]]/Tabela4[[#This Row],[Compr. Prev.]]&gt;1,1,Tabela4[[#This Row],[Compr. Lançado]]/Tabela4[[#This Row],[Compr. Prev.]]),"")</f>
        <v/>
      </c>
      <c r="P527" s="24" t="str">
        <f ca="1">IFERROR(VLOOKUP(Tabela4[[#This Row],[Cabo]],BD!A:V,11,0),"")</f>
        <v/>
      </c>
      <c r="Q527" s="24" t="str">
        <f ca="1">IFERROR(VLOOKUP(Tabela4[[#This Row],[Cabo]],BD!A:V,12,0),"")</f>
        <v/>
      </c>
      <c r="R52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7" s="23" t="str">
        <f ca="1">IF(Tabela4[[#This Row],[Cabo]]&lt;&gt;"",4-COUNTIF(Tabela4[[#This Row],[Teste de Continuidade]:[Hipot]],"---"),"")</f>
        <v/>
      </c>
      <c r="W527" s="29" t="str">
        <f ca="1">IF(Tabela4[[#This Row],[Cabo]]&lt;&gt;"",(COUNTIF(Tabela4[[#This Row],[Teste de Continuidade]:[Hipot]],"OK"))/(4-COUNTIF(Tabela4[[#This Row],[Teste de Continuidade]:[Hipot]],"---")),"")</f>
        <v/>
      </c>
      <c r="X527" s="23" t="str">
        <f ca="1">IF(Tabela4[[#This Row],[Cabo]]&lt;&gt;"",SUMIFS('Lançamento de Cabos'!$AF:$AF,'Lançamento de Cabos'!AE:AE,Tabela4[[#This Row],[Cabo]],'Lançamento de Cabos'!AJ:AJ,Área!$B$1),"")</f>
        <v/>
      </c>
      <c r="Y527" s="23" t="str">
        <f ca="1">IF(Tabela4[[#This Row],[Cabo]]&lt;&gt;"",SUMIFS('Lançamento de Cabos'!$AG:$AG,'Lançamento de Cabos'!AE:AE,Tabela4[[#This Row],[Cabo]],'Lançamento de Cabos'!AJ:AJ,Área!$B$1),"")</f>
        <v/>
      </c>
      <c r="Z527" s="23" t="e">
        <f ca="1">VLOOKUP(Tabela4[[#This Row],[Cabo]],BD!A:AB,28,0)</f>
        <v>#N/A</v>
      </c>
    </row>
    <row r="528" spans="3:26" x14ac:dyDescent="0.25">
      <c r="C528" s="391" t="str">
        <f ca="1">IF($B$1="Geral",Tabela1[[#This Row],[Tag do Cabo]],IFERROR(INDEX(INDIRECT("BD!$A"&amp;D528&amp;":$A100000"),E528,1),""))</f>
        <v/>
      </c>
      <c r="D528" s="391" t="str">
        <f t="shared" ca="1" si="20"/>
        <v/>
      </c>
      <c r="E528" s="391" t="str">
        <f t="shared" ca="1" si="21"/>
        <v/>
      </c>
      <c r="F528" s="23" t="str">
        <f ca="1">IFERROR(VLOOKUP(Tabela4[[#This Row],[Cabo]],BD!A:V,2,0),"")</f>
        <v/>
      </c>
      <c r="G528" s="391" t="str">
        <f ca="1">IFERROR(VLOOKUP(Tabela4[[#This Row],[Cabo]],BD!A:V,5,0),"")</f>
        <v/>
      </c>
      <c r="H528" s="23" t="str">
        <f ca="1">IFERROR(VLOOKUP(Tabela4[[#This Row],[Cabo]],BD!A:V,3,0),"")</f>
        <v/>
      </c>
      <c r="I528" s="23" t="str">
        <f ca="1">IFERROR(VLOOKUP(Tabela4[[#This Row],[Cabo]],BD!A:V,4,0),"")</f>
        <v/>
      </c>
      <c r="J528" s="23" t="str">
        <f ca="1">IFERROR(VLOOKUP(Tabela4[[#This Row],[Cabo]],BD!A:V,7,0),"")</f>
        <v/>
      </c>
      <c r="K52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8" s="23" t="str">
        <f ca="1">IFERROR(VLOOKUP(Tabela4[[#This Row],[Cabo]],BD!A:V,9,0),"")</f>
        <v/>
      </c>
      <c r="M528" s="23" t="str">
        <f ca="1">IFERROR(VLOOKUP(Tabela4[[#This Row],[Cabo]],BD!A:AD,30,0),"")</f>
        <v/>
      </c>
      <c r="N528" s="23" t="str">
        <f ca="1">IF(SUMIF('Lançamento de Cabos'!B:B,Tabela4[[#This Row],[Cabo]],'Lançamento de Cabos'!C:C)=0,"",SUMIF('Lançamento de Cabos'!B:B,Tabela4[[#This Row],[Cabo]],'Lançamento de Cabos'!C:C))</f>
        <v/>
      </c>
      <c r="O528" s="28" t="str">
        <f ca="1">IFERROR(IF(Tabela4[[#This Row],[Compr. Lançado]]/Tabela4[[#This Row],[Compr. Prev.]]&gt;1,1,Tabela4[[#This Row],[Compr. Lançado]]/Tabela4[[#This Row],[Compr. Prev.]]),"")</f>
        <v/>
      </c>
      <c r="P528" s="24" t="str">
        <f ca="1">IFERROR(VLOOKUP(Tabela4[[#This Row],[Cabo]],BD!A:V,11,0),"")</f>
        <v/>
      </c>
      <c r="Q528" s="24" t="str">
        <f ca="1">IFERROR(VLOOKUP(Tabela4[[#This Row],[Cabo]],BD!A:V,12,0),"")</f>
        <v/>
      </c>
      <c r="R52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8" s="23" t="str">
        <f ca="1">IF(Tabela4[[#This Row],[Cabo]]&lt;&gt;"",4-COUNTIF(Tabela4[[#This Row],[Teste de Continuidade]:[Hipot]],"---"),"")</f>
        <v/>
      </c>
      <c r="W528" s="29" t="str">
        <f ca="1">IF(Tabela4[[#This Row],[Cabo]]&lt;&gt;"",(COUNTIF(Tabela4[[#This Row],[Teste de Continuidade]:[Hipot]],"OK"))/(4-COUNTIF(Tabela4[[#This Row],[Teste de Continuidade]:[Hipot]],"---")),"")</f>
        <v/>
      </c>
      <c r="X528" s="23" t="str">
        <f ca="1">IF(Tabela4[[#This Row],[Cabo]]&lt;&gt;"",SUMIFS('Lançamento de Cabos'!$AF:$AF,'Lançamento de Cabos'!AE:AE,Tabela4[[#This Row],[Cabo]],'Lançamento de Cabos'!AJ:AJ,Área!$B$1),"")</f>
        <v/>
      </c>
      <c r="Y528" s="23" t="str">
        <f ca="1">IF(Tabela4[[#This Row],[Cabo]]&lt;&gt;"",SUMIFS('Lançamento de Cabos'!$AG:$AG,'Lançamento de Cabos'!AE:AE,Tabela4[[#This Row],[Cabo]],'Lançamento de Cabos'!AJ:AJ,Área!$B$1),"")</f>
        <v/>
      </c>
      <c r="Z528" s="23" t="e">
        <f ca="1">VLOOKUP(Tabela4[[#This Row],[Cabo]],BD!A:AB,28,0)</f>
        <v>#N/A</v>
      </c>
    </row>
    <row r="529" spans="3:26" x14ac:dyDescent="0.25">
      <c r="C529" s="391" t="str">
        <f ca="1">IF($B$1="Geral",Tabela1[[#This Row],[Tag do Cabo]],IFERROR(INDEX(INDIRECT("BD!$A"&amp;D529&amp;":$A100000"),E529,1),""))</f>
        <v/>
      </c>
      <c r="D529" s="391" t="str">
        <f t="shared" ca="1" si="20"/>
        <v/>
      </c>
      <c r="E529" s="391" t="str">
        <f t="shared" ca="1" si="21"/>
        <v/>
      </c>
      <c r="F529" s="23" t="str">
        <f ca="1">IFERROR(VLOOKUP(Tabela4[[#This Row],[Cabo]],BD!A:V,2,0),"")</f>
        <v/>
      </c>
      <c r="G529" s="391" t="str">
        <f ca="1">IFERROR(VLOOKUP(Tabela4[[#This Row],[Cabo]],BD!A:V,5,0),"")</f>
        <v/>
      </c>
      <c r="H529" s="23" t="str">
        <f ca="1">IFERROR(VLOOKUP(Tabela4[[#This Row],[Cabo]],BD!A:V,3,0),"")</f>
        <v/>
      </c>
      <c r="I529" s="23" t="str">
        <f ca="1">IFERROR(VLOOKUP(Tabela4[[#This Row],[Cabo]],BD!A:V,4,0),"")</f>
        <v/>
      </c>
      <c r="J529" s="23" t="str">
        <f ca="1">IFERROR(VLOOKUP(Tabela4[[#This Row],[Cabo]],BD!A:V,7,0),"")</f>
        <v/>
      </c>
      <c r="K52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29" s="23" t="str">
        <f ca="1">IFERROR(VLOOKUP(Tabela4[[#This Row],[Cabo]],BD!A:V,9,0),"")</f>
        <v/>
      </c>
      <c r="M529" s="23" t="str">
        <f ca="1">IFERROR(VLOOKUP(Tabela4[[#This Row],[Cabo]],BD!A:AD,30,0),"")</f>
        <v/>
      </c>
      <c r="N529" s="23" t="str">
        <f ca="1">IF(SUMIF('Lançamento de Cabos'!B:B,Tabela4[[#This Row],[Cabo]],'Lançamento de Cabos'!C:C)=0,"",SUMIF('Lançamento de Cabos'!B:B,Tabela4[[#This Row],[Cabo]],'Lançamento de Cabos'!C:C))</f>
        <v/>
      </c>
      <c r="O529" s="28" t="str">
        <f ca="1">IFERROR(IF(Tabela4[[#This Row],[Compr. Lançado]]/Tabela4[[#This Row],[Compr. Prev.]]&gt;1,1,Tabela4[[#This Row],[Compr. Lançado]]/Tabela4[[#This Row],[Compr. Prev.]]),"")</f>
        <v/>
      </c>
      <c r="P529" s="24" t="str">
        <f ca="1">IFERROR(VLOOKUP(Tabela4[[#This Row],[Cabo]],BD!A:V,11,0),"")</f>
        <v/>
      </c>
      <c r="Q529" s="24" t="str">
        <f ca="1">IFERROR(VLOOKUP(Tabela4[[#This Row],[Cabo]],BD!A:V,12,0),"")</f>
        <v/>
      </c>
      <c r="R52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2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2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2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29" s="23" t="str">
        <f ca="1">IF(Tabela4[[#This Row],[Cabo]]&lt;&gt;"",4-COUNTIF(Tabela4[[#This Row],[Teste de Continuidade]:[Hipot]],"---"),"")</f>
        <v/>
      </c>
      <c r="W529" s="29" t="str">
        <f ca="1">IF(Tabela4[[#This Row],[Cabo]]&lt;&gt;"",(COUNTIF(Tabela4[[#This Row],[Teste de Continuidade]:[Hipot]],"OK"))/(4-COUNTIF(Tabela4[[#This Row],[Teste de Continuidade]:[Hipot]],"---")),"")</f>
        <v/>
      </c>
      <c r="X529" s="23" t="str">
        <f ca="1">IF(Tabela4[[#This Row],[Cabo]]&lt;&gt;"",SUMIFS('Lançamento de Cabos'!$AF:$AF,'Lançamento de Cabos'!AE:AE,Tabela4[[#This Row],[Cabo]],'Lançamento de Cabos'!AJ:AJ,Área!$B$1),"")</f>
        <v/>
      </c>
      <c r="Y529" s="23" t="str">
        <f ca="1">IF(Tabela4[[#This Row],[Cabo]]&lt;&gt;"",SUMIFS('Lançamento de Cabos'!$AG:$AG,'Lançamento de Cabos'!AE:AE,Tabela4[[#This Row],[Cabo]],'Lançamento de Cabos'!AJ:AJ,Área!$B$1),"")</f>
        <v/>
      </c>
      <c r="Z529" s="23" t="e">
        <f ca="1">VLOOKUP(Tabela4[[#This Row],[Cabo]],BD!A:AB,28,0)</f>
        <v>#N/A</v>
      </c>
    </row>
    <row r="530" spans="3:26" x14ac:dyDescent="0.25">
      <c r="C530" s="391" t="str">
        <f ca="1">IF($B$1="Geral",Tabela1[[#This Row],[Tag do Cabo]],IFERROR(INDEX(INDIRECT("BD!$A"&amp;D530&amp;":$A100000"),E530,1),""))</f>
        <v/>
      </c>
      <c r="D530" s="391" t="str">
        <f t="shared" ca="1" si="20"/>
        <v/>
      </c>
      <c r="E530" s="391" t="str">
        <f t="shared" ca="1" si="21"/>
        <v/>
      </c>
      <c r="F530" s="23" t="str">
        <f ca="1">IFERROR(VLOOKUP(Tabela4[[#This Row],[Cabo]],BD!A:V,2,0),"")</f>
        <v/>
      </c>
      <c r="G530" s="391" t="str">
        <f ca="1">IFERROR(VLOOKUP(Tabela4[[#This Row],[Cabo]],BD!A:V,5,0),"")</f>
        <v/>
      </c>
      <c r="H530" s="23" t="str">
        <f ca="1">IFERROR(VLOOKUP(Tabela4[[#This Row],[Cabo]],BD!A:V,3,0),"")</f>
        <v/>
      </c>
      <c r="I530" s="23" t="str">
        <f ca="1">IFERROR(VLOOKUP(Tabela4[[#This Row],[Cabo]],BD!A:V,4,0),"")</f>
        <v/>
      </c>
      <c r="J530" s="23" t="str">
        <f ca="1">IFERROR(VLOOKUP(Tabela4[[#This Row],[Cabo]],BD!A:V,7,0),"")</f>
        <v/>
      </c>
      <c r="K53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0" s="23" t="str">
        <f ca="1">IFERROR(VLOOKUP(Tabela4[[#This Row],[Cabo]],BD!A:V,9,0),"")</f>
        <v/>
      </c>
      <c r="M530" s="23" t="str">
        <f ca="1">IFERROR(VLOOKUP(Tabela4[[#This Row],[Cabo]],BD!A:AD,30,0),"")</f>
        <v/>
      </c>
      <c r="N530" s="23" t="str">
        <f ca="1">IF(SUMIF('Lançamento de Cabos'!B:B,Tabela4[[#This Row],[Cabo]],'Lançamento de Cabos'!C:C)=0,"",SUMIF('Lançamento de Cabos'!B:B,Tabela4[[#This Row],[Cabo]],'Lançamento de Cabos'!C:C))</f>
        <v/>
      </c>
      <c r="O530" s="28" t="str">
        <f ca="1">IFERROR(IF(Tabela4[[#This Row],[Compr. Lançado]]/Tabela4[[#This Row],[Compr. Prev.]]&gt;1,1,Tabela4[[#This Row],[Compr. Lançado]]/Tabela4[[#This Row],[Compr. Prev.]]),"")</f>
        <v/>
      </c>
      <c r="P530" s="24" t="str">
        <f ca="1">IFERROR(VLOOKUP(Tabela4[[#This Row],[Cabo]],BD!A:V,11,0),"")</f>
        <v/>
      </c>
      <c r="Q530" s="24" t="str">
        <f ca="1">IFERROR(VLOOKUP(Tabela4[[#This Row],[Cabo]],BD!A:V,12,0),"")</f>
        <v/>
      </c>
      <c r="R53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0" s="23" t="str">
        <f ca="1">IF(Tabela4[[#This Row],[Cabo]]&lt;&gt;"",4-COUNTIF(Tabela4[[#This Row],[Teste de Continuidade]:[Hipot]],"---"),"")</f>
        <v/>
      </c>
      <c r="W530" s="29" t="str">
        <f ca="1">IF(Tabela4[[#This Row],[Cabo]]&lt;&gt;"",(COUNTIF(Tabela4[[#This Row],[Teste de Continuidade]:[Hipot]],"OK"))/(4-COUNTIF(Tabela4[[#This Row],[Teste de Continuidade]:[Hipot]],"---")),"")</f>
        <v/>
      </c>
      <c r="X530" s="23" t="str">
        <f ca="1">IF(Tabela4[[#This Row],[Cabo]]&lt;&gt;"",SUMIFS('Lançamento de Cabos'!$AF:$AF,'Lançamento de Cabos'!AE:AE,Tabela4[[#This Row],[Cabo]],'Lançamento de Cabos'!AJ:AJ,Área!$B$1),"")</f>
        <v/>
      </c>
      <c r="Y530" s="23" t="str">
        <f ca="1">IF(Tabela4[[#This Row],[Cabo]]&lt;&gt;"",SUMIFS('Lançamento de Cabos'!$AG:$AG,'Lançamento de Cabos'!AE:AE,Tabela4[[#This Row],[Cabo]],'Lançamento de Cabos'!AJ:AJ,Área!$B$1),"")</f>
        <v/>
      </c>
      <c r="Z530" s="23" t="e">
        <f ca="1">VLOOKUP(Tabela4[[#This Row],[Cabo]],BD!A:AB,28,0)</f>
        <v>#N/A</v>
      </c>
    </row>
    <row r="531" spans="3:26" x14ac:dyDescent="0.25">
      <c r="C531" s="391" t="str">
        <f ca="1">IF($B$1="Geral",Tabela1[[#This Row],[Tag do Cabo]],IFERROR(INDEX(INDIRECT("BD!$A"&amp;D531&amp;":$A100000"),E531,1),""))</f>
        <v/>
      </c>
      <c r="D531" s="391" t="str">
        <f t="shared" ca="1" si="20"/>
        <v/>
      </c>
      <c r="E531" s="391" t="str">
        <f t="shared" ca="1" si="21"/>
        <v/>
      </c>
      <c r="F531" s="23" t="str">
        <f ca="1">IFERROR(VLOOKUP(Tabela4[[#This Row],[Cabo]],BD!A:V,2,0),"")</f>
        <v/>
      </c>
      <c r="G531" s="391" t="str">
        <f ca="1">IFERROR(VLOOKUP(Tabela4[[#This Row],[Cabo]],BD!A:V,5,0),"")</f>
        <v/>
      </c>
      <c r="H531" s="23" t="str">
        <f ca="1">IFERROR(VLOOKUP(Tabela4[[#This Row],[Cabo]],BD!A:V,3,0),"")</f>
        <v/>
      </c>
      <c r="I531" s="23" t="str">
        <f ca="1">IFERROR(VLOOKUP(Tabela4[[#This Row],[Cabo]],BD!A:V,4,0),"")</f>
        <v/>
      </c>
      <c r="J531" s="23" t="str">
        <f ca="1">IFERROR(VLOOKUP(Tabela4[[#This Row],[Cabo]],BD!A:V,7,0),"")</f>
        <v/>
      </c>
      <c r="K53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1" s="23" t="str">
        <f ca="1">IFERROR(VLOOKUP(Tabela4[[#This Row],[Cabo]],BD!A:V,9,0),"")</f>
        <v/>
      </c>
      <c r="M531" s="23" t="str">
        <f ca="1">IFERROR(VLOOKUP(Tabela4[[#This Row],[Cabo]],BD!A:AD,30,0),"")</f>
        <v/>
      </c>
      <c r="N531" s="23" t="str">
        <f ca="1">IF(SUMIF('Lançamento de Cabos'!B:B,Tabela4[[#This Row],[Cabo]],'Lançamento de Cabos'!C:C)=0,"",SUMIF('Lançamento de Cabos'!B:B,Tabela4[[#This Row],[Cabo]],'Lançamento de Cabos'!C:C))</f>
        <v/>
      </c>
      <c r="O531" s="28" t="str">
        <f ca="1">IFERROR(IF(Tabela4[[#This Row],[Compr. Lançado]]/Tabela4[[#This Row],[Compr. Prev.]]&gt;1,1,Tabela4[[#This Row],[Compr. Lançado]]/Tabela4[[#This Row],[Compr. Prev.]]),"")</f>
        <v/>
      </c>
      <c r="P531" s="24" t="str">
        <f ca="1">IFERROR(VLOOKUP(Tabela4[[#This Row],[Cabo]],BD!A:V,11,0),"")</f>
        <v/>
      </c>
      <c r="Q531" s="24" t="str">
        <f ca="1">IFERROR(VLOOKUP(Tabela4[[#This Row],[Cabo]],BD!A:V,12,0),"")</f>
        <v/>
      </c>
      <c r="R53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1" s="23" t="str">
        <f ca="1">IF(Tabela4[[#This Row],[Cabo]]&lt;&gt;"",4-COUNTIF(Tabela4[[#This Row],[Teste de Continuidade]:[Hipot]],"---"),"")</f>
        <v/>
      </c>
      <c r="W531" s="29" t="str">
        <f ca="1">IF(Tabela4[[#This Row],[Cabo]]&lt;&gt;"",(COUNTIF(Tabela4[[#This Row],[Teste de Continuidade]:[Hipot]],"OK"))/(4-COUNTIF(Tabela4[[#This Row],[Teste de Continuidade]:[Hipot]],"---")),"")</f>
        <v/>
      </c>
      <c r="X531" s="23" t="str">
        <f ca="1">IF(Tabela4[[#This Row],[Cabo]]&lt;&gt;"",SUMIFS('Lançamento de Cabos'!$AF:$AF,'Lançamento de Cabos'!AE:AE,Tabela4[[#This Row],[Cabo]],'Lançamento de Cabos'!AJ:AJ,Área!$B$1),"")</f>
        <v/>
      </c>
      <c r="Y531" s="23" t="str">
        <f ca="1">IF(Tabela4[[#This Row],[Cabo]]&lt;&gt;"",SUMIFS('Lançamento de Cabos'!$AG:$AG,'Lançamento de Cabos'!AE:AE,Tabela4[[#This Row],[Cabo]],'Lançamento de Cabos'!AJ:AJ,Área!$B$1),"")</f>
        <v/>
      </c>
      <c r="Z531" s="23" t="e">
        <f ca="1">VLOOKUP(Tabela4[[#This Row],[Cabo]],BD!A:AB,28,0)</f>
        <v>#N/A</v>
      </c>
    </row>
    <row r="532" spans="3:26" x14ac:dyDescent="0.25">
      <c r="C532" s="391" t="str">
        <f ca="1">IF($B$1="Geral",Tabela1[[#This Row],[Tag do Cabo]],IFERROR(INDEX(INDIRECT("BD!$A"&amp;D532&amp;":$A100000"),E532,1),""))</f>
        <v/>
      </c>
      <c r="D532" s="391" t="str">
        <f t="shared" ca="1" si="20"/>
        <v/>
      </c>
      <c r="E532" s="391" t="str">
        <f t="shared" ca="1" si="21"/>
        <v/>
      </c>
      <c r="F532" s="23" t="str">
        <f ca="1">IFERROR(VLOOKUP(Tabela4[[#This Row],[Cabo]],BD!A:V,2,0),"")</f>
        <v/>
      </c>
      <c r="G532" s="391" t="str">
        <f ca="1">IFERROR(VLOOKUP(Tabela4[[#This Row],[Cabo]],BD!A:V,5,0),"")</f>
        <v/>
      </c>
      <c r="H532" s="23" t="str">
        <f ca="1">IFERROR(VLOOKUP(Tabela4[[#This Row],[Cabo]],BD!A:V,3,0),"")</f>
        <v/>
      </c>
      <c r="I532" s="23" t="str">
        <f ca="1">IFERROR(VLOOKUP(Tabela4[[#This Row],[Cabo]],BD!A:V,4,0),"")</f>
        <v/>
      </c>
      <c r="J532" s="23" t="str">
        <f ca="1">IFERROR(VLOOKUP(Tabela4[[#This Row],[Cabo]],BD!A:V,7,0),"")</f>
        <v/>
      </c>
      <c r="K53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2" s="23" t="str">
        <f ca="1">IFERROR(VLOOKUP(Tabela4[[#This Row],[Cabo]],BD!A:V,9,0),"")</f>
        <v/>
      </c>
      <c r="M532" s="23" t="str">
        <f ca="1">IFERROR(VLOOKUP(Tabela4[[#This Row],[Cabo]],BD!A:AD,30,0),"")</f>
        <v/>
      </c>
      <c r="N532" s="23" t="str">
        <f ca="1">IF(SUMIF('Lançamento de Cabos'!B:B,Tabela4[[#This Row],[Cabo]],'Lançamento de Cabos'!C:C)=0,"",SUMIF('Lançamento de Cabos'!B:B,Tabela4[[#This Row],[Cabo]],'Lançamento de Cabos'!C:C))</f>
        <v/>
      </c>
      <c r="O532" s="28" t="str">
        <f ca="1">IFERROR(IF(Tabela4[[#This Row],[Compr. Lançado]]/Tabela4[[#This Row],[Compr. Prev.]]&gt;1,1,Tabela4[[#This Row],[Compr. Lançado]]/Tabela4[[#This Row],[Compr. Prev.]]),"")</f>
        <v/>
      </c>
      <c r="P532" s="24" t="str">
        <f ca="1">IFERROR(VLOOKUP(Tabela4[[#This Row],[Cabo]],BD!A:V,11,0),"")</f>
        <v/>
      </c>
      <c r="Q532" s="24" t="str">
        <f ca="1">IFERROR(VLOOKUP(Tabela4[[#This Row],[Cabo]],BD!A:V,12,0),"")</f>
        <v/>
      </c>
      <c r="R53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2" s="23" t="str">
        <f ca="1">IF(Tabela4[[#This Row],[Cabo]]&lt;&gt;"",4-COUNTIF(Tabela4[[#This Row],[Teste de Continuidade]:[Hipot]],"---"),"")</f>
        <v/>
      </c>
      <c r="W532" s="29" t="str">
        <f ca="1">IF(Tabela4[[#This Row],[Cabo]]&lt;&gt;"",(COUNTIF(Tabela4[[#This Row],[Teste de Continuidade]:[Hipot]],"OK"))/(4-COUNTIF(Tabela4[[#This Row],[Teste de Continuidade]:[Hipot]],"---")),"")</f>
        <v/>
      </c>
      <c r="X532" s="23" t="str">
        <f ca="1">IF(Tabela4[[#This Row],[Cabo]]&lt;&gt;"",SUMIFS('Lançamento de Cabos'!$AF:$AF,'Lançamento de Cabos'!AE:AE,Tabela4[[#This Row],[Cabo]],'Lançamento de Cabos'!AJ:AJ,Área!$B$1),"")</f>
        <v/>
      </c>
      <c r="Y532" s="23" t="str">
        <f ca="1">IF(Tabela4[[#This Row],[Cabo]]&lt;&gt;"",SUMIFS('Lançamento de Cabos'!$AG:$AG,'Lançamento de Cabos'!AE:AE,Tabela4[[#This Row],[Cabo]],'Lançamento de Cabos'!AJ:AJ,Área!$B$1),"")</f>
        <v/>
      </c>
      <c r="Z532" s="23" t="e">
        <f ca="1">VLOOKUP(Tabela4[[#This Row],[Cabo]],BD!A:AB,28,0)</f>
        <v>#N/A</v>
      </c>
    </row>
    <row r="533" spans="3:26" x14ac:dyDescent="0.25">
      <c r="C533" s="391" t="str">
        <f ca="1">IF($B$1="Geral",Tabela1[[#This Row],[Tag do Cabo]],IFERROR(INDEX(INDIRECT("BD!$A"&amp;D533&amp;":$A100000"),E533,1),""))</f>
        <v/>
      </c>
      <c r="D533" s="391" t="str">
        <f t="shared" ca="1" si="20"/>
        <v/>
      </c>
      <c r="E533" s="391" t="str">
        <f t="shared" ca="1" si="21"/>
        <v/>
      </c>
      <c r="F533" s="23" t="str">
        <f ca="1">IFERROR(VLOOKUP(Tabela4[[#This Row],[Cabo]],BD!A:V,2,0),"")</f>
        <v/>
      </c>
      <c r="G533" s="391" t="str">
        <f ca="1">IFERROR(VLOOKUP(Tabela4[[#This Row],[Cabo]],BD!A:V,5,0),"")</f>
        <v/>
      </c>
      <c r="H533" s="23" t="str">
        <f ca="1">IFERROR(VLOOKUP(Tabela4[[#This Row],[Cabo]],BD!A:V,3,0),"")</f>
        <v/>
      </c>
      <c r="I533" s="23" t="str">
        <f ca="1">IFERROR(VLOOKUP(Tabela4[[#This Row],[Cabo]],BD!A:V,4,0),"")</f>
        <v/>
      </c>
      <c r="J533" s="23" t="str">
        <f ca="1">IFERROR(VLOOKUP(Tabela4[[#This Row],[Cabo]],BD!A:V,7,0),"")</f>
        <v/>
      </c>
      <c r="K53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3" s="23" t="str">
        <f ca="1">IFERROR(VLOOKUP(Tabela4[[#This Row],[Cabo]],BD!A:V,9,0),"")</f>
        <v/>
      </c>
      <c r="M533" s="23" t="str">
        <f ca="1">IFERROR(VLOOKUP(Tabela4[[#This Row],[Cabo]],BD!A:AD,30,0),"")</f>
        <v/>
      </c>
      <c r="N533" s="23" t="str">
        <f ca="1">IF(SUMIF('Lançamento de Cabos'!B:B,Tabela4[[#This Row],[Cabo]],'Lançamento de Cabos'!C:C)=0,"",SUMIF('Lançamento de Cabos'!B:B,Tabela4[[#This Row],[Cabo]],'Lançamento de Cabos'!C:C))</f>
        <v/>
      </c>
      <c r="O533" s="28" t="str">
        <f ca="1">IFERROR(IF(Tabela4[[#This Row],[Compr. Lançado]]/Tabela4[[#This Row],[Compr. Prev.]]&gt;1,1,Tabela4[[#This Row],[Compr. Lançado]]/Tabela4[[#This Row],[Compr. Prev.]]),"")</f>
        <v/>
      </c>
      <c r="P533" s="24" t="str">
        <f ca="1">IFERROR(VLOOKUP(Tabela4[[#This Row],[Cabo]],BD!A:V,11,0),"")</f>
        <v/>
      </c>
      <c r="Q533" s="24" t="str">
        <f ca="1">IFERROR(VLOOKUP(Tabela4[[#This Row],[Cabo]],BD!A:V,12,0),"")</f>
        <v/>
      </c>
      <c r="R53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3" s="23" t="str">
        <f ca="1">IF(Tabela4[[#This Row],[Cabo]]&lt;&gt;"",4-COUNTIF(Tabela4[[#This Row],[Teste de Continuidade]:[Hipot]],"---"),"")</f>
        <v/>
      </c>
      <c r="W533" s="29" t="str">
        <f ca="1">IF(Tabela4[[#This Row],[Cabo]]&lt;&gt;"",(COUNTIF(Tabela4[[#This Row],[Teste de Continuidade]:[Hipot]],"OK"))/(4-COUNTIF(Tabela4[[#This Row],[Teste de Continuidade]:[Hipot]],"---")),"")</f>
        <v/>
      </c>
      <c r="X533" s="23" t="str">
        <f ca="1">IF(Tabela4[[#This Row],[Cabo]]&lt;&gt;"",SUMIFS('Lançamento de Cabos'!$AF:$AF,'Lançamento de Cabos'!AE:AE,Tabela4[[#This Row],[Cabo]],'Lançamento de Cabos'!AJ:AJ,Área!$B$1),"")</f>
        <v/>
      </c>
      <c r="Y533" s="23" t="str">
        <f ca="1">IF(Tabela4[[#This Row],[Cabo]]&lt;&gt;"",SUMIFS('Lançamento de Cabos'!$AG:$AG,'Lançamento de Cabos'!AE:AE,Tabela4[[#This Row],[Cabo]],'Lançamento de Cabos'!AJ:AJ,Área!$B$1),"")</f>
        <v/>
      </c>
      <c r="Z533" s="23" t="e">
        <f ca="1">VLOOKUP(Tabela4[[#This Row],[Cabo]],BD!A:AB,28,0)</f>
        <v>#N/A</v>
      </c>
    </row>
    <row r="534" spans="3:26" x14ac:dyDescent="0.25">
      <c r="C534" s="391" t="str">
        <f ca="1">IF($B$1="Geral",Tabela1[[#This Row],[Tag do Cabo]],IFERROR(INDEX(INDIRECT("BD!$A"&amp;D534&amp;":$A100000"),E534,1),""))</f>
        <v/>
      </c>
      <c r="D534" s="391" t="str">
        <f t="shared" ca="1" si="20"/>
        <v/>
      </c>
      <c r="E534" s="391" t="str">
        <f t="shared" ca="1" si="21"/>
        <v/>
      </c>
      <c r="F534" s="23" t="str">
        <f ca="1">IFERROR(VLOOKUP(Tabela4[[#This Row],[Cabo]],BD!A:V,2,0),"")</f>
        <v/>
      </c>
      <c r="G534" s="391" t="str">
        <f ca="1">IFERROR(VLOOKUP(Tabela4[[#This Row],[Cabo]],BD!A:V,5,0),"")</f>
        <v/>
      </c>
      <c r="H534" s="23" t="str">
        <f ca="1">IFERROR(VLOOKUP(Tabela4[[#This Row],[Cabo]],BD!A:V,3,0),"")</f>
        <v/>
      </c>
      <c r="I534" s="23" t="str">
        <f ca="1">IFERROR(VLOOKUP(Tabela4[[#This Row],[Cabo]],BD!A:V,4,0),"")</f>
        <v/>
      </c>
      <c r="J534" s="23" t="str">
        <f ca="1">IFERROR(VLOOKUP(Tabela4[[#This Row],[Cabo]],BD!A:V,7,0),"")</f>
        <v/>
      </c>
      <c r="K53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4" s="23" t="str">
        <f ca="1">IFERROR(VLOOKUP(Tabela4[[#This Row],[Cabo]],BD!A:V,9,0),"")</f>
        <v/>
      </c>
      <c r="M534" s="23" t="str">
        <f ca="1">IFERROR(VLOOKUP(Tabela4[[#This Row],[Cabo]],BD!A:AD,30,0),"")</f>
        <v/>
      </c>
      <c r="N534" s="23" t="str">
        <f ca="1">IF(SUMIF('Lançamento de Cabos'!B:B,Tabela4[[#This Row],[Cabo]],'Lançamento de Cabos'!C:C)=0,"",SUMIF('Lançamento de Cabos'!B:B,Tabela4[[#This Row],[Cabo]],'Lançamento de Cabos'!C:C))</f>
        <v/>
      </c>
      <c r="O534" s="28" t="str">
        <f ca="1">IFERROR(IF(Tabela4[[#This Row],[Compr. Lançado]]/Tabela4[[#This Row],[Compr. Prev.]]&gt;1,1,Tabela4[[#This Row],[Compr. Lançado]]/Tabela4[[#This Row],[Compr. Prev.]]),"")</f>
        <v/>
      </c>
      <c r="P534" s="24" t="str">
        <f ca="1">IFERROR(VLOOKUP(Tabela4[[#This Row],[Cabo]],BD!A:V,11,0),"")</f>
        <v/>
      </c>
      <c r="Q534" s="24" t="str">
        <f ca="1">IFERROR(VLOOKUP(Tabela4[[#This Row],[Cabo]],BD!A:V,12,0),"")</f>
        <v/>
      </c>
      <c r="R53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4" s="23" t="str">
        <f ca="1">IF(Tabela4[[#This Row],[Cabo]]&lt;&gt;"",4-COUNTIF(Tabela4[[#This Row],[Teste de Continuidade]:[Hipot]],"---"),"")</f>
        <v/>
      </c>
      <c r="W534" s="29" t="str">
        <f ca="1">IF(Tabela4[[#This Row],[Cabo]]&lt;&gt;"",(COUNTIF(Tabela4[[#This Row],[Teste de Continuidade]:[Hipot]],"OK"))/(4-COUNTIF(Tabela4[[#This Row],[Teste de Continuidade]:[Hipot]],"---")),"")</f>
        <v/>
      </c>
      <c r="X534" s="23" t="str">
        <f ca="1">IF(Tabela4[[#This Row],[Cabo]]&lt;&gt;"",SUMIFS('Lançamento de Cabos'!$AF:$AF,'Lançamento de Cabos'!AE:AE,Tabela4[[#This Row],[Cabo]],'Lançamento de Cabos'!AJ:AJ,Área!$B$1),"")</f>
        <v/>
      </c>
      <c r="Y534" s="23" t="str">
        <f ca="1">IF(Tabela4[[#This Row],[Cabo]]&lt;&gt;"",SUMIFS('Lançamento de Cabos'!$AG:$AG,'Lançamento de Cabos'!AE:AE,Tabela4[[#This Row],[Cabo]],'Lançamento de Cabos'!AJ:AJ,Área!$B$1),"")</f>
        <v/>
      </c>
      <c r="Z534" s="23" t="e">
        <f ca="1">VLOOKUP(Tabela4[[#This Row],[Cabo]],BD!A:AB,28,0)</f>
        <v>#N/A</v>
      </c>
    </row>
    <row r="535" spans="3:26" x14ac:dyDescent="0.25">
      <c r="C535" s="391" t="str">
        <f ca="1">IF($B$1="Geral",Tabela1[[#This Row],[Tag do Cabo]],IFERROR(INDEX(INDIRECT("BD!$A"&amp;D535&amp;":$A100000"),E535,1),""))</f>
        <v/>
      </c>
      <c r="D535" s="391" t="str">
        <f t="shared" ca="1" si="20"/>
        <v/>
      </c>
      <c r="E535" s="391" t="str">
        <f t="shared" ca="1" si="21"/>
        <v/>
      </c>
      <c r="F535" s="23" t="str">
        <f ca="1">IFERROR(VLOOKUP(Tabela4[[#This Row],[Cabo]],BD!A:V,2,0),"")</f>
        <v/>
      </c>
      <c r="G535" s="391" t="str">
        <f ca="1">IFERROR(VLOOKUP(Tabela4[[#This Row],[Cabo]],BD!A:V,5,0),"")</f>
        <v/>
      </c>
      <c r="H535" s="23" t="str">
        <f ca="1">IFERROR(VLOOKUP(Tabela4[[#This Row],[Cabo]],BD!A:V,3,0),"")</f>
        <v/>
      </c>
      <c r="I535" s="23" t="str">
        <f ca="1">IFERROR(VLOOKUP(Tabela4[[#This Row],[Cabo]],BD!A:V,4,0),"")</f>
        <v/>
      </c>
      <c r="J535" s="23" t="str">
        <f ca="1">IFERROR(VLOOKUP(Tabela4[[#This Row],[Cabo]],BD!A:V,7,0),"")</f>
        <v/>
      </c>
      <c r="K53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5" s="23" t="str">
        <f ca="1">IFERROR(VLOOKUP(Tabela4[[#This Row],[Cabo]],BD!A:V,9,0),"")</f>
        <v/>
      </c>
      <c r="M535" s="23" t="str">
        <f ca="1">IFERROR(VLOOKUP(Tabela4[[#This Row],[Cabo]],BD!A:AD,30,0),"")</f>
        <v/>
      </c>
      <c r="N535" s="23" t="str">
        <f ca="1">IF(SUMIF('Lançamento de Cabos'!B:B,Tabela4[[#This Row],[Cabo]],'Lançamento de Cabos'!C:C)=0,"",SUMIF('Lançamento de Cabos'!B:B,Tabela4[[#This Row],[Cabo]],'Lançamento de Cabos'!C:C))</f>
        <v/>
      </c>
      <c r="O535" s="28" t="str">
        <f ca="1">IFERROR(IF(Tabela4[[#This Row],[Compr. Lançado]]/Tabela4[[#This Row],[Compr. Prev.]]&gt;1,1,Tabela4[[#This Row],[Compr. Lançado]]/Tabela4[[#This Row],[Compr. Prev.]]),"")</f>
        <v/>
      </c>
      <c r="P535" s="24" t="str">
        <f ca="1">IFERROR(VLOOKUP(Tabela4[[#This Row],[Cabo]],BD!A:V,11,0),"")</f>
        <v/>
      </c>
      <c r="Q535" s="24" t="str">
        <f ca="1">IFERROR(VLOOKUP(Tabela4[[#This Row],[Cabo]],BD!A:V,12,0),"")</f>
        <v/>
      </c>
      <c r="R53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5" s="23" t="str">
        <f ca="1">IF(Tabela4[[#This Row],[Cabo]]&lt;&gt;"",4-COUNTIF(Tabela4[[#This Row],[Teste de Continuidade]:[Hipot]],"---"),"")</f>
        <v/>
      </c>
      <c r="W535" s="29" t="str">
        <f ca="1">IF(Tabela4[[#This Row],[Cabo]]&lt;&gt;"",(COUNTIF(Tabela4[[#This Row],[Teste de Continuidade]:[Hipot]],"OK"))/(4-COUNTIF(Tabela4[[#This Row],[Teste de Continuidade]:[Hipot]],"---")),"")</f>
        <v/>
      </c>
      <c r="X535" s="23" t="str">
        <f ca="1">IF(Tabela4[[#This Row],[Cabo]]&lt;&gt;"",SUMIFS('Lançamento de Cabos'!$AF:$AF,'Lançamento de Cabos'!AE:AE,Tabela4[[#This Row],[Cabo]],'Lançamento de Cabos'!AJ:AJ,Área!$B$1),"")</f>
        <v/>
      </c>
      <c r="Y535" s="23" t="str">
        <f ca="1">IF(Tabela4[[#This Row],[Cabo]]&lt;&gt;"",SUMIFS('Lançamento de Cabos'!$AG:$AG,'Lançamento de Cabos'!AE:AE,Tabela4[[#This Row],[Cabo]],'Lançamento de Cabos'!AJ:AJ,Área!$B$1),"")</f>
        <v/>
      </c>
      <c r="Z535" s="23" t="e">
        <f ca="1">VLOOKUP(Tabela4[[#This Row],[Cabo]],BD!A:AB,28,0)</f>
        <v>#N/A</v>
      </c>
    </row>
    <row r="536" spans="3:26" x14ac:dyDescent="0.25">
      <c r="C536" s="391" t="str">
        <f ca="1">IF($B$1="Geral",Tabela1[[#This Row],[Tag do Cabo]],IFERROR(INDEX(INDIRECT("BD!$A"&amp;D536&amp;":$A100000"),E536,1),""))</f>
        <v/>
      </c>
      <c r="D536" s="391" t="str">
        <f t="shared" ca="1" si="20"/>
        <v/>
      </c>
      <c r="E536" s="391" t="str">
        <f t="shared" ca="1" si="21"/>
        <v/>
      </c>
      <c r="F536" s="23" t="str">
        <f ca="1">IFERROR(VLOOKUP(Tabela4[[#This Row],[Cabo]],BD!A:V,2,0),"")</f>
        <v/>
      </c>
      <c r="G536" s="391" t="str">
        <f ca="1">IFERROR(VLOOKUP(Tabela4[[#This Row],[Cabo]],BD!A:V,5,0),"")</f>
        <v/>
      </c>
      <c r="H536" s="23" t="str">
        <f ca="1">IFERROR(VLOOKUP(Tabela4[[#This Row],[Cabo]],BD!A:V,3,0),"")</f>
        <v/>
      </c>
      <c r="I536" s="23" t="str">
        <f ca="1">IFERROR(VLOOKUP(Tabela4[[#This Row],[Cabo]],BD!A:V,4,0),"")</f>
        <v/>
      </c>
      <c r="J536" s="23" t="str">
        <f ca="1">IFERROR(VLOOKUP(Tabela4[[#This Row],[Cabo]],BD!A:V,7,0),"")</f>
        <v/>
      </c>
      <c r="K53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6" s="23" t="str">
        <f ca="1">IFERROR(VLOOKUP(Tabela4[[#This Row],[Cabo]],BD!A:V,9,0),"")</f>
        <v/>
      </c>
      <c r="M536" s="23" t="str">
        <f ca="1">IFERROR(VLOOKUP(Tabela4[[#This Row],[Cabo]],BD!A:AD,30,0),"")</f>
        <v/>
      </c>
      <c r="N536" s="23" t="str">
        <f ca="1">IF(SUMIF('Lançamento de Cabos'!B:B,Tabela4[[#This Row],[Cabo]],'Lançamento de Cabos'!C:C)=0,"",SUMIF('Lançamento de Cabos'!B:B,Tabela4[[#This Row],[Cabo]],'Lançamento de Cabos'!C:C))</f>
        <v/>
      </c>
      <c r="O536" s="28" t="str">
        <f ca="1">IFERROR(IF(Tabela4[[#This Row],[Compr. Lançado]]/Tabela4[[#This Row],[Compr. Prev.]]&gt;1,1,Tabela4[[#This Row],[Compr. Lançado]]/Tabela4[[#This Row],[Compr. Prev.]]),"")</f>
        <v/>
      </c>
      <c r="P536" s="24" t="str">
        <f ca="1">IFERROR(VLOOKUP(Tabela4[[#This Row],[Cabo]],BD!A:V,11,0),"")</f>
        <v/>
      </c>
      <c r="Q536" s="24" t="str">
        <f ca="1">IFERROR(VLOOKUP(Tabela4[[#This Row],[Cabo]],BD!A:V,12,0),"")</f>
        <v/>
      </c>
      <c r="R53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6" s="23" t="str">
        <f ca="1">IF(Tabela4[[#This Row],[Cabo]]&lt;&gt;"",4-COUNTIF(Tabela4[[#This Row],[Teste de Continuidade]:[Hipot]],"---"),"")</f>
        <v/>
      </c>
      <c r="W536" s="29" t="str">
        <f ca="1">IF(Tabela4[[#This Row],[Cabo]]&lt;&gt;"",(COUNTIF(Tabela4[[#This Row],[Teste de Continuidade]:[Hipot]],"OK"))/(4-COUNTIF(Tabela4[[#This Row],[Teste de Continuidade]:[Hipot]],"---")),"")</f>
        <v/>
      </c>
      <c r="X536" s="23" t="str">
        <f ca="1">IF(Tabela4[[#This Row],[Cabo]]&lt;&gt;"",SUMIFS('Lançamento de Cabos'!$AF:$AF,'Lançamento de Cabos'!AE:AE,Tabela4[[#This Row],[Cabo]],'Lançamento de Cabos'!AJ:AJ,Área!$B$1),"")</f>
        <v/>
      </c>
      <c r="Y536" s="23" t="str">
        <f ca="1">IF(Tabela4[[#This Row],[Cabo]]&lt;&gt;"",SUMIFS('Lançamento de Cabos'!$AG:$AG,'Lançamento de Cabos'!AE:AE,Tabela4[[#This Row],[Cabo]],'Lançamento de Cabos'!AJ:AJ,Área!$B$1),"")</f>
        <v/>
      </c>
      <c r="Z536" s="23" t="e">
        <f ca="1">VLOOKUP(Tabela4[[#This Row],[Cabo]],BD!A:AB,28,0)</f>
        <v>#N/A</v>
      </c>
    </row>
    <row r="537" spans="3:26" x14ac:dyDescent="0.25">
      <c r="C537" s="391" t="str">
        <f ca="1">IF($B$1="Geral",Tabela1[[#This Row],[Tag do Cabo]],IFERROR(INDEX(INDIRECT("BD!$A"&amp;D537&amp;":$A100000"),E537,1),""))</f>
        <v/>
      </c>
      <c r="D537" s="391" t="str">
        <f t="shared" ca="1" si="20"/>
        <v/>
      </c>
      <c r="E537" s="391" t="str">
        <f t="shared" ca="1" si="21"/>
        <v/>
      </c>
      <c r="F537" s="23" t="str">
        <f ca="1">IFERROR(VLOOKUP(Tabela4[[#This Row],[Cabo]],BD!A:V,2,0),"")</f>
        <v/>
      </c>
      <c r="G537" s="391" t="str">
        <f ca="1">IFERROR(VLOOKUP(Tabela4[[#This Row],[Cabo]],BD!A:V,5,0),"")</f>
        <v/>
      </c>
      <c r="H537" s="23" t="str">
        <f ca="1">IFERROR(VLOOKUP(Tabela4[[#This Row],[Cabo]],BD!A:V,3,0),"")</f>
        <v/>
      </c>
      <c r="I537" s="23" t="str">
        <f ca="1">IFERROR(VLOOKUP(Tabela4[[#This Row],[Cabo]],BD!A:V,4,0),"")</f>
        <v/>
      </c>
      <c r="J537" s="23" t="str">
        <f ca="1">IFERROR(VLOOKUP(Tabela4[[#This Row],[Cabo]],BD!A:V,7,0),"")</f>
        <v/>
      </c>
      <c r="K53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7" s="23" t="str">
        <f ca="1">IFERROR(VLOOKUP(Tabela4[[#This Row],[Cabo]],BD!A:V,9,0),"")</f>
        <v/>
      </c>
      <c r="M537" s="23" t="str">
        <f ca="1">IFERROR(VLOOKUP(Tabela4[[#This Row],[Cabo]],BD!A:AD,30,0),"")</f>
        <v/>
      </c>
      <c r="N537" s="23" t="str">
        <f ca="1">IF(SUMIF('Lançamento de Cabos'!B:B,Tabela4[[#This Row],[Cabo]],'Lançamento de Cabos'!C:C)=0,"",SUMIF('Lançamento de Cabos'!B:B,Tabela4[[#This Row],[Cabo]],'Lançamento de Cabos'!C:C))</f>
        <v/>
      </c>
      <c r="O537" s="28" t="str">
        <f ca="1">IFERROR(IF(Tabela4[[#This Row],[Compr. Lançado]]/Tabela4[[#This Row],[Compr. Prev.]]&gt;1,1,Tabela4[[#This Row],[Compr. Lançado]]/Tabela4[[#This Row],[Compr. Prev.]]),"")</f>
        <v/>
      </c>
      <c r="P537" s="24" t="str">
        <f ca="1">IFERROR(VLOOKUP(Tabela4[[#This Row],[Cabo]],BD!A:V,11,0),"")</f>
        <v/>
      </c>
      <c r="Q537" s="24" t="str">
        <f ca="1">IFERROR(VLOOKUP(Tabela4[[#This Row],[Cabo]],BD!A:V,12,0),"")</f>
        <v/>
      </c>
      <c r="R53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7" s="23" t="str">
        <f ca="1">IF(Tabela4[[#This Row],[Cabo]]&lt;&gt;"",4-COUNTIF(Tabela4[[#This Row],[Teste de Continuidade]:[Hipot]],"---"),"")</f>
        <v/>
      </c>
      <c r="W537" s="29" t="str">
        <f ca="1">IF(Tabela4[[#This Row],[Cabo]]&lt;&gt;"",(COUNTIF(Tabela4[[#This Row],[Teste de Continuidade]:[Hipot]],"OK"))/(4-COUNTIF(Tabela4[[#This Row],[Teste de Continuidade]:[Hipot]],"---")),"")</f>
        <v/>
      </c>
      <c r="X537" s="23" t="str">
        <f ca="1">IF(Tabela4[[#This Row],[Cabo]]&lt;&gt;"",SUMIFS('Lançamento de Cabos'!$AF:$AF,'Lançamento de Cabos'!AE:AE,Tabela4[[#This Row],[Cabo]],'Lançamento de Cabos'!AJ:AJ,Área!$B$1),"")</f>
        <v/>
      </c>
      <c r="Y537" s="23" t="str">
        <f ca="1">IF(Tabela4[[#This Row],[Cabo]]&lt;&gt;"",SUMIFS('Lançamento de Cabos'!$AG:$AG,'Lançamento de Cabos'!AE:AE,Tabela4[[#This Row],[Cabo]],'Lançamento de Cabos'!AJ:AJ,Área!$B$1),"")</f>
        <v/>
      </c>
      <c r="Z537" s="23" t="e">
        <f ca="1">VLOOKUP(Tabela4[[#This Row],[Cabo]],BD!A:AB,28,0)</f>
        <v>#N/A</v>
      </c>
    </row>
    <row r="538" spans="3:26" x14ac:dyDescent="0.25">
      <c r="C538" s="391" t="str">
        <f ca="1">IF($B$1="Geral",Tabela1[[#This Row],[Tag do Cabo]],IFERROR(INDEX(INDIRECT("BD!$A"&amp;D538&amp;":$A100000"),E538,1),""))</f>
        <v/>
      </c>
      <c r="D538" s="391" t="str">
        <f t="shared" ca="1" si="20"/>
        <v/>
      </c>
      <c r="E538" s="391" t="str">
        <f t="shared" ca="1" si="21"/>
        <v/>
      </c>
      <c r="F538" s="23" t="str">
        <f ca="1">IFERROR(VLOOKUP(Tabela4[[#This Row],[Cabo]],BD!A:V,2,0),"")</f>
        <v/>
      </c>
      <c r="G538" s="391" t="str">
        <f ca="1">IFERROR(VLOOKUP(Tabela4[[#This Row],[Cabo]],BD!A:V,5,0),"")</f>
        <v/>
      </c>
      <c r="H538" s="23" t="str">
        <f ca="1">IFERROR(VLOOKUP(Tabela4[[#This Row],[Cabo]],BD!A:V,3,0),"")</f>
        <v/>
      </c>
      <c r="I538" s="23" t="str">
        <f ca="1">IFERROR(VLOOKUP(Tabela4[[#This Row],[Cabo]],BD!A:V,4,0),"")</f>
        <v/>
      </c>
      <c r="J538" s="23" t="str">
        <f ca="1">IFERROR(VLOOKUP(Tabela4[[#This Row],[Cabo]],BD!A:V,7,0),"")</f>
        <v/>
      </c>
      <c r="K53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8" s="23" t="str">
        <f ca="1">IFERROR(VLOOKUP(Tabela4[[#This Row],[Cabo]],BD!A:V,9,0),"")</f>
        <v/>
      </c>
      <c r="M538" s="23" t="str">
        <f ca="1">IFERROR(VLOOKUP(Tabela4[[#This Row],[Cabo]],BD!A:AD,30,0),"")</f>
        <v/>
      </c>
      <c r="N538" s="23" t="str">
        <f ca="1">IF(SUMIF('Lançamento de Cabos'!B:B,Tabela4[[#This Row],[Cabo]],'Lançamento de Cabos'!C:C)=0,"",SUMIF('Lançamento de Cabos'!B:B,Tabela4[[#This Row],[Cabo]],'Lançamento de Cabos'!C:C))</f>
        <v/>
      </c>
      <c r="O538" s="28" t="str">
        <f ca="1">IFERROR(IF(Tabela4[[#This Row],[Compr. Lançado]]/Tabela4[[#This Row],[Compr. Prev.]]&gt;1,1,Tabela4[[#This Row],[Compr. Lançado]]/Tabela4[[#This Row],[Compr. Prev.]]),"")</f>
        <v/>
      </c>
      <c r="P538" s="24" t="str">
        <f ca="1">IFERROR(VLOOKUP(Tabela4[[#This Row],[Cabo]],BD!A:V,11,0),"")</f>
        <v/>
      </c>
      <c r="Q538" s="24" t="str">
        <f ca="1">IFERROR(VLOOKUP(Tabela4[[#This Row],[Cabo]],BD!A:V,12,0),"")</f>
        <v/>
      </c>
      <c r="R53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8" s="23" t="str">
        <f ca="1">IF(Tabela4[[#This Row],[Cabo]]&lt;&gt;"",4-COUNTIF(Tabela4[[#This Row],[Teste de Continuidade]:[Hipot]],"---"),"")</f>
        <v/>
      </c>
      <c r="W538" s="29" t="str">
        <f ca="1">IF(Tabela4[[#This Row],[Cabo]]&lt;&gt;"",(COUNTIF(Tabela4[[#This Row],[Teste de Continuidade]:[Hipot]],"OK"))/(4-COUNTIF(Tabela4[[#This Row],[Teste de Continuidade]:[Hipot]],"---")),"")</f>
        <v/>
      </c>
      <c r="X538" s="23" t="str">
        <f ca="1">IF(Tabela4[[#This Row],[Cabo]]&lt;&gt;"",SUMIFS('Lançamento de Cabos'!$AF:$AF,'Lançamento de Cabos'!AE:AE,Tabela4[[#This Row],[Cabo]],'Lançamento de Cabos'!AJ:AJ,Área!$B$1),"")</f>
        <v/>
      </c>
      <c r="Y538" s="23" t="str">
        <f ca="1">IF(Tabela4[[#This Row],[Cabo]]&lt;&gt;"",SUMIFS('Lançamento de Cabos'!$AG:$AG,'Lançamento de Cabos'!AE:AE,Tabela4[[#This Row],[Cabo]],'Lançamento de Cabos'!AJ:AJ,Área!$B$1),"")</f>
        <v/>
      </c>
      <c r="Z538" s="23" t="e">
        <f ca="1">VLOOKUP(Tabela4[[#This Row],[Cabo]],BD!A:AB,28,0)</f>
        <v>#N/A</v>
      </c>
    </row>
    <row r="539" spans="3:26" x14ac:dyDescent="0.25">
      <c r="C539" s="391" t="str">
        <f ca="1">IF($B$1="Geral",Tabela1[[#This Row],[Tag do Cabo]],IFERROR(INDEX(INDIRECT("BD!$A"&amp;D539&amp;":$A100000"),E539,1),""))</f>
        <v/>
      </c>
      <c r="D539" s="391" t="str">
        <f t="shared" ca="1" si="20"/>
        <v/>
      </c>
      <c r="E539" s="391" t="str">
        <f t="shared" ca="1" si="21"/>
        <v/>
      </c>
      <c r="F539" s="23" t="str">
        <f ca="1">IFERROR(VLOOKUP(Tabela4[[#This Row],[Cabo]],BD!A:V,2,0),"")</f>
        <v/>
      </c>
      <c r="G539" s="391" t="str">
        <f ca="1">IFERROR(VLOOKUP(Tabela4[[#This Row],[Cabo]],BD!A:V,5,0),"")</f>
        <v/>
      </c>
      <c r="H539" s="23" t="str">
        <f ca="1">IFERROR(VLOOKUP(Tabela4[[#This Row],[Cabo]],BD!A:V,3,0),"")</f>
        <v/>
      </c>
      <c r="I539" s="23" t="str">
        <f ca="1">IFERROR(VLOOKUP(Tabela4[[#This Row],[Cabo]],BD!A:V,4,0),"")</f>
        <v/>
      </c>
      <c r="J539" s="23" t="str">
        <f ca="1">IFERROR(VLOOKUP(Tabela4[[#This Row],[Cabo]],BD!A:V,7,0),"")</f>
        <v/>
      </c>
      <c r="K53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39" s="23" t="str">
        <f ca="1">IFERROR(VLOOKUP(Tabela4[[#This Row],[Cabo]],BD!A:V,9,0),"")</f>
        <v/>
      </c>
      <c r="M539" s="23" t="str">
        <f ca="1">IFERROR(VLOOKUP(Tabela4[[#This Row],[Cabo]],BD!A:AD,30,0),"")</f>
        <v/>
      </c>
      <c r="N539" s="23" t="str">
        <f ca="1">IF(SUMIF('Lançamento de Cabos'!B:B,Tabela4[[#This Row],[Cabo]],'Lançamento de Cabos'!C:C)=0,"",SUMIF('Lançamento de Cabos'!B:B,Tabela4[[#This Row],[Cabo]],'Lançamento de Cabos'!C:C))</f>
        <v/>
      </c>
      <c r="O539" s="28" t="str">
        <f ca="1">IFERROR(IF(Tabela4[[#This Row],[Compr. Lançado]]/Tabela4[[#This Row],[Compr. Prev.]]&gt;1,1,Tabela4[[#This Row],[Compr. Lançado]]/Tabela4[[#This Row],[Compr. Prev.]]),"")</f>
        <v/>
      </c>
      <c r="P539" s="24" t="str">
        <f ca="1">IFERROR(VLOOKUP(Tabela4[[#This Row],[Cabo]],BD!A:V,11,0),"")</f>
        <v/>
      </c>
      <c r="Q539" s="24" t="str">
        <f ca="1">IFERROR(VLOOKUP(Tabela4[[#This Row],[Cabo]],BD!A:V,12,0),"")</f>
        <v/>
      </c>
      <c r="R53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3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3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3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39" s="23" t="str">
        <f ca="1">IF(Tabela4[[#This Row],[Cabo]]&lt;&gt;"",4-COUNTIF(Tabela4[[#This Row],[Teste de Continuidade]:[Hipot]],"---"),"")</f>
        <v/>
      </c>
      <c r="W539" s="29" t="str">
        <f ca="1">IF(Tabela4[[#This Row],[Cabo]]&lt;&gt;"",(COUNTIF(Tabela4[[#This Row],[Teste de Continuidade]:[Hipot]],"OK"))/(4-COUNTIF(Tabela4[[#This Row],[Teste de Continuidade]:[Hipot]],"---")),"")</f>
        <v/>
      </c>
      <c r="X539" s="23" t="str">
        <f ca="1">IF(Tabela4[[#This Row],[Cabo]]&lt;&gt;"",SUMIFS('Lançamento de Cabos'!$AF:$AF,'Lançamento de Cabos'!AE:AE,Tabela4[[#This Row],[Cabo]],'Lançamento de Cabos'!AJ:AJ,Área!$B$1),"")</f>
        <v/>
      </c>
      <c r="Y539" s="23" t="str">
        <f ca="1">IF(Tabela4[[#This Row],[Cabo]]&lt;&gt;"",SUMIFS('Lançamento de Cabos'!$AG:$AG,'Lançamento de Cabos'!AE:AE,Tabela4[[#This Row],[Cabo]],'Lançamento de Cabos'!AJ:AJ,Área!$B$1),"")</f>
        <v/>
      </c>
      <c r="Z539" s="23" t="e">
        <f ca="1">VLOOKUP(Tabela4[[#This Row],[Cabo]],BD!A:AB,28,0)</f>
        <v>#N/A</v>
      </c>
    </row>
    <row r="540" spans="3:26" x14ac:dyDescent="0.25">
      <c r="C540" s="391" t="str">
        <f ca="1">IF($B$1="Geral",Tabela1[[#This Row],[Tag do Cabo]],IFERROR(INDEX(INDIRECT("BD!$A"&amp;D540&amp;":$A100000"),E540,1),""))</f>
        <v/>
      </c>
      <c r="D540" s="391" t="str">
        <f t="shared" ca="1" si="20"/>
        <v/>
      </c>
      <c r="E540" s="391" t="str">
        <f t="shared" ca="1" si="21"/>
        <v/>
      </c>
      <c r="F540" s="23" t="str">
        <f ca="1">IFERROR(VLOOKUP(Tabela4[[#This Row],[Cabo]],BD!A:V,2,0),"")</f>
        <v/>
      </c>
      <c r="G540" s="391" t="str">
        <f ca="1">IFERROR(VLOOKUP(Tabela4[[#This Row],[Cabo]],BD!A:V,5,0),"")</f>
        <v/>
      </c>
      <c r="H540" s="23" t="str">
        <f ca="1">IFERROR(VLOOKUP(Tabela4[[#This Row],[Cabo]],BD!A:V,3,0),"")</f>
        <v/>
      </c>
      <c r="I540" s="23" t="str">
        <f ca="1">IFERROR(VLOOKUP(Tabela4[[#This Row],[Cabo]],BD!A:V,4,0),"")</f>
        <v/>
      </c>
      <c r="J540" s="23" t="str">
        <f ca="1">IFERROR(VLOOKUP(Tabela4[[#This Row],[Cabo]],BD!A:V,7,0),"")</f>
        <v/>
      </c>
      <c r="K54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0" s="23" t="str">
        <f ca="1">IFERROR(VLOOKUP(Tabela4[[#This Row],[Cabo]],BD!A:V,9,0),"")</f>
        <v/>
      </c>
      <c r="M540" s="23" t="str">
        <f ca="1">IFERROR(VLOOKUP(Tabela4[[#This Row],[Cabo]],BD!A:AD,30,0),"")</f>
        <v/>
      </c>
      <c r="N540" s="23" t="str">
        <f ca="1">IF(SUMIF('Lançamento de Cabos'!B:B,Tabela4[[#This Row],[Cabo]],'Lançamento de Cabos'!C:C)=0,"",SUMIF('Lançamento de Cabos'!B:B,Tabela4[[#This Row],[Cabo]],'Lançamento de Cabos'!C:C))</f>
        <v/>
      </c>
      <c r="O540" s="28" t="str">
        <f ca="1">IFERROR(IF(Tabela4[[#This Row],[Compr. Lançado]]/Tabela4[[#This Row],[Compr. Prev.]]&gt;1,1,Tabela4[[#This Row],[Compr. Lançado]]/Tabela4[[#This Row],[Compr. Prev.]]),"")</f>
        <v/>
      </c>
      <c r="P540" s="24" t="str">
        <f ca="1">IFERROR(VLOOKUP(Tabela4[[#This Row],[Cabo]],BD!A:V,11,0),"")</f>
        <v/>
      </c>
      <c r="Q540" s="24" t="str">
        <f ca="1">IFERROR(VLOOKUP(Tabela4[[#This Row],[Cabo]],BD!A:V,12,0),"")</f>
        <v/>
      </c>
      <c r="R54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0" s="23" t="str">
        <f ca="1">IF(Tabela4[[#This Row],[Cabo]]&lt;&gt;"",4-COUNTIF(Tabela4[[#This Row],[Teste de Continuidade]:[Hipot]],"---"),"")</f>
        <v/>
      </c>
      <c r="W540" s="29" t="str">
        <f ca="1">IF(Tabela4[[#This Row],[Cabo]]&lt;&gt;"",(COUNTIF(Tabela4[[#This Row],[Teste de Continuidade]:[Hipot]],"OK"))/(4-COUNTIF(Tabela4[[#This Row],[Teste de Continuidade]:[Hipot]],"---")),"")</f>
        <v/>
      </c>
      <c r="X540" s="23" t="str">
        <f ca="1">IF(Tabela4[[#This Row],[Cabo]]&lt;&gt;"",SUMIFS('Lançamento de Cabos'!$AF:$AF,'Lançamento de Cabos'!AE:AE,Tabela4[[#This Row],[Cabo]],'Lançamento de Cabos'!AJ:AJ,Área!$B$1),"")</f>
        <v/>
      </c>
      <c r="Y540" s="23" t="str">
        <f ca="1">IF(Tabela4[[#This Row],[Cabo]]&lt;&gt;"",SUMIFS('Lançamento de Cabos'!$AG:$AG,'Lançamento de Cabos'!AE:AE,Tabela4[[#This Row],[Cabo]],'Lançamento de Cabos'!AJ:AJ,Área!$B$1),"")</f>
        <v/>
      </c>
      <c r="Z540" s="23" t="e">
        <f ca="1">VLOOKUP(Tabela4[[#This Row],[Cabo]],BD!A:AB,28,0)</f>
        <v>#N/A</v>
      </c>
    </row>
    <row r="541" spans="3:26" x14ac:dyDescent="0.25">
      <c r="C541" s="391" t="str">
        <f ca="1">IF($B$1="Geral",Tabela1[[#This Row],[Tag do Cabo]],IFERROR(INDEX(INDIRECT("BD!$A"&amp;D541&amp;":$A100000"),E541,1),""))</f>
        <v/>
      </c>
      <c r="D541" s="391" t="str">
        <f t="shared" ca="1" si="20"/>
        <v/>
      </c>
      <c r="E541" s="391" t="str">
        <f t="shared" ca="1" si="21"/>
        <v/>
      </c>
      <c r="F541" s="23" t="str">
        <f ca="1">IFERROR(VLOOKUP(Tabela4[[#This Row],[Cabo]],BD!A:V,2,0),"")</f>
        <v/>
      </c>
      <c r="G541" s="391" t="str">
        <f ca="1">IFERROR(VLOOKUP(Tabela4[[#This Row],[Cabo]],BD!A:V,5,0),"")</f>
        <v/>
      </c>
      <c r="H541" s="23" t="str">
        <f ca="1">IFERROR(VLOOKUP(Tabela4[[#This Row],[Cabo]],BD!A:V,3,0),"")</f>
        <v/>
      </c>
      <c r="I541" s="23" t="str">
        <f ca="1">IFERROR(VLOOKUP(Tabela4[[#This Row],[Cabo]],BD!A:V,4,0),"")</f>
        <v/>
      </c>
      <c r="J541" s="23" t="str">
        <f ca="1">IFERROR(VLOOKUP(Tabela4[[#This Row],[Cabo]],BD!A:V,7,0),"")</f>
        <v/>
      </c>
      <c r="K54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1" s="23" t="str">
        <f ca="1">IFERROR(VLOOKUP(Tabela4[[#This Row],[Cabo]],BD!A:V,9,0),"")</f>
        <v/>
      </c>
      <c r="M541" s="23" t="str">
        <f ca="1">IFERROR(VLOOKUP(Tabela4[[#This Row],[Cabo]],BD!A:AD,30,0),"")</f>
        <v/>
      </c>
      <c r="N541" s="23" t="str">
        <f ca="1">IF(SUMIF('Lançamento de Cabos'!B:B,Tabela4[[#This Row],[Cabo]],'Lançamento de Cabos'!C:C)=0,"",SUMIF('Lançamento de Cabos'!B:B,Tabela4[[#This Row],[Cabo]],'Lançamento de Cabos'!C:C))</f>
        <v/>
      </c>
      <c r="O541" s="28" t="str">
        <f ca="1">IFERROR(IF(Tabela4[[#This Row],[Compr. Lançado]]/Tabela4[[#This Row],[Compr. Prev.]]&gt;1,1,Tabela4[[#This Row],[Compr. Lançado]]/Tabela4[[#This Row],[Compr. Prev.]]),"")</f>
        <v/>
      </c>
      <c r="P541" s="24" t="str">
        <f ca="1">IFERROR(VLOOKUP(Tabela4[[#This Row],[Cabo]],BD!A:V,11,0),"")</f>
        <v/>
      </c>
      <c r="Q541" s="24" t="str">
        <f ca="1">IFERROR(VLOOKUP(Tabela4[[#This Row],[Cabo]],BD!A:V,12,0),"")</f>
        <v/>
      </c>
      <c r="R54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1" s="23" t="str">
        <f ca="1">IF(Tabela4[[#This Row],[Cabo]]&lt;&gt;"",4-COUNTIF(Tabela4[[#This Row],[Teste de Continuidade]:[Hipot]],"---"),"")</f>
        <v/>
      </c>
      <c r="W541" s="29" t="str">
        <f ca="1">IF(Tabela4[[#This Row],[Cabo]]&lt;&gt;"",(COUNTIF(Tabela4[[#This Row],[Teste de Continuidade]:[Hipot]],"OK"))/(4-COUNTIF(Tabela4[[#This Row],[Teste de Continuidade]:[Hipot]],"---")),"")</f>
        <v/>
      </c>
      <c r="X541" s="23" t="str">
        <f ca="1">IF(Tabela4[[#This Row],[Cabo]]&lt;&gt;"",SUMIFS('Lançamento de Cabos'!$AF:$AF,'Lançamento de Cabos'!AE:AE,Tabela4[[#This Row],[Cabo]],'Lançamento de Cabos'!AJ:AJ,Área!$B$1),"")</f>
        <v/>
      </c>
      <c r="Y541" s="23" t="str">
        <f ca="1">IF(Tabela4[[#This Row],[Cabo]]&lt;&gt;"",SUMIFS('Lançamento de Cabos'!$AG:$AG,'Lançamento de Cabos'!AE:AE,Tabela4[[#This Row],[Cabo]],'Lançamento de Cabos'!AJ:AJ,Área!$B$1),"")</f>
        <v/>
      </c>
      <c r="Z541" s="23" t="e">
        <f ca="1">VLOOKUP(Tabela4[[#This Row],[Cabo]],BD!A:AB,28,0)</f>
        <v>#N/A</v>
      </c>
    </row>
    <row r="542" spans="3:26" x14ac:dyDescent="0.25">
      <c r="C542" s="391" t="str">
        <f ca="1">IF($B$1="Geral",Tabela1[[#This Row],[Tag do Cabo]],IFERROR(INDEX(INDIRECT("BD!$A"&amp;D542&amp;":$A100000"),E542,1),""))</f>
        <v/>
      </c>
      <c r="D542" s="391" t="str">
        <f t="shared" ca="1" si="20"/>
        <v/>
      </c>
      <c r="E542" s="391" t="str">
        <f t="shared" ca="1" si="21"/>
        <v/>
      </c>
      <c r="F542" s="23" t="str">
        <f ca="1">IFERROR(VLOOKUP(Tabela4[[#This Row],[Cabo]],BD!A:V,2,0),"")</f>
        <v/>
      </c>
      <c r="G542" s="391" t="str">
        <f ca="1">IFERROR(VLOOKUP(Tabela4[[#This Row],[Cabo]],BD!A:V,5,0),"")</f>
        <v/>
      </c>
      <c r="H542" s="23" t="str">
        <f ca="1">IFERROR(VLOOKUP(Tabela4[[#This Row],[Cabo]],BD!A:V,3,0),"")</f>
        <v/>
      </c>
      <c r="I542" s="23" t="str">
        <f ca="1">IFERROR(VLOOKUP(Tabela4[[#This Row],[Cabo]],BD!A:V,4,0),"")</f>
        <v/>
      </c>
      <c r="J542" s="23" t="str">
        <f ca="1">IFERROR(VLOOKUP(Tabela4[[#This Row],[Cabo]],BD!A:V,7,0),"")</f>
        <v/>
      </c>
      <c r="K54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2" s="23" t="str">
        <f ca="1">IFERROR(VLOOKUP(Tabela4[[#This Row],[Cabo]],BD!A:V,9,0),"")</f>
        <v/>
      </c>
      <c r="M542" s="23" t="str">
        <f ca="1">IFERROR(VLOOKUP(Tabela4[[#This Row],[Cabo]],BD!A:AD,30,0),"")</f>
        <v/>
      </c>
      <c r="N542" s="23" t="str">
        <f ca="1">IF(SUMIF('Lançamento de Cabos'!B:B,Tabela4[[#This Row],[Cabo]],'Lançamento de Cabos'!C:C)=0,"",SUMIF('Lançamento de Cabos'!B:B,Tabela4[[#This Row],[Cabo]],'Lançamento de Cabos'!C:C))</f>
        <v/>
      </c>
      <c r="O542" s="28" t="str">
        <f ca="1">IFERROR(IF(Tabela4[[#This Row],[Compr. Lançado]]/Tabela4[[#This Row],[Compr. Prev.]]&gt;1,1,Tabela4[[#This Row],[Compr. Lançado]]/Tabela4[[#This Row],[Compr. Prev.]]),"")</f>
        <v/>
      </c>
      <c r="P542" s="24" t="str">
        <f ca="1">IFERROR(VLOOKUP(Tabela4[[#This Row],[Cabo]],BD!A:V,11,0),"")</f>
        <v/>
      </c>
      <c r="Q542" s="24" t="str">
        <f ca="1">IFERROR(VLOOKUP(Tabela4[[#This Row],[Cabo]],BD!A:V,12,0),"")</f>
        <v/>
      </c>
      <c r="R54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2" s="23" t="str">
        <f ca="1">IF(Tabela4[[#This Row],[Cabo]]&lt;&gt;"",4-COUNTIF(Tabela4[[#This Row],[Teste de Continuidade]:[Hipot]],"---"),"")</f>
        <v/>
      </c>
      <c r="W542" s="29" t="str">
        <f ca="1">IF(Tabela4[[#This Row],[Cabo]]&lt;&gt;"",(COUNTIF(Tabela4[[#This Row],[Teste de Continuidade]:[Hipot]],"OK"))/(4-COUNTIF(Tabela4[[#This Row],[Teste de Continuidade]:[Hipot]],"---")),"")</f>
        <v/>
      </c>
      <c r="X542" s="23" t="str">
        <f ca="1">IF(Tabela4[[#This Row],[Cabo]]&lt;&gt;"",SUMIFS('Lançamento de Cabos'!$AF:$AF,'Lançamento de Cabos'!AE:AE,Tabela4[[#This Row],[Cabo]],'Lançamento de Cabos'!AJ:AJ,Área!$B$1),"")</f>
        <v/>
      </c>
      <c r="Y542" s="23" t="str">
        <f ca="1">IF(Tabela4[[#This Row],[Cabo]]&lt;&gt;"",SUMIFS('Lançamento de Cabos'!$AG:$AG,'Lançamento de Cabos'!AE:AE,Tabela4[[#This Row],[Cabo]],'Lançamento de Cabos'!AJ:AJ,Área!$B$1),"")</f>
        <v/>
      </c>
      <c r="Z542" s="23" t="e">
        <f ca="1">VLOOKUP(Tabela4[[#This Row],[Cabo]],BD!A:AB,28,0)</f>
        <v>#N/A</v>
      </c>
    </row>
    <row r="543" spans="3:26" x14ac:dyDescent="0.25">
      <c r="C543" s="391" t="str">
        <f ca="1">IF($B$1="Geral",Tabela1[[#This Row],[Tag do Cabo]],IFERROR(INDEX(INDIRECT("BD!$A"&amp;D543&amp;":$A100000"),E543,1),""))</f>
        <v/>
      </c>
      <c r="D543" s="391" t="str">
        <f t="shared" ca="1" si="20"/>
        <v/>
      </c>
      <c r="E543" s="391" t="str">
        <f t="shared" ca="1" si="21"/>
        <v/>
      </c>
      <c r="F543" s="23" t="str">
        <f ca="1">IFERROR(VLOOKUP(Tabela4[[#This Row],[Cabo]],BD!A:V,2,0),"")</f>
        <v/>
      </c>
      <c r="G543" s="391" t="str">
        <f ca="1">IFERROR(VLOOKUP(Tabela4[[#This Row],[Cabo]],BD!A:V,5,0),"")</f>
        <v/>
      </c>
      <c r="H543" s="23" t="str">
        <f ca="1">IFERROR(VLOOKUP(Tabela4[[#This Row],[Cabo]],BD!A:V,3,0),"")</f>
        <v/>
      </c>
      <c r="I543" s="23" t="str">
        <f ca="1">IFERROR(VLOOKUP(Tabela4[[#This Row],[Cabo]],BD!A:V,4,0),"")</f>
        <v/>
      </c>
      <c r="J543" s="23" t="str">
        <f ca="1">IFERROR(VLOOKUP(Tabela4[[#This Row],[Cabo]],BD!A:V,7,0),"")</f>
        <v/>
      </c>
      <c r="K54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3" s="23" t="str">
        <f ca="1">IFERROR(VLOOKUP(Tabela4[[#This Row],[Cabo]],BD!A:V,9,0),"")</f>
        <v/>
      </c>
      <c r="M543" s="23" t="str">
        <f ca="1">IFERROR(VLOOKUP(Tabela4[[#This Row],[Cabo]],BD!A:AD,30,0),"")</f>
        <v/>
      </c>
      <c r="N543" s="23" t="str">
        <f ca="1">IF(SUMIF('Lançamento de Cabos'!B:B,Tabela4[[#This Row],[Cabo]],'Lançamento de Cabos'!C:C)=0,"",SUMIF('Lançamento de Cabos'!B:B,Tabela4[[#This Row],[Cabo]],'Lançamento de Cabos'!C:C))</f>
        <v/>
      </c>
      <c r="O543" s="28" t="str">
        <f ca="1">IFERROR(IF(Tabela4[[#This Row],[Compr. Lançado]]/Tabela4[[#This Row],[Compr. Prev.]]&gt;1,1,Tabela4[[#This Row],[Compr. Lançado]]/Tabela4[[#This Row],[Compr. Prev.]]),"")</f>
        <v/>
      </c>
      <c r="P543" s="24" t="str">
        <f ca="1">IFERROR(VLOOKUP(Tabela4[[#This Row],[Cabo]],BD!A:V,11,0),"")</f>
        <v/>
      </c>
      <c r="Q543" s="24" t="str">
        <f ca="1">IFERROR(VLOOKUP(Tabela4[[#This Row],[Cabo]],BD!A:V,12,0),"")</f>
        <v/>
      </c>
      <c r="R54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3" s="23" t="str">
        <f ca="1">IF(Tabela4[[#This Row],[Cabo]]&lt;&gt;"",4-COUNTIF(Tabela4[[#This Row],[Teste de Continuidade]:[Hipot]],"---"),"")</f>
        <v/>
      </c>
      <c r="W543" s="29" t="str">
        <f ca="1">IF(Tabela4[[#This Row],[Cabo]]&lt;&gt;"",(COUNTIF(Tabela4[[#This Row],[Teste de Continuidade]:[Hipot]],"OK"))/(4-COUNTIF(Tabela4[[#This Row],[Teste de Continuidade]:[Hipot]],"---")),"")</f>
        <v/>
      </c>
      <c r="X543" s="23" t="str">
        <f ca="1">IF(Tabela4[[#This Row],[Cabo]]&lt;&gt;"",SUMIFS('Lançamento de Cabos'!$AF:$AF,'Lançamento de Cabos'!AE:AE,Tabela4[[#This Row],[Cabo]],'Lançamento de Cabos'!AJ:AJ,Área!$B$1),"")</f>
        <v/>
      </c>
      <c r="Y543" s="23" t="str">
        <f ca="1">IF(Tabela4[[#This Row],[Cabo]]&lt;&gt;"",SUMIFS('Lançamento de Cabos'!$AG:$AG,'Lançamento de Cabos'!AE:AE,Tabela4[[#This Row],[Cabo]],'Lançamento de Cabos'!AJ:AJ,Área!$B$1),"")</f>
        <v/>
      </c>
      <c r="Z543" s="23" t="e">
        <f ca="1">VLOOKUP(Tabela4[[#This Row],[Cabo]],BD!A:AB,28,0)</f>
        <v>#N/A</v>
      </c>
    </row>
    <row r="544" spans="3:26" x14ac:dyDescent="0.25">
      <c r="C544" s="391" t="str">
        <f ca="1">IF($B$1="Geral",Tabela1[[#This Row],[Tag do Cabo]],IFERROR(INDEX(INDIRECT("BD!$A"&amp;D544&amp;":$A100000"),E544,1),""))</f>
        <v/>
      </c>
      <c r="D544" s="391" t="str">
        <f t="shared" ca="1" si="20"/>
        <v/>
      </c>
      <c r="E544" s="391" t="str">
        <f t="shared" ca="1" si="21"/>
        <v/>
      </c>
      <c r="F544" s="23" t="str">
        <f ca="1">IFERROR(VLOOKUP(Tabela4[[#This Row],[Cabo]],BD!A:V,2,0),"")</f>
        <v/>
      </c>
      <c r="G544" s="391" t="str">
        <f ca="1">IFERROR(VLOOKUP(Tabela4[[#This Row],[Cabo]],BD!A:V,5,0),"")</f>
        <v/>
      </c>
      <c r="H544" s="23" t="str">
        <f ca="1">IFERROR(VLOOKUP(Tabela4[[#This Row],[Cabo]],BD!A:V,3,0),"")</f>
        <v/>
      </c>
      <c r="I544" s="23" t="str">
        <f ca="1">IFERROR(VLOOKUP(Tabela4[[#This Row],[Cabo]],BD!A:V,4,0),"")</f>
        <v/>
      </c>
      <c r="J544" s="23" t="str">
        <f ca="1">IFERROR(VLOOKUP(Tabela4[[#This Row],[Cabo]],BD!A:V,7,0),"")</f>
        <v/>
      </c>
      <c r="K54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4" s="23" t="str">
        <f ca="1">IFERROR(VLOOKUP(Tabela4[[#This Row],[Cabo]],BD!A:V,9,0),"")</f>
        <v/>
      </c>
      <c r="M544" s="23" t="str">
        <f ca="1">IFERROR(VLOOKUP(Tabela4[[#This Row],[Cabo]],BD!A:AD,30,0),"")</f>
        <v/>
      </c>
      <c r="N544" s="23" t="str">
        <f ca="1">IF(SUMIF('Lançamento de Cabos'!B:B,Tabela4[[#This Row],[Cabo]],'Lançamento de Cabos'!C:C)=0,"",SUMIF('Lançamento de Cabos'!B:B,Tabela4[[#This Row],[Cabo]],'Lançamento de Cabos'!C:C))</f>
        <v/>
      </c>
      <c r="O544" s="28" t="str">
        <f ca="1">IFERROR(IF(Tabela4[[#This Row],[Compr. Lançado]]/Tabela4[[#This Row],[Compr. Prev.]]&gt;1,1,Tabela4[[#This Row],[Compr. Lançado]]/Tabela4[[#This Row],[Compr. Prev.]]),"")</f>
        <v/>
      </c>
      <c r="P544" s="24" t="str">
        <f ca="1">IFERROR(VLOOKUP(Tabela4[[#This Row],[Cabo]],BD!A:V,11,0),"")</f>
        <v/>
      </c>
      <c r="Q544" s="24" t="str">
        <f ca="1">IFERROR(VLOOKUP(Tabela4[[#This Row],[Cabo]],BD!A:V,12,0),"")</f>
        <v/>
      </c>
      <c r="R54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4" s="23" t="str">
        <f ca="1">IF(Tabela4[[#This Row],[Cabo]]&lt;&gt;"",4-COUNTIF(Tabela4[[#This Row],[Teste de Continuidade]:[Hipot]],"---"),"")</f>
        <v/>
      </c>
      <c r="W544" s="29" t="str">
        <f ca="1">IF(Tabela4[[#This Row],[Cabo]]&lt;&gt;"",(COUNTIF(Tabela4[[#This Row],[Teste de Continuidade]:[Hipot]],"OK"))/(4-COUNTIF(Tabela4[[#This Row],[Teste de Continuidade]:[Hipot]],"---")),"")</f>
        <v/>
      </c>
      <c r="X544" s="23" t="str">
        <f ca="1">IF(Tabela4[[#This Row],[Cabo]]&lt;&gt;"",SUMIFS('Lançamento de Cabos'!$AF:$AF,'Lançamento de Cabos'!AE:AE,Tabela4[[#This Row],[Cabo]],'Lançamento de Cabos'!AJ:AJ,Área!$B$1),"")</f>
        <v/>
      </c>
      <c r="Y544" s="23" t="str">
        <f ca="1">IF(Tabela4[[#This Row],[Cabo]]&lt;&gt;"",SUMIFS('Lançamento de Cabos'!$AG:$AG,'Lançamento de Cabos'!AE:AE,Tabela4[[#This Row],[Cabo]],'Lançamento de Cabos'!AJ:AJ,Área!$B$1),"")</f>
        <v/>
      </c>
      <c r="Z544" s="23" t="e">
        <f ca="1">VLOOKUP(Tabela4[[#This Row],[Cabo]],BD!A:AB,28,0)</f>
        <v>#N/A</v>
      </c>
    </row>
    <row r="545" spans="3:26" x14ac:dyDescent="0.25">
      <c r="C545" s="391" t="str">
        <f ca="1">IF($B$1="Geral",Tabela1[[#This Row],[Tag do Cabo]],IFERROR(INDEX(INDIRECT("BD!$A"&amp;D545&amp;":$A100000"),E545,1),""))</f>
        <v/>
      </c>
      <c r="D545" s="391" t="str">
        <f t="shared" ca="1" si="20"/>
        <v/>
      </c>
      <c r="E545" s="391" t="str">
        <f t="shared" ca="1" si="21"/>
        <v/>
      </c>
      <c r="F545" s="23" t="str">
        <f ca="1">IFERROR(VLOOKUP(Tabela4[[#This Row],[Cabo]],BD!A:V,2,0),"")</f>
        <v/>
      </c>
      <c r="G545" s="391" t="str">
        <f ca="1">IFERROR(VLOOKUP(Tabela4[[#This Row],[Cabo]],BD!A:V,5,0),"")</f>
        <v/>
      </c>
      <c r="H545" s="23" t="str">
        <f ca="1">IFERROR(VLOOKUP(Tabela4[[#This Row],[Cabo]],BD!A:V,3,0),"")</f>
        <v/>
      </c>
      <c r="I545" s="23" t="str">
        <f ca="1">IFERROR(VLOOKUP(Tabela4[[#This Row],[Cabo]],BD!A:V,4,0),"")</f>
        <v/>
      </c>
      <c r="J545" s="23" t="str">
        <f ca="1">IFERROR(VLOOKUP(Tabela4[[#This Row],[Cabo]],BD!A:V,7,0),"")</f>
        <v/>
      </c>
      <c r="K54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5" s="23" t="str">
        <f ca="1">IFERROR(VLOOKUP(Tabela4[[#This Row],[Cabo]],BD!A:V,9,0),"")</f>
        <v/>
      </c>
      <c r="M545" s="23" t="str">
        <f ca="1">IFERROR(VLOOKUP(Tabela4[[#This Row],[Cabo]],BD!A:AD,30,0),"")</f>
        <v/>
      </c>
      <c r="N545" s="23" t="str">
        <f ca="1">IF(SUMIF('Lançamento de Cabos'!B:B,Tabela4[[#This Row],[Cabo]],'Lançamento de Cabos'!C:C)=0,"",SUMIF('Lançamento de Cabos'!B:B,Tabela4[[#This Row],[Cabo]],'Lançamento de Cabos'!C:C))</f>
        <v/>
      </c>
      <c r="O545" s="28" t="str">
        <f ca="1">IFERROR(IF(Tabela4[[#This Row],[Compr. Lançado]]/Tabela4[[#This Row],[Compr. Prev.]]&gt;1,1,Tabela4[[#This Row],[Compr. Lançado]]/Tabela4[[#This Row],[Compr. Prev.]]),"")</f>
        <v/>
      </c>
      <c r="P545" s="24" t="str">
        <f ca="1">IFERROR(VLOOKUP(Tabela4[[#This Row],[Cabo]],BD!A:V,11,0),"")</f>
        <v/>
      </c>
      <c r="Q545" s="24" t="str">
        <f ca="1">IFERROR(VLOOKUP(Tabela4[[#This Row],[Cabo]],BD!A:V,12,0),"")</f>
        <v/>
      </c>
      <c r="R54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5" s="23" t="str">
        <f ca="1">IF(Tabela4[[#This Row],[Cabo]]&lt;&gt;"",4-COUNTIF(Tabela4[[#This Row],[Teste de Continuidade]:[Hipot]],"---"),"")</f>
        <v/>
      </c>
      <c r="W545" s="29" t="str">
        <f ca="1">IF(Tabela4[[#This Row],[Cabo]]&lt;&gt;"",(COUNTIF(Tabela4[[#This Row],[Teste de Continuidade]:[Hipot]],"OK"))/(4-COUNTIF(Tabela4[[#This Row],[Teste de Continuidade]:[Hipot]],"---")),"")</f>
        <v/>
      </c>
      <c r="X545" s="23" t="str">
        <f ca="1">IF(Tabela4[[#This Row],[Cabo]]&lt;&gt;"",SUMIFS('Lançamento de Cabos'!$AF:$AF,'Lançamento de Cabos'!AE:AE,Tabela4[[#This Row],[Cabo]],'Lançamento de Cabos'!AJ:AJ,Área!$B$1),"")</f>
        <v/>
      </c>
      <c r="Y545" s="23" t="str">
        <f ca="1">IF(Tabela4[[#This Row],[Cabo]]&lt;&gt;"",SUMIFS('Lançamento de Cabos'!$AG:$AG,'Lançamento de Cabos'!AE:AE,Tabela4[[#This Row],[Cabo]],'Lançamento de Cabos'!AJ:AJ,Área!$B$1),"")</f>
        <v/>
      </c>
      <c r="Z545" s="23" t="e">
        <f ca="1">VLOOKUP(Tabela4[[#This Row],[Cabo]],BD!A:AB,28,0)</f>
        <v>#N/A</v>
      </c>
    </row>
    <row r="546" spans="3:26" x14ac:dyDescent="0.25">
      <c r="C546" s="391" t="str">
        <f ca="1">IF($B$1="Geral",Tabela1[[#This Row],[Tag do Cabo]],IFERROR(INDEX(INDIRECT("BD!$A"&amp;D546&amp;":$A100000"),E546,1),""))</f>
        <v/>
      </c>
      <c r="D546" s="391" t="str">
        <f t="shared" ca="1" si="20"/>
        <v/>
      </c>
      <c r="E546" s="391" t="str">
        <f t="shared" ca="1" si="21"/>
        <v/>
      </c>
      <c r="F546" s="23" t="str">
        <f ca="1">IFERROR(VLOOKUP(Tabela4[[#This Row],[Cabo]],BD!A:V,2,0),"")</f>
        <v/>
      </c>
      <c r="G546" s="391" t="str">
        <f ca="1">IFERROR(VLOOKUP(Tabela4[[#This Row],[Cabo]],BD!A:V,5,0),"")</f>
        <v/>
      </c>
      <c r="H546" s="23" t="str">
        <f ca="1">IFERROR(VLOOKUP(Tabela4[[#This Row],[Cabo]],BD!A:V,3,0),"")</f>
        <v/>
      </c>
      <c r="I546" s="23" t="str">
        <f ca="1">IFERROR(VLOOKUP(Tabela4[[#This Row],[Cabo]],BD!A:V,4,0),"")</f>
        <v/>
      </c>
      <c r="J546" s="23" t="str">
        <f ca="1">IFERROR(VLOOKUP(Tabela4[[#This Row],[Cabo]],BD!A:V,7,0),"")</f>
        <v/>
      </c>
      <c r="K54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6" s="23" t="str">
        <f ca="1">IFERROR(VLOOKUP(Tabela4[[#This Row],[Cabo]],BD!A:V,9,0),"")</f>
        <v/>
      </c>
      <c r="M546" s="23" t="str">
        <f ca="1">IFERROR(VLOOKUP(Tabela4[[#This Row],[Cabo]],BD!A:AD,30,0),"")</f>
        <v/>
      </c>
      <c r="N546" s="23" t="str">
        <f ca="1">IF(SUMIF('Lançamento de Cabos'!B:B,Tabela4[[#This Row],[Cabo]],'Lançamento de Cabos'!C:C)=0,"",SUMIF('Lançamento de Cabos'!B:B,Tabela4[[#This Row],[Cabo]],'Lançamento de Cabos'!C:C))</f>
        <v/>
      </c>
      <c r="O546" s="28" t="str">
        <f ca="1">IFERROR(IF(Tabela4[[#This Row],[Compr. Lançado]]/Tabela4[[#This Row],[Compr. Prev.]]&gt;1,1,Tabela4[[#This Row],[Compr. Lançado]]/Tabela4[[#This Row],[Compr. Prev.]]),"")</f>
        <v/>
      </c>
      <c r="P546" s="24" t="str">
        <f ca="1">IFERROR(VLOOKUP(Tabela4[[#This Row],[Cabo]],BD!A:V,11,0),"")</f>
        <v/>
      </c>
      <c r="Q546" s="24" t="str">
        <f ca="1">IFERROR(VLOOKUP(Tabela4[[#This Row],[Cabo]],BD!A:V,12,0),"")</f>
        <v/>
      </c>
      <c r="R54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6" s="23" t="str">
        <f ca="1">IF(Tabela4[[#This Row],[Cabo]]&lt;&gt;"",4-COUNTIF(Tabela4[[#This Row],[Teste de Continuidade]:[Hipot]],"---"),"")</f>
        <v/>
      </c>
      <c r="W546" s="29" t="str">
        <f ca="1">IF(Tabela4[[#This Row],[Cabo]]&lt;&gt;"",(COUNTIF(Tabela4[[#This Row],[Teste de Continuidade]:[Hipot]],"OK"))/(4-COUNTIF(Tabela4[[#This Row],[Teste de Continuidade]:[Hipot]],"---")),"")</f>
        <v/>
      </c>
      <c r="X546" s="23" t="str">
        <f ca="1">IF(Tabela4[[#This Row],[Cabo]]&lt;&gt;"",SUMIFS('Lançamento de Cabos'!$AF:$AF,'Lançamento de Cabos'!AE:AE,Tabela4[[#This Row],[Cabo]],'Lançamento de Cabos'!AJ:AJ,Área!$B$1),"")</f>
        <v/>
      </c>
      <c r="Y546" s="23" t="str">
        <f ca="1">IF(Tabela4[[#This Row],[Cabo]]&lt;&gt;"",SUMIFS('Lançamento de Cabos'!$AG:$AG,'Lançamento de Cabos'!AE:AE,Tabela4[[#This Row],[Cabo]],'Lançamento de Cabos'!AJ:AJ,Área!$B$1),"")</f>
        <v/>
      </c>
      <c r="Z546" s="23" t="e">
        <f ca="1">VLOOKUP(Tabela4[[#This Row],[Cabo]],BD!A:AB,28,0)</f>
        <v>#N/A</v>
      </c>
    </row>
    <row r="547" spans="3:26" x14ac:dyDescent="0.25">
      <c r="C547" s="391" t="str">
        <f ca="1">IF($B$1="Geral",Tabela1[[#This Row],[Tag do Cabo]],IFERROR(INDEX(INDIRECT("BD!$A"&amp;D547&amp;":$A100000"),E547,1),""))</f>
        <v/>
      </c>
      <c r="D547" s="391" t="str">
        <f t="shared" ca="1" si="20"/>
        <v/>
      </c>
      <c r="E547" s="391" t="str">
        <f t="shared" ca="1" si="21"/>
        <v/>
      </c>
      <c r="F547" s="23" t="str">
        <f ca="1">IFERROR(VLOOKUP(Tabela4[[#This Row],[Cabo]],BD!A:V,2,0),"")</f>
        <v/>
      </c>
      <c r="G547" s="391" t="str">
        <f ca="1">IFERROR(VLOOKUP(Tabela4[[#This Row],[Cabo]],BD!A:V,5,0),"")</f>
        <v/>
      </c>
      <c r="H547" s="23" t="str">
        <f ca="1">IFERROR(VLOOKUP(Tabela4[[#This Row],[Cabo]],BD!A:V,3,0),"")</f>
        <v/>
      </c>
      <c r="I547" s="23" t="str">
        <f ca="1">IFERROR(VLOOKUP(Tabela4[[#This Row],[Cabo]],BD!A:V,4,0),"")</f>
        <v/>
      </c>
      <c r="J547" s="23" t="str">
        <f ca="1">IFERROR(VLOOKUP(Tabela4[[#This Row],[Cabo]],BD!A:V,7,0),"")</f>
        <v/>
      </c>
      <c r="K54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7" s="23" t="str">
        <f ca="1">IFERROR(VLOOKUP(Tabela4[[#This Row],[Cabo]],BD!A:V,9,0),"")</f>
        <v/>
      </c>
      <c r="M547" s="23" t="str">
        <f ca="1">IFERROR(VLOOKUP(Tabela4[[#This Row],[Cabo]],BD!A:AD,30,0),"")</f>
        <v/>
      </c>
      <c r="N547" s="23" t="str">
        <f ca="1">IF(SUMIF('Lançamento de Cabos'!B:B,Tabela4[[#This Row],[Cabo]],'Lançamento de Cabos'!C:C)=0,"",SUMIF('Lançamento de Cabos'!B:B,Tabela4[[#This Row],[Cabo]],'Lançamento de Cabos'!C:C))</f>
        <v/>
      </c>
      <c r="O547" s="28" t="str">
        <f ca="1">IFERROR(IF(Tabela4[[#This Row],[Compr. Lançado]]/Tabela4[[#This Row],[Compr. Prev.]]&gt;1,1,Tabela4[[#This Row],[Compr. Lançado]]/Tabela4[[#This Row],[Compr. Prev.]]),"")</f>
        <v/>
      </c>
      <c r="P547" s="24" t="str">
        <f ca="1">IFERROR(VLOOKUP(Tabela4[[#This Row],[Cabo]],BD!A:V,11,0),"")</f>
        <v/>
      </c>
      <c r="Q547" s="24" t="str">
        <f ca="1">IFERROR(VLOOKUP(Tabela4[[#This Row],[Cabo]],BD!A:V,12,0),"")</f>
        <v/>
      </c>
      <c r="R54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7" s="23" t="str">
        <f ca="1">IF(Tabela4[[#This Row],[Cabo]]&lt;&gt;"",4-COUNTIF(Tabela4[[#This Row],[Teste de Continuidade]:[Hipot]],"---"),"")</f>
        <v/>
      </c>
      <c r="W547" s="29" t="str">
        <f ca="1">IF(Tabela4[[#This Row],[Cabo]]&lt;&gt;"",(COUNTIF(Tabela4[[#This Row],[Teste de Continuidade]:[Hipot]],"OK"))/(4-COUNTIF(Tabela4[[#This Row],[Teste de Continuidade]:[Hipot]],"---")),"")</f>
        <v/>
      </c>
      <c r="X547" s="23" t="str">
        <f ca="1">IF(Tabela4[[#This Row],[Cabo]]&lt;&gt;"",SUMIFS('Lançamento de Cabos'!$AF:$AF,'Lançamento de Cabos'!AE:AE,Tabela4[[#This Row],[Cabo]],'Lançamento de Cabos'!AJ:AJ,Área!$B$1),"")</f>
        <v/>
      </c>
      <c r="Y547" s="23" t="str">
        <f ca="1">IF(Tabela4[[#This Row],[Cabo]]&lt;&gt;"",SUMIFS('Lançamento de Cabos'!$AG:$AG,'Lançamento de Cabos'!AE:AE,Tabela4[[#This Row],[Cabo]],'Lançamento de Cabos'!AJ:AJ,Área!$B$1),"")</f>
        <v/>
      </c>
      <c r="Z547" s="23" t="e">
        <f ca="1">VLOOKUP(Tabela4[[#This Row],[Cabo]],BD!A:AB,28,0)</f>
        <v>#N/A</v>
      </c>
    </row>
    <row r="548" spans="3:26" x14ac:dyDescent="0.25">
      <c r="C548" s="391" t="str">
        <f ca="1">IF($B$1="Geral",Tabela1[[#This Row],[Tag do Cabo]],IFERROR(INDEX(INDIRECT("BD!$A"&amp;D548&amp;":$A100000"),E548,1),""))</f>
        <v/>
      </c>
      <c r="D548" s="391" t="str">
        <f t="shared" ca="1" si="20"/>
        <v/>
      </c>
      <c r="E548" s="391" t="str">
        <f t="shared" ca="1" si="21"/>
        <v/>
      </c>
      <c r="F548" s="23" t="str">
        <f ca="1">IFERROR(VLOOKUP(Tabela4[[#This Row],[Cabo]],BD!A:V,2,0),"")</f>
        <v/>
      </c>
      <c r="G548" s="391" t="str">
        <f ca="1">IFERROR(VLOOKUP(Tabela4[[#This Row],[Cabo]],BD!A:V,5,0),"")</f>
        <v/>
      </c>
      <c r="H548" s="23" t="str">
        <f ca="1">IFERROR(VLOOKUP(Tabela4[[#This Row],[Cabo]],BD!A:V,3,0),"")</f>
        <v/>
      </c>
      <c r="I548" s="23" t="str">
        <f ca="1">IFERROR(VLOOKUP(Tabela4[[#This Row],[Cabo]],BD!A:V,4,0),"")</f>
        <v/>
      </c>
      <c r="J548" s="23" t="str">
        <f ca="1">IFERROR(VLOOKUP(Tabela4[[#This Row],[Cabo]],BD!A:V,7,0),"")</f>
        <v/>
      </c>
      <c r="K54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8" s="23" t="str">
        <f ca="1">IFERROR(VLOOKUP(Tabela4[[#This Row],[Cabo]],BD!A:V,9,0),"")</f>
        <v/>
      </c>
      <c r="M548" s="23" t="str">
        <f ca="1">IFERROR(VLOOKUP(Tabela4[[#This Row],[Cabo]],BD!A:AD,30,0),"")</f>
        <v/>
      </c>
      <c r="N548" s="23" t="str">
        <f ca="1">IF(SUMIF('Lançamento de Cabos'!B:B,Tabela4[[#This Row],[Cabo]],'Lançamento de Cabos'!C:C)=0,"",SUMIF('Lançamento de Cabos'!B:B,Tabela4[[#This Row],[Cabo]],'Lançamento de Cabos'!C:C))</f>
        <v/>
      </c>
      <c r="O548" s="28" t="str">
        <f ca="1">IFERROR(IF(Tabela4[[#This Row],[Compr. Lançado]]/Tabela4[[#This Row],[Compr. Prev.]]&gt;1,1,Tabela4[[#This Row],[Compr. Lançado]]/Tabela4[[#This Row],[Compr. Prev.]]),"")</f>
        <v/>
      </c>
      <c r="P548" s="24" t="str">
        <f ca="1">IFERROR(VLOOKUP(Tabela4[[#This Row],[Cabo]],BD!A:V,11,0),"")</f>
        <v/>
      </c>
      <c r="Q548" s="24" t="str">
        <f ca="1">IFERROR(VLOOKUP(Tabela4[[#This Row],[Cabo]],BD!A:V,12,0),"")</f>
        <v/>
      </c>
      <c r="R54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8" s="23" t="str">
        <f ca="1">IF(Tabela4[[#This Row],[Cabo]]&lt;&gt;"",4-COUNTIF(Tabela4[[#This Row],[Teste de Continuidade]:[Hipot]],"---"),"")</f>
        <v/>
      </c>
      <c r="W548" s="29" t="str">
        <f ca="1">IF(Tabela4[[#This Row],[Cabo]]&lt;&gt;"",(COUNTIF(Tabela4[[#This Row],[Teste de Continuidade]:[Hipot]],"OK"))/(4-COUNTIF(Tabela4[[#This Row],[Teste de Continuidade]:[Hipot]],"---")),"")</f>
        <v/>
      </c>
      <c r="X548" s="23" t="str">
        <f ca="1">IF(Tabela4[[#This Row],[Cabo]]&lt;&gt;"",SUMIFS('Lançamento de Cabos'!$AF:$AF,'Lançamento de Cabos'!AE:AE,Tabela4[[#This Row],[Cabo]],'Lançamento de Cabos'!AJ:AJ,Área!$B$1),"")</f>
        <v/>
      </c>
      <c r="Y548" s="23" t="str">
        <f ca="1">IF(Tabela4[[#This Row],[Cabo]]&lt;&gt;"",SUMIFS('Lançamento de Cabos'!$AG:$AG,'Lançamento de Cabos'!AE:AE,Tabela4[[#This Row],[Cabo]],'Lançamento de Cabos'!AJ:AJ,Área!$B$1),"")</f>
        <v/>
      </c>
      <c r="Z548" s="23" t="e">
        <f ca="1">VLOOKUP(Tabela4[[#This Row],[Cabo]],BD!A:AB,28,0)</f>
        <v>#N/A</v>
      </c>
    </row>
    <row r="549" spans="3:26" x14ac:dyDescent="0.25">
      <c r="C549" s="391" t="str">
        <f ca="1">IF($B$1="Geral",Tabela1[[#This Row],[Tag do Cabo]],IFERROR(INDEX(INDIRECT("BD!$A"&amp;D549&amp;":$A100000"),E549,1),""))</f>
        <v/>
      </c>
      <c r="D549" s="391" t="str">
        <f t="shared" ca="1" si="20"/>
        <v/>
      </c>
      <c r="E549" s="391" t="str">
        <f t="shared" ca="1" si="21"/>
        <v/>
      </c>
      <c r="F549" s="23" t="str">
        <f ca="1">IFERROR(VLOOKUP(Tabela4[[#This Row],[Cabo]],BD!A:V,2,0),"")</f>
        <v/>
      </c>
      <c r="G549" s="391" t="str">
        <f ca="1">IFERROR(VLOOKUP(Tabela4[[#This Row],[Cabo]],BD!A:V,5,0),"")</f>
        <v/>
      </c>
      <c r="H549" s="23" t="str">
        <f ca="1">IFERROR(VLOOKUP(Tabela4[[#This Row],[Cabo]],BD!A:V,3,0),"")</f>
        <v/>
      </c>
      <c r="I549" s="23" t="str">
        <f ca="1">IFERROR(VLOOKUP(Tabela4[[#This Row],[Cabo]],BD!A:V,4,0),"")</f>
        <v/>
      </c>
      <c r="J549" s="23" t="str">
        <f ca="1">IFERROR(VLOOKUP(Tabela4[[#This Row],[Cabo]],BD!A:V,7,0),"")</f>
        <v/>
      </c>
      <c r="K54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49" s="23" t="str">
        <f ca="1">IFERROR(VLOOKUP(Tabela4[[#This Row],[Cabo]],BD!A:V,9,0),"")</f>
        <v/>
      </c>
      <c r="M549" s="23" t="str">
        <f ca="1">IFERROR(VLOOKUP(Tabela4[[#This Row],[Cabo]],BD!A:AD,30,0),"")</f>
        <v/>
      </c>
      <c r="N549" s="23" t="str">
        <f ca="1">IF(SUMIF('Lançamento de Cabos'!B:B,Tabela4[[#This Row],[Cabo]],'Lançamento de Cabos'!C:C)=0,"",SUMIF('Lançamento de Cabos'!B:B,Tabela4[[#This Row],[Cabo]],'Lançamento de Cabos'!C:C))</f>
        <v/>
      </c>
      <c r="O549" s="28" t="str">
        <f ca="1">IFERROR(IF(Tabela4[[#This Row],[Compr. Lançado]]/Tabela4[[#This Row],[Compr. Prev.]]&gt;1,1,Tabela4[[#This Row],[Compr. Lançado]]/Tabela4[[#This Row],[Compr. Prev.]]),"")</f>
        <v/>
      </c>
      <c r="P549" s="24" t="str">
        <f ca="1">IFERROR(VLOOKUP(Tabela4[[#This Row],[Cabo]],BD!A:V,11,0),"")</f>
        <v/>
      </c>
      <c r="Q549" s="24" t="str">
        <f ca="1">IFERROR(VLOOKUP(Tabela4[[#This Row],[Cabo]],BD!A:V,12,0),"")</f>
        <v/>
      </c>
      <c r="R54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4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4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4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49" s="23" t="str">
        <f ca="1">IF(Tabela4[[#This Row],[Cabo]]&lt;&gt;"",4-COUNTIF(Tabela4[[#This Row],[Teste de Continuidade]:[Hipot]],"---"),"")</f>
        <v/>
      </c>
      <c r="W549" s="29" t="str">
        <f ca="1">IF(Tabela4[[#This Row],[Cabo]]&lt;&gt;"",(COUNTIF(Tabela4[[#This Row],[Teste de Continuidade]:[Hipot]],"OK"))/(4-COUNTIF(Tabela4[[#This Row],[Teste de Continuidade]:[Hipot]],"---")),"")</f>
        <v/>
      </c>
      <c r="X549" s="23" t="str">
        <f ca="1">IF(Tabela4[[#This Row],[Cabo]]&lt;&gt;"",SUMIFS('Lançamento de Cabos'!$AF:$AF,'Lançamento de Cabos'!AE:AE,Tabela4[[#This Row],[Cabo]],'Lançamento de Cabos'!AJ:AJ,Área!$B$1),"")</f>
        <v/>
      </c>
      <c r="Y549" s="23" t="str">
        <f ca="1">IF(Tabela4[[#This Row],[Cabo]]&lt;&gt;"",SUMIFS('Lançamento de Cabos'!$AG:$AG,'Lançamento de Cabos'!AE:AE,Tabela4[[#This Row],[Cabo]],'Lançamento de Cabos'!AJ:AJ,Área!$B$1),"")</f>
        <v/>
      </c>
      <c r="Z549" s="23" t="e">
        <f ca="1">VLOOKUP(Tabela4[[#This Row],[Cabo]],BD!A:AB,28,0)</f>
        <v>#N/A</v>
      </c>
    </row>
    <row r="550" spans="3:26" x14ac:dyDescent="0.25">
      <c r="C550" s="391" t="str">
        <f ca="1">IF($B$1="Geral",Tabela1[[#This Row],[Tag do Cabo]],IFERROR(INDEX(INDIRECT("BD!$A"&amp;D550&amp;":$A100000"),E550,1),""))</f>
        <v/>
      </c>
      <c r="D550" s="391" t="str">
        <f t="shared" ca="1" si="20"/>
        <v/>
      </c>
      <c r="E550" s="391" t="str">
        <f t="shared" ca="1" si="21"/>
        <v/>
      </c>
      <c r="F550" s="23" t="str">
        <f ca="1">IFERROR(VLOOKUP(Tabela4[[#This Row],[Cabo]],BD!A:V,2,0),"")</f>
        <v/>
      </c>
      <c r="G550" s="391" t="str">
        <f ca="1">IFERROR(VLOOKUP(Tabela4[[#This Row],[Cabo]],BD!A:V,5,0),"")</f>
        <v/>
      </c>
      <c r="H550" s="23" t="str">
        <f ca="1">IFERROR(VLOOKUP(Tabela4[[#This Row],[Cabo]],BD!A:V,3,0),"")</f>
        <v/>
      </c>
      <c r="I550" s="23" t="str">
        <f ca="1">IFERROR(VLOOKUP(Tabela4[[#This Row],[Cabo]],BD!A:V,4,0),"")</f>
        <v/>
      </c>
      <c r="J550" s="23" t="str">
        <f ca="1">IFERROR(VLOOKUP(Tabela4[[#This Row],[Cabo]],BD!A:V,7,0),"")</f>
        <v/>
      </c>
      <c r="K55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0" s="23" t="str">
        <f ca="1">IFERROR(VLOOKUP(Tabela4[[#This Row],[Cabo]],BD!A:V,9,0),"")</f>
        <v/>
      </c>
      <c r="M550" s="23" t="str">
        <f ca="1">IFERROR(VLOOKUP(Tabela4[[#This Row],[Cabo]],BD!A:AD,30,0),"")</f>
        <v/>
      </c>
      <c r="N550" s="23" t="str">
        <f ca="1">IF(SUMIF('Lançamento de Cabos'!B:B,Tabela4[[#This Row],[Cabo]],'Lançamento de Cabos'!C:C)=0,"",SUMIF('Lançamento de Cabos'!B:B,Tabela4[[#This Row],[Cabo]],'Lançamento de Cabos'!C:C))</f>
        <v/>
      </c>
      <c r="O550" s="28" t="str">
        <f ca="1">IFERROR(IF(Tabela4[[#This Row],[Compr. Lançado]]/Tabela4[[#This Row],[Compr. Prev.]]&gt;1,1,Tabela4[[#This Row],[Compr. Lançado]]/Tabela4[[#This Row],[Compr. Prev.]]),"")</f>
        <v/>
      </c>
      <c r="P550" s="24" t="str">
        <f ca="1">IFERROR(VLOOKUP(Tabela4[[#This Row],[Cabo]],BD!A:V,11,0),"")</f>
        <v/>
      </c>
      <c r="Q550" s="24" t="str">
        <f ca="1">IFERROR(VLOOKUP(Tabela4[[#This Row],[Cabo]],BD!A:V,12,0),"")</f>
        <v/>
      </c>
      <c r="R55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0" s="23" t="str">
        <f ca="1">IF(Tabela4[[#This Row],[Cabo]]&lt;&gt;"",4-COUNTIF(Tabela4[[#This Row],[Teste de Continuidade]:[Hipot]],"---"),"")</f>
        <v/>
      </c>
      <c r="W550" s="29" t="str">
        <f ca="1">IF(Tabela4[[#This Row],[Cabo]]&lt;&gt;"",(COUNTIF(Tabela4[[#This Row],[Teste de Continuidade]:[Hipot]],"OK"))/(4-COUNTIF(Tabela4[[#This Row],[Teste de Continuidade]:[Hipot]],"---")),"")</f>
        <v/>
      </c>
      <c r="X550" s="23" t="str">
        <f ca="1">IF(Tabela4[[#This Row],[Cabo]]&lt;&gt;"",SUMIFS('Lançamento de Cabos'!$AF:$AF,'Lançamento de Cabos'!AE:AE,Tabela4[[#This Row],[Cabo]],'Lançamento de Cabos'!AJ:AJ,Área!$B$1),"")</f>
        <v/>
      </c>
      <c r="Y550" s="23" t="str">
        <f ca="1">IF(Tabela4[[#This Row],[Cabo]]&lt;&gt;"",SUMIFS('Lançamento de Cabos'!$AG:$AG,'Lançamento de Cabos'!AE:AE,Tabela4[[#This Row],[Cabo]],'Lançamento de Cabos'!AJ:AJ,Área!$B$1),"")</f>
        <v/>
      </c>
      <c r="Z550" s="23" t="e">
        <f ca="1">VLOOKUP(Tabela4[[#This Row],[Cabo]],BD!A:AB,28,0)</f>
        <v>#N/A</v>
      </c>
    </row>
    <row r="551" spans="3:26" x14ac:dyDescent="0.25">
      <c r="C551" s="391" t="str">
        <f ca="1">IF($B$1="Geral",Tabela1[[#This Row],[Tag do Cabo]],IFERROR(INDEX(INDIRECT("BD!$A"&amp;D551&amp;":$A100000"),E551,1),""))</f>
        <v/>
      </c>
      <c r="D551" s="391" t="str">
        <f t="shared" ca="1" si="20"/>
        <v/>
      </c>
      <c r="E551" s="391" t="str">
        <f t="shared" ca="1" si="21"/>
        <v/>
      </c>
      <c r="F551" s="23" t="str">
        <f ca="1">IFERROR(VLOOKUP(Tabela4[[#This Row],[Cabo]],BD!A:V,2,0),"")</f>
        <v/>
      </c>
      <c r="G551" s="391" t="str">
        <f ca="1">IFERROR(VLOOKUP(Tabela4[[#This Row],[Cabo]],BD!A:V,5,0),"")</f>
        <v/>
      </c>
      <c r="H551" s="23" t="str">
        <f ca="1">IFERROR(VLOOKUP(Tabela4[[#This Row],[Cabo]],BD!A:V,3,0),"")</f>
        <v/>
      </c>
      <c r="I551" s="23" t="str">
        <f ca="1">IFERROR(VLOOKUP(Tabela4[[#This Row],[Cabo]],BD!A:V,4,0),"")</f>
        <v/>
      </c>
      <c r="J551" s="23" t="str">
        <f ca="1">IFERROR(VLOOKUP(Tabela4[[#This Row],[Cabo]],BD!A:V,7,0),"")</f>
        <v/>
      </c>
      <c r="K55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1" s="23" t="str">
        <f ca="1">IFERROR(VLOOKUP(Tabela4[[#This Row],[Cabo]],BD!A:V,9,0),"")</f>
        <v/>
      </c>
      <c r="M551" s="23" t="str">
        <f ca="1">IFERROR(VLOOKUP(Tabela4[[#This Row],[Cabo]],BD!A:AD,30,0),"")</f>
        <v/>
      </c>
      <c r="N551" s="23" t="str">
        <f ca="1">IF(SUMIF('Lançamento de Cabos'!B:B,Tabela4[[#This Row],[Cabo]],'Lançamento de Cabos'!C:C)=0,"",SUMIF('Lançamento de Cabos'!B:B,Tabela4[[#This Row],[Cabo]],'Lançamento de Cabos'!C:C))</f>
        <v/>
      </c>
      <c r="O551" s="28" t="str">
        <f ca="1">IFERROR(IF(Tabela4[[#This Row],[Compr. Lançado]]/Tabela4[[#This Row],[Compr. Prev.]]&gt;1,1,Tabela4[[#This Row],[Compr. Lançado]]/Tabela4[[#This Row],[Compr. Prev.]]),"")</f>
        <v/>
      </c>
      <c r="P551" s="24" t="str">
        <f ca="1">IFERROR(VLOOKUP(Tabela4[[#This Row],[Cabo]],BD!A:V,11,0),"")</f>
        <v/>
      </c>
      <c r="Q551" s="24" t="str">
        <f ca="1">IFERROR(VLOOKUP(Tabela4[[#This Row],[Cabo]],BD!A:V,12,0),"")</f>
        <v/>
      </c>
      <c r="R55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1" s="23" t="str">
        <f ca="1">IF(Tabela4[[#This Row],[Cabo]]&lt;&gt;"",4-COUNTIF(Tabela4[[#This Row],[Teste de Continuidade]:[Hipot]],"---"),"")</f>
        <v/>
      </c>
      <c r="W551" s="29" t="str">
        <f ca="1">IF(Tabela4[[#This Row],[Cabo]]&lt;&gt;"",(COUNTIF(Tabela4[[#This Row],[Teste de Continuidade]:[Hipot]],"OK"))/(4-COUNTIF(Tabela4[[#This Row],[Teste de Continuidade]:[Hipot]],"---")),"")</f>
        <v/>
      </c>
      <c r="X551" s="23" t="str">
        <f ca="1">IF(Tabela4[[#This Row],[Cabo]]&lt;&gt;"",SUMIFS('Lançamento de Cabos'!$AF:$AF,'Lançamento de Cabos'!AE:AE,Tabela4[[#This Row],[Cabo]],'Lançamento de Cabos'!AJ:AJ,Área!$B$1),"")</f>
        <v/>
      </c>
      <c r="Y551" s="23" t="str">
        <f ca="1">IF(Tabela4[[#This Row],[Cabo]]&lt;&gt;"",SUMIFS('Lançamento de Cabos'!$AG:$AG,'Lançamento de Cabos'!AE:AE,Tabela4[[#This Row],[Cabo]],'Lançamento de Cabos'!AJ:AJ,Área!$B$1),"")</f>
        <v/>
      </c>
      <c r="Z551" s="23" t="e">
        <f ca="1">VLOOKUP(Tabela4[[#This Row],[Cabo]],BD!A:AB,28,0)</f>
        <v>#N/A</v>
      </c>
    </row>
    <row r="552" spans="3:26" x14ac:dyDescent="0.25">
      <c r="C552" s="391" t="str">
        <f ca="1">IF($B$1="Geral",Tabela1[[#This Row],[Tag do Cabo]],IFERROR(INDEX(INDIRECT("BD!$A"&amp;D552&amp;":$A100000"),E552,1),""))</f>
        <v/>
      </c>
      <c r="D552" s="391" t="str">
        <f t="shared" ca="1" si="20"/>
        <v/>
      </c>
      <c r="E552" s="391" t="str">
        <f t="shared" ca="1" si="21"/>
        <v/>
      </c>
      <c r="F552" s="23" t="str">
        <f ca="1">IFERROR(VLOOKUP(Tabela4[[#This Row],[Cabo]],BD!A:V,2,0),"")</f>
        <v/>
      </c>
      <c r="G552" s="391" t="str">
        <f ca="1">IFERROR(VLOOKUP(Tabela4[[#This Row],[Cabo]],BD!A:V,5,0),"")</f>
        <v/>
      </c>
      <c r="H552" s="23" t="str">
        <f ca="1">IFERROR(VLOOKUP(Tabela4[[#This Row],[Cabo]],BD!A:V,3,0),"")</f>
        <v/>
      </c>
      <c r="I552" s="23" t="str">
        <f ca="1">IFERROR(VLOOKUP(Tabela4[[#This Row],[Cabo]],BD!A:V,4,0),"")</f>
        <v/>
      </c>
      <c r="J552" s="23" t="str">
        <f ca="1">IFERROR(VLOOKUP(Tabela4[[#This Row],[Cabo]],BD!A:V,7,0),"")</f>
        <v/>
      </c>
      <c r="K55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2" s="23" t="str">
        <f ca="1">IFERROR(VLOOKUP(Tabela4[[#This Row],[Cabo]],BD!A:V,9,0),"")</f>
        <v/>
      </c>
      <c r="M552" s="23" t="str">
        <f ca="1">IFERROR(VLOOKUP(Tabela4[[#This Row],[Cabo]],BD!A:AD,30,0),"")</f>
        <v/>
      </c>
      <c r="N552" s="23" t="str">
        <f ca="1">IF(SUMIF('Lançamento de Cabos'!B:B,Tabela4[[#This Row],[Cabo]],'Lançamento de Cabos'!C:C)=0,"",SUMIF('Lançamento de Cabos'!B:B,Tabela4[[#This Row],[Cabo]],'Lançamento de Cabos'!C:C))</f>
        <v/>
      </c>
      <c r="O552" s="28" t="str">
        <f ca="1">IFERROR(IF(Tabela4[[#This Row],[Compr. Lançado]]/Tabela4[[#This Row],[Compr. Prev.]]&gt;1,1,Tabela4[[#This Row],[Compr. Lançado]]/Tabela4[[#This Row],[Compr. Prev.]]),"")</f>
        <v/>
      </c>
      <c r="P552" s="24" t="str">
        <f ca="1">IFERROR(VLOOKUP(Tabela4[[#This Row],[Cabo]],BD!A:V,11,0),"")</f>
        <v/>
      </c>
      <c r="Q552" s="24" t="str">
        <f ca="1">IFERROR(VLOOKUP(Tabela4[[#This Row],[Cabo]],BD!A:V,12,0),"")</f>
        <v/>
      </c>
      <c r="R55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2" s="23" t="str">
        <f ca="1">IF(Tabela4[[#This Row],[Cabo]]&lt;&gt;"",4-COUNTIF(Tabela4[[#This Row],[Teste de Continuidade]:[Hipot]],"---"),"")</f>
        <v/>
      </c>
      <c r="W552" s="29" t="str">
        <f ca="1">IF(Tabela4[[#This Row],[Cabo]]&lt;&gt;"",(COUNTIF(Tabela4[[#This Row],[Teste de Continuidade]:[Hipot]],"OK"))/(4-COUNTIF(Tabela4[[#This Row],[Teste de Continuidade]:[Hipot]],"---")),"")</f>
        <v/>
      </c>
      <c r="X552" s="23" t="str">
        <f ca="1">IF(Tabela4[[#This Row],[Cabo]]&lt;&gt;"",SUMIFS('Lançamento de Cabos'!$AF:$AF,'Lançamento de Cabos'!AE:AE,Tabela4[[#This Row],[Cabo]],'Lançamento de Cabos'!AJ:AJ,Área!$B$1),"")</f>
        <v/>
      </c>
      <c r="Y552" s="23" t="str">
        <f ca="1">IF(Tabela4[[#This Row],[Cabo]]&lt;&gt;"",SUMIFS('Lançamento de Cabos'!$AG:$AG,'Lançamento de Cabos'!AE:AE,Tabela4[[#This Row],[Cabo]],'Lançamento de Cabos'!AJ:AJ,Área!$B$1),"")</f>
        <v/>
      </c>
      <c r="Z552" s="23" t="e">
        <f ca="1">VLOOKUP(Tabela4[[#This Row],[Cabo]],BD!A:AB,28,0)</f>
        <v>#N/A</v>
      </c>
    </row>
    <row r="553" spans="3:26" x14ac:dyDescent="0.25">
      <c r="C553" s="391" t="str">
        <f ca="1">IF($B$1="Geral",Tabela1[[#This Row],[Tag do Cabo]],IFERROR(INDEX(INDIRECT("BD!$A"&amp;D553&amp;":$A100000"),E553,1),""))</f>
        <v/>
      </c>
      <c r="D553" s="391" t="str">
        <f t="shared" ca="1" si="20"/>
        <v/>
      </c>
      <c r="E553" s="391" t="str">
        <f t="shared" ca="1" si="21"/>
        <v/>
      </c>
      <c r="F553" s="23" t="str">
        <f ca="1">IFERROR(VLOOKUP(Tabela4[[#This Row],[Cabo]],BD!A:V,2,0),"")</f>
        <v/>
      </c>
      <c r="G553" s="391" t="str">
        <f ca="1">IFERROR(VLOOKUP(Tabela4[[#This Row],[Cabo]],BD!A:V,5,0),"")</f>
        <v/>
      </c>
      <c r="H553" s="23" t="str">
        <f ca="1">IFERROR(VLOOKUP(Tabela4[[#This Row],[Cabo]],BD!A:V,3,0),"")</f>
        <v/>
      </c>
      <c r="I553" s="23" t="str">
        <f ca="1">IFERROR(VLOOKUP(Tabela4[[#This Row],[Cabo]],BD!A:V,4,0),"")</f>
        <v/>
      </c>
      <c r="J553" s="23" t="str">
        <f ca="1">IFERROR(VLOOKUP(Tabela4[[#This Row],[Cabo]],BD!A:V,7,0),"")</f>
        <v/>
      </c>
      <c r="K55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3" s="23" t="str">
        <f ca="1">IFERROR(VLOOKUP(Tabela4[[#This Row],[Cabo]],BD!A:V,9,0),"")</f>
        <v/>
      </c>
      <c r="M553" s="23" t="str">
        <f ca="1">IFERROR(VLOOKUP(Tabela4[[#This Row],[Cabo]],BD!A:AD,30,0),"")</f>
        <v/>
      </c>
      <c r="N553" s="23" t="str">
        <f ca="1">IF(SUMIF('Lançamento de Cabos'!B:B,Tabela4[[#This Row],[Cabo]],'Lançamento de Cabos'!C:C)=0,"",SUMIF('Lançamento de Cabos'!B:B,Tabela4[[#This Row],[Cabo]],'Lançamento de Cabos'!C:C))</f>
        <v/>
      </c>
      <c r="O553" s="28" t="str">
        <f ca="1">IFERROR(IF(Tabela4[[#This Row],[Compr. Lançado]]/Tabela4[[#This Row],[Compr. Prev.]]&gt;1,1,Tabela4[[#This Row],[Compr. Lançado]]/Tabela4[[#This Row],[Compr. Prev.]]),"")</f>
        <v/>
      </c>
      <c r="P553" s="24" t="str">
        <f ca="1">IFERROR(VLOOKUP(Tabela4[[#This Row],[Cabo]],BD!A:V,11,0),"")</f>
        <v/>
      </c>
      <c r="Q553" s="24" t="str">
        <f ca="1">IFERROR(VLOOKUP(Tabela4[[#This Row],[Cabo]],BD!A:V,12,0),"")</f>
        <v/>
      </c>
      <c r="R55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3" s="23" t="str">
        <f ca="1">IF(Tabela4[[#This Row],[Cabo]]&lt;&gt;"",4-COUNTIF(Tabela4[[#This Row],[Teste de Continuidade]:[Hipot]],"---"),"")</f>
        <v/>
      </c>
      <c r="W553" s="29" t="str">
        <f ca="1">IF(Tabela4[[#This Row],[Cabo]]&lt;&gt;"",(COUNTIF(Tabela4[[#This Row],[Teste de Continuidade]:[Hipot]],"OK"))/(4-COUNTIF(Tabela4[[#This Row],[Teste de Continuidade]:[Hipot]],"---")),"")</f>
        <v/>
      </c>
      <c r="X553" s="23" t="str">
        <f ca="1">IF(Tabela4[[#This Row],[Cabo]]&lt;&gt;"",SUMIFS('Lançamento de Cabos'!$AF:$AF,'Lançamento de Cabos'!AE:AE,Tabela4[[#This Row],[Cabo]],'Lançamento de Cabos'!AJ:AJ,Área!$B$1),"")</f>
        <v/>
      </c>
      <c r="Y553" s="23" t="str">
        <f ca="1">IF(Tabela4[[#This Row],[Cabo]]&lt;&gt;"",SUMIFS('Lançamento de Cabos'!$AG:$AG,'Lançamento de Cabos'!AE:AE,Tabela4[[#This Row],[Cabo]],'Lançamento de Cabos'!AJ:AJ,Área!$B$1),"")</f>
        <v/>
      </c>
      <c r="Z553" s="23" t="e">
        <f ca="1">VLOOKUP(Tabela4[[#This Row],[Cabo]],BD!A:AB,28,0)</f>
        <v>#N/A</v>
      </c>
    </row>
    <row r="554" spans="3:26" x14ac:dyDescent="0.25">
      <c r="C554" s="391" t="str">
        <f ca="1">IF($B$1="Geral",Tabela1[[#This Row],[Tag do Cabo]],IFERROR(INDEX(INDIRECT("BD!$A"&amp;D554&amp;":$A100000"),E554,1),""))</f>
        <v/>
      </c>
      <c r="D554" s="391" t="str">
        <f t="shared" ca="1" si="20"/>
        <v/>
      </c>
      <c r="E554" s="391" t="str">
        <f t="shared" ca="1" si="21"/>
        <v/>
      </c>
      <c r="F554" s="23" t="str">
        <f ca="1">IFERROR(VLOOKUP(Tabela4[[#This Row],[Cabo]],BD!A:V,2,0),"")</f>
        <v/>
      </c>
      <c r="G554" s="391" t="str">
        <f ca="1">IFERROR(VLOOKUP(Tabela4[[#This Row],[Cabo]],BD!A:V,5,0),"")</f>
        <v/>
      </c>
      <c r="H554" s="23" t="str">
        <f ca="1">IFERROR(VLOOKUP(Tabela4[[#This Row],[Cabo]],BD!A:V,3,0),"")</f>
        <v/>
      </c>
      <c r="I554" s="23" t="str">
        <f ca="1">IFERROR(VLOOKUP(Tabela4[[#This Row],[Cabo]],BD!A:V,4,0),"")</f>
        <v/>
      </c>
      <c r="J554" s="23" t="str">
        <f ca="1">IFERROR(VLOOKUP(Tabela4[[#This Row],[Cabo]],BD!A:V,7,0),"")</f>
        <v/>
      </c>
      <c r="K55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4" s="23" t="str">
        <f ca="1">IFERROR(VLOOKUP(Tabela4[[#This Row],[Cabo]],BD!A:V,9,0),"")</f>
        <v/>
      </c>
      <c r="M554" s="23" t="str">
        <f ca="1">IFERROR(VLOOKUP(Tabela4[[#This Row],[Cabo]],BD!A:AD,30,0),"")</f>
        <v/>
      </c>
      <c r="N554" s="23" t="str">
        <f ca="1">IF(SUMIF('Lançamento de Cabos'!B:B,Tabela4[[#This Row],[Cabo]],'Lançamento de Cabos'!C:C)=0,"",SUMIF('Lançamento de Cabos'!B:B,Tabela4[[#This Row],[Cabo]],'Lançamento de Cabos'!C:C))</f>
        <v/>
      </c>
      <c r="O554" s="28" t="str">
        <f ca="1">IFERROR(IF(Tabela4[[#This Row],[Compr. Lançado]]/Tabela4[[#This Row],[Compr. Prev.]]&gt;1,1,Tabela4[[#This Row],[Compr. Lançado]]/Tabela4[[#This Row],[Compr. Prev.]]),"")</f>
        <v/>
      </c>
      <c r="P554" s="24" t="str">
        <f ca="1">IFERROR(VLOOKUP(Tabela4[[#This Row],[Cabo]],BD!A:V,11,0),"")</f>
        <v/>
      </c>
      <c r="Q554" s="24" t="str">
        <f ca="1">IFERROR(VLOOKUP(Tabela4[[#This Row],[Cabo]],BD!A:V,12,0),"")</f>
        <v/>
      </c>
      <c r="R55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4" s="23" t="str">
        <f ca="1">IF(Tabela4[[#This Row],[Cabo]]&lt;&gt;"",4-COUNTIF(Tabela4[[#This Row],[Teste de Continuidade]:[Hipot]],"---"),"")</f>
        <v/>
      </c>
      <c r="W554" s="29" t="str">
        <f ca="1">IF(Tabela4[[#This Row],[Cabo]]&lt;&gt;"",(COUNTIF(Tabela4[[#This Row],[Teste de Continuidade]:[Hipot]],"OK"))/(4-COUNTIF(Tabela4[[#This Row],[Teste de Continuidade]:[Hipot]],"---")),"")</f>
        <v/>
      </c>
      <c r="X554" s="23" t="str">
        <f ca="1">IF(Tabela4[[#This Row],[Cabo]]&lt;&gt;"",SUMIFS('Lançamento de Cabos'!$AF:$AF,'Lançamento de Cabos'!AE:AE,Tabela4[[#This Row],[Cabo]],'Lançamento de Cabos'!AJ:AJ,Área!$B$1),"")</f>
        <v/>
      </c>
      <c r="Y554" s="23" t="str">
        <f ca="1">IF(Tabela4[[#This Row],[Cabo]]&lt;&gt;"",SUMIFS('Lançamento de Cabos'!$AG:$AG,'Lançamento de Cabos'!AE:AE,Tabela4[[#This Row],[Cabo]],'Lançamento de Cabos'!AJ:AJ,Área!$B$1),"")</f>
        <v/>
      </c>
      <c r="Z554" s="23" t="e">
        <f ca="1">VLOOKUP(Tabela4[[#This Row],[Cabo]],BD!A:AB,28,0)</f>
        <v>#N/A</v>
      </c>
    </row>
    <row r="555" spans="3:26" x14ac:dyDescent="0.25">
      <c r="C555" s="391" t="str">
        <f ca="1">IF($B$1="Geral",Tabela1[[#This Row],[Tag do Cabo]],IFERROR(INDEX(INDIRECT("BD!$A"&amp;D555&amp;":$A100000"),E555,1),""))</f>
        <v/>
      </c>
      <c r="D555" s="391" t="str">
        <f t="shared" ref="D555:D575" ca="1" si="22">IFERROR(D554+E554,"")</f>
        <v/>
      </c>
      <c r="E555" s="391" t="str">
        <f t="shared" ref="E555:E575" ca="1" si="23">IFERROR(MATCH($B$1,INDIRECT("BD!$J"&amp;D555&amp;":$J100000"),0),"")</f>
        <v/>
      </c>
      <c r="F555" s="23" t="str">
        <f ca="1">IFERROR(VLOOKUP(Tabela4[[#This Row],[Cabo]],BD!A:V,2,0),"")</f>
        <v/>
      </c>
      <c r="G555" s="391" t="str">
        <f ca="1">IFERROR(VLOOKUP(Tabela4[[#This Row],[Cabo]],BD!A:V,5,0),"")</f>
        <v/>
      </c>
      <c r="H555" s="23" t="str">
        <f ca="1">IFERROR(VLOOKUP(Tabela4[[#This Row],[Cabo]],BD!A:V,3,0),"")</f>
        <v/>
      </c>
      <c r="I555" s="23" t="str">
        <f ca="1">IFERROR(VLOOKUP(Tabela4[[#This Row],[Cabo]],BD!A:V,4,0),"")</f>
        <v/>
      </c>
      <c r="J555" s="23" t="str">
        <f ca="1">IFERROR(VLOOKUP(Tabela4[[#This Row],[Cabo]],BD!A:V,7,0),"")</f>
        <v/>
      </c>
      <c r="K55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5" s="23" t="str">
        <f ca="1">IFERROR(VLOOKUP(Tabela4[[#This Row],[Cabo]],BD!A:V,9,0),"")</f>
        <v/>
      </c>
      <c r="M555" s="23" t="str">
        <f ca="1">IFERROR(VLOOKUP(Tabela4[[#This Row],[Cabo]],BD!A:AD,30,0),"")</f>
        <v/>
      </c>
      <c r="N555" s="23" t="str">
        <f ca="1">IF(SUMIF('Lançamento de Cabos'!B:B,Tabela4[[#This Row],[Cabo]],'Lançamento de Cabos'!C:C)=0,"",SUMIF('Lançamento de Cabos'!B:B,Tabela4[[#This Row],[Cabo]],'Lançamento de Cabos'!C:C))</f>
        <v/>
      </c>
      <c r="O555" s="28" t="str">
        <f ca="1">IFERROR(IF(Tabela4[[#This Row],[Compr. Lançado]]/Tabela4[[#This Row],[Compr. Prev.]]&gt;1,1,Tabela4[[#This Row],[Compr. Lançado]]/Tabela4[[#This Row],[Compr. Prev.]]),"")</f>
        <v/>
      </c>
      <c r="P555" s="24" t="str">
        <f ca="1">IFERROR(VLOOKUP(Tabela4[[#This Row],[Cabo]],BD!A:V,11,0),"")</f>
        <v/>
      </c>
      <c r="Q555" s="24" t="str">
        <f ca="1">IFERROR(VLOOKUP(Tabela4[[#This Row],[Cabo]],BD!A:V,12,0),"")</f>
        <v/>
      </c>
      <c r="R55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5" s="23" t="str">
        <f ca="1">IF(Tabela4[[#This Row],[Cabo]]&lt;&gt;"",4-COUNTIF(Tabela4[[#This Row],[Teste de Continuidade]:[Hipot]],"---"),"")</f>
        <v/>
      </c>
      <c r="W555" s="29" t="str">
        <f ca="1">IF(Tabela4[[#This Row],[Cabo]]&lt;&gt;"",(COUNTIF(Tabela4[[#This Row],[Teste de Continuidade]:[Hipot]],"OK"))/(4-COUNTIF(Tabela4[[#This Row],[Teste de Continuidade]:[Hipot]],"---")),"")</f>
        <v/>
      </c>
      <c r="X555" s="23" t="str">
        <f ca="1">IF(Tabela4[[#This Row],[Cabo]]&lt;&gt;"",SUMIFS('Lançamento de Cabos'!$AF:$AF,'Lançamento de Cabos'!AE:AE,Tabela4[[#This Row],[Cabo]],'Lançamento de Cabos'!AJ:AJ,Área!$B$1),"")</f>
        <v/>
      </c>
      <c r="Y555" s="23" t="str">
        <f ca="1">IF(Tabela4[[#This Row],[Cabo]]&lt;&gt;"",SUMIFS('Lançamento de Cabos'!$AG:$AG,'Lançamento de Cabos'!AE:AE,Tabela4[[#This Row],[Cabo]],'Lançamento de Cabos'!AJ:AJ,Área!$B$1),"")</f>
        <v/>
      </c>
      <c r="Z555" s="23" t="e">
        <f ca="1">VLOOKUP(Tabela4[[#This Row],[Cabo]],BD!A:AB,28,0)</f>
        <v>#N/A</v>
      </c>
    </row>
    <row r="556" spans="3:26" x14ac:dyDescent="0.25">
      <c r="C556" s="391" t="str">
        <f ca="1">IF($B$1="Geral",Tabela1[[#This Row],[Tag do Cabo]],IFERROR(INDEX(INDIRECT("BD!$A"&amp;D556&amp;":$A100000"),E556,1),""))</f>
        <v/>
      </c>
      <c r="D556" s="391" t="str">
        <f t="shared" ca="1" si="22"/>
        <v/>
      </c>
      <c r="E556" s="391" t="str">
        <f t="shared" ca="1" si="23"/>
        <v/>
      </c>
      <c r="F556" s="23" t="str">
        <f ca="1">IFERROR(VLOOKUP(Tabela4[[#This Row],[Cabo]],BD!A:V,2,0),"")</f>
        <v/>
      </c>
      <c r="G556" s="391" t="str">
        <f ca="1">IFERROR(VLOOKUP(Tabela4[[#This Row],[Cabo]],BD!A:V,5,0),"")</f>
        <v/>
      </c>
      <c r="H556" s="23" t="str">
        <f ca="1">IFERROR(VLOOKUP(Tabela4[[#This Row],[Cabo]],BD!A:V,3,0),"")</f>
        <v/>
      </c>
      <c r="I556" s="23" t="str">
        <f ca="1">IFERROR(VLOOKUP(Tabela4[[#This Row],[Cabo]],BD!A:V,4,0),"")</f>
        <v/>
      </c>
      <c r="J556" s="23" t="str">
        <f ca="1">IFERROR(VLOOKUP(Tabela4[[#This Row],[Cabo]],BD!A:V,7,0),"")</f>
        <v/>
      </c>
      <c r="K55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6" s="23" t="str">
        <f ca="1">IFERROR(VLOOKUP(Tabela4[[#This Row],[Cabo]],BD!A:V,9,0),"")</f>
        <v/>
      </c>
      <c r="M556" s="23" t="str">
        <f ca="1">IFERROR(VLOOKUP(Tabela4[[#This Row],[Cabo]],BD!A:AD,30,0),"")</f>
        <v/>
      </c>
      <c r="N556" s="23" t="str">
        <f ca="1">IF(SUMIF('Lançamento de Cabos'!B:B,Tabela4[[#This Row],[Cabo]],'Lançamento de Cabos'!C:C)=0,"",SUMIF('Lançamento de Cabos'!B:B,Tabela4[[#This Row],[Cabo]],'Lançamento de Cabos'!C:C))</f>
        <v/>
      </c>
      <c r="O556" s="28" t="str">
        <f ca="1">IFERROR(IF(Tabela4[[#This Row],[Compr. Lançado]]/Tabela4[[#This Row],[Compr. Prev.]]&gt;1,1,Tabela4[[#This Row],[Compr. Lançado]]/Tabela4[[#This Row],[Compr. Prev.]]),"")</f>
        <v/>
      </c>
      <c r="P556" s="24" t="str">
        <f ca="1">IFERROR(VLOOKUP(Tabela4[[#This Row],[Cabo]],BD!A:V,11,0),"")</f>
        <v/>
      </c>
      <c r="Q556" s="24" t="str">
        <f ca="1">IFERROR(VLOOKUP(Tabela4[[#This Row],[Cabo]],BD!A:V,12,0),"")</f>
        <v/>
      </c>
      <c r="R55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6" s="23" t="str">
        <f ca="1">IF(Tabela4[[#This Row],[Cabo]]&lt;&gt;"",4-COUNTIF(Tabela4[[#This Row],[Teste de Continuidade]:[Hipot]],"---"),"")</f>
        <v/>
      </c>
      <c r="W556" s="29" t="str">
        <f ca="1">IF(Tabela4[[#This Row],[Cabo]]&lt;&gt;"",(COUNTIF(Tabela4[[#This Row],[Teste de Continuidade]:[Hipot]],"OK"))/(4-COUNTIF(Tabela4[[#This Row],[Teste de Continuidade]:[Hipot]],"---")),"")</f>
        <v/>
      </c>
      <c r="X556" s="23" t="str">
        <f ca="1">IF(Tabela4[[#This Row],[Cabo]]&lt;&gt;"",SUMIFS('Lançamento de Cabos'!$AF:$AF,'Lançamento de Cabos'!AE:AE,Tabela4[[#This Row],[Cabo]],'Lançamento de Cabos'!AJ:AJ,Área!$B$1),"")</f>
        <v/>
      </c>
      <c r="Y556" s="23" t="str">
        <f ca="1">IF(Tabela4[[#This Row],[Cabo]]&lt;&gt;"",SUMIFS('Lançamento de Cabos'!$AG:$AG,'Lançamento de Cabos'!AE:AE,Tabela4[[#This Row],[Cabo]],'Lançamento de Cabos'!AJ:AJ,Área!$B$1),"")</f>
        <v/>
      </c>
      <c r="Z556" s="23" t="e">
        <f ca="1">VLOOKUP(Tabela4[[#This Row],[Cabo]],BD!A:AB,28,0)</f>
        <v>#N/A</v>
      </c>
    </row>
    <row r="557" spans="3:26" x14ac:dyDescent="0.25">
      <c r="C557" s="391" t="str">
        <f ca="1">IF($B$1="Geral",Tabela1[[#This Row],[Tag do Cabo]],IFERROR(INDEX(INDIRECT("BD!$A"&amp;D557&amp;":$A100000"),E557,1),""))</f>
        <v/>
      </c>
      <c r="D557" s="391" t="str">
        <f t="shared" ca="1" si="22"/>
        <v/>
      </c>
      <c r="E557" s="391" t="str">
        <f t="shared" ca="1" si="23"/>
        <v/>
      </c>
      <c r="F557" s="23" t="str">
        <f ca="1">IFERROR(VLOOKUP(Tabela4[[#This Row],[Cabo]],BD!A:V,2,0),"")</f>
        <v/>
      </c>
      <c r="G557" s="391" t="str">
        <f ca="1">IFERROR(VLOOKUP(Tabela4[[#This Row],[Cabo]],BD!A:V,5,0),"")</f>
        <v/>
      </c>
      <c r="H557" s="23" t="str">
        <f ca="1">IFERROR(VLOOKUP(Tabela4[[#This Row],[Cabo]],BD!A:V,3,0),"")</f>
        <v/>
      </c>
      <c r="I557" s="23" t="str">
        <f ca="1">IFERROR(VLOOKUP(Tabela4[[#This Row],[Cabo]],BD!A:V,4,0),"")</f>
        <v/>
      </c>
      <c r="J557" s="23" t="str">
        <f ca="1">IFERROR(VLOOKUP(Tabela4[[#This Row],[Cabo]],BD!A:V,7,0),"")</f>
        <v/>
      </c>
      <c r="K55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7" s="23" t="str">
        <f ca="1">IFERROR(VLOOKUP(Tabela4[[#This Row],[Cabo]],BD!A:V,9,0),"")</f>
        <v/>
      </c>
      <c r="M557" s="23" t="str">
        <f ca="1">IFERROR(VLOOKUP(Tabela4[[#This Row],[Cabo]],BD!A:AD,30,0),"")</f>
        <v/>
      </c>
      <c r="N557" s="23" t="str">
        <f ca="1">IF(SUMIF('Lançamento de Cabos'!B:B,Tabela4[[#This Row],[Cabo]],'Lançamento de Cabos'!C:C)=0,"",SUMIF('Lançamento de Cabos'!B:B,Tabela4[[#This Row],[Cabo]],'Lançamento de Cabos'!C:C))</f>
        <v/>
      </c>
      <c r="O557" s="28" t="str">
        <f ca="1">IFERROR(IF(Tabela4[[#This Row],[Compr. Lançado]]/Tabela4[[#This Row],[Compr. Prev.]]&gt;1,1,Tabela4[[#This Row],[Compr. Lançado]]/Tabela4[[#This Row],[Compr. Prev.]]),"")</f>
        <v/>
      </c>
      <c r="P557" s="24" t="str">
        <f ca="1">IFERROR(VLOOKUP(Tabela4[[#This Row],[Cabo]],BD!A:V,11,0),"")</f>
        <v/>
      </c>
      <c r="Q557" s="24" t="str">
        <f ca="1">IFERROR(VLOOKUP(Tabela4[[#This Row],[Cabo]],BD!A:V,12,0),"")</f>
        <v/>
      </c>
      <c r="R55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7" s="23" t="str">
        <f ca="1">IF(Tabela4[[#This Row],[Cabo]]&lt;&gt;"",4-COUNTIF(Tabela4[[#This Row],[Teste de Continuidade]:[Hipot]],"---"),"")</f>
        <v/>
      </c>
      <c r="W557" s="29" t="str">
        <f ca="1">IF(Tabela4[[#This Row],[Cabo]]&lt;&gt;"",(COUNTIF(Tabela4[[#This Row],[Teste de Continuidade]:[Hipot]],"OK"))/(4-COUNTIF(Tabela4[[#This Row],[Teste de Continuidade]:[Hipot]],"---")),"")</f>
        <v/>
      </c>
      <c r="X557" s="23" t="str">
        <f ca="1">IF(Tabela4[[#This Row],[Cabo]]&lt;&gt;"",SUMIFS('Lançamento de Cabos'!$AF:$AF,'Lançamento de Cabos'!AE:AE,Tabela4[[#This Row],[Cabo]],'Lançamento de Cabos'!AJ:AJ,Área!$B$1),"")</f>
        <v/>
      </c>
      <c r="Y557" s="23" t="str">
        <f ca="1">IF(Tabela4[[#This Row],[Cabo]]&lt;&gt;"",SUMIFS('Lançamento de Cabos'!$AG:$AG,'Lançamento de Cabos'!AE:AE,Tabela4[[#This Row],[Cabo]],'Lançamento de Cabos'!AJ:AJ,Área!$B$1),"")</f>
        <v/>
      </c>
      <c r="Z557" s="23" t="e">
        <f ca="1">VLOOKUP(Tabela4[[#This Row],[Cabo]],BD!A:AB,28,0)</f>
        <v>#N/A</v>
      </c>
    </row>
    <row r="558" spans="3:26" x14ac:dyDescent="0.25">
      <c r="C558" s="391" t="str">
        <f ca="1">IF($B$1="Geral",Tabela1[[#This Row],[Tag do Cabo]],IFERROR(INDEX(INDIRECT("BD!$A"&amp;D558&amp;":$A100000"),E558,1),""))</f>
        <v/>
      </c>
      <c r="D558" s="391" t="str">
        <f t="shared" ca="1" si="22"/>
        <v/>
      </c>
      <c r="E558" s="391" t="str">
        <f t="shared" ca="1" si="23"/>
        <v/>
      </c>
      <c r="F558" s="23" t="str">
        <f ca="1">IFERROR(VLOOKUP(Tabela4[[#This Row],[Cabo]],BD!A:V,2,0),"")</f>
        <v/>
      </c>
      <c r="G558" s="391" t="str">
        <f ca="1">IFERROR(VLOOKUP(Tabela4[[#This Row],[Cabo]],BD!A:V,5,0),"")</f>
        <v/>
      </c>
      <c r="H558" s="23" t="str">
        <f ca="1">IFERROR(VLOOKUP(Tabela4[[#This Row],[Cabo]],BD!A:V,3,0),"")</f>
        <v/>
      </c>
      <c r="I558" s="23" t="str">
        <f ca="1">IFERROR(VLOOKUP(Tabela4[[#This Row],[Cabo]],BD!A:V,4,0),"")</f>
        <v/>
      </c>
      <c r="J558" s="23" t="str">
        <f ca="1">IFERROR(VLOOKUP(Tabela4[[#This Row],[Cabo]],BD!A:V,7,0),"")</f>
        <v/>
      </c>
      <c r="K55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8" s="23" t="str">
        <f ca="1">IFERROR(VLOOKUP(Tabela4[[#This Row],[Cabo]],BD!A:V,9,0),"")</f>
        <v/>
      </c>
      <c r="M558" s="23" t="str">
        <f ca="1">IFERROR(VLOOKUP(Tabela4[[#This Row],[Cabo]],BD!A:AD,30,0),"")</f>
        <v/>
      </c>
      <c r="N558" s="23" t="str">
        <f ca="1">IF(SUMIF('Lançamento de Cabos'!B:B,Tabela4[[#This Row],[Cabo]],'Lançamento de Cabos'!C:C)=0,"",SUMIF('Lançamento de Cabos'!B:B,Tabela4[[#This Row],[Cabo]],'Lançamento de Cabos'!C:C))</f>
        <v/>
      </c>
      <c r="O558" s="28" t="str">
        <f ca="1">IFERROR(IF(Tabela4[[#This Row],[Compr. Lançado]]/Tabela4[[#This Row],[Compr. Prev.]]&gt;1,1,Tabela4[[#This Row],[Compr. Lançado]]/Tabela4[[#This Row],[Compr. Prev.]]),"")</f>
        <v/>
      </c>
      <c r="P558" s="24" t="str">
        <f ca="1">IFERROR(VLOOKUP(Tabela4[[#This Row],[Cabo]],BD!A:V,11,0),"")</f>
        <v/>
      </c>
      <c r="Q558" s="24" t="str">
        <f ca="1">IFERROR(VLOOKUP(Tabela4[[#This Row],[Cabo]],BD!A:V,12,0),"")</f>
        <v/>
      </c>
      <c r="R55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8" s="23" t="str">
        <f ca="1">IF(Tabela4[[#This Row],[Cabo]]&lt;&gt;"",4-COUNTIF(Tabela4[[#This Row],[Teste de Continuidade]:[Hipot]],"---"),"")</f>
        <v/>
      </c>
      <c r="W558" s="29" t="str">
        <f ca="1">IF(Tabela4[[#This Row],[Cabo]]&lt;&gt;"",(COUNTIF(Tabela4[[#This Row],[Teste de Continuidade]:[Hipot]],"OK"))/(4-COUNTIF(Tabela4[[#This Row],[Teste de Continuidade]:[Hipot]],"---")),"")</f>
        <v/>
      </c>
      <c r="X558" s="23" t="str">
        <f ca="1">IF(Tabela4[[#This Row],[Cabo]]&lt;&gt;"",SUMIFS('Lançamento de Cabos'!$AF:$AF,'Lançamento de Cabos'!AE:AE,Tabela4[[#This Row],[Cabo]],'Lançamento de Cabos'!AJ:AJ,Área!$B$1),"")</f>
        <v/>
      </c>
      <c r="Y558" s="23" t="str">
        <f ca="1">IF(Tabela4[[#This Row],[Cabo]]&lt;&gt;"",SUMIFS('Lançamento de Cabos'!$AG:$AG,'Lançamento de Cabos'!AE:AE,Tabela4[[#This Row],[Cabo]],'Lançamento de Cabos'!AJ:AJ,Área!$B$1),"")</f>
        <v/>
      </c>
      <c r="Z558" s="23" t="e">
        <f ca="1">VLOOKUP(Tabela4[[#This Row],[Cabo]],BD!A:AB,28,0)</f>
        <v>#N/A</v>
      </c>
    </row>
    <row r="559" spans="3:26" x14ac:dyDescent="0.25">
      <c r="C559" s="391" t="str">
        <f ca="1">IF($B$1="Geral",Tabela1[[#This Row],[Tag do Cabo]],IFERROR(INDEX(INDIRECT("BD!$A"&amp;D559&amp;":$A100000"),E559,1),""))</f>
        <v/>
      </c>
      <c r="D559" s="391" t="str">
        <f t="shared" ca="1" si="22"/>
        <v/>
      </c>
      <c r="E559" s="391" t="str">
        <f t="shared" ca="1" si="23"/>
        <v/>
      </c>
      <c r="F559" s="23" t="str">
        <f ca="1">IFERROR(VLOOKUP(Tabela4[[#This Row],[Cabo]],BD!A:V,2,0),"")</f>
        <v/>
      </c>
      <c r="G559" s="391" t="str">
        <f ca="1">IFERROR(VLOOKUP(Tabela4[[#This Row],[Cabo]],BD!A:V,5,0),"")</f>
        <v/>
      </c>
      <c r="H559" s="23" t="str">
        <f ca="1">IFERROR(VLOOKUP(Tabela4[[#This Row],[Cabo]],BD!A:V,3,0),"")</f>
        <v/>
      </c>
      <c r="I559" s="23" t="str">
        <f ca="1">IFERROR(VLOOKUP(Tabela4[[#This Row],[Cabo]],BD!A:V,4,0),"")</f>
        <v/>
      </c>
      <c r="J559" s="23" t="str">
        <f ca="1">IFERROR(VLOOKUP(Tabela4[[#This Row],[Cabo]],BD!A:V,7,0),"")</f>
        <v/>
      </c>
      <c r="K55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59" s="23" t="str">
        <f ca="1">IFERROR(VLOOKUP(Tabela4[[#This Row],[Cabo]],BD!A:V,9,0),"")</f>
        <v/>
      </c>
      <c r="M559" s="23" t="str">
        <f ca="1">IFERROR(VLOOKUP(Tabela4[[#This Row],[Cabo]],BD!A:AD,30,0),"")</f>
        <v/>
      </c>
      <c r="N559" s="23" t="str">
        <f ca="1">IF(SUMIF('Lançamento de Cabos'!B:B,Tabela4[[#This Row],[Cabo]],'Lançamento de Cabos'!C:C)=0,"",SUMIF('Lançamento de Cabos'!B:B,Tabela4[[#This Row],[Cabo]],'Lançamento de Cabos'!C:C))</f>
        <v/>
      </c>
      <c r="O559" s="28" t="str">
        <f ca="1">IFERROR(IF(Tabela4[[#This Row],[Compr. Lançado]]/Tabela4[[#This Row],[Compr. Prev.]]&gt;1,1,Tabela4[[#This Row],[Compr. Lançado]]/Tabela4[[#This Row],[Compr. Prev.]]),"")</f>
        <v/>
      </c>
      <c r="P559" s="24" t="str">
        <f ca="1">IFERROR(VLOOKUP(Tabela4[[#This Row],[Cabo]],BD!A:V,11,0),"")</f>
        <v/>
      </c>
      <c r="Q559" s="24" t="str">
        <f ca="1">IFERROR(VLOOKUP(Tabela4[[#This Row],[Cabo]],BD!A:V,12,0),"")</f>
        <v/>
      </c>
      <c r="R55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5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5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5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59" s="23" t="str">
        <f ca="1">IF(Tabela4[[#This Row],[Cabo]]&lt;&gt;"",4-COUNTIF(Tabela4[[#This Row],[Teste de Continuidade]:[Hipot]],"---"),"")</f>
        <v/>
      </c>
      <c r="W559" s="29" t="str">
        <f ca="1">IF(Tabela4[[#This Row],[Cabo]]&lt;&gt;"",(COUNTIF(Tabela4[[#This Row],[Teste de Continuidade]:[Hipot]],"OK"))/(4-COUNTIF(Tabela4[[#This Row],[Teste de Continuidade]:[Hipot]],"---")),"")</f>
        <v/>
      </c>
      <c r="X559" s="23" t="str">
        <f ca="1">IF(Tabela4[[#This Row],[Cabo]]&lt;&gt;"",SUMIFS('Lançamento de Cabos'!$AF:$AF,'Lançamento de Cabos'!AE:AE,Tabela4[[#This Row],[Cabo]],'Lançamento de Cabos'!AJ:AJ,Área!$B$1),"")</f>
        <v/>
      </c>
      <c r="Y559" s="23" t="str">
        <f ca="1">IF(Tabela4[[#This Row],[Cabo]]&lt;&gt;"",SUMIFS('Lançamento de Cabos'!$AG:$AG,'Lançamento de Cabos'!AE:AE,Tabela4[[#This Row],[Cabo]],'Lançamento de Cabos'!AJ:AJ,Área!$B$1),"")</f>
        <v/>
      </c>
      <c r="Z559" s="23" t="e">
        <f ca="1">VLOOKUP(Tabela4[[#This Row],[Cabo]],BD!A:AB,28,0)</f>
        <v>#N/A</v>
      </c>
    </row>
    <row r="560" spans="3:26" x14ac:dyDescent="0.25">
      <c r="C560" s="391" t="str">
        <f ca="1">IF($B$1="Geral",Tabela1[[#This Row],[Tag do Cabo]],IFERROR(INDEX(INDIRECT("BD!$A"&amp;D560&amp;":$A100000"),E560,1),""))</f>
        <v/>
      </c>
      <c r="D560" s="391" t="str">
        <f t="shared" ca="1" si="22"/>
        <v/>
      </c>
      <c r="E560" s="391" t="str">
        <f t="shared" ca="1" si="23"/>
        <v/>
      </c>
      <c r="F560" s="23" t="str">
        <f ca="1">IFERROR(VLOOKUP(Tabela4[[#This Row],[Cabo]],BD!A:V,2,0),"")</f>
        <v/>
      </c>
      <c r="G560" s="391" t="str">
        <f ca="1">IFERROR(VLOOKUP(Tabela4[[#This Row],[Cabo]],BD!A:V,5,0),"")</f>
        <v/>
      </c>
      <c r="H560" s="23" t="str">
        <f ca="1">IFERROR(VLOOKUP(Tabela4[[#This Row],[Cabo]],BD!A:V,3,0),"")</f>
        <v/>
      </c>
      <c r="I560" s="23" t="str">
        <f ca="1">IFERROR(VLOOKUP(Tabela4[[#This Row],[Cabo]],BD!A:V,4,0),"")</f>
        <v/>
      </c>
      <c r="J560" s="23" t="str">
        <f ca="1">IFERROR(VLOOKUP(Tabela4[[#This Row],[Cabo]],BD!A:V,7,0),"")</f>
        <v/>
      </c>
      <c r="K56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0" s="23" t="str">
        <f ca="1">IFERROR(VLOOKUP(Tabela4[[#This Row],[Cabo]],BD!A:V,9,0),"")</f>
        <v/>
      </c>
      <c r="M560" s="23" t="str">
        <f ca="1">IFERROR(VLOOKUP(Tabela4[[#This Row],[Cabo]],BD!A:AD,30,0),"")</f>
        <v/>
      </c>
      <c r="N560" s="23" t="str">
        <f ca="1">IF(SUMIF('Lançamento de Cabos'!B:B,Tabela4[[#This Row],[Cabo]],'Lançamento de Cabos'!C:C)=0,"",SUMIF('Lançamento de Cabos'!B:B,Tabela4[[#This Row],[Cabo]],'Lançamento de Cabos'!C:C))</f>
        <v/>
      </c>
      <c r="O560" s="28" t="str">
        <f ca="1">IFERROR(IF(Tabela4[[#This Row],[Compr. Lançado]]/Tabela4[[#This Row],[Compr. Prev.]]&gt;1,1,Tabela4[[#This Row],[Compr. Lançado]]/Tabela4[[#This Row],[Compr. Prev.]]),"")</f>
        <v/>
      </c>
      <c r="P560" s="24" t="str">
        <f ca="1">IFERROR(VLOOKUP(Tabela4[[#This Row],[Cabo]],BD!A:V,11,0),"")</f>
        <v/>
      </c>
      <c r="Q560" s="24" t="str">
        <f ca="1">IFERROR(VLOOKUP(Tabela4[[#This Row],[Cabo]],BD!A:V,12,0),"")</f>
        <v/>
      </c>
      <c r="R56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0" s="23" t="str">
        <f ca="1">IF(Tabela4[[#This Row],[Cabo]]&lt;&gt;"",4-COUNTIF(Tabela4[[#This Row],[Teste de Continuidade]:[Hipot]],"---"),"")</f>
        <v/>
      </c>
      <c r="W560" s="29" t="str">
        <f ca="1">IF(Tabela4[[#This Row],[Cabo]]&lt;&gt;"",(COUNTIF(Tabela4[[#This Row],[Teste de Continuidade]:[Hipot]],"OK"))/(4-COUNTIF(Tabela4[[#This Row],[Teste de Continuidade]:[Hipot]],"---")),"")</f>
        <v/>
      </c>
      <c r="X560" s="23" t="str">
        <f ca="1">IF(Tabela4[[#This Row],[Cabo]]&lt;&gt;"",SUMIFS('Lançamento de Cabos'!$AF:$AF,'Lançamento de Cabos'!AE:AE,Tabela4[[#This Row],[Cabo]],'Lançamento de Cabos'!AJ:AJ,Área!$B$1),"")</f>
        <v/>
      </c>
      <c r="Y560" s="23" t="str">
        <f ca="1">IF(Tabela4[[#This Row],[Cabo]]&lt;&gt;"",SUMIFS('Lançamento de Cabos'!$AG:$AG,'Lançamento de Cabos'!AE:AE,Tabela4[[#This Row],[Cabo]],'Lançamento de Cabos'!AJ:AJ,Área!$B$1),"")</f>
        <v/>
      </c>
      <c r="Z560" s="23" t="e">
        <f ca="1">VLOOKUP(Tabela4[[#This Row],[Cabo]],BD!A:AB,28,0)</f>
        <v>#N/A</v>
      </c>
    </row>
    <row r="561" spans="3:26" x14ac:dyDescent="0.25">
      <c r="C561" s="391" t="str">
        <f ca="1">IF($B$1="Geral",Tabela1[[#This Row],[Tag do Cabo]],IFERROR(INDEX(INDIRECT("BD!$A"&amp;D561&amp;":$A100000"),E561,1),""))</f>
        <v/>
      </c>
      <c r="D561" s="391" t="str">
        <f t="shared" ca="1" si="22"/>
        <v/>
      </c>
      <c r="E561" s="391" t="str">
        <f t="shared" ca="1" si="23"/>
        <v/>
      </c>
      <c r="F561" s="23" t="str">
        <f ca="1">IFERROR(VLOOKUP(Tabela4[[#This Row],[Cabo]],BD!A:V,2,0),"")</f>
        <v/>
      </c>
      <c r="G561" s="391" t="str">
        <f ca="1">IFERROR(VLOOKUP(Tabela4[[#This Row],[Cabo]],BD!A:V,5,0),"")</f>
        <v/>
      </c>
      <c r="H561" s="23" t="str">
        <f ca="1">IFERROR(VLOOKUP(Tabela4[[#This Row],[Cabo]],BD!A:V,3,0),"")</f>
        <v/>
      </c>
      <c r="I561" s="23" t="str">
        <f ca="1">IFERROR(VLOOKUP(Tabela4[[#This Row],[Cabo]],BD!A:V,4,0),"")</f>
        <v/>
      </c>
      <c r="J561" s="23" t="str">
        <f ca="1">IFERROR(VLOOKUP(Tabela4[[#This Row],[Cabo]],BD!A:V,7,0),"")</f>
        <v/>
      </c>
      <c r="K56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1" s="23" t="str">
        <f ca="1">IFERROR(VLOOKUP(Tabela4[[#This Row],[Cabo]],BD!A:V,9,0),"")</f>
        <v/>
      </c>
      <c r="M561" s="23" t="str">
        <f ca="1">IFERROR(VLOOKUP(Tabela4[[#This Row],[Cabo]],BD!A:AD,30,0),"")</f>
        <v/>
      </c>
      <c r="N561" s="23" t="str">
        <f ca="1">IF(SUMIF('Lançamento de Cabos'!B:B,Tabela4[[#This Row],[Cabo]],'Lançamento de Cabos'!C:C)=0,"",SUMIF('Lançamento de Cabos'!B:B,Tabela4[[#This Row],[Cabo]],'Lançamento de Cabos'!C:C))</f>
        <v/>
      </c>
      <c r="O561" s="28" t="str">
        <f ca="1">IFERROR(IF(Tabela4[[#This Row],[Compr. Lançado]]/Tabela4[[#This Row],[Compr. Prev.]]&gt;1,1,Tabela4[[#This Row],[Compr. Lançado]]/Tabela4[[#This Row],[Compr. Prev.]]),"")</f>
        <v/>
      </c>
      <c r="P561" s="24" t="str">
        <f ca="1">IFERROR(VLOOKUP(Tabela4[[#This Row],[Cabo]],BD!A:V,11,0),"")</f>
        <v/>
      </c>
      <c r="Q561" s="24" t="str">
        <f ca="1">IFERROR(VLOOKUP(Tabela4[[#This Row],[Cabo]],BD!A:V,12,0),"")</f>
        <v/>
      </c>
      <c r="R56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1" s="23" t="str">
        <f ca="1">IF(Tabela4[[#This Row],[Cabo]]&lt;&gt;"",4-COUNTIF(Tabela4[[#This Row],[Teste de Continuidade]:[Hipot]],"---"),"")</f>
        <v/>
      </c>
      <c r="W561" s="29" t="str">
        <f ca="1">IF(Tabela4[[#This Row],[Cabo]]&lt;&gt;"",(COUNTIF(Tabela4[[#This Row],[Teste de Continuidade]:[Hipot]],"OK"))/(4-COUNTIF(Tabela4[[#This Row],[Teste de Continuidade]:[Hipot]],"---")),"")</f>
        <v/>
      </c>
      <c r="X561" s="23" t="str">
        <f ca="1">IF(Tabela4[[#This Row],[Cabo]]&lt;&gt;"",SUMIFS('Lançamento de Cabos'!$AF:$AF,'Lançamento de Cabos'!AE:AE,Tabela4[[#This Row],[Cabo]],'Lançamento de Cabos'!AJ:AJ,Área!$B$1),"")</f>
        <v/>
      </c>
      <c r="Y561" s="23" t="str">
        <f ca="1">IF(Tabela4[[#This Row],[Cabo]]&lt;&gt;"",SUMIFS('Lançamento de Cabos'!$AG:$AG,'Lançamento de Cabos'!AE:AE,Tabela4[[#This Row],[Cabo]],'Lançamento de Cabos'!AJ:AJ,Área!$B$1),"")</f>
        <v/>
      </c>
      <c r="Z561" s="23" t="e">
        <f ca="1">VLOOKUP(Tabela4[[#This Row],[Cabo]],BD!A:AB,28,0)</f>
        <v>#N/A</v>
      </c>
    </row>
    <row r="562" spans="3:26" x14ac:dyDescent="0.25">
      <c r="C562" s="391" t="str">
        <f ca="1">IF($B$1="Geral",Tabela1[[#This Row],[Tag do Cabo]],IFERROR(INDEX(INDIRECT("BD!$A"&amp;D562&amp;":$A100000"),E562,1),""))</f>
        <v/>
      </c>
      <c r="D562" s="391" t="str">
        <f t="shared" ca="1" si="22"/>
        <v/>
      </c>
      <c r="E562" s="391" t="str">
        <f t="shared" ca="1" si="23"/>
        <v/>
      </c>
      <c r="F562" s="23" t="str">
        <f ca="1">IFERROR(VLOOKUP(Tabela4[[#This Row],[Cabo]],BD!A:V,2,0),"")</f>
        <v/>
      </c>
      <c r="G562" s="391" t="str">
        <f ca="1">IFERROR(VLOOKUP(Tabela4[[#This Row],[Cabo]],BD!A:V,5,0),"")</f>
        <v/>
      </c>
      <c r="H562" s="23" t="str">
        <f ca="1">IFERROR(VLOOKUP(Tabela4[[#This Row],[Cabo]],BD!A:V,3,0),"")</f>
        <v/>
      </c>
      <c r="I562" s="23" t="str">
        <f ca="1">IFERROR(VLOOKUP(Tabela4[[#This Row],[Cabo]],BD!A:V,4,0),"")</f>
        <v/>
      </c>
      <c r="J562" s="23" t="str">
        <f ca="1">IFERROR(VLOOKUP(Tabela4[[#This Row],[Cabo]],BD!A:V,7,0),"")</f>
        <v/>
      </c>
      <c r="K56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2" s="23" t="str">
        <f ca="1">IFERROR(VLOOKUP(Tabela4[[#This Row],[Cabo]],BD!A:V,9,0),"")</f>
        <v/>
      </c>
      <c r="M562" s="23" t="str">
        <f ca="1">IFERROR(VLOOKUP(Tabela4[[#This Row],[Cabo]],BD!A:AD,30,0),"")</f>
        <v/>
      </c>
      <c r="N562" s="23" t="str">
        <f ca="1">IF(SUMIF('Lançamento de Cabos'!B:B,Tabela4[[#This Row],[Cabo]],'Lançamento de Cabos'!C:C)=0,"",SUMIF('Lançamento de Cabos'!B:B,Tabela4[[#This Row],[Cabo]],'Lançamento de Cabos'!C:C))</f>
        <v/>
      </c>
      <c r="O562" s="28" t="str">
        <f ca="1">IFERROR(IF(Tabela4[[#This Row],[Compr. Lançado]]/Tabela4[[#This Row],[Compr. Prev.]]&gt;1,1,Tabela4[[#This Row],[Compr. Lançado]]/Tabela4[[#This Row],[Compr. Prev.]]),"")</f>
        <v/>
      </c>
      <c r="P562" s="24" t="str">
        <f ca="1">IFERROR(VLOOKUP(Tabela4[[#This Row],[Cabo]],BD!A:V,11,0),"")</f>
        <v/>
      </c>
      <c r="Q562" s="24" t="str">
        <f ca="1">IFERROR(VLOOKUP(Tabela4[[#This Row],[Cabo]],BD!A:V,12,0),"")</f>
        <v/>
      </c>
      <c r="R56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2" s="23" t="str">
        <f ca="1">IF(Tabela4[[#This Row],[Cabo]]&lt;&gt;"",4-COUNTIF(Tabela4[[#This Row],[Teste de Continuidade]:[Hipot]],"---"),"")</f>
        <v/>
      </c>
      <c r="W562" s="29" t="str">
        <f ca="1">IF(Tabela4[[#This Row],[Cabo]]&lt;&gt;"",(COUNTIF(Tabela4[[#This Row],[Teste de Continuidade]:[Hipot]],"OK"))/(4-COUNTIF(Tabela4[[#This Row],[Teste de Continuidade]:[Hipot]],"---")),"")</f>
        <v/>
      </c>
      <c r="X562" s="23" t="str">
        <f ca="1">IF(Tabela4[[#This Row],[Cabo]]&lt;&gt;"",SUMIFS('Lançamento de Cabos'!$AF:$AF,'Lançamento de Cabos'!AE:AE,Tabela4[[#This Row],[Cabo]],'Lançamento de Cabos'!AJ:AJ,Área!$B$1),"")</f>
        <v/>
      </c>
      <c r="Y562" s="23" t="str">
        <f ca="1">IF(Tabela4[[#This Row],[Cabo]]&lt;&gt;"",SUMIFS('Lançamento de Cabos'!$AG:$AG,'Lançamento de Cabos'!AE:AE,Tabela4[[#This Row],[Cabo]],'Lançamento de Cabos'!AJ:AJ,Área!$B$1),"")</f>
        <v/>
      </c>
      <c r="Z562" s="23" t="e">
        <f ca="1">VLOOKUP(Tabela4[[#This Row],[Cabo]],BD!A:AB,28,0)</f>
        <v>#N/A</v>
      </c>
    </row>
    <row r="563" spans="3:26" x14ac:dyDescent="0.25">
      <c r="C563" s="391" t="str">
        <f ca="1">IF($B$1="Geral",Tabela1[[#This Row],[Tag do Cabo]],IFERROR(INDEX(INDIRECT("BD!$A"&amp;D563&amp;":$A100000"),E563,1),""))</f>
        <v/>
      </c>
      <c r="D563" s="391" t="str">
        <f t="shared" ca="1" si="22"/>
        <v/>
      </c>
      <c r="E563" s="391" t="str">
        <f t="shared" ca="1" si="23"/>
        <v/>
      </c>
      <c r="F563" s="23" t="str">
        <f ca="1">IFERROR(VLOOKUP(Tabela4[[#This Row],[Cabo]],BD!A:V,2,0),"")</f>
        <v/>
      </c>
      <c r="G563" s="391" t="str">
        <f ca="1">IFERROR(VLOOKUP(Tabela4[[#This Row],[Cabo]],BD!A:V,5,0),"")</f>
        <v/>
      </c>
      <c r="H563" s="23" t="str">
        <f ca="1">IFERROR(VLOOKUP(Tabela4[[#This Row],[Cabo]],BD!A:V,3,0),"")</f>
        <v/>
      </c>
      <c r="I563" s="23" t="str">
        <f ca="1">IFERROR(VLOOKUP(Tabela4[[#This Row],[Cabo]],BD!A:V,4,0),"")</f>
        <v/>
      </c>
      <c r="J563" s="23" t="str">
        <f ca="1">IFERROR(VLOOKUP(Tabela4[[#This Row],[Cabo]],BD!A:V,7,0),"")</f>
        <v/>
      </c>
      <c r="K56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3" s="23" t="str">
        <f ca="1">IFERROR(VLOOKUP(Tabela4[[#This Row],[Cabo]],BD!A:V,9,0),"")</f>
        <v/>
      </c>
      <c r="M563" s="23" t="str">
        <f ca="1">IFERROR(VLOOKUP(Tabela4[[#This Row],[Cabo]],BD!A:AD,30,0),"")</f>
        <v/>
      </c>
      <c r="N563" s="23" t="str">
        <f ca="1">IF(SUMIF('Lançamento de Cabos'!B:B,Tabela4[[#This Row],[Cabo]],'Lançamento de Cabos'!C:C)=0,"",SUMIF('Lançamento de Cabos'!B:B,Tabela4[[#This Row],[Cabo]],'Lançamento de Cabos'!C:C))</f>
        <v/>
      </c>
      <c r="O563" s="28" t="str">
        <f ca="1">IFERROR(IF(Tabela4[[#This Row],[Compr. Lançado]]/Tabela4[[#This Row],[Compr. Prev.]]&gt;1,1,Tabela4[[#This Row],[Compr. Lançado]]/Tabela4[[#This Row],[Compr. Prev.]]),"")</f>
        <v/>
      </c>
      <c r="P563" s="24" t="str">
        <f ca="1">IFERROR(VLOOKUP(Tabela4[[#This Row],[Cabo]],BD!A:V,11,0),"")</f>
        <v/>
      </c>
      <c r="Q563" s="24" t="str">
        <f ca="1">IFERROR(VLOOKUP(Tabela4[[#This Row],[Cabo]],BD!A:V,12,0),"")</f>
        <v/>
      </c>
      <c r="R56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3" s="23" t="str">
        <f ca="1">IF(Tabela4[[#This Row],[Cabo]]&lt;&gt;"",4-COUNTIF(Tabela4[[#This Row],[Teste de Continuidade]:[Hipot]],"---"),"")</f>
        <v/>
      </c>
      <c r="W563" s="29" t="str">
        <f ca="1">IF(Tabela4[[#This Row],[Cabo]]&lt;&gt;"",(COUNTIF(Tabela4[[#This Row],[Teste de Continuidade]:[Hipot]],"OK"))/(4-COUNTIF(Tabela4[[#This Row],[Teste de Continuidade]:[Hipot]],"---")),"")</f>
        <v/>
      </c>
      <c r="X563" s="23" t="str">
        <f ca="1">IF(Tabela4[[#This Row],[Cabo]]&lt;&gt;"",SUMIFS('Lançamento de Cabos'!$AF:$AF,'Lançamento de Cabos'!AE:AE,Tabela4[[#This Row],[Cabo]],'Lançamento de Cabos'!AJ:AJ,Área!$B$1),"")</f>
        <v/>
      </c>
      <c r="Y563" s="23" t="str">
        <f ca="1">IF(Tabela4[[#This Row],[Cabo]]&lt;&gt;"",SUMIFS('Lançamento de Cabos'!$AG:$AG,'Lançamento de Cabos'!AE:AE,Tabela4[[#This Row],[Cabo]],'Lançamento de Cabos'!AJ:AJ,Área!$B$1),"")</f>
        <v/>
      </c>
      <c r="Z563" s="23" t="e">
        <f ca="1">VLOOKUP(Tabela4[[#This Row],[Cabo]],BD!A:AB,28,0)</f>
        <v>#N/A</v>
      </c>
    </row>
    <row r="564" spans="3:26" x14ac:dyDescent="0.25">
      <c r="C564" s="391" t="str">
        <f ca="1">IF($B$1="Geral",Tabela1[[#This Row],[Tag do Cabo]],IFERROR(INDEX(INDIRECT("BD!$A"&amp;D564&amp;":$A100000"),E564,1),""))</f>
        <v/>
      </c>
      <c r="D564" s="391" t="str">
        <f t="shared" ca="1" si="22"/>
        <v/>
      </c>
      <c r="E564" s="391" t="str">
        <f t="shared" ca="1" si="23"/>
        <v/>
      </c>
      <c r="F564" s="23" t="str">
        <f ca="1">IFERROR(VLOOKUP(Tabela4[[#This Row],[Cabo]],BD!A:V,2,0),"")</f>
        <v/>
      </c>
      <c r="G564" s="391" t="str">
        <f ca="1">IFERROR(VLOOKUP(Tabela4[[#This Row],[Cabo]],BD!A:V,5,0),"")</f>
        <v/>
      </c>
      <c r="H564" s="23" t="str">
        <f ca="1">IFERROR(VLOOKUP(Tabela4[[#This Row],[Cabo]],BD!A:V,3,0),"")</f>
        <v/>
      </c>
      <c r="I564" s="23" t="str">
        <f ca="1">IFERROR(VLOOKUP(Tabela4[[#This Row],[Cabo]],BD!A:V,4,0),"")</f>
        <v/>
      </c>
      <c r="J564" s="23" t="str">
        <f ca="1">IFERROR(VLOOKUP(Tabela4[[#This Row],[Cabo]],BD!A:V,7,0),"")</f>
        <v/>
      </c>
      <c r="K56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4" s="23" t="str">
        <f ca="1">IFERROR(VLOOKUP(Tabela4[[#This Row],[Cabo]],BD!A:V,9,0),"")</f>
        <v/>
      </c>
      <c r="M564" s="23" t="str">
        <f ca="1">IFERROR(VLOOKUP(Tabela4[[#This Row],[Cabo]],BD!A:AD,30,0),"")</f>
        <v/>
      </c>
      <c r="N564" s="23" t="str">
        <f ca="1">IF(SUMIF('Lançamento de Cabos'!B:B,Tabela4[[#This Row],[Cabo]],'Lançamento de Cabos'!C:C)=0,"",SUMIF('Lançamento de Cabos'!B:B,Tabela4[[#This Row],[Cabo]],'Lançamento de Cabos'!C:C))</f>
        <v/>
      </c>
      <c r="O564" s="28" t="str">
        <f ca="1">IFERROR(IF(Tabela4[[#This Row],[Compr. Lançado]]/Tabela4[[#This Row],[Compr. Prev.]]&gt;1,1,Tabela4[[#This Row],[Compr. Lançado]]/Tabela4[[#This Row],[Compr. Prev.]]),"")</f>
        <v/>
      </c>
      <c r="P564" s="24" t="str">
        <f ca="1">IFERROR(VLOOKUP(Tabela4[[#This Row],[Cabo]],BD!A:V,11,0),"")</f>
        <v/>
      </c>
      <c r="Q564" s="24" t="str">
        <f ca="1">IFERROR(VLOOKUP(Tabela4[[#This Row],[Cabo]],BD!A:V,12,0),"")</f>
        <v/>
      </c>
      <c r="R56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4" s="23" t="str">
        <f ca="1">IF(Tabela4[[#This Row],[Cabo]]&lt;&gt;"",4-COUNTIF(Tabela4[[#This Row],[Teste de Continuidade]:[Hipot]],"---"),"")</f>
        <v/>
      </c>
      <c r="W564" s="29" t="str">
        <f ca="1">IF(Tabela4[[#This Row],[Cabo]]&lt;&gt;"",(COUNTIF(Tabela4[[#This Row],[Teste de Continuidade]:[Hipot]],"OK"))/(4-COUNTIF(Tabela4[[#This Row],[Teste de Continuidade]:[Hipot]],"---")),"")</f>
        <v/>
      </c>
      <c r="X564" s="23" t="str">
        <f ca="1">IF(Tabela4[[#This Row],[Cabo]]&lt;&gt;"",SUMIFS('Lançamento de Cabos'!$AF:$AF,'Lançamento de Cabos'!AE:AE,Tabela4[[#This Row],[Cabo]],'Lançamento de Cabos'!AJ:AJ,Área!$B$1),"")</f>
        <v/>
      </c>
      <c r="Y564" s="23" t="str">
        <f ca="1">IF(Tabela4[[#This Row],[Cabo]]&lt;&gt;"",SUMIFS('Lançamento de Cabos'!$AG:$AG,'Lançamento de Cabos'!AE:AE,Tabela4[[#This Row],[Cabo]],'Lançamento de Cabos'!AJ:AJ,Área!$B$1),"")</f>
        <v/>
      </c>
      <c r="Z564" s="23" t="e">
        <f ca="1">VLOOKUP(Tabela4[[#This Row],[Cabo]],BD!A:AB,28,0)</f>
        <v>#N/A</v>
      </c>
    </row>
    <row r="565" spans="3:26" x14ac:dyDescent="0.25">
      <c r="C565" s="391" t="str">
        <f ca="1">IF($B$1="Geral",Tabela1[[#This Row],[Tag do Cabo]],IFERROR(INDEX(INDIRECT("BD!$A"&amp;D565&amp;":$A100000"),E565,1),""))</f>
        <v/>
      </c>
      <c r="D565" s="391" t="str">
        <f t="shared" ca="1" si="22"/>
        <v/>
      </c>
      <c r="E565" s="391" t="str">
        <f t="shared" ca="1" si="23"/>
        <v/>
      </c>
      <c r="F565" s="23" t="str">
        <f ca="1">IFERROR(VLOOKUP(Tabela4[[#This Row],[Cabo]],BD!A:V,2,0),"")</f>
        <v/>
      </c>
      <c r="G565" s="391" t="str">
        <f ca="1">IFERROR(VLOOKUP(Tabela4[[#This Row],[Cabo]],BD!A:V,5,0),"")</f>
        <v/>
      </c>
      <c r="H565" s="23" t="str">
        <f ca="1">IFERROR(VLOOKUP(Tabela4[[#This Row],[Cabo]],BD!A:V,3,0),"")</f>
        <v/>
      </c>
      <c r="I565" s="23" t="str">
        <f ca="1">IFERROR(VLOOKUP(Tabela4[[#This Row],[Cabo]],BD!A:V,4,0),"")</f>
        <v/>
      </c>
      <c r="J565" s="23" t="str">
        <f ca="1">IFERROR(VLOOKUP(Tabela4[[#This Row],[Cabo]],BD!A:V,7,0),"")</f>
        <v/>
      </c>
      <c r="K56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5" s="23" t="str">
        <f ca="1">IFERROR(VLOOKUP(Tabela4[[#This Row],[Cabo]],BD!A:V,9,0),"")</f>
        <v/>
      </c>
      <c r="M565" s="23" t="str">
        <f ca="1">IFERROR(VLOOKUP(Tabela4[[#This Row],[Cabo]],BD!A:AD,30,0),"")</f>
        <v/>
      </c>
      <c r="N565" s="23" t="str">
        <f ca="1">IF(SUMIF('Lançamento de Cabos'!B:B,Tabela4[[#This Row],[Cabo]],'Lançamento de Cabos'!C:C)=0,"",SUMIF('Lançamento de Cabos'!B:B,Tabela4[[#This Row],[Cabo]],'Lançamento de Cabos'!C:C))</f>
        <v/>
      </c>
      <c r="O565" s="28" t="str">
        <f ca="1">IFERROR(IF(Tabela4[[#This Row],[Compr. Lançado]]/Tabela4[[#This Row],[Compr. Prev.]]&gt;1,1,Tabela4[[#This Row],[Compr. Lançado]]/Tabela4[[#This Row],[Compr. Prev.]]),"")</f>
        <v/>
      </c>
      <c r="P565" s="24" t="str">
        <f ca="1">IFERROR(VLOOKUP(Tabela4[[#This Row],[Cabo]],BD!A:V,11,0),"")</f>
        <v/>
      </c>
      <c r="Q565" s="24" t="str">
        <f ca="1">IFERROR(VLOOKUP(Tabela4[[#This Row],[Cabo]],BD!A:V,12,0),"")</f>
        <v/>
      </c>
      <c r="R56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5" s="23" t="str">
        <f ca="1">IF(Tabela4[[#This Row],[Cabo]]&lt;&gt;"",4-COUNTIF(Tabela4[[#This Row],[Teste de Continuidade]:[Hipot]],"---"),"")</f>
        <v/>
      </c>
      <c r="W565" s="29" t="str">
        <f ca="1">IF(Tabela4[[#This Row],[Cabo]]&lt;&gt;"",(COUNTIF(Tabela4[[#This Row],[Teste de Continuidade]:[Hipot]],"OK"))/(4-COUNTIF(Tabela4[[#This Row],[Teste de Continuidade]:[Hipot]],"---")),"")</f>
        <v/>
      </c>
      <c r="X565" s="23" t="str">
        <f ca="1">IF(Tabela4[[#This Row],[Cabo]]&lt;&gt;"",SUMIFS('Lançamento de Cabos'!$AF:$AF,'Lançamento de Cabos'!AE:AE,Tabela4[[#This Row],[Cabo]],'Lançamento de Cabos'!AJ:AJ,Área!$B$1),"")</f>
        <v/>
      </c>
      <c r="Y565" s="23" t="str">
        <f ca="1">IF(Tabela4[[#This Row],[Cabo]]&lt;&gt;"",SUMIFS('Lançamento de Cabos'!$AG:$AG,'Lançamento de Cabos'!AE:AE,Tabela4[[#This Row],[Cabo]],'Lançamento de Cabos'!AJ:AJ,Área!$B$1),"")</f>
        <v/>
      </c>
      <c r="Z565" s="23" t="e">
        <f ca="1">VLOOKUP(Tabela4[[#This Row],[Cabo]],BD!A:AB,28,0)</f>
        <v>#N/A</v>
      </c>
    </row>
    <row r="566" spans="3:26" x14ac:dyDescent="0.25">
      <c r="C566" s="391" t="str">
        <f ca="1">IF($B$1="Geral",Tabela1[[#This Row],[Tag do Cabo]],IFERROR(INDEX(INDIRECT("BD!$A"&amp;D566&amp;":$A100000"),E566,1),""))</f>
        <v/>
      </c>
      <c r="D566" s="391" t="str">
        <f t="shared" ca="1" si="22"/>
        <v/>
      </c>
      <c r="E566" s="391" t="str">
        <f t="shared" ca="1" si="23"/>
        <v/>
      </c>
      <c r="F566" s="23" t="str">
        <f ca="1">IFERROR(VLOOKUP(Tabela4[[#This Row],[Cabo]],BD!A:V,2,0),"")</f>
        <v/>
      </c>
      <c r="G566" s="391" t="str">
        <f ca="1">IFERROR(VLOOKUP(Tabela4[[#This Row],[Cabo]],BD!A:V,5,0),"")</f>
        <v/>
      </c>
      <c r="H566" s="23" t="str">
        <f ca="1">IFERROR(VLOOKUP(Tabela4[[#This Row],[Cabo]],BD!A:V,3,0),"")</f>
        <v/>
      </c>
      <c r="I566" s="23" t="str">
        <f ca="1">IFERROR(VLOOKUP(Tabela4[[#This Row],[Cabo]],BD!A:V,4,0),"")</f>
        <v/>
      </c>
      <c r="J566" s="23" t="str">
        <f ca="1">IFERROR(VLOOKUP(Tabela4[[#This Row],[Cabo]],BD!A:V,7,0),"")</f>
        <v/>
      </c>
      <c r="K566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6" s="23" t="str">
        <f ca="1">IFERROR(VLOOKUP(Tabela4[[#This Row],[Cabo]],BD!A:V,9,0),"")</f>
        <v/>
      </c>
      <c r="M566" s="23" t="str">
        <f ca="1">IFERROR(VLOOKUP(Tabela4[[#This Row],[Cabo]],BD!A:AD,30,0),"")</f>
        <v/>
      </c>
      <c r="N566" s="23" t="str">
        <f ca="1">IF(SUMIF('Lançamento de Cabos'!B:B,Tabela4[[#This Row],[Cabo]],'Lançamento de Cabos'!C:C)=0,"",SUMIF('Lançamento de Cabos'!B:B,Tabela4[[#This Row],[Cabo]],'Lançamento de Cabos'!C:C))</f>
        <v/>
      </c>
      <c r="O566" s="28" t="str">
        <f ca="1">IFERROR(IF(Tabela4[[#This Row],[Compr. Lançado]]/Tabela4[[#This Row],[Compr. Prev.]]&gt;1,1,Tabela4[[#This Row],[Compr. Lançado]]/Tabela4[[#This Row],[Compr. Prev.]]),"")</f>
        <v/>
      </c>
      <c r="P566" s="24" t="str">
        <f ca="1">IFERROR(VLOOKUP(Tabela4[[#This Row],[Cabo]],BD!A:V,11,0),"")</f>
        <v/>
      </c>
      <c r="Q566" s="24" t="str">
        <f ca="1">IFERROR(VLOOKUP(Tabela4[[#This Row],[Cabo]],BD!A:V,12,0),"")</f>
        <v/>
      </c>
      <c r="R566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6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6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6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6" s="23" t="str">
        <f ca="1">IF(Tabela4[[#This Row],[Cabo]]&lt;&gt;"",4-COUNTIF(Tabela4[[#This Row],[Teste de Continuidade]:[Hipot]],"---"),"")</f>
        <v/>
      </c>
      <c r="W566" s="29" t="str">
        <f ca="1">IF(Tabela4[[#This Row],[Cabo]]&lt;&gt;"",(COUNTIF(Tabela4[[#This Row],[Teste de Continuidade]:[Hipot]],"OK"))/(4-COUNTIF(Tabela4[[#This Row],[Teste de Continuidade]:[Hipot]],"---")),"")</f>
        <v/>
      </c>
      <c r="X566" s="23" t="str">
        <f ca="1">IF(Tabela4[[#This Row],[Cabo]]&lt;&gt;"",SUMIFS('Lançamento de Cabos'!$AF:$AF,'Lançamento de Cabos'!AE:AE,Tabela4[[#This Row],[Cabo]],'Lançamento de Cabos'!AJ:AJ,Área!$B$1),"")</f>
        <v/>
      </c>
      <c r="Y566" s="23" t="str">
        <f ca="1">IF(Tabela4[[#This Row],[Cabo]]&lt;&gt;"",SUMIFS('Lançamento de Cabos'!$AG:$AG,'Lançamento de Cabos'!AE:AE,Tabela4[[#This Row],[Cabo]],'Lançamento de Cabos'!AJ:AJ,Área!$B$1),"")</f>
        <v/>
      </c>
      <c r="Z566" s="23" t="e">
        <f ca="1">VLOOKUP(Tabela4[[#This Row],[Cabo]],BD!A:AB,28,0)</f>
        <v>#N/A</v>
      </c>
    </row>
    <row r="567" spans="3:26" x14ac:dyDescent="0.25">
      <c r="C567" s="391" t="str">
        <f ca="1">IF($B$1="Geral",Tabela1[[#This Row],[Tag do Cabo]],IFERROR(INDEX(INDIRECT("BD!$A"&amp;D567&amp;":$A100000"),E567,1),""))</f>
        <v/>
      </c>
      <c r="D567" s="391" t="str">
        <f t="shared" ca="1" si="22"/>
        <v/>
      </c>
      <c r="E567" s="391" t="str">
        <f t="shared" ca="1" si="23"/>
        <v/>
      </c>
      <c r="F567" s="23" t="str">
        <f ca="1">IFERROR(VLOOKUP(Tabela4[[#This Row],[Cabo]],BD!A:V,2,0),"")</f>
        <v/>
      </c>
      <c r="G567" s="391" t="str">
        <f ca="1">IFERROR(VLOOKUP(Tabela4[[#This Row],[Cabo]],BD!A:V,5,0),"")</f>
        <v/>
      </c>
      <c r="H567" s="23" t="str">
        <f ca="1">IFERROR(VLOOKUP(Tabela4[[#This Row],[Cabo]],BD!A:V,3,0),"")</f>
        <v/>
      </c>
      <c r="I567" s="23" t="str">
        <f ca="1">IFERROR(VLOOKUP(Tabela4[[#This Row],[Cabo]],BD!A:V,4,0),"")</f>
        <v/>
      </c>
      <c r="J567" s="23" t="str">
        <f ca="1">IFERROR(VLOOKUP(Tabela4[[#This Row],[Cabo]],BD!A:V,7,0),"")</f>
        <v/>
      </c>
      <c r="K567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7" s="23" t="str">
        <f ca="1">IFERROR(VLOOKUP(Tabela4[[#This Row],[Cabo]],BD!A:V,9,0),"")</f>
        <v/>
      </c>
      <c r="M567" s="23" t="str">
        <f ca="1">IFERROR(VLOOKUP(Tabela4[[#This Row],[Cabo]],BD!A:AD,30,0),"")</f>
        <v/>
      </c>
      <c r="N567" s="23" t="str">
        <f ca="1">IF(SUMIF('Lançamento de Cabos'!B:B,Tabela4[[#This Row],[Cabo]],'Lançamento de Cabos'!C:C)=0,"",SUMIF('Lançamento de Cabos'!B:B,Tabela4[[#This Row],[Cabo]],'Lançamento de Cabos'!C:C))</f>
        <v/>
      </c>
      <c r="O567" s="28" t="str">
        <f ca="1">IFERROR(IF(Tabela4[[#This Row],[Compr. Lançado]]/Tabela4[[#This Row],[Compr. Prev.]]&gt;1,1,Tabela4[[#This Row],[Compr. Lançado]]/Tabela4[[#This Row],[Compr. Prev.]]),"")</f>
        <v/>
      </c>
      <c r="P567" s="24" t="str">
        <f ca="1">IFERROR(VLOOKUP(Tabela4[[#This Row],[Cabo]],BD!A:V,11,0),"")</f>
        <v/>
      </c>
      <c r="Q567" s="24" t="str">
        <f ca="1">IFERROR(VLOOKUP(Tabela4[[#This Row],[Cabo]],BD!A:V,12,0),"")</f>
        <v/>
      </c>
      <c r="R567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7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7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7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7" s="23" t="str">
        <f ca="1">IF(Tabela4[[#This Row],[Cabo]]&lt;&gt;"",4-COUNTIF(Tabela4[[#This Row],[Teste de Continuidade]:[Hipot]],"---"),"")</f>
        <v/>
      </c>
      <c r="W567" s="29" t="str">
        <f ca="1">IF(Tabela4[[#This Row],[Cabo]]&lt;&gt;"",(COUNTIF(Tabela4[[#This Row],[Teste de Continuidade]:[Hipot]],"OK"))/(4-COUNTIF(Tabela4[[#This Row],[Teste de Continuidade]:[Hipot]],"---")),"")</f>
        <v/>
      </c>
      <c r="X567" s="23" t="str">
        <f ca="1">IF(Tabela4[[#This Row],[Cabo]]&lt;&gt;"",SUMIFS('Lançamento de Cabos'!$AF:$AF,'Lançamento de Cabos'!AE:AE,Tabela4[[#This Row],[Cabo]],'Lançamento de Cabos'!AJ:AJ,Área!$B$1),"")</f>
        <v/>
      </c>
      <c r="Y567" s="23" t="str">
        <f ca="1">IF(Tabela4[[#This Row],[Cabo]]&lt;&gt;"",SUMIFS('Lançamento de Cabos'!$AG:$AG,'Lançamento de Cabos'!AE:AE,Tabela4[[#This Row],[Cabo]],'Lançamento de Cabos'!AJ:AJ,Área!$B$1),"")</f>
        <v/>
      </c>
      <c r="Z567" s="23" t="e">
        <f ca="1">VLOOKUP(Tabela4[[#This Row],[Cabo]],BD!A:AB,28,0)</f>
        <v>#N/A</v>
      </c>
    </row>
    <row r="568" spans="3:26" x14ac:dyDescent="0.25">
      <c r="C568" s="391" t="str">
        <f ca="1">IF($B$1="Geral",Tabela1[[#This Row],[Tag do Cabo]],IFERROR(INDEX(INDIRECT("BD!$A"&amp;D568&amp;":$A100000"),E568,1),""))</f>
        <v/>
      </c>
      <c r="D568" s="391" t="str">
        <f t="shared" ca="1" si="22"/>
        <v/>
      </c>
      <c r="E568" s="391" t="str">
        <f t="shared" ca="1" si="23"/>
        <v/>
      </c>
      <c r="F568" s="23" t="str">
        <f ca="1">IFERROR(VLOOKUP(Tabela4[[#This Row],[Cabo]],BD!A:V,2,0),"")</f>
        <v/>
      </c>
      <c r="G568" s="391" t="str">
        <f ca="1">IFERROR(VLOOKUP(Tabela4[[#This Row],[Cabo]],BD!A:V,5,0),"")</f>
        <v/>
      </c>
      <c r="H568" s="23" t="str">
        <f ca="1">IFERROR(VLOOKUP(Tabela4[[#This Row],[Cabo]],BD!A:V,3,0),"")</f>
        <v/>
      </c>
      <c r="I568" s="23" t="str">
        <f ca="1">IFERROR(VLOOKUP(Tabela4[[#This Row],[Cabo]],BD!A:V,4,0),"")</f>
        <v/>
      </c>
      <c r="J568" s="23" t="str">
        <f ca="1">IFERROR(VLOOKUP(Tabela4[[#This Row],[Cabo]],BD!A:V,7,0),"")</f>
        <v/>
      </c>
      <c r="K568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8" s="23" t="str">
        <f ca="1">IFERROR(VLOOKUP(Tabela4[[#This Row],[Cabo]],BD!A:V,9,0),"")</f>
        <v/>
      </c>
      <c r="M568" s="23" t="str">
        <f ca="1">IFERROR(VLOOKUP(Tabela4[[#This Row],[Cabo]],BD!A:AD,30,0),"")</f>
        <v/>
      </c>
      <c r="N568" s="23" t="str">
        <f ca="1">IF(SUMIF('Lançamento de Cabos'!B:B,Tabela4[[#This Row],[Cabo]],'Lançamento de Cabos'!C:C)=0,"",SUMIF('Lançamento de Cabos'!B:B,Tabela4[[#This Row],[Cabo]],'Lançamento de Cabos'!C:C))</f>
        <v/>
      </c>
      <c r="O568" s="28" t="str">
        <f ca="1">IFERROR(IF(Tabela4[[#This Row],[Compr. Lançado]]/Tabela4[[#This Row],[Compr. Prev.]]&gt;1,1,Tabela4[[#This Row],[Compr. Lançado]]/Tabela4[[#This Row],[Compr. Prev.]]),"")</f>
        <v/>
      </c>
      <c r="P568" s="24" t="str">
        <f ca="1">IFERROR(VLOOKUP(Tabela4[[#This Row],[Cabo]],BD!A:V,11,0),"")</f>
        <v/>
      </c>
      <c r="Q568" s="24" t="str">
        <f ca="1">IFERROR(VLOOKUP(Tabela4[[#This Row],[Cabo]],BD!A:V,12,0),"")</f>
        <v/>
      </c>
      <c r="R568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8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8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8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8" s="23" t="str">
        <f ca="1">IF(Tabela4[[#This Row],[Cabo]]&lt;&gt;"",4-COUNTIF(Tabela4[[#This Row],[Teste de Continuidade]:[Hipot]],"---"),"")</f>
        <v/>
      </c>
      <c r="W568" s="29" t="str">
        <f ca="1">IF(Tabela4[[#This Row],[Cabo]]&lt;&gt;"",(COUNTIF(Tabela4[[#This Row],[Teste de Continuidade]:[Hipot]],"OK"))/(4-COUNTIF(Tabela4[[#This Row],[Teste de Continuidade]:[Hipot]],"---")),"")</f>
        <v/>
      </c>
      <c r="X568" s="23" t="str">
        <f ca="1">IF(Tabela4[[#This Row],[Cabo]]&lt;&gt;"",SUMIFS('Lançamento de Cabos'!$AF:$AF,'Lançamento de Cabos'!AE:AE,Tabela4[[#This Row],[Cabo]],'Lançamento de Cabos'!AJ:AJ,Área!$B$1),"")</f>
        <v/>
      </c>
      <c r="Y568" s="23" t="str">
        <f ca="1">IF(Tabela4[[#This Row],[Cabo]]&lt;&gt;"",SUMIFS('Lançamento de Cabos'!$AG:$AG,'Lançamento de Cabos'!AE:AE,Tabela4[[#This Row],[Cabo]],'Lançamento de Cabos'!AJ:AJ,Área!$B$1),"")</f>
        <v/>
      </c>
      <c r="Z568" s="23" t="e">
        <f ca="1">VLOOKUP(Tabela4[[#This Row],[Cabo]],BD!A:AB,28,0)</f>
        <v>#N/A</v>
      </c>
    </row>
    <row r="569" spans="3:26" x14ac:dyDescent="0.25">
      <c r="C569" s="391" t="str">
        <f ca="1">IF($B$1="Geral",Tabela1[[#This Row],[Tag do Cabo]],IFERROR(INDEX(INDIRECT("BD!$A"&amp;D569&amp;":$A100000"),E569,1),""))</f>
        <v/>
      </c>
      <c r="D569" s="391" t="str">
        <f t="shared" ca="1" si="22"/>
        <v/>
      </c>
      <c r="E569" s="391" t="str">
        <f t="shared" ca="1" si="23"/>
        <v/>
      </c>
      <c r="F569" s="23" t="str">
        <f ca="1">IFERROR(VLOOKUP(Tabela4[[#This Row],[Cabo]],BD!A:V,2,0),"")</f>
        <v/>
      </c>
      <c r="G569" s="391" t="str">
        <f ca="1">IFERROR(VLOOKUP(Tabela4[[#This Row],[Cabo]],BD!A:V,5,0),"")</f>
        <v/>
      </c>
      <c r="H569" s="23" t="str">
        <f ca="1">IFERROR(VLOOKUP(Tabela4[[#This Row],[Cabo]],BD!A:V,3,0),"")</f>
        <v/>
      </c>
      <c r="I569" s="23" t="str">
        <f ca="1">IFERROR(VLOOKUP(Tabela4[[#This Row],[Cabo]],BD!A:V,4,0),"")</f>
        <v/>
      </c>
      <c r="J569" s="23" t="str">
        <f ca="1">IFERROR(VLOOKUP(Tabela4[[#This Row],[Cabo]],BD!A:V,7,0),"")</f>
        <v/>
      </c>
      <c r="K569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69" s="23" t="str">
        <f ca="1">IFERROR(VLOOKUP(Tabela4[[#This Row],[Cabo]],BD!A:V,9,0),"")</f>
        <v/>
      </c>
      <c r="M569" s="23" t="str">
        <f ca="1">IFERROR(VLOOKUP(Tabela4[[#This Row],[Cabo]],BD!A:AD,30,0),"")</f>
        <v/>
      </c>
      <c r="N569" s="23" t="str">
        <f ca="1">IF(SUMIF('Lançamento de Cabos'!B:B,Tabela4[[#This Row],[Cabo]],'Lançamento de Cabos'!C:C)=0,"",SUMIF('Lançamento de Cabos'!B:B,Tabela4[[#This Row],[Cabo]],'Lançamento de Cabos'!C:C))</f>
        <v/>
      </c>
      <c r="O569" s="28" t="str">
        <f ca="1">IFERROR(IF(Tabela4[[#This Row],[Compr. Lançado]]/Tabela4[[#This Row],[Compr. Prev.]]&gt;1,1,Tabela4[[#This Row],[Compr. Lançado]]/Tabela4[[#This Row],[Compr. Prev.]]),"")</f>
        <v/>
      </c>
      <c r="P569" s="24" t="str">
        <f ca="1">IFERROR(VLOOKUP(Tabela4[[#This Row],[Cabo]],BD!A:V,11,0),"")</f>
        <v/>
      </c>
      <c r="Q569" s="24" t="str">
        <f ca="1">IFERROR(VLOOKUP(Tabela4[[#This Row],[Cabo]],BD!A:V,12,0),"")</f>
        <v/>
      </c>
      <c r="R569" s="23" t="str">
        <f ca="1">IF(Tabela4[[#This Row],[Cabo]]&lt;&gt;"",IFERROR(VLOOKUP(Tabela4[[#This Row],[Cabo]]&amp;"-1",'Lançamento de Cabos'!$S:$T,2,0),IF(VLOOKUP(Tabela4[[#This Row],[Cabo]],BD!A:V,13,0)="---","---","")),"")</f>
        <v/>
      </c>
      <c r="S569" s="23" t="str">
        <f ca="1">IF(Tabela4[[#This Row],[Cabo]]&lt;&gt;"",IFERROR(VLOOKUP(Tabela4[[#This Row],[Cabo]]&amp;"-2",'Lançamento de Cabos'!$S:$T,2,0),IF(VLOOKUP(Tabela4[[#This Row],[Cabo]],BD!A:V,14,0)="---","---","")),"")</f>
        <v/>
      </c>
      <c r="T569" s="23" t="str">
        <f ca="1">IF(Tabela4[[#This Row],[Cabo]]&lt;&gt;"",IFERROR(VLOOKUP(Tabela4[[#This Row],[Cabo]]&amp;"-3",'Lançamento de Cabos'!$S:$T,2,0),IF(VLOOKUP(Tabela4[[#This Row],[Cabo]],BD!A:V,15,0)="---","---","")),"")</f>
        <v/>
      </c>
      <c r="U569" s="23" t="str">
        <f ca="1">IF(Tabela4[[#This Row],[Cabo]]&lt;&gt;"",IFERROR(VLOOKUP(Tabela4[[#This Row],[Cabo]]&amp;"-4",'Lançamento de Cabos'!$S:$T,2,0),IF(VLOOKUP(Tabela4[[#This Row],[Cabo]],BD!A:V,16,0)="---","---","")),"")</f>
        <v/>
      </c>
      <c r="V569" s="23" t="str">
        <f ca="1">IF(Tabela4[[#This Row],[Cabo]]&lt;&gt;"",4-COUNTIF(Tabela4[[#This Row],[Teste de Continuidade]:[Hipot]],"---"),"")</f>
        <v/>
      </c>
      <c r="W569" s="29" t="str">
        <f ca="1">IF(Tabela4[[#This Row],[Cabo]]&lt;&gt;"",(COUNTIF(Tabela4[[#This Row],[Teste de Continuidade]:[Hipot]],"OK"))/(4-COUNTIF(Tabela4[[#This Row],[Teste de Continuidade]:[Hipot]],"---")),"")</f>
        <v/>
      </c>
      <c r="X569" s="23" t="str">
        <f ca="1">IF(Tabela4[[#This Row],[Cabo]]&lt;&gt;"",SUMIFS('Lançamento de Cabos'!$AF:$AF,'Lançamento de Cabos'!AE:AE,Tabela4[[#This Row],[Cabo]],'Lançamento de Cabos'!AJ:AJ,Área!$B$1),"")</f>
        <v/>
      </c>
      <c r="Y569" s="23" t="str">
        <f ca="1">IF(Tabela4[[#This Row],[Cabo]]&lt;&gt;"",SUMIFS('Lançamento de Cabos'!$AG:$AG,'Lançamento de Cabos'!AE:AE,Tabela4[[#This Row],[Cabo]],'Lançamento de Cabos'!AJ:AJ,Área!$B$1),"")</f>
        <v/>
      </c>
      <c r="Z569" s="23" t="e">
        <f ca="1">VLOOKUP(Tabela4[[#This Row],[Cabo]],BD!A:AB,28,0)</f>
        <v>#N/A</v>
      </c>
    </row>
    <row r="570" spans="3:26" x14ac:dyDescent="0.25">
      <c r="C570" s="391" t="str">
        <f ca="1">IF($B$1="Geral",Tabela1[[#This Row],[Tag do Cabo]],IFERROR(INDEX(INDIRECT("BD!$A"&amp;D570&amp;":$A100000"),E570,1),""))</f>
        <v/>
      </c>
      <c r="D570" s="391" t="str">
        <f t="shared" ca="1" si="22"/>
        <v/>
      </c>
      <c r="E570" s="391" t="str">
        <f t="shared" ca="1" si="23"/>
        <v/>
      </c>
      <c r="F570" s="23" t="str">
        <f ca="1">IFERROR(VLOOKUP(Tabela4[[#This Row],[Cabo]],BD!A:V,2,0),"")</f>
        <v/>
      </c>
      <c r="G570" s="391" t="str">
        <f ca="1">IFERROR(VLOOKUP(Tabela4[[#This Row],[Cabo]],BD!A:V,5,0),"")</f>
        <v/>
      </c>
      <c r="H570" s="23" t="str">
        <f ca="1">IFERROR(VLOOKUP(Tabela4[[#This Row],[Cabo]],BD!A:V,3,0),"")</f>
        <v/>
      </c>
      <c r="I570" s="23" t="str">
        <f ca="1">IFERROR(VLOOKUP(Tabela4[[#This Row],[Cabo]],BD!A:V,4,0),"")</f>
        <v/>
      </c>
      <c r="J570" s="23" t="str">
        <f ca="1">IFERROR(VLOOKUP(Tabela4[[#This Row],[Cabo]],BD!A:V,7,0),"")</f>
        <v/>
      </c>
      <c r="K570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70" s="23" t="str">
        <f ca="1">IFERROR(VLOOKUP(Tabela4[[#This Row],[Cabo]],BD!A:V,9,0),"")</f>
        <v/>
      </c>
      <c r="M570" s="23" t="str">
        <f ca="1">IFERROR(VLOOKUP(Tabela4[[#This Row],[Cabo]],BD!A:AD,30,0),"")</f>
        <v/>
      </c>
      <c r="N570" s="23" t="str">
        <f ca="1">IF(SUMIF('Lançamento de Cabos'!B:B,Tabela4[[#This Row],[Cabo]],'Lançamento de Cabos'!C:C)=0,"",SUMIF('Lançamento de Cabos'!B:B,Tabela4[[#This Row],[Cabo]],'Lançamento de Cabos'!C:C))</f>
        <v/>
      </c>
      <c r="O570" s="28" t="str">
        <f ca="1">IFERROR(IF(Tabela4[[#This Row],[Compr. Lançado]]/Tabela4[[#This Row],[Compr. Prev.]]&gt;1,1,Tabela4[[#This Row],[Compr. Lançado]]/Tabela4[[#This Row],[Compr. Prev.]]),"")</f>
        <v/>
      </c>
      <c r="P570" s="24" t="str">
        <f ca="1">IFERROR(VLOOKUP(Tabela4[[#This Row],[Cabo]],BD!A:V,11,0),"")</f>
        <v/>
      </c>
      <c r="Q570" s="24" t="str">
        <f ca="1">IFERROR(VLOOKUP(Tabela4[[#This Row],[Cabo]],BD!A:V,12,0),"")</f>
        <v/>
      </c>
      <c r="R570" s="23" t="str">
        <f ca="1">IF(Tabela4[[#This Row],[Cabo]]&lt;&gt;"",IFERROR(VLOOKUP(Tabela4[[#This Row],[Cabo]]&amp;"-1",'Lançamento de Cabos'!$S:$T,2,0),IF(VLOOKUP(Tabela4[[#This Row],[Cabo]],BD!A:V,13,0)="---","---","")),"")</f>
        <v/>
      </c>
      <c r="S570" s="23" t="str">
        <f ca="1">IF(Tabela4[[#This Row],[Cabo]]&lt;&gt;"",IFERROR(VLOOKUP(Tabela4[[#This Row],[Cabo]]&amp;"-2",'Lançamento de Cabos'!$S:$T,2,0),IF(VLOOKUP(Tabela4[[#This Row],[Cabo]],BD!A:V,14,0)="---","---","")),"")</f>
        <v/>
      </c>
      <c r="T570" s="23" t="str">
        <f ca="1">IF(Tabela4[[#This Row],[Cabo]]&lt;&gt;"",IFERROR(VLOOKUP(Tabela4[[#This Row],[Cabo]]&amp;"-3",'Lançamento de Cabos'!$S:$T,2,0),IF(VLOOKUP(Tabela4[[#This Row],[Cabo]],BD!A:V,15,0)="---","---","")),"")</f>
        <v/>
      </c>
      <c r="U570" s="23" t="str">
        <f ca="1">IF(Tabela4[[#This Row],[Cabo]]&lt;&gt;"",IFERROR(VLOOKUP(Tabela4[[#This Row],[Cabo]]&amp;"-4",'Lançamento de Cabos'!$S:$T,2,0),IF(VLOOKUP(Tabela4[[#This Row],[Cabo]],BD!A:V,16,0)="---","---","")),"")</f>
        <v/>
      </c>
      <c r="V570" s="23" t="str">
        <f ca="1">IF(Tabela4[[#This Row],[Cabo]]&lt;&gt;"",4-COUNTIF(Tabela4[[#This Row],[Teste de Continuidade]:[Hipot]],"---"),"")</f>
        <v/>
      </c>
      <c r="W570" s="29" t="str">
        <f ca="1">IF(Tabela4[[#This Row],[Cabo]]&lt;&gt;"",(COUNTIF(Tabela4[[#This Row],[Teste de Continuidade]:[Hipot]],"OK"))/(4-COUNTIF(Tabela4[[#This Row],[Teste de Continuidade]:[Hipot]],"---")),"")</f>
        <v/>
      </c>
      <c r="X570" s="23" t="str">
        <f ca="1">IF(Tabela4[[#This Row],[Cabo]]&lt;&gt;"",SUMIFS('Lançamento de Cabos'!$AF:$AF,'Lançamento de Cabos'!AE:AE,Tabela4[[#This Row],[Cabo]],'Lançamento de Cabos'!AJ:AJ,Área!$B$1),"")</f>
        <v/>
      </c>
      <c r="Y570" s="23" t="str">
        <f ca="1">IF(Tabela4[[#This Row],[Cabo]]&lt;&gt;"",SUMIFS('Lançamento de Cabos'!$AG:$AG,'Lançamento de Cabos'!AE:AE,Tabela4[[#This Row],[Cabo]],'Lançamento de Cabos'!AJ:AJ,Área!$B$1),"")</f>
        <v/>
      </c>
      <c r="Z570" s="23" t="e">
        <f ca="1">VLOOKUP(Tabela4[[#This Row],[Cabo]],BD!A:AB,28,0)</f>
        <v>#N/A</v>
      </c>
    </row>
    <row r="571" spans="3:26" x14ac:dyDescent="0.25">
      <c r="C571" s="391" t="str">
        <f ca="1">IF($B$1="Geral",Tabela1[[#This Row],[Tag do Cabo]],IFERROR(INDEX(INDIRECT("BD!$A"&amp;D571&amp;":$A100000"),E571,1),""))</f>
        <v/>
      </c>
      <c r="D571" s="391" t="str">
        <f t="shared" ca="1" si="22"/>
        <v/>
      </c>
      <c r="E571" s="391" t="str">
        <f t="shared" ca="1" si="23"/>
        <v/>
      </c>
      <c r="F571" s="23" t="str">
        <f ca="1">IFERROR(VLOOKUP(Tabela4[[#This Row],[Cabo]],BD!A:V,2,0),"")</f>
        <v/>
      </c>
      <c r="G571" s="391" t="str">
        <f ca="1">IFERROR(VLOOKUP(Tabela4[[#This Row],[Cabo]],BD!A:V,5,0),"")</f>
        <v/>
      </c>
      <c r="H571" s="23" t="str">
        <f ca="1">IFERROR(VLOOKUP(Tabela4[[#This Row],[Cabo]],BD!A:V,3,0),"")</f>
        <v/>
      </c>
      <c r="I571" s="23" t="str">
        <f ca="1">IFERROR(VLOOKUP(Tabela4[[#This Row],[Cabo]],BD!A:V,4,0),"")</f>
        <v/>
      </c>
      <c r="J571" s="23" t="str">
        <f ca="1">IFERROR(VLOOKUP(Tabela4[[#This Row],[Cabo]],BD!A:V,7,0),"")</f>
        <v/>
      </c>
      <c r="K571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71" s="23" t="str">
        <f ca="1">IFERROR(VLOOKUP(Tabela4[[#This Row],[Cabo]],BD!A:V,9,0),"")</f>
        <v/>
      </c>
      <c r="M571" s="23" t="str">
        <f ca="1">IFERROR(VLOOKUP(Tabela4[[#This Row],[Cabo]],BD!A:AD,30,0),"")</f>
        <v/>
      </c>
      <c r="N571" s="23" t="str">
        <f ca="1">IF(SUMIF('Lançamento de Cabos'!B:B,Tabela4[[#This Row],[Cabo]],'Lançamento de Cabos'!C:C)=0,"",SUMIF('Lançamento de Cabos'!B:B,Tabela4[[#This Row],[Cabo]],'Lançamento de Cabos'!C:C))</f>
        <v/>
      </c>
      <c r="O571" s="28" t="str">
        <f ca="1">IFERROR(IF(Tabela4[[#This Row],[Compr. Lançado]]/Tabela4[[#This Row],[Compr. Prev.]]&gt;1,1,Tabela4[[#This Row],[Compr. Lançado]]/Tabela4[[#This Row],[Compr. Prev.]]),"")</f>
        <v/>
      </c>
      <c r="P571" s="24" t="str">
        <f ca="1">IFERROR(VLOOKUP(Tabela4[[#This Row],[Cabo]],BD!A:V,11,0),"")</f>
        <v/>
      </c>
      <c r="Q571" s="24" t="str">
        <f ca="1">IFERROR(VLOOKUP(Tabela4[[#This Row],[Cabo]],BD!A:V,12,0),"")</f>
        <v/>
      </c>
      <c r="R571" s="23" t="str">
        <f ca="1">IF(Tabela4[[#This Row],[Cabo]]&lt;&gt;"",IFERROR(VLOOKUP(Tabela4[[#This Row],[Cabo]]&amp;"-1",'Lançamento de Cabos'!$S:$T,2,0),IF(VLOOKUP(Tabela4[[#This Row],[Cabo]],BD!A:V,13,0)="---","---","")),"")</f>
        <v/>
      </c>
      <c r="S571" s="23" t="str">
        <f ca="1">IF(Tabela4[[#This Row],[Cabo]]&lt;&gt;"",IFERROR(VLOOKUP(Tabela4[[#This Row],[Cabo]]&amp;"-2",'Lançamento de Cabos'!$S:$T,2,0),IF(VLOOKUP(Tabela4[[#This Row],[Cabo]],BD!A:V,14,0)="---","---","")),"")</f>
        <v/>
      </c>
      <c r="T571" s="23" t="str">
        <f ca="1">IF(Tabela4[[#This Row],[Cabo]]&lt;&gt;"",IFERROR(VLOOKUP(Tabela4[[#This Row],[Cabo]]&amp;"-3",'Lançamento de Cabos'!$S:$T,2,0),IF(VLOOKUP(Tabela4[[#This Row],[Cabo]],BD!A:V,15,0)="---","---","")),"")</f>
        <v/>
      </c>
      <c r="U571" s="23" t="str">
        <f ca="1">IF(Tabela4[[#This Row],[Cabo]]&lt;&gt;"",IFERROR(VLOOKUP(Tabela4[[#This Row],[Cabo]]&amp;"-4",'Lançamento de Cabos'!$S:$T,2,0),IF(VLOOKUP(Tabela4[[#This Row],[Cabo]],BD!A:V,16,0)="---","---","")),"")</f>
        <v/>
      </c>
      <c r="V571" s="23" t="str">
        <f ca="1">IF(Tabela4[[#This Row],[Cabo]]&lt;&gt;"",4-COUNTIF(Tabela4[[#This Row],[Teste de Continuidade]:[Hipot]],"---"),"")</f>
        <v/>
      </c>
      <c r="W571" s="29" t="str">
        <f ca="1">IF(Tabela4[[#This Row],[Cabo]]&lt;&gt;"",(COUNTIF(Tabela4[[#This Row],[Teste de Continuidade]:[Hipot]],"OK"))/(4-COUNTIF(Tabela4[[#This Row],[Teste de Continuidade]:[Hipot]],"---")),"")</f>
        <v/>
      </c>
      <c r="X571" s="23" t="str">
        <f ca="1">IF(Tabela4[[#This Row],[Cabo]]&lt;&gt;"",SUMIFS('Lançamento de Cabos'!$AF:$AF,'Lançamento de Cabos'!AE:AE,Tabela4[[#This Row],[Cabo]],'Lançamento de Cabos'!AJ:AJ,Área!$B$1),"")</f>
        <v/>
      </c>
      <c r="Y571" s="23" t="str">
        <f ca="1">IF(Tabela4[[#This Row],[Cabo]]&lt;&gt;"",SUMIFS('Lançamento de Cabos'!$AG:$AG,'Lançamento de Cabos'!AE:AE,Tabela4[[#This Row],[Cabo]],'Lançamento de Cabos'!AJ:AJ,Área!$B$1),"")</f>
        <v/>
      </c>
      <c r="Z571" s="23" t="e">
        <f ca="1">VLOOKUP(Tabela4[[#This Row],[Cabo]],BD!A:AB,28,0)</f>
        <v>#N/A</v>
      </c>
    </row>
    <row r="572" spans="3:26" x14ac:dyDescent="0.25">
      <c r="C572" s="391" t="str">
        <f ca="1">IF($B$1="Geral",Tabela1[[#This Row],[Tag do Cabo]],IFERROR(INDEX(INDIRECT("BD!$A"&amp;D572&amp;":$A100000"),E572,1),""))</f>
        <v/>
      </c>
      <c r="D572" s="391" t="str">
        <f t="shared" ca="1" si="22"/>
        <v/>
      </c>
      <c r="E572" s="391" t="str">
        <f t="shared" ca="1" si="23"/>
        <v/>
      </c>
      <c r="F572" s="23" t="str">
        <f ca="1">IFERROR(VLOOKUP(Tabela4[[#This Row],[Cabo]],BD!A:V,2,0),"")</f>
        <v/>
      </c>
      <c r="G572" s="391" t="str">
        <f ca="1">IFERROR(VLOOKUP(Tabela4[[#This Row],[Cabo]],BD!A:V,5,0),"")</f>
        <v/>
      </c>
      <c r="H572" s="23" t="str">
        <f ca="1">IFERROR(VLOOKUP(Tabela4[[#This Row],[Cabo]],BD!A:V,3,0),"")</f>
        <v/>
      </c>
      <c r="I572" s="23" t="str">
        <f ca="1">IFERROR(VLOOKUP(Tabela4[[#This Row],[Cabo]],BD!A:V,4,0),"")</f>
        <v/>
      </c>
      <c r="J572" s="23" t="str">
        <f ca="1">IFERROR(VLOOKUP(Tabela4[[#This Row],[Cabo]],BD!A:V,7,0),"")</f>
        <v/>
      </c>
      <c r="K572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72" s="23" t="str">
        <f ca="1">IFERROR(VLOOKUP(Tabela4[[#This Row],[Cabo]],BD!A:V,9,0),"")</f>
        <v/>
      </c>
      <c r="M572" s="23" t="str">
        <f ca="1">IFERROR(VLOOKUP(Tabela4[[#This Row],[Cabo]],BD!A:AD,30,0),"")</f>
        <v/>
      </c>
      <c r="N572" s="23" t="str">
        <f ca="1">IF(SUMIF('Lançamento de Cabos'!B:B,Tabela4[[#This Row],[Cabo]],'Lançamento de Cabos'!C:C)=0,"",SUMIF('Lançamento de Cabos'!B:B,Tabela4[[#This Row],[Cabo]],'Lançamento de Cabos'!C:C))</f>
        <v/>
      </c>
      <c r="O572" s="28" t="str">
        <f ca="1">IFERROR(IF(Tabela4[[#This Row],[Compr. Lançado]]/Tabela4[[#This Row],[Compr. Prev.]]&gt;1,1,Tabela4[[#This Row],[Compr. Lançado]]/Tabela4[[#This Row],[Compr. Prev.]]),"")</f>
        <v/>
      </c>
      <c r="P572" s="24" t="str">
        <f ca="1">IFERROR(VLOOKUP(Tabela4[[#This Row],[Cabo]],BD!A:V,11,0),"")</f>
        <v/>
      </c>
      <c r="Q572" s="24" t="str">
        <f ca="1">IFERROR(VLOOKUP(Tabela4[[#This Row],[Cabo]],BD!A:V,12,0),"")</f>
        <v/>
      </c>
      <c r="R572" s="23" t="str">
        <f ca="1">IF(Tabela4[[#This Row],[Cabo]]&lt;&gt;"",IFERROR(VLOOKUP(Tabela4[[#This Row],[Cabo]]&amp;"-1",'Lançamento de Cabos'!$S:$T,2,0),IF(VLOOKUP(Tabela4[[#This Row],[Cabo]],BD!A:V,13,0)="---","---","")),"")</f>
        <v/>
      </c>
      <c r="S572" s="23" t="str">
        <f ca="1">IF(Tabela4[[#This Row],[Cabo]]&lt;&gt;"",IFERROR(VLOOKUP(Tabela4[[#This Row],[Cabo]]&amp;"-2",'Lançamento de Cabos'!$S:$T,2,0),IF(VLOOKUP(Tabela4[[#This Row],[Cabo]],BD!A:V,14,0)="---","---","")),"")</f>
        <v/>
      </c>
      <c r="T572" s="23" t="str">
        <f ca="1">IF(Tabela4[[#This Row],[Cabo]]&lt;&gt;"",IFERROR(VLOOKUP(Tabela4[[#This Row],[Cabo]]&amp;"-3",'Lançamento de Cabos'!$S:$T,2,0),IF(VLOOKUP(Tabela4[[#This Row],[Cabo]],BD!A:V,15,0)="---","---","")),"")</f>
        <v/>
      </c>
      <c r="U572" s="23" t="str">
        <f ca="1">IF(Tabela4[[#This Row],[Cabo]]&lt;&gt;"",IFERROR(VLOOKUP(Tabela4[[#This Row],[Cabo]]&amp;"-4",'Lançamento de Cabos'!$S:$T,2,0),IF(VLOOKUP(Tabela4[[#This Row],[Cabo]],BD!A:V,16,0)="---","---","")),"")</f>
        <v/>
      </c>
      <c r="V572" s="23" t="str">
        <f ca="1">IF(Tabela4[[#This Row],[Cabo]]&lt;&gt;"",4-COUNTIF(Tabela4[[#This Row],[Teste de Continuidade]:[Hipot]],"---"),"")</f>
        <v/>
      </c>
      <c r="W572" s="29" t="str">
        <f ca="1">IF(Tabela4[[#This Row],[Cabo]]&lt;&gt;"",(COUNTIF(Tabela4[[#This Row],[Teste de Continuidade]:[Hipot]],"OK"))/(4-COUNTIF(Tabela4[[#This Row],[Teste de Continuidade]:[Hipot]],"---")),"")</f>
        <v/>
      </c>
      <c r="X572" s="23" t="str">
        <f ca="1">IF(Tabela4[[#This Row],[Cabo]]&lt;&gt;"",SUMIFS('Lançamento de Cabos'!$AF:$AF,'Lançamento de Cabos'!AE:AE,Tabela4[[#This Row],[Cabo]],'Lançamento de Cabos'!AJ:AJ,Área!$B$1),"")</f>
        <v/>
      </c>
      <c r="Y572" s="23" t="str">
        <f ca="1">IF(Tabela4[[#This Row],[Cabo]]&lt;&gt;"",SUMIFS('Lançamento de Cabos'!$AG:$AG,'Lançamento de Cabos'!AE:AE,Tabela4[[#This Row],[Cabo]],'Lançamento de Cabos'!AJ:AJ,Área!$B$1),"")</f>
        <v/>
      </c>
      <c r="Z572" s="23" t="e">
        <f ca="1">VLOOKUP(Tabela4[[#This Row],[Cabo]],BD!A:AB,28,0)</f>
        <v>#N/A</v>
      </c>
    </row>
    <row r="573" spans="3:26" x14ac:dyDescent="0.25">
      <c r="C573" s="391" t="str">
        <f ca="1">IF($B$1="Geral",Tabela1[[#This Row],[Tag do Cabo]],IFERROR(INDEX(INDIRECT("BD!$A"&amp;D573&amp;":$A100000"),E573,1),""))</f>
        <v/>
      </c>
      <c r="D573" s="391" t="str">
        <f t="shared" ca="1" si="22"/>
        <v/>
      </c>
      <c r="E573" s="391" t="str">
        <f t="shared" ca="1" si="23"/>
        <v/>
      </c>
      <c r="F573" s="23" t="str">
        <f ca="1">IFERROR(VLOOKUP(Tabela4[[#This Row],[Cabo]],BD!A:V,2,0),"")</f>
        <v/>
      </c>
      <c r="G573" s="391" t="str">
        <f ca="1">IFERROR(VLOOKUP(Tabela4[[#This Row],[Cabo]],BD!A:V,5,0),"")</f>
        <v/>
      </c>
      <c r="H573" s="23" t="str">
        <f ca="1">IFERROR(VLOOKUP(Tabela4[[#This Row],[Cabo]],BD!A:V,3,0),"")</f>
        <v/>
      </c>
      <c r="I573" s="23" t="str">
        <f ca="1">IFERROR(VLOOKUP(Tabela4[[#This Row],[Cabo]],BD!A:V,4,0),"")</f>
        <v/>
      </c>
      <c r="J573" s="23" t="str">
        <f ca="1">IFERROR(VLOOKUP(Tabela4[[#This Row],[Cabo]],BD!A:V,7,0),"")</f>
        <v/>
      </c>
      <c r="K573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73" s="23" t="str">
        <f ca="1">IFERROR(VLOOKUP(Tabela4[[#This Row],[Cabo]],BD!A:V,9,0),"")</f>
        <v/>
      </c>
      <c r="M573" s="23" t="str">
        <f ca="1">IFERROR(VLOOKUP(Tabela4[[#This Row],[Cabo]],BD!A:AD,30,0),"")</f>
        <v/>
      </c>
      <c r="N573" s="23" t="str">
        <f ca="1">IF(SUMIF('Lançamento de Cabos'!B:B,Tabela4[[#This Row],[Cabo]],'Lançamento de Cabos'!C:C)=0,"",SUMIF('Lançamento de Cabos'!B:B,Tabela4[[#This Row],[Cabo]],'Lançamento de Cabos'!C:C))</f>
        <v/>
      </c>
      <c r="O573" s="28" t="str">
        <f ca="1">IFERROR(IF(Tabela4[[#This Row],[Compr. Lançado]]/Tabela4[[#This Row],[Compr. Prev.]]&gt;1,1,Tabela4[[#This Row],[Compr. Lançado]]/Tabela4[[#This Row],[Compr. Prev.]]),"")</f>
        <v/>
      </c>
      <c r="P573" s="24" t="str">
        <f ca="1">IFERROR(VLOOKUP(Tabela4[[#This Row],[Cabo]],BD!A:V,11,0),"")</f>
        <v/>
      </c>
      <c r="Q573" s="24" t="str">
        <f ca="1">IFERROR(VLOOKUP(Tabela4[[#This Row],[Cabo]],BD!A:V,12,0),"")</f>
        <v/>
      </c>
      <c r="R573" s="23" t="str">
        <f ca="1">IF(Tabela4[[#This Row],[Cabo]]&lt;&gt;"",IFERROR(VLOOKUP(Tabela4[[#This Row],[Cabo]]&amp;"-1",'Lançamento de Cabos'!$S:$T,2,0),IF(VLOOKUP(Tabela4[[#This Row],[Cabo]],BD!A:V,13,0)="---","---","")),"")</f>
        <v/>
      </c>
      <c r="S573" s="23" t="str">
        <f ca="1">IF(Tabela4[[#This Row],[Cabo]]&lt;&gt;"",IFERROR(VLOOKUP(Tabela4[[#This Row],[Cabo]]&amp;"-2",'Lançamento de Cabos'!$S:$T,2,0),IF(VLOOKUP(Tabela4[[#This Row],[Cabo]],BD!A:V,14,0)="---","---","")),"")</f>
        <v/>
      </c>
      <c r="T573" s="23" t="str">
        <f ca="1">IF(Tabela4[[#This Row],[Cabo]]&lt;&gt;"",IFERROR(VLOOKUP(Tabela4[[#This Row],[Cabo]]&amp;"-3",'Lançamento de Cabos'!$S:$T,2,0),IF(VLOOKUP(Tabela4[[#This Row],[Cabo]],BD!A:V,15,0)="---","---","")),"")</f>
        <v/>
      </c>
      <c r="U573" s="23" t="str">
        <f ca="1">IF(Tabela4[[#This Row],[Cabo]]&lt;&gt;"",IFERROR(VLOOKUP(Tabela4[[#This Row],[Cabo]]&amp;"-4",'Lançamento de Cabos'!$S:$T,2,0),IF(VLOOKUP(Tabela4[[#This Row],[Cabo]],BD!A:V,16,0)="---","---","")),"")</f>
        <v/>
      </c>
      <c r="V573" s="23" t="str">
        <f ca="1">IF(Tabela4[[#This Row],[Cabo]]&lt;&gt;"",4-COUNTIF(Tabela4[[#This Row],[Teste de Continuidade]:[Hipot]],"---"),"")</f>
        <v/>
      </c>
      <c r="W573" s="29" t="str">
        <f ca="1">IF(Tabela4[[#This Row],[Cabo]]&lt;&gt;"",(COUNTIF(Tabela4[[#This Row],[Teste de Continuidade]:[Hipot]],"OK"))/(4-COUNTIF(Tabela4[[#This Row],[Teste de Continuidade]:[Hipot]],"---")),"")</f>
        <v/>
      </c>
      <c r="X573" s="23" t="str">
        <f ca="1">IF(Tabela4[[#This Row],[Cabo]]&lt;&gt;"",SUMIFS('Lançamento de Cabos'!$AF:$AF,'Lançamento de Cabos'!AE:AE,Tabela4[[#This Row],[Cabo]],'Lançamento de Cabos'!AJ:AJ,Área!$B$1),"")</f>
        <v/>
      </c>
      <c r="Y573" s="23" t="str">
        <f ca="1">IF(Tabela4[[#This Row],[Cabo]]&lt;&gt;"",SUMIFS('Lançamento de Cabos'!$AG:$AG,'Lançamento de Cabos'!AE:AE,Tabela4[[#This Row],[Cabo]],'Lançamento de Cabos'!AJ:AJ,Área!$B$1),"")</f>
        <v/>
      </c>
      <c r="Z573" s="23" t="e">
        <f ca="1">VLOOKUP(Tabela4[[#This Row],[Cabo]],BD!A:AB,28,0)</f>
        <v>#N/A</v>
      </c>
    </row>
    <row r="574" spans="3:26" x14ac:dyDescent="0.25">
      <c r="C574" s="391" t="str">
        <f ca="1">IF($B$1="Geral",Tabela1[[#This Row],[Tag do Cabo]],IFERROR(INDEX(INDIRECT("BD!$A"&amp;D574&amp;":$A100000"),E574,1),""))</f>
        <v/>
      </c>
      <c r="D574" s="391" t="str">
        <f t="shared" ca="1" si="22"/>
        <v/>
      </c>
      <c r="E574" s="391" t="str">
        <f t="shared" ca="1" si="23"/>
        <v/>
      </c>
      <c r="F574" s="23" t="str">
        <f ca="1">IFERROR(VLOOKUP(Tabela4[[#This Row],[Cabo]],BD!A:V,2,0),"")</f>
        <v/>
      </c>
      <c r="G574" s="391" t="str">
        <f ca="1">IFERROR(VLOOKUP(Tabela4[[#This Row],[Cabo]],BD!A:V,5,0),"")</f>
        <v/>
      </c>
      <c r="H574" s="23" t="str">
        <f ca="1">IFERROR(VLOOKUP(Tabela4[[#This Row],[Cabo]],BD!A:V,3,0),"")</f>
        <v/>
      </c>
      <c r="I574" s="23" t="str">
        <f ca="1">IFERROR(VLOOKUP(Tabela4[[#This Row],[Cabo]],BD!A:V,4,0),"")</f>
        <v/>
      </c>
      <c r="J574" s="23" t="str">
        <f ca="1">IFERROR(VLOOKUP(Tabela4[[#This Row],[Cabo]],BD!A:V,7,0),"")</f>
        <v/>
      </c>
      <c r="K574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74" s="23" t="str">
        <f ca="1">IFERROR(VLOOKUP(Tabela4[[#This Row],[Cabo]],BD!A:V,9,0),"")</f>
        <v/>
      </c>
      <c r="M574" s="23" t="str">
        <f ca="1">IFERROR(VLOOKUP(Tabela4[[#This Row],[Cabo]],BD!A:AD,30,0),"")</f>
        <v/>
      </c>
      <c r="N574" s="23" t="str">
        <f ca="1">IF(SUMIF('Lançamento de Cabos'!B:B,Tabela4[[#This Row],[Cabo]],'Lançamento de Cabos'!C:C)=0,"",SUMIF('Lançamento de Cabos'!B:B,Tabela4[[#This Row],[Cabo]],'Lançamento de Cabos'!C:C))</f>
        <v/>
      </c>
      <c r="O574" s="28" t="str">
        <f ca="1">IFERROR(IF(Tabela4[[#This Row],[Compr. Lançado]]/Tabela4[[#This Row],[Compr. Prev.]]&gt;1,1,Tabela4[[#This Row],[Compr. Lançado]]/Tabela4[[#This Row],[Compr. Prev.]]),"")</f>
        <v/>
      </c>
      <c r="P574" s="24" t="str">
        <f ca="1">IFERROR(VLOOKUP(Tabela4[[#This Row],[Cabo]],BD!A:V,11,0),"")</f>
        <v/>
      </c>
      <c r="Q574" s="24" t="str">
        <f ca="1">IFERROR(VLOOKUP(Tabela4[[#This Row],[Cabo]],BD!A:V,12,0),"")</f>
        <v/>
      </c>
      <c r="R574" s="23" t="str">
        <f ca="1">IF(Tabela4[[#This Row],[Cabo]]&lt;&gt;"",IFERROR(VLOOKUP(Tabela4[[#This Row],[Cabo]]&amp;"-1",'Lançamento de Cabos'!$S:$T,2,0),IF(VLOOKUP(Tabela4[[#This Row],[Cabo]],BD!A:V,13,0)="---","---","")),"")</f>
        <v/>
      </c>
      <c r="S574" s="23" t="str">
        <f ca="1">IF(Tabela4[[#This Row],[Cabo]]&lt;&gt;"",IFERROR(VLOOKUP(Tabela4[[#This Row],[Cabo]]&amp;"-2",'Lançamento de Cabos'!$S:$T,2,0),IF(VLOOKUP(Tabela4[[#This Row],[Cabo]],BD!A:V,14,0)="---","---","")),"")</f>
        <v/>
      </c>
      <c r="T574" s="23" t="str">
        <f ca="1">IF(Tabela4[[#This Row],[Cabo]]&lt;&gt;"",IFERROR(VLOOKUP(Tabela4[[#This Row],[Cabo]]&amp;"-3",'Lançamento de Cabos'!$S:$T,2,0),IF(VLOOKUP(Tabela4[[#This Row],[Cabo]],BD!A:V,15,0)="---","---","")),"")</f>
        <v/>
      </c>
      <c r="U574" s="23" t="str">
        <f ca="1">IF(Tabela4[[#This Row],[Cabo]]&lt;&gt;"",IFERROR(VLOOKUP(Tabela4[[#This Row],[Cabo]]&amp;"-4",'Lançamento de Cabos'!$S:$T,2,0),IF(VLOOKUP(Tabela4[[#This Row],[Cabo]],BD!A:V,16,0)="---","---","")),"")</f>
        <v/>
      </c>
      <c r="V574" s="23" t="str">
        <f ca="1">IF(Tabela4[[#This Row],[Cabo]]&lt;&gt;"",4-COUNTIF(Tabela4[[#This Row],[Teste de Continuidade]:[Hipot]],"---"),"")</f>
        <v/>
      </c>
      <c r="W574" s="29" t="str">
        <f ca="1">IF(Tabela4[[#This Row],[Cabo]]&lt;&gt;"",(COUNTIF(Tabela4[[#This Row],[Teste de Continuidade]:[Hipot]],"OK"))/(4-COUNTIF(Tabela4[[#This Row],[Teste de Continuidade]:[Hipot]],"---")),"")</f>
        <v/>
      </c>
      <c r="X574" s="23" t="str">
        <f ca="1">IF(Tabela4[[#This Row],[Cabo]]&lt;&gt;"",SUMIFS('Lançamento de Cabos'!$AF:$AF,'Lançamento de Cabos'!AE:AE,Tabela4[[#This Row],[Cabo]],'Lançamento de Cabos'!AJ:AJ,Área!$B$1),"")</f>
        <v/>
      </c>
      <c r="Y574" s="23" t="str">
        <f ca="1">IF(Tabela4[[#This Row],[Cabo]]&lt;&gt;"",SUMIFS('Lançamento de Cabos'!$AG:$AG,'Lançamento de Cabos'!AE:AE,Tabela4[[#This Row],[Cabo]],'Lançamento de Cabos'!AJ:AJ,Área!$B$1),"")</f>
        <v/>
      </c>
      <c r="Z574" s="23" t="e">
        <f ca="1">VLOOKUP(Tabela4[[#This Row],[Cabo]],BD!A:AB,28,0)</f>
        <v>#N/A</v>
      </c>
    </row>
    <row r="575" spans="3:26" x14ac:dyDescent="0.25">
      <c r="C575" s="391" t="str">
        <f ca="1">IF($B$1="Geral",Tabela1[[#This Row],[Tag do Cabo]],IFERROR(INDEX(INDIRECT("BD!$A"&amp;D575&amp;":$A100000"),E575,1),""))</f>
        <v/>
      </c>
      <c r="D575" s="391" t="str">
        <f t="shared" ca="1" si="22"/>
        <v/>
      </c>
      <c r="E575" s="391" t="str">
        <f t="shared" ca="1" si="23"/>
        <v/>
      </c>
      <c r="F575" s="23" t="str">
        <f ca="1">IFERROR(VLOOKUP(Tabela4[[#This Row],[Cabo]],BD!A:V,2,0),"")</f>
        <v/>
      </c>
      <c r="G575" s="391" t="str">
        <f ca="1">IFERROR(VLOOKUP(Tabela4[[#This Row],[Cabo]],BD!A:V,5,0),"")</f>
        <v/>
      </c>
      <c r="H575" s="23" t="str">
        <f ca="1">IFERROR(VLOOKUP(Tabela4[[#This Row],[Cabo]],BD!A:V,3,0),"")</f>
        <v/>
      </c>
      <c r="I575" s="23" t="str">
        <f ca="1">IFERROR(VLOOKUP(Tabela4[[#This Row],[Cabo]],BD!A:V,4,0),"")</f>
        <v/>
      </c>
      <c r="J575" s="23" t="str">
        <f ca="1">IFERROR(VLOOKUP(Tabela4[[#This Row],[Cabo]],BD!A:V,7,0),"")</f>
        <v/>
      </c>
      <c r="K575" s="23" t="str">
        <f ca="1">IFERROR(IF(ROUNDDOWN(Tabela4[[#This Row],[%Lanç]]*Tabela4[[#This Row],[Lances Totais]],0)&gt;Tabela4[[#This Row],[Lances Totais]],Tabela4[[#This Row],[Lances Totais]],ROUNDDOWN(Tabela4[[#This Row],[%Lanç]]*Tabela4[[#This Row],[Lances Totais]],0)),"")</f>
        <v/>
      </c>
      <c r="L575" s="23" t="str">
        <f ca="1">IFERROR(VLOOKUP(Tabela4[[#This Row],[Cabo]],BD!A:V,9,0),"")</f>
        <v/>
      </c>
      <c r="M575" s="23" t="str">
        <f ca="1">IFERROR(VLOOKUP(Tabela4[[#This Row],[Cabo]],BD!A:AD,30,0),"")</f>
        <v/>
      </c>
      <c r="N575" s="23" t="str">
        <f ca="1">IF(SUMIF('Lançamento de Cabos'!B:B,Tabela4[[#This Row],[Cabo]],'Lançamento de Cabos'!C:C)=0,"",SUMIF('Lançamento de Cabos'!B:B,Tabela4[[#This Row],[Cabo]],'Lançamento de Cabos'!C:C))</f>
        <v/>
      </c>
      <c r="O575" s="28" t="str">
        <f ca="1">IFERROR(IF(Tabela4[[#This Row],[Compr. Lançado]]/Tabela4[[#This Row],[Compr. Prev.]]&gt;1,1,Tabela4[[#This Row],[Compr. Lançado]]/Tabela4[[#This Row],[Compr. Prev.]]),"")</f>
        <v/>
      </c>
      <c r="P575" s="24" t="str">
        <f ca="1">IFERROR(VLOOKUP(Tabela4[[#This Row],[Cabo]],BD!A:V,11,0),"")</f>
        <v/>
      </c>
      <c r="Q575" s="24" t="str">
        <f ca="1">IFERROR(VLOOKUP(Tabela4[[#This Row],[Cabo]],BD!A:V,12,0),"")</f>
        <v/>
      </c>
      <c r="R575" s="23" t="str">
        <f ca="1">IF(Tabela4[[#This Row],[Cabo]]&lt;&gt;"",IFERROR(VLOOKUP(Tabela4[[#This Row],[Cabo]]&amp;"-1",'Lançamento de Cabos'!$S:$T,2,0),IF(VLOOKUP(Tabela4[[#This Row],[Cabo]],BD!A:V,13,0)="---","---","")),"")</f>
        <v/>
      </c>
      <c r="S575" s="23" t="str">
        <f ca="1">IF(Tabela4[[#This Row],[Cabo]]&lt;&gt;"",IFERROR(VLOOKUP(Tabela4[[#This Row],[Cabo]]&amp;"-2",'Lançamento de Cabos'!$S:$T,2,0),IF(VLOOKUP(Tabela4[[#This Row],[Cabo]],BD!A:V,14,0)="---","---","")),"")</f>
        <v/>
      </c>
      <c r="T575" s="23" t="str">
        <f ca="1">IF(Tabela4[[#This Row],[Cabo]]&lt;&gt;"",IFERROR(VLOOKUP(Tabela4[[#This Row],[Cabo]]&amp;"-3",'Lançamento de Cabos'!$S:$T,2,0),IF(VLOOKUP(Tabela4[[#This Row],[Cabo]],BD!A:V,15,0)="---","---","")),"")</f>
        <v/>
      </c>
      <c r="U575" s="23" t="str">
        <f ca="1">IF(Tabela4[[#This Row],[Cabo]]&lt;&gt;"",IFERROR(VLOOKUP(Tabela4[[#This Row],[Cabo]]&amp;"-4",'Lançamento de Cabos'!$S:$T,2,0),IF(VLOOKUP(Tabela4[[#This Row],[Cabo]],BD!A:V,16,0)="---","---","")),"")</f>
        <v/>
      </c>
      <c r="V575" s="23" t="str">
        <f ca="1">IF(Tabela4[[#This Row],[Cabo]]&lt;&gt;"",4-COUNTIF(Tabela4[[#This Row],[Teste de Continuidade]:[Hipot]],"---"),"")</f>
        <v/>
      </c>
      <c r="W575" s="29" t="str">
        <f ca="1">IF(Tabela4[[#This Row],[Cabo]]&lt;&gt;"",(COUNTIF(Tabela4[[#This Row],[Teste de Continuidade]:[Hipot]],"OK"))/(4-COUNTIF(Tabela4[[#This Row],[Teste de Continuidade]:[Hipot]],"---")),"")</f>
        <v/>
      </c>
      <c r="X575" s="23" t="str">
        <f ca="1">IF(Tabela4[[#This Row],[Cabo]]&lt;&gt;"",SUMIFS('Lançamento de Cabos'!$AF:$AF,'Lançamento de Cabos'!AE:AE,Tabela4[[#This Row],[Cabo]],'Lançamento de Cabos'!AJ:AJ,Área!$B$1),"")</f>
        <v/>
      </c>
      <c r="Y575" s="23" t="str">
        <f ca="1">IF(Tabela4[[#This Row],[Cabo]]&lt;&gt;"",SUMIFS('Lançamento de Cabos'!$AG:$AG,'Lançamento de Cabos'!AE:AE,Tabela4[[#This Row],[Cabo]],'Lançamento de Cabos'!AJ:AJ,Área!$B$1),"")</f>
        <v/>
      </c>
      <c r="Z575" s="23" t="e">
        <f ca="1">VLOOKUP(Tabela4[[#This Row],[Cabo]],BD!A:AB,28,0)</f>
        <v>#N/A</v>
      </c>
    </row>
  </sheetData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tabColor rgb="FFFF2929"/>
    <outlinePr summaryBelow="0"/>
    <pageSetUpPr fitToPage="1"/>
  </sheetPr>
  <dimension ref="A1:AX528"/>
  <sheetViews>
    <sheetView showGridLines="0" tabSelected="1" topLeftCell="A4" zoomScale="80" zoomScaleNormal="80" zoomScaleSheetLayoutView="85" workbookViewId="0">
      <selection activeCell="V6" sqref="V6:AE6"/>
    </sheetView>
  </sheetViews>
  <sheetFormatPr defaultColWidth="9.140625" defaultRowHeight="15" customHeight="1" x14ac:dyDescent="0.25"/>
  <cols>
    <col min="1" max="1" width="2.5703125" style="30" customWidth="1"/>
    <col min="2" max="9" width="5.140625" style="30" customWidth="1"/>
    <col min="10" max="11" width="6.5703125" style="30" customWidth="1"/>
    <col min="12" max="15" width="5.140625" style="30" customWidth="1"/>
    <col min="16" max="16" width="1.5703125" style="30" customWidth="1"/>
    <col min="17" max="17" width="3" style="30" customWidth="1"/>
    <col min="18" max="23" width="5.140625" style="30" customWidth="1"/>
    <col min="24" max="24" width="6.42578125" style="30" customWidth="1"/>
    <col min="25" max="25" width="5.5703125" style="30" customWidth="1"/>
    <col min="26" max="26" width="5.140625" style="30" customWidth="1"/>
    <col min="27" max="27" width="6.42578125" style="30" customWidth="1"/>
    <col min="28" max="31" width="5.140625" style="30" customWidth="1"/>
    <col min="32" max="32" width="3.140625" style="30" customWidth="1"/>
    <col min="33" max="33" width="16.28515625" style="30" customWidth="1"/>
    <col min="34" max="35" width="5.140625" style="30" customWidth="1"/>
    <col min="36" max="39" width="5.140625" customWidth="1"/>
    <col min="40" max="40" width="5.7109375" customWidth="1"/>
    <col min="41" max="42" width="6.140625" customWidth="1"/>
    <col min="43" max="43" width="5.140625" customWidth="1"/>
    <col min="44" max="44" width="6" customWidth="1"/>
    <col min="45" max="46" width="5.140625" customWidth="1"/>
    <col min="47" max="47" width="2.28515625" customWidth="1"/>
    <col min="48" max="16383" width="9.140625" customWidth="1"/>
    <col min="16384" max="16384" width="2.7109375" customWidth="1"/>
  </cols>
  <sheetData>
    <row r="1" spans="1:50" ht="15" customHeight="1" x14ac:dyDescent="0.25">
      <c r="A1" s="427"/>
      <c r="B1" s="428"/>
      <c r="C1" s="428"/>
      <c r="D1" s="428"/>
      <c r="E1" s="428"/>
      <c r="F1" s="428"/>
      <c r="G1" s="429"/>
      <c r="H1" s="451" t="s">
        <v>25</v>
      </c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  <c r="AK1" s="452"/>
      <c r="AL1" s="452"/>
      <c r="AM1" s="452"/>
      <c r="AN1" s="453"/>
      <c r="AO1" s="467"/>
      <c r="AP1" s="468"/>
      <c r="AQ1" s="468"/>
      <c r="AR1" s="468"/>
      <c r="AS1" s="468"/>
      <c r="AT1" s="468"/>
      <c r="AU1" s="469"/>
    </row>
    <row r="2" spans="1:50" ht="15" customHeight="1" x14ac:dyDescent="0.25">
      <c r="A2" s="430"/>
      <c r="B2" s="431"/>
      <c r="C2" s="431"/>
      <c r="D2" s="431"/>
      <c r="E2" s="431"/>
      <c r="F2" s="431"/>
      <c r="G2" s="432"/>
      <c r="H2" s="454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  <c r="AM2" s="455"/>
      <c r="AN2" s="456"/>
      <c r="AO2" s="470"/>
      <c r="AP2" s="471"/>
      <c r="AQ2" s="471"/>
      <c r="AR2" s="471"/>
      <c r="AS2" s="471"/>
      <c r="AT2" s="471"/>
      <c r="AU2" s="472"/>
    </row>
    <row r="3" spans="1:50" ht="15" customHeight="1" x14ac:dyDescent="0.25">
      <c r="A3" s="430"/>
      <c r="B3" s="431"/>
      <c r="C3" s="431"/>
      <c r="D3" s="431"/>
      <c r="E3" s="431"/>
      <c r="F3" s="431"/>
      <c r="G3" s="432"/>
      <c r="H3" s="454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  <c r="Y3" s="455"/>
      <c r="Z3" s="455"/>
      <c r="AA3" s="455"/>
      <c r="AB3" s="455"/>
      <c r="AC3" s="455"/>
      <c r="AD3" s="455"/>
      <c r="AE3" s="455"/>
      <c r="AF3" s="455"/>
      <c r="AG3" s="455"/>
      <c r="AH3" s="455"/>
      <c r="AI3" s="455"/>
      <c r="AJ3" s="455"/>
      <c r="AK3" s="455"/>
      <c r="AL3" s="455"/>
      <c r="AM3" s="455"/>
      <c r="AN3" s="456"/>
      <c r="AO3" s="470"/>
      <c r="AP3" s="471"/>
      <c r="AQ3" s="471"/>
      <c r="AR3" s="471"/>
      <c r="AS3" s="471"/>
      <c r="AT3" s="471"/>
      <c r="AU3" s="472"/>
    </row>
    <row r="4" spans="1:50" ht="15" customHeight="1" thickBot="1" x14ac:dyDescent="0.3">
      <c r="A4" s="433"/>
      <c r="B4" s="434"/>
      <c r="C4" s="434"/>
      <c r="D4" s="434"/>
      <c r="E4" s="434"/>
      <c r="F4" s="434"/>
      <c r="G4" s="435"/>
      <c r="H4" s="457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58"/>
      <c r="W4" s="458"/>
      <c r="X4" s="458"/>
      <c r="Y4" s="458"/>
      <c r="Z4" s="458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9"/>
      <c r="AO4" s="473"/>
      <c r="AP4" s="474"/>
      <c r="AQ4" s="474"/>
      <c r="AR4" s="474"/>
      <c r="AS4" s="474"/>
      <c r="AT4" s="474"/>
      <c r="AU4" s="475"/>
    </row>
    <row r="5" spans="1:50" ht="15" customHeight="1" thickBot="1" x14ac:dyDescent="0.3">
      <c r="A5" s="378"/>
      <c r="B5" s="379"/>
      <c r="C5" s="379"/>
      <c r="D5" s="379"/>
      <c r="E5" s="379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9"/>
      <c r="AE5" s="379"/>
      <c r="AF5" s="379"/>
      <c r="AG5" s="379"/>
      <c r="AH5" s="379"/>
      <c r="AI5" s="78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80"/>
    </row>
    <row r="6" spans="1:50" ht="15" customHeight="1" thickBot="1" x14ac:dyDescent="0.3">
      <c r="A6" s="378"/>
      <c r="B6" s="476" t="s">
        <v>26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8"/>
      <c r="P6" s="77"/>
      <c r="Q6" s="77"/>
      <c r="R6" s="487" t="s">
        <v>27</v>
      </c>
      <c r="S6" s="488"/>
      <c r="T6" s="488"/>
      <c r="U6" s="488"/>
      <c r="V6" s="489" t="s">
        <v>103</v>
      </c>
      <c r="W6" s="490"/>
      <c r="X6" s="490"/>
      <c r="Y6" s="490"/>
      <c r="Z6" s="490"/>
      <c r="AA6" s="490"/>
      <c r="AB6" s="490"/>
      <c r="AC6" s="490"/>
      <c r="AD6" s="490"/>
      <c r="AE6" s="491"/>
      <c r="AF6" s="379"/>
      <c r="AG6" s="78"/>
      <c r="AH6" s="492" t="s">
        <v>29</v>
      </c>
      <c r="AI6" s="493"/>
      <c r="AJ6" s="493"/>
      <c r="AK6" s="493"/>
      <c r="AL6" s="493"/>
      <c r="AM6" s="493"/>
      <c r="AN6" s="493"/>
      <c r="AO6" s="493"/>
      <c r="AP6" s="493"/>
      <c r="AQ6" s="493"/>
      <c r="AR6" s="493"/>
      <c r="AS6" s="493"/>
      <c r="AT6" s="494"/>
      <c r="AU6" s="80"/>
    </row>
    <row r="7" spans="1:50" ht="15" customHeight="1" thickBot="1" x14ac:dyDescent="0.3">
      <c r="A7" s="81"/>
      <c r="B7" s="479"/>
      <c r="C7" s="480"/>
      <c r="D7" s="480"/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1"/>
      <c r="P7" s="78"/>
      <c r="Q7" s="78"/>
      <c r="R7" s="503" t="str">
        <f>"Lançamento de Cabos - Área - "&amp;V6</f>
        <v>Lançamento de Cabos - Área - FIBRA</v>
      </c>
      <c r="S7" s="504"/>
      <c r="T7" s="504"/>
      <c r="U7" s="504"/>
      <c r="V7" s="505"/>
      <c r="W7" s="505"/>
      <c r="X7" s="505"/>
      <c r="Y7" s="505"/>
      <c r="Z7" s="505"/>
      <c r="AA7" s="505"/>
      <c r="AB7" s="505"/>
      <c r="AC7" s="505"/>
      <c r="AD7" s="505"/>
      <c r="AE7" s="506"/>
      <c r="AF7" s="78"/>
      <c r="AG7" s="78"/>
      <c r="AH7" s="482" t="s">
        <v>30</v>
      </c>
      <c r="AI7" s="483"/>
      <c r="AJ7" s="483"/>
      <c r="AK7" s="483"/>
      <c r="AL7" s="483"/>
      <c r="AM7" s="483"/>
      <c r="AN7" s="483"/>
      <c r="AO7" s="483" t="s">
        <v>31</v>
      </c>
      <c r="AP7" s="483"/>
      <c r="AQ7" s="483" t="s">
        <v>32</v>
      </c>
      <c r="AR7" s="483"/>
      <c r="AS7" s="483" t="s">
        <v>33</v>
      </c>
      <c r="AT7" s="519"/>
      <c r="AU7" s="80"/>
    </row>
    <row r="8" spans="1:50" ht="15" customHeight="1" x14ac:dyDescent="0.25">
      <c r="A8" s="81"/>
      <c r="B8" s="406">
        <f>Indicadores!M7</f>
        <v>0.90391169169217422</v>
      </c>
      <c r="C8" s="407"/>
      <c r="D8" s="407"/>
      <c r="E8" s="408"/>
      <c r="F8" s="421" t="s">
        <v>4</v>
      </c>
      <c r="G8" s="421"/>
      <c r="H8" s="460" t="s">
        <v>34</v>
      </c>
      <c r="I8" s="460"/>
      <c r="J8" s="460" t="s">
        <v>35</v>
      </c>
      <c r="K8" s="460"/>
      <c r="L8" s="421" t="s">
        <v>33</v>
      </c>
      <c r="M8" s="421"/>
      <c r="N8" s="421" t="s">
        <v>36</v>
      </c>
      <c r="O8" s="450"/>
      <c r="P8" s="78"/>
      <c r="Q8" s="78"/>
      <c r="R8" s="406">
        <f>Indicadores!M15</f>
        <v>0.75380897771952815</v>
      </c>
      <c r="S8" s="407"/>
      <c r="T8" s="407"/>
      <c r="U8" s="408"/>
      <c r="V8" s="421" t="s">
        <v>4</v>
      </c>
      <c r="W8" s="421"/>
      <c r="X8" s="460" t="s">
        <v>34</v>
      </c>
      <c r="Y8" s="460"/>
      <c r="Z8" s="460" t="s">
        <v>35</v>
      </c>
      <c r="AA8" s="460"/>
      <c r="AB8" s="421" t="s">
        <v>33</v>
      </c>
      <c r="AC8" s="421"/>
      <c r="AD8" s="421" t="s">
        <v>36</v>
      </c>
      <c r="AE8" s="450"/>
      <c r="AF8" s="78"/>
      <c r="AG8" s="78"/>
      <c r="AH8" s="520" t="str">
        <f>CONCATENATE(Indicadores!A10,"-Rev.",Indicadores!B10)</f>
        <v>BK-SP54-00200-LC-80-00699_00000-Rev.2</v>
      </c>
      <c r="AI8" s="521"/>
      <c r="AJ8" s="521"/>
      <c r="AK8" s="521"/>
      <c r="AL8" s="521"/>
      <c r="AM8" s="521"/>
      <c r="AN8" s="521"/>
      <c r="AO8" s="484">
        <f>Indicadores!C10</f>
        <v>230</v>
      </c>
      <c r="AP8" s="484"/>
      <c r="AQ8" s="484">
        <f>Indicadores!D10</f>
        <v>230</v>
      </c>
      <c r="AR8" s="484"/>
      <c r="AS8" s="485">
        <f>Indicadores!E10</f>
        <v>1</v>
      </c>
      <c r="AT8" s="486"/>
      <c r="AU8" s="80"/>
    </row>
    <row r="9" spans="1:50" ht="15" customHeight="1" x14ac:dyDescent="0.25">
      <c r="A9" s="81"/>
      <c r="B9" s="409"/>
      <c r="C9" s="410"/>
      <c r="D9" s="410"/>
      <c r="E9" s="411"/>
      <c r="F9" s="495" t="s">
        <v>37</v>
      </c>
      <c r="G9" s="495"/>
      <c r="H9" s="402">
        <f>Indicadores!K3</f>
        <v>52918</v>
      </c>
      <c r="I9" s="416"/>
      <c r="J9" s="402">
        <f>Indicadores!L3</f>
        <v>49068</v>
      </c>
      <c r="K9" s="416"/>
      <c r="L9" s="418">
        <f>Indicadores!M3</f>
        <v>0.92724592766166525</v>
      </c>
      <c r="M9" s="419"/>
      <c r="N9" s="402">
        <f>Indicadores!N3</f>
        <v>3850</v>
      </c>
      <c r="O9" s="403"/>
      <c r="P9" s="78"/>
      <c r="Q9" s="78"/>
      <c r="R9" s="409"/>
      <c r="S9" s="410"/>
      <c r="T9" s="410"/>
      <c r="U9" s="411"/>
      <c r="V9" s="495" t="s">
        <v>37</v>
      </c>
      <c r="W9" s="495"/>
      <c r="X9" s="402">
        <f>IF($V$6="Geral",Indicadores!K3,Indicadores!K11)</f>
        <v>0</v>
      </c>
      <c r="Y9" s="416"/>
      <c r="Z9" s="402">
        <f>IF($V$6="Geral",Indicadores!L3,Indicadores!L11)</f>
        <v>0</v>
      </c>
      <c r="AA9" s="416"/>
      <c r="AB9" s="418">
        <f>IF($V$6="Geral",Indicadores!M3,Indicadores!M11)</f>
        <v>0</v>
      </c>
      <c r="AC9" s="419"/>
      <c r="AD9" s="402">
        <f>IF($V$6="Geral",Indicadores!N3,Indicadores!N11)</f>
        <v>0</v>
      </c>
      <c r="AE9" s="403"/>
      <c r="AF9" s="78"/>
      <c r="AG9" s="78"/>
      <c r="AH9" s="520" t="str">
        <f>CONCATENATE(Indicadores!A11,"-Rev.",Indicadores!B11)</f>
        <v>BK-SP54-00200-LC-81-00001_00000-Rev.6</v>
      </c>
      <c r="AI9" s="521"/>
      <c r="AJ9" s="521"/>
      <c r="AK9" s="521"/>
      <c r="AL9" s="521"/>
      <c r="AM9" s="521"/>
      <c r="AN9" s="521"/>
      <c r="AO9" s="484">
        <f>Indicadores!C11</f>
        <v>5510</v>
      </c>
      <c r="AP9" s="484"/>
      <c r="AQ9" s="484">
        <f>Indicadores!D11</f>
        <v>5510</v>
      </c>
      <c r="AR9" s="484"/>
      <c r="AS9" s="485">
        <f>Indicadores!E11</f>
        <v>1</v>
      </c>
      <c r="AT9" s="486"/>
      <c r="AU9" s="80"/>
    </row>
    <row r="10" spans="1:50" ht="15" customHeight="1" x14ac:dyDescent="0.25">
      <c r="A10" s="81"/>
      <c r="B10" s="409"/>
      <c r="C10" s="410"/>
      <c r="D10" s="410"/>
      <c r="E10" s="411"/>
      <c r="F10" s="495"/>
      <c r="G10" s="495"/>
      <c r="H10" s="404"/>
      <c r="I10" s="417"/>
      <c r="J10" s="404"/>
      <c r="K10" s="417"/>
      <c r="L10" s="419"/>
      <c r="M10" s="419"/>
      <c r="N10" s="404"/>
      <c r="O10" s="405"/>
      <c r="P10" s="78"/>
      <c r="Q10" s="78"/>
      <c r="R10" s="409"/>
      <c r="S10" s="410"/>
      <c r="T10" s="410"/>
      <c r="U10" s="411"/>
      <c r="V10" s="495"/>
      <c r="W10" s="495"/>
      <c r="X10" s="404"/>
      <c r="Y10" s="417"/>
      <c r="Z10" s="404"/>
      <c r="AA10" s="417"/>
      <c r="AB10" s="419"/>
      <c r="AC10" s="419"/>
      <c r="AD10" s="404"/>
      <c r="AE10" s="405"/>
      <c r="AF10" s="78"/>
      <c r="AG10" s="78"/>
      <c r="AH10" s="465" t="str">
        <f>CONCATENATE(Indicadores!A12,"-Rev.",Indicadores!B12)</f>
        <v>BK-SP54-00350-LC-80-00006_00000-Rev.6</v>
      </c>
      <c r="AI10" s="466"/>
      <c r="AJ10" s="466"/>
      <c r="AK10" s="466"/>
      <c r="AL10" s="466"/>
      <c r="AM10" s="466"/>
      <c r="AN10" s="466"/>
      <c r="AO10" s="484">
        <f>Indicadores!C12</f>
        <v>6698</v>
      </c>
      <c r="AP10" s="484"/>
      <c r="AQ10" s="484">
        <f>Indicadores!D12</f>
        <v>6698</v>
      </c>
      <c r="AR10" s="484"/>
      <c r="AS10" s="485">
        <f>Indicadores!E12</f>
        <v>1</v>
      </c>
      <c r="AT10" s="486"/>
      <c r="AU10" s="80"/>
      <c r="AX10" s="156"/>
    </row>
    <row r="11" spans="1:50" ht="15" customHeight="1" x14ac:dyDescent="0.25">
      <c r="A11" s="81"/>
      <c r="B11" s="409"/>
      <c r="C11" s="410"/>
      <c r="D11" s="410"/>
      <c r="E11" s="411"/>
      <c r="F11" s="496" t="s">
        <v>38</v>
      </c>
      <c r="G11" s="496"/>
      <c r="H11" s="402">
        <f>Indicadores!K4</f>
        <v>37825</v>
      </c>
      <c r="I11" s="416"/>
      <c r="J11" s="402">
        <f>Indicadores!L4</f>
        <v>34991</v>
      </c>
      <c r="K11" s="416"/>
      <c r="L11" s="418">
        <f>Indicadores!M4</f>
        <v>0.92507600793126243</v>
      </c>
      <c r="M11" s="419"/>
      <c r="N11" s="402">
        <f>Indicadores!N4</f>
        <v>2834</v>
      </c>
      <c r="O11" s="403"/>
      <c r="P11" s="78"/>
      <c r="Q11" s="78"/>
      <c r="R11" s="409"/>
      <c r="S11" s="410"/>
      <c r="T11" s="410"/>
      <c r="U11" s="411"/>
      <c r="V11" s="496" t="s">
        <v>38</v>
      </c>
      <c r="W11" s="496"/>
      <c r="X11" s="402">
        <f>IF($V$6="Geral",Indicadores!K4,Indicadores!K12)</f>
        <v>0</v>
      </c>
      <c r="Y11" s="416"/>
      <c r="Z11" s="402">
        <f>IF($V$6="Geral",Indicadores!L4,Indicadores!L12)</f>
        <v>0</v>
      </c>
      <c r="AA11" s="416"/>
      <c r="AB11" s="418">
        <f>IF($V$6="Geral",Indicadores!M4,Indicadores!M12)</f>
        <v>0</v>
      </c>
      <c r="AC11" s="419"/>
      <c r="AD11" s="402">
        <f>IF($V$6="Geral",Indicadores!N4,Indicadores!N12)</f>
        <v>0</v>
      </c>
      <c r="AE11" s="403"/>
      <c r="AF11" s="78"/>
      <c r="AG11" s="78"/>
      <c r="AH11" s="465" t="str">
        <f>CONCATENATE(Indicadores!A13,"-Rev.",Indicadores!B13)</f>
        <v>BK-SP54-00350-LC-80-00059_00000-Rev.2</v>
      </c>
      <c r="AI11" s="466"/>
      <c r="AJ11" s="466"/>
      <c r="AK11" s="466"/>
      <c r="AL11" s="466"/>
      <c r="AM11" s="466"/>
      <c r="AN11" s="466"/>
      <c r="AO11" s="484">
        <f>Indicadores!C13</f>
        <v>100</v>
      </c>
      <c r="AP11" s="484"/>
      <c r="AQ11" s="484">
        <f>Indicadores!D13</f>
        <v>0</v>
      </c>
      <c r="AR11" s="484"/>
      <c r="AS11" s="485">
        <f>Indicadores!E13</f>
        <v>0</v>
      </c>
      <c r="AT11" s="486"/>
      <c r="AU11" s="80"/>
    </row>
    <row r="12" spans="1:50" ht="15" customHeight="1" x14ac:dyDescent="0.25">
      <c r="A12" s="81"/>
      <c r="B12" s="409"/>
      <c r="C12" s="410"/>
      <c r="D12" s="410"/>
      <c r="E12" s="411"/>
      <c r="F12" s="496"/>
      <c r="G12" s="496"/>
      <c r="H12" s="404"/>
      <c r="I12" s="417"/>
      <c r="J12" s="404"/>
      <c r="K12" s="417"/>
      <c r="L12" s="419"/>
      <c r="M12" s="419"/>
      <c r="N12" s="404"/>
      <c r="O12" s="405"/>
      <c r="P12" s="78"/>
      <c r="Q12" s="78"/>
      <c r="R12" s="409"/>
      <c r="S12" s="410"/>
      <c r="T12" s="410"/>
      <c r="U12" s="411"/>
      <c r="V12" s="496"/>
      <c r="W12" s="496"/>
      <c r="X12" s="404"/>
      <c r="Y12" s="417"/>
      <c r="Z12" s="404"/>
      <c r="AA12" s="417"/>
      <c r="AB12" s="419"/>
      <c r="AC12" s="419"/>
      <c r="AD12" s="404"/>
      <c r="AE12" s="405"/>
      <c r="AF12" s="78"/>
      <c r="AG12" s="78"/>
      <c r="AH12" s="465" t="str">
        <f>CONCATENATE(Indicadores!A14,"-Rev.",Indicadores!B14)</f>
        <v>BK-SP54-01200-LC-80-00004_00000-Rev.10</v>
      </c>
      <c r="AI12" s="466"/>
      <c r="AJ12" s="466"/>
      <c r="AK12" s="466"/>
      <c r="AL12" s="466"/>
      <c r="AM12" s="466"/>
      <c r="AN12" s="466"/>
      <c r="AO12" s="484">
        <f>Indicadores!C14</f>
        <v>5996</v>
      </c>
      <c r="AP12" s="484"/>
      <c r="AQ12" s="484">
        <f>Indicadores!D14</f>
        <v>5996</v>
      </c>
      <c r="AR12" s="484"/>
      <c r="AS12" s="485">
        <f>Indicadores!E14</f>
        <v>1</v>
      </c>
      <c r="AT12" s="486"/>
      <c r="AU12" s="80"/>
    </row>
    <row r="13" spans="1:50" ht="15" customHeight="1" x14ac:dyDescent="0.25">
      <c r="A13" s="81"/>
      <c r="B13" s="409"/>
      <c r="C13" s="410"/>
      <c r="D13" s="410"/>
      <c r="E13" s="411"/>
      <c r="F13" s="415" t="s">
        <v>39</v>
      </c>
      <c r="G13" s="415"/>
      <c r="H13" s="402">
        <f>Indicadores!K5</f>
        <v>12208</v>
      </c>
      <c r="I13" s="416"/>
      <c r="J13" s="402">
        <f>Indicadores!L5</f>
        <v>9202.5</v>
      </c>
      <c r="K13" s="416"/>
      <c r="L13" s="418">
        <f>Indicadores!M5</f>
        <v>0.75380897771952815</v>
      </c>
      <c r="M13" s="419"/>
      <c r="N13" s="402">
        <f>Indicadores!N5</f>
        <v>3005.5</v>
      </c>
      <c r="O13" s="403"/>
      <c r="P13" s="78"/>
      <c r="Q13" s="78"/>
      <c r="R13" s="409"/>
      <c r="S13" s="410"/>
      <c r="T13" s="410"/>
      <c r="U13" s="411"/>
      <c r="V13" s="415" t="s">
        <v>39</v>
      </c>
      <c r="W13" s="415"/>
      <c r="X13" s="402">
        <f>IF($V$6="Geral",Indicadores!K5,Indicadores!K13)</f>
        <v>12208</v>
      </c>
      <c r="Y13" s="416"/>
      <c r="Z13" s="402">
        <f>IF($V$6="Geral",Indicadores!L5,Indicadores!L13)</f>
        <v>9202.5</v>
      </c>
      <c r="AA13" s="416"/>
      <c r="AB13" s="418">
        <f>IF($V$6="Geral",Indicadores!M5,Indicadores!M13)</f>
        <v>0.75380897771952815</v>
      </c>
      <c r="AC13" s="419"/>
      <c r="AD13" s="402">
        <f>IF($V$6="Geral",Indicadores!N5,Indicadores!N13)</f>
        <v>3005.5</v>
      </c>
      <c r="AE13" s="403"/>
      <c r="AF13" s="78"/>
      <c r="AG13" s="78"/>
      <c r="AH13" s="465" t="str">
        <f>CONCATENATE(Indicadores!A15,"-Rev.",Indicadores!B15)</f>
        <v>BK-SP54-0900A-LC-74-00001_00000-Rev.5</v>
      </c>
      <c r="AI13" s="466"/>
      <c r="AJ13" s="466"/>
      <c r="AK13" s="466"/>
      <c r="AL13" s="466"/>
      <c r="AM13" s="466"/>
      <c r="AN13" s="466"/>
      <c r="AO13" s="484">
        <f>Indicadores!C15</f>
        <v>58185</v>
      </c>
      <c r="AP13" s="484"/>
      <c r="AQ13" s="484">
        <f>Indicadores!D15</f>
        <v>50577</v>
      </c>
      <c r="AR13" s="484"/>
      <c r="AS13" s="485">
        <f>Indicadores!E15</f>
        <v>0.86924465068316581</v>
      </c>
      <c r="AT13" s="486"/>
      <c r="AU13" s="80"/>
    </row>
    <row r="14" spans="1:50" ht="15" customHeight="1" x14ac:dyDescent="0.25">
      <c r="A14" s="81"/>
      <c r="B14" s="409"/>
      <c r="C14" s="410"/>
      <c r="D14" s="410"/>
      <c r="E14" s="411"/>
      <c r="F14" s="415"/>
      <c r="G14" s="415"/>
      <c r="H14" s="404"/>
      <c r="I14" s="417"/>
      <c r="J14" s="404"/>
      <c r="K14" s="417"/>
      <c r="L14" s="419"/>
      <c r="M14" s="419"/>
      <c r="N14" s="404"/>
      <c r="O14" s="405"/>
      <c r="P14" s="78"/>
      <c r="Q14" s="78"/>
      <c r="R14" s="409"/>
      <c r="S14" s="410"/>
      <c r="T14" s="410"/>
      <c r="U14" s="411"/>
      <c r="V14" s="415"/>
      <c r="W14" s="415"/>
      <c r="X14" s="404"/>
      <c r="Y14" s="417"/>
      <c r="Z14" s="404"/>
      <c r="AA14" s="417"/>
      <c r="AB14" s="419"/>
      <c r="AC14" s="419"/>
      <c r="AD14" s="404"/>
      <c r="AE14" s="405"/>
      <c r="AF14" s="78"/>
      <c r="AG14" s="78"/>
      <c r="AH14" s="465" t="str">
        <f>CONCATENATE(Indicadores!A16,"-Rev.",Indicadores!B16)</f>
        <v>BK-SP54-0900A-LC-80-00168_00000-Rev.7</v>
      </c>
      <c r="AI14" s="466"/>
      <c r="AJ14" s="466"/>
      <c r="AK14" s="466"/>
      <c r="AL14" s="466"/>
      <c r="AM14" s="466"/>
      <c r="AN14" s="466"/>
      <c r="AO14" s="484">
        <f>Indicadores!C16</f>
        <v>20</v>
      </c>
      <c r="AP14" s="484"/>
      <c r="AQ14" s="484">
        <f>Indicadores!D16</f>
        <v>0</v>
      </c>
      <c r="AR14" s="484"/>
      <c r="AS14" s="485">
        <f>Indicadores!E16</f>
        <v>0</v>
      </c>
      <c r="AT14" s="486"/>
      <c r="AU14" s="80"/>
    </row>
    <row r="15" spans="1:50" ht="15" customHeight="1" x14ac:dyDescent="0.25">
      <c r="A15" s="81"/>
      <c r="B15" s="409"/>
      <c r="C15" s="410"/>
      <c r="D15" s="410"/>
      <c r="E15" s="411"/>
      <c r="F15" s="420" t="s">
        <v>40</v>
      </c>
      <c r="G15" s="420"/>
      <c r="H15" s="402">
        <f>Indicadores!K6</f>
        <v>776.5</v>
      </c>
      <c r="I15" s="416"/>
      <c r="J15" s="402">
        <f>Indicadores!L6</f>
        <v>499</v>
      </c>
      <c r="K15" s="416"/>
      <c r="L15" s="418">
        <f>Indicadores!M6</f>
        <v>0.64262717321313589</v>
      </c>
      <c r="M15" s="419"/>
      <c r="N15" s="402">
        <f>Indicadores!N6</f>
        <v>277.5</v>
      </c>
      <c r="O15" s="403"/>
      <c r="P15" s="78"/>
      <c r="Q15" s="78"/>
      <c r="R15" s="409"/>
      <c r="S15" s="410"/>
      <c r="T15" s="410"/>
      <c r="U15" s="411"/>
      <c r="V15" s="420" t="s">
        <v>40</v>
      </c>
      <c r="W15" s="420"/>
      <c r="X15" s="402">
        <f>IF($V$6="Geral",Indicadores!K6,Indicadores!K14)</f>
        <v>0</v>
      </c>
      <c r="Y15" s="416"/>
      <c r="Z15" s="402">
        <f>IF($V$6="Geral",Indicadores!L6,Indicadores!L14)</f>
        <v>0</v>
      </c>
      <c r="AA15" s="416"/>
      <c r="AB15" s="418">
        <f>IF($V$6="Geral",Indicadores!M6,Indicadores!M14)</f>
        <v>0</v>
      </c>
      <c r="AC15" s="419"/>
      <c r="AD15" s="402">
        <f>IF($V$6="Geral",Indicadores!N6,Indicadores!N14)</f>
        <v>0</v>
      </c>
      <c r="AE15" s="403"/>
      <c r="AF15" s="78"/>
      <c r="AG15" s="78"/>
      <c r="AH15" s="465" t="str">
        <f>CONCATENATE(Indicadores!A17,"-Rev.",Indicadores!B17)</f>
        <v>BK-SP54-0900A-LC-80-00177_00000-Rev.4</v>
      </c>
      <c r="AI15" s="466"/>
      <c r="AJ15" s="466"/>
      <c r="AK15" s="466"/>
      <c r="AL15" s="466"/>
      <c r="AM15" s="466"/>
      <c r="AN15" s="466"/>
      <c r="AO15" s="484">
        <f>Indicadores!C17</f>
        <v>20</v>
      </c>
      <c r="AP15" s="484"/>
      <c r="AQ15" s="484">
        <f>Indicadores!D17</f>
        <v>0</v>
      </c>
      <c r="AR15" s="484"/>
      <c r="AS15" s="485">
        <f>Indicadores!E17</f>
        <v>0</v>
      </c>
      <c r="AT15" s="486"/>
      <c r="AU15" s="80"/>
    </row>
    <row r="16" spans="1:50" ht="15" customHeight="1" x14ac:dyDescent="0.25">
      <c r="A16" s="81"/>
      <c r="B16" s="409"/>
      <c r="C16" s="410"/>
      <c r="D16" s="410"/>
      <c r="E16" s="411"/>
      <c r="F16" s="420"/>
      <c r="G16" s="420"/>
      <c r="H16" s="404"/>
      <c r="I16" s="417"/>
      <c r="J16" s="404"/>
      <c r="K16" s="417"/>
      <c r="L16" s="419"/>
      <c r="M16" s="419"/>
      <c r="N16" s="404"/>
      <c r="O16" s="405"/>
      <c r="R16" s="409"/>
      <c r="S16" s="410"/>
      <c r="T16" s="410"/>
      <c r="U16" s="411"/>
      <c r="V16" s="420"/>
      <c r="W16" s="420"/>
      <c r="X16" s="404"/>
      <c r="Y16" s="417"/>
      <c r="Z16" s="404"/>
      <c r="AA16" s="417"/>
      <c r="AB16" s="419"/>
      <c r="AC16" s="419"/>
      <c r="AD16" s="404"/>
      <c r="AE16" s="405"/>
      <c r="AF16" s="78"/>
      <c r="AG16" s="78"/>
      <c r="AH16" s="465" t="str">
        <f>CONCATENATE(Indicadores!A18,"-Rev.",Indicadores!B18)</f>
        <v>BK-SP54-0900A-LC-80-00178_00000-Rev.3</v>
      </c>
      <c r="AI16" s="466"/>
      <c r="AJ16" s="466"/>
      <c r="AK16" s="466"/>
      <c r="AL16" s="466"/>
      <c r="AM16" s="466"/>
      <c r="AN16" s="466"/>
      <c r="AO16" s="484">
        <f>Indicadores!C18</f>
        <v>25</v>
      </c>
      <c r="AP16" s="484"/>
      <c r="AQ16" s="484">
        <f>Indicadores!D18</f>
        <v>0</v>
      </c>
      <c r="AR16" s="484"/>
      <c r="AS16" s="485">
        <f>Indicadores!E18</f>
        <v>0</v>
      </c>
      <c r="AT16" s="486"/>
      <c r="AU16" s="80"/>
    </row>
    <row r="17" spans="1:47" ht="15" customHeight="1" x14ac:dyDescent="0.25">
      <c r="A17" s="81"/>
      <c r="B17" s="409"/>
      <c r="C17" s="410"/>
      <c r="D17" s="410"/>
      <c r="E17" s="411"/>
      <c r="F17" s="419" t="s">
        <v>28</v>
      </c>
      <c r="G17" s="419"/>
      <c r="H17" s="463">
        <f>Indicadores!K7</f>
        <v>103727.5</v>
      </c>
      <c r="I17" s="463"/>
      <c r="J17" s="402">
        <f>Indicadores!L7</f>
        <v>93760.5</v>
      </c>
      <c r="K17" s="416"/>
      <c r="L17" s="418">
        <f>Indicadores!M7</f>
        <v>0.90391169169217422</v>
      </c>
      <c r="M17" s="419"/>
      <c r="N17" s="402">
        <f>Indicadores!N7</f>
        <v>9967</v>
      </c>
      <c r="O17" s="403"/>
      <c r="R17" s="409"/>
      <c r="S17" s="410"/>
      <c r="T17" s="410"/>
      <c r="U17" s="411"/>
      <c r="V17" s="419" t="s">
        <v>28</v>
      </c>
      <c r="W17" s="419"/>
      <c r="X17" s="402">
        <f>IF(V6="Geral",Indicadores!K7,Indicadores!K15)</f>
        <v>12208</v>
      </c>
      <c r="Y17" s="416"/>
      <c r="Z17" s="402">
        <f>IF($V$6="Geral",Indicadores!L7,Indicadores!L15)</f>
        <v>9202.5</v>
      </c>
      <c r="AA17" s="416"/>
      <c r="AB17" s="418">
        <f>IF($V$6="Geral",Indicadores!M7,Indicadores!M15)</f>
        <v>0.75380897771952815</v>
      </c>
      <c r="AC17" s="419"/>
      <c r="AD17" s="402">
        <f>IF($V$6="Geral",Indicadores!N7,Indicadores!N15)</f>
        <v>3005.5</v>
      </c>
      <c r="AE17" s="403"/>
      <c r="AF17" s="78"/>
      <c r="AG17" s="78"/>
      <c r="AH17" s="465" t="str">
        <f>CONCATENATE(Indicadores!A19,"-Rev.",Indicadores!B19)</f>
        <v>BK-SP54-0900A-LC-80-00179_00000-Rev.4</v>
      </c>
      <c r="AI17" s="466"/>
      <c r="AJ17" s="466"/>
      <c r="AK17" s="466"/>
      <c r="AL17" s="466"/>
      <c r="AM17" s="466"/>
      <c r="AN17" s="466"/>
      <c r="AO17" s="484">
        <f>Indicadores!C19</f>
        <v>22</v>
      </c>
      <c r="AP17" s="484"/>
      <c r="AQ17" s="484">
        <f>Indicadores!D19</f>
        <v>0</v>
      </c>
      <c r="AR17" s="484"/>
      <c r="AS17" s="485">
        <f>Indicadores!E19</f>
        <v>0</v>
      </c>
      <c r="AT17" s="486"/>
      <c r="AU17" s="80"/>
    </row>
    <row r="18" spans="1:47" ht="15" customHeight="1" thickBot="1" x14ac:dyDescent="0.3">
      <c r="A18" s="81"/>
      <c r="B18" s="412"/>
      <c r="C18" s="413"/>
      <c r="D18" s="413"/>
      <c r="E18" s="414"/>
      <c r="F18" s="438"/>
      <c r="G18" s="438"/>
      <c r="H18" s="464"/>
      <c r="I18" s="464"/>
      <c r="J18" s="439"/>
      <c r="K18" s="445"/>
      <c r="L18" s="438"/>
      <c r="M18" s="438"/>
      <c r="N18" s="439"/>
      <c r="O18" s="440"/>
      <c r="R18" s="412"/>
      <c r="S18" s="413"/>
      <c r="T18" s="413"/>
      <c r="U18" s="414"/>
      <c r="V18" s="438"/>
      <c r="W18" s="438"/>
      <c r="X18" s="439"/>
      <c r="Y18" s="445"/>
      <c r="Z18" s="439"/>
      <c r="AA18" s="445"/>
      <c r="AB18" s="438"/>
      <c r="AC18" s="438"/>
      <c r="AD18" s="439"/>
      <c r="AE18" s="440"/>
      <c r="AF18" s="78"/>
      <c r="AG18" s="78"/>
      <c r="AH18" s="465" t="str">
        <f>CONCATENATE(Indicadores!A20,"-Rev.",Indicadores!B20)</f>
        <v>BK-SP54-0900A-LC-80-00180_00000-Rev.4</v>
      </c>
      <c r="AI18" s="466"/>
      <c r="AJ18" s="466"/>
      <c r="AK18" s="466"/>
      <c r="AL18" s="466"/>
      <c r="AM18" s="466"/>
      <c r="AN18" s="466"/>
      <c r="AO18" s="484">
        <f>Indicadores!C20</f>
        <v>22</v>
      </c>
      <c r="AP18" s="484"/>
      <c r="AQ18" s="484">
        <f>Indicadores!D20</f>
        <v>0</v>
      </c>
      <c r="AR18" s="484"/>
      <c r="AS18" s="485">
        <f>Indicadores!E20</f>
        <v>0</v>
      </c>
      <c r="AT18" s="486"/>
      <c r="AU18" s="80"/>
    </row>
    <row r="19" spans="1:47" ht="15" customHeight="1" thickBot="1" x14ac:dyDescent="0.3">
      <c r="A19" s="81"/>
      <c r="AF19" s="78"/>
      <c r="AG19" s="78"/>
      <c r="AH19" s="465" t="str">
        <f>CONCATENATE(Indicadores!A21,"-Rev.",Indicadores!B21)</f>
        <v>BK-SP54-0900A-LC-80-00185_00000-Rev.2</v>
      </c>
      <c r="AI19" s="466"/>
      <c r="AJ19" s="466"/>
      <c r="AK19" s="466"/>
      <c r="AL19" s="466"/>
      <c r="AM19" s="466"/>
      <c r="AN19" s="466"/>
      <c r="AO19" s="484">
        <f>Indicadores!C21</f>
        <v>470</v>
      </c>
      <c r="AP19" s="484"/>
      <c r="AQ19" s="484">
        <f>Indicadores!D21</f>
        <v>470</v>
      </c>
      <c r="AR19" s="484"/>
      <c r="AS19" s="485">
        <f>Indicadores!E21</f>
        <v>1</v>
      </c>
      <c r="AT19" s="486"/>
      <c r="AU19" s="80"/>
    </row>
    <row r="20" spans="1:47" ht="15" customHeight="1" x14ac:dyDescent="0.25">
      <c r="A20" s="81"/>
      <c r="B20" s="524" t="s">
        <v>41</v>
      </c>
      <c r="C20" s="525"/>
      <c r="D20" s="525"/>
      <c r="E20" s="525"/>
      <c r="F20" s="525"/>
      <c r="G20" s="525"/>
      <c r="H20" s="525"/>
      <c r="I20" s="525"/>
      <c r="J20" s="525"/>
      <c r="K20" s="525"/>
      <c r="L20" s="525"/>
      <c r="M20" s="525"/>
      <c r="N20" s="525"/>
      <c r="O20" s="526"/>
      <c r="P20" s="78"/>
      <c r="Q20" s="78"/>
      <c r="R20" s="530" t="str">
        <f>"Testes e Ligações - "&amp;V6</f>
        <v>Testes e Ligações - FIBRA</v>
      </c>
      <c r="S20" s="531"/>
      <c r="T20" s="531"/>
      <c r="U20" s="531"/>
      <c r="V20" s="531"/>
      <c r="W20" s="531"/>
      <c r="X20" s="531"/>
      <c r="Y20" s="531"/>
      <c r="Z20" s="531"/>
      <c r="AA20" s="531"/>
      <c r="AB20" s="531"/>
      <c r="AC20" s="531"/>
      <c r="AD20" s="531"/>
      <c r="AE20" s="532"/>
      <c r="AF20" s="78"/>
      <c r="AG20" s="78"/>
      <c r="AH20" s="465" t="str">
        <f>CONCATENATE(Indicadores!A22,"-Rev.",Indicadores!B22)</f>
        <v>BK-SP54-0900A-LC-80-00186_00000-Rev.3</v>
      </c>
      <c r="AI20" s="466"/>
      <c r="AJ20" s="466"/>
      <c r="AK20" s="466"/>
      <c r="AL20" s="466"/>
      <c r="AM20" s="466"/>
      <c r="AN20" s="466"/>
      <c r="AO20" s="484">
        <f>Indicadores!C22</f>
        <v>1607</v>
      </c>
      <c r="AP20" s="484"/>
      <c r="AQ20" s="484">
        <f>Indicadores!D22</f>
        <v>1502</v>
      </c>
      <c r="AR20" s="484"/>
      <c r="AS20" s="485">
        <f>Indicadores!E22</f>
        <v>0.93466085874299942</v>
      </c>
      <c r="AT20" s="486"/>
      <c r="AU20" s="80"/>
    </row>
    <row r="21" spans="1:47" ht="15" customHeight="1" thickBot="1" x14ac:dyDescent="0.3">
      <c r="A21" s="81"/>
      <c r="B21" s="527"/>
      <c r="C21" s="528"/>
      <c r="D21" s="528"/>
      <c r="E21" s="528"/>
      <c r="F21" s="528"/>
      <c r="G21" s="528"/>
      <c r="H21" s="528"/>
      <c r="I21" s="528"/>
      <c r="J21" s="528"/>
      <c r="K21" s="528"/>
      <c r="L21" s="528"/>
      <c r="M21" s="528"/>
      <c r="N21" s="528"/>
      <c r="O21" s="529"/>
      <c r="P21" s="78"/>
      <c r="Q21" s="78"/>
      <c r="R21" s="533"/>
      <c r="S21" s="534"/>
      <c r="T21" s="534"/>
      <c r="U21" s="534"/>
      <c r="V21" s="534"/>
      <c r="W21" s="534"/>
      <c r="X21" s="534"/>
      <c r="Y21" s="534"/>
      <c r="Z21" s="534"/>
      <c r="AA21" s="534"/>
      <c r="AB21" s="534"/>
      <c r="AC21" s="534"/>
      <c r="AD21" s="534"/>
      <c r="AE21" s="535"/>
      <c r="AF21" s="78"/>
      <c r="AG21" s="78"/>
      <c r="AH21" s="465" t="str">
        <f>CONCATENATE(Indicadores!A23,"-Rev.",Indicadores!B23)</f>
        <v>BK-SP54-0900A-LC-80-00187_00000-Rev.2</v>
      </c>
      <c r="AI21" s="466"/>
      <c r="AJ21" s="466"/>
      <c r="AK21" s="466"/>
      <c r="AL21" s="466"/>
      <c r="AM21" s="466"/>
      <c r="AN21" s="466"/>
      <c r="AO21" s="484">
        <f>Indicadores!C23</f>
        <v>1320</v>
      </c>
      <c r="AP21" s="484"/>
      <c r="AQ21" s="484">
        <f>Indicadores!D23</f>
        <v>1120</v>
      </c>
      <c r="AR21" s="484"/>
      <c r="AS21" s="485">
        <f>Indicadores!E23</f>
        <v>0.84848484848484851</v>
      </c>
      <c r="AT21" s="486"/>
      <c r="AU21" s="80"/>
    </row>
    <row r="22" spans="1:47" ht="15" customHeight="1" x14ac:dyDescent="0.25">
      <c r="A22" s="81"/>
      <c r="B22" s="513">
        <f>L27</f>
        <v>0.88364864864864867</v>
      </c>
      <c r="C22" s="514"/>
      <c r="D22" s="514"/>
      <c r="E22" s="514"/>
      <c r="F22" s="421" t="s">
        <v>4</v>
      </c>
      <c r="G22" s="421"/>
      <c r="H22" s="460" t="s">
        <v>34</v>
      </c>
      <c r="I22" s="460"/>
      <c r="J22" s="460" t="s">
        <v>35</v>
      </c>
      <c r="K22" s="460"/>
      <c r="L22" s="421" t="s">
        <v>33</v>
      </c>
      <c r="M22" s="421"/>
      <c r="N22" s="421" t="s">
        <v>36</v>
      </c>
      <c r="O22" s="450"/>
      <c r="P22" s="78"/>
      <c r="Q22" s="78"/>
      <c r="R22" s="536" t="s">
        <v>42</v>
      </c>
      <c r="S22" s="537"/>
      <c r="T22" s="537"/>
      <c r="U22" s="538"/>
      <c r="V22" s="522" t="s">
        <v>4</v>
      </c>
      <c r="W22" s="522"/>
      <c r="X22" s="460" t="s">
        <v>43</v>
      </c>
      <c r="Y22" s="460"/>
      <c r="Z22" s="460" t="s">
        <v>44</v>
      </c>
      <c r="AA22" s="460"/>
      <c r="AB22" s="522" t="s">
        <v>33</v>
      </c>
      <c r="AC22" s="522"/>
      <c r="AD22" s="522" t="s">
        <v>36</v>
      </c>
      <c r="AE22" s="523"/>
      <c r="AF22" s="78"/>
      <c r="AG22" s="78"/>
      <c r="AH22" s="465" t="str">
        <f>CONCATENATE(Indicadores!A24,"-Rev.",Indicadores!B24)</f>
        <v>BK-SP54-0900A-LC-80-00188_00000-Rev.2</v>
      </c>
      <c r="AI22" s="466"/>
      <c r="AJ22" s="466"/>
      <c r="AK22" s="466"/>
      <c r="AL22" s="466"/>
      <c r="AM22" s="466"/>
      <c r="AN22" s="466"/>
      <c r="AO22" s="484">
        <f>Indicadores!C24</f>
        <v>3248</v>
      </c>
      <c r="AP22" s="484"/>
      <c r="AQ22" s="484">
        <f>Indicadores!D24</f>
        <v>2958</v>
      </c>
      <c r="AR22" s="484"/>
      <c r="AS22" s="485">
        <f>Indicadores!E24</f>
        <v>0.9107142857142857</v>
      </c>
      <c r="AT22" s="486"/>
      <c r="AU22" s="80"/>
    </row>
    <row r="23" spans="1:47" ht="15" customHeight="1" x14ac:dyDescent="0.25">
      <c r="A23" s="81"/>
      <c r="B23" s="515"/>
      <c r="C23" s="516"/>
      <c r="D23" s="516"/>
      <c r="E23" s="516"/>
      <c r="F23" s="497" t="s">
        <v>45</v>
      </c>
      <c r="G23" s="497"/>
      <c r="H23" s="402">
        <f>Indicadores!K18</f>
        <v>5700</v>
      </c>
      <c r="I23" s="416"/>
      <c r="J23" s="402">
        <f>Indicadores!L18</f>
        <v>5239</v>
      </c>
      <c r="K23" s="416"/>
      <c r="L23" s="418">
        <f>Indicadores!M18</f>
        <v>0.50755667506297231</v>
      </c>
      <c r="M23" s="419"/>
      <c r="N23" s="402">
        <f>Indicadores!N18</f>
        <v>461</v>
      </c>
      <c r="O23" s="403"/>
      <c r="P23" s="78"/>
      <c r="Q23" s="78"/>
      <c r="R23" s="65"/>
      <c r="S23" s="66"/>
      <c r="T23" s="66"/>
      <c r="U23" s="67"/>
      <c r="V23" s="446" t="s">
        <v>46</v>
      </c>
      <c r="W23" s="447"/>
      <c r="X23" s="443">
        <f>Indicadores!K23</f>
        <v>7</v>
      </c>
      <c r="Y23" s="461"/>
      <c r="Z23" s="509">
        <f>Indicadores!L23</f>
        <v>0</v>
      </c>
      <c r="AA23" s="510"/>
      <c r="AB23" s="501">
        <f>Indicadores!M23</f>
        <v>0</v>
      </c>
      <c r="AC23" s="502"/>
      <c r="AD23" s="443">
        <f>Indicadores!N23</f>
        <v>7</v>
      </c>
      <c r="AE23" s="444"/>
      <c r="AF23" s="78"/>
      <c r="AG23" s="78"/>
      <c r="AH23" s="465" t="str">
        <f>CONCATENATE(Indicadores!A25,"-Rev.",Indicadores!B25)</f>
        <v>BK-SP54-0900A-LC-90-00004_00000-Rev.2</v>
      </c>
      <c r="AI23" s="466"/>
      <c r="AJ23" s="466"/>
      <c r="AK23" s="466"/>
      <c r="AL23" s="466"/>
      <c r="AM23" s="466"/>
      <c r="AN23" s="466"/>
      <c r="AO23" s="484">
        <f>Indicadores!C25</f>
        <v>2959.5</v>
      </c>
      <c r="AP23" s="484"/>
      <c r="AQ23" s="484">
        <f>Indicadores!D25</f>
        <v>1669.5</v>
      </c>
      <c r="AR23" s="484"/>
      <c r="AS23" s="485">
        <f>Indicadores!E25</f>
        <v>0.56411556006082109</v>
      </c>
      <c r="AT23" s="486"/>
      <c r="AU23" s="80"/>
    </row>
    <row r="24" spans="1:47" ht="15" customHeight="1" x14ac:dyDescent="0.25">
      <c r="A24" s="81"/>
      <c r="B24" s="515"/>
      <c r="C24" s="516"/>
      <c r="D24" s="516"/>
      <c r="E24" s="516"/>
      <c r="F24" s="497"/>
      <c r="G24" s="497"/>
      <c r="H24" s="404"/>
      <c r="I24" s="417"/>
      <c r="J24" s="404"/>
      <c r="K24" s="417"/>
      <c r="L24" s="419"/>
      <c r="M24" s="419"/>
      <c r="N24" s="404"/>
      <c r="O24" s="405"/>
      <c r="P24" s="78"/>
      <c r="Q24" s="78"/>
      <c r="R24" s="65"/>
      <c r="S24" s="66"/>
      <c r="T24" s="66"/>
      <c r="U24" s="67"/>
      <c r="V24" s="446" t="s">
        <v>17</v>
      </c>
      <c r="W24" s="447"/>
      <c r="X24" s="443">
        <f>Indicadores!K24</f>
        <v>7</v>
      </c>
      <c r="Y24" s="461"/>
      <c r="Z24" s="509">
        <f>Indicadores!L24</f>
        <v>0</v>
      </c>
      <c r="AA24" s="510"/>
      <c r="AB24" s="501">
        <f>Indicadores!M24</f>
        <v>0</v>
      </c>
      <c r="AC24" s="502"/>
      <c r="AD24" s="443">
        <f>Indicadores!N24</f>
        <v>7</v>
      </c>
      <c r="AE24" s="444"/>
      <c r="AF24" s="78"/>
      <c r="AG24" s="78"/>
      <c r="AH24" s="465" t="str">
        <f>CONCATENATE(Indicadores!A26,"-Rev.",Indicadores!B26)</f>
        <v>BK-SP54-0900B-LC-74-00004_00000-Rev.2</v>
      </c>
      <c r="AI24" s="466"/>
      <c r="AJ24" s="466"/>
      <c r="AK24" s="466"/>
      <c r="AL24" s="466"/>
      <c r="AM24" s="466"/>
      <c r="AN24" s="466"/>
      <c r="AO24" s="484">
        <f>Indicadores!C26</f>
        <v>12895</v>
      </c>
      <c r="AP24" s="484"/>
      <c r="AQ24" s="484">
        <f>Indicadores!D26</f>
        <v>12895</v>
      </c>
      <c r="AR24" s="484"/>
      <c r="AS24" s="485">
        <f>Indicadores!E26</f>
        <v>1</v>
      </c>
      <c r="AT24" s="486"/>
      <c r="AU24" s="80"/>
    </row>
    <row r="25" spans="1:47" ht="15" customHeight="1" x14ac:dyDescent="0.25">
      <c r="A25" s="81"/>
      <c r="B25" s="515"/>
      <c r="C25" s="516"/>
      <c r="D25" s="516"/>
      <c r="E25" s="516"/>
      <c r="F25" s="497" t="s">
        <v>47</v>
      </c>
      <c r="G25" s="497"/>
      <c r="H25" s="402">
        <f>Indicadores!K19</f>
        <v>1700</v>
      </c>
      <c r="I25" s="416"/>
      <c r="J25" s="402">
        <f>Indicadores!L19</f>
        <v>1300</v>
      </c>
      <c r="K25" s="416"/>
      <c r="L25" s="418">
        <f>Indicadores!M19</f>
        <v>0.76470588235294112</v>
      </c>
      <c r="M25" s="419"/>
      <c r="N25" s="402">
        <f>Indicadores!N19</f>
        <v>400</v>
      </c>
      <c r="O25" s="403"/>
      <c r="P25" s="78"/>
      <c r="Q25" s="78"/>
      <c r="R25" s="65"/>
      <c r="S25" s="66"/>
      <c r="T25" s="66"/>
      <c r="U25" s="67"/>
      <c r="V25" s="448" t="s">
        <v>18</v>
      </c>
      <c r="W25" s="449"/>
      <c r="X25" s="443">
        <f>Indicadores!K25</f>
        <v>0</v>
      </c>
      <c r="Y25" s="461"/>
      <c r="Z25" s="509">
        <f>Indicadores!L25</f>
        <v>0</v>
      </c>
      <c r="AA25" s="510"/>
      <c r="AB25" s="501">
        <f>Indicadores!M25</f>
        <v>0</v>
      </c>
      <c r="AC25" s="502"/>
      <c r="AD25" s="443">
        <f>Indicadores!N25</f>
        <v>0</v>
      </c>
      <c r="AE25" s="444"/>
      <c r="AF25" s="78"/>
      <c r="AG25" s="79"/>
      <c r="AH25" s="465" t="str">
        <f>CONCATENATE(Indicadores!A27,"-Rev.",Indicadores!B27)</f>
        <v>BK-SP54-0900B-LC-80-00155_00000-Rev.2</v>
      </c>
      <c r="AI25" s="466"/>
      <c r="AJ25" s="466"/>
      <c r="AK25" s="466"/>
      <c r="AL25" s="466"/>
      <c r="AM25" s="466"/>
      <c r="AN25" s="466"/>
      <c r="AO25" s="484">
        <f>Indicadores!C27</f>
        <v>1250</v>
      </c>
      <c r="AP25" s="484"/>
      <c r="AQ25" s="484">
        <f>Indicadores!D27</f>
        <v>1000</v>
      </c>
      <c r="AR25" s="484"/>
      <c r="AS25" s="485">
        <f>Indicadores!E27</f>
        <v>0.8</v>
      </c>
      <c r="AT25" s="486"/>
      <c r="AU25" s="80"/>
    </row>
    <row r="26" spans="1:47" ht="15" customHeight="1" x14ac:dyDescent="0.25">
      <c r="A26" s="81"/>
      <c r="B26" s="515"/>
      <c r="C26" s="516"/>
      <c r="D26" s="516"/>
      <c r="E26" s="516"/>
      <c r="F26" s="497"/>
      <c r="G26" s="497"/>
      <c r="H26" s="404"/>
      <c r="I26" s="417"/>
      <c r="J26" s="404"/>
      <c r="K26" s="417"/>
      <c r="L26" s="419"/>
      <c r="M26" s="419"/>
      <c r="N26" s="404"/>
      <c r="O26" s="405"/>
      <c r="P26" s="78"/>
      <c r="Q26" s="78"/>
      <c r="R26" s="65"/>
      <c r="S26" s="66"/>
      <c r="T26" s="66"/>
      <c r="U26" s="67"/>
      <c r="V26" s="448" t="s">
        <v>19</v>
      </c>
      <c r="W26" s="449"/>
      <c r="X26" s="443">
        <f>Indicadores!K26</f>
        <v>0</v>
      </c>
      <c r="Y26" s="461"/>
      <c r="Z26" s="509">
        <f>Indicadores!L26</f>
        <v>0</v>
      </c>
      <c r="AA26" s="510"/>
      <c r="AB26" s="501">
        <f>Indicadores!M26</f>
        <v>0</v>
      </c>
      <c r="AC26" s="502"/>
      <c r="AD26" s="443">
        <f>Indicadores!N26</f>
        <v>0</v>
      </c>
      <c r="AE26" s="444"/>
      <c r="AF26" s="78"/>
      <c r="AG26" s="79"/>
      <c r="AH26" s="465" t="str">
        <f>CONCATENATE(Indicadores!A28,"-Rev.",Indicadores!B28)</f>
        <v>BK-SP54-0900B-LC-90-00010_00000-Rev.1</v>
      </c>
      <c r="AI26" s="466"/>
      <c r="AJ26" s="466"/>
      <c r="AK26" s="466"/>
      <c r="AL26" s="466"/>
      <c r="AM26" s="466"/>
      <c r="AN26" s="466"/>
      <c r="AO26" s="484">
        <f>Indicadores!C28</f>
        <v>879</v>
      </c>
      <c r="AP26" s="484"/>
      <c r="AQ26" s="484">
        <f>Indicadores!D28</f>
        <v>864</v>
      </c>
      <c r="AR26" s="484"/>
      <c r="AS26" s="485">
        <f>Indicadores!E28</f>
        <v>0.98293515358361772</v>
      </c>
      <c r="AT26" s="486"/>
      <c r="AU26" s="80"/>
    </row>
    <row r="27" spans="1:47" ht="15" customHeight="1" thickBot="1" x14ac:dyDescent="0.3">
      <c r="A27" s="81"/>
      <c r="B27" s="515"/>
      <c r="C27" s="516"/>
      <c r="D27" s="516"/>
      <c r="E27" s="516"/>
      <c r="F27" s="419" t="s">
        <v>28</v>
      </c>
      <c r="G27" s="419"/>
      <c r="H27" s="402">
        <f>Indicadores!K20</f>
        <v>7400</v>
      </c>
      <c r="I27" s="416"/>
      <c r="J27" s="402">
        <f>Indicadores!L20</f>
        <v>6539</v>
      </c>
      <c r="K27" s="416"/>
      <c r="L27" s="418">
        <f>Indicadores!M20</f>
        <v>0.88364864864864867</v>
      </c>
      <c r="M27" s="419"/>
      <c r="N27" s="402">
        <f>Indicadores!N20</f>
        <v>861</v>
      </c>
      <c r="O27" s="403"/>
      <c r="P27" s="78"/>
      <c r="Q27" s="78"/>
      <c r="R27" s="68"/>
      <c r="S27" s="69"/>
      <c r="T27" s="69"/>
      <c r="U27" s="70"/>
      <c r="V27" s="441" t="s">
        <v>23</v>
      </c>
      <c r="W27" s="442"/>
      <c r="X27" s="436">
        <f>Indicadores!K27</f>
        <v>218</v>
      </c>
      <c r="Y27" s="462"/>
      <c r="Z27" s="498">
        <f>Indicadores!L27</f>
        <v>36</v>
      </c>
      <c r="AA27" s="499"/>
      <c r="AB27" s="511">
        <f>Indicadores!M27</f>
        <v>0.16513761467889909</v>
      </c>
      <c r="AC27" s="512"/>
      <c r="AD27" s="436">
        <f>Indicadores!N27</f>
        <v>182</v>
      </c>
      <c r="AE27" s="437"/>
      <c r="AF27" s="78"/>
      <c r="AG27" s="79"/>
      <c r="AH27" s="465" t="str">
        <f>CONCATENATE(Indicadores!A29,"-Rev.",Indicadores!B29)</f>
        <v>E5WP000490-C-001-LC003-Rev.2</v>
      </c>
      <c r="AI27" s="466"/>
      <c r="AJ27" s="466"/>
      <c r="AK27" s="466"/>
      <c r="AL27" s="466"/>
      <c r="AM27" s="466"/>
      <c r="AN27" s="466"/>
      <c r="AO27" s="484">
        <f>Indicadores!C29</f>
        <v>1949</v>
      </c>
      <c r="AP27" s="484"/>
      <c r="AQ27" s="484">
        <f>Indicadores!D29</f>
        <v>1949</v>
      </c>
      <c r="AR27" s="484"/>
      <c r="AS27" s="485">
        <f>Indicadores!E29</f>
        <v>1</v>
      </c>
      <c r="AT27" s="486"/>
      <c r="AU27" s="80"/>
    </row>
    <row r="28" spans="1:47" ht="15" customHeight="1" thickBot="1" x14ac:dyDescent="0.3">
      <c r="A28" s="81"/>
      <c r="B28" s="517"/>
      <c r="C28" s="518"/>
      <c r="D28" s="518"/>
      <c r="E28" s="518"/>
      <c r="F28" s="438"/>
      <c r="G28" s="438"/>
      <c r="H28" s="439"/>
      <c r="I28" s="445"/>
      <c r="J28" s="439"/>
      <c r="K28" s="445"/>
      <c r="L28" s="438"/>
      <c r="M28" s="438"/>
      <c r="N28" s="439"/>
      <c r="O28" s="440"/>
      <c r="P28" s="78"/>
      <c r="Q28" s="78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8"/>
      <c r="AG28" s="79"/>
      <c r="AH28" s="465" t="str">
        <f>CONCATENATE(Indicadores!A30,"-Rev.",Indicadores!B30)</f>
        <v>E5WP000490-C-001-LC004-Rev.2</v>
      </c>
      <c r="AI28" s="466"/>
      <c r="AJ28" s="466"/>
      <c r="AK28" s="466"/>
      <c r="AL28" s="466"/>
      <c r="AM28" s="466"/>
      <c r="AN28" s="466"/>
      <c r="AO28" s="484">
        <f>Indicadores!C30</f>
        <v>322</v>
      </c>
      <c r="AP28" s="484"/>
      <c r="AQ28" s="484">
        <f>Indicadores!D30</f>
        <v>322</v>
      </c>
      <c r="AR28" s="484"/>
      <c r="AS28" s="485">
        <f>Indicadores!E30</f>
        <v>1</v>
      </c>
      <c r="AT28" s="486"/>
      <c r="AU28" s="80"/>
    </row>
    <row r="29" spans="1:47" ht="15" customHeight="1" thickBot="1" x14ac:dyDescent="0.3">
      <c r="A29" s="81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9"/>
      <c r="AH29" s="539" t="s">
        <v>43</v>
      </c>
      <c r="AI29" s="540"/>
      <c r="AJ29" s="540"/>
      <c r="AK29" s="540"/>
      <c r="AL29" s="540"/>
      <c r="AM29" s="540"/>
      <c r="AN29" s="540"/>
      <c r="AO29" s="541">
        <f>SUM(AO7:AP28)</f>
        <v>103727.5</v>
      </c>
      <c r="AP29" s="541"/>
      <c r="AQ29" s="541">
        <f>SUM(AQ7:AR28)</f>
        <v>93760.5</v>
      </c>
      <c r="AR29" s="541"/>
      <c r="AS29" s="542">
        <f>AQ29/AO29</f>
        <v>0.90391169169217422</v>
      </c>
      <c r="AT29" s="543"/>
      <c r="AU29" s="80"/>
    </row>
    <row r="30" spans="1:47" ht="15" customHeight="1" thickBot="1" x14ac:dyDescent="0.3">
      <c r="A30" s="81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9"/>
      <c r="AH30"/>
      <c r="AI30"/>
      <c r="AT30" s="260"/>
      <c r="AU30" s="80"/>
    </row>
    <row r="31" spans="1:47" ht="27" customHeight="1" thickBot="1" x14ac:dyDescent="0.3">
      <c r="A31" s="81"/>
      <c r="B31" s="424" t="str">
        <f>"Acompanhamento - Lançamento de Cabos - "&amp;V6</f>
        <v>Acompanhamento - Lançamento de Cabos - FIBRA</v>
      </c>
      <c r="C31" s="425"/>
      <c r="D31" s="425"/>
      <c r="E31" s="425"/>
      <c r="F31" s="425"/>
      <c r="G31" s="425"/>
      <c r="H31" s="425"/>
      <c r="I31" s="425"/>
      <c r="J31" s="425"/>
      <c r="K31" s="425"/>
      <c r="L31" s="425"/>
      <c r="M31" s="425"/>
      <c r="N31" s="425"/>
      <c r="O31" s="425"/>
      <c r="P31" s="425"/>
      <c r="Q31" s="425"/>
      <c r="R31" s="425"/>
      <c r="S31" s="425"/>
      <c r="T31" s="425"/>
      <c r="U31" s="425"/>
      <c r="V31" s="425"/>
      <c r="W31" s="425"/>
      <c r="X31" s="425"/>
      <c r="Y31" s="425"/>
      <c r="Z31" s="425"/>
      <c r="AA31" s="425"/>
      <c r="AB31" s="425"/>
      <c r="AC31" s="425"/>
      <c r="AD31" s="425"/>
      <c r="AE31" s="425"/>
      <c r="AF31" s="425"/>
      <c r="AG31" s="425"/>
      <c r="AH31" s="425"/>
      <c r="AI31" s="425"/>
      <c r="AJ31" s="425"/>
      <c r="AK31" s="425"/>
      <c r="AL31" s="425"/>
      <c r="AM31" s="425"/>
      <c r="AN31" s="425"/>
      <c r="AO31" s="425"/>
      <c r="AP31" s="425"/>
      <c r="AQ31" s="425"/>
      <c r="AR31" s="425"/>
      <c r="AS31" s="425"/>
      <c r="AT31" s="426"/>
      <c r="AU31" s="80"/>
    </row>
    <row r="32" spans="1:47" ht="15" customHeight="1" x14ac:dyDescent="0.25">
      <c r="A32" s="81"/>
      <c r="B32" s="427"/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428"/>
      <c r="AN32" s="428"/>
      <c r="AO32" s="428"/>
      <c r="AP32" s="428"/>
      <c r="AQ32" s="428"/>
      <c r="AR32" s="428"/>
      <c r="AS32" s="428"/>
      <c r="AT32" s="429"/>
      <c r="AU32" s="80"/>
    </row>
    <row r="33" spans="1:47" ht="15" customHeight="1" x14ac:dyDescent="0.25">
      <c r="A33" s="81"/>
      <c r="B33" s="430"/>
      <c r="C33" s="431"/>
      <c r="D33" s="431"/>
      <c r="E33" s="431"/>
      <c r="F33" s="431"/>
      <c r="G33" s="431"/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431"/>
      <c r="S33" s="431"/>
      <c r="T33" s="431"/>
      <c r="U33" s="431"/>
      <c r="V33" s="431"/>
      <c r="W33" s="431"/>
      <c r="X33" s="431"/>
      <c r="Y33" s="431"/>
      <c r="Z33" s="431"/>
      <c r="AA33" s="431"/>
      <c r="AB33" s="431"/>
      <c r="AC33" s="431"/>
      <c r="AD33" s="431"/>
      <c r="AE33" s="431"/>
      <c r="AF33" s="431"/>
      <c r="AG33" s="431"/>
      <c r="AH33" s="431"/>
      <c r="AI33" s="431"/>
      <c r="AJ33" s="431"/>
      <c r="AK33" s="431"/>
      <c r="AL33" s="431"/>
      <c r="AM33" s="431"/>
      <c r="AN33" s="431"/>
      <c r="AO33" s="431"/>
      <c r="AP33" s="431"/>
      <c r="AQ33" s="431"/>
      <c r="AR33" s="431"/>
      <c r="AS33" s="431"/>
      <c r="AT33" s="432"/>
      <c r="AU33" s="80"/>
    </row>
    <row r="34" spans="1:47" ht="15" customHeight="1" x14ac:dyDescent="0.25">
      <c r="A34" s="81"/>
      <c r="B34" s="430"/>
      <c r="C34" s="431"/>
      <c r="D34" s="431"/>
      <c r="E34" s="431"/>
      <c r="F34" s="431"/>
      <c r="G34" s="431"/>
      <c r="H34" s="431"/>
      <c r="I34" s="431"/>
      <c r="J34" s="431"/>
      <c r="K34" s="431"/>
      <c r="L34" s="431"/>
      <c r="M34" s="431"/>
      <c r="N34" s="431"/>
      <c r="O34" s="431"/>
      <c r="P34" s="431"/>
      <c r="Q34" s="431"/>
      <c r="R34" s="431"/>
      <c r="S34" s="431"/>
      <c r="T34" s="431"/>
      <c r="U34" s="431"/>
      <c r="V34" s="431"/>
      <c r="W34" s="431"/>
      <c r="X34" s="431"/>
      <c r="Y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M34" s="431"/>
      <c r="AN34" s="431"/>
      <c r="AO34" s="431"/>
      <c r="AP34" s="431"/>
      <c r="AQ34" s="431"/>
      <c r="AR34" s="431"/>
      <c r="AS34" s="431"/>
      <c r="AT34" s="432"/>
      <c r="AU34" s="80"/>
    </row>
    <row r="35" spans="1:47" ht="15" customHeight="1" x14ac:dyDescent="0.25">
      <c r="A35" s="81"/>
      <c r="B35" s="430"/>
      <c r="C35" s="431"/>
      <c r="D35" s="431"/>
      <c r="E35" s="431"/>
      <c r="F35" s="431"/>
      <c r="G35" s="431"/>
      <c r="H35" s="431"/>
      <c r="I35" s="431"/>
      <c r="J35" s="431"/>
      <c r="K35" s="431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431"/>
      <c r="W35" s="431"/>
      <c r="X35" s="431"/>
      <c r="Y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  <c r="AL35" s="431"/>
      <c r="AM35" s="431"/>
      <c r="AN35" s="431"/>
      <c r="AO35" s="431"/>
      <c r="AP35" s="431"/>
      <c r="AQ35" s="431"/>
      <c r="AR35" s="431"/>
      <c r="AS35" s="431"/>
      <c r="AT35" s="432"/>
      <c r="AU35" s="80"/>
    </row>
    <row r="36" spans="1:47" ht="15" customHeight="1" x14ac:dyDescent="0.25">
      <c r="A36" s="81"/>
      <c r="B36" s="430"/>
      <c r="C36" s="431"/>
      <c r="D36" s="431"/>
      <c r="E36" s="431"/>
      <c r="F36" s="431"/>
      <c r="G36" s="43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  <c r="AO36" s="431"/>
      <c r="AP36" s="431"/>
      <c r="AQ36" s="431"/>
      <c r="AR36" s="431"/>
      <c r="AS36" s="431"/>
      <c r="AT36" s="432"/>
      <c r="AU36" s="80"/>
    </row>
    <row r="37" spans="1:47" ht="15" customHeight="1" x14ac:dyDescent="0.25">
      <c r="A37" s="81"/>
      <c r="B37" s="430"/>
      <c r="C37" s="431"/>
      <c r="D37" s="431"/>
      <c r="E37" s="431"/>
      <c r="F37" s="431"/>
      <c r="G37" s="431"/>
      <c r="H37" s="431"/>
      <c r="I37" s="431"/>
      <c r="J37" s="431"/>
      <c r="K37" s="431"/>
      <c r="L37" s="431"/>
      <c r="M37" s="431"/>
      <c r="N37" s="431"/>
      <c r="O37" s="431"/>
      <c r="P37" s="431"/>
      <c r="Q37" s="431"/>
      <c r="R37" s="431"/>
      <c r="S37" s="431"/>
      <c r="T37" s="431"/>
      <c r="U37" s="431"/>
      <c r="V37" s="431"/>
      <c r="W37" s="431"/>
      <c r="X37" s="431"/>
      <c r="Y37" s="431"/>
      <c r="Z37" s="431"/>
      <c r="AA37" s="431"/>
      <c r="AB37" s="431"/>
      <c r="AC37" s="431"/>
      <c r="AD37" s="431"/>
      <c r="AE37" s="431"/>
      <c r="AF37" s="431"/>
      <c r="AG37" s="431"/>
      <c r="AH37" s="431"/>
      <c r="AI37" s="431"/>
      <c r="AJ37" s="431"/>
      <c r="AK37" s="431"/>
      <c r="AL37" s="431"/>
      <c r="AM37" s="431"/>
      <c r="AN37" s="431"/>
      <c r="AO37" s="431"/>
      <c r="AP37" s="431"/>
      <c r="AQ37" s="431"/>
      <c r="AR37" s="431"/>
      <c r="AS37" s="431"/>
      <c r="AT37" s="432"/>
      <c r="AU37" s="80"/>
    </row>
    <row r="38" spans="1:47" ht="15" customHeight="1" x14ac:dyDescent="0.25">
      <c r="A38" s="81"/>
      <c r="B38" s="430"/>
      <c r="C38" s="431"/>
      <c r="D38" s="431"/>
      <c r="E38" s="431"/>
      <c r="F38" s="431"/>
      <c r="G38" s="431"/>
      <c r="H38" s="431"/>
      <c r="I38" s="431"/>
      <c r="J38" s="431"/>
      <c r="K38" s="431"/>
      <c r="L38" s="431"/>
      <c r="M38" s="431"/>
      <c r="N38" s="431"/>
      <c r="O38" s="431"/>
      <c r="P38" s="431"/>
      <c r="Q38" s="431"/>
      <c r="R38" s="431"/>
      <c r="S38" s="431"/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M38" s="431"/>
      <c r="AN38" s="431"/>
      <c r="AO38" s="431"/>
      <c r="AP38" s="431"/>
      <c r="AQ38" s="431"/>
      <c r="AR38" s="431"/>
      <c r="AS38" s="431"/>
      <c r="AT38" s="432"/>
      <c r="AU38" s="80"/>
    </row>
    <row r="39" spans="1:47" ht="15" customHeight="1" x14ac:dyDescent="0.25">
      <c r="A39" s="81"/>
      <c r="B39" s="430"/>
      <c r="C39" s="431"/>
      <c r="D39" s="431"/>
      <c r="E39" s="431"/>
      <c r="F39" s="431"/>
      <c r="G39" s="431"/>
      <c r="H39" s="431"/>
      <c r="I39" s="431"/>
      <c r="J39" s="431"/>
      <c r="K39" s="431"/>
      <c r="L39" s="431"/>
      <c r="M39" s="431"/>
      <c r="N39" s="431"/>
      <c r="O39" s="431"/>
      <c r="P39" s="431"/>
      <c r="Q39" s="431"/>
      <c r="R39" s="431"/>
      <c r="S39" s="431"/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431"/>
      <c r="AL39" s="431"/>
      <c r="AM39" s="431"/>
      <c r="AN39" s="431"/>
      <c r="AO39" s="431"/>
      <c r="AP39" s="431"/>
      <c r="AQ39" s="431"/>
      <c r="AR39" s="431"/>
      <c r="AS39" s="431"/>
      <c r="AT39" s="432"/>
      <c r="AU39" s="80"/>
    </row>
    <row r="40" spans="1:47" ht="15" customHeight="1" x14ac:dyDescent="0.25">
      <c r="A40" s="81"/>
      <c r="B40" s="430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  <c r="AO40" s="431"/>
      <c r="AP40" s="431"/>
      <c r="AQ40" s="431"/>
      <c r="AR40" s="431"/>
      <c r="AS40" s="431"/>
      <c r="AT40" s="432"/>
      <c r="AU40" s="80"/>
    </row>
    <row r="41" spans="1:47" ht="15" customHeight="1" x14ac:dyDescent="0.25">
      <c r="A41" s="81"/>
      <c r="B41" s="430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1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2"/>
      <c r="AU41" s="80"/>
    </row>
    <row r="42" spans="1:47" ht="15" customHeight="1" x14ac:dyDescent="0.25">
      <c r="A42" s="81"/>
      <c r="B42" s="430"/>
      <c r="C42" s="431"/>
      <c r="D42" s="431"/>
      <c r="E42" s="431"/>
      <c r="F42" s="431"/>
      <c r="G42" s="431"/>
      <c r="H42" s="431"/>
      <c r="I42" s="431"/>
      <c r="J42" s="431"/>
      <c r="K42" s="431"/>
      <c r="L42" s="431"/>
      <c r="M42" s="431"/>
      <c r="N42" s="431"/>
      <c r="O42" s="431"/>
      <c r="P42" s="431"/>
      <c r="Q42" s="431"/>
      <c r="R42" s="431"/>
      <c r="S42" s="431"/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M42" s="431"/>
      <c r="AN42" s="431"/>
      <c r="AO42" s="431"/>
      <c r="AP42" s="431"/>
      <c r="AQ42" s="431"/>
      <c r="AR42" s="431"/>
      <c r="AS42" s="431"/>
      <c r="AT42" s="432"/>
      <c r="AU42" s="80"/>
    </row>
    <row r="43" spans="1:47" ht="15" customHeight="1" x14ac:dyDescent="0.25">
      <c r="A43" s="81"/>
      <c r="B43" s="430"/>
      <c r="C43" s="431"/>
      <c r="D43" s="431"/>
      <c r="E43" s="431"/>
      <c r="F43" s="431"/>
      <c r="G43" s="431"/>
      <c r="H43" s="431"/>
      <c r="I43" s="431"/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431"/>
      <c r="X43" s="431"/>
      <c r="Y43" s="431"/>
      <c r="Z43" s="431"/>
      <c r="AA43" s="431"/>
      <c r="AB43" s="431"/>
      <c r="AC43" s="431"/>
      <c r="AD43" s="431"/>
      <c r="AE43" s="431"/>
      <c r="AF43" s="431"/>
      <c r="AG43" s="431"/>
      <c r="AH43" s="431"/>
      <c r="AI43" s="431"/>
      <c r="AJ43" s="431"/>
      <c r="AK43" s="431"/>
      <c r="AL43" s="431"/>
      <c r="AM43" s="431"/>
      <c r="AN43" s="431"/>
      <c r="AO43" s="431"/>
      <c r="AP43" s="431"/>
      <c r="AQ43" s="431"/>
      <c r="AR43" s="431"/>
      <c r="AS43" s="431"/>
      <c r="AT43" s="432"/>
      <c r="AU43" s="80"/>
    </row>
    <row r="44" spans="1:47" ht="15" customHeight="1" x14ac:dyDescent="0.25">
      <c r="A44" s="81"/>
      <c r="B44" s="430"/>
      <c r="C44" s="431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  <c r="AO44" s="431"/>
      <c r="AP44" s="431"/>
      <c r="AQ44" s="431"/>
      <c r="AR44" s="431"/>
      <c r="AS44" s="431"/>
      <c r="AT44" s="432"/>
      <c r="AU44" s="80"/>
    </row>
    <row r="45" spans="1:47" ht="15" customHeight="1" x14ac:dyDescent="0.25">
      <c r="A45" s="81"/>
      <c r="B45" s="430"/>
      <c r="C45" s="431"/>
      <c r="D45" s="431"/>
      <c r="E45" s="431"/>
      <c r="F45" s="431"/>
      <c r="G45" s="431"/>
      <c r="H45" s="431"/>
      <c r="I45" s="431"/>
      <c r="J45" s="431"/>
      <c r="K45" s="431"/>
      <c r="L45" s="431"/>
      <c r="M45" s="431"/>
      <c r="N45" s="431"/>
      <c r="O45" s="431"/>
      <c r="P45" s="431"/>
      <c r="Q45" s="431"/>
      <c r="R45" s="431"/>
      <c r="S45" s="431"/>
      <c r="T45" s="431"/>
      <c r="U45" s="431"/>
      <c r="V45" s="431"/>
      <c r="W45" s="431"/>
      <c r="X45" s="431"/>
      <c r="Y45" s="431"/>
      <c r="Z45" s="431"/>
      <c r="AA45" s="431"/>
      <c r="AB45" s="431"/>
      <c r="AC45" s="431"/>
      <c r="AD45" s="431"/>
      <c r="AE45" s="431"/>
      <c r="AF45" s="431"/>
      <c r="AG45" s="431"/>
      <c r="AH45" s="431"/>
      <c r="AI45" s="431"/>
      <c r="AJ45" s="431"/>
      <c r="AK45" s="431"/>
      <c r="AL45" s="431"/>
      <c r="AM45" s="431"/>
      <c r="AN45" s="431"/>
      <c r="AO45" s="431"/>
      <c r="AP45" s="431"/>
      <c r="AQ45" s="431"/>
      <c r="AR45" s="431"/>
      <c r="AS45" s="431"/>
      <c r="AT45" s="432"/>
      <c r="AU45" s="80"/>
    </row>
    <row r="46" spans="1:47" ht="15" customHeight="1" x14ac:dyDescent="0.25">
      <c r="A46" s="81"/>
      <c r="B46" s="430"/>
      <c r="C46" s="431"/>
      <c r="D46" s="431"/>
      <c r="E46" s="431"/>
      <c r="F46" s="431"/>
      <c r="G46" s="431"/>
      <c r="H46" s="431"/>
      <c r="I46" s="431"/>
      <c r="J46" s="431"/>
      <c r="K46" s="431"/>
      <c r="L46" s="431"/>
      <c r="M46" s="431"/>
      <c r="N46" s="431"/>
      <c r="O46" s="431"/>
      <c r="P46" s="431"/>
      <c r="Q46" s="431"/>
      <c r="R46" s="431"/>
      <c r="S46" s="431"/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M46" s="431"/>
      <c r="AN46" s="431"/>
      <c r="AO46" s="431"/>
      <c r="AP46" s="431"/>
      <c r="AQ46" s="431"/>
      <c r="AR46" s="431"/>
      <c r="AS46" s="431"/>
      <c r="AT46" s="432"/>
      <c r="AU46" s="80"/>
    </row>
    <row r="47" spans="1:47" ht="15" customHeight="1" x14ac:dyDescent="0.25">
      <c r="A47" s="81"/>
      <c r="B47" s="430"/>
      <c r="C47" s="431"/>
      <c r="D47" s="431"/>
      <c r="E47" s="431"/>
      <c r="F47" s="431"/>
      <c r="G47" s="431"/>
      <c r="H47" s="431"/>
      <c r="I47" s="431"/>
      <c r="J47" s="431"/>
      <c r="K47" s="431"/>
      <c r="L47" s="431"/>
      <c r="M47" s="431"/>
      <c r="N47" s="431"/>
      <c r="O47" s="431"/>
      <c r="P47" s="431"/>
      <c r="Q47" s="431"/>
      <c r="R47" s="431"/>
      <c r="S47" s="431"/>
      <c r="T47" s="431"/>
      <c r="U47" s="431"/>
      <c r="V47" s="431"/>
      <c r="W47" s="431"/>
      <c r="X47" s="431"/>
      <c r="Y47" s="431"/>
      <c r="Z47" s="431"/>
      <c r="AA47" s="431"/>
      <c r="AB47" s="431"/>
      <c r="AC47" s="431"/>
      <c r="AD47" s="431"/>
      <c r="AE47" s="431"/>
      <c r="AF47" s="431"/>
      <c r="AG47" s="431"/>
      <c r="AH47" s="431"/>
      <c r="AI47" s="431"/>
      <c r="AJ47" s="431"/>
      <c r="AK47" s="431"/>
      <c r="AL47" s="431"/>
      <c r="AM47" s="431"/>
      <c r="AN47" s="431"/>
      <c r="AO47" s="431"/>
      <c r="AP47" s="431"/>
      <c r="AQ47" s="431"/>
      <c r="AR47" s="431"/>
      <c r="AS47" s="431"/>
      <c r="AT47" s="432"/>
      <c r="AU47" s="80"/>
    </row>
    <row r="48" spans="1:47" ht="15" customHeight="1" x14ac:dyDescent="0.25">
      <c r="A48" s="81"/>
      <c r="B48" s="430"/>
      <c r="C48" s="431"/>
      <c r="D48" s="431"/>
      <c r="E48" s="431"/>
      <c r="F48" s="431"/>
      <c r="G48" s="431"/>
      <c r="H48" s="431"/>
      <c r="I48" s="431"/>
      <c r="J48" s="431"/>
      <c r="K48" s="431"/>
      <c r="L48" s="431"/>
      <c r="M48" s="431"/>
      <c r="N48" s="431"/>
      <c r="O48" s="431"/>
      <c r="P48" s="431"/>
      <c r="Q48" s="431"/>
      <c r="R48" s="431"/>
      <c r="S48" s="431"/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1"/>
      <c r="AL48" s="431"/>
      <c r="AM48" s="431"/>
      <c r="AN48" s="431"/>
      <c r="AO48" s="431"/>
      <c r="AP48" s="431"/>
      <c r="AQ48" s="431"/>
      <c r="AR48" s="431"/>
      <c r="AS48" s="431"/>
      <c r="AT48" s="432"/>
      <c r="AU48" s="80"/>
    </row>
    <row r="49" spans="1:47" ht="15" customHeight="1" x14ac:dyDescent="0.25">
      <c r="A49" s="81"/>
      <c r="B49" s="430"/>
      <c r="C49" s="431"/>
      <c r="D49" s="431"/>
      <c r="E49" s="431"/>
      <c r="F49" s="431"/>
      <c r="G49" s="431"/>
      <c r="H49" s="431"/>
      <c r="I49" s="431"/>
      <c r="J49" s="431"/>
      <c r="K49" s="431"/>
      <c r="L49" s="431"/>
      <c r="M49" s="431"/>
      <c r="N49" s="431"/>
      <c r="O49" s="431"/>
      <c r="P49" s="431"/>
      <c r="Q49" s="431"/>
      <c r="R49" s="431"/>
      <c r="S49" s="431"/>
      <c r="T49" s="431"/>
      <c r="U49" s="431"/>
      <c r="V49" s="431"/>
      <c r="W49" s="431"/>
      <c r="X49" s="431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  <c r="AO49" s="431"/>
      <c r="AP49" s="431"/>
      <c r="AQ49" s="431"/>
      <c r="AR49" s="431"/>
      <c r="AS49" s="431"/>
      <c r="AT49" s="432"/>
      <c r="AU49" s="80"/>
    </row>
    <row r="50" spans="1:47" ht="15" customHeight="1" x14ac:dyDescent="0.25">
      <c r="A50" s="81"/>
      <c r="B50" s="430"/>
      <c r="C50" s="431"/>
      <c r="D50" s="431"/>
      <c r="E50" s="431"/>
      <c r="F50" s="431"/>
      <c r="G50" s="431"/>
      <c r="H50" s="431"/>
      <c r="I50" s="431"/>
      <c r="J50" s="431"/>
      <c r="K50" s="431"/>
      <c r="L50" s="431"/>
      <c r="M50" s="431"/>
      <c r="N50" s="431"/>
      <c r="O50" s="431"/>
      <c r="P50" s="431"/>
      <c r="Q50" s="431"/>
      <c r="R50" s="431"/>
      <c r="S50" s="431"/>
      <c r="T50" s="431"/>
      <c r="U50" s="431"/>
      <c r="V50" s="431"/>
      <c r="W50" s="431"/>
      <c r="X50" s="431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M50" s="431"/>
      <c r="AN50" s="431"/>
      <c r="AO50" s="431"/>
      <c r="AP50" s="431"/>
      <c r="AQ50" s="431"/>
      <c r="AR50" s="431"/>
      <c r="AS50" s="431"/>
      <c r="AT50" s="432"/>
      <c r="AU50" s="80"/>
    </row>
    <row r="51" spans="1:47" ht="15" customHeight="1" x14ac:dyDescent="0.25">
      <c r="A51" s="81"/>
      <c r="B51" s="430"/>
      <c r="C51" s="431"/>
      <c r="D51" s="431"/>
      <c r="E51" s="431"/>
      <c r="F51" s="431"/>
      <c r="G51" s="431"/>
      <c r="H51" s="431"/>
      <c r="I51" s="431"/>
      <c r="J51" s="431"/>
      <c r="K51" s="431"/>
      <c r="L51" s="431"/>
      <c r="M51" s="431"/>
      <c r="N51" s="431"/>
      <c r="O51" s="431"/>
      <c r="P51" s="431"/>
      <c r="Q51" s="431"/>
      <c r="R51" s="431"/>
      <c r="S51" s="431"/>
      <c r="T51" s="431"/>
      <c r="U51" s="431"/>
      <c r="V51" s="431"/>
      <c r="W51" s="431"/>
      <c r="X51" s="431"/>
      <c r="Y51" s="431"/>
      <c r="Z51" s="431"/>
      <c r="AA51" s="431"/>
      <c r="AB51" s="431"/>
      <c r="AC51" s="431"/>
      <c r="AD51" s="431"/>
      <c r="AE51" s="431"/>
      <c r="AF51" s="431"/>
      <c r="AG51" s="431"/>
      <c r="AH51" s="431"/>
      <c r="AI51" s="431"/>
      <c r="AJ51" s="431"/>
      <c r="AK51" s="431"/>
      <c r="AL51" s="431"/>
      <c r="AM51" s="431"/>
      <c r="AN51" s="431"/>
      <c r="AO51" s="431"/>
      <c r="AP51" s="431"/>
      <c r="AQ51" s="431"/>
      <c r="AR51" s="431"/>
      <c r="AS51" s="431"/>
      <c r="AT51" s="432"/>
      <c r="AU51" s="80"/>
    </row>
    <row r="52" spans="1:47" ht="15" customHeight="1" thickBot="1" x14ac:dyDescent="0.3">
      <c r="A52" s="81"/>
      <c r="B52" s="433"/>
      <c r="C52" s="434"/>
      <c r="D52" s="434"/>
      <c r="E52" s="434"/>
      <c r="F52" s="434"/>
      <c r="G52" s="434"/>
      <c r="H52" s="434"/>
      <c r="I52" s="434"/>
      <c r="J52" s="434"/>
      <c r="K52" s="434"/>
      <c r="L52" s="434"/>
      <c r="M52" s="434"/>
      <c r="N52" s="434"/>
      <c r="O52" s="434"/>
      <c r="P52" s="434"/>
      <c r="Q52" s="434"/>
      <c r="R52" s="434"/>
      <c r="S52" s="434"/>
      <c r="T52" s="434"/>
      <c r="U52" s="434"/>
      <c r="V52" s="434"/>
      <c r="W52" s="434"/>
      <c r="X52" s="434"/>
      <c r="Y52" s="434"/>
      <c r="Z52" s="434"/>
      <c r="AA52" s="434"/>
      <c r="AB52" s="434"/>
      <c r="AC52" s="434"/>
      <c r="AD52" s="434"/>
      <c r="AE52" s="434"/>
      <c r="AF52" s="434"/>
      <c r="AG52" s="434"/>
      <c r="AH52" s="434"/>
      <c r="AI52" s="434"/>
      <c r="AJ52" s="434"/>
      <c r="AK52" s="434"/>
      <c r="AL52" s="434"/>
      <c r="AM52" s="434"/>
      <c r="AN52" s="434"/>
      <c r="AO52" s="434"/>
      <c r="AP52" s="434"/>
      <c r="AQ52" s="434"/>
      <c r="AR52" s="434"/>
      <c r="AS52" s="434"/>
      <c r="AT52" s="435"/>
      <c r="AU52" s="80"/>
    </row>
    <row r="53" spans="1:47" ht="15" customHeight="1" thickBot="1" x14ac:dyDescent="0.3">
      <c r="A53" s="82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5"/>
    </row>
    <row r="54" spans="1:47" ht="21.75" thickBot="1" x14ac:dyDescent="0.4">
      <c r="A54"/>
      <c r="B54"/>
      <c r="C54" s="393" t="str">
        <f>IF($V$6="Geral","Status Geral de Cabos","Status Geral de Cabos - Área - "&amp;$V$6)</f>
        <v>Status Geral de Cabos - Área - FIBRA</v>
      </c>
      <c r="D54" s="394"/>
      <c r="E54" s="394"/>
      <c r="F54" s="394"/>
      <c r="G54" s="394"/>
      <c r="H54" s="394"/>
      <c r="I54" s="394"/>
      <c r="J54" s="394"/>
      <c r="K54" s="394"/>
      <c r="L54" s="394"/>
      <c r="M54" s="394"/>
      <c r="N54" s="394"/>
      <c r="O54" s="394"/>
      <c r="P54" s="394"/>
      <c r="Q54" s="394"/>
      <c r="R54" s="394"/>
      <c r="S54" s="394"/>
      <c r="T54" s="394"/>
      <c r="U54" s="394"/>
      <c r="V54" s="394"/>
      <c r="W54" s="394"/>
      <c r="X54" s="394"/>
      <c r="Y54" s="394"/>
      <c r="Z54" s="394"/>
      <c r="AA54" s="394"/>
      <c r="AB54" s="394"/>
      <c r="AC54" s="394"/>
      <c r="AD54" s="394"/>
      <c r="AE54" s="394"/>
      <c r="AF54" s="394"/>
      <c r="AG54" s="394"/>
      <c r="AH54" s="394"/>
      <c r="AI54" s="394"/>
      <c r="AJ54" s="394"/>
      <c r="AK54" s="394"/>
      <c r="AL54" s="394"/>
      <c r="AM54" s="394"/>
      <c r="AN54" s="394"/>
      <c r="AO54" s="394"/>
      <c r="AP54" s="394"/>
      <c r="AQ54" s="394"/>
      <c r="AR54" s="394"/>
      <c r="AS54" s="395"/>
    </row>
    <row r="55" spans="1:47" ht="23.25" customHeight="1" thickBot="1" x14ac:dyDescent="0.3">
      <c r="A55"/>
      <c r="B55"/>
      <c r="C55" s="508" t="s">
        <v>48</v>
      </c>
      <c r="D55" s="401"/>
      <c r="E55" s="401"/>
      <c r="F55" s="401"/>
      <c r="G55" s="401" t="s">
        <v>4</v>
      </c>
      <c r="H55" s="401"/>
      <c r="I55" s="401" t="s">
        <v>5</v>
      </c>
      <c r="J55" s="401"/>
      <c r="K55" s="401" t="s">
        <v>6</v>
      </c>
      <c r="L55" s="401"/>
      <c r="M55" s="401" t="s">
        <v>7</v>
      </c>
      <c r="N55" s="401"/>
      <c r="O55" s="401" t="s">
        <v>8</v>
      </c>
      <c r="P55" s="401"/>
      <c r="Q55" s="401" t="s">
        <v>9</v>
      </c>
      <c r="R55" s="401"/>
      <c r="S55" s="401" t="s">
        <v>49</v>
      </c>
      <c r="T55" s="401"/>
      <c r="U55" s="401" t="s">
        <v>12</v>
      </c>
      <c r="V55" s="401"/>
      <c r="W55" s="401" t="s">
        <v>11</v>
      </c>
      <c r="X55" s="401"/>
      <c r="Y55" s="376" t="s">
        <v>50</v>
      </c>
      <c r="Z55" s="500" t="s">
        <v>14</v>
      </c>
      <c r="AA55" s="500"/>
      <c r="AB55" s="500"/>
      <c r="AC55" s="500"/>
      <c r="AD55" s="500" t="s">
        <v>15</v>
      </c>
      <c r="AE55" s="500"/>
      <c r="AF55" s="500"/>
      <c r="AG55" s="500"/>
      <c r="AH55" s="401" t="s">
        <v>46</v>
      </c>
      <c r="AI55" s="401"/>
      <c r="AJ55" s="401" t="s">
        <v>17</v>
      </c>
      <c r="AK55" s="401"/>
      <c r="AL55" s="401" t="s">
        <v>18</v>
      </c>
      <c r="AM55" s="401"/>
      <c r="AN55" s="401" t="s">
        <v>19</v>
      </c>
      <c r="AO55" s="401"/>
      <c r="AP55" s="401" t="s">
        <v>51</v>
      </c>
      <c r="AQ55" s="401"/>
      <c r="AR55" s="401" t="s">
        <v>52</v>
      </c>
      <c r="AS55" s="507"/>
    </row>
    <row r="56" spans="1:47" ht="12" customHeight="1" x14ac:dyDescent="0.25">
      <c r="A56"/>
      <c r="B56"/>
      <c r="C56" s="397" t="str">
        <f ca="1">Área!C2</f>
        <v>1HVBUS3-ER1HV-001C</v>
      </c>
      <c r="D56" s="398"/>
      <c r="E56" s="398"/>
      <c r="F56" s="398"/>
      <c r="G56" s="396" t="str">
        <f ca="1">Área!F2</f>
        <v>FO</v>
      </c>
      <c r="H56" s="396"/>
      <c r="I56" s="398" t="str">
        <f ca="1">Área!G2</f>
        <v>CORDÃO ÓPTICO</v>
      </c>
      <c r="J56" s="398"/>
      <c r="K56" s="396" t="str">
        <f ca="1">Área!H2</f>
        <v>-</v>
      </c>
      <c r="L56" s="396"/>
      <c r="M56" s="396" t="str">
        <f ca="1">Área!I2</f>
        <v>-</v>
      </c>
      <c r="N56" s="396"/>
      <c r="O56" s="396">
        <f ca="1">Área!J2</f>
        <v>1</v>
      </c>
      <c r="P56" s="396"/>
      <c r="Q56" s="396">
        <f ca="1">Área!K2</f>
        <v>1</v>
      </c>
      <c r="R56" s="396"/>
      <c r="S56" s="396">
        <f ca="1">Área!L2</f>
        <v>40</v>
      </c>
      <c r="T56" s="396"/>
      <c r="U56" s="396">
        <f ca="1">Área!N2</f>
        <v>40</v>
      </c>
      <c r="V56" s="396"/>
      <c r="W56" s="396">
        <f ca="1">Área!M2</f>
        <v>40</v>
      </c>
      <c r="X56" s="396"/>
      <c r="Y56" s="89">
        <f ca="1">Área!O2</f>
        <v>1</v>
      </c>
      <c r="Z56" s="399" t="str">
        <f ca="1">Área!P2</f>
        <v>1HV-BUS3</v>
      </c>
      <c r="AA56" s="399"/>
      <c r="AB56" s="399"/>
      <c r="AC56" s="399"/>
      <c r="AD56" s="399" t="str">
        <f ca="1">Área!Q2</f>
        <v>ER-3</v>
      </c>
      <c r="AE56" s="399"/>
      <c r="AF56" s="399"/>
      <c r="AG56" s="399"/>
      <c r="AH56" s="400" t="str">
        <f ca="1">Área!R2</f>
        <v>---</v>
      </c>
      <c r="AI56" s="400"/>
      <c r="AJ56" s="400" t="str">
        <f ca="1">Área!S2</f>
        <v>---</v>
      </c>
      <c r="AK56" s="400"/>
      <c r="AL56" s="400" t="str">
        <f ca="1">Área!T2</f>
        <v>---</v>
      </c>
      <c r="AM56" s="400"/>
      <c r="AN56" s="400" t="str">
        <f ca="1">Área!U2</f>
        <v>---</v>
      </c>
      <c r="AO56" s="400"/>
      <c r="AP56" s="422" t="str">
        <f ca="1">IFERROR(Área!Z2,"")</f>
        <v>Disponível</v>
      </c>
      <c r="AQ56" s="422"/>
      <c r="AR56" s="400">
        <f ca="1">Área!Y2</f>
        <v>0</v>
      </c>
      <c r="AS56" s="423"/>
      <c r="AT56" s="72"/>
    </row>
    <row r="57" spans="1:47" ht="12" customHeight="1" x14ac:dyDescent="0.25">
      <c r="A57"/>
      <c r="B57"/>
      <c r="C57" s="397" t="str">
        <f ca="1">Área!C3</f>
        <v>1HVBUS3-ER1HV-002C</v>
      </c>
      <c r="D57" s="398"/>
      <c r="E57" s="398"/>
      <c r="F57" s="398"/>
      <c r="G57" s="396" t="str">
        <f ca="1">Área!F3</f>
        <v>FO</v>
      </c>
      <c r="H57" s="396"/>
      <c r="I57" s="398" t="str">
        <f ca="1">Área!G3</f>
        <v>CORDÃO ÓPTICO</v>
      </c>
      <c r="J57" s="398"/>
      <c r="K57" s="396" t="str">
        <f ca="1">Área!H3</f>
        <v>-</v>
      </c>
      <c r="L57" s="396"/>
      <c r="M57" s="396" t="str">
        <f ca="1">Área!I3</f>
        <v>-</v>
      </c>
      <c r="N57" s="396"/>
      <c r="O57" s="396">
        <f ca="1">Área!J3</f>
        <v>1</v>
      </c>
      <c r="P57" s="396"/>
      <c r="Q57" s="396">
        <f ca="1">Área!K3</f>
        <v>1</v>
      </c>
      <c r="R57" s="396"/>
      <c r="S57" s="396">
        <f ca="1">Área!L3</f>
        <v>40</v>
      </c>
      <c r="T57" s="396"/>
      <c r="U57" s="396">
        <f ca="1">Área!N3</f>
        <v>40</v>
      </c>
      <c r="V57" s="396"/>
      <c r="W57" s="396">
        <f ca="1">Área!M3</f>
        <v>40</v>
      </c>
      <c r="X57" s="396"/>
      <c r="Y57" s="89">
        <f ca="1">Área!O3</f>
        <v>1</v>
      </c>
      <c r="Z57" s="399" t="str">
        <f ca="1">Área!P3</f>
        <v>1HV-BUS3</v>
      </c>
      <c r="AA57" s="399"/>
      <c r="AB57" s="399"/>
      <c r="AC57" s="399"/>
      <c r="AD57" s="399" t="str">
        <f ca="1">Área!Q3</f>
        <v>ER-3</v>
      </c>
      <c r="AE57" s="399"/>
      <c r="AF57" s="399"/>
      <c r="AG57" s="399"/>
      <c r="AH57" s="400" t="str">
        <f ca="1">Área!R3</f>
        <v>---</v>
      </c>
      <c r="AI57" s="400"/>
      <c r="AJ57" s="400" t="str">
        <f ca="1">Área!S3</f>
        <v>---</v>
      </c>
      <c r="AK57" s="400"/>
      <c r="AL57" s="400" t="str">
        <f ca="1">Área!T3</f>
        <v>---</v>
      </c>
      <c r="AM57" s="400"/>
      <c r="AN57" s="400" t="str">
        <f ca="1">Área!U3</f>
        <v>---</v>
      </c>
      <c r="AO57" s="400"/>
      <c r="AP57" s="422" t="str">
        <f ca="1">IFERROR(Área!Z3,"")</f>
        <v>Disponível</v>
      </c>
      <c r="AQ57" s="422"/>
      <c r="AR57" s="400">
        <f ca="1">Área!Y3</f>
        <v>0</v>
      </c>
      <c r="AS57" s="423"/>
      <c r="AT57" s="72"/>
    </row>
    <row r="58" spans="1:47" ht="12" customHeight="1" x14ac:dyDescent="0.25">
      <c r="A58"/>
      <c r="B58"/>
      <c r="C58" s="397" t="str">
        <f ca="1">Área!C4</f>
        <v>1HVBUS3-ER1HV-003C</v>
      </c>
      <c r="D58" s="398"/>
      <c r="E58" s="398"/>
      <c r="F58" s="398"/>
      <c r="G58" s="396" t="str">
        <f ca="1">Área!F4</f>
        <v>FO</v>
      </c>
      <c r="H58" s="396"/>
      <c r="I58" s="398" t="str">
        <f ca="1">Área!G4</f>
        <v>CORDÃO ÓPTICO</v>
      </c>
      <c r="J58" s="398"/>
      <c r="K58" s="396" t="str">
        <f ca="1">Área!H4</f>
        <v>-</v>
      </c>
      <c r="L58" s="396"/>
      <c r="M58" s="396" t="str">
        <f ca="1">Área!I4</f>
        <v>-</v>
      </c>
      <c r="N58" s="396"/>
      <c r="O58" s="396">
        <f ca="1">Área!J4</f>
        <v>1</v>
      </c>
      <c r="P58" s="396"/>
      <c r="Q58" s="396">
        <f ca="1">Área!K4</f>
        <v>1</v>
      </c>
      <c r="R58" s="396"/>
      <c r="S58" s="396">
        <f ca="1">Área!L4</f>
        <v>40</v>
      </c>
      <c r="T58" s="396"/>
      <c r="U58" s="396">
        <f ca="1">Área!N4</f>
        <v>40</v>
      </c>
      <c r="V58" s="396"/>
      <c r="W58" s="396">
        <f ca="1">Área!M4</f>
        <v>40</v>
      </c>
      <c r="X58" s="396"/>
      <c r="Y58" s="89">
        <f ca="1">Área!O4</f>
        <v>1</v>
      </c>
      <c r="Z58" s="399" t="str">
        <f ca="1">Área!P4</f>
        <v>1HV-BUS3</v>
      </c>
      <c r="AA58" s="399"/>
      <c r="AB58" s="399"/>
      <c r="AC58" s="399"/>
      <c r="AD58" s="399" t="str">
        <f ca="1">Área!Q4</f>
        <v>ER-3</v>
      </c>
      <c r="AE58" s="399"/>
      <c r="AF58" s="399"/>
      <c r="AG58" s="399"/>
      <c r="AH58" s="400" t="str">
        <f ca="1">Área!R4</f>
        <v>---</v>
      </c>
      <c r="AI58" s="400"/>
      <c r="AJ58" s="400" t="str">
        <f ca="1">Área!S4</f>
        <v>---</v>
      </c>
      <c r="AK58" s="400"/>
      <c r="AL58" s="400" t="str">
        <f ca="1">Área!T4</f>
        <v>---</v>
      </c>
      <c r="AM58" s="400"/>
      <c r="AN58" s="400" t="str">
        <f ca="1">Área!U4</f>
        <v>---</v>
      </c>
      <c r="AO58" s="400"/>
      <c r="AP58" s="422" t="str">
        <f ca="1">IFERROR(Área!Z4,"")</f>
        <v>Disponível</v>
      </c>
      <c r="AQ58" s="422"/>
      <c r="AR58" s="400">
        <f ca="1">Área!Y4</f>
        <v>0</v>
      </c>
      <c r="AS58" s="423"/>
      <c r="AT58" s="72"/>
    </row>
    <row r="59" spans="1:47" ht="12" customHeight="1" x14ac:dyDescent="0.25">
      <c r="A59"/>
      <c r="B59"/>
      <c r="C59" s="397" t="str">
        <f ca="1">Área!C5</f>
        <v>1HVBUS3-ER1HV-004C</v>
      </c>
      <c r="D59" s="398"/>
      <c r="E59" s="398"/>
      <c r="F59" s="398"/>
      <c r="G59" s="396" t="str">
        <f ca="1">Área!F5</f>
        <v>FO</v>
      </c>
      <c r="H59" s="396"/>
      <c r="I59" s="398" t="str">
        <f ca="1">Área!G5</f>
        <v>CORDÃO ÓPTICO</v>
      </c>
      <c r="J59" s="398"/>
      <c r="K59" s="396" t="str">
        <f ca="1">Área!H5</f>
        <v>-</v>
      </c>
      <c r="L59" s="396"/>
      <c r="M59" s="396" t="str">
        <f ca="1">Área!I5</f>
        <v>-</v>
      </c>
      <c r="N59" s="396"/>
      <c r="O59" s="396">
        <f ca="1">Área!J5</f>
        <v>1</v>
      </c>
      <c r="P59" s="396"/>
      <c r="Q59" s="396">
        <f ca="1">Área!K5</f>
        <v>1</v>
      </c>
      <c r="R59" s="396"/>
      <c r="S59" s="396">
        <f ca="1">Área!L5</f>
        <v>40</v>
      </c>
      <c r="T59" s="396"/>
      <c r="U59" s="396">
        <f ca="1">Área!N5</f>
        <v>40</v>
      </c>
      <c r="V59" s="396"/>
      <c r="W59" s="396">
        <f ca="1">Área!M5</f>
        <v>40</v>
      </c>
      <c r="X59" s="396"/>
      <c r="Y59" s="89">
        <f ca="1">Área!O5</f>
        <v>1</v>
      </c>
      <c r="Z59" s="399" t="str">
        <f ca="1">Área!P5</f>
        <v>1HV-BUS3</v>
      </c>
      <c r="AA59" s="399"/>
      <c r="AB59" s="399"/>
      <c r="AC59" s="399"/>
      <c r="AD59" s="399" t="str">
        <f ca="1">Área!Q5</f>
        <v>ER-3</v>
      </c>
      <c r="AE59" s="399"/>
      <c r="AF59" s="399"/>
      <c r="AG59" s="399"/>
      <c r="AH59" s="400" t="str">
        <f ca="1">Área!R5</f>
        <v>---</v>
      </c>
      <c r="AI59" s="400"/>
      <c r="AJ59" s="400" t="str">
        <f ca="1">Área!S5</f>
        <v>---</v>
      </c>
      <c r="AK59" s="400"/>
      <c r="AL59" s="400" t="str">
        <f ca="1">Área!T5</f>
        <v>---</v>
      </c>
      <c r="AM59" s="400"/>
      <c r="AN59" s="400" t="str">
        <f ca="1">Área!U5</f>
        <v>---</v>
      </c>
      <c r="AO59" s="400"/>
      <c r="AP59" s="422" t="str">
        <f ca="1">IFERROR(Área!Z5,"")</f>
        <v>Disponível</v>
      </c>
      <c r="AQ59" s="422"/>
      <c r="AR59" s="400">
        <f ca="1">Área!Y5</f>
        <v>0</v>
      </c>
      <c r="AS59" s="423"/>
      <c r="AT59" s="72"/>
    </row>
    <row r="60" spans="1:47" ht="12" customHeight="1" x14ac:dyDescent="0.25">
      <c r="A60"/>
      <c r="B60"/>
      <c r="C60" s="397" t="str">
        <f ca="1">Área!C6</f>
        <v>1HVBUS3-ER1HV-005C</v>
      </c>
      <c r="D60" s="398"/>
      <c r="E60" s="398"/>
      <c r="F60" s="398"/>
      <c r="G60" s="396" t="str">
        <f ca="1">Área!F6</f>
        <v>FO</v>
      </c>
      <c r="H60" s="396"/>
      <c r="I60" s="398" t="str">
        <f ca="1">Área!G6</f>
        <v>CORDÃO ÓPTICO</v>
      </c>
      <c r="J60" s="398"/>
      <c r="K60" s="396" t="str">
        <f ca="1">Área!H6</f>
        <v>-</v>
      </c>
      <c r="L60" s="396"/>
      <c r="M60" s="396" t="str">
        <f ca="1">Área!I6</f>
        <v>-</v>
      </c>
      <c r="N60" s="396"/>
      <c r="O60" s="396">
        <f ca="1">Área!J6</f>
        <v>1</v>
      </c>
      <c r="P60" s="396"/>
      <c r="Q60" s="396">
        <f ca="1">Área!K6</f>
        <v>1</v>
      </c>
      <c r="R60" s="396"/>
      <c r="S60" s="396">
        <f ca="1">Área!L6</f>
        <v>40</v>
      </c>
      <c r="T60" s="396"/>
      <c r="U60" s="396">
        <f ca="1">Área!N6</f>
        <v>40</v>
      </c>
      <c r="V60" s="396"/>
      <c r="W60" s="396">
        <f ca="1">Área!M6</f>
        <v>40</v>
      </c>
      <c r="X60" s="396"/>
      <c r="Y60" s="89">
        <f ca="1">Área!O6</f>
        <v>1</v>
      </c>
      <c r="Z60" s="399" t="str">
        <f ca="1">Área!P6</f>
        <v>1HV-BUS3</v>
      </c>
      <c r="AA60" s="399"/>
      <c r="AB60" s="399"/>
      <c r="AC60" s="399"/>
      <c r="AD60" s="399" t="str">
        <f ca="1">Área!Q6</f>
        <v>ER-3</v>
      </c>
      <c r="AE60" s="399"/>
      <c r="AF60" s="399"/>
      <c r="AG60" s="399"/>
      <c r="AH60" s="400" t="str">
        <f ca="1">Área!R6</f>
        <v>---</v>
      </c>
      <c r="AI60" s="400"/>
      <c r="AJ60" s="400" t="str">
        <f ca="1">Área!S6</f>
        <v>---</v>
      </c>
      <c r="AK60" s="400"/>
      <c r="AL60" s="400" t="str">
        <f ca="1">Área!T6</f>
        <v>---</v>
      </c>
      <c r="AM60" s="400"/>
      <c r="AN60" s="400" t="str">
        <f ca="1">Área!U6</f>
        <v>---</v>
      </c>
      <c r="AO60" s="400"/>
      <c r="AP60" s="422" t="str">
        <f ca="1">IFERROR(Área!Z6,"")</f>
        <v>Disponível</v>
      </c>
      <c r="AQ60" s="422"/>
      <c r="AR60" s="400">
        <f ca="1">Área!Y6</f>
        <v>0</v>
      </c>
      <c r="AS60" s="423"/>
      <c r="AT60" s="72"/>
    </row>
    <row r="61" spans="1:47" ht="12" customHeight="1" x14ac:dyDescent="0.25">
      <c r="A61"/>
      <c r="B61"/>
      <c r="C61" s="397" t="str">
        <f ca="1">Área!C7</f>
        <v>CBO001-SEL</v>
      </c>
      <c r="D61" s="398"/>
      <c r="E61" s="398"/>
      <c r="F61" s="398"/>
      <c r="G61" s="396" t="str">
        <f ca="1">Área!F7</f>
        <v>FO</v>
      </c>
      <c r="H61" s="396"/>
      <c r="I61" s="398" t="str">
        <f ca="1">Área!G7</f>
        <v>CORDÃO ÓPTICO</v>
      </c>
      <c r="J61" s="398"/>
      <c r="K61" s="396" t="str">
        <f ca="1">Área!H7</f>
        <v>-</v>
      </c>
      <c r="L61" s="396"/>
      <c r="M61" s="396" t="str">
        <f ca="1">Área!I7</f>
        <v>-</v>
      </c>
      <c r="N61" s="396"/>
      <c r="O61" s="396">
        <f ca="1">Área!J7</f>
        <v>1</v>
      </c>
      <c r="P61" s="396"/>
      <c r="Q61" s="396" t="str">
        <f ca="1">Área!K7</f>
        <v/>
      </c>
      <c r="R61" s="396"/>
      <c r="S61" s="396">
        <f ca="1">Área!L7</f>
        <v>20</v>
      </c>
      <c r="T61" s="396"/>
      <c r="U61" s="396" t="str">
        <f ca="1">Área!N7</f>
        <v/>
      </c>
      <c r="V61" s="396"/>
      <c r="W61" s="396">
        <f ca="1">Área!M7</f>
        <v>20</v>
      </c>
      <c r="X61" s="396"/>
      <c r="Y61" s="89" t="str">
        <f ca="1">Área!O7</f>
        <v/>
      </c>
      <c r="Z61" s="399" t="str">
        <f ca="1">Área!P7</f>
        <v>ER-3</v>
      </c>
      <c r="AA61" s="399"/>
      <c r="AB61" s="399"/>
      <c r="AC61" s="399"/>
      <c r="AD61" s="399" t="str">
        <f ca="1">Área!Q7</f>
        <v>ER-4</v>
      </c>
      <c r="AE61" s="399"/>
      <c r="AF61" s="399"/>
      <c r="AG61" s="399"/>
      <c r="AH61" s="400" t="str">
        <f ca="1">Área!R7</f>
        <v>---</v>
      </c>
      <c r="AI61" s="400"/>
      <c r="AJ61" s="400" t="str">
        <f ca="1">Área!S7</f>
        <v>---</v>
      </c>
      <c r="AK61" s="400"/>
      <c r="AL61" s="400" t="str">
        <f ca="1">Área!T7</f>
        <v>---</v>
      </c>
      <c r="AM61" s="400"/>
      <c r="AN61" s="400" t="str">
        <f ca="1">Área!U7</f>
        <v>---</v>
      </c>
      <c r="AO61" s="400"/>
      <c r="AP61" s="422" t="str">
        <f ca="1">IFERROR(Área!Z7,"")</f>
        <v>Pend. Compra</v>
      </c>
      <c r="AQ61" s="422"/>
      <c r="AR61" s="400">
        <f ca="1">Área!Y7</f>
        <v>0</v>
      </c>
      <c r="AS61" s="423"/>
      <c r="AT61" s="72"/>
    </row>
    <row r="62" spans="1:47" ht="12" customHeight="1" x14ac:dyDescent="0.25">
      <c r="A62"/>
      <c r="B62"/>
      <c r="C62" s="397" t="str">
        <f ca="1">Área!C8</f>
        <v>CDC-02290</v>
      </c>
      <c r="D62" s="398"/>
      <c r="E62" s="398"/>
      <c r="F62" s="398"/>
      <c r="G62" s="396" t="str">
        <f ca="1">Área!F8</f>
        <v>FO</v>
      </c>
      <c r="H62" s="396"/>
      <c r="I62" s="398" t="str">
        <f ca="1">Área!G8</f>
        <v>CORDÃO ÓPTICO</v>
      </c>
      <c r="J62" s="398"/>
      <c r="K62" s="396" t="str">
        <f ca="1">Área!H8</f>
        <v>-</v>
      </c>
      <c r="L62" s="396"/>
      <c r="M62" s="396" t="str">
        <f ca="1">Área!I8</f>
        <v>-</v>
      </c>
      <c r="N62" s="396"/>
      <c r="O62" s="396">
        <f ca="1">Área!J8</f>
        <v>1</v>
      </c>
      <c r="P62" s="396"/>
      <c r="Q62" s="396">
        <f ca="1">Área!K8</f>
        <v>1</v>
      </c>
      <c r="R62" s="396"/>
      <c r="S62" s="396">
        <f ca="1">Área!L8</f>
        <v>2.5</v>
      </c>
      <c r="T62" s="396"/>
      <c r="U62" s="396">
        <f ca="1">Área!N8</f>
        <v>2.5</v>
      </c>
      <c r="V62" s="396"/>
      <c r="W62" s="396">
        <f ca="1">Área!M8</f>
        <v>2.5</v>
      </c>
      <c r="X62" s="396"/>
      <c r="Y62" s="89">
        <f ca="1">Área!O8</f>
        <v>1</v>
      </c>
      <c r="Z62" s="399" t="str">
        <f ca="1">Área!P8</f>
        <v>DIO-120-104 (30LV)</v>
      </c>
      <c r="AA62" s="399"/>
      <c r="AB62" s="399"/>
      <c r="AC62" s="399"/>
      <c r="AD62" s="399" t="str">
        <f ca="1">Área!Q8</f>
        <v>SWT-120-105 (30LV)</v>
      </c>
      <c r="AE62" s="399"/>
      <c r="AF62" s="399"/>
      <c r="AG62" s="399"/>
      <c r="AH62" s="400" t="str">
        <f ca="1">Área!R8</f>
        <v>---</v>
      </c>
      <c r="AI62" s="400"/>
      <c r="AJ62" s="400" t="str">
        <f ca="1">Área!S8</f>
        <v>---</v>
      </c>
      <c r="AK62" s="400"/>
      <c r="AL62" s="400" t="str">
        <f ca="1">Área!T8</f>
        <v>---</v>
      </c>
      <c r="AM62" s="400"/>
      <c r="AN62" s="400" t="str">
        <f ca="1">Área!U8</f>
        <v>---</v>
      </c>
      <c r="AO62" s="400"/>
      <c r="AP62" s="422" t="str">
        <f ca="1">IFERROR(Área!Z8,"")</f>
        <v>Disponível</v>
      </c>
      <c r="AQ62" s="422"/>
      <c r="AR62" s="400">
        <f ca="1">Área!Y8</f>
        <v>0</v>
      </c>
      <c r="AS62" s="423"/>
      <c r="AT62" s="72"/>
    </row>
    <row r="63" spans="1:47" ht="12" customHeight="1" x14ac:dyDescent="0.25">
      <c r="A63"/>
      <c r="B63"/>
      <c r="C63" s="397" t="str">
        <f ca="1">Área!C9</f>
        <v>CDC-02331</v>
      </c>
      <c r="D63" s="398"/>
      <c r="E63" s="398"/>
      <c r="F63" s="398"/>
      <c r="G63" s="396" t="str">
        <f ca="1">Área!F9</f>
        <v>FO</v>
      </c>
      <c r="H63" s="396"/>
      <c r="I63" s="398" t="str">
        <f ca="1">Área!G9</f>
        <v>CORDÃO ÓPTICO</v>
      </c>
      <c r="J63" s="398"/>
      <c r="K63" s="396" t="str">
        <f ca="1">Área!H9</f>
        <v>-</v>
      </c>
      <c r="L63" s="396"/>
      <c r="M63" s="396" t="str">
        <f ca="1">Área!I9</f>
        <v>-</v>
      </c>
      <c r="N63" s="396"/>
      <c r="O63" s="396">
        <f ca="1">Área!J9</f>
        <v>1</v>
      </c>
      <c r="P63" s="396"/>
      <c r="Q63" s="396">
        <f ca="1">Área!K9</f>
        <v>1</v>
      </c>
      <c r="R63" s="396"/>
      <c r="S63" s="396">
        <f ca="1">Área!L9</f>
        <v>5</v>
      </c>
      <c r="T63" s="396"/>
      <c r="U63" s="396">
        <f ca="1">Área!N9</f>
        <v>5</v>
      </c>
      <c r="V63" s="396"/>
      <c r="W63" s="396">
        <f ca="1">Área!M9</f>
        <v>5</v>
      </c>
      <c r="X63" s="396"/>
      <c r="Y63" s="89">
        <f ca="1">Área!O9</f>
        <v>1</v>
      </c>
      <c r="Z63" s="399" t="str">
        <f ca="1">Área!P9</f>
        <v>PI-1205 (ACESSO REMOTO)</v>
      </c>
      <c r="AA63" s="399"/>
      <c r="AB63" s="399"/>
      <c r="AC63" s="399"/>
      <c r="AD63" s="399" t="str">
        <f ca="1">Área!Q9</f>
        <v>SWT-120-105 (30LV)</v>
      </c>
      <c r="AE63" s="399"/>
      <c r="AF63" s="399"/>
      <c r="AG63" s="399"/>
      <c r="AH63" s="400" t="str">
        <f ca="1">Área!R9</f>
        <v>---</v>
      </c>
      <c r="AI63" s="400"/>
      <c r="AJ63" s="400" t="str">
        <f ca="1">Área!S9</f>
        <v>---</v>
      </c>
      <c r="AK63" s="400"/>
      <c r="AL63" s="400" t="str">
        <f ca="1">Área!T9</f>
        <v>---</v>
      </c>
      <c r="AM63" s="400"/>
      <c r="AN63" s="400" t="str">
        <f ca="1">Área!U9</f>
        <v>---</v>
      </c>
      <c r="AO63" s="400"/>
      <c r="AP63" s="422" t="str">
        <f ca="1">IFERROR(Área!Z9,"")</f>
        <v>Disponível</v>
      </c>
      <c r="AQ63" s="422"/>
      <c r="AR63" s="400">
        <f ca="1">Área!Y9</f>
        <v>0</v>
      </c>
      <c r="AS63" s="423"/>
      <c r="AT63" s="72"/>
    </row>
    <row r="64" spans="1:47" ht="12" customHeight="1" x14ac:dyDescent="0.25">
      <c r="A64"/>
      <c r="B64"/>
      <c r="C64" s="397" t="str">
        <f ca="1">Área!C10</f>
        <v>7HV-1HV-001C</v>
      </c>
      <c r="D64" s="398"/>
      <c r="E64" s="398"/>
      <c r="F64" s="398"/>
      <c r="G64" s="396" t="str">
        <f ca="1">Área!F10</f>
        <v>FO</v>
      </c>
      <c r="H64" s="396"/>
      <c r="I64" s="398" t="str">
        <f ca="1">Área!G10</f>
        <v>CABO ÓPTICO 4 VIAS</v>
      </c>
      <c r="J64" s="398"/>
      <c r="K64" s="396" t="str">
        <f ca="1">Área!H10</f>
        <v>-</v>
      </c>
      <c r="L64" s="396"/>
      <c r="M64" s="396" t="str">
        <f ca="1">Área!I10</f>
        <v>-</v>
      </c>
      <c r="N64" s="396"/>
      <c r="O64" s="396">
        <f ca="1">Área!J10</f>
        <v>1</v>
      </c>
      <c r="P64" s="396"/>
      <c r="Q64" s="396">
        <f ca="1">Área!K10</f>
        <v>1</v>
      </c>
      <c r="R64" s="396"/>
      <c r="S64" s="396">
        <f ca="1">Área!L10</f>
        <v>450</v>
      </c>
      <c r="T64" s="396"/>
      <c r="U64" s="396">
        <f ca="1">Área!N10</f>
        <v>450</v>
      </c>
      <c r="V64" s="396"/>
      <c r="W64" s="396">
        <f ca="1">Área!M10</f>
        <v>450</v>
      </c>
      <c r="X64" s="396"/>
      <c r="Y64" s="89">
        <f ca="1">Área!O10</f>
        <v>1</v>
      </c>
      <c r="Z64" s="399" t="str">
        <f ca="1">Área!P10</f>
        <v>7HV</v>
      </c>
      <c r="AA64" s="399"/>
      <c r="AB64" s="399"/>
      <c r="AC64" s="399"/>
      <c r="AD64" s="399" t="str">
        <f ca="1">Área!Q10</f>
        <v>REMOTA 1HV</v>
      </c>
      <c r="AE64" s="399"/>
      <c r="AF64" s="399"/>
      <c r="AG64" s="399"/>
      <c r="AH64" s="400" t="str">
        <f ca="1">Área!R10</f>
        <v>---</v>
      </c>
      <c r="AI64" s="400"/>
      <c r="AJ64" s="400" t="str">
        <f ca="1">Área!S10</f>
        <v>---</v>
      </c>
      <c r="AK64" s="400"/>
      <c r="AL64" s="400" t="str">
        <f ca="1">Área!T10</f>
        <v>---</v>
      </c>
      <c r="AM64" s="400"/>
      <c r="AN64" s="400" t="str">
        <f ca="1">Área!U10</f>
        <v>---</v>
      </c>
      <c r="AO64" s="400"/>
      <c r="AP64" s="422" t="str">
        <f ca="1">IFERROR(Área!Z10,"")</f>
        <v>Disponível</v>
      </c>
      <c r="AQ64" s="422"/>
      <c r="AR64" s="400">
        <f ca="1">Área!Y10</f>
        <v>0</v>
      </c>
      <c r="AS64" s="423"/>
      <c r="AT64" s="72"/>
    </row>
    <row r="65" spans="1:46" ht="12" customHeight="1" x14ac:dyDescent="0.25">
      <c r="A65"/>
      <c r="B65"/>
      <c r="C65" s="397" t="str">
        <f ca="1">Área!C11</f>
        <v>CBO005-RS</v>
      </c>
      <c r="D65" s="398"/>
      <c r="E65" s="398"/>
      <c r="F65" s="398"/>
      <c r="G65" s="396" t="str">
        <f ca="1">Área!F11</f>
        <v>FO</v>
      </c>
      <c r="H65" s="396"/>
      <c r="I65" s="398" t="str">
        <f ca="1">Área!G11</f>
        <v>CABO ÓPTICO 4 VIAS</v>
      </c>
      <c r="J65" s="398"/>
      <c r="K65" s="396" t="str">
        <f ca="1">Área!H11</f>
        <v>-</v>
      </c>
      <c r="L65" s="396"/>
      <c r="M65" s="396" t="str">
        <f ca="1">Área!I11</f>
        <v>-</v>
      </c>
      <c r="N65" s="396"/>
      <c r="O65" s="396">
        <f ca="1">Área!J11</f>
        <v>1</v>
      </c>
      <c r="P65" s="396"/>
      <c r="Q65" s="396">
        <f ca="1">Área!K11</f>
        <v>1</v>
      </c>
      <c r="R65" s="396"/>
      <c r="S65" s="396">
        <f ca="1">Área!L11</f>
        <v>450</v>
      </c>
      <c r="T65" s="396"/>
      <c r="U65" s="396">
        <f ca="1">Área!N11</f>
        <v>450</v>
      </c>
      <c r="V65" s="396"/>
      <c r="W65" s="396">
        <f ca="1">Área!M11</f>
        <v>450</v>
      </c>
      <c r="X65" s="396"/>
      <c r="Y65" s="89">
        <f ca="1">Área!O11</f>
        <v>1</v>
      </c>
      <c r="Z65" s="399" t="str">
        <f ca="1">Área!P11</f>
        <v>PSDC2-DIO</v>
      </c>
      <c r="AA65" s="399"/>
      <c r="AB65" s="399"/>
      <c r="AC65" s="399"/>
      <c r="AD65" s="399" t="str">
        <f ca="1">Área!Q11</f>
        <v>PSDC4-DIO1</v>
      </c>
      <c r="AE65" s="399"/>
      <c r="AF65" s="399"/>
      <c r="AG65" s="399"/>
      <c r="AH65" s="400" t="str">
        <f ca="1">Área!R11</f>
        <v>---</v>
      </c>
      <c r="AI65" s="400"/>
      <c r="AJ65" s="400" t="str">
        <f ca="1">Área!S11</f>
        <v>---</v>
      </c>
      <c r="AK65" s="400"/>
      <c r="AL65" s="400" t="str">
        <f ca="1">Área!T11</f>
        <v>---</v>
      </c>
      <c r="AM65" s="400"/>
      <c r="AN65" s="400" t="str">
        <f ca="1">Área!U11</f>
        <v>---</v>
      </c>
      <c r="AO65" s="400"/>
      <c r="AP65" s="422" t="str">
        <f ca="1">IFERROR(Área!Z11,"")</f>
        <v>Disponível</v>
      </c>
      <c r="AQ65" s="422"/>
      <c r="AR65" s="400">
        <f ca="1">Área!Y11</f>
        <v>8</v>
      </c>
      <c r="AS65" s="423"/>
      <c r="AT65" s="72"/>
    </row>
    <row r="66" spans="1:46" ht="12" customHeight="1" x14ac:dyDescent="0.25">
      <c r="A66"/>
      <c r="B66"/>
      <c r="C66" s="397" t="str">
        <f ca="1">Área!C12</f>
        <v>CDC-12009</v>
      </c>
      <c r="D66" s="398"/>
      <c r="E66" s="398"/>
      <c r="F66" s="398"/>
      <c r="G66" s="396" t="str">
        <f ca="1">Área!F12</f>
        <v>FO</v>
      </c>
      <c r="H66" s="396"/>
      <c r="I66" s="398" t="str">
        <f ca="1">Área!G12</f>
        <v>FIBRA OPTICA SM 6 PARES</v>
      </c>
      <c r="J66" s="398"/>
      <c r="K66" s="396" t="str">
        <f ca="1">Área!H12</f>
        <v>-</v>
      </c>
      <c r="L66" s="396"/>
      <c r="M66" s="396" t="str">
        <f ca="1">Área!I12</f>
        <v>-</v>
      </c>
      <c r="N66" s="396"/>
      <c r="O66" s="396">
        <f ca="1">Área!J12</f>
        <v>1</v>
      </c>
      <c r="P66" s="396"/>
      <c r="Q66" s="396">
        <f ca="1">Área!K12</f>
        <v>1</v>
      </c>
      <c r="R66" s="396"/>
      <c r="S66" s="396">
        <f ca="1">Área!L12</f>
        <v>125</v>
      </c>
      <c r="T66" s="396"/>
      <c r="U66" s="396">
        <f ca="1">Área!N12</f>
        <v>148</v>
      </c>
      <c r="V66" s="396"/>
      <c r="W66" s="396">
        <f ca="1">Área!M12</f>
        <v>148</v>
      </c>
      <c r="X66" s="396"/>
      <c r="Y66" s="89">
        <f ca="1">Área!O12</f>
        <v>1</v>
      </c>
      <c r="Z66" s="399" t="str">
        <f ca="1">Área!P12</f>
        <v>RACK 7HV - RCK-120-102</v>
      </c>
      <c r="AA66" s="399"/>
      <c r="AB66" s="399"/>
      <c r="AC66" s="399"/>
      <c r="AD66" s="399" t="str">
        <f ca="1">Área!Q12</f>
        <v>RCK-120-103 - RACK 30LV</v>
      </c>
      <c r="AE66" s="399"/>
      <c r="AF66" s="399"/>
      <c r="AG66" s="399"/>
      <c r="AH66" s="400" t="str">
        <f ca="1">Área!R12</f>
        <v>---</v>
      </c>
      <c r="AI66" s="400"/>
      <c r="AJ66" s="400" t="str">
        <f ca="1">Área!S12</f>
        <v>---</v>
      </c>
      <c r="AK66" s="400"/>
      <c r="AL66" s="400" t="str">
        <f ca="1">Área!T12</f>
        <v>---</v>
      </c>
      <c r="AM66" s="400"/>
      <c r="AN66" s="400" t="str">
        <f ca="1">Área!U12</f>
        <v>---</v>
      </c>
      <c r="AO66" s="400"/>
      <c r="AP66" s="422" t="str">
        <f ca="1">IFERROR(Área!Z12,"")</f>
        <v>Disponível</v>
      </c>
      <c r="AQ66" s="422"/>
      <c r="AR66" s="400">
        <f ca="1">Área!Y12</f>
        <v>0</v>
      </c>
      <c r="AS66" s="423"/>
      <c r="AT66" s="72"/>
    </row>
    <row r="67" spans="1:46" ht="12" customHeight="1" x14ac:dyDescent="0.25">
      <c r="A67"/>
      <c r="B67"/>
      <c r="C67" s="397" t="str">
        <f ca="1">Área!C13</f>
        <v>CDC-12007</v>
      </c>
      <c r="D67" s="398"/>
      <c r="E67" s="398"/>
      <c r="F67" s="398"/>
      <c r="G67" s="396" t="str">
        <f ca="1">Área!F13</f>
        <v>FO</v>
      </c>
      <c r="H67" s="396"/>
      <c r="I67" s="398" t="str">
        <f ca="1">Área!G13</f>
        <v>FIBRA OPTICA SM 6 PARES</v>
      </c>
      <c r="J67" s="398"/>
      <c r="K67" s="396" t="str">
        <f ca="1">Área!H13</f>
        <v>-</v>
      </c>
      <c r="L67" s="396"/>
      <c r="M67" s="396" t="str">
        <f ca="1">Área!I13</f>
        <v>-</v>
      </c>
      <c r="N67" s="396"/>
      <c r="O67" s="396">
        <f ca="1">Área!J13</f>
        <v>1</v>
      </c>
      <c r="P67" s="396"/>
      <c r="Q67" s="396">
        <f ca="1">Área!K13</f>
        <v>1</v>
      </c>
      <c r="R67" s="396"/>
      <c r="S67" s="396">
        <f ca="1">Área!L13</f>
        <v>220</v>
      </c>
      <c r="T67" s="396"/>
      <c r="U67" s="396">
        <f ca="1">Área!N13</f>
        <v>350</v>
      </c>
      <c r="V67" s="396"/>
      <c r="W67" s="396">
        <f ca="1">Área!M13</f>
        <v>350</v>
      </c>
      <c r="X67" s="396"/>
      <c r="Y67" s="89">
        <f ca="1">Área!O13</f>
        <v>1</v>
      </c>
      <c r="Z67" s="399" t="str">
        <f ca="1">Área!P13</f>
        <v>DIO-120-104 (RCK-120-102) / ELETROCENTRO MOTORIZAÇÃO</v>
      </c>
      <c r="AA67" s="399"/>
      <c r="AB67" s="399"/>
      <c r="AC67" s="399"/>
      <c r="AD67" s="399" t="str">
        <f ca="1">Área!Q13</f>
        <v>DIO-CCP-104 (RCK-CCP-101) / CCP</v>
      </c>
      <c r="AE67" s="399"/>
      <c r="AF67" s="399"/>
      <c r="AG67" s="399"/>
      <c r="AH67" s="400" t="str">
        <f ca="1">Área!R13</f>
        <v>---</v>
      </c>
      <c r="AI67" s="400"/>
      <c r="AJ67" s="400" t="str">
        <f ca="1">Área!S13</f>
        <v>---</v>
      </c>
      <c r="AK67" s="400"/>
      <c r="AL67" s="400" t="str">
        <f ca="1">Área!T13</f>
        <v>---</v>
      </c>
      <c r="AM67" s="400"/>
      <c r="AN67" s="400" t="str">
        <f ca="1">Área!U13</f>
        <v>---</v>
      </c>
      <c r="AO67" s="400"/>
      <c r="AP67" s="422" t="str">
        <f ca="1">IFERROR(Área!Z13,"")</f>
        <v>Disponível</v>
      </c>
      <c r="AQ67" s="422"/>
      <c r="AR67" s="400">
        <f ca="1">Área!Y13</f>
        <v>0</v>
      </c>
      <c r="AS67" s="423"/>
      <c r="AT67" s="72"/>
    </row>
    <row r="68" spans="1:46" ht="12" customHeight="1" x14ac:dyDescent="0.25">
      <c r="A68"/>
      <c r="B68"/>
      <c r="C68" s="397" t="str">
        <f ca="1">Área!C14</f>
        <v>CDC-12010</v>
      </c>
      <c r="D68" s="398"/>
      <c r="E68" s="398"/>
      <c r="F68" s="398"/>
      <c r="G68" s="396" t="str">
        <f ca="1">Área!F14</f>
        <v>FO</v>
      </c>
      <c r="H68" s="396"/>
      <c r="I68" s="398" t="str">
        <f ca="1">Área!G14</f>
        <v>FIBRA OPTICA SM 6 PARES</v>
      </c>
      <c r="J68" s="398"/>
      <c r="K68" s="396" t="str">
        <f ca="1">Área!H14</f>
        <v>-</v>
      </c>
      <c r="L68" s="396"/>
      <c r="M68" s="396" t="str">
        <f ca="1">Área!I14</f>
        <v>-</v>
      </c>
      <c r="N68" s="396"/>
      <c r="O68" s="396">
        <f ca="1">Área!J14</f>
        <v>1</v>
      </c>
      <c r="P68" s="396"/>
      <c r="Q68" s="396">
        <f ca="1">Área!K14</f>
        <v>1</v>
      </c>
      <c r="R68" s="396"/>
      <c r="S68" s="396">
        <f ca="1">Área!L14</f>
        <v>350</v>
      </c>
      <c r="T68" s="396"/>
      <c r="U68" s="396">
        <f ca="1">Área!N14</f>
        <v>350</v>
      </c>
      <c r="V68" s="396"/>
      <c r="W68" s="396">
        <f ca="1">Área!M14</f>
        <v>350</v>
      </c>
      <c r="X68" s="396"/>
      <c r="Y68" s="89">
        <f ca="1">Área!O14</f>
        <v>1</v>
      </c>
      <c r="Z68" s="399" t="str">
        <f ca="1">Área!P14</f>
        <v>RACK 7HV - RCK-120-102</v>
      </c>
      <c r="AA68" s="399"/>
      <c r="AB68" s="399"/>
      <c r="AC68" s="399"/>
      <c r="AD68" s="399" t="str">
        <f ca="1">Área!Q14</f>
        <v>RACK CCP - RCK-90-105</v>
      </c>
      <c r="AE68" s="399"/>
      <c r="AF68" s="399"/>
      <c r="AG68" s="399"/>
      <c r="AH68" s="400" t="str">
        <f ca="1">Área!R14</f>
        <v>---</v>
      </c>
      <c r="AI68" s="400"/>
      <c r="AJ68" s="400" t="str">
        <f ca="1">Área!S14</f>
        <v>---</v>
      </c>
      <c r="AK68" s="400"/>
      <c r="AL68" s="400" t="str">
        <f ca="1">Área!T14</f>
        <v>---</v>
      </c>
      <c r="AM68" s="400"/>
      <c r="AN68" s="400" t="str">
        <f ca="1">Área!U14</f>
        <v>---</v>
      </c>
      <c r="AO68" s="400"/>
      <c r="AP68" s="422" t="str">
        <f ca="1">IFERROR(Área!Z14,"")</f>
        <v>Disponível</v>
      </c>
      <c r="AQ68" s="422"/>
      <c r="AR68" s="400">
        <f ca="1">Área!Y14</f>
        <v>0</v>
      </c>
      <c r="AS68" s="423"/>
      <c r="AT68" s="72"/>
    </row>
    <row r="69" spans="1:46" ht="12" customHeight="1" x14ac:dyDescent="0.25">
      <c r="A69"/>
      <c r="B69"/>
      <c r="C69" s="397" t="str">
        <f ca="1">Área!C15</f>
        <v>CBO006-RS</v>
      </c>
      <c r="D69" s="398"/>
      <c r="E69" s="398"/>
      <c r="F69" s="398"/>
      <c r="G69" s="396" t="str">
        <f ca="1">Área!F15</f>
        <v>FO</v>
      </c>
      <c r="H69" s="396"/>
      <c r="I69" s="398" t="str">
        <f ca="1">Área!G15</f>
        <v>CABO ÓPTICO 4 VIAS</v>
      </c>
      <c r="J69" s="398"/>
      <c r="K69" s="396" t="str">
        <f ca="1">Área!H15</f>
        <v>-</v>
      </c>
      <c r="L69" s="396"/>
      <c r="M69" s="396" t="str">
        <f ca="1">Área!I15</f>
        <v>-</v>
      </c>
      <c r="N69" s="396"/>
      <c r="O69" s="396">
        <f ca="1">Área!J15</f>
        <v>1</v>
      </c>
      <c r="P69" s="396"/>
      <c r="Q69" s="396">
        <f ca="1">Área!K15</f>
        <v>1</v>
      </c>
      <c r="R69" s="396"/>
      <c r="S69" s="396">
        <f ca="1">Área!L15</f>
        <v>950</v>
      </c>
      <c r="T69" s="396"/>
      <c r="U69" s="396">
        <f ca="1">Área!N15</f>
        <v>1150</v>
      </c>
      <c r="V69" s="396"/>
      <c r="W69" s="396">
        <f ca="1">Área!M15</f>
        <v>1150</v>
      </c>
      <c r="X69" s="396"/>
      <c r="Y69" s="89">
        <f ca="1">Área!O15</f>
        <v>1</v>
      </c>
      <c r="Z69" s="399" t="str">
        <f ca="1">Área!P15</f>
        <v>PSDC4 - DIO1</v>
      </c>
      <c r="AA69" s="399"/>
      <c r="AB69" s="399"/>
      <c r="AC69" s="399"/>
      <c r="AD69" s="399" t="str">
        <f ca="1">Área!Q15</f>
        <v>PSINC1 - DOI 1</v>
      </c>
      <c r="AE69" s="399"/>
      <c r="AF69" s="399"/>
      <c r="AG69" s="399"/>
      <c r="AH69" s="400" t="str">
        <f ca="1">Área!R15</f>
        <v>---</v>
      </c>
      <c r="AI69" s="400"/>
      <c r="AJ69" s="400" t="str">
        <f ca="1">Área!S15</f>
        <v>---</v>
      </c>
      <c r="AK69" s="400"/>
      <c r="AL69" s="400" t="str">
        <f ca="1">Área!T15</f>
        <v>---</v>
      </c>
      <c r="AM69" s="400"/>
      <c r="AN69" s="400" t="str">
        <f ca="1">Área!U15</f>
        <v>---</v>
      </c>
      <c r="AO69" s="400"/>
      <c r="AP69" s="422" t="str">
        <f ca="1">IFERROR(Área!Z15,"")</f>
        <v>Disponível</v>
      </c>
      <c r="AQ69" s="422"/>
      <c r="AR69" s="400">
        <f ca="1">Área!Y15</f>
        <v>8</v>
      </c>
      <c r="AS69" s="423"/>
      <c r="AT69" s="72"/>
    </row>
    <row r="70" spans="1:46" ht="12" customHeight="1" x14ac:dyDescent="0.25">
      <c r="A70"/>
      <c r="B70"/>
      <c r="C70" s="397" t="str">
        <f ca="1">Área!C16</f>
        <v>CO020-RS</v>
      </c>
      <c r="D70" s="398"/>
      <c r="E70" s="398"/>
      <c r="F70" s="398"/>
      <c r="G70" s="396" t="str">
        <f ca="1">Área!F16</f>
        <v>FO</v>
      </c>
      <c r="H70" s="396"/>
      <c r="I70" s="398" t="str">
        <f ca="1">Área!G16</f>
        <v>CORDÃO ÓPTICO</v>
      </c>
      <c r="J70" s="398"/>
      <c r="K70" s="396" t="str">
        <f ca="1">Área!H16</f>
        <v>-</v>
      </c>
      <c r="L70" s="396"/>
      <c r="M70" s="396" t="str">
        <f ca="1">Área!I16</f>
        <v>-</v>
      </c>
      <c r="N70" s="396"/>
      <c r="O70" s="396">
        <f ca="1">Área!J16</f>
        <v>1</v>
      </c>
      <c r="P70" s="396"/>
      <c r="Q70" s="396" t="str">
        <f ca="1">Área!K16</f>
        <v/>
      </c>
      <c r="R70" s="396"/>
      <c r="S70" s="396">
        <f ca="1">Área!L16</f>
        <v>10</v>
      </c>
      <c r="T70" s="396"/>
      <c r="U70" s="396" t="str">
        <f ca="1">Área!N16</f>
        <v/>
      </c>
      <c r="V70" s="396"/>
      <c r="W70" s="396">
        <f ca="1">Área!M16</f>
        <v>10</v>
      </c>
      <c r="X70" s="396"/>
      <c r="Y70" s="89" t="str">
        <f ca="1">Área!O16</f>
        <v/>
      </c>
      <c r="Z70" s="399" t="str">
        <f ca="1">Área!P16</f>
        <v>PSDC1-DIO2</v>
      </c>
      <c r="AA70" s="399"/>
      <c r="AB70" s="399"/>
      <c r="AC70" s="399"/>
      <c r="AD70" s="399" t="str">
        <f ca="1">Área!Q16</f>
        <v>PSINC2-USINC2A</v>
      </c>
      <c r="AE70" s="399"/>
      <c r="AF70" s="399"/>
      <c r="AG70" s="399"/>
      <c r="AH70" s="400" t="str">
        <f ca="1">Área!R16</f>
        <v>---</v>
      </c>
      <c r="AI70" s="400"/>
      <c r="AJ70" s="400" t="str">
        <f ca="1">Área!S16</f>
        <v>---</v>
      </c>
      <c r="AK70" s="400"/>
      <c r="AL70" s="400" t="str">
        <f ca="1">Área!T16</f>
        <v>---</v>
      </c>
      <c r="AM70" s="400"/>
      <c r="AN70" s="400" t="str">
        <f ca="1">Área!U16</f>
        <v>---</v>
      </c>
      <c r="AO70" s="400"/>
      <c r="AP70" s="422" t="str">
        <f ca="1">IFERROR(Área!Z16,"")</f>
        <v>Disponível</v>
      </c>
      <c r="AQ70" s="422"/>
      <c r="AR70" s="400">
        <f ca="1">Área!Y16</f>
        <v>0</v>
      </c>
      <c r="AS70" s="423"/>
      <c r="AT70" s="72"/>
    </row>
    <row r="71" spans="1:46" ht="12" customHeight="1" x14ac:dyDescent="0.25">
      <c r="A71"/>
      <c r="B71"/>
      <c r="C71" s="397" t="str">
        <f ca="1">Área!C17</f>
        <v>CO008-RS</v>
      </c>
      <c r="D71" s="398"/>
      <c r="E71" s="398"/>
      <c r="F71" s="398"/>
      <c r="G71" s="396" t="str">
        <f ca="1">Área!F17</f>
        <v>FO</v>
      </c>
      <c r="H71" s="396"/>
      <c r="I71" s="398" t="str">
        <f ca="1">Área!G17</f>
        <v>CORDÃO ÓPTICO</v>
      </c>
      <c r="J71" s="398"/>
      <c r="K71" s="396" t="str">
        <f ca="1">Área!H17</f>
        <v>-</v>
      </c>
      <c r="L71" s="396"/>
      <c r="M71" s="396" t="str">
        <f ca="1">Área!I17</f>
        <v>-</v>
      </c>
      <c r="N71" s="396"/>
      <c r="O71" s="396">
        <f ca="1">Área!J17</f>
        <v>1</v>
      </c>
      <c r="P71" s="396"/>
      <c r="Q71" s="396" t="str">
        <f ca="1">Área!K17</f>
        <v/>
      </c>
      <c r="R71" s="396"/>
      <c r="S71" s="396">
        <f ca="1">Área!L17</f>
        <v>5</v>
      </c>
      <c r="T71" s="396"/>
      <c r="U71" s="396" t="str">
        <f ca="1">Área!N17</f>
        <v/>
      </c>
      <c r="V71" s="396"/>
      <c r="W71" s="396">
        <f ca="1">Área!M17</f>
        <v>5</v>
      </c>
      <c r="X71" s="396"/>
      <c r="Y71" s="89" t="str">
        <f ca="1">Área!O17</f>
        <v/>
      </c>
      <c r="Z71" s="399" t="str">
        <f ca="1">Área!P17</f>
        <v>PSDC1-UDC1</v>
      </c>
      <c r="AA71" s="399"/>
      <c r="AB71" s="399"/>
      <c r="AC71" s="399"/>
      <c r="AD71" s="399" t="str">
        <f ca="1">Área!Q17</f>
        <v>PSINC2-USINC2P</v>
      </c>
      <c r="AE71" s="399"/>
      <c r="AF71" s="399"/>
      <c r="AG71" s="399"/>
      <c r="AH71" s="400" t="str">
        <f ca="1">Área!R17</f>
        <v>---</v>
      </c>
      <c r="AI71" s="400"/>
      <c r="AJ71" s="400" t="str">
        <f ca="1">Área!S17</f>
        <v>---</v>
      </c>
      <c r="AK71" s="400"/>
      <c r="AL71" s="400" t="str">
        <f ca="1">Área!T17</f>
        <v>---</v>
      </c>
      <c r="AM71" s="400"/>
      <c r="AN71" s="400" t="str">
        <f ca="1">Área!U17</f>
        <v>---</v>
      </c>
      <c r="AO71" s="400"/>
      <c r="AP71" s="422" t="str">
        <f ca="1">IFERROR(Área!Z17,"")</f>
        <v>Disponível</v>
      </c>
      <c r="AQ71" s="422"/>
      <c r="AR71" s="400">
        <f ca="1">Área!Y17</f>
        <v>0</v>
      </c>
      <c r="AS71" s="423"/>
      <c r="AT71" s="72"/>
    </row>
    <row r="72" spans="1:46" ht="12" customHeight="1" x14ac:dyDescent="0.25">
      <c r="A72"/>
      <c r="B72"/>
      <c r="C72" s="397" t="str">
        <f ca="1">Área!C18</f>
        <v>CBO003-RS</v>
      </c>
      <c r="D72" s="398"/>
      <c r="E72" s="398"/>
      <c r="F72" s="398"/>
      <c r="G72" s="396" t="str">
        <f ca="1">Área!F18</f>
        <v>FO</v>
      </c>
      <c r="H72" s="396"/>
      <c r="I72" s="398" t="str">
        <f ca="1">Área!G18</f>
        <v>CABO ÓPTICO 4 VIAS</v>
      </c>
      <c r="J72" s="398"/>
      <c r="K72" s="396" t="str">
        <f ca="1">Área!H18</f>
        <v>-</v>
      </c>
      <c r="L72" s="396"/>
      <c r="M72" s="396" t="str">
        <f ca="1">Área!I18</f>
        <v>-</v>
      </c>
      <c r="N72" s="396"/>
      <c r="O72" s="396">
        <f ca="1">Área!J18</f>
        <v>1</v>
      </c>
      <c r="P72" s="396"/>
      <c r="Q72" s="396">
        <f ca="1">Área!K18</f>
        <v>1</v>
      </c>
      <c r="R72" s="396"/>
      <c r="S72" s="396">
        <f ca="1">Área!L18</f>
        <v>430</v>
      </c>
      <c r="T72" s="396"/>
      <c r="U72" s="396">
        <f ca="1">Área!N18</f>
        <v>430</v>
      </c>
      <c r="V72" s="396"/>
      <c r="W72" s="396">
        <f ca="1">Área!M18</f>
        <v>430</v>
      </c>
      <c r="X72" s="396"/>
      <c r="Y72" s="89">
        <f ca="1">Área!O18</f>
        <v>1</v>
      </c>
      <c r="Z72" s="399" t="str">
        <f ca="1">Área!P18</f>
        <v>PSDC1-DIO2</v>
      </c>
      <c r="AA72" s="399"/>
      <c r="AB72" s="399"/>
      <c r="AC72" s="399"/>
      <c r="AD72" s="399" t="str">
        <f ca="1">Área!Q18</f>
        <v>PSDC2-DIO</v>
      </c>
      <c r="AE72" s="399"/>
      <c r="AF72" s="399"/>
      <c r="AG72" s="399"/>
      <c r="AH72" s="400" t="str">
        <f ca="1">Área!R18</f>
        <v>---</v>
      </c>
      <c r="AI72" s="400"/>
      <c r="AJ72" s="400" t="str">
        <f ca="1">Área!S18</f>
        <v>---</v>
      </c>
      <c r="AK72" s="400"/>
      <c r="AL72" s="400" t="str">
        <f ca="1">Área!T18</f>
        <v>---</v>
      </c>
      <c r="AM72" s="400"/>
      <c r="AN72" s="400" t="str">
        <f ca="1">Área!U18</f>
        <v>---</v>
      </c>
      <c r="AO72" s="400"/>
      <c r="AP72" s="422" t="str">
        <f ca="1">IFERROR(Área!Z18,"")</f>
        <v>Disponível</v>
      </c>
      <c r="AQ72" s="422"/>
      <c r="AR72" s="400">
        <f ca="1">Área!Y18</f>
        <v>8</v>
      </c>
      <c r="AS72" s="423"/>
      <c r="AT72" s="72"/>
    </row>
    <row r="73" spans="1:46" ht="12" customHeight="1" x14ac:dyDescent="0.25">
      <c r="A73"/>
      <c r="B73"/>
      <c r="C73" s="397" t="str">
        <f ca="1">Área!C19</f>
        <v>CBO008-RS</v>
      </c>
      <c r="D73" s="398"/>
      <c r="E73" s="398"/>
      <c r="F73" s="398"/>
      <c r="G73" s="396" t="str">
        <f ca="1">Área!F19</f>
        <v>FO</v>
      </c>
      <c r="H73" s="396"/>
      <c r="I73" s="398" t="str">
        <f ca="1">Área!G19</f>
        <v>CABO ÓPTICO 4 VIAS</v>
      </c>
      <c r="J73" s="398"/>
      <c r="K73" s="396" t="str">
        <f ca="1">Área!H19</f>
        <v>-</v>
      </c>
      <c r="L73" s="396"/>
      <c r="M73" s="396" t="str">
        <f ca="1">Área!I19</f>
        <v>-</v>
      </c>
      <c r="N73" s="396"/>
      <c r="O73" s="396">
        <f ca="1">Área!J19</f>
        <v>1</v>
      </c>
      <c r="P73" s="396"/>
      <c r="Q73" s="396">
        <f ca="1">Área!K19</f>
        <v>1</v>
      </c>
      <c r="R73" s="396"/>
      <c r="S73" s="396">
        <f ca="1">Área!L19</f>
        <v>750</v>
      </c>
      <c r="T73" s="396"/>
      <c r="U73" s="396">
        <f ca="1">Área!N19</f>
        <v>774</v>
      </c>
      <c r="V73" s="396"/>
      <c r="W73" s="396">
        <f ca="1">Área!M19</f>
        <v>774</v>
      </c>
      <c r="X73" s="396"/>
      <c r="Y73" s="89">
        <f ca="1">Área!O19</f>
        <v>1</v>
      </c>
      <c r="Z73" s="399" t="str">
        <f ca="1">Área!P19</f>
        <v>PSDC4-DIO2</v>
      </c>
      <c r="AA73" s="399"/>
      <c r="AB73" s="399"/>
      <c r="AC73" s="399"/>
      <c r="AD73" s="399" t="str">
        <f ca="1">Área!Q19</f>
        <v>8HV-DIO</v>
      </c>
      <c r="AE73" s="399"/>
      <c r="AF73" s="399"/>
      <c r="AG73" s="399"/>
      <c r="AH73" s="400" t="str">
        <f ca="1">Área!R19</f>
        <v>---</v>
      </c>
      <c r="AI73" s="400"/>
      <c r="AJ73" s="400" t="str">
        <f ca="1">Área!S19</f>
        <v>---</v>
      </c>
      <c r="AK73" s="400"/>
      <c r="AL73" s="400" t="str">
        <f ca="1">Área!T19</f>
        <v>---</v>
      </c>
      <c r="AM73" s="400"/>
      <c r="AN73" s="400" t="str">
        <f ca="1">Área!U19</f>
        <v>---</v>
      </c>
      <c r="AO73" s="400"/>
      <c r="AP73" s="422" t="str">
        <f ca="1">IFERROR(Área!Z19,"")</f>
        <v>Disponível</v>
      </c>
      <c r="AQ73" s="422"/>
      <c r="AR73" s="400">
        <f ca="1">Área!Y19</f>
        <v>4</v>
      </c>
      <c r="AS73" s="423"/>
      <c r="AT73" s="72"/>
    </row>
    <row r="74" spans="1:46" ht="12" customHeight="1" x14ac:dyDescent="0.25">
      <c r="A74"/>
      <c r="B74"/>
      <c r="C74" s="397" t="str">
        <f ca="1">Área!C20</f>
        <v>CBO009-PC</v>
      </c>
      <c r="D74" s="398"/>
      <c r="E74" s="398"/>
      <c r="F74" s="398"/>
      <c r="G74" s="396" t="str">
        <f ca="1">Área!F20</f>
        <v>FO</v>
      </c>
      <c r="H74" s="396"/>
      <c r="I74" s="398" t="str">
        <f ca="1">Área!G20</f>
        <v>CABO ÓPTICO 4 VIAS</v>
      </c>
      <c r="J74" s="398"/>
      <c r="K74" s="396" t="str">
        <f ca="1">Área!H20</f>
        <v>-</v>
      </c>
      <c r="L74" s="396"/>
      <c r="M74" s="396" t="str">
        <f ca="1">Área!I20</f>
        <v>-</v>
      </c>
      <c r="N74" s="396"/>
      <c r="O74" s="396">
        <f ca="1">Área!J20</f>
        <v>1</v>
      </c>
      <c r="P74" s="396"/>
      <c r="Q74" s="396">
        <f ca="1">Área!K20</f>
        <v>1</v>
      </c>
      <c r="R74" s="396"/>
      <c r="S74" s="396">
        <f ca="1">Área!L20</f>
        <v>750</v>
      </c>
      <c r="T74" s="396"/>
      <c r="U74" s="396">
        <f ca="1">Área!N20</f>
        <v>774</v>
      </c>
      <c r="V74" s="396"/>
      <c r="W74" s="396">
        <f ca="1">Área!M20</f>
        <v>774</v>
      </c>
      <c r="X74" s="396"/>
      <c r="Y74" s="89">
        <f ca="1">Área!O20</f>
        <v>1</v>
      </c>
      <c r="Z74" s="399" t="str">
        <f ca="1">Área!P20</f>
        <v>8HV-DIO2</v>
      </c>
      <c r="AA74" s="399"/>
      <c r="AB74" s="399"/>
      <c r="AC74" s="399"/>
      <c r="AD74" s="399" t="str">
        <f ca="1">Área!Q20</f>
        <v>PSDC4-DIO</v>
      </c>
      <c r="AE74" s="399"/>
      <c r="AF74" s="399"/>
      <c r="AG74" s="399"/>
      <c r="AH74" s="400" t="str">
        <f ca="1">Área!R20</f>
        <v>---</v>
      </c>
      <c r="AI74" s="400"/>
      <c r="AJ74" s="400" t="str">
        <f ca="1">Área!S20</f>
        <v>---</v>
      </c>
      <c r="AK74" s="400"/>
      <c r="AL74" s="400" t="str">
        <f ca="1">Área!T20</f>
        <v>---</v>
      </c>
      <c r="AM74" s="400"/>
      <c r="AN74" s="400" t="str">
        <f ca="1">Área!U20</f>
        <v>---</v>
      </c>
      <c r="AO74" s="400"/>
      <c r="AP74" s="422" t="str">
        <f ca="1">IFERROR(Área!Z20,"")</f>
        <v>Disponível</v>
      </c>
      <c r="AQ74" s="422"/>
      <c r="AR74" s="400">
        <f ca="1">Área!Y20</f>
        <v>0</v>
      </c>
      <c r="AS74" s="423"/>
      <c r="AT74" s="72"/>
    </row>
    <row r="75" spans="1:46" ht="12" customHeight="1" x14ac:dyDescent="0.25">
      <c r="A75"/>
      <c r="B75"/>
      <c r="C75" s="397" t="str">
        <f ca="1">Área!C21</f>
        <v>CBO001-RS</v>
      </c>
      <c r="D75" s="398"/>
      <c r="E75" s="398"/>
      <c r="F75" s="398"/>
      <c r="G75" s="396" t="str">
        <f ca="1">Área!F21</f>
        <v>FO</v>
      </c>
      <c r="H75" s="396"/>
      <c r="I75" s="398" t="str">
        <f ca="1">Área!G21</f>
        <v>CABO ÓPTICO 4 VIAS</v>
      </c>
      <c r="J75" s="398"/>
      <c r="K75" s="396" t="str">
        <f ca="1">Área!H21</f>
        <v>-</v>
      </c>
      <c r="L75" s="396"/>
      <c r="M75" s="396" t="str">
        <f ca="1">Área!I21</f>
        <v>-</v>
      </c>
      <c r="N75" s="396"/>
      <c r="O75" s="396">
        <f ca="1">Área!J21</f>
        <v>1</v>
      </c>
      <c r="P75" s="396"/>
      <c r="Q75" s="396">
        <f ca="1">Área!K21</f>
        <v>1</v>
      </c>
      <c r="R75" s="396"/>
      <c r="S75" s="396">
        <f ca="1">Área!L21</f>
        <v>230</v>
      </c>
      <c r="T75" s="396"/>
      <c r="U75" s="396">
        <f ca="1">Área!N21</f>
        <v>230</v>
      </c>
      <c r="V75" s="396"/>
      <c r="W75" s="396">
        <f ca="1">Área!M21</f>
        <v>230</v>
      </c>
      <c r="X75" s="396"/>
      <c r="Y75" s="89">
        <f ca="1">Área!O21</f>
        <v>1</v>
      </c>
      <c r="Z75" s="399" t="str">
        <f ca="1">Área!P21</f>
        <v>PSDC1-DIO1</v>
      </c>
      <c r="AA75" s="399"/>
      <c r="AB75" s="399"/>
      <c r="AC75" s="399"/>
      <c r="AD75" s="399" t="str">
        <f ca="1">Área!Q21</f>
        <v>SALA SERVIDORES - CCO-DIO</v>
      </c>
      <c r="AE75" s="399"/>
      <c r="AF75" s="399"/>
      <c r="AG75" s="399"/>
      <c r="AH75" s="400" t="str">
        <f ca="1">Área!R21</f>
        <v>---</v>
      </c>
      <c r="AI75" s="400"/>
      <c r="AJ75" s="400" t="str">
        <f ca="1">Área!S21</f>
        <v>---</v>
      </c>
      <c r="AK75" s="400"/>
      <c r="AL75" s="400" t="str">
        <f ca="1">Área!T21</f>
        <v>---</v>
      </c>
      <c r="AM75" s="400"/>
      <c r="AN75" s="400" t="str">
        <f ca="1">Área!U21</f>
        <v>---</v>
      </c>
      <c r="AO75" s="400"/>
      <c r="AP75" s="422" t="str">
        <f ca="1">IFERROR(Área!Z21,"")</f>
        <v>Disponível</v>
      </c>
      <c r="AQ75" s="422"/>
      <c r="AR75" s="400">
        <f ca="1">Área!Y21</f>
        <v>4</v>
      </c>
      <c r="AS75" s="423"/>
      <c r="AT75" s="72"/>
    </row>
    <row r="76" spans="1:46" ht="12" customHeight="1" x14ac:dyDescent="0.25">
      <c r="A76"/>
      <c r="B76"/>
      <c r="C76" s="397" t="str">
        <f ca="1">Área!C22</f>
        <v>CBO002-RS</v>
      </c>
      <c r="D76" s="398"/>
      <c r="E76" s="398"/>
      <c r="F76" s="398"/>
      <c r="G76" s="396" t="str">
        <f ca="1">Área!F22</f>
        <v>FO</v>
      </c>
      <c r="H76" s="396"/>
      <c r="I76" s="398" t="str">
        <f ca="1">Área!G22</f>
        <v>CABO ÓPTICO 4 VIAS</v>
      </c>
      <c r="J76" s="398"/>
      <c r="K76" s="396" t="str">
        <f ca="1">Área!H22</f>
        <v>-</v>
      </c>
      <c r="L76" s="396"/>
      <c r="M76" s="396" t="str">
        <f ca="1">Área!I22</f>
        <v>-</v>
      </c>
      <c r="N76" s="396"/>
      <c r="O76" s="396">
        <f ca="1">Área!J22</f>
        <v>1</v>
      </c>
      <c r="P76" s="396"/>
      <c r="Q76" s="396">
        <f ca="1">Área!K22</f>
        <v>1</v>
      </c>
      <c r="R76" s="396"/>
      <c r="S76" s="396">
        <f ca="1">Área!L22</f>
        <v>230</v>
      </c>
      <c r="T76" s="396"/>
      <c r="U76" s="396">
        <f ca="1">Área!N22</f>
        <v>230</v>
      </c>
      <c r="V76" s="396"/>
      <c r="W76" s="396">
        <f ca="1">Área!M22</f>
        <v>230</v>
      </c>
      <c r="X76" s="396"/>
      <c r="Y76" s="89">
        <f ca="1">Área!O22</f>
        <v>1</v>
      </c>
      <c r="Z76" s="399" t="str">
        <f ca="1">Área!P22</f>
        <v>PSDC1-DIO1</v>
      </c>
      <c r="AA76" s="399"/>
      <c r="AB76" s="399"/>
      <c r="AC76" s="399"/>
      <c r="AD76" s="399" t="str">
        <f ca="1">Área!Q22</f>
        <v>SALA SERVIDORES - CCO-DIO</v>
      </c>
      <c r="AE76" s="399"/>
      <c r="AF76" s="399"/>
      <c r="AG76" s="399"/>
      <c r="AH76" s="400" t="str">
        <f ca="1">Área!R22</f>
        <v>---</v>
      </c>
      <c r="AI76" s="400"/>
      <c r="AJ76" s="400" t="str">
        <f ca="1">Área!S22</f>
        <v>---</v>
      </c>
      <c r="AK76" s="400"/>
      <c r="AL76" s="400" t="str">
        <f ca="1">Área!T22</f>
        <v>---</v>
      </c>
      <c r="AM76" s="400"/>
      <c r="AN76" s="400" t="str">
        <f ca="1">Área!U22</f>
        <v>---</v>
      </c>
      <c r="AO76" s="400"/>
      <c r="AP76" s="422" t="str">
        <f ca="1">IFERROR(Área!Z22,"")</f>
        <v>Disponível</v>
      </c>
      <c r="AQ76" s="422"/>
      <c r="AR76" s="400">
        <f ca="1">Área!Y22</f>
        <v>4</v>
      </c>
      <c r="AS76" s="423"/>
      <c r="AT76" s="72"/>
    </row>
    <row r="77" spans="1:46" ht="12" customHeight="1" x14ac:dyDescent="0.25">
      <c r="A77"/>
      <c r="B77"/>
      <c r="C77" s="397" t="str">
        <f ca="1">Área!C23</f>
        <v>CDC-17001</v>
      </c>
      <c r="D77" s="398"/>
      <c r="E77" s="398"/>
      <c r="F77" s="398"/>
      <c r="G77" s="396" t="str">
        <f ca="1">Área!F23</f>
        <v>FO</v>
      </c>
      <c r="H77" s="396"/>
      <c r="I77" s="398" t="str">
        <f ca="1">Área!G23</f>
        <v>FIBRA OPTICA MM 3 PARES</v>
      </c>
      <c r="J77" s="398"/>
      <c r="K77" s="396" t="str">
        <f ca="1">Área!H23</f>
        <v>-</v>
      </c>
      <c r="L77" s="396"/>
      <c r="M77" s="396" t="str">
        <f ca="1">Área!I23</f>
        <v>-</v>
      </c>
      <c r="N77" s="396"/>
      <c r="O77" s="396">
        <f ca="1">Área!J23</f>
        <v>1</v>
      </c>
      <c r="P77" s="396"/>
      <c r="Q77" s="396">
        <f ca="1">Área!K23</f>
        <v>1</v>
      </c>
      <c r="R77" s="396"/>
      <c r="S77" s="396">
        <f ca="1">Área!L23</f>
        <v>220</v>
      </c>
      <c r="T77" s="396"/>
      <c r="U77" s="396">
        <f ca="1">Área!N23</f>
        <v>247</v>
      </c>
      <c r="V77" s="396"/>
      <c r="W77" s="396">
        <f ca="1">Área!M23</f>
        <v>247</v>
      </c>
      <c r="X77" s="396"/>
      <c r="Y77" s="89">
        <f ca="1">Área!O23</f>
        <v>1</v>
      </c>
      <c r="Z77" s="399" t="str">
        <f ca="1">Área!P23</f>
        <v>PDG-1701 / SUBESTAÇÃO VESTA</v>
      </c>
      <c r="AA77" s="399"/>
      <c r="AB77" s="399"/>
      <c r="AC77" s="399"/>
      <c r="AD77" s="399" t="str">
        <f ca="1">Área!Q23</f>
        <v>FRW-90-102 (RCK-90-101) / CCO</v>
      </c>
      <c r="AE77" s="399"/>
      <c r="AF77" s="399"/>
      <c r="AG77" s="399"/>
      <c r="AH77" s="400" t="str">
        <f ca="1">Área!R23</f>
        <v>---</v>
      </c>
      <c r="AI77" s="400"/>
      <c r="AJ77" s="400" t="str">
        <f ca="1">Área!S23</f>
        <v>---</v>
      </c>
      <c r="AK77" s="400"/>
      <c r="AL77" s="400" t="str">
        <f ca="1">Área!T23</f>
        <v>---</v>
      </c>
      <c r="AM77" s="400"/>
      <c r="AN77" s="400" t="str">
        <f ca="1">Área!U23</f>
        <v>---</v>
      </c>
      <c r="AO77" s="400"/>
      <c r="AP77" s="422" t="str">
        <f ca="1">IFERROR(Área!Z23,"")</f>
        <v>Disponível</v>
      </c>
      <c r="AQ77" s="422"/>
      <c r="AR77" s="400">
        <f ca="1">Área!Y23</f>
        <v>0</v>
      </c>
      <c r="AS77" s="423"/>
      <c r="AT77" s="72"/>
    </row>
    <row r="78" spans="1:46" ht="12" customHeight="1" x14ac:dyDescent="0.25">
      <c r="A78"/>
      <c r="B78"/>
      <c r="C78" s="397" t="str">
        <f ca="1">Área!C24</f>
        <v>CDC-17002</v>
      </c>
      <c r="D78" s="398"/>
      <c r="E78" s="398"/>
      <c r="F78" s="398"/>
      <c r="G78" s="396" t="str">
        <f ca="1">Área!F24</f>
        <v>FO</v>
      </c>
      <c r="H78" s="396"/>
      <c r="I78" s="398" t="str">
        <f ca="1">Área!G24</f>
        <v>FIBRA OPTICA MM 3 PARES</v>
      </c>
      <c r="J78" s="398"/>
      <c r="K78" s="396" t="str">
        <f ca="1">Área!H24</f>
        <v>-</v>
      </c>
      <c r="L78" s="396"/>
      <c r="M78" s="396" t="str">
        <f ca="1">Área!I24</f>
        <v>-</v>
      </c>
      <c r="N78" s="396"/>
      <c r="O78" s="396">
        <f ca="1">Área!J24</f>
        <v>1</v>
      </c>
      <c r="P78" s="396"/>
      <c r="Q78" s="396">
        <f ca="1">Área!K24</f>
        <v>1</v>
      </c>
      <c r="R78" s="396"/>
      <c r="S78" s="396">
        <f ca="1">Área!L24</f>
        <v>220</v>
      </c>
      <c r="T78" s="396"/>
      <c r="U78" s="396">
        <f ca="1">Área!N24</f>
        <v>247</v>
      </c>
      <c r="V78" s="396"/>
      <c r="W78" s="396">
        <f ca="1">Área!M24</f>
        <v>247</v>
      </c>
      <c r="X78" s="396"/>
      <c r="Y78" s="89">
        <f ca="1">Área!O24</f>
        <v>1</v>
      </c>
      <c r="Z78" s="399" t="str">
        <f ca="1">Área!P24</f>
        <v>PDG-1701 / SUBESTAÇÃO VESTA</v>
      </c>
      <c r="AA78" s="399"/>
      <c r="AB78" s="399"/>
      <c r="AC78" s="399"/>
      <c r="AD78" s="399" t="str">
        <f ca="1">Área!Q24</f>
        <v>FRW-90-103 (RCK-90-101) / CCO</v>
      </c>
      <c r="AE78" s="399"/>
      <c r="AF78" s="399"/>
      <c r="AG78" s="399"/>
      <c r="AH78" s="400" t="str">
        <f ca="1">Área!R24</f>
        <v>---</v>
      </c>
      <c r="AI78" s="400"/>
      <c r="AJ78" s="400" t="str">
        <f ca="1">Área!S24</f>
        <v>---</v>
      </c>
      <c r="AK78" s="400"/>
      <c r="AL78" s="400" t="str">
        <f ca="1">Área!T24</f>
        <v>---</v>
      </c>
      <c r="AM78" s="400"/>
      <c r="AN78" s="400" t="str">
        <f ca="1">Área!U24</f>
        <v>---</v>
      </c>
      <c r="AO78" s="400"/>
      <c r="AP78" s="422" t="str">
        <f ca="1">IFERROR(Área!Z24,"")</f>
        <v>Disponível</v>
      </c>
      <c r="AQ78" s="422"/>
      <c r="AR78" s="400">
        <f ca="1">Área!Y24</f>
        <v>0</v>
      </c>
      <c r="AS78" s="423"/>
      <c r="AT78" s="72"/>
    </row>
    <row r="79" spans="1:46" ht="12" customHeight="1" x14ac:dyDescent="0.25">
      <c r="A79"/>
      <c r="B79"/>
      <c r="C79" s="397" t="str">
        <f ca="1">Área!C25</f>
        <v>CO018-RS</v>
      </c>
      <c r="D79" s="398"/>
      <c r="E79" s="398"/>
      <c r="F79" s="398"/>
      <c r="G79" s="396" t="str">
        <f ca="1">Área!F25</f>
        <v>FO</v>
      </c>
      <c r="H79" s="396"/>
      <c r="I79" s="398" t="str">
        <f ca="1">Área!G25</f>
        <v>CORDÃO ÓPTICO</v>
      </c>
      <c r="J79" s="398"/>
      <c r="K79" s="396" t="str">
        <f ca="1">Área!H25</f>
        <v>-</v>
      </c>
      <c r="L79" s="396"/>
      <c r="M79" s="396" t="str">
        <f ca="1">Área!I25</f>
        <v>-</v>
      </c>
      <c r="N79" s="396"/>
      <c r="O79" s="396">
        <f ca="1">Área!J25</f>
        <v>1</v>
      </c>
      <c r="P79" s="396"/>
      <c r="Q79" s="396" t="str">
        <f ca="1">Área!K25</f>
        <v/>
      </c>
      <c r="R79" s="396"/>
      <c r="S79" s="396">
        <f ca="1">Área!L25</f>
        <v>10</v>
      </c>
      <c r="T79" s="396"/>
      <c r="U79" s="396" t="str">
        <f ca="1">Área!N25</f>
        <v/>
      </c>
      <c r="V79" s="396"/>
      <c r="W79" s="396">
        <f ca="1">Área!M25</f>
        <v>10</v>
      </c>
      <c r="X79" s="396"/>
      <c r="Y79" s="89" t="str">
        <f ca="1">Área!O25</f>
        <v/>
      </c>
      <c r="Z79" s="399" t="str">
        <f ca="1">Área!P25</f>
        <v>SALA SERVIDORES-CONV1</v>
      </c>
      <c r="AA79" s="399"/>
      <c r="AB79" s="399"/>
      <c r="AC79" s="399"/>
      <c r="AD79" s="399" t="str">
        <f ca="1">Área!Q25</f>
        <v>SALA SERVIDORES-DIO</v>
      </c>
      <c r="AE79" s="399"/>
      <c r="AF79" s="399"/>
      <c r="AG79" s="399"/>
      <c r="AH79" s="400" t="str">
        <f ca="1">Área!R25</f>
        <v>---</v>
      </c>
      <c r="AI79" s="400"/>
      <c r="AJ79" s="400" t="str">
        <f ca="1">Área!S25</f>
        <v>---</v>
      </c>
      <c r="AK79" s="400"/>
      <c r="AL79" s="400" t="str">
        <f ca="1">Área!T25</f>
        <v>---</v>
      </c>
      <c r="AM79" s="400"/>
      <c r="AN79" s="400" t="str">
        <f ca="1">Área!U25</f>
        <v>---</v>
      </c>
      <c r="AO79" s="400"/>
      <c r="AP79" s="422" t="str">
        <f ca="1">IFERROR(Área!Z25,"")</f>
        <v>Disponível</v>
      </c>
      <c r="AQ79" s="422"/>
      <c r="AR79" s="400">
        <f ca="1">Área!Y25</f>
        <v>0</v>
      </c>
      <c r="AS79" s="423"/>
      <c r="AT79" s="72"/>
    </row>
    <row r="80" spans="1:46" ht="12" customHeight="1" x14ac:dyDescent="0.25">
      <c r="A80"/>
      <c r="B80"/>
      <c r="C80" s="397" t="str">
        <f ca="1">Área!C26</f>
        <v>CO019-RS</v>
      </c>
      <c r="D80" s="398"/>
      <c r="E80" s="398"/>
      <c r="F80" s="398"/>
      <c r="G80" s="396" t="str">
        <f ca="1">Área!F26</f>
        <v>FO</v>
      </c>
      <c r="H80" s="396"/>
      <c r="I80" s="398" t="str">
        <f ca="1">Área!G26</f>
        <v>CORDÃO ÓPTICO</v>
      </c>
      <c r="J80" s="398"/>
      <c r="K80" s="396" t="str">
        <f ca="1">Área!H26</f>
        <v>-</v>
      </c>
      <c r="L80" s="396"/>
      <c r="M80" s="396" t="str">
        <f ca="1">Área!I26</f>
        <v>-</v>
      </c>
      <c r="N80" s="396"/>
      <c r="O80" s="396">
        <f ca="1">Área!J26</f>
        <v>1</v>
      </c>
      <c r="P80" s="396"/>
      <c r="Q80" s="396" t="str">
        <f ca="1">Área!K26</f>
        <v/>
      </c>
      <c r="R80" s="396"/>
      <c r="S80" s="396">
        <f ca="1">Área!L26</f>
        <v>10</v>
      </c>
      <c r="T80" s="396"/>
      <c r="U80" s="396" t="str">
        <f ca="1">Área!N26</f>
        <v/>
      </c>
      <c r="V80" s="396"/>
      <c r="W80" s="396">
        <f ca="1">Área!M26</f>
        <v>10</v>
      </c>
      <c r="X80" s="396"/>
      <c r="Y80" s="89" t="str">
        <f ca="1">Área!O26</f>
        <v/>
      </c>
      <c r="Z80" s="399" t="str">
        <f ca="1">Área!P26</f>
        <v>SALA SERVIDORES-CONV2</v>
      </c>
      <c r="AA80" s="399"/>
      <c r="AB80" s="399"/>
      <c r="AC80" s="399"/>
      <c r="AD80" s="399" t="str">
        <f ca="1">Área!Q26</f>
        <v>SALA SERVIDORES-DIO</v>
      </c>
      <c r="AE80" s="399"/>
      <c r="AF80" s="399"/>
      <c r="AG80" s="399"/>
      <c r="AH80" s="400" t="str">
        <f ca="1">Área!R26</f>
        <v>---</v>
      </c>
      <c r="AI80" s="400"/>
      <c r="AJ80" s="400" t="str">
        <f ca="1">Área!S26</f>
        <v>---</v>
      </c>
      <c r="AK80" s="400"/>
      <c r="AL80" s="400" t="str">
        <f ca="1">Área!T26</f>
        <v>---</v>
      </c>
      <c r="AM80" s="400"/>
      <c r="AN80" s="400" t="str">
        <f ca="1">Área!U26</f>
        <v>---</v>
      </c>
      <c r="AO80" s="400"/>
      <c r="AP80" s="422" t="str">
        <f ca="1">IFERROR(Área!Z26,"")</f>
        <v>Disponível</v>
      </c>
      <c r="AQ80" s="422"/>
      <c r="AR80" s="400">
        <f ca="1">Área!Y26</f>
        <v>0</v>
      </c>
      <c r="AS80" s="423"/>
      <c r="AT80" s="72"/>
    </row>
    <row r="81" spans="1:46" ht="12" customHeight="1" x14ac:dyDescent="0.25">
      <c r="A81"/>
      <c r="B81"/>
      <c r="C81" s="397" t="str">
        <f ca="1">Área!C27</f>
        <v>CDC-02327</v>
      </c>
      <c r="D81" s="398"/>
      <c r="E81" s="398"/>
      <c r="F81" s="398"/>
      <c r="G81" s="396" t="str">
        <f ca="1">Área!F27</f>
        <v>FO</v>
      </c>
      <c r="H81" s="396"/>
      <c r="I81" s="398" t="str">
        <f ca="1">Área!G27</f>
        <v>CORDÃO ÓPTICO</v>
      </c>
      <c r="J81" s="398"/>
      <c r="K81" s="396" t="str">
        <f ca="1">Área!H27</f>
        <v>-</v>
      </c>
      <c r="L81" s="396"/>
      <c r="M81" s="396" t="str">
        <f ca="1">Área!I27</f>
        <v>-</v>
      </c>
      <c r="N81" s="396"/>
      <c r="O81" s="396">
        <f ca="1">Área!J27</f>
        <v>1</v>
      </c>
      <c r="P81" s="396"/>
      <c r="Q81" s="396" t="str">
        <f ca="1">Área!K27</f>
        <v/>
      </c>
      <c r="R81" s="396"/>
      <c r="S81" s="396">
        <f ca="1">Área!L27</f>
        <v>2.5</v>
      </c>
      <c r="T81" s="396"/>
      <c r="U81" s="396" t="str">
        <f ca="1">Área!N27</f>
        <v/>
      </c>
      <c r="V81" s="396"/>
      <c r="W81" s="396">
        <f ca="1">Área!M27</f>
        <v>2.5</v>
      </c>
      <c r="X81" s="396"/>
      <c r="Y81" s="89" t="str">
        <f ca="1">Área!O27</f>
        <v/>
      </c>
      <c r="Z81" s="399" t="str">
        <f ca="1">Área!P27</f>
        <v>FRW-90-102 (RCK-90-101) / CCO</v>
      </c>
      <c r="AA81" s="399"/>
      <c r="AB81" s="399"/>
      <c r="AC81" s="399"/>
      <c r="AD81" s="399" t="str">
        <f ca="1">Área!Q27</f>
        <v>DIO-90-113 (RCK-90-101) / CCO</v>
      </c>
      <c r="AE81" s="399"/>
      <c r="AF81" s="399"/>
      <c r="AG81" s="399"/>
      <c r="AH81" s="400" t="str">
        <f ca="1">Área!R27</f>
        <v>---</v>
      </c>
      <c r="AI81" s="400"/>
      <c r="AJ81" s="400" t="str">
        <f ca="1">Área!S27</f>
        <v>---</v>
      </c>
      <c r="AK81" s="400"/>
      <c r="AL81" s="400" t="str">
        <f ca="1">Área!T27</f>
        <v>---</v>
      </c>
      <c r="AM81" s="400"/>
      <c r="AN81" s="400" t="str">
        <f ca="1">Área!U27</f>
        <v>---</v>
      </c>
      <c r="AO81" s="400"/>
      <c r="AP81" s="422" t="str">
        <f ca="1">IFERROR(Área!Z27,"")</f>
        <v>Disponível</v>
      </c>
      <c r="AQ81" s="422"/>
      <c r="AR81" s="400">
        <f ca="1">Área!Y27</f>
        <v>0</v>
      </c>
      <c r="AS81" s="423"/>
      <c r="AT81" s="72"/>
    </row>
    <row r="82" spans="1:46" ht="12" customHeight="1" x14ac:dyDescent="0.25">
      <c r="A82"/>
      <c r="B82"/>
      <c r="C82" s="397" t="str">
        <f ca="1">Área!C28</f>
        <v>CDC-02328</v>
      </c>
      <c r="D82" s="398"/>
      <c r="E82" s="398"/>
      <c r="F82" s="398"/>
      <c r="G82" s="396" t="str">
        <f ca="1">Área!F28</f>
        <v>FO</v>
      </c>
      <c r="H82" s="396"/>
      <c r="I82" s="398" t="str">
        <f ca="1">Área!G28</f>
        <v>CORDÃO ÓPTICO</v>
      </c>
      <c r="J82" s="398"/>
      <c r="K82" s="396" t="str">
        <f ca="1">Área!H28</f>
        <v>-</v>
      </c>
      <c r="L82" s="396"/>
      <c r="M82" s="396" t="str">
        <f ca="1">Área!I28</f>
        <v>-</v>
      </c>
      <c r="N82" s="396"/>
      <c r="O82" s="396">
        <f ca="1">Área!J28</f>
        <v>1</v>
      </c>
      <c r="P82" s="396"/>
      <c r="Q82" s="396" t="str">
        <f ca="1">Área!K28</f>
        <v/>
      </c>
      <c r="R82" s="396"/>
      <c r="S82" s="396">
        <f ca="1">Área!L28</f>
        <v>2.5</v>
      </c>
      <c r="T82" s="396"/>
      <c r="U82" s="396" t="str">
        <f ca="1">Área!N28</f>
        <v/>
      </c>
      <c r="V82" s="396"/>
      <c r="W82" s="396">
        <f ca="1">Área!M28</f>
        <v>2.5</v>
      </c>
      <c r="X82" s="396"/>
      <c r="Y82" s="89" t="str">
        <f ca="1">Área!O28</f>
        <v/>
      </c>
      <c r="Z82" s="399" t="str">
        <f ca="1">Área!P28</f>
        <v>FRW-90-103 (RCK-90-101) / CCO</v>
      </c>
      <c r="AA82" s="399"/>
      <c r="AB82" s="399"/>
      <c r="AC82" s="399"/>
      <c r="AD82" s="399" t="str">
        <f ca="1">Área!Q28</f>
        <v>DIO-90-113 (RCK-90-101) / CCO</v>
      </c>
      <c r="AE82" s="399"/>
      <c r="AF82" s="399"/>
      <c r="AG82" s="399"/>
      <c r="AH82" s="400" t="str">
        <f ca="1">Área!R28</f>
        <v>---</v>
      </c>
      <c r="AI82" s="400"/>
      <c r="AJ82" s="400" t="str">
        <f ca="1">Área!S28</f>
        <v>---</v>
      </c>
      <c r="AK82" s="400"/>
      <c r="AL82" s="400" t="str">
        <f ca="1">Área!T28</f>
        <v>---</v>
      </c>
      <c r="AM82" s="400"/>
      <c r="AN82" s="400" t="str">
        <f ca="1">Área!U28</f>
        <v>---</v>
      </c>
      <c r="AO82" s="400"/>
      <c r="AP82" s="422" t="str">
        <f ca="1">IFERROR(Área!Z28,"")</f>
        <v>Disponível</v>
      </c>
      <c r="AQ82" s="422"/>
      <c r="AR82" s="400">
        <f ca="1">Área!Y28</f>
        <v>0</v>
      </c>
      <c r="AS82" s="423"/>
      <c r="AT82" s="72"/>
    </row>
    <row r="83" spans="1:46" ht="12" customHeight="1" x14ac:dyDescent="0.25">
      <c r="A83"/>
      <c r="B83"/>
      <c r="C83" s="397" t="str">
        <f ca="1">Área!C29</f>
        <v>CDC-12013</v>
      </c>
      <c r="D83" s="398"/>
      <c r="E83" s="398"/>
      <c r="F83" s="398"/>
      <c r="G83" s="396" t="str">
        <f ca="1">Área!F29</f>
        <v>FO</v>
      </c>
      <c r="H83" s="396"/>
      <c r="I83" s="398" t="str">
        <f ca="1">Área!G29</f>
        <v>CORDÃO ÓPTICO</v>
      </c>
      <c r="J83" s="398"/>
      <c r="K83" s="396" t="str">
        <f ca="1">Área!H29</f>
        <v>-</v>
      </c>
      <c r="L83" s="396"/>
      <c r="M83" s="396" t="str">
        <f ca="1">Área!I29</f>
        <v>-</v>
      </c>
      <c r="N83" s="396"/>
      <c r="O83" s="396">
        <f ca="1">Área!J29</f>
        <v>1</v>
      </c>
      <c r="P83" s="396"/>
      <c r="Q83" s="396" t="str">
        <f ca="1">Área!K29</f>
        <v/>
      </c>
      <c r="R83" s="396"/>
      <c r="S83" s="396">
        <f ca="1">Área!L29</f>
        <v>2.5</v>
      </c>
      <c r="T83" s="396"/>
      <c r="U83" s="396" t="str">
        <f ca="1">Área!N29</f>
        <v/>
      </c>
      <c r="V83" s="396"/>
      <c r="W83" s="396">
        <f ca="1">Área!M29</f>
        <v>2.5</v>
      </c>
      <c r="X83" s="396"/>
      <c r="Y83" s="89" t="str">
        <f ca="1">Área!O29</f>
        <v/>
      </c>
      <c r="Z83" s="399" t="str">
        <f ca="1">Área!P29</f>
        <v>MCV-CCP-118 (RCK-CCP-101) / CCP</v>
      </c>
      <c r="AA83" s="399"/>
      <c r="AB83" s="399"/>
      <c r="AC83" s="399"/>
      <c r="AD83" s="399" t="str">
        <f ca="1">Área!Q29</f>
        <v>DIO-CCP-104 (RCK-CCP-101) / CCP</v>
      </c>
      <c r="AE83" s="399"/>
      <c r="AF83" s="399"/>
      <c r="AG83" s="399"/>
      <c r="AH83" s="400" t="str">
        <f ca="1">Área!R29</f>
        <v>---</v>
      </c>
      <c r="AI83" s="400"/>
      <c r="AJ83" s="400" t="str">
        <f ca="1">Área!S29</f>
        <v>---</v>
      </c>
      <c r="AK83" s="400"/>
      <c r="AL83" s="400" t="str">
        <f ca="1">Área!T29</f>
        <v>---</v>
      </c>
      <c r="AM83" s="400"/>
      <c r="AN83" s="400" t="str">
        <f ca="1">Área!U29</f>
        <v>---</v>
      </c>
      <c r="AO83" s="400"/>
      <c r="AP83" s="422" t="str">
        <f ca="1">IFERROR(Área!Z29,"")</f>
        <v>Disponível</v>
      </c>
      <c r="AQ83" s="422"/>
      <c r="AR83" s="400">
        <f ca="1">Área!Y29</f>
        <v>0</v>
      </c>
      <c r="AS83" s="423"/>
      <c r="AT83" s="72"/>
    </row>
    <row r="84" spans="1:46" ht="12" customHeight="1" x14ac:dyDescent="0.25">
      <c r="A84"/>
      <c r="B84"/>
      <c r="C84" s="397" t="str">
        <f ca="1">Área!C30</f>
        <v>CO032-RS</v>
      </c>
      <c r="D84" s="398"/>
      <c r="E84" s="398"/>
      <c r="F84" s="398"/>
      <c r="G84" s="396" t="str">
        <f ca="1">Área!F30</f>
        <v>FO</v>
      </c>
      <c r="H84" s="396"/>
      <c r="I84" s="398" t="str">
        <f ca="1">Área!G30</f>
        <v>CORDÃO ÓPTICO</v>
      </c>
      <c r="J84" s="398"/>
      <c r="K84" s="396" t="str">
        <f ca="1">Área!H30</f>
        <v>-</v>
      </c>
      <c r="L84" s="396"/>
      <c r="M84" s="396" t="str">
        <f ca="1">Área!I30</f>
        <v>-</v>
      </c>
      <c r="N84" s="396"/>
      <c r="O84" s="396">
        <f ca="1">Área!J30</f>
        <v>1</v>
      </c>
      <c r="P84" s="396"/>
      <c r="Q84" s="396" t="str">
        <f ca="1">Área!K30</f>
        <v/>
      </c>
      <c r="R84" s="396"/>
      <c r="S84" s="396">
        <f ca="1">Área!L30</f>
        <v>10</v>
      </c>
      <c r="T84" s="396"/>
      <c r="U84" s="396" t="str">
        <f ca="1">Área!N30</f>
        <v/>
      </c>
      <c r="V84" s="396"/>
      <c r="W84" s="396">
        <f ca="1">Área!M30</f>
        <v>10</v>
      </c>
      <c r="X84" s="396"/>
      <c r="Y84" s="89" t="str">
        <f ca="1">Área!O30</f>
        <v/>
      </c>
      <c r="Z84" s="399" t="str">
        <f ca="1">Área!P30</f>
        <v>CCSE/1CHA01</v>
      </c>
      <c r="AA84" s="399"/>
      <c r="AB84" s="399"/>
      <c r="AC84" s="399"/>
      <c r="AD84" s="399" t="str">
        <f ca="1">Área!Q30</f>
        <v>TS1A</v>
      </c>
      <c r="AE84" s="399"/>
      <c r="AF84" s="399"/>
      <c r="AG84" s="399"/>
      <c r="AH84" s="400" t="str">
        <f ca="1">Área!R30</f>
        <v>---</v>
      </c>
      <c r="AI84" s="400"/>
      <c r="AJ84" s="400" t="str">
        <f ca="1">Área!S30</f>
        <v>---</v>
      </c>
      <c r="AK84" s="400"/>
      <c r="AL84" s="400" t="str">
        <f ca="1">Área!T30</f>
        <v>---</v>
      </c>
      <c r="AM84" s="400"/>
      <c r="AN84" s="400" t="str">
        <f ca="1">Área!U30</f>
        <v>---</v>
      </c>
      <c r="AO84" s="400"/>
      <c r="AP84" s="422" t="str">
        <f ca="1">IFERROR(Área!Z30,"")</f>
        <v>Disponível</v>
      </c>
      <c r="AQ84" s="422"/>
      <c r="AR84" s="400">
        <f ca="1">Área!Y30</f>
        <v>0</v>
      </c>
      <c r="AS84" s="423"/>
      <c r="AT84" s="72"/>
    </row>
    <row r="85" spans="1:46" ht="12" customHeight="1" x14ac:dyDescent="0.25">
      <c r="A85"/>
      <c r="B85"/>
      <c r="C85" s="397" t="str">
        <f ca="1">Área!C31</f>
        <v>CO033-RS</v>
      </c>
      <c r="D85" s="398"/>
      <c r="E85" s="398"/>
      <c r="F85" s="398"/>
      <c r="G85" s="396" t="str">
        <f ca="1">Área!F31</f>
        <v>FO</v>
      </c>
      <c r="H85" s="396"/>
      <c r="I85" s="398" t="str">
        <f ca="1">Área!G31</f>
        <v>CORDÃO ÓPTICO</v>
      </c>
      <c r="J85" s="398"/>
      <c r="K85" s="396" t="str">
        <f ca="1">Área!H31</f>
        <v>-</v>
      </c>
      <c r="L85" s="396"/>
      <c r="M85" s="396" t="str">
        <f ca="1">Área!I31</f>
        <v>-</v>
      </c>
      <c r="N85" s="396"/>
      <c r="O85" s="396">
        <f ca="1">Área!J31</f>
        <v>1</v>
      </c>
      <c r="P85" s="396"/>
      <c r="Q85" s="396" t="str">
        <f ca="1">Área!K31</f>
        <v/>
      </c>
      <c r="R85" s="396"/>
      <c r="S85" s="396">
        <f ca="1">Área!L31</f>
        <v>10</v>
      </c>
      <c r="T85" s="396"/>
      <c r="U85" s="396" t="str">
        <f ca="1">Área!N31</f>
        <v/>
      </c>
      <c r="V85" s="396"/>
      <c r="W85" s="396">
        <f ca="1">Área!M31</f>
        <v>10</v>
      </c>
      <c r="X85" s="396"/>
      <c r="Y85" s="89" t="str">
        <f ca="1">Área!O31</f>
        <v/>
      </c>
      <c r="Z85" s="399" t="str">
        <f ca="1">Área!P31</f>
        <v>CCSE/1CHA01</v>
      </c>
      <c r="AA85" s="399"/>
      <c r="AB85" s="399"/>
      <c r="AC85" s="399"/>
      <c r="AD85" s="399" t="str">
        <f ca="1">Área!Q31</f>
        <v>TS1P</v>
      </c>
      <c r="AE85" s="399"/>
      <c r="AF85" s="399"/>
      <c r="AG85" s="399"/>
      <c r="AH85" s="400" t="str">
        <f ca="1">Área!R31</f>
        <v>---</v>
      </c>
      <c r="AI85" s="400"/>
      <c r="AJ85" s="400" t="str">
        <f ca="1">Área!S31</f>
        <v>---</v>
      </c>
      <c r="AK85" s="400"/>
      <c r="AL85" s="400" t="str">
        <f ca="1">Área!T31</f>
        <v>---</v>
      </c>
      <c r="AM85" s="400"/>
      <c r="AN85" s="400" t="str">
        <f ca="1">Área!U31</f>
        <v>---</v>
      </c>
      <c r="AO85" s="400"/>
      <c r="AP85" s="422" t="str">
        <f ca="1">IFERROR(Área!Z31,"")</f>
        <v>Disponível</v>
      </c>
      <c r="AQ85" s="422"/>
      <c r="AR85" s="400">
        <f ca="1">Área!Y31</f>
        <v>0</v>
      </c>
      <c r="AS85" s="423"/>
      <c r="AT85" s="72"/>
    </row>
    <row r="86" spans="1:46" ht="12" customHeight="1" x14ac:dyDescent="0.25">
      <c r="A86"/>
      <c r="B86"/>
      <c r="C86" s="397" t="str">
        <f ca="1">Área!C32</f>
        <v>CBO013-RS</v>
      </c>
      <c r="D86" s="398"/>
      <c r="E86" s="398"/>
      <c r="F86" s="398"/>
      <c r="G86" s="396" t="str">
        <f ca="1">Área!F32</f>
        <v>FO</v>
      </c>
      <c r="H86" s="396"/>
      <c r="I86" s="398" t="str">
        <f ca="1">Área!G32</f>
        <v>CABO ÓPTICO 4 VIAS</v>
      </c>
      <c r="J86" s="398"/>
      <c r="K86" s="396" t="str">
        <f ca="1">Área!H32</f>
        <v>-</v>
      </c>
      <c r="L86" s="396"/>
      <c r="M86" s="396" t="str">
        <f ca="1">Área!I32</f>
        <v>-</v>
      </c>
      <c r="N86" s="396"/>
      <c r="O86" s="396">
        <f ca="1">Área!J32</f>
        <v>1</v>
      </c>
      <c r="P86" s="396"/>
      <c r="Q86" s="396">
        <f ca="1">Área!K32</f>
        <v>1</v>
      </c>
      <c r="R86" s="396"/>
      <c r="S86" s="396">
        <f ca="1">Área!L32</f>
        <v>770</v>
      </c>
      <c r="T86" s="396"/>
      <c r="U86" s="396">
        <f ca="1">Área!N32</f>
        <v>910</v>
      </c>
      <c r="V86" s="396"/>
      <c r="W86" s="396">
        <f ca="1">Área!M32</f>
        <v>910</v>
      </c>
      <c r="X86" s="396"/>
      <c r="Y86" s="89">
        <f ca="1">Área!O32</f>
        <v>1</v>
      </c>
      <c r="Z86" s="399" t="str">
        <f ca="1">Área!P32</f>
        <v>CCSE/1CHA01</v>
      </c>
      <c r="AA86" s="399"/>
      <c r="AB86" s="399"/>
      <c r="AC86" s="399"/>
      <c r="AD86" s="399" t="str">
        <f ca="1">Área!Q32</f>
        <v>PSINC1 - DIO 4</v>
      </c>
      <c r="AE86" s="399"/>
      <c r="AF86" s="399"/>
      <c r="AG86" s="399"/>
      <c r="AH86" s="400" t="str">
        <f ca="1">Área!R32</f>
        <v>---</v>
      </c>
      <c r="AI86" s="400"/>
      <c r="AJ86" s="400" t="str">
        <f ca="1">Área!S32</f>
        <v>---</v>
      </c>
      <c r="AK86" s="400"/>
      <c r="AL86" s="400" t="str">
        <f ca="1">Área!T32</f>
        <v>---</v>
      </c>
      <c r="AM86" s="400"/>
      <c r="AN86" s="400" t="str">
        <f ca="1">Área!U32</f>
        <v>---</v>
      </c>
      <c r="AO86" s="400"/>
      <c r="AP86" s="422" t="str">
        <f ca="1">IFERROR(Área!Z32,"")</f>
        <v>Disponível</v>
      </c>
      <c r="AQ86" s="422"/>
      <c r="AR86" s="400">
        <f ca="1">Área!Y32</f>
        <v>0</v>
      </c>
      <c r="AS86" s="423"/>
      <c r="AT86" s="72"/>
    </row>
    <row r="87" spans="1:46" ht="12" customHeight="1" x14ac:dyDescent="0.25">
      <c r="A87"/>
      <c r="B87"/>
      <c r="C87" s="397" t="str">
        <f ca="1">Área!C33</f>
        <v>CBO010-PC</v>
      </c>
      <c r="D87" s="398"/>
      <c r="E87" s="398"/>
      <c r="F87" s="398"/>
      <c r="G87" s="396" t="str">
        <f ca="1">Área!F33</f>
        <v>FO</v>
      </c>
      <c r="H87" s="396"/>
      <c r="I87" s="398" t="str">
        <f ca="1">Área!G33</f>
        <v>CABO ÓPTICO 4 VIAS</v>
      </c>
      <c r="J87" s="398"/>
      <c r="K87" s="396" t="str">
        <f ca="1">Área!H33</f>
        <v>-</v>
      </c>
      <c r="L87" s="396"/>
      <c r="M87" s="396" t="str">
        <f ca="1">Área!I33</f>
        <v>-</v>
      </c>
      <c r="N87" s="396"/>
      <c r="O87" s="396">
        <f ca="1">Área!J33</f>
        <v>1</v>
      </c>
      <c r="P87" s="396"/>
      <c r="Q87" s="396">
        <f ca="1">Área!K33</f>
        <v>1</v>
      </c>
      <c r="R87" s="396"/>
      <c r="S87" s="396">
        <f ca="1">Área!L33</f>
        <v>800</v>
      </c>
      <c r="T87" s="396"/>
      <c r="U87" s="396">
        <f ca="1">Área!N33</f>
        <v>910</v>
      </c>
      <c r="V87" s="396"/>
      <c r="W87" s="396">
        <f ca="1">Área!M33</f>
        <v>910</v>
      </c>
      <c r="X87" s="396"/>
      <c r="Y87" s="89">
        <f ca="1">Área!O33</f>
        <v>1</v>
      </c>
      <c r="Z87" s="399" t="str">
        <f ca="1">Área!P33</f>
        <v>ER-8 - SUPERVISÓRIO EXIST.</v>
      </c>
      <c r="AA87" s="399"/>
      <c r="AB87" s="399"/>
      <c r="AC87" s="399"/>
      <c r="AD87" s="399" t="str">
        <f ca="1">Área!Q33</f>
        <v>SALA SERVIDOR - CCSE</v>
      </c>
      <c r="AE87" s="399"/>
      <c r="AF87" s="399"/>
      <c r="AG87" s="399"/>
      <c r="AH87" s="400" t="str">
        <f ca="1">Área!R33</f>
        <v>---</v>
      </c>
      <c r="AI87" s="400"/>
      <c r="AJ87" s="400" t="str">
        <f ca="1">Área!S33</f>
        <v>---</v>
      </c>
      <c r="AK87" s="400"/>
      <c r="AL87" s="400" t="str">
        <f ca="1">Área!T33</f>
        <v>---</v>
      </c>
      <c r="AM87" s="400"/>
      <c r="AN87" s="400" t="str">
        <f ca="1">Área!U33</f>
        <v>---</v>
      </c>
      <c r="AO87" s="400"/>
      <c r="AP87" s="422" t="str">
        <f ca="1">IFERROR(Área!Z33,"")</f>
        <v>Disponível</v>
      </c>
      <c r="AQ87" s="422"/>
      <c r="AR87" s="400">
        <f ca="1">Área!Y33</f>
        <v>0</v>
      </c>
      <c r="AS87" s="423"/>
      <c r="AT87" s="72"/>
    </row>
    <row r="88" spans="1:46" ht="12" customHeight="1" x14ac:dyDescent="0.25">
      <c r="A88"/>
      <c r="B88"/>
      <c r="C88" s="397" t="str">
        <f ca="1">Área!C34</f>
        <v>CBO014-RS</v>
      </c>
      <c r="D88" s="398"/>
      <c r="E88" s="398"/>
      <c r="F88" s="398"/>
      <c r="G88" s="396" t="str">
        <f ca="1">Área!F34</f>
        <v>FO</v>
      </c>
      <c r="H88" s="396"/>
      <c r="I88" s="398" t="str">
        <f ca="1">Área!G34</f>
        <v>CABO ÓPTICO 4 VIAS</v>
      </c>
      <c r="J88" s="398"/>
      <c r="K88" s="396" t="str">
        <f ca="1">Área!H34</f>
        <v>-</v>
      </c>
      <c r="L88" s="396"/>
      <c r="M88" s="396" t="str">
        <f ca="1">Área!I34</f>
        <v>-</v>
      </c>
      <c r="N88" s="396"/>
      <c r="O88" s="396">
        <f ca="1">Área!J34</f>
        <v>1</v>
      </c>
      <c r="P88" s="396"/>
      <c r="Q88" s="396" t="str">
        <f ca="1">Área!K34</f>
        <v/>
      </c>
      <c r="R88" s="396"/>
      <c r="S88" s="396">
        <f ca="1">Área!L34</f>
        <v>770</v>
      </c>
      <c r="T88" s="396"/>
      <c r="U88" s="396" t="str">
        <f ca="1">Área!N34</f>
        <v/>
      </c>
      <c r="V88" s="396"/>
      <c r="W88" s="396">
        <f ca="1">Área!M34</f>
        <v>770</v>
      </c>
      <c r="X88" s="396"/>
      <c r="Y88" s="89" t="str">
        <f ca="1">Área!O34</f>
        <v/>
      </c>
      <c r="Z88" s="399" t="str">
        <f ca="1">Área!P34</f>
        <v>CCSE/1CHA01</v>
      </c>
      <c r="AA88" s="399"/>
      <c r="AB88" s="399"/>
      <c r="AC88" s="399"/>
      <c r="AD88" s="399" t="str">
        <f ca="1">Área!Q34</f>
        <v>PSINC1 - DIO 4</v>
      </c>
      <c r="AE88" s="399"/>
      <c r="AF88" s="399"/>
      <c r="AG88" s="399"/>
      <c r="AH88" s="400" t="str">
        <f ca="1">Área!R34</f>
        <v>---</v>
      </c>
      <c r="AI88" s="400"/>
      <c r="AJ88" s="400" t="str">
        <f ca="1">Área!S34</f>
        <v>---</v>
      </c>
      <c r="AK88" s="400"/>
      <c r="AL88" s="400" t="str">
        <f ca="1">Área!T34</f>
        <v>---</v>
      </c>
      <c r="AM88" s="400"/>
      <c r="AN88" s="400" t="str">
        <f ca="1">Área!U34</f>
        <v>---</v>
      </c>
      <c r="AO88" s="400"/>
      <c r="AP88" s="422" t="str">
        <f ca="1">IFERROR(Área!Z34,"")</f>
        <v>Pend. Compra</v>
      </c>
      <c r="AQ88" s="422"/>
      <c r="AR88" s="400">
        <f ca="1">Área!Y34</f>
        <v>0</v>
      </c>
      <c r="AS88" s="423"/>
      <c r="AT88" s="72"/>
    </row>
    <row r="89" spans="1:46" ht="12" customHeight="1" x14ac:dyDescent="0.25">
      <c r="A89"/>
      <c r="B89"/>
      <c r="C89" s="397" t="str">
        <f ca="1">Área!C35</f>
        <v>CDC-02141</v>
      </c>
      <c r="D89" s="398"/>
      <c r="E89" s="398"/>
      <c r="F89" s="398"/>
      <c r="G89" s="396" t="str">
        <f ca="1">Área!F35</f>
        <v>FO</v>
      </c>
      <c r="H89" s="396"/>
      <c r="I89" s="398" t="str">
        <f ca="1">Área!G35</f>
        <v>FIBRA OPTICA MM 3 PARES</v>
      </c>
      <c r="J89" s="398"/>
      <c r="K89" s="396" t="str">
        <f ca="1">Área!H35</f>
        <v>-</v>
      </c>
      <c r="L89" s="396"/>
      <c r="M89" s="396" t="str">
        <f ca="1">Área!I35</f>
        <v>-</v>
      </c>
      <c r="N89" s="396"/>
      <c r="O89" s="396">
        <f ca="1">Área!J35</f>
        <v>1</v>
      </c>
      <c r="P89" s="396"/>
      <c r="Q89" s="396">
        <f ca="1">Área!K35</f>
        <v>1</v>
      </c>
      <c r="R89" s="396"/>
      <c r="S89" s="396">
        <f ca="1">Área!L35</f>
        <v>85</v>
      </c>
      <c r="T89" s="396"/>
      <c r="U89" s="396">
        <f ca="1">Área!N35</f>
        <v>85</v>
      </c>
      <c r="V89" s="396"/>
      <c r="W89" s="396">
        <f ca="1">Área!M35</f>
        <v>85</v>
      </c>
      <c r="X89" s="396"/>
      <c r="Y89" s="89">
        <f ca="1">Área!O35</f>
        <v>1</v>
      </c>
      <c r="Z89" s="399" t="str">
        <f ca="1">Área!P35</f>
        <v>CAMPO - GA-906E (PL-90-127)</v>
      </c>
      <c r="AA89" s="399"/>
      <c r="AB89" s="399"/>
      <c r="AC89" s="399"/>
      <c r="AD89" s="399" t="str">
        <f ca="1">Área!Q35</f>
        <v>CCU - DELTA V - PI-95</v>
      </c>
      <c r="AE89" s="399"/>
      <c r="AF89" s="399"/>
      <c r="AG89" s="399"/>
      <c r="AH89" s="400" t="str">
        <f ca="1">Área!R35</f>
        <v>---</v>
      </c>
      <c r="AI89" s="400"/>
      <c r="AJ89" s="400" t="str">
        <f ca="1">Área!S35</f>
        <v>---</v>
      </c>
      <c r="AK89" s="400"/>
      <c r="AL89" s="400" t="str">
        <f ca="1">Área!T35</f>
        <v>---</v>
      </c>
      <c r="AM89" s="400"/>
      <c r="AN89" s="400" t="str">
        <f ca="1">Área!U35</f>
        <v>---</v>
      </c>
      <c r="AO89" s="400"/>
      <c r="AP89" s="422" t="str">
        <f ca="1">IFERROR(Área!Z35,"")</f>
        <v>Disponível</v>
      </c>
      <c r="AQ89" s="422"/>
      <c r="AR89" s="400">
        <f ca="1">Área!Y35</f>
        <v>0</v>
      </c>
      <c r="AS89" s="423"/>
      <c r="AT89" s="72"/>
    </row>
    <row r="90" spans="1:46" ht="12" customHeight="1" x14ac:dyDescent="0.25">
      <c r="A90"/>
      <c r="B90"/>
      <c r="C90" s="397" t="str">
        <f ca="1">Área!C36</f>
        <v>CDC-17003</v>
      </c>
      <c r="D90" s="398"/>
      <c r="E90" s="398"/>
      <c r="F90" s="398"/>
      <c r="G90" s="396" t="str">
        <f ca="1">Área!F36</f>
        <v>FO</v>
      </c>
      <c r="H90" s="396"/>
      <c r="I90" s="398" t="str">
        <f ca="1">Área!G36</f>
        <v>FIBRA OPTICA MM 3 PARES</v>
      </c>
      <c r="J90" s="398"/>
      <c r="K90" s="396" t="str">
        <f ca="1">Área!H36</f>
        <v>-</v>
      </c>
      <c r="L90" s="396"/>
      <c r="M90" s="396" t="str">
        <f ca="1">Área!I36</f>
        <v>-</v>
      </c>
      <c r="N90" s="396"/>
      <c r="O90" s="396">
        <f ca="1">Área!J36</f>
        <v>1</v>
      </c>
      <c r="P90" s="396"/>
      <c r="Q90" s="396">
        <f ca="1">Área!K36</f>
        <v>1</v>
      </c>
      <c r="R90" s="396"/>
      <c r="S90" s="396">
        <f ca="1">Área!L36</f>
        <v>220</v>
      </c>
      <c r="T90" s="396"/>
      <c r="U90" s="396">
        <f ca="1">Área!N36</f>
        <v>220</v>
      </c>
      <c r="V90" s="396"/>
      <c r="W90" s="396">
        <f ca="1">Área!M36</f>
        <v>220</v>
      </c>
      <c r="X90" s="396"/>
      <c r="Y90" s="89">
        <f ca="1">Área!O36</f>
        <v>1</v>
      </c>
      <c r="Z90" s="399" t="str">
        <f ca="1">Área!P36</f>
        <v>SUBESTAÇÃO-COGERAÇÃO</v>
      </c>
      <c r="AA90" s="399"/>
      <c r="AB90" s="399"/>
      <c r="AC90" s="399"/>
      <c r="AD90" s="399" t="str">
        <f ca="1">Área!Q36</f>
        <v>KVM/THIN CLIENT - 
SUBSOLO CCO</v>
      </c>
      <c r="AE90" s="399"/>
      <c r="AF90" s="399"/>
      <c r="AG90" s="399"/>
      <c r="AH90" s="400" t="str">
        <f ca="1">Área!R36</f>
        <v>---</v>
      </c>
      <c r="AI90" s="400"/>
      <c r="AJ90" s="400" t="str">
        <f ca="1">Área!S36</f>
        <v>---</v>
      </c>
      <c r="AK90" s="400"/>
      <c r="AL90" s="400" t="str">
        <f ca="1">Área!T36</f>
        <v>---</v>
      </c>
      <c r="AM90" s="400"/>
      <c r="AN90" s="400" t="str">
        <f ca="1">Área!U36</f>
        <v>---</v>
      </c>
      <c r="AO90" s="400"/>
      <c r="AP90" s="422" t="str">
        <f ca="1">IFERROR(Área!Z36,"")</f>
        <v>Disponível</v>
      </c>
      <c r="AQ90" s="422"/>
      <c r="AR90" s="400">
        <f ca="1">Área!Y36</f>
        <v>0</v>
      </c>
      <c r="AS90" s="423"/>
      <c r="AT90" s="72"/>
    </row>
    <row r="91" spans="1:46" ht="12" customHeight="1" x14ac:dyDescent="0.25">
      <c r="A91"/>
      <c r="B91"/>
      <c r="C91" s="397" t="str">
        <f ca="1">Área!C37</f>
        <v>CDC-17004</v>
      </c>
      <c r="D91" s="398"/>
      <c r="E91" s="398"/>
      <c r="F91" s="398"/>
      <c r="G91" s="396" t="str">
        <f ca="1">Área!F37</f>
        <v>FO</v>
      </c>
      <c r="H91" s="396"/>
      <c r="I91" s="398" t="str">
        <f ca="1">Área!G37</f>
        <v>FIBRA OPTICA MM 3 PARES</v>
      </c>
      <c r="J91" s="398"/>
      <c r="K91" s="396" t="str">
        <f ca="1">Área!H37</f>
        <v>-</v>
      </c>
      <c r="L91" s="396"/>
      <c r="M91" s="396" t="str">
        <f ca="1">Área!I37</f>
        <v>-</v>
      </c>
      <c r="N91" s="396"/>
      <c r="O91" s="396">
        <f ca="1">Área!J37</f>
        <v>1</v>
      </c>
      <c r="P91" s="396"/>
      <c r="Q91" s="396">
        <f ca="1">Área!K37</f>
        <v>1</v>
      </c>
      <c r="R91" s="396"/>
      <c r="S91" s="396">
        <f ca="1">Área!L37</f>
        <v>220</v>
      </c>
      <c r="T91" s="396"/>
      <c r="U91" s="396">
        <f ca="1">Área!N37</f>
        <v>220</v>
      </c>
      <c r="V91" s="396"/>
      <c r="W91" s="396">
        <f ca="1">Área!M37</f>
        <v>220</v>
      </c>
      <c r="X91" s="396"/>
      <c r="Y91" s="89">
        <f ca="1">Área!O37</f>
        <v>1</v>
      </c>
      <c r="Z91" s="399" t="str">
        <f ca="1">Área!P37</f>
        <v>SUBESTAÇÃO-COGERAÇÃO</v>
      </c>
      <c r="AA91" s="399"/>
      <c r="AB91" s="399"/>
      <c r="AC91" s="399"/>
      <c r="AD91" s="399" t="str">
        <f ca="1">Área!Q37</f>
        <v>KVM/THIN CLIENT - 
SUBSOLO CCO</v>
      </c>
      <c r="AE91" s="399"/>
      <c r="AF91" s="399"/>
      <c r="AG91" s="399"/>
      <c r="AH91" s="400" t="str">
        <f ca="1">Área!R37</f>
        <v>---</v>
      </c>
      <c r="AI91" s="400"/>
      <c r="AJ91" s="400" t="str">
        <f ca="1">Área!S37</f>
        <v>---</v>
      </c>
      <c r="AK91" s="400"/>
      <c r="AL91" s="400" t="str">
        <f ca="1">Área!T37</f>
        <v>---</v>
      </c>
      <c r="AM91" s="400"/>
      <c r="AN91" s="400" t="str">
        <f ca="1">Área!U37</f>
        <v>---</v>
      </c>
      <c r="AO91" s="400"/>
      <c r="AP91" s="422" t="str">
        <f ca="1">IFERROR(Área!Z37,"")</f>
        <v>Disponível</v>
      </c>
      <c r="AQ91" s="422"/>
      <c r="AR91" s="400">
        <f ca="1">Área!Y37</f>
        <v>0</v>
      </c>
      <c r="AS91" s="423"/>
      <c r="AT91" s="72"/>
    </row>
    <row r="92" spans="1:46" ht="12" customHeight="1" x14ac:dyDescent="0.25">
      <c r="A92"/>
      <c r="B92"/>
      <c r="C92" s="397" t="str">
        <f ca="1">Área!C38</f>
        <v>CDC-17005</v>
      </c>
      <c r="D92" s="398"/>
      <c r="E92" s="398"/>
      <c r="F92" s="398"/>
      <c r="G92" s="396" t="str">
        <f ca="1">Área!F38</f>
        <v>FO</v>
      </c>
      <c r="H92" s="396"/>
      <c r="I92" s="398" t="str">
        <f ca="1">Área!G38</f>
        <v>FIBRA OPTICA MM 3 PARES</v>
      </c>
      <c r="J92" s="398"/>
      <c r="K92" s="396" t="str">
        <f ca="1">Área!H38</f>
        <v>-</v>
      </c>
      <c r="L92" s="396"/>
      <c r="M92" s="396" t="str">
        <f ca="1">Área!I38</f>
        <v>-</v>
      </c>
      <c r="N92" s="396"/>
      <c r="O92" s="396">
        <f ca="1">Área!J38</f>
        <v>1</v>
      </c>
      <c r="P92" s="396"/>
      <c r="Q92" s="396">
        <f ca="1">Área!K38</f>
        <v>1</v>
      </c>
      <c r="R92" s="396"/>
      <c r="S92" s="396">
        <f ca="1">Área!L38</f>
        <v>220</v>
      </c>
      <c r="T92" s="396"/>
      <c r="U92" s="396">
        <f ca="1">Área!N38</f>
        <v>220</v>
      </c>
      <c r="V92" s="396"/>
      <c r="W92" s="396">
        <f ca="1">Área!M38</f>
        <v>220</v>
      </c>
      <c r="X92" s="396"/>
      <c r="Y92" s="89">
        <f ca="1">Área!O38</f>
        <v>1</v>
      </c>
      <c r="Z92" s="399" t="str">
        <f ca="1">Área!P38</f>
        <v>SUBESTAÇÃO-COGERAÇÃO</v>
      </c>
      <c r="AA92" s="399"/>
      <c r="AB92" s="399"/>
      <c r="AC92" s="399"/>
      <c r="AD92" s="399" t="str">
        <f ca="1">Área!Q38</f>
        <v>KVM/THIN CLIENT - 
SUBSOLO CCO</v>
      </c>
      <c r="AE92" s="399"/>
      <c r="AF92" s="399"/>
      <c r="AG92" s="399"/>
      <c r="AH92" s="400" t="str">
        <f ca="1">Área!R38</f>
        <v>---</v>
      </c>
      <c r="AI92" s="400"/>
      <c r="AJ92" s="400" t="str">
        <f ca="1">Área!S38</f>
        <v>---</v>
      </c>
      <c r="AK92" s="400"/>
      <c r="AL92" s="400" t="str">
        <f ca="1">Área!T38</f>
        <v>---</v>
      </c>
      <c r="AM92" s="400"/>
      <c r="AN92" s="400" t="str">
        <f ca="1">Área!U38</f>
        <v>---</v>
      </c>
      <c r="AO92" s="400"/>
      <c r="AP92" s="422" t="str">
        <f ca="1">IFERROR(Área!Z38,"")</f>
        <v>Disponível</v>
      </c>
      <c r="AQ92" s="422"/>
      <c r="AR92" s="400">
        <f ca="1">Área!Y38</f>
        <v>0</v>
      </c>
      <c r="AS92" s="423"/>
      <c r="AT92" s="72"/>
    </row>
    <row r="93" spans="1:46" ht="12" customHeight="1" x14ac:dyDescent="0.25">
      <c r="A93"/>
      <c r="B93"/>
      <c r="C93" s="397" t="str">
        <f ca="1">Área!C39</f>
        <v>CFO-RCK-1701-001A</v>
      </c>
      <c r="D93" s="398"/>
      <c r="E93" s="398"/>
      <c r="F93" s="398"/>
      <c r="G93" s="396" t="str">
        <f ca="1">Área!F39</f>
        <v>FO</v>
      </c>
      <c r="H93" s="396"/>
      <c r="I93" s="398" t="str">
        <f ca="1">Área!G39</f>
        <v>FIBRA OPTICA MM 3 PARES</v>
      </c>
      <c r="J93" s="398"/>
      <c r="K93" s="396" t="str">
        <f ca="1">Área!H39</f>
        <v>-</v>
      </c>
      <c r="L93" s="396"/>
      <c r="M93" s="396" t="str">
        <f ca="1">Área!I39</f>
        <v>-</v>
      </c>
      <c r="N93" s="396"/>
      <c r="O93" s="396">
        <f ca="1">Área!J39</f>
        <v>1</v>
      </c>
      <c r="P93" s="396"/>
      <c r="Q93" s="396" t="str">
        <f ca="1">Área!K39</f>
        <v/>
      </c>
      <c r="R93" s="396"/>
      <c r="S93" s="396">
        <f ca="1">Área!L39</f>
        <v>510</v>
      </c>
      <c r="T93" s="396"/>
      <c r="U93" s="396" t="str">
        <f ca="1">Área!N39</f>
        <v/>
      </c>
      <c r="V93" s="396"/>
      <c r="W93" s="396">
        <f ca="1">Área!M39</f>
        <v>510</v>
      </c>
      <c r="X93" s="396"/>
      <c r="Y93" s="89" t="str">
        <f ca="1">Área!O39</f>
        <v/>
      </c>
      <c r="Z93" s="399" t="str">
        <f ca="1">Área!P39</f>
        <v>SUBESTAÇÃO-COGERAÇÃO</v>
      </c>
      <c r="AA93" s="399"/>
      <c r="AB93" s="399"/>
      <c r="AC93" s="399"/>
      <c r="AD93" s="399" t="str">
        <f ca="1">Área!Q39</f>
        <v>CCU - DELTA V - EIOC - PI-95</v>
      </c>
      <c r="AE93" s="399"/>
      <c r="AF93" s="399"/>
      <c r="AG93" s="399"/>
      <c r="AH93" s="400" t="str">
        <f ca="1">Área!R39</f>
        <v>---</v>
      </c>
      <c r="AI93" s="400"/>
      <c r="AJ93" s="400" t="str">
        <f ca="1">Área!S39</f>
        <v>---</v>
      </c>
      <c r="AK93" s="400"/>
      <c r="AL93" s="400" t="str">
        <f ca="1">Área!T39</f>
        <v>---</v>
      </c>
      <c r="AM93" s="400"/>
      <c r="AN93" s="400" t="str">
        <f ca="1">Área!U39</f>
        <v>---</v>
      </c>
      <c r="AO93" s="400"/>
      <c r="AP93" s="422" t="str">
        <f ca="1">IFERROR(Área!Z39,"")</f>
        <v>Pend. Material</v>
      </c>
      <c r="AQ93" s="422"/>
      <c r="AR93" s="400">
        <f ca="1">Área!Y39</f>
        <v>0</v>
      </c>
      <c r="AS93" s="423"/>
      <c r="AT93" s="72"/>
    </row>
    <row r="94" spans="1:46" ht="12" customHeight="1" x14ac:dyDescent="0.25">
      <c r="A94"/>
      <c r="B94"/>
      <c r="C94" s="397" t="str">
        <f ca="1">Área!C40</f>
        <v>CFO-RCK-1701-001B</v>
      </c>
      <c r="D94" s="398"/>
      <c r="E94" s="398"/>
      <c r="F94" s="398"/>
      <c r="G94" s="396" t="str">
        <f ca="1">Área!F40</f>
        <v>FO</v>
      </c>
      <c r="H94" s="396"/>
      <c r="I94" s="398" t="str">
        <f ca="1">Área!G40</f>
        <v>FIBRA OPTICA MM 3 PARES</v>
      </c>
      <c r="J94" s="398"/>
      <c r="K94" s="396" t="str">
        <f ca="1">Área!H40</f>
        <v>-</v>
      </c>
      <c r="L94" s="396"/>
      <c r="M94" s="396" t="str">
        <f ca="1">Área!I40</f>
        <v>-</v>
      </c>
      <c r="N94" s="396"/>
      <c r="O94" s="396">
        <f ca="1">Área!J40</f>
        <v>1</v>
      </c>
      <c r="P94" s="396"/>
      <c r="Q94" s="396" t="str">
        <f ca="1">Área!K40</f>
        <v/>
      </c>
      <c r="R94" s="396"/>
      <c r="S94" s="396">
        <f ca="1">Área!L40</f>
        <v>510</v>
      </c>
      <c r="T94" s="396"/>
      <c r="U94" s="396" t="str">
        <f ca="1">Área!N40</f>
        <v/>
      </c>
      <c r="V94" s="396"/>
      <c r="W94" s="396">
        <f ca="1">Área!M40</f>
        <v>510</v>
      </c>
      <c r="X94" s="396"/>
      <c r="Y94" s="89" t="str">
        <f ca="1">Área!O40</f>
        <v/>
      </c>
      <c r="Z94" s="399" t="str">
        <f ca="1">Área!P40</f>
        <v>SUBESTAÇÃO-COGERAÇÃO</v>
      </c>
      <c r="AA94" s="399"/>
      <c r="AB94" s="399"/>
      <c r="AC94" s="399"/>
      <c r="AD94" s="399" t="str">
        <f ca="1">Área!Q40</f>
        <v>CCU - DELTA V - EIOC - PI-95</v>
      </c>
      <c r="AE94" s="399"/>
      <c r="AF94" s="399"/>
      <c r="AG94" s="399"/>
      <c r="AH94" s="400" t="str">
        <f ca="1">Área!R40</f>
        <v>---</v>
      </c>
      <c r="AI94" s="400"/>
      <c r="AJ94" s="400" t="str">
        <f ca="1">Área!S40</f>
        <v>---</v>
      </c>
      <c r="AK94" s="400"/>
      <c r="AL94" s="400" t="str">
        <f ca="1">Área!T40</f>
        <v>---</v>
      </c>
      <c r="AM94" s="400"/>
      <c r="AN94" s="400" t="str">
        <f ca="1">Área!U40</f>
        <v>---</v>
      </c>
      <c r="AO94" s="400"/>
      <c r="AP94" s="422" t="str">
        <f ca="1">IFERROR(Área!Z40,"")</f>
        <v>Pend. Material</v>
      </c>
      <c r="AQ94" s="422"/>
      <c r="AR94" s="400">
        <f ca="1">Área!Y40</f>
        <v>0</v>
      </c>
      <c r="AS94" s="423"/>
      <c r="AT94" s="72"/>
    </row>
    <row r="95" spans="1:46" ht="12" customHeight="1" x14ac:dyDescent="0.25">
      <c r="A95"/>
      <c r="B95"/>
      <c r="C95" s="397" t="str">
        <f ca="1">Área!C41</f>
        <v>CFO-CCO-VESTA-001</v>
      </c>
      <c r="D95" s="398"/>
      <c r="E95" s="398"/>
      <c r="F95" s="398"/>
      <c r="G95" s="396" t="str">
        <f ca="1">Área!F41</f>
        <v>FO</v>
      </c>
      <c r="H95" s="396"/>
      <c r="I95" s="398" t="str">
        <f ca="1">Área!G41</f>
        <v>FIBRA OPTICA MM 6 PARES</v>
      </c>
      <c r="J95" s="398"/>
      <c r="K95" s="396" t="str">
        <f ca="1">Área!H41</f>
        <v>-</v>
      </c>
      <c r="L95" s="396"/>
      <c r="M95" s="396" t="str">
        <f ca="1">Área!I41</f>
        <v>-</v>
      </c>
      <c r="N95" s="396"/>
      <c r="O95" s="396">
        <f ca="1">Área!J41</f>
        <v>1</v>
      </c>
      <c r="P95" s="396"/>
      <c r="Q95" s="396" t="str">
        <f ca="1">Área!K41</f>
        <v/>
      </c>
      <c r="R95" s="396"/>
      <c r="S95" s="396">
        <f ca="1">Área!L41</f>
        <v>220</v>
      </c>
      <c r="T95" s="396"/>
      <c r="U95" s="396" t="str">
        <f ca="1">Área!N41</f>
        <v/>
      </c>
      <c r="V95" s="396"/>
      <c r="W95" s="396">
        <f ca="1">Área!M41</f>
        <v>220</v>
      </c>
      <c r="X95" s="396"/>
      <c r="Y95" s="89" t="str">
        <f ca="1">Área!O41</f>
        <v/>
      </c>
      <c r="Z95" s="399" t="str">
        <f ca="1">Área!P41</f>
        <v>SUBSOLO CCO - RACK GUASCOR</v>
      </c>
      <c r="AA95" s="399"/>
      <c r="AB95" s="399"/>
      <c r="AC95" s="399"/>
      <c r="AD95" s="399" t="str">
        <f ca="1">Área!Q41</f>
        <v>PRÉDIO VESTA (TI)</v>
      </c>
      <c r="AE95" s="399"/>
      <c r="AF95" s="399"/>
      <c r="AG95" s="399"/>
      <c r="AH95" s="400" t="str">
        <f ca="1">Área!R41</f>
        <v>---</v>
      </c>
      <c r="AI95" s="400"/>
      <c r="AJ95" s="400" t="str">
        <f ca="1">Área!S41</f>
        <v>---</v>
      </c>
      <c r="AK95" s="400"/>
      <c r="AL95" s="400" t="str">
        <f ca="1">Área!T41</f>
        <v>---</v>
      </c>
      <c r="AM95" s="400"/>
      <c r="AN95" s="400" t="str">
        <f ca="1">Área!U41</f>
        <v>---</v>
      </c>
      <c r="AO95" s="400"/>
      <c r="AP95" s="422" t="str">
        <f ca="1">IFERROR(Área!Z41,"")</f>
        <v>Pend. Compra</v>
      </c>
      <c r="AQ95" s="422"/>
      <c r="AR95" s="400">
        <f ca="1">Área!Y41</f>
        <v>0</v>
      </c>
      <c r="AS95" s="423"/>
      <c r="AT95" s="72"/>
    </row>
    <row r="96" spans="1:46" ht="12" customHeight="1" x14ac:dyDescent="0.25">
      <c r="A96"/>
      <c r="B96"/>
      <c r="C96" s="397" t="str">
        <f ca="1">Área!C42</f>
        <v>CBO011-PC</v>
      </c>
      <c r="D96" s="398"/>
      <c r="E96" s="398"/>
      <c r="F96" s="398"/>
      <c r="G96" s="396" t="str">
        <f ca="1">Área!F42</f>
        <v>FO</v>
      </c>
      <c r="H96" s="396"/>
      <c r="I96" s="398" t="str">
        <f ca="1">Área!G42</f>
        <v>CABO ÓPTICO 4 VIAS</v>
      </c>
      <c r="J96" s="398"/>
      <c r="K96" s="396" t="str">
        <f ca="1">Área!H42</f>
        <v>-</v>
      </c>
      <c r="L96" s="396"/>
      <c r="M96" s="396" t="str">
        <f ca="1">Área!I42</f>
        <v>-</v>
      </c>
      <c r="N96" s="396"/>
      <c r="O96" s="396">
        <f ca="1">Área!J42</f>
        <v>1</v>
      </c>
      <c r="P96" s="396"/>
      <c r="Q96" s="396">
        <f ca="1">Área!K42</f>
        <v>0</v>
      </c>
      <c r="R96" s="396"/>
      <c r="S96" s="396">
        <f ca="1">Área!L42</f>
        <v>800</v>
      </c>
      <c r="T96" s="396"/>
      <c r="U96" s="396">
        <f ca="1">Área!N42</f>
        <v>600</v>
      </c>
      <c r="V96" s="396"/>
      <c r="W96" s="396">
        <f ca="1">Área!M42</f>
        <v>800</v>
      </c>
      <c r="X96" s="396"/>
      <c r="Y96" s="89">
        <f ca="1">Área!O42</f>
        <v>0.75</v>
      </c>
      <c r="Z96" s="399" t="str">
        <f ca="1">Área!P42</f>
        <v>ER-8 - SUPERVISÓRIO EXIST.</v>
      </c>
      <c r="AA96" s="399"/>
      <c r="AB96" s="399"/>
      <c r="AC96" s="399"/>
      <c r="AD96" s="399" t="str">
        <f ca="1">Área!Q42</f>
        <v>SALA SERVIDOR - CCSE</v>
      </c>
      <c r="AE96" s="399"/>
      <c r="AF96" s="399"/>
      <c r="AG96" s="399"/>
      <c r="AH96" s="400" t="str">
        <f ca="1">Área!R42</f>
        <v>---</v>
      </c>
      <c r="AI96" s="400"/>
      <c r="AJ96" s="400" t="str">
        <f ca="1">Área!S42</f>
        <v>---</v>
      </c>
      <c r="AK96" s="400"/>
      <c r="AL96" s="400" t="str">
        <f ca="1">Área!T42</f>
        <v>---</v>
      </c>
      <c r="AM96" s="400"/>
      <c r="AN96" s="400" t="str">
        <f ca="1">Área!U42</f>
        <v>---</v>
      </c>
      <c r="AO96" s="400"/>
      <c r="AP96" s="422" t="str">
        <f ca="1">IFERROR(Área!Z42,"")</f>
        <v>Disponível</v>
      </c>
      <c r="AQ96" s="422"/>
      <c r="AR96" s="400">
        <f ca="1">Área!Y42</f>
        <v>0</v>
      </c>
      <c r="AS96" s="423"/>
      <c r="AT96" s="72"/>
    </row>
    <row r="97" spans="1:46" ht="12" customHeight="1" x14ac:dyDescent="0.25">
      <c r="A97"/>
      <c r="B97"/>
      <c r="C97" s="397" t="str">
        <f ca="1">Área!C43</f>
        <v>CBO002-SEL</v>
      </c>
      <c r="D97" s="398"/>
      <c r="E97" s="398"/>
      <c r="F97" s="398"/>
      <c r="G97" s="396" t="str">
        <f ca="1">Área!F43</f>
        <v>FO</v>
      </c>
      <c r="H97" s="396"/>
      <c r="I97" s="398" t="str">
        <f ca="1">Área!G43</f>
        <v>CORDÃO ÓPTICO</v>
      </c>
      <c r="J97" s="398"/>
      <c r="K97" s="396" t="str">
        <f ca="1">Área!H43</f>
        <v>-</v>
      </c>
      <c r="L97" s="396"/>
      <c r="M97" s="396" t="str">
        <f ca="1">Área!I43</f>
        <v>-</v>
      </c>
      <c r="N97" s="396"/>
      <c r="O97" s="396">
        <f ca="1">Área!J43</f>
        <v>1</v>
      </c>
      <c r="P97" s="396"/>
      <c r="Q97" s="396" t="str">
        <f ca="1">Área!K43</f>
        <v/>
      </c>
      <c r="R97" s="396"/>
      <c r="S97" s="396">
        <f ca="1">Área!L43</f>
        <v>20</v>
      </c>
      <c r="T97" s="396"/>
      <c r="U97" s="396" t="str">
        <f ca="1">Área!N43</f>
        <v/>
      </c>
      <c r="V97" s="396"/>
      <c r="W97" s="396">
        <f ca="1">Área!M43</f>
        <v>20</v>
      </c>
      <c r="X97" s="396"/>
      <c r="Y97" s="89" t="str">
        <f ca="1">Área!O43</f>
        <v/>
      </c>
      <c r="Z97" s="399" t="str">
        <f ca="1">Área!P43</f>
        <v>ER-3</v>
      </c>
      <c r="AA97" s="399"/>
      <c r="AB97" s="399"/>
      <c r="AC97" s="399"/>
      <c r="AD97" s="399" t="str">
        <f ca="1">Área!Q43</f>
        <v>ER-4</v>
      </c>
      <c r="AE97" s="399"/>
      <c r="AF97" s="399"/>
      <c r="AG97" s="399"/>
      <c r="AH97" s="400" t="str">
        <f ca="1">Área!R43</f>
        <v/>
      </c>
      <c r="AI97" s="400"/>
      <c r="AJ97" s="400" t="str">
        <f ca="1">Área!S43</f>
        <v/>
      </c>
      <c r="AK97" s="400"/>
      <c r="AL97" s="400" t="str">
        <f ca="1">Área!T43</f>
        <v>---</v>
      </c>
      <c r="AM97" s="400"/>
      <c r="AN97" s="400" t="str">
        <f ca="1">Área!U43</f>
        <v>---</v>
      </c>
      <c r="AO97" s="400"/>
      <c r="AP97" s="422" t="str">
        <f ca="1">IFERROR(Área!Z43,"")</f>
        <v>Não Solic.</v>
      </c>
      <c r="AQ97" s="422"/>
      <c r="AR97" s="400">
        <f ca="1">Área!Y43</f>
        <v>0</v>
      </c>
      <c r="AS97" s="423"/>
      <c r="AT97" s="72"/>
    </row>
    <row r="98" spans="1:46" ht="12" customHeight="1" x14ac:dyDescent="0.25">
      <c r="A98"/>
      <c r="B98"/>
      <c r="C98" s="397" t="str">
        <f ca="1">Área!C44</f>
        <v>CBO003-SEL</v>
      </c>
      <c r="D98" s="398"/>
      <c r="E98" s="398"/>
      <c r="F98" s="398"/>
      <c r="G98" s="396" t="str">
        <f ca="1">Área!F44</f>
        <v>FO</v>
      </c>
      <c r="H98" s="396"/>
      <c r="I98" s="398" t="str">
        <f ca="1">Área!G44</f>
        <v>CABO ÓPTICO 4 VIAS</v>
      </c>
      <c r="J98" s="398"/>
      <c r="K98" s="396" t="str">
        <f ca="1">Área!H44</f>
        <v>-</v>
      </c>
      <c r="L98" s="396"/>
      <c r="M98" s="396" t="str">
        <f ca="1">Área!I44</f>
        <v>-</v>
      </c>
      <c r="N98" s="396"/>
      <c r="O98" s="396">
        <f ca="1">Área!J44</f>
        <v>1</v>
      </c>
      <c r="P98" s="396"/>
      <c r="Q98" s="396" t="str">
        <f ca="1">Área!K44</f>
        <v/>
      </c>
      <c r="R98" s="396"/>
      <c r="S98" s="396">
        <f ca="1">Área!L44</f>
        <v>70</v>
      </c>
      <c r="T98" s="396"/>
      <c r="U98" s="396" t="str">
        <f ca="1">Área!N44</f>
        <v/>
      </c>
      <c r="V98" s="396"/>
      <c r="W98" s="396">
        <f ca="1">Área!M44</f>
        <v>70</v>
      </c>
      <c r="X98" s="396"/>
      <c r="Y98" s="89" t="str">
        <f ca="1">Área!O44</f>
        <v/>
      </c>
      <c r="Z98" s="399" t="str">
        <f ca="1">Área!P44</f>
        <v>MESA DE OPERAÇÃO</v>
      </c>
      <c r="AA98" s="399"/>
      <c r="AB98" s="399"/>
      <c r="AC98" s="399"/>
      <c r="AD98" s="399" t="str">
        <f ca="1">Área!Q44</f>
        <v>ER-3</v>
      </c>
      <c r="AE98" s="399"/>
      <c r="AF98" s="399"/>
      <c r="AG98" s="399"/>
      <c r="AH98" s="400" t="str">
        <f ca="1">Área!R44</f>
        <v/>
      </c>
      <c r="AI98" s="400"/>
      <c r="AJ98" s="400" t="str">
        <f ca="1">Área!S44</f>
        <v/>
      </c>
      <c r="AK98" s="400"/>
      <c r="AL98" s="400" t="str">
        <f ca="1">Área!T44</f>
        <v>---</v>
      </c>
      <c r="AM98" s="400"/>
      <c r="AN98" s="400" t="str">
        <f ca="1">Área!U44</f>
        <v>---</v>
      </c>
      <c r="AO98" s="400"/>
      <c r="AP98" s="422" t="str">
        <f ca="1">IFERROR(Área!Z44,"")</f>
        <v>Não Solic.</v>
      </c>
      <c r="AQ98" s="422"/>
      <c r="AR98" s="400">
        <f ca="1">Área!Y44</f>
        <v>0</v>
      </c>
      <c r="AS98" s="423"/>
      <c r="AT98" s="72"/>
    </row>
    <row r="99" spans="1:46" ht="12" customHeight="1" x14ac:dyDescent="0.25">
      <c r="A99"/>
      <c r="B99"/>
      <c r="C99" s="397" t="str">
        <f ca="1">Área!C45</f>
        <v>CBO004-SEL</v>
      </c>
      <c r="D99" s="398"/>
      <c r="E99" s="398"/>
      <c r="F99" s="398"/>
      <c r="G99" s="396" t="str">
        <f ca="1">Área!F45</f>
        <v>FO</v>
      </c>
      <c r="H99" s="396"/>
      <c r="I99" s="398" t="str">
        <f ca="1">Área!G45</f>
        <v>CABO ÓPTICO 4 VIAS</v>
      </c>
      <c r="J99" s="398"/>
      <c r="K99" s="396" t="str">
        <f ca="1">Área!H45</f>
        <v>-</v>
      </c>
      <c r="L99" s="396"/>
      <c r="M99" s="396" t="str">
        <f ca="1">Área!I45</f>
        <v>-</v>
      </c>
      <c r="N99" s="396"/>
      <c r="O99" s="396">
        <f ca="1">Área!J45</f>
        <v>1</v>
      </c>
      <c r="P99" s="396"/>
      <c r="Q99" s="396" t="str">
        <f ca="1">Área!K45</f>
        <v/>
      </c>
      <c r="R99" s="396"/>
      <c r="S99" s="396">
        <f ca="1">Área!L45</f>
        <v>70</v>
      </c>
      <c r="T99" s="396"/>
      <c r="U99" s="396" t="str">
        <f ca="1">Área!N45</f>
        <v/>
      </c>
      <c r="V99" s="396"/>
      <c r="W99" s="396">
        <f ca="1">Área!M45</f>
        <v>70</v>
      </c>
      <c r="X99" s="396"/>
      <c r="Y99" s="89" t="str">
        <f ca="1">Área!O45</f>
        <v/>
      </c>
      <c r="Z99" s="399" t="str">
        <f ca="1">Área!P45</f>
        <v>MESA DE OPERAÇÃO</v>
      </c>
      <c r="AA99" s="399"/>
      <c r="AB99" s="399"/>
      <c r="AC99" s="399"/>
      <c r="AD99" s="399" t="str">
        <f ca="1">Área!Q45</f>
        <v>ER-3</v>
      </c>
      <c r="AE99" s="399"/>
      <c r="AF99" s="399"/>
      <c r="AG99" s="399"/>
      <c r="AH99" s="400" t="str">
        <f ca="1">Área!R45</f>
        <v/>
      </c>
      <c r="AI99" s="400"/>
      <c r="AJ99" s="400" t="str">
        <f ca="1">Área!S45</f>
        <v/>
      </c>
      <c r="AK99" s="400"/>
      <c r="AL99" s="400" t="str">
        <f ca="1">Área!T45</f>
        <v>---</v>
      </c>
      <c r="AM99" s="400"/>
      <c r="AN99" s="400" t="str">
        <f ca="1">Área!U45</f>
        <v>---</v>
      </c>
      <c r="AO99" s="400"/>
      <c r="AP99" s="422" t="str">
        <f ca="1">IFERROR(Área!Z45,"")</f>
        <v>Não Solic.</v>
      </c>
      <c r="AQ99" s="422"/>
      <c r="AR99" s="400">
        <f ca="1">Área!Y45</f>
        <v>0</v>
      </c>
      <c r="AS99" s="423"/>
      <c r="AT99" s="72"/>
    </row>
    <row r="100" spans="1:46" ht="12" customHeight="1" x14ac:dyDescent="0.25">
      <c r="A100"/>
      <c r="B100"/>
      <c r="C100" s="397" t="str">
        <f ca="1">Área!C46</f>
        <v>1HVBUS2-ER3-001C</v>
      </c>
      <c r="D100" s="398"/>
      <c r="E100" s="398"/>
      <c r="F100" s="398"/>
      <c r="G100" s="396" t="str">
        <f ca="1">Área!F46</f>
        <v>FO</v>
      </c>
      <c r="H100" s="396"/>
      <c r="I100" s="398" t="str">
        <f ca="1">Área!G46</f>
        <v>CORDÃO ÓPTICO</v>
      </c>
      <c r="J100" s="398"/>
      <c r="K100" s="396" t="str">
        <f ca="1">Área!H46</f>
        <v>-</v>
      </c>
      <c r="L100" s="396"/>
      <c r="M100" s="396" t="str">
        <f ca="1">Área!I46</f>
        <v>-</v>
      </c>
      <c r="N100" s="396"/>
      <c r="O100" s="396">
        <f ca="1">Área!J46</f>
        <v>1</v>
      </c>
      <c r="P100" s="396"/>
      <c r="Q100" s="396" t="str">
        <f ca="1">Área!K46</f>
        <v/>
      </c>
      <c r="R100" s="396"/>
      <c r="S100" s="396">
        <f ca="1">Área!L46</f>
        <v>40</v>
      </c>
      <c r="T100" s="396"/>
      <c r="U100" s="396" t="str">
        <f ca="1">Área!N46</f>
        <v/>
      </c>
      <c r="V100" s="396"/>
      <c r="W100" s="396">
        <f ca="1">Área!M46</f>
        <v>40</v>
      </c>
      <c r="X100" s="396"/>
      <c r="Y100" s="89" t="str">
        <f ca="1">Área!O46</f>
        <v/>
      </c>
      <c r="Z100" s="399" t="str">
        <f ca="1">Área!P46</f>
        <v>1HV-BUS1</v>
      </c>
      <c r="AA100" s="399"/>
      <c r="AB100" s="399"/>
      <c r="AC100" s="399"/>
      <c r="AD100" s="399" t="str">
        <f ca="1">Área!Q46</f>
        <v>ER-3</v>
      </c>
      <c r="AE100" s="399"/>
      <c r="AF100" s="399"/>
      <c r="AG100" s="399"/>
      <c r="AH100" s="400" t="str">
        <f ca="1">Área!R46</f>
        <v/>
      </c>
      <c r="AI100" s="400"/>
      <c r="AJ100" s="400" t="str">
        <f ca="1">Área!S46</f>
        <v/>
      </c>
      <c r="AK100" s="400"/>
      <c r="AL100" s="400" t="str">
        <f ca="1">Área!T46</f>
        <v>---</v>
      </c>
      <c r="AM100" s="400"/>
      <c r="AN100" s="400" t="str">
        <f ca="1">Área!U46</f>
        <v>---</v>
      </c>
      <c r="AO100" s="400"/>
      <c r="AP100" s="422" t="str">
        <f ca="1">IFERROR(Área!Z46,"")</f>
        <v>Não Solic.</v>
      </c>
      <c r="AQ100" s="422"/>
      <c r="AR100" s="400">
        <f ca="1">Área!Y46</f>
        <v>0</v>
      </c>
      <c r="AS100" s="423"/>
      <c r="AT100" s="72"/>
    </row>
    <row r="101" spans="1:46" ht="12" customHeight="1" x14ac:dyDescent="0.25">
      <c r="A101"/>
      <c r="B101"/>
      <c r="C101" s="397" t="str">
        <f ca="1">Área!C47</f>
        <v>1HVBUS2-ER3-002C</v>
      </c>
      <c r="D101" s="398"/>
      <c r="E101" s="398"/>
      <c r="F101" s="398"/>
      <c r="G101" s="396" t="str">
        <f ca="1">Área!F47</f>
        <v>FO</v>
      </c>
      <c r="H101" s="396"/>
      <c r="I101" s="398" t="str">
        <f ca="1">Área!G47</f>
        <v>CORDÃO ÓPTICO</v>
      </c>
      <c r="J101" s="398"/>
      <c r="K101" s="396" t="str">
        <f ca="1">Área!H47</f>
        <v>-</v>
      </c>
      <c r="L101" s="396"/>
      <c r="M101" s="396" t="str">
        <f ca="1">Área!I47</f>
        <v>-</v>
      </c>
      <c r="N101" s="396"/>
      <c r="O101" s="396">
        <f ca="1">Área!J47</f>
        <v>1</v>
      </c>
      <c r="P101" s="396"/>
      <c r="Q101" s="396" t="str">
        <f ca="1">Área!K47</f>
        <v/>
      </c>
      <c r="R101" s="396"/>
      <c r="S101" s="396">
        <f ca="1">Área!L47</f>
        <v>35</v>
      </c>
      <c r="T101" s="396"/>
      <c r="U101" s="396" t="str">
        <f ca="1">Área!N47</f>
        <v/>
      </c>
      <c r="V101" s="396"/>
      <c r="W101" s="396">
        <f ca="1">Área!M47</f>
        <v>35</v>
      </c>
      <c r="X101" s="396"/>
      <c r="Y101" s="89" t="str">
        <f ca="1">Área!O47</f>
        <v/>
      </c>
      <c r="Z101" s="399" t="str">
        <f ca="1">Área!P47</f>
        <v>1HV-BUS1</v>
      </c>
      <c r="AA101" s="399"/>
      <c r="AB101" s="399"/>
      <c r="AC101" s="399"/>
      <c r="AD101" s="399" t="str">
        <f ca="1">Área!Q47</f>
        <v>ER-3</v>
      </c>
      <c r="AE101" s="399"/>
      <c r="AF101" s="399"/>
      <c r="AG101" s="399"/>
      <c r="AH101" s="400" t="str">
        <f ca="1">Área!R47</f>
        <v/>
      </c>
      <c r="AI101" s="400"/>
      <c r="AJ101" s="400" t="str">
        <f ca="1">Área!S47</f>
        <v/>
      </c>
      <c r="AK101" s="400"/>
      <c r="AL101" s="400" t="str">
        <f ca="1">Área!T47</f>
        <v>---</v>
      </c>
      <c r="AM101" s="400"/>
      <c r="AN101" s="400" t="str">
        <f ca="1">Área!U47</f>
        <v>---</v>
      </c>
      <c r="AO101" s="400"/>
      <c r="AP101" s="422" t="str">
        <f ca="1">IFERROR(Área!Z47,"")</f>
        <v>Não Solic.</v>
      </c>
      <c r="AQ101" s="422"/>
      <c r="AR101" s="400">
        <f ca="1">Área!Y47</f>
        <v>0</v>
      </c>
      <c r="AS101" s="423"/>
      <c r="AT101" s="72"/>
    </row>
    <row r="102" spans="1:46" ht="12" customHeight="1" x14ac:dyDescent="0.25">
      <c r="A102"/>
      <c r="B102"/>
      <c r="C102" s="397" t="str">
        <f ca="1">Área!C48</f>
        <v>1HVBUS2-ER3-003C</v>
      </c>
      <c r="D102" s="398"/>
      <c r="E102" s="398"/>
      <c r="F102" s="398"/>
      <c r="G102" s="396" t="str">
        <f ca="1">Área!F48</f>
        <v>FO</v>
      </c>
      <c r="H102" s="396"/>
      <c r="I102" s="398" t="str">
        <f ca="1">Área!G48</f>
        <v>CORDÃO ÓPTICO</v>
      </c>
      <c r="J102" s="398"/>
      <c r="K102" s="396" t="str">
        <f ca="1">Área!H48</f>
        <v>-</v>
      </c>
      <c r="L102" s="396"/>
      <c r="M102" s="396" t="str">
        <f ca="1">Área!I48</f>
        <v>-</v>
      </c>
      <c r="N102" s="396"/>
      <c r="O102" s="396">
        <f ca="1">Área!J48</f>
        <v>1</v>
      </c>
      <c r="P102" s="396"/>
      <c r="Q102" s="396" t="str">
        <f ca="1">Área!K48</f>
        <v/>
      </c>
      <c r="R102" s="396"/>
      <c r="S102" s="396">
        <f ca="1">Área!L48</f>
        <v>28</v>
      </c>
      <c r="T102" s="396"/>
      <c r="U102" s="396" t="str">
        <f ca="1">Área!N48</f>
        <v/>
      </c>
      <c r="V102" s="396"/>
      <c r="W102" s="396">
        <f ca="1">Área!M48</f>
        <v>28</v>
      </c>
      <c r="X102" s="396"/>
      <c r="Y102" s="89" t="str">
        <f ca="1">Área!O48</f>
        <v/>
      </c>
      <c r="Z102" s="399" t="str">
        <f ca="1">Área!P48</f>
        <v>1HV-BUS1</v>
      </c>
      <c r="AA102" s="399"/>
      <c r="AB102" s="399"/>
      <c r="AC102" s="399"/>
      <c r="AD102" s="399" t="str">
        <f ca="1">Área!Q48</f>
        <v>ER-3</v>
      </c>
      <c r="AE102" s="399"/>
      <c r="AF102" s="399"/>
      <c r="AG102" s="399"/>
      <c r="AH102" s="400" t="str">
        <f ca="1">Área!R48</f>
        <v/>
      </c>
      <c r="AI102" s="400"/>
      <c r="AJ102" s="400" t="str">
        <f ca="1">Área!S48</f>
        <v/>
      </c>
      <c r="AK102" s="400"/>
      <c r="AL102" s="400" t="str">
        <f ca="1">Área!T48</f>
        <v>---</v>
      </c>
      <c r="AM102" s="400"/>
      <c r="AN102" s="400" t="str">
        <f ca="1">Área!U48</f>
        <v>---</v>
      </c>
      <c r="AO102" s="400"/>
      <c r="AP102" s="422" t="str">
        <f ca="1">IFERROR(Área!Z48,"")</f>
        <v>Não Solic.</v>
      </c>
      <c r="AQ102" s="422"/>
      <c r="AR102" s="400">
        <f ca="1">Área!Y48</f>
        <v>0</v>
      </c>
      <c r="AS102" s="423"/>
      <c r="AT102" s="72"/>
    </row>
    <row r="103" spans="1:46" ht="12" customHeight="1" x14ac:dyDescent="0.25">
      <c r="A103"/>
      <c r="B103"/>
      <c r="C103" s="397" t="str">
        <f ca="1">Área!C49</f>
        <v>7HV-1HV-002C</v>
      </c>
      <c r="D103" s="398"/>
      <c r="E103" s="398"/>
      <c r="F103" s="398"/>
      <c r="G103" s="396" t="str">
        <f ca="1">Área!F49</f>
        <v>FO</v>
      </c>
      <c r="H103" s="396"/>
      <c r="I103" s="398" t="str">
        <f ca="1">Área!G49</f>
        <v>CABO ÓPTICO 4 VIAS</v>
      </c>
      <c r="J103" s="398"/>
      <c r="K103" s="396" t="str">
        <f ca="1">Área!H49</f>
        <v>-</v>
      </c>
      <c r="L103" s="396"/>
      <c r="M103" s="396" t="str">
        <f ca="1">Área!I49</f>
        <v>-</v>
      </c>
      <c r="N103" s="396"/>
      <c r="O103" s="396">
        <f ca="1">Área!J49</f>
        <v>1</v>
      </c>
      <c r="P103" s="396"/>
      <c r="Q103" s="396" t="str">
        <f ca="1">Área!K49</f>
        <v/>
      </c>
      <c r="R103" s="396"/>
      <c r="S103" s="396">
        <f ca="1">Área!L49</f>
        <v>450</v>
      </c>
      <c r="T103" s="396"/>
      <c r="U103" s="396" t="str">
        <f ca="1">Área!N49</f>
        <v/>
      </c>
      <c r="V103" s="396"/>
      <c r="W103" s="396">
        <f ca="1">Área!M49</f>
        <v>450</v>
      </c>
      <c r="X103" s="396"/>
      <c r="Y103" s="89" t="str">
        <f ca="1">Área!O49</f>
        <v/>
      </c>
      <c r="Z103" s="399" t="str">
        <f ca="1">Área!P49</f>
        <v>PN-7HV - (SWITCH HOLD)</v>
      </c>
      <c r="AA103" s="399"/>
      <c r="AB103" s="399"/>
      <c r="AC103" s="399"/>
      <c r="AD103" s="399" t="str">
        <f ca="1">Área!Q49</f>
        <v>REMOTA 1HV</v>
      </c>
      <c r="AE103" s="399"/>
      <c r="AF103" s="399"/>
      <c r="AG103" s="399"/>
      <c r="AH103" s="400" t="str">
        <f ca="1">Área!R49</f>
        <v/>
      </c>
      <c r="AI103" s="400"/>
      <c r="AJ103" s="400" t="str">
        <f ca="1">Área!S49</f>
        <v/>
      </c>
      <c r="AK103" s="400"/>
      <c r="AL103" s="400" t="str">
        <f ca="1">Área!T49</f>
        <v>---</v>
      </c>
      <c r="AM103" s="400"/>
      <c r="AN103" s="400" t="str">
        <f ca="1">Área!U49</f>
        <v>---</v>
      </c>
      <c r="AO103" s="400"/>
      <c r="AP103" s="422" t="str">
        <f ca="1">IFERROR(Área!Z49,"")</f>
        <v>Não Solic.</v>
      </c>
      <c r="AQ103" s="422"/>
      <c r="AR103" s="400">
        <f ca="1">Área!Y49</f>
        <v>0</v>
      </c>
      <c r="AS103" s="423"/>
      <c r="AT103" s="72"/>
    </row>
    <row r="104" spans="1:46" ht="12" customHeight="1" x14ac:dyDescent="0.25">
      <c r="A104"/>
      <c r="B104"/>
      <c r="C104" s="397" t="str">
        <f ca="1">Área!C50</f>
        <v/>
      </c>
      <c r="D104" s="398"/>
      <c r="E104" s="398"/>
      <c r="F104" s="398"/>
      <c r="G104" s="396" t="str">
        <f ca="1">Área!F50</f>
        <v/>
      </c>
      <c r="H104" s="396"/>
      <c r="I104" s="398" t="str">
        <f ca="1">Área!G50</f>
        <v/>
      </c>
      <c r="J104" s="398"/>
      <c r="K104" s="396" t="str">
        <f ca="1">Área!H50</f>
        <v/>
      </c>
      <c r="L104" s="396"/>
      <c r="M104" s="396" t="str">
        <f ca="1">Área!I50</f>
        <v/>
      </c>
      <c r="N104" s="396"/>
      <c r="O104" s="396" t="str">
        <f ca="1">Área!J50</f>
        <v/>
      </c>
      <c r="P104" s="396"/>
      <c r="Q104" s="396" t="str">
        <f ca="1">Área!K50</f>
        <v/>
      </c>
      <c r="R104" s="396"/>
      <c r="S104" s="396" t="str">
        <f ca="1">Área!L50</f>
        <v/>
      </c>
      <c r="T104" s="396"/>
      <c r="U104" s="396" t="str">
        <f ca="1">Área!N50</f>
        <v/>
      </c>
      <c r="V104" s="396"/>
      <c r="W104" s="396" t="str">
        <f ca="1">Área!M50</f>
        <v/>
      </c>
      <c r="X104" s="396"/>
      <c r="Y104" s="89" t="str">
        <f ca="1">Área!O50</f>
        <v/>
      </c>
      <c r="Z104" s="399" t="str">
        <f ca="1">Área!P50</f>
        <v/>
      </c>
      <c r="AA104" s="399"/>
      <c r="AB104" s="399"/>
      <c r="AC104" s="399"/>
      <c r="AD104" s="399" t="str">
        <f ca="1">Área!Q50</f>
        <v/>
      </c>
      <c r="AE104" s="399"/>
      <c r="AF104" s="399"/>
      <c r="AG104" s="399"/>
      <c r="AH104" s="400" t="str">
        <f ca="1">Área!R50</f>
        <v/>
      </c>
      <c r="AI104" s="400"/>
      <c r="AJ104" s="400" t="str">
        <f ca="1">Área!S50</f>
        <v/>
      </c>
      <c r="AK104" s="400"/>
      <c r="AL104" s="400" t="str">
        <f ca="1">Área!T50</f>
        <v/>
      </c>
      <c r="AM104" s="400"/>
      <c r="AN104" s="400" t="str">
        <f ca="1">Área!U50</f>
        <v/>
      </c>
      <c r="AO104" s="400"/>
      <c r="AP104" s="422" t="str">
        <f ca="1">IFERROR(Área!Z50,"")</f>
        <v/>
      </c>
      <c r="AQ104" s="422"/>
      <c r="AR104" s="400" t="str">
        <f ca="1">Área!Y50</f>
        <v/>
      </c>
      <c r="AS104" s="423"/>
      <c r="AT104" s="72"/>
    </row>
    <row r="105" spans="1:46" ht="12" customHeight="1" x14ac:dyDescent="0.25">
      <c r="A105"/>
      <c r="B105"/>
      <c r="C105" s="397" t="str">
        <f ca="1">Área!C51</f>
        <v/>
      </c>
      <c r="D105" s="398"/>
      <c r="E105" s="398"/>
      <c r="F105" s="398"/>
      <c r="G105" s="396" t="str">
        <f ca="1">Área!F51</f>
        <v/>
      </c>
      <c r="H105" s="396"/>
      <c r="I105" s="398" t="str">
        <f ca="1">Área!G51</f>
        <v/>
      </c>
      <c r="J105" s="398"/>
      <c r="K105" s="396" t="str">
        <f ca="1">Área!H51</f>
        <v/>
      </c>
      <c r="L105" s="396"/>
      <c r="M105" s="396" t="str">
        <f ca="1">Área!I51</f>
        <v/>
      </c>
      <c r="N105" s="396"/>
      <c r="O105" s="396" t="str">
        <f ca="1">Área!J51</f>
        <v/>
      </c>
      <c r="P105" s="396"/>
      <c r="Q105" s="396" t="str">
        <f ca="1">Área!K51</f>
        <v/>
      </c>
      <c r="R105" s="396"/>
      <c r="S105" s="396" t="str">
        <f ca="1">Área!L51</f>
        <v/>
      </c>
      <c r="T105" s="396"/>
      <c r="U105" s="396" t="str">
        <f ca="1">Área!N51</f>
        <v/>
      </c>
      <c r="V105" s="396"/>
      <c r="W105" s="396" t="str">
        <f ca="1">Área!M51</f>
        <v/>
      </c>
      <c r="X105" s="396"/>
      <c r="Y105" s="89" t="str">
        <f ca="1">Área!O51</f>
        <v/>
      </c>
      <c r="Z105" s="399" t="str">
        <f ca="1">Área!P51</f>
        <v/>
      </c>
      <c r="AA105" s="399"/>
      <c r="AB105" s="399"/>
      <c r="AC105" s="399"/>
      <c r="AD105" s="399" t="str">
        <f ca="1">Área!Q51</f>
        <v/>
      </c>
      <c r="AE105" s="399"/>
      <c r="AF105" s="399"/>
      <c r="AG105" s="399"/>
      <c r="AH105" s="400" t="str">
        <f ca="1">Área!R51</f>
        <v/>
      </c>
      <c r="AI105" s="400"/>
      <c r="AJ105" s="400" t="str">
        <f ca="1">Área!S51</f>
        <v/>
      </c>
      <c r="AK105" s="400"/>
      <c r="AL105" s="400" t="str">
        <f ca="1">Área!T51</f>
        <v/>
      </c>
      <c r="AM105" s="400"/>
      <c r="AN105" s="400" t="str">
        <f ca="1">Área!U51</f>
        <v/>
      </c>
      <c r="AO105" s="400"/>
      <c r="AP105" s="422" t="str">
        <f ca="1">IFERROR(Área!Z51,"")</f>
        <v/>
      </c>
      <c r="AQ105" s="422"/>
      <c r="AR105" s="400" t="str">
        <f ca="1">Área!Y51</f>
        <v/>
      </c>
      <c r="AS105" s="423"/>
      <c r="AT105" s="72"/>
    </row>
    <row r="106" spans="1:46" ht="12" customHeight="1" x14ac:dyDescent="0.25">
      <c r="A106"/>
      <c r="B106"/>
      <c r="C106" s="397" t="str">
        <f ca="1">Área!C52</f>
        <v/>
      </c>
      <c r="D106" s="398"/>
      <c r="E106" s="398"/>
      <c r="F106" s="398"/>
      <c r="G106" s="396" t="str">
        <f ca="1">Área!F52</f>
        <v/>
      </c>
      <c r="H106" s="396"/>
      <c r="I106" s="398" t="str">
        <f ca="1">Área!G52</f>
        <v/>
      </c>
      <c r="J106" s="398"/>
      <c r="K106" s="396" t="str">
        <f ca="1">Área!H52</f>
        <v/>
      </c>
      <c r="L106" s="396"/>
      <c r="M106" s="396" t="str">
        <f ca="1">Área!I52</f>
        <v/>
      </c>
      <c r="N106" s="396"/>
      <c r="O106" s="396" t="str">
        <f ca="1">Área!J52</f>
        <v/>
      </c>
      <c r="P106" s="396"/>
      <c r="Q106" s="396" t="str">
        <f ca="1">Área!K52</f>
        <v/>
      </c>
      <c r="R106" s="396"/>
      <c r="S106" s="396" t="str">
        <f ca="1">Área!L52</f>
        <v/>
      </c>
      <c r="T106" s="396"/>
      <c r="U106" s="396" t="str">
        <f ca="1">Área!N52</f>
        <v/>
      </c>
      <c r="V106" s="396"/>
      <c r="W106" s="396" t="str">
        <f ca="1">Área!M52</f>
        <v/>
      </c>
      <c r="X106" s="396"/>
      <c r="Y106" s="89" t="str">
        <f ca="1">Área!O52</f>
        <v/>
      </c>
      <c r="Z106" s="399" t="str">
        <f ca="1">Área!P52</f>
        <v/>
      </c>
      <c r="AA106" s="399"/>
      <c r="AB106" s="399"/>
      <c r="AC106" s="399"/>
      <c r="AD106" s="399" t="str">
        <f ca="1">Área!Q52</f>
        <v/>
      </c>
      <c r="AE106" s="399"/>
      <c r="AF106" s="399"/>
      <c r="AG106" s="399"/>
      <c r="AH106" s="400" t="str">
        <f ca="1">Área!R52</f>
        <v/>
      </c>
      <c r="AI106" s="400"/>
      <c r="AJ106" s="400" t="str">
        <f ca="1">Área!S52</f>
        <v/>
      </c>
      <c r="AK106" s="400"/>
      <c r="AL106" s="400" t="str">
        <f ca="1">Área!T52</f>
        <v/>
      </c>
      <c r="AM106" s="400"/>
      <c r="AN106" s="400" t="str">
        <f ca="1">Área!U52</f>
        <v/>
      </c>
      <c r="AO106" s="400"/>
      <c r="AP106" s="422" t="str">
        <f ca="1">IFERROR(Área!Z52,"")</f>
        <v/>
      </c>
      <c r="AQ106" s="422"/>
      <c r="AR106" s="400" t="str">
        <f ca="1">Área!Y52</f>
        <v/>
      </c>
      <c r="AS106" s="423"/>
      <c r="AT106" s="72"/>
    </row>
    <row r="107" spans="1:46" ht="12" customHeight="1" x14ac:dyDescent="0.25">
      <c r="A107"/>
      <c r="B107"/>
      <c r="C107" s="397" t="str">
        <f ca="1">Área!C53</f>
        <v/>
      </c>
      <c r="D107" s="398"/>
      <c r="E107" s="398"/>
      <c r="F107" s="398"/>
      <c r="G107" s="396" t="str">
        <f ca="1">Área!F53</f>
        <v/>
      </c>
      <c r="H107" s="396"/>
      <c r="I107" s="398" t="str">
        <f ca="1">Área!G53</f>
        <v/>
      </c>
      <c r="J107" s="398"/>
      <c r="K107" s="396" t="str">
        <f ca="1">Área!H53</f>
        <v/>
      </c>
      <c r="L107" s="396"/>
      <c r="M107" s="396" t="str">
        <f ca="1">Área!I53</f>
        <v/>
      </c>
      <c r="N107" s="396"/>
      <c r="O107" s="396" t="str">
        <f ca="1">Área!J53</f>
        <v/>
      </c>
      <c r="P107" s="396"/>
      <c r="Q107" s="396" t="str">
        <f ca="1">Área!K53</f>
        <v/>
      </c>
      <c r="R107" s="396"/>
      <c r="S107" s="396" t="str">
        <f ca="1">Área!L53</f>
        <v/>
      </c>
      <c r="T107" s="396"/>
      <c r="U107" s="396" t="str">
        <f ca="1">Área!N53</f>
        <v/>
      </c>
      <c r="V107" s="396"/>
      <c r="W107" s="396" t="str">
        <f ca="1">Área!M53</f>
        <v/>
      </c>
      <c r="X107" s="396"/>
      <c r="Y107" s="89" t="str">
        <f ca="1">Área!O53</f>
        <v/>
      </c>
      <c r="Z107" s="399" t="str">
        <f ca="1">Área!P53</f>
        <v/>
      </c>
      <c r="AA107" s="399"/>
      <c r="AB107" s="399"/>
      <c r="AC107" s="399"/>
      <c r="AD107" s="399" t="str">
        <f ca="1">Área!Q53</f>
        <v/>
      </c>
      <c r="AE107" s="399"/>
      <c r="AF107" s="399"/>
      <c r="AG107" s="399"/>
      <c r="AH107" s="400" t="str">
        <f ca="1">Área!R53</f>
        <v/>
      </c>
      <c r="AI107" s="400"/>
      <c r="AJ107" s="400" t="str">
        <f ca="1">Área!S53</f>
        <v/>
      </c>
      <c r="AK107" s="400"/>
      <c r="AL107" s="400" t="str">
        <f ca="1">Área!T53</f>
        <v/>
      </c>
      <c r="AM107" s="400"/>
      <c r="AN107" s="400" t="str">
        <f ca="1">Área!U53</f>
        <v/>
      </c>
      <c r="AO107" s="400"/>
      <c r="AP107" s="422" t="str">
        <f ca="1">IFERROR(Área!Z53,"")</f>
        <v/>
      </c>
      <c r="AQ107" s="422"/>
      <c r="AR107" s="400" t="str">
        <f ca="1">Área!Y53</f>
        <v/>
      </c>
      <c r="AS107" s="423"/>
      <c r="AT107" s="72"/>
    </row>
    <row r="108" spans="1:46" ht="12" customHeight="1" x14ac:dyDescent="0.25">
      <c r="A108"/>
      <c r="B108"/>
      <c r="C108" s="397" t="str">
        <f ca="1">Área!C54</f>
        <v/>
      </c>
      <c r="D108" s="398"/>
      <c r="E108" s="398"/>
      <c r="F108" s="398"/>
      <c r="G108" s="396" t="str">
        <f ca="1">Área!F54</f>
        <v/>
      </c>
      <c r="H108" s="396"/>
      <c r="I108" s="398" t="str">
        <f ca="1">Área!G54</f>
        <v/>
      </c>
      <c r="J108" s="398"/>
      <c r="K108" s="396" t="str">
        <f ca="1">Área!H54</f>
        <v/>
      </c>
      <c r="L108" s="396"/>
      <c r="M108" s="396" t="str">
        <f ca="1">Área!I54</f>
        <v/>
      </c>
      <c r="N108" s="396"/>
      <c r="O108" s="396" t="str">
        <f ca="1">Área!J54</f>
        <v/>
      </c>
      <c r="P108" s="396"/>
      <c r="Q108" s="396" t="str">
        <f ca="1">Área!K54</f>
        <v/>
      </c>
      <c r="R108" s="396"/>
      <c r="S108" s="396" t="str">
        <f ca="1">Área!L54</f>
        <v/>
      </c>
      <c r="T108" s="396"/>
      <c r="U108" s="396" t="str">
        <f ca="1">Área!N54</f>
        <v/>
      </c>
      <c r="V108" s="396"/>
      <c r="W108" s="396" t="str">
        <f ca="1">Área!M54</f>
        <v/>
      </c>
      <c r="X108" s="396"/>
      <c r="Y108" s="89" t="str">
        <f ca="1">Área!O54</f>
        <v/>
      </c>
      <c r="Z108" s="399" t="str">
        <f ca="1">Área!P54</f>
        <v/>
      </c>
      <c r="AA108" s="399"/>
      <c r="AB108" s="399"/>
      <c r="AC108" s="399"/>
      <c r="AD108" s="399" t="str">
        <f ca="1">Área!Q54</f>
        <v/>
      </c>
      <c r="AE108" s="399"/>
      <c r="AF108" s="399"/>
      <c r="AG108" s="399"/>
      <c r="AH108" s="400" t="str">
        <f ca="1">Área!R54</f>
        <v/>
      </c>
      <c r="AI108" s="400"/>
      <c r="AJ108" s="400" t="str">
        <f ca="1">Área!S54</f>
        <v/>
      </c>
      <c r="AK108" s="400"/>
      <c r="AL108" s="400" t="str">
        <f ca="1">Área!T54</f>
        <v/>
      </c>
      <c r="AM108" s="400"/>
      <c r="AN108" s="400" t="str">
        <f ca="1">Área!U54</f>
        <v/>
      </c>
      <c r="AO108" s="400"/>
      <c r="AP108" s="422" t="str">
        <f ca="1">IFERROR(Área!Z54,"")</f>
        <v/>
      </c>
      <c r="AQ108" s="422"/>
      <c r="AR108" s="400" t="str">
        <f ca="1">Área!Y54</f>
        <v/>
      </c>
      <c r="AS108" s="423"/>
      <c r="AT108" s="72"/>
    </row>
    <row r="109" spans="1:46" ht="12" customHeight="1" x14ac:dyDescent="0.25">
      <c r="A109"/>
      <c r="B109"/>
      <c r="C109" s="397" t="str">
        <f ca="1">Área!C55</f>
        <v/>
      </c>
      <c r="D109" s="398"/>
      <c r="E109" s="398"/>
      <c r="F109" s="398"/>
      <c r="G109" s="396" t="str">
        <f ca="1">Área!F55</f>
        <v/>
      </c>
      <c r="H109" s="396"/>
      <c r="I109" s="398" t="str">
        <f ca="1">Área!G55</f>
        <v/>
      </c>
      <c r="J109" s="398"/>
      <c r="K109" s="396" t="str">
        <f ca="1">Área!H55</f>
        <v/>
      </c>
      <c r="L109" s="396"/>
      <c r="M109" s="396" t="str">
        <f ca="1">Área!I55</f>
        <v/>
      </c>
      <c r="N109" s="396"/>
      <c r="O109" s="396" t="str">
        <f ca="1">Área!J55</f>
        <v/>
      </c>
      <c r="P109" s="396"/>
      <c r="Q109" s="396" t="str">
        <f ca="1">Área!K55</f>
        <v/>
      </c>
      <c r="R109" s="396"/>
      <c r="S109" s="396" t="str">
        <f ca="1">Área!L55</f>
        <v/>
      </c>
      <c r="T109" s="396"/>
      <c r="U109" s="396" t="str">
        <f ca="1">Área!N55</f>
        <v/>
      </c>
      <c r="V109" s="396"/>
      <c r="W109" s="396" t="str">
        <f ca="1">Área!M55</f>
        <v/>
      </c>
      <c r="X109" s="396"/>
      <c r="Y109" s="89" t="str">
        <f ca="1">Área!O55</f>
        <v/>
      </c>
      <c r="Z109" s="399" t="str">
        <f ca="1">Área!P55</f>
        <v/>
      </c>
      <c r="AA109" s="399"/>
      <c r="AB109" s="399"/>
      <c r="AC109" s="399"/>
      <c r="AD109" s="399" t="str">
        <f ca="1">Área!Q55</f>
        <v/>
      </c>
      <c r="AE109" s="399"/>
      <c r="AF109" s="399"/>
      <c r="AG109" s="399"/>
      <c r="AH109" s="400" t="str">
        <f ca="1">Área!R55</f>
        <v/>
      </c>
      <c r="AI109" s="400"/>
      <c r="AJ109" s="400" t="str">
        <f ca="1">Área!S55</f>
        <v/>
      </c>
      <c r="AK109" s="400"/>
      <c r="AL109" s="400" t="str">
        <f ca="1">Área!T55</f>
        <v/>
      </c>
      <c r="AM109" s="400"/>
      <c r="AN109" s="400" t="str">
        <f ca="1">Área!U55</f>
        <v/>
      </c>
      <c r="AO109" s="400"/>
      <c r="AP109" s="422" t="str">
        <f ca="1">IFERROR(Área!Z55,"")</f>
        <v/>
      </c>
      <c r="AQ109" s="422"/>
      <c r="AR109" s="400" t="str">
        <f ca="1">Área!Y55</f>
        <v/>
      </c>
      <c r="AS109" s="423"/>
      <c r="AT109" s="72"/>
    </row>
    <row r="110" spans="1:46" ht="12" customHeight="1" x14ac:dyDescent="0.25">
      <c r="A110"/>
      <c r="B110"/>
      <c r="C110" s="397" t="str">
        <f ca="1">Área!C56</f>
        <v/>
      </c>
      <c r="D110" s="398"/>
      <c r="E110" s="398"/>
      <c r="F110" s="398"/>
      <c r="G110" s="396" t="str">
        <f ca="1">Área!F56</f>
        <v/>
      </c>
      <c r="H110" s="396"/>
      <c r="I110" s="398" t="str">
        <f ca="1">Área!G56</f>
        <v/>
      </c>
      <c r="J110" s="398"/>
      <c r="K110" s="396" t="str">
        <f ca="1">Área!H56</f>
        <v/>
      </c>
      <c r="L110" s="396"/>
      <c r="M110" s="396" t="str">
        <f ca="1">Área!I56</f>
        <v/>
      </c>
      <c r="N110" s="396"/>
      <c r="O110" s="396" t="str">
        <f ca="1">Área!J56</f>
        <v/>
      </c>
      <c r="P110" s="396"/>
      <c r="Q110" s="396" t="str">
        <f ca="1">Área!K56</f>
        <v/>
      </c>
      <c r="R110" s="396"/>
      <c r="S110" s="396" t="str">
        <f ca="1">Área!L56</f>
        <v/>
      </c>
      <c r="T110" s="396"/>
      <c r="U110" s="396" t="str">
        <f ca="1">Área!N56</f>
        <v/>
      </c>
      <c r="V110" s="396"/>
      <c r="W110" s="396" t="str">
        <f ca="1">Área!M56</f>
        <v/>
      </c>
      <c r="X110" s="396"/>
      <c r="Y110" s="89" t="str">
        <f ca="1">Área!O56</f>
        <v/>
      </c>
      <c r="Z110" s="399" t="str">
        <f ca="1">Área!P56</f>
        <v/>
      </c>
      <c r="AA110" s="399"/>
      <c r="AB110" s="399"/>
      <c r="AC110" s="399"/>
      <c r="AD110" s="399" t="str">
        <f ca="1">Área!Q56</f>
        <v/>
      </c>
      <c r="AE110" s="399"/>
      <c r="AF110" s="399"/>
      <c r="AG110" s="399"/>
      <c r="AH110" s="400" t="str">
        <f ca="1">Área!R56</f>
        <v/>
      </c>
      <c r="AI110" s="400"/>
      <c r="AJ110" s="400" t="str">
        <f ca="1">Área!S56</f>
        <v/>
      </c>
      <c r="AK110" s="400"/>
      <c r="AL110" s="400" t="str">
        <f ca="1">Área!T56</f>
        <v/>
      </c>
      <c r="AM110" s="400"/>
      <c r="AN110" s="400" t="str">
        <f ca="1">Área!U56</f>
        <v/>
      </c>
      <c r="AO110" s="400"/>
      <c r="AP110" s="422" t="str">
        <f ca="1">IFERROR(Área!Z56,"")</f>
        <v/>
      </c>
      <c r="AQ110" s="422"/>
      <c r="AR110" s="400" t="str">
        <f ca="1">Área!Y56</f>
        <v/>
      </c>
      <c r="AS110" s="423"/>
      <c r="AT110" s="72"/>
    </row>
    <row r="111" spans="1:46" ht="12" customHeight="1" x14ac:dyDescent="0.25">
      <c r="A111"/>
      <c r="B111"/>
      <c r="C111" s="397" t="str">
        <f ca="1">Área!C57</f>
        <v/>
      </c>
      <c r="D111" s="398"/>
      <c r="E111" s="398"/>
      <c r="F111" s="398"/>
      <c r="G111" s="396" t="str">
        <f ca="1">Área!F57</f>
        <v/>
      </c>
      <c r="H111" s="396"/>
      <c r="I111" s="398" t="str">
        <f ca="1">Área!G57</f>
        <v/>
      </c>
      <c r="J111" s="398"/>
      <c r="K111" s="396" t="str">
        <f ca="1">Área!H57</f>
        <v/>
      </c>
      <c r="L111" s="396"/>
      <c r="M111" s="396" t="str">
        <f ca="1">Área!I57</f>
        <v/>
      </c>
      <c r="N111" s="396"/>
      <c r="O111" s="396" t="str">
        <f ca="1">Área!J57</f>
        <v/>
      </c>
      <c r="P111" s="396"/>
      <c r="Q111" s="396" t="str">
        <f ca="1">Área!K57</f>
        <v/>
      </c>
      <c r="R111" s="396"/>
      <c r="S111" s="396" t="str">
        <f ca="1">Área!L57</f>
        <v/>
      </c>
      <c r="T111" s="396"/>
      <c r="U111" s="396" t="str">
        <f ca="1">Área!N57</f>
        <v/>
      </c>
      <c r="V111" s="396"/>
      <c r="W111" s="396" t="str">
        <f ca="1">Área!M57</f>
        <v/>
      </c>
      <c r="X111" s="396"/>
      <c r="Y111" s="89" t="str">
        <f ca="1">Área!O57</f>
        <v/>
      </c>
      <c r="Z111" s="399" t="str">
        <f ca="1">Área!P57</f>
        <v/>
      </c>
      <c r="AA111" s="399"/>
      <c r="AB111" s="399"/>
      <c r="AC111" s="399"/>
      <c r="AD111" s="399" t="str">
        <f ca="1">Área!Q57</f>
        <v/>
      </c>
      <c r="AE111" s="399"/>
      <c r="AF111" s="399"/>
      <c r="AG111" s="399"/>
      <c r="AH111" s="400" t="str">
        <f ca="1">Área!R57</f>
        <v/>
      </c>
      <c r="AI111" s="400"/>
      <c r="AJ111" s="400" t="str">
        <f ca="1">Área!S57</f>
        <v/>
      </c>
      <c r="AK111" s="400"/>
      <c r="AL111" s="400" t="str">
        <f ca="1">Área!T57</f>
        <v/>
      </c>
      <c r="AM111" s="400"/>
      <c r="AN111" s="400" t="str">
        <f ca="1">Área!U57</f>
        <v/>
      </c>
      <c r="AO111" s="400"/>
      <c r="AP111" s="422" t="str">
        <f ca="1">IFERROR(Área!Z57,"")</f>
        <v/>
      </c>
      <c r="AQ111" s="422"/>
      <c r="AR111" s="400" t="str">
        <f ca="1">Área!Y57</f>
        <v/>
      </c>
      <c r="AS111" s="423"/>
      <c r="AT111" s="72"/>
    </row>
    <row r="112" spans="1:46" ht="12" customHeight="1" x14ac:dyDescent="0.25">
      <c r="A112"/>
      <c r="B112"/>
      <c r="C112" s="397" t="str">
        <f ca="1">Área!C58</f>
        <v/>
      </c>
      <c r="D112" s="398"/>
      <c r="E112" s="398"/>
      <c r="F112" s="398"/>
      <c r="G112" s="396" t="str">
        <f ca="1">Área!F58</f>
        <v/>
      </c>
      <c r="H112" s="396"/>
      <c r="I112" s="398" t="str">
        <f ca="1">Área!G58</f>
        <v/>
      </c>
      <c r="J112" s="398"/>
      <c r="K112" s="396" t="str">
        <f ca="1">Área!H58</f>
        <v/>
      </c>
      <c r="L112" s="396"/>
      <c r="M112" s="396" t="str">
        <f ca="1">Área!I58</f>
        <v/>
      </c>
      <c r="N112" s="396"/>
      <c r="O112" s="396" t="str">
        <f ca="1">Área!J58</f>
        <v/>
      </c>
      <c r="P112" s="396"/>
      <c r="Q112" s="396" t="str">
        <f ca="1">Área!K58</f>
        <v/>
      </c>
      <c r="R112" s="396"/>
      <c r="S112" s="396" t="str">
        <f ca="1">Área!L58</f>
        <v/>
      </c>
      <c r="T112" s="396"/>
      <c r="U112" s="396" t="str">
        <f ca="1">Área!N58</f>
        <v/>
      </c>
      <c r="V112" s="396"/>
      <c r="W112" s="396" t="str">
        <f ca="1">Área!M58</f>
        <v/>
      </c>
      <c r="X112" s="396"/>
      <c r="Y112" s="89" t="str">
        <f ca="1">Área!O58</f>
        <v/>
      </c>
      <c r="Z112" s="399" t="str">
        <f ca="1">Área!P58</f>
        <v/>
      </c>
      <c r="AA112" s="399"/>
      <c r="AB112" s="399"/>
      <c r="AC112" s="399"/>
      <c r="AD112" s="399" t="str">
        <f ca="1">Área!Q58</f>
        <v/>
      </c>
      <c r="AE112" s="399"/>
      <c r="AF112" s="399"/>
      <c r="AG112" s="399"/>
      <c r="AH112" s="400" t="str">
        <f ca="1">Área!R58</f>
        <v/>
      </c>
      <c r="AI112" s="400"/>
      <c r="AJ112" s="400" t="str">
        <f ca="1">Área!S58</f>
        <v/>
      </c>
      <c r="AK112" s="400"/>
      <c r="AL112" s="400" t="str">
        <f ca="1">Área!T58</f>
        <v/>
      </c>
      <c r="AM112" s="400"/>
      <c r="AN112" s="400" t="str">
        <f ca="1">Área!U58</f>
        <v/>
      </c>
      <c r="AO112" s="400"/>
      <c r="AP112" s="422" t="str">
        <f ca="1">IFERROR(Área!Z58,"")</f>
        <v/>
      </c>
      <c r="AQ112" s="422"/>
      <c r="AR112" s="400" t="str">
        <f ca="1">Área!Y58</f>
        <v/>
      </c>
      <c r="AS112" s="423"/>
      <c r="AT112" s="72"/>
    </row>
    <row r="113" spans="1:46" ht="12" customHeight="1" x14ac:dyDescent="0.25">
      <c r="A113"/>
      <c r="B113"/>
      <c r="C113" s="397" t="str">
        <f ca="1">Área!C59</f>
        <v/>
      </c>
      <c r="D113" s="398"/>
      <c r="E113" s="398"/>
      <c r="F113" s="398"/>
      <c r="G113" s="396" t="str">
        <f ca="1">Área!F59</f>
        <v/>
      </c>
      <c r="H113" s="396"/>
      <c r="I113" s="398" t="str">
        <f ca="1">Área!G59</f>
        <v/>
      </c>
      <c r="J113" s="398"/>
      <c r="K113" s="396" t="str">
        <f ca="1">Área!H59</f>
        <v/>
      </c>
      <c r="L113" s="396"/>
      <c r="M113" s="396" t="str">
        <f ca="1">Área!I59</f>
        <v/>
      </c>
      <c r="N113" s="396"/>
      <c r="O113" s="396" t="str">
        <f ca="1">Área!J59</f>
        <v/>
      </c>
      <c r="P113" s="396"/>
      <c r="Q113" s="396" t="str">
        <f ca="1">Área!K59</f>
        <v/>
      </c>
      <c r="R113" s="396"/>
      <c r="S113" s="396" t="str">
        <f ca="1">Área!L59</f>
        <v/>
      </c>
      <c r="T113" s="396"/>
      <c r="U113" s="396" t="str">
        <f ca="1">Área!N59</f>
        <v/>
      </c>
      <c r="V113" s="396"/>
      <c r="W113" s="396" t="str">
        <f ca="1">Área!M59</f>
        <v/>
      </c>
      <c r="X113" s="396"/>
      <c r="Y113" s="89" t="str">
        <f ca="1">Área!O59</f>
        <v/>
      </c>
      <c r="Z113" s="399" t="str">
        <f ca="1">Área!P59</f>
        <v/>
      </c>
      <c r="AA113" s="399"/>
      <c r="AB113" s="399"/>
      <c r="AC113" s="399"/>
      <c r="AD113" s="399" t="str">
        <f ca="1">Área!Q59</f>
        <v/>
      </c>
      <c r="AE113" s="399"/>
      <c r="AF113" s="399"/>
      <c r="AG113" s="399"/>
      <c r="AH113" s="400" t="str">
        <f ca="1">Área!R59</f>
        <v/>
      </c>
      <c r="AI113" s="400"/>
      <c r="AJ113" s="400" t="str">
        <f ca="1">Área!S59</f>
        <v/>
      </c>
      <c r="AK113" s="400"/>
      <c r="AL113" s="400" t="str">
        <f ca="1">Área!T59</f>
        <v/>
      </c>
      <c r="AM113" s="400"/>
      <c r="AN113" s="400" t="str">
        <f ca="1">Área!U59</f>
        <v/>
      </c>
      <c r="AO113" s="400"/>
      <c r="AP113" s="422" t="str">
        <f ca="1">IFERROR(Área!Z59,"")</f>
        <v/>
      </c>
      <c r="AQ113" s="422"/>
      <c r="AR113" s="400" t="str">
        <f ca="1">Área!Y59</f>
        <v/>
      </c>
      <c r="AS113" s="423"/>
      <c r="AT113" s="72"/>
    </row>
    <row r="114" spans="1:46" ht="12" customHeight="1" x14ac:dyDescent="0.25">
      <c r="A114"/>
      <c r="B114"/>
      <c r="C114" s="397" t="str">
        <f ca="1">Área!C60</f>
        <v/>
      </c>
      <c r="D114" s="398"/>
      <c r="E114" s="398"/>
      <c r="F114" s="398"/>
      <c r="G114" s="396" t="str">
        <f ca="1">Área!F60</f>
        <v/>
      </c>
      <c r="H114" s="396"/>
      <c r="I114" s="398" t="str">
        <f ca="1">Área!G60</f>
        <v/>
      </c>
      <c r="J114" s="398"/>
      <c r="K114" s="396" t="str">
        <f ca="1">Área!H60</f>
        <v/>
      </c>
      <c r="L114" s="396"/>
      <c r="M114" s="396" t="str">
        <f ca="1">Área!I60</f>
        <v/>
      </c>
      <c r="N114" s="396"/>
      <c r="O114" s="396" t="str">
        <f ca="1">Área!J60</f>
        <v/>
      </c>
      <c r="P114" s="396"/>
      <c r="Q114" s="396" t="str">
        <f ca="1">Área!K60</f>
        <v/>
      </c>
      <c r="R114" s="396"/>
      <c r="S114" s="396" t="str">
        <f ca="1">Área!L60</f>
        <v/>
      </c>
      <c r="T114" s="396"/>
      <c r="U114" s="396" t="str">
        <f ca="1">Área!N60</f>
        <v/>
      </c>
      <c r="V114" s="396"/>
      <c r="W114" s="396" t="str">
        <f ca="1">Área!M60</f>
        <v/>
      </c>
      <c r="X114" s="396"/>
      <c r="Y114" s="89" t="str">
        <f ca="1">Área!O60</f>
        <v/>
      </c>
      <c r="Z114" s="399" t="str">
        <f ca="1">Área!P60</f>
        <v/>
      </c>
      <c r="AA114" s="399"/>
      <c r="AB114" s="399"/>
      <c r="AC114" s="399"/>
      <c r="AD114" s="399" t="str">
        <f ca="1">Área!Q60</f>
        <v/>
      </c>
      <c r="AE114" s="399"/>
      <c r="AF114" s="399"/>
      <c r="AG114" s="399"/>
      <c r="AH114" s="400" t="str">
        <f ca="1">Área!R60</f>
        <v/>
      </c>
      <c r="AI114" s="400"/>
      <c r="AJ114" s="400" t="str">
        <f ca="1">Área!S60</f>
        <v/>
      </c>
      <c r="AK114" s="400"/>
      <c r="AL114" s="400" t="str">
        <f ca="1">Área!T60</f>
        <v/>
      </c>
      <c r="AM114" s="400"/>
      <c r="AN114" s="400" t="str">
        <f ca="1">Área!U60</f>
        <v/>
      </c>
      <c r="AO114" s="400"/>
      <c r="AP114" s="422" t="str">
        <f ca="1">IFERROR(Área!Z60,"")</f>
        <v/>
      </c>
      <c r="AQ114" s="422"/>
      <c r="AR114" s="400" t="str">
        <f ca="1">Área!Y60</f>
        <v/>
      </c>
      <c r="AS114" s="423"/>
      <c r="AT114" s="72"/>
    </row>
    <row r="115" spans="1:46" ht="12" customHeight="1" x14ac:dyDescent="0.25">
      <c r="A115"/>
      <c r="B115"/>
      <c r="C115" s="397" t="str">
        <f ca="1">Área!C61</f>
        <v/>
      </c>
      <c r="D115" s="398"/>
      <c r="E115" s="398"/>
      <c r="F115" s="398"/>
      <c r="G115" s="396" t="str">
        <f ca="1">Área!F61</f>
        <v/>
      </c>
      <c r="H115" s="396"/>
      <c r="I115" s="398" t="str">
        <f ca="1">Área!G61</f>
        <v/>
      </c>
      <c r="J115" s="398"/>
      <c r="K115" s="396" t="str">
        <f ca="1">Área!H61</f>
        <v/>
      </c>
      <c r="L115" s="396"/>
      <c r="M115" s="396" t="str">
        <f ca="1">Área!I61</f>
        <v/>
      </c>
      <c r="N115" s="396"/>
      <c r="O115" s="396" t="str">
        <f ca="1">Área!J61</f>
        <v/>
      </c>
      <c r="P115" s="396"/>
      <c r="Q115" s="396" t="str">
        <f ca="1">Área!K61</f>
        <v/>
      </c>
      <c r="R115" s="396"/>
      <c r="S115" s="396" t="str">
        <f ca="1">Área!L61</f>
        <v/>
      </c>
      <c r="T115" s="396"/>
      <c r="U115" s="396" t="str">
        <f ca="1">Área!N61</f>
        <v/>
      </c>
      <c r="V115" s="396"/>
      <c r="W115" s="396" t="str">
        <f ca="1">Área!M61</f>
        <v/>
      </c>
      <c r="X115" s="396"/>
      <c r="Y115" s="89" t="str">
        <f ca="1">Área!O61</f>
        <v/>
      </c>
      <c r="Z115" s="399" t="str">
        <f ca="1">Área!P61</f>
        <v/>
      </c>
      <c r="AA115" s="399"/>
      <c r="AB115" s="399"/>
      <c r="AC115" s="399"/>
      <c r="AD115" s="399" t="str">
        <f ca="1">Área!Q61</f>
        <v/>
      </c>
      <c r="AE115" s="399"/>
      <c r="AF115" s="399"/>
      <c r="AG115" s="399"/>
      <c r="AH115" s="400" t="str">
        <f ca="1">Área!R61</f>
        <v/>
      </c>
      <c r="AI115" s="400"/>
      <c r="AJ115" s="400" t="str">
        <f ca="1">Área!S61</f>
        <v/>
      </c>
      <c r="AK115" s="400"/>
      <c r="AL115" s="400" t="str">
        <f ca="1">Área!T61</f>
        <v/>
      </c>
      <c r="AM115" s="400"/>
      <c r="AN115" s="400" t="str">
        <f ca="1">Área!U61</f>
        <v/>
      </c>
      <c r="AO115" s="400"/>
      <c r="AP115" s="422" t="str">
        <f ca="1">IFERROR(Área!Z61,"")</f>
        <v/>
      </c>
      <c r="AQ115" s="422"/>
      <c r="AR115" s="400" t="str">
        <f ca="1">Área!Y61</f>
        <v/>
      </c>
      <c r="AS115" s="423"/>
      <c r="AT115" s="72"/>
    </row>
    <row r="116" spans="1:46" ht="12" customHeight="1" x14ac:dyDescent="0.25">
      <c r="A116"/>
      <c r="B116"/>
      <c r="C116" s="397" t="str">
        <f ca="1">Área!C62</f>
        <v/>
      </c>
      <c r="D116" s="398"/>
      <c r="E116" s="398"/>
      <c r="F116" s="398"/>
      <c r="G116" s="396" t="str">
        <f ca="1">Área!F62</f>
        <v/>
      </c>
      <c r="H116" s="396"/>
      <c r="I116" s="398" t="str">
        <f ca="1">Área!G62</f>
        <v/>
      </c>
      <c r="J116" s="398"/>
      <c r="K116" s="396" t="str">
        <f ca="1">Área!H62</f>
        <v/>
      </c>
      <c r="L116" s="396"/>
      <c r="M116" s="396" t="str">
        <f ca="1">Área!I62</f>
        <v/>
      </c>
      <c r="N116" s="396"/>
      <c r="O116" s="396" t="str">
        <f ca="1">Área!J62</f>
        <v/>
      </c>
      <c r="P116" s="396"/>
      <c r="Q116" s="396" t="str">
        <f ca="1">Área!K62</f>
        <v/>
      </c>
      <c r="R116" s="396"/>
      <c r="S116" s="396" t="str">
        <f ca="1">Área!L62</f>
        <v/>
      </c>
      <c r="T116" s="396"/>
      <c r="U116" s="396" t="str">
        <f ca="1">Área!N62</f>
        <v/>
      </c>
      <c r="V116" s="396"/>
      <c r="W116" s="396" t="str">
        <f ca="1">Área!M62</f>
        <v/>
      </c>
      <c r="X116" s="396"/>
      <c r="Y116" s="89" t="str">
        <f ca="1">Área!O62</f>
        <v/>
      </c>
      <c r="Z116" s="399" t="str">
        <f ca="1">Área!P62</f>
        <v/>
      </c>
      <c r="AA116" s="399"/>
      <c r="AB116" s="399"/>
      <c r="AC116" s="399"/>
      <c r="AD116" s="399" t="str">
        <f ca="1">Área!Q62</f>
        <v/>
      </c>
      <c r="AE116" s="399"/>
      <c r="AF116" s="399"/>
      <c r="AG116" s="399"/>
      <c r="AH116" s="400" t="str">
        <f ca="1">Área!R62</f>
        <v/>
      </c>
      <c r="AI116" s="400"/>
      <c r="AJ116" s="400" t="str">
        <f ca="1">Área!S62</f>
        <v/>
      </c>
      <c r="AK116" s="400"/>
      <c r="AL116" s="400" t="str">
        <f ca="1">Área!T62</f>
        <v/>
      </c>
      <c r="AM116" s="400"/>
      <c r="AN116" s="400" t="str">
        <f ca="1">Área!U62</f>
        <v/>
      </c>
      <c r="AO116" s="400"/>
      <c r="AP116" s="422" t="str">
        <f ca="1">IFERROR(Área!Z62,"")</f>
        <v/>
      </c>
      <c r="AQ116" s="422"/>
      <c r="AR116" s="400" t="str">
        <f ca="1">Área!Y62</f>
        <v/>
      </c>
      <c r="AS116" s="423"/>
      <c r="AT116" s="72"/>
    </row>
    <row r="117" spans="1:46" ht="12" customHeight="1" x14ac:dyDescent="0.25">
      <c r="A117"/>
      <c r="B117"/>
      <c r="C117" s="397" t="str">
        <f ca="1">Área!C63</f>
        <v/>
      </c>
      <c r="D117" s="398"/>
      <c r="E117" s="398"/>
      <c r="F117" s="398"/>
      <c r="G117" s="396" t="str">
        <f ca="1">Área!F63</f>
        <v/>
      </c>
      <c r="H117" s="396"/>
      <c r="I117" s="398" t="str">
        <f ca="1">Área!G63</f>
        <v/>
      </c>
      <c r="J117" s="398"/>
      <c r="K117" s="396" t="str">
        <f ca="1">Área!H63</f>
        <v/>
      </c>
      <c r="L117" s="396"/>
      <c r="M117" s="396" t="str">
        <f ca="1">Área!I63</f>
        <v/>
      </c>
      <c r="N117" s="396"/>
      <c r="O117" s="396" t="str">
        <f ca="1">Área!J63</f>
        <v/>
      </c>
      <c r="P117" s="396"/>
      <c r="Q117" s="396" t="str">
        <f ca="1">Área!K63</f>
        <v/>
      </c>
      <c r="R117" s="396"/>
      <c r="S117" s="396" t="str">
        <f ca="1">Área!L63</f>
        <v/>
      </c>
      <c r="T117" s="396"/>
      <c r="U117" s="396" t="str">
        <f ca="1">Área!N63</f>
        <v/>
      </c>
      <c r="V117" s="396"/>
      <c r="W117" s="396" t="str">
        <f ca="1">Área!M63</f>
        <v/>
      </c>
      <c r="X117" s="396"/>
      <c r="Y117" s="89" t="str">
        <f ca="1">Área!O63</f>
        <v/>
      </c>
      <c r="Z117" s="399" t="str">
        <f ca="1">Área!P63</f>
        <v/>
      </c>
      <c r="AA117" s="399"/>
      <c r="AB117" s="399"/>
      <c r="AC117" s="399"/>
      <c r="AD117" s="399" t="str">
        <f ca="1">Área!Q63</f>
        <v/>
      </c>
      <c r="AE117" s="399"/>
      <c r="AF117" s="399"/>
      <c r="AG117" s="399"/>
      <c r="AH117" s="400" t="str">
        <f ca="1">Área!R63</f>
        <v/>
      </c>
      <c r="AI117" s="400"/>
      <c r="AJ117" s="400" t="str">
        <f ca="1">Área!S63</f>
        <v/>
      </c>
      <c r="AK117" s="400"/>
      <c r="AL117" s="400" t="str">
        <f ca="1">Área!T63</f>
        <v/>
      </c>
      <c r="AM117" s="400"/>
      <c r="AN117" s="400" t="str">
        <f ca="1">Área!U63</f>
        <v/>
      </c>
      <c r="AO117" s="400"/>
      <c r="AP117" s="422" t="str">
        <f ca="1">IFERROR(Área!Z63,"")</f>
        <v/>
      </c>
      <c r="AQ117" s="422"/>
      <c r="AR117" s="400" t="str">
        <f ca="1">Área!Y63</f>
        <v/>
      </c>
      <c r="AS117" s="423"/>
      <c r="AT117" s="72"/>
    </row>
    <row r="118" spans="1:46" ht="12" customHeight="1" x14ac:dyDescent="0.25">
      <c r="A118"/>
      <c r="B118"/>
      <c r="C118" s="397" t="str">
        <f ca="1">Área!C64</f>
        <v/>
      </c>
      <c r="D118" s="398"/>
      <c r="E118" s="398"/>
      <c r="F118" s="398"/>
      <c r="G118" s="396" t="str">
        <f ca="1">Área!F64</f>
        <v/>
      </c>
      <c r="H118" s="396"/>
      <c r="I118" s="398" t="str">
        <f ca="1">Área!G64</f>
        <v/>
      </c>
      <c r="J118" s="398"/>
      <c r="K118" s="396" t="str">
        <f ca="1">Área!H64</f>
        <v/>
      </c>
      <c r="L118" s="396"/>
      <c r="M118" s="396" t="str">
        <f ca="1">Área!I64</f>
        <v/>
      </c>
      <c r="N118" s="396"/>
      <c r="O118" s="396" t="str">
        <f ca="1">Área!J64</f>
        <v/>
      </c>
      <c r="P118" s="396"/>
      <c r="Q118" s="396" t="str">
        <f ca="1">Área!K64</f>
        <v/>
      </c>
      <c r="R118" s="396"/>
      <c r="S118" s="396" t="str">
        <f ca="1">Área!L64</f>
        <v/>
      </c>
      <c r="T118" s="396"/>
      <c r="U118" s="396" t="str">
        <f ca="1">Área!N64</f>
        <v/>
      </c>
      <c r="V118" s="396"/>
      <c r="W118" s="396" t="str">
        <f ca="1">Área!M64</f>
        <v/>
      </c>
      <c r="X118" s="396"/>
      <c r="Y118" s="89" t="str">
        <f ca="1">Área!O64</f>
        <v/>
      </c>
      <c r="Z118" s="399" t="str">
        <f ca="1">Área!P64</f>
        <v/>
      </c>
      <c r="AA118" s="399"/>
      <c r="AB118" s="399"/>
      <c r="AC118" s="399"/>
      <c r="AD118" s="399" t="str">
        <f ca="1">Área!Q64</f>
        <v/>
      </c>
      <c r="AE118" s="399"/>
      <c r="AF118" s="399"/>
      <c r="AG118" s="399"/>
      <c r="AH118" s="400" t="str">
        <f ca="1">Área!R64</f>
        <v/>
      </c>
      <c r="AI118" s="400"/>
      <c r="AJ118" s="400" t="str">
        <f ca="1">Área!S64</f>
        <v/>
      </c>
      <c r="AK118" s="400"/>
      <c r="AL118" s="400" t="str">
        <f ca="1">Área!T64</f>
        <v/>
      </c>
      <c r="AM118" s="400"/>
      <c r="AN118" s="400" t="str">
        <f ca="1">Área!U64</f>
        <v/>
      </c>
      <c r="AO118" s="400"/>
      <c r="AP118" s="422" t="str">
        <f ca="1">IFERROR(Área!Z64,"")</f>
        <v/>
      </c>
      <c r="AQ118" s="422"/>
      <c r="AR118" s="400" t="str">
        <f ca="1">Área!Y64</f>
        <v/>
      </c>
      <c r="AS118" s="423"/>
      <c r="AT118" s="72"/>
    </row>
    <row r="119" spans="1:46" ht="12" customHeight="1" x14ac:dyDescent="0.25">
      <c r="A119"/>
      <c r="B119"/>
      <c r="C119" s="397" t="str">
        <f ca="1">Área!C65</f>
        <v/>
      </c>
      <c r="D119" s="398"/>
      <c r="E119" s="398"/>
      <c r="F119" s="398"/>
      <c r="G119" s="396" t="str">
        <f ca="1">Área!F65</f>
        <v/>
      </c>
      <c r="H119" s="396"/>
      <c r="I119" s="398" t="str">
        <f ca="1">Área!G65</f>
        <v/>
      </c>
      <c r="J119" s="398"/>
      <c r="K119" s="396" t="str">
        <f ca="1">Área!H65</f>
        <v/>
      </c>
      <c r="L119" s="396"/>
      <c r="M119" s="396" t="str">
        <f ca="1">Área!I65</f>
        <v/>
      </c>
      <c r="N119" s="396"/>
      <c r="O119" s="396" t="str">
        <f ca="1">Área!J65</f>
        <v/>
      </c>
      <c r="P119" s="396"/>
      <c r="Q119" s="396" t="str">
        <f ca="1">Área!K65</f>
        <v/>
      </c>
      <c r="R119" s="396"/>
      <c r="S119" s="396" t="str">
        <f ca="1">Área!L65</f>
        <v/>
      </c>
      <c r="T119" s="396"/>
      <c r="U119" s="396" t="str">
        <f ca="1">Área!N65</f>
        <v/>
      </c>
      <c r="V119" s="396"/>
      <c r="W119" s="396" t="str">
        <f ca="1">Área!M65</f>
        <v/>
      </c>
      <c r="X119" s="396"/>
      <c r="Y119" s="89" t="str">
        <f ca="1">Área!O65</f>
        <v/>
      </c>
      <c r="Z119" s="399" t="str">
        <f ca="1">Área!P65</f>
        <v/>
      </c>
      <c r="AA119" s="399"/>
      <c r="AB119" s="399"/>
      <c r="AC119" s="399"/>
      <c r="AD119" s="399" t="str">
        <f ca="1">Área!Q65</f>
        <v/>
      </c>
      <c r="AE119" s="399"/>
      <c r="AF119" s="399"/>
      <c r="AG119" s="399"/>
      <c r="AH119" s="400" t="str">
        <f ca="1">Área!R65</f>
        <v/>
      </c>
      <c r="AI119" s="400"/>
      <c r="AJ119" s="400" t="str">
        <f ca="1">Área!S65</f>
        <v/>
      </c>
      <c r="AK119" s="400"/>
      <c r="AL119" s="400" t="str">
        <f ca="1">Área!T65</f>
        <v/>
      </c>
      <c r="AM119" s="400"/>
      <c r="AN119" s="400" t="str">
        <f ca="1">Área!U65</f>
        <v/>
      </c>
      <c r="AO119" s="400"/>
      <c r="AP119" s="422" t="str">
        <f ca="1">IFERROR(Área!Z65,"")</f>
        <v/>
      </c>
      <c r="AQ119" s="422"/>
      <c r="AR119" s="400" t="str">
        <f ca="1">Área!Y65</f>
        <v/>
      </c>
      <c r="AS119" s="423"/>
      <c r="AT119" s="72"/>
    </row>
    <row r="120" spans="1:46" ht="12" customHeight="1" x14ac:dyDescent="0.25">
      <c r="A120"/>
      <c r="B120"/>
      <c r="C120" s="397" t="str">
        <f ca="1">Área!C66</f>
        <v/>
      </c>
      <c r="D120" s="398"/>
      <c r="E120" s="398"/>
      <c r="F120" s="398"/>
      <c r="G120" s="396" t="str">
        <f ca="1">Área!F66</f>
        <v/>
      </c>
      <c r="H120" s="396"/>
      <c r="I120" s="398" t="str">
        <f ca="1">Área!G66</f>
        <v/>
      </c>
      <c r="J120" s="398"/>
      <c r="K120" s="396" t="str">
        <f ca="1">Área!H66</f>
        <v/>
      </c>
      <c r="L120" s="396"/>
      <c r="M120" s="396" t="str">
        <f ca="1">Área!I66</f>
        <v/>
      </c>
      <c r="N120" s="396"/>
      <c r="O120" s="396" t="str">
        <f ca="1">Área!J66</f>
        <v/>
      </c>
      <c r="P120" s="396"/>
      <c r="Q120" s="396" t="str">
        <f ca="1">Área!K66</f>
        <v/>
      </c>
      <c r="R120" s="396"/>
      <c r="S120" s="396" t="str">
        <f ca="1">Área!L66</f>
        <v/>
      </c>
      <c r="T120" s="396"/>
      <c r="U120" s="396" t="str">
        <f ca="1">Área!N66</f>
        <v/>
      </c>
      <c r="V120" s="396"/>
      <c r="W120" s="396" t="str">
        <f ca="1">Área!M66</f>
        <v/>
      </c>
      <c r="X120" s="396"/>
      <c r="Y120" s="89" t="str">
        <f ca="1">Área!O66</f>
        <v/>
      </c>
      <c r="Z120" s="399" t="str">
        <f ca="1">Área!P66</f>
        <v/>
      </c>
      <c r="AA120" s="399"/>
      <c r="AB120" s="399"/>
      <c r="AC120" s="399"/>
      <c r="AD120" s="399" t="str">
        <f ca="1">Área!Q66</f>
        <v/>
      </c>
      <c r="AE120" s="399"/>
      <c r="AF120" s="399"/>
      <c r="AG120" s="399"/>
      <c r="AH120" s="400" t="str">
        <f ca="1">Área!R66</f>
        <v/>
      </c>
      <c r="AI120" s="400"/>
      <c r="AJ120" s="400" t="str">
        <f ca="1">Área!S66</f>
        <v/>
      </c>
      <c r="AK120" s="400"/>
      <c r="AL120" s="400" t="str">
        <f ca="1">Área!T66</f>
        <v/>
      </c>
      <c r="AM120" s="400"/>
      <c r="AN120" s="400" t="str">
        <f ca="1">Área!U66</f>
        <v/>
      </c>
      <c r="AO120" s="400"/>
      <c r="AP120" s="422" t="str">
        <f ca="1">IFERROR(Área!Z66,"")</f>
        <v/>
      </c>
      <c r="AQ120" s="422"/>
      <c r="AR120" s="400" t="str">
        <f ca="1">Área!Y66</f>
        <v/>
      </c>
      <c r="AS120" s="423"/>
      <c r="AT120" s="72"/>
    </row>
    <row r="121" spans="1:46" ht="12" customHeight="1" x14ac:dyDescent="0.25">
      <c r="A121"/>
      <c r="B121"/>
      <c r="C121" s="397" t="str">
        <f ca="1">Área!C67</f>
        <v/>
      </c>
      <c r="D121" s="398"/>
      <c r="E121" s="398"/>
      <c r="F121" s="398"/>
      <c r="G121" s="396" t="str">
        <f ca="1">Área!F67</f>
        <v/>
      </c>
      <c r="H121" s="396"/>
      <c r="I121" s="398" t="str">
        <f ca="1">Área!G67</f>
        <v/>
      </c>
      <c r="J121" s="398"/>
      <c r="K121" s="396" t="str">
        <f ca="1">Área!H67</f>
        <v/>
      </c>
      <c r="L121" s="396"/>
      <c r="M121" s="396" t="str">
        <f ca="1">Área!I67</f>
        <v/>
      </c>
      <c r="N121" s="396"/>
      <c r="O121" s="396" t="str">
        <f ca="1">Área!J67</f>
        <v/>
      </c>
      <c r="P121" s="396"/>
      <c r="Q121" s="396" t="str">
        <f ca="1">Área!K67</f>
        <v/>
      </c>
      <c r="R121" s="396"/>
      <c r="S121" s="396" t="str">
        <f ca="1">Área!L67</f>
        <v/>
      </c>
      <c r="T121" s="396"/>
      <c r="U121" s="396" t="str">
        <f ca="1">Área!N67</f>
        <v/>
      </c>
      <c r="V121" s="396"/>
      <c r="W121" s="396" t="str">
        <f ca="1">Área!M67</f>
        <v/>
      </c>
      <c r="X121" s="396"/>
      <c r="Y121" s="89" t="str">
        <f ca="1">Área!O67</f>
        <v/>
      </c>
      <c r="Z121" s="399" t="str">
        <f ca="1">Área!P67</f>
        <v/>
      </c>
      <c r="AA121" s="399"/>
      <c r="AB121" s="399"/>
      <c r="AC121" s="399"/>
      <c r="AD121" s="399" t="str">
        <f ca="1">Área!Q67</f>
        <v/>
      </c>
      <c r="AE121" s="399"/>
      <c r="AF121" s="399"/>
      <c r="AG121" s="399"/>
      <c r="AH121" s="400" t="str">
        <f ca="1">Área!R67</f>
        <v/>
      </c>
      <c r="AI121" s="400"/>
      <c r="AJ121" s="400" t="str">
        <f ca="1">Área!S67</f>
        <v/>
      </c>
      <c r="AK121" s="400"/>
      <c r="AL121" s="400" t="str">
        <f ca="1">Área!T67</f>
        <v/>
      </c>
      <c r="AM121" s="400"/>
      <c r="AN121" s="400" t="str">
        <f ca="1">Área!U67</f>
        <v/>
      </c>
      <c r="AO121" s="400"/>
      <c r="AP121" s="422" t="str">
        <f ca="1">IFERROR(Área!Z67,"")</f>
        <v/>
      </c>
      <c r="AQ121" s="422"/>
      <c r="AR121" s="400" t="str">
        <f ca="1">Área!Y67</f>
        <v/>
      </c>
      <c r="AS121" s="423"/>
      <c r="AT121" s="72"/>
    </row>
    <row r="122" spans="1:46" ht="12" customHeight="1" x14ac:dyDescent="0.25">
      <c r="A122"/>
      <c r="B122"/>
      <c r="C122" s="397" t="str">
        <f ca="1">Área!C68</f>
        <v/>
      </c>
      <c r="D122" s="398"/>
      <c r="E122" s="398"/>
      <c r="F122" s="398"/>
      <c r="G122" s="396" t="str">
        <f ca="1">Área!F68</f>
        <v/>
      </c>
      <c r="H122" s="396"/>
      <c r="I122" s="398" t="str">
        <f ca="1">Área!G68</f>
        <v/>
      </c>
      <c r="J122" s="398"/>
      <c r="K122" s="396" t="str">
        <f ca="1">Área!H68</f>
        <v/>
      </c>
      <c r="L122" s="396"/>
      <c r="M122" s="396" t="str">
        <f ca="1">Área!I68</f>
        <v/>
      </c>
      <c r="N122" s="396"/>
      <c r="O122" s="396" t="str">
        <f ca="1">Área!J68</f>
        <v/>
      </c>
      <c r="P122" s="396"/>
      <c r="Q122" s="396" t="str">
        <f ca="1">Área!K68</f>
        <v/>
      </c>
      <c r="R122" s="396"/>
      <c r="S122" s="396" t="str">
        <f ca="1">Área!L68</f>
        <v/>
      </c>
      <c r="T122" s="396"/>
      <c r="U122" s="396" t="str">
        <f ca="1">Área!N68</f>
        <v/>
      </c>
      <c r="V122" s="396"/>
      <c r="W122" s="396" t="str">
        <f ca="1">Área!M68</f>
        <v/>
      </c>
      <c r="X122" s="396"/>
      <c r="Y122" s="89" t="str">
        <f ca="1">Área!O68</f>
        <v/>
      </c>
      <c r="Z122" s="399" t="str">
        <f ca="1">Área!P68</f>
        <v/>
      </c>
      <c r="AA122" s="399"/>
      <c r="AB122" s="399"/>
      <c r="AC122" s="399"/>
      <c r="AD122" s="399" t="str">
        <f ca="1">Área!Q68</f>
        <v/>
      </c>
      <c r="AE122" s="399"/>
      <c r="AF122" s="399"/>
      <c r="AG122" s="399"/>
      <c r="AH122" s="400" t="str">
        <f ca="1">Área!R68</f>
        <v/>
      </c>
      <c r="AI122" s="400"/>
      <c r="AJ122" s="400" t="str">
        <f ca="1">Área!S68</f>
        <v/>
      </c>
      <c r="AK122" s="400"/>
      <c r="AL122" s="400" t="str">
        <f ca="1">Área!T68</f>
        <v/>
      </c>
      <c r="AM122" s="400"/>
      <c r="AN122" s="400" t="str">
        <f ca="1">Área!U68</f>
        <v/>
      </c>
      <c r="AO122" s="400"/>
      <c r="AP122" s="422" t="str">
        <f ca="1">IFERROR(Área!Z68,"")</f>
        <v/>
      </c>
      <c r="AQ122" s="422"/>
      <c r="AR122" s="400" t="str">
        <f ca="1">Área!Y68</f>
        <v/>
      </c>
      <c r="AS122" s="423"/>
      <c r="AT122" s="72"/>
    </row>
    <row r="123" spans="1:46" ht="12" customHeight="1" x14ac:dyDescent="0.25">
      <c r="A123"/>
      <c r="B123"/>
      <c r="C123" s="397" t="str">
        <f ca="1">Área!C69</f>
        <v/>
      </c>
      <c r="D123" s="398"/>
      <c r="E123" s="398"/>
      <c r="F123" s="398"/>
      <c r="G123" s="396" t="str">
        <f ca="1">Área!F69</f>
        <v/>
      </c>
      <c r="H123" s="396"/>
      <c r="I123" s="398" t="str">
        <f ca="1">Área!G69</f>
        <v/>
      </c>
      <c r="J123" s="398"/>
      <c r="K123" s="396" t="str">
        <f ca="1">Área!H69</f>
        <v/>
      </c>
      <c r="L123" s="396"/>
      <c r="M123" s="396" t="str">
        <f ca="1">Área!I69</f>
        <v/>
      </c>
      <c r="N123" s="396"/>
      <c r="O123" s="396" t="str">
        <f ca="1">Área!J69</f>
        <v/>
      </c>
      <c r="P123" s="396"/>
      <c r="Q123" s="396" t="str">
        <f ca="1">Área!K69</f>
        <v/>
      </c>
      <c r="R123" s="396"/>
      <c r="S123" s="396" t="str">
        <f ca="1">Área!L69</f>
        <v/>
      </c>
      <c r="T123" s="396"/>
      <c r="U123" s="396" t="str">
        <f ca="1">Área!N69</f>
        <v/>
      </c>
      <c r="V123" s="396"/>
      <c r="W123" s="396" t="str">
        <f ca="1">Área!M69</f>
        <v/>
      </c>
      <c r="X123" s="396"/>
      <c r="Y123" s="89" t="str">
        <f ca="1">Área!O69</f>
        <v/>
      </c>
      <c r="Z123" s="399" t="str">
        <f ca="1">Área!P69</f>
        <v/>
      </c>
      <c r="AA123" s="399"/>
      <c r="AB123" s="399"/>
      <c r="AC123" s="399"/>
      <c r="AD123" s="399" t="str">
        <f ca="1">Área!Q69</f>
        <v/>
      </c>
      <c r="AE123" s="399"/>
      <c r="AF123" s="399"/>
      <c r="AG123" s="399"/>
      <c r="AH123" s="400" t="str">
        <f ca="1">Área!R69</f>
        <v/>
      </c>
      <c r="AI123" s="400"/>
      <c r="AJ123" s="400" t="str">
        <f ca="1">Área!S69</f>
        <v/>
      </c>
      <c r="AK123" s="400"/>
      <c r="AL123" s="400" t="str">
        <f ca="1">Área!T69</f>
        <v/>
      </c>
      <c r="AM123" s="400"/>
      <c r="AN123" s="400" t="str">
        <f ca="1">Área!U69</f>
        <v/>
      </c>
      <c r="AO123" s="400"/>
      <c r="AP123" s="422" t="str">
        <f ca="1">IFERROR(Área!Z69,"")</f>
        <v/>
      </c>
      <c r="AQ123" s="422"/>
      <c r="AR123" s="400" t="str">
        <f ca="1">Área!Y69</f>
        <v/>
      </c>
      <c r="AS123" s="423"/>
      <c r="AT123" s="72"/>
    </row>
    <row r="124" spans="1:46" ht="12" customHeight="1" x14ac:dyDescent="0.25">
      <c r="A124"/>
      <c r="B124"/>
      <c r="C124" s="397" t="str">
        <f ca="1">Área!C70</f>
        <v/>
      </c>
      <c r="D124" s="398"/>
      <c r="E124" s="398"/>
      <c r="F124" s="398"/>
      <c r="G124" s="396" t="str">
        <f ca="1">Área!F70</f>
        <v/>
      </c>
      <c r="H124" s="396"/>
      <c r="I124" s="398" t="str">
        <f ca="1">Área!G70</f>
        <v/>
      </c>
      <c r="J124" s="398"/>
      <c r="K124" s="396" t="str">
        <f ca="1">Área!H70</f>
        <v/>
      </c>
      <c r="L124" s="396"/>
      <c r="M124" s="396" t="str">
        <f ca="1">Área!I70</f>
        <v/>
      </c>
      <c r="N124" s="396"/>
      <c r="O124" s="396" t="str">
        <f ca="1">Área!J70</f>
        <v/>
      </c>
      <c r="P124" s="396"/>
      <c r="Q124" s="396" t="str">
        <f ca="1">Área!K70</f>
        <v/>
      </c>
      <c r="R124" s="396"/>
      <c r="S124" s="396" t="str">
        <f ca="1">Área!L70</f>
        <v/>
      </c>
      <c r="T124" s="396"/>
      <c r="U124" s="396" t="str">
        <f ca="1">Área!N70</f>
        <v/>
      </c>
      <c r="V124" s="396"/>
      <c r="W124" s="396" t="str">
        <f ca="1">Área!M70</f>
        <v/>
      </c>
      <c r="X124" s="396"/>
      <c r="Y124" s="89" t="str">
        <f ca="1">Área!O70</f>
        <v/>
      </c>
      <c r="Z124" s="399" t="str">
        <f ca="1">Área!P70</f>
        <v/>
      </c>
      <c r="AA124" s="399"/>
      <c r="AB124" s="399"/>
      <c r="AC124" s="399"/>
      <c r="AD124" s="399" t="str">
        <f ca="1">Área!Q70</f>
        <v/>
      </c>
      <c r="AE124" s="399"/>
      <c r="AF124" s="399"/>
      <c r="AG124" s="399"/>
      <c r="AH124" s="400" t="str">
        <f ca="1">Área!R70</f>
        <v/>
      </c>
      <c r="AI124" s="400"/>
      <c r="AJ124" s="400" t="str">
        <f ca="1">Área!S70</f>
        <v/>
      </c>
      <c r="AK124" s="400"/>
      <c r="AL124" s="400" t="str">
        <f ca="1">Área!T70</f>
        <v/>
      </c>
      <c r="AM124" s="400"/>
      <c r="AN124" s="400" t="str">
        <f ca="1">Área!U70</f>
        <v/>
      </c>
      <c r="AO124" s="400"/>
      <c r="AP124" s="422" t="str">
        <f ca="1">IFERROR(Área!Z70,"")</f>
        <v/>
      </c>
      <c r="AQ124" s="422"/>
      <c r="AR124" s="400" t="str">
        <f ca="1">Área!Y70</f>
        <v/>
      </c>
      <c r="AS124" s="423"/>
      <c r="AT124" s="72"/>
    </row>
    <row r="125" spans="1:46" ht="12" customHeight="1" x14ac:dyDescent="0.25">
      <c r="A125"/>
      <c r="B125"/>
      <c r="C125" s="397" t="str">
        <f ca="1">Área!C71</f>
        <v/>
      </c>
      <c r="D125" s="398"/>
      <c r="E125" s="398"/>
      <c r="F125" s="398"/>
      <c r="G125" s="396" t="str">
        <f ca="1">Área!F71</f>
        <v/>
      </c>
      <c r="H125" s="396"/>
      <c r="I125" s="398" t="str">
        <f ca="1">Área!G71</f>
        <v/>
      </c>
      <c r="J125" s="398"/>
      <c r="K125" s="396" t="str">
        <f ca="1">Área!H71</f>
        <v/>
      </c>
      <c r="L125" s="396"/>
      <c r="M125" s="396" t="str">
        <f ca="1">Área!I71</f>
        <v/>
      </c>
      <c r="N125" s="396"/>
      <c r="O125" s="396" t="str">
        <f ca="1">Área!J71</f>
        <v/>
      </c>
      <c r="P125" s="396"/>
      <c r="Q125" s="396" t="str">
        <f ca="1">Área!K71</f>
        <v/>
      </c>
      <c r="R125" s="396"/>
      <c r="S125" s="396" t="str">
        <f ca="1">Área!L71</f>
        <v/>
      </c>
      <c r="T125" s="396"/>
      <c r="U125" s="396" t="str">
        <f ca="1">Área!N71</f>
        <v/>
      </c>
      <c r="V125" s="396"/>
      <c r="W125" s="396" t="str">
        <f ca="1">Área!M71</f>
        <v/>
      </c>
      <c r="X125" s="396"/>
      <c r="Y125" s="89" t="str">
        <f ca="1">Área!O71</f>
        <v/>
      </c>
      <c r="Z125" s="399" t="str">
        <f ca="1">Área!P71</f>
        <v/>
      </c>
      <c r="AA125" s="399"/>
      <c r="AB125" s="399"/>
      <c r="AC125" s="399"/>
      <c r="AD125" s="399" t="str">
        <f ca="1">Área!Q71</f>
        <v/>
      </c>
      <c r="AE125" s="399"/>
      <c r="AF125" s="399"/>
      <c r="AG125" s="399"/>
      <c r="AH125" s="400" t="str">
        <f ca="1">Área!R71</f>
        <v/>
      </c>
      <c r="AI125" s="400"/>
      <c r="AJ125" s="400" t="str">
        <f ca="1">Área!S71</f>
        <v/>
      </c>
      <c r="AK125" s="400"/>
      <c r="AL125" s="400" t="str">
        <f ca="1">Área!T71</f>
        <v/>
      </c>
      <c r="AM125" s="400"/>
      <c r="AN125" s="400" t="str">
        <f ca="1">Área!U71</f>
        <v/>
      </c>
      <c r="AO125" s="400"/>
      <c r="AP125" s="422" t="str">
        <f ca="1">IFERROR(Área!Z71,"")</f>
        <v/>
      </c>
      <c r="AQ125" s="422"/>
      <c r="AR125" s="400" t="str">
        <f ca="1">Área!Y71</f>
        <v/>
      </c>
      <c r="AS125" s="423"/>
      <c r="AT125" s="72"/>
    </row>
    <row r="126" spans="1:46" ht="12" customHeight="1" x14ac:dyDescent="0.25">
      <c r="A126"/>
      <c r="B126"/>
      <c r="C126" s="397" t="str">
        <f ca="1">Área!C72</f>
        <v/>
      </c>
      <c r="D126" s="398"/>
      <c r="E126" s="398"/>
      <c r="F126" s="398"/>
      <c r="G126" s="396" t="str">
        <f ca="1">Área!F72</f>
        <v/>
      </c>
      <c r="H126" s="396"/>
      <c r="I126" s="398" t="str">
        <f ca="1">Área!G72</f>
        <v/>
      </c>
      <c r="J126" s="398"/>
      <c r="K126" s="396" t="str">
        <f ca="1">Área!H72</f>
        <v/>
      </c>
      <c r="L126" s="396"/>
      <c r="M126" s="396" t="str">
        <f ca="1">Área!I72</f>
        <v/>
      </c>
      <c r="N126" s="396"/>
      <c r="O126" s="396" t="str">
        <f ca="1">Área!J72</f>
        <v/>
      </c>
      <c r="P126" s="396"/>
      <c r="Q126" s="396" t="str">
        <f ca="1">Área!K72</f>
        <v/>
      </c>
      <c r="R126" s="396"/>
      <c r="S126" s="396" t="str">
        <f ca="1">Área!L72</f>
        <v/>
      </c>
      <c r="T126" s="396"/>
      <c r="U126" s="396" t="str">
        <f ca="1">Área!N72</f>
        <v/>
      </c>
      <c r="V126" s="396"/>
      <c r="W126" s="396" t="str">
        <f ca="1">Área!M72</f>
        <v/>
      </c>
      <c r="X126" s="396"/>
      <c r="Y126" s="89" t="str">
        <f ca="1">Área!O72</f>
        <v/>
      </c>
      <c r="Z126" s="399" t="str">
        <f ca="1">Área!P72</f>
        <v/>
      </c>
      <c r="AA126" s="399"/>
      <c r="AB126" s="399"/>
      <c r="AC126" s="399"/>
      <c r="AD126" s="399" t="str">
        <f ca="1">Área!Q72</f>
        <v/>
      </c>
      <c r="AE126" s="399"/>
      <c r="AF126" s="399"/>
      <c r="AG126" s="399"/>
      <c r="AH126" s="400" t="str">
        <f ca="1">Área!R72</f>
        <v/>
      </c>
      <c r="AI126" s="400"/>
      <c r="AJ126" s="400" t="str">
        <f ca="1">Área!S72</f>
        <v/>
      </c>
      <c r="AK126" s="400"/>
      <c r="AL126" s="400" t="str">
        <f ca="1">Área!T72</f>
        <v/>
      </c>
      <c r="AM126" s="400"/>
      <c r="AN126" s="400" t="str">
        <f ca="1">Área!U72</f>
        <v/>
      </c>
      <c r="AO126" s="400"/>
      <c r="AP126" s="422" t="str">
        <f ca="1">IFERROR(Área!Z72,"")</f>
        <v/>
      </c>
      <c r="AQ126" s="422"/>
      <c r="AR126" s="400" t="str">
        <f ca="1">Área!Y72</f>
        <v/>
      </c>
      <c r="AS126" s="423"/>
      <c r="AT126" s="72"/>
    </row>
    <row r="127" spans="1:46" ht="12" customHeight="1" x14ac:dyDescent="0.25">
      <c r="A127"/>
      <c r="B127"/>
      <c r="C127" s="397" t="str">
        <f ca="1">Área!C73</f>
        <v/>
      </c>
      <c r="D127" s="398"/>
      <c r="E127" s="398"/>
      <c r="F127" s="398"/>
      <c r="G127" s="396" t="str">
        <f ca="1">Área!F73</f>
        <v/>
      </c>
      <c r="H127" s="396"/>
      <c r="I127" s="398" t="str">
        <f ca="1">Área!G73</f>
        <v/>
      </c>
      <c r="J127" s="398"/>
      <c r="K127" s="396" t="str">
        <f ca="1">Área!H73</f>
        <v/>
      </c>
      <c r="L127" s="396"/>
      <c r="M127" s="396" t="str">
        <f ca="1">Área!I73</f>
        <v/>
      </c>
      <c r="N127" s="396"/>
      <c r="O127" s="396" t="str">
        <f ca="1">Área!J73</f>
        <v/>
      </c>
      <c r="P127" s="396"/>
      <c r="Q127" s="396" t="str">
        <f ca="1">Área!K73</f>
        <v/>
      </c>
      <c r="R127" s="396"/>
      <c r="S127" s="396" t="str">
        <f ca="1">Área!L73</f>
        <v/>
      </c>
      <c r="T127" s="396"/>
      <c r="U127" s="396" t="str">
        <f ca="1">Área!N73</f>
        <v/>
      </c>
      <c r="V127" s="396"/>
      <c r="W127" s="396" t="str">
        <f ca="1">Área!M73</f>
        <v/>
      </c>
      <c r="X127" s="396"/>
      <c r="Y127" s="89" t="str">
        <f ca="1">Área!O73</f>
        <v/>
      </c>
      <c r="Z127" s="399" t="str">
        <f ca="1">Área!P73</f>
        <v/>
      </c>
      <c r="AA127" s="399"/>
      <c r="AB127" s="399"/>
      <c r="AC127" s="399"/>
      <c r="AD127" s="399" t="str">
        <f ca="1">Área!Q73</f>
        <v/>
      </c>
      <c r="AE127" s="399"/>
      <c r="AF127" s="399"/>
      <c r="AG127" s="399"/>
      <c r="AH127" s="400" t="str">
        <f ca="1">Área!R73</f>
        <v/>
      </c>
      <c r="AI127" s="400"/>
      <c r="AJ127" s="400" t="str">
        <f ca="1">Área!S73</f>
        <v/>
      </c>
      <c r="AK127" s="400"/>
      <c r="AL127" s="400" t="str">
        <f ca="1">Área!T73</f>
        <v/>
      </c>
      <c r="AM127" s="400"/>
      <c r="AN127" s="400" t="str">
        <f ca="1">Área!U73</f>
        <v/>
      </c>
      <c r="AO127" s="400"/>
      <c r="AP127" s="422" t="str">
        <f ca="1">IFERROR(Área!Z73,"")</f>
        <v/>
      </c>
      <c r="AQ127" s="422"/>
      <c r="AR127" s="400" t="str">
        <f ca="1">Área!Y73</f>
        <v/>
      </c>
      <c r="AS127" s="423"/>
      <c r="AT127" s="72"/>
    </row>
    <row r="128" spans="1:46" ht="12" customHeight="1" x14ac:dyDescent="0.25">
      <c r="A128"/>
      <c r="B128"/>
      <c r="C128" s="397" t="str">
        <f ca="1">Área!C74</f>
        <v/>
      </c>
      <c r="D128" s="398"/>
      <c r="E128" s="398"/>
      <c r="F128" s="398"/>
      <c r="G128" s="396" t="str">
        <f ca="1">Área!F74</f>
        <v/>
      </c>
      <c r="H128" s="396"/>
      <c r="I128" s="398" t="str">
        <f ca="1">Área!G74</f>
        <v/>
      </c>
      <c r="J128" s="398"/>
      <c r="K128" s="396" t="str">
        <f ca="1">Área!H74</f>
        <v/>
      </c>
      <c r="L128" s="396"/>
      <c r="M128" s="396" t="str">
        <f ca="1">Área!I74</f>
        <v/>
      </c>
      <c r="N128" s="396"/>
      <c r="O128" s="396" t="str">
        <f ca="1">Área!J74</f>
        <v/>
      </c>
      <c r="P128" s="396"/>
      <c r="Q128" s="396" t="str">
        <f ca="1">Área!K74</f>
        <v/>
      </c>
      <c r="R128" s="396"/>
      <c r="S128" s="396" t="str">
        <f ca="1">Área!L74</f>
        <v/>
      </c>
      <c r="T128" s="396"/>
      <c r="U128" s="396" t="str">
        <f ca="1">Área!N74</f>
        <v/>
      </c>
      <c r="V128" s="396"/>
      <c r="W128" s="396" t="str">
        <f ca="1">Área!M74</f>
        <v/>
      </c>
      <c r="X128" s="396"/>
      <c r="Y128" s="89" t="str">
        <f ca="1">Área!O74</f>
        <v/>
      </c>
      <c r="Z128" s="399" t="str">
        <f ca="1">Área!P74</f>
        <v/>
      </c>
      <c r="AA128" s="399"/>
      <c r="AB128" s="399"/>
      <c r="AC128" s="399"/>
      <c r="AD128" s="399" t="str">
        <f ca="1">Área!Q74</f>
        <v/>
      </c>
      <c r="AE128" s="399"/>
      <c r="AF128" s="399"/>
      <c r="AG128" s="399"/>
      <c r="AH128" s="400" t="str">
        <f ca="1">Área!R74</f>
        <v/>
      </c>
      <c r="AI128" s="400"/>
      <c r="AJ128" s="400" t="str">
        <f ca="1">Área!S74</f>
        <v/>
      </c>
      <c r="AK128" s="400"/>
      <c r="AL128" s="400" t="str">
        <f ca="1">Área!T74</f>
        <v/>
      </c>
      <c r="AM128" s="400"/>
      <c r="AN128" s="400" t="str">
        <f ca="1">Área!U74</f>
        <v/>
      </c>
      <c r="AO128" s="400"/>
      <c r="AP128" s="422" t="str">
        <f ca="1">IFERROR(Área!Z74,"")</f>
        <v/>
      </c>
      <c r="AQ128" s="422"/>
      <c r="AR128" s="400" t="str">
        <f ca="1">Área!Y74</f>
        <v/>
      </c>
      <c r="AS128" s="423"/>
      <c r="AT128" s="72"/>
    </row>
    <row r="129" spans="1:46" ht="12" customHeight="1" x14ac:dyDescent="0.25">
      <c r="A129"/>
      <c r="B129"/>
      <c r="C129" s="397" t="str">
        <f ca="1">Área!C75</f>
        <v/>
      </c>
      <c r="D129" s="398"/>
      <c r="E129" s="398"/>
      <c r="F129" s="398"/>
      <c r="G129" s="396" t="str">
        <f ca="1">Área!F75</f>
        <v/>
      </c>
      <c r="H129" s="396"/>
      <c r="I129" s="398" t="str">
        <f ca="1">Área!G75</f>
        <v/>
      </c>
      <c r="J129" s="398"/>
      <c r="K129" s="396" t="str">
        <f ca="1">Área!H75</f>
        <v/>
      </c>
      <c r="L129" s="396"/>
      <c r="M129" s="396" t="str">
        <f ca="1">Área!I75</f>
        <v/>
      </c>
      <c r="N129" s="396"/>
      <c r="O129" s="396" t="str">
        <f ca="1">Área!J75</f>
        <v/>
      </c>
      <c r="P129" s="396"/>
      <c r="Q129" s="396" t="str">
        <f ca="1">Área!K75</f>
        <v/>
      </c>
      <c r="R129" s="396"/>
      <c r="S129" s="396" t="str">
        <f ca="1">Área!L75</f>
        <v/>
      </c>
      <c r="T129" s="396"/>
      <c r="U129" s="396" t="str">
        <f ca="1">Área!N75</f>
        <v/>
      </c>
      <c r="V129" s="396"/>
      <c r="W129" s="396" t="str">
        <f ca="1">Área!M75</f>
        <v/>
      </c>
      <c r="X129" s="396"/>
      <c r="Y129" s="89" t="str">
        <f ca="1">Área!O75</f>
        <v/>
      </c>
      <c r="Z129" s="399" t="str">
        <f ca="1">Área!P75</f>
        <v/>
      </c>
      <c r="AA129" s="399"/>
      <c r="AB129" s="399"/>
      <c r="AC129" s="399"/>
      <c r="AD129" s="399" t="str">
        <f ca="1">Área!Q75</f>
        <v/>
      </c>
      <c r="AE129" s="399"/>
      <c r="AF129" s="399"/>
      <c r="AG129" s="399"/>
      <c r="AH129" s="400" t="str">
        <f ca="1">Área!R75</f>
        <v/>
      </c>
      <c r="AI129" s="400"/>
      <c r="AJ129" s="400" t="str">
        <f ca="1">Área!S75</f>
        <v/>
      </c>
      <c r="AK129" s="400"/>
      <c r="AL129" s="400" t="str">
        <f ca="1">Área!T75</f>
        <v/>
      </c>
      <c r="AM129" s="400"/>
      <c r="AN129" s="400" t="str">
        <f ca="1">Área!U75</f>
        <v/>
      </c>
      <c r="AO129" s="400"/>
      <c r="AP129" s="422" t="str">
        <f ca="1">IFERROR(Área!Z75,"")</f>
        <v/>
      </c>
      <c r="AQ129" s="422"/>
      <c r="AR129" s="400" t="str">
        <f ca="1">Área!Y75</f>
        <v/>
      </c>
      <c r="AS129" s="423"/>
      <c r="AT129" s="72"/>
    </row>
    <row r="130" spans="1:46" ht="12" customHeight="1" x14ac:dyDescent="0.25">
      <c r="A130"/>
      <c r="B130"/>
      <c r="C130" s="397" t="str">
        <f ca="1">Área!C76</f>
        <v/>
      </c>
      <c r="D130" s="398"/>
      <c r="E130" s="398"/>
      <c r="F130" s="398"/>
      <c r="G130" s="396" t="str">
        <f ca="1">Área!F76</f>
        <v/>
      </c>
      <c r="H130" s="396"/>
      <c r="I130" s="398" t="str">
        <f ca="1">Área!G76</f>
        <v/>
      </c>
      <c r="J130" s="398"/>
      <c r="K130" s="396" t="str">
        <f ca="1">Área!H76</f>
        <v/>
      </c>
      <c r="L130" s="396"/>
      <c r="M130" s="396" t="str">
        <f ca="1">Área!I76</f>
        <v/>
      </c>
      <c r="N130" s="396"/>
      <c r="O130" s="396" t="str">
        <f ca="1">Área!J76</f>
        <v/>
      </c>
      <c r="P130" s="396"/>
      <c r="Q130" s="396" t="str">
        <f ca="1">Área!K76</f>
        <v/>
      </c>
      <c r="R130" s="396"/>
      <c r="S130" s="396" t="str">
        <f ca="1">Área!L76</f>
        <v/>
      </c>
      <c r="T130" s="396"/>
      <c r="U130" s="396" t="str">
        <f ca="1">Área!N76</f>
        <v/>
      </c>
      <c r="V130" s="396"/>
      <c r="W130" s="396" t="str">
        <f ca="1">Área!M76</f>
        <v/>
      </c>
      <c r="X130" s="396"/>
      <c r="Y130" s="89" t="str">
        <f ca="1">Área!O76</f>
        <v/>
      </c>
      <c r="Z130" s="399" t="str">
        <f ca="1">Área!P76</f>
        <v/>
      </c>
      <c r="AA130" s="399"/>
      <c r="AB130" s="399"/>
      <c r="AC130" s="399"/>
      <c r="AD130" s="399" t="str">
        <f ca="1">Área!Q76</f>
        <v/>
      </c>
      <c r="AE130" s="399"/>
      <c r="AF130" s="399"/>
      <c r="AG130" s="399"/>
      <c r="AH130" s="400" t="str">
        <f ca="1">Área!R76</f>
        <v/>
      </c>
      <c r="AI130" s="400"/>
      <c r="AJ130" s="400" t="str">
        <f ca="1">Área!S76</f>
        <v/>
      </c>
      <c r="AK130" s="400"/>
      <c r="AL130" s="400" t="str">
        <f ca="1">Área!T76</f>
        <v/>
      </c>
      <c r="AM130" s="400"/>
      <c r="AN130" s="400" t="str">
        <f ca="1">Área!U76</f>
        <v/>
      </c>
      <c r="AO130" s="400"/>
      <c r="AP130" s="422" t="str">
        <f ca="1">IFERROR(Área!Z76,"")</f>
        <v/>
      </c>
      <c r="AQ130" s="422"/>
      <c r="AR130" s="400" t="str">
        <f ca="1">Área!Y76</f>
        <v/>
      </c>
      <c r="AS130" s="423"/>
      <c r="AT130" s="72"/>
    </row>
    <row r="131" spans="1:46" ht="12" customHeight="1" x14ac:dyDescent="0.25">
      <c r="A131"/>
      <c r="B131"/>
      <c r="C131" s="397" t="str">
        <f ca="1">Área!C77</f>
        <v/>
      </c>
      <c r="D131" s="398"/>
      <c r="E131" s="398"/>
      <c r="F131" s="398"/>
      <c r="G131" s="396" t="str">
        <f ca="1">Área!F77</f>
        <v/>
      </c>
      <c r="H131" s="396"/>
      <c r="I131" s="398" t="str">
        <f ca="1">Área!G77</f>
        <v/>
      </c>
      <c r="J131" s="398"/>
      <c r="K131" s="396" t="str">
        <f ca="1">Área!H77</f>
        <v/>
      </c>
      <c r="L131" s="396"/>
      <c r="M131" s="396" t="str">
        <f ca="1">Área!I77</f>
        <v/>
      </c>
      <c r="N131" s="396"/>
      <c r="O131" s="396" t="str">
        <f ca="1">Área!J77</f>
        <v/>
      </c>
      <c r="P131" s="396"/>
      <c r="Q131" s="396" t="str">
        <f ca="1">Área!K77</f>
        <v/>
      </c>
      <c r="R131" s="396"/>
      <c r="S131" s="396" t="str">
        <f ca="1">Área!L77</f>
        <v/>
      </c>
      <c r="T131" s="396"/>
      <c r="U131" s="396" t="str">
        <f ca="1">Área!N77</f>
        <v/>
      </c>
      <c r="V131" s="396"/>
      <c r="W131" s="396" t="str">
        <f ca="1">Área!M77</f>
        <v/>
      </c>
      <c r="X131" s="396"/>
      <c r="Y131" s="89" t="str">
        <f ca="1">Área!O77</f>
        <v/>
      </c>
      <c r="Z131" s="399" t="str">
        <f ca="1">Área!P77</f>
        <v/>
      </c>
      <c r="AA131" s="399"/>
      <c r="AB131" s="399"/>
      <c r="AC131" s="399"/>
      <c r="AD131" s="399" t="str">
        <f ca="1">Área!Q77</f>
        <v/>
      </c>
      <c r="AE131" s="399"/>
      <c r="AF131" s="399"/>
      <c r="AG131" s="399"/>
      <c r="AH131" s="400" t="str">
        <f ca="1">Área!R77</f>
        <v/>
      </c>
      <c r="AI131" s="400"/>
      <c r="AJ131" s="400" t="str">
        <f ca="1">Área!S77</f>
        <v/>
      </c>
      <c r="AK131" s="400"/>
      <c r="AL131" s="400" t="str">
        <f ca="1">Área!T77</f>
        <v/>
      </c>
      <c r="AM131" s="400"/>
      <c r="AN131" s="400" t="str">
        <f ca="1">Área!U77</f>
        <v/>
      </c>
      <c r="AO131" s="400"/>
      <c r="AP131" s="422" t="str">
        <f ca="1">IFERROR(Área!Z77,"")</f>
        <v/>
      </c>
      <c r="AQ131" s="422"/>
      <c r="AR131" s="400" t="str">
        <f ca="1">Área!Y77</f>
        <v/>
      </c>
      <c r="AS131" s="423"/>
      <c r="AT131" s="72"/>
    </row>
    <row r="132" spans="1:46" ht="12" customHeight="1" x14ac:dyDescent="0.25">
      <c r="A132"/>
      <c r="B132"/>
      <c r="C132" s="397" t="str">
        <f ca="1">Área!C78</f>
        <v/>
      </c>
      <c r="D132" s="398"/>
      <c r="E132" s="398"/>
      <c r="F132" s="398"/>
      <c r="G132" s="396" t="str">
        <f ca="1">Área!F78</f>
        <v/>
      </c>
      <c r="H132" s="396"/>
      <c r="I132" s="398" t="str">
        <f ca="1">Área!G78</f>
        <v/>
      </c>
      <c r="J132" s="398"/>
      <c r="K132" s="396" t="str">
        <f ca="1">Área!H78</f>
        <v/>
      </c>
      <c r="L132" s="396"/>
      <c r="M132" s="396" t="str">
        <f ca="1">Área!I78</f>
        <v/>
      </c>
      <c r="N132" s="396"/>
      <c r="O132" s="396" t="str">
        <f ca="1">Área!J78</f>
        <v/>
      </c>
      <c r="P132" s="396"/>
      <c r="Q132" s="396" t="str">
        <f ca="1">Área!K78</f>
        <v/>
      </c>
      <c r="R132" s="396"/>
      <c r="S132" s="396" t="str">
        <f ca="1">Área!L78</f>
        <v/>
      </c>
      <c r="T132" s="396"/>
      <c r="U132" s="396" t="str">
        <f ca="1">Área!N78</f>
        <v/>
      </c>
      <c r="V132" s="396"/>
      <c r="W132" s="396" t="str">
        <f ca="1">Área!M78</f>
        <v/>
      </c>
      <c r="X132" s="396"/>
      <c r="Y132" s="89" t="str">
        <f ca="1">Área!O78</f>
        <v/>
      </c>
      <c r="Z132" s="399" t="str">
        <f ca="1">Área!P78</f>
        <v/>
      </c>
      <c r="AA132" s="399"/>
      <c r="AB132" s="399"/>
      <c r="AC132" s="399"/>
      <c r="AD132" s="399" t="str">
        <f ca="1">Área!Q78</f>
        <v/>
      </c>
      <c r="AE132" s="399"/>
      <c r="AF132" s="399"/>
      <c r="AG132" s="399"/>
      <c r="AH132" s="400" t="str">
        <f ca="1">Área!R78</f>
        <v/>
      </c>
      <c r="AI132" s="400"/>
      <c r="AJ132" s="400" t="str">
        <f ca="1">Área!S78</f>
        <v/>
      </c>
      <c r="AK132" s="400"/>
      <c r="AL132" s="400" t="str">
        <f ca="1">Área!T78</f>
        <v/>
      </c>
      <c r="AM132" s="400"/>
      <c r="AN132" s="400" t="str">
        <f ca="1">Área!U78</f>
        <v/>
      </c>
      <c r="AO132" s="400"/>
      <c r="AP132" s="422" t="str">
        <f ca="1">IFERROR(Área!Z78,"")</f>
        <v/>
      </c>
      <c r="AQ132" s="422"/>
      <c r="AR132" s="400" t="str">
        <f ca="1">Área!Y78</f>
        <v/>
      </c>
      <c r="AS132" s="423"/>
      <c r="AT132" s="72"/>
    </row>
    <row r="133" spans="1:46" ht="12" customHeight="1" x14ac:dyDescent="0.25">
      <c r="A133"/>
      <c r="B133"/>
      <c r="C133" s="397" t="str">
        <f ca="1">Área!C79</f>
        <v/>
      </c>
      <c r="D133" s="398"/>
      <c r="E133" s="398"/>
      <c r="F133" s="398"/>
      <c r="G133" s="396" t="str">
        <f ca="1">Área!F79</f>
        <v/>
      </c>
      <c r="H133" s="396"/>
      <c r="I133" s="398" t="str">
        <f ca="1">Área!G79</f>
        <v/>
      </c>
      <c r="J133" s="398"/>
      <c r="K133" s="396" t="str">
        <f ca="1">Área!H79</f>
        <v/>
      </c>
      <c r="L133" s="396"/>
      <c r="M133" s="396" t="str">
        <f ca="1">Área!I79</f>
        <v/>
      </c>
      <c r="N133" s="396"/>
      <c r="O133" s="396" t="str">
        <f ca="1">Área!J79</f>
        <v/>
      </c>
      <c r="P133" s="396"/>
      <c r="Q133" s="396" t="str">
        <f ca="1">Área!K79</f>
        <v/>
      </c>
      <c r="R133" s="396"/>
      <c r="S133" s="396" t="str">
        <f ca="1">Área!L79</f>
        <v/>
      </c>
      <c r="T133" s="396"/>
      <c r="U133" s="396" t="str">
        <f ca="1">Área!N79</f>
        <v/>
      </c>
      <c r="V133" s="396"/>
      <c r="W133" s="396" t="str">
        <f ca="1">Área!M79</f>
        <v/>
      </c>
      <c r="X133" s="396"/>
      <c r="Y133" s="89" t="str">
        <f ca="1">Área!O79</f>
        <v/>
      </c>
      <c r="Z133" s="399" t="str">
        <f ca="1">Área!P79</f>
        <v/>
      </c>
      <c r="AA133" s="399"/>
      <c r="AB133" s="399"/>
      <c r="AC133" s="399"/>
      <c r="AD133" s="399" t="str">
        <f ca="1">Área!Q79</f>
        <v/>
      </c>
      <c r="AE133" s="399"/>
      <c r="AF133" s="399"/>
      <c r="AG133" s="399"/>
      <c r="AH133" s="400" t="str">
        <f ca="1">Área!R79</f>
        <v/>
      </c>
      <c r="AI133" s="400"/>
      <c r="AJ133" s="400" t="str">
        <f ca="1">Área!S79</f>
        <v/>
      </c>
      <c r="AK133" s="400"/>
      <c r="AL133" s="400" t="str">
        <f ca="1">Área!T79</f>
        <v/>
      </c>
      <c r="AM133" s="400"/>
      <c r="AN133" s="400" t="str">
        <f ca="1">Área!U79</f>
        <v/>
      </c>
      <c r="AO133" s="400"/>
      <c r="AP133" s="422" t="str">
        <f ca="1">IFERROR(Área!Z79,"")</f>
        <v/>
      </c>
      <c r="AQ133" s="422"/>
      <c r="AR133" s="400" t="str">
        <f ca="1">Área!Y79</f>
        <v/>
      </c>
      <c r="AS133" s="423"/>
      <c r="AT133" s="72"/>
    </row>
    <row r="134" spans="1:46" ht="12" customHeight="1" x14ac:dyDescent="0.25">
      <c r="A134"/>
      <c r="B134"/>
      <c r="C134" s="397" t="str">
        <f ca="1">Área!C80</f>
        <v/>
      </c>
      <c r="D134" s="398"/>
      <c r="E134" s="398"/>
      <c r="F134" s="398"/>
      <c r="G134" s="396" t="str">
        <f ca="1">Área!F80</f>
        <v/>
      </c>
      <c r="H134" s="396"/>
      <c r="I134" s="398" t="str">
        <f ca="1">Área!G80</f>
        <v/>
      </c>
      <c r="J134" s="398"/>
      <c r="K134" s="396" t="str">
        <f ca="1">Área!H80</f>
        <v/>
      </c>
      <c r="L134" s="396"/>
      <c r="M134" s="396" t="str">
        <f ca="1">Área!I80</f>
        <v/>
      </c>
      <c r="N134" s="396"/>
      <c r="O134" s="396" t="str">
        <f ca="1">Área!J80</f>
        <v/>
      </c>
      <c r="P134" s="396"/>
      <c r="Q134" s="396" t="str">
        <f ca="1">Área!K80</f>
        <v/>
      </c>
      <c r="R134" s="396"/>
      <c r="S134" s="396" t="str">
        <f ca="1">Área!L80</f>
        <v/>
      </c>
      <c r="T134" s="396"/>
      <c r="U134" s="396" t="str">
        <f ca="1">Área!N80</f>
        <v/>
      </c>
      <c r="V134" s="396"/>
      <c r="W134" s="396" t="str">
        <f ca="1">Área!M80</f>
        <v/>
      </c>
      <c r="X134" s="396"/>
      <c r="Y134" s="89" t="str">
        <f ca="1">Área!O80</f>
        <v/>
      </c>
      <c r="Z134" s="399" t="str">
        <f ca="1">Área!P80</f>
        <v/>
      </c>
      <c r="AA134" s="399"/>
      <c r="AB134" s="399"/>
      <c r="AC134" s="399"/>
      <c r="AD134" s="399" t="str">
        <f ca="1">Área!Q80</f>
        <v/>
      </c>
      <c r="AE134" s="399"/>
      <c r="AF134" s="399"/>
      <c r="AG134" s="399"/>
      <c r="AH134" s="400" t="str">
        <f ca="1">Área!R80</f>
        <v/>
      </c>
      <c r="AI134" s="400"/>
      <c r="AJ134" s="400" t="str">
        <f ca="1">Área!S80</f>
        <v/>
      </c>
      <c r="AK134" s="400"/>
      <c r="AL134" s="400" t="str">
        <f ca="1">Área!T80</f>
        <v/>
      </c>
      <c r="AM134" s="400"/>
      <c r="AN134" s="400" t="str">
        <f ca="1">Área!U80</f>
        <v/>
      </c>
      <c r="AO134" s="400"/>
      <c r="AP134" s="422" t="str">
        <f ca="1">IFERROR(Área!Z80,"")</f>
        <v/>
      </c>
      <c r="AQ134" s="422"/>
      <c r="AR134" s="400" t="str">
        <f ca="1">Área!Y80</f>
        <v/>
      </c>
      <c r="AS134" s="423"/>
      <c r="AT134" s="72"/>
    </row>
    <row r="135" spans="1:46" ht="12" customHeight="1" x14ac:dyDescent="0.25">
      <c r="A135"/>
      <c r="B135"/>
      <c r="C135" s="397" t="str">
        <f ca="1">Área!C81</f>
        <v/>
      </c>
      <c r="D135" s="398"/>
      <c r="E135" s="398"/>
      <c r="F135" s="398"/>
      <c r="G135" s="396" t="str">
        <f ca="1">Área!F81</f>
        <v/>
      </c>
      <c r="H135" s="396"/>
      <c r="I135" s="398" t="str">
        <f ca="1">Área!G81</f>
        <v/>
      </c>
      <c r="J135" s="398"/>
      <c r="K135" s="396" t="str">
        <f ca="1">Área!H81</f>
        <v/>
      </c>
      <c r="L135" s="396"/>
      <c r="M135" s="396" t="str">
        <f ca="1">Área!I81</f>
        <v/>
      </c>
      <c r="N135" s="396"/>
      <c r="O135" s="396" t="str">
        <f ca="1">Área!J81</f>
        <v/>
      </c>
      <c r="P135" s="396"/>
      <c r="Q135" s="396" t="str">
        <f ca="1">Área!K81</f>
        <v/>
      </c>
      <c r="R135" s="396"/>
      <c r="S135" s="396" t="str">
        <f ca="1">Área!L81</f>
        <v/>
      </c>
      <c r="T135" s="396"/>
      <c r="U135" s="396" t="str">
        <f ca="1">Área!N81</f>
        <v/>
      </c>
      <c r="V135" s="396"/>
      <c r="W135" s="396" t="str">
        <f ca="1">Área!M81</f>
        <v/>
      </c>
      <c r="X135" s="396"/>
      <c r="Y135" s="89" t="str">
        <f ca="1">Área!O81</f>
        <v/>
      </c>
      <c r="Z135" s="399" t="str">
        <f ca="1">Área!P81</f>
        <v/>
      </c>
      <c r="AA135" s="399"/>
      <c r="AB135" s="399"/>
      <c r="AC135" s="399"/>
      <c r="AD135" s="399" t="str">
        <f ca="1">Área!Q81</f>
        <v/>
      </c>
      <c r="AE135" s="399"/>
      <c r="AF135" s="399"/>
      <c r="AG135" s="399"/>
      <c r="AH135" s="400" t="str">
        <f ca="1">Área!R81</f>
        <v/>
      </c>
      <c r="AI135" s="400"/>
      <c r="AJ135" s="400" t="str">
        <f ca="1">Área!S81</f>
        <v/>
      </c>
      <c r="AK135" s="400"/>
      <c r="AL135" s="400" t="str">
        <f ca="1">Área!T81</f>
        <v/>
      </c>
      <c r="AM135" s="400"/>
      <c r="AN135" s="400" t="str">
        <f ca="1">Área!U81</f>
        <v/>
      </c>
      <c r="AO135" s="400"/>
      <c r="AP135" s="422" t="str">
        <f ca="1">IFERROR(Área!Z81,"")</f>
        <v/>
      </c>
      <c r="AQ135" s="422"/>
      <c r="AR135" s="400" t="str">
        <f ca="1">Área!Y81</f>
        <v/>
      </c>
      <c r="AS135" s="423"/>
      <c r="AT135" s="72"/>
    </row>
    <row r="136" spans="1:46" ht="12" customHeight="1" x14ac:dyDescent="0.25">
      <c r="A136"/>
      <c r="B136"/>
      <c r="C136" s="397" t="str">
        <f ca="1">Área!C82</f>
        <v/>
      </c>
      <c r="D136" s="398"/>
      <c r="E136" s="398"/>
      <c r="F136" s="398"/>
      <c r="G136" s="396" t="str">
        <f ca="1">Área!F82</f>
        <v/>
      </c>
      <c r="H136" s="396"/>
      <c r="I136" s="398" t="str">
        <f ca="1">Área!G82</f>
        <v/>
      </c>
      <c r="J136" s="398"/>
      <c r="K136" s="396" t="str">
        <f ca="1">Área!H82</f>
        <v/>
      </c>
      <c r="L136" s="396"/>
      <c r="M136" s="396" t="str">
        <f ca="1">Área!I82</f>
        <v/>
      </c>
      <c r="N136" s="396"/>
      <c r="O136" s="396" t="str">
        <f ca="1">Área!J82</f>
        <v/>
      </c>
      <c r="P136" s="396"/>
      <c r="Q136" s="396" t="str">
        <f ca="1">Área!K82</f>
        <v/>
      </c>
      <c r="R136" s="396"/>
      <c r="S136" s="396" t="str">
        <f ca="1">Área!L82</f>
        <v/>
      </c>
      <c r="T136" s="396"/>
      <c r="U136" s="396" t="str">
        <f ca="1">Área!N82</f>
        <v/>
      </c>
      <c r="V136" s="396"/>
      <c r="W136" s="396" t="str">
        <f ca="1">Área!M82</f>
        <v/>
      </c>
      <c r="X136" s="396"/>
      <c r="Y136" s="89" t="str">
        <f ca="1">Área!O82</f>
        <v/>
      </c>
      <c r="Z136" s="399" t="str">
        <f ca="1">Área!P82</f>
        <v/>
      </c>
      <c r="AA136" s="399"/>
      <c r="AB136" s="399"/>
      <c r="AC136" s="399"/>
      <c r="AD136" s="399" t="str">
        <f ca="1">Área!Q82</f>
        <v/>
      </c>
      <c r="AE136" s="399"/>
      <c r="AF136" s="399"/>
      <c r="AG136" s="399"/>
      <c r="AH136" s="400" t="str">
        <f ca="1">Área!R82</f>
        <v/>
      </c>
      <c r="AI136" s="400"/>
      <c r="AJ136" s="400" t="str">
        <f ca="1">Área!S82</f>
        <v/>
      </c>
      <c r="AK136" s="400"/>
      <c r="AL136" s="400" t="str">
        <f ca="1">Área!T82</f>
        <v/>
      </c>
      <c r="AM136" s="400"/>
      <c r="AN136" s="400" t="str">
        <f ca="1">Área!U82</f>
        <v/>
      </c>
      <c r="AO136" s="400"/>
      <c r="AP136" s="422" t="str">
        <f ca="1">IFERROR(Área!Z82,"")</f>
        <v/>
      </c>
      <c r="AQ136" s="422"/>
      <c r="AR136" s="400" t="str">
        <f ca="1">Área!Y82</f>
        <v/>
      </c>
      <c r="AS136" s="423"/>
      <c r="AT136" s="72"/>
    </row>
    <row r="137" spans="1:46" ht="12" customHeight="1" x14ac:dyDescent="0.25">
      <c r="A137"/>
      <c r="B137"/>
      <c r="C137" s="397" t="str">
        <f ca="1">Área!C83</f>
        <v/>
      </c>
      <c r="D137" s="398"/>
      <c r="E137" s="398"/>
      <c r="F137" s="398"/>
      <c r="G137" s="396" t="str">
        <f ca="1">Área!F83</f>
        <v/>
      </c>
      <c r="H137" s="396"/>
      <c r="I137" s="398" t="str">
        <f ca="1">Área!G83</f>
        <v/>
      </c>
      <c r="J137" s="398"/>
      <c r="K137" s="396" t="str">
        <f ca="1">Área!H83</f>
        <v/>
      </c>
      <c r="L137" s="396"/>
      <c r="M137" s="396" t="str">
        <f ca="1">Área!I83</f>
        <v/>
      </c>
      <c r="N137" s="396"/>
      <c r="O137" s="396" t="str">
        <f ca="1">Área!J83</f>
        <v/>
      </c>
      <c r="P137" s="396"/>
      <c r="Q137" s="396" t="str">
        <f ca="1">Área!K83</f>
        <v/>
      </c>
      <c r="R137" s="396"/>
      <c r="S137" s="396" t="str">
        <f ca="1">Área!L83</f>
        <v/>
      </c>
      <c r="T137" s="396"/>
      <c r="U137" s="396" t="str">
        <f ca="1">Área!N83</f>
        <v/>
      </c>
      <c r="V137" s="396"/>
      <c r="W137" s="396" t="str">
        <f ca="1">Área!M83</f>
        <v/>
      </c>
      <c r="X137" s="396"/>
      <c r="Y137" s="89" t="str">
        <f ca="1">Área!O83</f>
        <v/>
      </c>
      <c r="Z137" s="399" t="str">
        <f ca="1">Área!P83</f>
        <v/>
      </c>
      <c r="AA137" s="399"/>
      <c r="AB137" s="399"/>
      <c r="AC137" s="399"/>
      <c r="AD137" s="399" t="str">
        <f ca="1">Área!Q83</f>
        <v/>
      </c>
      <c r="AE137" s="399"/>
      <c r="AF137" s="399"/>
      <c r="AG137" s="399"/>
      <c r="AH137" s="400" t="str">
        <f ca="1">Área!R83</f>
        <v/>
      </c>
      <c r="AI137" s="400"/>
      <c r="AJ137" s="400" t="str">
        <f ca="1">Área!S83</f>
        <v/>
      </c>
      <c r="AK137" s="400"/>
      <c r="AL137" s="400" t="str">
        <f ca="1">Área!T83</f>
        <v/>
      </c>
      <c r="AM137" s="400"/>
      <c r="AN137" s="400" t="str">
        <f ca="1">Área!U83</f>
        <v/>
      </c>
      <c r="AO137" s="400"/>
      <c r="AP137" s="422" t="str">
        <f ca="1">IFERROR(Área!Z83,"")</f>
        <v/>
      </c>
      <c r="AQ137" s="422"/>
      <c r="AR137" s="400" t="str">
        <f ca="1">Área!Y83</f>
        <v/>
      </c>
      <c r="AS137" s="423"/>
      <c r="AT137" s="72"/>
    </row>
    <row r="138" spans="1:46" ht="12" customHeight="1" x14ac:dyDescent="0.25">
      <c r="A138"/>
      <c r="B138"/>
      <c r="C138" s="397" t="str">
        <f ca="1">Área!C84</f>
        <v/>
      </c>
      <c r="D138" s="398"/>
      <c r="E138" s="398"/>
      <c r="F138" s="398"/>
      <c r="G138" s="396" t="str">
        <f ca="1">Área!F84</f>
        <v/>
      </c>
      <c r="H138" s="396"/>
      <c r="I138" s="398" t="str">
        <f ca="1">Área!G84</f>
        <v/>
      </c>
      <c r="J138" s="398"/>
      <c r="K138" s="396" t="str">
        <f ca="1">Área!H84</f>
        <v/>
      </c>
      <c r="L138" s="396"/>
      <c r="M138" s="396" t="str">
        <f ca="1">Área!I84</f>
        <v/>
      </c>
      <c r="N138" s="396"/>
      <c r="O138" s="396" t="str">
        <f ca="1">Área!J84</f>
        <v/>
      </c>
      <c r="P138" s="396"/>
      <c r="Q138" s="396" t="str">
        <f ca="1">Área!K84</f>
        <v/>
      </c>
      <c r="R138" s="396"/>
      <c r="S138" s="396" t="str">
        <f ca="1">Área!L84</f>
        <v/>
      </c>
      <c r="T138" s="396"/>
      <c r="U138" s="396" t="str">
        <f ca="1">Área!N84</f>
        <v/>
      </c>
      <c r="V138" s="396"/>
      <c r="W138" s="396" t="str">
        <f ca="1">Área!M84</f>
        <v/>
      </c>
      <c r="X138" s="396"/>
      <c r="Y138" s="89" t="str">
        <f ca="1">Área!O84</f>
        <v/>
      </c>
      <c r="Z138" s="399" t="str">
        <f ca="1">Área!P84</f>
        <v/>
      </c>
      <c r="AA138" s="399"/>
      <c r="AB138" s="399"/>
      <c r="AC138" s="399"/>
      <c r="AD138" s="399" t="str">
        <f ca="1">Área!Q84</f>
        <v/>
      </c>
      <c r="AE138" s="399"/>
      <c r="AF138" s="399"/>
      <c r="AG138" s="399"/>
      <c r="AH138" s="400" t="str">
        <f ca="1">Área!R84</f>
        <v/>
      </c>
      <c r="AI138" s="400"/>
      <c r="AJ138" s="400" t="str">
        <f ca="1">Área!S84</f>
        <v/>
      </c>
      <c r="AK138" s="400"/>
      <c r="AL138" s="400" t="str">
        <f ca="1">Área!T84</f>
        <v/>
      </c>
      <c r="AM138" s="400"/>
      <c r="AN138" s="400" t="str">
        <f ca="1">Área!U84</f>
        <v/>
      </c>
      <c r="AO138" s="400"/>
      <c r="AP138" s="422" t="str">
        <f ca="1">IFERROR(Área!Z84,"")</f>
        <v/>
      </c>
      <c r="AQ138" s="422"/>
      <c r="AR138" s="400" t="str">
        <f ca="1">Área!Y84</f>
        <v/>
      </c>
      <c r="AS138" s="423"/>
      <c r="AT138" s="72"/>
    </row>
    <row r="139" spans="1:46" ht="12" customHeight="1" x14ac:dyDescent="0.25">
      <c r="A139"/>
      <c r="B139"/>
      <c r="C139" s="397" t="str">
        <f ca="1">Área!C85</f>
        <v/>
      </c>
      <c r="D139" s="398"/>
      <c r="E139" s="398"/>
      <c r="F139" s="398"/>
      <c r="G139" s="396" t="str">
        <f ca="1">Área!F85</f>
        <v/>
      </c>
      <c r="H139" s="396"/>
      <c r="I139" s="398" t="str">
        <f ca="1">Área!G85</f>
        <v/>
      </c>
      <c r="J139" s="398"/>
      <c r="K139" s="396" t="str">
        <f ca="1">Área!H85</f>
        <v/>
      </c>
      <c r="L139" s="396"/>
      <c r="M139" s="396" t="str">
        <f ca="1">Área!I85</f>
        <v/>
      </c>
      <c r="N139" s="396"/>
      <c r="O139" s="396" t="str">
        <f ca="1">Área!J85</f>
        <v/>
      </c>
      <c r="P139" s="396"/>
      <c r="Q139" s="396" t="str">
        <f ca="1">Área!K85</f>
        <v/>
      </c>
      <c r="R139" s="396"/>
      <c r="S139" s="396" t="str">
        <f ca="1">Área!L85</f>
        <v/>
      </c>
      <c r="T139" s="396"/>
      <c r="U139" s="396" t="str">
        <f ca="1">Área!N85</f>
        <v/>
      </c>
      <c r="V139" s="396"/>
      <c r="W139" s="396" t="str">
        <f ca="1">Área!M85</f>
        <v/>
      </c>
      <c r="X139" s="396"/>
      <c r="Y139" s="89" t="str">
        <f ca="1">Área!O85</f>
        <v/>
      </c>
      <c r="Z139" s="399" t="str">
        <f ca="1">Área!P85</f>
        <v/>
      </c>
      <c r="AA139" s="399"/>
      <c r="AB139" s="399"/>
      <c r="AC139" s="399"/>
      <c r="AD139" s="399" t="str">
        <f ca="1">Área!Q85</f>
        <v/>
      </c>
      <c r="AE139" s="399"/>
      <c r="AF139" s="399"/>
      <c r="AG139" s="399"/>
      <c r="AH139" s="400" t="str">
        <f ca="1">Área!R85</f>
        <v/>
      </c>
      <c r="AI139" s="400"/>
      <c r="AJ139" s="400" t="str">
        <f ca="1">Área!S85</f>
        <v/>
      </c>
      <c r="AK139" s="400"/>
      <c r="AL139" s="400" t="str">
        <f ca="1">Área!T85</f>
        <v/>
      </c>
      <c r="AM139" s="400"/>
      <c r="AN139" s="400" t="str">
        <f ca="1">Área!U85</f>
        <v/>
      </c>
      <c r="AO139" s="400"/>
      <c r="AP139" s="422" t="str">
        <f ca="1">IFERROR(Área!Z85,"")</f>
        <v/>
      </c>
      <c r="AQ139" s="422"/>
      <c r="AR139" s="400" t="str">
        <f ca="1">Área!Y85</f>
        <v/>
      </c>
      <c r="AS139" s="423"/>
      <c r="AT139" s="72"/>
    </row>
    <row r="140" spans="1:46" ht="12" customHeight="1" x14ac:dyDescent="0.25">
      <c r="A140"/>
      <c r="B140"/>
      <c r="C140" s="397" t="str">
        <f ca="1">Área!C86</f>
        <v/>
      </c>
      <c r="D140" s="398"/>
      <c r="E140" s="398"/>
      <c r="F140" s="398"/>
      <c r="G140" s="396" t="str">
        <f ca="1">Área!F86</f>
        <v/>
      </c>
      <c r="H140" s="396"/>
      <c r="I140" s="398" t="str">
        <f ca="1">Área!G86</f>
        <v/>
      </c>
      <c r="J140" s="398"/>
      <c r="K140" s="396" t="str">
        <f ca="1">Área!H86</f>
        <v/>
      </c>
      <c r="L140" s="396"/>
      <c r="M140" s="396" t="str">
        <f ca="1">Área!I86</f>
        <v/>
      </c>
      <c r="N140" s="396"/>
      <c r="O140" s="396" t="str">
        <f ca="1">Área!J86</f>
        <v/>
      </c>
      <c r="P140" s="396"/>
      <c r="Q140" s="396" t="str">
        <f ca="1">Área!K86</f>
        <v/>
      </c>
      <c r="R140" s="396"/>
      <c r="S140" s="396" t="str">
        <f ca="1">Área!L86</f>
        <v/>
      </c>
      <c r="T140" s="396"/>
      <c r="U140" s="396" t="str">
        <f ca="1">Área!N86</f>
        <v/>
      </c>
      <c r="V140" s="396"/>
      <c r="W140" s="396" t="str">
        <f ca="1">Área!M86</f>
        <v/>
      </c>
      <c r="X140" s="396"/>
      <c r="Y140" s="89" t="str">
        <f ca="1">Área!O86</f>
        <v/>
      </c>
      <c r="Z140" s="399" t="str">
        <f ca="1">Área!P86</f>
        <v/>
      </c>
      <c r="AA140" s="399"/>
      <c r="AB140" s="399"/>
      <c r="AC140" s="399"/>
      <c r="AD140" s="399" t="str">
        <f ca="1">Área!Q86</f>
        <v/>
      </c>
      <c r="AE140" s="399"/>
      <c r="AF140" s="399"/>
      <c r="AG140" s="399"/>
      <c r="AH140" s="400" t="str">
        <f ca="1">Área!R86</f>
        <v/>
      </c>
      <c r="AI140" s="400"/>
      <c r="AJ140" s="400" t="str">
        <f ca="1">Área!S86</f>
        <v/>
      </c>
      <c r="AK140" s="400"/>
      <c r="AL140" s="400" t="str">
        <f ca="1">Área!T86</f>
        <v/>
      </c>
      <c r="AM140" s="400"/>
      <c r="AN140" s="400" t="str">
        <f ca="1">Área!U86</f>
        <v/>
      </c>
      <c r="AO140" s="400"/>
      <c r="AP140" s="422" t="str">
        <f ca="1">IFERROR(Área!Z86,"")</f>
        <v/>
      </c>
      <c r="AQ140" s="422"/>
      <c r="AR140" s="400" t="str">
        <f ca="1">Área!Y86</f>
        <v/>
      </c>
      <c r="AS140" s="423"/>
      <c r="AT140" s="72"/>
    </row>
    <row r="141" spans="1:46" ht="12" customHeight="1" x14ac:dyDescent="0.25">
      <c r="A141"/>
      <c r="B141"/>
      <c r="C141" s="397" t="str">
        <f ca="1">Área!C87</f>
        <v/>
      </c>
      <c r="D141" s="398"/>
      <c r="E141" s="398"/>
      <c r="F141" s="398"/>
      <c r="G141" s="396" t="str">
        <f ca="1">Área!F87</f>
        <v/>
      </c>
      <c r="H141" s="396"/>
      <c r="I141" s="398" t="str">
        <f ca="1">Área!G87</f>
        <v/>
      </c>
      <c r="J141" s="398"/>
      <c r="K141" s="396" t="str">
        <f ca="1">Área!H87</f>
        <v/>
      </c>
      <c r="L141" s="396"/>
      <c r="M141" s="396" t="str">
        <f ca="1">Área!I87</f>
        <v/>
      </c>
      <c r="N141" s="396"/>
      <c r="O141" s="396" t="str">
        <f ca="1">Área!J87</f>
        <v/>
      </c>
      <c r="P141" s="396"/>
      <c r="Q141" s="396" t="str">
        <f ca="1">Área!K87</f>
        <v/>
      </c>
      <c r="R141" s="396"/>
      <c r="S141" s="396" t="str">
        <f ca="1">Área!L87</f>
        <v/>
      </c>
      <c r="T141" s="396"/>
      <c r="U141" s="396" t="str">
        <f ca="1">Área!N87</f>
        <v/>
      </c>
      <c r="V141" s="396"/>
      <c r="W141" s="396" t="str">
        <f ca="1">Área!M87</f>
        <v/>
      </c>
      <c r="X141" s="396"/>
      <c r="Y141" s="89" t="str">
        <f ca="1">Área!O87</f>
        <v/>
      </c>
      <c r="Z141" s="399" t="str">
        <f ca="1">Área!P87</f>
        <v/>
      </c>
      <c r="AA141" s="399"/>
      <c r="AB141" s="399"/>
      <c r="AC141" s="399"/>
      <c r="AD141" s="399" t="str">
        <f ca="1">Área!Q87</f>
        <v/>
      </c>
      <c r="AE141" s="399"/>
      <c r="AF141" s="399"/>
      <c r="AG141" s="399"/>
      <c r="AH141" s="400" t="str">
        <f ca="1">Área!R87</f>
        <v/>
      </c>
      <c r="AI141" s="400"/>
      <c r="AJ141" s="400" t="str">
        <f ca="1">Área!S87</f>
        <v/>
      </c>
      <c r="AK141" s="400"/>
      <c r="AL141" s="400" t="str">
        <f ca="1">Área!T87</f>
        <v/>
      </c>
      <c r="AM141" s="400"/>
      <c r="AN141" s="400" t="str">
        <f ca="1">Área!U87</f>
        <v/>
      </c>
      <c r="AO141" s="400"/>
      <c r="AP141" s="422" t="str">
        <f ca="1">IFERROR(Área!Z87,"")</f>
        <v/>
      </c>
      <c r="AQ141" s="422"/>
      <c r="AR141" s="400" t="str">
        <f ca="1">Área!Y87</f>
        <v/>
      </c>
      <c r="AS141" s="423"/>
      <c r="AT141" s="72"/>
    </row>
    <row r="142" spans="1:46" ht="12" customHeight="1" x14ac:dyDescent="0.25">
      <c r="A142"/>
      <c r="B142"/>
      <c r="C142" s="397" t="str">
        <f ca="1">Área!C88</f>
        <v/>
      </c>
      <c r="D142" s="398"/>
      <c r="E142" s="398"/>
      <c r="F142" s="398"/>
      <c r="G142" s="396" t="str">
        <f ca="1">Área!F88</f>
        <v/>
      </c>
      <c r="H142" s="396"/>
      <c r="I142" s="398" t="str">
        <f ca="1">Área!G88</f>
        <v/>
      </c>
      <c r="J142" s="398"/>
      <c r="K142" s="396" t="str">
        <f ca="1">Área!H88</f>
        <v/>
      </c>
      <c r="L142" s="396"/>
      <c r="M142" s="396" t="str">
        <f ca="1">Área!I88</f>
        <v/>
      </c>
      <c r="N142" s="396"/>
      <c r="O142" s="396" t="str">
        <f ca="1">Área!J88</f>
        <v/>
      </c>
      <c r="P142" s="396"/>
      <c r="Q142" s="396" t="str">
        <f ca="1">Área!K88</f>
        <v/>
      </c>
      <c r="R142" s="396"/>
      <c r="S142" s="396" t="str">
        <f ca="1">Área!L88</f>
        <v/>
      </c>
      <c r="T142" s="396"/>
      <c r="U142" s="396" t="str">
        <f ca="1">Área!N88</f>
        <v/>
      </c>
      <c r="V142" s="396"/>
      <c r="W142" s="396" t="str">
        <f ca="1">Área!M88</f>
        <v/>
      </c>
      <c r="X142" s="396"/>
      <c r="Y142" s="89" t="str">
        <f ca="1">Área!O88</f>
        <v/>
      </c>
      <c r="Z142" s="399" t="str">
        <f ca="1">Área!P88</f>
        <v/>
      </c>
      <c r="AA142" s="399"/>
      <c r="AB142" s="399"/>
      <c r="AC142" s="399"/>
      <c r="AD142" s="399" t="str">
        <f ca="1">Área!Q88</f>
        <v/>
      </c>
      <c r="AE142" s="399"/>
      <c r="AF142" s="399"/>
      <c r="AG142" s="399"/>
      <c r="AH142" s="400" t="str">
        <f ca="1">Área!R88</f>
        <v/>
      </c>
      <c r="AI142" s="400"/>
      <c r="AJ142" s="400" t="str">
        <f ca="1">Área!S88</f>
        <v/>
      </c>
      <c r="AK142" s="400"/>
      <c r="AL142" s="400" t="str">
        <f ca="1">Área!T88</f>
        <v/>
      </c>
      <c r="AM142" s="400"/>
      <c r="AN142" s="400" t="str">
        <f ca="1">Área!U88</f>
        <v/>
      </c>
      <c r="AO142" s="400"/>
      <c r="AP142" s="422" t="str">
        <f ca="1">IFERROR(Área!Z88,"")</f>
        <v/>
      </c>
      <c r="AQ142" s="422"/>
      <c r="AR142" s="400" t="str">
        <f ca="1">Área!Y88</f>
        <v/>
      </c>
      <c r="AS142" s="423"/>
      <c r="AT142" s="72"/>
    </row>
    <row r="143" spans="1:46" ht="12" customHeight="1" x14ac:dyDescent="0.25">
      <c r="A143"/>
      <c r="B143"/>
      <c r="C143" s="397" t="str">
        <f ca="1">Área!C89</f>
        <v/>
      </c>
      <c r="D143" s="398"/>
      <c r="E143" s="398"/>
      <c r="F143" s="398"/>
      <c r="G143" s="396" t="str">
        <f ca="1">Área!F89</f>
        <v/>
      </c>
      <c r="H143" s="396"/>
      <c r="I143" s="398" t="str">
        <f ca="1">Área!G89</f>
        <v/>
      </c>
      <c r="J143" s="398"/>
      <c r="K143" s="396" t="str">
        <f ca="1">Área!H89</f>
        <v/>
      </c>
      <c r="L143" s="396"/>
      <c r="M143" s="396" t="str">
        <f ca="1">Área!I89</f>
        <v/>
      </c>
      <c r="N143" s="396"/>
      <c r="O143" s="396" t="str">
        <f ca="1">Área!J89</f>
        <v/>
      </c>
      <c r="P143" s="396"/>
      <c r="Q143" s="396" t="str">
        <f ca="1">Área!K89</f>
        <v/>
      </c>
      <c r="R143" s="396"/>
      <c r="S143" s="396" t="str">
        <f ca="1">Área!L89</f>
        <v/>
      </c>
      <c r="T143" s="396"/>
      <c r="U143" s="396" t="str">
        <f ca="1">Área!N89</f>
        <v/>
      </c>
      <c r="V143" s="396"/>
      <c r="W143" s="396" t="str">
        <f ca="1">Área!M89</f>
        <v/>
      </c>
      <c r="X143" s="396"/>
      <c r="Y143" s="89" t="str">
        <f ca="1">Área!O89</f>
        <v/>
      </c>
      <c r="Z143" s="399" t="str">
        <f ca="1">Área!P89</f>
        <v/>
      </c>
      <c r="AA143" s="399"/>
      <c r="AB143" s="399"/>
      <c r="AC143" s="399"/>
      <c r="AD143" s="399" t="str">
        <f ca="1">Área!Q89</f>
        <v/>
      </c>
      <c r="AE143" s="399"/>
      <c r="AF143" s="399"/>
      <c r="AG143" s="399"/>
      <c r="AH143" s="400" t="str">
        <f ca="1">Área!R89</f>
        <v/>
      </c>
      <c r="AI143" s="400"/>
      <c r="AJ143" s="400" t="str">
        <f ca="1">Área!S89</f>
        <v/>
      </c>
      <c r="AK143" s="400"/>
      <c r="AL143" s="400" t="str">
        <f ca="1">Área!T89</f>
        <v/>
      </c>
      <c r="AM143" s="400"/>
      <c r="AN143" s="400" t="str">
        <f ca="1">Área!U89</f>
        <v/>
      </c>
      <c r="AO143" s="400"/>
      <c r="AP143" s="422" t="str">
        <f ca="1">IFERROR(Área!Z89,"")</f>
        <v/>
      </c>
      <c r="AQ143" s="422"/>
      <c r="AR143" s="400" t="str">
        <f ca="1">Área!Y89</f>
        <v/>
      </c>
      <c r="AS143" s="423"/>
      <c r="AT143" s="72"/>
    </row>
    <row r="144" spans="1:46" ht="12" customHeight="1" x14ac:dyDescent="0.25">
      <c r="A144"/>
      <c r="B144"/>
      <c r="C144" s="397" t="str">
        <f ca="1">Área!C90</f>
        <v/>
      </c>
      <c r="D144" s="398"/>
      <c r="E144" s="398"/>
      <c r="F144" s="398"/>
      <c r="G144" s="396" t="str">
        <f ca="1">Área!F90</f>
        <v/>
      </c>
      <c r="H144" s="396"/>
      <c r="I144" s="398" t="str">
        <f ca="1">Área!G90</f>
        <v/>
      </c>
      <c r="J144" s="398"/>
      <c r="K144" s="396" t="str">
        <f ca="1">Área!H90</f>
        <v/>
      </c>
      <c r="L144" s="396"/>
      <c r="M144" s="396" t="str">
        <f ca="1">Área!I90</f>
        <v/>
      </c>
      <c r="N144" s="396"/>
      <c r="O144" s="396" t="str">
        <f ca="1">Área!J90</f>
        <v/>
      </c>
      <c r="P144" s="396"/>
      <c r="Q144" s="396" t="str">
        <f ca="1">Área!K90</f>
        <v/>
      </c>
      <c r="R144" s="396"/>
      <c r="S144" s="396" t="str">
        <f ca="1">Área!L90</f>
        <v/>
      </c>
      <c r="T144" s="396"/>
      <c r="U144" s="396" t="str">
        <f ca="1">Área!N90</f>
        <v/>
      </c>
      <c r="V144" s="396"/>
      <c r="W144" s="396" t="str">
        <f ca="1">Área!M90</f>
        <v/>
      </c>
      <c r="X144" s="396"/>
      <c r="Y144" s="89" t="str">
        <f ca="1">Área!O90</f>
        <v/>
      </c>
      <c r="Z144" s="399" t="str">
        <f ca="1">Área!P90</f>
        <v/>
      </c>
      <c r="AA144" s="399"/>
      <c r="AB144" s="399"/>
      <c r="AC144" s="399"/>
      <c r="AD144" s="399" t="str">
        <f ca="1">Área!Q90</f>
        <v/>
      </c>
      <c r="AE144" s="399"/>
      <c r="AF144" s="399"/>
      <c r="AG144" s="399"/>
      <c r="AH144" s="400" t="str">
        <f ca="1">Área!R90</f>
        <v/>
      </c>
      <c r="AI144" s="400"/>
      <c r="AJ144" s="400" t="str">
        <f ca="1">Área!S90</f>
        <v/>
      </c>
      <c r="AK144" s="400"/>
      <c r="AL144" s="400" t="str">
        <f ca="1">Área!T90</f>
        <v/>
      </c>
      <c r="AM144" s="400"/>
      <c r="AN144" s="400" t="str">
        <f ca="1">Área!U90</f>
        <v/>
      </c>
      <c r="AO144" s="400"/>
      <c r="AP144" s="422" t="str">
        <f ca="1">IFERROR(Área!Z90,"")</f>
        <v/>
      </c>
      <c r="AQ144" s="422"/>
      <c r="AR144" s="400" t="str">
        <f ca="1">Área!Y90</f>
        <v/>
      </c>
      <c r="AS144" s="423"/>
      <c r="AT144" s="72"/>
    </row>
    <row r="145" spans="1:46" ht="12" customHeight="1" x14ac:dyDescent="0.25">
      <c r="A145"/>
      <c r="B145"/>
      <c r="C145" s="397" t="str">
        <f ca="1">Área!C91</f>
        <v/>
      </c>
      <c r="D145" s="398"/>
      <c r="E145" s="398"/>
      <c r="F145" s="398"/>
      <c r="G145" s="396" t="str">
        <f ca="1">Área!F91</f>
        <v/>
      </c>
      <c r="H145" s="396"/>
      <c r="I145" s="398" t="str">
        <f ca="1">Área!G91</f>
        <v/>
      </c>
      <c r="J145" s="398"/>
      <c r="K145" s="396" t="str">
        <f ca="1">Área!H91</f>
        <v/>
      </c>
      <c r="L145" s="396"/>
      <c r="M145" s="396" t="str">
        <f ca="1">Área!I91</f>
        <v/>
      </c>
      <c r="N145" s="396"/>
      <c r="O145" s="396" t="str">
        <f ca="1">Área!J91</f>
        <v/>
      </c>
      <c r="P145" s="396"/>
      <c r="Q145" s="396" t="str">
        <f ca="1">Área!K91</f>
        <v/>
      </c>
      <c r="R145" s="396"/>
      <c r="S145" s="396" t="str">
        <f ca="1">Área!L91</f>
        <v/>
      </c>
      <c r="T145" s="396"/>
      <c r="U145" s="396" t="str">
        <f ca="1">Área!N91</f>
        <v/>
      </c>
      <c r="V145" s="396"/>
      <c r="W145" s="396" t="str">
        <f ca="1">Área!M91</f>
        <v/>
      </c>
      <c r="X145" s="396"/>
      <c r="Y145" s="89" t="str">
        <f ca="1">Área!O91</f>
        <v/>
      </c>
      <c r="Z145" s="399" t="str">
        <f ca="1">Área!P91</f>
        <v/>
      </c>
      <c r="AA145" s="399"/>
      <c r="AB145" s="399"/>
      <c r="AC145" s="399"/>
      <c r="AD145" s="399" t="str">
        <f ca="1">Área!Q91</f>
        <v/>
      </c>
      <c r="AE145" s="399"/>
      <c r="AF145" s="399"/>
      <c r="AG145" s="399"/>
      <c r="AH145" s="400" t="str">
        <f ca="1">Área!R91</f>
        <v/>
      </c>
      <c r="AI145" s="400"/>
      <c r="AJ145" s="400" t="str">
        <f ca="1">Área!S91</f>
        <v/>
      </c>
      <c r="AK145" s="400"/>
      <c r="AL145" s="400" t="str">
        <f ca="1">Área!T91</f>
        <v/>
      </c>
      <c r="AM145" s="400"/>
      <c r="AN145" s="400" t="str">
        <f ca="1">Área!U91</f>
        <v/>
      </c>
      <c r="AO145" s="400"/>
      <c r="AP145" s="422" t="str">
        <f ca="1">IFERROR(Área!Z91,"")</f>
        <v/>
      </c>
      <c r="AQ145" s="422"/>
      <c r="AR145" s="400" t="str">
        <f ca="1">Área!Y91</f>
        <v/>
      </c>
      <c r="AS145" s="423"/>
      <c r="AT145" s="72"/>
    </row>
    <row r="146" spans="1:46" ht="12" customHeight="1" x14ac:dyDescent="0.25">
      <c r="A146"/>
      <c r="B146"/>
      <c r="C146" s="397" t="str">
        <f ca="1">Área!C92</f>
        <v/>
      </c>
      <c r="D146" s="398"/>
      <c r="E146" s="398"/>
      <c r="F146" s="398"/>
      <c r="G146" s="396" t="str">
        <f ca="1">Área!F92</f>
        <v/>
      </c>
      <c r="H146" s="396"/>
      <c r="I146" s="398" t="str">
        <f ca="1">Área!G92</f>
        <v/>
      </c>
      <c r="J146" s="398"/>
      <c r="K146" s="396" t="str">
        <f ca="1">Área!H92</f>
        <v/>
      </c>
      <c r="L146" s="396"/>
      <c r="M146" s="396" t="str">
        <f ca="1">Área!I92</f>
        <v/>
      </c>
      <c r="N146" s="396"/>
      <c r="O146" s="396" t="str">
        <f ca="1">Área!J92</f>
        <v/>
      </c>
      <c r="P146" s="396"/>
      <c r="Q146" s="396" t="str">
        <f ca="1">Área!K92</f>
        <v/>
      </c>
      <c r="R146" s="396"/>
      <c r="S146" s="396" t="str">
        <f ca="1">Área!L92</f>
        <v/>
      </c>
      <c r="T146" s="396"/>
      <c r="U146" s="396" t="str">
        <f ca="1">Área!N92</f>
        <v/>
      </c>
      <c r="V146" s="396"/>
      <c r="W146" s="396" t="str">
        <f ca="1">Área!M92</f>
        <v/>
      </c>
      <c r="X146" s="396"/>
      <c r="Y146" s="89" t="str">
        <f ca="1">Área!O92</f>
        <v/>
      </c>
      <c r="Z146" s="399" t="str">
        <f ca="1">Área!P92</f>
        <v/>
      </c>
      <c r="AA146" s="399"/>
      <c r="AB146" s="399"/>
      <c r="AC146" s="399"/>
      <c r="AD146" s="399" t="str">
        <f ca="1">Área!Q92</f>
        <v/>
      </c>
      <c r="AE146" s="399"/>
      <c r="AF146" s="399"/>
      <c r="AG146" s="399"/>
      <c r="AH146" s="400" t="str">
        <f ca="1">Área!R92</f>
        <v/>
      </c>
      <c r="AI146" s="400"/>
      <c r="AJ146" s="400" t="str">
        <f ca="1">Área!S92</f>
        <v/>
      </c>
      <c r="AK146" s="400"/>
      <c r="AL146" s="400" t="str">
        <f ca="1">Área!T92</f>
        <v/>
      </c>
      <c r="AM146" s="400"/>
      <c r="AN146" s="400" t="str">
        <f ca="1">Área!U92</f>
        <v/>
      </c>
      <c r="AO146" s="400"/>
      <c r="AP146" s="422" t="str">
        <f ca="1">IFERROR(Área!Z92,"")</f>
        <v/>
      </c>
      <c r="AQ146" s="422"/>
      <c r="AR146" s="400" t="str">
        <f ca="1">Área!Y92</f>
        <v/>
      </c>
      <c r="AS146" s="423"/>
      <c r="AT146" s="72"/>
    </row>
    <row r="147" spans="1:46" ht="12" customHeight="1" x14ac:dyDescent="0.25">
      <c r="A147"/>
      <c r="B147"/>
      <c r="C147" s="397" t="str">
        <f ca="1">Área!C93</f>
        <v/>
      </c>
      <c r="D147" s="398"/>
      <c r="E147" s="398"/>
      <c r="F147" s="398"/>
      <c r="G147" s="396" t="str">
        <f ca="1">Área!F93</f>
        <v/>
      </c>
      <c r="H147" s="396"/>
      <c r="I147" s="398" t="str">
        <f ca="1">Área!G93</f>
        <v/>
      </c>
      <c r="J147" s="398"/>
      <c r="K147" s="396" t="str">
        <f ca="1">Área!H93</f>
        <v/>
      </c>
      <c r="L147" s="396"/>
      <c r="M147" s="396" t="str">
        <f ca="1">Área!I93</f>
        <v/>
      </c>
      <c r="N147" s="396"/>
      <c r="O147" s="396" t="str">
        <f ca="1">Área!J93</f>
        <v/>
      </c>
      <c r="P147" s="396"/>
      <c r="Q147" s="396" t="str">
        <f ca="1">Área!K93</f>
        <v/>
      </c>
      <c r="R147" s="396"/>
      <c r="S147" s="396" t="str">
        <f ca="1">Área!L93</f>
        <v/>
      </c>
      <c r="T147" s="396"/>
      <c r="U147" s="396" t="str">
        <f ca="1">Área!N93</f>
        <v/>
      </c>
      <c r="V147" s="396"/>
      <c r="W147" s="396" t="str">
        <f ca="1">Área!M93</f>
        <v/>
      </c>
      <c r="X147" s="396"/>
      <c r="Y147" s="89" t="str">
        <f ca="1">Área!O93</f>
        <v/>
      </c>
      <c r="Z147" s="399" t="str">
        <f ca="1">Área!P93</f>
        <v/>
      </c>
      <c r="AA147" s="399"/>
      <c r="AB147" s="399"/>
      <c r="AC147" s="399"/>
      <c r="AD147" s="399" t="str">
        <f ca="1">Área!Q93</f>
        <v/>
      </c>
      <c r="AE147" s="399"/>
      <c r="AF147" s="399"/>
      <c r="AG147" s="399"/>
      <c r="AH147" s="400" t="str">
        <f ca="1">Área!R93</f>
        <v/>
      </c>
      <c r="AI147" s="400"/>
      <c r="AJ147" s="400" t="str">
        <f ca="1">Área!S93</f>
        <v/>
      </c>
      <c r="AK147" s="400"/>
      <c r="AL147" s="400" t="str">
        <f ca="1">Área!T93</f>
        <v/>
      </c>
      <c r="AM147" s="400"/>
      <c r="AN147" s="400" t="str">
        <f ca="1">Área!U93</f>
        <v/>
      </c>
      <c r="AO147" s="400"/>
      <c r="AP147" s="422" t="str">
        <f ca="1">IFERROR(Área!Z93,"")</f>
        <v/>
      </c>
      <c r="AQ147" s="422"/>
      <c r="AR147" s="400" t="str">
        <f ca="1">Área!Y93</f>
        <v/>
      </c>
      <c r="AS147" s="423"/>
      <c r="AT147" s="72"/>
    </row>
    <row r="148" spans="1:46" ht="12" customHeight="1" x14ac:dyDescent="0.25">
      <c r="A148"/>
      <c r="B148"/>
      <c r="C148" s="397" t="str">
        <f ca="1">Área!C94</f>
        <v/>
      </c>
      <c r="D148" s="398"/>
      <c r="E148" s="398"/>
      <c r="F148" s="398"/>
      <c r="G148" s="396" t="str">
        <f ca="1">Área!F94</f>
        <v/>
      </c>
      <c r="H148" s="396"/>
      <c r="I148" s="398" t="str">
        <f ca="1">Área!G94</f>
        <v/>
      </c>
      <c r="J148" s="398"/>
      <c r="K148" s="396" t="str">
        <f ca="1">Área!H94</f>
        <v/>
      </c>
      <c r="L148" s="396"/>
      <c r="M148" s="396" t="str">
        <f ca="1">Área!I94</f>
        <v/>
      </c>
      <c r="N148" s="396"/>
      <c r="O148" s="396" t="str">
        <f ca="1">Área!J94</f>
        <v/>
      </c>
      <c r="P148" s="396"/>
      <c r="Q148" s="396" t="str">
        <f ca="1">Área!K94</f>
        <v/>
      </c>
      <c r="R148" s="396"/>
      <c r="S148" s="396" t="str">
        <f ca="1">Área!L94</f>
        <v/>
      </c>
      <c r="T148" s="396"/>
      <c r="U148" s="396" t="str">
        <f ca="1">Área!N94</f>
        <v/>
      </c>
      <c r="V148" s="396"/>
      <c r="W148" s="396" t="str">
        <f ca="1">Área!M94</f>
        <v/>
      </c>
      <c r="X148" s="396"/>
      <c r="Y148" s="89" t="str">
        <f ca="1">Área!O94</f>
        <v/>
      </c>
      <c r="Z148" s="399" t="str">
        <f ca="1">Área!P94</f>
        <v/>
      </c>
      <c r="AA148" s="399"/>
      <c r="AB148" s="399"/>
      <c r="AC148" s="399"/>
      <c r="AD148" s="399" t="str">
        <f ca="1">Área!Q94</f>
        <v/>
      </c>
      <c r="AE148" s="399"/>
      <c r="AF148" s="399"/>
      <c r="AG148" s="399"/>
      <c r="AH148" s="400" t="str">
        <f ca="1">Área!R94</f>
        <v/>
      </c>
      <c r="AI148" s="400"/>
      <c r="AJ148" s="400" t="str">
        <f ca="1">Área!S94</f>
        <v/>
      </c>
      <c r="AK148" s="400"/>
      <c r="AL148" s="400" t="str">
        <f ca="1">Área!T94</f>
        <v/>
      </c>
      <c r="AM148" s="400"/>
      <c r="AN148" s="400" t="str">
        <f ca="1">Área!U94</f>
        <v/>
      </c>
      <c r="AO148" s="400"/>
      <c r="AP148" s="422" t="str">
        <f ca="1">IFERROR(Área!Z94,"")</f>
        <v/>
      </c>
      <c r="AQ148" s="422"/>
      <c r="AR148" s="400" t="str">
        <f ca="1">Área!Y94</f>
        <v/>
      </c>
      <c r="AS148" s="423"/>
      <c r="AT148" s="72"/>
    </row>
    <row r="149" spans="1:46" ht="12" customHeight="1" x14ac:dyDescent="0.25">
      <c r="A149"/>
      <c r="B149"/>
      <c r="C149" s="397" t="str">
        <f ca="1">Área!C95</f>
        <v/>
      </c>
      <c r="D149" s="398"/>
      <c r="E149" s="398"/>
      <c r="F149" s="398"/>
      <c r="G149" s="396" t="str">
        <f ca="1">Área!F95</f>
        <v/>
      </c>
      <c r="H149" s="396"/>
      <c r="I149" s="398" t="str">
        <f ca="1">Área!G95</f>
        <v/>
      </c>
      <c r="J149" s="398"/>
      <c r="K149" s="396" t="str">
        <f ca="1">Área!H95</f>
        <v/>
      </c>
      <c r="L149" s="396"/>
      <c r="M149" s="396" t="str">
        <f ca="1">Área!I95</f>
        <v/>
      </c>
      <c r="N149" s="396"/>
      <c r="O149" s="396" t="str">
        <f ca="1">Área!J95</f>
        <v/>
      </c>
      <c r="P149" s="396"/>
      <c r="Q149" s="396" t="str">
        <f ca="1">Área!K95</f>
        <v/>
      </c>
      <c r="R149" s="396"/>
      <c r="S149" s="396" t="str">
        <f ca="1">Área!L95</f>
        <v/>
      </c>
      <c r="T149" s="396"/>
      <c r="U149" s="396" t="str">
        <f ca="1">Área!N95</f>
        <v/>
      </c>
      <c r="V149" s="396"/>
      <c r="W149" s="396" t="str">
        <f ca="1">Área!M95</f>
        <v/>
      </c>
      <c r="X149" s="396"/>
      <c r="Y149" s="89" t="str">
        <f ca="1">Área!O95</f>
        <v/>
      </c>
      <c r="Z149" s="399" t="str">
        <f ca="1">Área!P95</f>
        <v/>
      </c>
      <c r="AA149" s="399"/>
      <c r="AB149" s="399"/>
      <c r="AC149" s="399"/>
      <c r="AD149" s="399" t="str">
        <f ca="1">Área!Q95</f>
        <v/>
      </c>
      <c r="AE149" s="399"/>
      <c r="AF149" s="399"/>
      <c r="AG149" s="399"/>
      <c r="AH149" s="400" t="str">
        <f ca="1">Área!R95</f>
        <v/>
      </c>
      <c r="AI149" s="400"/>
      <c r="AJ149" s="400" t="str">
        <f ca="1">Área!S95</f>
        <v/>
      </c>
      <c r="AK149" s="400"/>
      <c r="AL149" s="400" t="str">
        <f ca="1">Área!T95</f>
        <v/>
      </c>
      <c r="AM149" s="400"/>
      <c r="AN149" s="400" t="str">
        <f ca="1">Área!U95</f>
        <v/>
      </c>
      <c r="AO149" s="400"/>
      <c r="AP149" s="422" t="str">
        <f ca="1">IFERROR(Área!Z95,"")</f>
        <v/>
      </c>
      <c r="AQ149" s="422"/>
      <c r="AR149" s="400" t="str">
        <f ca="1">Área!Y95</f>
        <v/>
      </c>
      <c r="AS149" s="423"/>
      <c r="AT149" s="72"/>
    </row>
    <row r="150" spans="1:46" ht="12" customHeight="1" x14ac:dyDescent="0.25">
      <c r="A150"/>
      <c r="B150"/>
      <c r="C150" s="397" t="str">
        <f ca="1">Área!C96</f>
        <v/>
      </c>
      <c r="D150" s="398"/>
      <c r="E150" s="398"/>
      <c r="F150" s="398"/>
      <c r="G150" s="396" t="str">
        <f ca="1">Área!F96</f>
        <v/>
      </c>
      <c r="H150" s="396"/>
      <c r="I150" s="398" t="str">
        <f ca="1">Área!G96</f>
        <v/>
      </c>
      <c r="J150" s="398"/>
      <c r="K150" s="396" t="str">
        <f ca="1">Área!H96</f>
        <v/>
      </c>
      <c r="L150" s="396"/>
      <c r="M150" s="396" t="str">
        <f ca="1">Área!I96</f>
        <v/>
      </c>
      <c r="N150" s="396"/>
      <c r="O150" s="396" t="str">
        <f ca="1">Área!J96</f>
        <v/>
      </c>
      <c r="P150" s="396"/>
      <c r="Q150" s="396" t="str">
        <f ca="1">Área!K96</f>
        <v/>
      </c>
      <c r="R150" s="396"/>
      <c r="S150" s="396" t="str">
        <f ca="1">Área!L96</f>
        <v/>
      </c>
      <c r="T150" s="396"/>
      <c r="U150" s="396" t="str">
        <f ca="1">Área!N96</f>
        <v/>
      </c>
      <c r="V150" s="396"/>
      <c r="W150" s="396" t="str">
        <f ca="1">Área!M96</f>
        <v/>
      </c>
      <c r="X150" s="396"/>
      <c r="Y150" s="89" t="str">
        <f ca="1">Área!O96</f>
        <v/>
      </c>
      <c r="Z150" s="399" t="str">
        <f ca="1">Área!P96</f>
        <v/>
      </c>
      <c r="AA150" s="399"/>
      <c r="AB150" s="399"/>
      <c r="AC150" s="399"/>
      <c r="AD150" s="399" t="str">
        <f ca="1">Área!Q96</f>
        <v/>
      </c>
      <c r="AE150" s="399"/>
      <c r="AF150" s="399"/>
      <c r="AG150" s="399"/>
      <c r="AH150" s="400" t="str">
        <f ca="1">Área!R96</f>
        <v/>
      </c>
      <c r="AI150" s="400"/>
      <c r="AJ150" s="400" t="str">
        <f ca="1">Área!S96</f>
        <v/>
      </c>
      <c r="AK150" s="400"/>
      <c r="AL150" s="400" t="str">
        <f ca="1">Área!T96</f>
        <v/>
      </c>
      <c r="AM150" s="400"/>
      <c r="AN150" s="400" t="str">
        <f ca="1">Área!U96</f>
        <v/>
      </c>
      <c r="AO150" s="400"/>
      <c r="AP150" s="422" t="str">
        <f ca="1">IFERROR(Área!Z96,"")</f>
        <v/>
      </c>
      <c r="AQ150" s="422"/>
      <c r="AR150" s="400" t="str">
        <f ca="1">Área!Y96</f>
        <v/>
      </c>
      <c r="AS150" s="423"/>
      <c r="AT150" s="72"/>
    </row>
    <row r="151" spans="1:46" ht="12" customHeight="1" x14ac:dyDescent="0.25">
      <c r="A151"/>
      <c r="B151"/>
      <c r="C151" s="397" t="str">
        <f ca="1">Área!C97</f>
        <v/>
      </c>
      <c r="D151" s="398"/>
      <c r="E151" s="398"/>
      <c r="F151" s="398"/>
      <c r="G151" s="396" t="str">
        <f ca="1">Área!F97</f>
        <v/>
      </c>
      <c r="H151" s="396"/>
      <c r="I151" s="398" t="str">
        <f ca="1">Área!G97</f>
        <v/>
      </c>
      <c r="J151" s="398"/>
      <c r="K151" s="396" t="str">
        <f ca="1">Área!H97</f>
        <v/>
      </c>
      <c r="L151" s="396"/>
      <c r="M151" s="396" t="str">
        <f ca="1">Área!I97</f>
        <v/>
      </c>
      <c r="N151" s="396"/>
      <c r="O151" s="396" t="str">
        <f ca="1">Área!J97</f>
        <v/>
      </c>
      <c r="P151" s="396"/>
      <c r="Q151" s="396" t="str">
        <f ca="1">Área!K97</f>
        <v/>
      </c>
      <c r="R151" s="396"/>
      <c r="S151" s="396" t="str">
        <f ca="1">Área!L97</f>
        <v/>
      </c>
      <c r="T151" s="396"/>
      <c r="U151" s="396" t="str">
        <f ca="1">Área!N97</f>
        <v/>
      </c>
      <c r="V151" s="396"/>
      <c r="W151" s="396" t="str">
        <f ca="1">Área!M97</f>
        <v/>
      </c>
      <c r="X151" s="396"/>
      <c r="Y151" s="89" t="str">
        <f ca="1">Área!O97</f>
        <v/>
      </c>
      <c r="Z151" s="399" t="str">
        <f ca="1">Área!P97</f>
        <v/>
      </c>
      <c r="AA151" s="399"/>
      <c r="AB151" s="399"/>
      <c r="AC151" s="399"/>
      <c r="AD151" s="399" t="str">
        <f ca="1">Área!Q97</f>
        <v/>
      </c>
      <c r="AE151" s="399"/>
      <c r="AF151" s="399"/>
      <c r="AG151" s="399"/>
      <c r="AH151" s="400" t="str">
        <f ca="1">Área!R97</f>
        <v/>
      </c>
      <c r="AI151" s="400"/>
      <c r="AJ151" s="400" t="str">
        <f ca="1">Área!S97</f>
        <v/>
      </c>
      <c r="AK151" s="400"/>
      <c r="AL151" s="400" t="str">
        <f ca="1">Área!T97</f>
        <v/>
      </c>
      <c r="AM151" s="400"/>
      <c r="AN151" s="400" t="str">
        <f ca="1">Área!U97</f>
        <v/>
      </c>
      <c r="AO151" s="400"/>
      <c r="AP151" s="422" t="str">
        <f ca="1">IFERROR(Área!Z97,"")</f>
        <v/>
      </c>
      <c r="AQ151" s="422"/>
      <c r="AR151" s="400" t="str">
        <f ca="1">Área!Y97</f>
        <v/>
      </c>
      <c r="AS151" s="423"/>
      <c r="AT151" s="72"/>
    </row>
    <row r="152" spans="1:46" ht="12" customHeight="1" x14ac:dyDescent="0.25">
      <c r="A152"/>
      <c r="B152"/>
      <c r="C152" s="397" t="str">
        <f ca="1">Área!C98</f>
        <v/>
      </c>
      <c r="D152" s="398"/>
      <c r="E152" s="398"/>
      <c r="F152" s="398"/>
      <c r="G152" s="396" t="str">
        <f ca="1">Área!F98</f>
        <v/>
      </c>
      <c r="H152" s="396"/>
      <c r="I152" s="398" t="str">
        <f ca="1">Área!G98</f>
        <v/>
      </c>
      <c r="J152" s="398"/>
      <c r="K152" s="396" t="str">
        <f ca="1">Área!H98</f>
        <v/>
      </c>
      <c r="L152" s="396"/>
      <c r="M152" s="396" t="str">
        <f ca="1">Área!I98</f>
        <v/>
      </c>
      <c r="N152" s="396"/>
      <c r="O152" s="396" t="str">
        <f ca="1">Área!J98</f>
        <v/>
      </c>
      <c r="P152" s="396"/>
      <c r="Q152" s="396" t="str">
        <f ca="1">Área!K98</f>
        <v/>
      </c>
      <c r="R152" s="396"/>
      <c r="S152" s="396" t="str">
        <f ca="1">Área!L98</f>
        <v/>
      </c>
      <c r="T152" s="396"/>
      <c r="U152" s="396" t="str">
        <f ca="1">Área!N98</f>
        <v/>
      </c>
      <c r="V152" s="396"/>
      <c r="W152" s="396" t="str">
        <f ca="1">Área!M98</f>
        <v/>
      </c>
      <c r="X152" s="396"/>
      <c r="Y152" s="89" t="str">
        <f ca="1">Área!O98</f>
        <v/>
      </c>
      <c r="Z152" s="399" t="str">
        <f ca="1">Área!P98</f>
        <v/>
      </c>
      <c r="AA152" s="399"/>
      <c r="AB152" s="399"/>
      <c r="AC152" s="399"/>
      <c r="AD152" s="399" t="str">
        <f ca="1">Área!Q98</f>
        <v/>
      </c>
      <c r="AE152" s="399"/>
      <c r="AF152" s="399"/>
      <c r="AG152" s="399"/>
      <c r="AH152" s="400" t="str">
        <f ca="1">Área!R98</f>
        <v/>
      </c>
      <c r="AI152" s="400"/>
      <c r="AJ152" s="400" t="str">
        <f ca="1">Área!S98</f>
        <v/>
      </c>
      <c r="AK152" s="400"/>
      <c r="AL152" s="400" t="str">
        <f ca="1">Área!T98</f>
        <v/>
      </c>
      <c r="AM152" s="400"/>
      <c r="AN152" s="400" t="str">
        <f ca="1">Área!U98</f>
        <v/>
      </c>
      <c r="AO152" s="400"/>
      <c r="AP152" s="422" t="str">
        <f ca="1">IFERROR(Área!Z98,"")</f>
        <v/>
      </c>
      <c r="AQ152" s="422"/>
      <c r="AR152" s="400" t="str">
        <f ca="1">Área!Y98</f>
        <v/>
      </c>
      <c r="AS152" s="423"/>
      <c r="AT152" s="72"/>
    </row>
    <row r="153" spans="1:46" ht="12" customHeight="1" x14ac:dyDescent="0.25">
      <c r="A153"/>
      <c r="B153"/>
      <c r="C153" s="397" t="str">
        <f ca="1">Área!C99</f>
        <v/>
      </c>
      <c r="D153" s="398"/>
      <c r="E153" s="398"/>
      <c r="F153" s="398"/>
      <c r="G153" s="396" t="str">
        <f ca="1">Área!F99</f>
        <v/>
      </c>
      <c r="H153" s="396"/>
      <c r="I153" s="398" t="str">
        <f ca="1">Área!G99</f>
        <v/>
      </c>
      <c r="J153" s="398"/>
      <c r="K153" s="396" t="str">
        <f ca="1">Área!H99</f>
        <v/>
      </c>
      <c r="L153" s="396"/>
      <c r="M153" s="396" t="str">
        <f ca="1">Área!I99</f>
        <v/>
      </c>
      <c r="N153" s="396"/>
      <c r="O153" s="396" t="str">
        <f ca="1">Área!J99</f>
        <v/>
      </c>
      <c r="P153" s="396"/>
      <c r="Q153" s="396" t="str">
        <f ca="1">Área!K99</f>
        <v/>
      </c>
      <c r="R153" s="396"/>
      <c r="S153" s="396" t="str">
        <f ca="1">Área!L99</f>
        <v/>
      </c>
      <c r="T153" s="396"/>
      <c r="U153" s="396" t="str">
        <f ca="1">Área!N99</f>
        <v/>
      </c>
      <c r="V153" s="396"/>
      <c r="W153" s="396" t="str">
        <f ca="1">Área!M99</f>
        <v/>
      </c>
      <c r="X153" s="396"/>
      <c r="Y153" s="89" t="str">
        <f ca="1">Área!O99</f>
        <v/>
      </c>
      <c r="Z153" s="399" t="str">
        <f ca="1">Área!P99</f>
        <v/>
      </c>
      <c r="AA153" s="399"/>
      <c r="AB153" s="399"/>
      <c r="AC153" s="399"/>
      <c r="AD153" s="399" t="str">
        <f ca="1">Área!Q99</f>
        <v/>
      </c>
      <c r="AE153" s="399"/>
      <c r="AF153" s="399"/>
      <c r="AG153" s="399"/>
      <c r="AH153" s="400" t="str">
        <f ca="1">Área!R99</f>
        <v/>
      </c>
      <c r="AI153" s="400"/>
      <c r="AJ153" s="400" t="str">
        <f ca="1">Área!S99</f>
        <v/>
      </c>
      <c r="AK153" s="400"/>
      <c r="AL153" s="400" t="str">
        <f ca="1">Área!T99</f>
        <v/>
      </c>
      <c r="AM153" s="400"/>
      <c r="AN153" s="400" t="str">
        <f ca="1">Área!U99</f>
        <v/>
      </c>
      <c r="AO153" s="400"/>
      <c r="AP153" s="422" t="str">
        <f ca="1">IFERROR(Área!Z99,"")</f>
        <v/>
      </c>
      <c r="AQ153" s="422"/>
      <c r="AR153" s="400" t="str">
        <f ca="1">Área!Y99</f>
        <v/>
      </c>
      <c r="AS153" s="423"/>
      <c r="AT153" s="72"/>
    </row>
    <row r="154" spans="1:46" ht="12" customHeight="1" x14ac:dyDescent="0.25">
      <c r="A154"/>
      <c r="B154"/>
      <c r="C154" s="397" t="str">
        <f ca="1">Área!C100</f>
        <v/>
      </c>
      <c r="D154" s="398"/>
      <c r="E154" s="398"/>
      <c r="F154" s="398"/>
      <c r="G154" s="396" t="str">
        <f ca="1">Área!F100</f>
        <v/>
      </c>
      <c r="H154" s="396"/>
      <c r="I154" s="398" t="str">
        <f ca="1">Área!G100</f>
        <v/>
      </c>
      <c r="J154" s="398"/>
      <c r="K154" s="396" t="str">
        <f ca="1">Área!H100</f>
        <v/>
      </c>
      <c r="L154" s="396"/>
      <c r="M154" s="396" t="str">
        <f ca="1">Área!I100</f>
        <v/>
      </c>
      <c r="N154" s="396"/>
      <c r="O154" s="396" t="str">
        <f ca="1">Área!J100</f>
        <v/>
      </c>
      <c r="P154" s="396"/>
      <c r="Q154" s="396" t="str">
        <f ca="1">Área!K100</f>
        <v/>
      </c>
      <c r="R154" s="396"/>
      <c r="S154" s="396" t="str">
        <f ca="1">Área!L100</f>
        <v/>
      </c>
      <c r="T154" s="396"/>
      <c r="U154" s="396" t="str">
        <f ca="1">Área!N100</f>
        <v/>
      </c>
      <c r="V154" s="396"/>
      <c r="W154" s="396" t="str">
        <f ca="1">Área!M100</f>
        <v/>
      </c>
      <c r="X154" s="396"/>
      <c r="Y154" s="89" t="str">
        <f ca="1">Área!O100</f>
        <v/>
      </c>
      <c r="Z154" s="399" t="str">
        <f ca="1">Área!P100</f>
        <v/>
      </c>
      <c r="AA154" s="399"/>
      <c r="AB154" s="399"/>
      <c r="AC154" s="399"/>
      <c r="AD154" s="399" t="str">
        <f ca="1">Área!Q100</f>
        <v/>
      </c>
      <c r="AE154" s="399"/>
      <c r="AF154" s="399"/>
      <c r="AG154" s="399"/>
      <c r="AH154" s="400" t="str">
        <f ca="1">Área!R100</f>
        <v/>
      </c>
      <c r="AI154" s="400"/>
      <c r="AJ154" s="400" t="str">
        <f ca="1">Área!S100</f>
        <v/>
      </c>
      <c r="AK154" s="400"/>
      <c r="AL154" s="400" t="str">
        <f ca="1">Área!T100</f>
        <v/>
      </c>
      <c r="AM154" s="400"/>
      <c r="AN154" s="400" t="str">
        <f ca="1">Área!U100</f>
        <v/>
      </c>
      <c r="AO154" s="400"/>
      <c r="AP154" s="422" t="str">
        <f ca="1">IFERROR(Área!Z100,"")</f>
        <v/>
      </c>
      <c r="AQ154" s="422"/>
      <c r="AR154" s="400" t="str">
        <f ca="1">Área!Y100</f>
        <v/>
      </c>
      <c r="AS154" s="423"/>
      <c r="AT154" s="72"/>
    </row>
    <row r="155" spans="1:46" ht="12" customHeight="1" x14ac:dyDescent="0.25">
      <c r="A155"/>
      <c r="B155"/>
      <c r="C155" s="397" t="str">
        <f ca="1">Área!C101</f>
        <v/>
      </c>
      <c r="D155" s="398"/>
      <c r="E155" s="398"/>
      <c r="F155" s="398"/>
      <c r="G155" s="396" t="str">
        <f ca="1">Área!F101</f>
        <v/>
      </c>
      <c r="H155" s="396"/>
      <c r="I155" s="398" t="str">
        <f ca="1">Área!G101</f>
        <v/>
      </c>
      <c r="J155" s="398"/>
      <c r="K155" s="396" t="str">
        <f ca="1">Área!H101</f>
        <v/>
      </c>
      <c r="L155" s="396"/>
      <c r="M155" s="396" t="str">
        <f ca="1">Área!I101</f>
        <v/>
      </c>
      <c r="N155" s="396"/>
      <c r="O155" s="396" t="str">
        <f ca="1">Área!J101</f>
        <v/>
      </c>
      <c r="P155" s="396"/>
      <c r="Q155" s="396" t="str">
        <f ca="1">Área!K101</f>
        <v/>
      </c>
      <c r="R155" s="396"/>
      <c r="S155" s="396" t="str">
        <f ca="1">Área!L101</f>
        <v/>
      </c>
      <c r="T155" s="396"/>
      <c r="U155" s="396" t="str">
        <f ca="1">Área!N101</f>
        <v/>
      </c>
      <c r="V155" s="396"/>
      <c r="W155" s="396" t="str">
        <f ca="1">Área!M101</f>
        <v/>
      </c>
      <c r="X155" s="396"/>
      <c r="Y155" s="89" t="str">
        <f ca="1">Área!O101</f>
        <v/>
      </c>
      <c r="Z155" s="399" t="str">
        <f ca="1">Área!P101</f>
        <v/>
      </c>
      <c r="AA155" s="399"/>
      <c r="AB155" s="399"/>
      <c r="AC155" s="399"/>
      <c r="AD155" s="399" t="str">
        <f ca="1">Área!Q101</f>
        <v/>
      </c>
      <c r="AE155" s="399"/>
      <c r="AF155" s="399"/>
      <c r="AG155" s="399"/>
      <c r="AH155" s="400" t="str">
        <f ca="1">Área!R101</f>
        <v/>
      </c>
      <c r="AI155" s="400"/>
      <c r="AJ155" s="400" t="str">
        <f ca="1">Área!S101</f>
        <v/>
      </c>
      <c r="AK155" s="400"/>
      <c r="AL155" s="400" t="str">
        <f ca="1">Área!T101</f>
        <v/>
      </c>
      <c r="AM155" s="400"/>
      <c r="AN155" s="400" t="str">
        <f ca="1">Área!U101</f>
        <v/>
      </c>
      <c r="AO155" s="400"/>
      <c r="AP155" s="422" t="str">
        <f ca="1">IFERROR(Área!Z101,"")</f>
        <v/>
      </c>
      <c r="AQ155" s="422"/>
      <c r="AR155" s="400" t="str">
        <f ca="1">Área!Y101</f>
        <v/>
      </c>
      <c r="AS155" s="423"/>
      <c r="AT155" s="72"/>
    </row>
    <row r="156" spans="1:46" ht="12" customHeight="1" x14ac:dyDescent="0.25">
      <c r="A156"/>
      <c r="B156"/>
      <c r="C156" s="397" t="str">
        <f ca="1">Área!C102</f>
        <v/>
      </c>
      <c r="D156" s="398"/>
      <c r="E156" s="398"/>
      <c r="F156" s="398"/>
      <c r="G156" s="396" t="str">
        <f ca="1">Área!F102</f>
        <v/>
      </c>
      <c r="H156" s="396"/>
      <c r="I156" s="398" t="str">
        <f ca="1">Área!G102</f>
        <v/>
      </c>
      <c r="J156" s="398"/>
      <c r="K156" s="396" t="str">
        <f ca="1">Área!H102</f>
        <v/>
      </c>
      <c r="L156" s="396"/>
      <c r="M156" s="396" t="str">
        <f ca="1">Área!I102</f>
        <v/>
      </c>
      <c r="N156" s="396"/>
      <c r="O156" s="396" t="str">
        <f ca="1">Área!J102</f>
        <v/>
      </c>
      <c r="P156" s="396"/>
      <c r="Q156" s="396" t="str">
        <f ca="1">Área!K102</f>
        <v/>
      </c>
      <c r="R156" s="396"/>
      <c r="S156" s="396" t="str">
        <f ca="1">Área!L102</f>
        <v/>
      </c>
      <c r="T156" s="396"/>
      <c r="U156" s="396" t="str">
        <f ca="1">Área!N102</f>
        <v/>
      </c>
      <c r="V156" s="396"/>
      <c r="W156" s="396" t="str">
        <f ca="1">Área!M102</f>
        <v/>
      </c>
      <c r="X156" s="396"/>
      <c r="Y156" s="89" t="str">
        <f ca="1">Área!O102</f>
        <v/>
      </c>
      <c r="Z156" s="399" t="str">
        <f ca="1">Área!P102</f>
        <v/>
      </c>
      <c r="AA156" s="399"/>
      <c r="AB156" s="399"/>
      <c r="AC156" s="399"/>
      <c r="AD156" s="399" t="str">
        <f ca="1">Área!Q102</f>
        <v/>
      </c>
      <c r="AE156" s="399"/>
      <c r="AF156" s="399"/>
      <c r="AG156" s="399"/>
      <c r="AH156" s="400" t="str">
        <f ca="1">Área!R102</f>
        <v/>
      </c>
      <c r="AI156" s="400"/>
      <c r="AJ156" s="400" t="str">
        <f ca="1">Área!S102</f>
        <v/>
      </c>
      <c r="AK156" s="400"/>
      <c r="AL156" s="400" t="str">
        <f ca="1">Área!T102</f>
        <v/>
      </c>
      <c r="AM156" s="400"/>
      <c r="AN156" s="400" t="str">
        <f ca="1">Área!U102</f>
        <v/>
      </c>
      <c r="AO156" s="400"/>
      <c r="AP156" s="422" t="str">
        <f ca="1">IFERROR(Área!Z102,"")</f>
        <v/>
      </c>
      <c r="AQ156" s="422"/>
      <c r="AR156" s="400" t="str">
        <f ca="1">Área!Y102</f>
        <v/>
      </c>
      <c r="AS156" s="423"/>
      <c r="AT156" s="72"/>
    </row>
    <row r="157" spans="1:46" ht="12" customHeight="1" x14ac:dyDescent="0.25">
      <c r="A157"/>
      <c r="B157"/>
      <c r="C157" s="397" t="str">
        <f ca="1">Área!C103</f>
        <v/>
      </c>
      <c r="D157" s="398"/>
      <c r="E157" s="398"/>
      <c r="F157" s="398"/>
      <c r="G157" s="396" t="str">
        <f ca="1">Área!F103</f>
        <v/>
      </c>
      <c r="H157" s="396"/>
      <c r="I157" s="398" t="str">
        <f ca="1">Área!G103</f>
        <v/>
      </c>
      <c r="J157" s="398"/>
      <c r="K157" s="396" t="str">
        <f ca="1">Área!H103</f>
        <v/>
      </c>
      <c r="L157" s="396"/>
      <c r="M157" s="396" t="str">
        <f ca="1">Área!I103</f>
        <v/>
      </c>
      <c r="N157" s="396"/>
      <c r="O157" s="396" t="str">
        <f ca="1">Área!J103</f>
        <v/>
      </c>
      <c r="P157" s="396"/>
      <c r="Q157" s="396" t="str">
        <f ca="1">Área!K103</f>
        <v/>
      </c>
      <c r="R157" s="396"/>
      <c r="S157" s="396" t="str">
        <f ca="1">Área!L103</f>
        <v/>
      </c>
      <c r="T157" s="396"/>
      <c r="U157" s="396" t="str">
        <f ca="1">Área!N103</f>
        <v/>
      </c>
      <c r="V157" s="396"/>
      <c r="W157" s="396" t="str">
        <f ca="1">Área!M103</f>
        <v/>
      </c>
      <c r="X157" s="396"/>
      <c r="Y157" s="89" t="str">
        <f ca="1">Área!O103</f>
        <v/>
      </c>
      <c r="Z157" s="399" t="str">
        <f ca="1">Área!P103</f>
        <v/>
      </c>
      <c r="AA157" s="399"/>
      <c r="AB157" s="399"/>
      <c r="AC157" s="399"/>
      <c r="AD157" s="399" t="str">
        <f ca="1">Área!Q103</f>
        <v/>
      </c>
      <c r="AE157" s="399"/>
      <c r="AF157" s="399"/>
      <c r="AG157" s="399"/>
      <c r="AH157" s="400" t="str">
        <f ca="1">Área!R103</f>
        <v/>
      </c>
      <c r="AI157" s="400"/>
      <c r="AJ157" s="400" t="str">
        <f ca="1">Área!S103</f>
        <v/>
      </c>
      <c r="AK157" s="400"/>
      <c r="AL157" s="400" t="str">
        <f ca="1">Área!T103</f>
        <v/>
      </c>
      <c r="AM157" s="400"/>
      <c r="AN157" s="400" t="str">
        <f ca="1">Área!U103</f>
        <v/>
      </c>
      <c r="AO157" s="400"/>
      <c r="AP157" s="422" t="str">
        <f ca="1">IFERROR(Área!Z103,"")</f>
        <v/>
      </c>
      <c r="AQ157" s="422"/>
      <c r="AR157" s="400" t="str">
        <f ca="1">Área!Y103</f>
        <v/>
      </c>
      <c r="AS157" s="423"/>
      <c r="AT157" s="72"/>
    </row>
    <row r="158" spans="1:46" ht="12" customHeight="1" x14ac:dyDescent="0.25">
      <c r="A158"/>
      <c r="B158"/>
      <c r="C158" s="397" t="str">
        <f ca="1">Área!C104</f>
        <v/>
      </c>
      <c r="D158" s="398"/>
      <c r="E158" s="398"/>
      <c r="F158" s="398"/>
      <c r="G158" s="396" t="str">
        <f ca="1">Área!F104</f>
        <v/>
      </c>
      <c r="H158" s="396"/>
      <c r="I158" s="398" t="str">
        <f ca="1">Área!G104</f>
        <v/>
      </c>
      <c r="J158" s="398"/>
      <c r="K158" s="396" t="str">
        <f ca="1">Área!H104</f>
        <v/>
      </c>
      <c r="L158" s="396"/>
      <c r="M158" s="396" t="str">
        <f ca="1">Área!I104</f>
        <v/>
      </c>
      <c r="N158" s="396"/>
      <c r="O158" s="396" t="str">
        <f ca="1">Área!J104</f>
        <v/>
      </c>
      <c r="P158" s="396"/>
      <c r="Q158" s="396" t="str">
        <f ca="1">Área!K104</f>
        <v/>
      </c>
      <c r="R158" s="396"/>
      <c r="S158" s="396" t="str">
        <f ca="1">Área!L104</f>
        <v/>
      </c>
      <c r="T158" s="396"/>
      <c r="U158" s="396" t="str">
        <f ca="1">Área!N104</f>
        <v/>
      </c>
      <c r="V158" s="396"/>
      <c r="W158" s="396" t="str">
        <f ca="1">Área!M104</f>
        <v/>
      </c>
      <c r="X158" s="396"/>
      <c r="Y158" s="89" t="str">
        <f ca="1">Área!O104</f>
        <v/>
      </c>
      <c r="Z158" s="399" t="str">
        <f ca="1">Área!P104</f>
        <v/>
      </c>
      <c r="AA158" s="399"/>
      <c r="AB158" s="399"/>
      <c r="AC158" s="399"/>
      <c r="AD158" s="399" t="str">
        <f ca="1">Área!Q104</f>
        <v/>
      </c>
      <c r="AE158" s="399"/>
      <c r="AF158" s="399"/>
      <c r="AG158" s="399"/>
      <c r="AH158" s="400" t="str">
        <f ca="1">Área!R104</f>
        <v/>
      </c>
      <c r="AI158" s="400"/>
      <c r="AJ158" s="400" t="str">
        <f ca="1">Área!S104</f>
        <v/>
      </c>
      <c r="AK158" s="400"/>
      <c r="AL158" s="400" t="str">
        <f ca="1">Área!T104</f>
        <v/>
      </c>
      <c r="AM158" s="400"/>
      <c r="AN158" s="400" t="str">
        <f ca="1">Área!U104</f>
        <v/>
      </c>
      <c r="AO158" s="400"/>
      <c r="AP158" s="422" t="str">
        <f ca="1">IFERROR(Área!Z104,"")</f>
        <v/>
      </c>
      <c r="AQ158" s="422"/>
      <c r="AR158" s="400" t="str">
        <f ca="1">Área!Y104</f>
        <v/>
      </c>
      <c r="AS158" s="423"/>
      <c r="AT158" s="72"/>
    </row>
    <row r="159" spans="1:46" ht="12" customHeight="1" x14ac:dyDescent="0.25">
      <c r="A159"/>
      <c r="B159"/>
      <c r="C159" s="397" t="str">
        <f ca="1">Área!C105</f>
        <v/>
      </c>
      <c r="D159" s="398"/>
      <c r="E159" s="398"/>
      <c r="F159" s="398"/>
      <c r="G159" s="396" t="str">
        <f ca="1">Área!F105</f>
        <v/>
      </c>
      <c r="H159" s="396"/>
      <c r="I159" s="398" t="str">
        <f ca="1">Área!G105</f>
        <v/>
      </c>
      <c r="J159" s="398"/>
      <c r="K159" s="396" t="str">
        <f ca="1">Área!H105</f>
        <v/>
      </c>
      <c r="L159" s="396"/>
      <c r="M159" s="396" t="str">
        <f ca="1">Área!I105</f>
        <v/>
      </c>
      <c r="N159" s="396"/>
      <c r="O159" s="396" t="str">
        <f ca="1">Área!J105</f>
        <v/>
      </c>
      <c r="P159" s="396"/>
      <c r="Q159" s="396" t="str">
        <f ca="1">Área!K105</f>
        <v/>
      </c>
      <c r="R159" s="396"/>
      <c r="S159" s="396" t="str">
        <f ca="1">Área!L105</f>
        <v/>
      </c>
      <c r="T159" s="396"/>
      <c r="U159" s="396" t="str">
        <f ca="1">Área!N105</f>
        <v/>
      </c>
      <c r="V159" s="396"/>
      <c r="W159" s="396" t="str">
        <f ca="1">Área!M105</f>
        <v/>
      </c>
      <c r="X159" s="396"/>
      <c r="Y159" s="89" t="str">
        <f ca="1">Área!O105</f>
        <v/>
      </c>
      <c r="Z159" s="399" t="str">
        <f ca="1">Área!P105</f>
        <v/>
      </c>
      <c r="AA159" s="399"/>
      <c r="AB159" s="399"/>
      <c r="AC159" s="399"/>
      <c r="AD159" s="399" t="str">
        <f ca="1">Área!Q105</f>
        <v/>
      </c>
      <c r="AE159" s="399"/>
      <c r="AF159" s="399"/>
      <c r="AG159" s="399"/>
      <c r="AH159" s="400" t="str">
        <f ca="1">Área!R105</f>
        <v/>
      </c>
      <c r="AI159" s="400"/>
      <c r="AJ159" s="400" t="str">
        <f ca="1">Área!S105</f>
        <v/>
      </c>
      <c r="AK159" s="400"/>
      <c r="AL159" s="400" t="str">
        <f ca="1">Área!T105</f>
        <v/>
      </c>
      <c r="AM159" s="400"/>
      <c r="AN159" s="400" t="str">
        <f ca="1">Área!U105</f>
        <v/>
      </c>
      <c r="AO159" s="400"/>
      <c r="AP159" s="422" t="str">
        <f ca="1">IFERROR(Área!Z105,"")</f>
        <v/>
      </c>
      <c r="AQ159" s="422"/>
      <c r="AR159" s="400" t="str">
        <f ca="1">Área!Y105</f>
        <v/>
      </c>
      <c r="AS159" s="423"/>
      <c r="AT159" s="72"/>
    </row>
    <row r="160" spans="1:46" ht="12" customHeight="1" x14ac:dyDescent="0.25">
      <c r="A160"/>
      <c r="B160"/>
      <c r="C160" s="397" t="str">
        <f ca="1">Área!C106</f>
        <v/>
      </c>
      <c r="D160" s="398"/>
      <c r="E160" s="398"/>
      <c r="F160" s="398"/>
      <c r="G160" s="396" t="str">
        <f ca="1">Área!F106</f>
        <v/>
      </c>
      <c r="H160" s="396"/>
      <c r="I160" s="398" t="str">
        <f ca="1">Área!G106</f>
        <v/>
      </c>
      <c r="J160" s="398"/>
      <c r="K160" s="396" t="str">
        <f ca="1">Área!H106</f>
        <v/>
      </c>
      <c r="L160" s="396"/>
      <c r="M160" s="396" t="str">
        <f ca="1">Área!I106</f>
        <v/>
      </c>
      <c r="N160" s="396"/>
      <c r="O160" s="396" t="str">
        <f ca="1">Área!J106</f>
        <v/>
      </c>
      <c r="P160" s="396"/>
      <c r="Q160" s="396" t="str">
        <f ca="1">Área!K106</f>
        <v/>
      </c>
      <c r="R160" s="396"/>
      <c r="S160" s="396" t="str">
        <f ca="1">Área!L106</f>
        <v/>
      </c>
      <c r="T160" s="396"/>
      <c r="U160" s="396" t="str">
        <f ca="1">Área!N106</f>
        <v/>
      </c>
      <c r="V160" s="396"/>
      <c r="W160" s="396" t="str">
        <f ca="1">Área!M106</f>
        <v/>
      </c>
      <c r="X160" s="396"/>
      <c r="Y160" s="89" t="str">
        <f ca="1">Área!O106</f>
        <v/>
      </c>
      <c r="Z160" s="399" t="str">
        <f ca="1">Área!P106</f>
        <v/>
      </c>
      <c r="AA160" s="399"/>
      <c r="AB160" s="399"/>
      <c r="AC160" s="399"/>
      <c r="AD160" s="399" t="str">
        <f ca="1">Área!Q106</f>
        <v/>
      </c>
      <c r="AE160" s="399"/>
      <c r="AF160" s="399"/>
      <c r="AG160" s="399"/>
      <c r="AH160" s="400" t="str">
        <f ca="1">Área!R106</f>
        <v/>
      </c>
      <c r="AI160" s="400"/>
      <c r="AJ160" s="400" t="str">
        <f ca="1">Área!S106</f>
        <v/>
      </c>
      <c r="AK160" s="400"/>
      <c r="AL160" s="400" t="str">
        <f ca="1">Área!T106</f>
        <v/>
      </c>
      <c r="AM160" s="400"/>
      <c r="AN160" s="400" t="str">
        <f ca="1">Área!U106</f>
        <v/>
      </c>
      <c r="AO160" s="400"/>
      <c r="AP160" s="422" t="str">
        <f ca="1">IFERROR(Área!Z106,"")</f>
        <v/>
      </c>
      <c r="AQ160" s="422"/>
      <c r="AR160" s="400" t="str">
        <f ca="1">Área!Y106</f>
        <v/>
      </c>
      <c r="AS160" s="423"/>
      <c r="AT160" s="72"/>
    </row>
    <row r="161" spans="1:46" ht="12" customHeight="1" x14ac:dyDescent="0.25">
      <c r="A161"/>
      <c r="B161"/>
      <c r="C161" s="397" t="str">
        <f ca="1">Área!C107</f>
        <v/>
      </c>
      <c r="D161" s="398"/>
      <c r="E161" s="398"/>
      <c r="F161" s="398"/>
      <c r="G161" s="396" t="str">
        <f ca="1">Área!F107</f>
        <v/>
      </c>
      <c r="H161" s="396"/>
      <c r="I161" s="398" t="str">
        <f ca="1">Área!G107</f>
        <v/>
      </c>
      <c r="J161" s="398"/>
      <c r="K161" s="396" t="str">
        <f ca="1">Área!H107</f>
        <v/>
      </c>
      <c r="L161" s="396"/>
      <c r="M161" s="396" t="str">
        <f ca="1">Área!I107</f>
        <v/>
      </c>
      <c r="N161" s="396"/>
      <c r="O161" s="396" t="str">
        <f ca="1">Área!J107</f>
        <v/>
      </c>
      <c r="P161" s="396"/>
      <c r="Q161" s="396" t="str">
        <f ca="1">Área!K107</f>
        <v/>
      </c>
      <c r="R161" s="396"/>
      <c r="S161" s="396" t="str">
        <f ca="1">Área!L107</f>
        <v/>
      </c>
      <c r="T161" s="396"/>
      <c r="U161" s="396" t="str">
        <f ca="1">Área!N107</f>
        <v/>
      </c>
      <c r="V161" s="396"/>
      <c r="W161" s="396" t="str">
        <f ca="1">Área!M107</f>
        <v/>
      </c>
      <c r="X161" s="396"/>
      <c r="Y161" s="89" t="str">
        <f ca="1">Área!O107</f>
        <v/>
      </c>
      <c r="Z161" s="399" t="str">
        <f ca="1">Área!P107</f>
        <v/>
      </c>
      <c r="AA161" s="399"/>
      <c r="AB161" s="399"/>
      <c r="AC161" s="399"/>
      <c r="AD161" s="399" t="str">
        <f ca="1">Área!Q107</f>
        <v/>
      </c>
      <c r="AE161" s="399"/>
      <c r="AF161" s="399"/>
      <c r="AG161" s="399"/>
      <c r="AH161" s="400" t="str">
        <f ca="1">Área!R107</f>
        <v/>
      </c>
      <c r="AI161" s="400"/>
      <c r="AJ161" s="400" t="str">
        <f ca="1">Área!S107</f>
        <v/>
      </c>
      <c r="AK161" s="400"/>
      <c r="AL161" s="400" t="str">
        <f ca="1">Área!T107</f>
        <v/>
      </c>
      <c r="AM161" s="400"/>
      <c r="AN161" s="400" t="str">
        <f ca="1">Área!U107</f>
        <v/>
      </c>
      <c r="AO161" s="400"/>
      <c r="AP161" s="422" t="str">
        <f ca="1">IFERROR(Área!Z107,"")</f>
        <v/>
      </c>
      <c r="AQ161" s="422"/>
      <c r="AR161" s="400" t="str">
        <f ca="1">Área!Y107</f>
        <v/>
      </c>
      <c r="AS161" s="423"/>
      <c r="AT161" s="72"/>
    </row>
    <row r="162" spans="1:46" ht="12" customHeight="1" x14ac:dyDescent="0.25">
      <c r="A162"/>
      <c r="B162"/>
      <c r="C162" s="397" t="str">
        <f ca="1">Área!C108</f>
        <v/>
      </c>
      <c r="D162" s="398"/>
      <c r="E162" s="398"/>
      <c r="F162" s="398"/>
      <c r="G162" s="396" t="str">
        <f ca="1">Área!F108</f>
        <v/>
      </c>
      <c r="H162" s="396"/>
      <c r="I162" s="398" t="str">
        <f ca="1">Área!G108</f>
        <v/>
      </c>
      <c r="J162" s="398"/>
      <c r="K162" s="396" t="str">
        <f ca="1">Área!H108</f>
        <v/>
      </c>
      <c r="L162" s="396"/>
      <c r="M162" s="396" t="str">
        <f ca="1">Área!I108</f>
        <v/>
      </c>
      <c r="N162" s="396"/>
      <c r="O162" s="396" t="str">
        <f ca="1">Área!J108</f>
        <v/>
      </c>
      <c r="P162" s="396"/>
      <c r="Q162" s="396" t="str">
        <f ca="1">Área!K108</f>
        <v/>
      </c>
      <c r="R162" s="396"/>
      <c r="S162" s="396" t="str">
        <f ca="1">Área!L108</f>
        <v/>
      </c>
      <c r="T162" s="396"/>
      <c r="U162" s="396" t="str">
        <f ca="1">Área!N108</f>
        <v/>
      </c>
      <c r="V162" s="396"/>
      <c r="W162" s="396" t="str">
        <f ca="1">Área!M108</f>
        <v/>
      </c>
      <c r="X162" s="396"/>
      <c r="Y162" s="89" t="str">
        <f ca="1">Área!O108</f>
        <v/>
      </c>
      <c r="Z162" s="399" t="str">
        <f ca="1">Área!P108</f>
        <v/>
      </c>
      <c r="AA162" s="399"/>
      <c r="AB162" s="399"/>
      <c r="AC162" s="399"/>
      <c r="AD162" s="399" t="str">
        <f ca="1">Área!Q108</f>
        <v/>
      </c>
      <c r="AE162" s="399"/>
      <c r="AF162" s="399"/>
      <c r="AG162" s="399"/>
      <c r="AH162" s="400" t="str">
        <f ca="1">Área!R108</f>
        <v/>
      </c>
      <c r="AI162" s="400"/>
      <c r="AJ162" s="400" t="str">
        <f ca="1">Área!S108</f>
        <v/>
      </c>
      <c r="AK162" s="400"/>
      <c r="AL162" s="400" t="str">
        <f ca="1">Área!T108</f>
        <v/>
      </c>
      <c r="AM162" s="400"/>
      <c r="AN162" s="400" t="str">
        <f ca="1">Área!U108</f>
        <v/>
      </c>
      <c r="AO162" s="400"/>
      <c r="AP162" s="422" t="str">
        <f ca="1">IFERROR(Área!Z108,"")</f>
        <v/>
      </c>
      <c r="AQ162" s="422"/>
      <c r="AR162" s="400" t="str">
        <f ca="1">Área!Y108</f>
        <v/>
      </c>
      <c r="AS162" s="423"/>
      <c r="AT162" s="72"/>
    </row>
    <row r="163" spans="1:46" ht="12" customHeight="1" x14ac:dyDescent="0.25">
      <c r="A163"/>
      <c r="B163"/>
      <c r="C163" s="397" t="str">
        <f ca="1">Área!C109</f>
        <v/>
      </c>
      <c r="D163" s="398"/>
      <c r="E163" s="398"/>
      <c r="F163" s="398"/>
      <c r="G163" s="396" t="str">
        <f ca="1">Área!F109</f>
        <v/>
      </c>
      <c r="H163" s="396"/>
      <c r="I163" s="398" t="str">
        <f ca="1">Área!G109</f>
        <v/>
      </c>
      <c r="J163" s="398"/>
      <c r="K163" s="396" t="str">
        <f ca="1">Área!H109</f>
        <v/>
      </c>
      <c r="L163" s="396"/>
      <c r="M163" s="396" t="str">
        <f ca="1">Área!I109</f>
        <v/>
      </c>
      <c r="N163" s="396"/>
      <c r="O163" s="396" t="str">
        <f ca="1">Área!J109</f>
        <v/>
      </c>
      <c r="P163" s="396"/>
      <c r="Q163" s="396" t="str">
        <f ca="1">Área!K109</f>
        <v/>
      </c>
      <c r="R163" s="396"/>
      <c r="S163" s="396" t="str">
        <f ca="1">Área!L109</f>
        <v/>
      </c>
      <c r="T163" s="396"/>
      <c r="U163" s="396" t="str">
        <f ca="1">Área!N109</f>
        <v/>
      </c>
      <c r="V163" s="396"/>
      <c r="W163" s="396" t="str">
        <f ca="1">Área!M109</f>
        <v/>
      </c>
      <c r="X163" s="396"/>
      <c r="Y163" s="89" t="str">
        <f ca="1">Área!O109</f>
        <v/>
      </c>
      <c r="Z163" s="399" t="str">
        <f ca="1">Área!P109</f>
        <v/>
      </c>
      <c r="AA163" s="399"/>
      <c r="AB163" s="399"/>
      <c r="AC163" s="399"/>
      <c r="AD163" s="399" t="str">
        <f ca="1">Área!Q109</f>
        <v/>
      </c>
      <c r="AE163" s="399"/>
      <c r="AF163" s="399"/>
      <c r="AG163" s="399"/>
      <c r="AH163" s="400" t="str">
        <f ca="1">Área!R109</f>
        <v/>
      </c>
      <c r="AI163" s="400"/>
      <c r="AJ163" s="400" t="str">
        <f ca="1">Área!S109</f>
        <v/>
      </c>
      <c r="AK163" s="400"/>
      <c r="AL163" s="400" t="str">
        <f ca="1">Área!T109</f>
        <v/>
      </c>
      <c r="AM163" s="400"/>
      <c r="AN163" s="400" t="str">
        <f ca="1">Área!U109</f>
        <v/>
      </c>
      <c r="AO163" s="400"/>
      <c r="AP163" s="422" t="str">
        <f ca="1">IFERROR(Área!Z109,"")</f>
        <v/>
      </c>
      <c r="AQ163" s="422"/>
      <c r="AR163" s="400" t="str">
        <f ca="1">Área!Y109</f>
        <v/>
      </c>
      <c r="AS163" s="423"/>
      <c r="AT163" s="72"/>
    </row>
    <row r="164" spans="1:46" ht="12" customHeight="1" x14ac:dyDescent="0.25">
      <c r="A164"/>
      <c r="B164"/>
      <c r="C164" s="397" t="str">
        <f ca="1">Área!C110</f>
        <v/>
      </c>
      <c r="D164" s="398"/>
      <c r="E164" s="398"/>
      <c r="F164" s="398"/>
      <c r="G164" s="396" t="str">
        <f ca="1">Área!F110</f>
        <v/>
      </c>
      <c r="H164" s="396"/>
      <c r="I164" s="398" t="str">
        <f ca="1">Área!G110</f>
        <v/>
      </c>
      <c r="J164" s="398"/>
      <c r="K164" s="396" t="str">
        <f ca="1">Área!H110</f>
        <v/>
      </c>
      <c r="L164" s="396"/>
      <c r="M164" s="396" t="str">
        <f ca="1">Área!I110</f>
        <v/>
      </c>
      <c r="N164" s="396"/>
      <c r="O164" s="396" t="str">
        <f ca="1">Área!J110</f>
        <v/>
      </c>
      <c r="P164" s="396"/>
      <c r="Q164" s="396" t="str">
        <f ca="1">Área!K110</f>
        <v/>
      </c>
      <c r="R164" s="396"/>
      <c r="S164" s="396" t="str">
        <f ca="1">Área!L110</f>
        <v/>
      </c>
      <c r="T164" s="396"/>
      <c r="U164" s="396" t="str">
        <f ca="1">Área!N110</f>
        <v/>
      </c>
      <c r="V164" s="396"/>
      <c r="W164" s="396" t="str">
        <f ca="1">Área!M110</f>
        <v/>
      </c>
      <c r="X164" s="396"/>
      <c r="Y164" s="89" t="str">
        <f ca="1">Área!O110</f>
        <v/>
      </c>
      <c r="Z164" s="399" t="str">
        <f ca="1">Área!P110</f>
        <v/>
      </c>
      <c r="AA164" s="399"/>
      <c r="AB164" s="399"/>
      <c r="AC164" s="399"/>
      <c r="AD164" s="399" t="str">
        <f ca="1">Área!Q110</f>
        <v/>
      </c>
      <c r="AE164" s="399"/>
      <c r="AF164" s="399"/>
      <c r="AG164" s="399"/>
      <c r="AH164" s="400" t="str">
        <f ca="1">Área!R110</f>
        <v/>
      </c>
      <c r="AI164" s="400"/>
      <c r="AJ164" s="400" t="str">
        <f ca="1">Área!S110</f>
        <v/>
      </c>
      <c r="AK164" s="400"/>
      <c r="AL164" s="400" t="str">
        <f ca="1">Área!T110</f>
        <v/>
      </c>
      <c r="AM164" s="400"/>
      <c r="AN164" s="400" t="str">
        <f ca="1">Área!U110</f>
        <v/>
      </c>
      <c r="AO164" s="400"/>
      <c r="AP164" s="422" t="str">
        <f ca="1">IFERROR(Área!Z110,"")</f>
        <v/>
      </c>
      <c r="AQ164" s="422"/>
      <c r="AR164" s="400" t="str">
        <f ca="1">Área!Y110</f>
        <v/>
      </c>
      <c r="AS164" s="423"/>
      <c r="AT164" s="72"/>
    </row>
    <row r="165" spans="1:46" ht="12" customHeight="1" x14ac:dyDescent="0.25">
      <c r="A165"/>
      <c r="B165"/>
      <c r="C165" s="397" t="str">
        <f ca="1">Área!C111</f>
        <v/>
      </c>
      <c r="D165" s="398"/>
      <c r="E165" s="398"/>
      <c r="F165" s="398"/>
      <c r="G165" s="396" t="str">
        <f ca="1">Área!F111</f>
        <v/>
      </c>
      <c r="H165" s="396"/>
      <c r="I165" s="398" t="str">
        <f ca="1">Área!G111</f>
        <v/>
      </c>
      <c r="J165" s="398"/>
      <c r="K165" s="396" t="str">
        <f ca="1">Área!H111</f>
        <v/>
      </c>
      <c r="L165" s="396"/>
      <c r="M165" s="396" t="str">
        <f ca="1">Área!I111</f>
        <v/>
      </c>
      <c r="N165" s="396"/>
      <c r="O165" s="396" t="str">
        <f ca="1">Área!J111</f>
        <v/>
      </c>
      <c r="P165" s="396"/>
      <c r="Q165" s="396" t="str">
        <f ca="1">Área!K111</f>
        <v/>
      </c>
      <c r="R165" s="396"/>
      <c r="S165" s="396" t="str">
        <f ca="1">Área!L111</f>
        <v/>
      </c>
      <c r="T165" s="396"/>
      <c r="U165" s="396" t="str">
        <f ca="1">Área!N111</f>
        <v/>
      </c>
      <c r="V165" s="396"/>
      <c r="W165" s="396" t="str">
        <f ca="1">Área!M111</f>
        <v/>
      </c>
      <c r="X165" s="396"/>
      <c r="Y165" s="89" t="str">
        <f ca="1">Área!O111</f>
        <v/>
      </c>
      <c r="Z165" s="399" t="str">
        <f ca="1">Área!P111</f>
        <v/>
      </c>
      <c r="AA165" s="399"/>
      <c r="AB165" s="399"/>
      <c r="AC165" s="399"/>
      <c r="AD165" s="399" t="str">
        <f ca="1">Área!Q111</f>
        <v/>
      </c>
      <c r="AE165" s="399"/>
      <c r="AF165" s="399"/>
      <c r="AG165" s="399"/>
      <c r="AH165" s="400" t="str">
        <f ca="1">Área!R111</f>
        <v/>
      </c>
      <c r="AI165" s="400"/>
      <c r="AJ165" s="400" t="str">
        <f ca="1">Área!S111</f>
        <v/>
      </c>
      <c r="AK165" s="400"/>
      <c r="AL165" s="400" t="str">
        <f ca="1">Área!T111</f>
        <v/>
      </c>
      <c r="AM165" s="400"/>
      <c r="AN165" s="400" t="str">
        <f ca="1">Área!U111</f>
        <v/>
      </c>
      <c r="AO165" s="400"/>
      <c r="AP165" s="422" t="str">
        <f ca="1">IFERROR(Área!Z111,"")</f>
        <v/>
      </c>
      <c r="AQ165" s="422"/>
      <c r="AR165" s="400" t="str">
        <f ca="1">Área!Y111</f>
        <v/>
      </c>
      <c r="AS165" s="423"/>
      <c r="AT165" s="72"/>
    </row>
    <row r="166" spans="1:46" ht="12" customHeight="1" x14ac:dyDescent="0.25">
      <c r="A166"/>
      <c r="B166"/>
      <c r="C166" s="397" t="str">
        <f ca="1">Área!C112</f>
        <v/>
      </c>
      <c r="D166" s="398"/>
      <c r="E166" s="398"/>
      <c r="F166" s="398"/>
      <c r="G166" s="396" t="str">
        <f ca="1">Área!F112</f>
        <v/>
      </c>
      <c r="H166" s="396"/>
      <c r="I166" s="398" t="str">
        <f ca="1">Área!G112</f>
        <v/>
      </c>
      <c r="J166" s="398"/>
      <c r="K166" s="396" t="str">
        <f ca="1">Área!H112</f>
        <v/>
      </c>
      <c r="L166" s="396"/>
      <c r="M166" s="396" t="str">
        <f ca="1">Área!I112</f>
        <v/>
      </c>
      <c r="N166" s="396"/>
      <c r="O166" s="396" t="str">
        <f ca="1">Área!J112</f>
        <v/>
      </c>
      <c r="P166" s="396"/>
      <c r="Q166" s="396" t="str">
        <f ca="1">Área!K112</f>
        <v/>
      </c>
      <c r="R166" s="396"/>
      <c r="S166" s="396" t="str">
        <f ca="1">Área!L112</f>
        <v/>
      </c>
      <c r="T166" s="396"/>
      <c r="U166" s="396" t="str">
        <f ca="1">Área!N112</f>
        <v/>
      </c>
      <c r="V166" s="396"/>
      <c r="W166" s="396" t="str">
        <f ca="1">Área!M112</f>
        <v/>
      </c>
      <c r="X166" s="396"/>
      <c r="Y166" s="89" t="str">
        <f ca="1">Área!O112</f>
        <v/>
      </c>
      <c r="Z166" s="399" t="str">
        <f ca="1">Área!P112</f>
        <v/>
      </c>
      <c r="AA166" s="399"/>
      <c r="AB166" s="399"/>
      <c r="AC166" s="399"/>
      <c r="AD166" s="399" t="str">
        <f ca="1">Área!Q112</f>
        <v/>
      </c>
      <c r="AE166" s="399"/>
      <c r="AF166" s="399"/>
      <c r="AG166" s="399"/>
      <c r="AH166" s="400" t="str">
        <f ca="1">Área!R112</f>
        <v/>
      </c>
      <c r="AI166" s="400"/>
      <c r="AJ166" s="400" t="str">
        <f ca="1">Área!S112</f>
        <v/>
      </c>
      <c r="AK166" s="400"/>
      <c r="AL166" s="400" t="str">
        <f ca="1">Área!T112</f>
        <v/>
      </c>
      <c r="AM166" s="400"/>
      <c r="AN166" s="400" t="str">
        <f ca="1">Área!U112</f>
        <v/>
      </c>
      <c r="AO166" s="400"/>
      <c r="AP166" s="422" t="str">
        <f ca="1">IFERROR(Área!Z112,"")</f>
        <v/>
      </c>
      <c r="AQ166" s="422"/>
      <c r="AR166" s="400" t="str">
        <f ca="1">Área!Y112</f>
        <v/>
      </c>
      <c r="AS166" s="423"/>
      <c r="AT166" s="72"/>
    </row>
    <row r="167" spans="1:46" ht="12" customHeight="1" x14ac:dyDescent="0.25">
      <c r="A167"/>
      <c r="B167"/>
      <c r="C167" s="397" t="str">
        <f ca="1">Área!C113</f>
        <v/>
      </c>
      <c r="D167" s="398"/>
      <c r="E167" s="398"/>
      <c r="F167" s="398"/>
      <c r="G167" s="396" t="str">
        <f ca="1">Área!F113</f>
        <v/>
      </c>
      <c r="H167" s="396"/>
      <c r="I167" s="398" t="str">
        <f ca="1">Área!G113</f>
        <v/>
      </c>
      <c r="J167" s="398"/>
      <c r="K167" s="396" t="str">
        <f ca="1">Área!H113</f>
        <v/>
      </c>
      <c r="L167" s="396"/>
      <c r="M167" s="396" t="str">
        <f ca="1">Área!I113</f>
        <v/>
      </c>
      <c r="N167" s="396"/>
      <c r="O167" s="396" t="str">
        <f ca="1">Área!J113</f>
        <v/>
      </c>
      <c r="P167" s="396"/>
      <c r="Q167" s="396" t="str">
        <f ca="1">Área!K113</f>
        <v/>
      </c>
      <c r="R167" s="396"/>
      <c r="S167" s="396" t="str">
        <f ca="1">Área!L113</f>
        <v/>
      </c>
      <c r="T167" s="396"/>
      <c r="U167" s="396" t="str">
        <f ca="1">Área!N113</f>
        <v/>
      </c>
      <c r="V167" s="396"/>
      <c r="W167" s="396" t="str">
        <f ca="1">Área!M113</f>
        <v/>
      </c>
      <c r="X167" s="396"/>
      <c r="Y167" s="89" t="str">
        <f ca="1">Área!O113</f>
        <v/>
      </c>
      <c r="Z167" s="399" t="str">
        <f ca="1">Área!P113</f>
        <v/>
      </c>
      <c r="AA167" s="399"/>
      <c r="AB167" s="399"/>
      <c r="AC167" s="399"/>
      <c r="AD167" s="399" t="str">
        <f ca="1">Área!Q113</f>
        <v/>
      </c>
      <c r="AE167" s="399"/>
      <c r="AF167" s="399"/>
      <c r="AG167" s="399"/>
      <c r="AH167" s="400" t="str">
        <f ca="1">Área!R113</f>
        <v/>
      </c>
      <c r="AI167" s="400"/>
      <c r="AJ167" s="400" t="str">
        <f ca="1">Área!S113</f>
        <v/>
      </c>
      <c r="AK167" s="400"/>
      <c r="AL167" s="400" t="str">
        <f ca="1">Área!T113</f>
        <v/>
      </c>
      <c r="AM167" s="400"/>
      <c r="AN167" s="400" t="str">
        <f ca="1">Área!U113</f>
        <v/>
      </c>
      <c r="AO167" s="400"/>
      <c r="AP167" s="422" t="str">
        <f ca="1">IFERROR(Área!Z113,"")</f>
        <v/>
      </c>
      <c r="AQ167" s="422"/>
      <c r="AR167" s="400" t="str">
        <f ca="1">Área!Y113</f>
        <v/>
      </c>
      <c r="AS167" s="423"/>
      <c r="AT167" s="72"/>
    </row>
    <row r="168" spans="1:46" ht="12" customHeight="1" x14ac:dyDescent="0.25">
      <c r="A168"/>
      <c r="B168"/>
      <c r="C168" s="397" t="str">
        <f ca="1">Área!C114</f>
        <v/>
      </c>
      <c r="D168" s="398"/>
      <c r="E168" s="398"/>
      <c r="F168" s="398"/>
      <c r="G168" s="396" t="str">
        <f ca="1">Área!F114</f>
        <v/>
      </c>
      <c r="H168" s="396"/>
      <c r="I168" s="398" t="str">
        <f ca="1">Área!G114</f>
        <v/>
      </c>
      <c r="J168" s="398"/>
      <c r="K168" s="396" t="str">
        <f ca="1">Área!H114</f>
        <v/>
      </c>
      <c r="L168" s="396"/>
      <c r="M168" s="396" t="str">
        <f ca="1">Área!I114</f>
        <v/>
      </c>
      <c r="N168" s="396"/>
      <c r="O168" s="396" t="str">
        <f ca="1">Área!J114</f>
        <v/>
      </c>
      <c r="P168" s="396"/>
      <c r="Q168" s="396" t="str">
        <f ca="1">Área!K114</f>
        <v/>
      </c>
      <c r="R168" s="396"/>
      <c r="S168" s="396" t="str">
        <f ca="1">Área!L114</f>
        <v/>
      </c>
      <c r="T168" s="396"/>
      <c r="U168" s="396" t="str">
        <f ca="1">Área!N114</f>
        <v/>
      </c>
      <c r="V168" s="396"/>
      <c r="W168" s="396" t="str">
        <f ca="1">Área!M114</f>
        <v/>
      </c>
      <c r="X168" s="396"/>
      <c r="Y168" s="89" t="str">
        <f ca="1">Área!O114</f>
        <v/>
      </c>
      <c r="Z168" s="399" t="str">
        <f ca="1">Área!P114</f>
        <v/>
      </c>
      <c r="AA168" s="399"/>
      <c r="AB168" s="399"/>
      <c r="AC168" s="399"/>
      <c r="AD168" s="399" t="str">
        <f ca="1">Área!Q114</f>
        <v/>
      </c>
      <c r="AE168" s="399"/>
      <c r="AF168" s="399"/>
      <c r="AG168" s="399"/>
      <c r="AH168" s="400" t="str">
        <f ca="1">Área!R114</f>
        <v/>
      </c>
      <c r="AI168" s="400"/>
      <c r="AJ168" s="400" t="str">
        <f ca="1">Área!S114</f>
        <v/>
      </c>
      <c r="AK168" s="400"/>
      <c r="AL168" s="400" t="str">
        <f ca="1">Área!T114</f>
        <v/>
      </c>
      <c r="AM168" s="400"/>
      <c r="AN168" s="400" t="str">
        <f ca="1">Área!U114</f>
        <v/>
      </c>
      <c r="AO168" s="400"/>
      <c r="AP168" s="422" t="str">
        <f ca="1">IFERROR(Área!Z114,"")</f>
        <v/>
      </c>
      <c r="AQ168" s="422"/>
      <c r="AR168" s="400" t="str">
        <f ca="1">Área!Y114</f>
        <v/>
      </c>
      <c r="AS168" s="423"/>
      <c r="AT168" s="72"/>
    </row>
    <row r="169" spans="1:46" ht="12" customHeight="1" x14ac:dyDescent="0.25">
      <c r="A169"/>
      <c r="B169"/>
      <c r="C169" s="397" t="str">
        <f ca="1">Área!C115</f>
        <v/>
      </c>
      <c r="D169" s="398"/>
      <c r="E169" s="398"/>
      <c r="F169" s="398"/>
      <c r="G169" s="396" t="str">
        <f ca="1">Área!F115</f>
        <v/>
      </c>
      <c r="H169" s="396"/>
      <c r="I169" s="398" t="str">
        <f ca="1">Área!G115</f>
        <v/>
      </c>
      <c r="J169" s="398"/>
      <c r="K169" s="396" t="str">
        <f ca="1">Área!H115</f>
        <v/>
      </c>
      <c r="L169" s="396"/>
      <c r="M169" s="396" t="str">
        <f ca="1">Área!I115</f>
        <v/>
      </c>
      <c r="N169" s="396"/>
      <c r="O169" s="396" t="str">
        <f ca="1">Área!J115</f>
        <v/>
      </c>
      <c r="P169" s="396"/>
      <c r="Q169" s="396" t="str">
        <f ca="1">Área!K115</f>
        <v/>
      </c>
      <c r="R169" s="396"/>
      <c r="S169" s="396" t="str">
        <f ca="1">Área!L115</f>
        <v/>
      </c>
      <c r="T169" s="396"/>
      <c r="U169" s="396" t="str">
        <f ca="1">Área!N115</f>
        <v/>
      </c>
      <c r="V169" s="396"/>
      <c r="W169" s="396" t="str">
        <f ca="1">Área!M115</f>
        <v/>
      </c>
      <c r="X169" s="396"/>
      <c r="Y169" s="89" t="str">
        <f ca="1">Área!O115</f>
        <v/>
      </c>
      <c r="Z169" s="399" t="str">
        <f ca="1">Área!P115</f>
        <v/>
      </c>
      <c r="AA169" s="399"/>
      <c r="AB169" s="399"/>
      <c r="AC169" s="399"/>
      <c r="AD169" s="399" t="str">
        <f ca="1">Área!Q115</f>
        <v/>
      </c>
      <c r="AE169" s="399"/>
      <c r="AF169" s="399"/>
      <c r="AG169" s="399"/>
      <c r="AH169" s="400" t="str">
        <f ca="1">Área!R115</f>
        <v/>
      </c>
      <c r="AI169" s="400"/>
      <c r="AJ169" s="400" t="str">
        <f ca="1">Área!S115</f>
        <v/>
      </c>
      <c r="AK169" s="400"/>
      <c r="AL169" s="400" t="str">
        <f ca="1">Área!T115</f>
        <v/>
      </c>
      <c r="AM169" s="400"/>
      <c r="AN169" s="400" t="str">
        <f ca="1">Área!U115</f>
        <v/>
      </c>
      <c r="AO169" s="400"/>
      <c r="AP169" s="422" t="str">
        <f ca="1">IFERROR(Área!Z115,"")</f>
        <v/>
      </c>
      <c r="AQ169" s="422"/>
      <c r="AR169" s="400" t="str">
        <f ca="1">Área!Y115</f>
        <v/>
      </c>
      <c r="AS169" s="423"/>
      <c r="AT169" s="72"/>
    </row>
    <row r="170" spans="1:46" ht="12" customHeight="1" x14ac:dyDescent="0.25">
      <c r="A170"/>
      <c r="B170"/>
      <c r="C170" s="397" t="str">
        <f ca="1">Área!C116</f>
        <v/>
      </c>
      <c r="D170" s="398"/>
      <c r="E170" s="398"/>
      <c r="F170" s="398"/>
      <c r="G170" s="396" t="str">
        <f ca="1">Área!F116</f>
        <v/>
      </c>
      <c r="H170" s="396"/>
      <c r="I170" s="398" t="str">
        <f ca="1">Área!G116</f>
        <v/>
      </c>
      <c r="J170" s="398"/>
      <c r="K170" s="396" t="str">
        <f ca="1">Área!H116</f>
        <v/>
      </c>
      <c r="L170" s="396"/>
      <c r="M170" s="396" t="str">
        <f ca="1">Área!I116</f>
        <v/>
      </c>
      <c r="N170" s="396"/>
      <c r="O170" s="396" t="str">
        <f ca="1">Área!J116</f>
        <v/>
      </c>
      <c r="P170" s="396"/>
      <c r="Q170" s="396" t="str">
        <f ca="1">Área!K116</f>
        <v/>
      </c>
      <c r="R170" s="396"/>
      <c r="S170" s="396" t="str">
        <f ca="1">Área!L116</f>
        <v/>
      </c>
      <c r="T170" s="396"/>
      <c r="U170" s="396" t="str">
        <f ca="1">Área!N116</f>
        <v/>
      </c>
      <c r="V170" s="396"/>
      <c r="W170" s="396" t="str">
        <f ca="1">Área!M116</f>
        <v/>
      </c>
      <c r="X170" s="396"/>
      <c r="Y170" s="89" t="str">
        <f ca="1">Área!O116</f>
        <v/>
      </c>
      <c r="Z170" s="399" t="str">
        <f ca="1">Área!P116</f>
        <v/>
      </c>
      <c r="AA170" s="399"/>
      <c r="AB170" s="399"/>
      <c r="AC170" s="399"/>
      <c r="AD170" s="399" t="str">
        <f ca="1">Área!Q116</f>
        <v/>
      </c>
      <c r="AE170" s="399"/>
      <c r="AF170" s="399"/>
      <c r="AG170" s="399"/>
      <c r="AH170" s="400" t="str">
        <f ca="1">Área!R116</f>
        <v/>
      </c>
      <c r="AI170" s="400"/>
      <c r="AJ170" s="400" t="str">
        <f ca="1">Área!S116</f>
        <v/>
      </c>
      <c r="AK170" s="400"/>
      <c r="AL170" s="400" t="str">
        <f ca="1">Área!T116</f>
        <v/>
      </c>
      <c r="AM170" s="400"/>
      <c r="AN170" s="400" t="str">
        <f ca="1">Área!U116</f>
        <v/>
      </c>
      <c r="AO170" s="400"/>
      <c r="AP170" s="422" t="str">
        <f ca="1">IFERROR(Área!Z116,"")</f>
        <v/>
      </c>
      <c r="AQ170" s="422"/>
      <c r="AR170" s="400" t="str">
        <f ca="1">Área!Y116</f>
        <v/>
      </c>
      <c r="AS170" s="423"/>
      <c r="AT170" s="72"/>
    </row>
    <row r="171" spans="1:46" ht="12" customHeight="1" x14ac:dyDescent="0.25">
      <c r="A171"/>
      <c r="B171"/>
      <c r="C171" s="397" t="str">
        <f ca="1">Área!C117</f>
        <v/>
      </c>
      <c r="D171" s="398"/>
      <c r="E171" s="398"/>
      <c r="F171" s="398"/>
      <c r="G171" s="396" t="str">
        <f ca="1">Área!F117</f>
        <v/>
      </c>
      <c r="H171" s="396"/>
      <c r="I171" s="398" t="str">
        <f ca="1">Área!G117</f>
        <v/>
      </c>
      <c r="J171" s="398"/>
      <c r="K171" s="396" t="str">
        <f ca="1">Área!H117</f>
        <v/>
      </c>
      <c r="L171" s="396"/>
      <c r="M171" s="396" t="str">
        <f ca="1">Área!I117</f>
        <v/>
      </c>
      <c r="N171" s="396"/>
      <c r="O171" s="396" t="str">
        <f ca="1">Área!J117</f>
        <v/>
      </c>
      <c r="P171" s="396"/>
      <c r="Q171" s="396" t="str">
        <f ca="1">Área!K117</f>
        <v/>
      </c>
      <c r="R171" s="396"/>
      <c r="S171" s="396" t="str">
        <f ca="1">Área!L117</f>
        <v/>
      </c>
      <c r="T171" s="396"/>
      <c r="U171" s="396" t="str">
        <f ca="1">Área!N117</f>
        <v/>
      </c>
      <c r="V171" s="396"/>
      <c r="W171" s="396" t="str">
        <f ca="1">Área!M117</f>
        <v/>
      </c>
      <c r="X171" s="396"/>
      <c r="Y171" s="89" t="str">
        <f ca="1">Área!O117</f>
        <v/>
      </c>
      <c r="Z171" s="399" t="str">
        <f ca="1">Área!P117</f>
        <v/>
      </c>
      <c r="AA171" s="399"/>
      <c r="AB171" s="399"/>
      <c r="AC171" s="399"/>
      <c r="AD171" s="399" t="str">
        <f ca="1">Área!Q117</f>
        <v/>
      </c>
      <c r="AE171" s="399"/>
      <c r="AF171" s="399"/>
      <c r="AG171" s="399"/>
      <c r="AH171" s="400" t="str">
        <f ca="1">Área!R117</f>
        <v/>
      </c>
      <c r="AI171" s="400"/>
      <c r="AJ171" s="400" t="str">
        <f ca="1">Área!S117</f>
        <v/>
      </c>
      <c r="AK171" s="400"/>
      <c r="AL171" s="400" t="str">
        <f ca="1">Área!T117</f>
        <v/>
      </c>
      <c r="AM171" s="400"/>
      <c r="AN171" s="400" t="str">
        <f ca="1">Área!U117</f>
        <v/>
      </c>
      <c r="AO171" s="400"/>
      <c r="AP171" s="422" t="str">
        <f ca="1">IFERROR(Área!Z117,"")</f>
        <v/>
      </c>
      <c r="AQ171" s="422"/>
      <c r="AR171" s="400" t="str">
        <f ca="1">Área!Y117</f>
        <v/>
      </c>
      <c r="AS171" s="423"/>
      <c r="AT171" s="72"/>
    </row>
    <row r="172" spans="1:46" ht="12" customHeight="1" x14ac:dyDescent="0.25">
      <c r="A172"/>
      <c r="B172"/>
      <c r="C172" s="397" t="str">
        <f ca="1">Área!C118</f>
        <v/>
      </c>
      <c r="D172" s="398"/>
      <c r="E172" s="398"/>
      <c r="F172" s="398"/>
      <c r="G172" s="396" t="str">
        <f ca="1">Área!F118</f>
        <v/>
      </c>
      <c r="H172" s="396"/>
      <c r="I172" s="398" t="str">
        <f ca="1">Área!G118</f>
        <v/>
      </c>
      <c r="J172" s="398"/>
      <c r="K172" s="396" t="str">
        <f ca="1">Área!H118</f>
        <v/>
      </c>
      <c r="L172" s="396"/>
      <c r="M172" s="396" t="str">
        <f ca="1">Área!I118</f>
        <v/>
      </c>
      <c r="N172" s="396"/>
      <c r="O172" s="396" t="str">
        <f ca="1">Área!J118</f>
        <v/>
      </c>
      <c r="P172" s="396"/>
      <c r="Q172" s="396" t="str">
        <f ca="1">Área!K118</f>
        <v/>
      </c>
      <c r="R172" s="396"/>
      <c r="S172" s="396" t="str">
        <f ca="1">Área!L118</f>
        <v/>
      </c>
      <c r="T172" s="396"/>
      <c r="U172" s="396" t="str">
        <f ca="1">Área!N118</f>
        <v/>
      </c>
      <c r="V172" s="396"/>
      <c r="W172" s="396" t="str">
        <f ca="1">Área!M118</f>
        <v/>
      </c>
      <c r="X172" s="396"/>
      <c r="Y172" s="89" t="str">
        <f ca="1">Área!O118</f>
        <v/>
      </c>
      <c r="Z172" s="399" t="str">
        <f ca="1">Área!P118</f>
        <v/>
      </c>
      <c r="AA172" s="399"/>
      <c r="AB172" s="399"/>
      <c r="AC172" s="399"/>
      <c r="AD172" s="399" t="str">
        <f ca="1">Área!Q118</f>
        <v/>
      </c>
      <c r="AE172" s="399"/>
      <c r="AF172" s="399"/>
      <c r="AG172" s="399"/>
      <c r="AH172" s="400" t="str">
        <f ca="1">Área!R118</f>
        <v/>
      </c>
      <c r="AI172" s="400"/>
      <c r="AJ172" s="400" t="str">
        <f ca="1">Área!S118</f>
        <v/>
      </c>
      <c r="AK172" s="400"/>
      <c r="AL172" s="400" t="str">
        <f ca="1">Área!T118</f>
        <v/>
      </c>
      <c r="AM172" s="400"/>
      <c r="AN172" s="400" t="str">
        <f ca="1">Área!U118</f>
        <v/>
      </c>
      <c r="AO172" s="400"/>
      <c r="AP172" s="422" t="str">
        <f ca="1">IFERROR(Área!Z118,"")</f>
        <v/>
      </c>
      <c r="AQ172" s="422"/>
      <c r="AR172" s="400" t="str">
        <f ca="1">Área!Y118</f>
        <v/>
      </c>
      <c r="AS172" s="423"/>
      <c r="AT172" s="72"/>
    </row>
    <row r="173" spans="1:46" ht="12" customHeight="1" x14ac:dyDescent="0.25">
      <c r="A173"/>
      <c r="B173"/>
      <c r="C173" s="397" t="str">
        <f ca="1">Área!C119</f>
        <v/>
      </c>
      <c r="D173" s="398"/>
      <c r="E173" s="398"/>
      <c r="F173" s="398"/>
      <c r="G173" s="396" t="str">
        <f ca="1">Área!F119</f>
        <v/>
      </c>
      <c r="H173" s="396"/>
      <c r="I173" s="398" t="str">
        <f ca="1">Área!G119</f>
        <v/>
      </c>
      <c r="J173" s="398"/>
      <c r="K173" s="396" t="str">
        <f ca="1">Área!H119</f>
        <v/>
      </c>
      <c r="L173" s="396"/>
      <c r="M173" s="396" t="str">
        <f ca="1">Área!I119</f>
        <v/>
      </c>
      <c r="N173" s="396"/>
      <c r="O173" s="396" t="str">
        <f ca="1">Área!J119</f>
        <v/>
      </c>
      <c r="P173" s="396"/>
      <c r="Q173" s="396" t="str">
        <f ca="1">Área!K119</f>
        <v/>
      </c>
      <c r="R173" s="396"/>
      <c r="S173" s="396" t="str">
        <f ca="1">Área!L119</f>
        <v/>
      </c>
      <c r="T173" s="396"/>
      <c r="U173" s="396" t="str">
        <f ca="1">Área!N119</f>
        <v/>
      </c>
      <c r="V173" s="396"/>
      <c r="W173" s="396" t="str">
        <f ca="1">Área!M119</f>
        <v/>
      </c>
      <c r="X173" s="396"/>
      <c r="Y173" s="89" t="str">
        <f ca="1">Área!O119</f>
        <v/>
      </c>
      <c r="Z173" s="399" t="str">
        <f ca="1">Área!P119</f>
        <v/>
      </c>
      <c r="AA173" s="399"/>
      <c r="AB173" s="399"/>
      <c r="AC173" s="399"/>
      <c r="AD173" s="399" t="str">
        <f ca="1">Área!Q119</f>
        <v/>
      </c>
      <c r="AE173" s="399"/>
      <c r="AF173" s="399"/>
      <c r="AG173" s="399"/>
      <c r="AH173" s="400" t="str">
        <f ca="1">Área!R119</f>
        <v/>
      </c>
      <c r="AI173" s="400"/>
      <c r="AJ173" s="400" t="str">
        <f ca="1">Área!S119</f>
        <v/>
      </c>
      <c r="AK173" s="400"/>
      <c r="AL173" s="400" t="str">
        <f ca="1">Área!T119</f>
        <v/>
      </c>
      <c r="AM173" s="400"/>
      <c r="AN173" s="400" t="str">
        <f ca="1">Área!U119</f>
        <v/>
      </c>
      <c r="AO173" s="400"/>
      <c r="AP173" s="422" t="str">
        <f ca="1">IFERROR(Área!Z119,"")</f>
        <v/>
      </c>
      <c r="AQ173" s="422"/>
      <c r="AR173" s="400" t="str">
        <f ca="1">Área!Y119</f>
        <v/>
      </c>
      <c r="AS173" s="423"/>
      <c r="AT173" s="72"/>
    </row>
    <row r="174" spans="1:46" ht="12" customHeight="1" x14ac:dyDescent="0.25">
      <c r="A174"/>
      <c r="B174"/>
      <c r="C174" s="397" t="str">
        <f ca="1">Área!C120</f>
        <v/>
      </c>
      <c r="D174" s="398"/>
      <c r="E174" s="398"/>
      <c r="F174" s="398"/>
      <c r="G174" s="396" t="str">
        <f ca="1">Área!F120</f>
        <v/>
      </c>
      <c r="H174" s="396"/>
      <c r="I174" s="398" t="str">
        <f ca="1">Área!G120</f>
        <v/>
      </c>
      <c r="J174" s="398"/>
      <c r="K174" s="396" t="str">
        <f ca="1">Área!H120</f>
        <v/>
      </c>
      <c r="L174" s="396"/>
      <c r="M174" s="396" t="str">
        <f ca="1">Área!I120</f>
        <v/>
      </c>
      <c r="N174" s="396"/>
      <c r="O174" s="396" t="str">
        <f ca="1">Área!J120</f>
        <v/>
      </c>
      <c r="P174" s="396"/>
      <c r="Q174" s="396" t="str">
        <f ca="1">Área!K120</f>
        <v/>
      </c>
      <c r="R174" s="396"/>
      <c r="S174" s="396" t="str">
        <f ca="1">Área!L120</f>
        <v/>
      </c>
      <c r="T174" s="396"/>
      <c r="U174" s="396" t="str">
        <f ca="1">Área!N120</f>
        <v/>
      </c>
      <c r="V174" s="396"/>
      <c r="W174" s="396" t="str">
        <f ca="1">Área!M120</f>
        <v/>
      </c>
      <c r="X174" s="396"/>
      <c r="Y174" s="89" t="str">
        <f ca="1">Área!O120</f>
        <v/>
      </c>
      <c r="Z174" s="399" t="str">
        <f ca="1">Área!P120</f>
        <v/>
      </c>
      <c r="AA174" s="399"/>
      <c r="AB174" s="399"/>
      <c r="AC174" s="399"/>
      <c r="AD174" s="399" t="str">
        <f ca="1">Área!Q120</f>
        <v/>
      </c>
      <c r="AE174" s="399"/>
      <c r="AF174" s="399"/>
      <c r="AG174" s="399"/>
      <c r="AH174" s="400" t="str">
        <f ca="1">Área!R120</f>
        <v/>
      </c>
      <c r="AI174" s="400"/>
      <c r="AJ174" s="400" t="str">
        <f ca="1">Área!S120</f>
        <v/>
      </c>
      <c r="AK174" s="400"/>
      <c r="AL174" s="400" t="str">
        <f ca="1">Área!T120</f>
        <v/>
      </c>
      <c r="AM174" s="400"/>
      <c r="AN174" s="400" t="str">
        <f ca="1">Área!U120</f>
        <v/>
      </c>
      <c r="AO174" s="400"/>
      <c r="AP174" s="422" t="str">
        <f ca="1">IFERROR(Área!Z120,"")</f>
        <v/>
      </c>
      <c r="AQ174" s="422"/>
      <c r="AR174" s="400" t="str">
        <f ca="1">Área!Y120</f>
        <v/>
      </c>
      <c r="AS174" s="423"/>
      <c r="AT174" s="72"/>
    </row>
    <row r="175" spans="1:46" ht="12" customHeight="1" x14ac:dyDescent="0.25">
      <c r="A175"/>
      <c r="B175"/>
      <c r="C175" s="397" t="str">
        <f ca="1">Área!C121</f>
        <v/>
      </c>
      <c r="D175" s="398"/>
      <c r="E175" s="398"/>
      <c r="F175" s="398"/>
      <c r="G175" s="396" t="str">
        <f ca="1">Área!F121</f>
        <v/>
      </c>
      <c r="H175" s="396"/>
      <c r="I175" s="398" t="str">
        <f ca="1">Área!G121</f>
        <v/>
      </c>
      <c r="J175" s="398"/>
      <c r="K175" s="396" t="str">
        <f ca="1">Área!H121</f>
        <v/>
      </c>
      <c r="L175" s="396"/>
      <c r="M175" s="396" t="str">
        <f ca="1">Área!I121</f>
        <v/>
      </c>
      <c r="N175" s="396"/>
      <c r="O175" s="396" t="str">
        <f ca="1">Área!J121</f>
        <v/>
      </c>
      <c r="P175" s="396"/>
      <c r="Q175" s="396" t="str">
        <f ca="1">Área!K121</f>
        <v/>
      </c>
      <c r="R175" s="396"/>
      <c r="S175" s="396" t="str">
        <f ca="1">Área!L121</f>
        <v/>
      </c>
      <c r="T175" s="396"/>
      <c r="U175" s="396" t="str">
        <f ca="1">Área!N121</f>
        <v/>
      </c>
      <c r="V175" s="396"/>
      <c r="W175" s="396" t="str">
        <f ca="1">Área!M121</f>
        <v/>
      </c>
      <c r="X175" s="396"/>
      <c r="Y175" s="89" t="str">
        <f ca="1">Área!O121</f>
        <v/>
      </c>
      <c r="Z175" s="399" t="str">
        <f ca="1">Área!P121</f>
        <v/>
      </c>
      <c r="AA175" s="399"/>
      <c r="AB175" s="399"/>
      <c r="AC175" s="399"/>
      <c r="AD175" s="399" t="str">
        <f ca="1">Área!Q121</f>
        <v/>
      </c>
      <c r="AE175" s="399"/>
      <c r="AF175" s="399"/>
      <c r="AG175" s="399"/>
      <c r="AH175" s="400" t="str">
        <f ca="1">Área!R121</f>
        <v/>
      </c>
      <c r="AI175" s="400"/>
      <c r="AJ175" s="400" t="str">
        <f ca="1">Área!S121</f>
        <v/>
      </c>
      <c r="AK175" s="400"/>
      <c r="AL175" s="400" t="str">
        <f ca="1">Área!T121</f>
        <v/>
      </c>
      <c r="AM175" s="400"/>
      <c r="AN175" s="400" t="str">
        <f ca="1">Área!U121</f>
        <v/>
      </c>
      <c r="AO175" s="400"/>
      <c r="AP175" s="422" t="str">
        <f ca="1">IFERROR(Área!Z121,"")</f>
        <v/>
      </c>
      <c r="AQ175" s="422"/>
      <c r="AR175" s="400" t="str">
        <f ca="1">Área!Y121</f>
        <v/>
      </c>
      <c r="AS175" s="423"/>
      <c r="AT175" s="72"/>
    </row>
    <row r="176" spans="1:46" ht="12" customHeight="1" x14ac:dyDescent="0.25">
      <c r="A176"/>
      <c r="B176"/>
      <c r="C176" s="397" t="str">
        <f ca="1">Área!C122</f>
        <v/>
      </c>
      <c r="D176" s="398"/>
      <c r="E176" s="398"/>
      <c r="F176" s="398"/>
      <c r="G176" s="396" t="str">
        <f ca="1">Área!F122</f>
        <v/>
      </c>
      <c r="H176" s="396"/>
      <c r="I176" s="398" t="str">
        <f ca="1">Área!G122</f>
        <v/>
      </c>
      <c r="J176" s="398"/>
      <c r="K176" s="396" t="str">
        <f ca="1">Área!H122</f>
        <v/>
      </c>
      <c r="L176" s="396"/>
      <c r="M176" s="396" t="str">
        <f ca="1">Área!I122</f>
        <v/>
      </c>
      <c r="N176" s="396"/>
      <c r="O176" s="396" t="str">
        <f ca="1">Área!J122</f>
        <v/>
      </c>
      <c r="P176" s="396"/>
      <c r="Q176" s="396" t="str">
        <f ca="1">Área!K122</f>
        <v/>
      </c>
      <c r="R176" s="396"/>
      <c r="S176" s="396" t="str">
        <f ca="1">Área!L122</f>
        <v/>
      </c>
      <c r="T176" s="396"/>
      <c r="U176" s="396" t="str">
        <f ca="1">Área!N122</f>
        <v/>
      </c>
      <c r="V176" s="396"/>
      <c r="W176" s="396" t="str">
        <f ca="1">Área!M122</f>
        <v/>
      </c>
      <c r="X176" s="396"/>
      <c r="Y176" s="89" t="str">
        <f ca="1">Área!O122</f>
        <v/>
      </c>
      <c r="Z176" s="399" t="str">
        <f ca="1">Área!P122</f>
        <v/>
      </c>
      <c r="AA176" s="399"/>
      <c r="AB176" s="399"/>
      <c r="AC176" s="399"/>
      <c r="AD176" s="399" t="str">
        <f ca="1">Área!Q122</f>
        <v/>
      </c>
      <c r="AE176" s="399"/>
      <c r="AF176" s="399"/>
      <c r="AG176" s="399"/>
      <c r="AH176" s="400" t="str">
        <f ca="1">Área!R122</f>
        <v/>
      </c>
      <c r="AI176" s="400"/>
      <c r="AJ176" s="400" t="str">
        <f ca="1">Área!S122</f>
        <v/>
      </c>
      <c r="AK176" s="400"/>
      <c r="AL176" s="400" t="str">
        <f ca="1">Área!T122</f>
        <v/>
      </c>
      <c r="AM176" s="400"/>
      <c r="AN176" s="400" t="str">
        <f ca="1">Área!U122</f>
        <v/>
      </c>
      <c r="AO176" s="400"/>
      <c r="AP176" s="422" t="str">
        <f ca="1">IFERROR(Área!Z122,"")</f>
        <v/>
      </c>
      <c r="AQ176" s="422"/>
      <c r="AR176" s="400" t="str">
        <f ca="1">Área!Y122</f>
        <v/>
      </c>
      <c r="AS176" s="423"/>
      <c r="AT176" s="72"/>
    </row>
    <row r="177" spans="1:46" ht="12" customHeight="1" x14ac:dyDescent="0.25">
      <c r="A177"/>
      <c r="B177"/>
      <c r="C177" s="397" t="str">
        <f ca="1">Área!C123</f>
        <v/>
      </c>
      <c r="D177" s="398"/>
      <c r="E177" s="398"/>
      <c r="F177" s="398"/>
      <c r="G177" s="396" t="str">
        <f ca="1">Área!F123</f>
        <v/>
      </c>
      <c r="H177" s="396"/>
      <c r="I177" s="398" t="str">
        <f ca="1">Área!G123</f>
        <v/>
      </c>
      <c r="J177" s="398"/>
      <c r="K177" s="396" t="str">
        <f ca="1">Área!H123</f>
        <v/>
      </c>
      <c r="L177" s="396"/>
      <c r="M177" s="396" t="str">
        <f ca="1">Área!I123</f>
        <v/>
      </c>
      <c r="N177" s="396"/>
      <c r="O177" s="396" t="str">
        <f ca="1">Área!J123</f>
        <v/>
      </c>
      <c r="P177" s="396"/>
      <c r="Q177" s="396" t="str">
        <f ca="1">Área!K123</f>
        <v/>
      </c>
      <c r="R177" s="396"/>
      <c r="S177" s="396" t="str">
        <f ca="1">Área!L123</f>
        <v/>
      </c>
      <c r="T177" s="396"/>
      <c r="U177" s="396" t="str">
        <f ca="1">Área!N123</f>
        <v/>
      </c>
      <c r="V177" s="396"/>
      <c r="W177" s="396" t="str">
        <f ca="1">Área!M123</f>
        <v/>
      </c>
      <c r="X177" s="396"/>
      <c r="Y177" s="89" t="str">
        <f ca="1">Área!O123</f>
        <v/>
      </c>
      <c r="Z177" s="399" t="str">
        <f ca="1">Área!P123</f>
        <v/>
      </c>
      <c r="AA177" s="399"/>
      <c r="AB177" s="399"/>
      <c r="AC177" s="399"/>
      <c r="AD177" s="399" t="str">
        <f ca="1">Área!Q123</f>
        <v/>
      </c>
      <c r="AE177" s="399"/>
      <c r="AF177" s="399"/>
      <c r="AG177" s="399"/>
      <c r="AH177" s="400" t="str">
        <f ca="1">Área!R123</f>
        <v/>
      </c>
      <c r="AI177" s="400"/>
      <c r="AJ177" s="400" t="str">
        <f ca="1">Área!S123</f>
        <v/>
      </c>
      <c r="AK177" s="400"/>
      <c r="AL177" s="400" t="str">
        <f ca="1">Área!T123</f>
        <v/>
      </c>
      <c r="AM177" s="400"/>
      <c r="AN177" s="400" t="str">
        <f ca="1">Área!U123</f>
        <v/>
      </c>
      <c r="AO177" s="400"/>
      <c r="AP177" s="422" t="str">
        <f ca="1">IFERROR(Área!Z123,"")</f>
        <v/>
      </c>
      <c r="AQ177" s="422"/>
      <c r="AR177" s="400" t="str">
        <f ca="1">Área!Y123</f>
        <v/>
      </c>
      <c r="AS177" s="423"/>
      <c r="AT177" s="72"/>
    </row>
    <row r="178" spans="1:46" ht="12" customHeight="1" x14ac:dyDescent="0.25">
      <c r="A178"/>
      <c r="B178"/>
      <c r="C178" s="397" t="str">
        <f ca="1">Área!C124</f>
        <v/>
      </c>
      <c r="D178" s="398"/>
      <c r="E178" s="398"/>
      <c r="F178" s="398"/>
      <c r="G178" s="396" t="str">
        <f ca="1">Área!F124</f>
        <v/>
      </c>
      <c r="H178" s="396"/>
      <c r="I178" s="398" t="str">
        <f ca="1">Área!G124</f>
        <v/>
      </c>
      <c r="J178" s="398"/>
      <c r="K178" s="396" t="str">
        <f ca="1">Área!H124</f>
        <v/>
      </c>
      <c r="L178" s="396"/>
      <c r="M178" s="396" t="str">
        <f ca="1">Área!I124</f>
        <v/>
      </c>
      <c r="N178" s="396"/>
      <c r="O178" s="396" t="str">
        <f ca="1">Área!J124</f>
        <v/>
      </c>
      <c r="P178" s="396"/>
      <c r="Q178" s="396" t="str">
        <f ca="1">Área!K124</f>
        <v/>
      </c>
      <c r="R178" s="396"/>
      <c r="S178" s="396" t="str">
        <f ca="1">Área!L124</f>
        <v/>
      </c>
      <c r="T178" s="396"/>
      <c r="U178" s="396" t="str">
        <f ca="1">Área!N124</f>
        <v/>
      </c>
      <c r="V178" s="396"/>
      <c r="W178" s="396" t="str">
        <f ca="1">Área!M124</f>
        <v/>
      </c>
      <c r="X178" s="396"/>
      <c r="Y178" s="89" t="str">
        <f ca="1">Área!O124</f>
        <v/>
      </c>
      <c r="Z178" s="399" t="str">
        <f ca="1">Área!P124</f>
        <v/>
      </c>
      <c r="AA178" s="399"/>
      <c r="AB178" s="399"/>
      <c r="AC178" s="399"/>
      <c r="AD178" s="399" t="str">
        <f ca="1">Área!Q124</f>
        <v/>
      </c>
      <c r="AE178" s="399"/>
      <c r="AF178" s="399"/>
      <c r="AG178" s="399"/>
      <c r="AH178" s="400" t="str">
        <f ca="1">Área!R124</f>
        <v/>
      </c>
      <c r="AI178" s="400"/>
      <c r="AJ178" s="400" t="str">
        <f ca="1">Área!S124</f>
        <v/>
      </c>
      <c r="AK178" s="400"/>
      <c r="AL178" s="400" t="str">
        <f ca="1">Área!T124</f>
        <v/>
      </c>
      <c r="AM178" s="400"/>
      <c r="AN178" s="400" t="str">
        <f ca="1">Área!U124</f>
        <v/>
      </c>
      <c r="AO178" s="400"/>
      <c r="AP178" s="422" t="str">
        <f ca="1">IFERROR(Área!Z124,"")</f>
        <v/>
      </c>
      <c r="AQ178" s="422"/>
      <c r="AR178" s="400" t="str">
        <f ca="1">Área!Y124</f>
        <v/>
      </c>
      <c r="AS178" s="423"/>
      <c r="AT178" s="72"/>
    </row>
    <row r="179" spans="1:46" ht="12" customHeight="1" x14ac:dyDescent="0.25">
      <c r="A179"/>
      <c r="B179"/>
      <c r="C179" s="397" t="str">
        <f ca="1">Área!C125</f>
        <v/>
      </c>
      <c r="D179" s="398"/>
      <c r="E179" s="398"/>
      <c r="F179" s="398"/>
      <c r="G179" s="396" t="str">
        <f ca="1">Área!F125</f>
        <v/>
      </c>
      <c r="H179" s="396"/>
      <c r="I179" s="398" t="str">
        <f ca="1">Área!G125</f>
        <v/>
      </c>
      <c r="J179" s="398"/>
      <c r="K179" s="396" t="str">
        <f ca="1">Área!H125</f>
        <v/>
      </c>
      <c r="L179" s="396"/>
      <c r="M179" s="396" t="str">
        <f ca="1">Área!I125</f>
        <v/>
      </c>
      <c r="N179" s="396"/>
      <c r="O179" s="396" t="str">
        <f ca="1">Área!J125</f>
        <v/>
      </c>
      <c r="P179" s="396"/>
      <c r="Q179" s="396" t="str">
        <f ca="1">Área!K125</f>
        <v/>
      </c>
      <c r="R179" s="396"/>
      <c r="S179" s="396" t="str">
        <f ca="1">Área!L125</f>
        <v/>
      </c>
      <c r="T179" s="396"/>
      <c r="U179" s="396" t="str">
        <f ca="1">Área!N125</f>
        <v/>
      </c>
      <c r="V179" s="396"/>
      <c r="W179" s="396" t="str">
        <f ca="1">Área!M125</f>
        <v/>
      </c>
      <c r="X179" s="396"/>
      <c r="Y179" s="89" t="str">
        <f ca="1">Área!O125</f>
        <v/>
      </c>
      <c r="Z179" s="399" t="str">
        <f ca="1">Área!P125</f>
        <v/>
      </c>
      <c r="AA179" s="399"/>
      <c r="AB179" s="399"/>
      <c r="AC179" s="399"/>
      <c r="AD179" s="399" t="str">
        <f ca="1">Área!Q125</f>
        <v/>
      </c>
      <c r="AE179" s="399"/>
      <c r="AF179" s="399"/>
      <c r="AG179" s="399"/>
      <c r="AH179" s="400" t="str">
        <f ca="1">Área!R125</f>
        <v/>
      </c>
      <c r="AI179" s="400"/>
      <c r="AJ179" s="400" t="str">
        <f ca="1">Área!S125</f>
        <v/>
      </c>
      <c r="AK179" s="400"/>
      <c r="AL179" s="400" t="str">
        <f ca="1">Área!T125</f>
        <v/>
      </c>
      <c r="AM179" s="400"/>
      <c r="AN179" s="400" t="str">
        <f ca="1">Área!U125</f>
        <v/>
      </c>
      <c r="AO179" s="400"/>
      <c r="AP179" s="422" t="str">
        <f ca="1">IFERROR(Área!Z125,"")</f>
        <v/>
      </c>
      <c r="AQ179" s="422"/>
      <c r="AR179" s="400" t="str">
        <f ca="1">Área!Y125</f>
        <v/>
      </c>
      <c r="AS179" s="423"/>
      <c r="AT179" s="72"/>
    </row>
    <row r="180" spans="1:46" ht="12" customHeight="1" x14ac:dyDescent="0.25">
      <c r="A180"/>
      <c r="B180"/>
      <c r="C180" s="397" t="str">
        <f ca="1">Área!C126</f>
        <v/>
      </c>
      <c r="D180" s="398"/>
      <c r="E180" s="398"/>
      <c r="F180" s="398"/>
      <c r="G180" s="396" t="str">
        <f ca="1">Área!F126</f>
        <v/>
      </c>
      <c r="H180" s="396"/>
      <c r="I180" s="398" t="str">
        <f ca="1">Área!G126</f>
        <v/>
      </c>
      <c r="J180" s="398"/>
      <c r="K180" s="396" t="str">
        <f ca="1">Área!H126</f>
        <v/>
      </c>
      <c r="L180" s="396"/>
      <c r="M180" s="396" t="str">
        <f ca="1">Área!I126</f>
        <v/>
      </c>
      <c r="N180" s="396"/>
      <c r="O180" s="396" t="str">
        <f ca="1">Área!J126</f>
        <v/>
      </c>
      <c r="P180" s="396"/>
      <c r="Q180" s="396" t="str">
        <f ca="1">Área!K126</f>
        <v/>
      </c>
      <c r="R180" s="396"/>
      <c r="S180" s="396" t="str">
        <f ca="1">Área!L126</f>
        <v/>
      </c>
      <c r="T180" s="396"/>
      <c r="U180" s="396" t="str">
        <f ca="1">Área!N126</f>
        <v/>
      </c>
      <c r="V180" s="396"/>
      <c r="W180" s="396" t="str">
        <f ca="1">Área!M126</f>
        <v/>
      </c>
      <c r="X180" s="396"/>
      <c r="Y180" s="89" t="str">
        <f ca="1">Área!O126</f>
        <v/>
      </c>
      <c r="Z180" s="399" t="str">
        <f ca="1">Área!P126</f>
        <v/>
      </c>
      <c r="AA180" s="399"/>
      <c r="AB180" s="399"/>
      <c r="AC180" s="399"/>
      <c r="AD180" s="399" t="str">
        <f ca="1">Área!Q126</f>
        <v/>
      </c>
      <c r="AE180" s="399"/>
      <c r="AF180" s="399"/>
      <c r="AG180" s="399"/>
      <c r="AH180" s="400" t="str">
        <f ca="1">Área!R126</f>
        <v/>
      </c>
      <c r="AI180" s="400"/>
      <c r="AJ180" s="400" t="str">
        <f ca="1">Área!S126</f>
        <v/>
      </c>
      <c r="AK180" s="400"/>
      <c r="AL180" s="400" t="str">
        <f ca="1">Área!T126</f>
        <v/>
      </c>
      <c r="AM180" s="400"/>
      <c r="AN180" s="400" t="str">
        <f ca="1">Área!U126</f>
        <v/>
      </c>
      <c r="AO180" s="400"/>
      <c r="AP180" s="422" t="str">
        <f ca="1">IFERROR(Área!Z126,"")</f>
        <v/>
      </c>
      <c r="AQ180" s="422"/>
      <c r="AR180" s="400" t="str">
        <f ca="1">Área!Y126</f>
        <v/>
      </c>
      <c r="AS180" s="423"/>
      <c r="AT180" s="72"/>
    </row>
    <row r="181" spans="1:46" ht="12" customHeight="1" x14ac:dyDescent="0.25">
      <c r="A181"/>
      <c r="B181"/>
      <c r="C181" s="397" t="str">
        <f ca="1">Área!C127</f>
        <v/>
      </c>
      <c r="D181" s="398"/>
      <c r="E181" s="398"/>
      <c r="F181" s="398"/>
      <c r="G181" s="396" t="str">
        <f ca="1">Área!F127</f>
        <v/>
      </c>
      <c r="H181" s="396"/>
      <c r="I181" s="398" t="str">
        <f ca="1">Área!G127</f>
        <v/>
      </c>
      <c r="J181" s="398"/>
      <c r="K181" s="396" t="str">
        <f ca="1">Área!H127</f>
        <v/>
      </c>
      <c r="L181" s="396"/>
      <c r="M181" s="396" t="str">
        <f ca="1">Área!I127</f>
        <v/>
      </c>
      <c r="N181" s="396"/>
      <c r="O181" s="396" t="str">
        <f ca="1">Área!J127</f>
        <v/>
      </c>
      <c r="P181" s="396"/>
      <c r="Q181" s="396" t="str">
        <f ca="1">Área!K127</f>
        <v/>
      </c>
      <c r="R181" s="396"/>
      <c r="S181" s="396" t="str">
        <f ca="1">Área!L127</f>
        <v/>
      </c>
      <c r="T181" s="396"/>
      <c r="U181" s="396" t="str">
        <f ca="1">Área!N127</f>
        <v/>
      </c>
      <c r="V181" s="396"/>
      <c r="W181" s="396" t="str">
        <f ca="1">Área!M127</f>
        <v/>
      </c>
      <c r="X181" s="396"/>
      <c r="Y181" s="89" t="str">
        <f ca="1">Área!O127</f>
        <v/>
      </c>
      <c r="Z181" s="399" t="str">
        <f ca="1">Área!P127</f>
        <v/>
      </c>
      <c r="AA181" s="399"/>
      <c r="AB181" s="399"/>
      <c r="AC181" s="399"/>
      <c r="AD181" s="399" t="str">
        <f ca="1">Área!Q127</f>
        <v/>
      </c>
      <c r="AE181" s="399"/>
      <c r="AF181" s="399"/>
      <c r="AG181" s="399"/>
      <c r="AH181" s="400" t="str">
        <f ca="1">Área!R127</f>
        <v/>
      </c>
      <c r="AI181" s="400"/>
      <c r="AJ181" s="400" t="str">
        <f ca="1">Área!S127</f>
        <v/>
      </c>
      <c r="AK181" s="400"/>
      <c r="AL181" s="400" t="str">
        <f ca="1">Área!T127</f>
        <v/>
      </c>
      <c r="AM181" s="400"/>
      <c r="AN181" s="400" t="str">
        <f ca="1">Área!U127</f>
        <v/>
      </c>
      <c r="AO181" s="400"/>
      <c r="AP181" s="422" t="str">
        <f ca="1">IFERROR(Área!Z127,"")</f>
        <v/>
      </c>
      <c r="AQ181" s="422"/>
      <c r="AR181" s="400" t="str">
        <f ca="1">Área!Y127</f>
        <v/>
      </c>
      <c r="AS181" s="423"/>
      <c r="AT181" s="72"/>
    </row>
    <row r="182" spans="1:46" ht="12" customHeight="1" x14ac:dyDescent="0.25">
      <c r="A182"/>
      <c r="B182"/>
      <c r="C182" s="397" t="str">
        <f ca="1">Área!C128</f>
        <v/>
      </c>
      <c r="D182" s="398"/>
      <c r="E182" s="398"/>
      <c r="F182" s="398"/>
      <c r="G182" s="396" t="str">
        <f ca="1">Área!F128</f>
        <v/>
      </c>
      <c r="H182" s="396"/>
      <c r="I182" s="398" t="str">
        <f ca="1">Área!G128</f>
        <v/>
      </c>
      <c r="J182" s="398"/>
      <c r="K182" s="396" t="str">
        <f ca="1">Área!H128</f>
        <v/>
      </c>
      <c r="L182" s="396"/>
      <c r="M182" s="396" t="str">
        <f ca="1">Área!I128</f>
        <v/>
      </c>
      <c r="N182" s="396"/>
      <c r="O182" s="396" t="str">
        <f ca="1">Área!J128</f>
        <v/>
      </c>
      <c r="P182" s="396"/>
      <c r="Q182" s="396" t="str">
        <f ca="1">Área!K128</f>
        <v/>
      </c>
      <c r="R182" s="396"/>
      <c r="S182" s="396" t="str">
        <f ca="1">Área!L128</f>
        <v/>
      </c>
      <c r="T182" s="396"/>
      <c r="U182" s="396" t="str">
        <f ca="1">Área!N128</f>
        <v/>
      </c>
      <c r="V182" s="396"/>
      <c r="W182" s="396" t="str">
        <f ca="1">Área!M128</f>
        <v/>
      </c>
      <c r="X182" s="396"/>
      <c r="Y182" s="89" t="str">
        <f ca="1">Área!O128</f>
        <v/>
      </c>
      <c r="Z182" s="399" t="str">
        <f ca="1">Área!P128</f>
        <v/>
      </c>
      <c r="AA182" s="399"/>
      <c r="AB182" s="399"/>
      <c r="AC182" s="399"/>
      <c r="AD182" s="399" t="str">
        <f ca="1">Área!Q128</f>
        <v/>
      </c>
      <c r="AE182" s="399"/>
      <c r="AF182" s="399"/>
      <c r="AG182" s="399"/>
      <c r="AH182" s="400" t="str">
        <f ca="1">Área!R128</f>
        <v/>
      </c>
      <c r="AI182" s="400"/>
      <c r="AJ182" s="400" t="str">
        <f ca="1">Área!S128</f>
        <v/>
      </c>
      <c r="AK182" s="400"/>
      <c r="AL182" s="400" t="str">
        <f ca="1">Área!T128</f>
        <v/>
      </c>
      <c r="AM182" s="400"/>
      <c r="AN182" s="400" t="str">
        <f ca="1">Área!U128</f>
        <v/>
      </c>
      <c r="AO182" s="400"/>
      <c r="AP182" s="422" t="str">
        <f ca="1">IFERROR(Área!Z128,"")</f>
        <v/>
      </c>
      <c r="AQ182" s="422"/>
      <c r="AR182" s="400" t="str">
        <f ca="1">Área!Y128</f>
        <v/>
      </c>
      <c r="AS182" s="423"/>
      <c r="AT182" s="72"/>
    </row>
    <row r="183" spans="1:46" ht="12" customHeight="1" x14ac:dyDescent="0.25">
      <c r="A183"/>
      <c r="B183"/>
      <c r="C183" s="397" t="str">
        <f ca="1">Área!C129</f>
        <v/>
      </c>
      <c r="D183" s="398"/>
      <c r="E183" s="398"/>
      <c r="F183" s="398"/>
      <c r="G183" s="396" t="str">
        <f ca="1">Área!F129</f>
        <v/>
      </c>
      <c r="H183" s="396"/>
      <c r="I183" s="398" t="str">
        <f ca="1">Área!G129</f>
        <v/>
      </c>
      <c r="J183" s="398"/>
      <c r="K183" s="396" t="str">
        <f ca="1">Área!H129</f>
        <v/>
      </c>
      <c r="L183" s="396"/>
      <c r="M183" s="396" t="str">
        <f ca="1">Área!I129</f>
        <v/>
      </c>
      <c r="N183" s="396"/>
      <c r="O183" s="396" t="str">
        <f ca="1">Área!J129</f>
        <v/>
      </c>
      <c r="P183" s="396"/>
      <c r="Q183" s="396" t="str">
        <f ca="1">Área!K129</f>
        <v/>
      </c>
      <c r="R183" s="396"/>
      <c r="S183" s="396" t="str">
        <f ca="1">Área!L129</f>
        <v/>
      </c>
      <c r="T183" s="396"/>
      <c r="U183" s="396" t="str">
        <f ca="1">Área!N129</f>
        <v/>
      </c>
      <c r="V183" s="396"/>
      <c r="W183" s="396" t="str">
        <f ca="1">Área!M129</f>
        <v/>
      </c>
      <c r="X183" s="396"/>
      <c r="Y183" s="89" t="str">
        <f ca="1">Área!O129</f>
        <v/>
      </c>
      <c r="Z183" s="399" t="str">
        <f ca="1">Área!P129</f>
        <v/>
      </c>
      <c r="AA183" s="399"/>
      <c r="AB183" s="399"/>
      <c r="AC183" s="399"/>
      <c r="AD183" s="399" t="str">
        <f ca="1">Área!Q129</f>
        <v/>
      </c>
      <c r="AE183" s="399"/>
      <c r="AF183" s="399"/>
      <c r="AG183" s="399"/>
      <c r="AH183" s="400" t="str">
        <f ca="1">Área!R129</f>
        <v/>
      </c>
      <c r="AI183" s="400"/>
      <c r="AJ183" s="400" t="str">
        <f ca="1">Área!S129</f>
        <v/>
      </c>
      <c r="AK183" s="400"/>
      <c r="AL183" s="400" t="str">
        <f ca="1">Área!T129</f>
        <v/>
      </c>
      <c r="AM183" s="400"/>
      <c r="AN183" s="400" t="str">
        <f ca="1">Área!U129</f>
        <v/>
      </c>
      <c r="AO183" s="400"/>
      <c r="AP183" s="422" t="str">
        <f ca="1">IFERROR(Área!Z129,"")</f>
        <v/>
      </c>
      <c r="AQ183" s="422"/>
      <c r="AR183" s="400" t="str">
        <f ca="1">Área!Y129</f>
        <v/>
      </c>
      <c r="AS183" s="423"/>
      <c r="AT183" s="72"/>
    </row>
    <row r="184" spans="1:46" ht="12" customHeight="1" x14ac:dyDescent="0.25">
      <c r="A184"/>
      <c r="B184"/>
      <c r="C184" s="397" t="str">
        <f ca="1">Área!C130</f>
        <v/>
      </c>
      <c r="D184" s="398"/>
      <c r="E184" s="398"/>
      <c r="F184" s="398"/>
      <c r="G184" s="396" t="str">
        <f ca="1">Área!F130</f>
        <v/>
      </c>
      <c r="H184" s="396"/>
      <c r="I184" s="398" t="str">
        <f ca="1">Área!G130</f>
        <v/>
      </c>
      <c r="J184" s="398"/>
      <c r="K184" s="396" t="str">
        <f ca="1">Área!H130</f>
        <v/>
      </c>
      <c r="L184" s="396"/>
      <c r="M184" s="396" t="str">
        <f ca="1">Área!I130</f>
        <v/>
      </c>
      <c r="N184" s="396"/>
      <c r="O184" s="396" t="str">
        <f ca="1">Área!J130</f>
        <v/>
      </c>
      <c r="P184" s="396"/>
      <c r="Q184" s="396" t="str">
        <f ca="1">Área!K130</f>
        <v/>
      </c>
      <c r="R184" s="396"/>
      <c r="S184" s="396" t="str">
        <f ca="1">Área!L130</f>
        <v/>
      </c>
      <c r="T184" s="396"/>
      <c r="U184" s="396" t="str">
        <f ca="1">Área!N130</f>
        <v/>
      </c>
      <c r="V184" s="396"/>
      <c r="W184" s="396" t="str">
        <f ca="1">Área!M130</f>
        <v/>
      </c>
      <c r="X184" s="396"/>
      <c r="Y184" s="89" t="str">
        <f ca="1">Área!O130</f>
        <v/>
      </c>
      <c r="Z184" s="399" t="str">
        <f ca="1">Área!P130</f>
        <v/>
      </c>
      <c r="AA184" s="399"/>
      <c r="AB184" s="399"/>
      <c r="AC184" s="399"/>
      <c r="AD184" s="399" t="str">
        <f ca="1">Área!Q130</f>
        <v/>
      </c>
      <c r="AE184" s="399"/>
      <c r="AF184" s="399"/>
      <c r="AG184" s="399"/>
      <c r="AH184" s="400" t="str">
        <f ca="1">Área!R130</f>
        <v/>
      </c>
      <c r="AI184" s="400"/>
      <c r="AJ184" s="400" t="str">
        <f ca="1">Área!S130</f>
        <v/>
      </c>
      <c r="AK184" s="400"/>
      <c r="AL184" s="400" t="str">
        <f ca="1">Área!T130</f>
        <v/>
      </c>
      <c r="AM184" s="400"/>
      <c r="AN184" s="400" t="str">
        <f ca="1">Área!U130</f>
        <v/>
      </c>
      <c r="AO184" s="400"/>
      <c r="AP184" s="422" t="str">
        <f ca="1">IFERROR(Área!Z130,"")</f>
        <v/>
      </c>
      <c r="AQ184" s="422"/>
      <c r="AR184" s="400" t="str">
        <f ca="1">Área!Y130</f>
        <v/>
      </c>
      <c r="AS184" s="423"/>
      <c r="AT184" s="72"/>
    </row>
    <row r="185" spans="1:46" ht="12" customHeight="1" x14ac:dyDescent="0.25">
      <c r="A185"/>
      <c r="B185"/>
      <c r="C185" s="397" t="str">
        <f ca="1">Área!C131</f>
        <v/>
      </c>
      <c r="D185" s="398"/>
      <c r="E185" s="398"/>
      <c r="F185" s="398"/>
      <c r="G185" s="396" t="str">
        <f ca="1">Área!F131</f>
        <v/>
      </c>
      <c r="H185" s="396"/>
      <c r="I185" s="398" t="str">
        <f ca="1">Área!G131</f>
        <v/>
      </c>
      <c r="J185" s="398"/>
      <c r="K185" s="396" t="str">
        <f ca="1">Área!H131</f>
        <v/>
      </c>
      <c r="L185" s="396"/>
      <c r="M185" s="396" t="str">
        <f ca="1">Área!I131</f>
        <v/>
      </c>
      <c r="N185" s="396"/>
      <c r="O185" s="396" t="str">
        <f ca="1">Área!J131</f>
        <v/>
      </c>
      <c r="P185" s="396"/>
      <c r="Q185" s="396" t="str">
        <f ca="1">Área!K131</f>
        <v/>
      </c>
      <c r="R185" s="396"/>
      <c r="S185" s="396" t="str">
        <f ca="1">Área!L131</f>
        <v/>
      </c>
      <c r="T185" s="396"/>
      <c r="U185" s="396" t="str">
        <f ca="1">Área!N131</f>
        <v/>
      </c>
      <c r="V185" s="396"/>
      <c r="W185" s="396" t="str">
        <f ca="1">Área!M131</f>
        <v/>
      </c>
      <c r="X185" s="396"/>
      <c r="Y185" s="89" t="str">
        <f ca="1">Área!O131</f>
        <v/>
      </c>
      <c r="Z185" s="399" t="str">
        <f ca="1">Área!P131</f>
        <v/>
      </c>
      <c r="AA185" s="399"/>
      <c r="AB185" s="399"/>
      <c r="AC185" s="399"/>
      <c r="AD185" s="399" t="str">
        <f ca="1">Área!Q131</f>
        <v/>
      </c>
      <c r="AE185" s="399"/>
      <c r="AF185" s="399"/>
      <c r="AG185" s="399"/>
      <c r="AH185" s="400" t="str">
        <f ca="1">Área!R131</f>
        <v/>
      </c>
      <c r="AI185" s="400"/>
      <c r="AJ185" s="400" t="str">
        <f ca="1">Área!S131</f>
        <v/>
      </c>
      <c r="AK185" s="400"/>
      <c r="AL185" s="400" t="str">
        <f ca="1">Área!T131</f>
        <v/>
      </c>
      <c r="AM185" s="400"/>
      <c r="AN185" s="400" t="str">
        <f ca="1">Área!U131</f>
        <v/>
      </c>
      <c r="AO185" s="400"/>
      <c r="AP185" s="422" t="str">
        <f ca="1">IFERROR(Área!Z131,"")</f>
        <v/>
      </c>
      <c r="AQ185" s="422"/>
      <c r="AR185" s="400" t="str">
        <f ca="1">Área!Y131</f>
        <v/>
      </c>
      <c r="AS185" s="423"/>
      <c r="AT185" s="72"/>
    </row>
    <row r="186" spans="1:46" ht="12" customHeight="1" x14ac:dyDescent="0.25">
      <c r="A186"/>
      <c r="B186"/>
      <c r="C186" s="397" t="str">
        <f ca="1">Área!C132</f>
        <v/>
      </c>
      <c r="D186" s="398"/>
      <c r="E186" s="398"/>
      <c r="F186" s="398"/>
      <c r="G186" s="396" t="str">
        <f ca="1">Área!F132</f>
        <v/>
      </c>
      <c r="H186" s="396"/>
      <c r="I186" s="398" t="str">
        <f ca="1">Área!G132</f>
        <v/>
      </c>
      <c r="J186" s="398"/>
      <c r="K186" s="396" t="str">
        <f ca="1">Área!H132</f>
        <v/>
      </c>
      <c r="L186" s="396"/>
      <c r="M186" s="396" t="str">
        <f ca="1">Área!I132</f>
        <v/>
      </c>
      <c r="N186" s="396"/>
      <c r="O186" s="396" t="str">
        <f ca="1">Área!J132</f>
        <v/>
      </c>
      <c r="P186" s="396"/>
      <c r="Q186" s="396" t="str">
        <f ca="1">Área!K132</f>
        <v/>
      </c>
      <c r="R186" s="396"/>
      <c r="S186" s="396" t="str">
        <f ca="1">Área!L132</f>
        <v/>
      </c>
      <c r="T186" s="396"/>
      <c r="U186" s="396" t="str">
        <f ca="1">Área!N132</f>
        <v/>
      </c>
      <c r="V186" s="396"/>
      <c r="W186" s="396" t="str">
        <f ca="1">Área!M132</f>
        <v/>
      </c>
      <c r="X186" s="396"/>
      <c r="Y186" s="89" t="str">
        <f ca="1">Área!O132</f>
        <v/>
      </c>
      <c r="Z186" s="399" t="str">
        <f ca="1">Área!P132</f>
        <v/>
      </c>
      <c r="AA186" s="399"/>
      <c r="AB186" s="399"/>
      <c r="AC186" s="399"/>
      <c r="AD186" s="399" t="str">
        <f ca="1">Área!Q132</f>
        <v/>
      </c>
      <c r="AE186" s="399"/>
      <c r="AF186" s="399"/>
      <c r="AG186" s="399"/>
      <c r="AH186" s="400" t="str">
        <f ca="1">Área!R132</f>
        <v/>
      </c>
      <c r="AI186" s="400"/>
      <c r="AJ186" s="400" t="str">
        <f ca="1">Área!S132</f>
        <v/>
      </c>
      <c r="AK186" s="400"/>
      <c r="AL186" s="400" t="str">
        <f ca="1">Área!T132</f>
        <v/>
      </c>
      <c r="AM186" s="400"/>
      <c r="AN186" s="400" t="str">
        <f ca="1">Área!U132</f>
        <v/>
      </c>
      <c r="AO186" s="400"/>
      <c r="AP186" s="422" t="str">
        <f ca="1">IFERROR(Área!Z132,"")</f>
        <v/>
      </c>
      <c r="AQ186" s="422"/>
      <c r="AR186" s="400" t="str">
        <f ca="1">Área!Y132</f>
        <v/>
      </c>
      <c r="AS186" s="423"/>
      <c r="AT186" s="72"/>
    </row>
    <row r="187" spans="1:46" ht="12" customHeight="1" x14ac:dyDescent="0.25">
      <c r="A187"/>
      <c r="B187"/>
      <c r="C187" s="397" t="str">
        <f ca="1">Área!C133</f>
        <v/>
      </c>
      <c r="D187" s="398"/>
      <c r="E187" s="398"/>
      <c r="F187" s="398"/>
      <c r="G187" s="396" t="str">
        <f ca="1">Área!F133</f>
        <v/>
      </c>
      <c r="H187" s="396"/>
      <c r="I187" s="398" t="str">
        <f ca="1">Área!G133</f>
        <v/>
      </c>
      <c r="J187" s="398"/>
      <c r="K187" s="396" t="str">
        <f ca="1">Área!H133</f>
        <v/>
      </c>
      <c r="L187" s="396"/>
      <c r="M187" s="396" t="str">
        <f ca="1">Área!I133</f>
        <v/>
      </c>
      <c r="N187" s="396"/>
      <c r="O187" s="396" t="str">
        <f ca="1">Área!J133</f>
        <v/>
      </c>
      <c r="P187" s="396"/>
      <c r="Q187" s="396" t="str">
        <f ca="1">Área!K133</f>
        <v/>
      </c>
      <c r="R187" s="396"/>
      <c r="S187" s="396" t="str">
        <f ca="1">Área!L133</f>
        <v/>
      </c>
      <c r="T187" s="396"/>
      <c r="U187" s="396" t="str">
        <f ca="1">Área!N133</f>
        <v/>
      </c>
      <c r="V187" s="396"/>
      <c r="W187" s="396" t="str">
        <f ca="1">Área!M133</f>
        <v/>
      </c>
      <c r="X187" s="396"/>
      <c r="Y187" s="89" t="str">
        <f ca="1">Área!O133</f>
        <v/>
      </c>
      <c r="Z187" s="399" t="str">
        <f ca="1">Área!P133</f>
        <v/>
      </c>
      <c r="AA187" s="399"/>
      <c r="AB187" s="399"/>
      <c r="AC187" s="399"/>
      <c r="AD187" s="399" t="str">
        <f ca="1">Área!Q133</f>
        <v/>
      </c>
      <c r="AE187" s="399"/>
      <c r="AF187" s="399"/>
      <c r="AG187" s="399"/>
      <c r="AH187" s="400" t="str">
        <f ca="1">Área!R133</f>
        <v/>
      </c>
      <c r="AI187" s="400"/>
      <c r="AJ187" s="400" t="str">
        <f ca="1">Área!S133</f>
        <v/>
      </c>
      <c r="AK187" s="400"/>
      <c r="AL187" s="400" t="str">
        <f ca="1">Área!T133</f>
        <v/>
      </c>
      <c r="AM187" s="400"/>
      <c r="AN187" s="400" t="str">
        <f ca="1">Área!U133</f>
        <v/>
      </c>
      <c r="AO187" s="400"/>
      <c r="AP187" s="422" t="str">
        <f ca="1">IFERROR(Área!Z133,"")</f>
        <v/>
      </c>
      <c r="AQ187" s="422"/>
      <c r="AR187" s="400" t="str">
        <f ca="1">Área!Y133</f>
        <v/>
      </c>
      <c r="AS187" s="423"/>
      <c r="AT187" s="72"/>
    </row>
    <row r="188" spans="1:46" ht="12" customHeight="1" x14ac:dyDescent="0.25">
      <c r="A188"/>
      <c r="B188"/>
      <c r="C188" s="397" t="str">
        <f ca="1">Área!C134</f>
        <v/>
      </c>
      <c r="D188" s="398"/>
      <c r="E188" s="398"/>
      <c r="F188" s="398"/>
      <c r="G188" s="396" t="str">
        <f ca="1">Área!F134</f>
        <v/>
      </c>
      <c r="H188" s="396"/>
      <c r="I188" s="398" t="str">
        <f ca="1">Área!G134</f>
        <v/>
      </c>
      <c r="J188" s="398"/>
      <c r="K188" s="396" t="str">
        <f ca="1">Área!H134</f>
        <v/>
      </c>
      <c r="L188" s="396"/>
      <c r="M188" s="396" t="str">
        <f ca="1">Área!I134</f>
        <v/>
      </c>
      <c r="N188" s="396"/>
      <c r="O188" s="396" t="str">
        <f ca="1">Área!J134</f>
        <v/>
      </c>
      <c r="P188" s="396"/>
      <c r="Q188" s="396" t="str">
        <f ca="1">Área!K134</f>
        <v/>
      </c>
      <c r="R188" s="396"/>
      <c r="S188" s="396" t="str">
        <f ca="1">Área!L134</f>
        <v/>
      </c>
      <c r="T188" s="396"/>
      <c r="U188" s="396" t="str">
        <f ca="1">Área!N134</f>
        <v/>
      </c>
      <c r="V188" s="396"/>
      <c r="W188" s="396" t="str">
        <f ca="1">Área!M134</f>
        <v/>
      </c>
      <c r="X188" s="396"/>
      <c r="Y188" s="89" t="str">
        <f ca="1">Área!O134</f>
        <v/>
      </c>
      <c r="Z188" s="399" t="str">
        <f ca="1">Área!P134</f>
        <v/>
      </c>
      <c r="AA188" s="399"/>
      <c r="AB188" s="399"/>
      <c r="AC188" s="399"/>
      <c r="AD188" s="399" t="str">
        <f ca="1">Área!Q134</f>
        <v/>
      </c>
      <c r="AE188" s="399"/>
      <c r="AF188" s="399"/>
      <c r="AG188" s="399"/>
      <c r="AH188" s="400" t="str">
        <f ca="1">Área!R134</f>
        <v/>
      </c>
      <c r="AI188" s="400"/>
      <c r="AJ188" s="400" t="str">
        <f ca="1">Área!S134</f>
        <v/>
      </c>
      <c r="AK188" s="400"/>
      <c r="AL188" s="400" t="str">
        <f ca="1">Área!T134</f>
        <v/>
      </c>
      <c r="AM188" s="400"/>
      <c r="AN188" s="400" t="str">
        <f ca="1">Área!U134</f>
        <v/>
      </c>
      <c r="AO188" s="400"/>
      <c r="AP188" s="422" t="str">
        <f ca="1">IFERROR(Área!Z134,"")</f>
        <v/>
      </c>
      <c r="AQ188" s="422"/>
      <c r="AR188" s="400" t="str">
        <f ca="1">Área!Y134</f>
        <v/>
      </c>
      <c r="AS188" s="423"/>
      <c r="AT188" s="72"/>
    </row>
    <row r="189" spans="1:46" ht="12" customHeight="1" x14ac:dyDescent="0.25">
      <c r="A189"/>
      <c r="B189"/>
      <c r="C189" s="397" t="str">
        <f ca="1">Área!C135</f>
        <v/>
      </c>
      <c r="D189" s="398"/>
      <c r="E189" s="398"/>
      <c r="F189" s="398"/>
      <c r="G189" s="396" t="str">
        <f ca="1">Área!F135</f>
        <v/>
      </c>
      <c r="H189" s="396"/>
      <c r="I189" s="398" t="str">
        <f ca="1">Área!G135</f>
        <v/>
      </c>
      <c r="J189" s="398"/>
      <c r="K189" s="396" t="str">
        <f ca="1">Área!H135</f>
        <v/>
      </c>
      <c r="L189" s="396"/>
      <c r="M189" s="396" t="str">
        <f ca="1">Área!I135</f>
        <v/>
      </c>
      <c r="N189" s="396"/>
      <c r="O189" s="396" t="str">
        <f ca="1">Área!J135</f>
        <v/>
      </c>
      <c r="P189" s="396"/>
      <c r="Q189" s="396" t="str">
        <f ca="1">Área!K135</f>
        <v/>
      </c>
      <c r="R189" s="396"/>
      <c r="S189" s="396" t="str">
        <f ca="1">Área!L135</f>
        <v/>
      </c>
      <c r="T189" s="396"/>
      <c r="U189" s="396" t="str">
        <f ca="1">Área!N135</f>
        <v/>
      </c>
      <c r="V189" s="396"/>
      <c r="W189" s="396" t="str">
        <f ca="1">Área!M135</f>
        <v/>
      </c>
      <c r="X189" s="396"/>
      <c r="Y189" s="89" t="str">
        <f ca="1">Área!O135</f>
        <v/>
      </c>
      <c r="Z189" s="399" t="str">
        <f ca="1">Área!P135</f>
        <v/>
      </c>
      <c r="AA189" s="399"/>
      <c r="AB189" s="399"/>
      <c r="AC189" s="399"/>
      <c r="AD189" s="399" t="str">
        <f ca="1">Área!Q135</f>
        <v/>
      </c>
      <c r="AE189" s="399"/>
      <c r="AF189" s="399"/>
      <c r="AG189" s="399"/>
      <c r="AH189" s="400" t="str">
        <f ca="1">Área!R135</f>
        <v/>
      </c>
      <c r="AI189" s="400"/>
      <c r="AJ189" s="400" t="str">
        <f ca="1">Área!S135</f>
        <v/>
      </c>
      <c r="AK189" s="400"/>
      <c r="AL189" s="400" t="str">
        <f ca="1">Área!T135</f>
        <v/>
      </c>
      <c r="AM189" s="400"/>
      <c r="AN189" s="400" t="str">
        <f ca="1">Área!U135</f>
        <v/>
      </c>
      <c r="AO189" s="400"/>
      <c r="AP189" s="422" t="str">
        <f ca="1">IFERROR(Área!Z135,"")</f>
        <v/>
      </c>
      <c r="AQ189" s="422"/>
      <c r="AR189" s="400" t="str">
        <f ca="1">Área!Y135</f>
        <v/>
      </c>
      <c r="AS189" s="423"/>
      <c r="AT189" s="72"/>
    </row>
    <row r="190" spans="1:46" ht="12" customHeight="1" x14ac:dyDescent="0.25">
      <c r="A190"/>
      <c r="B190"/>
      <c r="C190" s="397" t="str">
        <f ca="1">Área!C136</f>
        <v/>
      </c>
      <c r="D190" s="398"/>
      <c r="E190" s="398"/>
      <c r="F190" s="398"/>
      <c r="G190" s="396" t="str">
        <f ca="1">Área!F136</f>
        <v/>
      </c>
      <c r="H190" s="396"/>
      <c r="I190" s="398" t="str">
        <f ca="1">Área!G136</f>
        <v/>
      </c>
      <c r="J190" s="398"/>
      <c r="K190" s="396" t="str">
        <f ca="1">Área!H136</f>
        <v/>
      </c>
      <c r="L190" s="396"/>
      <c r="M190" s="396" t="str">
        <f ca="1">Área!I136</f>
        <v/>
      </c>
      <c r="N190" s="396"/>
      <c r="O190" s="396" t="str">
        <f ca="1">Área!J136</f>
        <v/>
      </c>
      <c r="P190" s="396"/>
      <c r="Q190" s="396" t="str">
        <f ca="1">Área!K136</f>
        <v/>
      </c>
      <c r="R190" s="396"/>
      <c r="S190" s="396" t="str">
        <f ca="1">Área!L136</f>
        <v/>
      </c>
      <c r="T190" s="396"/>
      <c r="U190" s="396" t="str">
        <f ca="1">Área!N136</f>
        <v/>
      </c>
      <c r="V190" s="396"/>
      <c r="W190" s="396" t="str">
        <f ca="1">Área!M136</f>
        <v/>
      </c>
      <c r="X190" s="396"/>
      <c r="Y190" s="89" t="str">
        <f ca="1">Área!O136</f>
        <v/>
      </c>
      <c r="Z190" s="399" t="str">
        <f ca="1">Área!P136</f>
        <v/>
      </c>
      <c r="AA190" s="399"/>
      <c r="AB190" s="399"/>
      <c r="AC190" s="399"/>
      <c r="AD190" s="399" t="str">
        <f ca="1">Área!Q136</f>
        <v/>
      </c>
      <c r="AE190" s="399"/>
      <c r="AF190" s="399"/>
      <c r="AG190" s="399"/>
      <c r="AH190" s="400" t="str">
        <f ca="1">Área!R136</f>
        <v/>
      </c>
      <c r="AI190" s="400"/>
      <c r="AJ190" s="400" t="str">
        <f ca="1">Área!S136</f>
        <v/>
      </c>
      <c r="AK190" s="400"/>
      <c r="AL190" s="400" t="str">
        <f ca="1">Área!T136</f>
        <v/>
      </c>
      <c r="AM190" s="400"/>
      <c r="AN190" s="400" t="str">
        <f ca="1">Área!U136</f>
        <v/>
      </c>
      <c r="AO190" s="400"/>
      <c r="AP190" s="422" t="str">
        <f ca="1">IFERROR(Área!Z136,"")</f>
        <v/>
      </c>
      <c r="AQ190" s="422"/>
      <c r="AR190" s="400" t="str">
        <f ca="1">Área!Y136</f>
        <v/>
      </c>
      <c r="AS190" s="423"/>
      <c r="AT190" s="72"/>
    </row>
    <row r="191" spans="1:46" ht="12" customHeight="1" x14ac:dyDescent="0.25">
      <c r="A191"/>
      <c r="B191"/>
      <c r="C191" s="397" t="str">
        <f ca="1">Área!C137</f>
        <v/>
      </c>
      <c r="D191" s="398"/>
      <c r="E191" s="398"/>
      <c r="F191" s="398"/>
      <c r="G191" s="396" t="str">
        <f ca="1">Área!F137</f>
        <v/>
      </c>
      <c r="H191" s="396"/>
      <c r="I191" s="398" t="str">
        <f ca="1">Área!G137</f>
        <v/>
      </c>
      <c r="J191" s="398"/>
      <c r="K191" s="396" t="str">
        <f ca="1">Área!H137</f>
        <v/>
      </c>
      <c r="L191" s="396"/>
      <c r="M191" s="396" t="str">
        <f ca="1">Área!I137</f>
        <v/>
      </c>
      <c r="N191" s="396"/>
      <c r="O191" s="396" t="str">
        <f ca="1">Área!J137</f>
        <v/>
      </c>
      <c r="P191" s="396"/>
      <c r="Q191" s="396" t="str">
        <f ca="1">Área!K137</f>
        <v/>
      </c>
      <c r="R191" s="396"/>
      <c r="S191" s="396" t="str">
        <f ca="1">Área!L137</f>
        <v/>
      </c>
      <c r="T191" s="396"/>
      <c r="U191" s="396" t="str">
        <f ca="1">Área!N137</f>
        <v/>
      </c>
      <c r="V191" s="396"/>
      <c r="W191" s="396" t="str">
        <f ca="1">Área!M137</f>
        <v/>
      </c>
      <c r="X191" s="396"/>
      <c r="Y191" s="89" t="str">
        <f ca="1">Área!O137</f>
        <v/>
      </c>
      <c r="Z191" s="399" t="str">
        <f ca="1">Área!P137</f>
        <v/>
      </c>
      <c r="AA191" s="399"/>
      <c r="AB191" s="399"/>
      <c r="AC191" s="399"/>
      <c r="AD191" s="399" t="str">
        <f ca="1">Área!Q137</f>
        <v/>
      </c>
      <c r="AE191" s="399"/>
      <c r="AF191" s="399"/>
      <c r="AG191" s="399"/>
      <c r="AH191" s="400" t="str">
        <f ca="1">Área!R137</f>
        <v/>
      </c>
      <c r="AI191" s="400"/>
      <c r="AJ191" s="400" t="str">
        <f ca="1">Área!S137</f>
        <v/>
      </c>
      <c r="AK191" s="400"/>
      <c r="AL191" s="400" t="str">
        <f ca="1">Área!T137</f>
        <v/>
      </c>
      <c r="AM191" s="400"/>
      <c r="AN191" s="400" t="str">
        <f ca="1">Área!U137</f>
        <v/>
      </c>
      <c r="AO191" s="400"/>
      <c r="AP191" s="422" t="str">
        <f ca="1">IFERROR(Área!Z137,"")</f>
        <v/>
      </c>
      <c r="AQ191" s="422"/>
      <c r="AR191" s="400" t="str">
        <f ca="1">Área!Y137</f>
        <v/>
      </c>
      <c r="AS191" s="423"/>
      <c r="AT191" s="72"/>
    </row>
    <row r="192" spans="1:46" ht="12" customHeight="1" x14ac:dyDescent="0.25">
      <c r="A192"/>
      <c r="B192"/>
      <c r="C192" s="397" t="str">
        <f ca="1">Área!C138</f>
        <v/>
      </c>
      <c r="D192" s="398"/>
      <c r="E192" s="398"/>
      <c r="F192" s="398"/>
      <c r="G192" s="396" t="str">
        <f ca="1">Área!F138</f>
        <v/>
      </c>
      <c r="H192" s="396"/>
      <c r="I192" s="398" t="str">
        <f ca="1">Área!G138</f>
        <v/>
      </c>
      <c r="J192" s="398"/>
      <c r="K192" s="396" t="str">
        <f ca="1">Área!H138</f>
        <v/>
      </c>
      <c r="L192" s="396"/>
      <c r="M192" s="396" t="str">
        <f ca="1">Área!I138</f>
        <v/>
      </c>
      <c r="N192" s="396"/>
      <c r="O192" s="396" t="str">
        <f ca="1">Área!J138</f>
        <v/>
      </c>
      <c r="P192" s="396"/>
      <c r="Q192" s="396" t="str">
        <f ca="1">Área!K138</f>
        <v/>
      </c>
      <c r="R192" s="396"/>
      <c r="S192" s="396" t="str">
        <f ca="1">Área!L138</f>
        <v/>
      </c>
      <c r="T192" s="396"/>
      <c r="U192" s="396" t="str">
        <f ca="1">Área!N138</f>
        <v/>
      </c>
      <c r="V192" s="396"/>
      <c r="W192" s="396" t="str">
        <f ca="1">Área!M138</f>
        <v/>
      </c>
      <c r="X192" s="396"/>
      <c r="Y192" s="89" t="str">
        <f ca="1">Área!O138</f>
        <v/>
      </c>
      <c r="Z192" s="399" t="str">
        <f ca="1">Área!P138</f>
        <v/>
      </c>
      <c r="AA192" s="399"/>
      <c r="AB192" s="399"/>
      <c r="AC192" s="399"/>
      <c r="AD192" s="399" t="str">
        <f ca="1">Área!Q138</f>
        <v/>
      </c>
      <c r="AE192" s="399"/>
      <c r="AF192" s="399"/>
      <c r="AG192" s="399"/>
      <c r="AH192" s="400" t="str">
        <f ca="1">Área!R138</f>
        <v/>
      </c>
      <c r="AI192" s="400"/>
      <c r="AJ192" s="400" t="str">
        <f ca="1">Área!S138</f>
        <v/>
      </c>
      <c r="AK192" s="400"/>
      <c r="AL192" s="400" t="str">
        <f ca="1">Área!T138</f>
        <v/>
      </c>
      <c r="AM192" s="400"/>
      <c r="AN192" s="400" t="str">
        <f ca="1">Área!U138</f>
        <v/>
      </c>
      <c r="AO192" s="400"/>
      <c r="AP192" s="422" t="str">
        <f ca="1">IFERROR(Área!Z138,"")</f>
        <v/>
      </c>
      <c r="AQ192" s="422"/>
      <c r="AR192" s="400" t="str">
        <f ca="1">Área!Y138</f>
        <v/>
      </c>
      <c r="AS192" s="423"/>
      <c r="AT192" s="72"/>
    </row>
    <row r="193" spans="1:46" ht="12" customHeight="1" x14ac:dyDescent="0.25">
      <c r="A193"/>
      <c r="B193"/>
      <c r="C193" s="397" t="str">
        <f ca="1">Área!C139</f>
        <v/>
      </c>
      <c r="D193" s="398"/>
      <c r="E193" s="398"/>
      <c r="F193" s="398"/>
      <c r="G193" s="396" t="str">
        <f ca="1">Área!F139</f>
        <v/>
      </c>
      <c r="H193" s="396"/>
      <c r="I193" s="398" t="str">
        <f ca="1">Área!G139</f>
        <v/>
      </c>
      <c r="J193" s="398"/>
      <c r="K193" s="396" t="str">
        <f ca="1">Área!H139</f>
        <v/>
      </c>
      <c r="L193" s="396"/>
      <c r="M193" s="396" t="str">
        <f ca="1">Área!I139</f>
        <v/>
      </c>
      <c r="N193" s="396"/>
      <c r="O193" s="396" t="str">
        <f ca="1">Área!J139</f>
        <v/>
      </c>
      <c r="P193" s="396"/>
      <c r="Q193" s="396" t="str">
        <f ca="1">Área!K139</f>
        <v/>
      </c>
      <c r="R193" s="396"/>
      <c r="S193" s="396" t="str">
        <f ca="1">Área!L139</f>
        <v/>
      </c>
      <c r="T193" s="396"/>
      <c r="U193" s="396" t="str">
        <f ca="1">Área!N139</f>
        <v/>
      </c>
      <c r="V193" s="396"/>
      <c r="W193" s="396" t="str">
        <f ca="1">Área!M139</f>
        <v/>
      </c>
      <c r="X193" s="396"/>
      <c r="Y193" s="89" t="str">
        <f ca="1">Área!O139</f>
        <v/>
      </c>
      <c r="Z193" s="399" t="str">
        <f ca="1">Área!P139</f>
        <v/>
      </c>
      <c r="AA193" s="399"/>
      <c r="AB193" s="399"/>
      <c r="AC193" s="399"/>
      <c r="AD193" s="399" t="str">
        <f ca="1">Área!Q139</f>
        <v/>
      </c>
      <c r="AE193" s="399"/>
      <c r="AF193" s="399"/>
      <c r="AG193" s="399"/>
      <c r="AH193" s="400" t="str">
        <f ca="1">Área!R139</f>
        <v/>
      </c>
      <c r="AI193" s="400"/>
      <c r="AJ193" s="400" t="str">
        <f ca="1">Área!S139</f>
        <v/>
      </c>
      <c r="AK193" s="400"/>
      <c r="AL193" s="400" t="str">
        <f ca="1">Área!T139</f>
        <v/>
      </c>
      <c r="AM193" s="400"/>
      <c r="AN193" s="400" t="str">
        <f ca="1">Área!U139</f>
        <v/>
      </c>
      <c r="AO193" s="400"/>
      <c r="AP193" s="422" t="str">
        <f ca="1">IFERROR(Área!Z139,"")</f>
        <v/>
      </c>
      <c r="AQ193" s="422"/>
      <c r="AR193" s="400" t="str">
        <f ca="1">Área!Y139</f>
        <v/>
      </c>
      <c r="AS193" s="423"/>
      <c r="AT193" s="72"/>
    </row>
    <row r="194" spans="1:46" ht="12" customHeight="1" x14ac:dyDescent="0.25">
      <c r="A194"/>
      <c r="B194"/>
      <c r="C194" s="397" t="str">
        <f ca="1">Área!C140</f>
        <v/>
      </c>
      <c r="D194" s="398"/>
      <c r="E194" s="398"/>
      <c r="F194" s="398"/>
      <c r="G194" s="396" t="str">
        <f ca="1">Área!F140</f>
        <v/>
      </c>
      <c r="H194" s="396"/>
      <c r="I194" s="398" t="str">
        <f ca="1">Área!G140</f>
        <v/>
      </c>
      <c r="J194" s="398"/>
      <c r="K194" s="396" t="str">
        <f ca="1">Área!H140</f>
        <v/>
      </c>
      <c r="L194" s="396"/>
      <c r="M194" s="396" t="str">
        <f ca="1">Área!I140</f>
        <v/>
      </c>
      <c r="N194" s="396"/>
      <c r="O194" s="396" t="str">
        <f ca="1">Área!J140</f>
        <v/>
      </c>
      <c r="P194" s="396"/>
      <c r="Q194" s="396" t="str">
        <f ca="1">Área!K140</f>
        <v/>
      </c>
      <c r="R194" s="396"/>
      <c r="S194" s="396" t="str">
        <f ca="1">Área!L140</f>
        <v/>
      </c>
      <c r="T194" s="396"/>
      <c r="U194" s="396" t="str">
        <f ca="1">Área!N140</f>
        <v/>
      </c>
      <c r="V194" s="396"/>
      <c r="W194" s="396" t="str">
        <f ca="1">Área!M140</f>
        <v/>
      </c>
      <c r="X194" s="396"/>
      <c r="Y194" s="89" t="str">
        <f ca="1">Área!O140</f>
        <v/>
      </c>
      <c r="Z194" s="399" t="str">
        <f ca="1">Área!P140</f>
        <v/>
      </c>
      <c r="AA194" s="399"/>
      <c r="AB194" s="399"/>
      <c r="AC194" s="399"/>
      <c r="AD194" s="399" t="str">
        <f ca="1">Área!Q140</f>
        <v/>
      </c>
      <c r="AE194" s="399"/>
      <c r="AF194" s="399"/>
      <c r="AG194" s="399"/>
      <c r="AH194" s="400" t="str">
        <f ca="1">Área!R140</f>
        <v/>
      </c>
      <c r="AI194" s="400"/>
      <c r="AJ194" s="400" t="str">
        <f ca="1">Área!S140</f>
        <v/>
      </c>
      <c r="AK194" s="400"/>
      <c r="AL194" s="400" t="str">
        <f ca="1">Área!T140</f>
        <v/>
      </c>
      <c r="AM194" s="400"/>
      <c r="AN194" s="400" t="str">
        <f ca="1">Área!U140</f>
        <v/>
      </c>
      <c r="AO194" s="400"/>
      <c r="AP194" s="422" t="str">
        <f ca="1">IFERROR(Área!Z140,"")</f>
        <v/>
      </c>
      <c r="AQ194" s="422"/>
      <c r="AR194" s="400" t="str">
        <f ca="1">Área!Y140</f>
        <v/>
      </c>
      <c r="AS194" s="423"/>
      <c r="AT194" s="72"/>
    </row>
    <row r="195" spans="1:46" ht="12" customHeight="1" x14ac:dyDescent="0.25">
      <c r="A195"/>
      <c r="B195"/>
      <c r="C195" s="397" t="str">
        <f ca="1">Área!C141</f>
        <v/>
      </c>
      <c r="D195" s="398"/>
      <c r="E195" s="398"/>
      <c r="F195" s="398"/>
      <c r="G195" s="396" t="str">
        <f ca="1">Área!F141</f>
        <v/>
      </c>
      <c r="H195" s="396"/>
      <c r="I195" s="398" t="str">
        <f ca="1">Área!G141</f>
        <v/>
      </c>
      <c r="J195" s="398"/>
      <c r="K195" s="396" t="str">
        <f ca="1">Área!H141</f>
        <v/>
      </c>
      <c r="L195" s="396"/>
      <c r="M195" s="396" t="str">
        <f ca="1">Área!I141</f>
        <v/>
      </c>
      <c r="N195" s="396"/>
      <c r="O195" s="396" t="str">
        <f ca="1">Área!J141</f>
        <v/>
      </c>
      <c r="P195" s="396"/>
      <c r="Q195" s="396" t="str">
        <f ca="1">Área!K141</f>
        <v/>
      </c>
      <c r="R195" s="396"/>
      <c r="S195" s="396" t="str">
        <f ca="1">Área!L141</f>
        <v/>
      </c>
      <c r="T195" s="396"/>
      <c r="U195" s="396" t="str">
        <f ca="1">Área!N141</f>
        <v/>
      </c>
      <c r="V195" s="396"/>
      <c r="W195" s="396" t="str">
        <f ca="1">Área!M141</f>
        <v/>
      </c>
      <c r="X195" s="396"/>
      <c r="Y195" s="89" t="str">
        <f ca="1">Área!O141</f>
        <v/>
      </c>
      <c r="Z195" s="399" t="str">
        <f ca="1">Área!P141</f>
        <v/>
      </c>
      <c r="AA195" s="399"/>
      <c r="AB195" s="399"/>
      <c r="AC195" s="399"/>
      <c r="AD195" s="399" t="str">
        <f ca="1">Área!Q141</f>
        <v/>
      </c>
      <c r="AE195" s="399"/>
      <c r="AF195" s="399"/>
      <c r="AG195" s="399"/>
      <c r="AH195" s="400" t="str">
        <f ca="1">Área!R141</f>
        <v/>
      </c>
      <c r="AI195" s="400"/>
      <c r="AJ195" s="400" t="str">
        <f ca="1">Área!S141</f>
        <v/>
      </c>
      <c r="AK195" s="400"/>
      <c r="AL195" s="400" t="str">
        <f ca="1">Área!T141</f>
        <v/>
      </c>
      <c r="AM195" s="400"/>
      <c r="AN195" s="400" t="str">
        <f ca="1">Área!U141</f>
        <v/>
      </c>
      <c r="AO195" s="400"/>
      <c r="AP195" s="422" t="str">
        <f ca="1">IFERROR(Área!Z141,"")</f>
        <v/>
      </c>
      <c r="AQ195" s="422"/>
      <c r="AR195" s="400" t="str">
        <f ca="1">Área!Y141</f>
        <v/>
      </c>
      <c r="AS195" s="423"/>
      <c r="AT195" s="72"/>
    </row>
    <row r="196" spans="1:46" ht="12" customHeight="1" x14ac:dyDescent="0.25">
      <c r="A196"/>
      <c r="B196"/>
      <c r="C196" s="397" t="str">
        <f ca="1">Área!C142</f>
        <v/>
      </c>
      <c r="D196" s="398"/>
      <c r="E196" s="398"/>
      <c r="F196" s="398"/>
      <c r="G196" s="396" t="str">
        <f ca="1">Área!F142</f>
        <v/>
      </c>
      <c r="H196" s="396"/>
      <c r="I196" s="398" t="str">
        <f ca="1">Área!G142</f>
        <v/>
      </c>
      <c r="J196" s="398"/>
      <c r="K196" s="396" t="str">
        <f ca="1">Área!H142</f>
        <v/>
      </c>
      <c r="L196" s="396"/>
      <c r="M196" s="396" t="str">
        <f ca="1">Área!I142</f>
        <v/>
      </c>
      <c r="N196" s="396"/>
      <c r="O196" s="396" t="str">
        <f ca="1">Área!J142</f>
        <v/>
      </c>
      <c r="P196" s="396"/>
      <c r="Q196" s="396" t="str">
        <f ca="1">Área!K142</f>
        <v/>
      </c>
      <c r="R196" s="396"/>
      <c r="S196" s="396" t="str">
        <f ca="1">Área!L142</f>
        <v/>
      </c>
      <c r="T196" s="396"/>
      <c r="U196" s="396" t="str">
        <f ca="1">Área!N142</f>
        <v/>
      </c>
      <c r="V196" s="396"/>
      <c r="W196" s="396" t="str">
        <f ca="1">Área!M142</f>
        <v/>
      </c>
      <c r="X196" s="396"/>
      <c r="Y196" s="89" t="str">
        <f ca="1">Área!O142</f>
        <v/>
      </c>
      <c r="Z196" s="399" t="str">
        <f ca="1">Área!P142</f>
        <v/>
      </c>
      <c r="AA196" s="399"/>
      <c r="AB196" s="399"/>
      <c r="AC196" s="399"/>
      <c r="AD196" s="399" t="str">
        <f ca="1">Área!Q142</f>
        <v/>
      </c>
      <c r="AE196" s="399"/>
      <c r="AF196" s="399"/>
      <c r="AG196" s="399"/>
      <c r="AH196" s="400" t="str">
        <f ca="1">Área!R142</f>
        <v/>
      </c>
      <c r="AI196" s="400"/>
      <c r="AJ196" s="400" t="str">
        <f ca="1">Área!S142</f>
        <v/>
      </c>
      <c r="AK196" s="400"/>
      <c r="AL196" s="400" t="str">
        <f ca="1">Área!T142</f>
        <v/>
      </c>
      <c r="AM196" s="400"/>
      <c r="AN196" s="400" t="str">
        <f ca="1">Área!U142</f>
        <v/>
      </c>
      <c r="AO196" s="400"/>
      <c r="AP196" s="422" t="str">
        <f ca="1">IFERROR(Área!Z142,"")</f>
        <v/>
      </c>
      <c r="AQ196" s="422"/>
      <c r="AR196" s="400" t="str">
        <f ca="1">Área!Y142</f>
        <v/>
      </c>
      <c r="AS196" s="423"/>
      <c r="AT196" s="72"/>
    </row>
    <row r="197" spans="1:46" ht="12" customHeight="1" x14ac:dyDescent="0.25">
      <c r="A197"/>
      <c r="B197"/>
      <c r="C197" s="397" t="str">
        <f ca="1">Área!C143</f>
        <v/>
      </c>
      <c r="D197" s="398"/>
      <c r="E197" s="398"/>
      <c r="F197" s="398"/>
      <c r="G197" s="396" t="str">
        <f ca="1">Área!F143</f>
        <v/>
      </c>
      <c r="H197" s="396"/>
      <c r="I197" s="398" t="str">
        <f ca="1">Área!G143</f>
        <v/>
      </c>
      <c r="J197" s="398"/>
      <c r="K197" s="396" t="str">
        <f ca="1">Área!H143</f>
        <v/>
      </c>
      <c r="L197" s="396"/>
      <c r="M197" s="396" t="str">
        <f ca="1">Área!I143</f>
        <v/>
      </c>
      <c r="N197" s="396"/>
      <c r="O197" s="396" t="str">
        <f ca="1">Área!J143</f>
        <v/>
      </c>
      <c r="P197" s="396"/>
      <c r="Q197" s="396" t="str">
        <f ca="1">Área!K143</f>
        <v/>
      </c>
      <c r="R197" s="396"/>
      <c r="S197" s="396" t="str">
        <f ca="1">Área!L143</f>
        <v/>
      </c>
      <c r="T197" s="396"/>
      <c r="U197" s="396" t="str">
        <f ca="1">Área!N143</f>
        <v/>
      </c>
      <c r="V197" s="396"/>
      <c r="W197" s="396" t="str">
        <f ca="1">Área!M143</f>
        <v/>
      </c>
      <c r="X197" s="396"/>
      <c r="Y197" s="89" t="str">
        <f ca="1">Área!O143</f>
        <v/>
      </c>
      <c r="Z197" s="399" t="str">
        <f ca="1">Área!P143</f>
        <v/>
      </c>
      <c r="AA197" s="399"/>
      <c r="AB197" s="399"/>
      <c r="AC197" s="399"/>
      <c r="AD197" s="399" t="str">
        <f ca="1">Área!Q143</f>
        <v/>
      </c>
      <c r="AE197" s="399"/>
      <c r="AF197" s="399"/>
      <c r="AG197" s="399"/>
      <c r="AH197" s="400" t="str">
        <f ca="1">Área!R143</f>
        <v/>
      </c>
      <c r="AI197" s="400"/>
      <c r="AJ197" s="400" t="str">
        <f ca="1">Área!S143</f>
        <v/>
      </c>
      <c r="AK197" s="400"/>
      <c r="AL197" s="400" t="str">
        <f ca="1">Área!T143</f>
        <v/>
      </c>
      <c r="AM197" s="400"/>
      <c r="AN197" s="400" t="str">
        <f ca="1">Área!U143</f>
        <v/>
      </c>
      <c r="AO197" s="400"/>
      <c r="AP197" s="422" t="str">
        <f ca="1">IFERROR(Área!Z143,"")</f>
        <v/>
      </c>
      <c r="AQ197" s="422"/>
      <c r="AR197" s="400" t="str">
        <f ca="1">Área!Y143</f>
        <v/>
      </c>
      <c r="AS197" s="423"/>
      <c r="AT197" s="72"/>
    </row>
    <row r="198" spans="1:46" ht="12" customHeight="1" x14ac:dyDescent="0.25">
      <c r="A198"/>
      <c r="B198"/>
      <c r="C198" s="397" t="str">
        <f ca="1">Área!C144</f>
        <v/>
      </c>
      <c r="D198" s="398"/>
      <c r="E198" s="398"/>
      <c r="F198" s="398"/>
      <c r="G198" s="396" t="str">
        <f ca="1">Área!F144</f>
        <v/>
      </c>
      <c r="H198" s="396"/>
      <c r="I198" s="398" t="str">
        <f ca="1">Área!G144</f>
        <v/>
      </c>
      <c r="J198" s="398"/>
      <c r="K198" s="396" t="str">
        <f ca="1">Área!H144</f>
        <v/>
      </c>
      <c r="L198" s="396"/>
      <c r="M198" s="396" t="str">
        <f ca="1">Área!I144</f>
        <v/>
      </c>
      <c r="N198" s="396"/>
      <c r="O198" s="396" t="str">
        <f ca="1">Área!J144</f>
        <v/>
      </c>
      <c r="P198" s="396"/>
      <c r="Q198" s="396" t="str">
        <f ca="1">Área!K144</f>
        <v/>
      </c>
      <c r="R198" s="396"/>
      <c r="S198" s="396" t="str">
        <f ca="1">Área!L144</f>
        <v/>
      </c>
      <c r="T198" s="396"/>
      <c r="U198" s="396" t="str">
        <f ca="1">Área!N144</f>
        <v/>
      </c>
      <c r="V198" s="396"/>
      <c r="W198" s="396" t="str">
        <f ca="1">Área!M144</f>
        <v/>
      </c>
      <c r="X198" s="396"/>
      <c r="Y198" s="89" t="str">
        <f ca="1">Área!O144</f>
        <v/>
      </c>
      <c r="Z198" s="399" t="str">
        <f ca="1">Área!P144</f>
        <v/>
      </c>
      <c r="AA198" s="399"/>
      <c r="AB198" s="399"/>
      <c r="AC198" s="399"/>
      <c r="AD198" s="399" t="str">
        <f ca="1">Área!Q144</f>
        <v/>
      </c>
      <c r="AE198" s="399"/>
      <c r="AF198" s="399"/>
      <c r="AG198" s="399"/>
      <c r="AH198" s="400" t="str">
        <f ca="1">Área!R144</f>
        <v/>
      </c>
      <c r="AI198" s="400"/>
      <c r="AJ198" s="400" t="str">
        <f ca="1">Área!S144</f>
        <v/>
      </c>
      <c r="AK198" s="400"/>
      <c r="AL198" s="400" t="str">
        <f ca="1">Área!T144</f>
        <v/>
      </c>
      <c r="AM198" s="400"/>
      <c r="AN198" s="400" t="str">
        <f ca="1">Área!U144</f>
        <v/>
      </c>
      <c r="AO198" s="400"/>
      <c r="AP198" s="422" t="str">
        <f ca="1">IFERROR(Área!Z144,"")</f>
        <v/>
      </c>
      <c r="AQ198" s="422"/>
      <c r="AR198" s="400" t="str">
        <f ca="1">Área!Y144</f>
        <v/>
      </c>
      <c r="AS198" s="423"/>
      <c r="AT198" s="72"/>
    </row>
    <row r="199" spans="1:46" ht="12" customHeight="1" x14ac:dyDescent="0.25">
      <c r="A199"/>
      <c r="B199"/>
      <c r="C199" s="397" t="str">
        <f ca="1">Área!C145</f>
        <v/>
      </c>
      <c r="D199" s="398"/>
      <c r="E199" s="398"/>
      <c r="F199" s="398"/>
      <c r="G199" s="396" t="str">
        <f ca="1">Área!F145</f>
        <v/>
      </c>
      <c r="H199" s="396"/>
      <c r="I199" s="398" t="str">
        <f ca="1">Área!G145</f>
        <v/>
      </c>
      <c r="J199" s="398"/>
      <c r="K199" s="396" t="str">
        <f ca="1">Área!H145</f>
        <v/>
      </c>
      <c r="L199" s="396"/>
      <c r="M199" s="396" t="str">
        <f ca="1">Área!I145</f>
        <v/>
      </c>
      <c r="N199" s="396"/>
      <c r="O199" s="396" t="str">
        <f ca="1">Área!J145</f>
        <v/>
      </c>
      <c r="P199" s="396"/>
      <c r="Q199" s="396" t="str">
        <f ca="1">Área!K145</f>
        <v/>
      </c>
      <c r="R199" s="396"/>
      <c r="S199" s="396" t="str">
        <f ca="1">Área!L145</f>
        <v/>
      </c>
      <c r="T199" s="396"/>
      <c r="U199" s="396" t="str">
        <f ca="1">Área!N145</f>
        <v/>
      </c>
      <c r="V199" s="396"/>
      <c r="W199" s="396" t="str">
        <f ca="1">Área!M145</f>
        <v/>
      </c>
      <c r="X199" s="396"/>
      <c r="Y199" s="89" t="str">
        <f ca="1">Área!O145</f>
        <v/>
      </c>
      <c r="Z199" s="399" t="str">
        <f ca="1">Área!P145</f>
        <v/>
      </c>
      <c r="AA199" s="399"/>
      <c r="AB199" s="399"/>
      <c r="AC199" s="399"/>
      <c r="AD199" s="399" t="str">
        <f ca="1">Área!Q145</f>
        <v/>
      </c>
      <c r="AE199" s="399"/>
      <c r="AF199" s="399"/>
      <c r="AG199" s="399"/>
      <c r="AH199" s="400" t="str">
        <f ca="1">Área!R145</f>
        <v/>
      </c>
      <c r="AI199" s="400"/>
      <c r="AJ199" s="400" t="str">
        <f ca="1">Área!S145</f>
        <v/>
      </c>
      <c r="AK199" s="400"/>
      <c r="AL199" s="400" t="str">
        <f ca="1">Área!T145</f>
        <v/>
      </c>
      <c r="AM199" s="400"/>
      <c r="AN199" s="400" t="str">
        <f ca="1">Área!U145</f>
        <v/>
      </c>
      <c r="AO199" s="400"/>
      <c r="AP199" s="422" t="str">
        <f ca="1">IFERROR(Área!Z145,"")</f>
        <v/>
      </c>
      <c r="AQ199" s="422"/>
      <c r="AR199" s="400" t="str">
        <f ca="1">Área!Y145</f>
        <v/>
      </c>
      <c r="AS199" s="423"/>
      <c r="AT199" s="72"/>
    </row>
    <row r="200" spans="1:46" ht="12" customHeight="1" x14ac:dyDescent="0.25">
      <c r="A200"/>
      <c r="B200"/>
      <c r="C200" s="397" t="str">
        <f ca="1">Área!C146</f>
        <v/>
      </c>
      <c r="D200" s="398"/>
      <c r="E200" s="398"/>
      <c r="F200" s="398"/>
      <c r="G200" s="396" t="str">
        <f ca="1">Área!F146</f>
        <v/>
      </c>
      <c r="H200" s="396"/>
      <c r="I200" s="398" t="str">
        <f ca="1">Área!G146</f>
        <v/>
      </c>
      <c r="J200" s="398"/>
      <c r="K200" s="396" t="str">
        <f ca="1">Área!H146</f>
        <v/>
      </c>
      <c r="L200" s="396"/>
      <c r="M200" s="396" t="str">
        <f ca="1">Área!I146</f>
        <v/>
      </c>
      <c r="N200" s="396"/>
      <c r="O200" s="396" t="str">
        <f ca="1">Área!J146</f>
        <v/>
      </c>
      <c r="P200" s="396"/>
      <c r="Q200" s="396" t="str">
        <f ca="1">Área!K146</f>
        <v/>
      </c>
      <c r="R200" s="396"/>
      <c r="S200" s="396" t="str">
        <f ca="1">Área!L146</f>
        <v/>
      </c>
      <c r="T200" s="396"/>
      <c r="U200" s="396" t="str">
        <f ca="1">Área!N146</f>
        <v/>
      </c>
      <c r="V200" s="396"/>
      <c r="W200" s="396" t="str">
        <f ca="1">Área!M146</f>
        <v/>
      </c>
      <c r="X200" s="396"/>
      <c r="Y200" s="89" t="str">
        <f ca="1">Área!O146</f>
        <v/>
      </c>
      <c r="Z200" s="399" t="str">
        <f ca="1">Área!P146</f>
        <v/>
      </c>
      <c r="AA200" s="399"/>
      <c r="AB200" s="399"/>
      <c r="AC200" s="399"/>
      <c r="AD200" s="399" t="str">
        <f ca="1">Área!Q146</f>
        <v/>
      </c>
      <c r="AE200" s="399"/>
      <c r="AF200" s="399"/>
      <c r="AG200" s="399"/>
      <c r="AH200" s="400" t="str">
        <f ca="1">Área!R146</f>
        <v/>
      </c>
      <c r="AI200" s="400"/>
      <c r="AJ200" s="400" t="str">
        <f ca="1">Área!S146</f>
        <v/>
      </c>
      <c r="AK200" s="400"/>
      <c r="AL200" s="400" t="str">
        <f ca="1">Área!T146</f>
        <v/>
      </c>
      <c r="AM200" s="400"/>
      <c r="AN200" s="400" t="str">
        <f ca="1">Área!U146</f>
        <v/>
      </c>
      <c r="AO200" s="400"/>
      <c r="AP200" s="422" t="str">
        <f ca="1">IFERROR(Área!Z146,"")</f>
        <v/>
      </c>
      <c r="AQ200" s="422"/>
      <c r="AR200" s="400" t="str">
        <f ca="1">Área!Y146</f>
        <v/>
      </c>
      <c r="AS200" s="423"/>
      <c r="AT200" s="72"/>
    </row>
    <row r="201" spans="1:46" ht="12" customHeight="1" x14ac:dyDescent="0.25">
      <c r="A201"/>
      <c r="B201"/>
      <c r="C201" s="397" t="str">
        <f ca="1">Área!C147</f>
        <v/>
      </c>
      <c r="D201" s="398"/>
      <c r="E201" s="398"/>
      <c r="F201" s="398"/>
      <c r="G201" s="396" t="str">
        <f ca="1">Área!F147</f>
        <v/>
      </c>
      <c r="H201" s="396"/>
      <c r="I201" s="398" t="str">
        <f ca="1">Área!G147</f>
        <v/>
      </c>
      <c r="J201" s="398"/>
      <c r="K201" s="396" t="str">
        <f ca="1">Área!H147</f>
        <v/>
      </c>
      <c r="L201" s="396"/>
      <c r="M201" s="396" t="str">
        <f ca="1">Área!I147</f>
        <v/>
      </c>
      <c r="N201" s="396"/>
      <c r="O201" s="396" t="str">
        <f ca="1">Área!J147</f>
        <v/>
      </c>
      <c r="P201" s="396"/>
      <c r="Q201" s="396" t="str">
        <f ca="1">Área!K147</f>
        <v/>
      </c>
      <c r="R201" s="396"/>
      <c r="S201" s="396" t="str">
        <f ca="1">Área!L147</f>
        <v/>
      </c>
      <c r="T201" s="396"/>
      <c r="U201" s="396" t="str">
        <f ca="1">Área!N147</f>
        <v/>
      </c>
      <c r="V201" s="396"/>
      <c r="W201" s="396" t="str">
        <f ca="1">Área!M147</f>
        <v/>
      </c>
      <c r="X201" s="396"/>
      <c r="Y201" s="89" t="str">
        <f ca="1">Área!O147</f>
        <v/>
      </c>
      <c r="Z201" s="399" t="str">
        <f ca="1">Área!P147</f>
        <v/>
      </c>
      <c r="AA201" s="399"/>
      <c r="AB201" s="399"/>
      <c r="AC201" s="399"/>
      <c r="AD201" s="399" t="str">
        <f ca="1">Área!Q147</f>
        <v/>
      </c>
      <c r="AE201" s="399"/>
      <c r="AF201" s="399"/>
      <c r="AG201" s="399"/>
      <c r="AH201" s="400" t="str">
        <f ca="1">Área!R147</f>
        <v/>
      </c>
      <c r="AI201" s="400"/>
      <c r="AJ201" s="400" t="str">
        <f ca="1">Área!S147</f>
        <v/>
      </c>
      <c r="AK201" s="400"/>
      <c r="AL201" s="400" t="str">
        <f ca="1">Área!T147</f>
        <v/>
      </c>
      <c r="AM201" s="400"/>
      <c r="AN201" s="400" t="str">
        <f ca="1">Área!U147</f>
        <v/>
      </c>
      <c r="AO201" s="400"/>
      <c r="AP201" s="422" t="str">
        <f ca="1">IFERROR(Área!Z147,"")</f>
        <v/>
      </c>
      <c r="AQ201" s="422"/>
      <c r="AR201" s="400" t="str">
        <f ca="1">Área!Y147</f>
        <v/>
      </c>
      <c r="AS201" s="423"/>
      <c r="AT201" s="72"/>
    </row>
    <row r="202" spans="1:46" ht="12" customHeight="1" x14ac:dyDescent="0.25">
      <c r="A202"/>
      <c r="B202"/>
      <c r="C202" s="397" t="str">
        <f ca="1">Área!C148</f>
        <v/>
      </c>
      <c r="D202" s="398"/>
      <c r="E202" s="398"/>
      <c r="F202" s="398"/>
      <c r="G202" s="396" t="str">
        <f ca="1">Área!F148</f>
        <v/>
      </c>
      <c r="H202" s="396"/>
      <c r="I202" s="398" t="str">
        <f ca="1">Área!G148</f>
        <v/>
      </c>
      <c r="J202" s="398"/>
      <c r="K202" s="396" t="str">
        <f ca="1">Área!H148</f>
        <v/>
      </c>
      <c r="L202" s="396"/>
      <c r="M202" s="396" t="str">
        <f ca="1">Área!I148</f>
        <v/>
      </c>
      <c r="N202" s="396"/>
      <c r="O202" s="396" t="str">
        <f ca="1">Área!J148</f>
        <v/>
      </c>
      <c r="P202" s="396"/>
      <c r="Q202" s="396" t="str">
        <f ca="1">Área!K148</f>
        <v/>
      </c>
      <c r="R202" s="396"/>
      <c r="S202" s="396" t="str">
        <f ca="1">Área!L148</f>
        <v/>
      </c>
      <c r="T202" s="396"/>
      <c r="U202" s="396" t="str">
        <f ca="1">Área!N148</f>
        <v/>
      </c>
      <c r="V202" s="396"/>
      <c r="W202" s="396" t="str">
        <f ca="1">Área!M148</f>
        <v/>
      </c>
      <c r="X202" s="396"/>
      <c r="Y202" s="89" t="str">
        <f ca="1">Área!O148</f>
        <v/>
      </c>
      <c r="Z202" s="399" t="str">
        <f ca="1">Área!P148</f>
        <v/>
      </c>
      <c r="AA202" s="399"/>
      <c r="AB202" s="399"/>
      <c r="AC202" s="399"/>
      <c r="AD202" s="399" t="str">
        <f ca="1">Área!Q148</f>
        <v/>
      </c>
      <c r="AE202" s="399"/>
      <c r="AF202" s="399"/>
      <c r="AG202" s="399"/>
      <c r="AH202" s="400" t="str">
        <f ca="1">Área!R148</f>
        <v/>
      </c>
      <c r="AI202" s="400"/>
      <c r="AJ202" s="400" t="str">
        <f ca="1">Área!S148</f>
        <v/>
      </c>
      <c r="AK202" s="400"/>
      <c r="AL202" s="400" t="str">
        <f ca="1">Área!T148</f>
        <v/>
      </c>
      <c r="AM202" s="400"/>
      <c r="AN202" s="400" t="str">
        <f ca="1">Área!U148</f>
        <v/>
      </c>
      <c r="AO202" s="400"/>
      <c r="AP202" s="422" t="str">
        <f ca="1">IFERROR(Área!Z148,"")</f>
        <v/>
      </c>
      <c r="AQ202" s="422"/>
      <c r="AR202" s="400" t="str">
        <f ca="1">Área!Y148</f>
        <v/>
      </c>
      <c r="AS202" s="423"/>
      <c r="AT202" s="72"/>
    </row>
    <row r="203" spans="1:46" ht="12" customHeight="1" x14ac:dyDescent="0.25">
      <c r="A203"/>
      <c r="B203"/>
      <c r="C203" s="397" t="str">
        <f ca="1">Área!C149</f>
        <v/>
      </c>
      <c r="D203" s="398"/>
      <c r="E203" s="398"/>
      <c r="F203" s="398"/>
      <c r="G203" s="396" t="str">
        <f ca="1">Área!F149</f>
        <v/>
      </c>
      <c r="H203" s="396"/>
      <c r="I203" s="398" t="str">
        <f ca="1">Área!G149</f>
        <v/>
      </c>
      <c r="J203" s="398"/>
      <c r="K203" s="396" t="str">
        <f ca="1">Área!H149</f>
        <v/>
      </c>
      <c r="L203" s="396"/>
      <c r="M203" s="396" t="str">
        <f ca="1">Área!I149</f>
        <v/>
      </c>
      <c r="N203" s="396"/>
      <c r="O203" s="396" t="str">
        <f ca="1">Área!J149</f>
        <v/>
      </c>
      <c r="P203" s="396"/>
      <c r="Q203" s="396" t="str">
        <f ca="1">Área!K149</f>
        <v/>
      </c>
      <c r="R203" s="396"/>
      <c r="S203" s="396" t="str">
        <f ca="1">Área!L149</f>
        <v/>
      </c>
      <c r="T203" s="396"/>
      <c r="U203" s="396" t="str">
        <f ca="1">Área!N149</f>
        <v/>
      </c>
      <c r="V203" s="396"/>
      <c r="W203" s="396" t="str">
        <f ca="1">Área!M149</f>
        <v/>
      </c>
      <c r="X203" s="396"/>
      <c r="Y203" s="89" t="str">
        <f ca="1">Área!O149</f>
        <v/>
      </c>
      <c r="Z203" s="399" t="str">
        <f ca="1">Área!P149</f>
        <v/>
      </c>
      <c r="AA203" s="399"/>
      <c r="AB203" s="399"/>
      <c r="AC203" s="399"/>
      <c r="AD203" s="399" t="str">
        <f ca="1">Área!Q149</f>
        <v/>
      </c>
      <c r="AE203" s="399"/>
      <c r="AF203" s="399"/>
      <c r="AG203" s="399"/>
      <c r="AH203" s="400" t="str">
        <f ca="1">Área!R149</f>
        <v/>
      </c>
      <c r="AI203" s="400"/>
      <c r="AJ203" s="400" t="str">
        <f ca="1">Área!S149</f>
        <v/>
      </c>
      <c r="AK203" s="400"/>
      <c r="AL203" s="400" t="str">
        <f ca="1">Área!T149</f>
        <v/>
      </c>
      <c r="AM203" s="400"/>
      <c r="AN203" s="400" t="str">
        <f ca="1">Área!U149</f>
        <v/>
      </c>
      <c r="AO203" s="400"/>
      <c r="AP203" s="422" t="str">
        <f ca="1">IFERROR(Área!Z149,"")</f>
        <v/>
      </c>
      <c r="AQ203" s="422"/>
      <c r="AR203" s="400" t="str">
        <f ca="1">Área!Y149</f>
        <v/>
      </c>
      <c r="AS203" s="423"/>
      <c r="AT203" s="72"/>
    </row>
    <row r="204" spans="1:46" ht="12" customHeight="1" x14ac:dyDescent="0.25">
      <c r="A204"/>
      <c r="B204"/>
      <c r="C204" s="397" t="str">
        <f ca="1">Área!C150</f>
        <v/>
      </c>
      <c r="D204" s="398"/>
      <c r="E204" s="398"/>
      <c r="F204" s="398"/>
      <c r="G204" s="396" t="str">
        <f ca="1">Área!F150</f>
        <v/>
      </c>
      <c r="H204" s="396"/>
      <c r="I204" s="398" t="str">
        <f ca="1">Área!G150</f>
        <v/>
      </c>
      <c r="J204" s="398"/>
      <c r="K204" s="396" t="str">
        <f ca="1">Área!H150</f>
        <v/>
      </c>
      <c r="L204" s="396"/>
      <c r="M204" s="396" t="str">
        <f ca="1">Área!I150</f>
        <v/>
      </c>
      <c r="N204" s="396"/>
      <c r="O204" s="396" t="str">
        <f ca="1">Área!J150</f>
        <v/>
      </c>
      <c r="P204" s="396"/>
      <c r="Q204" s="396" t="str">
        <f ca="1">Área!K150</f>
        <v/>
      </c>
      <c r="R204" s="396"/>
      <c r="S204" s="396" t="str">
        <f ca="1">Área!L150</f>
        <v/>
      </c>
      <c r="T204" s="396"/>
      <c r="U204" s="396" t="str">
        <f ca="1">Área!N150</f>
        <v/>
      </c>
      <c r="V204" s="396"/>
      <c r="W204" s="396" t="str">
        <f ca="1">Área!M150</f>
        <v/>
      </c>
      <c r="X204" s="396"/>
      <c r="Y204" s="89" t="str">
        <f ca="1">Área!O150</f>
        <v/>
      </c>
      <c r="Z204" s="399" t="str">
        <f ca="1">Área!P150</f>
        <v/>
      </c>
      <c r="AA204" s="399"/>
      <c r="AB204" s="399"/>
      <c r="AC204" s="399"/>
      <c r="AD204" s="399" t="str">
        <f ca="1">Área!Q150</f>
        <v/>
      </c>
      <c r="AE204" s="399"/>
      <c r="AF204" s="399"/>
      <c r="AG204" s="399"/>
      <c r="AH204" s="400" t="str">
        <f ca="1">Área!R150</f>
        <v/>
      </c>
      <c r="AI204" s="400"/>
      <c r="AJ204" s="400" t="str">
        <f ca="1">Área!S150</f>
        <v/>
      </c>
      <c r="AK204" s="400"/>
      <c r="AL204" s="400" t="str">
        <f ca="1">Área!T150</f>
        <v/>
      </c>
      <c r="AM204" s="400"/>
      <c r="AN204" s="400" t="str">
        <f ca="1">Área!U150</f>
        <v/>
      </c>
      <c r="AO204" s="400"/>
      <c r="AP204" s="422" t="str">
        <f ca="1">IFERROR(Área!Z150,"")</f>
        <v/>
      </c>
      <c r="AQ204" s="422"/>
      <c r="AR204" s="400" t="str">
        <f ca="1">Área!Y150</f>
        <v/>
      </c>
      <c r="AS204" s="423"/>
      <c r="AT204" s="72"/>
    </row>
    <row r="205" spans="1:46" ht="12" customHeight="1" x14ac:dyDescent="0.25">
      <c r="A205"/>
      <c r="B205"/>
      <c r="C205" s="397" t="str">
        <f ca="1">Área!C151</f>
        <v/>
      </c>
      <c r="D205" s="398"/>
      <c r="E205" s="398"/>
      <c r="F205" s="398"/>
      <c r="G205" s="396" t="str">
        <f ca="1">Área!F151</f>
        <v/>
      </c>
      <c r="H205" s="396"/>
      <c r="I205" s="398" t="str">
        <f ca="1">Área!G151</f>
        <v/>
      </c>
      <c r="J205" s="398"/>
      <c r="K205" s="396" t="str">
        <f ca="1">Área!H151</f>
        <v/>
      </c>
      <c r="L205" s="396"/>
      <c r="M205" s="396" t="str">
        <f ca="1">Área!I151</f>
        <v/>
      </c>
      <c r="N205" s="396"/>
      <c r="O205" s="396" t="str">
        <f ca="1">Área!J151</f>
        <v/>
      </c>
      <c r="P205" s="396"/>
      <c r="Q205" s="396" t="str">
        <f ca="1">Área!K151</f>
        <v/>
      </c>
      <c r="R205" s="396"/>
      <c r="S205" s="396" t="str">
        <f ca="1">Área!L151</f>
        <v/>
      </c>
      <c r="T205" s="396"/>
      <c r="U205" s="396" t="str">
        <f ca="1">Área!N151</f>
        <v/>
      </c>
      <c r="V205" s="396"/>
      <c r="W205" s="396" t="str">
        <f ca="1">Área!M151</f>
        <v/>
      </c>
      <c r="X205" s="396"/>
      <c r="Y205" s="89" t="str">
        <f ca="1">Área!O151</f>
        <v/>
      </c>
      <c r="Z205" s="399" t="str">
        <f ca="1">Área!P151</f>
        <v/>
      </c>
      <c r="AA205" s="399"/>
      <c r="AB205" s="399"/>
      <c r="AC205" s="399"/>
      <c r="AD205" s="399" t="str">
        <f ca="1">Área!Q151</f>
        <v/>
      </c>
      <c r="AE205" s="399"/>
      <c r="AF205" s="399"/>
      <c r="AG205" s="399"/>
      <c r="AH205" s="400" t="str">
        <f ca="1">Área!R151</f>
        <v/>
      </c>
      <c r="AI205" s="400"/>
      <c r="AJ205" s="400" t="str">
        <f ca="1">Área!S151</f>
        <v/>
      </c>
      <c r="AK205" s="400"/>
      <c r="AL205" s="400" t="str">
        <f ca="1">Área!T151</f>
        <v/>
      </c>
      <c r="AM205" s="400"/>
      <c r="AN205" s="400" t="str">
        <f ca="1">Área!U151</f>
        <v/>
      </c>
      <c r="AO205" s="400"/>
      <c r="AP205" s="422" t="str">
        <f ca="1">IFERROR(Área!Z151,"")</f>
        <v/>
      </c>
      <c r="AQ205" s="422"/>
      <c r="AR205" s="400" t="str">
        <f ca="1">Área!Y151</f>
        <v/>
      </c>
      <c r="AS205" s="423"/>
      <c r="AT205" s="72"/>
    </row>
    <row r="206" spans="1:46" ht="12" customHeight="1" x14ac:dyDescent="0.25">
      <c r="A206"/>
      <c r="B206"/>
      <c r="C206" s="397" t="str">
        <f ca="1">Área!C152</f>
        <v/>
      </c>
      <c r="D206" s="398"/>
      <c r="E206" s="398"/>
      <c r="F206" s="398"/>
      <c r="G206" s="396" t="str">
        <f ca="1">Área!F152</f>
        <v/>
      </c>
      <c r="H206" s="396"/>
      <c r="I206" s="398" t="str">
        <f ca="1">Área!G152</f>
        <v/>
      </c>
      <c r="J206" s="398"/>
      <c r="K206" s="396" t="str">
        <f ca="1">Área!H152</f>
        <v/>
      </c>
      <c r="L206" s="396"/>
      <c r="M206" s="396" t="str">
        <f ca="1">Área!I152</f>
        <v/>
      </c>
      <c r="N206" s="396"/>
      <c r="O206" s="396" t="str">
        <f ca="1">Área!J152</f>
        <v/>
      </c>
      <c r="P206" s="396"/>
      <c r="Q206" s="396" t="str">
        <f ca="1">Área!K152</f>
        <v/>
      </c>
      <c r="R206" s="396"/>
      <c r="S206" s="396" t="str">
        <f ca="1">Área!L152</f>
        <v/>
      </c>
      <c r="T206" s="396"/>
      <c r="U206" s="396" t="str">
        <f ca="1">Área!N152</f>
        <v/>
      </c>
      <c r="V206" s="396"/>
      <c r="W206" s="396" t="str">
        <f ca="1">Área!M152</f>
        <v/>
      </c>
      <c r="X206" s="396"/>
      <c r="Y206" s="89" t="str">
        <f ca="1">Área!O152</f>
        <v/>
      </c>
      <c r="Z206" s="399" t="str">
        <f ca="1">Área!P152</f>
        <v/>
      </c>
      <c r="AA206" s="399"/>
      <c r="AB206" s="399"/>
      <c r="AC206" s="399"/>
      <c r="AD206" s="399" t="str">
        <f ca="1">Área!Q152</f>
        <v/>
      </c>
      <c r="AE206" s="399"/>
      <c r="AF206" s="399"/>
      <c r="AG206" s="399"/>
      <c r="AH206" s="400" t="str">
        <f ca="1">Área!R152</f>
        <v/>
      </c>
      <c r="AI206" s="400"/>
      <c r="AJ206" s="400" t="str">
        <f ca="1">Área!S152</f>
        <v/>
      </c>
      <c r="AK206" s="400"/>
      <c r="AL206" s="400" t="str">
        <f ca="1">Área!T152</f>
        <v/>
      </c>
      <c r="AM206" s="400"/>
      <c r="AN206" s="400" t="str">
        <f ca="1">Área!U152</f>
        <v/>
      </c>
      <c r="AO206" s="400"/>
      <c r="AP206" s="422" t="str">
        <f ca="1">IFERROR(Área!Z152,"")</f>
        <v/>
      </c>
      <c r="AQ206" s="422"/>
      <c r="AR206" s="400" t="str">
        <f ca="1">Área!Y152</f>
        <v/>
      </c>
      <c r="AS206" s="423"/>
      <c r="AT206" s="72"/>
    </row>
    <row r="207" spans="1:46" ht="12" customHeight="1" x14ac:dyDescent="0.25">
      <c r="A207"/>
      <c r="B207"/>
      <c r="C207" s="397" t="str">
        <f ca="1">Área!C153</f>
        <v/>
      </c>
      <c r="D207" s="398"/>
      <c r="E207" s="398"/>
      <c r="F207" s="398"/>
      <c r="G207" s="396" t="str">
        <f ca="1">Área!F153</f>
        <v/>
      </c>
      <c r="H207" s="396"/>
      <c r="I207" s="398" t="str">
        <f ca="1">Área!G153</f>
        <v/>
      </c>
      <c r="J207" s="398"/>
      <c r="K207" s="396" t="str">
        <f ca="1">Área!H153</f>
        <v/>
      </c>
      <c r="L207" s="396"/>
      <c r="M207" s="396" t="str">
        <f ca="1">Área!I153</f>
        <v/>
      </c>
      <c r="N207" s="396"/>
      <c r="O207" s="396" t="str">
        <f ca="1">Área!J153</f>
        <v/>
      </c>
      <c r="P207" s="396"/>
      <c r="Q207" s="396" t="str">
        <f ca="1">Área!K153</f>
        <v/>
      </c>
      <c r="R207" s="396"/>
      <c r="S207" s="396" t="str">
        <f ca="1">Área!L153</f>
        <v/>
      </c>
      <c r="T207" s="396"/>
      <c r="U207" s="396" t="str">
        <f ca="1">Área!N153</f>
        <v/>
      </c>
      <c r="V207" s="396"/>
      <c r="W207" s="396" t="str">
        <f ca="1">Área!M153</f>
        <v/>
      </c>
      <c r="X207" s="396"/>
      <c r="Y207" s="89" t="str">
        <f ca="1">Área!O153</f>
        <v/>
      </c>
      <c r="Z207" s="399" t="str">
        <f ca="1">Área!P153</f>
        <v/>
      </c>
      <c r="AA207" s="399"/>
      <c r="AB207" s="399"/>
      <c r="AC207" s="399"/>
      <c r="AD207" s="399" t="str">
        <f ca="1">Área!Q153</f>
        <v/>
      </c>
      <c r="AE207" s="399"/>
      <c r="AF207" s="399"/>
      <c r="AG207" s="399"/>
      <c r="AH207" s="400" t="str">
        <f ca="1">Área!R153</f>
        <v/>
      </c>
      <c r="AI207" s="400"/>
      <c r="AJ207" s="400" t="str">
        <f ca="1">Área!S153</f>
        <v/>
      </c>
      <c r="AK207" s="400"/>
      <c r="AL207" s="400" t="str">
        <f ca="1">Área!T153</f>
        <v/>
      </c>
      <c r="AM207" s="400"/>
      <c r="AN207" s="400" t="str">
        <f ca="1">Área!U153</f>
        <v/>
      </c>
      <c r="AO207" s="400"/>
      <c r="AP207" s="422" t="str">
        <f ca="1">IFERROR(Área!Z153,"")</f>
        <v/>
      </c>
      <c r="AQ207" s="422"/>
      <c r="AR207" s="400" t="str">
        <f ca="1">Área!Y153</f>
        <v/>
      </c>
      <c r="AS207" s="423"/>
      <c r="AT207" s="72"/>
    </row>
    <row r="208" spans="1:46" ht="12" customHeight="1" x14ac:dyDescent="0.25">
      <c r="A208"/>
      <c r="B208"/>
      <c r="C208" s="397" t="str">
        <f ca="1">Área!C154</f>
        <v/>
      </c>
      <c r="D208" s="398"/>
      <c r="E208" s="398"/>
      <c r="F208" s="398"/>
      <c r="G208" s="396" t="str">
        <f ca="1">Área!F154</f>
        <v/>
      </c>
      <c r="H208" s="396"/>
      <c r="I208" s="398" t="str">
        <f ca="1">Área!G154</f>
        <v/>
      </c>
      <c r="J208" s="398"/>
      <c r="K208" s="396" t="str">
        <f ca="1">Área!H154</f>
        <v/>
      </c>
      <c r="L208" s="396"/>
      <c r="M208" s="396" t="str">
        <f ca="1">Área!I154</f>
        <v/>
      </c>
      <c r="N208" s="396"/>
      <c r="O208" s="396" t="str">
        <f ca="1">Área!J154</f>
        <v/>
      </c>
      <c r="P208" s="396"/>
      <c r="Q208" s="396" t="str">
        <f ca="1">Área!K154</f>
        <v/>
      </c>
      <c r="R208" s="396"/>
      <c r="S208" s="396" t="str">
        <f ca="1">Área!L154</f>
        <v/>
      </c>
      <c r="T208" s="396"/>
      <c r="U208" s="396" t="str">
        <f ca="1">Área!N154</f>
        <v/>
      </c>
      <c r="V208" s="396"/>
      <c r="W208" s="396" t="str">
        <f ca="1">Área!M154</f>
        <v/>
      </c>
      <c r="X208" s="396"/>
      <c r="Y208" s="89" t="str">
        <f ca="1">Área!O154</f>
        <v/>
      </c>
      <c r="Z208" s="399" t="str">
        <f ca="1">Área!P154</f>
        <v/>
      </c>
      <c r="AA208" s="399"/>
      <c r="AB208" s="399"/>
      <c r="AC208" s="399"/>
      <c r="AD208" s="399" t="str">
        <f ca="1">Área!Q154</f>
        <v/>
      </c>
      <c r="AE208" s="399"/>
      <c r="AF208" s="399"/>
      <c r="AG208" s="399"/>
      <c r="AH208" s="400" t="str">
        <f ca="1">Área!R154</f>
        <v/>
      </c>
      <c r="AI208" s="400"/>
      <c r="AJ208" s="400" t="str">
        <f ca="1">Área!S154</f>
        <v/>
      </c>
      <c r="AK208" s="400"/>
      <c r="AL208" s="400" t="str">
        <f ca="1">Área!T154</f>
        <v/>
      </c>
      <c r="AM208" s="400"/>
      <c r="AN208" s="400" t="str">
        <f ca="1">Área!U154</f>
        <v/>
      </c>
      <c r="AO208" s="400"/>
      <c r="AP208" s="422" t="str">
        <f ca="1">IFERROR(Área!Z154,"")</f>
        <v/>
      </c>
      <c r="AQ208" s="422"/>
      <c r="AR208" s="400" t="str">
        <f ca="1">Área!Y154</f>
        <v/>
      </c>
      <c r="AS208" s="423"/>
      <c r="AT208" s="72"/>
    </row>
    <row r="209" spans="1:46" ht="12" customHeight="1" x14ac:dyDescent="0.25">
      <c r="A209"/>
      <c r="B209"/>
      <c r="C209" s="397" t="str">
        <f ca="1">Área!C155</f>
        <v/>
      </c>
      <c r="D209" s="398"/>
      <c r="E209" s="398"/>
      <c r="F209" s="398"/>
      <c r="G209" s="396" t="str">
        <f ca="1">Área!F155</f>
        <v/>
      </c>
      <c r="H209" s="396"/>
      <c r="I209" s="398" t="str">
        <f ca="1">Área!G155</f>
        <v/>
      </c>
      <c r="J209" s="398"/>
      <c r="K209" s="396" t="str">
        <f ca="1">Área!H155</f>
        <v/>
      </c>
      <c r="L209" s="396"/>
      <c r="M209" s="396" t="str">
        <f ca="1">Área!I155</f>
        <v/>
      </c>
      <c r="N209" s="396"/>
      <c r="O209" s="396" t="str">
        <f ca="1">Área!J155</f>
        <v/>
      </c>
      <c r="P209" s="396"/>
      <c r="Q209" s="396" t="str">
        <f ca="1">Área!K155</f>
        <v/>
      </c>
      <c r="R209" s="396"/>
      <c r="S209" s="396" t="str">
        <f ca="1">Área!L155</f>
        <v/>
      </c>
      <c r="T209" s="396"/>
      <c r="U209" s="396" t="str">
        <f ca="1">Área!N155</f>
        <v/>
      </c>
      <c r="V209" s="396"/>
      <c r="W209" s="396" t="str">
        <f ca="1">Área!M155</f>
        <v/>
      </c>
      <c r="X209" s="396"/>
      <c r="Y209" s="89" t="str">
        <f ca="1">Área!O155</f>
        <v/>
      </c>
      <c r="Z209" s="399" t="str">
        <f ca="1">Área!P155</f>
        <v/>
      </c>
      <c r="AA209" s="399"/>
      <c r="AB209" s="399"/>
      <c r="AC209" s="399"/>
      <c r="AD209" s="399" t="str">
        <f ca="1">Área!Q155</f>
        <v/>
      </c>
      <c r="AE209" s="399"/>
      <c r="AF209" s="399"/>
      <c r="AG209" s="399"/>
      <c r="AH209" s="400" t="str">
        <f ca="1">Área!R155</f>
        <v/>
      </c>
      <c r="AI209" s="400"/>
      <c r="AJ209" s="400" t="str">
        <f ca="1">Área!S155</f>
        <v/>
      </c>
      <c r="AK209" s="400"/>
      <c r="AL209" s="400" t="str">
        <f ca="1">Área!T155</f>
        <v/>
      </c>
      <c r="AM209" s="400"/>
      <c r="AN209" s="400" t="str">
        <f ca="1">Área!U155</f>
        <v/>
      </c>
      <c r="AO209" s="400"/>
      <c r="AP209" s="422" t="str">
        <f ca="1">IFERROR(Área!Z155,"")</f>
        <v/>
      </c>
      <c r="AQ209" s="422"/>
      <c r="AR209" s="400" t="str">
        <f ca="1">Área!Y155</f>
        <v/>
      </c>
      <c r="AS209" s="423"/>
      <c r="AT209" s="72"/>
    </row>
    <row r="210" spans="1:46" ht="12" customHeight="1" x14ac:dyDescent="0.25">
      <c r="A210"/>
      <c r="B210"/>
      <c r="C210" s="397" t="str">
        <f ca="1">Área!C156</f>
        <v/>
      </c>
      <c r="D210" s="398"/>
      <c r="E210" s="398"/>
      <c r="F210" s="398"/>
      <c r="G210" s="396" t="str">
        <f ca="1">Área!F156</f>
        <v/>
      </c>
      <c r="H210" s="396"/>
      <c r="I210" s="398" t="str">
        <f ca="1">Área!G156</f>
        <v/>
      </c>
      <c r="J210" s="398"/>
      <c r="K210" s="396" t="str">
        <f ca="1">Área!H156</f>
        <v/>
      </c>
      <c r="L210" s="396"/>
      <c r="M210" s="396" t="str">
        <f ca="1">Área!I156</f>
        <v/>
      </c>
      <c r="N210" s="396"/>
      <c r="O210" s="396" t="str">
        <f ca="1">Área!J156</f>
        <v/>
      </c>
      <c r="P210" s="396"/>
      <c r="Q210" s="396" t="str">
        <f ca="1">Área!K156</f>
        <v/>
      </c>
      <c r="R210" s="396"/>
      <c r="S210" s="396" t="str">
        <f ca="1">Área!L156</f>
        <v/>
      </c>
      <c r="T210" s="396"/>
      <c r="U210" s="396" t="str">
        <f ca="1">Área!N156</f>
        <v/>
      </c>
      <c r="V210" s="396"/>
      <c r="W210" s="396" t="str">
        <f ca="1">Área!M156</f>
        <v/>
      </c>
      <c r="X210" s="396"/>
      <c r="Y210" s="89" t="str">
        <f ca="1">Área!O156</f>
        <v/>
      </c>
      <c r="Z210" s="399" t="str">
        <f ca="1">Área!P156</f>
        <v/>
      </c>
      <c r="AA210" s="399"/>
      <c r="AB210" s="399"/>
      <c r="AC210" s="399"/>
      <c r="AD210" s="399" t="str">
        <f ca="1">Área!Q156</f>
        <v/>
      </c>
      <c r="AE210" s="399"/>
      <c r="AF210" s="399"/>
      <c r="AG210" s="399"/>
      <c r="AH210" s="400" t="str">
        <f ca="1">Área!R156</f>
        <v/>
      </c>
      <c r="AI210" s="400"/>
      <c r="AJ210" s="400" t="str">
        <f ca="1">Área!S156</f>
        <v/>
      </c>
      <c r="AK210" s="400"/>
      <c r="AL210" s="400" t="str">
        <f ca="1">Área!T156</f>
        <v/>
      </c>
      <c r="AM210" s="400"/>
      <c r="AN210" s="400" t="str">
        <f ca="1">Área!U156</f>
        <v/>
      </c>
      <c r="AO210" s="400"/>
      <c r="AP210" s="422" t="str">
        <f ca="1">IFERROR(Área!Z156,"")</f>
        <v/>
      </c>
      <c r="AQ210" s="422"/>
      <c r="AR210" s="400" t="str">
        <f ca="1">Área!Y156</f>
        <v/>
      </c>
      <c r="AS210" s="423"/>
      <c r="AT210" s="72"/>
    </row>
    <row r="211" spans="1:46" ht="12" customHeight="1" x14ac:dyDescent="0.25">
      <c r="A211"/>
      <c r="B211"/>
      <c r="C211" s="397" t="str">
        <f ca="1">Área!C157</f>
        <v/>
      </c>
      <c r="D211" s="398"/>
      <c r="E211" s="398"/>
      <c r="F211" s="398"/>
      <c r="G211" s="396" t="str">
        <f ca="1">Área!F157</f>
        <v/>
      </c>
      <c r="H211" s="396"/>
      <c r="I211" s="398" t="str">
        <f ca="1">Área!G157</f>
        <v/>
      </c>
      <c r="J211" s="398"/>
      <c r="K211" s="396" t="str">
        <f ca="1">Área!H157</f>
        <v/>
      </c>
      <c r="L211" s="396"/>
      <c r="M211" s="396" t="str">
        <f ca="1">Área!I157</f>
        <v/>
      </c>
      <c r="N211" s="396"/>
      <c r="O211" s="396" t="str">
        <f ca="1">Área!J157</f>
        <v/>
      </c>
      <c r="P211" s="396"/>
      <c r="Q211" s="396" t="str">
        <f ca="1">Área!K157</f>
        <v/>
      </c>
      <c r="R211" s="396"/>
      <c r="S211" s="396" t="str">
        <f ca="1">Área!L157</f>
        <v/>
      </c>
      <c r="T211" s="396"/>
      <c r="U211" s="396" t="str">
        <f ca="1">Área!N157</f>
        <v/>
      </c>
      <c r="V211" s="396"/>
      <c r="W211" s="396" t="str">
        <f ca="1">Área!M157</f>
        <v/>
      </c>
      <c r="X211" s="396"/>
      <c r="Y211" s="89" t="str">
        <f ca="1">Área!O157</f>
        <v/>
      </c>
      <c r="Z211" s="399" t="str">
        <f ca="1">Área!P157</f>
        <v/>
      </c>
      <c r="AA211" s="399"/>
      <c r="AB211" s="399"/>
      <c r="AC211" s="399"/>
      <c r="AD211" s="399" t="str">
        <f ca="1">Área!Q157</f>
        <v/>
      </c>
      <c r="AE211" s="399"/>
      <c r="AF211" s="399"/>
      <c r="AG211" s="399"/>
      <c r="AH211" s="400" t="str">
        <f ca="1">Área!R157</f>
        <v/>
      </c>
      <c r="AI211" s="400"/>
      <c r="AJ211" s="400" t="str">
        <f ca="1">Área!S157</f>
        <v/>
      </c>
      <c r="AK211" s="400"/>
      <c r="AL211" s="400" t="str">
        <f ca="1">Área!T157</f>
        <v/>
      </c>
      <c r="AM211" s="400"/>
      <c r="AN211" s="400" t="str">
        <f ca="1">Área!U157</f>
        <v/>
      </c>
      <c r="AO211" s="400"/>
      <c r="AP211" s="422" t="str">
        <f ca="1">IFERROR(Área!Z157,"")</f>
        <v/>
      </c>
      <c r="AQ211" s="422"/>
      <c r="AR211" s="400" t="str">
        <f ca="1">Área!Y157</f>
        <v/>
      </c>
      <c r="AS211" s="423"/>
      <c r="AT211" s="72"/>
    </row>
    <row r="212" spans="1:46" ht="12" customHeight="1" x14ac:dyDescent="0.25">
      <c r="A212"/>
      <c r="B212"/>
      <c r="C212" s="397" t="str">
        <f ca="1">Área!C158</f>
        <v/>
      </c>
      <c r="D212" s="398"/>
      <c r="E212" s="398"/>
      <c r="F212" s="398"/>
      <c r="G212" s="396" t="str">
        <f ca="1">Área!F158</f>
        <v/>
      </c>
      <c r="H212" s="396"/>
      <c r="I212" s="398" t="str">
        <f ca="1">Área!G158</f>
        <v/>
      </c>
      <c r="J212" s="398"/>
      <c r="K212" s="396" t="str">
        <f ca="1">Área!H158</f>
        <v/>
      </c>
      <c r="L212" s="396"/>
      <c r="M212" s="396" t="str">
        <f ca="1">Área!I158</f>
        <v/>
      </c>
      <c r="N212" s="396"/>
      <c r="O212" s="396" t="str">
        <f ca="1">Área!J158</f>
        <v/>
      </c>
      <c r="P212" s="396"/>
      <c r="Q212" s="396" t="str">
        <f ca="1">Área!K158</f>
        <v/>
      </c>
      <c r="R212" s="396"/>
      <c r="S212" s="396" t="str">
        <f ca="1">Área!L158</f>
        <v/>
      </c>
      <c r="T212" s="396"/>
      <c r="U212" s="396" t="str">
        <f ca="1">Área!N158</f>
        <v/>
      </c>
      <c r="V212" s="396"/>
      <c r="W212" s="396" t="str">
        <f ca="1">Área!M158</f>
        <v/>
      </c>
      <c r="X212" s="396"/>
      <c r="Y212" s="89" t="str">
        <f ca="1">Área!O158</f>
        <v/>
      </c>
      <c r="Z212" s="399" t="str">
        <f ca="1">Área!P158</f>
        <v/>
      </c>
      <c r="AA212" s="399"/>
      <c r="AB212" s="399"/>
      <c r="AC212" s="399"/>
      <c r="AD212" s="399" t="str">
        <f ca="1">Área!Q158</f>
        <v/>
      </c>
      <c r="AE212" s="399"/>
      <c r="AF212" s="399"/>
      <c r="AG212" s="399"/>
      <c r="AH212" s="400" t="str">
        <f ca="1">Área!R158</f>
        <v/>
      </c>
      <c r="AI212" s="400"/>
      <c r="AJ212" s="400" t="str">
        <f ca="1">Área!S158</f>
        <v/>
      </c>
      <c r="AK212" s="400"/>
      <c r="AL212" s="400" t="str">
        <f ca="1">Área!T158</f>
        <v/>
      </c>
      <c r="AM212" s="400"/>
      <c r="AN212" s="400" t="str">
        <f ca="1">Área!U158</f>
        <v/>
      </c>
      <c r="AO212" s="400"/>
      <c r="AP212" s="422" t="str">
        <f ca="1">IFERROR(Área!Z158,"")</f>
        <v/>
      </c>
      <c r="AQ212" s="422"/>
      <c r="AR212" s="400" t="str">
        <f ca="1">Área!Y158</f>
        <v/>
      </c>
      <c r="AS212" s="423"/>
      <c r="AT212" s="72"/>
    </row>
    <row r="213" spans="1:46" ht="12" customHeight="1" x14ac:dyDescent="0.25">
      <c r="A213"/>
      <c r="B213"/>
      <c r="C213" s="397" t="str">
        <f ca="1">Área!C159</f>
        <v/>
      </c>
      <c r="D213" s="398"/>
      <c r="E213" s="398"/>
      <c r="F213" s="398"/>
      <c r="G213" s="396" t="str">
        <f ca="1">Área!F159</f>
        <v/>
      </c>
      <c r="H213" s="396"/>
      <c r="I213" s="398" t="str">
        <f ca="1">Área!G159</f>
        <v/>
      </c>
      <c r="J213" s="398"/>
      <c r="K213" s="396" t="str">
        <f ca="1">Área!H159</f>
        <v/>
      </c>
      <c r="L213" s="396"/>
      <c r="M213" s="396" t="str">
        <f ca="1">Área!I159</f>
        <v/>
      </c>
      <c r="N213" s="396"/>
      <c r="O213" s="396" t="str">
        <f ca="1">Área!J159</f>
        <v/>
      </c>
      <c r="P213" s="396"/>
      <c r="Q213" s="396" t="str">
        <f ca="1">Área!K159</f>
        <v/>
      </c>
      <c r="R213" s="396"/>
      <c r="S213" s="396" t="str">
        <f ca="1">Área!L159</f>
        <v/>
      </c>
      <c r="T213" s="396"/>
      <c r="U213" s="396" t="str">
        <f ca="1">Área!N159</f>
        <v/>
      </c>
      <c r="V213" s="396"/>
      <c r="W213" s="396" t="str">
        <f ca="1">Área!M159</f>
        <v/>
      </c>
      <c r="X213" s="396"/>
      <c r="Y213" s="89" t="str">
        <f ca="1">Área!O159</f>
        <v/>
      </c>
      <c r="Z213" s="399" t="str">
        <f ca="1">Área!P159</f>
        <v/>
      </c>
      <c r="AA213" s="399"/>
      <c r="AB213" s="399"/>
      <c r="AC213" s="399"/>
      <c r="AD213" s="399" t="str">
        <f ca="1">Área!Q159</f>
        <v/>
      </c>
      <c r="AE213" s="399"/>
      <c r="AF213" s="399"/>
      <c r="AG213" s="399"/>
      <c r="AH213" s="400" t="str">
        <f ca="1">Área!R159</f>
        <v/>
      </c>
      <c r="AI213" s="400"/>
      <c r="AJ213" s="400" t="str">
        <f ca="1">Área!S159</f>
        <v/>
      </c>
      <c r="AK213" s="400"/>
      <c r="AL213" s="400" t="str">
        <f ca="1">Área!T159</f>
        <v/>
      </c>
      <c r="AM213" s="400"/>
      <c r="AN213" s="400" t="str">
        <f ca="1">Área!U159</f>
        <v/>
      </c>
      <c r="AO213" s="400"/>
      <c r="AP213" s="422" t="str">
        <f ca="1">IFERROR(Área!Z159,"")</f>
        <v/>
      </c>
      <c r="AQ213" s="422"/>
      <c r="AR213" s="400" t="str">
        <f ca="1">Área!Y159</f>
        <v/>
      </c>
      <c r="AS213" s="423"/>
      <c r="AT213" s="72"/>
    </row>
    <row r="214" spans="1:46" ht="12" customHeight="1" x14ac:dyDescent="0.25">
      <c r="A214"/>
      <c r="B214"/>
      <c r="C214" s="397" t="str">
        <f ca="1">Área!C160</f>
        <v/>
      </c>
      <c r="D214" s="398"/>
      <c r="E214" s="398"/>
      <c r="F214" s="398"/>
      <c r="G214" s="396" t="str">
        <f ca="1">Área!F160</f>
        <v/>
      </c>
      <c r="H214" s="396"/>
      <c r="I214" s="398" t="str">
        <f ca="1">Área!G160</f>
        <v/>
      </c>
      <c r="J214" s="398"/>
      <c r="K214" s="396" t="str">
        <f ca="1">Área!H160</f>
        <v/>
      </c>
      <c r="L214" s="396"/>
      <c r="M214" s="396" t="str">
        <f ca="1">Área!I160</f>
        <v/>
      </c>
      <c r="N214" s="396"/>
      <c r="O214" s="396" t="str">
        <f ca="1">Área!J160</f>
        <v/>
      </c>
      <c r="P214" s="396"/>
      <c r="Q214" s="396" t="str">
        <f ca="1">Área!K160</f>
        <v/>
      </c>
      <c r="R214" s="396"/>
      <c r="S214" s="396" t="str">
        <f ca="1">Área!L160</f>
        <v/>
      </c>
      <c r="T214" s="396"/>
      <c r="U214" s="396" t="str">
        <f ca="1">Área!N160</f>
        <v/>
      </c>
      <c r="V214" s="396"/>
      <c r="W214" s="396" t="str">
        <f ca="1">Área!M160</f>
        <v/>
      </c>
      <c r="X214" s="396"/>
      <c r="Y214" s="89" t="str">
        <f ca="1">Área!O160</f>
        <v/>
      </c>
      <c r="Z214" s="399" t="str">
        <f ca="1">Área!P160</f>
        <v/>
      </c>
      <c r="AA214" s="399"/>
      <c r="AB214" s="399"/>
      <c r="AC214" s="399"/>
      <c r="AD214" s="399" t="str">
        <f ca="1">Área!Q160</f>
        <v/>
      </c>
      <c r="AE214" s="399"/>
      <c r="AF214" s="399"/>
      <c r="AG214" s="399"/>
      <c r="AH214" s="400" t="str">
        <f ca="1">Área!R160</f>
        <v/>
      </c>
      <c r="AI214" s="400"/>
      <c r="AJ214" s="400" t="str">
        <f ca="1">Área!S160</f>
        <v/>
      </c>
      <c r="AK214" s="400"/>
      <c r="AL214" s="400" t="str">
        <f ca="1">Área!T160</f>
        <v/>
      </c>
      <c r="AM214" s="400"/>
      <c r="AN214" s="400" t="str">
        <f ca="1">Área!U160</f>
        <v/>
      </c>
      <c r="AO214" s="400"/>
      <c r="AP214" s="422" t="str">
        <f ca="1">IFERROR(Área!Z160,"")</f>
        <v/>
      </c>
      <c r="AQ214" s="422"/>
      <c r="AR214" s="400" t="str">
        <f ca="1">Área!Y160</f>
        <v/>
      </c>
      <c r="AS214" s="423"/>
      <c r="AT214" s="72"/>
    </row>
    <row r="215" spans="1:46" ht="12" customHeight="1" x14ac:dyDescent="0.25">
      <c r="A215"/>
      <c r="B215"/>
      <c r="C215" s="397" t="str">
        <f ca="1">Área!C161</f>
        <v/>
      </c>
      <c r="D215" s="398"/>
      <c r="E215" s="398"/>
      <c r="F215" s="398"/>
      <c r="G215" s="396" t="str">
        <f ca="1">Área!F161</f>
        <v/>
      </c>
      <c r="H215" s="396"/>
      <c r="I215" s="398" t="str">
        <f ca="1">Área!G161</f>
        <v/>
      </c>
      <c r="J215" s="398"/>
      <c r="K215" s="396" t="str">
        <f ca="1">Área!H161</f>
        <v/>
      </c>
      <c r="L215" s="396"/>
      <c r="M215" s="396" t="str">
        <f ca="1">Área!I161</f>
        <v/>
      </c>
      <c r="N215" s="396"/>
      <c r="O215" s="396" t="str">
        <f ca="1">Área!J161</f>
        <v/>
      </c>
      <c r="P215" s="396"/>
      <c r="Q215" s="396" t="str">
        <f ca="1">Área!K161</f>
        <v/>
      </c>
      <c r="R215" s="396"/>
      <c r="S215" s="396" t="str">
        <f ca="1">Área!L161</f>
        <v/>
      </c>
      <c r="T215" s="396"/>
      <c r="U215" s="396" t="str">
        <f ca="1">Área!N161</f>
        <v/>
      </c>
      <c r="V215" s="396"/>
      <c r="W215" s="396" t="str">
        <f ca="1">Área!M161</f>
        <v/>
      </c>
      <c r="X215" s="396"/>
      <c r="Y215" s="89" t="str">
        <f ca="1">Área!O161</f>
        <v/>
      </c>
      <c r="Z215" s="399" t="str">
        <f ca="1">Área!P161</f>
        <v/>
      </c>
      <c r="AA215" s="399"/>
      <c r="AB215" s="399"/>
      <c r="AC215" s="399"/>
      <c r="AD215" s="399" t="str">
        <f ca="1">Área!Q161</f>
        <v/>
      </c>
      <c r="AE215" s="399"/>
      <c r="AF215" s="399"/>
      <c r="AG215" s="399"/>
      <c r="AH215" s="400" t="str">
        <f ca="1">Área!R161</f>
        <v/>
      </c>
      <c r="AI215" s="400"/>
      <c r="AJ215" s="400" t="str">
        <f ca="1">Área!S161</f>
        <v/>
      </c>
      <c r="AK215" s="400"/>
      <c r="AL215" s="400" t="str">
        <f ca="1">Área!T161</f>
        <v/>
      </c>
      <c r="AM215" s="400"/>
      <c r="AN215" s="400" t="str">
        <f ca="1">Área!U161</f>
        <v/>
      </c>
      <c r="AO215" s="400"/>
      <c r="AP215" s="422" t="str">
        <f ca="1">IFERROR(Área!Z161,"")</f>
        <v/>
      </c>
      <c r="AQ215" s="422"/>
      <c r="AR215" s="400" t="str">
        <f ca="1">Área!Y161</f>
        <v/>
      </c>
      <c r="AS215" s="423"/>
      <c r="AT215" s="72"/>
    </row>
    <row r="216" spans="1:46" ht="12" customHeight="1" x14ac:dyDescent="0.25">
      <c r="A216"/>
      <c r="B216"/>
      <c r="C216" s="397" t="str">
        <f ca="1">Área!C162</f>
        <v/>
      </c>
      <c r="D216" s="398"/>
      <c r="E216" s="398"/>
      <c r="F216" s="398"/>
      <c r="G216" s="396" t="str">
        <f ca="1">Área!F162</f>
        <v/>
      </c>
      <c r="H216" s="396"/>
      <c r="I216" s="398" t="str">
        <f ca="1">Área!G162</f>
        <v/>
      </c>
      <c r="J216" s="398"/>
      <c r="K216" s="396" t="str">
        <f ca="1">Área!H162</f>
        <v/>
      </c>
      <c r="L216" s="396"/>
      <c r="M216" s="396" t="str">
        <f ca="1">Área!I162</f>
        <v/>
      </c>
      <c r="N216" s="396"/>
      <c r="O216" s="396" t="str">
        <f ca="1">Área!J162</f>
        <v/>
      </c>
      <c r="P216" s="396"/>
      <c r="Q216" s="396" t="str">
        <f ca="1">Área!K162</f>
        <v/>
      </c>
      <c r="R216" s="396"/>
      <c r="S216" s="396" t="str">
        <f ca="1">Área!L162</f>
        <v/>
      </c>
      <c r="T216" s="396"/>
      <c r="U216" s="396" t="str">
        <f ca="1">Área!N162</f>
        <v/>
      </c>
      <c r="V216" s="396"/>
      <c r="W216" s="396" t="str">
        <f ca="1">Área!M162</f>
        <v/>
      </c>
      <c r="X216" s="396"/>
      <c r="Y216" s="89" t="str">
        <f ca="1">Área!O162</f>
        <v/>
      </c>
      <c r="Z216" s="399" t="str">
        <f ca="1">Área!P162</f>
        <v/>
      </c>
      <c r="AA216" s="399"/>
      <c r="AB216" s="399"/>
      <c r="AC216" s="399"/>
      <c r="AD216" s="399" t="str">
        <f ca="1">Área!Q162</f>
        <v/>
      </c>
      <c r="AE216" s="399"/>
      <c r="AF216" s="399"/>
      <c r="AG216" s="399"/>
      <c r="AH216" s="400" t="str">
        <f ca="1">Área!R162</f>
        <v/>
      </c>
      <c r="AI216" s="400"/>
      <c r="AJ216" s="400" t="str">
        <f ca="1">Área!S162</f>
        <v/>
      </c>
      <c r="AK216" s="400"/>
      <c r="AL216" s="400" t="str">
        <f ca="1">Área!T162</f>
        <v/>
      </c>
      <c r="AM216" s="400"/>
      <c r="AN216" s="400" t="str">
        <f ca="1">Área!U162</f>
        <v/>
      </c>
      <c r="AO216" s="400"/>
      <c r="AP216" s="422" t="str">
        <f ca="1">IFERROR(Área!Z162,"")</f>
        <v/>
      </c>
      <c r="AQ216" s="422"/>
      <c r="AR216" s="400" t="str">
        <f ca="1">Área!Y162</f>
        <v/>
      </c>
      <c r="AS216" s="423"/>
      <c r="AT216" s="72"/>
    </row>
    <row r="217" spans="1:46" ht="12" customHeight="1" x14ac:dyDescent="0.25">
      <c r="A217"/>
      <c r="B217"/>
      <c r="C217" s="397" t="str">
        <f ca="1">Área!C163</f>
        <v/>
      </c>
      <c r="D217" s="398"/>
      <c r="E217" s="398"/>
      <c r="F217" s="398"/>
      <c r="G217" s="396" t="str">
        <f ca="1">Área!F163</f>
        <v/>
      </c>
      <c r="H217" s="396"/>
      <c r="I217" s="398" t="str">
        <f ca="1">Área!G163</f>
        <v/>
      </c>
      <c r="J217" s="398"/>
      <c r="K217" s="396" t="str">
        <f ca="1">Área!H163</f>
        <v/>
      </c>
      <c r="L217" s="396"/>
      <c r="M217" s="396" t="str">
        <f ca="1">Área!I163</f>
        <v/>
      </c>
      <c r="N217" s="396"/>
      <c r="O217" s="396" t="str">
        <f ca="1">Área!J163</f>
        <v/>
      </c>
      <c r="P217" s="396"/>
      <c r="Q217" s="396" t="str">
        <f ca="1">Área!K163</f>
        <v/>
      </c>
      <c r="R217" s="396"/>
      <c r="S217" s="396" t="str">
        <f ca="1">Área!L163</f>
        <v/>
      </c>
      <c r="T217" s="396"/>
      <c r="U217" s="396" t="str">
        <f ca="1">Área!N163</f>
        <v/>
      </c>
      <c r="V217" s="396"/>
      <c r="W217" s="396" t="str">
        <f ca="1">Área!M163</f>
        <v/>
      </c>
      <c r="X217" s="396"/>
      <c r="Y217" s="89" t="str">
        <f ca="1">Área!O163</f>
        <v/>
      </c>
      <c r="Z217" s="399" t="str">
        <f ca="1">Área!P163</f>
        <v/>
      </c>
      <c r="AA217" s="399"/>
      <c r="AB217" s="399"/>
      <c r="AC217" s="399"/>
      <c r="AD217" s="399" t="str">
        <f ca="1">Área!Q163</f>
        <v/>
      </c>
      <c r="AE217" s="399"/>
      <c r="AF217" s="399"/>
      <c r="AG217" s="399"/>
      <c r="AH217" s="400" t="str">
        <f ca="1">Área!R163</f>
        <v/>
      </c>
      <c r="AI217" s="400"/>
      <c r="AJ217" s="400" t="str">
        <f ca="1">Área!S163</f>
        <v/>
      </c>
      <c r="AK217" s="400"/>
      <c r="AL217" s="400" t="str">
        <f ca="1">Área!T163</f>
        <v/>
      </c>
      <c r="AM217" s="400"/>
      <c r="AN217" s="400" t="str">
        <f ca="1">Área!U163</f>
        <v/>
      </c>
      <c r="AO217" s="400"/>
      <c r="AP217" s="422" t="str">
        <f ca="1">IFERROR(Área!Z163,"")</f>
        <v/>
      </c>
      <c r="AQ217" s="422"/>
      <c r="AR217" s="400" t="str">
        <f ca="1">Área!Y163</f>
        <v/>
      </c>
      <c r="AS217" s="423"/>
      <c r="AT217" s="72"/>
    </row>
    <row r="218" spans="1:46" ht="12" customHeight="1" x14ac:dyDescent="0.25">
      <c r="A218"/>
      <c r="B218"/>
      <c r="C218" s="397" t="str">
        <f ca="1">Área!C164</f>
        <v/>
      </c>
      <c r="D218" s="398"/>
      <c r="E218" s="398"/>
      <c r="F218" s="398"/>
      <c r="G218" s="396" t="str">
        <f ca="1">Área!F164</f>
        <v/>
      </c>
      <c r="H218" s="396"/>
      <c r="I218" s="398" t="str">
        <f ca="1">Área!G164</f>
        <v/>
      </c>
      <c r="J218" s="398"/>
      <c r="K218" s="396" t="str">
        <f ca="1">Área!H164</f>
        <v/>
      </c>
      <c r="L218" s="396"/>
      <c r="M218" s="396" t="str">
        <f ca="1">Área!I164</f>
        <v/>
      </c>
      <c r="N218" s="396"/>
      <c r="O218" s="396" t="str">
        <f ca="1">Área!J164</f>
        <v/>
      </c>
      <c r="P218" s="396"/>
      <c r="Q218" s="396" t="str">
        <f ca="1">Área!K164</f>
        <v/>
      </c>
      <c r="R218" s="396"/>
      <c r="S218" s="396" t="str">
        <f ca="1">Área!L164</f>
        <v/>
      </c>
      <c r="T218" s="396"/>
      <c r="U218" s="396" t="str">
        <f ca="1">Área!N164</f>
        <v/>
      </c>
      <c r="V218" s="396"/>
      <c r="W218" s="396" t="str">
        <f ca="1">Área!M164</f>
        <v/>
      </c>
      <c r="X218" s="396"/>
      <c r="Y218" s="89" t="str">
        <f ca="1">Área!O164</f>
        <v/>
      </c>
      <c r="Z218" s="399" t="str">
        <f ca="1">Área!P164</f>
        <v/>
      </c>
      <c r="AA218" s="399"/>
      <c r="AB218" s="399"/>
      <c r="AC218" s="399"/>
      <c r="AD218" s="399" t="str">
        <f ca="1">Área!Q164</f>
        <v/>
      </c>
      <c r="AE218" s="399"/>
      <c r="AF218" s="399"/>
      <c r="AG218" s="399"/>
      <c r="AH218" s="400" t="str">
        <f ca="1">Área!R164</f>
        <v/>
      </c>
      <c r="AI218" s="400"/>
      <c r="AJ218" s="400" t="str">
        <f ca="1">Área!S164</f>
        <v/>
      </c>
      <c r="AK218" s="400"/>
      <c r="AL218" s="400" t="str">
        <f ca="1">Área!T164</f>
        <v/>
      </c>
      <c r="AM218" s="400"/>
      <c r="AN218" s="400" t="str">
        <f ca="1">Área!U164</f>
        <v/>
      </c>
      <c r="AO218" s="400"/>
      <c r="AP218" s="422" t="str">
        <f ca="1">IFERROR(Área!Z164,"")</f>
        <v/>
      </c>
      <c r="AQ218" s="422"/>
      <c r="AR218" s="400" t="str">
        <f ca="1">Área!Y164</f>
        <v/>
      </c>
      <c r="AS218" s="423"/>
      <c r="AT218" s="72"/>
    </row>
    <row r="219" spans="1:46" ht="12" customHeight="1" x14ac:dyDescent="0.25">
      <c r="A219"/>
      <c r="B219"/>
      <c r="C219" s="397" t="str">
        <f ca="1">Área!C165</f>
        <v/>
      </c>
      <c r="D219" s="398"/>
      <c r="E219" s="398"/>
      <c r="F219" s="398"/>
      <c r="G219" s="396" t="str">
        <f ca="1">Área!F165</f>
        <v/>
      </c>
      <c r="H219" s="396"/>
      <c r="I219" s="398" t="str">
        <f ca="1">Área!G165</f>
        <v/>
      </c>
      <c r="J219" s="398"/>
      <c r="K219" s="396" t="str">
        <f ca="1">Área!H165</f>
        <v/>
      </c>
      <c r="L219" s="396"/>
      <c r="M219" s="396" t="str">
        <f ca="1">Área!I165</f>
        <v/>
      </c>
      <c r="N219" s="396"/>
      <c r="O219" s="396" t="str">
        <f ca="1">Área!J165</f>
        <v/>
      </c>
      <c r="P219" s="396"/>
      <c r="Q219" s="396" t="str">
        <f ca="1">Área!K165</f>
        <v/>
      </c>
      <c r="R219" s="396"/>
      <c r="S219" s="396" t="str">
        <f ca="1">Área!L165</f>
        <v/>
      </c>
      <c r="T219" s="396"/>
      <c r="U219" s="396" t="str">
        <f ca="1">Área!N165</f>
        <v/>
      </c>
      <c r="V219" s="396"/>
      <c r="W219" s="396" t="str">
        <f ca="1">Área!M165</f>
        <v/>
      </c>
      <c r="X219" s="396"/>
      <c r="Y219" s="89" t="str">
        <f ca="1">Área!O165</f>
        <v/>
      </c>
      <c r="Z219" s="399" t="str">
        <f ca="1">Área!P165</f>
        <v/>
      </c>
      <c r="AA219" s="399"/>
      <c r="AB219" s="399"/>
      <c r="AC219" s="399"/>
      <c r="AD219" s="399" t="str">
        <f ca="1">Área!Q165</f>
        <v/>
      </c>
      <c r="AE219" s="399"/>
      <c r="AF219" s="399"/>
      <c r="AG219" s="399"/>
      <c r="AH219" s="400" t="str">
        <f ca="1">Área!R165</f>
        <v/>
      </c>
      <c r="AI219" s="400"/>
      <c r="AJ219" s="400" t="str">
        <f ca="1">Área!S165</f>
        <v/>
      </c>
      <c r="AK219" s="400"/>
      <c r="AL219" s="400" t="str">
        <f ca="1">Área!T165</f>
        <v/>
      </c>
      <c r="AM219" s="400"/>
      <c r="AN219" s="400" t="str">
        <f ca="1">Área!U165</f>
        <v/>
      </c>
      <c r="AO219" s="400"/>
      <c r="AP219" s="422" t="str">
        <f ca="1">IFERROR(Área!Z165,"")</f>
        <v/>
      </c>
      <c r="AQ219" s="422"/>
      <c r="AR219" s="400" t="str">
        <f ca="1">Área!Y165</f>
        <v/>
      </c>
      <c r="AS219" s="423"/>
      <c r="AT219" s="72"/>
    </row>
    <row r="220" spans="1:46" ht="12" customHeight="1" x14ac:dyDescent="0.25">
      <c r="A220"/>
      <c r="B220"/>
      <c r="C220" s="397" t="str">
        <f ca="1">Área!C166</f>
        <v/>
      </c>
      <c r="D220" s="398"/>
      <c r="E220" s="398"/>
      <c r="F220" s="398"/>
      <c r="G220" s="396" t="str">
        <f ca="1">Área!F166</f>
        <v/>
      </c>
      <c r="H220" s="396"/>
      <c r="I220" s="398" t="str">
        <f ca="1">Área!G166</f>
        <v/>
      </c>
      <c r="J220" s="398"/>
      <c r="K220" s="396" t="str">
        <f ca="1">Área!H166</f>
        <v/>
      </c>
      <c r="L220" s="396"/>
      <c r="M220" s="396" t="str">
        <f ca="1">Área!I166</f>
        <v/>
      </c>
      <c r="N220" s="396"/>
      <c r="O220" s="396" t="str">
        <f ca="1">Área!J166</f>
        <v/>
      </c>
      <c r="P220" s="396"/>
      <c r="Q220" s="396" t="str">
        <f ca="1">Área!K166</f>
        <v/>
      </c>
      <c r="R220" s="396"/>
      <c r="S220" s="396" t="str">
        <f ca="1">Área!L166</f>
        <v/>
      </c>
      <c r="T220" s="396"/>
      <c r="U220" s="396" t="str">
        <f ca="1">Área!N166</f>
        <v/>
      </c>
      <c r="V220" s="396"/>
      <c r="W220" s="396" t="str">
        <f ca="1">Área!M166</f>
        <v/>
      </c>
      <c r="X220" s="396"/>
      <c r="Y220" s="89" t="str">
        <f ca="1">Área!O166</f>
        <v/>
      </c>
      <c r="Z220" s="399" t="str">
        <f ca="1">Área!P166</f>
        <v/>
      </c>
      <c r="AA220" s="399"/>
      <c r="AB220" s="399"/>
      <c r="AC220" s="399"/>
      <c r="AD220" s="399" t="str">
        <f ca="1">Área!Q166</f>
        <v/>
      </c>
      <c r="AE220" s="399"/>
      <c r="AF220" s="399"/>
      <c r="AG220" s="399"/>
      <c r="AH220" s="400" t="str">
        <f ca="1">Área!R166</f>
        <v/>
      </c>
      <c r="AI220" s="400"/>
      <c r="AJ220" s="400" t="str">
        <f ca="1">Área!S166</f>
        <v/>
      </c>
      <c r="AK220" s="400"/>
      <c r="AL220" s="400" t="str">
        <f ca="1">Área!T166</f>
        <v/>
      </c>
      <c r="AM220" s="400"/>
      <c r="AN220" s="400" t="str">
        <f ca="1">Área!U166</f>
        <v/>
      </c>
      <c r="AO220" s="400"/>
      <c r="AP220" s="422" t="str">
        <f ca="1">IFERROR(Área!Z166,"")</f>
        <v/>
      </c>
      <c r="AQ220" s="422"/>
      <c r="AR220" s="400" t="str">
        <f ca="1">Área!Y166</f>
        <v/>
      </c>
      <c r="AS220" s="423"/>
      <c r="AT220" s="72"/>
    </row>
    <row r="221" spans="1:46" ht="15" customHeight="1" x14ac:dyDescent="0.25">
      <c r="A221"/>
      <c r="C221" s="397" t="str">
        <f ca="1">Área!C167</f>
        <v/>
      </c>
      <c r="D221" s="398"/>
      <c r="E221" s="398"/>
      <c r="F221" s="398"/>
      <c r="G221" s="396" t="str">
        <f ca="1">Área!F167</f>
        <v/>
      </c>
      <c r="H221" s="396"/>
      <c r="I221" s="398" t="str">
        <f ca="1">Área!G167</f>
        <v/>
      </c>
      <c r="J221" s="398"/>
      <c r="K221" s="396" t="str">
        <f ca="1">Área!H167</f>
        <v/>
      </c>
      <c r="L221" s="396"/>
      <c r="M221" s="396" t="str">
        <f ca="1">Área!I167</f>
        <v/>
      </c>
      <c r="N221" s="396"/>
      <c r="O221" s="396" t="str">
        <f ca="1">Área!J167</f>
        <v/>
      </c>
      <c r="P221" s="396"/>
      <c r="Q221" s="396" t="str">
        <f ca="1">Área!K167</f>
        <v/>
      </c>
      <c r="R221" s="396"/>
      <c r="S221" s="396" t="str">
        <f ca="1">Área!L167</f>
        <v/>
      </c>
      <c r="T221" s="396"/>
      <c r="U221" s="396" t="str">
        <f ca="1">Área!N167</f>
        <v/>
      </c>
      <c r="V221" s="396"/>
      <c r="W221" s="396" t="str">
        <f ca="1">Área!M167</f>
        <v/>
      </c>
      <c r="X221" s="396"/>
      <c r="Y221" s="89" t="str">
        <f ca="1">Área!O167</f>
        <v/>
      </c>
      <c r="Z221" s="399" t="str">
        <f ca="1">Área!P167</f>
        <v/>
      </c>
      <c r="AA221" s="399"/>
      <c r="AB221" s="399"/>
      <c r="AC221" s="399"/>
      <c r="AD221" s="399" t="str">
        <f ca="1">Área!Q167</f>
        <v/>
      </c>
      <c r="AE221" s="399"/>
      <c r="AF221" s="399"/>
      <c r="AG221" s="399"/>
      <c r="AH221" s="400" t="str">
        <f ca="1">Área!R167</f>
        <v/>
      </c>
      <c r="AI221" s="400"/>
      <c r="AJ221" s="400" t="str">
        <f ca="1">Área!S167</f>
        <v/>
      </c>
      <c r="AK221" s="400"/>
      <c r="AL221" s="400" t="str">
        <f ca="1">Área!T167</f>
        <v/>
      </c>
      <c r="AM221" s="400"/>
      <c r="AN221" s="400" t="str">
        <f ca="1">Área!U167</f>
        <v/>
      </c>
      <c r="AO221" s="400"/>
      <c r="AP221" s="422" t="str">
        <f ca="1">IFERROR(Área!Z167,"")</f>
        <v/>
      </c>
      <c r="AQ221" s="422"/>
      <c r="AR221" s="400" t="str">
        <f ca="1">Área!Y167</f>
        <v/>
      </c>
      <c r="AS221" s="423"/>
      <c r="AT221" s="72"/>
    </row>
    <row r="222" spans="1:46" ht="15" customHeight="1" x14ac:dyDescent="0.25">
      <c r="A222"/>
      <c r="C222" s="397" t="str">
        <f ca="1">Área!C168</f>
        <v/>
      </c>
      <c r="D222" s="398"/>
      <c r="E222" s="398"/>
      <c r="F222" s="398"/>
      <c r="G222" s="396" t="str">
        <f ca="1">Área!F168</f>
        <v/>
      </c>
      <c r="H222" s="396"/>
      <c r="I222" s="398" t="str">
        <f ca="1">Área!G168</f>
        <v/>
      </c>
      <c r="J222" s="398"/>
      <c r="K222" s="396" t="str">
        <f ca="1">Área!H168</f>
        <v/>
      </c>
      <c r="L222" s="396"/>
      <c r="M222" s="396" t="str">
        <f ca="1">Área!I168</f>
        <v/>
      </c>
      <c r="N222" s="396"/>
      <c r="O222" s="396" t="str">
        <f ca="1">Área!J168</f>
        <v/>
      </c>
      <c r="P222" s="396"/>
      <c r="Q222" s="396" t="str">
        <f ca="1">Área!K168</f>
        <v/>
      </c>
      <c r="R222" s="396"/>
      <c r="S222" s="396" t="str">
        <f ca="1">Área!L168</f>
        <v/>
      </c>
      <c r="T222" s="396"/>
      <c r="U222" s="396" t="str">
        <f ca="1">Área!N168</f>
        <v/>
      </c>
      <c r="V222" s="396"/>
      <c r="W222" s="396" t="str">
        <f ca="1">Área!M168</f>
        <v/>
      </c>
      <c r="X222" s="396"/>
      <c r="Y222" s="89" t="str">
        <f ca="1">Área!O168</f>
        <v/>
      </c>
      <c r="Z222" s="399" t="str">
        <f ca="1">Área!P168</f>
        <v/>
      </c>
      <c r="AA222" s="399"/>
      <c r="AB222" s="399"/>
      <c r="AC222" s="399"/>
      <c r="AD222" s="399" t="str">
        <f ca="1">Área!Q168</f>
        <v/>
      </c>
      <c r="AE222" s="399"/>
      <c r="AF222" s="399"/>
      <c r="AG222" s="399"/>
      <c r="AH222" s="400" t="str">
        <f ca="1">Área!R168</f>
        <v/>
      </c>
      <c r="AI222" s="400"/>
      <c r="AJ222" s="400" t="str">
        <f ca="1">Área!S168</f>
        <v/>
      </c>
      <c r="AK222" s="400"/>
      <c r="AL222" s="400" t="str">
        <f ca="1">Área!T168</f>
        <v/>
      </c>
      <c r="AM222" s="400"/>
      <c r="AN222" s="400" t="str">
        <f ca="1">Área!U168</f>
        <v/>
      </c>
      <c r="AO222" s="400"/>
      <c r="AP222" s="422" t="str">
        <f ca="1">IFERROR(Área!Z168,"")</f>
        <v/>
      </c>
      <c r="AQ222" s="422"/>
      <c r="AR222" s="400" t="str">
        <f ca="1">Área!Y168</f>
        <v/>
      </c>
      <c r="AS222" s="423"/>
      <c r="AT222" s="72"/>
    </row>
    <row r="223" spans="1:46" ht="15" customHeight="1" x14ac:dyDescent="0.25">
      <c r="A223"/>
      <c r="C223" s="397" t="str">
        <f ca="1">Área!C169</f>
        <v/>
      </c>
      <c r="D223" s="398"/>
      <c r="E223" s="398"/>
      <c r="F223" s="398"/>
      <c r="G223" s="396" t="str">
        <f ca="1">Área!F169</f>
        <v/>
      </c>
      <c r="H223" s="396"/>
      <c r="I223" s="398" t="str">
        <f ca="1">Área!G169</f>
        <v/>
      </c>
      <c r="J223" s="398"/>
      <c r="K223" s="396" t="str">
        <f ca="1">Área!H169</f>
        <v/>
      </c>
      <c r="L223" s="396"/>
      <c r="M223" s="396" t="str">
        <f ca="1">Área!I169</f>
        <v/>
      </c>
      <c r="N223" s="396"/>
      <c r="O223" s="396" t="str">
        <f ca="1">Área!J169</f>
        <v/>
      </c>
      <c r="P223" s="396"/>
      <c r="Q223" s="396" t="str">
        <f ca="1">Área!K169</f>
        <v/>
      </c>
      <c r="R223" s="396"/>
      <c r="S223" s="396" t="str">
        <f ca="1">Área!L169</f>
        <v/>
      </c>
      <c r="T223" s="396"/>
      <c r="U223" s="396" t="str">
        <f ca="1">Área!N169</f>
        <v/>
      </c>
      <c r="V223" s="396"/>
      <c r="W223" s="396" t="str">
        <f ca="1">Área!M169</f>
        <v/>
      </c>
      <c r="X223" s="396"/>
      <c r="Y223" s="89" t="str">
        <f ca="1">Área!O169</f>
        <v/>
      </c>
      <c r="Z223" s="399" t="str">
        <f ca="1">Área!P169</f>
        <v/>
      </c>
      <c r="AA223" s="399"/>
      <c r="AB223" s="399"/>
      <c r="AC223" s="399"/>
      <c r="AD223" s="399" t="str">
        <f ca="1">Área!Q169</f>
        <v/>
      </c>
      <c r="AE223" s="399"/>
      <c r="AF223" s="399"/>
      <c r="AG223" s="399"/>
      <c r="AH223" s="400" t="str">
        <f ca="1">Área!R169</f>
        <v/>
      </c>
      <c r="AI223" s="400"/>
      <c r="AJ223" s="400" t="str">
        <f ca="1">Área!S169</f>
        <v/>
      </c>
      <c r="AK223" s="400"/>
      <c r="AL223" s="400" t="str">
        <f ca="1">Área!T169</f>
        <v/>
      </c>
      <c r="AM223" s="400"/>
      <c r="AN223" s="400" t="str">
        <f ca="1">Área!U169</f>
        <v/>
      </c>
      <c r="AO223" s="400"/>
      <c r="AP223" s="422" t="str">
        <f ca="1">IFERROR(Área!Z169,"")</f>
        <v/>
      </c>
      <c r="AQ223" s="422"/>
      <c r="AR223" s="400" t="str">
        <f ca="1">Área!Y169</f>
        <v/>
      </c>
      <c r="AS223" s="423"/>
      <c r="AT223" s="72"/>
    </row>
    <row r="224" spans="1:46" ht="15" customHeight="1" x14ac:dyDescent="0.25">
      <c r="A224"/>
      <c r="C224" s="397" t="str">
        <f ca="1">Área!C170</f>
        <v/>
      </c>
      <c r="D224" s="398"/>
      <c r="E224" s="398"/>
      <c r="F224" s="398"/>
      <c r="G224" s="396" t="str">
        <f ca="1">Área!F170</f>
        <v/>
      </c>
      <c r="H224" s="396"/>
      <c r="I224" s="398" t="str">
        <f ca="1">Área!G170</f>
        <v/>
      </c>
      <c r="J224" s="398"/>
      <c r="K224" s="396" t="str">
        <f ca="1">Área!H170</f>
        <v/>
      </c>
      <c r="L224" s="396"/>
      <c r="M224" s="396" t="str">
        <f ca="1">Área!I170</f>
        <v/>
      </c>
      <c r="N224" s="396"/>
      <c r="O224" s="396" t="str">
        <f ca="1">Área!J170</f>
        <v/>
      </c>
      <c r="P224" s="396"/>
      <c r="Q224" s="396" t="str">
        <f ca="1">Área!K170</f>
        <v/>
      </c>
      <c r="R224" s="396"/>
      <c r="S224" s="396" t="str">
        <f ca="1">Área!L170</f>
        <v/>
      </c>
      <c r="T224" s="396"/>
      <c r="U224" s="396" t="str">
        <f ca="1">Área!N170</f>
        <v/>
      </c>
      <c r="V224" s="396"/>
      <c r="W224" s="396" t="str">
        <f ca="1">Área!M170</f>
        <v/>
      </c>
      <c r="X224" s="396"/>
      <c r="Y224" s="89" t="str">
        <f ca="1">Área!O170</f>
        <v/>
      </c>
      <c r="Z224" s="399" t="str">
        <f ca="1">Área!P170</f>
        <v/>
      </c>
      <c r="AA224" s="399"/>
      <c r="AB224" s="399"/>
      <c r="AC224" s="399"/>
      <c r="AD224" s="399" t="str">
        <f ca="1">Área!Q170</f>
        <v/>
      </c>
      <c r="AE224" s="399"/>
      <c r="AF224" s="399"/>
      <c r="AG224" s="399"/>
      <c r="AH224" s="400" t="str">
        <f ca="1">Área!R170</f>
        <v/>
      </c>
      <c r="AI224" s="400"/>
      <c r="AJ224" s="400" t="str">
        <f ca="1">Área!S170</f>
        <v/>
      </c>
      <c r="AK224" s="400"/>
      <c r="AL224" s="400" t="str">
        <f ca="1">Área!T170</f>
        <v/>
      </c>
      <c r="AM224" s="400"/>
      <c r="AN224" s="400" t="str">
        <f ca="1">Área!U170</f>
        <v/>
      </c>
      <c r="AO224" s="400"/>
      <c r="AP224" s="422" t="str">
        <f ca="1">IFERROR(Área!Z170,"")</f>
        <v/>
      </c>
      <c r="AQ224" s="422"/>
      <c r="AR224" s="400" t="str">
        <f ca="1">Área!Y170</f>
        <v/>
      </c>
      <c r="AS224" s="423"/>
      <c r="AT224" s="72"/>
    </row>
    <row r="225" spans="1:46" ht="15" customHeight="1" x14ac:dyDescent="0.25">
      <c r="A225"/>
      <c r="C225" s="397" t="str">
        <f ca="1">Área!C171</f>
        <v/>
      </c>
      <c r="D225" s="398"/>
      <c r="E225" s="398"/>
      <c r="F225" s="398"/>
      <c r="G225" s="396" t="str">
        <f ca="1">Área!F171</f>
        <v/>
      </c>
      <c r="H225" s="396"/>
      <c r="I225" s="398" t="str">
        <f ca="1">Área!G171</f>
        <v/>
      </c>
      <c r="J225" s="398"/>
      <c r="K225" s="396" t="str">
        <f ca="1">Área!H171</f>
        <v/>
      </c>
      <c r="L225" s="396"/>
      <c r="M225" s="396" t="str">
        <f ca="1">Área!I171</f>
        <v/>
      </c>
      <c r="N225" s="396"/>
      <c r="O225" s="396" t="str">
        <f ca="1">Área!J171</f>
        <v/>
      </c>
      <c r="P225" s="396"/>
      <c r="Q225" s="396" t="str">
        <f ca="1">Área!K171</f>
        <v/>
      </c>
      <c r="R225" s="396"/>
      <c r="S225" s="396" t="str">
        <f ca="1">Área!L171</f>
        <v/>
      </c>
      <c r="T225" s="396"/>
      <c r="U225" s="396" t="str">
        <f ca="1">Área!N171</f>
        <v/>
      </c>
      <c r="V225" s="396"/>
      <c r="W225" s="396" t="str">
        <f ca="1">Área!M171</f>
        <v/>
      </c>
      <c r="X225" s="396"/>
      <c r="Y225" s="89" t="str">
        <f ca="1">Área!O171</f>
        <v/>
      </c>
      <c r="Z225" s="399" t="str">
        <f ca="1">Área!P171</f>
        <v/>
      </c>
      <c r="AA225" s="399"/>
      <c r="AB225" s="399"/>
      <c r="AC225" s="399"/>
      <c r="AD225" s="399" t="str">
        <f ca="1">Área!Q171</f>
        <v/>
      </c>
      <c r="AE225" s="399"/>
      <c r="AF225" s="399"/>
      <c r="AG225" s="399"/>
      <c r="AH225" s="400" t="str">
        <f ca="1">Área!R171</f>
        <v/>
      </c>
      <c r="AI225" s="400"/>
      <c r="AJ225" s="400" t="str">
        <f ca="1">Área!S171</f>
        <v/>
      </c>
      <c r="AK225" s="400"/>
      <c r="AL225" s="400" t="str">
        <f ca="1">Área!T171</f>
        <v/>
      </c>
      <c r="AM225" s="400"/>
      <c r="AN225" s="400" t="str">
        <f ca="1">Área!U171</f>
        <v/>
      </c>
      <c r="AO225" s="400"/>
      <c r="AP225" s="422" t="str">
        <f ca="1">IFERROR(Área!Z171,"")</f>
        <v/>
      </c>
      <c r="AQ225" s="422"/>
      <c r="AR225" s="400" t="str">
        <f ca="1">Área!Y171</f>
        <v/>
      </c>
      <c r="AS225" s="423"/>
      <c r="AT225" s="72"/>
    </row>
    <row r="226" spans="1:46" ht="15" customHeight="1" x14ac:dyDescent="0.25">
      <c r="A226"/>
      <c r="C226" s="397" t="str">
        <f ca="1">Área!C172</f>
        <v/>
      </c>
      <c r="D226" s="398"/>
      <c r="E226" s="398"/>
      <c r="F226" s="398"/>
      <c r="G226" s="396" t="str">
        <f ca="1">Área!F172</f>
        <v/>
      </c>
      <c r="H226" s="396"/>
      <c r="I226" s="398" t="str">
        <f ca="1">Área!G172</f>
        <v/>
      </c>
      <c r="J226" s="398"/>
      <c r="K226" s="396" t="str">
        <f ca="1">Área!H172</f>
        <v/>
      </c>
      <c r="L226" s="396"/>
      <c r="M226" s="396" t="str">
        <f ca="1">Área!I172</f>
        <v/>
      </c>
      <c r="N226" s="396"/>
      <c r="O226" s="396" t="str">
        <f ca="1">Área!J172</f>
        <v/>
      </c>
      <c r="P226" s="396"/>
      <c r="Q226" s="396" t="str">
        <f ca="1">Área!K172</f>
        <v/>
      </c>
      <c r="R226" s="396"/>
      <c r="S226" s="396" t="str">
        <f ca="1">Área!L172</f>
        <v/>
      </c>
      <c r="T226" s="396"/>
      <c r="U226" s="396" t="str">
        <f ca="1">Área!N172</f>
        <v/>
      </c>
      <c r="V226" s="396"/>
      <c r="W226" s="396" t="str">
        <f ca="1">Área!M172</f>
        <v/>
      </c>
      <c r="X226" s="396"/>
      <c r="Y226" s="89" t="str">
        <f ca="1">Área!O172</f>
        <v/>
      </c>
      <c r="Z226" s="399" t="str">
        <f ca="1">Área!P172</f>
        <v/>
      </c>
      <c r="AA226" s="399"/>
      <c r="AB226" s="399"/>
      <c r="AC226" s="399"/>
      <c r="AD226" s="399" t="str">
        <f ca="1">Área!Q172</f>
        <v/>
      </c>
      <c r="AE226" s="399"/>
      <c r="AF226" s="399"/>
      <c r="AG226" s="399"/>
      <c r="AH226" s="400" t="str">
        <f ca="1">Área!R172</f>
        <v/>
      </c>
      <c r="AI226" s="400"/>
      <c r="AJ226" s="400" t="str">
        <f ca="1">Área!S172</f>
        <v/>
      </c>
      <c r="AK226" s="400"/>
      <c r="AL226" s="400" t="str">
        <f ca="1">Área!T172</f>
        <v/>
      </c>
      <c r="AM226" s="400"/>
      <c r="AN226" s="400" t="str">
        <f ca="1">Área!U172</f>
        <v/>
      </c>
      <c r="AO226" s="400"/>
      <c r="AP226" s="422" t="str">
        <f ca="1">IFERROR(Área!Z172,"")</f>
        <v/>
      </c>
      <c r="AQ226" s="422"/>
      <c r="AR226" s="400" t="str">
        <f ca="1">Área!Y172</f>
        <v/>
      </c>
      <c r="AS226" s="423"/>
      <c r="AT226" s="72"/>
    </row>
    <row r="227" spans="1:46" ht="15" customHeight="1" x14ac:dyDescent="0.25">
      <c r="A227"/>
      <c r="C227" s="397" t="str">
        <f ca="1">Área!C173</f>
        <v/>
      </c>
      <c r="D227" s="398"/>
      <c r="E227" s="398"/>
      <c r="F227" s="398"/>
      <c r="G227" s="396" t="str">
        <f ca="1">Área!F173</f>
        <v/>
      </c>
      <c r="H227" s="396"/>
      <c r="I227" s="398" t="str">
        <f ca="1">Área!G173</f>
        <v/>
      </c>
      <c r="J227" s="398"/>
      <c r="K227" s="396" t="str">
        <f ca="1">Área!H173</f>
        <v/>
      </c>
      <c r="L227" s="396"/>
      <c r="M227" s="396" t="str">
        <f ca="1">Área!I173</f>
        <v/>
      </c>
      <c r="N227" s="396"/>
      <c r="O227" s="396" t="str">
        <f ca="1">Área!J173</f>
        <v/>
      </c>
      <c r="P227" s="396"/>
      <c r="Q227" s="396" t="str">
        <f ca="1">Área!K173</f>
        <v/>
      </c>
      <c r="R227" s="396"/>
      <c r="S227" s="396" t="str">
        <f ca="1">Área!L173</f>
        <v/>
      </c>
      <c r="T227" s="396"/>
      <c r="U227" s="396" t="str">
        <f ca="1">Área!N173</f>
        <v/>
      </c>
      <c r="V227" s="396"/>
      <c r="W227" s="396" t="str">
        <f ca="1">Área!M173</f>
        <v/>
      </c>
      <c r="X227" s="396"/>
      <c r="Y227" s="89" t="str">
        <f ca="1">Área!O173</f>
        <v/>
      </c>
      <c r="Z227" s="399" t="str">
        <f ca="1">Área!P173</f>
        <v/>
      </c>
      <c r="AA227" s="399"/>
      <c r="AB227" s="399"/>
      <c r="AC227" s="399"/>
      <c r="AD227" s="399" t="str">
        <f ca="1">Área!Q173</f>
        <v/>
      </c>
      <c r="AE227" s="399"/>
      <c r="AF227" s="399"/>
      <c r="AG227" s="399"/>
      <c r="AH227" s="400" t="str">
        <f ca="1">Área!R173</f>
        <v/>
      </c>
      <c r="AI227" s="400"/>
      <c r="AJ227" s="400" t="str">
        <f ca="1">Área!S173</f>
        <v/>
      </c>
      <c r="AK227" s="400"/>
      <c r="AL227" s="400" t="str">
        <f ca="1">Área!T173</f>
        <v/>
      </c>
      <c r="AM227" s="400"/>
      <c r="AN227" s="400" t="str">
        <f ca="1">Área!U173</f>
        <v/>
      </c>
      <c r="AO227" s="400"/>
      <c r="AP227" s="422" t="str">
        <f ca="1">IFERROR(Área!Z173,"")</f>
        <v/>
      </c>
      <c r="AQ227" s="422"/>
      <c r="AR227" s="400" t="str">
        <f ca="1">Área!Y173</f>
        <v/>
      </c>
      <c r="AS227" s="423"/>
      <c r="AT227" s="72"/>
    </row>
    <row r="228" spans="1:46" ht="15" customHeight="1" x14ac:dyDescent="0.25">
      <c r="A228"/>
      <c r="C228" s="397" t="str">
        <f ca="1">Área!C174</f>
        <v/>
      </c>
      <c r="D228" s="398"/>
      <c r="E228" s="398"/>
      <c r="F228" s="398"/>
      <c r="G228" s="396" t="str">
        <f ca="1">Área!F174</f>
        <v/>
      </c>
      <c r="H228" s="396"/>
      <c r="I228" s="398" t="str">
        <f ca="1">Área!G174</f>
        <v/>
      </c>
      <c r="J228" s="398"/>
      <c r="K228" s="396" t="str">
        <f ca="1">Área!H174</f>
        <v/>
      </c>
      <c r="L228" s="396"/>
      <c r="M228" s="396" t="str">
        <f ca="1">Área!I174</f>
        <v/>
      </c>
      <c r="N228" s="396"/>
      <c r="O228" s="396" t="str">
        <f ca="1">Área!J174</f>
        <v/>
      </c>
      <c r="P228" s="396"/>
      <c r="Q228" s="396" t="str">
        <f ca="1">Área!K174</f>
        <v/>
      </c>
      <c r="R228" s="396"/>
      <c r="S228" s="396" t="str">
        <f ca="1">Área!L174</f>
        <v/>
      </c>
      <c r="T228" s="396"/>
      <c r="U228" s="396" t="str">
        <f ca="1">Área!N174</f>
        <v/>
      </c>
      <c r="V228" s="396"/>
      <c r="W228" s="396" t="str">
        <f ca="1">Área!M174</f>
        <v/>
      </c>
      <c r="X228" s="396"/>
      <c r="Y228" s="89" t="str">
        <f ca="1">Área!O174</f>
        <v/>
      </c>
      <c r="Z228" s="399" t="str">
        <f ca="1">Área!P174</f>
        <v/>
      </c>
      <c r="AA228" s="399"/>
      <c r="AB228" s="399"/>
      <c r="AC228" s="399"/>
      <c r="AD228" s="399" t="str">
        <f ca="1">Área!Q174</f>
        <v/>
      </c>
      <c r="AE228" s="399"/>
      <c r="AF228" s="399"/>
      <c r="AG228" s="399"/>
      <c r="AH228" s="400" t="str">
        <f ca="1">Área!R174</f>
        <v/>
      </c>
      <c r="AI228" s="400"/>
      <c r="AJ228" s="400" t="str">
        <f ca="1">Área!S174</f>
        <v/>
      </c>
      <c r="AK228" s="400"/>
      <c r="AL228" s="400" t="str">
        <f ca="1">Área!T174</f>
        <v/>
      </c>
      <c r="AM228" s="400"/>
      <c r="AN228" s="400" t="str">
        <f ca="1">Área!U174</f>
        <v/>
      </c>
      <c r="AO228" s="400"/>
      <c r="AP228" s="422" t="str">
        <f ca="1">IFERROR(Área!Z174,"")</f>
        <v/>
      </c>
      <c r="AQ228" s="422"/>
      <c r="AR228" s="400" t="str">
        <f ca="1">Área!Y174</f>
        <v/>
      </c>
      <c r="AS228" s="423"/>
      <c r="AT228" s="72"/>
    </row>
    <row r="229" spans="1:46" ht="15" customHeight="1" x14ac:dyDescent="0.25">
      <c r="A229"/>
      <c r="C229" s="397" t="str">
        <f ca="1">Área!C175</f>
        <v/>
      </c>
      <c r="D229" s="398"/>
      <c r="E229" s="398"/>
      <c r="F229" s="398"/>
      <c r="G229" s="396" t="str">
        <f ca="1">Área!F175</f>
        <v/>
      </c>
      <c r="H229" s="396"/>
      <c r="I229" s="398" t="str">
        <f ca="1">Área!G175</f>
        <v/>
      </c>
      <c r="J229" s="398"/>
      <c r="K229" s="396" t="str">
        <f ca="1">Área!H175</f>
        <v/>
      </c>
      <c r="L229" s="396"/>
      <c r="M229" s="396" t="str">
        <f ca="1">Área!I175</f>
        <v/>
      </c>
      <c r="N229" s="396"/>
      <c r="O229" s="396" t="str">
        <f ca="1">Área!J175</f>
        <v/>
      </c>
      <c r="P229" s="396"/>
      <c r="Q229" s="396" t="str">
        <f ca="1">Área!K175</f>
        <v/>
      </c>
      <c r="R229" s="396"/>
      <c r="S229" s="396" t="str">
        <f ca="1">Área!L175</f>
        <v/>
      </c>
      <c r="T229" s="396"/>
      <c r="U229" s="396" t="str">
        <f ca="1">Área!N175</f>
        <v/>
      </c>
      <c r="V229" s="396"/>
      <c r="W229" s="396" t="str">
        <f ca="1">Área!M175</f>
        <v/>
      </c>
      <c r="X229" s="396"/>
      <c r="Y229" s="89" t="str">
        <f ca="1">Área!O175</f>
        <v/>
      </c>
      <c r="Z229" s="399" t="str">
        <f ca="1">Área!P175</f>
        <v/>
      </c>
      <c r="AA229" s="399"/>
      <c r="AB229" s="399"/>
      <c r="AC229" s="399"/>
      <c r="AD229" s="399" t="str">
        <f ca="1">Área!Q175</f>
        <v/>
      </c>
      <c r="AE229" s="399"/>
      <c r="AF229" s="399"/>
      <c r="AG229" s="399"/>
      <c r="AH229" s="400" t="str">
        <f ca="1">Área!R175</f>
        <v/>
      </c>
      <c r="AI229" s="400"/>
      <c r="AJ229" s="400" t="str">
        <f ca="1">Área!S175</f>
        <v/>
      </c>
      <c r="AK229" s="400"/>
      <c r="AL229" s="400" t="str">
        <f ca="1">Área!T175</f>
        <v/>
      </c>
      <c r="AM229" s="400"/>
      <c r="AN229" s="400" t="str">
        <f ca="1">Área!U175</f>
        <v/>
      </c>
      <c r="AO229" s="400"/>
      <c r="AP229" s="422" t="str">
        <f ca="1">IFERROR(Área!Z175,"")</f>
        <v/>
      </c>
      <c r="AQ229" s="422"/>
      <c r="AR229" s="400" t="str">
        <f ca="1">Área!Y175</f>
        <v/>
      </c>
      <c r="AS229" s="423"/>
      <c r="AT229" s="72"/>
    </row>
    <row r="230" spans="1:46" ht="15" customHeight="1" x14ac:dyDescent="0.25">
      <c r="A230"/>
      <c r="C230" s="397" t="str">
        <f ca="1">Área!C176</f>
        <v/>
      </c>
      <c r="D230" s="398"/>
      <c r="E230" s="398"/>
      <c r="F230" s="398"/>
      <c r="G230" s="396" t="str">
        <f ca="1">Área!F176</f>
        <v/>
      </c>
      <c r="H230" s="396"/>
      <c r="I230" s="398" t="str">
        <f ca="1">Área!G176</f>
        <v/>
      </c>
      <c r="J230" s="398"/>
      <c r="K230" s="396" t="str">
        <f ca="1">Área!H176</f>
        <v/>
      </c>
      <c r="L230" s="396"/>
      <c r="M230" s="396" t="str">
        <f ca="1">Área!I176</f>
        <v/>
      </c>
      <c r="N230" s="396"/>
      <c r="O230" s="396" t="str">
        <f ca="1">Área!J176</f>
        <v/>
      </c>
      <c r="P230" s="396"/>
      <c r="Q230" s="396" t="str">
        <f ca="1">Área!K176</f>
        <v/>
      </c>
      <c r="R230" s="396"/>
      <c r="S230" s="396" t="str">
        <f ca="1">Área!L176</f>
        <v/>
      </c>
      <c r="T230" s="396"/>
      <c r="U230" s="396" t="str">
        <f ca="1">Área!N176</f>
        <v/>
      </c>
      <c r="V230" s="396"/>
      <c r="W230" s="396" t="str">
        <f ca="1">Área!M176</f>
        <v/>
      </c>
      <c r="X230" s="396"/>
      <c r="Y230" s="89" t="str">
        <f ca="1">Área!O176</f>
        <v/>
      </c>
      <c r="Z230" s="399" t="str">
        <f ca="1">Área!P176</f>
        <v/>
      </c>
      <c r="AA230" s="399"/>
      <c r="AB230" s="399"/>
      <c r="AC230" s="399"/>
      <c r="AD230" s="399" t="str">
        <f ca="1">Área!Q176</f>
        <v/>
      </c>
      <c r="AE230" s="399"/>
      <c r="AF230" s="399"/>
      <c r="AG230" s="399"/>
      <c r="AH230" s="400" t="str">
        <f ca="1">Área!R176</f>
        <v/>
      </c>
      <c r="AI230" s="400"/>
      <c r="AJ230" s="400" t="str">
        <f ca="1">Área!S176</f>
        <v/>
      </c>
      <c r="AK230" s="400"/>
      <c r="AL230" s="400" t="str">
        <f ca="1">Área!T176</f>
        <v/>
      </c>
      <c r="AM230" s="400"/>
      <c r="AN230" s="400" t="str">
        <f ca="1">Área!U176</f>
        <v/>
      </c>
      <c r="AO230" s="400"/>
      <c r="AP230" s="422" t="str">
        <f ca="1">IFERROR(Área!Z176,"")</f>
        <v/>
      </c>
      <c r="AQ230" s="422"/>
      <c r="AR230" s="400" t="str">
        <f ca="1">Área!Y176</f>
        <v/>
      </c>
      <c r="AS230" s="423"/>
      <c r="AT230" s="72"/>
    </row>
    <row r="231" spans="1:46" ht="15" customHeight="1" x14ac:dyDescent="0.25">
      <c r="A231"/>
      <c r="C231" s="397" t="str">
        <f ca="1">Área!C177</f>
        <v/>
      </c>
      <c r="D231" s="398"/>
      <c r="E231" s="398"/>
      <c r="F231" s="398"/>
      <c r="G231" s="396" t="str">
        <f ca="1">Área!F177</f>
        <v/>
      </c>
      <c r="H231" s="396"/>
      <c r="I231" s="398" t="str">
        <f ca="1">Área!G177</f>
        <v/>
      </c>
      <c r="J231" s="398"/>
      <c r="K231" s="396" t="str">
        <f ca="1">Área!H177</f>
        <v/>
      </c>
      <c r="L231" s="396"/>
      <c r="M231" s="396" t="str">
        <f ca="1">Área!I177</f>
        <v/>
      </c>
      <c r="N231" s="396"/>
      <c r="O231" s="396" t="str">
        <f ca="1">Área!J177</f>
        <v/>
      </c>
      <c r="P231" s="396"/>
      <c r="Q231" s="396" t="str">
        <f ca="1">Área!K177</f>
        <v/>
      </c>
      <c r="R231" s="396"/>
      <c r="S231" s="396" t="str">
        <f ca="1">Área!L177</f>
        <v/>
      </c>
      <c r="T231" s="396"/>
      <c r="U231" s="396" t="str">
        <f ca="1">Área!N177</f>
        <v/>
      </c>
      <c r="V231" s="396"/>
      <c r="W231" s="396" t="str">
        <f ca="1">Área!M177</f>
        <v/>
      </c>
      <c r="X231" s="396"/>
      <c r="Y231" s="89" t="str">
        <f ca="1">Área!O177</f>
        <v/>
      </c>
      <c r="Z231" s="399" t="str">
        <f ca="1">Área!P177</f>
        <v/>
      </c>
      <c r="AA231" s="399"/>
      <c r="AB231" s="399"/>
      <c r="AC231" s="399"/>
      <c r="AD231" s="399" t="str">
        <f ca="1">Área!Q177</f>
        <v/>
      </c>
      <c r="AE231" s="399"/>
      <c r="AF231" s="399"/>
      <c r="AG231" s="399"/>
      <c r="AH231" s="400" t="str">
        <f ca="1">Área!R177</f>
        <v/>
      </c>
      <c r="AI231" s="400"/>
      <c r="AJ231" s="400" t="str">
        <f ca="1">Área!S177</f>
        <v/>
      </c>
      <c r="AK231" s="400"/>
      <c r="AL231" s="400" t="str">
        <f ca="1">Área!T177</f>
        <v/>
      </c>
      <c r="AM231" s="400"/>
      <c r="AN231" s="400" t="str">
        <f ca="1">Área!U177</f>
        <v/>
      </c>
      <c r="AO231" s="400"/>
      <c r="AP231" s="422" t="str">
        <f ca="1">IFERROR(Área!Z177,"")</f>
        <v/>
      </c>
      <c r="AQ231" s="422"/>
      <c r="AR231" s="400" t="str">
        <f ca="1">Área!Y177</f>
        <v/>
      </c>
      <c r="AS231" s="423"/>
      <c r="AT231" s="72"/>
    </row>
    <row r="232" spans="1:46" ht="15" customHeight="1" x14ac:dyDescent="0.25">
      <c r="A232"/>
      <c r="C232" s="397" t="str">
        <f ca="1">Área!C178</f>
        <v/>
      </c>
      <c r="D232" s="398"/>
      <c r="E232" s="398"/>
      <c r="F232" s="398"/>
      <c r="G232" s="396" t="str">
        <f ca="1">Área!F178</f>
        <v/>
      </c>
      <c r="H232" s="396"/>
      <c r="I232" s="398" t="str">
        <f ca="1">Área!G178</f>
        <v/>
      </c>
      <c r="J232" s="398"/>
      <c r="K232" s="396" t="str">
        <f ca="1">Área!H178</f>
        <v/>
      </c>
      <c r="L232" s="396"/>
      <c r="M232" s="396" t="str">
        <f ca="1">Área!I178</f>
        <v/>
      </c>
      <c r="N232" s="396"/>
      <c r="O232" s="396" t="str">
        <f ca="1">Área!J178</f>
        <v/>
      </c>
      <c r="P232" s="396"/>
      <c r="Q232" s="396" t="str">
        <f ca="1">Área!K178</f>
        <v/>
      </c>
      <c r="R232" s="396"/>
      <c r="S232" s="396" t="str">
        <f ca="1">Área!L178</f>
        <v/>
      </c>
      <c r="T232" s="396"/>
      <c r="U232" s="396" t="str">
        <f ca="1">Área!N178</f>
        <v/>
      </c>
      <c r="V232" s="396"/>
      <c r="W232" s="396" t="str">
        <f ca="1">Área!M178</f>
        <v/>
      </c>
      <c r="X232" s="396"/>
      <c r="Y232" s="89" t="str">
        <f ca="1">Área!O178</f>
        <v/>
      </c>
      <c r="Z232" s="399" t="str">
        <f ca="1">Área!P178</f>
        <v/>
      </c>
      <c r="AA232" s="399"/>
      <c r="AB232" s="399"/>
      <c r="AC232" s="399"/>
      <c r="AD232" s="399" t="str">
        <f ca="1">Área!Q178</f>
        <v/>
      </c>
      <c r="AE232" s="399"/>
      <c r="AF232" s="399"/>
      <c r="AG232" s="399"/>
      <c r="AH232" s="400" t="str">
        <f ca="1">Área!R178</f>
        <v/>
      </c>
      <c r="AI232" s="400"/>
      <c r="AJ232" s="400" t="str">
        <f ca="1">Área!S178</f>
        <v/>
      </c>
      <c r="AK232" s="400"/>
      <c r="AL232" s="400" t="str">
        <f ca="1">Área!T178</f>
        <v/>
      </c>
      <c r="AM232" s="400"/>
      <c r="AN232" s="400" t="str">
        <f ca="1">Área!U178</f>
        <v/>
      </c>
      <c r="AO232" s="400"/>
      <c r="AP232" s="422" t="str">
        <f ca="1">IFERROR(Área!Z178,"")</f>
        <v/>
      </c>
      <c r="AQ232" s="422"/>
      <c r="AR232" s="400" t="str">
        <f ca="1">Área!Y178</f>
        <v/>
      </c>
      <c r="AS232" s="423"/>
      <c r="AT232" s="72"/>
    </row>
    <row r="233" spans="1:46" ht="15" customHeight="1" x14ac:dyDescent="0.25">
      <c r="A233"/>
      <c r="C233" s="397" t="str">
        <f ca="1">Área!C179</f>
        <v/>
      </c>
      <c r="D233" s="398"/>
      <c r="E233" s="398"/>
      <c r="F233" s="398"/>
      <c r="G233" s="396" t="str">
        <f ca="1">Área!F179</f>
        <v/>
      </c>
      <c r="H233" s="396"/>
      <c r="I233" s="398" t="str">
        <f ca="1">Área!G179</f>
        <v/>
      </c>
      <c r="J233" s="398"/>
      <c r="K233" s="396" t="str">
        <f ca="1">Área!H179</f>
        <v/>
      </c>
      <c r="L233" s="396"/>
      <c r="M233" s="396" t="str">
        <f ca="1">Área!I179</f>
        <v/>
      </c>
      <c r="N233" s="396"/>
      <c r="O233" s="396" t="str">
        <f ca="1">Área!J179</f>
        <v/>
      </c>
      <c r="P233" s="396"/>
      <c r="Q233" s="396" t="str">
        <f ca="1">Área!K179</f>
        <v/>
      </c>
      <c r="R233" s="396"/>
      <c r="S233" s="396" t="str">
        <f ca="1">Área!L179</f>
        <v/>
      </c>
      <c r="T233" s="396"/>
      <c r="U233" s="396" t="str">
        <f ca="1">Área!N179</f>
        <v/>
      </c>
      <c r="V233" s="396"/>
      <c r="W233" s="396" t="str">
        <f ca="1">Área!M179</f>
        <v/>
      </c>
      <c r="X233" s="396"/>
      <c r="Y233" s="89" t="str">
        <f ca="1">Área!O179</f>
        <v/>
      </c>
      <c r="Z233" s="399" t="str">
        <f ca="1">Área!P179</f>
        <v/>
      </c>
      <c r="AA233" s="399"/>
      <c r="AB233" s="399"/>
      <c r="AC233" s="399"/>
      <c r="AD233" s="399" t="str">
        <f ca="1">Área!Q179</f>
        <v/>
      </c>
      <c r="AE233" s="399"/>
      <c r="AF233" s="399"/>
      <c r="AG233" s="399"/>
      <c r="AH233" s="400" t="str">
        <f ca="1">Área!R179</f>
        <v/>
      </c>
      <c r="AI233" s="400"/>
      <c r="AJ233" s="400" t="str">
        <f ca="1">Área!S179</f>
        <v/>
      </c>
      <c r="AK233" s="400"/>
      <c r="AL233" s="400" t="str">
        <f ca="1">Área!T179</f>
        <v/>
      </c>
      <c r="AM233" s="400"/>
      <c r="AN233" s="400" t="str">
        <f ca="1">Área!U179</f>
        <v/>
      </c>
      <c r="AO233" s="400"/>
      <c r="AP233" s="422" t="str">
        <f ca="1">IFERROR(Área!Z179,"")</f>
        <v/>
      </c>
      <c r="AQ233" s="422"/>
      <c r="AR233" s="400" t="str">
        <f ca="1">Área!Y179</f>
        <v/>
      </c>
      <c r="AS233" s="423"/>
      <c r="AT233" s="72"/>
    </row>
    <row r="234" spans="1:46" ht="15" customHeight="1" x14ac:dyDescent="0.25">
      <c r="A234"/>
      <c r="C234" s="397" t="str">
        <f ca="1">Área!C180</f>
        <v/>
      </c>
      <c r="D234" s="398"/>
      <c r="E234" s="398"/>
      <c r="F234" s="398"/>
      <c r="G234" s="396" t="str">
        <f ca="1">Área!F180</f>
        <v/>
      </c>
      <c r="H234" s="396"/>
      <c r="I234" s="398" t="str">
        <f ca="1">Área!G180</f>
        <v/>
      </c>
      <c r="J234" s="398"/>
      <c r="K234" s="396" t="str">
        <f ca="1">Área!H180</f>
        <v/>
      </c>
      <c r="L234" s="396"/>
      <c r="M234" s="396" t="str">
        <f ca="1">Área!I180</f>
        <v/>
      </c>
      <c r="N234" s="396"/>
      <c r="O234" s="396" t="str">
        <f ca="1">Área!J180</f>
        <v/>
      </c>
      <c r="P234" s="396"/>
      <c r="Q234" s="396" t="str">
        <f ca="1">Área!K180</f>
        <v/>
      </c>
      <c r="R234" s="396"/>
      <c r="S234" s="396" t="str">
        <f ca="1">Área!L180</f>
        <v/>
      </c>
      <c r="T234" s="396"/>
      <c r="U234" s="396" t="str">
        <f ca="1">Área!N180</f>
        <v/>
      </c>
      <c r="V234" s="396"/>
      <c r="W234" s="396" t="str">
        <f ca="1">Área!M180</f>
        <v/>
      </c>
      <c r="X234" s="396"/>
      <c r="Y234" s="89" t="str">
        <f ca="1">Área!O180</f>
        <v/>
      </c>
      <c r="Z234" s="399" t="str">
        <f ca="1">Área!P180</f>
        <v/>
      </c>
      <c r="AA234" s="399"/>
      <c r="AB234" s="399"/>
      <c r="AC234" s="399"/>
      <c r="AD234" s="399" t="str">
        <f ca="1">Área!Q180</f>
        <v/>
      </c>
      <c r="AE234" s="399"/>
      <c r="AF234" s="399"/>
      <c r="AG234" s="399"/>
      <c r="AH234" s="400" t="str">
        <f ca="1">Área!R180</f>
        <v/>
      </c>
      <c r="AI234" s="400"/>
      <c r="AJ234" s="400" t="str">
        <f ca="1">Área!S180</f>
        <v/>
      </c>
      <c r="AK234" s="400"/>
      <c r="AL234" s="400" t="str">
        <f ca="1">Área!T180</f>
        <v/>
      </c>
      <c r="AM234" s="400"/>
      <c r="AN234" s="400" t="str">
        <f ca="1">Área!U180</f>
        <v/>
      </c>
      <c r="AO234" s="400"/>
      <c r="AP234" s="422" t="str">
        <f ca="1">IFERROR(Área!Z180,"")</f>
        <v/>
      </c>
      <c r="AQ234" s="422"/>
      <c r="AR234" s="400" t="str">
        <f ca="1">Área!Y180</f>
        <v/>
      </c>
      <c r="AS234" s="423"/>
      <c r="AT234" s="72"/>
    </row>
    <row r="235" spans="1:46" ht="15" customHeight="1" x14ac:dyDescent="0.25">
      <c r="A235"/>
      <c r="C235" s="397" t="str">
        <f ca="1">Área!C181</f>
        <v/>
      </c>
      <c r="D235" s="398"/>
      <c r="E235" s="398"/>
      <c r="F235" s="398"/>
      <c r="G235" s="396" t="str">
        <f ca="1">Área!F181</f>
        <v/>
      </c>
      <c r="H235" s="396"/>
      <c r="I235" s="398" t="str">
        <f ca="1">Área!G181</f>
        <v/>
      </c>
      <c r="J235" s="398"/>
      <c r="K235" s="396" t="str">
        <f ca="1">Área!H181</f>
        <v/>
      </c>
      <c r="L235" s="396"/>
      <c r="M235" s="396" t="str">
        <f ca="1">Área!I181</f>
        <v/>
      </c>
      <c r="N235" s="396"/>
      <c r="O235" s="396" t="str">
        <f ca="1">Área!J181</f>
        <v/>
      </c>
      <c r="P235" s="396"/>
      <c r="Q235" s="396" t="str">
        <f ca="1">Área!K181</f>
        <v/>
      </c>
      <c r="R235" s="396"/>
      <c r="S235" s="396" t="str">
        <f ca="1">Área!L181</f>
        <v/>
      </c>
      <c r="T235" s="396"/>
      <c r="U235" s="396" t="str">
        <f ca="1">Área!N181</f>
        <v/>
      </c>
      <c r="V235" s="396"/>
      <c r="W235" s="396" t="str">
        <f ca="1">Área!M181</f>
        <v/>
      </c>
      <c r="X235" s="396"/>
      <c r="Y235" s="89" t="str">
        <f ca="1">Área!O181</f>
        <v/>
      </c>
      <c r="Z235" s="399" t="str">
        <f ca="1">Área!P181</f>
        <v/>
      </c>
      <c r="AA235" s="399"/>
      <c r="AB235" s="399"/>
      <c r="AC235" s="399"/>
      <c r="AD235" s="399" t="str">
        <f ca="1">Área!Q181</f>
        <v/>
      </c>
      <c r="AE235" s="399"/>
      <c r="AF235" s="399"/>
      <c r="AG235" s="399"/>
      <c r="AH235" s="400" t="str">
        <f ca="1">Área!R181</f>
        <v/>
      </c>
      <c r="AI235" s="400"/>
      <c r="AJ235" s="400" t="str">
        <f ca="1">Área!S181</f>
        <v/>
      </c>
      <c r="AK235" s="400"/>
      <c r="AL235" s="400" t="str">
        <f ca="1">Área!T181</f>
        <v/>
      </c>
      <c r="AM235" s="400"/>
      <c r="AN235" s="400" t="str">
        <f ca="1">Área!U181</f>
        <v/>
      </c>
      <c r="AO235" s="400"/>
      <c r="AP235" s="422" t="str">
        <f ca="1">IFERROR(Área!Z181,"")</f>
        <v/>
      </c>
      <c r="AQ235" s="422"/>
      <c r="AR235" s="400" t="str">
        <f ca="1">Área!Y181</f>
        <v/>
      </c>
      <c r="AS235" s="423"/>
      <c r="AT235" s="72"/>
    </row>
    <row r="236" spans="1:46" ht="15" customHeight="1" x14ac:dyDescent="0.25">
      <c r="A236"/>
      <c r="C236" s="397" t="str">
        <f ca="1">Área!C182</f>
        <v/>
      </c>
      <c r="D236" s="398"/>
      <c r="E236" s="398"/>
      <c r="F236" s="398"/>
      <c r="G236" s="396" t="str">
        <f ca="1">Área!F182</f>
        <v/>
      </c>
      <c r="H236" s="396"/>
      <c r="I236" s="398" t="str">
        <f ca="1">Área!G182</f>
        <v/>
      </c>
      <c r="J236" s="398"/>
      <c r="K236" s="396" t="str">
        <f ca="1">Área!H182</f>
        <v/>
      </c>
      <c r="L236" s="396"/>
      <c r="M236" s="396" t="str">
        <f ca="1">Área!I182</f>
        <v/>
      </c>
      <c r="N236" s="396"/>
      <c r="O236" s="396" t="str">
        <f ca="1">Área!J182</f>
        <v/>
      </c>
      <c r="P236" s="396"/>
      <c r="Q236" s="396" t="str">
        <f ca="1">Área!K182</f>
        <v/>
      </c>
      <c r="R236" s="396"/>
      <c r="S236" s="396" t="str">
        <f ca="1">Área!L182</f>
        <v/>
      </c>
      <c r="T236" s="396"/>
      <c r="U236" s="396" t="str">
        <f ca="1">Área!N182</f>
        <v/>
      </c>
      <c r="V236" s="396"/>
      <c r="W236" s="396" t="str">
        <f ca="1">Área!M182</f>
        <v/>
      </c>
      <c r="X236" s="396"/>
      <c r="Y236" s="89" t="str">
        <f ca="1">Área!O182</f>
        <v/>
      </c>
      <c r="Z236" s="399" t="str">
        <f ca="1">Área!P182</f>
        <v/>
      </c>
      <c r="AA236" s="399"/>
      <c r="AB236" s="399"/>
      <c r="AC236" s="399"/>
      <c r="AD236" s="399" t="str">
        <f ca="1">Área!Q182</f>
        <v/>
      </c>
      <c r="AE236" s="399"/>
      <c r="AF236" s="399"/>
      <c r="AG236" s="399"/>
      <c r="AH236" s="400" t="str">
        <f ca="1">Área!R182</f>
        <v/>
      </c>
      <c r="AI236" s="400"/>
      <c r="AJ236" s="400" t="str">
        <f ca="1">Área!S182</f>
        <v/>
      </c>
      <c r="AK236" s="400"/>
      <c r="AL236" s="400" t="str">
        <f ca="1">Área!T182</f>
        <v/>
      </c>
      <c r="AM236" s="400"/>
      <c r="AN236" s="400" t="str">
        <f ca="1">Área!U182</f>
        <v/>
      </c>
      <c r="AO236" s="400"/>
      <c r="AP236" s="422" t="str">
        <f ca="1">IFERROR(Área!Z182,"")</f>
        <v/>
      </c>
      <c r="AQ236" s="422"/>
      <c r="AR236" s="400" t="str">
        <f ca="1">Área!Y182</f>
        <v/>
      </c>
      <c r="AS236" s="423"/>
      <c r="AT236" s="72"/>
    </row>
    <row r="237" spans="1:46" ht="15" customHeight="1" x14ac:dyDescent="0.25">
      <c r="A237"/>
      <c r="C237" s="397" t="str">
        <f ca="1">Área!C183</f>
        <v/>
      </c>
      <c r="D237" s="398"/>
      <c r="E237" s="398"/>
      <c r="F237" s="398"/>
      <c r="G237" s="396" t="str">
        <f ca="1">Área!F183</f>
        <v/>
      </c>
      <c r="H237" s="396"/>
      <c r="I237" s="398" t="str">
        <f ca="1">Área!G183</f>
        <v/>
      </c>
      <c r="J237" s="398"/>
      <c r="K237" s="396" t="str">
        <f ca="1">Área!H183</f>
        <v/>
      </c>
      <c r="L237" s="396"/>
      <c r="M237" s="396" t="str">
        <f ca="1">Área!I183</f>
        <v/>
      </c>
      <c r="N237" s="396"/>
      <c r="O237" s="396" t="str">
        <f ca="1">Área!J183</f>
        <v/>
      </c>
      <c r="P237" s="396"/>
      <c r="Q237" s="396" t="str">
        <f ca="1">Área!K183</f>
        <v/>
      </c>
      <c r="R237" s="396"/>
      <c r="S237" s="396" t="str">
        <f ca="1">Área!L183</f>
        <v/>
      </c>
      <c r="T237" s="396"/>
      <c r="U237" s="396" t="str">
        <f ca="1">Área!N183</f>
        <v/>
      </c>
      <c r="V237" s="396"/>
      <c r="W237" s="396" t="str">
        <f ca="1">Área!M183</f>
        <v/>
      </c>
      <c r="X237" s="396"/>
      <c r="Y237" s="89" t="str">
        <f ca="1">Área!O183</f>
        <v/>
      </c>
      <c r="Z237" s="399" t="str">
        <f ca="1">Área!P183</f>
        <v/>
      </c>
      <c r="AA237" s="399"/>
      <c r="AB237" s="399"/>
      <c r="AC237" s="399"/>
      <c r="AD237" s="399" t="str">
        <f ca="1">Área!Q183</f>
        <v/>
      </c>
      <c r="AE237" s="399"/>
      <c r="AF237" s="399"/>
      <c r="AG237" s="399"/>
      <c r="AH237" s="400" t="str">
        <f ca="1">Área!R183</f>
        <v/>
      </c>
      <c r="AI237" s="400"/>
      <c r="AJ237" s="400" t="str">
        <f ca="1">Área!S183</f>
        <v/>
      </c>
      <c r="AK237" s="400"/>
      <c r="AL237" s="400" t="str">
        <f ca="1">Área!T183</f>
        <v/>
      </c>
      <c r="AM237" s="400"/>
      <c r="AN237" s="400" t="str">
        <f ca="1">Área!U183</f>
        <v/>
      </c>
      <c r="AO237" s="400"/>
      <c r="AP237" s="422" t="str">
        <f ca="1">IFERROR(Área!Z183,"")</f>
        <v/>
      </c>
      <c r="AQ237" s="422"/>
      <c r="AR237" s="400" t="str">
        <f ca="1">Área!Y183</f>
        <v/>
      </c>
      <c r="AS237" s="423"/>
      <c r="AT237" s="72"/>
    </row>
    <row r="238" spans="1:46" ht="15" customHeight="1" x14ac:dyDescent="0.25">
      <c r="A238"/>
      <c r="C238" s="397" t="str">
        <f ca="1">Área!C184</f>
        <v/>
      </c>
      <c r="D238" s="398"/>
      <c r="E238" s="398"/>
      <c r="F238" s="398"/>
      <c r="G238" s="396" t="str">
        <f ca="1">Área!F184</f>
        <v/>
      </c>
      <c r="H238" s="396"/>
      <c r="I238" s="398" t="str">
        <f ca="1">Área!G184</f>
        <v/>
      </c>
      <c r="J238" s="398"/>
      <c r="K238" s="396" t="str">
        <f ca="1">Área!H184</f>
        <v/>
      </c>
      <c r="L238" s="396"/>
      <c r="M238" s="396" t="str">
        <f ca="1">Área!I184</f>
        <v/>
      </c>
      <c r="N238" s="396"/>
      <c r="O238" s="396" t="str">
        <f ca="1">Área!J184</f>
        <v/>
      </c>
      <c r="P238" s="396"/>
      <c r="Q238" s="396" t="str">
        <f ca="1">Área!K184</f>
        <v/>
      </c>
      <c r="R238" s="396"/>
      <c r="S238" s="396" t="str">
        <f ca="1">Área!L184</f>
        <v/>
      </c>
      <c r="T238" s="396"/>
      <c r="U238" s="396" t="str">
        <f ca="1">Área!N184</f>
        <v/>
      </c>
      <c r="V238" s="396"/>
      <c r="W238" s="396" t="str">
        <f ca="1">Área!M184</f>
        <v/>
      </c>
      <c r="X238" s="396"/>
      <c r="Y238" s="89" t="str">
        <f ca="1">Área!O184</f>
        <v/>
      </c>
      <c r="Z238" s="399" t="str">
        <f ca="1">Área!P184</f>
        <v/>
      </c>
      <c r="AA238" s="399"/>
      <c r="AB238" s="399"/>
      <c r="AC238" s="399"/>
      <c r="AD238" s="399" t="str">
        <f ca="1">Área!Q184</f>
        <v/>
      </c>
      <c r="AE238" s="399"/>
      <c r="AF238" s="399"/>
      <c r="AG238" s="399"/>
      <c r="AH238" s="400" t="str">
        <f ca="1">Área!R184</f>
        <v/>
      </c>
      <c r="AI238" s="400"/>
      <c r="AJ238" s="400" t="str">
        <f ca="1">Área!S184</f>
        <v/>
      </c>
      <c r="AK238" s="400"/>
      <c r="AL238" s="400" t="str">
        <f ca="1">Área!T184</f>
        <v/>
      </c>
      <c r="AM238" s="400"/>
      <c r="AN238" s="400" t="str">
        <f ca="1">Área!U184</f>
        <v/>
      </c>
      <c r="AO238" s="400"/>
      <c r="AP238" s="422" t="str">
        <f ca="1">IFERROR(Área!Z184,"")</f>
        <v/>
      </c>
      <c r="AQ238" s="422"/>
      <c r="AR238" s="400" t="str">
        <f ca="1">Área!Y184</f>
        <v/>
      </c>
      <c r="AS238" s="423"/>
      <c r="AT238" s="72"/>
    </row>
    <row r="239" spans="1:46" ht="15" customHeight="1" x14ac:dyDescent="0.25">
      <c r="A239"/>
      <c r="C239" s="397" t="str">
        <f ca="1">Área!C185</f>
        <v/>
      </c>
      <c r="D239" s="398"/>
      <c r="E239" s="398"/>
      <c r="F239" s="398"/>
      <c r="G239" s="396" t="str">
        <f ca="1">Área!F185</f>
        <v/>
      </c>
      <c r="H239" s="396"/>
      <c r="I239" s="398" t="str">
        <f ca="1">Área!G185</f>
        <v/>
      </c>
      <c r="J239" s="398"/>
      <c r="K239" s="396" t="str">
        <f ca="1">Área!H185</f>
        <v/>
      </c>
      <c r="L239" s="396"/>
      <c r="M239" s="396" t="str">
        <f ca="1">Área!I185</f>
        <v/>
      </c>
      <c r="N239" s="396"/>
      <c r="O239" s="396" t="str">
        <f ca="1">Área!J185</f>
        <v/>
      </c>
      <c r="P239" s="396"/>
      <c r="Q239" s="396" t="str">
        <f ca="1">Área!K185</f>
        <v/>
      </c>
      <c r="R239" s="396"/>
      <c r="S239" s="396" t="str">
        <f ca="1">Área!L185</f>
        <v/>
      </c>
      <c r="T239" s="396"/>
      <c r="U239" s="396" t="str">
        <f ca="1">Área!N185</f>
        <v/>
      </c>
      <c r="V239" s="396"/>
      <c r="W239" s="396" t="str">
        <f ca="1">Área!M185</f>
        <v/>
      </c>
      <c r="X239" s="396"/>
      <c r="Y239" s="89" t="str">
        <f ca="1">Área!O185</f>
        <v/>
      </c>
      <c r="Z239" s="399" t="str">
        <f ca="1">Área!P185</f>
        <v/>
      </c>
      <c r="AA239" s="399"/>
      <c r="AB239" s="399"/>
      <c r="AC239" s="399"/>
      <c r="AD239" s="399" t="str">
        <f ca="1">Área!Q185</f>
        <v/>
      </c>
      <c r="AE239" s="399"/>
      <c r="AF239" s="399"/>
      <c r="AG239" s="399"/>
      <c r="AH239" s="400" t="str">
        <f ca="1">Área!R185</f>
        <v/>
      </c>
      <c r="AI239" s="400"/>
      <c r="AJ239" s="400" t="str">
        <f ca="1">Área!S185</f>
        <v/>
      </c>
      <c r="AK239" s="400"/>
      <c r="AL239" s="400" t="str">
        <f ca="1">Área!T185</f>
        <v/>
      </c>
      <c r="AM239" s="400"/>
      <c r="AN239" s="400" t="str">
        <f ca="1">Área!U185</f>
        <v/>
      </c>
      <c r="AO239" s="400"/>
      <c r="AP239" s="422" t="str">
        <f ca="1">IFERROR(Área!Z185,"")</f>
        <v/>
      </c>
      <c r="AQ239" s="422"/>
      <c r="AR239" s="400" t="str">
        <f ca="1">Área!Y185</f>
        <v/>
      </c>
      <c r="AS239" s="423"/>
      <c r="AT239" s="72"/>
    </row>
    <row r="240" spans="1:46" ht="15" customHeight="1" x14ac:dyDescent="0.25">
      <c r="A240"/>
      <c r="C240" s="397" t="str">
        <f ca="1">Área!C186</f>
        <v/>
      </c>
      <c r="D240" s="398"/>
      <c r="E240" s="398"/>
      <c r="F240" s="398"/>
      <c r="G240" s="396" t="str">
        <f ca="1">Área!F186</f>
        <v/>
      </c>
      <c r="H240" s="396"/>
      <c r="I240" s="398" t="str">
        <f ca="1">Área!G186</f>
        <v/>
      </c>
      <c r="J240" s="398"/>
      <c r="K240" s="396" t="str">
        <f ca="1">Área!H186</f>
        <v/>
      </c>
      <c r="L240" s="396"/>
      <c r="M240" s="396" t="str">
        <f ca="1">Área!I186</f>
        <v/>
      </c>
      <c r="N240" s="396"/>
      <c r="O240" s="396" t="str">
        <f ca="1">Área!J186</f>
        <v/>
      </c>
      <c r="P240" s="396"/>
      <c r="Q240" s="396" t="str">
        <f ca="1">Área!K186</f>
        <v/>
      </c>
      <c r="R240" s="396"/>
      <c r="S240" s="396" t="str">
        <f ca="1">Área!L186</f>
        <v/>
      </c>
      <c r="T240" s="396"/>
      <c r="U240" s="396" t="str">
        <f ca="1">Área!N186</f>
        <v/>
      </c>
      <c r="V240" s="396"/>
      <c r="W240" s="396" t="str">
        <f ca="1">Área!M186</f>
        <v/>
      </c>
      <c r="X240" s="396"/>
      <c r="Y240" s="89" t="str">
        <f ca="1">Área!O186</f>
        <v/>
      </c>
      <c r="Z240" s="399" t="str">
        <f ca="1">Área!P186</f>
        <v/>
      </c>
      <c r="AA240" s="399"/>
      <c r="AB240" s="399"/>
      <c r="AC240" s="399"/>
      <c r="AD240" s="399" t="str">
        <f ca="1">Área!Q186</f>
        <v/>
      </c>
      <c r="AE240" s="399"/>
      <c r="AF240" s="399"/>
      <c r="AG240" s="399"/>
      <c r="AH240" s="400" t="str">
        <f ca="1">Área!R186</f>
        <v/>
      </c>
      <c r="AI240" s="400"/>
      <c r="AJ240" s="400" t="str">
        <f ca="1">Área!S186</f>
        <v/>
      </c>
      <c r="AK240" s="400"/>
      <c r="AL240" s="400" t="str">
        <f ca="1">Área!T186</f>
        <v/>
      </c>
      <c r="AM240" s="400"/>
      <c r="AN240" s="400" t="str">
        <f ca="1">Área!U186</f>
        <v/>
      </c>
      <c r="AO240" s="400"/>
      <c r="AP240" s="422" t="str">
        <f ca="1">IFERROR(Área!Z186,"")</f>
        <v/>
      </c>
      <c r="AQ240" s="422"/>
      <c r="AR240" s="400" t="str">
        <f ca="1">Área!Y186</f>
        <v/>
      </c>
      <c r="AS240" s="423"/>
      <c r="AT240" s="72"/>
    </row>
    <row r="241" spans="1:46" ht="15" customHeight="1" x14ac:dyDescent="0.25">
      <c r="A241"/>
      <c r="C241" s="397" t="str">
        <f ca="1">Área!C187</f>
        <v/>
      </c>
      <c r="D241" s="398"/>
      <c r="E241" s="398"/>
      <c r="F241" s="398"/>
      <c r="G241" s="396" t="str">
        <f ca="1">Área!F187</f>
        <v/>
      </c>
      <c r="H241" s="396"/>
      <c r="I241" s="398" t="str">
        <f ca="1">Área!G187</f>
        <v/>
      </c>
      <c r="J241" s="398"/>
      <c r="K241" s="396" t="str">
        <f ca="1">Área!H187</f>
        <v/>
      </c>
      <c r="L241" s="396"/>
      <c r="M241" s="396" t="str">
        <f ca="1">Área!I187</f>
        <v/>
      </c>
      <c r="N241" s="396"/>
      <c r="O241" s="396" t="str">
        <f ca="1">Área!J187</f>
        <v/>
      </c>
      <c r="P241" s="396"/>
      <c r="Q241" s="396" t="str">
        <f ca="1">Área!K187</f>
        <v/>
      </c>
      <c r="R241" s="396"/>
      <c r="S241" s="396" t="str">
        <f ca="1">Área!L187</f>
        <v/>
      </c>
      <c r="T241" s="396"/>
      <c r="U241" s="396" t="str">
        <f ca="1">Área!N187</f>
        <v/>
      </c>
      <c r="V241" s="396"/>
      <c r="W241" s="396" t="str">
        <f ca="1">Área!M187</f>
        <v/>
      </c>
      <c r="X241" s="396"/>
      <c r="Y241" s="89" t="str">
        <f ca="1">Área!O187</f>
        <v/>
      </c>
      <c r="Z241" s="399" t="str">
        <f ca="1">Área!P187</f>
        <v/>
      </c>
      <c r="AA241" s="399"/>
      <c r="AB241" s="399"/>
      <c r="AC241" s="399"/>
      <c r="AD241" s="399" t="str">
        <f ca="1">Área!Q187</f>
        <v/>
      </c>
      <c r="AE241" s="399"/>
      <c r="AF241" s="399"/>
      <c r="AG241" s="399"/>
      <c r="AH241" s="400" t="str">
        <f ca="1">Área!R187</f>
        <v/>
      </c>
      <c r="AI241" s="400"/>
      <c r="AJ241" s="400" t="str">
        <f ca="1">Área!S187</f>
        <v/>
      </c>
      <c r="AK241" s="400"/>
      <c r="AL241" s="400" t="str">
        <f ca="1">Área!T187</f>
        <v/>
      </c>
      <c r="AM241" s="400"/>
      <c r="AN241" s="400" t="str">
        <f ca="1">Área!U187</f>
        <v/>
      </c>
      <c r="AO241" s="400"/>
      <c r="AP241" s="422" t="str">
        <f ca="1">IFERROR(Área!Z187,"")</f>
        <v/>
      </c>
      <c r="AQ241" s="422"/>
      <c r="AR241" s="400" t="str">
        <f ca="1">Área!Y187</f>
        <v/>
      </c>
      <c r="AS241" s="423"/>
      <c r="AT241" s="72"/>
    </row>
    <row r="242" spans="1:46" ht="15" customHeight="1" x14ac:dyDescent="0.25">
      <c r="A242"/>
      <c r="C242" s="397" t="str">
        <f ca="1">Área!C188</f>
        <v/>
      </c>
      <c r="D242" s="398"/>
      <c r="E242" s="398"/>
      <c r="F242" s="398"/>
      <c r="G242" s="396" t="str">
        <f ca="1">Área!F188</f>
        <v/>
      </c>
      <c r="H242" s="396"/>
      <c r="I242" s="398" t="str">
        <f ca="1">Área!G188</f>
        <v/>
      </c>
      <c r="J242" s="398"/>
      <c r="K242" s="396" t="str">
        <f ca="1">Área!H188</f>
        <v/>
      </c>
      <c r="L242" s="396"/>
      <c r="M242" s="396" t="str">
        <f ca="1">Área!I188</f>
        <v/>
      </c>
      <c r="N242" s="396"/>
      <c r="O242" s="396" t="str">
        <f ca="1">Área!J188</f>
        <v/>
      </c>
      <c r="P242" s="396"/>
      <c r="Q242" s="396" t="str">
        <f ca="1">Área!K188</f>
        <v/>
      </c>
      <c r="R242" s="396"/>
      <c r="S242" s="396" t="str">
        <f ca="1">Área!L188</f>
        <v/>
      </c>
      <c r="T242" s="396"/>
      <c r="U242" s="396" t="str">
        <f ca="1">Área!N188</f>
        <v/>
      </c>
      <c r="V242" s="396"/>
      <c r="W242" s="396" t="str">
        <f ca="1">Área!M188</f>
        <v/>
      </c>
      <c r="X242" s="396"/>
      <c r="Y242" s="89" t="str">
        <f ca="1">Área!O188</f>
        <v/>
      </c>
      <c r="Z242" s="399" t="str">
        <f ca="1">Área!P188</f>
        <v/>
      </c>
      <c r="AA242" s="399"/>
      <c r="AB242" s="399"/>
      <c r="AC242" s="399"/>
      <c r="AD242" s="399" t="str">
        <f ca="1">Área!Q188</f>
        <v/>
      </c>
      <c r="AE242" s="399"/>
      <c r="AF242" s="399"/>
      <c r="AG242" s="399"/>
      <c r="AH242" s="400" t="str">
        <f ca="1">Área!R188</f>
        <v/>
      </c>
      <c r="AI242" s="400"/>
      <c r="AJ242" s="400" t="str">
        <f ca="1">Área!S188</f>
        <v/>
      </c>
      <c r="AK242" s="400"/>
      <c r="AL242" s="400" t="str">
        <f ca="1">Área!T188</f>
        <v/>
      </c>
      <c r="AM242" s="400"/>
      <c r="AN242" s="400" t="str">
        <f ca="1">Área!U188</f>
        <v/>
      </c>
      <c r="AO242" s="400"/>
      <c r="AP242" s="422" t="str">
        <f ca="1">IFERROR(Área!Z188,"")</f>
        <v/>
      </c>
      <c r="AQ242" s="422"/>
      <c r="AR242" s="400" t="str">
        <f ca="1">Área!Y188</f>
        <v/>
      </c>
      <c r="AS242" s="423"/>
      <c r="AT242" s="72"/>
    </row>
    <row r="243" spans="1:46" ht="15" customHeight="1" x14ac:dyDescent="0.25">
      <c r="A243"/>
      <c r="C243" s="397" t="str">
        <f ca="1">Área!C189</f>
        <v/>
      </c>
      <c r="D243" s="398"/>
      <c r="E243" s="398"/>
      <c r="F243" s="398"/>
      <c r="G243" s="396" t="str">
        <f ca="1">Área!F189</f>
        <v/>
      </c>
      <c r="H243" s="396"/>
      <c r="I243" s="398" t="str">
        <f ca="1">Área!G189</f>
        <v/>
      </c>
      <c r="J243" s="398"/>
      <c r="K243" s="396" t="str">
        <f ca="1">Área!H189</f>
        <v/>
      </c>
      <c r="L243" s="396"/>
      <c r="M243" s="396" t="str">
        <f ca="1">Área!I189</f>
        <v/>
      </c>
      <c r="N243" s="396"/>
      <c r="O243" s="396" t="str">
        <f ca="1">Área!J189</f>
        <v/>
      </c>
      <c r="P243" s="396"/>
      <c r="Q243" s="396" t="str">
        <f ca="1">Área!K189</f>
        <v/>
      </c>
      <c r="R243" s="396"/>
      <c r="S243" s="396" t="str">
        <f ca="1">Área!L189</f>
        <v/>
      </c>
      <c r="T243" s="396"/>
      <c r="U243" s="396" t="str">
        <f ca="1">Área!N189</f>
        <v/>
      </c>
      <c r="V243" s="396"/>
      <c r="W243" s="396" t="str">
        <f ca="1">Área!M189</f>
        <v/>
      </c>
      <c r="X243" s="396"/>
      <c r="Y243" s="89" t="str">
        <f ca="1">Área!O189</f>
        <v/>
      </c>
      <c r="Z243" s="399" t="str">
        <f ca="1">Área!P189</f>
        <v/>
      </c>
      <c r="AA243" s="399"/>
      <c r="AB243" s="399"/>
      <c r="AC243" s="399"/>
      <c r="AD243" s="399" t="str">
        <f ca="1">Área!Q189</f>
        <v/>
      </c>
      <c r="AE243" s="399"/>
      <c r="AF243" s="399"/>
      <c r="AG243" s="399"/>
      <c r="AH243" s="400" t="str">
        <f ca="1">Área!R189</f>
        <v/>
      </c>
      <c r="AI243" s="400"/>
      <c r="AJ243" s="400" t="str">
        <f ca="1">Área!S189</f>
        <v/>
      </c>
      <c r="AK243" s="400"/>
      <c r="AL243" s="400" t="str">
        <f ca="1">Área!T189</f>
        <v/>
      </c>
      <c r="AM243" s="400"/>
      <c r="AN243" s="400" t="str">
        <f ca="1">Área!U189</f>
        <v/>
      </c>
      <c r="AO243" s="400"/>
      <c r="AP243" s="422" t="str">
        <f ca="1">IFERROR(Área!Z189,"")</f>
        <v/>
      </c>
      <c r="AQ243" s="422"/>
      <c r="AR243" s="400" t="str">
        <f ca="1">Área!Y189</f>
        <v/>
      </c>
      <c r="AS243" s="423"/>
      <c r="AT243" s="72"/>
    </row>
    <row r="244" spans="1:46" ht="15" customHeight="1" x14ac:dyDescent="0.25">
      <c r="A244"/>
      <c r="C244" s="397" t="str">
        <f ca="1">Área!C190</f>
        <v/>
      </c>
      <c r="D244" s="398"/>
      <c r="E244" s="398"/>
      <c r="F244" s="398"/>
      <c r="G244" s="396" t="str">
        <f ca="1">Área!F190</f>
        <v/>
      </c>
      <c r="H244" s="396"/>
      <c r="I244" s="398" t="str">
        <f ca="1">Área!G190</f>
        <v/>
      </c>
      <c r="J244" s="398"/>
      <c r="K244" s="396" t="str">
        <f ca="1">Área!H190</f>
        <v/>
      </c>
      <c r="L244" s="396"/>
      <c r="M244" s="396" t="str">
        <f ca="1">Área!I190</f>
        <v/>
      </c>
      <c r="N244" s="396"/>
      <c r="O244" s="396" t="str">
        <f ca="1">Área!J190</f>
        <v/>
      </c>
      <c r="P244" s="396"/>
      <c r="Q244" s="396" t="str">
        <f ca="1">Área!K190</f>
        <v/>
      </c>
      <c r="R244" s="396"/>
      <c r="S244" s="396" t="str">
        <f ca="1">Área!L190</f>
        <v/>
      </c>
      <c r="T244" s="396"/>
      <c r="U244" s="396" t="str">
        <f ca="1">Área!N190</f>
        <v/>
      </c>
      <c r="V244" s="396"/>
      <c r="W244" s="396" t="str">
        <f ca="1">Área!M190</f>
        <v/>
      </c>
      <c r="X244" s="396"/>
      <c r="Y244" s="89" t="str">
        <f ca="1">Área!O190</f>
        <v/>
      </c>
      <c r="Z244" s="399" t="str">
        <f ca="1">Área!P190</f>
        <v/>
      </c>
      <c r="AA244" s="399"/>
      <c r="AB244" s="399"/>
      <c r="AC244" s="399"/>
      <c r="AD244" s="399" t="str">
        <f ca="1">Área!Q190</f>
        <v/>
      </c>
      <c r="AE244" s="399"/>
      <c r="AF244" s="399"/>
      <c r="AG244" s="399"/>
      <c r="AH244" s="400" t="str">
        <f ca="1">Área!R190</f>
        <v/>
      </c>
      <c r="AI244" s="400"/>
      <c r="AJ244" s="400" t="str">
        <f ca="1">Área!S190</f>
        <v/>
      </c>
      <c r="AK244" s="400"/>
      <c r="AL244" s="400" t="str">
        <f ca="1">Área!T190</f>
        <v/>
      </c>
      <c r="AM244" s="400"/>
      <c r="AN244" s="400" t="str">
        <f ca="1">Área!U190</f>
        <v/>
      </c>
      <c r="AO244" s="400"/>
      <c r="AP244" s="422" t="str">
        <f ca="1">IFERROR(Área!Z190,"")</f>
        <v/>
      </c>
      <c r="AQ244" s="422"/>
      <c r="AR244" s="400" t="str">
        <f ca="1">Área!Y190</f>
        <v/>
      </c>
      <c r="AS244" s="423"/>
      <c r="AT244" s="72"/>
    </row>
    <row r="245" spans="1:46" ht="15" customHeight="1" x14ac:dyDescent="0.25">
      <c r="A245"/>
      <c r="C245" s="397" t="str">
        <f ca="1">Área!C191</f>
        <v/>
      </c>
      <c r="D245" s="398"/>
      <c r="E245" s="398"/>
      <c r="F245" s="398"/>
      <c r="G245" s="396" t="str">
        <f ca="1">Área!F191</f>
        <v/>
      </c>
      <c r="H245" s="396"/>
      <c r="I245" s="398" t="str">
        <f ca="1">Área!G191</f>
        <v/>
      </c>
      <c r="J245" s="398"/>
      <c r="K245" s="396" t="str">
        <f ca="1">Área!H191</f>
        <v/>
      </c>
      <c r="L245" s="396"/>
      <c r="M245" s="396" t="str">
        <f ca="1">Área!I191</f>
        <v/>
      </c>
      <c r="N245" s="396"/>
      <c r="O245" s="396" t="str">
        <f ca="1">Área!J191</f>
        <v/>
      </c>
      <c r="P245" s="396"/>
      <c r="Q245" s="396" t="str">
        <f ca="1">Área!K191</f>
        <v/>
      </c>
      <c r="R245" s="396"/>
      <c r="S245" s="396" t="str">
        <f ca="1">Área!L191</f>
        <v/>
      </c>
      <c r="T245" s="396"/>
      <c r="U245" s="396" t="str">
        <f ca="1">Área!N191</f>
        <v/>
      </c>
      <c r="V245" s="396"/>
      <c r="W245" s="396" t="str">
        <f ca="1">Área!M191</f>
        <v/>
      </c>
      <c r="X245" s="396"/>
      <c r="Y245" s="89" t="str">
        <f ca="1">Área!O191</f>
        <v/>
      </c>
      <c r="Z245" s="399" t="str">
        <f ca="1">Área!P191</f>
        <v/>
      </c>
      <c r="AA245" s="399"/>
      <c r="AB245" s="399"/>
      <c r="AC245" s="399"/>
      <c r="AD245" s="399" t="str">
        <f ca="1">Área!Q191</f>
        <v/>
      </c>
      <c r="AE245" s="399"/>
      <c r="AF245" s="399"/>
      <c r="AG245" s="399"/>
      <c r="AH245" s="400" t="str">
        <f ca="1">Área!R191</f>
        <v/>
      </c>
      <c r="AI245" s="400"/>
      <c r="AJ245" s="400" t="str">
        <f ca="1">Área!S191</f>
        <v/>
      </c>
      <c r="AK245" s="400"/>
      <c r="AL245" s="400" t="str">
        <f ca="1">Área!T191</f>
        <v/>
      </c>
      <c r="AM245" s="400"/>
      <c r="AN245" s="400" t="str">
        <f ca="1">Área!U191</f>
        <v/>
      </c>
      <c r="AO245" s="400"/>
      <c r="AP245" s="422" t="str">
        <f ca="1">IFERROR(Área!Z191,"")</f>
        <v/>
      </c>
      <c r="AQ245" s="422"/>
      <c r="AR245" s="400" t="str">
        <f ca="1">Área!Y191</f>
        <v/>
      </c>
      <c r="AS245" s="423"/>
      <c r="AT245" s="72"/>
    </row>
    <row r="246" spans="1:46" ht="15" customHeight="1" x14ac:dyDescent="0.25">
      <c r="A246"/>
      <c r="C246" s="397" t="str">
        <f ca="1">Área!C192</f>
        <v/>
      </c>
      <c r="D246" s="398"/>
      <c r="E246" s="398"/>
      <c r="F246" s="398"/>
      <c r="G246" s="396" t="str">
        <f ca="1">Área!F192</f>
        <v/>
      </c>
      <c r="H246" s="396"/>
      <c r="I246" s="398" t="str">
        <f ca="1">Área!G192</f>
        <v/>
      </c>
      <c r="J246" s="398"/>
      <c r="K246" s="396" t="str">
        <f ca="1">Área!H192</f>
        <v/>
      </c>
      <c r="L246" s="396"/>
      <c r="M246" s="396" t="str">
        <f ca="1">Área!I192</f>
        <v/>
      </c>
      <c r="N246" s="396"/>
      <c r="O246" s="396" t="str">
        <f ca="1">Área!J192</f>
        <v/>
      </c>
      <c r="P246" s="396"/>
      <c r="Q246" s="396" t="str">
        <f ca="1">Área!K192</f>
        <v/>
      </c>
      <c r="R246" s="396"/>
      <c r="S246" s="396" t="str">
        <f ca="1">Área!L192</f>
        <v/>
      </c>
      <c r="T246" s="396"/>
      <c r="U246" s="396" t="str">
        <f ca="1">Área!N192</f>
        <v/>
      </c>
      <c r="V246" s="396"/>
      <c r="W246" s="396" t="str">
        <f ca="1">Área!M192</f>
        <v/>
      </c>
      <c r="X246" s="396"/>
      <c r="Y246" s="89" t="str">
        <f ca="1">Área!O192</f>
        <v/>
      </c>
      <c r="Z246" s="399" t="str">
        <f ca="1">Área!P192</f>
        <v/>
      </c>
      <c r="AA246" s="399"/>
      <c r="AB246" s="399"/>
      <c r="AC246" s="399"/>
      <c r="AD246" s="399" t="str">
        <f ca="1">Área!Q192</f>
        <v/>
      </c>
      <c r="AE246" s="399"/>
      <c r="AF246" s="399"/>
      <c r="AG246" s="399"/>
      <c r="AH246" s="400" t="str">
        <f ca="1">Área!R192</f>
        <v/>
      </c>
      <c r="AI246" s="400"/>
      <c r="AJ246" s="400" t="str">
        <f ca="1">Área!S192</f>
        <v/>
      </c>
      <c r="AK246" s="400"/>
      <c r="AL246" s="400" t="str">
        <f ca="1">Área!T192</f>
        <v/>
      </c>
      <c r="AM246" s="400"/>
      <c r="AN246" s="400" t="str">
        <f ca="1">Área!U192</f>
        <v/>
      </c>
      <c r="AO246" s="400"/>
      <c r="AP246" s="422" t="str">
        <f ca="1">IFERROR(Área!Z192,"")</f>
        <v/>
      </c>
      <c r="AQ246" s="422"/>
      <c r="AR246" s="400" t="str">
        <f ca="1">Área!Y192</f>
        <v/>
      </c>
      <c r="AS246" s="423"/>
      <c r="AT246" s="72"/>
    </row>
    <row r="247" spans="1:46" ht="15" customHeight="1" x14ac:dyDescent="0.25">
      <c r="A247"/>
      <c r="C247" s="397" t="str">
        <f ca="1">Área!C193</f>
        <v/>
      </c>
      <c r="D247" s="398"/>
      <c r="E247" s="398"/>
      <c r="F247" s="398"/>
      <c r="G247" s="396" t="str">
        <f ca="1">Área!F193</f>
        <v/>
      </c>
      <c r="H247" s="396"/>
      <c r="I247" s="398" t="str">
        <f ca="1">Área!G193</f>
        <v/>
      </c>
      <c r="J247" s="398"/>
      <c r="K247" s="396" t="str">
        <f ca="1">Área!H193</f>
        <v/>
      </c>
      <c r="L247" s="396"/>
      <c r="M247" s="396" t="str">
        <f ca="1">Área!I193</f>
        <v/>
      </c>
      <c r="N247" s="396"/>
      <c r="O247" s="396" t="str">
        <f ca="1">Área!J193</f>
        <v/>
      </c>
      <c r="P247" s="396"/>
      <c r="Q247" s="396" t="str">
        <f ca="1">Área!K193</f>
        <v/>
      </c>
      <c r="R247" s="396"/>
      <c r="S247" s="396" t="str">
        <f ca="1">Área!L193</f>
        <v/>
      </c>
      <c r="T247" s="396"/>
      <c r="U247" s="396" t="str">
        <f ca="1">Área!N193</f>
        <v/>
      </c>
      <c r="V247" s="396"/>
      <c r="W247" s="396" t="str">
        <f ca="1">Área!M193</f>
        <v/>
      </c>
      <c r="X247" s="396"/>
      <c r="Y247" s="89" t="str">
        <f ca="1">Área!O193</f>
        <v/>
      </c>
      <c r="Z247" s="399" t="str">
        <f ca="1">Área!P193</f>
        <v/>
      </c>
      <c r="AA247" s="399"/>
      <c r="AB247" s="399"/>
      <c r="AC247" s="399"/>
      <c r="AD247" s="399" t="str">
        <f ca="1">Área!Q193</f>
        <v/>
      </c>
      <c r="AE247" s="399"/>
      <c r="AF247" s="399"/>
      <c r="AG247" s="399"/>
      <c r="AH247" s="400" t="str">
        <f ca="1">Área!R193</f>
        <v/>
      </c>
      <c r="AI247" s="400"/>
      <c r="AJ247" s="400" t="str">
        <f ca="1">Área!S193</f>
        <v/>
      </c>
      <c r="AK247" s="400"/>
      <c r="AL247" s="400" t="str">
        <f ca="1">Área!T193</f>
        <v/>
      </c>
      <c r="AM247" s="400"/>
      <c r="AN247" s="400" t="str">
        <f ca="1">Área!U193</f>
        <v/>
      </c>
      <c r="AO247" s="400"/>
      <c r="AP247" s="422" t="str">
        <f ca="1">IFERROR(Área!Z193,"")</f>
        <v/>
      </c>
      <c r="AQ247" s="422"/>
      <c r="AR247" s="400" t="str">
        <f ca="1">Área!Y193</f>
        <v/>
      </c>
      <c r="AS247" s="423"/>
      <c r="AT247" s="72"/>
    </row>
    <row r="248" spans="1:46" ht="15" customHeight="1" x14ac:dyDescent="0.25">
      <c r="A248"/>
      <c r="C248" s="397" t="str">
        <f ca="1">Área!C194</f>
        <v/>
      </c>
      <c r="D248" s="398"/>
      <c r="E248" s="398"/>
      <c r="F248" s="398"/>
      <c r="G248" s="396" t="str">
        <f ca="1">Área!F194</f>
        <v/>
      </c>
      <c r="H248" s="396"/>
      <c r="I248" s="398" t="str">
        <f ca="1">Área!G194</f>
        <v/>
      </c>
      <c r="J248" s="398"/>
      <c r="K248" s="396" t="str">
        <f ca="1">Área!H194</f>
        <v/>
      </c>
      <c r="L248" s="396"/>
      <c r="M248" s="396" t="str">
        <f ca="1">Área!I194</f>
        <v/>
      </c>
      <c r="N248" s="396"/>
      <c r="O248" s="396" t="str">
        <f ca="1">Área!J194</f>
        <v/>
      </c>
      <c r="P248" s="396"/>
      <c r="Q248" s="396" t="str">
        <f ca="1">Área!K194</f>
        <v/>
      </c>
      <c r="R248" s="396"/>
      <c r="S248" s="396" t="str">
        <f ca="1">Área!L194</f>
        <v/>
      </c>
      <c r="T248" s="396"/>
      <c r="U248" s="396" t="str">
        <f ca="1">Área!N194</f>
        <v/>
      </c>
      <c r="V248" s="396"/>
      <c r="W248" s="396" t="str">
        <f ca="1">Área!M194</f>
        <v/>
      </c>
      <c r="X248" s="396"/>
      <c r="Y248" s="89" t="str">
        <f ca="1">Área!O194</f>
        <v/>
      </c>
      <c r="Z248" s="399" t="str">
        <f ca="1">Área!P194</f>
        <v/>
      </c>
      <c r="AA248" s="399"/>
      <c r="AB248" s="399"/>
      <c r="AC248" s="399"/>
      <c r="AD248" s="399" t="str">
        <f ca="1">Área!Q194</f>
        <v/>
      </c>
      <c r="AE248" s="399"/>
      <c r="AF248" s="399"/>
      <c r="AG248" s="399"/>
      <c r="AH248" s="400" t="str">
        <f ca="1">Área!R194</f>
        <v/>
      </c>
      <c r="AI248" s="400"/>
      <c r="AJ248" s="400" t="str">
        <f ca="1">Área!S194</f>
        <v/>
      </c>
      <c r="AK248" s="400"/>
      <c r="AL248" s="400" t="str">
        <f ca="1">Área!T194</f>
        <v/>
      </c>
      <c r="AM248" s="400"/>
      <c r="AN248" s="400" t="str">
        <f ca="1">Área!U194</f>
        <v/>
      </c>
      <c r="AO248" s="400"/>
      <c r="AP248" s="422" t="str">
        <f ca="1">IFERROR(Área!Z194,"")</f>
        <v/>
      </c>
      <c r="AQ248" s="422"/>
      <c r="AR248" s="400" t="str">
        <f ca="1">Área!Y194</f>
        <v/>
      </c>
      <c r="AS248" s="423"/>
      <c r="AT248" s="72"/>
    </row>
    <row r="249" spans="1:46" ht="15" customHeight="1" x14ac:dyDescent="0.25">
      <c r="A249"/>
      <c r="C249" s="397" t="str">
        <f ca="1">Área!C195</f>
        <v/>
      </c>
      <c r="D249" s="398"/>
      <c r="E249" s="398"/>
      <c r="F249" s="398"/>
      <c r="G249" s="396" t="str">
        <f ca="1">Área!F195</f>
        <v/>
      </c>
      <c r="H249" s="396"/>
      <c r="I249" s="398" t="str">
        <f ca="1">Área!G195</f>
        <v/>
      </c>
      <c r="J249" s="398"/>
      <c r="K249" s="396" t="str">
        <f ca="1">Área!H195</f>
        <v/>
      </c>
      <c r="L249" s="396"/>
      <c r="M249" s="396" t="str">
        <f ca="1">Área!I195</f>
        <v/>
      </c>
      <c r="N249" s="396"/>
      <c r="O249" s="396" t="str">
        <f ca="1">Área!J195</f>
        <v/>
      </c>
      <c r="P249" s="396"/>
      <c r="Q249" s="396" t="str">
        <f ca="1">Área!K195</f>
        <v/>
      </c>
      <c r="R249" s="396"/>
      <c r="S249" s="396" t="str">
        <f ca="1">Área!L195</f>
        <v/>
      </c>
      <c r="T249" s="396"/>
      <c r="U249" s="396" t="str">
        <f ca="1">Área!N195</f>
        <v/>
      </c>
      <c r="V249" s="396"/>
      <c r="W249" s="396" t="str">
        <f ca="1">Área!M195</f>
        <v/>
      </c>
      <c r="X249" s="396"/>
      <c r="Y249" s="89" t="str">
        <f ca="1">Área!O195</f>
        <v/>
      </c>
      <c r="Z249" s="399" t="str">
        <f ca="1">Área!P195</f>
        <v/>
      </c>
      <c r="AA249" s="399"/>
      <c r="AB249" s="399"/>
      <c r="AC249" s="399"/>
      <c r="AD249" s="399" t="str">
        <f ca="1">Área!Q195</f>
        <v/>
      </c>
      <c r="AE249" s="399"/>
      <c r="AF249" s="399"/>
      <c r="AG249" s="399"/>
      <c r="AH249" s="400" t="str">
        <f ca="1">Área!R195</f>
        <v/>
      </c>
      <c r="AI249" s="400"/>
      <c r="AJ249" s="400" t="str">
        <f ca="1">Área!S195</f>
        <v/>
      </c>
      <c r="AK249" s="400"/>
      <c r="AL249" s="400" t="str">
        <f ca="1">Área!T195</f>
        <v/>
      </c>
      <c r="AM249" s="400"/>
      <c r="AN249" s="400" t="str">
        <f ca="1">Área!U195</f>
        <v/>
      </c>
      <c r="AO249" s="400"/>
      <c r="AP249" s="422" t="str">
        <f ca="1">IFERROR(Área!Z195,"")</f>
        <v/>
      </c>
      <c r="AQ249" s="422"/>
      <c r="AR249" s="400" t="str">
        <f ca="1">Área!Y195</f>
        <v/>
      </c>
      <c r="AS249" s="423"/>
      <c r="AT249" s="72"/>
    </row>
    <row r="250" spans="1:46" ht="15" customHeight="1" x14ac:dyDescent="0.25">
      <c r="A250"/>
      <c r="C250" s="397" t="str">
        <f ca="1">Área!C196</f>
        <v/>
      </c>
      <c r="D250" s="398"/>
      <c r="E250" s="398"/>
      <c r="F250" s="398"/>
      <c r="G250" s="396" t="str">
        <f ca="1">Área!F196</f>
        <v/>
      </c>
      <c r="H250" s="396"/>
      <c r="I250" s="398" t="str">
        <f ca="1">Área!G196</f>
        <v/>
      </c>
      <c r="J250" s="398"/>
      <c r="K250" s="396" t="str">
        <f ca="1">Área!H196</f>
        <v/>
      </c>
      <c r="L250" s="396"/>
      <c r="M250" s="396" t="str">
        <f ca="1">Área!I196</f>
        <v/>
      </c>
      <c r="N250" s="396"/>
      <c r="O250" s="396" t="str">
        <f ca="1">Área!J196</f>
        <v/>
      </c>
      <c r="P250" s="396"/>
      <c r="Q250" s="396" t="str">
        <f ca="1">Área!K196</f>
        <v/>
      </c>
      <c r="R250" s="396"/>
      <c r="S250" s="396" t="str">
        <f ca="1">Área!L196</f>
        <v/>
      </c>
      <c r="T250" s="396"/>
      <c r="U250" s="396" t="str">
        <f ca="1">Área!N196</f>
        <v/>
      </c>
      <c r="V250" s="396"/>
      <c r="W250" s="396" t="str">
        <f ca="1">Área!M196</f>
        <v/>
      </c>
      <c r="X250" s="396"/>
      <c r="Y250" s="89" t="str">
        <f ca="1">Área!O196</f>
        <v/>
      </c>
      <c r="Z250" s="399" t="str">
        <f ca="1">Área!P196</f>
        <v/>
      </c>
      <c r="AA250" s="399"/>
      <c r="AB250" s="399"/>
      <c r="AC250" s="399"/>
      <c r="AD250" s="399" t="str">
        <f ca="1">Área!Q196</f>
        <v/>
      </c>
      <c r="AE250" s="399"/>
      <c r="AF250" s="399"/>
      <c r="AG250" s="399"/>
      <c r="AH250" s="400" t="str">
        <f ca="1">Área!R196</f>
        <v/>
      </c>
      <c r="AI250" s="400"/>
      <c r="AJ250" s="400" t="str">
        <f ca="1">Área!S196</f>
        <v/>
      </c>
      <c r="AK250" s="400"/>
      <c r="AL250" s="400" t="str">
        <f ca="1">Área!T196</f>
        <v/>
      </c>
      <c r="AM250" s="400"/>
      <c r="AN250" s="400" t="str">
        <f ca="1">Área!U196</f>
        <v/>
      </c>
      <c r="AO250" s="400"/>
      <c r="AP250" s="422" t="str">
        <f ca="1">IFERROR(Área!Z196,"")</f>
        <v/>
      </c>
      <c r="AQ250" s="422"/>
      <c r="AR250" s="400" t="str">
        <f ca="1">Área!Y196</f>
        <v/>
      </c>
      <c r="AS250" s="423"/>
      <c r="AT250" s="72"/>
    </row>
    <row r="251" spans="1:46" ht="15" customHeight="1" x14ac:dyDescent="0.25">
      <c r="A251"/>
      <c r="C251" s="397" t="str">
        <f ca="1">Área!C197</f>
        <v/>
      </c>
      <c r="D251" s="398"/>
      <c r="E251" s="398"/>
      <c r="F251" s="398"/>
      <c r="G251" s="396" t="str">
        <f ca="1">Área!F197</f>
        <v/>
      </c>
      <c r="H251" s="396"/>
      <c r="I251" s="398" t="str">
        <f ca="1">Área!G197</f>
        <v/>
      </c>
      <c r="J251" s="398"/>
      <c r="K251" s="396" t="str">
        <f ca="1">Área!H197</f>
        <v/>
      </c>
      <c r="L251" s="396"/>
      <c r="M251" s="396" t="str">
        <f ca="1">Área!I197</f>
        <v/>
      </c>
      <c r="N251" s="396"/>
      <c r="O251" s="396" t="str">
        <f ca="1">Área!J197</f>
        <v/>
      </c>
      <c r="P251" s="396"/>
      <c r="Q251" s="396" t="str">
        <f ca="1">Área!K197</f>
        <v/>
      </c>
      <c r="R251" s="396"/>
      <c r="S251" s="396" t="str">
        <f ca="1">Área!L197</f>
        <v/>
      </c>
      <c r="T251" s="396"/>
      <c r="U251" s="396" t="str">
        <f ca="1">Área!N197</f>
        <v/>
      </c>
      <c r="V251" s="396"/>
      <c r="W251" s="396" t="str">
        <f ca="1">Área!M197</f>
        <v/>
      </c>
      <c r="X251" s="396"/>
      <c r="Y251" s="89" t="str">
        <f ca="1">Área!O197</f>
        <v/>
      </c>
      <c r="Z251" s="399" t="str">
        <f ca="1">Área!P197</f>
        <v/>
      </c>
      <c r="AA251" s="399"/>
      <c r="AB251" s="399"/>
      <c r="AC251" s="399"/>
      <c r="AD251" s="399" t="str">
        <f ca="1">Área!Q197</f>
        <v/>
      </c>
      <c r="AE251" s="399"/>
      <c r="AF251" s="399"/>
      <c r="AG251" s="399"/>
      <c r="AH251" s="400" t="str">
        <f ca="1">Área!R197</f>
        <v/>
      </c>
      <c r="AI251" s="400"/>
      <c r="AJ251" s="400" t="str">
        <f ca="1">Área!S197</f>
        <v/>
      </c>
      <c r="AK251" s="400"/>
      <c r="AL251" s="400" t="str">
        <f ca="1">Área!T197</f>
        <v/>
      </c>
      <c r="AM251" s="400"/>
      <c r="AN251" s="400" t="str">
        <f ca="1">Área!U197</f>
        <v/>
      </c>
      <c r="AO251" s="400"/>
      <c r="AP251" s="422" t="str">
        <f ca="1">IFERROR(Área!Z197,"")</f>
        <v/>
      </c>
      <c r="AQ251" s="422"/>
      <c r="AR251" s="400" t="str">
        <f ca="1">Área!Y197</f>
        <v/>
      </c>
      <c r="AS251" s="423"/>
      <c r="AT251" s="72"/>
    </row>
    <row r="252" spans="1:46" ht="15" customHeight="1" x14ac:dyDescent="0.25">
      <c r="A252"/>
      <c r="C252" s="397" t="str">
        <f ca="1">Área!C198</f>
        <v/>
      </c>
      <c r="D252" s="398"/>
      <c r="E252" s="398"/>
      <c r="F252" s="398"/>
      <c r="G252" s="396" t="str">
        <f ca="1">Área!F198</f>
        <v/>
      </c>
      <c r="H252" s="396"/>
      <c r="I252" s="398" t="str">
        <f ca="1">Área!G198</f>
        <v/>
      </c>
      <c r="J252" s="398"/>
      <c r="K252" s="396" t="str">
        <f ca="1">Área!H198</f>
        <v/>
      </c>
      <c r="L252" s="396"/>
      <c r="M252" s="396" t="str">
        <f ca="1">Área!I198</f>
        <v/>
      </c>
      <c r="N252" s="396"/>
      <c r="O252" s="396" t="str">
        <f ca="1">Área!J198</f>
        <v/>
      </c>
      <c r="P252" s="396"/>
      <c r="Q252" s="396" t="str">
        <f ca="1">Área!K198</f>
        <v/>
      </c>
      <c r="R252" s="396"/>
      <c r="S252" s="396" t="str">
        <f ca="1">Área!L198</f>
        <v/>
      </c>
      <c r="T252" s="396"/>
      <c r="U252" s="396" t="str">
        <f ca="1">Área!N198</f>
        <v/>
      </c>
      <c r="V252" s="396"/>
      <c r="W252" s="396" t="str">
        <f ca="1">Área!M198</f>
        <v/>
      </c>
      <c r="X252" s="396"/>
      <c r="Y252" s="89" t="str">
        <f ca="1">Área!O198</f>
        <v/>
      </c>
      <c r="Z252" s="399" t="str">
        <f ca="1">Área!P198</f>
        <v/>
      </c>
      <c r="AA252" s="399"/>
      <c r="AB252" s="399"/>
      <c r="AC252" s="399"/>
      <c r="AD252" s="399" t="str">
        <f ca="1">Área!Q198</f>
        <v/>
      </c>
      <c r="AE252" s="399"/>
      <c r="AF252" s="399"/>
      <c r="AG252" s="399"/>
      <c r="AH252" s="400" t="str">
        <f ca="1">Área!R198</f>
        <v/>
      </c>
      <c r="AI252" s="400"/>
      <c r="AJ252" s="400" t="str">
        <f ca="1">Área!S198</f>
        <v/>
      </c>
      <c r="AK252" s="400"/>
      <c r="AL252" s="400" t="str">
        <f ca="1">Área!T198</f>
        <v/>
      </c>
      <c r="AM252" s="400"/>
      <c r="AN252" s="400" t="str">
        <f ca="1">Área!U198</f>
        <v/>
      </c>
      <c r="AO252" s="400"/>
      <c r="AP252" s="422" t="str">
        <f ca="1">IFERROR(Área!Z198,"")</f>
        <v/>
      </c>
      <c r="AQ252" s="422"/>
      <c r="AR252" s="400" t="str">
        <f ca="1">Área!Y198</f>
        <v/>
      </c>
      <c r="AS252" s="423"/>
      <c r="AT252" s="72"/>
    </row>
    <row r="253" spans="1:46" ht="15" customHeight="1" x14ac:dyDescent="0.25">
      <c r="A253"/>
      <c r="C253" s="397" t="str">
        <f ca="1">Área!C199</f>
        <v/>
      </c>
      <c r="D253" s="398"/>
      <c r="E253" s="398"/>
      <c r="F253" s="398"/>
      <c r="G253" s="396" t="str">
        <f ca="1">Área!F199</f>
        <v/>
      </c>
      <c r="H253" s="396"/>
      <c r="I253" s="398" t="str">
        <f ca="1">Área!G199</f>
        <v/>
      </c>
      <c r="J253" s="398"/>
      <c r="K253" s="396" t="str">
        <f ca="1">Área!H199</f>
        <v/>
      </c>
      <c r="L253" s="396"/>
      <c r="M253" s="396" t="str">
        <f ca="1">Área!I199</f>
        <v/>
      </c>
      <c r="N253" s="396"/>
      <c r="O253" s="396" t="str">
        <f ca="1">Área!J199</f>
        <v/>
      </c>
      <c r="P253" s="396"/>
      <c r="Q253" s="396" t="str">
        <f ca="1">Área!K199</f>
        <v/>
      </c>
      <c r="R253" s="396"/>
      <c r="S253" s="396" t="str">
        <f ca="1">Área!L199</f>
        <v/>
      </c>
      <c r="T253" s="396"/>
      <c r="U253" s="396" t="str">
        <f ca="1">Área!N199</f>
        <v/>
      </c>
      <c r="V253" s="396"/>
      <c r="W253" s="396" t="str">
        <f ca="1">Área!M199</f>
        <v/>
      </c>
      <c r="X253" s="396"/>
      <c r="Y253" s="89" t="str">
        <f ca="1">Área!O199</f>
        <v/>
      </c>
      <c r="Z253" s="399" t="str">
        <f ca="1">Área!P199</f>
        <v/>
      </c>
      <c r="AA253" s="399"/>
      <c r="AB253" s="399"/>
      <c r="AC253" s="399"/>
      <c r="AD253" s="399" t="str">
        <f ca="1">Área!Q199</f>
        <v/>
      </c>
      <c r="AE253" s="399"/>
      <c r="AF253" s="399"/>
      <c r="AG253" s="399"/>
      <c r="AH253" s="400" t="str">
        <f ca="1">Área!R199</f>
        <v/>
      </c>
      <c r="AI253" s="400"/>
      <c r="AJ253" s="400" t="str">
        <f ca="1">Área!S199</f>
        <v/>
      </c>
      <c r="AK253" s="400"/>
      <c r="AL253" s="400" t="str">
        <f ca="1">Área!T199</f>
        <v/>
      </c>
      <c r="AM253" s="400"/>
      <c r="AN253" s="400" t="str">
        <f ca="1">Área!U199</f>
        <v/>
      </c>
      <c r="AO253" s="400"/>
      <c r="AP253" s="422" t="str">
        <f ca="1">IFERROR(Área!Z199,"")</f>
        <v/>
      </c>
      <c r="AQ253" s="422"/>
      <c r="AR253" s="400" t="str">
        <f ca="1">Área!Y199</f>
        <v/>
      </c>
      <c r="AS253" s="423"/>
      <c r="AT253" s="72"/>
    </row>
    <row r="254" spans="1:46" ht="15" customHeight="1" x14ac:dyDescent="0.25">
      <c r="A254"/>
      <c r="C254" s="397" t="str">
        <f ca="1">Área!C200</f>
        <v/>
      </c>
      <c r="D254" s="398"/>
      <c r="E254" s="398"/>
      <c r="F254" s="398"/>
      <c r="G254" s="396" t="str">
        <f ca="1">Área!F200</f>
        <v/>
      </c>
      <c r="H254" s="396"/>
      <c r="I254" s="398" t="str">
        <f ca="1">Área!G200</f>
        <v/>
      </c>
      <c r="J254" s="398"/>
      <c r="K254" s="396" t="str">
        <f ca="1">Área!H200</f>
        <v/>
      </c>
      <c r="L254" s="396"/>
      <c r="M254" s="396" t="str">
        <f ca="1">Área!I200</f>
        <v/>
      </c>
      <c r="N254" s="396"/>
      <c r="O254" s="396" t="str">
        <f ca="1">Área!J200</f>
        <v/>
      </c>
      <c r="P254" s="396"/>
      <c r="Q254" s="396" t="str">
        <f ca="1">Área!K200</f>
        <v/>
      </c>
      <c r="R254" s="396"/>
      <c r="S254" s="396" t="str">
        <f ca="1">Área!L200</f>
        <v/>
      </c>
      <c r="T254" s="396"/>
      <c r="U254" s="396" t="str">
        <f ca="1">Área!N200</f>
        <v/>
      </c>
      <c r="V254" s="396"/>
      <c r="W254" s="396" t="str">
        <f ca="1">Área!M200</f>
        <v/>
      </c>
      <c r="X254" s="396"/>
      <c r="Y254" s="89" t="str">
        <f ca="1">Área!O200</f>
        <v/>
      </c>
      <c r="Z254" s="399" t="str">
        <f ca="1">Área!P200</f>
        <v/>
      </c>
      <c r="AA254" s="399"/>
      <c r="AB254" s="399"/>
      <c r="AC254" s="399"/>
      <c r="AD254" s="399" t="str">
        <f ca="1">Área!Q200</f>
        <v/>
      </c>
      <c r="AE254" s="399"/>
      <c r="AF254" s="399"/>
      <c r="AG254" s="399"/>
      <c r="AH254" s="400" t="str">
        <f ca="1">Área!R200</f>
        <v/>
      </c>
      <c r="AI254" s="400"/>
      <c r="AJ254" s="400" t="str">
        <f ca="1">Área!S200</f>
        <v/>
      </c>
      <c r="AK254" s="400"/>
      <c r="AL254" s="400" t="str">
        <f ca="1">Área!T200</f>
        <v/>
      </c>
      <c r="AM254" s="400"/>
      <c r="AN254" s="400" t="str">
        <f ca="1">Área!U200</f>
        <v/>
      </c>
      <c r="AO254" s="400"/>
      <c r="AP254" s="422" t="str">
        <f ca="1">IFERROR(Área!Z200,"")</f>
        <v/>
      </c>
      <c r="AQ254" s="422"/>
      <c r="AR254" s="400" t="str">
        <f ca="1">Área!Y200</f>
        <v/>
      </c>
      <c r="AS254" s="423"/>
      <c r="AT254" s="72"/>
    </row>
    <row r="255" spans="1:46" ht="15" customHeight="1" x14ac:dyDescent="0.25">
      <c r="A255"/>
      <c r="C255" s="397" t="str">
        <f ca="1">Área!C201</f>
        <v/>
      </c>
      <c r="D255" s="398"/>
      <c r="E255" s="398"/>
      <c r="F255" s="398"/>
      <c r="G255" s="396" t="str">
        <f ca="1">Área!F201</f>
        <v/>
      </c>
      <c r="H255" s="396"/>
      <c r="I255" s="398" t="str">
        <f ca="1">Área!G201</f>
        <v/>
      </c>
      <c r="J255" s="398"/>
      <c r="K255" s="396" t="str">
        <f ca="1">Área!H201</f>
        <v/>
      </c>
      <c r="L255" s="396"/>
      <c r="M255" s="396" t="str">
        <f ca="1">Área!I201</f>
        <v/>
      </c>
      <c r="N255" s="396"/>
      <c r="O255" s="396" t="str">
        <f ca="1">Área!J201</f>
        <v/>
      </c>
      <c r="P255" s="396"/>
      <c r="Q255" s="396" t="str">
        <f ca="1">Área!K201</f>
        <v/>
      </c>
      <c r="R255" s="396"/>
      <c r="S255" s="396" t="str">
        <f ca="1">Área!L201</f>
        <v/>
      </c>
      <c r="T255" s="396"/>
      <c r="U255" s="396" t="str">
        <f ca="1">Área!N201</f>
        <v/>
      </c>
      <c r="V255" s="396"/>
      <c r="W255" s="396" t="str">
        <f ca="1">Área!M201</f>
        <v/>
      </c>
      <c r="X255" s="396"/>
      <c r="Y255" s="89" t="str">
        <f ca="1">Área!O201</f>
        <v/>
      </c>
      <c r="Z255" s="399" t="str">
        <f ca="1">Área!P201</f>
        <v/>
      </c>
      <c r="AA255" s="399"/>
      <c r="AB255" s="399"/>
      <c r="AC255" s="399"/>
      <c r="AD255" s="399" t="str">
        <f ca="1">Área!Q201</f>
        <v/>
      </c>
      <c r="AE255" s="399"/>
      <c r="AF255" s="399"/>
      <c r="AG255" s="399"/>
      <c r="AH255" s="400" t="str">
        <f ca="1">Área!R201</f>
        <v/>
      </c>
      <c r="AI255" s="400"/>
      <c r="AJ255" s="400" t="str">
        <f ca="1">Área!S201</f>
        <v/>
      </c>
      <c r="AK255" s="400"/>
      <c r="AL255" s="400" t="str">
        <f ca="1">Área!T201</f>
        <v/>
      </c>
      <c r="AM255" s="400"/>
      <c r="AN255" s="400" t="str">
        <f ca="1">Área!U201</f>
        <v/>
      </c>
      <c r="AO255" s="400"/>
      <c r="AP255" s="422" t="str">
        <f ca="1">IFERROR(Área!Z201,"")</f>
        <v/>
      </c>
      <c r="AQ255" s="422"/>
      <c r="AR255" s="400" t="str">
        <f ca="1">Área!Y201</f>
        <v/>
      </c>
      <c r="AS255" s="423"/>
      <c r="AT255" s="72"/>
    </row>
    <row r="256" spans="1:46" ht="15" customHeight="1" x14ac:dyDescent="0.25">
      <c r="A256"/>
      <c r="C256" s="397" t="str">
        <f ca="1">Área!C202</f>
        <v/>
      </c>
      <c r="D256" s="398"/>
      <c r="E256" s="398"/>
      <c r="F256" s="398"/>
      <c r="G256" s="396" t="str">
        <f ca="1">Área!F202</f>
        <v/>
      </c>
      <c r="H256" s="396"/>
      <c r="I256" s="398" t="str">
        <f ca="1">Área!G202</f>
        <v/>
      </c>
      <c r="J256" s="398"/>
      <c r="K256" s="396" t="str">
        <f ca="1">Área!H202</f>
        <v/>
      </c>
      <c r="L256" s="396"/>
      <c r="M256" s="396" t="str">
        <f ca="1">Área!I202</f>
        <v/>
      </c>
      <c r="N256" s="396"/>
      <c r="O256" s="396" t="str">
        <f ca="1">Área!J202</f>
        <v/>
      </c>
      <c r="P256" s="396"/>
      <c r="Q256" s="396" t="str">
        <f ca="1">Área!K202</f>
        <v/>
      </c>
      <c r="R256" s="396"/>
      <c r="S256" s="396" t="str">
        <f ca="1">Área!L202</f>
        <v/>
      </c>
      <c r="T256" s="396"/>
      <c r="U256" s="396" t="str">
        <f ca="1">Área!N202</f>
        <v/>
      </c>
      <c r="V256" s="396"/>
      <c r="W256" s="396" t="str">
        <f ca="1">Área!M202</f>
        <v/>
      </c>
      <c r="X256" s="396"/>
      <c r="Y256" s="89" t="str">
        <f ca="1">Área!O202</f>
        <v/>
      </c>
      <c r="Z256" s="399" t="str">
        <f ca="1">Área!P202</f>
        <v/>
      </c>
      <c r="AA256" s="399"/>
      <c r="AB256" s="399"/>
      <c r="AC256" s="399"/>
      <c r="AD256" s="399" t="str">
        <f ca="1">Área!Q202</f>
        <v/>
      </c>
      <c r="AE256" s="399"/>
      <c r="AF256" s="399"/>
      <c r="AG256" s="399"/>
      <c r="AH256" s="400" t="str">
        <f ca="1">Área!R202</f>
        <v/>
      </c>
      <c r="AI256" s="400"/>
      <c r="AJ256" s="400" t="str">
        <f ca="1">Área!S202</f>
        <v/>
      </c>
      <c r="AK256" s="400"/>
      <c r="AL256" s="400" t="str">
        <f ca="1">Área!T202</f>
        <v/>
      </c>
      <c r="AM256" s="400"/>
      <c r="AN256" s="400" t="str">
        <f ca="1">Área!U202</f>
        <v/>
      </c>
      <c r="AO256" s="400"/>
      <c r="AP256" s="422" t="str">
        <f ca="1">IFERROR(Área!Z202,"")</f>
        <v/>
      </c>
      <c r="AQ256" s="422"/>
      <c r="AR256" s="400" t="str">
        <f ca="1">Área!Y202</f>
        <v/>
      </c>
      <c r="AS256" s="423"/>
      <c r="AT256" s="72"/>
    </row>
    <row r="257" spans="1:46" ht="15" customHeight="1" x14ac:dyDescent="0.25">
      <c r="A257"/>
      <c r="C257" s="397" t="str">
        <f ca="1">Área!C203</f>
        <v/>
      </c>
      <c r="D257" s="398"/>
      <c r="E257" s="398"/>
      <c r="F257" s="398"/>
      <c r="G257" s="396" t="str">
        <f ca="1">Área!F203</f>
        <v/>
      </c>
      <c r="H257" s="396"/>
      <c r="I257" s="398" t="str">
        <f ca="1">Área!G203</f>
        <v/>
      </c>
      <c r="J257" s="398"/>
      <c r="K257" s="396" t="str">
        <f ca="1">Área!H203</f>
        <v/>
      </c>
      <c r="L257" s="396"/>
      <c r="M257" s="396" t="str">
        <f ca="1">Área!I203</f>
        <v/>
      </c>
      <c r="N257" s="396"/>
      <c r="O257" s="396" t="str">
        <f ca="1">Área!J203</f>
        <v/>
      </c>
      <c r="P257" s="396"/>
      <c r="Q257" s="396" t="str">
        <f ca="1">Área!K203</f>
        <v/>
      </c>
      <c r="R257" s="396"/>
      <c r="S257" s="396" t="str">
        <f ca="1">Área!L203</f>
        <v/>
      </c>
      <c r="T257" s="396"/>
      <c r="U257" s="396" t="str">
        <f ca="1">Área!N203</f>
        <v/>
      </c>
      <c r="V257" s="396"/>
      <c r="W257" s="396" t="str">
        <f ca="1">Área!M203</f>
        <v/>
      </c>
      <c r="X257" s="396"/>
      <c r="Y257" s="89" t="str">
        <f ca="1">Área!O203</f>
        <v/>
      </c>
      <c r="Z257" s="399" t="str">
        <f ca="1">Área!P203</f>
        <v/>
      </c>
      <c r="AA257" s="399"/>
      <c r="AB257" s="399"/>
      <c r="AC257" s="399"/>
      <c r="AD257" s="399" t="str">
        <f ca="1">Área!Q203</f>
        <v/>
      </c>
      <c r="AE257" s="399"/>
      <c r="AF257" s="399"/>
      <c r="AG257" s="399"/>
      <c r="AH257" s="400" t="str">
        <f ca="1">Área!R203</f>
        <v/>
      </c>
      <c r="AI257" s="400"/>
      <c r="AJ257" s="400" t="str">
        <f ca="1">Área!S203</f>
        <v/>
      </c>
      <c r="AK257" s="400"/>
      <c r="AL257" s="400" t="str">
        <f ca="1">Área!T203</f>
        <v/>
      </c>
      <c r="AM257" s="400"/>
      <c r="AN257" s="400" t="str">
        <f ca="1">Área!U203</f>
        <v/>
      </c>
      <c r="AO257" s="400"/>
      <c r="AP257" s="422" t="str">
        <f ca="1">IFERROR(Área!Z203,"")</f>
        <v/>
      </c>
      <c r="AQ257" s="422"/>
      <c r="AR257" s="400" t="str">
        <f ca="1">Área!Y203</f>
        <v/>
      </c>
      <c r="AS257" s="423"/>
      <c r="AT257" s="72"/>
    </row>
    <row r="258" spans="1:46" ht="15" customHeight="1" x14ac:dyDescent="0.25">
      <c r="A258"/>
      <c r="C258" s="397" t="str">
        <f ca="1">Área!C204</f>
        <v/>
      </c>
      <c r="D258" s="398"/>
      <c r="E258" s="398"/>
      <c r="F258" s="398"/>
      <c r="G258" s="396" t="str">
        <f ca="1">Área!F204</f>
        <v/>
      </c>
      <c r="H258" s="396"/>
      <c r="I258" s="398" t="str">
        <f ca="1">Área!G204</f>
        <v/>
      </c>
      <c r="J258" s="398"/>
      <c r="K258" s="396" t="str">
        <f ca="1">Área!H204</f>
        <v/>
      </c>
      <c r="L258" s="396"/>
      <c r="M258" s="396" t="str">
        <f ca="1">Área!I204</f>
        <v/>
      </c>
      <c r="N258" s="396"/>
      <c r="O258" s="396" t="str">
        <f ca="1">Área!J204</f>
        <v/>
      </c>
      <c r="P258" s="396"/>
      <c r="Q258" s="396" t="str">
        <f ca="1">Área!K204</f>
        <v/>
      </c>
      <c r="R258" s="396"/>
      <c r="S258" s="396" t="str">
        <f ca="1">Área!L204</f>
        <v/>
      </c>
      <c r="T258" s="396"/>
      <c r="U258" s="396" t="str">
        <f ca="1">Área!N204</f>
        <v/>
      </c>
      <c r="V258" s="396"/>
      <c r="W258" s="396" t="str">
        <f ca="1">Área!M204</f>
        <v/>
      </c>
      <c r="X258" s="396"/>
      <c r="Y258" s="89" t="str">
        <f ca="1">Área!O204</f>
        <v/>
      </c>
      <c r="Z258" s="399" t="str">
        <f ca="1">Área!P204</f>
        <v/>
      </c>
      <c r="AA258" s="399"/>
      <c r="AB258" s="399"/>
      <c r="AC258" s="399"/>
      <c r="AD258" s="399" t="str">
        <f ca="1">Área!Q204</f>
        <v/>
      </c>
      <c r="AE258" s="399"/>
      <c r="AF258" s="399"/>
      <c r="AG258" s="399"/>
      <c r="AH258" s="400" t="str">
        <f ca="1">Área!R204</f>
        <v/>
      </c>
      <c r="AI258" s="400"/>
      <c r="AJ258" s="400" t="str">
        <f ca="1">Área!S204</f>
        <v/>
      </c>
      <c r="AK258" s="400"/>
      <c r="AL258" s="400" t="str">
        <f ca="1">Área!T204</f>
        <v/>
      </c>
      <c r="AM258" s="400"/>
      <c r="AN258" s="400" t="str">
        <f ca="1">Área!U204</f>
        <v/>
      </c>
      <c r="AO258" s="400"/>
      <c r="AP258" s="422" t="str">
        <f ca="1">IFERROR(Área!Z204,"")</f>
        <v/>
      </c>
      <c r="AQ258" s="422"/>
      <c r="AR258" s="400" t="str">
        <f ca="1">Área!Y204</f>
        <v/>
      </c>
      <c r="AS258" s="423"/>
      <c r="AT258" s="72"/>
    </row>
    <row r="259" spans="1:46" ht="15" customHeight="1" x14ac:dyDescent="0.25">
      <c r="A259"/>
      <c r="C259" s="397" t="str">
        <f ca="1">Área!C205</f>
        <v/>
      </c>
      <c r="D259" s="398"/>
      <c r="E259" s="398"/>
      <c r="F259" s="398"/>
      <c r="G259" s="396" t="str">
        <f ca="1">Área!F205</f>
        <v/>
      </c>
      <c r="H259" s="396"/>
      <c r="I259" s="398" t="str">
        <f ca="1">Área!G205</f>
        <v/>
      </c>
      <c r="J259" s="398"/>
      <c r="K259" s="396" t="str">
        <f ca="1">Área!H205</f>
        <v/>
      </c>
      <c r="L259" s="396"/>
      <c r="M259" s="396" t="str">
        <f ca="1">Área!I205</f>
        <v/>
      </c>
      <c r="N259" s="396"/>
      <c r="O259" s="396" t="str">
        <f ca="1">Área!J205</f>
        <v/>
      </c>
      <c r="P259" s="396"/>
      <c r="Q259" s="396" t="str">
        <f ca="1">Área!K205</f>
        <v/>
      </c>
      <c r="R259" s="396"/>
      <c r="S259" s="396" t="str">
        <f ca="1">Área!L205</f>
        <v/>
      </c>
      <c r="T259" s="396"/>
      <c r="U259" s="396" t="str">
        <f ca="1">Área!N205</f>
        <v/>
      </c>
      <c r="V259" s="396"/>
      <c r="W259" s="396" t="str">
        <f ca="1">Área!M205</f>
        <v/>
      </c>
      <c r="X259" s="396"/>
      <c r="Y259" s="89" t="str">
        <f ca="1">Área!O205</f>
        <v/>
      </c>
      <c r="Z259" s="399" t="str">
        <f ca="1">Área!P205</f>
        <v/>
      </c>
      <c r="AA259" s="399"/>
      <c r="AB259" s="399"/>
      <c r="AC259" s="399"/>
      <c r="AD259" s="399" t="str">
        <f ca="1">Área!Q205</f>
        <v/>
      </c>
      <c r="AE259" s="399"/>
      <c r="AF259" s="399"/>
      <c r="AG259" s="399"/>
      <c r="AH259" s="400" t="str">
        <f ca="1">Área!R205</f>
        <v/>
      </c>
      <c r="AI259" s="400"/>
      <c r="AJ259" s="400" t="str">
        <f ca="1">Área!S205</f>
        <v/>
      </c>
      <c r="AK259" s="400"/>
      <c r="AL259" s="400" t="str">
        <f ca="1">Área!T205</f>
        <v/>
      </c>
      <c r="AM259" s="400"/>
      <c r="AN259" s="400" t="str">
        <f ca="1">Área!U205</f>
        <v/>
      </c>
      <c r="AO259" s="400"/>
      <c r="AP259" s="422" t="str">
        <f ca="1">IFERROR(Área!Z205,"")</f>
        <v/>
      </c>
      <c r="AQ259" s="422"/>
      <c r="AR259" s="400" t="str">
        <f ca="1">Área!Y205</f>
        <v/>
      </c>
      <c r="AS259" s="423"/>
      <c r="AT259" s="72"/>
    </row>
    <row r="260" spans="1:46" ht="15" customHeight="1" x14ac:dyDescent="0.25">
      <c r="A260"/>
      <c r="C260" s="397" t="str">
        <f ca="1">Área!C206</f>
        <v/>
      </c>
      <c r="D260" s="398"/>
      <c r="E260" s="398"/>
      <c r="F260" s="398"/>
      <c r="G260" s="396" t="str">
        <f ca="1">Área!F206</f>
        <v/>
      </c>
      <c r="H260" s="396"/>
      <c r="I260" s="398" t="str">
        <f ca="1">Área!G206</f>
        <v/>
      </c>
      <c r="J260" s="398"/>
      <c r="K260" s="396" t="str">
        <f ca="1">Área!H206</f>
        <v/>
      </c>
      <c r="L260" s="396"/>
      <c r="M260" s="396" t="str">
        <f ca="1">Área!I206</f>
        <v/>
      </c>
      <c r="N260" s="396"/>
      <c r="O260" s="396" t="str">
        <f ca="1">Área!J206</f>
        <v/>
      </c>
      <c r="P260" s="396"/>
      <c r="Q260" s="396" t="str">
        <f ca="1">Área!K206</f>
        <v/>
      </c>
      <c r="R260" s="396"/>
      <c r="S260" s="396" t="str">
        <f ca="1">Área!L206</f>
        <v/>
      </c>
      <c r="T260" s="396"/>
      <c r="U260" s="396" t="str">
        <f ca="1">Área!N206</f>
        <v/>
      </c>
      <c r="V260" s="396"/>
      <c r="W260" s="396" t="str">
        <f ca="1">Área!M206</f>
        <v/>
      </c>
      <c r="X260" s="396"/>
      <c r="Y260" s="89" t="str">
        <f ca="1">Área!O206</f>
        <v/>
      </c>
      <c r="Z260" s="399" t="str">
        <f ca="1">Área!P206</f>
        <v/>
      </c>
      <c r="AA260" s="399"/>
      <c r="AB260" s="399"/>
      <c r="AC260" s="399"/>
      <c r="AD260" s="399" t="str">
        <f ca="1">Área!Q206</f>
        <v/>
      </c>
      <c r="AE260" s="399"/>
      <c r="AF260" s="399"/>
      <c r="AG260" s="399"/>
      <c r="AH260" s="400" t="str">
        <f ca="1">Área!R206</f>
        <v/>
      </c>
      <c r="AI260" s="400"/>
      <c r="AJ260" s="400" t="str">
        <f ca="1">Área!S206</f>
        <v/>
      </c>
      <c r="AK260" s="400"/>
      <c r="AL260" s="400" t="str">
        <f ca="1">Área!T206</f>
        <v/>
      </c>
      <c r="AM260" s="400"/>
      <c r="AN260" s="400" t="str">
        <f ca="1">Área!U206</f>
        <v/>
      </c>
      <c r="AO260" s="400"/>
      <c r="AP260" s="422" t="str">
        <f ca="1">IFERROR(Área!Z206,"")</f>
        <v/>
      </c>
      <c r="AQ260" s="422"/>
      <c r="AR260" s="400" t="str">
        <f ca="1">Área!Y206</f>
        <v/>
      </c>
      <c r="AS260" s="423"/>
      <c r="AT260" s="72"/>
    </row>
    <row r="261" spans="1:46" ht="15" customHeight="1" x14ac:dyDescent="0.25">
      <c r="A261"/>
      <c r="C261" s="397" t="str">
        <f ca="1">Área!C207</f>
        <v/>
      </c>
      <c r="D261" s="398"/>
      <c r="E261" s="398"/>
      <c r="F261" s="398"/>
      <c r="G261" s="396" t="str">
        <f ca="1">Área!F207</f>
        <v/>
      </c>
      <c r="H261" s="396"/>
      <c r="I261" s="398" t="str">
        <f ca="1">Área!G207</f>
        <v/>
      </c>
      <c r="J261" s="398"/>
      <c r="K261" s="396" t="str">
        <f ca="1">Área!H207</f>
        <v/>
      </c>
      <c r="L261" s="396"/>
      <c r="M261" s="396" t="str">
        <f ca="1">Área!I207</f>
        <v/>
      </c>
      <c r="N261" s="396"/>
      <c r="O261" s="396" t="str">
        <f ca="1">Área!J207</f>
        <v/>
      </c>
      <c r="P261" s="396"/>
      <c r="Q261" s="396" t="str">
        <f ca="1">Área!K207</f>
        <v/>
      </c>
      <c r="R261" s="396"/>
      <c r="S261" s="396" t="str">
        <f ca="1">Área!L207</f>
        <v/>
      </c>
      <c r="T261" s="396"/>
      <c r="U261" s="396" t="str">
        <f ca="1">Área!N207</f>
        <v/>
      </c>
      <c r="V261" s="396"/>
      <c r="W261" s="396" t="str">
        <f ca="1">Área!M207</f>
        <v/>
      </c>
      <c r="X261" s="396"/>
      <c r="Y261" s="89" t="str">
        <f ca="1">Área!O207</f>
        <v/>
      </c>
      <c r="Z261" s="399" t="str">
        <f ca="1">Área!P207</f>
        <v/>
      </c>
      <c r="AA261" s="399"/>
      <c r="AB261" s="399"/>
      <c r="AC261" s="399"/>
      <c r="AD261" s="399" t="str">
        <f ca="1">Área!Q207</f>
        <v/>
      </c>
      <c r="AE261" s="399"/>
      <c r="AF261" s="399"/>
      <c r="AG261" s="399"/>
      <c r="AH261" s="400" t="str">
        <f ca="1">Área!R207</f>
        <v/>
      </c>
      <c r="AI261" s="400"/>
      <c r="AJ261" s="400" t="str">
        <f ca="1">Área!S207</f>
        <v/>
      </c>
      <c r="AK261" s="400"/>
      <c r="AL261" s="400" t="str">
        <f ca="1">Área!T207</f>
        <v/>
      </c>
      <c r="AM261" s="400"/>
      <c r="AN261" s="400" t="str">
        <f ca="1">Área!U207</f>
        <v/>
      </c>
      <c r="AO261" s="400"/>
      <c r="AP261" s="422" t="str">
        <f ca="1">IFERROR(Área!Z207,"")</f>
        <v/>
      </c>
      <c r="AQ261" s="422"/>
      <c r="AR261" s="400" t="str">
        <f ca="1">Área!Y207</f>
        <v/>
      </c>
      <c r="AS261" s="423"/>
      <c r="AT261" s="72"/>
    </row>
    <row r="262" spans="1:46" ht="15" customHeight="1" x14ac:dyDescent="0.25">
      <c r="A262"/>
      <c r="C262" s="397" t="str">
        <f ca="1">Área!C208</f>
        <v/>
      </c>
      <c r="D262" s="398"/>
      <c r="E262" s="398"/>
      <c r="F262" s="398"/>
      <c r="G262" s="396" t="str">
        <f ca="1">Área!F208</f>
        <v/>
      </c>
      <c r="H262" s="396"/>
      <c r="I262" s="398" t="str">
        <f ca="1">Área!G208</f>
        <v/>
      </c>
      <c r="J262" s="398"/>
      <c r="K262" s="396" t="str">
        <f ca="1">Área!H208</f>
        <v/>
      </c>
      <c r="L262" s="396"/>
      <c r="M262" s="396" t="str">
        <f ca="1">Área!I208</f>
        <v/>
      </c>
      <c r="N262" s="396"/>
      <c r="O262" s="396" t="str">
        <f ca="1">Área!J208</f>
        <v/>
      </c>
      <c r="P262" s="396"/>
      <c r="Q262" s="396" t="str">
        <f ca="1">Área!K208</f>
        <v/>
      </c>
      <c r="R262" s="396"/>
      <c r="S262" s="396" t="str">
        <f ca="1">Área!L208</f>
        <v/>
      </c>
      <c r="T262" s="396"/>
      <c r="U262" s="396" t="str">
        <f ca="1">Área!N208</f>
        <v/>
      </c>
      <c r="V262" s="396"/>
      <c r="W262" s="396" t="str">
        <f ca="1">Área!M208</f>
        <v/>
      </c>
      <c r="X262" s="396"/>
      <c r="Y262" s="89" t="str">
        <f ca="1">Área!O208</f>
        <v/>
      </c>
      <c r="Z262" s="399" t="str">
        <f ca="1">Área!P208</f>
        <v/>
      </c>
      <c r="AA262" s="399"/>
      <c r="AB262" s="399"/>
      <c r="AC262" s="399"/>
      <c r="AD262" s="399" t="str">
        <f ca="1">Área!Q208</f>
        <v/>
      </c>
      <c r="AE262" s="399"/>
      <c r="AF262" s="399"/>
      <c r="AG262" s="399"/>
      <c r="AH262" s="400" t="str">
        <f ca="1">Área!R208</f>
        <v/>
      </c>
      <c r="AI262" s="400"/>
      <c r="AJ262" s="400" t="str">
        <f ca="1">Área!S208</f>
        <v/>
      </c>
      <c r="AK262" s="400"/>
      <c r="AL262" s="400" t="str">
        <f ca="1">Área!T208</f>
        <v/>
      </c>
      <c r="AM262" s="400"/>
      <c r="AN262" s="400" t="str">
        <f ca="1">Área!U208</f>
        <v/>
      </c>
      <c r="AO262" s="400"/>
      <c r="AP262" s="422" t="str">
        <f ca="1">IFERROR(Área!Z208,"")</f>
        <v/>
      </c>
      <c r="AQ262" s="422"/>
      <c r="AR262" s="400" t="str">
        <f ca="1">Área!Y208</f>
        <v/>
      </c>
      <c r="AS262" s="423"/>
      <c r="AT262" s="72"/>
    </row>
    <row r="263" spans="1:46" ht="15" customHeight="1" x14ac:dyDescent="0.25">
      <c r="A263"/>
      <c r="C263" s="397" t="str">
        <f ca="1">Área!C209</f>
        <v/>
      </c>
      <c r="D263" s="398"/>
      <c r="E263" s="398"/>
      <c r="F263" s="398"/>
      <c r="G263" s="396" t="str">
        <f ca="1">Área!F209</f>
        <v/>
      </c>
      <c r="H263" s="396"/>
      <c r="I263" s="398" t="str">
        <f ca="1">Área!G209</f>
        <v/>
      </c>
      <c r="J263" s="398"/>
      <c r="K263" s="396" t="str">
        <f ca="1">Área!H209</f>
        <v/>
      </c>
      <c r="L263" s="396"/>
      <c r="M263" s="396" t="str">
        <f ca="1">Área!I209</f>
        <v/>
      </c>
      <c r="N263" s="396"/>
      <c r="O263" s="396" t="str">
        <f ca="1">Área!J209</f>
        <v/>
      </c>
      <c r="P263" s="396"/>
      <c r="Q263" s="396" t="str">
        <f ca="1">Área!K209</f>
        <v/>
      </c>
      <c r="R263" s="396"/>
      <c r="S263" s="396" t="str">
        <f ca="1">Área!L209</f>
        <v/>
      </c>
      <c r="T263" s="396"/>
      <c r="U263" s="396" t="str">
        <f ca="1">Área!N209</f>
        <v/>
      </c>
      <c r="V263" s="396"/>
      <c r="W263" s="396" t="str">
        <f ca="1">Área!M209</f>
        <v/>
      </c>
      <c r="X263" s="396"/>
      <c r="Y263" s="89" t="str">
        <f ca="1">Área!O209</f>
        <v/>
      </c>
      <c r="Z263" s="399" t="str">
        <f ca="1">Área!P209</f>
        <v/>
      </c>
      <c r="AA263" s="399"/>
      <c r="AB263" s="399"/>
      <c r="AC263" s="399"/>
      <c r="AD263" s="399" t="str">
        <f ca="1">Área!Q209</f>
        <v/>
      </c>
      <c r="AE263" s="399"/>
      <c r="AF263" s="399"/>
      <c r="AG263" s="399"/>
      <c r="AH263" s="400" t="str">
        <f ca="1">Área!R209</f>
        <v/>
      </c>
      <c r="AI263" s="400"/>
      <c r="AJ263" s="400" t="str">
        <f ca="1">Área!S209</f>
        <v/>
      </c>
      <c r="AK263" s="400"/>
      <c r="AL263" s="400" t="str">
        <f ca="1">Área!T209</f>
        <v/>
      </c>
      <c r="AM263" s="400"/>
      <c r="AN263" s="400" t="str">
        <f ca="1">Área!U209</f>
        <v/>
      </c>
      <c r="AO263" s="400"/>
      <c r="AP263" s="422" t="str">
        <f ca="1">IFERROR(Área!Z209,"")</f>
        <v/>
      </c>
      <c r="AQ263" s="422"/>
      <c r="AR263" s="400" t="str">
        <f ca="1">Área!Y209</f>
        <v/>
      </c>
      <c r="AS263" s="423"/>
      <c r="AT263" s="72"/>
    </row>
    <row r="264" spans="1:46" ht="15" customHeight="1" x14ac:dyDescent="0.25">
      <c r="A264"/>
      <c r="C264" s="397" t="str">
        <f ca="1">Área!C210</f>
        <v/>
      </c>
      <c r="D264" s="398"/>
      <c r="E264" s="398"/>
      <c r="F264" s="398"/>
      <c r="G264" s="396" t="str">
        <f ca="1">Área!F210</f>
        <v/>
      </c>
      <c r="H264" s="396"/>
      <c r="I264" s="398" t="str">
        <f ca="1">Área!G210</f>
        <v/>
      </c>
      <c r="J264" s="398"/>
      <c r="K264" s="396" t="str">
        <f ca="1">Área!H210</f>
        <v/>
      </c>
      <c r="L264" s="396"/>
      <c r="M264" s="396" t="str">
        <f ca="1">Área!I210</f>
        <v/>
      </c>
      <c r="N264" s="396"/>
      <c r="O264" s="396" t="str">
        <f ca="1">Área!J210</f>
        <v/>
      </c>
      <c r="P264" s="396"/>
      <c r="Q264" s="396" t="str">
        <f ca="1">Área!K210</f>
        <v/>
      </c>
      <c r="R264" s="396"/>
      <c r="S264" s="396" t="str">
        <f ca="1">Área!L210</f>
        <v/>
      </c>
      <c r="T264" s="396"/>
      <c r="U264" s="396" t="str">
        <f ca="1">Área!N210</f>
        <v/>
      </c>
      <c r="V264" s="396"/>
      <c r="W264" s="396" t="str">
        <f ca="1">Área!M210</f>
        <v/>
      </c>
      <c r="X264" s="396"/>
      <c r="Y264" s="89" t="str">
        <f ca="1">Área!O210</f>
        <v/>
      </c>
      <c r="Z264" s="399" t="str">
        <f ca="1">Área!P210</f>
        <v/>
      </c>
      <c r="AA264" s="399"/>
      <c r="AB264" s="399"/>
      <c r="AC264" s="399"/>
      <c r="AD264" s="399" t="str">
        <f ca="1">Área!Q210</f>
        <v/>
      </c>
      <c r="AE264" s="399"/>
      <c r="AF264" s="399"/>
      <c r="AG264" s="399"/>
      <c r="AH264" s="400" t="str">
        <f ca="1">Área!R210</f>
        <v/>
      </c>
      <c r="AI264" s="400"/>
      <c r="AJ264" s="400" t="str">
        <f ca="1">Área!S210</f>
        <v/>
      </c>
      <c r="AK264" s="400"/>
      <c r="AL264" s="400" t="str">
        <f ca="1">Área!T210</f>
        <v/>
      </c>
      <c r="AM264" s="400"/>
      <c r="AN264" s="400" t="str">
        <f ca="1">Área!U210</f>
        <v/>
      </c>
      <c r="AO264" s="400"/>
      <c r="AP264" s="422" t="str">
        <f ca="1">IFERROR(Área!Z210,"")</f>
        <v/>
      </c>
      <c r="AQ264" s="422"/>
      <c r="AR264" s="400" t="str">
        <f ca="1">Área!Y210</f>
        <v/>
      </c>
      <c r="AS264" s="423"/>
      <c r="AT264" s="72"/>
    </row>
    <row r="265" spans="1:46" ht="15" customHeight="1" x14ac:dyDescent="0.25">
      <c r="A265"/>
      <c r="C265" s="397" t="str">
        <f ca="1">Área!C211</f>
        <v/>
      </c>
      <c r="D265" s="398"/>
      <c r="E265" s="398"/>
      <c r="F265" s="398"/>
      <c r="G265" s="396" t="str">
        <f ca="1">Área!F211</f>
        <v/>
      </c>
      <c r="H265" s="396"/>
      <c r="I265" s="398" t="str">
        <f ca="1">Área!G211</f>
        <v/>
      </c>
      <c r="J265" s="398"/>
      <c r="K265" s="396" t="str">
        <f ca="1">Área!H211</f>
        <v/>
      </c>
      <c r="L265" s="396"/>
      <c r="M265" s="396" t="str">
        <f ca="1">Área!I211</f>
        <v/>
      </c>
      <c r="N265" s="396"/>
      <c r="O265" s="396" t="str">
        <f ca="1">Área!J211</f>
        <v/>
      </c>
      <c r="P265" s="396"/>
      <c r="Q265" s="396" t="str">
        <f ca="1">Área!K211</f>
        <v/>
      </c>
      <c r="R265" s="396"/>
      <c r="S265" s="396" t="str">
        <f ca="1">Área!L211</f>
        <v/>
      </c>
      <c r="T265" s="396"/>
      <c r="U265" s="396" t="str">
        <f ca="1">Área!N211</f>
        <v/>
      </c>
      <c r="V265" s="396"/>
      <c r="W265" s="396" t="str">
        <f ca="1">Área!M211</f>
        <v/>
      </c>
      <c r="X265" s="396"/>
      <c r="Y265" s="89" t="str">
        <f ca="1">Área!O211</f>
        <v/>
      </c>
      <c r="Z265" s="399" t="str">
        <f ca="1">Área!P211</f>
        <v/>
      </c>
      <c r="AA265" s="399"/>
      <c r="AB265" s="399"/>
      <c r="AC265" s="399"/>
      <c r="AD265" s="399" t="str">
        <f ca="1">Área!Q211</f>
        <v/>
      </c>
      <c r="AE265" s="399"/>
      <c r="AF265" s="399"/>
      <c r="AG265" s="399"/>
      <c r="AH265" s="400" t="str">
        <f ca="1">Área!R211</f>
        <v/>
      </c>
      <c r="AI265" s="400"/>
      <c r="AJ265" s="400" t="str">
        <f ca="1">Área!S211</f>
        <v/>
      </c>
      <c r="AK265" s="400"/>
      <c r="AL265" s="400" t="str">
        <f ca="1">Área!T211</f>
        <v/>
      </c>
      <c r="AM265" s="400"/>
      <c r="AN265" s="400" t="str">
        <f ca="1">Área!U211</f>
        <v/>
      </c>
      <c r="AO265" s="400"/>
      <c r="AP265" s="422" t="str">
        <f ca="1">IFERROR(Área!Z211,"")</f>
        <v/>
      </c>
      <c r="AQ265" s="422"/>
      <c r="AR265" s="400" t="str">
        <f ca="1">Área!Y211</f>
        <v/>
      </c>
      <c r="AS265" s="423"/>
      <c r="AT265" s="72"/>
    </row>
    <row r="266" spans="1:46" ht="15" customHeight="1" x14ac:dyDescent="0.25">
      <c r="A266"/>
      <c r="C266" s="397" t="str">
        <f ca="1">Área!C212</f>
        <v/>
      </c>
      <c r="D266" s="398"/>
      <c r="E266" s="398"/>
      <c r="F266" s="398"/>
      <c r="G266" s="396" t="str">
        <f ca="1">Área!F212</f>
        <v/>
      </c>
      <c r="H266" s="396"/>
      <c r="I266" s="398" t="str">
        <f ca="1">Área!G212</f>
        <v/>
      </c>
      <c r="J266" s="398"/>
      <c r="K266" s="396" t="str">
        <f ca="1">Área!H212</f>
        <v/>
      </c>
      <c r="L266" s="396"/>
      <c r="M266" s="396" t="str">
        <f ca="1">Área!I212</f>
        <v/>
      </c>
      <c r="N266" s="396"/>
      <c r="O266" s="396" t="str">
        <f ca="1">Área!J212</f>
        <v/>
      </c>
      <c r="P266" s="396"/>
      <c r="Q266" s="396" t="str">
        <f ca="1">Área!K212</f>
        <v/>
      </c>
      <c r="R266" s="396"/>
      <c r="S266" s="396" t="str">
        <f ca="1">Área!L212</f>
        <v/>
      </c>
      <c r="T266" s="396"/>
      <c r="U266" s="396" t="str">
        <f ca="1">Área!N212</f>
        <v/>
      </c>
      <c r="V266" s="396"/>
      <c r="W266" s="396" t="str">
        <f ca="1">Área!M212</f>
        <v/>
      </c>
      <c r="X266" s="396"/>
      <c r="Y266" s="89" t="str">
        <f ca="1">Área!O212</f>
        <v/>
      </c>
      <c r="Z266" s="399" t="str">
        <f ca="1">Área!P212</f>
        <v/>
      </c>
      <c r="AA266" s="399"/>
      <c r="AB266" s="399"/>
      <c r="AC266" s="399"/>
      <c r="AD266" s="399" t="str">
        <f ca="1">Área!Q212</f>
        <v/>
      </c>
      <c r="AE266" s="399"/>
      <c r="AF266" s="399"/>
      <c r="AG266" s="399"/>
      <c r="AH266" s="400" t="str">
        <f ca="1">Área!R212</f>
        <v/>
      </c>
      <c r="AI266" s="400"/>
      <c r="AJ266" s="400" t="str">
        <f ca="1">Área!S212</f>
        <v/>
      </c>
      <c r="AK266" s="400"/>
      <c r="AL266" s="400" t="str">
        <f ca="1">Área!T212</f>
        <v/>
      </c>
      <c r="AM266" s="400"/>
      <c r="AN266" s="400" t="str">
        <f ca="1">Área!U212</f>
        <v/>
      </c>
      <c r="AO266" s="400"/>
      <c r="AP266" s="422" t="str">
        <f ca="1">IFERROR(Área!Z212,"")</f>
        <v/>
      </c>
      <c r="AQ266" s="422"/>
      <c r="AR266" s="400" t="str">
        <f ca="1">Área!Y212</f>
        <v/>
      </c>
      <c r="AS266" s="423"/>
      <c r="AT266" s="72"/>
    </row>
    <row r="267" spans="1:46" ht="15" customHeight="1" x14ac:dyDescent="0.25">
      <c r="A267"/>
      <c r="C267" s="397" t="str">
        <f ca="1">Área!C213</f>
        <v/>
      </c>
      <c r="D267" s="398"/>
      <c r="E267" s="398"/>
      <c r="F267" s="398"/>
      <c r="G267" s="396" t="str">
        <f ca="1">Área!F213</f>
        <v/>
      </c>
      <c r="H267" s="396"/>
      <c r="I267" s="398" t="str">
        <f ca="1">Área!G213</f>
        <v/>
      </c>
      <c r="J267" s="398"/>
      <c r="K267" s="396" t="str">
        <f ca="1">Área!H213</f>
        <v/>
      </c>
      <c r="L267" s="396"/>
      <c r="M267" s="396" t="str">
        <f ca="1">Área!I213</f>
        <v/>
      </c>
      <c r="N267" s="396"/>
      <c r="O267" s="396" t="str">
        <f ca="1">Área!J213</f>
        <v/>
      </c>
      <c r="P267" s="396"/>
      <c r="Q267" s="396" t="str">
        <f ca="1">Área!K213</f>
        <v/>
      </c>
      <c r="R267" s="396"/>
      <c r="S267" s="396" t="str">
        <f ca="1">Área!L213</f>
        <v/>
      </c>
      <c r="T267" s="396"/>
      <c r="U267" s="396" t="str">
        <f ca="1">Área!N213</f>
        <v/>
      </c>
      <c r="V267" s="396"/>
      <c r="W267" s="396" t="str">
        <f ca="1">Área!M213</f>
        <v/>
      </c>
      <c r="X267" s="396"/>
      <c r="Y267" s="89" t="str">
        <f ca="1">Área!O213</f>
        <v/>
      </c>
      <c r="Z267" s="399" t="str">
        <f ca="1">Área!P213</f>
        <v/>
      </c>
      <c r="AA267" s="399"/>
      <c r="AB267" s="399"/>
      <c r="AC267" s="399"/>
      <c r="AD267" s="399" t="str">
        <f ca="1">Área!Q213</f>
        <v/>
      </c>
      <c r="AE267" s="399"/>
      <c r="AF267" s="399"/>
      <c r="AG267" s="399"/>
      <c r="AH267" s="400" t="str">
        <f ca="1">Área!R213</f>
        <v/>
      </c>
      <c r="AI267" s="400"/>
      <c r="AJ267" s="400" t="str">
        <f ca="1">Área!S213</f>
        <v/>
      </c>
      <c r="AK267" s="400"/>
      <c r="AL267" s="400" t="str">
        <f ca="1">Área!T213</f>
        <v/>
      </c>
      <c r="AM267" s="400"/>
      <c r="AN267" s="400" t="str">
        <f ca="1">Área!U213</f>
        <v/>
      </c>
      <c r="AO267" s="400"/>
      <c r="AP267" s="422" t="str">
        <f ca="1">IFERROR(Área!Z213,"")</f>
        <v/>
      </c>
      <c r="AQ267" s="422"/>
      <c r="AR267" s="400" t="str">
        <f ca="1">Área!Y213</f>
        <v/>
      </c>
      <c r="AS267" s="423"/>
      <c r="AT267" s="72"/>
    </row>
    <row r="268" spans="1:46" ht="15" customHeight="1" x14ac:dyDescent="0.25">
      <c r="A268"/>
      <c r="C268" s="397" t="str">
        <f ca="1">Área!C214</f>
        <v/>
      </c>
      <c r="D268" s="398"/>
      <c r="E268" s="398"/>
      <c r="F268" s="398"/>
      <c r="G268" s="396" t="str">
        <f ca="1">Área!F214</f>
        <v/>
      </c>
      <c r="H268" s="396"/>
      <c r="I268" s="398" t="str">
        <f ca="1">Área!G214</f>
        <v/>
      </c>
      <c r="J268" s="398"/>
      <c r="K268" s="396" t="str">
        <f ca="1">Área!H214</f>
        <v/>
      </c>
      <c r="L268" s="396"/>
      <c r="M268" s="396" t="str">
        <f ca="1">Área!I214</f>
        <v/>
      </c>
      <c r="N268" s="396"/>
      <c r="O268" s="396" t="str">
        <f ca="1">Área!J214</f>
        <v/>
      </c>
      <c r="P268" s="396"/>
      <c r="Q268" s="396" t="str">
        <f ca="1">Área!K214</f>
        <v/>
      </c>
      <c r="R268" s="396"/>
      <c r="S268" s="396" t="str">
        <f ca="1">Área!L214</f>
        <v/>
      </c>
      <c r="T268" s="396"/>
      <c r="U268" s="396" t="str">
        <f ca="1">Área!N214</f>
        <v/>
      </c>
      <c r="V268" s="396"/>
      <c r="W268" s="396" t="str">
        <f ca="1">Área!M214</f>
        <v/>
      </c>
      <c r="X268" s="396"/>
      <c r="Y268" s="89" t="str">
        <f ca="1">Área!O214</f>
        <v/>
      </c>
      <c r="Z268" s="399" t="str">
        <f ca="1">Área!P214</f>
        <v/>
      </c>
      <c r="AA268" s="399"/>
      <c r="AB268" s="399"/>
      <c r="AC268" s="399"/>
      <c r="AD268" s="399" t="str">
        <f ca="1">Área!Q214</f>
        <v/>
      </c>
      <c r="AE268" s="399"/>
      <c r="AF268" s="399"/>
      <c r="AG268" s="399"/>
      <c r="AH268" s="400" t="str">
        <f ca="1">Área!R214</f>
        <v/>
      </c>
      <c r="AI268" s="400"/>
      <c r="AJ268" s="400" t="str">
        <f ca="1">Área!S214</f>
        <v/>
      </c>
      <c r="AK268" s="400"/>
      <c r="AL268" s="400" t="str">
        <f ca="1">Área!T214</f>
        <v/>
      </c>
      <c r="AM268" s="400"/>
      <c r="AN268" s="400" t="str">
        <f ca="1">Área!U214</f>
        <v/>
      </c>
      <c r="AO268" s="400"/>
      <c r="AP268" s="422" t="str">
        <f ca="1">IFERROR(Área!Z214,"")</f>
        <v/>
      </c>
      <c r="AQ268" s="422"/>
      <c r="AR268" s="400" t="str">
        <f ca="1">Área!Y214</f>
        <v/>
      </c>
      <c r="AS268" s="423"/>
      <c r="AT268" s="72"/>
    </row>
    <row r="269" spans="1:46" ht="15" customHeight="1" x14ac:dyDescent="0.25">
      <c r="A269"/>
      <c r="C269" s="397" t="str">
        <f ca="1">Área!C215</f>
        <v/>
      </c>
      <c r="D269" s="398"/>
      <c r="E269" s="398"/>
      <c r="F269" s="398"/>
      <c r="G269" s="396" t="str">
        <f ca="1">Área!F215</f>
        <v/>
      </c>
      <c r="H269" s="396"/>
      <c r="I269" s="398" t="str">
        <f ca="1">Área!G215</f>
        <v/>
      </c>
      <c r="J269" s="398"/>
      <c r="K269" s="396" t="str">
        <f ca="1">Área!H215</f>
        <v/>
      </c>
      <c r="L269" s="396"/>
      <c r="M269" s="396" t="str">
        <f ca="1">Área!I215</f>
        <v/>
      </c>
      <c r="N269" s="396"/>
      <c r="O269" s="396" t="str">
        <f ca="1">Área!J215</f>
        <v/>
      </c>
      <c r="P269" s="396"/>
      <c r="Q269" s="396" t="str">
        <f ca="1">Área!K215</f>
        <v/>
      </c>
      <c r="R269" s="396"/>
      <c r="S269" s="396" t="str">
        <f ca="1">Área!L215</f>
        <v/>
      </c>
      <c r="T269" s="396"/>
      <c r="U269" s="396" t="str">
        <f ca="1">Área!N215</f>
        <v/>
      </c>
      <c r="V269" s="396"/>
      <c r="W269" s="396" t="str">
        <f ca="1">Área!M215</f>
        <v/>
      </c>
      <c r="X269" s="396"/>
      <c r="Y269" s="89" t="str">
        <f ca="1">Área!O215</f>
        <v/>
      </c>
      <c r="Z269" s="399" t="str">
        <f ca="1">Área!P215</f>
        <v/>
      </c>
      <c r="AA269" s="399"/>
      <c r="AB269" s="399"/>
      <c r="AC269" s="399"/>
      <c r="AD269" s="399" t="str">
        <f ca="1">Área!Q215</f>
        <v/>
      </c>
      <c r="AE269" s="399"/>
      <c r="AF269" s="399"/>
      <c r="AG269" s="399"/>
      <c r="AH269" s="400" t="str">
        <f ca="1">Área!R215</f>
        <v/>
      </c>
      <c r="AI269" s="400"/>
      <c r="AJ269" s="400" t="str">
        <f ca="1">Área!S215</f>
        <v/>
      </c>
      <c r="AK269" s="400"/>
      <c r="AL269" s="400" t="str">
        <f ca="1">Área!T215</f>
        <v/>
      </c>
      <c r="AM269" s="400"/>
      <c r="AN269" s="400" t="str">
        <f ca="1">Área!U215</f>
        <v/>
      </c>
      <c r="AO269" s="400"/>
      <c r="AP269" s="422" t="str">
        <f ca="1">IFERROR(Área!Z215,"")</f>
        <v/>
      </c>
      <c r="AQ269" s="422"/>
      <c r="AR269" s="400" t="str">
        <f ca="1">Área!Y215</f>
        <v/>
      </c>
      <c r="AS269" s="423"/>
      <c r="AT269" s="72"/>
    </row>
    <row r="270" spans="1:46" ht="15" customHeight="1" x14ac:dyDescent="0.25">
      <c r="A270"/>
      <c r="C270" s="397" t="str">
        <f ca="1">Área!C216</f>
        <v/>
      </c>
      <c r="D270" s="398"/>
      <c r="E270" s="398"/>
      <c r="F270" s="398"/>
      <c r="G270" s="396" t="str">
        <f ca="1">Área!F216</f>
        <v/>
      </c>
      <c r="H270" s="396"/>
      <c r="I270" s="398" t="str">
        <f ca="1">Área!G216</f>
        <v/>
      </c>
      <c r="J270" s="398"/>
      <c r="K270" s="396" t="str">
        <f ca="1">Área!H216</f>
        <v/>
      </c>
      <c r="L270" s="396"/>
      <c r="M270" s="396" t="str">
        <f ca="1">Área!I216</f>
        <v/>
      </c>
      <c r="N270" s="396"/>
      <c r="O270" s="396" t="str">
        <f ca="1">Área!J216</f>
        <v/>
      </c>
      <c r="P270" s="396"/>
      <c r="Q270" s="396" t="str">
        <f ca="1">Área!K216</f>
        <v/>
      </c>
      <c r="R270" s="396"/>
      <c r="S270" s="396" t="str">
        <f ca="1">Área!L216</f>
        <v/>
      </c>
      <c r="T270" s="396"/>
      <c r="U270" s="396" t="str">
        <f ca="1">Área!N216</f>
        <v/>
      </c>
      <c r="V270" s="396"/>
      <c r="W270" s="396" t="str">
        <f ca="1">Área!M216</f>
        <v/>
      </c>
      <c r="X270" s="396"/>
      <c r="Y270" s="89" t="str">
        <f ca="1">Área!O216</f>
        <v/>
      </c>
      <c r="Z270" s="399" t="str">
        <f ca="1">Área!P216</f>
        <v/>
      </c>
      <c r="AA270" s="399"/>
      <c r="AB270" s="399"/>
      <c r="AC270" s="399"/>
      <c r="AD270" s="399" t="str">
        <f ca="1">Área!Q216</f>
        <v/>
      </c>
      <c r="AE270" s="399"/>
      <c r="AF270" s="399"/>
      <c r="AG270" s="399"/>
      <c r="AH270" s="400" t="str">
        <f ca="1">Área!R216</f>
        <v/>
      </c>
      <c r="AI270" s="400"/>
      <c r="AJ270" s="400" t="str">
        <f ca="1">Área!S216</f>
        <v/>
      </c>
      <c r="AK270" s="400"/>
      <c r="AL270" s="400" t="str">
        <f ca="1">Área!T216</f>
        <v/>
      </c>
      <c r="AM270" s="400"/>
      <c r="AN270" s="400" t="str">
        <f ca="1">Área!U216</f>
        <v/>
      </c>
      <c r="AO270" s="400"/>
      <c r="AP270" s="422" t="str">
        <f ca="1">IFERROR(Área!Z216,"")</f>
        <v/>
      </c>
      <c r="AQ270" s="422"/>
      <c r="AR270" s="400" t="str">
        <f ca="1">Área!Y216</f>
        <v/>
      </c>
      <c r="AS270" s="423"/>
      <c r="AT270" s="72"/>
    </row>
    <row r="271" spans="1:46" ht="15" customHeight="1" x14ac:dyDescent="0.25">
      <c r="A271"/>
      <c r="C271" s="397" t="str">
        <f ca="1">Área!C217</f>
        <v/>
      </c>
      <c r="D271" s="398"/>
      <c r="E271" s="398"/>
      <c r="F271" s="398"/>
      <c r="G271" s="396" t="str">
        <f ca="1">Área!F217</f>
        <v/>
      </c>
      <c r="H271" s="396"/>
      <c r="I271" s="398" t="str">
        <f ca="1">Área!G217</f>
        <v/>
      </c>
      <c r="J271" s="398"/>
      <c r="K271" s="396" t="str">
        <f ca="1">Área!H217</f>
        <v/>
      </c>
      <c r="L271" s="396"/>
      <c r="M271" s="396" t="str">
        <f ca="1">Área!I217</f>
        <v/>
      </c>
      <c r="N271" s="396"/>
      <c r="O271" s="396" t="str">
        <f ca="1">Área!J217</f>
        <v/>
      </c>
      <c r="P271" s="396"/>
      <c r="Q271" s="396" t="str">
        <f ca="1">Área!K217</f>
        <v/>
      </c>
      <c r="R271" s="396"/>
      <c r="S271" s="396" t="str">
        <f ca="1">Área!L217</f>
        <v/>
      </c>
      <c r="T271" s="396"/>
      <c r="U271" s="396" t="str">
        <f ca="1">Área!N217</f>
        <v/>
      </c>
      <c r="V271" s="396"/>
      <c r="W271" s="396" t="str">
        <f ca="1">Área!M217</f>
        <v/>
      </c>
      <c r="X271" s="396"/>
      <c r="Y271" s="89" t="str">
        <f ca="1">Área!O217</f>
        <v/>
      </c>
      <c r="Z271" s="399" t="str">
        <f ca="1">Área!P217</f>
        <v/>
      </c>
      <c r="AA271" s="399"/>
      <c r="AB271" s="399"/>
      <c r="AC271" s="399"/>
      <c r="AD271" s="399" t="str">
        <f ca="1">Área!Q217</f>
        <v/>
      </c>
      <c r="AE271" s="399"/>
      <c r="AF271" s="399"/>
      <c r="AG271" s="399"/>
      <c r="AH271" s="400" t="str">
        <f ca="1">Área!R217</f>
        <v/>
      </c>
      <c r="AI271" s="400"/>
      <c r="AJ271" s="400" t="str">
        <f ca="1">Área!S217</f>
        <v/>
      </c>
      <c r="AK271" s="400"/>
      <c r="AL271" s="400" t="str">
        <f ca="1">Área!T217</f>
        <v/>
      </c>
      <c r="AM271" s="400"/>
      <c r="AN271" s="400" t="str">
        <f ca="1">Área!U217</f>
        <v/>
      </c>
      <c r="AO271" s="400"/>
      <c r="AP271" s="422" t="str">
        <f ca="1">IFERROR(Área!Z217,"")</f>
        <v/>
      </c>
      <c r="AQ271" s="422"/>
      <c r="AR271" s="400" t="str">
        <f ca="1">Área!Y217</f>
        <v/>
      </c>
      <c r="AS271" s="423"/>
      <c r="AT271" s="72"/>
    </row>
    <row r="272" spans="1:46" ht="15" customHeight="1" x14ac:dyDescent="0.25">
      <c r="A272"/>
      <c r="C272" s="397" t="str">
        <f ca="1">Área!C218</f>
        <v/>
      </c>
      <c r="D272" s="398"/>
      <c r="E272" s="398"/>
      <c r="F272" s="398"/>
      <c r="G272" s="396" t="str">
        <f ca="1">Área!F218</f>
        <v/>
      </c>
      <c r="H272" s="396"/>
      <c r="I272" s="398" t="str">
        <f ca="1">Área!G218</f>
        <v/>
      </c>
      <c r="J272" s="398"/>
      <c r="K272" s="396" t="str">
        <f ca="1">Área!H218</f>
        <v/>
      </c>
      <c r="L272" s="396"/>
      <c r="M272" s="396" t="str">
        <f ca="1">Área!I218</f>
        <v/>
      </c>
      <c r="N272" s="396"/>
      <c r="O272" s="396" t="str">
        <f ca="1">Área!J218</f>
        <v/>
      </c>
      <c r="P272" s="396"/>
      <c r="Q272" s="396" t="str">
        <f ca="1">Área!K218</f>
        <v/>
      </c>
      <c r="R272" s="396"/>
      <c r="S272" s="396" t="str">
        <f ca="1">Área!L218</f>
        <v/>
      </c>
      <c r="T272" s="396"/>
      <c r="U272" s="396" t="str">
        <f ca="1">Área!N218</f>
        <v/>
      </c>
      <c r="V272" s="396"/>
      <c r="W272" s="396" t="str">
        <f ca="1">Área!M218</f>
        <v/>
      </c>
      <c r="X272" s="396"/>
      <c r="Y272" s="89" t="str">
        <f ca="1">Área!O218</f>
        <v/>
      </c>
      <c r="Z272" s="399" t="str">
        <f ca="1">Área!P218</f>
        <v/>
      </c>
      <c r="AA272" s="399"/>
      <c r="AB272" s="399"/>
      <c r="AC272" s="399"/>
      <c r="AD272" s="399" t="str">
        <f ca="1">Área!Q218</f>
        <v/>
      </c>
      <c r="AE272" s="399"/>
      <c r="AF272" s="399"/>
      <c r="AG272" s="399"/>
      <c r="AH272" s="400" t="str">
        <f ca="1">Área!R218</f>
        <v/>
      </c>
      <c r="AI272" s="400"/>
      <c r="AJ272" s="400" t="str">
        <f ca="1">Área!S218</f>
        <v/>
      </c>
      <c r="AK272" s="400"/>
      <c r="AL272" s="400" t="str">
        <f ca="1">Área!T218</f>
        <v/>
      </c>
      <c r="AM272" s="400"/>
      <c r="AN272" s="400" t="str">
        <f ca="1">Área!U218</f>
        <v/>
      </c>
      <c r="AO272" s="400"/>
      <c r="AP272" s="422" t="str">
        <f ca="1">IFERROR(Área!Z218,"")</f>
        <v/>
      </c>
      <c r="AQ272" s="422"/>
      <c r="AR272" s="400" t="str">
        <f ca="1">Área!Y218</f>
        <v/>
      </c>
      <c r="AS272" s="423"/>
      <c r="AT272" s="72"/>
    </row>
    <row r="273" spans="1:46" ht="15" customHeight="1" x14ac:dyDescent="0.25">
      <c r="A273"/>
      <c r="C273" s="397" t="str">
        <f ca="1">Área!C219</f>
        <v/>
      </c>
      <c r="D273" s="398"/>
      <c r="E273" s="398"/>
      <c r="F273" s="398"/>
      <c r="G273" s="396" t="str">
        <f ca="1">Área!F219</f>
        <v/>
      </c>
      <c r="H273" s="396"/>
      <c r="I273" s="398" t="str">
        <f ca="1">Área!G219</f>
        <v/>
      </c>
      <c r="J273" s="398"/>
      <c r="K273" s="396" t="str">
        <f ca="1">Área!H219</f>
        <v/>
      </c>
      <c r="L273" s="396"/>
      <c r="M273" s="396" t="str">
        <f ca="1">Área!I219</f>
        <v/>
      </c>
      <c r="N273" s="396"/>
      <c r="O273" s="396" t="str">
        <f ca="1">Área!J219</f>
        <v/>
      </c>
      <c r="P273" s="396"/>
      <c r="Q273" s="396" t="str">
        <f ca="1">Área!K219</f>
        <v/>
      </c>
      <c r="R273" s="396"/>
      <c r="S273" s="396" t="str">
        <f ca="1">Área!L219</f>
        <v/>
      </c>
      <c r="T273" s="396"/>
      <c r="U273" s="396" t="str">
        <f ca="1">Área!N219</f>
        <v/>
      </c>
      <c r="V273" s="396"/>
      <c r="W273" s="396" t="str">
        <f ca="1">Área!M219</f>
        <v/>
      </c>
      <c r="X273" s="396"/>
      <c r="Y273" s="89" t="str">
        <f ca="1">Área!O219</f>
        <v/>
      </c>
      <c r="Z273" s="399" t="str">
        <f ca="1">Área!P219</f>
        <v/>
      </c>
      <c r="AA273" s="399"/>
      <c r="AB273" s="399"/>
      <c r="AC273" s="399"/>
      <c r="AD273" s="399" t="str">
        <f ca="1">Área!Q219</f>
        <v/>
      </c>
      <c r="AE273" s="399"/>
      <c r="AF273" s="399"/>
      <c r="AG273" s="399"/>
      <c r="AH273" s="400" t="str">
        <f ca="1">Área!R219</f>
        <v/>
      </c>
      <c r="AI273" s="400"/>
      <c r="AJ273" s="400" t="str">
        <f ca="1">Área!S219</f>
        <v/>
      </c>
      <c r="AK273" s="400"/>
      <c r="AL273" s="400" t="str">
        <f ca="1">Área!T219</f>
        <v/>
      </c>
      <c r="AM273" s="400"/>
      <c r="AN273" s="400" t="str">
        <f ca="1">Área!U219</f>
        <v/>
      </c>
      <c r="AO273" s="400"/>
      <c r="AP273" s="422" t="str">
        <f ca="1">IFERROR(Área!Z219,"")</f>
        <v/>
      </c>
      <c r="AQ273" s="422"/>
      <c r="AR273" s="400" t="str">
        <f ca="1">Área!Y219</f>
        <v/>
      </c>
      <c r="AS273" s="423"/>
      <c r="AT273" s="72"/>
    </row>
    <row r="274" spans="1:46" ht="15" customHeight="1" x14ac:dyDescent="0.25">
      <c r="A274"/>
      <c r="C274" s="397" t="str">
        <f ca="1">Área!C220</f>
        <v/>
      </c>
      <c r="D274" s="398"/>
      <c r="E274" s="398"/>
      <c r="F274" s="398"/>
      <c r="G274" s="396" t="str">
        <f ca="1">Área!F220</f>
        <v/>
      </c>
      <c r="H274" s="396"/>
      <c r="I274" s="398" t="str">
        <f ca="1">Área!G220</f>
        <v/>
      </c>
      <c r="J274" s="398"/>
      <c r="K274" s="396" t="str">
        <f ca="1">Área!H220</f>
        <v/>
      </c>
      <c r="L274" s="396"/>
      <c r="M274" s="396" t="str">
        <f ca="1">Área!I220</f>
        <v/>
      </c>
      <c r="N274" s="396"/>
      <c r="O274" s="396" t="str">
        <f ca="1">Área!J220</f>
        <v/>
      </c>
      <c r="P274" s="396"/>
      <c r="Q274" s="396" t="str">
        <f ca="1">Área!K220</f>
        <v/>
      </c>
      <c r="R274" s="396"/>
      <c r="S274" s="396" t="str">
        <f ca="1">Área!L220</f>
        <v/>
      </c>
      <c r="T274" s="396"/>
      <c r="U274" s="396" t="str">
        <f ca="1">Área!N220</f>
        <v/>
      </c>
      <c r="V274" s="396"/>
      <c r="W274" s="396" t="str">
        <f ca="1">Área!M220</f>
        <v/>
      </c>
      <c r="X274" s="396"/>
      <c r="Y274" s="89" t="str">
        <f ca="1">Área!O220</f>
        <v/>
      </c>
      <c r="Z274" s="399" t="str">
        <f ca="1">Área!P220</f>
        <v/>
      </c>
      <c r="AA274" s="399"/>
      <c r="AB274" s="399"/>
      <c r="AC274" s="399"/>
      <c r="AD274" s="399" t="str">
        <f ca="1">Área!Q220</f>
        <v/>
      </c>
      <c r="AE274" s="399"/>
      <c r="AF274" s="399"/>
      <c r="AG274" s="399"/>
      <c r="AH274" s="400" t="str">
        <f ca="1">Área!R220</f>
        <v/>
      </c>
      <c r="AI274" s="400"/>
      <c r="AJ274" s="400" t="str">
        <f ca="1">Área!S220</f>
        <v/>
      </c>
      <c r="AK274" s="400"/>
      <c r="AL274" s="400" t="str">
        <f ca="1">Área!T220</f>
        <v/>
      </c>
      <c r="AM274" s="400"/>
      <c r="AN274" s="400" t="str">
        <f ca="1">Área!U220</f>
        <v/>
      </c>
      <c r="AO274" s="400"/>
      <c r="AP274" s="422" t="str">
        <f ca="1">IFERROR(Área!Z220,"")</f>
        <v/>
      </c>
      <c r="AQ274" s="422"/>
      <c r="AR274" s="400" t="str">
        <f ca="1">Área!Y220</f>
        <v/>
      </c>
      <c r="AS274" s="423"/>
      <c r="AT274" s="72"/>
    </row>
    <row r="275" spans="1:46" ht="15" customHeight="1" x14ac:dyDescent="0.25">
      <c r="A275"/>
      <c r="C275" s="397" t="str">
        <f ca="1">Área!C221</f>
        <v/>
      </c>
      <c r="D275" s="398"/>
      <c r="E275" s="398"/>
      <c r="F275" s="398"/>
      <c r="G275" s="396" t="str">
        <f ca="1">Área!F221</f>
        <v/>
      </c>
      <c r="H275" s="396"/>
      <c r="I275" s="398" t="str">
        <f ca="1">Área!G221</f>
        <v/>
      </c>
      <c r="J275" s="398"/>
      <c r="K275" s="396" t="str">
        <f ca="1">Área!H221</f>
        <v/>
      </c>
      <c r="L275" s="396"/>
      <c r="M275" s="396" t="str">
        <f ca="1">Área!I221</f>
        <v/>
      </c>
      <c r="N275" s="396"/>
      <c r="O275" s="396" t="str">
        <f ca="1">Área!J221</f>
        <v/>
      </c>
      <c r="P275" s="396"/>
      <c r="Q275" s="396" t="str">
        <f ca="1">Área!K221</f>
        <v/>
      </c>
      <c r="R275" s="396"/>
      <c r="S275" s="396" t="str">
        <f ca="1">Área!L221</f>
        <v/>
      </c>
      <c r="T275" s="396"/>
      <c r="U275" s="396" t="str">
        <f ca="1">Área!N221</f>
        <v/>
      </c>
      <c r="V275" s="396"/>
      <c r="W275" s="396" t="str">
        <f ca="1">Área!M221</f>
        <v/>
      </c>
      <c r="X275" s="396"/>
      <c r="Y275" s="89" t="str">
        <f ca="1">Área!O221</f>
        <v/>
      </c>
      <c r="Z275" s="399" t="str">
        <f ca="1">Área!P221</f>
        <v/>
      </c>
      <c r="AA275" s="399"/>
      <c r="AB275" s="399"/>
      <c r="AC275" s="399"/>
      <c r="AD275" s="399" t="str">
        <f ca="1">Área!Q221</f>
        <v/>
      </c>
      <c r="AE275" s="399"/>
      <c r="AF275" s="399"/>
      <c r="AG275" s="399"/>
      <c r="AH275" s="400" t="str">
        <f ca="1">Área!R221</f>
        <v/>
      </c>
      <c r="AI275" s="400"/>
      <c r="AJ275" s="400" t="str">
        <f ca="1">Área!S221</f>
        <v/>
      </c>
      <c r="AK275" s="400"/>
      <c r="AL275" s="400" t="str">
        <f ca="1">Área!T221</f>
        <v/>
      </c>
      <c r="AM275" s="400"/>
      <c r="AN275" s="400" t="str">
        <f ca="1">Área!U221</f>
        <v/>
      </c>
      <c r="AO275" s="400"/>
      <c r="AP275" s="422" t="str">
        <f ca="1">IFERROR(Área!Z221,"")</f>
        <v/>
      </c>
      <c r="AQ275" s="422"/>
      <c r="AR275" s="400" t="str">
        <f ca="1">Área!Y221</f>
        <v/>
      </c>
      <c r="AS275" s="423"/>
      <c r="AT275" s="72"/>
    </row>
    <row r="276" spans="1:46" ht="15" customHeight="1" x14ac:dyDescent="0.25">
      <c r="A276"/>
      <c r="C276" s="397" t="str">
        <f ca="1">Área!C222</f>
        <v/>
      </c>
      <c r="D276" s="398"/>
      <c r="E276" s="398"/>
      <c r="F276" s="398"/>
      <c r="G276" s="396" t="str">
        <f ca="1">Área!F222</f>
        <v/>
      </c>
      <c r="H276" s="396"/>
      <c r="I276" s="398" t="str">
        <f ca="1">Área!G222</f>
        <v/>
      </c>
      <c r="J276" s="398"/>
      <c r="K276" s="396" t="str">
        <f ca="1">Área!H222</f>
        <v/>
      </c>
      <c r="L276" s="396"/>
      <c r="M276" s="396" t="str">
        <f ca="1">Área!I222</f>
        <v/>
      </c>
      <c r="N276" s="396"/>
      <c r="O276" s="396" t="str">
        <f ca="1">Área!J222</f>
        <v/>
      </c>
      <c r="P276" s="396"/>
      <c r="Q276" s="396" t="str">
        <f ca="1">Área!K222</f>
        <v/>
      </c>
      <c r="R276" s="396"/>
      <c r="S276" s="396" t="str">
        <f ca="1">Área!L222</f>
        <v/>
      </c>
      <c r="T276" s="396"/>
      <c r="U276" s="396" t="str">
        <f ca="1">Área!N222</f>
        <v/>
      </c>
      <c r="V276" s="396"/>
      <c r="W276" s="396" t="str">
        <f ca="1">Área!M222</f>
        <v/>
      </c>
      <c r="X276" s="396"/>
      <c r="Y276" s="89" t="str">
        <f ca="1">Área!O222</f>
        <v/>
      </c>
      <c r="Z276" s="399" t="str">
        <f ca="1">Área!P222</f>
        <v/>
      </c>
      <c r="AA276" s="399"/>
      <c r="AB276" s="399"/>
      <c r="AC276" s="399"/>
      <c r="AD276" s="399" t="str">
        <f ca="1">Área!Q222</f>
        <v/>
      </c>
      <c r="AE276" s="399"/>
      <c r="AF276" s="399"/>
      <c r="AG276" s="399"/>
      <c r="AH276" s="400" t="str">
        <f ca="1">Área!R222</f>
        <v/>
      </c>
      <c r="AI276" s="400"/>
      <c r="AJ276" s="400" t="str">
        <f ca="1">Área!S222</f>
        <v/>
      </c>
      <c r="AK276" s="400"/>
      <c r="AL276" s="400" t="str">
        <f ca="1">Área!T222</f>
        <v/>
      </c>
      <c r="AM276" s="400"/>
      <c r="AN276" s="400" t="str">
        <f ca="1">Área!U222</f>
        <v/>
      </c>
      <c r="AO276" s="400"/>
      <c r="AP276" s="422" t="str">
        <f ca="1">IFERROR(Área!Z222,"")</f>
        <v/>
      </c>
      <c r="AQ276" s="422"/>
      <c r="AR276" s="400" t="str">
        <f ca="1">Área!Y222</f>
        <v/>
      </c>
      <c r="AS276" s="423"/>
      <c r="AT276" s="72"/>
    </row>
    <row r="277" spans="1:46" ht="15" customHeight="1" x14ac:dyDescent="0.25">
      <c r="A277"/>
      <c r="C277" s="397" t="str">
        <f ca="1">Área!C223</f>
        <v/>
      </c>
      <c r="D277" s="398"/>
      <c r="E277" s="398"/>
      <c r="F277" s="398"/>
      <c r="G277" s="396" t="str">
        <f ca="1">Área!F223</f>
        <v/>
      </c>
      <c r="H277" s="396"/>
      <c r="I277" s="398" t="str">
        <f ca="1">Área!G223</f>
        <v/>
      </c>
      <c r="J277" s="398"/>
      <c r="K277" s="396" t="str">
        <f ca="1">Área!H223</f>
        <v/>
      </c>
      <c r="L277" s="396"/>
      <c r="M277" s="396" t="str">
        <f ca="1">Área!I223</f>
        <v/>
      </c>
      <c r="N277" s="396"/>
      <c r="O277" s="396" t="str">
        <f ca="1">Área!J223</f>
        <v/>
      </c>
      <c r="P277" s="396"/>
      <c r="Q277" s="396" t="str">
        <f ca="1">Área!K223</f>
        <v/>
      </c>
      <c r="R277" s="396"/>
      <c r="S277" s="396" t="str">
        <f ca="1">Área!L223</f>
        <v/>
      </c>
      <c r="T277" s="396"/>
      <c r="U277" s="396" t="str">
        <f ca="1">Área!N223</f>
        <v/>
      </c>
      <c r="V277" s="396"/>
      <c r="W277" s="396" t="str">
        <f ca="1">Área!M223</f>
        <v/>
      </c>
      <c r="X277" s="396"/>
      <c r="Y277" s="89" t="str">
        <f ca="1">Área!O223</f>
        <v/>
      </c>
      <c r="Z277" s="399" t="str">
        <f ca="1">Área!P223</f>
        <v/>
      </c>
      <c r="AA277" s="399"/>
      <c r="AB277" s="399"/>
      <c r="AC277" s="399"/>
      <c r="AD277" s="399" t="str">
        <f ca="1">Área!Q223</f>
        <v/>
      </c>
      <c r="AE277" s="399"/>
      <c r="AF277" s="399"/>
      <c r="AG277" s="399"/>
      <c r="AH277" s="400" t="str">
        <f ca="1">Área!R223</f>
        <v/>
      </c>
      <c r="AI277" s="400"/>
      <c r="AJ277" s="400" t="str">
        <f ca="1">Área!S223</f>
        <v/>
      </c>
      <c r="AK277" s="400"/>
      <c r="AL277" s="400" t="str">
        <f ca="1">Área!T223</f>
        <v/>
      </c>
      <c r="AM277" s="400"/>
      <c r="AN277" s="400" t="str">
        <f ca="1">Área!U223</f>
        <v/>
      </c>
      <c r="AO277" s="400"/>
      <c r="AP277" s="422" t="str">
        <f ca="1">IFERROR(Área!Z223,"")</f>
        <v/>
      </c>
      <c r="AQ277" s="422"/>
      <c r="AR277" s="400" t="str">
        <f ca="1">Área!Y223</f>
        <v/>
      </c>
      <c r="AS277" s="423"/>
      <c r="AT277" s="72"/>
    </row>
    <row r="278" spans="1:46" ht="15" customHeight="1" x14ac:dyDescent="0.25">
      <c r="A278"/>
      <c r="C278" s="397" t="str">
        <f ca="1">Área!C224</f>
        <v/>
      </c>
      <c r="D278" s="398"/>
      <c r="E278" s="398"/>
      <c r="F278" s="398"/>
      <c r="G278" s="396" t="str">
        <f ca="1">Área!F224</f>
        <v/>
      </c>
      <c r="H278" s="396"/>
      <c r="I278" s="398" t="str">
        <f ca="1">Área!G224</f>
        <v/>
      </c>
      <c r="J278" s="398"/>
      <c r="K278" s="396" t="str">
        <f ca="1">Área!H224</f>
        <v/>
      </c>
      <c r="L278" s="396"/>
      <c r="M278" s="396" t="str">
        <f ca="1">Área!I224</f>
        <v/>
      </c>
      <c r="N278" s="396"/>
      <c r="O278" s="396" t="str">
        <f ca="1">Área!J224</f>
        <v/>
      </c>
      <c r="P278" s="396"/>
      <c r="Q278" s="396" t="str">
        <f ca="1">Área!K224</f>
        <v/>
      </c>
      <c r="R278" s="396"/>
      <c r="S278" s="396" t="str">
        <f ca="1">Área!L224</f>
        <v/>
      </c>
      <c r="T278" s="396"/>
      <c r="U278" s="396" t="str">
        <f ca="1">Área!N224</f>
        <v/>
      </c>
      <c r="V278" s="396"/>
      <c r="W278" s="396" t="str">
        <f ca="1">Área!M224</f>
        <v/>
      </c>
      <c r="X278" s="396"/>
      <c r="Y278" s="89" t="str">
        <f ca="1">Área!O224</f>
        <v/>
      </c>
      <c r="Z278" s="399" t="str">
        <f ca="1">Área!P224</f>
        <v/>
      </c>
      <c r="AA278" s="399"/>
      <c r="AB278" s="399"/>
      <c r="AC278" s="399"/>
      <c r="AD278" s="399" t="str">
        <f ca="1">Área!Q224</f>
        <v/>
      </c>
      <c r="AE278" s="399"/>
      <c r="AF278" s="399"/>
      <c r="AG278" s="399"/>
      <c r="AH278" s="400" t="str">
        <f ca="1">Área!R224</f>
        <v/>
      </c>
      <c r="AI278" s="400"/>
      <c r="AJ278" s="400" t="str">
        <f ca="1">Área!S224</f>
        <v/>
      </c>
      <c r="AK278" s="400"/>
      <c r="AL278" s="400" t="str">
        <f ca="1">Área!T224</f>
        <v/>
      </c>
      <c r="AM278" s="400"/>
      <c r="AN278" s="400" t="str">
        <f ca="1">Área!U224</f>
        <v/>
      </c>
      <c r="AO278" s="400"/>
      <c r="AP278" s="422" t="str">
        <f ca="1">IFERROR(Área!Z224,"")</f>
        <v/>
      </c>
      <c r="AQ278" s="422"/>
      <c r="AR278" s="400" t="str">
        <f ca="1">Área!Y224</f>
        <v/>
      </c>
      <c r="AS278" s="423"/>
      <c r="AT278" s="72"/>
    </row>
    <row r="279" spans="1:46" ht="15" customHeight="1" x14ac:dyDescent="0.25">
      <c r="A279"/>
      <c r="C279" s="397" t="str">
        <f ca="1">Área!C225</f>
        <v/>
      </c>
      <c r="D279" s="398"/>
      <c r="E279" s="398"/>
      <c r="F279" s="398"/>
      <c r="G279" s="396" t="str">
        <f ca="1">Área!F225</f>
        <v/>
      </c>
      <c r="H279" s="396"/>
      <c r="I279" s="398" t="str">
        <f ca="1">Área!G225</f>
        <v/>
      </c>
      <c r="J279" s="398"/>
      <c r="K279" s="396" t="str">
        <f ca="1">Área!H225</f>
        <v/>
      </c>
      <c r="L279" s="396"/>
      <c r="M279" s="396" t="str">
        <f ca="1">Área!I225</f>
        <v/>
      </c>
      <c r="N279" s="396"/>
      <c r="O279" s="396" t="str">
        <f ca="1">Área!J225</f>
        <v/>
      </c>
      <c r="P279" s="396"/>
      <c r="Q279" s="396" t="str">
        <f ca="1">Área!K225</f>
        <v/>
      </c>
      <c r="R279" s="396"/>
      <c r="S279" s="396" t="str">
        <f ca="1">Área!L225</f>
        <v/>
      </c>
      <c r="T279" s="396"/>
      <c r="U279" s="396" t="str">
        <f ca="1">Área!N225</f>
        <v/>
      </c>
      <c r="V279" s="396"/>
      <c r="W279" s="396" t="str">
        <f ca="1">Área!M225</f>
        <v/>
      </c>
      <c r="X279" s="396"/>
      <c r="Y279" s="89" t="str">
        <f ca="1">Área!O225</f>
        <v/>
      </c>
      <c r="Z279" s="399" t="str">
        <f ca="1">Área!P225</f>
        <v/>
      </c>
      <c r="AA279" s="399"/>
      <c r="AB279" s="399"/>
      <c r="AC279" s="399"/>
      <c r="AD279" s="399" t="str">
        <f ca="1">Área!Q225</f>
        <v/>
      </c>
      <c r="AE279" s="399"/>
      <c r="AF279" s="399"/>
      <c r="AG279" s="399"/>
      <c r="AH279" s="400" t="str">
        <f ca="1">Área!R225</f>
        <v/>
      </c>
      <c r="AI279" s="400"/>
      <c r="AJ279" s="400" t="str">
        <f ca="1">Área!S225</f>
        <v/>
      </c>
      <c r="AK279" s="400"/>
      <c r="AL279" s="400" t="str">
        <f ca="1">Área!T225</f>
        <v/>
      </c>
      <c r="AM279" s="400"/>
      <c r="AN279" s="400" t="str">
        <f ca="1">Área!U225</f>
        <v/>
      </c>
      <c r="AO279" s="400"/>
      <c r="AP279" s="422" t="str">
        <f ca="1">IFERROR(Área!Z225,"")</f>
        <v/>
      </c>
      <c r="AQ279" s="422"/>
      <c r="AR279" s="400" t="str">
        <f ca="1">Área!Y225</f>
        <v/>
      </c>
      <c r="AS279" s="423"/>
      <c r="AT279" s="72"/>
    </row>
    <row r="280" spans="1:46" ht="15" customHeight="1" x14ac:dyDescent="0.25">
      <c r="A280"/>
      <c r="C280" s="397" t="str">
        <f ca="1">Área!C226</f>
        <v/>
      </c>
      <c r="D280" s="398"/>
      <c r="E280" s="398"/>
      <c r="F280" s="398"/>
      <c r="G280" s="396" t="str">
        <f ca="1">Área!F226</f>
        <v/>
      </c>
      <c r="H280" s="396"/>
      <c r="I280" s="398" t="str">
        <f ca="1">Área!G226</f>
        <v/>
      </c>
      <c r="J280" s="398"/>
      <c r="K280" s="396" t="str">
        <f ca="1">Área!H226</f>
        <v/>
      </c>
      <c r="L280" s="396"/>
      <c r="M280" s="396" t="str">
        <f ca="1">Área!I226</f>
        <v/>
      </c>
      <c r="N280" s="396"/>
      <c r="O280" s="396" t="str">
        <f ca="1">Área!J226</f>
        <v/>
      </c>
      <c r="P280" s="396"/>
      <c r="Q280" s="396" t="str">
        <f ca="1">Área!K226</f>
        <v/>
      </c>
      <c r="R280" s="396"/>
      <c r="S280" s="396" t="str">
        <f ca="1">Área!L226</f>
        <v/>
      </c>
      <c r="T280" s="396"/>
      <c r="U280" s="396" t="str">
        <f ca="1">Área!N226</f>
        <v/>
      </c>
      <c r="V280" s="396"/>
      <c r="W280" s="396" t="str">
        <f ca="1">Área!M226</f>
        <v/>
      </c>
      <c r="X280" s="396"/>
      <c r="Y280" s="89" t="str">
        <f ca="1">Área!O226</f>
        <v/>
      </c>
      <c r="Z280" s="399" t="str">
        <f ca="1">Área!P226</f>
        <v/>
      </c>
      <c r="AA280" s="399"/>
      <c r="AB280" s="399"/>
      <c r="AC280" s="399"/>
      <c r="AD280" s="399" t="str">
        <f ca="1">Área!Q226</f>
        <v/>
      </c>
      <c r="AE280" s="399"/>
      <c r="AF280" s="399"/>
      <c r="AG280" s="399"/>
      <c r="AH280" s="400" t="str">
        <f ca="1">Área!R226</f>
        <v/>
      </c>
      <c r="AI280" s="400"/>
      <c r="AJ280" s="400" t="str">
        <f ca="1">Área!S226</f>
        <v/>
      </c>
      <c r="AK280" s="400"/>
      <c r="AL280" s="400" t="str">
        <f ca="1">Área!T226</f>
        <v/>
      </c>
      <c r="AM280" s="400"/>
      <c r="AN280" s="400" t="str">
        <f ca="1">Área!U226</f>
        <v/>
      </c>
      <c r="AO280" s="400"/>
      <c r="AP280" s="422" t="str">
        <f ca="1">IFERROR(Área!Z226,"")</f>
        <v/>
      </c>
      <c r="AQ280" s="422"/>
      <c r="AR280" s="400" t="str">
        <f ca="1">Área!Y226</f>
        <v/>
      </c>
      <c r="AS280" s="423"/>
      <c r="AT280" s="72"/>
    </row>
    <row r="281" spans="1:46" ht="15" customHeight="1" x14ac:dyDescent="0.25">
      <c r="A281"/>
      <c r="C281" s="397" t="str">
        <f ca="1">Área!C227</f>
        <v/>
      </c>
      <c r="D281" s="398"/>
      <c r="E281" s="398"/>
      <c r="F281" s="398"/>
      <c r="G281" s="396" t="str">
        <f ca="1">Área!F227</f>
        <v/>
      </c>
      <c r="H281" s="396"/>
      <c r="I281" s="398" t="str">
        <f ca="1">Área!G227</f>
        <v/>
      </c>
      <c r="J281" s="398"/>
      <c r="K281" s="396" t="str">
        <f ca="1">Área!H227</f>
        <v/>
      </c>
      <c r="L281" s="396"/>
      <c r="M281" s="396" t="str">
        <f ca="1">Área!I227</f>
        <v/>
      </c>
      <c r="N281" s="396"/>
      <c r="O281" s="396" t="str">
        <f ca="1">Área!J227</f>
        <v/>
      </c>
      <c r="P281" s="396"/>
      <c r="Q281" s="396" t="str">
        <f ca="1">Área!K227</f>
        <v/>
      </c>
      <c r="R281" s="396"/>
      <c r="S281" s="396" t="str">
        <f ca="1">Área!L227</f>
        <v/>
      </c>
      <c r="T281" s="396"/>
      <c r="U281" s="396" t="str">
        <f ca="1">Área!N227</f>
        <v/>
      </c>
      <c r="V281" s="396"/>
      <c r="W281" s="396" t="str">
        <f ca="1">Área!M227</f>
        <v/>
      </c>
      <c r="X281" s="396"/>
      <c r="Y281" s="89" t="str">
        <f ca="1">Área!O227</f>
        <v/>
      </c>
      <c r="Z281" s="399" t="str">
        <f ca="1">Área!P227</f>
        <v/>
      </c>
      <c r="AA281" s="399"/>
      <c r="AB281" s="399"/>
      <c r="AC281" s="399"/>
      <c r="AD281" s="399" t="str">
        <f ca="1">Área!Q227</f>
        <v/>
      </c>
      <c r="AE281" s="399"/>
      <c r="AF281" s="399"/>
      <c r="AG281" s="399"/>
      <c r="AH281" s="400" t="str">
        <f ca="1">Área!R227</f>
        <v/>
      </c>
      <c r="AI281" s="400"/>
      <c r="AJ281" s="400" t="str">
        <f ca="1">Área!S227</f>
        <v/>
      </c>
      <c r="AK281" s="400"/>
      <c r="AL281" s="400" t="str">
        <f ca="1">Área!T227</f>
        <v/>
      </c>
      <c r="AM281" s="400"/>
      <c r="AN281" s="400" t="str">
        <f ca="1">Área!U227</f>
        <v/>
      </c>
      <c r="AO281" s="400"/>
      <c r="AP281" s="422" t="str">
        <f ca="1">IFERROR(Área!Z227,"")</f>
        <v/>
      </c>
      <c r="AQ281" s="422"/>
      <c r="AR281" s="400" t="str">
        <f ca="1">Área!Y227</f>
        <v/>
      </c>
      <c r="AS281" s="423"/>
      <c r="AT281" s="72"/>
    </row>
    <row r="282" spans="1:46" ht="15" customHeight="1" x14ac:dyDescent="0.25">
      <c r="A282"/>
      <c r="C282" s="397" t="str">
        <f ca="1">Área!C228</f>
        <v/>
      </c>
      <c r="D282" s="398"/>
      <c r="E282" s="398"/>
      <c r="F282" s="398"/>
      <c r="G282" s="396" t="str">
        <f ca="1">Área!F228</f>
        <v/>
      </c>
      <c r="H282" s="396"/>
      <c r="I282" s="398" t="str">
        <f ca="1">Área!G228</f>
        <v/>
      </c>
      <c r="J282" s="398"/>
      <c r="K282" s="396" t="str">
        <f ca="1">Área!H228</f>
        <v/>
      </c>
      <c r="L282" s="396"/>
      <c r="M282" s="396" t="str">
        <f ca="1">Área!I228</f>
        <v/>
      </c>
      <c r="N282" s="396"/>
      <c r="O282" s="396" t="str">
        <f ca="1">Área!J228</f>
        <v/>
      </c>
      <c r="P282" s="396"/>
      <c r="Q282" s="396" t="str">
        <f ca="1">Área!K228</f>
        <v/>
      </c>
      <c r="R282" s="396"/>
      <c r="S282" s="396" t="str">
        <f ca="1">Área!L228</f>
        <v/>
      </c>
      <c r="T282" s="396"/>
      <c r="U282" s="396" t="str">
        <f ca="1">Área!N228</f>
        <v/>
      </c>
      <c r="V282" s="396"/>
      <c r="W282" s="396" t="str">
        <f ca="1">Área!M228</f>
        <v/>
      </c>
      <c r="X282" s="396"/>
      <c r="Y282" s="89" t="str">
        <f ca="1">Área!O228</f>
        <v/>
      </c>
      <c r="Z282" s="399" t="str">
        <f ca="1">Área!P228</f>
        <v/>
      </c>
      <c r="AA282" s="399"/>
      <c r="AB282" s="399"/>
      <c r="AC282" s="399"/>
      <c r="AD282" s="399" t="str">
        <f ca="1">Área!Q228</f>
        <v/>
      </c>
      <c r="AE282" s="399"/>
      <c r="AF282" s="399"/>
      <c r="AG282" s="399"/>
      <c r="AH282" s="400" t="str">
        <f ca="1">Área!R228</f>
        <v/>
      </c>
      <c r="AI282" s="400"/>
      <c r="AJ282" s="400" t="str">
        <f ca="1">Área!S228</f>
        <v/>
      </c>
      <c r="AK282" s="400"/>
      <c r="AL282" s="400" t="str">
        <f ca="1">Área!T228</f>
        <v/>
      </c>
      <c r="AM282" s="400"/>
      <c r="AN282" s="400" t="str">
        <f ca="1">Área!U228</f>
        <v/>
      </c>
      <c r="AO282" s="400"/>
      <c r="AP282" s="422" t="str">
        <f ca="1">IFERROR(Área!Z228,"")</f>
        <v/>
      </c>
      <c r="AQ282" s="422"/>
      <c r="AR282" s="400" t="str">
        <f ca="1">Área!Y228</f>
        <v/>
      </c>
      <c r="AS282" s="423"/>
      <c r="AT282" s="72"/>
    </row>
    <row r="283" spans="1:46" ht="15" customHeight="1" x14ac:dyDescent="0.25">
      <c r="A283"/>
      <c r="C283" s="397" t="str">
        <f ca="1">Área!C229</f>
        <v/>
      </c>
      <c r="D283" s="398"/>
      <c r="E283" s="398"/>
      <c r="F283" s="398"/>
      <c r="G283" s="396" t="str">
        <f ca="1">Área!F229</f>
        <v/>
      </c>
      <c r="H283" s="396"/>
      <c r="I283" s="398" t="str">
        <f ca="1">Área!G229</f>
        <v/>
      </c>
      <c r="J283" s="398"/>
      <c r="K283" s="396" t="str">
        <f ca="1">Área!H229</f>
        <v/>
      </c>
      <c r="L283" s="396"/>
      <c r="M283" s="396" t="str">
        <f ca="1">Área!I229</f>
        <v/>
      </c>
      <c r="N283" s="396"/>
      <c r="O283" s="396" t="str">
        <f ca="1">Área!J229</f>
        <v/>
      </c>
      <c r="P283" s="396"/>
      <c r="Q283" s="396" t="str">
        <f ca="1">Área!K229</f>
        <v/>
      </c>
      <c r="R283" s="396"/>
      <c r="S283" s="396" t="str">
        <f ca="1">Área!L229</f>
        <v/>
      </c>
      <c r="T283" s="396"/>
      <c r="U283" s="396" t="str">
        <f ca="1">Área!N229</f>
        <v/>
      </c>
      <c r="V283" s="396"/>
      <c r="W283" s="396" t="str">
        <f ca="1">Área!M229</f>
        <v/>
      </c>
      <c r="X283" s="396"/>
      <c r="Y283" s="89" t="str">
        <f ca="1">Área!O229</f>
        <v/>
      </c>
      <c r="Z283" s="399" t="str">
        <f ca="1">Área!P229</f>
        <v/>
      </c>
      <c r="AA283" s="399"/>
      <c r="AB283" s="399"/>
      <c r="AC283" s="399"/>
      <c r="AD283" s="399" t="str">
        <f ca="1">Área!Q229</f>
        <v/>
      </c>
      <c r="AE283" s="399"/>
      <c r="AF283" s="399"/>
      <c r="AG283" s="399"/>
      <c r="AH283" s="400" t="str">
        <f ca="1">Área!R229</f>
        <v/>
      </c>
      <c r="AI283" s="400"/>
      <c r="AJ283" s="400" t="str">
        <f ca="1">Área!S229</f>
        <v/>
      </c>
      <c r="AK283" s="400"/>
      <c r="AL283" s="400" t="str">
        <f ca="1">Área!T229</f>
        <v/>
      </c>
      <c r="AM283" s="400"/>
      <c r="AN283" s="400" t="str">
        <f ca="1">Área!U229</f>
        <v/>
      </c>
      <c r="AO283" s="400"/>
      <c r="AP283" s="422" t="str">
        <f ca="1">IFERROR(Área!Z229,"")</f>
        <v/>
      </c>
      <c r="AQ283" s="422"/>
      <c r="AR283" s="400" t="str">
        <f ca="1">Área!Y229</f>
        <v/>
      </c>
      <c r="AS283" s="423"/>
      <c r="AT283" s="72"/>
    </row>
    <row r="284" spans="1:46" ht="15" customHeight="1" x14ac:dyDescent="0.25">
      <c r="A284"/>
      <c r="C284" s="397" t="str">
        <f ca="1">Área!C230</f>
        <v/>
      </c>
      <c r="D284" s="398"/>
      <c r="E284" s="398"/>
      <c r="F284" s="398"/>
      <c r="G284" s="396" t="str">
        <f ca="1">Área!F230</f>
        <v/>
      </c>
      <c r="H284" s="396"/>
      <c r="I284" s="398" t="str">
        <f ca="1">Área!G230</f>
        <v/>
      </c>
      <c r="J284" s="398"/>
      <c r="K284" s="396" t="str">
        <f ca="1">Área!H230</f>
        <v/>
      </c>
      <c r="L284" s="396"/>
      <c r="M284" s="396" t="str">
        <f ca="1">Área!I230</f>
        <v/>
      </c>
      <c r="N284" s="396"/>
      <c r="O284" s="396" t="str">
        <f ca="1">Área!J230</f>
        <v/>
      </c>
      <c r="P284" s="396"/>
      <c r="Q284" s="396" t="str">
        <f ca="1">Área!K230</f>
        <v/>
      </c>
      <c r="R284" s="396"/>
      <c r="S284" s="396" t="str">
        <f ca="1">Área!L230</f>
        <v/>
      </c>
      <c r="T284" s="396"/>
      <c r="U284" s="396" t="str">
        <f ca="1">Área!N230</f>
        <v/>
      </c>
      <c r="V284" s="396"/>
      <c r="W284" s="396" t="str">
        <f ca="1">Área!M230</f>
        <v/>
      </c>
      <c r="X284" s="396"/>
      <c r="Y284" s="89" t="str">
        <f ca="1">Área!O230</f>
        <v/>
      </c>
      <c r="Z284" s="399" t="str">
        <f ca="1">Área!P230</f>
        <v/>
      </c>
      <c r="AA284" s="399"/>
      <c r="AB284" s="399"/>
      <c r="AC284" s="399"/>
      <c r="AD284" s="399" t="str">
        <f ca="1">Área!Q230</f>
        <v/>
      </c>
      <c r="AE284" s="399"/>
      <c r="AF284" s="399"/>
      <c r="AG284" s="399"/>
      <c r="AH284" s="400" t="str">
        <f ca="1">Área!R230</f>
        <v/>
      </c>
      <c r="AI284" s="400"/>
      <c r="AJ284" s="400" t="str">
        <f ca="1">Área!S230</f>
        <v/>
      </c>
      <c r="AK284" s="400"/>
      <c r="AL284" s="400" t="str">
        <f ca="1">Área!T230</f>
        <v/>
      </c>
      <c r="AM284" s="400"/>
      <c r="AN284" s="400" t="str">
        <f ca="1">Área!U230</f>
        <v/>
      </c>
      <c r="AO284" s="400"/>
      <c r="AP284" s="422" t="str">
        <f ca="1">IFERROR(Área!Z230,"")</f>
        <v/>
      </c>
      <c r="AQ284" s="422"/>
      <c r="AR284" s="400" t="str">
        <f ca="1">Área!Y230</f>
        <v/>
      </c>
      <c r="AS284" s="423"/>
      <c r="AT284" s="72"/>
    </row>
    <row r="285" spans="1:46" ht="15" customHeight="1" x14ac:dyDescent="0.25">
      <c r="A285"/>
      <c r="C285" s="397" t="str">
        <f ca="1">Área!C231</f>
        <v/>
      </c>
      <c r="D285" s="398"/>
      <c r="E285" s="398"/>
      <c r="F285" s="398"/>
      <c r="G285" s="396" t="str">
        <f ca="1">Área!F231</f>
        <v/>
      </c>
      <c r="H285" s="396"/>
      <c r="I285" s="398" t="str">
        <f ca="1">Área!G231</f>
        <v/>
      </c>
      <c r="J285" s="398"/>
      <c r="K285" s="396" t="str">
        <f ca="1">Área!H231</f>
        <v/>
      </c>
      <c r="L285" s="396"/>
      <c r="M285" s="396" t="str">
        <f ca="1">Área!I231</f>
        <v/>
      </c>
      <c r="N285" s="396"/>
      <c r="O285" s="396" t="str">
        <f ca="1">Área!J231</f>
        <v/>
      </c>
      <c r="P285" s="396"/>
      <c r="Q285" s="396" t="str">
        <f ca="1">Área!K231</f>
        <v/>
      </c>
      <c r="R285" s="396"/>
      <c r="S285" s="396" t="str">
        <f ca="1">Área!L231</f>
        <v/>
      </c>
      <c r="T285" s="396"/>
      <c r="U285" s="396" t="str">
        <f ca="1">Área!N231</f>
        <v/>
      </c>
      <c r="V285" s="396"/>
      <c r="W285" s="396" t="str">
        <f ca="1">Área!M231</f>
        <v/>
      </c>
      <c r="X285" s="396"/>
      <c r="Y285" s="89" t="str">
        <f ca="1">Área!O231</f>
        <v/>
      </c>
      <c r="Z285" s="399" t="str">
        <f ca="1">Área!P231</f>
        <v/>
      </c>
      <c r="AA285" s="399"/>
      <c r="AB285" s="399"/>
      <c r="AC285" s="399"/>
      <c r="AD285" s="399" t="str">
        <f ca="1">Área!Q231</f>
        <v/>
      </c>
      <c r="AE285" s="399"/>
      <c r="AF285" s="399"/>
      <c r="AG285" s="399"/>
      <c r="AH285" s="400" t="str">
        <f ca="1">Área!R231</f>
        <v/>
      </c>
      <c r="AI285" s="400"/>
      <c r="AJ285" s="400" t="str">
        <f ca="1">Área!S231</f>
        <v/>
      </c>
      <c r="AK285" s="400"/>
      <c r="AL285" s="400" t="str">
        <f ca="1">Área!T231</f>
        <v/>
      </c>
      <c r="AM285" s="400"/>
      <c r="AN285" s="400" t="str">
        <f ca="1">Área!U231</f>
        <v/>
      </c>
      <c r="AO285" s="400"/>
      <c r="AP285" s="422" t="str">
        <f ca="1">IFERROR(Área!Z231,"")</f>
        <v/>
      </c>
      <c r="AQ285" s="422"/>
      <c r="AR285" s="400" t="str">
        <f ca="1">Área!Y231</f>
        <v/>
      </c>
      <c r="AS285" s="423"/>
      <c r="AT285" s="72"/>
    </row>
    <row r="286" spans="1:46" ht="15" customHeight="1" x14ac:dyDescent="0.25">
      <c r="A286"/>
      <c r="C286" s="397" t="str">
        <f ca="1">Área!C232</f>
        <v/>
      </c>
      <c r="D286" s="398"/>
      <c r="E286" s="398"/>
      <c r="F286" s="398"/>
      <c r="G286" s="396" t="str">
        <f ca="1">Área!F232</f>
        <v/>
      </c>
      <c r="H286" s="396"/>
      <c r="I286" s="398" t="str">
        <f ca="1">Área!G232</f>
        <v/>
      </c>
      <c r="J286" s="398"/>
      <c r="K286" s="396" t="str">
        <f ca="1">Área!H232</f>
        <v/>
      </c>
      <c r="L286" s="396"/>
      <c r="M286" s="396" t="str">
        <f ca="1">Área!I232</f>
        <v/>
      </c>
      <c r="N286" s="396"/>
      <c r="O286" s="396" t="str">
        <f ca="1">Área!J232</f>
        <v/>
      </c>
      <c r="P286" s="396"/>
      <c r="Q286" s="396" t="str">
        <f ca="1">Área!K232</f>
        <v/>
      </c>
      <c r="R286" s="396"/>
      <c r="S286" s="396" t="str">
        <f ca="1">Área!L232</f>
        <v/>
      </c>
      <c r="T286" s="396"/>
      <c r="U286" s="396" t="str">
        <f ca="1">Área!N232</f>
        <v/>
      </c>
      <c r="V286" s="396"/>
      <c r="W286" s="396" t="str">
        <f ca="1">Área!M232</f>
        <v/>
      </c>
      <c r="X286" s="396"/>
      <c r="Y286" s="89" t="str">
        <f ca="1">Área!O232</f>
        <v/>
      </c>
      <c r="Z286" s="399" t="str">
        <f ca="1">Área!P232</f>
        <v/>
      </c>
      <c r="AA286" s="399"/>
      <c r="AB286" s="399"/>
      <c r="AC286" s="399"/>
      <c r="AD286" s="399" t="str">
        <f ca="1">Área!Q232</f>
        <v/>
      </c>
      <c r="AE286" s="399"/>
      <c r="AF286" s="399"/>
      <c r="AG286" s="399"/>
      <c r="AH286" s="400" t="str">
        <f ca="1">Área!R232</f>
        <v/>
      </c>
      <c r="AI286" s="400"/>
      <c r="AJ286" s="400" t="str">
        <f ca="1">Área!S232</f>
        <v/>
      </c>
      <c r="AK286" s="400"/>
      <c r="AL286" s="400" t="str">
        <f ca="1">Área!T232</f>
        <v/>
      </c>
      <c r="AM286" s="400"/>
      <c r="AN286" s="400" t="str">
        <f ca="1">Área!U232</f>
        <v/>
      </c>
      <c r="AO286" s="400"/>
      <c r="AP286" s="422" t="str">
        <f ca="1">IFERROR(Área!Z232,"")</f>
        <v/>
      </c>
      <c r="AQ286" s="422"/>
      <c r="AR286" s="400" t="str">
        <f ca="1">Área!Y232</f>
        <v/>
      </c>
      <c r="AS286" s="423"/>
      <c r="AT286" s="72"/>
    </row>
    <row r="287" spans="1:46" ht="15" customHeight="1" x14ac:dyDescent="0.25">
      <c r="A287"/>
      <c r="C287" s="397" t="str">
        <f ca="1">Área!C233</f>
        <v/>
      </c>
      <c r="D287" s="398"/>
      <c r="E287" s="398"/>
      <c r="F287" s="398"/>
      <c r="G287" s="396" t="str">
        <f ca="1">Área!F233</f>
        <v/>
      </c>
      <c r="H287" s="396"/>
      <c r="I287" s="398" t="str">
        <f ca="1">Área!G233</f>
        <v/>
      </c>
      <c r="J287" s="398"/>
      <c r="K287" s="396" t="str">
        <f ca="1">Área!H233</f>
        <v/>
      </c>
      <c r="L287" s="396"/>
      <c r="M287" s="396" t="str">
        <f ca="1">Área!I233</f>
        <v/>
      </c>
      <c r="N287" s="396"/>
      <c r="O287" s="396" t="str">
        <f ca="1">Área!J233</f>
        <v/>
      </c>
      <c r="P287" s="396"/>
      <c r="Q287" s="396" t="str">
        <f ca="1">Área!K233</f>
        <v/>
      </c>
      <c r="R287" s="396"/>
      <c r="S287" s="396" t="str">
        <f ca="1">Área!L233</f>
        <v/>
      </c>
      <c r="T287" s="396"/>
      <c r="U287" s="396" t="str">
        <f ca="1">Área!N233</f>
        <v/>
      </c>
      <c r="V287" s="396"/>
      <c r="W287" s="396" t="str">
        <f ca="1">Área!M233</f>
        <v/>
      </c>
      <c r="X287" s="396"/>
      <c r="Y287" s="89" t="str">
        <f ca="1">Área!O233</f>
        <v/>
      </c>
      <c r="Z287" s="399" t="str">
        <f ca="1">Área!P233</f>
        <v/>
      </c>
      <c r="AA287" s="399"/>
      <c r="AB287" s="399"/>
      <c r="AC287" s="399"/>
      <c r="AD287" s="399" t="str">
        <f ca="1">Área!Q233</f>
        <v/>
      </c>
      <c r="AE287" s="399"/>
      <c r="AF287" s="399"/>
      <c r="AG287" s="399"/>
      <c r="AH287" s="400" t="str">
        <f ca="1">Área!R233</f>
        <v/>
      </c>
      <c r="AI287" s="400"/>
      <c r="AJ287" s="400" t="str">
        <f ca="1">Área!S233</f>
        <v/>
      </c>
      <c r="AK287" s="400"/>
      <c r="AL287" s="400" t="str">
        <f ca="1">Área!T233</f>
        <v/>
      </c>
      <c r="AM287" s="400"/>
      <c r="AN287" s="400" t="str">
        <f ca="1">Área!U233</f>
        <v/>
      </c>
      <c r="AO287" s="400"/>
      <c r="AP287" s="422" t="str">
        <f ca="1">IFERROR(Área!Z233,"")</f>
        <v/>
      </c>
      <c r="AQ287" s="422"/>
      <c r="AR287" s="400" t="str">
        <f ca="1">Área!Y233</f>
        <v/>
      </c>
      <c r="AS287" s="423"/>
      <c r="AT287" s="72"/>
    </row>
    <row r="288" spans="1:46" ht="15" customHeight="1" x14ac:dyDescent="0.25">
      <c r="A288"/>
      <c r="C288" s="397" t="str">
        <f ca="1">Área!C234</f>
        <v/>
      </c>
      <c r="D288" s="398"/>
      <c r="E288" s="398"/>
      <c r="F288" s="398"/>
      <c r="G288" s="396" t="str">
        <f ca="1">Área!F234</f>
        <v/>
      </c>
      <c r="H288" s="396"/>
      <c r="I288" s="398" t="str">
        <f ca="1">Área!G234</f>
        <v/>
      </c>
      <c r="J288" s="398"/>
      <c r="K288" s="396" t="str">
        <f ca="1">Área!H234</f>
        <v/>
      </c>
      <c r="L288" s="396"/>
      <c r="M288" s="396" t="str">
        <f ca="1">Área!I234</f>
        <v/>
      </c>
      <c r="N288" s="396"/>
      <c r="O288" s="396" t="str">
        <f ca="1">Área!J234</f>
        <v/>
      </c>
      <c r="P288" s="396"/>
      <c r="Q288" s="396" t="str">
        <f ca="1">Área!K234</f>
        <v/>
      </c>
      <c r="R288" s="396"/>
      <c r="S288" s="396" t="str">
        <f ca="1">Área!L234</f>
        <v/>
      </c>
      <c r="T288" s="396"/>
      <c r="U288" s="396" t="str">
        <f ca="1">Área!N234</f>
        <v/>
      </c>
      <c r="V288" s="396"/>
      <c r="W288" s="396" t="str">
        <f ca="1">Área!M234</f>
        <v/>
      </c>
      <c r="X288" s="396"/>
      <c r="Y288" s="89" t="str">
        <f ca="1">Área!O234</f>
        <v/>
      </c>
      <c r="Z288" s="399" t="str">
        <f ca="1">Área!P234</f>
        <v/>
      </c>
      <c r="AA288" s="399"/>
      <c r="AB288" s="399"/>
      <c r="AC288" s="399"/>
      <c r="AD288" s="399" t="str">
        <f ca="1">Área!Q234</f>
        <v/>
      </c>
      <c r="AE288" s="399"/>
      <c r="AF288" s="399"/>
      <c r="AG288" s="399"/>
      <c r="AH288" s="400" t="str">
        <f ca="1">Área!R234</f>
        <v/>
      </c>
      <c r="AI288" s="400"/>
      <c r="AJ288" s="400" t="str">
        <f ca="1">Área!S234</f>
        <v/>
      </c>
      <c r="AK288" s="400"/>
      <c r="AL288" s="400" t="str">
        <f ca="1">Área!T234</f>
        <v/>
      </c>
      <c r="AM288" s="400"/>
      <c r="AN288" s="400" t="str">
        <f ca="1">Área!U234</f>
        <v/>
      </c>
      <c r="AO288" s="400"/>
      <c r="AP288" s="422" t="str">
        <f ca="1">IFERROR(Área!Z234,"")</f>
        <v/>
      </c>
      <c r="AQ288" s="422"/>
      <c r="AR288" s="400" t="str">
        <f ca="1">Área!Y234</f>
        <v/>
      </c>
      <c r="AS288" s="423"/>
      <c r="AT288" s="72"/>
    </row>
    <row r="289" spans="1:46" ht="15" customHeight="1" x14ac:dyDescent="0.25">
      <c r="A289"/>
      <c r="C289" s="397" t="str">
        <f ca="1">Área!C235</f>
        <v/>
      </c>
      <c r="D289" s="398"/>
      <c r="E289" s="398"/>
      <c r="F289" s="398"/>
      <c r="G289" s="396" t="str">
        <f ca="1">Área!F235</f>
        <v/>
      </c>
      <c r="H289" s="396"/>
      <c r="I289" s="398" t="str">
        <f ca="1">Área!G235</f>
        <v/>
      </c>
      <c r="J289" s="398"/>
      <c r="K289" s="396" t="str">
        <f ca="1">Área!H235</f>
        <v/>
      </c>
      <c r="L289" s="396"/>
      <c r="M289" s="396" t="str">
        <f ca="1">Área!I235</f>
        <v/>
      </c>
      <c r="N289" s="396"/>
      <c r="O289" s="396" t="str">
        <f ca="1">Área!J235</f>
        <v/>
      </c>
      <c r="P289" s="396"/>
      <c r="Q289" s="396" t="str">
        <f ca="1">Área!K235</f>
        <v/>
      </c>
      <c r="R289" s="396"/>
      <c r="S289" s="396" t="str">
        <f ca="1">Área!L235</f>
        <v/>
      </c>
      <c r="T289" s="396"/>
      <c r="U289" s="396" t="str">
        <f ca="1">Área!N235</f>
        <v/>
      </c>
      <c r="V289" s="396"/>
      <c r="W289" s="396" t="str">
        <f ca="1">Área!M235</f>
        <v/>
      </c>
      <c r="X289" s="396"/>
      <c r="Y289" s="89" t="str">
        <f ca="1">Área!O235</f>
        <v/>
      </c>
      <c r="Z289" s="399" t="str">
        <f ca="1">Área!P235</f>
        <v/>
      </c>
      <c r="AA289" s="399"/>
      <c r="AB289" s="399"/>
      <c r="AC289" s="399"/>
      <c r="AD289" s="399" t="str">
        <f ca="1">Área!Q235</f>
        <v/>
      </c>
      <c r="AE289" s="399"/>
      <c r="AF289" s="399"/>
      <c r="AG289" s="399"/>
      <c r="AH289" s="400" t="str">
        <f ca="1">Área!R235</f>
        <v/>
      </c>
      <c r="AI289" s="400"/>
      <c r="AJ289" s="400" t="str">
        <f ca="1">Área!S235</f>
        <v/>
      </c>
      <c r="AK289" s="400"/>
      <c r="AL289" s="400" t="str">
        <f ca="1">Área!T235</f>
        <v/>
      </c>
      <c r="AM289" s="400"/>
      <c r="AN289" s="400" t="str">
        <f ca="1">Área!U235</f>
        <v/>
      </c>
      <c r="AO289" s="400"/>
      <c r="AP289" s="422" t="str">
        <f ca="1">IFERROR(Área!Z235,"")</f>
        <v/>
      </c>
      <c r="AQ289" s="422"/>
      <c r="AR289" s="400" t="str">
        <f ca="1">Área!Y235</f>
        <v/>
      </c>
      <c r="AS289" s="423"/>
      <c r="AT289" s="72"/>
    </row>
    <row r="290" spans="1:46" ht="15" customHeight="1" x14ac:dyDescent="0.25">
      <c r="A290"/>
      <c r="C290" s="397" t="str">
        <f ca="1">Área!C236</f>
        <v/>
      </c>
      <c r="D290" s="398"/>
      <c r="E290" s="398"/>
      <c r="F290" s="398"/>
      <c r="G290" s="396" t="str">
        <f ca="1">Área!F236</f>
        <v/>
      </c>
      <c r="H290" s="396"/>
      <c r="I290" s="398" t="str">
        <f ca="1">Área!G236</f>
        <v/>
      </c>
      <c r="J290" s="398"/>
      <c r="K290" s="396" t="str">
        <f ca="1">Área!H236</f>
        <v/>
      </c>
      <c r="L290" s="396"/>
      <c r="M290" s="396" t="str">
        <f ca="1">Área!I236</f>
        <v/>
      </c>
      <c r="N290" s="396"/>
      <c r="O290" s="396" t="str">
        <f ca="1">Área!J236</f>
        <v/>
      </c>
      <c r="P290" s="396"/>
      <c r="Q290" s="396" t="str">
        <f ca="1">Área!K236</f>
        <v/>
      </c>
      <c r="R290" s="396"/>
      <c r="S290" s="396" t="str">
        <f ca="1">Área!L236</f>
        <v/>
      </c>
      <c r="T290" s="396"/>
      <c r="U290" s="396" t="str">
        <f ca="1">Área!N236</f>
        <v/>
      </c>
      <c r="V290" s="396"/>
      <c r="W290" s="396" t="str">
        <f ca="1">Área!M236</f>
        <v/>
      </c>
      <c r="X290" s="396"/>
      <c r="Y290" s="89" t="str">
        <f ca="1">Área!O236</f>
        <v/>
      </c>
      <c r="Z290" s="399" t="str">
        <f ca="1">Área!P236</f>
        <v/>
      </c>
      <c r="AA290" s="399"/>
      <c r="AB290" s="399"/>
      <c r="AC290" s="399"/>
      <c r="AD290" s="399" t="str">
        <f ca="1">Área!Q236</f>
        <v/>
      </c>
      <c r="AE290" s="399"/>
      <c r="AF290" s="399"/>
      <c r="AG290" s="399"/>
      <c r="AH290" s="400" t="str">
        <f ca="1">Área!R236</f>
        <v/>
      </c>
      <c r="AI290" s="400"/>
      <c r="AJ290" s="400" t="str">
        <f ca="1">Área!S236</f>
        <v/>
      </c>
      <c r="AK290" s="400"/>
      <c r="AL290" s="400" t="str">
        <f ca="1">Área!T236</f>
        <v/>
      </c>
      <c r="AM290" s="400"/>
      <c r="AN290" s="400" t="str">
        <f ca="1">Área!U236</f>
        <v/>
      </c>
      <c r="AO290" s="400"/>
      <c r="AP290" s="422" t="str">
        <f ca="1">IFERROR(Área!Z236,"")</f>
        <v/>
      </c>
      <c r="AQ290" s="422"/>
      <c r="AR290" s="400" t="str">
        <f ca="1">Área!Y236</f>
        <v/>
      </c>
      <c r="AS290" s="423"/>
      <c r="AT290" s="72"/>
    </row>
    <row r="291" spans="1:46" ht="15" customHeight="1" x14ac:dyDescent="0.25">
      <c r="A291"/>
      <c r="C291" s="397" t="str">
        <f ca="1">Área!C237</f>
        <v/>
      </c>
      <c r="D291" s="398"/>
      <c r="E291" s="398"/>
      <c r="F291" s="398"/>
      <c r="G291" s="396" t="str">
        <f ca="1">Área!F237</f>
        <v/>
      </c>
      <c r="H291" s="396"/>
      <c r="I291" s="398" t="str">
        <f ca="1">Área!G237</f>
        <v/>
      </c>
      <c r="J291" s="398"/>
      <c r="K291" s="396" t="str">
        <f ca="1">Área!H237</f>
        <v/>
      </c>
      <c r="L291" s="396"/>
      <c r="M291" s="396" t="str">
        <f ca="1">Área!I237</f>
        <v/>
      </c>
      <c r="N291" s="396"/>
      <c r="O291" s="396" t="str">
        <f ca="1">Área!J237</f>
        <v/>
      </c>
      <c r="P291" s="396"/>
      <c r="Q291" s="396" t="str">
        <f ca="1">Área!K237</f>
        <v/>
      </c>
      <c r="R291" s="396"/>
      <c r="S291" s="396" t="str">
        <f ca="1">Área!L237</f>
        <v/>
      </c>
      <c r="T291" s="396"/>
      <c r="U291" s="396" t="str">
        <f ca="1">Área!N237</f>
        <v/>
      </c>
      <c r="V291" s="396"/>
      <c r="W291" s="396" t="str">
        <f ca="1">Área!M237</f>
        <v/>
      </c>
      <c r="X291" s="396"/>
      <c r="Y291" s="89" t="str">
        <f ca="1">Área!O237</f>
        <v/>
      </c>
      <c r="Z291" s="399" t="str">
        <f ca="1">Área!P237</f>
        <v/>
      </c>
      <c r="AA291" s="399"/>
      <c r="AB291" s="399"/>
      <c r="AC291" s="399"/>
      <c r="AD291" s="399" t="str">
        <f ca="1">Área!Q237</f>
        <v/>
      </c>
      <c r="AE291" s="399"/>
      <c r="AF291" s="399"/>
      <c r="AG291" s="399"/>
      <c r="AH291" s="400" t="str">
        <f ca="1">Área!R237</f>
        <v/>
      </c>
      <c r="AI291" s="400"/>
      <c r="AJ291" s="400" t="str">
        <f ca="1">Área!S237</f>
        <v/>
      </c>
      <c r="AK291" s="400"/>
      <c r="AL291" s="400" t="str">
        <f ca="1">Área!T237</f>
        <v/>
      </c>
      <c r="AM291" s="400"/>
      <c r="AN291" s="400" t="str">
        <f ca="1">Área!U237</f>
        <v/>
      </c>
      <c r="AO291" s="400"/>
      <c r="AP291" s="422" t="str">
        <f ca="1">IFERROR(Área!Z237,"")</f>
        <v/>
      </c>
      <c r="AQ291" s="422"/>
      <c r="AR291" s="400" t="str">
        <f ca="1">Área!Y237</f>
        <v/>
      </c>
      <c r="AS291" s="423"/>
      <c r="AT291" s="72"/>
    </row>
    <row r="292" spans="1:46" ht="15" customHeight="1" x14ac:dyDescent="0.25">
      <c r="A292"/>
      <c r="C292" s="397" t="str">
        <f ca="1">Área!C238</f>
        <v/>
      </c>
      <c r="D292" s="398"/>
      <c r="E292" s="398"/>
      <c r="F292" s="398"/>
      <c r="G292" s="396" t="str">
        <f ca="1">Área!F238</f>
        <v/>
      </c>
      <c r="H292" s="396"/>
      <c r="I292" s="398" t="str">
        <f ca="1">Área!G238</f>
        <v/>
      </c>
      <c r="J292" s="398"/>
      <c r="K292" s="396" t="str">
        <f ca="1">Área!H238</f>
        <v/>
      </c>
      <c r="L292" s="396"/>
      <c r="M292" s="396" t="str">
        <f ca="1">Área!I238</f>
        <v/>
      </c>
      <c r="N292" s="396"/>
      <c r="O292" s="396" t="str">
        <f ca="1">Área!J238</f>
        <v/>
      </c>
      <c r="P292" s="396"/>
      <c r="Q292" s="396" t="str">
        <f ca="1">Área!K238</f>
        <v/>
      </c>
      <c r="R292" s="396"/>
      <c r="S292" s="396" t="str">
        <f ca="1">Área!L238</f>
        <v/>
      </c>
      <c r="T292" s="396"/>
      <c r="U292" s="396" t="str">
        <f ca="1">Área!N238</f>
        <v/>
      </c>
      <c r="V292" s="396"/>
      <c r="W292" s="396" t="str">
        <f ca="1">Área!M238</f>
        <v/>
      </c>
      <c r="X292" s="396"/>
      <c r="Y292" s="89" t="str">
        <f ca="1">Área!O238</f>
        <v/>
      </c>
      <c r="Z292" s="399" t="str">
        <f ca="1">Área!P238</f>
        <v/>
      </c>
      <c r="AA292" s="399"/>
      <c r="AB292" s="399"/>
      <c r="AC292" s="399"/>
      <c r="AD292" s="399" t="str">
        <f ca="1">Área!Q238</f>
        <v/>
      </c>
      <c r="AE292" s="399"/>
      <c r="AF292" s="399"/>
      <c r="AG292" s="399"/>
      <c r="AH292" s="400" t="str">
        <f ca="1">Área!R238</f>
        <v/>
      </c>
      <c r="AI292" s="400"/>
      <c r="AJ292" s="400" t="str">
        <f ca="1">Área!S238</f>
        <v/>
      </c>
      <c r="AK292" s="400"/>
      <c r="AL292" s="400" t="str">
        <f ca="1">Área!T238</f>
        <v/>
      </c>
      <c r="AM292" s="400"/>
      <c r="AN292" s="400" t="str">
        <f ca="1">Área!U238</f>
        <v/>
      </c>
      <c r="AO292" s="400"/>
      <c r="AP292" s="422" t="str">
        <f ca="1">IFERROR(Área!Z238,"")</f>
        <v/>
      </c>
      <c r="AQ292" s="422"/>
      <c r="AR292" s="400" t="str">
        <f ca="1">Área!Y238</f>
        <v/>
      </c>
      <c r="AS292" s="423"/>
      <c r="AT292" s="72"/>
    </row>
    <row r="293" spans="1:46" ht="15" customHeight="1" x14ac:dyDescent="0.25">
      <c r="A293"/>
      <c r="C293" s="397" t="str">
        <f ca="1">Área!C239</f>
        <v/>
      </c>
      <c r="D293" s="398"/>
      <c r="E293" s="398"/>
      <c r="F293" s="398"/>
      <c r="G293" s="396" t="str">
        <f ca="1">Área!F239</f>
        <v/>
      </c>
      <c r="H293" s="396"/>
      <c r="I293" s="398" t="str">
        <f ca="1">Área!G239</f>
        <v/>
      </c>
      <c r="J293" s="398"/>
      <c r="K293" s="396" t="str">
        <f ca="1">Área!H239</f>
        <v/>
      </c>
      <c r="L293" s="396"/>
      <c r="M293" s="396" t="str">
        <f ca="1">Área!I239</f>
        <v/>
      </c>
      <c r="N293" s="396"/>
      <c r="O293" s="396" t="str">
        <f ca="1">Área!J239</f>
        <v/>
      </c>
      <c r="P293" s="396"/>
      <c r="Q293" s="396" t="str">
        <f ca="1">Área!K239</f>
        <v/>
      </c>
      <c r="R293" s="396"/>
      <c r="S293" s="396" t="str">
        <f ca="1">Área!L239</f>
        <v/>
      </c>
      <c r="T293" s="396"/>
      <c r="U293" s="396" t="str">
        <f ca="1">Área!N239</f>
        <v/>
      </c>
      <c r="V293" s="396"/>
      <c r="W293" s="396" t="str">
        <f ca="1">Área!M239</f>
        <v/>
      </c>
      <c r="X293" s="396"/>
      <c r="Y293" s="89" t="str">
        <f ca="1">Área!O239</f>
        <v/>
      </c>
      <c r="Z293" s="399" t="str">
        <f ca="1">Área!P239</f>
        <v/>
      </c>
      <c r="AA293" s="399"/>
      <c r="AB293" s="399"/>
      <c r="AC293" s="399"/>
      <c r="AD293" s="399" t="str">
        <f ca="1">Área!Q239</f>
        <v/>
      </c>
      <c r="AE293" s="399"/>
      <c r="AF293" s="399"/>
      <c r="AG293" s="399"/>
      <c r="AH293" s="400" t="str">
        <f ca="1">Área!R239</f>
        <v/>
      </c>
      <c r="AI293" s="400"/>
      <c r="AJ293" s="400" t="str">
        <f ca="1">Área!S239</f>
        <v/>
      </c>
      <c r="AK293" s="400"/>
      <c r="AL293" s="400" t="str">
        <f ca="1">Área!T239</f>
        <v/>
      </c>
      <c r="AM293" s="400"/>
      <c r="AN293" s="400" t="str">
        <f ca="1">Área!U239</f>
        <v/>
      </c>
      <c r="AO293" s="400"/>
      <c r="AP293" s="422" t="str">
        <f ca="1">IFERROR(Área!Z239,"")</f>
        <v/>
      </c>
      <c r="AQ293" s="422"/>
      <c r="AR293" s="400" t="str">
        <f ca="1">Área!Y239</f>
        <v/>
      </c>
      <c r="AS293" s="423"/>
      <c r="AT293" s="72"/>
    </row>
    <row r="294" spans="1:46" ht="15" customHeight="1" x14ac:dyDescent="0.25">
      <c r="A294"/>
      <c r="C294" s="397" t="str">
        <f ca="1">Área!C240</f>
        <v/>
      </c>
      <c r="D294" s="398"/>
      <c r="E294" s="398"/>
      <c r="F294" s="398"/>
      <c r="G294" s="396" t="str">
        <f ca="1">Área!F240</f>
        <v/>
      </c>
      <c r="H294" s="396"/>
      <c r="I294" s="398" t="str">
        <f ca="1">Área!G240</f>
        <v/>
      </c>
      <c r="J294" s="398"/>
      <c r="K294" s="396" t="str">
        <f ca="1">Área!H240</f>
        <v/>
      </c>
      <c r="L294" s="396"/>
      <c r="M294" s="396" t="str">
        <f ca="1">Área!I240</f>
        <v/>
      </c>
      <c r="N294" s="396"/>
      <c r="O294" s="396" t="str">
        <f ca="1">Área!J240</f>
        <v/>
      </c>
      <c r="P294" s="396"/>
      <c r="Q294" s="396" t="str">
        <f ca="1">Área!K240</f>
        <v/>
      </c>
      <c r="R294" s="396"/>
      <c r="S294" s="396" t="str">
        <f ca="1">Área!L240</f>
        <v/>
      </c>
      <c r="T294" s="396"/>
      <c r="U294" s="396" t="str">
        <f ca="1">Área!N240</f>
        <v/>
      </c>
      <c r="V294" s="396"/>
      <c r="W294" s="396" t="str">
        <f ca="1">Área!M240</f>
        <v/>
      </c>
      <c r="X294" s="396"/>
      <c r="Y294" s="89" t="str">
        <f ca="1">Área!O240</f>
        <v/>
      </c>
      <c r="Z294" s="399" t="str">
        <f ca="1">Área!P240</f>
        <v/>
      </c>
      <c r="AA294" s="399"/>
      <c r="AB294" s="399"/>
      <c r="AC294" s="399"/>
      <c r="AD294" s="399" t="str">
        <f ca="1">Área!Q240</f>
        <v/>
      </c>
      <c r="AE294" s="399"/>
      <c r="AF294" s="399"/>
      <c r="AG294" s="399"/>
      <c r="AH294" s="400" t="str">
        <f ca="1">Área!R240</f>
        <v/>
      </c>
      <c r="AI294" s="400"/>
      <c r="AJ294" s="400" t="str">
        <f ca="1">Área!S240</f>
        <v/>
      </c>
      <c r="AK294" s="400"/>
      <c r="AL294" s="400" t="str">
        <f ca="1">Área!T240</f>
        <v/>
      </c>
      <c r="AM294" s="400"/>
      <c r="AN294" s="400" t="str">
        <f ca="1">Área!U240</f>
        <v/>
      </c>
      <c r="AO294" s="400"/>
      <c r="AP294" s="422" t="str">
        <f ca="1">IFERROR(Área!Z240,"")</f>
        <v/>
      </c>
      <c r="AQ294" s="422"/>
      <c r="AR294" s="400" t="str">
        <f ca="1">Área!Y240</f>
        <v/>
      </c>
      <c r="AS294" s="423"/>
      <c r="AT294" s="72"/>
    </row>
    <row r="295" spans="1:46" ht="15" customHeight="1" x14ac:dyDescent="0.25">
      <c r="A295"/>
      <c r="C295" s="397" t="str">
        <f ca="1">Área!C241</f>
        <v/>
      </c>
      <c r="D295" s="398"/>
      <c r="E295" s="398"/>
      <c r="F295" s="398"/>
      <c r="G295" s="396" t="str">
        <f ca="1">Área!F241</f>
        <v/>
      </c>
      <c r="H295" s="396"/>
      <c r="I295" s="398" t="str">
        <f ca="1">Área!G241</f>
        <v/>
      </c>
      <c r="J295" s="398"/>
      <c r="K295" s="396" t="str">
        <f ca="1">Área!H241</f>
        <v/>
      </c>
      <c r="L295" s="396"/>
      <c r="M295" s="396" t="str">
        <f ca="1">Área!I241</f>
        <v/>
      </c>
      <c r="N295" s="396"/>
      <c r="O295" s="396" t="str">
        <f ca="1">Área!J241</f>
        <v/>
      </c>
      <c r="P295" s="396"/>
      <c r="Q295" s="396" t="str">
        <f ca="1">Área!K241</f>
        <v/>
      </c>
      <c r="R295" s="396"/>
      <c r="S295" s="396" t="str">
        <f ca="1">Área!L241</f>
        <v/>
      </c>
      <c r="T295" s="396"/>
      <c r="U295" s="396" t="str">
        <f ca="1">Área!N241</f>
        <v/>
      </c>
      <c r="V295" s="396"/>
      <c r="W295" s="396" t="str">
        <f ca="1">Área!M241</f>
        <v/>
      </c>
      <c r="X295" s="396"/>
      <c r="Y295" s="89" t="str">
        <f ca="1">Área!O241</f>
        <v/>
      </c>
      <c r="Z295" s="399" t="str">
        <f ca="1">Área!P241</f>
        <v/>
      </c>
      <c r="AA295" s="399"/>
      <c r="AB295" s="399"/>
      <c r="AC295" s="399"/>
      <c r="AD295" s="399" t="str">
        <f ca="1">Área!Q241</f>
        <v/>
      </c>
      <c r="AE295" s="399"/>
      <c r="AF295" s="399"/>
      <c r="AG295" s="399"/>
      <c r="AH295" s="400" t="str">
        <f ca="1">Área!R241</f>
        <v/>
      </c>
      <c r="AI295" s="400"/>
      <c r="AJ295" s="400" t="str">
        <f ca="1">Área!S241</f>
        <v/>
      </c>
      <c r="AK295" s="400"/>
      <c r="AL295" s="400" t="str">
        <f ca="1">Área!T241</f>
        <v/>
      </c>
      <c r="AM295" s="400"/>
      <c r="AN295" s="400" t="str">
        <f ca="1">Área!U241</f>
        <v/>
      </c>
      <c r="AO295" s="400"/>
      <c r="AP295" s="422" t="str">
        <f ca="1">IFERROR(Área!Z241,"")</f>
        <v/>
      </c>
      <c r="AQ295" s="422"/>
      <c r="AR295" s="400" t="str">
        <f ca="1">Área!Y241</f>
        <v/>
      </c>
      <c r="AS295" s="423"/>
      <c r="AT295" s="72"/>
    </row>
    <row r="296" spans="1:46" ht="15" customHeight="1" x14ac:dyDescent="0.25">
      <c r="A296"/>
      <c r="C296" s="397" t="str">
        <f ca="1">Área!C242</f>
        <v/>
      </c>
      <c r="D296" s="398"/>
      <c r="E296" s="398"/>
      <c r="F296" s="398"/>
      <c r="G296" s="396" t="str">
        <f ca="1">Área!F242</f>
        <v/>
      </c>
      <c r="H296" s="396"/>
      <c r="I296" s="398" t="str">
        <f ca="1">Área!G242</f>
        <v/>
      </c>
      <c r="J296" s="398"/>
      <c r="K296" s="396" t="str">
        <f ca="1">Área!H242</f>
        <v/>
      </c>
      <c r="L296" s="396"/>
      <c r="M296" s="396" t="str">
        <f ca="1">Área!I242</f>
        <v/>
      </c>
      <c r="N296" s="396"/>
      <c r="O296" s="396" t="str">
        <f ca="1">Área!J242</f>
        <v/>
      </c>
      <c r="P296" s="396"/>
      <c r="Q296" s="396" t="str">
        <f ca="1">Área!K242</f>
        <v/>
      </c>
      <c r="R296" s="396"/>
      <c r="S296" s="396" t="str">
        <f ca="1">Área!L242</f>
        <v/>
      </c>
      <c r="T296" s="396"/>
      <c r="U296" s="396" t="str">
        <f ca="1">Área!N242</f>
        <v/>
      </c>
      <c r="V296" s="396"/>
      <c r="W296" s="396" t="str">
        <f ca="1">Área!M242</f>
        <v/>
      </c>
      <c r="X296" s="396"/>
      <c r="Y296" s="89" t="str">
        <f ca="1">Área!O242</f>
        <v/>
      </c>
      <c r="Z296" s="399" t="str">
        <f ca="1">Área!P242</f>
        <v/>
      </c>
      <c r="AA296" s="399"/>
      <c r="AB296" s="399"/>
      <c r="AC296" s="399"/>
      <c r="AD296" s="399" t="str">
        <f ca="1">Área!Q242</f>
        <v/>
      </c>
      <c r="AE296" s="399"/>
      <c r="AF296" s="399"/>
      <c r="AG296" s="399"/>
      <c r="AH296" s="400" t="str">
        <f ca="1">Área!R242</f>
        <v/>
      </c>
      <c r="AI296" s="400"/>
      <c r="AJ296" s="400" t="str">
        <f ca="1">Área!S242</f>
        <v/>
      </c>
      <c r="AK296" s="400"/>
      <c r="AL296" s="400" t="str">
        <f ca="1">Área!T242</f>
        <v/>
      </c>
      <c r="AM296" s="400"/>
      <c r="AN296" s="400" t="str">
        <f ca="1">Área!U242</f>
        <v/>
      </c>
      <c r="AO296" s="400"/>
      <c r="AP296" s="422" t="str">
        <f ca="1">IFERROR(Área!Z242,"")</f>
        <v/>
      </c>
      <c r="AQ296" s="422"/>
      <c r="AR296" s="400" t="str">
        <f ca="1">Área!Y242</f>
        <v/>
      </c>
      <c r="AS296" s="423"/>
      <c r="AT296" s="72"/>
    </row>
    <row r="297" spans="1:46" ht="15" customHeight="1" x14ac:dyDescent="0.25">
      <c r="A297"/>
      <c r="C297" s="397" t="str">
        <f ca="1">Área!C243</f>
        <v/>
      </c>
      <c r="D297" s="398"/>
      <c r="E297" s="398"/>
      <c r="F297" s="398"/>
      <c r="G297" s="396" t="str">
        <f ca="1">Área!F243</f>
        <v/>
      </c>
      <c r="H297" s="396"/>
      <c r="I297" s="398" t="str">
        <f ca="1">Área!G243</f>
        <v/>
      </c>
      <c r="J297" s="398"/>
      <c r="K297" s="396" t="str">
        <f ca="1">Área!H243</f>
        <v/>
      </c>
      <c r="L297" s="396"/>
      <c r="M297" s="396" t="str">
        <f ca="1">Área!I243</f>
        <v/>
      </c>
      <c r="N297" s="396"/>
      <c r="O297" s="396" t="str">
        <f ca="1">Área!J243</f>
        <v/>
      </c>
      <c r="P297" s="396"/>
      <c r="Q297" s="396" t="str">
        <f ca="1">Área!K243</f>
        <v/>
      </c>
      <c r="R297" s="396"/>
      <c r="S297" s="396" t="str">
        <f ca="1">Área!L243</f>
        <v/>
      </c>
      <c r="T297" s="396"/>
      <c r="U297" s="396" t="str">
        <f ca="1">Área!N243</f>
        <v/>
      </c>
      <c r="V297" s="396"/>
      <c r="W297" s="396" t="str">
        <f ca="1">Área!M243</f>
        <v/>
      </c>
      <c r="X297" s="396"/>
      <c r="Y297" s="89" t="str">
        <f ca="1">Área!O243</f>
        <v/>
      </c>
      <c r="Z297" s="399" t="str">
        <f ca="1">Área!P243</f>
        <v/>
      </c>
      <c r="AA297" s="399"/>
      <c r="AB297" s="399"/>
      <c r="AC297" s="399"/>
      <c r="AD297" s="399" t="str">
        <f ca="1">Área!Q243</f>
        <v/>
      </c>
      <c r="AE297" s="399"/>
      <c r="AF297" s="399"/>
      <c r="AG297" s="399"/>
      <c r="AH297" s="400" t="str">
        <f ca="1">Área!R243</f>
        <v/>
      </c>
      <c r="AI297" s="400"/>
      <c r="AJ297" s="400" t="str">
        <f ca="1">Área!S243</f>
        <v/>
      </c>
      <c r="AK297" s="400"/>
      <c r="AL297" s="400" t="str">
        <f ca="1">Área!T243</f>
        <v/>
      </c>
      <c r="AM297" s="400"/>
      <c r="AN297" s="400" t="str">
        <f ca="1">Área!U243</f>
        <v/>
      </c>
      <c r="AO297" s="400"/>
      <c r="AP297" s="422" t="str">
        <f ca="1">IFERROR(Área!Z243,"")</f>
        <v/>
      </c>
      <c r="AQ297" s="422"/>
      <c r="AR297" s="400" t="str">
        <f ca="1">Área!Y243</f>
        <v/>
      </c>
      <c r="AS297" s="423"/>
      <c r="AT297" s="72"/>
    </row>
    <row r="298" spans="1:46" ht="15" customHeight="1" x14ac:dyDescent="0.25">
      <c r="A298"/>
      <c r="C298" s="397" t="str">
        <f ca="1">Área!C244</f>
        <v/>
      </c>
      <c r="D298" s="398"/>
      <c r="E298" s="398"/>
      <c r="F298" s="398"/>
      <c r="G298" s="396" t="str">
        <f ca="1">Área!F244</f>
        <v/>
      </c>
      <c r="H298" s="396"/>
      <c r="I298" s="398" t="str">
        <f ca="1">Área!G244</f>
        <v/>
      </c>
      <c r="J298" s="398"/>
      <c r="K298" s="396" t="str">
        <f ca="1">Área!H244</f>
        <v/>
      </c>
      <c r="L298" s="396"/>
      <c r="M298" s="396" t="str">
        <f ca="1">Área!I244</f>
        <v/>
      </c>
      <c r="N298" s="396"/>
      <c r="O298" s="396" t="str">
        <f ca="1">Área!J244</f>
        <v/>
      </c>
      <c r="P298" s="396"/>
      <c r="Q298" s="396" t="str">
        <f ca="1">Área!K244</f>
        <v/>
      </c>
      <c r="R298" s="396"/>
      <c r="S298" s="396" t="str">
        <f ca="1">Área!L244</f>
        <v/>
      </c>
      <c r="T298" s="396"/>
      <c r="U298" s="396" t="str">
        <f ca="1">Área!N244</f>
        <v/>
      </c>
      <c r="V298" s="396"/>
      <c r="W298" s="396" t="str">
        <f ca="1">Área!M244</f>
        <v/>
      </c>
      <c r="X298" s="396"/>
      <c r="Y298" s="89" t="str">
        <f ca="1">Área!O244</f>
        <v/>
      </c>
      <c r="Z298" s="399" t="str">
        <f ca="1">Área!P244</f>
        <v/>
      </c>
      <c r="AA298" s="399"/>
      <c r="AB298" s="399"/>
      <c r="AC298" s="399"/>
      <c r="AD298" s="399" t="str">
        <f ca="1">Área!Q244</f>
        <v/>
      </c>
      <c r="AE298" s="399"/>
      <c r="AF298" s="399"/>
      <c r="AG298" s="399"/>
      <c r="AH298" s="400" t="str">
        <f ca="1">Área!R244</f>
        <v/>
      </c>
      <c r="AI298" s="400"/>
      <c r="AJ298" s="400" t="str">
        <f ca="1">Área!S244</f>
        <v/>
      </c>
      <c r="AK298" s="400"/>
      <c r="AL298" s="400" t="str">
        <f ca="1">Área!T244</f>
        <v/>
      </c>
      <c r="AM298" s="400"/>
      <c r="AN298" s="400" t="str">
        <f ca="1">Área!U244</f>
        <v/>
      </c>
      <c r="AO298" s="400"/>
      <c r="AP298" s="422" t="str">
        <f ca="1">IFERROR(Área!Z244,"")</f>
        <v/>
      </c>
      <c r="AQ298" s="422"/>
      <c r="AR298" s="400" t="str">
        <f ca="1">Área!Y244</f>
        <v/>
      </c>
      <c r="AS298" s="423"/>
      <c r="AT298" s="72"/>
    </row>
    <row r="299" spans="1:46" ht="15" customHeight="1" x14ac:dyDescent="0.25">
      <c r="A299"/>
      <c r="C299" s="397" t="str">
        <f ca="1">Área!C245</f>
        <v/>
      </c>
      <c r="D299" s="398"/>
      <c r="E299" s="398"/>
      <c r="F299" s="398"/>
      <c r="G299" s="396" t="str">
        <f ca="1">Área!F245</f>
        <v/>
      </c>
      <c r="H299" s="396"/>
      <c r="I299" s="398" t="str">
        <f ca="1">Área!G245</f>
        <v/>
      </c>
      <c r="J299" s="398"/>
      <c r="K299" s="396" t="str">
        <f ca="1">Área!H245</f>
        <v/>
      </c>
      <c r="L299" s="396"/>
      <c r="M299" s="396" t="str">
        <f ca="1">Área!I245</f>
        <v/>
      </c>
      <c r="N299" s="396"/>
      <c r="O299" s="396" t="str">
        <f ca="1">Área!J245</f>
        <v/>
      </c>
      <c r="P299" s="396"/>
      <c r="Q299" s="396" t="str">
        <f ca="1">Área!K245</f>
        <v/>
      </c>
      <c r="R299" s="396"/>
      <c r="S299" s="396" t="str">
        <f ca="1">Área!L245</f>
        <v/>
      </c>
      <c r="T299" s="396"/>
      <c r="U299" s="396" t="str">
        <f ca="1">Área!N245</f>
        <v/>
      </c>
      <c r="V299" s="396"/>
      <c r="W299" s="396" t="str">
        <f ca="1">Área!M245</f>
        <v/>
      </c>
      <c r="X299" s="396"/>
      <c r="Y299" s="89" t="str">
        <f ca="1">Área!O245</f>
        <v/>
      </c>
      <c r="Z299" s="399" t="str">
        <f ca="1">Área!P245</f>
        <v/>
      </c>
      <c r="AA299" s="399"/>
      <c r="AB299" s="399"/>
      <c r="AC299" s="399"/>
      <c r="AD299" s="399" t="str">
        <f ca="1">Área!Q245</f>
        <v/>
      </c>
      <c r="AE299" s="399"/>
      <c r="AF299" s="399"/>
      <c r="AG299" s="399"/>
      <c r="AH299" s="400" t="str">
        <f ca="1">Área!R245</f>
        <v/>
      </c>
      <c r="AI299" s="400"/>
      <c r="AJ299" s="400" t="str">
        <f ca="1">Área!S245</f>
        <v/>
      </c>
      <c r="AK299" s="400"/>
      <c r="AL299" s="400" t="str">
        <f ca="1">Área!T245</f>
        <v/>
      </c>
      <c r="AM299" s="400"/>
      <c r="AN299" s="400" t="str">
        <f ca="1">Área!U245</f>
        <v/>
      </c>
      <c r="AO299" s="400"/>
      <c r="AP299" s="422" t="str">
        <f ca="1">IFERROR(Área!Z245,"")</f>
        <v/>
      </c>
      <c r="AQ299" s="422"/>
      <c r="AR299" s="400" t="str">
        <f ca="1">Área!Y245</f>
        <v/>
      </c>
      <c r="AS299" s="423"/>
      <c r="AT299" s="72"/>
    </row>
    <row r="300" spans="1:46" ht="15" customHeight="1" x14ac:dyDescent="0.25">
      <c r="A300"/>
      <c r="C300" s="397" t="str">
        <f ca="1">Área!C246</f>
        <v/>
      </c>
      <c r="D300" s="398"/>
      <c r="E300" s="398"/>
      <c r="F300" s="398"/>
      <c r="G300" s="396" t="str">
        <f ca="1">Área!F246</f>
        <v/>
      </c>
      <c r="H300" s="396"/>
      <c r="I300" s="398" t="str">
        <f ca="1">Área!G246</f>
        <v/>
      </c>
      <c r="J300" s="398"/>
      <c r="K300" s="396" t="str">
        <f ca="1">Área!H246</f>
        <v/>
      </c>
      <c r="L300" s="396"/>
      <c r="M300" s="396" t="str">
        <f ca="1">Área!I246</f>
        <v/>
      </c>
      <c r="N300" s="396"/>
      <c r="O300" s="396" t="str">
        <f ca="1">Área!J246</f>
        <v/>
      </c>
      <c r="P300" s="396"/>
      <c r="Q300" s="396" t="str">
        <f ca="1">Área!K246</f>
        <v/>
      </c>
      <c r="R300" s="396"/>
      <c r="S300" s="396" t="str">
        <f ca="1">Área!L246</f>
        <v/>
      </c>
      <c r="T300" s="396"/>
      <c r="U300" s="396" t="str">
        <f ca="1">Área!N246</f>
        <v/>
      </c>
      <c r="V300" s="396"/>
      <c r="W300" s="396" t="str">
        <f ca="1">Área!M246</f>
        <v/>
      </c>
      <c r="X300" s="396"/>
      <c r="Y300" s="89" t="str">
        <f ca="1">Área!O246</f>
        <v/>
      </c>
      <c r="Z300" s="399" t="str">
        <f ca="1">Área!P246</f>
        <v/>
      </c>
      <c r="AA300" s="399"/>
      <c r="AB300" s="399"/>
      <c r="AC300" s="399"/>
      <c r="AD300" s="399" t="str">
        <f ca="1">Área!Q246</f>
        <v/>
      </c>
      <c r="AE300" s="399"/>
      <c r="AF300" s="399"/>
      <c r="AG300" s="399"/>
      <c r="AH300" s="400" t="str">
        <f ca="1">Área!R246</f>
        <v/>
      </c>
      <c r="AI300" s="400"/>
      <c r="AJ300" s="400" t="str">
        <f ca="1">Área!S246</f>
        <v/>
      </c>
      <c r="AK300" s="400"/>
      <c r="AL300" s="400" t="str">
        <f ca="1">Área!T246</f>
        <v/>
      </c>
      <c r="AM300" s="400"/>
      <c r="AN300" s="400" t="str">
        <f ca="1">Área!U246</f>
        <v/>
      </c>
      <c r="AO300" s="400"/>
      <c r="AP300" s="422" t="str">
        <f ca="1">IFERROR(Área!Z246,"")</f>
        <v/>
      </c>
      <c r="AQ300" s="422"/>
      <c r="AR300" s="400" t="str">
        <f ca="1">Área!Y246</f>
        <v/>
      </c>
      <c r="AS300" s="423"/>
      <c r="AT300" s="72"/>
    </row>
    <row r="301" spans="1:46" ht="15" customHeight="1" x14ac:dyDescent="0.25">
      <c r="A301"/>
      <c r="C301" s="397" t="str">
        <f ca="1">Área!C247</f>
        <v/>
      </c>
      <c r="D301" s="398"/>
      <c r="E301" s="398"/>
      <c r="F301" s="398"/>
      <c r="G301" s="396" t="str">
        <f ca="1">Área!F247</f>
        <v/>
      </c>
      <c r="H301" s="396"/>
      <c r="I301" s="398" t="str">
        <f ca="1">Área!G247</f>
        <v/>
      </c>
      <c r="J301" s="398"/>
      <c r="K301" s="396" t="str">
        <f ca="1">Área!H247</f>
        <v/>
      </c>
      <c r="L301" s="396"/>
      <c r="M301" s="396" t="str">
        <f ca="1">Área!I247</f>
        <v/>
      </c>
      <c r="N301" s="396"/>
      <c r="O301" s="396" t="str">
        <f ca="1">Área!J247</f>
        <v/>
      </c>
      <c r="P301" s="396"/>
      <c r="Q301" s="396" t="str">
        <f ca="1">Área!K247</f>
        <v/>
      </c>
      <c r="R301" s="396"/>
      <c r="S301" s="396" t="str">
        <f ca="1">Área!L247</f>
        <v/>
      </c>
      <c r="T301" s="396"/>
      <c r="U301" s="396" t="str">
        <f ca="1">Área!N247</f>
        <v/>
      </c>
      <c r="V301" s="396"/>
      <c r="W301" s="396" t="str">
        <f ca="1">Área!M247</f>
        <v/>
      </c>
      <c r="X301" s="396"/>
      <c r="Y301" s="89" t="str">
        <f ca="1">Área!O247</f>
        <v/>
      </c>
      <c r="Z301" s="399" t="str">
        <f ca="1">Área!P247</f>
        <v/>
      </c>
      <c r="AA301" s="399"/>
      <c r="AB301" s="399"/>
      <c r="AC301" s="399"/>
      <c r="AD301" s="399" t="str">
        <f ca="1">Área!Q247</f>
        <v/>
      </c>
      <c r="AE301" s="399"/>
      <c r="AF301" s="399"/>
      <c r="AG301" s="399"/>
      <c r="AH301" s="400" t="str">
        <f ca="1">Área!R247</f>
        <v/>
      </c>
      <c r="AI301" s="400"/>
      <c r="AJ301" s="400" t="str">
        <f ca="1">Área!S247</f>
        <v/>
      </c>
      <c r="AK301" s="400"/>
      <c r="AL301" s="400" t="str">
        <f ca="1">Área!T247</f>
        <v/>
      </c>
      <c r="AM301" s="400"/>
      <c r="AN301" s="400" t="str">
        <f ca="1">Área!U247</f>
        <v/>
      </c>
      <c r="AO301" s="400"/>
      <c r="AP301" s="422" t="str">
        <f ca="1">IFERROR(Área!Z247,"")</f>
        <v/>
      </c>
      <c r="AQ301" s="422"/>
      <c r="AR301" s="400" t="str">
        <f ca="1">Área!Y247</f>
        <v/>
      </c>
      <c r="AS301" s="423"/>
      <c r="AT301" s="72"/>
    </row>
    <row r="302" spans="1:46" ht="15" customHeight="1" x14ac:dyDescent="0.25">
      <c r="A302"/>
      <c r="C302" s="397" t="str">
        <f ca="1">Área!C248</f>
        <v/>
      </c>
      <c r="D302" s="398"/>
      <c r="E302" s="398"/>
      <c r="F302" s="398"/>
      <c r="G302" s="396" t="str">
        <f ca="1">Área!F248</f>
        <v/>
      </c>
      <c r="H302" s="396"/>
      <c r="I302" s="398" t="str">
        <f ca="1">Área!G248</f>
        <v/>
      </c>
      <c r="J302" s="398"/>
      <c r="K302" s="396" t="str">
        <f ca="1">Área!H248</f>
        <v/>
      </c>
      <c r="L302" s="396"/>
      <c r="M302" s="396" t="str">
        <f ca="1">Área!I248</f>
        <v/>
      </c>
      <c r="N302" s="396"/>
      <c r="O302" s="396" t="str">
        <f ca="1">Área!J248</f>
        <v/>
      </c>
      <c r="P302" s="396"/>
      <c r="Q302" s="396" t="str">
        <f ca="1">Área!K248</f>
        <v/>
      </c>
      <c r="R302" s="396"/>
      <c r="S302" s="396" t="str">
        <f ca="1">Área!L248</f>
        <v/>
      </c>
      <c r="T302" s="396"/>
      <c r="U302" s="396" t="str">
        <f ca="1">Área!N248</f>
        <v/>
      </c>
      <c r="V302" s="396"/>
      <c r="W302" s="396" t="str">
        <f ca="1">Área!M248</f>
        <v/>
      </c>
      <c r="X302" s="396"/>
      <c r="Y302" s="89" t="str">
        <f ca="1">Área!O248</f>
        <v/>
      </c>
      <c r="Z302" s="399" t="str">
        <f ca="1">Área!P248</f>
        <v/>
      </c>
      <c r="AA302" s="399"/>
      <c r="AB302" s="399"/>
      <c r="AC302" s="399"/>
      <c r="AD302" s="399" t="str">
        <f ca="1">Área!Q248</f>
        <v/>
      </c>
      <c r="AE302" s="399"/>
      <c r="AF302" s="399"/>
      <c r="AG302" s="399"/>
      <c r="AH302" s="400" t="str">
        <f ca="1">Área!R248</f>
        <v/>
      </c>
      <c r="AI302" s="400"/>
      <c r="AJ302" s="400" t="str">
        <f ca="1">Área!S248</f>
        <v/>
      </c>
      <c r="AK302" s="400"/>
      <c r="AL302" s="400" t="str">
        <f ca="1">Área!T248</f>
        <v/>
      </c>
      <c r="AM302" s="400"/>
      <c r="AN302" s="400" t="str">
        <f ca="1">Área!U248</f>
        <v/>
      </c>
      <c r="AO302" s="400"/>
      <c r="AP302" s="422" t="str">
        <f ca="1">IFERROR(Área!Z248,"")</f>
        <v/>
      </c>
      <c r="AQ302" s="422"/>
      <c r="AR302" s="400" t="str">
        <f ca="1">Área!Y248</f>
        <v/>
      </c>
      <c r="AS302" s="423"/>
      <c r="AT302" s="72"/>
    </row>
    <row r="303" spans="1:46" ht="15" customHeight="1" x14ac:dyDescent="0.25">
      <c r="A303"/>
      <c r="C303" s="397" t="str">
        <f ca="1">Área!C249</f>
        <v/>
      </c>
      <c r="D303" s="398"/>
      <c r="E303" s="398"/>
      <c r="F303" s="398"/>
      <c r="G303" s="396" t="str">
        <f ca="1">Área!F249</f>
        <v/>
      </c>
      <c r="H303" s="396"/>
      <c r="I303" s="398" t="str">
        <f ca="1">Área!G249</f>
        <v/>
      </c>
      <c r="J303" s="398"/>
      <c r="K303" s="396" t="str">
        <f ca="1">Área!H249</f>
        <v/>
      </c>
      <c r="L303" s="396"/>
      <c r="M303" s="396" t="str">
        <f ca="1">Área!I249</f>
        <v/>
      </c>
      <c r="N303" s="396"/>
      <c r="O303" s="396" t="str">
        <f ca="1">Área!J249</f>
        <v/>
      </c>
      <c r="P303" s="396"/>
      <c r="Q303" s="396" t="str">
        <f ca="1">Área!K249</f>
        <v/>
      </c>
      <c r="R303" s="396"/>
      <c r="S303" s="396" t="str">
        <f ca="1">Área!L249</f>
        <v/>
      </c>
      <c r="T303" s="396"/>
      <c r="U303" s="396" t="str">
        <f ca="1">Área!N249</f>
        <v/>
      </c>
      <c r="V303" s="396"/>
      <c r="W303" s="396" t="str">
        <f ca="1">Área!M249</f>
        <v/>
      </c>
      <c r="X303" s="396"/>
      <c r="Y303" s="89" t="str">
        <f ca="1">Área!O249</f>
        <v/>
      </c>
      <c r="Z303" s="399" t="str">
        <f ca="1">Área!P249</f>
        <v/>
      </c>
      <c r="AA303" s="399"/>
      <c r="AB303" s="399"/>
      <c r="AC303" s="399"/>
      <c r="AD303" s="399" t="str">
        <f ca="1">Área!Q249</f>
        <v/>
      </c>
      <c r="AE303" s="399"/>
      <c r="AF303" s="399"/>
      <c r="AG303" s="399"/>
      <c r="AH303" s="400" t="str">
        <f ca="1">Área!R249</f>
        <v/>
      </c>
      <c r="AI303" s="400"/>
      <c r="AJ303" s="400" t="str">
        <f ca="1">Área!S249</f>
        <v/>
      </c>
      <c r="AK303" s="400"/>
      <c r="AL303" s="400" t="str">
        <f ca="1">Área!T249</f>
        <v/>
      </c>
      <c r="AM303" s="400"/>
      <c r="AN303" s="400" t="str">
        <f ca="1">Área!U249</f>
        <v/>
      </c>
      <c r="AO303" s="400"/>
      <c r="AP303" s="422" t="str">
        <f ca="1">IFERROR(Área!Z249,"")</f>
        <v/>
      </c>
      <c r="AQ303" s="422"/>
      <c r="AR303" s="400" t="str">
        <f ca="1">Área!Y249</f>
        <v/>
      </c>
      <c r="AS303" s="423"/>
      <c r="AT303" s="72"/>
    </row>
    <row r="304" spans="1:46" ht="15" customHeight="1" x14ac:dyDescent="0.25">
      <c r="A304"/>
      <c r="C304" s="397" t="str">
        <f ca="1">Área!C250</f>
        <v/>
      </c>
      <c r="D304" s="398"/>
      <c r="E304" s="398"/>
      <c r="F304" s="398"/>
      <c r="G304" s="396" t="str">
        <f ca="1">Área!F250</f>
        <v/>
      </c>
      <c r="H304" s="396"/>
      <c r="I304" s="398" t="str">
        <f ca="1">Área!G250</f>
        <v/>
      </c>
      <c r="J304" s="398"/>
      <c r="K304" s="396" t="str">
        <f ca="1">Área!H250</f>
        <v/>
      </c>
      <c r="L304" s="396"/>
      <c r="M304" s="396" t="str">
        <f ca="1">Área!I250</f>
        <v/>
      </c>
      <c r="N304" s="396"/>
      <c r="O304" s="396" t="str">
        <f ca="1">Área!J250</f>
        <v/>
      </c>
      <c r="P304" s="396"/>
      <c r="Q304" s="396" t="str">
        <f ca="1">Área!K250</f>
        <v/>
      </c>
      <c r="R304" s="396"/>
      <c r="S304" s="396" t="str">
        <f ca="1">Área!L250</f>
        <v/>
      </c>
      <c r="T304" s="396"/>
      <c r="U304" s="396" t="str">
        <f ca="1">Área!N250</f>
        <v/>
      </c>
      <c r="V304" s="396"/>
      <c r="W304" s="396" t="str">
        <f ca="1">Área!M250</f>
        <v/>
      </c>
      <c r="X304" s="396"/>
      <c r="Y304" s="89" t="str">
        <f ca="1">Área!O250</f>
        <v/>
      </c>
      <c r="Z304" s="399" t="str">
        <f ca="1">Área!P250</f>
        <v/>
      </c>
      <c r="AA304" s="399"/>
      <c r="AB304" s="399"/>
      <c r="AC304" s="399"/>
      <c r="AD304" s="399" t="str">
        <f ca="1">Área!Q250</f>
        <v/>
      </c>
      <c r="AE304" s="399"/>
      <c r="AF304" s="399"/>
      <c r="AG304" s="399"/>
      <c r="AH304" s="400" t="str">
        <f ca="1">Área!R250</f>
        <v/>
      </c>
      <c r="AI304" s="400"/>
      <c r="AJ304" s="400" t="str">
        <f ca="1">Área!S250</f>
        <v/>
      </c>
      <c r="AK304" s="400"/>
      <c r="AL304" s="400" t="str">
        <f ca="1">Área!T250</f>
        <v/>
      </c>
      <c r="AM304" s="400"/>
      <c r="AN304" s="400" t="str">
        <f ca="1">Área!U250</f>
        <v/>
      </c>
      <c r="AO304" s="400"/>
      <c r="AP304" s="422" t="str">
        <f ca="1">IFERROR(Área!Z250,"")</f>
        <v/>
      </c>
      <c r="AQ304" s="422"/>
      <c r="AR304" s="400" t="str">
        <f ca="1">Área!Y250</f>
        <v/>
      </c>
      <c r="AS304" s="423"/>
      <c r="AT304" s="72"/>
    </row>
    <row r="305" spans="1:46" ht="15" customHeight="1" x14ac:dyDescent="0.25">
      <c r="A305"/>
      <c r="C305" s="397" t="str">
        <f ca="1">Área!C251</f>
        <v/>
      </c>
      <c r="D305" s="398"/>
      <c r="E305" s="398"/>
      <c r="F305" s="398"/>
      <c r="G305" s="396" t="str">
        <f ca="1">Área!F251</f>
        <v/>
      </c>
      <c r="H305" s="396"/>
      <c r="I305" s="398" t="str">
        <f ca="1">Área!G251</f>
        <v/>
      </c>
      <c r="J305" s="398"/>
      <c r="K305" s="396" t="str">
        <f ca="1">Área!H251</f>
        <v/>
      </c>
      <c r="L305" s="396"/>
      <c r="M305" s="396" t="str">
        <f ca="1">Área!I251</f>
        <v/>
      </c>
      <c r="N305" s="396"/>
      <c r="O305" s="396" t="str">
        <f ca="1">Área!J251</f>
        <v/>
      </c>
      <c r="P305" s="396"/>
      <c r="Q305" s="396" t="str">
        <f ca="1">Área!K251</f>
        <v/>
      </c>
      <c r="R305" s="396"/>
      <c r="S305" s="396" t="str">
        <f ca="1">Área!L251</f>
        <v/>
      </c>
      <c r="T305" s="396"/>
      <c r="U305" s="396" t="str">
        <f ca="1">Área!N251</f>
        <v/>
      </c>
      <c r="V305" s="396"/>
      <c r="W305" s="396" t="str">
        <f ca="1">Área!M251</f>
        <v/>
      </c>
      <c r="X305" s="396"/>
      <c r="Y305" s="89" t="str">
        <f ca="1">Área!O251</f>
        <v/>
      </c>
      <c r="Z305" s="399" t="str">
        <f ca="1">Área!P251</f>
        <v/>
      </c>
      <c r="AA305" s="399"/>
      <c r="AB305" s="399"/>
      <c r="AC305" s="399"/>
      <c r="AD305" s="399" t="str">
        <f ca="1">Área!Q251</f>
        <v/>
      </c>
      <c r="AE305" s="399"/>
      <c r="AF305" s="399"/>
      <c r="AG305" s="399"/>
      <c r="AH305" s="400" t="str">
        <f ca="1">Área!R251</f>
        <v/>
      </c>
      <c r="AI305" s="400"/>
      <c r="AJ305" s="400" t="str">
        <f ca="1">Área!S251</f>
        <v/>
      </c>
      <c r="AK305" s="400"/>
      <c r="AL305" s="400" t="str">
        <f ca="1">Área!T251</f>
        <v/>
      </c>
      <c r="AM305" s="400"/>
      <c r="AN305" s="400" t="str">
        <f ca="1">Área!U251</f>
        <v/>
      </c>
      <c r="AO305" s="400"/>
      <c r="AP305" s="422" t="str">
        <f ca="1">IFERROR(Área!Z251,"")</f>
        <v/>
      </c>
      <c r="AQ305" s="422"/>
      <c r="AR305" s="400" t="str">
        <f ca="1">Área!Y251</f>
        <v/>
      </c>
      <c r="AS305" s="423"/>
      <c r="AT305" s="72"/>
    </row>
    <row r="306" spans="1:46" ht="15" customHeight="1" x14ac:dyDescent="0.25">
      <c r="A306"/>
      <c r="C306" s="397" t="str">
        <f ca="1">Área!C252</f>
        <v/>
      </c>
      <c r="D306" s="398"/>
      <c r="E306" s="398"/>
      <c r="F306" s="398"/>
      <c r="G306" s="396" t="str">
        <f ca="1">Área!F252</f>
        <v/>
      </c>
      <c r="H306" s="396"/>
      <c r="I306" s="398" t="str">
        <f ca="1">Área!G252</f>
        <v/>
      </c>
      <c r="J306" s="398"/>
      <c r="K306" s="396" t="str">
        <f ca="1">Área!H252</f>
        <v/>
      </c>
      <c r="L306" s="396"/>
      <c r="M306" s="396" t="str">
        <f ca="1">Área!I252</f>
        <v/>
      </c>
      <c r="N306" s="396"/>
      <c r="O306" s="396" t="str">
        <f ca="1">Área!J252</f>
        <v/>
      </c>
      <c r="P306" s="396"/>
      <c r="Q306" s="396" t="str">
        <f ca="1">Área!K252</f>
        <v/>
      </c>
      <c r="R306" s="396"/>
      <c r="S306" s="396" t="str">
        <f ca="1">Área!L252</f>
        <v/>
      </c>
      <c r="T306" s="396"/>
      <c r="U306" s="396" t="str">
        <f ca="1">Área!N252</f>
        <v/>
      </c>
      <c r="V306" s="396"/>
      <c r="W306" s="396" t="str">
        <f ca="1">Área!M252</f>
        <v/>
      </c>
      <c r="X306" s="396"/>
      <c r="Y306" s="89" t="str">
        <f ca="1">Área!O252</f>
        <v/>
      </c>
      <c r="Z306" s="399" t="str">
        <f ca="1">Área!P252</f>
        <v/>
      </c>
      <c r="AA306" s="399"/>
      <c r="AB306" s="399"/>
      <c r="AC306" s="399"/>
      <c r="AD306" s="399" t="str">
        <f ca="1">Área!Q252</f>
        <v/>
      </c>
      <c r="AE306" s="399"/>
      <c r="AF306" s="399"/>
      <c r="AG306" s="399"/>
      <c r="AH306" s="400" t="str">
        <f ca="1">Área!R252</f>
        <v/>
      </c>
      <c r="AI306" s="400"/>
      <c r="AJ306" s="400" t="str">
        <f ca="1">Área!S252</f>
        <v/>
      </c>
      <c r="AK306" s="400"/>
      <c r="AL306" s="400" t="str">
        <f ca="1">Área!T252</f>
        <v/>
      </c>
      <c r="AM306" s="400"/>
      <c r="AN306" s="400" t="str">
        <f ca="1">Área!U252</f>
        <v/>
      </c>
      <c r="AO306" s="400"/>
      <c r="AP306" s="422" t="str">
        <f ca="1">IFERROR(Área!Z252,"")</f>
        <v/>
      </c>
      <c r="AQ306" s="422"/>
      <c r="AR306" s="400" t="str">
        <f ca="1">Área!Y252</f>
        <v/>
      </c>
      <c r="AS306" s="423"/>
      <c r="AT306" s="72"/>
    </row>
    <row r="307" spans="1:46" ht="15" customHeight="1" x14ac:dyDescent="0.25">
      <c r="A307"/>
      <c r="C307" s="397" t="str">
        <f ca="1">Área!C253</f>
        <v/>
      </c>
      <c r="D307" s="398"/>
      <c r="E307" s="398"/>
      <c r="F307" s="398"/>
      <c r="G307" s="396" t="str">
        <f ca="1">Área!F253</f>
        <v/>
      </c>
      <c r="H307" s="396"/>
      <c r="I307" s="398" t="str">
        <f ca="1">Área!G253</f>
        <v/>
      </c>
      <c r="J307" s="398"/>
      <c r="K307" s="396" t="str">
        <f ca="1">Área!H253</f>
        <v/>
      </c>
      <c r="L307" s="396"/>
      <c r="M307" s="396" t="str">
        <f ca="1">Área!I253</f>
        <v/>
      </c>
      <c r="N307" s="396"/>
      <c r="O307" s="396" t="str">
        <f ca="1">Área!J253</f>
        <v/>
      </c>
      <c r="P307" s="396"/>
      <c r="Q307" s="396" t="str">
        <f ca="1">Área!K253</f>
        <v/>
      </c>
      <c r="R307" s="396"/>
      <c r="S307" s="396" t="str">
        <f ca="1">Área!L253</f>
        <v/>
      </c>
      <c r="T307" s="396"/>
      <c r="U307" s="396" t="str">
        <f ca="1">Área!N253</f>
        <v/>
      </c>
      <c r="V307" s="396"/>
      <c r="W307" s="396" t="str">
        <f ca="1">Área!M253</f>
        <v/>
      </c>
      <c r="X307" s="396"/>
      <c r="Y307" s="89" t="str">
        <f ca="1">Área!O253</f>
        <v/>
      </c>
      <c r="Z307" s="399" t="str">
        <f ca="1">Área!P253</f>
        <v/>
      </c>
      <c r="AA307" s="399"/>
      <c r="AB307" s="399"/>
      <c r="AC307" s="399"/>
      <c r="AD307" s="399" t="str">
        <f ca="1">Área!Q253</f>
        <v/>
      </c>
      <c r="AE307" s="399"/>
      <c r="AF307" s="399"/>
      <c r="AG307" s="399"/>
      <c r="AH307" s="400" t="str">
        <f ca="1">Área!R253</f>
        <v/>
      </c>
      <c r="AI307" s="400"/>
      <c r="AJ307" s="400" t="str">
        <f ca="1">Área!S253</f>
        <v/>
      </c>
      <c r="AK307" s="400"/>
      <c r="AL307" s="400" t="str">
        <f ca="1">Área!T253</f>
        <v/>
      </c>
      <c r="AM307" s="400"/>
      <c r="AN307" s="400" t="str">
        <f ca="1">Área!U253</f>
        <v/>
      </c>
      <c r="AO307" s="400"/>
      <c r="AP307" s="422" t="str">
        <f ca="1">IFERROR(Área!Z253,"")</f>
        <v/>
      </c>
      <c r="AQ307" s="422"/>
      <c r="AR307" s="400" t="str">
        <f ca="1">Área!Y253</f>
        <v/>
      </c>
      <c r="AS307" s="423"/>
      <c r="AT307" s="72"/>
    </row>
    <row r="308" spans="1:46" ht="15" customHeight="1" x14ac:dyDescent="0.25">
      <c r="A308"/>
      <c r="C308" s="397" t="str">
        <f ca="1">Área!C254</f>
        <v/>
      </c>
      <c r="D308" s="398"/>
      <c r="E308" s="398"/>
      <c r="F308" s="398"/>
      <c r="G308" s="396" t="str">
        <f ca="1">Área!F254</f>
        <v/>
      </c>
      <c r="H308" s="396"/>
      <c r="I308" s="398" t="str">
        <f ca="1">Área!G254</f>
        <v/>
      </c>
      <c r="J308" s="398"/>
      <c r="K308" s="396" t="str">
        <f ca="1">Área!H254</f>
        <v/>
      </c>
      <c r="L308" s="396"/>
      <c r="M308" s="396" t="str">
        <f ca="1">Área!I254</f>
        <v/>
      </c>
      <c r="N308" s="396"/>
      <c r="O308" s="396" t="str">
        <f ca="1">Área!J254</f>
        <v/>
      </c>
      <c r="P308" s="396"/>
      <c r="Q308" s="396" t="str">
        <f ca="1">Área!K254</f>
        <v/>
      </c>
      <c r="R308" s="396"/>
      <c r="S308" s="396" t="str">
        <f ca="1">Área!L254</f>
        <v/>
      </c>
      <c r="T308" s="396"/>
      <c r="U308" s="396" t="str">
        <f ca="1">Área!N254</f>
        <v/>
      </c>
      <c r="V308" s="396"/>
      <c r="W308" s="396" t="str">
        <f ca="1">Área!M254</f>
        <v/>
      </c>
      <c r="X308" s="396"/>
      <c r="Y308" s="89" t="str">
        <f ca="1">Área!O254</f>
        <v/>
      </c>
      <c r="Z308" s="399" t="str">
        <f ca="1">Área!P254</f>
        <v/>
      </c>
      <c r="AA308" s="399"/>
      <c r="AB308" s="399"/>
      <c r="AC308" s="399"/>
      <c r="AD308" s="399" t="str">
        <f ca="1">Área!Q254</f>
        <v/>
      </c>
      <c r="AE308" s="399"/>
      <c r="AF308" s="399"/>
      <c r="AG308" s="399"/>
      <c r="AH308" s="400" t="str">
        <f ca="1">Área!R254</f>
        <v/>
      </c>
      <c r="AI308" s="400"/>
      <c r="AJ308" s="400" t="str">
        <f ca="1">Área!S254</f>
        <v/>
      </c>
      <c r="AK308" s="400"/>
      <c r="AL308" s="400" t="str">
        <f ca="1">Área!T254</f>
        <v/>
      </c>
      <c r="AM308" s="400"/>
      <c r="AN308" s="400" t="str">
        <f ca="1">Área!U254</f>
        <v/>
      </c>
      <c r="AO308" s="400"/>
      <c r="AP308" s="422" t="str">
        <f ca="1">IFERROR(Área!Z254,"")</f>
        <v/>
      </c>
      <c r="AQ308" s="422"/>
      <c r="AR308" s="400" t="str">
        <f ca="1">Área!Y254</f>
        <v/>
      </c>
      <c r="AS308" s="423"/>
      <c r="AT308" s="72"/>
    </row>
    <row r="309" spans="1:46" ht="15" customHeight="1" x14ac:dyDescent="0.25">
      <c r="A309"/>
      <c r="C309" s="397" t="str">
        <f ca="1">Área!C255</f>
        <v/>
      </c>
      <c r="D309" s="398"/>
      <c r="E309" s="398"/>
      <c r="F309" s="398"/>
      <c r="G309" s="396" t="str">
        <f ca="1">Área!F255</f>
        <v/>
      </c>
      <c r="H309" s="396"/>
      <c r="I309" s="398" t="str">
        <f ca="1">Área!G255</f>
        <v/>
      </c>
      <c r="J309" s="398"/>
      <c r="K309" s="396" t="str">
        <f ca="1">Área!H255</f>
        <v/>
      </c>
      <c r="L309" s="396"/>
      <c r="M309" s="396" t="str">
        <f ca="1">Área!I255</f>
        <v/>
      </c>
      <c r="N309" s="396"/>
      <c r="O309" s="396" t="str">
        <f ca="1">Área!J255</f>
        <v/>
      </c>
      <c r="P309" s="396"/>
      <c r="Q309" s="396" t="str">
        <f ca="1">Área!K255</f>
        <v/>
      </c>
      <c r="R309" s="396"/>
      <c r="S309" s="396" t="str">
        <f ca="1">Área!L255</f>
        <v/>
      </c>
      <c r="T309" s="396"/>
      <c r="U309" s="396" t="str">
        <f ca="1">Área!N255</f>
        <v/>
      </c>
      <c r="V309" s="396"/>
      <c r="W309" s="396" t="str">
        <f ca="1">Área!M255</f>
        <v/>
      </c>
      <c r="X309" s="396"/>
      <c r="Y309" s="89" t="str">
        <f ca="1">Área!O255</f>
        <v/>
      </c>
      <c r="Z309" s="399" t="str">
        <f ca="1">Área!P255</f>
        <v/>
      </c>
      <c r="AA309" s="399"/>
      <c r="AB309" s="399"/>
      <c r="AC309" s="399"/>
      <c r="AD309" s="399" t="str">
        <f ca="1">Área!Q255</f>
        <v/>
      </c>
      <c r="AE309" s="399"/>
      <c r="AF309" s="399"/>
      <c r="AG309" s="399"/>
      <c r="AH309" s="400" t="str">
        <f ca="1">Área!R255</f>
        <v/>
      </c>
      <c r="AI309" s="400"/>
      <c r="AJ309" s="400" t="str">
        <f ca="1">Área!S255</f>
        <v/>
      </c>
      <c r="AK309" s="400"/>
      <c r="AL309" s="400" t="str">
        <f ca="1">Área!T255</f>
        <v/>
      </c>
      <c r="AM309" s="400"/>
      <c r="AN309" s="400" t="str">
        <f ca="1">Área!U255</f>
        <v/>
      </c>
      <c r="AO309" s="400"/>
      <c r="AP309" s="422" t="str">
        <f ca="1">IFERROR(Área!Z255,"")</f>
        <v/>
      </c>
      <c r="AQ309" s="422"/>
      <c r="AR309" s="400" t="str">
        <f ca="1">Área!Y255</f>
        <v/>
      </c>
      <c r="AS309" s="423"/>
      <c r="AT309" s="72"/>
    </row>
    <row r="310" spans="1:46" ht="15" customHeight="1" x14ac:dyDescent="0.25">
      <c r="A310"/>
      <c r="C310" s="397" t="str">
        <f ca="1">Área!C256</f>
        <v/>
      </c>
      <c r="D310" s="398"/>
      <c r="E310" s="398"/>
      <c r="F310" s="398"/>
      <c r="G310" s="396" t="str">
        <f ca="1">Área!F256</f>
        <v/>
      </c>
      <c r="H310" s="396"/>
      <c r="I310" s="398" t="str">
        <f ca="1">Área!G256</f>
        <v/>
      </c>
      <c r="J310" s="398"/>
      <c r="K310" s="396" t="str">
        <f ca="1">Área!H256</f>
        <v/>
      </c>
      <c r="L310" s="396"/>
      <c r="M310" s="396" t="str">
        <f ca="1">Área!I256</f>
        <v/>
      </c>
      <c r="N310" s="396"/>
      <c r="O310" s="396" t="str">
        <f ca="1">Área!J256</f>
        <v/>
      </c>
      <c r="P310" s="396"/>
      <c r="Q310" s="396" t="str">
        <f ca="1">Área!K256</f>
        <v/>
      </c>
      <c r="R310" s="396"/>
      <c r="S310" s="396" t="str">
        <f ca="1">Área!L256</f>
        <v/>
      </c>
      <c r="T310" s="396"/>
      <c r="U310" s="396" t="str">
        <f ca="1">Área!N256</f>
        <v/>
      </c>
      <c r="V310" s="396"/>
      <c r="W310" s="396" t="str">
        <f ca="1">Área!M256</f>
        <v/>
      </c>
      <c r="X310" s="396"/>
      <c r="Y310" s="89" t="str">
        <f ca="1">Área!O256</f>
        <v/>
      </c>
      <c r="Z310" s="399" t="str">
        <f ca="1">Área!P256</f>
        <v/>
      </c>
      <c r="AA310" s="399"/>
      <c r="AB310" s="399"/>
      <c r="AC310" s="399"/>
      <c r="AD310" s="399" t="str">
        <f ca="1">Área!Q256</f>
        <v/>
      </c>
      <c r="AE310" s="399"/>
      <c r="AF310" s="399"/>
      <c r="AG310" s="399"/>
      <c r="AH310" s="400" t="str">
        <f ca="1">Área!R256</f>
        <v/>
      </c>
      <c r="AI310" s="400"/>
      <c r="AJ310" s="400" t="str">
        <f ca="1">Área!S256</f>
        <v/>
      </c>
      <c r="AK310" s="400"/>
      <c r="AL310" s="400" t="str">
        <f ca="1">Área!T256</f>
        <v/>
      </c>
      <c r="AM310" s="400"/>
      <c r="AN310" s="400" t="str">
        <f ca="1">Área!U256</f>
        <v/>
      </c>
      <c r="AO310" s="400"/>
      <c r="AP310" s="422" t="str">
        <f ca="1">IFERROR(Área!Z256,"")</f>
        <v/>
      </c>
      <c r="AQ310" s="422"/>
      <c r="AR310" s="400" t="str">
        <f ca="1">Área!Y256</f>
        <v/>
      </c>
      <c r="AS310" s="423"/>
      <c r="AT310" s="72"/>
    </row>
    <row r="311" spans="1:46" ht="15" customHeight="1" x14ac:dyDescent="0.25">
      <c r="A311"/>
      <c r="C311" s="397" t="str">
        <f ca="1">Área!C257</f>
        <v/>
      </c>
      <c r="D311" s="398"/>
      <c r="E311" s="398"/>
      <c r="F311" s="398"/>
      <c r="G311" s="396" t="str">
        <f ca="1">Área!F257</f>
        <v/>
      </c>
      <c r="H311" s="396"/>
      <c r="I311" s="398" t="str">
        <f ca="1">Área!G257</f>
        <v/>
      </c>
      <c r="J311" s="398"/>
      <c r="K311" s="396" t="str">
        <f ca="1">Área!H257</f>
        <v/>
      </c>
      <c r="L311" s="396"/>
      <c r="M311" s="396" t="str">
        <f ca="1">Área!I257</f>
        <v/>
      </c>
      <c r="N311" s="396"/>
      <c r="O311" s="396" t="str">
        <f ca="1">Área!J257</f>
        <v/>
      </c>
      <c r="P311" s="396"/>
      <c r="Q311" s="396" t="str">
        <f ca="1">Área!K257</f>
        <v/>
      </c>
      <c r="R311" s="396"/>
      <c r="S311" s="396" t="str">
        <f ca="1">Área!L257</f>
        <v/>
      </c>
      <c r="T311" s="396"/>
      <c r="U311" s="396" t="str">
        <f ca="1">Área!N257</f>
        <v/>
      </c>
      <c r="V311" s="396"/>
      <c r="W311" s="396" t="str">
        <f ca="1">Área!M257</f>
        <v/>
      </c>
      <c r="X311" s="396"/>
      <c r="Y311" s="89" t="str">
        <f ca="1">Área!O257</f>
        <v/>
      </c>
      <c r="Z311" s="399" t="str">
        <f ca="1">Área!P257</f>
        <v/>
      </c>
      <c r="AA311" s="399"/>
      <c r="AB311" s="399"/>
      <c r="AC311" s="399"/>
      <c r="AD311" s="399" t="str">
        <f ca="1">Área!Q257</f>
        <v/>
      </c>
      <c r="AE311" s="399"/>
      <c r="AF311" s="399"/>
      <c r="AG311" s="399"/>
      <c r="AH311" s="400" t="str">
        <f ca="1">Área!R257</f>
        <v/>
      </c>
      <c r="AI311" s="400"/>
      <c r="AJ311" s="400" t="str">
        <f ca="1">Área!S257</f>
        <v/>
      </c>
      <c r="AK311" s="400"/>
      <c r="AL311" s="400" t="str">
        <f ca="1">Área!T257</f>
        <v/>
      </c>
      <c r="AM311" s="400"/>
      <c r="AN311" s="400" t="str">
        <f ca="1">Área!U257</f>
        <v/>
      </c>
      <c r="AO311" s="400"/>
      <c r="AP311" s="422" t="str">
        <f ca="1">IFERROR(Área!Z257,"")</f>
        <v/>
      </c>
      <c r="AQ311" s="422"/>
      <c r="AR311" s="400" t="str">
        <f ca="1">Área!Y257</f>
        <v/>
      </c>
      <c r="AS311" s="423"/>
      <c r="AT311" s="72"/>
    </row>
    <row r="312" spans="1:46" ht="15" customHeight="1" x14ac:dyDescent="0.25">
      <c r="A312"/>
      <c r="C312" s="397" t="str">
        <f ca="1">Área!C258</f>
        <v/>
      </c>
      <c r="D312" s="398"/>
      <c r="E312" s="398"/>
      <c r="F312" s="398"/>
      <c r="G312" s="396" t="str">
        <f ca="1">Área!F258</f>
        <v/>
      </c>
      <c r="H312" s="396"/>
      <c r="I312" s="398" t="str">
        <f ca="1">Área!G258</f>
        <v/>
      </c>
      <c r="J312" s="398"/>
      <c r="K312" s="396" t="str">
        <f ca="1">Área!H258</f>
        <v/>
      </c>
      <c r="L312" s="396"/>
      <c r="M312" s="396" t="str">
        <f ca="1">Área!I258</f>
        <v/>
      </c>
      <c r="N312" s="396"/>
      <c r="O312" s="396" t="str">
        <f ca="1">Área!J258</f>
        <v/>
      </c>
      <c r="P312" s="396"/>
      <c r="Q312" s="396" t="str">
        <f ca="1">Área!K258</f>
        <v/>
      </c>
      <c r="R312" s="396"/>
      <c r="S312" s="396" t="str">
        <f ca="1">Área!L258</f>
        <v/>
      </c>
      <c r="T312" s="396"/>
      <c r="U312" s="396" t="str">
        <f ca="1">Área!N258</f>
        <v/>
      </c>
      <c r="V312" s="396"/>
      <c r="W312" s="396" t="str">
        <f ca="1">Área!M258</f>
        <v/>
      </c>
      <c r="X312" s="396"/>
      <c r="Y312" s="89" t="str">
        <f ca="1">Área!O258</f>
        <v/>
      </c>
      <c r="Z312" s="399" t="str">
        <f ca="1">Área!P258</f>
        <v/>
      </c>
      <c r="AA312" s="399"/>
      <c r="AB312" s="399"/>
      <c r="AC312" s="399"/>
      <c r="AD312" s="399" t="str">
        <f ca="1">Área!Q258</f>
        <v/>
      </c>
      <c r="AE312" s="399"/>
      <c r="AF312" s="399"/>
      <c r="AG312" s="399"/>
      <c r="AH312" s="400" t="str">
        <f ca="1">Área!R258</f>
        <v/>
      </c>
      <c r="AI312" s="400"/>
      <c r="AJ312" s="400" t="str">
        <f ca="1">Área!S258</f>
        <v/>
      </c>
      <c r="AK312" s="400"/>
      <c r="AL312" s="400" t="str">
        <f ca="1">Área!T258</f>
        <v/>
      </c>
      <c r="AM312" s="400"/>
      <c r="AN312" s="400" t="str">
        <f ca="1">Área!U258</f>
        <v/>
      </c>
      <c r="AO312" s="400"/>
      <c r="AP312" s="422" t="str">
        <f ca="1">IFERROR(Área!Z258,"")</f>
        <v/>
      </c>
      <c r="AQ312" s="422"/>
      <c r="AR312" s="400" t="str">
        <f ca="1">Área!Y258</f>
        <v/>
      </c>
      <c r="AS312" s="423"/>
      <c r="AT312" s="72"/>
    </row>
    <row r="313" spans="1:46" ht="15" customHeight="1" x14ac:dyDescent="0.25">
      <c r="A313"/>
      <c r="C313" s="397" t="str">
        <f ca="1">Área!C259</f>
        <v/>
      </c>
      <c r="D313" s="398"/>
      <c r="E313" s="398"/>
      <c r="F313" s="398"/>
      <c r="G313" s="396" t="str">
        <f ca="1">Área!F259</f>
        <v/>
      </c>
      <c r="H313" s="396"/>
      <c r="I313" s="398" t="str">
        <f ca="1">Área!G259</f>
        <v/>
      </c>
      <c r="J313" s="398"/>
      <c r="K313" s="396" t="str">
        <f ca="1">Área!H259</f>
        <v/>
      </c>
      <c r="L313" s="396"/>
      <c r="M313" s="396" t="str">
        <f ca="1">Área!I259</f>
        <v/>
      </c>
      <c r="N313" s="396"/>
      <c r="O313" s="396" t="str">
        <f ca="1">Área!J259</f>
        <v/>
      </c>
      <c r="P313" s="396"/>
      <c r="Q313" s="396" t="str">
        <f ca="1">Área!K259</f>
        <v/>
      </c>
      <c r="R313" s="396"/>
      <c r="S313" s="396" t="str">
        <f ca="1">Área!L259</f>
        <v/>
      </c>
      <c r="T313" s="396"/>
      <c r="U313" s="396" t="str">
        <f ca="1">Área!N259</f>
        <v/>
      </c>
      <c r="V313" s="396"/>
      <c r="W313" s="396" t="str">
        <f ca="1">Área!M259</f>
        <v/>
      </c>
      <c r="X313" s="396"/>
      <c r="Y313" s="89" t="str">
        <f ca="1">Área!O259</f>
        <v/>
      </c>
      <c r="Z313" s="399" t="str">
        <f ca="1">Área!P259</f>
        <v/>
      </c>
      <c r="AA313" s="399"/>
      <c r="AB313" s="399"/>
      <c r="AC313" s="399"/>
      <c r="AD313" s="399" t="str">
        <f ca="1">Área!Q259</f>
        <v/>
      </c>
      <c r="AE313" s="399"/>
      <c r="AF313" s="399"/>
      <c r="AG313" s="399"/>
      <c r="AH313" s="400" t="str">
        <f ca="1">Área!R259</f>
        <v/>
      </c>
      <c r="AI313" s="400"/>
      <c r="AJ313" s="400" t="str">
        <f ca="1">Área!S259</f>
        <v/>
      </c>
      <c r="AK313" s="400"/>
      <c r="AL313" s="400" t="str">
        <f ca="1">Área!T259</f>
        <v/>
      </c>
      <c r="AM313" s="400"/>
      <c r="AN313" s="400" t="str">
        <f ca="1">Área!U259</f>
        <v/>
      </c>
      <c r="AO313" s="400"/>
      <c r="AP313" s="422" t="str">
        <f ca="1">IFERROR(Área!Z259,"")</f>
        <v/>
      </c>
      <c r="AQ313" s="422"/>
      <c r="AR313" s="400" t="str">
        <f ca="1">Área!Y259</f>
        <v/>
      </c>
      <c r="AS313" s="423"/>
      <c r="AT313" s="72"/>
    </row>
    <row r="314" spans="1:46" ht="15" customHeight="1" x14ac:dyDescent="0.25">
      <c r="A314"/>
      <c r="C314" s="397" t="str">
        <f ca="1">Área!C260</f>
        <v/>
      </c>
      <c r="D314" s="398"/>
      <c r="E314" s="398"/>
      <c r="F314" s="398"/>
      <c r="G314" s="396" t="str">
        <f ca="1">Área!F260</f>
        <v/>
      </c>
      <c r="H314" s="396"/>
      <c r="I314" s="398" t="str">
        <f ca="1">Área!G260</f>
        <v/>
      </c>
      <c r="J314" s="398"/>
      <c r="K314" s="396" t="str">
        <f ca="1">Área!H260</f>
        <v/>
      </c>
      <c r="L314" s="396"/>
      <c r="M314" s="396" t="str">
        <f ca="1">Área!I260</f>
        <v/>
      </c>
      <c r="N314" s="396"/>
      <c r="O314" s="396" t="str">
        <f ca="1">Área!J260</f>
        <v/>
      </c>
      <c r="P314" s="396"/>
      <c r="Q314" s="396" t="str">
        <f ca="1">Área!K260</f>
        <v/>
      </c>
      <c r="R314" s="396"/>
      <c r="S314" s="396" t="str">
        <f ca="1">Área!L260</f>
        <v/>
      </c>
      <c r="T314" s="396"/>
      <c r="U314" s="396" t="str">
        <f ca="1">Área!N260</f>
        <v/>
      </c>
      <c r="V314" s="396"/>
      <c r="W314" s="396" t="str">
        <f ca="1">Área!M260</f>
        <v/>
      </c>
      <c r="X314" s="396"/>
      <c r="Y314" s="89" t="str">
        <f ca="1">Área!O260</f>
        <v/>
      </c>
      <c r="Z314" s="399" t="str">
        <f ca="1">Área!P260</f>
        <v/>
      </c>
      <c r="AA314" s="399"/>
      <c r="AB314" s="399"/>
      <c r="AC314" s="399"/>
      <c r="AD314" s="399" t="str">
        <f ca="1">Área!Q260</f>
        <v/>
      </c>
      <c r="AE314" s="399"/>
      <c r="AF314" s="399"/>
      <c r="AG314" s="399"/>
      <c r="AH314" s="400" t="str">
        <f ca="1">Área!R260</f>
        <v/>
      </c>
      <c r="AI314" s="400"/>
      <c r="AJ314" s="400" t="str">
        <f ca="1">Área!S260</f>
        <v/>
      </c>
      <c r="AK314" s="400"/>
      <c r="AL314" s="400" t="str">
        <f ca="1">Área!T260</f>
        <v/>
      </c>
      <c r="AM314" s="400"/>
      <c r="AN314" s="400" t="str">
        <f ca="1">Área!U260</f>
        <v/>
      </c>
      <c r="AO314" s="400"/>
      <c r="AP314" s="422" t="str">
        <f ca="1">IFERROR(Área!Z260,"")</f>
        <v/>
      </c>
      <c r="AQ314" s="422"/>
      <c r="AR314" s="400" t="str">
        <f ca="1">Área!Y260</f>
        <v/>
      </c>
      <c r="AS314" s="423"/>
      <c r="AT314" s="72"/>
    </row>
    <row r="315" spans="1:46" ht="15" customHeight="1" x14ac:dyDescent="0.25">
      <c r="A315"/>
      <c r="C315" s="397" t="str">
        <f ca="1">Área!C261</f>
        <v/>
      </c>
      <c r="D315" s="398"/>
      <c r="E315" s="398"/>
      <c r="F315" s="398"/>
      <c r="G315" s="396" t="str">
        <f ca="1">Área!F261</f>
        <v/>
      </c>
      <c r="H315" s="396"/>
      <c r="I315" s="398" t="str">
        <f ca="1">Área!G261</f>
        <v/>
      </c>
      <c r="J315" s="398"/>
      <c r="K315" s="396" t="str">
        <f ca="1">Área!H261</f>
        <v/>
      </c>
      <c r="L315" s="396"/>
      <c r="M315" s="396" t="str">
        <f ca="1">Área!I261</f>
        <v/>
      </c>
      <c r="N315" s="396"/>
      <c r="O315" s="396" t="str">
        <f ca="1">Área!J261</f>
        <v/>
      </c>
      <c r="P315" s="396"/>
      <c r="Q315" s="396" t="str">
        <f ca="1">Área!K261</f>
        <v/>
      </c>
      <c r="R315" s="396"/>
      <c r="S315" s="396" t="str">
        <f ca="1">Área!L261</f>
        <v/>
      </c>
      <c r="T315" s="396"/>
      <c r="U315" s="396" t="str">
        <f ca="1">Área!N261</f>
        <v/>
      </c>
      <c r="V315" s="396"/>
      <c r="W315" s="396" t="str">
        <f ca="1">Área!M261</f>
        <v/>
      </c>
      <c r="X315" s="396"/>
      <c r="Y315" s="89" t="str">
        <f ca="1">Área!O261</f>
        <v/>
      </c>
      <c r="Z315" s="399" t="str">
        <f ca="1">Área!P261</f>
        <v/>
      </c>
      <c r="AA315" s="399"/>
      <c r="AB315" s="399"/>
      <c r="AC315" s="399"/>
      <c r="AD315" s="399" t="str">
        <f ca="1">Área!Q261</f>
        <v/>
      </c>
      <c r="AE315" s="399"/>
      <c r="AF315" s="399"/>
      <c r="AG315" s="399"/>
      <c r="AH315" s="400" t="str">
        <f ca="1">Área!R261</f>
        <v/>
      </c>
      <c r="AI315" s="400"/>
      <c r="AJ315" s="400" t="str">
        <f ca="1">Área!S261</f>
        <v/>
      </c>
      <c r="AK315" s="400"/>
      <c r="AL315" s="400" t="str">
        <f ca="1">Área!T261</f>
        <v/>
      </c>
      <c r="AM315" s="400"/>
      <c r="AN315" s="400" t="str">
        <f ca="1">Área!U261</f>
        <v/>
      </c>
      <c r="AO315" s="400"/>
      <c r="AP315" s="422" t="str">
        <f ca="1">IFERROR(Área!Z261,"")</f>
        <v/>
      </c>
      <c r="AQ315" s="422"/>
      <c r="AR315" s="400" t="str">
        <f ca="1">Área!Y261</f>
        <v/>
      </c>
      <c r="AS315" s="423"/>
      <c r="AT315" s="72"/>
    </row>
    <row r="316" spans="1:46" ht="15" customHeight="1" x14ac:dyDescent="0.25">
      <c r="A316"/>
      <c r="C316" s="397" t="str">
        <f ca="1">Área!C262</f>
        <v/>
      </c>
      <c r="D316" s="398"/>
      <c r="E316" s="398"/>
      <c r="F316" s="398"/>
      <c r="G316" s="396" t="str">
        <f ca="1">Área!F262</f>
        <v/>
      </c>
      <c r="H316" s="396"/>
      <c r="I316" s="398" t="str">
        <f ca="1">Área!G262</f>
        <v/>
      </c>
      <c r="J316" s="398"/>
      <c r="K316" s="396" t="str">
        <f ca="1">Área!H262</f>
        <v/>
      </c>
      <c r="L316" s="396"/>
      <c r="M316" s="396" t="str">
        <f ca="1">Área!I262</f>
        <v/>
      </c>
      <c r="N316" s="396"/>
      <c r="O316" s="396" t="str">
        <f ca="1">Área!J262</f>
        <v/>
      </c>
      <c r="P316" s="396"/>
      <c r="Q316" s="396" t="str">
        <f ca="1">Área!K262</f>
        <v/>
      </c>
      <c r="R316" s="396"/>
      <c r="S316" s="396" t="str">
        <f ca="1">Área!L262</f>
        <v/>
      </c>
      <c r="T316" s="396"/>
      <c r="U316" s="396" t="str">
        <f ca="1">Área!N262</f>
        <v/>
      </c>
      <c r="V316" s="396"/>
      <c r="W316" s="396" t="str">
        <f ca="1">Área!M262</f>
        <v/>
      </c>
      <c r="X316" s="396"/>
      <c r="Y316" s="89" t="str">
        <f ca="1">Área!O262</f>
        <v/>
      </c>
      <c r="Z316" s="399" t="str">
        <f ca="1">Área!P262</f>
        <v/>
      </c>
      <c r="AA316" s="399"/>
      <c r="AB316" s="399"/>
      <c r="AC316" s="399"/>
      <c r="AD316" s="399" t="str">
        <f ca="1">Área!Q262</f>
        <v/>
      </c>
      <c r="AE316" s="399"/>
      <c r="AF316" s="399"/>
      <c r="AG316" s="399"/>
      <c r="AH316" s="400" t="str">
        <f ca="1">Área!R262</f>
        <v/>
      </c>
      <c r="AI316" s="400"/>
      <c r="AJ316" s="400" t="str">
        <f ca="1">Área!S262</f>
        <v/>
      </c>
      <c r="AK316" s="400"/>
      <c r="AL316" s="400" t="str">
        <f ca="1">Área!T262</f>
        <v/>
      </c>
      <c r="AM316" s="400"/>
      <c r="AN316" s="400" t="str">
        <f ca="1">Área!U262</f>
        <v/>
      </c>
      <c r="AO316" s="400"/>
      <c r="AP316" s="422" t="str">
        <f ca="1">IFERROR(Área!Z262,"")</f>
        <v/>
      </c>
      <c r="AQ316" s="422"/>
      <c r="AR316" s="400" t="str">
        <f ca="1">Área!Y262</f>
        <v/>
      </c>
      <c r="AS316" s="423"/>
      <c r="AT316" s="72"/>
    </row>
    <row r="317" spans="1:46" ht="15" customHeight="1" x14ac:dyDescent="0.25">
      <c r="A317"/>
      <c r="C317" s="397" t="str">
        <f ca="1">Área!C263</f>
        <v/>
      </c>
      <c r="D317" s="398"/>
      <c r="E317" s="398"/>
      <c r="F317" s="398"/>
      <c r="G317" s="396" t="str">
        <f ca="1">Área!F263</f>
        <v/>
      </c>
      <c r="H317" s="396"/>
      <c r="I317" s="398" t="str">
        <f ca="1">Área!G263</f>
        <v/>
      </c>
      <c r="J317" s="398"/>
      <c r="K317" s="396" t="str">
        <f ca="1">Área!H263</f>
        <v/>
      </c>
      <c r="L317" s="396"/>
      <c r="M317" s="396" t="str">
        <f ca="1">Área!I263</f>
        <v/>
      </c>
      <c r="N317" s="396"/>
      <c r="O317" s="396" t="str">
        <f ca="1">Área!J263</f>
        <v/>
      </c>
      <c r="P317" s="396"/>
      <c r="Q317" s="396" t="str">
        <f ca="1">Área!K263</f>
        <v/>
      </c>
      <c r="R317" s="396"/>
      <c r="S317" s="396" t="str">
        <f ca="1">Área!L263</f>
        <v/>
      </c>
      <c r="T317" s="396"/>
      <c r="U317" s="396" t="str">
        <f ca="1">Área!N263</f>
        <v/>
      </c>
      <c r="V317" s="396"/>
      <c r="W317" s="396" t="str">
        <f ca="1">Área!M263</f>
        <v/>
      </c>
      <c r="X317" s="396"/>
      <c r="Y317" s="89" t="str">
        <f ca="1">Área!O263</f>
        <v/>
      </c>
      <c r="Z317" s="399" t="str">
        <f ca="1">Área!P263</f>
        <v/>
      </c>
      <c r="AA317" s="399"/>
      <c r="AB317" s="399"/>
      <c r="AC317" s="399"/>
      <c r="AD317" s="399" t="str">
        <f ca="1">Área!Q263</f>
        <v/>
      </c>
      <c r="AE317" s="399"/>
      <c r="AF317" s="399"/>
      <c r="AG317" s="399"/>
      <c r="AH317" s="400" t="str">
        <f ca="1">Área!R263</f>
        <v/>
      </c>
      <c r="AI317" s="400"/>
      <c r="AJ317" s="400" t="str">
        <f ca="1">Área!S263</f>
        <v/>
      </c>
      <c r="AK317" s="400"/>
      <c r="AL317" s="400" t="str">
        <f ca="1">Área!T263</f>
        <v/>
      </c>
      <c r="AM317" s="400"/>
      <c r="AN317" s="400" t="str">
        <f ca="1">Área!U263</f>
        <v/>
      </c>
      <c r="AO317" s="400"/>
      <c r="AP317" s="422" t="str">
        <f ca="1">IFERROR(Área!Z263,"")</f>
        <v/>
      </c>
      <c r="AQ317" s="422"/>
      <c r="AR317" s="400" t="str">
        <f ca="1">Área!Y263</f>
        <v/>
      </c>
      <c r="AS317" s="423"/>
      <c r="AT317" s="72"/>
    </row>
    <row r="318" spans="1:46" ht="15" customHeight="1" x14ac:dyDescent="0.25">
      <c r="A318"/>
      <c r="C318" s="397" t="str">
        <f ca="1">Área!C264</f>
        <v/>
      </c>
      <c r="D318" s="398"/>
      <c r="E318" s="398"/>
      <c r="F318" s="398"/>
      <c r="G318" s="396" t="str">
        <f ca="1">Área!F264</f>
        <v/>
      </c>
      <c r="H318" s="396"/>
      <c r="I318" s="398" t="str">
        <f ca="1">Área!G264</f>
        <v/>
      </c>
      <c r="J318" s="398"/>
      <c r="K318" s="396" t="str">
        <f ca="1">Área!H264</f>
        <v/>
      </c>
      <c r="L318" s="396"/>
      <c r="M318" s="396" t="str">
        <f ca="1">Área!I264</f>
        <v/>
      </c>
      <c r="N318" s="396"/>
      <c r="O318" s="396" t="str">
        <f ca="1">Área!J264</f>
        <v/>
      </c>
      <c r="P318" s="396"/>
      <c r="Q318" s="396" t="str">
        <f ca="1">Área!K264</f>
        <v/>
      </c>
      <c r="R318" s="396"/>
      <c r="S318" s="396" t="str">
        <f ca="1">Área!L264</f>
        <v/>
      </c>
      <c r="T318" s="396"/>
      <c r="U318" s="396" t="str">
        <f ca="1">Área!N264</f>
        <v/>
      </c>
      <c r="V318" s="396"/>
      <c r="W318" s="396" t="str">
        <f ca="1">Área!M264</f>
        <v/>
      </c>
      <c r="X318" s="396"/>
      <c r="Y318" s="89" t="str">
        <f ca="1">Área!O264</f>
        <v/>
      </c>
      <c r="Z318" s="399" t="str">
        <f ca="1">Área!P264</f>
        <v/>
      </c>
      <c r="AA318" s="399"/>
      <c r="AB318" s="399"/>
      <c r="AC318" s="399"/>
      <c r="AD318" s="399" t="str">
        <f ca="1">Área!Q264</f>
        <v/>
      </c>
      <c r="AE318" s="399"/>
      <c r="AF318" s="399"/>
      <c r="AG318" s="399"/>
      <c r="AH318" s="400" t="str">
        <f ca="1">Área!R264</f>
        <v/>
      </c>
      <c r="AI318" s="400"/>
      <c r="AJ318" s="400" t="str">
        <f ca="1">Área!S264</f>
        <v/>
      </c>
      <c r="AK318" s="400"/>
      <c r="AL318" s="400" t="str">
        <f ca="1">Área!T264</f>
        <v/>
      </c>
      <c r="AM318" s="400"/>
      <c r="AN318" s="400" t="str">
        <f ca="1">Área!U264</f>
        <v/>
      </c>
      <c r="AO318" s="400"/>
      <c r="AP318" s="422" t="str">
        <f ca="1">IFERROR(Área!Z264,"")</f>
        <v/>
      </c>
      <c r="AQ318" s="422"/>
      <c r="AR318" s="400" t="str">
        <f ca="1">Área!Y264</f>
        <v/>
      </c>
      <c r="AS318" s="423"/>
      <c r="AT318" s="72"/>
    </row>
    <row r="319" spans="1:46" ht="15" customHeight="1" x14ac:dyDescent="0.25">
      <c r="A319"/>
      <c r="C319" s="397" t="str">
        <f ca="1">Área!C265</f>
        <v/>
      </c>
      <c r="D319" s="398"/>
      <c r="E319" s="398"/>
      <c r="F319" s="398"/>
      <c r="G319" s="396" t="str">
        <f ca="1">Área!F265</f>
        <v/>
      </c>
      <c r="H319" s="396"/>
      <c r="I319" s="398" t="str">
        <f ca="1">Área!G265</f>
        <v/>
      </c>
      <c r="J319" s="398"/>
      <c r="K319" s="396" t="str">
        <f ca="1">Área!H265</f>
        <v/>
      </c>
      <c r="L319" s="396"/>
      <c r="M319" s="396" t="str">
        <f ca="1">Área!I265</f>
        <v/>
      </c>
      <c r="N319" s="396"/>
      <c r="O319" s="396" t="str">
        <f ca="1">Área!J265</f>
        <v/>
      </c>
      <c r="P319" s="396"/>
      <c r="Q319" s="396" t="str">
        <f ca="1">Área!K265</f>
        <v/>
      </c>
      <c r="R319" s="396"/>
      <c r="S319" s="396" t="str">
        <f ca="1">Área!L265</f>
        <v/>
      </c>
      <c r="T319" s="396"/>
      <c r="U319" s="396" t="str">
        <f ca="1">Área!N265</f>
        <v/>
      </c>
      <c r="V319" s="396"/>
      <c r="W319" s="396" t="str">
        <f ca="1">Área!M265</f>
        <v/>
      </c>
      <c r="X319" s="396"/>
      <c r="Y319" s="89" t="str">
        <f ca="1">Área!O265</f>
        <v/>
      </c>
      <c r="Z319" s="399" t="str">
        <f ca="1">Área!P265</f>
        <v/>
      </c>
      <c r="AA319" s="399"/>
      <c r="AB319" s="399"/>
      <c r="AC319" s="399"/>
      <c r="AD319" s="399" t="str">
        <f ca="1">Área!Q265</f>
        <v/>
      </c>
      <c r="AE319" s="399"/>
      <c r="AF319" s="399"/>
      <c r="AG319" s="399"/>
      <c r="AH319" s="400" t="str">
        <f ca="1">Área!R265</f>
        <v/>
      </c>
      <c r="AI319" s="400"/>
      <c r="AJ319" s="400" t="str">
        <f ca="1">Área!S265</f>
        <v/>
      </c>
      <c r="AK319" s="400"/>
      <c r="AL319" s="400" t="str">
        <f ca="1">Área!T265</f>
        <v/>
      </c>
      <c r="AM319" s="400"/>
      <c r="AN319" s="400" t="str">
        <f ca="1">Área!U265</f>
        <v/>
      </c>
      <c r="AO319" s="400"/>
      <c r="AP319" s="422" t="str">
        <f ca="1">IFERROR(Área!Z265,"")</f>
        <v/>
      </c>
      <c r="AQ319" s="422"/>
      <c r="AR319" s="400" t="str">
        <f ca="1">Área!Y265</f>
        <v/>
      </c>
      <c r="AS319" s="423"/>
      <c r="AT319" s="72"/>
    </row>
    <row r="320" spans="1:46" ht="15" customHeight="1" x14ac:dyDescent="0.25">
      <c r="A320"/>
      <c r="C320" s="397" t="str">
        <f ca="1">Área!C266</f>
        <v/>
      </c>
      <c r="D320" s="398"/>
      <c r="E320" s="398"/>
      <c r="F320" s="398"/>
      <c r="G320" s="396" t="str">
        <f ca="1">Área!F266</f>
        <v/>
      </c>
      <c r="H320" s="396"/>
      <c r="I320" s="398" t="str">
        <f ca="1">Área!G266</f>
        <v/>
      </c>
      <c r="J320" s="398"/>
      <c r="K320" s="396" t="str">
        <f ca="1">Área!H266</f>
        <v/>
      </c>
      <c r="L320" s="396"/>
      <c r="M320" s="396" t="str">
        <f ca="1">Área!I266</f>
        <v/>
      </c>
      <c r="N320" s="396"/>
      <c r="O320" s="396" t="str">
        <f ca="1">Área!J266</f>
        <v/>
      </c>
      <c r="P320" s="396"/>
      <c r="Q320" s="396" t="str">
        <f ca="1">Área!K266</f>
        <v/>
      </c>
      <c r="R320" s="396"/>
      <c r="S320" s="396" t="str">
        <f ca="1">Área!L266</f>
        <v/>
      </c>
      <c r="T320" s="396"/>
      <c r="U320" s="396" t="str">
        <f ca="1">Área!N266</f>
        <v/>
      </c>
      <c r="V320" s="396"/>
      <c r="W320" s="396" t="str">
        <f ca="1">Área!M266</f>
        <v/>
      </c>
      <c r="X320" s="396"/>
      <c r="Y320" s="89" t="str">
        <f ca="1">Área!O266</f>
        <v/>
      </c>
      <c r="Z320" s="399" t="str">
        <f ca="1">Área!P266</f>
        <v/>
      </c>
      <c r="AA320" s="399"/>
      <c r="AB320" s="399"/>
      <c r="AC320" s="399"/>
      <c r="AD320" s="399" t="str">
        <f ca="1">Área!Q266</f>
        <v/>
      </c>
      <c r="AE320" s="399"/>
      <c r="AF320" s="399"/>
      <c r="AG320" s="399"/>
      <c r="AH320" s="400" t="str">
        <f ca="1">Área!R266</f>
        <v/>
      </c>
      <c r="AI320" s="400"/>
      <c r="AJ320" s="400" t="str">
        <f ca="1">Área!S266</f>
        <v/>
      </c>
      <c r="AK320" s="400"/>
      <c r="AL320" s="400" t="str">
        <f ca="1">Área!T266</f>
        <v/>
      </c>
      <c r="AM320" s="400"/>
      <c r="AN320" s="400" t="str">
        <f ca="1">Área!U266</f>
        <v/>
      </c>
      <c r="AO320" s="400"/>
      <c r="AP320" s="422" t="str">
        <f ca="1">IFERROR(Área!Z266,"")</f>
        <v/>
      </c>
      <c r="AQ320" s="422"/>
      <c r="AR320" s="400" t="str">
        <f ca="1">Área!Y266</f>
        <v/>
      </c>
      <c r="AS320" s="423"/>
      <c r="AT320" s="72"/>
    </row>
    <row r="321" spans="1:46" ht="15" customHeight="1" x14ac:dyDescent="0.25">
      <c r="A321"/>
      <c r="C321" s="397" t="str">
        <f ca="1">Área!C267</f>
        <v/>
      </c>
      <c r="D321" s="398"/>
      <c r="E321" s="398"/>
      <c r="F321" s="398"/>
      <c r="G321" s="396" t="str">
        <f ca="1">Área!F267</f>
        <v/>
      </c>
      <c r="H321" s="396"/>
      <c r="I321" s="398" t="str">
        <f ca="1">Área!G267</f>
        <v/>
      </c>
      <c r="J321" s="398"/>
      <c r="K321" s="396" t="str">
        <f ca="1">Área!H267</f>
        <v/>
      </c>
      <c r="L321" s="396"/>
      <c r="M321" s="396" t="str">
        <f ca="1">Área!I267</f>
        <v/>
      </c>
      <c r="N321" s="396"/>
      <c r="O321" s="396" t="str">
        <f ca="1">Área!J267</f>
        <v/>
      </c>
      <c r="P321" s="396"/>
      <c r="Q321" s="396" t="str">
        <f ca="1">Área!K267</f>
        <v/>
      </c>
      <c r="R321" s="396"/>
      <c r="S321" s="396" t="str">
        <f ca="1">Área!L267</f>
        <v/>
      </c>
      <c r="T321" s="396"/>
      <c r="U321" s="396" t="str">
        <f ca="1">Área!N267</f>
        <v/>
      </c>
      <c r="V321" s="396"/>
      <c r="W321" s="396" t="str">
        <f ca="1">Área!M267</f>
        <v/>
      </c>
      <c r="X321" s="396"/>
      <c r="Y321" s="89" t="str">
        <f ca="1">Área!O267</f>
        <v/>
      </c>
      <c r="Z321" s="399" t="str">
        <f ca="1">Área!P267</f>
        <v/>
      </c>
      <c r="AA321" s="399"/>
      <c r="AB321" s="399"/>
      <c r="AC321" s="399"/>
      <c r="AD321" s="399" t="str">
        <f ca="1">Área!Q267</f>
        <v/>
      </c>
      <c r="AE321" s="399"/>
      <c r="AF321" s="399"/>
      <c r="AG321" s="399"/>
      <c r="AH321" s="400" t="str">
        <f ca="1">Área!R267</f>
        <v/>
      </c>
      <c r="AI321" s="400"/>
      <c r="AJ321" s="400" t="str">
        <f ca="1">Área!S267</f>
        <v/>
      </c>
      <c r="AK321" s="400"/>
      <c r="AL321" s="400" t="str">
        <f ca="1">Área!T267</f>
        <v/>
      </c>
      <c r="AM321" s="400"/>
      <c r="AN321" s="400" t="str">
        <f ca="1">Área!U267</f>
        <v/>
      </c>
      <c r="AO321" s="400"/>
      <c r="AP321" s="422" t="str">
        <f ca="1">IFERROR(Área!Z267,"")</f>
        <v/>
      </c>
      <c r="AQ321" s="422"/>
      <c r="AR321" s="400" t="str">
        <f ca="1">Área!Y267</f>
        <v/>
      </c>
      <c r="AS321" s="423"/>
      <c r="AT321" s="72"/>
    </row>
    <row r="322" spans="1:46" ht="15" customHeight="1" x14ac:dyDescent="0.25">
      <c r="A322"/>
      <c r="C322" s="397" t="str">
        <f ca="1">Área!C268</f>
        <v/>
      </c>
      <c r="D322" s="398"/>
      <c r="E322" s="398"/>
      <c r="F322" s="398"/>
      <c r="G322" s="396" t="str">
        <f ca="1">Área!F268</f>
        <v/>
      </c>
      <c r="H322" s="396"/>
      <c r="I322" s="398" t="str">
        <f ca="1">Área!G268</f>
        <v/>
      </c>
      <c r="J322" s="398"/>
      <c r="K322" s="396" t="str">
        <f ca="1">Área!H268</f>
        <v/>
      </c>
      <c r="L322" s="396"/>
      <c r="M322" s="396" t="str">
        <f ca="1">Área!I268</f>
        <v/>
      </c>
      <c r="N322" s="396"/>
      <c r="O322" s="396" t="str">
        <f ca="1">Área!J268</f>
        <v/>
      </c>
      <c r="P322" s="396"/>
      <c r="Q322" s="396" t="str">
        <f ca="1">Área!K268</f>
        <v/>
      </c>
      <c r="R322" s="396"/>
      <c r="S322" s="396" t="str">
        <f ca="1">Área!L268</f>
        <v/>
      </c>
      <c r="T322" s="396"/>
      <c r="U322" s="396" t="str">
        <f ca="1">Área!N268</f>
        <v/>
      </c>
      <c r="V322" s="396"/>
      <c r="W322" s="396" t="str">
        <f ca="1">Área!M268</f>
        <v/>
      </c>
      <c r="X322" s="396"/>
      <c r="Y322" s="89" t="str">
        <f ca="1">Área!O268</f>
        <v/>
      </c>
      <c r="Z322" s="399" t="str">
        <f ca="1">Área!P268</f>
        <v/>
      </c>
      <c r="AA322" s="399"/>
      <c r="AB322" s="399"/>
      <c r="AC322" s="399"/>
      <c r="AD322" s="399" t="str">
        <f ca="1">Área!Q268</f>
        <v/>
      </c>
      <c r="AE322" s="399"/>
      <c r="AF322" s="399"/>
      <c r="AG322" s="399"/>
      <c r="AH322" s="400" t="str">
        <f ca="1">Área!R268</f>
        <v/>
      </c>
      <c r="AI322" s="400"/>
      <c r="AJ322" s="400" t="str">
        <f ca="1">Área!S268</f>
        <v/>
      </c>
      <c r="AK322" s="400"/>
      <c r="AL322" s="400" t="str">
        <f ca="1">Área!T268</f>
        <v/>
      </c>
      <c r="AM322" s="400"/>
      <c r="AN322" s="400" t="str">
        <f ca="1">Área!U268</f>
        <v/>
      </c>
      <c r="AO322" s="400"/>
      <c r="AP322" s="422" t="str">
        <f ca="1">IFERROR(Área!Z268,"")</f>
        <v/>
      </c>
      <c r="AQ322" s="422"/>
      <c r="AR322" s="400" t="str">
        <f ca="1">Área!Y268</f>
        <v/>
      </c>
      <c r="AS322" s="423"/>
      <c r="AT322" s="72"/>
    </row>
    <row r="323" spans="1:46" ht="15" customHeight="1" x14ac:dyDescent="0.25">
      <c r="A323"/>
      <c r="C323" s="397" t="str">
        <f ca="1">Área!C269</f>
        <v/>
      </c>
      <c r="D323" s="398"/>
      <c r="E323" s="398"/>
      <c r="F323" s="398"/>
      <c r="G323" s="396" t="str">
        <f ca="1">Área!F269</f>
        <v/>
      </c>
      <c r="H323" s="396"/>
      <c r="I323" s="398" t="str">
        <f ca="1">Área!G269</f>
        <v/>
      </c>
      <c r="J323" s="398"/>
      <c r="K323" s="396" t="str">
        <f ca="1">Área!H269</f>
        <v/>
      </c>
      <c r="L323" s="396"/>
      <c r="M323" s="396" t="str">
        <f ca="1">Área!I269</f>
        <v/>
      </c>
      <c r="N323" s="396"/>
      <c r="O323" s="396" t="str">
        <f ca="1">Área!J269</f>
        <v/>
      </c>
      <c r="P323" s="396"/>
      <c r="Q323" s="396" t="str">
        <f ca="1">Área!K269</f>
        <v/>
      </c>
      <c r="R323" s="396"/>
      <c r="S323" s="396" t="str">
        <f ca="1">Área!L269</f>
        <v/>
      </c>
      <c r="T323" s="396"/>
      <c r="U323" s="396" t="str">
        <f ca="1">Área!N269</f>
        <v/>
      </c>
      <c r="V323" s="396"/>
      <c r="W323" s="396" t="str">
        <f ca="1">Área!M269</f>
        <v/>
      </c>
      <c r="X323" s="396"/>
      <c r="Y323" s="89" t="str">
        <f ca="1">Área!O269</f>
        <v/>
      </c>
      <c r="Z323" s="399" t="str">
        <f ca="1">Área!P269</f>
        <v/>
      </c>
      <c r="AA323" s="399"/>
      <c r="AB323" s="399"/>
      <c r="AC323" s="399"/>
      <c r="AD323" s="399" t="str">
        <f ca="1">Área!Q269</f>
        <v/>
      </c>
      <c r="AE323" s="399"/>
      <c r="AF323" s="399"/>
      <c r="AG323" s="399"/>
      <c r="AH323" s="400" t="str">
        <f ca="1">Área!R269</f>
        <v/>
      </c>
      <c r="AI323" s="400"/>
      <c r="AJ323" s="400" t="str">
        <f ca="1">Área!S269</f>
        <v/>
      </c>
      <c r="AK323" s="400"/>
      <c r="AL323" s="400" t="str">
        <f ca="1">Área!T269</f>
        <v/>
      </c>
      <c r="AM323" s="400"/>
      <c r="AN323" s="400" t="str">
        <f ca="1">Área!U269</f>
        <v/>
      </c>
      <c r="AO323" s="400"/>
      <c r="AP323" s="422" t="str">
        <f ca="1">IFERROR(Área!Z269,"")</f>
        <v/>
      </c>
      <c r="AQ323" s="422"/>
      <c r="AR323" s="400" t="str">
        <f ca="1">Área!Y269</f>
        <v/>
      </c>
      <c r="AS323" s="423"/>
      <c r="AT323" s="72"/>
    </row>
    <row r="324" spans="1:46" ht="15" customHeight="1" x14ac:dyDescent="0.25">
      <c r="A324"/>
      <c r="C324" s="397" t="str">
        <f ca="1">Área!C270</f>
        <v/>
      </c>
      <c r="D324" s="398"/>
      <c r="E324" s="398"/>
      <c r="F324" s="398"/>
      <c r="G324" s="396" t="str">
        <f ca="1">Área!F270</f>
        <v/>
      </c>
      <c r="H324" s="396"/>
      <c r="I324" s="398" t="str">
        <f ca="1">Área!G270</f>
        <v/>
      </c>
      <c r="J324" s="398"/>
      <c r="K324" s="396" t="str">
        <f ca="1">Área!H270</f>
        <v/>
      </c>
      <c r="L324" s="396"/>
      <c r="M324" s="396" t="str">
        <f ca="1">Área!I270</f>
        <v/>
      </c>
      <c r="N324" s="396"/>
      <c r="O324" s="396" t="str">
        <f ca="1">Área!J270</f>
        <v/>
      </c>
      <c r="P324" s="396"/>
      <c r="Q324" s="396" t="str">
        <f ca="1">Área!K270</f>
        <v/>
      </c>
      <c r="R324" s="396"/>
      <c r="S324" s="396" t="str">
        <f ca="1">Área!L270</f>
        <v/>
      </c>
      <c r="T324" s="396"/>
      <c r="U324" s="396" t="str">
        <f ca="1">Área!N270</f>
        <v/>
      </c>
      <c r="V324" s="396"/>
      <c r="W324" s="396" t="str">
        <f ca="1">Área!M270</f>
        <v/>
      </c>
      <c r="X324" s="396"/>
      <c r="Y324" s="89" t="str">
        <f ca="1">Área!O270</f>
        <v/>
      </c>
      <c r="Z324" s="399" t="str">
        <f ca="1">Área!P270</f>
        <v/>
      </c>
      <c r="AA324" s="399"/>
      <c r="AB324" s="399"/>
      <c r="AC324" s="399"/>
      <c r="AD324" s="399" t="str">
        <f ca="1">Área!Q270</f>
        <v/>
      </c>
      <c r="AE324" s="399"/>
      <c r="AF324" s="399"/>
      <c r="AG324" s="399"/>
      <c r="AH324" s="400" t="str">
        <f ca="1">Área!R270</f>
        <v/>
      </c>
      <c r="AI324" s="400"/>
      <c r="AJ324" s="400" t="str">
        <f ca="1">Área!S270</f>
        <v/>
      </c>
      <c r="AK324" s="400"/>
      <c r="AL324" s="400" t="str">
        <f ca="1">Área!T270</f>
        <v/>
      </c>
      <c r="AM324" s="400"/>
      <c r="AN324" s="400" t="str">
        <f ca="1">Área!U270</f>
        <v/>
      </c>
      <c r="AO324" s="400"/>
      <c r="AP324" s="422" t="str">
        <f ca="1">IFERROR(Área!Z270,"")</f>
        <v/>
      </c>
      <c r="AQ324" s="422"/>
      <c r="AR324" s="400" t="str">
        <f ca="1">Área!Y270</f>
        <v/>
      </c>
      <c r="AS324" s="423"/>
      <c r="AT324" s="72"/>
    </row>
    <row r="325" spans="1:46" ht="15" customHeight="1" x14ac:dyDescent="0.25">
      <c r="A325"/>
      <c r="C325" s="397" t="str">
        <f ca="1">Área!C271</f>
        <v/>
      </c>
      <c r="D325" s="398"/>
      <c r="E325" s="398"/>
      <c r="F325" s="398"/>
      <c r="G325" s="396" t="str">
        <f ca="1">Área!F271</f>
        <v/>
      </c>
      <c r="H325" s="396"/>
      <c r="I325" s="398" t="str">
        <f ca="1">Área!G271</f>
        <v/>
      </c>
      <c r="J325" s="398"/>
      <c r="K325" s="396" t="str">
        <f ca="1">Área!H271</f>
        <v/>
      </c>
      <c r="L325" s="396"/>
      <c r="M325" s="396" t="str">
        <f ca="1">Área!I271</f>
        <v/>
      </c>
      <c r="N325" s="396"/>
      <c r="O325" s="396" t="str">
        <f ca="1">Área!J271</f>
        <v/>
      </c>
      <c r="P325" s="396"/>
      <c r="Q325" s="396" t="str">
        <f ca="1">Área!K271</f>
        <v/>
      </c>
      <c r="R325" s="396"/>
      <c r="S325" s="396" t="str">
        <f ca="1">Área!L271</f>
        <v/>
      </c>
      <c r="T325" s="396"/>
      <c r="U325" s="396" t="str">
        <f ca="1">Área!N271</f>
        <v/>
      </c>
      <c r="V325" s="396"/>
      <c r="W325" s="396" t="str">
        <f ca="1">Área!M271</f>
        <v/>
      </c>
      <c r="X325" s="396"/>
      <c r="Y325" s="89" t="str">
        <f ca="1">Área!O271</f>
        <v/>
      </c>
      <c r="Z325" s="399" t="str">
        <f ca="1">Área!P271</f>
        <v/>
      </c>
      <c r="AA325" s="399"/>
      <c r="AB325" s="399"/>
      <c r="AC325" s="399"/>
      <c r="AD325" s="399" t="str">
        <f ca="1">Área!Q271</f>
        <v/>
      </c>
      <c r="AE325" s="399"/>
      <c r="AF325" s="399"/>
      <c r="AG325" s="399"/>
      <c r="AH325" s="400" t="str">
        <f ca="1">Área!R271</f>
        <v/>
      </c>
      <c r="AI325" s="400"/>
      <c r="AJ325" s="400" t="str">
        <f ca="1">Área!S271</f>
        <v/>
      </c>
      <c r="AK325" s="400"/>
      <c r="AL325" s="400" t="str">
        <f ca="1">Área!T271</f>
        <v/>
      </c>
      <c r="AM325" s="400"/>
      <c r="AN325" s="400" t="str">
        <f ca="1">Área!U271</f>
        <v/>
      </c>
      <c r="AO325" s="400"/>
      <c r="AP325" s="422" t="str">
        <f ca="1">IFERROR(Área!Z271,"")</f>
        <v/>
      </c>
      <c r="AQ325" s="422"/>
      <c r="AR325" s="400" t="str">
        <f ca="1">Área!Y271</f>
        <v/>
      </c>
      <c r="AS325" s="423"/>
      <c r="AT325" s="72"/>
    </row>
    <row r="326" spans="1:46" ht="15" customHeight="1" x14ac:dyDescent="0.25">
      <c r="A326"/>
      <c r="C326" s="397" t="str">
        <f ca="1">Área!C272</f>
        <v/>
      </c>
      <c r="D326" s="398"/>
      <c r="E326" s="398"/>
      <c r="F326" s="398"/>
      <c r="G326" s="396" t="str">
        <f ca="1">Área!F272</f>
        <v/>
      </c>
      <c r="H326" s="396"/>
      <c r="I326" s="398" t="str">
        <f ca="1">Área!G272</f>
        <v/>
      </c>
      <c r="J326" s="398"/>
      <c r="K326" s="396" t="str">
        <f ca="1">Área!H272</f>
        <v/>
      </c>
      <c r="L326" s="396"/>
      <c r="M326" s="396" t="str">
        <f ca="1">Área!I272</f>
        <v/>
      </c>
      <c r="N326" s="396"/>
      <c r="O326" s="396" t="str">
        <f ca="1">Área!J272</f>
        <v/>
      </c>
      <c r="P326" s="396"/>
      <c r="Q326" s="396" t="str">
        <f ca="1">Área!K272</f>
        <v/>
      </c>
      <c r="R326" s="396"/>
      <c r="S326" s="396" t="str">
        <f ca="1">Área!L272</f>
        <v/>
      </c>
      <c r="T326" s="396"/>
      <c r="U326" s="396" t="str">
        <f ca="1">Área!N272</f>
        <v/>
      </c>
      <c r="V326" s="396"/>
      <c r="W326" s="396" t="str">
        <f ca="1">Área!M272</f>
        <v/>
      </c>
      <c r="X326" s="396"/>
      <c r="Y326" s="89" t="str">
        <f ca="1">Área!O272</f>
        <v/>
      </c>
      <c r="Z326" s="399" t="str">
        <f ca="1">Área!P272</f>
        <v/>
      </c>
      <c r="AA326" s="399"/>
      <c r="AB326" s="399"/>
      <c r="AC326" s="399"/>
      <c r="AD326" s="399" t="str">
        <f ca="1">Área!Q272</f>
        <v/>
      </c>
      <c r="AE326" s="399"/>
      <c r="AF326" s="399"/>
      <c r="AG326" s="399"/>
      <c r="AH326" s="400" t="str">
        <f ca="1">Área!R272</f>
        <v/>
      </c>
      <c r="AI326" s="400"/>
      <c r="AJ326" s="400" t="str">
        <f ca="1">Área!S272</f>
        <v/>
      </c>
      <c r="AK326" s="400"/>
      <c r="AL326" s="400" t="str">
        <f ca="1">Área!T272</f>
        <v/>
      </c>
      <c r="AM326" s="400"/>
      <c r="AN326" s="400" t="str">
        <f ca="1">Área!U272</f>
        <v/>
      </c>
      <c r="AO326" s="400"/>
      <c r="AP326" s="422" t="str">
        <f ca="1">IFERROR(Área!Z272,"")</f>
        <v/>
      </c>
      <c r="AQ326" s="422"/>
      <c r="AR326" s="400" t="str">
        <f ca="1">Área!Y272</f>
        <v/>
      </c>
      <c r="AS326" s="423"/>
      <c r="AT326" s="72"/>
    </row>
    <row r="327" spans="1:46" ht="15" customHeight="1" x14ac:dyDescent="0.25">
      <c r="A327"/>
      <c r="C327" s="397" t="str">
        <f ca="1">Área!C273</f>
        <v/>
      </c>
      <c r="D327" s="398"/>
      <c r="E327" s="398"/>
      <c r="F327" s="398"/>
      <c r="G327" s="396" t="str">
        <f ca="1">Área!F273</f>
        <v/>
      </c>
      <c r="H327" s="396"/>
      <c r="I327" s="398" t="str">
        <f ca="1">Área!G273</f>
        <v/>
      </c>
      <c r="J327" s="398"/>
      <c r="K327" s="396" t="str">
        <f ca="1">Área!H273</f>
        <v/>
      </c>
      <c r="L327" s="396"/>
      <c r="M327" s="396" t="str">
        <f ca="1">Área!I273</f>
        <v/>
      </c>
      <c r="N327" s="396"/>
      <c r="O327" s="396" t="str">
        <f ca="1">Área!J273</f>
        <v/>
      </c>
      <c r="P327" s="396"/>
      <c r="Q327" s="396" t="str">
        <f ca="1">Área!K273</f>
        <v/>
      </c>
      <c r="R327" s="396"/>
      <c r="S327" s="396" t="str">
        <f ca="1">Área!L273</f>
        <v/>
      </c>
      <c r="T327" s="396"/>
      <c r="U327" s="396" t="str">
        <f ca="1">Área!N273</f>
        <v/>
      </c>
      <c r="V327" s="396"/>
      <c r="W327" s="396" t="str">
        <f ca="1">Área!M273</f>
        <v/>
      </c>
      <c r="X327" s="396"/>
      <c r="Y327" s="89" t="str">
        <f ca="1">Área!O273</f>
        <v/>
      </c>
      <c r="Z327" s="399" t="str">
        <f ca="1">Área!P273</f>
        <v/>
      </c>
      <c r="AA327" s="399"/>
      <c r="AB327" s="399"/>
      <c r="AC327" s="399"/>
      <c r="AD327" s="399" t="str">
        <f ca="1">Área!Q273</f>
        <v/>
      </c>
      <c r="AE327" s="399"/>
      <c r="AF327" s="399"/>
      <c r="AG327" s="399"/>
      <c r="AH327" s="400" t="str">
        <f ca="1">Área!R273</f>
        <v/>
      </c>
      <c r="AI327" s="400"/>
      <c r="AJ327" s="400" t="str">
        <f ca="1">Área!S273</f>
        <v/>
      </c>
      <c r="AK327" s="400"/>
      <c r="AL327" s="400" t="str">
        <f ca="1">Área!T273</f>
        <v/>
      </c>
      <c r="AM327" s="400"/>
      <c r="AN327" s="400" t="str">
        <f ca="1">Área!U273</f>
        <v/>
      </c>
      <c r="AO327" s="400"/>
      <c r="AP327" s="422" t="str">
        <f ca="1">IFERROR(Área!Z273,"")</f>
        <v/>
      </c>
      <c r="AQ327" s="422"/>
      <c r="AR327" s="400" t="str">
        <f ca="1">Área!Y273</f>
        <v/>
      </c>
      <c r="AS327" s="423"/>
      <c r="AT327" s="72"/>
    </row>
    <row r="328" spans="1:46" ht="15" customHeight="1" x14ac:dyDescent="0.25">
      <c r="A328"/>
      <c r="C328" s="397" t="str">
        <f ca="1">Área!C274</f>
        <v/>
      </c>
      <c r="D328" s="398"/>
      <c r="E328" s="398"/>
      <c r="F328" s="398"/>
      <c r="G328" s="396" t="str">
        <f ca="1">Área!F274</f>
        <v/>
      </c>
      <c r="H328" s="396"/>
      <c r="I328" s="398" t="str">
        <f ca="1">Área!G274</f>
        <v/>
      </c>
      <c r="J328" s="398"/>
      <c r="K328" s="396" t="str">
        <f ca="1">Área!H274</f>
        <v/>
      </c>
      <c r="L328" s="396"/>
      <c r="M328" s="396" t="str">
        <f ca="1">Área!I274</f>
        <v/>
      </c>
      <c r="N328" s="396"/>
      <c r="O328" s="396" t="str">
        <f ca="1">Área!J274</f>
        <v/>
      </c>
      <c r="P328" s="396"/>
      <c r="Q328" s="396" t="str">
        <f ca="1">Área!K274</f>
        <v/>
      </c>
      <c r="R328" s="396"/>
      <c r="S328" s="396" t="str">
        <f ca="1">Área!L274</f>
        <v/>
      </c>
      <c r="T328" s="396"/>
      <c r="U328" s="396" t="str">
        <f ca="1">Área!N274</f>
        <v/>
      </c>
      <c r="V328" s="396"/>
      <c r="W328" s="396" t="str">
        <f ca="1">Área!M274</f>
        <v/>
      </c>
      <c r="X328" s="396"/>
      <c r="Y328" s="89" t="str">
        <f ca="1">Área!O274</f>
        <v/>
      </c>
      <c r="Z328" s="399" t="str">
        <f ca="1">Área!P274</f>
        <v/>
      </c>
      <c r="AA328" s="399"/>
      <c r="AB328" s="399"/>
      <c r="AC328" s="399"/>
      <c r="AD328" s="399" t="str">
        <f ca="1">Área!Q274</f>
        <v/>
      </c>
      <c r="AE328" s="399"/>
      <c r="AF328" s="399"/>
      <c r="AG328" s="399"/>
      <c r="AH328" s="400" t="str">
        <f ca="1">Área!R274</f>
        <v/>
      </c>
      <c r="AI328" s="400"/>
      <c r="AJ328" s="400" t="str">
        <f ca="1">Área!S274</f>
        <v/>
      </c>
      <c r="AK328" s="400"/>
      <c r="AL328" s="400" t="str">
        <f ca="1">Área!T274</f>
        <v/>
      </c>
      <c r="AM328" s="400"/>
      <c r="AN328" s="400" t="str">
        <f ca="1">Área!U274</f>
        <v/>
      </c>
      <c r="AO328" s="400"/>
      <c r="AP328" s="422" t="str">
        <f ca="1">IFERROR(Área!Z274,"")</f>
        <v/>
      </c>
      <c r="AQ328" s="422"/>
      <c r="AR328" s="400" t="str">
        <f ca="1">Área!Y274</f>
        <v/>
      </c>
      <c r="AS328" s="423"/>
      <c r="AT328" s="72"/>
    </row>
    <row r="329" spans="1:46" ht="15" customHeight="1" x14ac:dyDescent="0.25">
      <c r="A329"/>
      <c r="C329" s="397" t="str">
        <f ca="1">Área!C275</f>
        <v/>
      </c>
      <c r="D329" s="398"/>
      <c r="E329" s="398"/>
      <c r="F329" s="398"/>
      <c r="G329" s="396" t="str">
        <f ca="1">Área!F275</f>
        <v/>
      </c>
      <c r="H329" s="396"/>
      <c r="I329" s="398" t="str">
        <f ca="1">Área!G275</f>
        <v/>
      </c>
      <c r="J329" s="398"/>
      <c r="K329" s="396" t="str">
        <f ca="1">Área!H275</f>
        <v/>
      </c>
      <c r="L329" s="396"/>
      <c r="M329" s="396" t="str">
        <f ca="1">Área!I275</f>
        <v/>
      </c>
      <c r="N329" s="396"/>
      <c r="O329" s="396" t="str">
        <f ca="1">Área!J275</f>
        <v/>
      </c>
      <c r="P329" s="396"/>
      <c r="Q329" s="396" t="str">
        <f ca="1">Área!K275</f>
        <v/>
      </c>
      <c r="R329" s="396"/>
      <c r="S329" s="396" t="str">
        <f ca="1">Área!L275</f>
        <v/>
      </c>
      <c r="T329" s="396"/>
      <c r="U329" s="396" t="str">
        <f ca="1">Área!N275</f>
        <v/>
      </c>
      <c r="V329" s="396"/>
      <c r="W329" s="396" t="str">
        <f ca="1">Área!M275</f>
        <v/>
      </c>
      <c r="X329" s="396"/>
      <c r="Y329" s="89" t="str">
        <f ca="1">Área!O275</f>
        <v/>
      </c>
      <c r="Z329" s="399" t="str">
        <f ca="1">Área!P275</f>
        <v/>
      </c>
      <c r="AA329" s="399"/>
      <c r="AB329" s="399"/>
      <c r="AC329" s="399"/>
      <c r="AD329" s="399" t="str">
        <f ca="1">Área!Q275</f>
        <v/>
      </c>
      <c r="AE329" s="399"/>
      <c r="AF329" s="399"/>
      <c r="AG329" s="399"/>
      <c r="AH329" s="400" t="str">
        <f ca="1">Área!R275</f>
        <v/>
      </c>
      <c r="AI329" s="400"/>
      <c r="AJ329" s="400" t="str">
        <f ca="1">Área!S275</f>
        <v/>
      </c>
      <c r="AK329" s="400"/>
      <c r="AL329" s="400" t="str">
        <f ca="1">Área!T275</f>
        <v/>
      </c>
      <c r="AM329" s="400"/>
      <c r="AN329" s="400" t="str">
        <f ca="1">Área!U275</f>
        <v/>
      </c>
      <c r="AO329" s="400"/>
      <c r="AP329" s="422" t="str">
        <f ca="1">IFERROR(Área!Z275,"")</f>
        <v/>
      </c>
      <c r="AQ329" s="422"/>
      <c r="AR329" s="400" t="str">
        <f ca="1">Área!Y275</f>
        <v/>
      </c>
      <c r="AS329" s="423"/>
      <c r="AT329" s="72"/>
    </row>
    <row r="330" spans="1:46" ht="15" customHeight="1" x14ac:dyDescent="0.25">
      <c r="A330"/>
      <c r="C330" s="397" t="str">
        <f ca="1">Área!C276</f>
        <v/>
      </c>
      <c r="D330" s="398"/>
      <c r="E330" s="398"/>
      <c r="F330" s="398"/>
      <c r="G330" s="396" t="str">
        <f ca="1">Área!F276</f>
        <v/>
      </c>
      <c r="H330" s="396"/>
      <c r="I330" s="398" t="str">
        <f ca="1">Área!G276</f>
        <v/>
      </c>
      <c r="J330" s="398"/>
      <c r="K330" s="396" t="str">
        <f ca="1">Área!H276</f>
        <v/>
      </c>
      <c r="L330" s="396"/>
      <c r="M330" s="396" t="str">
        <f ca="1">Área!I276</f>
        <v/>
      </c>
      <c r="N330" s="396"/>
      <c r="O330" s="396" t="str">
        <f ca="1">Área!J276</f>
        <v/>
      </c>
      <c r="P330" s="396"/>
      <c r="Q330" s="396" t="str">
        <f ca="1">Área!K276</f>
        <v/>
      </c>
      <c r="R330" s="396"/>
      <c r="S330" s="396" t="str">
        <f ca="1">Área!L276</f>
        <v/>
      </c>
      <c r="T330" s="396"/>
      <c r="U330" s="396" t="str">
        <f ca="1">Área!N276</f>
        <v/>
      </c>
      <c r="V330" s="396"/>
      <c r="W330" s="396" t="str">
        <f ca="1">Área!M276</f>
        <v/>
      </c>
      <c r="X330" s="396"/>
      <c r="Y330" s="89" t="str">
        <f ca="1">Área!O276</f>
        <v/>
      </c>
      <c r="Z330" s="399" t="str">
        <f ca="1">Área!P276</f>
        <v/>
      </c>
      <c r="AA330" s="399"/>
      <c r="AB330" s="399"/>
      <c r="AC330" s="399"/>
      <c r="AD330" s="399" t="str">
        <f ca="1">Área!Q276</f>
        <v/>
      </c>
      <c r="AE330" s="399"/>
      <c r="AF330" s="399"/>
      <c r="AG330" s="399"/>
      <c r="AH330" s="400" t="str">
        <f ca="1">Área!R276</f>
        <v/>
      </c>
      <c r="AI330" s="400"/>
      <c r="AJ330" s="400" t="str">
        <f ca="1">Área!S276</f>
        <v/>
      </c>
      <c r="AK330" s="400"/>
      <c r="AL330" s="400" t="str">
        <f ca="1">Área!T276</f>
        <v/>
      </c>
      <c r="AM330" s="400"/>
      <c r="AN330" s="400" t="str">
        <f ca="1">Área!U276</f>
        <v/>
      </c>
      <c r="AO330" s="400"/>
      <c r="AP330" s="422" t="str">
        <f ca="1">IFERROR(Área!Z276,"")</f>
        <v/>
      </c>
      <c r="AQ330" s="422"/>
      <c r="AR330" s="400" t="str">
        <f ca="1">Área!Y276</f>
        <v/>
      </c>
      <c r="AS330" s="423"/>
      <c r="AT330" s="72"/>
    </row>
    <row r="331" spans="1:46" ht="15" customHeight="1" x14ac:dyDescent="0.25">
      <c r="A331"/>
      <c r="C331" s="397" t="str">
        <f ca="1">Área!C277</f>
        <v/>
      </c>
      <c r="D331" s="398"/>
      <c r="E331" s="398"/>
      <c r="F331" s="398"/>
      <c r="G331" s="396" t="str">
        <f ca="1">Área!F277</f>
        <v/>
      </c>
      <c r="H331" s="396"/>
      <c r="I331" s="398" t="str">
        <f ca="1">Área!G277</f>
        <v/>
      </c>
      <c r="J331" s="398"/>
      <c r="K331" s="396" t="str">
        <f ca="1">Área!H277</f>
        <v/>
      </c>
      <c r="L331" s="396"/>
      <c r="M331" s="396" t="str">
        <f ca="1">Área!I277</f>
        <v/>
      </c>
      <c r="N331" s="396"/>
      <c r="O331" s="396" t="str">
        <f ca="1">Área!J277</f>
        <v/>
      </c>
      <c r="P331" s="396"/>
      <c r="Q331" s="396" t="str">
        <f ca="1">Área!K277</f>
        <v/>
      </c>
      <c r="R331" s="396"/>
      <c r="S331" s="396" t="str">
        <f ca="1">Área!L277</f>
        <v/>
      </c>
      <c r="T331" s="396"/>
      <c r="U331" s="396" t="str">
        <f ca="1">Área!N277</f>
        <v/>
      </c>
      <c r="V331" s="396"/>
      <c r="W331" s="396" t="str">
        <f ca="1">Área!M277</f>
        <v/>
      </c>
      <c r="X331" s="396"/>
      <c r="Y331" s="89" t="str">
        <f ca="1">Área!O277</f>
        <v/>
      </c>
      <c r="Z331" s="399" t="str">
        <f ca="1">Área!P277</f>
        <v/>
      </c>
      <c r="AA331" s="399"/>
      <c r="AB331" s="399"/>
      <c r="AC331" s="399"/>
      <c r="AD331" s="399" t="str">
        <f ca="1">Área!Q277</f>
        <v/>
      </c>
      <c r="AE331" s="399"/>
      <c r="AF331" s="399"/>
      <c r="AG331" s="399"/>
      <c r="AH331" s="400" t="str">
        <f ca="1">Área!R277</f>
        <v/>
      </c>
      <c r="AI331" s="400"/>
      <c r="AJ331" s="400" t="str">
        <f ca="1">Área!S277</f>
        <v/>
      </c>
      <c r="AK331" s="400"/>
      <c r="AL331" s="400" t="str">
        <f ca="1">Área!T277</f>
        <v/>
      </c>
      <c r="AM331" s="400"/>
      <c r="AN331" s="400" t="str">
        <f ca="1">Área!U277</f>
        <v/>
      </c>
      <c r="AO331" s="400"/>
      <c r="AP331" s="422" t="str">
        <f ca="1">IFERROR(Área!Z277,"")</f>
        <v/>
      </c>
      <c r="AQ331" s="422"/>
      <c r="AR331" s="400" t="str">
        <f ca="1">Área!Y277</f>
        <v/>
      </c>
      <c r="AS331" s="423"/>
      <c r="AT331" s="72"/>
    </row>
    <row r="332" spans="1:46" ht="15" customHeight="1" x14ac:dyDescent="0.25">
      <c r="A332"/>
      <c r="C332" s="397" t="str">
        <f ca="1">Área!C278</f>
        <v/>
      </c>
      <c r="D332" s="398"/>
      <c r="E332" s="398"/>
      <c r="F332" s="398"/>
      <c r="G332" s="396" t="str">
        <f ca="1">Área!F278</f>
        <v/>
      </c>
      <c r="H332" s="396"/>
      <c r="I332" s="398" t="str">
        <f ca="1">Área!G278</f>
        <v/>
      </c>
      <c r="J332" s="398"/>
      <c r="K332" s="396" t="str">
        <f ca="1">Área!H278</f>
        <v/>
      </c>
      <c r="L332" s="396"/>
      <c r="M332" s="396" t="str">
        <f ca="1">Área!I278</f>
        <v/>
      </c>
      <c r="N332" s="396"/>
      <c r="O332" s="396" t="str">
        <f ca="1">Área!J278</f>
        <v/>
      </c>
      <c r="P332" s="396"/>
      <c r="Q332" s="396" t="str">
        <f ca="1">Área!K278</f>
        <v/>
      </c>
      <c r="R332" s="396"/>
      <c r="S332" s="396" t="str">
        <f ca="1">Área!L278</f>
        <v/>
      </c>
      <c r="T332" s="396"/>
      <c r="U332" s="396" t="str">
        <f ca="1">Área!N278</f>
        <v/>
      </c>
      <c r="V332" s="396"/>
      <c r="W332" s="396" t="str">
        <f ca="1">Área!M278</f>
        <v/>
      </c>
      <c r="X332" s="396"/>
      <c r="Y332" s="89" t="str">
        <f ca="1">Área!O278</f>
        <v/>
      </c>
      <c r="Z332" s="399" t="str">
        <f ca="1">Área!P278</f>
        <v/>
      </c>
      <c r="AA332" s="399"/>
      <c r="AB332" s="399"/>
      <c r="AC332" s="399"/>
      <c r="AD332" s="399" t="str">
        <f ca="1">Área!Q278</f>
        <v/>
      </c>
      <c r="AE332" s="399"/>
      <c r="AF332" s="399"/>
      <c r="AG332" s="399"/>
      <c r="AH332" s="400" t="str">
        <f ca="1">Área!R278</f>
        <v/>
      </c>
      <c r="AI332" s="400"/>
      <c r="AJ332" s="400" t="str">
        <f ca="1">Área!S278</f>
        <v/>
      </c>
      <c r="AK332" s="400"/>
      <c r="AL332" s="400" t="str">
        <f ca="1">Área!T278</f>
        <v/>
      </c>
      <c r="AM332" s="400"/>
      <c r="AN332" s="400" t="str">
        <f ca="1">Área!U278</f>
        <v/>
      </c>
      <c r="AO332" s="400"/>
      <c r="AP332" s="422" t="str">
        <f ca="1">IFERROR(Área!Z278,"")</f>
        <v/>
      </c>
      <c r="AQ332" s="422"/>
      <c r="AR332" s="400" t="str">
        <f ca="1">Área!Y278</f>
        <v/>
      </c>
      <c r="AS332" s="423"/>
      <c r="AT332" s="72"/>
    </row>
    <row r="333" spans="1:46" ht="15" customHeight="1" x14ac:dyDescent="0.25">
      <c r="A333"/>
      <c r="C333" s="397" t="str">
        <f ca="1">Área!C279</f>
        <v/>
      </c>
      <c r="D333" s="398"/>
      <c r="E333" s="398"/>
      <c r="F333" s="398"/>
      <c r="G333" s="396" t="str">
        <f ca="1">Área!F279</f>
        <v/>
      </c>
      <c r="H333" s="396"/>
      <c r="I333" s="398" t="str">
        <f ca="1">Área!G279</f>
        <v/>
      </c>
      <c r="J333" s="398"/>
      <c r="K333" s="396" t="str">
        <f ca="1">Área!H279</f>
        <v/>
      </c>
      <c r="L333" s="396"/>
      <c r="M333" s="396" t="str">
        <f ca="1">Área!I279</f>
        <v/>
      </c>
      <c r="N333" s="396"/>
      <c r="O333" s="396" t="str">
        <f ca="1">Área!J279</f>
        <v/>
      </c>
      <c r="P333" s="396"/>
      <c r="Q333" s="396" t="str">
        <f ca="1">Área!K279</f>
        <v/>
      </c>
      <c r="R333" s="396"/>
      <c r="S333" s="396" t="str">
        <f ca="1">Área!L279</f>
        <v/>
      </c>
      <c r="T333" s="396"/>
      <c r="U333" s="396" t="str">
        <f ca="1">Área!N279</f>
        <v/>
      </c>
      <c r="V333" s="396"/>
      <c r="W333" s="396" t="str">
        <f ca="1">Área!M279</f>
        <v/>
      </c>
      <c r="X333" s="396"/>
      <c r="Y333" s="89" t="str">
        <f ca="1">Área!O279</f>
        <v/>
      </c>
      <c r="Z333" s="399" t="str">
        <f ca="1">Área!P279</f>
        <v/>
      </c>
      <c r="AA333" s="399"/>
      <c r="AB333" s="399"/>
      <c r="AC333" s="399"/>
      <c r="AD333" s="399" t="str">
        <f ca="1">Área!Q279</f>
        <v/>
      </c>
      <c r="AE333" s="399"/>
      <c r="AF333" s="399"/>
      <c r="AG333" s="399"/>
      <c r="AH333" s="400" t="str">
        <f ca="1">Área!R279</f>
        <v/>
      </c>
      <c r="AI333" s="400"/>
      <c r="AJ333" s="400" t="str">
        <f ca="1">Área!S279</f>
        <v/>
      </c>
      <c r="AK333" s="400"/>
      <c r="AL333" s="400" t="str">
        <f ca="1">Área!T279</f>
        <v/>
      </c>
      <c r="AM333" s="400"/>
      <c r="AN333" s="400" t="str">
        <f ca="1">Área!U279</f>
        <v/>
      </c>
      <c r="AO333" s="400"/>
      <c r="AP333" s="422" t="str">
        <f ca="1">IFERROR(Área!Z279,"")</f>
        <v/>
      </c>
      <c r="AQ333" s="422"/>
      <c r="AR333" s="400" t="str">
        <f ca="1">Área!Y279</f>
        <v/>
      </c>
      <c r="AS333" s="423"/>
      <c r="AT333" s="72"/>
    </row>
    <row r="334" spans="1:46" ht="15" customHeight="1" x14ac:dyDescent="0.25">
      <c r="A334"/>
      <c r="C334" s="397" t="str">
        <f ca="1">Área!C280</f>
        <v/>
      </c>
      <c r="D334" s="398"/>
      <c r="E334" s="398"/>
      <c r="F334" s="398"/>
      <c r="G334" s="396" t="str">
        <f ca="1">Área!F280</f>
        <v/>
      </c>
      <c r="H334" s="396"/>
      <c r="I334" s="398" t="str">
        <f ca="1">Área!G280</f>
        <v/>
      </c>
      <c r="J334" s="398"/>
      <c r="K334" s="396" t="str">
        <f ca="1">Área!H280</f>
        <v/>
      </c>
      <c r="L334" s="396"/>
      <c r="M334" s="396" t="str">
        <f ca="1">Área!I280</f>
        <v/>
      </c>
      <c r="N334" s="396"/>
      <c r="O334" s="396" t="str">
        <f ca="1">Área!J280</f>
        <v/>
      </c>
      <c r="P334" s="396"/>
      <c r="Q334" s="396" t="str">
        <f ca="1">Área!K280</f>
        <v/>
      </c>
      <c r="R334" s="396"/>
      <c r="S334" s="396" t="str">
        <f ca="1">Área!L280</f>
        <v/>
      </c>
      <c r="T334" s="396"/>
      <c r="U334" s="396" t="str">
        <f ca="1">Área!N280</f>
        <v/>
      </c>
      <c r="V334" s="396"/>
      <c r="W334" s="396" t="str">
        <f ca="1">Área!M280</f>
        <v/>
      </c>
      <c r="X334" s="396"/>
      <c r="Y334" s="89" t="str">
        <f ca="1">Área!O280</f>
        <v/>
      </c>
      <c r="Z334" s="399" t="str">
        <f ca="1">Área!P280</f>
        <v/>
      </c>
      <c r="AA334" s="399"/>
      <c r="AB334" s="399"/>
      <c r="AC334" s="399"/>
      <c r="AD334" s="399" t="str">
        <f ca="1">Área!Q280</f>
        <v/>
      </c>
      <c r="AE334" s="399"/>
      <c r="AF334" s="399"/>
      <c r="AG334" s="399"/>
      <c r="AH334" s="400" t="str">
        <f ca="1">Área!R280</f>
        <v/>
      </c>
      <c r="AI334" s="400"/>
      <c r="AJ334" s="400" t="str">
        <f ca="1">Área!S280</f>
        <v/>
      </c>
      <c r="AK334" s="400"/>
      <c r="AL334" s="400" t="str">
        <f ca="1">Área!T280</f>
        <v/>
      </c>
      <c r="AM334" s="400"/>
      <c r="AN334" s="400" t="str">
        <f ca="1">Área!U280</f>
        <v/>
      </c>
      <c r="AO334" s="400"/>
      <c r="AP334" s="422" t="str">
        <f ca="1">IFERROR(Área!Z280,"")</f>
        <v/>
      </c>
      <c r="AQ334" s="422"/>
      <c r="AR334" s="400" t="str">
        <f ca="1">Área!Y280</f>
        <v/>
      </c>
      <c r="AS334" s="423"/>
      <c r="AT334" s="72"/>
    </row>
    <row r="335" spans="1:46" ht="15" customHeight="1" x14ac:dyDescent="0.25">
      <c r="A335"/>
      <c r="C335" s="397" t="str">
        <f ca="1">Área!C281</f>
        <v/>
      </c>
      <c r="D335" s="398"/>
      <c r="E335" s="398"/>
      <c r="F335" s="398"/>
      <c r="G335" s="396" t="str">
        <f ca="1">Área!F281</f>
        <v/>
      </c>
      <c r="H335" s="396"/>
      <c r="I335" s="398" t="str">
        <f ca="1">Área!G281</f>
        <v/>
      </c>
      <c r="J335" s="398"/>
      <c r="K335" s="396" t="str">
        <f ca="1">Área!H281</f>
        <v/>
      </c>
      <c r="L335" s="396"/>
      <c r="M335" s="396" t="str">
        <f ca="1">Área!I281</f>
        <v/>
      </c>
      <c r="N335" s="396"/>
      <c r="O335" s="396" t="str">
        <f ca="1">Área!J281</f>
        <v/>
      </c>
      <c r="P335" s="396"/>
      <c r="Q335" s="396" t="str">
        <f ca="1">Área!K281</f>
        <v/>
      </c>
      <c r="R335" s="396"/>
      <c r="S335" s="396" t="str">
        <f ca="1">Área!L281</f>
        <v/>
      </c>
      <c r="T335" s="396"/>
      <c r="U335" s="396" t="str">
        <f ca="1">Área!N281</f>
        <v/>
      </c>
      <c r="V335" s="396"/>
      <c r="W335" s="396" t="str">
        <f ca="1">Área!M281</f>
        <v/>
      </c>
      <c r="X335" s="396"/>
      <c r="Y335" s="89" t="str">
        <f ca="1">Área!O281</f>
        <v/>
      </c>
      <c r="Z335" s="399" t="str">
        <f ca="1">Área!P281</f>
        <v/>
      </c>
      <c r="AA335" s="399"/>
      <c r="AB335" s="399"/>
      <c r="AC335" s="399"/>
      <c r="AD335" s="399" t="str">
        <f ca="1">Área!Q281</f>
        <v/>
      </c>
      <c r="AE335" s="399"/>
      <c r="AF335" s="399"/>
      <c r="AG335" s="399"/>
      <c r="AH335" s="400" t="str">
        <f ca="1">Área!R281</f>
        <v/>
      </c>
      <c r="AI335" s="400"/>
      <c r="AJ335" s="400" t="str">
        <f ca="1">Área!S281</f>
        <v/>
      </c>
      <c r="AK335" s="400"/>
      <c r="AL335" s="400" t="str">
        <f ca="1">Área!T281</f>
        <v/>
      </c>
      <c r="AM335" s="400"/>
      <c r="AN335" s="400" t="str">
        <f ca="1">Área!U281</f>
        <v/>
      </c>
      <c r="AO335" s="400"/>
      <c r="AP335" s="422" t="str">
        <f ca="1">IFERROR(Área!Z281,"")</f>
        <v/>
      </c>
      <c r="AQ335" s="422"/>
      <c r="AR335" s="400" t="str">
        <f ca="1">Área!Y281</f>
        <v/>
      </c>
      <c r="AS335" s="423"/>
      <c r="AT335" s="72"/>
    </row>
    <row r="336" spans="1:46" ht="15" customHeight="1" x14ac:dyDescent="0.25">
      <c r="A336"/>
      <c r="C336" s="397" t="str">
        <f ca="1">Área!C282</f>
        <v/>
      </c>
      <c r="D336" s="398"/>
      <c r="E336" s="398"/>
      <c r="F336" s="398"/>
      <c r="G336" s="396" t="str">
        <f ca="1">Área!F282</f>
        <v/>
      </c>
      <c r="H336" s="396"/>
      <c r="I336" s="398" t="str">
        <f ca="1">Área!G282</f>
        <v/>
      </c>
      <c r="J336" s="398"/>
      <c r="K336" s="396" t="str">
        <f ca="1">Área!H282</f>
        <v/>
      </c>
      <c r="L336" s="396"/>
      <c r="M336" s="396" t="str">
        <f ca="1">Área!I282</f>
        <v/>
      </c>
      <c r="N336" s="396"/>
      <c r="O336" s="396" t="str">
        <f ca="1">Área!J282</f>
        <v/>
      </c>
      <c r="P336" s="396"/>
      <c r="Q336" s="396" t="str">
        <f ca="1">Área!K282</f>
        <v/>
      </c>
      <c r="R336" s="396"/>
      <c r="S336" s="396" t="str">
        <f ca="1">Área!L282</f>
        <v/>
      </c>
      <c r="T336" s="396"/>
      <c r="U336" s="396" t="str">
        <f ca="1">Área!N282</f>
        <v/>
      </c>
      <c r="V336" s="396"/>
      <c r="W336" s="396" t="str">
        <f ca="1">Área!M282</f>
        <v/>
      </c>
      <c r="X336" s="396"/>
      <c r="Y336" s="89" t="str">
        <f ca="1">Área!O282</f>
        <v/>
      </c>
      <c r="Z336" s="399" t="str">
        <f ca="1">Área!P282</f>
        <v/>
      </c>
      <c r="AA336" s="399"/>
      <c r="AB336" s="399"/>
      <c r="AC336" s="399"/>
      <c r="AD336" s="399" t="str">
        <f ca="1">Área!Q282</f>
        <v/>
      </c>
      <c r="AE336" s="399"/>
      <c r="AF336" s="399"/>
      <c r="AG336" s="399"/>
      <c r="AH336" s="400" t="str">
        <f ca="1">Área!R282</f>
        <v/>
      </c>
      <c r="AI336" s="400"/>
      <c r="AJ336" s="400" t="str">
        <f ca="1">Área!S282</f>
        <v/>
      </c>
      <c r="AK336" s="400"/>
      <c r="AL336" s="400" t="str">
        <f ca="1">Área!T282</f>
        <v/>
      </c>
      <c r="AM336" s="400"/>
      <c r="AN336" s="400" t="str">
        <f ca="1">Área!U282</f>
        <v/>
      </c>
      <c r="AO336" s="400"/>
      <c r="AP336" s="422" t="str">
        <f ca="1">IFERROR(Área!Z282,"")</f>
        <v/>
      </c>
      <c r="AQ336" s="422"/>
      <c r="AR336" s="400" t="str">
        <f ca="1">Área!Y282</f>
        <v/>
      </c>
      <c r="AS336" s="423"/>
      <c r="AT336" s="72"/>
    </row>
    <row r="337" spans="1:46" ht="15" customHeight="1" x14ac:dyDescent="0.25">
      <c r="A337"/>
      <c r="C337" s="397" t="str">
        <f ca="1">Área!C283</f>
        <v/>
      </c>
      <c r="D337" s="398"/>
      <c r="E337" s="398"/>
      <c r="F337" s="398"/>
      <c r="G337" s="396" t="str">
        <f ca="1">Área!F283</f>
        <v/>
      </c>
      <c r="H337" s="396"/>
      <c r="I337" s="398" t="str">
        <f ca="1">Área!G283</f>
        <v/>
      </c>
      <c r="J337" s="398"/>
      <c r="K337" s="396" t="str">
        <f ca="1">Área!H283</f>
        <v/>
      </c>
      <c r="L337" s="396"/>
      <c r="M337" s="396" t="str">
        <f ca="1">Área!I283</f>
        <v/>
      </c>
      <c r="N337" s="396"/>
      <c r="O337" s="396" t="str">
        <f ca="1">Área!J283</f>
        <v/>
      </c>
      <c r="P337" s="396"/>
      <c r="Q337" s="396" t="str">
        <f ca="1">Área!K283</f>
        <v/>
      </c>
      <c r="R337" s="396"/>
      <c r="S337" s="396" t="str">
        <f ca="1">Área!L283</f>
        <v/>
      </c>
      <c r="T337" s="396"/>
      <c r="U337" s="396" t="str">
        <f ca="1">Área!N283</f>
        <v/>
      </c>
      <c r="V337" s="396"/>
      <c r="W337" s="396" t="str">
        <f ca="1">Área!M283</f>
        <v/>
      </c>
      <c r="X337" s="396"/>
      <c r="Y337" s="89" t="str">
        <f ca="1">Área!O283</f>
        <v/>
      </c>
      <c r="Z337" s="399" t="str">
        <f ca="1">Área!P283</f>
        <v/>
      </c>
      <c r="AA337" s="399"/>
      <c r="AB337" s="399"/>
      <c r="AC337" s="399"/>
      <c r="AD337" s="399" t="str">
        <f ca="1">Área!Q283</f>
        <v/>
      </c>
      <c r="AE337" s="399"/>
      <c r="AF337" s="399"/>
      <c r="AG337" s="399"/>
      <c r="AH337" s="400" t="str">
        <f ca="1">Área!R283</f>
        <v/>
      </c>
      <c r="AI337" s="400"/>
      <c r="AJ337" s="400" t="str">
        <f ca="1">Área!S283</f>
        <v/>
      </c>
      <c r="AK337" s="400"/>
      <c r="AL337" s="400" t="str">
        <f ca="1">Área!T283</f>
        <v/>
      </c>
      <c r="AM337" s="400"/>
      <c r="AN337" s="400" t="str">
        <f ca="1">Área!U283</f>
        <v/>
      </c>
      <c r="AO337" s="400"/>
      <c r="AP337" s="422" t="str">
        <f ca="1">IFERROR(Área!Z283,"")</f>
        <v/>
      </c>
      <c r="AQ337" s="422"/>
      <c r="AR337" s="400" t="str">
        <f ca="1">Área!Y283</f>
        <v/>
      </c>
      <c r="AS337" s="423"/>
      <c r="AT337" s="72"/>
    </row>
    <row r="338" spans="1:46" ht="15" customHeight="1" x14ac:dyDescent="0.25">
      <c r="A338"/>
      <c r="C338" s="397" t="str">
        <f ca="1">Área!C284</f>
        <v/>
      </c>
      <c r="D338" s="398"/>
      <c r="E338" s="398"/>
      <c r="F338" s="398"/>
      <c r="G338" s="396" t="str">
        <f ca="1">Área!F284</f>
        <v/>
      </c>
      <c r="H338" s="396"/>
      <c r="I338" s="398" t="str">
        <f ca="1">Área!G284</f>
        <v/>
      </c>
      <c r="J338" s="398"/>
      <c r="K338" s="396" t="str">
        <f ca="1">Área!H284</f>
        <v/>
      </c>
      <c r="L338" s="396"/>
      <c r="M338" s="396" t="str">
        <f ca="1">Área!I284</f>
        <v/>
      </c>
      <c r="N338" s="396"/>
      <c r="O338" s="396" t="str">
        <f ca="1">Área!J284</f>
        <v/>
      </c>
      <c r="P338" s="396"/>
      <c r="Q338" s="396" t="str">
        <f ca="1">Área!K284</f>
        <v/>
      </c>
      <c r="R338" s="396"/>
      <c r="S338" s="396" t="str">
        <f ca="1">Área!L284</f>
        <v/>
      </c>
      <c r="T338" s="396"/>
      <c r="U338" s="396" t="str">
        <f ca="1">Área!N284</f>
        <v/>
      </c>
      <c r="V338" s="396"/>
      <c r="W338" s="396" t="str">
        <f ca="1">Área!M284</f>
        <v/>
      </c>
      <c r="X338" s="396"/>
      <c r="Y338" s="89" t="str">
        <f ca="1">Área!O284</f>
        <v/>
      </c>
      <c r="Z338" s="399" t="str">
        <f ca="1">Área!P284</f>
        <v/>
      </c>
      <c r="AA338" s="399"/>
      <c r="AB338" s="399"/>
      <c r="AC338" s="399"/>
      <c r="AD338" s="399" t="str">
        <f ca="1">Área!Q284</f>
        <v/>
      </c>
      <c r="AE338" s="399"/>
      <c r="AF338" s="399"/>
      <c r="AG338" s="399"/>
      <c r="AH338" s="400" t="str">
        <f ca="1">Área!R284</f>
        <v/>
      </c>
      <c r="AI338" s="400"/>
      <c r="AJ338" s="400" t="str">
        <f ca="1">Área!S284</f>
        <v/>
      </c>
      <c r="AK338" s="400"/>
      <c r="AL338" s="400" t="str">
        <f ca="1">Área!T284</f>
        <v/>
      </c>
      <c r="AM338" s="400"/>
      <c r="AN338" s="400" t="str">
        <f ca="1">Área!U284</f>
        <v/>
      </c>
      <c r="AO338" s="400"/>
      <c r="AP338" s="422" t="str">
        <f ca="1">IFERROR(Área!Z284,"")</f>
        <v/>
      </c>
      <c r="AQ338" s="422"/>
      <c r="AR338" s="400" t="str">
        <f ca="1">Área!Y284</f>
        <v/>
      </c>
      <c r="AS338" s="423"/>
      <c r="AT338" s="72"/>
    </row>
    <row r="339" spans="1:46" ht="15" customHeight="1" x14ac:dyDescent="0.25">
      <c r="A339"/>
      <c r="C339" s="397" t="str">
        <f ca="1">Área!C285</f>
        <v/>
      </c>
      <c r="D339" s="398"/>
      <c r="E339" s="398"/>
      <c r="F339" s="398"/>
      <c r="G339" s="396" t="str">
        <f ca="1">Área!F285</f>
        <v/>
      </c>
      <c r="H339" s="396"/>
      <c r="I339" s="398" t="str">
        <f ca="1">Área!G285</f>
        <v/>
      </c>
      <c r="J339" s="398"/>
      <c r="K339" s="396" t="str">
        <f ca="1">Área!H285</f>
        <v/>
      </c>
      <c r="L339" s="396"/>
      <c r="M339" s="396" t="str">
        <f ca="1">Área!I285</f>
        <v/>
      </c>
      <c r="N339" s="396"/>
      <c r="O339" s="396" t="str">
        <f ca="1">Área!J285</f>
        <v/>
      </c>
      <c r="P339" s="396"/>
      <c r="Q339" s="396" t="str">
        <f ca="1">Área!K285</f>
        <v/>
      </c>
      <c r="R339" s="396"/>
      <c r="S339" s="396" t="str">
        <f ca="1">Área!L285</f>
        <v/>
      </c>
      <c r="T339" s="396"/>
      <c r="U339" s="396" t="str">
        <f ca="1">Área!N285</f>
        <v/>
      </c>
      <c r="V339" s="396"/>
      <c r="W339" s="396" t="str">
        <f ca="1">Área!M285</f>
        <v/>
      </c>
      <c r="X339" s="396"/>
      <c r="Y339" s="89" t="str">
        <f ca="1">Área!O285</f>
        <v/>
      </c>
      <c r="Z339" s="399" t="str">
        <f ca="1">Área!P285</f>
        <v/>
      </c>
      <c r="AA339" s="399"/>
      <c r="AB339" s="399"/>
      <c r="AC339" s="399"/>
      <c r="AD339" s="399" t="str">
        <f ca="1">Área!Q285</f>
        <v/>
      </c>
      <c r="AE339" s="399"/>
      <c r="AF339" s="399"/>
      <c r="AG339" s="399"/>
      <c r="AH339" s="400" t="str">
        <f ca="1">Área!R285</f>
        <v/>
      </c>
      <c r="AI339" s="400"/>
      <c r="AJ339" s="400" t="str">
        <f ca="1">Área!S285</f>
        <v/>
      </c>
      <c r="AK339" s="400"/>
      <c r="AL339" s="400" t="str">
        <f ca="1">Área!T285</f>
        <v/>
      </c>
      <c r="AM339" s="400"/>
      <c r="AN339" s="400" t="str">
        <f ca="1">Área!U285</f>
        <v/>
      </c>
      <c r="AO339" s="400"/>
      <c r="AP339" s="422" t="str">
        <f ca="1">IFERROR(Área!Z285,"")</f>
        <v/>
      </c>
      <c r="AQ339" s="422"/>
      <c r="AR339" s="400" t="str">
        <f ca="1">Área!Y285</f>
        <v/>
      </c>
      <c r="AS339" s="423"/>
      <c r="AT339" s="72"/>
    </row>
    <row r="340" spans="1:46" ht="15" customHeight="1" x14ac:dyDescent="0.25">
      <c r="A340"/>
      <c r="C340" s="397" t="str">
        <f ca="1">Área!C286</f>
        <v/>
      </c>
      <c r="D340" s="398"/>
      <c r="E340" s="398"/>
      <c r="F340" s="398"/>
      <c r="G340" s="396" t="str">
        <f ca="1">Área!F286</f>
        <v/>
      </c>
      <c r="H340" s="396"/>
      <c r="I340" s="398" t="str">
        <f ca="1">Área!G286</f>
        <v/>
      </c>
      <c r="J340" s="398"/>
      <c r="K340" s="396" t="str">
        <f ca="1">Área!H286</f>
        <v/>
      </c>
      <c r="L340" s="396"/>
      <c r="M340" s="396" t="str">
        <f ca="1">Área!I286</f>
        <v/>
      </c>
      <c r="N340" s="396"/>
      <c r="O340" s="396" t="str">
        <f ca="1">Área!J286</f>
        <v/>
      </c>
      <c r="P340" s="396"/>
      <c r="Q340" s="396" t="str">
        <f ca="1">Área!K286</f>
        <v/>
      </c>
      <c r="R340" s="396"/>
      <c r="S340" s="396" t="str">
        <f ca="1">Área!L286</f>
        <v/>
      </c>
      <c r="T340" s="396"/>
      <c r="U340" s="396" t="str">
        <f ca="1">Área!N286</f>
        <v/>
      </c>
      <c r="V340" s="396"/>
      <c r="W340" s="396" t="str">
        <f ca="1">Área!M286</f>
        <v/>
      </c>
      <c r="X340" s="396"/>
      <c r="Y340" s="89" t="str">
        <f ca="1">Área!O286</f>
        <v/>
      </c>
      <c r="Z340" s="399" t="str">
        <f ca="1">Área!P286</f>
        <v/>
      </c>
      <c r="AA340" s="399"/>
      <c r="AB340" s="399"/>
      <c r="AC340" s="399"/>
      <c r="AD340" s="399" t="str">
        <f ca="1">Área!Q286</f>
        <v/>
      </c>
      <c r="AE340" s="399"/>
      <c r="AF340" s="399"/>
      <c r="AG340" s="399"/>
      <c r="AH340" s="400" t="str">
        <f ca="1">Área!R286</f>
        <v/>
      </c>
      <c r="AI340" s="400"/>
      <c r="AJ340" s="400" t="str">
        <f ca="1">Área!S286</f>
        <v/>
      </c>
      <c r="AK340" s="400"/>
      <c r="AL340" s="400" t="str">
        <f ca="1">Área!T286</f>
        <v/>
      </c>
      <c r="AM340" s="400"/>
      <c r="AN340" s="400" t="str">
        <f ca="1">Área!U286</f>
        <v/>
      </c>
      <c r="AO340" s="400"/>
      <c r="AP340" s="422" t="str">
        <f ca="1">IFERROR(Área!Z286,"")</f>
        <v/>
      </c>
      <c r="AQ340" s="422"/>
      <c r="AR340" s="400" t="str">
        <f ca="1">Área!Y286</f>
        <v/>
      </c>
      <c r="AS340" s="423"/>
      <c r="AT340" s="72"/>
    </row>
    <row r="341" spans="1:46" ht="15" customHeight="1" x14ac:dyDescent="0.25">
      <c r="A341"/>
      <c r="C341" s="397" t="str">
        <f ca="1">Área!C287</f>
        <v/>
      </c>
      <c r="D341" s="398"/>
      <c r="E341" s="398"/>
      <c r="F341" s="398"/>
      <c r="G341" s="396" t="str">
        <f ca="1">Área!F287</f>
        <v/>
      </c>
      <c r="H341" s="396"/>
      <c r="I341" s="398" t="str">
        <f ca="1">Área!G287</f>
        <v/>
      </c>
      <c r="J341" s="398"/>
      <c r="K341" s="396" t="str">
        <f ca="1">Área!H287</f>
        <v/>
      </c>
      <c r="L341" s="396"/>
      <c r="M341" s="396" t="str">
        <f ca="1">Área!I287</f>
        <v/>
      </c>
      <c r="N341" s="396"/>
      <c r="O341" s="396" t="str">
        <f ca="1">Área!J287</f>
        <v/>
      </c>
      <c r="P341" s="396"/>
      <c r="Q341" s="396" t="str">
        <f ca="1">Área!K287</f>
        <v/>
      </c>
      <c r="R341" s="396"/>
      <c r="S341" s="396" t="str">
        <f ca="1">Área!L287</f>
        <v/>
      </c>
      <c r="T341" s="396"/>
      <c r="U341" s="396" t="str">
        <f ca="1">Área!N287</f>
        <v/>
      </c>
      <c r="V341" s="396"/>
      <c r="W341" s="396" t="str">
        <f ca="1">Área!M287</f>
        <v/>
      </c>
      <c r="X341" s="396"/>
      <c r="Y341" s="89" t="str">
        <f ca="1">Área!O287</f>
        <v/>
      </c>
      <c r="Z341" s="399" t="str">
        <f ca="1">Área!P287</f>
        <v/>
      </c>
      <c r="AA341" s="399"/>
      <c r="AB341" s="399"/>
      <c r="AC341" s="399"/>
      <c r="AD341" s="399" t="str">
        <f ca="1">Área!Q287</f>
        <v/>
      </c>
      <c r="AE341" s="399"/>
      <c r="AF341" s="399"/>
      <c r="AG341" s="399"/>
      <c r="AH341" s="400" t="str">
        <f ca="1">Área!R287</f>
        <v/>
      </c>
      <c r="AI341" s="400"/>
      <c r="AJ341" s="400" t="str">
        <f ca="1">Área!S287</f>
        <v/>
      </c>
      <c r="AK341" s="400"/>
      <c r="AL341" s="400" t="str">
        <f ca="1">Área!T287</f>
        <v/>
      </c>
      <c r="AM341" s="400"/>
      <c r="AN341" s="400" t="str">
        <f ca="1">Área!U287</f>
        <v/>
      </c>
      <c r="AO341" s="400"/>
      <c r="AP341" s="422" t="str">
        <f ca="1">IFERROR(Área!Z287,"")</f>
        <v/>
      </c>
      <c r="AQ341" s="422"/>
      <c r="AR341" s="400" t="str">
        <f ca="1">Área!Y287</f>
        <v/>
      </c>
      <c r="AS341" s="423"/>
      <c r="AT341" s="72"/>
    </row>
    <row r="342" spans="1:46" ht="15" customHeight="1" x14ac:dyDescent="0.25">
      <c r="A342"/>
      <c r="C342" s="397" t="str">
        <f ca="1">Área!C288</f>
        <v/>
      </c>
      <c r="D342" s="398"/>
      <c r="E342" s="398"/>
      <c r="F342" s="398"/>
      <c r="G342" s="396" t="str">
        <f ca="1">Área!F288</f>
        <v/>
      </c>
      <c r="H342" s="396"/>
      <c r="I342" s="398" t="str">
        <f ca="1">Área!G288</f>
        <v/>
      </c>
      <c r="J342" s="398"/>
      <c r="K342" s="396" t="str">
        <f ca="1">Área!H288</f>
        <v/>
      </c>
      <c r="L342" s="396"/>
      <c r="M342" s="396" t="str">
        <f ca="1">Área!I288</f>
        <v/>
      </c>
      <c r="N342" s="396"/>
      <c r="O342" s="396" t="str">
        <f ca="1">Área!J288</f>
        <v/>
      </c>
      <c r="P342" s="396"/>
      <c r="Q342" s="396" t="str">
        <f ca="1">Área!K288</f>
        <v/>
      </c>
      <c r="R342" s="396"/>
      <c r="S342" s="396" t="str">
        <f ca="1">Área!L288</f>
        <v/>
      </c>
      <c r="T342" s="396"/>
      <c r="U342" s="396" t="str">
        <f ca="1">Área!N288</f>
        <v/>
      </c>
      <c r="V342" s="396"/>
      <c r="W342" s="396" t="str">
        <f ca="1">Área!M288</f>
        <v/>
      </c>
      <c r="X342" s="396"/>
      <c r="Y342" s="89" t="str">
        <f ca="1">Área!O288</f>
        <v/>
      </c>
      <c r="Z342" s="399" t="str">
        <f ca="1">Área!P288</f>
        <v/>
      </c>
      <c r="AA342" s="399"/>
      <c r="AB342" s="399"/>
      <c r="AC342" s="399"/>
      <c r="AD342" s="399" t="str">
        <f ca="1">Área!Q288</f>
        <v/>
      </c>
      <c r="AE342" s="399"/>
      <c r="AF342" s="399"/>
      <c r="AG342" s="399"/>
      <c r="AH342" s="400" t="str">
        <f ca="1">Área!R288</f>
        <v/>
      </c>
      <c r="AI342" s="400"/>
      <c r="AJ342" s="400" t="str">
        <f ca="1">Área!S288</f>
        <v/>
      </c>
      <c r="AK342" s="400"/>
      <c r="AL342" s="400" t="str">
        <f ca="1">Área!T288</f>
        <v/>
      </c>
      <c r="AM342" s="400"/>
      <c r="AN342" s="400" t="str">
        <f ca="1">Área!U288</f>
        <v/>
      </c>
      <c r="AO342" s="400"/>
      <c r="AP342" s="422" t="str">
        <f ca="1">IFERROR(Área!Z288,"")</f>
        <v/>
      </c>
      <c r="AQ342" s="422"/>
      <c r="AR342" s="400" t="str">
        <f ca="1">Área!Y288</f>
        <v/>
      </c>
      <c r="AS342" s="423"/>
      <c r="AT342" s="72"/>
    </row>
    <row r="343" spans="1:46" ht="15" customHeight="1" x14ac:dyDescent="0.25">
      <c r="A343"/>
      <c r="C343" s="397" t="str">
        <f ca="1">Área!C289</f>
        <v/>
      </c>
      <c r="D343" s="398"/>
      <c r="E343" s="398"/>
      <c r="F343" s="398"/>
      <c r="G343" s="396" t="str">
        <f ca="1">Área!F289</f>
        <v/>
      </c>
      <c r="H343" s="396"/>
      <c r="I343" s="398" t="str">
        <f ca="1">Área!G289</f>
        <v/>
      </c>
      <c r="J343" s="398"/>
      <c r="K343" s="396" t="str">
        <f ca="1">Área!H289</f>
        <v/>
      </c>
      <c r="L343" s="396"/>
      <c r="M343" s="396" t="str">
        <f ca="1">Área!I289</f>
        <v/>
      </c>
      <c r="N343" s="396"/>
      <c r="O343" s="396" t="str">
        <f ca="1">Área!J289</f>
        <v/>
      </c>
      <c r="P343" s="396"/>
      <c r="Q343" s="396" t="str">
        <f ca="1">Área!K289</f>
        <v/>
      </c>
      <c r="R343" s="396"/>
      <c r="S343" s="396" t="str">
        <f ca="1">Área!L289</f>
        <v/>
      </c>
      <c r="T343" s="396"/>
      <c r="U343" s="396" t="str">
        <f ca="1">Área!N289</f>
        <v/>
      </c>
      <c r="V343" s="396"/>
      <c r="W343" s="396" t="str">
        <f ca="1">Área!M289</f>
        <v/>
      </c>
      <c r="X343" s="396"/>
      <c r="Y343" s="89" t="str">
        <f ca="1">Área!O289</f>
        <v/>
      </c>
      <c r="Z343" s="399" t="str">
        <f ca="1">Área!P289</f>
        <v/>
      </c>
      <c r="AA343" s="399"/>
      <c r="AB343" s="399"/>
      <c r="AC343" s="399"/>
      <c r="AD343" s="399" t="str">
        <f ca="1">Área!Q289</f>
        <v/>
      </c>
      <c r="AE343" s="399"/>
      <c r="AF343" s="399"/>
      <c r="AG343" s="399"/>
      <c r="AH343" s="400" t="str">
        <f ca="1">Área!R289</f>
        <v/>
      </c>
      <c r="AI343" s="400"/>
      <c r="AJ343" s="400" t="str">
        <f ca="1">Área!S289</f>
        <v/>
      </c>
      <c r="AK343" s="400"/>
      <c r="AL343" s="400" t="str">
        <f ca="1">Área!T289</f>
        <v/>
      </c>
      <c r="AM343" s="400"/>
      <c r="AN343" s="400" t="str">
        <f ca="1">Área!U289</f>
        <v/>
      </c>
      <c r="AO343" s="400"/>
      <c r="AP343" s="422" t="str">
        <f ca="1">IFERROR(Área!Z289,"")</f>
        <v/>
      </c>
      <c r="AQ343" s="422"/>
      <c r="AR343" s="400" t="str">
        <f ca="1">Área!Y289</f>
        <v/>
      </c>
      <c r="AS343" s="423"/>
      <c r="AT343" s="72"/>
    </row>
    <row r="344" spans="1:46" ht="15" customHeight="1" x14ac:dyDescent="0.25">
      <c r="A344"/>
      <c r="C344" s="397" t="str">
        <f ca="1">Área!C290</f>
        <v/>
      </c>
      <c r="D344" s="398"/>
      <c r="E344" s="398"/>
      <c r="F344" s="398"/>
      <c r="G344" s="396" t="str">
        <f ca="1">Área!F290</f>
        <v/>
      </c>
      <c r="H344" s="396"/>
      <c r="I344" s="398" t="str">
        <f ca="1">Área!G290</f>
        <v/>
      </c>
      <c r="J344" s="398"/>
      <c r="K344" s="396" t="str">
        <f ca="1">Área!H290</f>
        <v/>
      </c>
      <c r="L344" s="396"/>
      <c r="M344" s="396" t="str">
        <f ca="1">Área!I290</f>
        <v/>
      </c>
      <c r="N344" s="396"/>
      <c r="O344" s="396" t="str">
        <f ca="1">Área!J290</f>
        <v/>
      </c>
      <c r="P344" s="396"/>
      <c r="Q344" s="396" t="str">
        <f ca="1">Área!K290</f>
        <v/>
      </c>
      <c r="R344" s="396"/>
      <c r="S344" s="396" t="str">
        <f ca="1">Área!L290</f>
        <v/>
      </c>
      <c r="T344" s="396"/>
      <c r="U344" s="396" t="str">
        <f ca="1">Área!N290</f>
        <v/>
      </c>
      <c r="V344" s="396"/>
      <c r="W344" s="396" t="str">
        <f ca="1">Área!M290</f>
        <v/>
      </c>
      <c r="X344" s="396"/>
      <c r="Y344" s="89" t="str">
        <f ca="1">Área!O290</f>
        <v/>
      </c>
      <c r="Z344" s="399" t="str">
        <f ca="1">Área!P290</f>
        <v/>
      </c>
      <c r="AA344" s="399"/>
      <c r="AB344" s="399"/>
      <c r="AC344" s="399"/>
      <c r="AD344" s="399" t="str">
        <f ca="1">Área!Q290</f>
        <v/>
      </c>
      <c r="AE344" s="399"/>
      <c r="AF344" s="399"/>
      <c r="AG344" s="399"/>
      <c r="AH344" s="400" t="str">
        <f ca="1">Área!R290</f>
        <v/>
      </c>
      <c r="AI344" s="400"/>
      <c r="AJ344" s="400" t="str">
        <f ca="1">Área!S290</f>
        <v/>
      </c>
      <c r="AK344" s="400"/>
      <c r="AL344" s="400" t="str">
        <f ca="1">Área!T290</f>
        <v/>
      </c>
      <c r="AM344" s="400"/>
      <c r="AN344" s="400" t="str">
        <f ca="1">Área!U290</f>
        <v/>
      </c>
      <c r="AO344" s="400"/>
      <c r="AP344" s="422" t="str">
        <f ca="1">IFERROR(Área!Z290,"")</f>
        <v/>
      </c>
      <c r="AQ344" s="422"/>
      <c r="AR344" s="400" t="str">
        <f ca="1">Área!Y290</f>
        <v/>
      </c>
      <c r="AS344" s="423"/>
      <c r="AT344" s="72"/>
    </row>
    <row r="345" spans="1:46" ht="15" customHeight="1" x14ac:dyDescent="0.25">
      <c r="A345"/>
      <c r="C345" s="397" t="str">
        <f ca="1">Área!C291</f>
        <v/>
      </c>
      <c r="D345" s="398"/>
      <c r="E345" s="398"/>
      <c r="F345" s="398"/>
      <c r="G345" s="396" t="str">
        <f ca="1">Área!F291</f>
        <v/>
      </c>
      <c r="H345" s="396"/>
      <c r="I345" s="398" t="str">
        <f ca="1">Área!G291</f>
        <v/>
      </c>
      <c r="J345" s="398"/>
      <c r="K345" s="396" t="str">
        <f ca="1">Área!H291</f>
        <v/>
      </c>
      <c r="L345" s="396"/>
      <c r="M345" s="396" t="str">
        <f ca="1">Área!I291</f>
        <v/>
      </c>
      <c r="N345" s="396"/>
      <c r="O345" s="396" t="str">
        <f ca="1">Área!J291</f>
        <v/>
      </c>
      <c r="P345" s="396"/>
      <c r="Q345" s="396" t="str">
        <f ca="1">Área!K291</f>
        <v/>
      </c>
      <c r="R345" s="396"/>
      <c r="S345" s="396" t="str">
        <f ca="1">Área!L291</f>
        <v/>
      </c>
      <c r="T345" s="396"/>
      <c r="U345" s="396" t="str">
        <f ca="1">Área!N291</f>
        <v/>
      </c>
      <c r="V345" s="396"/>
      <c r="W345" s="396" t="str">
        <f ca="1">Área!M291</f>
        <v/>
      </c>
      <c r="X345" s="396"/>
      <c r="Y345" s="89" t="str">
        <f ca="1">Área!O291</f>
        <v/>
      </c>
      <c r="Z345" s="399" t="str">
        <f ca="1">Área!P291</f>
        <v/>
      </c>
      <c r="AA345" s="399"/>
      <c r="AB345" s="399"/>
      <c r="AC345" s="399"/>
      <c r="AD345" s="399" t="str">
        <f ca="1">Área!Q291</f>
        <v/>
      </c>
      <c r="AE345" s="399"/>
      <c r="AF345" s="399"/>
      <c r="AG345" s="399"/>
      <c r="AH345" s="400" t="str">
        <f ca="1">Área!R291</f>
        <v/>
      </c>
      <c r="AI345" s="400"/>
      <c r="AJ345" s="400" t="str">
        <f ca="1">Área!S291</f>
        <v/>
      </c>
      <c r="AK345" s="400"/>
      <c r="AL345" s="400" t="str">
        <f ca="1">Área!T291</f>
        <v/>
      </c>
      <c r="AM345" s="400"/>
      <c r="AN345" s="400" t="str">
        <f ca="1">Área!U291</f>
        <v/>
      </c>
      <c r="AO345" s="400"/>
      <c r="AP345" s="422" t="str">
        <f ca="1">IFERROR(Área!Z291,"")</f>
        <v/>
      </c>
      <c r="AQ345" s="422"/>
      <c r="AR345" s="400" t="str">
        <f ca="1">Área!Y291</f>
        <v/>
      </c>
      <c r="AS345" s="423"/>
      <c r="AT345" s="72"/>
    </row>
    <row r="346" spans="1:46" ht="15" customHeight="1" x14ac:dyDescent="0.25">
      <c r="A346"/>
      <c r="C346" s="397" t="str">
        <f ca="1">Área!C292</f>
        <v/>
      </c>
      <c r="D346" s="398"/>
      <c r="E346" s="398"/>
      <c r="F346" s="398"/>
      <c r="G346" s="396" t="str">
        <f ca="1">Área!F292</f>
        <v/>
      </c>
      <c r="H346" s="396"/>
      <c r="I346" s="398" t="str">
        <f ca="1">Área!G292</f>
        <v/>
      </c>
      <c r="J346" s="398"/>
      <c r="K346" s="396" t="str">
        <f ca="1">Área!H292</f>
        <v/>
      </c>
      <c r="L346" s="396"/>
      <c r="M346" s="396" t="str">
        <f ca="1">Área!I292</f>
        <v/>
      </c>
      <c r="N346" s="396"/>
      <c r="O346" s="396" t="str">
        <f ca="1">Área!J292</f>
        <v/>
      </c>
      <c r="P346" s="396"/>
      <c r="Q346" s="396" t="str">
        <f ca="1">Área!K292</f>
        <v/>
      </c>
      <c r="R346" s="396"/>
      <c r="S346" s="396" t="str">
        <f ca="1">Área!L292</f>
        <v/>
      </c>
      <c r="T346" s="396"/>
      <c r="U346" s="396" t="str">
        <f ca="1">Área!N292</f>
        <v/>
      </c>
      <c r="V346" s="396"/>
      <c r="W346" s="396" t="str">
        <f ca="1">Área!M292</f>
        <v/>
      </c>
      <c r="X346" s="396"/>
      <c r="Y346" s="89" t="str">
        <f ca="1">Área!O292</f>
        <v/>
      </c>
      <c r="Z346" s="399" t="str">
        <f ca="1">Área!P292</f>
        <v/>
      </c>
      <c r="AA346" s="399"/>
      <c r="AB346" s="399"/>
      <c r="AC346" s="399"/>
      <c r="AD346" s="399" t="str">
        <f ca="1">Área!Q292</f>
        <v/>
      </c>
      <c r="AE346" s="399"/>
      <c r="AF346" s="399"/>
      <c r="AG346" s="399"/>
      <c r="AH346" s="400" t="str">
        <f ca="1">Área!R292</f>
        <v/>
      </c>
      <c r="AI346" s="400"/>
      <c r="AJ346" s="400" t="str">
        <f ca="1">Área!S292</f>
        <v/>
      </c>
      <c r="AK346" s="400"/>
      <c r="AL346" s="400" t="str">
        <f ca="1">Área!T292</f>
        <v/>
      </c>
      <c r="AM346" s="400"/>
      <c r="AN346" s="400" t="str">
        <f ca="1">Área!U292</f>
        <v/>
      </c>
      <c r="AO346" s="400"/>
      <c r="AP346" s="422" t="str">
        <f ca="1">IFERROR(Área!Z292,"")</f>
        <v/>
      </c>
      <c r="AQ346" s="422"/>
      <c r="AR346" s="400" t="str">
        <f ca="1">Área!Y292</f>
        <v/>
      </c>
      <c r="AS346" s="423"/>
      <c r="AT346" s="72"/>
    </row>
    <row r="347" spans="1:46" ht="15" customHeight="1" x14ac:dyDescent="0.25">
      <c r="A347"/>
      <c r="C347" s="397" t="str">
        <f ca="1">Área!C293</f>
        <v/>
      </c>
      <c r="D347" s="398"/>
      <c r="E347" s="398"/>
      <c r="F347" s="398"/>
      <c r="G347" s="396" t="str">
        <f ca="1">Área!F293</f>
        <v/>
      </c>
      <c r="H347" s="396"/>
      <c r="I347" s="398" t="str">
        <f ca="1">Área!G293</f>
        <v/>
      </c>
      <c r="J347" s="398"/>
      <c r="K347" s="396" t="str">
        <f ca="1">Área!H293</f>
        <v/>
      </c>
      <c r="L347" s="396"/>
      <c r="M347" s="396" t="str">
        <f ca="1">Área!I293</f>
        <v/>
      </c>
      <c r="N347" s="396"/>
      <c r="O347" s="396" t="str">
        <f ca="1">Área!J293</f>
        <v/>
      </c>
      <c r="P347" s="396"/>
      <c r="Q347" s="396" t="str">
        <f ca="1">Área!K293</f>
        <v/>
      </c>
      <c r="R347" s="396"/>
      <c r="S347" s="396" t="str">
        <f ca="1">Área!L293</f>
        <v/>
      </c>
      <c r="T347" s="396"/>
      <c r="U347" s="396" t="str">
        <f ca="1">Área!N293</f>
        <v/>
      </c>
      <c r="V347" s="396"/>
      <c r="W347" s="396" t="str">
        <f ca="1">Área!M293</f>
        <v/>
      </c>
      <c r="X347" s="396"/>
      <c r="Y347" s="89" t="str">
        <f ca="1">Área!O293</f>
        <v/>
      </c>
      <c r="Z347" s="399" t="str">
        <f ca="1">Área!P293</f>
        <v/>
      </c>
      <c r="AA347" s="399"/>
      <c r="AB347" s="399"/>
      <c r="AC347" s="399"/>
      <c r="AD347" s="399" t="str">
        <f ca="1">Área!Q293</f>
        <v/>
      </c>
      <c r="AE347" s="399"/>
      <c r="AF347" s="399"/>
      <c r="AG347" s="399"/>
      <c r="AH347" s="400" t="str">
        <f ca="1">Área!R293</f>
        <v/>
      </c>
      <c r="AI347" s="400"/>
      <c r="AJ347" s="400" t="str">
        <f ca="1">Área!S293</f>
        <v/>
      </c>
      <c r="AK347" s="400"/>
      <c r="AL347" s="400" t="str">
        <f ca="1">Área!T293</f>
        <v/>
      </c>
      <c r="AM347" s="400"/>
      <c r="AN347" s="400" t="str">
        <f ca="1">Área!U293</f>
        <v/>
      </c>
      <c r="AO347" s="400"/>
      <c r="AP347" s="422" t="str">
        <f ca="1">IFERROR(Área!Z293,"")</f>
        <v/>
      </c>
      <c r="AQ347" s="422"/>
      <c r="AR347" s="400" t="str">
        <f ca="1">Área!Y293</f>
        <v/>
      </c>
      <c r="AS347" s="423"/>
      <c r="AT347" s="72"/>
    </row>
    <row r="348" spans="1:46" ht="15" customHeight="1" x14ac:dyDescent="0.25">
      <c r="A348"/>
      <c r="C348" s="397" t="str">
        <f ca="1">Área!C294</f>
        <v/>
      </c>
      <c r="D348" s="398"/>
      <c r="E348" s="398"/>
      <c r="F348" s="398"/>
      <c r="G348" s="396" t="str">
        <f ca="1">Área!F294</f>
        <v/>
      </c>
      <c r="H348" s="396"/>
      <c r="I348" s="398" t="str">
        <f ca="1">Área!G294</f>
        <v/>
      </c>
      <c r="J348" s="398"/>
      <c r="K348" s="396" t="str">
        <f ca="1">Área!H294</f>
        <v/>
      </c>
      <c r="L348" s="396"/>
      <c r="M348" s="396" t="str">
        <f ca="1">Área!I294</f>
        <v/>
      </c>
      <c r="N348" s="396"/>
      <c r="O348" s="396" t="str">
        <f ca="1">Área!J294</f>
        <v/>
      </c>
      <c r="P348" s="396"/>
      <c r="Q348" s="396" t="str">
        <f ca="1">Área!K294</f>
        <v/>
      </c>
      <c r="R348" s="396"/>
      <c r="S348" s="396" t="str">
        <f ca="1">Área!L294</f>
        <v/>
      </c>
      <c r="T348" s="396"/>
      <c r="U348" s="396" t="str">
        <f ca="1">Área!N294</f>
        <v/>
      </c>
      <c r="V348" s="396"/>
      <c r="W348" s="396" t="str">
        <f ca="1">Área!M294</f>
        <v/>
      </c>
      <c r="X348" s="396"/>
      <c r="Y348" s="89" t="str">
        <f ca="1">Área!O294</f>
        <v/>
      </c>
      <c r="Z348" s="399" t="str">
        <f ca="1">Área!P294</f>
        <v/>
      </c>
      <c r="AA348" s="399"/>
      <c r="AB348" s="399"/>
      <c r="AC348" s="399"/>
      <c r="AD348" s="399" t="str">
        <f ca="1">Área!Q294</f>
        <v/>
      </c>
      <c r="AE348" s="399"/>
      <c r="AF348" s="399"/>
      <c r="AG348" s="399"/>
      <c r="AH348" s="400" t="str">
        <f ca="1">Área!R294</f>
        <v/>
      </c>
      <c r="AI348" s="400"/>
      <c r="AJ348" s="400" t="str">
        <f ca="1">Área!S294</f>
        <v/>
      </c>
      <c r="AK348" s="400"/>
      <c r="AL348" s="400" t="str">
        <f ca="1">Área!T294</f>
        <v/>
      </c>
      <c r="AM348" s="400"/>
      <c r="AN348" s="400" t="str">
        <f ca="1">Área!U294</f>
        <v/>
      </c>
      <c r="AO348" s="400"/>
      <c r="AP348" s="422" t="str">
        <f ca="1">IFERROR(Área!Z294,"")</f>
        <v/>
      </c>
      <c r="AQ348" s="422"/>
      <c r="AR348" s="400" t="str">
        <f ca="1">Área!Y294</f>
        <v/>
      </c>
      <c r="AS348" s="423"/>
      <c r="AT348" s="72"/>
    </row>
    <row r="349" spans="1:46" ht="15" customHeight="1" x14ac:dyDescent="0.25">
      <c r="A349"/>
      <c r="C349" s="397" t="str">
        <f ca="1">Área!C295</f>
        <v/>
      </c>
      <c r="D349" s="398"/>
      <c r="E349" s="398"/>
      <c r="F349" s="398"/>
      <c r="G349" s="396" t="str">
        <f ca="1">Área!F295</f>
        <v/>
      </c>
      <c r="H349" s="396"/>
      <c r="I349" s="398" t="str">
        <f ca="1">Área!G295</f>
        <v/>
      </c>
      <c r="J349" s="398"/>
      <c r="K349" s="396" t="str">
        <f ca="1">Área!H295</f>
        <v/>
      </c>
      <c r="L349" s="396"/>
      <c r="M349" s="396" t="str">
        <f ca="1">Área!I295</f>
        <v/>
      </c>
      <c r="N349" s="396"/>
      <c r="O349" s="396" t="str">
        <f ca="1">Área!J295</f>
        <v/>
      </c>
      <c r="P349" s="396"/>
      <c r="Q349" s="396" t="str">
        <f ca="1">Área!K295</f>
        <v/>
      </c>
      <c r="R349" s="396"/>
      <c r="S349" s="396" t="str">
        <f ca="1">Área!L295</f>
        <v/>
      </c>
      <c r="T349" s="396"/>
      <c r="U349" s="396" t="str">
        <f ca="1">Área!N295</f>
        <v/>
      </c>
      <c r="V349" s="396"/>
      <c r="W349" s="396" t="str">
        <f ca="1">Área!M295</f>
        <v/>
      </c>
      <c r="X349" s="396"/>
      <c r="Y349" s="89" t="str">
        <f ca="1">Área!O295</f>
        <v/>
      </c>
      <c r="Z349" s="399" t="str">
        <f ca="1">Área!P295</f>
        <v/>
      </c>
      <c r="AA349" s="399"/>
      <c r="AB349" s="399"/>
      <c r="AC349" s="399"/>
      <c r="AD349" s="399" t="str">
        <f ca="1">Área!Q295</f>
        <v/>
      </c>
      <c r="AE349" s="399"/>
      <c r="AF349" s="399"/>
      <c r="AG349" s="399"/>
      <c r="AH349" s="400" t="str">
        <f ca="1">Área!R295</f>
        <v/>
      </c>
      <c r="AI349" s="400"/>
      <c r="AJ349" s="400" t="str">
        <f ca="1">Área!S295</f>
        <v/>
      </c>
      <c r="AK349" s="400"/>
      <c r="AL349" s="400" t="str">
        <f ca="1">Área!T295</f>
        <v/>
      </c>
      <c r="AM349" s="400"/>
      <c r="AN349" s="400" t="str">
        <f ca="1">Área!U295</f>
        <v/>
      </c>
      <c r="AO349" s="400"/>
      <c r="AP349" s="422" t="str">
        <f ca="1">IFERROR(Área!Z295,"")</f>
        <v/>
      </c>
      <c r="AQ349" s="422"/>
      <c r="AR349" s="400" t="str">
        <f ca="1">Área!Y295</f>
        <v/>
      </c>
      <c r="AS349" s="423"/>
      <c r="AT349" s="72"/>
    </row>
    <row r="350" spans="1:46" ht="15" customHeight="1" x14ac:dyDescent="0.25">
      <c r="A350"/>
      <c r="C350" s="397" t="str">
        <f ca="1">Área!C296</f>
        <v/>
      </c>
      <c r="D350" s="398"/>
      <c r="E350" s="398"/>
      <c r="F350" s="398"/>
      <c r="G350" s="396" t="str">
        <f ca="1">Área!F296</f>
        <v/>
      </c>
      <c r="H350" s="396"/>
      <c r="I350" s="398" t="str">
        <f ca="1">Área!G296</f>
        <v/>
      </c>
      <c r="J350" s="398"/>
      <c r="K350" s="396" t="str">
        <f ca="1">Área!H296</f>
        <v/>
      </c>
      <c r="L350" s="396"/>
      <c r="M350" s="396" t="str">
        <f ca="1">Área!I296</f>
        <v/>
      </c>
      <c r="N350" s="396"/>
      <c r="O350" s="396" t="str">
        <f ca="1">Área!J296</f>
        <v/>
      </c>
      <c r="P350" s="396"/>
      <c r="Q350" s="396" t="str">
        <f ca="1">Área!K296</f>
        <v/>
      </c>
      <c r="R350" s="396"/>
      <c r="S350" s="396" t="str">
        <f ca="1">Área!L296</f>
        <v/>
      </c>
      <c r="T350" s="396"/>
      <c r="U350" s="396" t="str">
        <f ca="1">Área!N296</f>
        <v/>
      </c>
      <c r="V350" s="396"/>
      <c r="W350" s="396" t="str">
        <f ca="1">Área!M296</f>
        <v/>
      </c>
      <c r="X350" s="396"/>
      <c r="Y350" s="89" t="str">
        <f ca="1">Área!O296</f>
        <v/>
      </c>
      <c r="Z350" s="399" t="str">
        <f ca="1">Área!P296</f>
        <v/>
      </c>
      <c r="AA350" s="399"/>
      <c r="AB350" s="399"/>
      <c r="AC350" s="399"/>
      <c r="AD350" s="399" t="str">
        <f ca="1">Área!Q296</f>
        <v/>
      </c>
      <c r="AE350" s="399"/>
      <c r="AF350" s="399"/>
      <c r="AG350" s="399"/>
      <c r="AH350" s="400" t="str">
        <f ca="1">Área!R296</f>
        <v/>
      </c>
      <c r="AI350" s="400"/>
      <c r="AJ350" s="400" t="str">
        <f ca="1">Área!S296</f>
        <v/>
      </c>
      <c r="AK350" s="400"/>
      <c r="AL350" s="400" t="str">
        <f ca="1">Área!T296</f>
        <v/>
      </c>
      <c r="AM350" s="400"/>
      <c r="AN350" s="400" t="str">
        <f ca="1">Área!U296</f>
        <v/>
      </c>
      <c r="AO350" s="400"/>
      <c r="AP350" s="422" t="str">
        <f ca="1">IFERROR(Área!Z296,"")</f>
        <v/>
      </c>
      <c r="AQ350" s="422"/>
      <c r="AR350" s="400" t="str">
        <f ca="1">Área!Y296</f>
        <v/>
      </c>
      <c r="AS350" s="423"/>
      <c r="AT350" s="72"/>
    </row>
    <row r="351" spans="1:46" ht="15" customHeight="1" x14ac:dyDescent="0.25">
      <c r="A351"/>
      <c r="C351" s="397" t="str">
        <f ca="1">Área!C297</f>
        <v/>
      </c>
      <c r="D351" s="398"/>
      <c r="E351" s="398"/>
      <c r="F351" s="398"/>
      <c r="G351" s="396" t="str">
        <f ca="1">Área!F297</f>
        <v/>
      </c>
      <c r="H351" s="396"/>
      <c r="I351" s="398" t="str">
        <f ca="1">Área!G297</f>
        <v/>
      </c>
      <c r="J351" s="398"/>
      <c r="K351" s="396" t="str">
        <f ca="1">Área!H297</f>
        <v/>
      </c>
      <c r="L351" s="396"/>
      <c r="M351" s="396" t="str">
        <f ca="1">Área!I297</f>
        <v/>
      </c>
      <c r="N351" s="396"/>
      <c r="O351" s="396" t="str">
        <f ca="1">Área!J297</f>
        <v/>
      </c>
      <c r="P351" s="396"/>
      <c r="Q351" s="396" t="str">
        <f ca="1">Área!K297</f>
        <v/>
      </c>
      <c r="R351" s="396"/>
      <c r="S351" s="396" t="str">
        <f ca="1">Área!L297</f>
        <v/>
      </c>
      <c r="T351" s="396"/>
      <c r="U351" s="396" t="str">
        <f ca="1">Área!N297</f>
        <v/>
      </c>
      <c r="V351" s="396"/>
      <c r="W351" s="396" t="str">
        <f ca="1">Área!M297</f>
        <v/>
      </c>
      <c r="X351" s="396"/>
      <c r="Y351" s="89" t="str">
        <f ca="1">Área!O297</f>
        <v/>
      </c>
      <c r="Z351" s="399" t="str">
        <f ca="1">Área!P297</f>
        <v/>
      </c>
      <c r="AA351" s="399"/>
      <c r="AB351" s="399"/>
      <c r="AC351" s="399"/>
      <c r="AD351" s="399" t="str">
        <f ca="1">Área!Q297</f>
        <v/>
      </c>
      <c r="AE351" s="399"/>
      <c r="AF351" s="399"/>
      <c r="AG351" s="399"/>
      <c r="AH351" s="400" t="str">
        <f ca="1">Área!R297</f>
        <v/>
      </c>
      <c r="AI351" s="400"/>
      <c r="AJ351" s="400" t="str">
        <f ca="1">Área!S297</f>
        <v/>
      </c>
      <c r="AK351" s="400"/>
      <c r="AL351" s="400" t="str">
        <f ca="1">Área!T297</f>
        <v/>
      </c>
      <c r="AM351" s="400"/>
      <c r="AN351" s="400" t="str">
        <f ca="1">Área!U297</f>
        <v/>
      </c>
      <c r="AO351" s="400"/>
      <c r="AP351" s="422" t="str">
        <f ca="1">IFERROR(Área!Z297,"")</f>
        <v/>
      </c>
      <c r="AQ351" s="422"/>
      <c r="AR351" s="400" t="str">
        <f ca="1">Área!Y297</f>
        <v/>
      </c>
      <c r="AS351" s="423"/>
      <c r="AT351" s="72"/>
    </row>
    <row r="352" spans="1:46" ht="15" customHeight="1" x14ac:dyDescent="0.25">
      <c r="A352"/>
      <c r="C352" s="397" t="str">
        <f ca="1">Área!C298</f>
        <v/>
      </c>
      <c r="D352" s="398"/>
      <c r="E352" s="398"/>
      <c r="F352" s="398"/>
      <c r="G352" s="396" t="str">
        <f ca="1">Área!F298</f>
        <v/>
      </c>
      <c r="H352" s="396"/>
      <c r="I352" s="398" t="str">
        <f ca="1">Área!G298</f>
        <v/>
      </c>
      <c r="J352" s="398"/>
      <c r="K352" s="396" t="str">
        <f ca="1">Área!H298</f>
        <v/>
      </c>
      <c r="L352" s="396"/>
      <c r="M352" s="396" t="str">
        <f ca="1">Área!I298</f>
        <v/>
      </c>
      <c r="N352" s="396"/>
      <c r="O352" s="396" t="str">
        <f ca="1">Área!J298</f>
        <v/>
      </c>
      <c r="P352" s="396"/>
      <c r="Q352" s="396" t="str">
        <f ca="1">Área!K298</f>
        <v/>
      </c>
      <c r="R352" s="396"/>
      <c r="S352" s="396" t="str">
        <f ca="1">Área!L298</f>
        <v/>
      </c>
      <c r="T352" s="396"/>
      <c r="U352" s="396" t="str">
        <f ca="1">Área!N298</f>
        <v/>
      </c>
      <c r="V352" s="396"/>
      <c r="W352" s="396" t="str">
        <f ca="1">Área!M298</f>
        <v/>
      </c>
      <c r="X352" s="396"/>
      <c r="Y352" s="89" t="str">
        <f ca="1">Área!O298</f>
        <v/>
      </c>
      <c r="Z352" s="399" t="str">
        <f ca="1">Área!P298</f>
        <v/>
      </c>
      <c r="AA352" s="399"/>
      <c r="AB352" s="399"/>
      <c r="AC352" s="399"/>
      <c r="AD352" s="399" t="str">
        <f ca="1">Área!Q298</f>
        <v/>
      </c>
      <c r="AE352" s="399"/>
      <c r="AF352" s="399"/>
      <c r="AG352" s="399"/>
      <c r="AH352" s="400" t="str">
        <f ca="1">Área!R298</f>
        <v/>
      </c>
      <c r="AI352" s="400"/>
      <c r="AJ352" s="400" t="str">
        <f ca="1">Área!S298</f>
        <v/>
      </c>
      <c r="AK352" s="400"/>
      <c r="AL352" s="400" t="str">
        <f ca="1">Área!T298</f>
        <v/>
      </c>
      <c r="AM352" s="400"/>
      <c r="AN352" s="400" t="str">
        <f ca="1">Área!U298</f>
        <v/>
      </c>
      <c r="AO352" s="400"/>
      <c r="AP352" s="422" t="str">
        <f ca="1">IFERROR(Área!Z298,"")</f>
        <v/>
      </c>
      <c r="AQ352" s="422"/>
      <c r="AR352" s="400" t="str">
        <f ca="1">Área!Y298</f>
        <v/>
      </c>
      <c r="AS352" s="423"/>
      <c r="AT352" s="72"/>
    </row>
    <row r="353" spans="1:46" ht="15" customHeight="1" x14ac:dyDescent="0.25">
      <c r="A353"/>
      <c r="C353" s="397" t="str">
        <f ca="1">Área!C299</f>
        <v/>
      </c>
      <c r="D353" s="398"/>
      <c r="E353" s="398"/>
      <c r="F353" s="398"/>
      <c r="G353" s="396" t="str">
        <f ca="1">Área!F299</f>
        <v/>
      </c>
      <c r="H353" s="396"/>
      <c r="I353" s="398" t="str">
        <f ca="1">Área!G299</f>
        <v/>
      </c>
      <c r="J353" s="398"/>
      <c r="K353" s="396" t="str">
        <f ca="1">Área!H299</f>
        <v/>
      </c>
      <c r="L353" s="396"/>
      <c r="M353" s="396" t="str">
        <f ca="1">Área!I299</f>
        <v/>
      </c>
      <c r="N353" s="396"/>
      <c r="O353" s="396" t="str">
        <f ca="1">Área!J299</f>
        <v/>
      </c>
      <c r="P353" s="396"/>
      <c r="Q353" s="396" t="str">
        <f ca="1">Área!K299</f>
        <v/>
      </c>
      <c r="R353" s="396"/>
      <c r="S353" s="396" t="str">
        <f ca="1">Área!L299</f>
        <v/>
      </c>
      <c r="T353" s="396"/>
      <c r="U353" s="396" t="str">
        <f ca="1">Área!N299</f>
        <v/>
      </c>
      <c r="V353" s="396"/>
      <c r="W353" s="396" t="str">
        <f ca="1">Área!M299</f>
        <v/>
      </c>
      <c r="X353" s="396"/>
      <c r="Y353" s="89" t="str">
        <f ca="1">Área!O299</f>
        <v/>
      </c>
      <c r="Z353" s="399" t="str">
        <f ca="1">Área!P299</f>
        <v/>
      </c>
      <c r="AA353" s="399"/>
      <c r="AB353" s="399"/>
      <c r="AC353" s="399"/>
      <c r="AD353" s="399" t="str">
        <f ca="1">Área!Q299</f>
        <v/>
      </c>
      <c r="AE353" s="399"/>
      <c r="AF353" s="399"/>
      <c r="AG353" s="399"/>
      <c r="AH353" s="400" t="str">
        <f ca="1">Área!R299</f>
        <v/>
      </c>
      <c r="AI353" s="400"/>
      <c r="AJ353" s="400" t="str">
        <f ca="1">Área!S299</f>
        <v/>
      </c>
      <c r="AK353" s="400"/>
      <c r="AL353" s="400" t="str">
        <f ca="1">Área!T299</f>
        <v/>
      </c>
      <c r="AM353" s="400"/>
      <c r="AN353" s="400" t="str">
        <f ca="1">Área!U299</f>
        <v/>
      </c>
      <c r="AO353" s="400"/>
      <c r="AP353" s="422" t="str">
        <f ca="1">IFERROR(Área!Z299,"")</f>
        <v/>
      </c>
      <c r="AQ353" s="422"/>
      <c r="AR353" s="400" t="str">
        <f ca="1">Área!Y299</f>
        <v/>
      </c>
      <c r="AS353" s="423"/>
      <c r="AT353" s="72"/>
    </row>
    <row r="354" spans="1:46" ht="15" customHeight="1" x14ac:dyDescent="0.25">
      <c r="A354"/>
      <c r="C354" s="397" t="str">
        <f ca="1">Área!C300</f>
        <v/>
      </c>
      <c r="D354" s="398"/>
      <c r="E354" s="398"/>
      <c r="F354" s="398"/>
      <c r="G354" s="396" t="str">
        <f ca="1">Área!F300</f>
        <v/>
      </c>
      <c r="H354" s="396"/>
      <c r="I354" s="398" t="str">
        <f ca="1">Área!G300</f>
        <v/>
      </c>
      <c r="J354" s="398"/>
      <c r="K354" s="396" t="str">
        <f ca="1">Área!H300</f>
        <v/>
      </c>
      <c r="L354" s="396"/>
      <c r="M354" s="396" t="str">
        <f ca="1">Área!I300</f>
        <v/>
      </c>
      <c r="N354" s="396"/>
      <c r="O354" s="396" t="str">
        <f ca="1">Área!J300</f>
        <v/>
      </c>
      <c r="P354" s="396"/>
      <c r="Q354" s="396" t="str">
        <f ca="1">Área!K300</f>
        <v/>
      </c>
      <c r="R354" s="396"/>
      <c r="S354" s="396" t="str">
        <f ca="1">Área!L300</f>
        <v/>
      </c>
      <c r="T354" s="396"/>
      <c r="U354" s="396" t="str">
        <f ca="1">Área!N300</f>
        <v/>
      </c>
      <c r="V354" s="396"/>
      <c r="W354" s="396" t="str">
        <f ca="1">Área!M300</f>
        <v/>
      </c>
      <c r="X354" s="396"/>
      <c r="Y354" s="89" t="str">
        <f ca="1">Área!O300</f>
        <v/>
      </c>
      <c r="Z354" s="399" t="str">
        <f ca="1">Área!P300</f>
        <v/>
      </c>
      <c r="AA354" s="399"/>
      <c r="AB354" s="399"/>
      <c r="AC354" s="399"/>
      <c r="AD354" s="399" t="str">
        <f ca="1">Área!Q300</f>
        <v/>
      </c>
      <c r="AE354" s="399"/>
      <c r="AF354" s="399"/>
      <c r="AG354" s="399"/>
      <c r="AH354" s="400" t="str">
        <f ca="1">Área!R300</f>
        <v/>
      </c>
      <c r="AI354" s="400"/>
      <c r="AJ354" s="400" t="str">
        <f ca="1">Área!S300</f>
        <v/>
      </c>
      <c r="AK354" s="400"/>
      <c r="AL354" s="400" t="str">
        <f ca="1">Área!T300</f>
        <v/>
      </c>
      <c r="AM354" s="400"/>
      <c r="AN354" s="400" t="str">
        <f ca="1">Área!U300</f>
        <v/>
      </c>
      <c r="AO354" s="400"/>
      <c r="AP354" s="422" t="str">
        <f ca="1">IFERROR(Área!Z300,"")</f>
        <v/>
      </c>
      <c r="AQ354" s="422"/>
      <c r="AR354" s="400" t="str">
        <f ca="1">Área!Y300</f>
        <v/>
      </c>
      <c r="AS354" s="423"/>
      <c r="AT354" s="72"/>
    </row>
    <row r="355" spans="1:46" ht="15" customHeight="1" x14ac:dyDescent="0.25">
      <c r="A355"/>
      <c r="C355" s="397" t="str">
        <f ca="1">Área!C301</f>
        <v/>
      </c>
      <c r="D355" s="398"/>
      <c r="E355" s="398"/>
      <c r="F355" s="398"/>
      <c r="G355" s="396" t="str">
        <f ca="1">Área!F301</f>
        <v/>
      </c>
      <c r="H355" s="396"/>
      <c r="I355" s="398" t="str">
        <f ca="1">Área!G301</f>
        <v/>
      </c>
      <c r="J355" s="398"/>
      <c r="K355" s="396" t="str">
        <f ca="1">Área!H301</f>
        <v/>
      </c>
      <c r="L355" s="396"/>
      <c r="M355" s="396" t="str">
        <f ca="1">Área!I301</f>
        <v/>
      </c>
      <c r="N355" s="396"/>
      <c r="O355" s="396" t="str">
        <f ca="1">Área!J301</f>
        <v/>
      </c>
      <c r="P355" s="396"/>
      <c r="Q355" s="396" t="str">
        <f ca="1">Área!K301</f>
        <v/>
      </c>
      <c r="R355" s="396"/>
      <c r="S355" s="396" t="str">
        <f ca="1">Área!L301</f>
        <v/>
      </c>
      <c r="T355" s="396"/>
      <c r="U355" s="396" t="str">
        <f ca="1">Área!N301</f>
        <v/>
      </c>
      <c r="V355" s="396"/>
      <c r="W355" s="396" t="str">
        <f ca="1">Área!M301</f>
        <v/>
      </c>
      <c r="X355" s="396"/>
      <c r="Y355" s="89" t="str">
        <f ca="1">Área!O301</f>
        <v/>
      </c>
      <c r="Z355" s="399" t="str">
        <f ca="1">Área!P301</f>
        <v/>
      </c>
      <c r="AA355" s="399"/>
      <c r="AB355" s="399"/>
      <c r="AC355" s="399"/>
      <c r="AD355" s="399" t="str">
        <f ca="1">Área!Q301</f>
        <v/>
      </c>
      <c r="AE355" s="399"/>
      <c r="AF355" s="399"/>
      <c r="AG355" s="399"/>
      <c r="AH355" s="400" t="str">
        <f ca="1">Área!R301</f>
        <v/>
      </c>
      <c r="AI355" s="400"/>
      <c r="AJ355" s="400" t="str">
        <f ca="1">Área!S301</f>
        <v/>
      </c>
      <c r="AK355" s="400"/>
      <c r="AL355" s="400" t="str">
        <f ca="1">Área!T301</f>
        <v/>
      </c>
      <c r="AM355" s="400"/>
      <c r="AN355" s="400" t="str">
        <f ca="1">Área!U301</f>
        <v/>
      </c>
      <c r="AO355" s="400"/>
      <c r="AP355" s="422" t="str">
        <f ca="1">IFERROR(Área!Z301,"")</f>
        <v/>
      </c>
      <c r="AQ355" s="422"/>
      <c r="AR355" s="400" t="str">
        <f ca="1">Área!Y301</f>
        <v/>
      </c>
      <c r="AS355" s="423"/>
      <c r="AT355" s="72"/>
    </row>
    <row r="356" spans="1:46" ht="15" customHeight="1" x14ac:dyDescent="0.25">
      <c r="A356"/>
      <c r="C356" s="397" t="str">
        <f ca="1">Área!C302</f>
        <v/>
      </c>
      <c r="D356" s="398"/>
      <c r="E356" s="398"/>
      <c r="F356" s="398"/>
      <c r="G356" s="396" t="str">
        <f ca="1">Área!F302</f>
        <v/>
      </c>
      <c r="H356" s="396"/>
      <c r="I356" s="398" t="str">
        <f ca="1">Área!G302</f>
        <v/>
      </c>
      <c r="J356" s="398"/>
      <c r="K356" s="396" t="str">
        <f ca="1">Área!H302</f>
        <v/>
      </c>
      <c r="L356" s="396"/>
      <c r="M356" s="396" t="str">
        <f ca="1">Área!I302</f>
        <v/>
      </c>
      <c r="N356" s="396"/>
      <c r="O356" s="396" t="str">
        <f ca="1">Área!J302</f>
        <v/>
      </c>
      <c r="P356" s="396"/>
      <c r="Q356" s="396" t="str">
        <f ca="1">Área!K302</f>
        <v/>
      </c>
      <c r="R356" s="396"/>
      <c r="S356" s="396" t="str">
        <f ca="1">Área!L302</f>
        <v/>
      </c>
      <c r="T356" s="396"/>
      <c r="U356" s="396" t="str">
        <f ca="1">Área!N302</f>
        <v/>
      </c>
      <c r="V356" s="396"/>
      <c r="W356" s="396" t="str">
        <f ca="1">Área!M302</f>
        <v/>
      </c>
      <c r="X356" s="396"/>
      <c r="Y356" s="89" t="str">
        <f ca="1">Área!O302</f>
        <v/>
      </c>
      <c r="Z356" s="399" t="str">
        <f ca="1">Área!P302</f>
        <v/>
      </c>
      <c r="AA356" s="399"/>
      <c r="AB356" s="399"/>
      <c r="AC356" s="399"/>
      <c r="AD356" s="399" t="str">
        <f ca="1">Área!Q302</f>
        <v/>
      </c>
      <c r="AE356" s="399"/>
      <c r="AF356" s="399"/>
      <c r="AG356" s="399"/>
      <c r="AH356" s="400" t="str">
        <f ca="1">Área!R302</f>
        <v/>
      </c>
      <c r="AI356" s="400"/>
      <c r="AJ356" s="400" t="str">
        <f ca="1">Área!S302</f>
        <v/>
      </c>
      <c r="AK356" s="400"/>
      <c r="AL356" s="400" t="str">
        <f ca="1">Área!T302</f>
        <v/>
      </c>
      <c r="AM356" s="400"/>
      <c r="AN356" s="400" t="str">
        <f ca="1">Área!U302</f>
        <v/>
      </c>
      <c r="AO356" s="400"/>
      <c r="AP356" s="422" t="str">
        <f ca="1">IFERROR(Área!Z302,"")</f>
        <v/>
      </c>
      <c r="AQ356" s="422"/>
      <c r="AR356" s="400" t="str">
        <f ca="1">Área!Y302</f>
        <v/>
      </c>
      <c r="AS356" s="423"/>
      <c r="AT356" s="72"/>
    </row>
    <row r="357" spans="1:46" ht="15" customHeight="1" x14ac:dyDescent="0.25">
      <c r="A357"/>
      <c r="C357" s="397" t="str">
        <f ca="1">Área!C303</f>
        <v/>
      </c>
      <c r="D357" s="398"/>
      <c r="E357" s="398"/>
      <c r="F357" s="398"/>
      <c r="G357" s="396" t="str">
        <f ca="1">Área!F303</f>
        <v/>
      </c>
      <c r="H357" s="396"/>
      <c r="I357" s="398" t="str">
        <f ca="1">Área!G303</f>
        <v/>
      </c>
      <c r="J357" s="398"/>
      <c r="K357" s="396" t="str">
        <f ca="1">Área!H303</f>
        <v/>
      </c>
      <c r="L357" s="396"/>
      <c r="M357" s="396" t="str">
        <f ca="1">Área!I303</f>
        <v/>
      </c>
      <c r="N357" s="396"/>
      <c r="O357" s="396" t="str">
        <f ca="1">Área!J303</f>
        <v/>
      </c>
      <c r="P357" s="396"/>
      <c r="Q357" s="396" t="str">
        <f ca="1">Área!K303</f>
        <v/>
      </c>
      <c r="R357" s="396"/>
      <c r="S357" s="396" t="str">
        <f ca="1">Área!L303</f>
        <v/>
      </c>
      <c r="T357" s="396"/>
      <c r="U357" s="396" t="str">
        <f ca="1">Área!N303</f>
        <v/>
      </c>
      <c r="V357" s="396"/>
      <c r="W357" s="396" t="str">
        <f ca="1">Área!M303</f>
        <v/>
      </c>
      <c r="X357" s="396"/>
      <c r="Y357" s="89" t="str">
        <f ca="1">Área!O303</f>
        <v/>
      </c>
      <c r="Z357" s="399" t="str">
        <f ca="1">Área!P303</f>
        <v/>
      </c>
      <c r="AA357" s="399"/>
      <c r="AB357" s="399"/>
      <c r="AC357" s="399"/>
      <c r="AD357" s="399" t="str">
        <f ca="1">Área!Q303</f>
        <v/>
      </c>
      <c r="AE357" s="399"/>
      <c r="AF357" s="399"/>
      <c r="AG357" s="399"/>
      <c r="AH357" s="400" t="str">
        <f ca="1">Área!R303</f>
        <v/>
      </c>
      <c r="AI357" s="400"/>
      <c r="AJ357" s="400" t="str">
        <f ca="1">Área!S303</f>
        <v/>
      </c>
      <c r="AK357" s="400"/>
      <c r="AL357" s="400" t="str">
        <f ca="1">Área!T303</f>
        <v/>
      </c>
      <c r="AM357" s="400"/>
      <c r="AN357" s="400" t="str">
        <f ca="1">Área!U303</f>
        <v/>
      </c>
      <c r="AO357" s="400"/>
      <c r="AP357" s="422" t="str">
        <f ca="1">IFERROR(Área!Z303,"")</f>
        <v/>
      </c>
      <c r="AQ357" s="422"/>
      <c r="AR357" s="400" t="str">
        <f ca="1">Área!Y303</f>
        <v/>
      </c>
      <c r="AS357" s="423"/>
      <c r="AT357" s="72"/>
    </row>
    <row r="358" spans="1:46" ht="15" customHeight="1" x14ac:dyDescent="0.25">
      <c r="A358"/>
      <c r="C358" s="397" t="str">
        <f ca="1">Área!C304</f>
        <v/>
      </c>
      <c r="D358" s="398"/>
      <c r="E358" s="398"/>
      <c r="F358" s="398"/>
      <c r="G358" s="396" t="str">
        <f ca="1">Área!F304</f>
        <v/>
      </c>
      <c r="H358" s="396"/>
      <c r="I358" s="398" t="str">
        <f ca="1">Área!G304</f>
        <v/>
      </c>
      <c r="J358" s="398"/>
      <c r="K358" s="396" t="str">
        <f ca="1">Área!H304</f>
        <v/>
      </c>
      <c r="L358" s="396"/>
      <c r="M358" s="396" t="str">
        <f ca="1">Área!I304</f>
        <v/>
      </c>
      <c r="N358" s="396"/>
      <c r="O358" s="396" t="str">
        <f ca="1">Área!J304</f>
        <v/>
      </c>
      <c r="P358" s="396"/>
      <c r="Q358" s="396" t="str">
        <f ca="1">Área!K304</f>
        <v/>
      </c>
      <c r="R358" s="396"/>
      <c r="S358" s="396" t="str">
        <f ca="1">Área!L304</f>
        <v/>
      </c>
      <c r="T358" s="396"/>
      <c r="U358" s="396" t="str">
        <f ca="1">Área!N304</f>
        <v/>
      </c>
      <c r="V358" s="396"/>
      <c r="W358" s="396" t="str">
        <f ca="1">Área!M304</f>
        <v/>
      </c>
      <c r="X358" s="396"/>
      <c r="Y358" s="89" t="str">
        <f ca="1">Área!O304</f>
        <v/>
      </c>
      <c r="Z358" s="399" t="str">
        <f ca="1">Área!P304</f>
        <v/>
      </c>
      <c r="AA358" s="399"/>
      <c r="AB358" s="399"/>
      <c r="AC358" s="399"/>
      <c r="AD358" s="399" t="str">
        <f ca="1">Área!Q304</f>
        <v/>
      </c>
      <c r="AE358" s="399"/>
      <c r="AF358" s="399"/>
      <c r="AG358" s="399"/>
      <c r="AH358" s="400" t="str">
        <f ca="1">Área!R304</f>
        <v/>
      </c>
      <c r="AI358" s="400"/>
      <c r="AJ358" s="400" t="str">
        <f ca="1">Área!S304</f>
        <v/>
      </c>
      <c r="AK358" s="400"/>
      <c r="AL358" s="400" t="str">
        <f ca="1">Área!T304</f>
        <v/>
      </c>
      <c r="AM358" s="400"/>
      <c r="AN358" s="400" t="str">
        <f ca="1">Área!U304</f>
        <v/>
      </c>
      <c r="AO358" s="400"/>
      <c r="AP358" s="422" t="str">
        <f ca="1">IFERROR(Área!Z304,"")</f>
        <v/>
      </c>
      <c r="AQ358" s="422"/>
      <c r="AR358" s="400" t="str">
        <f ca="1">Área!Y304</f>
        <v/>
      </c>
      <c r="AS358" s="423"/>
      <c r="AT358" s="72"/>
    </row>
    <row r="359" spans="1:46" ht="15" customHeight="1" x14ac:dyDescent="0.25">
      <c r="A359"/>
      <c r="C359" s="397" t="str">
        <f ca="1">Área!C305</f>
        <v/>
      </c>
      <c r="D359" s="398"/>
      <c r="E359" s="398"/>
      <c r="F359" s="398"/>
      <c r="G359" s="396" t="str">
        <f ca="1">Área!F305</f>
        <v/>
      </c>
      <c r="H359" s="396"/>
      <c r="I359" s="398" t="str">
        <f ca="1">Área!G305</f>
        <v/>
      </c>
      <c r="J359" s="398"/>
      <c r="K359" s="396" t="str">
        <f ca="1">Área!H305</f>
        <v/>
      </c>
      <c r="L359" s="396"/>
      <c r="M359" s="396" t="str">
        <f ca="1">Área!I305</f>
        <v/>
      </c>
      <c r="N359" s="396"/>
      <c r="O359" s="396" t="str">
        <f ca="1">Área!J305</f>
        <v/>
      </c>
      <c r="P359" s="396"/>
      <c r="Q359" s="396" t="str">
        <f ca="1">Área!K305</f>
        <v/>
      </c>
      <c r="R359" s="396"/>
      <c r="S359" s="396" t="str">
        <f ca="1">Área!L305</f>
        <v/>
      </c>
      <c r="T359" s="396"/>
      <c r="U359" s="396" t="str">
        <f ca="1">Área!N305</f>
        <v/>
      </c>
      <c r="V359" s="396"/>
      <c r="W359" s="396" t="str">
        <f ca="1">Área!M305</f>
        <v/>
      </c>
      <c r="X359" s="396"/>
      <c r="Y359" s="89" t="str">
        <f ca="1">Área!O305</f>
        <v/>
      </c>
      <c r="Z359" s="399" t="str">
        <f ca="1">Área!P305</f>
        <v/>
      </c>
      <c r="AA359" s="399"/>
      <c r="AB359" s="399"/>
      <c r="AC359" s="399"/>
      <c r="AD359" s="399" t="str">
        <f ca="1">Área!Q305</f>
        <v/>
      </c>
      <c r="AE359" s="399"/>
      <c r="AF359" s="399"/>
      <c r="AG359" s="399"/>
      <c r="AH359" s="400" t="str">
        <f ca="1">Área!R305</f>
        <v/>
      </c>
      <c r="AI359" s="400"/>
      <c r="AJ359" s="400" t="str">
        <f ca="1">Área!S305</f>
        <v/>
      </c>
      <c r="AK359" s="400"/>
      <c r="AL359" s="400" t="str">
        <f ca="1">Área!T305</f>
        <v/>
      </c>
      <c r="AM359" s="400"/>
      <c r="AN359" s="400" t="str">
        <f ca="1">Área!U305</f>
        <v/>
      </c>
      <c r="AO359" s="400"/>
      <c r="AP359" s="422" t="str">
        <f ca="1">IFERROR(Área!Z305,"")</f>
        <v/>
      </c>
      <c r="AQ359" s="422"/>
      <c r="AR359" s="400" t="str">
        <f ca="1">Área!Y305</f>
        <v/>
      </c>
      <c r="AS359" s="423"/>
      <c r="AT359" s="72"/>
    </row>
    <row r="360" spans="1:46" ht="15" customHeight="1" x14ac:dyDescent="0.25">
      <c r="A360"/>
      <c r="C360" s="397" t="str">
        <f ca="1">Área!C306</f>
        <v/>
      </c>
      <c r="D360" s="398"/>
      <c r="E360" s="398"/>
      <c r="F360" s="398"/>
      <c r="G360" s="396" t="str">
        <f ca="1">Área!F306</f>
        <v/>
      </c>
      <c r="H360" s="396"/>
      <c r="I360" s="398" t="str">
        <f ca="1">Área!G306</f>
        <v/>
      </c>
      <c r="J360" s="398"/>
      <c r="K360" s="396" t="str">
        <f ca="1">Área!H306</f>
        <v/>
      </c>
      <c r="L360" s="396"/>
      <c r="M360" s="396" t="str">
        <f ca="1">Área!I306</f>
        <v/>
      </c>
      <c r="N360" s="396"/>
      <c r="O360" s="396" t="str">
        <f ca="1">Área!J306</f>
        <v/>
      </c>
      <c r="P360" s="396"/>
      <c r="Q360" s="396" t="str">
        <f ca="1">Área!K306</f>
        <v/>
      </c>
      <c r="R360" s="396"/>
      <c r="S360" s="396" t="str">
        <f ca="1">Área!L306</f>
        <v/>
      </c>
      <c r="T360" s="396"/>
      <c r="U360" s="396" t="str">
        <f ca="1">Área!N306</f>
        <v/>
      </c>
      <c r="V360" s="396"/>
      <c r="W360" s="396" t="str">
        <f ca="1">Área!M306</f>
        <v/>
      </c>
      <c r="X360" s="396"/>
      <c r="Y360" s="89" t="str">
        <f ca="1">Área!O306</f>
        <v/>
      </c>
      <c r="Z360" s="399" t="str">
        <f ca="1">Área!P306</f>
        <v/>
      </c>
      <c r="AA360" s="399"/>
      <c r="AB360" s="399"/>
      <c r="AC360" s="399"/>
      <c r="AD360" s="399" t="str">
        <f ca="1">Área!Q306</f>
        <v/>
      </c>
      <c r="AE360" s="399"/>
      <c r="AF360" s="399"/>
      <c r="AG360" s="399"/>
      <c r="AH360" s="400" t="str">
        <f ca="1">Área!R306</f>
        <v/>
      </c>
      <c r="AI360" s="400"/>
      <c r="AJ360" s="400" t="str">
        <f ca="1">Área!S306</f>
        <v/>
      </c>
      <c r="AK360" s="400"/>
      <c r="AL360" s="400" t="str">
        <f ca="1">Área!T306</f>
        <v/>
      </c>
      <c r="AM360" s="400"/>
      <c r="AN360" s="400" t="str">
        <f ca="1">Área!U306</f>
        <v/>
      </c>
      <c r="AO360" s="400"/>
      <c r="AP360" s="422" t="str">
        <f ca="1">IFERROR(Área!Z306,"")</f>
        <v/>
      </c>
      <c r="AQ360" s="422"/>
      <c r="AR360" s="400" t="str">
        <f ca="1">Área!Y306</f>
        <v/>
      </c>
      <c r="AS360" s="423"/>
      <c r="AT360" s="72"/>
    </row>
    <row r="361" spans="1:46" ht="15" customHeight="1" x14ac:dyDescent="0.25">
      <c r="A361"/>
      <c r="C361" s="397" t="str">
        <f ca="1">Área!C307</f>
        <v/>
      </c>
      <c r="D361" s="398"/>
      <c r="E361" s="398"/>
      <c r="F361" s="398"/>
      <c r="G361" s="396" t="str">
        <f ca="1">Área!F307</f>
        <v/>
      </c>
      <c r="H361" s="396"/>
      <c r="I361" s="398" t="str">
        <f ca="1">Área!G307</f>
        <v/>
      </c>
      <c r="J361" s="398"/>
      <c r="K361" s="396" t="str">
        <f ca="1">Área!H307</f>
        <v/>
      </c>
      <c r="L361" s="396"/>
      <c r="M361" s="396" t="str">
        <f ca="1">Área!I307</f>
        <v/>
      </c>
      <c r="N361" s="396"/>
      <c r="O361" s="396" t="str">
        <f ca="1">Área!J307</f>
        <v/>
      </c>
      <c r="P361" s="396"/>
      <c r="Q361" s="396" t="str">
        <f ca="1">Área!K307</f>
        <v/>
      </c>
      <c r="R361" s="396"/>
      <c r="S361" s="396" t="str">
        <f ca="1">Área!L307</f>
        <v/>
      </c>
      <c r="T361" s="396"/>
      <c r="U361" s="396" t="str">
        <f ca="1">Área!N307</f>
        <v/>
      </c>
      <c r="V361" s="396"/>
      <c r="W361" s="396" t="str">
        <f ca="1">Área!M307</f>
        <v/>
      </c>
      <c r="X361" s="396"/>
      <c r="Y361" s="89" t="str">
        <f ca="1">Área!O307</f>
        <v/>
      </c>
      <c r="Z361" s="399" t="str">
        <f ca="1">Área!P307</f>
        <v/>
      </c>
      <c r="AA361" s="399"/>
      <c r="AB361" s="399"/>
      <c r="AC361" s="399"/>
      <c r="AD361" s="399" t="str">
        <f ca="1">Área!Q307</f>
        <v/>
      </c>
      <c r="AE361" s="399"/>
      <c r="AF361" s="399"/>
      <c r="AG361" s="399"/>
      <c r="AH361" s="400" t="str">
        <f ca="1">Área!R307</f>
        <v/>
      </c>
      <c r="AI361" s="400"/>
      <c r="AJ361" s="400" t="str">
        <f ca="1">Área!S307</f>
        <v/>
      </c>
      <c r="AK361" s="400"/>
      <c r="AL361" s="400" t="str">
        <f ca="1">Área!T307</f>
        <v/>
      </c>
      <c r="AM361" s="400"/>
      <c r="AN361" s="400" t="str">
        <f ca="1">Área!U307</f>
        <v/>
      </c>
      <c r="AO361" s="400"/>
      <c r="AP361" s="422" t="str">
        <f ca="1">IFERROR(Área!Z307,"")</f>
        <v/>
      </c>
      <c r="AQ361" s="422"/>
      <c r="AR361" s="400" t="str">
        <f ca="1">Área!Y307</f>
        <v/>
      </c>
      <c r="AS361" s="423"/>
      <c r="AT361" s="72"/>
    </row>
    <row r="362" spans="1:46" ht="15" customHeight="1" x14ac:dyDescent="0.25">
      <c r="A362"/>
      <c r="C362" s="397" t="str">
        <f ca="1">Área!C308</f>
        <v/>
      </c>
      <c r="D362" s="398"/>
      <c r="E362" s="398"/>
      <c r="F362" s="398"/>
      <c r="G362" s="396" t="str">
        <f ca="1">Área!F308</f>
        <v/>
      </c>
      <c r="H362" s="396"/>
      <c r="I362" s="398" t="str">
        <f ca="1">Área!G308</f>
        <v/>
      </c>
      <c r="J362" s="398"/>
      <c r="K362" s="396" t="str">
        <f ca="1">Área!H308</f>
        <v/>
      </c>
      <c r="L362" s="396"/>
      <c r="M362" s="396" t="str">
        <f ca="1">Área!I308</f>
        <v/>
      </c>
      <c r="N362" s="396"/>
      <c r="O362" s="396" t="str">
        <f ca="1">Área!J308</f>
        <v/>
      </c>
      <c r="P362" s="396"/>
      <c r="Q362" s="396" t="str">
        <f ca="1">Área!K308</f>
        <v/>
      </c>
      <c r="R362" s="396"/>
      <c r="S362" s="396" t="str">
        <f ca="1">Área!L308</f>
        <v/>
      </c>
      <c r="T362" s="396"/>
      <c r="U362" s="396" t="str">
        <f ca="1">Área!N308</f>
        <v/>
      </c>
      <c r="V362" s="396"/>
      <c r="W362" s="396" t="str">
        <f ca="1">Área!M308</f>
        <v/>
      </c>
      <c r="X362" s="396"/>
      <c r="Y362" s="89" t="str">
        <f ca="1">Área!O308</f>
        <v/>
      </c>
      <c r="Z362" s="399" t="str">
        <f ca="1">Área!P308</f>
        <v/>
      </c>
      <c r="AA362" s="399"/>
      <c r="AB362" s="399"/>
      <c r="AC362" s="399"/>
      <c r="AD362" s="399" t="str">
        <f ca="1">Área!Q308</f>
        <v/>
      </c>
      <c r="AE362" s="399"/>
      <c r="AF362" s="399"/>
      <c r="AG362" s="399"/>
      <c r="AH362" s="400" t="str">
        <f ca="1">Área!R308</f>
        <v/>
      </c>
      <c r="AI362" s="400"/>
      <c r="AJ362" s="400" t="str">
        <f ca="1">Área!S308</f>
        <v/>
      </c>
      <c r="AK362" s="400"/>
      <c r="AL362" s="400" t="str">
        <f ca="1">Área!T308</f>
        <v/>
      </c>
      <c r="AM362" s="400"/>
      <c r="AN362" s="400" t="str">
        <f ca="1">Área!U308</f>
        <v/>
      </c>
      <c r="AO362" s="400"/>
      <c r="AP362" s="422" t="str">
        <f ca="1">IFERROR(Área!Z308,"")</f>
        <v/>
      </c>
      <c r="AQ362" s="422"/>
      <c r="AR362" s="400" t="str">
        <f ca="1">Área!Y308</f>
        <v/>
      </c>
      <c r="AS362" s="423"/>
      <c r="AT362" s="72"/>
    </row>
    <row r="363" spans="1:46" ht="15" customHeight="1" x14ac:dyDescent="0.25">
      <c r="A363"/>
      <c r="C363" s="397" t="str">
        <f ca="1">Área!C309</f>
        <v/>
      </c>
      <c r="D363" s="398"/>
      <c r="E363" s="398"/>
      <c r="F363" s="398"/>
      <c r="G363" s="396" t="str">
        <f ca="1">Área!F309</f>
        <v/>
      </c>
      <c r="H363" s="396"/>
      <c r="I363" s="398" t="str">
        <f ca="1">Área!G309</f>
        <v/>
      </c>
      <c r="J363" s="398"/>
      <c r="K363" s="396" t="str">
        <f ca="1">Área!H309</f>
        <v/>
      </c>
      <c r="L363" s="396"/>
      <c r="M363" s="396" t="str">
        <f ca="1">Área!I309</f>
        <v/>
      </c>
      <c r="N363" s="396"/>
      <c r="O363" s="396" t="str">
        <f ca="1">Área!J309</f>
        <v/>
      </c>
      <c r="P363" s="396"/>
      <c r="Q363" s="396" t="str">
        <f ca="1">Área!K309</f>
        <v/>
      </c>
      <c r="R363" s="396"/>
      <c r="S363" s="396" t="str">
        <f ca="1">Área!L309</f>
        <v/>
      </c>
      <c r="T363" s="396"/>
      <c r="U363" s="396" t="str">
        <f ca="1">Área!N309</f>
        <v/>
      </c>
      <c r="V363" s="396"/>
      <c r="W363" s="396" t="str">
        <f ca="1">Área!M309</f>
        <v/>
      </c>
      <c r="X363" s="396"/>
      <c r="Y363" s="89" t="str">
        <f ca="1">Área!O309</f>
        <v/>
      </c>
      <c r="Z363" s="399" t="str">
        <f ca="1">Área!P309</f>
        <v/>
      </c>
      <c r="AA363" s="399"/>
      <c r="AB363" s="399"/>
      <c r="AC363" s="399"/>
      <c r="AD363" s="399" t="str">
        <f ca="1">Área!Q309</f>
        <v/>
      </c>
      <c r="AE363" s="399"/>
      <c r="AF363" s="399"/>
      <c r="AG363" s="399"/>
      <c r="AH363" s="400" t="str">
        <f ca="1">Área!R309</f>
        <v/>
      </c>
      <c r="AI363" s="400"/>
      <c r="AJ363" s="400" t="str">
        <f ca="1">Área!S309</f>
        <v/>
      </c>
      <c r="AK363" s="400"/>
      <c r="AL363" s="400" t="str">
        <f ca="1">Área!T309</f>
        <v/>
      </c>
      <c r="AM363" s="400"/>
      <c r="AN363" s="400" t="str">
        <f ca="1">Área!U309</f>
        <v/>
      </c>
      <c r="AO363" s="400"/>
      <c r="AP363" s="422" t="str">
        <f ca="1">IFERROR(Área!Z309,"")</f>
        <v/>
      </c>
      <c r="AQ363" s="422"/>
      <c r="AR363" s="400" t="str">
        <f ca="1">Área!Y309</f>
        <v/>
      </c>
      <c r="AS363" s="423"/>
      <c r="AT363" s="72"/>
    </row>
    <row r="364" spans="1:46" ht="15" customHeight="1" x14ac:dyDescent="0.25">
      <c r="A364"/>
      <c r="C364" s="397" t="str">
        <f ca="1">Área!C310</f>
        <v/>
      </c>
      <c r="D364" s="398"/>
      <c r="E364" s="398"/>
      <c r="F364" s="398"/>
      <c r="G364" s="396" t="str">
        <f ca="1">Área!F310</f>
        <v/>
      </c>
      <c r="H364" s="396"/>
      <c r="I364" s="398" t="str">
        <f ca="1">Área!G310</f>
        <v/>
      </c>
      <c r="J364" s="398"/>
      <c r="K364" s="396" t="str">
        <f ca="1">Área!H310</f>
        <v/>
      </c>
      <c r="L364" s="396"/>
      <c r="M364" s="396" t="str">
        <f ca="1">Área!I310</f>
        <v/>
      </c>
      <c r="N364" s="396"/>
      <c r="O364" s="396" t="str">
        <f ca="1">Área!J310</f>
        <v/>
      </c>
      <c r="P364" s="396"/>
      <c r="Q364" s="396" t="str">
        <f ca="1">Área!K310</f>
        <v/>
      </c>
      <c r="R364" s="396"/>
      <c r="S364" s="396" t="str">
        <f ca="1">Área!L310</f>
        <v/>
      </c>
      <c r="T364" s="396"/>
      <c r="U364" s="396" t="str">
        <f ca="1">Área!N310</f>
        <v/>
      </c>
      <c r="V364" s="396"/>
      <c r="W364" s="396" t="str">
        <f ca="1">Área!M310</f>
        <v/>
      </c>
      <c r="X364" s="396"/>
      <c r="Y364" s="89" t="str">
        <f ca="1">Área!O310</f>
        <v/>
      </c>
      <c r="Z364" s="399" t="str">
        <f ca="1">Área!P310</f>
        <v/>
      </c>
      <c r="AA364" s="399"/>
      <c r="AB364" s="399"/>
      <c r="AC364" s="399"/>
      <c r="AD364" s="399" t="str">
        <f ca="1">Área!Q310</f>
        <v/>
      </c>
      <c r="AE364" s="399"/>
      <c r="AF364" s="399"/>
      <c r="AG364" s="399"/>
      <c r="AH364" s="400" t="str">
        <f ca="1">Área!R310</f>
        <v/>
      </c>
      <c r="AI364" s="400"/>
      <c r="AJ364" s="400" t="str">
        <f ca="1">Área!S310</f>
        <v/>
      </c>
      <c r="AK364" s="400"/>
      <c r="AL364" s="400" t="str">
        <f ca="1">Área!T310</f>
        <v/>
      </c>
      <c r="AM364" s="400"/>
      <c r="AN364" s="400" t="str">
        <f ca="1">Área!U310</f>
        <v/>
      </c>
      <c r="AO364" s="400"/>
      <c r="AP364" s="422" t="str">
        <f ca="1">IFERROR(Área!Z310,"")</f>
        <v/>
      </c>
      <c r="AQ364" s="422"/>
      <c r="AR364" s="400" t="str">
        <f ca="1">Área!Y310</f>
        <v/>
      </c>
      <c r="AS364" s="423"/>
      <c r="AT364" s="72"/>
    </row>
    <row r="365" spans="1:46" ht="15" customHeight="1" x14ac:dyDescent="0.25">
      <c r="A365"/>
      <c r="C365" s="397" t="str">
        <f ca="1">Área!C311</f>
        <v/>
      </c>
      <c r="D365" s="398"/>
      <c r="E365" s="398"/>
      <c r="F365" s="398"/>
      <c r="G365" s="396" t="str">
        <f ca="1">Área!F311</f>
        <v/>
      </c>
      <c r="H365" s="396"/>
      <c r="I365" s="398" t="str">
        <f ca="1">Área!G311</f>
        <v/>
      </c>
      <c r="J365" s="398"/>
      <c r="K365" s="396" t="str">
        <f ca="1">Área!H311</f>
        <v/>
      </c>
      <c r="L365" s="396"/>
      <c r="M365" s="396" t="str">
        <f ca="1">Área!I311</f>
        <v/>
      </c>
      <c r="N365" s="396"/>
      <c r="O365" s="396" t="str">
        <f ca="1">Área!J311</f>
        <v/>
      </c>
      <c r="P365" s="396"/>
      <c r="Q365" s="396" t="str">
        <f ca="1">Área!K311</f>
        <v/>
      </c>
      <c r="R365" s="396"/>
      <c r="S365" s="396" t="str">
        <f ca="1">Área!L311</f>
        <v/>
      </c>
      <c r="T365" s="396"/>
      <c r="U365" s="396" t="str">
        <f ca="1">Área!N311</f>
        <v/>
      </c>
      <c r="V365" s="396"/>
      <c r="W365" s="396" t="str">
        <f ca="1">Área!M311</f>
        <v/>
      </c>
      <c r="X365" s="396"/>
      <c r="Y365" s="89" t="str">
        <f ca="1">Área!O311</f>
        <v/>
      </c>
      <c r="Z365" s="399" t="str">
        <f ca="1">Área!P311</f>
        <v/>
      </c>
      <c r="AA365" s="399"/>
      <c r="AB365" s="399"/>
      <c r="AC365" s="399"/>
      <c r="AD365" s="399" t="str">
        <f ca="1">Área!Q311</f>
        <v/>
      </c>
      <c r="AE365" s="399"/>
      <c r="AF365" s="399"/>
      <c r="AG365" s="399"/>
      <c r="AH365" s="400" t="str">
        <f ca="1">Área!R311</f>
        <v/>
      </c>
      <c r="AI365" s="400"/>
      <c r="AJ365" s="400" t="str">
        <f ca="1">Área!S311</f>
        <v/>
      </c>
      <c r="AK365" s="400"/>
      <c r="AL365" s="400" t="str">
        <f ca="1">Área!T311</f>
        <v/>
      </c>
      <c r="AM365" s="400"/>
      <c r="AN365" s="400" t="str">
        <f ca="1">Área!U311</f>
        <v/>
      </c>
      <c r="AO365" s="400"/>
      <c r="AP365" s="422" t="str">
        <f ca="1">IFERROR(Área!Z311,"")</f>
        <v/>
      </c>
      <c r="AQ365" s="422"/>
      <c r="AR365" s="400" t="str">
        <f ca="1">Área!Y311</f>
        <v/>
      </c>
      <c r="AS365" s="423"/>
      <c r="AT365" s="72"/>
    </row>
    <row r="366" spans="1:46" ht="15" customHeight="1" x14ac:dyDescent="0.25">
      <c r="A366"/>
      <c r="C366" s="397" t="str">
        <f ca="1">Área!C312</f>
        <v/>
      </c>
      <c r="D366" s="398"/>
      <c r="E366" s="398"/>
      <c r="F366" s="398"/>
      <c r="G366" s="396" t="str">
        <f ca="1">Área!F312</f>
        <v/>
      </c>
      <c r="H366" s="396"/>
      <c r="I366" s="398" t="str">
        <f ca="1">Área!G312</f>
        <v/>
      </c>
      <c r="J366" s="398"/>
      <c r="K366" s="396" t="str">
        <f ca="1">Área!H312</f>
        <v/>
      </c>
      <c r="L366" s="396"/>
      <c r="M366" s="396" t="str">
        <f ca="1">Área!I312</f>
        <v/>
      </c>
      <c r="N366" s="396"/>
      <c r="O366" s="396" t="str">
        <f ca="1">Área!J312</f>
        <v/>
      </c>
      <c r="P366" s="396"/>
      <c r="Q366" s="396" t="str">
        <f ca="1">Área!K312</f>
        <v/>
      </c>
      <c r="R366" s="396"/>
      <c r="S366" s="396" t="str">
        <f ca="1">Área!L312</f>
        <v/>
      </c>
      <c r="T366" s="396"/>
      <c r="U366" s="396" t="str">
        <f ca="1">Área!N312</f>
        <v/>
      </c>
      <c r="V366" s="396"/>
      <c r="W366" s="396" t="str">
        <f ca="1">Área!M312</f>
        <v/>
      </c>
      <c r="X366" s="396"/>
      <c r="Y366" s="89" t="str">
        <f ca="1">Área!O312</f>
        <v/>
      </c>
      <c r="Z366" s="399" t="str">
        <f ca="1">Área!P312</f>
        <v/>
      </c>
      <c r="AA366" s="399"/>
      <c r="AB366" s="399"/>
      <c r="AC366" s="399"/>
      <c r="AD366" s="399" t="str">
        <f ca="1">Área!Q312</f>
        <v/>
      </c>
      <c r="AE366" s="399"/>
      <c r="AF366" s="399"/>
      <c r="AG366" s="399"/>
      <c r="AH366" s="400" t="str">
        <f ca="1">Área!R312</f>
        <v/>
      </c>
      <c r="AI366" s="400"/>
      <c r="AJ366" s="400" t="str">
        <f ca="1">Área!S312</f>
        <v/>
      </c>
      <c r="AK366" s="400"/>
      <c r="AL366" s="400" t="str">
        <f ca="1">Área!T312</f>
        <v/>
      </c>
      <c r="AM366" s="400"/>
      <c r="AN366" s="400" t="str">
        <f ca="1">Área!U312</f>
        <v/>
      </c>
      <c r="AO366" s="400"/>
      <c r="AP366" s="422" t="str">
        <f ca="1">IFERROR(Área!Z312,"")</f>
        <v/>
      </c>
      <c r="AQ366" s="422"/>
      <c r="AR366" s="400" t="str">
        <f ca="1">Área!Y312</f>
        <v/>
      </c>
      <c r="AS366" s="423"/>
      <c r="AT366" s="72"/>
    </row>
    <row r="367" spans="1:46" ht="15" customHeight="1" x14ac:dyDescent="0.25">
      <c r="A367"/>
      <c r="C367" s="397" t="str">
        <f ca="1">Área!C313</f>
        <v/>
      </c>
      <c r="D367" s="398"/>
      <c r="E367" s="398"/>
      <c r="F367" s="398"/>
      <c r="G367" s="396" t="str">
        <f ca="1">Área!F313</f>
        <v/>
      </c>
      <c r="H367" s="396"/>
      <c r="I367" s="398" t="str">
        <f ca="1">Área!G313</f>
        <v/>
      </c>
      <c r="J367" s="398"/>
      <c r="K367" s="396" t="str">
        <f ca="1">Área!H313</f>
        <v/>
      </c>
      <c r="L367" s="396"/>
      <c r="M367" s="396" t="str">
        <f ca="1">Área!I313</f>
        <v/>
      </c>
      <c r="N367" s="396"/>
      <c r="O367" s="396" t="str">
        <f ca="1">Área!J313</f>
        <v/>
      </c>
      <c r="P367" s="396"/>
      <c r="Q367" s="396" t="str">
        <f ca="1">Área!K313</f>
        <v/>
      </c>
      <c r="R367" s="396"/>
      <c r="S367" s="396" t="str">
        <f ca="1">Área!L313</f>
        <v/>
      </c>
      <c r="T367" s="396"/>
      <c r="U367" s="396" t="str">
        <f ca="1">Área!N313</f>
        <v/>
      </c>
      <c r="V367" s="396"/>
      <c r="W367" s="396" t="str">
        <f ca="1">Área!M313</f>
        <v/>
      </c>
      <c r="X367" s="396"/>
      <c r="Y367" s="89" t="str">
        <f ca="1">Área!O313</f>
        <v/>
      </c>
      <c r="Z367" s="399" t="str">
        <f ca="1">Área!P313</f>
        <v/>
      </c>
      <c r="AA367" s="399"/>
      <c r="AB367" s="399"/>
      <c r="AC367" s="399"/>
      <c r="AD367" s="399" t="str">
        <f ca="1">Área!Q313</f>
        <v/>
      </c>
      <c r="AE367" s="399"/>
      <c r="AF367" s="399"/>
      <c r="AG367" s="399"/>
      <c r="AH367" s="400" t="str">
        <f ca="1">Área!R313</f>
        <v/>
      </c>
      <c r="AI367" s="400"/>
      <c r="AJ367" s="400" t="str">
        <f ca="1">Área!S313</f>
        <v/>
      </c>
      <c r="AK367" s="400"/>
      <c r="AL367" s="400" t="str">
        <f ca="1">Área!T313</f>
        <v/>
      </c>
      <c r="AM367" s="400"/>
      <c r="AN367" s="400" t="str">
        <f ca="1">Área!U313</f>
        <v/>
      </c>
      <c r="AO367" s="400"/>
      <c r="AP367" s="422" t="str">
        <f ca="1">IFERROR(Área!Z313,"")</f>
        <v/>
      </c>
      <c r="AQ367" s="422"/>
      <c r="AR367" s="400" t="str">
        <f ca="1">Área!Y313</f>
        <v/>
      </c>
      <c r="AS367" s="423"/>
      <c r="AT367" s="72"/>
    </row>
    <row r="368" spans="1:46" ht="15" customHeight="1" x14ac:dyDescent="0.25">
      <c r="A368"/>
      <c r="C368" s="397" t="str">
        <f ca="1">Área!C314</f>
        <v/>
      </c>
      <c r="D368" s="398"/>
      <c r="E368" s="398"/>
      <c r="F368" s="398"/>
      <c r="G368" s="396" t="str">
        <f ca="1">Área!F314</f>
        <v/>
      </c>
      <c r="H368" s="396"/>
      <c r="I368" s="398" t="str">
        <f ca="1">Área!G314</f>
        <v/>
      </c>
      <c r="J368" s="398"/>
      <c r="K368" s="396" t="str">
        <f ca="1">Área!H314</f>
        <v/>
      </c>
      <c r="L368" s="396"/>
      <c r="M368" s="396" t="str">
        <f ca="1">Área!I314</f>
        <v/>
      </c>
      <c r="N368" s="396"/>
      <c r="O368" s="396" t="str">
        <f ca="1">Área!J314</f>
        <v/>
      </c>
      <c r="P368" s="396"/>
      <c r="Q368" s="396" t="str">
        <f ca="1">Área!K314</f>
        <v/>
      </c>
      <c r="R368" s="396"/>
      <c r="S368" s="396" t="str">
        <f ca="1">Área!L314</f>
        <v/>
      </c>
      <c r="T368" s="396"/>
      <c r="U368" s="396" t="str">
        <f ca="1">Área!N314</f>
        <v/>
      </c>
      <c r="V368" s="396"/>
      <c r="W368" s="396" t="str">
        <f ca="1">Área!M314</f>
        <v/>
      </c>
      <c r="X368" s="396"/>
      <c r="Y368" s="89" t="str">
        <f ca="1">Área!O314</f>
        <v/>
      </c>
      <c r="Z368" s="399" t="str">
        <f ca="1">Área!P314</f>
        <v/>
      </c>
      <c r="AA368" s="399"/>
      <c r="AB368" s="399"/>
      <c r="AC368" s="399"/>
      <c r="AD368" s="399" t="str">
        <f ca="1">Área!Q314</f>
        <v/>
      </c>
      <c r="AE368" s="399"/>
      <c r="AF368" s="399"/>
      <c r="AG368" s="399"/>
      <c r="AH368" s="400" t="str">
        <f ca="1">Área!R314</f>
        <v/>
      </c>
      <c r="AI368" s="400"/>
      <c r="AJ368" s="400" t="str">
        <f ca="1">Área!S314</f>
        <v/>
      </c>
      <c r="AK368" s="400"/>
      <c r="AL368" s="400" t="str">
        <f ca="1">Área!T314</f>
        <v/>
      </c>
      <c r="AM368" s="400"/>
      <c r="AN368" s="400" t="str">
        <f ca="1">Área!U314</f>
        <v/>
      </c>
      <c r="AO368" s="400"/>
      <c r="AP368" s="422" t="str">
        <f ca="1">IFERROR(Área!Z314,"")</f>
        <v/>
      </c>
      <c r="AQ368" s="422"/>
      <c r="AR368" s="400" t="str">
        <f ca="1">Área!Y314</f>
        <v/>
      </c>
      <c r="AS368" s="423"/>
      <c r="AT368" s="72"/>
    </row>
    <row r="369" spans="1:46" ht="15" customHeight="1" x14ac:dyDescent="0.25">
      <c r="A369"/>
      <c r="C369" s="397" t="str">
        <f ca="1">Área!C315</f>
        <v/>
      </c>
      <c r="D369" s="398"/>
      <c r="E369" s="398"/>
      <c r="F369" s="398"/>
      <c r="G369" s="396" t="str">
        <f ca="1">Área!F315</f>
        <v/>
      </c>
      <c r="H369" s="396"/>
      <c r="I369" s="398" t="str">
        <f ca="1">Área!G315</f>
        <v/>
      </c>
      <c r="J369" s="398"/>
      <c r="K369" s="396" t="str">
        <f ca="1">Área!H315</f>
        <v/>
      </c>
      <c r="L369" s="396"/>
      <c r="M369" s="396" t="str">
        <f ca="1">Área!I315</f>
        <v/>
      </c>
      <c r="N369" s="396"/>
      <c r="O369" s="396" t="str">
        <f ca="1">Área!J315</f>
        <v/>
      </c>
      <c r="P369" s="396"/>
      <c r="Q369" s="396" t="str">
        <f ca="1">Área!K315</f>
        <v/>
      </c>
      <c r="R369" s="396"/>
      <c r="S369" s="396" t="str">
        <f ca="1">Área!L315</f>
        <v/>
      </c>
      <c r="T369" s="396"/>
      <c r="U369" s="396" t="str">
        <f ca="1">Área!N315</f>
        <v/>
      </c>
      <c r="V369" s="396"/>
      <c r="W369" s="396" t="str">
        <f ca="1">Área!M315</f>
        <v/>
      </c>
      <c r="X369" s="396"/>
      <c r="Y369" s="89" t="str">
        <f ca="1">Área!O315</f>
        <v/>
      </c>
      <c r="Z369" s="399" t="str">
        <f ca="1">Área!P315</f>
        <v/>
      </c>
      <c r="AA369" s="399"/>
      <c r="AB369" s="399"/>
      <c r="AC369" s="399"/>
      <c r="AD369" s="399" t="str">
        <f ca="1">Área!Q315</f>
        <v/>
      </c>
      <c r="AE369" s="399"/>
      <c r="AF369" s="399"/>
      <c r="AG369" s="399"/>
      <c r="AH369" s="400" t="str">
        <f ca="1">Área!R315</f>
        <v/>
      </c>
      <c r="AI369" s="400"/>
      <c r="AJ369" s="400" t="str">
        <f ca="1">Área!S315</f>
        <v/>
      </c>
      <c r="AK369" s="400"/>
      <c r="AL369" s="400" t="str">
        <f ca="1">Área!T315</f>
        <v/>
      </c>
      <c r="AM369" s="400"/>
      <c r="AN369" s="400" t="str">
        <f ca="1">Área!U315</f>
        <v/>
      </c>
      <c r="AO369" s="400"/>
      <c r="AP369" s="422" t="str">
        <f ca="1">IFERROR(Área!Z315,"")</f>
        <v/>
      </c>
      <c r="AQ369" s="422"/>
      <c r="AR369" s="400" t="str">
        <f ca="1">Área!Y315</f>
        <v/>
      </c>
      <c r="AS369" s="423"/>
      <c r="AT369" s="72"/>
    </row>
    <row r="370" spans="1:46" ht="15" customHeight="1" x14ac:dyDescent="0.25">
      <c r="A370"/>
      <c r="C370" s="397" t="str">
        <f ca="1">Área!C316</f>
        <v/>
      </c>
      <c r="D370" s="398"/>
      <c r="E370" s="398"/>
      <c r="F370" s="398"/>
      <c r="G370" s="396" t="str">
        <f ca="1">Área!F316</f>
        <v/>
      </c>
      <c r="H370" s="396"/>
      <c r="I370" s="398" t="str">
        <f ca="1">Área!G316</f>
        <v/>
      </c>
      <c r="J370" s="398"/>
      <c r="K370" s="396" t="str">
        <f ca="1">Área!H316</f>
        <v/>
      </c>
      <c r="L370" s="396"/>
      <c r="M370" s="396" t="str">
        <f ca="1">Área!I316</f>
        <v/>
      </c>
      <c r="N370" s="396"/>
      <c r="O370" s="396" t="str">
        <f ca="1">Área!J316</f>
        <v/>
      </c>
      <c r="P370" s="396"/>
      <c r="Q370" s="396" t="str">
        <f ca="1">Área!K316</f>
        <v/>
      </c>
      <c r="R370" s="396"/>
      <c r="S370" s="396" t="str">
        <f ca="1">Área!L316</f>
        <v/>
      </c>
      <c r="T370" s="396"/>
      <c r="U370" s="396" t="str">
        <f ca="1">Área!N316</f>
        <v/>
      </c>
      <c r="V370" s="396"/>
      <c r="W370" s="396" t="str">
        <f ca="1">Área!M316</f>
        <v/>
      </c>
      <c r="X370" s="396"/>
      <c r="Y370" s="89" t="str">
        <f ca="1">Área!O316</f>
        <v/>
      </c>
      <c r="Z370" s="399" t="str">
        <f ca="1">Área!P316</f>
        <v/>
      </c>
      <c r="AA370" s="399"/>
      <c r="AB370" s="399"/>
      <c r="AC370" s="399"/>
      <c r="AD370" s="399" t="str">
        <f ca="1">Área!Q316</f>
        <v/>
      </c>
      <c r="AE370" s="399"/>
      <c r="AF370" s="399"/>
      <c r="AG370" s="399"/>
      <c r="AH370" s="400" t="str">
        <f ca="1">Área!R316</f>
        <v/>
      </c>
      <c r="AI370" s="400"/>
      <c r="AJ370" s="400" t="str">
        <f ca="1">Área!S316</f>
        <v/>
      </c>
      <c r="AK370" s="400"/>
      <c r="AL370" s="400" t="str">
        <f ca="1">Área!T316</f>
        <v/>
      </c>
      <c r="AM370" s="400"/>
      <c r="AN370" s="400" t="str">
        <f ca="1">Área!U316</f>
        <v/>
      </c>
      <c r="AO370" s="400"/>
      <c r="AP370" s="422" t="str">
        <f ca="1">IFERROR(Área!Z316,"")</f>
        <v/>
      </c>
      <c r="AQ370" s="422"/>
      <c r="AR370" s="400" t="str">
        <f ca="1">Área!Y316</f>
        <v/>
      </c>
      <c r="AS370" s="423"/>
      <c r="AT370" s="72"/>
    </row>
    <row r="371" spans="1:46" ht="15" customHeight="1" x14ac:dyDescent="0.25">
      <c r="A371"/>
      <c r="C371" s="397" t="str">
        <f ca="1">Área!C317</f>
        <v/>
      </c>
      <c r="D371" s="398"/>
      <c r="E371" s="398"/>
      <c r="F371" s="398"/>
      <c r="G371" s="396" t="str">
        <f ca="1">Área!F317</f>
        <v/>
      </c>
      <c r="H371" s="396"/>
      <c r="I371" s="398" t="str">
        <f ca="1">Área!G317</f>
        <v/>
      </c>
      <c r="J371" s="398"/>
      <c r="K371" s="396" t="str">
        <f ca="1">Área!H317</f>
        <v/>
      </c>
      <c r="L371" s="396"/>
      <c r="M371" s="396" t="str">
        <f ca="1">Área!I317</f>
        <v/>
      </c>
      <c r="N371" s="396"/>
      <c r="O371" s="396" t="str">
        <f ca="1">Área!J317</f>
        <v/>
      </c>
      <c r="P371" s="396"/>
      <c r="Q371" s="396" t="str">
        <f ca="1">Área!K317</f>
        <v/>
      </c>
      <c r="R371" s="396"/>
      <c r="S371" s="396" t="str">
        <f ca="1">Área!L317</f>
        <v/>
      </c>
      <c r="T371" s="396"/>
      <c r="U371" s="396" t="str">
        <f ca="1">Área!N317</f>
        <v/>
      </c>
      <c r="V371" s="396"/>
      <c r="W371" s="396" t="str">
        <f ca="1">Área!M317</f>
        <v/>
      </c>
      <c r="X371" s="396"/>
      <c r="Y371" s="89" t="str">
        <f ca="1">Área!O317</f>
        <v/>
      </c>
      <c r="Z371" s="399" t="str">
        <f ca="1">Área!P317</f>
        <v/>
      </c>
      <c r="AA371" s="399"/>
      <c r="AB371" s="399"/>
      <c r="AC371" s="399"/>
      <c r="AD371" s="399" t="str">
        <f ca="1">Área!Q317</f>
        <v/>
      </c>
      <c r="AE371" s="399"/>
      <c r="AF371" s="399"/>
      <c r="AG371" s="399"/>
      <c r="AH371" s="400" t="str">
        <f ca="1">Área!R317</f>
        <v/>
      </c>
      <c r="AI371" s="400"/>
      <c r="AJ371" s="400" t="str">
        <f ca="1">Área!S317</f>
        <v/>
      </c>
      <c r="AK371" s="400"/>
      <c r="AL371" s="400" t="str">
        <f ca="1">Área!T317</f>
        <v/>
      </c>
      <c r="AM371" s="400"/>
      <c r="AN371" s="400" t="str">
        <f ca="1">Área!U317</f>
        <v/>
      </c>
      <c r="AO371" s="400"/>
      <c r="AP371" s="422" t="str">
        <f ca="1">IFERROR(Área!Z317,"")</f>
        <v/>
      </c>
      <c r="AQ371" s="422"/>
      <c r="AR371" s="400" t="str">
        <f ca="1">Área!Y317</f>
        <v/>
      </c>
      <c r="AS371" s="423"/>
      <c r="AT371" s="72"/>
    </row>
    <row r="372" spans="1:46" ht="15" customHeight="1" x14ac:dyDescent="0.25">
      <c r="A372"/>
      <c r="C372" s="397" t="str">
        <f ca="1">Área!C318</f>
        <v/>
      </c>
      <c r="D372" s="398"/>
      <c r="E372" s="398"/>
      <c r="F372" s="398"/>
      <c r="G372" s="396" t="str">
        <f ca="1">Área!F318</f>
        <v/>
      </c>
      <c r="H372" s="396"/>
      <c r="I372" s="398" t="str">
        <f ca="1">Área!G318</f>
        <v/>
      </c>
      <c r="J372" s="398"/>
      <c r="K372" s="396" t="str">
        <f ca="1">Área!H318</f>
        <v/>
      </c>
      <c r="L372" s="396"/>
      <c r="M372" s="396" t="str">
        <f ca="1">Área!I318</f>
        <v/>
      </c>
      <c r="N372" s="396"/>
      <c r="O372" s="396" t="str">
        <f ca="1">Área!J318</f>
        <v/>
      </c>
      <c r="P372" s="396"/>
      <c r="Q372" s="396" t="str">
        <f ca="1">Área!K318</f>
        <v/>
      </c>
      <c r="R372" s="396"/>
      <c r="S372" s="396" t="str">
        <f ca="1">Área!L318</f>
        <v/>
      </c>
      <c r="T372" s="396"/>
      <c r="U372" s="396" t="str">
        <f ca="1">Área!N318</f>
        <v/>
      </c>
      <c r="V372" s="396"/>
      <c r="W372" s="396" t="str">
        <f ca="1">Área!M318</f>
        <v/>
      </c>
      <c r="X372" s="396"/>
      <c r="Y372" s="89" t="str">
        <f ca="1">Área!O318</f>
        <v/>
      </c>
      <c r="Z372" s="399" t="str">
        <f ca="1">Área!P318</f>
        <v/>
      </c>
      <c r="AA372" s="399"/>
      <c r="AB372" s="399"/>
      <c r="AC372" s="399"/>
      <c r="AD372" s="399" t="str">
        <f ca="1">Área!Q318</f>
        <v/>
      </c>
      <c r="AE372" s="399"/>
      <c r="AF372" s="399"/>
      <c r="AG372" s="399"/>
      <c r="AH372" s="400" t="str">
        <f ca="1">Área!R318</f>
        <v/>
      </c>
      <c r="AI372" s="400"/>
      <c r="AJ372" s="400" t="str">
        <f ca="1">Área!S318</f>
        <v/>
      </c>
      <c r="AK372" s="400"/>
      <c r="AL372" s="400" t="str">
        <f ca="1">Área!T318</f>
        <v/>
      </c>
      <c r="AM372" s="400"/>
      <c r="AN372" s="400" t="str">
        <f ca="1">Área!U318</f>
        <v/>
      </c>
      <c r="AO372" s="400"/>
      <c r="AP372" s="422" t="str">
        <f ca="1">IFERROR(Área!Z318,"")</f>
        <v/>
      </c>
      <c r="AQ372" s="422"/>
      <c r="AR372" s="400" t="str">
        <f ca="1">Área!Y318</f>
        <v/>
      </c>
      <c r="AS372" s="423"/>
      <c r="AT372" s="72"/>
    </row>
    <row r="373" spans="1:46" ht="15" customHeight="1" x14ac:dyDescent="0.25">
      <c r="A373"/>
      <c r="C373" s="397" t="str">
        <f ca="1">Área!C319</f>
        <v/>
      </c>
      <c r="D373" s="398"/>
      <c r="E373" s="398"/>
      <c r="F373" s="398"/>
      <c r="G373" s="396" t="str">
        <f ca="1">Área!F319</f>
        <v/>
      </c>
      <c r="H373" s="396"/>
      <c r="I373" s="398" t="str">
        <f ca="1">Área!G319</f>
        <v/>
      </c>
      <c r="J373" s="398"/>
      <c r="K373" s="396" t="str">
        <f ca="1">Área!H319</f>
        <v/>
      </c>
      <c r="L373" s="396"/>
      <c r="M373" s="396" t="str">
        <f ca="1">Área!I319</f>
        <v/>
      </c>
      <c r="N373" s="396"/>
      <c r="O373" s="396" t="str">
        <f ca="1">Área!J319</f>
        <v/>
      </c>
      <c r="P373" s="396"/>
      <c r="Q373" s="396" t="str">
        <f ca="1">Área!K319</f>
        <v/>
      </c>
      <c r="R373" s="396"/>
      <c r="S373" s="396" t="str">
        <f ca="1">Área!L319</f>
        <v/>
      </c>
      <c r="T373" s="396"/>
      <c r="U373" s="396" t="str">
        <f ca="1">Área!N319</f>
        <v/>
      </c>
      <c r="V373" s="396"/>
      <c r="W373" s="396" t="str">
        <f ca="1">Área!M319</f>
        <v/>
      </c>
      <c r="X373" s="396"/>
      <c r="Y373" s="89" t="str">
        <f ca="1">Área!O319</f>
        <v/>
      </c>
      <c r="Z373" s="399" t="str">
        <f ca="1">Área!P319</f>
        <v/>
      </c>
      <c r="AA373" s="399"/>
      <c r="AB373" s="399"/>
      <c r="AC373" s="399"/>
      <c r="AD373" s="399" t="str">
        <f ca="1">Área!Q319</f>
        <v/>
      </c>
      <c r="AE373" s="399"/>
      <c r="AF373" s="399"/>
      <c r="AG373" s="399"/>
      <c r="AH373" s="400" t="str">
        <f ca="1">Área!R319</f>
        <v/>
      </c>
      <c r="AI373" s="400"/>
      <c r="AJ373" s="400" t="str">
        <f ca="1">Área!S319</f>
        <v/>
      </c>
      <c r="AK373" s="400"/>
      <c r="AL373" s="400" t="str">
        <f ca="1">Área!T319</f>
        <v/>
      </c>
      <c r="AM373" s="400"/>
      <c r="AN373" s="400" t="str">
        <f ca="1">Área!U319</f>
        <v/>
      </c>
      <c r="AO373" s="400"/>
      <c r="AP373" s="422" t="str">
        <f ca="1">IFERROR(Área!Z319,"")</f>
        <v/>
      </c>
      <c r="AQ373" s="422"/>
      <c r="AR373" s="400" t="str">
        <f ca="1">Área!Y319</f>
        <v/>
      </c>
      <c r="AS373" s="423"/>
      <c r="AT373" s="72"/>
    </row>
    <row r="374" spans="1:46" ht="15" customHeight="1" x14ac:dyDescent="0.25">
      <c r="A374"/>
      <c r="C374" s="397" t="str">
        <f ca="1">Área!C320</f>
        <v/>
      </c>
      <c r="D374" s="398"/>
      <c r="E374" s="398"/>
      <c r="F374" s="398"/>
      <c r="G374" s="396" t="str">
        <f ca="1">Área!F320</f>
        <v/>
      </c>
      <c r="H374" s="396"/>
      <c r="I374" s="398" t="str">
        <f ca="1">Área!G320</f>
        <v/>
      </c>
      <c r="J374" s="398"/>
      <c r="K374" s="396" t="str">
        <f ca="1">Área!H320</f>
        <v/>
      </c>
      <c r="L374" s="396"/>
      <c r="M374" s="396" t="str">
        <f ca="1">Área!I320</f>
        <v/>
      </c>
      <c r="N374" s="396"/>
      <c r="O374" s="396" t="str">
        <f ca="1">Área!J320</f>
        <v/>
      </c>
      <c r="P374" s="396"/>
      <c r="Q374" s="396" t="str">
        <f ca="1">Área!K320</f>
        <v/>
      </c>
      <c r="R374" s="396"/>
      <c r="S374" s="396" t="str">
        <f ca="1">Área!L320</f>
        <v/>
      </c>
      <c r="T374" s="396"/>
      <c r="U374" s="396" t="str">
        <f ca="1">Área!N320</f>
        <v/>
      </c>
      <c r="V374" s="396"/>
      <c r="W374" s="396" t="str">
        <f ca="1">Área!M320</f>
        <v/>
      </c>
      <c r="X374" s="396"/>
      <c r="Y374" s="89" t="str">
        <f ca="1">Área!O320</f>
        <v/>
      </c>
      <c r="Z374" s="399" t="str">
        <f ca="1">Área!P320</f>
        <v/>
      </c>
      <c r="AA374" s="399"/>
      <c r="AB374" s="399"/>
      <c r="AC374" s="399"/>
      <c r="AD374" s="399" t="str">
        <f ca="1">Área!Q320</f>
        <v/>
      </c>
      <c r="AE374" s="399"/>
      <c r="AF374" s="399"/>
      <c r="AG374" s="399"/>
      <c r="AH374" s="400" t="str">
        <f ca="1">Área!R320</f>
        <v/>
      </c>
      <c r="AI374" s="400"/>
      <c r="AJ374" s="400" t="str">
        <f ca="1">Área!S320</f>
        <v/>
      </c>
      <c r="AK374" s="400"/>
      <c r="AL374" s="400" t="str">
        <f ca="1">Área!T320</f>
        <v/>
      </c>
      <c r="AM374" s="400"/>
      <c r="AN374" s="400" t="str">
        <f ca="1">Área!U320</f>
        <v/>
      </c>
      <c r="AO374" s="400"/>
      <c r="AP374" s="422" t="str">
        <f ca="1">IFERROR(Área!Z320,"")</f>
        <v/>
      </c>
      <c r="AQ374" s="422"/>
      <c r="AR374" s="400" t="str">
        <f ca="1">Área!Y320</f>
        <v/>
      </c>
      <c r="AS374" s="423"/>
      <c r="AT374" s="72"/>
    </row>
    <row r="375" spans="1:46" ht="15" customHeight="1" x14ac:dyDescent="0.25">
      <c r="A375"/>
      <c r="C375" s="397" t="str">
        <f ca="1">Área!C321</f>
        <v/>
      </c>
      <c r="D375" s="398"/>
      <c r="E375" s="398"/>
      <c r="F375" s="398"/>
      <c r="G375" s="396" t="str">
        <f ca="1">Área!F321</f>
        <v/>
      </c>
      <c r="H375" s="396"/>
      <c r="I375" s="398" t="str">
        <f ca="1">Área!G321</f>
        <v/>
      </c>
      <c r="J375" s="398"/>
      <c r="K375" s="396" t="str">
        <f ca="1">Área!H321</f>
        <v/>
      </c>
      <c r="L375" s="396"/>
      <c r="M375" s="396" t="str">
        <f ca="1">Área!I321</f>
        <v/>
      </c>
      <c r="N375" s="396"/>
      <c r="O375" s="396" t="str">
        <f ca="1">Área!J321</f>
        <v/>
      </c>
      <c r="P375" s="396"/>
      <c r="Q375" s="396" t="str">
        <f ca="1">Área!K321</f>
        <v/>
      </c>
      <c r="R375" s="396"/>
      <c r="S375" s="396" t="str">
        <f ca="1">Área!L321</f>
        <v/>
      </c>
      <c r="T375" s="396"/>
      <c r="U375" s="396" t="str">
        <f ca="1">Área!N321</f>
        <v/>
      </c>
      <c r="V375" s="396"/>
      <c r="W375" s="396" t="str">
        <f ca="1">Área!M321</f>
        <v/>
      </c>
      <c r="X375" s="396"/>
      <c r="Y375" s="89" t="str">
        <f ca="1">Área!O321</f>
        <v/>
      </c>
      <c r="Z375" s="399" t="str">
        <f ca="1">Área!P321</f>
        <v/>
      </c>
      <c r="AA375" s="399"/>
      <c r="AB375" s="399"/>
      <c r="AC375" s="399"/>
      <c r="AD375" s="399" t="str">
        <f ca="1">Área!Q321</f>
        <v/>
      </c>
      <c r="AE375" s="399"/>
      <c r="AF375" s="399"/>
      <c r="AG375" s="399"/>
      <c r="AH375" s="400" t="str">
        <f ca="1">Área!R321</f>
        <v/>
      </c>
      <c r="AI375" s="400"/>
      <c r="AJ375" s="400" t="str">
        <f ca="1">Área!S321</f>
        <v/>
      </c>
      <c r="AK375" s="400"/>
      <c r="AL375" s="400" t="str">
        <f ca="1">Área!T321</f>
        <v/>
      </c>
      <c r="AM375" s="400"/>
      <c r="AN375" s="400" t="str">
        <f ca="1">Área!U321</f>
        <v/>
      </c>
      <c r="AO375" s="400"/>
      <c r="AP375" s="422" t="str">
        <f ca="1">IFERROR(Área!Z321,"")</f>
        <v/>
      </c>
      <c r="AQ375" s="422"/>
      <c r="AR375" s="400" t="str">
        <f ca="1">Área!Y321</f>
        <v/>
      </c>
      <c r="AS375" s="423"/>
      <c r="AT375" s="72"/>
    </row>
    <row r="376" spans="1:46" ht="15" customHeight="1" x14ac:dyDescent="0.25">
      <c r="A376"/>
      <c r="C376" s="397" t="str">
        <f ca="1">Área!C322</f>
        <v/>
      </c>
      <c r="D376" s="398"/>
      <c r="E376" s="398"/>
      <c r="F376" s="398"/>
      <c r="G376" s="396" t="str">
        <f ca="1">Área!F322</f>
        <v/>
      </c>
      <c r="H376" s="396"/>
      <c r="I376" s="398" t="str">
        <f ca="1">Área!G322</f>
        <v/>
      </c>
      <c r="J376" s="398"/>
      <c r="K376" s="396" t="str">
        <f ca="1">Área!H322</f>
        <v/>
      </c>
      <c r="L376" s="396"/>
      <c r="M376" s="396" t="str">
        <f ca="1">Área!I322</f>
        <v/>
      </c>
      <c r="N376" s="396"/>
      <c r="O376" s="396" t="str">
        <f ca="1">Área!J322</f>
        <v/>
      </c>
      <c r="P376" s="396"/>
      <c r="Q376" s="396" t="str">
        <f ca="1">Área!K322</f>
        <v/>
      </c>
      <c r="R376" s="396"/>
      <c r="S376" s="396" t="str">
        <f ca="1">Área!L322</f>
        <v/>
      </c>
      <c r="T376" s="396"/>
      <c r="U376" s="396" t="str">
        <f ca="1">Área!N322</f>
        <v/>
      </c>
      <c r="V376" s="396"/>
      <c r="W376" s="396" t="str">
        <f ca="1">Área!M322</f>
        <v/>
      </c>
      <c r="X376" s="396"/>
      <c r="Y376" s="89" t="str">
        <f ca="1">Área!O322</f>
        <v/>
      </c>
      <c r="Z376" s="399" t="str">
        <f ca="1">Área!P322</f>
        <v/>
      </c>
      <c r="AA376" s="399"/>
      <c r="AB376" s="399"/>
      <c r="AC376" s="399"/>
      <c r="AD376" s="399" t="str">
        <f ca="1">Área!Q322</f>
        <v/>
      </c>
      <c r="AE376" s="399"/>
      <c r="AF376" s="399"/>
      <c r="AG376" s="399"/>
      <c r="AH376" s="400" t="str">
        <f ca="1">Área!R322</f>
        <v/>
      </c>
      <c r="AI376" s="400"/>
      <c r="AJ376" s="400" t="str">
        <f ca="1">Área!S322</f>
        <v/>
      </c>
      <c r="AK376" s="400"/>
      <c r="AL376" s="400" t="str">
        <f ca="1">Área!T322</f>
        <v/>
      </c>
      <c r="AM376" s="400"/>
      <c r="AN376" s="400" t="str">
        <f ca="1">Área!U322</f>
        <v/>
      </c>
      <c r="AO376" s="400"/>
      <c r="AP376" s="422" t="str">
        <f ca="1">IFERROR(Área!Z322,"")</f>
        <v/>
      </c>
      <c r="AQ376" s="422"/>
      <c r="AR376" s="400" t="str">
        <f ca="1">Área!Y322</f>
        <v/>
      </c>
      <c r="AS376" s="423"/>
      <c r="AT376" s="72"/>
    </row>
    <row r="377" spans="1:46" ht="15" customHeight="1" x14ac:dyDescent="0.25">
      <c r="A377"/>
      <c r="C377" s="397" t="str">
        <f ca="1">Área!C323</f>
        <v/>
      </c>
      <c r="D377" s="398"/>
      <c r="E377" s="398"/>
      <c r="F377" s="398"/>
      <c r="G377" s="396" t="str">
        <f ca="1">Área!F323</f>
        <v/>
      </c>
      <c r="H377" s="396"/>
      <c r="I377" s="398" t="str">
        <f ca="1">Área!G323</f>
        <v/>
      </c>
      <c r="J377" s="398"/>
      <c r="K377" s="396" t="str">
        <f ca="1">Área!H323</f>
        <v/>
      </c>
      <c r="L377" s="396"/>
      <c r="M377" s="396" t="str">
        <f ca="1">Área!I323</f>
        <v/>
      </c>
      <c r="N377" s="396"/>
      <c r="O377" s="396" t="str">
        <f ca="1">Área!J323</f>
        <v/>
      </c>
      <c r="P377" s="396"/>
      <c r="Q377" s="396" t="str">
        <f ca="1">Área!K323</f>
        <v/>
      </c>
      <c r="R377" s="396"/>
      <c r="S377" s="396" t="str">
        <f ca="1">Área!L323</f>
        <v/>
      </c>
      <c r="T377" s="396"/>
      <c r="U377" s="396" t="str">
        <f ca="1">Área!N323</f>
        <v/>
      </c>
      <c r="V377" s="396"/>
      <c r="W377" s="396" t="str">
        <f ca="1">Área!M323</f>
        <v/>
      </c>
      <c r="X377" s="396"/>
      <c r="Y377" s="89" t="str">
        <f ca="1">Área!O323</f>
        <v/>
      </c>
      <c r="Z377" s="399" t="str">
        <f ca="1">Área!P323</f>
        <v/>
      </c>
      <c r="AA377" s="399"/>
      <c r="AB377" s="399"/>
      <c r="AC377" s="399"/>
      <c r="AD377" s="399" t="str">
        <f ca="1">Área!Q323</f>
        <v/>
      </c>
      <c r="AE377" s="399"/>
      <c r="AF377" s="399"/>
      <c r="AG377" s="399"/>
      <c r="AH377" s="400" t="str">
        <f ca="1">Área!R323</f>
        <v/>
      </c>
      <c r="AI377" s="400"/>
      <c r="AJ377" s="400" t="str">
        <f ca="1">Área!S323</f>
        <v/>
      </c>
      <c r="AK377" s="400"/>
      <c r="AL377" s="400" t="str">
        <f ca="1">Área!T323</f>
        <v/>
      </c>
      <c r="AM377" s="400"/>
      <c r="AN377" s="400" t="str">
        <f ca="1">Área!U323</f>
        <v/>
      </c>
      <c r="AO377" s="400"/>
      <c r="AP377" s="422" t="str">
        <f ca="1">IFERROR(Área!Z323,"")</f>
        <v/>
      </c>
      <c r="AQ377" s="422"/>
      <c r="AR377" s="400" t="str">
        <f ca="1">Área!Y323</f>
        <v/>
      </c>
      <c r="AS377" s="423"/>
      <c r="AT377" s="72"/>
    </row>
    <row r="378" spans="1:46" ht="15" customHeight="1" x14ac:dyDescent="0.25">
      <c r="A378"/>
      <c r="C378" s="397" t="str">
        <f ca="1">Área!C324</f>
        <v/>
      </c>
      <c r="D378" s="398"/>
      <c r="E378" s="398"/>
      <c r="F378" s="398"/>
      <c r="G378" s="396" t="str">
        <f ca="1">Área!F324</f>
        <v/>
      </c>
      <c r="H378" s="396"/>
      <c r="I378" s="398" t="str">
        <f ca="1">Área!G324</f>
        <v/>
      </c>
      <c r="J378" s="398"/>
      <c r="K378" s="396" t="str">
        <f ca="1">Área!H324</f>
        <v/>
      </c>
      <c r="L378" s="396"/>
      <c r="M378" s="396" t="str">
        <f ca="1">Área!I324</f>
        <v/>
      </c>
      <c r="N378" s="396"/>
      <c r="O378" s="396" t="str">
        <f ca="1">Área!J324</f>
        <v/>
      </c>
      <c r="P378" s="396"/>
      <c r="Q378" s="396" t="str">
        <f ca="1">Área!K324</f>
        <v/>
      </c>
      <c r="R378" s="396"/>
      <c r="S378" s="396" t="str">
        <f ca="1">Área!L324</f>
        <v/>
      </c>
      <c r="T378" s="396"/>
      <c r="U378" s="396" t="str">
        <f ca="1">Área!N324</f>
        <v/>
      </c>
      <c r="V378" s="396"/>
      <c r="W378" s="396" t="str">
        <f ca="1">Área!M324</f>
        <v/>
      </c>
      <c r="X378" s="396"/>
      <c r="Y378" s="89" t="str">
        <f ca="1">Área!O324</f>
        <v/>
      </c>
      <c r="Z378" s="399" t="str">
        <f ca="1">Área!P324</f>
        <v/>
      </c>
      <c r="AA378" s="399"/>
      <c r="AB378" s="399"/>
      <c r="AC378" s="399"/>
      <c r="AD378" s="399" t="str">
        <f ca="1">Área!Q324</f>
        <v/>
      </c>
      <c r="AE378" s="399"/>
      <c r="AF378" s="399"/>
      <c r="AG378" s="399"/>
      <c r="AH378" s="400" t="str">
        <f ca="1">Área!R324</f>
        <v/>
      </c>
      <c r="AI378" s="400"/>
      <c r="AJ378" s="400" t="str">
        <f ca="1">Área!S324</f>
        <v/>
      </c>
      <c r="AK378" s="400"/>
      <c r="AL378" s="400" t="str">
        <f ca="1">Área!T324</f>
        <v/>
      </c>
      <c r="AM378" s="400"/>
      <c r="AN378" s="400" t="str">
        <f ca="1">Área!U324</f>
        <v/>
      </c>
      <c r="AO378" s="400"/>
      <c r="AP378" s="422" t="str">
        <f ca="1">IFERROR(Área!Z324,"")</f>
        <v/>
      </c>
      <c r="AQ378" s="422"/>
      <c r="AR378" s="400" t="str">
        <f ca="1">Área!Y324</f>
        <v/>
      </c>
      <c r="AS378" s="423"/>
      <c r="AT378" s="72"/>
    </row>
    <row r="379" spans="1:46" ht="15" customHeight="1" x14ac:dyDescent="0.25">
      <c r="A379"/>
      <c r="C379" s="397" t="str">
        <f ca="1">Área!C325</f>
        <v/>
      </c>
      <c r="D379" s="398"/>
      <c r="E379" s="398"/>
      <c r="F379" s="398"/>
      <c r="G379" s="396" t="str">
        <f ca="1">Área!F325</f>
        <v/>
      </c>
      <c r="H379" s="396"/>
      <c r="I379" s="398" t="str">
        <f ca="1">Área!G325</f>
        <v/>
      </c>
      <c r="J379" s="398"/>
      <c r="K379" s="396" t="str">
        <f ca="1">Área!H325</f>
        <v/>
      </c>
      <c r="L379" s="396"/>
      <c r="M379" s="396" t="str">
        <f ca="1">Área!I325</f>
        <v/>
      </c>
      <c r="N379" s="396"/>
      <c r="O379" s="396" t="str">
        <f ca="1">Área!J325</f>
        <v/>
      </c>
      <c r="P379" s="396"/>
      <c r="Q379" s="396" t="str">
        <f ca="1">Área!K325</f>
        <v/>
      </c>
      <c r="R379" s="396"/>
      <c r="S379" s="396" t="str">
        <f ca="1">Área!L325</f>
        <v/>
      </c>
      <c r="T379" s="396"/>
      <c r="U379" s="396" t="str">
        <f ca="1">Área!N325</f>
        <v/>
      </c>
      <c r="V379" s="396"/>
      <c r="W379" s="396" t="str">
        <f ca="1">Área!M325</f>
        <v/>
      </c>
      <c r="X379" s="396"/>
      <c r="Y379" s="89" t="str">
        <f ca="1">Área!O325</f>
        <v/>
      </c>
      <c r="Z379" s="399" t="str">
        <f ca="1">Área!P325</f>
        <v/>
      </c>
      <c r="AA379" s="399"/>
      <c r="AB379" s="399"/>
      <c r="AC379" s="399"/>
      <c r="AD379" s="399" t="str">
        <f ca="1">Área!Q325</f>
        <v/>
      </c>
      <c r="AE379" s="399"/>
      <c r="AF379" s="399"/>
      <c r="AG379" s="399"/>
      <c r="AH379" s="400" t="str">
        <f ca="1">Área!R325</f>
        <v/>
      </c>
      <c r="AI379" s="400"/>
      <c r="AJ379" s="400" t="str">
        <f ca="1">Área!S325</f>
        <v/>
      </c>
      <c r="AK379" s="400"/>
      <c r="AL379" s="400" t="str">
        <f ca="1">Área!T325</f>
        <v/>
      </c>
      <c r="AM379" s="400"/>
      <c r="AN379" s="400" t="str">
        <f ca="1">Área!U325</f>
        <v/>
      </c>
      <c r="AO379" s="400"/>
      <c r="AP379" s="422" t="str">
        <f ca="1">IFERROR(Área!Z325,"")</f>
        <v/>
      </c>
      <c r="AQ379" s="422"/>
      <c r="AR379" s="400" t="str">
        <f ca="1">Área!Y325</f>
        <v/>
      </c>
      <c r="AS379" s="423"/>
      <c r="AT379" s="72"/>
    </row>
    <row r="380" spans="1:46" ht="15" customHeight="1" x14ac:dyDescent="0.25">
      <c r="A380"/>
      <c r="C380" s="397" t="str">
        <f ca="1">Área!C326</f>
        <v/>
      </c>
      <c r="D380" s="398"/>
      <c r="E380" s="398"/>
      <c r="F380" s="398"/>
      <c r="G380" s="396" t="str">
        <f ca="1">Área!F326</f>
        <v/>
      </c>
      <c r="H380" s="396"/>
      <c r="I380" s="398" t="str">
        <f ca="1">Área!G326</f>
        <v/>
      </c>
      <c r="J380" s="398"/>
      <c r="K380" s="396" t="str">
        <f ca="1">Área!H326</f>
        <v/>
      </c>
      <c r="L380" s="396"/>
      <c r="M380" s="396" t="str">
        <f ca="1">Área!I326</f>
        <v/>
      </c>
      <c r="N380" s="396"/>
      <c r="O380" s="396" t="str">
        <f ca="1">Área!J326</f>
        <v/>
      </c>
      <c r="P380" s="396"/>
      <c r="Q380" s="396" t="str">
        <f ca="1">Área!K326</f>
        <v/>
      </c>
      <c r="R380" s="396"/>
      <c r="S380" s="396" t="str">
        <f ca="1">Área!L326</f>
        <v/>
      </c>
      <c r="T380" s="396"/>
      <c r="U380" s="396" t="str">
        <f ca="1">Área!N326</f>
        <v/>
      </c>
      <c r="V380" s="396"/>
      <c r="W380" s="396" t="str">
        <f ca="1">Área!M326</f>
        <v/>
      </c>
      <c r="X380" s="396"/>
      <c r="Y380" s="89" t="str">
        <f ca="1">Área!O326</f>
        <v/>
      </c>
      <c r="Z380" s="399" t="str">
        <f ca="1">Área!P326</f>
        <v/>
      </c>
      <c r="AA380" s="399"/>
      <c r="AB380" s="399"/>
      <c r="AC380" s="399"/>
      <c r="AD380" s="399" t="str">
        <f ca="1">Área!Q326</f>
        <v/>
      </c>
      <c r="AE380" s="399"/>
      <c r="AF380" s="399"/>
      <c r="AG380" s="399"/>
      <c r="AH380" s="400" t="str">
        <f ca="1">Área!R326</f>
        <v/>
      </c>
      <c r="AI380" s="400"/>
      <c r="AJ380" s="400" t="str">
        <f ca="1">Área!S326</f>
        <v/>
      </c>
      <c r="AK380" s="400"/>
      <c r="AL380" s="400" t="str">
        <f ca="1">Área!T326</f>
        <v/>
      </c>
      <c r="AM380" s="400"/>
      <c r="AN380" s="400" t="str">
        <f ca="1">Área!U326</f>
        <v/>
      </c>
      <c r="AO380" s="400"/>
      <c r="AP380" s="422" t="str">
        <f ca="1">IFERROR(Área!Z326,"")</f>
        <v/>
      </c>
      <c r="AQ380" s="422"/>
      <c r="AR380" s="400" t="str">
        <f ca="1">Área!Y326</f>
        <v/>
      </c>
      <c r="AS380" s="423"/>
      <c r="AT380" s="72"/>
    </row>
    <row r="381" spans="1:46" ht="15" customHeight="1" x14ac:dyDescent="0.25">
      <c r="A381"/>
      <c r="C381" s="397" t="str">
        <f ca="1">Área!C327</f>
        <v/>
      </c>
      <c r="D381" s="398"/>
      <c r="E381" s="398"/>
      <c r="F381" s="398"/>
      <c r="G381" s="396" t="str">
        <f ca="1">Área!F327</f>
        <v/>
      </c>
      <c r="H381" s="396"/>
      <c r="I381" s="398" t="str">
        <f ca="1">Área!G327</f>
        <v/>
      </c>
      <c r="J381" s="398"/>
      <c r="K381" s="396" t="str">
        <f ca="1">Área!H327</f>
        <v/>
      </c>
      <c r="L381" s="396"/>
      <c r="M381" s="396" t="str">
        <f ca="1">Área!I327</f>
        <v/>
      </c>
      <c r="N381" s="396"/>
      <c r="O381" s="396" t="str">
        <f ca="1">Área!J327</f>
        <v/>
      </c>
      <c r="P381" s="396"/>
      <c r="Q381" s="396" t="str">
        <f ca="1">Área!K327</f>
        <v/>
      </c>
      <c r="R381" s="396"/>
      <c r="S381" s="396" t="str">
        <f ca="1">Área!L327</f>
        <v/>
      </c>
      <c r="T381" s="396"/>
      <c r="U381" s="396" t="str">
        <f ca="1">Área!N327</f>
        <v/>
      </c>
      <c r="V381" s="396"/>
      <c r="W381" s="396" t="str">
        <f ca="1">Área!M327</f>
        <v/>
      </c>
      <c r="X381" s="396"/>
      <c r="Y381" s="89" t="str">
        <f ca="1">Área!O327</f>
        <v/>
      </c>
      <c r="Z381" s="399" t="str">
        <f ca="1">Área!P327</f>
        <v/>
      </c>
      <c r="AA381" s="399"/>
      <c r="AB381" s="399"/>
      <c r="AC381" s="399"/>
      <c r="AD381" s="399" t="str">
        <f ca="1">Área!Q327</f>
        <v/>
      </c>
      <c r="AE381" s="399"/>
      <c r="AF381" s="399"/>
      <c r="AG381" s="399"/>
      <c r="AH381" s="400" t="str">
        <f ca="1">Área!R327</f>
        <v/>
      </c>
      <c r="AI381" s="400"/>
      <c r="AJ381" s="400" t="str">
        <f ca="1">Área!S327</f>
        <v/>
      </c>
      <c r="AK381" s="400"/>
      <c r="AL381" s="400" t="str">
        <f ca="1">Área!T327</f>
        <v/>
      </c>
      <c r="AM381" s="400"/>
      <c r="AN381" s="400" t="str">
        <f ca="1">Área!U327</f>
        <v/>
      </c>
      <c r="AO381" s="400"/>
      <c r="AP381" s="422" t="str">
        <f ca="1">IFERROR(Área!Z327,"")</f>
        <v/>
      </c>
      <c r="AQ381" s="422"/>
      <c r="AR381" s="400" t="str">
        <f ca="1">Área!Y327</f>
        <v/>
      </c>
      <c r="AS381" s="423"/>
      <c r="AT381" s="72"/>
    </row>
    <row r="382" spans="1:46" ht="15" customHeight="1" x14ac:dyDescent="0.25">
      <c r="A382"/>
      <c r="C382" s="397" t="str">
        <f ca="1">Área!C328</f>
        <v/>
      </c>
      <c r="D382" s="398"/>
      <c r="E382" s="398"/>
      <c r="F382" s="398"/>
      <c r="G382" s="396" t="str">
        <f ca="1">Área!F328</f>
        <v/>
      </c>
      <c r="H382" s="396"/>
      <c r="I382" s="398" t="str">
        <f ca="1">Área!G328</f>
        <v/>
      </c>
      <c r="J382" s="398"/>
      <c r="K382" s="396" t="str">
        <f ca="1">Área!H328</f>
        <v/>
      </c>
      <c r="L382" s="396"/>
      <c r="M382" s="396" t="str">
        <f ca="1">Área!I328</f>
        <v/>
      </c>
      <c r="N382" s="396"/>
      <c r="O382" s="396" t="str">
        <f ca="1">Área!J328</f>
        <v/>
      </c>
      <c r="P382" s="396"/>
      <c r="Q382" s="396" t="str">
        <f ca="1">Área!K328</f>
        <v/>
      </c>
      <c r="R382" s="396"/>
      <c r="S382" s="396" t="str">
        <f ca="1">Área!L328</f>
        <v/>
      </c>
      <c r="T382" s="396"/>
      <c r="U382" s="396" t="str">
        <f ca="1">Área!N328</f>
        <v/>
      </c>
      <c r="V382" s="396"/>
      <c r="W382" s="396" t="str">
        <f ca="1">Área!M328</f>
        <v/>
      </c>
      <c r="X382" s="396"/>
      <c r="Y382" s="89" t="str">
        <f ca="1">Área!O328</f>
        <v/>
      </c>
      <c r="Z382" s="399" t="str">
        <f ca="1">Área!P328</f>
        <v/>
      </c>
      <c r="AA382" s="399"/>
      <c r="AB382" s="399"/>
      <c r="AC382" s="399"/>
      <c r="AD382" s="399" t="str">
        <f ca="1">Área!Q328</f>
        <v/>
      </c>
      <c r="AE382" s="399"/>
      <c r="AF382" s="399"/>
      <c r="AG382" s="399"/>
      <c r="AH382" s="400" t="str">
        <f ca="1">Área!R328</f>
        <v/>
      </c>
      <c r="AI382" s="400"/>
      <c r="AJ382" s="400" t="str">
        <f ca="1">Área!S328</f>
        <v/>
      </c>
      <c r="AK382" s="400"/>
      <c r="AL382" s="400" t="str">
        <f ca="1">Área!T328</f>
        <v/>
      </c>
      <c r="AM382" s="400"/>
      <c r="AN382" s="400" t="str">
        <f ca="1">Área!U328</f>
        <v/>
      </c>
      <c r="AO382" s="400"/>
      <c r="AP382" s="422" t="str">
        <f ca="1">IFERROR(Área!Z328,"")</f>
        <v/>
      </c>
      <c r="AQ382" s="422"/>
      <c r="AR382" s="400" t="str">
        <f ca="1">Área!Y328</f>
        <v/>
      </c>
      <c r="AS382" s="423"/>
      <c r="AT382" s="72"/>
    </row>
    <row r="383" spans="1:46" ht="15" customHeight="1" x14ac:dyDescent="0.25">
      <c r="A383"/>
      <c r="C383" s="397" t="str">
        <f ca="1">Área!C329</f>
        <v/>
      </c>
      <c r="D383" s="398"/>
      <c r="E383" s="398"/>
      <c r="F383" s="398"/>
      <c r="G383" s="396" t="str">
        <f ca="1">Área!F329</f>
        <v/>
      </c>
      <c r="H383" s="396"/>
      <c r="I383" s="398" t="str">
        <f ca="1">Área!G329</f>
        <v/>
      </c>
      <c r="J383" s="398"/>
      <c r="K383" s="396" t="str">
        <f ca="1">Área!H329</f>
        <v/>
      </c>
      <c r="L383" s="396"/>
      <c r="M383" s="396" t="str">
        <f ca="1">Área!I329</f>
        <v/>
      </c>
      <c r="N383" s="396"/>
      <c r="O383" s="396" t="str">
        <f ca="1">Área!J329</f>
        <v/>
      </c>
      <c r="P383" s="396"/>
      <c r="Q383" s="396" t="str">
        <f ca="1">Área!K329</f>
        <v/>
      </c>
      <c r="R383" s="396"/>
      <c r="S383" s="396" t="str">
        <f ca="1">Área!L329</f>
        <v/>
      </c>
      <c r="T383" s="396"/>
      <c r="U383" s="396" t="str">
        <f ca="1">Área!N329</f>
        <v/>
      </c>
      <c r="V383" s="396"/>
      <c r="W383" s="396" t="str">
        <f ca="1">Área!M329</f>
        <v/>
      </c>
      <c r="X383" s="396"/>
      <c r="Y383" s="89" t="str">
        <f ca="1">Área!O329</f>
        <v/>
      </c>
      <c r="Z383" s="399" t="str">
        <f ca="1">Área!P329</f>
        <v/>
      </c>
      <c r="AA383" s="399"/>
      <c r="AB383" s="399"/>
      <c r="AC383" s="399"/>
      <c r="AD383" s="399" t="str">
        <f ca="1">Área!Q329</f>
        <v/>
      </c>
      <c r="AE383" s="399"/>
      <c r="AF383" s="399"/>
      <c r="AG383" s="399"/>
      <c r="AH383" s="400" t="str">
        <f ca="1">Área!R329</f>
        <v/>
      </c>
      <c r="AI383" s="400"/>
      <c r="AJ383" s="400" t="str">
        <f ca="1">Área!S329</f>
        <v/>
      </c>
      <c r="AK383" s="400"/>
      <c r="AL383" s="400" t="str">
        <f ca="1">Área!T329</f>
        <v/>
      </c>
      <c r="AM383" s="400"/>
      <c r="AN383" s="400" t="str">
        <f ca="1">Área!U329</f>
        <v/>
      </c>
      <c r="AO383" s="400"/>
      <c r="AP383" s="422" t="str">
        <f ca="1">IFERROR(Área!Z329,"")</f>
        <v/>
      </c>
      <c r="AQ383" s="422"/>
      <c r="AR383" s="400" t="str">
        <f ca="1">Área!Y329</f>
        <v/>
      </c>
      <c r="AS383" s="423"/>
      <c r="AT383" s="72"/>
    </row>
    <row r="384" spans="1:46" ht="15" customHeight="1" x14ac:dyDescent="0.25">
      <c r="A384"/>
      <c r="C384" s="397" t="str">
        <f ca="1">Área!C330</f>
        <v/>
      </c>
      <c r="D384" s="398"/>
      <c r="E384" s="398"/>
      <c r="F384" s="398"/>
      <c r="G384" s="396" t="str">
        <f ca="1">Área!F330</f>
        <v/>
      </c>
      <c r="H384" s="396"/>
      <c r="I384" s="398" t="str">
        <f ca="1">Área!G330</f>
        <v/>
      </c>
      <c r="J384" s="398"/>
      <c r="K384" s="396" t="str">
        <f ca="1">Área!H330</f>
        <v/>
      </c>
      <c r="L384" s="396"/>
      <c r="M384" s="396" t="str">
        <f ca="1">Área!I330</f>
        <v/>
      </c>
      <c r="N384" s="396"/>
      <c r="O384" s="396" t="str">
        <f ca="1">Área!J330</f>
        <v/>
      </c>
      <c r="P384" s="396"/>
      <c r="Q384" s="396" t="str">
        <f ca="1">Área!K330</f>
        <v/>
      </c>
      <c r="R384" s="396"/>
      <c r="S384" s="396" t="str">
        <f ca="1">Área!L330</f>
        <v/>
      </c>
      <c r="T384" s="396"/>
      <c r="U384" s="396" t="str">
        <f ca="1">Área!N330</f>
        <v/>
      </c>
      <c r="V384" s="396"/>
      <c r="W384" s="396" t="str">
        <f ca="1">Área!M330</f>
        <v/>
      </c>
      <c r="X384" s="396"/>
      <c r="Y384" s="89" t="str">
        <f ca="1">Área!O330</f>
        <v/>
      </c>
      <c r="Z384" s="399" t="str">
        <f ca="1">Área!P330</f>
        <v/>
      </c>
      <c r="AA384" s="399"/>
      <c r="AB384" s="399"/>
      <c r="AC384" s="399"/>
      <c r="AD384" s="399" t="str">
        <f ca="1">Área!Q330</f>
        <v/>
      </c>
      <c r="AE384" s="399"/>
      <c r="AF384" s="399"/>
      <c r="AG384" s="399"/>
      <c r="AH384" s="400" t="str">
        <f ca="1">Área!R330</f>
        <v/>
      </c>
      <c r="AI384" s="400"/>
      <c r="AJ384" s="400" t="str">
        <f ca="1">Área!S330</f>
        <v/>
      </c>
      <c r="AK384" s="400"/>
      <c r="AL384" s="400" t="str">
        <f ca="1">Área!T330</f>
        <v/>
      </c>
      <c r="AM384" s="400"/>
      <c r="AN384" s="400" t="str">
        <f ca="1">Área!U330</f>
        <v/>
      </c>
      <c r="AO384" s="400"/>
      <c r="AP384" s="422" t="str">
        <f ca="1">IFERROR(Área!Z330,"")</f>
        <v/>
      </c>
      <c r="AQ384" s="422"/>
      <c r="AR384" s="400" t="str">
        <f ca="1">Área!Y330</f>
        <v/>
      </c>
      <c r="AS384" s="423"/>
      <c r="AT384" s="72"/>
    </row>
    <row r="385" spans="1:46" ht="15" customHeight="1" x14ac:dyDescent="0.25">
      <c r="A385"/>
      <c r="C385" s="397" t="str">
        <f ca="1">Área!C331</f>
        <v/>
      </c>
      <c r="D385" s="398"/>
      <c r="E385" s="398"/>
      <c r="F385" s="398"/>
      <c r="G385" s="396" t="str">
        <f ca="1">Área!F331</f>
        <v/>
      </c>
      <c r="H385" s="396"/>
      <c r="I385" s="398" t="str">
        <f ca="1">Área!G331</f>
        <v/>
      </c>
      <c r="J385" s="398"/>
      <c r="K385" s="396" t="str">
        <f ca="1">Área!H331</f>
        <v/>
      </c>
      <c r="L385" s="396"/>
      <c r="M385" s="396" t="str">
        <f ca="1">Área!I331</f>
        <v/>
      </c>
      <c r="N385" s="396"/>
      <c r="O385" s="396" t="str">
        <f ca="1">Área!J331</f>
        <v/>
      </c>
      <c r="P385" s="396"/>
      <c r="Q385" s="396" t="str">
        <f ca="1">Área!K331</f>
        <v/>
      </c>
      <c r="R385" s="396"/>
      <c r="S385" s="396" t="str">
        <f ca="1">Área!L331</f>
        <v/>
      </c>
      <c r="T385" s="396"/>
      <c r="U385" s="396" t="str">
        <f ca="1">Área!N331</f>
        <v/>
      </c>
      <c r="V385" s="396"/>
      <c r="W385" s="396" t="str">
        <f ca="1">Área!M331</f>
        <v/>
      </c>
      <c r="X385" s="396"/>
      <c r="Y385" s="89" t="str">
        <f ca="1">Área!O331</f>
        <v/>
      </c>
      <c r="Z385" s="399" t="str">
        <f ca="1">Área!P331</f>
        <v/>
      </c>
      <c r="AA385" s="399"/>
      <c r="AB385" s="399"/>
      <c r="AC385" s="399"/>
      <c r="AD385" s="399" t="str">
        <f ca="1">Área!Q331</f>
        <v/>
      </c>
      <c r="AE385" s="399"/>
      <c r="AF385" s="399"/>
      <c r="AG385" s="399"/>
      <c r="AH385" s="400" t="str">
        <f ca="1">Área!R331</f>
        <v/>
      </c>
      <c r="AI385" s="400"/>
      <c r="AJ385" s="400" t="str">
        <f ca="1">Área!S331</f>
        <v/>
      </c>
      <c r="AK385" s="400"/>
      <c r="AL385" s="400" t="str">
        <f ca="1">Área!T331</f>
        <v/>
      </c>
      <c r="AM385" s="400"/>
      <c r="AN385" s="400" t="str">
        <f ca="1">Área!U331</f>
        <v/>
      </c>
      <c r="AO385" s="400"/>
      <c r="AP385" s="422" t="str">
        <f ca="1">IFERROR(Área!Z331,"")</f>
        <v/>
      </c>
      <c r="AQ385" s="422"/>
      <c r="AR385" s="400" t="str">
        <f ca="1">Área!Y331</f>
        <v/>
      </c>
      <c r="AS385" s="423"/>
      <c r="AT385" s="72"/>
    </row>
    <row r="386" spans="1:46" ht="15" customHeight="1" x14ac:dyDescent="0.25">
      <c r="A386"/>
      <c r="C386" s="397" t="str">
        <f ca="1">Área!C332</f>
        <v/>
      </c>
      <c r="D386" s="398"/>
      <c r="E386" s="398"/>
      <c r="F386" s="398"/>
      <c r="G386" s="396" t="str">
        <f ca="1">Área!F332</f>
        <v/>
      </c>
      <c r="H386" s="396"/>
      <c r="I386" s="398" t="str">
        <f ca="1">Área!G332</f>
        <v/>
      </c>
      <c r="J386" s="398"/>
      <c r="K386" s="396" t="str">
        <f ca="1">Área!H332</f>
        <v/>
      </c>
      <c r="L386" s="396"/>
      <c r="M386" s="396" t="str">
        <f ca="1">Área!I332</f>
        <v/>
      </c>
      <c r="N386" s="396"/>
      <c r="O386" s="396" t="str">
        <f ca="1">Área!J332</f>
        <v/>
      </c>
      <c r="P386" s="396"/>
      <c r="Q386" s="396" t="str">
        <f ca="1">Área!K332</f>
        <v/>
      </c>
      <c r="R386" s="396"/>
      <c r="S386" s="396" t="str">
        <f ca="1">Área!L332</f>
        <v/>
      </c>
      <c r="T386" s="396"/>
      <c r="U386" s="396" t="str">
        <f ca="1">Área!N332</f>
        <v/>
      </c>
      <c r="V386" s="396"/>
      <c r="W386" s="396" t="str">
        <f ca="1">Área!M332</f>
        <v/>
      </c>
      <c r="X386" s="396"/>
      <c r="Y386" s="89" t="str">
        <f ca="1">Área!O332</f>
        <v/>
      </c>
      <c r="Z386" s="399" t="str">
        <f ca="1">Área!P332</f>
        <v/>
      </c>
      <c r="AA386" s="399"/>
      <c r="AB386" s="399"/>
      <c r="AC386" s="399"/>
      <c r="AD386" s="399" t="str">
        <f ca="1">Área!Q332</f>
        <v/>
      </c>
      <c r="AE386" s="399"/>
      <c r="AF386" s="399"/>
      <c r="AG386" s="399"/>
      <c r="AH386" s="400" t="str">
        <f ca="1">Área!R332</f>
        <v/>
      </c>
      <c r="AI386" s="400"/>
      <c r="AJ386" s="400" t="str">
        <f ca="1">Área!S332</f>
        <v/>
      </c>
      <c r="AK386" s="400"/>
      <c r="AL386" s="400" t="str">
        <f ca="1">Área!T332</f>
        <v/>
      </c>
      <c r="AM386" s="400"/>
      <c r="AN386" s="400" t="str">
        <f ca="1">Área!U332</f>
        <v/>
      </c>
      <c r="AO386" s="400"/>
      <c r="AP386" s="422" t="str">
        <f ca="1">IFERROR(Área!Z332,"")</f>
        <v/>
      </c>
      <c r="AQ386" s="422"/>
      <c r="AR386" s="400" t="str">
        <f ca="1">Área!Y332</f>
        <v/>
      </c>
      <c r="AS386" s="423"/>
      <c r="AT386" s="72"/>
    </row>
    <row r="387" spans="1:46" ht="15" customHeight="1" x14ac:dyDescent="0.25">
      <c r="A387"/>
      <c r="C387" s="397" t="str">
        <f ca="1">Área!C333</f>
        <v/>
      </c>
      <c r="D387" s="398"/>
      <c r="E387" s="398"/>
      <c r="F387" s="398"/>
      <c r="G387" s="396" t="str">
        <f ca="1">Área!F333</f>
        <v/>
      </c>
      <c r="H387" s="396"/>
      <c r="I387" s="398" t="str">
        <f ca="1">Área!G333</f>
        <v/>
      </c>
      <c r="J387" s="398"/>
      <c r="K387" s="396" t="str">
        <f ca="1">Área!H333</f>
        <v/>
      </c>
      <c r="L387" s="396"/>
      <c r="M387" s="396" t="str">
        <f ca="1">Área!I333</f>
        <v/>
      </c>
      <c r="N387" s="396"/>
      <c r="O387" s="396" t="str">
        <f ca="1">Área!J333</f>
        <v/>
      </c>
      <c r="P387" s="396"/>
      <c r="Q387" s="396" t="str">
        <f ca="1">Área!K333</f>
        <v/>
      </c>
      <c r="R387" s="396"/>
      <c r="S387" s="396" t="str">
        <f ca="1">Área!L333</f>
        <v/>
      </c>
      <c r="T387" s="396"/>
      <c r="U387" s="396" t="str">
        <f ca="1">Área!N333</f>
        <v/>
      </c>
      <c r="V387" s="396"/>
      <c r="W387" s="396" t="str">
        <f ca="1">Área!M333</f>
        <v/>
      </c>
      <c r="X387" s="396"/>
      <c r="Y387" s="89" t="str">
        <f ca="1">Área!O333</f>
        <v/>
      </c>
      <c r="Z387" s="399" t="str">
        <f ca="1">Área!P333</f>
        <v/>
      </c>
      <c r="AA387" s="399"/>
      <c r="AB387" s="399"/>
      <c r="AC387" s="399"/>
      <c r="AD387" s="399" t="str">
        <f ca="1">Área!Q333</f>
        <v/>
      </c>
      <c r="AE387" s="399"/>
      <c r="AF387" s="399"/>
      <c r="AG387" s="399"/>
      <c r="AH387" s="400" t="str">
        <f ca="1">Área!R333</f>
        <v/>
      </c>
      <c r="AI387" s="400"/>
      <c r="AJ387" s="400" t="str">
        <f ca="1">Área!S333</f>
        <v/>
      </c>
      <c r="AK387" s="400"/>
      <c r="AL387" s="400" t="str">
        <f ca="1">Área!T333</f>
        <v/>
      </c>
      <c r="AM387" s="400"/>
      <c r="AN387" s="400" t="str">
        <f ca="1">Área!U333</f>
        <v/>
      </c>
      <c r="AO387" s="400"/>
      <c r="AP387" s="422" t="str">
        <f ca="1">IFERROR(Área!Z333,"")</f>
        <v/>
      </c>
      <c r="AQ387" s="422"/>
      <c r="AR387" s="400" t="str">
        <f ca="1">Área!Y333</f>
        <v/>
      </c>
      <c r="AS387" s="423"/>
      <c r="AT387" s="72"/>
    </row>
    <row r="388" spans="1:46" ht="15" customHeight="1" x14ac:dyDescent="0.25">
      <c r="A388"/>
      <c r="C388" s="397" t="str">
        <f ca="1">Área!C334</f>
        <v/>
      </c>
      <c r="D388" s="398"/>
      <c r="E388" s="398"/>
      <c r="F388" s="398"/>
      <c r="G388" s="396" t="str">
        <f ca="1">Área!F334</f>
        <v/>
      </c>
      <c r="H388" s="396"/>
      <c r="I388" s="398" t="str">
        <f ca="1">Área!G334</f>
        <v/>
      </c>
      <c r="J388" s="398"/>
      <c r="K388" s="396" t="str">
        <f ca="1">Área!H334</f>
        <v/>
      </c>
      <c r="L388" s="396"/>
      <c r="M388" s="396" t="str">
        <f ca="1">Área!I334</f>
        <v/>
      </c>
      <c r="N388" s="396"/>
      <c r="O388" s="396" t="str">
        <f ca="1">Área!J334</f>
        <v/>
      </c>
      <c r="P388" s="396"/>
      <c r="Q388" s="396" t="str">
        <f ca="1">Área!K334</f>
        <v/>
      </c>
      <c r="R388" s="396"/>
      <c r="S388" s="396" t="str">
        <f ca="1">Área!L334</f>
        <v/>
      </c>
      <c r="T388" s="396"/>
      <c r="U388" s="396" t="str">
        <f ca="1">Área!N334</f>
        <v/>
      </c>
      <c r="V388" s="396"/>
      <c r="W388" s="396" t="str">
        <f ca="1">Área!M334</f>
        <v/>
      </c>
      <c r="X388" s="396"/>
      <c r="Y388" s="89" t="str">
        <f ca="1">Área!O334</f>
        <v/>
      </c>
      <c r="Z388" s="399" t="str">
        <f ca="1">Área!P334</f>
        <v/>
      </c>
      <c r="AA388" s="399"/>
      <c r="AB388" s="399"/>
      <c r="AC388" s="399"/>
      <c r="AD388" s="399" t="str">
        <f ca="1">Área!Q334</f>
        <v/>
      </c>
      <c r="AE388" s="399"/>
      <c r="AF388" s="399"/>
      <c r="AG388" s="399"/>
      <c r="AH388" s="400" t="str">
        <f ca="1">Área!R334</f>
        <v/>
      </c>
      <c r="AI388" s="400"/>
      <c r="AJ388" s="400" t="str">
        <f ca="1">Área!S334</f>
        <v/>
      </c>
      <c r="AK388" s="400"/>
      <c r="AL388" s="400" t="str">
        <f ca="1">Área!T334</f>
        <v/>
      </c>
      <c r="AM388" s="400"/>
      <c r="AN388" s="400" t="str">
        <f ca="1">Área!U334</f>
        <v/>
      </c>
      <c r="AO388" s="400"/>
      <c r="AP388" s="422" t="str">
        <f ca="1">IFERROR(Área!Z334,"")</f>
        <v/>
      </c>
      <c r="AQ388" s="422"/>
      <c r="AR388" s="400" t="str">
        <f ca="1">Área!Y334</f>
        <v/>
      </c>
      <c r="AS388" s="423"/>
      <c r="AT388" s="72"/>
    </row>
    <row r="389" spans="1:46" ht="15" customHeight="1" x14ac:dyDescent="0.25">
      <c r="A389"/>
      <c r="C389" s="397" t="str">
        <f ca="1">Área!C335</f>
        <v/>
      </c>
      <c r="D389" s="398"/>
      <c r="E389" s="398"/>
      <c r="F389" s="398"/>
      <c r="G389" s="396" t="str">
        <f ca="1">Área!F335</f>
        <v/>
      </c>
      <c r="H389" s="396"/>
      <c r="I389" s="398" t="str">
        <f ca="1">Área!G335</f>
        <v/>
      </c>
      <c r="J389" s="398"/>
      <c r="K389" s="396" t="str">
        <f ca="1">Área!H335</f>
        <v/>
      </c>
      <c r="L389" s="396"/>
      <c r="M389" s="396" t="str">
        <f ca="1">Área!I335</f>
        <v/>
      </c>
      <c r="N389" s="396"/>
      <c r="O389" s="396" t="str">
        <f ca="1">Área!J335</f>
        <v/>
      </c>
      <c r="P389" s="396"/>
      <c r="Q389" s="396" t="str">
        <f ca="1">Área!K335</f>
        <v/>
      </c>
      <c r="R389" s="396"/>
      <c r="S389" s="396" t="str">
        <f ca="1">Área!L335</f>
        <v/>
      </c>
      <c r="T389" s="396"/>
      <c r="U389" s="396" t="str">
        <f ca="1">Área!N335</f>
        <v/>
      </c>
      <c r="V389" s="396"/>
      <c r="W389" s="396" t="str">
        <f ca="1">Área!M335</f>
        <v/>
      </c>
      <c r="X389" s="396"/>
      <c r="Y389" s="89" t="str">
        <f ca="1">Área!O335</f>
        <v/>
      </c>
      <c r="Z389" s="399" t="str">
        <f ca="1">Área!P335</f>
        <v/>
      </c>
      <c r="AA389" s="399"/>
      <c r="AB389" s="399"/>
      <c r="AC389" s="399"/>
      <c r="AD389" s="399" t="str">
        <f ca="1">Área!Q335</f>
        <v/>
      </c>
      <c r="AE389" s="399"/>
      <c r="AF389" s="399"/>
      <c r="AG389" s="399"/>
      <c r="AH389" s="400" t="str">
        <f ca="1">Área!R335</f>
        <v/>
      </c>
      <c r="AI389" s="400"/>
      <c r="AJ389" s="400" t="str">
        <f ca="1">Área!S335</f>
        <v/>
      </c>
      <c r="AK389" s="400"/>
      <c r="AL389" s="400" t="str">
        <f ca="1">Área!T335</f>
        <v/>
      </c>
      <c r="AM389" s="400"/>
      <c r="AN389" s="400" t="str">
        <f ca="1">Área!U335</f>
        <v/>
      </c>
      <c r="AO389" s="400"/>
      <c r="AP389" s="422" t="str">
        <f ca="1">IFERROR(Área!Z335,"")</f>
        <v/>
      </c>
      <c r="AQ389" s="422"/>
      <c r="AR389" s="400" t="str">
        <f ca="1">Área!Y335</f>
        <v/>
      </c>
      <c r="AS389" s="423"/>
      <c r="AT389" s="72"/>
    </row>
    <row r="390" spans="1:46" ht="15" customHeight="1" x14ac:dyDescent="0.25">
      <c r="A390"/>
      <c r="C390" s="397" t="str">
        <f ca="1">Área!C336</f>
        <v/>
      </c>
      <c r="D390" s="398"/>
      <c r="E390" s="398"/>
      <c r="F390" s="398"/>
      <c r="G390" s="396" t="str">
        <f ca="1">Área!F336</f>
        <v/>
      </c>
      <c r="H390" s="396"/>
      <c r="I390" s="398" t="str">
        <f ca="1">Área!G336</f>
        <v/>
      </c>
      <c r="J390" s="398"/>
      <c r="K390" s="396" t="str">
        <f ca="1">Área!H336</f>
        <v/>
      </c>
      <c r="L390" s="396"/>
      <c r="M390" s="396" t="str">
        <f ca="1">Área!I336</f>
        <v/>
      </c>
      <c r="N390" s="396"/>
      <c r="O390" s="396" t="str">
        <f ca="1">Área!J336</f>
        <v/>
      </c>
      <c r="P390" s="396"/>
      <c r="Q390" s="396" t="str">
        <f ca="1">Área!K336</f>
        <v/>
      </c>
      <c r="R390" s="396"/>
      <c r="S390" s="396" t="str">
        <f ca="1">Área!L336</f>
        <v/>
      </c>
      <c r="T390" s="396"/>
      <c r="U390" s="396" t="str">
        <f ca="1">Área!N336</f>
        <v/>
      </c>
      <c r="V390" s="396"/>
      <c r="W390" s="396" t="str">
        <f ca="1">Área!M336</f>
        <v/>
      </c>
      <c r="X390" s="396"/>
      <c r="Y390" s="89" t="str">
        <f ca="1">Área!O336</f>
        <v/>
      </c>
      <c r="Z390" s="399" t="str">
        <f ca="1">Área!P336</f>
        <v/>
      </c>
      <c r="AA390" s="399"/>
      <c r="AB390" s="399"/>
      <c r="AC390" s="399"/>
      <c r="AD390" s="399" t="str">
        <f ca="1">Área!Q336</f>
        <v/>
      </c>
      <c r="AE390" s="399"/>
      <c r="AF390" s="399"/>
      <c r="AG390" s="399"/>
      <c r="AH390" s="400" t="str">
        <f ca="1">Área!R336</f>
        <v/>
      </c>
      <c r="AI390" s="400"/>
      <c r="AJ390" s="400" t="str">
        <f ca="1">Área!S336</f>
        <v/>
      </c>
      <c r="AK390" s="400"/>
      <c r="AL390" s="400" t="str">
        <f ca="1">Área!T336</f>
        <v/>
      </c>
      <c r="AM390" s="400"/>
      <c r="AN390" s="400" t="str">
        <f ca="1">Área!U336</f>
        <v/>
      </c>
      <c r="AO390" s="400"/>
      <c r="AP390" s="422" t="str">
        <f ca="1">IFERROR(Área!Z336,"")</f>
        <v/>
      </c>
      <c r="AQ390" s="422"/>
      <c r="AR390" s="400" t="str">
        <f ca="1">Área!Y336</f>
        <v/>
      </c>
      <c r="AS390" s="423"/>
      <c r="AT390" s="72"/>
    </row>
    <row r="391" spans="1:46" ht="15" customHeight="1" x14ac:dyDescent="0.25">
      <c r="A391"/>
      <c r="C391" s="397" t="str">
        <f ca="1">Área!C337</f>
        <v/>
      </c>
      <c r="D391" s="398"/>
      <c r="E391" s="398"/>
      <c r="F391" s="398"/>
      <c r="G391" s="396" t="str">
        <f ca="1">Área!F337</f>
        <v/>
      </c>
      <c r="H391" s="396"/>
      <c r="I391" s="398" t="str">
        <f ca="1">Área!G337</f>
        <v/>
      </c>
      <c r="J391" s="398"/>
      <c r="K391" s="396" t="str">
        <f ca="1">Área!H337</f>
        <v/>
      </c>
      <c r="L391" s="396"/>
      <c r="M391" s="396" t="str">
        <f ca="1">Área!I337</f>
        <v/>
      </c>
      <c r="N391" s="396"/>
      <c r="O391" s="396" t="str">
        <f ca="1">Área!J337</f>
        <v/>
      </c>
      <c r="P391" s="396"/>
      <c r="Q391" s="396" t="str">
        <f ca="1">Área!K337</f>
        <v/>
      </c>
      <c r="R391" s="396"/>
      <c r="S391" s="396" t="str">
        <f ca="1">Área!L337</f>
        <v/>
      </c>
      <c r="T391" s="396"/>
      <c r="U391" s="396" t="str">
        <f ca="1">Área!N337</f>
        <v/>
      </c>
      <c r="V391" s="396"/>
      <c r="W391" s="396" t="str">
        <f ca="1">Área!M337</f>
        <v/>
      </c>
      <c r="X391" s="396"/>
      <c r="Y391" s="89" t="str">
        <f ca="1">Área!O337</f>
        <v/>
      </c>
      <c r="Z391" s="399" t="str">
        <f ca="1">Área!P337</f>
        <v/>
      </c>
      <c r="AA391" s="399"/>
      <c r="AB391" s="399"/>
      <c r="AC391" s="399"/>
      <c r="AD391" s="399" t="str">
        <f ca="1">Área!Q337</f>
        <v/>
      </c>
      <c r="AE391" s="399"/>
      <c r="AF391" s="399"/>
      <c r="AG391" s="399"/>
      <c r="AH391" s="400" t="str">
        <f ca="1">Área!R337</f>
        <v/>
      </c>
      <c r="AI391" s="400"/>
      <c r="AJ391" s="400" t="str">
        <f ca="1">Área!S337</f>
        <v/>
      </c>
      <c r="AK391" s="400"/>
      <c r="AL391" s="400" t="str">
        <f ca="1">Área!T337</f>
        <v/>
      </c>
      <c r="AM391" s="400"/>
      <c r="AN391" s="400" t="str">
        <f ca="1">Área!U337</f>
        <v/>
      </c>
      <c r="AO391" s="400"/>
      <c r="AP391" s="422" t="str">
        <f ca="1">IFERROR(Área!Z337,"")</f>
        <v/>
      </c>
      <c r="AQ391" s="422"/>
      <c r="AR391" s="400" t="str">
        <f ca="1">Área!Y337</f>
        <v/>
      </c>
      <c r="AS391" s="423"/>
      <c r="AT391" s="72"/>
    </row>
    <row r="392" spans="1:46" ht="15" customHeight="1" x14ac:dyDescent="0.25">
      <c r="A392"/>
      <c r="C392" s="397" t="str">
        <f ca="1">Área!C338</f>
        <v/>
      </c>
      <c r="D392" s="398"/>
      <c r="E392" s="398"/>
      <c r="F392" s="398"/>
      <c r="G392" s="396" t="str">
        <f ca="1">Área!F338</f>
        <v/>
      </c>
      <c r="H392" s="396"/>
      <c r="I392" s="398" t="str">
        <f ca="1">Área!G338</f>
        <v/>
      </c>
      <c r="J392" s="398"/>
      <c r="K392" s="396" t="str">
        <f ca="1">Área!H338</f>
        <v/>
      </c>
      <c r="L392" s="396"/>
      <c r="M392" s="396" t="str">
        <f ca="1">Área!I338</f>
        <v/>
      </c>
      <c r="N392" s="396"/>
      <c r="O392" s="396" t="str">
        <f ca="1">Área!J338</f>
        <v/>
      </c>
      <c r="P392" s="396"/>
      <c r="Q392" s="396" t="str">
        <f ca="1">Área!K338</f>
        <v/>
      </c>
      <c r="R392" s="396"/>
      <c r="S392" s="396" t="str">
        <f ca="1">Área!L338</f>
        <v/>
      </c>
      <c r="T392" s="396"/>
      <c r="U392" s="396" t="str">
        <f ca="1">Área!N338</f>
        <v/>
      </c>
      <c r="V392" s="396"/>
      <c r="W392" s="396" t="str">
        <f ca="1">Área!M338</f>
        <v/>
      </c>
      <c r="X392" s="396"/>
      <c r="Y392" s="89" t="str">
        <f ca="1">Área!O338</f>
        <v/>
      </c>
      <c r="Z392" s="399" t="str">
        <f ca="1">Área!P338</f>
        <v/>
      </c>
      <c r="AA392" s="399"/>
      <c r="AB392" s="399"/>
      <c r="AC392" s="399"/>
      <c r="AD392" s="399" t="str">
        <f ca="1">Área!Q338</f>
        <v/>
      </c>
      <c r="AE392" s="399"/>
      <c r="AF392" s="399"/>
      <c r="AG392" s="399"/>
      <c r="AH392" s="400" t="str">
        <f ca="1">Área!R338</f>
        <v/>
      </c>
      <c r="AI392" s="400"/>
      <c r="AJ392" s="400" t="str">
        <f ca="1">Área!S338</f>
        <v/>
      </c>
      <c r="AK392" s="400"/>
      <c r="AL392" s="400" t="str">
        <f ca="1">Área!T338</f>
        <v/>
      </c>
      <c r="AM392" s="400"/>
      <c r="AN392" s="400" t="str">
        <f ca="1">Área!U338</f>
        <v/>
      </c>
      <c r="AO392" s="400"/>
      <c r="AP392" s="422" t="str">
        <f ca="1">IFERROR(Área!Z338,"")</f>
        <v/>
      </c>
      <c r="AQ392" s="422"/>
      <c r="AR392" s="400" t="str">
        <f ca="1">Área!Y338</f>
        <v/>
      </c>
      <c r="AS392" s="423"/>
      <c r="AT392" s="72"/>
    </row>
    <row r="393" spans="1:46" ht="15" customHeight="1" x14ac:dyDescent="0.25">
      <c r="A393"/>
      <c r="C393" s="397" t="str">
        <f ca="1">Área!C339</f>
        <v/>
      </c>
      <c r="D393" s="398"/>
      <c r="E393" s="398"/>
      <c r="F393" s="398"/>
      <c r="G393" s="396" t="str">
        <f ca="1">Área!F339</f>
        <v/>
      </c>
      <c r="H393" s="396"/>
      <c r="I393" s="398" t="str">
        <f ca="1">Área!G339</f>
        <v/>
      </c>
      <c r="J393" s="398"/>
      <c r="K393" s="396" t="str">
        <f ca="1">Área!H339</f>
        <v/>
      </c>
      <c r="L393" s="396"/>
      <c r="M393" s="396" t="str">
        <f ca="1">Área!I339</f>
        <v/>
      </c>
      <c r="N393" s="396"/>
      <c r="O393" s="396" t="str">
        <f ca="1">Área!J339</f>
        <v/>
      </c>
      <c r="P393" s="396"/>
      <c r="Q393" s="396" t="str">
        <f ca="1">Área!K339</f>
        <v/>
      </c>
      <c r="R393" s="396"/>
      <c r="S393" s="396" t="str">
        <f ca="1">Área!L339</f>
        <v/>
      </c>
      <c r="T393" s="396"/>
      <c r="U393" s="396" t="str">
        <f ca="1">Área!N339</f>
        <v/>
      </c>
      <c r="V393" s="396"/>
      <c r="W393" s="396" t="str">
        <f ca="1">Área!M339</f>
        <v/>
      </c>
      <c r="X393" s="396"/>
      <c r="Y393" s="89" t="str">
        <f ca="1">Área!O339</f>
        <v/>
      </c>
      <c r="Z393" s="399" t="str">
        <f ca="1">Área!P339</f>
        <v/>
      </c>
      <c r="AA393" s="399"/>
      <c r="AB393" s="399"/>
      <c r="AC393" s="399"/>
      <c r="AD393" s="399" t="str">
        <f ca="1">Área!Q339</f>
        <v/>
      </c>
      <c r="AE393" s="399"/>
      <c r="AF393" s="399"/>
      <c r="AG393" s="399"/>
      <c r="AH393" s="400" t="str">
        <f ca="1">Área!R339</f>
        <v/>
      </c>
      <c r="AI393" s="400"/>
      <c r="AJ393" s="400" t="str">
        <f ca="1">Área!S339</f>
        <v/>
      </c>
      <c r="AK393" s="400"/>
      <c r="AL393" s="400" t="str">
        <f ca="1">Área!T339</f>
        <v/>
      </c>
      <c r="AM393" s="400"/>
      <c r="AN393" s="400" t="str">
        <f ca="1">Área!U339</f>
        <v/>
      </c>
      <c r="AO393" s="400"/>
      <c r="AP393" s="422" t="str">
        <f ca="1">IFERROR(Área!Z339,"")</f>
        <v/>
      </c>
      <c r="AQ393" s="422"/>
      <c r="AR393" s="400" t="str">
        <f ca="1">Área!Y339</f>
        <v/>
      </c>
      <c r="AS393" s="423"/>
      <c r="AT393" s="72"/>
    </row>
    <row r="394" spans="1:46" ht="15" customHeight="1" x14ac:dyDescent="0.25">
      <c r="A394"/>
      <c r="C394" s="397" t="str">
        <f ca="1">Área!C340</f>
        <v/>
      </c>
      <c r="D394" s="398"/>
      <c r="E394" s="398"/>
      <c r="F394" s="398"/>
      <c r="G394" s="396" t="str">
        <f ca="1">Área!F340</f>
        <v/>
      </c>
      <c r="H394" s="396"/>
      <c r="I394" s="398" t="str">
        <f ca="1">Área!G340</f>
        <v/>
      </c>
      <c r="J394" s="398"/>
      <c r="K394" s="396" t="str">
        <f ca="1">Área!H340</f>
        <v/>
      </c>
      <c r="L394" s="396"/>
      <c r="M394" s="396" t="str">
        <f ca="1">Área!I340</f>
        <v/>
      </c>
      <c r="N394" s="396"/>
      <c r="O394" s="396" t="str">
        <f ca="1">Área!J340</f>
        <v/>
      </c>
      <c r="P394" s="396"/>
      <c r="Q394" s="396" t="str">
        <f ca="1">Área!K340</f>
        <v/>
      </c>
      <c r="R394" s="396"/>
      <c r="S394" s="396" t="str">
        <f ca="1">Área!L340</f>
        <v/>
      </c>
      <c r="T394" s="396"/>
      <c r="U394" s="396" t="str">
        <f ca="1">Área!N340</f>
        <v/>
      </c>
      <c r="V394" s="396"/>
      <c r="W394" s="396" t="str">
        <f ca="1">Área!M340</f>
        <v/>
      </c>
      <c r="X394" s="396"/>
      <c r="Y394" s="89" t="str">
        <f ca="1">Área!O340</f>
        <v/>
      </c>
      <c r="Z394" s="399" t="str">
        <f ca="1">Área!P340</f>
        <v/>
      </c>
      <c r="AA394" s="399"/>
      <c r="AB394" s="399"/>
      <c r="AC394" s="399"/>
      <c r="AD394" s="399" t="str">
        <f ca="1">Área!Q340</f>
        <v/>
      </c>
      <c r="AE394" s="399"/>
      <c r="AF394" s="399"/>
      <c r="AG394" s="399"/>
      <c r="AH394" s="400" t="str">
        <f ca="1">Área!R340</f>
        <v/>
      </c>
      <c r="AI394" s="400"/>
      <c r="AJ394" s="400" t="str">
        <f ca="1">Área!S340</f>
        <v/>
      </c>
      <c r="AK394" s="400"/>
      <c r="AL394" s="400" t="str">
        <f ca="1">Área!T340</f>
        <v/>
      </c>
      <c r="AM394" s="400"/>
      <c r="AN394" s="400" t="str">
        <f ca="1">Área!U340</f>
        <v/>
      </c>
      <c r="AO394" s="400"/>
      <c r="AP394" s="422" t="str">
        <f ca="1">IFERROR(Área!Z340,"")</f>
        <v/>
      </c>
      <c r="AQ394" s="422"/>
      <c r="AR394" s="400" t="str">
        <f ca="1">Área!Y340</f>
        <v/>
      </c>
      <c r="AS394" s="423"/>
      <c r="AT394" s="72"/>
    </row>
    <row r="395" spans="1:46" ht="15" customHeight="1" x14ac:dyDescent="0.25">
      <c r="A395"/>
      <c r="C395" s="397" t="str">
        <f ca="1">Área!C341</f>
        <v/>
      </c>
      <c r="D395" s="398"/>
      <c r="E395" s="398"/>
      <c r="F395" s="398"/>
      <c r="G395" s="396" t="str">
        <f ca="1">Área!F341</f>
        <v/>
      </c>
      <c r="H395" s="396"/>
      <c r="I395" s="398" t="str">
        <f ca="1">Área!G341</f>
        <v/>
      </c>
      <c r="J395" s="398"/>
      <c r="K395" s="396" t="str">
        <f ca="1">Área!H341</f>
        <v/>
      </c>
      <c r="L395" s="396"/>
      <c r="M395" s="396" t="str">
        <f ca="1">Área!I341</f>
        <v/>
      </c>
      <c r="N395" s="396"/>
      <c r="O395" s="396" t="str">
        <f ca="1">Área!J341</f>
        <v/>
      </c>
      <c r="P395" s="396"/>
      <c r="Q395" s="396" t="str">
        <f ca="1">Área!K341</f>
        <v/>
      </c>
      <c r="R395" s="396"/>
      <c r="S395" s="396" t="str">
        <f ca="1">Área!L341</f>
        <v/>
      </c>
      <c r="T395" s="396"/>
      <c r="U395" s="396" t="str">
        <f ca="1">Área!N341</f>
        <v/>
      </c>
      <c r="V395" s="396"/>
      <c r="W395" s="396" t="str">
        <f ca="1">Área!M341</f>
        <v/>
      </c>
      <c r="X395" s="396"/>
      <c r="Y395" s="89" t="str">
        <f ca="1">Área!O341</f>
        <v/>
      </c>
      <c r="Z395" s="399" t="str">
        <f ca="1">Área!P341</f>
        <v/>
      </c>
      <c r="AA395" s="399"/>
      <c r="AB395" s="399"/>
      <c r="AC395" s="399"/>
      <c r="AD395" s="399" t="str">
        <f ca="1">Área!Q341</f>
        <v/>
      </c>
      <c r="AE395" s="399"/>
      <c r="AF395" s="399"/>
      <c r="AG395" s="399"/>
      <c r="AH395" s="400" t="str">
        <f ca="1">Área!R341</f>
        <v/>
      </c>
      <c r="AI395" s="400"/>
      <c r="AJ395" s="400" t="str">
        <f ca="1">Área!S341</f>
        <v/>
      </c>
      <c r="AK395" s="400"/>
      <c r="AL395" s="400" t="str">
        <f ca="1">Área!T341</f>
        <v/>
      </c>
      <c r="AM395" s="400"/>
      <c r="AN395" s="400" t="str">
        <f ca="1">Área!U341</f>
        <v/>
      </c>
      <c r="AO395" s="400"/>
      <c r="AP395" s="422" t="str">
        <f ca="1">IFERROR(Área!Z341,"")</f>
        <v/>
      </c>
      <c r="AQ395" s="422"/>
      <c r="AR395" s="400" t="str">
        <f ca="1">Área!Y341</f>
        <v/>
      </c>
      <c r="AS395" s="423"/>
      <c r="AT395" s="72"/>
    </row>
    <row r="396" spans="1:46" ht="15" customHeight="1" x14ac:dyDescent="0.25">
      <c r="A396"/>
      <c r="C396" s="397" t="str">
        <f ca="1">Área!C342</f>
        <v/>
      </c>
      <c r="D396" s="398"/>
      <c r="E396" s="398"/>
      <c r="F396" s="398"/>
      <c r="G396" s="396" t="str">
        <f ca="1">Área!F342</f>
        <v/>
      </c>
      <c r="H396" s="396"/>
      <c r="I396" s="398" t="str">
        <f ca="1">Área!G342</f>
        <v/>
      </c>
      <c r="J396" s="398"/>
      <c r="K396" s="396" t="str">
        <f ca="1">Área!H342</f>
        <v/>
      </c>
      <c r="L396" s="396"/>
      <c r="M396" s="396" t="str">
        <f ca="1">Área!I342</f>
        <v/>
      </c>
      <c r="N396" s="396"/>
      <c r="O396" s="396" t="str">
        <f ca="1">Área!J342</f>
        <v/>
      </c>
      <c r="P396" s="396"/>
      <c r="Q396" s="396" t="str">
        <f ca="1">Área!K342</f>
        <v/>
      </c>
      <c r="R396" s="396"/>
      <c r="S396" s="396" t="str">
        <f ca="1">Área!L342</f>
        <v/>
      </c>
      <c r="T396" s="396"/>
      <c r="U396" s="396" t="str">
        <f ca="1">Área!N342</f>
        <v/>
      </c>
      <c r="V396" s="396"/>
      <c r="W396" s="396" t="str">
        <f ca="1">Área!M342</f>
        <v/>
      </c>
      <c r="X396" s="396"/>
      <c r="Y396" s="89" t="str">
        <f ca="1">Área!O342</f>
        <v/>
      </c>
      <c r="Z396" s="399" t="str">
        <f ca="1">Área!P342</f>
        <v/>
      </c>
      <c r="AA396" s="399"/>
      <c r="AB396" s="399"/>
      <c r="AC396" s="399"/>
      <c r="AD396" s="399" t="str">
        <f ca="1">Área!Q342</f>
        <v/>
      </c>
      <c r="AE396" s="399"/>
      <c r="AF396" s="399"/>
      <c r="AG396" s="399"/>
      <c r="AH396" s="400" t="str">
        <f ca="1">Área!R342</f>
        <v/>
      </c>
      <c r="AI396" s="400"/>
      <c r="AJ396" s="400" t="str">
        <f ca="1">Área!S342</f>
        <v/>
      </c>
      <c r="AK396" s="400"/>
      <c r="AL396" s="400" t="str">
        <f ca="1">Área!T342</f>
        <v/>
      </c>
      <c r="AM396" s="400"/>
      <c r="AN396" s="400" t="str">
        <f ca="1">Área!U342</f>
        <v/>
      </c>
      <c r="AO396" s="400"/>
      <c r="AP396" s="422" t="str">
        <f ca="1">IFERROR(Área!Z342,"")</f>
        <v/>
      </c>
      <c r="AQ396" s="422"/>
      <c r="AR396" s="400" t="str">
        <f ca="1">Área!Y342</f>
        <v/>
      </c>
      <c r="AS396" s="423"/>
      <c r="AT396" s="72"/>
    </row>
    <row r="397" spans="1:46" ht="15" customHeight="1" x14ac:dyDescent="0.25">
      <c r="A397"/>
      <c r="C397" s="397" t="str">
        <f ca="1">Área!C343</f>
        <v/>
      </c>
      <c r="D397" s="398"/>
      <c r="E397" s="398"/>
      <c r="F397" s="398"/>
      <c r="G397" s="396" t="str">
        <f ca="1">Área!F343</f>
        <v/>
      </c>
      <c r="H397" s="396"/>
      <c r="I397" s="398" t="str">
        <f ca="1">Área!G343</f>
        <v/>
      </c>
      <c r="J397" s="398"/>
      <c r="K397" s="396" t="str">
        <f ca="1">Área!H343</f>
        <v/>
      </c>
      <c r="L397" s="396"/>
      <c r="M397" s="396" t="str">
        <f ca="1">Área!I343</f>
        <v/>
      </c>
      <c r="N397" s="396"/>
      <c r="O397" s="396" t="str">
        <f ca="1">Área!J343</f>
        <v/>
      </c>
      <c r="P397" s="396"/>
      <c r="Q397" s="396" t="str">
        <f ca="1">Área!K343</f>
        <v/>
      </c>
      <c r="R397" s="396"/>
      <c r="S397" s="396" t="str">
        <f ca="1">Área!L343</f>
        <v/>
      </c>
      <c r="T397" s="396"/>
      <c r="U397" s="396" t="str">
        <f ca="1">Área!N343</f>
        <v/>
      </c>
      <c r="V397" s="396"/>
      <c r="W397" s="396" t="str">
        <f ca="1">Área!M343</f>
        <v/>
      </c>
      <c r="X397" s="396"/>
      <c r="Y397" s="89" t="str">
        <f ca="1">Área!O343</f>
        <v/>
      </c>
      <c r="Z397" s="399" t="str">
        <f ca="1">Área!P343</f>
        <v/>
      </c>
      <c r="AA397" s="399"/>
      <c r="AB397" s="399"/>
      <c r="AC397" s="399"/>
      <c r="AD397" s="399" t="str">
        <f ca="1">Área!Q343</f>
        <v/>
      </c>
      <c r="AE397" s="399"/>
      <c r="AF397" s="399"/>
      <c r="AG397" s="399"/>
      <c r="AH397" s="400" t="str">
        <f ca="1">Área!R343</f>
        <v/>
      </c>
      <c r="AI397" s="400"/>
      <c r="AJ397" s="400" t="str">
        <f ca="1">Área!S343</f>
        <v/>
      </c>
      <c r="AK397" s="400"/>
      <c r="AL397" s="400" t="str">
        <f ca="1">Área!T343</f>
        <v/>
      </c>
      <c r="AM397" s="400"/>
      <c r="AN397" s="400" t="str">
        <f ca="1">Área!U343</f>
        <v/>
      </c>
      <c r="AO397" s="400"/>
      <c r="AP397" s="422" t="str">
        <f ca="1">IFERROR(Área!Z343,"")</f>
        <v/>
      </c>
      <c r="AQ397" s="422"/>
      <c r="AR397" s="400" t="str">
        <f ca="1">Área!Y343</f>
        <v/>
      </c>
      <c r="AS397" s="423"/>
      <c r="AT397" s="72"/>
    </row>
    <row r="398" spans="1:46" ht="15" customHeight="1" x14ac:dyDescent="0.25">
      <c r="A398"/>
      <c r="C398" s="397" t="str">
        <f ca="1">Área!C344</f>
        <v/>
      </c>
      <c r="D398" s="398"/>
      <c r="E398" s="398"/>
      <c r="F398" s="398"/>
      <c r="G398" s="396" t="str">
        <f ca="1">Área!F344</f>
        <v/>
      </c>
      <c r="H398" s="396"/>
      <c r="I398" s="398" t="str">
        <f ca="1">Área!G344</f>
        <v/>
      </c>
      <c r="J398" s="398"/>
      <c r="K398" s="396" t="str">
        <f ca="1">Área!H344</f>
        <v/>
      </c>
      <c r="L398" s="396"/>
      <c r="M398" s="396" t="str">
        <f ca="1">Área!I344</f>
        <v/>
      </c>
      <c r="N398" s="396"/>
      <c r="O398" s="396" t="str">
        <f ca="1">Área!J344</f>
        <v/>
      </c>
      <c r="P398" s="396"/>
      <c r="Q398" s="396" t="str">
        <f ca="1">Área!K344</f>
        <v/>
      </c>
      <c r="R398" s="396"/>
      <c r="S398" s="396" t="str">
        <f ca="1">Área!L344</f>
        <v/>
      </c>
      <c r="T398" s="396"/>
      <c r="U398" s="396" t="str">
        <f ca="1">Área!N344</f>
        <v/>
      </c>
      <c r="V398" s="396"/>
      <c r="W398" s="396" t="str">
        <f ca="1">Área!M344</f>
        <v/>
      </c>
      <c r="X398" s="396"/>
      <c r="Y398" s="89" t="str">
        <f ca="1">Área!O344</f>
        <v/>
      </c>
      <c r="Z398" s="399" t="str">
        <f ca="1">Área!P344</f>
        <v/>
      </c>
      <c r="AA398" s="399"/>
      <c r="AB398" s="399"/>
      <c r="AC398" s="399"/>
      <c r="AD398" s="399" t="str">
        <f ca="1">Área!Q344</f>
        <v/>
      </c>
      <c r="AE398" s="399"/>
      <c r="AF398" s="399"/>
      <c r="AG398" s="399"/>
      <c r="AH398" s="400" t="str">
        <f ca="1">Área!R344</f>
        <v/>
      </c>
      <c r="AI398" s="400"/>
      <c r="AJ398" s="400" t="str">
        <f ca="1">Área!S344</f>
        <v/>
      </c>
      <c r="AK398" s="400"/>
      <c r="AL398" s="400" t="str">
        <f ca="1">Área!T344</f>
        <v/>
      </c>
      <c r="AM398" s="400"/>
      <c r="AN398" s="400" t="str">
        <f ca="1">Área!U344</f>
        <v/>
      </c>
      <c r="AO398" s="400"/>
      <c r="AP398" s="422" t="str">
        <f ca="1">IFERROR(Área!Z344,"")</f>
        <v/>
      </c>
      <c r="AQ398" s="422"/>
      <c r="AR398" s="400" t="str">
        <f ca="1">Área!Y344</f>
        <v/>
      </c>
      <c r="AS398" s="423"/>
      <c r="AT398" s="72"/>
    </row>
    <row r="399" spans="1:46" ht="15" customHeight="1" x14ac:dyDescent="0.25">
      <c r="A399"/>
      <c r="C399" s="397" t="str">
        <f ca="1">Área!C345</f>
        <v/>
      </c>
      <c r="D399" s="398"/>
      <c r="E399" s="398"/>
      <c r="F399" s="398"/>
      <c r="G399" s="396" t="str">
        <f ca="1">Área!F345</f>
        <v/>
      </c>
      <c r="H399" s="396"/>
      <c r="I399" s="398" t="str">
        <f ca="1">Área!G345</f>
        <v/>
      </c>
      <c r="J399" s="398"/>
      <c r="K399" s="396" t="str">
        <f ca="1">Área!H345</f>
        <v/>
      </c>
      <c r="L399" s="396"/>
      <c r="M399" s="396" t="str">
        <f ca="1">Área!I345</f>
        <v/>
      </c>
      <c r="N399" s="396"/>
      <c r="O399" s="396" t="str">
        <f ca="1">Área!J345</f>
        <v/>
      </c>
      <c r="P399" s="396"/>
      <c r="Q399" s="396" t="str">
        <f ca="1">Área!K345</f>
        <v/>
      </c>
      <c r="R399" s="396"/>
      <c r="S399" s="396" t="str">
        <f ca="1">Área!L345</f>
        <v/>
      </c>
      <c r="T399" s="396"/>
      <c r="U399" s="396" t="str">
        <f ca="1">Área!N345</f>
        <v/>
      </c>
      <c r="V399" s="396"/>
      <c r="W399" s="396" t="str">
        <f ca="1">Área!M345</f>
        <v/>
      </c>
      <c r="X399" s="396"/>
      <c r="Y399" s="89" t="str">
        <f ca="1">Área!O345</f>
        <v/>
      </c>
      <c r="Z399" s="399" t="str">
        <f ca="1">Área!P345</f>
        <v/>
      </c>
      <c r="AA399" s="399"/>
      <c r="AB399" s="399"/>
      <c r="AC399" s="399"/>
      <c r="AD399" s="399" t="str">
        <f ca="1">Área!Q345</f>
        <v/>
      </c>
      <c r="AE399" s="399"/>
      <c r="AF399" s="399"/>
      <c r="AG399" s="399"/>
      <c r="AH399" s="400" t="str">
        <f ca="1">Área!R345</f>
        <v/>
      </c>
      <c r="AI399" s="400"/>
      <c r="AJ399" s="400" t="str">
        <f ca="1">Área!S345</f>
        <v/>
      </c>
      <c r="AK399" s="400"/>
      <c r="AL399" s="400" t="str">
        <f ca="1">Área!T345</f>
        <v/>
      </c>
      <c r="AM399" s="400"/>
      <c r="AN399" s="400" t="str">
        <f ca="1">Área!U345</f>
        <v/>
      </c>
      <c r="AO399" s="400"/>
      <c r="AP399" s="422" t="str">
        <f ca="1">IFERROR(Área!Z345,"")</f>
        <v/>
      </c>
      <c r="AQ399" s="422"/>
      <c r="AR399" s="400" t="str">
        <f ca="1">Área!Y345</f>
        <v/>
      </c>
      <c r="AS399" s="423"/>
      <c r="AT399" s="72"/>
    </row>
    <row r="400" spans="1:46" ht="15" customHeight="1" x14ac:dyDescent="0.25">
      <c r="A400"/>
      <c r="C400" s="397" t="str">
        <f ca="1">Área!C346</f>
        <v/>
      </c>
      <c r="D400" s="398"/>
      <c r="E400" s="398"/>
      <c r="F400" s="398"/>
      <c r="G400" s="396" t="str">
        <f ca="1">Área!F346</f>
        <v/>
      </c>
      <c r="H400" s="396"/>
      <c r="I400" s="398" t="str">
        <f ca="1">Área!G346</f>
        <v/>
      </c>
      <c r="J400" s="398"/>
      <c r="K400" s="396" t="str">
        <f ca="1">Área!H346</f>
        <v/>
      </c>
      <c r="L400" s="396"/>
      <c r="M400" s="396" t="str">
        <f ca="1">Área!I346</f>
        <v/>
      </c>
      <c r="N400" s="396"/>
      <c r="O400" s="396" t="str">
        <f ca="1">Área!J346</f>
        <v/>
      </c>
      <c r="P400" s="396"/>
      <c r="Q400" s="396" t="str">
        <f ca="1">Área!K346</f>
        <v/>
      </c>
      <c r="R400" s="396"/>
      <c r="S400" s="396" t="str">
        <f ca="1">Área!L346</f>
        <v/>
      </c>
      <c r="T400" s="396"/>
      <c r="U400" s="396" t="str">
        <f ca="1">Área!N346</f>
        <v/>
      </c>
      <c r="V400" s="396"/>
      <c r="W400" s="396" t="str">
        <f ca="1">Área!M346</f>
        <v/>
      </c>
      <c r="X400" s="396"/>
      <c r="Y400" s="89" t="str">
        <f ca="1">Área!O346</f>
        <v/>
      </c>
      <c r="Z400" s="399" t="str">
        <f ca="1">Área!P346</f>
        <v/>
      </c>
      <c r="AA400" s="399"/>
      <c r="AB400" s="399"/>
      <c r="AC400" s="399"/>
      <c r="AD400" s="399" t="str">
        <f ca="1">Área!Q346</f>
        <v/>
      </c>
      <c r="AE400" s="399"/>
      <c r="AF400" s="399"/>
      <c r="AG400" s="399"/>
      <c r="AH400" s="400" t="str">
        <f ca="1">Área!R346</f>
        <v/>
      </c>
      <c r="AI400" s="400"/>
      <c r="AJ400" s="400" t="str">
        <f ca="1">Área!S346</f>
        <v/>
      </c>
      <c r="AK400" s="400"/>
      <c r="AL400" s="400" t="str">
        <f ca="1">Área!T346</f>
        <v/>
      </c>
      <c r="AM400" s="400"/>
      <c r="AN400" s="400" t="str">
        <f ca="1">Área!U346</f>
        <v/>
      </c>
      <c r="AO400" s="400"/>
      <c r="AP400" s="422" t="str">
        <f ca="1">IFERROR(Área!Z346,"")</f>
        <v/>
      </c>
      <c r="AQ400" s="422"/>
      <c r="AR400" s="400" t="str">
        <f ca="1">Área!Y346</f>
        <v/>
      </c>
      <c r="AS400" s="423"/>
      <c r="AT400" s="72"/>
    </row>
    <row r="401" spans="1:46" ht="15" customHeight="1" x14ac:dyDescent="0.25">
      <c r="A401"/>
      <c r="C401" s="397" t="str">
        <f ca="1">Área!C347</f>
        <v/>
      </c>
      <c r="D401" s="398"/>
      <c r="E401" s="398"/>
      <c r="F401" s="398"/>
      <c r="G401" s="396" t="str">
        <f ca="1">Área!F347</f>
        <v/>
      </c>
      <c r="H401" s="396"/>
      <c r="I401" s="398" t="str">
        <f ca="1">Área!G347</f>
        <v/>
      </c>
      <c r="J401" s="398"/>
      <c r="K401" s="396" t="str">
        <f ca="1">Área!H347</f>
        <v/>
      </c>
      <c r="L401" s="396"/>
      <c r="M401" s="396" t="str">
        <f ca="1">Área!I347</f>
        <v/>
      </c>
      <c r="N401" s="396"/>
      <c r="O401" s="396" t="str">
        <f ca="1">Área!J347</f>
        <v/>
      </c>
      <c r="P401" s="396"/>
      <c r="Q401" s="396" t="str">
        <f ca="1">Área!K347</f>
        <v/>
      </c>
      <c r="R401" s="396"/>
      <c r="S401" s="396" t="str">
        <f ca="1">Área!L347</f>
        <v/>
      </c>
      <c r="T401" s="396"/>
      <c r="U401" s="396" t="str">
        <f ca="1">Área!N347</f>
        <v/>
      </c>
      <c r="V401" s="396"/>
      <c r="W401" s="396" t="str">
        <f ca="1">Área!M347</f>
        <v/>
      </c>
      <c r="X401" s="396"/>
      <c r="Y401" s="89" t="str">
        <f ca="1">Área!O347</f>
        <v/>
      </c>
      <c r="Z401" s="399" t="str">
        <f ca="1">Área!P347</f>
        <v/>
      </c>
      <c r="AA401" s="399"/>
      <c r="AB401" s="399"/>
      <c r="AC401" s="399"/>
      <c r="AD401" s="399" t="str">
        <f ca="1">Área!Q347</f>
        <v/>
      </c>
      <c r="AE401" s="399"/>
      <c r="AF401" s="399"/>
      <c r="AG401" s="399"/>
      <c r="AH401" s="400" t="str">
        <f ca="1">Área!R347</f>
        <v/>
      </c>
      <c r="AI401" s="400"/>
      <c r="AJ401" s="400" t="str">
        <f ca="1">Área!S347</f>
        <v/>
      </c>
      <c r="AK401" s="400"/>
      <c r="AL401" s="400" t="str">
        <f ca="1">Área!T347</f>
        <v/>
      </c>
      <c r="AM401" s="400"/>
      <c r="AN401" s="400" t="str">
        <f ca="1">Área!U347</f>
        <v/>
      </c>
      <c r="AO401" s="400"/>
      <c r="AP401" s="422" t="str">
        <f ca="1">IFERROR(Área!Z347,"")</f>
        <v/>
      </c>
      <c r="AQ401" s="422"/>
      <c r="AR401" s="400" t="str">
        <f ca="1">Área!Y347</f>
        <v/>
      </c>
      <c r="AS401" s="423"/>
      <c r="AT401" s="72"/>
    </row>
    <row r="402" spans="1:46" ht="15" customHeight="1" x14ac:dyDescent="0.25">
      <c r="A402"/>
      <c r="C402" s="397" t="str">
        <f ca="1">Área!C348</f>
        <v/>
      </c>
      <c r="D402" s="398"/>
      <c r="E402" s="398"/>
      <c r="F402" s="398"/>
      <c r="G402" s="396" t="str">
        <f ca="1">Área!F348</f>
        <v/>
      </c>
      <c r="H402" s="396"/>
      <c r="I402" s="398" t="str">
        <f ca="1">Área!G348</f>
        <v/>
      </c>
      <c r="J402" s="398"/>
      <c r="K402" s="396" t="str">
        <f ca="1">Área!H348</f>
        <v/>
      </c>
      <c r="L402" s="396"/>
      <c r="M402" s="396" t="str">
        <f ca="1">Área!I348</f>
        <v/>
      </c>
      <c r="N402" s="396"/>
      <c r="O402" s="396" t="str">
        <f ca="1">Área!J348</f>
        <v/>
      </c>
      <c r="P402" s="396"/>
      <c r="Q402" s="396" t="str">
        <f ca="1">Área!K348</f>
        <v/>
      </c>
      <c r="R402" s="396"/>
      <c r="S402" s="396" t="str">
        <f ca="1">Área!L348</f>
        <v/>
      </c>
      <c r="T402" s="396"/>
      <c r="U402" s="396" t="str">
        <f ca="1">Área!N348</f>
        <v/>
      </c>
      <c r="V402" s="396"/>
      <c r="W402" s="396" t="str">
        <f ca="1">Área!M348</f>
        <v/>
      </c>
      <c r="X402" s="396"/>
      <c r="Y402" s="89" t="str">
        <f ca="1">Área!O348</f>
        <v/>
      </c>
      <c r="Z402" s="399" t="str">
        <f ca="1">Área!P348</f>
        <v/>
      </c>
      <c r="AA402" s="399"/>
      <c r="AB402" s="399"/>
      <c r="AC402" s="399"/>
      <c r="AD402" s="399" t="str">
        <f ca="1">Área!Q348</f>
        <v/>
      </c>
      <c r="AE402" s="399"/>
      <c r="AF402" s="399"/>
      <c r="AG402" s="399"/>
      <c r="AH402" s="400" t="str">
        <f ca="1">Área!R348</f>
        <v/>
      </c>
      <c r="AI402" s="400"/>
      <c r="AJ402" s="400" t="str">
        <f ca="1">Área!S348</f>
        <v/>
      </c>
      <c r="AK402" s="400"/>
      <c r="AL402" s="400" t="str">
        <f ca="1">Área!T348</f>
        <v/>
      </c>
      <c r="AM402" s="400"/>
      <c r="AN402" s="400" t="str">
        <f ca="1">Área!U348</f>
        <v/>
      </c>
      <c r="AO402" s="400"/>
      <c r="AP402" s="422" t="str">
        <f ca="1">IFERROR(Área!Z348,"")</f>
        <v/>
      </c>
      <c r="AQ402" s="422"/>
      <c r="AR402" s="400" t="str">
        <f ca="1">Área!Y348</f>
        <v/>
      </c>
      <c r="AS402" s="423"/>
      <c r="AT402" s="72"/>
    </row>
    <row r="403" spans="1:46" ht="15" customHeight="1" x14ac:dyDescent="0.25">
      <c r="A403"/>
      <c r="C403" s="397" t="str">
        <f ca="1">Área!C349</f>
        <v/>
      </c>
      <c r="D403" s="398"/>
      <c r="E403" s="398"/>
      <c r="F403" s="398"/>
      <c r="G403" s="396" t="str">
        <f ca="1">Área!F349</f>
        <v/>
      </c>
      <c r="H403" s="396"/>
      <c r="I403" s="398" t="str">
        <f ca="1">Área!G349</f>
        <v/>
      </c>
      <c r="J403" s="398"/>
      <c r="K403" s="396" t="str">
        <f ca="1">Área!H349</f>
        <v/>
      </c>
      <c r="L403" s="396"/>
      <c r="M403" s="396" t="str">
        <f ca="1">Área!I349</f>
        <v/>
      </c>
      <c r="N403" s="396"/>
      <c r="O403" s="396" t="str">
        <f ca="1">Área!J349</f>
        <v/>
      </c>
      <c r="P403" s="396"/>
      <c r="Q403" s="396" t="str">
        <f ca="1">Área!K349</f>
        <v/>
      </c>
      <c r="R403" s="396"/>
      <c r="S403" s="396" t="str">
        <f ca="1">Área!L349</f>
        <v/>
      </c>
      <c r="T403" s="396"/>
      <c r="U403" s="396" t="str">
        <f ca="1">Área!N349</f>
        <v/>
      </c>
      <c r="V403" s="396"/>
      <c r="W403" s="396" t="str">
        <f ca="1">Área!M349</f>
        <v/>
      </c>
      <c r="X403" s="396"/>
      <c r="Y403" s="89" t="str">
        <f ca="1">Área!O349</f>
        <v/>
      </c>
      <c r="Z403" s="399" t="str">
        <f ca="1">Área!P349</f>
        <v/>
      </c>
      <c r="AA403" s="399"/>
      <c r="AB403" s="399"/>
      <c r="AC403" s="399"/>
      <c r="AD403" s="399" t="str">
        <f ca="1">Área!Q349</f>
        <v/>
      </c>
      <c r="AE403" s="399"/>
      <c r="AF403" s="399"/>
      <c r="AG403" s="399"/>
      <c r="AH403" s="400" t="str">
        <f ca="1">Área!R349</f>
        <v/>
      </c>
      <c r="AI403" s="400"/>
      <c r="AJ403" s="400" t="str">
        <f ca="1">Área!S349</f>
        <v/>
      </c>
      <c r="AK403" s="400"/>
      <c r="AL403" s="400" t="str">
        <f ca="1">Área!T349</f>
        <v/>
      </c>
      <c r="AM403" s="400"/>
      <c r="AN403" s="400" t="str">
        <f ca="1">Área!U349</f>
        <v/>
      </c>
      <c r="AO403" s="400"/>
      <c r="AP403" s="422" t="str">
        <f ca="1">IFERROR(Área!Z349,"")</f>
        <v/>
      </c>
      <c r="AQ403" s="422"/>
      <c r="AR403" s="400" t="str">
        <f ca="1">Área!Y349</f>
        <v/>
      </c>
      <c r="AS403" s="423"/>
      <c r="AT403" s="72"/>
    </row>
    <row r="404" spans="1:46" ht="15" customHeight="1" x14ac:dyDescent="0.25">
      <c r="A404"/>
      <c r="C404" s="397" t="str">
        <f ca="1">Área!C350</f>
        <v/>
      </c>
      <c r="D404" s="398"/>
      <c r="E404" s="398"/>
      <c r="F404" s="398"/>
      <c r="G404" s="396" t="str">
        <f ca="1">Área!F350</f>
        <v/>
      </c>
      <c r="H404" s="396"/>
      <c r="I404" s="398" t="str">
        <f ca="1">Área!G350</f>
        <v/>
      </c>
      <c r="J404" s="398"/>
      <c r="K404" s="396" t="str">
        <f ca="1">Área!H350</f>
        <v/>
      </c>
      <c r="L404" s="396"/>
      <c r="M404" s="396" t="str">
        <f ca="1">Área!I350</f>
        <v/>
      </c>
      <c r="N404" s="396"/>
      <c r="O404" s="396" t="str">
        <f ca="1">Área!J350</f>
        <v/>
      </c>
      <c r="P404" s="396"/>
      <c r="Q404" s="396" t="str">
        <f ca="1">Área!K350</f>
        <v/>
      </c>
      <c r="R404" s="396"/>
      <c r="S404" s="396" t="str">
        <f ca="1">Área!L350</f>
        <v/>
      </c>
      <c r="T404" s="396"/>
      <c r="U404" s="396" t="str">
        <f ca="1">Área!N350</f>
        <v/>
      </c>
      <c r="V404" s="396"/>
      <c r="W404" s="396" t="str">
        <f ca="1">Área!M350</f>
        <v/>
      </c>
      <c r="X404" s="396"/>
      <c r="Y404" s="89" t="str">
        <f ca="1">Área!O350</f>
        <v/>
      </c>
      <c r="Z404" s="399" t="str">
        <f ca="1">Área!P350</f>
        <v/>
      </c>
      <c r="AA404" s="399"/>
      <c r="AB404" s="399"/>
      <c r="AC404" s="399"/>
      <c r="AD404" s="399" t="str">
        <f ca="1">Área!Q350</f>
        <v/>
      </c>
      <c r="AE404" s="399"/>
      <c r="AF404" s="399"/>
      <c r="AG404" s="399"/>
      <c r="AH404" s="400" t="str">
        <f ca="1">Área!R350</f>
        <v/>
      </c>
      <c r="AI404" s="400"/>
      <c r="AJ404" s="400" t="str">
        <f ca="1">Área!S350</f>
        <v/>
      </c>
      <c r="AK404" s="400"/>
      <c r="AL404" s="400" t="str">
        <f ca="1">Área!T350</f>
        <v/>
      </c>
      <c r="AM404" s="400"/>
      <c r="AN404" s="400" t="str">
        <f ca="1">Área!U350</f>
        <v/>
      </c>
      <c r="AO404" s="400"/>
      <c r="AP404" s="422" t="str">
        <f ca="1">IFERROR(Área!Z350,"")</f>
        <v/>
      </c>
      <c r="AQ404" s="422"/>
      <c r="AR404" s="400" t="str">
        <f ca="1">Área!Y350</f>
        <v/>
      </c>
      <c r="AS404" s="423"/>
      <c r="AT404" s="72"/>
    </row>
    <row r="405" spans="1:46" ht="15" customHeight="1" x14ac:dyDescent="0.25">
      <c r="A405"/>
      <c r="C405" s="397" t="str">
        <f ca="1">Área!C351</f>
        <v/>
      </c>
      <c r="D405" s="398"/>
      <c r="E405" s="398"/>
      <c r="F405" s="398"/>
      <c r="G405" s="396" t="str">
        <f ca="1">Área!F351</f>
        <v/>
      </c>
      <c r="H405" s="396"/>
      <c r="I405" s="398" t="str">
        <f ca="1">Área!G351</f>
        <v/>
      </c>
      <c r="J405" s="398"/>
      <c r="K405" s="396" t="str">
        <f ca="1">Área!H351</f>
        <v/>
      </c>
      <c r="L405" s="396"/>
      <c r="M405" s="396" t="str">
        <f ca="1">Área!I351</f>
        <v/>
      </c>
      <c r="N405" s="396"/>
      <c r="O405" s="396" t="str">
        <f ca="1">Área!J351</f>
        <v/>
      </c>
      <c r="P405" s="396"/>
      <c r="Q405" s="396" t="str">
        <f ca="1">Área!K351</f>
        <v/>
      </c>
      <c r="R405" s="396"/>
      <c r="S405" s="396" t="str">
        <f ca="1">Área!L351</f>
        <v/>
      </c>
      <c r="T405" s="396"/>
      <c r="U405" s="396" t="str">
        <f ca="1">Área!N351</f>
        <v/>
      </c>
      <c r="V405" s="396"/>
      <c r="W405" s="396" t="str">
        <f ca="1">Área!M351</f>
        <v/>
      </c>
      <c r="X405" s="396"/>
      <c r="Y405" s="89" t="str">
        <f ca="1">Área!O351</f>
        <v/>
      </c>
      <c r="Z405" s="399" t="str">
        <f ca="1">Área!P351</f>
        <v/>
      </c>
      <c r="AA405" s="399"/>
      <c r="AB405" s="399"/>
      <c r="AC405" s="399"/>
      <c r="AD405" s="399" t="str">
        <f ca="1">Área!Q351</f>
        <v/>
      </c>
      <c r="AE405" s="399"/>
      <c r="AF405" s="399"/>
      <c r="AG405" s="399"/>
      <c r="AH405" s="400" t="str">
        <f ca="1">Área!R351</f>
        <v/>
      </c>
      <c r="AI405" s="400"/>
      <c r="AJ405" s="400" t="str">
        <f ca="1">Área!S351</f>
        <v/>
      </c>
      <c r="AK405" s="400"/>
      <c r="AL405" s="400" t="str">
        <f ca="1">Área!T351</f>
        <v/>
      </c>
      <c r="AM405" s="400"/>
      <c r="AN405" s="400" t="str">
        <f ca="1">Área!U351</f>
        <v/>
      </c>
      <c r="AO405" s="400"/>
      <c r="AP405" s="422" t="str">
        <f ca="1">IFERROR(Área!Z351,"")</f>
        <v/>
      </c>
      <c r="AQ405" s="422"/>
      <c r="AR405" s="400" t="str">
        <f ca="1">Área!Y351</f>
        <v/>
      </c>
      <c r="AS405" s="423"/>
      <c r="AT405" s="72"/>
    </row>
    <row r="406" spans="1:46" ht="15" customHeight="1" x14ac:dyDescent="0.25">
      <c r="A406"/>
      <c r="C406" s="397" t="str">
        <f ca="1">Área!C352</f>
        <v/>
      </c>
      <c r="D406" s="398"/>
      <c r="E406" s="398"/>
      <c r="F406" s="398"/>
      <c r="G406" s="396" t="str">
        <f ca="1">Área!F352</f>
        <v/>
      </c>
      <c r="H406" s="396"/>
      <c r="I406" s="398" t="str">
        <f ca="1">Área!G352</f>
        <v/>
      </c>
      <c r="J406" s="398"/>
      <c r="K406" s="396" t="str">
        <f ca="1">Área!H352</f>
        <v/>
      </c>
      <c r="L406" s="396"/>
      <c r="M406" s="396" t="str">
        <f ca="1">Área!I352</f>
        <v/>
      </c>
      <c r="N406" s="396"/>
      <c r="O406" s="396" t="str">
        <f ca="1">Área!J352</f>
        <v/>
      </c>
      <c r="P406" s="396"/>
      <c r="Q406" s="396" t="str">
        <f ca="1">Área!K352</f>
        <v/>
      </c>
      <c r="R406" s="396"/>
      <c r="S406" s="396" t="str">
        <f ca="1">Área!L352</f>
        <v/>
      </c>
      <c r="T406" s="396"/>
      <c r="U406" s="396" t="str">
        <f ca="1">Área!N352</f>
        <v/>
      </c>
      <c r="V406" s="396"/>
      <c r="W406" s="396" t="str">
        <f ca="1">Área!M352</f>
        <v/>
      </c>
      <c r="X406" s="396"/>
      <c r="Y406" s="89" t="str">
        <f ca="1">Área!O352</f>
        <v/>
      </c>
      <c r="Z406" s="399" t="str">
        <f ca="1">Área!P352</f>
        <v/>
      </c>
      <c r="AA406" s="399"/>
      <c r="AB406" s="399"/>
      <c r="AC406" s="399"/>
      <c r="AD406" s="399" t="str">
        <f ca="1">Área!Q352</f>
        <v/>
      </c>
      <c r="AE406" s="399"/>
      <c r="AF406" s="399"/>
      <c r="AG406" s="399"/>
      <c r="AH406" s="400" t="str">
        <f ca="1">Área!R352</f>
        <v/>
      </c>
      <c r="AI406" s="400"/>
      <c r="AJ406" s="400" t="str">
        <f ca="1">Área!S352</f>
        <v/>
      </c>
      <c r="AK406" s="400"/>
      <c r="AL406" s="400" t="str">
        <f ca="1">Área!T352</f>
        <v/>
      </c>
      <c r="AM406" s="400"/>
      <c r="AN406" s="400" t="str">
        <f ca="1">Área!U352</f>
        <v/>
      </c>
      <c r="AO406" s="400"/>
      <c r="AP406" s="422" t="str">
        <f ca="1">IFERROR(Área!Z352,"")</f>
        <v/>
      </c>
      <c r="AQ406" s="422"/>
      <c r="AR406" s="400" t="str">
        <f ca="1">Área!Y352</f>
        <v/>
      </c>
      <c r="AS406" s="423"/>
      <c r="AT406" s="72"/>
    </row>
    <row r="407" spans="1:46" ht="15" customHeight="1" x14ac:dyDescent="0.25">
      <c r="A407"/>
      <c r="C407" s="397" t="str">
        <f ca="1">Área!C353</f>
        <v/>
      </c>
      <c r="D407" s="398"/>
      <c r="E407" s="398"/>
      <c r="F407" s="398"/>
      <c r="G407" s="396" t="str">
        <f ca="1">Área!F353</f>
        <v/>
      </c>
      <c r="H407" s="396"/>
      <c r="I407" s="398" t="str">
        <f ca="1">Área!G353</f>
        <v/>
      </c>
      <c r="J407" s="398"/>
      <c r="K407" s="396" t="str">
        <f ca="1">Área!H353</f>
        <v/>
      </c>
      <c r="L407" s="396"/>
      <c r="M407" s="396" t="str">
        <f ca="1">Área!I353</f>
        <v/>
      </c>
      <c r="N407" s="396"/>
      <c r="O407" s="396" t="str">
        <f ca="1">Área!J353</f>
        <v/>
      </c>
      <c r="P407" s="396"/>
      <c r="Q407" s="396" t="str">
        <f ca="1">Área!K353</f>
        <v/>
      </c>
      <c r="R407" s="396"/>
      <c r="S407" s="396" t="str">
        <f ca="1">Área!L353</f>
        <v/>
      </c>
      <c r="T407" s="396"/>
      <c r="U407" s="396" t="str">
        <f ca="1">Área!N353</f>
        <v/>
      </c>
      <c r="V407" s="396"/>
      <c r="W407" s="396" t="str">
        <f ca="1">Área!M353</f>
        <v/>
      </c>
      <c r="X407" s="396"/>
      <c r="Y407" s="89" t="str">
        <f ca="1">Área!O353</f>
        <v/>
      </c>
      <c r="Z407" s="399" t="str">
        <f ca="1">Área!P353</f>
        <v/>
      </c>
      <c r="AA407" s="399"/>
      <c r="AB407" s="399"/>
      <c r="AC407" s="399"/>
      <c r="AD407" s="399" t="str">
        <f ca="1">Área!Q353</f>
        <v/>
      </c>
      <c r="AE407" s="399"/>
      <c r="AF407" s="399"/>
      <c r="AG407" s="399"/>
      <c r="AH407" s="400" t="str">
        <f ca="1">Área!R353</f>
        <v/>
      </c>
      <c r="AI407" s="400"/>
      <c r="AJ407" s="400" t="str">
        <f ca="1">Área!S353</f>
        <v/>
      </c>
      <c r="AK407" s="400"/>
      <c r="AL407" s="400" t="str">
        <f ca="1">Área!T353</f>
        <v/>
      </c>
      <c r="AM407" s="400"/>
      <c r="AN407" s="400" t="str">
        <f ca="1">Área!U353</f>
        <v/>
      </c>
      <c r="AO407" s="400"/>
      <c r="AP407" s="422" t="str">
        <f ca="1">IFERROR(Área!Z353,"")</f>
        <v/>
      </c>
      <c r="AQ407" s="422"/>
      <c r="AR407" s="400" t="str">
        <f ca="1">Área!Y353</f>
        <v/>
      </c>
      <c r="AS407" s="423"/>
      <c r="AT407" s="72"/>
    </row>
    <row r="408" spans="1:46" ht="15" customHeight="1" x14ac:dyDescent="0.25">
      <c r="A408"/>
      <c r="C408" s="397" t="str">
        <f ca="1">Área!C354</f>
        <v/>
      </c>
      <c r="D408" s="398"/>
      <c r="E408" s="398"/>
      <c r="F408" s="398"/>
      <c r="G408" s="396" t="str">
        <f ca="1">Área!F354</f>
        <v/>
      </c>
      <c r="H408" s="396"/>
      <c r="I408" s="398" t="str">
        <f ca="1">Área!G354</f>
        <v/>
      </c>
      <c r="J408" s="398"/>
      <c r="K408" s="396" t="str">
        <f ca="1">Área!H354</f>
        <v/>
      </c>
      <c r="L408" s="396"/>
      <c r="M408" s="396" t="str">
        <f ca="1">Área!I354</f>
        <v/>
      </c>
      <c r="N408" s="396"/>
      <c r="O408" s="396" t="str">
        <f ca="1">Área!J354</f>
        <v/>
      </c>
      <c r="P408" s="396"/>
      <c r="Q408" s="396" t="str">
        <f ca="1">Área!K354</f>
        <v/>
      </c>
      <c r="R408" s="396"/>
      <c r="S408" s="396" t="str">
        <f ca="1">Área!L354</f>
        <v/>
      </c>
      <c r="T408" s="396"/>
      <c r="U408" s="396" t="str">
        <f ca="1">Área!N354</f>
        <v/>
      </c>
      <c r="V408" s="396"/>
      <c r="W408" s="396" t="str">
        <f ca="1">Área!M354</f>
        <v/>
      </c>
      <c r="X408" s="396"/>
      <c r="Y408" s="89" t="str">
        <f ca="1">Área!O354</f>
        <v/>
      </c>
      <c r="Z408" s="399" t="str">
        <f ca="1">Área!P354</f>
        <v/>
      </c>
      <c r="AA408" s="399"/>
      <c r="AB408" s="399"/>
      <c r="AC408" s="399"/>
      <c r="AD408" s="399" t="str">
        <f ca="1">Área!Q354</f>
        <v/>
      </c>
      <c r="AE408" s="399"/>
      <c r="AF408" s="399"/>
      <c r="AG408" s="399"/>
      <c r="AH408" s="400" t="str">
        <f ca="1">Área!R354</f>
        <v/>
      </c>
      <c r="AI408" s="400"/>
      <c r="AJ408" s="400" t="str">
        <f ca="1">Área!S354</f>
        <v/>
      </c>
      <c r="AK408" s="400"/>
      <c r="AL408" s="400" t="str">
        <f ca="1">Área!T354</f>
        <v/>
      </c>
      <c r="AM408" s="400"/>
      <c r="AN408" s="400" t="str">
        <f ca="1">Área!U354</f>
        <v/>
      </c>
      <c r="AO408" s="400"/>
      <c r="AP408" s="422" t="str">
        <f ca="1">IFERROR(Área!Z354,"")</f>
        <v/>
      </c>
      <c r="AQ408" s="422"/>
      <c r="AR408" s="400" t="str">
        <f ca="1">Área!Y354</f>
        <v/>
      </c>
      <c r="AS408" s="423"/>
      <c r="AT408" s="72"/>
    </row>
    <row r="409" spans="1:46" ht="15" customHeight="1" x14ac:dyDescent="0.25">
      <c r="A409"/>
      <c r="C409" s="397" t="str">
        <f ca="1">Área!C355</f>
        <v/>
      </c>
      <c r="D409" s="398"/>
      <c r="E409" s="398"/>
      <c r="F409" s="398"/>
      <c r="G409" s="396" t="str">
        <f ca="1">Área!F355</f>
        <v/>
      </c>
      <c r="H409" s="396"/>
      <c r="I409" s="398" t="str">
        <f ca="1">Área!G355</f>
        <v/>
      </c>
      <c r="J409" s="398"/>
      <c r="K409" s="396" t="str">
        <f ca="1">Área!H355</f>
        <v/>
      </c>
      <c r="L409" s="396"/>
      <c r="M409" s="396" t="str">
        <f ca="1">Área!I355</f>
        <v/>
      </c>
      <c r="N409" s="396"/>
      <c r="O409" s="396" t="str">
        <f ca="1">Área!J355</f>
        <v/>
      </c>
      <c r="P409" s="396"/>
      <c r="Q409" s="396" t="str">
        <f ca="1">Área!K355</f>
        <v/>
      </c>
      <c r="R409" s="396"/>
      <c r="S409" s="396" t="str">
        <f ca="1">Área!L355</f>
        <v/>
      </c>
      <c r="T409" s="396"/>
      <c r="U409" s="396" t="str">
        <f ca="1">Área!N355</f>
        <v/>
      </c>
      <c r="V409" s="396"/>
      <c r="W409" s="396" t="str">
        <f ca="1">Área!M355</f>
        <v/>
      </c>
      <c r="X409" s="396"/>
      <c r="Y409" s="89" t="str">
        <f ca="1">Área!O355</f>
        <v/>
      </c>
      <c r="Z409" s="399" t="str">
        <f ca="1">Área!P355</f>
        <v/>
      </c>
      <c r="AA409" s="399"/>
      <c r="AB409" s="399"/>
      <c r="AC409" s="399"/>
      <c r="AD409" s="399" t="str">
        <f ca="1">Área!Q355</f>
        <v/>
      </c>
      <c r="AE409" s="399"/>
      <c r="AF409" s="399"/>
      <c r="AG409" s="399"/>
      <c r="AH409" s="400" t="str">
        <f ca="1">Área!R355</f>
        <v/>
      </c>
      <c r="AI409" s="400"/>
      <c r="AJ409" s="400" t="str">
        <f ca="1">Área!S355</f>
        <v/>
      </c>
      <c r="AK409" s="400"/>
      <c r="AL409" s="400" t="str">
        <f ca="1">Área!T355</f>
        <v/>
      </c>
      <c r="AM409" s="400"/>
      <c r="AN409" s="400" t="str">
        <f ca="1">Área!U355</f>
        <v/>
      </c>
      <c r="AO409" s="400"/>
      <c r="AP409" s="422" t="str">
        <f ca="1">IFERROR(Área!Z355,"")</f>
        <v/>
      </c>
      <c r="AQ409" s="422"/>
      <c r="AR409" s="400" t="str">
        <f ca="1">Área!Y355</f>
        <v/>
      </c>
      <c r="AS409" s="423"/>
      <c r="AT409" s="72"/>
    </row>
    <row r="410" spans="1:46" ht="15" customHeight="1" x14ac:dyDescent="0.25">
      <c r="A410"/>
      <c r="C410" s="397" t="str">
        <f ca="1">Área!C356</f>
        <v/>
      </c>
      <c r="D410" s="398"/>
      <c r="E410" s="398"/>
      <c r="F410" s="398"/>
      <c r="G410" s="396" t="str">
        <f ca="1">Área!F356</f>
        <v/>
      </c>
      <c r="H410" s="396"/>
      <c r="I410" s="398" t="str">
        <f ca="1">Área!G356</f>
        <v/>
      </c>
      <c r="J410" s="398"/>
      <c r="K410" s="396" t="str">
        <f ca="1">Área!H356</f>
        <v/>
      </c>
      <c r="L410" s="396"/>
      <c r="M410" s="396" t="str">
        <f ca="1">Área!I356</f>
        <v/>
      </c>
      <c r="N410" s="396"/>
      <c r="O410" s="396" t="str">
        <f ca="1">Área!J356</f>
        <v/>
      </c>
      <c r="P410" s="396"/>
      <c r="Q410" s="396" t="str">
        <f ca="1">Área!K356</f>
        <v/>
      </c>
      <c r="R410" s="396"/>
      <c r="S410" s="396" t="str">
        <f ca="1">Área!L356</f>
        <v/>
      </c>
      <c r="T410" s="396"/>
      <c r="U410" s="396" t="str">
        <f ca="1">Área!N356</f>
        <v/>
      </c>
      <c r="V410" s="396"/>
      <c r="W410" s="396" t="str">
        <f ca="1">Área!M356</f>
        <v/>
      </c>
      <c r="X410" s="396"/>
      <c r="Y410" s="89" t="str">
        <f ca="1">Área!O356</f>
        <v/>
      </c>
      <c r="Z410" s="399" t="str">
        <f ca="1">Área!P356</f>
        <v/>
      </c>
      <c r="AA410" s="399"/>
      <c r="AB410" s="399"/>
      <c r="AC410" s="399"/>
      <c r="AD410" s="399" t="str">
        <f ca="1">Área!Q356</f>
        <v/>
      </c>
      <c r="AE410" s="399"/>
      <c r="AF410" s="399"/>
      <c r="AG410" s="399"/>
      <c r="AH410" s="400" t="str">
        <f ca="1">Área!R356</f>
        <v/>
      </c>
      <c r="AI410" s="400"/>
      <c r="AJ410" s="400" t="str">
        <f ca="1">Área!S356</f>
        <v/>
      </c>
      <c r="AK410" s="400"/>
      <c r="AL410" s="400" t="str">
        <f ca="1">Área!T356</f>
        <v/>
      </c>
      <c r="AM410" s="400"/>
      <c r="AN410" s="400" t="str">
        <f ca="1">Área!U356</f>
        <v/>
      </c>
      <c r="AO410" s="400"/>
      <c r="AP410" s="422" t="str">
        <f ca="1">IFERROR(Área!Z356,"")</f>
        <v/>
      </c>
      <c r="AQ410" s="422"/>
      <c r="AR410" s="400" t="str">
        <f ca="1">Área!Y356</f>
        <v/>
      </c>
      <c r="AS410" s="423"/>
      <c r="AT410" s="72"/>
    </row>
    <row r="411" spans="1:46" ht="15" customHeight="1" x14ac:dyDescent="0.25">
      <c r="A411"/>
      <c r="C411" s="397" t="str">
        <f ca="1">Área!C357</f>
        <v/>
      </c>
      <c r="D411" s="398"/>
      <c r="E411" s="398"/>
      <c r="F411" s="398"/>
      <c r="G411" s="396" t="str">
        <f ca="1">Área!F357</f>
        <v/>
      </c>
      <c r="H411" s="396"/>
      <c r="I411" s="398" t="str">
        <f ca="1">Área!G357</f>
        <v/>
      </c>
      <c r="J411" s="398"/>
      <c r="K411" s="396" t="str">
        <f ca="1">Área!H357</f>
        <v/>
      </c>
      <c r="L411" s="396"/>
      <c r="M411" s="396" t="str">
        <f ca="1">Área!I357</f>
        <v/>
      </c>
      <c r="N411" s="396"/>
      <c r="O411" s="396" t="str">
        <f ca="1">Área!J357</f>
        <v/>
      </c>
      <c r="P411" s="396"/>
      <c r="Q411" s="396" t="str">
        <f ca="1">Área!K357</f>
        <v/>
      </c>
      <c r="R411" s="396"/>
      <c r="S411" s="396" t="str">
        <f ca="1">Área!L357</f>
        <v/>
      </c>
      <c r="T411" s="396"/>
      <c r="U411" s="396" t="str">
        <f ca="1">Área!N357</f>
        <v/>
      </c>
      <c r="V411" s="396"/>
      <c r="W411" s="396" t="str">
        <f ca="1">Área!M357</f>
        <v/>
      </c>
      <c r="X411" s="396"/>
      <c r="Y411" s="89" t="str">
        <f ca="1">Área!O357</f>
        <v/>
      </c>
      <c r="Z411" s="399" t="str">
        <f ca="1">Área!P357</f>
        <v/>
      </c>
      <c r="AA411" s="399"/>
      <c r="AB411" s="399"/>
      <c r="AC411" s="399"/>
      <c r="AD411" s="399" t="str">
        <f ca="1">Área!Q357</f>
        <v/>
      </c>
      <c r="AE411" s="399"/>
      <c r="AF411" s="399"/>
      <c r="AG411" s="399"/>
      <c r="AH411" s="400" t="str">
        <f ca="1">Área!R357</f>
        <v/>
      </c>
      <c r="AI411" s="400"/>
      <c r="AJ411" s="400" t="str">
        <f ca="1">Área!S357</f>
        <v/>
      </c>
      <c r="AK411" s="400"/>
      <c r="AL411" s="400" t="str">
        <f ca="1">Área!T357</f>
        <v/>
      </c>
      <c r="AM411" s="400"/>
      <c r="AN411" s="400" t="str">
        <f ca="1">Área!U357</f>
        <v/>
      </c>
      <c r="AO411" s="400"/>
      <c r="AP411" s="422" t="str">
        <f ca="1">IFERROR(Área!Z357,"")</f>
        <v/>
      </c>
      <c r="AQ411" s="422"/>
      <c r="AR411" s="400" t="str">
        <f ca="1">Área!Y357</f>
        <v/>
      </c>
      <c r="AS411" s="423"/>
      <c r="AT411" s="72"/>
    </row>
    <row r="412" spans="1:46" ht="15" customHeight="1" x14ac:dyDescent="0.25">
      <c r="A412"/>
      <c r="C412" s="397" t="str">
        <f ca="1">Área!C358</f>
        <v/>
      </c>
      <c r="D412" s="398"/>
      <c r="E412" s="398"/>
      <c r="F412" s="398"/>
      <c r="G412" s="396" t="str">
        <f ca="1">Área!F358</f>
        <v/>
      </c>
      <c r="H412" s="396"/>
      <c r="I412" s="398" t="str">
        <f ca="1">Área!G358</f>
        <v/>
      </c>
      <c r="J412" s="398"/>
      <c r="K412" s="396" t="str">
        <f ca="1">Área!H358</f>
        <v/>
      </c>
      <c r="L412" s="396"/>
      <c r="M412" s="396" t="str">
        <f ca="1">Área!I358</f>
        <v/>
      </c>
      <c r="N412" s="396"/>
      <c r="O412" s="396" t="str">
        <f ca="1">Área!J358</f>
        <v/>
      </c>
      <c r="P412" s="396"/>
      <c r="Q412" s="396" t="str">
        <f ca="1">Área!K358</f>
        <v/>
      </c>
      <c r="R412" s="396"/>
      <c r="S412" s="396" t="str">
        <f ca="1">Área!L358</f>
        <v/>
      </c>
      <c r="T412" s="396"/>
      <c r="U412" s="396" t="str">
        <f ca="1">Área!N358</f>
        <v/>
      </c>
      <c r="V412" s="396"/>
      <c r="W412" s="396" t="str">
        <f ca="1">Área!M358</f>
        <v/>
      </c>
      <c r="X412" s="396"/>
      <c r="Y412" s="89" t="str">
        <f ca="1">Área!O358</f>
        <v/>
      </c>
      <c r="Z412" s="399" t="str">
        <f ca="1">Área!P358</f>
        <v/>
      </c>
      <c r="AA412" s="399"/>
      <c r="AB412" s="399"/>
      <c r="AC412" s="399"/>
      <c r="AD412" s="399" t="str">
        <f ca="1">Área!Q358</f>
        <v/>
      </c>
      <c r="AE412" s="399"/>
      <c r="AF412" s="399"/>
      <c r="AG412" s="399"/>
      <c r="AH412" s="400" t="str">
        <f ca="1">Área!R358</f>
        <v/>
      </c>
      <c r="AI412" s="400"/>
      <c r="AJ412" s="400" t="str">
        <f ca="1">Área!S358</f>
        <v/>
      </c>
      <c r="AK412" s="400"/>
      <c r="AL412" s="400" t="str">
        <f ca="1">Área!T358</f>
        <v/>
      </c>
      <c r="AM412" s="400"/>
      <c r="AN412" s="400" t="str">
        <f ca="1">Área!U358</f>
        <v/>
      </c>
      <c r="AO412" s="400"/>
      <c r="AP412" s="422" t="str">
        <f ca="1">IFERROR(Área!Z358,"")</f>
        <v/>
      </c>
      <c r="AQ412" s="422"/>
      <c r="AR412" s="400" t="str">
        <f ca="1">Área!Y358</f>
        <v/>
      </c>
      <c r="AS412" s="423"/>
      <c r="AT412" s="72"/>
    </row>
    <row r="413" spans="1:46" ht="15" customHeight="1" x14ac:dyDescent="0.25">
      <c r="A413"/>
      <c r="C413" s="397" t="str">
        <f ca="1">Área!C359</f>
        <v/>
      </c>
      <c r="D413" s="398"/>
      <c r="E413" s="398"/>
      <c r="F413" s="398"/>
      <c r="G413" s="396" t="str">
        <f ca="1">Área!F359</f>
        <v/>
      </c>
      <c r="H413" s="396"/>
      <c r="I413" s="398" t="str">
        <f ca="1">Área!G359</f>
        <v/>
      </c>
      <c r="J413" s="398"/>
      <c r="K413" s="396" t="str">
        <f ca="1">Área!H359</f>
        <v/>
      </c>
      <c r="L413" s="396"/>
      <c r="M413" s="396" t="str">
        <f ca="1">Área!I359</f>
        <v/>
      </c>
      <c r="N413" s="396"/>
      <c r="O413" s="396" t="str">
        <f ca="1">Área!J359</f>
        <v/>
      </c>
      <c r="P413" s="396"/>
      <c r="Q413" s="396" t="str">
        <f ca="1">Área!K359</f>
        <v/>
      </c>
      <c r="R413" s="396"/>
      <c r="S413" s="396" t="str">
        <f ca="1">Área!L359</f>
        <v/>
      </c>
      <c r="T413" s="396"/>
      <c r="U413" s="396" t="str">
        <f ca="1">Área!N359</f>
        <v/>
      </c>
      <c r="V413" s="396"/>
      <c r="W413" s="396" t="str">
        <f ca="1">Área!M359</f>
        <v/>
      </c>
      <c r="X413" s="396"/>
      <c r="Y413" s="89" t="str">
        <f ca="1">Área!O359</f>
        <v/>
      </c>
      <c r="Z413" s="399" t="str">
        <f ca="1">Área!P359</f>
        <v/>
      </c>
      <c r="AA413" s="399"/>
      <c r="AB413" s="399"/>
      <c r="AC413" s="399"/>
      <c r="AD413" s="399" t="str">
        <f ca="1">Área!Q359</f>
        <v/>
      </c>
      <c r="AE413" s="399"/>
      <c r="AF413" s="399"/>
      <c r="AG413" s="399"/>
      <c r="AH413" s="400" t="str">
        <f ca="1">Área!R359</f>
        <v/>
      </c>
      <c r="AI413" s="400"/>
      <c r="AJ413" s="400" t="str">
        <f ca="1">Área!S359</f>
        <v/>
      </c>
      <c r="AK413" s="400"/>
      <c r="AL413" s="400" t="str">
        <f ca="1">Área!T359</f>
        <v/>
      </c>
      <c r="AM413" s="400"/>
      <c r="AN413" s="400" t="str">
        <f ca="1">Área!U359</f>
        <v/>
      </c>
      <c r="AO413" s="400"/>
      <c r="AP413" s="422" t="str">
        <f ca="1">IFERROR(Área!Z359,"")</f>
        <v/>
      </c>
      <c r="AQ413" s="422"/>
      <c r="AR413" s="400" t="str">
        <f ca="1">Área!Y359</f>
        <v/>
      </c>
      <c r="AS413" s="423"/>
      <c r="AT413" s="72"/>
    </row>
    <row r="414" spans="1:46" ht="15" customHeight="1" x14ac:dyDescent="0.25">
      <c r="A414"/>
      <c r="C414" s="397" t="str">
        <f ca="1">Área!C360</f>
        <v/>
      </c>
      <c r="D414" s="398"/>
      <c r="E414" s="398"/>
      <c r="F414" s="398"/>
      <c r="G414" s="396" t="str">
        <f ca="1">Área!F360</f>
        <v/>
      </c>
      <c r="H414" s="396"/>
      <c r="I414" s="398" t="str">
        <f ca="1">Área!G360</f>
        <v/>
      </c>
      <c r="J414" s="398"/>
      <c r="K414" s="396" t="str">
        <f ca="1">Área!H360</f>
        <v/>
      </c>
      <c r="L414" s="396"/>
      <c r="M414" s="396" t="str">
        <f ca="1">Área!I360</f>
        <v/>
      </c>
      <c r="N414" s="396"/>
      <c r="O414" s="396" t="str">
        <f ca="1">Área!J360</f>
        <v/>
      </c>
      <c r="P414" s="396"/>
      <c r="Q414" s="396" t="str">
        <f ca="1">Área!K360</f>
        <v/>
      </c>
      <c r="R414" s="396"/>
      <c r="S414" s="396" t="str">
        <f ca="1">Área!L360</f>
        <v/>
      </c>
      <c r="T414" s="396"/>
      <c r="U414" s="396" t="str">
        <f ca="1">Área!N360</f>
        <v/>
      </c>
      <c r="V414" s="396"/>
      <c r="W414" s="396" t="str">
        <f ca="1">Área!M360</f>
        <v/>
      </c>
      <c r="X414" s="396"/>
      <c r="Y414" s="89" t="str">
        <f ca="1">Área!O360</f>
        <v/>
      </c>
      <c r="Z414" s="399" t="str">
        <f ca="1">Área!P360</f>
        <v/>
      </c>
      <c r="AA414" s="399"/>
      <c r="AB414" s="399"/>
      <c r="AC414" s="399"/>
      <c r="AD414" s="399" t="str">
        <f ca="1">Área!Q360</f>
        <v/>
      </c>
      <c r="AE414" s="399"/>
      <c r="AF414" s="399"/>
      <c r="AG414" s="399"/>
      <c r="AH414" s="400" t="str">
        <f ca="1">Área!R360</f>
        <v/>
      </c>
      <c r="AI414" s="400"/>
      <c r="AJ414" s="400" t="str">
        <f ca="1">Área!S360</f>
        <v/>
      </c>
      <c r="AK414" s="400"/>
      <c r="AL414" s="400" t="str">
        <f ca="1">Área!T360</f>
        <v/>
      </c>
      <c r="AM414" s="400"/>
      <c r="AN414" s="400" t="str">
        <f ca="1">Área!U360</f>
        <v/>
      </c>
      <c r="AO414" s="400"/>
      <c r="AP414" s="422" t="str">
        <f ca="1">IFERROR(Área!Z360,"")</f>
        <v/>
      </c>
      <c r="AQ414" s="422"/>
      <c r="AR414" s="400" t="str">
        <f ca="1">Área!Y360</f>
        <v/>
      </c>
      <c r="AS414" s="423"/>
      <c r="AT414" s="72"/>
    </row>
    <row r="415" spans="1:46" ht="15" customHeight="1" x14ac:dyDescent="0.25">
      <c r="A415"/>
      <c r="C415" s="397" t="str">
        <f ca="1">Área!C361</f>
        <v/>
      </c>
      <c r="D415" s="398"/>
      <c r="E415" s="398"/>
      <c r="F415" s="398"/>
      <c r="G415" s="396" t="str">
        <f ca="1">Área!F361</f>
        <v/>
      </c>
      <c r="H415" s="396"/>
      <c r="I415" s="398" t="str">
        <f ca="1">Área!G361</f>
        <v/>
      </c>
      <c r="J415" s="398"/>
      <c r="K415" s="396" t="str">
        <f ca="1">Área!H361</f>
        <v/>
      </c>
      <c r="L415" s="396"/>
      <c r="M415" s="396" t="str">
        <f ca="1">Área!I361</f>
        <v/>
      </c>
      <c r="N415" s="396"/>
      <c r="O415" s="396" t="str">
        <f ca="1">Área!J361</f>
        <v/>
      </c>
      <c r="P415" s="396"/>
      <c r="Q415" s="396" t="str">
        <f ca="1">Área!K361</f>
        <v/>
      </c>
      <c r="R415" s="396"/>
      <c r="S415" s="396" t="str">
        <f ca="1">Área!L361</f>
        <v/>
      </c>
      <c r="T415" s="396"/>
      <c r="U415" s="396" t="str">
        <f ca="1">Área!N361</f>
        <v/>
      </c>
      <c r="V415" s="396"/>
      <c r="W415" s="396" t="str">
        <f ca="1">Área!M361</f>
        <v/>
      </c>
      <c r="X415" s="396"/>
      <c r="Y415" s="89" t="str">
        <f ca="1">Área!O361</f>
        <v/>
      </c>
      <c r="Z415" s="399" t="str">
        <f ca="1">Área!P361</f>
        <v/>
      </c>
      <c r="AA415" s="399"/>
      <c r="AB415" s="399"/>
      <c r="AC415" s="399"/>
      <c r="AD415" s="399" t="str">
        <f ca="1">Área!Q361</f>
        <v/>
      </c>
      <c r="AE415" s="399"/>
      <c r="AF415" s="399"/>
      <c r="AG415" s="399"/>
      <c r="AH415" s="400" t="str">
        <f ca="1">Área!R361</f>
        <v/>
      </c>
      <c r="AI415" s="400"/>
      <c r="AJ415" s="400" t="str">
        <f ca="1">Área!S361</f>
        <v/>
      </c>
      <c r="AK415" s="400"/>
      <c r="AL415" s="400" t="str">
        <f ca="1">Área!T361</f>
        <v/>
      </c>
      <c r="AM415" s="400"/>
      <c r="AN415" s="400" t="str">
        <f ca="1">Área!U361</f>
        <v/>
      </c>
      <c r="AO415" s="400"/>
      <c r="AP415" s="422" t="str">
        <f ca="1">IFERROR(Área!Z361,"")</f>
        <v/>
      </c>
      <c r="AQ415" s="422"/>
      <c r="AR415" s="400" t="str">
        <f ca="1">Área!Y361</f>
        <v/>
      </c>
      <c r="AS415" s="423"/>
      <c r="AT415" s="72"/>
    </row>
    <row r="416" spans="1:46" ht="15" customHeight="1" x14ac:dyDescent="0.25">
      <c r="A416"/>
      <c r="C416" s="397" t="str">
        <f ca="1">Área!C362</f>
        <v/>
      </c>
      <c r="D416" s="398"/>
      <c r="E416" s="398"/>
      <c r="F416" s="398"/>
      <c r="G416" s="396" t="str">
        <f ca="1">Área!F362</f>
        <v/>
      </c>
      <c r="H416" s="396"/>
      <c r="I416" s="398" t="str">
        <f ca="1">Área!G362</f>
        <v/>
      </c>
      <c r="J416" s="398"/>
      <c r="K416" s="396" t="str">
        <f ca="1">Área!H362</f>
        <v/>
      </c>
      <c r="L416" s="396"/>
      <c r="M416" s="396" t="str">
        <f ca="1">Área!I362</f>
        <v/>
      </c>
      <c r="N416" s="396"/>
      <c r="O416" s="396" t="str">
        <f ca="1">Área!J362</f>
        <v/>
      </c>
      <c r="P416" s="396"/>
      <c r="Q416" s="396" t="str">
        <f ca="1">Área!K362</f>
        <v/>
      </c>
      <c r="R416" s="396"/>
      <c r="S416" s="396" t="str">
        <f ca="1">Área!L362</f>
        <v/>
      </c>
      <c r="T416" s="396"/>
      <c r="U416" s="396" t="str">
        <f ca="1">Área!N362</f>
        <v/>
      </c>
      <c r="V416" s="396"/>
      <c r="W416" s="396" t="str">
        <f ca="1">Área!M362</f>
        <v/>
      </c>
      <c r="X416" s="396"/>
      <c r="Y416" s="89" t="str">
        <f ca="1">Área!O362</f>
        <v/>
      </c>
      <c r="Z416" s="399" t="str">
        <f ca="1">Área!P362</f>
        <v/>
      </c>
      <c r="AA416" s="399"/>
      <c r="AB416" s="399"/>
      <c r="AC416" s="399"/>
      <c r="AD416" s="399" t="str">
        <f ca="1">Área!Q362</f>
        <v/>
      </c>
      <c r="AE416" s="399"/>
      <c r="AF416" s="399"/>
      <c r="AG416" s="399"/>
      <c r="AH416" s="400" t="str">
        <f ca="1">Área!R362</f>
        <v/>
      </c>
      <c r="AI416" s="400"/>
      <c r="AJ416" s="400" t="str">
        <f ca="1">Área!S362</f>
        <v/>
      </c>
      <c r="AK416" s="400"/>
      <c r="AL416" s="400" t="str">
        <f ca="1">Área!T362</f>
        <v/>
      </c>
      <c r="AM416" s="400"/>
      <c r="AN416" s="400" t="str">
        <f ca="1">Área!U362</f>
        <v/>
      </c>
      <c r="AO416" s="400"/>
      <c r="AP416" s="422" t="str">
        <f ca="1">IFERROR(Área!Z362,"")</f>
        <v/>
      </c>
      <c r="AQ416" s="422"/>
      <c r="AR416" s="400" t="str">
        <f ca="1">Área!Y362</f>
        <v/>
      </c>
      <c r="AS416" s="423"/>
      <c r="AT416" s="72"/>
    </row>
    <row r="417" spans="1:46" ht="15" customHeight="1" x14ac:dyDescent="0.25">
      <c r="A417"/>
      <c r="C417" s="397" t="str">
        <f ca="1">Área!C363</f>
        <v/>
      </c>
      <c r="D417" s="398"/>
      <c r="E417" s="398"/>
      <c r="F417" s="398"/>
      <c r="G417" s="396" t="str">
        <f ca="1">Área!F363</f>
        <v/>
      </c>
      <c r="H417" s="396"/>
      <c r="I417" s="398" t="str">
        <f ca="1">Área!G363</f>
        <v/>
      </c>
      <c r="J417" s="398"/>
      <c r="K417" s="396" t="str">
        <f ca="1">Área!H363</f>
        <v/>
      </c>
      <c r="L417" s="396"/>
      <c r="M417" s="396" t="str">
        <f ca="1">Área!I363</f>
        <v/>
      </c>
      <c r="N417" s="396"/>
      <c r="O417" s="396" t="str">
        <f ca="1">Área!J363</f>
        <v/>
      </c>
      <c r="P417" s="396"/>
      <c r="Q417" s="396" t="str">
        <f ca="1">Área!K363</f>
        <v/>
      </c>
      <c r="R417" s="396"/>
      <c r="S417" s="396" t="str">
        <f ca="1">Área!L363</f>
        <v/>
      </c>
      <c r="T417" s="396"/>
      <c r="U417" s="396" t="str">
        <f ca="1">Área!N363</f>
        <v/>
      </c>
      <c r="V417" s="396"/>
      <c r="W417" s="396" t="str">
        <f ca="1">Área!M363</f>
        <v/>
      </c>
      <c r="X417" s="396"/>
      <c r="Y417" s="89" t="str">
        <f ca="1">Área!O363</f>
        <v/>
      </c>
      <c r="Z417" s="399" t="str">
        <f ca="1">Área!P363</f>
        <v/>
      </c>
      <c r="AA417" s="399"/>
      <c r="AB417" s="399"/>
      <c r="AC417" s="399"/>
      <c r="AD417" s="399" t="str">
        <f ca="1">Área!Q363</f>
        <v/>
      </c>
      <c r="AE417" s="399"/>
      <c r="AF417" s="399"/>
      <c r="AG417" s="399"/>
      <c r="AH417" s="400" t="str">
        <f ca="1">Área!R363</f>
        <v/>
      </c>
      <c r="AI417" s="400"/>
      <c r="AJ417" s="400" t="str">
        <f ca="1">Área!S363</f>
        <v/>
      </c>
      <c r="AK417" s="400"/>
      <c r="AL417" s="400" t="str">
        <f ca="1">Área!T363</f>
        <v/>
      </c>
      <c r="AM417" s="400"/>
      <c r="AN417" s="400" t="str">
        <f ca="1">Área!U363</f>
        <v/>
      </c>
      <c r="AO417" s="400"/>
      <c r="AP417" s="422" t="str">
        <f ca="1">IFERROR(Área!Z363,"")</f>
        <v/>
      </c>
      <c r="AQ417" s="422"/>
      <c r="AR417" s="400" t="str">
        <f ca="1">Área!Y363</f>
        <v/>
      </c>
      <c r="AS417" s="423"/>
      <c r="AT417" s="72"/>
    </row>
    <row r="418" spans="1:46" ht="15" customHeight="1" x14ac:dyDescent="0.25">
      <c r="A418"/>
      <c r="C418" s="397" t="str">
        <f ca="1">Área!C364</f>
        <v/>
      </c>
      <c r="D418" s="398"/>
      <c r="E418" s="398"/>
      <c r="F418" s="398"/>
      <c r="G418" s="396" t="str">
        <f ca="1">Área!F364</f>
        <v/>
      </c>
      <c r="H418" s="396"/>
      <c r="I418" s="398" t="str">
        <f ca="1">Área!G364</f>
        <v/>
      </c>
      <c r="J418" s="398"/>
      <c r="K418" s="396" t="str">
        <f ca="1">Área!H364</f>
        <v/>
      </c>
      <c r="L418" s="396"/>
      <c r="M418" s="396" t="str">
        <f ca="1">Área!I364</f>
        <v/>
      </c>
      <c r="N418" s="396"/>
      <c r="O418" s="396" t="str">
        <f ca="1">Área!J364</f>
        <v/>
      </c>
      <c r="P418" s="396"/>
      <c r="Q418" s="396" t="str">
        <f ca="1">Área!K364</f>
        <v/>
      </c>
      <c r="R418" s="396"/>
      <c r="S418" s="396" t="str">
        <f ca="1">Área!L364</f>
        <v/>
      </c>
      <c r="T418" s="396"/>
      <c r="U418" s="396" t="str">
        <f ca="1">Área!N364</f>
        <v/>
      </c>
      <c r="V418" s="396"/>
      <c r="W418" s="396" t="str">
        <f ca="1">Área!M364</f>
        <v/>
      </c>
      <c r="X418" s="396"/>
      <c r="Y418" s="89" t="str">
        <f ca="1">Área!O364</f>
        <v/>
      </c>
      <c r="Z418" s="399" t="str">
        <f ca="1">Área!P364</f>
        <v/>
      </c>
      <c r="AA418" s="399"/>
      <c r="AB418" s="399"/>
      <c r="AC418" s="399"/>
      <c r="AD418" s="399" t="str">
        <f ca="1">Área!Q364</f>
        <v/>
      </c>
      <c r="AE418" s="399"/>
      <c r="AF418" s="399"/>
      <c r="AG418" s="399"/>
      <c r="AH418" s="400" t="str">
        <f ca="1">Área!R364</f>
        <v/>
      </c>
      <c r="AI418" s="400"/>
      <c r="AJ418" s="400" t="str">
        <f ca="1">Área!S364</f>
        <v/>
      </c>
      <c r="AK418" s="400"/>
      <c r="AL418" s="400" t="str">
        <f ca="1">Área!T364</f>
        <v/>
      </c>
      <c r="AM418" s="400"/>
      <c r="AN418" s="400" t="str">
        <f ca="1">Área!U364</f>
        <v/>
      </c>
      <c r="AO418" s="400"/>
      <c r="AP418" s="422" t="str">
        <f ca="1">IFERROR(Área!Z364,"")</f>
        <v/>
      </c>
      <c r="AQ418" s="422"/>
      <c r="AR418" s="400" t="str">
        <f ca="1">Área!Y364</f>
        <v/>
      </c>
      <c r="AS418" s="423"/>
      <c r="AT418" s="72"/>
    </row>
    <row r="419" spans="1:46" ht="15" customHeight="1" x14ac:dyDescent="0.25">
      <c r="A419"/>
      <c r="C419" s="397" t="str">
        <f ca="1">Área!C365</f>
        <v/>
      </c>
      <c r="D419" s="398"/>
      <c r="E419" s="398"/>
      <c r="F419" s="398"/>
      <c r="G419" s="396" t="str">
        <f ca="1">Área!F365</f>
        <v/>
      </c>
      <c r="H419" s="396"/>
      <c r="I419" s="398" t="str">
        <f ca="1">Área!G365</f>
        <v/>
      </c>
      <c r="J419" s="398"/>
      <c r="K419" s="396" t="str">
        <f ca="1">Área!H365</f>
        <v/>
      </c>
      <c r="L419" s="396"/>
      <c r="M419" s="396" t="str">
        <f ca="1">Área!I365</f>
        <v/>
      </c>
      <c r="N419" s="396"/>
      <c r="O419" s="396" t="str">
        <f ca="1">Área!J365</f>
        <v/>
      </c>
      <c r="P419" s="396"/>
      <c r="Q419" s="396" t="str">
        <f ca="1">Área!K365</f>
        <v/>
      </c>
      <c r="R419" s="396"/>
      <c r="S419" s="396" t="str">
        <f ca="1">Área!L365</f>
        <v/>
      </c>
      <c r="T419" s="396"/>
      <c r="U419" s="396" t="str">
        <f ca="1">Área!N365</f>
        <v/>
      </c>
      <c r="V419" s="396"/>
      <c r="W419" s="396" t="str">
        <f ca="1">Área!M365</f>
        <v/>
      </c>
      <c r="X419" s="396"/>
      <c r="Y419" s="89" t="str">
        <f ca="1">Área!O365</f>
        <v/>
      </c>
      <c r="Z419" s="399" t="str">
        <f ca="1">Área!P365</f>
        <v/>
      </c>
      <c r="AA419" s="399"/>
      <c r="AB419" s="399"/>
      <c r="AC419" s="399"/>
      <c r="AD419" s="399" t="str">
        <f ca="1">Área!Q365</f>
        <v/>
      </c>
      <c r="AE419" s="399"/>
      <c r="AF419" s="399"/>
      <c r="AG419" s="399"/>
      <c r="AH419" s="400" t="str">
        <f ca="1">Área!R365</f>
        <v/>
      </c>
      <c r="AI419" s="400"/>
      <c r="AJ419" s="400" t="str">
        <f ca="1">Área!S365</f>
        <v/>
      </c>
      <c r="AK419" s="400"/>
      <c r="AL419" s="400" t="str">
        <f ca="1">Área!T365</f>
        <v/>
      </c>
      <c r="AM419" s="400"/>
      <c r="AN419" s="400" t="str">
        <f ca="1">Área!U365</f>
        <v/>
      </c>
      <c r="AO419" s="400"/>
      <c r="AP419" s="422" t="str">
        <f ca="1">IFERROR(Área!Z365,"")</f>
        <v/>
      </c>
      <c r="AQ419" s="422"/>
      <c r="AR419" s="400" t="str">
        <f ca="1">Área!Y365</f>
        <v/>
      </c>
      <c r="AS419" s="423"/>
      <c r="AT419" s="72"/>
    </row>
    <row r="420" spans="1:46" ht="15" customHeight="1" x14ac:dyDescent="0.25">
      <c r="A420"/>
      <c r="C420" s="397" t="str">
        <f ca="1">Área!C366</f>
        <v/>
      </c>
      <c r="D420" s="398"/>
      <c r="E420" s="398"/>
      <c r="F420" s="398"/>
      <c r="G420" s="396" t="str">
        <f ca="1">Área!F366</f>
        <v/>
      </c>
      <c r="H420" s="396"/>
      <c r="I420" s="398" t="str">
        <f ca="1">Área!G366</f>
        <v/>
      </c>
      <c r="J420" s="398"/>
      <c r="K420" s="396" t="str">
        <f ca="1">Área!H366</f>
        <v/>
      </c>
      <c r="L420" s="396"/>
      <c r="M420" s="396" t="str">
        <f ca="1">Área!I366</f>
        <v/>
      </c>
      <c r="N420" s="396"/>
      <c r="O420" s="396" t="str">
        <f ca="1">Área!J366</f>
        <v/>
      </c>
      <c r="P420" s="396"/>
      <c r="Q420" s="396" t="str">
        <f ca="1">Área!K366</f>
        <v/>
      </c>
      <c r="R420" s="396"/>
      <c r="S420" s="396" t="str">
        <f ca="1">Área!L366</f>
        <v/>
      </c>
      <c r="T420" s="396"/>
      <c r="U420" s="396" t="str">
        <f ca="1">Área!N366</f>
        <v/>
      </c>
      <c r="V420" s="396"/>
      <c r="W420" s="396" t="str">
        <f ca="1">Área!M366</f>
        <v/>
      </c>
      <c r="X420" s="396"/>
      <c r="Y420" s="89" t="str">
        <f ca="1">Área!O366</f>
        <v/>
      </c>
      <c r="Z420" s="399" t="str">
        <f ca="1">Área!P366</f>
        <v/>
      </c>
      <c r="AA420" s="399"/>
      <c r="AB420" s="399"/>
      <c r="AC420" s="399"/>
      <c r="AD420" s="399" t="str">
        <f ca="1">Área!Q366</f>
        <v/>
      </c>
      <c r="AE420" s="399"/>
      <c r="AF420" s="399"/>
      <c r="AG420" s="399"/>
      <c r="AH420" s="400" t="str">
        <f ca="1">Área!R366</f>
        <v/>
      </c>
      <c r="AI420" s="400"/>
      <c r="AJ420" s="400" t="str">
        <f ca="1">Área!S366</f>
        <v/>
      </c>
      <c r="AK420" s="400"/>
      <c r="AL420" s="400" t="str">
        <f ca="1">Área!T366</f>
        <v/>
      </c>
      <c r="AM420" s="400"/>
      <c r="AN420" s="400" t="str">
        <f ca="1">Área!U366</f>
        <v/>
      </c>
      <c r="AO420" s="400"/>
      <c r="AP420" s="422" t="str">
        <f ca="1">IFERROR(Área!Z366,"")</f>
        <v/>
      </c>
      <c r="AQ420" s="422"/>
      <c r="AR420" s="400" t="str">
        <f ca="1">Área!Y366</f>
        <v/>
      </c>
      <c r="AS420" s="423"/>
      <c r="AT420" s="72"/>
    </row>
    <row r="421" spans="1:46" ht="15" customHeight="1" x14ac:dyDescent="0.25">
      <c r="A421"/>
      <c r="C421" s="397" t="str">
        <f ca="1">Área!C367</f>
        <v/>
      </c>
      <c r="D421" s="398"/>
      <c r="E421" s="398"/>
      <c r="F421" s="398"/>
      <c r="G421" s="396" t="str">
        <f ca="1">Área!F367</f>
        <v/>
      </c>
      <c r="H421" s="396"/>
      <c r="I421" s="398" t="str">
        <f ca="1">Área!G367</f>
        <v/>
      </c>
      <c r="J421" s="398"/>
      <c r="K421" s="396" t="str">
        <f ca="1">Área!H367</f>
        <v/>
      </c>
      <c r="L421" s="396"/>
      <c r="M421" s="396" t="str">
        <f ca="1">Área!I367</f>
        <v/>
      </c>
      <c r="N421" s="396"/>
      <c r="O421" s="396" t="str">
        <f ca="1">Área!J367</f>
        <v/>
      </c>
      <c r="P421" s="396"/>
      <c r="Q421" s="396" t="str">
        <f ca="1">Área!K367</f>
        <v/>
      </c>
      <c r="R421" s="396"/>
      <c r="S421" s="396" t="str">
        <f ca="1">Área!L367</f>
        <v/>
      </c>
      <c r="T421" s="396"/>
      <c r="U421" s="396" t="str">
        <f ca="1">Área!N367</f>
        <v/>
      </c>
      <c r="V421" s="396"/>
      <c r="W421" s="396" t="str">
        <f ca="1">Área!M367</f>
        <v/>
      </c>
      <c r="X421" s="396"/>
      <c r="Y421" s="89" t="str">
        <f ca="1">Área!O367</f>
        <v/>
      </c>
      <c r="Z421" s="399" t="str">
        <f ca="1">Área!P367</f>
        <v/>
      </c>
      <c r="AA421" s="399"/>
      <c r="AB421" s="399"/>
      <c r="AC421" s="399"/>
      <c r="AD421" s="399" t="str">
        <f ca="1">Área!Q367</f>
        <v/>
      </c>
      <c r="AE421" s="399"/>
      <c r="AF421" s="399"/>
      <c r="AG421" s="399"/>
      <c r="AH421" s="400" t="str">
        <f ca="1">Área!R367</f>
        <v/>
      </c>
      <c r="AI421" s="400"/>
      <c r="AJ421" s="400" t="str">
        <f ca="1">Área!S367</f>
        <v/>
      </c>
      <c r="AK421" s="400"/>
      <c r="AL421" s="400" t="str">
        <f ca="1">Área!T367</f>
        <v/>
      </c>
      <c r="AM421" s="400"/>
      <c r="AN421" s="400" t="str">
        <f ca="1">Área!U367</f>
        <v/>
      </c>
      <c r="AO421" s="400"/>
      <c r="AP421" s="422" t="str">
        <f ca="1">IFERROR(Área!Z367,"")</f>
        <v/>
      </c>
      <c r="AQ421" s="422"/>
      <c r="AR421" s="400" t="str">
        <f ca="1">Área!Y367</f>
        <v/>
      </c>
      <c r="AS421" s="423"/>
      <c r="AT421" s="72"/>
    </row>
    <row r="422" spans="1:46" ht="15" customHeight="1" x14ac:dyDescent="0.25">
      <c r="A422"/>
      <c r="C422" s="397" t="str">
        <f ca="1">Área!C368</f>
        <v/>
      </c>
      <c r="D422" s="398"/>
      <c r="E422" s="398"/>
      <c r="F422" s="398"/>
      <c r="G422" s="396" t="str">
        <f ca="1">Área!F368</f>
        <v/>
      </c>
      <c r="H422" s="396"/>
      <c r="I422" s="398" t="str">
        <f ca="1">Área!G368</f>
        <v/>
      </c>
      <c r="J422" s="398"/>
      <c r="K422" s="396" t="str">
        <f ca="1">Área!H368</f>
        <v/>
      </c>
      <c r="L422" s="396"/>
      <c r="M422" s="396" t="str">
        <f ca="1">Área!I368</f>
        <v/>
      </c>
      <c r="N422" s="396"/>
      <c r="O422" s="396" t="str">
        <f ca="1">Área!J368</f>
        <v/>
      </c>
      <c r="P422" s="396"/>
      <c r="Q422" s="396" t="str">
        <f ca="1">Área!K368</f>
        <v/>
      </c>
      <c r="R422" s="396"/>
      <c r="S422" s="396" t="str">
        <f ca="1">Área!L368</f>
        <v/>
      </c>
      <c r="T422" s="396"/>
      <c r="U422" s="396" t="str">
        <f ca="1">Área!N368</f>
        <v/>
      </c>
      <c r="V422" s="396"/>
      <c r="W422" s="396" t="str">
        <f ca="1">Área!M368</f>
        <v/>
      </c>
      <c r="X422" s="396"/>
      <c r="Y422" s="89" t="str">
        <f ca="1">Área!O368</f>
        <v/>
      </c>
      <c r="Z422" s="399" t="str">
        <f ca="1">Área!P368</f>
        <v/>
      </c>
      <c r="AA422" s="399"/>
      <c r="AB422" s="399"/>
      <c r="AC422" s="399"/>
      <c r="AD422" s="399" t="str">
        <f ca="1">Área!Q368</f>
        <v/>
      </c>
      <c r="AE422" s="399"/>
      <c r="AF422" s="399"/>
      <c r="AG422" s="399"/>
      <c r="AH422" s="400" t="str">
        <f ca="1">Área!R368</f>
        <v/>
      </c>
      <c r="AI422" s="400"/>
      <c r="AJ422" s="400" t="str">
        <f ca="1">Área!S368</f>
        <v/>
      </c>
      <c r="AK422" s="400"/>
      <c r="AL422" s="400" t="str">
        <f ca="1">Área!T368</f>
        <v/>
      </c>
      <c r="AM422" s="400"/>
      <c r="AN422" s="400" t="str">
        <f ca="1">Área!U368</f>
        <v/>
      </c>
      <c r="AO422" s="400"/>
      <c r="AP422" s="422" t="str">
        <f ca="1">IFERROR(Área!Z368,"")</f>
        <v/>
      </c>
      <c r="AQ422" s="422"/>
      <c r="AR422" s="400" t="str">
        <f ca="1">Área!Y368</f>
        <v/>
      </c>
      <c r="AS422" s="423"/>
      <c r="AT422" s="72"/>
    </row>
    <row r="423" spans="1:46" ht="15" customHeight="1" x14ac:dyDescent="0.25">
      <c r="A423"/>
      <c r="C423" s="397" t="str">
        <f ca="1">Área!C369</f>
        <v/>
      </c>
      <c r="D423" s="398"/>
      <c r="E423" s="398"/>
      <c r="F423" s="398"/>
      <c r="G423" s="396" t="str">
        <f ca="1">Área!F369</f>
        <v/>
      </c>
      <c r="H423" s="396"/>
      <c r="I423" s="398" t="str">
        <f ca="1">Área!G369</f>
        <v/>
      </c>
      <c r="J423" s="398"/>
      <c r="K423" s="396" t="str">
        <f ca="1">Área!H369</f>
        <v/>
      </c>
      <c r="L423" s="396"/>
      <c r="M423" s="396" t="str">
        <f ca="1">Área!I369</f>
        <v/>
      </c>
      <c r="N423" s="396"/>
      <c r="O423" s="396" t="str">
        <f ca="1">Área!J369</f>
        <v/>
      </c>
      <c r="P423" s="396"/>
      <c r="Q423" s="396" t="str">
        <f ca="1">Área!K369</f>
        <v/>
      </c>
      <c r="R423" s="396"/>
      <c r="S423" s="396" t="str">
        <f ca="1">Área!L369</f>
        <v/>
      </c>
      <c r="T423" s="396"/>
      <c r="U423" s="396" t="str">
        <f ca="1">Área!N369</f>
        <v/>
      </c>
      <c r="V423" s="396"/>
      <c r="W423" s="396" t="str">
        <f ca="1">Área!M369</f>
        <v/>
      </c>
      <c r="X423" s="396"/>
      <c r="Y423" s="89" t="str">
        <f ca="1">Área!O369</f>
        <v/>
      </c>
      <c r="Z423" s="399" t="str">
        <f ca="1">Área!P369</f>
        <v/>
      </c>
      <c r="AA423" s="399"/>
      <c r="AB423" s="399"/>
      <c r="AC423" s="399"/>
      <c r="AD423" s="399" t="str">
        <f ca="1">Área!Q369</f>
        <v/>
      </c>
      <c r="AE423" s="399"/>
      <c r="AF423" s="399"/>
      <c r="AG423" s="399"/>
      <c r="AH423" s="400" t="str">
        <f ca="1">Área!R369</f>
        <v/>
      </c>
      <c r="AI423" s="400"/>
      <c r="AJ423" s="400" t="str">
        <f ca="1">Área!S369</f>
        <v/>
      </c>
      <c r="AK423" s="400"/>
      <c r="AL423" s="400" t="str">
        <f ca="1">Área!T369</f>
        <v/>
      </c>
      <c r="AM423" s="400"/>
      <c r="AN423" s="400" t="str">
        <f ca="1">Área!U369</f>
        <v/>
      </c>
      <c r="AO423" s="400"/>
      <c r="AP423" s="422" t="str">
        <f ca="1">IFERROR(Área!Z369,"")</f>
        <v/>
      </c>
      <c r="AQ423" s="422"/>
      <c r="AR423" s="400" t="str">
        <f ca="1">Área!Y369</f>
        <v/>
      </c>
      <c r="AS423" s="423"/>
      <c r="AT423" s="72"/>
    </row>
    <row r="424" spans="1:46" ht="15" customHeight="1" x14ac:dyDescent="0.25">
      <c r="A424"/>
      <c r="C424" s="397" t="str">
        <f ca="1">Área!C370</f>
        <v/>
      </c>
      <c r="D424" s="398"/>
      <c r="E424" s="398"/>
      <c r="F424" s="398"/>
      <c r="G424" s="396" t="str">
        <f ca="1">Área!F370</f>
        <v/>
      </c>
      <c r="H424" s="396"/>
      <c r="I424" s="398" t="str">
        <f ca="1">Área!G370</f>
        <v/>
      </c>
      <c r="J424" s="398"/>
      <c r="K424" s="396" t="str">
        <f ca="1">Área!H370</f>
        <v/>
      </c>
      <c r="L424" s="396"/>
      <c r="M424" s="396" t="str">
        <f ca="1">Área!I370</f>
        <v/>
      </c>
      <c r="N424" s="396"/>
      <c r="O424" s="396" t="str">
        <f ca="1">Área!J370</f>
        <v/>
      </c>
      <c r="P424" s="396"/>
      <c r="Q424" s="396" t="str">
        <f ca="1">Área!K370</f>
        <v/>
      </c>
      <c r="R424" s="396"/>
      <c r="S424" s="396" t="str">
        <f ca="1">Área!L370</f>
        <v/>
      </c>
      <c r="T424" s="396"/>
      <c r="U424" s="396" t="str">
        <f ca="1">Área!N370</f>
        <v/>
      </c>
      <c r="V424" s="396"/>
      <c r="W424" s="396" t="str">
        <f ca="1">Área!M370</f>
        <v/>
      </c>
      <c r="X424" s="396"/>
      <c r="Y424" s="89" t="str">
        <f ca="1">Área!O370</f>
        <v/>
      </c>
      <c r="Z424" s="399" t="str">
        <f ca="1">Área!P370</f>
        <v/>
      </c>
      <c r="AA424" s="399"/>
      <c r="AB424" s="399"/>
      <c r="AC424" s="399"/>
      <c r="AD424" s="399" t="str">
        <f ca="1">Área!Q370</f>
        <v/>
      </c>
      <c r="AE424" s="399"/>
      <c r="AF424" s="399"/>
      <c r="AG424" s="399"/>
      <c r="AH424" s="400" t="str">
        <f ca="1">Área!R370</f>
        <v/>
      </c>
      <c r="AI424" s="400"/>
      <c r="AJ424" s="400" t="str">
        <f ca="1">Área!S370</f>
        <v/>
      </c>
      <c r="AK424" s="400"/>
      <c r="AL424" s="400" t="str">
        <f ca="1">Área!T370</f>
        <v/>
      </c>
      <c r="AM424" s="400"/>
      <c r="AN424" s="400" t="str">
        <f ca="1">Área!U370</f>
        <v/>
      </c>
      <c r="AO424" s="400"/>
      <c r="AP424" s="422" t="str">
        <f ca="1">IFERROR(Área!Z370,"")</f>
        <v/>
      </c>
      <c r="AQ424" s="422"/>
      <c r="AR424" s="400" t="str">
        <f ca="1">Área!Y370</f>
        <v/>
      </c>
      <c r="AS424" s="423"/>
      <c r="AT424" s="72"/>
    </row>
    <row r="425" spans="1:46" ht="15" customHeight="1" x14ac:dyDescent="0.25">
      <c r="A425"/>
      <c r="C425" s="397" t="str">
        <f ca="1">Área!C371</f>
        <v/>
      </c>
      <c r="D425" s="398"/>
      <c r="E425" s="398"/>
      <c r="F425" s="398"/>
      <c r="G425" s="396" t="str">
        <f ca="1">Área!F371</f>
        <v/>
      </c>
      <c r="H425" s="396"/>
      <c r="I425" s="398" t="str">
        <f ca="1">Área!G371</f>
        <v/>
      </c>
      <c r="J425" s="398"/>
      <c r="K425" s="396" t="str">
        <f ca="1">Área!H371</f>
        <v/>
      </c>
      <c r="L425" s="396"/>
      <c r="M425" s="396" t="str">
        <f ca="1">Área!I371</f>
        <v/>
      </c>
      <c r="N425" s="396"/>
      <c r="O425" s="396" t="str">
        <f ca="1">Área!J371</f>
        <v/>
      </c>
      <c r="P425" s="396"/>
      <c r="Q425" s="396" t="str">
        <f ca="1">Área!K371</f>
        <v/>
      </c>
      <c r="R425" s="396"/>
      <c r="S425" s="396" t="str">
        <f ca="1">Área!L371</f>
        <v/>
      </c>
      <c r="T425" s="396"/>
      <c r="U425" s="396" t="str">
        <f ca="1">Área!N371</f>
        <v/>
      </c>
      <c r="V425" s="396"/>
      <c r="W425" s="396" t="str">
        <f ca="1">Área!M371</f>
        <v/>
      </c>
      <c r="X425" s="396"/>
      <c r="Y425" s="89" t="str">
        <f ca="1">Área!O371</f>
        <v/>
      </c>
      <c r="Z425" s="399" t="str">
        <f ca="1">Área!P371</f>
        <v/>
      </c>
      <c r="AA425" s="399"/>
      <c r="AB425" s="399"/>
      <c r="AC425" s="399"/>
      <c r="AD425" s="399" t="str">
        <f ca="1">Área!Q371</f>
        <v/>
      </c>
      <c r="AE425" s="399"/>
      <c r="AF425" s="399"/>
      <c r="AG425" s="399"/>
      <c r="AH425" s="400" t="str">
        <f ca="1">Área!R371</f>
        <v/>
      </c>
      <c r="AI425" s="400"/>
      <c r="AJ425" s="400" t="str">
        <f ca="1">Área!S371</f>
        <v/>
      </c>
      <c r="AK425" s="400"/>
      <c r="AL425" s="400" t="str">
        <f ca="1">Área!T371</f>
        <v/>
      </c>
      <c r="AM425" s="400"/>
      <c r="AN425" s="400" t="str">
        <f ca="1">Área!U371</f>
        <v/>
      </c>
      <c r="AO425" s="400"/>
      <c r="AP425" s="422" t="str">
        <f ca="1">IFERROR(Área!Z371,"")</f>
        <v/>
      </c>
      <c r="AQ425" s="422"/>
      <c r="AR425" s="400" t="str">
        <f ca="1">Área!Y371</f>
        <v/>
      </c>
      <c r="AS425" s="423"/>
      <c r="AT425" s="72"/>
    </row>
    <row r="426" spans="1:46" ht="15" customHeight="1" x14ac:dyDescent="0.25">
      <c r="A426"/>
      <c r="C426" s="397" t="str">
        <f ca="1">Área!C372</f>
        <v/>
      </c>
      <c r="D426" s="398"/>
      <c r="E426" s="398"/>
      <c r="F426" s="398"/>
      <c r="G426" s="396" t="str">
        <f ca="1">Área!F372</f>
        <v/>
      </c>
      <c r="H426" s="396"/>
      <c r="I426" s="398" t="str">
        <f ca="1">Área!G372</f>
        <v/>
      </c>
      <c r="J426" s="398"/>
      <c r="K426" s="396" t="str">
        <f ca="1">Área!H372</f>
        <v/>
      </c>
      <c r="L426" s="396"/>
      <c r="M426" s="396" t="str">
        <f ca="1">Área!I372</f>
        <v/>
      </c>
      <c r="N426" s="396"/>
      <c r="O426" s="396" t="str">
        <f ca="1">Área!J372</f>
        <v/>
      </c>
      <c r="P426" s="396"/>
      <c r="Q426" s="396" t="str">
        <f ca="1">Área!K372</f>
        <v/>
      </c>
      <c r="R426" s="396"/>
      <c r="S426" s="396" t="str">
        <f ca="1">Área!L372</f>
        <v/>
      </c>
      <c r="T426" s="396"/>
      <c r="U426" s="396" t="str">
        <f ca="1">Área!N372</f>
        <v/>
      </c>
      <c r="V426" s="396"/>
      <c r="W426" s="396" t="str">
        <f ca="1">Área!M372</f>
        <v/>
      </c>
      <c r="X426" s="396"/>
      <c r="Y426" s="89" t="str">
        <f ca="1">Área!O372</f>
        <v/>
      </c>
      <c r="Z426" s="399" t="str">
        <f ca="1">Área!P372</f>
        <v/>
      </c>
      <c r="AA426" s="399"/>
      <c r="AB426" s="399"/>
      <c r="AC426" s="399"/>
      <c r="AD426" s="399" t="str">
        <f ca="1">Área!Q372</f>
        <v/>
      </c>
      <c r="AE426" s="399"/>
      <c r="AF426" s="399"/>
      <c r="AG426" s="399"/>
      <c r="AH426" s="400" t="str">
        <f ca="1">Área!R372</f>
        <v/>
      </c>
      <c r="AI426" s="400"/>
      <c r="AJ426" s="400" t="str">
        <f ca="1">Área!S372</f>
        <v/>
      </c>
      <c r="AK426" s="400"/>
      <c r="AL426" s="400" t="str">
        <f ca="1">Área!T372</f>
        <v/>
      </c>
      <c r="AM426" s="400"/>
      <c r="AN426" s="400" t="str">
        <f ca="1">Área!U372</f>
        <v/>
      </c>
      <c r="AO426" s="400"/>
      <c r="AP426" s="422" t="str">
        <f ca="1">IFERROR(Área!Z372,"")</f>
        <v/>
      </c>
      <c r="AQ426" s="422"/>
      <c r="AR426" s="400" t="str">
        <f ca="1">Área!Y372</f>
        <v/>
      </c>
      <c r="AS426" s="423"/>
      <c r="AT426" s="72"/>
    </row>
    <row r="427" spans="1:46" ht="15" customHeight="1" x14ac:dyDescent="0.25">
      <c r="A427"/>
      <c r="C427" s="397" t="str">
        <f ca="1">Área!C373</f>
        <v/>
      </c>
      <c r="D427" s="398"/>
      <c r="E427" s="398"/>
      <c r="F427" s="398"/>
      <c r="G427" s="396" t="str">
        <f ca="1">Área!F373</f>
        <v/>
      </c>
      <c r="H427" s="396"/>
      <c r="I427" s="398" t="str">
        <f ca="1">Área!G373</f>
        <v/>
      </c>
      <c r="J427" s="398"/>
      <c r="K427" s="396" t="str">
        <f ca="1">Área!H373</f>
        <v/>
      </c>
      <c r="L427" s="396"/>
      <c r="M427" s="396" t="str">
        <f ca="1">Área!I373</f>
        <v/>
      </c>
      <c r="N427" s="396"/>
      <c r="O427" s="396" t="str">
        <f ca="1">Área!J373</f>
        <v/>
      </c>
      <c r="P427" s="396"/>
      <c r="Q427" s="396" t="str">
        <f ca="1">Área!K373</f>
        <v/>
      </c>
      <c r="R427" s="396"/>
      <c r="S427" s="396" t="str">
        <f ca="1">Área!L373</f>
        <v/>
      </c>
      <c r="T427" s="396"/>
      <c r="U427" s="396" t="str">
        <f ca="1">Área!N373</f>
        <v/>
      </c>
      <c r="V427" s="396"/>
      <c r="W427" s="396" t="str">
        <f ca="1">Área!M373</f>
        <v/>
      </c>
      <c r="X427" s="396"/>
      <c r="Y427" s="89" t="str">
        <f ca="1">Área!O373</f>
        <v/>
      </c>
      <c r="Z427" s="399" t="str">
        <f ca="1">Área!P373</f>
        <v/>
      </c>
      <c r="AA427" s="399"/>
      <c r="AB427" s="399"/>
      <c r="AC427" s="399"/>
      <c r="AD427" s="399" t="str">
        <f ca="1">Área!Q373</f>
        <v/>
      </c>
      <c r="AE427" s="399"/>
      <c r="AF427" s="399"/>
      <c r="AG427" s="399"/>
      <c r="AH427" s="400" t="str">
        <f ca="1">Área!R373</f>
        <v/>
      </c>
      <c r="AI427" s="400"/>
      <c r="AJ427" s="400" t="str">
        <f ca="1">Área!S373</f>
        <v/>
      </c>
      <c r="AK427" s="400"/>
      <c r="AL427" s="400" t="str">
        <f ca="1">Área!T373</f>
        <v/>
      </c>
      <c r="AM427" s="400"/>
      <c r="AN427" s="400" t="str">
        <f ca="1">Área!U373</f>
        <v/>
      </c>
      <c r="AO427" s="400"/>
      <c r="AP427" s="422" t="str">
        <f ca="1">IFERROR(Área!Z373,"")</f>
        <v/>
      </c>
      <c r="AQ427" s="422"/>
      <c r="AR427" s="400" t="str">
        <f ca="1">Área!Y373</f>
        <v/>
      </c>
      <c r="AS427" s="423"/>
      <c r="AT427" s="72"/>
    </row>
    <row r="428" spans="1:46" ht="15" customHeight="1" x14ac:dyDescent="0.25">
      <c r="A428"/>
      <c r="C428" s="397" t="str">
        <f ca="1">Área!C374</f>
        <v/>
      </c>
      <c r="D428" s="398"/>
      <c r="E428" s="398"/>
      <c r="F428" s="398"/>
      <c r="G428" s="396" t="str">
        <f ca="1">Área!F374</f>
        <v/>
      </c>
      <c r="H428" s="396"/>
      <c r="I428" s="398" t="str">
        <f ca="1">Área!G374</f>
        <v/>
      </c>
      <c r="J428" s="398"/>
      <c r="K428" s="396" t="str">
        <f ca="1">Área!H374</f>
        <v/>
      </c>
      <c r="L428" s="396"/>
      <c r="M428" s="396" t="str">
        <f ca="1">Área!I374</f>
        <v/>
      </c>
      <c r="N428" s="396"/>
      <c r="O428" s="396" t="str">
        <f ca="1">Área!J374</f>
        <v/>
      </c>
      <c r="P428" s="396"/>
      <c r="Q428" s="396" t="str">
        <f ca="1">Área!K374</f>
        <v/>
      </c>
      <c r="R428" s="396"/>
      <c r="S428" s="396" t="str">
        <f ca="1">Área!L374</f>
        <v/>
      </c>
      <c r="T428" s="396"/>
      <c r="U428" s="396" t="str">
        <f ca="1">Área!N374</f>
        <v/>
      </c>
      <c r="V428" s="396"/>
      <c r="W428" s="396" t="str">
        <f ca="1">Área!M374</f>
        <v/>
      </c>
      <c r="X428" s="396"/>
      <c r="Y428" s="89" t="str">
        <f ca="1">Área!O374</f>
        <v/>
      </c>
      <c r="Z428" s="399" t="str">
        <f ca="1">Área!P374</f>
        <v/>
      </c>
      <c r="AA428" s="399"/>
      <c r="AB428" s="399"/>
      <c r="AC428" s="399"/>
      <c r="AD428" s="399" t="str">
        <f ca="1">Área!Q374</f>
        <v/>
      </c>
      <c r="AE428" s="399"/>
      <c r="AF428" s="399"/>
      <c r="AG428" s="399"/>
      <c r="AH428" s="400" t="str">
        <f ca="1">Área!R374</f>
        <v/>
      </c>
      <c r="AI428" s="400"/>
      <c r="AJ428" s="400" t="str">
        <f ca="1">Área!S374</f>
        <v/>
      </c>
      <c r="AK428" s="400"/>
      <c r="AL428" s="400" t="str">
        <f ca="1">Área!T374</f>
        <v/>
      </c>
      <c r="AM428" s="400"/>
      <c r="AN428" s="400" t="str">
        <f ca="1">Área!U374</f>
        <v/>
      </c>
      <c r="AO428" s="400"/>
      <c r="AP428" s="422" t="str">
        <f ca="1">IFERROR(Área!Z374,"")</f>
        <v/>
      </c>
      <c r="AQ428" s="422"/>
      <c r="AR428" s="400" t="str">
        <f ca="1">Área!Y374</f>
        <v/>
      </c>
      <c r="AS428" s="423"/>
      <c r="AT428" s="72"/>
    </row>
    <row r="429" spans="1:46" ht="15" customHeight="1" x14ac:dyDescent="0.25">
      <c r="A429"/>
      <c r="C429" s="397" t="str">
        <f ca="1">Área!C375</f>
        <v/>
      </c>
      <c r="D429" s="398"/>
      <c r="E429" s="398"/>
      <c r="F429" s="398"/>
      <c r="G429" s="396" t="str">
        <f ca="1">Área!F375</f>
        <v/>
      </c>
      <c r="H429" s="396"/>
      <c r="I429" s="398" t="str">
        <f ca="1">Área!G375</f>
        <v/>
      </c>
      <c r="J429" s="398"/>
      <c r="K429" s="396" t="str">
        <f ca="1">Área!H375</f>
        <v/>
      </c>
      <c r="L429" s="396"/>
      <c r="M429" s="396" t="str">
        <f ca="1">Área!I375</f>
        <v/>
      </c>
      <c r="N429" s="396"/>
      <c r="O429" s="396" t="str">
        <f ca="1">Área!J375</f>
        <v/>
      </c>
      <c r="P429" s="396"/>
      <c r="Q429" s="396" t="str">
        <f ca="1">Área!K375</f>
        <v/>
      </c>
      <c r="R429" s="396"/>
      <c r="S429" s="396" t="str">
        <f ca="1">Área!L375</f>
        <v/>
      </c>
      <c r="T429" s="396"/>
      <c r="U429" s="396" t="str">
        <f ca="1">Área!N375</f>
        <v/>
      </c>
      <c r="V429" s="396"/>
      <c r="W429" s="396" t="str">
        <f ca="1">Área!M375</f>
        <v/>
      </c>
      <c r="X429" s="396"/>
      <c r="Y429" s="89" t="str">
        <f ca="1">Área!O375</f>
        <v/>
      </c>
      <c r="Z429" s="399" t="str">
        <f ca="1">Área!P375</f>
        <v/>
      </c>
      <c r="AA429" s="399"/>
      <c r="AB429" s="399"/>
      <c r="AC429" s="399"/>
      <c r="AD429" s="399" t="str">
        <f ca="1">Área!Q375</f>
        <v/>
      </c>
      <c r="AE429" s="399"/>
      <c r="AF429" s="399"/>
      <c r="AG429" s="399"/>
      <c r="AH429" s="400" t="str">
        <f ca="1">Área!R375</f>
        <v/>
      </c>
      <c r="AI429" s="400"/>
      <c r="AJ429" s="400" t="str">
        <f ca="1">Área!S375</f>
        <v/>
      </c>
      <c r="AK429" s="400"/>
      <c r="AL429" s="400" t="str">
        <f ca="1">Área!T375</f>
        <v/>
      </c>
      <c r="AM429" s="400"/>
      <c r="AN429" s="400" t="str">
        <f ca="1">Área!U375</f>
        <v/>
      </c>
      <c r="AO429" s="400"/>
      <c r="AP429" s="422" t="str">
        <f ca="1">IFERROR(Área!Z375,"")</f>
        <v/>
      </c>
      <c r="AQ429" s="422"/>
      <c r="AR429" s="400" t="str">
        <f ca="1">Área!Y375</f>
        <v/>
      </c>
      <c r="AS429" s="423"/>
      <c r="AT429" s="72"/>
    </row>
    <row r="430" spans="1:46" ht="15" customHeight="1" x14ac:dyDescent="0.25">
      <c r="A430"/>
      <c r="C430" s="397" t="str">
        <f ca="1">Área!C376</f>
        <v/>
      </c>
      <c r="D430" s="398"/>
      <c r="E430" s="398"/>
      <c r="F430" s="398"/>
      <c r="G430" s="396" t="str">
        <f ca="1">Área!F376</f>
        <v/>
      </c>
      <c r="H430" s="396"/>
      <c r="I430" s="398" t="str">
        <f ca="1">Área!G376</f>
        <v/>
      </c>
      <c r="J430" s="398"/>
      <c r="K430" s="396" t="str">
        <f ca="1">Área!H376</f>
        <v/>
      </c>
      <c r="L430" s="396"/>
      <c r="M430" s="396" t="str">
        <f ca="1">Área!I376</f>
        <v/>
      </c>
      <c r="N430" s="396"/>
      <c r="O430" s="396" t="str">
        <f ca="1">Área!J376</f>
        <v/>
      </c>
      <c r="P430" s="396"/>
      <c r="Q430" s="396" t="str">
        <f ca="1">Área!K376</f>
        <v/>
      </c>
      <c r="R430" s="396"/>
      <c r="S430" s="396" t="str">
        <f ca="1">Área!L376</f>
        <v/>
      </c>
      <c r="T430" s="396"/>
      <c r="U430" s="396" t="str">
        <f ca="1">Área!N376</f>
        <v/>
      </c>
      <c r="V430" s="396"/>
      <c r="W430" s="396" t="str">
        <f ca="1">Área!M376</f>
        <v/>
      </c>
      <c r="X430" s="396"/>
      <c r="Y430" s="89" t="str">
        <f ca="1">Área!O376</f>
        <v/>
      </c>
      <c r="Z430" s="399" t="str">
        <f ca="1">Área!P376</f>
        <v/>
      </c>
      <c r="AA430" s="399"/>
      <c r="AB430" s="399"/>
      <c r="AC430" s="399"/>
      <c r="AD430" s="399" t="str">
        <f ca="1">Área!Q376</f>
        <v/>
      </c>
      <c r="AE430" s="399"/>
      <c r="AF430" s="399"/>
      <c r="AG430" s="399"/>
      <c r="AH430" s="400" t="str">
        <f ca="1">Área!R376</f>
        <v/>
      </c>
      <c r="AI430" s="400"/>
      <c r="AJ430" s="400" t="str">
        <f ca="1">Área!S376</f>
        <v/>
      </c>
      <c r="AK430" s="400"/>
      <c r="AL430" s="400" t="str">
        <f ca="1">Área!T376</f>
        <v/>
      </c>
      <c r="AM430" s="400"/>
      <c r="AN430" s="400" t="str">
        <f ca="1">Área!U376</f>
        <v/>
      </c>
      <c r="AO430" s="400"/>
      <c r="AP430" s="422" t="str">
        <f ca="1">IFERROR(Área!Z376,"")</f>
        <v/>
      </c>
      <c r="AQ430" s="422"/>
      <c r="AR430" s="400" t="str">
        <f ca="1">Área!Y376</f>
        <v/>
      </c>
      <c r="AS430" s="423"/>
      <c r="AT430" s="72"/>
    </row>
    <row r="431" spans="1:46" ht="15" customHeight="1" x14ac:dyDescent="0.25">
      <c r="A431"/>
      <c r="C431" s="397" t="str">
        <f ca="1">Área!C377</f>
        <v/>
      </c>
      <c r="D431" s="398"/>
      <c r="E431" s="398"/>
      <c r="F431" s="398"/>
      <c r="G431" s="396" t="str">
        <f ca="1">Área!F377</f>
        <v/>
      </c>
      <c r="H431" s="396"/>
      <c r="I431" s="398" t="str">
        <f ca="1">Área!G377</f>
        <v/>
      </c>
      <c r="J431" s="398"/>
      <c r="K431" s="396" t="str">
        <f ca="1">Área!H377</f>
        <v/>
      </c>
      <c r="L431" s="396"/>
      <c r="M431" s="396" t="str">
        <f ca="1">Área!I377</f>
        <v/>
      </c>
      <c r="N431" s="396"/>
      <c r="O431" s="396" t="str">
        <f ca="1">Área!J377</f>
        <v/>
      </c>
      <c r="P431" s="396"/>
      <c r="Q431" s="396" t="str">
        <f ca="1">Área!K377</f>
        <v/>
      </c>
      <c r="R431" s="396"/>
      <c r="S431" s="396" t="str">
        <f ca="1">Área!L377</f>
        <v/>
      </c>
      <c r="T431" s="396"/>
      <c r="U431" s="396" t="str">
        <f ca="1">Área!N377</f>
        <v/>
      </c>
      <c r="V431" s="396"/>
      <c r="W431" s="396" t="str">
        <f ca="1">Área!M377</f>
        <v/>
      </c>
      <c r="X431" s="396"/>
      <c r="Y431" s="89" t="str">
        <f ca="1">Área!O377</f>
        <v/>
      </c>
      <c r="Z431" s="399" t="str">
        <f ca="1">Área!P377</f>
        <v/>
      </c>
      <c r="AA431" s="399"/>
      <c r="AB431" s="399"/>
      <c r="AC431" s="399"/>
      <c r="AD431" s="399" t="str">
        <f ca="1">Área!Q377</f>
        <v/>
      </c>
      <c r="AE431" s="399"/>
      <c r="AF431" s="399"/>
      <c r="AG431" s="399"/>
      <c r="AH431" s="400" t="str">
        <f ca="1">Área!R377</f>
        <v/>
      </c>
      <c r="AI431" s="400"/>
      <c r="AJ431" s="400" t="str">
        <f ca="1">Área!S377</f>
        <v/>
      </c>
      <c r="AK431" s="400"/>
      <c r="AL431" s="400" t="str">
        <f ca="1">Área!T377</f>
        <v/>
      </c>
      <c r="AM431" s="400"/>
      <c r="AN431" s="400" t="str">
        <f ca="1">Área!U377</f>
        <v/>
      </c>
      <c r="AO431" s="400"/>
      <c r="AP431" s="422" t="str">
        <f ca="1">IFERROR(Área!Z377,"")</f>
        <v/>
      </c>
      <c r="AQ431" s="422"/>
      <c r="AR431" s="400" t="str">
        <f ca="1">Área!Y377</f>
        <v/>
      </c>
      <c r="AS431" s="423"/>
      <c r="AT431" s="72"/>
    </row>
    <row r="432" spans="1:46" ht="15" customHeight="1" x14ac:dyDescent="0.25">
      <c r="A432"/>
      <c r="C432" s="397" t="str">
        <f ca="1">Área!C378</f>
        <v/>
      </c>
      <c r="D432" s="398"/>
      <c r="E432" s="398"/>
      <c r="F432" s="398"/>
      <c r="G432" s="396" t="str">
        <f ca="1">Área!F378</f>
        <v/>
      </c>
      <c r="H432" s="396"/>
      <c r="I432" s="398" t="str">
        <f ca="1">Área!G378</f>
        <v/>
      </c>
      <c r="J432" s="398"/>
      <c r="K432" s="396" t="str">
        <f ca="1">Área!H378</f>
        <v/>
      </c>
      <c r="L432" s="396"/>
      <c r="M432" s="396" t="str">
        <f ca="1">Área!I378</f>
        <v/>
      </c>
      <c r="N432" s="396"/>
      <c r="O432" s="396" t="str">
        <f ca="1">Área!J378</f>
        <v/>
      </c>
      <c r="P432" s="396"/>
      <c r="Q432" s="396" t="str">
        <f ca="1">Área!K378</f>
        <v/>
      </c>
      <c r="R432" s="396"/>
      <c r="S432" s="396" t="str">
        <f ca="1">Área!L378</f>
        <v/>
      </c>
      <c r="T432" s="396"/>
      <c r="U432" s="396" t="str">
        <f ca="1">Área!N378</f>
        <v/>
      </c>
      <c r="V432" s="396"/>
      <c r="W432" s="396" t="str">
        <f ca="1">Área!M378</f>
        <v/>
      </c>
      <c r="X432" s="396"/>
      <c r="Y432" s="89" t="str">
        <f ca="1">Área!O378</f>
        <v/>
      </c>
      <c r="Z432" s="399" t="str">
        <f ca="1">Área!P378</f>
        <v/>
      </c>
      <c r="AA432" s="399"/>
      <c r="AB432" s="399"/>
      <c r="AC432" s="399"/>
      <c r="AD432" s="399" t="str">
        <f ca="1">Área!Q378</f>
        <v/>
      </c>
      <c r="AE432" s="399"/>
      <c r="AF432" s="399"/>
      <c r="AG432" s="399"/>
      <c r="AH432" s="400" t="str">
        <f ca="1">Área!R378</f>
        <v/>
      </c>
      <c r="AI432" s="400"/>
      <c r="AJ432" s="400" t="str">
        <f ca="1">Área!S378</f>
        <v/>
      </c>
      <c r="AK432" s="400"/>
      <c r="AL432" s="400" t="str">
        <f ca="1">Área!T378</f>
        <v/>
      </c>
      <c r="AM432" s="400"/>
      <c r="AN432" s="400" t="str">
        <f ca="1">Área!U378</f>
        <v/>
      </c>
      <c r="AO432" s="400"/>
      <c r="AP432" s="422" t="str">
        <f ca="1">IFERROR(Área!Z378,"")</f>
        <v/>
      </c>
      <c r="AQ432" s="422"/>
      <c r="AR432" s="400" t="str">
        <f ca="1">Área!Y378</f>
        <v/>
      </c>
      <c r="AS432" s="423"/>
      <c r="AT432" s="72"/>
    </row>
    <row r="433" spans="1:46" ht="15" customHeight="1" x14ac:dyDescent="0.25">
      <c r="A433"/>
      <c r="C433" s="397" t="str">
        <f ca="1">Área!C379</f>
        <v/>
      </c>
      <c r="D433" s="398"/>
      <c r="E433" s="398"/>
      <c r="F433" s="398"/>
      <c r="G433" s="396" t="str">
        <f ca="1">Área!F379</f>
        <v/>
      </c>
      <c r="H433" s="396"/>
      <c r="I433" s="398" t="str">
        <f ca="1">Área!G379</f>
        <v/>
      </c>
      <c r="J433" s="398"/>
      <c r="K433" s="396" t="str">
        <f ca="1">Área!H379</f>
        <v/>
      </c>
      <c r="L433" s="396"/>
      <c r="M433" s="396" t="str">
        <f ca="1">Área!I379</f>
        <v/>
      </c>
      <c r="N433" s="396"/>
      <c r="O433" s="396" t="str">
        <f ca="1">Área!J379</f>
        <v/>
      </c>
      <c r="P433" s="396"/>
      <c r="Q433" s="396" t="str">
        <f ca="1">Área!K379</f>
        <v/>
      </c>
      <c r="R433" s="396"/>
      <c r="S433" s="396" t="str">
        <f ca="1">Área!L379</f>
        <v/>
      </c>
      <c r="T433" s="396"/>
      <c r="U433" s="396" t="str">
        <f ca="1">Área!N379</f>
        <v/>
      </c>
      <c r="V433" s="396"/>
      <c r="W433" s="396" t="str">
        <f ca="1">Área!M379</f>
        <v/>
      </c>
      <c r="X433" s="396"/>
      <c r="Y433" s="89" t="str">
        <f ca="1">Área!O379</f>
        <v/>
      </c>
      <c r="Z433" s="399" t="str">
        <f ca="1">Área!P379</f>
        <v/>
      </c>
      <c r="AA433" s="399"/>
      <c r="AB433" s="399"/>
      <c r="AC433" s="399"/>
      <c r="AD433" s="399" t="str">
        <f ca="1">Área!Q379</f>
        <v/>
      </c>
      <c r="AE433" s="399"/>
      <c r="AF433" s="399"/>
      <c r="AG433" s="399"/>
      <c r="AH433" s="400" t="str">
        <f ca="1">Área!R379</f>
        <v/>
      </c>
      <c r="AI433" s="400"/>
      <c r="AJ433" s="400" t="str">
        <f ca="1">Área!S379</f>
        <v/>
      </c>
      <c r="AK433" s="400"/>
      <c r="AL433" s="400" t="str">
        <f ca="1">Área!T379</f>
        <v/>
      </c>
      <c r="AM433" s="400"/>
      <c r="AN433" s="400" t="str">
        <f ca="1">Área!U379</f>
        <v/>
      </c>
      <c r="AO433" s="400"/>
      <c r="AP433" s="422" t="str">
        <f ca="1">IFERROR(Área!Z379,"")</f>
        <v/>
      </c>
      <c r="AQ433" s="422"/>
      <c r="AR433" s="400" t="str">
        <f ca="1">Área!Y379</f>
        <v/>
      </c>
      <c r="AS433" s="423"/>
      <c r="AT433" s="72"/>
    </row>
    <row r="434" spans="1:46" ht="15" customHeight="1" x14ac:dyDescent="0.25">
      <c r="A434"/>
      <c r="C434" s="397" t="str">
        <f ca="1">Área!C380</f>
        <v/>
      </c>
      <c r="D434" s="398"/>
      <c r="E434" s="398"/>
      <c r="F434" s="398"/>
      <c r="G434" s="396" t="str">
        <f ca="1">Área!F380</f>
        <v/>
      </c>
      <c r="H434" s="396"/>
      <c r="I434" s="398" t="str">
        <f ca="1">Área!G380</f>
        <v/>
      </c>
      <c r="J434" s="398"/>
      <c r="K434" s="396" t="str">
        <f ca="1">Área!H380</f>
        <v/>
      </c>
      <c r="L434" s="396"/>
      <c r="M434" s="396" t="str">
        <f ca="1">Área!I380</f>
        <v/>
      </c>
      <c r="N434" s="396"/>
      <c r="O434" s="396" t="str">
        <f ca="1">Área!J380</f>
        <v/>
      </c>
      <c r="P434" s="396"/>
      <c r="Q434" s="396" t="str">
        <f ca="1">Área!K380</f>
        <v/>
      </c>
      <c r="R434" s="396"/>
      <c r="S434" s="396" t="str">
        <f ca="1">Área!L380</f>
        <v/>
      </c>
      <c r="T434" s="396"/>
      <c r="U434" s="396" t="str">
        <f ca="1">Área!N380</f>
        <v/>
      </c>
      <c r="V434" s="396"/>
      <c r="W434" s="396" t="str">
        <f ca="1">Área!M380</f>
        <v/>
      </c>
      <c r="X434" s="396"/>
      <c r="Y434" s="89" t="str">
        <f ca="1">Área!O380</f>
        <v/>
      </c>
      <c r="Z434" s="399" t="str">
        <f ca="1">Área!P380</f>
        <v/>
      </c>
      <c r="AA434" s="399"/>
      <c r="AB434" s="399"/>
      <c r="AC434" s="399"/>
      <c r="AD434" s="399" t="str">
        <f ca="1">Área!Q380</f>
        <v/>
      </c>
      <c r="AE434" s="399"/>
      <c r="AF434" s="399"/>
      <c r="AG434" s="399"/>
      <c r="AH434" s="400" t="str">
        <f ca="1">Área!R380</f>
        <v/>
      </c>
      <c r="AI434" s="400"/>
      <c r="AJ434" s="400" t="str">
        <f ca="1">Área!S380</f>
        <v/>
      </c>
      <c r="AK434" s="400"/>
      <c r="AL434" s="400" t="str">
        <f ca="1">Área!T380</f>
        <v/>
      </c>
      <c r="AM434" s="400"/>
      <c r="AN434" s="400" t="str">
        <f ca="1">Área!U380</f>
        <v/>
      </c>
      <c r="AO434" s="400"/>
      <c r="AP434" s="422" t="str">
        <f ca="1">IFERROR(Área!Z380,"")</f>
        <v/>
      </c>
      <c r="AQ434" s="422"/>
      <c r="AR434" s="400" t="str">
        <f ca="1">Área!Y380</f>
        <v/>
      </c>
      <c r="AS434" s="423"/>
      <c r="AT434" s="72"/>
    </row>
    <row r="435" spans="1:46" ht="15" customHeight="1" x14ac:dyDescent="0.25">
      <c r="A435"/>
      <c r="C435" s="397" t="str">
        <f ca="1">Área!C381</f>
        <v/>
      </c>
      <c r="D435" s="398"/>
      <c r="E435" s="398"/>
      <c r="F435" s="398"/>
      <c r="G435" s="396" t="str">
        <f ca="1">Área!F381</f>
        <v/>
      </c>
      <c r="H435" s="396"/>
      <c r="I435" s="398" t="str">
        <f ca="1">Área!G381</f>
        <v/>
      </c>
      <c r="J435" s="398"/>
      <c r="K435" s="396" t="str">
        <f ca="1">Área!H381</f>
        <v/>
      </c>
      <c r="L435" s="396"/>
      <c r="M435" s="396" t="str">
        <f ca="1">Área!I381</f>
        <v/>
      </c>
      <c r="N435" s="396"/>
      <c r="O435" s="396" t="str">
        <f ca="1">Área!J381</f>
        <v/>
      </c>
      <c r="P435" s="396"/>
      <c r="Q435" s="396" t="str">
        <f ca="1">Área!K381</f>
        <v/>
      </c>
      <c r="R435" s="396"/>
      <c r="S435" s="396" t="str">
        <f ca="1">Área!L381</f>
        <v/>
      </c>
      <c r="T435" s="396"/>
      <c r="U435" s="396" t="str">
        <f ca="1">Área!N381</f>
        <v/>
      </c>
      <c r="V435" s="396"/>
      <c r="W435" s="396" t="str">
        <f ca="1">Área!M381</f>
        <v/>
      </c>
      <c r="X435" s="396"/>
      <c r="Y435" s="89" t="str">
        <f ca="1">Área!O381</f>
        <v/>
      </c>
      <c r="Z435" s="399" t="str">
        <f ca="1">Área!P381</f>
        <v/>
      </c>
      <c r="AA435" s="399"/>
      <c r="AB435" s="399"/>
      <c r="AC435" s="399"/>
      <c r="AD435" s="399" t="str">
        <f ca="1">Área!Q381</f>
        <v/>
      </c>
      <c r="AE435" s="399"/>
      <c r="AF435" s="399"/>
      <c r="AG435" s="399"/>
      <c r="AH435" s="400" t="str">
        <f ca="1">Área!R381</f>
        <v/>
      </c>
      <c r="AI435" s="400"/>
      <c r="AJ435" s="400" t="str">
        <f ca="1">Área!S381</f>
        <v/>
      </c>
      <c r="AK435" s="400"/>
      <c r="AL435" s="400" t="str">
        <f ca="1">Área!T381</f>
        <v/>
      </c>
      <c r="AM435" s="400"/>
      <c r="AN435" s="400" t="str">
        <f ca="1">Área!U381</f>
        <v/>
      </c>
      <c r="AO435" s="400"/>
      <c r="AP435" s="422" t="str">
        <f ca="1">IFERROR(Área!Z381,"")</f>
        <v/>
      </c>
      <c r="AQ435" s="422"/>
      <c r="AR435" s="400" t="str">
        <f ca="1">Área!Y381</f>
        <v/>
      </c>
      <c r="AS435" s="423"/>
      <c r="AT435" s="72"/>
    </row>
    <row r="436" spans="1:46" ht="15" customHeight="1" x14ac:dyDescent="0.25">
      <c r="A436"/>
      <c r="C436" s="397" t="str">
        <f ca="1">Área!C382</f>
        <v/>
      </c>
      <c r="D436" s="398"/>
      <c r="E436" s="398"/>
      <c r="F436" s="398"/>
      <c r="G436" s="396" t="str">
        <f ca="1">Área!F382</f>
        <v/>
      </c>
      <c r="H436" s="396"/>
      <c r="I436" s="398" t="str">
        <f ca="1">Área!G382</f>
        <v/>
      </c>
      <c r="J436" s="398"/>
      <c r="K436" s="396" t="str">
        <f ca="1">Área!H382</f>
        <v/>
      </c>
      <c r="L436" s="396"/>
      <c r="M436" s="396" t="str">
        <f ca="1">Área!I382</f>
        <v/>
      </c>
      <c r="N436" s="396"/>
      <c r="O436" s="396" t="str">
        <f ca="1">Área!J382</f>
        <v/>
      </c>
      <c r="P436" s="396"/>
      <c r="Q436" s="396" t="str">
        <f ca="1">Área!K382</f>
        <v/>
      </c>
      <c r="R436" s="396"/>
      <c r="S436" s="396" t="str">
        <f ca="1">Área!L382</f>
        <v/>
      </c>
      <c r="T436" s="396"/>
      <c r="U436" s="396" t="str">
        <f ca="1">Área!N382</f>
        <v/>
      </c>
      <c r="V436" s="396"/>
      <c r="W436" s="396" t="str">
        <f ca="1">Área!M382</f>
        <v/>
      </c>
      <c r="X436" s="396"/>
      <c r="Y436" s="89" t="str">
        <f ca="1">Área!O382</f>
        <v/>
      </c>
      <c r="Z436" s="399" t="str">
        <f ca="1">Área!P382</f>
        <v/>
      </c>
      <c r="AA436" s="399"/>
      <c r="AB436" s="399"/>
      <c r="AC436" s="399"/>
      <c r="AD436" s="399" t="str">
        <f ca="1">Área!Q382</f>
        <v/>
      </c>
      <c r="AE436" s="399"/>
      <c r="AF436" s="399"/>
      <c r="AG436" s="399"/>
      <c r="AH436" s="400" t="str">
        <f ca="1">Área!R382</f>
        <v/>
      </c>
      <c r="AI436" s="400"/>
      <c r="AJ436" s="400" t="str">
        <f ca="1">Área!S382</f>
        <v/>
      </c>
      <c r="AK436" s="400"/>
      <c r="AL436" s="400" t="str">
        <f ca="1">Área!T382</f>
        <v/>
      </c>
      <c r="AM436" s="400"/>
      <c r="AN436" s="400" t="str">
        <f ca="1">Área!U382</f>
        <v/>
      </c>
      <c r="AO436" s="400"/>
      <c r="AP436" s="422" t="str">
        <f ca="1">IFERROR(Área!Z382,"")</f>
        <v/>
      </c>
      <c r="AQ436" s="422"/>
      <c r="AR436" s="400" t="str">
        <f ca="1">Área!Y382</f>
        <v/>
      </c>
      <c r="AS436" s="423"/>
      <c r="AT436" s="72"/>
    </row>
    <row r="437" spans="1:46" ht="15" customHeight="1" x14ac:dyDescent="0.25">
      <c r="A437"/>
      <c r="C437" s="397" t="str">
        <f ca="1">Área!C383</f>
        <v/>
      </c>
      <c r="D437" s="398"/>
      <c r="E437" s="398"/>
      <c r="F437" s="398"/>
      <c r="G437" s="396" t="str">
        <f ca="1">Área!F383</f>
        <v/>
      </c>
      <c r="H437" s="396"/>
      <c r="I437" s="398" t="str">
        <f ca="1">Área!G383</f>
        <v/>
      </c>
      <c r="J437" s="398"/>
      <c r="K437" s="396" t="str">
        <f ca="1">Área!H383</f>
        <v/>
      </c>
      <c r="L437" s="396"/>
      <c r="M437" s="396" t="str">
        <f ca="1">Área!I383</f>
        <v/>
      </c>
      <c r="N437" s="396"/>
      <c r="O437" s="396" t="str">
        <f ca="1">Área!J383</f>
        <v/>
      </c>
      <c r="P437" s="396"/>
      <c r="Q437" s="396" t="str">
        <f ca="1">Área!K383</f>
        <v/>
      </c>
      <c r="R437" s="396"/>
      <c r="S437" s="396" t="str">
        <f ca="1">Área!L383</f>
        <v/>
      </c>
      <c r="T437" s="396"/>
      <c r="U437" s="396" t="str">
        <f ca="1">Área!N383</f>
        <v/>
      </c>
      <c r="V437" s="396"/>
      <c r="W437" s="396" t="str">
        <f ca="1">Área!M383</f>
        <v/>
      </c>
      <c r="X437" s="396"/>
      <c r="Y437" s="89" t="str">
        <f ca="1">Área!O383</f>
        <v/>
      </c>
      <c r="Z437" s="399" t="str">
        <f ca="1">Área!P383</f>
        <v/>
      </c>
      <c r="AA437" s="399"/>
      <c r="AB437" s="399"/>
      <c r="AC437" s="399"/>
      <c r="AD437" s="399" t="str">
        <f ca="1">Área!Q383</f>
        <v/>
      </c>
      <c r="AE437" s="399"/>
      <c r="AF437" s="399"/>
      <c r="AG437" s="399"/>
      <c r="AH437" s="400" t="str">
        <f ca="1">Área!R383</f>
        <v/>
      </c>
      <c r="AI437" s="400"/>
      <c r="AJ437" s="400" t="str">
        <f ca="1">Área!S383</f>
        <v/>
      </c>
      <c r="AK437" s="400"/>
      <c r="AL437" s="400" t="str">
        <f ca="1">Área!T383</f>
        <v/>
      </c>
      <c r="AM437" s="400"/>
      <c r="AN437" s="400" t="str">
        <f ca="1">Área!U383</f>
        <v/>
      </c>
      <c r="AO437" s="400"/>
      <c r="AP437" s="422" t="str">
        <f ca="1">IFERROR(Área!Z383,"")</f>
        <v/>
      </c>
      <c r="AQ437" s="422"/>
      <c r="AR437" s="400" t="str">
        <f ca="1">Área!Y383</f>
        <v/>
      </c>
      <c r="AS437" s="423"/>
      <c r="AT437" s="72"/>
    </row>
    <row r="438" spans="1:46" ht="15" customHeight="1" x14ac:dyDescent="0.25">
      <c r="A438"/>
      <c r="C438" s="397" t="str">
        <f ca="1">Área!C384</f>
        <v/>
      </c>
      <c r="D438" s="398"/>
      <c r="E438" s="398"/>
      <c r="F438" s="398"/>
      <c r="G438" s="396" t="str">
        <f ca="1">Área!F384</f>
        <v/>
      </c>
      <c r="H438" s="396"/>
      <c r="I438" s="398" t="str">
        <f ca="1">Área!G384</f>
        <v/>
      </c>
      <c r="J438" s="398"/>
      <c r="K438" s="396" t="str">
        <f ca="1">Área!H384</f>
        <v/>
      </c>
      <c r="L438" s="396"/>
      <c r="M438" s="396" t="str">
        <f ca="1">Área!I384</f>
        <v/>
      </c>
      <c r="N438" s="396"/>
      <c r="O438" s="396" t="str">
        <f ca="1">Área!J384</f>
        <v/>
      </c>
      <c r="P438" s="396"/>
      <c r="Q438" s="396" t="str">
        <f ca="1">Área!K384</f>
        <v/>
      </c>
      <c r="R438" s="396"/>
      <c r="S438" s="396" t="str">
        <f ca="1">Área!L384</f>
        <v/>
      </c>
      <c r="T438" s="396"/>
      <c r="U438" s="396" t="str">
        <f ca="1">Área!N384</f>
        <v/>
      </c>
      <c r="V438" s="396"/>
      <c r="W438" s="396" t="str">
        <f ca="1">Área!M384</f>
        <v/>
      </c>
      <c r="X438" s="396"/>
      <c r="Y438" s="89" t="str">
        <f ca="1">Área!O384</f>
        <v/>
      </c>
      <c r="Z438" s="399" t="str">
        <f ca="1">Área!P384</f>
        <v/>
      </c>
      <c r="AA438" s="399"/>
      <c r="AB438" s="399"/>
      <c r="AC438" s="399"/>
      <c r="AD438" s="399" t="str">
        <f ca="1">Área!Q384</f>
        <v/>
      </c>
      <c r="AE438" s="399"/>
      <c r="AF438" s="399"/>
      <c r="AG438" s="399"/>
      <c r="AH438" s="400" t="str">
        <f ca="1">Área!R384</f>
        <v/>
      </c>
      <c r="AI438" s="400"/>
      <c r="AJ438" s="400" t="str">
        <f ca="1">Área!S384</f>
        <v/>
      </c>
      <c r="AK438" s="400"/>
      <c r="AL438" s="400" t="str">
        <f ca="1">Área!T384</f>
        <v/>
      </c>
      <c r="AM438" s="400"/>
      <c r="AN438" s="400" t="str">
        <f ca="1">Área!U384</f>
        <v/>
      </c>
      <c r="AO438" s="400"/>
      <c r="AP438" s="422" t="str">
        <f ca="1">IFERROR(Área!Z384,"")</f>
        <v/>
      </c>
      <c r="AQ438" s="422"/>
      <c r="AR438" s="400" t="str">
        <f ca="1">Área!Y384</f>
        <v/>
      </c>
      <c r="AS438" s="423"/>
      <c r="AT438" s="72"/>
    </row>
    <row r="439" spans="1:46" ht="15" customHeight="1" x14ac:dyDescent="0.25">
      <c r="A439"/>
      <c r="C439" s="397" t="str">
        <f ca="1">Área!C385</f>
        <v/>
      </c>
      <c r="D439" s="398"/>
      <c r="E439" s="398"/>
      <c r="F439" s="398"/>
      <c r="G439" s="396" t="str">
        <f ca="1">Área!F385</f>
        <v/>
      </c>
      <c r="H439" s="396"/>
      <c r="I439" s="398" t="str">
        <f ca="1">Área!G385</f>
        <v/>
      </c>
      <c r="J439" s="398"/>
      <c r="K439" s="396" t="str">
        <f ca="1">Área!H385</f>
        <v/>
      </c>
      <c r="L439" s="396"/>
      <c r="M439" s="396" t="str">
        <f ca="1">Área!I385</f>
        <v/>
      </c>
      <c r="N439" s="396"/>
      <c r="O439" s="396" t="str">
        <f ca="1">Área!J385</f>
        <v/>
      </c>
      <c r="P439" s="396"/>
      <c r="Q439" s="396" t="str">
        <f ca="1">Área!K385</f>
        <v/>
      </c>
      <c r="R439" s="396"/>
      <c r="S439" s="396" t="str">
        <f ca="1">Área!L385</f>
        <v/>
      </c>
      <c r="T439" s="396"/>
      <c r="U439" s="396" t="str">
        <f ca="1">Área!N385</f>
        <v/>
      </c>
      <c r="V439" s="396"/>
      <c r="W439" s="396" t="str">
        <f ca="1">Área!M385</f>
        <v/>
      </c>
      <c r="X439" s="396"/>
      <c r="Y439" s="89" t="str">
        <f ca="1">Área!O385</f>
        <v/>
      </c>
      <c r="Z439" s="399" t="str">
        <f ca="1">Área!P385</f>
        <v/>
      </c>
      <c r="AA439" s="399"/>
      <c r="AB439" s="399"/>
      <c r="AC439" s="399"/>
      <c r="AD439" s="399" t="str">
        <f ca="1">Área!Q385</f>
        <v/>
      </c>
      <c r="AE439" s="399"/>
      <c r="AF439" s="399"/>
      <c r="AG439" s="399"/>
      <c r="AH439" s="400" t="str">
        <f ca="1">Área!R385</f>
        <v/>
      </c>
      <c r="AI439" s="400"/>
      <c r="AJ439" s="400" t="str">
        <f ca="1">Área!S385</f>
        <v/>
      </c>
      <c r="AK439" s="400"/>
      <c r="AL439" s="400" t="str">
        <f ca="1">Área!T385</f>
        <v/>
      </c>
      <c r="AM439" s="400"/>
      <c r="AN439" s="400" t="str">
        <f ca="1">Área!U385</f>
        <v/>
      </c>
      <c r="AO439" s="400"/>
      <c r="AP439" s="422" t="str">
        <f ca="1">IFERROR(Área!Z385,"")</f>
        <v/>
      </c>
      <c r="AQ439" s="422"/>
      <c r="AR439" s="400" t="str">
        <f ca="1">Área!Y385</f>
        <v/>
      </c>
      <c r="AS439" s="423"/>
      <c r="AT439" s="72"/>
    </row>
    <row r="440" spans="1:46" ht="15" customHeight="1" x14ac:dyDescent="0.25">
      <c r="A440"/>
      <c r="C440" s="397" t="str">
        <f ca="1">Área!C386</f>
        <v/>
      </c>
      <c r="D440" s="398"/>
      <c r="E440" s="398"/>
      <c r="F440" s="398"/>
      <c r="G440" s="396" t="str">
        <f ca="1">Área!F386</f>
        <v/>
      </c>
      <c r="H440" s="396"/>
      <c r="I440" s="398" t="str">
        <f ca="1">Área!G386</f>
        <v/>
      </c>
      <c r="J440" s="398"/>
      <c r="K440" s="396" t="str">
        <f ca="1">Área!H386</f>
        <v/>
      </c>
      <c r="L440" s="396"/>
      <c r="M440" s="396" t="str">
        <f ca="1">Área!I386</f>
        <v/>
      </c>
      <c r="N440" s="396"/>
      <c r="O440" s="396" t="str">
        <f ca="1">Área!J386</f>
        <v/>
      </c>
      <c r="P440" s="396"/>
      <c r="Q440" s="396" t="str">
        <f ca="1">Área!K386</f>
        <v/>
      </c>
      <c r="R440" s="396"/>
      <c r="S440" s="396" t="str">
        <f ca="1">Área!L386</f>
        <v/>
      </c>
      <c r="T440" s="396"/>
      <c r="U440" s="396" t="str">
        <f ca="1">Área!N386</f>
        <v/>
      </c>
      <c r="V440" s="396"/>
      <c r="W440" s="396" t="str">
        <f ca="1">Área!M386</f>
        <v/>
      </c>
      <c r="X440" s="396"/>
      <c r="Y440" s="89" t="str">
        <f ca="1">Área!O386</f>
        <v/>
      </c>
      <c r="Z440" s="399" t="str">
        <f ca="1">Área!P386</f>
        <v/>
      </c>
      <c r="AA440" s="399"/>
      <c r="AB440" s="399"/>
      <c r="AC440" s="399"/>
      <c r="AD440" s="399" t="str">
        <f ca="1">Área!Q386</f>
        <v/>
      </c>
      <c r="AE440" s="399"/>
      <c r="AF440" s="399"/>
      <c r="AG440" s="399"/>
      <c r="AH440" s="400" t="str">
        <f ca="1">Área!R386</f>
        <v/>
      </c>
      <c r="AI440" s="400"/>
      <c r="AJ440" s="400" t="str">
        <f ca="1">Área!S386</f>
        <v/>
      </c>
      <c r="AK440" s="400"/>
      <c r="AL440" s="400" t="str">
        <f ca="1">Área!T386</f>
        <v/>
      </c>
      <c r="AM440" s="400"/>
      <c r="AN440" s="400" t="str">
        <f ca="1">Área!U386</f>
        <v/>
      </c>
      <c r="AO440" s="400"/>
      <c r="AP440" s="422" t="str">
        <f ca="1">IFERROR(Área!Z386,"")</f>
        <v/>
      </c>
      <c r="AQ440" s="422"/>
      <c r="AR440" s="400" t="str">
        <f ca="1">Área!Y386</f>
        <v/>
      </c>
      <c r="AS440" s="423"/>
      <c r="AT440" s="72"/>
    </row>
    <row r="441" spans="1:46" ht="15" customHeight="1" x14ac:dyDescent="0.25">
      <c r="A441"/>
      <c r="C441" s="397" t="str">
        <f ca="1">Área!C387</f>
        <v/>
      </c>
      <c r="D441" s="398"/>
      <c r="E441" s="398"/>
      <c r="F441" s="398"/>
      <c r="G441" s="396" t="str">
        <f ca="1">Área!F387</f>
        <v/>
      </c>
      <c r="H441" s="396"/>
      <c r="I441" s="398" t="str">
        <f ca="1">Área!G387</f>
        <v/>
      </c>
      <c r="J441" s="398"/>
      <c r="K441" s="396" t="str">
        <f ca="1">Área!H387</f>
        <v/>
      </c>
      <c r="L441" s="396"/>
      <c r="M441" s="396" t="str">
        <f ca="1">Área!I387</f>
        <v/>
      </c>
      <c r="N441" s="396"/>
      <c r="O441" s="396" t="str">
        <f ca="1">Área!J387</f>
        <v/>
      </c>
      <c r="P441" s="396"/>
      <c r="Q441" s="396" t="str">
        <f ca="1">Área!K387</f>
        <v/>
      </c>
      <c r="R441" s="396"/>
      <c r="S441" s="396" t="str">
        <f ca="1">Área!L387</f>
        <v/>
      </c>
      <c r="T441" s="396"/>
      <c r="U441" s="396" t="str">
        <f ca="1">Área!N387</f>
        <v/>
      </c>
      <c r="V441" s="396"/>
      <c r="W441" s="396" t="str">
        <f ca="1">Área!M387</f>
        <v/>
      </c>
      <c r="X441" s="396"/>
      <c r="Y441" s="89" t="str">
        <f ca="1">Área!O387</f>
        <v/>
      </c>
      <c r="Z441" s="399" t="str">
        <f ca="1">Área!P387</f>
        <v/>
      </c>
      <c r="AA441" s="399"/>
      <c r="AB441" s="399"/>
      <c r="AC441" s="399"/>
      <c r="AD441" s="399" t="str">
        <f ca="1">Área!Q387</f>
        <v/>
      </c>
      <c r="AE441" s="399"/>
      <c r="AF441" s="399"/>
      <c r="AG441" s="399"/>
      <c r="AH441" s="400" t="str">
        <f ca="1">Área!R387</f>
        <v/>
      </c>
      <c r="AI441" s="400"/>
      <c r="AJ441" s="400" t="str">
        <f ca="1">Área!S387</f>
        <v/>
      </c>
      <c r="AK441" s="400"/>
      <c r="AL441" s="400" t="str">
        <f ca="1">Área!T387</f>
        <v/>
      </c>
      <c r="AM441" s="400"/>
      <c r="AN441" s="400" t="str">
        <f ca="1">Área!U387</f>
        <v/>
      </c>
      <c r="AO441" s="400"/>
      <c r="AP441" s="422" t="str">
        <f ca="1">IFERROR(Área!Z387,"")</f>
        <v/>
      </c>
      <c r="AQ441" s="422"/>
      <c r="AR441" s="400" t="str">
        <f ca="1">Área!Y387</f>
        <v/>
      </c>
      <c r="AS441" s="423"/>
      <c r="AT441" s="72"/>
    </row>
    <row r="442" spans="1:46" ht="15" customHeight="1" x14ac:dyDescent="0.25">
      <c r="A442"/>
      <c r="C442" s="397" t="str">
        <f ca="1">Área!C388</f>
        <v/>
      </c>
      <c r="D442" s="398"/>
      <c r="E442" s="398"/>
      <c r="F442" s="398"/>
      <c r="G442" s="396" t="str">
        <f ca="1">Área!F388</f>
        <v/>
      </c>
      <c r="H442" s="396"/>
      <c r="I442" s="398" t="str">
        <f ca="1">Área!G388</f>
        <v/>
      </c>
      <c r="J442" s="398"/>
      <c r="K442" s="396" t="str">
        <f ca="1">Área!H388</f>
        <v/>
      </c>
      <c r="L442" s="396"/>
      <c r="M442" s="396" t="str">
        <f ca="1">Área!I388</f>
        <v/>
      </c>
      <c r="N442" s="396"/>
      <c r="O442" s="396" t="str">
        <f ca="1">Área!J388</f>
        <v/>
      </c>
      <c r="P442" s="396"/>
      <c r="Q442" s="396" t="str">
        <f ca="1">Área!K388</f>
        <v/>
      </c>
      <c r="R442" s="396"/>
      <c r="S442" s="396" t="str">
        <f ca="1">Área!L388</f>
        <v/>
      </c>
      <c r="T442" s="396"/>
      <c r="U442" s="396" t="str">
        <f ca="1">Área!N388</f>
        <v/>
      </c>
      <c r="V442" s="396"/>
      <c r="W442" s="396" t="str">
        <f ca="1">Área!M388</f>
        <v/>
      </c>
      <c r="X442" s="396"/>
      <c r="Y442" s="89" t="str">
        <f ca="1">Área!O388</f>
        <v/>
      </c>
      <c r="Z442" s="399" t="str">
        <f ca="1">Área!P388</f>
        <v/>
      </c>
      <c r="AA442" s="399"/>
      <c r="AB442" s="399"/>
      <c r="AC442" s="399"/>
      <c r="AD442" s="399" t="str">
        <f ca="1">Área!Q388</f>
        <v/>
      </c>
      <c r="AE442" s="399"/>
      <c r="AF442" s="399"/>
      <c r="AG442" s="399"/>
      <c r="AH442" s="400" t="str">
        <f ca="1">Área!R388</f>
        <v/>
      </c>
      <c r="AI442" s="400"/>
      <c r="AJ442" s="400" t="str">
        <f ca="1">Área!S388</f>
        <v/>
      </c>
      <c r="AK442" s="400"/>
      <c r="AL442" s="400" t="str">
        <f ca="1">Área!T388</f>
        <v/>
      </c>
      <c r="AM442" s="400"/>
      <c r="AN442" s="400" t="str">
        <f ca="1">Área!U388</f>
        <v/>
      </c>
      <c r="AO442" s="400"/>
      <c r="AP442" s="422" t="str">
        <f ca="1">IFERROR(Área!Z388,"")</f>
        <v/>
      </c>
      <c r="AQ442" s="422"/>
      <c r="AR442" s="400" t="str">
        <f ca="1">Área!Y388</f>
        <v/>
      </c>
      <c r="AS442" s="423"/>
      <c r="AT442" s="72"/>
    </row>
    <row r="443" spans="1:46" ht="15" customHeight="1" x14ac:dyDescent="0.25">
      <c r="A443"/>
      <c r="C443" s="397" t="str">
        <f ca="1">Área!C389</f>
        <v/>
      </c>
      <c r="D443" s="398"/>
      <c r="E443" s="398"/>
      <c r="F443" s="398"/>
      <c r="G443" s="396" t="str">
        <f ca="1">Área!F389</f>
        <v/>
      </c>
      <c r="H443" s="396"/>
      <c r="I443" s="398" t="str">
        <f ca="1">Área!G389</f>
        <v/>
      </c>
      <c r="J443" s="398"/>
      <c r="K443" s="396" t="str">
        <f ca="1">Área!H389</f>
        <v/>
      </c>
      <c r="L443" s="396"/>
      <c r="M443" s="396" t="str">
        <f ca="1">Área!I389</f>
        <v/>
      </c>
      <c r="N443" s="396"/>
      <c r="O443" s="396" t="str">
        <f ca="1">Área!J389</f>
        <v/>
      </c>
      <c r="P443" s="396"/>
      <c r="Q443" s="396" t="str">
        <f ca="1">Área!K389</f>
        <v/>
      </c>
      <c r="R443" s="396"/>
      <c r="S443" s="396" t="str">
        <f ca="1">Área!L389</f>
        <v/>
      </c>
      <c r="T443" s="396"/>
      <c r="U443" s="396" t="str">
        <f ca="1">Área!N389</f>
        <v/>
      </c>
      <c r="V443" s="396"/>
      <c r="W443" s="396" t="str">
        <f ca="1">Área!M389</f>
        <v/>
      </c>
      <c r="X443" s="396"/>
      <c r="Y443" s="89" t="str">
        <f ca="1">Área!O389</f>
        <v/>
      </c>
      <c r="Z443" s="399" t="str">
        <f ca="1">Área!P389</f>
        <v/>
      </c>
      <c r="AA443" s="399"/>
      <c r="AB443" s="399"/>
      <c r="AC443" s="399"/>
      <c r="AD443" s="399" t="str">
        <f ca="1">Área!Q389</f>
        <v/>
      </c>
      <c r="AE443" s="399"/>
      <c r="AF443" s="399"/>
      <c r="AG443" s="399"/>
      <c r="AH443" s="400" t="str">
        <f ca="1">Área!R389</f>
        <v/>
      </c>
      <c r="AI443" s="400"/>
      <c r="AJ443" s="400" t="str">
        <f ca="1">Área!S389</f>
        <v/>
      </c>
      <c r="AK443" s="400"/>
      <c r="AL443" s="400" t="str">
        <f ca="1">Área!T389</f>
        <v/>
      </c>
      <c r="AM443" s="400"/>
      <c r="AN443" s="400" t="str">
        <f ca="1">Área!U389</f>
        <v/>
      </c>
      <c r="AO443" s="400"/>
      <c r="AP443" s="422" t="str">
        <f ca="1">IFERROR(Área!Z389,"")</f>
        <v/>
      </c>
      <c r="AQ443" s="422"/>
      <c r="AR443" s="400" t="str">
        <f ca="1">Área!Y389</f>
        <v/>
      </c>
      <c r="AS443" s="423"/>
      <c r="AT443" s="72"/>
    </row>
    <row r="444" spans="1:46" ht="15" customHeight="1" x14ac:dyDescent="0.25">
      <c r="A444"/>
      <c r="C444" s="397" t="str">
        <f ca="1">Área!C390</f>
        <v/>
      </c>
      <c r="D444" s="398"/>
      <c r="E444" s="398"/>
      <c r="F444" s="398"/>
      <c r="G444" s="396" t="str">
        <f ca="1">Área!F390</f>
        <v/>
      </c>
      <c r="H444" s="396"/>
      <c r="I444" s="398" t="str">
        <f ca="1">Área!G390</f>
        <v/>
      </c>
      <c r="J444" s="398"/>
      <c r="K444" s="396" t="str">
        <f ca="1">Área!H390</f>
        <v/>
      </c>
      <c r="L444" s="396"/>
      <c r="M444" s="396" t="str">
        <f ca="1">Área!I390</f>
        <v/>
      </c>
      <c r="N444" s="396"/>
      <c r="O444" s="396" t="str">
        <f ca="1">Área!J390</f>
        <v/>
      </c>
      <c r="P444" s="396"/>
      <c r="Q444" s="396" t="str">
        <f ca="1">Área!K390</f>
        <v/>
      </c>
      <c r="R444" s="396"/>
      <c r="S444" s="396" t="str">
        <f ca="1">Área!L390</f>
        <v/>
      </c>
      <c r="T444" s="396"/>
      <c r="U444" s="396" t="str">
        <f ca="1">Área!N390</f>
        <v/>
      </c>
      <c r="V444" s="396"/>
      <c r="W444" s="396" t="str">
        <f ca="1">Área!M390</f>
        <v/>
      </c>
      <c r="X444" s="396"/>
      <c r="Y444" s="89" t="str">
        <f ca="1">Área!O390</f>
        <v/>
      </c>
      <c r="Z444" s="399" t="str">
        <f ca="1">Área!P390</f>
        <v/>
      </c>
      <c r="AA444" s="399"/>
      <c r="AB444" s="399"/>
      <c r="AC444" s="399"/>
      <c r="AD444" s="399" t="str">
        <f ca="1">Área!Q390</f>
        <v/>
      </c>
      <c r="AE444" s="399"/>
      <c r="AF444" s="399"/>
      <c r="AG444" s="399"/>
      <c r="AH444" s="400" t="str">
        <f ca="1">Área!R390</f>
        <v/>
      </c>
      <c r="AI444" s="400"/>
      <c r="AJ444" s="400" t="str">
        <f ca="1">Área!S390</f>
        <v/>
      </c>
      <c r="AK444" s="400"/>
      <c r="AL444" s="400" t="str">
        <f ca="1">Área!T390</f>
        <v/>
      </c>
      <c r="AM444" s="400"/>
      <c r="AN444" s="400" t="str">
        <f ca="1">Área!U390</f>
        <v/>
      </c>
      <c r="AO444" s="400"/>
      <c r="AP444" s="422" t="str">
        <f ca="1">IFERROR(Área!Z390,"")</f>
        <v/>
      </c>
      <c r="AQ444" s="422"/>
      <c r="AR444" s="400" t="str">
        <f ca="1">Área!Y390</f>
        <v/>
      </c>
      <c r="AS444" s="423"/>
      <c r="AT444" s="72"/>
    </row>
    <row r="445" spans="1:46" ht="15" customHeight="1" x14ac:dyDescent="0.25">
      <c r="A445"/>
      <c r="C445" s="397" t="str">
        <f ca="1">Área!C391</f>
        <v/>
      </c>
      <c r="D445" s="398"/>
      <c r="E445" s="398"/>
      <c r="F445" s="398"/>
      <c r="G445" s="396" t="str">
        <f ca="1">Área!F391</f>
        <v/>
      </c>
      <c r="H445" s="396"/>
      <c r="I445" s="398" t="str">
        <f ca="1">Área!G391</f>
        <v/>
      </c>
      <c r="J445" s="398"/>
      <c r="K445" s="396" t="str">
        <f ca="1">Área!H391</f>
        <v/>
      </c>
      <c r="L445" s="396"/>
      <c r="M445" s="396" t="str">
        <f ca="1">Área!I391</f>
        <v/>
      </c>
      <c r="N445" s="396"/>
      <c r="O445" s="396" t="str">
        <f ca="1">Área!J391</f>
        <v/>
      </c>
      <c r="P445" s="396"/>
      <c r="Q445" s="396" t="str">
        <f ca="1">Área!K391</f>
        <v/>
      </c>
      <c r="R445" s="396"/>
      <c r="S445" s="396" t="str">
        <f ca="1">Área!L391</f>
        <v/>
      </c>
      <c r="T445" s="396"/>
      <c r="U445" s="396" t="str">
        <f ca="1">Área!N391</f>
        <v/>
      </c>
      <c r="V445" s="396"/>
      <c r="W445" s="396" t="str">
        <f ca="1">Área!M391</f>
        <v/>
      </c>
      <c r="X445" s="396"/>
      <c r="Y445" s="89" t="str">
        <f ca="1">Área!O391</f>
        <v/>
      </c>
      <c r="Z445" s="399" t="str">
        <f ca="1">Área!P391</f>
        <v/>
      </c>
      <c r="AA445" s="399"/>
      <c r="AB445" s="399"/>
      <c r="AC445" s="399"/>
      <c r="AD445" s="399" t="str">
        <f ca="1">Área!Q391</f>
        <v/>
      </c>
      <c r="AE445" s="399"/>
      <c r="AF445" s="399"/>
      <c r="AG445" s="399"/>
      <c r="AH445" s="400" t="str">
        <f ca="1">Área!R391</f>
        <v/>
      </c>
      <c r="AI445" s="400"/>
      <c r="AJ445" s="400" t="str">
        <f ca="1">Área!S391</f>
        <v/>
      </c>
      <c r="AK445" s="400"/>
      <c r="AL445" s="400" t="str">
        <f ca="1">Área!T391</f>
        <v/>
      </c>
      <c r="AM445" s="400"/>
      <c r="AN445" s="400" t="str">
        <f ca="1">Área!U391</f>
        <v/>
      </c>
      <c r="AO445" s="400"/>
      <c r="AP445" s="422" t="str">
        <f ca="1">IFERROR(Área!Z391,"")</f>
        <v/>
      </c>
      <c r="AQ445" s="422"/>
      <c r="AR445" s="400" t="str">
        <f ca="1">Área!Y391</f>
        <v/>
      </c>
      <c r="AS445" s="423"/>
      <c r="AT445" s="72"/>
    </row>
    <row r="446" spans="1:46" ht="15" customHeight="1" x14ac:dyDescent="0.25">
      <c r="A446"/>
      <c r="C446" s="397" t="str">
        <f ca="1">Área!C392</f>
        <v/>
      </c>
      <c r="D446" s="398"/>
      <c r="E446" s="398"/>
      <c r="F446" s="398"/>
      <c r="G446" s="396" t="str">
        <f ca="1">Área!F392</f>
        <v/>
      </c>
      <c r="H446" s="396"/>
      <c r="I446" s="398" t="str">
        <f ca="1">Área!G392</f>
        <v/>
      </c>
      <c r="J446" s="398"/>
      <c r="K446" s="396" t="str">
        <f ca="1">Área!H392</f>
        <v/>
      </c>
      <c r="L446" s="396"/>
      <c r="M446" s="396" t="str">
        <f ca="1">Área!I392</f>
        <v/>
      </c>
      <c r="N446" s="396"/>
      <c r="O446" s="396" t="str">
        <f ca="1">Área!J392</f>
        <v/>
      </c>
      <c r="P446" s="396"/>
      <c r="Q446" s="396" t="str">
        <f ca="1">Área!K392</f>
        <v/>
      </c>
      <c r="R446" s="396"/>
      <c r="S446" s="396" t="str">
        <f ca="1">Área!L392</f>
        <v/>
      </c>
      <c r="T446" s="396"/>
      <c r="U446" s="396" t="str">
        <f ca="1">Área!N392</f>
        <v/>
      </c>
      <c r="V446" s="396"/>
      <c r="W446" s="396" t="str">
        <f ca="1">Área!M392</f>
        <v/>
      </c>
      <c r="X446" s="396"/>
      <c r="Y446" s="89" t="str">
        <f ca="1">Área!O392</f>
        <v/>
      </c>
      <c r="Z446" s="399" t="str">
        <f ca="1">Área!P392</f>
        <v/>
      </c>
      <c r="AA446" s="399"/>
      <c r="AB446" s="399"/>
      <c r="AC446" s="399"/>
      <c r="AD446" s="399" t="str">
        <f ca="1">Área!Q392</f>
        <v/>
      </c>
      <c r="AE446" s="399"/>
      <c r="AF446" s="399"/>
      <c r="AG446" s="399"/>
      <c r="AH446" s="400" t="str">
        <f ca="1">Área!R392</f>
        <v/>
      </c>
      <c r="AI446" s="400"/>
      <c r="AJ446" s="400" t="str">
        <f ca="1">Área!S392</f>
        <v/>
      </c>
      <c r="AK446" s="400"/>
      <c r="AL446" s="400" t="str">
        <f ca="1">Área!T392</f>
        <v/>
      </c>
      <c r="AM446" s="400"/>
      <c r="AN446" s="400" t="str">
        <f ca="1">Área!U392</f>
        <v/>
      </c>
      <c r="AO446" s="400"/>
      <c r="AP446" s="422" t="str">
        <f ca="1">IFERROR(Área!Z392,"")</f>
        <v/>
      </c>
      <c r="AQ446" s="422"/>
      <c r="AR446" s="400" t="str">
        <f ca="1">Área!Y392</f>
        <v/>
      </c>
      <c r="AS446" s="423"/>
      <c r="AT446" s="72"/>
    </row>
    <row r="447" spans="1:46" ht="15" customHeight="1" x14ac:dyDescent="0.25">
      <c r="A447"/>
      <c r="C447" s="397" t="str">
        <f ca="1">Área!C393</f>
        <v/>
      </c>
      <c r="D447" s="398"/>
      <c r="E447" s="398"/>
      <c r="F447" s="398"/>
      <c r="G447" s="396" t="str">
        <f ca="1">Área!F393</f>
        <v/>
      </c>
      <c r="H447" s="396"/>
      <c r="I447" s="398" t="str">
        <f ca="1">Área!G393</f>
        <v/>
      </c>
      <c r="J447" s="398"/>
      <c r="K447" s="396" t="str">
        <f ca="1">Área!H393</f>
        <v/>
      </c>
      <c r="L447" s="396"/>
      <c r="M447" s="396" t="str">
        <f ca="1">Área!I393</f>
        <v/>
      </c>
      <c r="N447" s="396"/>
      <c r="O447" s="396" t="str">
        <f ca="1">Área!J393</f>
        <v/>
      </c>
      <c r="P447" s="396"/>
      <c r="Q447" s="396" t="str">
        <f ca="1">Área!K393</f>
        <v/>
      </c>
      <c r="R447" s="396"/>
      <c r="S447" s="396" t="str">
        <f ca="1">Área!L393</f>
        <v/>
      </c>
      <c r="T447" s="396"/>
      <c r="U447" s="396" t="str">
        <f ca="1">Área!N393</f>
        <v/>
      </c>
      <c r="V447" s="396"/>
      <c r="W447" s="396" t="str">
        <f ca="1">Área!M393</f>
        <v/>
      </c>
      <c r="X447" s="396"/>
      <c r="Y447" s="89" t="str">
        <f ca="1">Área!O393</f>
        <v/>
      </c>
      <c r="Z447" s="399" t="str">
        <f ca="1">Área!P393</f>
        <v/>
      </c>
      <c r="AA447" s="399"/>
      <c r="AB447" s="399"/>
      <c r="AC447" s="399"/>
      <c r="AD447" s="399" t="str">
        <f ca="1">Área!Q393</f>
        <v/>
      </c>
      <c r="AE447" s="399"/>
      <c r="AF447" s="399"/>
      <c r="AG447" s="399"/>
      <c r="AH447" s="400" t="str">
        <f ca="1">Área!R393</f>
        <v/>
      </c>
      <c r="AI447" s="400"/>
      <c r="AJ447" s="400" t="str">
        <f ca="1">Área!S393</f>
        <v/>
      </c>
      <c r="AK447" s="400"/>
      <c r="AL447" s="400" t="str">
        <f ca="1">Área!T393</f>
        <v/>
      </c>
      <c r="AM447" s="400"/>
      <c r="AN447" s="400" t="str">
        <f ca="1">Área!U393</f>
        <v/>
      </c>
      <c r="AO447" s="400"/>
      <c r="AP447" s="422" t="str">
        <f ca="1">IFERROR(Área!Z393,"")</f>
        <v/>
      </c>
      <c r="AQ447" s="422"/>
      <c r="AR447" s="400" t="str">
        <f ca="1">Área!Y393</f>
        <v/>
      </c>
      <c r="AS447" s="423"/>
      <c r="AT447" s="72"/>
    </row>
    <row r="448" spans="1:46" ht="15" customHeight="1" x14ac:dyDescent="0.25">
      <c r="A448"/>
      <c r="C448" s="397" t="str">
        <f ca="1">Área!C394</f>
        <v/>
      </c>
      <c r="D448" s="398"/>
      <c r="E448" s="398"/>
      <c r="F448" s="398"/>
      <c r="G448" s="396" t="str">
        <f ca="1">Área!F394</f>
        <v/>
      </c>
      <c r="H448" s="396"/>
      <c r="I448" s="398" t="str">
        <f ca="1">Área!G394</f>
        <v/>
      </c>
      <c r="J448" s="398"/>
      <c r="K448" s="396" t="str">
        <f ca="1">Área!H394</f>
        <v/>
      </c>
      <c r="L448" s="396"/>
      <c r="M448" s="396" t="str">
        <f ca="1">Área!I394</f>
        <v/>
      </c>
      <c r="N448" s="396"/>
      <c r="O448" s="396" t="str">
        <f ca="1">Área!J394</f>
        <v/>
      </c>
      <c r="P448" s="396"/>
      <c r="Q448" s="396" t="str">
        <f ca="1">Área!K394</f>
        <v/>
      </c>
      <c r="R448" s="396"/>
      <c r="S448" s="396" t="str">
        <f ca="1">Área!L394</f>
        <v/>
      </c>
      <c r="T448" s="396"/>
      <c r="U448" s="396" t="str">
        <f ca="1">Área!N394</f>
        <v/>
      </c>
      <c r="V448" s="396"/>
      <c r="W448" s="396" t="str">
        <f ca="1">Área!M394</f>
        <v/>
      </c>
      <c r="X448" s="396"/>
      <c r="Y448" s="89" t="str">
        <f ca="1">Área!O394</f>
        <v/>
      </c>
      <c r="Z448" s="399" t="str">
        <f ca="1">Área!P394</f>
        <v/>
      </c>
      <c r="AA448" s="399"/>
      <c r="AB448" s="399"/>
      <c r="AC448" s="399"/>
      <c r="AD448" s="399" t="str">
        <f ca="1">Área!Q394</f>
        <v/>
      </c>
      <c r="AE448" s="399"/>
      <c r="AF448" s="399"/>
      <c r="AG448" s="399"/>
      <c r="AH448" s="400" t="str">
        <f ca="1">Área!R394</f>
        <v/>
      </c>
      <c r="AI448" s="400"/>
      <c r="AJ448" s="400" t="str">
        <f ca="1">Área!S394</f>
        <v/>
      </c>
      <c r="AK448" s="400"/>
      <c r="AL448" s="400" t="str">
        <f ca="1">Área!T394</f>
        <v/>
      </c>
      <c r="AM448" s="400"/>
      <c r="AN448" s="400" t="str">
        <f ca="1">Área!U394</f>
        <v/>
      </c>
      <c r="AO448" s="400"/>
      <c r="AP448" s="422" t="str">
        <f ca="1">IFERROR(Área!Z394,"")</f>
        <v/>
      </c>
      <c r="AQ448" s="422"/>
      <c r="AR448" s="400" t="str">
        <f ca="1">Área!Y394</f>
        <v/>
      </c>
      <c r="AS448" s="423"/>
      <c r="AT448" s="72"/>
    </row>
    <row r="449" spans="1:46" ht="15" customHeight="1" x14ac:dyDescent="0.25">
      <c r="A449"/>
      <c r="C449" s="397" t="str">
        <f ca="1">Área!C395</f>
        <v/>
      </c>
      <c r="D449" s="398"/>
      <c r="E449" s="398"/>
      <c r="F449" s="398"/>
      <c r="G449" s="396" t="str">
        <f ca="1">Área!F395</f>
        <v/>
      </c>
      <c r="H449" s="396"/>
      <c r="I449" s="398" t="str">
        <f ca="1">Área!G395</f>
        <v/>
      </c>
      <c r="J449" s="398"/>
      <c r="K449" s="396" t="str">
        <f ca="1">Área!H395</f>
        <v/>
      </c>
      <c r="L449" s="396"/>
      <c r="M449" s="396" t="str">
        <f ca="1">Área!I395</f>
        <v/>
      </c>
      <c r="N449" s="396"/>
      <c r="O449" s="396" t="str">
        <f ca="1">Área!J395</f>
        <v/>
      </c>
      <c r="P449" s="396"/>
      <c r="Q449" s="396" t="str">
        <f ca="1">Área!K395</f>
        <v/>
      </c>
      <c r="R449" s="396"/>
      <c r="S449" s="396" t="str">
        <f ca="1">Área!L395</f>
        <v/>
      </c>
      <c r="T449" s="396"/>
      <c r="U449" s="396" t="str">
        <f ca="1">Área!N395</f>
        <v/>
      </c>
      <c r="V449" s="396"/>
      <c r="W449" s="396" t="str">
        <f ca="1">Área!M395</f>
        <v/>
      </c>
      <c r="X449" s="396"/>
      <c r="Y449" s="89" t="str">
        <f ca="1">Área!O395</f>
        <v/>
      </c>
      <c r="Z449" s="399" t="str">
        <f ca="1">Área!P395</f>
        <v/>
      </c>
      <c r="AA449" s="399"/>
      <c r="AB449" s="399"/>
      <c r="AC449" s="399"/>
      <c r="AD449" s="399" t="str">
        <f ca="1">Área!Q395</f>
        <v/>
      </c>
      <c r="AE449" s="399"/>
      <c r="AF449" s="399"/>
      <c r="AG449" s="399"/>
      <c r="AH449" s="400" t="str">
        <f ca="1">Área!R395</f>
        <v/>
      </c>
      <c r="AI449" s="400"/>
      <c r="AJ449" s="400" t="str">
        <f ca="1">Área!S395</f>
        <v/>
      </c>
      <c r="AK449" s="400"/>
      <c r="AL449" s="400" t="str">
        <f ca="1">Área!T395</f>
        <v/>
      </c>
      <c r="AM449" s="400"/>
      <c r="AN449" s="400" t="str">
        <f ca="1">Área!U395</f>
        <v/>
      </c>
      <c r="AO449" s="400"/>
      <c r="AP449" s="422" t="str">
        <f ca="1">IFERROR(Área!Z395,"")</f>
        <v/>
      </c>
      <c r="AQ449" s="422"/>
      <c r="AR449" s="400" t="str">
        <f ca="1">Área!Y395</f>
        <v/>
      </c>
      <c r="AS449" s="423"/>
      <c r="AT449" s="72"/>
    </row>
    <row r="450" spans="1:46" ht="15" customHeight="1" x14ac:dyDescent="0.25">
      <c r="A450"/>
      <c r="C450" s="397" t="str">
        <f ca="1">Área!C396</f>
        <v/>
      </c>
      <c r="D450" s="398"/>
      <c r="E450" s="398"/>
      <c r="F450" s="398"/>
      <c r="G450" s="396" t="str">
        <f ca="1">Área!F396</f>
        <v/>
      </c>
      <c r="H450" s="396"/>
      <c r="I450" s="398" t="str">
        <f ca="1">Área!G396</f>
        <v/>
      </c>
      <c r="J450" s="398"/>
      <c r="K450" s="396" t="str">
        <f ca="1">Área!H396</f>
        <v/>
      </c>
      <c r="L450" s="396"/>
      <c r="M450" s="396" t="str">
        <f ca="1">Área!I396</f>
        <v/>
      </c>
      <c r="N450" s="396"/>
      <c r="O450" s="396" t="str">
        <f ca="1">Área!J396</f>
        <v/>
      </c>
      <c r="P450" s="396"/>
      <c r="Q450" s="396" t="str">
        <f ca="1">Área!K396</f>
        <v/>
      </c>
      <c r="R450" s="396"/>
      <c r="S450" s="396" t="str">
        <f ca="1">Área!L396</f>
        <v/>
      </c>
      <c r="T450" s="396"/>
      <c r="U450" s="396" t="str">
        <f ca="1">Área!N396</f>
        <v/>
      </c>
      <c r="V450" s="396"/>
      <c r="W450" s="396" t="str">
        <f ca="1">Área!M396</f>
        <v/>
      </c>
      <c r="X450" s="396"/>
      <c r="Y450" s="89" t="str">
        <f ca="1">Área!O396</f>
        <v/>
      </c>
      <c r="Z450" s="399" t="str">
        <f ca="1">Área!P396</f>
        <v/>
      </c>
      <c r="AA450" s="399"/>
      <c r="AB450" s="399"/>
      <c r="AC450" s="399"/>
      <c r="AD450" s="399" t="str">
        <f ca="1">Área!Q396</f>
        <v/>
      </c>
      <c r="AE450" s="399"/>
      <c r="AF450" s="399"/>
      <c r="AG450" s="399"/>
      <c r="AH450" s="400" t="str">
        <f ca="1">Área!R396</f>
        <v/>
      </c>
      <c r="AI450" s="400"/>
      <c r="AJ450" s="400" t="str">
        <f ca="1">Área!S396</f>
        <v/>
      </c>
      <c r="AK450" s="400"/>
      <c r="AL450" s="400" t="str">
        <f ca="1">Área!T396</f>
        <v/>
      </c>
      <c r="AM450" s="400"/>
      <c r="AN450" s="400" t="str">
        <f ca="1">Área!U396</f>
        <v/>
      </c>
      <c r="AO450" s="400"/>
      <c r="AP450" s="422" t="str">
        <f ca="1">IFERROR(Área!Z396,"")</f>
        <v/>
      </c>
      <c r="AQ450" s="422"/>
      <c r="AR450" s="400" t="str">
        <f ca="1">Área!Y396</f>
        <v/>
      </c>
      <c r="AS450" s="423"/>
      <c r="AT450" s="72"/>
    </row>
    <row r="451" spans="1:46" ht="15" customHeight="1" x14ac:dyDescent="0.25">
      <c r="A451"/>
      <c r="C451" s="397" t="str">
        <f ca="1">Área!C397</f>
        <v/>
      </c>
      <c r="D451" s="398"/>
      <c r="E451" s="398"/>
      <c r="F451" s="398"/>
      <c r="G451" s="396" t="str">
        <f ca="1">Área!F397</f>
        <v/>
      </c>
      <c r="H451" s="396"/>
      <c r="I451" s="398" t="str">
        <f ca="1">Área!G397</f>
        <v/>
      </c>
      <c r="J451" s="398"/>
      <c r="K451" s="396" t="str">
        <f ca="1">Área!H397</f>
        <v/>
      </c>
      <c r="L451" s="396"/>
      <c r="M451" s="396" t="str">
        <f ca="1">Área!I397</f>
        <v/>
      </c>
      <c r="N451" s="396"/>
      <c r="O451" s="396" t="str">
        <f ca="1">Área!J397</f>
        <v/>
      </c>
      <c r="P451" s="396"/>
      <c r="Q451" s="396" t="str">
        <f ca="1">Área!K397</f>
        <v/>
      </c>
      <c r="R451" s="396"/>
      <c r="S451" s="396" t="str">
        <f ca="1">Área!L397</f>
        <v/>
      </c>
      <c r="T451" s="396"/>
      <c r="U451" s="396" t="str">
        <f ca="1">Área!N397</f>
        <v/>
      </c>
      <c r="V451" s="396"/>
      <c r="W451" s="396" t="str">
        <f ca="1">Área!M397</f>
        <v/>
      </c>
      <c r="X451" s="396"/>
      <c r="Y451" s="89" t="str">
        <f ca="1">Área!O397</f>
        <v/>
      </c>
      <c r="Z451" s="399" t="str">
        <f ca="1">Área!P397</f>
        <v/>
      </c>
      <c r="AA451" s="399"/>
      <c r="AB451" s="399"/>
      <c r="AC451" s="399"/>
      <c r="AD451" s="399" t="str">
        <f ca="1">Área!Q397</f>
        <v/>
      </c>
      <c r="AE451" s="399"/>
      <c r="AF451" s="399"/>
      <c r="AG451" s="399"/>
      <c r="AH451" s="400" t="str">
        <f ca="1">Área!R397</f>
        <v/>
      </c>
      <c r="AI451" s="400"/>
      <c r="AJ451" s="400" t="str">
        <f ca="1">Área!S397</f>
        <v/>
      </c>
      <c r="AK451" s="400"/>
      <c r="AL451" s="400" t="str">
        <f ca="1">Área!T397</f>
        <v/>
      </c>
      <c r="AM451" s="400"/>
      <c r="AN451" s="400" t="str">
        <f ca="1">Área!U397</f>
        <v/>
      </c>
      <c r="AO451" s="400"/>
      <c r="AP451" s="422" t="str">
        <f ca="1">IFERROR(Área!Z397,"")</f>
        <v/>
      </c>
      <c r="AQ451" s="422"/>
      <c r="AR451" s="400" t="str">
        <f ca="1">Área!Y397</f>
        <v/>
      </c>
      <c r="AS451" s="423"/>
      <c r="AT451" s="72"/>
    </row>
    <row r="452" spans="1:46" ht="15" customHeight="1" x14ac:dyDescent="0.25">
      <c r="A452"/>
      <c r="C452" s="397" t="str">
        <f ca="1">Área!C398</f>
        <v/>
      </c>
      <c r="D452" s="398"/>
      <c r="E452" s="398"/>
      <c r="F452" s="398"/>
      <c r="G452" s="396" t="str">
        <f ca="1">Área!F398</f>
        <v/>
      </c>
      <c r="H452" s="396"/>
      <c r="I452" s="398" t="str">
        <f ca="1">Área!G398</f>
        <v/>
      </c>
      <c r="J452" s="398"/>
      <c r="K452" s="396" t="str">
        <f ca="1">Área!H398</f>
        <v/>
      </c>
      <c r="L452" s="396"/>
      <c r="M452" s="396" t="str">
        <f ca="1">Área!I398</f>
        <v/>
      </c>
      <c r="N452" s="396"/>
      <c r="O452" s="396" t="str">
        <f ca="1">Área!J398</f>
        <v/>
      </c>
      <c r="P452" s="396"/>
      <c r="Q452" s="396" t="str">
        <f ca="1">Área!K398</f>
        <v/>
      </c>
      <c r="R452" s="396"/>
      <c r="S452" s="396" t="str">
        <f ca="1">Área!L398</f>
        <v/>
      </c>
      <c r="T452" s="396"/>
      <c r="U452" s="396" t="str">
        <f ca="1">Área!N398</f>
        <v/>
      </c>
      <c r="V452" s="396"/>
      <c r="W452" s="396" t="str">
        <f ca="1">Área!M398</f>
        <v/>
      </c>
      <c r="X452" s="396"/>
      <c r="Y452" s="89" t="str">
        <f ca="1">Área!O398</f>
        <v/>
      </c>
      <c r="Z452" s="399" t="str">
        <f ca="1">Área!P398</f>
        <v/>
      </c>
      <c r="AA452" s="399"/>
      <c r="AB452" s="399"/>
      <c r="AC452" s="399"/>
      <c r="AD452" s="399" t="str">
        <f ca="1">Área!Q398</f>
        <v/>
      </c>
      <c r="AE452" s="399"/>
      <c r="AF452" s="399"/>
      <c r="AG452" s="399"/>
      <c r="AH452" s="400" t="str">
        <f ca="1">Área!R398</f>
        <v/>
      </c>
      <c r="AI452" s="400"/>
      <c r="AJ452" s="400" t="str">
        <f ca="1">Área!S398</f>
        <v/>
      </c>
      <c r="AK452" s="400"/>
      <c r="AL452" s="400" t="str">
        <f ca="1">Área!T398</f>
        <v/>
      </c>
      <c r="AM452" s="400"/>
      <c r="AN452" s="400" t="str">
        <f ca="1">Área!U398</f>
        <v/>
      </c>
      <c r="AO452" s="400"/>
      <c r="AP452" s="422" t="str">
        <f ca="1">IFERROR(Área!Z398,"")</f>
        <v/>
      </c>
      <c r="AQ452" s="422"/>
      <c r="AR452" s="400" t="str">
        <f ca="1">Área!Y398</f>
        <v/>
      </c>
      <c r="AS452" s="423"/>
      <c r="AT452" s="72"/>
    </row>
    <row r="453" spans="1:46" ht="15" customHeight="1" x14ac:dyDescent="0.25">
      <c r="A453"/>
      <c r="C453" s="397" t="str">
        <f ca="1">Área!C399</f>
        <v/>
      </c>
      <c r="D453" s="398"/>
      <c r="E453" s="398"/>
      <c r="F453" s="398"/>
      <c r="G453" s="396" t="str">
        <f ca="1">Área!F399</f>
        <v/>
      </c>
      <c r="H453" s="396"/>
      <c r="I453" s="398" t="str">
        <f ca="1">Área!G399</f>
        <v/>
      </c>
      <c r="J453" s="398"/>
      <c r="K453" s="396" t="str">
        <f ca="1">Área!H399</f>
        <v/>
      </c>
      <c r="L453" s="396"/>
      <c r="M453" s="396" t="str">
        <f ca="1">Área!I399</f>
        <v/>
      </c>
      <c r="N453" s="396"/>
      <c r="O453" s="396" t="str">
        <f ca="1">Área!J399</f>
        <v/>
      </c>
      <c r="P453" s="396"/>
      <c r="Q453" s="396" t="str">
        <f ca="1">Área!K399</f>
        <v/>
      </c>
      <c r="R453" s="396"/>
      <c r="S453" s="396" t="str">
        <f ca="1">Área!L399</f>
        <v/>
      </c>
      <c r="T453" s="396"/>
      <c r="U453" s="396" t="str">
        <f ca="1">Área!N399</f>
        <v/>
      </c>
      <c r="V453" s="396"/>
      <c r="W453" s="396" t="str">
        <f ca="1">Área!M399</f>
        <v/>
      </c>
      <c r="X453" s="396"/>
      <c r="Y453" s="89" t="str">
        <f ca="1">Área!O399</f>
        <v/>
      </c>
      <c r="Z453" s="399" t="str">
        <f ca="1">Área!P399</f>
        <v/>
      </c>
      <c r="AA453" s="399"/>
      <c r="AB453" s="399"/>
      <c r="AC453" s="399"/>
      <c r="AD453" s="399" t="str">
        <f ca="1">Área!Q399</f>
        <v/>
      </c>
      <c r="AE453" s="399"/>
      <c r="AF453" s="399"/>
      <c r="AG453" s="399"/>
      <c r="AH453" s="400" t="str">
        <f ca="1">Área!R399</f>
        <v/>
      </c>
      <c r="AI453" s="400"/>
      <c r="AJ453" s="400" t="str">
        <f ca="1">Área!S399</f>
        <v/>
      </c>
      <c r="AK453" s="400"/>
      <c r="AL453" s="400" t="str">
        <f ca="1">Área!T399</f>
        <v/>
      </c>
      <c r="AM453" s="400"/>
      <c r="AN453" s="400" t="str">
        <f ca="1">Área!U399</f>
        <v/>
      </c>
      <c r="AO453" s="400"/>
      <c r="AP453" s="422" t="str">
        <f ca="1">IFERROR(Área!Z399,"")</f>
        <v/>
      </c>
      <c r="AQ453" s="422"/>
      <c r="AR453" s="400" t="str">
        <f ca="1">Área!Y399</f>
        <v/>
      </c>
      <c r="AS453" s="423"/>
      <c r="AT453" s="72"/>
    </row>
    <row r="454" spans="1:46" ht="15" customHeight="1" x14ac:dyDescent="0.25">
      <c r="A454"/>
      <c r="C454" s="397" t="str">
        <f ca="1">Área!C400</f>
        <v/>
      </c>
      <c r="D454" s="398"/>
      <c r="E454" s="398"/>
      <c r="F454" s="398"/>
      <c r="G454" s="396" t="str">
        <f ca="1">Área!F400</f>
        <v/>
      </c>
      <c r="H454" s="396"/>
      <c r="I454" s="398" t="str">
        <f ca="1">Área!G400</f>
        <v/>
      </c>
      <c r="J454" s="398"/>
      <c r="K454" s="396" t="str">
        <f ca="1">Área!H400</f>
        <v/>
      </c>
      <c r="L454" s="396"/>
      <c r="M454" s="396" t="str">
        <f ca="1">Área!I400</f>
        <v/>
      </c>
      <c r="N454" s="396"/>
      <c r="O454" s="396" t="str">
        <f ca="1">Área!J400</f>
        <v/>
      </c>
      <c r="P454" s="396"/>
      <c r="Q454" s="396" t="str">
        <f ca="1">Área!K400</f>
        <v/>
      </c>
      <c r="R454" s="396"/>
      <c r="S454" s="396" t="str">
        <f ca="1">Área!L400</f>
        <v/>
      </c>
      <c r="T454" s="396"/>
      <c r="U454" s="396" t="str">
        <f ca="1">Área!N400</f>
        <v/>
      </c>
      <c r="V454" s="396"/>
      <c r="W454" s="396" t="str">
        <f ca="1">Área!M400</f>
        <v/>
      </c>
      <c r="X454" s="396"/>
      <c r="Y454" s="89" t="str">
        <f ca="1">Área!O400</f>
        <v/>
      </c>
      <c r="Z454" s="399" t="str">
        <f ca="1">Área!P400</f>
        <v/>
      </c>
      <c r="AA454" s="399"/>
      <c r="AB454" s="399"/>
      <c r="AC454" s="399"/>
      <c r="AD454" s="399" t="str">
        <f ca="1">Área!Q400</f>
        <v/>
      </c>
      <c r="AE454" s="399"/>
      <c r="AF454" s="399"/>
      <c r="AG454" s="399"/>
      <c r="AH454" s="400" t="str">
        <f ca="1">Área!R400</f>
        <v/>
      </c>
      <c r="AI454" s="400"/>
      <c r="AJ454" s="400" t="str">
        <f ca="1">Área!S400</f>
        <v/>
      </c>
      <c r="AK454" s="400"/>
      <c r="AL454" s="400" t="str">
        <f ca="1">Área!T400</f>
        <v/>
      </c>
      <c r="AM454" s="400"/>
      <c r="AN454" s="400" t="str">
        <f ca="1">Área!U400</f>
        <v/>
      </c>
      <c r="AO454" s="400"/>
      <c r="AP454" s="422" t="str">
        <f ca="1">IFERROR(Área!Z400,"")</f>
        <v/>
      </c>
      <c r="AQ454" s="422"/>
      <c r="AR454" s="400" t="str">
        <f ca="1">Área!Y400</f>
        <v/>
      </c>
      <c r="AS454" s="423"/>
      <c r="AT454" s="72"/>
    </row>
    <row r="455" spans="1:46" ht="15" customHeight="1" x14ac:dyDescent="0.25">
      <c r="A455"/>
      <c r="C455" s="397" t="str">
        <f ca="1">Área!C401</f>
        <v/>
      </c>
      <c r="D455" s="398"/>
      <c r="E455" s="398"/>
      <c r="F455" s="398"/>
      <c r="G455" s="396" t="str">
        <f ca="1">Área!F401</f>
        <v/>
      </c>
      <c r="H455" s="396"/>
      <c r="I455" s="398" t="str">
        <f ca="1">Área!G401</f>
        <v/>
      </c>
      <c r="J455" s="398"/>
      <c r="K455" s="396" t="str">
        <f ca="1">Área!H401</f>
        <v/>
      </c>
      <c r="L455" s="396"/>
      <c r="M455" s="396" t="str">
        <f ca="1">Área!I401</f>
        <v/>
      </c>
      <c r="N455" s="396"/>
      <c r="O455" s="396" t="str">
        <f ca="1">Área!J401</f>
        <v/>
      </c>
      <c r="P455" s="396"/>
      <c r="Q455" s="396" t="str">
        <f ca="1">Área!K401</f>
        <v/>
      </c>
      <c r="R455" s="396"/>
      <c r="S455" s="396" t="str">
        <f ca="1">Área!L401</f>
        <v/>
      </c>
      <c r="T455" s="396"/>
      <c r="U455" s="396" t="str">
        <f ca="1">Área!N401</f>
        <v/>
      </c>
      <c r="V455" s="396"/>
      <c r="W455" s="396" t="str">
        <f ca="1">Área!M401</f>
        <v/>
      </c>
      <c r="X455" s="396"/>
      <c r="Y455" s="89" t="str">
        <f ca="1">Área!O401</f>
        <v/>
      </c>
      <c r="Z455" s="399" t="str">
        <f ca="1">Área!P401</f>
        <v/>
      </c>
      <c r="AA455" s="399"/>
      <c r="AB455" s="399"/>
      <c r="AC455" s="399"/>
      <c r="AD455" s="399" t="str">
        <f ca="1">Área!Q401</f>
        <v/>
      </c>
      <c r="AE455" s="399"/>
      <c r="AF455" s="399"/>
      <c r="AG455" s="399"/>
      <c r="AH455" s="400" t="str">
        <f ca="1">Área!R401</f>
        <v/>
      </c>
      <c r="AI455" s="400"/>
      <c r="AJ455" s="400" t="str">
        <f ca="1">Área!S401</f>
        <v/>
      </c>
      <c r="AK455" s="400"/>
      <c r="AL455" s="400" t="str">
        <f ca="1">Área!T401</f>
        <v/>
      </c>
      <c r="AM455" s="400"/>
      <c r="AN455" s="400" t="str">
        <f ca="1">Área!U401</f>
        <v/>
      </c>
      <c r="AO455" s="400"/>
      <c r="AP455" s="422" t="str">
        <f ca="1">IFERROR(Área!Z401,"")</f>
        <v/>
      </c>
      <c r="AQ455" s="422"/>
      <c r="AR455" s="400" t="str">
        <f ca="1">Área!Y401</f>
        <v/>
      </c>
      <c r="AS455" s="423"/>
      <c r="AT455" s="72"/>
    </row>
    <row r="456" spans="1:46" ht="15" customHeight="1" x14ac:dyDescent="0.25">
      <c r="A456"/>
      <c r="C456" s="397" t="str">
        <f ca="1">Área!C402</f>
        <v/>
      </c>
      <c r="D456" s="398"/>
      <c r="E456" s="398"/>
      <c r="F456" s="398"/>
      <c r="G456" s="396" t="str">
        <f ca="1">Área!F402</f>
        <v/>
      </c>
      <c r="H456" s="396"/>
      <c r="I456" s="398" t="str">
        <f ca="1">Área!G402</f>
        <v/>
      </c>
      <c r="J456" s="398"/>
      <c r="K456" s="396" t="str">
        <f ca="1">Área!H402</f>
        <v/>
      </c>
      <c r="L456" s="396"/>
      <c r="M456" s="396" t="str">
        <f ca="1">Área!I402</f>
        <v/>
      </c>
      <c r="N456" s="396"/>
      <c r="O456" s="396" t="str">
        <f ca="1">Área!J402</f>
        <v/>
      </c>
      <c r="P456" s="396"/>
      <c r="Q456" s="396" t="str">
        <f ca="1">Área!K402</f>
        <v/>
      </c>
      <c r="R456" s="396"/>
      <c r="S456" s="396" t="str">
        <f ca="1">Área!L402</f>
        <v/>
      </c>
      <c r="T456" s="396"/>
      <c r="U456" s="396" t="str">
        <f ca="1">Área!N402</f>
        <v/>
      </c>
      <c r="V456" s="396"/>
      <c r="W456" s="396" t="str">
        <f ca="1">Área!M402</f>
        <v/>
      </c>
      <c r="X456" s="396"/>
      <c r="Y456" s="89" t="str">
        <f ca="1">Área!O402</f>
        <v/>
      </c>
      <c r="Z456" s="399" t="str">
        <f ca="1">Área!P402</f>
        <v/>
      </c>
      <c r="AA456" s="399"/>
      <c r="AB456" s="399"/>
      <c r="AC456" s="399"/>
      <c r="AD456" s="399" t="str">
        <f ca="1">Área!Q402</f>
        <v/>
      </c>
      <c r="AE456" s="399"/>
      <c r="AF456" s="399"/>
      <c r="AG456" s="399"/>
      <c r="AH456" s="400" t="str">
        <f ca="1">Área!R402</f>
        <v/>
      </c>
      <c r="AI456" s="400"/>
      <c r="AJ456" s="400" t="str">
        <f ca="1">Área!S402</f>
        <v/>
      </c>
      <c r="AK456" s="400"/>
      <c r="AL456" s="400" t="str">
        <f ca="1">Área!T402</f>
        <v/>
      </c>
      <c r="AM456" s="400"/>
      <c r="AN456" s="400" t="str">
        <f ca="1">Área!U402</f>
        <v/>
      </c>
      <c r="AO456" s="400"/>
      <c r="AP456" s="422" t="str">
        <f ca="1">IFERROR(Área!Z402,"")</f>
        <v/>
      </c>
      <c r="AQ456" s="422"/>
      <c r="AR456" s="400" t="str">
        <f ca="1">Área!Y402</f>
        <v/>
      </c>
      <c r="AS456" s="423"/>
      <c r="AT456" s="72"/>
    </row>
    <row r="457" spans="1:46" ht="15" customHeight="1" x14ac:dyDescent="0.25">
      <c r="A457"/>
      <c r="C457" s="397" t="str">
        <f ca="1">Área!C403</f>
        <v/>
      </c>
      <c r="D457" s="398"/>
      <c r="E457" s="398"/>
      <c r="F457" s="398"/>
      <c r="G457" s="396" t="str">
        <f ca="1">Área!F403</f>
        <v/>
      </c>
      <c r="H457" s="396"/>
      <c r="I457" s="398" t="str">
        <f ca="1">Área!G403</f>
        <v/>
      </c>
      <c r="J457" s="398"/>
      <c r="K457" s="396" t="str">
        <f ca="1">Área!H403</f>
        <v/>
      </c>
      <c r="L457" s="396"/>
      <c r="M457" s="396" t="str">
        <f ca="1">Área!I403</f>
        <v/>
      </c>
      <c r="N457" s="396"/>
      <c r="O457" s="396" t="str">
        <f ca="1">Área!J403</f>
        <v/>
      </c>
      <c r="P457" s="396"/>
      <c r="Q457" s="396" t="str">
        <f ca="1">Área!K403</f>
        <v/>
      </c>
      <c r="R457" s="396"/>
      <c r="S457" s="396" t="str">
        <f ca="1">Área!L403</f>
        <v/>
      </c>
      <c r="T457" s="396"/>
      <c r="U457" s="396" t="str">
        <f ca="1">Área!N403</f>
        <v/>
      </c>
      <c r="V457" s="396"/>
      <c r="W457" s="396" t="str">
        <f ca="1">Área!M403</f>
        <v/>
      </c>
      <c r="X457" s="396"/>
      <c r="Y457" s="89" t="str">
        <f ca="1">Área!O403</f>
        <v/>
      </c>
      <c r="Z457" s="399" t="str">
        <f ca="1">Área!P403</f>
        <v/>
      </c>
      <c r="AA457" s="399"/>
      <c r="AB457" s="399"/>
      <c r="AC457" s="399"/>
      <c r="AD457" s="399" t="str">
        <f ca="1">Área!Q403</f>
        <v/>
      </c>
      <c r="AE457" s="399"/>
      <c r="AF457" s="399"/>
      <c r="AG457" s="399"/>
      <c r="AH457" s="400" t="str">
        <f ca="1">Área!R403</f>
        <v/>
      </c>
      <c r="AI457" s="400"/>
      <c r="AJ457" s="400" t="str">
        <f ca="1">Área!S403</f>
        <v/>
      </c>
      <c r="AK457" s="400"/>
      <c r="AL457" s="400" t="str">
        <f ca="1">Área!T403</f>
        <v/>
      </c>
      <c r="AM457" s="400"/>
      <c r="AN457" s="400" t="str">
        <f ca="1">Área!U403</f>
        <v/>
      </c>
      <c r="AO457" s="400"/>
      <c r="AP457" s="422" t="str">
        <f ca="1">IFERROR(Área!Z403,"")</f>
        <v/>
      </c>
      <c r="AQ457" s="422"/>
      <c r="AR457" s="400" t="str">
        <f ca="1">Área!Y403</f>
        <v/>
      </c>
      <c r="AS457" s="423"/>
      <c r="AT457" s="72"/>
    </row>
    <row r="458" spans="1:46" ht="15" customHeight="1" x14ac:dyDescent="0.25">
      <c r="A458"/>
      <c r="C458" s="397" t="str">
        <f ca="1">Área!C404</f>
        <v/>
      </c>
      <c r="D458" s="398"/>
      <c r="E458" s="398"/>
      <c r="F458" s="398"/>
      <c r="G458" s="396" t="str">
        <f ca="1">Área!F404</f>
        <v/>
      </c>
      <c r="H458" s="396"/>
      <c r="I458" s="398" t="str">
        <f ca="1">Área!G404</f>
        <v/>
      </c>
      <c r="J458" s="398"/>
      <c r="K458" s="396" t="str">
        <f ca="1">Área!H404</f>
        <v/>
      </c>
      <c r="L458" s="396"/>
      <c r="M458" s="396" t="str">
        <f ca="1">Área!I404</f>
        <v/>
      </c>
      <c r="N458" s="396"/>
      <c r="O458" s="396" t="str">
        <f ca="1">Área!J404</f>
        <v/>
      </c>
      <c r="P458" s="396"/>
      <c r="Q458" s="396" t="str">
        <f ca="1">Área!K404</f>
        <v/>
      </c>
      <c r="R458" s="396"/>
      <c r="S458" s="396" t="str">
        <f ca="1">Área!L404</f>
        <v/>
      </c>
      <c r="T458" s="396"/>
      <c r="U458" s="396" t="str">
        <f ca="1">Área!N404</f>
        <v/>
      </c>
      <c r="V458" s="396"/>
      <c r="W458" s="396" t="str">
        <f ca="1">Área!M404</f>
        <v/>
      </c>
      <c r="X458" s="396"/>
      <c r="Y458" s="89" t="str">
        <f ca="1">Área!O404</f>
        <v/>
      </c>
      <c r="Z458" s="399" t="str">
        <f ca="1">Área!P404</f>
        <v/>
      </c>
      <c r="AA458" s="399"/>
      <c r="AB458" s="399"/>
      <c r="AC458" s="399"/>
      <c r="AD458" s="399" t="str">
        <f ca="1">Área!Q404</f>
        <v/>
      </c>
      <c r="AE458" s="399"/>
      <c r="AF458" s="399"/>
      <c r="AG458" s="399"/>
      <c r="AH458" s="400" t="str">
        <f ca="1">Área!R404</f>
        <v/>
      </c>
      <c r="AI458" s="400"/>
      <c r="AJ458" s="400" t="str">
        <f ca="1">Área!S404</f>
        <v/>
      </c>
      <c r="AK458" s="400"/>
      <c r="AL458" s="400" t="str">
        <f ca="1">Área!T404</f>
        <v/>
      </c>
      <c r="AM458" s="400"/>
      <c r="AN458" s="400" t="str">
        <f ca="1">Área!U404</f>
        <v/>
      </c>
      <c r="AO458" s="400"/>
      <c r="AP458" s="422" t="str">
        <f ca="1">IFERROR(Área!Z404,"")</f>
        <v/>
      </c>
      <c r="AQ458" s="422"/>
      <c r="AR458" s="400" t="str">
        <f ca="1">Área!Y404</f>
        <v/>
      </c>
      <c r="AS458" s="423"/>
      <c r="AT458" s="72"/>
    </row>
    <row r="459" spans="1:46" ht="15" customHeight="1" x14ac:dyDescent="0.25">
      <c r="A459"/>
      <c r="C459" s="397" t="str">
        <f ca="1">Área!C405</f>
        <v/>
      </c>
      <c r="D459" s="398"/>
      <c r="E459" s="398"/>
      <c r="F459" s="398"/>
      <c r="G459" s="396" t="str">
        <f ca="1">Área!F405</f>
        <v/>
      </c>
      <c r="H459" s="396"/>
      <c r="I459" s="398" t="str">
        <f ca="1">Área!G405</f>
        <v/>
      </c>
      <c r="J459" s="398"/>
      <c r="K459" s="396" t="str">
        <f ca="1">Área!H405</f>
        <v/>
      </c>
      <c r="L459" s="396"/>
      <c r="M459" s="396" t="str">
        <f ca="1">Área!I405</f>
        <v/>
      </c>
      <c r="N459" s="396"/>
      <c r="O459" s="396" t="str">
        <f ca="1">Área!J405</f>
        <v/>
      </c>
      <c r="P459" s="396"/>
      <c r="Q459" s="396" t="str">
        <f ca="1">Área!K405</f>
        <v/>
      </c>
      <c r="R459" s="396"/>
      <c r="S459" s="396" t="str">
        <f ca="1">Área!L405</f>
        <v/>
      </c>
      <c r="T459" s="396"/>
      <c r="U459" s="396" t="str">
        <f ca="1">Área!N405</f>
        <v/>
      </c>
      <c r="V459" s="396"/>
      <c r="W459" s="396" t="str">
        <f ca="1">Área!M405</f>
        <v/>
      </c>
      <c r="X459" s="396"/>
      <c r="Y459" s="89" t="str">
        <f ca="1">Área!O405</f>
        <v/>
      </c>
      <c r="Z459" s="399" t="str">
        <f ca="1">Área!P405</f>
        <v/>
      </c>
      <c r="AA459" s="399"/>
      <c r="AB459" s="399"/>
      <c r="AC459" s="399"/>
      <c r="AD459" s="399" t="str">
        <f ca="1">Área!Q405</f>
        <v/>
      </c>
      <c r="AE459" s="399"/>
      <c r="AF459" s="399"/>
      <c r="AG459" s="399"/>
      <c r="AH459" s="400" t="str">
        <f ca="1">Área!R405</f>
        <v/>
      </c>
      <c r="AI459" s="400"/>
      <c r="AJ459" s="400" t="str">
        <f ca="1">Área!S405</f>
        <v/>
      </c>
      <c r="AK459" s="400"/>
      <c r="AL459" s="400" t="str">
        <f ca="1">Área!T405</f>
        <v/>
      </c>
      <c r="AM459" s="400"/>
      <c r="AN459" s="400" t="str">
        <f ca="1">Área!U405</f>
        <v/>
      </c>
      <c r="AO459" s="400"/>
      <c r="AP459" s="422" t="str">
        <f ca="1">IFERROR(Área!Z405,"")</f>
        <v/>
      </c>
      <c r="AQ459" s="422"/>
      <c r="AR459" s="400" t="str">
        <f ca="1">Área!Y405</f>
        <v/>
      </c>
      <c r="AS459" s="423"/>
      <c r="AT459" s="72"/>
    </row>
    <row r="460" spans="1:46" ht="15" customHeight="1" x14ac:dyDescent="0.25">
      <c r="A460"/>
      <c r="C460" s="397" t="str">
        <f ca="1">Área!C406</f>
        <v/>
      </c>
      <c r="D460" s="398"/>
      <c r="E460" s="398"/>
      <c r="F460" s="398"/>
      <c r="G460" s="396" t="str">
        <f ca="1">Área!F406</f>
        <v/>
      </c>
      <c r="H460" s="396"/>
      <c r="I460" s="398" t="str">
        <f ca="1">Área!G406</f>
        <v/>
      </c>
      <c r="J460" s="398"/>
      <c r="K460" s="396" t="str">
        <f ca="1">Área!H406</f>
        <v/>
      </c>
      <c r="L460" s="396"/>
      <c r="M460" s="396" t="str">
        <f ca="1">Área!I406</f>
        <v/>
      </c>
      <c r="N460" s="396"/>
      <c r="O460" s="396" t="str">
        <f ca="1">Área!J406</f>
        <v/>
      </c>
      <c r="P460" s="396"/>
      <c r="Q460" s="396" t="str">
        <f ca="1">Área!K406</f>
        <v/>
      </c>
      <c r="R460" s="396"/>
      <c r="S460" s="396" t="str">
        <f ca="1">Área!L406</f>
        <v/>
      </c>
      <c r="T460" s="396"/>
      <c r="U460" s="396" t="str">
        <f ca="1">Área!N406</f>
        <v/>
      </c>
      <c r="V460" s="396"/>
      <c r="W460" s="396" t="str">
        <f ca="1">Área!M406</f>
        <v/>
      </c>
      <c r="X460" s="396"/>
      <c r="Y460" s="89" t="str">
        <f ca="1">Área!O406</f>
        <v/>
      </c>
      <c r="Z460" s="399" t="str">
        <f ca="1">Área!P406</f>
        <v/>
      </c>
      <c r="AA460" s="399"/>
      <c r="AB460" s="399"/>
      <c r="AC460" s="399"/>
      <c r="AD460" s="399" t="str">
        <f ca="1">Área!Q406</f>
        <v/>
      </c>
      <c r="AE460" s="399"/>
      <c r="AF460" s="399"/>
      <c r="AG460" s="399"/>
      <c r="AH460" s="400" t="str">
        <f ca="1">Área!R406</f>
        <v/>
      </c>
      <c r="AI460" s="400"/>
      <c r="AJ460" s="400" t="str">
        <f ca="1">Área!S406</f>
        <v/>
      </c>
      <c r="AK460" s="400"/>
      <c r="AL460" s="400" t="str">
        <f ca="1">Área!T406</f>
        <v/>
      </c>
      <c r="AM460" s="400"/>
      <c r="AN460" s="400" t="str">
        <f ca="1">Área!U406</f>
        <v/>
      </c>
      <c r="AO460" s="400"/>
      <c r="AP460" s="422" t="str">
        <f ca="1">IFERROR(Área!Z406,"")</f>
        <v/>
      </c>
      <c r="AQ460" s="422"/>
      <c r="AR460" s="400" t="str">
        <f ca="1">Área!Y406</f>
        <v/>
      </c>
      <c r="AS460" s="423"/>
      <c r="AT460" s="72"/>
    </row>
    <row r="461" spans="1:46" ht="15" customHeight="1" x14ac:dyDescent="0.25">
      <c r="A461"/>
      <c r="C461" s="397" t="str">
        <f ca="1">Área!C407</f>
        <v/>
      </c>
      <c r="D461" s="398"/>
      <c r="E461" s="398"/>
      <c r="F461" s="398"/>
      <c r="G461" s="396" t="str">
        <f ca="1">Área!F407</f>
        <v/>
      </c>
      <c r="H461" s="396"/>
      <c r="I461" s="398" t="str">
        <f ca="1">Área!G407</f>
        <v/>
      </c>
      <c r="J461" s="398"/>
      <c r="K461" s="396" t="str">
        <f ca="1">Área!H407</f>
        <v/>
      </c>
      <c r="L461" s="396"/>
      <c r="M461" s="396" t="str">
        <f ca="1">Área!I407</f>
        <v/>
      </c>
      <c r="N461" s="396"/>
      <c r="O461" s="396" t="str">
        <f ca="1">Área!J407</f>
        <v/>
      </c>
      <c r="P461" s="396"/>
      <c r="Q461" s="396" t="str">
        <f ca="1">Área!K407</f>
        <v/>
      </c>
      <c r="R461" s="396"/>
      <c r="S461" s="396" t="str">
        <f ca="1">Área!L407</f>
        <v/>
      </c>
      <c r="T461" s="396"/>
      <c r="U461" s="396" t="str">
        <f ca="1">Área!N407</f>
        <v/>
      </c>
      <c r="V461" s="396"/>
      <c r="W461" s="396" t="str">
        <f ca="1">Área!M407</f>
        <v/>
      </c>
      <c r="X461" s="396"/>
      <c r="Y461" s="89" t="str">
        <f ca="1">Área!O407</f>
        <v/>
      </c>
      <c r="Z461" s="399" t="str">
        <f ca="1">Área!P407</f>
        <v/>
      </c>
      <c r="AA461" s="399"/>
      <c r="AB461" s="399"/>
      <c r="AC461" s="399"/>
      <c r="AD461" s="399" t="str">
        <f ca="1">Área!Q407</f>
        <v/>
      </c>
      <c r="AE461" s="399"/>
      <c r="AF461" s="399"/>
      <c r="AG461" s="399"/>
      <c r="AH461" s="400" t="str">
        <f ca="1">Área!R407</f>
        <v/>
      </c>
      <c r="AI461" s="400"/>
      <c r="AJ461" s="400" t="str">
        <f ca="1">Área!S407</f>
        <v/>
      </c>
      <c r="AK461" s="400"/>
      <c r="AL461" s="400" t="str">
        <f ca="1">Área!T407</f>
        <v/>
      </c>
      <c r="AM461" s="400"/>
      <c r="AN461" s="400" t="str">
        <f ca="1">Área!U407</f>
        <v/>
      </c>
      <c r="AO461" s="400"/>
      <c r="AP461" s="422" t="str">
        <f ca="1">IFERROR(Área!Z407,"")</f>
        <v/>
      </c>
      <c r="AQ461" s="422"/>
      <c r="AR461" s="400" t="str">
        <f ca="1">Área!Y407</f>
        <v/>
      </c>
      <c r="AS461" s="423"/>
      <c r="AT461" s="72"/>
    </row>
    <row r="462" spans="1:46" ht="15" customHeight="1" x14ac:dyDescent="0.25">
      <c r="A462"/>
      <c r="C462" s="397" t="str">
        <f ca="1">Área!C408</f>
        <v/>
      </c>
      <c r="D462" s="398"/>
      <c r="E462" s="398"/>
      <c r="F462" s="398"/>
      <c r="G462" s="396" t="str">
        <f ca="1">Área!F408</f>
        <v/>
      </c>
      <c r="H462" s="396"/>
      <c r="I462" s="398" t="str">
        <f ca="1">Área!G408</f>
        <v/>
      </c>
      <c r="J462" s="398"/>
      <c r="K462" s="396" t="str">
        <f ca="1">Área!H408</f>
        <v/>
      </c>
      <c r="L462" s="396"/>
      <c r="M462" s="396" t="str">
        <f ca="1">Área!I408</f>
        <v/>
      </c>
      <c r="N462" s="396"/>
      <c r="O462" s="396" t="str">
        <f ca="1">Área!J408</f>
        <v/>
      </c>
      <c r="P462" s="396"/>
      <c r="Q462" s="396" t="str">
        <f ca="1">Área!K408</f>
        <v/>
      </c>
      <c r="R462" s="396"/>
      <c r="S462" s="396" t="str">
        <f ca="1">Área!L408</f>
        <v/>
      </c>
      <c r="T462" s="396"/>
      <c r="U462" s="396" t="str">
        <f ca="1">Área!N408</f>
        <v/>
      </c>
      <c r="V462" s="396"/>
      <c r="W462" s="396" t="str">
        <f ca="1">Área!M408</f>
        <v/>
      </c>
      <c r="X462" s="396"/>
      <c r="Y462" s="89" t="str">
        <f ca="1">Área!O408</f>
        <v/>
      </c>
      <c r="Z462" s="399" t="str">
        <f ca="1">Área!P408</f>
        <v/>
      </c>
      <c r="AA462" s="399"/>
      <c r="AB462" s="399"/>
      <c r="AC462" s="399"/>
      <c r="AD462" s="399" t="str">
        <f ca="1">Área!Q408</f>
        <v/>
      </c>
      <c r="AE462" s="399"/>
      <c r="AF462" s="399"/>
      <c r="AG462" s="399"/>
      <c r="AH462" s="400" t="str">
        <f ca="1">Área!R408</f>
        <v/>
      </c>
      <c r="AI462" s="400"/>
      <c r="AJ462" s="400" t="str">
        <f ca="1">Área!S408</f>
        <v/>
      </c>
      <c r="AK462" s="400"/>
      <c r="AL462" s="400" t="str">
        <f ca="1">Área!T408</f>
        <v/>
      </c>
      <c r="AM462" s="400"/>
      <c r="AN462" s="400" t="str">
        <f ca="1">Área!U408</f>
        <v/>
      </c>
      <c r="AO462" s="400"/>
      <c r="AP462" s="422" t="str">
        <f ca="1">IFERROR(Área!Z408,"")</f>
        <v/>
      </c>
      <c r="AQ462" s="422"/>
      <c r="AR462" s="400" t="str">
        <f ca="1">Área!Y408</f>
        <v/>
      </c>
      <c r="AS462" s="423"/>
      <c r="AT462" s="72"/>
    </row>
    <row r="463" spans="1:46" ht="15" customHeight="1" x14ac:dyDescent="0.25">
      <c r="A463"/>
      <c r="C463" s="397" t="str">
        <f ca="1">Área!C409</f>
        <v/>
      </c>
      <c r="D463" s="398"/>
      <c r="E463" s="398"/>
      <c r="F463" s="398"/>
      <c r="G463" s="396" t="str">
        <f ca="1">Área!F409</f>
        <v/>
      </c>
      <c r="H463" s="396"/>
      <c r="I463" s="398" t="str">
        <f ca="1">Área!G409</f>
        <v/>
      </c>
      <c r="J463" s="398"/>
      <c r="K463" s="396" t="str">
        <f ca="1">Área!H409</f>
        <v/>
      </c>
      <c r="L463" s="396"/>
      <c r="M463" s="396" t="str">
        <f ca="1">Área!I409</f>
        <v/>
      </c>
      <c r="N463" s="396"/>
      <c r="O463" s="396" t="str">
        <f ca="1">Área!J409</f>
        <v/>
      </c>
      <c r="P463" s="396"/>
      <c r="Q463" s="396" t="str">
        <f ca="1">Área!K409</f>
        <v/>
      </c>
      <c r="R463" s="396"/>
      <c r="S463" s="396" t="str">
        <f ca="1">Área!L409</f>
        <v/>
      </c>
      <c r="T463" s="396"/>
      <c r="U463" s="396" t="str">
        <f ca="1">Área!N409</f>
        <v/>
      </c>
      <c r="V463" s="396"/>
      <c r="W463" s="396" t="str">
        <f ca="1">Área!M409</f>
        <v/>
      </c>
      <c r="X463" s="396"/>
      <c r="Y463" s="89" t="str">
        <f ca="1">Área!O409</f>
        <v/>
      </c>
      <c r="Z463" s="399" t="str">
        <f ca="1">Área!P409</f>
        <v/>
      </c>
      <c r="AA463" s="399"/>
      <c r="AB463" s="399"/>
      <c r="AC463" s="399"/>
      <c r="AD463" s="399" t="str">
        <f ca="1">Área!Q409</f>
        <v/>
      </c>
      <c r="AE463" s="399"/>
      <c r="AF463" s="399"/>
      <c r="AG463" s="399"/>
      <c r="AH463" s="400" t="str">
        <f ca="1">Área!R409</f>
        <v/>
      </c>
      <c r="AI463" s="400"/>
      <c r="AJ463" s="400" t="str">
        <f ca="1">Área!S409</f>
        <v/>
      </c>
      <c r="AK463" s="400"/>
      <c r="AL463" s="400" t="str">
        <f ca="1">Área!T409</f>
        <v/>
      </c>
      <c r="AM463" s="400"/>
      <c r="AN463" s="400" t="str">
        <f ca="1">Área!U409</f>
        <v/>
      </c>
      <c r="AO463" s="400"/>
      <c r="AP463" s="422" t="str">
        <f ca="1">IFERROR(Área!Z409,"")</f>
        <v/>
      </c>
      <c r="AQ463" s="422"/>
      <c r="AR463" s="400" t="str">
        <f ca="1">Área!Y409</f>
        <v/>
      </c>
      <c r="AS463" s="423"/>
      <c r="AT463" s="72"/>
    </row>
    <row r="464" spans="1:46" ht="15" customHeight="1" x14ac:dyDescent="0.25">
      <c r="A464"/>
      <c r="C464" s="397" t="str">
        <f ca="1">Área!C410</f>
        <v/>
      </c>
      <c r="D464" s="398"/>
      <c r="E464" s="398"/>
      <c r="F464" s="398"/>
      <c r="G464" s="396" t="str">
        <f ca="1">Área!F410</f>
        <v/>
      </c>
      <c r="H464" s="396"/>
      <c r="I464" s="398" t="str">
        <f ca="1">Área!G410</f>
        <v/>
      </c>
      <c r="J464" s="398"/>
      <c r="K464" s="396" t="str">
        <f ca="1">Área!H410</f>
        <v/>
      </c>
      <c r="L464" s="396"/>
      <c r="M464" s="396" t="str">
        <f ca="1">Área!I410</f>
        <v/>
      </c>
      <c r="N464" s="396"/>
      <c r="O464" s="396" t="str">
        <f ca="1">Área!J410</f>
        <v/>
      </c>
      <c r="P464" s="396"/>
      <c r="Q464" s="396" t="str">
        <f ca="1">Área!K410</f>
        <v/>
      </c>
      <c r="R464" s="396"/>
      <c r="S464" s="396" t="str">
        <f ca="1">Área!L410</f>
        <v/>
      </c>
      <c r="T464" s="396"/>
      <c r="U464" s="396" t="str">
        <f ca="1">Área!N410</f>
        <v/>
      </c>
      <c r="V464" s="396"/>
      <c r="W464" s="396" t="str">
        <f ca="1">Área!M410</f>
        <v/>
      </c>
      <c r="X464" s="396"/>
      <c r="Y464" s="89" t="str">
        <f ca="1">Área!O410</f>
        <v/>
      </c>
      <c r="Z464" s="399" t="str">
        <f ca="1">Área!P410</f>
        <v/>
      </c>
      <c r="AA464" s="399"/>
      <c r="AB464" s="399"/>
      <c r="AC464" s="399"/>
      <c r="AD464" s="399" t="str">
        <f ca="1">Área!Q410</f>
        <v/>
      </c>
      <c r="AE464" s="399"/>
      <c r="AF464" s="399"/>
      <c r="AG464" s="399"/>
      <c r="AH464" s="400" t="str">
        <f ca="1">Área!R410</f>
        <v/>
      </c>
      <c r="AI464" s="400"/>
      <c r="AJ464" s="400" t="str">
        <f ca="1">Área!S410</f>
        <v/>
      </c>
      <c r="AK464" s="400"/>
      <c r="AL464" s="400" t="str">
        <f ca="1">Área!T410</f>
        <v/>
      </c>
      <c r="AM464" s="400"/>
      <c r="AN464" s="400" t="str">
        <f ca="1">Área!U410</f>
        <v/>
      </c>
      <c r="AO464" s="400"/>
      <c r="AP464" s="422" t="str">
        <f ca="1">IFERROR(Área!Z410,"")</f>
        <v/>
      </c>
      <c r="AQ464" s="422"/>
      <c r="AR464" s="400" t="str">
        <f ca="1">Área!Y410</f>
        <v/>
      </c>
      <c r="AS464" s="423"/>
      <c r="AT464" s="72"/>
    </row>
    <row r="465" spans="1:46" ht="15" customHeight="1" x14ac:dyDescent="0.25">
      <c r="A465"/>
      <c r="C465" s="397" t="str">
        <f ca="1">Área!C411</f>
        <v/>
      </c>
      <c r="D465" s="398"/>
      <c r="E465" s="398"/>
      <c r="F465" s="398"/>
      <c r="G465" s="396" t="str">
        <f ca="1">Área!F411</f>
        <v/>
      </c>
      <c r="H465" s="396"/>
      <c r="I465" s="398" t="str">
        <f ca="1">Área!G411</f>
        <v/>
      </c>
      <c r="J465" s="398"/>
      <c r="K465" s="396" t="str">
        <f ca="1">Área!H411</f>
        <v/>
      </c>
      <c r="L465" s="396"/>
      <c r="M465" s="396" t="str">
        <f ca="1">Área!I411</f>
        <v/>
      </c>
      <c r="N465" s="396"/>
      <c r="O465" s="396" t="str">
        <f ca="1">Área!J411</f>
        <v/>
      </c>
      <c r="P465" s="396"/>
      <c r="Q465" s="396" t="str">
        <f ca="1">Área!K411</f>
        <v/>
      </c>
      <c r="R465" s="396"/>
      <c r="S465" s="396" t="str">
        <f ca="1">Área!L411</f>
        <v/>
      </c>
      <c r="T465" s="396"/>
      <c r="U465" s="396" t="str">
        <f ca="1">Área!N411</f>
        <v/>
      </c>
      <c r="V465" s="396"/>
      <c r="W465" s="396" t="str">
        <f ca="1">Área!M411</f>
        <v/>
      </c>
      <c r="X465" s="396"/>
      <c r="Y465" s="89" t="str">
        <f ca="1">Área!O411</f>
        <v/>
      </c>
      <c r="Z465" s="399" t="str">
        <f ca="1">Área!P411</f>
        <v/>
      </c>
      <c r="AA465" s="399"/>
      <c r="AB465" s="399"/>
      <c r="AC465" s="399"/>
      <c r="AD465" s="399" t="str">
        <f ca="1">Área!Q411</f>
        <v/>
      </c>
      <c r="AE465" s="399"/>
      <c r="AF465" s="399"/>
      <c r="AG465" s="399"/>
      <c r="AH465" s="400" t="str">
        <f ca="1">Área!R411</f>
        <v/>
      </c>
      <c r="AI465" s="400"/>
      <c r="AJ465" s="400" t="str">
        <f ca="1">Área!S411</f>
        <v/>
      </c>
      <c r="AK465" s="400"/>
      <c r="AL465" s="400" t="str">
        <f ca="1">Área!T411</f>
        <v/>
      </c>
      <c r="AM465" s="400"/>
      <c r="AN465" s="400" t="str">
        <f ca="1">Área!U411</f>
        <v/>
      </c>
      <c r="AO465" s="400"/>
      <c r="AP465" s="422" t="str">
        <f ca="1">IFERROR(Área!Z411,"")</f>
        <v/>
      </c>
      <c r="AQ465" s="422"/>
      <c r="AR465" s="400" t="str">
        <f ca="1">Área!Y411</f>
        <v/>
      </c>
      <c r="AS465" s="423"/>
      <c r="AT465" s="72"/>
    </row>
    <row r="466" spans="1:46" ht="15" customHeight="1" x14ac:dyDescent="0.25">
      <c r="A466"/>
      <c r="C466" s="397" t="str">
        <f ca="1">Área!C412</f>
        <v/>
      </c>
      <c r="D466" s="398"/>
      <c r="E466" s="398"/>
      <c r="F466" s="398"/>
      <c r="G466" s="396" t="str">
        <f ca="1">Área!F412</f>
        <v/>
      </c>
      <c r="H466" s="396"/>
      <c r="I466" s="398" t="str">
        <f ca="1">Área!G412</f>
        <v/>
      </c>
      <c r="J466" s="398"/>
      <c r="K466" s="396" t="str">
        <f ca="1">Área!H412</f>
        <v/>
      </c>
      <c r="L466" s="396"/>
      <c r="M466" s="396" t="str">
        <f ca="1">Área!I412</f>
        <v/>
      </c>
      <c r="N466" s="396"/>
      <c r="O466" s="396" t="str">
        <f ca="1">Área!J412</f>
        <v/>
      </c>
      <c r="P466" s="396"/>
      <c r="Q466" s="396" t="str">
        <f ca="1">Área!K412</f>
        <v/>
      </c>
      <c r="R466" s="396"/>
      <c r="S466" s="396" t="str">
        <f ca="1">Área!L412</f>
        <v/>
      </c>
      <c r="T466" s="396"/>
      <c r="U466" s="396" t="str">
        <f ca="1">Área!N412</f>
        <v/>
      </c>
      <c r="V466" s="396"/>
      <c r="W466" s="396" t="str">
        <f ca="1">Área!M412</f>
        <v/>
      </c>
      <c r="X466" s="396"/>
      <c r="Y466" s="89" t="str">
        <f ca="1">Área!O412</f>
        <v/>
      </c>
      <c r="Z466" s="399" t="str">
        <f ca="1">Área!P412</f>
        <v/>
      </c>
      <c r="AA466" s="399"/>
      <c r="AB466" s="399"/>
      <c r="AC466" s="399"/>
      <c r="AD466" s="399" t="str">
        <f ca="1">Área!Q412</f>
        <v/>
      </c>
      <c r="AE466" s="399"/>
      <c r="AF466" s="399"/>
      <c r="AG466" s="399"/>
      <c r="AH466" s="400" t="str">
        <f ca="1">Área!R412</f>
        <v/>
      </c>
      <c r="AI466" s="400"/>
      <c r="AJ466" s="400" t="str">
        <f ca="1">Área!S412</f>
        <v/>
      </c>
      <c r="AK466" s="400"/>
      <c r="AL466" s="400" t="str">
        <f ca="1">Área!T412</f>
        <v/>
      </c>
      <c r="AM466" s="400"/>
      <c r="AN466" s="400" t="str">
        <f ca="1">Área!U412</f>
        <v/>
      </c>
      <c r="AO466" s="400"/>
      <c r="AP466" s="422" t="str">
        <f ca="1">IFERROR(Área!Z412,"")</f>
        <v/>
      </c>
      <c r="AQ466" s="422"/>
      <c r="AR466" s="400" t="str">
        <f ca="1">Área!Y412</f>
        <v/>
      </c>
      <c r="AS466" s="423"/>
      <c r="AT466" s="72"/>
    </row>
    <row r="467" spans="1:46" ht="15" customHeight="1" x14ac:dyDescent="0.25">
      <c r="A467"/>
      <c r="C467" s="397" t="str">
        <f ca="1">Área!C413</f>
        <v/>
      </c>
      <c r="D467" s="398"/>
      <c r="E467" s="398"/>
      <c r="F467" s="398"/>
      <c r="G467" s="396" t="str">
        <f ca="1">Área!F413</f>
        <v/>
      </c>
      <c r="H467" s="396"/>
      <c r="I467" s="398" t="str">
        <f ca="1">Área!G413</f>
        <v/>
      </c>
      <c r="J467" s="398"/>
      <c r="K467" s="396" t="str">
        <f ca="1">Área!H413</f>
        <v/>
      </c>
      <c r="L467" s="396"/>
      <c r="M467" s="396" t="str">
        <f ca="1">Área!I413</f>
        <v/>
      </c>
      <c r="N467" s="396"/>
      <c r="O467" s="396" t="str">
        <f ca="1">Área!J413</f>
        <v/>
      </c>
      <c r="P467" s="396"/>
      <c r="Q467" s="396" t="str">
        <f ca="1">Área!K413</f>
        <v/>
      </c>
      <c r="R467" s="396"/>
      <c r="S467" s="396" t="str">
        <f ca="1">Área!L413</f>
        <v/>
      </c>
      <c r="T467" s="396"/>
      <c r="U467" s="396" t="str">
        <f ca="1">Área!N413</f>
        <v/>
      </c>
      <c r="V467" s="396"/>
      <c r="W467" s="396" t="str">
        <f ca="1">Área!M413</f>
        <v/>
      </c>
      <c r="X467" s="396"/>
      <c r="Y467" s="89" t="str">
        <f ca="1">Área!O413</f>
        <v/>
      </c>
      <c r="Z467" s="399" t="str">
        <f ca="1">Área!P413</f>
        <v/>
      </c>
      <c r="AA467" s="399"/>
      <c r="AB467" s="399"/>
      <c r="AC467" s="399"/>
      <c r="AD467" s="399" t="str">
        <f ca="1">Área!Q413</f>
        <v/>
      </c>
      <c r="AE467" s="399"/>
      <c r="AF467" s="399"/>
      <c r="AG467" s="399"/>
      <c r="AH467" s="400" t="str">
        <f ca="1">Área!R413</f>
        <v/>
      </c>
      <c r="AI467" s="400"/>
      <c r="AJ467" s="400" t="str">
        <f ca="1">Área!S413</f>
        <v/>
      </c>
      <c r="AK467" s="400"/>
      <c r="AL467" s="400" t="str">
        <f ca="1">Área!T413</f>
        <v/>
      </c>
      <c r="AM467" s="400"/>
      <c r="AN467" s="400" t="str">
        <f ca="1">Área!U413</f>
        <v/>
      </c>
      <c r="AO467" s="400"/>
      <c r="AP467" s="422" t="str">
        <f ca="1">IFERROR(Área!Z413,"")</f>
        <v/>
      </c>
      <c r="AQ467" s="422"/>
      <c r="AR467" s="400" t="str">
        <f ca="1">Área!Y413</f>
        <v/>
      </c>
      <c r="AS467" s="423"/>
      <c r="AT467" s="72"/>
    </row>
    <row r="468" spans="1:46" ht="15" customHeight="1" x14ac:dyDescent="0.25">
      <c r="A468"/>
      <c r="C468" s="397" t="str">
        <f ca="1">Área!C414</f>
        <v/>
      </c>
      <c r="D468" s="398"/>
      <c r="E468" s="398"/>
      <c r="F468" s="398"/>
      <c r="G468" s="396" t="str">
        <f ca="1">Área!F414</f>
        <v/>
      </c>
      <c r="H468" s="396"/>
      <c r="I468" s="398" t="str">
        <f ca="1">Área!G414</f>
        <v/>
      </c>
      <c r="J468" s="398"/>
      <c r="K468" s="396" t="str">
        <f ca="1">Área!H414</f>
        <v/>
      </c>
      <c r="L468" s="396"/>
      <c r="M468" s="396" t="str">
        <f ca="1">Área!I414</f>
        <v/>
      </c>
      <c r="N468" s="396"/>
      <c r="O468" s="396" t="str">
        <f ca="1">Área!J414</f>
        <v/>
      </c>
      <c r="P468" s="396"/>
      <c r="Q468" s="396" t="str">
        <f ca="1">Área!K414</f>
        <v/>
      </c>
      <c r="R468" s="396"/>
      <c r="S468" s="396" t="str">
        <f ca="1">Área!L414</f>
        <v/>
      </c>
      <c r="T468" s="396"/>
      <c r="U468" s="396" t="str">
        <f ca="1">Área!N414</f>
        <v/>
      </c>
      <c r="V468" s="396"/>
      <c r="W468" s="396" t="str">
        <f ca="1">Área!M414</f>
        <v/>
      </c>
      <c r="X468" s="396"/>
      <c r="Y468" s="89" t="str">
        <f ca="1">Área!O414</f>
        <v/>
      </c>
      <c r="Z468" s="399" t="str">
        <f ca="1">Área!P414</f>
        <v/>
      </c>
      <c r="AA468" s="399"/>
      <c r="AB468" s="399"/>
      <c r="AC468" s="399"/>
      <c r="AD468" s="399" t="str">
        <f ca="1">Área!Q414</f>
        <v/>
      </c>
      <c r="AE468" s="399"/>
      <c r="AF468" s="399"/>
      <c r="AG468" s="399"/>
      <c r="AH468" s="400" t="str">
        <f ca="1">Área!R414</f>
        <v/>
      </c>
      <c r="AI468" s="400"/>
      <c r="AJ468" s="400" t="str">
        <f ca="1">Área!S414</f>
        <v/>
      </c>
      <c r="AK468" s="400"/>
      <c r="AL468" s="400" t="str">
        <f ca="1">Área!T414</f>
        <v/>
      </c>
      <c r="AM468" s="400"/>
      <c r="AN468" s="400" t="str">
        <f ca="1">Área!U414</f>
        <v/>
      </c>
      <c r="AO468" s="400"/>
      <c r="AP468" s="422" t="str">
        <f ca="1">IFERROR(Área!Z414,"")</f>
        <v/>
      </c>
      <c r="AQ468" s="422"/>
      <c r="AR468" s="400" t="str">
        <f ca="1">Área!Y414</f>
        <v/>
      </c>
      <c r="AS468" s="423"/>
      <c r="AT468" s="72"/>
    </row>
    <row r="469" spans="1:46" ht="15" customHeight="1" x14ac:dyDescent="0.25">
      <c r="A469"/>
      <c r="C469" s="397" t="str">
        <f ca="1">Área!C415</f>
        <v/>
      </c>
      <c r="D469" s="398"/>
      <c r="E469" s="398"/>
      <c r="F469" s="398"/>
      <c r="G469" s="396" t="str">
        <f ca="1">Área!F415</f>
        <v/>
      </c>
      <c r="H469" s="396"/>
      <c r="I469" s="398" t="str">
        <f ca="1">Área!G415</f>
        <v/>
      </c>
      <c r="J469" s="398"/>
      <c r="K469" s="396" t="str">
        <f ca="1">Área!H415</f>
        <v/>
      </c>
      <c r="L469" s="396"/>
      <c r="M469" s="396" t="str">
        <f ca="1">Área!I415</f>
        <v/>
      </c>
      <c r="N469" s="396"/>
      <c r="O469" s="396" t="str">
        <f ca="1">Área!J415</f>
        <v/>
      </c>
      <c r="P469" s="396"/>
      <c r="Q469" s="396" t="str">
        <f ca="1">Área!K415</f>
        <v/>
      </c>
      <c r="R469" s="396"/>
      <c r="S469" s="396" t="str">
        <f ca="1">Área!L415</f>
        <v/>
      </c>
      <c r="T469" s="396"/>
      <c r="U469" s="396" t="str">
        <f ca="1">Área!N415</f>
        <v/>
      </c>
      <c r="V469" s="396"/>
      <c r="W469" s="396" t="str">
        <f ca="1">Área!M415</f>
        <v/>
      </c>
      <c r="X469" s="396"/>
      <c r="Y469" s="89" t="str">
        <f ca="1">Área!O415</f>
        <v/>
      </c>
      <c r="Z469" s="399" t="str">
        <f ca="1">Área!P415</f>
        <v/>
      </c>
      <c r="AA469" s="399"/>
      <c r="AB469" s="399"/>
      <c r="AC469" s="399"/>
      <c r="AD469" s="399" t="str">
        <f ca="1">Área!Q415</f>
        <v/>
      </c>
      <c r="AE469" s="399"/>
      <c r="AF469" s="399"/>
      <c r="AG469" s="399"/>
      <c r="AH469" s="400" t="str">
        <f ca="1">Área!R415</f>
        <v/>
      </c>
      <c r="AI469" s="400"/>
      <c r="AJ469" s="400" t="str">
        <f ca="1">Área!S415</f>
        <v/>
      </c>
      <c r="AK469" s="400"/>
      <c r="AL469" s="400" t="str">
        <f ca="1">Área!T415</f>
        <v/>
      </c>
      <c r="AM469" s="400"/>
      <c r="AN469" s="400" t="str">
        <f ca="1">Área!U415</f>
        <v/>
      </c>
      <c r="AO469" s="400"/>
      <c r="AP469" s="422" t="str">
        <f ca="1">IFERROR(Área!Z415,"")</f>
        <v/>
      </c>
      <c r="AQ469" s="422"/>
      <c r="AR469" s="400" t="str">
        <f ca="1">Área!Y415</f>
        <v/>
      </c>
      <c r="AS469" s="423"/>
      <c r="AT469" s="72"/>
    </row>
    <row r="470" spans="1:46" ht="15" customHeight="1" x14ac:dyDescent="0.25">
      <c r="A470"/>
      <c r="C470" s="397" t="str">
        <f ca="1">Área!C416</f>
        <v/>
      </c>
      <c r="D470" s="398"/>
      <c r="E470" s="398"/>
      <c r="F470" s="398"/>
      <c r="G470" s="396" t="str">
        <f ca="1">Área!F416</f>
        <v/>
      </c>
      <c r="H470" s="396"/>
      <c r="I470" s="398" t="str">
        <f ca="1">Área!G416</f>
        <v/>
      </c>
      <c r="J470" s="398"/>
      <c r="K470" s="396" t="str">
        <f ca="1">Área!H416</f>
        <v/>
      </c>
      <c r="L470" s="396"/>
      <c r="M470" s="396" t="str">
        <f ca="1">Área!I416</f>
        <v/>
      </c>
      <c r="N470" s="396"/>
      <c r="O470" s="396" t="str">
        <f ca="1">Área!J416</f>
        <v/>
      </c>
      <c r="P470" s="396"/>
      <c r="Q470" s="396" t="str">
        <f ca="1">Área!K416</f>
        <v/>
      </c>
      <c r="R470" s="396"/>
      <c r="S470" s="396" t="str">
        <f ca="1">Área!L416</f>
        <v/>
      </c>
      <c r="T470" s="396"/>
      <c r="U470" s="396" t="str">
        <f ca="1">Área!N416</f>
        <v/>
      </c>
      <c r="V470" s="396"/>
      <c r="W470" s="396" t="str">
        <f ca="1">Área!M416</f>
        <v/>
      </c>
      <c r="X470" s="396"/>
      <c r="Y470" s="89" t="str">
        <f ca="1">Área!O416</f>
        <v/>
      </c>
      <c r="Z470" s="399" t="str">
        <f ca="1">Área!P416</f>
        <v/>
      </c>
      <c r="AA470" s="399"/>
      <c r="AB470" s="399"/>
      <c r="AC470" s="399"/>
      <c r="AD470" s="399" t="str">
        <f ca="1">Área!Q416</f>
        <v/>
      </c>
      <c r="AE470" s="399"/>
      <c r="AF470" s="399"/>
      <c r="AG470" s="399"/>
      <c r="AH470" s="400" t="str">
        <f ca="1">Área!R416</f>
        <v/>
      </c>
      <c r="AI470" s="400"/>
      <c r="AJ470" s="400" t="str">
        <f ca="1">Área!S416</f>
        <v/>
      </c>
      <c r="AK470" s="400"/>
      <c r="AL470" s="400" t="str">
        <f ca="1">Área!T416</f>
        <v/>
      </c>
      <c r="AM470" s="400"/>
      <c r="AN470" s="400" t="str">
        <f ca="1">Área!U416</f>
        <v/>
      </c>
      <c r="AO470" s="400"/>
      <c r="AP470" s="422" t="str">
        <f ca="1">IFERROR(Área!Z416,"")</f>
        <v/>
      </c>
      <c r="AQ470" s="422"/>
      <c r="AR470" s="400" t="str">
        <f ca="1">Área!Y416</f>
        <v/>
      </c>
      <c r="AS470" s="423"/>
      <c r="AT470" s="72"/>
    </row>
    <row r="471" spans="1:46" ht="15" customHeight="1" x14ac:dyDescent="0.25">
      <c r="A471"/>
      <c r="C471" s="397" t="str">
        <f ca="1">Área!C417</f>
        <v/>
      </c>
      <c r="D471" s="398"/>
      <c r="E471" s="398"/>
      <c r="F471" s="398"/>
      <c r="G471" s="396" t="str">
        <f ca="1">Área!F417</f>
        <v/>
      </c>
      <c r="H471" s="396"/>
      <c r="I471" s="398" t="str">
        <f ca="1">Área!G417</f>
        <v/>
      </c>
      <c r="J471" s="398"/>
      <c r="K471" s="396" t="str">
        <f ca="1">Área!H417</f>
        <v/>
      </c>
      <c r="L471" s="396"/>
      <c r="M471" s="396" t="str">
        <f ca="1">Área!I417</f>
        <v/>
      </c>
      <c r="N471" s="396"/>
      <c r="O471" s="396" t="str">
        <f ca="1">Área!J417</f>
        <v/>
      </c>
      <c r="P471" s="396"/>
      <c r="Q471" s="396" t="str">
        <f ca="1">Área!K417</f>
        <v/>
      </c>
      <c r="R471" s="396"/>
      <c r="S471" s="396" t="str">
        <f ca="1">Área!L417</f>
        <v/>
      </c>
      <c r="T471" s="396"/>
      <c r="U471" s="396" t="str">
        <f ca="1">Área!N417</f>
        <v/>
      </c>
      <c r="V471" s="396"/>
      <c r="W471" s="396" t="str">
        <f ca="1">Área!M417</f>
        <v/>
      </c>
      <c r="X471" s="396"/>
      <c r="Y471" s="89" t="str">
        <f ca="1">Área!O417</f>
        <v/>
      </c>
      <c r="Z471" s="399" t="str">
        <f ca="1">Área!P417</f>
        <v/>
      </c>
      <c r="AA471" s="399"/>
      <c r="AB471" s="399"/>
      <c r="AC471" s="399"/>
      <c r="AD471" s="399" t="str">
        <f ca="1">Área!Q417</f>
        <v/>
      </c>
      <c r="AE471" s="399"/>
      <c r="AF471" s="399"/>
      <c r="AG471" s="399"/>
      <c r="AH471" s="400" t="str">
        <f ca="1">Área!R417</f>
        <v/>
      </c>
      <c r="AI471" s="400"/>
      <c r="AJ471" s="400" t="str">
        <f ca="1">Área!S417</f>
        <v/>
      </c>
      <c r="AK471" s="400"/>
      <c r="AL471" s="400" t="str">
        <f ca="1">Área!T417</f>
        <v/>
      </c>
      <c r="AM471" s="400"/>
      <c r="AN471" s="400" t="str">
        <f ca="1">Área!U417</f>
        <v/>
      </c>
      <c r="AO471" s="400"/>
      <c r="AP471" s="422" t="str">
        <f ca="1">IFERROR(Área!Z417,"")</f>
        <v/>
      </c>
      <c r="AQ471" s="422"/>
      <c r="AR471" s="400" t="str">
        <f ca="1">Área!Y417</f>
        <v/>
      </c>
      <c r="AS471" s="423"/>
      <c r="AT471" s="72"/>
    </row>
    <row r="472" spans="1:46" ht="15" customHeight="1" x14ac:dyDescent="0.25">
      <c r="A472"/>
      <c r="C472" s="397" t="str">
        <f ca="1">Área!C418</f>
        <v/>
      </c>
      <c r="D472" s="398"/>
      <c r="E472" s="398"/>
      <c r="F472" s="398"/>
      <c r="G472" s="396" t="str">
        <f ca="1">Área!F418</f>
        <v/>
      </c>
      <c r="H472" s="396"/>
      <c r="I472" s="398" t="str">
        <f ca="1">Área!G418</f>
        <v/>
      </c>
      <c r="J472" s="398"/>
      <c r="K472" s="396" t="str">
        <f ca="1">Área!H418</f>
        <v/>
      </c>
      <c r="L472" s="396"/>
      <c r="M472" s="396" t="str">
        <f ca="1">Área!I418</f>
        <v/>
      </c>
      <c r="N472" s="396"/>
      <c r="O472" s="396" t="str">
        <f ca="1">Área!J418</f>
        <v/>
      </c>
      <c r="P472" s="396"/>
      <c r="Q472" s="396" t="str">
        <f ca="1">Área!K418</f>
        <v/>
      </c>
      <c r="R472" s="396"/>
      <c r="S472" s="396" t="str">
        <f ca="1">Área!L418</f>
        <v/>
      </c>
      <c r="T472" s="396"/>
      <c r="U472" s="396" t="str">
        <f ca="1">Área!N418</f>
        <v/>
      </c>
      <c r="V472" s="396"/>
      <c r="W472" s="396" t="str">
        <f ca="1">Área!M418</f>
        <v/>
      </c>
      <c r="X472" s="396"/>
      <c r="Y472" s="89" t="str">
        <f ca="1">Área!O418</f>
        <v/>
      </c>
      <c r="Z472" s="399" t="str">
        <f ca="1">Área!P418</f>
        <v/>
      </c>
      <c r="AA472" s="399"/>
      <c r="AB472" s="399"/>
      <c r="AC472" s="399"/>
      <c r="AD472" s="399" t="str">
        <f ca="1">Área!Q418</f>
        <v/>
      </c>
      <c r="AE472" s="399"/>
      <c r="AF472" s="399"/>
      <c r="AG472" s="399"/>
      <c r="AH472" s="400" t="str">
        <f ca="1">Área!R418</f>
        <v/>
      </c>
      <c r="AI472" s="400"/>
      <c r="AJ472" s="400" t="str">
        <f ca="1">Área!S418</f>
        <v/>
      </c>
      <c r="AK472" s="400"/>
      <c r="AL472" s="400" t="str">
        <f ca="1">Área!T418</f>
        <v/>
      </c>
      <c r="AM472" s="400"/>
      <c r="AN472" s="400" t="str">
        <f ca="1">Área!U418</f>
        <v/>
      </c>
      <c r="AO472" s="400"/>
      <c r="AP472" s="422" t="str">
        <f ca="1">IFERROR(Área!Z418,"")</f>
        <v/>
      </c>
      <c r="AQ472" s="422"/>
      <c r="AR472" s="400" t="str">
        <f ca="1">Área!Y418</f>
        <v/>
      </c>
      <c r="AS472" s="423"/>
      <c r="AT472" s="72"/>
    </row>
    <row r="473" spans="1:46" ht="15" customHeight="1" x14ac:dyDescent="0.25">
      <c r="A473"/>
      <c r="C473" s="397" t="str">
        <f ca="1">Área!C419</f>
        <v/>
      </c>
      <c r="D473" s="398"/>
      <c r="E473" s="398"/>
      <c r="F473" s="398"/>
      <c r="G473" s="396" t="str">
        <f ca="1">Área!F419</f>
        <v/>
      </c>
      <c r="H473" s="396"/>
      <c r="I473" s="398" t="str">
        <f ca="1">Área!G419</f>
        <v/>
      </c>
      <c r="J473" s="398"/>
      <c r="K473" s="396" t="str">
        <f ca="1">Área!H419</f>
        <v/>
      </c>
      <c r="L473" s="396"/>
      <c r="M473" s="396" t="str">
        <f ca="1">Área!I419</f>
        <v/>
      </c>
      <c r="N473" s="396"/>
      <c r="O473" s="396" t="str">
        <f ca="1">Área!J419</f>
        <v/>
      </c>
      <c r="P473" s="396"/>
      <c r="Q473" s="396" t="str">
        <f ca="1">Área!K419</f>
        <v/>
      </c>
      <c r="R473" s="396"/>
      <c r="S473" s="396" t="str">
        <f ca="1">Área!L419</f>
        <v/>
      </c>
      <c r="T473" s="396"/>
      <c r="U473" s="396" t="str">
        <f ca="1">Área!N419</f>
        <v/>
      </c>
      <c r="V473" s="396"/>
      <c r="W473" s="396" t="str">
        <f ca="1">Área!M419</f>
        <v/>
      </c>
      <c r="X473" s="396"/>
      <c r="Y473" s="89" t="str">
        <f ca="1">Área!O419</f>
        <v/>
      </c>
      <c r="Z473" s="399" t="str">
        <f ca="1">Área!P419</f>
        <v/>
      </c>
      <c r="AA473" s="399"/>
      <c r="AB473" s="399"/>
      <c r="AC473" s="399"/>
      <c r="AD473" s="399" t="str">
        <f ca="1">Área!Q419</f>
        <v/>
      </c>
      <c r="AE473" s="399"/>
      <c r="AF473" s="399"/>
      <c r="AG473" s="399"/>
      <c r="AH473" s="400" t="str">
        <f ca="1">Área!R419</f>
        <v/>
      </c>
      <c r="AI473" s="400"/>
      <c r="AJ473" s="400" t="str">
        <f ca="1">Área!S419</f>
        <v/>
      </c>
      <c r="AK473" s="400"/>
      <c r="AL473" s="400" t="str">
        <f ca="1">Área!T419</f>
        <v/>
      </c>
      <c r="AM473" s="400"/>
      <c r="AN473" s="400" t="str">
        <f ca="1">Área!U419</f>
        <v/>
      </c>
      <c r="AO473" s="400"/>
      <c r="AP473" s="422" t="str">
        <f ca="1">IFERROR(Área!Z419,"")</f>
        <v/>
      </c>
      <c r="AQ473" s="422"/>
      <c r="AR473" s="400" t="str">
        <f ca="1">Área!Y419</f>
        <v/>
      </c>
      <c r="AS473" s="423"/>
      <c r="AT473" s="72"/>
    </row>
    <row r="474" spans="1:46" ht="15" customHeight="1" x14ac:dyDescent="0.25">
      <c r="A474"/>
      <c r="C474" s="397" t="str">
        <f ca="1">Área!C420</f>
        <v/>
      </c>
      <c r="D474" s="398"/>
      <c r="E474" s="398"/>
      <c r="F474" s="398"/>
      <c r="G474" s="396" t="str">
        <f ca="1">Área!F420</f>
        <v/>
      </c>
      <c r="H474" s="396"/>
      <c r="I474" s="398" t="str">
        <f ca="1">Área!G420</f>
        <v/>
      </c>
      <c r="J474" s="398"/>
      <c r="K474" s="396" t="str">
        <f ca="1">Área!H420</f>
        <v/>
      </c>
      <c r="L474" s="396"/>
      <c r="M474" s="396" t="str">
        <f ca="1">Área!I420</f>
        <v/>
      </c>
      <c r="N474" s="396"/>
      <c r="O474" s="396" t="str">
        <f ca="1">Área!J420</f>
        <v/>
      </c>
      <c r="P474" s="396"/>
      <c r="Q474" s="396" t="str">
        <f ca="1">Área!K420</f>
        <v/>
      </c>
      <c r="R474" s="396"/>
      <c r="S474" s="396" t="str">
        <f ca="1">Área!L420</f>
        <v/>
      </c>
      <c r="T474" s="396"/>
      <c r="U474" s="396" t="str">
        <f ca="1">Área!N420</f>
        <v/>
      </c>
      <c r="V474" s="396"/>
      <c r="W474" s="396" t="str">
        <f ca="1">Área!M420</f>
        <v/>
      </c>
      <c r="X474" s="396"/>
      <c r="Y474" s="89" t="str">
        <f ca="1">Área!O420</f>
        <v/>
      </c>
      <c r="Z474" s="399" t="str">
        <f ca="1">Área!P420</f>
        <v/>
      </c>
      <c r="AA474" s="399"/>
      <c r="AB474" s="399"/>
      <c r="AC474" s="399"/>
      <c r="AD474" s="399" t="str">
        <f ca="1">Área!Q420</f>
        <v/>
      </c>
      <c r="AE474" s="399"/>
      <c r="AF474" s="399"/>
      <c r="AG474" s="399"/>
      <c r="AH474" s="400" t="str">
        <f ca="1">Área!R420</f>
        <v/>
      </c>
      <c r="AI474" s="400"/>
      <c r="AJ474" s="400" t="str">
        <f ca="1">Área!S420</f>
        <v/>
      </c>
      <c r="AK474" s="400"/>
      <c r="AL474" s="400" t="str">
        <f ca="1">Área!T420</f>
        <v/>
      </c>
      <c r="AM474" s="400"/>
      <c r="AN474" s="400" t="str">
        <f ca="1">Área!U420</f>
        <v/>
      </c>
      <c r="AO474" s="400"/>
      <c r="AP474" s="422" t="str">
        <f ca="1">IFERROR(Área!Z420,"")</f>
        <v/>
      </c>
      <c r="AQ474" s="422"/>
      <c r="AR474" s="400" t="str">
        <f ca="1">Área!Y420</f>
        <v/>
      </c>
      <c r="AS474" s="423"/>
      <c r="AT474" s="72"/>
    </row>
    <row r="475" spans="1:46" ht="15" customHeight="1" x14ac:dyDescent="0.25">
      <c r="A475"/>
      <c r="C475" s="397" t="str">
        <f ca="1">Área!C421</f>
        <v/>
      </c>
      <c r="D475" s="398"/>
      <c r="E475" s="398"/>
      <c r="F475" s="398"/>
      <c r="G475" s="396" t="str">
        <f ca="1">Área!F421</f>
        <v/>
      </c>
      <c r="H475" s="396"/>
      <c r="I475" s="398" t="str">
        <f ca="1">Área!G421</f>
        <v/>
      </c>
      <c r="J475" s="398"/>
      <c r="K475" s="396" t="str">
        <f ca="1">Área!H421</f>
        <v/>
      </c>
      <c r="L475" s="396"/>
      <c r="M475" s="396" t="str">
        <f ca="1">Área!I421</f>
        <v/>
      </c>
      <c r="N475" s="396"/>
      <c r="O475" s="396" t="str">
        <f ca="1">Área!J421</f>
        <v/>
      </c>
      <c r="P475" s="396"/>
      <c r="Q475" s="396" t="str">
        <f ca="1">Área!K421</f>
        <v/>
      </c>
      <c r="R475" s="396"/>
      <c r="S475" s="396" t="str">
        <f ca="1">Área!L421</f>
        <v/>
      </c>
      <c r="T475" s="396"/>
      <c r="U475" s="396" t="str">
        <f ca="1">Área!N421</f>
        <v/>
      </c>
      <c r="V475" s="396"/>
      <c r="W475" s="396" t="str">
        <f ca="1">Área!M421</f>
        <v/>
      </c>
      <c r="X475" s="396"/>
      <c r="Y475" s="89" t="str">
        <f ca="1">Área!O421</f>
        <v/>
      </c>
      <c r="Z475" s="399" t="str">
        <f ca="1">Área!P421</f>
        <v/>
      </c>
      <c r="AA475" s="399"/>
      <c r="AB475" s="399"/>
      <c r="AC475" s="399"/>
      <c r="AD475" s="399" t="str">
        <f ca="1">Área!Q421</f>
        <v/>
      </c>
      <c r="AE475" s="399"/>
      <c r="AF475" s="399"/>
      <c r="AG475" s="399"/>
      <c r="AH475" s="400" t="str">
        <f ca="1">Área!R421</f>
        <v/>
      </c>
      <c r="AI475" s="400"/>
      <c r="AJ475" s="400" t="str">
        <f ca="1">Área!S421</f>
        <v/>
      </c>
      <c r="AK475" s="400"/>
      <c r="AL475" s="400" t="str">
        <f ca="1">Área!T421</f>
        <v/>
      </c>
      <c r="AM475" s="400"/>
      <c r="AN475" s="400" t="str">
        <f ca="1">Área!U421</f>
        <v/>
      </c>
      <c r="AO475" s="400"/>
      <c r="AP475" s="422" t="str">
        <f ca="1">IFERROR(Área!Z421,"")</f>
        <v/>
      </c>
      <c r="AQ475" s="422"/>
      <c r="AR475" s="400" t="str">
        <f ca="1">Área!Y421</f>
        <v/>
      </c>
      <c r="AS475" s="423"/>
      <c r="AT475" s="72"/>
    </row>
    <row r="476" spans="1:46" ht="15" customHeight="1" x14ac:dyDescent="0.25">
      <c r="A476"/>
      <c r="C476" s="397" t="str">
        <f ca="1">Área!C422</f>
        <v/>
      </c>
      <c r="D476" s="398"/>
      <c r="E476" s="398"/>
      <c r="F476" s="398"/>
      <c r="G476" s="396" t="str">
        <f ca="1">Área!F422</f>
        <v/>
      </c>
      <c r="H476" s="396"/>
      <c r="I476" s="398" t="str">
        <f ca="1">Área!G422</f>
        <v/>
      </c>
      <c r="J476" s="398"/>
      <c r="K476" s="396" t="str">
        <f ca="1">Área!H422</f>
        <v/>
      </c>
      <c r="L476" s="396"/>
      <c r="M476" s="396" t="str">
        <f ca="1">Área!I422</f>
        <v/>
      </c>
      <c r="N476" s="396"/>
      <c r="O476" s="396" t="str">
        <f ca="1">Área!J422</f>
        <v/>
      </c>
      <c r="P476" s="396"/>
      <c r="Q476" s="396" t="str">
        <f ca="1">Área!K422</f>
        <v/>
      </c>
      <c r="R476" s="396"/>
      <c r="S476" s="396" t="str">
        <f ca="1">Área!L422</f>
        <v/>
      </c>
      <c r="T476" s="396"/>
      <c r="U476" s="396" t="str">
        <f ca="1">Área!N422</f>
        <v/>
      </c>
      <c r="V476" s="396"/>
      <c r="W476" s="396" t="str">
        <f ca="1">Área!M422</f>
        <v/>
      </c>
      <c r="X476" s="396"/>
      <c r="Y476" s="89" t="str">
        <f ca="1">Área!O422</f>
        <v/>
      </c>
      <c r="Z476" s="399" t="str">
        <f ca="1">Área!P422</f>
        <v/>
      </c>
      <c r="AA476" s="399"/>
      <c r="AB476" s="399"/>
      <c r="AC476" s="399"/>
      <c r="AD476" s="399" t="str">
        <f ca="1">Área!Q422</f>
        <v/>
      </c>
      <c r="AE476" s="399"/>
      <c r="AF476" s="399"/>
      <c r="AG476" s="399"/>
      <c r="AH476" s="400" t="str">
        <f ca="1">Área!R422</f>
        <v/>
      </c>
      <c r="AI476" s="400"/>
      <c r="AJ476" s="400" t="str">
        <f ca="1">Área!S422</f>
        <v/>
      </c>
      <c r="AK476" s="400"/>
      <c r="AL476" s="400" t="str">
        <f ca="1">Área!T422</f>
        <v/>
      </c>
      <c r="AM476" s="400"/>
      <c r="AN476" s="400" t="str">
        <f ca="1">Área!U422</f>
        <v/>
      </c>
      <c r="AO476" s="400"/>
      <c r="AP476" s="422" t="str">
        <f ca="1">IFERROR(Área!Z422,"")</f>
        <v/>
      </c>
      <c r="AQ476" s="422"/>
      <c r="AR476" s="400" t="str">
        <f ca="1">Área!Y422</f>
        <v/>
      </c>
      <c r="AS476" s="423"/>
      <c r="AT476" s="72"/>
    </row>
    <row r="477" spans="1:46" ht="15" customHeight="1" x14ac:dyDescent="0.25">
      <c r="A477"/>
      <c r="C477" s="397" t="str">
        <f ca="1">Área!C423</f>
        <v/>
      </c>
      <c r="D477" s="398"/>
      <c r="E477" s="398"/>
      <c r="F477" s="398"/>
      <c r="G477" s="396" t="str">
        <f ca="1">Área!F423</f>
        <v/>
      </c>
      <c r="H477" s="396"/>
      <c r="I477" s="398" t="str">
        <f ca="1">Área!G423</f>
        <v/>
      </c>
      <c r="J477" s="398"/>
      <c r="K477" s="396" t="str">
        <f ca="1">Área!H423</f>
        <v/>
      </c>
      <c r="L477" s="396"/>
      <c r="M477" s="396" t="str">
        <f ca="1">Área!I423</f>
        <v/>
      </c>
      <c r="N477" s="396"/>
      <c r="O477" s="396" t="str">
        <f ca="1">Área!J423</f>
        <v/>
      </c>
      <c r="P477" s="396"/>
      <c r="Q477" s="396" t="str">
        <f ca="1">Área!K423</f>
        <v/>
      </c>
      <c r="R477" s="396"/>
      <c r="S477" s="396" t="str">
        <f ca="1">Área!L423</f>
        <v/>
      </c>
      <c r="T477" s="396"/>
      <c r="U477" s="396" t="str">
        <f ca="1">Área!N423</f>
        <v/>
      </c>
      <c r="V477" s="396"/>
      <c r="W477" s="396" t="str">
        <f ca="1">Área!M423</f>
        <v/>
      </c>
      <c r="X477" s="396"/>
      <c r="Y477" s="89" t="str">
        <f ca="1">Área!O423</f>
        <v/>
      </c>
      <c r="Z477" s="399" t="str">
        <f ca="1">Área!P423</f>
        <v/>
      </c>
      <c r="AA477" s="399"/>
      <c r="AB477" s="399"/>
      <c r="AC477" s="399"/>
      <c r="AD477" s="399" t="str">
        <f ca="1">Área!Q423</f>
        <v/>
      </c>
      <c r="AE477" s="399"/>
      <c r="AF477" s="399"/>
      <c r="AG477" s="399"/>
      <c r="AH477" s="400" t="str">
        <f ca="1">Área!R423</f>
        <v/>
      </c>
      <c r="AI477" s="400"/>
      <c r="AJ477" s="400" t="str">
        <f ca="1">Área!S423</f>
        <v/>
      </c>
      <c r="AK477" s="400"/>
      <c r="AL477" s="400" t="str">
        <f ca="1">Área!T423</f>
        <v/>
      </c>
      <c r="AM477" s="400"/>
      <c r="AN477" s="400" t="str">
        <f ca="1">Área!U423</f>
        <v/>
      </c>
      <c r="AO477" s="400"/>
      <c r="AP477" s="422" t="str">
        <f ca="1">IFERROR(Área!Z423,"")</f>
        <v/>
      </c>
      <c r="AQ477" s="422"/>
      <c r="AR477" s="400" t="str">
        <f ca="1">Área!Y423</f>
        <v/>
      </c>
      <c r="AS477" s="423"/>
      <c r="AT477" s="72"/>
    </row>
    <row r="478" spans="1:46" ht="15" customHeight="1" x14ac:dyDescent="0.25">
      <c r="A478"/>
      <c r="C478" s="397" t="str">
        <f ca="1">Área!C424</f>
        <v/>
      </c>
      <c r="D478" s="398"/>
      <c r="E478" s="398"/>
      <c r="F478" s="398"/>
      <c r="G478" s="396" t="str">
        <f ca="1">Área!F424</f>
        <v/>
      </c>
      <c r="H478" s="396"/>
      <c r="I478" s="398" t="str">
        <f ca="1">Área!G424</f>
        <v/>
      </c>
      <c r="J478" s="398"/>
      <c r="K478" s="396" t="str">
        <f ca="1">Área!H424</f>
        <v/>
      </c>
      <c r="L478" s="396"/>
      <c r="M478" s="396" t="str">
        <f ca="1">Área!I424</f>
        <v/>
      </c>
      <c r="N478" s="396"/>
      <c r="O478" s="396" t="str">
        <f ca="1">Área!J424</f>
        <v/>
      </c>
      <c r="P478" s="396"/>
      <c r="Q478" s="396" t="str">
        <f ca="1">Área!K424</f>
        <v/>
      </c>
      <c r="R478" s="396"/>
      <c r="S478" s="396" t="str">
        <f ca="1">Área!L424</f>
        <v/>
      </c>
      <c r="T478" s="396"/>
      <c r="U478" s="396" t="str">
        <f ca="1">Área!N424</f>
        <v/>
      </c>
      <c r="V478" s="396"/>
      <c r="W478" s="396" t="str">
        <f ca="1">Área!M424</f>
        <v/>
      </c>
      <c r="X478" s="396"/>
      <c r="Y478" s="89" t="str">
        <f ca="1">Área!O424</f>
        <v/>
      </c>
      <c r="Z478" s="399" t="str">
        <f ca="1">Área!P424</f>
        <v/>
      </c>
      <c r="AA478" s="399"/>
      <c r="AB478" s="399"/>
      <c r="AC478" s="399"/>
      <c r="AD478" s="399" t="str">
        <f ca="1">Área!Q424</f>
        <v/>
      </c>
      <c r="AE478" s="399"/>
      <c r="AF478" s="399"/>
      <c r="AG478" s="399"/>
      <c r="AH478" s="400" t="str">
        <f ca="1">Área!R424</f>
        <v/>
      </c>
      <c r="AI478" s="400"/>
      <c r="AJ478" s="400" t="str">
        <f ca="1">Área!S424</f>
        <v/>
      </c>
      <c r="AK478" s="400"/>
      <c r="AL478" s="400" t="str">
        <f ca="1">Área!T424</f>
        <v/>
      </c>
      <c r="AM478" s="400"/>
      <c r="AN478" s="400" t="str">
        <f ca="1">Área!U424</f>
        <v/>
      </c>
      <c r="AO478" s="400"/>
      <c r="AP478" s="422" t="str">
        <f ca="1">IFERROR(Área!Z424,"")</f>
        <v/>
      </c>
      <c r="AQ478" s="422"/>
      <c r="AR478" s="400" t="str">
        <f ca="1">Área!Y424</f>
        <v/>
      </c>
      <c r="AS478" s="423"/>
      <c r="AT478" s="72"/>
    </row>
    <row r="479" spans="1:46" ht="15" customHeight="1" x14ac:dyDescent="0.25">
      <c r="A479"/>
      <c r="C479" s="397" t="str">
        <f ca="1">Área!C425</f>
        <v/>
      </c>
      <c r="D479" s="398"/>
      <c r="E479" s="398"/>
      <c r="F479" s="398"/>
      <c r="G479" s="396" t="str">
        <f ca="1">Área!F425</f>
        <v/>
      </c>
      <c r="H479" s="396"/>
      <c r="I479" s="398" t="str">
        <f ca="1">Área!G425</f>
        <v/>
      </c>
      <c r="J479" s="398"/>
      <c r="K479" s="396" t="str">
        <f ca="1">Área!H425</f>
        <v/>
      </c>
      <c r="L479" s="396"/>
      <c r="M479" s="396" t="str">
        <f ca="1">Área!I425</f>
        <v/>
      </c>
      <c r="N479" s="396"/>
      <c r="O479" s="396" t="str">
        <f ca="1">Área!J425</f>
        <v/>
      </c>
      <c r="P479" s="396"/>
      <c r="Q479" s="396" t="str">
        <f ca="1">Área!K425</f>
        <v/>
      </c>
      <c r="R479" s="396"/>
      <c r="S479" s="396" t="str">
        <f ca="1">Área!L425</f>
        <v/>
      </c>
      <c r="T479" s="396"/>
      <c r="U479" s="396" t="str">
        <f ca="1">Área!N425</f>
        <v/>
      </c>
      <c r="V479" s="396"/>
      <c r="W479" s="396" t="str">
        <f ca="1">Área!M425</f>
        <v/>
      </c>
      <c r="X479" s="396"/>
      <c r="Y479" s="89" t="str">
        <f ca="1">Área!O425</f>
        <v/>
      </c>
      <c r="Z479" s="399" t="str">
        <f ca="1">Área!P425</f>
        <v/>
      </c>
      <c r="AA479" s="399"/>
      <c r="AB479" s="399"/>
      <c r="AC479" s="399"/>
      <c r="AD479" s="399" t="str">
        <f ca="1">Área!Q425</f>
        <v/>
      </c>
      <c r="AE479" s="399"/>
      <c r="AF479" s="399"/>
      <c r="AG479" s="399"/>
      <c r="AH479" s="400" t="str">
        <f ca="1">Área!R425</f>
        <v/>
      </c>
      <c r="AI479" s="400"/>
      <c r="AJ479" s="400" t="str">
        <f ca="1">Área!S425</f>
        <v/>
      </c>
      <c r="AK479" s="400"/>
      <c r="AL479" s="400" t="str">
        <f ca="1">Área!T425</f>
        <v/>
      </c>
      <c r="AM479" s="400"/>
      <c r="AN479" s="400" t="str">
        <f ca="1">Área!U425</f>
        <v/>
      </c>
      <c r="AO479" s="400"/>
      <c r="AP479" s="422" t="str">
        <f ca="1">IFERROR(Área!Z425,"")</f>
        <v/>
      </c>
      <c r="AQ479" s="422"/>
      <c r="AR479" s="400" t="str">
        <f ca="1">Área!Y425</f>
        <v/>
      </c>
      <c r="AS479" s="423"/>
      <c r="AT479" s="72"/>
    </row>
    <row r="480" spans="1:46" ht="15" customHeight="1" x14ac:dyDescent="0.25">
      <c r="A480"/>
      <c r="C480" s="397" t="str">
        <f ca="1">Área!C426</f>
        <v/>
      </c>
      <c r="D480" s="398"/>
      <c r="E480" s="398"/>
      <c r="F480" s="398"/>
      <c r="G480" s="396" t="str">
        <f ca="1">Área!F426</f>
        <v/>
      </c>
      <c r="H480" s="396"/>
      <c r="I480" s="398" t="str">
        <f ca="1">Área!G426</f>
        <v/>
      </c>
      <c r="J480" s="398"/>
      <c r="K480" s="396" t="str">
        <f ca="1">Área!H426</f>
        <v/>
      </c>
      <c r="L480" s="396"/>
      <c r="M480" s="396" t="str">
        <f ca="1">Área!I426</f>
        <v/>
      </c>
      <c r="N480" s="396"/>
      <c r="O480" s="396" t="str">
        <f ca="1">Área!J426</f>
        <v/>
      </c>
      <c r="P480" s="396"/>
      <c r="Q480" s="396" t="str">
        <f ca="1">Área!K426</f>
        <v/>
      </c>
      <c r="R480" s="396"/>
      <c r="S480" s="396" t="str">
        <f ca="1">Área!L426</f>
        <v/>
      </c>
      <c r="T480" s="396"/>
      <c r="U480" s="396" t="str">
        <f ca="1">Área!N426</f>
        <v/>
      </c>
      <c r="V480" s="396"/>
      <c r="W480" s="396" t="str">
        <f ca="1">Área!M426</f>
        <v/>
      </c>
      <c r="X480" s="396"/>
      <c r="Y480" s="89" t="str">
        <f ca="1">Área!O426</f>
        <v/>
      </c>
      <c r="Z480" s="399" t="str">
        <f ca="1">Área!P426</f>
        <v/>
      </c>
      <c r="AA480" s="399"/>
      <c r="AB480" s="399"/>
      <c r="AC480" s="399"/>
      <c r="AD480" s="399" t="str">
        <f ca="1">Área!Q426</f>
        <v/>
      </c>
      <c r="AE480" s="399"/>
      <c r="AF480" s="399"/>
      <c r="AG480" s="399"/>
      <c r="AH480" s="400" t="str">
        <f ca="1">Área!R426</f>
        <v/>
      </c>
      <c r="AI480" s="400"/>
      <c r="AJ480" s="400" t="str">
        <f ca="1">Área!S426</f>
        <v/>
      </c>
      <c r="AK480" s="400"/>
      <c r="AL480" s="400" t="str">
        <f ca="1">Área!T426</f>
        <v/>
      </c>
      <c r="AM480" s="400"/>
      <c r="AN480" s="400" t="str">
        <f ca="1">Área!U426</f>
        <v/>
      </c>
      <c r="AO480" s="400"/>
      <c r="AP480" s="422" t="str">
        <f ca="1">IFERROR(Área!Z426,"")</f>
        <v/>
      </c>
      <c r="AQ480" s="422"/>
      <c r="AR480" s="400" t="str">
        <f ca="1">Área!Y426</f>
        <v/>
      </c>
      <c r="AS480" s="423"/>
      <c r="AT480" s="72"/>
    </row>
    <row r="481" spans="1:46" ht="15" customHeight="1" x14ac:dyDescent="0.25">
      <c r="A481"/>
      <c r="C481" s="397" t="str">
        <f ca="1">Área!C427</f>
        <v/>
      </c>
      <c r="D481" s="398"/>
      <c r="E481" s="398"/>
      <c r="F481" s="398"/>
      <c r="G481" s="396" t="str">
        <f ca="1">Área!F427</f>
        <v/>
      </c>
      <c r="H481" s="396"/>
      <c r="I481" s="398" t="str">
        <f ca="1">Área!G427</f>
        <v/>
      </c>
      <c r="J481" s="398"/>
      <c r="K481" s="396" t="str">
        <f ca="1">Área!H427</f>
        <v/>
      </c>
      <c r="L481" s="396"/>
      <c r="M481" s="396" t="str">
        <f ca="1">Área!I427</f>
        <v/>
      </c>
      <c r="N481" s="396"/>
      <c r="O481" s="396" t="str">
        <f ca="1">Área!J427</f>
        <v/>
      </c>
      <c r="P481" s="396"/>
      <c r="Q481" s="396" t="str">
        <f ca="1">Área!K427</f>
        <v/>
      </c>
      <c r="R481" s="396"/>
      <c r="S481" s="396" t="str">
        <f ca="1">Área!L427</f>
        <v/>
      </c>
      <c r="T481" s="396"/>
      <c r="U481" s="396" t="str">
        <f ca="1">Área!N427</f>
        <v/>
      </c>
      <c r="V481" s="396"/>
      <c r="W481" s="396" t="str">
        <f ca="1">Área!M427</f>
        <v/>
      </c>
      <c r="X481" s="396"/>
      <c r="Y481" s="89" t="str">
        <f ca="1">Área!O427</f>
        <v/>
      </c>
      <c r="Z481" s="399" t="str">
        <f ca="1">Área!P427</f>
        <v/>
      </c>
      <c r="AA481" s="399"/>
      <c r="AB481" s="399"/>
      <c r="AC481" s="399"/>
      <c r="AD481" s="399" t="str">
        <f ca="1">Área!Q427</f>
        <v/>
      </c>
      <c r="AE481" s="399"/>
      <c r="AF481" s="399"/>
      <c r="AG481" s="399"/>
      <c r="AH481" s="400" t="str">
        <f ca="1">Área!R427</f>
        <v/>
      </c>
      <c r="AI481" s="400"/>
      <c r="AJ481" s="400" t="str">
        <f ca="1">Área!S427</f>
        <v/>
      </c>
      <c r="AK481" s="400"/>
      <c r="AL481" s="400" t="str">
        <f ca="1">Área!T427</f>
        <v/>
      </c>
      <c r="AM481" s="400"/>
      <c r="AN481" s="400" t="str">
        <f ca="1">Área!U427</f>
        <v/>
      </c>
      <c r="AO481" s="400"/>
      <c r="AP481" s="422" t="str">
        <f ca="1">IFERROR(Área!Z427,"")</f>
        <v/>
      </c>
      <c r="AQ481" s="422"/>
      <c r="AR481" s="400" t="str">
        <f ca="1">Área!Y427</f>
        <v/>
      </c>
      <c r="AS481" s="423"/>
      <c r="AT481" s="72"/>
    </row>
    <row r="482" spans="1:46" ht="15" customHeight="1" x14ac:dyDescent="0.25">
      <c r="A482"/>
      <c r="C482" s="397" t="str">
        <f ca="1">Área!C428</f>
        <v/>
      </c>
      <c r="D482" s="398"/>
      <c r="E482" s="398"/>
      <c r="F482" s="398"/>
      <c r="G482" s="396" t="str">
        <f ca="1">Área!F428</f>
        <v/>
      </c>
      <c r="H482" s="396"/>
      <c r="I482" s="398" t="str">
        <f ca="1">Área!G428</f>
        <v/>
      </c>
      <c r="J482" s="398"/>
      <c r="K482" s="396" t="str">
        <f ca="1">Área!H428</f>
        <v/>
      </c>
      <c r="L482" s="396"/>
      <c r="M482" s="396" t="str">
        <f ca="1">Área!I428</f>
        <v/>
      </c>
      <c r="N482" s="396"/>
      <c r="O482" s="396" t="str">
        <f ca="1">Área!J428</f>
        <v/>
      </c>
      <c r="P482" s="396"/>
      <c r="Q482" s="396" t="str">
        <f ca="1">Área!K428</f>
        <v/>
      </c>
      <c r="R482" s="396"/>
      <c r="S482" s="396" t="str">
        <f ca="1">Área!L428</f>
        <v/>
      </c>
      <c r="T482" s="396"/>
      <c r="U482" s="396" t="str">
        <f ca="1">Área!N428</f>
        <v/>
      </c>
      <c r="V482" s="396"/>
      <c r="W482" s="396" t="str">
        <f ca="1">Área!M428</f>
        <v/>
      </c>
      <c r="X482" s="396"/>
      <c r="Y482" s="89" t="str">
        <f ca="1">Área!O428</f>
        <v/>
      </c>
      <c r="Z482" s="399" t="str">
        <f ca="1">Área!P428</f>
        <v/>
      </c>
      <c r="AA482" s="399"/>
      <c r="AB482" s="399"/>
      <c r="AC482" s="399"/>
      <c r="AD482" s="399" t="str">
        <f ca="1">Área!Q428</f>
        <v/>
      </c>
      <c r="AE482" s="399"/>
      <c r="AF482" s="399"/>
      <c r="AG482" s="399"/>
      <c r="AH482" s="400" t="str">
        <f ca="1">Área!R428</f>
        <v/>
      </c>
      <c r="AI482" s="400"/>
      <c r="AJ482" s="400" t="str">
        <f ca="1">Área!S428</f>
        <v/>
      </c>
      <c r="AK482" s="400"/>
      <c r="AL482" s="400" t="str">
        <f ca="1">Área!T428</f>
        <v/>
      </c>
      <c r="AM482" s="400"/>
      <c r="AN482" s="400" t="str">
        <f ca="1">Área!U428</f>
        <v/>
      </c>
      <c r="AO482" s="400"/>
      <c r="AP482" s="422" t="str">
        <f ca="1">IFERROR(Área!Z428,"")</f>
        <v/>
      </c>
      <c r="AQ482" s="422"/>
      <c r="AR482" s="400" t="str">
        <f ca="1">Área!Y428</f>
        <v/>
      </c>
      <c r="AS482" s="423"/>
      <c r="AT482" s="72"/>
    </row>
    <row r="483" spans="1:46" ht="15" customHeight="1" x14ac:dyDescent="0.25">
      <c r="A483"/>
      <c r="C483" s="397" t="str">
        <f ca="1">Área!C429</f>
        <v/>
      </c>
      <c r="D483" s="398"/>
      <c r="E483" s="398"/>
      <c r="F483" s="398"/>
      <c r="G483" s="396" t="str">
        <f ca="1">Área!F429</f>
        <v/>
      </c>
      <c r="H483" s="396"/>
      <c r="I483" s="398" t="str">
        <f ca="1">Área!G429</f>
        <v/>
      </c>
      <c r="J483" s="398"/>
      <c r="K483" s="396" t="str">
        <f ca="1">Área!H429</f>
        <v/>
      </c>
      <c r="L483" s="396"/>
      <c r="M483" s="396" t="str">
        <f ca="1">Área!I429</f>
        <v/>
      </c>
      <c r="N483" s="396"/>
      <c r="O483" s="396" t="str">
        <f ca="1">Área!J429</f>
        <v/>
      </c>
      <c r="P483" s="396"/>
      <c r="Q483" s="396" t="str">
        <f ca="1">Área!K429</f>
        <v/>
      </c>
      <c r="R483" s="396"/>
      <c r="S483" s="396" t="str">
        <f ca="1">Área!L429</f>
        <v/>
      </c>
      <c r="T483" s="396"/>
      <c r="U483" s="396" t="str">
        <f ca="1">Área!N429</f>
        <v/>
      </c>
      <c r="V483" s="396"/>
      <c r="W483" s="396" t="str">
        <f ca="1">Área!M429</f>
        <v/>
      </c>
      <c r="X483" s="396"/>
      <c r="Y483" s="89" t="str">
        <f ca="1">Área!O429</f>
        <v/>
      </c>
      <c r="Z483" s="399" t="str">
        <f ca="1">Área!P429</f>
        <v/>
      </c>
      <c r="AA483" s="399"/>
      <c r="AB483" s="399"/>
      <c r="AC483" s="399"/>
      <c r="AD483" s="399" t="str">
        <f ca="1">Área!Q429</f>
        <v/>
      </c>
      <c r="AE483" s="399"/>
      <c r="AF483" s="399"/>
      <c r="AG483" s="399"/>
      <c r="AH483" s="400" t="str">
        <f ca="1">Área!R429</f>
        <v/>
      </c>
      <c r="AI483" s="400"/>
      <c r="AJ483" s="400" t="str">
        <f ca="1">Área!S429</f>
        <v/>
      </c>
      <c r="AK483" s="400"/>
      <c r="AL483" s="400" t="str">
        <f ca="1">Área!T429</f>
        <v/>
      </c>
      <c r="AM483" s="400"/>
      <c r="AN483" s="400" t="str">
        <f ca="1">Área!U429</f>
        <v/>
      </c>
      <c r="AO483" s="400"/>
      <c r="AP483" s="422" t="str">
        <f ca="1">IFERROR(Área!Z429,"")</f>
        <v/>
      </c>
      <c r="AQ483" s="422"/>
      <c r="AR483" s="400" t="str">
        <f ca="1">Área!Y429</f>
        <v/>
      </c>
      <c r="AS483" s="423"/>
      <c r="AT483" s="72"/>
    </row>
    <row r="484" spans="1:46" ht="15" customHeight="1" x14ac:dyDescent="0.25">
      <c r="A484"/>
      <c r="C484" s="397" t="str">
        <f ca="1">Área!C430</f>
        <v/>
      </c>
      <c r="D484" s="398"/>
      <c r="E484" s="398"/>
      <c r="F484" s="398"/>
      <c r="G484" s="396" t="str">
        <f ca="1">Área!F430</f>
        <v/>
      </c>
      <c r="H484" s="396"/>
      <c r="I484" s="398" t="str">
        <f ca="1">Área!G430</f>
        <v/>
      </c>
      <c r="J484" s="398"/>
      <c r="K484" s="396" t="str">
        <f ca="1">Área!H430</f>
        <v/>
      </c>
      <c r="L484" s="396"/>
      <c r="M484" s="396" t="str">
        <f ca="1">Área!I430</f>
        <v/>
      </c>
      <c r="N484" s="396"/>
      <c r="O484" s="396" t="str">
        <f ca="1">Área!J430</f>
        <v/>
      </c>
      <c r="P484" s="396"/>
      <c r="Q484" s="396" t="str">
        <f ca="1">Área!K430</f>
        <v/>
      </c>
      <c r="R484" s="396"/>
      <c r="S484" s="396" t="str">
        <f ca="1">Área!L430</f>
        <v/>
      </c>
      <c r="T484" s="396"/>
      <c r="U484" s="396" t="str">
        <f ca="1">Área!N430</f>
        <v/>
      </c>
      <c r="V484" s="396"/>
      <c r="W484" s="396" t="str">
        <f ca="1">Área!M430</f>
        <v/>
      </c>
      <c r="X484" s="396"/>
      <c r="Y484" s="89" t="str">
        <f ca="1">Área!O430</f>
        <v/>
      </c>
      <c r="Z484" s="399" t="str">
        <f ca="1">Área!P430</f>
        <v/>
      </c>
      <c r="AA484" s="399"/>
      <c r="AB484" s="399"/>
      <c r="AC484" s="399"/>
      <c r="AD484" s="399" t="str">
        <f ca="1">Área!Q430</f>
        <v/>
      </c>
      <c r="AE484" s="399"/>
      <c r="AF484" s="399"/>
      <c r="AG484" s="399"/>
      <c r="AH484" s="400" t="str">
        <f ca="1">Área!R430</f>
        <v/>
      </c>
      <c r="AI484" s="400"/>
      <c r="AJ484" s="400" t="str">
        <f ca="1">Área!S430</f>
        <v/>
      </c>
      <c r="AK484" s="400"/>
      <c r="AL484" s="400" t="str">
        <f ca="1">Área!T430</f>
        <v/>
      </c>
      <c r="AM484" s="400"/>
      <c r="AN484" s="400" t="str">
        <f ca="1">Área!U430</f>
        <v/>
      </c>
      <c r="AO484" s="400"/>
      <c r="AP484" s="422" t="str">
        <f ca="1">IFERROR(Área!Z430,"")</f>
        <v/>
      </c>
      <c r="AQ484" s="422"/>
      <c r="AR484" s="400" t="str">
        <f ca="1">Área!Y430</f>
        <v/>
      </c>
      <c r="AS484" s="423"/>
      <c r="AT484" s="72"/>
    </row>
    <row r="485" spans="1:46" ht="15" customHeight="1" x14ac:dyDescent="0.25">
      <c r="A485"/>
      <c r="C485" s="397" t="str">
        <f ca="1">Área!C431</f>
        <v/>
      </c>
      <c r="D485" s="398"/>
      <c r="E485" s="398"/>
      <c r="F485" s="398"/>
      <c r="G485" s="396" t="str">
        <f ca="1">Área!F431</f>
        <v/>
      </c>
      <c r="H485" s="396"/>
      <c r="I485" s="398" t="str">
        <f ca="1">Área!G431</f>
        <v/>
      </c>
      <c r="J485" s="398"/>
      <c r="K485" s="396" t="str">
        <f ca="1">Área!H431</f>
        <v/>
      </c>
      <c r="L485" s="396"/>
      <c r="M485" s="396" t="str">
        <f ca="1">Área!I431</f>
        <v/>
      </c>
      <c r="N485" s="396"/>
      <c r="O485" s="396" t="str">
        <f ca="1">Área!J431</f>
        <v/>
      </c>
      <c r="P485" s="396"/>
      <c r="Q485" s="396" t="str">
        <f ca="1">Área!K431</f>
        <v/>
      </c>
      <c r="R485" s="396"/>
      <c r="S485" s="396" t="str">
        <f ca="1">Área!L431</f>
        <v/>
      </c>
      <c r="T485" s="396"/>
      <c r="U485" s="396" t="str">
        <f ca="1">Área!N431</f>
        <v/>
      </c>
      <c r="V485" s="396"/>
      <c r="W485" s="396" t="str">
        <f ca="1">Área!M431</f>
        <v/>
      </c>
      <c r="X485" s="396"/>
      <c r="Y485" s="89" t="str">
        <f ca="1">Área!O431</f>
        <v/>
      </c>
      <c r="Z485" s="399" t="str">
        <f ca="1">Área!P431</f>
        <v/>
      </c>
      <c r="AA485" s="399"/>
      <c r="AB485" s="399"/>
      <c r="AC485" s="399"/>
      <c r="AD485" s="399" t="str">
        <f ca="1">Área!Q431</f>
        <v/>
      </c>
      <c r="AE485" s="399"/>
      <c r="AF485" s="399"/>
      <c r="AG485" s="399"/>
      <c r="AH485" s="400" t="str">
        <f ca="1">Área!R431</f>
        <v/>
      </c>
      <c r="AI485" s="400"/>
      <c r="AJ485" s="400" t="str">
        <f ca="1">Área!S431</f>
        <v/>
      </c>
      <c r="AK485" s="400"/>
      <c r="AL485" s="400" t="str">
        <f ca="1">Área!T431</f>
        <v/>
      </c>
      <c r="AM485" s="400"/>
      <c r="AN485" s="400" t="str">
        <f ca="1">Área!U431</f>
        <v/>
      </c>
      <c r="AO485" s="400"/>
      <c r="AP485" s="422" t="str">
        <f ca="1">IFERROR(Área!Z431,"")</f>
        <v/>
      </c>
      <c r="AQ485" s="422"/>
      <c r="AR485" s="400" t="str">
        <f ca="1">Área!Y431</f>
        <v/>
      </c>
      <c r="AS485" s="423"/>
      <c r="AT485" s="72"/>
    </row>
    <row r="486" spans="1:46" ht="15" customHeight="1" x14ac:dyDescent="0.25">
      <c r="A486"/>
      <c r="C486" s="397" t="str">
        <f ca="1">Área!C432</f>
        <v/>
      </c>
      <c r="D486" s="398"/>
      <c r="E486" s="398"/>
      <c r="F486" s="398"/>
      <c r="G486" s="396" t="str">
        <f ca="1">Área!F432</f>
        <v/>
      </c>
      <c r="H486" s="396"/>
      <c r="I486" s="398" t="str">
        <f ca="1">Área!G432</f>
        <v/>
      </c>
      <c r="J486" s="398"/>
      <c r="K486" s="396" t="str">
        <f ca="1">Área!H432</f>
        <v/>
      </c>
      <c r="L486" s="396"/>
      <c r="M486" s="396" t="str">
        <f ca="1">Área!I432</f>
        <v/>
      </c>
      <c r="N486" s="396"/>
      <c r="O486" s="396" t="str">
        <f ca="1">Área!J432</f>
        <v/>
      </c>
      <c r="P486" s="396"/>
      <c r="Q486" s="396" t="str">
        <f ca="1">Área!K432</f>
        <v/>
      </c>
      <c r="R486" s="396"/>
      <c r="S486" s="396" t="str">
        <f ca="1">Área!L432</f>
        <v/>
      </c>
      <c r="T486" s="396"/>
      <c r="U486" s="396" t="str">
        <f ca="1">Área!N432</f>
        <v/>
      </c>
      <c r="V486" s="396"/>
      <c r="W486" s="396" t="str">
        <f ca="1">Área!M432</f>
        <v/>
      </c>
      <c r="X486" s="396"/>
      <c r="Y486" s="89" t="str">
        <f ca="1">Área!O432</f>
        <v/>
      </c>
      <c r="Z486" s="399" t="str">
        <f ca="1">Área!P432</f>
        <v/>
      </c>
      <c r="AA486" s="399"/>
      <c r="AB486" s="399"/>
      <c r="AC486" s="399"/>
      <c r="AD486" s="399" t="str">
        <f ca="1">Área!Q432</f>
        <v/>
      </c>
      <c r="AE486" s="399"/>
      <c r="AF486" s="399"/>
      <c r="AG486" s="399"/>
      <c r="AH486" s="400" t="str">
        <f ca="1">Área!R432</f>
        <v/>
      </c>
      <c r="AI486" s="400"/>
      <c r="AJ486" s="400" t="str">
        <f ca="1">Área!S432</f>
        <v/>
      </c>
      <c r="AK486" s="400"/>
      <c r="AL486" s="400" t="str">
        <f ca="1">Área!T432</f>
        <v/>
      </c>
      <c r="AM486" s="400"/>
      <c r="AN486" s="400" t="str">
        <f ca="1">Área!U432</f>
        <v/>
      </c>
      <c r="AO486" s="400"/>
      <c r="AP486" s="422" t="str">
        <f ca="1">IFERROR(Área!Z432,"")</f>
        <v/>
      </c>
      <c r="AQ486" s="422"/>
      <c r="AR486" s="400" t="str">
        <f ca="1">Área!Y432</f>
        <v/>
      </c>
      <c r="AS486" s="423"/>
      <c r="AT486" s="72"/>
    </row>
    <row r="487" spans="1:46" ht="15" customHeight="1" x14ac:dyDescent="0.25">
      <c r="A487"/>
      <c r="C487" s="397" t="str">
        <f ca="1">Área!C433</f>
        <v/>
      </c>
      <c r="D487" s="398"/>
      <c r="E487" s="398"/>
      <c r="F487" s="398"/>
      <c r="G487" s="396" t="str">
        <f ca="1">Área!F433</f>
        <v/>
      </c>
      <c r="H487" s="396"/>
      <c r="I487" s="398" t="str">
        <f ca="1">Área!G433</f>
        <v/>
      </c>
      <c r="J487" s="398"/>
      <c r="K487" s="396" t="str">
        <f ca="1">Área!H433</f>
        <v/>
      </c>
      <c r="L487" s="396"/>
      <c r="M487" s="396" t="str">
        <f ca="1">Área!I433</f>
        <v/>
      </c>
      <c r="N487" s="396"/>
      <c r="O487" s="396" t="str">
        <f ca="1">Área!J433</f>
        <v/>
      </c>
      <c r="P487" s="396"/>
      <c r="Q487" s="396" t="str">
        <f ca="1">Área!K433</f>
        <v/>
      </c>
      <c r="R487" s="396"/>
      <c r="S487" s="396" t="str">
        <f ca="1">Área!L433</f>
        <v/>
      </c>
      <c r="T487" s="396"/>
      <c r="U487" s="396" t="str">
        <f ca="1">Área!N433</f>
        <v/>
      </c>
      <c r="V487" s="396"/>
      <c r="W487" s="396" t="str">
        <f ca="1">Área!M433</f>
        <v/>
      </c>
      <c r="X487" s="396"/>
      <c r="Y487" s="89" t="str">
        <f ca="1">Área!O433</f>
        <v/>
      </c>
      <c r="Z487" s="399" t="str">
        <f ca="1">Área!P433</f>
        <v/>
      </c>
      <c r="AA487" s="399"/>
      <c r="AB487" s="399"/>
      <c r="AC487" s="399"/>
      <c r="AD487" s="399" t="str">
        <f ca="1">Área!Q433</f>
        <v/>
      </c>
      <c r="AE487" s="399"/>
      <c r="AF487" s="399"/>
      <c r="AG487" s="399"/>
      <c r="AH487" s="400" t="str">
        <f ca="1">Área!R433</f>
        <v/>
      </c>
      <c r="AI487" s="400"/>
      <c r="AJ487" s="400" t="str">
        <f ca="1">Área!S433</f>
        <v/>
      </c>
      <c r="AK487" s="400"/>
      <c r="AL487" s="400" t="str">
        <f ca="1">Área!T433</f>
        <v/>
      </c>
      <c r="AM487" s="400"/>
      <c r="AN487" s="400" t="str">
        <f ca="1">Área!U433</f>
        <v/>
      </c>
      <c r="AO487" s="400"/>
      <c r="AP487" s="422" t="str">
        <f ca="1">IFERROR(Área!Z433,"")</f>
        <v/>
      </c>
      <c r="AQ487" s="422"/>
      <c r="AR487" s="400" t="str">
        <f ca="1">Área!Y433</f>
        <v/>
      </c>
      <c r="AS487" s="423"/>
      <c r="AT487" s="72"/>
    </row>
    <row r="488" spans="1:46" ht="15" customHeight="1" x14ac:dyDescent="0.25">
      <c r="A488"/>
      <c r="C488" s="397" t="str">
        <f ca="1">Área!C434</f>
        <v/>
      </c>
      <c r="D488" s="398"/>
      <c r="E488" s="398"/>
      <c r="F488" s="398"/>
      <c r="G488" s="396" t="str">
        <f ca="1">Área!F434</f>
        <v/>
      </c>
      <c r="H488" s="396"/>
      <c r="I488" s="398" t="str">
        <f ca="1">Área!G434</f>
        <v/>
      </c>
      <c r="J488" s="398"/>
      <c r="K488" s="396" t="str">
        <f ca="1">Área!H434</f>
        <v/>
      </c>
      <c r="L488" s="396"/>
      <c r="M488" s="396" t="str">
        <f ca="1">Área!I434</f>
        <v/>
      </c>
      <c r="N488" s="396"/>
      <c r="O488" s="396" t="str">
        <f ca="1">Área!J434</f>
        <v/>
      </c>
      <c r="P488" s="396"/>
      <c r="Q488" s="396" t="str">
        <f ca="1">Área!K434</f>
        <v/>
      </c>
      <c r="R488" s="396"/>
      <c r="S488" s="396" t="str">
        <f ca="1">Área!L434</f>
        <v/>
      </c>
      <c r="T488" s="396"/>
      <c r="U488" s="396" t="str">
        <f ca="1">Área!N434</f>
        <v/>
      </c>
      <c r="V488" s="396"/>
      <c r="W488" s="396" t="str">
        <f ca="1">Área!M434</f>
        <v/>
      </c>
      <c r="X488" s="396"/>
      <c r="Y488" s="89" t="str">
        <f ca="1">Área!O434</f>
        <v/>
      </c>
      <c r="Z488" s="399" t="str">
        <f ca="1">Área!P434</f>
        <v/>
      </c>
      <c r="AA488" s="399"/>
      <c r="AB488" s="399"/>
      <c r="AC488" s="399"/>
      <c r="AD488" s="399" t="str">
        <f ca="1">Área!Q434</f>
        <v/>
      </c>
      <c r="AE488" s="399"/>
      <c r="AF488" s="399"/>
      <c r="AG488" s="399"/>
      <c r="AH488" s="400" t="str">
        <f ca="1">Área!R434</f>
        <v/>
      </c>
      <c r="AI488" s="400"/>
      <c r="AJ488" s="400" t="str">
        <f ca="1">Área!S434</f>
        <v/>
      </c>
      <c r="AK488" s="400"/>
      <c r="AL488" s="400" t="str">
        <f ca="1">Área!T434</f>
        <v/>
      </c>
      <c r="AM488" s="400"/>
      <c r="AN488" s="400" t="str">
        <f ca="1">Área!U434</f>
        <v/>
      </c>
      <c r="AO488" s="400"/>
      <c r="AP488" s="422" t="str">
        <f ca="1">IFERROR(Área!Z434,"")</f>
        <v/>
      </c>
      <c r="AQ488" s="422"/>
      <c r="AR488" s="400" t="str">
        <f ca="1">Área!Y434</f>
        <v/>
      </c>
      <c r="AS488" s="423"/>
      <c r="AT488" s="72"/>
    </row>
    <row r="489" spans="1:46" ht="15" customHeight="1" x14ac:dyDescent="0.25">
      <c r="A489"/>
      <c r="C489" s="397" t="str">
        <f ca="1">Área!C435</f>
        <v/>
      </c>
      <c r="D489" s="398"/>
      <c r="E489" s="398"/>
      <c r="F489" s="398"/>
      <c r="G489" s="396" t="str">
        <f ca="1">Área!F435</f>
        <v/>
      </c>
      <c r="H489" s="396"/>
      <c r="I489" s="398" t="str">
        <f ca="1">Área!G435</f>
        <v/>
      </c>
      <c r="J489" s="398"/>
      <c r="K489" s="396" t="str">
        <f ca="1">Área!H435</f>
        <v/>
      </c>
      <c r="L489" s="396"/>
      <c r="M489" s="396" t="str">
        <f ca="1">Área!I435</f>
        <v/>
      </c>
      <c r="N489" s="396"/>
      <c r="O489" s="396" t="str">
        <f ca="1">Área!J435</f>
        <v/>
      </c>
      <c r="P489" s="396"/>
      <c r="Q489" s="396" t="str">
        <f ca="1">Área!K435</f>
        <v/>
      </c>
      <c r="R489" s="396"/>
      <c r="S489" s="396" t="str">
        <f ca="1">Área!L435</f>
        <v/>
      </c>
      <c r="T489" s="396"/>
      <c r="U489" s="396" t="str">
        <f ca="1">Área!N435</f>
        <v/>
      </c>
      <c r="V489" s="396"/>
      <c r="W489" s="396" t="str">
        <f ca="1">Área!M435</f>
        <v/>
      </c>
      <c r="X489" s="396"/>
      <c r="Y489" s="89" t="str">
        <f ca="1">Área!O435</f>
        <v/>
      </c>
      <c r="Z489" s="399" t="str">
        <f ca="1">Área!P435</f>
        <v/>
      </c>
      <c r="AA489" s="399"/>
      <c r="AB489" s="399"/>
      <c r="AC489" s="399"/>
      <c r="AD489" s="399" t="str">
        <f ca="1">Área!Q435</f>
        <v/>
      </c>
      <c r="AE489" s="399"/>
      <c r="AF489" s="399"/>
      <c r="AG489" s="399"/>
      <c r="AH489" s="400" t="str">
        <f ca="1">Área!R435</f>
        <v/>
      </c>
      <c r="AI489" s="400"/>
      <c r="AJ489" s="400" t="str">
        <f ca="1">Área!S435</f>
        <v/>
      </c>
      <c r="AK489" s="400"/>
      <c r="AL489" s="400" t="str">
        <f ca="1">Área!T435</f>
        <v/>
      </c>
      <c r="AM489" s="400"/>
      <c r="AN489" s="400" t="str">
        <f ca="1">Área!U435</f>
        <v/>
      </c>
      <c r="AO489" s="400"/>
      <c r="AP489" s="422" t="str">
        <f ca="1">IFERROR(Área!Z435,"")</f>
        <v/>
      </c>
      <c r="AQ489" s="422"/>
      <c r="AR489" s="400" t="str">
        <f ca="1">Área!Y435</f>
        <v/>
      </c>
      <c r="AS489" s="423"/>
      <c r="AT489" s="72"/>
    </row>
    <row r="490" spans="1:46" ht="15" customHeight="1" x14ac:dyDescent="0.25">
      <c r="A490"/>
      <c r="C490" s="397" t="str">
        <f ca="1">Área!C436</f>
        <v/>
      </c>
      <c r="D490" s="398"/>
      <c r="E490" s="398"/>
      <c r="F490" s="398"/>
      <c r="G490" s="396" t="str">
        <f ca="1">Área!F436</f>
        <v/>
      </c>
      <c r="H490" s="396"/>
      <c r="I490" s="398" t="str">
        <f ca="1">Área!G436</f>
        <v/>
      </c>
      <c r="J490" s="398"/>
      <c r="K490" s="396" t="str">
        <f ca="1">Área!H436</f>
        <v/>
      </c>
      <c r="L490" s="396"/>
      <c r="M490" s="396" t="str">
        <f ca="1">Área!I436</f>
        <v/>
      </c>
      <c r="N490" s="396"/>
      <c r="O490" s="396" t="str">
        <f ca="1">Área!J436</f>
        <v/>
      </c>
      <c r="P490" s="396"/>
      <c r="Q490" s="396" t="str">
        <f ca="1">Área!K436</f>
        <v/>
      </c>
      <c r="R490" s="396"/>
      <c r="S490" s="396" t="str">
        <f ca="1">Área!L436</f>
        <v/>
      </c>
      <c r="T490" s="396"/>
      <c r="U490" s="396" t="str">
        <f ca="1">Área!N436</f>
        <v/>
      </c>
      <c r="V490" s="396"/>
      <c r="W490" s="396" t="str">
        <f ca="1">Área!M436</f>
        <v/>
      </c>
      <c r="X490" s="396"/>
      <c r="Y490" s="89" t="str">
        <f ca="1">Área!O436</f>
        <v/>
      </c>
      <c r="Z490" s="399" t="str">
        <f ca="1">Área!P436</f>
        <v/>
      </c>
      <c r="AA490" s="399"/>
      <c r="AB490" s="399"/>
      <c r="AC490" s="399"/>
      <c r="AD490" s="399" t="str">
        <f ca="1">Área!Q436</f>
        <v/>
      </c>
      <c r="AE490" s="399"/>
      <c r="AF490" s="399"/>
      <c r="AG490" s="399"/>
      <c r="AH490" s="400" t="str">
        <f ca="1">Área!R436</f>
        <v/>
      </c>
      <c r="AI490" s="400"/>
      <c r="AJ490" s="400" t="str">
        <f ca="1">Área!S436</f>
        <v/>
      </c>
      <c r="AK490" s="400"/>
      <c r="AL490" s="400" t="str">
        <f ca="1">Área!T436</f>
        <v/>
      </c>
      <c r="AM490" s="400"/>
      <c r="AN490" s="400" t="str">
        <f ca="1">Área!U436</f>
        <v/>
      </c>
      <c r="AO490" s="400"/>
      <c r="AP490" s="422" t="str">
        <f ca="1">IFERROR(Área!Z436,"")</f>
        <v/>
      </c>
      <c r="AQ490" s="422"/>
      <c r="AR490" s="400" t="str">
        <f ca="1">Área!Y436</f>
        <v/>
      </c>
      <c r="AS490" s="423"/>
      <c r="AT490" s="72"/>
    </row>
    <row r="491" spans="1:46" ht="15" customHeight="1" x14ac:dyDescent="0.25">
      <c r="A491"/>
      <c r="C491" s="397" t="str">
        <f ca="1">Área!C437</f>
        <v/>
      </c>
      <c r="D491" s="398"/>
      <c r="E491" s="398"/>
      <c r="F491" s="398"/>
      <c r="G491" s="396" t="str">
        <f ca="1">Área!F437</f>
        <v/>
      </c>
      <c r="H491" s="396"/>
      <c r="I491" s="398" t="str">
        <f ca="1">Área!G437</f>
        <v/>
      </c>
      <c r="J491" s="398"/>
      <c r="K491" s="396" t="str">
        <f ca="1">Área!H437</f>
        <v/>
      </c>
      <c r="L491" s="396"/>
      <c r="M491" s="396" t="str">
        <f ca="1">Área!I437</f>
        <v/>
      </c>
      <c r="N491" s="396"/>
      <c r="O491" s="396" t="str">
        <f ca="1">Área!J437</f>
        <v/>
      </c>
      <c r="P491" s="396"/>
      <c r="Q491" s="396" t="str">
        <f ca="1">Área!K437</f>
        <v/>
      </c>
      <c r="R491" s="396"/>
      <c r="S491" s="396" t="str">
        <f ca="1">Área!L437</f>
        <v/>
      </c>
      <c r="T491" s="396"/>
      <c r="U491" s="396" t="str">
        <f ca="1">Área!N437</f>
        <v/>
      </c>
      <c r="V491" s="396"/>
      <c r="W491" s="396" t="str">
        <f ca="1">Área!M437</f>
        <v/>
      </c>
      <c r="X491" s="396"/>
      <c r="Y491" s="89" t="str">
        <f ca="1">Área!O437</f>
        <v/>
      </c>
      <c r="Z491" s="399" t="str">
        <f ca="1">Área!P437</f>
        <v/>
      </c>
      <c r="AA491" s="399"/>
      <c r="AB491" s="399"/>
      <c r="AC491" s="399"/>
      <c r="AD491" s="399" t="str">
        <f ca="1">Área!Q437</f>
        <v/>
      </c>
      <c r="AE491" s="399"/>
      <c r="AF491" s="399"/>
      <c r="AG491" s="399"/>
      <c r="AH491" s="400" t="str">
        <f ca="1">Área!R437</f>
        <v/>
      </c>
      <c r="AI491" s="400"/>
      <c r="AJ491" s="400" t="str">
        <f ca="1">Área!S437</f>
        <v/>
      </c>
      <c r="AK491" s="400"/>
      <c r="AL491" s="400" t="str">
        <f ca="1">Área!T437</f>
        <v/>
      </c>
      <c r="AM491" s="400"/>
      <c r="AN491" s="400" t="str">
        <f ca="1">Área!U437</f>
        <v/>
      </c>
      <c r="AO491" s="400"/>
      <c r="AP491" s="422" t="str">
        <f ca="1">IFERROR(Área!Z437,"")</f>
        <v/>
      </c>
      <c r="AQ491" s="422"/>
      <c r="AR491" s="400" t="str">
        <f ca="1">Área!Y437</f>
        <v/>
      </c>
      <c r="AS491" s="423"/>
      <c r="AT491" s="72"/>
    </row>
    <row r="492" spans="1:46" ht="15" customHeight="1" x14ac:dyDescent="0.25">
      <c r="A492"/>
      <c r="C492" s="397" t="str">
        <f ca="1">Área!C438</f>
        <v/>
      </c>
      <c r="D492" s="398"/>
      <c r="E492" s="398"/>
      <c r="F492" s="398"/>
      <c r="G492" s="396" t="str">
        <f ca="1">Área!F438</f>
        <v/>
      </c>
      <c r="H492" s="396"/>
      <c r="I492" s="398" t="str">
        <f ca="1">Área!G438</f>
        <v/>
      </c>
      <c r="J492" s="398"/>
      <c r="K492" s="396" t="str">
        <f ca="1">Área!H438</f>
        <v/>
      </c>
      <c r="L492" s="396"/>
      <c r="M492" s="396" t="str">
        <f ca="1">Área!I438</f>
        <v/>
      </c>
      <c r="N492" s="396"/>
      <c r="O492" s="396" t="str">
        <f ca="1">Área!J438</f>
        <v/>
      </c>
      <c r="P492" s="396"/>
      <c r="Q492" s="396" t="str">
        <f ca="1">Área!K438</f>
        <v/>
      </c>
      <c r="R492" s="396"/>
      <c r="S492" s="396" t="str">
        <f ca="1">Área!L438</f>
        <v/>
      </c>
      <c r="T492" s="396"/>
      <c r="U492" s="396" t="str">
        <f ca="1">Área!N438</f>
        <v/>
      </c>
      <c r="V492" s="396"/>
      <c r="W492" s="396" t="str">
        <f ca="1">Área!M438</f>
        <v/>
      </c>
      <c r="X492" s="396"/>
      <c r="Y492" s="89" t="str">
        <f ca="1">Área!O438</f>
        <v/>
      </c>
      <c r="Z492" s="399" t="str">
        <f ca="1">Área!P438</f>
        <v/>
      </c>
      <c r="AA492" s="399"/>
      <c r="AB492" s="399"/>
      <c r="AC492" s="399"/>
      <c r="AD492" s="399" t="str">
        <f ca="1">Área!Q438</f>
        <v/>
      </c>
      <c r="AE492" s="399"/>
      <c r="AF492" s="399"/>
      <c r="AG492" s="399"/>
      <c r="AH492" s="400" t="str">
        <f ca="1">Área!R438</f>
        <v/>
      </c>
      <c r="AI492" s="400"/>
      <c r="AJ492" s="400" t="str">
        <f ca="1">Área!S438</f>
        <v/>
      </c>
      <c r="AK492" s="400"/>
      <c r="AL492" s="400" t="str">
        <f ca="1">Área!T438</f>
        <v/>
      </c>
      <c r="AM492" s="400"/>
      <c r="AN492" s="400" t="str">
        <f ca="1">Área!U438</f>
        <v/>
      </c>
      <c r="AO492" s="400"/>
      <c r="AP492" s="422" t="str">
        <f ca="1">IFERROR(Área!Z438,"")</f>
        <v/>
      </c>
      <c r="AQ492" s="422"/>
      <c r="AR492" s="400" t="str">
        <f ca="1">Área!Y438</f>
        <v/>
      </c>
      <c r="AS492" s="423"/>
      <c r="AT492" s="72"/>
    </row>
    <row r="493" spans="1:46" ht="15" customHeight="1" x14ac:dyDescent="0.25">
      <c r="A493"/>
      <c r="C493" s="397" t="str">
        <f ca="1">Área!C439</f>
        <v/>
      </c>
      <c r="D493" s="398"/>
      <c r="E493" s="398"/>
      <c r="F493" s="398"/>
      <c r="G493" s="396" t="str">
        <f ca="1">Área!F439</f>
        <v/>
      </c>
      <c r="H493" s="396"/>
      <c r="I493" s="398" t="str">
        <f ca="1">Área!G439</f>
        <v/>
      </c>
      <c r="J493" s="398"/>
      <c r="K493" s="396" t="str">
        <f ca="1">Área!H439</f>
        <v/>
      </c>
      <c r="L493" s="396"/>
      <c r="M493" s="396" t="str">
        <f ca="1">Área!I439</f>
        <v/>
      </c>
      <c r="N493" s="396"/>
      <c r="O493" s="396" t="str">
        <f ca="1">Área!J439</f>
        <v/>
      </c>
      <c r="P493" s="396"/>
      <c r="Q493" s="396" t="str">
        <f ca="1">Área!K439</f>
        <v/>
      </c>
      <c r="R493" s="396"/>
      <c r="S493" s="396" t="str">
        <f ca="1">Área!L439</f>
        <v/>
      </c>
      <c r="T493" s="396"/>
      <c r="U493" s="396" t="str">
        <f ca="1">Área!N439</f>
        <v/>
      </c>
      <c r="V493" s="396"/>
      <c r="W493" s="396" t="str">
        <f ca="1">Área!M439</f>
        <v/>
      </c>
      <c r="X493" s="396"/>
      <c r="Y493" s="89" t="str">
        <f ca="1">Área!O439</f>
        <v/>
      </c>
      <c r="Z493" s="399" t="str">
        <f ca="1">Área!P439</f>
        <v/>
      </c>
      <c r="AA493" s="399"/>
      <c r="AB493" s="399"/>
      <c r="AC493" s="399"/>
      <c r="AD493" s="399" t="str">
        <f ca="1">Área!Q439</f>
        <v/>
      </c>
      <c r="AE493" s="399"/>
      <c r="AF493" s="399"/>
      <c r="AG493" s="399"/>
      <c r="AH493" s="400" t="str">
        <f ca="1">Área!R439</f>
        <v/>
      </c>
      <c r="AI493" s="400"/>
      <c r="AJ493" s="400" t="str">
        <f ca="1">Área!S439</f>
        <v/>
      </c>
      <c r="AK493" s="400"/>
      <c r="AL493" s="400" t="str">
        <f ca="1">Área!T439</f>
        <v/>
      </c>
      <c r="AM493" s="400"/>
      <c r="AN493" s="400" t="str">
        <f ca="1">Área!U439</f>
        <v/>
      </c>
      <c r="AO493" s="400"/>
      <c r="AP493" s="422" t="str">
        <f ca="1">IFERROR(Área!Z439,"")</f>
        <v/>
      </c>
      <c r="AQ493" s="422"/>
      <c r="AR493" s="400" t="str">
        <f ca="1">Área!Y439</f>
        <v/>
      </c>
      <c r="AS493" s="423"/>
      <c r="AT493" s="72"/>
    </row>
    <row r="494" spans="1:46" ht="15" customHeight="1" x14ac:dyDescent="0.25">
      <c r="A494"/>
      <c r="C494" s="397" t="str">
        <f ca="1">Área!C440</f>
        <v/>
      </c>
      <c r="D494" s="398"/>
      <c r="E494" s="398"/>
      <c r="F494" s="398"/>
      <c r="G494" s="396" t="str">
        <f ca="1">Área!F440</f>
        <v/>
      </c>
      <c r="H494" s="396"/>
      <c r="I494" s="398" t="str">
        <f ca="1">Área!G440</f>
        <v/>
      </c>
      <c r="J494" s="398"/>
      <c r="K494" s="396" t="str">
        <f ca="1">Área!H440</f>
        <v/>
      </c>
      <c r="L494" s="396"/>
      <c r="M494" s="396" t="str">
        <f ca="1">Área!I440</f>
        <v/>
      </c>
      <c r="N494" s="396"/>
      <c r="O494" s="396" t="str">
        <f ca="1">Área!J440</f>
        <v/>
      </c>
      <c r="P494" s="396"/>
      <c r="Q494" s="396" t="str">
        <f ca="1">Área!K440</f>
        <v/>
      </c>
      <c r="R494" s="396"/>
      <c r="S494" s="396" t="str">
        <f ca="1">Área!L440</f>
        <v/>
      </c>
      <c r="T494" s="396"/>
      <c r="U494" s="396" t="str">
        <f ca="1">Área!N440</f>
        <v/>
      </c>
      <c r="V494" s="396"/>
      <c r="W494" s="396" t="str">
        <f ca="1">Área!M440</f>
        <v/>
      </c>
      <c r="X494" s="396"/>
      <c r="Y494" s="89" t="str">
        <f ca="1">Área!O440</f>
        <v/>
      </c>
      <c r="Z494" s="399" t="str">
        <f ca="1">Área!P440</f>
        <v/>
      </c>
      <c r="AA494" s="399"/>
      <c r="AB494" s="399"/>
      <c r="AC494" s="399"/>
      <c r="AD494" s="399" t="str">
        <f ca="1">Área!Q440</f>
        <v/>
      </c>
      <c r="AE494" s="399"/>
      <c r="AF494" s="399"/>
      <c r="AG494" s="399"/>
      <c r="AH494" s="400" t="str">
        <f ca="1">Área!R440</f>
        <v/>
      </c>
      <c r="AI494" s="400"/>
      <c r="AJ494" s="400" t="str">
        <f ca="1">Área!S440</f>
        <v/>
      </c>
      <c r="AK494" s="400"/>
      <c r="AL494" s="400" t="str">
        <f ca="1">Área!T440</f>
        <v/>
      </c>
      <c r="AM494" s="400"/>
      <c r="AN494" s="400" t="str">
        <f ca="1">Área!U440</f>
        <v/>
      </c>
      <c r="AO494" s="400"/>
      <c r="AP494" s="422" t="str">
        <f ca="1">IFERROR(Área!Z440,"")</f>
        <v/>
      </c>
      <c r="AQ494" s="422"/>
      <c r="AR494" s="400" t="str">
        <f ca="1">Área!Y440</f>
        <v/>
      </c>
      <c r="AS494" s="423"/>
      <c r="AT494" s="72"/>
    </row>
    <row r="495" spans="1:46" ht="15" customHeight="1" x14ac:dyDescent="0.25">
      <c r="A495"/>
      <c r="C495" s="397" t="str">
        <f ca="1">Área!C441</f>
        <v/>
      </c>
      <c r="D495" s="398"/>
      <c r="E495" s="398"/>
      <c r="F495" s="398"/>
      <c r="G495" s="396" t="str">
        <f ca="1">Área!F441</f>
        <v/>
      </c>
      <c r="H495" s="396"/>
      <c r="I495" s="398" t="str">
        <f ca="1">Área!G441</f>
        <v/>
      </c>
      <c r="J495" s="398"/>
      <c r="K495" s="396" t="str">
        <f ca="1">Área!H441</f>
        <v/>
      </c>
      <c r="L495" s="396"/>
      <c r="M495" s="396" t="str">
        <f ca="1">Área!I441</f>
        <v/>
      </c>
      <c r="N495" s="396"/>
      <c r="O495" s="396" t="str">
        <f ca="1">Área!J441</f>
        <v/>
      </c>
      <c r="P495" s="396"/>
      <c r="Q495" s="396" t="str">
        <f ca="1">Área!K441</f>
        <v/>
      </c>
      <c r="R495" s="396"/>
      <c r="S495" s="396" t="str">
        <f ca="1">Área!L441</f>
        <v/>
      </c>
      <c r="T495" s="396"/>
      <c r="U495" s="396" t="str">
        <f ca="1">Área!N441</f>
        <v/>
      </c>
      <c r="V495" s="396"/>
      <c r="W495" s="396" t="str">
        <f ca="1">Área!M441</f>
        <v/>
      </c>
      <c r="X495" s="396"/>
      <c r="Y495" s="89" t="str">
        <f ca="1">Área!O441</f>
        <v/>
      </c>
      <c r="Z495" s="399" t="str">
        <f ca="1">Área!P441</f>
        <v/>
      </c>
      <c r="AA495" s="399"/>
      <c r="AB495" s="399"/>
      <c r="AC495" s="399"/>
      <c r="AD495" s="399" t="str">
        <f ca="1">Área!Q441</f>
        <v/>
      </c>
      <c r="AE495" s="399"/>
      <c r="AF495" s="399"/>
      <c r="AG495" s="399"/>
      <c r="AH495" s="400" t="str">
        <f ca="1">Área!R441</f>
        <v/>
      </c>
      <c r="AI495" s="400"/>
      <c r="AJ495" s="400" t="str">
        <f ca="1">Área!S441</f>
        <v/>
      </c>
      <c r="AK495" s="400"/>
      <c r="AL495" s="400" t="str">
        <f ca="1">Área!T441</f>
        <v/>
      </c>
      <c r="AM495" s="400"/>
      <c r="AN495" s="400" t="str">
        <f ca="1">Área!U441</f>
        <v/>
      </c>
      <c r="AO495" s="400"/>
      <c r="AP495" s="422" t="str">
        <f ca="1">IFERROR(Área!Z441,"")</f>
        <v/>
      </c>
      <c r="AQ495" s="422"/>
      <c r="AR495" s="400" t="str">
        <f ca="1">Área!Y441</f>
        <v/>
      </c>
      <c r="AS495" s="423"/>
      <c r="AT495" s="72"/>
    </row>
    <row r="496" spans="1:46" ht="15" customHeight="1" x14ac:dyDescent="0.25">
      <c r="A496"/>
      <c r="C496" s="397" t="str">
        <f ca="1">Área!C442</f>
        <v/>
      </c>
      <c r="D496" s="398"/>
      <c r="E496" s="398"/>
      <c r="F496" s="398"/>
      <c r="G496" s="396" t="str">
        <f ca="1">Área!F442</f>
        <v/>
      </c>
      <c r="H496" s="396"/>
      <c r="I496" s="398" t="str">
        <f ca="1">Área!G442</f>
        <v/>
      </c>
      <c r="J496" s="398"/>
      <c r="K496" s="396" t="str">
        <f ca="1">Área!H442</f>
        <v/>
      </c>
      <c r="L496" s="396"/>
      <c r="M496" s="396" t="str">
        <f ca="1">Área!I442</f>
        <v/>
      </c>
      <c r="N496" s="396"/>
      <c r="O496" s="396" t="str">
        <f ca="1">Área!J442</f>
        <v/>
      </c>
      <c r="P496" s="396"/>
      <c r="Q496" s="396" t="str">
        <f ca="1">Área!K442</f>
        <v/>
      </c>
      <c r="R496" s="396"/>
      <c r="S496" s="396" t="str">
        <f ca="1">Área!L442</f>
        <v/>
      </c>
      <c r="T496" s="396"/>
      <c r="U496" s="396" t="str">
        <f ca="1">Área!N442</f>
        <v/>
      </c>
      <c r="V496" s="396"/>
      <c r="W496" s="396" t="str">
        <f ca="1">Área!M442</f>
        <v/>
      </c>
      <c r="X496" s="396"/>
      <c r="Y496" s="89" t="str">
        <f ca="1">Área!O442</f>
        <v/>
      </c>
      <c r="Z496" s="399" t="str">
        <f ca="1">Área!P442</f>
        <v/>
      </c>
      <c r="AA496" s="399"/>
      <c r="AB496" s="399"/>
      <c r="AC496" s="399"/>
      <c r="AD496" s="399" t="str">
        <f ca="1">Área!Q442</f>
        <v/>
      </c>
      <c r="AE496" s="399"/>
      <c r="AF496" s="399"/>
      <c r="AG496" s="399"/>
      <c r="AH496" s="400" t="str">
        <f ca="1">Área!R442</f>
        <v/>
      </c>
      <c r="AI496" s="400"/>
      <c r="AJ496" s="400" t="str">
        <f ca="1">Área!S442</f>
        <v/>
      </c>
      <c r="AK496" s="400"/>
      <c r="AL496" s="400" t="str">
        <f ca="1">Área!T442</f>
        <v/>
      </c>
      <c r="AM496" s="400"/>
      <c r="AN496" s="400" t="str">
        <f ca="1">Área!U442</f>
        <v/>
      </c>
      <c r="AO496" s="400"/>
      <c r="AP496" s="422" t="str">
        <f ca="1">IFERROR(Área!Z442,"")</f>
        <v/>
      </c>
      <c r="AQ496" s="422"/>
      <c r="AR496" s="400" t="str">
        <f ca="1">Área!Y442</f>
        <v/>
      </c>
      <c r="AS496" s="423"/>
      <c r="AT496" s="72"/>
    </row>
    <row r="497" spans="1:46" ht="15" customHeight="1" x14ac:dyDescent="0.25">
      <c r="A497"/>
      <c r="C497" s="397" t="str">
        <f ca="1">Área!C443</f>
        <v/>
      </c>
      <c r="D497" s="398"/>
      <c r="E497" s="398"/>
      <c r="F497" s="398"/>
      <c r="G497" s="396" t="str">
        <f ca="1">Área!F443</f>
        <v/>
      </c>
      <c r="H497" s="396"/>
      <c r="I497" s="398" t="str">
        <f ca="1">Área!G443</f>
        <v/>
      </c>
      <c r="J497" s="398"/>
      <c r="K497" s="396" t="str">
        <f ca="1">Área!H443</f>
        <v/>
      </c>
      <c r="L497" s="396"/>
      <c r="M497" s="396" t="str">
        <f ca="1">Área!I443</f>
        <v/>
      </c>
      <c r="N497" s="396"/>
      <c r="O497" s="396" t="str">
        <f ca="1">Área!J443</f>
        <v/>
      </c>
      <c r="P497" s="396"/>
      <c r="Q497" s="396" t="str">
        <f ca="1">Área!K443</f>
        <v/>
      </c>
      <c r="R497" s="396"/>
      <c r="S497" s="396" t="str">
        <f ca="1">Área!L443</f>
        <v/>
      </c>
      <c r="T497" s="396"/>
      <c r="U497" s="396" t="str">
        <f ca="1">Área!N443</f>
        <v/>
      </c>
      <c r="V497" s="396"/>
      <c r="W497" s="396" t="str">
        <f ca="1">Área!M443</f>
        <v/>
      </c>
      <c r="X497" s="396"/>
      <c r="Y497" s="89" t="str">
        <f ca="1">Área!O443</f>
        <v/>
      </c>
      <c r="Z497" s="399" t="str">
        <f ca="1">Área!P443</f>
        <v/>
      </c>
      <c r="AA497" s="399"/>
      <c r="AB497" s="399"/>
      <c r="AC497" s="399"/>
      <c r="AD497" s="399" t="str">
        <f ca="1">Área!Q443</f>
        <v/>
      </c>
      <c r="AE497" s="399"/>
      <c r="AF497" s="399"/>
      <c r="AG497" s="399"/>
      <c r="AH497" s="400" t="str">
        <f ca="1">Área!R443</f>
        <v/>
      </c>
      <c r="AI497" s="400"/>
      <c r="AJ497" s="400" t="str">
        <f ca="1">Área!S443</f>
        <v/>
      </c>
      <c r="AK497" s="400"/>
      <c r="AL497" s="400" t="str">
        <f ca="1">Área!T443</f>
        <v/>
      </c>
      <c r="AM497" s="400"/>
      <c r="AN497" s="400" t="str">
        <f ca="1">Área!U443</f>
        <v/>
      </c>
      <c r="AO497" s="400"/>
      <c r="AP497" s="422" t="str">
        <f ca="1">IFERROR(Área!Z443,"")</f>
        <v/>
      </c>
      <c r="AQ497" s="422"/>
      <c r="AR497" s="400" t="str">
        <f ca="1">Área!Y443</f>
        <v/>
      </c>
      <c r="AS497" s="423"/>
      <c r="AT497" s="72"/>
    </row>
    <row r="498" spans="1:46" ht="15" customHeight="1" x14ac:dyDescent="0.25">
      <c r="A498"/>
      <c r="C498" s="397" t="str">
        <f ca="1">Área!C444</f>
        <v/>
      </c>
      <c r="D498" s="398"/>
      <c r="E498" s="398"/>
      <c r="F498" s="398"/>
      <c r="G498" s="396" t="str">
        <f ca="1">Área!F444</f>
        <v/>
      </c>
      <c r="H498" s="396"/>
      <c r="I498" s="398" t="str">
        <f ca="1">Área!G444</f>
        <v/>
      </c>
      <c r="J498" s="398"/>
      <c r="K498" s="396" t="str">
        <f ca="1">Área!H444</f>
        <v/>
      </c>
      <c r="L498" s="396"/>
      <c r="M498" s="396" t="str">
        <f ca="1">Área!I444</f>
        <v/>
      </c>
      <c r="N498" s="396"/>
      <c r="O498" s="396" t="str">
        <f ca="1">Área!J444</f>
        <v/>
      </c>
      <c r="P498" s="396"/>
      <c r="Q498" s="396" t="str">
        <f ca="1">Área!K444</f>
        <v/>
      </c>
      <c r="R498" s="396"/>
      <c r="S498" s="396" t="str">
        <f ca="1">Área!L444</f>
        <v/>
      </c>
      <c r="T498" s="396"/>
      <c r="U498" s="396" t="str">
        <f ca="1">Área!N444</f>
        <v/>
      </c>
      <c r="V498" s="396"/>
      <c r="W498" s="396" t="str">
        <f ca="1">Área!M444</f>
        <v/>
      </c>
      <c r="X498" s="396"/>
      <c r="Y498" s="89" t="str">
        <f ca="1">Área!O444</f>
        <v/>
      </c>
      <c r="Z498" s="399" t="str">
        <f ca="1">Área!P444</f>
        <v/>
      </c>
      <c r="AA498" s="399"/>
      <c r="AB498" s="399"/>
      <c r="AC498" s="399"/>
      <c r="AD498" s="399" t="str">
        <f ca="1">Área!Q444</f>
        <v/>
      </c>
      <c r="AE498" s="399"/>
      <c r="AF498" s="399"/>
      <c r="AG498" s="399"/>
      <c r="AH498" s="400" t="str">
        <f ca="1">Área!R444</f>
        <v/>
      </c>
      <c r="AI498" s="400"/>
      <c r="AJ498" s="400" t="str">
        <f ca="1">Área!S444</f>
        <v/>
      </c>
      <c r="AK498" s="400"/>
      <c r="AL498" s="400" t="str">
        <f ca="1">Área!T444</f>
        <v/>
      </c>
      <c r="AM498" s="400"/>
      <c r="AN498" s="400" t="str">
        <f ca="1">Área!U444</f>
        <v/>
      </c>
      <c r="AO498" s="400"/>
      <c r="AP498" s="422" t="str">
        <f ca="1">IFERROR(Área!Z444,"")</f>
        <v/>
      </c>
      <c r="AQ498" s="422"/>
      <c r="AR498" s="400" t="str">
        <f ca="1">Área!Y444</f>
        <v/>
      </c>
      <c r="AS498" s="423"/>
      <c r="AT498" s="72"/>
    </row>
    <row r="499" spans="1:46" ht="15" customHeight="1" x14ac:dyDescent="0.25">
      <c r="A499"/>
      <c r="C499" s="397" t="str">
        <f ca="1">Área!C445</f>
        <v/>
      </c>
      <c r="D499" s="398"/>
      <c r="E499" s="398"/>
      <c r="F499" s="398"/>
      <c r="G499" s="396" t="str">
        <f ca="1">Área!F445</f>
        <v/>
      </c>
      <c r="H499" s="396"/>
      <c r="I499" s="398" t="str">
        <f ca="1">Área!G445</f>
        <v/>
      </c>
      <c r="J499" s="398"/>
      <c r="K499" s="396" t="str">
        <f ca="1">Área!H445</f>
        <v/>
      </c>
      <c r="L499" s="396"/>
      <c r="M499" s="396" t="str">
        <f ca="1">Área!I445</f>
        <v/>
      </c>
      <c r="N499" s="396"/>
      <c r="O499" s="396" t="str">
        <f ca="1">Área!J445</f>
        <v/>
      </c>
      <c r="P499" s="396"/>
      <c r="Q499" s="396" t="str">
        <f ca="1">Área!K445</f>
        <v/>
      </c>
      <c r="R499" s="396"/>
      <c r="S499" s="396" t="str">
        <f ca="1">Área!L445</f>
        <v/>
      </c>
      <c r="T499" s="396"/>
      <c r="U499" s="396" t="str">
        <f ca="1">Área!N445</f>
        <v/>
      </c>
      <c r="V499" s="396"/>
      <c r="W499" s="396" t="str">
        <f ca="1">Área!M445</f>
        <v/>
      </c>
      <c r="X499" s="396"/>
      <c r="Y499" s="89" t="str">
        <f ca="1">Área!O445</f>
        <v/>
      </c>
      <c r="Z499" s="399" t="str">
        <f ca="1">Área!P445</f>
        <v/>
      </c>
      <c r="AA499" s="399"/>
      <c r="AB499" s="399"/>
      <c r="AC499" s="399"/>
      <c r="AD499" s="399" t="str">
        <f ca="1">Área!Q445</f>
        <v/>
      </c>
      <c r="AE499" s="399"/>
      <c r="AF499" s="399"/>
      <c r="AG499" s="399"/>
      <c r="AH499" s="400" t="str">
        <f ca="1">Área!R445</f>
        <v/>
      </c>
      <c r="AI499" s="400"/>
      <c r="AJ499" s="400" t="str">
        <f ca="1">Área!S445</f>
        <v/>
      </c>
      <c r="AK499" s="400"/>
      <c r="AL499" s="400" t="str">
        <f ca="1">Área!T445</f>
        <v/>
      </c>
      <c r="AM499" s="400"/>
      <c r="AN499" s="400" t="str">
        <f ca="1">Área!U445</f>
        <v/>
      </c>
      <c r="AO499" s="400"/>
      <c r="AP499" s="422" t="str">
        <f ca="1">IFERROR(Área!Z445,"")</f>
        <v/>
      </c>
      <c r="AQ499" s="422"/>
      <c r="AR499" s="400" t="str">
        <f ca="1">Área!Y445</f>
        <v/>
      </c>
      <c r="AS499" s="423"/>
      <c r="AT499" s="72"/>
    </row>
    <row r="500" spans="1:46" ht="15" customHeight="1" x14ac:dyDescent="0.25">
      <c r="A500"/>
      <c r="C500" s="397" t="str">
        <f ca="1">Área!C446</f>
        <v/>
      </c>
      <c r="D500" s="398"/>
      <c r="E500" s="398"/>
      <c r="F500" s="398"/>
      <c r="G500" s="396" t="str">
        <f ca="1">Área!F446</f>
        <v/>
      </c>
      <c r="H500" s="396"/>
      <c r="I500" s="398" t="str">
        <f ca="1">Área!G446</f>
        <v/>
      </c>
      <c r="J500" s="398"/>
      <c r="K500" s="396" t="str">
        <f ca="1">Área!H446</f>
        <v/>
      </c>
      <c r="L500" s="396"/>
      <c r="M500" s="396" t="str">
        <f ca="1">Área!I446</f>
        <v/>
      </c>
      <c r="N500" s="396"/>
      <c r="O500" s="396" t="str">
        <f ca="1">Área!J446</f>
        <v/>
      </c>
      <c r="P500" s="396"/>
      <c r="Q500" s="396" t="str">
        <f ca="1">Área!K446</f>
        <v/>
      </c>
      <c r="R500" s="396"/>
      <c r="S500" s="396" t="str">
        <f ca="1">Área!L446</f>
        <v/>
      </c>
      <c r="T500" s="396"/>
      <c r="U500" s="396" t="str">
        <f ca="1">Área!N446</f>
        <v/>
      </c>
      <c r="V500" s="396"/>
      <c r="W500" s="396" t="str">
        <f ca="1">Área!M446</f>
        <v/>
      </c>
      <c r="X500" s="396"/>
      <c r="Y500" s="89" t="str">
        <f ca="1">Área!O446</f>
        <v/>
      </c>
      <c r="Z500" s="399" t="str">
        <f ca="1">Área!P446</f>
        <v/>
      </c>
      <c r="AA500" s="399"/>
      <c r="AB500" s="399"/>
      <c r="AC500" s="399"/>
      <c r="AD500" s="399" t="str">
        <f ca="1">Área!Q446</f>
        <v/>
      </c>
      <c r="AE500" s="399"/>
      <c r="AF500" s="399"/>
      <c r="AG500" s="399"/>
      <c r="AH500" s="400" t="str">
        <f ca="1">Área!R446</f>
        <v/>
      </c>
      <c r="AI500" s="400"/>
      <c r="AJ500" s="400" t="str">
        <f ca="1">Área!S446</f>
        <v/>
      </c>
      <c r="AK500" s="400"/>
      <c r="AL500" s="400" t="str">
        <f ca="1">Área!T446</f>
        <v/>
      </c>
      <c r="AM500" s="400"/>
      <c r="AN500" s="400" t="str">
        <f ca="1">Área!U446</f>
        <v/>
      </c>
      <c r="AO500" s="400"/>
      <c r="AP500" s="422" t="str">
        <f ca="1">IFERROR(Área!Z446,"")</f>
        <v/>
      </c>
      <c r="AQ500" s="422"/>
      <c r="AR500" s="400" t="str">
        <f ca="1">Área!Y446</f>
        <v/>
      </c>
      <c r="AS500" s="423"/>
      <c r="AT500" s="72"/>
    </row>
    <row r="501" spans="1:46" ht="15" customHeight="1" x14ac:dyDescent="0.25">
      <c r="A501"/>
      <c r="C501" s="397" t="str">
        <f ca="1">Área!C447</f>
        <v/>
      </c>
      <c r="D501" s="398"/>
      <c r="E501" s="398"/>
      <c r="F501" s="398"/>
      <c r="G501" s="396" t="str">
        <f ca="1">Área!F447</f>
        <v/>
      </c>
      <c r="H501" s="396"/>
      <c r="I501" s="398" t="str">
        <f ca="1">Área!G447</f>
        <v/>
      </c>
      <c r="J501" s="398"/>
      <c r="K501" s="396" t="str">
        <f ca="1">Área!H447</f>
        <v/>
      </c>
      <c r="L501" s="396"/>
      <c r="M501" s="396" t="str">
        <f ca="1">Área!I447</f>
        <v/>
      </c>
      <c r="N501" s="396"/>
      <c r="O501" s="396" t="str">
        <f ca="1">Área!J447</f>
        <v/>
      </c>
      <c r="P501" s="396"/>
      <c r="Q501" s="396" t="str">
        <f ca="1">Área!K447</f>
        <v/>
      </c>
      <c r="R501" s="396"/>
      <c r="S501" s="396" t="str">
        <f ca="1">Área!L447</f>
        <v/>
      </c>
      <c r="T501" s="396"/>
      <c r="U501" s="396" t="str">
        <f ca="1">Área!N447</f>
        <v/>
      </c>
      <c r="V501" s="396"/>
      <c r="W501" s="396" t="str">
        <f ca="1">Área!M447</f>
        <v/>
      </c>
      <c r="X501" s="396"/>
      <c r="Y501" s="89" t="str">
        <f ca="1">Área!O447</f>
        <v/>
      </c>
      <c r="Z501" s="399" t="str">
        <f ca="1">Área!P447</f>
        <v/>
      </c>
      <c r="AA501" s="399"/>
      <c r="AB501" s="399"/>
      <c r="AC501" s="399"/>
      <c r="AD501" s="399" t="str">
        <f ca="1">Área!Q447</f>
        <v/>
      </c>
      <c r="AE501" s="399"/>
      <c r="AF501" s="399"/>
      <c r="AG501" s="399"/>
      <c r="AH501" s="400" t="str">
        <f ca="1">Área!R447</f>
        <v/>
      </c>
      <c r="AI501" s="400"/>
      <c r="AJ501" s="400" t="str">
        <f ca="1">Área!S447</f>
        <v/>
      </c>
      <c r="AK501" s="400"/>
      <c r="AL501" s="400" t="str">
        <f ca="1">Área!T447</f>
        <v/>
      </c>
      <c r="AM501" s="400"/>
      <c r="AN501" s="400" t="str">
        <f ca="1">Área!U447</f>
        <v/>
      </c>
      <c r="AO501" s="400"/>
      <c r="AP501" s="422" t="str">
        <f ca="1">IFERROR(Área!Z447,"")</f>
        <v/>
      </c>
      <c r="AQ501" s="422"/>
      <c r="AR501" s="400" t="str">
        <f ca="1">Área!Y447</f>
        <v/>
      </c>
      <c r="AS501" s="423"/>
    </row>
    <row r="502" spans="1:46" ht="15" customHeight="1" x14ac:dyDescent="0.25">
      <c r="A502"/>
      <c r="C502" s="397" t="str">
        <f ca="1">Área!C448</f>
        <v/>
      </c>
      <c r="D502" s="398"/>
      <c r="E502" s="398"/>
      <c r="F502" s="398"/>
      <c r="G502" s="396" t="str">
        <f ca="1">Área!F448</f>
        <v/>
      </c>
      <c r="H502" s="396"/>
      <c r="I502" s="398" t="str">
        <f ca="1">Área!G448</f>
        <v/>
      </c>
      <c r="J502" s="398"/>
      <c r="K502" s="396" t="str">
        <f ca="1">Área!H448</f>
        <v/>
      </c>
      <c r="L502" s="396"/>
      <c r="M502" s="396" t="str">
        <f ca="1">Área!I448</f>
        <v/>
      </c>
      <c r="N502" s="396"/>
      <c r="O502" s="396" t="str">
        <f ca="1">Área!J448</f>
        <v/>
      </c>
      <c r="P502" s="396"/>
      <c r="Q502" s="396" t="str">
        <f ca="1">Área!K448</f>
        <v/>
      </c>
      <c r="R502" s="396"/>
      <c r="S502" s="396" t="str">
        <f ca="1">Área!L448</f>
        <v/>
      </c>
      <c r="T502" s="396"/>
      <c r="U502" s="396" t="str">
        <f ca="1">Área!N448</f>
        <v/>
      </c>
      <c r="V502" s="396"/>
      <c r="W502" s="396" t="str">
        <f ca="1">Área!M448</f>
        <v/>
      </c>
      <c r="X502" s="396"/>
      <c r="Y502" s="89" t="str">
        <f ca="1">Área!O448</f>
        <v/>
      </c>
      <c r="Z502" s="399" t="str">
        <f ca="1">Área!P448</f>
        <v/>
      </c>
      <c r="AA502" s="399"/>
      <c r="AB502" s="399"/>
      <c r="AC502" s="399"/>
      <c r="AD502" s="399" t="str">
        <f ca="1">Área!Q448</f>
        <v/>
      </c>
      <c r="AE502" s="399"/>
      <c r="AF502" s="399"/>
      <c r="AG502" s="399"/>
      <c r="AH502" s="400" t="str">
        <f ca="1">Área!R448</f>
        <v/>
      </c>
      <c r="AI502" s="400"/>
      <c r="AJ502" s="400" t="str">
        <f ca="1">Área!S448</f>
        <v/>
      </c>
      <c r="AK502" s="400"/>
      <c r="AL502" s="400" t="str">
        <f ca="1">Área!T448</f>
        <v/>
      </c>
      <c r="AM502" s="400"/>
      <c r="AN502" s="400" t="str">
        <f ca="1">Área!U448</f>
        <v/>
      </c>
      <c r="AO502" s="400"/>
      <c r="AP502" s="422" t="str">
        <f ca="1">IFERROR(Área!Z448,"")</f>
        <v/>
      </c>
      <c r="AQ502" s="422"/>
      <c r="AR502" s="400" t="str">
        <f ca="1">Área!Y448</f>
        <v/>
      </c>
      <c r="AS502" s="423"/>
    </row>
    <row r="503" spans="1:46" ht="15" customHeight="1" x14ac:dyDescent="0.25">
      <c r="A503"/>
      <c r="C503" s="397" t="str">
        <f ca="1">Área!C449</f>
        <v/>
      </c>
      <c r="D503" s="398"/>
      <c r="E503" s="398"/>
      <c r="F503" s="398"/>
      <c r="G503" s="396" t="str">
        <f ca="1">Área!F449</f>
        <v/>
      </c>
      <c r="H503" s="396"/>
      <c r="I503" s="398" t="str">
        <f ca="1">Área!G449</f>
        <v/>
      </c>
      <c r="J503" s="398"/>
      <c r="K503" s="396" t="str">
        <f ca="1">Área!H449</f>
        <v/>
      </c>
      <c r="L503" s="396"/>
      <c r="M503" s="396" t="str">
        <f ca="1">Área!I449</f>
        <v/>
      </c>
      <c r="N503" s="396"/>
      <c r="O503" s="396" t="str">
        <f ca="1">Área!J449</f>
        <v/>
      </c>
      <c r="P503" s="396"/>
      <c r="Q503" s="396" t="str">
        <f ca="1">Área!K449</f>
        <v/>
      </c>
      <c r="R503" s="396"/>
      <c r="S503" s="396" t="str">
        <f ca="1">Área!L449</f>
        <v/>
      </c>
      <c r="T503" s="396"/>
      <c r="U503" s="396" t="str">
        <f ca="1">Área!N449</f>
        <v/>
      </c>
      <c r="V503" s="396"/>
      <c r="W503" s="396" t="str">
        <f ca="1">Área!M449</f>
        <v/>
      </c>
      <c r="X503" s="396"/>
      <c r="Y503" s="89" t="str">
        <f ca="1">Área!O449</f>
        <v/>
      </c>
      <c r="Z503" s="399" t="str">
        <f ca="1">Área!P449</f>
        <v/>
      </c>
      <c r="AA503" s="399"/>
      <c r="AB503" s="399"/>
      <c r="AC503" s="399"/>
      <c r="AD503" s="399" t="str">
        <f ca="1">Área!Q449</f>
        <v/>
      </c>
      <c r="AE503" s="399"/>
      <c r="AF503" s="399"/>
      <c r="AG503" s="399"/>
      <c r="AH503" s="400" t="str">
        <f ca="1">Área!R449</f>
        <v/>
      </c>
      <c r="AI503" s="400"/>
      <c r="AJ503" s="400" t="str">
        <f ca="1">Área!S449</f>
        <v/>
      </c>
      <c r="AK503" s="400"/>
      <c r="AL503" s="400" t="str">
        <f ca="1">Área!T449</f>
        <v/>
      </c>
      <c r="AM503" s="400"/>
      <c r="AN503" s="400" t="str">
        <f ca="1">Área!U449</f>
        <v/>
      </c>
      <c r="AO503" s="400"/>
      <c r="AP503" s="422" t="str">
        <f ca="1">IFERROR(Área!Z449,"")</f>
        <v/>
      </c>
      <c r="AQ503" s="422"/>
      <c r="AR503" s="400" t="str">
        <f ca="1">Área!Y449</f>
        <v/>
      </c>
      <c r="AS503" s="423"/>
    </row>
    <row r="504" spans="1:46" ht="15" customHeight="1" x14ac:dyDescent="0.25">
      <c r="A504"/>
      <c r="C504" s="397" t="str">
        <f ca="1">Área!C450</f>
        <v/>
      </c>
      <c r="D504" s="398"/>
      <c r="E504" s="398"/>
      <c r="F504" s="398"/>
      <c r="G504" s="396" t="str">
        <f ca="1">Área!F450</f>
        <v/>
      </c>
      <c r="H504" s="396"/>
      <c r="I504" s="398" t="str">
        <f ca="1">Área!G450</f>
        <v/>
      </c>
      <c r="J504" s="398"/>
      <c r="K504" s="396" t="str">
        <f ca="1">Área!H450</f>
        <v/>
      </c>
      <c r="L504" s="396"/>
      <c r="M504" s="396" t="str">
        <f ca="1">Área!I450</f>
        <v/>
      </c>
      <c r="N504" s="396"/>
      <c r="O504" s="396" t="str">
        <f ca="1">Área!J450</f>
        <v/>
      </c>
      <c r="P504" s="396"/>
      <c r="Q504" s="396" t="str">
        <f ca="1">Área!K450</f>
        <v/>
      </c>
      <c r="R504" s="396"/>
      <c r="S504" s="396" t="str">
        <f ca="1">Área!L450</f>
        <v/>
      </c>
      <c r="T504" s="396"/>
      <c r="U504" s="396" t="str">
        <f ca="1">Área!N450</f>
        <v/>
      </c>
      <c r="V504" s="396"/>
      <c r="W504" s="396" t="str">
        <f ca="1">Área!M450</f>
        <v/>
      </c>
      <c r="X504" s="396"/>
      <c r="Y504" s="89" t="str">
        <f ca="1">Área!O450</f>
        <v/>
      </c>
      <c r="Z504" s="399" t="str">
        <f ca="1">Área!P450</f>
        <v/>
      </c>
      <c r="AA504" s="399"/>
      <c r="AB504" s="399"/>
      <c r="AC504" s="399"/>
      <c r="AD504" s="399" t="str">
        <f ca="1">Área!Q450</f>
        <v/>
      </c>
      <c r="AE504" s="399"/>
      <c r="AF504" s="399"/>
      <c r="AG504" s="399"/>
      <c r="AH504" s="400" t="str">
        <f ca="1">Área!R450</f>
        <v/>
      </c>
      <c r="AI504" s="400"/>
      <c r="AJ504" s="400" t="str">
        <f ca="1">Área!S450</f>
        <v/>
      </c>
      <c r="AK504" s="400"/>
      <c r="AL504" s="400" t="str">
        <f ca="1">Área!T450</f>
        <v/>
      </c>
      <c r="AM504" s="400"/>
      <c r="AN504" s="400" t="str">
        <f ca="1">Área!U450</f>
        <v/>
      </c>
      <c r="AO504" s="400"/>
      <c r="AP504" s="422" t="str">
        <f ca="1">IFERROR(Área!Z450,"")</f>
        <v/>
      </c>
      <c r="AQ504" s="422"/>
      <c r="AR504" s="400" t="str">
        <f ca="1">Área!Y450</f>
        <v/>
      </c>
      <c r="AS504" s="423"/>
    </row>
    <row r="505" spans="1:46" ht="15" customHeight="1" x14ac:dyDescent="0.25">
      <c r="A505"/>
      <c r="C505" s="397" t="str">
        <f ca="1">Área!C451</f>
        <v/>
      </c>
      <c r="D505" s="398"/>
      <c r="E505" s="398"/>
      <c r="F505" s="398"/>
      <c r="G505" s="396" t="str">
        <f ca="1">Área!F451</f>
        <v/>
      </c>
      <c r="H505" s="396"/>
      <c r="I505" s="398" t="str">
        <f ca="1">Área!G451</f>
        <v/>
      </c>
      <c r="J505" s="398"/>
      <c r="K505" s="396" t="str">
        <f ca="1">Área!H451</f>
        <v/>
      </c>
      <c r="L505" s="396"/>
      <c r="M505" s="396" t="str">
        <f ca="1">Área!I451</f>
        <v/>
      </c>
      <c r="N505" s="396"/>
      <c r="O505" s="396" t="str">
        <f ca="1">Área!J451</f>
        <v/>
      </c>
      <c r="P505" s="396"/>
      <c r="Q505" s="396" t="str">
        <f ca="1">Área!K451</f>
        <v/>
      </c>
      <c r="R505" s="396"/>
      <c r="S505" s="396" t="str">
        <f ca="1">Área!L451</f>
        <v/>
      </c>
      <c r="T505" s="396"/>
      <c r="U505" s="396" t="str">
        <f ca="1">Área!N451</f>
        <v/>
      </c>
      <c r="V505" s="396"/>
      <c r="W505" s="396" t="str">
        <f ca="1">Área!M451</f>
        <v/>
      </c>
      <c r="X505" s="396"/>
      <c r="Y505" s="89" t="str">
        <f ca="1">Área!O451</f>
        <v/>
      </c>
      <c r="Z505" s="399" t="str">
        <f ca="1">Área!P451</f>
        <v/>
      </c>
      <c r="AA505" s="399"/>
      <c r="AB505" s="399"/>
      <c r="AC505" s="399"/>
      <c r="AD505" s="399" t="str">
        <f ca="1">Área!Q451</f>
        <v/>
      </c>
      <c r="AE505" s="399"/>
      <c r="AF505" s="399"/>
      <c r="AG505" s="399"/>
      <c r="AH505" s="400" t="str">
        <f ca="1">Área!R451</f>
        <v/>
      </c>
      <c r="AI505" s="400"/>
      <c r="AJ505" s="400" t="str">
        <f ca="1">Área!S451</f>
        <v/>
      </c>
      <c r="AK505" s="400"/>
      <c r="AL505" s="400" t="str">
        <f ca="1">Área!T451</f>
        <v/>
      </c>
      <c r="AM505" s="400"/>
      <c r="AN505" s="400" t="str">
        <f ca="1">Área!U451</f>
        <v/>
      </c>
      <c r="AO505" s="400"/>
      <c r="AP505" s="422" t="str">
        <f ca="1">IFERROR(Área!Z451,"")</f>
        <v/>
      </c>
      <c r="AQ505" s="422"/>
      <c r="AR505" s="400" t="str">
        <f ca="1">Área!Y451</f>
        <v/>
      </c>
      <c r="AS505" s="423"/>
    </row>
    <row r="506" spans="1:46" ht="15" customHeight="1" x14ac:dyDescent="0.25">
      <c r="A506"/>
      <c r="C506" s="397" t="str">
        <f ca="1">Área!C452</f>
        <v/>
      </c>
      <c r="D506" s="398"/>
      <c r="E506" s="398"/>
      <c r="F506" s="398"/>
      <c r="G506" s="396" t="str">
        <f ca="1">Área!F452</f>
        <v/>
      </c>
      <c r="H506" s="396"/>
      <c r="I506" s="398" t="str">
        <f ca="1">Área!G452</f>
        <v/>
      </c>
      <c r="J506" s="398"/>
      <c r="K506" s="396" t="str">
        <f ca="1">Área!H452</f>
        <v/>
      </c>
      <c r="L506" s="396"/>
      <c r="M506" s="396" t="str">
        <f ca="1">Área!I452</f>
        <v/>
      </c>
      <c r="N506" s="396"/>
      <c r="O506" s="396" t="str">
        <f ca="1">Área!J452</f>
        <v/>
      </c>
      <c r="P506" s="396"/>
      <c r="Q506" s="396" t="str">
        <f ca="1">Área!K452</f>
        <v/>
      </c>
      <c r="R506" s="396"/>
      <c r="S506" s="396" t="str">
        <f ca="1">Área!L452</f>
        <v/>
      </c>
      <c r="T506" s="396"/>
      <c r="U506" s="396" t="str">
        <f ca="1">Área!N452</f>
        <v/>
      </c>
      <c r="V506" s="396"/>
      <c r="W506" s="396" t="str">
        <f ca="1">Área!M452</f>
        <v/>
      </c>
      <c r="X506" s="396"/>
      <c r="Y506" s="89" t="str">
        <f ca="1">Área!O452</f>
        <v/>
      </c>
      <c r="Z506" s="399" t="str">
        <f ca="1">Área!P452</f>
        <v/>
      </c>
      <c r="AA506" s="399"/>
      <c r="AB506" s="399"/>
      <c r="AC506" s="399"/>
      <c r="AD506" s="399" t="str">
        <f ca="1">Área!Q452</f>
        <v/>
      </c>
      <c r="AE506" s="399"/>
      <c r="AF506" s="399"/>
      <c r="AG506" s="399"/>
      <c r="AH506" s="400" t="str">
        <f ca="1">Área!R452</f>
        <v/>
      </c>
      <c r="AI506" s="400"/>
      <c r="AJ506" s="400" t="str">
        <f ca="1">Área!S452</f>
        <v/>
      </c>
      <c r="AK506" s="400"/>
      <c r="AL506" s="400" t="str">
        <f ca="1">Área!T452</f>
        <v/>
      </c>
      <c r="AM506" s="400"/>
      <c r="AN506" s="400" t="str">
        <f ca="1">Área!U452</f>
        <v/>
      </c>
      <c r="AO506" s="400"/>
      <c r="AP506" s="422" t="str">
        <f ca="1">IFERROR(Área!Z452,"")</f>
        <v/>
      </c>
      <c r="AQ506" s="422"/>
      <c r="AR506" s="400" t="str">
        <f ca="1">Área!Y452</f>
        <v/>
      </c>
      <c r="AS506" s="423"/>
    </row>
    <row r="507" spans="1:46" ht="15" customHeight="1" x14ac:dyDescent="0.25">
      <c r="A507"/>
      <c r="C507" s="397" t="str">
        <f ca="1">Área!C453</f>
        <v/>
      </c>
      <c r="D507" s="398"/>
      <c r="E507" s="398"/>
      <c r="F507" s="398"/>
      <c r="G507" s="396" t="str">
        <f ca="1">Área!F453</f>
        <v/>
      </c>
      <c r="H507" s="396"/>
      <c r="I507" s="398" t="str">
        <f ca="1">Área!G453</f>
        <v/>
      </c>
      <c r="J507" s="398"/>
      <c r="K507" s="396" t="str">
        <f ca="1">Área!H453</f>
        <v/>
      </c>
      <c r="L507" s="396"/>
      <c r="M507" s="396" t="str">
        <f ca="1">Área!I453</f>
        <v/>
      </c>
      <c r="N507" s="396"/>
      <c r="O507" s="396" t="str">
        <f ca="1">Área!J453</f>
        <v/>
      </c>
      <c r="P507" s="396"/>
      <c r="Q507" s="396" t="str">
        <f ca="1">Área!K453</f>
        <v/>
      </c>
      <c r="R507" s="396"/>
      <c r="S507" s="396" t="str">
        <f ca="1">Área!L453</f>
        <v/>
      </c>
      <c r="T507" s="396"/>
      <c r="U507" s="396" t="str">
        <f ca="1">Área!N453</f>
        <v/>
      </c>
      <c r="V507" s="396"/>
      <c r="W507" s="396" t="str">
        <f ca="1">Área!M453</f>
        <v/>
      </c>
      <c r="X507" s="396"/>
      <c r="Y507" s="89" t="str">
        <f ca="1">Área!O453</f>
        <v/>
      </c>
      <c r="Z507" s="399" t="str">
        <f ca="1">Área!P453</f>
        <v/>
      </c>
      <c r="AA507" s="399"/>
      <c r="AB507" s="399"/>
      <c r="AC507" s="399"/>
      <c r="AD507" s="399" t="str">
        <f ca="1">Área!Q453</f>
        <v/>
      </c>
      <c r="AE507" s="399"/>
      <c r="AF507" s="399"/>
      <c r="AG507" s="399"/>
      <c r="AH507" s="400" t="str">
        <f ca="1">Área!R453</f>
        <v/>
      </c>
      <c r="AI507" s="400"/>
      <c r="AJ507" s="400" t="str">
        <f ca="1">Área!S453</f>
        <v/>
      </c>
      <c r="AK507" s="400"/>
      <c r="AL507" s="400" t="str">
        <f ca="1">Área!T453</f>
        <v/>
      </c>
      <c r="AM507" s="400"/>
      <c r="AN507" s="400" t="str">
        <f ca="1">Área!U453</f>
        <v/>
      </c>
      <c r="AO507" s="400"/>
      <c r="AP507" s="422" t="str">
        <f ca="1">IFERROR(Área!Z453,"")</f>
        <v/>
      </c>
      <c r="AQ507" s="422"/>
      <c r="AR507" s="400" t="str">
        <f ca="1">Área!Y453</f>
        <v/>
      </c>
      <c r="AS507" s="423"/>
    </row>
    <row r="508" spans="1:46" ht="15" customHeight="1" x14ac:dyDescent="0.25">
      <c r="A508"/>
      <c r="C508" s="397" t="str">
        <f ca="1">Área!C454</f>
        <v/>
      </c>
      <c r="D508" s="398"/>
      <c r="E508" s="398"/>
      <c r="F508" s="398"/>
      <c r="G508" s="396" t="str">
        <f ca="1">Área!F454</f>
        <v/>
      </c>
      <c r="H508" s="396"/>
      <c r="I508" s="398" t="str">
        <f ca="1">Área!G454</f>
        <v/>
      </c>
      <c r="J508" s="398"/>
      <c r="K508" s="396" t="str">
        <f ca="1">Área!H454</f>
        <v/>
      </c>
      <c r="L508" s="396"/>
      <c r="M508" s="396" t="str">
        <f ca="1">Área!I454</f>
        <v/>
      </c>
      <c r="N508" s="396"/>
      <c r="O508" s="396" t="str">
        <f ca="1">Área!J454</f>
        <v/>
      </c>
      <c r="P508" s="396"/>
      <c r="Q508" s="396" t="str">
        <f ca="1">Área!K454</f>
        <v/>
      </c>
      <c r="R508" s="396"/>
      <c r="S508" s="396" t="str">
        <f ca="1">Área!L454</f>
        <v/>
      </c>
      <c r="T508" s="396"/>
      <c r="U508" s="396" t="str">
        <f ca="1">Área!N454</f>
        <v/>
      </c>
      <c r="V508" s="396"/>
      <c r="W508" s="396" t="str">
        <f ca="1">Área!M454</f>
        <v/>
      </c>
      <c r="X508" s="396"/>
      <c r="Y508" s="89" t="str">
        <f ca="1">Área!O454</f>
        <v/>
      </c>
      <c r="Z508" s="399" t="str">
        <f ca="1">Área!P454</f>
        <v/>
      </c>
      <c r="AA508" s="399"/>
      <c r="AB508" s="399"/>
      <c r="AC508" s="399"/>
      <c r="AD508" s="399" t="str">
        <f ca="1">Área!Q454</f>
        <v/>
      </c>
      <c r="AE508" s="399"/>
      <c r="AF508" s="399"/>
      <c r="AG508" s="399"/>
      <c r="AH508" s="400" t="str">
        <f ca="1">Área!R454</f>
        <v/>
      </c>
      <c r="AI508" s="400"/>
      <c r="AJ508" s="400" t="str">
        <f ca="1">Área!S454</f>
        <v/>
      </c>
      <c r="AK508" s="400"/>
      <c r="AL508" s="400" t="str">
        <f ca="1">Área!T454</f>
        <v/>
      </c>
      <c r="AM508" s="400"/>
      <c r="AN508" s="400" t="str">
        <f ca="1">Área!U454</f>
        <v/>
      </c>
      <c r="AO508" s="400"/>
      <c r="AP508" s="422" t="str">
        <f ca="1">IFERROR(Área!Z454,"")</f>
        <v/>
      </c>
      <c r="AQ508" s="422"/>
      <c r="AR508" s="400" t="str">
        <f ca="1">Área!Y454</f>
        <v/>
      </c>
      <c r="AS508" s="423"/>
    </row>
    <row r="509" spans="1:46" ht="15" customHeight="1" x14ac:dyDescent="0.25">
      <c r="A509"/>
      <c r="C509" s="397" t="str">
        <f ca="1">Área!C455</f>
        <v/>
      </c>
      <c r="D509" s="398"/>
      <c r="E509" s="398"/>
      <c r="F509" s="398"/>
      <c r="G509" s="396" t="str">
        <f ca="1">Área!F455</f>
        <v/>
      </c>
      <c r="H509" s="396"/>
      <c r="I509" s="398" t="str">
        <f ca="1">Área!G455</f>
        <v/>
      </c>
      <c r="J509" s="398"/>
      <c r="K509" s="396" t="str">
        <f ca="1">Área!H455</f>
        <v/>
      </c>
      <c r="L509" s="396"/>
      <c r="M509" s="396" t="str">
        <f ca="1">Área!I455</f>
        <v/>
      </c>
      <c r="N509" s="396"/>
      <c r="O509" s="396" t="str">
        <f ca="1">Área!J455</f>
        <v/>
      </c>
      <c r="P509" s="396"/>
      <c r="Q509" s="396" t="str">
        <f ca="1">Área!K455</f>
        <v/>
      </c>
      <c r="R509" s="396"/>
      <c r="S509" s="396" t="str">
        <f ca="1">Área!L455</f>
        <v/>
      </c>
      <c r="T509" s="396"/>
      <c r="U509" s="396" t="str">
        <f ca="1">Área!N455</f>
        <v/>
      </c>
      <c r="V509" s="396"/>
      <c r="W509" s="396" t="str">
        <f ca="1">Área!M455</f>
        <v/>
      </c>
      <c r="X509" s="396"/>
      <c r="Y509" s="89" t="str">
        <f ca="1">Área!O455</f>
        <v/>
      </c>
      <c r="Z509" s="399" t="str">
        <f ca="1">Área!P455</f>
        <v/>
      </c>
      <c r="AA509" s="399"/>
      <c r="AB509" s="399"/>
      <c r="AC509" s="399"/>
      <c r="AD509" s="399" t="str">
        <f ca="1">Área!Q455</f>
        <v/>
      </c>
      <c r="AE509" s="399"/>
      <c r="AF509" s="399"/>
      <c r="AG509" s="399"/>
      <c r="AH509" s="400" t="str">
        <f ca="1">Área!R455</f>
        <v/>
      </c>
      <c r="AI509" s="400"/>
      <c r="AJ509" s="400" t="str">
        <f ca="1">Área!S455</f>
        <v/>
      </c>
      <c r="AK509" s="400"/>
      <c r="AL509" s="400" t="str">
        <f ca="1">Área!T455</f>
        <v/>
      </c>
      <c r="AM509" s="400"/>
      <c r="AN509" s="400" t="str">
        <f ca="1">Área!U455</f>
        <v/>
      </c>
      <c r="AO509" s="400"/>
      <c r="AP509" s="422" t="str">
        <f ca="1">IFERROR(Área!Z455,"")</f>
        <v/>
      </c>
      <c r="AQ509" s="422"/>
      <c r="AR509" s="400" t="str">
        <f ca="1">Área!Y455</f>
        <v/>
      </c>
      <c r="AS509" s="423"/>
    </row>
    <row r="510" spans="1:46" ht="15" customHeight="1" x14ac:dyDescent="0.25">
      <c r="A510"/>
      <c r="C510" s="397" t="str">
        <f ca="1">Área!C456</f>
        <v/>
      </c>
      <c r="D510" s="398"/>
      <c r="E510" s="398"/>
      <c r="F510" s="398"/>
      <c r="G510" s="396" t="str">
        <f ca="1">Área!F456</f>
        <v/>
      </c>
      <c r="H510" s="396"/>
      <c r="I510" s="398" t="str">
        <f ca="1">Área!G456</f>
        <v/>
      </c>
      <c r="J510" s="398"/>
      <c r="K510" s="396" t="str">
        <f ca="1">Área!H456</f>
        <v/>
      </c>
      <c r="L510" s="396"/>
      <c r="M510" s="396" t="str">
        <f ca="1">Área!I456</f>
        <v/>
      </c>
      <c r="N510" s="396"/>
      <c r="O510" s="396" t="str">
        <f ca="1">Área!J456</f>
        <v/>
      </c>
      <c r="P510" s="396"/>
      <c r="Q510" s="396" t="str">
        <f ca="1">Área!K456</f>
        <v/>
      </c>
      <c r="R510" s="396"/>
      <c r="S510" s="396" t="str">
        <f ca="1">Área!L456</f>
        <v/>
      </c>
      <c r="T510" s="396"/>
      <c r="U510" s="396" t="str">
        <f ca="1">Área!N456</f>
        <v/>
      </c>
      <c r="V510" s="396"/>
      <c r="W510" s="396" t="str">
        <f ca="1">Área!M456</f>
        <v/>
      </c>
      <c r="X510" s="396"/>
      <c r="Y510" s="89" t="str">
        <f ca="1">Área!O456</f>
        <v/>
      </c>
      <c r="Z510" s="399" t="str">
        <f ca="1">Área!P456</f>
        <v/>
      </c>
      <c r="AA510" s="399"/>
      <c r="AB510" s="399"/>
      <c r="AC510" s="399"/>
      <c r="AD510" s="399" t="str">
        <f ca="1">Área!Q456</f>
        <v/>
      </c>
      <c r="AE510" s="399"/>
      <c r="AF510" s="399"/>
      <c r="AG510" s="399"/>
      <c r="AH510" s="400" t="str">
        <f ca="1">Área!R456</f>
        <v/>
      </c>
      <c r="AI510" s="400"/>
      <c r="AJ510" s="400" t="str">
        <f ca="1">Área!S456</f>
        <v/>
      </c>
      <c r="AK510" s="400"/>
      <c r="AL510" s="400" t="str">
        <f ca="1">Área!T456</f>
        <v/>
      </c>
      <c r="AM510" s="400"/>
      <c r="AN510" s="400" t="str">
        <f ca="1">Área!U456</f>
        <v/>
      </c>
      <c r="AO510" s="400"/>
      <c r="AP510" s="422" t="str">
        <f ca="1">IFERROR(Área!Z456,"")</f>
        <v/>
      </c>
      <c r="AQ510" s="422"/>
      <c r="AR510" s="400" t="str">
        <f ca="1">Área!Y456</f>
        <v/>
      </c>
      <c r="AS510" s="423"/>
    </row>
    <row r="511" spans="1:46" ht="15" customHeight="1" x14ac:dyDescent="0.25">
      <c r="A511"/>
      <c r="C511" s="397" t="str">
        <f ca="1">Área!C457</f>
        <v/>
      </c>
      <c r="D511" s="398"/>
      <c r="E511" s="398"/>
      <c r="F511" s="398"/>
      <c r="G511" s="396" t="str">
        <f ca="1">Área!F457</f>
        <v/>
      </c>
      <c r="H511" s="396"/>
      <c r="I511" s="398" t="str">
        <f ca="1">Área!G457</f>
        <v/>
      </c>
      <c r="J511" s="398"/>
      <c r="K511" s="396" t="str">
        <f ca="1">Área!H457</f>
        <v/>
      </c>
      <c r="L511" s="396"/>
      <c r="M511" s="396" t="str">
        <f ca="1">Área!I457</f>
        <v/>
      </c>
      <c r="N511" s="396"/>
      <c r="O511" s="396" t="str">
        <f ca="1">Área!J457</f>
        <v/>
      </c>
      <c r="P511" s="396"/>
      <c r="Q511" s="396" t="str">
        <f ca="1">Área!K457</f>
        <v/>
      </c>
      <c r="R511" s="396"/>
      <c r="S511" s="396" t="str">
        <f ca="1">Área!L457</f>
        <v/>
      </c>
      <c r="T511" s="396"/>
      <c r="U511" s="396" t="str">
        <f ca="1">Área!N457</f>
        <v/>
      </c>
      <c r="V511" s="396"/>
      <c r="W511" s="396" t="str">
        <f ca="1">Área!M457</f>
        <v/>
      </c>
      <c r="X511" s="396"/>
      <c r="Y511" s="89" t="str">
        <f ca="1">Área!O457</f>
        <v/>
      </c>
      <c r="Z511" s="399" t="str">
        <f ca="1">Área!P457</f>
        <v/>
      </c>
      <c r="AA511" s="399"/>
      <c r="AB511" s="399"/>
      <c r="AC511" s="399"/>
      <c r="AD511" s="399" t="str">
        <f ca="1">Área!Q457</f>
        <v/>
      </c>
      <c r="AE511" s="399"/>
      <c r="AF511" s="399"/>
      <c r="AG511" s="399"/>
      <c r="AH511" s="400" t="str">
        <f ca="1">Área!R457</f>
        <v/>
      </c>
      <c r="AI511" s="400"/>
      <c r="AJ511" s="400" t="str">
        <f ca="1">Área!S457</f>
        <v/>
      </c>
      <c r="AK511" s="400"/>
      <c r="AL511" s="400" t="str">
        <f ca="1">Área!T457</f>
        <v/>
      </c>
      <c r="AM511" s="400"/>
      <c r="AN511" s="400" t="str">
        <f ca="1">Área!U457</f>
        <v/>
      </c>
      <c r="AO511" s="400"/>
      <c r="AP511" s="422" t="str">
        <f ca="1">IFERROR(Área!Z457,"")</f>
        <v/>
      </c>
      <c r="AQ511" s="422"/>
      <c r="AR511" s="400" t="str">
        <f ca="1">Área!Y457</f>
        <v/>
      </c>
      <c r="AS511" s="423"/>
    </row>
    <row r="512" spans="1:46" ht="15" customHeight="1" x14ac:dyDescent="0.25">
      <c r="A512"/>
      <c r="C512" s="397" t="str">
        <f ca="1">Área!C458</f>
        <v/>
      </c>
      <c r="D512" s="398"/>
      <c r="E512" s="398"/>
      <c r="F512" s="398"/>
      <c r="G512" s="396" t="str">
        <f ca="1">Área!F458</f>
        <v/>
      </c>
      <c r="H512" s="396"/>
      <c r="I512" s="398" t="str">
        <f ca="1">Área!G458</f>
        <v/>
      </c>
      <c r="J512" s="398"/>
      <c r="K512" s="396" t="str">
        <f ca="1">Área!H458</f>
        <v/>
      </c>
      <c r="L512" s="396"/>
      <c r="M512" s="396" t="str">
        <f ca="1">Área!I458</f>
        <v/>
      </c>
      <c r="N512" s="396"/>
      <c r="O512" s="396" t="str">
        <f ca="1">Área!J458</f>
        <v/>
      </c>
      <c r="P512" s="396"/>
      <c r="Q512" s="396" t="str">
        <f ca="1">Área!K458</f>
        <v/>
      </c>
      <c r="R512" s="396"/>
      <c r="S512" s="396" t="str">
        <f ca="1">Área!L458</f>
        <v/>
      </c>
      <c r="T512" s="396"/>
      <c r="U512" s="396" t="str">
        <f ca="1">Área!N458</f>
        <v/>
      </c>
      <c r="V512" s="396"/>
      <c r="W512" s="396" t="str">
        <f ca="1">Área!M458</f>
        <v/>
      </c>
      <c r="X512" s="396"/>
      <c r="Y512" s="89" t="str">
        <f ca="1">Área!O458</f>
        <v/>
      </c>
      <c r="Z512" s="399" t="str">
        <f ca="1">Área!P458</f>
        <v/>
      </c>
      <c r="AA512" s="399"/>
      <c r="AB512" s="399"/>
      <c r="AC512" s="399"/>
      <c r="AD512" s="399" t="str">
        <f ca="1">Área!Q458</f>
        <v/>
      </c>
      <c r="AE512" s="399"/>
      <c r="AF512" s="399"/>
      <c r="AG512" s="399"/>
      <c r="AH512" s="400" t="str">
        <f ca="1">Área!R458</f>
        <v/>
      </c>
      <c r="AI512" s="400"/>
      <c r="AJ512" s="400" t="str">
        <f ca="1">Área!S458</f>
        <v/>
      </c>
      <c r="AK512" s="400"/>
      <c r="AL512" s="400" t="str">
        <f ca="1">Área!T458</f>
        <v/>
      </c>
      <c r="AM512" s="400"/>
      <c r="AN512" s="400" t="str">
        <f ca="1">Área!U458</f>
        <v/>
      </c>
      <c r="AO512" s="400"/>
      <c r="AP512" s="422" t="str">
        <f ca="1">IFERROR(Área!Z458,"")</f>
        <v/>
      </c>
      <c r="AQ512" s="422"/>
      <c r="AR512" s="400" t="str">
        <f ca="1">Área!Y458</f>
        <v/>
      </c>
      <c r="AS512" s="423"/>
    </row>
    <row r="513" spans="1:45" ht="15" customHeight="1" x14ac:dyDescent="0.25">
      <c r="A513"/>
      <c r="C513" s="397" t="str">
        <f ca="1">Área!C459</f>
        <v/>
      </c>
      <c r="D513" s="398"/>
      <c r="E513" s="398"/>
      <c r="F513" s="398"/>
      <c r="G513" s="396" t="str">
        <f ca="1">Área!F459</f>
        <v/>
      </c>
      <c r="H513" s="396"/>
      <c r="I513" s="398" t="str">
        <f ca="1">Área!G459</f>
        <v/>
      </c>
      <c r="J513" s="398"/>
      <c r="K513" s="396" t="str">
        <f ca="1">Área!H459</f>
        <v/>
      </c>
      <c r="L513" s="396"/>
      <c r="M513" s="396" t="str">
        <f ca="1">Área!I459</f>
        <v/>
      </c>
      <c r="N513" s="396"/>
      <c r="O513" s="396" t="str">
        <f ca="1">Área!J459</f>
        <v/>
      </c>
      <c r="P513" s="396"/>
      <c r="Q513" s="396" t="str">
        <f ca="1">Área!K459</f>
        <v/>
      </c>
      <c r="R513" s="396"/>
      <c r="S513" s="396" t="str">
        <f ca="1">Área!L459</f>
        <v/>
      </c>
      <c r="T513" s="396"/>
      <c r="U513" s="396" t="str">
        <f ca="1">Área!N459</f>
        <v/>
      </c>
      <c r="V513" s="396"/>
      <c r="W513" s="396" t="str">
        <f ca="1">Área!M459</f>
        <v/>
      </c>
      <c r="X513" s="396"/>
      <c r="Y513" s="89" t="str">
        <f ca="1">Área!O459</f>
        <v/>
      </c>
      <c r="Z513" s="399" t="str">
        <f ca="1">Área!P459</f>
        <v/>
      </c>
      <c r="AA513" s="399"/>
      <c r="AB513" s="399"/>
      <c r="AC513" s="399"/>
      <c r="AD513" s="399" t="str">
        <f ca="1">Área!Q459</f>
        <v/>
      </c>
      <c r="AE513" s="399"/>
      <c r="AF513" s="399"/>
      <c r="AG513" s="399"/>
      <c r="AH513" s="400" t="str">
        <f ca="1">Área!R459</f>
        <v/>
      </c>
      <c r="AI513" s="400"/>
      <c r="AJ513" s="400" t="str">
        <f ca="1">Área!S459</f>
        <v/>
      </c>
      <c r="AK513" s="400"/>
      <c r="AL513" s="400" t="str">
        <f ca="1">Área!T459</f>
        <v/>
      </c>
      <c r="AM513" s="400"/>
      <c r="AN513" s="400" t="str">
        <f ca="1">Área!U459</f>
        <v/>
      </c>
      <c r="AO513" s="400"/>
      <c r="AP513" s="422" t="str">
        <f ca="1">IFERROR(Área!Z459,"")</f>
        <v/>
      </c>
      <c r="AQ513" s="422"/>
      <c r="AR513" s="400" t="str">
        <f ca="1">Área!Y459</f>
        <v/>
      </c>
      <c r="AS513" s="423"/>
    </row>
    <row r="514" spans="1:45" ht="15" customHeight="1" x14ac:dyDescent="0.25">
      <c r="A514"/>
      <c r="C514" s="397" t="str">
        <f ca="1">Área!C460</f>
        <v/>
      </c>
      <c r="D514" s="398"/>
      <c r="E514" s="398"/>
      <c r="F514" s="398"/>
      <c r="G514" s="396" t="str">
        <f ca="1">Área!F460</f>
        <v/>
      </c>
      <c r="H514" s="396"/>
      <c r="I514" s="398" t="str">
        <f ca="1">Área!G460</f>
        <v/>
      </c>
      <c r="J514" s="398"/>
      <c r="K514" s="396" t="str">
        <f ca="1">Área!H460</f>
        <v/>
      </c>
      <c r="L514" s="396"/>
      <c r="M514" s="396" t="str">
        <f ca="1">Área!I460</f>
        <v/>
      </c>
      <c r="N514" s="396"/>
      <c r="O514" s="396" t="str">
        <f ca="1">Área!J460</f>
        <v/>
      </c>
      <c r="P514" s="396"/>
      <c r="Q514" s="396" t="str">
        <f ca="1">Área!K460</f>
        <v/>
      </c>
      <c r="R514" s="396"/>
      <c r="S514" s="396" t="str">
        <f ca="1">Área!L460</f>
        <v/>
      </c>
      <c r="T514" s="396"/>
      <c r="U514" s="396" t="str">
        <f ca="1">Área!N460</f>
        <v/>
      </c>
      <c r="V514" s="396"/>
      <c r="W514" s="396" t="str">
        <f ca="1">Área!M460</f>
        <v/>
      </c>
      <c r="X514" s="396"/>
      <c r="Y514" s="89" t="str">
        <f ca="1">Área!O460</f>
        <v/>
      </c>
      <c r="Z514" s="399" t="str">
        <f ca="1">Área!P460</f>
        <v/>
      </c>
      <c r="AA514" s="399"/>
      <c r="AB514" s="399"/>
      <c r="AC514" s="399"/>
      <c r="AD514" s="399" t="str">
        <f ca="1">Área!Q460</f>
        <v/>
      </c>
      <c r="AE514" s="399"/>
      <c r="AF514" s="399"/>
      <c r="AG514" s="399"/>
      <c r="AH514" s="400" t="str">
        <f ca="1">Área!R460</f>
        <v/>
      </c>
      <c r="AI514" s="400"/>
      <c r="AJ514" s="400" t="str">
        <f ca="1">Área!S460</f>
        <v/>
      </c>
      <c r="AK514" s="400"/>
      <c r="AL514" s="400" t="str">
        <f ca="1">Área!T460</f>
        <v/>
      </c>
      <c r="AM514" s="400"/>
      <c r="AN514" s="400" t="str">
        <f ca="1">Área!U460</f>
        <v/>
      </c>
      <c r="AO514" s="400"/>
      <c r="AP514" s="422" t="str">
        <f ca="1">IFERROR(Área!Z460,"")</f>
        <v/>
      </c>
      <c r="AQ514" s="422"/>
      <c r="AR514" s="400" t="str">
        <f ca="1">Área!Y460</f>
        <v/>
      </c>
      <c r="AS514" s="423"/>
    </row>
    <row r="515" spans="1:45" ht="15" customHeight="1" thickBot="1" x14ac:dyDescent="0.3">
      <c r="A515"/>
      <c r="C515" s="544" t="str">
        <f ca="1">Área!C461</f>
        <v/>
      </c>
      <c r="D515" s="545"/>
      <c r="E515" s="545"/>
      <c r="F515" s="545"/>
      <c r="G515" s="546" t="str">
        <f ca="1">Área!F461</f>
        <v/>
      </c>
      <c r="H515" s="546"/>
      <c r="I515" s="545" t="str">
        <f ca="1">Área!G461</f>
        <v/>
      </c>
      <c r="J515" s="545"/>
      <c r="K515" s="546" t="str">
        <f ca="1">Área!H461</f>
        <v/>
      </c>
      <c r="L515" s="546"/>
      <c r="M515" s="546" t="str">
        <f ca="1">Área!I461</f>
        <v/>
      </c>
      <c r="N515" s="546"/>
      <c r="O515" s="546" t="str">
        <f ca="1">Área!J461</f>
        <v/>
      </c>
      <c r="P515" s="546"/>
      <c r="Q515" s="546" t="str">
        <f ca="1">Área!K461</f>
        <v/>
      </c>
      <c r="R515" s="546"/>
      <c r="S515" s="546" t="str">
        <f ca="1">Área!L461</f>
        <v/>
      </c>
      <c r="T515" s="546"/>
      <c r="U515" s="546" t="str">
        <f ca="1">Área!N461</f>
        <v/>
      </c>
      <c r="V515" s="546"/>
      <c r="W515" s="546" t="str">
        <f ca="1">Área!M461</f>
        <v/>
      </c>
      <c r="X515" s="546"/>
      <c r="Y515" s="90" t="str">
        <f ca="1">Área!O461</f>
        <v/>
      </c>
      <c r="Z515" s="547" t="str">
        <f ca="1">Área!P461</f>
        <v/>
      </c>
      <c r="AA515" s="547"/>
      <c r="AB515" s="547"/>
      <c r="AC515" s="547"/>
      <c r="AD515" s="547" t="str">
        <f ca="1">Área!Q461</f>
        <v/>
      </c>
      <c r="AE515" s="547"/>
      <c r="AF515" s="547"/>
      <c r="AG515" s="547"/>
      <c r="AH515" s="548" t="str">
        <f ca="1">Área!R461</f>
        <v/>
      </c>
      <c r="AI515" s="548"/>
      <c r="AJ515" s="548" t="str">
        <f ca="1">Área!S461</f>
        <v/>
      </c>
      <c r="AK515" s="548"/>
      <c r="AL515" s="548" t="str">
        <f ca="1">Área!T461</f>
        <v/>
      </c>
      <c r="AM515" s="548"/>
      <c r="AN515" s="548" t="str">
        <f ca="1">Área!U461</f>
        <v/>
      </c>
      <c r="AO515" s="548"/>
      <c r="AP515" s="549" t="str">
        <f ca="1">IFERROR(Área!Z461,"")</f>
        <v/>
      </c>
      <c r="AQ515" s="549"/>
      <c r="AR515" s="548" t="str">
        <f ca="1">Área!Y461</f>
        <v/>
      </c>
      <c r="AS515" s="550"/>
    </row>
    <row r="516" spans="1:45" ht="15" customHeight="1" x14ac:dyDescent="0.25"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</row>
    <row r="517" spans="1:45" ht="15" customHeight="1" x14ac:dyDescent="0.25"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</row>
    <row r="518" spans="1:45" ht="15" customHeight="1" x14ac:dyDescent="0.25"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</row>
    <row r="519" spans="1:45" ht="15" customHeight="1" x14ac:dyDescent="0.25"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</row>
    <row r="520" spans="1:45" ht="15" customHeight="1" x14ac:dyDescent="0.25"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</row>
    <row r="521" spans="1:45" ht="15" customHeight="1" x14ac:dyDescent="0.25"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</row>
    <row r="522" spans="1:45" ht="15" customHeight="1" x14ac:dyDescent="0.25"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</row>
    <row r="523" spans="1:45" ht="15" customHeight="1" x14ac:dyDescent="0.25"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</row>
    <row r="524" spans="1:45" ht="15" customHeight="1" x14ac:dyDescent="0.25"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</row>
    <row r="525" spans="1:45" ht="15" customHeight="1" x14ac:dyDescent="0.25"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</row>
    <row r="526" spans="1:45" ht="15" customHeight="1" x14ac:dyDescent="0.25"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</row>
    <row r="527" spans="1:45" ht="15" customHeight="1" x14ac:dyDescent="0.25"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</row>
    <row r="528" spans="1:45" ht="15" customHeight="1" x14ac:dyDescent="0.25"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</row>
  </sheetData>
  <sheetProtection selectLockedCells="1" autoFilter="0"/>
  <protectedRanges>
    <protectedRange sqref="C55:AS55" name="Intervalo3"/>
    <protectedRange sqref="V6:AE6" name="Área"/>
    <protectedRange sqref="V6" name="Área2"/>
  </protectedRanges>
  <autoFilter ref="C55:AS515" xr:uid="{00000000-0009-0000-0000-000001000000}">
    <filterColumn colId="0" showButton="0"/>
    <filterColumn colId="1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</autoFilter>
  <mergeCells count="8517">
    <mergeCell ref="AH23:AN23"/>
    <mergeCell ref="AO23:AP23"/>
    <mergeCell ref="AQ23:AR23"/>
    <mergeCell ref="AS23:AT23"/>
    <mergeCell ref="AH24:AN24"/>
    <mergeCell ref="AO24:AP24"/>
    <mergeCell ref="AQ24:AR24"/>
    <mergeCell ref="AS24:AT24"/>
    <mergeCell ref="AH25:AN25"/>
    <mergeCell ref="AO25:AP25"/>
    <mergeCell ref="AQ25:AR25"/>
    <mergeCell ref="AS25:AT25"/>
    <mergeCell ref="AH26:AN26"/>
    <mergeCell ref="AO26:AP26"/>
    <mergeCell ref="AQ26:AR26"/>
    <mergeCell ref="AS26:AT26"/>
    <mergeCell ref="AH27:AN27"/>
    <mergeCell ref="AO27:AP27"/>
    <mergeCell ref="AQ27:AR27"/>
    <mergeCell ref="AS27:AT27"/>
    <mergeCell ref="AH29:AN29"/>
    <mergeCell ref="AO29:AP29"/>
    <mergeCell ref="AQ29:AR29"/>
    <mergeCell ref="AS29:AT29"/>
    <mergeCell ref="C515:F515"/>
    <mergeCell ref="G515:H515"/>
    <mergeCell ref="I515:J515"/>
    <mergeCell ref="K515:L515"/>
    <mergeCell ref="M515:N515"/>
    <mergeCell ref="O515:P515"/>
    <mergeCell ref="Q515:R515"/>
    <mergeCell ref="S515:T515"/>
    <mergeCell ref="W515:X515"/>
    <mergeCell ref="Z515:AC515"/>
    <mergeCell ref="AD515:AG515"/>
    <mergeCell ref="AH515:AI515"/>
    <mergeCell ref="AJ515:AK515"/>
    <mergeCell ref="AL515:AM515"/>
    <mergeCell ref="AN515:AO515"/>
    <mergeCell ref="AP515:AQ515"/>
    <mergeCell ref="AR515:AS515"/>
    <mergeCell ref="U515:V515"/>
    <mergeCell ref="C514:F514"/>
    <mergeCell ref="G514:H514"/>
    <mergeCell ref="I514:J514"/>
    <mergeCell ref="K514:L514"/>
    <mergeCell ref="M514:N514"/>
    <mergeCell ref="O514:P514"/>
    <mergeCell ref="Q514:R514"/>
    <mergeCell ref="S514:T514"/>
    <mergeCell ref="W514:X514"/>
    <mergeCell ref="Z514:AC514"/>
    <mergeCell ref="AD514:AG514"/>
    <mergeCell ref="AH514:AI514"/>
    <mergeCell ref="AJ514:AK514"/>
    <mergeCell ref="AL514:AM514"/>
    <mergeCell ref="AN514:AO514"/>
    <mergeCell ref="AP514:AQ514"/>
    <mergeCell ref="AR514:AS514"/>
    <mergeCell ref="U514:V514"/>
    <mergeCell ref="C513:F513"/>
    <mergeCell ref="G513:H513"/>
    <mergeCell ref="I513:J513"/>
    <mergeCell ref="K513:L513"/>
    <mergeCell ref="M513:N513"/>
    <mergeCell ref="O513:P513"/>
    <mergeCell ref="Q513:R513"/>
    <mergeCell ref="S513:T513"/>
    <mergeCell ref="W513:X513"/>
    <mergeCell ref="Z513:AC513"/>
    <mergeCell ref="AD513:AG513"/>
    <mergeCell ref="AH513:AI513"/>
    <mergeCell ref="AJ513:AK513"/>
    <mergeCell ref="AL513:AM513"/>
    <mergeCell ref="AN513:AO513"/>
    <mergeCell ref="AP513:AQ513"/>
    <mergeCell ref="AR513:AS513"/>
    <mergeCell ref="U513:V513"/>
    <mergeCell ref="C512:F512"/>
    <mergeCell ref="G512:H512"/>
    <mergeCell ref="I512:J512"/>
    <mergeCell ref="K512:L512"/>
    <mergeCell ref="M512:N512"/>
    <mergeCell ref="O512:P512"/>
    <mergeCell ref="Q512:R512"/>
    <mergeCell ref="S512:T512"/>
    <mergeCell ref="W512:X512"/>
    <mergeCell ref="Z512:AC512"/>
    <mergeCell ref="AD512:AG512"/>
    <mergeCell ref="AH512:AI512"/>
    <mergeCell ref="AJ512:AK512"/>
    <mergeCell ref="AL512:AM512"/>
    <mergeCell ref="AN512:AO512"/>
    <mergeCell ref="AP512:AQ512"/>
    <mergeCell ref="AR512:AS512"/>
    <mergeCell ref="U512:V512"/>
    <mergeCell ref="C511:F511"/>
    <mergeCell ref="G511:H511"/>
    <mergeCell ref="I511:J511"/>
    <mergeCell ref="K511:L511"/>
    <mergeCell ref="M511:N511"/>
    <mergeCell ref="O511:P511"/>
    <mergeCell ref="Q511:R511"/>
    <mergeCell ref="S511:T511"/>
    <mergeCell ref="W511:X511"/>
    <mergeCell ref="Z511:AC511"/>
    <mergeCell ref="AD511:AG511"/>
    <mergeCell ref="AH511:AI511"/>
    <mergeCell ref="AJ511:AK511"/>
    <mergeCell ref="AL511:AM511"/>
    <mergeCell ref="AN511:AO511"/>
    <mergeCell ref="AP511:AQ511"/>
    <mergeCell ref="AR511:AS511"/>
    <mergeCell ref="C510:F510"/>
    <mergeCell ref="G510:H510"/>
    <mergeCell ref="I510:J510"/>
    <mergeCell ref="K510:L510"/>
    <mergeCell ref="M510:N510"/>
    <mergeCell ref="O510:P510"/>
    <mergeCell ref="Q510:R510"/>
    <mergeCell ref="S510:T510"/>
    <mergeCell ref="W510:X510"/>
    <mergeCell ref="Z510:AC510"/>
    <mergeCell ref="AD510:AG510"/>
    <mergeCell ref="AH510:AI510"/>
    <mergeCell ref="AJ510:AK510"/>
    <mergeCell ref="AL510:AM510"/>
    <mergeCell ref="AN510:AO510"/>
    <mergeCell ref="AP510:AQ510"/>
    <mergeCell ref="AR510:AS510"/>
    <mergeCell ref="C509:F509"/>
    <mergeCell ref="G509:H509"/>
    <mergeCell ref="I509:J509"/>
    <mergeCell ref="K509:L509"/>
    <mergeCell ref="M509:N509"/>
    <mergeCell ref="O509:P509"/>
    <mergeCell ref="Q509:R509"/>
    <mergeCell ref="S509:T509"/>
    <mergeCell ref="W509:X509"/>
    <mergeCell ref="Z509:AC509"/>
    <mergeCell ref="AD509:AG509"/>
    <mergeCell ref="AH509:AI509"/>
    <mergeCell ref="AJ509:AK509"/>
    <mergeCell ref="AL509:AM509"/>
    <mergeCell ref="AN509:AO509"/>
    <mergeCell ref="AP509:AQ509"/>
    <mergeCell ref="AR509:AS509"/>
    <mergeCell ref="C508:F508"/>
    <mergeCell ref="G508:H508"/>
    <mergeCell ref="I508:J508"/>
    <mergeCell ref="K508:L508"/>
    <mergeCell ref="M508:N508"/>
    <mergeCell ref="O508:P508"/>
    <mergeCell ref="Q508:R508"/>
    <mergeCell ref="S508:T508"/>
    <mergeCell ref="W508:X508"/>
    <mergeCell ref="Z508:AC508"/>
    <mergeCell ref="AD508:AG508"/>
    <mergeCell ref="AH508:AI508"/>
    <mergeCell ref="AJ508:AK508"/>
    <mergeCell ref="AL508:AM508"/>
    <mergeCell ref="AN508:AO508"/>
    <mergeCell ref="AP508:AQ508"/>
    <mergeCell ref="AR508:AS508"/>
    <mergeCell ref="C507:F507"/>
    <mergeCell ref="G507:H507"/>
    <mergeCell ref="I507:J507"/>
    <mergeCell ref="K507:L507"/>
    <mergeCell ref="M507:N507"/>
    <mergeCell ref="O507:P507"/>
    <mergeCell ref="Q507:R507"/>
    <mergeCell ref="S507:T507"/>
    <mergeCell ref="W507:X507"/>
    <mergeCell ref="Z507:AC507"/>
    <mergeCell ref="AD507:AG507"/>
    <mergeCell ref="AH507:AI507"/>
    <mergeCell ref="AJ507:AK507"/>
    <mergeCell ref="AL507:AM507"/>
    <mergeCell ref="AN507:AO507"/>
    <mergeCell ref="AP507:AQ507"/>
    <mergeCell ref="AR507:AS507"/>
    <mergeCell ref="C506:F506"/>
    <mergeCell ref="G506:H506"/>
    <mergeCell ref="I506:J506"/>
    <mergeCell ref="K506:L506"/>
    <mergeCell ref="M506:N506"/>
    <mergeCell ref="O506:P506"/>
    <mergeCell ref="Q506:R506"/>
    <mergeCell ref="S506:T506"/>
    <mergeCell ref="W506:X506"/>
    <mergeCell ref="Z506:AC506"/>
    <mergeCell ref="AD506:AG506"/>
    <mergeCell ref="AH506:AI506"/>
    <mergeCell ref="AJ506:AK506"/>
    <mergeCell ref="AL506:AM506"/>
    <mergeCell ref="AN506:AO506"/>
    <mergeCell ref="AP506:AQ506"/>
    <mergeCell ref="AR506:AS506"/>
    <mergeCell ref="C505:F505"/>
    <mergeCell ref="G505:H505"/>
    <mergeCell ref="I505:J505"/>
    <mergeCell ref="K505:L505"/>
    <mergeCell ref="M505:N505"/>
    <mergeCell ref="O505:P505"/>
    <mergeCell ref="Q505:R505"/>
    <mergeCell ref="S505:T505"/>
    <mergeCell ref="W505:X505"/>
    <mergeCell ref="Z505:AC505"/>
    <mergeCell ref="AD505:AG505"/>
    <mergeCell ref="AH505:AI505"/>
    <mergeCell ref="AJ505:AK505"/>
    <mergeCell ref="AL505:AM505"/>
    <mergeCell ref="AN505:AO505"/>
    <mergeCell ref="AP505:AQ505"/>
    <mergeCell ref="AR505:AS505"/>
    <mergeCell ref="AH9:AN9"/>
    <mergeCell ref="AH10:AN10"/>
    <mergeCell ref="AH11:AN11"/>
    <mergeCell ref="AH12:AN12"/>
    <mergeCell ref="AH13:AN13"/>
    <mergeCell ref="N8:O8"/>
    <mergeCell ref="N9:O10"/>
    <mergeCell ref="V22:W22"/>
    <mergeCell ref="Z22:AA22"/>
    <mergeCell ref="AB22:AC22"/>
    <mergeCell ref="AD22:AE22"/>
    <mergeCell ref="B20:O21"/>
    <mergeCell ref="J25:K26"/>
    <mergeCell ref="L25:M26"/>
    <mergeCell ref="F9:G10"/>
    <mergeCell ref="L9:M10"/>
    <mergeCell ref="F11:G12"/>
    <mergeCell ref="L11:M12"/>
    <mergeCell ref="F17:G18"/>
    <mergeCell ref="L17:M18"/>
    <mergeCell ref="AD11:AE12"/>
    <mergeCell ref="V17:W18"/>
    <mergeCell ref="J8:K8"/>
    <mergeCell ref="Z17:AA18"/>
    <mergeCell ref="N25:O26"/>
    <mergeCell ref="AH8:AN8"/>
    <mergeCell ref="R20:AE21"/>
    <mergeCell ref="R22:U22"/>
    <mergeCell ref="AH14:AN14"/>
    <mergeCell ref="F13:G14"/>
    <mergeCell ref="H13:I14"/>
    <mergeCell ref="J13:K14"/>
    <mergeCell ref="AS7:AT7"/>
    <mergeCell ref="AO8:AP8"/>
    <mergeCell ref="AQ8:AR8"/>
    <mergeCell ref="AS8:AT8"/>
    <mergeCell ref="AQ22:AR22"/>
    <mergeCell ref="AS22:AT22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O15:AP15"/>
    <mergeCell ref="AO17:AP17"/>
    <mergeCell ref="AO22:AP22"/>
    <mergeCell ref="AO13:AP13"/>
    <mergeCell ref="AO14:AP14"/>
    <mergeCell ref="AO9:AP9"/>
    <mergeCell ref="AQ9:AR9"/>
    <mergeCell ref="AS9:AT9"/>
    <mergeCell ref="AO10:AP10"/>
    <mergeCell ref="AQ10:AR10"/>
    <mergeCell ref="AS10:AT10"/>
    <mergeCell ref="AH20:AN20"/>
    <mergeCell ref="AQ15:AR15"/>
    <mergeCell ref="AS15:AT15"/>
    <mergeCell ref="AH21:AN21"/>
    <mergeCell ref="AH22:AN22"/>
    <mergeCell ref="AO16:AP16"/>
    <mergeCell ref="AQ16:AR16"/>
    <mergeCell ref="AS16:AT16"/>
    <mergeCell ref="AH18:AN18"/>
    <mergeCell ref="K55:L55"/>
    <mergeCell ref="M55:N55"/>
    <mergeCell ref="I55:J55"/>
    <mergeCell ref="C55:F55"/>
    <mergeCell ref="G55:H55"/>
    <mergeCell ref="N17:O18"/>
    <mergeCell ref="Z23:AA23"/>
    <mergeCell ref="Z24:AA24"/>
    <mergeCell ref="Z25:AA25"/>
    <mergeCell ref="Z26:AA26"/>
    <mergeCell ref="AD25:AE25"/>
    <mergeCell ref="AB26:AC26"/>
    <mergeCell ref="J17:K18"/>
    <mergeCell ref="AB27:AC27"/>
    <mergeCell ref="B22:E28"/>
    <mergeCell ref="F22:G22"/>
    <mergeCell ref="J22:K22"/>
    <mergeCell ref="AB17:AC18"/>
    <mergeCell ref="F23:G24"/>
    <mergeCell ref="AH28:AN28"/>
    <mergeCell ref="AO28:AP28"/>
    <mergeCell ref="AQ28:AR28"/>
    <mergeCell ref="AS28:AT28"/>
    <mergeCell ref="L23:M24"/>
    <mergeCell ref="N23:O24"/>
    <mergeCell ref="F25:G26"/>
    <mergeCell ref="Z27:AA27"/>
    <mergeCell ref="AO7:AP7"/>
    <mergeCell ref="AP55:AQ55"/>
    <mergeCell ref="AH55:AI55"/>
    <mergeCell ref="Z55:AC55"/>
    <mergeCell ref="AD55:AG55"/>
    <mergeCell ref="O55:P55"/>
    <mergeCell ref="Q55:R55"/>
    <mergeCell ref="S55:T55"/>
    <mergeCell ref="W55:X55"/>
    <mergeCell ref="AB23:AC23"/>
    <mergeCell ref="AD23:AE23"/>
    <mergeCell ref="AB24:AC24"/>
    <mergeCell ref="AD24:AE24"/>
    <mergeCell ref="AB25:AC25"/>
    <mergeCell ref="AJ55:AK55"/>
    <mergeCell ref="AL55:AM55"/>
    <mergeCell ref="AN55:AO55"/>
    <mergeCell ref="N11:O12"/>
    <mergeCell ref="R7:AE7"/>
    <mergeCell ref="L13:M14"/>
    <mergeCell ref="N13:O14"/>
    <mergeCell ref="F15:G16"/>
    <mergeCell ref="H15:I16"/>
    <mergeCell ref="J15:K16"/>
    <mergeCell ref="AQ7:AR7"/>
    <mergeCell ref="L15:M16"/>
    <mergeCell ref="AR55:AS55"/>
    <mergeCell ref="AH19:AN19"/>
    <mergeCell ref="AO1:AU4"/>
    <mergeCell ref="B6:O7"/>
    <mergeCell ref="AH7:AN7"/>
    <mergeCell ref="AQ19:AR19"/>
    <mergeCell ref="AS19:AT19"/>
    <mergeCell ref="AQ17:AR17"/>
    <mergeCell ref="AS17:AT17"/>
    <mergeCell ref="AQ13:AR13"/>
    <mergeCell ref="AS13:AT13"/>
    <mergeCell ref="AQ14:AR14"/>
    <mergeCell ref="AS14:AT14"/>
    <mergeCell ref="AO11:AP11"/>
    <mergeCell ref="AQ11:AR11"/>
    <mergeCell ref="AS11:AT11"/>
    <mergeCell ref="AO12:AP12"/>
    <mergeCell ref="AQ12:AR12"/>
    <mergeCell ref="AS12:AT12"/>
    <mergeCell ref="R6:U6"/>
    <mergeCell ref="V6:AE6"/>
    <mergeCell ref="AH6:AT6"/>
    <mergeCell ref="V8:W8"/>
    <mergeCell ref="Z8:AA8"/>
    <mergeCell ref="AB8:AC8"/>
    <mergeCell ref="AD8:AE8"/>
    <mergeCell ref="V9:W10"/>
    <mergeCell ref="Z9:AA10"/>
    <mergeCell ref="AB9:AC10"/>
    <mergeCell ref="AD9:AE10"/>
    <mergeCell ref="V11:W12"/>
    <mergeCell ref="Z11:AA12"/>
    <mergeCell ref="AB11:AC12"/>
    <mergeCell ref="AD17:AE18"/>
    <mergeCell ref="F27:G28"/>
    <mergeCell ref="J27:K28"/>
    <mergeCell ref="V23:W23"/>
    <mergeCell ref="V24:W24"/>
    <mergeCell ref="V25:W25"/>
    <mergeCell ref="V26:W26"/>
    <mergeCell ref="L22:M22"/>
    <mergeCell ref="N22:O22"/>
    <mergeCell ref="H1:AN4"/>
    <mergeCell ref="X8:Y8"/>
    <mergeCell ref="X9:Y10"/>
    <mergeCell ref="X11:Y12"/>
    <mergeCell ref="X17:Y18"/>
    <mergeCell ref="X22:Y22"/>
    <mergeCell ref="X23:Y23"/>
    <mergeCell ref="X24:Y24"/>
    <mergeCell ref="X25:Y25"/>
    <mergeCell ref="X26:Y26"/>
    <mergeCell ref="X27:Y27"/>
    <mergeCell ref="H8:I8"/>
    <mergeCell ref="H9:I10"/>
    <mergeCell ref="H11:I12"/>
    <mergeCell ref="H17:I18"/>
    <mergeCell ref="H22:I22"/>
    <mergeCell ref="H23:I24"/>
    <mergeCell ref="H25:I26"/>
    <mergeCell ref="H27:I28"/>
    <mergeCell ref="AH15:AN15"/>
    <mergeCell ref="AH16:AN16"/>
    <mergeCell ref="AH17:AN17"/>
    <mergeCell ref="A1:G4"/>
    <mergeCell ref="J23:K24"/>
    <mergeCell ref="I60:J60"/>
    <mergeCell ref="B31:AT31"/>
    <mergeCell ref="B32:AT52"/>
    <mergeCell ref="AD27:AE27"/>
    <mergeCell ref="L27:M28"/>
    <mergeCell ref="N27:O28"/>
    <mergeCell ref="V27:W27"/>
    <mergeCell ref="AD26:AE26"/>
    <mergeCell ref="W57:X57"/>
    <mergeCell ref="C56:F56"/>
    <mergeCell ref="G56:H56"/>
    <mergeCell ref="I56:J56"/>
    <mergeCell ref="K56:L56"/>
    <mergeCell ref="M56:N56"/>
    <mergeCell ref="AR56:AS56"/>
    <mergeCell ref="AP56:AQ56"/>
    <mergeCell ref="AN56:AO56"/>
    <mergeCell ref="AL56:AM56"/>
    <mergeCell ref="AJ56:AK56"/>
    <mergeCell ref="AH56:AI56"/>
    <mergeCell ref="AD56:AG56"/>
    <mergeCell ref="Z56:AC56"/>
    <mergeCell ref="W56:X56"/>
    <mergeCell ref="S56:T56"/>
    <mergeCell ref="Q56:R56"/>
    <mergeCell ref="O56:P56"/>
    <mergeCell ref="Z57:AC57"/>
    <mergeCell ref="AD57:AG57"/>
    <mergeCell ref="AH57:AI57"/>
    <mergeCell ref="AJ57:AK57"/>
    <mergeCell ref="AL57:AM57"/>
    <mergeCell ref="AN57:AO57"/>
    <mergeCell ref="AL60:AM60"/>
    <mergeCell ref="AN60:AO60"/>
    <mergeCell ref="AP60:AQ60"/>
    <mergeCell ref="AR60:AS60"/>
    <mergeCell ref="AP57:AQ57"/>
    <mergeCell ref="AR57:AS57"/>
    <mergeCell ref="C58:F58"/>
    <mergeCell ref="G58:H58"/>
    <mergeCell ref="I58:J58"/>
    <mergeCell ref="K58:L58"/>
    <mergeCell ref="M58:N58"/>
    <mergeCell ref="O58:P58"/>
    <mergeCell ref="Q58:R58"/>
    <mergeCell ref="S58:T58"/>
    <mergeCell ref="W58:X58"/>
    <mergeCell ref="Z58:AC58"/>
    <mergeCell ref="AD58:AG58"/>
    <mergeCell ref="AH58:AI58"/>
    <mergeCell ref="AJ58:AK58"/>
    <mergeCell ref="AL58:AM58"/>
    <mergeCell ref="AN58:AO58"/>
    <mergeCell ref="AP58:AQ58"/>
    <mergeCell ref="C57:F57"/>
    <mergeCell ref="G57:H57"/>
    <mergeCell ref="I57:J57"/>
    <mergeCell ref="K57:L57"/>
    <mergeCell ref="M57:N57"/>
    <mergeCell ref="O57:P57"/>
    <mergeCell ref="Q57:R57"/>
    <mergeCell ref="S57:T57"/>
    <mergeCell ref="C60:F60"/>
    <mergeCell ref="G60:H60"/>
    <mergeCell ref="AR61:AS61"/>
    <mergeCell ref="C62:F62"/>
    <mergeCell ref="G62:H62"/>
    <mergeCell ref="I62:J62"/>
    <mergeCell ref="K60:L60"/>
    <mergeCell ref="M60:N60"/>
    <mergeCell ref="O60:P60"/>
    <mergeCell ref="Q60:R60"/>
    <mergeCell ref="S60:T60"/>
    <mergeCell ref="W60:X60"/>
    <mergeCell ref="AR58:AS58"/>
    <mergeCell ref="C59:F59"/>
    <mergeCell ref="G59:H59"/>
    <mergeCell ref="I59:J59"/>
    <mergeCell ref="K59:L59"/>
    <mergeCell ref="M59:N59"/>
    <mergeCell ref="O59:P59"/>
    <mergeCell ref="Q59:R59"/>
    <mergeCell ref="S59:T59"/>
    <mergeCell ref="W59:X59"/>
    <mergeCell ref="Z59:AC59"/>
    <mergeCell ref="AD59:AG59"/>
    <mergeCell ref="AH59:AI59"/>
    <mergeCell ref="AJ59:AK59"/>
    <mergeCell ref="AL59:AM59"/>
    <mergeCell ref="AN59:AO59"/>
    <mergeCell ref="AP59:AQ59"/>
    <mergeCell ref="AR59:AS59"/>
    <mergeCell ref="Z60:AC60"/>
    <mergeCell ref="AD60:AG60"/>
    <mergeCell ref="AH60:AI60"/>
    <mergeCell ref="AJ60:AK60"/>
    <mergeCell ref="C61:F61"/>
    <mergeCell ref="G61:H61"/>
    <mergeCell ref="I61:J61"/>
    <mergeCell ref="K61:L61"/>
    <mergeCell ref="M61:N61"/>
    <mergeCell ref="O61:P61"/>
    <mergeCell ref="Q61:R61"/>
    <mergeCell ref="S61:T61"/>
    <mergeCell ref="W61:X61"/>
    <mergeCell ref="Z61:AC61"/>
    <mergeCell ref="AD61:AG61"/>
    <mergeCell ref="AH61:AI61"/>
    <mergeCell ref="AJ61:AK61"/>
    <mergeCell ref="AL61:AM61"/>
    <mergeCell ref="AN61:AO61"/>
    <mergeCell ref="AP61:AQ61"/>
    <mergeCell ref="C63:F63"/>
    <mergeCell ref="G63:H63"/>
    <mergeCell ref="I63:J63"/>
    <mergeCell ref="K63:L63"/>
    <mergeCell ref="M63:N63"/>
    <mergeCell ref="O63:P63"/>
    <mergeCell ref="Q63:R63"/>
    <mergeCell ref="S63:T63"/>
    <mergeCell ref="W63:X63"/>
    <mergeCell ref="AR64:AS64"/>
    <mergeCell ref="C65:F65"/>
    <mergeCell ref="G65:H65"/>
    <mergeCell ref="I65:J65"/>
    <mergeCell ref="K62:L62"/>
    <mergeCell ref="M62:N62"/>
    <mergeCell ref="O62:P62"/>
    <mergeCell ref="Q62:R62"/>
    <mergeCell ref="S62:T62"/>
    <mergeCell ref="W62:X62"/>
    <mergeCell ref="Z62:AC62"/>
    <mergeCell ref="AD62:AG62"/>
    <mergeCell ref="AH62:AI62"/>
    <mergeCell ref="AJ62:AK62"/>
    <mergeCell ref="AL62:AM62"/>
    <mergeCell ref="AN62:AO62"/>
    <mergeCell ref="AP62:AQ62"/>
    <mergeCell ref="AR62:AS62"/>
    <mergeCell ref="Z63:AC63"/>
    <mergeCell ref="AD63:AG63"/>
    <mergeCell ref="AH63:AI63"/>
    <mergeCell ref="AJ63:AK63"/>
    <mergeCell ref="AL63:AM63"/>
    <mergeCell ref="AN63:AO63"/>
    <mergeCell ref="AP63:AQ63"/>
    <mergeCell ref="AR63:AS63"/>
    <mergeCell ref="C64:F64"/>
    <mergeCell ref="G64:H64"/>
    <mergeCell ref="I64:J64"/>
    <mergeCell ref="K64:L64"/>
    <mergeCell ref="M64:N64"/>
    <mergeCell ref="O64:P64"/>
    <mergeCell ref="Q64:R64"/>
    <mergeCell ref="S64:T64"/>
    <mergeCell ref="W64:X64"/>
    <mergeCell ref="Z64:AC64"/>
    <mergeCell ref="AD64:AG64"/>
    <mergeCell ref="AH64:AI64"/>
    <mergeCell ref="AJ64:AK64"/>
    <mergeCell ref="AL64:AM64"/>
    <mergeCell ref="AN64:AO64"/>
    <mergeCell ref="AP64:AQ64"/>
    <mergeCell ref="C66:F66"/>
    <mergeCell ref="G66:H66"/>
    <mergeCell ref="I66:J66"/>
    <mergeCell ref="K66:L66"/>
    <mergeCell ref="M66:N66"/>
    <mergeCell ref="O66:P66"/>
    <mergeCell ref="Q66:R66"/>
    <mergeCell ref="S66:T66"/>
    <mergeCell ref="W66:X66"/>
    <mergeCell ref="AR67:AS67"/>
    <mergeCell ref="C68:F68"/>
    <mergeCell ref="G68:H68"/>
    <mergeCell ref="I68:J68"/>
    <mergeCell ref="K65:L65"/>
    <mergeCell ref="M65:N65"/>
    <mergeCell ref="O65:P65"/>
    <mergeCell ref="Q65:R65"/>
    <mergeCell ref="S65:T65"/>
    <mergeCell ref="W65:X65"/>
    <mergeCell ref="Z65:AC65"/>
    <mergeCell ref="AD65:AG65"/>
    <mergeCell ref="AH65:AI65"/>
    <mergeCell ref="AJ65:AK65"/>
    <mergeCell ref="AL65:AM65"/>
    <mergeCell ref="AN65:AO65"/>
    <mergeCell ref="AP65:AQ65"/>
    <mergeCell ref="AR65:AS65"/>
    <mergeCell ref="Z66:AC66"/>
    <mergeCell ref="AD66:AG66"/>
    <mergeCell ref="AH66:AI66"/>
    <mergeCell ref="AJ66:AK66"/>
    <mergeCell ref="AL66:AM66"/>
    <mergeCell ref="AN66:AO66"/>
    <mergeCell ref="AP66:AQ66"/>
    <mergeCell ref="AR66:AS66"/>
    <mergeCell ref="C67:F67"/>
    <mergeCell ref="G67:H67"/>
    <mergeCell ref="I67:J67"/>
    <mergeCell ref="K67:L67"/>
    <mergeCell ref="M67:N67"/>
    <mergeCell ref="O67:P67"/>
    <mergeCell ref="Q67:R67"/>
    <mergeCell ref="S67:T67"/>
    <mergeCell ref="W67:X67"/>
    <mergeCell ref="Z67:AC67"/>
    <mergeCell ref="AD67:AG67"/>
    <mergeCell ref="AH67:AI67"/>
    <mergeCell ref="AJ67:AK67"/>
    <mergeCell ref="AL67:AM67"/>
    <mergeCell ref="AN67:AO67"/>
    <mergeCell ref="AP67:AQ67"/>
    <mergeCell ref="C69:F69"/>
    <mergeCell ref="G69:H69"/>
    <mergeCell ref="I69:J69"/>
    <mergeCell ref="K69:L69"/>
    <mergeCell ref="M69:N69"/>
    <mergeCell ref="O69:P69"/>
    <mergeCell ref="Q69:R69"/>
    <mergeCell ref="S69:T69"/>
    <mergeCell ref="W69:X69"/>
    <mergeCell ref="AR70:AS70"/>
    <mergeCell ref="C71:F71"/>
    <mergeCell ref="G71:H71"/>
    <mergeCell ref="I71:J71"/>
    <mergeCell ref="K68:L68"/>
    <mergeCell ref="M68:N68"/>
    <mergeCell ref="O68:P68"/>
    <mergeCell ref="Q68:R68"/>
    <mergeCell ref="S68:T68"/>
    <mergeCell ref="W68:X68"/>
    <mergeCell ref="Z68:AC68"/>
    <mergeCell ref="AD68:AG68"/>
    <mergeCell ref="AH68:AI68"/>
    <mergeCell ref="AJ68:AK68"/>
    <mergeCell ref="AL68:AM68"/>
    <mergeCell ref="AN68:AO68"/>
    <mergeCell ref="AP68:AQ68"/>
    <mergeCell ref="AR68:AS68"/>
    <mergeCell ref="Z69:AC69"/>
    <mergeCell ref="AD69:AG69"/>
    <mergeCell ref="AH69:AI69"/>
    <mergeCell ref="AJ69:AK69"/>
    <mergeCell ref="AL69:AM69"/>
    <mergeCell ref="AN69:AO69"/>
    <mergeCell ref="AP69:AQ69"/>
    <mergeCell ref="AR69:AS69"/>
    <mergeCell ref="C70:F70"/>
    <mergeCell ref="G70:H70"/>
    <mergeCell ref="I70:J70"/>
    <mergeCell ref="K70:L70"/>
    <mergeCell ref="M70:N70"/>
    <mergeCell ref="O70:P70"/>
    <mergeCell ref="Q70:R70"/>
    <mergeCell ref="S70:T70"/>
    <mergeCell ref="W70:X70"/>
    <mergeCell ref="Z70:AC70"/>
    <mergeCell ref="AD70:AG70"/>
    <mergeCell ref="AH70:AI70"/>
    <mergeCell ref="AJ70:AK70"/>
    <mergeCell ref="AL70:AM70"/>
    <mergeCell ref="AN70:AO70"/>
    <mergeCell ref="AP70:AQ70"/>
    <mergeCell ref="C72:F72"/>
    <mergeCell ref="G72:H72"/>
    <mergeCell ref="I72:J72"/>
    <mergeCell ref="K72:L72"/>
    <mergeCell ref="M72:N72"/>
    <mergeCell ref="O72:P72"/>
    <mergeCell ref="Q72:R72"/>
    <mergeCell ref="S72:T72"/>
    <mergeCell ref="W72:X72"/>
    <mergeCell ref="U72:V72"/>
    <mergeCell ref="AR73:AS73"/>
    <mergeCell ref="C74:F74"/>
    <mergeCell ref="G74:H74"/>
    <mergeCell ref="I74:J74"/>
    <mergeCell ref="K71:L71"/>
    <mergeCell ref="M71:N71"/>
    <mergeCell ref="O71:P71"/>
    <mergeCell ref="Q71:R71"/>
    <mergeCell ref="S71:T71"/>
    <mergeCell ref="W71:X71"/>
    <mergeCell ref="Z71:AC71"/>
    <mergeCell ref="AD71:AG71"/>
    <mergeCell ref="AH71:AI71"/>
    <mergeCell ref="AJ71:AK71"/>
    <mergeCell ref="AL71:AM71"/>
    <mergeCell ref="AN71:AO71"/>
    <mergeCell ref="AP71:AQ71"/>
    <mergeCell ref="AR71:AS71"/>
    <mergeCell ref="Z72:AC72"/>
    <mergeCell ref="AD72:AG72"/>
    <mergeCell ref="AH72:AI72"/>
    <mergeCell ref="AJ72:AK72"/>
    <mergeCell ref="AL72:AM72"/>
    <mergeCell ref="AN72:AO72"/>
    <mergeCell ref="AP72:AQ72"/>
    <mergeCell ref="AR72:AS72"/>
    <mergeCell ref="C73:F73"/>
    <mergeCell ref="G73:H73"/>
    <mergeCell ref="I73:J73"/>
    <mergeCell ref="K73:L73"/>
    <mergeCell ref="M73:N73"/>
    <mergeCell ref="O73:P73"/>
    <mergeCell ref="Q73:R73"/>
    <mergeCell ref="S73:T73"/>
    <mergeCell ref="W73:X73"/>
    <mergeCell ref="Z73:AC73"/>
    <mergeCell ref="AD73:AG73"/>
    <mergeCell ref="AH73:AI73"/>
    <mergeCell ref="AJ73:AK73"/>
    <mergeCell ref="AL73:AM73"/>
    <mergeCell ref="AN73:AO73"/>
    <mergeCell ref="AP73:AQ73"/>
    <mergeCell ref="C75:F75"/>
    <mergeCell ref="G75:H75"/>
    <mergeCell ref="I75:J75"/>
    <mergeCell ref="K75:L75"/>
    <mergeCell ref="M75:N75"/>
    <mergeCell ref="O75:P75"/>
    <mergeCell ref="Q75:R75"/>
    <mergeCell ref="S75:T75"/>
    <mergeCell ref="W75:X75"/>
    <mergeCell ref="U73:V73"/>
    <mergeCell ref="U74:V74"/>
    <mergeCell ref="U75:V75"/>
    <mergeCell ref="AR76:AS76"/>
    <mergeCell ref="C77:F77"/>
    <mergeCell ref="G77:H77"/>
    <mergeCell ref="I77:J77"/>
    <mergeCell ref="K74:L74"/>
    <mergeCell ref="M74:N74"/>
    <mergeCell ref="O74:P74"/>
    <mergeCell ref="Q74:R74"/>
    <mergeCell ref="S74:T74"/>
    <mergeCell ref="W74:X74"/>
    <mergeCell ref="Z74:AC74"/>
    <mergeCell ref="AD74:AG74"/>
    <mergeCell ref="AH74:AI74"/>
    <mergeCell ref="AJ74:AK74"/>
    <mergeCell ref="AL74:AM74"/>
    <mergeCell ref="AN74:AO74"/>
    <mergeCell ref="AP74:AQ74"/>
    <mergeCell ref="AR74:AS74"/>
    <mergeCell ref="Z75:AC75"/>
    <mergeCell ref="AD75:AG75"/>
    <mergeCell ref="AH75:AI75"/>
    <mergeCell ref="AJ75:AK75"/>
    <mergeCell ref="AL75:AM75"/>
    <mergeCell ref="AN75:AO75"/>
    <mergeCell ref="AP75:AQ75"/>
    <mergeCell ref="AR75:AS75"/>
    <mergeCell ref="C76:F76"/>
    <mergeCell ref="G76:H76"/>
    <mergeCell ref="I76:J76"/>
    <mergeCell ref="K76:L76"/>
    <mergeCell ref="M76:N76"/>
    <mergeCell ref="O76:P76"/>
    <mergeCell ref="Q76:R76"/>
    <mergeCell ref="S76:T76"/>
    <mergeCell ref="W76:X76"/>
    <mergeCell ref="Z76:AC76"/>
    <mergeCell ref="AD76:AG76"/>
    <mergeCell ref="AH76:AI76"/>
    <mergeCell ref="AJ76:AK76"/>
    <mergeCell ref="AL76:AM76"/>
    <mergeCell ref="AN76:AO76"/>
    <mergeCell ref="AP76:AQ76"/>
    <mergeCell ref="C78:F78"/>
    <mergeCell ref="G78:H78"/>
    <mergeCell ref="I78:J78"/>
    <mergeCell ref="K78:L78"/>
    <mergeCell ref="M78:N78"/>
    <mergeCell ref="O78:P78"/>
    <mergeCell ref="Q78:R78"/>
    <mergeCell ref="S78:T78"/>
    <mergeCell ref="W78:X78"/>
    <mergeCell ref="U76:V76"/>
    <mergeCell ref="U77:V77"/>
    <mergeCell ref="U78:V78"/>
    <mergeCell ref="AR79:AS79"/>
    <mergeCell ref="C80:F80"/>
    <mergeCell ref="G80:H80"/>
    <mergeCell ref="I80:J80"/>
    <mergeCell ref="K77:L77"/>
    <mergeCell ref="M77:N77"/>
    <mergeCell ref="O77:P77"/>
    <mergeCell ref="Q77:R77"/>
    <mergeCell ref="S77:T77"/>
    <mergeCell ref="W77:X77"/>
    <mergeCell ref="Z77:AC77"/>
    <mergeCell ref="AD77:AG77"/>
    <mergeCell ref="AH77:AI77"/>
    <mergeCell ref="AJ77:AK77"/>
    <mergeCell ref="AL77:AM77"/>
    <mergeCell ref="AN77:AO77"/>
    <mergeCell ref="AP77:AQ77"/>
    <mergeCell ref="AR77:AS77"/>
    <mergeCell ref="Z78:AC78"/>
    <mergeCell ref="AD78:AG78"/>
    <mergeCell ref="AH78:AI78"/>
    <mergeCell ref="AJ78:AK78"/>
    <mergeCell ref="AL78:AM78"/>
    <mergeCell ref="AN78:AO78"/>
    <mergeCell ref="AP78:AQ78"/>
    <mergeCell ref="AR78:AS78"/>
    <mergeCell ref="C79:F79"/>
    <mergeCell ref="G79:H79"/>
    <mergeCell ref="I79:J79"/>
    <mergeCell ref="K79:L79"/>
    <mergeCell ref="M79:N79"/>
    <mergeCell ref="O79:P79"/>
    <mergeCell ref="Q79:R79"/>
    <mergeCell ref="S79:T79"/>
    <mergeCell ref="W79:X79"/>
    <mergeCell ref="Z79:AC79"/>
    <mergeCell ref="AD79:AG79"/>
    <mergeCell ref="AH79:AI79"/>
    <mergeCell ref="AJ79:AK79"/>
    <mergeCell ref="AL79:AM79"/>
    <mergeCell ref="AN79:AO79"/>
    <mergeCell ref="AP79:AQ79"/>
    <mergeCell ref="C81:F81"/>
    <mergeCell ref="G81:H81"/>
    <mergeCell ref="I81:J81"/>
    <mergeCell ref="K81:L81"/>
    <mergeCell ref="M81:N81"/>
    <mergeCell ref="O81:P81"/>
    <mergeCell ref="Q81:R81"/>
    <mergeCell ref="S81:T81"/>
    <mergeCell ref="W81:X81"/>
    <mergeCell ref="U79:V79"/>
    <mergeCell ref="U80:V80"/>
    <mergeCell ref="U81:V81"/>
    <mergeCell ref="AR82:AS82"/>
    <mergeCell ref="C83:F83"/>
    <mergeCell ref="G83:H83"/>
    <mergeCell ref="I83:J83"/>
    <mergeCell ref="K80:L80"/>
    <mergeCell ref="M80:N80"/>
    <mergeCell ref="O80:P80"/>
    <mergeCell ref="Q80:R80"/>
    <mergeCell ref="S80:T80"/>
    <mergeCell ref="W80:X80"/>
    <mergeCell ref="Z80:AC80"/>
    <mergeCell ref="AD80:AG80"/>
    <mergeCell ref="AH80:AI80"/>
    <mergeCell ref="AJ80:AK80"/>
    <mergeCell ref="AL80:AM80"/>
    <mergeCell ref="AN80:AO80"/>
    <mergeCell ref="AP80:AQ80"/>
    <mergeCell ref="AR80:AS80"/>
    <mergeCell ref="Z81:AC81"/>
    <mergeCell ref="AD81:AG81"/>
    <mergeCell ref="AH81:AI81"/>
    <mergeCell ref="AJ81:AK81"/>
    <mergeCell ref="AL81:AM81"/>
    <mergeCell ref="AN81:AO81"/>
    <mergeCell ref="AP81:AQ81"/>
    <mergeCell ref="AR81:AS81"/>
    <mergeCell ref="C82:F82"/>
    <mergeCell ref="G82:H82"/>
    <mergeCell ref="I82:J82"/>
    <mergeCell ref="K82:L82"/>
    <mergeCell ref="M82:N82"/>
    <mergeCell ref="O82:P82"/>
    <mergeCell ref="Q82:R82"/>
    <mergeCell ref="S82:T82"/>
    <mergeCell ref="W82:X82"/>
    <mergeCell ref="Z82:AC82"/>
    <mergeCell ref="AD82:AG82"/>
    <mergeCell ref="AH82:AI82"/>
    <mergeCell ref="AJ82:AK82"/>
    <mergeCell ref="AL82:AM82"/>
    <mergeCell ref="AN82:AO82"/>
    <mergeCell ref="AP82:AQ82"/>
    <mergeCell ref="C84:F84"/>
    <mergeCell ref="G84:H84"/>
    <mergeCell ref="I84:J84"/>
    <mergeCell ref="K84:L84"/>
    <mergeCell ref="M84:N84"/>
    <mergeCell ref="O84:P84"/>
    <mergeCell ref="Q84:R84"/>
    <mergeCell ref="S84:T84"/>
    <mergeCell ref="W84:X84"/>
    <mergeCell ref="U82:V82"/>
    <mergeCell ref="U83:V83"/>
    <mergeCell ref="U84:V84"/>
    <mergeCell ref="AR85:AS85"/>
    <mergeCell ref="C86:F86"/>
    <mergeCell ref="G86:H86"/>
    <mergeCell ref="I86:J86"/>
    <mergeCell ref="K83:L83"/>
    <mergeCell ref="M83:N83"/>
    <mergeCell ref="O83:P83"/>
    <mergeCell ref="Q83:R83"/>
    <mergeCell ref="S83:T83"/>
    <mergeCell ref="W83:X83"/>
    <mergeCell ref="Z83:AC83"/>
    <mergeCell ref="AD83:AG83"/>
    <mergeCell ref="AH83:AI83"/>
    <mergeCell ref="AJ83:AK83"/>
    <mergeCell ref="AL83:AM83"/>
    <mergeCell ref="AN83:AO83"/>
    <mergeCell ref="AP83:AQ83"/>
    <mergeCell ref="AR83:AS83"/>
    <mergeCell ref="Z84:AC84"/>
    <mergeCell ref="AD84:AG84"/>
    <mergeCell ref="AH84:AI84"/>
    <mergeCell ref="AJ84:AK84"/>
    <mergeCell ref="AL84:AM84"/>
    <mergeCell ref="AN84:AO84"/>
    <mergeCell ref="AP84:AQ84"/>
    <mergeCell ref="AR84:AS84"/>
    <mergeCell ref="C85:F85"/>
    <mergeCell ref="G85:H85"/>
    <mergeCell ref="I85:J85"/>
    <mergeCell ref="K85:L85"/>
    <mergeCell ref="M85:N85"/>
    <mergeCell ref="O85:P85"/>
    <mergeCell ref="Q85:R85"/>
    <mergeCell ref="S85:T85"/>
    <mergeCell ref="W85:X85"/>
    <mergeCell ref="Z85:AC85"/>
    <mergeCell ref="AD85:AG85"/>
    <mergeCell ref="AH85:AI85"/>
    <mergeCell ref="AJ85:AK85"/>
    <mergeCell ref="AL85:AM85"/>
    <mergeCell ref="AN85:AO85"/>
    <mergeCell ref="AP85:AQ85"/>
    <mergeCell ref="C87:F87"/>
    <mergeCell ref="G87:H87"/>
    <mergeCell ref="I87:J87"/>
    <mergeCell ref="K87:L87"/>
    <mergeCell ref="M87:N87"/>
    <mergeCell ref="O87:P87"/>
    <mergeCell ref="Q87:R87"/>
    <mergeCell ref="S87:T87"/>
    <mergeCell ref="W87:X87"/>
    <mergeCell ref="U85:V85"/>
    <mergeCell ref="U86:V86"/>
    <mergeCell ref="U87:V87"/>
    <mergeCell ref="AR88:AS88"/>
    <mergeCell ref="C89:F89"/>
    <mergeCell ref="G89:H89"/>
    <mergeCell ref="I89:J89"/>
    <mergeCell ref="K86:L86"/>
    <mergeCell ref="M86:N86"/>
    <mergeCell ref="O86:P86"/>
    <mergeCell ref="Q86:R86"/>
    <mergeCell ref="S86:T86"/>
    <mergeCell ref="W86:X86"/>
    <mergeCell ref="Z86:AC86"/>
    <mergeCell ref="AD86:AG86"/>
    <mergeCell ref="AH86:AI86"/>
    <mergeCell ref="AJ86:AK86"/>
    <mergeCell ref="AL86:AM86"/>
    <mergeCell ref="AN86:AO86"/>
    <mergeCell ref="AP86:AQ86"/>
    <mergeCell ref="AR86:AS86"/>
    <mergeCell ref="Z87:AC87"/>
    <mergeCell ref="AD87:AG87"/>
    <mergeCell ref="AH87:AI87"/>
    <mergeCell ref="AJ87:AK87"/>
    <mergeCell ref="AL87:AM87"/>
    <mergeCell ref="AN87:AO87"/>
    <mergeCell ref="AP87:AQ87"/>
    <mergeCell ref="AR87:AS87"/>
    <mergeCell ref="C88:F88"/>
    <mergeCell ref="G88:H88"/>
    <mergeCell ref="I88:J88"/>
    <mergeCell ref="K88:L88"/>
    <mergeCell ref="M88:N88"/>
    <mergeCell ref="O88:P88"/>
    <mergeCell ref="Q88:R88"/>
    <mergeCell ref="S88:T88"/>
    <mergeCell ref="W88:X88"/>
    <mergeCell ref="Z88:AC88"/>
    <mergeCell ref="AD88:AG88"/>
    <mergeCell ref="AH88:AI88"/>
    <mergeCell ref="AJ88:AK88"/>
    <mergeCell ref="AL88:AM88"/>
    <mergeCell ref="AN88:AO88"/>
    <mergeCell ref="AP88:AQ88"/>
    <mergeCell ref="C90:F90"/>
    <mergeCell ref="G90:H90"/>
    <mergeCell ref="I90:J90"/>
    <mergeCell ref="K90:L90"/>
    <mergeCell ref="M90:N90"/>
    <mergeCell ref="O90:P90"/>
    <mergeCell ref="Q90:R90"/>
    <mergeCell ref="S90:T90"/>
    <mergeCell ref="W90:X90"/>
    <mergeCell ref="U88:V88"/>
    <mergeCell ref="U89:V89"/>
    <mergeCell ref="U90:V90"/>
    <mergeCell ref="AR91:AS91"/>
    <mergeCell ref="C92:F92"/>
    <mergeCell ref="G92:H92"/>
    <mergeCell ref="I92:J92"/>
    <mergeCell ref="K89:L89"/>
    <mergeCell ref="M89:N89"/>
    <mergeCell ref="O89:P89"/>
    <mergeCell ref="Q89:R89"/>
    <mergeCell ref="S89:T89"/>
    <mergeCell ref="W89:X89"/>
    <mergeCell ref="Z89:AC89"/>
    <mergeCell ref="AD89:AG89"/>
    <mergeCell ref="AH89:AI89"/>
    <mergeCell ref="AJ89:AK89"/>
    <mergeCell ref="AL89:AM89"/>
    <mergeCell ref="AN89:AO89"/>
    <mergeCell ref="AP89:AQ89"/>
    <mergeCell ref="AR89:AS89"/>
    <mergeCell ref="Z90:AC90"/>
    <mergeCell ref="AD90:AG90"/>
    <mergeCell ref="AH90:AI90"/>
    <mergeCell ref="AJ90:AK90"/>
    <mergeCell ref="AL90:AM90"/>
    <mergeCell ref="AN90:AO90"/>
    <mergeCell ref="AP90:AQ90"/>
    <mergeCell ref="AR90:AS90"/>
    <mergeCell ref="C91:F91"/>
    <mergeCell ref="G91:H91"/>
    <mergeCell ref="I91:J91"/>
    <mergeCell ref="K91:L91"/>
    <mergeCell ref="M91:N91"/>
    <mergeCell ref="O91:P91"/>
    <mergeCell ref="Q91:R91"/>
    <mergeCell ref="S91:T91"/>
    <mergeCell ref="W91:X91"/>
    <mergeCell ref="Z91:AC91"/>
    <mergeCell ref="AD91:AG91"/>
    <mergeCell ref="AH91:AI91"/>
    <mergeCell ref="AJ91:AK91"/>
    <mergeCell ref="AL91:AM91"/>
    <mergeCell ref="AN91:AO91"/>
    <mergeCell ref="AP91:AQ91"/>
    <mergeCell ref="C93:F93"/>
    <mergeCell ref="G93:H93"/>
    <mergeCell ref="I93:J93"/>
    <mergeCell ref="K93:L93"/>
    <mergeCell ref="M93:N93"/>
    <mergeCell ref="O93:P93"/>
    <mergeCell ref="Q93:R93"/>
    <mergeCell ref="S93:T93"/>
    <mergeCell ref="W93:X93"/>
    <mergeCell ref="U91:V91"/>
    <mergeCell ref="U92:V92"/>
    <mergeCell ref="U93:V93"/>
    <mergeCell ref="AR94:AS94"/>
    <mergeCell ref="C95:F95"/>
    <mergeCell ref="G95:H95"/>
    <mergeCell ref="I95:J95"/>
    <mergeCell ref="K92:L92"/>
    <mergeCell ref="M92:N92"/>
    <mergeCell ref="O92:P92"/>
    <mergeCell ref="Q92:R92"/>
    <mergeCell ref="S92:T92"/>
    <mergeCell ref="W92:X92"/>
    <mergeCell ref="Z92:AC92"/>
    <mergeCell ref="AD92:AG92"/>
    <mergeCell ref="AH92:AI92"/>
    <mergeCell ref="AJ92:AK92"/>
    <mergeCell ref="AL92:AM92"/>
    <mergeCell ref="AN92:AO92"/>
    <mergeCell ref="AP92:AQ92"/>
    <mergeCell ref="AR92:AS92"/>
    <mergeCell ref="Z93:AC93"/>
    <mergeCell ref="AD93:AG93"/>
    <mergeCell ref="AH93:AI93"/>
    <mergeCell ref="AJ93:AK93"/>
    <mergeCell ref="AL93:AM93"/>
    <mergeCell ref="AN93:AO93"/>
    <mergeCell ref="AP93:AQ93"/>
    <mergeCell ref="AR93:AS93"/>
    <mergeCell ref="C94:F94"/>
    <mergeCell ref="G94:H94"/>
    <mergeCell ref="I94:J94"/>
    <mergeCell ref="K94:L94"/>
    <mergeCell ref="M94:N94"/>
    <mergeCell ref="O94:P94"/>
    <mergeCell ref="Q94:R94"/>
    <mergeCell ref="S94:T94"/>
    <mergeCell ref="W94:X94"/>
    <mergeCell ref="Z94:AC94"/>
    <mergeCell ref="AD94:AG94"/>
    <mergeCell ref="AH94:AI94"/>
    <mergeCell ref="AJ94:AK94"/>
    <mergeCell ref="AL94:AM94"/>
    <mergeCell ref="AN94:AO94"/>
    <mergeCell ref="AP94:AQ94"/>
    <mergeCell ref="C96:F96"/>
    <mergeCell ref="G96:H96"/>
    <mergeCell ref="I96:J96"/>
    <mergeCell ref="K96:L96"/>
    <mergeCell ref="M96:N96"/>
    <mergeCell ref="O96:P96"/>
    <mergeCell ref="Q96:R96"/>
    <mergeCell ref="S96:T96"/>
    <mergeCell ref="W96:X96"/>
    <mergeCell ref="U94:V94"/>
    <mergeCell ref="U95:V95"/>
    <mergeCell ref="U96:V96"/>
    <mergeCell ref="AR97:AS97"/>
    <mergeCell ref="C98:F98"/>
    <mergeCell ref="G98:H98"/>
    <mergeCell ref="I98:J98"/>
    <mergeCell ref="K95:L95"/>
    <mergeCell ref="M95:N95"/>
    <mergeCell ref="O95:P95"/>
    <mergeCell ref="Q95:R95"/>
    <mergeCell ref="S95:T95"/>
    <mergeCell ref="W95:X95"/>
    <mergeCell ref="Z95:AC95"/>
    <mergeCell ref="AD95:AG95"/>
    <mergeCell ref="AH95:AI95"/>
    <mergeCell ref="AJ95:AK95"/>
    <mergeCell ref="AL95:AM95"/>
    <mergeCell ref="AN95:AO95"/>
    <mergeCell ref="AP95:AQ95"/>
    <mergeCell ref="AR95:AS95"/>
    <mergeCell ref="Z96:AC96"/>
    <mergeCell ref="AD96:AG96"/>
    <mergeCell ref="AH96:AI96"/>
    <mergeCell ref="AJ96:AK96"/>
    <mergeCell ref="AL96:AM96"/>
    <mergeCell ref="AN96:AO96"/>
    <mergeCell ref="AP96:AQ96"/>
    <mergeCell ref="AR96:AS96"/>
    <mergeCell ref="C97:F97"/>
    <mergeCell ref="G97:H97"/>
    <mergeCell ref="I97:J97"/>
    <mergeCell ref="K97:L97"/>
    <mergeCell ref="M97:N97"/>
    <mergeCell ref="O97:P97"/>
    <mergeCell ref="Q97:R97"/>
    <mergeCell ref="S97:T97"/>
    <mergeCell ref="W97:X97"/>
    <mergeCell ref="Z97:AC97"/>
    <mergeCell ref="AD97:AG97"/>
    <mergeCell ref="AH97:AI97"/>
    <mergeCell ref="AJ97:AK97"/>
    <mergeCell ref="AL97:AM97"/>
    <mergeCell ref="AN97:AO97"/>
    <mergeCell ref="AP97:AQ97"/>
    <mergeCell ref="C99:F99"/>
    <mergeCell ref="G99:H99"/>
    <mergeCell ref="I99:J99"/>
    <mergeCell ref="K99:L99"/>
    <mergeCell ref="M99:N99"/>
    <mergeCell ref="O99:P99"/>
    <mergeCell ref="Q99:R99"/>
    <mergeCell ref="S99:T99"/>
    <mergeCell ref="W99:X99"/>
    <mergeCell ref="U97:V97"/>
    <mergeCell ref="U98:V98"/>
    <mergeCell ref="U99:V99"/>
    <mergeCell ref="AR100:AS100"/>
    <mergeCell ref="C101:F101"/>
    <mergeCell ref="G101:H101"/>
    <mergeCell ref="I101:J101"/>
    <mergeCell ref="K98:L98"/>
    <mergeCell ref="M98:N98"/>
    <mergeCell ref="O98:P98"/>
    <mergeCell ref="Q98:R98"/>
    <mergeCell ref="S98:T98"/>
    <mergeCell ref="W98:X98"/>
    <mergeCell ref="Z98:AC98"/>
    <mergeCell ref="AD98:AG98"/>
    <mergeCell ref="AH98:AI98"/>
    <mergeCell ref="AJ98:AK98"/>
    <mergeCell ref="AL98:AM98"/>
    <mergeCell ref="AN98:AO98"/>
    <mergeCell ref="AP98:AQ98"/>
    <mergeCell ref="AR98:AS98"/>
    <mergeCell ref="Z99:AC99"/>
    <mergeCell ref="AD99:AG99"/>
    <mergeCell ref="AH99:AI99"/>
    <mergeCell ref="AJ99:AK99"/>
    <mergeCell ref="AL99:AM99"/>
    <mergeCell ref="AN99:AO99"/>
    <mergeCell ref="AP99:AQ99"/>
    <mergeCell ref="AR99:AS99"/>
    <mergeCell ref="C100:F100"/>
    <mergeCell ref="G100:H100"/>
    <mergeCell ref="I100:J100"/>
    <mergeCell ref="K100:L100"/>
    <mergeCell ref="M100:N100"/>
    <mergeCell ref="O100:P100"/>
    <mergeCell ref="Q100:R100"/>
    <mergeCell ref="S100:T100"/>
    <mergeCell ref="W100:X100"/>
    <mergeCell ref="Z100:AC100"/>
    <mergeCell ref="AD100:AG100"/>
    <mergeCell ref="AH100:AI100"/>
    <mergeCell ref="AJ100:AK100"/>
    <mergeCell ref="AL100:AM100"/>
    <mergeCell ref="AN100:AO100"/>
    <mergeCell ref="AP100:AQ100"/>
    <mergeCell ref="C102:F102"/>
    <mergeCell ref="G102:H102"/>
    <mergeCell ref="I102:J102"/>
    <mergeCell ref="K102:L102"/>
    <mergeCell ref="M102:N102"/>
    <mergeCell ref="O102:P102"/>
    <mergeCell ref="Q102:R102"/>
    <mergeCell ref="S102:T102"/>
    <mergeCell ref="W102:X102"/>
    <mergeCell ref="U100:V100"/>
    <mergeCell ref="U101:V101"/>
    <mergeCell ref="U102:V102"/>
    <mergeCell ref="AR103:AS103"/>
    <mergeCell ref="C104:F104"/>
    <mergeCell ref="G104:H104"/>
    <mergeCell ref="I104:J104"/>
    <mergeCell ref="K101:L101"/>
    <mergeCell ref="M101:N101"/>
    <mergeCell ref="O101:P101"/>
    <mergeCell ref="Q101:R101"/>
    <mergeCell ref="S101:T101"/>
    <mergeCell ref="W101:X101"/>
    <mergeCell ref="Z101:AC101"/>
    <mergeCell ref="AD101:AG101"/>
    <mergeCell ref="AH101:AI101"/>
    <mergeCell ref="AJ101:AK101"/>
    <mergeCell ref="AL101:AM101"/>
    <mergeCell ref="AN101:AO101"/>
    <mergeCell ref="AP101:AQ101"/>
    <mergeCell ref="AR101:AS101"/>
    <mergeCell ref="Z102:AC102"/>
    <mergeCell ref="AD102:AG102"/>
    <mergeCell ref="AH102:AI102"/>
    <mergeCell ref="AJ102:AK102"/>
    <mergeCell ref="AL102:AM102"/>
    <mergeCell ref="AN102:AO102"/>
    <mergeCell ref="AP102:AQ102"/>
    <mergeCell ref="AR102:AS102"/>
    <mergeCell ref="C103:F103"/>
    <mergeCell ref="G103:H103"/>
    <mergeCell ref="I103:J103"/>
    <mergeCell ref="K103:L103"/>
    <mergeCell ref="M103:N103"/>
    <mergeCell ref="O103:P103"/>
    <mergeCell ref="Q103:R103"/>
    <mergeCell ref="S103:T103"/>
    <mergeCell ref="W103:X103"/>
    <mergeCell ref="Z103:AC103"/>
    <mergeCell ref="AD103:AG103"/>
    <mergeCell ref="AH103:AI103"/>
    <mergeCell ref="AJ103:AK103"/>
    <mergeCell ref="AL103:AM103"/>
    <mergeCell ref="AN103:AO103"/>
    <mergeCell ref="AP103:AQ103"/>
    <mergeCell ref="C105:F105"/>
    <mergeCell ref="G105:H105"/>
    <mergeCell ref="I105:J105"/>
    <mergeCell ref="K105:L105"/>
    <mergeCell ref="M105:N105"/>
    <mergeCell ref="O105:P105"/>
    <mergeCell ref="Q105:R105"/>
    <mergeCell ref="S105:T105"/>
    <mergeCell ref="W105:X105"/>
    <mergeCell ref="U103:V103"/>
    <mergeCell ref="U104:V104"/>
    <mergeCell ref="U105:V105"/>
    <mergeCell ref="AR106:AS106"/>
    <mergeCell ref="C107:F107"/>
    <mergeCell ref="G107:H107"/>
    <mergeCell ref="I107:J107"/>
    <mergeCell ref="K104:L104"/>
    <mergeCell ref="M104:N104"/>
    <mergeCell ref="O104:P104"/>
    <mergeCell ref="Q104:R104"/>
    <mergeCell ref="S104:T104"/>
    <mergeCell ref="W104:X104"/>
    <mergeCell ref="Z104:AC104"/>
    <mergeCell ref="AD104:AG104"/>
    <mergeCell ref="AH104:AI104"/>
    <mergeCell ref="AJ104:AK104"/>
    <mergeCell ref="AL104:AM104"/>
    <mergeCell ref="AN104:AO104"/>
    <mergeCell ref="AP104:AQ104"/>
    <mergeCell ref="AR104:AS104"/>
    <mergeCell ref="Z105:AC105"/>
    <mergeCell ref="AD105:AG105"/>
    <mergeCell ref="AH105:AI105"/>
    <mergeCell ref="AJ105:AK105"/>
    <mergeCell ref="AL105:AM105"/>
    <mergeCell ref="AN105:AO105"/>
    <mergeCell ref="AP105:AQ105"/>
    <mergeCell ref="AR105:AS105"/>
    <mergeCell ref="C106:F106"/>
    <mergeCell ref="G106:H106"/>
    <mergeCell ref="I106:J106"/>
    <mergeCell ref="K106:L106"/>
    <mergeCell ref="M106:N106"/>
    <mergeCell ref="O106:P106"/>
    <mergeCell ref="Q106:R106"/>
    <mergeCell ref="S106:T106"/>
    <mergeCell ref="W106:X106"/>
    <mergeCell ref="Z106:AC106"/>
    <mergeCell ref="AD106:AG106"/>
    <mergeCell ref="AH106:AI106"/>
    <mergeCell ref="AJ106:AK106"/>
    <mergeCell ref="AL106:AM106"/>
    <mergeCell ref="AN106:AO106"/>
    <mergeCell ref="AP106:AQ106"/>
    <mergeCell ref="C108:F108"/>
    <mergeCell ref="G108:H108"/>
    <mergeCell ref="I108:J108"/>
    <mergeCell ref="K108:L108"/>
    <mergeCell ref="M108:N108"/>
    <mergeCell ref="O108:P108"/>
    <mergeCell ref="Q108:R108"/>
    <mergeCell ref="S108:T108"/>
    <mergeCell ref="W108:X108"/>
    <mergeCell ref="U106:V106"/>
    <mergeCell ref="U107:V107"/>
    <mergeCell ref="U108:V108"/>
    <mergeCell ref="AR109:AS109"/>
    <mergeCell ref="C110:F110"/>
    <mergeCell ref="G110:H110"/>
    <mergeCell ref="I110:J110"/>
    <mergeCell ref="K107:L107"/>
    <mergeCell ref="M107:N107"/>
    <mergeCell ref="O107:P107"/>
    <mergeCell ref="Q107:R107"/>
    <mergeCell ref="S107:T107"/>
    <mergeCell ref="W107:X107"/>
    <mergeCell ref="Z107:AC107"/>
    <mergeCell ref="AD107:AG107"/>
    <mergeCell ref="AH107:AI107"/>
    <mergeCell ref="AJ107:AK107"/>
    <mergeCell ref="AL107:AM107"/>
    <mergeCell ref="AN107:AO107"/>
    <mergeCell ref="AP107:AQ107"/>
    <mergeCell ref="AR107:AS107"/>
    <mergeCell ref="Z108:AC108"/>
    <mergeCell ref="AD108:AG108"/>
    <mergeCell ref="AH108:AI108"/>
    <mergeCell ref="AJ108:AK108"/>
    <mergeCell ref="AL108:AM108"/>
    <mergeCell ref="AN108:AO108"/>
    <mergeCell ref="AP108:AQ108"/>
    <mergeCell ref="AR108:AS108"/>
    <mergeCell ref="C109:F109"/>
    <mergeCell ref="G109:H109"/>
    <mergeCell ref="I109:J109"/>
    <mergeCell ref="K109:L109"/>
    <mergeCell ref="M109:N109"/>
    <mergeCell ref="O109:P109"/>
    <mergeCell ref="Q109:R109"/>
    <mergeCell ref="S109:T109"/>
    <mergeCell ref="W109:X109"/>
    <mergeCell ref="Z109:AC109"/>
    <mergeCell ref="AD109:AG109"/>
    <mergeCell ref="AH109:AI109"/>
    <mergeCell ref="AJ109:AK109"/>
    <mergeCell ref="AL109:AM109"/>
    <mergeCell ref="AN109:AO109"/>
    <mergeCell ref="AP109:AQ109"/>
    <mergeCell ref="C111:F111"/>
    <mergeCell ref="G111:H111"/>
    <mergeCell ref="I111:J111"/>
    <mergeCell ref="K111:L111"/>
    <mergeCell ref="M111:N111"/>
    <mergeCell ref="O111:P111"/>
    <mergeCell ref="Q111:R111"/>
    <mergeCell ref="S111:T111"/>
    <mergeCell ref="W111:X111"/>
    <mergeCell ref="U109:V109"/>
    <mergeCell ref="U110:V110"/>
    <mergeCell ref="U111:V111"/>
    <mergeCell ref="AR112:AS112"/>
    <mergeCell ref="C113:F113"/>
    <mergeCell ref="G113:H113"/>
    <mergeCell ref="I113:J113"/>
    <mergeCell ref="K110:L110"/>
    <mergeCell ref="M110:N110"/>
    <mergeCell ref="O110:P110"/>
    <mergeCell ref="Q110:R110"/>
    <mergeCell ref="S110:T110"/>
    <mergeCell ref="W110:X110"/>
    <mergeCell ref="Z110:AC110"/>
    <mergeCell ref="AD110:AG110"/>
    <mergeCell ref="AH110:AI110"/>
    <mergeCell ref="AJ110:AK110"/>
    <mergeCell ref="AL110:AM110"/>
    <mergeCell ref="AN110:AO110"/>
    <mergeCell ref="AP110:AQ110"/>
    <mergeCell ref="AR110:AS110"/>
    <mergeCell ref="Z111:AC111"/>
    <mergeCell ref="AD111:AG111"/>
    <mergeCell ref="AH111:AI111"/>
    <mergeCell ref="AJ111:AK111"/>
    <mergeCell ref="AL111:AM111"/>
    <mergeCell ref="AN111:AO111"/>
    <mergeCell ref="AP111:AQ111"/>
    <mergeCell ref="AR111:AS111"/>
    <mergeCell ref="C112:F112"/>
    <mergeCell ref="G112:H112"/>
    <mergeCell ref="I112:J112"/>
    <mergeCell ref="K112:L112"/>
    <mergeCell ref="M112:N112"/>
    <mergeCell ref="O112:P112"/>
    <mergeCell ref="Q112:R112"/>
    <mergeCell ref="S112:T112"/>
    <mergeCell ref="W112:X112"/>
    <mergeCell ref="Z112:AC112"/>
    <mergeCell ref="AD112:AG112"/>
    <mergeCell ref="AH112:AI112"/>
    <mergeCell ref="AJ112:AK112"/>
    <mergeCell ref="AL112:AM112"/>
    <mergeCell ref="AN112:AO112"/>
    <mergeCell ref="AP112:AQ112"/>
    <mergeCell ref="C114:F114"/>
    <mergeCell ref="G114:H114"/>
    <mergeCell ref="I114:J114"/>
    <mergeCell ref="K114:L114"/>
    <mergeCell ref="M114:N114"/>
    <mergeCell ref="O114:P114"/>
    <mergeCell ref="Q114:R114"/>
    <mergeCell ref="S114:T114"/>
    <mergeCell ref="W114:X114"/>
    <mergeCell ref="U112:V112"/>
    <mergeCell ref="U113:V113"/>
    <mergeCell ref="U114:V114"/>
    <mergeCell ref="AR115:AS115"/>
    <mergeCell ref="C116:F116"/>
    <mergeCell ref="G116:H116"/>
    <mergeCell ref="I116:J116"/>
    <mergeCell ref="K113:L113"/>
    <mergeCell ref="M113:N113"/>
    <mergeCell ref="O113:P113"/>
    <mergeCell ref="Q113:R113"/>
    <mergeCell ref="S113:T113"/>
    <mergeCell ref="W113:X113"/>
    <mergeCell ref="Z113:AC113"/>
    <mergeCell ref="AD113:AG113"/>
    <mergeCell ref="AH113:AI113"/>
    <mergeCell ref="AJ113:AK113"/>
    <mergeCell ref="AL113:AM113"/>
    <mergeCell ref="AN113:AO113"/>
    <mergeCell ref="AP113:AQ113"/>
    <mergeCell ref="AR113:AS113"/>
    <mergeCell ref="Z114:AC114"/>
    <mergeCell ref="AD114:AG114"/>
    <mergeCell ref="AH114:AI114"/>
    <mergeCell ref="AJ114:AK114"/>
    <mergeCell ref="AL114:AM114"/>
    <mergeCell ref="AN114:AO114"/>
    <mergeCell ref="AP114:AQ114"/>
    <mergeCell ref="AR114:AS114"/>
    <mergeCell ref="C115:F115"/>
    <mergeCell ref="G115:H115"/>
    <mergeCell ref="I115:J115"/>
    <mergeCell ref="K115:L115"/>
    <mergeCell ref="M115:N115"/>
    <mergeCell ref="O115:P115"/>
    <mergeCell ref="Q115:R115"/>
    <mergeCell ref="S115:T115"/>
    <mergeCell ref="W115:X115"/>
    <mergeCell ref="Z115:AC115"/>
    <mergeCell ref="AD115:AG115"/>
    <mergeCell ref="AH115:AI115"/>
    <mergeCell ref="AJ115:AK115"/>
    <mergeCell ref="AL115:AM115"/>
    <mergeCell ref="AN115:AO115"/>
    <mergeCell ref="AP115:AQ115"/>
    <mergeCell ref="C117:F117"/>
    <mergeCell ref="G117:H117"/>
    <mergeCell ref="I117:J117"/>
    <mergeCell ref="K117:L117"/>
    <mergeCell ref="M117:N117"/>
    <mergeCell ref="O117:P117"/>
    <mergeCell ref="Q117:R117"/>
    <mergeCell ref="S117:T117"/>
    <mergeCell ref="W117:X117"/>
    <mergeCell ref="U115:V115"/>
    <mergeCell ref="U116:V116"/>
    <mergeCell ref="U117:V117"/>
    <mergeCell ref="AR118:AS118"/>
    <mergeCell ref="C119:F119"/>
    <mergeCell ref="G119:H119"/>
    <mergeCell ref="I119:J119"/>
    <mergeCell ref="K116:L116"/>
    <mergeCell ref="M116:N116"/>
    <mergeCell ref="O116:P116"/>
    <mergeCell ref="Q116:R116"/>
    <mergeCell ref="S116:T116"/>
    <mergeCell ref="W116:X116"/>
    <mergeCell ref="Z116:AC116"/>
    <mergeCell ref="AD116:AG116"/>
    <mergeCell ref="AH116:AI116"/>
    <mergeCell ref="AJ116:AK116"/>
    <mergeCell ref="AL116:AM116"/>
    <mergeCell ref="AN116:AO116"/>
    <mergeCell ref="AP116:AQ116"/>
    <mergeCell ref="AR116:AS116"/>
    <mergeCell ref="Z117:AC117"/>
    <mergeCell ref="AD117:AG117"/>
    <mergeCell ref="AH117:AI117"/>
    <mergeCell ref="AJ117:AK117"/>
    <mergeCell ref="AL117:AM117"/>
    <mergeCell ref="AN117:AO117"/>
    <mergeCell ref="AP117:AQ117"/>
    <mergeCell ref="AR117:AS117"/>
    <mergeCell ref="C118:F118"/>
    <mergeCell ref="G118:H118"/>
    <mergeCell ref="I118:J118"/>
    <mergeCell ref="K118:L118"/>
    <mergeCell ref="M118:N118"/>
    <mergeCell ref="O118:P118"/>
    <mergeCell ref="Q118:R118"/>
    <mergeCell ref="S118:T118"/>
    <mergeCell ref="W118:X118"/>
    <mergeCell ref="Z118:AC118"/>
    <mergeCell ref="AD118:AG118"/>
    <mergeCell ref="AH118:AI118"/>
    <mergeCell ref="AJ118:AK118"/>
    <mergeCell ref="AL118:AM118"/>
    <mergeCell ref="AN118:AO118"/>
    <mergeCell ref="AP118:AQ118"/>
    <mergeCell ref="C120:F120"/>
    <mergeCell ref="G120:H120"/>
    <mergeCell ref="I120:J120"/>
    <mergeCell ref="K120:L120"/>
    <mergeCell ref="M120:N120"/>
    <mergeCell ref="O120:P120"/>
    <mergeCell ref="Q120:R120"/>
    <mergeCell ref="S120:T120"/>
    <mergeCell ref="W120:X120"/>
    <mergeCell ref="U118:V118"/>
    <mergeCell ref="U119:V119"/>
    <mergeCell ref="U120:V120"/>
    <mergeCell ref="AR121:AS121"/>
    <mergeCell ref="C122:F122"/>
    <mergeCell ref="G122:H122"/>
    <mergeCell ref="I122:J122"/>
    <mergeCell ref="K119:L119"/>
    <mergeCell ref="M119:N119"/>
    <mergeCell ref="O119:P119"/>
    <mergeCell ref="Q119:R119"/>
    <mergeCell ref="S119:T119"/>
    <mergeCell ref="W119:X119"/>
    <mergeCell ref="Z119:AC119"/>
    <mergeCell ref="AD119:AG119"/>
    <mergeCell ref="AH119:AI119"/>
    <mergeCell ref="AJ119:AK119"/>
    <mergeCell ref="AL119:AM119"/>
    <mergeCell ref="AN119:AO119"/>
    <mergeCell ref="AP119:AQ119"/>
    <mergeCell ref="AR119:AS119"/>
    <mergeCell ref="Z120:AC120"/>
    <mergeCell ref="AD120:AG120"/>
    <mergeCell ref="AH120:AI120"/>
    <mergeCell ref="AJ120:AK120"/>
    <mergeCell ref="AL120:AM120"/>
    <mergeCell ref="AN120:AO120"/>
    <mergeCell ref="AP120:AQ120"/>
    <mergeCell ref="AR120:AS120"/>
    <mergeCell ref="C121:F121"/>
    <mergeCell ref="G121:H121"/>
    <mergeCell ref="I121:J121"/>
    <mergeCell ref="K121:L121"/>
    <mergeCell ref="M121:N121"/>
    <mergeCell ref="O121:P121"/>
    <mergeCell ref="Q121:R121"/>
    <mergeCell ref="S121:T121"/>
    <mergeCell ref="W121:X121"/>
    <mergeCell ref="Z121:AC121"/>
    <mergeCell ref="AD121:AG121"/>
    <mergeCell ref="AH121:AI121"/>
    <mergeCell ref="AJ121:AK121"/>
    <mergeCell ref="AL121:AM121"/>
    <mergeCell ref="AN121:AO121"/>
    <mergeCell ref="AP121:AQ121"/>
    <mergeCell ref="C123:F123"/>
    <mergeCell ref="G123:H123"/>
    <mergeCell ref="I123:J123"/>
    <mergeCell ref="K123:L123"/>
    <mergeCell ref="M123:N123"/>
    <mergeCell ref="O123:P123"/>
    <mergeCell ref="Q123:R123"/>
    <mergeCell ref="S123:T123"/>
    <mergeCell ref="W123:X123"/>
    <mergeCell ref="U121:V121"/>
    <mergeCell ref="U122:V122"/>
    <mergeCell ref="U123:V123"/>
    <mergeCell ref="AR124:AS124"/>
    <mergeCell ref="C125:F125"/>
    <mergeCell ref="G125:H125"/>
    <mergeCell ref="I125:J125"/>
    <mergeCell ref="K122:L122"/>
    <mergeCell ref="M122:N122"/>
    <mergeCell ref="O122:P122"/>
    <mergeCell ref="Q122:R122"/>
    <mergeCell ref="S122:T122"/>
    <mergeCell ref="W122:X122"/>
    <mergeCell ref="Z122:AC122"/>
    <mergeCell ref="AD122:AG122"/>
    <mergeCell ref="AH122:AI122"/>
    <mergeCell ref="AJ122:AK122"/>
    <mergeCell ref="AL122:AM122"/>
    <mergeCell ref="AN122:AO122"/>
    <mergeCell ref="AP122:AQ122"/>
    <mergeCell ref="AR122:AS122"/>
    <mergeCell ref="Z123:AC123"/>
    <mergeCell ref="AD123:AG123"/>
    <mergeCell ref="AH123:AI123"/>
    <mergeCell ref="AJ123:AK123"/>
    <mergeCell ref="AL123:AM123"/>
    <mergeCell ref="AN123:AO123"/>
    <mergeCell ref="AP123:AQ123"/>
    <mergeCell ref="AR123:AS123"/>
    <mergeCell ref="C124:F124"/>
    <mergeCell ref="G124:H124"/>
    <mergeCell ref="I124:J124"/>
    <mergeCell ref="K124:L124"/>
    <mergeCell ref="M124:N124"/>
    <mergeCell ref="O124:P124"/>
    <mergeCell ref="Q124:R124"/>
    <mergeCell ref="S124:T124"/>
    <mergeCell ref="W124:X124"/>
    <mergeCell ref="Z124:AC124"/>
    <mergeCell ref="AD124:AG124"/>
    <mergeCell ref="AH124:AI124"/>
    <mergeCell ref="AJ124:AK124"/>
    <mergeCell ref="AL124:AM124"/>
    <mergeCell ref="AN124:AO124"/>
    <mergeCell ref="AP124:AQ124"/>
    <mergeCell ref="C126:F126"/>
    <mergeCell ref="G126:H126"/>
    <mergeCell ref="I126:J126"/>
    <mergeCell ref="K126:L126"/>
    <mergeCell ref="M126:N126"/>
    <mergeCell ref="O126:P126"/>
    <mergeCell ref="Q126:R126"/>
    <mergeCell ref="S126:T126"/>
    <mergeCell ref="W126:X126"/>
    <mergeCell ref="U124:V124"/>
    <mergeCell ref="U125:V125"/>
    <mergeCell ref="U126:V126"/>
    <mergeCell ref="AR127:AS127"/>
    <mergeCell ref="C128:F128"/>
    <mergeCell ref="G128:H128"/>
    <mergeCell ref="I128:J128"/>
    <mergeCell ref="K125:L125"/>
    <mergeCell ref="M125:N125"/>
    <mergeCell ref="O125:P125"/>
    <mergeCell ref="Q125:R125"/>
    <mergeCell ref="S125:T125"/>
    <mergeCell ref="W125:X125"/>
    <mergeCell ref="Z125:AC125"/>
    <mergeCell ref="AD125:AG125"/>
    <mergeCell ref="AH125:AI125"/>
    <mergeCell ref="AJ125:AK125"/>
    <mergeCell ref="AL125:AM125"/>
    <mergeCell ref="AN125:AO125"/>
    <mergeCell ref="AP125:AQ125"/>
    <mergeCell ref="AR125:AS125"/>
    <mergeCell ref="Z126:AC126"/>
    <mergeCell ref="AD126:AG126"/>
    <mergeCell ref="AH126:AI126"/>
    <mergeCell ref="AJ126:AK126"/>
    <mergeCell ref="AL126:AM126"/>
    <mergeCell ref="AN126:AO126"/>
    <mergeCell ref="AP126:AQ126"/>
    <mergeCell ref="AR126:AS126"/>
    <mergeCell ref="C127:F127"/>
    <mergeCell ref="G127:H127"/>
    <mergeCell ref="I127:J127"/>
    <mergeCell ref="K127:L127"/>
    <mergeCell ref="M127:N127"/>
    <mergeCell ref="O127:P127"/>
    <mergeCell ref="Q127:R127"/>
    <mergeCell ref="S127:T127"/>
    <mergeCell ref="W127:X127"/>
    <mergeCell ref="Z127:AC127"/>
    <mergeCell ref="AD127:AG127"/>
    <mergeCell ref="AH127:AI127"/>
    <mergeCell ref="AJ127:AK127"/>
    <mergeCell ref="AL127:AM127"/>
    <mergeCell ref="AN127:AO127"/>
    <mergeCell ref="AP127:AQ127"/>
    <mergeCell ref="C129:F129"/>
    <mergeCell ref="G129:H129"/>
    <mergeCell ref="I129:J129"/>
    <mergeCell ref="K129:L129"/>
    <mergeCell ref="M129:N129"/>
    <mergeCell ref="O129:P129"/>
    <mergeCell ref="Q129:R129"/>
    <mergeCell ref="S129:T129"/>
    <mergeCell ref="W129:X129"/>
    <mergeCell ref="U127:V127"/>
    <mergeCell ref="U128:V128"/>
    <mergeCell ref="U129:V129"/>
    <mergeCell ref="AR130:AS130"/>
    <mergeCell ref="C131:F131"/>
    <mergeCell ref="G131:H131"/>
    <mergeCell ref="I131:J131"/>
    <mergeCell ref="K128:L128"/>
    <mergeCell ref="M128:N128"/>
    <mergeCell ref="O128:P128"/>
    <mergeCell ref="Q128:R128"/>
    <mergeCell ref="S128:T128"/>
    <mergeCell ref="W128:X128"/>
    <mergeCell ref="Z128:AC128"/>
    <mergeCell ref="AD128:AG128"/>
    <mergeCell ref="AH128:AI128"/>
    <mergeCell ref="AJ128:AK128"/>
    <mergeCell ref="AL128:AM128"/>
    <mergeCell ref="AN128:AO128"/>
    <mergeCell ref="AP128:AQ128"/>
    <mergeCell ref="AR128:AS128"/>
    <mergeCell ref="Z129:AC129"/>
    <mergeCell ref="AD129:AG129"/>
    <mergeCell ref="AH129:AI129"/>
    <mergeCell ref="AJ129:AK129"/>
    <mergeCell ref="AL129:AM129"/>
    <mergeCell ref="AN129:AO129"/>
    <mergeCell ref="AP129:AQ129"/>
    <mergeCell ref="AR129:AS129"/>
    <mergeCell ref="C130:F130"/>
    <mergeCell ref="G130:H130"/>
    <mergeCell ref="I130:J130"/>
    <mergeCell ref="K130:L130"/>
    <mergeCell ref="M130:N130"/>
    <mergeCell ref="O130:P130"/>
    <mergeCell ref="Q130:R130"/>
    <mergeCell ref="S130:T130"/>
    <mergeCell ref="W130:X130"/>
    <mergeCell ref="Z130:AC130"/>
    <mergeCell ref="AD130:AG130"/>
    <mergeCell ref="AH130:AI130"/>
    <mergeCell ref="AJ130:AK130"/>
    <mergeCell ref="AL130:AM130"/>
    <mergeCell ref="AN130:AO130"/>
    <mergeCell ref="AP130:AQ130"/>
    <mergeCell ref="C132:F132"/>
    <mergeCell ref="G132:H132"/>
    <mergeCell ref="I132:J132"/>
    <mergeCell ref="K132:L132"/>
    <mergeCell ref="M132:N132"/>
    <mergeCell ref="O132:P132"/>
    <mergeCell ref="Q132:R132"/>
    <mergeCell ref="S132:T132"/>
    <mergeCell ref="W132:X132"/>
    <mergeCell ref="U130:V130"/>
    <mergeCell ref="U131:V131"/>
    <mergeCell ref="U132:V132"/>
    <mergeCell ref="AR133:AS133"/>
    <mergeCell ref="C134:F134"/>
    <mergeCell ref="G134:H134"/>
    <mergeCell ref="I134:J134"/>
    <mergeCell ref="K131:L131"/>
    <mergeCell ref="M131:N131"/>
    <mergeCell ref="O131:P131"/>
    <mergeCell ref="Q131:R131"/>
    <mergeCell ref="S131:T131"/>
    <mergeCell ref="W131:X131"/>
    <mergeCell ref="Z131:AC131"/>
    <mergeCell ref="AD131:AG131"/>
    <mergeCell ref="AH131:AI131"/>
    <mergeCell ref="AJ131:AK131"/>
    <mergeCell ref="AL131:AM131"/>
    <mergeCell ref="AN131:AO131"/>
    <mergeCell ref="AP131:AQ131"/>
    <mergeCell ref="AR131:AS131"/>
    <mergeCell ref="Z132:AC132"/>
    <mergeCell ref="AD132:AG132"/>
    <mergeCell ref="AH132:AI132"/>
    <mergeCell ref="AJ132:AK132"/>
    <mergeCell ref="AL132:AM132"/>
    <mergeCell ref="AN132:AO132"/>
    <mergeCell ref="AP132:AQ132"/>
    <mergeCell ref="AR132:AS132"/>
    <mergeCell ref="C133:F133"/>
    <mergeCell ref="G133:H133"/>
    <mergeCell ref="I133:J133"/>
    <mergeCell ref="K133:L133"/>
    <mergeCell ref="M133:N133"/>
    <mergeCell ref="O133:P133"/>
    <mergeCell ref="Q133:R133"/>
    <mergeCell ref="S133:T133"/>
    <mergeCell ref="W133:X133"/>
    <mergeCell ref="Z133:AC133"/>
    <mergeCell ref="AD133:AG133"/>
    <mergeCell ref="AH133:AI133"/>
    <mergeCell ref="AJ133:AK133"/>
    <mergeCell ref="AL133:AM133"/>
    <mergeCell ref="AN133:AO133"/>
    <mergeCell ref="AP133:AQ133"/>
    <mergeCell ref="C135:F135"/>
    <mergeCell ref="G135:H135"/>
    <mergeCell ref="I135:J135"/>
    <mergeCell ref="K135:L135"/>
    <mergeCell ref="M135:N135"/>
    <mergeCell ref="O135:P135"/>
    <mergeCell ref="Q135:R135"/>
    <mergeCell ref="S135:T135"/>
    <mergeCell ref="W135:X135"/>
    <mergeCell ref="U133:V133"/>
    <mergeCell ref="U134:V134"/>
    <mergeCell ref="U135:V135"/>
    <mergeCell ref="AR136:AS136"/>
    <mergeCell ref="C137:F137"/>
    <mergeCell ref="G137:H137"/>
    <mergeCell ref="I137:J137"/>
    <mergeCell ref="K134:L134"/>
    <mergeCell ref="M134:N134"/>
    <mergeCell ref="O134:P134"/>
    <mergeCell ref="Q134:R134"/>
    <mergeCell ref="S134:T134"/>
    <mergeCell ref="W134:X134"/>
    <mergeCell ref="Z134:AC134"/>
    <mergeCell ref="AD134:AG134"/>
    <mergeCell ref="AH134:AI134"/>
    <mergeCell ref="AJ134:AK134"/>
    <mergeCell ref="AL134:AM134"/>
    <mergeCell ref="AN134:AO134"/>
    <mergeCell ref="AP134:AQ134"/>
    <mergeCell ref="AR134:AS134"/>
    <mergeCell ref="Z135:AC135"/>
    <mergeCell ref="AD135:AG135"/>
    <mergeCell ref="AH135:AI135"/>
    <mergeCell ref="AJ135:AK135"/>
    <mergeCell ref="AL135:AM135"/>
    <mergeCell ref="AN135:AO135"/>
    <mergeCell ref="AP135:AQ135"/>
    <mergeCell ref="AR135:AS135"/>
    <mergeCell ref="C136:F136"/>
    <mergeCell ref="G136:H136"/>
    <mergeCell ref="I136:J136"/>
    <mergeCell ref="K136:L136"/>
    <mergeCell ref="M136:N136"/>
    <mergeCell ref="O136:P136"/>
    <mergeCell ref="Q136:R136"/>
    <mergeCell ref="S136:T136"/>
    <mergeCell ref="W136:X136"/>
    <mergeCell ref="Z136:AC136"/>
    <mergeCell ref="AD136:AG136"/>
    <mergeCell ref="AH136:AI136"/>
    <mergeCell ref="AJ136:AK136"/>
    <mergeCell ref="AL136:AM136"/>
    <mergeCell ref="AN136:AO136"/>
    <mergeCell ref="AP136:AQ136"/>
    <mergeCell ref="C138:F138"/>
    <mergeCell ref="G138:H138"/>
    <mergeCell ref="I138:J138"/>
    <mergeCell ref="K138:L138"/>
    <mergeCell ref="M138:N138"/>
    <mergeCell ref="O138:P138"/>
    <mergeCell ref="Q138:R138"/>
    <mergeCell ref="S138:T138"/>
    <mergeCell ref="W138:X138"/>
    <mergeCell ref="U136:V136"/>
    <mergeCell ref="U137:V137"/>
    <mergeCell ref="U138:V138"/>
    <mergeCell ref="AR139:AS139"/>
    <mergeCell ref="C140:F140"/>
    <mergeCell ref="G140:H140"/>
    <mergeCell ref="I140:J140"/>
    <mergeCell ref="K137:L137"/>
    <mergeCell ref="M137:N137"/>
    <mergeCell ref="O137:P137"/>
    <mergeCell ref="Q137:R137"/>
    <mergeCell ref="S137:T137"/>
    <mergeCell ref="W137:X137"/>
    <mergeCell ref="Z137:AC137"/>
    <mergeCell ref="AD137:AG137"/>
    <mergeCell ref="AH137:AI137"/>
    <mergeCell ref="AJ137:AK137"/>
    <mergeCell ref="AL137:AM137"/>
    <mergeCell ref="AN137:AO137"/>
    <mergeCell ref="AP137:AQ137"/>
    <mergeCell ref="AR137:AS137"/>
    <mergeCell ref="Z138:AC138"/>
    <mergeCell ref="AD138:AG138"/>
    <mergeCell ref="AH138:AI138"/>
    <mergeCell ref="AJ138:AK138"/>
    <mergeCell ref="AL138:AM138"/>
    <mergeCell ref="AN138:AO138"/>
    <mergeCell ref="AP138:AQ138"/>
    <mergeCell ref="AR138:AS138"/>
    <mergeCell ref="C139:F139"/>
    <mergeCell ref="G139:H139"/>
    <mergeCell ref="I139:J139"/>
    <mergeCell ref="K139:L139"/>
    <mergeCell ref="M139:N139"/>
    <mergeCell ref="O139:P139"/>
    <mergeCell ref="Q139:R139"/>
    <mergeCell ref="S139:T139"/>
    <mergeCell ref="W139:X139"/>
    <mergeCell ref="Z139:AC139"/>
    <mergeCell ref="AD139:AG139"/>
    <mergeCell ref="AH139:AI139"/>
    <mergeCell ref="AJ139:AK139"/>
    <mergeCell ref="AL139:AM139"/>
    <mergeCell ref="AN139:AO139"/>
    <mergeCell ref="AP139:AQ139"/>
    <mergeCell ref="C141:F141"/>
    <mergeCell ref="G141:H141"/>
    <mergeCell ref="I141:J141"/>
    <mergeCell ref="K141:L141"/>
    <mergeCell ref="M141:N141"/>
    <mergeCell ref="O141:P141"/>
    <mergeCell ref="Q141:R141"/>
    <mergeCell ref="S141:T141"/>
    <mergeCell ref="W141:X141"/>
    <mergeCell ref="U139:V139"/>
    <mergeCell ref="U140:V140"/>
    <mergeCell ref="U141:V141"/>
    <mergeCell ref="AR142:AS142"/>
    <mergeCell ref="C143:F143"/>
    <mergeCell ref="G143:H143"/>
    <mergeCell ref="I143:J143"/>
    <mergeCell ref="K140:L140"/>
    <mergeCell ref="M140:N140"/>
    <mergeCell ref="O140:P140"/>
    <mergeCell ref="Q140:R140"/>
    <mergeCell ref="S140:T140"/>
    <mergeCell ref="W140:X140"/>
    <mergeCell ref="Z140:AC140"/>
    <mergeCell ref="AD140:AG140"/>
    <mergeCell ref="AH140:AI140"/>
    <mergeCell ref="AJ140:AK140"/>
    <mergeCell ref="AL140:AM140"/>
    <mergeCell ref="AN140:AO140"/>
    <mergeCell ref="AP140:AQ140"/>
    <mergeCell ref="AR140:AS140"/>
    <mergeCell ref="Z141:AC141"/>
    <mergeCell ref="AD141:AG141"/>
    <mergeCell ref="AH141:AI141"/>
    <mergeCell ref="AJ141:AK141"/>
    <mergeCell ref="AL141:AM141"/>
    <mergeCell ref="AN141:AO141"/>
    <mergeCell ref="AP141:AQ141"/>
    <mergeCell ref="AR141:AS141"/>
    <mergeCell ref="C142:F142"/>
    <mergeCell ref="G142:H142"/>
    <mergeCell ref="I142:J142"/>
    <mergeCell ref="K142:L142"/>
    <mergeCell ref="M142:N142"/>
    <mergeCell ref="O142:P142"/>
    <mergeCell ref="Q142:R142"/>
    <mergeCell ref="S142:T142"/>
    <mergeCell ref="W142:X142"/>
    <mergeCell ref="Z142:AC142"/>
    <mergeCell ref="AD142:AG142"/>
    <mergeCell ref="AH142:AI142"/>
    <mergeCell ref="AJ142:AK142"/>
    <mergeCell ref="AL142:AM142"/>
    <mergeCell ref="AN142:AO142"/>
    <mergeCell ref="AP142:AQ142"/>
    <mergeCell ref="C144:F144"/>
    <mergeCell ref="G144:H144"/>
    <mergeCell ref="I144:J144"/>
    <mergeCell ref="K144:L144"/>
    <mergeCell ref="M144:N144"/>
    <mergeCell ref="O144:P144"/>
    <mergeCell ref="Q144:R144"/>
    <mergeCell ref="S144:T144"/>
    <mergeCell ref="W144:X144"/>
    <mergeCell ref="U142:V142"/>
    <mergeCell ref="U143:V143"/>
    <mergeCell ref="U144:V144"/>
    <mergeCell ref="AR145:AS145"/>
    <mergeCell ref="C146:F146"/>
    <mergeCell ref="G146:H146"/>
    <mergeCell ref="I146:J146"/>
    <mergeCell ref="K143:L143"/>
    <mergeCell ref="M143:N143"/>
    <mergeCell ref="O143:P143"/>
    <mergeCell ref="Q143:R143"/>
    <mergeCell ref="S143:T143"/>
    <mergeCell ref="W143:X143"/>
    <mergeCell ref="Z143:AC143"/>
    <mergeCell ref="AD143:AG143"/>
    <mergeCell ref="AH143:AI143"/>
    <mergeCell ref="AJ143:AK143"/>
    <mergeCell ref="AL143:AM143"/>
    <mergeCell ref="AN143:AO143"/>
    <mergeCell ref="AP143:AQ143"/>
    <mergeCell ref="AR143:AS143"/>
    <mergeCell ref="Z144:AC144"/>
    <mergeCell ref="AD144:AG144"/>
    <mergeCell ref="AH144:AI144"/>
    <mergeCell ref="AJ144:AK144"/>
    <mergeCell ref="AL144:AM144"/>
    <mergeCell ref="AN144:AO144"/>
    <mergeCell ref="AP144:AQ144"/>
    <mergeCell ref="AR144:AS144"/>
    <mergeCell ref="C145:F145"/>
    <mergeCell ref="G145:H145"/>
    <mergeCell ref="I145:J145"/>
    <mergeCell ref="K145:L145"/>
    <mergeCell ref="M145:N145"/>
    <mergeCell ref="O145:P145"/>
    <mergeCell ref="Q145:R145"/>
    <mergeCell ref="S145:T145"/>
    <mergeCell ref="W145:X145"/>
    <mergeCell ref="Z145:AC145"/>
    <mergeCell ref="AD145:AG145"/>
    <mergeCell ref="AH145:AI145"/>
    <mergeCell ref="AJ145:AK145"/>
    <mergeCell ref="AL145:AM145"/>
    <mergeCell ref="AN145:AO145"/>
    <mergeCell ref="AP145:AQ145"/>
    <mergeCell ref="C147:F147"/>
    <mergeCell ref="G147:H147"/>
    <mergeCell ref="I147:J147"/>
    <mergeCell ref="K147:L147"/>
    <mergeCell ref="M147:N147"/>
    <mergeCell ref="O147:P147"/>
    <mergeCell ref="Q147:R147"/>
    <mergeCell ref="S147:T147"/>
    <mergeCell ref="W147:X147"/>
    <mergeCell ref="U145:V145"/>
    <mergeCell ref="U146:V146"/>
    <mergeCell ref="U147:V147"/>
    <mergeCell ref="AR148:AS148"/>
    <mergeCell ref="C149:F149"/>
    <mergeCell ref="G149:H149"/>
    <mergeCell ref="I149:J149"/>
    <mergeCell ref="K146:L146"/>
    <mergeCell ref="M146:N146"/>
    <mergeCell ref="O146:P146"/>
    <mergeCell ref="Q146:R146"/>
    <mergeCell ref="S146:T146"/>
    <mergeCell ref="W146:X146"/>
    <mergeCell ref="Z146:AC146"/>
    <mergeCell ref="AD146:AG146"/>
    <mergeCell ref="AH146:AI146"/>
    <mergeCell ref="AJ146:AK146"/>
    <mergeCell ref="AL146:AM146"/>
    <mergeCell ref="AN146:AO146"/>
    <mergeCell ref="AP146:AQ146"/>
    <mergeCell ref="AR146:AS146"/>
    <mergeCell ref="Z147:AC147"/>
    <mergeCell ref="AD147:AG147"/>
    <mergeCell ref="AH147:AI147"/>
    <mergeCell ref="AJ147:AK147"/>
    <mergeCell ref="AL147:AM147"/>
    <mergeCell ref="AN147:AO147"/>
    <mergeCell ref="AP147:AQ147"/>
    <mergeCell ref="AR147:AS147"/>
    <mergeCell ref="C148:F148"/>
    <mergeCell ref="G148:H148"/>
    <mergeCell ref="I148:J148"/>
    <mergeCell ref="K148:L148"/>
    <mergeCell ref="M148:N148"/>
    <mergeCell ref="O148:P148"/>
    <mergeCell ref="Q148:R148"/>
    <mergeCell ref="S148:T148"/>
    <mergeCell ref="W148:X148"/>
    <mergeCell ref="Z148:AC148"/>
    <mergeCell ref="AD148:AG148"/>
    <mergeCell ref="AH148:AI148"/>
    <mergeCell ref="AJ148:AK148"/>
    <mergeCell ref="AL148:AM148"/>
    <mergeCell ref="AN148:AO148"/>
    <mergeCell ref="AP148:AQ148"/>
    <mergeCell ref="C150:F150"/>
    <mergeCell ref="G150:H150"/>
    <mergeCell ref="I150:J150"/>
    <mergeCell ref="K150:L150"/>
    <mergeCell ref="M150:N150"/>
    <mergeCell ref="O150:P150"/>
    <mergeCell ref="Q150:R150"/>
    <mergeCell ref="S150:T150"/>
    <mergeCell ref="W150:X150"/>
    <mergeCell ref="U148:V148"/>
    <mergeCell ref="U149:V149"/>
    <mergeCell ref="U150:V150"/>
    <mergeCell ref="AR151:AS151"/>
    <mergeCell ref="C152:F152"/>
    <mergeCell ref="G152:H152"/>
    <mergeCell ref="I152:J152"/>
    <mergeCell ref="K149:L149"/>
    <mergeCell ref="M149:N149"/>
    <mergeCell ref="O149:P149"/>
    <mergeCell ref="Q149:R149"/>
    <mergeCell ref="S149:T149"/>
    <mergeCell ref="W149:X149"/>
    <mergeCell ref="Z149:AC149"/>
    <mergeCell ref="AD149:AG149"/>
    <mergeCell ref="AH149:AI149"/>
    <mergeCell ref="AJ149:AK149"/>
    <mergeCell ref="AL149:AM149"/>
    <mergeCell ref="AN149:AO149"/>
    <mergeCell ref="AP149:AQ149"/>
    <mergeCell ref="AR149:AS149"/>
    <mergeCell ref="Z150:AC150"/>
    <mergeCell ref="AD150:AG150"/>
    <mergeCell ref="AH150:AI150"/>
    <mergeCell ref="AJ150:AK150"/>
    <mergeCell ref="AL150:AM150"/>
    <mergeCell ref="AN150:AO150"/>
    <mergeCell ref="AP150:AQ150"/>
    <mergeCell ref="AR150:AS150"/>
    <mergeCell ref="C151:F151"/>
    <mergeCell ref="G151:H151"/>
    <mergeCell ref="I151:J151"/>
    <mergeCell ref="K151:L151"/>
    <mergeCell ref="M151:N151"/>
    <mergeCell ref="O151:P151"/>
    <mergeCell ref="Q151:R151"/>
    <mergeCell ref="S151:T151"/>
    <mergeCell ref="W151:X151"/>
    <mergeCell ref="Z151:AC151"/>
    <mergeCell ref="AD151:AG151"/>
    <mergeCell ref="AH151:AI151"/>
    <mergeCell ref="AJ151:AK151"/>
    <mergeCell ref="AL151:AM151"/>
    <mergeCell ref="AN151:AO151"/>
    <mergeCell ref="AP151:AQ151"/>
    <mergeCell ref="C153:F153"/>
    <mergeCell ref="G153:H153"/>
    <mergeCell ref="I153:J153"/>
    <mergeCell ref="K153:L153"/>
    <mergeCell ref="M153:N153"/>
    <mergeCell ref="O153:P153"/>
    <mergeCell ref="Q153:R153"/>
    <mergeCell ref="S153:T153"/>
    <mergeCell ref="W153:X153"/>
    <mergeCell ref="U151:V151"/>
    <mergeCell ref="U152:V152"/>
    <mergeCell ref="U153:V153"/>
    <mergeCell ref="AR154:AS154"/>
    <mergeCell ref="C155:F155"/>
    <mergeCell ref="G155:H155"/>
    <mergeCell ref="I155:J155"/>
    <mergeCell ref="K152:L152"/>
    <mergeCell ref="M152:N152"/>
    <mergeCell ref="O152:P152"/>
    <mergeCell ref="Q152:R152"/>
    <mergeCell ref="S152:T152"/>
    <mergeCell ref="W152:X152"/>
    <mergeCell ref="Z152:AC152"/>
    <mergeCell ref="AD152:AG152"/>
    <mergeCell ref="AH152:AI152"/>
    <mergeCell ref="AJ152:AK152"/>
    <mergeCell ref="AL152:AM152"/>
    <mergeCell ref="AN152:AO152"/>
    <mergeCell ref="AP152:AQ152"/>
    <mergeCell ref="AR152:AS152"/>
    <mergeCell ref="Z153:AC153"/>
    <mergeCell ref="AD153:AG153"/>
    <mergeCell ref="AH153:AI153"/>
    <mergeCell ref="AJ153:AK153"/>
    <mergeCell ref="AL153:AM153"/>
    <mergeCell ref="AN153:AO153"/>
    <mergeCell ref="AP153:AQ153"/>
    <mergeCell ref="AR153:AS153"/>
    <mergeCell ref="C154:F154"/>
    <mergeCell ref="G154:H154"/>
    <mergeCell ref="I154:J154"/>
    <mergeCell ref="K154:L154"/>
    <mergeCell ref="M154:N154"/>
    <mergeCell ref="O154:P154"/>
    <mergeCell ref="Q154:R154"/>
    <mergeCell ref="S154:T154"/>
    <mergeCell ref="W154:X154"/>
    <mergeCell ref="Z154:AC154"/>
    <mergeCell ref="AD154:AG154"/>
    <mergeCell ref="AH154:AI154"/>
    <mergeCell ref="AJ154:AK154"/>
    <mergeCell ref="AL154:AM154"/>
    <mergeCell ref="AN154:AO154"/>
    <mergeCell ref="AP154:AQ154"/>
    <mergeCell ref="C156:F156"/>
    <mergeCell ref="G156:H156"/>
    <mergeCell ref="I156:J156"/>
    <mergeCell ref="K156:L156"/>
    <mergeCell ref="M156:N156"/>
    <mergeCell ref="O156:P156"/>
    <mergeCell ref="Q156:R156"/>
    <mergeCell ref="S156:T156"/>
    <mergeCell ref="W156:X156"/>
    <mergeCell ref="U154:V154"/>
    <mergeCell ref="U155:V155"/>
    <mergeCell ref="U156:V156"/>
    <mergeCell ref="AR157:AS157"/>
    <mergeCell ref="C158:F158"/>
    <mergeCell ref="G158:H158"/>
    <mergeCell ref="I158:J158"/>
    <mergeCell ref="K155:L155"/>
    <mergeCell ref="M155:N155"/>
    <mergeCell ref="O155:P155"/>
    <mergeCell ref="Q155:R155"/>
    <mergeCell ref="S155:T155"/>
    <mergeCell ref="W155:X155"/>
    <mergeCell ref="Z155:AC155"/>
    <mergeCell ref="AD155:AG155"/>
    <mergeCell ref="AH155:AI155"/>
    <mergeCell ref="AJ155:AK155"/>
    <mergeCell ref="AL155:AM155"/>
    <mergeCell ref="AN155:AO155"/>
    <mergeCell ref="AP155:AQ155"/>
    <mergeCell ref="AR155:AS155"/>
    <mergeCell ref="Z156:AC156"/>
    <mergeCell ref="AD156:AG156"/>
    <mergeCell ref="AH156:AI156"/>
    <mergeCell ref="AJ156:AK156"/>
    <mergeCell ref="AL156:AM156"/>
    <mergeCell ref="AN156:AO156"/>
    <mergeCell ref="AP156:AQ156"/>
    <mergeCell ref="AR156:AS156"/>
    <mergeCell ref="C157:F157"/>
    <mergeCell ref="G157:H157"/>
    <mergeCell ref="I157:J157"/>
    <mergeCell ref="K157:L157"/>
    <mergeCell ref="M157:N157"/>
    <mergeCell ref="O157:P157"/>
    <mergeCell ref="Q157:R157"/>
    <mergeCell ref="S157:T157"/>
    <mergeCell ref="W157:X157"/>
    <mergeCell ref="Z157:AC157"/>
    <mergeCell ref="AD157:AG157"/>
    <mergeCell ref="AH157:AI157"/>
    <mergeCell ref="AJ157:AK157"/>
    <mergeCell ref="AL157:AM157"/>
    <mergeCell ref="AN157:AO157"/>
    <mergeCell ref="AP157:AQ157"/>
    <mergeCell ref="C159:F159"/>
    <mergeCell ref="G159:H159"/>
    <mergeCell ref="I159:J159"/>
    <mergeCell ref="K159:L159"/>
    <mergeCell ref="M159:N159"/>
    <mergeCell ref="O159:P159"/>
    <mergeCell ref="Q159:R159"/>
    <mergeCell ref="S159:T159"/>
    <mergeCell ref="W159:X159"/>
    <mergeCell ref="U157:V157"/>
    <mergeCell ref="U158:V158"/>
    <mergeCell ref="U159:V159"/>
    <mergeCell ref="AR160:AS160"/>
    <mergeCell ref="C161:F161"/>
    <mergeCell ref="G161:H161"/>
    <mergeCell ref="I161:J161"/>
    <mergeCell ref="K158:L158"/>
    <mergeCell ref="M158:N158"/>
    <mergeCell ref="O158:P158"/>
    <mergeCell ref="Q158:R158"/>
    <mergeCell ref="S158:T158"/>
    <mergeCell ref="W158:X158"/>
    <mergeCell ref="Z158:AC158"/>
    <mergeCell ref="AD158:AG158"/>
    <mergeCell ref="AH158:AI158"/>
    <mergeCell ref="AJ158:AK158"/>
    <mergeCell ref="AL158:AM158"/>
    <mergeCell ref="AN158:AO158"/>
    <mergeCell ref="AP158:AQ158"/>
    <mergeCell ref="AR158:AS158"/>
    <mergeCell ref="Z159:AC159"/>
    <mergeCell ref="AD159:AG159"/>
    <mergeCell ref="AH159:AI159"/>
    <mergeCell ref="AJ159:AK159"/>
    <mergeCell ref="AL159:AM159"/>
    <mergeCell ref="AN159:AO159"/>
    <mergeCell ref="AP159:AQ159"/>
    <mergeCell ref="AR159:AS159"/>
    <mergeCell ref="C160:F160"/>
    <mergeCell ref="G160:H160"/>
    <mergeCell ref="I160:J160"/>
    <mergeCell ref="K160:L160"/>
    <mergeCell ref="M160:N160"/>
    <mergeCell ref="O160:P160"/>
    <mergeCell ref="Q160:R160"/>
    <mergeCell ref="S160:T160"/>
    <mergeCell ref="W160:X160"/>
    <mergeCell ref="Z160:AC160"/>
    <mergeCell ref="AD160:AG160"/>
    <mergeCell ref="AH160:AI160"/>
    <mergeCell ref="AJ160:AK160"/>
    <mergeCell ref="AL160:AM160"/>
    <mergeCell ref="AN160:AO160"/>
    <mergeCell ref="AP160:AQ160"/>
    <mergeCell ref="C162:F162"/>
    <mergeCell ref="G162:H162"/>
    <mergeCell ref="I162:J162"/>
    <mergeCell ref="K162:L162"/>
    <mergeCell ref="M162:N162"/>
    <mergeCell ref="O162:P162"/>
    <mergeCell ref="Q162:R162"/>
    <mergeCell ref="S162:T162"/>
    <mergeCell ref="W162:X162"/>
    <mergeCell ref="U160:V160"/>
    <mergeCell ref="U161:V161"/>
    <mergeCell ref="U162:V162"/>
    <mergeCell ref="AR163:AS163"/>
    <mergeCell ref="C164:F164"/>
    <mergeCell ref="G164:H164"/>
    <mergeCell ref="I164:J164"/>
    <mergeCell ref="K161:L161"/>
    <mergeCell ref="M161:N161"/>
    <mergeCell ref="O161:P161"/>
    <mergeCell ref="Q161:R161"/>
    <mergeCell ref="S161:T161"/>
    <mergeCell ref="W161:X161"/>
    <mergeCell ref="Z161:AC161"/>
    <mergeCell ref="AD161:AG161"/>
    <mergeCell ref="AH161:AI161"/>
    <mergeCell ref="AJ161:AK161"/>
    <mergeCell ref="AL161:AM161"/>
    <mergeCell ref="AN161:AO161"/>
    <mergeCell ref="AP161:AQ161"/>
    <mergeCell ref="AR161:AS161"/>
    <mergeCell ref="Z162:AC162"/>
    <mergeCell ref="AD162:AG162"/>
    <mergeCell ref="AH162:AI162"/>
    <mergeCell ref="AJ162:AK162"/>
    <mergeCell ref="AL162:AM162"/>
    <mergeCell ref="AN162:AO162"/>
    <mergeCell ref="AP162:AQ162"/>
    <mergeCell ref="AR162:AS162"/>
    <mergeCell ref="C163:F163"/>
    <mergeCell ref="G163:H163"/>
    <mergeCell ref="I163:J163"/>
    <mergeCell ref="K163:L163"/>
    <mergeCell ref="M163:N163"/>
    <mergeCell ref="O163:P163"/>
    <mergeCell ref="Q163:R163"/>
    <mergeCell ref="S163:T163"/>
    <mergeCell ref="W163:X163"/>
    <mergeCell ref="Z163:AC163"/>
    <mergeCell ref="AD163:AG163"/>
    <mergeCell ref="AH163:AI163"/>
    <mergeCell ref="AJ163:AK163"/>
    <mergeCell ref="AL163:AM163"/>
    <mergeCell ref="AN163:AO163"/>
    <mergeCell ref="AP163:AQ163"/>
    <mergeCell ref="C165:F165"/>
    <mergeCell ref="G165:H165"/>
    <mergeCell ref="I165:J165"/>
    <mergeCell ref="K165:L165"/>
    <mergeCell ref="M165:N165"/>
    <mergeCell ref="O165:P165"/>
    <mergeCell ref="Q165:R165"/>
    <mergeCell ref="S165:T165"/>
    <mergeCell ref="W165:X165"/>
    <mergeCell ref="U163:V163"/>
    <mergeCell ref="U164:V164"/>
    <mergeCell ref="U165:V165"/>
    <mergeCell ref="AR166:AS166"/>
    <mergeCell ref="C167:F167"/>
    <mergeCell ref="G167:H167"/>
    <mergeCell ref="I167:J167"/>
    <mergeCell ref="K164:L164"/>
    <mergeCell ref="M164:N164"/>
    <mergeCell ref="O164:P164"/>
    <mergeCell ref="Q164:R164"/>
    <mergeCell ref="S164:T164"/>
    <mergeCell ref="W164:X164"/>
    <mergeCell ref="Z164:AC164"/>
    <mergeCell ref="AD164:AG164"/>
    <mergeCell ref="AH164:AI164"/>
    <mergeCell ref="AJ164:AK164"/>
    <mergeCell ref="AL164:AM164"/>
    <mergeCell ref="AN164:AO164"/>
    <mergeCell ref="AP164:AQ164"/>
    <mergeCell ref="AR164:AS164"/>
    <mergeCell ref="Z165:AC165"/>
    <mergeCell ref="AD165:AG165"/>
    <mergeCell ref="AH165:AI165"/>
    <mergeCell ref="AJ165:AK165"/>
    <mergeCell ref="AL165:AM165"/>
    <mergeCell ref="AN165:AO165"/>
    <mergeCell ref="AP165:AQ165"/>
    <mergeCell ref="AR165:AS165"/>
    <mergeCell ref="C166:F166"/>
    <mergeCell ref="G166:H166"/>
    <mergeCell ref="I166:J166"/>
    <mergeCell ref="K166:L166"/>
    <mergeCell ref="M166:N166"/>
    <mergeCell ref="O166:P166"/>
    <mergeCell ref="Q166:R166"/>
    <mergeCell ref="S166:T166"/>
    <mergeCell ref="W166:X166"/>
    <mergeCell ref="Z166:AC166"/>
    <mergeCell ref="AD166:AG166"/>
    <mergeCell ref="AH166:AI166"/>
    <mergeCell ref="AJ166:AK166"/>
    <mergeCell ref="AL166:AM166"/>
    <mergeCell ref="AN166:AO166"/>
    <mergeCell ref="AP166:AQ166"/>
    <mergeCell ref="C168:F168"/>
    <mergeCell ref="G168:H168"/>
    <mergeCell ref="I168:J168"/>
    <mergeCell ref="K168:L168"/>
    <mergeCell ref="M168:N168"/>
    <mergeCell ref="O168:P168"/>
    <mergeCell ref="Q168:R168"/>
    <mergeCell ref="S168:T168"/>
    <mergeCell ref="W168:X168"/>
    <mergeCell ref="U166:V166"/>
    <mergeCell ref="U167:V167"/>
    <mergeCell ref="U168:V168"/>
    <mergeCell ref="AR169:AS169"/>
    <mergeCell ref="C170:F170"/>
    <mergeCell ref="G170:H170"/>
    <mergeCell ref="I170:J170"/>
    <mergeCell ref="K167:L167"/>
    <mergeCell ref="M167:N167"/>
    <mergeCell ref="O167:P167"/>
    <mergeCell ref="Q167:R167"/>
    <mergeCell ref="S167:T167"/>
    <mergeCell ref="W167:X167"/>
    <mergeCell ref="Z167:AC167"/>
    <mergeCell ref="AD167:AG167"/>
    <mergeCell ref="AH167:AI167"/>
    <mergeCell ref="AJ167:AK167"/>
    <mergeCell ref="AL167:AM167"/>
    <mergeCell ref="AN167:AO167"/>
    <mergeCell ref="AP167:AQ167"/>
    <mergeCell ref="AR167:AS167"/>
    <mergeCell ref="Z168:AC168"/>
    <mergeCell ref="AD168:AG168"/>
    <mergeCell ref="AH168:AI168"/>
    <mergeCell ref="AJ168:AK168"/>
    <mergeCell ref="AL168:AM168"/>
    <mergeCell ref="AN168:AO168"/>
    <mergeCell ref="AP168:AQ168"/>
    <mergeCell ref="AR168:AS168"/>
    <mergeCell ref="C169:F169"/>
    <mergeCell ref="G169:H169"/>
    <mergeCell ref="I169:J169"/>
    <mergeCell ref="K169:L169"/>
    <mergeCell ref="M169:N169"/>
    <mergeCell ref="O169:P169"/>
    <mergeCell ref="Q169:R169"/>
    <mergeCell ref="S169:T169"/>
    <mergeCell ref="W169:X169"/>
    <mergeCell ref="Z169:AC169"/>
    <mergeCell ref="AD169:AG169"/>
    <mergeCell ref="AH169:AI169"/>
    <mergeCell ref="AJ169:AK169"/>
    <mergeCell ref="AL169:AM169"/>
    <mergeCell ref="AN169:AO169"/>
    <mergeCell ref="AP169:AQ169"/>
    <mergeCell ref="C171:F171"/>
    <mergeCell ref="G171:H171"/>
    <mergeCell ref="I171:J171"/>
    <mergeCell ref="K171:L171"/>
    <mergeCell ref="M171:N171"/>
    <mergeCell ref="O171:P171"/>
    <mergeCell ref="Q171:R171"/>
    <mergeCell ref="S171:T171"/>
    <mergeCell ref="W171:X171"/>
    <mergeCell ref="U169:V169"/>
    <mergeCell ref="U170:V170"/>
    <mergeCell ref="U171:V171"/>
    <mergeCell ref="AR172:AS172"/>
    <mergeCell ref="C173:F173"/>
    <mergeCell ref="G173:H173"/>
    <mergeCell ref="I173:J173"/>
    <mergeCell ref="K170:L170"/>
    <mergeCell ref="M170:N170"/>
    <mergeCell ref="O170:P170"/>
    <mergeCell ref="Q170:R170"/>
    <mergeCell ref="S170:T170"/>
    <mergeCell ref="W170:X170"/>
    <mergeCell ref="Z170:AC170"/>
    <mergeCell ref="AD170:AG170"/>
    <mergeCell ref="AH170:AI170"/>
    <mergeCell ref="AJ170:AK170"/>
    <mergeCell ref="AL170:AM170"/>
    <mergeCell ref="AN170:AO170"/>
    <mergeCell ref="AP170:AQ170"/>
    <mergeCell ref="AR170:AS170"/>
    <mergeCell ref="Z171:AC171"/>
    <mergeCell ref="AD171:AG171"/>
    <mergeCell ref="AH171:AI171"/>
    <mergeCell ref="AJ171:AK171"/>
    <mergeCell ref="AL171:AM171"/>
    <mergeCell ref="AN171:AO171"/>
    <mergeCell ref="AP171:AQ171"/>
    <mergeCell ref="AR171:AS171"/>
    <mergeCell ref="C172:F172"/>
    <mergeCell ref="G172:H172"/>
    <mergeCell ref="I172:J172"/>
    <mergeCell ref="K172:L172"/>
    <mergeCell ref="M172:N172"/>
    <mergeCell ref="O172:P172"/>
    <mergeCell ref="Q172:R172"/>
    <mergeCell ref="S172:T172"/>
    <mergeCell ref="W172:X172"/>
    <mergeCell ref="Z172:AC172"/>
    <mergeCell ref="AD172:AG172"/>
    <mergeCell ref="AH172:AI172"/>
    <mergeCell ref="AJ172:AK172"/>
    <mergeCell ref="AL172:AM172"/>
    <mergeCell ref="AN172:AO172"/>
    <mergeCell ref="AP172:AQ172"/>
    <mergeCell ref="C174:F174"/>
    <mergeCell ref="G174:H174"/>
    <mergeCell ref="I174:J174"/>
    <mergeCell ref="K174:L174"/>
    <mergeCell ref="M174:N174"/>
    <mergeCell ref="O174:P174"/>
    <mergeCell ref="Q174:R174"/>
    <mergeCell ref="S174:T174"/>
    <mergeCell ref="W174:X174"/>
    <mergeCell ref="U172:V172"/>
    <mergeCell ref="U173:V173"/>
    <mergeCell ref="U174:V174"/>
    <mergeCell ref="AR175:AS175"/>
    <mergeCell ref="C176:F176"/>
    <mergeCell ref="G176:H176"/>
    <mergeCell ref="I176:J176"/>
    <mergeCell ref="K173:L173"/>
    <mergeCell ref="M173:N173"/>
    <mergeCell ref="O173:P173"/>
    <mergeCell ref="Q173:R173"/>
    <mergeCell ref="S173:T173"/>
    <mergeCell ref="W173:X173"/>
    <mergeCell ref="Z173:AC173"/>
    <mergeCell ref="AD173:AG173"/>
    <mergeCell ref="AH173:AI173"/>
    <mergeCell ref="AJ173:AK173"/>
    <mergeCell ref="AL173:AM173"/>
    <mergeCell ref="AN173:AO173"/>
    <mergeCell ref="AP173:AQ173"/>
    <mergeCell ref="AR173:AS173"/>
    <mergeCell ref="Z174:AC174"/>
    <mergeCell ref="AD174:AG174"/>
    <mergeCell ref="AH174:AI174"/>
    <mergeCell ref="AJ174:AK174"/>
    <mergeCell ref="AL174:AM174"/>
    <mergeCell ref="AN174:AO174"/>
    <mergeCell ref="AP174:AQ174"/>
    <mergeCell ref="AR174:AS174"/>
    <mergeCell ref="C175:F175"/>
    <mergeCell ref="G175:H175"/>
    <mergeCell ref="I175:J175"/>
    <mergeCell ref="K175:L175"/>
    <mergeCell ref="M175:N175"/>
    <mergeCell ref="O175:P175"/>
    <mergeCell ref="Q175:R175"/>
    <mergeCell ref="S175:T175"/>
    <mergeCell ref="W175:X175"/>
    <mergeCell ref="Z175:AC175"/>
    <mergeCell ref="AD175:AG175"/>
    <mergeCell ref="AH175:AI175"/>
    <mergeCell ref="AJ175:AK175"/>
    <mergeCell ref="AL175:AM175"/>
    <mergeCell ref="AN175:AO175"/>
    <mergeCell ref="AP175:AQ175"/>
    <mergeCell ref="C177:F177"/>
    <mergeCell ref="G177:H177"/>
    <mergeCell ref="I177:J177"/>
    <mergeCell ref="K177:L177"/>
    <mergeCell ref="M177:N177"/>
    <mergeCell ref="O177:P177"/>
    <mergeCell ref="Q177:R177"/>
    <mergeCell ref="S177:T177"/>
    <mergeCell ref="W177:X177"/>
    <mergeCell ref="U175:V175"/>
    <mergeCell ref="U176:V176"/>
    <mergeCell ref="U177:V177"/>
    <mergeCell ref="AR178:AS178"/>
    <mergeCell ref="C179:F179"/>
    <mergeCell ref="G179:H179"/>
    <mergeCell ref="I179:J179"/>
    <mergeCell ref="K176:L176"/>
    <mergeCell ref="M176:N176"/>
    <mergeCell ref="O176:P176"/>
    <mergeCell ref="Q176:R176"/>
    <mergeCell ref="S176:T176"/>
    <mergeCell ref="W176:X176"/>
    <mergeCell ref="Z176:AC176"/>
    <mergeCell ref="AD176:AG176"/>
    <mergeCell ref="AH176:AI176"/>
    <mergeCell ref="AJ176:AK176"/>
    <mergeCell ref="AL176:AM176"/>
    <mergeCell ref="AN176:AO176"/>
    <mergeCell ref="AP176:AQ176"/>
    <mergeCell ref="AR176:AS176"/>
    <mergeCell ref="Z177:AC177"/>
    <mergeCell ref="AD177:AG177"/>
    <mergeCell ref="AH177:AI177"/>
    <mergeCell ref="AJ177:AK177"/>
    <mergeCell ref="AL177:AM177"/>
    <mergeCell ref="AN177:AO177"/>
    <mergeCell ref="AP177:AQ177"/>
    <mergeCell ref="AR177:AS177"/>
    <mergeCell ref="C178:F178"/>
    <mergeCell ref="G178:H178"/>
    <mergeCell ref="I178:J178"/>
    <mergeCell ref="K178:L178"/>
    <mergeCell ref="M178:N178"/>
    <mergeCell ref="O178:P178"/>
    <mergeCell ref="Q178:R178"/>
    <mergeCell ref="S178:T178"/>
    <mergeCell ref="W178:X178"/>
    <mergeCell ref="Z178:AC178"/>
    <mergeCell ref="AD178:AG178"/>
    <mergeCell ref="AH178:AI178"/>
    <mergeCell ref="AJ178:AK178"/>
    <mergeCell ref="AL178:AM178"/>
    <mergeCell ref="AN178:AO178"/>
    <mergeCell ref="AP178:AQ178"/>
    <mergeCell ref="C180:F180"/>
    <mergeCell ref="G180:H180"/>
    <mergeCell ref="I180:J180"/>
    <mergeCell ref="K180:L180"/>
    <mergeCell ref="M180:N180"/>
    <mergeCell ref="O180:P180"/>
    <mergeCell ref="Q180:R180"/>
    <mergeCell ref="S180:T180"/>
    <mergeCell ref="W180:X180"/>
    <mergeCell ref="U178:V178"/>
    <mergeCell ref="U179:V179"/>
    <mergeCell ref="U180:V180"/>
    <mergeCell ref="AR181:AS181"/>
    <mergeCell ref="C182:F182"/>
    <mergeCell ref="G182:H182"/>
    <mergeCell ref="I182:J182"/>
    <mergeCell ref="K179:L179"/>
    <mergeCell ref="M179:N179"/>
    <mergeCell ref="O179:P179"/>
    <mergeCell ref="Q179:R179"/>
    <mergeCell ref="S179:T179"/>
    <mergeCell ref="W179:X179"/>
    <mergeCell ref="Z179:AC179"/>
    <mergeCell ref="AD179:AG179"/>
    <mergeCell ref="AH179:AI179"/>
    <mergeCell ref="AJ179:AK179"/>
    <mergeCell ref="AL179:AM179"/>
    <mergeCell ref="AN179:AO179"/>
    <mergeCell ref="AP179:AQ179"/>
    <mergeCell ref="AR179:AS179"/>
    <mergeCell ref="Z180:AC180"/>
    <mergeCell ref="AD180:AG180"/>
    <mergeCell ref="AH180:AI180"/>
    <mergeCell ref="AJ180:AK180"/>
    <mergeCell ref="AL180:AM180"/>
    <mergeCell ref="AN180:AO180"/>
    <mergeCell ref="AP180:AQ180"/>
    <mergeCell ref="AR180:AS180"/>
    <mergeCell ref="C181:F181"/>
    <mergeCell ref="G181:H181"/>
    <mergeCell ref="I181:J181"/>
    <mergeCell ref="K181:L181"/>
    <mergeCell ref="M181:N181"/>
    <mergeCell ref="O181:P181"/>
    <mergeCell ref="Q181:R181"/>
    <mergeCell ref="S181:T181"/>
    <mergeCell ref="W181:X181"/>
    <mergeCell ref="Z181:AC181"/>
    <mergeCell ref="AD181:AG181"/>
    <mergeCell ref="AH181:AI181"/>
    <mergeCell ref="AJ181:AK181"/>
    <mergeCell ref="AL181:AM181"/>
    <mergeCell ref="AN181:AO181"/>
    <mergeCell ref="AP181:AQ181"/>
    <mergeCell ref="C183:F183"/>
    <mergeCell ref="G183:H183"/>
    <mergeCell ref="I183:J183"/>
    <mergeCell ref="K183:L183"/>
    <mergeCell ref="M183:N183"/>
    <mergeCell ref="O183:P183"/>
    <mergeCell ref="Q183:R183"/>
    <mergeCell ref="S183:T183"/>
    <mergeCell ref="W183:X183"/>
    <mergeCell ref="U181:V181"/>
    <mergeCell ref="U182:V182"/>
    <mergeCell ref="U183:V183"/>
    <mergeCell ref="AR184:AS184"/>
    <mergeCell ref="C185:F185"/>
    <mergeCell ref="G185:H185"/>
    <mergeCell ref="I185:J185"/>
    <mergeCell ref="K182:L182"/>
    <mergeCell ref="M182:N182"/>
    <mergeCell ref="O182:P182"/>
    <mergeCell ref="Q182:R182"/>
    <mergeCell ref="S182:T182"/>
    <mergeCell ref="W182:X182"/>
    <mergeCell ref="Z182:AC182"/>
    <mergeCell ref="AD182:AG182"/>
    <mergeCell ref="AH182:AI182"/>
    <mergeCell ref="AJ182:AK182"/>
    <mergeCell ref="AL182:AM182"/>
    <mergeCell ref="AN182:AO182"/>
    <mergeCell ref="AP182:AQ182"/>
    <mergeCell ref="AR182:AS182"/>
    <mergeCell ref="Z183:AC183"/>
    <mergeCell ref="AD183:AG183"/>
    <mergeCell ref="AH183:AI183"/>
    <mergeCell ref="AJ183:AK183"/>
    <mergeCell ref="AL183:AM183"/>
    <mergeCell ref="AN183:AO183"/>
    <mergeCell ref="AP183:AQ183"/>
    <mergeCell ref="AR183:AS183"/>
    <mergeCell ref="C184:F184"/>
    <mergeCell ref="G184:H184"/>
    <mergeCell ref="I184:J184"/>
    <mergeCell ref="K184:L184"/>
    <mergeCell ref="M184:N184"/>
    <mergeCell ref="O184:P184"/>
    <mergeCell ref="Q184:R184"/>
    <mergeCell ref="S184:T184"/>
    <mergeCell ref="W184:X184"/>
    <mergeCell ref="Z184:AC184"/>
    <mergeCell ref="AD184:AG184"/>
    <mergeCell ref="AH184:AI184"/>
    <mergeCell ref="AJ184:AK184"/>
    <mergeCell ref="AL184:AM184"/>
    <mergeCell ref="AN184:AO184"/>
    <mergeCell ref="AP184:AQ184"/>
    <mergeCell ref="C186:F186"/>
    <mergeCell ref="G186:H186"/>
    <mergeCell ref="I186:J186"/>
    <mergeCell ref="K186:L186"/>
    <mergeCell ref="M186:N186"/>
    <mergeCell ref="O186:P186"/>
    <mergeCell ref="Q186:R186"/>
    <mergeCell ref="S186:T186"/>
    <mergeCell ref="W186:X186"/>
    <mergeCell ref="U184:V184"/>
    <mergeCell ref="U185:V185"/>
    <mergeCell ref="U186:V186"/>
    <mergeCell ref="AR187:AS187"/>
    <mergeCell ref="C188:F188"/>
    <mergeCell ref="G188:H188"/>
    <mergeCell ref="I188:J188"/>
    <mergeCell ref="K185:L185"/>
    <mergeCell ref="M185:N185"/>
    <mergeCell ref="O185:P185"/>
    <mergeCell ref="Q185:R185"/>
    <mergeCell ref="S185:T185"/>
    <mergeCell ref="W185:X185"/>
    <mergeCell ref="Z185:AC185"/>
    <mergeCell ref="AD185:AG185"/>
    <mergeCell ref="AH185:AI185"/>
    <mergeCell ref="AJ185:AK185"/>
    <mergeCell ref="AL185:AM185"/>
    <mergeCell ref="AN185:AO185"/>
    <mergeCell ref="AP185:AQ185"/>
    <mergeCell ref="AR185:AS185"/>
    <mergeCell ref="Z186:AC186"/>
    <mergeCell ref="AD186:AG186"/>
    <mergeCell ref="AH186:AI186"/>
    <mergeCell ref="AJ186:AK186"/>
    <mergeCell ref="AL186:AM186"/>
    <mergeCell ref="AN186:AO186"/>
    <mergeCell ref="AP186:AQ186"/>
    <mergeCell ref="AR186:AS186"/>
    <mergeCell ref="C187:F187"/>
    <mergeCell ref="G187:H187"/>
    <mergeCell ref="I187:J187"/>
    <mergeCell ref="K187:L187"/>
    <mergeCell ref="M187:N187"/>
    <mergeCell ref="O187:P187"/>
    <mergeCell ref="Q187:R187"/>
    <mergeCell ref="S187:T187"/>
    <mergeCell ref="W187:X187"/>
    <mergeCell ref="Z187:AC187"/>
    <mergeCell ref="AD187:AG187"/>
    <mergeCell ref="AH187:AI187"/>
    <mergeCell ref="AJ187:AK187"/>
    <mergeCell ref="AL187:AM187"/>
    <mergeCell ref="AN187:AO187"/>
    <mergeCell ref="AP187:AQ187"/>
    <mergeCell ref="C189:F189"/>
    <mergeCell ref="G189:H189"/>
    <mergeCell ref="I189:J189"/>
    <mergeCell ref="K189:L189"/>
    <mergeCell ref="M189:N189"/>
    <mergeCell ref="O189:P189"/>
    <mergeCell ref="Q189:R189"/>
    <mergeCell ref="S189:T189"/>
    <mergeCell ref="W189:X189"/>
    <mergeCell ref="U187:V187"/>
    <mergeCell ref="U188:V188"/>
    <mergeCell ref="U189:V189"/>
    <mergeCell ref="AR190:AS190"/>
    <mergeCell ref="C191:F191"/>
    <mergeCell ref="G191:H191"/>
    <mergeCell ref="I191:J191"/>
    <mergeCell ref="K188:L188"/>
    <mergeCell ref="M188:N188"/>
    <mergeCell ref="O188:P188"/>
    <mergeCell ref="Q188:R188"/>
    <mergeCell ref="S188:T188"/>
    <mergeCell ref="W188:X188"/>
    <mergeCell ref="Z188:AC188"/>
    <mergeCell ref="AD188:AG188"/>
    <mergeCell ref="AH188:AI188"/>
    <mergeCell ref="AJ188:AK188"/>
    <mergeCell ref="AL188:AM188"/>
    <mergeCell ref="AN188:AO188"/>
    <mergeCell ref="AP188:AQ188"/>
    <mergeCell ref="AR188:AS188"/>
    <mergeCell ref="Z189:AC189"/>
    <mergeCell ref="AD189:AG189"/>
    <mergeCell ref="AH189:AI189"/>
    <mergeCell ref="AJ189:AK189"/>
    <mergeCell ref="AL189:AM189"/>
    <mergeCell ref="AN189:AO189"/>
    <mergeCell ref="AP189:AQ189"/>
    <mergeCell ref="AR189:AS189"/>
    <mergeCell ref="C190:F190"/>
    <mergeCell ref="G190:H190"/>
    <mergeCell ref="I190:J190"/>
    <mergeCell ref="K190:L190"/>
    <mergeCell ref="M190:N190"/>
    <mergeCell ref="O190:P190"/>
    <mergeCell ref="Q190:R190"/>
    <mergeCell ref="S190:T190"/>
    <mergeCell ref="W190:X190"/>
    <mergeCell ref="Z190:AC190"/>
    <mergeCell ref="AD190:AG190"/>
    <mergeCell ref="AH190:AI190"/>
    <mergeCell ref="AJ190:AK190"/>
    <mergeCell ref="AL190:AM190"/>
    <mergeCell ref="AN190:AO190"/>
    <mergeCell ref="AP190:AQ190"/>
    <mergeCell ref="C192:F192"/>
    <mergeCell ref="G192:H192"/>
    <mergeCell ref="I192:J192"/>
    <mergeCell ref="K192:L192"/>
    <mergeCell ref="M192:N192"/>
    <mergeCell ref="O192:P192"/>
    <mergeCell ref="Q192:R192"/>
    <mergeCell ref="S192:T192"/>
    <mergeCell ref="W192:X192"/>
    <mergeCell ref="U190:V190"/>
    <mergeCell ref="U191:V191"/>
    <mergeCell ref="U192:V192"/>
    <mergeCell ref="AR193:AS193"/>
    <mergeCell ref="C194:F194"/>
    <mergeCell ref="G194:H194"/>
    <mergeCell ref="I194:J194"/>
    <mergeCell ref="K191:L191"/>
    <mergeCell ref="M191:N191"/>
    <mergeCell ref="O191:P191"/>
    <mergeCell ref="Q191:R191"/>
    <mergeCell ref="S191:T191"/>
    <mergeCell ref="W191:X191"/>
    <mergeCell ref="Z191:AC191"/>
    <mergeCell ref="AD191:AG191"/>
    <mergeCell ref="AH191:AI191"/>
    <mergeCell ref="AJ191:AK191"/>
    <mergeCell ref="AL191:AM191"/>
    <mergeCell ref="AN191:AO191"/>
    <mergeCell ref="AP191:AQ191"/>
    <mergeCell ref="AR191:AS191"/>
    <mergeCell ref="Z192:AC192"/>
    <mergeCell ref="AD192:AG192"/>
    <mergeCell ref="AH192:AI192"/>
    <mergeCell ref="AJ192:AK192"/>
    <mergeCell ref="AL192:AM192"/>
    <mergeCell ref="AN192:AO192"/>
    <mergeCell ref="AP192:AQ192"/>
    <mergeCell ref="AR192:AS192"/>
    <mergeCell ref="C193:F193"/>
    <mergeCell ref="G193:H193"/>
    <mergeCell ref="I193:J193"/>
    <mergeCell ref="K193:L193"/>
    <mergeCell ref="M193:N193"/>
    <mergeCell ref="O193:P193"/>
    <mergeCell ref="Q193:R193"/>
    <mergeCell ref="S193:T193"/>
    <mergeCell ref="W193:X193"/>
    <mergeCell ref="Z193:AC193"/>
    <mergeCell ref="AD193:AG193"/>
    <mergeCell ref="AH193:AI193"/>
    <mergeCell ref="AJ193:AK193"/>
    <mergeCell ref="AL193:AM193"/>
    <mergeCell ref="AN193:AO193"/>
    <mergeCell ref="AP193:AQ193"/>
    <mergeCell ref="C195:F195"/>
    <mergeCell ref="G195:H195"/>
    <mergeCell ref="I195:J195"/>
    <mergeCell ref="K195:L195"/>
    <mergeCell ref="M195:N195"/>
    <mergeCell ref="O195:P195"/>
    <mergeCell ref="Q195:R195"/>
    <mergeCell ref="S195:T195"/>
    <mergeCell ref="W195:X195"/>
    <mergeCell ref="U193:V193"/>
    <mergeCell ref="U194:V194"/>
    <mergeCell ref="U195:V195"/>
    <mergeCell ref="AR196:AS196"/>
    <mergeCell ref="C197:F197"/>
    <mergeCell ref="G197:H197"/>
    <mergeCell ref="I197:J197"/>
    <mergeCell ref="K194:L194"/>
    <mergeCell ref="M194:N194"/>
    <mergeCell ref="O194:P194"/>
    <mergeCell ref="Q194:R194"/>
    <mergeCell ref="S194:T194"/>
    <mergeCell ref="W194:X194"/>
    <mergeCell ref="Z194:AC194"/>
    <mergeCell ref="AD194:AG194"/>
    <mergeCell ref="AH194:AI194"/>
    <mergeCell ref="AJ194:AK194"/>
    <mergeCell ref="AL194:AM194"/>
    <mergeCell ref="AN194:AO194"/>
    <mergeCell ref="AP194:AQ194"/>
    <mergeCell ref="AR194:AS194"/>
    <mergeCell ref="Z195:AC195"/>
    <mergeCell ref="AD195:AG195"/>
    <mergeCell ref="AH195:AI195"/>
    <mergeCell ref="AJ195:AK195"/>
    <mergeCell ref="AL195:AM195"/>
    <mergeCell ref="AN195:AO195"/>
    <mergeCell ref="AP195:AQ195"/>
    <mergeCell ref="AR195:AS195"/>
    <mergeCell ref="C196:F196"/>
    <mergeCell ref="G196:H196"/>
    <mergeCell ref="I196:J196"/>
    <mergeCell ref="K196:L196"/>
    <mergeCell ref="M196:N196"/>
    <mergeCell ref="O196:P196"/>
    <mergeCell ref="Q196:R196"/>
    <mergeCell ref="S196:T196"/>
    <mergeCell ref="W196:X196"/>
    <mergeCell ref="Z196:AC196"/>
    <mergeCell ref="AD196:AG196"/>
    <mergeCell ref="AH196:AI196"/>
    <mergeCell ref="AJ196:AK196"/>
    <mergeCell ref="AL196:AM196"/>
    <mergeCell ref="AN196:AO196"/>
    <mergeCell ref="AP196:AQ196"/>
    <mergeCell ref="C198:F198"/>
    <mergeCell ref="G198:H198"/>
    <mergeCell ref="I198:J198"/>
    <mergeCell ref="K198:L198"/>
    <mergeCell ref="M198:N198"/>
    <mergeCell ref="O198:P198"/>
    <mergeCell ref="Q198:R198"/>
    <mergeCell ref="S198:T198"/>
    <mergeCell ref="W198:X198"/>
    <mergeCell ref="U196:V196"/>
    <mergeCell ref="U197:V197"/>
    <mergeCell ref="U198:V198"/>
    <mergeCell ref="AR199:AS199"/>
    <mergeCell ref="C200:F200"/>
    <mergeCell ref="G200:H200"/>
    <mergeCell ref="I200:J200"/>
    <mergeCell ref="K197:L197"/>
    <mergeCell ref="M197:N197"/>
    <mergeCell ref="O197:P197"/>
    <mergeCell ref="Q197:R197"/>
    <mergeCell ref="S197:T197"/>
    <mergeCell ref="W197:X197"/>
    <mergeCell ref="Z197:AC197"/>
    <mergeCell ref="AD197:AG197"/>
    <mergeCell ref="AH197:AI197"/>
    <mergeCell ref="AJ197:AK197"/>
    <mergeCell ref="AL197:AM197"/>
    <mergeCell ref="AN197:AO197"/>
    <mergeCell ref="AP197:AQ197"/>
    <mergeCell ref="AR197:AS197"/>
    <mergeCell ref="Z198:AC198"/>
    <mergeCell ref="AD198:AG198"/>
    <mergeCell ref="AH198:AI198"/>
    <mergeCell ref="AJ198:AK198"/>
    <mergeCell ref="AL198:AM198"/>
    <mergeCell ref="AN198:AO198"/>
    <mergeCell ref="AP198:AQ198"/>
    <mergeCell ref="AR198:AS198"/>
    <mergeCell ref="C199:F199"/>
    <mergeCell ref="G199:H199"/>
    <mergeCell ref="I199:J199"/>
    <mergeCell ref="K199:L199"/>
    <mergeCell ref="M199:N199"/>
    <mergeCell ref="O199:P199"/>
    <mergeCell ref="Q199:R199"/>
    <mergeCell ref="S199:T199"/>
    <mergeCell ref="W199:X199"/>
    <mergeCell ref="Z199:AC199"/>
    <mergeCell ref="AD199:AG199"/>
    <mergeCell ref="AH199:AI199"/>
    <mergeCell ref="AJ199:AK199"/>
    <mergeCell ref="AL199:AM199"/>
    <mergeCell ref="AN199:AO199"/>
    <mergeCell ref="AP199:AQ199"/>
    <mergeCell ref="C201:F201"/>
    <mergeCell ref="G201:H201"/>
    <mergeCell ref="I201:J201"/>
    <mergeCell ref="K201:L201"/>
    <mergeCell ref="M201:N201"/>
    <mergeCell ref="O201:P201"/>
    <mergeCell ref="Q201:R201"/>
    <mergeCell ref="S201:T201"/>
    <mergeCell ref="W201:X201"/>
    <mergeCell ref="U199:V199"/>
    <mergeCell ref="U200:V200"/>
    <mergeCell ref="U201:V201"/>
    <mergeCell ref="AR202:AS202"/>
    <mergeCell ref="C203:F203"/>
    <mergeCell ref="G203:H203"/>
    <mergeCell ref="I203:J203"/>
    <mergeCell ref="K200:L200"/>
    <mergeCell ref="M200:N200"/>
    <mergeCell ref="O200:P200"/>
    <mergeCell ref="Q200:R200"/>
    <mergeCell ref="S200:T200"/>
    <mergeCell ref="W200:X200"/>
    <mergeCell ref="Z200:AC200"/>
    <mergeCell ref="AD200:AG200"/>
    <mergeCell ref="AH200:AI200"/>
    <mergeCell ref="AJ200:AK200"/>
    <mergeCell ref="AL200:AM200"/>
    <mergeCell ref="AN200:AO200"/>
    <mergeCell ref="AP200:AQ200"/>
    <mergeCell ref="AR200:AS200"/>
    <mergeCell ref="Z201:AC201"/>
    <mergeCell ref="AD201:AG201"/>
    <mergeCell ref="AH201:AI201"/>
    <mergeCell ref="AJ201:AK201"/>
    <mergeCell ref="AL201:AM201"/>
    <mergeCell ref="AN201:AO201"/>
    <mergeCell ref="AP201:AQ201"/>
    <mergeCell ref="AR201:AS201"/>
    <mergeCell ref="C202:F202"/>
    <mergeCell ref="G202:H202"/>
    <mergeCell ref="I202:J202"/>
    <mergeCell ref="K202:L202"/>
    <mergeCell ref="M202:N202"/>
    <mergeCell ref="O202:P202"/>
    <mergeCell ref="Q202:R202"/>
    <mergeCell ref="S202:T202"/>
    <mergeCell ref="W202:X202"/>
    <mergeCell ref="Z202:AC202"/>
    <mergeCell ref="AD202:AG202"/>
    <mergeCell ref="AH202:AI202"/>
    <mergeCell ref="AJ202:AK202"/>
    <mergeCell ref="AL202:AM202"/>
    <mergeCell ref="AN202:AO202"/>
    <mergeCell ref="AP202:AQ202"/>
    <mergeCell ref="C204:F204"/>
    <mergeCell ref="G204:H204"/>
    <mergeCell ref="I204:J204"/>
    <mergeCell ref="K204:L204"/>
    <mergeCell ref="M204:N204"/>
    <mergeCell ref="O204:P204"/>
    <mergeCell ref="Q204:R204"/>
    <mergeCell ref="S204:T204"/>
    <mergeCell ref="W204:X204"/>
    <mergeCell ref="U202:V202"/>
    <mergeCell ref="U203:V203"/>
    <mergeCell ref="U204:V204"/>
    <mergeCell ref="AR205:AS205"/>
    <mergeCell ref="C206:F206"/>
    <mergeCell ref="G206:H206"/>
    <mergeCell ref="I206:J206"/>
    <mergeCell ref="K203:L203"/>
    <mergeCell ref="M203:N203"/>
    <mergeCell ref="O203:P203"/>
    <mergeCell ref="Q203:R203"/>
    <mergeCell ref="S203:T203"/>
    <mergeCell ref="W203:X203"/>
    <mergeCell ref="Z203:AC203"/>
    <mergeCell ref="AD203:AG203"/>
    <mergeCell ref="AH203:AI203"/>
    <mergeCell ref="AJ203:AK203"/>
    <mergeCell ref="AL203:AM203"/>
    <mergeCell ref="AN203:AO203"/>
    <mergeCell ref="AP203:AQ203"/>
    <mergeCell ref="AR203:AS203"/>
    <mergeCell ref="Z204:AC204"/>
    <mergeCell ref="AD204:AG204"/>
    <mergeCell ref="AH204:AI204"/>
    <mergeCell ref="AJ204:AK204"/>
    <mergeCell ref="AL204:AM204"/>
    <mergeCell ref="AN204:AO204"/>
    <mergeCell ref="AP204:AQ204"/>
    <mergeCell ref="AR204:AS204"/>
    <mergeCell ref="C205:F205"/>
    <mergeCell ref="G205:H205"/>
    <mergeCell ref="I205:J205"/>
    <mergeCell ref="K205:L205"/>
    <mergeCell ref="M205:N205"/>
    <mergeCell ref="O205:P205"/>
    <mergeCell ref="Q205:R205"/>
    <mergeCell ref="S205:T205"/>
    <mergeCell ref="W205:X205"/>
    <mergeCell ref="Z205:AC205"/>
    <mergeCell ref="AD205:AG205"/>
    <mergeCell ref="AH205:AI205"/>
    <mergeCell ref="AJ205:AK205"/>
    <mergeCell ref="AL205:AM205"/>
    <mergeCell ref="AN205:AO205"/>
    <mergeCell ref="AP205:AQ205"/>
    <mergeCell ref="C207:F207"/>
    <mergeCell ref="G207:H207"/>
    <mergeCell ref="I207:J207"/>
    <mergeCell ref="K207:L207"/>
    <mergeCell ref="M207:N207"/>
    <mergeCell ref="O207:P207"/>
    <mergeCell ref="Q207:R207"/>
    <mergeCell ref="S207:T207"/>
    <mergeCell ref="W207:X207"/>
    <mergeCell ref="U205:V205"/>
    <mergeCell ref="U206:V206"/>
    <mergeCell ref="U207:V207"/>
    <mergeCell ref="AR208:AS208"/>
    <mergeCell ref="C209:F209"/>
    <mergeCell ref="G209:H209"/>
    <mergeCell ref="I209:J209"/>
    <mergeCell ref="K206:L206"/>
    <mergeCell ref="M206:N206"/>
    <mergeCell ref="O206:P206"/>
    <mergeCell ref="Q206:R206"/>
    <mergeCell ref="S206:T206"/>
    <mergeCell ref="W206:X206"/>
    <mergeCell ref="Z206:AC206"/>
    <mergeCell ref="AD206:AG206"/>
    <mergeCell ref="AH206:AI206"/>
    <mergeCell ref="AJ206:AK206"/>
    <mergeCell ref="AL206:AM206"/>
    <mergeCell ref="AN206:AO206"/>
    <mergeCell ref="AP206:AQ206"/>
    <mergeCell ref="AR206:AS206"/>
    <mergeCell ref="Z207:AC207"/>
    <mergeCell ref="AD207:AG207"/>
    <mergeCell ref="AH207:AI207"/>
    <mergeCell ref="AJ207:AK207"/>
    <mergeCell ref="AL207:AM207"/>
    <mergeCell ref="AN207:AO207"/>
    <mergeCell ref="AP207:AQ207"/>
    <mergeCell ref="AR207:AS207"/>
    <mergeCell ref="C208:F208"/>
    <mergeCell ref="G208:H208"/>
    <mergeCell ref="I208:J208"/>
    <mergeCell ref="K208:L208"/>
    <mergeCell ref="M208:N208"/>
    <mergeCell ref="O208:P208"/>
    <mergeCell ref="Q208:R208"/>
    <mergeCell ref="S208:T208"/>
    <mergeCell ref="W208:X208"/>
    <mergeCell ref="Z208:AC208"/>
    <mergeCell ref="AD208:AG208"/>
    <mergeCell ref="AH208:AI208"/>
    <mergeCell ref="AJ208:AK208"/>
    <mergeCell ref="AL208:AM208"/>
    <mergeCell ref="AN208:AO208"/>
    <mergeCell ref="AP208:AQ208"/>
    <mergeCell ref="C210:F210"/>
    <mergeCell ref="G210:H210"/>
    <mergeCell ref="I210:J210"/>
    <mergeCell ref="K210:L210"/>
    <mergeCell ref="M210:N210"/>
    <mergeCell ref="O210:P210"/>
    <mergeCell ref="Q210:R210"/>
    <mergeCell ref="S210:T210"/>
    <mergeCell ref="W210:X210"/>
    <mergeCell ref="U208:V208"/>
    <mergeCell ref="U209:V209"/>
    <mergeCell ref="U210:V210"/>
    <mergeCell ref="AR211:AS211"/>
    <mergeCell ref="C212:F212"/>
    <mergeCell ref="G212:H212"/>
    <mergeCell ref="I212:J212"/>
    <mergeCell ref="K209:L209"/>
    <mergeCell ref="M209:N209"/>
    <mergeCell ref="O209:P209"/>
    <mergeCell ref="Q209:R209"/>
    <mergeCell ref="S209:T209"/>
    <mergeCell ref="W209:X209"/>
    <mergeCell ref="Z209:AC209"/>
    <mergeCell ref="AD209:AG209"/>
    <mergeCell ref="AH209:AI209"/>
    <mergeCell ref="AJ209:AK209"/>
    <mergeCell ref="AL209:AM209"/>
    <mergeCell ref="AN209:AO209"/>
    <mergeCell ref="AP209:AQ209"/>
    <mergeCell ref="AR209:AS209"/>
    <mergeCell ref="Z210:AC210"/>
    <mergeCell ref="AD210:AG210"/>
    <mergeCell ref="AH210:AI210"/>
    <mergeCell ref="AJ210:AK210"/>
    <mergeCell ref="AL210:AM210"/>
    <mergeCell ref="AN210:AO210"/>
    <mergeCell ref="AP210:AQ210"/>
    <mergeCell ref="AR210:AS210"/>
    <mergeCell ref="C211:F211"/>
    <mergeCell ref="G211:H211"/>
    <mergeCell ref="I211:J211"/>
    <mergeCell ref="K211:L211"/>
    <mergeCell ref="M211:N211"/>
    <mergeCell ref="O211:P211"/>
    <mergeCell ref="Q211:R211"/>
    <mergeCell ref="S211:T211"/>
    <mergeCell ref="W211:X211"/>
    <mergeCell ref="Z211:AC211"/>
    <mergeCell ref="AD211:AG211"/>
    <mergeCell ref="AH211:AI211"/>
    <mergeCell ref="AJ211:AK211"/>
    <mergeCell ref="AL211:AM211"/>
    <mergeCell ref="AN211:AO211"/>
    <mergeCell ref="AP211:AQ211"/>
    <mergeCell ref="C213:F213"/>
    <mergeCell ref="G213:H213"/>
    <mergeCell ref="I213:J213"/>
    <mergeCell ref="K213:L213"/>
    <mergeCell ref="M213:N213"/>
    <mergeCell ref="O213:P213"/>
    <mergeCell ref="Q213:R213"/>
    <mergeCell ref="S213:T213"/>
    <mergeCell ref="W213:X213"/>
    <mergeCell ref="U211:V211"/>
    <mergeCell ref="U212:V212"/>
    <mergeCell ref="U213:V213"/>
    <mergeCell ref="AR214:AS214"/>
    <mergeCell ref="C215:F215"/>
    <mergeCell ref="G215:H215"/>
    <mergeCell ref="I215:J215"/>
    <mergeCell ref="K212:L212"/>
    <mergeCell ref="M212:N212"/>
    <mergeCell ref="O212:P212"/>
    <mergeCell ref="Q212:R212"/>
    <mergeCell ref="S212:T212"/>
    <mergeCell ref="W212:X212"/>
    <mergeCell ref="Z212:AC212"/>
    <mergeCell ref="AD212:AG212"/>
    <mergeCell ref="AH212:AI212"/>
    <mergeCell ref="AJ212:AK212"/>
    <mergeCell ref="AL212:AM212"/>
    <mergeCell ref="AN212:AO212"/>
    <mergeCell ref="AP212:AQ212"/>
    <mergeCell ref="AR212:AS212"/>
    <mergeCell ref="Z213:AC213"/>
    <mergeCell ref="AD213:AG213"/>
    <mergeCell ref="AH213:AI213"/>
    <mergeCell ref="AJ213:AK213"/>
    <mergeCell ref="AL213:AM213"/>
    <mergeCell ref="AN213:AO213"/>
    <mergeCell ref="AP213:AQ213"/>
    <mergeCell ref="AR213:AS213"/>
    <mergeCell ref="C214:F214"/>
    <mergeCell ref="G214:H214"/>
    <mergeCell ref="I214:J214"/>
    <mergeCell ref="K214:L214"/>
    <mergeCell ref="M214:N214"/>
    <mergeCell ref="O214:P214"/>
    <mergeCell ref="Q214:R214"/>
    <mergeCell ref="S214:T214"/>
    <mergeCell ref="W214:X214"/>
    <mergeCell ref="Z214:AC214"/>
    <mergeCell ref="AD214:AG214"/>
    <mergeCell ref="AH214:AI214"/>
    <mergeCell ref="AJ214:AK214"/>
    <mergeCell ref="AL214:AM214"/>
    <mergeCell ref="AN214:AO214"/>
    <mergeCell ref="AP214:AQ214"/>
    <mergeCell ref="C216:F216"/>
    <mergeCell ref="G216:H216"/>
    <mergeCell ref="I216:J216"/>
    <mergeCell ref="K216:L216"/>
    <mergeCell ref="M216:N216"/>
    <mergeCell ref="O216:P216"/>
    <mergeCell ref="Q216:R216"/>
    <mergeCell ref="S216:T216"/>
    <mergeCell ref="W216:X216"/>
    <mergeCell ref="U214:V214"/>
    <mergeCell ref="U215:V215"/>
    <mergeCell ref="U216:V216"/>
    <mergeCell ref="AR217:AS217"/>
    <mergeCell ref="C218:F218"/>
    <mergeCell ref="G218:H218"/>
    <mergeCell ref="I218:J218"/>
    <mergeCell ref="K215:L215"/>
    <mergeCell ref="M215:N215"/>
    <mergeCell ref="O215:P215"/>
    <mergeCell ref="Q215:R215"/>
    <mergeCell ref="S215:T215"/>
    <mergeCell ref="W215:X215"/>
    <mergeCell ref="Z215:AC215"/>
    <mergeCell ref="AD215:AG215"/>
    <mergeCell ref="AH215:AI215"/>
    <mergeCell ref="AJ215:AK215"/>
    <mergeCell ref="AL215:AM215"/>
    <mergeCell ref="AN215:AO215"/>
    <mergeCell ref="AP215:AQ215"/>
    <mergeCell ref="AR215:AS215"/>
    <mergeCell ref="Z216:AC216"/>
    <mergeCell ref="AD216:AG216"/>
    <mergeCell ref="AH216:AI216"/>
    <mergeCell ref="AJ216:AK216"/>
    <mergeCell ref="AL216:AM216"/>
    <mergeCell ref="AN216:AO216"/>
    <mergeCell ref="AP216:AQ216"/>
    <mergeCell ref="AR216:AS216"/>
    <mergeCell ref="C217:F217"/>
    <mergeCell ref="G217:H217"/>
    <mergeCell ref="I217:J217"/>
    <mergeCell ref="K217:L217"/>
    <mergeCell ref="M217:N217"/>
    <mergeCell ref="O217:P217"/>
    <mergeCell ref="Q217:R217"/>
    <mergeCell ref="S217:T217"/>
    <mergeCell ref="W217:X217"/>
    <mergeCell ref="Z217:AC217"/>
    <mergeCell ref="AD217:AG217"/>
    <mergeCell ref="AH217:AI217"/>
    <mergeCell ref="AJ217:AK217"/>
    <mergeCell ref="AL217:AM217"/>
    <mergeCell ref="AN217:AO217"/>
    <mergeCell ref="AP217:AQ217"/>
    <mergeCell ref="C219:F219"/>
    <mergeCell ref="G219:H219"/>
    <mergeCell ref="I219:J219"/>
    <mergeCell ref="K219:L219"/>
    <mergeCell ref="M219:N219"/>
    <mergeCell ref="O219:P219"/>
    <mergeCell ref="Q219:R219"/>
    <mergeCell ref="S219:T219"/>
    <mergeCell ref="W219:X219"/>
    <mergeCell ref="U217:V217"/>
    <mergeCell ref="U218:V218"/>
    <mergeCell ref="U219:V219"/>
    <mergeCell ref="AR220:AS220"/>
    <mergeCell ref="C221:F221"/>
    <mergeCell ref="G221:H221"/>
    <mergeCell ref="I221:J221"/>
    <mergeCell ref="K218:L218"/>
    <mergeCell ref="M218:N218"/>
    <mergeCell ref="O218:P218"/>
    <mergeCell ref="Q218:R218"/>
    <mergeCell ref="S218:T218"/>
    <mergeCell ref="W218:X218"/>
    <mergeCell ref="Z218:AC218"/>
    <mergeCell ref="AD218:AG218"/>
    <mergeCell ref="AH218:AI218"/>
    <mergeCell ref="AJ218:AK218"/>
    <mergeCell ref="AL218:AM218"/>
    <mergeCell ref="AN218:AO218"/>
    <mergeCell ref="AP218:AQ218"/>
    <mergeCell ref="AR218:AS218"/>
    <mergeCell ref="Z219:AC219"/>
    <mergeCell ref="AD219:AG219"/>
    <mergeCell ref="AH219:AI219"/>
    <mergeCell ref="AJ219:AK219"/>
    <mergeCell ref="AL219:AM219"/>
    <mergeCell ref="AN219:AO219"/>
    <mergeCell ref="AP219:AQ219"/>
    <mergeCell ref="AR219:AS219"/>
    <mergeCell ref="C220:F220"/>
    <mergeCell ref="G220:H220"/>
    <mergeCell ref="I220:J220"/>
    <mergeCell ref="K220:L220"/>
    <mergeCell ref="M220:N220"/>
    <mergeCell ref="O220:P220"/>
    <mergeCell ref="Q220:R220"/>
    <mergeCell ref="S220:T220"/>
    <mergeCell ref="W220:X220"/>
    <mergeCell ref="Z220:AC220"/>
    <mergeCell ref="AD220:AG220"/>
    <mergeCell ref="AH220:AI220"/>
    <mergeCell ref="AJ220:AK220"/>
    <mergeCell ref="AL220:AM220"/>
    <mergeCell ref="AN220:AO220"/>
    <mergeCell ref="AP220:AQ220"/>
    <mergeCell ref="C222:F222"/>
    <mergeCell ref="G222:H222"/>
    <mergeCell ref="I222:J222"/>
    <mergeCell ref="K222:L222"/>
    <mergeCell ref="M222:N222"/>
    <mergeCell ref="O222:P222"/>
    <mergeCell ref="Q222:R222"/>
    <mergeCell ref="S222:T222"/>
    <mergeCell ref="W222:X222"/>
    <mergeCell ref="U220:V220"/>
    <mergeCell ref="U221:V221"/>
    <mergeCell ref="U222:V222"/>
    <mergeCell ref="AR223:AS223"/>
    <mergeCell ref="C224:F224"/>
    <mergeCell ref="G224:H224"/>
    <mergeCell ref="I224:J224"/>
    <mergeCell ref="K221:L221"/>
    <mergeCell ref="M221:N221"/>
    <mergeCell ref="O221:P221"/>
    <mergeCell ref="Q221:R221"/>
    <mergeCell ref="S221:T221"/>
    <mergeCell ref="W221:X221"/>
    <mergeCell ref="Z221:AC221"/>
    <mergeCell ref="AD221:AG221"/>
    <mergeCell ref="AH221:AI221"/>
    <mergeCell ref="AJ221:AK221"/>
    <mergeCell ref="AL221:AM221"/>
    <mergeCell ref="AN221:AO221"/>
    <mergeCell ref="AP221:AQ221"/>
    <mergeCell ref="AR221:AS221"/>
    <mergeCell ref="Z222:AC222"/>
    <mergeCell ref="AD222:AG222"/>
    <mergeCell ref="AH222:AI222"/>
    <mergeCell ref="AJ222:AK222"/>
    <mergeCell ref="AL222:AM222"/>
    <mergeCell ref="AN222:AO222"/>
    <mergeCell ref="AP222:AQ222"/>
    <mergeCell ref="AR222:AS222"/>
    <mergeCell ref="C223:F223"/>
    <mergeCell ref="G223:H223"/>
    <mergeCell ref="I223:J223"/>
    <mergeCell ref="K223:L223"/>
    <mergeCell ref="M223:N223"/>
    <mergeCell ref="O223:P223"/>
    <mergeCell ref="Q223:R223"/>
    <mergeCell ref="S223:T223"/>
    <mergeCell ref="W223:X223"/>
    <mergeCell ref="Z223:AC223"/>
    <mergeCell ref="AD223:AG223"/>
    <mergeCell ref="AH223:AI223"/>
    <mergeCell ref="AJ223:AK223"/>
    <mergeCell ref="AL223:AM223"/>
    <mergeCell ref="AN223:AO223"/>
    <mergeCell ref="AP223:AQ223"/>
    <mergeCell ref="C225:F225"/>
    <mergeCell ref="G225:H225"/>
    <mergeCell ref="I225:J225"/>
    <mergeCell ref="K225:L225"/>
    <mergeCell ref="M225:N225"/>
    <mergeCell ref="O225:P225"/>
    <mergeCell ref="Q225:R225"/>
    <mergeCell ref="S225:T225"/>
    <mergeCell ref="W225:X225"/>
    <mergeCell ref="U223:V223"/>
    <mergeCell ref="U224:V224"/>
    <mergeCell ref="U225:V225"/>
    <mergeCell ref="AR226:AS226"/>
    <mergeCell ref="C227:F227"/>
    <mergeCell ref="G227:H227"/>
    <mergeCell ref="I227:J227"/>
    <mergeCell ref="K224:L224"/>
    <mergeCell ref="M224:N224"/>
    <mergeCell ref="O224:P224"/>
    <mergeCell ref="Q224:R224"/>
    <mergeCell ref="S224:T224"/>
    <mergeCell ref="W224:X224"/>
    <mergeCell ref="Z224:AC224"/>
    <mergeCell ref="AD224:AG224"/>
    <mergeCell ref="AH224:AI224"/>
    <mergeCell ref="AJ224:AK224"/>
    <mergeCell ref="AL224:AM224"/>
    <mergeCell ref="AN224:AO224"/>
    <mergeCell ref="AP224:AQ224"/>
    <mergeCell ref="AR224:AS224"/>
    <mergeCell ref="Z225:AC225"/>
    <mergeCell ref="AD225:AG225"/>
    <mergeCell ref="AH225:AI225"/>
    <mergeCell ref="AJ225:AK225"/>
    <mergeCell ref="AL225:AM225"/>
    <mergeCell ref="AN225:AO225"/>
    <mergeCell ref="AP225:AQ225"/>
    <mergeCell ref="AR225:AS225"/>
    <mergeCell ref="C226:F226"/>
    <mergeCell ref="G226:H226"/>
    <mergeCell ref="I226:J226"/>
    <mergeCell ref="K226:L226"/>
    <mergeCell ref="M226:N226"/>
    <mergeCell ref="O226:P226"/>
    <mergeCell ref="Q226:R226"/>
    <mergeCell ref="S226:T226"/>
    <mergeCell ref="W226:X226"/>
    <mergeCell ref="Z226:AC226"/>
    <mergeCell ref="AD226:AG226"/>
    <mergeCell ref="AH226:AI226"/>
    <mergeCell ref="AJ226:AK226"/>
    <mergeCell ref="AL226:AM226"/>
    <mergeCell ref="AN226:AO226"/>
    <mergeCell ref="AP226:AQ226"/>
    <mergeCell ref="C228:F228"/>
    <mergeCell ref="G228:H228"/>
    <mergeCell ref="I228:J228"/>
    <mergeCell ref="K228:L228"/>
    <mergeCell ref="M228:N228"/>
    <mergeCell ref="O228:P228"/>
    <mergeCell ref="Q228:R228"/>
    <mergeCell ref="S228:T228"/>
    <mergeCell ref="W228:X228"/>
    <mergeCell ref="U226:V226"/>
    <mergeCell ref="U227:V227"/>
    <mergeCell ref="U228:V228"/>
    <mergeCell ref="AR229:AS229"/>
    <mergeCell ref="C230:F230"/>
    <mergeCell ref="G230:H230"/>
    <mergeCell ref="I230:J230"/>
    <mergeCell ref="K227:L227"/>
    <mergeCell ref="M227:N227"/>
    <mergeCell ref="O227:P227"/>
    <mergeCell ref="Q227:R227"/>
    <mergeCell ref="S227:T227"/>
    <mergeCell ref="W227:X227"/>
    <mergeCell ref="Z227:AC227"/>
    <mergeCell ref="AD227:AG227"/>
    <mergeCell ref="AH227:AI227"/>
    <mergeCell ref="AJ227:AK227"/>
    <mergeCell ref="AL227:AM227"/>
    <mergeCell ref="AN227:AO227"/>
    <mergeCell ref="AP227:AQ227"/>
    <mergeCell ref="AR227:AS227"/>
    <mergeCell ref="Z228:AC228"/>
    <mergeCell ref="AD228:AG228"/>
    <mergeCell ref="AH228:AI228"/>
    <mergeCell ref="AJ228:AK228"/>
    <mergeCell ref="AL228:AM228"/>
    <mergeCell ref="AN228:AO228"/>
    <mergeCell ref="AP228:AQ228"/>
    <mergeCell ref="AR228:AS228"/>
    <mergeCell ref="C229:F229"/>
    <mergeCell ref="G229:H229"/>
    <mergeCell ref="I229:J229"/>
    <mergeCell ref="K229:L229"/>
    <mergeCell ref="M229:N229"/>
    <mergeCell ref="O229:P229"/>
    <mergeCell ref="Q229:R229"/>
    <mergeCell ref="S229:T229"/>
    <mergeCell ref="W229:X229"/>
    <mergeCell ref="Z229:AC229"/>
    <mergeCell ref="AD229:AG229"/>
    <mergeCell ref="AH229:AI229"/>
    <mergeCell ref="AJ229:AK229"/>
    <mergeCell ref="AL229:AM229"/>
    <mergeCell ref="AN229:AO229"/>
    <mergeCell ref="AP229:AQ229"/>
    <mergeCell ref="C231:F231"/>
    <mergeCell ref="G231:H231"/>
    <mergeCell ref="I231:J231"/>
    <mergeCell ref="K231:L231"/>
    <mergeCell ref="M231:N231"/>
    <mergeCell ref="O231:P231"/>
    <mergeCell ref="Q231:R231"/>
    <mergeCell ref="S231:T231"/>
    <mergeCell ref="W231:X231"/>
    <mergeCell ref="U229:V229"/>
    <mergeCell ref="U230:V230"/>
    <mergeCell ref="U231:V231"/>
    <mergeCell ref="AR232:AS232"/>
    <mergeCell ref="C233:F233"/>
    <mergeCell ref="G233:H233"/>
    <mergeCell ref="I233:J233"/>
    <mergeCell ref="K230:L230"/>
    <mergeCell ref="M230:N230"/>
    <mergeCell ref="O230:P230"/>
    <mergeCell ref="Q230:R230"/>
    <mergeCell ref="S230:T230"/>
    <mergeCell ref="W230:X230"/>
    <mergeCell ref="Z230:AC230"/>
    <mergeCell ref="AD230:AG230"/>
    <mergeCell ref="AH230:AI230"/>
    <mergeCell ref="AJ230:AK230"/>
    <mergeCell ref="AL230:AM230"/>
    <mergeCell ref="AN230:AO230"/>
    <mergeCell ref="AP230:AQ230"/>
    <mergeCell ref="AR230:AS230"/>
    <mergeCell ref="Z231:AC231"/>
    <mergeCell ref="AD231:AG231"/>
    <mergeCell ref="AH231:AI231"/>
    <mergeCell ref="AJ231:AK231"/>
    <mergeCell ref="AL231:AM231"/>
    <mergeCell ref="AN231:AO231"/>
    <mergeCell ref="AP231:AQ231"/>
    <mergeCell ref="AR231:AS231"/>
    <mergeCell ref="C232:F232"/>
    <mergeCell ref="G232:H232"/>
    <mergeCell ref="I232:J232"/>
    <mergeCell ref="K232:L232"/>
    <mergeCell ref="M232:N232"/>
    <mergeCell ref="O232:P232"/>
    <mergeCell ref="Q232:R232"/>
    <mergeCell ref="S232:T232"/>
    <mergeCell ref="W232:X232"/>
    <mergeCell ref="Z232:AC232"/>
    <mergeCell ref="AD232:AG232"/>
    <mergeCell ref="AH232:AI232"/>
    <mergeCell ref="AJ232:AK232"/>
    <mergeCell ref="AL232:AM232"/>
    <mergeCell ref="AN232:AO232"/>
    <mergeCell ref="AP232:AQ232"/>
    <mergeCell ref="C234:F234"/>
    <mergeCell ref="G234:H234"/>
    <mergeCell ref="I234:J234"/>
    <mergeCell ref="K234:L234"/>
    <mergeCell ref="M234:N234"/>
    <mergeCell ref="O234:P234"/>
    <mergeCell ref="Q234:R234"/>
    <mergeCell ref="S234:T234"/>
    <mergeCell ref="W234:X234"/>
    <mergeCell ref="U232:V232"/>
    <mergeCell ref="U233:V233"/>
    <mergeCell ref="U234:V234"/>
    <mergeCell ref="AR235:AS235"/>
    <mergeCell ref="C236:F236"/>
    <mergeCell ref="G236:H236"/>
    <mergeCell ref="I236:J236"/>
    <mergeCell ref="K233:L233"/>
    <mergeCell ref="M233:N233"/>
    <mergeCell ref="O233:P233"/>
    <mergeCell ref="Q233:R233"/>
    <mergeCell ref="S233:T233"/>
    <mergeCell ref="W233:X233"/>
    <mergeCell ref="Z233:AC233"/>
    <mergeCell ref="AD233:AG233"/>
    <mergeCell ref="AH233:AI233"/>
    <mergeCell ref="AJ233:AK233"/>
    <mergeCell ref="AL233:AM233"/>
    <mergeCell ref="AN233:AO233"/>
    <mergeCell ref="AP233:AQ233"/>
    <mergeCell ref="AR233:AS233"/>
    <mergeCell ref="Z234:AC234"/>
    <mergeCell ref="AD234:AG234"/>
    <mergeCell ref="AH234:AI234"/>
    <mergeCell ref="AJ234:AK234"/>
    <mergeCell ref="AL234:AM234"/>
    <mergeCell ref="AN234:AO234"/>
    <mergeCell ref="AP234:AQ234"/>
    <mergeCell ref="AR234:AS234"/>
    <mergeCell ref="C235:F235"/>
    <mergeCell ref="G235:H235"/>
    <mergeCell ref="I235:J235"/>
    <mergeCell ref="K235:L235"/>
    <mergeCell ref="M235:N235"/>
    <mergeCell ref="O235:P235"/>
    <mergeCell ref="Q235:R235"/>
    <mergeCell ref="S235:T235"/>
    <mergeCell ref="W235:X235"/>
    <mergeCell ref="Z235:AC235"/>
    <mergeCell ref="AD235:AG235"/>
    <mergeCell ref="AH235:AI235"/>
    <mergeCell ref="AJ235:AK235"/>
    <mergeCell ref="AL235:AM235"/>
    <mergeCell ref="AN235:AO235"/>
    <mergeCell ref="AP235:AQ235"/>
    <mergeCell ref="C237:F237"/>
    <mergeCell ref="G237:H237"/>
    <mergeCell ref="I237:J237"/>
    <mergeCell ref="K237:L237"/>
    <mergeCell ref="M237:N237"/>
    <mergeCell ref="O237:P237"/>
    <mergeCell ref="Q237:R237"/>
    <mergeCell ref="S237:T237"/>
    <mergeCell ref="W237:X237"/>
    <mergeCell ref="U235:V235"/>
    <mergeCell ref="U236:V236"/>
    <mergeCell ref="U237:V237"/>
    <mergeCell ref="AR238:AS238"/>
    <mergeCell ref="C239:F239"/>
    <mergeCell ref="G239:H239"/>
    <mergeCell ref="I239:J239"/>
    <mergeCell ref="K236:L236"/>
    <mergeCell ref="M236:N236"/>
    <mergeCell ref="O236:P236"/>
    <mergeCell ref="Q236:R236"/>
    <mergeCell ref="S236:T236"/>
    <mergeCell ref="W236:X236"/>
    <mergeCell ref="Z236:AC236"/>
    <mergeCell ref="AD236:AG236"/>
    <mergeCell ref="AH236:AI236"/>
    <mergeCell ref="AJ236:AK236"/>
    <mergeCell ref="AL236:AM236"/>
    <mergeCell ref="AN236:AO236"/>
    <mergeCell ref="AP236:AQ236"/>
    <mergeCell ref="AR236:AS236"/>
    <mergeCell ref="Z237:AC237"/>
    <mergeCell ref="AD237:AG237"/>
    <mergeCell ref="AH237:AI237"/>
    <mergeCell ref="AJ237:AK237"/>
    <mergeCell ref="AL237:AM237"/>
    <mergeCell ref="AN237:AO237"/>
    <mergeCell ref="AP237:AQ237"/>
    <mergeCell ref="AR237:AS237"/>
    <mergeCell ref="C238:F238"/>
    <mergeCell ref="G238:H238"/>
    <mergeCell ref="I238:J238"/>
    <mergeCell ref="K238:L238"/>
    <mergeCell ref="M238:N238"/>
    <mergeCell ref="O238:P238"/>
    <mergeCell ref="Q238:R238"/>
    <mergeCell ref="S238:T238"/>
    <mergeCell ref="W238:X238"/>
    <mergeCell ref="Z238:AC238"/>
    <mergeCell ref="AD238:AG238"/>
    <mergeCell ref="AH238:AI238"/>
    <mergeCell ref="AJ238:AK238"/>
    <mergeCell ref="AL238:AM238"/>
    <mergeCell ref="AN238:AO238"/>
    <mergeCell ref="AP238:AQ238"/>
    <mergeCell ref="C240:F240"/>
    <mergeCell ref="G240:H240"/>
    <mergeCell ref="I240:J240"/>
    <mergeCell ref="K240:L240"/>
    <mergeCell ref="M240:N240"/>
    <mergeCell ref="O240:P240"/>
    <mergeCell ref="Q240:R240"/>
    <mergeCell ref="S240:T240"/>
    <mergeCell ref="W240:X240"/>
    <mergeCell ref="U238:V238"/>
    <mergeCell ref="U239:V239"/>
    <mergeCell ref="U240:V240"/>
    <mergeCell ref="AR241:AS241"/>
    <mergeCell ref="C242:F242"/>
    <mergeCell ref="G242:H242"/>
    <mergeCell ref="I242:J242"/>
    <mergeCell ref="K239:L239"/>
    <mergeCell ref="M239:N239"/>
    <mergeCell ref="O239:P239"/>
    <mergeCell ref="Q239:R239"/>
    <mergeCell ref="S239:T239"/>
    <mergeCell ref="W239:X239"/>
    <mergeCell ref="Z239:AC239"/>
    <mergeCell ref="AD239:AG239"/>
    <mergeCell ref="AH239:AI239"/>
    <mergeCell ref="AJ239:AK239"/>
    <mergeCell ref="AL239:AM239"/>
    <mergeCell ref="AN239:AO239"/>
    <mergeCell ref="AP239:AQ239"/>
    <mergeCell ref="AR239:AS239"/>
    <mergeCell ref="Z240:AC240"/>
    <mergeCell ref="AD240:AG240"/>
    <mergeCell ref="AH240:AI240"/>
    <mergeCell ref="AJ240:AK240"/>
    <mergeCell ref="AL240:AM240"/>
    <mergeCell ref="AN240:AO240"/>
    <mergeCell ref="AP240:AQ240"/>
    <mergeCell ref="AR240:AS240"/>
    <mergeCell ref="C241:F241"/>
    <mergeCell ref="G241:H241"/>
    <mergeCell ref="I241:J241"/>
    <mergeCell ref="K241:L241"/>
    <mergeCell ref="M241:N241"/>
    <mergeCell ref="O241:P241"/>
    <mergeCell ref="Q241:R241"/>
    <mergeCell ref="S241:T241"/>
    <mergeCell ref="W241:X241"/>
    <mergeCell ref="Z241:AC241"/>
    <mergeCell ref="AD241:AG241"/>
    <mergeCell ref="AH241:AI241"/>
    <mergeCell ref="AJ241:AK241"/>
    <mergeCell ref="AL241:AM241"/>
    <mergeCell ref="AN241:AO241"/>
    <mergeCell ref="AP241:AQ241"/>
    <mergeCell ref="C243:F243"/>
    <mergeCell ref="G243:H243"/>
    <mergeCell ref="I243:J243"/>
    <mergeCell ref="K243:L243"/>
    <mergeCell ref="M243:N243"/>
    <mergeCell ref="O243:P243"/>
    <mergeCell ref="Q243:R243"/>
    <mergeCell ref="S243:T243"/>
    <mergeCell ref="W243:X243"/>
    <mergeCell ref="U241:V241"/>
    <mergeCell ref="U242:V242"/>
    <mergeCell ref="U243:V243"/>
    <mergeCell ref="AR244:AS244"/>
    <mergeCell ref="C245:F245"/>
    <mergeCell ref="G245:H245"/>
    <mergeCell ref="I245:J245"/>
    <mergeCell ref="K242:L242"/>
    <mergeCell ref="M242:N242"/>
    <mergeCell ref="O242:P242"/>
    <mergeCell ref="Q242:R242"/>
    <mergeCell ref="S242:T242"/>
    <mergeCell ref="W242:X242"/>
    <mergeCell ref="Z242:AC242"/>
    <mergeCell ref="AD242:AG242"/>
    <mergeCell ref="AH242:AI242"/>
    <mergeCell ref="AJ242:AK242"/>
    <mergeCell ref="AL242:AM242"/>
    <mergeCell ref="AN242:AO242"/>
    <mergeCell ref="AP242:AQ242"/>
    <mergeCell ref="AR242:AS242"/>
    <mergeCell ref="Z243:AC243"/>
    <mergeCell ref="AD243:AG243"/>
    <mergeCell ref="AH243:AI243"/>
    <mergeCell ref="AJ243:AK243"/>
    <mergeCell ref="AL243:AM243"/>
    <mergeCell ref="AN243:AO243"/>
    <mergeCell ref="AP243:AQ243"/>
    <mergeCell ref="AR243:AS243"/>
    <mergeCell ref="C244:F244"/>
    <mergeCell ref="G244:H244"/>
    <mergeCell ref="I244:J244"/>
    <mergeCell ref="K244:L244"/>
    <mergeCell ref="M244:N244"/>
    <mergeCell ref="O244:P244"/>
    <mergeCell ref="Q244:R244"/>
    <mergeCell ref="S244:T244"/>
    <mergeCell ref="W244:X244"/>
    <mergeCell ref="Z244:AC244"/>
    <mergeCell ref="AD244:AG244"/>
    <mergeCell ref="AH244:AI244"/>
    <mergeCell ref="AJ244:AK244"/>
    <mergeCell ref="AL244:AM244"/>
    <mergeCell ref="AN244:AO244"/>
    <mergeCell ref="AP244:AQ244"/>
    <mergeCell ref="C246:F246"/>
    <mergeCell ref="G246:H246"/>
    <mergeCell ref="I246:J246"/>
    <mergeCell ref="K246:L246"/>
    <mergeCell ref="M246:N246"/>
    <mergeCell ref="O246:P246"/>
    <mergeCell ref="Q246:R246"/>
    <mergeCell ref="S246:T246"/>
    <mergeCell ref="W246:X246"/>
    <mergeCell ref="U244:V244"/>
    <mergeCell ref="U245:V245"/>
    <mergeCell ref="U246:V246"/>
    <mergeCell ref="AR247:AS247"/>
    <mergeCell ref="C248:F248"/>
    <mergeCell ref="G248:H248"/>
    <mergeCell ref="I248:J248"/>
    <mergeCell ref="K245:L245"/>
    <mergeCell ref="M245:N245"/>
    <mergeCell ref="O245:P245"/>
    <mergeCell ref="Q245:R245"/>
    <mergeCell ref="S245:T245"/>
    <mergeCell ref="W245:X245"/>
    <mergeCell ref="Z245:AC245"/>
    <mergeCell ref="AD245:AG245"/>
    <mergeCell ref="AH245:AI245"/>
    <mergeCell ref="AJ245:AK245"/>
    <mergeCell ref="AL245:AM245"/>
    <mergeCell ref="AN245:AO245"/>
    <mergeCell ref="AP245:AQ245"/>
    <mergeCell ref="AR245:AS245"/>
    <mergeCell ref="Z246:AC246"/>
    <mergeCell ref="AD246:AG246"/>
    <mergeCell ref="AH246:AI246"/>
    <mergeCell ref="AJ246:AK246"/>
    <mergeCell ref="AL246:AM246"/>
    <mergeCell ref="AN246:AO246"/>
    <mergeCell ref="AP246:AQ246"/>
    <mergeCell ref="AR246:AS246"/>
    <mergeCell ref="C247:F247"/>
    <mergeCell ref="G247:H247"/>
    <mergeCell ref="I247:J247"/>
    <mergeCell ref="K247:L247"/>
    <mergeCell ref="M247:N247"/>
    <mergeCell ref="O247:P247"/>
    <mergeCell ref="Q247:R247"/>
    <mergeCell ref="S247:T247"/>
    <mergeCell ref="W247:X247"/>
    <mergeCell ref="Z247:AC247"/>
    <mergeCell ref="AD247:AG247"/>
    <mergeCell ref="AH247:AI247"/>
    <mergeCell ref="AJ247:AK247"/>
    <mergeCell ref="AL247:AM247"/>
    <mergeCell ref="AN247:AO247"/>
    <mergeCell ref="AP247:AQ247"/>
    <mergeCell ref="C249:F249"/>
    <mergeCell ref="G249:H249"/>
    <mergeCell ref="I249:J249"/>
    <mergeCell ref="K249:L249"/>
    <mergeCell ref="M249:N249"/>
    <mergeCell ref="O249:P249"/>
    <mergeCell ref="Q249:R249"/>
    <mergeCell ref="S249:T249"/>
    <mergeCell ref="W249:X249"/>
    <mergeCell ref="U247:V247"/>
    <mergeCell ref="U248:V248"/>
    <mergeCell ref="U249:V249"/>
    <mergeCell ref="AR250:AS250"/>
    <mergeCell ref="C251:F251"/>
    <mergeCell ref="G251:H251"/>
    <mergeCell ref="I251:J251"/>
    <mergeCell ref="K248:L248"/>
    <mergeCell ref="M248:N248"/>
    <mergeCell ref="O248:P248"/>
    <mergeCell ref="Q248:R248"/>
    <mergeCell ref="S248:T248"/>
    <mergeCell ref="W248:X248"/>
    <mergeCell ref="Z248:AC248"/>
    <mergeCell ref="AD248:AG248"/>
    <mergeCell ref="AH248:AI248"/>
    <mergeCell ref="AJ248:AK248"/>
    <mergeCell ref="AL248:AM248"/>
    <mergeCell ref="AN248:AO248"/>
    <mergeCell ref="AP248:AQ248"/>
    <mergeCell ref="AR248:AS248"/>
    <mergeCell ref="Z249:AC249"/>
    <mergeCell ref="AD249:AG249"/>
    <mergeCell ref="AH249:AI249"/>
    <mergeCell ref="AJ249:AK249"/>
    <mergeCell ref="AL249:AM249"/>
    <mergeCell ref="AN249:AO249"/>
    <mergeCell ref="AP249:AQ249"/>
    <mergeCell ref="AR249:AS249"/>
    <mergeCell ref="C250:F250"/>
    <mergeCell ref="G250:H250"/>
    <mergeCell ref="I250:J250"/>
    <mergeCell ref="K250:L250"/>
    <mergeCell ref="M250:N250"/>
    <mergeCell ref="O250:P250"/>
    <mergeCell ref="Q250:R250"/>
    <mergeCell ref="S250:T250"/>
    <mergeCell ref="W250:X250"/>
    <mergeCell ref="Z250:AC250"/>
    <mergeCell ref="AD250:AG250"/>
    <mergeCell ref="AH250:AI250"/>
    <mergeCell ref="AJ250:AK250"/>
    <mergeCell ref="AL250:AM250"/>
    <mergeCell ref="AN250:AO250"/>
    <mergeCell ref="AP250:AQ250"/>
    <mergeCell ref="C252:F252"/>
    <mergeCell ref="G252:H252"/>
    <mergeCell ref="I252:J252"/>
    <mergeCell ref="K252:L252"/>
    <mergeCell ref="M252:N252"/>
    <mergeCell ref="O252:P252"/>
    <mergeCell ref="Q252:R252"/>
    <mergeCell ref="S252:T252"/>
    <mergeCell ref="W252:X252"/>
    <mergeCell ref="U250:V250"/>
    <mergeCell ref="U251:V251"/>
    <mergeCell ref="U252:V252"/>
    <mergeCell ref="AR253:AS253"/>
    <mergeCell ref="C254:F254"/>
    <mergeCell ref="G254:H254"/>
    <mergeCell ref="I254:J254"/>
    <mergeCell ref="K251:L251"/>
    <mergeCell ref="M251:N251"/>
    <mergeCell ref="O251:P251"/>
    <mergeCell ref="Q251:R251"/>
    <mergeCell ref="S251:T251"/>
    <mergeCell ref="W251:X251"/>
    <mergeCell ref="Z251:AC251"/>
    <mergeCell ref="AD251:AG251"/>
    <mergeCell ref="AH251:AI251"/>
    <mergeCell ref="AJ251:AK251"/>
    <mergeCell ref="AL251:AM251"/>
    <mergeCell ref="AN251:AO251"/>
    <mergeCell ref="AP251:AQ251"/>
    <mergeCell ref="AR251:AS251"/>
    <mergeCell ref="Z252:AC252"/>
    <mergeCell ref="AD252:AG252"/>
    <mergeCell ref="AH252:AI252"/>
    <mergeCell ref="AJ252:AK252"/>
    <mergeCell ref="AL252:AM252"/>
    <mergeCell ref="AN252:AO252"/>
    <mergeCell ref="AP252:AQ252"/>
    <mergeCell ref="AR252:AS252"/>
    <mergeCell ref="C253:F253"/>
    <mergeCell ref="G253:H253"/>
    <mergeCell ref="I253:J253"/>
    <mergeCell ref="K253:L253"/>
    <mergeCell ref="M253:N253"/>
    <mergeCell ref="O253:P253"/>
    <mergeCell ref="Q253:R253"/>
    <mergeCell ref="S253:T253"/>
    <mergeCell ref="W253:X253"/>
    <mergeCell ref="Z253:AC253"/>
    <mergeCell ref="AD253:AG253"/>
    <mergeCell ref="AH253:AI253"/>
    <mergeCell ref="AJ253:AK253"/>
    <mergeCell ref="AL253:AM253"/>
    <mergeCell ref="AN253:AO253"/>
    <mergeCell ref="AP253:AQ253"/>
    <mergeCell ref="C255:F255"/>
    <mergeCell ref="G255:H255"/>
    <mergeCell ref="I255:J255"/>
    <mergeCell ref="K255:L255"/>
    <mergeCell ref="M255:N255"/>
    <mergeCell ref="O255:P255"/>
    <mergeCell ref="Q255:R255"/>
    <mergeCell ref="S255:T255"/>
    <mergeCell ref="W255:X255"/>
    <mergeCell ref="U253:V253"/>
    <mergeCell ref="U254:V254"/>
    <mergeCell ref="U255:V255"/>
    <mergeCell ref="AR256:AS256"/>
    <mergeCell ref="C257:F257"/>
    <mergeCell ref="G257:H257"/>
    <mergeCell ref="I257:J257"/>
    <mergeCell ref="K254:L254"/>
    <mergeCell ref="M254:N254"/>
    <mergeCell ref="O254:P254"/>
    <mergeCell ref="Q254:R254"/>
    <mergeCell ref="S254:T254"/>
    <mergeCell ref="W254:X254"/>
    <mergeCell ref="Z254:AC254"/>
    <mergeCell ref="AD254:AG254"/>
    <mergeCell ref="AH254:AI254"/>
    <mergeCell ref="AJ254:AK254"/>
    <mergeCell ref="AL254:AM254"/>
    <mergeCell ref="AN254:AO254"/>
    <mergeCell ref="AP254:AQ254"/>
    <mergeCell ref="AR254:AS254"/>
    <mergeCell ref="Z255:AC255"/>
    <mergeCell ref="AD255:AG255"/>
    <mergeCell ref="AH255:AI255"/>
    <mergeCell ref="AJ255:AK255"/>
    <mergeCell ref="AL255:AM255"/>
    <mergeCell ref="AN255:AO255"/>
    <mergeCell ref="AP255:AQ255"/>
    <mergeCell ref="AR255:AS255"/>
    <mergeCell ref="C256:F256"/>
    <mergeCell ref="G256:H256"/>
    <mergeCell ref="I256:J256"/>
    <mergeCell ref="K256:L256"/>
    <mergeCell ref="M256:N256"/>
    <mergeCell ref="O256:P256"/>
    <mergeCell ref="Q256:R256"/>
    <mergeCell ref="S256:T256"/>
    <mergeCell ref="W256:X256"/>
    <mergeCell ref="Z256:AC256"/>
    <mergeCell ref="AD256:AG256"/>
    <mergeCell ref="AH256:AI256"/>
    <mergeCell ref="AJ256:AK256"/>
    <mergeCell ref="AL256:AM256"/>
    <mergeCell ref="AN256:AO256"/>
    <mergeCell ref="AP256:AQ256"/>
    <mergeCell ref="C258:F258"/>
    <mergeCell ref="G258:H258"/>
    <mergeCell ref="I258:J258"/>
    <mergeCell ref="K258:L258"/>
    <mergeCell ref="M258:N258"/>
    <mergeCell ref="O258:P258"/>
    <mergeCell ref="Q258:R258"/>
    <mergeCell ref="S258:T258"/>
    <mergeCell ref="W258:X258"/>
    <mergeCell ref="U256:V256"/>
    <mergeCell ref="U257:V257"/>
    <mergeCell ref="U258:V258"/>
    <mergeCell ref="AR259:AS259"/>
    <mergeCell ref="C260:F260"/>
    <mergeCell ref="G260:H260"/>
    <mergeCell ref="I260:J260"/>
    <mergeCell ref="K257:L257"/>
    <mergeCell ref="M257:N257"/>
    <mergeCell ref="O257:P257"/>
    <mergeCell ref="Q257:R257"/>
    <mergeCell ref="S257:T257"/>
    <mergeCell ref="W257:X257"/>
    <mergeCell ref="Z257:AC257"/>
    <mergeCell ref="AD257:AG257"/>
    <mergeCell ref="AH257:AI257"/>
    <mergeCell ref="AJ257:AK257"/>
    <mergeCell ref="AL257:AM257"/>
    <mergeCell ref="AN257:AO257"/>
    <mergeCell ref="AP257:AQ257"/>
    <mergeCell ref="AR257:AS257"/>
    <mergeCell ref="Z258:AC258"/>
    <mergeCell ref="AD258:AG258"/>
    <mergeCell ref="AH258:AI258"/>
    <mergeCell ref="AJ258:AK258"/>
    <mergeCell ref="AL258:AM258"/>
    <mergeCell ref="AN258:AO258"/>
    <mergeCell ref="AP258:AQ258"/>
    <mergeCell ref="AR258:AS258"/>
    <mergeCell ref="C259:F259"/>
    <mergeCell ref="G259:H259"/>
    <mergeCell ref="I259:J259"/>
    <mergeCell ref="K259:L259"/>
    <mergeCell ref="M259:N259"/>
    <mergeCell ref="O259:P259"/>
    <mergeCell ref="Q259:R259"/>
    <mergeCell ref="S259:T259"/>
    <mergeCell ref="W259:X259"/>
    <mergeCell ref="Z259:AC259"/>
    <mergeCell ref="AD259:AG259"/>
    <mergeCell ref="AH259:AI259"/>
    <mergeCell ref="AJ259:AK259"/>
    <mergeCell ref="AL259:AM259"/>
    <mergeCell ref="AN259:AO259"/>
    <mergeCell ref="AP259:AQ259"/>
    <mergeCell ref="C261:F261"/>
    <mergeCell ref="G261:H261"/>
    <mergeCell ref="I261:J261"/>
    <mergeCell ref="K261:L261"/>
    <mergeCell ref="M261:N261"/>
    <mergeCell ref="O261:P261"/>
    <mergeCell ref="Q261:R261"/>
    <mergeCell ref="S261:T261"/>
    <mergeCell ref="W261:X261"/>
    <mergeCell ref="U259:V259"/>
    <mergeCell ref="U260:V260"/>
    <mergeCell ref="U261:V261"/>
    <mergeCell ref="AR262:AS262"/>
    <mergeCell ref="C263:F263"/>
    <mergeCell ref="G263:H263"/>
    <mergeCell ref="I263:J263"/>
    <mergeCell ref="K260:L260"/>
    <mergeCell ref="M260:N260"/>
    <mergeCell ref="O260:P260"/>
    <mergeCell ref="Q260:R260"/>
    <mergeCell ref="S260:T260"/>
    <mergeCell ref="W260:X260"/>
    <mergeCell ref="Z260:AC260"/>
    <mergeCell ref="AD260:AG260"/>
    <mergeCell ref="AH260:AI260"/>
    <mergeCell ref="AJ260:AK260"/>
    <mergeCell ref="AL260:AM260"/>
    <mergeCell ref="AN260:AO260"/>
    <mergeCell ref="AP260:AQ260"/>
    <mergeCell ref="AR260:AS260"/>
    <mergeCell ref="Z261:AC261"/>
    <mergeCell ref="AD261:AG261"/>
    <mergeCell ref="AH261:AI261"/>
    <mergeCell ref="AJ261:AK261"/>
    <mergeCell ref="AL261:AM261"/>
    <mergeCell ref="AN261:AO261"/>
    <mergeCell ref="AP261:AQ261"/>
    <mergeCell ref="AR261:AS261"/>
    <mergeCell ref="C262:F262"/>
    <mergeCell ref="G262:H262"/>
    <mergeCell ref="I262:J262"/>
    <mergeCell ref="K262:L262"/>
    <mergeCell ref="M262:N262"/>
    <mergeCell ref="O262:P262"/>
    <mergeCell ref="Q262:R262"/>
    <mergeCell ref="S262:T262"/>
    <mergeCell ref="W262:X262"/>
    <mergeCell ref="Z262:AC262"/>
    <mergeCell ref="AD262:AG262"/>
    <mergeCell ref="AH262:AI262"/>
    <mergeCell ref="AJ262:AK262"/>
    <mergeCell ref="AL262:AM262"/>
    <mergeCell ref="AN262:AO262"/>
    <mergeCell ref="AP262:AQ262"/>
    <mergeCell ref="C264:F264"/>
    <mergeCell ref="G264:H264"/>
    <mergeCell ref="I264:J264"/>
    <mergeCell ref="K264:L264"/>
    <mergeCell ref="M264:N264"/>
    <mergeCell ref="O264:P264"/>
    <mergeCell ref="Q264:R264"/>
    <mergeCell ref="S264:T264"/>
    <mergeCell ref="W264:X264"/>
    <mergeCell ref="U262:V262"/>
    <mergeCell ref="U263:V263"/>
    <mergeCell ref="U264:V264"/>
    <mergeCell ref="AR265:AS265"/>
    <mergeCell ref="C266:F266"/>
    <mergeCell ref="G266:H266"/>
    <mergeCell ref="I266:J266"/>
    <mergeCell ref="K263:L263"/>
    <mergeCell ref="M263:N263"/>
    <mergeCell ref="O263:P263"/>
    <mergeCell ref="Q263:R263"/>
    <mergeCell ref="S263:T263"/>
    <mergeCell ref="W263:X263"/>
    <mergeCell ref="Z263:AC263"/>
    <mergeCell ref="AD263:AG263"/>
    <mergeCell ref="AH263:AI263"/>
    <mergeCell ref="AJ263:AK263"/>
    <mergeCell ref="AL263:AM263"/>
    <mergeCell ref="AN263:AO263"/>
    <mergeCell ref="AP263:AQ263"/>
    <mergeCell ref="AR263:AS263"/>
    <mergeCell ref="Z264:AC264"/>
    <mergeCell ref="AD264:AG264"/>
    <mergeCell ref="AH264:AI264"/>
    <mergeCell ref="AJ264:AK264"/>
    <mergeCell ref="AL264:AM264"/>
    <mergeCell ref="AN264:AO264"/>
    <mergeCell ref="AP264:AQ264"/>
    <mergeCell ref="AR264:AS264"/>
    <mergeCell ref="C265:F265"/>
    <mergeCell ref="G265:H265"/>
    <mergeCell ref="I265:J265"/>
    <mergeCell ref="K265:L265"/>
    <mergeCell ref="M265:N265"/>
    <mergeCell ref="O265:P265"/>
    <mergeCell ref="Q265:R265"/>
    <mergeCell ref="S265:T265"/>
    <mergeCell ref="W265:X265"/>
    <mergeCell ref="Z265:AC265"/>
    <mergeCell ref="AD265:AG265"/>
    <mergeCell ref="AH265:AI265"/>
    <mergeCell ref="AJ265:AK265"/>
    <mergeCell ref="AL265:AM265"/>
    <mergeCell ref="AN265:AO265"/>
    <mergeCell ref="AP265:AQ265"/>
    <mergeCell ref="C267:F267"/>
    <mergeCell ref="G267:H267"/>
    <mergeCell ref="I267:J267"/>
    <mergeCell ref="K267:L267"/>
    <mergeCell ref="M267:N267"/>
    <mergeCell ref="O267:P267"/>
    <mergeCell ref="Q267:R267"/>
    <mergeCell ref="S267:T267"/>
    <mergeCell ref="W267:X267"/>
    <mergeCell ref="U265:V265"/>
    <mergeCell ref="U266:V266"/>
    <mergeCell ref="U267:V267"/>
    <mergeCell ref="AR268:AS268"/>
    <mergeCell ref="C269:F269"/>
    <mergeCell ref="G269:H269"/>
    <mergeCell ref="I269:J269"/>
    <mergeCell ref="K266:L266"/>
    <mergeCell ref="M266:N266"/>
    <mergeCell ref="O266:P266"/>
    <mergeCell ref="Q266:R266"/>
    <mergeCell ref="S266:T266"/>
    <mergeCell ref="W266:X266"/>
    <mergeCell ref="Z266:AC266"/>
    <mergeCell ref="AD266:AG266"/>
    <mergeCell ref="AH266:AI266"/>
    <mergeCell ref="AJ266:AK266"/>
    <mergeCell ref="AL266:AM266"/>
    <mergeCell ref="AN266:AO266"/>
    <mergeCell ref="AP266:AQ266"/>
    <mergeCell ref="AR266:AS266"/>
    <mergeCell ref="Z267:AC267"/>
    <mergeCell ref="AD267:AG267"/>
    <mergeCell ref="AH267:AI267"/>
    <mergeCell ref="AJ267:AK267"/>
    <mergeCell ref="AL267:AM267"/>
    <mergeCell ref="AN267:AO267"/>
    <mergeCell ref="AP267:AQ267"/>
    <mergeCell ref="AR267:AS267"/>
    <mergeCell ref="C268:F268"/>
    <mergeCell ref="G268:H268"/>
    <mergeCell ref="I268:J268"/>
    <mergeCell ref="K268:L268"/>
    <mergeCell ref="M268:N268"/>
    <mergeCell ref="O268:P268"/>
    <mergeCell ref="Q268:R268"/>
    <mergeCell ref="S268:T268"/>
    <mergeCell ref="W268:X268"/>
    <mergeCell ref="Z268:AC268"/>
    <mergeCell ref="AD268:AG268"/>
    <mergeCell ref="AH268:AI268"/>
    <mergeCell ref="AJ268:AK268"/>
    <mergeCell ref="AL268:AM268"/>
    <mergeCell ref="AN268:AO268"/>
    <mergeCell ref="AP268:AQ268"/>
    <mergeCell ref="C270:F270"/>
    <mergeCell ref="G270:H270"/>
    <mergeCell ref="I270:J270"/>
    <mergeCell ref="K270:L270"/>
    <mergeCell ref="M270:N270"/>
    <mergeCell ref="O270:P270"/>
    <mergeCell ref="Q270:R270"/>
    <mergeCell ref="S270:T270"/>
    <mergeCell ref="W270:X270"/>
    <mergeCell ref="U268:V268"/>
    <mergeCell ref="U269:V269"/>
    <mergeCell ref="U270:V270"/>
    <mergeCell ref="AR271:AS271"/>
    <mergeCell ref="C272:F272"/>
    <mergeCell ref="G272:H272"/>
    <mergeCell ref="I272:J272"/>
    <mergeCell ref="K269:L269"/>
    <mergeCell ref="M269:N269"/>
    <mergeCell ref="O269:P269"/>
    <mergeCell ref="Q269:R269"/>
    <mergeCell ref="S269:T269"/>
    <mergeCell ref="W269:X269"/>
    <mergeCell ref="Z269:AC269"/>
    <mergeCell ref="AD269:AG269"/>
    <mergeCell ref="AH269:AI269"/>
    <mergeCell ref="AJ269:AK269"/>
    <mergeCell ref="AL269:AM269"/>
    <mergeCell ref="AN269:AO269"/>
    <mergeCell ref="AP269:AQ269"/>
    <mergeCell ref="AR269:AS269"/>
    <mergeCell ref="Z270:AC270"/>
    <mergeCell ref="AD270:AG270"/>
    <mergeCell ref="AH270:AI270"/>
    <mergeCell ref="AJ270:AK270"/>
    <mergeCell ref="AL270:AM270"/>
    <mergeCell ref="AN270:AO270"/>
    <mergeCell ref="AP270:AQ270"/>
    <mergeCell ref="AR270:AS270"/>
    <mergeCell ref="C271:F271"/>
    <mergeCell ref="G271:H271"/>
    <mergeCell ref="I271:J271"/>
    <mergeCell ref="K271:L271"/>
    <mergeCell ref="M271:N271"/>
    <mergeCell ref="O271:P271"/>
    <mergeCell ref="Q271:R271"/>
    <mergeCell ref="S271:T271"/>
    <mergeCell ref="W271:X271"/>
    <mergeCell ref="Z271:AC271"/>
    <mergeCell ref="AD271:AG271"/>
    <mergeCell ref="AH271:AI271"/>
    <mergeCell ref="AJ271:AK271"/>
    <mergeCell ref="AL271:AM271"/>
    <mergeCell ref="AN271:AO271"/>
    <mergeCell ref="AP271:AQ271"/>
    <mergeCell ref="C273:F273"/>
    <mergeCell ref="G273:H273"/>
    <mergeCell ref="I273:J273"/>
    <mergeCell ref="K273:L273"/>
    <mergeCell ref="M273:N273"/>
    <mergeCell ref="O273:P273"/>
    <mergeCell ref="Q273:R273"/>
    <mergeCell ref="S273:T273"/>
    <mergeCell ref="W273:X273"/>
    <mergeCell ref="U271:V271"/>
    <mergeCell ref="U272:V272"/>
    <mergeCell ref="U273:V273"/>
    <mergeCell ref="AR274:AS274"/>
    <mergeCell ref="C275:F275"/>
    <mergeCell ref="G275:H275"/>
    <mergeCell ref="I275:J275"/>
    <mergeCell ref="K272:L272"/>
    <mergeCell ref="M272:N272"/>
    <mergeCell ref="O272:P272"/>
    <mergeCell ref="Q272:R272"/>
    <mergeCell ref="S272:T272"/>
    <mergeCell ref="W272:X272"/>
    <mergeCell ref="Z272:AC272"/>
    <mergeCell ref="AD272:AG272"/>
    <mergeCell ref="AH272:AI272"/>
    <mergeCell ref="AJ272:AK272"/>
    <mergeCell ref="AL272:AM272"/>
    <mergeCell ref="AN272:AO272"/>
    <mergeCell ref="AP272:AQ272"/>
    <mergeCell ref="AR272:AS272"/>
    <mergeCell ref="Z273:AC273"/>
    <mergeCell ref="AD273:AG273"/>
    <mergeCell ref="AH273:AI273"/>
    <mergeCell ref="AJ273:AK273"/>
    <mergeCell ref="AL273:AM273"/>
    <mergeCell ref="AN273:AO273"/>
    <mergeCell ref="AP273:AQ273"/>
    <mergeCell ref="AR273:AS273"/>
    <mergeCell ref="C274:F274"/>
    <mergeCell ref="G274:H274"/>
    <mergeCell ref="I274:J274"/>
    <mergeCell ref="K274:L274"/>
    <mergeCell ref="M274:N274"/>
    <mergeCell ref="O274:P274"/>
    <mergeCell ref="Q274:R274"/>
    <mergeCell ref="S274:T274"/>
    <mergeCell ref="W274:X274"/>
    <mergeCell ref="Z274:AC274"/>
    <mergeCell ref="AD274:AG274"/>
    <mergeCell ref="AH274:AI274"/>
    <mergeCell ref="AJ274:AK274"/>
    <mergeCell ref="AL274:AM274"/>
    <mergeCell ref="AN274:AO274"/>
    <mergeCell ref="AP274:AQ274"/>
    <mergeCell ref="C276:F276"/>
    <mergeCell ref="G276:H276"/>
    <mergeCell ref="I276:J276"/>
    <mergeCell ref="K276:L276"/>
    <mergeCell ref="M276:N276"/>
    <mergeCell ref="O276:P276"/>
    <mergeCell ref="Q276:R276"/>
    <mergeCell ref="S276:T276"/>
    <mergeCell ref="W276:X276"/>
    <mergeCell ref="U274:V274"/>
    <mergeCell ref="U275:V275"/>
    <mergeCell ref="U276:V276"/>
    <mergeCell ref="AR277:AS277"/>
    <mergeCell ref="C278:F278"/>
    <mergeCell ref="G278:H278"/>
    <mergeCell ref="I278:J278"/>
    <mergeCell ref="K275:L275"/>
    <mergeCell ref="M275:N275"/>
    <mergeCell ref="O275:P275"/>
    <mergeCell ref="Q275:R275"/>
    <mergeCell ref="S275:T275"/>
    <mergeCell ref="W275:X275"/>
    <mergeCell ref="Z275:AC275"/>
    <mergeCell ref="AD275:AG275"/>
    <mergeCell ref="AH275:AI275"/>
    <mergeCell ref="AJ275:AK275"/>
    <mergeCell ref="AL275:AM275"/>
    <mergeCell ref="AN275:AO275"/>
    <mergeCell ref="AP275:AQ275"/>
    <mergeCell ref="AR275:AS275"/>
    <mergeCell ref="Z276:AC276"/>
    <mergeCell ref="AD276:AG276"/>
    <mergeCell ref="AH276:AI276"/>
    <mergeCell ref="AJ276:AK276"/>
    <mergeCell ref="AL276:AM276"/>
    <mergeCell ref="AN276:AO276"/>
    <mergeCell ref="AP276:AQ276"/>
    <mergeCell ref="AR276:AS276"/>
    <mergeCell ref="C277:F277"/>
    <mergeCell ref="G277:H277"/>
    <mergeCell ref="I277:J277"/>
    <mergeCell ref="K277:L277"/>
    <mergeCell ref="M277:N277"/>
    <mergeCell ref="O277:P277"/>
    <mergeCell ref="Q277:R277"/>
    <mergeCell ref="S277:T277"/>
    <mergeCell ref="W277:X277"/>
    <mergeCell ref="Z277:AC277"/>
    <mergeCell ref="AD277:AG277"/>
    <mergeCell ref="AH277:AI277"/>
    <mergeCell ref="AJ277:AK277"/>
    <mergeCell ref="AL277:AM277"/>
    <mergeCell ref="AN277:AO277"/>
    <mergeCell ref="AP277:AQ277"/>
    <mergeCell ref="C279:F279"/>
    <mergeCell ref="G279:H279"/>
    <mergeCell ref="I279:J279"/>
    <mergeCell ref="K279:L279"/>
    <mergeCell ref="M279:N279"/>
    <mergeCell ref="O279:P279"/>
    <mergeCell ref="Q279:R279"/>
    <mergeCell ref="S279:T279"/>
    <mergeCell ref="W279:X279"/>
    <mergeCell ref="U277:V277"/>
    <mergeCell ref="U278:V278"/>
    <mergeCell ref="U279:V279"/>
    <mergeCell ref="AR280:AS280"/>
    <mergeCell ref="C281:F281"/>
    <mergeCell ref="G281:H281"/>
    <mergeCell ref="I281:J281"/>
    <mergeCell ref="K278:L278"/>
    <mergeCell ref="M278:N278"/>
    <mergeCell ref="O278:P278"/>
    <mergeCell ref="Q278:R278"/>
    <mergeCell ref="S278:T278"/>
    <mergeCell ref="W278:X278"/>
    <mergeCell ref="Z278:AC278"/>
    <mergeCell ref="AD278:AG278"/>
    <mergeCell ref="AH278:AI278"/>
    <mergeCell ref="AJ278:AK278"/>
    <mergeCell ref="AL278:AM278"/>
    <mergeCell ref="AN278:AO278"/>
    <mergeCell ref="AP278:AQ278"/>
    <mergeCell ref="AR278:AS278"/>
    <mergeCell ref="Z279:AC279"/>
    <mergeCell ref="AD279:AG279"/>
    <mergeCell ref="AH279:AI279"/>
    <mergeCell ref="AJ279:AK279"/>
    <mergeCell ref="AL279:AM279"/>
    <mergeCell ref="AN279:AO279"/>
    <mergeCell ref="AP279:AQ279"/>
    <mergeCell ref="AR279:AS279"/>
    <mergeCell ref="C280:F280"/>
    <mergeCell ref="G280:H280"/>
    <mergeCell ref="I280:J280"/>
    <mergeCell ref="K280:L280"/>
    <mergeCell ref="M280:N280"/>
    <mergeCell ref="O280:P280"/>
    <mergeCell ref="Q280:R280"/>
    <mergeCell ref="S280:T280"/>
    <mergeCell ref="W280:X280"/>
    <mergeCell ref="Z280:AC280"/>
    <mergeCell ref="AD280:AG280"/>
    <mergeCell ref="AH280:AI280"/>
    <mergeCell ref="AJ280:AK280"/>
    <mergeCell ref="AL280:AM280"/>
    <mergeCell ref="AN280:AO280"/>
    <mergeCell ref="AP280:AQ280"/>
    <mergeCell ref="C282:F282"/>
    <mergeCell ref="G282:H282"/>
    <mergeCell ref="I282:J282"/>
    <mergeCell ref="K282:L282"/>
    <mergeCell ref="M282:N282"/>
    <mergeCell ref="O282:P282"/>
    <mergeCell ref="Q282:R282"/>
    <mergeCell ref="S282:T282"/>
    <mergeCell ref="W282:X282"/>
    <mergeCell ref="U280:V280"/>
    <mergeCell ref="U281:V281"/>
    <mergeCell ref="U282:V282"/>
    <mergeCell ref="AR283:AS283"/>
    <mergeCell ref="C284:F284"/>
    <mergeCell ref="G284:H284"/>
    <mergeCell ref="I284:J284"/>
    <mergeCell ref="K281:L281"/>
    <mergeCell ref="M281:N281"/>
    <mergeCell ref="O281:P281"/>
    <mergeCell ref="Q281:R281"/>
    <mergeCell ref="S281:T281"/>
    <mergeCell ref="W281:X281"/>
    <mergeCell ref="Z281:AC281"/>
    <mergeCell ref="AD281:AG281"/>
    <mergeCell ref="AH281:AI281"/>
    <mergeCell ref="AJ281:AK281"/>
    <mergeCell ref="AL281:AM281"/>
    <mergeCell ref="AN281:AO281"/>
    <mergeCell ref="AP281:AQ281"/>
    <mergeCell ref="AR281:AS281"/>
    <mergeCell ref="Z282:AC282"/>
    <mergeCell ref="AD282:AG282"/>
    <mergeCell ref="AH282:AI282"/>
    <mergeCell ref="AJ282:AK282"/>
    <mergeCell ref="AL282:AM282"/>
    <mergeCell ref="AN282:AO282"/>
    <mergeCell ref="AP282:AQ282"/>
    <mergeCell ref="AR282:AS282"/>
    <mergeCell ref="C283:F283"/>
    <mergeCell ref="G283:H283"/>
    <mergeCell ref="I283:J283"/>
    <mergeCell ref="K283:L283"/>
    <mergeCell ref="M283:N283"/>
    <mergeCell ref="O283:P283"/>
    <mergeCell ref="Q283:R283"/>
    <mergeCell ref="S283:T283"/>
    <mergeCell ref="W283:X283"/>
    <mergeCell ref="Z283:AC283"/>
    <mergeCell ref="AD283:AG283"/>
    <mergeCell ref="AH283:AI283"/>
    <mergeCell ref="AJ283:AK283"/>
    <mergeCell ref="AL283:AM283"/>
    <mergeCell ref="AN283:AO283"/>
    <mergeCell ref="AP283:AQ283"/>
    <mergeCell ref="C285:F285"/>
    <mergeCell ref="G285:H285"/>
    <mergeCell ref="I285:J285"/>
    <mergeCell ref="K285:L285"/>
    <mergeCell ref="M285:N285"/>
    <mergeCell ref="O285:P285"/>
    <mergeCell ref="Q285:R285"/>
    <mergeCell ref="S285:T285"/>
    <mergeCell ref="W285:X285"/>
    <mergeCell ref="U283:V283"/>
    <mergeCell ref="U284:V284"/>
    <mergeCell ref="U285:V285"/>
    <mergeCell ref="AR286:AS286"/>
    <mergeCell ref="C287:F287"/>
    <mergeCell ref="G287:H287"/>
    <mergeCell ref="I287:J287"/>
    <mergeCell ref="K284:L284"/>
    <mergeCell ref="M284:N284"/>
    <mergeCell ref="O284:P284"/>
    <mergeCell ref="Q284:R284"/>
    <mergeCell ref="S284:T284"/>
    <mergeCell ref="W284:X284"/>
    <mergeCell ref="Z284:AC284"/>
    <mergeCell ref="AD284:AG284"/>
    <mergeCell ref="AH284:AI284"/>
    <mergeCell ref="AJ284:AK284"/>
    <mergeCell ref="AL284:AM284"/>
    <mergeCell ref="AN284:AO284"/>
    <mergeCell ref="AP284:AQ284"/>
    <mergeCell ref="AR284:AS284"/>
    <mergeCell ref="Z285:AC285"/>
    <mergeCell ref="AD285:AG285"/>
    <mergeCell ref="AH285:AI285"/>
    <mergeCell ref="AJ285:AK285"/>
    <mergeCell ref="AL285:AM285"/>
    <mergeCell ref="AN285:AO285"/>
    <mergeCell ref="AP285:AQ285"/>
    <mergeCell ref="AR285:AS285"/>
    <mergeCell ref="C286:F286"/>
    <mergeCell ref="G286:H286"/>
    <mergeCell ref="I286:J286"/>
    <mergeCell ref="K286:L286"/>
    <mergeCell ref="M286:N286"/>
    <mergeCell ref="O286:P286"/>
    <mergeCell ref="Q286:R286"/>
    <mergeCell ref="S286:T286"/>
    <mergeCell ref="W286:X286"/>
    <mergeCell ref="Z286:AC286"/>
    <mergeCell ref="AD286:AG286"/>
    <mergeCell ref="AH286:AI286"/>
    <mergeCell ref="AJ286:AK286"/>
    <mergeCell ref="AL286:AM286"/>
    <mergeCell ref="AN286:AO286"/>
    <mergeCell ref="AP286:AQ286"/>
    <mergeCell ref="C288:F288"/>
    <mergeCell ref="G288:H288"/>
    <mergeCell ref="I288:J288"/>
    <mergeCell ref="K288:L288"/>
    <mergeCell ref="M288:N288"/>
    <mergeCell ref="O288:P288"/>
    <mergeCell ref="Q288:R288"/>
    <mergeCell ref="S288:T288"/>
    <mergeCell ref="W288:X288"/>
    <mergeCell ref="U286:V286"/>
    <mergeCell ref="U287:V287"/>
    <mergeCell ref="U288:V288"/>
    <mergeCell ref="AR289:AS289"/>
    <mergeCell ref="C290:F290"/>
    <mergeCell ref="G290:H290"/>
    <mergeCell ref="I290:J290"/>
    <mergeCell ref="K287:L287"/>
    <mergeCell ref="M287:N287"/>
    <mergeCell ref="O287:P287"/>
    <mergeCell ref="Q287:R287"/>
    <mergeCell ref="S287:T287"/>
    <mergeCell ref="W287:X287"/>
    <mergeCell ref="Z287:AC287"/>
    <mergeCell ref="AD287:AG287"/>
    <mergeCell ref="AH287:AI287"/>
    <mergeCell ref="AJ287:AK287"/>
    <mergeCell ref="AL287:AM287"/>
    <mergeCell ref="AN287:AO287"/>
    <mergeCell ref="AP287:AQ287"/>
    <mergeCell ref="AR287:AS287"/>
    <mergeCell ref="Z288:AC288"/>
    <mergeCell ref="AD288:AG288"/>
    <mergeCell ref="AH288:AI288"/>
    <mergeCell ref="AJ288:AK288"/>
    <mergeCell ref="AL288:AM288"/>
    <mergeCell ref="AN288:AO288"/>
    <mergeCell ref="AP288:AQ288"/>
    <mergeCell ref="AR288:AS288"/>
    <mergeCell ref="C289:F289"/>
    <mergeCell ref="G289:H289"/>
    <mergeCell ref="I289:J289"/>
    <mergeCell ref="K289:L289"/>
    <mergeCell ref="M289:N289"/>
    <mergeCell ref="O289:P289"/>
    <mergeCell ref="Q289:R289"/>
    <mergeCell ref="S289:T289"/>
    <mergeCell ref="W289:X289"/>
    <mergeCell ref="Z289:AC289"/>
    <mergeCell ref="AD289:AG289"/>
    <mergeCell ref="AH289:AI289"/>
    <mergeCell ref="AJ289:AK289"/>
    <mergeCell ref="AL289:AM289"/>
    <mergeCell ref="AN289:AO289"/>
    <mergeCell ref="AP289:AQ289"/>
    <mergeCell ref="C291:F291"/>
    <mergeCell ref="G291:H291"/>
    <mergeCell ref="I291:J291"/>
    <mergeCell ref="K291:L291"/>
    <mergeCell ref="M291:N291"/>
    <mergeCell ref="O291:P291"/>
    <mergeCell ref="Q291:R291"/>
    <mergeCell ref="S291:T291"/>
    <mergeCell ref="W291:X291"/>
    <mergeCell ref="U289:V289"/>
    <mergeCell ref="U290:V290"/>
    <mergeCell ref="U291:V291"/>
    <mergeCell ref="AR292:AS292"/>
    <mergeCell ref="C293:F293"/>
    <mergeCell ref="G293:H293"/>
    <mergeCell ref="I293:J293"/>
    <mergeCell ref="K290:L290"/>
    <mergeCell ref="M290:N290"/>
    <mergeCell ref="O290:P290"/>
    <mergeCell ref="Q290:R290"/>
    <mergeCell ref="S290:T290"/>
    <mergeCell ref="W290:X290"/>
    <mergeCell ref="Z290:AC290"/>
    <mergeCell ref="AD290:AG290"/>
    <mergeCell ref="AH290:AI290"/>
    <mergeCell ref="AJ290:AK290"/>
    <mergeCell ref="AL290:AM290"/>
    <mergeCell ref="AN290:AO290"/>
    <mergeCell ref="AP290:AQ290"/>
    <mergeCell ref="AR290:AS290"/>
    <mergeCell ref="Z291:AC291"/>
    <mergeCell ref="AD291:AG291"/>
    <mergeCell ref="AH291:AI291"/>
    <mergeCell ref="AJ291:AK291"/>
    <mergeCell ref="AL291:AM291"/>
    <mergeCell ref="AN291:AO291"/>
    <mergeCell ref="AP291:AQ291"/>
    <mergeCell ref="AR291:AS291"/>
    <mergeCell ref="C292:F292"/>
    <mergeCell ref="G292:H292"/>
    <mergeCell ref="I292:J292"/>
    <mergeCell ref="K292:L292"/>
    <mergeCell ref="M292:N292"/>
    <mergeCell ref="O292:P292"/>
    <mergeCell ref="Q292:R292"/>
    <mergeCell ref="S292:T292"/>
    <mergeCell ref="W292:X292"/>
    <mergeCell ref="Z292:AC292"/>
    <mergeCell ref="AD292:AG292"/>
    <mergeCell ref="AH292:AI292"/>
    <mergeCell ref="AJ292:AK292"/>
    <mergeCell ref="AL292:AM292"/>
    <mergeCell ref="AN292:AO292"/>
    <mergeCell ref="AP292:AQ292"/>
    <mergeCell ref="C294:F294"/>
    <mergeCell ref="G294:H294"/>
    <mergeCell ref="I294:J294"/>
    <mergeCell ref="K294:L294"/>
    <mergeCell ref="M294:N294"/>
    <mergeCell ref="O294:P294"/>
    <mergeCell ref="Q294:R294"/>
    <mergeCell ref="S294:T294"/>
    <mergeCell ref="W294:X294"/>
    <mergeCell ref="U292:V292"/>
    <mergeCell ref="U293:V293"/>
    <mergeCell ref="U294:V294"/>
    <mergeCell ref="AR295:AS295"/>
    <mergeCell ref="C296:F296"/>
    <mergeCell ref="G296:H296"/>
    <mergeCell ref="I296:J296"/>
    <mergeCell ref="K293:L293"/>
    <mergeCell ref="M293:N293"/>
    <mergeCell ref="O293:P293"/>
    <mergeCell ref="Q293:R293"/>
    <mergeCell ref="S293:T293"/>
    <mergeCell ref="W293:X293"/>
    <mergeCell ref="Z293:AC293"/>
    <mergeCell ref="AD293:AG293"/>
    <mergeCell ref="AH293:AI293"/>
    <mergeCell ref="AJ293:AK293"/>
    <mergeCell ref="AL293:AM293"/>
    <mergeCell ref="AN293:AO293"/>
    <mergeCell ref="AP293:AQ293"/>
    <mergeCell ref="AR293:AS293"/>
    <mergeCell ref="Z294:AC294"/>
    <mergeCell ref="AD294:AG294"/>
    <mergeCell ref="AH294:AI294"/>
    <mergeCell ref="AJ294:AK294"/>
    <mergeCell ref="AL294:AM294"/>
    <mergeCell ref="AN294:AO294"/>
    <mergeCell ref="AP294:AQ294"/>
    <mergeCell ref="AR294:AS294"/>
    <mergeCell ref="C295:F295"/>
    <mergeCell ref="G295:H295"/>
    <mergeCell ref="I295:J295"/>
    <mergeCell ref="K295:L295"/>
    <mergeCell ref="M295:N295"/>
    <mergeCell ref="O295:P295"/>
    <mergeCell ref="Q295:R295"/>
    <mergeCell ref="S295:T295"/>
    <mergeCell ref="W295:X295"/>
    <mergeCell ref="Z295:AC295"/>
    <mergeCell ref="AD295:AG295"/>
    <mergeCell ref="AH295:AI295"/>
    <mergeCell ref="AJ295:AK295"/>
    <mergeCell ref="AL295:AM295"/>
    <mergeCell ref="AN295:AO295"/>
    <mergeCell ref="AP295:AQ295"/>
    <mergeCell ref="C297:F297"/>
    <mergeCell ref="G297:H297"/>
    <mergeCell ref="I297:J297"/>
    <mergeCell ref="K297:L297"/>
    <mergeCell ref="M297:N297"/>
    <mergeCell ref="O297:P297"/>
    <mergeCell ref="Q297:R297"/>
    <mergeCell ref="S297:T297"/>
    <mergeCell ref="W297:X297"/>
    <mergeCell ref="U295:V295"/>
    <mergeCell ref="U296:V296"/>
    <mergeCell ref="U297:V297"/>
    <mergeCell ref="AR298:AS298"/>
    <mergeCell ref="C299:F299"/>
    <mergeCell ref="G299:H299"/>
    <mergeCell ref="I299:J299"/>
    <mergeCell ref="K296:L296"/>
    <mergeCell ref="M296:N296"/>
    <mergeCell ref="O296:P296"/>
    <mergeCell ref="Q296:R296"/>
    <mergeCell ref="S296:T296"/>
    <mergeCell ref="W296:X296"/>
    <mergeCell ref="Z296:AC296"/>
    <mergeCell ref="AD296:AG296"/>
    <mergeCell ref="AH296:AI296"/>
    <mergeCell ref="AJ296:AK296"/>
    <mergeCell ref="AL296:AM296"/>
    <mergeCell ref="AN296:AO296"/>
    <mergeCell ref="AP296:AQ296"/>
    <mergeCell ref="AR296:AS296"/>
    <mergeCell ref="Z297:AC297"/>
    <mergeCell ref="AD297:AG297"/>
    <mergeCell ref="AH297:AI297"/>
    <mergeCell ref="AJ297:AK297"/>
    <mergeCell ref="AL297:AM297"/>
    <mergeCell ref="AN297:AO297"/>
    <mergeCell ref="AP297:AQ297"/>
    <mergeCell ref="AR297:AS297"/>
    <mergeCell ref="C298:F298"/>
    <mergeCell ref="G298:H298"/>
    <mergeCell ref="I298:J298"/>
    <mergeCell ref="K298:L298"/>
    <mergeCell ref="M298:N298"/>
    <mergeCell ref="O298:P298"/>
    <mergeCell ref="Q298:R298"/>
    <mergeCell ref="S298:T298"/>
    <mergeCell ref="W298:X298"/>
    <mergeCell ref="Z298:AC298"/>
    <mergeCell ref="AD298:AG298"/>
    <mergeCell ref="AH298:AI298"/>
    <mergeCell ref="AJ298:AK298"/>
    <mergeCell ref="AL298:AM298"/>
    <mergeCell ref="AN298:AO298"/>
    <mergeCell ref="AP298:AQ298"/>
    <mergeCell ref="C300:F300"/>
    <mergeCell ref="G300:H300"/>
    <mergeCell ref="I300:J300"/>
    <mergeCell ref="K300:L300"/>
    <mergeCell ref="M300:N300"/>
    <mergeCell ref="O300:P300"/>
    <mergeCell ref="Q300:R300"/>
    <mergeCell ref="S300:T300"/>
    <mergeCell ref="W300:X300"/>
    <mergeCell ref="U298:V298"/>
    <mergeCell ref="U299:V299"/>
    <mergeCell ref="U300:V300"/>
    <mergeCell ref="AR301:AS301"/>
    <mergeCell ref="C302:F302"/>
    <mergeCell ref="G302:H302"/>
    <mergeCell ref="I302:J302"/>
    <mergeCell ref="K299:L299"/>
    <mergeCell ref="M299:N299"/>
    <mergeCell ref="O299:P299"/>
    <mergeCell ref="Q299:R299"/>
    <mergeCell ref="S299:T299"/>
    <mergeCell ref="W299:X299"/>
    <mergeCell ref="Z299:AC299"/>
    <mergeCell ref="AD299:AG299"/>
    <mergeCell ref="AH299:AI299"/>
    <mergeCell ref="AJ299:AK299"/>
    <mergeCell ref="AL299:AM299"/>
    <mergeCell ref="AN299:AO299"/>
    <mergeCell ref="AP299:AQ299"/>
    <mergeCell ref="AR299:AS299"/>
    <mergeCell ref="Z300:AC300"/>
    <mergeCell ref="AD300:AG300"/>
    <mergeCell ref="AH300:AI300"/>
    <mergeCell ref="AJ300:AK300"/>
    <mergeCell ref="AL300:AM300"/>
    <mergeCell ref="AN300:AO300"/>
    <mergeCell ref="AP300:AQ300"/>
    <mergeCell ref="AR300:AS300"/>
    <mergeCell ref="C301:F301"/>
    <mergeCell ref="G301:H301"/>
    <mergeCell ref="I301:J301"/>
    <mergeCell ref="K301:L301"/>
    <mergeCell ref="M301:N301"/>
    <mergeCell ref="O301:P301"/>
    <mergeCell ref="Q301:R301"/>
    <mergeCell ref="S301:T301"/>
    <mergeCell ref="W301:X301"/>
    <mergeCell ref="Z301:AC301"/>
    <mergeCell ref="AD301:AG301"/>
    <mergeCell ref="AH301:AI301"/>
    <mergeCell ref="AJ301:AK301"/>
    <mergeCell ref="AL301:AM301"/>
    <mergeCell ref="AN301:AO301"/>
    <mergeCell ref="AP301:AQ301"/>
    <mergeCell ref="C303:F303"/>
    <mergeCell ref="G303:H303"/>
    <mergeCell ref="I303:J303"/>
    <mergeCell ref="K303:L303"/>
    <mergeCell ref="M303:N303"/>
    <mergeCell ref="O303:P303"/>
    <mergeCell ref="Q303:R303"/>
    <mergeCell ref="S303:T303"/>
    <mergeCell ref="W303:X303"/>
    <mergeCell ref="U301:V301"/>
    <mergeCell ref="U302:V302"/>
    <mergeCell ref="U303:V303"/>
    <mergeCell ref="AR304:AS304"/>
    <mergeCell ref="C305:F305"/>
    <mergeCell ref="G305:H305"/>
    <mergeCell ref="I305:J305"/>
    <mergeCell ref="K302:L302"/>
    <mergeCell ref="M302:N302"/>
    <mergeCell ref="O302:P302"/>
    <mergeCell ref="Q302:R302"/>
    <mergeCell ref="S302:T302"/>
    <mergeCell ref="W302:X302"/>
    <mergeCell ref="Z302:AC302"/>
    <mergeCell ref="AD302:AG302"/>
    <mergeCell ref="AH302:AI302"/>
    <mergeCell ref="AJ302:AK302"/>
    <mergeCell ref="AL302:AM302"/>
    <mergeCell ref="AN302:AO302"/>
    <mergeCell ref="AP302:AQ302"/>
    <mergeCell ref="AR302:AS302"/>
    <mergeCell ref="Z303:AC303"/>
    <mergeCell ref="AD303:AG303"/>
    <mergeCell ref="AH303:AI303"/>
    <mergeCell ref="AJ303:AK303"/>
    <mergeCell ref="AL303:AM303"/>
    <mergeCell ref="AN303:AO303"/>
    <mergeCell ref="AP303:AQ303"/>
    <mergeCell ref="AR303:AS303"/>
    <mergeCell ref="C304:F304"/>
    <mergeCell ref="G304:H304"/>
    <mergeCell ref="I304:J304"/>
    <mergeCell ref="K304:L304"/>
    <mergeCell ref="M304:N304"/>
    <mergeCell ref="O304:P304"/>
    <mergeCell ref="Q304:R304"/>
    <mergeCell ref="S304:T304"/>
    <mergeCell ref="W304:X304"/>
    <mergeCell ref="Z304:AC304"/>
    <mergeCell ref="AD304:AG304"/>
    <mergeCell ref="AH304:AI304"/>
    <mergeCell ref="AJ304:AK304"/>
    <mergeCell ref="AL304:AM304"/>
    <mergeCell ref="AN304:AO304"/>
    <mergeCell ref="AP304:AQ304"/>
    <mergeCell ref="C306:F306"/>
    <mergeCell ref="G306:H306"/>
    <mergeCell ref="I306:J306"/>
    <mergeCell ref="K306:L306"/>
    <mergeCell ref="M306:N306"/>
    <mergeCell ref="O306:P306"/>
    <mergeCell ref="Q306:R306"/>
    <mergeCell ref="S306:T306"/>
    <mergeCell ref="W306:X306"/>
    <mergeCell ref="U304:V304"/>
    <mergeCell ref="U305:V305"/>
    <mergeCell ref="U306:V306"/>
    <mergeCell ref="AR307:AS307"/>
    <mergeCell ref="C308:F308"/>
    <mergeCell ref="G308:H308"/>
    <mergeCell ref="I308:J308"/>
    <mergeCell ref="K305:L305"/>
    <mergeCell ref="M305:N305"/>
    <mergeCell ref="O305:P305"/>
    <mergeCell ref="Q305:R305"/>
    <mergeCell ref="S305:T305"/>
    <mergeCell ref="W305:X305"/>
    <mergeCell ref="Z305:AC305"/>
    <mergeCell ref="AD305:AG305"/>
    <mergeCell ref="AH305:AI305"/>
    <mergeCell ref="AJ305:AK305"/>
    <mergeCell ref="AL305:AM305"/>
    <mergeCell ref="AN305:AO305"/>
    <mergeCell ref="AP305:AQ305"/>
    <mergeCell ref="AR305:AS305"/>
    <mergeCell ref="Z306:AC306"/>
    <mergeCell ref="AD306:AG306"/>
    <mergeCell ref="AH306:AI306"/>
    <mergeCell ref="AJ306:AK306"/>
    <mergeCell ref="AL306:AM306"/>
    <mergeCell ref="AN306:AO306"/>
    <mergeCell ref="AP306:AQ306"/>
    <mergeCell ref="AR306:AS306"/>
    <mergeCell ref="C307:F307"/>
    <mergeCell ref="G307:H307"/>
    <mergeCell ref="I307:J307"/>
    <mergeCell ref="K307:L307"/>
    <mergeCell ref="M307:N307"/>
    <mergeCell ref="O307:P307"/>
    <mergeCell ref="Q307:R307"/>
    <mergeCell ref="S307:T307"/>
    <mergeCell ref="W307:X307"/>
    <mergeCell ref="Z307:AC307"/>
    <mergeCell ref="AD307:AG307"/>
    <mergeCell ref="AH307:AI307"/>
    <mergeCell ref="AJ307:AK307"/>
    <mergeCell ref="AL307:AM307"/>
    <mergeCell ref="AN307:AO307"/>
    <mergeCell ref="AP307:AQ307"/>
    <mergeCell ref="C309:F309"/>
    <mergeCell ref="G309:H309"/>
    <mergeCell ref="I309:J309"/>
    <mergeCell ref="K309:L309"/>
    <mergeCell ref="M309:N309"/>
    <mergeCell ref="O309:P309"/>
    <mergeCell ref="Q309:R309"/>
    <mergeCell ref="S309:T309"/>
    <mergeCell ref="W309:X309"/>
    <mergeCell ref="U307:V307"/>
    <mergeCell ref="U308:V308"/>
    <mergeCell ref="U309:V309"/>
    <mergeCell ref="AR310:AS310"/>
    <mergeCell ref="C311:F311"/>
    <mergeCell ref="G311:H311"/>
    <mergeCell ref="I311:J311"/>
    <mergeCell ref="K308:L308"/>
    <mergeCell ref="M308:N308"/>
    <mergeCell ref="O308:P308"/>
    <mergeCell ref="Q308:R308"/>
    <mergeCell ref="S308:T308"/>
    <mergeCell ref="W308:X308"/>
    <mergeCell ref="Z308:AC308"/>
    <mergeCell ref="AD308:AG308"/>
    <mergeCell ref="AH308:AI308"/>
    <mergeCell ref="AJ308:AK308"/>
    <mergeCell ref="AL308:AM308"/>
    <mergeCell ref="AN308:AO308"/>
    <mergeCell ref="AP308:AQ308"/>
    <mergeCell ref="AR308:AS308"/>
    <mergeCell ref="Z309:AC309"/>
    <mergeCell ref="AD309:AG309"/>
    <mergeCell ref="AH309:AI309"/>
    <mergeCell ref="AJ309:AK309"/>
    <mergeCell ref="AL309:AM309"/>
    <mergeCell ref="AN309:AO309"/>
    <mergeCell ref="AP309:AQ309"/>
    <mergeCell ref="AR309:AS309"/>
    <mergeCell ref="C310:F310"/>
    <mergeCell ref="G310:H310"/>
    <mergeCell ref="I310:J310"/>
    <mergeCell ref="K310:L310"/>
    <mergeCell ref="M310:N310"/>
    <mergeCell ref="O310:P310"/>
    <mergeCell ref="Q310:R310"/>
    <mergeCell ref="S310:T310"/>
    <mergeCell ref="W310:X310"/>
    <mergeCell ref="Z310:AC310"/>
    <mergeCell ref="AD310:AG310"/>
    <mergeCell ref="AH310:AI310"/>
    <mergeCell ref="AJ310:AK310"/>
    <mergeCell ref="AL310:AM310"/>
    <mergeCell ref="AN310:AO310"/>
    <mergeCell ref="AP310:AQ310"/>
    <mergeCell ref="C312:F312"/>
    <mergeCell ref="G312:H312"/>
    <mergeCell ref="I312:J312"/>
    <mergeCell ref="K312:L312"/>
    <mergeCell ref="M312:N312"/>
    <mergeCell ref="O312:P312"/>
    <mergeCell ref="Q312:R312"/>
    <mergeCell ref="S312:T312"/>
    <mergeCell ref="W312:X312"/>
    <mergeCell ref="U310:V310"/>
    <mergeCell ref="U311:V311"/>
    <mergeCell ref="U312:V312"/>
    <mergeCell ref="AR313:AS313"/>
    <mergeCell ref="C314:F314"/>
    <mergeCell ref="G314:H314"/>
    <mergeCell ref="I314:J314"/>
    <mergeCell ref="K311:L311"/>
    <mergeCell ref="M311:N311"/>
    <mergeCell ref="O311:P311"/>
    <mergeCell ref="Q311:R311"/>
    <mergeCell ref="S311:T311"/>
    <mergeCell ref="W311:X311"/>
    <mergeCell ref="Z311:AC311"/>
    <mergeCell ref="AD311:AG311"/>
    <mergeCell ref="AH311:AI311"/>
    <mergeCell ref="AJ311:AK311"/>
    <mergeCell ref="AL311:AM311"/>
    <mergeCell ref="AN311:AO311"/>
    <mergeCell ref="AP311:AQ311"/>
    <mergeCell ref="AR311:AS311"/>
    <mergeCell ref="Z312:AC312"/>
    <mergeCell ref="AD312:AG312"/>
    <mergeCell ref="AH312:AI312"/>
    <mergeCell ref="AJ312:AK312"/>
    <mergeCell ref="AL312:AM312"/>
    <mergeCell ref="AN312:AO312"/>
    <mergeCell ref="AP312:AQ312"/>
    <mergeCell ref="AR312:AS312"/>
    <mergeCell ref="C313:F313"/>
    <mergeCell ref="G313:H313"/>
    <mergeCell ref="I313:J313"/>
    <mergeCell ref="K313:L313"/>
    <mergeCell ref="M313:N313"/>
    <mergeCell ref="O313:P313"/>
    <mergeCell ref="Q313:R313"/>
    <mergeCell ref="S313:T313"/>
    <mergeCell ref="W313:X313"/>
    <mergeCell ref="Z313:AC313"/>
    <mergeCell ref="AD313:AG313"/>
    <mergeCell ref="AH313:AI313"/>
    <mergeCell ref="AJ313:AK313"/>
    <mergeCell ref="AL313:AM313"/>
    <mergeCell ref="AN313:AO313"/>
    <mergeCell ref="AP313:AQ313"/>
    <mergeCell ref="C315:F315"/>
    <mergeCell ref="G315:H315"/>
    <mergeCell ref="I315:J315"/>
    <mergeCell ref="K315:L315"/>
    <mergeCell ref="M315:N315"/>
    <mergeCell ref="O315:P315"/>
    <mergeCell ref="Q315:R315"/>
    <mergeCell ref="S315:T315"/>
    <mergeCell ref="W315:X315"/>
    <mergeCell ref="U313:V313"/>
    <mergeCell ref="U314:V314"/>
    <mergeCell ref="U315:V315"/>
    <mergeCell ref="AR316:AS316"/>
    <mergeCell ref="C317:F317"/>
    <mergeCell ref="G317:H317"/>
    <mergeCell ref="I317:J317"/>
    <mergeCell ref="K314:L314"/>
    <mergeCell ref="M314:N314"/>
    <mergeCell ref="O314:P314"/>
    <mergeCell ref="Q314:R314"/>
    <mergeCell ref="S314:T314"/>
    <mergeCell ref="W314:X314"/>
    <mergeCell ref="Z314:AC314"/>
    <mergeCell ref="AD314:AG314"/>
    <mergeCell ref="AH314:AI314"/>
    <mergeCell ref="AJ314:AK314"/>
    <mergeCell ref="AL314:AM314"/>
    <mergeCell ref="AN314:AO314"/>
    <mergeCell ref="AP314:AQ314"/>
    <mergeCell ref="AR314:AS314"/>
    <mergeCell ref="Z315:AC315"/>
    <mergeCell ref="AD315:AG315"/>
    <mergeCell ref="AH315:AI315"/>
    <mergeCell ref="AJ315:AK315"/>
    <mergeCell ref="AL315:AM315"/>
    <mergeCell ref="AN315:AO315"/>
    <mergeCell ref="AP315:AQ315"/>
    <mergeCell ref="AR315:AS315"/>
    <mergeCell ref="C316:F316"/>
    <mergeCell ref="G316:H316"/>
    <mergeCell ref="I316:J316"/>
    <mergeCell ref="K316:L316"/>
    <mergeCell ref="M316:N316"/>
    <mergeCell ref="O316:P316"/>
    <mergeCell ref="Q316:R316"/>
    <mergeCell ref="S316:T316"/>
    <mergeCell ref="W316:X316"/>
    <mergeCell ref="Z316:AC316"/>
    <mergeCell ref="AD316:AG316"/>
    <mergeCell ref="AH316:AI316"/>
    <mergeCell ref="AJ316:AK316"/>
    <mergeCell ref="AL316:AM316"/>
    <mergeCell ref="AN316:AO316"/>
    <mergeCell ref="AP316:AQ316"/>
    <mergeCell ref="C318:F318"/>
    <mergeCell ref="G318:H318"/>
    <mergeCell ref="I318:J318"/>
    <mergeCell ref="K318:L318"/>
    <mergeCell ref="M318:N318"/>
    <mergeCell ref="O318:P318"/>
    <mergeCell ref="Q318:R318"/>
    <mergeCell ref="S318:T318"/>
    <mergeCell ref="W318:X318"/>
    <mergeCell ref="U316:V316"/>
    <mergeCell ref="U317:V317"/>
    <mergeCell ref="U318:V318"/>
    <mergeCell ref="AR319:AS319"/>
    <mergeCell ref="C320:F320"/>
    <mergeCell ref="G320:H320"/>
    <mergeCell ref="I320:J320"/>
    <mergeCell ref="K317:L317"/>
    <mergeCell ref="M317:N317"/>
    <mergeCell ref="O317:P317"/>
    <mergeCell ref="Q317:R317"/>
    <mergeCell ref="S317:T317"/>
    <mergeCell ref="W317:X317"/>
    <mergeCell ref="Z317:AC317"/>
    <mergeCell ref="AD317:AG317"/>
    <mergeCell ref="AH317:AI317"/>
    <mergeCell ref="AJ317:AK317"/>
    <mergeCell ref="AL317:AM317"/>
    <mergeCell ref="AN317:AO317"/>
    <mergeCell ref="AP317:AQ317"/>
    <mergeCell ref="AR317:AS317"/>
    <mergeCell ref="Z318:AC318"/>
    <mergeCell ref="AD318:AG318"/>
    <mergeCell ref="AH318:AI318"/>
    <mergeCell ref="AJ318:AK318"/>
    <mergeCell ref="AL318:AM318"/>
    <mergeCell ref="AN318:AO318"/>
    <mergeCell ref="AP318:AQ318"/>
    <mergeCell ref="AR318:AS318"/>
    <mergeCell ref="C319:F319"/>
    <mergeCell ref="G319:H319"/>
    <mergeCell ref="I319:J319"/>
    <mergeCell ref="K319:L319"/>
    <mergeCell ref="M319:N319"/>
    <mergeCell ref="O319:P319"/>
    <mergeCell ref="Q319:R319"/>
    <mergeCell ref="S319:T319"/>
    <mergeCell ref="W319:X319"/>
    <mergeCell ref="Z319:AC319"/>
    <mergeCell ref="AD319:AG319"/>
    <mergeCell ref="AH319:AI319"/>
    <mergeCell ref="AJ319:AK319"/>
    <mergeCell ref="AL319:AM319"/>
    <mergeCell ref="AN319:AO319"/>
    <mergeCell ref="AP319:AQ319"/>
    <mergeCell ref="C321:F321"/>
    <mergeCell ref="G321:H321"/>
    <mergeCell ref="I321:J321"/>
    <mergeCell ref="K321:L321"/>
    <mergeCell ref="M321:N321"/>
    <mergeCell ref="O321:P321"/>
    <mergeCell ref="Q321:R321"/>
    <mergeCell ref="S321:T321"/>
    <mergeCell ref="W321:X321"/>
    <mergeCell ref="U319:V319"/>
    <mergeCell ref="U320:V320"/>
    <mergeCell ref="U321:V321"/>
    <mergeCell ref="AR322:AS322"/>
    <mergeCell ref="C323:F323"/>
    <mergeCell ref="G323:H323"/>
    <mergeCell ref="I323:J323"/>
    <mergeCell ref="K320:L320"/>
    <mergeCell ref="M320:N320"/>
    <mergeCell ref="O320:P320"/>
    <mergeCell ref="Q320:R320"/>
    <mergeCell ref="S320:T320"/>
    <mergeCell ref="W320:X320"/>
    <mergeCell ref="Z320:AC320"/>
    <mergeCell ref="AD320:AG320"/>
    <mergeCell ref="AH320:AI320"/>
    <mergeCell ref="AJ320:AK320"/>
    <mergeCell ref="AL320:AM320"/>
    <mergeCell ref="AN320:AO320"/>
    <mergeCell ref="AP320:AQ320"/>
    <mergeCell ref="AR320:AS320"/>
    <mergeCell ref="Z321:AC321"/>
    <mergeCell ref="AD321:AG321"/>
    <mergeCell ref="AH321:AI321"/>
    <mergeCell ref="AJ321:AK321"/>
    <mergeCell ref="AL321:AM321"/>
    <mergeCell ref="AN321:AO321"/>
    <mergeCell ref="AP321:AQ321"/>
    <mergeCell ref="AR321:AS321"/>
    <mergeCell ref="C322:F322"/>
    <mergeCell ref="G322:H322"/>
    <mergeCell ref="I322:J322"/>
    <mergeCell ref="K322:L322"/>
    <mergeCell ref="M322:N322"/>
    <mergeCell ref="O322:P322"/>
    <mergeCell ref="Q322:R322"/>
    <mergeCell ref="S322:T322"/>
    <mergeCell ref="W322:X322"/>
    <mergeCell ref="Z322:AC322"/>
    <mergeCell ref="AD322:AG322"/>
    <mergeCell ref="AH322:AI322"/>
    <mergeCell ref="AJ322:AK322"/>
    <mergeCell ref="AL322:AM322"/>
    <mergeCell ref="AN322:AO322"/>
    <mergeCell ref="AP322:AQ322"/>
    <mergeCell ref="C324:F324"/>
    <mergeCell ref="G324:H324"/>
    <mergeCell ref="I324:J324"/>
    <mergeCell ref="K324:L324"/>
    <mergeCell ref="M324:N324"/>
    <mergeCell ref="O324:P324"/>
    <mergeCell ref="Q324:R324"/>
    <mergeCell ref="S324:T324"/>
    <mergeCell ref="W324:X324"/>
    <mergeCell ref="U322:V322"/>
    <mergeCell ref="U323:V323"/>
    <mergeCell ref="U324:V324"/>
    <mergeCell ref="AR325:AS325"/>
    <mergeCell ref="C326:F326"/>
    <mergeCell ref="G326:H326"/>
    <mergeCell ref="I326:J326"/>
    <mergeCell ref="K323:L323"/>
    <mergeCell ref="M323:N323"/>
    <mergeCell ref="O323:P323"/>
    <mergeCell ref="Q323:R323"/>
    <mergeCell ref="S323:T323"/>
    <mergeCell ref="W323:X323"/>
    <mergeCell ref="Z323:AC323"/>
    <mergeCell ref="AD323:AG323"/>
    <mergeCell ref="AH323:AI323"/>
    <mergeCell ref="AJ323:AK323"/>
    <mergeCell ref="AL323:AM323"/>
    <mergeCell ref="AN323:AO323"/>
    <mergeCell ref="AP323:AQ323"/>
    <mergeCell ref="AR323:AS323"/>
    <mergeCell ref="Z324:AC324"/>
    <mergeCell ref="AD324:AG324"/>
    <mergeCell ref="AH324:AI324"/>
    <mergeCell ref="AJ324:AK324"/>
    <mergeCell ref="AL324:AM324"/>
    <mergeCell ref="AN324:AO324"/>
    <mergeCell ref="AP324:AQ324"/>
    <mergeCell ref="AR324:AS324"/>
    <mergeCell ref="C325:F325"/>
    <mergeCell ref="G325:H325"/>
    <mergeCell ref="I325:J325"/>
    <mergeCell ref="K325:L325"/>
    <mergeCell ref="M325:N325"/>
    <mergeCell ref="O325:P325"/>
    <mergeCell ref="Q325:R325"/>
    <mergeCell ref="S325:T325"/>
    <mergeCell ref="W325:X325"/>
    <mergeCell ref="Z325:AC325"/>
    <mergeCell ref="AD325:AG325"/>
    <mergeCell ref="AH325:AI325"/>
    <mergeCell ref="AJ325:AK325"/>
    <mergeCell ref="AL325:AM325"/>
    <mergeCell ref="AN325:AO325"/>
    <mergeCell ref="AP325:AQ325"/>
    <mergeCell ref="C327:F327"/>
    <mergeCell ref="G327:H327"/>
    <mergeCell ref="I327:J327"/>
    <mergeCell ref="K327:L327"/>
    <mergeCell ref="M327:N327"/>
    <mergeCell ref="O327:P327"/>
    <mergeCell ref="Q327:R327"/>
    <mergeCell ref="S327:T327"/>
    <mergeCell ref="W327:X327"/>
    <mergeCell ref="U325:V325"/>
    <mergeCell ref="U326:V326"/>
    <mergeCell ref="U327:V327"/>
    <mergeCell ref="AR328:AS328"/>
    <mergeCell ref="C329:F329"/>
    <mergeCell ref="G329:H329"/>
    <mergeCell ref="I329:J329"/>
    <mergeCell ref="K326:L326"/>
    <mergeCell ref="M326:N326"/>
    <mergeCell ref="O326:P326"/>
    <mergeCell ref="Q326:R326"/>
    <mergeCell ref="S326:T326"/>
    <mergeCell ref="W326:X326"/>
    <mergeCell ref="Z326:AC326"/>
    <mergeCell ref="AD326:AG326"/>
    <mergeCell ref="AH326:AI326"/>
    <mergeCell ref="AJ326:AK326"/>
    <mergeCell ref="AL326:AM326"/>
    <mergeCell ref="AN326:AO326"/>
    <mergeCell ref="AP326:AQ326"/>
    <mergeCell ref="AR326:AS326"/>
    <mergeCell ref="Z327:AC327"/>
    <mergeCell ref="AD327:AG327"/>
    <mergeCell ref="AH327:AI327"/>
    <mergeCell ref="AJ327:AK327"/>
    <mergeCell ref="AL327:AM327"/>
    <mergeCell ref="AN327:AO327"/>
    <mergeCell ref="AP327:AQ327"/>
    <mergeCell ref="AR327:AS327"/>
    <mergeCell ref="C328:F328"/>
    <mergeCell ref="G328:H328"/>
    <mergeCell ref="I328:J328"/>
    <mergeCell ref="K328:L328"/>
    <mergeCell ref="M328:N328"/>
    <mergeCell ref="O328:P328"/>
    <mergeCell ref="Q328:R328"/>
    <mergeCell ref="S328:T328"/>
    <mergeCell ref="W328:X328"/>
    <mergeCell ref="Z328:AC328"/>
    <mergeCell ref="AD328:AG328"/>
    <mergeCell ref="AH328:AI328"/>
    <mergeCell ref="AJ328:AK328"/>
    <mergeCell ref="AL328:AM328"/>
    <mergeCell ref="AN328:AO328"/>
    <mergeCell ref="AP328:AQ328"/>
    <mergeCell ref="C330:F330"/>
    <mergeCell ref="G330:H330"/>
    <mergeCell ref="I330:J330"/>
    <mergeCell ref="K330:L330"/>
    <mergeCell ref="M330:N330"/>
    <mergeCell ref="O330:P330"/>
    <mergeCell ref="Q330:R330"/>
    <mergeCell ref="S330:T330"/>
    <mergeCell ref="W330:X330"/>
    <mergeCell ref="U328:V328"/>
    <mergeCell ref="U329:V329"/>
    <mergeCell ref="U330:V330"/>
    <mergeCell ref="AR331:AS331"/>
    <mergeCell ref="C332:F332"/>
    <mergeCell ref="G332:H332"/>
    <mergeCell ref="I332:J332"/>
    <mergeCell ref="K329:L329"/>
    <mergeCell ref="M329:N329"/>
    <mergeCell ref="O329:P329"/>
    <mergeCell ref="Q329:R329"/>
    <mergeCell ref="S329:T329"/>
    <mergeCell ref="W329:X329"/>
    <mergeCell ref="Z329:AC329"/>
    <mergeCell ref="AD329:AG329"/>
    <mergeCell ref="AH329:AI329"/>
    <mergeCell ref="AJ329:AK329"/>
    <mergeCell ref="AL329:AM329"/>
    <mergeCell ref="AN329:AO329"/>
    <mergeCell ref="AP329:AQ329"/>
    <mergeCell ref="AR329:AS329"/>
    <mergeCell ref="Z330:AC330"/>
    <mergeCell ref="AD330:AG330"/>
    <mergeCell ref="AH330:AI330"/>
    <mergeCell ref="AJ330:AK330"/>
    <mergeCell ref="AL330:AM330"/>
    <mergeCell ref="AN330:AO330"/>
    <mergeCell ref="AP330:AQ330"/>
    <mergeCell ref="AR330:AS330"/>
    <mergeCell ref="C331:F331"/>
    <mergeCell ref="G331:H331"/>
    <mergeCell ref="I331:J331"/>
    <mergeCell ref="K331:L331"/>
    <mergeCell ref="M331:N331"/>
    <mergeCell ref="O331:P331"/>
    <mergeCell ref="Q331:R331"/>
    <mergeCell ref="S331:T331"/>
    <mergeCell ref="W331:X331"/>
    <mergeCell ref="Z331:AC331"/>
    <mergeCell ref="AD331:AG331"/>
    <mergeCell ref="AH331:AI331"/>
    <mergeCell ref="AJ331:AK331"/>
    <mergeCell ref="AL331:AM331"/>
    <mergeCell ref="AN331:AO331"/>
    <mergeCell ref="AP331:AQ331"/>
    <mergeCell ref="C333:F333"/>
    <mergeCell ref="G333:H333"/>
    <mergeCell ref="I333:J333"/>
    <mergeCell ref="K333:L333"/>
    <mergeCell ref="M333:N333"/>
    <mergeCell ref="O333:P333"/>
    <mergeCell ref="Q333:R333"/>
    <mergeCell ref="S333:T333"/>
    <mergeCell ref="W333:X333"/>
    <mergeCell ref="U331:V331"/>
    <mergeCell ref="U332:V332"/>
    <mergeCell ref="U333:V333"/>
    <mergeCell ref="AR334:AS334"/>
    <mergeCell ref="C335:F335"/>
    <mergeCell ref="G335:H335"/>
    <mergeCell ref="I335:J335"/>
    <mergeCell ref="K332:L332"/>
    <mergeCell ref="M332:N332"/>
    <mergeCell ref="O332:P332"/>
    <mergeCell ref="Q332:R332"/>
    <mergeCell ref="S332:T332"/>
    <mergeCell ref="W332:X332"/>
    <mergeCell ref="Z332:AC332"/>
    <mergeCell ref="AD332:AG332"/>
    <mergeCell ref="AH332:AI332"/>
    <mergeCell ref="AJ332:AK332"/>
    <mergeCell ref="AL332:AM332"/>
    <mergeCell ref="AN332:AO332"/>
    <mergeCell ref="AP332:AQ332"/>
    <mergeCell ref="AR332:AS332"/>
    <mergeCell ref="Z333:AC333"/>
    <mergeCell ref="AD333:AG333"/>
    <mergeCell ref="AH333:AI333"/>
    <mergeCell ref="AJ333:AK333"/>
    <mergeCell ref="AL333:AM333"/>
    <mergeCell ref="AN333:AO333"/>
    <mergeCell ref="AP333:AQ333"/>
    <mergeCell ref="AR333:AS333"/>
    <mergeCell ref="C334:F334"/>
    <mergeCell ref="G334:H334"/>
    <mergeCell ref="I334:J334"/>
    <mergeCell ref="K334:L334"/>
    <mergeCell ref="M334:N334"/>
    <mergeCell ref="O334:P334"/>
    <mergeCell ref="Q334:R334"/>
    <mergeCell ref="S334:T334"/>
    <mergeCell ref="W334:X334"/>
    <mergeCell ref="Z334:AC334"/>
    <mergeCell ref="AD334:AG334"/>
    <mergeCell ref="AH334:AI334"/>
    <mergeCell ref="AJ334:AK334"/>
    <mergeCell ref="AL334:AM334"/>
    <mergeCell ref="AN334:AO334"/>
    <mergeCell ref="AP334:AQ334"/>
    <mergeCell ref="C336:F336"/>
    <mergeCell ref="G336:H336"/>
    <mergeCell ref="I336:J336"/>
    <mergeCell ref="K336:L336"/>
    <mergeCell ref="M336:N336"/>
    <mergeCell ref="O336:P336"/>
    <mergeCell ref="Q336:R336"/>
    <mergeCell ref="S336:T336"/>
    <mergeCell ref="W336:X336"/>
    <mergeCell ref="U334:V334"/>
    <mergeCell ref="U335:V335"/>
    <mergeCell ref="U336:V336"/>
    <mergeCell ref="AR337:AS337"/>
    <mergeCell ref="C338:F338"/>
    <mergeCell ref="G338:H338"/>
    <mergeCell ref="I338:J338"/>
    <mergeCell ref="K335:L335"/>
    <mergeCell ref="M335:N335"/>
    <mergeCell ref="O335:P335"/>
    <mergeCell ref="Q335:R335"/>
    <mergeCell ref="S335:T335"/>
    <mergeCell ref="W335:X335"/>
    <mergeCell ref="Z335:AC335"/>
    <mergeCell ref="AD335:AG335"/>
    <mergeCell ref="AH335:AI335"/>
    <mergeCell ref="AJ335:AK335"/>
    <mergeCell ref="AL335:AM335"/>
    <mergeCell ref="AN335:AO335"/>
    <mergeCell ref="AP335:AQ335"/>
    <mergeCell ref="AR335:AS335"/>
    <mergeCell ref="Z336:AC336"/>
    <mergeCell ref="AD336:AG336"/>
    <mergeCell ref="AH336:AI336"/>
    <mergeCell ref="AJ336:AK336"/>
    <mergeCell ref="AL336:AM336"/>
    <mergeCell ref="AN336:AO336"/>
    <mergeCell ref="AP336:AQ336"/>
    <mergeCell ref="AR336:AS336"/>
    <mergeCell ref="C337:F337"/>
    <mergeCell ref="G337:H337"/>
    <mergeCell ref="I337:J337"/>
    <mergeCell ref="K337:L337"/>
    <mergeCell ref="M337:N337"/>
    <mergeCell ref="O337:P337"/>
    <mergeCell ref="Q337:R337"/>
    <mergeCell ref="S337:T337"/>
    <mergeCell ref="W337:X337"/>
    <mergeCell ref="Z337:AC337"/>
    <mergeCell ref="AD337:AG337"/>
    <mergeCell ref="AH337:AI337"/>
    <mergeCell ref="AJ337:AK337"/>
    <mergeCell ref="AL337:AM337"/>
    <mergeCell ref="AN337:AO337"/>
    <mergeCell ref="AP337:AQ337"/>
    <mergeCell ref="C339:F339"/>
    <mergeCell ref="G339:H339"/>
    <mergeCell ref="I339:J339"/>
    <mergeCell ref="K339:L339"/>
    <mergeCell ref="M339:N339"/>
    <mergeCell ref="O339:P339"/>
    <mergeCell ref="Q339:R339"/>
    <mergeCell ref="S339:T339"/>
    <mergeCell ref="W339:X339"/>
    <mergeCell ref="U337:V337"/>
    <mergeCell ref="U338:V338"/>
    <mergeCell ref="U339:V339"/>
    <mergeCell ref="AR340:AS340"/>
    <mergeCell ref="C341:F341"/>
    <mergeCell ref="G341:H341"/>
    <mergeCell ref="I341:J341"/>
    <mergeCell ref="K338:L338"/>
    <mergeCell ref="M338:N338"/>
    <mergeCell ref="O338:P338"/>
    <mergeCell ref="Q338:R338"/>
    <mergeCell ref="S338:T338"/>
    <mergeCell ref="W338:X338"/>
    <mergeCell ref="Z338:AC338"/>
    <mergeCell ref="AD338:AG338"/>
    <mergeCell ref="AH338:AI338"/>
    <mergeCell ref="AJ338:AK338"/>
    <mergeCell ref="AL338:AM338"/>
    <mergeCell ref="AN338:AO338"/>
    <mergeCell ref="AP338:AQ338"/>
    <mergeCell ref="AR338:AS338"/>
    <mergeCell ref="Z339:AC339"/>
    <mergeCell ref="AD339:AG339"/>
    <mergeCell ref="AH339:AI339"/>
    <mergeCell ref="AJ339:AK339"/>
    <mergeCell ref="AL339:AM339"/>
    <mergeCell ref="AN339:AO339"/>
    <mergeCell ref="AP339:AQ339"/>
    <mergeCell ref="AR339:AS339"/>
    <mergeCell ref="C340:F340"/>
    <mergeCell ref="G340:H340"/>
    <mergeCell ref="I340:J340"/>
    <mergeCell ref="K340:L340"/>
    <mergeCell ref="M340:N340"/>
    <mergeCell ref="O340:P340"/>
    <mergeCell ref="Q340:R340"/>
    <mergeCell ref="S340:T340"/>
    <mergeCell ref="W340:X340"/>
    <mergeCell ref="Z340:AC340"/>
    <mergeCell ref="AD340:AG340"/>
    <mergeCell ref="AH340:AI340"/>
    <mergeCell ref="AJ340:AK340"/>
    <mergeCell ref="AL340:AM340"/>
    <mergeCell ref="AN340:AO340"/>
    <mergeCell ref="AP340:AQ340"/>
    <mergeCell ref="C342:F342"/>
    <mergeCell ref="G342:H342"/>
    <mergeCell ref="I342:J342"/>
    <mergeCell ref="K342:L342"/>
    <mergeCell ref="M342:N342"/>
    <mergeCell ref="O342:P342"/>
    <mergeCell ref="Q342:R342"/>
    <mergeCell ref="S342:T342"/>
    <mergeCell ref="W342:X342"/>
    <mergeCell ref="U340:V340"/>
    <mergeCell ref="U341:V341"/>
    <mergeCell ref="U342:V342"/>
    <mergeCell ref="AR343:AS343"/>
    <mergeCell ref="C344:F344"/>
    <mergeCell ref="G344:H344"/>
    <mergeCell ref="I344:J344"/>
    <mergeCell ref="K341:L341"/>
    <mergeCell ref="M341:N341"/>
    <mergeCell ref="O341:P341"/>
    <mergeCell ref="Q341:R341"/>
    <mergeCell ref="S341:T341"/>
    <mergeCell ref="W341:X341"/>
    <mergeCell ref="Z341:AC341"/>
    <mergeCell ref="AD341:AG341"/>
    <mergeCell ref="AH341:AI341"/>
    <mergeCell ref="AJ341:AK341"/>
    <mergeCell ref="AL341:AM341"/>
    <mergeCell ref="AN341:AO341"/>
    <mergeCell ref="AP341:AQ341"/>
    <mergeCell ref="AR341:AS341"/>
    <mergeCell ref="Z342:AC342"/>
    <mergeCell ref="AD342:AG342"/>
    <mergeCell ref="AH342:AI342"/>
    <mergeCell ref="AJ342:AK342"/>
    <mergeCell ref="AL342:AM342"/>
    <mergeCell ref="AN342:AO342"/>
    <mergeCell ref="AP342:AQ342"/>
    <mergeCell ref="AR342:AS342"/>
    <mergeCell ref="C343:F343"/>
    <mergeCell ref="G343:H343"/>
    <mergeCell ref="I343:J343"/>
    <mergeCell ref="K343:L343"/>
    <mergeCell ref="M343:N343"/>
    <mergeCell ref="O343:P343"/>
    <mergeCell ref="Q343:R343"/>
    <mergeCell ref="S343:T343"/>
    <mergeCell ref="W343:X343"/>
    <mergeCell ref="Z343:AC343"/>
    <mergeCell ref="AD343:AG343"/>
    <mergeCell ref="AH343:AI343"/>
    <mergeCell ref="AJ343:AK343"/>
    <mergeCell ref="AL343:AM343"/>
    <mergeCell ref="AN343:AO343"/>
    <mergeCell ref="AP343:AQ343"/>
    <mergeCell ref="C345:F345"/>
    <mergeCell ref="G345:H345"/>
    <mergeCell ref="I345:J345"/>
    <mergeCell ref="K345:L345"/>
    <mergeCell ref="M345:N345"/>
    <mergeCell ref="O345:P345"/>
    <mergeCell ref="Q345:R345"/>
    <mergeCell ref="S345:T345"/>
    <mergeCell ref="W345:X345"/>
    <mergeCell ref="U343:V343"/>
    <mergeCell ref="U344:V344"/>
    <mergeCell ref="U345:V345"/>
    <mergeCell ref="AR346:AS346"/>
    <mergeCell ref="C347:F347"/>
    <mergeCell ref="G347:H347"/>
    <mergeCell ref="I347:J347"/>
    <mergeCell ref="K344:L344"/>
    <mergeCell ref="M344:N344"/>
    <mergeCell ref="O344:P344"/>
    <mergeCell ref="Q344:R344"/>
    <mergeCell ref="S344:T344"/>
    <mergeCell ref="W344:X344"/>
    <mergeCell ref="Z344:AC344"/>
    <mergeCell ref="AD344:AG344"/>
    <mergeCell ref="AH344:AI344"/>
    <mergeCell ref="AJ344:AK344"/>
    <mergeCell ref="AL344:AM344"/>
    <mergeCell ref="AN344:AO344"/>
    <mergeCell ref="AP344:AQ344"/>
    <mergeCell ref="AR344:AS344"/>
    <mergeCell ref="Z345:AC345"/>
    <mergeCell ref="AD345:AG345"/>
    <mergeCell ref="AH345:AI345"/>
    <mergeCell ref="AJ345:AK345"/>
    <mergeCell ref="AL345:AM345"/>
    <mergeCell ref="AN345:AO345"/>
    <mergeCell ref="AP345:AQ345"/>
    <mergeCell ref="AR345:AS345"/>
    <mergeCell ref="C346:F346"/>
    <mergeCell ref="G346:H346"/>
    <mergeCell ref="I346:J346"/>
    <mergeCell ref="K346:L346"/>
    <mergeCell ref="M346:N346"/>
    <mergeCell ref="O346:P346"/>
    <mergeCell ref="Q346:R346"/>
    <mergeCell ref="S346:T346"/>
    <mergeCell ref="W346:X346"/>
    <mergeCell ref="Z346:AC346"/>
    <mergeCell ref="AD346:AG346"/>
    <mergeCell ref="AH346:AI346"/>
    <mergeCell ref="AJ346:AK346"/>
    <mergeCell ref="AL346:AM346"/>
    <mergeCell ref="AN346:AO346"/>
    <mergeCell ref="AP346:AQ346"/>
    <mergeCell ref="C348:F348"/>
    <mergeCell ref="G348:H348"/>
    <mergeCell ref="I348:J348"/>
    <mergeCell ref="K348:L348"/>
    <mergeCell ref="M348:N348"/>
    <mergeCell ref="O348:P348"/>
    <mergeCell ref="Q348:R348"/>
    <mergeCell ref="S348:T348"/>
    <mergeCell ref="W348:X348"/>
    <mergeCell ref="U346:V346"/>
    <mergeCell ref="U347:V347"/>
    <mergeCell ref="U348:V348"/>
    <mergeCell ref="AR349:AS349"/>
    <mergeCell ref="C350:F350"/>
    <mergeCell ref="G350:H350"/>
    <mergeCell ref="I350:J350"/>
    <mergeCell ref="K347:L347"/>
    <mergeCell ref="M347:N347"/>
    <mergeCell ref="O347:P347"/>
    <mergeCell ref="Q347:R347"/>
    <mergeCell ref="S347:T347"/>
    <mergeCell ref="W347:X347"/>
    <mergeCell ref="Z347:AC347"/>
    <mergeCell ref="AD347:AG347"/>
    <mergeCell ref="AH347:AI347"/>
    <mergeCell ref="AJ347:AK347"/>
    <mergeCell ref="AL347:AM347"/>
    <mergeCell ref="AN347:AO347"/>
    <mergeCell ref="AP347:AQ347"/>
    <mergeCell ref="AR347:AS347"/>
    <mergeCell ref="Z348:AC348"/>
    <mergeCell ref="AD348:AG348"/>
    <mergeCell ref="AH348:AI348"/>
    <mergeCell ref="AJ348:AK348"/>
    <mergeCell ref="AL348:AM348"/>
    <mergeCell ref="AN348:AO348"/>
    <mergeCell ref="AP348:AQ348"/>
    <mergeCell ref="AR348:AS348"/>
    <mergeCell ref="C349:F349"/>
    <mergeCell ref="G349:H349"/>
    <mergeCell ref="I349:J349"/>
    <mergeCell ref="K349:L349"/>
    <mergeCell ref="M349:N349"/>
    <mergeCell ref="O349:P349"/>
    <mergeCell ref="Q349:R349"/>
    <mergeCell ref="S349:T349"/>
    <mergeCell ref="W349:X349"/>
    <mergeCell ref="Z349:AC349"/>
    <mergeCell ref="AD349:AG349"/>
    <mergeCell ref="AH349:AI349"/>
    <mergeCell ref="AJ349:AK349"/>
    <mergeCell ref="AL349:AM349"/>
    <mergeCell ref="AN349:AO349"/>
    <mergeCell ref="AP349:AQ349"/>
    <mergeCell ref="C351:F351"/>
    <mergeCell ref="G351:H351"/>
    <mergeCell ref="I351:J351"/>
    <mergeCell ref="K351:L351"/>
    <mergeCell ref="M351:N351"/>
    <mergeCell ref="O351:P351"/>
    <mergeCell ref="Q351:R351"/>
    <mergeCell ref="S351:T351"/>
    <mergeCell ref="W351:X351"/>
    <mergeCell ref="U349:V349"/>
    <mergeCell ref="U350:V350"/>
    <mergeCell ref="U351:V351"/>
    <mergeCell ref="AR352:AS352"/>
    <mergeCell ref="C353:F353"/>
    <mergeCell ref="G353:H353"/>
    <mergeCell ref="I353:J353"/>
    <mergeCell ref="K350:L350"/>
    <mergeCell ref="M350:N350"/>
    <mergeCell ref="O350:P350"/>
    <mergeCell ref="Q350:R350"/>
    <mergeCell ref="S350:T350"/>
    <mergeCell ref="W350:X350"/>
    <mergeCell ref="Z350:AC350"/>
    <mergeCell ref="AD350:AG350"/>
    <mergeCell ref="AH350:AI350"/>
    <mergeCell ref="AJ350:AK350"/>
    <mergeCell ref="AL350:AM350"/>
    <mergeCell ref="AN350:AO350"/>
    <mergeCell ref="AP350:AQ350"/>
    <mergeCell ref="AR350:AS350"/>
    <mergeCell ref="Z351:AC351"/>
    <mergeCell ref="AD351:AG351"/>
    <mergeCell ref="AH351:AI351"/>
    <mergeCell ref="AJ351:AK351"/>
    <mergeCell ref="AL351:AM351"/>
    <mergeCell ref="AN351:AO351"/>
    <mergeCell ref="AP351:AQ351"/>
    <mergeCell ref="AR351:AS351"/>
    <mergeCell ref="C352:F352"/>
    <mergeCell ref="G352:H352"/>
    <mergeCell ref="I352:J352"/>
    <mergeCell ref="K352:L352"/>
    <mergeCell ref="M352:N352"/>
    <mergeCell ref="O352:P352"/>
    <mergeCell ref="Q352:R352"/>
    <mergeCell ref="S352:T352"/>
    <mergeCell ref="W352:X352"/>
    <mergeCell ref="Z352:AC352"/>
    <mergeCell ref="AD352:AG352"/>
    <mergeCell ref="AH352:AI352"/>
    <mergeCell ref="AJ352:AK352"/>
    <mergeCell ref="AL352:AM352"/>
    <mergeCell ref="AN352:AO352"/>
    <mergeCell ref="AP352:AQ352"/>
    <mergeCell ref="C354:F354"/>
    <mergeCell ref="G354:H354"/>
    <mergeCell ref="I354:J354"/>
    <mergeCell ref="K354:L354"/>
    <mergeCell ref="M354:N354"/>
    <mergeCell ref="O354:P354"/>
    <mergeCell ref="Q354:R354"/>
    <mergeCell ref="S354:T354"/>
    <mergeCell ref="W354:X354"/>
    <mergeCell ref="U352:V352"/>
    <mergeCell ref="U353:V353"/>
    <mergeCell ref="U354:V354"/>
    <mergeCell ref="AR355:AS355"/>
    <mergeCell ref="C356:F356"/>
    <mergeCell ref="G356:H356"/>
    <mergeCell ref="I356:J356"/>
    <mergeCell ref="K353:L353"/>
    <mergeCell ref="M353:N353"/>
    <mergeCell ref="O353:P353"/>
    <mergeCell ref="Q353:R353"/>
    <mergeCell ref="S353:T353"/>
    <mergeCell ref="W353:X353"/>
    <mergeCell ref="Z353:AC353"/>
    <mergeCell ref="AD353:AG353"/>
    <mergeCell ref="AH353:AI353"/>
    <mergeCell ref="AJ353:AK353"/>
    <mergeCell ref="AL353:AM353"/>
    <mergeCell ref="AN353:AO353"/>
    <mergeCell ref="AP353:AQ353"/>
    <mergeCell ref="AR353:AS353"/>
    <mergeCell ref="Z354:AC354"/>
    <mergeCell ref="AD354:AG354"/>
    <mergeCell ref="AH354:AI354"/>
    <mergeCell ref="AJ354:AK354"/>
    <mergeCell ref="AL354:AM354"/>
    <mergeCell ref="AN354:AO354"/>
    <mergeCell ref="AP354:AQ354"/>
    <mergeCell ref="AR354:AS354"/>
    <mergeCell ref="C355:F355"/>
    <mergeCell ref="G355:H355"/>
    <mergeCell ref="I355:J355"/>
    <mergeCell ref="K355:L355"/>
    <mergeCell ref="M355:N355"/>
    <mergeCell ref="O355:P355"/>
    <mergeCell ref="Q355:R355"/>
    <mergeCell ref="S355:T355"/>
    <mergeCell ref="W355:X355"/>
    <mergeCell ref="Z355:AC355"/>
    <mergeCell ref="AD355:AG355"/>
    <mergeCell ref="AH355:AI355"/>
    <mergeCell ref="AJ355:AK355"/>
    <mergeCell ref="AL355:AM355"/>
    <mergeCell ref="AN355:AO355"/>
    <mergeCell ref="AP355:AQ355"/>
    <mergeCell ref="C357:F357"/>
    <mergeCell ref="G357:H357"/>
    <mergeCell ref="I357:J357"/>
    <mergeCell ref="K357:L357"/>
    <mergeCell ref="M357:N357"/>
    <mergeCell ref="O357:P357"/>
    <mergeCell ref="Q357:R357"/>
    <mergeCell ref="S357:T357"/>
    <mergeCell ref="W357:X357"/>
    <mergeCell ref="U355:V355"/>
    <mergeCell ref="U356:V356"/>
    <mergeCell ref="U357:V357"/>
    <mergeCell ref="AR358:AS358"/>
    <mergeCell ref="C359:F359"/>
    <mergeCell ref="G359:H359"/>
    <mergeCell ref="I359:J359"/>
    <mergeCell ref="K356:L356"/>
    <mergeCell ref="M356:N356"/>
    <mergeCell ref="O356:P356"/>
    <mergeCell ref="Q356:R356"/>
    <mergeCell ref="S356:T356"/>
    <mergeCell ref="W356:X356"/>
    <mergeCell ref="Z356:AC356"/>
    <mergeCell ref="AD356:AG356"/>
    <mergeCell ref="AH356:AI356"/>
    <mergeCell ref="AJ356:AK356"/>
    <mergeCell ref="AL356:AM356"/>
    <mergeCell ref="AN356:AO356"/>
    <mergeCell ref="AP356:AQ356"/>
    <mergeCell ref="AR356:AS356"/>
    <mergeCell ref="Z357:AC357"/>
    <mergeCell ref="AD357:AG357"/>
    <mergeCell ref="AH357:AI357"/>
    <mergeCell ref="AJ357:AK357"/>
    <mergeCell ref="AL357:AM357"/>
    <mergeCell ref="AN357:AO357"/>
    <mergeCell ref="AP357:AQ357"/>
    <mergeCell ref="AR357:AS357"/>
    <mergeCell ref="C358:F358"/>
    <mergeCell ref="G358:H358"/>
    <mergeCell ref="I358:J358"/>
    <mergeCell ref="K358:L358"/>
    <mergeCell ref="M358:N358"/>
    <mergeCell ref="O358:P358"/>
    <mergeCell ref="Q358:R358"/>
    <mergeCell ref="S358:T358"/>
    <mergeCell ref="W358:X358"/>
    <mergeCell ref="Z358:AC358"/>
    <mergeCell ref="AD358:AG358"/>
    <mergeCell ref="AH358:AI358"/>
    <mergeCell ref="AJ358:AK358"/>
    <mergeCell ref="AL358:AM358"/>
    <mergeCell ref="AN358:AO358"/>
    <mergeCell ref="AP358:AQ358"/>
    <mergeCell ref="C360:F360"/>
    <mergeCell ref="G360:H360"/>
    <mergeCell ref="I360:J360"/>
    <mergeCell ref="K360:L360"/>
    <mergeCell ref="M360:N360"/>
    <mergeCell ref="O360:P360"/>
    <mergeCell ref="Q360:R360"/>
    <mergeCell ref="S360:T360"/>
    <mergeCell ref="W360:X360"/>
    <mergeCell ref="U358:V358"/>
    <mergeCell ref="U359:V359"/>
    <mergeCell ref="U360:V360"/>
    <mergeCell ref="AR361:AS361"/>
    <mergeCell ref="C362:F362"/>
    <mergeCell ref="G362:H362"/>
    <mergeCell ref="I362:J362"/>
    <mergeCell ref="K359:L359"/>
    <mergeCell ref="M359:N359"/>
    <mergeCell ref="O359:P359"/>
    <mergeCell ref="Q359:R359"/>
    <mergeCell ref="S359:T359"/>
    <mergeCell ref="W359:X359"/>
    <mergeCell ref="Z359:AC359"/>
    <mergeCell ref="AD359:AG359"/>
    <mergeCell ref="AH359:AI359"/>
    <mergeCell ref="AJ359:AK359"/>
    <mergeCell ref="AL359:AM359"/>
    <mergeCell ref="AN359:AO359"/>
    <mergeCell ref="AP359:AQ359"/>
    <mergeCell ref="AR359:AS359"/>
    <mergeCell ref="Z360:AC360"/>
    <mergeCell ref="AD360:AG360"/>
    <mergeCell ref="AH360:AI360"/>
    <mergeCell ref="AJ360:AK360"/>
    <mergeCell ref="AL360:AM360"/>
    <mergeCell ref="AN360:AO360"/>
    <mergeCell ref="AP360:AQ360"/>
    <mergeCell ref="AR360:AS360"/>
    <mergeCell ref="C361:F361"/>
    <mergeCell ref="G361:H361"/>
    <mergeCell ref="I361:J361"/>
    <mergeCell ref="K361:L361"/>
    <mergeCell ref="M361:N361"/>
    <mergeCell ref="O361:P361"/>
    <mergeCell ref="Q361:R361"/>
    <mergeCell ref="S361:T361"/>
    <mergeCell ref="W361:X361"/>
    <mergeCell ref="Z361:AC361"/>
    <mergeCell ref="AD361:AG361"/>
    <mergeCell ref="AH361:AI361"/>
    <mergeCell ref="AJ361:AK361"/>
    <mergeCell ref="AL361:AM361"/>
    <mergeCell ref="AN361:AO361"/>
    <mergeCell ref="AP361:AQ361"/>
    <mergeCell ref="C363:F363"/>
    <mergeCell ref="G363:H363"/>
    <mergeCell ref="I363:J363"/>
    <mergeCell ref="K363:L363"/>
    <mergeCell ref="M363:N363"/>
    <mergeCell ref="O363:P363"/>
    <mergeCell ref="Q363:R363"/>
    <mergeCell ref="S363:T363"/>
    <mergeCell ref="W363:X363"/>
    <mergeCell ref="U361:V361"/>
    <mergeCell ref="U362:V362"/>
    <mergeCell ref="U363:V363"/>
    <mergeCell ref="AR364:AS364"/>
    <mergeCell ref="C365:F365"/>
    <mergeCell ref="G365:H365"/>
    <mergeCell ref="I365:J365"/>
    <mergeCell ref="K362:L362"/>
    <mergeCell ref="M362:N362"/>
    <mergeCell ref="O362:P362"/>
    <mergeCell ref="Q362:R362"/>
    <mergeCell ref="S362:T362"/>
    <mergeCell ref="W362:X362"/>
    <mergeCell ref="Z362:AC362"/>
    <mergeCell ref="AD362:AG362"/>
    <mergeCell ref="AH362:AI362"/>
    <mergeCell ref="AJ362:AK362"/>
    <mergeCell ref="AL362:AM362"/>
    <mergeCell ref="AN362:AO362"/>
    <mergeCell ref="AP362:AQ362"/>
    <mergeCell ref="AR362:AS362"/>
    <mergeCell ref="Z363:AC363"/>
    <mergeCell ref="AD363:AG363"/>
    <mergeCell ref="AH363:AI363"/>
    <mergeCell ref="AJ363:AK363"/>
    <mergeCell ref="AL363:AM363"/>
    <mergeCell ref="AN363:AO363"/>
    <mergeCell ref="AP363:AQ363"/>
    <mergeCell ref="AR363:AS363"/>
    <mergeCell ref="C364:F364"/>
    <mergeCell ref="G364:H364"/>
    <mergeCell ref="I364:J364"/>
    <mergeCell ref="K364:L364"/>
    <mergeCell ref="M364:N364"/>
    <mergeCell ref="O364:P364"/>
    <mergeCell ref="Q364:R364"/>
    <mergeCell ref="S364:T364"/>
    <mergeCell ref="W364:X364"/>
    <mergeCell ref="Z364:AC364"/>
    <mergeCell ref="AD364:AG364"/>
    <mergeCell ref="AH364:AI364"/>
    <mergeCell ref="AJ364:AK364"/>
    <mergeCell ref="AL364:AM364"/>
    <mergeCell ref="AN364:AO364"/>
    <mergeCell ref="AP364:AQ364"/>
    <mergeCell ref="C366:F366"/>
    <mergeCell ref="G366:H366"/>
    <mergeCell ref="I366:J366"/>
    <mergeCell ref="K366:L366"/>
    <mergeCell ref="M366:N366"/>
    <mergeCell ref="O366:P366"/>
    <mergeCell ref="Q366:R366"/>
    <mergeCell ref="S366:T366"/>
    <mergeCell ref="W366:X366"/>
    <mergeCell ref="U364:V364"/>
    <mergeCell ref="U365:V365"/>
    <mergeCell ref="U366:V366"/>
    <mergeCell ref="AR367:AS367"/>
    <mergeCell ref="C368:F368"/>
    <mergeCell ref="G368:H368"/>
    <mergeCell ref="I368:J368"/>
    <mergeCell ref="K365:L365"/>
    <mergeCell ref="M365:N365"/>
    <mergeCell ref="O365:P365"/>
    <mergeCell ref="Q365:R365"/>
    <mergeCell ref="S365:T365"/>
    <mergeCell ref="W365:X365"/>
    <mergeCell ref="Z365:AC365"/>
    <mergeCell ref="AD365:AG365"/>
    <mergeCell ref="AH365:AI365"/>
    <mergeCell ref="AJ365:AK365"/>
    <mergeCell ref="AL365:AM365"/>
    <mergeCell ref="AN365:AO365"/>
    <mergeCell ref="AP365:AQ365"/>
    <mergeCell ref="AR365:AS365"/>
    <mergeCell ref="Z366:AC366"/>
    <mergeCell ref="AD366:AG366"/>
    <mergeCell ref="AH366:AI366"/>
    <mergeCell ref="AJ366:AK366"/>
    <mergeCell ref="AL366:AM366"/>
    <mergeCell ref="AN366:AO366"/>
    <mergeCell ref="AP366:AQ366"/>
    <mergeCell ref="AR366:AS366"/>
    <mergeCell ref="C367:F367"/>
    <mergeCell ref="G367:H367"/>
    <mergeCell ref="I367:J367"/>
    <mergeCell ref="K367:L367"/>
    <mergeCell ref="M367:N367"/>
    <mergeCell ref="O367:P367"/>
    <mergeCell ref="Q367:R367"/>
    <mergeCell ref="S367:T367"/>
    <mergeCell ref="W367:X367"/>
    <mergeCell ref="Z367:AC367"/>
    <mergeCell ref="AD367:AG367"/>
    <mergeCell ref="AH367:AI367"/>
    <mergeCell ref="AJ367:AK367"/>
    <mergeCell ref="AL367:AM367"/>
    <mergeCell ref="AN367:AO367"/>
    <mergeCell ref="AP367:AQ367"/>
    <mergeCell ref="C369:F369"/>
    <mergeCell ref="G369:H369"/>
    <mergeCell ref="I369:J369"/>
    <mergeCell ref="K369:L369"/>
    <mergeCell ref="M369:N369"/>
    <mergeCell ref="O369:P369"/>
    <mergeCell ref="Q369:R369"/>
    <mergeCell ref="S369:T369"/>
    <mergeCell ref="W369:X369"/>
    <mergeCell ref="U367:V367"/>
    <mergeCell ref="U368:V368"/>
    <mergeCell ref="U369:V369"/>
    <mergeCell ref="AR370:AS370"/>
    <mergeCell ref="C371:F371"/>
    <mergeCell ref="G371:H371"/>
    <mergeCell ref="I371:J371"/>
    <mergeCell ref="K368:L368"/>
    <mergeCell ref="M368:N368"/>
    <mergeCell ref="O368:P368"/>
    <mergeCell ref="Q368:R368"/>
    <mergeCell ref="S368:T368"/>
    <mergeCell ref="W368:X368"/>
    <mergeCell ref="Z368:AC368"/>
    <mergeCell ref="AD368:AG368"/>
    <mergeCell ref="AH368:AI368"/>
    <mergeCell ref="AJ368:AK368"/>
    <mergeCell ref="AL368:AM368"/>
    <mergeCell ref="AN368:AO368"/>
    <mergeCell ref="AP368:AQ368"/>
    <mergeCell ref="AR368:AS368"/>
    <mergeCell ref="Z369:AC369"/>
    <mergeCell ref="AD369:AG369"/>
    <mergeCell ref="AH369:AI369"/>
    <mergeCell ref="AJ369:AK369"/>
    <mergeCell ref="AL369:AM369"/>
    <mergeCell ref="AN369:AO369"/>
    <mergeCell ref="AP369:AQ369"/>
    <mergeCell ref="AR369:AS369"/>
    <mergeCell ref="C370:F370"/>
    <mergeCell ref="G370:H370"/>
    <mergeCell ref="I370:J370"/>
    <mergeCell ref="K370:L370"/>
    <mergeCell ref="M370:N370"/>
    <mergeCell ref="O370:P370"/>
    <mergeCell ref="Q370:R370"/>
    <mergeCell ref="S370:T370"/>
    <mergeCell ref="W370:X370"/>
    <mergeCell ref="Z370:AC370"/>
    <mergeCell ref="AD370:AG370"/>
    <mergeCell ref="AH370:AI370"/>
    <mergeCell ref="AJ370:AK370"/>
    <mergeCell ref="AL370:AM370"/>
    <mergeCell ref="AN370:AO370"/>
    <mergeCell ref="AP370:AQ370"/>
    <mergeCell ref="C372:F372"/>
    <mergeCell ref="G372:H372"/>
    <mergeCell ref="I372:J372"/>
    <mergeCell ref="K372:L372"/>
    <mergeCell ref="M372:N372"/>
    <mergeCell ref="O372:P372"/>
    <mergeCell ref="Q372:R372"/>
    <mergeCell ref="S372:T372"/>
    <mergeCell ref="W372:X372"/>
    <mergeCell ref="U370:V370"/>
    <mergeCell ref="U371:V371"/>
    <mergeCell ref="U372:V372"/>
    <mergeCell ref="AR373:AS373"/>
    <mergeCell ref="C374:F374"/>
    <mergeCell ref="G374:H374"/>
    <mergeCell ref="I374:J374"/>
    <mergeCell ref="K371:L371"/>
    <mergeCell ref="M371:N371"/>
    <mergeCell ref="O371:P371"/>
    <mergeCell ref="Q371:R371"/>
    <mergeCell ref="S371:T371"/>
    <mergeCell ref="W371:X371"/>
    <mergeCell ref="Z371:AC371"/>
    <mergeCell ref="AD371:AG371"/>
    <mergeCell ref="AH371:AI371"/>
    <mergeCell ref="AJ371:AK371"/>
    <mergeCell ref="AL371:AM371"/>
    <mergeCell ref="AN371:AO371"/>
    <mergeCell ref="AP371:AQ371"/>
    <mergeCell ref="AR371:AS371"/>
    <mergeCell ref="Z372:AC372"/>
    <mergeCell ref="AD372:AG372"/>
    <mergeCell ref="AH372:AI372"/>
    <mergeCell ref="AJ372:AK372"/>
    <mergeCell ref="AL372:AM372"/>
    <mergeCell ref="AN372:AO372"/>
    <mergeCell ref="AP372:AQ372"/>
    <mergeCell ref="AR372:AS372"/>
    <mergeCell ref="C373:F373"/>
    <mergeCell ref="G373:H373"/>
    <mergeCell ref="I373:J373"/>
    <mergeCell ref="K373:L373"/>
    <mergeCell ref="M373:N373"/>
    <mergeCell ref="O373:P373"/>
    <mergeCell ref="Q373:R373"/>
    <mergeCell ref="S373:T373"/>
    <mergeCell ref="W373:X373"/>
    <mergeCell ref="Z373:AC373"/>
    <mergeCell ref="AD373:AG373"/>
    <mergeCell ref="AH373:AI373"/>
    <mergeCell ref="AJ373:AK373"/>
    <mergeCell ref="AL373:AM373"/>
    <mergeCell ref="AN373:AO373"/>
    <mergeCell ref="AP373:AQ373"/>
    <mergeCell ref="C375:F375"/>
    <mergeCell ref="G375:H375"/>
    <mergeCell ref="I375:J375"/>
    <mergeCell ref="K375:L375"/>
    <mergeCell ref="M375:N375"/>
    <mergeCell ref="O375:P375"/>
    <mergeCell ref="Q375:R375"/>
    <mergeCell ref="S375:T375"/>
    <mergeCell ref="W375:X375"/>
    <mergeCell ref="U373:V373"/>
    <mergeCell ref="U374:V374"/>
    <mergeCell ref="U375:V375"/>
    <mergeCell ref="AR376:AS376"/>
    <mergeCell ref="C377:F377"/>
    <mergeCell ref="G377:H377"/>
    <mergeCell ref="I377:J377"/>
    <mergeCell ref="K374:L374"/>
    <mergeCell ref="M374:N374"/>
    <mergeCell ref="O374:P374"/>
    <mergeCell ref="Q374:R374"/>
    <mergeCell ref="S374:T374"/>
    <mergeCell ref="W374:X374"/>
    <mergeCell ref="Z374:AC374"/>
    <mergeCell ref="AD374:AG374"/>
    <mergeCell ref="AH374:AI374"/>
    <mergeCell ref="AJ374:AK374"/>
    <mergeCell ref="AL374:AM374"/>
    <mergeCell ref="AN374:AO374"/>
    <mergeCell ref="AP374:AQ374"/>
    <mergeCell ref="AR374:AS374"/>
    <mergeCell ref="Z375:AC375"/>
    <mergeCell ref="AD375:AG375"/>
    <mergeCell ref="AH375:AI375"/>
    <mergeCell ref="AJ375:AK375"/>
    <mergeCell ref="AL375:AM375"/>
    <mergeCell ref="AN375:AO375"/>
    <mergeCell ref="AP375:AQ375"/>
    <mergeCell ref="AR375:AS375"/>
    <mergeCell ref="C376:F376"/>
    <mergeCell ref="G376:H376"/>
    <mergeCell ref="I376:J376"/>
    <mergeCell ref="K376:L376"/>
    <mergeCell ref="M376:N376"/>
    <mergeCell ref="O376:P376"/>
    <mergeCell ref="Q376:R376"/>
    <mergeCell ref="S376:T376"/>
    <mergeCell ref="W376:X376"/>
    <mergeCell ref="Z376:AC376"/>
    <mergeCell ref="AD376:AG376"/>
    <mergeCell ref="AH376:AI376"/>
    <mergeCell ref="AJ376:AK376"/>
    <mergeCell ref="AL376:AM376"/>
    <mergeCell ref="AN376:AO376"/>
    <mergeCell ref="AP376:AQ376"/>
    <mergeCell ref="C378:F378"/>
    <mergeCell ref="G378:H378"/>
    <mergeCell ref="I378:J378"/>
    <mergeCell ref="K378:L378"/>
    <mergeCell ref="M378:N378"/>
    <mergeCell ref="O378:P378"/>
    <mergeCell ref="Q378:R378"/>
    <mergeCell ref="S378:T378"/>
    <mergeCell ref="W378:X378"/>
    <mergeCell ref="U376:V376"/>
    <mergeCell ref="U377:V377"/>
    <mergeCell ref="U378:V378"/>
    <mergeCell ref="AR379:AS379"/>
    <mergeCell ref="C380:F380"/>
    <mergeCell ref="G380:H380"/>
    <mergeCell ref="I380:J380"/>
    <mergeCell ref="K377:L377"/>
    <mergeCell ref="M377:N377"/>
    <mergeCell ref="O377:P377"/>
    <mergeCell ref="Q377:R377"/>
    <mergeCell ref="S377:T377"/>
    <mergeCell ref="W377:X377"/>
    <mergeCell ref="Z377:AC377"/>
    <mergeCell ref="AD377:AG377"/>
    <mergeCell ref="AH377:AI377"/>
    <mergeCell ref="AJ377:AK377"/>
    <mergeCell ref="AL377:AM377"/>
    <mergeCell ref="AN377:AO377"/>
    <mergeCell ref="AP377:AQ377"/>
    <mergeCell ref="AR377:AS377"/>
    <mergeCell ref="Z378:AC378"/>
    <mergeCell ref="AD378:AG378"/>
    <mergeCell ref="AH378:AI378"/>
    <mergeCell ref="AJ378:AK378"/>
    <mergeCell ref="AL378:AM378"/>
    <mergeCell ref="AN378:AO378"/>
    <mergeCell ref="AP378:AQ378"/>
    <mergeCell ref="AR378:AS378"/>
    <mergeCell ref="C379:F379"/>
    <mergeCell ref="G379:H379"/>
    <mergeCell ref="I379:J379"/>
    <mergeCell ref="K379:L379"/>
    <mergeCell ref="M379:N379"/>
    <mergeCell ref="O379:P379"/>
    <mergeCell ref="Q379:R379"/>
    <mergeCell ref="S379:T379"/>
    <mergeCell ref="W379:X379"/>
    <mergeCell ref="Z379:AC379"/>
    <mergeCell ref="AD379:AG379"/>
    <mergeCell ref="AH379:AI379"/>
    <mergeCell ref="AJ379:AK379"/>
    <mergeCell ref="AL379:AM379"/>
    <mergeCell ref="AN379:AO379"/>
    <mergeCell ref="AP379:AQ379"/>
    <mergeCell ref="C381:F381"/>
    <mergeCell ref="G381:H381"/>
    <mergeCell ref="I381:J381"/>
    <mergeCell ref="K381:L381"/>
    <mergeCell ref="M381:N381"/>
    <mergeCell ref="O381:P381"/>
    <mergeCell ref="Q381:R381"/>
    <mergeCell ref="S381:T381"/>
    <mergeCell ref="W381:X381"/>
    <mergeCell ref="U379:V379"/>
    <mergeCell ref="U380:V380"/>
    <mergeCell ref="U381:V381"/>
    <mergeCell ref="AR382:AS382"/>
    <mergeCell ref="C383:F383"/>
    <mergeCell ref="G383:H383"/>
    <mergeCell ref="I383:J383"/>
    <mergeCell ref="K380:L380"/>
    <mergeCell ref="M380:N380"/>
    <mergeCell ref="O380:P380"/>
    <mergeCell ref="Q380:R380"/>
    <mergeCell ref="S380:T380"/>
    <mergeCell ref="W380:X380"/>
    <mergeCell ref="Z380:AC380"/>
    <mergeCell ref="AD380:AG380"/>
    <mergeCell ref="AH380:AI380"/>
    <mergeCell ref="AJ380:AK380"/>
    <mergeCell ref="AL380:AM380"/>
    <mergeCell ref="AN380:AO380"/>
    <mergeCell ref="AP380:AQ380"/>
    <mergeCell ref="AR380:AS380"/>
    <mergeCell ref="Z381:AC381"/>
    <mergeCell ref="AD381:AG381"/>
    <mergeCell ref="AH381:AI381"/>
    <mergeCell ref="AJ381:AK381"/>
    <mergeCell ref="AL381:AM381"/>
    <mergeCell ref="AN381:AO381"/>
    <mergeCell ref="AP381:AQ381"/>
    <mergeCell ref="AR381:AS381"/>
    <mergeCell ref="C382:F382"/>
    <mergeCell ref="G382:H382"/>
    <mergeCell ref="I382:J382"/>
    <mergeCell ref="K382:L382"/>
    <mergeCell ref="M382:N382"/>
    <mergeCell ref="O382:P382"/>
    <mergeCell ref="Q382:R382"/>
    <mergeCell ref="S382:T382"/>
    <mergeCell ref="W382:X382"/>
    <mergeCell ref="Z382:AC382"/>
    <mergeCell ref="AD382:AG382"/>
    <mergeCell ref="AH382:AI382"/>
    <mergeCell ref="AJ382:AK382"/>
    <mergeCell ref="AL382:AM382"/>
    <mergeCell ref="AN382:AO382"/>
    <mergeCell ref="AP382:AQ382"/>
    <mergeCell ref="C384:F384"/>
    <mergeCell ref="G384:H384"/>
    <mergeCell ref="I384:J384"/>
    <mergeCell ref="K384:L384"/>
    <mergeCell ref="M384:N384"/>
    <mergeCell ref="O384:P384"/>
    <mergeCell ref="Q384:R384"/>
    <mergeCell ref="S384:T384"/>
    <mergeCell ref="W384:X384"/>
    <mergeCell ref="U382:V382"/>
    <mergeCell ref="U383:V383"/>
    <mergeCell ref="U384:V384"/>
    <mergeCell ref="AR385:AS385"/>
    <mergeCell ref="C386:F386"/>
    <mergeCell ref="G386:H386"/>
    <mergeCell ref="I386:J386"/>
    <mergeCell ref="K383:L383"/>
    <mergeCell ref="M383:N383"/>
    <mergeCell ref="O383:P383"/>
    <mergeCell ref="Q383:R383"/>
    <mergeCell ref="S383:T383"/>
    <mergeCell ref="W383:X383"/>
    <mergeCell ref="Z383:AC383"/>
    <mergeCell ref="AD383:AG383"/>
    <mergeCell ref="AH383:AI383"/>
    <mergeCell ref="AJ383:AK383"/>
    <mergeCell ref="AL383:AM383"/>
    <mergeCell ref="AN383:AO383"/>
    <mergeCell ref="AP383:AQ383"/>
    <mergeCell ref="AR383:AS383"/>
    <mergeCell ref="Z384:AC384"/>
    <mergeCell ref="AD384:AG384"/>
    <mergeCell ref="AH384:AI384"/>
    <mergeCell ref="AJ384:AK384"/>
    <mergeCell ref="AL384:AM384"/>
    <mergeCell ref="AN384:AO384"/>
    <mergeCell ref="AP384:AQ384"/>
    <mergeCell ref="AR384:AS384"/>
    <mergeCell ref="C385:F385"/>
    <mergeCell ref="G385:H385"/>
    <mergeCell ref="I385:J385"/>
    <mergeCell ref="K385:L385"/>
    <mergeCell ref="M385:N385"/>
    <mergeCell ref="O385:P385"/>
    <mergeCell ref="Q385:R385"/>
    <mergeCell ref="S385:T385"/>
    <mergeCell ref="W385:X385"/>
    <mergeCell ref="Z385:AC385"/>
    <mergeCell ref="AD385:AG385"/>
    <mergeCell ref="AH385:AI385"/>
    <mergeCell ref="AJ385:AK385"/>
    <mergeCell ref="AL385:AM385"/>
    <mergeCell ref="AN385:AO385"/>
    <mergeCell ref="AP385:AQ385"/>
    <mergeCell ref="C387:F387"/>
    <mergeCell ref="G387:H387"/>
    <mergeCell ref="I387:J387"/>
    <mergeCell ref="K387:L387"/>
    <mergeCell ref="M387:N387"/>
    <mergeCell ref="O387:P387"/>
    <mergeCell ref="Q387:R387"/>
    <mergeCell ref="S387:T387"/>
    <mergeCell ref="W387:X387"/>
    <mergeCell ref="U385:V385"/>
    <mergeCell ref="U386:V386"/>
    <mergeCell ref="U387:V387"/>
    <mergeCell ref="AR388:AS388"/>
    <mergeCell ref="C389:F389"/>
    <mergeCell ref="G389:H389"/>
    <mergeCell ref="I389:J389"/>
    <mergeCell ref="K386:L386"/>
    <mergeCell ref="M386:N386"/>
    <mergeCell ref="O386:P386"/>
    <mergeCell ref="Q386:R386"/>
    <mergeCell ref="S386:T386"/>
    <mergeCell ref="W386:X386"/>
    <mergeCell ref="Z386:AC386"/>
    <mergeCell ref="AD386:AG386"/>
    <mergeCell ref="AH386:AI386"/>
    <mergeCell ref="AJ386:AK386"/>
    <mergeCell ref="AL386:AM386"/>
    <mergeCell ref="AN386:AO386"/>
    <mergeCell ref="AP386:AQ386"/>
    <mergeCell ref="AR386:AS386"/>
    <mergeCell ref="Z387:AC387"/>
    <mergeCell ref="AD387:AG387"/>
    <mergeCell ref="AH387:AI387"/>
    <mergeCell ref="AJ387:AK387"/>
    <mergeCell ref="AL387:AM387"/>
    <mergeCell ref="AN387:AO387"/>
    <mergeCell ref="AP387:AQ387"/>
    <mergeCell ref="AR387:AS387"/>
    <mergeCell ref="C388:F388"/>
    <mergeCell ref="G388:H388"/>
    <mergeCell ref="I388:J388"/>
    <mergeCell ref="K388:L388"/>
    <mergeCell ref="M388:N388"/>
    <mergeCell ref="O388:P388"/>
    <mergeCell ref="Q388:R388"/>
    <mergeCell ref="S388:T388"/>
    <mergeCell ref="W388:X388"/>
    <mergeCell ref="Z388:AC388"/>
    <mergeCell ref="AD388:AG388"/>
    <mergeCell ref="AH388:AI388"/>
    <mergeCell ref="AJ388:AK388"/>
    <mergeCell ref="AL388:AM388"/>
    <mergeCell ref="AN388:AO388"/>
    <mergeCell ref="AP388:AQ388"/>
    <mergeCell ref="C390:F390"/>
    <mergeCell ref="G390:H390"/>
    <mergeCell ref="I390:J390"/>
    <mergeCell ref="K390:L390"/>
    <mergeCell ref="M390:N390"/>
    <mergeCell ref="O390:P390"/>
    <mergeCell ref="Q390:R390"/>
    <mergeCell ref="S390:T390"/>
    <mergeCell ref="W390:X390"/>
    <mergeCell ref="U388:V388"/>
    <mergeCell ref="U389:V389"/>
    <mergeCell ref="U390:V390"/>
    <mergeCell ref="AR391:AS391"/>
    <mergeCell ref="C392:F392"/>
    <mergeCell ref="G392:H392"/>
    <mergeCell ref="I392:J392"/>
    <mergeCell ref="K389:L389"/>
    <mergeCell ref="M389:N389"/>
    <mergeCell ref="O389:P389"/>
    <mergeCell ref="Q389:R389"/>
    <mergeCell ref="S389:T389"/>
    <mergeCell ref="W389:X389"/>
    <mergeCell ref="Z389:AC389"/>
    <mergeCell ref="AD389:AG389"/>
    <mergeCell ref="AH389:AI389"/>
    <mergeCell ref="AJ389:AK389"/>
    <mergeCell ref="AL389:AM389"/>
    <mergeCell ref="AN389:AO389"/>
    <mergeCell ref="AP389:AQ389"/>
    <mergeCell ref="AR389:AS389"/>
    <mergeCell ref="Z390:AC390"/>
    <mergeCell ref="AD390:AG390"/>
    <mergeCell ref="AH390:AI390"/>
    <mergeCell ref="AJ390:AK390"/>
    <mergeCell ref="AL390:AM390"/>
    <mergeCell ref="AN390:AO390"/>
    <mergeCell ref="AP390:AQ390"/>
    <mergeCell ref="AR390:AS390"/>
    <mergeCell ref="C391:F391"/>
    <mergeCell ref="G391:H391"/>
    <mergeCell ref="I391:J391"/>
    <mergeCell ref="K391:L391"/>
    <mergeCell ref="M391:N391"/>
    <mergeCell ref="O391:P391"/>
    <mergeCell ref="Q391:R391"/>
    <mergeCell ref="S391:T391"/>
    <mergeCell ref="W391:X391"/>
    <mergeCell ref="Z391:AC391"/>
    <mergeCell ref="AD391:AG391"/>
    <mergeCell ref="AH391:AI391"/>
    <mergeCell ref="AJ391:AK391"/>
    <mergeCell ref="AL391:AM391"/>
    <mergeCell ref="AN391:AO391"/>
    <mergeCell ref="AP391:AQ391"/>
    <mergeCell ref="C393:F393"/>
    <mergeCell ref="G393:H393"/>
    <mergeCell ref="I393:J393"/>
    <mergeCell ref="K393:L393"/>
    <mergeCell ref="M393:N393"/>
    <mergeCell ref="O393:P393"/>
    <mergeCell ref="Q393:R393"/>
    <mergeCell ref="S393:T393"/>
    <mergeCell ref="W393:X393"/>
    <mergeCell ref="U391:V391"/>
    <mergeCell ref="U392:V392"/>
    <mergeCell ref="U393:V393"/>
    <mergeCell ref="AR394:AS394"/>
    <mergeCell ref="C395:F395"/>
    <mergeCell ref="G395:H395"/>
    <mergeCell ref="I395:J395"/>
    <mergeCell ref="K392:L392"/>
    <mergeCell ref="M392:N392"/>
    <mergeCell ref="O392:P392"/>
    <mergeCell ref="Q392:R392"/>
    <mergeCell ref="S392:T392"/>
    <mergeCell ref="W392:X392"/>
    <mergeCell ref="Z392:AC392"/>
    <mergeCell ref="AD392:AG392"/>
    <mergeCell ref="AH392:AI392"/>
    <mergeCell ref="AJ392:AK392"/>
    <mergeCell ref="AL392:AM392"/>
    <mergeCell ref="AN392:AO392"/>
    <mergeCell ref="AP392:AQ392"/>
    <mergeCell ref="AR392:AS392"/>
    <mergeCell ref="Z393:AC393"/>
    <mergeCell ref="AD393:AG393"/>
    <mergeCell ref="AH393:AI393"/>
    <mergeCell ref="AJ393:AK393"/>
    <mergeCell ref="AL393:AM393"/>
    <mergeCell ref="AN393:AO393"/>
    <mergeCell ref="AP393:AQ393"/>
    <mergeCell ref="AR393:AS393"/>
    <mergeCell ref="C394:F394"/>
    <mergeCell ref="G394:H394"/>
    <mergeCell ref="I394:J394"/>
    <mergeCell ref="K394:L394"/>
    <mergeCell ref="M394:N394"/>
    <mergeCell ref="O394:P394"/>
    <mergeCell ref="Q394:R394"/>
    <mergeCell ref="S394:T394"/>
    <mergeCell ref="W394:X394"/>
    <mergeCell ref="Z394:AC394"/>
    <mergeCell ref="AD394:AG394"/>
    <mergeCell ref="AH394:AI394"/>
    <mergeCell ref="AJ394:AK394"/>
    <mergeCell ref="AL394:AM394"/>
    <mergeCell ref="AN394:AO394"/>
    <mergeCell ref="AP394:AQ394"/>
    <mergeCell ref="C396:F396"/>
    <mergeCell ref="G396:H396"/>
    <mergeCell ref="I396:J396"/>
    <mergeCell ref="K396:L396"/>
    <mergeCell ref="M396:N396"/>
    <mergeCell ref="O396:P396"/>
    <mergeCell ref="Q396:R396"/>
    <mergeCell ref="S396:T396"/>
    <mergeCell ref="W396:X396"/>
    <mergeCell ref="U394:V394"/>
    <mergeCell ref="U395:V395"/>
    <mergeCell ref="U396:V396"/>
    <mergeCell ref="AR397:AS397"/>
    <mergeCell ref="C398:F398"/>
    <mergeCell ref="G398:H398"/>
    <mergeCell ref="I398:J398"/>
    <mergeCell ref="K395:L395"/>
    <mergeCell ref="M395:N395"/>
    <mergeCell ref="O395:P395"/>
    <mergeCell ref="Q395:R395"/>
    <mergeCell ref="S395:T395"/>
    <mergeCell ref="W395:X395"/>
    <mergeCell ref="Z395:AC395"/>
    <mergeCell ref="AD395:AG395"/>
    <mergeCell ref="AH395:AI395"/>
    <mergeCell ref="AJ395:AK395"/>
    <mergeCell ref="AL395:AM395"/>
    <mergeCell ref="AN395:AO395"/>
    <mergeCell ref="AP395:AQ395"/>
    <mergeCell ref="AR395:AS395"/>
    <mergeCell ref="Z396:AC396"/>
    <mergeCell ref="AD396:AG396"/>
    <mergeCell ref="AH396:AI396"/>
    <mergeCell ref="AJ396:AK396"/>
    <mergeCell ref="AL396:AM396"/>
    <mergeCell ref="AN396:AO396"/>
    <mergeCell ref="AP396:AQ396"/>
    <mergeCell ref="AR396:AS396"/>
    <mergeCell ref="C397:F397"/>
    <mergeCell ref="G397:H397"/>
    <mergeCell ref="I397:J397"/>
    <mergeCell ref="K397:L397"/>
    <mergeCell ref="M397:N397"/>
    <mergeCell ref="O397:P397"/>
    <mergeCell ref="Q397:R397"/>
    <mergeCell ref="S397:T397"/>
    <mergeCell ref="W397:X397"/>
    <mergeCell ref="Z397:AC397"/>
    <mergeCell ref="AD397:AG397"/>
    <mergeCell ref="AH397:AI397"/>
    <mergeCell ref="AJ397:AK397"/>
    <mergeCell ref="AL397:AM397"/>
    <mergeCell ref="AN397:AO397"/>
    <mergeCell ref="AP397:AQ397"/>
    <mergeCell ref="C399:F399"/>
    <mergeCell ref="G399:H399"/>
    <mergeCell ref="I399:J399"/>
    <mergeCell ref="K399:L399"/>
    <mergeCell ref="M399:N399"/>
    <mergeCell ref="O399:P399"/>
    <mergeCell ref="Q399:R399"/>
    <mergeCell ref="S399:T399"/>
    <mergeCell ref="W399:X399"/>
    <mergeCell ref="U397:V397"/>
    <mergeCell ref="U398:V398"/>
    <mergeCell ref="U399:V399"/>
    <mergeCell ref="AR400:AS400"/>
    <mergeCell ref="C401:F401"/>
    <mergeCell ref="G401:H401"/>
    <mergeCell ref="I401:J401"/>
    <mergeCell ref="K398:L398"/>
    <mergeCell ref="M398:N398"/>
    <mergeCell ref="O398:P398"/>
    <mergeCell ref="Q398:R398"/>
    <mergeCell ref="S398:T398"/>
    <mergeCell ref="W398:X398"/>
    <mergeCell ref="Z398:AC398"/>
    <mergeCell ref="AD398:AG398"/>
    <mergeCell ref="AH398:AI398"/>
    <mergeCell ref="AJ398:AK398"/>
    <mergeCell ref="AL398:AM398"/>
    <mergeCell ref="AN398:AO398"/>
    <mergeCell ref="AP398:AQ398"/>
    <mergeCell ref="AR398:AS398"/>
    <mergeCell ref="Z399:AC399"/>
    <mergeCell ref="AD399:AG399"/>
    <mergeCell ref="AH399:AI399"/>
    <mergeCell ref="AJ399:AK399"/>
    <mergeCell ref="AL399:AM399"/>
    <mergeCell ref="AN399:AO399"/>
    <mergeCell ref="AP399:AQ399"/>
    <mergeCell ref="AR399:AS399"/>
    <mergeCell ref="C400:F400"/>
    <mergeCell ref="G400:H400"/>
    <mergeCell ref="I400:J400"/>
    <mergeCell ref="K400:L400"/>
    <mergeCell ref="M400:N400"/>
    <mergeCell ref="O400:P400"/>
    <mergeCell ref="Q400:R400"/>
    <mergeCell ref="S400:T400"/>
    <mergeCell ref="W400:X400"/>
    <mergeCell ref="Z400:AC400"/>
    <mergeCell ref="AD400:AG400"/>
    <mergeCell ref="AH400:AI400"/>
    <mergeCell ref="AJ400:AK400"/>
    <mergeCell ref="AL400:AM400"/>
    <mergeCell ref="AN400:AO400"/>
    <mergeCell ref="AP400:AQ400"/>
    <mergeCell ref="C402:F402"/>
    <mergeCell ref="G402:H402"/>
    <mergeCell ref="I402:J402"/>
    <mergeCell ref="K402:L402"/>
    <mergeCell ref="M402:N402"/>
    <mergeCell ref="O402:P402"/>
    <mergeCell ref="Q402:R402"/>
    <mergeCell ref="S402:T402"/>
    <mergeCell ref="W402:X402"/>
    <mergeCell ref="U400:V400"/>
    <mergeCell ref="U401:V401"/>
    <mergeCell ref="U402:V402"/>
    <mergeCell ref="AR403:AS403"/>
    <mergeCell ref="C404:F404"/>
    <mergeCell ref="G404:H404"/>
    <mergeCell ref="I404:J404"/>
    <mergeCell ref="K401:L401"/>
    <mergeCell ref="M401:N401"/>
    <mergeCell ref="O401:P401"/>
    <mergeCell ref="Q401:R401"/>
    <mergeCell ref="S401:T401"/>
    <mergeCell ref="W401:X401"/>
    <mergeCell ref="Z401:AC401"/>
    <mergeCell ref="AD401:AG401"/>
    <mergeCell ref="AH401:AI401"/>
    <mergeCell ref="AJ401:AK401"/>
    <mergeCell ref="AL401:AM401"/>
    <mergeCell ref="AN401:AO401"/>
    <mergeCell ref="AP401:AQ401"/>
    <mergeCell ref="AR401:AS401"/>
    <mergeCell ref="Z402:AC402"/>
    <mergeCell ref="AD402:AG402"/>
    <mergeCell ref="AH402:AI402"/>
    <mergeCell ref="AJ402:AK402"/>
    <mergeCell ref="AL402:AM402"/>
    <mergeCell ref="AN402:AO402"/>
    <mergeCell ref="AP402:AQ402"/>
    <mergeCell ref="AR402:AS402"/>
    <mergeCell ref="C403:F403"/>
    <mergeCell ref="G403:H403"/>
    <mergeCell ref="I403:J403"/>
    <mergeCell ref="K403:L403"/>
    <mergeCell ref="M403:N403"/>
    <mergeCell ref="O403:P403"/>
    <mergeCell ref="Q403:R403"/>
    <mergeCell ref="S403:T403"/>
    <mergeCell ref="W403:X403"/>
    <mergeCell ref="Z403:AC403"/>
    <mergeCell ref="AD403:AG403"/>
    <mergeCell ref="AH403:AI403"/>
    <mergeCell ref="AJ403:AK403"/>
    <mergeCell ref="AL403:AM403"/>
    <mergeCell ref="AN403:AO403"/>
    <mergeCell ref="AP403:AQ403"/>
    <mergeCell ref="C405:F405"/>
    <mergeCell ref="G405:H405"/>
    <mergeCell ref="I405:J405"/>
    <mergeCell ref="K405:L405"/>
    <mergeCell ref="M405:N405"/>
    <mergeCell ref="O405:P405"/>
    <mergeCell ref="Q405:R405"/>
    <mergeCell ref="S405:T405"/>
    <mergeCell ref="W405:X405"/>
    <mergeCell ref="U403:V403"/>
    <mergeCell ref="U404:V404"/>
    <mergeCell ref="U405:V405"/>
    <mergeCell ref="AR406:AS406"/>
    <mergeCell ref="C407:F407"/>
    <mergeCell ref="G407:H407"/>
    <mergeCell ref="I407:J407"/>
    <mergeCell ref="K404:L404"/>
    <mergeCell ref="M404:N404"/>
    <mergeCell ref="O404:P404"/>
    <mergeCell ref="Q404:R404"/>
    <mergeCell ref="S404:T404"/>
    <mergeCell ref="W404:X404"/>
    <mergeCell ref="Z404:AC404"/>
    <mergeCell ref="AD404:AG404"/>
    <mergeCell ref="AH404:AI404"/>
    <mergeCell ref="AJ404:AK404"/>
    <mergeCell ref="AL404:AM404"/>
    <mergeCell ref="AN404:AO404"/>
    <mergeCell ref="AP404:AQ404"/>
    <mergeCell ref="AR404:AS404"/>
    <mergeCell ref="Z405:AC405"/>
    <mergeCell ref="AD405:AG405"/>
    <mergeCell ref="AH405:AI405"/>
    <mergeCell ref="AJ405:AK405"/>
    <mergeCell ref="AL405:AM405"/>
    <mergeCell ref="AN405:AO405"/>
    <mergeCell ref="AP405:AQ405"/>
    <mergeCell ref="AR405:AS405"/>
    <mergeCell ref="C406:F406"/>
    <mergeCell ref="G406:H406"/>
    <mergeCell ref="I406:J406"/>
    <mergeCell ref="K406:L406"/>
    <mergeCell ref="M406:N406"/>
    <mergeCell ref="O406:P406"/>
    <mergeCell ref="Q406:R406"/>
    <mergeCell ref="S406:T406"/>
    <mergeCell ref="W406:X406"/>
    <mergeCell ref="Z406:AC406"/>
    <mergeCell ref="AD406:AG406"/>
    <mergeCell ref="AH406:AI406"/>
    <mergeCell ref="AJ406:AK406"/>
    <mergeCell ref="AL406:AM406"/>
    <mergeCell ref="AN406:AO406"/>
    <mergeCell ref="AP406:AQ406"/>
    <mergeCell ref="C408:F408"/>
    <mergeCell ref="G408:H408"/>
    <mergeCell ref="I408:J408"/>
    <mergeCell ref="K408:L408"/>
    <mergeCell ref="M408:N408"/>
    <mergeCell ref="O408:P408"/>
    <mergeCell ref="Q408:R408"/>
    <mergeCell ref="S408:T408"/>
    <mergeCell ref="W408:X408"/>
    <mergeCell ref="U406:V406"/>
    <mergeCell ref="U407:V407"/>
    <mergeCell ref="U408:V408"/>
    <mergeCell ref="AR409:AS409"/>
    <mergeCell ref="C410:F410"/>
    <mergeCell ref="G410:H410"/>
    <mergeCell ref="I410:J410"/>
    <mergeCell ref="K407:L407"/>
    <mergeCell ref="M407:N407"/>
    <mergeCell ref="O407:P407"/>
    <mergeCell ref="Q407:R407"/>
    <mergeCell ref="S407:T407"/>
    <mergeCell ref="W407:X407"/>
    <mergeCell ref="Z407:AC407"/>
    <mergeCell ref="AD407:AG407"/>
    <mergeCell ref="AH407:AI407"/>
    <mergeCell ref="AJ407:AK407"/>
    <mergeCell ref="AL407:AM407"/>
    <mergeCell ref="AN407:AO407"/>
    <mergeCell ref="AP407:AQ407"/>
    <mergeCell ref="AR407:AS407"/>
    <mergeCell ref="Z408:AC408"/>
    <mergeCell ref="AD408:AG408"/>
    <mergeCell ref="AH408:AI408"/>
    <mergeCell ref="AJ408:AK408"/>
    <mergeCell ref="AL408:AM408"/>
    <mergeCell ref="AN408:AO408"/>
    <mergeCell ref="AP408:AQ408"/>
    <mergeCell ref="AR408:AS408"/>
    <mergeCell ref="C409:F409"/>
    <mergeCell ref="G409:H409"/>
    <mergeCell ref="I409:J409"/>
    <mergeCell ref="K409:L409"/>
    <mergeCell ref="M409:N409"/>
    <mergeCell ref="O409:P409"/>
    <mergeCell ref="Q409:R409"/>
    <mergeCell ref="S409:T409"/>
    <mergeCell ref="W409:X409"/>
    <mergeCell ref="Z409:AC409"/>
    <mergeCell ref="AD409:AG409"/>
    <mergeCell ref="AH409:AI409"/>
    <mergeCell ref="AJ409:AK409"/>
    <mergeCell ref="AL409:AM409"/>
    <mergeCell ref="AN409:AO409"/>
    <mergeCell ref="AP409:AQ409"/>
    <mergeCell ref="C411:F411"/>
    <mergeCell ref="G411:H411"/>
    <mergeCell ref="I411:J411"/>
    <mergeCell ref="K411:L411"/>
    <mergeCell ref="M411:N411"/>
    <mergeCell ref="O411:P411"/>
    <mergeCell ref="Q411:R411"/>
    <mergeCell ref="S411:T411"/>
    <mergeCell ref="W411:X411"/>
    <mergeCell ref="U409:V409"/>
    <mergeCell ref="U410:V410"/>
    <mergeCell ref="U411:V411"/>
    <mergeCell ref="AR412:AS412"/>
    <mergeCell ref="C413:F413"/>
    <mergeCell ref="G413:H413"/>
    <mergeCell ref="I413:J413"/>
    <mergeCell ref="K410:L410"/>
    <mergeCell ref="M410:N410"/>
    <mergeCell ref="O410:P410"/>
    <mergeCell ref="Q410:R410"/>
    <mergeCell ref="S410:T410"/>
    <mergeCell ref="W410:X410"/>
    <mergeCell ref="Z410:AC410"/>
    <mergeCell ref="AD410:AG410"/>
    <mergeCell ref="AH410:AI410"/>
    <mergeCell ref="AJ410:AK410"/>
    <mergeCell ref="AL410:AM410"/>
    <mergeCell ref="AN410:AO410"/>
    <mergeCell ref="AP410:AQ410"/>
    <mergeCell ref="AR410:AS410"/>
    <mergeCell ref="Z411:AC411"/>
    <mergeCell ref="AD411:AG411"/>
    <mergeCell ref="AH411:AI411"/>
    <mergeCell ref="AJ411:AK411"/>
    <mergeCell ref="AL411:AM411"/>
    <mergeCell ref="AN411:AO411"/>
    <mergeCell ref="AP411:AQ411"/>
    <mergeCell ref="AR411:AS411"/>
    <mergeCell ref="C412:F412"/>
    <mergeCell ref="G412:H412"/>
    <mergeCell ref="I412:J412"/>
    <mergeCell ref="K412:L412"/>
    <mergeCell ref="M412:N412"/>
    <mergeCell ref="O412:P412"/>
    <mergeCell ref="Q412:R412"/>
    <mergeCell ref="S412:T412"/>
    <mergeCell ref="W412:X412"/>
    <mergeCell ref="Z412:AC412"/>
    <mergeCell ref="AD412:AG412"/>
    <mergeCell ref="AH412:AI412"/>
    <mergeCell ref="AJ412:AK412"/>
    <mergeCell ref="AL412:AM412"/>
    <mergeCell ref="AN412:AO412"/>
    <mergeCell ref="AP412:AQ412"/>
    <mergeCell ref="C414:F414"/>
    <mergeCell ref="G414:H414"/>
    <mergeCell ref="I414:J414"/>
    <mergeCell ref="K414:L414"/>
    <mergeCell ref="M414:N414"/>
    <mergeCell ref="O414:P414"/>
    <mergeCell ref="Q414:R414"/>
    <mergeCell ref="S414:T414"/>
    <mergeCell ref="W414:X414"/>
    <mergeCell ref="U412:V412"/>
    <mergeCell ref="U413:V413"/>
    <mergeCell ref="U414:V414"/>
    <mergeCell ref="AR415:AS415"/>
    <mergeCell ref="C416:F416"/>
    <mergeCell ref="G416:H416"/>
    <mergeCell ref="I416:J416"/>
    <mergeCell ref="K413:L413"/>
    <mergeCell ref="M413:N413"/>
    <mergeCell ref="O413:P413"/>
    <mergeCell ref="Q413:R413"/>
    <mergeCell ref="S413:T413"/>
    <mergeCell ref="W413:X413"/>
    <mergeCell ref="Z413:AC413"/>
    <mergeCell ref="AD413:AG413"/>
    <mergeCell ref="AH413:AI413"/>
    <mergeCell ref="AJ413:AK413"/>
    <mergeCell ref="AL413:AM413"/>
    <mergeCell ref="AN413:AO413"/>
    <mergeCell ref="AP413:AQ413"/>
    <mergeCell ref="AR413:AS413"/>
    <mergeCell ref="Z414:AC414"/>
    <mergeCell ref="AD414:AG414"/>
    <mergeCell ref="AH414:AI414"/>
    <mergeCell ref="AJ414:AK414"/>
    <mergeCell ref="AL414:AM414"/>
    <mergeCell ref="AN414:AO414"/>
    <mergeCell ref="AP414:AQ414"/>
    <mergeCell ref="AR414:AS414"/>
    <mergeCell ref="C415:F415"/>
    <mergeCell ref="G415:H415"/>
    <mergeCell ref="I415:J415"/>
    <mergeCell ref="K415:L415"/>
    <mergeCell ref="M415:N415"/>
    <mergeCell ref="O415:P415"/>
    <mergeCell ref="Q415:R415"/>
    <mergeCell ref="S415:T415"/>
    <mergeCell ref="W415:X415"/>
    <mergeCell ref="Z415:AC415"/>
    <mergeCell ref="AD415:AG415"/>
    <mergeCell ref="AH415:AI415"/>
    <mergeCell ref="AJ415:AK415"/>
    <mergeCell ref="AL415:AM415"/>
    <mergeCell ref="AN415:AO415"/>
    <mergeCell ref="AP415:AQ415"/>
    <mergeCell ref="C417:F417"/>
    <mergeCell ref="G417:H417"/>
    <mergeCell ref="I417:J417"/>
    <mergeCell ref="K417:L417"/>
    <mergeCell ref="M417:N417"/>
    <mergeCell ref="O417:P417"/>
    <mergeCell ref="Q417:R417"/>
    <mergeCell ref="S417:T417"/>
    <mergeCell ref="W417:X417"/>
    <mergeCell ref="U415:V415"/>
    <mergeCell ref="U416:V416"/>
    <mergeCell ref="U417:V417"/>
    <mergeCell ref="AR418:AS418"/>
    <mergeCell ref="C419:F419"/>
    <mergeCell ref="G419:H419"/>
    <mergeCell ref="I419:J419"/>
    <mergeCell ref="K416:L416"/>
    <mergeCell ref="M416:N416"/>
    <mergeCell ref="O416:P416"/>
    <mergeCell ref="Q416:R416"/>
    <mergeCell ref="S416:T416"/>
    <mergeCell ref="W416:X416"/>
    <mergeCell ref="Z416:AC416"/>
    <mergeCell ref="AD416:AG416"/>
    <mergeCell ref="AH416:AI416"/>
    <mergeCell ref="AJ416:AK416"/>
    <mergeCell ref="AL416:AM416"/>
    <mergeCell ref="AN416:AO416"/>
    <mergeCell ref="AP416:AQ416"/>
    <mergeCell ref="AR416:AS416"/>
    <mergeCell ref="Z417:AC417"/>
    <mergeCell ref="AD417:AG417"/>
    <mergeCell ref="AH417:AI417"/>
    <mergeCell ref="AJ417:AK417"/>
    <mergeCell ref="AL417:AM417"/>
    <mergeCell ref="AN417:AO417"/>
    <mergeCell ref="AP417:AQ417"/>
    <mergeCell ref="AR417:AS417"/>
    <mergeCell ref="C418:F418"/>
    <mergeCell ref="G418:H418"/>
    <mergeCell ref="I418:J418"/>
    <mergeCell ref="K418:L418"/>
    <mergeCell ref="M418:N418"/>
    <mergeCell ref="O418:P418"/>
    <mergeCell ref="Q418:R418"/>
    <mergeCell ref="S418:T418"/>
    <mergeCell ref="W418:X418"/>
    <mergeCell ref="Z418:AC418"/>
    <mergeCell ref="AD418:AG418"/>
    <mergeCell ref="AH418:AI418"/>
    <mergeCell ref="AJ418:AK418"/>
    <mergeCell ref="AL418:AM418"/>
    <mergeCell ref="AN418:AO418"/>
    <mergeCell ref="AP418:AQ418"/>
    <mergeCell ref="C420:F420"/>
    <mergeCell ref="G420:H420"/>
    <mergeCell ref="I420:J420"/>
    <mergeCell ref="K420:L420"/>
    <mergeCell ref="M420:N420"/>
    <mergeCell ref="O420:P420"/>
    <mergeCell ref="Q420:R420"/>
    <mergeCell ref="S420:T420"/>
    <mergeCell ref="W420:X420"/>
    <mergeCell ref="U418:V418"/>
    <mergeCell ref="U419:V419"/>
    <mergeCell ref="U420:V420"/>
    <mergeCell ref="AR421:AS421"/>
    <mergeCell ref="C422:F422"/>
    <mergeCell ref="G422:H422"/>
    <mergeCell ref="I422:J422"/>
    <mergeCell ref="K419:L419"/>
    <mergeCell ref="M419:N419"/>
    <mergeCell ref="O419:P419"/>
    <mergeCell ref="Q419:R419"/>
    <mergeCell ref="S419:T419"/>
    <mergeCell ref="W419:X419"/>
    <mergeCell ref="Z419:AC419"/>
    <mergeCell ref="AD419:AG419"/>
    <mergeCell ref="AH419:AI419"/>
    <mergeCell ref="AJ419:AK419"/>
    <mergeCell ref="AL419:AM419"/>
    <mergeCell ref="AN419:AO419"/>
    <mergeCell ref="AP419:AQ419"/>
    <mergeCell ref="AR419:AS419"/>
    <mergeCell ref="Z420:AC420"/>
    <mergeCell ref="AD420:AG420"/>
    <mergeCell ref="AH420:AI420"/>
    <mergeCell ref="AJ420:AK420"/>
    <mergeCell ref="AL420:AM420"/>
    <mergeCell ref="AN420:AO420"/>
    <mergeCell ref="AP420:AQ420"/>
    <mergeCell ref="AR420:AS420"/>
    <mergeCell ref="C421:F421"/>
    <mergeCell ref="G421:H421"/>
    <mergeCell ref="I421:J421"/>
    <mergeCell ref="K421:L421"/>
    <mergeCell ref="M421:N421"/>
    <mergeCell ref="O421:P421"/>
    <mergeCell ref="Q421:R421"/>
    <mergeCell ref="S421:T421"/>
    <mergeCell ref="W421:X421"/>
    <mergeCell ref="Z421:AC421"/>
    <mergeCell ref="AD421:AG421"/>
    <mergeCell ref="AH421:AI421"/>
    <mergeCell ref="AJ421:AK421"/>
    <mergeCell ref="AL421:AM421"/>
    <mergeCell ref="AN421:AO421"/>
    <mergeCell ref="AP421:AQ421"/>
    <mergeCell ref="C423:F423"/>
    <mergeCell ref="G423:H423"/>
    <mergeCell ref="I423:J423"/>
    <mergeCell ref="K423:L423"/>
    <mergeCell ref="M423:N423"/>
    <mergeCell ref="O423:P423"/>
    <mergeCell ref="Q423:R423"/>
    <mergeCell ref="S423:T423"/>
    <mergeCell ref="W423:X423"/>
    <mergeCell ref="U421:V421"/>
    <mergeCell ref="U422:V422"/>
    <mergeCell ref="U423:V423"/>
    <mergeCell ref="AR424:AS424"/>
    <mergeCell ref="C425:F425"/>
    <mergeCell ref="G425:H425"/>
    <mergeCell ref="I425:J425"/>
    <mergeCell ref="K422:L422"/>
    <mergeCell ref="M422:N422"/>
    <mergeCell ref="O422:P422"/>
    <mergeCell ref="Q422:R422"/>
    <mergeCell ref="S422:T422"/>
    <mergeCell ref="W422:X422"/>
    <mergeCell ref="Z422:AC422"/>
    <mergeCell ref="AD422:AG422"/>
    <mergeCell ref="AH422:AI422"/>
    <mergeCell ref="AJ422:AK422"/>
    <mergeCell ref="AL422:AM422"/>
    <mergeCell ref="AN422:AO422"/>
    <mergeCell ref="AP422:AQ422"/>
    <mergeCell ref="AR422:AS422"/>
    <mergeCell ref="Z423:AC423"/>
    <mergeCell ref="AD423:AG423"/>
    <mergeCell ref="AH423:AI423"/>
    <mergeCell ref="AJ423:AK423"/>
    <mergeCell ref="AL423:AM423"/>
    <mergeCell ref="AN423:AO423"/>
    <mergeCell ref="AP423:AQ423"/>
    <mergeCell ref="AR423:AS423"/>
    <mergeCell ref="C424:F424"/>
    <mergeCell ref="G424:H424"/>
    <mergeCell ref="I424:J424"/>
    <mergeCell ref="K424:L424"/>
    <mergeCell ref="M424:N424"/>
    <mergeCell ref="O424:P424"/>
    <mergeCell ref="Q424:R424"/>
    <mergeCell ref="S424:T424"/>
    <mergeCell ref="W424:X424"/>
    <mergeCell ref="Z424:AC424"/>
    <mergeCell ref="AD424:AG424"/>
    <mergeCell ref="AH424:AI424"/>
    <mergeCell ref="AJ424:AK424"/>
    <mergeCell ref="AL424:AM424"/>
    <mergeCell ref="AN424:AO424"/>
    <mergeCell ref="AP424:AQ424"/>
    <mergeCell ref="C426:F426"/>
    <mergeCell ref="G426:H426"/>
    <mergeCell ref="I426:J426"/>
    <mergeCell ref="K426:L426"/>
    <mergeCell ref="M426:N426"/>
    <mergeCell ref="O426:P426"/>
    <mergeCell ref="Q426:R426"/>
    <mergeCell ref="S426:T426"/>
    <mergeCell ref="W426:X426"/>
    <mergeCell ref="U424:V424"/>
    <mergeCell ref="U425:V425"/>
    <mergeCell ref="U426:V426"/>
    <mergeCell ref="AR427:AS427"/>
    <mergeCell ref="C428:F428"/>
    <mergeCell ref="G428:H428"/>
    <mergeCell ref="I428:J428"/>
    <mergeCell ref="K425:L425"/>
    <mergeCell ref="M425:N425"/>
    <mergeCell ref="O425:P425"/>
    <mergeCell ref="Q425:R425"/>
    <mergeCell ref="S425:T425"/>
    <mergeCell ref="W425:X425"/>
    <mergeCell ref="Z425:AC425"/>
    <mergeCell ref="AD425:AG425"/>
    <mergeCell ref="AH425:AI425"/>
    <mergeCell ref="AJ425:AK425"/>
    <mergeCell ref="AL425:AM425"/>
    <mergeCell ref="AN425:AO425"/>
    <mergeCell ref="AP425:AQ425"/>
    <mergeCell ref="AR425:AS425"/>
    <mergeCell ref="Z426:AC426"/>
    <mergeCell ref="AD426:AG426"/>
    <mergeCell ref="AH426:AI426"/>
    <mergeCell ref="AJ426:AK426"/>
    <mergeCell ref="AL426:AM426"/>
    <mergeCell ref="AN426:AO426"/>
    <mergeCell ref="AP426:AQ426"/>
    <mergeCell ref="AR426:AS426"/>
    <mergeCell ref="C427:F427"/>
    <mergeCell ref="G427:H427"/>
    <mergeCell ref="I427:J427"/>
    <mergeCell ref="K427:L427"/>
    <mergeCell ref="M427:N427"/>
    <mergeCell ref="O427:P427"/>
    <mergeCell ref="Q427:R427"/>
    <mergeCell ref="S427:T427"/>
    <mergeCell ref="W427:X427"/>
    <mergeCell ref="Z427:AC427"/>
    <mergeCell ref="AD427:AG427"/>
    <mergeCell ref="AH427:AI427"/>
    <mergeCell ref="AJ427:AK427"/>
    <mergeCell ref="AL427:AM427"/>
    <mergeCell ref="AN427:AO427"/>
    <mergeCell ref="AP427:AQ427"/>
    <mergeCell ref="C429:F429"/>
    <mergeCell ref="G429:H429"/>
    <mergeCell ref="I429:J429"/>
    <mergeCell ref="K429:L429"/>
    <mergeCell ref="M429:N429"/>
    <mergeCell ref="O429:P429"/>
    <mergeCell ref="Q429:R429"/>
    <mergeCell ref="S429:T429"/>
    <mergeCell ref="W429:X429"/>
    <mergeCell ref="U427:V427"/>
    <mergeCell ref="U428:V428"/>
    <mergeCell ref="U429:V429"/>
    <mergeCell ref="AR430:AS430"/>
    <mergeCell ref="C431:F431"/>
    <mergeCell ref="G431:H431"/>
    <mergeCell ref="I431:J431"/>
    <mergeCell ref="K428:L428"/>
    <mergeCell ref="M428:N428"/>
    <mergeCell ref="O428:P428"/>
    <mergeCell ref="Q428:R428"/>
    <mergeCell ref="S428:T428"/>
    <mergeCell ref="W428:X428"/>
    <mergeCell ref="Z428:AC428"/>
    <mergeCell ref="AD428:AG428"/>
    <mergeCell ref="AH428:AI428"/>
    <mergeCell ref="AJ428:AK428"/>
    <mergeCell ref="AL428:AM428"/>
    <mergeCell ref="AN428:AO428"/>
    <mergeCell ref="AP428:AQ428"/>
    <mergeCell ref="AR428:AS428"/>
    <mergeCell ref="Z429:AC429"/>
    <mergeCell ref="AD429:AG429"/>
    <mergeCell ref="AH429:AI429"/>
    <mergeCell ref="AJ429:AK429"/>
    <mergeCell ref="AL429:AM429"/>
    <mergeCell ref="AN429:AO429"/>
    <mergeCell ref="AP429:AQ429"/>
    <mergeCell ref="AR429:AS429"/>
    <mergeCell ref="C430:F430"/>
    <mergeCell ref="G430:H430"/>
    <mergeCell ref="I430:J430"/>
    <mergeCell ref="K430:L430"/>
    <mergeCell ref="M430:N430"/>
    <mergeCell ref="O430:P430"/>
    <mergeCell ref="Q430:R430"/>
    <mergeCell ref="S430:T430"/>
    <mergeCell ref="W430:X430"/>
    <mergeCell ref="Z430:AC430"/>
    <mergeCell ref="AD430:AG430"/>
    <mergeCell ref="AH430:AI430"/>
    <mergeCell ref="AJ430:AK430"/>
    <mergeCell ref="AL430:AM430"/>
    <mergeCell ref="AN430:AO430"/>
    <mergeCell ref="AP430:AQ430"/>
    <mergeCell ref="C432:F432"/>
    <mergeCell ref="G432:H432"/>
    <mergeCell ref="I432:J432"/>
    <mergeCell ref="K432:L432"/>
    <mergeCell ref="M432:N432"/>
    <mergeCell ref="O432:P432"/>
    <mergeCell ref="Q432:R432"/>
    <mergeCell ref="S432:T432"/>
    <mergeCell ref="W432:X432"/>
    <mergeCell ref="U430:V430"/>
    <mergeCell ref="U431:V431"/>
    <mergeCell ref="U432:V432"/>
    <mergeCell ref="AR433:AS433"/>
    <mergeCell ref="C434:F434"/>
    <mergeCell ref="G434:H434"/>
    <mergeCell ref="I434:J434"/>
    <mergeCell ref="K431:L431"/>
    <mergeCell ref="M431:N431"/>
    <mergeCell ref="O431:P431"/>
    <mergeCell ref="Q431:R431"/>
    <mergeCell ref="S431:T431"/>
    <mergeCell ref="W431:X431"/>
    <mergeCell ref="Z431:AC431"/>
    <mergeCell ref="AD431:AG431"/>
    <mergeCell ref="AH431:AI431"/>
    <mergeCell ref="AJ431:AK431"/>
    <mergeCell ref="AL431:AM431"/>
    <mergeCell ref="AN431:AO431"/>
    <mergeCell ref="AP431:AQ431"/>
    <mergeCell ref="AR431:AS431"/>
    <mergeCell ref="Z432:AC432"/>
    <mergeCell ref="AD432:AG432"/>
    <mergeCell ref="AH432:AI432"/>
    <mergeCell ref="AJ432:AK432"/>
    <mergeCell ref="AL432:AM432"/>
    <mergeCell ref="AN432:AO432"/>
    <mergeCell ref="AP432:AQ432"/>
    <mergeCell ref="AR432:AS432"/>
    <mergeCell ref="C433:F433"/>
    <mergeCell ref="G433:H433"/>
    <mergeCell ref="I433:J433"/>
    <mergeCell ref="K433:L433"/>
    <mergeCell ref="M433:N433"/>
    <mergeCell ref="O433:P433"/>
    <mergeCell ref="Q433:R433"/>
    <mergeCell ref="S433:T433"/>
    <mergeCell ref="W433:X433"/>
    <mergeCell ref="Z433:AC433"/>
    <mergeCell ref="AD433:AG433"/>
    <mergeCell ref="AH433:AI433"/>
    <mergeCell ref="AJ433:AK433"/>
    <mergeCell ref="AL433:AM433"/>
    <mergeCell ref="AN433:AO433"/>
    <mergeCell ref="AP433:AQ433"/>
    <mergeCell ref="C435:F435"/>
    <mergeCell ref="G435:H435"/>
    <mergeCell ref="I435:J435"/>
    <mergeCell ref="K435:L435"/>
    <mergeCell ref="M435:N435"/>
    <mergeCell ref="O435:P435"/>
    <mergeCell ref="Q435:R435"/>
    <mergeCell ref="S435:T435"/>
    <mergeCell ref="W435:X435"/>
    <mergeCell ref="U433:V433"/>
    <mergeCell ref="U434:V434"/>
    <mergeCell ref="U435:V435"/>
    <mergeCell ref="AR436:AS436"/>
    <mergeCell ref="C437:F437"/>
    <mergeCell ref="G437:H437"/>
    <mergeCell ref="I437:J437"/>
    <mergeCell ref="K434:L434"/>
    <mergeCell ref="M434:N434"/>
    <mergeCell ref="O434:P434"/>
    <mergeCell ref="Q434:R434"/>
    <mergeCell ref="S434:T434"/>
    <mergeCell ref="W434:X434"/>
    <mergeCell ref="Z434:AC434"/>
    <mergeCell ref="AD434:AG434"/>
    <mergeCell ref="AH434:AI434"/>
    <mergeCell ref="AJ434:AK434"/>
    <mergeCell ref="AL434:AM434"/>
    <mergeCell ref="AN434:AO434"/>
    <mergeCell ref="AP434:AQ434"/>
    <mergeCell ref="AR434:AS434"/>
    <mergeCell ref="Z435:AC435"/>
    <mergeCell ref="AD435:AG435"/>
    <mergeCell ref="AH435:AI435"/>
    <mergeCell ref="AJ435:AK435"/>
    <mergeCell ref="AL435:AM435"/>
    <mergeCell ref="AN435:AO435"/>
    <mergeCell ref="AP435:AQ435"/>
    <mergeCell ref="AR435:AS435"/>
    <mergeCell ref="C436:F436"/>
    <mergeCell ref="G436:H436"/>
    <mergeCell ref="I436:J436"/>
    <mergeCell ref="K436:L436"/>
    <mergeCell ref="M436:N436"/>
    <mergeCell ref="O436:P436"/>
    <mergeCell ref="Q436:R436"/>
    <mergeCell ref="S436:T436"/>
    <mergeCell ref="W436:X436"/>
    <mergeCell ref="Z436:AC436"/>
    <mergeCell ref="AD436:AG436"/>
    <mergeCell ref="AH436:AI436"/>
    <mergeCell ref="AJ436:AK436"/>
    <mergeCell ref="AL436:AM436"/>
    <mergeCell ref="AN436:AO436"/>
    <mergeCell ref="AP436:AQ436"/>
    <mergeCell ref="C438:F438"/>
    <mergeCell ref="G438:H438"/>
    <mergeCell ref="I438:J438"/>
    <mergeCell ref="K438:L438"/>
    <mergeCell ref="M438:N438"/>
    <mergeCell ref="O438:P438"/>
    <mergeCell ref="Q438:R438"/>
    <mergeCell ref="S438:T438"/>
    <mergeCell ref="W438:X438"/>
    <mergeCell ref="U436:V436"/>
    <mergeCell ref="U437:V437"/>
    <mergeCell ref="U438:V438"/>
    <mergeCell ref="AR439:AS439"/>
    <mergeCell ref="C440:F440"/>
    <mergeCell ref="G440:H440"/>
    <mergeCell ref="I440:J440"/>
    <mergeCell ref="K437:L437"/>
    <mergeCell ref="M437:N437"/>
    <mergeCell ref="O437:P437"/>
    <mergeCell ref="Q437:R437"/>
    <mergeCell ref="S437:T437"/>
    <mergeCell ref="W437:X437"/>
    <mergeCell ref="Z437:AC437"/>
    <mergeCell ref="AD437:AG437"/>
    <mergeCell ref="AH437:AI437"/>
    <mergeCell ref="AJ437:AK437"/>
    <mergeCell ref="AL437:AM437"/>
    <mergeCell ref="AN437:AO437"/>
    <mergeCell ref="AP437:AQ437"/>
    <mergeCell ref="AR437:AS437"/>
    <mergeCell ref="Z438:AC438"/>
    <mergeCell ref="AD438:AG438"/>
    <mergeCell ref="AH438:AI438"/>
    <mergeCell ref="AJ438:AK438"/>
    <mergeCell ref="AL438:AM438"/>
    <mergeCell ref="AN438:AO438"/>
    <mergeCell ref="AP438:AQ438"/>
    <mergeCell ref="AR438:AS438"/>
    <mergeCell ref="C439:F439"/>
    <mergeCell ref="G439:H439"/>
    <mergeCell ref="I439:J439"/>
    <mergeCell ref="K439:L439"/>
    <mergeCell ref="M439:N439"/>
    <mergeCell ref="O439:P439"/>
    <mergeCell ref="Q439:R439"/>
    <mergeCell ref="S439:T439"/>
    <mergeCell ref="W439:X439"/>
    <mergeCell ref="Z439:AC439"/>
    <mergeCell ref="AD439:AG439"/>
    <mergeCell ref="AH439:AI439"/>
    <mergeCell ref="AJ439:AK439"/>
    <mergeCell ref="AL439:AM439"/>
    <mergeCell ref="AN439:AO439"/>
    <mergeCell ref="AP439:AQ439"/>
    <mergeCell ref="C441:F441"/>
    <mergeCell ref="G441:H441"/>
    <mergeCell ref="I441:J441"/>
    <mergeCell ref="K441:L441"/>
    <mergeCell ref="M441:N441"/>
    <mergeCell ref="O441:P441"/>
    <mergeCell ref="Q441:R441"/>
    <mergeCell ref="S441:T441"/>
    <mergeCell ref="W441:X441"/>
    <mergeCell ref="U439:V439"/>
    <mergeCell ref="U440:V440"/>
    <mergeCell ref="U441:V441"/>
    <mergeCell ref="AR442:AS442"/>
    <mergeCell ref="C443:F443"/>
    <mergeCell ref="G443:H443"/>
    <mergeCell ref="I443:J443"/>
    <mergeCell ref="K440:L440"/>
    <mergeCell ref="M440:N440"/>
    <mergeCell ref="O440:P440"/>
    <mergeCell ref="Q440:R440"/>
    <mergeCell ref="S440:T440"/>
    <mergeCell ref="W440:X440"/>
    <mergeCell ref="Z440:AC440"/>
    <mergeCell ref="AD440:AG440"/>
    <mergeCell ref="AH440:AI440"/>
    <mergeCell ref="AJ440:AK440"/>
    <mergeCell ref="AL440:AM440"/>
    <mergeCell ref="AN440:AO440"/>
    <mergeCell ref="AP440:AQ440"/>
    <mergeCell ref="AR440:AS440"/>
    <mergeCell ref="Z441:AC441"/>
    <mergeCell ref="AD441:AG441"/>
    <mergeCell ref="AH441:AI441"/>
    <mergeCell ref="AJ441:AK441"/>
    <mergeCell ref="AL441:AM441"/>
    <mergeCell ref="AN441:AO441"/>
    <mergeCell ref="AP441:AQ441"/>
    <mergeCell ref="AR441:AS441"/>
    <mergeCell ref="C442:F442"/>
    <mergeCell ref="G442:H442"/>
    <mergeCell ref="I442:J442"/>
    <mergeCell ref="K442:L442"/>
    <mergeCell ref="M442:N442"/>
    <mergeCell ref="O442:P442"/>
    <mergeCell ref="Q442:R442"/>
    <mergeCell ref="S442:T442"/>
    <mergeCell ref="W442:X442"/>
    <mergeCell ref="Z442:AC442"/>
    <mergeCell ref="AD442:AG442"/>
    <mergeCell ref="AH442:AI442"/>
    <mergeCell ref="AJ442:AK442"/>
    <mergeCell ref="AL442:AM442"/>
    <mergeCell ref="AN442:AO442"/>
    <mergeCell ref="AP442:AQ442"/>
    <mergeCell ref="C444:F444"/>
    <mergeCell ref="G444:H444"/>
    <mergeCell ref="I444:J444"/>
    <mergeCell ref="K444:L444"/>
    <mergeCell ref="M444:N444"/>
    <mergeCell ref="O444:P444"/>
    <mergeCell ref="Q444:R444"/>
    <mergeCell ref="S444:T444"/>
    <mergeCell ref="W444:X444"/>
    <mergeCell ref="U442:V442"/>
    <mergeCell ref="U443:V443"/>
    <mergeCell ref="U444:V444"/>
    <mergeCell ref="AR445:AS445"/>
    <mergeCell ref="C446:F446"/>
    <mergeCell ref="G446:H446"/>
    <mergeCell ref="I446:J446"/>
    <mergeCell ref="K443:L443"/>
    <mergeCell ref="M443:N443"/>
    <mergeCell ref="O443:P443"/>
    <mergeCell ref="Q443:R443"/>
    <mergeCell ref="S443:T443"/>
    <mergeCell ref="W443:X443"/>
    <mergeCell ref="Z443:AC443"/>
    <mergeCell ref="AD443:AG443"/>
    <mergeCell ref="AH443:AI443"/>
    <mergeCell ref="AJ443:AK443"/>
    <mergeCell ref="AL443:AM443"/>
    <mergeCell ref="AN443:AO443"/>
    <mergeCell ref="AP443:AQ443"/>
    <mergeCell ref="AR443:AS443"/>
    <mergeCell ref="Z444:AC444"/>
    <mergeCell ref="AD444:AG444"/>
    <mergeCell ref="AH444:AI444"/>
    <mergeCell ref="AJ444:AK444"/>
    <mergeCell ref="AL444:AM444"/>
    <mergeCell ref="AN444:AO444"/>
    <mergeCell ref="AP444:AQ444"/>
    <mergeCell ref="AR444:AS444"/>
    <mergeCell ref="C445:F445"/>
    <mergeCell ref="G445:H445"/>
    <mergeCell ref="I445:J445"/>
    <mergeCell ref="K445:L445"/>
    <mergeCell ref="M445:N445"/>
    <mergeCell ref="O445:P445"/>
    <mergeCell ref="Q445:R445"/>
    <mergeCell ref="S445:T445"/>
    <mergeCell ref="W445:X445"/>
    <mergeCell ref="Z445:AC445"/>
    <mergeCell ref="AD445:AG445"/>
    <mergeCell ref="AH445:AI445"/>
    <mergeCell ref="AJ445:AK445"/>
    <mergeCell ref="AL445:AM445"/>
    <mergeCell ref="AN445:AO445"/>
    <mergeCell ref="AP445:AQ445"/>
    <mergeCell ref="C447:F447"/>
    <mergeCell ref="G447:H447"/>
    <mergeCell ref="I447:J447"/>
    <mergeCell ref="K447:L447"/>
    <mergeCell ref="M447:N447"/>
    <mergeCell ref="O447:P447"/>
    <mergeCell ref="Q447:R447"/>
    <mergeCell ref="S447:T447"/>
    <mergeCell ref="W447:X447"/>
    <mergeCell ref="U445:V445"/>
    <mergeCell ref="U446:V446"/>
    <mergeCell ref="U447:V447"/>
    <mergeCell ref="AR448:AS448"/>
    <mergeCell ref="C449:F449"/>
    <mergeCell ref="G449:H449"/>
    <mergeCell ref="I449:J449"/>
    <mergeCell ref="K446:L446"/>
    <mergeCell ref="M446:N446"/>
    <mergeCell ref="O446:P446"/>
    <mergeCell ref="Q446:R446"/>
    <mergeCell ref="S446:T446"/>
    <mergeCell ref="W446:X446"/>
    <mergeCell ref="Z446:AC446"/>
    <mergeCell ref="AD446:AG446"/>
    <mergeCell ref="AH446:AI446"/>
    <mergeCell ref="AJ446:AK446"/>
    <mergeCell ref="AL446:AM446"/>
    <mergeCell ref="AN446:AO446"/>
    <mergeCell ref="AP446:AQ446"/>
    <mergeCell ref="AR446:AS446"/>
    <mergeCell ref="Z447:AC447"/>
    <mergeCell ref="AD447:AG447"/>
    <mergeCell ref="AH447:AI447"/>
    <mergeCell ref="AJ447:AK447"/>
    <mergeCell ref="AL447:AM447"/>
    <mergeCell ref="AN447:AO447"/>
    <mergeCell ref="AP447:AQ447"/>
    <mergeCell ref="AR447:AS447"/>
    <mergeCell ref="C448:F448"/>
    <mergeCell ref="G448:H448"/>
    <mergeCell ref="I448:J448"/>
    <mergeCell ref="K448:L448"/>
    <mergeCell ref="M448:N448"/>
    <mergeCell ref="O448:P448"/>
    <mergeCell ref="Q448:R448"/>
    <mergeCell ref="S448:T448"/>
    <mergeCell ref="W448:X448"/>
    <mergeCell ref="Z448:AC448"/>
    <mergeCell ref="AD448:AG448"/>
    <mergeCell ref="AH448:AI448"/>
    <mergeCell ref="AJ448:AK448"/>
    <mergeCell ref="AL448:AM448"/>
    <mergeCell ref="AN448:AO448"/>
    <mergeCell ref="AP448:AQ448"/>
    <mergeCell ref="C450:F450"/>
    <mergeCell ref="G450:H450"/>
    <mergeCell ref="I450:J450"/>
    <mergeCell ref="K450:L450"/>
    <mergeCell ref="M450:N450"/>
    <mergeCell ref="O450:P450"/>
    <mergeCell ref="Q450:R450"/>
    <mergeCell ref="S450:T450"/>
    <mergeCell ref="W450:X450"/>
    <mergeCell ref="U448:V448"/>
    <mergeCell ref="U449:V449"/>
    <mergeCell ref="U450:V450"/>
    <mergeCell ref="AR451:AS451"/>
    <mergeCell ref="C452:F452"/>
    <mergeCell ref="G452:H452"/>
    <mergeCell ref="I452:J452"/>
    <mergeCell ref="K449:L449"/>
    <mergeCell ref="M449:N449"/>
    <mergeCell ref="O449:P449"/>
    <mergeCell ref="Q449:R449"/>
    <mergeCell ref="S449:T449"/>
    <mergeCell ref="W449:X449"/>
    <mergeCell ref="Z449:AC449"/>
    <mergeCell ref="AD449:AG449"/>
    <mergeCell ref="AH449:AI449"/>
    <mergeCell ref="AJ449:AK449"/>
    <mergeCell ref="AL449:AM449"/>
    <mergeCell ref="AN449:AO449"/>
    <mergeCell ref="AP449:AQ449"/>
    <mergeCell ref="AR449:AS449"/>
    <mergeCell ref="Z450:AC450"/>
    <mergeCell ref="AD450:AG450"/>
    <mergeCell ref="AH450:AI450"/>
    <mergeCell ref="AJ450:AK450"/>
    <mergeCell ref="AL450:AM450"/>
    <mergeCell ref="AN450:AO450"/>
    <mergeCell ref="AP450:AQ450"/>
    <mergeCell ref="AR450:AS450"/>
    <mergeCell ref="C451:F451"/>
    <mergeCell ref="G451:H451"/>
    <mergeCell ref="I451:J451"/>
    <mergeCell ref="K451:L451"/>
    <mergeCell ref="M451:N451"/>
    <mergeCell ref="O451:P451"/>
    <mergeCell ref="Q451:R451"/>
    <mergeCell ref="S451:T451"/>
    <mergeCell ref="W451:X451"/>
    <mergeCell ref="Z451:AC451"/>
    <mergeCell ref="AD451:AG451"/>
    <mergeCell ref="AH451:AI451"/>
    <mergeCell ref="AJ451:AK451"/>
    <mergeCell ref="AL451:AM451"/>
    <mergeCell ref="AN451:AO451"/>
    <mergeCell ref="AP451:AQ451"/>
    <mergeCell ref="C453:F453"/>
    <mergeCell ref="G453:H453"/>
    <mergeCell ref="I453:J453"/>
    <mergeCell ref="K453:L453"/>
    <mergeCell ref="M453:N453"/>
    <mergeCell ref="O453:P453"/>
    <mergeCell ref="Q453:R453"/>
    <mergeCell ref="S453:T453"/>
    <mergeCell ref="W453:X453"/>
    <mergeCell ref="U451:V451"/>
    <mergeCell ref="U452:V452"/>
    <mergeCell ref="U453:V453"/>
    <mergeCell ref="AR454:AS454"/>
    <mergeCell ref="C455:F455"/>
    <mergeCell ref="G455:H455"/>
    <mergeCell ref="I455:J455"/>
    <mergeCell ref="K452:L452"/>
    <mergeCell ref="M452:N452"/>
    <mergeCell ref="O452:P452"/>
    <mergeCell ref="Q452:R452"/>
    <mergeCell ref="S452:T452"/>
    <mergeCell ref="W452:X452"/>
    <mergeCell ref="Z452:AC452"/>
    <mergeCell ref="AD452:AG452"/>
    <mergeCell ref="AH452:AI452"/>
    <mergeCell ref="AJ452:AK452"/>
    <mergeCell ref="AL452:AM452"/>
    <mergeCell ref="AN452:AO452"/>
    <mergeCell ref="AP452:AQ452"/>
    <mergeCell ref="AR452:AS452"/>
    <mergeCell ref="Z453:AC453"/>
    <mergeCell ref="AD453:AG453"/>
    <mergeCell ref="AH453:AI453"/>
    <mergeCell ref="AJ453:AK453"/>
    <mergeCell ref="AL453:AM453"/>
    <mergeCell ref="AN453:AO453"/>
    <mergeCell ref="AP453:AQ453"/>
    <mergeCell ref="AR453:AS453"/>
    <mergeCell ref="C454:F454"/>
    <mergeCell ref="G454:H454"/>
    <mergeCell ref="I454:J454"/>
    <mergeCell ref="K454:L454"/>
    <mergeCell ref="M454:N454"/>
    <mergeCell ref="O454:P454"/>
    <mergeCell ref="Q454:R454"/>
    <mergeCell ref="S454:T454"/>
    <mergeCell ref="W454:X454"/>
    <mergeCell ref="Z454:AC454"/>
    <mergeCell ref="AD454:AG454"/>
    <mergeCell ref="AH454:AI454"/>
    <mergeCell ref="AJ454:AK454"/>
    <mergeCell ref="AL454:AM454"/>
    <mergeCell ref="AN454:AO454"/>
    <mergeCell ref="AP454:AQ454"/>
    <mergeCell ref="C456:F456"/>
    <mergeCell ref="G456:H456"/>
    <mergeCell ref="I456:J456"/>
    <mergeCell ref="K456:L456"/>
    <mergeCell ref="M456:N456"/>
    <mergeCell ref="O456:P456"/>
    <mergeCell ref="Q456:R456"/>
    <mergeCell ref="S456:T456"/>
    <mergeCell ref="W456:X456"/>
    <mergeCell ref="U454:V454"/>
    <mergeCell ref="U455:V455"/>
    <mergeCell ref="U456:V456"/>
    <mergeCell ref="AR457:AS457"/>
    <mergeCell ref="C458:F458"/>
    <mergeCell ref="G458:H458"/>
    <mergeCell ref="I458:J458"/>
    <mergeCell ref="K455:L455"/>
    <mergeCell ref="M455:N455"/>
    <mergeCell ref="O455:P455"/>
    <mergeCell ref="Q455:R455"/>
    <mergeCell ref="S455:T455"/>
    <mergeCell ref="W455:X455"/>
    <mergeCell ref="Z455:AC455"/>
    <mergeCell ref="AD455:AG455"/>
    <mergeCell ref="AH455:AI455"/>
    <mergeCell ref="AJ455:AK455"/>
    <mergeCell ref="AL455:AM455"/>
    <mergeCell ref="AN455:AO455"/>
    <mergeCell ref="AP455:AQ455"/>
    <mergeCell ref="AR455:AS455"/>
    <mergeCell ref="Z456:AC456"/>
    <mergeCell ref="AD456:AG456"/>
    <mergeCell ref="AH456:AI456"/>
    <mergeCell ref="AJ456:AK456"/>
    <mergeCell ref="AL456:AM456"/>
    <mergeCell ref="AN456:AO456"/>
    <mergeCell ref="AP456:AQ456"/>
    <mergeCell ref="AR456:AS456"/>
    <mergeCell ref="C457:F457"/>
    <mergeCell ref="G457:H457"/>
    <mergeCell ref="I457:J457"/>
    <mergeCell ref="K457:L457"/>
    <mergeCell ref="M457:N457"/>
    <mergeCell ref="O457:P457"/>
    <mergeCell ref="Q457:R457"/>
    <mergeCell ref="S457:T457"/>
    <mergeCell ref="W457:X457"/>
    <mergeCell ref="Z457:AC457"/>
    <mergeCell ref="AD457:AG457"/>
    <mergeCell ref="AH457:AI457"/>
    <mergeCell ref="AJ457:AK457"/>
    <mergeCell ref="AL457:AM457"/>
    <mergeCell ref="AN457:AO457"/>
    <mergeCell ref="AP457:AQ457"/>
    <mergeCell ref="C459:F459"/>
    <mergeCell ref="G459:H459"/>
    <mergeCell ref="I459:J459"/>
    <mergeCell ref="K459:L459"/>
    <mergeCell ref="M459:N459"/>
    <mergeCell ref="O459:P459"/>
    <mergeCell ref="Q459:R459"/>
    <mergeCell ref="S459:T459"/>
    <mergeCell ref="W459:X459"/>
    <mergeCell ref="U457:V457"/>
    <mergeCell ref="U458:V458"/>
    <mergeCell ref="U459:V459"/>
    <mergeCell ref="AR460:AS460"/>
    <mergeCell ref="C461:F461"/>
    <mergeCell ref="G461:H461"/>
    <mergeCell ref="I461:J461"/>
    <mergeCell ref="K458:L458"/>
    <mergeCell ref="M458:N458"/>
    <mergeCell ref="O458:P458"/>
    <mergeCell ref="Q458:R458"/>
    <mergeCell ref="S458:T458"/>
    <mergeCell ref="W458:X458"/>
    <mergeCell ref="Z458:AC458"/>
    <mergeCell ref="AD458:AG458"/>
    <mergeCell ref="AH458:AI458"/>
    <mergeCell ref="AJ458:AK458"/>
    <mergeCell ref="AL458:AM458"/>
    <mergeCell ref="AN458:AO458"/>
    <mergeCell ref="AP458:AQ458"/>
    <mergeCell ref="AR458:AS458"/>
    <mergeCell ref="Z459:AC459"/>
    <mergeCell ref="AD459:AG459"/>
    <mergeCell ref="AH459:AI459"/>
    <mergeCell ref="AJ459:AK459"/>
    <mergeCell ref="AL459:AM459"/>
    <mergeCell ref="AN459:AO459"/>
    <mergeCell ref="AP459:AQ459"/>
    <mergeCell ref="AR459:AS459"/>
    <mergeCell ref="C460:F460"/>
    <mergeCell ref="G460:H460"/>
    <mergeCell ref="I460:J460"/>
    <mergeCell ref="K460:L460"/>
    <mergeCell ref="M460:N460"/>
    <mergeCell ref="O460:P460"/>
    <mergeCell ref="Q460:R460"/>
    <mergeCell ref="S460:T460"/>
    <mergeCell ref="W460:X460"/>
    <mergeCell ref="Z460:AC460"/>
    <mergeCell ref="AD460:AG460"/>
    <mergeCell ref="AH460:AI460"/>
    <mergeCell ref="AJ460:AK460"/>
    <mergeCell ref="AL460:AM460"/>
    <mergeCell ref="AN460:AO460"/>
    <mergeCell ref="AP460:AQ460"/>
    <mergeCell ref="C462:F462"/>
    <mergeCell ref="G462:H462"/>
    <mergeCell ref="I462:J462"/>
    <mergeCell ref="K462:L462"/>
    <mergeCell ref="M462:N462"/>
    <mergeCell ref="O462:P462"/>
    <mergeCell ref="Q462:R462"/>
    <mergeCell ref="S462:T462"/>
    <mergeCell ref="W462:X462"/>
    <mergeCell ref="U460:V460"/>
    <mergeCell ref="U461:V461"/>
    <mergeCell ref="U462:V462"/>
    <mergeCell ref="AR463:AS463"/>
    <mergeCell ref="C464:F464"/>
    <mergeCell ref="G464:H464"/>
    <mergeCell ref="I464:J464"/>
    <mergeCell ref="K461:L461"/>
    <mergeCell ref="M461:N461"/>
    <mergeCell ref="O461:P461"/>
    <mergeCell ref="Q461:R461"/>
    <mergeCell ref="S461:T461"/>
    <mergeCell ref="W461:X461"/>
    <mergeCell ref="Z461:AC461"/>
    <mergeCell ref="AD461:AG461"/>
    <mergeCell ref="AH461:AI461"/>
    <mergeCell ref="AJ461:AK461"/>
    <mergeCell ref="AL461:AM461"/>
    <mergeCell ref="AN461:AO461"/>
    <mergeCell ref="AP461:AQ461"/>
    <mergeCell ref="AR461:AS461"/>
    <mergeCell ref="Z462:AC462"/>
    <mergeCell ref="AD462:AG462"/>
    <mergeCell ref="AH462:AI462"/>
    <mergeCell ref="AJ462:AK462"/>
    <mergeCell ref="AL462:AM462"/>
    <mergeCell ref="AN462:AO462"/>
    <mergeCell ref="AP462:AQ462"/>
    <mergeCell ref="AR462:AS462"/>
    <mergeCell ref="C463:F463"/>
    <mergeCell ref="G463:H463"/>
    <mergeCell ref="I463:J463"/>
    <mergeCell ref="K463:L463"/>
    <mergeCell ref="M463:N463"/>
    <mergeCell ref="O463:P463"/>
    <mergeCell ref="Q463:R463"/>
    <mergeCell ref="S463:T463"/>
    <mergeCell ref="W463:X463"/>
    <mergeCell ref="Z463:AC463"/>
    <mergeCell ref="AD463:AG463"/>
    <mergeCell ref="AH463:AI463"/>
    <mergeCell ref="AJ463:AK463"/>
    <mergeCell ref="AL463:AM463"/>
    <mergeCell ref="AN463:AO463"/>
    <mergeCell ref="AP463:AQ463"/>
    <mergeCell ref="C465:F465"/>
    <mergeCell ref="G465:H465"/>
    <mergeCell ref="I465:J465"/>
    <mergeCell ref="K465:L465"/>
    <mergeCell ref="M465:N465"/>
    <mergeCell ref="O465:P465"/>
    <mergeCell ref="Q465:R465"/>
    <mergeCell ref="S465:T465"/>
    <mergeCell ref="W465:X465"/>
    <mergeCell ref="U463:V463"/>
    <mergeCell ref="U464:V464"/>
    <mergeCell ref="U465:V465"/>
    <mergeCell ref="AR466:AS466"/>
    <mergeCell ref="C467:F467"/>
    <mergeCell ref="G467:H467"/>
    <mergeCell ref="I467:J467"/>
    <mergeCell ref="K464:L464"/>
    <mergeCell ref="M464:N464"/>
    <mergeCell ref="O464:P464"/>
    <mergeCell ref="Q464:R464"/>
    <mergeCell ref="S464:T464"/>
    <mergeCell ref="W464:X464"/>
    <mergeCell ref="Z464:AC464"/>
    <mergeCell ref="AD464:AG464"/>
    <mergeCell ref="AH464:AI464"/>
    <mergeCell ref="AJ464:AK464"/>
    <mergeCell ref="AL464:AM464"/>
    <mergeCell ref="AN464:AO464"/>
    <mergeCell ref="AP464:AQ464"/>
    <mergeCell ref="AR464:AS464"/>
    <mergeCell ref="Z465:AC465"/>
    <mergeCell ref="AD465:AG465"/>
    <mergeCell ref="AH465:AI465"/>
    <mergeCell ref="AJ465:AK465"/>
    <mergeCell ref="AL465:AM465"/>
    <mergeCell ref="AN465:AO465"/>
    <mergeCell ref="AP465:AQ465"/>
    <mergeCell ref="AR465:AS465"/>
    <mergeCell ref="C466:F466"/>
    <mergeCell ref="G466:H466"/>
    <mergeCell ref="I466:J466"/>
    <mergeCell ref="K466:L466"/>
    <mergeCell ref="M466:N466"/>
    <mergeCell ref="O466:P466"/>
    <mergeCell ref="Q466:R466"/>
    <mergeCell ref="S466:T466"/>
    <mergeCell ref="W466:X466"/>
    <mergeCell ref="Z466:AC466"/>
    <mergeCell ref="AD466:AG466"/>
    <mergeCell ref="AH466:AI466"/>
    <mergeCell ref="AJ466:AK466"/>
    <mergeCell ref="AL466:AM466"/>
    <mergeCell ref="AN466:AO466"/>
    <mergeCell ref="AP466:AQ466"/>
    <mergeCell ref="C468:F468"/>
    <mergeCell ref="G468:H468"/>
    <mergeCell ref="I468:J468"/>
    <mergeCell ref="K468:L468"/>
    <mergeCell ref="M468:N468"/>
    <mergeCell ref="O468:P468"/>
    <mergeCell ref="Q468:R468"/>
    <mergeCell ref="S468:T468"/>
    <mergeCell ref="W468:X468"/>
    <mergeCell ref="U466:V466"/>
    <mergeCell ref="U467:V467"/>
    <mergeCell ref="U468:V468"/>
    <mergeCell ref="AR469:AS469"/>
    <mergeCell ref="C470:F470"/>
    <mergeCell ref="G470:H470"/>
    <mergeCell ref="I470:J470"/>
    <mergeCell ref="K467:L467"/>
    <mergeCell ref="M467:N467"/>
    <mergeCell ref="O467:P467"/>
    <mergeCell ref="Q467:R467"/>
    <mergeCell ref="S467:T467"/>
    <mergeCell ref="W467:X467"/>
    <mergeCell ref="Z467:AC467"/>
    <mergeCell ref="AD467:AG467"/>
    <mergeCell ref="AH467:AI467"/>
    <mergeCell ref="AJ467:AK467"/>
    <mergeCell ref="AL467:AM467"/>
    <mergeCell ref="AN467:AO467"/>
    <mergeCell ref="AP467:AQ467"/>
    <mergeCell ref="AR467:AS467"/>
    <mergeCell ref="Z468:AC468"/>
    <mergeCell ref="AD468:AG468"/>
    <mergeCell ref="AH468:AI468"/>
    <mergeCell ref="AJ468:AK468"/>
    <mergeCell ref="AL468:AM468"/>
    <mergeCell ref="AN468:AO468"/>
    <mergeCell ref="AP468:AQ468"/>
    <mergeCell ref="AR468:AS468"/>
    <mergeCell ref="C469:F469"/>
    <mergeCell ref="G469:H469"/>
    <mergeCell ref="I469:J469"/>
    <mergeCell ref="K469:L469"/>
    <mergeCell ref="M469:N469"/>
    <mergeCell ref="O469:P469"/>
    <mergeCell ref="Q469:R469"/>
    <mergeCell ref="S469:T469"/>
    <mergeCell ref="W469:X469"/>
    <mergeCell ref="Z469:AC469"/>
    <mergeCell ref="AD469:AG469"/>
    <mergeCell ref="AH469:AI469"/>
    <mergeCell ref="AJ469:AK469"/>
    <mergeCell ref="AL469:AM469"/>
    <mergeCell ref="AN469:AO469"/>
    <mergeCell ref="AP469:AQ469"/>
    <mergeCell ref="C471:F471"/>
    <mergeCell ref="G471:H471"/>
    <mergeCell ref="I471:J471"/>
    <mergeCell ref="K471:L471"/>
    <mergeCell ref="M471:N471"/>
    <mergeCell ref="O471:P471"/>
    <mergeCell ref="Q471:R471"/>
    <mergeCell ref="S471:T471"/>
    <mergeCell ref="W471:X471"/>
    <mergeCell ref="U469:V469"/>
    <mergeCell ref="U470:V470"/>
    <mergeCell ref="U471:V471"/>
    <mergeCell ref="AR472:AS472"/>
    <mergeCell ref="C473:F473"/>
    <mergeCell ref="G473:H473"/>
    <mergeCell ref="I473:J473"/>
    <mergeCell ref="K470:L470"/>
    <mergeCell ref="M470:N470"/>
    <mergeCell ref="O470:P470"/>
    <mergeCell ref="Q470:R470"/>
    <mergeCell ref="S470:T470"/>
    <mergeCell ref="W470:X470"/>
    <mergeCell ref="Z470:AC470"/>
    <mergeCell ref="AD470:AG470"/>
    <mergeCell ref="AH470:AI470"/>
    <mergeCell ref="AJ470:AK470"/>
    <mergeCell ref="AL470:AM470"/>
    <mergeCell ref="AN470:AO470"/>
    <mergeCell ref="AP470:AQ470"/>
    <mergeCell ref="AR470:AS470"/>
    <mergeCell ref="Z471:AC471"/>
    <mergeCell ref="AD471:AG471"/>
    <mergeCell ref="AH471:AI471"/>
    <mergeCell ref="AJ471:AK471"/>
    <mergeCell ref="AL471:AM471"/>
    <mergeCell ref="AN471:AO471"/>
    <mergeCell ref="AP471:AQ471"/>
    <mergeCell ref="AR471:AS471"/>
    <mergeCell ref="C472:F472"/>
    <mergeCell ref="G472:H472"/>
    <mergeCell ref="I472:J472"/>
    <mergeCell ref="K472:L472"/>
    <mergeCell ref="M472:N472"/>
    <mergeCell ref="O472:P472"/>
    <mergeCell ref="Q472:R472"/>
    <mergeCell ref="S472:T472"/>
    <mergeCell ref="W472:X472"/>
    <mergeCell ref="Z472:AC472"/>
    <mergeCell ref="AD472:AG472"/>
    <mergeCell ref="AH472:AI472"/>
    <mergeCell ref="AJ472:AK472"/>
    <mergeCell ref="AL472:AM472"/>
    <mergeCell ref="AN472:AO472"/>
    <mergeCell ref="AP472:AQ472"/>
    <mergeCell ref="C474:F474"/>
    <mergeCell ref="G474:H474"/>
    <mergeCell ref="I474:J474"/>
    <mergeCell ref="K474:L474"/>
    <mergeCell ref="M474:N474"/>
    <mergeCell ref="O474:P474"/>
    <mergeCell ref="Q474:R474"/>
    <mergeCell ref="S474:T474"/>
    <mergeCell ref="W474:X474"/>
    <mergeCell ref="U472:V472"/>
    <mergeCell ref="U473:V473"/>
    <mergeCell ref="U474:V474"/>
    <mergeCell ref="AR475:AS475"/>
    <mergeCell ref="C476:F476"/>
    <mergeCell ref="G476:H476"/>
    <mergeCell ref="I476:J476"/>
    <mergeCell ref="K473:L473"/>
    <mergeCell ref="M473:N473"/>
    <mergeCell ref="O473:P473"/>
    <mergeCell ref="Q473:R473"/>
    <mergeCell ref="S473:T473"/>
    <mergeCell ref="W473:X473"/>
    <mergeCell ref="Z473:AC473"/>
    <mergeCell ref="AD473:AG473"/>
    <mergeCell ref="AH473:AI473"/>
    <mergeCell ref="AJ473:AK473"/>
    <mergeCell ref="AL473:AM473"/>
    <mergeCell ref="AN473:AO473"/>
    <mergeCell ref="AP473:AQ473"/>
    <mergeCell ref="AR473:AS473"/>
    <mergeCell ref="Z474:AC474"/>
    <mergeCell ref="AD474:AG474"/>
    <mergeCell ref="AH474:AI474"/>
    <mergeCell ref="AJ474:AK474"/>
    <mergeCell ref="AL474:AM474"/>
    <mergeCell ref="AN474:AO474"/>
    <mergeCell ref="AP474:AQ474"/>
    <mergeCell ref="AR474:AS474"/>
    <mergeCell ref="C475:F475"/>
    <mergeCell ref="G475:H475"/>
    <mergeCell ref="I475:J475"/>
    <mergeCell ref="K475:L475"/>
    <mergeCell ref="M475:N475"/>
    <mergeCell ref="O475:P475"/>
    <mergeCell ref="Q475:R475"/>
    <mergeCell ref="S475:T475"/>
    <mergeCell ref="W475:X475"/>
    <mergeCell ref="Z475:AC475"/>
    <mergeCell ref="AD475:AG475"/>
    <mergeCell ref="AH475:AI475"/>
    <mergeCell ref="AJ475:AK475"/>
    <mergeCell ref="AL475:AM475"/>
    <mergeCell ref="AN475:AO475"/>
    <mergeCell ref="AP475:AQ475"/>
    <mergeCell ref="C477:F477"/>
    <mergeCell ref="G477:H477"/>
    <mergeCell ref="I477:J477"/>
    <mergeCell ref="K477:L477"/>
    <mergeCell ref="M477:N477"/>
    <mergeCell ref="O477:P477"/>
    <mergeCell ref="Q477:R477"/>
    <mergeCell ref="S477:T477"/>
    <mergeCell ref="W477:X477"/>
    <mergeCell ref="U475:V475"/>
    <mergeCell ref="U476:V476"/>
    <mergeCell ref="U477:V477"/>
    <mergeCell ref="AR478:AS478"/>
    <mergeCell ref="C479:F479"/>
    <mergeCell ref="G479:H479"/>
    <mergeCell ref="I479:J479"/>
    <mergeCell ref="K476:L476"/>
    <mergeCell ref="M476:N476"/>
    <mergeCell ref="O476:P476"/>
    <mergeCell ref="Q476:R476"/>
    <mergeCell ref="S476:T476"/>
    <mergeCell ref="W476:X476"/>
    <mergeCell ref="Z476:AC476"/>
    <mergeCell ref="AD476:AG476"/>
    <mergeCell ref="AH476:AI476"/>
    <mergeCell ref="AJ476:AK476"/>
    <mergeCell ref="AL476:AM476"/>
    <mergeCell ref="AN476:AO476"/>
    <mergeCell ref="AP476:AQ476"/>
    <mergeCell ref="AR476:AS476"/>
    <mergeCell ref="Z477:AC477"/>
    <mergeCell ref="AD477:AG477"/>
    <mergeCell ref="AH477:AI477"/>
    <mergeCell ref="AJ477:AK477"/>
    <mergeCell ref="AL477:AM477"/>
    <mergeCell ref="AN477:AO477"/>
    <mergeCell ref="AP477:AQ477"/>
    <mergeCell ref="AR477:AS477"/>
    <mergeCell ref="C478:F478"/>
    <mergeCell ref="G478:H478"/>
    <mergeCell ref="I478:J478"/>
    <mergeCell ref="K478:L478"/>
    <mergeCell ref="M478:N478"/>
    <mergeCell ref="O478:P478"/>
    <mergeCell ref="Q478:R478"/>
    <mergeCell ref="S478:T478"/>
    <mergeCell ref="W478:X478"/>
    <mergeCell ref="Z478:AC478"/>
    <mergeCell ref="AD478:AG478"/>
    <mergeCell ref="AH478:AI478"/>
    <mergeCell ref="AJ478:AK478"/>
    <mergeCell ref="AL478:AM478"/>
    <mergeCell ref="AN478:AO478"/>
    <mergeCell ref="AP478:AQ478"/>
    <mergeCell ref="C480:F480"/>
    <mergeCell ref="G480:H480"/>
    <mergeCell ref="I480:J480"/>
    <mergeCell ref="K480:L480"/>
    <mergeCell ref="M480:N480"/>
    <mergeCell ref="O480:P480"/>
    <mergeCell ref="Q480:R480"/>
    <mergeCell ref="S480:T480"/>
    <mergeCell ref="W480:X480"/>
    <mergeCell ref="U478:V478"/>
    <mergeCell ref="U479:V479"/>
    <mergeCell ref="U480:V480"/>
    <mergeCell ref="AR481:AS481"/>
    <mergeCell ref="C482:F482"/>
    <mergeCell ref="G482:H482"/>
    <mergeCell ref="I482:J482"/>
    <mergeCell ref="K479:L479"/>
    <mergeCell ref="M479:N479"/>
    <mergeCell ref="O479:P479"/>
    <mergeCell ref="Q479:R479"/>
    <mergeCell ref="S479:T479"/>
    <mergeCell ref="W479:X479"/>
    <mergeCell ref="Z479:AC479"/>
    <mergeCell ref="AD479:AG479"/>
    <mergeCell ref="AH479:AI479"/>
    <mergeCell ref="AJ479:AK479"/>
    <mergeCell ref="AL479:AM479"/>
    <mergeCell ref="AN479:AO479"/>
    <mergeCell ref="AP479:AQ479"/>
    <mergeCell ref="AR479:AS479"/>
    <mergeCell ref="Z480:AC480"/>
    <mergeCell ref="AD480:AG480"/>
    <mergeCell ref="AH480:AI480"/>
    <mergeCell ref="AJ480:AK480"/>
    <mergeCell ref="AL480:AM480"/>
    <mergeCell ref="AN480:AO480"/>
    <mergeCell ref="AP480:AQ480"/>
    <mergeCell ref="AR480:AS480"/>
    <mergeCell ref="C481:F481"/>
    <mergeCell ref="G481:H481"/>
    <mergeCell ref="I481:J481"/>
    <mergeCell ref="K481:L481"/>
    <mergeCell ref="M481:N481"/>
    <mergeCell ref="O481:P481"/>
    <mergeCell ref="Q481:R481"/>
    <mergeCell ref="S481:T481"/>
    <mergeCell ref="W481:X481"/>
    <mergeCell ref="Z481:AC481"/>
    <mergeCell ref="AD481:AG481"/>
    <mergeCell ref="AH481:AI481"/>
    <mergeCell ref="AJ481:AK481"/>
    <mergeCell ref="AL481:AM481"/>
    <mergeCell ref="AN481:AO481"/>
    <mergeCell ref="AP481:AQ481"/>
    <mergeCell ref="C483:F483"/>
    <mergeCell ref="G483:H483"/>
    <mergeCell ref="I483:J483"/>
    <mergeCell ref="K483:L483"/>
    <mergeCell ref="M483:N483"/>
    <mergeCell ref="O483:P483"/>
    <mergeCell ref="Q483:R483"/>
    <mergeCell ref="S483:T483"/>
    <mergeCell ref="W483:X483"/>
    <mergeCell ref="U481:V481"/>
    <mergeCell ref="U482:V482"/>
    <mergeCell ref="U483:V483"/>
    <mergeCell ref="AR484:AS484"/>
    <mergeCell ref="C485:F485"/>
    <mergeCell ref="G485:H485"/>
    <mergeCell ref="I485:J485"/>
    <mergeCell ref="K482:L482"/>
    <mergeCell ref="M482:N482"/>
    <mergeCell ref="O482:P482"/>
    <mergeCell ref="Q482:R482"/>
    <mergeCell ref="S482:T482"/>
    <mergeCell ref="W482:X482"/>
    <mergeCell ref="Z482:AC482"/>
    <mergeCell ref="AD482:AG482"/>
    <mergeCell ref="AH482:AI482"/>
    <mergeCell ref="AJ482:AK482"/>
    <mergeCell ref="AL482:AM482"/>
    <mergeCell ref="AN482:AO482"/>
    <mergeCell ref="AP482:AQ482"/>
    <mergeCell ref="AR482:AS482"/>
    <mergeCell ref="Z483:AC483"/>
    <mergeCell ref="AD483:AG483"/>
    <mergeCell ref="AH483:AI483"/>
    <mergeCell ref="AJ483:AK483"/>
    <mergeCell ref="AL483:AM483"/>
    <mergeCell ref="AN483:AO483"/>
    <mergeCell ref="AP483:AQ483"/>
    <mergeCell ref="AR483:AS483"/>
    <mergeCell ref="C484:F484"/>
    <mergeCell ref="G484:H484"/>
    <mergeCell ref="I484:J484"/>
    <mergeCell ref="K484:L484"/>
    <mergeCell ref="M484:N484"/>
    <mergeCell ref="O484:P484"/>
    <mergeCell ref="Q484:R484"/>
    <mergeCell ref="S484:T484"/>
    <mergeCell ref="W484:X484"/>
    <mergeCell ref="Z484:AC484"/>
    <mergeCell ref="AD484:AG484"/>
    <mergeCell ref="AH484:AI484"/>
    <mergeCell ref="AJ484:AK484"/>
    <mergeCell ref="AL484:AM484"/>
    <mergeCell ref="AN484:AO484"/>
    <mergeCell ref="AP484:AQ484"/>
    <mergeCell ref="C486:F486"/>
    <mergeCell ref="G486:H486"/>
    <mergeCell ref="I486:J486"/>
    <mergeCell ref="K486:L486"/>
    <mergeCell ref="M486:N486"/>
    <mergeCell ref="O486:P486"/>
    <mergeCell ref="Q486:R486"/>
    <mergeCell ref="S486:T486"/>
    <mergeCell ref="W486:X486"/>
    <mergeCell ref="U484:V484"/>
    <mergeCell ref="U485:V485"/>
    <mergeCell ref="U486:V486"/>
    <mergeCell ref="AR487:AS487"/>
    <mergeCell ref="C488:F488"/>
    <mergeCell ref="G488:H488"/>
    <mergeCell ref="I488:J488"/>
    <mergeCell ref="K485:L485"/>
    <mergeCell ref="M485:N485"/>
    <mergeCell ref="O485:P485"/>
    <mergeCell ref="Q485:R485"/>
    <mergeCell ref="S485:T485"/>
    <mergeCell ref="W485:X485"/>
    <mergeCell ref="Z485:AC485"/>
    <mergeCell ref="AD485:AG485"/>
    <mergeCell ref="AH485:AI485"/>
    <mergeCell ref="AJ485:AK485"/>
    <mergeCell ref="AL485:AM485"/>
    <mergeCell ref="AN485:AO485"/>
    <mergeCell ref="AP485:AQ485"/>
    <mergeCell ref="AR485:AS485"/>
    <mergeCell ref="Z486:AC486"/>
    <mergeCell ref="AD486:AG486"/>
    <mergeCell ref="AH486:AI486"/>
    <mergeCell ref="AJ486:AK486"/>
    <mergeCell ref="AL486:AM486"/>
    <mergeCell ref="AN486:AO486"/>
    <mergeCell ref="AP486:AQ486"/>
    <mergeCell ref="AR486:AS486"/>
    <mergeCell ref="C487:F487"/>
    <mergeCell ref="G487:H487"/>
    <mergeCell ref="I487:J487"/>
    <mergeCell ref="K487:L487"/>
    <mergeCell ref="M487:N487"/>
    <mergeCell ref="O487:P487"/>
    <mergeCell ref="Q487:R487"/>
    <mergeCell ref="S487:T487"/>
    <mergeCell ref="W487:X487"/>
    <mergeCell ref="Z487:AC487"/>
    <mergeCell ref="AD487:AG487"/>
    <mergeCell ref="AH487:AI487"/>
    <mergeCell ref="AJ487:AK487"/>
    <mergeCell ref="AL487:AM487"/>
    <mergeCell ref="AN487:AO487"/>
    <mergeCell ref="AP487:AQ487"/>
    <mergeCell ref="C489:F489"/>
    <mergeCell ref="G489:H489"/>
    <mergeCell ref="I489:J489"/>
    <mergeCell ref="K489:L489"/>
    <mergeCell ref="M489:N489"/>
    <mergeCell ref="O489:P489"/>
    <mergeCell ref="Q489:R489"/>
    <mergeCell ref="S489:T489"/>
    <mergeCell ref="W489:X489"/>
    <mergeCell ref="U487:V487"/>
    <mergeCell ref="U488:V488"/>
    <mergeCell ref="U489:V489"/>
    <mergeCell ref="AR490:AS490"/>
    <mergeCell ref="C491:F491"/>
    <mergeCell ref="G491:H491"/>
    <mergeCell ref="I491:J491"/>
    <mergeCell ref="K488:L488"/>
    <mergeCell ref="M488:N488"/>
    <mergeCell ref="O488:P488"/>
    <mergeCell ref="Q488:R488"/>
    <mergeCell ref="S488:T488"/>
    <mergeCell ref="W488:X488"/>
    <mergeCell ref="Z488:AC488"/>
    <mergeCell ref="AD488:AG488"/>
    <mergeCell ref="AH488:AI488"/>
    <mergeCell ref="AJ488:AK488"/>
    <mergeCell ref="AL488:AM488"/>
    <mergeCell ref="AN488:AO488"/>
    <mergeCell ref="AP488:AQ488"/>
    <mergeCell ref="AR488:AS488"/>
    <mergeCell ref="Z489:AC489"/>
    <mergeCell ref="AD489:AG489"/>
    <mergeCell ref="AH489:AI489"/>
    <mergeCell ref="AJ489:AK489"/>
    <mergeCell ref="AL489:AM489"/>
    <mergeCell ref="AN489:AO489"/>
    <mergeCell ref="AP489:AQ489"/>
    <mergeCell ref="AR489:AS489"/>
    <mergeCell ref="C490:F490"/>
    <mergeCell ref="G490:H490"/>
    <mergeCell ref="I490:J490"/>
    <mergeCell ref="K490:L490"/>
    <mergeCell ref="M490:N490"/>
    <mergeCell ref="O490:P490"/>
    <mergeCell ref="Q490:R490"/>
    <mergeCell ref="S490:T490"/>
    <mergeCell ref="W490:X490"/>
    <mergeCell ref="Z490:AC490"/>
    <mergeCell ref="AD490:AG490"/>
    <mergeCell ref="AH490:AI490"/>
    <mergeCell ref="AJ490:AK490"/>
    <mergeCell ref="AL490:AM490"/>
    <mergeCell ref="AN490:AO490"/>
    <mergeCell ref="AP490:AQ490"/>
    <mergeCell ref="C492:F492"/>
    <mergeCell ref="G492:H492"/>
    <mergeCell ref="I492:J492"/>
    <mergeCell ref="K492:L492"/>
    <mergeCell ref="M492:N492"/>
    <mergeCell ref="O492:P492"/>
    <mergeCell ref="Q492:R492"/>
    <mergeCell ref="S492:T492"/>
    <mergeCell ref="W492:X492"/>
    <mergeCell ref="U490:V490"/>
    <mergeCell ref="U491:V491"/>
    <mergeCell ref="U492:V492"/>
    <mergeCell ref="AR493:AS493"/>
    <mergeCell ref="C494:F494"/>
    <mergeCell ref="G494:H494"/>
    <mergeCell ref="I494:J494"/>
    <mergeCell ref="K491:L491"/>
    <mergeCell ref="M491:N491"/>
    <mergeCell ref="O491:P491"/>
    <mergeCell ref="Q491:R491"/>
    <mergeCell ref="S491:T491"/>
    <mergeCell ref="W491:X491"/>
    <mergeCell ref="Z491:AC491"/>
    <mergeCell ref="AD491:AG491"/>
    <mergeCell ref="AH491:AI491"/>
    <mergeCell ref="AJ491:AK491"/>
    <mergeCell ref="AL491:AM491"/>
    <mergeCell ref="AN491:AO491"/>
    <mergeCell ref="AP491:AQ491"/>
    <mergeCell ref="AR491:AS491"/>
    <mergeCell ref="Z492:AC492"/>
    <mergeCell ref="AD492:AG492"/>
    <mergeCell ref="AH492:AI492"/>
    <mergeCell ref="AJ492:AK492"/>
    <mergeCell ref="AL492:AM492"/>
    <mergeCell ref="AN492:AO492"/>
    <mergeCell ref="AP492:AQ492"/>
    <mergeCell ref="AR492:AS492"/>
    <mergeCell ref="C493:F493"/>
    <mergeCell ref="G493:H493"/>
    <mergeCell ref="I493:J493"/>
    <mergeCell ref="K493:L493"/>
    <mergeCell ref="M493:N493"/>
    <mergeCell ref="O493:P493"/>
    <mergeCell ref="Q493:R493"/>
    <mergeCell ref="S493:T493"/>
    <mergeCell ref="W493:X493"/>
    <mergeCell ref="Z493:AC493"/>
    <mergeCell ref="AD493:AG493"/>
    <mergeCell ref="AH493:AI493"/>
    <mergeCell ref="AJ493:AK493"/>
    <mergeCell ref="AL493:AM493"/>
    <mergeCell ref="AN493:AO493"/>
    <mergeCell ref="AP493:AQ493"/>
    <mergeCell ref="C495:F495"/>
    <mergeCell ref="G495:H495"/>
    <mergeCell ref="I495:J495"/>
    <mergeCell ref="K495:L495"/>
    <mergeCell ref="M495:N495"/>
    <mergeCell ref="O495:P495"/>
    <mergeCell ref="Q495:R495"/>
    <mergeCell ref="S495:T495"/>
    <mergeCell ref="W495:X495"/>
    <mergeCell ref="U493:V493"/>
    <mergeCell ref="U494:V494"/>
    <mergeCell ref="U495:V495"/>
    <mergeCell ref="AR496:AS496"/>
    <mergeCell ref="C497:F497"/>
    <mergeCell ref="G497:H497"/>
    <mergeCell ref="I497:J497"/>
    <mergeCell ref="K494:L494"/>
    <mergeCell ref="M494:N494"/>
    <mergeCell ref="O494:P494"/>
    <mergeCell ref="Q494:R494"/>
    <mergeCell ref="S494:T494"/>
    <mergeCell ref="W494:X494"/>
    <mergeCell ref="Z494:AC494"/>
    <mergeCell ref="AD494:AG494"/>
    <mergeCell ref="AH494:AI494"/>
    <mergeCell ref="AJ494:AK494"/>
    <mergeCell ref="AL494:AM494"/>
    <mergeCell ref="AN494:AO494"/>
    <mergeCell ref="AP494:AQ494"/>
    <mergeCell ref="AR494:AS494"/>
    <mergeCell ref="Z495:AC495"/>
    <mergeCell ref="AD495:AG495"/>
    <mergeCell ref="AH495:AI495"/>
    <mergeCell ref="AJ495:AK495"/>
    <mergeCell ref="AL495:AM495"/>
    <mergeCell ref="AN495:AO495"/>
    <mergeCell ref="AP495:AQ495"/>
    <mergeCell ref="AR495:AS495"/>
    <mergeCell ref="C496:F496"/>
    <mergeCell ref="G496:H496"/>
    <mergeCell ref="I496:J496"/>
    <mergeCell ref="K496:L496"/>
    <mergeCell ref="M496:N496"/>
    <mergeCell ref="O496:P496"/>
    <mergeCell ref="AR497:AS497"/>
    <mergeCell ref="Z498:AC498"/>
    <mergeCell ref="AD498:AG498"/>
    <mergeCell ref="AH498:AI498"/>
    <mergeCell ref="AJ498:AK498"/>
    <mergeCell ref="AL498:AM498"/>
    <mergeCell ref="AN498:AO498"/>
    <mergeCell ref="AP498:AQ498"/>
    <mergeCell ref="AR498:AS498"/>
    <mergeCell ref="C499:F499"/>
    <mergeCell ref="G499:H499"/>
    <mergeCell ref="I499:J499"/>
    <mergeCell ref="K499:L499"/>
    <mergeCell ref="M499:N499"/>
    <mergeCell ref="O499:P499"/>
    <mergeCell ref="AR500:AS500"/>
    <mergeCell ref="Q496:R496"/>
    <mergeCell ref="S496:T496"/>
    <mergeCell ref="W496:X496"/>
    <mergeCell ref="Z496:AC496"/>
    <mergeCell ref="AD496:AG496"/>
    <mergeCell ref="AH496:AI496"/>
    <mergeCell ref="AJ496:AK496"/>
    <mergeCell ref="AL496:AM496"/>
    <mergeCell ref="AN496:AO496"/>
    <mergeCell ref="AP496:AQ496"/>
    <mergeCell ref="C498:F498"/>
    <mergeCell ref="G498:H498"/>
    <mergeCell ref="I498:J498"/>
    <mergeCell ref="K498:L498"/>
    <mergeCell ref="M498:N498"/>
    <mergeCell ref="O498:P498"/>
    <mergeCell ref="S500:T500"/>
    <mergeCell ref="W500:X500"/>
    <mergeCell ref="Z500:AC500"/>
    <mergeCell ref="AD500:AG500"/>
    <mergeCell ref="AH500:AI500"/>
    <mergeCell ref="AJ500:AK500"/>
    <mergeCell ref="AL500:AM500"/>
    <mergeCell ref="AN500:AO500"/>
    <mergeCell ref="AP500:AQ500"/>
    <mergeCell ref="C500:F500"/>
    <mergeCell ref="G500:H500"/>
    <mergeCell ref="I500:J500"/>
    <mergeCell ref="K497:L497"/>
    <mergeCell ref="M497:N497"/>
    <mergeCell ref="O497:P497"/>
    <mergeCell ref="Q497:R497"/>
    <mergeCell ref="S497:T497"/>
    <mergeCell ref="W497:X497"/>
    <mergeCell ref="Z497:AC497"/>
    <mergeCell ref="AD497:AG497"/>
    <mergeCell ref="AH497:AI497"/>
    <mergeCell ref="AJ497:AK497"/>
    <mergeCell ref="AL497:AM497"/>
    <mergeCell ref="AN497:AO497"/>
    <mergeCell ref="AP497:AQ497"/>
    <mergeCell ref="Q498:R498"/>
    <mergeCell ref="S498:T498"/>
    <mergeCell ref="W498:X498"/>
    <mergeCell ref="AR499:AS499"/>
    <mergeCell ref="C501:F501"/>
    <mergeCell ref="G501:H501"/>
    <mergeCell ref="I501:J501"/>
    <mergeCell ref="K501:L501"/>
    <mergeCell ref="M501:N501"/>
    <mergeCell ref="O501:P501"/>
    <mergeCell ref="Q501:R501"/>
    <mergeCell ref="S501:T501"/>
    <mergeCell ref="W501:X501"/>
    <mergeCell ref="Z501:AC501"/>
    <mergeCell ref="AD501:AG501"/>
    <mergeCell ref="AH501:AI501"/>
    <mergeCell ref="AJ501:AK501"/>
    <mergeCell ref="AL501:AM501"/>
    <mergeCell ref="AN501:AO501"/>
    <mergeCell ref="AP501:AQ501"/>
    <mergeCell ref="AR501:AS501"/>
    <mergeCell ref="Q499:R499"/>
    <mergeCell ref="S499:T499"/>
    <mergeCell ref="W499:X499"/>
    <mergeCell ref="Z499:AC499"/>
    <mergeCell ref="AD499:AG499"/>
    <mergeCell ref="AH499:AI499"/>
    <mergeCell ref="AJ499:AK499"/>
    <mergeCell ref="AL499:AM499"/>
    <mergeCell ref="AN499:AO499"/>
    <mergeCell ref="AP499:AQ499"/>
    <mergeCell ref="K500:L500"/>
    <mergeCell ref="M500:N500"/>
    <mergeCell ref="O500:P500"/>
    <mergeCell ref="Q500:R500"/>
    <mergeCell ref="C502:F502"/>
    <mergeCell ref="G502:H502"/>
    <mergeCell ref="I502:J502"/>
    <mergeCell ref="K502:L502"/>
    <mergeCell ref="M502:N502"/>
    <mergeCell ref="O502:P502"/>
    <mergeCell ref="Q502:R502"/>
    <mergeCell ref="S502:T502"/>
    <mergeCell ref="W502:X502"/>
    <mergeCell ref="Z502:AC502"/>
    <mergeCell ref="AD502:AG502"/>
    <mergeCell ref="AH502:AI502"/>
    <mergeCell ref="AJ502:AK502"/>
    <mergeCell ref="AL502:AM502"/>
    <mergeCell ref="AN502:AO502"/>
    <mergeCell ref="AP502:AQ502"/>
    <mergeCell ref="AR502:AS502"/>
    <mergeCell ref="AP504:AQ504"/>
    <mergeCell ref="AR504:AS504"/>
    <mergeCell ref="C503:F503"/>
    <mergeCell ref="G503:H503"/>
    <mergeCell ref="I503:J503"/>
    <mergeCell ref="K503:L503"/>
    <mergeCell ref="M503:N503"/>
    <mergeCell ref="O503:P503"/>
    <mergeCell ref="Q503:R503"/>
    <mergeCell ref="S503:T503"/>
    <mergeCell ref="W503:X503"/>
    <mergeCell ref="Z503:AC503"/>
    <mergeCell ref="AD503:AG503"/>
    <mergeCell ref="AH503:AI503"/>
    <mergeCell ref="AJ503:AK503"/>
    <mergeCell ref="AL503:AM503"/>
    <mergeCell ref="AN503:AO503"/>
    <mergeCell ref="AP503:AQ503"/>
    <mergeCell ref="AR503:AS503"/>
    <mergeCell ref="N15:O16"/>
    <mergeCell ref="B8:E18"/>
    <mergeCell ref="V13:W14"/>
    <mergeCell ref="X13:Y14"/>
    <mergeCell ref="Z13:AA14"/>
    <mergeCell ref="AB13:AC14"/>
    <mergeCell ref="AD13:AE14"/>
    <mergeCell ref="V15:W16"/>
    <mergeCell ref="X15:Y16"/>
    <mergeCell ref="Z15:AA16"/>
    <mergeCell ref="AB15:AC16"/>
    <mergeCell ref="AD15:AE16"/>
    <mergeCell ref="R8:U18"/>
    <mergeCell ref="J9:K10"/>
    <mergeCell ref="J11:K12"/>
    <mergeCell ref="F8:G8"/>
    <mergeCell ref="L8:M8"/>
    <mergeCell ref="U55:V55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U69:V69"/>
    <mergeCell ref="U70:V70"/>
    <mergeCell ref="U71:V71"/>
    <mergeCell ref="C54:AS54"/>
    <mergeCell ref="U496:V496"/>
    <mergeCell ref="U497:V497"/>
    <mergeCell ref="U498:V498"/>
    <mergeCell ref="U499:V499"/>
    <mergeCell ref="U500:V500"/>
    <mergeCell ref="U501:V501"/>
    <mergeCell ref="U502:V502"/>
    <mergeCell ref="U503:V503"/>
    <mergeCell ref="U504:V504"/>
    <mergeCell ref="U505:V505"/>
    <mergeCell ref="U506:V506"/>
    <mergeCell ref="U507:V507"/>
    <mergeCell ref="U508:V508"/>
    <mergeCell ref="U509:V509"/>
    <mergeCell ref="U510:V510"/>
    <mergeCell ref="U511:V511"/>
    <mergeCell ref="C504:F504"/>
    <mergeCell ref="G504:H504"/>
    <mergeCell ref="I504:J504"/>
    <mergeCell ref="K504:L504"/>
    <mergeCell ref="M504:N504"/>
    <mergeCell ref="O504:P504"/>
    <mergeCell ref="Q504:R504"/>
    <mergeCell ref="S504:T504"/>
    <mergeCell ref="W504:X504"/>
    <mergeCell ref="Z504:AC504"/>
    <mergeCell ref="AD504:AG504"/>
    <mergeCell ref="AH504:AI504"/>
    <mergeCell ref="AJ504:AK504"/>
    <mergeCell ref="AL504:AM504"/>
    <mergeCell ref="AN504:AO504"/>
  </mergeCells>
  <conditionalFormatting sqref="Y56:Y515">
    <cfRule type="cellIs" dxfId="251" priority="15" operator="equal">
      <formula>1</formula>
    </cfRule>
  </conditionalFormatting>
  <conditionalFormatting sqref="AH56:AH515 AN56:AN515 AL56:AL515 AJ56:AJ515">
    <cfRule type="containsText" dxfId="250" priority="13" operator="containsText" text="OK">
      <formula>NOT(ISERROR(SEARCH("OK",AH56)))</formula>
    </cfRule>
  </conditionalFormatting>
  <conditionalFormatting sqref="G56:G515 I56:I515 K56:K515 M56:M515 O56:O515 AR56:AR515 AN56:AN515 AL56:AL515 AJ56:AJ515 AH56:AH515 AD56:AD515 Y56:Z515 S56:S515 Q56:Q515 C56:C515 AP56:AP515 W56:W515 U56:U515">
    <cfRule type="expression" dxfId="249" priority="7">
      <formula>$Y56=1</formula>
    </cfRule>
  </conditionalFormatting>
  <conditionalFormatting sqref="C56:AS515">
    <cfRule type="expression" dxfId="248" priority="1">
      <formula>$AP56="Escopo SGS"</formula>
    </cfRule>
    <cfRule type="expression" dxfId="247" priority="10">
      <formula>$AP56="Pend. Resp."</formula>
    </cfRule>
    <cfRule type="expression" dxfId="246" priority="40">
      <formula>$AP56="Pend. Material"</formula>
    </cfRule>
    <cfRule type="expression" dxfId="245" priority="41">
      <formula>$AP56="Pend. Compra"</formula>
    </cfRule>
    <cfRule type="expression" dxfId="244" priority="42">
      <formula>$AP56="Disponível"</formula>
    </cfRule>
  </conditionalFormatting>
  <conditionalFormatting sqref="AS8:AT2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{43EBCE95-E2D3-4D21-8C87-783C43CD887D}</x14:id>
        </ext>
      </extLst>
    </cfRule>
  </conditionalFormatting>
  <conditionalFormatting sqref="AS29:AT2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{F908BFEB-EF40-4F71-91F6-E562CF69DD61}</x14:id>
        </ext>
      </extLst>
    </cfRule>
  </conditionalFormatting>
  <conditionalFormatting sqref="AS8:AT2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{A9767DBD-C1EF-4C2F-9AEA-F1842E5DE74F}</x14:id>
        </ext>
      </extLst>
    </cfRule>
  </conditionalFormatting>
  <pageMargins left="0.511811024" right="0.511811024" top="0.78740157499999996" bottom="0.78740157499999996" header="0.31496062000000002" footer="0.31496062000000002"/>
  <pageSetup paperSize="9" scale="5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BCE95-E2D3-4D21-8C87-783C43CD88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AS8:AT28</xm:sqref>
        </x14:conditionalFormatting>
        <x14:conditionalFormatting xmlns:xm="http://schemas.microsoft.com/office/excel/2006/main">
          <x14:cfRule type="dataBar" id="{F908BFEB-EF40-4F71-91F6-E562CF69D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AS29:AT29</xm:sqref>
        </x14:conditionalFormatting>
        <x14:conditionalFormatting xmlns:xm="http://schemas.microsoft.com/office/excel/2006/main">
          <x14:cfRule type="dataBar" id="{A9767DBD-C1EF-4C2F-9AEA-F1842E5DE7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AS8:AT29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Referências!$A$2:$A$23</xm:f>
          </x14:formula1>
          <xm:sqref>V6:AE6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00A84C"/>
    <pageSetUpPr fitToPage="1"/>
  </sheetPr>
  <dimension ref="A1:AL501"/>
  <sheetViews>
    <sheetView zoomScaleNormal="100" workbookViewId="0">
      <pane xSplit="1" topLeftCell="AA1" activePane="topRight" state="frozen"/>
      <selection activeCell="F13" sqref="F13"/>
      <selection pane="topRight" activeCell="AD1" sqref="AD1"/>
    </sheetView>
  </sheetViews>
  <sheetFormatPr defaultRowHeight="15" x14ac:dyDescent="0.25"/>
  <cols>
    <col min="1" max="1" width="26.7109375" style="34" bestFit="1" customWidth="1"/>
    <col min="2" max="2" width="9.5703125" style="8" customWidth="1"/>
    <col min="3" max="4" width="9.7109375" style="8" customWidth="1"/>
    <col min="5" max="5" width="20.5703125" style="3" bestFit="1" customWidth="1"/>
    <col min="6" max="6" width="10.140625" style="8" customWidth="1"/>
    <col min="7" max="7" width="10.28515625" style="8" customWidth="1"/>
    <col min="8" max="8" width="15.140625" style="8" customWidth="1"/>
    <col min="9" max="10" width="10.5703125" style="8" customWidth="1"/>
    <col min="11" max="12" width="24.5703125" style="7" customWidth="1"/>
    <col min="13" max="15" width="7.42578125" style="8" customWidth="1"/>
    <col min="16" max="16" width="9.28515625" style="8" customWidth="1"/>
    <col min="17" max="17" width="7.28515625" style="8" customWidth="1"/>
    <col min="18" max="19" width="7.42578125" style="8" customWidth="1"/>
    <col min="20" max="20" width="27.85546875" style="7" customWidth="1"/>
    <col min="21" max="21" width="10.5703125" style="8" customWidth="1"/>
    <col min="22" max="22" width="14.28515625" style="8" customWidth="1"/>
    <col min="23" max="23" width="10.7109375" style="1" customWidth="1"/>
    <col min="24" max="25" width="10.5703125" style="1" customWidth="1"/>
    <col min="26" max="26" width="18.42578125" style="25" customWidth="1"/>
    <col min="27" max="27" width="9.140625" style="171" customWidth="1"/>
    <col min="28" max="28" width="13" customWidth="1"/>
    <col min="29" max="29" width="10.7109375" customWidth="1"/>
    <col min="30" max="30" width="9.140625" style="1" customWidth="1"/>
    <col min="31" max="31" width="11.5703125" customWidth="1"/>
    <col min="32" max="32" width="12.5703125" customWidth="1"/>
    <col min="33" max="33" width="9.140625" style="1" customWidth="1"/>
    <col min="34" max="34" width="10.140625" customWidth="1"/>
    <col min="35" max="35" width="25.28515625" customWidth="1"/>
    <col min="36" max="36" width="11.42578125" style="25" bestFit="1" customWidth="1"/>
    <col min="37" max="37" width="9.140625" style="44"/>
    <col min="38" max="38" width="23.140625" bestFit="1" customWidth="1"/>
  </cols>
  <sheetData>
    <row r="1" spans="1:38" s="12" customFormat="1" ht="34.5" customHeight="1" x14ac:dyDescent="0.25">
      <c r="A1" s="167" t="s">
        <v>53</v>
      </c>
      <c r="B1" s="12" t="s">
        <v>4</v>
      </c>
      <c r="C1" s="12" t="s">
        <v>54</v>
      </c>
      <c r="D1" s="12" t="s">
        <v>55</v>
      </c>
      <c r="E1" s="12" t="s">
        <v>5</v>
      </c>
      <c r="F1" s="12" t="s">
        <v>56</v>
      </c>
      <c r="G1" s="12" t="s">
        <v>57</v>
      </c>
      <c r="H1" s="12" t="s">
        <v>58</v>
      </c>
      <c r="I1" s="12" t="s">
        <v>59</v>
      </c>
      <c r="J1" s="12" t="s">
        <v>60</v>
      </c>
      <c r="K1" s="12" t="s">
        <v>14</v>
      </c>
      <c r="L1" s="12" t="s">
        <v>15</v>
      </c>
      <c r="M1" s="13" t="s">
        <v>16</v>
      </c>
      <c r="N1" s="13" t="s">
        <v>17</v>
      </c>
      <c r="O1" s="13" t="s">
        <v>18</v>
      </c>
      <c r="P1" s="13" t="s">
        <v>19</v>
      </c>
      <c r="Q1" s="13" t="s">
        <v>61</v>
      </c>
      <c r="R1" s="13" t="s">
        <v>62</v>
      </c>
      <c r="S1" s="13" t="s">
        <v>63</v>
      </c>
      <c r="T1" s="12" t="s">
        <v>30</v>
      </c>
      <c r="U1" s="12" t="s">
        <v>64</v>
      </c>
      <c r="V1" s="12" t="s">
        <v>65</v>
      </c>
      <c r="W1" s="12" t="s">
        <v>66</v>
      </c>
      <c r="X1" s="12" t="s">
        <v>67</v>
      </c>
      <c r="Y1" s="12" t="s">
        <v>68</v>
      </c>
      <c r="Z1" s="158" t="s">
        <v>69</v>
      </c>
      <c r="AA1" s="167" t="s">
        <v>70</v>
      </c>
      <c r="AB1" s="12" t="s">
        <v>24</v>
      </c>
      <c r="AC1" s="12" t="s">
        <v>71</v>
      </c>
      <c r="AD1" s="12" t="s">
        <v>72</v>
      </c>
      <c r="AE1" s="12" t="s">
        <v>73</v>
      </c>
      <c r="AF1" s="12" t="s">
        <v>48</v>
      </c>
      <c r="AG1" s="12" t="s">
        <v>52</v>
      </c>
      <c r="AH1" s="12" t="s">
        <v>74</v>
      </c>
      <c r="AI1" s="12" t="s">
        <v>75</v>
      </c>
      <c r="AJ1" s="12" t="s">
        <v>76</v>
      </c>
      <c r="AK1" s="12" t="s">
        <v>77</v>
      </c>
      <c r="AL1" s="12" t="s">
        <v>78</v>
      </c>
    </row>
    <row r="2" spans="1:38" s="262" customFormat="1" ht="15" customHeight="1" x14ac:dyDescent="0.2">
      <c r="A2" s="168" t="s">
        <v>79</v>
      </c>
      <c r="B2" s="391" t="s">
        <v>37</v>
      </c>
      <c r="C2" s="391">
        <v>125</v>
      </c>
      <c r="D2" s="391" t="s">
        <v>80</v>
      </c>
      <c r="E2" s="3" t="s">
        <v>81</v>
      </c>
      <c r="F2" s="11">
        <v>4</v>
      </c>
      <c r="G2" s="391">
        <v>1</v>
      </c>
      <c r="H2" s="391">
        <v>20</v>
      </c>
      <c r="I2" s="391">
        <v>20</v>
      </c>
      <c r="J2" s="391" t="s">
        <v>82</v>
      </c>
      <c r="K2" s="262" t="s">
        <v>83</v>
      </c>
      <c r="L2" s="262" t="s">
        <v>84</v>
      </c>
      <c r="M2" s="22" t="s">
        <v>85</v>
      </c>
      <c r="N2" s="22" t="s">
        <v>86</v>
      </c>
      <c r="O2" s="391" t="str">
        <f>"Sim"</f>
        <v>Sim</v>
      </c>
      <c r="P2" s="22" t="s">
        <v>86</v>
      </c>
      <c r="Q2" s="91" t="s">
        <v>87</v>
      </c>
      <c r="R2" s="391">
        <f>SUMIF('Lançamento de Cabos'!$B:$B,Tabela1[[#This Row],[Tag do Cabo]],'Lançamento de Cabos'!$C:$C)</f>
        <v>40</v>
      </c>
      <c r="S2" s="391">
        <f>VLOOKUP(Tabela1[[#This Row],[Tag do Cabo]],'Diagramas Ligações'!A:V,14,0)</f>
        <v>4</v>
      </c>
      <c r="T2" s="262" t="s">
        <v>88</v>
      </c>
      <c r="U2" s="391">
        <v>5</v>
      </c>
      <c r="V2" s="391"/>
      <c r="W2" s="391" t="s">
        <v>89</v>
      </c>
      <c r="X2" s="32">
        <v>44177</v>
      </c>
      <c r="Y2" s="32">
        <v>44218</v>
      </c>
      <c r="Z2" s="3" t="s">
        <v>90</v>
      </c>
      <c r="AA2" s="45">
        <v>72</v>
      </c>
      <c r="AB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" s="262" t="s">
        <v>91</v>
      </c>
      <c r="AD2" s="391">
        <f>IF(Tabela1[[#This Row],[Qtde. Lançada]]&gt;Tabela1[[#This Row],[Comprimento Total]],Tabela1[[#This Row],[Qtde. Lançada]],Tabela1[[#This Row],[Comprimento Total]])</f>
        <v>40</v>
      </c>
      <c r="AE2" s="391" t="s">
        <v>92</v>
      </c>
      <c r="AF2" s="391" t="s">
        <v>93</v>
      </c>
      <c r="AG2" s="391">
        <f ca="1">SUMIF('Lançamento de Cabos'!AE:AK,Tabela1[[#This Row],[Tag do Cabo]],'Lançamento de Cabos'!AG:AG)</f>
        <v>0</v>
      </c>
      <c r="AH2" s="29">
        <f>IFERROR(VLOOKUP(Tabela1[[#This Row],[Tag do Cabo]],'Lançamento de Cabos'!AE:AK,7,0),0)</f>
        <v>0</v>
      </c>
      <c r="AI2" s="262" t="s">
        <v>94</v>
      </c>
      <c r="AJ2" s="212" t="s">
        <v>95</v>
      </c>
      <c r="AK2" s="46">
        <v>330260</v>
      </c>
    </row>
    <row r="3" spans="1:38" s="262" customFormat="1" ht="15" customHeight="1" x14ac:dyDescent="0.2">
      <c r="A3" s="168" t="s">
        <v>96</v>
      </c>
      <c r="B3" s="391" t="s">
        <v>37</v>
      </c>
      <c r="C3" s="391">
        <v>125</v>
      </c>
      <c r="D3" s="391" t="s">
        <v>80</v>
      </c>
      <c r="E3" s="3" t="s">
        <v>81</v>
      </c>
      <c r="F3" s="11">
        <v>4</v>
      </c>
      <c r="G3" s="391">
        <v>1</v>
      </c>
      <c r="H3" s="391">
        <v>40</v>
      </c>
      <c r="I3" s="391">
        <v>40</v>
      </c>
      <c r="J3" s="391" t="s">
        <v>82</v>
      </c>
      <c r="K3" s="262" t="s">
        <v>83</v>
      </c>
      <c r="L3" s="262" t="s">
        <v>97</v>
      </c>
      <c r="M3" s="22" t="s">
        <v>85</v>
      </c>
      <c r="N3" s="22" t="s">
        <v>86</v>
      </c>
      <c r="O3" s="391" t="str">
        <f>"Sim"</f>
        <v>Sim</v>
      </c>
      <c r="P3" s="22" t="s">
        <v>86</v>
      </c>
      <c r="Q3" s="91" t="s">
        <v>87</v>
      </c>
      <c r="R3" s="391">
        <f>SUMIF('Lançamento de Cabos'!$B:$B,Tabela1[[#This Row],[Tag do Cabo]],'Lançamento de Cabos'!$C:$C)</f>
        <v>40</v>
      </c>
      <c r="S3" s="391">
        <f>VLOOKUP(Tabela1[[#This Row],[Tag do Cabo]],'Diagramas Ligações'!A:V,14,0)</f>
        <v>4</v>
      </c>
      <c r="T3" s="262" t="s">
        <v>88</v>
      </c>
      <c r="U3" s="391">
        <v>5</v>
      </c>
      <c r="V3" s="391"/>
      <c r="W3" s="391" t="s">
        <v>89</v>
      </c>
      <c r="X3" s="32">
        <v>44177</v>
      </c>
      <c r="Y3" s="32">
        <v>44218</v>
      </c>
      <c r="Z3" s="3" t="s">
        <v>90</v>
      </c>
      <c r="AA3" s="45">
        <v>72</v>
      </c>
      <c r="AB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" s="262" t="s">
        <v>91</v>
      </c>
      <c r="AD3" s="391">
        <f>IF(Tabela1[[#This Row],[Qtde. Lançada]]&gt;Tabela1[[#This Row],[Comprimento Total]],Tabela1[[#This Row],[Qtde. Lançada]],Tabela1[[#This Row],[Comprimento Total]])</f>
        <v>40</v>
      </c>
      <c r="AE3" s="391" t="s">
        <v>92</v>
      </c>
      <c r="AF3" s="391" t="s">
        <v>93</v>
      </c>
      <c r="AG3" s="391">
        <f ca="1">SUMIF('Lançamento de Cabos'!AE:AK,Tabela1[[#This Row],[Tag do Cabo]],'Lançamento de Cabos'!AG:AG)</f>
        <v>0</v>
      </c>
      <c r="AH3" s="29">
        <f>IFERROR(VLOOKUP(Tabela1[[#This Row],[Tag do Cabo]],'Lançamento de Cabos'!AE:AK,7,0),0)</f>
        <v>0</v>
      </c>
      <c r="AI3" s="262" t="s">
        <v>98</v>
      </c>
      <c r="AJ3" s="212" t="s">
        <v>99</v>
      </c>
      <c r="AK3" s="46">
        <v>330260</v>
      </c>
    </row>
    <row r="4" spans="1:38" s="262" customFormat="1" ht="15" customHeight="1" x14ac:dyDescent="0.2">
      <c r="A4" s="168" t="s">
        <v>100</v>
      </c>
      <c r="B4" s="391" t="s">
        <v>101</v>
      </c>
      <c r="C4" s="391" t="s">
        <v>92</v>
      </c>
      <c r="D4" s="391" t="s">
        <v>92</v>
      </c>
      <c r="E4" s="3" t="s">
        <v>102</v>
      </c>
      <c r="F4" s="11" t="s">
        <v>92</v>
      </c>
      <c r="G4" s="391">
        <v>1</v>
      </c>
      <c r="H4" s="391">
        <v>40</v>
      </c>
      <c r="I4" s="391">
        <v>40</v>
      </c>
      <c r="J4" s="391" t="s">
        <v>103</v>
      </c>
      <c r="K4" s="262" t="s">
        <v>104</v>
      </c>
      <c r="L4" s="262" t="s">
        <v>105</v>
      </c>
      <c r="M4" s="22" t="s">
        <v>86</v>
      </c>
      <c r="N4" s="22" t="s">
        <v>86</v>
      </c>
      <c r="O4" s="22" t="s">
        <v>86</v>
      </c>
      <c r="P4" s="22" t="s">
        <v>86</v>
      </c>
      <c r="Q4" s="91" t="s">
        <v>106</v>
      </c>
      <c r="R4" s="391">
        <f>SUMIF('Lançamento de Cabos'!$B:$B,Tabela1[[#This Row],[Tag do Cabo]],'Lançamento de Cabos'!$C:$C)</f>
        <v>40</v>
      </c>
      <c r="S4" s="391">
        <f>VLOOKUP(Tabela1[[#This Row],[Tag do Cabo]],'Diagramas Ligações'!A:V,14,0)</f>
        <v>2</v>
      </c>
      <c r="T4" s="262" t="s">
        <v>88</v>
      </c>
      <c r="U4" s="391">
        <v>5</v>
      </c>
      <c r="V4" s="391" t="s">
        <v>107</v>
      </c>
      <c r="W4" s="391" t="s">
        <v>89</v>
      </c>
      <c r="X4" s="32">
        <v>44177</v>
      </c>
      <c r="Y4" s="32">
        <v>44218</v>
      </c>
      <c r="Z4" s="3" t="s">
        <v>108</v>
      </c>
      <c r="AA4" s="45" t="s">
        <v>109</v>
      </c>
      <c r="AB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" s="262" t="s">
        <v>91</v>
      </c>
      <c r="AD4" s="391">
        <f>IF(Tabela1[[#This Row],[Qtde. Lançada]]&gt;Tabela1[[#This Row],[Comprimento Total]],Tabela1[[#This Row],[Qtde. Lançada]],Tabela1[[#This Row],[Comprimento Total]])</f>
        <v>40</v>
      </c>
      <c r="AE4" s="391" t="s">
        <v>92</v>
      </c>
      <c r="AF4" s="391" t="s">
        <v>82</v>
      </c>
      <c r="AG4" s="391">
        <f ca="1">SUMIF('Lançamento de Cabos'!AE:AK,Tabela1[[#This Row],[Tag do Cabo]],'Lançamento de Cabos'!AG:AG)</f>
        <v>0</v>
      </c>
      <c r="AH4" s="29">
        <f>IFERROR(VLOOKUP(Tabela1[[#This Row],[Tag do Cabo]],'Lançamento de Cabos'!AE:AK,7,0),0)</f>
        <v>0</v>
      </c>
      <c r="AI4" s="262" t="s">
        <v>98</v>
      </c>
      <c r="AJ4" s="212" t="s">
        <v>110</v>
      </c>
      <c r="AK4" s="46">
        <v>3147548</v>
      </c>
    </row>
    <row r="5" spans="1:38" s="262" customFormat="1" ht="15" customHeight="1" x14ac:dyDescent="0.2">
      <c r="A5" s="168" t="s">
        <v>111</v>
      </c>
      <c r="B5" s="391" t="s">
        <v>101</v>
      </c>
      <c r="C5" s="391" t="s">
        <v>92</v>
      </c>
      <c r="D5" s="391" t="s">
        <v>92</v>
      </c>
      <c r="E5" s="3" t="s">
        <v>102</v>
      </c>
      <c r="F5" s="11" t="s">
        <v>92</v>
      </c>
      <c r="G5" s="391">
        <v>1</v>
      </c>
      <c r="H5" s="391">
        <v>40</v>
      </c>
      <c r="I5" s="391">
        <v>40</v>
      </c>
      <c r="J5" s="391" t="s">
        <v>103</v>
      </c>
      <c r="K5" s="262" t="s">
        <v>104</v>
      </c>
      <c r="L5" s="262" t="s">
        <v>105</v>
      </c>
      <c r="M5" s="22" t="s">
        <v>86</v>
      </c>
      <c r="N5" s="22" t="s">
        <v>86</v>
      </c>
      <c r="O5" s="22" t="s">
        <v>86</v>
      </c>
      <c r="P5" s="22" t="s">
        <v>86</v>
      </c>
      <c r="Q5" s="91" t="s">
        <v>106</v>
      </c>
      <c r="R5" s="391">
        <f>SUMIF('Lançamento de Cabos'!$B:$B,Tabela1[[#This Row],[Tag do Cabo]],'Lançamento de Cabos'!$C:$C)</f>
        <v>40</v>
      </c>
      <c r="S5" s="391">
        <f>VLOOKUP(Tabela1[[#This Row],[Tag do Cabo]],'Diagramas Ligações'!A:V,14,0)</f>
        <v>2</v>
      </c>
      <c r="T5" s="262" t="s">
        <v>88</v>
      </c>
      <c r="U5" s="391">
        <v>5</v>
      </c>
      <c r="V5" s="391" t="s">
        <v>107</v>
      </c>
      <c r="W5" s="391" t="s">
        <v>89</v>
      </c>
      <c r="X5" s="32">
        <v>44177</v>
      </c>
      <c r="Y5" s="32">
        <v>44218</v>
      </c>
      <c r="Z5" s="3" t="s">
        <v>108</v>
      </c>
      <c r="AA5" s="45" t="s">
        <v>109</v>
      </c>
      <c r="AB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" s="262" t="s">
        <v>91</v>
      </c>
      <c r="AD5" s="391">
        <f>IF(Tabela1[[#This Row],[Qtde. Lançada]]&gt;Tabela1[[#This Row],[Comprimento Total]],Tabela1[[#This Row],[Qtde. Lançada]],Tabela1[[#This Row],[Comprimento Total]])</f>
        <v>40</v>
      </c>
      <c r="AE5" s="391" t="s">
        <v>92</v>
      </c>
      <c r="AF5" s="391" t="s">
        <v>82</v>
      </c>
      <c r="AG5" s="391">
        <f ca="1">SUMIF('Lançamento de Cabos'!AE:AK,Tabela1[[#This Row],[Tag do Cabo]],'Lançamento de Cabos'!AG:AG)</f>
        <v>0</v>
      </c>
      <c r="AH5" s="29">
        <f>IFERROR(VLOOKUP(Tabela1[[#This Row],[Tag do Cabo]],'Lançamento de Cabos'!AE:AK,7,0),0)</f>
        <v>0</v>
      </c>
      <c r="AI5" s="262" t="s">
        <v>98</v>
      </c>
      <c r="AJ5" s="212" t="s">
        <v>110</v>
      </c>
      <c r="AK5" s="46">
        <v>3147548</v>
      </c>
    </row>
    <row r="6" spans="1:38" s="262" customFormat="1" ht="15" customHeight="1" x14ac:dyDescent="0.2">
      <c r="A6" s="168" t="s">
        <v>112</v>
      </c>
      <c r="B6" s="391" t="s">
        <v>101</v>
      </c>
      <c r="C6" s="391" t="s">
        <v>92</v>
      </c>
      <c r="D6" s="391" t="s">
        <v>92</v>
      </c>
      <c r="E6" s="3" t="s">
        <v>102</v>
      </c>
      <c r="F6" s="11" t="s">
        <v>92</v>
      </c>
      <c r="G6" s="391">
        <v>1</v>
      </c>
      <c r="H6" s="391">
        <v>40</v>
      </c>
      <c r="I6" s="391">
        <v>40</v>
      </c>
      <c r="J6" s="391" t="s">
        <v>103</v>
      </c>
      <c r="K6" s="262" t="s">
        <v>104</v>
      </c>
      <c r="L6" s="262" t="s">
        <v>105</v>
      </c>
      <c r="M6" s="22" t="s">
        <v>86</v>
      </c>
      <c r="N6" s="22" t="s">
        <v>86</v>
      </c>
      <c r="O6" s="22" t="s">
        <v>86</v>
      </c>
      <c r="P6" s="22" t="s">
        <v>86</v>
      </c>
      <c r="Q6" s="91" t="s">
        <v>106</v>
      </c>
      <c r="R6" s="391">
        <f>SUMIF('Lançamento de Cabos'!$B:$B,Tabela1[[#This Row],[Tag do Cabo]],'Lançamento de Cabos'!$C:$C)</f>
        <v>40</v>
      </c>
      <c r="S6" s="391">
        <f>VLOOKUP(Tabela1[[#This Row],[Tag do Cabo]],'Diagramas Ligações'!A:V,14,0)</f>
        <v>2</v>
      </c>
      <c r="T6" s="262" t="s">
        <v>88</v>
      </c>
      <c r="U6" s="391">
        <v>5</v>
      </c>
      <c r="V6" s="391" t="s">
        <v>107</v>
      </c>
      <c r="W6" s="391" t="s">
        <v>89</v>
      </c>
      <c r="X6" s="32">
        <v>44177</v>
      </c>
      <c r="Y6" s="32">
        <v>44218</v>
      </c>
      <c r="Z6" s="3" t="s">
        <v>108</v>
      </c>
      <c r="AA6" s="45" t="s">
        <v>109</v>
      </c>
      <c r="AB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" s="262" t="s">
        <v>91</v>
      </c>
      <c r="AD6" s="391">
        <f>IF(Tabela1[[#This Row],[Qtde. Lançada]]&gt;Tabela1[[#This Row],[Comprimento Total]],Tabela1[[#This Row],[Qtde. Lançada]],Tabela1[[#This Row],[Comprimento Total]])</f>
        <v>40</v>
      </c>
      <c r="AE6" s="391" t="s">
        <v>92</v>
      </c>
      <c r="AF6" s="391" t="s">
        <v>82</v>
      </c>
      <c r="AG6" s="391">
        <f ca="1">SUMIF('Lançamento de Cabos'!AE:AK,Tabela1[[#This Row],[Tag do Cabo]],'Lançamento de Cabos'!AG:AG)</f>
        <v>0</v>
      </c>
      <c r="AH6" s="29">
        <f>IFERROR(VLOOKUP(Tabela1[[#This Row],[Tag do Cabo]],'Lançamento de Cabos'!AE:AK,7,0),0)</f>
        <v>0</v>
      </c>
      <c r="AI6" s="262" t="s">
        <v>98</v>
      </c>
      <c r="AJ6" s="212" t="s">
        <v>110</v>
      </c>
      <c r="AK6" s="46">
        <v>3147548</v>
      </c>
    </row>
    <row r="7" spans="1:38" s="262" customFormat="1" ht="15" customHeight="1" x14ac:dyDescent="0.2">
      <c r="A7" s="168" t="s">
        <v>113</v>
      </c>
      <c r="B7" s="391" t="s">
        <v>101</v>
      </c>
      <c r="C7" s="391" t="s">
        <v>92</v>
      </c>
      <c r="D7" s="391" t="s">
        <v>92</v>
      </c>
      <c r="E7" s="3" t="s">
        <v>102</v>
      </c>
      <c r="F7" s="11" t="s">
        <v>92</v>
      </c>
      <c r="G7" s="391">
        <v>1</v>
      </c>
      <c r="H7" s="391">
        <v>40</v>
      </c>
      <c r="I7" s="391">
        <v>40</v>
      </c>
      <c r="J7" s="391" t="s">
        <v>103</v>
      </c>
      <c r="K7" s="262" t="s">
        <v>104</v>
      </c>
      <c r="L7" s="262" t="s">
        <v>105</v>
      </c>
      <c r="M7" s="22" t="s">
        <v>86</v>
      </c>
      <c r="N7" s="22" t="s">
        <v>86</v>
      </c>
      <c r="O7" s="22" t="s">
        <v>86</v>
      </c>
      <c r="P7" s="22" t="s">
        <v>86</v>
      </c>
      <c r="Q7" s="91" t="s">
        <v>106</v>
      </c>
      <c r="R7" s="391">
        <f>SUMIF('Lançamento de Cabos'!$B:$B,Tabela1[[#This Row],[Tag do Cabo]],'Lançamento de Cabos'!$C:$C)</f>
        <v>40</v>
      </c>
      <c r="S7" s="391">
        <f>VLOOKUP(Tabela1[[#This Row],[Tag do Cabo]],'Diagramas Ligações'!A:V,14,0)</f>
        <v>2</v>
      </c>
      <c r="T7" s="262" t="s">
        <v>88</v>
      </c>
      <c r="U7" s="391">
        <v>5</v>
      </c>
      <c r="V7" s="391" t="s">
        <v>107</v>
      </c>
      <c r="W7" s="391" t="s">
        <v>89</v>
      </c>
      <c r="X7" s="32">
        <v>44177</v>
      </c>
      <c r="Y7" s="32">
        <v>44218</v>
      </c>
      <c r="Z7" s="3" t="s">
        <v>108</v>
      </c>
      <c r="AA7" s="45" t="s">
        <v>109</v>
      </c>
      <c r="AB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" s="262" t="s">
        <v>91</v>
      </c>
      <c r="AD7" s="391">
        <f>IF(Tabela1[[#This Row],[Qtde. Lançada]]&gt;Tabela1[[#This Row],[Comprimento Total]],Tabela1[[#This Row],[Qtde. Lançada]],Tabela1[[#This Row],[Comprimento Total]])</f>
        <v>40</v>
      </c>
      <c r="AE7" s="391" t="s">
        <v>92</v>
      </c>
      <c r="AF7" s="391" t="s">
        <v>82</v>
      </c>
      <c r="AG7" s="391">
        <f ca="1">SUMIF('Lançamento de Cabos'!AE:AK,Tabela1[[#This Row],[Tag do Cabo]],'Lançamento de Cabos'!AG:AG)</f>
        <v>0</v>
      </c>
      <c r="AH7" s="29">
        <f>IFERROR(VLOOKUP(Tabela1[[#This Row],[Tag do Cabo]],'Lançamento de Cabos'!AE:AK,7,0),0)</f>
        <v>0</v>
      </c>
      <c r="AI7" s="262" t="s">
        <v>98</v>
      </c>
      <c r="AJ7" s="212" t="s">
        <v>110</v>
      </c>
      <c r="AK7" s="46">
        <v>3147548</v>
      </c>
    </row>
    <row r="8" spans="1:38" s="262" customFormat="1" ht="15" customHeight="1" x14ac:dyDescent="0.2">
      <c r="A8" s="168" t="s">
        <v>114</v>
      </c>
      <c r="B8" s="391" t="s">
        <v>101</v>
      </c>
      <c r="C8" s="391" t="s">
        <v>92</v>
      </c>
      <c r="D8" s="391" t="s">
        <v>92</v>
      </c>
      <c r="E8" s="3" t="s">
        <v>102</v>
      </c>
      <c r="F8" s="11" t="s">
        <v>92</v>
      </c>
      <c r="G8" s="391">
        <v>1</v>
      </c>
      <c r="H8" s="391">
        <v>40</v>
      </c>
      <c r="I8" s="391">
        <v>40</v>
      </c>
      <c r="J8" s="391" t="s">
        <v>103</v>
      </c>
      <c r="K8" s="262" t="s">
        <v>104</v>
      </c>
      <c r="L8" s="262" t="s">
        <v>105</v>
      </c>
      <c r="M8" s="22" t="s">
        <v>86</v>
      </c>
      <c r="N8" s="22" t="s">
        <v>86</v>
      </c>
      <c r="O8" s="22" t="s">
        <v>86</v>
      </c>
      <c r="P8" s="22" t="s">
        <v>86</v>
      </c>
      <c r="Q8" s="91" t="s">
        <v>106</v>
      </c>
      <c r="R8" s="391">
        <f>SUMIF('Lançamento de Cabos'!$B:$B,Tabela1[[#This Row],[Tag do Cabo]],'Lançamento de Cabos'!$C:$C)</f>
        <v>40</v>
      </c>
      <c r="S8" s="391">
        <f>VLOOKUP(Tabela1[[#This Row],[Tag do Cabo]],'Diagramas Ligações'!A:V,14,0)</f>
        <v>2</v>
      </c>
      <c r="T8" s="262" t="s">
        <v>88</v>
      </c>
      <c r="U8" s="391">
        <v>5</v>
      </c>
      <c r="V8" s="391" t="s">
        <v>107</v>
      </c>
      <c r="W8" s="391" t="s">
        <v>89</v>
      </c>
      <c r="X8" s="32">
        <v>44177</v>
      </c>
      <c r="Y8" s="32">
        <v>44218</v>
      </c>
      <c r="Z8" s="3" t="s">
        <v>108</v>
      </c>
      <c r="AA8" s="45" t="s">
        <v>109</v>
      </c>
      <c r="AB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" s="262" t="s">
        <v>91</v>
      </c>
      <c r="AD8" s="391">
        <f>IF(Tabela1[[#This Row],[Qtde. Lançada]]&gt;Tabela1[[#This Row],[Comprimento Total]],Tabela1[[#This Row],[Qtde. Lançada]],Tabela1[[#This Row],[Comprimento Total]])</f>
        <v>40</v>
      </c>
      <c r="AE8" s="391" t="s">
        <v>92</v>
      </c>
      <c r="AF8" s="391" t="s">
        <v>82</v>
      </c>
      <c r="AG8" s="391">
        <f ca="1">SUMIF('Lançamento de Cabos'!AE:AK,Tabela1[[#This Row],[Tag do Cabo]],'Lançamento de Cabos'!AG:AG)</f>
        <v>0</v>
      </c>
      <c r="AH8" s="29">
        <f>IFERROR(VLOOKUP(Tabela1[[#This Row],[Tag do Cabo]],'Lançamento de Cabos'!AE:AK,7,0),0)</f>
        <v>0</v>
      </c>
      <c r="AI8" s="262" t="s">
        <v>98</v>
      </c>
      <c r="AJ8" s="212" t="s">
        <v>110</v>
      </c>
      <c r="AK8" s="46">
        <v>3147548</v>
      </c>
    </row>
    <row r="9" spans="1:38" s="262" customFormat="1" ht="15" customHeight="1" x14ac:dyDescent="0.2">
      <c r="A9" s="168" t="s">
        <v>115</v>
      </c>
      <c r="B9" s="391" t="s">
        <v>37</v>
      </c>
      <c r="C9" s="391">
        <v>127</v>
      </c>
      <c r="D9" s="391" t="s">
        <v>80</v>
      </c>
      <c r="E9" s="3" t="s">
        <v>81</v>
      </c>
      <c r="F9" s="11">
        <v>4</v>
      </c>
      <c r="G9" s="391">
        <v>1</v>
      </c>
      <c r="H9" s="391">
        <v>40</v>
      </c>
      <c r="I9" s="391">
        <v>40</v>
      </c>
      <c r="J9" s="391" t="s">
        <v>82</v>
      </c>
      <c r="K9" s="262" t="s">
        <v>116</v>
      </c>
      <c r="L9" s="262" t="s">
        <v>117</v>
      </c>
      <c r="M9" s="22" t="s">
        <v>85</v>
      </c>
      <c r="N9" s="22" t="s">
        <v>86</v>
      </c>
      <c r="O9" s="391" t="str">
        <f>"Sim"</f>
        <v>Sim</v>
      </c>
      <c r="P9" s="22" t="s">
        <v>86</v>
      </c>
      <c r="Q9" s="91" t="s">
        <v>87</v>
      </c>
      <c r="R9" s="391">
        <f>SUMIF('Lançamento de Cabos'!$B:$B,Tabela1[[#This Row],[Tag do Cabo]],'Lançamento de Cabos'!$C:$C)</f>
        <v>40</v>
      </c>
      <c r="S9" s="391">
        <f>VLOOKUP(Tabela1[[#This Row],[Tag do Cabo]],'Diagramas Ligações'!A:V,14,0)</f>
        <v>4</v>
      </c>
      <c r="T9" s="262" t="s">
        <v>88</v>
      </c>
      <c r="U9" s="391">
        <v>5</v>
      </c>
      <c r="V9" s="391"/>
      <c r="W9" s="391" t="s">
        <v>89</v>
      </c>
      <c r="X9" s="32">
        <v>44177</v>
      </c>
      <c r="Y9" s="32">
        <v>44218</v>
      </c>
      <c r="Z9" s="3" t="s">
        <v>90</v>
      </c>
      <c r="AA9" s="45">
        <v>72</v>
      </c>
      <c r="AB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" s="262" t="s">
        <v>91</v>
      </c>
      <c r="AD9" s="391">
        <f>IF(Tabela1[[#This Row],[Qtde. Lançada]]&gt;Tabela1[[#This Row],[Comprimento Total]],Tabela1[[#This Row],[Qtde. Lançada]],Tabela1[[#This Row],[Comprimento Total]])</f>
        <v>40</v>
      </c>
      <c r="AE9" s="391" t="s">
        <v>92</v>
      </c>
      <c r="AF9" s="391" t="s">
        <v>82</v>
      </c>
      <c r="AG9" s="391">
        <f ca="1">SUMIF('Lançamento de Cabos'!AE:AK,Tabela1[[#This Row],[Tag do Cabo]],'Lançamento de Cabos'!AG:AG)</f>
        <v>0</v>
      </c>
      <c r="AH9" s="29">
        <f>IFERROR(VLOOKUP(Tabela1[[#This Row],[Tag do Cabo]],'Lançamento de Cabos'!AE:AK,7,0),0)</f>
        <v>0</v>
      </c>
      <c r="AI9" s="262" t="s">
        <v>94</v>
      </c>
      <c r="AJ9" s="212" t="s">
        <v>95</v>
      </c>
      <c r="AK9" s="46">
        <v>330260</v>
      </c>
    </row>
    <row r="10" spans="1:38" s="262" customFormat="1" ht="15" customHeight="1" x14ac:dyDescent="0.2">
      <c r="A10" s="168" t="s">
        <v>118</v>
      </c>
      <c r="B10" s="391" t="s">
        <v>37</v>
      </c>
      <c r="C10" s="391">
        <v>127</v>
      </c>
      <c r="D10" s="391" t="s">
        <v>80</v>
      </c>
      <c r="E10" s="3" t="s">
        <v>81</v>
      </c>
      <c r="F10" s="11">
        <v>4</v>
      </c>
      <c r="G10" s="391">
        <v>1</v>
      </c>
      <c r="H10" s="391">
        <v>40</v>
      </c>
      <c r="I10" s="391">
        <v>40</v>
      </c>
      <c r="J10" s="391" t="s">
        <v>82</v>
      </c>
      <c r="K10" s="262" t="s">
        <v>116</v>
      </c>
      <c r="L10" s="262" t="s">
        <v>97</v>
      </c>
      <c r="M10" s="22" t="s">
        <v>85</v>
      </c>
      <c r="N10" s="22" t="s">
        <v>86</v>
      </c>
      <c r="O10" s="391" t="str">
        <f>"Sim"</f>
        <v>Sim</v>
      </c>
      <c r="P10" s="22" t="s">
        <v>86</v>
      </c>
      <c r="Q10" s="91" t="s">
        <v>87</v>
      </c>
      <c r="R10" s="391">
        <f>SUMIF('Lançamento de Cabos'!$B:$B,Tabela1[[#This Row],[Tag do Cabo]],'Lançamento de Cabos'!$C:$C)</f>
        <v>40</v>
      </c>
      <c r="S10" s="391">
        <f>VLOOKUP(Tabela1[[#This Row],[Tag do Cabo]],'Diagramas Ligações'!A:V,14,0)</f>
        <v>4</v>
      </c>
      <c r="T10" s="262" t="s">
        <v>88</v>
      </c>
      <c r="U10" s="391">
        <v>5</v>
      </c>
      <c r="V10" s="391"/>
      <c r="W10" s="391" t="s">
        <v>89</v>
      </c>
      <c r="X10" s="32">
        <v>44177</v>
      </c>
      <c r="Y10" s="32">
        <v>44218</v>
      </c>
      <c r="Z10" s="3" t="s">
        <v>90</v>
      </c>
      <c r="AA10" s="45">
        <v>72</v>
      </c>
      <c r="AB1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" s="262" t="s">
        <v>91</v>
      </c>
      <c r="AD10" s="391">
        <f>IF(Tabela1[[#This Row],[Qtde. Lançada]]&gt;Tabela1[[#This Row],[Comprimento Total]],Tabela1[[#This Row],[Qtde. Lançada]],Tabela1[[#This Row],[Comprimento Total]])</f>
        <v>40</v>
      </c>
      <c r="AE10" s="391" t="s">
        <v>92</v>
      </c>
      <c r="AF10" s="391" t="s">
        <v>82</v>
      </c>
      <c r="AG10" s="391">
        <f ca="1">SUMIF('Lançamento de Cabos'!AE:AK,Tabela1[[#This Row],[Tag do Cabo]],'Lançamento de Cabos'!AG:AG)</f>
        <v>0</v>
      </c>
      <c r="AH10" s="29">
        <f>IFERROR(VLOOKUP(Tabela1[[#This Row],[Tag do Cabo]],'Lançamento de Cabos'!AE:AK,7,0),0)</f>
        <v>0</v>
      </c>
      <c r="AI10" s="262" t="s">
        <v>98</v>
      </c>
      <c r="AJ10" s="212" t="s">
        <v>99</v>
      </c>
      <c r="AK10" s="46">
        <v>330260</v>
      </c>
    </row>
    <row r="11" spans="1:38" s="262" customFormat="1" ht="15" customHeight="1" x14ac:dyDescent="0.2">
      <c r="A11" s="168" t="s">
        <v>119</v>
      </c>
      <c r="B11" s="391" t="s">
        <v>37</v>
      </c>
      <c r="C11" s="391">
        <v>13800</v>
      </c>
      <c r="D11" s="391" t="s">
        <v>120</v>
      </c>
      <c r="E11" s="3" t="s">
        <v>121</v>
      </c>
      <c r="F11" s="11">
        <v>150</v>
      </c>
      <c r="G11" s="391">
        <v>18</v>
      </c>
      <c r="H11" s="391">
        <v>30</v>
      </c>
      <c r="I11" s="391">
        <v>540</v>
      </c>
      <c r="J11" s="391" t="s">
        <v>82</v>
      </c>
      <c r="K11" s="262" t="s">
        <v>122</v>
      </c>
      <c r="L11" s="262" t="s">
        <v>123</v>
      </c>
      <c r="M11" s="22" t="s">
        <v>85</v>
      </c>
      <c r="N11" s="22" t="s">
        <v>86</v>
      </c>
      <c r="O11" s="391" t="s">
        <v>85</v>
      </c>
      <c r="P11" s="391" t="s">
        <v>85</v>
      </c>
      <c r="Q11" s="391" t="s">
        <v>124</v>
      </c>
      <c r="R11" s="23">
        <f>SUMIF('Lançamento de Cabos'!$B:$B,Tabela1[[#This Row],[Tag do Cabo]],'Lançamento de Cabos'!$C:$C)</f>
        <v>0</v>
      </c>
      <c r="S11" s="391">
        <f>VLOOKUP(Tabela1[[#This Row],[Tag do Cabo]],'Diagramas Ligações'!A:V,14,0)</f>
        <v>36</v>
      </c>
      <c r="T11" s="262" t="s">
        <v>88</v>
      </c>
      <c r="U11" s="391">
        <v>5</v>
      </c>
      <c r="V11" s="391"/>
      <c r="W11" s="391" t="s">
        <v>89</v>
      </c>
      <c r="X11" s="32">
        <v>44177</v>
      </c>
      <c r="Y11" s="32">
        <v>44218</v>
      </c>
      <c r="Z11" s="31" t="s">
        <v>125</v>
      </c>
      <c r="AA11" s="45"/>
      <c r="AB1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C11" s="262" t="s">
        <v>91</v>
      </c>
      <c r="AD11" s="391">
        <f>IF(Tabela1[[#This Row],[Qtde. Lançada]]&gt;Tabela1[[#This Row],[Comprimento Total]],Tabela1[[#This Row],[Qtde. Lançada]],Tabela1[[#This Row],[Comprimento Total]])</f>
        <v>540</v>
      </c>
      <c r="AE11" s="391" t="s">
        <v>92</v>
      </c>
      <c r="AF11" s="391" t="s">
        <v>82</v>
      </c>
      <c r="AG11" s="391">
        <f ca="1">SUMIF('Lançamento de Cabos'!AE:AK,Tabela1[[#This Row],[Tag do Cabo]],'Lançamento de Cabos'!AG:AG)</f>
        <v>0</v>
      </c>
      <c r="AH11" s="29">
        <f>IFERROR(VLOOKUP(Tabela1[[#This Row],[Tag do Cabo]],'Lançamento de Cabos'!AE:AK,7,0),0)</f>
        <v>0</v>
      </c>
      <c r="AI11" s="262" t="s">
        <v>94</v>
      </c>
      <c r="AJ11" s="212" t="s">
        <v>126</v>
      </c>
      <c r="AK11" s="46">
        <v>919525</v>
      </c>
    </row>
    <row r="12" spans="1:38" s="262" customFormat="1" ht="15" customHeight="1" x14ac:dyDescent="0.2">
      <c r="A12" s="168" t="s">
        <v>127</v>
      </c>
      <c r="B12" s="391" t="s">
        <v>37</v>
      </c>
      <c r="C12" s="391">
        <v>13800</v>
      </c>
      <c r="D12" s="391" t="s">
        <v>120</v>
      </c>
      <c r="E12" s="3" t="s">
        <v>128</v>
      </c>
      <c r="F12" s="11">
        <v>120</v>
      </c>
      <c r="G12" s="391">
        <v>9</v>
      </c>
      <c r="H12" s="391">
        <v>40</v>
      </c>
      <c r="I12" s="391">
        <v>360</v>
      </c>
      <c r="J12" s="391" t="s">
        <v>82</v>
      </c>
      <c r="K12" s="262" t="s">
        <v>129</v>
      </c>
      <c r="L12" s="262" t="s">
        <v>130</v>
      </c>
      <c r="M12" s="22" t="s">
        <v>85</v>
      </c>
      <c r="N12" s="22" t="s">
        <v>86</v>
      </c>
      <c r="O12" s="391" t="s">
        <v>85</v>
      </c>
      <c r="P12" s="391" t="s">
        <v>85</v>
      </c>
      <c r="Q12" s="391" t="s">
        <v>124</v>
      </c>
      <c r="R12" s="23">
        <f>SUMIF('Lançamento de Cabos'!$B:$B,Tabela1[[#This Row],[Tag do Cabo]],'Lançamento de Cabos'!$C:$C)</f>
        <v>0</v>
      </c>
      <c r="S12" s="391">
        <f>VLOOKUP(Tabela1[[#This Row],[Tag do Cabo]],'Diagramas Ligações'!A:V,14,0)</f>
        <v>18</v>
      </c>
      <c r="T12" s="262" t="s">
        <v>88</v>
      </c>
      <c r="U12" s="391">
        <v>5</v>
      </c>
      <c r="V12" s="391"/>
      <c r="W12" s="391" t="s">
        <v>92</v>
      </c>
      <c r="X12" s="32">
        <v>44231</v>
      </c>
      <c r="Y12" s="32">
        <v>44256</v>
      </c>
      <c r="Z12" s="31" t="s">
        <v>125</v>
      </c>
      <c r="AA12" s="45"/>
      <c r="AB1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C12" s="262" t="s">
        <v>91</v>
      </c>
      <c r="AD12" s="23">
        <f>IF(Tabela1[[#This Row],[Qtde. Lançada]]&gt;Tabela1[[#This Row],[Comprimento Total]],Tabela1[[#This Row],[Qtde. Lançada]],Tabela1[[#This Row],[Comprimento Total]])</f>
        <v>360</v>
      </c>
      <c r="AE12" s="391" t="s">
        <v>92</v>
      </c>
      <c r="AF12" s="391" t="s">
        <v>82</v>
      </c>
      <c r="AG12" s="391">
        <f ca="1">SUMIF('Lançamento de Cabos'!AE:AK,Tabela1[[#This Row],[Tag do Cabo]],'Lançamento de Cabos'!AG:AG)</f>
        <v>0</v>
      </c>
      <c r="AH12" s="29">
        <f>IFERROR(VLOOKUP(Tabela1[[#This Row],[Tag do Cabo]],'Lançamento de Cabos'!AE:AK,7,0),0)</f>
        <v>0</v>
      </c>
      <c r="AI12" s="262" t="s">
        <v>94</v>
      </c>
      <c r="AJ12" s="212" t="s">
        <v>126</v>
      </c>
      <c r="AK12" s="46">
        <v>334119</v>
      </c>
    </row>
    <row r="13" spans="1:38" s="262" customFormat="1" ht="15" customHeight="1" x14ac:dyDescent="0.2">
      <c r="A13" s="168" t="s">
        <v>131</v>
      </c>
      <c r="B13" s="391" t="s">
        <v>37</v>
      </c>
      <c r="C13" s="391">
        <v>13800</v>
      </c>
      <c r="D13" s="391" t="s">
        <v>120</v>
      </c>
      <c r="E13" s="3" t="s">
        <v>132</v>
      </c>
      <c r="F13" s="11">
        <v>120</v>
      </c>
      <c r="G13" s="391">
        <v>3</v>
      </c>
      <c r="H13" s="391">
        <v>20</v>
      </c>
      <c r="I13" s="391">
        <v>60</v>
      </c>
      <c r="J13" s="391" t="s">
        <v>82</v>
      </c>
      <c r="K13" s="262" t="s">
        <v>133</v>
      </c>
      <c r="L13" s="262" t="s">
        <v>134</v>
      </c>
      <c r="M13" s="22" t="s">
        <v>85</v>
      </c>
      <c r="N13" s="22" t="s">
        <v>86</v>
      </c>
      <c r="O13" s="391" t="s">
        <v>85</v>
      </c>
      <c r="P13" s="391" t="s">
        <v>85</v>
      </c>
      <c r="Q13" s="391" t="s">
        <v>124</v>
      </c>
      <c r="R13" s="23">
        <f>SUMIF('Lançamento de Cabos'!$B:$B,Tabela1[[#This Row],[Tag do Cabo]],'Lançamento de Cabos'!$C:$C)</f>
        <v>0</v>
      </c>
      <c r="S13" s="391">
        <f>VLOOKUP(Tabela1[[#This Row],[Tag do Cabo]],'Diagramas Ligações'!A:V,14,0)</f>
        <v>3</v>
      </c>
      <c r="T13" s="262" t="s">
        <v>88</v>
      </c>
      <c r="U13" s="391">
        <v>5</v>
      </c>
      <c r="V13" s="391"/>
      <c r="W13" s="391" t="s">
        <v>92</v>
      </c>
      <c r="X13" s="32">
        <v>44231</v>
      </c>
      <c r="Y13" s="32">
        <v>44256</v>
      </c>
      <c r="Z13" s="31" t="s">
        <v>125</v>
      </c>
      <c r="AA13" s="45"/>
      <c r="AB13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C13" s="262" t="s">
        <v>91</v>
      </c>
      <c r="AD13" s="23">
        <f>IF(Tabela1[[#This Row],[Qtde. Lançada]]&gt;Tabela1[[#This Row],[Comprimento Total]],Tabela1[[#This Row],[Qtde. Lançada]],Tabela1[[#This Row],[Comprimento Total]])</f>
        <v>60</v>
      </c>
      <c r="AE13" s="391" t="s">
        <v>92</v>
      </c>
      <c r="AF13" s="391" t="s">
        <v>82</v>
      </c>
      <c r="AG13" s="391">
        <f ca="1">SUMIF('Lançamento de Cabos'!AE:AK,Tabela1[[#This Row],[Tag do Cabo]],'Lançamento de Cabos'!AG:AG)</f>
        <v>0</v>
      </c>
      <c r="AH13" s="29">
        <f>IFERROR(VLOOKUP(Tabela1[[#This Row],[Tag do Cabo]],'Lançamento de Cabos'!AE:AK,7,0),0)</f>
        <v>0</v>
      </c>
      <c r="AI13" s="262" t="s">
        <v>94</v>
      </c>
      <c r="AJ13" s="212" t="s">
        <v>126</v>
      </c>
      <c r="AK13" s="46">
        <v>919986</v>
      </c>
    </row>
    <row r="14" spans="1:38" s="262" customFormat="1" ht="15" customHeight="1" x14ac:dyDescent="0.2">
      <c r="A14" s="168" t="s">
        <v>135</v>
      </c>
      <c r="B14" s="391" t="s">
        <v>38</v>
      </c>
      <c r="C14" s="45">
        <v>127</v>
      </c>
      <c r="D14" s="45" t="s">
        <v>80</v>
      </c>
      <c r="E14" s="3" t="s">
        <v>136</v>
      </c>
      <c r="F14" s="11">
        <v>2.5</v>
      </c>
      <c r="G14" s="391">
        <v>1</v>
      </c>
      <c r="H14" s="391">
        <v>40</v>
      </c>
      <c r="I14" s="391">
        <v>40</v>
      </c>
      <c r="J14" s="391" t="s">
        <v>82</v>
      </c>
      <c r="K14" s="262" t="s">
        <v>137</v>
      </c>
      <c r="L14" s="262" t="s">
        <v>138</v>
      </c>
      <c r="M14" s="22" t="s">
        <v>85</v>
      </c>
      <c r="N14" s="391" t="str">
        <f t="shared" ref="N14:N19" si="0">"Sim"</f>
        <v>Sim</v>
      </c>
      <c r="O14" s="22" t="s">
        <v>86</v>
      </c>
      <c r="P14" s="22" t="s">
        <v>86</v>
      </c>
      <c r="Q14" s="91" t="s">
        <v>139</v>
      </c>
      <c r="R14" s="391">
        <f>SUMIF('Lançamento de Cabos'!$B:$B,Tabela1[[#This Row],[Tag do Cabo]],'Lançamento de Cabos'!$C:$C)</f>
        <v>53</v>
      </c>
      <c r="S14" s="391">
        <f>VLOOKUP(Tabela1[[#This Row],[Tag do Cabo]],'Diagramas Ligações'!A:V,14,0)</f>
        <v>24</v>
      </c>
      <c r="T14" s="262" t="s">
        <v>88</v>
      </c>
      <c r="U14" s="391">
        <v>5</v>
      </c>
      <c r="V14" s="391" t="s">
        <v>140</v>
      </c>
      <c r="W14" s="391" t="s">
        <v>89</v>
      </c>
      <c r="X14" s="32">
        <v>44177</v>
      </c>
      <c r="Y14" s="32">
        <v>44218</v>
      </c>
      <c r="Z14" s="3" t="s">
        <v>108</v>
      </c>
      <c r="AA14" s="45">
        <v>215</v>
      </c>
      <c r="AB1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" s="262" t="s">
        <v>91</v>
      </c>
      <c r="AD14" s="391">
        <f>IF(Tabela1[[#This Row],[Qtde. Lançada]]&gt;Tabela1[[#This Row],[Comprimento Total]],Tabela1[[#This Row],[Qtde. Lançada]],Tabela1[[#This Row],[Comprimento Total]])</f>
        <v>53</v>
      </c>
      <c r="AE14" s="391" t="s">
        <v>92</v>
      </c>
      <c r="AF14" s="391" t="s">
        <v>82</v>
      </c>
      <c r="AG14" s="391">
        <f ca="1">SUMIF('Lançamento de Cabos'!AE:AK,Tabela1[[#This Row],[Tag do Cabo]],'Lançamento de Cabos'!AG:AG)</f>
        <v>0</v>
      </c>
      <c r="AH14" s="29">
        <f>IFERROR(VLOOKUP(Tabela1[[#This Row],[Tag do Cabo]],'Lançamento de Cabos'!AE:AK,7,0),0)</f>
        <v>0</v>
      </c>
      <c r="AI14" s="262" t="s">
        <v>94</v>
      </c>
      <c r="AJ14" s="212" t="s">
        <v>141</v>
      </c>
      <c r="AK14" s="46">
        <v>9044579</v>
      </c>
    </row>
    <row r="15" spans="1:38" s="262" customFormat="1" ht="15" customHeight="1" x14ac:dyDescent="0.2">
      <c r="A15" s="168" t="s">
        <v>142</v>
      </c>
      <c r="B15" s="391" t="s">
        <v>38</v>
      </c>
      <c r="C15" s="45">
        <v>127</v>
      </c>
      <c r="D15" s="45" t="s">
        <v>80</v>
      </c>
      <c r="E15" s="3" t="s">
        <v>136</v>
      </c>
      <c r="F15" s="11">
        <v>2.5</v>
      </c>
      <c r="G15" s="391">
        <v>1</v>
      </c>
      <c r="H15" s="391">
        <v>40</v>
      </c>
      <c r="I15" s="391">
        <v>40</v>
      </c>
      <c r="J15" s="391" t="s">
        <v>82</v>
      </c>
      <c r="K15" s="262" t="s">
        <v>137</v>
      </c>
      <c r="L15" s="262" t="s">
        <v>138</v>
      </c>
      <c r="M15" s="22" t="s">
        <v>85</v>
      </c>
      <c r="N15" s="391" t="str">
        <f t="shared" si="0"/>
        <v>Sim</v>
      </c>
      <c r="O15" s="22" t="s">
        <v>86</v>
      </c>
      <c r="P15" s="22" t="s">
        <v>86</v>
      </c>
      <c r="Q15" s="91" t="s">
        <v>139</v>
      </c>
      <c r="R15" s="391">
        <f>SUMIF('Lançamento de Cabos'!$B:$B,Tabela1[[#This Row],[Tag do Cabo]],'Lançamento de Cabos'!$C:$C)</f>
        <v>53</v>
      </c>
      <c r="S15" s="391">
        <f>VLOOKUP(Tabela1[[#This Row],[Tag do Cabo]],'Diagramas Ligações'!A:V,14,0)</f>
        <v>24</v>
      </c>
      <c r="T15" s="262" t="s">
        <v>88</v>
      </c>
      <c r="U15" s="391">
        <v>5</v>
      </c>
      <c r="V15" s="391" t="s">
        <v>140</v>
      </c>
      <c r="W15" s="391" t="s">
        <v>89</v>
      </c>
      <c r="X15" s="32">
        <v>44177</v>
      </c>
      <c r="Y15" s="32">
        <v>44218</v>
      </c>
      <c r="Z15" s="3" t="s">
        <v>108</v>
      </c>
      <c r="AA15" s="45">
        <v>215</v>
      </c>
      <c r="AB1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" s="262" t="s">
        <v>91</v>
      </c>
      <c r="AD15" s="391">
        <f>IF(Tabela1[[#This Row],[Qtde. Lançada]]&gt;Tabela1[[#This Row],[Comprimento Total]],Tabela1[[#This Row],[Qtde. Lançada]],Tabela1[[#This Row],[Comprimento Total]])</f>
        <v>53</v>
      </c>
      <c r="AE15" s="391" t="s">
        <v>92</v>
      </c>
      <c r="AF15" s="391" t="s">
        <v>82</v>
      </c>
      <c r="AG15" s="391">
        <f ca="1">SUMIF('Lançamento de Cabos'!AE:AK,Tabela1[[#This Row],[Tag do Cabo]],'Lançamento de Cabos'!AG:AG)</f>
        <v>0</v>
      </c>
      <c r="AH15" s="29">
        <f>IFERROR(VLOOKUP(Tabela1[[#This Row],[Tag do Cabo]],'Lançamento de Cabos'!AE:AK,7,0),0)</f>
        <v>0</v>
      </c>
      <c r="AI15" s="262" t="s">
        <v>94</v>
      </c>
      <c r="AJ15" s="212" t="s">
        <v>141</v>
      </c>
      <c r="AK15" s="46">
        <v>9044579</v>
      </c>
    </row>
    <row r="16" spans="1:38" s="262" customFormat="1" ht="15" customHeight="1" x14ac:dyDescent="0.2">
      <c r="A16" s="168" t="s">
        <v>143</v>
      </c>
      <c r="B16" s="391" t="s">
        <v>38</v>
      </c>
      <c r="C16" s="45">
        <v>127</v>
      </c>
      <c r="D16" s="45" t="s">
        <v>80</v>
      </c>
      <c r="E16" s="3" t="s">
        <v>136</v>
      </c>
      <c r="F16" s="11">
        <v>2.5</v>
      </c>
      <c r="G16" s="391">
        <v>1</v>
      </c>
      <c r="H16" s="391">
        <v>40</v>
      </c>
      <c r="I16" s="391">
        <v>40</v>
      </c>
      <c r="J16" s="391" t="s">
        <v>82</v>
      </c>
      <c r="K16" s="262" t="s">
        <v>137</v>
      </c>
      <c r="L16" s="262" t="s">
        <v>138</v>
      </c>
      <c r="M16" s="22" t="s">
        <v>85</v>
      </c>
      <c r="N16" s="391" t="str">
        <f t="shared" si="0"/>
        <v>Sim</v>
      </c>
      <c r="O16" s="22" t="s">
        <v>86</v>
      </c>
      <c r="P16" s="22" t="s">
        <v>86</v>
      </c>
      <c r="Q16" s="91" t="s">
        <v>139</v>
      </c>
      <c r="R16" s="391">
        <f>SUMIF('Lançamento de Cabos'!$B:$B,Tabela1[[#This Row],[Tag do Cabo]],'Lançamento de Cabos'!$C:$C)</f>
        <v>53</v>
      </c>
      <c r="S16" s="391">
        <f>VLOOKUP(Tabela1[[#This Row],[Tag do Cabo]],'Diagramas Ligações'!A:V,14,0)</f>
        <v>24</v>
      </c>
      <c r="T16" s="262" t="s">
        <v>88</v>
      </c>
      <c r="U16" s="391">
        <v>5</v>
      </c>
      <c r="V16" s="391" t="s">
        <v>140</v>
      </c>
      <c r="W16" s="391" t="s">
        <v>89</v>
      </c>
      <c r="X16" s="32">
        <v>44177</v>
      </c>
      <c r="Y16" s="32">
        <v>44218</v>
      </c>
      <c r="Z16" s="3" t="s">
        <v>108</v>
      </c>
      <c r="AA16" s="45">
        <v>215</v>
      </c>
      <c r="AB1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" s="262" t="s">
        <v>91</v>
      </c>
      <c r="AD16" s="391">
        <f>IF(Tabela1[[#This Row],[Qtde. Lançada]]&gt;Tabela1[[#This Row],[Comprimento Total]],Tabela1[[#This Row],[Qtde. Lançada]],Tabela1[[#This Row],[Comprimento Total]])</f>
        <v>53</v>
      </c>
      <c r="AE16" s="391" t="s">
        <v>92</v>
      </c>
      <c r="AF16" s="391" t="s">
        <v>82</v>
      </c>
      <c r="AG16" s="391">
        <f ca="1">SUMIF('Lançamento de Cabos'!AE:AK,Tabela1[[#This Row],[Tag do Cabo]],'Lançamento de Cabos'!AG:AG)</f>
        <v>0</v>
      </c>
      <c r="AH16" s="29">
        <f>IFERROR(VLOOKUP(Tabela1[[#This Row],[Tag do Cabo]],'Lançamento de Cabos'!AE:AK,7,0),0)</f>
        <v>0</v>
      </c>
      <c r="AI16" s="262" t="s">
        <v>94</v>
      </c>
      <c r="AJ16" s="212" t="s">
        <v>141</v>
      </c>
      <c r="AK16" s="46">
        <v>9044579</v>
      </c>
    </row>
    <row r="17" spans="1:37" s="262" customFormat="1" ht="15" customHeight="1" x14ac:dyDescent="0.2">
      <c r="A17" s="168" t="s">
        <v>144</v>
      </c>
      <c r="B17" s="391" t="s">
        <v>38</v>
      </c>
      <c r="C17" s="391">
        <v>125</v>
      </c>
      <c r="D17" s="391" t="s">
        <v>80</v>
      </c>
      <c r="E17" s="3" t="s">
        <v>145</v>
      </c>
      <c r="F17" s="11">
        <v>2.5</v>
      </c>
      <c r="G17" s="391">
        <v>1</v>
      </c>
      <c r="H17" s="391">
        <v>30</v>
      </c>
      <c r="I17" s="391">
        <v>30</v>
      </c>
      <c r="J17" s="391" t="s">
        <v>82</v>
      </c>
      <c r="K17" s="262" t="s">
        <v>146</v>
      </c>
      <c r="L17" s="262" t="s">
        <v>147</v>
      </c>
      <c r="M17" s="22" t="s">
        <v>85</v>
      </c>
      <c r="N17" s="391" t="str">
        <f t="shared" si="0"/>
        <v>Sim</v>
      </c>
      <c r="O17" s="22" t="s">
        <v>86</v>
      </c>
      <c r="P17" s="22" t="s">
        <v>86</v>
      </c>
      <c r="Q17" s="91" t="s">
        <v>139</v>
      </c>
      <c r="R17" s="391">
        <f>SUMIF('Lançamento de Cabos'!$B:$B,Tabela1[[#This Row],[Tag do Cabo]],'Lançamento de Cabos'!$C:$C)</f>
        <v>42</v>
      </c>
      <c r="S17" s="391">
        <f>VLOOKUP(Tabela1[[#This Row],[Tag do Cabo]],'Diagramas Ligações'!A:V,14,0)</f>
        <v>14</v>
      </c>
      <c r="T17" s="262" t="s">
        <v>88</v>
      </c>
      <c r="U17" s="391">
        <v>5</v>
      </c>
      <c r="V17" s="391" t="s">
        <v>140</v>
      </c>
      <c r="W17" s="391" t="s">
        <v>89</v>
      </c>
      <c r="X17" s="32">
        <v>44177</v>
      </c>
      <c r="Y17" s="32">
        <v>44218</v>
      </c>
      <c r="Z17" s="3" t="s">
        <v>148</v>
      </c>
      <c r="AA17" s="45">
        <v>225</v>
      </c>
      <c r="AB1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" s="262" t="s">
        <v>91</v>
      </c>
      <c r="AD17" s="391">
        <f>IF(Tabela1[[#This Row],[Qtde. Lançada]]&gt;Tabela1[[#This Row],[Comprimento Total]],Tabela1[[#This Row],[Qtde. Lançada]],Tabela1[[#This Row],[Comprimento Total]])</f>
        <v>42</v>
      </c>
      <c r="AE17" s="391" t="s">
        <v>92</v>
      </c>
      <c r="AF17" s="391" t="s">
        <v>82</v>
      </c>
      <c r="AG17" s="391">
        <f ca="1">SUMIF('Lançamento de Cabos'!AE:AK,Tabela1[[#This Row],[Tag do Cabo]],'Lançamento de Cabos'!AG:AG)</f>
        <v>0</v>
      </c>
      <c r="AH17" s="29">
        <f>IFERROR(VLOOKUP(Tabela1[[#This Row],[Tag do Cabo]],'Lançamento de Cabos'!AE:AK,7,0),0)</f>
        <v>0</v>
      </c>
      <c r="AI17" s="262" t="s">
        <v>98</v>
      </c>
      <c r="AJ17" s="212" t="s">
        <v>149</v>
      </c>
      <c r="AK17" s="46">
        <v>49726</v>
      </c>
    </row>
    <row r="18" spans="1:37" s="262" customFormat="1" ht="15" customHeight="1" x14ac:dyDescent="0.2">
      <c r="A18" s="168" t="s">
        <v>150</v>
      </c>
      <c r="B18" s="391" t="s">
        <v>38</v>
      </c>
      <c r="C18" s="391">
        <v>125</v>
      </c>
      <c r="D18" s="391" t="s">
        <v>80</v>
      </c>
      <c r="E18" s="3" t="s">
        <v>145</v>
      </c>
      <c r="F18" s="11">
        <v>2.5</v>
      </c>
      <c r="G18" s="391">
        <v>1</v>
      </c>
      <c r="H18" s="391">
        <v>30</v>
      </c>
      <c r="I18" s="391">
        <v>30</v>
      </c>
      <c r="J18" s="391" t="s">
        <v>82</v>
      </c>
      <c r="K18" s="262" t="s">
        <v>146</v>
      </c>
      <c r="L18" s="262" t="s">
        <v>151</v>
      </c>
      <c r="M18" s="22" t="s">
        <v>85</v>
      </c>
      <c r="N18" s="391" t="str">
        <f t="shared" si="0"/>
        <v>Sim</v>
      </c>
      <c r="O18" s="22" t="s">
        <v>86</v>
      </c>
      <c r="P18" s="22" t="s">
        <v>86</v>
      </c>
      <c r="Q18" s="91" t="s">
        <v>139</v>
      </c>
      <c r="R18" s="391">
        <f>SUMIF('Lançamento de Cabos'!$B:$B,Tabela1[[#This Row],[Tag do Cabo]],'Lançamento de Cabos'!$C:$C)</f>
        <v>42</v>
      </c>
      <c r="S18" s="391">
        <f>VLOOKUP(Tabela1[[#This Row],[Tag do Cabo]],'Diagramas Ligações'!A:V,14,0)</f>
        <v>14</v>
      </c>
      <c r="T18" s="262" t="s">
        <v>88</v>
      </c>
      <c r="U18" s="391">
        <v>5</v>
      </c>
      <c r="V18" s="391" t="s">
        <v>140</v>
      </c>
      <c r="W18" s="391" t="s">
        <v>89</v>
      </c>
      <c r="X18" s="32">
        <v>44177</v>
      </c>
      <c r="Y18" s="32">
        <v>44218</v>
      </c>
      <c r="Z18" s="3" t="s">
        <v>148</v>
      </c>
      <c r="AA18" s="45">
        <v>225</v>
      </c>
      <c r="AB1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" s="262" t="s">
        <v>91</v>
      </c>
      <c r="AD18" s="391">
        <f>IF(Tabela1[[#This Row],[Qtde. Lançada]]&gt;Tabela1[[#This Row],[Comprimento Total]],Tabela1[[#This Row],[Qtde. Lançada]],Tabela1[[#This Row],[Comprimento Total]])</f>
        <v>42</v>
      </c>
      <c r="AE18" s="391" t="s">
        <v>92</v>
      </c>
      <c r="AF18" s="391" t="s">
        <v>82</v>
      </c>
      <c r="AG18" s="391">
        <f ca="1">SUMIF('Lançamento de Cabos'!AE:AK,Tabela1[[#This Row],[Tag do Cabo]],'Lançamento de Cabos'!AG:AG)</f>
        <v>0</v>
      </c>
      <c r="AH18" s="29">
        <f>IFERROR(VLOOKUP(Tabela1[[#This Row],[Tag do Cabo]],'Lançamento de Cabos'!AE:AK,7,0),0)</f>
        <v>0</v>
      </c>
      <c r="AI18" s="262" t="s">
        <v>98</v>
      </c>
      <c r="AJ18" s="212" t="s">
        <v>149</v>
      </c>
      <c r="AK18" s="46">
        <v>49726</v>
      </c>
    </row>
    <row r="19" spans="1:37" s="262" customFormat="1" ht="15" customHeight="1" x14ac:dyDescent="0.2">
      <c r="A19" s="168" t="s">
        <v>152</v>
      </c>
      <c r="B19" s="391" t="s">
        <v>38</v>
      </c>
      <c r="C19" s="391">
        <v>125</v>
      </c>
      <c r="D19" s="391" t="s">
        <v>80</v>
      </c>
      <c r="E19" s="3" t="s">
        <v>145</v>
      </c>
      <c r="F19" s="11">
        <v>2.5</v>
      </c>
      <c r="G19" s="391">
        <v>1</v>
      </c>
      <c r="H19" s="391">
        <v>30</v>
      </c>
      <c r="I19" s="391">
        <v>30</v>
      </c>
      <c r="J19" s="391" t="s">
        <v>82</v>
      </c>
      <c r="K19" s="262" t="s">
        <v>146</v>
      </c>
      <c r="L19" s="262" t="s">
        <v>153</v>
      </c>
      <c r="M19" s="22" t="s">
        <v>85</v>
      </c>
      <c r="N19" s="391" t="str">
        <f t="shared" si="0"/>
        <v>Sim</v>
      </c>
      <c r="O19" s="22" t="s">
        <v>86</v>
      </c>
      <c r="P19" s="22" t="s">
        <v>86</v>
      </c>
      <c r="Q19" s="91" t="s">
        <v>139</v>
      </c>
      <c r="R19" s="391">
        <f>SUMIF('Lançamento de Cabos'!$B:$B,Tabela1[[#This Row],[Tag do Cabo]],'Lançamento de Cabos'!$C:$C)</f>
        <v>42</v>
      </c>
      <c r="S19" s="391">
        <f>VLOOKUP(Tabela1[[#This Row],[Tag do Cabo]],'Diagramas Ligações'!A:V,14,0)</f>
        <v>14</v>
      </c>
      <c r="T19" s="262" t="s">
        <v>88</v>
      </c>
      <c r="U19" s="391">
        <v>5</v>
      </c>
      <c r="V19" s="391" t="s">
        <v>140</v>
      </c>
      <c r="W19" s="391" t="s">
        <v>89</v>
      </c>
      <c r="X19" s="32">
        <v>44177</v>
      </c>
      <c r="Y19" s="32">
        <v>44218</v>
      </c>
      <c r="Z19" s="3" t="s">
        <v>148</v>
      </c>
      <c r="AA19" s="45">
        <v>225</v>
      </c>
      <c r="AB1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" s="262" t="s">
        <v>91</v>
      </c>
      <c r="AD19" s="391">
        <f>IF(Tabela1[[#This Row],[Qtde. Lançada]]&gt;Tabela1[[#This Row],[Comprimento Total]],Tabela1[[#This Row],[Qtde. Lançada]],Tabela1[[#This Row],[Comprimento Total]])</f>
        <v>42</v>
      </c>
      <c r="AE19" s="391" t="s">
        <v>92</v>
      </c>
      <c r="AF19" s="391" t="s">
        <v>82</v>
      </c>
      <c r="AG19" s="391">
        <f ca="1">SUMIF('Lançamento de Cabos'!AE:AK,Tabela1[[#This Row],[Tag do Cabo]],'Lançamento de Cabos'!AG:AG)</f>
        <v>0</v>
      </c>
      <c r="AH19" s="29">
        <f>IFERROR(VLOOKUP(Tabela1[[#This Row],[Tag do Cabo]],'Lançamento de Cabos'!AE:AK,7,0),0)</f>
        <v>0</v>
      </c>
      <c r="AI19" s="262" t="s">
        <v>98</v>
      </c>
      <c r="AJ19" s="212" t="s">
        <v>149</v>
      </c>
      <c r="AK19" s="46">
        <v>49726</v>
      </c>
    </row>
    <row r="20" spans="1:37" s="262" customFormat="1" ht="15" customHeight="1" x14ac:dyDescent="0.2">
      <c r="A20" s="168" t="s">
        <v>154</v>
      </c>
      <c r="B20" s="391" t="s">
        <v>101</v>
      </c>
      <c r="C20" s="391" t="s">
        <v>92</v>
      </c>
      <c r="D20" s="391" t="s">
        <v>92</v>
      </c>
      <c r="E20" s="3" t="s">
        <v>102</v>
      </c>
      <c r="F20" s="11" t="s">
        <v>92</v>
      </c>
      <c r="G20" s="391">
        <v>1</v>
      </c>
      <c r="H20" s="391">
        <v>20</v>
      </c>
      <c r="I20" s="391">
        <v>20</v>
      </c>
      <c r="J20" s="391" t="s">
        <v>103</v>
      </c>
      <c r="K20" s="262" t="s">
        <v>105</v>
      </c>
      <c r="L20" s="262" t="s">
        <v>155</v>
      </c>
      <c r="M20" s="22" t="s">
        <v>86</v>
      </c>
      <c r="N20" s="22" t="s">
        <v>86</v>
      </c>
      <c r="O20" s="22" t="s">
        <v>86</v>
      </c>
      <c r="P20" s="22" t="s">
        <v>86</v>
      </c>
      <c r="Q20" s="391" t="s">
        <v>106</v>
      </c>
      <c r="R20" s="23">
        <f>SUMIF('Lançamento de Cabos'!$B:$B,Tabela1[[#This Row],[Tag do Cabo]],'Lançamento de Cabos'!$C:$C)</f>
        <v>0</v>
      </c>
      <c r="S20" s="23">
        <f>VLOOKUP(Tabela1[[#This Row],[Tag do Cabo]],'Diagramas Ligações'!A:V,14,0)</f>
        <v>2</v>
      </c>
      <c r="T20" s="262" t="s">
        <v>88</v>
      </c>
      <c r="U20" s="391">
        <v>5</v>
      </c>
      <c r="V20" s="391" t="s">
        <v>107</v>
      </c>
      <c r="W20" s="391" t="s">
        <v>92</v>
      </c>
      <c r="X20" s="32">
        <v>44256</v>
      </c>
      <c r="Y20" s="32">
        <v>44256</v>
      </c>
      <c r="Z20" s="31" t="s">
        <v>125</v>
      </c>
      <c r="AA20" s="45"/>
      <c r="AB2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D20" s="23">
        <f>IF(Tabela1[[#This Row],[Qtde. Lançada]]&gt;Tabela1[[#This Row],[Comprimento Total]],Tabela1[[#This Row],[Qtde. Lançada]],Tabela1[[#This Row],[Comprimento Total]])</f>
        <v>20</v>
      </c>
      <c r="AE20" s="262" t="s">
        <v>156</v>
      </c>
      <c r="AF20" s="391" t="s">
        <v>93</v>
      </c>
      <c r="AG20" s="23">
        <f ca="1">SUMIF('Lançamento de Cabos'!AE:AK,Tabela1[[#This Row],[Tag do Cabo]],'Lançamento de Cabos'!AG:AG)</f>
        <v>0</v>
      </c>
      <c r="AH20" s="29">
        <f>IFERROR(VLOOKUP(Tabela1[[#This Row],[Tag do Cabo]],'Lançamento de Cabos'!AE:AK,7,0),0)</f>
        <v>0</v>
      </c>
      <c r="AI20" s="262" t="s">
        <v>98</v>
      </c>
      <c r="AJ20" s="212" t="s">
        <v>110</v>
      </c>
      <c r="AK20" s="46">
        <v>3054429</v>
      </c>
    </row>
    <row r="21" spans="1:37" s="262" customFormat="1" ht="15" customHeight="1" x14ac:dyDescent="0.2">
      <c r="A21" s="168" t="s">
        <v>157</v>
      </c>
      <c r="B21" s="391" t="s">
        <v>38</v>
      </c>
      <c r="C21" s="391">
        <v>125</v>
      </c>
      <c r="D21" s="391" t="s">
        <v>80</v>
      </c>
      <c r="E21" s="3" t="s">
        <v>145</v>
      </c>
      <c r="F21" s="11">
        <v>2.5</v>
      </c>
      <c r="G21" s="391">
        <v>1</v>
      </c>
      <c r="H21" s="391">
        <v>30</v>
      </c>
      <c r="I21" s="391">
        <v>30</v>
      </c>
      <c r="J21" s="391" t="s">
        <v>82</v>
      </c>
      <c r="K21" s="262" t="s">
        <v>146</v>
      </c>
      <c r="L21" s="262" t="s">
        <v>158</v>
      </c>
      <c r="M21" s="22" t="s">
        <v>85</v>
      </c>
      <c r="N21" s="391" t="str">
        <f t="shared" ref="N21:N39" si="1">"Sim"</f>
        <v>Sim</v>
      </c>
      <c r="O21" s="22" t="s">
        <v>86</v>
      </c>
      <c r="P21" s="22" t="s">
        <v>86</v>
      </c>
      <c r="Q21" s="91" t="s">
        <v>139</v>
      </c>
      <c r="R21" s="391">
        <f>SUMIF('Lançamento de Cabos'!$B:$B,Tabela1[[#This Row],[Tag do Cabo]],'Lançamento de Cabos'!$C:$C)</f>
        <v>48</v>
      </c>
      <c r="S21" s="391">
        <f>VLOOKUP(Tabela1[[#This Row],[Tag do Cabo]],'Diagramas Ligações'!A:V,14,0)</f>
        <v>14</v>
      </c>
      <c r="T21" s="262" t="s">
        <v>88</v>
      </c>
      <c r="U21" s="391">
        <v>5</v>
      </c>
      <c r="V21" s="391" t="s">
        <v>140</v>
      </c>
      <c r="W21" s="391" t="s">
        <v>89</v>
      </c>
      <c r="X21" s="32">
        <v>44177</v>
      </c>
      <c r="Y21" s="32">
        <v>44218</v>
      </c>
      <c r="Z21" s="3" t="s">
        <v>108</v>
      </c>
      <c r="AA21" s="45">
        <v>70</v>
      </c>
      <c r="AB2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" s="262" t="s">
        <v>159</v>
      </c>
      <c r="AD21" s="391">
        <f>IF(Tabela1[[#This Row],[Qtde. Lançada]]&gt;Tabela1[[#This Row],[Comprimento Total]],Tabela1[[#This Row],[Qtde. Lançada]],Tabela1[[#This Row],[Comprimento Total]])</f>
        <v>48</v>
      </c>
      <c r="AE21" s="391" t="s">
        <v>92</v>
      </c>
      <c r="AF21" s="391" t="s">
        <v>93</v>
      </c>
      <c r="AG21" s="391">
        <f ca="1">SUMIF('Lançamento de Cabos'!AE:AK,Tabela1[[#This Row],[Tag do Cabo]],'Lançamento de Cabos'!AG:AG)</f>
        <v>0</v>
      </c>
      <c r="AH21" s="29">
        <f>IFERROR(VLOOKUP(Tabela1[[#This Row],[Tag do Cabo]],'Lançamento de Cabos'!AE:AK,7,0),0)</f>
        <v>0</v>
      </c>
      <c r="AI21" s="262" t="s">
        <v>98</v>
      </c>
      <c r="AJ21" s="212" t="s">
        <v>160</v>
      </c>
      <c r="AK21" s="46">
        <v>49726</v>
      </c>
    </row>
    <row r="22" spans="1:37" s="262" customFormat="1" ht="15" customHeight="1" x14ac:dyDescent="0.2">
      <c r="A22" s="168" t="s">
        <v>161</v>
      </c>
      <c r="B22" s="391" t="s">
        <v>38</v>
      </c>
      <c r="C22" s="391">
        <v>125</v>
      </c>
      <c r="D22" s="391" t="s">
        <v>80</v>
      </c>
      <c r="E22" s="3" t="s">
        <v>145</v>
      </c>
      <c r="F22" s="11">
        <v>2.5</v>
      </c>
      <c r="G22" s="391">
        <v>1</v>
      </c>
      <c r="H22" s="391">
        <v>30</v>
      </c>
      <c r="I22" s="391">
        <v>30</v>
      </c>
      <c r="J22" s="391" t="s">
        <v>82</v>
      </c>
      <c r="K22" s="262" t="s">
        <v>146</v>
      </c>
      <c r="L22" s="262" t="s">
        <v>162</v>
      </c>
      <c r="M22" s="22" t="s">
        <v>85</v>
      </c>
      <c r="N22" s="391" t="str">
        <f t="shared" si="1"/>
        <v>Sim</v>
      </c>
      <c r="O22" s="22" t="s">
        <v>86</v>
      </c>
      <c r="P22" s="22" t="s">
        <v>86</v>
      </c>
      <c r="Q22" s="91" t="s">
        <v>139</v>
      </c>
      <c r="R22" s="391">
        <f>SUMIF('Lançamento de Cabos'!$B:$B,Tabela1[[#This Row],[Tag do Cabo]],'Lançamento de Cabos'!$C:$C)</f>
        <v>47</v>
      </c>
      <c r="S22" s="391">
        <f>VLOOKUP(Tabela1[[#This Row],[Tag do Cabo]],'Diagramas Ligações'!A:V,14,0)</f>
        <v>14</v>
      </c>
      <c r="T22" s="262" t="s">
        <v>88</v>
      </c>
      <c r="U22" s="391">
        <v>5</v>
      </c>
      <c r="V22" s="391" t="s">
        <v>140</v>
      </c>
      <c r="W22" s="391" t="s">
        <v>89</v>
      </c>
      <c r="X22" s="32">
        <v>44177</v>
      </c>
      <c r="Y22" s="32">
        <v>44218</v>
      </c>
      <c r="Z22" s="3" t="s">
        <v>108</v>
      </c>
      <c r="AA22" s="45">
        <v>70</v>
      </c>
      <c r="AB2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" s="262" t="s">
        <v>159</v>
      </c>
      <c r="AD22" s="391">
        <f>IF(Tabela1[[#This Row],[Qtde. Lançada]]&gt;Tabela1[[#This Row],[Comprimento Total]],Tabela1[[#This Row],[Qtde. Lançada]],Tabela1[[#This Row],[Comprimento Total]])</f>
        <v>47</v>
      </c>
      <c r="AE22" s="391" t="s">
        <v>92</v>
      </c>
      <c r="AF22" s="391" t="s">
        <v>93</v>
      </c>
      <c r="AG22" s="391">
        <f ca="1">SUMIF('Lançamento de Cabos'!AE:AK,Tabela1[[#This Row],[Tag do Cabo]],'Lançamento de Cabos'!AG:AG)</f>
        <v>0</v>
      </c>
      <c r="AH22" s="29">
        <f>IFERROR(VLOOKUP(Tabela1[[#This Row],[Tag do Cabo]],'Lançamento de Cabos'!AE:AK,7,0),0)</f>
        <v>0</v>
      </c>
      <c r="AI22" s="262" t="s">
        <v>98</v>
      </c>
      <c r="AJ22" s="212" t="s">
        <v>160</v>
      </c>
      <c r="AK22" s="46">
        <v>49726</v>
      </c>
    </row>
    <row r="23" spans="1:37" s="262" customFormat="1" ht="15" customHeight="1" x14ac:dyDescent="0.2">
      <c r="A23" s="168" t="s">
        <v>163</v>
      </c>
      <c r="B23" s="391" t="s">
        <v>38</v>
      </c>
      <c r="C23" s="391">
        <v>125</v>
      </c>
      <c r="D23" s="391" t="s">
        <v>80</v>
      </c>
      <c r="E23" s="3" t="s">
        <v>145</v>
      </c>
      <c r="F23" s="11">
        <v>2.5</v>
      </c>
      <c r="G23" s="391">
        <v>1</v>
      </c>
      <c r="H23" s="391">
        <v>30</v>
      </c>
      <c r="I23" s="391">
        <v>30</v>
      </c>
      <c r="J23" s="391" t="s">
        <v>82</v>
      </c>
      <c r="K23" s="262" t="s">
        <v>146</v>
      </c>
      <c r="L23" s="262" t="s">
        <v>164</v>
      </c>
      <c r="M23" s="22" t="s">
        <v>85</v>
      </c>
      <c r="N23" s="391" t="str">
        <f t="shared" si="1"/>
        <v>Sim</v>
      </c>
      <c r="O23" s="22" t="s">
        <v>86</v>
      </c>
      <c r="P23" s="22" t="s">
        <v>86</v>
      </c>
      <c r="Q23" s="91" t="s">
        <v>139</v>
      </c>
      <c r="R23" s="391">
        <f>SUMIF('Lançamento de Cabos'!$B:$B,Tabela1[[#This Row],[Tag do Cabo]],'Lançamento de Cabos'!$C:$C)</f>
        <v>40</v>
      </c>
      <c r="S23" s="391">
        <f>VLOOKUP(Tabela1[[#This Row],[Tag do Cabo]],'Diagramas Ligações'!A:V,14,0)</f>
        <v>14</v>
      </c>
      <c r="T23" s="262" t="s">
        <v>88</v>
      </c>
      <c r="U23" s="391">
        <v>5</v>
      </c>
      <c r="V23" s="391" t="s">
        <v>140</v>
      </c>
      <c r="W23" s="391" t="s">
        <v>89</v>
      </c>
      <c r="X23" s="32">
        <v>44177</v>
      </c>
      <c r="Y23" s="32">
        <v>44218</v>
      </c>
      <c r="Z23" s="3" t="s">
        <v>108</v>
      </c>
      <c r="AA23" s="45">
        <v>70</v>
      </c>
      <c r="AB2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" s="262" t="s">
        <v>159</v>
      </c>
      <c r="AD23" s="391">
        <f>IF(Tabela1[[#This Row],[Qtde. Lançada]]&gt;Tabela1[[#This Row],[Comprimento Total]],Tabela1[[#This Row],[Qtde. Lançada]],Tabela1[[#This Row],[Comprimento Total]])</f>
        <v>40</v>
      </c>
      <c r="AE23" s="391" t="s">
        <v>92</v>
      </c>
      <c r="AF23" s="391" t="s">
        <v>93</v>
      </c>
      <c r="AG23" s="391">
        <f ca="1">SUMIF('Lançamento de Cabos'!AE:AK,Tabela1[[#This Row],[Tag do Cabo]],'Lançamento de Cabos'!AG:AG)</f>
        <v>0</v>
      </c>
      <c r="AH23" s="29">
        <f>IFERROR(VLOOKUP(Tabela1[[#This Row],[Tag do Cabo]],'Lançamento de Cabos'!AE:AK,7,0),0)</f>
        <v>0</v>
      </c>
      <c r="AI23" s="262" t="s">
        <v>98</v>
      </c>
      <c r="AJ23" s="212" t="s">
        <v>160</v>
      </c>
      <c r="AK23" s="46">
        <v>49726</v>
      </c>
    </row>
    <row r="24" spans="1:37" s="262" customFormat="1" ht="15" customHeight="1" x14ac:dyDescent="0.2">
      <c r="A24" s="168" t="s">
        <v>165</v>
      </c>
      <c r="B24" s="391" t="s">
        <v>38</v>
      </c>
      <c r="C24" s="391">
        <v>125</v>
      </c>
      <c r="D24" s="391" t="s">
        <v>80</v>
      </c>
      <c r="E24" s="3" t="s">
        <v>145</v>
      </c>
      <c r="F24" s="11">
        <v>2.5</v>
      </c>
      <c r="G24" s="391">
        <v>1</v>
      </c>
      <c r="H24" s="391">
        <v>30</v>
      </c>
      <c r="I24" s="391">
        <v>30</v>
      </c>
      <c r="J24" s="391" t="s">
        <v>82</v>
      </c>
      <c r="K24" s="262" t="s">
        <v>146</v>
      </c>
      <c r="L24" s="262" t="s">
        <v>166</v>
      </c>
      <c r="M24" s="22" t="s">
        <v>85</v>
      </c>
      <c r="N24" s="391" t="str">
        <f t="shared" si="1"/>
        <v>Sim</v>
      </c>
      <c r="O24" s="22" t="s">
        <v>86</v>
      </c>
      <c r="P24" s="22" t="s">
        <v>86</v>
      </c>
      <c r="Q24" s="91" t="s">
        <v>139</v>
      </c>
      <c r="R24" s="391">
        <f>SUMIF('Lançamento de Cabos'!$B:$B,Tabela1[[#This Row],[Tag do Cabo]],'Lançamento de Cabos'!$C:$C)</f>
        <v>39</v>
      </c>
      <c r="S24" s="391">
        <f>VLOOKUP(Tabela1[[#This Row],[Tag do Cabo]],'Diagramas Ligações'!A:V,14,0)</f>
        <v>14</v>
      </c>
      <c r="T24" s="262" t="s">
        <v>88</v>
      </c>
      <c r="U24" s="391">
        <v>5</v>
      </c>
      <c r="V24" s="391" t="s">
        <v>140</v>
      </c>
      <c r="W24" s="391" t="s">
        <v>89</v>
      </c>
      <c r="X24" s="32">
        <v>44177</v>
      </c>
      <c r="Y24" s="32">
        <v>44218</v>
      </c>
      <c r="Z24" s="3" t="s">
        <v>108</v>
      </c>
      <c r="AA24" s="45">
        <v>70</v>
      </c>
      <c r="AB2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" s="262" t="s">
        <v>159</v>
      </c>
      <c r="AD24" s="391">
        <f>IF(Tabela1[[#This Row],[Qtde. Lançada]]&gt;Tabela1[[#This Row],[Comprimento Total]],Tabela1[[#This Row],[Qtde. Lançada]],Tabela1[[#This Row],[Comprimento Total]])</f>
        <v>39</v>
      </c>
      <c r="AE24" s="391" t="s">
        <v>92</v>
      </c>
      <c r="AF24" s="391" t="s">
        <v>93</v>
      </c>
      <c r="AG24" s="391">
        <f ca="1">SUMIF('Lançamento de Cabos'!AE:AK,Tabela1[[#This Row],[Tag do Cabo]],'Lançamento de Cabos'!AG:AG)</f>
        <v>0</v>
      </c>
      <c r="AH24" s="29">
        <f>IFERROR(VLOOKUP(Tabela1[[#This Row],[Tag do Cabo]],'Lançamento de Cabos'!AE:AK,7,0),0)</f>
        <v>0</v>
      </c>
      <c r="AI24" s="262" t="s">
        <v>98</v>
      </c>
      <c r="AJ24" s="212" t="s">
        <v>160</v>
      </c>
      <c r="AK24" s="46">
        <v>49726</v>
      </c>
    </row>
    <row r="25" spans="1:37" s="262" customFormat="1" ht="15" customHeight="1" x14ac:dyDescent="0.2">
      <c r="A25" s="168" t="s">
        <v>167</v>
      </c>
      <c r="B25" s="391" t="s">
        <v>38</v>
      </c>
      <c r="C25" s="391">
        <v>125</v>
      </c>
      <c r="D25" s="391" t="s">
        <v>80</v>
      </c>
      <c r="E25" s="3" t="s">
        <v>145</v>
      </c>
      <c r="F25" s="11">
        <v>2.5</v>
      </c>
      <c r="G25" s="391">
        <v>1</v>
      </c>
      <c r="H25" s="391">
        <v>30</v>
      </c>
      <c r="I25" s="391">
        <v>30</v>
      </c>
      <c r="J25" s="391" t="s">
        <v>82</v>
      </c>
      <c r="K25" s="262" t="s">
        <v>146</v>
      </c>
      <c r="L25" s="262" t="s">
        <v>168</v>
      </c>
      <c r="M25" s="22" t="s">
        <v>85</v>
      </c>
      <c r="N25" s="391" t="str">
        <f t="shared" si="1"/>
        <v>Sim</v>
      </c>
      <c r="O25" s="22" t="s">
        <v>86</v>
      </c>
      <c r="P25" s="22" t="s">
        <v>86</v>
      </c>
      <c r="Q25" s="91" t="s">
        <v>139</v>
      </c>
      <c r="R25" s="391">
        <f>SUMIF('Lançamento de Cabos'!$B:$B,Tabela1[[#This Row],[Tag do Cabo]],'Lançamento de Cabos'!$C:$C)</f>
        <v>40</v>
      </c>
      <c r="S25" s="391">
        <f>VLOOKUP(Tabela1[[#This Row],[Tag do Cabo]],'Diagramas Ligações'!A:V,14,0)</f>
        <v>14</v>
      </c>
      <c r="T25" s="262" t="s">
        <v>88</v>
      </c>
      <c r="U25" s="391">
        <v>5</v>
      </c>
      <c r="V25" s="391" t="s">
        <v>140</v>
      </c>
      <c r="W25" s="391" t="s">
        <v>89</v>
      </c>
      <c r="X25" s="32">
        <v>44177</v>
      </c>
      <c r="Y25" s="32">
        <v>44218</v>
      </c>
      <c r="Z25" s="3" t="s">
        <v>108</v>
      </c>
      <c r="AA25" s="45">
        <v>70</v>
      </c>
      <c r="AB2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" s="262" t="s">
        <v>159</v>
      </c>
      <c r="AD25" s="391">
        <f>IF(Tabela1[[#This Row],[Qtde. Lançada]]&gt;Tabela1[[#This Row],[Comprimento Total]],Tabela1[[#This Row],[Qtde. Lançada]],Tabela1[[#This Row],[Comprimento Total]])</f>
        <v>40</v>
      </c>
      <c r="AE25" s="391" t="s">
        <v>92</v>
      </c>
      <c r="AF25" s="391" t="s">
        <v>93</v>
      </c>
      <c r="AG25" s="391">
        <f ca="1">SUMIF('Lançamento de Cabos'!AE:AK,Tabela1[[#This Row],[Tag do Cabo]],'Lançamento de Cabos'!AG:AG)</f>
        <v>0</v>
      </c>
      <c r="AH25" s="29">
        <f>IFERROR(VLOOKUP(Tabela1[[#This Row],[Tag do Cabo]],'Lançamento de Cabos'!AE:AK,7,0),0)</f>
        <v>0</v>
      </c>
      <c r="AI25" s="262" t="s">
        <v>98</v>
      </c>
      <c r="AJ25" s="212" t="s">
        <v>160</v>
      </c>
      <c r="AK25" s="46">
        <v>49726</v>
      </c>
    </row>
    <row r="26" spans="1:37" s="262" customFormat="1" ht="15" customHeight="1" x14ac:dyDescent="0.2">
      <c r="A26" s="168" t="s">
        <v>169</v>
      </c>
      <c r="B26" s="391" t="s">
        <v>38</v>
      </c>
      <c r="C26" s="391">
        <v>125</v>
      </c>
      <c r="D26" s="391" t="s">
        <v>80</v>
      </c>
      <c r="E26" s="3" t="s">
        <v>145</v>
      </c>
      <c r="F26" s="11">
        <v>2.5</v>
      </c>
      <c r="G26" s="391">
        <v>1</v>
      </c>
      <c r="H26" s="391">
        <v>30</v>
      </c>
      <c r="I26" s="391">
        <v>30</v>
      </c>
      <c r="J26" s="391" t="s">
        <v>82</v>
      </c>
      <c r="K26" s="262" t="s">
        <v>146</v>
      </c>
      <c r="L26" s="262" t="s">
        <v>170</v>
      </c>
      <c r="M26" s="22" t="s">
        <v>85</v>
      </c>
      <c r="N26" s="391" t="str">
        <f t="shared" si="1"/>
        <v>Sim</v>
      </c>
      <c r="O26" s="22" t="s">
        <v>86</v>
      </c>
      <c r="P26" s="22" t="s">
        <v>86</v>
      </c>
      <c r="Q26" s="91" t="s">
        <v>139</v>
      </c>
      <c r="R26" s="391">
        <f>SUMIF('Lançamento de Cabos'!$B:$B,Tabela1[[#This Row],[Tag do Cabo]],'Lançamento de Cabos'!$C:$C)</f>
        <v>39</v>
      </c>
      <c r="S26" s="391">
        <f>VLOOKUP(Tabela1[[#This Row],[Tag do Cabo]],'Diagramas Ligações'!A:V,14,0)</f>
        <v>14</v>
      </c>
      <c r="T26" s="262" t="s">
        <v>88</v>
      </c>
      <c r="U26" s="391">
        <v>5</v>
      </c>
      <c r="V26" s="391" t="s">
        <v>140</v>
      </c>
      <c r="W26" s="391" t="s">
        <v>89</v>
      </c>
      <c r="X26" s="32">
        <v>44177</v>
      </c>
      <c r="Y26" s="32">
        <v>44218</v>
      </c>
      <c r="Z26" s="3" t="s">
        <v>108</v>
      </c>
      <c r="AA26" s="45">
        <v>70</v>
      </c>
      <c r="AB2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" s="262" t="s">
        <v>159</v>
      </c>
      <c r="AD26" s="391">
        <f>IF(Tabela1[[#This Row],[Qtde. Lançada]]&gt;Tabela1[[#This Row],[Comprimento Total]],Tabela1[[#This Row],[Qtde. Lançada]],Tabela1[[#This Row],[Comprimento Total]])</f>
        <v>39</v>
      </c>
      <c r="AE26" s="391" t="s">
        <v>92</v>
      </c>
      <c r="AF26" s="391" t="s">
        <v>93</v>
      </c>
      <c r="AG26" s="391">
        <f ca="1">SUMIF('Lançamento de Cabos'!AE:AK,Tabela1[[#This Row],[Tag do Cabo]],'Lançamento de Cabos'!AG:AG)</f>
        <v>0</v>
      </c>
      <c r="AH26" s="29">
        <f>IFERROR(VLOOKUP(Tabela1[[#This Row],[Tag do Cabo]],'Lançamento de Cabos'!AE:AK,7,0),0)</f>
        <v>0</v>
      </c>
      <c r="AI26" s="262" t="s">
        <v>98</v>
      </c>
      <c r="AJ26" s="212" t="s">
        <v>171</v>
      </c>
      <c r="AK26" s="46">
        <v>49726</v>
      </c>
    </row>
    <row r="27" spans="1:37" s="262" customFormat="1" ht="15" customHeight="1" x14ac:dyDescent="0.2">
      <c r="A27" s="168" t="s">
        <v>172</v>
      </c>
      <c r="B27" s="391" t="s">
        <v>38</v>
      </c>
      <c r="C27" s="391">
        <v>125</v>
      </c>
      <c r="D27" s="391" t="s">
        <v>80</v>
      </c>
      <c r="E27" s="3" t="s">
        <v>145</v>
      </c>
      <c r="F27" s="11">
        <v>2.5</v>
      </c>
      <c r="G27" s="391">
        <v>1</v>
      </c>
      <c r="H27" s="391">
        <v>30</v>
      </c>
      <c r="I27" s="391">
        <v>30</v>
      </c>
      <c r="J27" s="391" t="s">
        <v>82</v>
      </c>
      <c r="K27" s="262" t="s">
        <v>146</v>
      </c>
      <c r="L27" s="262" t="s">
        <v>173</v>
      </c>
      <c r="M27" s="22" t="s">
        <v>85</v>
      </c>
      <c r="N27" s="391" t="str">
        <f t="shared" si="1"/>
        <v>Sim</v>
      </c>
      <c r="O27" s="22" t="s">
        <v>86</v>
      </c>
      <c r="P27" s="22" t="s">
        <v>86</v>
      </c>
      <c r="Q27" s="91" t="s">
        <v>139</v>
      </c>
      <c r="R27" s="391">
        <f>SUMIF('Lançamento de Cabos'!$B:$B,Tabela1[[#This Row],[Tag do Cabo]],'Lançamento de Cabos'!$C:$C)</f>
        <v>42</v>
      </c>
      <c r="S27" s="391">
        <f>VLOOKUP(Tabela1[[#This Row],[Tag do Cabo]],'Diagramas Ligações'!A:V,14,0)</f>
        <v>14</v>
      </c>
      <c r="T27" s="262" t="s">
        <v>88</v>
      </c>
      <c r="U27" s="391">
        <v>5</v>
      </c>
      <c r="V27" s="391" t="s">
        <v>140</v>
      </c>
      <c r="W27" s="391" t="s">
        <v>89</v>
      </c>
      <c r="X27" s="32">
        <v>44177</v>
      </c>
      <c r="Y27" s="32">
        <v>44218</v>
      </c>
      <c r="Z27" s="3" t="s">
        <v>108</v>
      </c>
      <c r="AA27" s="159">
        <v>207</v>
      </c>
      <c r="AB2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" s="262" t="s">
        <v>159</v>
      </c>
      <c r="AD27" s="391">
        <f>IF(Tabela1[[#This Row],[Qtde. Lançada]]&gt;Tabela1[[#This Row],[Comprimento Total]],Tabela1[[#This Row],[Qtde. Lançada]],Tabela1[[#This Row],[Comprimento Total]])</f>
        <v>42</v>
      </c>
      <c r="AE27" s="391" t="s">
        <v>92</v>
      </c>
      <c r="AF27" s="391" t="s">
        <v>93</v>
      </c>
      <c r="AG27" s="391">
        <f ca="1">SUMIF('Lançamento de Cabos'!AE:AK,Tabela1[[#This Row],[Tag do Cabo]],'Lançamento de Cabos'!AG:AG)</f>
        <v>0</v>
      </c>
      <c r="AH27" s="29">
        <f>IFERROR(VLOOKUP(Tabela1[[#This Row],[Tag do Cabo]],'Lançamento de Cabos'!AE:AK,7,0),0)</f>
        <v>0</v>
      </c>
      <c r="AI27" s="262" t="s">
        <v>98</v>
      </c>
      <c r="AJ27" s="212" t="s">
        <v>171</v>
      </c>
      <c r="AK27" s="46">
        <v>49726</v>
      </c>
    </row>
    <row r="28" spans="1:37" s="262" customFormat="1" ht="15" customHeight="1" x14ac:dyDescent="0.2">
      <c r="A28" s="168" t="s">
        <v>174</v>
      </c>
      <c r="B28" s="391" t="s">
        <v>38</v>
      </c>
      <c r="C28" s="391">
        <v>125</v>
      </c>
      <c r="D28" s="391" t="s">
        <v>80</v>
      </c>
      <c r="E28" s="3" t="s">
        <v>145</v>
      </c>
      <c r="F28" s="11">
        <v>2.5</v>
      </c>
      <c r="G28" s="391">
        <v>1</v>
      </c>
      <c r="H28" s="391">
        <v>30</v>
      </c>
      <c r="I28" s="391">
        <v>30</v>
      </c>
      <c r="J28" s="391" t="s">
        <v>82</v>
      </c>
      <c r="K28" s="262" t="s">
        <v>146</v>
      </c>
      <c r="L28" s="262" t="s">
        <v>175</v>
      </c>
      <c r="M28" s="22" t="s">
        <v>85</v>
      </c>
      <c r="N28" s="391" t="str">
        <f t="shared" si="1"/>
        <v>Sim</v>
      </c>
      <c r="O28" s="22" t="s">
        <v>86</v>
      </c>
      <c r="P28" s="22" t="s">
        <v>86</v>
      </c>
      <c r="Q28" s="91" t="s">
        <v>139</v>
      </c>
      <c r="R28" s="391">
        <f>SUMIF('Lançamento de Cabos'!$B:$B,Tabela1[[#This Row],[Tag do Cabo]],'Lançamento de Cabos'!$C:$C)</f>
        <v>42</v>
      </c>
      <c r="S28" s="391">
        <f>VLOOKUP(Tabela1[[#This Row],[Tag do Cabo]],'Diagramas Ligações'!A:V,14,0)</f>
        <v>14</v>
      </c>
      <c r="T28" s="262" t="s">
        <v>88</v>
      </c>
      <c r="U28" s="391">
        <v>5</v>
      </c>
      <c r="V28" s="391" t="s">
        <v>140</v>
      </c>
      <c r="W28" s="391" t="s">
        <v>89</v>
      </c>
      <c r="X28" s="32">
        <v>44177</v>
      </c>
      <c r="Y28" s="32">
        <v>44218</v>
      </c>
      <c r="Z28" s="3" t="s">
        <v>108</v>
      </c>
      <c r="AA28" s="159">
        <v>207</v>
      </c>
      <c r="AB2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" s="262" t="s">
        <v>159</v>
      </c>
      <c r="AD28" s="391">
        <f>IF(Tabela1[[#This Row],[Qtde. Lançada]]&gt;Tabela1[[#This Row],[Comprimento Total]],Tabela1[[#This Row],[Qtde. Lançada]],Tabela1[[#This Row],[Comprimento Total]])</f>
        <v>42</v>
      </c>
      <c r="AE28" s="391" t="s">
        <v>92</v>
      </c>
      <c r="AF28" s="391" t="s">
        <v>93</v>
      </c>
      <c r="AG28" s="391">
        <f ca="1">SUMIF('Lançamento de Cabos'!AE:AK,Tabela1[[#This Row],[Tag do Cabo]],'Lançamento de Cabos'!AG:AG)</f>
        <v>0</v>
      </c>
      <c r="AH28" s="29">
        <f>IFERROR(VLOOKUP(Tabela1[[#This Row],[Tag do Cabo]],'Lançamento de Cabos'!AE:AK,7,0),0)</f>
        <v>0</v>
      </c>
      <c r="AI28" s="262" t="s">
        <v>98</v>
      </c>
      <c r="AJ28" s="212" t="s">
        <v>171</v>
      </c>
      <c r="AK28" s="46">
        <v>49726</v>
      </c>
    </row>
    <row r="29" spans="1:37" s="262" customFormat="1" ht="15" customHeight="1" x14ac:dyDescent="0.2">
      <c r="A29" s="168" t="s">
        <v>176</v>
      </c>
      <c r="B29" s="391" t="s">
        <v>38</v>
      </c>
      <c r="C29" s="391">
        <v>125</v>
      </c>
      <c r="D29" s="391" t="s">
        <v>80</v>
      </c>
      <c r="E29" s="3" t="s">
        <v>145</v>
      </c>
      <c r="F29" s="11">
        <v>2.5</v>
      </c>
      <c r="G29" s="391">
        <v>1</v>
      </c>
      <c r="H29" s="391">
        <v>30</v>
      </c>
      <c r="I29" s="391">
        <v>30</v>
      </c>
      <c r="J29" s="391" t="s">
        <v>82</v>
      </c>
      <c r="K29" s="262" t="s">
        <v>146</v>
      </c>
      <c r="L29" s="262" t="s">
        <v>177</v>
      </c>
      <c r="M29" s="22" t="s">
        <v>85</v>
      </c>
      <c r="N29" s="391" t="str">
        <f t="shared" si="1"/>
        <v>Sim</v>
      </c>
      <c r="O29" s="22" t="s">
        <v>86</v>
      </c>
      <c r="P29" s="22" t="s">
        <v>86</v>
      </c>
      <c r="Q29" s="91" t="s">
        <v>139</v>
      </c>
      <c r="R29" s="391">
        <f>SUMIF('Lançamento de Cabos'!$B:$B,Tabela1[[#This Row],[Tag do Cabo]],'Lançamento de Cabos'!$C:$C)</f>
        <v>38</v>
      </c>
      <c r="S29" s="391">
        <f>VLOOKUP(Tabela1[[#This Row],[Tag do Cabo]],'Diagramas Ligações'!A:V,14,0)</f>
        <v>14</v>
      </c>
      <c r="T29" s="262" t="s">
        <v>88</v>
      </c>
      <c r="U29" s="391">
        <v>5</v>
      </c>
      <c r="V29" s="391" t="s">
        <v>140</v>
      </c>
      <c r="W29" s="391" t="s">
        <v>89</v>
      </c>
      <c r="X29" s="32">
        <v>44177</v>
      </c>
      <c r="Y29" s="32">
        <v>44218</v>
      </c>
      <c r="Z29" s="3" t="s">
        <v>90</v>
      </c>
      <c r="AA29" s="159">
        <v>225</v>
      </c>
      <c r="AB2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" s="262" t="s">
        <v>159</v>
      </c>
      <c r="AD29" s="391">
        <f>IF(Tabela1[[#This Row],[Qtde. Lançada]]&gt;Tabela1[[#This Row],[Comprimento Total]],Tabela1[[#This Row],[Qtde. Lançada]],Tabela1[[#This Row],[Comprimento Total]])</f>
        <v>38</v>
      </c>
      <c r="AE29" s="391" t="s">
        <v>92</v>
      </c>
      <c r="AF29" s="391" t="s">
        <v>93</v>
      </c>
      <c r="AG29" s="391">
        <f ca="1">SUMIF('Lançamento de Cabos'!AE:AK,Tabela1[[#This Row],[Tag do Cabo]],'Lançamento de Cabos'!AG:AG)</f>
        <v>0</v>
      </c>
      <c r="AH29" s="29">
        <f>IFERROR(VLOOKUP(Tabela1[[#This Row],[Tag do Cabo]],'Lançamento de Cabos'!AE:AK,7,0),0)</f>
        <v>0</v>
      </c>
      <c r="AI29" s="262" t="s">
        <v>98</v>
      </c>
      <c r="AJ29" s="212" t="s">
        <v>171</v>
      </c>
      <c r="AK29" s="46">
        <v>49726</v>
      </c>
    </row>
    <row r="30" spans="1:37" s="262" customFormat="1" ht="15" customHeight="1" x14ac:dyDescent="0.2">
      <c r="A30" s="168" t="s">
        <v>178</v>
      </c>
      <c r="B30" s="391" t="s">
        <v>38</v>
      </c>
      <c r="C30" s="391">
        <v>125</v>
      </c>
      <c r="D30" s="391" t="s">
        <v>80</v>
      </c>
      <c r="E30" s="3" t="s">
        <v>145</v>
      </c>
      <c r="F30" s="11">
        <v>2.5</v>
      </c>
      <c r="G30" s="391">
        <v>1</v>
      </c>
      <c r="H30" s="391">
        <v>30</v>
      </c>
      <c r="I30" s="391">
        <v>30</v>
      </c>
      <c r="J30" s="391" t="s">
        <v>82</v>
      </c>
      <c r="K30" s="262" t="s">
        <v>146</v>
      </c>
      <c r="L30" s="262" t="s">
        <v>179</v>
      </c>
      <c r="M30" s="22" t="s">
        <v>85</v>
      </c>
      <c r="N30" s="391" t="str">
        <f t="shared" si="1"/>
        <v>Sim</v>
      </c>
      <c r="O30" s="22" t="s">
        <v>86</v>
      </c>
      <c r="P30" s="22" t="s">
        <v>86</v>
      </c>
      <c r="Q30" s="91" t="s">
        <v>139</v>
      </c>
      <c r="R30" s="391">
        <f>SUMIF('Lançamento de Cabos'!$B:$B,Tabela1[[#This Row],[Tag do Cabo]],'Lançamento de Cabos'!$C:$C)</f>
        <v>41</v>
      </c>
      <c r="S30" s="391">
        <f>VLOOKUP(Tabela1[[#This Row],[Tag do Cabo]],'Diagramas Ligações'!A:V,14,0)</f>
        <v>14</v>
      </c>
      <c r="T30" s="262" t="s">
        <v>88</v>
      </c>
      <c r="U30" s="391">
        <v>5</v>
      </c>
      <c r="V30" s="391" t="s">
        <v>140</v>
      </c>
      <c r="W30" s="391" t="s">
        <v>89</v>
      </c>
      <c r="X30" s="32">
        <v>44177</v>
      </c>
      <c r="Y30" s="32">
        <v>44218</v>
      </c>
      <c r="Z30" s="3" t="s">
        <v>90</v>
      </c>
      <c r="AA30" s="159">
        <v>207</v>
      </c>
      <c r="AB3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" s="262" t="s">
        <v>159</v>
      </c>
      <c r="AD30" s="391">
        <f>IF(Tabela1[[#This Row],[Qtde. Lançada]]&gt;Tabela1[[#This Row],[Comprimento Total]],Tabela1[[#This Row],[Qtde. Lançada]],Tabela1[[#This Row],[Comprimento Total]])</f>
        <v>41</v>
      </c>
      <c r="AE30" s="391" t="s">
        <v>92</v>
      </c>
      <c r="AF30" s="391" t="s">
        <v>93</v>
      </c>
      <c r="AG30" s="391">
        <f ca="1">SUMIF('Lançamento de Cabos'!AE:AK,Tabela1[[#This Row],[Tag do Cabo]],'Lançamento de Cabos'!AG:AG)</f>
        <v>0</v>
      </c>
      <c r="AH30" s="29">
        <f>IFERROR(VLOOKUP(Tabela1[[#This Row],[Tag do Cabo]],'Lançamento de Cabos'!AE:AK,7,0),0)</f>
        <v>0</v>
      </c>
      <c r="AI30" s="262" t="s">
        <v>98</v>
      </c>
      <c r="AJ30" s="212" t="s">
        <v>171</v>
      </c>
      <c r="AK30" s="46">
        <v>49726</v>
      </c>
    </row>
    <row r="31" spans="1:37" s="262" customFormat="1" ht="15" customHeight="1" x14ac:dyDescent="0.2">
      <c r="A31" s="168" t="s">
        <v>180</v>
      </c>
      <c r="B31" s="391" t="s">
        <v>38</v>
      </c>
      <c r="C31" s="391" t="s">
        <v>92</v>
      </c>
      <c r="D31" s="391" t="s">
        <v>92</v>
      </c>
      <c r="E31" s="3" t="s">
        <v>181</v>
      </c>
      <c r="F31" s="11">
        <v>1</v>
      </c>
      <c r="G31" s="391">
        <v>1</v>
      </c>
      <c r="H31" s="391">
        <v>230</v>
      </c>
      <c r="I31" s="391">
        <v>230</v>
      </c>
      <c r="J31" s="391" t="s">
        <v>82</v>
      </c>
      <c r="K31" s="262" t="s">
        <v>182</v>
      </c>
      <c r="L31" s="262" t="s">
        <v>183</v>
      </c>
      <c r="M31" s="22" t="s">
        <v>85</v>
      </c>
      <c r="N31" s="391" t="str">
        <f t="shared" si="1"/>
        <v>Sim</v>
      </c>
      <c r="O31" s="22" t="s">
        <v>86</v>
      </c>
      <c r="P31" s="22" t="s">
        <v>86</v>
      </c>
      <c r="Q31" s="91" t="s">
        <v>184</v>
      </c>
      <c r="R31" s="391">
        <f>SUMIF('Lançamento de Cabos'!$B:$B,Tabela1[[#This Row],[Tag do Cabo]],'Lançamento de Cabos'!$C:$C)</f>
        <v>230</v>
      </c>
      <c r="S31" s="391">
        <f>VLOOKUP(Tabela1[[#This Row],[Tag do Cabo]],'Diagramas Ligações'!A:V,14,0)</f>
        <v>8</v>
      </c>
      <c r="T31" s="262" t="s">
        <v>185</v>
      </c>
      <c r="U31" s="391">
        <v>2</v>
      </c>
      <c r="V31" s="391" t="s">
        <v>186</v>
      </c>
      <c r="W31" s="391" t="s">
        <v>187</v>
      </c>
      <c r="X31" s="32">
        <v>44177</v>
      </c>
      <c r="Y31" s="32">
        <v>44210</v>
      </c>
      <c r="Z31" s="327" t="s">
        <v>188</v>
      </c>
      <c r="AA31" s="45">
        <v>73</v>
      </c>
      <c r="AB3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" s="262" t="s">
        <v>189</v>
      </c>
      <c r="AD31" s="391">
        <f>IF(Tabela1[[#This Row],[Qtde. Lançada]]&gt;Tabela1[[#This Row],[Comprimento Total]],Tabela1[[#This Row],[Qtde. Lançada]],Tabela1[[#This Row],[Comprimento Total]])</f>
        <v>230</v>
      </c>
      <c r="AE31" s="262" t="s">
        <v>190</v>
      </c>
      <c r="AF31" s="391" t="s">
        <v>191</v>
      </c>
      <c r="AG31" s="391">
        <f ca="1">SUMIF('Lançamento de Cabos'!AE:AK,Tabela1[[#This Row],[Tag do Cabo]],'Lançamento de Cabos'!AG:AG)</f>
        <v>0</v>
      </c>
      <c r="AH31" s="29">
        <f>IFERROR(VLOOKUP(Tabela1[[#This Row],[Tag do Cabo]],'Lançamento de Cabos'!AE:AK,7,0),0)</f>
        <v>0</v>
      </c>
      <c r="AI31" s="262" t="s">
        <v>192</v>
      </c>
      <c r="AJ31" s="212" t="s">
        <v>193</v>
      </c>
      <c r="AK31" s="46">
        <v>2009470</v>
      </c>
    </row>
    <row r="32" spans="1:37" s="262" customFormat="1" ht="15" customHeight="1" x14ac:dyDescent="0.2">
      <c r="A32" s="168" t="s">
        <v>194</v>
      </c>
      <c r="B32" s="391" t="s">
        <v>38</v>
      </c>
      <c r="C32" s="391">
        <v>125</v>
      </c>
      <c r="D32" s="391" t="s">
        <v>80</v>
      </c>
      <c r="E32" s="3" t="s">
        <v>195</v>
      </c>
      <c r="F32" s="11">
        <v>2.5</v>
      </c>
      <c r="G32" s="391">
        <v>1</v>
      </c>
      <c r="H32" s="391">
        <v>40</v>
      </c>
      <c r="I32" s="391">
        <v>40</v>
      </c>
      <c r="J32" s="391" t="s">
        <v>82</v>
      </c>
      <c r="K32" s="262" t="s">
        <v>196</v>
      </c>
      <c r="L32" s="262" t="s">
        <v>197</v>
      </c>
      <c r="M32" s="22" t="s">
        <v>85</v>
      </c>
      <c r="N32" s="391" t="str">
        <f t="shared" si="1"/>
        <v>Sim</v>
      </c>
      <c r="O32" s="22" t="s">
        <v>86</v>
      </c>
      <c r="P32" s="22" t="s">
        <v>86</v>
      </c>
      <c r="Q32" s="91" t="s">
        <v>139</v>
      </c>
      <c r="R32" s="391">
        <f>SUMIF('Lançamento de Cabos'!$B:$B,Tabela1[[#This Row],[Tag do Cabo]],'Lançamento de Cabos'!$C:$C)</f>
        <v>42</v>
      </c>
      <c r="S32" s="391">
        <f>VLOOKUP(Tabela1[[#This Row],[Tag do Cabo]],'Diagramas Ligações'!A:V,14,0)</f>
        <v>8</v>
      </c>
      <c r="T32" s="262" t="s">
        <v>88</v>
      </c>
      <c r="U32" s="391">
        <v>5</v>
      </c>
      <c r="V32" s="391" t="s">
        <v>140</v>
      </c>
      <c r="W32" s="391" t="s">
        <v>198</v>
      </c>
      <c r="X32" s="32">
        <v>44177</v>
      </c>
      <c r="Y32" s="32">
        <v>44218</v>
      </c>
      <c r="Z32" s="31" t="s">
        <v>199</v>
      </c>
      <c r="AA32" s="45">
        <v>71</v>
      </c>
      <c r="AB3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" s="262" t="s">
        <v>200</v>
      </c>
      <c r="AD32" s="391">
        <f>IF(Tabela1[[#This Row],[Qtde. Lançada]]&gt;Tabela1[[#This Row],[Comprimento Total]],Tabela1[[#This Row],[Qtde. Lançada]],Tabela1[[#This Row],[Comprimento Total]])</f>
        <v>42</v>
      </c>
      <c r="AE32" s="391" t="s">
        <v>92</v>
      </c>
      <c r="AF32" s="391" t="s">
        <v>201</v>
      </c>
      <c r="AG32" s="391">
        <f ca="1">SUMIF('Lançamento de Cabos'!AE:AK,Tabela1[[#This Row],[Tag do Cabo]],'Lançamento de Cabos'!AG:AG)</f>
        <v>0</v>
      </c>
      <c r="AH32" s="29">
        <f>IFERROR(VLOOKUP(Tabela1[[#This Row],[Tag do Cabo]],'Lançamento de Cabos'!AE:AK,7,0),0)</f>
        <v>0</v>
      </c>
      <c r="AI32" s="262" t="s">
        <v>94</v>
      </c>
      <c r="AJ32" s="212" t="s">
        <v>202</v>
      </c>
      <c r="AK32" s="46">
        <v>932951</v>
      </c>
    </row>
    <row r="33" spans="1:37" s="262" customFormat="1" ht="15" customHeight="1" x14ac:dyDescent="0.2">
      <c r="A33" s="168" t="s">
        <v>203</v>
      </c>
      <c r="B33" s="391" t="s">
        <v>38</v>
      </c>
      <c r="C33" s="391">
        <v>125</v>
      </c>
      <c r="D33" s="391" t="s">
        <v>80</v>
      </c>
      <c r="E33" s="3" t="s">
        <v>195</v>
      </c>
      <c r="F33" s="11">
        <v>2.5</v>
      </c>
      <c r="G33" s="391">
        <v>1</v>
      </c>
      <c r="H33" s="391">
        <v>40</v>
      </c>
      <c r="I33" s="391">
        <v>40</v>
      </c>
      <c r="J33" s="391" t="s">
        <v>82</v>
      </c>
      <c r="K33" s="262" t="s">
        <v>196</v>
      </c>
      <c r="L33" s="262" t="s">
        <v>197</v>
      </c>
      <c r="M33" s="22" t="s">
        <v>85</v>
      </c>
      <c r="N33" s="391" t="str">
        <f t="shared" si="1"/>
        <v>Sim</v>
      </c>
      <c r="O33" s="22" t="s">
        <v>86</v>
      </c>
      <c r="P33" s="22" t="s">
        <v>86</v>
      </c>
      <c r="Q33" s="91" t="s">
        <v>139</v>
      </c>
      <c r="R33" s="391">
        <f>SUMIF('Lançamento de Cabos'!$B:$B,Tabela1[[#This Row],[Tag do Cabo]],'Lançamento de Cabos'!$C:$C)</f>
        <v>47</v>
      </c>
      <c r="S33" s="391">
        <f>VLOOKUP(Tabela1[[#This Row],[Tag do Cabo]],'Diagramas Ligações'!A:V,14,0)</f>
        <v>8</v>
      </c>
      <c r="T33" s="262" t="s">
        <v>88</v>
      </c>
      <c r="U33" s="391">
        <v>5</v>
      </c>
      <c r="V33" s="391" t="s">
        <v>140</v>
      </c>
      <c r="W33" s="391" t="s">
        <v>204</v>
      </c>
      <c r="X33" s="32">
        <v>44177</v>
      </c>
      <c r="Y33" s="32">
        <v>44218</v>
      </c>
      <c r="Z33" s="31" t="s">
        <v>199</v>
      </c>
      <c r="AA33" s="45">
        <v>71</v>
      </c>
      <c r="AB3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" s="262" t="s">
        <v>200</v>
      </c>
      <c r="AD33" s="391">
        <f>IF(Tabela1[[#This Row],[Qtde. Lançada]]&gt;Tabela1[[#This Row],[Comprimento Total]],Tabela1[[#This Row],[Qtde. Lançada]],Tabela1[[#This Row],[Comprimento Total]])</f>
        <v>47</v>
      </c>
      <c r="AE33" s="391" t="s">
        <v>92</v>
      </c>
      <c r="AF33" s="391" t="s">
        <v>201</v>
      </c>
      <c r="AG33" s="391">
        <f ca="1">SUMIF('Lançamento de Cabos'!AE:AK,Tabela1[[#This Row],[Tag do Cabo]],'Lançamento de Cabos'!AG:AG)</f>
        <v>0</v>
      </c>
      <c r="AH33" s="29">
        <f>IFERROR(VLOOKUP(Tabela1[[#This Row],[Tag do Cabo]],'Lançamento de Cabos'!AE:AK,7,0),0)</f>
        <v>0</v>
      </c>
      <c r="AI33" s="262" t="s">
        <v>94</v>
      </c>
      <c r="AJ33" s="212" t="s">
        <v>205</v>
      </c>
      <c r="AK33" s="46">
        <v>932951</v>
      </c>
    </row>
    <row r="34" spans="1:37" s="262" customFormat="1" ht="15" customHeight="1" x14ac:dyDescent="0.2">
      <c r="A34" s="168" t="s">
        <v>206</v>
      </c>
      <c r="B34" s="391" t="s">
        <v>38</v>
      </c>
      <c r="C34" s="391">
        <v>125</v>
      </c>
      <c r="D34" s="391" t="s">
        <v>80</v>
      </c>
      <c r="E34" s="3" t="s">
        <v>195</v>
      </c>
      <c r="F34" s="11">
        <v>2.5</v>
      </c>
      <c r="G34" s="391">
        <v>1</v>
      </c>
      <c r="H34" s="391">
        <v>40</v>
      </c>
      <c r="I34" s="391">
        <v>40</v>
      </c>
      <c r="J34" s="391" t="s">
        <v>82</v>
      </c>
      <c r="K34" s="262" t="s">
        <v>196</v>
      </c>
      <c r="L34" s="262" t="s">
        <v>197</v>
      </c>
      <c r="M34" s="22" t="s">
        <v>85</v>
      </c>
      <c r="N34" s="391" t="str">
        <f t="shared" si="1"/>
        <v>Sim</v>
      </c>
      <c r="O34" s="22" t="s">
        <v>86</v>
      </c>
      <c r="P34" s="22" t="s">
        <v>86</v>
      </c>
      <c r="Q34" s="91" t="s">
        <v>139</v>
      </c>
      <c r="R34" s="391">
        <f>SUMIF('Lançamento de Cabos'!$B:$B,Tabela1[[#This Row],[Tag do Cabo]],'Lançamento de Cabos'!$C:$C)</f>
        <v>45</v>
      </c>
      <c r="S34" s="391">
        <f>VLOOKUP(Tabela1[[#This Row],[Tag do Cabo]],'Diagramas Ligações'!A:V,14,0)</f>
        <v>12</v>
      </c>
      <c r="T34" s="262" t="s">
        <v>88</v>
      </c>
      <c r="U34" s="391">
        <v>5</v>
      </c>
      <c r="V34" s="391" t="s">
        <v>140</v>
      </c>
      <c r="W34" s="391" t="s">
        <v>207</v>
      </c>
      <c r="X34" s="32">
        <v>44177</v>
      </c>
      <c r="Y34" s="32">
        <v>44218</v>
      </c>
      <c r="Z34" s="31" t="s">
        <v>208</v>
      </c>
      <c r="AA34" s="159">
        <v>225</v>
      </c>
      <c r="AB3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" s="262" t="s">
        <v>200</v>
      </c>
      <c r="AD34" s="391">
        <f>IF(Tabela1[[#This Row],[Qtde. Lançada]]&gt;Tabela1[[#This Row],[Comprimento Total]],Tabela1[[#This Row],[Qtde. Lançada]],Tabela1[[#This Row],[Comprimento Total]])</f>
        <v>45</v>
      </c>
      <c r="AE34" s="391" t="s">
        <v>92</v>
      </c>
      <c r="AF34" s="391" t="s">
        <v>201</v>
      </c>
      <c r="AG34" s="391">
        <f ca="1">SUMIF('Lançamento de Cabos'!AE:AK,Tabela1[[#This Row],[Tag do Cabo]],'Lançamento de Cabos'!AG:AG)</f>
        <v>0</v>
      </c>
      <c r="AH34" s="29">
        <f>IFERROR(VLOOKUP(Tabela1[[#This Row],[Tag do Cabo]],'Lançamento de Cabos'!AE:AK,7,0),0)</f>
        <v>0</v>
      </c>
      <c r="AI34" s="262" t="s">
        <v>94</v>
      </c>
      <c r="AJ34" s="212" t="s">
        <v>209</v>
      </c>
      <c r="AK34" s="46">
        <v>932951</v>
      </c>
    </row>
    <row r="35" spans="1:37" s="262" customFormat="1" ht="15" customHeight="1" x14ac:dyDescent="0.2">
      <c r="A35" s="168" t="s">
        <v>210</v>
      </c>
      <c r="B35" s="391" t="s">
        <v>38</v>
      </c>
      <c r="C35" s="391">
        <v>125</v>
      </c>
      <c r="D35" s="391" t="s">
        <v>80</v>
      </c>
      <c r="E35" s="3" t="s">
        <v>195</v>
      </c>
      <c r="F35" s="11">
        <v>2.5</v>
      </c>
      <c r="G35" s="391">
        <v>1</v>
      </c>
      <c r="H35" s="391">
        <v>40</v>
      </c>
      <c r="I35" s="391">
        <v>40</v>
      </c>
      <c r="J35" s="391" t="s">
        <v>82</v>
      </c>
      <c r="K35" s="262" t="s">
        <v>196</v>
      </c>
      <c r="L35" s="262" t="s">
        <v>197</v>
      </c>
      <c r="M35" s="22" t="s">
        <v>85</v>
      </c>
      <c r="N35" s="391" t="str">
        <f t="shared" si="1"/>
        <v>Sim</v>
      </c>
      <c r="O35" s="22" t="s">
        <v>86</v>
      </c>
      <c r="P35" s="22" t="s">
        <v>86</v>
      </c>
      <c r="Q35" s="91" t="s">
        <v>139</v>
      </c>
      <c r="R35" s="391">
        <f>SUMIF('Lançamento de Cabos'!$B:$B,Tabela1[[#This Row],[Tag do Cabo]],'Lançamento de Cabos'!$C:$C)</f>
        <v>40</v>
      </c>
      <c r="S35" s="391">
        <f>VLOOKUP(Tabela1[[#This Row],[Tag do Cabo]],'Diagramas Ligações'!A:V,14,0)</f>
        <v>8</v>
      </c>
      <c r="T35" s="262" t="s">
        <v>88</v>
      </c>
      <c r="U35" s="391">
        <v>5</v>
      </c>
      <c r="V35" s="391" t="s">
        <v>140</v>
      </c>
      <c r="W35" s="391" t="s">
        <v>211</v>
      </c>
      <c r="X35" s="32">
        <v>44177</v>
      </c>
      <c r="Y35" s="32">
        <v>44218</v>
      </c>
      <c r="Z35" s="31" t="s">
        <v>208</v>
      </c>
      <c r="AA35" s="159">
        <v>225</v>
      </c>
      <c r="AB3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" s="262" t="s">
        <v>200</v>
      </c>
      <c r="AD35" s="391">
        <f>IF(Tabela1[[#This Row],[Qtde. Lançada]]&gt;Tabela1[[#This Row],[Comprimento Total]],Tabela1[[#This Row],[Qtde. Lançada]],Tabela1[[#This Row],[Comprimento Total]])</f>
        <v>40</v>
      </c>
      <c r="AE35" s="391" t="s">
        <v>92</v>
      </c>
      <c r="AF35" s="391" t="s">
        <v>201</v>
      </c>
      <c r="AG35" s="391">
        <f ca="1">SUMIF('Lançamento de Cabos'!AE:AK,Tabela1[[#This Row],[Tag do Cabo]],'Lançamento de Cabos'!AG:AG)</f>
        <v>0</v>
      </c>
      <c r="AH35" s="29">
        <f>IFERROR(VLOOKUP(Tabela1[[#This Row],[Tag do Cabo]],'Lançamento de Cabos'!AE:AK,7,0),0)</f>
        <v>0</v>
      </c>
      <c r="AI35" s="262" t="s">
        <v>94</v>
      </c>
      <c r="AJ35" s="212" t="s">
        <v>212</v>
      </c>
      <c r="AK35" s="46">
        <v>932951</v>
      </c>
    </row>
    <row r="36" spans="1:37" s="262" customFormat="1" ht="15" customHeight="1" x14ac:dyDescent="0.2">
      <c r="A36" s="168" t="s">
        <v>213</v>
      </c>
      <c r="B36" s="391" t="s">
        <v>38</v>
      </c>
      <c r="C36" s="391" t="s">
        <v>92</v>
      </c>
      <c r="D36" s="391" t="s">
        <v>92</v>
      </c>
      <c r="E36" s="3" t="s">
        <v>214</v>
      </c>
      <c r="F36" s="11">
        <v>1.5</v>
      </c>
      <c r="G36" s="391">
        <v>1</v>
      </c>
      <c r="H36" s="391">
        <v>150</v>
      </c>
      <c r="I36" s="391">
        <v>150</v>
      </c>
      <c r="J36" s="391" t="s">
        <v>82</v>
      </c>
      <c r="K36" s="262" t="s">
        <v>215</v>
      </c>
      <c r="L36" s="262" t="s">
        <v>216</v>
      </c>
      <c r="M36" s="22" t="s">
        <v>85</v>
      </c>
      <c r="N36" s="391" t="str">
        <f t="shared" si="1"/>
        <v>Sim</v>
      </c>
      <c r="O36" s="22" t="s">
        <v>86</v>
      </c>
      <c r="P36" s="22" t="s">
        <v>86</v>
      </c>
      <c r="Q36" s="391" t="s">
        <v>184</v>
      </c>
      <c r="R36" s="391">
        <f>SUMIF('Lançamento de Cabos'!$B:$B,Tabela1[[#This Row],[Tag do Cabo]],'Lançamento de Cabos'!$C:$C)</f>
        <v>150</v>
      </c>
      <c r="S36" s="391">
        <f>VLOOKUP(Tabela1[[#This Row],[Tag do Cabo]],'Diagramas Ligações'!A:V,14,0)</f>
        <v>4</v>
      </c>
      <c r="T36" s="262" t="s">
        <v>217</v>
      </c>
      <c r="U36" s="391">
        <v>2</v>
      </c>
      <c r="V36" s="391" t="s">
        <v>186</v>
      </c>
      <c r="W36" s="391" t="s">
        <v>218</v>
      </c>
      <c r="X36" s="32">
        <v>44177</v>
      </c>
      <c r="Y36" s="32">
        <v>44204</v>
      </c>
      <c r="Z36" s="3" t="s">
        <v>219</v>
      </c>
      <c r="AA36" s="45" t="s">
        <v>220</v>
      </c>
      <c r="AB3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6" s="262" t="s">
        <v>221</v>
      </c>
      <c r="AD36" s="391">
        <f>IF(Tabela1[[#This Row],[Qtde. Lançada]]&gt;Tabela1[[#This Row],[Comprimento Total]],Tabela1[[#This Row],[Qtde. Lançada]],Tabela1[[#This Row],[Comprimento Total]])</f>
        <v>150</v>
      </c>
      <c r="AE36" s="262" t="s">
        <v>190</v>
      </c>
      <c r="AF36" s="391" t="s">
        <v>222</v>
      </c>
      <c r="AG36" s="391">
        <f ca="1">SUMIF('Lançamento de Cabos'!AE:AK,Tabela1[[#This Row],[Tag do Cabo]],'Lançamento de Cabos'!AG:AG)</f>
        <v>0</v>
      </c>
      <c r="AH36" s="29">
        <f>IFERROR(VLOOKUP(Tabela1[[#This Row],[Tag do Cabo]],'Lançamento de Cabos'!AE:AK,7,0),0)</f>
        <v>0</v>
      </c>
      <c r="AI36" s="262" t="s">
        <v>223</v>
      </c>
      <c r="AJ36" s="213" t="s">
        <v>224</v>
      </c>
      <c r="AK36" s="46">
        <v>901166</v>
      </c>
    </row>
    <row r="37" spans="1:37" s="262" customFormat="1" ht="15" customHeight="1" x14ac:dyDescent="0.2">
      <c r="A37" s="168" t="s">
        <v>225</v>
      </c>
      <c r="B37" s="391" t="s">
        <v>38</v>
      </c>
      <c r="C37" s="391" t="s">
        <v>92</v>
      </c>
      <c r="D37" s="391" t="s">
        <v>92</v>
      </c>
      <c r="E37" s="3" t="s">
        <v>181</v>
      </c>
      <c r="F37" s="11">
        <v>1</v>
      </c>
      <c r="G37" s="391">
        <v>1</v>
      </c>
      <c r="H37" s="391">
        <v>150</v>
      </c>
      <c r="I37" s="391">
        <v>150</v>
      </c>
      <c r="J37" s="391" t="s">
        <v>82</v>
      </c>
      <c r="K37" s="262" t="s">
        <v>215</v>
      </c>
      <c r="L37" s="262" t="s">
        <v>216</v>
      </c>
      <c r="M37" s="22" t="s">
        <v>85</v>
      </c>
      <c r="N37" s="391" t="str">
        <f t="shared" si="1"/>
        <v>Sim</v>
      </c>
      <c r="O37" s="22" t="s">
        <v>86</v>
      </c>
      <c r="P37" s="22" t="s">
        <v>86</v>
      </c>
      <c r="Q37" s="391" t="s">
        <v>184</v>
      </c>
      <c r="R37" s="391">
        <f>SUMIF('Lançamento de Cabos'!$B:$B,Tabela1[[#This Row],[Tag do Cabo]],'Lançamento de Cabos'!$C:$C)</f>
        <v>150</v>
      </c>
      <c r="S37" s="391">
        <f>VLOOKUP(Tabela1[[#This Row],[Tag do Cabo]],'Diagramas Ligações'!A:V,14,0)</f>
        <v>8</v>
      </c>
      <c r="T37" s="262" t="s">
        <v>217</v>
      </c>
      <c r="U37" s="391">
        <v>2</v>
      </c>
      <c r="V37" s="391" t="s">
        <v>186</v>
      </c>
      <c r="W37" s="391" t="s">
        <v>218</v>
      </c>
      <c r="X37" s="32">
        <v>44177</v>
      </c>
      <c r="Y37" s="32">
        <v>44204</v>
      </c>
      <c r="Z37" s="3" t="s">
        <v>219</v>
      </c>
      <c r="AA37" s="45">
        <v>73</v>
      </c>
      <c r="AB3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7" s="262" t="s">
        <v>221</v>
      </c>
      <c r="AD37" s="391">
        <f>IF(Tabela1[[#This Row],[Qtde. Lançada]]&gt;Tabela1[[#This Row],[Comprimento Total]],Tabela1[[#This Row],[Qtde. Lançada]],Tabela1[[#This Row],[Comprimento Total]])</f>
        <v>150</v>
      </c>
      <c r="AE37" s="262" t="s">
        <v>190</v>
      </c>
      <c r="AF37" s="391" t="s">
        <v>222</v>
      </c>
      <c r="AG37" s="391">
        <f ca="1">SUMIF('Lançamento de Cabos'!AE:AK,Tabela1[[#This Row],[Tag do Cabo]],'Lançamento de Cabos'!AG:AG)</f>
        <v>0</v>
      </c>
      <c r="AH37" s="29">
        <f>IFERROR(VLOOKUP(Tabela1[[#This Row],[Tag do Cabo]],'Lançamento de Cabos'!AE:AK,7,0),0)</f>
        <v>0</v>
      </c>
      <c r="AI37" s="262" t="s">
        <v>223</v>
      </c>
      <c r="AJ37" s="213" t="s">
        <v>226</v>
      </c>
      <c r="AK37" s="46">
        <v>2009470</v>
      </c>
    </row>
    <row r="38" spans="1:37" s="262" customFormat="1" ht="15" customHeight="1" x14ac:dyDescent="0.2">
      <c r="A38" s="168" t="s">
        <v>227</v>
      </c>
      <c r="B38" s="391" t="s">
        <v>38</v>
      </c>
      <c r="C38" s="391" t="s">
        <v>92</v>
      </c>
      <c r="D38" s="391" t="s">
        <v>92</v>
      </c>
      <c r="E38" s="3" t="s">
        <v>228</v>
      </c>
      <c r="F38" s="11">
        <v>1</v>
      </c>
      <c r="G38" s="391">
        <v>1</v>
      </c>
      <c r="H38" s="391">
        <v>150</v>
      </c>
      <c r="I38" s="391">
        <v>150</v>
      </c>
      <c r="J38" s="391" t="s">
        <v>82</v>
      </c>
      <c r="K38" s="262" t="s">
        <v>229</v>
      </c>
      <c r="L38" s="262" t="s">
        <v>216</v>
      </c>
      <c r="M38" s="22" t="s">
        <v>85</v>
      </c>
      <c r="N38" s="391" t="str">
        <f t="shared" si="1"/>
        <v>Sim</v>
      </c>
      <c r="O38" s="22" t="s">
        <v>86</v>
      </c>
      <c r="P38" s="22" t="s">
        <v>86</v>
      </c>
      <c r="Q38" s="391" t="s">
        <v>184</v>
      </c>
      <c r="R38" s="391">
        <f>SUMIF('Lançamento de Cabos'!$B:$B,Tabela1[[#This Row],[Tag do Cabo]],'Lançamento de Cabos'!$C:$C)</f>
        <v>150</v>
      </c>
      <c r="S38" s="391">
        <f>VLOOKUP(Tabela1[[#This Row],[Tag do Cabo]],'Diagramas Ligações'!A:V,14,0)</f>
        <v>4</v>
      </c>
      <c r="T38" s="262" t="s">
        <v>217</v>
      </c>
      <c r="U38" s="391">
        <v>2</v>
      </c>
      <c r="V38" s="391" t="s">
        <v>186</v>
      </c>
      <c r="W38" s="391" t="s">
        <v>218</v>
      </c>
      <c r="X38" s="32">
        <v>44177</v>
      </c>
      <c r="Y38" s="32">
        <v>44204</v>
      </c>
      <c r="Z38" s="3" t="s">
        <v>219</v>
      </c>
      <c r="AA38" s="45">
        <v>170</v>
      </c>
      <c r="AB3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" s="262" t="s">
        <v>221</v>
      </c>
      <c r="AD38" s="391">
        <f>IF(Tabela1[[#This Row],[Qtde. Lançada]]&gt;Tabela1[[#This Row],[Comprimento Total]],Tabela1[[#This Row],[Qtde. Lançada]],Tabela1[[#This Row],[Comprimento Total]])</f>
        <v>150</v>
      </c>
      <c r="AE38" s="262" t="s">
        <v>190</v>
      </c>
      <c r="AF38" s="391" t="s">
        <v>222</v>
      </c>
      <c r="AG38" s="391">
        <f ca="1">SUMIF('Lançamento de Cabos'!AE:AK,Tabela1[[#This Row],[Tag do Cabo]],'Lançamento de Cabos'!AG:AG)</f>
        <v>0</v>
      </c>
      <c r="AH38" s="29">
        <f>IFERROR(VLOOKUP(Tabela1[[#This Row],[Tag do Cabo]],'Lançamento de Cabos'!AE:AK,7,0),0)</f>
        <v>0</v>
      </c>
      <c r="AI38" s="262" t="s">
        <v>223</v>
      </c>
      <c r="AJ38" s="213" t="s">
        <v>230</v>
      </c>
      <c r="AK38" s="46">
        <v>306860</v>
      </c>
    </row>
    <row r="39" spans="1:37" s="262" customFormat="1" ht="15" customHeight="1" x14ac:dyDescent="0.2">
      <c r="A39" s="168" t="s">
        <v>231</v>
      </c>
      <c r="B39" s="391" t="s">
        <v>38</v>
      </c>
      <c r="C39" s="391" t="s">
        <v>92</v>
      </c>
      <c r="D39" s="391" t="s">
        <v>92</v>
      </c>
      <c r="E39" s="3" t="s">
        <v>181</v>
      </c>
      <c r="F39" s="11">
        <v>1</v>
      </c>
      <c r="G39" s="391">
        <v>1</v>
      </c>
      <c r="H39" s="391">
        <v>150</v>
      </c>
      <c r="I39" s="391">
        <v>150</v>
      </c>
      <c r="J39" s="391" t="s">
        <v>82</v>
      </c>
      <c r="K39" s="262" t="s">
        <v>229</v>
      </c>
      <c r="L39" s="262" t="s">
        <v>216</v>
      </c>
      <c r="M39" s="22" t="s">
        <v>85</v>
      </c>
      <c r="N39" s="391" t="str">
        <f t="shared" si="1"/>
        <v>Sim</v>
      </c>
      <c r="O39" s="22" t="s">
        <v>86</v>
      </c>
      <c r="P39" s="22" t="s">
        <v>86</v>
      </c>
      <c r="Q39" s="391" t="s">
        <v>184</v>
      </c>
      <c r="R39" s="391">
        <f>SUMIF('Lançamento de Cabos'!$B:$B,Tabela1[[#This Row],[Tag do Cabo]],'Lançamento de Cabos'!$C:$C)</f>
        <v>150</v>
      </c>
      <c r="S39" s="391">
        <f>VLOOKUP(Tabela1[[#This Row],[Tag do Cabo]],'Diagramas Ligações'!A:V,14,0)</f>
        <v>8</v>
      </c>
      <c r="T39" s="262" t="s">
        <v>217</v>
      </c>
      <c r="U39" s="391">
        <v>2</v>
      </c>
      <c r="V39" s="391" t="s">
        <v>186</v>
      </c>
      <c r="W39" s="391" t="s">
        <v>218</v>
      </c>
      <c r="X39" s="32">
        <v>44177</v>
      </c>
      <c r="Y39" s="32">
        <v>44210</v>
      </c>
      <c r="Z39" s="3" t="s">
        <v>232</v>
      </c>
      <c r="AA39" s="45">
        <v>217</v>
      </c>
      <c r="AB3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9" s="262" t="s">
        <v>221</v>
      </c>
      <c r="AD39" s="391">
        <f>IF(Tabela1[[#This Row],[Qtde. Lançada]]&gt;Tabela1[[#This Row],[Comprimento Total]],Tabela1[[#This Row],[Qtde. Lançada]],Tabela1[[#This Row],[Comprimento Total]])</f>
        <v>150</v>
      </c>
      <c r="AE39" s="262" t="s">
        <v>190</v>
      </c>
      <c r="AF39" s="391" t="s">
        <v>222</v>
      </c>
      <c r="AG39" s="391">
        <f ca="1">SUMIF('Lançamento de Cabos'!AE:AK,Tabela1[[#This Row],[Tag do Cabo]],'Lançamento de Cabos'!AG:AG)</f>
        <v>0</v>
      </c>
      <c r="AH39" s="29">
        <f>IFERROR(VLOOKUP(Tabela1[[#This Row],[Tag do Cabo]],'Lançamento de Cabos'!AE:AK,7,0),0)</f>
        <v>0</v>
      </c>
      <c r="AI39" s="262" t="s">
        <v>223</v>
      </c>
      <c r="AJ39" s="213" t="s">
        <v>233</v>
      </c>
      <c r="AK39" s="46">
        <v>2009470</v>
      </c>
    </row>
    <row r="40" spans="1:37" s="262" customFormat="1" ht="15" customHeight="1" x14ac:dyDescent="0.2">
      <c r="A40" s="168" t="s">
        <v>234</v>
      </c>
      <c r="B40" s="391" t="s">
        <v>37</v>
      </c>
      <c r="C40" s="391">
        <v>120</v>
      </c>
      <c r="D40" s="391" t="s">
        <v>80</v>
      </c>
      <c r="E40" s="3" t="s">
        <v>81</v>
      </c>
      <c r="F40" s="11">
        <v>4</v>
      </c>
      <c r="G40" s="391">
        <v>1</v>
      </c>
      <c r="H40" s="391">
        <v>170</v>
      </c>
      <c r="I40" s="391">
        <v>170</v>
      </c>
      <c r="J40" s="391" t="s">
        <v>235</v>
      </c>
      <c r="K40" s="262" t="s">
        <v>236</v>
      </c>
      <c r="L40" s="262" t="s">
        <v>237</v>
      </c>
      <c r="M40" s="22" t="s">
        <v>85</v>
      </c>
      <c r="N40" s="22" t="s">
        <v>86</v>
      </c>
      <c r="O40" s="391" t="str">
        <f>"Sim"</f>
        <v>Sim</v>
      </c>
      <c r="P40" s="22" t="s">
        <v>86</v>
      </c>
      <c r="Q40" s="91" t="s">
        <v>87</v>
      </c>
      <c r="R40" s="391">
        <f>SUMIF('Lançamento de Cabos'!$B:$B,Tabela1[[#This Row],[Tag do Cabo]],'Lançamento de Cabos'!$C:$C)</f>
        <v>170</v>
      </c>
      <c r="S40" s="391">
        <f>VLOOKUP(Tabela1[[#This Row],[Tag do Cabo]],'Diagramas Ligações'!A:V,14,0)</f>
        <v>4</v>
      </c>
      <c r="T40" s="262" t="s">
        <v>88</v>
      </c>
      <c r="U40" s="391">
        <v>5</v>
      </c>
      <c r="V40" s="391"/>
      <c r="W40" s="391" t="s">
        <v>198</v>
      </c>
      <c r="X40" s="32">
        <v>44177</v>
      </c>
      <c r="Y40" s="32">
        <v>44218</v>
      </c>
      <c r="Z40" s="31" t="s">
        <v>108</v>
      </c>
      <c r="AA40" s="45">
        <v>178</v>
      </c>
      <c r="AB4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0" s="262" t="s">
        <v>200</v>
      </c>
      <c r="AD40" s="391">
        <f>IF(Tabela1[[#This Row],[Qtde. Lançada]]&gt;Tabela1[[#This Row],[Comprimento Total]],Tabela1[[#This Row],[Qtde. Lançada]],Tabela1[[#This Row],[Comprimento Total]])</f>
        <v>170</v>
      </c>
      <c r="AE40" s="391" t="s">
        <v>92</v>
      </c>
      <c r="AF40" s="391" t="s">
        <v>238</v>
      </c>
      <c r="AG40" s="391">
        <f ca="1">SUMIF('Lançamento de Cabos'!AE:AK,Tabela1[[#This Row],[Tag do Cabo]],'Lançamento de Cabos'!AG:AG)</f>
        <v>0</v>
      </c>
      <c r="AH40" s="29">
        <f>IFERROR(VLOOKUP(Tabela1[[#This Row],[Tag do Cabo]],'Lançamento de Cabos'!AE:AK,7,0),0)</f>
        <v>0</v>
      </c>
      <c r="AI40" s="262" t="s">
        <v>94</v>
      </c>
      <c r="AJ40" s="212" t="s">
        <v>202</v>
      </c>
      <c r="AK40" s="46">
        <v>3160463</v>
      </c>
    </row>
    <row r="41" spans="1:37" s="262" customFormat="1" ht="15" customHeight="1" x14ac:dyDescent="0.2">
      <c r="A41" s="168" t="s">
        <v>239</v>
      </c>
      <c r="B41" s="391" t="s">
        <v>37</v>
      </c>
      <c r="C41" s="391">
        <v>2400</v>
      </c>
      <c r="D41" s="391" t="s">
        <v>240</v>
      </c>
      <c r="E41" s="3" t="s">
        <v>241</v>
      </c>
      <c r="F41" s="11">
        <v>185</v>
      </c>
      <c r="G41" s="391">
        <v>3</v>
      </c>
      <c r="H41" s="391">
        <v>170</v>
      </c>
      <c r="I41" s="391">
        <v>510</v>
      </c>
      <c r="J41" s="391" t="s">
        <v>235</v>
      </c>
      <c r="K41" s="262" t="s">
        <v>196</v>
      </c>
      <c r="L41" s="262" t="s">
        <v>242</v>
      </c>
      <c r="M41" s="22" t="s">
        <v>85</v>
      </c>
      <c r="N41" s="22" t="s">
        <v>86</v>
      </c>
      <c r="O41" s="391" t="s">
        <v>85</v>
      </c>
      <c r="P41" s="391" t="s">
        <v>85</v>
      </c>
      <c r="Q41" s="91" t="s">
        <v>243</v>
      </c>
      <c r="R41" s="391">
        <f>SUMIF('Lançamento de Cabos'!$B:$B,Tabela1[[#This Row],[Tag do Cabo]],'Lançamento de Cabos'!$C:$C)</f>
        <v>510</v>
      </c>
      <c r="S41" s="391">
        <f>VLOOKUP(Tabela1[[#This Row],[Tag do Cabo]],'Diagramas Ligações'!A:V,14,0)</f>
        <v>6</v>
      </c>
      <c r="T41" s="262" t="s">
        <v>88</v>
      </c>
      <c r="U41" s="391">
        <v>5</v>
      </c>
      <c r="V41" s="391"/>
      <c r="W41" s="391" t="s">
        <v>198</v>
      </c>
      <c r="X41" s="32">
        <v>44177</v>
      </c>
      <c r="Y41" s="32">
        <v>44218</v>
      </c>
      <c r="Z41" s="31" t="s">
        <v>244</v>
      </c>
      <c r="AA41" s="45">
        <v>117</v>
      </c>
      <c r="AB4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1" s="262" t="s">
        <v>200</v>
      </c>
      <c r="AD41" s="391">
        <f>IF(Tabela1[[#This Row],[Qtde. Lançada]]&gt;Tabela1[[#This Row],[Comprimento Total]],Tabela1[[#This Row],[Qtde. Lançada]],Tabela1[[#This Row],[Comprimento Total]])</f>
        <v>510</v>
      </c>
      <c r="AE41" s="391" t="s">
        <v>92</v>
      </c>
      <c r="AF41" s="391" t="s">
        <v>238</v>
      </c>
      <c r="AG41" s="391">
        <f ca="1">SUMIF('Lançamento de Cabos'!AE:AK,Tabela1[[#This Row],[Tag do Cabo]],'Lançamento de Cabos'!AG:AG)</f>
        <v>6</v>
      </c>
      <c r="AH41" s="29">
        <f>IFERROR(VLOOKUP(Tabela1[[#This Row],[Tag do Cabo]],'Lançamento de Cabos'!AE:AK,7,0),0)</f>
        <v>1</v>
      </c>
      <c r="AI41" s="262" t="s">
        <v>94</v>
      </c>
      <c r="AJ41" s="212" t="s">
        <v>202</v>
      </c>
      <c r="AK41" s="46">
        <v>933028</v>
      </c>
    </row>
    <row r="42" spans="1:37" s="262" customFormat="1" ht="15" customHeight="1" x14ac:dyDescent="0.2">
      <c r="A42" s="168" t="s">
        <v>245</v>
      </c>
      <c r="B42" s="391" t="s">
        <v>38</v>
      </c>
      <c r="C42" s="391" t="s">
        <v>246</v>
      </c>
      <c r="D42" s="391">
        <v>0.3</v>
      </c>
      <c r="E42" s="3" t="s">
        <v>247</v>
      </c>
      <c r="F42" s="11">
        <v>1</v>
      </c>
      <c r="G42" s="391">
        <v>1</v>
      </c>
      <c r="H42" s="391">
        <v>170</v>
      </c>
      <c r="I42" s="391">
        <v>170</v>
      </c>
      <c r="J42" s="391" t="s">
        <v>235</v>
      </c>
      <c r="K42" s="262" t="s">
        <v>196</v>
      </c>
      <c r="L42" s="262" t="s">
        <v>248</v>
      </c>
      <c r="M42" s="22" t="s">
        <v>85</v>
      </c>
      <c r="N42" s="22" t="s">
        <v>85</v>
      </c>
      <c r="O42" s="22" t="s">
        <v>86</v>
      </c>
      <c r="P42" s="22" t="s">
        <v>86</v>
      </c>
      <c r="Q42" s="91" t="s">
        <v>249</v>
      </c>
      <c r="R42" s="391">
        <f>SUMIF('Lançamento de Cabos'!$B:$B,Tabela1[[#This Row],[Tag do Cabo]],'Lançamento de Cabos'!$C:$C)</f>
        <v>170</v>
      </c>
      <c r="S42" s="391">
        <f>VLOOKUP(Tabela1[[#This Row],[Tag do Cabo]],'Diagramas Ligações'!A:V,14,0)</f>
        <v>48</v>
      </c>
      <c r="T42" s="262" t="s">
        <v>88</v>
      </c>
      <c r="U42" s="391">
        <v>5</v>
      </c>
      <c r="V42" s="391" t="s">
        <v>186</v>
      </c>
      <c r="W42" s="391" t="s">
        <v>198</v>
      </c>
      <c r="X42" s="32">
        <v>44177</v>
      </c>
      <c r="Y42" s="32">
        <v>44218</v>
      </c>
      <c r="Z42" s="31" t="s">
        <v>250</v>
      </c>
      <c r="AA42" s="45">
        <v>130</v>
      </c>
      <c r="AB4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" s="262" t="s">
        <v>200</v>
      </c>
      <c r="AD42" s="391">
        <f>IF(Tabela1[[#This Row],[Qtde. Lançada]]&gt;Tabela1[[#This Row],[Comprimento Total]],Tabela1[[#This Row],[Qtde. Lançada]],Tabela1[[#This Row],[Comprimento Total]])</f>
        <v>170</v>
      </c>
      <c r="AE42" s="391" t="s">
        <v>92</v>
      </c>
      <c r="AF42" s="391" t="s">
        <v>238</v>
      </c>
      <c r="AG42" s="391">
        <f ca="1">SUMIF('Lançamento de Cabos'!AE:AK,Tabela1[[#This Row],[Tag do Cabo]],'Lançamento de Cabos'!AG:AG)</f>
        <v>0</v>
      </c>
      <c r="AH42" s="29">
        <f>IFERROR(VLOOKUP(Tabela1[[#This Row],[Tag do Cabo]],'Lançamento de Cabos'!AE:AK,7,0),0)</f>
        <v>0</v>
      </c>
      <c r="AI42" s="262" t="s">
        <v>94</v>
      </c>
      <c r="AJ42" s="212" t="s">
        <v>202</v>
      </c>
      <c r="AK42" s="46">
        <v>1414059</v>
      </c>
    </row>
    <row r="43" spans="1:37" s="262" customFormat="1" ht="15" customHeight="1" x14ac:dyDescent="0.2">
      <c r="A43" s="168" t="s">
        <v>251</v>
      </c>
      <c r="B43" s="391" t="s">
        <v>38</v>
      </c>
      <c r="C43" s="391">
        <v>125</v>
      </c>
      <c r="D43" s="391" t="s">
        <v>80</v>
      </c>
      <c r="E43" s="3" t="s">
        <v>195</v>
      </c>
      <c r="F43" s="11">
        <v>2.5</v>
      </c>
      <c r="G43" s="391">
        <v>1</v>
      </c>
      <c r="H43" s="391">
        <v>170</v>
      </c>
      <c r="I43" s="391">
        <v>170</v>
      </c>
      <c r="J43" s="391" t="s">
        <v>235</v>
      </c>
      <c r="K43" s="262" t="s">
        <v>252</v>
      </c>
      <c r="L43" s="262" t="s">
        <v>253</v>
      </c>
      <c r="M43" s="22" t="s">
        <v>85</v>
      </c>
      <c r="N43" s="391" t="str">
        <f>"Sim"</f>
        <v>Sim</v>
      </c>
      <c r="O43" s="22" t="s">
        <v>86</v>
      </c>
      <c r="P43" s="22" t="s">
        <v>86</v>
      </c>
      <c r="Q43" s="91" t="s">
        <v>139</v>
      </c>
      <c r="R43" s="391">
        <f>SUMIF('Lançamento de Cabos'!$B:$B,Tabela1[[#This Row],[Tag do Cabo]],'Lançamento de Cabos'!$C:$C)</f>
        <v>170</v>
      </c>
      <c r="S43" s="391">
        <f>VLOOKUP(Tabela1[[#This Row],[Tag do Cabo]],'Diagramas Ligações'!A:V,14,0)</f>
        <v>8</v>
      </c>
      <c r="T43" s="262" t="s">
        <v>88</v>
      </c>
      <c r="U43" s="391">
        <v>5</v>
      </c>
      <c r="V43" s="391" t="s">
        <v>140</v>
      </c>
      <c r="W43" s="391" t="s">
        <v>198</v>
      </c>
      <c r="X43" s="32">
        <v>44177</v>
      </c>
      <c r="Y43" s="32">
        <v>44218</v>
      </c>
      <c r="Z43" s="31" t="s">
        <v>199</v>
      </c>
      <c r="AA43" s="45">
        <v>71</v>
      </c>
      <c r="AB4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" s="262" t="s">
        <v>200</v>
      </c>
      <c r="AD43" s="391">
        <f>IF(Tabela1[[#This Row],[Qtde. Lançada]]&gt;Tabela1[[#This Row],[Comprimento Total]],Tabela1[[#This Row],[Qtde. Lançada]],Tabela1[[#This Row],[Comprimento Total]])</f>
        <v>170</v>
      </c>
      <c r="AE43" s="391" t="s">
        <v>92</v>
      </c>
      <c r="AF43" s="391" t="s">
        <v>238</v>
      </c>
      <c r="AG43" s="391">
        <f ca="1">SUMIF('Lançamento de Cabos'!AE:AK,Tabela1[[#This Row],[Tag do Cabo]],'Lançamento de Cabos'!AG:AG)</f>
        <v>0</v>
      </c>
      <c r="AH43" s="29">
        <f>IFERROR(VLOOKUP(Tabela1[[#This Row],[Tag do Cabo]],'Lançamento de Cabos'!AE:AK,7,0),0)</f>
        <v>0</v>
      </c>
      <c r="AI43" s="262" t="s">
        <v>94</v>
      </c>
      <c r="AJ43" s="212" t="s">
        <v>202</v>
      </c>
      <c r="AK43" s="46">
        <v>932951</v>
      </c>
    </row>
    <row r="44" spans="1:37" s="262" customFormat="1" ht="15" customHeight="1" x14ac:dyDescent="0.2">
      <c r="A44" s="168" t="s">
        <v>254</v>
      </c>
      <c r="B44" s="391" t="s">
        <v>38</v>
      </c>
      <c r="C44" s="391" t="s">
        <v>92</v>
      </c>
      <c r="D44" s="391" t="s">
        <v>92</v>
      </c>
      <c r="E44" s="3" t="s">
        <v>255</v>
      </c>
      <c r="F44" s="11">
        <v>1</v>
      </c>
      <c r="G44" s="391">
        <v>1</v>
      </c>
      <c r="H44" s="391">
        <v>130</v>
      </c>
      <c r="I44" s="391">
        <v>130</v>
      </c>
      <c r="J44" s="391" t="s">
        <v>235</v>
      </c>
      <c r="K44" s="262" t="s">
        <v>182</v>
      </c>
      <c r="L44" s="262" t="s">
        <v>256</v>
      </c>
      <c r="M44" s="22" t="s">
        <v>85</v>
      </c>
      <c r="N44" s="391" t="str">
        <f>"Sim"</f>
        <v>Sim</v>
      </c>
      <c r="O44" s="22" t="s">
        <v>86</v>
      </c>
      <c r="P44" s="22" t="s">
        <v>86</v>
      </c>
      <c r="Q44" s="391" t="s">
        <v>184</v>
      </c>
      <c r="R44" s="391">
        <f>SUMIF('Lançamento de Cabos'!$B:$B,Tabela1[[#This Row],[Tag do Cabo]],'Lançamento de Cabos'!$C:$C)</f>
        <v>130</v>
      </c>
      <c r="S44" s="391">
        <f>VLOOKUP(Tabela1[[#This Row],[Tag do Cabo]],'Diagramas Ligações'!A:V,14,0)</f>
        <v>8</v>
      </c>
      <c r="T44" s="262" t="s">
        <v>257</v>
      </c>
      <c r="U44" s="391">
        <v>2</v>
      </c>
      <c r="V44" s="391" t="s">
        <v>186</v>
      </c>
      <c r="W44" s="391" t="s">
        <v>258</v>
      </c>
      <c r="X44" s="32">
        <v>44177</v>
      </c>
      <c r="Y44" s="32">
        <v>44210</v>
      </c>
      <c r="Z44" s="3" t="s">
        <v>232</v>
      </c>
      <c r="AA44" s="45">
        <v>125</v>
      </c>
      <c r="AB4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" s="262" t="s">
        <v>200</v>
      </c>
      <c r="AD44" s="391">
        <f>IF(Tabela1[[#This Row],[Qtde. Lançada]]&gt;Tabela1[[#This Row],[Comprimento Total]],Tabela1[[#This Row],[Qtde. Lançada]],Tabela1[[#This Row],[Comprimento Total]])</f>
        <v>130</v>
      </c>
      <c r="AE44" s="262" t="s">
        <v>190</v>
      </c>
      <c r="AF44" s="391" t="s">
        <v>238</v>
      </c>
      <c r="AG44" s="391">
        <f ca="1">SUMIF('Lançamento de Cabos'!AE:AK,Tabela1[[#This Row],[Tag do Cabo]],'Lançamento de Cabos'!AG:AG)</f>
        <v>0</v>
      </c>
      <c r="AH44" s="29">
        <f>IFERROR(VLOOKUP(Tabela1[[#This Row],[Tag do Cabo]],'Lançamento de Cabos'!AE:AK,7,0),0)</f>
        <v>0</v>
      </c>
      <c r="AI44" s="262" t="s">
        <v>259</v>
      </c>
      <c r="AJ44" s="212" t="s">
        <v>202</v>
      </c>
      <c r="AK44" s="46">
        <v>1423312</v>
      </c>
    </row>
    <row r="45" spans="1:37" s="262" customFormat="1" ht="15" customHeight="1" x14ac:dyDescent="0.2">
      <c r="A45" s="168" t="s">
        <v>260</v>
      </c>
      <c r="B45" s="391" t="s">
        <v>38</v>
      </c>
      <c r="C45" s="391" t="s">
        <v>92</v>
      </c>
      <c r="D45" s="391" t="s">
        <v>92</v>
      </c>
      <c r="E45" s="3" t="s">
        <v>255</v>
      </c>
      <c r="F45" s="11">
        <v>1</v>
      </c>
      <c r="G45" s="391">
        <v>1</v>
      </c>
      <c r="H45" s="391">
        <v>130</v>
      </c>
      <c r="I45" s="391">
        <v>130</v>
      </c>
      <c r="J45" s="391" t="s">
        <v>235</v>
      </c>
      <c r="K45" s="262" t="s">
        <v>182</v>
      </c>
      <c r="L45" s="262" t="s">
        <v>256</v>
      </c>
      <c r="M45" s="22" t="s">
        <v>85</v>
      </c>
      <c r="N45" s="391" t="str">
        <f>"Sim"</f>
        <v>Sim</v>
      </c>
      <c r="O45" s="22" t="s">
        <v>86</v>
      </c>
      <c r="P45" s="22" t="s">
        <v>86</v>
      </c>
      <c r="Q45" s="391" t="s">
        <v>184</v>
      </c>
      <c r="R45" s="391">
        <f>SUMIF('Lançamento de Cabos'!$B:$B,Tabela1[[#This Row],[Tag do Cabo]],'Lançamento de Cabos'!$C:$C)</f>
        <v>130</v>
      </c>
      <c r="S45" s="391">
        <f>VLOOKUP(Tabela1[[#This Row],[Tag do Cabo]],'Diagramas Ligações'!A:V,14,0)</f>
        <v>8</v>
      </c>
      <c r="T45" s="262" t="s">
        <v>257</v>
      </c>
      <c r="U45" s="391">
        <v>2</v>
      </c>
      <c r="V45" s="391" t="s">
        <v>186</v>
      </c>
      <c r="W45" s="391" t="s">
        <v>258</v>
      </c>
      <c r="X45" s="32">
        <v>44177</v>
      </c>
      <c r="Y45" s="32">
        <v>44210</v>
      </c>
      <c r="Z45" s="3" t="s">
        <v>232</v>
      </c>
      <c r="AA45" s="45">
        <v>125</v>
      </c>
      <c r="AB4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" s="262" t="s">
        <v>200</v>
      </c>
      <c r="AD45" s="391">
        <f>IF(Tabela1[[#This Row],[Qtde. Lançada]]&gt;Tabela1[[#This Row],[Comprimento Total]],Tabela1[[#This Row],[Qtde. Lançada]],Tabela1[[#This Row],[Comprimento Total]])</f>
        <v>130</v>
      </c>
      <c r="AE45" s="262" t="s">
        <v>190</v>
      </c>
      <c r="AF45" s="391" t="s">
        <v>238</v>
      </c>
      <c r="AG45" s="391">
        <f ca="1">SUMIF('Lançamento de Cabos'!AE:AK,Tabela1[[#This Row],[Tag do Cabo]],'Lançamento de Cabos'!AG:AG)</f>
        <v>0</v>
      </c>
      <c r="AH45" s="29">
        <f>IFERROR(VLOOKUP(Tabela1[[#This Row],[Tag do Cabo]],'Lançamento de Cabos'!AE:AK,7,0),0)</f>
        <v>0</v>
      </c>
      <c r="AI45" s="262" t="s">
        <v>259</v>
      </c>
      <c r="AJ45" s="212" t="s">
        <v>261</v>
      </c>
      <c r="AK45" s="46">
        <v>1423312</v>
      </c>
    </row>
    <row r="46" spans="1:37" s="262" customFormat="1" ht="15" customHeight="1" x14ac:dyDescent="0.2">
      <c r="A46" s="168" t="s">
        <v>262</v>
      </c>
      <c r="B46" s="391" t="s">
        <v>37</v>
      </c>
      <c r="C46" s="391">
        <v>2400</v>
      </c>
      <c r="D46" s="391" t="s">
        <v>240</v>
      </c>
      <c r="E46" s="3" t="s">
        <v>263</v>
      </c>
      <c r="F46" s="11">
        <v>120</v>
      </c>
      <c r="G46" s="391">
        <v>3</v>
      </c>
      <c r="H46" s="391">
        <v>190</v>
      </c>
      <c r="I46" s="391">
        <v>570</v>
      </c>
      <c r="J46" s="391" t="s">
        <v>264</v>
      </c>
      <c r="K46" s="262" t="s">
        <v>196</v>
      </c>
      <c r="L46" s="262" t="s">
        <v>265</v>
      </c>
      <c r="M46" s="22" t="s">
        <v>85</v>
      </c>
      <c r="N46" s="22" t="s">
        <v>86</v>
      </c>
      <c r="O46" s="391" t="s">
        <v>85</v>
      </c>
      <c r="P46" s="391" t="s">
        <v>85</v>
      </c>
      <c r="Q46" s="91" t="s">
        <v>243</v>
      </c>
      <c r="R46" s="391">
        <f>SUMIF('Lançamento de Cabos'!$B:$B,Tabela1[[#This Row],[Tag do Cabo]],'Lançamento de Cabos'!$C:$C)</f>
        <v>720</v>
      </c>
      <c r="S46" s="391">
        <f>VLOOKUP(Tabela1[[#This Row],[Tag do Cabo]],'Diagramas Ligações'!A:V,14,0)</f>
        <v>6</v>
      </c>
      <c r="T46" s="262" t="s">
        <v>88</v>
      </c>
      <c r="U46" s="391">
        <v>5</v>
      </c>
      <c r="V46" s="391"/>
      <c r="W46" s="391" t="s">
        <v>207</v>
      </c>
      <c r="X46" s="32">
        <v>44177</v>
      </c>
      <c r="Y46" s="32">
        <v>44218</v>
      </c>
      <c r="Z46" s="31" t="s">
        <v>244</v>
      </c>
      <c r="AA46" s="45">
        <v>138</v>
      </c>
      <c r="AB4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6" s="262" t="s">
        <v>200</v>
      </c>
      <c r="AD46" s="391">
        <f>IF(Tabela1[[#This Row],[Qtde. Lançada]]&gt;Tabela1[[#This Row],[Comprimento Total]],Tabela1[[#This Row],[Qtde. Lançada]],Tabela1[[#This Row],[Comprimento Total]])</f>
        <v>720</v>
      </c>
      <c r="AE46" s="391" t="s">
        <v>92</v>
      </c>
      <c r="AF46" s="391" t="s">
        <v>266</v>
      </c>
      <c r="AG46" s="391">
        <f ca="1">SUMIF('Lançamento de Cabos'!AE:AK,Tabela1[[#This Row],[Tag do Cabo]],'Lançamento de Cabos'!AG:AG)</f>
        <v>0</v>
      </c>
      <c r="AH46" s="29">
        <f>IFERROR(VLOOKUP(Tabela1[[#This Row],[Tag do Cabo]],'Lançamento de Cabos'!AE:AK,7,0),0)</f>
        <v>0</v>
      </c>
      <c r="AI46" s="262" t="s">
        <v>94</v>
      </c>
      <c r="AJ46" s="212" t="s">
        <v>209</v>
      </c>
      <c r="AK46" s="46">
        <v>933025</v>
      </c>
    </row>
    <row r="47" spans="1:37" s="262" customFormat="1" ht="15" customHeight="1" x14ac:dyDescent="0.2">
      <c r="A47" s="168" t="s">
        <v>267</v>
      </c>
      <c r="B47" s="391" t="s">
        <v>37</v>
      </c>
      <c r="C47" s="391">
        <v>120</v>
      </c>
      <c r="D47" s="391" t="s">
        <v>80</v>
      </c>
      <c r="E47" s="3" t="s">
        <v>268</v>
      </c>
      <c r="F47" s="11">
        <v>6</v>
      </c>
      <c r="G47" s="391">
        <v>1</v>
      </c>
      <c r="H47" s="391">
        <v>190</v>
      </c>
      <c r="I47" s="391">
        <v>190</v>
      </c>
      <c r="J47" s="391" t="s">
        <v>264</v>
      </c>
      <c r="K47" s="262" t="s">
        <v>236</v>
      </c>
      <c r="L47" s="262" t="s">
        <v>269</v>
      </c>
      <c r="M47" s="22" t="s">
        <v>85</v>
      </c>
      <c r="N47" s="22" t="s">
        <v>86</v>
      </c>
      <c r="O47" s="391" t="str">
        <f>"Sim"</f>
        <v>Sim</v>
      </c>
      <c r="P47" s="22" t="s">
        <v>86</v>
      </c>
      <c r="Q47" s="91" t="s">
        <v>270</v>
      </c>
      <c r="R47" s="391">
        <f>SUMIF('Lançamento de Cabos'!$B:$B,Tabela1[[#This Row],[Tag do Cabo]],'Lançamento de Cabos'!$C:$C)</f>
        <v>190</v>
      </c>
      <c r="S47" s="391">
        <f>VLOOKUP(Tabela1[[#This Row],[Tag do Cabo]],'Diagramas Ligações'!A:V,14,0)</f>
        <v>4</v>
      </c>
      <c r="T47" s="262" t="s">
        <v>88</v>
      </c>
      <c r="U47" s="391">
        <v>5</v>
      </c>
      <c r="V47" s="391"/>
      <c r="W47" s="391" t="s">
        <v>207</v>
      </c>
      <c r="X47" s="32">
        <v>44177</v>
      </c>
      <c r="Y47" s="32">
        <v>44218</v>
      </c>
      <c r="Z47" s="31" t="s">
        <v>271</v>
      </c>
      <c r="AA47" s="45" t="s">
        <v>272</v>
      </c>
      <c r="AB4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7" s="262" t="s">
        <v>200</v>
      </c>
      <c r="AD47" s="391">
        <f>IF(Tabela1[[#This Row],[Qtde. Lançada]]&gt;Tabela1[[#This Row],[Comprimento Total]],Tabela1[[#This Row],[Qtde. Lançada]],Tabela1[[#This Row],[Comprimento Total]])</f>
        <v>190</v>
      </c>
      <c r="AE47" s="391" t="s">
        <v>92</v>
      </c>
      <c r="AF47" s="391" t="s">
        <v>266</v>
      </c>
      <c r="AG47" s="391">
        <f ca="1">SUMIF('Lançamento de Cabos'!AE:AK,Tabela1[[#This Row],[Tag do Cabo]],'Lançamento de Cabos'!AG:AG)</f>
        <v>0</v>
      </c>
      <c r="AH47" s="29">
        <f>IFERROR(VLOOKUP(Tabela1[[#This Row],[Tag do Cabo]],'Lançamento de Cabos'!AE:AK,7,0),0)</f>
        <v>0</v>
      </c>
      <c r="AI47" s="262" t="s">
        <v>94</v>
      </c>
      <c r="AJ47" s="212" t="s">
        <v>209</v>
      </c>
      <c r="AK47" s="46">
        <v>330264</v>
      </c>
    </row>
    <row r="48" spans="1:37" s="262" customFormat="1" ht="15" customHeight="1" x14ac:dyDescent="0.2">
      <c r="A48" s="168" t="s">
        <v>273</v>
      </c>
      <c r="B48" s="391" t="s">
        <v>38</v>
      </c>
      <c r="C48" s="391" t="s">
        <v>246</v>
      </c>
      <c r="D48" s="391">
        <v>0.3</v>
      </c>
      <c r="E48" s="3" t="s">
        <v>247</v>
      </c>
      <c r="F48" s="11">
        <v>1</v>
      </c>
      <c r="G48" s="391">
        <v>1</v>
      </c>
      <c r="H48" s="391">
        <v>190</v>
      </c>
      <c r="I48" s="391">
        <v>190</v>
      </c>
      <c r="J48" s="391" t="s">
        <v>264</v>
      </c>
      <c r="K48" s="262" t="s">
        <v>196</v>
      </c>
      <c r="L48" s="262" t="s">
        <v>274</v>
      </c>
      <c r="M48" s="22" t="s">
        <v>85</v>
      </c>
      <c r="N48" s="22" t="s">
        <v>85</v>
      </c>
      <c r="O48" s="22" t="s">
        <v>86</v>
      </c>
      <c r="P48" s="22" t="s">
        <v>86</v>
      </c>
      <c r="Q48" s="91" t="s">
        <v>249</v>
      </c>
      <c r="R48" s="391">
        <f>SUMIF('Lançamento de Cabos'!$B:$B,Tabela1[[#This Row],[Tag do Cabo]],'Lançamento de Cabos'!$C:$C)</f>
        <v>190</v>
      </c>
      <c r="S48" s="391">
        <f>VLOOKUP(Tabela1[[#This Row],[Tag do Cabo]],'Diagramas Ligações'!A:V,14,0)</f>
        <v>48</v>
      </c>
      <c r="T48" s="262" t="s">
        <v>88</v>
      </c>
      <c r="U48" s="391">
        <v>5</v>
      </c>
      <c r="V48" s="391" t="s">
        <v>186</v>
      </c>
      <c r="W48" s="391" t="s">
        <v>207</v>
      </c>
      <c r="X48" s="32">
        <v>44177</v>
      </c>
      <c r="Y48" s="32">
        <v>44218</v>
      </c>
      <c r="Z48" s="31" t="s">
        <v>275</v>
      </c>
      <c r="AA48" s="45">
        <v>130</v>
      </c>
      <c r="AB4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8" s="262" t="s">
        <v>200</v>
      </c>
      <c r="AD48" s="391">
        <f>IF(Tabela1[[#This Row],[Qtde. Lançada]]&gt;Tabela1[[#This Row],[Comprimento Total]],Tabela1[[#This Row],[Qtde. Lançada]],Tabela1[[#This Row],[Comprimento Total]])</f>
        <v>190</v>
      </c>
      <c r="AE48" s="391" t="s">
        <v>92</v>
      </c>
      <c r="AF48" s="391" t="s">
        <v>266</v>
      </c>
      <c r="AG48" s="391">
        <f ca="1">SUMIF('Lançamento de Cabos'!AE:AK,Tabela1[[#This Row],[Tag do Cabo]],'Lançamento de Cabos'!AG:AG)</f>
        <v>0</v>
      </c>
      <c r="AH48" s="29">
        <f>IFERROR(VLOOKUP(Tabela1[[#This Row],[Tag do Cabo]],'Lançamento de Cabos'!AE:AK,7,0),0)</f>
        <v>0</v>
      </c>
      <c r="AI48" s="262" t="s">
        <v>94</v>
      </c>
      <c r="AJ48" s="212" t="s">
        <v>209</v>
      </c>
      <c r="AK48" s="46">
        <v>1414059</v>
      </c>
    </row>
    <row r="49" spans="1:37" s="262" customFormat="1" ht="15" customHeight="1" x14ac:dyDescent="0.2">
      <c r="A49" s="168" t="s">
        <v>276</v>
      </c>
      <c r="B49" s="391" t="s">
        <v>38</v>
      </c>
      <c r="C49" s="391">
        <v>125</v>
      </c>
      <c r="D49" s="391" t="s">
        <v>80</v>
      </c>
      <c r="E49" s="3" t="s">
        <v>195</v>
      </c>
      <c r="F49" s="11">
        <v>2.5</v>
      </c>
      <c r="G49" s="391">
        <v>1</v>
      </c>
      <c r="H49" s="391">
        <v>190</v>
      </c>
      <c r="I49" s="391">
        <v>190</v>
      </c>
      <c r="J49" s="391" t="s">
        <v>264</v>
      </c>
      <c r="K49" s="262" t="s">
        <v>252</v>
      </c>
      <c r="L49" s="262" t="s">
        <v>277</v>
      </c>
      <c r="M49" s="22" t="s">
        <v>85</v>
      </c>
      <c r="N49" s="391" t="str">
        <f>"Sim"</f>
        <v>Sim</v>
      </c>
      <c r="O49" s="22" t="s">
        <v>86</v>
      </c>
      <c r="P49" s="22" t="s">
        <v>86</v>
      </c>
      <c r="Q49" s="91" t="s">
        <v>139</v>
      </c>
      <c r="R49" s="391">
        <f>SUMIF('Lançamento de Cabos'!$B:$B,Tabela1[[#This Row],[Tag do Cabo]],'Lançamento de Cabos'!$C:$C)</f>
        <v>190</v>
      </c>
      <c r="S49" s="391">
        <f>VLOOKUP(Tabela1[[#This Row],[Tag do Cabo]],'Diagramas Ligações'!A:V,14,0)</f>
        <v>12</v>
      </c>
      <c r="T49" s="262" t="s">
        <v>88</v>
      </c>
      <c r="U49" s="391">
        <v>5</v>
      </c>
      <c r="V49" s="391" t="s">
        <v>140</v>
      </c>
      <c r="W49" s="391" t="s">
        <v>207</v>
      </c>
      <c r="X49" s="32">
        <v>44177</v>
      </c>
      <c r="Y49" s="32">
        <v>44218</v>
      </c>
      <c r="Z49" s="31" t="s">
        <v>278</v>
      </c>
      <c r="AA49" s="45" t="s">
        <v>279</v>
      </c>
      <c r="AB4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9" s="262" t="s">
        <v>200</v>
      </c>
      <c r="AD49" s="391">
        <f>IF(Tabela1[[#This Row],[Qtde. Lançada]]&gt;Tabela1[[#This Row],[Comprimento Total]],Tabela1[[#This Row],[Qtde. Lançada]],Tabela1[[#This Row],[Comprimento Total]])</f>
        <v>190</v>
      </c>
      <c r="AE49" s="391" t="s">
        <v>92</v>
      </c>
      <c r="AF49" s="391" t="s">
        <v>266</v>
      </c>
      <c r="AG49" s="391">
        <f ca="1">SUMIF('Lançamento de Cabos'!AE:AK,Tabela1[[#This Row],[Tag do Cabo]],'Lançamento de Cabos'!AG:AG)</f>
        <v>0</v>
      </c>
      <c r="AH49" s="29">
        <f>IFERROR(VLOOKUP(Tabela1[[#This Row],[Tag do Cabo]],'Lançamento de Cabos'!AE:AK,7,0),0)</f>
        <v>0</v>
      </c>
      <c r="AI49" s="262" t="s">
        <v>94</v>
      </c>
      <c r="AJ49" s="212" t="s">
        <v>209</v>
      </c>
      <c r="AK49" s="46">
        <v>932951</v>
      </c>
    </row>
    <row r="50" spans="1:37" s="262" customFormat="1" ht="15" customHeight="1" x14ac:dyDescent="0.2">
      <c r="A50" s="168" t="s">
        <v>280</v>
      </c>
      <c r="B50" s="391" t="s">
        <v>37</v>
      </c>
      <c r="C50" s="391">
        <v>120</v>
      </c>
      <c r="D50" s="391" t="s">
        <v>80</v>
      </c>
      <c r="E50" s="3" t="s">
        <v>281</v>
      </c>
      <c r="F50" s="11">
        <v>10</v>
      </c>
      <c r="G50" s="391">
        <v>1</v>
      </c>
      <c r="H50" s="391">
        <v>210</v>
      </c>
      <c r="I50" s="391">
        <v>210</v>
      </c>
      <c r="J50" s="391" t="s">
        <v>282</v>
      </c>
      <c r="K50" s="262" t="s">
        <v>236</v>
      </c>
      <c r="L50" s="262" t="s">
        <v>283</v>
      </c>
      <c r="M50" s="22" t="s">
        <v>85</v>
      </c>
      <c r="N50" s="22" t="s">
        <v>86</v>
      </c>
      <c r="O50" s="391" t="str">
        <f>"Sim"</f>
        <v>Sim</v>
      </c>
      <c r="P50" s="22" t="s">
        <v>86</v>
      </c>
      <c r="Q50" s="91" t="s">
        <v>284</v>
      </c>
      <c r="R50" s="391">
        <f>SUMIF('Lançamento de Cabos'!$B:$B,Tabela1[[#This Row],[Tag do Cabo]],'Lançamento de Cabos'!$C:$C)</f>
        <v>210</v>
      </c>
      <c r="S50" s="391">
        <f>VLOOKUP(Tabela1[[#This Row],[Tag do Cabo]],'Diagramas Ligações'!A:V,14,0)</f>
        <v>4</v>
      </c>
      <c r="T50" s="262" t="s">
        <v>88</v>
      </c>
      <c r="U50" s="391">
        <v>5</v>
      </c>
      <c r="V50" s="391"/>
      <c r="W50" s="391" t="s">
        <v>211</v>
      </c>
      <c r="X50" s="32">
        <v>44177</v>
      </c>
      <c r="Y50" s="32">
        <v>44218</v>
      </c>
      <c r="Z50" s="31" t="s">
        <v>108</v>
      </c>
      <c r="AA50" s="45">
        <v>171</v>
      </c>
      <c r="AB5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0" s="262" t="s">
        <v>200</v>
      </c>
      <c r="AD50" s="391">
        <f>IF(Tabela1[[#This Row],[Qtde. Lançada]]&gt;Tabela1[[#This Row],[Comprimento Total]],Tabela1[[#This Row],[Qtde. Lançada]],Tabela1[[#This Row],[Comprimento Total]])</f>
        <v>210</v>
      </c>
      <c r="AE50" s="391" t="s">
        <v>92</v>
      </c>
      <c r="AF50" s="391" t="s">
        <v>285</v>
      </c>
      <c r="AG50" s="391">
        <f ca="1">SUMIF('Lançamento de Cabos'!AE:AK,Tabela1[[#This Row],[Tag do Cabo]],'Lançamento de Cabos'!AG:AG)</f>
        <v>0</v>
      </c>
      <c r="AH50" s="29">
        <f>IFERROR(VLOOKUP(Tabela1[[#This Row],[Tag do Cabo]],'Lançamento de Cabos'!AE:AK,7,0),0)</f>
        <v>0</v>
      </c>
      <c r="AI50" s="262" t="s">
        <v>94</v>
      </c>
      <c r="AJ50" s="212" t="s">
        <v>212</v>
      </c>
      <c r="AK50" s="46">
        <v>932805</v>
      </c>
    </row>
    <row r="51" spans="1:37" s="262" customFormat="1" ht="15" customHeight="1" x14ac:dyDescent="0.2">
      <c r="A51" s="168" t="s">
        <v>286</v>
      </c>
      <c r="B51" s="391" t="s">
        <v>37</v>
      </c>
      <c r="C51" s="391">
        <v>2400</v>
      </c>
      <c r="D51" s="391" t="s">
        <v>240</v>
      </c>
      <c r="E51" s="3" t="s">
        <v>263</v>
      </c>
      <c r="F51" s="11">
        <v>120</v>
      </c>
      <c r="G51" s="391">
        <v>3</v>
      </c>
      <c r="H51" s="391">
        <v>210</v>
      </c>
      <c r="I51" s="391">
        <v>630</v>
      </c>
      <c r="J51" s="391" t="s">
        <v>282</v>
      </c>
      <c r="K51" s="262" t="s">
        <v>196</v>
      </c>
      <c r="L51" s="262" t="s">
        <v>287</v>
      </c>
      <c r="M51" s="22" t="s">
        <v>85</v>
      </c>
      <c r="N51" s="22" t="s">
        <v>86</v>
      </c>
      <c r="O51" s="391" t="s">
        <v>85</v>
      </c>
      <c r="P51" s="391" t="s">
        <v>85</v>
      </c>
      <c r="Q51" s="91" t="s">
        <v>243</v>
      </c>
      <c r="R51" s="391">
        <f>SUMIF('Lançamento de Cabos'!$B:$B,Tabela1[[#This Row],[Tag do Cabo]],'Lançamento de Cabos'!$C:$C)</f>
        <v>630</v>
      </c>
      <c r="S51" s="391">
        <f>VLOOKUP(Tabela1[[#This Row],[Tag do Cabo]],'Diagramas Ligações'!A:V,14,0)</f>
        <v>6</v>
      </c>
      <c r="T51" s="262" t="s">
        <v>88</v>
      </c>
      <c r="U51" s="391">
        <v>5</v>
      </c>
      <c r="V51" s="391"/>
      <c r="W51" s="391" t="s">
        <v>211</v>
      </c>
      <c r="X51" s="32">
        <v>44177</v>
      </c>
      <c r="Y51" s="32">
        <v>44218</v>
      </c>
      <c r="Z51" s="31" t="s">
        <v>244</v>
      </c>
      <c r="AA51" s="45">
        <v>27</v>
      </c>
      <c r="AB5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1" s="262" t="s">
        <v>200</v>
      </c>
      <c r="AD51" s="391">
        <f>IF(Tabela1[[#This Row],[Qtde. Lançada]]&gt;Tabela1[[#This Row],[Comprimento Total]],Tabela1[[#This Row],[Qtde. Lançada]],Tabela1[[#This Row],[Comprimento Total]])</f>
        <v>630</v>
      </c>
      <c r="AE51" s="391" t="s">
        <v>92</v>
      </c>
      <c r="AF51" s="391" t="s">
        <v>285</v>
      </c>
      <c r="AG51" s="391">
        <f ca="1">SUMIF('Lançamento de Cabos'!AE:AK,Tabela1[[#This Row],[Tag do Cabo]],'Lançamento de Cabos'!AG:AG)</f>
        <v>0</v>
      </c>
      <c r="AH51" s="29">
        <f>IFERROR(VLOOKUP(Tabela1[[#This Row],[Tag do Cabo]],'Lançamento de Cabos'!AE:AK,7,0),0)</f>
        <v>0</v>
      </c>
      <c r="AI51" s="262" t="s">
        <v>94</v>
      </c>
      <c r="AJ51" s="212" t="s">
        <v>212</v>
      </c>
      <c r="AK51" s="46">
        <v>933025</v>
      </c>
    </row>
    <row r="52" spans="1:37" s="262" customFormat="1" ht="15" customHeight="1" x14ac:dyDescent="0.2">
      <c r="A52" s="168" t="s">
        <v>288</v>
      </c>
      <c r="B52" s="391" t="s">
        <v>38</v>
      </c>
      <c r="C52" s="391" t="s">
        <v>246</v>
      </c>
      <c r="D52" s="391">
        <v>0.3</v>
      </c>
      <c r="E52" s="3" t="s">
        <v>247</v>
      </c>
      <c r="F52" s="11">
        <v>1</v>
      </c>
      <c r="G52" s="391">
        <v>1</v>
      </c>
      <c r="H52" s="391">
        <v>210</v>
      </c>
      <c r="I52" s="391">
        <v>210</v>
      </c>
      <c r="J52" s="391" t="s">
        <v>282</v>
      </c>
      <c r="K52" s="262" t="s">
        <v>196</v>
      </c>
      <c r="L52" s="262" t="s">
        <v>289</v>
      </c>
      <c r="M52" s="22" t="s">
        <v>85</v>
      </c>
      <c r="N52" s="22" t="s">
        <v>85</v>
      </c>
      <c r="O52" s="22" t="s">
        <v>86</v>
      </c>
      <c r="P52" s="22" t="s">
        <v>86</v>
      </c>
      <c r="Q52" s="91" t="s">
        <v>249</v>
      </c>
      <c r="R52" s="391">
        <f>SUMIF('Lançamento de Cabos'!$B:$B,Tabela1[[#This Row],[Tag do Cabo]],'Lançamento de Cabos'!$C:$C)</f>
        <v>210</v>
      </c>
      <c r="S52" s="391">
        <f>VLOOKUP(Tabela1[[#This Row],[Tag do Cabo]],'Diagramas Ligações'!A:V,14,0)</f>
        <v>48</v>
      </c>
      <c r="T52" s="262" t="s">
        <v>88</v>
      </c>
      <c r="U52" s="391">
        <v>5</v>
      </c>
      <c r="V52" s="391" t="s">
        <v>186</v>
      </c>
      <c r="W52" s="391" t="s">
        <v>211</v>
      </c>
      <c r="X52" s="32">
        <v>44177</v>
      </c>
      <c r="Y52" s="32">
        <v>44218</v>
      </c>
      <c r="Z52" s="31" t="s">
        <v>250</v>
      </c>
      <c r="AA52" s="45">
        <v>130</v>
      </c>
      <c r="AB5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2" s="262" t="s">
        <v>200</v>
      </c>
      <c r="AD52" s="391">
        <f>IF(Tabela1[[#This Row],[Qtde. Lançada]]&gt;Tabela1[[#This Row],[Comprimento Total]],Tabela1[[#This Row],[Qtde. Lançada]],Tabela1[[#This Row],[Comprimento Total]])</f>
        <v>210</v>
      </c>
      <c r="AE52" s="391" t="s">
        <v>92</v>
      </c>
      <c r="AF52" s="391" t="s">
        <v>285</v>
      </c>
      <c r="AG52" s="391">
        <f ca="1">SUMIF('Lançamento de Cabos'!AE:AK,Tabela1[[#This Row],[Tag do Cabo]],'Lançamento de Cabos'!AG:AG)</f>
        <v>0</v>
      </c>
      <c r="AH52" s="29">
        <f>IFERROR(VLOOKUP(Tabela1[[#This Row],[Tag do Cabo]],'Lançamento de Cabos'!AE:AK,7,0),0)</f>
        <v>0</v>
      </c>
      <c r="AI52" s="262" t="s">
        <v>94</v>
      </c>
      <c r="AJ52" s="212" t="s">
        <v>212</v>
      </c>
      <c r="AK52" s="46">
        <v>1414059</v>
      </c>
    </row>
    <row r="53" spans="1:37" s="262" customFormat="1" ht="15" customHeight="1" x14ac:dyDescent="0.2">
      <c r="A53" s="168" t="s">
        <v>290</v>
      </c>
      <c r="B53" s="391" t="s">
        <v>38</v>
      </c>
      <c r="C53" s="391">
        <v>125</v>
      </c>
      <c r="D53" s="391" t="s">
        <v>80</v>
      </c>
      <c r="E53" s="3" t="s">
        <v>195</v>
      </c>
      <c r="F53" s="11">
        <v>2.5</v>
      </c>
      <c r="G53" s="391">
        <v>1</v>
      </c>
      <c r="H53" s="391">
        <v>210</v>
      </c>
      <c r="I53" s="391">
        <v>210</v>
      </c>
      <c r="J53" s="391" t="s">
        <v>282</v>
      </c>
      <c r="K53" s="262" t="s">
        <v>252</v>
      </c>
      <c r="L53" s="262" t="s">
        <v>291</v>
      </c>
      <c r="M53" s="22" t="s">
        <v>85</v>
      </c>
      <c r="N53" s="391" t="str">
        <f>"Sim"</f>
        <v>Sim</v>
      </c>
      <c r="O53" s="22" t="s">
        <v>86</v>
      </c>
      <c r="P53" s="22" t="s">
        <v>86</v>
      </c>
      <c r="Q53" s="91" t="s">
        <v>139</v>
      </c>
      <c r="R53" s="391">
        <f>SUMIF('Lançamento de Cabos'!$B:$B,Tabela1[[#This Row],[Tag do Cabo]],'Lançamento de Cabos'!$C:$C)</f>
        <v>210</v>
      </c>
      <c r="S53" s="391">
        <f>VLOOKUP(Tabela1[[#This Row],[Tag do Cabo]],'Diagramas Ligações'!A:V,14,0)</f>
        <v>8</v>
      </c>
      <c r="T53" s="262" t="s">
        <v>88</v>
      </c>
      <c r="U53" s="391">
        <v>5</v>
      </c>
      <c r="V53" s="391" t="s">
        <v>140</v>
      </c>
      <c r="W53" s="391" t="s">
        <v>211</v>
      </c>
      <c r="X53" s="32">
        <v>44177</v>
      </c>
      <c r="Y53" s="32">
        <v>44218</v>
      </c>
      <c r="Z53" s="31" t="s">
        <v>199</v>
      </c>
      <c r="AA53" s="45">
        <v>71</v>
      </c>
      <c r="AB5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3" s="262" t="s">
        <v>200</v>
      </c>
      <c r="AD53" s="391">
        <f>IF(Tabela1[[#This Row],[Qtde. Lançada]]&gt;Tabela1[[#This Row],[Comprimento Total]],Tabela1[[#This Row],[Qtde. Lançada]],Tabela1[[#This Row],[Comprimento Total]])</f>
        <v>210</v>
      </c>
      <c r="AE53" s="391" t="s">
        <v>92</v>
      </c>
      <c r="AF53" s="391" t="s">
        <v>285</v>
      </c>
      <c r="AG53" s="391">
        <f ca="1">SUMIF('Lançamento de Cabos'!AE:AK,Tabela1[[#This Row],[Tag do Cabo]],'Lançamento de Cabos'!AG:AG)</f>
        <v>0</v>
      </c>
      <c r="AH53" s="29">
        <f>IFERROR(VLOOKUP(Tabela1[[#This Row],[Tag do Cabo]],'Lançamento de Cabos'!AE:AK,7,0),0)</f>
        <v>0</v>
      </c>
      <c r="AI53" s="262" t="s">
        <v>94</v>
      </c>
      <c r="AJ53" s="212" t="s">
        <v>212</v>
      </c>
      <c r="AK53" s="46">
        <v>932951</v>
      </c>
    </row>
    <row r="54" spans="1:37" s="262" customFormat="1" ht="15" customHeight="1" x14ac:dyDescent="0.2">
      <c r="A54" s="168" t="s">
        <v>292</v>
      </c>
      <c r="B54" s="391" t="s">
        <v>37</v>
      </c>
      <c r="C54" s="391">
        <v>120</v>
      </c>
      <c r="D54" s="391" t="s">
        <v>80</v>
      </c>
      <c r="E54" s="3" t="s">
        <v>281</v>
      </c>
      <c r="F54" s="11">
        <v>10</v>
      </c>
      <c r="G54" s="391">
        <v>1</v>
      </c>
      <c r="H54" s="391">
        <v>210</v>
      </c>
      <c r="I54" s="391">
        <v>210</v>
      </c>
      <c r="J54" s="391" t="s">
        <v>282</v>
      </c>
      <c r="K54" s="262" t="s">
        <v>236</v>
      </c>
      <c r="L54" s="262" t="s">
        <v>293</v>
      </c>
      <c r="M54" s="22" t="s">
        <v>85</v>
      </c>
      <c r="N54" s="22" t="s">
        <v>86</v>
      </c>
      <c r="O54" s="391" t="str">
        <f>"Sim"</f>
        <v>Sim</v>
      </c>
      <c r="P54" s="22" t="s">
        <v>86</v>
      </c>
      <c r="Q54" s="91" t="s">
        <v>284</v>
      </c>
      <c r="R54" s="391">
        <f>SUMIF('Lançamento de Cabos'!$B:$B,Tabela1[[#This Row],[Tag do Cabo]],'Lançamento de Cabos'!$C:$C)</f>
        <v>210</v>
      </c>
      <c r="S54" s="391">
        <f>VLOOKUP(Tabela1[[#This Row],[Tag do Cabo]],'Diagramas Ligações'!A:V,14,0)</f>
        <v>4</v>
      </c>
      <c r="T54" s="262" t="s">
        <v>88</v>
      </c>
      <c r="U54" s="391">
        <v>5</v>
      </c>
      <c r="V54" s="391"/>
      <c r="W54" s="391" t="s">
        <v>204</v>
      </c>
      <c r="X54" s="32">
        <v>44177</v>
      </c>
      <c r="Y54" s="32">
        <v>44218</v>
      </c>
      <c r="Z54" s="31" t="s">
        <v>108</v>
      </c>
      <c r="AA54" s="45">
        <v>171</v>
      </c>
      <c r="AB5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4" s="262" t="s">
        <v>200</v>
      </c>
      <c r="AD54" s="391">
        <f>IF(Tabela1[[#This Row],[Qtde. Lançada]]&gt;Tabela1[[#This Row],[Comprimento Total]],Tabela1[[#This Row],[Qtde. Lançada]],Tabela1[[#This Row],[Comprimento Total]])</f>
        <v>210</v>
      </c>
      <c r="AE54" s="391" t="s">
        <v>92</v>
      </c>
      <c r="AF54" s="391" t="s">
        <v>294</v>
      </c>
      <c r="AG54" s="391">
        <f ca="1">SUMIF('Lançamento de Cabos'!AE:AK,Tabela1[[#This Row],[Tag do Cabo]],'Lançamento de Cabos'!AG:AG)</f>
        <v>0</v>
      </c>
      <c r="AH54" s="29">
        <f>IFERROR(VLOOKUP(Tabela1[[#This Row],[Tag do Cabo]],'Lançamento de Cabos'!AE:AK,7,0),0)</f>
        <v>0</v>
      </c>
      <c r="AI54" s="262" t="s">
        <v>94</v>
      </c>
      <c r="AJ54" s="212" t="s">
        <v>205</v>
      </c>
      <c r="AK54" s="46">
        <v>932805</v>
      </c>
    </row>
    <row r="55" spans="1:37" s="262" customFormat="1" ht="15" customHeight="1" x14ac:dyDescent="0.2">
      <c r="A55" s="168" t="s">
        <v>295</v>
      </c>
      <c r="B55" s="391" t="s">
        <v>37</v>
      </c>
      <c r="C55" s="391">
        <v>2400</v>
      </c>
      <c r="D55" s="391" t="s">
        <v>240</v>
      </c>
      <c r="E55" s="3" t="s">
        <v>263</v>
      </c>
      <c r="F55" s="11">
        <v>120</v>
      </c>
      <c r="G55" s="391">
        <v>3</v>
      </c>
      <c r="H55" s="391">
        <v>210</v>
      </c>
      <c r="I55" s="391">
        <v>630</v>
      </c>
      <c r="J55" s="391" t="s">
        <v>282</v>
      </c>
      <c r="K55" s="262" t="s">
        <v>196</v>
      </c>
      <c r="L55" s="262" t="s">
        <v>296</v>
      </c>
      <c r="M55" s="22" t="s">
        <v>85</v>
      </c>
      <c r="N55" s="22" t="s">
        <v>86</v>
      </c>
      <c r="O55" s="391" t="s">
        <v>85</v>
      </c>
      <c r="P55" s="391" t="s">
        <v>85</v>
      </c>
      <c r="Q55" s="91" t="s">
        <v>243</v>
      </c>
      <c r="R55" s="391">
        <f>SUMIF('Lançamento de Cabos'!$B:$B,Tabela1[[#This Row],[Tag do Cabo]],'Lançamento de Cabos'!$C:$C)</f>
        <v>630</v>
      </c>
      <c r="S55" s="391">
        <f>VLOOKUP(Tabela1[[#This Row],[Tag do Cabo]],'Diagramas Ligações'!A:V,14,0)</f>
        <v>6</v>
      </c>
      <c r="T55" s="262" t="s">
        <v>88</v>
      </c>
      <c r="U55" s="391">
        <v>5</v>
      </c>
      <c r="V55" s="391"/>
      <c r="W55" s="391" t="s">
        <v>204</v>
      </c>
      <c r="X55" s="32">
        <v>44177</v>
      </c>
      <c r="Y55" s="32">
        <v>44218</v>
      </c>
      <c r="Z55" s="31" t="s">
        <v>244</v>
      </c>
      <c r="AA55" s="45">
        <v>31</v>
      </c>
      <c r="AB5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5" s="262" t="s">
        <v>200</v>
      </c>
      <c r="AD55" s="391">
        <f>IF(Tabela1[[#This Row],[Qtde. Lançada]]&gt;Tabela1[[#This Row],[Comprimento Total]],Tabela1[[#This Row],[Qtde. Lançada]],Tabela1[[#This Row],[Comprimento Total]])</f>
        <v>630</v>
      </c>
      <c r="AE55" s="391" t="s">
        <v>92</v>
      </c>
      <c r="AF55" s="391" t="s">
        <v>294</v>
      </c>
      <c r="AG55" s="391">
        <f ca="1">SUMIF('Lançamento de Cabos'!AE:AK,Tabela1[[#This Row],[Tag do Cabo]],'Lançamento de Cabos'!AG:AG)</f>
        <v>0</v>
      </c>
      <c r="AH55" s="29">
        <f>IFERROR(VLOOKUP(Tabela1[[#This Row],[Tag do Cabo]],'Lançamento de Cabos'!AE:AK,7,0),0)</f>
        <v>0</v>
      </c>
      <c r="AI55" s="262" t="s">
        <v>94</v>
      </c>
      <c r="AJ55" s="212" t="s">
        <v>205</v>
      </c>
      <c r="AK55" s="46">
        <v>933025</v>
      </c>
    </row>
    <row r="56" spans="1:37" s="262" customFormat="1" ht="15" customHeight="1" x14ac:dyDescent="0.2">
      <c r="A56" s="168" t="s">
        <v>297</v>
      </c>
      <c r="B56" s="391" t="s">
        <v>38</v>
      </c>
      <c r="C56" s="391" t="s">
        <v>246</v>
      </c>
      <c r="D56" s="391">
        <v>0.3</v>
      </c>
      <c r="E56" s="3" t="s">
        <v>247</v>
      </c>
      <c r="F56" s="11">
        <v>1</v>
      </c>
      <c r="G56" s="391">
        <v>1</v>
      </c>
      <c r="H56" s="391">
        <v>210</v>
      </c>
      <c r="I56" s="391">
        <v>210</v>
      </c>
      <c r="J56" s="391" t="s">
        <v>282</v>
      </c>
      <c r="K56" s="262" t="s">
        <v>196</v>
      </c>
      <c r="L56" s="262" t="s">
        <v>298</v>
      </c>
      <c r="M56" s="22" t="s">
        <v>85</v>
      </c>
      <c r="N56" s="22" t="s">
        <v>85</v>
      </c>
      <c r="O56" s="22" t="s">
        <v>86</v>
      </c>
      <c r="P56" s="22" t="s">
        <v>86</v>
      </c>
      <c r="Q56" s="91" t="s">
        <v>249</v>
      </c>
      <c r="R56" s="391">
        <f>SUMIF('Lançamento de Cabos'!$B:$B,Tabela1[[#This Row],[Tag do Cabo]],'Lançamento de Cabos'!$C:$C)</f>
        <v>210</v>
      </c>
      <c r="S56" s="391">
        <f>VLOOKUP(Tabela1[[#This Row],[Tag do Cabo]],'Diagramas Ligações'!A:V,14,0)</f>
        <v>48</v>
      </c>
      <c r="T56" s="262" t="s">
        <v>88</v>
      </c>
      <c r="U56" s="391">
        <v>5</v>
      </c>
      <c r="V56" s="391" t="s">
        <v>186</v>
      </c>
      <c r="W56" s="391" t="s">
        <v>204</v>
      </c>
      <c r="X56" s="32">
        <v>44177</v>
      </c>
      <c r="Y56" s="32">
        <v>44218</v>
      </c>
      <c r="Z56" s="31" t="s">
        <v>250</v>
      </c>
      <c r="AA56" s="45">
        <v>130</v>
      </c>
      <c r="AB5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6" s="262" t="s">
        <v>200</v>
      </c>
      <c r="AD56" s="391">
        <f>IF(Tabela1[[#This Row],[Qtde. Lançada]]&gt;Tabela1[[#This Row],[Comprimento Total]],Tabela1[[#This Row],[Qtde. Lançada]],Tabela1[[#This Row],[Comprimento Total]])</f>
        <v>210</v>
      </c>
      <c r="AE56" s="391" t="s">
        <v>92</v>
      </c>
      <c r="AF56" s="391" t="s">
        <v>294</v>
      </c>
      <c r="AG56" s="391">
        <f ca="1">SUMIF('Lançamento de Cabos'!AE:AK,Tabela1[[#This Row],[Tag do Cabo]],'Lançamento de Cabos'!AG:AG)</f>
        <v>0</v>
      </c>
      <c r="AH56" s="29">
        <f>IFERROR(VLOOKUP(Tabela1[[#This Row],[Tag do Cabo]],'Lançamento de Cabos'!AE:AK,7,0),0)</f>
        <v>0</v>
      </c>
      <c r="AI56" s="262" t="s">
        <v>94</v>
      </c>
      <c r="AJ56" s="212" t="s">
        <v>205</v>
      </c>
      <c r="AK56" s="46">
        <v>1414059</v>
      </c>
    </row>
    <row r="57" spans="1:37" s="262" customFormat="1" ht="15" customHeight="1" x14ac:dyDescent="0.2">
      <c r="A57" s="168" t="s">
        <v>299</v>
      </c>
      <c r="B57" s="391" t="s">
        <v>38</v>
      </c>
      <c r="C57" s="391">
        <v>125</v>
      </c>
      <c r="D57" s="391" t="s">
        <v>80</v>
      </c>
      <c r="E57" s="3" t="s">
        <v>195</v>
      </c>
      <c r="F57" s="11">
        <v>2.5</v>
      </c>
      <c r="G57" s="391">
        <v>1</v>
      </c>
      <c r="H57" s="391">
        <v>210</v>
      </c>
      <c r="I57" s="391">
        <v>210</v>
      </c>
      <c r="J57" s="391" t="s">
        <v>282</v>
      </c>
      <c r="K57" s="262" t="s">
        <v>252</v>
      </c>
      <c r="L57" s="262" t="s">
        <v>300</v>
      </c>
      <c r="M57" s="22" t="s">
        <v>85</v>
      </c>
      <c r="N57" s="391" t="str">
        <f>"Sim"</f>
        <v>Sim</v>
      </c>
      <c r="O57" s="22" t="s">
        <v>86</v>
      </c>
      <c r="P57" s="22" t="s">
        <v>86</v>
      </c>
      <c r="Q57" s="91" t="s">
        <v>139</v>
      </c>
      <c r="R57" s="391">
        <f>SUMIF('Lançamento de Cabos'!$B:$B,Tabela1[[#This Row],[Tag do Cabo]],'Lançamento de Cabos'!$C:$C)</f>
        <v>210</v>
      </c>
      <c r="S57" s="391">
        <f>VLOOKUP(Tabela1[[#This Row],[Tag do Cabo]],'Diagramas Ligações'!A:V,14,0)</f>
        <v>8</v>
      </c>
      <c r="T57" s="262" t="s">
        <v>88</v>
      </c>
      <c r="U57" s="391">
        <v>5</v>
      </c>
      <c r="V57" s="391" t="s">
        <v>140</v>
      </c>
      <c r="W57" s="391" t="s">
        <v>204</v>
      </c>
      <c r="X57" s="32">
        <v>44177</v>
      </c>
      <c r="Y57" s="32">
        <v>44218</v>
      </c>
      <c r="Z57" s="31" t="s">
        <v>199</v>
      </c>
      <c r="AA57" s="45">
        <v>71</v>
      </c>
      <c r="AB5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7" s="262" t="s">
        <v>200</v>
      </c>
      <c r="AD57" s="391">
        <f>IF(Tabela1[[#This Row],[Qtde. Lançada]]&gt;Tabela1[[#This Row],[Comprimento Total]],Tabela1[[#This Row],[Qtde. Lançada]],Tabela1[[#This Row],[Comprimento Total]])</f>
        <v>210</v>
      </c>
      <c r="AE57" s="391" t="s">
        <v>92</v>
      </c>
      <c r="AF57" s="391" t="s">
        <v>294</v>
      </c>
      <c r="AG57" s="391">
        <f ca="1">SUMIF('Lançamento de Cabos'!AE:AK,Tabela1[[#This Row],[Tag do Cabo]],'Lançamento de Cabos'!AG:AG)</f>
        <v>0</v>
      </c>
      <c r="AH57" s="29">
        <f>IFERROR(VLOOKUP(Tabela1[[#This Row],[Tag do Cabo]],'Lançamento de Cabos'!AE:AK,7,0),0)</f>
        <v>0</v>
      </c>
      <c r="AI57" s="262" t="s">
        <v>94</v>
      </c>
      <c r="AJ57" s="212" t="s">
        <v>205</v>
      </c>
      <c r="AK57" s="46">
        <v>932951</v>
      </c>
    </row>
    <row r="58" spans="1:37" s="262" customFormat="1" ht="15" customHeight="1" x14ac:dyDescent="0.2">
      <c r="A58" s="168" t="s">
        <v>301</v>
      </c>
      <c r="B58" s="391" t="s">
        <v>101</v>
      </c>
      <c r="C58" s="391" t="s">
        <v>92</v>
      </c>
      <c r="D58" s="391" t="s">
        <v>92</v>
      </c>
      <c r="E58" s="3" t="s">
        <v>102</v>
      </c>
      <c r="F58" s="11" t="s">
        <v>92</v>
      </c>
      <c r="G58" s="391">
        <v>1</v>
      </c>
      <c r="H58" s="391">
        <v>2.5</v>
      </c>
      <c r="I58" s="391">
        <v>2.5</v>
      </c>
      <c r="J58" s="391" t="s">
        <v>103</v>
      </c>
      <c r="K58" s="262" t="s">
        <v>302</v>
      </c>
      <c r="L58" s="262" t="s">
        <v>303</v>
      </c>
      <c r="M58" s="22" t="s">
        <v>86</v>
      </c>
      <c r="N58" s="22" t="s">
        <v>86</v>
      </c>
      <c r="O58" s="22" t="s">
        <v>86</v>
      </c>
      <c r="P58" s="22" t="s">
        <v>86</v>
      </c>
      <c r="Q58" s="391" t="s">
        <v>304</v>
      </c>
      <c r="R58" s="23">
        <f>SUMIF('Lançamento de Cabos'!$B:$B,Tabela1[[#This Row],[Tag do Cabo]],'Lançamento de Cabos'!$C:$C)</f>
        <v>2.5</v>
      </c>
      <c r="S58" s="391">
        <f>VLOOKUP(Tabela1[[#This Row],[Tag do Cabo]],'Diagramas Ligações'!A:V,14,0)</f>
        <v>2</v>
      </c>
      <c r="T58" s="262" t="s">
        <v>305</v>
      </c>
      <c r="U58" s="391">
        <v>2</v>
      </c>
      <c r="V58" s="391" t="s">
        <v>107</v>
      </c>
      <c r="W58" s="391" t="s">
        <v>306</v>
      </c>
      <c r="X58" s="32">
        <v>44177</v>
      </c>
      <c r="Y58" s="32">
        <v>44207</v>
      </c>
      <c r="Z58" s="3" t="s">
        <v>307</v>
      </c>
      <c r="AA58" s="45" t="s">
        <v>308</v>
      </c>
      <c r="AB5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8" s="262" t="s">
        <v>309</v>
      </c>
      <c r="AD58" s="391">
        <f>IF(Tabela1[[#This Row],[Qtde. Lançada]]&gt;Tabela1[[#This Row],[Comprimento Total]],Tabela1[[#This Row],[Qtde. Lançada]],Tabela1[[#This Row],[Comprimento Total]])</f>
        <v>2.5</v>
      </c>
      <c r="AE58" s="391" t="s">
        <v>92</v>
      </c>
      <c r="AF58" s="391" t="s">
        <v>310</v>
      </c>
      <c r="AG58" s="391">
        <f ca="1">SUMIF('Lançamento de Cabos'!AE:AK,Tabela1[[#This Row],[Tag do Cabo]],'Lançamento de Cabos'!AG:AG)</f>
        <v>0</v>
      </c>
      <c r="AH58" s="29">
        <f>IFERROR(VLOOKUP(Tabela1[[#This Row],[Tag do Cabo]],'Lançamento de Cabos'!AE:AK,7,0),0)</f>
        <v>0</v>
      </c>
      <c r="AI58" s="262" t="s">
        <v>311</v>
      </c>
      <c r="AJ58" s="212"/>
      <c r="AK58" s="46">
        <v>3046024</v>
      </c>
    </row>
    <row r="59" spans="1:37" s="262" customFormat="1" ht="15" customHeight="1" x14ac:dyDescent="0.2">
      <c r="A59" s="168" t="s">
        <v>312</v>
      </c>
      <c r="B59" s="391" t="s">
        <v>101</v>
      </c>
      <c r="C59" s="391" t="s">
        <v>92</v>
      </c>
      <c r="D59" s="391" t="s">
        <v>92</v>
      </c>
      <c r="E59" s="3" t="s">
        <v>102</v>
      </c>
      <c r="F59" s="11" t="s">
        <v>92</v>
      </c>
      <c r="G59" s="391">
        <v>1</v>
      </c>
      <c r="H59" s="391">
        <v>5</v>
      </c>
      <c r="I59" s="391">
        <v>5</v>
      </c>
      <c r="J59" s="391" t="s">
        <v>103</v>
      </c>
      <c r="K59" s="262" t="s">
        <v>313</v>
      </c>
      <c r="L59" s="262" t="s">
        <v>303</v>
      </c>
      <c r="M59" s="22" t="s">
        <v>86</v>
      </c>
      <c r="N59" s="22" t="s">
        <v>86</v>
      </c>
      <c r="O59" s="22" t="s">
        <v>86</v>
      </c>
      <c r="P59" s="22" t="s">
        <v>86</v>
      </c>
      <c r="Q59" s="391" t="s">
        <v>304</v>
      </c>
      <c r="R59" s="391">
        <f>SUMIF('Lançamento de Cabos'!$B:$B,Tabela1[[#This Row],[Tag do Cabo]],'Lançamento de Cabos'!$C:$C)</f>
        <v>5</v>
      </c>
      <c r="S59" s="391">
        <f>VLOOKUP(Tabela1[[#This Row],[Tag do Cabo]],'Diagramas Ligações'!A:V,14,0)</f>
        <v>2</v>
      </c>
      <c r="T59" s="262" t="s">
        <v>305</v>
      </c>
      <c r="U59" s="391">
        <v>2</v>
      </c>
      <c r="V59" s="391" t="s">
        <v>107</v>
      </c>
      <c r="W59" s="391" t="s">
        <v>306</v>
      </c>
      <c r="X59" s="32">
        <v>44120</v>
      </c>
      <c r="Y59" s="391"/>
      <c r="Z59" s="3" t="s">
        <v>314</v>
      </c>
      <c r="AA59" s="45" t="s">
        <v>315</v>
      </c>
      <c r="AB5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59" s="262" t="s">
        <v>309</v>
      </c>
      <c r="AD59" s="391">
        <f>IF(Tabela1[[#This Row],[Qtde. Lançada]]&gt;Tabela1[[#This Row],[Comprimento Total]],Tabela1[[#This Row],[Qtde. Lançada]],Tabela1[[#This Row],[Comprimento Total]])</f>
        <v>5</v>
      </c>
      <c r="AE59" s="391" t="s">
        <v>92</v>
      </c>
      <c r="AF59" s="391" t="s">
        <v>310</v>
      </c>
      <c r="AG59" s="391">
        <f ca="1">SUMIF('Lançamento de Cabos'!AE:AK,Tabela1[[#This Row],[Tag do Cabo]],'Lançamento de Cabos'!AG:AG)</f>
        <v>0</v>
      </c>
      <c r="AH59" s="29">
        <f>IFERROR(VLOOKUP(Tabela1[[#This Row],[Tag do Cabo]],'Lançamento de Cabos'!AE:AK,7,0),0)</f>
        <v>0</v>
      </c>
      <c r="AI59" s="262" t="s">
        <v>316</v>
      </c>
      <c r="AJ59" s="212" t="s">
        <v>205</v>
      </c>
      <c r="AK59" s="46">
        <v>3018894</v>
      </c>
    </row>
    <row r="60" spans="1:37" s="262" customFormat="1" ht="15" customHeight="1" x14ac:dyDescent="0.2">
      <c r="A60" s="168" t="s">
        <v>317</v>
      </c>
      <c r="B60" s="391" t="s">
        <v>40</v>
      </c>
      <c r="C60" s="391" t="s">
        <v>92</v>
      </c>
      <c r="D60" s="391" t="s">
        <v>92</v>
      </c>
      <c r="E60" s="3" t="s">
        <v>318</v>
      </c>
      <c r="F60" s="11" t="s">
        <v>92</v>
      </c>
      <c r="G60" s="391">
        <v>1</v>
      </c>
      <c r="H60" s="391">
        <v>10</v>
      </c>
      <c r="I60" s="391">
        <v>10</v>
      </c>
      <c r="J60" s="391" t="s">
        <v>319</v>
      </c>
      <c r="K60" s="262" t="s">
        <v>303</v>
      </c>
      <c r="L60" s="262" t="s">
        <v>320</v>
      </c>
      <c r="M60" s="22" t="s">
        <v>86</v>
      </c>
      <c r="N60" s="22" t="s">
        <v>86</v>
      </c>
      <c r="O60" s="22" t="s">
        <v>86</v>
      </c>
      <c r="P60" s="22" t="s">
        <v>86</v>
      </c>
      <c r="Q60" s="91" t="s">
        <v>321</v>
      </c>
      <c r="R60" s="391">
        <f>SUMIF('Lançamento de Cabos'!$B:$B,Tabela1[[#This Row],[Tag do Cabo]],'Lançamento de Cabos'!$C:$C)</f>
        <v>10</v>
      </c>
      <c r="S60" s="391">
        <f>VLOOKUP(Tabela1[[#This Row],[Tag do Cabo]],'Diagramas Ligações'!A:V,14,0)</f>
        <v>2</v>
      </c>
      <c r="T60" s="262" t="s">
        <v>305</v>
      </c>
      <c r="U60" s="391">
        <v>2</v>
      </c>
      <c r="V60" s="391" t="s">
        <v>107</v>
      </c>
      <c r="W60" s="391" t="s">
        <v>306</v>
      </c>
      <c r="X60" s="32">
        <v>44120</v>
      </c>
      <c r="Y60" s="32">
        <v>44133</v>
      </c>
      <c r="Z60" s="3" t="s">
        <v>322</v>
      </c>
      <c r="AA60" s="45">
        <v>191</v>
      </c>
      <c r="AB6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0" s="262" t="s">
        <v>309</v>
      </c>
      <c r="AD60" s="391">
        <f>IF(Tabela1[[#This Row],[Qtde. Lançada]]&gt;Tabela1[[#This Row],[Comprimento Total]],Tabela1[[#This Row],[Qtde. Lançada]],Tabela1[[#This Row],[Comprimento Total]])</f>
        <v>10</v>
      </c>
      <c r="AE60" s="391" t="s">
        <v>92</v>
      </c>
      <c r="AF60" s="391" t="s">
        <v>310</v>
      </c>
      <c r="AG60" s="391">
        <f ca="1">SUMIF('Lançamento de Cabos'!AE:AK,Tabela1[[#This Row],[Tag do Cabo]],'Lançamento de Cabos'!AG:AG)</f>
        <v>0</v>
      </c>
      <c r="AH60" s="29">
        <f>IFERROR(VLOOKUP(Tabela1[[#This Row],[Tag do Cabo]],'Lançamento de Cabos'!AE:AK,7,0),0)</f>
        <v>0</v>
      </c>
      <c r="AI60" s="262" t="s">
        <v>316</v>
      </c>
      <c r="AJ60" s="212" t="s">
        <v>205</v>
      </c>
      <c r="AK60" s="46">
        <v>3186329</v>
      </c>
    </row>
    <row r="61" spans="1:37" s="262" customFormat="1" ht="15" customHeight="1" x14ac:dyDescent="0.2">
      <c r="A61" s="168" t="s">
        <v>323</v>
      </c>
      <c r="B61" s="391" t="s">
        <v>40</v>
      </c>
      <c r="C61" s="391" t="s">
        <v>92</v>
      </c>
      <c r="D61" s="391" t="s">
        <v>92</v>
      </c>
      <c r="E61" s="3" t="s">
        <v>318</v>
      </c>
      <c r="F61" s="11" t="s">
        <v>92</v>
      </c>
      <c r="G61" s="391">
        <v>1</v>
      </c>
      <c r="H61" s="391">
        <v>10</v>
      </c>
      <c r="I61" s="391">
        <v>10</v>
      </c>
      <c r="J61" s="391" t="s">
        <v>319</v>
      </c>
      <c r="K61" s="262" t="s">
        <v>303</v>
      </c>
      <c r="L61" s="262" t="s">
        <v>324</v>
      </c>
      <c r="M61" s="22" t="s">
        <v>86</v>
      </c>
      <c r="N61" s="22" t="s">
        <v>86</v>
      </c>
      <c r="O61" s="22" t="s">
        <v>86</v>
      </c>
      <c r="P61" s="22" t="s">
        <v>86</v>
      </c>
      <c r="Q61" s="91" t="s">
        <v>321</v>
      </c>
      <c r="R61" s="391">
        <f>SUMIF('Lançamento de Cabos'!$B:$B,Tabela1[[#This Row],[Tag do Cabo]],'Lançamento de Cabos'!$C:$C)</f>
        <v>10</v>
      </c>
      <c r="S61" s="391">
        <f>VLOOKUP(Tabela1[[#This Row],[Tag do Cabo]],'Diagramas Ligações'!A:V,14,0)</f>
        <v>2</v>
      </c>
      <c r="T61" s="262" t="s">
        <v>305</v>
      </c>
      <c r="U61" s="391">
        <v>2</v>
      </c>
      <c r="V61" s="391" t="s">
        <v>107</v>
      </c>
      <c r="W61" s="391" t="s">
        <v>306</v>
      </c>
      <c r="X61" s="32">
        <v>44120</v>
      </c>
      <c r="Y61" s="32">
        <v>44133</v>
      </c>
      <c r="Z61" s="3" t="s">
        <v>322</v>
      </c>
      <c r="AA61" s="45">
        <v>191</v>
      </c>
      <c r="AB6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1" s="262" t="s">
        <v>309</v>
      </c>
      <c r="AD61" s="391">
        <f>IF(Tabela1[[#This Row],[Qtde. Lançada]]&gt;Tabela1[[#This Row],[Comprimento Total]],Tabela1[[#This Row],[Qtde. Lançada]],Tabela1[[#This Row],[Comprimento Total]])</f>
        <v>10</v>
      </c>
      <c r="AE61" s="391" t="s">
        <v>92</v>
      </c>
      <c r="AF61" s="391" t="s">
        <v>310</v>
      </c>
      <c r="AG61" s="391">
        <f ca="1">SUMIF('Lançamento de Cabos'!AE:AK,Tabela1[[#This Row],[Tag do Cabo]],'Lançamento de Cabos'!AG:AG)</f>
        <v>0</v>
      </c>
      <c r="AH61" s="29">
        <f>IFERROR(VLOOKUP(Tabela1[[#This Row],[Tag do Cabo]],'Lançamento de Cabos'!AE:AK,7,0),0)</f>
        <v>0</v>
      </c>
      <c r="AI61" s="262" t="s">
        <v>316</v>
      </c>
      <c r="AJ61" s="212" t="s">
        <v>205</v>
      </c>
      <c r="AK61" s="46">
        <v>3186329</v>
      </c>
    </row>
    <row r="62" spans="1:37" s="262" customFormat="1" ht="15" customHeight="1" x14ac:dyDescent="0.2">
      <c r="A62" s="168" t="s">
        <v>325</v>
      </c>
      <c r="B62" s="391" t="s">
        <v>40</v>
      </c>
      <c r="C62" s="391" t="s">
        <v>92</v>
      </c>
      <c r="D62" s="391" t="s">
        <v>92</v>
      </c>
      <c r="E62" s="3" t="s">
        <v>318</v>
      </c>
      <c r="F62" s="11" t="s">
        <v>92</v>
      </c>
      <c r="G62" s="391">
        <v>1</v>
      </c>
      <c r="H62" s="391">
        <v>17</v>
      </c>
      <c r="I62" s="391">
        <v>17</v>
      </c>
      <c r="J62" s="391" t="s">
        <v>319</v>
      </c>
      <c r="K62" s="262" t="s">
        <v>303</v>
      </c>
      <c r="L62" s="262" t="s">
        <v>326</v>
      </c>
      <c r="M62" s="22" t="s">
        <v>86</v>
      </c>
      <c r="N62" s="22" t="s">
        <v>86</v>
      </c>
      <c r="O62" s="22" t="s">
        <v>86</v>
      </c>
      <c r="P62" s="22" t="s">
        <v>86</v>
      </c>
      <c r="Q62" s="91" t="s">
        <v>321</v>
      </c>
      <c r="R62" s="391">
        <f>SUMIF('Lançamento de Cabos'!$B:$B,Tabela1[[#This Row],[Tag do Cabo]],'Lançamento de Cabos'!$C:$C)</f>
        <v>17</v>
      </c>
      <c r="S62" s="391">
        <f>VLOOKUP(Tabela1[[#This Row],[Tag do Cabo]],'Diagramas Ligações'!A:V,14,0)</f>
        <v>2</v>
      </c>
      <c r="T62" s="262" t="s">
        <v>305</v>
      </c>
      <c r="U62" s="391">
        <v>2</v>
      </c>
      <c r="V62" s="391" t="s">
        <v>107</v>
      </c>
      <c r="W62" s="391" t="s">
        <v>306</v>
      </c>
      <c r="X62" s="32">
        <v>44120</v>
      </c>
      <c r="Y62" s="32">
        <v>44133</v>
      </c>
      <c r="Z62" s="3" t="s">
        <v>322</v>
      </c>
      <c r="AA62" s="45">
        <v>191</v>
      </c>
      <c r="AB6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2" s="262" t="s">
        <v>327</v>
      </c>
      <c r="AD62" s="391">
        <f>IF(Tabela1[[#This Row],[Qtde. Lançada]]&gt;Tabela1[[#This Row],[Comprimento Total]],Tabela1[[#This Row],[Qtde. Lançada]],Tabela1[[#This Row],[Comprimento Total]])</f>
        <v>17</v>
      </c>
      <c r="AE62" s="391" t="s">
        <v>92</v>
      </c>
      <c r="AF62" s="391" t="s">
        <v>310</v>
      </c>
      <c r="AG62" s="391">
        <f ca="1">SUMIF('Lançamento de Cabos'!AE:AK,Tabela1[[#This Row],[Tag do Cabo]],'Lançamento de Cabos'!AG:AG)</f>
        <v>0</v>
      </c>
      <c r="AH62" s="29">
        <f>IFERROR(VLOOKUP(Tabela1[[#This Row],[Tag do Cabo]],'Lançamento de Cabos'!AE:AK,7,0),0)</f>
        <v>0</v>
      </c>
      <c r="AI62" s="262" t="s">
        <v>316</v>
      </c>
      <c r="AJ62" s="212" t="s">
        <v>205</v>
      </c>
      <c r="AK62" s="46">
        <v>3186329</v>
      </c>
    </row>
    <row r="63" spans="1:37" s="262" customFormat="1" ht="15" customHeight="1" x14ac:dyDescent="0.2">
      <c r="A63" s="168" t="s">
        <v>328</v>
      </c>
      <c r="B63" s="391" t="s">
        <v>40</v>
      </c>
      <c r="C63" s="391" t="s">
        <v>92</v>
      </c>
      <c r="D63" s="391" t="s">
        <v>92</v>
      </c>
      <c r="E63" s="3" t="s">
        <v>318</v>
      </c>
      <c r="F63" s="11" t="s">
        <v>92</v>
      </c>
      <c r="G63" s="391">
        <v>1</v>
      </c>
      <c r="H63" s="391">
        <v>10</v>
      </c>
      <c r="I63" s="391">
        <v>10</v>
      </c>
      <c r="J63" s="391" t="s">
        <v>319</v>
      </c>
      <c r="K63" s="262" t="s">
        <v>303</v>
      </c>
      <c r="L63" s="262" t="s">
        <v>329</v>
      </c>
      <c r="M63" s="22" t="s">
        <v>86</v>
      </c>
      <c r="N63" s="22" t="s">
        <v>86</v>
      </c>
      <c r="O63" s="22" t="s">
        <v>86</v>
      </c>
      <c r="P63" s="22" t="s">
        <v>86</v>
      </c>
      <c r="Q63" s="91" t="s">
        <v>321</v>
      </c>
      <c r="R63" s="391">
        <f>SUMIF('Lançamento de Cabos'!$B:$B,Tabela1[[#This Row],[Tag do Cabo]],'Lançamento de Cabos'!$C:$C)</f>
        <v>10</v>
      </c>
      <c r="S63" s="391">
        <f>VLOOKUP(Tabela1[[#This Row],[Tag do Cabo]],'Diagramas Ligações'!A:V,14,0)</f>
        <v>2</v>
      </c>
      <c r="T63" s="262" t="s">
        <v>305</v>
      </c>
      <c r="U63" s="391">
        <v>2</v>
      </c>
      <c r="V63" s="391" t="s">
        <v>107</v>
      </c>
      <c r="W63" s="391" t="s">
        <v>306</v>
      </c>
      <c r="X63" s="32">
        <v>44120</v>
      </c>
      <c r="Y63" s="32">
        <v>44133</v>
      </c>
      <c r="Z63" s="3" t="s">
        <v>322</v>
      </c>
      <c r="AA63" s="45">
        <v>191</v>
      </c>
      <c r="AB6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3" s="262" t="s">
        <v>327</v>
      </c>
      <c r="AD63" s="391">
        <f>IF(Tabela1[[#This Row],[Qtde. Lançada]]&gt;Tabela1[[#This Row],[Comprimento Total]],Tabela1[[#This Row],[Qtde. Lançada]],Tabela1[[#This Row],[Comprimento Total]])</f>
        <v>10</v>
      </c>
      <c r="AE63" s="391" t="s">
        <v>92</v>
      </c>
      <c r="AF63" s="391" t="s">
        <v>310</v>
      </c>
      <c r="AG63" s="391">
        <f ca="1">SUMIF('Lançamento de Cabos'!AE:AK,Tabela1[[#This Row],[Tag do Cabo]],'Lançamento de Cabos'!AG:AG)</f>
        <v>0</v>
      </c>
      <c r="AH63" s="29">
        <f>IFERROR(VLOOKUP(Tabela1[[#This Row],[Tag do Cabo]],'Lançamento de Cabos'!AE:AK,7,0),0)</f>
        <v>0</v>
      </c>
      <c r="AI63" s="262" t="s">
        <v>316</v>
      </c>
      <c r="AJ63" s="212" t="s">
        <v>205</v>
      </c>
      <c r="AK63" s="46">
        <v>3186329</v>
      </c>
    </row>
    <row r="64" spans="1:37" s="262" customFormat="1" ht="15" customHeight="1" x14ac:dyDescent="0.2">
      <c r="A64" s="168" t="s">
        <v>330</v>
      </c>
      <c r="B64" s="391" t="s">
        <v>40</v>
      </c>
      <c r="C64" s="391" t="s">
        <v>92</v>
      </c>
      <c r="D64" s="391" t="s">
        <v>92</v>
      </c>
      <c r="E64" s="3" t="s">
        <v>318</v>
      </c>
      <c r="F64" s="11" t="s">
        <v>92</v>
      </c>
      <c r="G64" s="391">
        <v>1</v>
      </c>
      <c r="H64" s="391">
        <v>17</v>
      </c>
      <c r="I64" s="391">
        <v>17</v>
      </c>
      <c r="J64" s="391" t="s">
        <v>319</v>
      </c>
      <c r="K64" s="262" t="s">
        <v>303</v>
      </c>
      <c r="L64" s="262" t="s">
        <v>331</v>
      </c>
      <c r="M64" s="22" t="s">
        <v>86</v>
      </c>
      <c r="N64" s="22" t="s">
        <v>86</v>
      </c>
      <c r="O64" s="22" t="s">
        <v>86</v>
      </c>
      <c r="P64" s="22" t="s">
        <v>86</v>
      </c>
      <c r="Q64" s="91" t="s">
        <v>321</v>
      </c>
      <c r="R64" s="391">
        <f>SUMIF('Lançamento de Cabos'!$B:$B,Tabela1[[#This Row],[Tag do Cabo]],'Lançamento de Cabos'!$C:$C)</f>
        <v>17</v>
      </c>
      <c r="S64" s="391">
        <f>VLOOKUP(Tabela1[[#This Row],[Tag do Cabo]],'Diagramas Ligações'!A:V,14,0)</f>
        <v>2</v>
      </c>
      <c r="T64" s="262" t="s">
        <v>305</v>
      </c>
      <c r="U64" s="391">
        <v>2</v>
      </c>
      <c r="V64" s="391" t="s">
        <v>107</v>
      </c>
      <c r="W64" s="391" t="s">
        <v>306</v>
      </c>
      <c r="X64" s="32">
        <v>44120</v>
      </c>
      <c r="Y64" s="32">
        <v>44133</v>
      </c>
      <c r="Z64" s="3" t="s">
        <v>322</v>
      </c>
      <c r="AA64" s="45">
        <v>192</v>
      </c>
      <c r="AB6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4" s="262" t="s">
        <v>327</v>
      </c>
      <c r="AD64" s="391">
        <f>IF(Tabela1[[#This Row],[Qtde. Lançada]]&gt;Tabela1[[#This Row],[Comprimento Total]],Tabela1[[#This Row],[Qtde. Lançada]],Tabela1[[#This Row],[Comprimento Total]])</f>
        <v>17</v>
      </c>
      <c r="AE64" s="391" t="s">
        <v>92</v>
      </c>
      <c r="AF64" s="391" t="s">
        <v>310</v>
      </c>
      <c r="AG64" s="391">
        <f ca="1">SUMIF('Lançamento de Cabos'!AE:AK,Tabela1[[#This Row],[Tag do Cabo]],'Lançamento de Cabos'!AG:AG)</f>
        <v>0</v>
      </c>
      <c r="AH64" s="29">
        <f>IFERROR(VLOOKUP(Tabela1[[#This Row],[Tag do Cabo]],'Lançamento de Cabos'!AE:AK,7,0),0)</f>
        <v>0</v>
      </c>
      <c r="AI64" s="262" t="s">
        <v>316</v>
      </c>
      <c r="AJ64" s="212" t="s">
        <v>205</v>
      </c>
      <c r="AK64" s="46">
        <v>3186329</v>
      </c>
    </row>
    <row r="65" spans="1:37" s="262" customFormat="1" ht="15" customHeight="1" x14ac:dyDescent="0.2">
      <c r="A65" s="168" t="s">
        <v>332</v>
      </c>
      <c r="B65" s="391" t="s">
        <v>40</v>
      </c>
      <c r="C65" s="391" t="s">
        <v>92</v>
      </c>
      <c r="D65" s="391" t="s">
        <v>92</v>
      </c>
      <c r="E65" s="3" t="s">
        <v>318</v>
      </c>
      <c r="F65" s="11" t="s">
        <v>92</v>
      </c>
      <c r="G65" s="391">
        <v>1</v>
      </c>
      <c r="H65" s="391">
        <v>10</v>
      </c>
      <c r="I65" s="391">
        <v>10</v>
      </c>
      <c r="J65" s="391" t="s">
        <v>319</v>
      </c>
      <c r="K65" s="262" t="s">
        <v>303</v>
      </c>
      <c r="L65" s="262" t="s">
        <v>333</v>
      </c>
      <c r="M65" s="22" t="s">
        <v>86</v>
      </c>
      <c r="N65" s="22" t="s">
        <v>86</v>
      </c>
      <c r="O65" s="22" t="s">
        <v>86</v>
      </c>
      <c r="P65" s="22" t="s">
        <v>86</v>
      </c>
      <c r="Q65" s="91" t="s">
        <v>321</v>
      </c>
      <c r="R65" s="391">
        <f>SUMIF('Lançamento de Cabos'!$B:$B,Tabela1[[#This Row],[Tag do Cabo]],'Lançamento de Cabos'!$C:$C)</f>
        <v>10</v>
      </c>
      <c r="S65" s="391">
        <f>VLOOKUP(Tabela1[[#This Row],[Tag do Cabo]],'Diagramas Ligações'!A:V,14,0)</f>
        <v>2</v>
      </c>
      <c r="T65" s="262" t="s">
        <v>305</v>
      </c>
      <c r="U65" s="391">
        <v>2</v>
      </c>
      <c r="V65" s="391" t="s">
        <v>107</v>
      </c>
      <c r="W65" s="391" t="s">
        <v>306</v>
      </c>
      <c r="X65" s="32">
        <v>44120</v>
      </c>
      <c r="Y65" s="32">
        <v>44133</v>
      </c>
      <c r="Z65" s="3" t="s">
        <v>322</v>
      </c>
      <c r="AA65" s="45">
        <v>192</v>
      </c>
      <c r="AB6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5" s="262" t="s">
        <v>309</v>
      </c>
      <c r="AD65" s="391">
        <f>IF(Tabela1[[#This Row],[Qtde. Lançada]]&gt;Tabela1[[#This Row],[Comprimento Total]],Tabela1[[#This Row],[Qtde. Lançada]],Tabela1[[#This Row],[Comprimento Total]])</f>
        <v>10</v>
      </c>
      <c r="AE65" s="391" t="s">
        <v>92</v>
      </c>
      <c r="AF65" s="391" t="s">
        <v>310</v>
      </c>
      <c r="AG65" s="391">
        <f ca="1">SUMIF('Lançamento de Cabos'!AE:AK,Tabela1[[#This Row],[Tag do Cabo]],'Lançamento de Cabos'!AG:AG)</f>
        <v>0</v>
      </c>
      <c r="AH65" s="29">
        <f>IFERROR(VLOOKUP(Tabela1[[#This Row],[Tag do Cabo]],'Lançamento de Cabos'!AE:AK,7,0),0)</f>
        <v>0</v>
      </c>
      <c r="AI65" s="262" t="s">
        <v>316</v>
      </c>
      <c r="AJ65" s="212" t="s">
        <v>205</v>
      </c>
      <c r="AK65" s="46">
        <v>3186329</v>
      </c>
    </row>
    <row r="66" spans="1:37" s="262" customFormat="1" ht="15" customHeight="1" x14ac:dyDescent="0.2">
      <c r="A66" s="168" t="s">
        <v>334</v>
      </c>
      <c r="B66" s="391" t="s">
        <v>40</v>
      </c>
      <c r="C66" s="391" t="s">
        <v>92</v>
      </c>
      <c r="D66" s="391" t="s">
        <v>92</v>
      </c>
      <c r="E66" s="3" t="s">
        <v>318</v>
      </c>
      <c r="F66" s="11" t="s">
        <v>92</v>
      </c>
      <c r="G66" s="391">
        <v>1</v>
      </c>
      <c r="H66" s="391">
        <v>10</v>
      </c>
      <c r="I66" s="391">
        <v>10</v>
      </c>
      <c r="J66" s="391" t="s">
        <v>319</v>
      </c>
      <c r="K66" s="262" t="s">
        <v>303</v>
      </c>
      <c r="L66" s="262" t="s">
        <v>335</v>
      </c>
      <c r="M66" s="22" t="s">
        <v>86</v>
      </c>
      <c r="N66" s="22" t="s">
        <v>86</v>
      </c>
      <c r="O66" s="22" t="s">
        <v>86</v>
      </c>
      <c r="P66" s="22" t="s">
        <v>86</v>
      </c>
      <c r="Q66" s="91" t="s">
        <v>321</v>
      </c>
      <c r="R66" s="391">
        <f>SUMIF('Lançamento de Cabos'!$B:$B,Tabela1[[#This Row],[Tag do Cabo]],'Lançamento de Cabos'!$C:$C)</f>
        <v>10</v>
      </c>
      <c r="S66" s="391">
        <f>VLOOKUP(Tabela1[[#This Row],[Tag do Cabo]],'Diagramas Ligações'!A:V,14,0)</f>
        <v>2</v>
      </c>
      <c r="T66" s="262" t="s">
        <v>305</v>
      </c>
      <c r="U66" s="391">
        <v>2</v>
      </c>
      <c r="V66" s="391" t="s">
        <v>107</v>
      </c>
      <c r="W66" s="391" t="s">
        <v>306</v>
      </c>
      <c r="X66" s="32">
        <v>44120</v>
      </c>
      <c r="Y66" s="32">
        <v>44133</v>
      </c>
      <c r="Z66" s="3" t="s">
        <v>322</v>
      </c>
      <c r="AA66" s="45">
        <v>192</v>
      </c>
      <c r="AB6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6" s="262" t="s">
        <v>309</v>
      </c>
      <c r="AD66" s="391">
        <f>IF(Tabela1[[#This Row],[Qtde. Lançada]]&gt;Tabela1[[#This Row],[Comprimento Total]],Tabela1[[#This Row],[Qtde. Lançada]],Tabela1[[#This Row],[Comprimento Total]])</f>
        <v>10</v>
      </c>
      <c r="AE66" s="391" t="s">
        <v>92</v>
      </c>
      <c r="AF66" s="391" t="s">
        <v>310</v>
      </c>
      <c r="AG66" s="391">
        <f ca="1">SUMIF('Lançamento de Cabos'!AE:AK,Tabela1[[#This Row],[Tag do Cabo]],'Lançamento de Cabos'!AG:AG)</f>
        <v>0</v>
      </c>
      <c r="AH66" s="29">
        <f>IFERROR(VLOOKUP(Tabela1[[#This Row],[Tag do Cabo]],'Lançamento de Cabos'!AE:AK,7,0),0)</f>
        <v>0</v>
      </c>
      <c r="AI66" s="262" t="s">
        <v>316</v>
      </c>
      <c r="AJ66" s="212" t="s">
        <v>205</v>
      </c>
      <c r="AK66" s="46">
        <v>3186329</v>
      </c>
    </row>
    <row r="67" spans="1:37" s="262" customFormat="1" ht="15" customHeight="1" x14ac:dyDescent="0.2">
      <c r="A67" s="168" t="s">
        <v>336</v>
      </c>
      <c r="B67" s="391" t="s">
        <v>40</v>
      </c>
      <c r="C67" s="391" t="s">
        <v>92</v>
      </c>
      <c r="D67" s="391" t="s">
        <v>92</v>
      </c>
      <c r="E67" s="3" t="s">
        <v>318</v>
      </c>
      <c r="F67" s="11" t="s">
        <v>92</v>
      </c>
      <c r="G67" s="391">
        <v>1</v>
      </c>
      <c r="H67" s="391">
        <v>10</v>
      </c>
      <c r="I67" s="391">
        <v>10</v>
      </c>
      <c r="J67" s="391" t="s">
        <v>319</v>
      </c>
      <c r="K67" s="262" t="s">
        <v>303</v>
      </c>
      <c r="L67" s="262" t="s">
        <v>337</v>
      </c>
      <c r="M67" s="22" t="s">
        <v>86</v>
      </c>
      <c r="N67" s="22" t="s">
        <v>86</v>
      </c>
      <c r="O67" s="22" t="s">
        <v>86</v>
      </c>
      <c r="P67" s="22" t="s">
        <v>86</v>
      </c>
      <c r="Q67" s="91" t="s">
        <v>321</v>
      </c>
      <c r="R67" s="391">
        <f>SUMIF('Lançamento de Cabos'!$B:$B,Tabela1[[#This Row],[Tag do Cabo]],'Lançamento de Cabos'!$C:$C)</f>
        <v>10</v>
      </c>
      <c r="S67" s="391">
        <f>VLOOKUP(Tabela1[[#This Row],[Tag do Cabo]],'Diagramas Ligações'!A:V,14,0)</f>
        <v>2</v>
      </c>
      <c r="T67" s="262" t="s">
        <v>305</v>
      </c>
      <c r="U67" s="391">
        <v>2</v>
      </c>
      <c r="V67" s="391" t="s">
        <v>107</v>
      </c>
      <c r="W67" s="391" t="s">
        <v>306</v>
      </c>
      <c r="X67" s="32">
        <v>44120</v>
      </c>
      <c r="Y67" s="32">
        <v>44133</v>
      </c>
      <c r="Z67" s="3" t="s">
        <v>322</v>
      </c>
      <c r="AA67" s="45">
        <v>192</v>
      </c>
      <c r="AB6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7" s="262" t="s">
        <v>309</v>
      </c>
      <c r="AD67" s="391">
        <f>IF(Tabela1[[#This Row],[Qtde. Lançada]]&gt;Tabela1[[#This Row],[Comprimento Total]],Tabela1[[#This Row],[Qtde. Lançada]],Tabela1[[#This Row],[Comprimento Total]])</f>
        <v>10</v>
      </c>
      <c r="AE67" s="391" t="s">
        <v>92</v>
      </c>
      <c r="AF67" s="391" t="s">
        <v>310</v>
      </c>
      <c r="AG67" s="391">
        <f ca="1">SUMIF('Lançamento de Cabos'!AE:AK,Tabela1[[#This Row],[Tag do Cabo]],'Lançamento de Cabos'!AG:AG)</f>
        <v>0</v>
      </c>
      <c r="AH67" s="29">
        <f>IFERROR(VLOOKUP(Tabela1[[#This Row],[Tag do Cabo]],'Lançamento de Cabos'!AE:AK,7,0),0)</f>
        <v>0</v>
      </c>
      <c r="AI67" s="262" t="s">
        <v>316</v>
      </c>
      <c r="AJ67" s="212" t="s">
        <v>205</v>
      </c>
      <c r="AK67" s="46">
        <v>3186329</v>
      </c>
    </row>
    <row r="68" spans="1:37" s="262" customFormat="1" ht="15" customHeight="1" x14ac:dyDescent="0.2">
      <c r="A68" s="168" t="s">
        <v>338</v>
      </c>
      <c r="B68" s="391" t="s">
        <v>37</v>
      </c>
      <c r="C68" s="391">
        <v>110</v>
      </c>
      <c r="D68" s="391" t="s">
        <v>80</v>
      </c>
      <c r="E68" s="3" t="s">
        <v>339</v>
      </c>
      <c r="F68" s="11">
        <v>4</v>
      </c>
      <c r="G68" s="391">
        <v>1</v>
      </c>
      <c r="H68" s="391">
        <v>30</v>
      </c>
      <c r="I68" s="391">
        <v>30</v>
      </c>
      <c r="J68" s="391" t="s">
        <v>310</v>
      </c>
      <c r="K68" s="262" t="s">
        <v>340</v>
      </c>
      <c r="L68" s="262" t="s">
        <v>341</v>
      </c>
      <c r="M68" s="22" t="s">
        <v>85</v>
      </c>
      <c r="N68" s="23" t="str">
        <f t="shared" ref="N68:N86" si="2">"Sim"</f>
        <v>Sim</v>
      </c>
      <c r="O68" s="22" t="s">
        <v>86</v>
      </c>
      <c r="P68" s="22" t="s">
        <v>86</v>
      </c>
      <c r="Q68" s="391" t="s">
        <v>87</v>
      </c>
      <c r="R68" s="23">
        <f>SUMIF('Lançamento de Cabos'!$B:$B,Tabela1[[#This Row],[Tag do Cabo]],'Lançamento de Cabos'!$C:$C)</f>
        <v>30</v>
      </c>
      <c r="S68" s="391">
        <f>VLOOKUP(Tabela1[[#This Row],[Tag do Cabo]],'Diagramas Ligações'!A:V,14,0)</f>
        <v>6</v>
      </c>
      <c r="T68" s="262" t="s">
        <v>88</v>
      </c>
      <c r="U68" s="391">
        <v>5</v>
      </c>
      <c r="V68" s="391"/>
      <c r="W68" s="391" t="s">
        <v>342</v>
      </c>
      <c r="X68" s="32">
        <v>44177</v>
      </c>
      <c r="Y68" s="32">
        <v>44218</v>
      </c>
      <c r="Z68" s="31" t="s">
        <v>108</v>
      </c>
      <c r="AA68" s="45" t="s">
        <v>343</v>
      </c>
      <c r="AB6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8" s="262" t="s">
        <v>309</v>
      </c>
      <c r="AD68" s="391">
        <f>IF(Tabela1[[#This Row],[Qtde. Lançada]]&gt;Tabela1[[#This Row],[Comprimento Total]],Tabela1[[#This Row],[Qtde. Lançada]],Tabela1[[#This Row],[Comprimento Total]])</f>
        <v>30</v>
      </c>
      <c r="AE68" s="391" t="s">
        <v>92</v>
      </c>
      <c r="AF68" s="391" t="s">
        <v>310</v>
      </c>
      <c r="AG68" s="391">
        <f ca="1">SUMIF('Lançamento de Cabos'!AE:AK,Tabela1[[#This Row],[Tag do Cabo]],'Lançamento de Cabos'!AG:AG)</f>
        <v>6</v>
      </c>
      <c r="AH68" s="29">
        <f>IFERROR(VLOOKUP(Tabela1[[#This Row],[Tag do Cabo]],'Lançamento de Cabos'!AE:AK,7,0),0)</f>
        <v>1</v>
      </c>
      <c r="AI68" s="262" t="s">
        <v>311</v>
      </c>
      <c r="AJ68" s="212"/>
      <c r="AK68" s="46">
        <v>320680</v>
      </c>
    </row>
    <row r="69" spans="1:37" s="262" customFormat="1" ht="15" customHeight="1" x14ac:dyDescent="0.2">
      <c r="A69" s="168" t="s">
        <v>344</v>
      </c>
      <c r="B69" s="391" t="s">
        <v>37</v>
      </c>
      <c r="C69" s="391">
        <v>110</v>
      </c>
      <c r="D69" s="391" t="s">
        <v>80</v>
      </c>
      <c r="E69" s="3" t="s">
        <v>339</v>
      </c>
      <c r="F69" s="11">
        <v>4</v>
      </c>
      <c r="G69" s="391">
        <v>1</v>
      </c>
      <c r="H69" s="391">
        <v>30</v>
      </c>
      <c r="I69" s="391">
        <v>30</v>
      </c>
      <c r="J69" s="391" t="s">
        <v>310</v>
      </c>
      <c r="K69" s="262" t="s">
        <v>345</v>
      </c>
      <c r="L69" s="262" t="s">
        <v>341</v>
      </c>
      <c r="M69" s="22" t="s">
        <v>85</v>
      </c>
      <c r="N69" s="23" t="str">
        <f t="shared" si="2"/>
        <v>Sim</v>
      </c>
      <c r="O69" s="22" t="s">
        <v>86</v>
      </c>
      <c r="P69" s="22" t="s">
        <v>86</v>
      </c>
      <c r="Q69" s="391" t="s">
        <v>87</v>
      </c>
      <c r="R69" s="23">
        <f>SUMIF('Lançamento de Cabos'!$B:$B,Tabela1[[#This Row],[Tag do Cabo]],'Lançamento de Cabos'!$C:$C)</f>
        <v>30</v>
      </c>
      <c r="S69" s="391">
        <f>VLOOKUP(Tabela1[[#This Row],[Tag do Cabo]],'Diagramas Ligações'!A:V,14,0)</f>
        <v>6</v>
      </c>
      <c r="T69" s="262" t="s">
        <v>88</v>
      </c>
      <c r="U69" s="391">
        <v>5</v>
      </c>
      <c r="V69" s="391"/>
      <c r="W69" s="391" t="s">
        <v>342</v>
      </c>
      <c r="X69" s="32">
        <v>44177</v>
      </c>
      <c r="Y69" s="32">
        <v>44218</v>
      </c>
      <c r="Z69" s="31" t="s">
        <v>108</v>
      </c>
      <c r="AA69" s="45" t="s">
        <v>343</v>
      </c>
      <c r="AB6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69" s="262" t="s">
        <v>309</v>
      </c>
      <c r="AD69" s="391">
        <f>IF(Tabela1[[#This Row],[Qtde. Lançada]]&gt;Tabela1[[#This Row],[Comprimento Total]],Tabela1[[#This Row],[Qtde. Lançada]],Tabela1[[#This Row],[Comprimento Total]])</f>
        <v>30</v>
      </c>
      <c r="AE69" s="391" t="s">
        <v>92</v>
      </c>
      <c r="AF69" s="391" t="s">
        <v>310</v>
      </c>
      <c r="AG69" s="391">
        <f ca="1">SUMIF('Lançamento de Cabos'!AE:AK,Tabela1[[#This Row],[Tag do Cabo]],'Lançamento de Cabos'!AG:AG)</f>
        <v>6</v>
      </c>
      <c r="AH69" s="29">
        <f>IFERROR(VLOOKUP(Tabela1[[#This Row],[Tag do Cabo]],'Lançamento de Cabos'!AE:AK,7,0),0)</f>
        <v>1</v>
      </c>
      <c r="AI69" s="262" t="s">
        <v>311</v>
      </c>
      <c r="AJ69" s="212"/>
      <c r="AK69" s="46">
        <v>320680</v>
      </c>
    </row>
    <row r="70" spans="1:37" s="262" customFormat="1" ht="15" customHeight="1" x14ac:dyDescent="0.2">
      <c r="A70" s="168" t="s">
        <v>346</v>
      </c>
      <c r="B70" s="391" t="s">
        <v>38</v>
      </c>
      <c r="C70" s="391" t="s">
        <v>92</v>
      </c>
      <c r="D70" s="391" t="s">
        <v>92</v>
      </c>
      <c r="E70" s="3" t="s">
        <v>347</v>
      </c>
      <c r="F70" s="11">
        <v>1</v>
      </c>
      <c r="G70" s="391">
        <v>1</v>
      </c>
      <c r="H70" s="391">
        <v>90</v>
      </c>
      <c r="I70" s="391">
        <v>90</v>
      </c>
      <c r="J70" s="391" t="s">
        <v>310</v>
      </c>
      <c r="K70" s="262" t="s">
        <v>348</v>
      </c>
      <c r="L70" s="262" t="s">
        <v>349</v>
      </c>
      <c r="M70" s="22" t="s">
        <v>85</v>
      </c>
      <c r="N70" s="391" t="str">
        <f t="shared" si="2"/>
        <v>Sim</v>
      </c>
      <c r="O70" s="22" t="s">
        <v>86</v>
      </c>
      <c r="P70" s="22" t="s">
        <v>86</v>
      </c>
      <c r="Q70" s="91" t="s">
        <v>184</v>
      </c>
      <c r="R70" s="391">
        <f>SUMIF('Lançamento de Cabos'!$B:$B,Tabela1[[#This Row],[Tag do Cabo]],'Lançamento de Cabos'!$C:$C)</f>
        <v>120</v>
      </c>
      <c r="S70" s="391">
        <f>VLOOKUP(Tabela1[[#This Row],[Tag do Cabo]],'Diagramas Ligações'!A:V,14,0)</f>
        <v>12</v>
      </c>
      <c r="T70" s="262" t="s">
        <v>350</v>
      </c>
      <c r="U70" s="391">
        <v>10</v>
      </c>
      <c r="V70" s="391" t="s">
        <v>186</v>
      </c>
      <c r="W70" s="391" t="s">
        <v>306</v>
      </c>
      <c r="X70" s="32">
        <v>44120</v>
      </c>
      <c r="Y70" s="32">
        <v>44130</v>
      </c>
      <c r="Z70" s="88" t="s">
        <v>351</v>
      </c>
      <c r="AA70" s="45">
        <v>127</v>
      </c>
      <c r="AB7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0" s="262" t="s">
        <v>327</v>
      </c>
      <c r="AD70" s="391">
        <f>IF(Tabela1[[#This Row],[Qtde. Lançada]]&gt;Tabela1[[#This Row],[Comprimento Total]],Tabela1[[#This Row],[Qtde. Lançada]],Tabela1[[#This Row],[Comprimento Total]])</f>
        <v>120</v>
      </c>
      <c r="AE70" s="262" t="s">
        <v>190</v>
      </c>
      <c r="AF70" s="391" t="s">
        <v>352</v>
      </c>
      <c r="AG70" s="391">
        <f ca="1">SUMIF('Lançamento de Cabos'!AE:AK,Tabela1[[#This Row],[Tag do Cabo]],'Lançamento de Cabos'!AG:AG)</f>
        <v>0</v>
      </c>
      <c r="AH70" s="29">
        <f>IFERROR(VLOOKUP(Tabela1[[#This Row],[Tag do Cabo]],'Lançamento de Cabos'!AE:AK,7,0),0)</f>
        <v>0</v>
      </c>
      <c r="AI70" s="262" t="s">
        <v>353</v>
      </c>
      <c r="AJ70" s="212">
        <v>20</v>
      </c>
      <c r="AK70" s="46">
        <v>1423312</v>
      </c>
    </row>
    <row r="71" spans="1:37" s="262" customFormat="1" ht="15" customHeight="1" x14ac:dyDescent="0.2">
      <c r="A71" s="168" t="s">
        <v>354</v>
      </c>
      <c r="B71" s="391" t="s">
        <v>38</v>
      </c>
      <c r="C71" s="391" t="s">
        <v>92</v>
      </c>
      <c r="D71" s="391" t="s">
        <v>92</v>
      </c>
      <c r="E71" s="3" t="s">
        <v>355</v>
      </c>
      <c r="F71" s="11">
        <v>1</v>
      </c>
      <c r="G71" s="391">
        <v>1</v>
      </c>
      <c r="H71" s="391">
        <v>90</v>
      </c>
      <c r="I71" s="391">
        <v>90</v>
      </c>
      <c r="J71" s="391" t="s">
        <v>310</v>
      </c>
      <c r="K71" s="262" t="s">
        <v>356</v>
      </c>
      <c r="L71" s="262" t="s">
        <v>349</v>
      </c>
      <c r="M71" s="22" t="s">
        <v>85</v>
      </c>
      <c r="N71" s="391" t="str">
        <f t="shared" si="2"/>
        <v>Sim</v>
      </c>
      <c r="O71" s="22" t="s">
        <v>86</v>
      </c>
      <c r="P71" s="22" t="s">
        <v>86</v>
      </c>
      <c r="Q71" s="91" t="s">
        <v>184</v>
      </c>
      <c r="R71" s="391">
        <f>SUMIF('Lançamento de Cabos'!$B:$B,Tabela1[[#This Row],[Tag do Cabo]],'Lançamento de Cabos'!$C:$C)</f>
        <v>120</v>
      </c>
      <c r="S71" s="391">
        <f>VLOOKUP(Tabela1[[#This Row],[Tag do Cabo]],'Diagramas Ligações'!A:V,14,0)</f>
        <v>4</v>
      </c>
      <c r="T71" s="262" t="s">
        <v>350</v>
      </c>
      <c r="U71" s="391">
        <v>10</v>
      </c>
      <c r="V71" s="391" t="s">
        <v>186</v>
      </c>
      <c r="W71" s="391" t="s">
        <v>306</v>
      </c>
      <c r="X71" s="32">
        <v>44120</v>
      </c>
      <c r="Y71" s="32">
        <v>44130</v>
      </c>
      <c r="Z71" s="88" t="s">
        <v>351</v>
      </c>
      <c r="AA71" s="45">
        <v>182</v>
      </c>
      <c r="AB7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1" s="262" t="s">
        <v>327</v>
      </c>
      <c r="AD71" s="391">
        <f>IF(Tabela1[[#This Row],[Qtde. Lançada]]&gt;Tabela1[[#This Row],[Comprimento Total]],Tabela1[[#This Row],[Qtde. Lançada]],Tabela1[[#This Row],[Comprimento Total]])</f>
        <v>120</v>
      </c>
      <c r="AE71" s="262" t="s">
        <v>190</v>
      </c>
      <c r="AF71" s="391" t="s">
        <v>352</v>
      </c>
      <c r="AG71" s="391">
        <f ca="1">SUMIF('Lançamento de Cabos'!AE:AK,Tabela1[[#This Row],[Tag do Cabo]],'Lançamento de Cabos'!AG:AG)</f>
        <v>0</v>
      </c>
      <c r="AH71" s="29">
        <f>IFERROR(VLOOKUP(Tabela1[[#This Row],[Tag do Cabo]],'Lançamento de Cabos'!AE:AK,7,0),0)</f>
        <v>0</v>
      </c>
      <c r="AI71" s="262" t="s">
        <v>353</v>
      </c>
      <c r="AJ71" s="212">
        <v>20</v>
      </c>
      <c r="AK71" s="46">
        <v>306860</v>
      </c>
    </row>
    <row r="72" spans="1:37" s="262" customFormat="1" ht="15" customHeight="1" x14ac:dyDescent="0.2">
      <c r="A72" s="168" t="s">
        <v>357</v>
      </c>
      <c r="B72" s="391" t="s">
        <v>38</v>
      </c>
      <c r="C72" s="391" t="s">
        <v>92</v>
      </c>
      <c r="D72" s="391" t="s">
        <v>92</v>
      </c>
      <c r="E72" s="3" t="s">
        <v>358</v>
      </c>
      <c r="F72" s="11">
        <v>1</v>
      </c>
      <c r="G72" s="391">
        <v>1</v>
      </c>
      <c r="H72" s="391">
        <v>80</v>
      </c>
      <c r="I72" s="391">
        <v>80</v>
      </c>
      <c r="J72" s="391" t="s">
        <v>310</v>
      </c>
      <c r="K72" s="262" t="s">
        <v>359</v>
      </c>
      <c r="L72" s="262" t="s">
        <v>349</v>
      </c>
      <c r="M72" s="22" t="s">
        <v>85</v>
      </c>
      <c r="N72" s="391" t="str">
        <f t="shared" si="2"/>
        <v>Sim</v>
      </c>
      <c r="O72" s="22" t="s">
        <v>86</v>
      </c>
      <c r="P72" s="22" t="s">
        <v>86</v>
      </c>
      <c r="Q72" s="91" t="s">
        <v>321</v>
      </c>
      <c r="R72" s="391">
        <f>SUMIF('Lançamento de Cabos'!$B:$B,Tabela1[[#This Row],[Tag do Cabo]],'Lançamento de Cabos'!$C:$C)</f>
        <v>110</v>
      </c>
      <c r="S72" s="391">
        <f>VLOOKUP(Tabela1[[#This Row],[Tag do Cabo]],'Diagramas Ligações'!A:V,14,0)</f>
        <v>28</v>
      </c>
      <c r="T72" s="262" t="s">
        <v>350</v>
      </c>
      <c r="U72" s="391">
        <v>10</v>
      </c>
      <c r="V72" s="391" t="s">
        <v>186</v>
      </c>
      <c r="W72" s="391" t="s">
        <v>306</v>
      </c>
      <c r="X72" s="32">
        <v>44120</v>
      </c>
      <c r="Y72" s="32">
        <v>44130</v>
      </c>
      <c r="Z72" s="88" t="s">
        <v>351</v>
      </c>
      <c r="AA72" s="45">
        <v>94</v>
      </c>
      <c r="AB7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2" s="262" t="s">
        <v>327</v>
      </c>
      <c r="AD72" s="391">
        <f>IF(Tabela1[[#This Row],[Qtde. Lançada]]&gt;Tabela1[[#This Row],[Comprimento Total]],Tabela1[[#This Row],[Qtde. Lançada]],Tabela1[[#This Row],[Comprimento Total]])</f>
        <v>110</v>
      </c>
      <c r="AE72" s="262" t="s">
        <v>360</v>
      </c>
      <c r="AF72" s="391" t="s">
        <v>352</v>
      </c>
      <c r="AG72" s="391">
        <f ca="1">SUMIF('Lançamento de Cabos'!AE:AK,Tabela1[[#This Row],[Tag do Cabo]],'Lançamento de Cabos'!AG:AG)</f>
        <v>0</v>
      </c>
      <c r="AH72" s="29">
        <f>IFERROR(VLOOKUP(Tabela1[[#This Row],[Tag do Cabo]],'Lançamento de Cabos'!AE:AK,7,0),0)</f>
        <v>0</v>
      </c>
      <c r="AI72" s="262" t="s">
        <v>353</v>
      </c>
      <c r="AJ72" s="212">
        <v>13</v>
      </c>
      <c r="AK72" s="46">
        <v>3087804</v>
      </c>
    </row>
    <row r="73" spans="1:37" s="262" customFormat="1" ht="15" customHeight="1" x14ac:dyDescent="0.2">
      <c r="A73" s="168" t="s">
        <v>361</v>
      </c>
      <c r="B73" s="391" t="s">
        <v>38</v>
      </c>
      <c r="C73" s="391" t="s">
        <v>92</v>
      </c>
      <c r="D73" s="391" t="s">
        <v>92</v>
      </c>
      <c r="E73" s="3" t="s">
        <v>362</v>
      </c>
      <c r="F73" s="11">
        <v>1</v>
      </c>
      <c r="G73" s="391">
        <v>1</v>
      </c>
      <c r="H73" s="391">
        <v>90</v>
      </c>
      <c r="I73" s="391">
        <v>90</v>
      </c>
      <c r="J73" s="391" t="s">
        <v>310</v>
      </c>
      <c r="K73" s="262" t="s">
        <v>363</v>
      </c>
      <c r="L73" s="262" t="s">
        <v>349</v>
      </c>
      <c r="M73" s="22" t="s">
        <v>85</v>
      </c>
      <c r="N73" s="391" t="str">
        <f t="shared" si="2"/>
        <v>Sim</v>
      </c>
      <c r="O73" s="22" t="s">
        <v>86</v>
      </c>
      <c r="P73" s="22" t="s">
        <v>86</v>
      </c>
      <c r="Q73" s="391" t="s">
        <v>184</v>
      </c>
      <c r="R73" s="391">
        <f>SUMIF('Lançamento de Cabos'!$B:$B,Tabela1[[#This Row],[Tag do Cabo]],'Lançamento de Cabos'!$C:$C)</f>
        <v>90</v>
      </c>
      <c r="S73" s="391">
        <f>VLOOKUP(Tabela1[[#This Row],[Tag do Cabo]],'Diagramas Ligações'!A:V,14,0)</f>
        <v>6</v>
      </c>
      <c r="T73" s="262" t="s">
        <v>350</v>
      </c>
      <c r="U73" s="391">
        <v>10</v>
      </c>
      <c r="V73" s="391" t="s">
        <v>186</v>
      </c>
      <c r="W73" s="391" t="s">
        <v>306</v>
      </c>
      <c r="X73" s="32">
        <v>44120</v>
      </c>
      <c r="Y73" s="32">
        <v>44166</v>
      </c>
      <c r="Z73" s="326" t="s">
        <v>364</v>
      </c>
      <c r="AA73" s="45">
        <v>220</v>
      </c>
      <c r="AB7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3" s="262" t="s">
        <v>327</v>
      </c>
      <c r="AD73" s="391">
        <f>IF(Tabela1[[#This Row],[Qtde. Lançada]]&gt;Tabela1[[#This Row],[Comprimento Total]],Tabela1[[#This Row],[Qtde. Lançada]],Tabela1[[#This Row],[Comprimento Total]])</f>
        <v>90</v>
      </c>
      <c r="AE73" s="262" t="s">
        <v>360</v>
      </c>
      <c r="AF73" s="391" t="s">
        <v>352</v>
      </c>
      <c r="AG73" s="391">
        <f ca="1">SUMIF('Lançamento de Cabos'!AE:AK,Tabela1[[#This Row],[Tag do Cabo]],'Lançamento de Cabos'!AG:AG)</f>
        <v>0</v>
      </c>
      <c r="AH73" s="29">
        <f>IFERROR(VLOOKUP(Tabela1[[#This Row],[Tag do Cabo]],'Lançamento de Cabos'!AE:AK,7,0),0)</f>
        <v>0</v>
      </c>
      <c r="AI73" s="262" t="s">
        <v>353</v>
      </c>
      <c r="AJ73" s="212">
        <v>6</v>
      </c>
      <c r="AK73" s="46">
        <v>2009461</v>
      </c>
    </row>
    <row r="74" spans="1:37" s="262" customFormat="1" ht="15" customHeight="1" x14ac:dyDescent="0.2">
      <c r="A74" s="168" t="s">
        <v>365</v>
      </c>
      <c r="B74" s="391" t="s">
        <v>38</v>
      </c>
      <c r="C74" s="391" t="s">
        <v>92</v>
      </c>
      <c r="D74" s="391" t="s">
        <v>92</v>
      </c>
      <c r="E74" s="3" t="s">
        <v>366</v>
      </c>
      <c r="F74" s="11">
        <v>1</v>
      </c>
      <c r="G74" s="391">
        <v>1</v>
      </c>
      <c r="H74" s="391">
        <v>90</v>
      </c>
      <c r="I74" s="391">
        <v>90</v>
      </c>
      <c r="J74" s="391" t="s">
        <v>310</v>
      </c>
      <c r="K74" s="262" t="s">
        <v>367</v>
      </c>
      <c r="L74" s="262" t="s">
        <v>349</v>
      </c>
      <c r="M74" s="22" t="s">
        <v>85</v>
      </c>
      <c r="N74" s="391" t="str">
        <f t="shared" si="2"/>
        <v>Sim</v>
      </c>
      <c r="O74" s="22" t="s">
        <v>86</v>
      </c>
      <c r="P74" s="22" t="s">
        <v>86</v>
      </c>
      <c r="Q74" s="91" t="s">
        <v>321</v>
      </c>
      <c r="R74" s="391">
        <f>SUMIF('Lançamento de Cabos'!$B:$B,Tabela1[[#This Row],[Tag do Cabo]],'Lançamento de Cabos'!$C:$C)</f>
        <v>120</v>
      </c>
      <c r="S74" s="391">
        <f>VLOOKUP(Tabela1[[#This Row],[Tag do Cabo]],'Diagramas Ligações'!A:V,14,0)</f>
        <v>24</v>
      </c>
      <c r="T74" s="262" t="s">
        <v>350</v>
      </c>
      <c r="U74" s="391">
        <v>10</v>
      </c>
      <c r="V74" s="391" t="s">
        <v>186</v>
      </c>
      <c r="W74" s="391" t="s">
        <v>306</v>
      </c>
      <c r="X74" s="32">
        <v>44120</v>
      </c>
      <c r="Y74" s="32">
        <v>44130</v>
      </c>
      <c r="Z74" s="88" t="s">
        <v>351</v>
      </c>
      <c r="AA74" s="45">
        <v>124</v>
      </c>
      <c r="AB7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4" s="262" t="s">
        <v>327</v>
      </c>
      <c r="AD74" s="391">
        <f>IF(Tabela1[[#This Row],[Qtde. Lançada]]&gt;Tabela1[[#This Row],[Comprimento Total]],Tabela1[[#This Row],[Qtde. Lançada]],Tabela1[[#This Row],[Comprimento Total]])</f>
        <v>120</v>
      </c>
      <c r="AE74" s="262" t="s">
        <v>360</v>
      </c>
      <c r="AF74" s="391" t="s">
        <v>352</v>
      </c>
      <c r="AG74" s="391">
        <f ca="1">SUMIF('Lançamento de Cabos'!AE:AK,Tabela1[[#This Row],[Tag do Cabo]],'Lançamento de Cabos'!AG:AG)</f>
        <v>0</v>
      </c>
      <c r="AH74" s="29">
        <f>IFERROR(VLOOKUP(Tabela1[[#This Row],[Tag do Cabo]],'Lançamento de Cabos'!AE:AK,7,0),0)</f>
        <v>0</v>
      </c>
      <c r="AI74" s="262" t="s">
        <v>353</v>
      </c>
      <c r="AJ74" s="212">
        <v>12</v>
      </c>
      <c r="AK74" s="46">
        <v>923841</v>
      </c>
    </row>
    <row r="75" spans="1:37" s="262" customFormat="1" ht="15" customHeight="1" x14ac:dyDescent="0.2">
      <c r="A75" s="168" t="s">
        <v>368</v>
      </c>
      <c r="B75" s="391" t="s">
        <v>38</v>
      </c>
      <c r="C75" s="391" t="s">
        <v>92</v>
      </c>
      <c r="D75" s="391" t="s">
        <v>92</v>
      </c>
      <c r="E75" s="3" t="s">
        <v>358</v>
      </c>
      <c r="F75" s="11">
        <v>1</v>
      </c>
      <c r="G75" s="391">
        <v>1</v>
      </c>
      <c r="H75" s="391">
        <v>90</v>
      </c>
      <c r="I75" s="391">
        <v>90</v>
      </c>
      <c r="J75" s="391" t="s">
        <v>310</v>
      </c>
      <c r="K75" s="262" t="s">
        <v>369</v>
      </c>
      <c r="L75" s="262" t="s">
        <v>349</v>
      </c>
      <c r="M75" s="22" t="s">
        <v>85</v>
      </c>
      <c r="N75" s="23" t="str">
        <f t="shared" si="2"/>
        <v>Sim</v>
      </c>
      <c r="O75" s="22" t="s">
        <v>86</v>
      </c>
      <c r="P75" s="22" t="s">
        <v>86</v>
      </c>
      <c r="Q75" s="391" t="s">
        <v>321</v>
      </c>
      <c r="R75" s="23">
        <f>SUMIF('Lançamento de Cabos'!$B:$B,Tabela1[[#This Row],[Tag do Cabo]],'Lançamento de Cabos'!$C:$C)</f>
        <v>120</v>
      </c>
      <c r="S75" s="391">
        <f>VLOOKUP(Tabela1[[#This Row],[Tag do Cabo]],'Diagramas Ligações'!A:V,14,0)</f>
        <v>32</v>
      </c>
      <c r="T75" s="262" t="s">
        <v>350</v>
      </c>
      <c r="U75" s="391">
        <v>10</v>
      </c>
      <c r="V75" s="391" t="s">
        <v>186</v>
      </c>
      <c r="W75" s="391" t="s">
        <v>306</v>
      </c>
      <c r="X75" s="32">
        <v>44120</v>
      </c>
      <c r="Y75" s="32">
        <v>44130</v>
      </c>
      <c r="Z75" s="88" t="s">
        <v>351</v>
      </c>
      <c r="AA75" s="45">
        <v>94</v>
      </c>
      <c r="AB7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5" s="262" t="s">
        <v>327</v>
      </c>
      <c r="AD75" s="391">
        <f>IF(Tabela1[[#This Row],[Qtde. Lançada]]&gt;Tabela1[[#This Row],[Comprimento Total]],Tabela1[[#This Row],[Qtde. Lançada]],Tabela1[[#This Row],[Comprimento Total]])</f>
        <v>120</v>
      </c>
      <c r="AE75" s="262" t="s">
        <v>360</v>
      </c>
      <c r="AF75" s="391" t="s">
        <v>352</v>
      </c>
      <c r="AG75" s="391">
        <f ca="1">SUMIF('Lançamento de Cabos'!AE:AK,Tabela1[[#This Row],[Tag do Cabo]],'Lançamento de Cabos'!AG:AG)</f>
        <v>0</v>
      </c>
      <c r="AH75" s="29">
        <f>IFERROR(VLOOKUP(Tabela1[[#This Row],[Tag do Cabo]],'Lançamento de Cabos'!AE:AK,7,0),0)</f>
        <v>0</v>
      </c>
      <c r="AI75" s="262" t="s">
        <v>353</v>
      </c>
      <c r="AJ75" s="212">
        <v>36</v>
      </c>
      <c r="AK75" s="46">
        <v>3087804</v>
      </c>
    </row>
    <row r="76" spans="1:37" s="262" customFormat="1" ht="15" customHeight="1" x14ac:dyDescent="0.2">
      <c r="A76" s="168" t="s">
        <v>370</v>
      </c>
      <c r="B76" s="391" t="s">
        <v>38</v>
      </c>
      <c r="C76" s="391" t="s">
        <v>92</v>
      </c>
      <c r="D76" s="391" t="s">
        <v>92</v>
      </c>
      <c r="E76" s="3" t="s">
        <v>347</v>
      </c>
      <c r="F76" s="11">
        <v>1</v>
      </c>
      <c r="G76" s="391">
        <v>1</v>
      </c>
      <c r="H76" s="391">
        <v>80</v>
      </c>
      <c r="I76" s="391">
        <v>80</v>
      </c>
      <c r="J76" s="391" t="s">
        <v>310</v>
      </c>
      <c r="K76" s="262" t="s">
        <v>371</v>
      </c>
      <c r="L76" s="262" t="s">
        <v>372</v>
      </c>
      <c r="M76" s="22" t="s">
        <v>85</v>
      </c>
      <c r="N76" s="391" t="str">
        <f t="shared" si="2"/>
        <v>Sim</v>
      </c>
      <c r="O76" s="22" t="s">
        <v>86</v>
      </c>
      <c r="P76" s="22" t="s">
        <v>86</v>
      </c>
      <c r="Q76" s="391" t="s">
        <v>184</v>
      </c>
      <c r="R76" s="391">
        <f>SUMIF('Lançamento de Cabos'!$B:$B,Tabela1[[#This Row],[Tag do Cabo]],'Lançamento de Cabos'!$C:$C)</f>
        <v>110</v>
      </c>
      <c r="S76" s="391">
        <f>VLOOKUP(Tabela1[[#This Row],[Tag do Cabo]],'Diagramas Ligações'!A:V,14,0)</f>
        <v>16</v>
      </c>
      <c r="T76" s="262" t="s">
        <v>350</v>
      </c>
      <c r="U76" s="391">
        <v>10</v>
      </c>
      <c r="V76" s="391" t="s">
        <v>186</v>
      </c>
      <c r="W76" s="391" t="s">
        <v>306</v>
      </c>
      <c r="X76" s="32">
        <v>44120</v>
      </c>
      <c r="Y76" s="32">
        <v>44130</v>
      </c>
      <c r="Z76" s="88" t="s">
        <v>351</v>
      </c>
      <c r="AA76" s="45">
        <v>127</v>
      </c>
      <c r="AB7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6" s="262" t="s">
        <v>327</v>
      </c>
      <c r="AD76" s="391">
        <f>IF(Tabela1[[#This Row],[Qtde. Lançada]]&gt;Tabela1[[#This Row],[Comprimento Total]],Tabela1[[#This Row],[Qtde. Lançada]],Tabela1[[#This Row],[Comprimento Total]])</f>
        <v>110</v>
      </c>
      <c r="AE76" s="262" t="s">
        <v>190</v>
      </c>
      <c r="AF76" s="391" t="s">
        <v>373</v>
      </c>
      <c r="AG76" s="391">
        <f ca="1">SUMIF('Lançamento de Cabos'!AE:AK,Tabela1[[#This Row],[Tag do Cabo]],'Lançamento de Cabos'!AG:AG)</f>
        <v>0</v>
      </c>
      <c r="AH76" s="29">
        <f>IFERROR(VLOOKUP(Tabela1[[#This Row],[Tag do Cabo]],'Lançamento de Cabos'!AE:AK,7,0),0)</f>
        <v>0</v>
      </c>
      <c r="AI76" s="262" t="s">
        <v>374</v>
      </c>
      <c r="AJ76" s="212" t="s">
        <v>375</v>
      </c>
      <c r="AK76" s="46">
        <v>1423312</v>
      </c>
    </row>
    <row r="77" spans="1:37" s="262" customFormat="1" ht="15" customHeight="1" x14ac:dyDescent="0.2">
      <c r="A77" s="168" t="s">
        <v>376</v>
      </c>
      <c r="B77" s="391" t="s">
        <v>38</v>
      </c>
      <c r="C77" s="391" t="s">
        <v>92</v>
      </c>
      <c r="D77" s="391" t="s">
        <v>92</v>
      </c>
      <c r="E77" s="3" t="s">
        <v>355</v>
      </c>
      <c r="F77" s="11">
        <v>1</v>
      </c>
      <c r="G77" s="391">
        <v>1</v>
      </c>
      <c r="H77" s="391">
        <v>80</v>
      </c>
      <c r="I77" s="391">
        <v>80</v>
      </c>
      <c r="J77" s="391" t="s">
        <v>310</v>
      </c>
      <c r="K77" s="262" t="s">
        <v>377</v>
      </c>
      <c r="L77" s="262" t="s">
        <v>372</v>
      </c>
      <c r="M77" s="22" t="s">
        <v>85</v>
      </c>
      <c r="N77" s="391" t="str">
        <f t="shared" si="2"/>
        <v>Sim</v>
      </c>
      <c r="O77" s="22" t="s">
        <v>86</v>
      </c>
      <c r="P77" s="22" t="s">
        <v>86</v>
      </c>
      <c r="Q77" s="91" t="s">
        <v>184</v>
      </c>
      <c r="R77" s="391">
        <f>SUMIF('Lançamento de Cabos'!$B:$B,Tabela1[[#This Row],[Tag do Cabo]],'Lançamento de Cabos'!$C:$C)</f>
        <v>110</v>
      </c>
      <c r="S77" s="391">
        <f>VLOOKUP(Tabela1[[#This Row],[Tag do Cabo]],'Diagramas Ligações'!A:V,14,0)</f>
        <v>4</v>
      </c>
      <c r="T77" s="262" t="s">
        <v>350</v>
      </c>
      <c r="U77" s="391">
        <v>10</v>
      </c>
      <c r="V77" s="391" t="s">
        <v>186</v>
      </c>
      <c r="W77" s="391" t="s">
        <v>306</v>
      </c>
      <c r="X77" s="32">
        <v>44120</v>
      </c>
      <c r="Y77" s="32">
        <v>44130</v>
      </c>
      <c r="Z77" s="88" t="s">
        <v>351</v>
      </c>
      <c r="AA77" s="45">
        <v>182</v>
      </c>
      <c r="AB7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7" s="262" t="s">
        <v>327</v>
      </c>
      <c r="AD77" s="391">
        <f>IF(Tabela1[[#This Row],[Qtde. Lançada]]&gt;Tabela1[[#This Row],[Comprimento Total]],Tabela1[[#This Row],[Qtde. Lançada]],Tabela1[[#This Row],[Comprimento Total]])</f>
        <v>110</v>
      </c>
      <c r="AE77" s="262" t="s">
        <v>190</v>
      </c>
      <c r="AF77" s="391" t="s">
        <v>373</v>
      </c>
      <c r="AG77" s="391">
        <f ca="1">SUMIF('Lançamento de Cabos'!AE:AK,Tabela1[[#This Row],[Tag do Cabo]],'Lançamento de Cabos'!AG:AG)</f>
        <v>0</v>
      </c>
      <c r="AH77" s="29">
        <f>IFERROR(VLOOKUP(Tabela1[[#This Row],[Tag do Cabo]],'Lançamento de Cabos'!AE:AK,7,0),0)</f>
        <v>0</v>
      </c>
      <c r="AI77" s="262" t="s">
        <v>378</v>
      </c>
      <c r="AJ77" s="212">
        <v>39</v>
      </c>
      <c r="AK77" s="46">
        <v>306860</v>
      </c>
    </row>
    <row r="78" spans="1:37" s="262" customFormat="1" ht="15" customHeight="1" x14ac:dyDescent="0.2">
      <c r="A78" s="168" t="s">
        <v>379</v>
      </c>
      <c r="B78" s="391" t="s">
        <v>38</v>
      </c>
      <c r="C78" s="391" t="s">
        <v>92</v>
      </c>
      <c r="D78" s="391" t="s">
        <v>92</v>
      </c>
      <c r="E78" s="3" t="s">
        <v>380</v>
      </c>
      <c r="F78" s="11">
        <v>1.5</v>
      </c>
      <c r="G78" s="391">
        <v>1</v>
      </c>
      <c r="H78" s="391">
        <v>130</v>
      </c>
      <c r="I78" s="391">
        <v>130</v>
      </c>
      <c r="J78" s="391" t="s">
        <v>310</v>
      </c>
      <c r="K78" s="262" t="s">
        <v>381</v>
      </c>
      <c r="L78" s="262" t="s">
        <v>372</v>
      </c>
      <c r="M78" s="22" t="s">
        <v>85</v>
      </c>
      <c r="N78" s="391" t="str">
        <f t="shared" si="2"/>
        <v>Sim</v>
      </c>
      <c r="O78" s="22" t="s">
        <v>86</v>
      </c>
      <c r="P78" s="22" t="s">
        <v>86</v>
      </c>
      <c r="Q78" s="91" t="s">
        <v>321</v>
      </c>
      <c r="R78" s="391">
        <f>SUMIF('Lançamento de Cabos'!$B:$B,Tabela1[[#This Row],[Tag do Cabo]],'Lançamento de Cabos'!$C:$C)</f>
        <v>136</v>
      </c>
      <c r="S78" s="391">
        <f>VLOOKUP(Tabela1[[#This Row],[Tag do Cabo]],'Diagramas Ligações'!A:V,14,0)</f>
        <v>32</v>
      </c>
      <c r="T78" s="262" t="s">
        <v>350</v>
      </c>
      <c r="U78" s="391">
        <v>10</v>
      </c>
      <c r="V78" s="391" t="s">
        <v>186</v>
      </c>
      <c r="W78" s="391" t="s">
        <v>306</v>
      </c>
      <c r="X78" s="32">
        <v>44120</v>
      </c>
      <c r="Y78" s="32">
        <v>44130</v>
      </c>
      <c r="Z78" s="88" t="s">
        <v>351</v>
      </c>
      <c r="AA78" s="45">
        <v>126</v>
      </c>
      <c r="AB7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8" s="262" t="s">
        <v>327</v>
      </c>
      <c r="AD78" s="391">
        <f>IF(Tabela1[[#This Row],[Qtde. Lançada]]&gt;Tabela1[[#This Row],[Comprimento Total]],Tabela1[[#This Row],[Qtde. Lançada]],Tabela1[[#This Row],[Comprimento Total]])</f>
        <v>136</v>
      </c>
      <c r="AE78" s="262" t="s">
        <v>382</v>
      </c>
      <c r="AF78" s="391" t="s">
        <v>373</v>
      </c>
      <c r="AG78" s="391">
        <f ca="1">SUMIF('Lançamento de Cabos'!AE:AK,Tabela1[[#This Row],[Tag do Cabo]],'Lançamento de Cabos'!AG:AG)</f>
        <v>0</v>
      </c>
      <c r="AH78" s="29">
        <f>IFERROR(VLOOKUP(Tabela1[[#This Row],[Tag do Cabo]],'Lançamento de Cabos'!AE:AK,7,0),0)</f>
        <v>0</v>
      </c>
      <c r="AI78" s="262" t="s">
        <v>378</v>
      </c>
      <c r="AJ78" s="212">
        <v>42</v>
      </c>
      <c r="AK78" s="46">
        <v>922346</v>
      </c>
    </row>
    <row r="79" spans="1:37" s="262" customFormat="1" ht="15" customHeight="1" x14ac:dyDescent="0.2">
      <c r="A79" s="168" t="s">
        <v>383</v>
      </c>
      <c r="B79" s="391" t="s">
        <v>38</v>
      </c>
      <c r="C79" s="391" t="s">
        <v>92</v>
      </c>
      <c r="D79" s="391" t="s">
        <v>92</v>
      </c>
      <c r="E79" s="3" t="s">
        <v>358</v>
      </c>
      <c r="F79" s="11">
        <v>1</v>
      </c>
      <c r="G79" s="391">
        <v>1</v>
      </c>
      <c r="H79" s="391">
        <v>80</v>
      </c>
      <c r="I79" s="391">
        <v>80</v>
      </c>
      <c r="J79" s="391" t="s">
        <v>310</v>
      </c>
      <c r="K79" s="262" t="s">
        <v>384</v>
      </c>
      <c r="L79" s="262" t="s">
        <v>372</v>
      </c>
      <c r="M79" s="22" t="s">
        <v>85</v>
      </c>
      <c r="N79" s="391" t="str">
        <f t="shared" si="2"/>
        <v>Sim</v>
      </c>
      <c r="O79" s="22" t="s">
        <v>86</v>
      </c>
      <c r="P79" s="22" t="s">
        <v>86</v>
      </c>
      <c r="Q79" s="391" t="s">
        <v>184</v>
      </c>
      <c r="R79" s="391">
        <f>SUMIF('Lançamento de Cabos'!$B:$B,Tabela1[[#This Row],[Tag do Cabo]],'Lançamento de Cabos'!$C:$C)</f>
        <v>110</v>
      </c>
      <c r="S79" s="391">
        <f>VLOOKUP(Tabela1[[#This Row],[Tag do Cabo]],'Diagramas Ligações'!A:V,14,0)</f>
        <v>36</v>
      </c>
      <c r="T79" s="262" t="s">
        <v>350</v>
      </c>
      <c r="U79" s="391">
        <v>10</v>
      </c>
      <c r="V79" s="391" t="s">
        <v>186</v>
      </c>
      <c r="W79" s="391" t="s">
        <v>306</v>
      </c>
      <c r="X79" s="32">
        <v>44120</v>
      </c>
      <c r="Y79" s="32">
        <v>44130</v>
      </c>
      <c r="Z79" s="88" t="s">
        <v>351</v>
      </c>
      <c r="AA79" s="45">
        <v>182</v>
      </c>
      <c r="AB7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79" s="262" t="s">
        <v>327</v>
      </c>
      <c r="AD79" s="391">
        <f>IF(Tabela1[[#This Row],[Qtde. Lançada]]&gt;Tabela1[[#This Row],[Comprimento Total]],Tabela1[[#This Row],[Qtde. Lançada]],Tabela1[[#This Row],[Comprimento Total]])</f>
        <v>110</v>
      </c>
      <c r="AE79" s="262" t="s">
        <v>360</v>
      </c>
      <c r="AF79" s="391" t="s">
        <v>373</v>
      </c>
      <c r="AG79" s="391">
        <f ca="1">SUMIF('Lançamento de Cabos'!AE:AK,Tabela1[[#This Row],[Tag do Cabo]],'Lançamento de Cabos'!AG:AG)</f>
        <v>0</v>
      </c>
      <c r="AH79" s="29">
        <f>IFERROR(VLOOKUP(Tabela1[[#This Row],[Tag do Cabo]],'Lançamento de Cabos'!AE:AK,7,0),0)</f>
        <v>0</v>
      </c>
      <c r="AI79" s="262" t="s">
        <v>378</v>
      </c>
      <c r="AJ79" s="212">
        <v>15</v>
      </c>
      <c r="AK79" s="46">
        <v>3005082</v>
      </c>
    </row>
    <row r="80" spans="1:37" s="262" customFormat="1" ht="15" customHeight="1" x14ac:dyDescent="0.2">
      <c r="A80" s="168" t="s">
        <v>385</v>
      </c>
      <c r="B80" s="391" t="s">
        <v>38</v>
      </c>
      <c r="C80" s="391" t="s">
        <v>92</v>
      </c>
      <c r="D80" s="391" t="s">
        <v>92</v>
      </c>
      <c r="E80" s="3" t="s">
        <v>386</v>
      </c>
      <c r="F80" s="11">
        <v>1</v>
      </c>
      <c r="G80" s="391">
        <v>1</v>
      </c>
      <c r="H80" s="391">
        <v>80</v>
      </c>
      <c r="I80" s="391">
        <v>80</v>
      </c>
      <c r="J80" s="391" t="s">
        <v>310</v>
      </c>
      <c r="K80" s="262" t="s">
        <v>387</v>
      </c>
      <c r="L80" s="262" t="s">
        <v>372</v>
      </c>
      <c r="M80" s="22" t="s">
        <v>85</v>
      </c>
      <c r="N80" s="391" t="str">
        <f t="shared" si="2"/>
        <v>Sim</v>
      </c>
      <c r="O80" s="22" t="s">
        <v>86</v>
      </c>
      <c r="P80" s="22" t="s">
        <v>86</v>
      </c>
      <c r="Q80" s="391" t="s">
        <v>184</v>
      </c>
      <c r="R80" s="391">
        <f>SUMIF('Lançamento de Cabos'!$B:$B,Tabela1[[#This Row],[Tag do Cabo]],'Lançamento de Cabos'!$C:$C)</f>
        <v>110</v>
      </c>
      <c r="S80" s="391">
        <f>VLOOKUP(Tabela1[[#This Row],[Tag do Cabo]],'Diagramas Ligações'!A:V,14,0)</f>
        <v>42</v>
      </c>
      <c r="T80" s="262" t="s">
        <v>350</v>
      </c>
      <c r="U80" s="391">
        <v>10</v>
      </c>
      <c r="V80" s="391" t="s">
        <v>186</v>
      </c>
      <c r="W80" s="391" t="s">
        <v>306</v>
      </c>
      <c r="X80" s="32">
        <v>44120</v>
      </c>
      <c r="Y80" s="32">
        <v>44130</v>
      </c>
      <c r="Z80" s="88" t="s">
        <v>351</v>
      </c>
      <c r="AA80" s="45">
        <v>130</v>
      </c>
      <c r="AB8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0" s="262" t="s">
        <v>327</v>
      </c>
      <c r="AD80" s="391">
        <f>IF(Tabela1[[#This Row],[Qtde. Lançada]]&gt;Tabela1[[#This Row],[Comprimento Total]],Tabela1[[#This Row],[Qtde. Lançada]],Tabela1[[#This Row],[Comprimento Total]])</f>
        <v>110</v>
      </c>
      <c r="AE80" s="262" t="s">
        <v>360</v>
      </c>
      <c r="AF80" s="391" t="s">
        <v>373</v>
      </c>
      <c r="AG80" s="391">
        <f ca="1">SUMIF('Lançamento de Cabos'!AE:AK,Tabela1[[#This Row],[Tag do Cabo]],'Lançamento de Cabos'!AG:AG)</f>
        <v>0</v>
      </c>
      <c r="AH80" s="29">
        <f>IFERROR(VLOOKUP(Tabela1[[#This Row],[Tag do Cabo]],'Lançamento de Cabos'!AE:AK,7,0),0)</f>
        <v>0</v>
      </c>
      <c r="AI80" s="262" t="s">
        <v>378</v>
      </c>
      <c r="AJ80" s="212">
        <v>6</v>
      </c>
      <c r="AK80" s="46">
        <v>923851</v>
      </c>
    </row>
    <row r="81" spans="1:37" s="262" customFormat="1" ht="15" customHeight="1" x14ac:dyDescent="0.2">
      <c r="A81" s="168" t="s">
        <v>388</v>
      </c>
      <c r="B81" s="391" t="s">
        <v>38</v>
      </c>
      <c r="C81" s="391" t="s">
        <v>92</v>
      </c>
      <c r="D81" s="391" t="s">
        <v>92</v>
      </c>
      <c r="E81" s="3" t="s">
        <v>358</v>
      </c>
      <c r="F81" s="11">
        <v>1</v>
      </c>
      <c r="G81" s="391">
        <v>1</v>
      </c>
      <c r="H81" s="391">
        <v>80</v>
      </c>
      <c r="I81" s="391">
        <v>80</v>
      </c>
      <c r="J81" s="391" t="s">
        <v>310</v>
      </c>
      <c r="K81" s="262" t="s">
        <v>389</v>
      </c>
      <c r="L81" s="262" t="s">
        <v>372</v>
      </c>
      <c r="M81" s="22" t="s">
        <v>85</v>
      </c>
      <c r="N81" s="391" t="str">
        <f t="shared" si="2"/>
        <v>Sim</v>
      </c>
      <c r="O81" s="22" t="s">
        <v>86</v>
      </c>
      <c r="P81" s="22" t="s">
        <v>86</v>
      </c>
      <c r="Q81" s="391" t="s">
        <v>321</v>
      </c>
      <c r="R81" s="391">
        <f>SUMIF('Lançamento de Cabos'!$B:$B,Tabela1[[#This Row],[Tag do Cabo]],'Lançamento de Cabos'!$C:$C)</f>
        <v>110</v>
      </c>
      <c r="S81" s="391">
        <f>VLOOKUP(Tabela1[[#This Row],[Tag do Cabo]],'Diagramas Ligações'!A:V,14,0)</f>
        <v>46</v>
      </c>
      <c r="T81" s="262" t="s">
        <v>350</v>
      </c>
      <c r="U81" s="391">
        <v>10</v>
      </c>
      <c r="V81" s="391" t="s">
        <v>186</v>
      </c>
      <c r="W81" s="391" t="s">
        <v>306</v>
      </c>
      <c r="X81" s="32">
        <v>44120</v>
      </c>
      <c r="Y81" s="32">
        <v>44130</v>
      </c>
      <c r="Z81" s="88" t="s">
        <v>351</v>
      </c>
      <c r="AA81" s="45">
        <v>126</v>
      </c>
      <c r="AB8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1" s="262" t="s">
        <v>327</v>
      </c>
      <c r="AD81" s="391">
        <f>IF(Tabela1[[#This Row],[Qtde. Lançada]]&gt;Tabela1[[#This Row],[Comprimento Total]],Tabela1[[#This Row],[Qtde. Lançada]],Tabela1[[#This Row],[Comprimento Total]])</f>
        <v>110</v>
      </c>
      <c r="AE81" s="262" t="s">
        <v>360</v>
      </c>
      <c r="AF81" s="391" t="s">
        <v>373</v>
      </c>
      <c r="AG81" s="391">
        <f ca="1">SUMIF('Lançamento de Cabos'!AE:AK,Tabela1[[#This Row],[Tag do Cabo]],'Lançamento de Cabos'!AG:AG)</f>
        <v>0</v>
      </c>
      <c r="AH81" s="29">
        <f>IFERROR(VLOOKUP(Tabela1[[#This Row],[Tag do Cabo]],'Lançamento de Cabos'!AE:AK,7,0),0)</f>
        <v>0</v>
      </c>
      <c r="AI81" s="262" t="s">
        <v>378</v>
      </c>
      <c r="AJ81" s="212" t="s">
        <v>390</v>
      </c>
      <c r="AK81" s="46">
        <v>3005082</v>
      </c>
    </row>
    <row r="82" spans="1:37" s="262" customFormat="1" ht="15" customHeight="1" x14ac:dyDescent="0.2">
      <c r="A82" s="168" t="s">
        <v>391</v>
      </c>
      <c r="B82" s="391" t="s">
        <v>38</v>
      </c>
      <c r="C82" s="391" t="s">
        <v>92</v>
      </c>
      <c r="D82" s="391" t="s">
        <v>92</v>
      </c>
      <c r="E82" s="3" t="s">
        <v>392</v>
      </c>
      <c r="F82" s="11">
        <v>1</v>
      </c>
      <c r="G82" s="391">
        <v>1</v>
      </c>
      <c r="H82" s="391">
        <v>80</v>
      </c>
      <c r="I82" s="391">
        <v>80</v>
      </c>
      <c r="J82" s="391" t="s">
        <v>310</v>
      </c>
      <c r="K82" s="262" t="s">
        <v>393</v>
      </c>
      <c r="L82" s="262" t="s">
        <v>372</v>
      </c>
      <c r="M82" s="22" t="s">
        <v>85</v>
      </c>
      <c r="N82" s="391" t="str">
        <f t="shared" si="2"/>
        <v>Sim</v>
      </c>
      <c r="O82" s="22" t="s">
        <v>86</v>
      </c>
      <c r="P82" s="22" t="s">
        <v>86</v>
      </c>
      <c r="Q82" s="391" t="s">
        <v>184</v>
      </c>
      <c r="R82" s="391">
        <f>SUMIF('Lançamento de Cabos'!$B:$B,Tabela1[[#This Row],[Tag do Cabo]],'Lançamento de Cabos'!$C:$C)</f>
        <v>110</v>
      </c>
      <c r="S82" s="391">
        <f>VLOOKUP(Tabela1[[#This Row],[Tag do Cabo]],'Diagramas Ligações'!A:V,14,0)</f>
        <v>20</v>
      </c>
      <c r="T82" s="262" t="s">
        <v>350</v>
      </c>
      <c r="U82" s="391">
        <v>10</v>
      </c>
      <c r="V82" s="391" t="s">
        <v>186</v>
      </c>
      <c r="W82" s="391" t="s">
        <v>306</v>
      </c>
      <c r="X82" s="32">
        <v>44120</v>
      </c>
      <c r="Y82" s="32">
        <v>44130</v>
      </c>
      <c r="Z82" s="88" t="s">
        <v>351</v>
      </c>
      <c r="AA82" s="45">
        <v>127</v>
      </c>
      <c r="AB8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2" s="262" t="s">
        <v>327</v>
      </c>
      <c r="AD82" s="391">
        <f>IF(Tabela1[[#This Row],[Qtde. Lançada]]&gt;Tabela1[[#This Row],[Comprimento Total]],Tabela1[[#This Row],[Qtde. Lançada]],Tabela1[[#This Row],[Comprimento Total]])</f>
        <v>110</v>
      </c>
      <c r="AE82" s="262" t="s">
        <v>360</v>
      </c>
      <c r="AF82" s="391" t="s">
        <v>373</v>
      </c>
      <c r="AG82" s="391">
        <f ca="1">SUMIF('Lançamento de Cabos'!AE:AK,Tabela1[[#This Row],[Tag do Cabo]],'Lançamento de Cabos'!AG:AG)</f>
        <v>0</v>
      </c>
      <c r="AH82" s="29">
        <f>IFERROR(VLOOKUP(Tabela1[[#This Row],[Tag do Cabo]],'Lançamento de Cabos'!AE:AK,7,0),0)</f>
        <v>0</v>
      </c>
      <c r="AI82" s="262" t="s">
        <v>378</v>
      </c>
      <c r="AJ82" s="212">
        <v>12</v>
      </c>
      <c r="AK82" s="46">
        <v>1423312</v>
      </c>
    </row>
    <row r="83" spans="1:37" s="262" customFormat="1" ht="15" customHeight="1" x14ac:dyDescent="0.2">
      <c r="A83" s="168" t="s">
        <v>394</v>
      </c>
      <c r="B83" s="391" t="s">
        <v>38</v>
      </c>
      <c r="C83" s="391" t="s">
        <v>92</v>
      </c>
      <c r="D83" s="391" t="s">
        <v>92</v>
      </c>
      <c r="E83" s="3" t="s">
        <v>395</v>
      </c>
      <c r="F83" s="11">
        <v>1</v>
      </c>
      <c r="G83" s="391">
        <v>1</v>
      </c>
      <c r="H83" s="391">
        <v>80</v>
      </c>
      <c r="I83" s="391">
        <v>80</v>
      </c>
      <c r="J83" s="391" t="s">
        <v>310</v>
      </c>
      <c r="K83" s="262" t="s">
        <v>396</v>
      </c>
      <c r="L83" s="262" t="s">
        <v>372</v>
      </c>
      <c r="M83" s="22" t="s">
        <v>85</v>
      </c>
      <c r="N83" s="391" t="str">
        <f t="shared" si="2"/>
        <v>Sim</v>
      </c>
      <c r="O83" s="22" t="s">
        <v>86</v>
      </c>
      <c r="P83" s="22" t="s">
        <v>86</v>
      </c>
      <c r="Q83" s="91" t="s">
        <v>184</v>
      </c>
      <c r="R83" s="391">
        <f>SUMIF('Lançamento de Cabos'!$B:$B,Tabela1[[#This Row],[Tag do Cabo]],'Lançamento de Cabos'!$C:$C)</f>
        <v>110</v>
      </c>
      <c r="S83" s="391">
        <f>VLOOKUP(Tabela1[[#This Row],[Tag do Cabo]],'Diagramas Ligações'!A:V,14,0)</f>
        <v>8</v>
      </c>
      <c r="T83" s="262" t="s">
        <v>350</v>
      </c>
      <c r="U83" s="391">
        <v>10</v>
      </c>
      <c r="V83" s="391" t="s">
        <v>186</v>
      </c>
      <c r="W83" s="391" t="s">
        <v>306</v>
      </c>
      <c r="X83" s="32">
        <v>44120</v>
      </c>
      <c r="Y83" s="32">
        <v>44130</v>
      </c>
      <c r="Z83" s="88" t="s">
        <v>351</v>
      </c>
      <c r="AA83" s="45">
        <v>73</v>
      </c>
      <c r="AB8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3" s="262" t="s">
        <v>327</v>
      </c>
      <c r="AD83" s="391">
        <f>IF(Tabela1[[#This Row],[Qtde. Lançada]]&gt;Tabela1[[#This Row],[Comprimento Total]],Tabela1[[#This Row],[Qtde. Lançada]],Tabela1[[#This Row],[Comprimento Total]])</f>
        <v>110</v>
      </c>
      <c r="AE83" s="262" t="s">
        <v>190</v>
      </c>
      <c r="AF83" s="391" t="s">
        <v>373</v>
      </c>
      <c r="AG83" s="391">
        <f ca="1">SUMIF('Lançamento de Cabos'!AE:AK,Tabela1[[#This Row],[Tag do Cabo]],'Lançamento de Cabos'!AG:AG)</f>
        <v>0</v>
      </c>
      <c r="AH83" s="29">
        <f>IFERROR(VLOOKUP(Tabela1[[#This Row],[Tag do Cabo]],'Lançamento de Cabos'!AE:AK,7,0),0)</f>
        <v>0</v>
      </c>
      <c r="AI83" s="262" t="s">
        <v>378</v>
      </c>
      <c r="AJ83" s="212" t="s">
        <v>397</v>
      </c>
      <c r="AK83" s="46">
        <v>205637</v>
      </c>
    </row>
    <row r="84" spans="1:37" s="262" customFormat="1" ht="15" customHeight="1" x14ac:dyDescent="0.2">
      <c r="A84" s="168" t="s">
        <v>398</v>
      </c>
      <c r="B84" s="391" t="s">
        <v>38</v>
      </c>
      <c r="C84" s="391" t="s">
        <v>92</v>
      </c>
      <c r="D84" s="391" t="s">
        <v>92</v>
      </c>
      <c r="E84" s="3" t="s">
        <v>399</v>
      </c>
      <c r="F84" s="11">
        <v>1</v>
      </c>
      <c r="G84" s="391">
        <v>1</v>
      </c>
      <c r="H84" s="391">
        <v>80</v>
      </c>
      <c r="I84" s="391">
        <v>80</v>
      </c>
      <c r="J84" s="391" t="s">
        <v>310</v>
      </c>
      <c r="K84" s="262" t="s">
        <v>389</v>
      </c>
      <c r="L84" s="262" t="s">
        <v>372</v>
      </c>
      <c r="M84" s="22" t="s">
        <v>85</v>
      </c>
      <c r="N84" s="391" t="str">
        <f t="shared" si="2"/>
        <v>Sim</v>
      </c>
      <c r="O84" s="22" t="s">
        <v>86</v>
      </c>
      <c r="P84" s="22" t="s">
        <v>86</v>
      </c>
      <c r="Q84" s="91" t="s">
        <v>184</v>
      </c>
      <c r="R84" s="391">
        <f>SUMIF('Lançamento de Cabos'!$B:$B,Tabela1[[#This Row],[Tag do Cabo]],'Lançamento de Cabos'!$C:$C)</f>
        <v>110</v>
      </c>
      <c r="S84" s="391">
        <f>VLOOKUP(Tabela1[[#This Row],[Tag do Cabo]],'Diagramas Ligações'!A:V,14,0)</f>
        <v>18</v>
      </c>
      <c r="T84" s="262" t="s">
        <v>350</v>
      </c>
      <c r="U84" s="391">
        <v>10</v>
      </c>
      <c r="V84" s="391" t="s">
        <v>186</v>
      </c>
      <c r="W84" s="391" t="s">
        <v>306</v>
      </c>
      <c r="X84" s="32">
        <v>44120</v>
      </c>
      <c r="Y84" s="32">
        <v>44130</v>
      </c>
      <c r="Z84" s="88" t="s">
        <v>351</v>
      </c>
      <c r="AA84" s="45">
        <v>133</v>
      </c>
      <c r="AB8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4" s="262" t="s">
        <v>327</v>
      </c>
      <c r="AD84" s="391">
        <f>IF(Tabela1[[#This Row],[Qtde. Lançada]]&gt;Tabela1[[#This Row],[Comprimento Total]],Tabela1[[#This Row],[Qtde. Lançada]],Tabela1[[#This Row],[Comprimento Total]])</f>
        <v>110</v>
      </c>
      <c r="AE84" s="262" t="s">
        <v>360</v>
      </c>
      <c r="AF84" s="391" t="s">
        <v>373</v>
      </c>
      <c r="AG84" s="391">
        <f ca="1">SUMIF('Lançamento de Cabos'!AE:AK,Tabela1[[#This Row],[Tag do Cabo]],'Lançamento de Cabos'!AG:AG)</f>
        <v>0</v>
      </c>
      <c r="AH84" s="29">
        <f>IFERROR(VLOOKUP(Tabela1[[#This Row],[Tag do Cabo]],'Lançamento de Cabos'!AE:AK,7,0),0)</f>
        <v>0</v>
      </c>
      <c r="AI84" s="262" t="s">
        <v>378</v>
      </c>
      <c r="AJ84" s="212">
        <v>5</v>
      </c>
      <c r="AK84" s="46">
        <v>3184799</v>
      </c>
    </row>
    <row r="85" spans="1:37" s="262" customFormat="1" ht="15" customHeight="1" x14ac:dyDescent="0.2">
      <c r="A85" s="168" t="s">
        <v>400</v>
      </c>
      <c r="B85" s="391" t="s">
        <v>38</v>
      </c>
      <c r="C85" s="391" t="s">
        <v>92</v>
      </c>
      <c r="D85" s="391" t="s">
        <v>92</v>
      </c>
      <c r="E85" s="3" t="s">
        <v>401</v>
      </c>
      <c r="F85" s="11">
        <v>1.5</v>
      </c>
      <c r="G85" s="391">
        <v>1</v>
      </c>
      <c r="H85" s="391">
        <v>30</v>
      </c>
      <c r="I85" s="391">
        <v>30</v>
      </c>
      <c r="J85" s="391" t="s">
        <v>402</v>
      </c>
      <c r="K85" s="262" t="s">
        <v>403</v>
      </c>
      <c r="L85" s="262" t="s">
        <v>404</v>
      </c>
      <c r="M85" s="22" t="s">
        <v>85</v>
      </c>
      <c r="N85" s="23" t="str">
        <f t="shared" si="2"/>
        <v>Sim</v>
      </c>
      <c r="O85" s="22" t="s">
        <v>86</v>
      </c>
      <c r="P85" s="22" t="s">
        <v>86</v>
      </c>
      <c r="Q85" s="91" t="s">
        <v>184</v>
      </c>
      <c r="R85" s="23">
        <f>SUMIF('Lançamento de Cabos'!$B:$B,Tabela1[[#This Row],[Tag do Cabo]],'Lançamento de Cabos'!$C:$C)</f>
        <v>30</v>
      </c>
      <c r="S85" s="391">
        <f>VLOOKUP(Tabela1[[#This Row],[Tag do Cabo]],'Diagramas Ligações'!A:V,14,0)</f>
        <v>6</v>
      </c>
      <c r="T85" s="262" t="s">
        <v>405</v>
      </c>
      <c r="U85" s="391">
        <v>2</v>
      </c>
      <c r="V85" s="391" t="s">
        <v>406</v>
      </c>
      <c r="W85" s="391" t="s">
        <v>92</v>
      </c>
      <c r="X85" s="391" t="s">
        <v>92</v>
      </c>
      <c r="Y85" s="391" t="s">
        <v>92</v>
      </c>
      <c r="Z85" s="391" t="s">
        <v>92</v>
      </c>
      <c r="AA85" s="45" t="s">
        <v>92</v>
      </c>
      <c r="AB8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5" s="262" t="s">
        <v>407</v>
      </c>
      <c r="AD85" s="391">
        <f>IF(Tabela1[[#This Row],[Qtde. Lançada]]&gt;Tabela1[[#This Row],[Comprimento Total]],Tabela1[[#This Row],[Qtde. Lançada]],Tabela1[[#This Row],[Comprimento Total]])</f>
        <v>30</v>
      </c>
      <c r="AE85" s="391" t="s">
        <v>92</v>
      </c>
      <c r="AF85" s="391" t="s">
        <v>402</v>
      </c>
      <c r="AG85" s="391">
        <f ca="1">SUMIF('Lançamento de Cabos'!AE:AK,Tabela1[[#This Row],[Tag do Cabo]],'Lançamento de Cabos'!AG:AG)</f>
        <v>9</v>
      </c>
      <c r="AH85" s="29">
        <f>IFERROR(VLOOKUP(Tabela1[[#This Row],[Tag do Cabo]],'Lançamento de Cabos'!AE:AK,7,0),0)</f>
        <v>1.5</v>
      </c>
      <c r="AI85" s="262" t="s">
        <v>408</v>
      </c>
      <c r="AJ85" s="212" t="s">
        <v>209</v>
      </c>
      <c r="AK85" s="46" t="s">
        <v>92</v>
      </c>
    </row>
    <row r="86" spans="1:37" s="262" customFormat="1" ht="15" customHeight="1" x14ac:dyDescent="0.2">
      <c r="A86" s="168" t="s">
        <v>409</v>
      </c>
      <c r="B86" s="391" t="s">
        <v>38</v>
      </c>
      <c r="C86" s="391" t="s">
        <v>92</v>
      </c>
      <c r="D86" s="391" t="s">
        <v>92</v>
      </c>
      <c r="E86" s="3" t="s">
        <v>401</v>
      </c>
      <c r="F86" s="11">
        <v>1.5</v>
      </c>
      <c r="G86" s="391">
        <v>1</v>
      </c>
      <c r="H86" s="391">
        <v>30</v>
      </c>
      <c r="I86" s="391">
        <v>30</v>
      </c>
      <c r="J86" s="391" t="s">
        <v>402</v>
      </c>
      <c r="K86" s="262" t="s">
        <v>403</v>
      </c>
      <c r="L86" s="262" t="s">
        <v>404</v>
      </c>
      <c r="M86" s="22" t="s">
        <v>85</v>
      </c>
      <c r="N86" s="23" t="str">
        <f t="shared" si="2"/>
        <v>Sim</v>
      </c>
      <c r="O86" s="22" t="s">
        <v>86</v>
      </c>
      <c r="P86" s="22" t="s">
        <v>86</v>
      </c>
      <c r="Q86" s="91" t="s">
        <v>184</v>
      </c>
      <c r="R86" s="23">
        <f>SUMIF('Lançamento de Cabos'!$B:$B,Tabela1[[#This Row],[Tag do Cabo]],'Lançamento de Cabos'!$C:$C)</f>
        <v>30</v>
      </c>
      <c r="S86" s="391">
        <f>VLOOKUP(Tabela1[[#This Row],[Tag do Cabo]],'Diagramas Ligações'!A:V,14,0)</f>
        <v>2</v>
      </c>
      <c r="T86" s="262" t="s">
        <v>405</v>
      </c>
      <c r="U86" s="391">
        <v>2</v>
      </c>
      <c r="V86" s="391" t="s">
        <v>406</v>
      </c>
      <c r="W86" s="391" t="s">
        <v>92</v>
      </c>
      <c r="X86" s="391" t="s">
        <v>92</v>
      </c>
      <c r="Y86" s="391" t="s">
        <v>92</v>
      </c>
      <c r="Z86" s="391" t="s">
        <v>92</v>
      </c>
      <c r="AA86" s="45" t="s">
        <v>92</v>
      </c>
      <c r="AB8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6" s="262" t="s">
        <v>407</v>
      </c>
      <c r="AD86" s="391">
        <f>IF(Tabela1[[#This Row],[Qtde. Lançada]]&gt;Tabela1[[#This Row],[Comprimento Total]],Tabela1[[#This Row],[Qtde. Lançada]],Tabela1[[#This Row],[Comprimento Total]])</f>
        <v>30</v>
      </c>
      <c r="AE86" s="391" t="s">
        <v>92</v>
      </c>
      <c r="AF86" s="391" t="s">
        <v>402</v>
      </c>
      <c r="AG86" s="391">
        <f ca="1">SUMIF('Lançamento de Cabos'!AE:AK,Tabela1[[#This Row],[Tag do Cabo]],'Lançamento de Cabos'!AG:AG)</f>
        <v>2</v>
      </c>
      <c r="AH86" s="29">
        <f>IFERROR(VLOOKUP(Tabela1[[#This Row],[Tag do Cabo]],'Lançamento de Cabos'!AE:AK,7,0),0)</f>
        <v>1</v>
      </c>
      <c r="AI86" s="262" t="s">
        <v>311</v>
      </c>
      <c r="AJ86" s="212" t="s">
        <v>92</v>
      </c>
      <c r="AK86" s="46" t="s">
        <v>92</v>
      </c>
    </row>
    <row r="87" spans="1:37" s="262" customFormat="1" ht="15" customHeight="1" x14ac:dyDescent="0.2">
      <c r="A87" s="168" t="s">
        <v>410</v>
      </c>
      <c r="B87" s="391" t="s">
        <v>37</v>
      </c>
      <c r="C87" s="391">
        <v>13800</v>
      </c>
      <c r="D87" s="391" t="s">
        <v>120</v>
      </c>
      <c r="E87" s="3" t="s">
        <v>411</v>
      </c>
      <c r="F87" s="11">
        <v>70</v>
      </c>
      <c r="G87" s="391">
        <v>3</v>
      </c>
      <c r="H87" s="391">
        <v>8</v>
      </c>
      <c r="I87" s="391">
        <v>24</v>
      </c>
      <c r="J87" s="391" t="s">
        <v>402</v>
      </c>
      <c r="K87" s="262" t="s">
        <v>412</v>
      </c>
      <c r="L87" s="262" t="s">
        <v>413</v>
      </c>
      <c r="M87" s="22" t="s">
        <v>85</v>
      </c>
      <c r="N87" s="22" t="s">
        <v>86</v>
      </c>
      <c r="O87" s="391" t="s">
        <v>85</v>
      </c>
      <c r="P87" s="391" t="s">
        <v>85</v>
      </c>
      <c r="Q87" s="91" t="s">
        <v>414</v>
      </c>
      <c r="R87" s="391">
        <f>SUMIF('Lançamento de Cabos'!$B:$B,Tabela1[[#This Row],[Tag do Cabo]],'Lançamento de Cabos'!$C:$C)</f>
        <v>24</v>
      </c>
      <c r="S87" s="391">
        <f>VLOOKUP(Tabela1[[#This Row],[Tag do Cabo]],'Diagramas Ligações'!A:V,14,0)</f>
        <v>6</v>
      </c>
      <c r="T87" s="262" t="s">
        <v>415</v>
      </c>
      <c r="U87" s="391">
        <v>2</v>
      </c>
      <c r="V87" s="391" t="s">
        <v>406</v>
      </c>
      <c r="W87" s="391" t="s">
        <v>92</v>
      </c>
      <c r="X87" s="391" t="s">
        <v>92</v>
      </c>
      <c r="Y87" s="391" t="s">
        <v>92</v>
      </c>
      <c r="Z87" s="391" t="s">
        <v>92</v>
      </c>
      <c r="AA87" s="45" t="s">
        <v>92</v>
      </c>
      <c r="AB8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7" s="262" t="s">
        <v>407</v>
      </c>
      <c r="AD87" s="391">
        <f>IF(Tabela1[[#This Row],[Qtde. Lançada]]&gt;Tabela1[[#This Row],[Comprimento Total]],Tabela1[[#This Row],[Qtde. Lançada]],Tabela1[[#This Row],[Comprimento Total]])</f>
        <v>24</v>
      </c>
      <c r="AE87" s="391" t="s">
        <v>92</v>
      </c>
      <c r="AF87" s="391" t="s">
        <v>402</v>
      </c>
      <c r="AG87" s="391">
        <f ca="1">SUMIF('Lançamento de Cabos'!AE:AK,Tabela1[[#This Row],[Tag do Cabo]],'Lançamento de Cabos'!AG:AG)</f>
        <v>6</v>
      </c>
      <c r="AH87" s="29">
        <f>IFERROR(VLOOKUP(Tabela1[[#This Row],[Tag do Cabo]],'Lançamento de Cabos'!AE:AK,7,0),0)</f>
        <v>1</v>
      </c>
      <c r="AI87" s="262" t="s">
        <v>416</v>
      </c>
      <c r="AJ87" s="212" t="s">
        <v>202</v>
      </c>
      <c r="AK87" s="46" t="s">
        <v>92</v>
      </c>
    </row>
    <row r="88" spans="1:37" s="262" customFormat="1" ht="15" customHeight="1" x14ac:dyDescent="0.2">
      <c r="A88" s="168" t="s">
        <v>417</v>
      </c>
      <c r="B88" s="391" t="s">
        <v>37</v>
      </c>
      <c r="C88" s="391">
        <v>13800</v>
      </c>
      <c r="D88" s="391" t="s">
        <v>120</v>
      </c>
      <c r="E88" s="3" t="s">
        <v>411</v>
      </c>
      <c r="F88" s="11">
        <v>70</v>
      </c>
      <c r="G88" s="391">
        <v>3</v>
      </c>
      <c r="H88" s="391">
        <v>6</v>
      </c>
      <c r="I88" s="391">
        <v>18</v>
      </c>
      <c r="J88" s="391" t="s">
        <v>402</v>
      </c>
      <c r="K88" s="262" t="s">
        <v>412</v>
      </c>
      <c r="L88" s="262" t="s">
        <v>418</v>
      </c>
      <c r="M88" s="22" t="s">
        <v>85</v>
      </c>
      <c r="N88" s="22" t="s">
        <v>86</v>
      </c>
      <c r="O88" s="391" t="s">
        <v>85</v>
      </c>
      <c r="P88" s="391" t="s">
        <v>85</v>
      </c>
      <c r="Q88" s="91" t="s">
        <v>414</v>
      </c>
      <c r="R88" s="391">
        <f>SUMIF('Lançamento de Cabos'!$B:$B,Tabela1[[#This Row],[Tag do Cabo]],'Lançamento de Cabos'!$C:$C)</f>
        <v>18</v>
      </c>
      <c r="S88" s="391">
        <f>VLOOKUP(Tabela1[[#This Row],[Tag do Cabo]],'Diagramas Ligações'!A:V,14,0)</f>
        <v>6</v>
      </c>
      <c r="T88" s="262" t="s">
        <v>415</v>
      </c>
      <c r="U88" s="391">
        <v>2</v>
      </c>
      <c r="V88" s="391" t="s">
        <v>406</v>
      </c>
      <c r="W88" s="391" t="s">
        <v>92</v>
      </c>
      <c r="X88" s="391" t="s">
        <v>92</v>
      </c>
      <c r="Y88" s="391" t="s">
        <v>92</v>
      </c>
      <c r="Z88" s="391" t="s">
        <v>92</v>
      </c>
      <c r="AA88" s="45" t="s">
        <v>92</v>
      </c>
      <c r="AB8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8" s="262" t="s">
        <v>407</v>
      </c>
      <c r="AD88" s="391">
        <f>IF(Tabela1[[#This Row],[Qtde. Lançada]]&gt;Tabela1[[#This Row],[Comprimento Total]],Tabela1[[#This Row],[Qtde. Lançada]],Tabela1[[#This Row],[Comprimento Total]])</f>
        <v>18</v>
      </c>
      <c r="AE88" s="391" t="s">
        <v>92</v>
      </c>
      <c r="AF88" s="391" t="s">
        <v>402</v>
      </c>
      <c r="AG88" s="391">
        <f ca="1">SUMIF('Lançamento de Cabos'!AE:AK,Tabela1[[#This Row],[Tag do Cabo]],'Lançamento de Cabos'!AG:AG)</f>
        <v>6</v>
      </c>
      <c r="AH88" s="29">
        <f>IFERROR(VLOOKUP(Tabela1[[#This Row],[Tag do Cabo]],'Lançamento de Cabos'!AE:AK,7,0),0)</f>
        <v>1</v>
      </c>
      <c r="AI88" s="262" t="s">
        <v>416</v>
      </c>
      <c r="AJ88" s="212" t="s">
        <v>202</v>
      </c>
      <c r="AK88" s="46" t="s">
        <v>92</v>
      </c>
    </row>
    <row r="89" spans="1:37" s="262" customFormat="1" ht="15" customHeight="1" x14ac:dyDescent="0.2">
      <c r="A89" s="168" t="s">
        <v>419</v>
      </c>
      <c r="B89" s="391" t="s">
        <v>37</v>
      </c>
      <c r="C89" s="391">
        <v>13800</v>
      </c>
      <c r="D89" s="391" t="s">
        <v>120</v>
      </c>
      <c r="E89" s="3" t="s">
        <v>411</v>
      </c>
      <c r="F89" s="11">
        <v>70</v>
      </c>
      <c r="G89" s="391">
        <v>3</v>
      </c>
      <c r="H89" s="391">
        <v>18</v>
      </c>
      <c r="I89" s="391">
        <v>54</v>
      </c>
      <c r="J89" s="391" t="s">
        <v>402</v>
      </c>
      <c r="K89" s="262" t="s">
        <v>412</v>
      </c>
      <c r="L89" s="262" t="s">
        <v>420</v>
      </c>
      <c r="M89" s="22" t="s">
        <v>85</v>
      </c>
      <c r="N89" s="22" t="s">
        <v>86</v>
      </c>
      <c r="O89" s="391" t="s">
        <v>85</v>
      </c>
      <c r="P89" s="391" t="s">
        <v>85</v>
      </c>
      <c r="Q89" s="91" t="s">
        <v>414</v>
      </c>
      <c r="R89" s="391">
        <f>SUMIF('Lançamento de Cabos'!$B:$B,Tabela1[[#This Row],[Tag do Cabo]],'Lançamento de Cabos'!$C:$C)</f>
        <v>54</v>
      </c>
      <c r="S89" s="391">
        <f>VLOOKUP(Tabela1[[#This Row],[Tag do Cabo]],'Diagramas Ligações'!A:V,14,0)</f>
        <v>6</v>
      </c>
      <c r="T89" s="262" t="s">
        <v>415</v>
      </c>
      <c r="U89" s="391">
        <v>2</v>
      </c>
      <c r="V89" s="391" t="s">
        <v>406</v>
      </c>
      <c r="W89" s="391" t="s">
        <v>92</v>
      </c>
      <c r="X89" s="391" t="s">
        <v>92</v>
      </c>
      <c r="Y89" s="391" t="s">
        <v>92</v>
      </c>
      <c r="Z89" s="391" t="s">
        <v>92</v>
      </c>
      <c r="AA89" s="45" t="s">
        <v>92</v>
      </c>
      <c r="AB8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89" s="262" t="s">
        <v>407</v>
      </c>
      <c r="AD89" s="391">
        <f>IF(Tabela1[[#This Row],[Qtde. Lançada]]&gt;Tabela1[[#This Row],[Comprimento Total]],Tabela1[[#This Row],[Qtde. Lançada]],Tabela1[[#This Row],[Comprimento Total]])</f>
        <v>54</v>
      </c>
      <c r="AE89" s="391" t="s">
        <v>92</v>
      </c>
      <c r="AF89" s="391" t="s">
        <v>402</v>
      </c>
      <c r="AG89" s="391">
        <f ca="1">SUMIF('Lançamento de Cabos'!AE:AK,Tabela1[[#This Row],[Tag do Cabo]],'Lançamento de Cabos'!AG:AG)</f>
        <v>6</v>
      </c>
      <c r="AH89" s="29">
        <f>IFERROR(VLOOKUP(Tabela1[[#This Row],[Tag do Cabo]],'Lançamento de Cabos'!AE:AK,7,0),0)</f>
        <v>1</v>
      </c>
      <c r="AI89" s="262" t="s">
        <v>416</v>
      </c>
      <c r="AJ89" s="212" t="s">
        <v>202</v>
      </c>
      <c r="AK89" s="46" t="s">
        <v>92</v>
      </c>
    </row>
    <row r="90" spans="1:37" s="262" customFormat="1" ht="15" customHeight="1" x14ac:dyDescent="0.2">
      <c r="A90" s="168" t="s">
        <v>421</v>
      </c>
      <c r="B90" s="391" t="s">
        <v>37</v>
      </c>
      <c r="C90" s="391">
        <v>13800</v>
      </c>
      <c r="D90" s="391" t="s">
        <v>120</v>
      </c>
      <c r="E90" s="3" t="s">
        <v>411</v>
      </c>
      <c r="F90" s="11">
        <v>70</v>
      </c>
      <c r="G90" s="391">
        <v>3</v>
      </c>
      <c r="H90" s="391">
        <v>12</v>
      </c>
      <c r="I90" s="391">
        <v>36</v>
      </c>
      <c r="J90" s="391" t="s">
        <v>402</v>
      </c>
      <c r="K90" s="262" t="s">
        <v>412</v>
      </c>
      <c r="L90" s="262" t="s">
        <v>422</v>
      </c>
      <c r="M90" s="22" t="s">
        <v>85</v>
      </c>
      <c r="N90" s="22" t="s">
        <v>86</v>
      </c>
      <c r="O90" s="391" t="s">
        <v>85</v>
      </c>
      <c r="P90" s="391" t="s">
        <v>85</v>
      </c>
      <c r="Q90" s="91" t="s">
        <v>414</v>
      </c>
      <c r="R90" s="391">
        <f>SUMIF('Lançamento de Cabos'!$B:$B,Tabela1[[#This Row],[Tag do Cabo]],'Lançamento de Cabos'!$C:$C)</f>
        <v>36</v>
      </c>
      <c r="S90" s="391">
        <f>VLOOKUP(Tabela1[[#This Row],[Tag do Cabo]],'Diagramas Ligações'!A:V,14,0)</f>
        <v>6</v>
      </c>
      <c r="T90" s="262" t="s">
        <v>415</v>
      </c>
      <c r="U90" s="391">
        <v>2</v>
      </c>
      <c r="V90" s="391" t="s">
        <v>406</v>
      </c>
      <c r="W90" s="391" t="s">
        <v>92</v>
      </c>
      <c r="X90" s="391" t="s">
        <v>92</v>
      </c>
      <c r="Y90" s="391" t="s">
        <v>92</v>
      </c>
      <c r="Z90" s="391" t="s">
        <v>92</v>
      </c>
      <c r="AA90" s="45" t="s">
        <v>92</v>
      </c>
      <c r="AB9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0" s="262" t="s">
        <v>407</v>
      </c>
      <c r="AD90" s="391">
        <f>IF(Tabela1[[#This Row],[Qtde. Lançada]]&gt;Tabela1[[#This Row],[Comprimento Total]],Tabela1[[#This Row],[Qtde. Lançada]],Tabela1[[#This Row],[Comprimento Total]])</f>
        <v>36</v>
      </c>
      <c r="AE90" s="391" t="s">
        <v>92</v>
      </c>
      <c r="AF90" s="391" t="s">
        <v>402</v>
      </c>
      <c r="AG90" s="391">
        <f ca="1">SUMIF('Lançamento de Cabos'!AE:AK,Tabela1[[#This Row],[Tag do Cabo]],'Lançamento de Cabos'!AG:AG)</f>
        <v>6</v>
      </c>
      <c r="AH90" s="29">
        <f>IFERROR(VLOOKUP(Tabela1[[#This Row],[Tag do Cabo]],'Lançamento de Cabos'!AE:AK,7,0),0)</f>
        <v>1</v>
      </c>
      <c r="AI90" s="262" t="s">
        <v>416</v>
      </c>
      <c r="AJ90" s="212" t="s">
        <v>202</v>
      </c>
      <c r="AK90" s="46" t="s">
        <v>92</v>
      </c>
    </row>
    <row r="91" spans="1:37" s="262" customFormat="1" ht="15" customHeight="1" x14ac:dyDescent="0.2">
      <c r="A91" s="168" t="s">
        <v>423</v>
      </c>
      <c r="B91" s="391" t="s">
        <v>37</v>
      </c>
      <c r="C91" s="391">
        <v>13800</v>
      </c>
      <c r="D91" s="391" t="s">
        <v>120</v>
      </c>
      <c r="E91" s="3" t="s">
        <v>411</v>
      </c>
      <c r="F91" s="11">
        <v>70</v>
      </c>
      <c r="G91" s="391">
        <v>3</v>
      </c>
      <c r="H91" s="391">
        <v>4</v>
      </c>
      <c r="I91" s="391">
        <v>12</v>
      </c>
      <c r="J91" s="391" t="s">
        <v>402</v>
      </c>
      <c r="K91" s="262" t="s">
        <v>412</v>
      </c>
      <c r="L91" s="262" t="s">
        <v>424</v>
      </c>
      <c r="M91" s="22" t="s">
        <v>85</v>
      </c>
      <c r="N91" s="22" t="s">
        <v>86</v>
      </c>
      <c r="O91" s="391" t="s">
        <v>85</v>
      </c>
      <c r="P91" s="391" t="s">
        <v>85</v>
      </c>
      <c r="Q91" s="91" t="s">
        <v>414</v>
      </c>
      <c r="R91" s="391">
        <f>SUMIF('Lançamento de Cabos'!$B:$B,Tabela1[[#This Row],[Tag do Cabo]],'Lançamento de Cabos'!$C:$C)</f>
        <v>12</v>
      </c>
      <c r="S91" s="391">
        <f>VLOOKUP(Tabela1[[#This Row],[Tag do Cabo]],'Diagramas Ligações'!A:V,14,0)</f>
        <v>6</v>
      </c>
      <c r="T91" s="262" t="s">
        <v>415</v>
      </c>
      <c r="U91" s="391">
        <v>2</v>
      </c>
      <c r="V91" s="391" t="s">
        <v>406</v>
      </c>
      <c r="W91" s="391" t="s">
        <v>92</v>
      </c>
      <c r="X91" s="391" t="s">
        <v>92</v>
      </c>
      <c r="Y91" s="391" t="s">
        <v>92</v>
      </c>
      <c r="Z91" s="391" t="s">
        <v>92</v>
      </c>
      <c r="AA91" s="45" t="s">
        <v>92</v>
      </c>
      <c r="AB9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1" s="262" t="s">
        <v>407</v>
      </c>
      <c r="AD91" s="391">
        <f>IF(Tabela1[[#This Row],[Qtde. Lançada]]&gt;Tabela1[[#This Row],[Comprimento Total]],Tabela1[[#This Row],[Qtde. Lançada]],Tabela1[[#This Row],[Comprimento Total]])</f>
        <v>12</v>
      </c>
      <c r="AE91" s="391" t="s">
        <v>92</v>
      </c>
      <c r="AF91" s="391" t="s">
        <v>402</v>
      </c>
      <c r="AG91" s="391">
        <f ca="1">SUMIF('Lançamento de Cabos'!AE:AK,Tabela1[[#This Row],[Tag do Cabo]],'Lançamento de Cabos'!AG:AG)</f>
        <v>6</v>
      </c>
      <c r="AH91" s="29">
        <f>IFERROR(VLOOKUP(Tabela1[[#This Row],[Tag do Cabo]],'Lançamento de Cabos'!AE:AK,7,0),0)</f>
        <v>1</v>
      </c>
      <c r="AI91" s="262" t="s">
        <v>416</v>
      </c>
      <c r="AJ91" s="212" t="s">
        <v>202</v>
      </c>
      <c r="AK91" s="46" t="s">
        <v>92</v>
      </c>
    </row>
    <row r="92" spans="1:37" s="262" customFormat="1" ht="15" customHeight="1" x14ac:dyDescent="0.2">
      <c r="A92" s="168" t="s">
        <v>425</v>
      </c>
      <c r="B92" s="391" t="s">
        <v>37</v>
      </c>
      <c r="C92" s="391">
        <v>13800</v>
      </c>
      <c r="D92" s="391" t="s">
        <v>120</v>
      </c>
      <c r="E92" s="3" t="s">
        <v>411</v>
      </c>
      <c r="F92" s="11">
        <v>70</v>
      </c>
      <c r="G92" s="391">
        <v>3</v>
      </c>
      <c r="H92" s="391">
        <v>6</v>
      </c>
      <c r="I92" s="391">
        <v>18</v>
      </c>
      <c r="J92" s="391" t="s">
        <v>402</v>
      </c>
      <c r="K92" s="262" t="s">
        <v>412</v>
      </c>
      <c r="L92" s="262" t="s">
        <v>426</v>
      </c>
      <c r="M92" s="22" t="s">
        <v>85</v>
      </c>
      <c r="N92" s="22" t="s">
        <v>86</v>
      </c>
      <c r="O92" s="391" t="s">
        <v>85</v>
      </c>
      <c r="P92" s="391" t="s">
        <v>85</v>
      </c>
      <c r="Q92" s="91" t="s">
        <v>414</v>
      </c>
      <c r="R92" s="391">
        <f>SUMIF('Lançamento de Cabos'!$B:$B,Tabela1[[#This Row],[Tag do Cabo]],'Lançamento de Cabos'!$C:$C)</f>
        <v>18</v>
      </c>
      <c r="S92" s="391">
        <f>VLOOKUP(Tabela1[[#This Row],[Tag do Cabo]],'Diagramas Ligações'!A:V,14,0)</f>
        <v>6</v>
      </c>
      <c r="T92" s="262" t="s">
        <v>415</v>
      </c>
      <c r="U92" s="391">
        <v>2</v>
      </c>
      <c r="V92" s="391" t="s">
        <v>406</v>
      </c>
      <c r="W92" s="391" t="s">
        <v>92</v>
      </c>
      <c r="X92" s="391" t="s">
        <v>92</v>
      </c>
      <c r="Y92" s="391" t="s">
        <v>92</v>
      </c>
      <c r="Z92" s="391" t="s">
        <v>92</v>
      </c>
      <c r="AA92" s="45" t="s">
        <v>92</v>
      </c>
      <c r="AB9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2" s="262" t="s">
        <v>407</v>
      </c>
      <c r="AD92" s="391">
        <f>IF(Tabela1[[#This Row],[Qtde. Lançada]]&gt;Tabela1[[#This Row],[Comprimento Total]],Tabela1[[#This Row],[Qtde. Lançada]],Tabela1[[#This Row],[Comprimento Total]])</f>
        <v>18</v>
      </c>
      <c r="AE92" s="391" t="s">
        <v>92</v>
      </c>
      <c r="AF92" s="391" t="s">
        <v>402</v>
      </c>
      <c r="AG92" s="391">
        <f ca="1">SUMIF('Lançamento de Cabos'!AE:AK,Tabela1[[#This Row],[Tag do Cabo]],'Lançamento de Cabos'!AG:AG)</f>
        <v>6</v>
      </c>
      <c r="AH92" s="29">
        <f>IFERROR(VLOOKUP(Tabela1[[#This Row],[Tag do Cabo]],'Lançamento de Cabos'!AE:AK,7,0),0)</f>
        <v>1</v>
      </c>
      <c r="AI92" s="262" t="s">
        <v>416</v>
      </c>
      <c r="AJ92" s="212" t="s">
        <v>202</v>
      </c>
      <c r="AK92" s="46" t="s">
        <v>92</v>
      </c>
    </row>
    <row r="93" spans="1:37" s="262" customFormat="1" ht="15" customHeight="1" x14ac:dyDescent="0.2">
      <c r="A93" s="168" t="s">
        <v>427</v>
      </c>
      <c r="B93" s="391" t="s">
        <v>37</v>
      </c>
      <c r="C93" s="391">
        <v>13800</v>
      </c>
      <c r="D93" s="391" t="s">
        <v>120</v>
      </c>
      <c r="E93" s="3" t="s">
        <v>428</v>
      </c>
      <c r="F93" s="11">
        <v>95</v>
      </c>
      <c r="G93" s="391">
        <v>3</v>
      </c>
      <c r="H93" s="391">
        <v>14</v>
      </c>
      <c r="I93" s="391">
        <v>42</v>
      </c>
      <c r="J93" s="391" t="s">
        <v>402</v>
      </c>
      <c r="K93" s="262" t="s">
        <v>412</v>
      </c>
      <c r="L93" s="262" t="s">
        <v>429</v>
      </c>
      <c r="M93" s="22" t="s">
        <v>85</v>
      </c>
      <c r="N93" s="22" t="s">
        <v>86</v>
      </c>
      <c r="O93" s="391" t="s">
        <v>85</v>
      </c>
      <c r="P93" s="391" t="s">
        <v>85</v>
      </c>
      <c r="Q93" s="91" t="s">
        <v>414</v>
      </c>
      <c r="R93" s="391">
        <f>SUMIF('Lançamento de Cabos'!$B:$B,Tabela1[[#This Row],[Tag do Cabo]],'Lançamento de Cabos'!$C:$C)</f>
        <v>42</v>
      </c>
      <c r="S93" s="391">
        <f>VLOOKUP(Tabela1[[#This Row],[Tag do Cabo]],'Diagramas Ligações'!A:V,14,0)</f>
        <v>6</v>
      </c>
      <c r="T93" s="262" t="s">
        <v>415</v>
      </c>
      <c r="U93" s="391">
        <v>2</v>
      </c>
      <c r="V93" s="391" t="s">
        <v>406</v>
      </c>
      <c r="W93" s="391" t="s">
        <v>92</v>
      </c>
      <c r="X93" s="391" t="s">
        <v>92</v>
      </c>
      <c r="Y93" s="391" t="s">
        <v>92</v>
      </c>
      <c r="Z93" s="391" t="s">
        <v>92</v>
      </c>
      <c r="AA93" s="45" t="s">
        <v>92</v>
      </c>
      <c r="AB9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3" s="262" t="s">
        <v>407</v>
      </c>
      <c r="AD93" s="391">
        <f>IF(Tabela1[[#This Row],[Qtde. Lançada]]&gt;Tabela1[[#This Row],[Comprimento Total]],Tabela1[[#This Row],[Qtde. Lançada]],Tabela1[[#This Row],[Comprimento Total]])</f>
        <v>42</v>
      </c>
      <c r="AE93" s="391" t="s">
        <v>92</v>
      </c>
      <c r="AF93" s="391" t="s">
        <v>402</v>
      </c>
      <c r="AG93" s="391">
        <f ca="1">SUMIF('Lançamento de Cabos'!AE:AK,Tabela1[[#This Row],[Tag do Cabo]],'Lançamento de Cabos'!AG:AG)</f>
        <v>6</v>
      </c>
      <c r="AH93" s="29">
        <f>IFERROR(VLOOKUP(Tabela1[[#This Row],[Tag do Cabo]],'Lançamento de Cabos'!AE:AK,7,0),0)</f>
        <v>1</v>
      </c>
      <c r="AI93" s="262" t="s">
        <v>416</v>
      </c>
      <c r="AJ93" s="212" t="s">
        <v>202</v>
      </c>
      <c r="AK93" s="46" t="s">
        <v>92</v>
      </c>
    </row>
    <row r="94" spans="1:37" s="262" customFormat="1" ht="15" customHeight="1" x14ac:dyDescent="0.2">
      <c r="A94" s="168" t="s">
        <v>430</v>
      </c>
      <c r="B94" s="391" t="s">
        <v>37</v>
      </c>
      <c r="C94" s="391">
        <v>13800</v>
      </c>
      <c r="D94" s="391" t="s">
        <v>120</v>
      </c>
      <c r="E94" s="3" t="s">
        <v>428</v>
      </c>
      <c r="F94" s="11">
        <v>95</v>
      </c>
      <c r="G94" s="391">
        <v>3</v>
      </c>
      <c r="H94" s="391">
        <v>16</v>
      </c>
      <c r="I94" s="391">
        <v>48</v>
      </c>
      <c r="J94" s="391" t="s">
        <v>402</v>
      </c>
      <c r="K94" s="262" t="s">
        <v>412</v>
      </c>
      <c r="L94" s="262" t="s">
        <v>431</v>
      </c>
      <c r="M94" s="22" t="s">
        <v>85</v>
      </c>
      <c r="N94" s="22" t="s">
        <v>86</v>
      </c>
      <c r="O94" s="391" t="s">
        <v>85</v>
      </c>
      <c r="P94" s="391" t="s">
        <v>85</v>
      </c>
      <c r="Q94" s="91" t="s">
        <v>414</v>
      </c>
      <c r="R94" s="391">
        <f>SUMIF('Lançamento de Cabos'!$B:$B,Tabela1[[#This Row],[Tag do Cabo]],'Lançamento de Cabos'!$C:$C)</f>
        <v>48</v>
      </c>
      <c r="S94" s="391">
        <f>VLOOKUP(Tabela1[[#This Row],[Tag do Cabo]],'Diagramas Ligações'!A:V,14,0)</f>
        <v>6</v>
      </c>
      <c r="T94" s="262" t="s">
        <v>415</v>
      </c>
      <c r="U94" s="391">
        <v>2</v>
      </c>
      <c r="V94" s="391" t="s">
        <v>406</v>
      </c>
      <c r="W94" s="391" t="s">
        <v>92</v>
      </c>
      <c r="X94" s="391" t="s">
        <v>92</v>
      </c>
      <c r="Y94" s="391" t="s">
        <v>92</v>
      </c>
      <c r="Z94" s="391" t="s">
        <v>92</v>
      </c>
      <c r="AA94" s="45" t="s">
        <v>92</v>
      </c>
      <c r="AB9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4" s="262" t="s">
        <v>407</v>
      </c>
      <c r="AD94" s="391">
        <f>IF(Tabela1[[#This Row],[Qtde. Lançada]]&gt;Tabela1[[#This Row],[Comprimento Total]],Tabela1[[#This Row],[Qtde. Lançada]],Tabela1[[#This Row],[Comprimento Total]])</f>
        <v>48</v>
      </c>
      <c r="AE94" s="391" t="s">
        <v>92</v>
      </c>
      <c r="AF94" s="391" t="s">
        <v>402</v>
      </c>
      <c r="AG94" s="391">
        <f ca="1">SUMIF('Lançamento de Cabos'!AE:AK,Tabela1[[#This Row],[Tag do Cabo]],'Lançamento de Cabos'!AG:AG)</f>
        <v>6</v>
      </c>
      <c r="AH94" s="29">
        <f>IFERROR(VLOOKUP(Tabela1[[#This Row],[Tag do Cabo]],'Lançamento de Cabos'!AE:AK,7,0),0)</f>
        <v>1</v>
      </c>
      <c r="AI94" s="262" t="s">
        <v>416</v>
      </c>
      <c r="AJ94" s="212" t="s">
        <v>202</v>
      </c>
      <c r="AK94" s="46" t="s">
        <v>92</v>
      </c>
    </row>
    <row r="95" spans="1:37" s="262" customFormat="1" ht="15" customHeight="1" x14ac:dyDescent="0.2">
      <c r="A95" s="168" t="s">
        <v>432</v>
      </c>
      <c r="B95" s="391" t="s">
        <v>37</v>
      </c>
      <c r="C95" s="391">
        <v>125</v>
      </c>
      <c r="D95" s="391" t="s">
        <v>80</v>
      </c>
      <c r="E95" s="3" t="s">
        <v>433</v>
      </c>
      <c r="F95" s="11">
        <v>10</v>
      </c>
      <c r="G95" s="391">
        <v>1</v>
      </c>
      <c r="H95" s="391">
        <v>15</v>
      </c>
      <c r="I95" s="391">
        <v>15</v>
      </c>
      <c r="J95" s="391" t="s">
        <v>402</v>
      </c>
      <c r="K95" s="262" t="s">
        <v>434</v>
      </c>
      <c r="L95" s="262" t="s">
        <v>435</v>
      </c>
      <c r="M95" s="22" t="s">
        <v>85</v>
      </c>
      <c r="N95" s="22" t="s">
        <v>86</v>
      </c>
      <c r="O95" s="391" t="str">
        <f>"Sim"</f>
        <v>Sim</v>
      </c>
      <c r="P95" s="22" t="s">
        <v>86</v>
      </c>
      <c r="Q95" s="91" t="s">
        <v>284</v>
      </c>
      <c r="R95" s="391">
        <f>SUMIF('Lançamento de Cabos'!$B:$B,Tabela1[[#This Row],[Tag do Cabo]],'Lançamento de Cabos'!$C:$C)</f>
        <v>15</v>
      </c>
      <c r="S95" s="391">
        <f>VLOOKUP(Tabela1[[#This Row],[Tag do Cabo]],'Diagramas Ligações'!A:V,14,0)</f>
        <v>6</v>
      </c>
      <c r="T95" s="262" t="s">
        <v>415</v>
      </c>
      <c r="U95" s="391">
        <v>2</v>
      </c>
      <c r="V95" s="391" t="s">
        <v>406</v>
      </c>
      <c r="W95" s="391" t="s">
        <v>92</v>
      </c>
      <c r="X95" s="391" t="s">
        <v>92</v>
      </c>
      <c r="Y95" s="391" t="s">
        <v>92</v>
      </c>
      <c r="Z95" s="391" t="s">
        <v>92</v>
      </c>
      <c r="AA95" s="45" t="s">
        <v>92</v>
      </c>
      <c r="AB9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5" s="262" t="s">
        <v>407</v>
      </c>
      <c r="AD95" s="391">
        <f>IF(Tabela1[[#This Row],[Qtde. Lançada]]&gt;Tabela1[[#This Row],[Comprimento Total]],Tabela1[[#This Row],[Qtde. Lançada]],Tabela1[[#This Row],[Comprimento Total]])</f>
        <v>15</v>
      </c>
      <c r="AE95" s="391" t="s">
        <v>92</v>
      </c>
      <c r="AF95" s="391" t="s">
        <v>402</v>
      </c>
      <c r="AG95" s="391">
        <f ca="1">SUMIF('Lançamento de Cabos'!AE:AK,Tabela1[[#This Row],[Tag do Cabo]],'Lançamento de Cabos'!AG:AG)</f>
        <v>6</v>
      </c>
      <c r="AH95" s="29">
        <f>IFERROR(VLOOKUP(Tabela1[[#This Row],[Tag do Cabo]],'Lançamento de Cabos'!AE:AK,7,0),0)</f>
        <v>1</v>
      </c>
      <c r="AI95" s="262" t="s">
        <v>416</v>
      </c>
      <c r="AJ95" s="212" t="s">
        <v>126</v>
      </c>
      <c r="AK95" s="46" t="s">
        <v>92</v>
      </c>
    </row>
    <row r="96" spans="1:37" s="262" customFormat="1" ht="15" customHeight="1" x14ac:dyDescent="0.2">
      <c r="A96" s="168" t="s">
        <v>436</v>
      </c>
      <c r="B96" s="391" t="s">
        <v>37</v>
      </c>
      <c r="C96" s="391">
        <v>125</v>
      </c>
      <c r="D96" s="391" t="s">
        <v>80</v>
      </c>
      <c r="E96" s="3" t="s">
        <v>433</v>
      </c>
      <c r="F96" s="11">
        <v>10</v>
      </c>
      <c r="G96" s="391">
        <v>1</v>
      </c>
      <c r="H96" s="391">
        <v>7</v>
      </c>
      <c r="I96" s="391">
        <v>7</v>
      </c>
      <c r="J96" s="391" t="s">
        <v>402</v>
      </c>
      <c r="K96" s="262" t="s">
        <v>437</v>
      </c>
      <c r="L96" s="262" t="s">
        <v>434</v>
      </c>
      <c r="M96" s="22" t="s">
        <v>85</v>
      </c>
      <c r="N96" s="22" t="s">
        <v>86</v>
      </c>
      <c r="O96" s="391" t="str">
        <f>"Sim"</f>
        <v>Sim</v>
      </c>
      <c r="P96" s="22" t="s">
        <v>86</v>
      </c>
      <c r="Q96" s="91" t="s">
        <v>284</v>
      </c>
      <c r="R96" s="391">
        <f>SUMIF('Lançamento de Cabos'!$B:$B,Tabela1[[#This Row],[Tag do Cabo]],'Lançamento de Cabos'!$C:$C)</f>
        <v>7</v>
      </c>
      <c r="S96" s="391">
        <f>VLOOKUP(Tabela1[[#This Row],[Tag do Cabo]],'Diagramas Ligações'!A:V,14,0)</f>
        <v>6</v>
      </c>
      <c r="T96" s="262" t="s">
        <v>415</v>
      </c>
      <c r="U96" s="391">
        <v>2</v>
      </c>
      <c r="V96" s="391" t="s">
        <v>406</v>
      </c>
      <c r="W96" s="391" t="s">
        <v>92</v>
      </c>
      <c r="X96" s="391" t="s">
        <v>92</v>
      </c>
      <c r="Y96" s="391" t="s">
        <v>92</v>
      </c>
      <c r="Z96" s="391" t="s">
        <v>92</v>
      </c>
      <c r="AA96" s="45" t="s">
        <v>92</v>
      </c>
      <c r="AB9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6" s="262" t="s">
        <v>407</v>
      </c>
      <c r="AD96" s="391">
        <f>IF(Tabela1[[#This Row],[Qtde. Lançada]]&gt;Tabela1[[#This Row],[Comprimento Total]],Tabela1[[#This Row],[Qtde. Lançada]],Tabela1[[#This Row],[Comprimento Total]])</f>
        <v>7</v>
      </c>
      <c r="AE96" s="391" t="s">
        <v>92</v>
      </c>
      <c r="AF96" s="391" t="s">
        <v>402</v>
      </c>
      <c r="AG96" s="391">
        <f ca="1">SUMIF('Lançamento de Cabos'!AE:AK,Tabela1[[#This Row],[Tag do Cabo]],'Lançamento de Cabos'!AG:AG)</f>
        <v>6</v>
      </c>
      <c r="AH96" s="29">
        <f>IFERROR(VLOOKUP(Tabela1[[#This Row],[Tag do Cabo]],'Lançamento de Cabos'!AE:AK,7,0),0)</f>
        <v>1</v>
      </c>
      <c r="AI96" s="262" t="s">
        <v>416</v>
      </c>
      <c r="AJ96" s="212" t="s">
        <v>126</v>
      </c>
      <c r="AK96" s="46" t="s">
        <v>92</v>
      </c>
    </row>
    <row r="97" spans="1:37" s="262" customFormat="1" ht="15" customHeight="1" x14ac:dyDescent="0.2">
      <c r="A97" s="168" t="s">
        <v>438</v>
      </c>
      <c r="B97" s="391" t="s">
        <v>37</v>
      </c>
      <c r="C97" s="391">
        <v>125</v>
      </c>
      <c r="D97" s="391" t="s">
        <v>80</v>
      </c>
      <c r="E97" s="3" t="s">
        <v>433</v>
      </c>
      <c r="F97" s="11">
        <v>10</v>
      </c>
      <c r="G97" s="391">
        <v>1</v>
      </c>
      <c r="H97" s="391">
        <v>7</v>
      </c>
      <c r="I97" s="391">
        <v>7</v>
      </c>
      <c r="J97" s="391" t="s">
        <v>402</v>
      </c>
      <c r="K97" s="262" t="s">
        <v>439</v>
      </c>
      <c r="L97" s="262" t="s">
        <v>440</v>
      </c>
      <c r="M97" s="22" t="s">
        <v>85</v>
      </c>
      <c r="N97" s="22" t="s">
        <v>86</v>
      </c>
      <c r="O97" s="391" t="str">
        <f>"Sim"</f>
        <v>Sim</v>
      </c>
      <c r="P97" s="22" t="s">
        <v>86</v>
      </c>
      <c r="Q97" s="91" t="s">
        <v>284</v>
      </c>
      <c r="R97" s="391">
        <f>SUMIF('Lançamento de Cabos'!$B:$B,Tabela1[[#This Row],[Tag do Cabo]],'Lançamento de Cabos'!$C:$C)</f>
        <v>7</v>
      </c>
      <c r="S97" s="391">
        <f>VLOOKUP(Tabela1[[#This Row],[Tag do Cabo]],'Diagramas Ligações'!A:V,14,0)</f>
        <v>6</v>
      </c>
      <c r="T97" s="262" t="s">
        <v>415</v>
      </c>
      <c r="U97" s="391">
        <v>2</v>
      </c>
      <c r="V97" s="391" t="s">
        <v>406</v>
      </c>
      <c r="W97" s="391" t="s">
        <v>92</v>
      </c>
      <c r="X97" s="391" t="s">
        <v>92</v>
      </c>
      <c r="Y97" s="391" t="s">
        <v>92</v>
      </c>
      <c r="Z97" s="391" t="s">
        <v>92</v>
      </c>
      <c r="AA97" s="45" t="s">
        <v>92</v>
      </c>
      <c r="AB9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7" s="262" t="s">
        <v>407</v>
      </c>
      <c r="AD97" s="391">
        <f>IF(Tabela1[[#This Row],[Qtde. Lançada]]&gt;Tabela1[[#This Row],[Comprimento Total]],Tabela1[[#This Row],[Qtde. Lançada]],Tabela1[[#This Row],[Comprimento Total]])</f>
        <v>7</v>
      </c>
      <c r="AE97" s="391" t="s">
        <v>92</v>
      </c>
      <c r="AF97" s="391" t="s">
        <v>402</v>
      </c>
      <c r="AG97" s="391">
        <f ca="1">SUMIF('Lançamento de Cabos'!AE:AK,Tabela1[[#This Row],[Tag do Cabo]],'Lançamento de Cabos'!AG:AG)</f>
        <v>6</v>
      </c>
      <c r="AH97" s="29">
        <f>IFERROR(VLOOKUP(Tabela1[[#This Row],[Tag do Cabo]],'Lançamento de Cabos'!AE:AK,7,0),0)</f>
        <v>1</v>
      </c>
      <c r="AI97" s="262" t="s">
        <v>416</v>
      </c>
      <c r="AJ97" s="212" t="s">
        <v>126</v>
      </c>
      <c r="AK97" s="46" t="s">
        <v>92</v>
      </c>
    </row>
    <row r="98" spans="1:37" s="262" customFormat="1" ht="15" customHeight="1" x14ac:dyDescent="0.2">
      <c r="A98" s="168" t="s">
        <v>441</v>
      </c>
      <c r="B98" s="391" t="s">
        <v>37</v>
      </c>
      <c r="C98" s="391">
        <v>125</v>
      </c>
      <c r="D98" s="391" t="s">
        <v>80</v>
      </c>
      <c r="E98" s="3" t="s">
        <v>433</v>
      </c>
      <c r="F98" s="11">
        <v>10</v>
      </c>
      <c r="G98" s="391">
        <v>1</v>
      </c>
      <c r="H98" s="391">
        <v>15</v>
      </c>
      <c r="I98" s="391">
        <v>15</v>
      </c>
      <c r="J98" s="391" t="s">
        <v>402</v>
      </c>
      <c r="K98" s="262" t="s">
        <v>440</v>
      </c>
      <c r="L98" s="262" t="s">
        <v>442</v>
      </c>
      <c r="M98" s="22" t="s">
        <v>85</v>
      </c>
      <c r="N98" s="22" t="s">
        <v>86</v>
      </c>
      <c r="O98" s="391" t="str">
        <f>"Sim"</f>
        <v>Sim</v>
      </c>
      <c r="P98" s="22" t="s">
        <v>86</v>
      </c>
      <c r="Q98" s="91" t="s">
        <v>284</v>
      </c>
      <c r="R98" s="391">
        <f>SUMIF('Lançamento de Cabos'!$B:$B,Tabela1[[#This Row],[Tag do Cabo]],'Lançamento de Cabos'!$C:$C)</f>
        <v>15</v>
      </c>
      <c r="S98" s="391">
        <f>VLOOKUP(Tabela1[[#This Row],[Tag do Cabo]],'Diagramas Ligações'!A:V,14,0)</f>
        <v>6</v>
      </c>
      <c r="T98" s="262" t="s">
        <v>415</v>
      </c>
      <c r="U98" s="391">
        <v>2</v>
      </c>
      <c r="V98" s="391" t="s">
        <v>406</v>
      </c>
      <c r="W98" s="391" t="s">
        <v>92</v>
      </c>
      <c r="X98" s="391" t="s">
        <v>92</v>
      </c>
      <c r="Y98" s="391" t="s">
        <v>92</v>
      </c>
      <c r="Z98" s="391" t="s">
        <v>92</v>
      </c>
      <c r="AA98" s="45" t="s">
        <v>92</v>
      </c>
      <c r="AB9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8" s="262" t="s">
        <v>407</v>
      </c>
      <c r="AD98" s="391">
        <f>IF(Tabela1[[#This Row],[Qtde. Lançada]]&gt;Tabela1[[#This Row],[Comprimento Total]],Tabela1[[#This Row],[Qtde. Lançada]],Tabela1[[#This Row],[Comprimento Total]])</f>
        <v>15</v>
      </c>
      <c r="AE98" s="391" t="s">
        <v>92</v>
      </c>
      <c r="AF98" s="391" t="s">
        <v>402</v>
      </c>
      <c r="AG98" s="391">
        <f ca="1">SUMIF('Lançamento de Cabos'!AE:AK,Tabela1[[#This Row],[Tag do Cabo]],'Lançamento de Cabos'!AG:AG)</f>
        <v>6</v>
      </c>
      <c r="AH98" s="29">
        <f>IFERROR(VLOOKUP(Tabela1[[#This Row],[Tag do Cabo]],'Lançamento de Cabos'!AE:AK,7,0),0)</f>
        <v>1</v>
      </c>
      <c r="AI98" s="262" t="s">
        <v>416</v>
      </c>
      <c r="AJ98" s="212" t="s">
        <v>126</v>
      </c>
      <c r="AK98" s="46" t="s">
        <v>92</v>
      </c>
    </row>
    <row r="99" spans="1:37" s="262" customFormat="1" ht="15" customHeight="1" x14ac:dyDescent="0.2">
      <c r="A99" s="168" t="s">
        <v>443</v>
      </c>
      <c r="B99" s="391" t="s">
        <v>40</v>
      </c>
      <c r="C99" s="391" t="s">
        <v>92</v>
      </c>
      <c r="D99" s="391" t="s">
        <v>92</v>
      </c>
      <c r="E99" s="3" t="s">
        <v>318</v>
      </c>
      <c r="F99" s="11" t="s">
        <v>92</v>
      </c>
      <c r="G99" s="391">
        <v>1</v>
      </c>
      <c r="H99" s="391">
        <v>20</v>
      </c>
      <c r="I99" s="391">
        <v>20</v>
      </c>
      <c r="J99" s="391" t="s">
        <v>319</v>
      </c>
      <c r="K99" s="262" t="s">
        <v>444</v>
      </c>
      <c r="L99" s="262" t="s">
        <v>445</v>
      </c>
      <c r="M99" s="22" t="s">
        <v>86</v>
      </c>
      <c r="N99" s="22" t="s">
        <v>86</v>
      </c>
      <c r="O99" s="22" t="s">
        <v>86</v>
      </c>
      <c r="P99" s="22" t="s">
        <v>86</v>
      </c>
      <c r="Q99" s="91" t="s">
        <v>321</v>
      </c>
      <c r="R99" s="391">
        <f>SUMIF('Lançamento de Cabos'!$B:$B,Tabela1[[#This Row],[Tag do Cabo]],'Lançamento de Cabos'!$C:$C)</f>
        <v>20</v>
      </c>
      <c r="S99" s="391">
        <f>VLOOKUP(Tabela1[[#This Row],[Tag do Cabo]],'Diagramas Ligações'!A:V,14,0)</f>
        <v>2</v>
      </c>
      <c r="T99" s="262" t="s">
        <v>446</v>
      </c>
      <c r="U99" s="391">
        <v>1</v>
      </c>
      <c r="V99" s="391" t="s">
        <v>107</v>
      </c>
      <c r="W99" s="391" t="s">
        <v>92</v>
      </c>
      <c r="X99" s="32">
        <v>44120</v>
      </c>
      <c r="Y99" s="32">
        <v>44132</v>
      </c>
      <c r="Z99" s="31" t="s">
        <v>447</v>
      </c>
      <c r="AA99" s="45">
        <v>188</v>
      </c>
      <c r="AB9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99" s="262" t="s">
        <v>448</v>
      </c>
      <c r="AD99" s="391">
        <f>IF(Tabela1[[#This Row],[Qtde. Lançada]]&gt;Tabela1[[#This Row],[Comprimento Total]],Tabela1[[#This Row],[Qtde. Lançada]],Tabela1[[#This Row],[Comprimento Total]])</f>
        <v>20</v>
      </c>
      <c r="AE99" s="391" t="s">
        <v>92</v>
      </c>
      <c r="AF99" s="391" t="s">
        <v>402</v>
      </c>
      <c r="AG99" s="391">
        <f ca="1">SUMIF('Lançamento de Cabos'!AE:AK,Tabela1[[#This Row],[Tag do Cabo]],'Lançamento de Cabos'!AG:AG)</f>
        <v>0</v>
      </c>
      <c r="AH99" s="29">
        <f>IFERROR(VLOOKUP(Tabela1[[#This Row],[Tag do Cabo]],'Lançamento de Cabos'!AE:AK,7,0),0)</f>
        <v>0</v>
      </c>
      <c r="AI99" s="262" t="s">
        <v>449</v>
      </c>
      <c r="AJ99" s="212" t="s">
        <v>205</v>
      </c>
      <c r="AK99" s="46">
        <v>3185497</v>
      </c>
    </row>
    <row r="100" spans="1:37" s="262" customFormat="1" ht="15" customHeight="1" x14ac:dyDescent="0.2">
      <c r="A100" s="168" t="s">
        <v>450</v>
      </c>
      <c r="B100" s="391" t="s">
        <v>40</v>
      </c>
      <c r="C100" s="391" t="s">
        <v>92</v>
      </c>
      <c r="D100" s="391" t="s">
        <v>92</v>
      </c>
      <c r="E100" s="3" t="s">
        <v>318</v>
      </c>
      <c r="F100" s="11" t="s">
        <v>92</v>
      </c>
      <c r="G100" s="391">
        <v>1</v>
      </c>
      <c r="H100" s="391">
        <v>30</v>
      </c>
      <c r="I100" s="391">
        <v>30</v>
      </c>
      <c r="J100" s="391" t="s">
        <v>319</v>
      </c>
      <c r="K100" s="262" t="s">
        <v>451</v>
      </c>
      <c r="L100" s="262" t="s">
        <v>452</v>
      </c>
      <c r="M100" s="22" t="s">
        <v>86</v>
      </c>
      <c r="N100" s="22" t="s">
        <v>86</v>
      </c>
      <c r="O100" s="22" t="s">
        <v>86</v>
      </c>
      <c r="P100" s="22" t="s">
        <v>86</v>
      </c>
      <c r="Q100" s="91" t="s">
        <v>321</v>
      </c>
      <c r="R100" s="391">
        <f>SUMIF('Lançamento de Cabos'!$B:$B,Tabela1[[#This Row],[Tag do Cabo]],'Lançamento de Cabos'!$C:$C)</f>
        <v>30</v>
      </c>
      <c r="S100" s="391">
        <f>VLOOKUP(Tabela1[[#This Row],[Tag do Cabo]],'Diagramas Ligações'!A:V,14,0)</f>
        <v>2</v>
      </c>
      <c r="T100" s="262" t="s">
        <v>305</v>
      </c>
      <c r="U100" s="391">
        <v>2</v>
      </c>
      <c r="V100" s="391" t="s">
        <v>107</v>
      </c>
      <c r="W100" s="391" t="s">
        <v>453</v>
      </c>
      <c r="X100" s="32">
        <v>44120</v>
      </c>
      <c r="Y100" s="32">
        <v>44133</v>
      </c>
      <c r="Z100" s="3" t="s">
        <v>322</v>
      </c>
      <c r="AA100" s="45">
        <v>191</v>
      </c>
      <c r="AB10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0" s="262" t="s">
        <v>448</v>
      </c>
      <c r="AD100" s="391">
        <f>IF(Tabela1[[#This Row],[Qtde. Lançada]]&gt;Tabela1[[#This Row],[Comprimento Total]],Tabela1[[#This Row],[Qtde. Lançada]],Tabela1[[#This Row],[Comprimento Total]])</f>
        <v>30</v>
      </c>
      <c r="AE100" s="391" t="s">
        <v>92</v>
      </c>
      <c r="AF100" s="391" t="s">
        <v>402</v>
      </c>
      <c r="AG100" s="391">
        <f ca="1">SUMIF('Lançamento de Cabos'!AE:AK,Tabela1[[#This Row],[Tag do Cabo]],'Lançamento de Cabos'!AG:AG)</f>
        <v>0</v>
      </c>
      <c r="AH100" s="29">
        <f>IFERROR(VLOOKUP(Tabela1[[#This Row],[Tag do Cabo]],'Lançamento de Cabos'!AE:AK,7,0),0)</f>
        <v>0</v>
      </c>
      <c r="AI100" s="262" t="s">
        <v>454</v>
      </c>
      <c r="AJ100" s="212" t="s">
        <v>209</v>
      </c>
      <c r="AK100" s="46">
        <v>3186329</v>
      </c>
    </row>
    <row r="101" spans="1:37" s="262" customFormat="1" ht="15" customHeight="1" x14ac:dyDescent="0.2">
      <c r="A101" s="168" t="s">
        <v>455</v>
      </c>
      <c r="B101" s="391" t="s">
        <v>40</v>
      </c>
      <c r="C101" s="391" t="s">
        <v>92</v>
      </c>
      <c r="D101" s="391" t="s">
        <v>92</v>
      </c>
      <c r="E101" s="3" t="s">
        <v>318</v>
      </c>
      <c r="F101" s="11" t="s">
        <v>92</v>
      </c>
      <c r="G101" s="391">
        <v>1</v>
      </c>
      <c r="H101" s="391">
        <v>30</v>
      </c>
      <c r="I101" s="391">
        <v>30</v>
      </c>
      <c r="J101" s="391" t="s">
        <v>319</v>
      </c>
      <c r="K101" s="262" t="s">
        <v>456</v>
      </c>
      <c r="L101" s="262" t="s">
        <v>452</v>
      </c>
      <c r="M101" s="22" t="s">
        <v>86</v>
      </c>
      <c r="N101" s="22" t="s">
        <v>86</v>
      </c>
      <c r="O101" s="22" t="s">
        <v>86</v>
      </c>
      <c r="P101" s="22" t="s">
        <v>86</v>
      </c>
      <c r="Q101" s="91" t="s">
        <v>321</v>
      </c>
      <c r="R101" s="391">
        <f>SUMIF('Lançamento de Cabos'!$B:$B,Tabela1[[#This Row],[Tag do Cabo]],'Lançamento de Cabos'!$C:$C)</f>
        <v>30</v>
      </c>
      <c r="S101" s="391">
        <f>VLOOKUP(Tabela1[[#This Row],[Tag do Cabo]],'Diagramas Ligações'!A:V,14,0)</f>
        <v>2</v>
      </c>
      <c r="T101" s="262" t="s">
        <v>305</v>
      </c>
      <c r="U101" s="391">
        <v>2</v>
      </c>
      <c r="V101" s="391" t="s">
        <v>107</v>
      </c>
      <c r="W101" s="391" t="s">
        <v>453</v>
      </c>
      <c r="X101" s="32">
        <v>44120</v>
      </c>
      <c r="Y101" s="32">
        <v>44133</v>
      </c>
      <c r="Z101" s="3" t="s">
        <v>322</v>
      </c>
      <c r="AA101" s="45">
        <v>191</v>
      </c>
      <c r="AB10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1" s="262" t="s">
        <v>448</v>
      </c>
      <c r="AD101" s="391">
        <f>IF(Tabela1[[#This Row],[Qtde. Lançada]]&gt;Tabela1[[#This Row],[Comprimento Total]],Tabela1[[#This Row],[Qtde. Lançada]],Tabela1[[#This Row],[Comprimento Total]])</f>
        <v>30</v>
      </c>
      <c r="AE101" s="391" t="s">
        <v>92</v>
      </c>
      <c r="AF101" s="391" t="s">
        <v>402</v>
      </c>
      <c r="AG101" s="391">
        <f ca="1">SUMIF('Lançamento de Cabos'!AE:AK,Tabela1[[#This Row],[Tag do Cabo]],'Lançamento de Cabos'!AG:AG)</f>
        <v>0</v>
      </c>
      <c r="AH101" s="29">
        <f>IFERROR(VLOOKUP(Tabela1[[#This Row],[Tag do Cabo]],'Lançamento de Cabos'!AE:AK,7,0),0)</f>
        <v>0</v>
      </c>
      <c r="AI101" s="262" t="s">
        <v>454</v>
      </c>
      <c r="AJ101" s="212" t="s">
        <v>209</v>
      </c>
      <c r="AK101" s="46">
        <v>3186329</v>
      </c>
    </row>
    <row r="102" spans="1:37" s="262" customFormat="1" ht="15" customHeight="1" x14ac:dyDescent="0.2">
      <c r="A102" s="168" t="s">
        <v>457</v>
      </c>
      <c r="B102" s="391" t="s">
        <v>40</v>
      </c>
      <c r="C102" s="391" t="s">
        <v>92</v>
      </c>
      <c r="D102" s="391" t="s">
        <v>92</v>
      </c>
      <c r="E102" s="3" t="s">
        <v>318</v>
      </c>
      <c r="F102" s="11" t="s">
        <v>92</v>
      </c>
      <c r="G102" s="391">
        <v>1</v>
      </c>
      <c r="H102" s="391">
        <v>30</v>
      </c>
      <c r="I102" s="391">
        <v>30</v>
      </c>
      <c r="J102" s="391" t="s">
        <v>319</v>
      </c>
      <c r="K102" s="262" t="s">
        <v>458</v>
      </c>
      <c r="L102" s="262" t="s">
        <v>459</v>
      </c>
      <c r="M102" s="22" t="s">
        <v>86</v>
      </c>
      <c r="N102" s="22" t="s">
        <v>86</v>
      </c>
      <c r="O102" s="22" t="s">
        <v>86</v>
      </c>
      <c r="P102" s="22" t="s">
        <v>86</v>
      </c>
      <c r="Q102" s="91" t="s">
        <v>321</v>
      </c>
      <c r="R102" s="391">
        <f>SUMIF('Lançamento de Cabos'!$B:$B,Tabela1[[#This Row],[Tag do Cabo]],'Lançamento de Cabos'!$C:$C)</f>
        <v>30</v>
      </c>
      <c r="S102" s="391">
        <f>VLOOKUP(Tabela1[[#This Row],[Tag do Cabo]],'Diagramas Ligações'!A:V,14,0)</f>
        <v>2</v>
      </c>
      <c r="T102" s="262" t="s">
        <v>305</v>
      </c>
      <c r="U102" s="391">
        <v>2</v>
      </c>
      <c r="V102" s="391" t="s">
        <v>107</v>
      </c>
      <c r="W102" s="391" t="s">
        <v>453</v>
      </c>
      <c r="X102" s="32">
        <v>44120</v>
      </c>
      <c r="Y102" s="32">
        <v>44133</v>
      </c>
      <c r="Z102" s="3" t="s">
        <v>322</v>
      </c>
      <c r="AA102" s="45">
        <v>191</v>
      </c>
      <c r="AB10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2" s="262" t="s">
        <v>448</v>
      </c>
      <c r="AD102" s="391">
        <f>IF(Tabela1[[#This Row],[Qtde. Lançada]]&gt;Tabela1[[#This Row],[Comprimento Total]],Tabela1[[#This Row],[Qtde. Lançada]],Tabela1[[#This Row],[Comprimento Total]])</f>
        <v>30</v>
      </c>
      <c r="AE102" s="391" t="s">
        <v>92</v>
      </c>
      <c r="AF102" s="391" t="s">
        <v>402</v>
      </c>
      <c r="AG102" s="391">
        <f ca="1">SUMIF('Lançamento de Cabos'!AE:AK,Tabela1[[#This Row],[Tag do Cabo]],'Lançamento de Cabos'!AG:AG)</f>
        <v>0</v>
      </c>
      <c r="AH102" s="29">
        <f>IFERROR(VLOOKUP(Tabela1[[#This Row],[Tag do Cabo]],'Lançamento de Cabos'!AE:AK,7,0),0)</f>
        <v>0</v>
      </c>
      <c r="AI102" s="262" t="s">
        <v>454</v>
      </c>
      <c r="AJ102" s="212" t="s">
        <v>209</v>
      </c>
      <c r="AK102" s="46">
        <v>3186329</v>
      </c>
    </row>
    <row r="103" spans="1:37" s="262" customFormat="1" ht="15" customHeight="1" x14ac:dyDescent="0.2">
      <c r="A103" s="168" t="s">
        <v>460</v>
      </c>
      <c r="B103" s="391" t="s">
        <v>40</v>
      </c>
      <c r="C103" s="391" t="s">
        <v>92</v>
      </c>
      <c r="D103" s="391" t="s">
        <v>92</v>
      </c>
      <c r="E103" s="3" t="s">
        <v>318</v>
      </c>
      <c r="F103" s="11" t="s">
        <v>92</v>
      </c>
      <c r="G103" s="391">
        <v>1</v>
      </c>
      <c r="H103" s="391">
        <v>30</v>
      </c>
      <c r="I103" s="391">
        <v>30</v>
      </c>
      <c r="J103" s="391" t="s">
        <v>319</v>
      </c>
      <c r="K103" s="262" t="s">
        <v>461</v>
      </c>
      <c r="L103" s="262" t="s">
        <v>462</v>
      </c>
      <c r="M103" s="22" t="s">
        <v>86</v>
      </c>
      <c r="N103" s="22" t="s">
        <v>86</v>
      </c>
      <c r="O103" s="22" t="s">
        <v>86</v>
      </c>
      <c r="P103" s="22" t="s">
        <v>86</v>
      </c>
      <c r="Q103" s="91" t="s">
        <v>321</v>
      </c>
      <c r="R103" s="391">
        <f>SUMIF('Lançamento de Cabos'!$B:$B,Tabela1[[#This Row],[Tag do Cabo]],'Lançamento de Cabos'!$C:$C)</f>
        <v>30</v>
      </c>
      <c r="S103" s="391">
        <f>VLOOKUP(Tabela1[[#This Row],[Tag do Cabo]],'Diagramas Ligações'!A:V,14,0)</f>
        <v>2</v>
      </c>
      <c r="T103" s="262" t="s">
        <v>305</v>
      </c>
      <c r="U103" s="391">
        <v>2</v>
      </c>
      <c r="V103" s="391" t="s">
        <v>107</v>
      </c>
      <c r="W103" s="391" t="s">
        <v>453</v>
      </c>
      <c r="X103" s="32">
        <v>44120</v>
      </c>
      <c r="Y103" s="32">
        <v>44133</v>
      </c>
      <c r="Z103" s="3" t="s">
        <v>322</v>
      </c>
      <c r="AA103" s="45">
        <v>191</v>
      </c>
      <c r="AB10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3" s="262" t="s">
        <v>448</v>
      </c>
      <c r="AD103" s="391">
        <f>IF(Tabela1[[#This Row],[Qtde. Lançada]]&gt;Tabela1[[#This Row],[Comprimento Total]],Tabela1[[#This Row],[Qtde. Lançada]],Tabela1[[#This Row],[Comprimento Total]])</f>
        <v>30</v>
      </c>
      <c r="AE103" s="391" t="s">
        <v>92</v>
      </c>
      <c r="AF103" s="391" t="s">
        <v>402</v>
      </c>
      <c r="AG103" s="391">
        <f ca="1">SUMIF('Lançamento de Cabos'!AE:AK,Tabela1[[#This Row],[Tag do Cabo]],'Lançamento de Cabos'!AG:AG)</f>
        <v>0</v>
      </c>
      <c r="AH103" s="29">
        <f>IFERROR(VLOOKUP(Tabela1[[#This Row],[Tag do Cabo]],'Lançamento de Cabos'!AE:AK,7,0),0)</f>
        <v>0</v>
      </c>
      <c r="AI103" s="262" t="s">
        <v>454</v>
      </c>
      <c r="AJ103" s="212" t="s">
        <v>209</v>
      </c>
      <c r="AK103" s="46">
        <v>3186329</v>
      </c>
    </row>
    <row r="104" spans="1:37" s="262" customFormat="1" ht="15" customHeight="1" x14ac:dyDescent="0.2">
      <c r="A104" s="168" t="s">
        <v>463</v>
      </c>
      <c r="B104" s="391" t="s">
        <v>38</v>
      </c>
      <c r="C104" s="391" t="s">
        <v>92</v>
      </c>
      <c r="D104" s="391" t="s">
        <v>92</v>
      </c>
      <c r="E104" s="3" t="s">
        <v>464</v>
      </c>
      <c r="F104" s="11">
        <v>1.5</v>
      </c>
      <c r="G104" s="391">
        <v>1</v>
      </c>
      <c r="H104" s="391">
        <v>11</v>
      </c>
      <c r="I104" s="391">
        <v>11</v>
      </c>
      <c r="J104" s="391" t="s">
        <v>402</v>
      </c>
      <c r="K104" s="262" t="s">
        <v>465</v>
      </c>
      <c r="L104" s="262" t="s">
        <v>466</v>
      </c>
      <c r="M104" s="22" t="s">
        <v>85</v>
      </c>
      <c r="N104" s="391" t="str">
        <f t="shared" ref="N104:N122" si="3">"Sim"</f>
        <v>Sim</v>
      </c>
      <c r="O104" s="22" t="s">
        <v>86</v>
      </c>
      <c r="P104" s="22" t="s">
        <v>86</v>
      </c>
      <c r="Q104" s="91" t="s">
        <v>184</v>
      </c>
      <c r="R104" s="391">
        <f>SUMIF('Lançamento de Cabos'!$B:$B,Tabela1[[#This Row],[Tag do Cabo]],'Lançamento de Cabos'!$C:$C)</f>
        <v>11</v>
      </c>
      <c r="S104" s="391">
        <f>VLOOKUP(Tabela1[[#This Row],[Tag do Cabo]],'Diagramas Ligações'!A:V,14,0)</f>
        <v>48</v>
      </c>
      <c r="T104" s="262" t="s">
        <v>405</v>
      </c>
      <c r="U104" s="391">
        <v>2</v>
      </c>
      <c r="V104" s="391" t="s">
        <v>406</v>
      </c>
      <c r="W104" s="391" t="s">
        <v>92</v>
      </c>
      <c r="X104" s="391" t="s">
        <v>92</v>
      </c>
      <c r="Y104" s="391" t="s">
        <v>92</v>
      </c>
      <c r="Z104" s="391" t="s">
        <v>92</v>
      </c>
      <c r="AA104" s="45" t="s">
        <v>92</v>
      </c>
      <c r="AB10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4" s="262" t="s">
        <v>407</v>
      </c>
      <c r="AD104" s="391">
        <f>IF(Tabela1[[#This Row],[Qtde. Lançada]]&gt;Tabela1[[#This Row],[Comprimento Total]],Tabela1[[#This Row],[Qtde. Lançada]],Tabela1[[#This Row],[Comprimento Total]])</f>
        <v>11</v>
      </c>
      <c r="AE104" s="391" t="s">
        <v>92</v>
      </c>
      <c r="AF104" s="391" t="s">
        <v>402</v>
      </c>
      <c r="AG104" s="391">
        <f ca="1">SUMIF('Lançamento de Cabos'!AE:AK,Tabela1[[#This Row],[Tag do Cabo]],'Lançamento de Cabos'!AG:AG)</f>
        <v>48</v>
      </c>
      <c r="AH104" s="29">
        <f>IFERROR(VLOOKUP(Tabela1[[#This Row],[Tag do Cabo]],'Lançamento de Cabos'!AE:AK,7,0),0)</f>
        <v>1</v>
      </c>
      <c r="AI104" s="262" t="s">
        <v>408</v>
      </c>
      <c r="AJ104" s="212" t="s">
        <v>261</v>
      </c>
      <c r="AK104" s="46" t="s">
        <v>92</v>
      </c>
    </row>
    <row r="105" spans="1:37" s="262" customFormat="1" ht="15" customHeight="1" x14ac:dyDescent="0.2">
      <c r="A105" s="168" t="s">
        <v>467</v>
      </c>
      <c r="B105" s="391" t="s">
        <v>38</v>
      </c>
      <c r="C105" s="391" t="s">
        <v>92</v>
      </c>
      <c r="D105" s="391" t="s">
        <v>92</v>
      </c>
      <c r="E105" s="3" t="s">
        <v>468</v>
      </c>
      <c r="F105" s="11">
        <v>1.5</v>
      </c>
      <c r="G105" s="391">
        <v>1</v>
      </c>
      <c r="H105" s="391">
        <v>11</v>
      </c>
      <c r="I105" s="391">
        <v>11</v>
      </c>
      <c r="J105" s="391" t="s">
        <v>402</v>
      </c>
      <c r="K105" s="262" t="s">
        <v>465</v>
      </c>
      <c r="L105" s="262" t="s">
        <v>466</v>
      </c>
      <c r="M105" s="22" t="s">
        <v>85</v>
      </c>
      <c r="N105" s="391" t="str">
        <f t="shared" si="3"/>
        <v>Sim</v>
      </c>
      <c r="O105" s="22" t="s">
        <v>86</v>
      </c>
      <c r="P105" s="22" t="s">
        <v>86</v>
      </c>
      <c r="Q105" s="91" t="s">
        <v>184</v>
      </c>
      <c r="R105" s="391">
        <f>SUMIF('Lançamento de Cabos'!$B:$B,Tabela1[[#This Row],[Tag do Cabo]],'Lançamento de Cabos'!$C:$C)</f>
        <v>11</v>
      </c>
      <c r="S105" s="391">
        <f>VLOOKUP(Tabela1[[#This Row],[Tag do Cabo]],'Diagramas Ligações'!A:V,14,0)</f>
        <v>2</v>
      </c>
      <c r="T105" s="262" t="s">
        <v>405</v>
      </c>
      <c r="U105" s="391">
        <v>2</v>
      </c>
      <c r="V105" s="391" t="s">
        <v>406</v>
      </c>
      <c r="W105" s="391" t="s">
        <v>92</v>
      </c>
      <c r="X105" s="391" t="s">
        <v>92</v>
      </c>
      <c r="Y105" s="391" t="s">
        <v>92</v>
      </c>
      <c r="Z105" s="391" t="s">
        <v>92</v>
      </c>
      <c r="AA105" s="45" t="s">
        <v>92</v>
      </c>
      <c r="AB10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5" s="262" t="s">
        <v>407</v>
      </c>
      <c r="AD105" s="391">
        <f>IF(Tabela1[[#This Row],[Qtde. Lançada]]&gt;Tabela1[[#This Row],[Comprimento Total]],Tabela1[[#This Row],[Qtde. Lançada]],Tabela1[[#This Row],[Comprimento Total]])</f>
        <v>11</v>
      </c>
      <c r="AE105" s="391" t="s">
        <v>92</v>
      </c>
      <c r="AF105" s="391" t="s">
        <v>402</v>
      </c>
      <c r="AG105" s="391">
        <f ca="1">SUMIF('Lançamento de Cabos'!AE:AK,Tabela1[[#This Row],[Tag do Cabo]],'Lançamento de Cabos'!AG:AG)</f>
        <v>2</v>
      </c>
      <c r="AH105" s="29">
        <f>IFERROR(VLOOKUP(Tabela1[[#This Row],[Tag do Cabo]],'Lançamento de Cabos'!AE:AK,7,0),0)</f>
        <v>1</v>
      </c>
      <c r="AI105" s="262" t="s">
        <v>311</v>
      </c>
      <c r="AJ105" s="212" t="s">
        <v>92</v>
      </c>
      <c r="AK105" s="46" t="s">
        <v>92</v>
      </c>
    </row>
    <row r="106" spans="1:37" s="262" customFormat="1" ht="15" customHeight="1" x14ac:dyDescent="0.2">
      <c r="A106" s="168" t="s">
        <v>469</v>
      </c>
      <c r="B106" s="391" t="s">
        <v>38</v>
      </c>
      <c r="C106" s="391" t="s">
        <v>92</v>
      </c>
      <c r="D106" s="391" t="s">
        <v>92</v>
      </c>
      <c r="E106" s="3" t="s">
        <v>470</v>
      </c>
      <c r="F106" s="11">
        <v>1.5</v>
      </c>
      <c r="G106" s="391">
        <v>1</v>
      </c>
      <c r="H106" s="391">
        <v>11</v>
      </c>
      <c r="I106" s="391">
        <v>11</v>
      </c>
      <c r="J106" s="391" t="s">
        <v>402</v>
      </c>
      <c r="K106" s="262" t="s">
        <v>465</v>
      </c>
      <c r="L106" s="262" t="s">
        <v>466</v>
      </c>
      <c r="M106" s="22" t="s">
        <v>85</v>
      </c>
      <c r="N106" s="391" t="str">
        <f t="shared" si="3"/>
        <v>Sim</v>
      </c>
      <c r="O106" s="22" t="s">
        <v>86</v>
      </c>
      <c r="P106" s="22" t="s">
        <v>86</v>
      </c>
      <c r="Q106" s="91" t="s">
        <v>184</v>
      </c>
      <c r="R106" s="391">
        <f>SUMIF('Lançamento de Cabos'!$B:$B,Tabela1[[#This Row],[Tag do Cabo]],'Lançamento de Cabos'!$C:$C)</f>
        <v>11</v>
      </c>
      <c r="S106" s="391">
        <f>VLOOKUP(Tabela1[[#This Row],[Tag do Cabo]],'Diagramas Ligações'!A:V,14,0)</f>
        <v>2</v>
      </c>
      <c r="T106" s="262" t="s">
        <v>405</v>
      </c>
      <c r="U106" s="391">
        <v>2</v>
      </c>
      <c r="V106" s="391" t="s">
        <v>406</v>
      </c>
      <c r="W106" s="391" t="s">
        <v>92</v>
      </c>
      <c r="X106" s="391" t="s">
        <v>92</v>
      </c>
      <c r="Y106" s="391" t="s">
        <v>92</v>
      </c>
      <c r="Z106" s="391" t="s">
        <v>92</v>
      </c>
      <c r="AA106" s="45" t="s">
        <v>92</v>
      </c>
      <c r="AB10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6" s="262" t="s">
        <v>407</v>
      </c>
      <c r="AD106" s="391">
        <f>IF(Tabela1[[#This Row],[Qtde. Lançada]]&gt;Tabela1[[#This Row],[Comprimento Total]],Tabela1[[#This Row],[Qtde. Lançada]],Tabela1[[#This Row],[Comprimento Total]])</f>
        <v>11</v>
      </c>
      <c r="AE106" s="391" t="s">
        <v>92</v>
      </c>
      <c r="AF106" s="391" t="s">
        <v>402</v>
      </c>
      <c r="AG106" s="391">
        <f ca="1">SUMIF('Lançamento de Cabos'!AE:AK,Tabela1[[#This Row],[Tag do Cabo]],'Lançamento de Cabos'!AG:AG)</f>
        <v>2</v>
      </c>
      <c r="AH106" s="29">
        <f>IFERROR(VLOOKUP(Tabela1[[#This Row],[Tag do Cabo]],'Lançamento de Cabos'!AE:AK,7,0),0)</f>
        <v>1</v>
      </c>
      <c r="AI106" s="262" t="s">
        <v>311</v>
      </c>
      <c r="AJ106" s="212" t="s">
        <v>92</v>
      </c>
      <c r="AK106" s="46" t="s">
        <v>92</v>
      </c>
    </row>
    <row r="107" spans="1:37" s="262" customFormat="1" ht="15" customHeight="1" x14ac:dyDescent="0.2">
      <c r="A107" s="168" t="s">
        <v>471</v>
      </c>
      <c r="B107" s="391" t="s">
        <v>38</v>
      </c>
      <c r="C107" s="391" t="s">
        <v>92</v>
      </c>
      <c r="D107" s="391" t="s">
        <v>92</v>
      </c>
      <c r="E107" s="3" t="s">
        <v>464</v>
      </c>
      <c r="F107" s="11">
        <v>1.5</v>
      </c>
      <c r="G107" s="391">
        <v>1</v>
      </c>
      <c r="H107" s="391">
        <v>19</v>
      </c>
      <c r="I107" s="391">
        <v>19</v>
      </c>
      <c r="J107" s="391" t="s">
        <v>402</v>
      </c>
      <c r="K107" s="262" t="s">
        <v>465</v>
      </c>
      <c r="L107" s="262" t="s">
        <v>472</v>
      </c>
      <c r="M107" s="22" t="s">
        <v>85</v>
      </c>
      <c r="N107" s="391" t="str">
        <f t="shared" si="3"/>
        <v>Sim</v>
      </c>
      <c r="O107" s="22" t="s">
        <v>86</v>
      </c>
      <c r="P107" s="22" t="s">
        <v>86</v>
      </c>
      <c r="Q107" s="91" t="s">
        <v>184</v>
      </c>
      <c r="R107" s="391">
        <f>SUMIF('Lançamento de Cabos'!$B:$B,Tabela1[[#This Row],[Tag do Cabo]],'Lançamento de Cabos'!$C:$C)</f>
        <v>19</v>
      </c>
      <c r="S107" s="391">
        <f>VLOOKUP(Tabela1[[#This Row],[Tag do Cabo]],'Diagramas Ligações'!A:V,14,0)</f>
        <v>48</v>
      </c>
      <c r="T107" s="262" t="s">
        <v>405</v>
      </c>
      <c r="U107" s="391">
        <v>2</v>
      </c>
      <c r="V107" s="391" t="s">
        <v>406</v>
      </c>
      <c r="W107" s="391" t="s">
        <v>92</v>
      </c>
      <c r="X107" s="391" t="s">
        <v>92</v>
      </c>
      <c r="Y107" s="391" t="s">
        <v>92</v>
      </c>
      <c r="Z107" s="391" t="s">
        <v>92</v>
      </c>
      <c r="AA107" s="45" t="s">
        <v>92</v>
      </c>
      <c r="AB10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7" s="262" t="s">
        <v>407</v>
      </c>
      <c r="AD107" s="391">
        <f>IF(Tabela1[[#This Row],[Qtde. Lançada]]&gt;Tabela1[[#This Row],[Comprimento Total]],Tabela1[[#This Row],[Qtde. Lançada]],Tabela1[[#This Row],[Comprimento Total]])</f>
        <v>19</v>
      </c>
      <c r="AE107" s="391" t="s">
        <v>92</v>
      </c>
      <c r="AF107" s="391" t="s">
        <v>402</v>
      </c>
      <c r="AG107" s="391">
        <f ca="1">SUMIF('Lançamento de Cabos'!AE:AK,Tabela1[[#This Row],[Tag do Cabo]],'Lançamento de Cabos'!AG:AG)</f>
        <v>48</v>
      </c>
      <c r="AH107" s="29">
        <f>IFERROR(VLOOKUP(Tabela1[[#This Row],[Tag do Cabo]],'Lançamento de Cabos'!AE:AK,7,0),0)</f>
        <v>1</v>
      </c>
      <c r="AI107" s="262" t="s">
        <v>408</v>
      </c>
      <c r="AJ107" s="212" t="s">
        <v>212</v>
      </c>
      <c r="AK107" s="46" t="s">
        <v>92</v>
      </c>
    </row>
    <row r="108" spans="1:37" s="262" customFormat="1" ht="15" customHeight="1" x14ac:dyDescent="0.2">
      <c r="A108" s="168" t="s">
        <v>473</v>
      </c>
      <c r="B108" s="391" t="s">
        <v>38</v>
      </c>
      <c r="C108" s="391" t="s">
        <v>92</v>
      </c>
      <c r="D108" s="391" t="s">
        <v>92</v>
      </c>
      <c r="E108" s="3" t="s">
        <v>468</v>
      </c>
      <c r="F108" s="11">
        <v>1.5</v>
      </c>
      <c r="G108" s="391">
        <v>1</v>
      </c>
      <c r="H108" s="391">
        <v>19</v>
      </c>
      <c r="I108" s="391">
        <v>19</v>
      </c>
      <c r="J108" s="391" t="s">
        <v>402</v>
      </c>
      <c r="K108" s="262" t="s">
        <v>465</v>
      </c>
      <c r="L108" s="262" t="s">
        <v>472</v>
      </c>
      <c r="M108" s="22" t="s">
        <v>85</v>
      </c>
      <c r="N108" s="391" t="str">
        <f t="shared" si="3"/>
        <v>Sim</v>
      </c>
      <c r="O108" s="22" t="s">
        <v>86</v>
      </c>
      <c r="P108" s="22" t="s">
        <v>86</v>
      </c>
      <c r="Q108" s="91" t="s">
        <v>184</v>
      </c>
      <c r="R108" s="391">
        <f>SUMIF('Lançamento de Cabos'!$B:$B,Tabela1[[#This Row],[Tag do Cabo]],'Lançamento de Cabos'!$C:$C)</f>
        <v>19</v>
      </c>
      <c r="S108" s="391">
        <f>VLOOKUP(Tabela1[[#This Row],[Tag do Cabo]],'Diagramas Ligações'!A:V,14,0)</f>
        <v>2</v>
      </c>
      <c r="T108" s="262" t="s">
        <v>405</v>
      </c>
      <c r="U108" s="391">
        <v>2</v>
      </c>
      <c r="V108" s="391" t="s">
        <v>406</v>
      </c>
      <c r="W108" s="391" t="s">
        <v>92</v>
      </c>
      <c r="X108" s="391" t="s">
        <v>92</v>
      </c>
      <c r="Y108" s="391" t="s">
        <v>92</v>
      </c>
      <c r="Z108" s="391" t="s">
        <v>92</v>
      </c>
      <c r="AA108" s="45" t="s">
        <v>92</v>
      </c>
      <c r="AB10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8" s="262" t="s">
        <v>407</v>
      </c>
      <c r="AD108" s="391">
        <f>IF(Tabela1[[#This Row],[Qtde. Lançada]]&gt;Tabela1[[#This Row],[Comprimento Total]],Tabela1[[#This Row],[Qtde. Lançada]],Tabela1[[#This Row],[Comprimento Total]])</f>
        <v>19</v>
      </c>
      <c r="AE108" s="391" t="s">
        <v>92</v>
      </c>
      <c r="AF108" s="391" t="s">
        <v>402</v>
      </c>
      <c r="AG108" s="391">
        <f ca="1">SUMIF('Lançamento de Cabos'!AE:AK,Tabela1[[#This Row],[Tag do Cabo]],'Lançamento de Cabos'!AG:AG)</f>
        <v>2</v>
      </c>
      <c r="AH108" s="29">
        <f>IFERROR(VLOOKUP(Tabela1[[#This Row],[Tag do Cabo]],'Lançamento de Cabos'!AE:AK,7,0),0)</f>
        <v>1</v>
      </c>
      <c r="AI108" s="262" t="s">
        <v>311</v>
      </c>
      <c r="AJ108" s="212" t="s">
        <v>92</v>
      </c>
      <c r="AK108" s="46" t="s">
        <v>92</v>
      </c>
    </row>
    <row r="109" spans="1:37" s="262" customFormat="1" ht="15" customHeight="1" x14ac:dyDescent="0.2">
      <c r="A109" s="168" t="s">
        <v>474</v>
      </c>
      <c r="B109" s="391" t="s">
        <v>38</v>
      </c>
      <c r="C109" s="391" t="s">
        <v>92</v>
      </c>
      <c r="D109" s="391" t="s">
        <v>92</v>
      </c>
      <c r="E109" s="3" t="s">
        <v>470</v>
      </c>
      <c r="F109" s="11">
        <v>1.5</v>
      </c>
      <c r="G109" s="391">
        <v>1</v>
      </c>
      <c r="H109" s="391">
        <v>19</v>
      </c>
      <c r="I109" s="391">
        <v>19</v>
      </c>
      <c r="J109" s="391" t="s">
        <v>402</v>
      </c>
      <c r="K109" s="262" t="s">
        <v>465</v>
      </c>
      <c r="L109" s="262" t="s">
        <v>472</v>
      </c>
      <c r="M109" s="22" t="s">
        <v>85</v>
      </c>
      <c r="N109" s="391" t="str">
        <f t="shared" si="3"/>
        <v>Sim</v>
      </c>
      <c r="O109" s="22" t="s">
        <v>86</v>
      </c>
      <c r="P109" s="22" t="s">
        <v>86</v>
      </c>
      <c r="Q109" s="91" t="s">
        <v>184</v>
      </c>
      <c r="R109" s="391">
        <f>SUMIF('Lançamento de Cabos'!$B:$B,Tabela1[[#This Row],[Tag do Cabo]],'Lançamento de Cabos'!$C:$C)</f>
        <v>19</v>
      </c>
      <c r="S109" s="391">
        <f>VLOOKUP(Tabela1[[#This Row],[Tag do Cabo]],'Diagramas Ligações'!A:V,14,0)</f>
        <v>2</v>
      </c>
      <c r="T109" s="262" t="s">
        <v>405</v>
      </c>
      <c r="U109" s="391">
        <v>2</v>
      </c>
      <c r="V109" s="391" t="s">
        <v>406</v>
      </c>
      <c r="W109" s="391" t="s">
        <v>92</v>
      </c>
      <c r="X109" s="391" t="s">
        <v>92</v>
      </c>
      <c r="Y109" s="391" t="s">
        <v>92</v>
      </c>
      <c r="Z109" s="391" t="s">
        <v>92</v>
      </c>
      <c r="AA109" s="45" t="s">
        <v>92</v>
      </c>
      <c r="AB10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09" s="262" t="s">
        <v>407</v>
      </c>
      <c r="AD109" s="391">
        <f>IF(Tabela1[[#This Row],[Qtde. Lançada]]&gt;Tabela1[[#This Row],[Comprimento Total]],Tabela1[[#This Row],[Qtde. Lançada]],Tabela1[[#This Row],[Comprimento Total]])</f>
        <v>19</v>
      </c>
      <c r="AE109" s="391" t="s">
        <v>92</v>
      </c>
      <c r="AF109" s="391" t="s">
        <v>402</v>
      </c>
      <c r="AG109" s="391">
        <f ca="1">SUMIF('Lançamento de Cabos'!AE:AK,Tabela1[[#This Row],[Tag do Cabo]],'Lançamento de Cabos'!AG:AG)</f>
        <v>2</v>
      </c>
      <c r="AH109" s="29">
        <f>IFERROR(VLOOKUP(Tabela1[[#This Row],[Tag do Cabo]],'Lançamento de Cabos'!AE:AK,7,0),0)</f>
        <v>1</v>
      </c>
      <c r="AI109" s="262" t="s">
        <v>311</v>
      </c>
      <c r="AJ109" s="212" t="s">
        <v>92</v>
      </c>
      <c r="AK109" s="46" t="s">
        <v>92</v>
      </c>
    </row>
    <row r="110" spans="1:37" s="262" customFormat="1" ht="15" customHeight="1" x14ac:dyDescent="0.2">
      <c r="A110" s="168" t="s">
        <v>475</v>
      </c>
      <c r="B110" s="391" t="s">
        <v>38</v>
      </c>
      <c r="C110" s="391" t="s">
        <v>92</v>
      </c>
      <c r="D110" s="391" t="s">
        <v>92</v>
      </c>
      <c r="E110" s="3" t="s">
        <v>476</v>
      </c>
      <c r="F110" s="11">
        <v>1.5</v>
      </c>
      <c r="G110" s="391">
        <v>1</v>
      </c>
      <c r="H110" s="391">
        <v>11</v>
      </c>
      <c r="I110" s="391">
        <v>11</v>
      </c>
      <c r="J110" s="391" t="s">
        <v>402</v>
      </c>
      <c r="K110" s="262" t="s">
        <v>466</v>
      </c>
      <c r="L110" s="262" t="s">
        <v>465</v>
      </c>
      <c r="M110" s="22" t="s">
        <v>85</v>
      </c>
      <c r="N110" s="391" t="str">
        <f t="shared" si="3"/>
        <v>Sim</v>
      </c>
      <c r="O110" s="22" t="s">
        <v>86</v>
      </c>
      <c r="P110" s="22" t="s">
        <v>86</v>
      </c>
      <c r="Q110" s="91" t="s">
        <v>184</v>
      </c>
      <c r="R110" s="391">
        <f>SUMIF('Lançamento de Cabos'!$B:$B,Tabela1[[#This Row],[Tag do Cabo]],'Lançamento de Cabos'!$C:$C)</f>
        <v>11</v>
      </c>
      <c r="S110" s="391">
        <f>VLOOKUP(Tabela1[[#This Row],[Tag do Cabo]],'Diagramas Ligações'!A:V,14,0)</f>
        <v>24</v>
      </c>
      <c r="T110" s="262" t="s">
        <v>405</v>
      </c>
      <c r="U110" s="391">
        <v>2</v>
      </c>
      <c r="V110" s="391" t="s">
        <v>406</v>
      </c>
      <c r="W110" s="391" t="s">
        <v>92</v>
      </c>
      <c r="X110" s="391" t="s">
        <v>92</v>
      </c>
      <c r="Y110" s="391" t="s">
        <v>92</v>
      </c>
      <c r="Z110" s="391" t="s">
        <v>92</v>
      </c>
      <c r="AA110" s="45" t="s">
        <v>92</v>
      </c>
      <c r="AB11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0" s="262" t="s">
        <v>407</v>
      </c>
      <c r="AD110" s="391">
        <f>IF(Tabela1[[#This Row],[Qtde. Lançada]]&gt;Tabela1[[#This Row],[Comprimento Total]],Tabela1[[#This Row],[Qtde. Lançada]],Tabela1[[#This Row],[Comprimento Total]])</f>
        <v>11</v>
      </c>
      <c r="AE110" s="391" t="s">
        <v>92</v>
      </c>
      <c r="AF110" s="391" t="s">
        <v>402</v>
      </c>
      <c r="AG110" s="391">
        <f ca="1">SUMIF('Lançamento de Cabos'!AE:AK,Tabela1[[#This Row],[Tag do Cabo]],'Lançamento de Cabos'!AG:AG)</f>
        <v>24</v>
      </c>
      <c r="AH110" s="29">
        <f>IFERROR(VLOOKUP(Tabela1[[#This Row],[Tag do Cabo]],'Lançamento de Cabos'!AE:AK,7,0),0)</f>
        <v>1</v>
      </c>
      <c r="AI110" s="262" t="s">
        <v>408</v>
      </c>
      <c r="AJ110" s="212" t="s">
        <v>209</v>
      </c>
      <c r="AK110" s="46" t="s">
        <v>92</v>
      </c>
    </row>
    <row r="111" spans="1:37" s="262" customFormat="1" ht="15" customHeight="1" x14ac:dyDescent="0.2">
      <c r="A111" s="168" t="s">
        <v>477</v>
      </c>
      <c r="B111" s="391" t="s">
        <v>38</v>
      </c>
      <c r="C111" s="391" t="s">
        <v>92</v>
      </c>
      <c r="D111" s="391" t="s">
        <v>92</v>
      </c>
      <c r="E111" s="3" t="s">
        <v>476</v>
      </c>
      <c r="F111" s="11">
        <v>1.5</v>
      </c>
      <c r="G111" s="391">
        <v>1</v>
      </c>
      <c r="H111" s="391">
        <v>19</v>
      </c>
      <c r="I111" s="391">
        <v>19</v>
      </c>
      <c r="J111" s="391" t="s">
        <v>402</v>
      </c>
      <c r="K111" s="262" t="s">
        <v>472</v>
      </c>
      <c r="L111" s="262" t="s">
        <v>465</v>
      </c>
      <c r="M111" s="22" t="s">
        <v>85</v>
      </c>
      <c r="N111" s="391" t="str">
        <f t="shared" si="3"/>
        <v>Sim</v>
      </c>
      <c r="O111" s="22" t="s">
        <v>86</v>
      </c>
      <c r="P111" s="22" t="s">
        <v>86</v>
      </c>
      <c r="Q111" s="91" t="s">
        <v>184</v>
      </c>
      <c r="R111" s="391">
        <f>SUMIF('Lançamento de Cabos'!$B:$B,Tabela1[[#This Row],[Tag do Cabo]],'Lançamento de Cabos'!$C:$C)</f>
        <v>19</v>
      </c>
      <c r="S111" s="391">
        <f>VLOOKUP(Tabela1[[#This Row],[Tag do Cabo]],'Diagramas Ligações'!A:V,14,0)</f>
        <v>24</v>
      </c>
      <c r="T111" s="262" t="s">
        <v>405</v>
      </c>
      <c r="U111" s="391">
        <v>2</v>
      </c>
      <c r="V111" s="391" t="s">
        <v>406</v>
      </c>
      <c r="W111" s="391" t="s">
        <v>92</v>
      </c>
      <c r="X111" s="391" t="s">
        <v>92</v>
      </c>
      <c r="Y111" s="391" t="s">
        <v>92</v>
      </c>
      <c r="Z111" s="391" t="s">
        <v>92</v>
      </c>
      <c r="AA111" s="45" t="s">
        <v>92</v>
      </c>
      <c r="AB11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1" s="262" t="s">
        <v>407</v>
      </c>
      <c r="AD111" s="391">
        <f>IF(Tabela1[[#This Row],[Qtde. Lançada]]&gt;Tabela1[[#This Row],[Comprimento Total]],Tabela1[[#This Row],[Qtde. Lançada]],Tabela1[[#This Row],[Comprimento Total]])</f>
        <v>19</v>
      </c>
      <c r="AE111" s="391" t="s">
        <v>92</v>
      </c>
      <c r="AF111" s="391" t="s">
        <v>402</v>
      </c>
      <c r="AG111" s="391">
        <f ca="1">SUMIF('Lançamento de Cabos'!AE:AK,Tabela1[[#This Row],[Tag do Cabo]],'Lançamento de Cabos'!AG:AG)</f>
        <v>24</v>
      </c>
      <c r="AH111" s="29">
        <f>IFERROR(VLOOKUP(Tabela1[[#This Row],[Tag do Cabo]],'Lançamento de Cabos'!AE:AK,7,0),0)</f>
        <v>1</v>
      </c>
      <c r="AI111" s="262" t="s">
        <v>408</v>
      </c>
      <c r="AJ111" s="212" t="s">
        <v>209</v>
      </c>
      <c r="AK111" s="46" t="s">
        <v>92</v>
      </c>
    </row>
    <row r="112" spans="1:37" s="262" customFormat="1" ht="15" customHeight="1" x14ac:dyDescent="0.2">
      <c r="A112" s="323" t="s">
        <v>478</v>
      </c>
      <c r="B112" s="391" t="s">
        <v>38</v>
      </c>
      <c r="C112" s="391">
        <v>125</v>
      </c>
      <c r="D112" s="391" t="s">
        <v>80</v>
      </c>
      <c r="E112" s="3" t="s">
        <v>145</v>
      </c>
      <c r="F112" s="11">
        <v>2.5</v>
      </c>
      <c r="G112" s="391">
        <v>1</v>
      </c>
      <c r="H112" s="391">
        <v>20</v>
      </c>
      <c r="I112" s="391">
        <v>20</v>
      </c>
      <c r="J112" s="391" t="s">
        <v>402</v>
      </c>
      <c r="K112" s="262" t="s">
        <v>479</v>
      </c>
      <c r="L112" s="262" t="s">
        <v>480</v>
      </c>
      <c r="M112" s="22" t="s">
        <v>85</v>
      </c>
      <c r="N112" s="391" t="str">
        <f t="shared" si="3"/>
        <v>Sim</v>
      </c>
      <c r="O112" s="22" t="s">
        <v>86</v>
      </c>
      <c r="P112" s="22" t="s">
        <v>86</v>
      </c>
      <c r="Q112" s="91" t="s">
        <v>139</v>
      </c>
      <c r="R112" s="391">
        <f>SUMIF('Lançamento de Cabos'!$B:$B,Tabela1[[#This Row],[Tag do Cabo]],'Lançamento de Cabos'!$C:$C)</f>
        <v>20</v>
      </c>
      <c r="S112" s="391">
        <f>VLOOKUP(Tabela1[[#This Row],[Tag do Cabo]],'Diagramas Ligações'!A:V,14,0)</f>
        <v>8</v>
      </c>
      <c r="T112" s="262" t="s">
        <v>88</v>
      </c>
      <c r="U112" s="391">
        <v>5</v>
      </c>
      <c r="V112" s="391" t="s">
        <v>140</v>
      </c>
      <c r="W112" s="391" t="s">
        <v>92</v>
      </c>
      <c r="X112" s="32">
        <v>44155</v>
      </c>
      <c r="Y112" s="32">
        <v>44155</v>
      </c>
      <c r="Z112" s="3" t="s">
        <v>481</v>
      </c>
      <c r="AA112" s="45">
        <v>207</v>
      </c>
      <c r="AB11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2" s="262" t="s">
        <v>482</v>
      </c>
      <c r="AD112" s="391">
        <f>IF(Tabela1[[#This Row],[Qtde. Lançada]]&gt;Tabela1[[#This Row],[Comprimento Total]],Tabela1[[#This Row],[Qtde. Lançada]],Tabela1[[#This Row],[Comprimento Total]])</f>
        <v>20</v>
      </c>
      <c r="AE112" s="391" t="s">
        <v>92</v>
      </c>
      <c r="AF112" s="391" t="s">
        <v>402</v>
      </c>
      <c r="AG112" s="391">
        <f ca="1">SUMIF('Lançamento de Cabos'!AE:AK,Tabela1[[#This Row],[Tag do Cabo]],'Lançamento de Cabos'!AG:AG)</f>
        <v>0</v>
      </c>
      <c r="AH112" s="29">
        <f>IFERROR(VLOOKUP(Tabela1[[#This Row],[Tag do Cabo]],'Lançamento de Cabos'!AE:AK,7,0),0)</f>
        <v>0</v>
      </c>
      <c r="AI112" s="262" t="s">
        <v>98</v>
      </c>
      <c r="AJ112" s="212" t="s">
        <v>483</v>
      </c>
      <c r="AK112" s="46">
        <v>49726</v>
      </c>
    </row>
    <row r="113" spans="1:37" s="262" customFormat="1" ht="15" customHeight="1" x14ac:dyDescent="0.2">
      <c r="A113" s="323" t="s">
        <v>484</v>
      </c>
      <c r="B113" s="391" t="s">
        <v>38</v>
      </c>
      <c r="C113" s="391">
        <v>125</v>
      </c>
      <c r="D113" s="391" t="s">
        <v>80</v>
      </c>
      <c r="E113" s="3" t="s">
        <v>145</v>
      </c>
      <c r="F113" s="11">
        <v>2.5</v>
      </c>
      <c r="G113" s="391">
        <v>1</v>
      </c>
      <c r="H113" s="391">
        <v>20</v>
      </c>
      <c r="I113" s="391">
        <v>20</v>
      </c>
      <c r="J113" s="391" t="s">
        <v>402</v>
      </c>
      <c r="K113" s="262" t="s">
        <v>479</v>
      </c>
      <c r="L113" s="262" t="s">
        <v>485</v>
      </c>
      <c r="M113" s="22" t="s">
        <v>85</v>
      </c>
      <c r="N113" s="391" t="str">
        <f t="shared" si="3"/>
        <v>Sim</v>
      </c>
      <c r="O113" s="22" t="s">
        <v>86</v>
      </c>
      <c r="P113" s="22" t="s">
        <v>86</v>
      </c>
      <c r="Q113" s="91" t="s">
        <v>139</v>
      </c>
      <c r="R113" s="391">
        <f>SUMIF('Lançamento de Cabos'!$B:$B,Tabela1[[#This Row],[Tag do Cabo]],'Lançamento de Cabos'!$C:$C)</f>
        <v>20</v>
      </c>
      <c r="S113" s="391">
        <f>VLOOKUP(Tabela1[[#This Row],[Tag do Cabo]],'Diagramas Ligações'!A:V,14,0)</f>
        <v>8</v>
      </c>
      <c r="T113" s="262" t="s">
        <v>88</v>
      </c>
      <c r="U113" s="391">
        <v>5</v>
      </c>
      <c r="V113" s="391" t="s">
        <v>140</v>
      </c>
      <c r="W113" s="391" t="s">
        <v>92</v>
      </c>
      <c r="X113" s="32">
        <v>44155</v>
      </c>
      <c r="Y113" s="32">
        <v>44155</v>
      </c>
      <c r="Z113" s="3" t="s">
        <v>481</v>
      </c>
      <c r="AA113" s="45">
        <v>207</v>
      </c>
      <c r="AB11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3" s="262" t="s">
        <v>482</v>
      </c>
      <c r="AD113" s="391">
        <f>IF(Tabela1[[#This Row],[Qtde. Lançada]]&gt;Tabela1[[#This Row],[Comprimento Total]],Tabela1[[#This Row],[Qtde. Lançada]],Tabela1[[#This Row],[Comprimento Total]])</f>
        <v>20</v>
      </c>
      <c r="AE113" s="391" t="s">
        <v>92</v>
      </c>
      <c r="AF113" s="391" t="s">
        <v>402</v>
      </c>
      <c r="AG113" s="391">
        <f ca="1">SUMIF('Lançamento de Cabos'!AE:AK,Tabela1[[#This Row],[Tag do Cabo]],'Lançamento de Cabos'!AG:AG)</f>
        <v>0</v>
      </c>
      <c r="AH113" s="29">
        <f>IFERROR(VLOOKUP(Tabela1[[#This Row],[Tag do Cabo]],'Lançamento de Cabos'!AE:AK,7,0),0)</f>
        <v>0</v>
      </c>
      <c r="AI113" s="262" t="s">
        <v>98</v>
      </c>
      <c r="AJ113" s="212" t="s">
        <v>483</v>
      </c>
      <c r="AK113" s="46">
        <v>49726</v>
      </c>
    </row>
    <row r="114" spans="1:37" s="262" customFormat="1" ht="15" customHeight="1" x14ac:dyDescent="0.2">
      <c r="A114" s="323" t="s">
        <v>486</v>
      </c>
      <c r="B114" s="391" t="s">
        <v>38</v>
      </c>
      <c r="C114" s="391">
        <v>125</v>
      </c>
      <c r="D114" s="391" t="s">
        <v>80</v>
      </c>
      <c r="E114" s="3" t="s">
        <v>145</v>
      </c>
      <c r="F114" s="11">
        <v>2.5</v>
      </c>
      <c r="G114" s="391">
        <v>1</v>
      </c>
      <c r="H114" s="391">
        <v>20</v>
      </c>
      <c r="I114" s="391">
        <v>20</v>
      </c>
      <c r="J114" s="391" t="s">
        <v>402</v>
      </c>
      <c r="K114" s="262" t="s">
        <v>479</v>
      </c>
      <c r="L114" s="262" t="s">
        <v>487</v>
      </c>
      <c r="M114" s="22" t="s">
        <v>85</v>
      </c>
      <c r="N114" s="391" t="str">
        <f t="shared" si="3"/>
        <v>Sim</v>
      </c>
      <c r="O114" s="22" t="s">
        <v>86</v>
      </c>
      <c r="P114" s="22" t="s">
        <v>86</v>
      </c>
      <c r="Q114" s="91" t="s">
        <v>139</v>
      </c>
      <c r="R114" s="391">
        <f>SUMIF('Lançamento de Cabos'!$B:$B,Tabela1[[#This Row],[Tag do Cabo]],'Lançamento de Cabos'!$C:$C)</f>
        <v>20</v>
      </c>
      <c r="S114" s="391">
        <f>VLOOKUP(Tabela1[[#This Row],[Tag do Cabo]],'Diagramas Ligações'!A:V,14,0)</f>
        <v>8</v>
      </c>
      <c r="T114" s="262" t="s">
        <v>88</v>
      </c>
      <c r="U114" s="391">
        <v>5</v>
      </c>
      <c r="V114" s="391" t="s">
        <v>140</v>
      </c>
      <c r="W114" s="391" t="s">
        <v>92</v>
      </c>
      <c r="X114" s="32">
        <v>44155</v>
      </c>
      <c r="Y114" s="32">
        <v>44155</v>
      </c>
      <c r="Z114" s="3" t="s">
        <v>481</v>
      </c>
      <c r="AA114" s="45">
        <v>207</v>
      </c>
      <c r="AB11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4" s="262" t="s">
        <v>482</v>
      </c>
      <c r="AD114" s="391">
        <f>IF(Tabela1[[#This Row],[Qtde. Lançada]]&gt;Tabela1[[#This Row],[Comprimento Total]],Tabela1[[#This Row],[Qtde. Lançada]],Tabela1[[#This Row],[Comprimento Total]])</f>
        <v>20</v>
      </c>
      <c r="AE114" s="391" t="s">
        <v>92</v>
      </c>
      <c r="AF114" s="391" t="s">
        <v>402</v>
      </c>
      <c r="AG114" s="391">
        <f ca="1">SUMIF('Lançamento de Cabos'!AE:AK,Tabela1[[#This Row],[Tag do Cabo]],'Lançamento de Cabos'!AG:AG)</f>
        <v>0</v>
      </c>
      <c r="AH114" s="29">
        <f>IFERROR(VLOOKUP(Tabela1[[#This Row],[Tag do Cabo]],'Lançamento de Cabos'!AE:AK,7,0),0)</f>
        <v>0</v>
      </c>
      <c r="AI114" s="262" t="s">
        <v>98</v>
      </c>
      <c r="AJ114" s="212" t="s">
        <v>483</v>
      </c>
      <c r="AK114" s="46">
        <v>49726</v>
      </c>
    </row>
    <row r="115" spans="1:37" s="262" customFormat="1" ht="15" customHeight="1" x14ac:dyDescent="0.2">
      <c r="A115" s="323" t="s">
        <v>488</v>
      </c>
      <c r="B115" s="391" t="s">
        <v>38</v>
      </c>
      <c r="C115" s="391">
        <v>125</v>
      </c>
      <c r="D115" s="391" t="s">
        <v>80</v>
      </c>
      <c r="E115" s="3" t="s">
        <v>136</v>
      </c>
      <c r="F115" s="11">
        <v>2.5</v>
      </c>
      <c r="G115" s="391">
        <v>1</v>
      </c>
      <c r="H115" s="391">
        <v>20</v>
      </c>
      <c r="I115" s="391">
        <v>20</v>
      </c>
      <c r="J115" s="391" t="s">
        <v>402</v>
      </c>
      <c r="K115" s="262" t="s">
        <v>479</v>
      </c>
      <c r="L115" s="262" t="s">
        <v>489</v>
      </c>
      <c r="M115" s="22" t="s">
        <v>85</v>
      </c>
      <c r="N115" s="391" t="str">
        <f t="shared" si="3"/>
        <v>Sim</v>
      </c>
      <c r="O115" s="22" t="s">
        <v>86</v>
      </c>
      <c r="P115" s="22" t="s">
        <v>86</v>
      </c>
      <c r="Q115" s="91" t="s">
        <v>139</v>
      </c>
      <c r="R115" s="391">
        <f>SUMIF('Lançamento de Cabos'!$B:$B,Tabela1[[#This Row],[Tag do Cabo]],'Lançamento de Cabos'!$C:$C)</f>
        <v>20</v>
      </c>
      <c r="S115" s="391">
        <f>VLOOKUP(Tabela1[[#This Row],[Tag do Cabo]],'Diagramas Ligações'!A:V,14,0)</f>
        <v>20</v>
      </c>
      <c r="T115" s="262" t="s">
        <v>88</v>
      </c>
      <c r="U115" s="391">
        <v>5</v>
      </c>
      <c r="V115" s="391" t="s">
        <v>140</v>
      </c>
      <c r="W115" s="391" t="s">
        <v>92</v>
      </c>
      <c r="X115" s="32">
        <v>44155</v>
      </c>
      <c r="Y115" s="32">
        <v>44155</v>
      </c>
      <c r="Z115" s="3" t="s">
        <v>481</v>
      </c>
      <c r="AA115" s="45">
        <v>97</v>
      </c>
      <c r="AB11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5" s="262" t="s">
        <v>482</v>
      </c>
      <c r="AD115" s="391">
        <f>IF(Tabela1[[#This Row],[Qtde. Lançada]]&gt;Tabela1[[#This Row],[Comprimento Total]],Tabela1[[#This Row],[Qtde. Lançada]],Tabela1[[#This Row],[Comprimento Total]])</f>
        <v>20</v>
      </c>
      <c r="AE115" s="391" t="s">
        <v>92</v>
      </c>
      <c r="AF115" s="391" t="s">
        <v>402</v>
      </c>
      <c r="AG115" s="391">
        <f ca="1">SUMIF('Lançamento de Cabos'!AE:AK,Tabela1[[#This Row],[Tag do Cabo]],'Lançamento de Cabos'!AG:AG)</f>
        <v>0</v>
      </c>
      <c r="AH115" s="29">
        <f>IFERROR(VLOOKUP(Tabela1[[#This Row],[Tag do Cabo]],'Lançamento de Cabos'!AE:AK,7,0),0)</f>
        <v>0</v>
      </c>
      <c r="AI115" s="262" t="s">
        <v>98</v>
      </c>
      <c r="AJ115" s="212" t="s">
        <v>483</v>
      </c>
      <c r="AK115" s="46">
        <v>9044579</v>
      </c>
    </row>
    <row r="116" spans="1:37" s="262" customFormat="1" ht="15" customHeight="1" x14ac:dyDescent="0.2">
      <c r="A116" s="323" t="s">
        <v>490</v>
      </c>
      <c r="B116" s="391" t="s">
        <v>38</v>
      </c>
      <c r="C116" s="391">
        <v>125</v>
      </c>
      <c r="D116" s="391" t="s">
        <v>491</v>
      </c>
      <c r="E116" s="3" t="s">
        <v>145</v>
      </c>
      <c r="F116" s="11">
        <v>2.5</v>
      </c>
      <c r="G116" s="391">
        <v>1</v>
      </c>
      <c r="H116" s="391">
        <v>20</v>
      </c>
      <c r="I116" s="391">
        <v>20</v>
      </c>
      <c r="J116" s="391" t="s">
        <v>402</v>
      </c>
      <c r="K116" s="262" t="s">
        <v>492</v>
      </c>
      <c r="L116" s="262" t="s">
        <v>493</v>
      </c>
      <c r="M116" s="22" t="s">
        <v>85</v>
      </c>
      <c r="N116" s="391" t="str">
        <f t="shared" si="3"/>
        <v>Sim</v>
      </c>
      <c r="O116" s="22" t="s">
        <v>86</v>
      </c>
      <c r="P116" s="22" t="s">
        <v>86</v>
      </c>
      <c r="Q116" s="91" t="s">
        <v>139</v>
      </c>
      <c r="R116" s="391">
        <f>SUMIF('Lançamento de Cabos'!$B:$B,Tabela1[[#This Row],[Tag do Cabo]],'Lançamento de Cabos'!$C:$C)</f>
        <v>20</v>
      </c>
      <c r="S116" s="391">
        <f>VLOOKUP(Tabela1[[#This Row],[Tag do Cabo]],'Diagramas Ligações'!A:V,14,0)</f>
        <v>8</v>
      </c>
      <c r="T116" s="262" t="s">
        <v>88</v>
      </c>
      <c r="U116" s="391">
        <v>5</v>
      </c>
      <c r="V116" s="391" t="s">
        <v>140</v>
      </c>
      <c r="W116" s="391" t="s">
        <v>92</v>
      </c>
      <c r="X116" s="32">
        <v>44155</v>
      </c>
      <c r="Y116" s="32">
        <v>44155</v>
      </c>
      <c r="Z116" s="3" t="s">
        <v>481</v>
      </c>
      <c r="AA116" s="45">
        <v>207</v>
      </c>
      <c r="AB11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6" s="262" t="s">
        <v>482</v>
      </c>
      <c r="AD116" s="391">
        <f>IF(Tabela1[[#This Row],[Qtde. Lançada]]&gt;Tabela1[[#This Row],[Comprimento Total]],Tabela1[[#This Row],[Qtde. Lançada]],Tabela1[[#This Row],[Comprimento Total]])</f>
        <v>20</v>
      </c>
      <c r="AE116" s="391" t="s">
        <v>92</v>
      </c>
      <c r="AF116" s="391" t="s">
        <v>402</v>
      </c>
      <c r="AG116" s="391">
        <f ca="1">SUMIF('Lançamento de Cabos'!AE:AK,Tabela1[[#This Row],[Tag do Cabo]],'Lançamento de Cabos'!AG:AG)</f>
        <v>0</v>
      </c>
      <c r="AH116" s="29">
        <f>IFERROR(VLOOKUP(Tabela1[[#This Row],[Tag do Cabo]],'Lançamento de Cabos'!AE:AK,7,0),0)</f>
        <v>0</v>
      </c>
      <c r="AI116" s="262" t="s">
        <v>98</v>
      </c>
      <c r="AJ116" s="212" t="s">
        <v>494</v>
      </c>
      <c r="AK116" s="46">
        <v>49726</v>
      </c>
    </row>
    <row r="117" spans="1:37" s="262" customFormat="1" ht="15" customHeight="1" x14ac:dyDescent="0.2">
      <c r="A117" s="168" t="s">
        <v>495</v>
      </c>
      <c r="B117" s="391" t="s">
        <v>38</v>
      </c>
      <c r="C117" s="391" t="s">
        <v>92</v>
      </c>
      <c r="D117" s="391" t="s">
        <v>92</v>
      </c>
      <c r="E117" s="3" t="s">
        <v>401</v>
      </c>
      <c r="F117" s="11">
        <v>1.5</v>
      </c>
      <c r="G117" s="391">
        <v>1</v>
      </c>
      <c r="H117" s="391">
        <v>18</v>
      </c>
      <c r="I117" s="391">
        <v>18</v>
      </c>
      <c r="J117" s="391" t="s">
        <v>402</v>
      </c>
      <c r="K117" s="262" t="s">
        <v>496</v>
      </c>
      <c r="L117" s="262" t="s">
        <v>497</v>
      </c>
      <c r="M117" s="22" t="s">
        <v>85</v>
      </c>
      <c r="N117" s="391" t="str">
        <f t="shared" si="3"/>
        <v>Sim</v>
      </c>
      <c r="O117" s="22" t="s">
        <v>86</v>
      </c>
      <c r="P117" s="22" t="s">
        <v>86</v>
      </c>
      <c r="Q117" s="91" t="s">
        <v>184</v>
      </c>
      <c r="R117" s="391">
        <f>SUMIF('Lançamento de Cabos'!$B:$B,Tabela1[[#This Row],[Tag do Cabo]],'Lançamento de Cabos'!$C:$C)</f>
        <v>18</v>
      </c>
      <c r="S117" s="391">
        <f>VLOOKUP(Tabela1[[#This Row],[Tag do Cabo]],'Diagramas Ligações'!A:V,14,0)</f>
        <v>4</v>
      </c>
      <c r="T117" s="262" t="s">
        <v>405</v>
      </c>
      <c r="U117" s="391">
        <v>2</v>
      </c>
      <c r="V117" s="391" t="s">
        <v>406</v>
      </c>
      <c r="W117" s="391" t="s">
        <v>92</v>
      </c>
      <c r="X117" s="391" t="s">
        <v>92</v>
      </c>
      <c r="Y117" s="391" t="s">
        <v>92</v>
      </c>
      <c r="Z117" s="391" t="s">
        <v>92</v>
      </c>
      <c r="AA117" s="45" t="s">
        <v>92</v>
      </c>
      <c r="AB11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7" s="262" t="s">
        <v>407</v>
      </c>
      <c r="AD117" s="391">
        <f>IF(Tabela1[[#This Row],[Qtde. Lançada]]&gt;Tabela1[[#This Row],[Comprimento Total]],Tabela1[[#This Row],[Qtde. Lançada]],Tabela1[[#This Row],[Comprimento Total]])</f>
        <v>18</v>
      </c>
      <c r="AE117" s="391" t="s">
        <v>92</v>
      </c>
      <c r="AF117" s="391" t="s">
        <v>402</v>
      </c>
      <c r="AG117" s="391">
        <f ca="1">SUMIF('Lançamento de Cabos'!AE:AK,Tabela1[[#This Row],[Tag do Cabo]],'Lançamento de Cabos'!AG:AG)</f>
        <v>4</v>
      </c>
      <c r="AH117" s="29">
        <f>IFERROR(VLOOKUP(Tabela1[[#This Row],[Tag do Cabo]],'Lançamento de Cabos'!AE:AK,7,0),0)</f>
        <v>1</v>
      </c>
      <c r="AI117" s="262" t="s">
        <v>408</v>
      </c>
      <c r="AJ117" s="212" t="s">
        <v>209</v>
      </c>
      <c r="AK117" s="46" t="s">
        <v>92</v>
      </c>
    </row>
    <row r="118" spans="1:37" s="262" customFormat="1" ht="15" customHeight="1" x14ac:dyDescent="0.2">
      <c r="A118" s="168" t="s">
        <v>498</v>
      </c>
      <c r="B118" s="391" t="s">
        <v>37</v>
      </c>
      <c r="C118" s="391" t="s">
        <v>499</v>
      </c>
      <c r="D118" s="391" t="s">
        <v>80</v>
      </c>
      <c r="E118" s="3" t="s">
        <v>500</v>
      </c>
      <c r="F118" s="11">
        <v>16</v>
      </c>
      <c r="G118" s="391">
        <v>1</v>
      </c>
      <c r="H118" s="391">
        <v>3</v>
      </c>
      <c r="I118" s="391">
        <v>3</v>
      </c>
      <c r="J118" s="391" t="s">
        <v>402</v>
      </c>
      <c r="K118" s="262" t="s">
        <v>496</v>
      </c>
      <c r="L118" s="262" t="s">
        <v>501</v>
      </c>
      <c r="M118" s="22" t="s">
        <v>85</v>
      </c>
      <c r="N118" s="391" t="str">
        <f t="shared" si="3"/>
        <v>Sim</v>
      </c>
      <c r="O118" s="22" t="s">
        <v>86</v>
      </c>
      <c r="P118" s="22" t="s">
        <v>86</v>
      </c>
      <c r="Q118" s="91" t="s">
        <v>284</v>
      </c>
      <c r="R118" s="391">
        <f>SUMIF('Lançamento de Cabos'!$B:$B,Tabela1[[#This Row],[Tag do Cabo]],'Lançamento de Cabos'!$C:$C)</f>
        <v>3</v>
      </c>
      <c r="S118" s="391">
        <f>VLOOKUP(Tabela1[[#This Row],[Tag do Cabo]],'Diagramas Ligações'!A:V,14,0)</f>
        <v>2</v>
      </c>
      <c r="T118" s="262" t="s">
        <v>415</v>
      </c>
      <c r="U118" s="391">
        <v>2</v>
      </c>
      <c r="V118" s="391" t="s">
        <v>406</v>
      </c>
      <c r="W118" s="391" t="s">
        <v>92</v>
      </c>
      <c r="X118" s="391" t="s">
        <v>92</v>
      </c>
      <c r="Y118" s="391" t="s">
        <v>92</v>
      </c>
      <c r="Z118" s="391" t="s">
        <v>92</v>
      </c>
      <c r="AA118" s="45" t="s">
        <v>92</v>
      </c>
      <c r="AB11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8" s="262" t="s">
        <v>407</v>
      </c>
      <c r="AD118" s="391">
        <f>IF(Tabela1[[#This Row],[Qtde. Lançada]]&gt;Tabela1[[#This Row],[Comprimento Total]],Tabela1[[#This Row],[Qtde. Lançada]],Tabela1[[#This Row],[Comprimento Total]])</f>
        <v>3</v>
      </c>
      <c r="AE118" s="391" t="s">
        <v>92</v>
      </c>
      <c r="AF118" s="391" t="s">
        <v>402</v>
      </c>
      <c r="AG118" s="391">
        <f ca="1">SUMIF('Lançamento de Cabos'!AE:AK,Tabela1[[#This Row],[Tag do Cabo]],'Lançamento de Cabos'!AG:AG)</f>
        <v>2</v>
      </c>
      <c r="AH118" s="29">
        <f>IFERROR(VLOOKUP(Tabela1[[#This Row],[Tag do Cabo]],'Lançamento de Cabos'!AE:AK,7,0),0)</f>
        <v>1</v>
      </c>
      <c r="AI118" s="262" t="s">
        <v>416</v>
      </c>
      <c r="AJ118" s="212" t="s">
        <v>261</v>
      </c>
      <c r="AK118" s="46" t="s">
        <v>92</v>
      </c>
    </row>
    <row r="119" spans="1:37" s="262" customFormat="1" ht="15" customHeight="1" x14ac:dyDescent="0.2">
      <c r="A119" s="168" t="s">
        <v>502</v>
      </c>
      <c r="B119" s="391" t="s">
        <v>37</v>
      </c>
      <c r="C119" s="391">
        <v>220</v>
      </c>
      <c r="D119" s="391" t="s">
        <v>80</v>
      </c>
      <c r="E119" s="3" t="s">
        <v>503</v>
      </c>
      <c r="F119" s="11">
        <v>2.5</v>
      </c>
      <c r="G119" s="391">
        <v>1</v>
      </c>
      <c r="H119" s="391">
        <v>3</v>
      </c>
      <c r="I119" s="391">
        <v>3</v>
      </c>
      <c r="J119" s="391" t="s">
        <v>402</v>
      </c>
      <c r="K119" s="262" t="s">
        <v>504</v>
      </c>
      <c r="L119" s="262" t="s">
        <v>505</v>
      </c>
      <c r="M119" s="22" t="s">
        <v>85</v>
      </c>
      <c r="N119" s="23" t="str">
        <f t="shared" si="3"/>
        <v>Sim</v>
      </c>
      <c r="O119" s="22" t="s">
        <v>86</v>
      </c>
      <c r="P119" s="22" t="s">
        <v>86</v>
      </c>
      <c r="Q119" s="391" t="s">
        <v>139</v>
      </c>
      <c r="R119" s="23">
        <f>SUMIF('Lançamento de Cabos'!$B:$B,Tabela1[[#This Row],[Tag do Cabo]],'Lançamento de Cabos'!$C:$C)</f>
        <v>3</v>
      </c>
      <c r="S119" s="391">
        <f>VLOOKUP(Tabela1[[#This Row],[Tag do Cabo]],'Diagramas Ligações'!A:V,14,0)</f>
        <v>6</v>
      </c>
      <c r="T119" s="262" t="s">
        <v>415</v>
      </c>
      <c r="U119" s="391">
        <v>2</v>
      </c>
      <c r="V119" s="391" t="s">
        <v>406</v>
      </c>
      <c r="W119" s="391" t="s">
        <v>92</v>
      </c>
      <c r="X119" s="391" t="s">
        <v>92</v>
      </c>
      <c r="Y119" s="391" t="s">
        <v>92</v>
      </c>
      <c r="Z119" s="391" t="s">
        <v>92</v>
      </c>
      <c r="AA119" s="45" t="s">
        <v>92</v>
      </c>
      <c r="AB11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19" s="262" t="s">
        <v>407</v>
      </c>
      <c r="AD119" s="391">
        <f>IF(Tabela1[[#This Row],[Qtde. Lançada]]&gt;Tabela1[[#This Row],[Comprimento Total]],Tabela1[[#This Row],[Qtde. Lançada]],Tabela1[[#This Row],[Comprimento Total]])</f>
        <v>3</v>
      </c>
      <c r="AE119" s="391" t="s">
        <v>92</v>
      </c>
      <c r="AF119" s="391" t="s">
        <v>402</v>
      </c>
      <c r="AG119" s="391">
        <f ca="1">SUMIF('Lançamento de Cabos'!AE:AK,Tabela1[[#This Row],[Tag do Cabo]],'Lançamento de Cabos'!AG:AG)</f>
        <v>6</v>
      </c>
      <c r="AH119" s="29">
        <f>IFERROR(VLOOKUP(Tabela1[[#This Row],[Tag do Cabo]],'Lançamento de Cabos'!AE:AK,7,0),0)</f>
        <v>1</v>
      </c>
      <c r="AI119" s="262" t="s">
        <v>416</v>
      </c>
      <c r="AJ119" s="212" t="s">
        <v>126</v>
      </c>
      <c r="AK119" s="46" t="s">
        <v>92</v>
      </c>
    </row>
    <row r="120" spans="1:37" s="262" customFormat="1" ht="15" customHeight="1" x14ac:dyDescent="0.2">
      <c r="A120" s="168" t="s">
        <v>506</v>
      </c>
      <c r="B120" s="391" t="s">
        <v>37</v>
      </c>
      <c r="C120" s="391">
        <v>220</v>
      </c>
      <c r="D120" s="391" t="s">
        <v>80</v>
      </c>
      <c r="E120" s="3" t="s">
        <v>503</v>
      </c>
      <c r="F120" s="11">
        <v>2.5</v>
      </c>
      <c r="G120" s="391">
        <v>1</v>
      </c>
      <c r="H120" s="391">
        <v>20</v>
      </c>
      <c r="I120" s="391">
        <v>20</v>
      </c>
      <c r="J120" s="391" t="s">
        <v>402</v>
      </c>
      <c r="K120" s="262" t="s">
        <v>413</v>
      </c>
      <c r="L120" s="262" t="s">
        <v>418</v>
      </c>
      <c r="M120" s="22" t="s">
        <v>85</v>
      </c>
      <c r="N120" s="23" t="str">
        <f t="shared" si="3"/>
        <v>Sim</v>
      </c>
      <c r="O120" s="22" t="s">
        <v>86</v>
      </c>
      <c r="P120" s="22" t="s">
        <v>86</v>
      </c>
      <c r="Q120" s="391" t="s">
        <v>139</v>
      </c>
      <c r="R120" s="23">
        <f>SUMIF('Lançamento de Cabos'!$B:$B,Tabela1[[#This Row],[Tag do Cabo]],'Lançamento de Cabos'!$C:$C)</f>
        <v>20</v>
      </c>
      <c r="S120" s="391">
        <f>VLOOKUP(Tabela1[[#This Row],[Tag do Cabo]],'Diagramas Ligações'!A:V,14,0)</f>
        <v>6</v>
      </c>
      <c r="T120" s="262" t="s">
        <v>415</v>
      </c>
      <c r="U120" s="391">
        <v>2</v>
      </c>
      <c r="V120" s="391" t="s">
        <v>406</v>
      </c>
      <c r="W120" s="391" t="s">
        <v>92</v>
      </c>
      <c r="X120" s="391" t="s">
        <v>92</v>
      </c>
      <c r="Y120" s="391" t="s">
        <v>92</v>
      </c>
      <c r="Z120" s="391" t="s">
        <v>92</v>
      </c>
      <c r="AA120" s="45" t="s">
        <v>92</v>
      </c>
      <c r="AB12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0" s="262" t="s">
        <v>407</v>
      </c>
      <c r="AD120" s="391">
        <f>IF(Tabela1[[#This Row],[Qtde. Lançada]]&gt;Tabela1[[#This Row],[Comprimento Total]],Tabela1[[#This Row],[Qtde. Lançada]],Tabela1[[#This Row],[Comprimento Total]])</f>
        <v>20</v>
      </c>
      <c r="AE120" s="391" t="s">
        <v>92</v>
      </c>
      <c r="AF120" s="391" t="s">
        <v>402</v>
      </c>
      <c r="AG120" s="391">
        <f ca="1">SUMIF('Lançamento de Cabos'!AE:AK,Tabela1[[#This Row],[Tag do Cabo]],'Lançamento de Cabos'!AG:AG)</f>
        <v>6</v>
      </c>
      <c r="AH120" s="29">
        <f>IFERROR(VLOOKUP(Tabela1[[#This Row],[Tag do Cabo]],'Lançamento de Cabos'!AE:AK,7,0),0)</f>
        <v>1</v>
      </c>
      <c r="AI120" s="262" t="s">
        <v>416</v>
      </c>
      <c r="AJ120" s="212" t="s">
        <v>126</v>
      </c>
      <c r="AK120" s="46" t="s">
        <v>92</v>
      </c>
    </row>
    <row r="121" spans="1:37" s="262" customFormat="1" ht="15" customHeight="1" x14ac:dyDescent="0.2">
      <c r="A121" s="168" t="s">
        <v>507</v>
      </c>
      <c r="B121" s="391" t="s">
        <v>37</v>
      </c>
      <c r="C121" s="391">
        <v>220</v>
      </c>
      <c r="D121" s="391" t="s">
        <v>80</v>
      </c>
      <c r="E121" s="3" t="s">
        <v>503</v>
      </c>
      <c r="F121" s="11">
        <v>2.5</v>
      </c>
      <c r="G121" s="391">
        <v>1</v>
      </c>
      <c r="H121" s="391">
        <v>8</v>
      </c>
      <c r="I121" s="391">
        <v>8</v>
      </c>
      <c r="J121" s="391" t="s">
        <v>402</v>
      </c>
      <c r="K121" s="262" t="s">
        <v>424</v>
      </c>
      <c r="L121" s="262" t="s">
        <v>426</v>
      </c>
      <c r="M121" s="22" t="s">
        <v>85</v>
      </c>
      <c r="N121" s="23" t="str">
        <f t="shared" si="3"/>
        <v>Sim</v>
      </c>
      <c r="O121" s="22" t="s">
        <v>86</v>
      </c>
      <c r="P121" s="22" t="s">
        <v>86</v>
      </c>
      <c r="Q121" s="391" t="s">
        <v>139</v>
      </c>
      <c r="R121" s="23">
        <f>SUMIF('Lançamento de Cabos'!$B:$B,Tabela1[[#This Row],[Tag do Cabo]],'Lançamento de Cabos'!$C:$C)</f>
        <v>8</v>
      </c>
      <c r="S121" s="391">
        <f>VLOOKUP(Tabela1[[#This Row],[Tag do Cabo]],'Diagramas Ligações'!A:V,14,0)</f>
        <v>6</v>
      </c>
      <c r="T121" s="262" t="s">
        <v>415</v>
      </c>
      <c r="U121" s="391">
        <v>2</v>
      </c>
      <c r="V121" s="391" t="s">
        <v>406</v>
      </c>
      <c r="W121" s="391" t="s">
        <v>92</v>
      </c>
      <c r="X121" s="391" t="s">
        <v>92</v>
      </c>
      <c r="Y121" s="391" t="s">
        <v>92</v>
      </c>
      <c r="Z121" s="391" t="s">
        <v>92</v>
      </c>
      <c r="AA121" s="45" t="s">
        <v>92</v>
      </c>
      <c r="AB12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1" s="262" t="s">
        <v>407</v>
      </c>
      <c r="AD121" s="391">
        <f>IF(Tabela1[[#This Row],[Qtde. Lançada]]&gt;Tabela1[[#This Row],[Comprimento Total]],Tabela1[[#This Row],[Qtde. Lançada]],Tabela1[[#This Row],[Comprimento Total]])</f>
        <v>8</v>
      </c>
      <c r="AE121" s="391" t="s">
        <v>92</v>
      </c>
      <c r="AF121" s="391" t="s">
        <v>402</v>
      </c>
      <c r="AG121" s="391">
        <f ca="1">SUMIF('Lançamento de Cabos'!AE:AK,Tabela1[[#This Row],[Tag do Cabo]],'Lançamento de Cabos'!AG:AG)</f>
        <v>6</v>
      </c>
      <c r="AH121" s="29">
        <f>IFERROR(VLOOKUP(Tabela1[[#This Row],[Tag do Cabo]],'Lançamento de Cabos'!AE:AK,7,0),0)</f>
        <v>1</v>
      </c>
      <c r="AI121" s="262" t="s">
        <v>416</v>
      </c>
      <c r="AJ121" s="212" t="s">
        <v>95</v>
      </c>
      <c r="AK121" s="46" t="s">
        <v>92</v>
      </c>
    </row>
    <row r="122" spans="1:37" s="262" customFormat="1" ht="15" customHeight="1" x14ac:dyDescent="0.2">
      <c r="A122" s="168" t="s">
        <v>508</v>
      </c>
      <c r="B122" s="391" t="s">
        <v>37</v>
      </c>
      <c r="C122" s="391">
        <v>220</v>
      </c>
      <c r="D122" s="391" t="s">
        <v>80</v>
      </c>
      <c r="E122" s="3" t="s">
        <v>503</v>
      </c>
      <c r="F122" s="11">
        <v>2.5</v>
      </c>
      <c r="G122" s="391">
        <v>1</v>
      </c>
      <c r="H122" s="391">
        <v>25</v>
      </c>
      <c r="I122" s="391">
        <v>25</v>
      </c>
      <c r="J122" s="391" t="s">
        <v>402</v>
      </c>
      <c r="K122" s="262" t="s">
        <v>429</v>
      </c>
      <c r="L122" s="262" t="s">
        <v>431</v>
      </c>
      <c r="M122" s="22" t="s">
        <v>85</v>
      </c>
      <c r="N122" s="23" t="str">
        <f t="shared" si="3"/>
        <v>Sim</v>
      </c>
      <c r="O122" s="22" t="s">
        <v>86</v>
      </c>
      <c r="P122" s="22" t="s">
        <v>86</v>
      </c>
      <c r="Q122" s="391" t="s">
        <v>139</v>
      </c>
      <c r="R122" s="23">
        <f>SUMIF('Lançamento de Cabos'!$B:$B,Tabela1[[#This Row],[Tag do Cabo]],'Lançamento de Cabos'!$C:$C)</f>
        <v>25</v>
      </c>
      <c r="S122" s="391">
        <f>VLOOKUP(Tabela1[[#This Row],[Tag do Cabo]],'Diagramas Ligações'!A:V,14,0)</f>
        <v>6</v>
      </c>
      <c r="T122" s="262" t="s">
        <v>415</v>
      </c>
      <c r="U122" s="391">
        <v>2</v>
      </c>
      <c r="V122" s="391" t="s">
        <v>406</v>
      </c>
      <c r="W122" s="391" t="s">
        <v>92</v>
      </c>
      <c r="X122" s="391" t="s">
        <v>92</v>
      </c>
      <c r="Y122" s="391" t="s">
        <v>92</v>
      </c>
      <c r="Z122" s="391" t="s">
        <v>92</v>
      </c>
      <c r="AA122" s="45" t="s">
        <v>92</v>
      </c>
      <c r="AB12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2" s="262" t="s">
        <v>407</v>
      </c>
      <c r="AD122" s="391">
        <f>IF(Tabela1[[#This Row],[Qtde. Lançada]]&gt;Tabela1[[#This Row],[Comprimento Total]],Tabela1[[#This Row],[Qtde. Lançada]],Tabela1[[#This Row],[Comprimento Total]])</f>
        <v>25</v>
      </c>
      <c r="AE122" s="391" t="s">
        <v>92</v>
      </c>
      <c r="AF122" s="391" t="s">
        <v>402</v>
      </c>
      <c r="AG122" s="391">
        <f ca="1">SUMIF('Lançamento de Cabos'!AE:AK,Tabela1[[#This Row],[Tag do Cabo]],'Lançamento de Cabos'!AG:AG)</f>
        <v>6</v>
      </c>
      <c r="AH122" s="29">
        <f>IFERROR(VLOOKUP(Tabela1[[#This Row],[Tag do Cabo]],'Lançamento de Cabos'!AE:AK,7,0),0)</f>
        <v>1</v>
      </c>
      <c r="AI122" s="262" t="s">
        <v>416</v>
      </c>
      <c r="AJ122" s="212" t="s">
        <v>95</v>
      </c>
      <c r="AK122" s="46" t="s">
        <v>92</v>
      </c>
    </row>
    <row r="123" spans="1:37" s="262" customFormat="1" ht="15" customHeight="1" x14ac:dyDescent="0.2">
      <c r="A123" s="168" t="s">
        <v>509</v>
      </c>
      <c r="B123" s="391" t="s">
        <v>37</v>
      </c>
      <c r="C123" s="391">
        <v>480</v>
      </c>
      <c r="D123" s="391" t="s">
        <v>80</v>
      </c>
      <c r="E123" s="3" t="s">
        <v>510</v>
      </c>
      <c r="F123" s="11">
        <v>6</v>
      </c>
      <c r="G123" s="391">
        <v>1</v>
      </c>
      <c r="H123" s="391">
        <v>13</v>
      </c>
      <c r="I123" s="391">
        <v>13</v>
      </c>
      <c r="J123" s="391" t="s">
        <v>402</v>
      </c>
      <c r="K123" s="262" t="s">
        <v>497</v>
      </c>
      <c r="L123" s="262" t="s">
        <v>511</v>
      </c>
      <c r="M123" s="22" t="s">
        <v>85</v>
      </c>
      <c r="N123" s="22" t="s">
        <v>86</v>
      </c>
      <c r="O123" s="391" t="str">
        <f>"Sim"</f>
        <v>Sim</v>
      </c>
      <c r="P123" s="22" t="s">
        <v>86</v>
      </c>
      <c r="Q123" s="91" t="s">
        <v>270</v>
      </c>
      <c r="R123" s="391">
        <f>SUMIF('Lançamento de Cabos'!$B:$B,Tabela1[[#This Row],[Tag do Cabo]],'Lançamento de Cabos'!$C:$C)</f>
        <v>21</v>
      </c>
      <c r="S123" s="391">
        <f>VLOOKUP(Tabela1[[#This Row],[Tag do Cabo]],'Diagramas Ligações'!A:V,14,0)</f>
        <v>6</v>
      </c>
      <c r="T123" s="262" t="s">
        <v>415</v>
      </c>
      <c r="U123" s="391">
        <v>2</v>
      </c>
      <c r="V123" s="391" t="s">
        <v>406</v>
      </c>
      <c r="W123" s="391" t="s">
        <v>92</v>
      </c>
      <c r="X123" s="391" t="s">
        <v>92</v>
      </c>
      <c r="Y123" s="391" t="s">
        <v>92</v>
      </c>
      <c r="Z123" s="391" t="s">
        <v>92</v>
      </c>
      <c r="AA123" s="45" t="s">
        <v>92</v>
      </c>
      <c r="AB12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3" s="262" t="s">
        <v>407</v>
      </c>
      <c r="AD123" s="391">
        <f>IF(Tabela1[[#This Row],[Qtde. Lançada]]&gt;Tabela1[[#This Row],[Comprimento Total]],Tabela1[[#This Row],[Qtde. Lançada]],Tabela1[[#This Row],[Comprimento Total]])</f>
        <v>21</v>
      </c>
      <c r="AE123" s="391" t="s">
        <v>92</v>
      </c>
      <c r="AF123" s="391" t="s">
        <v>402</v>
      </c>
      <c r="AG123" s="391">
        <f ca="1">SUMIF('Lançamento de Cabos'!AE:AK,Tabela1[[#This Row],[Tag do Cabo]],'Lançamento de Cabos'!AG:AG)</f>
        <v>3</v>
      </c>
      <c r="AH123" s="29">
        <f>IFERROR(VLOOKUP(Tabela1[[#This Row],[Tag do Cabo]],'Lançamento de Cabos'!AE:AK,7,0),0)</f>
        <v>0.5</v>
      </c>
      <c r="AI123" s="262" t="s">
        <v>416</v>
      </c>
      <c r="AJ123" s="212" t="s">
        <v>209</v>
      </c>
      <c r="AK123" s="46" t="s">
        <v>92</v>
      </c>
    </row>
    <row r="124" spans="1:37" s="262" customFormat="1" ht="15" customHeight="1" x14ac:dyDescent="0.2">
      <c r="A124" s="168" t="s">
        <v>512</v>
      </c>
      <c r="B124" s="391" t="s">
        <v>37</v>
      </c>
      <c r="C124" s="391">
        <v>480</v>
      </c>
      <c r="D124" s="391" t="s">
        <v>80</v>
      </c>
      <c r="E124" s="3" t="s">
        <v>510</v>
      </c>
      <c r="F124" s="11">
        <v>6</v>
      </c>
      <c r="G124" s="391">
        <v>1</v>
      </c>
      <c r="H124" s="391">
        <v>15</v>
      </c>
      <c r="I124" s="391">
        <v>15</v>
      </c>
      <c r="J124" s="391" t="s">
        <v>402</v>
      </c>
      <c r="K124" s="262" t="s">
        <v>497</v>
      </c>
      <c r="L124" s="262" t="s">
        <v>513</v>
      </c>
      <c r="M124" s="22" t="s">
        <v>85</v>
      </c>
      <c r="N124" s="22" t="s">
        <v>86</v>
      </c>
      <c r="O124" s="391" t="str">
        <f>"Sim"</f>
        <v>Sim</v>
      </c>
      <c r="P124" s="22" t="s">
        <v>86</v>
      </c>
      <c r="Q124" s="91" t="s">
        <v>270</v>
      </c>
      <c r="R124" s="391">
        <f>SUMIF('Lançamento de Cabos'!$B:$B,Tabela1[[#This Row],[Tag do Cabo]],'Lançamento de Cabos'!$C:$C)</f>
        <v>21</v>
      </c>
      <c r="S124" s="391">
        <f>VLOOKUP(Tabela1[[#This Row],[Tag do Cabo]],'Diagramas Ligações'!A:V,14,0)</f>
        <v>6</v>
      </c>
      <c r="T124" s="262" t="s">
        <v>415</v>
      </c>
      <c r="U124" s="391">
        <v>2</v>
      </c>
      <c r="V124" s="391" t="s">
        <v>406</v>
      </c>
      <c r="W124" s="391" t="s">
        <v>92</v>
      </c>
      <c r="X124" s="391" t="s">
        <v>92</v>
      </c>
      <c r="Y124" s="391" t="s">
        <v>92</v>
      </c>
      <c r="Z124" s="391" t="s">
        <v>92</v>
      </c>
      <c r="AA124" s="45" t="s">
        <v>92</v>
      </c>
      <c r="AB12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4" s="262" t="s">
        <v>407</v>
      </c>
      <c r="AD124" s="391">
        <f>IF(Tabela1[[#This Row],[Qtde. Lançada]]&gt;Tabela1[[#This Row],[Comprimento Total]],Tabela1[[#This Row],[Qtde. Lançada]],Tabela1[[#This Row],[Comprimento Total]])</f>
        <v>21</v>
      </c>
      <c r="AE124" s="391" t="s">
        <v>92</v>
      </c>
      <c r="AF124" s="391" t="s">
        <v>402</v>
      </c>
      <c r="AG124" s="391">
        <f ca="1">SUMIF('Lançamento de Cabos'!AE:AK,Tabela1[[#This Row],[Tag do Cabo]],'Lançamento de Cabos'!AG:AG)</f>
        <v>3</v>
      </c>
      <c r="AH124" s="29">
        <f>IFERROR(VLOOKUP(Tabela1[[#This Row],[Tag do Cabo]],'Lançamento de Cabos'!AE:AK,7,0),0)</f>
        <v>0.5</v>
      </c>
      <c r="AI124" s="262" t="s">
        <v>416</v>
      </c>
      <c r="AJ124" s="212" t="s">
        <v>209</v>
      </c>
      <c r="AK124" s="46" t="s">
        <v>92</v>
      </c>
    </row>
    <row r="125" spans="1:37" s="262" customFormat="1" ht="15" customHeight="1" x14ac:dyDescent="0.2">
      <c r="A125" s="168" t="s">
        <v>514</v>
      </c>
      <c r="B125" s="391" t="s">
        <v>37</v>
      </c>
      <c r="C125" s="391">
        <v>480</v>
      </c>
      <c r="D125" s="391" t="s">
        <v>80</v>
      </c>
      <c r="E125" s="3" t="s">
        <v>515</v>
      </c>
      <c r="F125" s="11">
        <v>2.5</v>
      </c>
      <c r="G125" s="391">
        <v>1</v>
      </c>
      <c r="H125" s="391">
        <v>10</v>
      </c>
      <c r="I125" s="391">
        <v>10</v>
      </c>
      <c r="J125" s="391" t="s">
        <v>402</v>
      </c>
      <c r="K125" s="262" t="s">
        <v>497</v>
      </c>
      <c r="L125" s="262" t="s">
        <v>496</v>
      </c>
      <c r="M125" s="22" t="s">
        <v>85</v>
      </c>
      <c r="N125" s="391" t="str">
        <f t="shared" ref="N125:N141" si="4">"Sim"</f>
        <v>Sim</v>
      </c>
      <c r="O125" s="22" t="s">
        <v>86</v>
      </c>
      <c r="P125" s="22" t="s">
        <v>86</v>
      </c>
      <c r="Q125" s="91" t="s">
        <v>139</v>
      </c>
      <c r="R125" s="391">
        <f>SUMIF('Lançamento de Cabos'!$B:$B,Tabela1[[#This Row],[Tag do Cabo]],'Lançamento de Cabos'!$C:$C)</f>
        <v>10</v>
      </c>
      <c r="S125" s="391">
        <f>VLOOKUP(Tabela1[[#This Row],[Tag do Cabo]],'Diagramas Ligações'!A:V,14,0)</f>
        <v>2</v>
      </c>
      <c r="T125" s="262" t="s">
        <v>415</v>
      </c>
      <c r="U125" s="391">
        <v>2</v>
      </c>
      <c r="V125" s="391" t="s">
        <v>406</v>
      </c>
      <c r="W125" s="391" t="s">
        <v>92</v>
      </c>
      <c r="X125" s="391" t="s">
        <v>92</v>
      </c>
      <c r="Y125" s="391" t="s">
        <v>92</v>
      </c>
      <c r="Z125" s="391" t="s">
        <v>92</v>
      </c>
      <c r="AA125" s="45" t="s">
        <v>92</v>
      </c>
      <c r="AB12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5" s="262" t="s">
        <v>407</v>
      </c>
      <c r="AD125" s="391">
        <f>IF(Tabela1[[#This Row],[Qtde. Lançada]]&gt;Tabela1[[#This Row],[Comprimento Total]],Tabela1[[#This Row],[Qtde. Lançada]],Tabela1[[#This Row],[Comprimento Total]])</f>
        <v>10</v>
      </c>
      <c r="AE125" s="391" t="s">
        <v>92</v>
      </c>
      <c r="AF125" s="391" t="s">
        <v>402</v>
      </c>
      <c r="AG125" s="391">
        <f ca="1">SUMIF('Lançamento de Cabos'!AE:AK,Tabela1[[#This Row],[Tag do Cabo]],'Lançamento de Cabos'!AG:AG)</f>
        <v>2</v>
      </c>
      <c r="AH125" s="29">
        <f>IFERROR(VLOOKUP(Tabela1[[#This Row],[Tag do Cabo]],'Lançamento de Cabos'!AE:AK,7,0),0)</f>
        <v>1</v>
      </c>
      <c r="AI125" s="262" t="s">
        <v>416</v>
      </c>
      <c r="AJ125" s="212" t="s">
        <v>209</v>
      </c>
      <c r="AK125" s="46" t="s">
        <v>92</v>
      </c>
    </row>
    <row r="126" spans="1:37" s="262" customFormat="1" ht="15" customHeight="1" x14ac:dyDescent="0.2">
      <c r="A126" s="168" t="s">
        <v>516</v>
      </c>
      <c r="B126" s="391" t="s">
        <v>37</v>
      </c>
      <c r="C126" s="391">
        <v>220</v>
      </c>
      <c r="D126" s="391" t="s">
        <v>80</v>
      </c>
      <c r="E126" s="3" t="s">
        <v>503</v>
      </c>
      <c r="F126" s="11">
        <v>2.5</v>
      </c>
      <c r="G126" s="391">
        <v>1</v>
      </c>
      <c r="H126" s="391">
        <v>19</v>
      </c>
      <c r="I126" s="391">
        <v>19</v>
      </c>
      <c r="J126" s="391" t="s">
        <v>402</v>
      </c>
      <c r="K126" s="262" t="s">
        <v>517</v>
      </c>
      <c r="L126" s="262" t="s">
        <v>518</v>
      </c>
      <c r="M126" s="22" t="s">
        <v>85</v>
      </c>
      <c r="N126" s="391" t="str">
        <f t="shared" si="4"/>
        <v>Sim</v>
      </c>
      <c r="O126" s="22" t="s">
        <v>86</v>
      </c>
      <c r="P126" s="22" t="s">
        <v>86</v>
      </c>
      <c r="Q126" s="91" t="s">
        <v>139</v>
      </c>
      <c r="R126" s="391">
        <f>SUMIF('Lançamento de Cabos'!$B:$B,Tabela1[[#This Row],[Tag do Cabo]],'Lançamento de Cabos'!$C:$C)</f>
        <v>21</v>
      </c>
      <c r="S126" s="391">
        <f>VLOOKUP(Tabela1[[#This Row],[Tag do Cabo]],'Diagramas Ligações'!A:V,14,0)</f>
        <v>6</v>
      </c>
      <c r="T126" s="262" t="s">
        <v>415</v>
      </c>
      <c r="U126" s="391">
        <v>2</v>
      </c>
      <c r="V126" s="391" t="s">
        <v>406</v>
      </c>
      <c r="W126" s="391" t="s">
        <v>92</v>
      </c>
      <c r="X126" s="391" t="s">
        <v>92</v>
      </c>
      <c r="Y126" s="391" t="s">
        <v>92</v>
      </c>
      <c r="Z126" s="391" t="s">
        <v>92</v>
      </c>
      <c r="AA126" s="45" t="s">
        <v>92</v>
      </c>
      <c r="AB12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6" s="262" t="s">
        <v>407</v>
      </c>
      <c r="AD126" s="391">
        <f>IF(Tabela1[[#This Row],[Qtde. Lançada]]&gt;Tabela1[[#This Row],[Comprimento Total]],Tabela1[[#This Row],[Qtde. Lançada]],Tabela1[[#This Row],[Comprimento Total]])</f>
        <v>21</v>
      </c>
      <c r="AE126" s="391" t="s">
        <v>92</v>
      </c>
      <c r="AF126" s="391" t="s">
        <v>402</v>
      </c>
      <c r="AG126" s="391">
        <f ca="1">SUMIF('Lançamento de Cabos'!AE:AK,Tabela1[[#This Row],[Tag do Cabo]],'Lançamento de Cabos'!AG:AG)</f>
        <v>6</v>
      </c>
      <c r="AH126" s="29">
        <f>IFERROR(VLOOKUP(Tabela1[[#This Row],[Tag do Cabo]],'Lançamento de Cabos'!AE:AK,7,0),0)</f>
        <v>1</v>
      </c>
      <c r="AI126" s="262" t="s">
        <v>416</v>
      </c>
      <c r="AJ126" s="212" t="s">
        <v>126</v>
      </c>
      <c r="AK126" s="46" t="s">
        <v>92</v>
      </c>
    </row>
    <row r="127" spans="1:37" s="262" customFormat="1" ht="15" customHeight="1" x14ac:dyDescent="0.2">
      <c r="A127" s="168" t="s">
        <v>519</v>
      </c>
      <c r="B127" s="391" t="s">
        <v>37</v>
      </c>
      <c r="C127" s="391">
        <v>220</v>
      </c>
      <c r="D127" s="391" t="s">
        <v>80</v>
      </c>
      <c r="E127" s="3" t="s">
        <v>503</v>
      </c>
      <c r="F127" s="11">
        <v>2.5</v>
      </c>
      <c r="G127" s="391">
        <v>1</v>
      </c>
      <c r="H127" s="391">
        <v>34</v>
      </c>
      <c r="I127" s="391">
        <v>34</v>
      </c>
      <c r="J127" s="391" t="s">
        <v>402</v>
      </c>
      <c r="K127" s="262" t="s">
        <v>517</v>
      </c>
      <c r="L127" s="262" t="s">
        <v>413</v>
      </c>
      <c r="M127" s="22" t="s">
        <v>85</v>
      </c>
      <c r="N127" s="391" t="str">
        <f t="shared" si="4"/>
        <v>Sim</v>
      </c>
      <c r="O127" s="22" t="s">
        <v>86</v>
      </c>
      <c r="P127" s="22" t="s">
        <v>86</v>
      </c>
      <c r="Q127" s="91" t="s">
        <v>139</v>
      </c>
      <c r="R127" s="391">
        <f>SUMIF('Lançamento de Cabos'!$B:$B,Tabela1[[#This Row],[Tag do Cabo]],'Lançamento de Cabos'!$C:$C)</f>
        <v>34</v>
      </c>
      <c r="S127" s="391">
        <f>VLOOKUP(Tabela1[[#This Row],[Tag do Cabo]],'Diagramas Ligações'!A:V,14,0)</f>
        <v>6</v>
      </c>
      <c r="T127" s="262" t="s">
        <v>415</v>
      </c>
      <c r="U127" s="391">
        <v>2</v>
      </c>
      <c r="V127" s="391" t="s">
        <v>406</v>
      </c>
      <c r="W127" s="391" t="s">
        <v>92</v>
      </c>
      <c r="X127" s="391" t="s">
        <v>92</v>
      </c>
      <c r="Y127" s="391" t="s">
        <v>92</v>
      </c>
      <c r="Z127" s="391" t="s">
        <v>92</v>
      </c>
      <c r="AA127" s="45" t="s">
        <v>92</v>
      </c>
      <c r="AB12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7" s="262" t="s">
        <v>407</v>
      </c>
      <c r="AD127" s="391">
        <f>IF(Tabela1[[#This Row],[Qtde. Lançada]]&gt;Tabela1[[#This Row],[Comprimento Total]],Tabela1[[#This Row],[Qtde. Lançada]],Tabela1[[#This Row],[Comprimento Total]])</f>
        <v>34</v>
      </c>
      <c r="AE127" s="391" t="s">
        <v>92</v>
      </c>
      <c r="AF127" s="391" t="s">
        <v>402</v>
      </c>
      <c r="AG127" s="391">
        <f ca="1">SUMIF('Lançamento de Cabos'!AE:AK,Tabela1[[#This Row],[Tag do Cabo]],'Lançamento de Cabos'!AG:AG)</f>
        <v>6</v>
      </c>
      <c r="AH127" s="29">
        <f>IFERROR(VLOOKUP(Tabela1[[#This Row],[Tag do Cabo]],'Lançamento de Cabos'!AE:AK,7,0),0)</f>
        <v>1</v>
      </c>
      <c r="AI127" s="262" t="s">
        <v>416</v>
      </c>
      <c r="AJ127" s="212" t="s">
        <v>126</v>
      </c>
      <c r="AK127" s="46" t="s">
        <v>92</v>
      </c>
    </row>
    <row r="128" spans="1:37" s="262" customFormat="1" ht="15" customHeight="1" x14ac:dyDescent="0.2">
      <c r="A128" s="168" t="s">
        <v>520</v>
      </c>
      <c r="B128" s="391" t="s">
        <v>37</v>
      </c>
      <c r="C128" s="391">
        <v>220</v>
      </c>
      <c r="D128" s="391" t="s">
        <v>80</v>
      </c>
      <c r="E128" s="3" t="s">
        <v>503</v>
      </c>
      <c r="F128" s="11">
        <v>2.5</v>
      </c>
      <c r="G128" s="391">
        <v>1</v>
      </c>
      <c r="H128" s="391">
        <v>24</v>
      </c>
      <c r="I128" s="391">
        <v>24</v>
      </c>
      <c r="J128" s="391" t="s">
        <v>402</v>
      </c>
      <c r="K128" s="262" t="s">
        <v>517</v>
      </c>
      <c r="L128" s="262" t="s">
        <v>424</v>
      </c>
      <c r="M128" s="22" t="s">
        <v>85</v>
      </c>
      <c r="N128" s="391" t="str">
        <f t="shared" si="4"/>
        <v>Sim</v>
      </c>
      <c r="O128" s="22" t="s">
        <v>86</v>
      </c>
      <c r="P128" s="22" t="s">
        <v>86</v>
      </c>
      <c r="Q128" s="91" t="s">
        <v>139</v>
      </c>
      <c r="R128" s="391">
        <f>SUMIF('Lançamento de Cabos'!$B:$B,Tabela1[[#This Row],[Tag do Cabo]],'Lançamento de Cabos'!$C:$C)</f>
        <v>24</v>
      </c>
      <c r="S128" s="391">
        <f>VLOOKUP(Tabela1[[#This Row],[Tag do Cabo]],'Diagramas Ligações'!A:V,14,0)</f>
        <v>6</v>
      </c>
      <c r="T128" s="262" t="s">
        <v>415</v>
      </c>
      <c r="U128" s="391">
        <v>2</v>
      </c>
      <c r="V128" s="391" t="s">
        <v>406</v>
      </c>
      <c r="W128" s="391" t="s">
        <v>92</v>
      </c>
      <c r="X128" s="391" t="s">
        <v>92</v>
      </c>
      <c r="Y128" s="391" t="s">
        <v>92</v>
      </c>
      <c r="Z128" s="391" t="s">
        <v>92</v>
      </c>
      <c r="AA128" s="45" t="s">
        <v>92</v>
      </c>
      <c r="AB12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8" s="262" t="s">
        <v>407</v>
      </c>
      <c r="AD128" s="391">
        <f>IF(Tabela1[[#This Row],[Qtde. Lançada]]&gt;Tabela1[[#This Row],[Comprimento Total]],Tabela1[[#This Row],[Qtde. Lançada]],Tabela1[[#This Row],[Comprimento Total]])</f>
        <v>24</v>
      </c>
      <c r="AE128" s="391" t="s">
        <v>92</v>
      </c>
      <c r="AF128" s="391" t="s">
        <v>402</v>
      </c>
      <c r="AG128" s="391">
        <f ca="1">SUMIF('Lançamento de Cabos'!AE:AK,Tabela1[[#This Row],[Tag do Cabo]],'Lançamento de Cabos'!AG:AG)</f>
        <v>6</v>
      </c>
      <c r="AH128" s="29">
        <f>IFERROR(VLOOKUP(Tabela1[[#This Row],[Tag do Cabo]],'Lançamento de Cabos'!AE:AK,7,0),0)</f>
        <v>1</v>
      </c>
      <c r="AI128" s="262" t="s">
        <v>416</v>
      </c>
      <c r="AJ128" s="212" t="s">
        <v>126</v>
      </c>
      <c r="AK128" s="46" t="s">
        <v>92</v>
      </c>
    </row>
    <row r="129" spans="1:37" s="262" customFormat="1" ht="15" customHeight="1" x14ac:dyDescent="0.2">
      <c r="A129" s="168" t="s">
        <v>521</v>
      </c>
      <c r="B129" s="391" t="s">
        <v>37</v>
      </c>
      <c r="C129" s="391">
        <v>220</v>
      </c>
      <c r="D129" s="391" t="s">
        <v>80</v>
      </c>
      <c r="E129" s="3" t="s">
        <v>503</v>
      </c>
      <c r="F129" s="11">
        <v>2.5</v>
      </c>
      <c r="G129" s="391">
        <v>1</v>
      </c>
      <c r="H129" s="391">
        <v>23</v>
      </c>
      <c r="I129" s="391">
        <v>23</v>
      </c>
      <c r="J129" s="391" t="s">
        <v>402</v>
      </c>
      <c r="K129" s="262" t="s">
        <v>517</v>
      </c>
      <c r="L129" s="262" t="s">
        <v>429</v>
      </c>
      <c r="M129" s="22" t="s">
        <v>85</v>
      </c>
      <c r="N129" s="391" t="str">
        <f t="shared" si="4"/>
        <v>Sim</v>
      </c>
      <c r="O129" s="22" t="s">
        <v>86</v>
      </c>
      <c r="P129" s="22" t="s">
        <v>86</v>
      </c>
      <c r="Q129" s="91" t="s">
        <v>139</v>
      </c>
      <c r="R129" s="391">
        <f>SUMIF('Lançamento de Cabos'!$B:$B,Tabela1[[#This Row],[Tag do Cabo]],'Lançamento de Cabos'!$C:$C)</f>
        <v>23</v>
      </c>
      <c r="S129" s="391">
        <f>VLOOKUP(Tabela1[[#This Row],[Tag do Cabo]],'Diagramas Ligações'!A:V,14,0)</f>
        <v>6</v>
      </c>
      <c r="T129" s="262" t="s">
        <v>415</v>
      </c>
      <c r="U129" s="391">
        <v>2</v>
      </c>
      <c r="V129" s="391" t="s">
        <v>406</v>
      </c>
      <c r="W129" s="391" t="s">
        <v>92</v>
      </c>
      <c r="X129" s="391" t="s">
        <v>92</v>
      </c>
      <c r="Y129" s="391" t="s">
        <v>92</v>
      </c>
      <c r="Z129" s="391" t="s">
        <v>92</v>
      </c>
      <c r="AA129" s="45" t="s">
        <v>92</v>
      </c>
      <c r="AB12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29" s="262" t="s">
        <v>407</v>
      </c>
      <c r="AD129" s="391">
        <f>IF(Tabela1[[#This Row],[Qtde. Lançada]]&gt;Tabela1[[#This Row],[Comprimento Total]],Tabela1[[#This Row],[Qtde. Lançada]],Tabela1[[#This Row],[Comprimento Total]])</f>
        <v>23</v>
      </c>
      <c r="AE129" s="391" t="s">
        <v>92</v>
      </c>
      <c r="AF129" s="391" t="s">
        <v>402</v>
      </c>
      <c r="AG129" s="391">
        <f ca="1">SUMIF('Lançamento de Cabos'!AE:AK,Tabela1[[#This Row],[Tag do Cabo]],'Lançamento de Cabos'!AG:AG)</f>
        <v>6</v>
      </c>
      <c r="AH129" s="29">
        <f>IFERROR(VLOOKUP(Tabela1[[#This Row],[Tag do Cabo]],'Lançamento de Cabos'!AE:AK,7,0),0)</f>
        <v>1</v>
      </c>
      <c r="AI129" s="262" t="s">
        <v>416</v>
      </c>
      <c r="AJ129" s="212" t="s">
        <v>126</v>
      </c>
      <c r="AK129" s="46" t="s">
        <v>92</v>
      </c>
    </row>
    <row r="130" spans="1:37" s="262" customFormat="1" ht="15" customHeight="1" x14ac:dyDescent="0.2">
      <c r="A130" s="323" t="s">
        <v>522</v>
      </c>
      <c r="B130" s="391" t="s">
        <v>37</v>
      </c>
      <c r="C130" s="391">
        <v>220</v>
      </c>
      <c r="D130" s="391" t="s">
        <v>80</v>
      </c>
      <c r="E130" s="3" t="s">
        <v>81</v>
      </c>
      <c r="F130" s="11">
        <v>4</v>
      </c>
      <c r="G130" s="391">
        <v>1</v>
      </c>
      <c r="H130" s="391">
        <v>20</v>
      </c>
      <c r="I130" s="391">
        <v>20</v>
      </c>
      <c r="J130" s="391" t="s">
        <v>402</v>
      </c>
      <c r="K130" s="262" t="s">
        <v>523</v>
      </c>
      <c r="L130" s="262" t="s">
        <v>524</v>
      </c>
      <c r="M130" s="22" t="s">
        <v>85</v>
      </c>
      <c r="N130" s="391" t="str">
        <f t="shared" si="4"/>
        <v>Sim</v>
      </c>
      <c r="O130" s="22" t="s">
        <v>86</v>
      </c>
      <c r="P130" s="22" t="s">
        <v>86</v>
      </c>
      <c r="Q130" s="91" t="s">
        <v>87</v>
      </c>
      <c r="R130" s="391">
        <f>SUMIF('Lançamento de Cabos'!$B:$B,Tabela1[[#This Row],[Tag do Cabo]],'Lançamento de Cabos'!$C:$C)</f>
        <v>20</v>
      </c>
      <c r="S130" s="391">
        <f>VLOOKUP(Tabela1[[#This Row],[Tag do Cabo]],'Diagramas Ligações'!A:V,14,0)</f>
        <v>4</v>
      </c>
      <c r="T130" s="262" t="s">
        <v>88</v>
      </c>
      <c r="U130" s="391">
        <v>5</v>
      </c>
      <c r="V130" s="391"/>
      <c r="W130" s="391" t="s">
        <v>92</v>
      </c>
      <c r="X130" s="32">
        <v>44155</v>
      </c>
      <c r="Y130" s="32">
        <v>44155</v>
      </c>
      <c r="Z130" s="3" t="s">
        <v>481</v>
      </c>
      <c r="AA130" s="45">
        <v>72</v>
      </c>
      <c r="AB13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0" s="262" t="s">
        <v>482</v>
      </c>
      <c r="AD130" s="391">
        <f>IF(Tabela1[[#This Row],[Qtde. Lançada]]&gt;Tabela1[[#This Row],[Comprimento Total]],Tabela1[[#This Row],[Qtde. Lançada]],Tabela1[[#This Row],[Comprimento Total]])</f>
        <v>20</v>
      </c>
      <c r="AE130" s="391" t="s">
        <v>92</v>
      </c>
      <c r="AF130" s="391" t="s">
        <v>402</v>
      </c>
      <c r="AG130" s="391">
        <f ca="1">SUMIF('Lançamento de Cabos'!AE:AK,Tabela1[[#This Row],[Tag do Cabo]],'Lançamento de Cabos'!AG:AG)</f>
        <v>0</v>
      </c>
      <c r="AH130" s="29">
        <f>IFERROR(VLOOKUP(Tabela1[[#This Row],[Tag do Cabo]],'Lançamento de Cabos'!AE:AK,7,0),0)</f>
        <v>0</v>
      </c>
      <c r="AI130" s="262" t="s">
        <v>98</v>
      </c>
      <c r="AJ130" s="212" t="s">
        <v>494</v>
      </c>
      <c r="AK130" s="46">
        <v>330260</v>
      </c>
    </row>
    <row r="131" spans="1:37" s="262" customFormat="1" ht="15" customHeight="1" x14ac:dyDescent="0.2">
      <c r="A131" s="168" t="s">
        <v>525</v>
      </c>
      <c r="B131" s="391" t="s">
        <v>37</v>
      </c>
      <c r="C131" s="391">
        <v>125</v>
      </c>
      <c r="D131" s="391" t="s">
        <v>80</v>
      </c>
      <c r="E131" s="3" t="s">
        <v>503</v>
      </c>
      <c r="F131" s="11">
        <v>2.5</v>
      </c>
      <c r="G131" s="391">
        <v>1</v>
      </c>
      <c r="H131" s="391">
        <v>25</v>
      </c>
      <c r="I131" s="391">
        <v>25</v>
      </c>
      <c r="J131" s="391" t="s">
        <v>402</v>
      </c>
      <c r="K131" s="262" t="s">
        <v>526</v>
      </c>
      <c r="L131" s="262" t="s">
        <v>420</v>
      </c>
      <c r="M131" s="22" t="s">
        <v>85</v>
      </c>
      <c r="N131" s="391" t="str">
        <f t="shared" si="4"/>
        <v>Sim</v>
      </c>
      <c r="O131" s="22" t="s">
        <v>86</v>
      </c>
      <c r="P131" s="22" t="s">
        <v>86</v>
      </c>
      <c r="Q131" s="91" t="s">
        <v>139</v>
      </c>
      <c r="R131" s="391">
        <f>SUMIF('Lançamento de Cabos'!$B:$B,Tabela1[[#This Row],[Tag do Cabo]],'Lançamento de Cabos'!$C:$C)</f>
        <v>25</v>
      </c>
      <c r="S131" s="391">
        <f>VLOOKUP(Tabela1[[#This Row],[Tag do Cabo]],'Diagramas Ligações'!A:V,14,0)</f>
        <v>6</v>
      </c>
      <c r="T131" s="262" t="s">
        <v>415</v>
      </c>
      <c r="U131" s="391">
        <v>2</v>
      </c>
      <c r="V131" s="391" t="s">
        <v>406</v>
      </c>
      <c r="W131" s="391" t="s">
        <v>92</v>
      </c>
      <c r="X131" s="391" t="s">
        <v>92</v>
      </c>
      <c r="Y131" s="391" t="s">
        <v>92</v>
      </c>
      <c r="Z131" s="391" t="s">
        <v>92</v>
      </c>
      <c r="AA131" s="45" t="s">
        <v>92</v>
      </c>
      <c r="AB13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1" s="262" t="s">
        <v>407</v>
      </c>
      <c r="AD131" s="391">
        <f>IF(Tabela1[[#This Row],[Qtde. Lançada]]&gt;Tabela1[[#This Row],[Comprimento Total]],Tabela1[[#This Row],[Qtde. Lançada]],Tabela1[[#This Row],[Comprimento Total]])</f>
        <v>25</v>
      </c>
      <c r="AE131" s="391" t="s">
        <v>92</v>
      </c>
      <c r="AF131" s="391" t="s">
        <v>402</v>
      </c>
      <c r="AG131" s="391">
        <f ca="1">SUMIF('Lançamento de Cabos'!AE:AK,Tabela1[[#This Row],[Tag do Cabo]],'Lançamento de Cabos'!AG:AG)</f>
        <v>6</v>
      </c>
      <c r="AH131" s="29">
        <f>IFERROR(VLOOKUP(Tabela1[[#This Row],[Tag do Cabo]],'Lançamento de Cabos'!AE:AK,7,0),0)</f>
        <v>1</v>
      </c>
      <c r="AI131" s="262" t="s">
        <v>416</v>
      </c>
      <c r="AJ131" s="212" t="s">
        <v>95</v>
      </c>
      <c r="AK131" s="46" t="s">
        <v>92</v>
      </c>
    </row>
    <row r="132" spans="1:37" s="262" customFormat="1" ht="15" customHeight="1" x14ac:dyDescent="0.2">
      <c r="A132" s="168" t="s">
        <v>527</v>
      </c>
      <c r="B132" s="391" t="s">
        <v>37</v>
      </c>
      <c r="C132" s="391">
        <v>125</v>
      </c>
      <c r="D132" s="391" t="s">
        <v>80</v>
      </c>
      <c r="E132" s="3" t="s">
        <v>503</v>
      </c>
      <c r="F132" s="11">
        <v>2.5</v>
      </c>
      <c r="G132" s="391">
        <v>1</v>
      </c>
      <c r="H132" s="391">
        <v>22</v>
      </c>
      <c r="I132" s="391">
        <v>22</v>
      </c>
      <c r="J132" s="391" t="s">
        <v>402</v>
      </c>
      <c r="K132" s="262" t="s">
        <v>526</v>
      </c>
      <c r="L132" s="262" t="s">
        <v>496</v>
      </c>
      <c r="M132" s="22" t="s">
        <v>85</v>
      </c>
      <c r="N132" s="391" t="str">
        <f t="shared" si="4"/>
        <v>Sim</v>
      </c>
      <c r="O132" s="22" t="s">
        <v>86</v>
      </c>
      <c r="P132" s="22" t="s">
        <v>86</v>
      </c>
      <c r="Q132" s="91" t="s">
        <v>139</v>
      </c>
      <c r="R132" s="391">
        <f>SUMIF('Lançamento de Cabos'!$B:$B,Tabela1[[#This Row],[Tag do Cabo]],'Lançamento de Cabos'!$C:$C)</f>
        <v>24</v>
      </c>
      <c r="S132" s="391">
        <f>VLOOKUP(Tabela1[[#This Row],[Tag do Cabo]],'Diagramas Ligações'!A:V,14,0)</f>
        <v>6</v>
      </c>
      <c r="T132" s="262" t="s">
        <v>415</v>
      </c>
      <c r="U132" s="391">
        <v>2</v>
      </c>
      <c r="V132" s="391" t="s">
        <v>406</v>
      </c>
      <c r="W132" s="391" t="s">
        <v>92</v>
      </c>
      <c r="X132" s="391" t="s">
        <v>92</v>
      </c>
      <c r="Y132" s="391" t="s">
        <v>92</v>
      </c>
      <c r="Z132" s="391" t="s">
        <v>92</v>
      </c>
      <c r="AA132" s="45" t="s">
        <v>92</v>
      </c>
      <c r="AB13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2" s="262" t="s">
        <v>407</v>
      </c>
      <c r="AD132" s="391">
        <f>IF(Tabela1[[#This Row],[Qtde. Lançada]]&gt;Tabela1[[#This Row],[Comprimento Total]],Tabela1[[#This Row],[Qtde. Lançada]],Tabela1[[#This Row],[Comprimento Total]])</f>
        <v>24</v>
      </c>
      <c r="AE132" s="391" t="s">
        <v>92</v>
      </c>
      <c r="AF132" s="391" t="s">
        <v>402</v>
      </c>
      <c r="AG132" s="391">
        <f ca="1">SUMIF('Lançamento de Cabos'!AE:AK,Tabela1[[#This Row],[Tag do Cabo]],'Lançamento de Cabos'!AG:AG)</f>
        <v>6</v>
      </c>
      <c r="AH132" s="29">
        <f>IFERROR(VLOOKUP(Tabela1[[#This Row],[Tag do Cabo]],'Lançamento de Cabos'!AE:AK,7,0),0)</f>
        <v>1</v>
      </c>
      <c r="AI132" s="262" t="s">
        <v>416</v>
      </c>
      <c r="AJ132" s="212" t="s">
        <v>95</v>
      </c>
      <c r="AK132" s="46" t="s">
        <v>92</v>
      </c>
    </row>
    <row r="133" spans="1:37" s="262" customFormat="1" ht="15" customHeight="1" x14ac:dyDescent="0.2">
      <c r="A133" s="168" t="s">
        <v>528</v>
      </c>
      <c r="B133" s="391" t="s">
        <v>37</v>
      </c>
      <c r="C133" s="391">
        <v>125</v>
      </c>
      <c r="D133" s="391" t="s">
        <v>80</v>
      </c>
      <c r="E133" s="3" t="s">
        <v>503</v>
      </c>
      <c r="F133" s="11">
        <v>2.5</v>
      </c>
      <c r="G133" s="391">
        <v>1</v>
      </c>
      <c r="H133" s="391">
        <v>26</v>
      </c>
      <c r="I133" s="391">
        <v>26</v>
      </c>
      <c r="J133" s="391" t="s">
        <v>402</v>
      </c>
      <c r="K133" s="262" t="s">
        <v>526</v>
      </c>
      <c r="L133" s="262" t="s">
        <v>429</v>
      </c>
      <c r="M133" s="22" t="s">
        <v>85</v>
      </c>
      <c r="N133" s="391" t="str">
        <f t="shared" si="4"/>
        <v>Sim</v>
      </c>
      <c r="O133" s="22" t="s">
        <v>86</v>
      </c>
      <c r="P133" s="22" t="s">
        <v>86</v>
      </c>
      <c r="Q133" s="91" t="s">
        <v>139</v>
      </c>
      <c r="R133" s="391">
        <f>SUMIF('Lançamento de Cabos'!$B:$B,Tabela1[[#This Row],[Tag do Cabo]],'Lançamento de Cabos'!$C:$C)</f>
        <v>26</v>
      </c>
      <c r="S133" s="391">
        <f>VLOOKUP(Tabela1[[#This Row],[Tag do Cabo]],'Diagramas Ligações'!A:V,14,0)</f>
        <v>6</v>
      </c>
      <c r="T133" s="262" t="s">
        <v>415</v>
      </c>
      <c r="U133" s="391">
        <v>2</v>
      </c>
      <c r="V133" s="391" t="s">
        <v>406</v>
      </c>
      <c r="W133" s="391" t="s">
        <v>92</v>
      </c>
      <c r="X133" s="391" t="s">
        <v>92</v>
      </c>
      <c r="Y133" s="391" t="s">
        <v>92</v>
      </c>
      <c r="Z133" s="391" t="s">
        <v>92</v>
      </c>
      <c r="AA133" s="45" t="s">
        <v>92</v>
      </c>
      <c r="AB13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3" s="262" t="s">
        <v>407</v>
      </c>
      <c r="AD133" s="391">
        <f>IF(Tabela1[[#This Row],[Qtde. Lançada]]&gt;Tabela1[[#This Row],[Comprimento Total]],Tabela1[[#This Row],[Qtde. Lançada]],Tabela1[[#This Row],[Comprimento Total]])</f>
        <v>26</v>
      </c>
      <c r="AE133" s="391" t="s">
        <v>92</v>
      </c>
      <c r="AF133" s="391" t="s">
        <v>402</v>
      </c>
      <c r="AG133" s="391">
        <f ca="1">SUMIF('Lançamento de Cabos'!AE:AK,Tabela1[[#This Row],[Tag do Cabo]],'Lançamento de Cabos'!AG:AG)</f>
        <v>6</v>
      </c>
      <c r="AH133" s="29">
        <f>IFERROR(VLOOKUP(Tabela1[[#This Row],[Tag do Cabo]],'Lançamento de Cabos'!AE:AK,7,0),0)</f>
        <v>1</v>
      </c>
      <c r="AI133" s="262" t="s">
        <v>416</v>
      </c>
      <c r="AJ133" s="212" t="s">
        <v>95</v>
      </c>
      <c r="AK133" s="46" t="s">
        <v>92</v>
      </c>
    </row>
    <row r="134" spans="1:37" s="262" customFormat="1" ht="15" customHeight="1" x14ac:dyDescent="0.2">
      <c r="A134" s="168" t="s">
        <v>529</v>
      </c>
      <c r="B134" s="391" t="s">
        <v>37</v>
      </c>
      <c r="C134" s="391">
        <v>125</v>
      </c>
      <c r="D134" s="391" t="s">
        <v>80</v>
      </c>
      <c r="E134" s="3" t="s">
        <v>503</v>
      </c>
      <c r="F134" s="11">
        <v>2.5</v>
      </c>
      <c r="G134" s="391">
        <v>1</v>
      </c>
      <c r="H134" s="391">
        <v>20</v>
      </c>
      <c r="I134" s="391">
        <v>20</v>
      </c>
      <c r="J134" s="391" t="s">
        <v>402</v>
      </c>
      <c r="K134" s="262" t="s">
        <v>526</v>
      </c>
      <c r="L134" s="262" t="s">
        <v>413</v>
      </c>
      <c r="M134" s="22" t="s">
        <v>85</v>
      </c>
      <c r="N134" s="391" t="str">
        <f t="shared" si="4"/>
        <v>Sim</v>
      </c>
      <c r="O134" s="22" t="s">
        <v>86</v>
      </c>
      <c r="P134" s="22" t="s">
        <v>86</v>
      </c>
      <c r="Q134" s="91" t="s">
        <v>139</v>
      </c>
      <c r="R134" s="391">
        <f>SUMIF('Lançamento de Cabos'!$B:$B,Tabela1[[#This Row],[Tag do Cabo]],'Lançamento de Cabos'!$C:$C)</f>
        <v>22</v>
      </c>
      <c r="S134" s="391">
        <f>VLOOKUP(Tabela1[[#This Row],[Tag do Cabo]],'Diagramas Ligações'!A:V,14,0)</f>
        <v>6</v>
      </c>
      <c r="T134" s="262" t="s">
        <v>415</v>
      </c>
      <c r="U134" s="391">
        <v>2</v>
      </c>
      <c r="V134" s="391" t="s">
        <v>406</v>
      </c>
      <c r="W134" s="391" t="s">
        <v>92</v>
      </c>
      <c r="X134" s="391" t="s">
        <v>92</v>
      </c>
      <c r="Y134" s="391" t="s">
        <v>92</v>
      </c>
      <c r="Z134" s="391" t="s">
        <v>92</v>
      </c>
      <c r="AA134" s="45" t="s">
        <v>92</v>
      </c>
      <c r="AB13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4" s="262" t="s">
        <v>407</v>
      </c>
      <c r="AD134" s="391">
        <f>IF(Tabela1[[#This Row],[Qtde. Lançada]]&gt;Tabela1[[#This Row],[Comprimento Total]],Tabela1[[#This Row],[Qtde. Lançada]],Tabela1[[#This Row],[Comprimento Total]])</f>
        <v>22</v>
      </c>
      <c r="AE134" s="391" t="s">
        <v>92</v>
      </c>
      <c r="AF134" s="391" t="s">
        <v>402</v>
      </c>
      <c r="AG134" s="391">
        <f ca="1">SUMIF('Lançamento de Cabos'!AE:AK,Tabela1[[#This Row],[Tag do Cabo]],'Lançamento de Cabos'!AG:AG)</f>
        <v>6</v>
      </c>
      <c r="AH134" s="29">
        <f>IFERROR(VLOOKUP(Tabela1[[#This Row],[Tag do Cabo]],'Lançamento de Cabos'!AE:AK,7,0),0)</f>
        <v>1</v>
      </c>
      <c r="AI134" s="262" t="s">
        <v>416</v>
      </c>
      <c r="AJ134" s="212" t="s">
        <v>95</v>
      </c>
      <c r="AK134" s="46" t="s">
        <v>92</v>
      </c>
    </row>
    <row r="135" spans="1:37" s="262" customFormat="1" ht="15" customHeight="1" x14ac:dyDescent="0.2">
      <c r="A135" s="168" t="s">
        <v>530</v>
      </c>
      <c r="B135" s="391" t="s">
        <v>37</v>
      </c>
      <c r="C135" s="391">
        <v>125</v>
      </c>
      <c r="D135" s="391" t="s">
        <v>80</v>
      </c>
      <c r="E135" s="3" t="s">
        <v>503</v>
      </c>
      <c r="F135" s="11">
        <v>2.5</v>
      </c>
      <c r="G135" s="391">
        <v>1</v>
      </c>
      <c r="H135" s="391">
        <v>11</v>
      </c>
      <c r="I135" s="391">
        <v>11</v>
      </c>
      <c r="J135" s="391" t="s">
        <v>402</v>
      </c>
      <c r="K135" s="262" t="s">
        <v>526</v>
      </c>
      <c r="L135" s="262" t="s">
        <v>424</v>
      </c>
      <c r="M135" s="22" t="s">
        <v>85</v>
      </c>
      <c r="N135" s="391" t="str">
        <f t="shared" si="4"/>
        <v>Sim</v>
      </c>
      <c r="O135" s="22" t="s">
        <v>86</v>
      </c>
      <c r="P135" s="22" t="s">
        <v>86</v>
      </c>
      <c r="Q135" s="91" t="s">
        <v>139</v>
      </c>
      <c r="R135" s="391">
        <f>SUMIF('Lançamento de Cabos'!$B:$B,Tabela1[[#This Row],[Tag do Cabo]],'Lançamento de Cabos'!$C:$C)</f>
        <v>11</v>
      </c>
      <c r="S135" s="391">
        <f>VLOOKUP(Tabela1[[#This Row],[Tag do Cabo]],'Diagramas Ligações'!A:V,14,0)</f>
        <v>6</v>
      </c>
      <c r="T135" s="262" t="s">
        <v>415</v>
      </c>
      <c r="U135" s="391">
        <v>2</v>
      </c>
      <c r="V135" s="391" t="s">
        <v>406</v>
      </c>
      <c r="W135" s="391" t="s">
        <v>92</v>
      </c>
      <c r="X135" s="391" t="s">
        <v>92</v>
      </c>
      <c r="Y135" s="391" t="s">
        <v>92</v>
      </c>
      <c r="Z135" s="391" t="s">
        <v>92</v>
      </c>
      <c r="AA135" s="45" t="s">
        <v>92</v>
      </c>
      <c r="AB13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5" s="262" t="s">
        <v>407</v>
      </c>
      <c r="AD135" s="391">
        <f>IF(Tabela1[[#This Row],[Qtde. Lançada]]&gt;Tabela1[[#This Row],[Comprimento Total]],Tabela1[[#This Row],[Qtde. Lançada]],Tabela1[[#This Row],[Comprimento Total]])</f>
        <v>11</v>
      </c>
      <c r="AE135" s="391" t="s">
        <v>92</v>
      </c>
      <c r="AF135" s="391" t="s">
        <v>402</v>
      </c>
      <c r="AG135" s="391">
        <f ca="1">SUMIF('Lançamento de Cabos'!AE:AK,Tabela1[[#This Row],[Tag do Cabo]],'Lançamento de Cabos'!AG:AG)</f>
        <v>6</v>
      </c>
      <c r="AH135" s="29">
        <f>IFERROR(VLOOKUP(Tabela1[[#This Row],[Tag do Cabo]],'Lançamento de Cabos'!AE:AK,7,0),0)</f>
        <v>1</v>
      </c>
      <c r="AI135" s="262" t="s">
        <v>416</v>
      </c>
      <c r="AJ135" s="212" t="s">
        <v>95</v>
      </c>
      <c r="AK135" s="46" t="s">
        <v>92</v>
      </c>
    </row>
    <row r="136" spans="1:37" s="262" customFormat="1" ht="15" customHeight="1" x14ac:dyDescent="0.2">
      <c r="A136" s="168" t="s">
        <v>531</v>
      </c>
      <c r="B136" s="391" t="s">
        <v>37</v>
      </c>
      <c r="C136" s="391">
        <v>125</v>
      </c>
      <c r="D136" s="391" t="s">
        <v>80</v>
      </c>
      <c r="E136" s="3" t="s">
        <v>503</v>
      </c>
      <c r="F136" s="11">
        <v>2.5</v>
      </c>
      <c r="G136" s="391">
        <v>1</v>
      </c>
      <c r="H136" s="391">
        <v>14</v>
      </c>
      <c r="I136" s="391">
        <v>14</v>
      </c>
      <c r="J136" s="391" t="s">
        <v>402</v>
      </c>
      <c r="K136" s="262" t="s">
        <v>526</v>
      </c>
      <c r="L136" s="262" t="s">
        <v>518</v>
      </c>
      <c r="M136" s="22" t="s">
        <v>85</v>
      </c>
      <c r="N136" s="391" t="str">
        <f t="shared" si="4"/>
        <v>Sim</v>
      </c>
      <c r="O136" s="22" t="s">
        <v>86</v>
      </c>
      <c r="P136" s="22" t="s">
        <v>86</v>
      </c>
      <c r="Q136" s="91" t="s">
        <v>139</v>
      </c>
      <c r="R136" s="391">
        <f>SUMIF('Lançamento de Cabos'!$B:$B,Tabela1[[#This Row],[Tag do Cabo]],'Lançamento de Cabos'!$C:$C)</f>
        <v>14</v>
      </c>
      <c r="S136" s="391">
        <f>VLOOKUP(Tabela1[[#This Row],[Tag do Cabo]],'Diagramas Ligações'!A:V,14,0)</f>
        <v>6</v>
      </c>
      <c r="T136" s="262" t="s">
        <v>415</v>
      </c>
      <c r="U136" s="391">
        <v>2</v>
      </c>
      <c r="V136" s="391" t="s">
        <v>406</v>
      </c>
      <c r="W136" s="391" t="s">
        <v>92</v>
      </c>
      <c r="X136" s="391" t="s">
        <v>92</v>
      </c>
      <c r="Y136" s="391" t="s">
        <v>92</v>
      </c>
      <c r="Z136" s="391" t="s">
        <v>92</v>
      </c>
      <c r="AA136" s="45" t="s">
        <v>92</v>
      </c>
      <c r="AB13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6" s="262" t="s">
        <v>407</v>
      </c>
      <c r="AD136" s="391">
        <f>IF(Tabela1[[#This Row],[Qtde. Lançada]]&gt;Tabela1[[#This Row],[Comprimento Total]],Tabela1[[#This Row],[Qtde. Lançada]],Tabela1[[#This Row],[Comprimento Total]])</f>
        <v>14</v>
      </c>
      <c r="AE136" s="391" t="s">
        <v>92</v>
      </c>
      <c r="AF136" s="391" t="s">
        <v>402</v>
      </c>
      <c r="AG136" s="391">
        <f ca="1">SUMIF('Lançamento de Cabos'!AE:AK,Tabela1[[#This Row],[Tag do Cabo]],'Lançamento de Cabos'!AG:AG)</f>
        <v>6</v>
      </c>
      <c r="AH136" s="29">
        <f>IFERROR(VLOOKUP(Tabela1[[#This Row],[Tag do Cabo]],'Lançamento de Cabos'!AE:AK,7,0),0)</f>
        <v>1</v>
      </c>
      <c r="AI136" s="262" t="s">
        <v>416</v>
      </c>
      <c r="AJ136" s="212" t="s">
        <v>95</v>
      </c>
      <c r="AK136" s="46" t="s">
        <v>92</v>
      </c>
    </row>
    <row r="137" spans="1:37" s="262" customFormat="1" ht="15" customHeight="1" x14ac:dyDescent="0.2">
      <c r="A137" s="323" t="s">
        <v>532</v>
      </c>
      <c r="B137" s="391" t="s">
        <v>37</v>
      </c>
      <c r="C137" s="391">
        <v>125</v>
      </c>
      <c r="D137" s="391" t="s">
        <v>80</v>
      </c>
      <c r="E137" s="3" t="s">
        <v>81</v>
      </c>
      <c r="F137" s="11">
        <v>4</v>
      </c>
      <c r="G137" s="391">
        <v>1</v>
      </c>
      <c r="H137" s="391">
        <v>20</v>
      </c>
      <c r="I137" s="391">
        <v>20</v>
      </c>
      <c r="J137" s="391" t="s">
        <v>402</v>
      </c>
      <c r="K137" s="262" t="s">
        <v>533</v>
      </c>
      <c r="L137" s="262" t="s">
        <v>524</v>
      </c>
      <c r="M137" s="22" t="s">
        <v>85</v>
      </c>
      <c r="N137" s="391" t="str">
        <f t="shared" si="4"/>
        <v>Sim</v>
      </c>
      <c r="O137" s="22" t="s">
        <v>86</v>
      </c>
      <c r="P137" s="22" t="s">
        <v>86</v>
      </c>
      <c r="Q137" s="91" t="s">
        <v>87</v>
      </c>
      <c r="R137" s="391">
        <f>SUMIF('Lançamento de Cabos'!$B:$B,Tabela1[[#This Row],[Tag do Cabo]],'Lançamento de Cabos'!$C:$C)</f>
        <v>20</v>
      </c>
      <c r="S137" s="391">
        <f>VLOOKUP(Tabela1[[#This Row],[Tag do Cabo]],'Diagramas Ligações'!A:V,14,0)</f>
        <v>4</v>
      </c>
      <c r="T137" s="262" t="s">
        <v>88</v>
      </c>
      <c r="U137" s="391">
        <v>5</v>
      </c>
      <c r="V137" s="391"/>
      <c r="W137" s="391" t="s">
        <v>92</v>
      </c>
      <c r="X137" s="32">
        <v>44155</v>
      </c>
      <c r="Y137" s="32">
        <v>44155</v>
      </c>
      <c r="Z137" s="3" t="s">
        <v>481</v>
      </c>
      <c r="AA137" s="45">
        <v>72</v>
      </c>
      <c r="AB13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7" s="262" t="s">
        <v>482</v>
      </c>
      <c r="AD137" s="391">
        <f>IF(Tabela1[[#This Row],[Qtde. Lançada]]&gt;Tabela1[[#This Row],[Comprimento Total]],Tabela1[[#This Row],[Qtde. Lançada]],Tabela1[[#This Row],[Comprimento Total]])</f>
        <v>20</v>
      </c>
      <c r="AE137" s="391" t="s">
        <v>92</v>
      </c>
      <c r="AF137" s="391" t="s">
        <v>402</v>
      </c>
      <c r="AG137" s="391">
        <f ca="1">SUMIF('Lançamento de Cabos'!AE:AK,Tabela1[[#This Row],[Tag do Cabo]],'Lançamento de Cabos'!AG:AG)</f>
        <v>0</v>
      </c>
      <c r="AH137" s="29">
        <f>IFERROR(VLOOKUP(Tabela1[[#This Row],[Tag do Cabo]],'Lançamento de Cabos'!AE:AK,7,0),0)</f>
        <v>0</v>
      </c>
      <c r="AI137" s="262" t="s">
        <v>98</v>
      </c>
      <c r="AJ137" s="212" t="s">
        <v>494</v>
      </c>
      <c r="AK137" s="46">
        <v>330260</v>
      </c>
    </row>
    <row r="138" spans="1:37" s="262" customFormat="1" ht="15" customHeight="1" x14ac:dyDescent="0.2">
      <c r="A138" s="168" t="s">
        <v>534</v>
      </c>
      <c r="B138" s="391" t="s">
        <v>37</v>
      </c>
      <c r="C138" s="391">
        <v>125</v>
      </c>
      <c r="D138" s="391" t="s">
        <v>80</v>
      </c>
      <c r="E138" s="3" t="s">
        <v>339</v>
      </c>
      <c r="F138" s="11">
        <v>4</v>
      </c>
      <c r="G138" s="391">
        <v>1</v>
      </c>
      <c r="H138" s="391">
        <v>15</v>
      </c>
      <c r="I138" s="391">
        <v>15</v>
      </c>
      <c r="J138" s="391" t="s">
        <v>402</v>
      </c>
      <c r="K138" s="262" t="s">
        <v>533</v>
      </c>
      <c r="L138" s="262" t="s">
        <v>535</v>
      </c>
      <c r="M138" s="22" t="s">
        <v>85</v>
      </c>
      <c r="N138" s="23" t="str">
        <f t="shared" si="4"/>
        <v>Sim</v>
      </c>
      <c r="O138" s="22" t="s">
        <v>86</v>
      </c>
      <c r="P138" s="22" t="s">
        <v>86</v>
      </c>
      <c r="Q138" s="391" t="s">
        <v>87</v>
      </c>
      <c r="R138" s="23">
        <f>SUMIF('Lançamento de Cabos'!$B:$B,Tabela1[[#This Row],[Tag do Cabo]],'Lançamento de Cabos'!$C:$C)</f>
        <v>15</v>
      </c>
      <c r="S138" s="391">
        <f>VLOOKUP(Tabela1[[#This Row],[Tag do Cabo]],'Diagramas Ligações'!A:V,14,0)</f>
        <v>4</v>
      </c>
      <c r="T138" s="262" t="s">
        <v>88</v>
      </c>
      <c r="U138" s="391">
        <v>5</v>
      </c>
      <c r="V138" s="391"/>
      <c r="W138" s="391" t="s">
        <v>536</v>
      </c>
      <c r="X138" s="32">
        <v>44177</v>
      </c>
      <c r="Y138" s="32">
        <v>44218</v>
      </c>
      <c r="Z138" s="31" t="s">
        <v>108</v>
      </c>
      <c r="AA138" s="45" t="s">
        <v>343</v>
      </c>
      <c r="AB13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8" s="262" t="s">
        <v>448</v>
      </c>
      <c r="AD138" s="391">
        <f>IF(Tabela1[[#This Row],[Qtde. Lançada]]&gt;Tabela1[[#This Row],[Comprimento Total]],Tabela1[[#This Row],[Qtde. Lançada]],Tabela1[[#This Row],[Comprimento Total]])</f>
        <v>15</v>
      </c>
      <c r="AE138" s="391" t="s">
        <v>92</v>
      </c>
      <c r="AF138" s="391" t="s">
        <v>402</v>
      </c>
      <c r="AG138" s="391">
        <f ca="1">SUMIF('Lançamento de Cabos'!AE:AK,Tabela1[[#This Row],[Tag do Cabo]],'Lançamento de Cabos'!AG:AG)</f>
        <v>0</v>
      </c>
      <c r="AH138" s="29">
        <f>IFERROR(VLOOKUP(Tabela1[[#This Row],[Tag do Cabo]],'Lançamento de Cabos'!AE:AK,7,0),0)</f>
        <v>0</v>
      </c>
      <c r="AI138" s="262" t="s">
        <v>537</v>
      </c>
      <c r="AJ138" s="212" t="s">
        <v>126</v>
      </c>
      <c r="AK138" s="46">
        <v>320680</v>
      </c>
    </row>
    <row r="139" spans="1:37" s="262" customFormat="1" ht="15" customHeight="1" x14ac:dyDescent="0.2">
      <c r="A139" s="168" t="s">
        <v>538</v>
      </c>
      <c r="B139" s="391" t="s">
        <v>37</v>
      </c>
      <c r="C139" s="391">
        <v>125</v>
      </c>
      <c r="D139" s="391" t="s">
        <v>80</v>
      </c>
      <c r="E139" s="3" t="s">
        <v>339</v>
      </c>
      <c r="F139" s="11">
        <v>4</v>
      </c>
      <c r="G139" s="391">
        <v>1</v>
      </c>
      <c r="H139" s="391">
        <v>15</v>
      </c>
      <c r="I139" s="391">
        <v>15</v>
      </c>
      <c r="J139" s="391" t="s">
        <v>402</v>
      </c>
      <c r="K139" s="262" t="s">
        <v>533</v>
      </c>
      <c r="L139" s="262" t="s">
        <v>535</v>
      </c>
      <c r="M139" s="22" t="s">
        <v>85</v>
      </c>
      <c r="N139" s="23" t="str">
        <f t="shared" si="4"/>
        <v>Sim</v>
      </c>
      <c r="O139" s="22" t="s">
        <v>86</v>
      </c>
      <c r="P139" s="22" t="s">
        <v>86</v>
      </c>
      <c r="Q139" s="391" t="s">
        <v>87</v>
      </c>
      <c r="R139" s="23">
        <f>SUMIF('Lançamento de Cabos'!$B:$B,Tabela1[[#This Row],[Tag do Cabo]],'Lançamento de Cabos'!$C:$C)</f>
        <v>15</v>
      </c>
      <c r="S139" s="391">
        <f>VLOOKUP(Tabela1[[#This Row],[Tag do Cabo]],'Diagramas Ligações'!A:V,14,0)</f>
        <v>4</v>
      </c>
      <c r="T139" s="262" t="s">
        <v>88</v>
      </c>
      <c r="U139" s="391">
        <v>5</v>
      </c>
      <c r="V139" s="391" t="s">
        <v>140</v>
      </c>
      <c r="W139" s="391" t="s">
        <v>536</v>
      </c>
      <c r="X139" s="32">
        <v>44177</v>
      </c>
      <c r="Y139" s="32">
        <v>44218</v>
      </c>
      <c r="Z139" s="31" t="s">
        <v>108</v>
      </c>
      <c r="AA139" s="45" t="s">
        <v>343</v>
      </c>
      <c r="AB13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39" s="262" t="s">
        <v>448</v>
      </c>
      <c r="AD139" s="391">
        <f>IF(Tabela1[[#This Row],[Qtde. Lançada]]&gt;Tabela1[[#This Row],[Comprimento Total]],Tabela1[[#This Row],[Qtde. Lançada]],Tabela1[[#This Row],[Comprimento Total]])</f>
        <v>15</v>
      </c>
      <c r="AE139" s="391" t="s">
        <v>92</v>
      </c>
      <c r="AF139" s="391" t="s">
        <v>402</v>
      </c>
      <c r="AG139" s="391">
        <f ca="1">SUMIF('Lançamento de Cabos'!AE:AK,Tabela1[[#This Row],[Tag do Cabo]],'Lançamento de Cabos'!AG:AG)</f>
        <v>0</v>
      </c>
      <c r="AH139" s="29">
        <f>IFERROR(VLOOKUP(Tabela1[[#This Row],[Tag do Cabo]],'Lançamento de Cabos'!AE:AK,7,0),0)</f>
        <v>0</v>
      </c>
      <c r="AI139" s="262" t="s">
        <v>537</v>
      </c>
      <c r="AJ139" s="212" t="s">
        <v>126</v>
      </c>
      <c r="AK139" s="46">
        <v>320680</v>
      </c>
    </row>
    <row r="140" spans="1:37" s="262" customFormat="1" ht="15" customHeight="1" x14ac:dyDescent="0.2">
      <c r="A140" s="168" t="s">
        <v>539</v>
      </c>
      <c r="B140" s="391" t="s">
        <v>37</v>
      </c>
      <c r="C140" s="391">
        <v>125</v>
      </c>
      <c r="D140" s="391" t="s">
        <v>80</v>
      </c>
      <c r="E140" s="3" t="s">
        <v>503</v>
      </c>
      <c r="F140" s="11">
        <v>2.5</v>
      </c>
      <c r="G140" s="391">
        <v>1</v>
      </c>
      <c r="H140" s="391">
        <v>5</v>
      </c>
      <c r="I140" s="391">
        <v>5</v>
      </c>
      <c r="J140" s="391" t="s">
        <v>402</v>
      </c>
      <c r="K140" s="262" t="s">
        <v>518</v>
      </c>
      <c r="L140" s="262" t="s">
        <v>540</v>
      </c>
      <c r="M140" s="22" t="s">
        <v>85</v>
      </c>
      <c r="N140" s="391" t="str">
        <f t="shared" si="4"/>
        <v>Sim</v>
      </c>
      <c r="O140" s="22" t="s">
        <v>86</v>
      </c>
      <c r="P140" s="22" t="s">
        <v>86</v>
      </c>
      <c r="Q140" s="391" t="s">
        <v>139</v>
      </c>
      <c r="R140" s="391">
        <f>SUMIF('Lançamento de Cabos'!$B:$B,Tabela1[[#This Row],[Tag do Cabo]],'Lançamento de Cabos'!$C:$C)</f>
        <v>5</v>
      </c>
      <c r="S140" s="391">
        <f>VLOOKUP(Tabela1[[#This Row],[Tag do Cabo]],'Diagramas Ligações'!A:V,14,0)</f>
        <v>6</v>
      </c>
      <c r="T140" s="262" t="s">
        <v>415</v>
      </c>
      <c r="U140" s="391">
        <v>2</v>
      </c>
      <c r="V140" s="391" t="s">
        <v>406</v>
      </c>
      <c r="W140" s="391" t="s">
        <v>92</v>
      </c>
      <c r="X140" s="391" t="s">
        <v>92</v>
      </c>
      <c r="Y140" s="391" t="s">
        <v>92</v>
      </c>
      <c r="Z140" s="391" t="s">
        <v>92</v>
      </c>
      <c r="AA140" s="45" t="s">
        <v>92</v>
      </c>
      <c r="AB14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0" s="262" t="s">
        <v>407</v>
      </c>
      <c r="AD140" s="391">
        <f>IF(Tabela1[[#This Row],[Qtde. Lançada]]&gt;Tabela1[[#This Row],[Comprimento Total]],Tabela1[[#This Row],[Qtde. Lançada]],Tabela1[[#This Row],[Comprimento Total]])</f>
        <v>5</v>
      </c>
      <c r="AE140" s="391" t="s">
        <v>92</v>
      </c>
      <c r="AF140" s="391" t="s">
        <v>402</v>
      </c>
      <c r="AG140" s="391">
        <f ca="1">SUMIF('Lançamento de Cabos'!AE:AK,Tabela1[[#This Row],[Tag do Cabo]],'Lançamento de Cabos'!AG:AG)</f>
        <v>6</v>
      </c>
      <c r="AH140" s="29">
        <f>IFERROR(VLOOKUP(Tabela1[[#This Row],[Tag do Cabo]],'Lançamento de Cabos'!AE:AK,7,0),0)</f>
        <v>1</v>
      </c>
      <c r="AI140" s="262" t="s">
        <v>416</v>
      </c>
      <c r="AJ140" s="212" t="s">
        <v>95</v>
      </c>
      <c r="AK140" s="46" t="s">
        <v>92</v>
      </c>
    </row>
    <row r="141" spans="1:37" s="262" customFormat="1" ht="15" customHeight="1" x14ac:dyDescent="0.2">
      <c r="A141" s="168" t="s">
        <v>541</v>
      </c>
      <c r="B141" s="391" t="s">
        <v>38</v>
      </c>
      <c r="C141" s="391" t="s">
        <v>92</v>
      </c>
      <c r="D141" s="391" t="s">
        <v>92</v>
      </c>
      <c r="E141" s="3" t="s">
        <v>470</v>
      </c>
      <c r="F141" s="11">
        <v>1.5</v>
      </c>
      <c r="G141" s="391">
        <v>1</v>
      </c>
      <c r="H141" s="391">
        <v>18</v>
      </c>
      <c r="I141" s="391">
        <v>18</v>
      </c>
      <c r="J141" s="391" t="s">
        <v>402</v>
      </c>
      <c r="K141" s="262" t="s">
        <v>518</v>
      </c>
      <c r="L141" s="262" t="s">
        <v>412</v>
      </c>
      <c r="M141" s="22" t="s">
        <v>85</v>
      </c>
      <c r="N141" s="391" t="str">
        <f t="shared" si="4"/>
        <v>Sim</v>
      </c>
      <c r="O141" s="22" t="s">
        <v>86</v>
      </c>
      <c r="P141" s="22" t="s">
        <v>86</v>
      </c>
      <c r="Q141" s="91" t="s">
        <v>184</v>
      </c>
      <c r="R141" s="391">
        <f>SUMIF('Lançamento de Cabos'!$B:$B,Tabela1[[#This Row],[Tag do Cabo]],'Lançamento de Cabos'!$C:$C)</f>
        <v>18</v>
      </c>
      <c r="S141" s="391">
        <f>VLOOKUP(Tabela1[[#This Row],[Tag do Cabo]],'Diagramas Ligações'!A:V,14,0)</f>
        <v>8</v>
      </c>
      <c r="T141" s="262" t="s">
        <v>405</v>
      </c>
      <c r="U141" s="391">
        <v>2</v>
      </c>
      <c r="V141" s="391" t="s">
        <v>406</v>
      </c>
      <c r="W141" s="391" t="s">
        <v>92</v>
      </c>
      <c r="X141" s="391" t="s">
        <v>92</v>
      </c>
      <c r="Y141" s="391" t="s">
        <v>92</v>
      </c>
      <c r="Z141" s="391" t="s">
        <v>92</v>
      </c>
      <c r="AA141" s="45" t="s">
        <v>92</v>
      </c>
      <c r="AB14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1" s="262" t="s">
        <v>407</v>
      </c>
      <c r="AD141" s="391">
        <f>IF(Tabela1[[#This Row],[Qtde. Lançada]]&gt;Tabela1[[#This Row],[Comprimento Total]],Tabela1[[#This Row],[Qtde. Lançada]],Tabela1[[#This Row],[Comprimento Total]])</f>
        <v>18</v>
      </c>
      <c r="AE141" s="391" t="s">
        <v>92</v>
      </c>
      <c r="AF141" s="391" t="s">
        <v>402</v>
      </c>
      <c r="AG141" s="391">
        <f ca="1">SUMIF('Lançamento de Cabos'!AE:AK,Tabela1[[#This Row],[Tag do Cabo]],'Lançamento de Cabos'!AG:AG)</f>
        <v>4</v>
      </c>
      <c r="AH141" s="29">
        <f>IFERROR(VLOOKUP(Tabela1[[#This Row],[Tag do Cabo]],'Lançamento de Cabos'!AE:AK,7,0),0)</f>
        <v>0.5</v>
      </c>
      <c r="AI141" s="262" t="s">
        <v>408</v>
      </c>
      <c r="AJ141" s="212" t="s">
        <v>202</v>
      </c>
      <c r="AK141" s="46" t="s">
        <v>92</v>
      </c>
    </row>
    <row r="142" spans="1:37" s="262" customFormat="1" ht="15" customHeight="1" x14ac:dyDescent="0.2">
      <c r="A142" s="168" t="s">
        <v>542</v>
      </c>
      <c r="B142" s="391" t="s">
        <v>37</v>
      </c>
      <c r="C142" s="391">
        <v>963</v>
      </c>
      <c r="D142" s="391" t="s">
        <v>240</v>
      </c>
      <c r="E142" s="3" t="s">
        <v>543</v>
      </c>
      <c r="F142" s="11">
        <v>150</v>
      </c>
      <c r="G142" s="391">
        <v>3</v>
      </c>
      <c r="H142" s="391">
        <v>10</v>
      </c>
      <c r="I142" s="391">
        <v>30</v>
      </c>
      <c r="J142" s="391" t="s">
        <v>402</v>
      </c>
      <c r="K142" s="262" t="s">
        <v>518</v>
      </c>
      <c r="L142" s="262" t="s">
        <v>472</v>
      </c>
      <c r="M142" s="22" t="s">
        <v>85</v>
      </c>
      <c r="N142" s="22" t="s">
        <v>86</v>
      </c>
      <c r="O142" s="391" t="s">
        <v>85</v>
      </c>
      <c r="P142" s="391" t="s">
        <v>85</v>
      </c>
      <c r="Q142" s="391" t="s">
        <v>243</v>
      </c>
      <c r="R142" s="391">
        <f>SUMIF('Lançamento de Cabos'!$B:$B,Tabela1[[#This Row],[Tag do Cabo]],'Lançamento de Cabos'!$C:$C)</f>
        <v>33</v>
      </c>
      <c r="S142" s="391">
        <f>VLOOKUP(Tabela1[[#This Row],[Tag do Cabo]],'Diagramas Ligações'!A:V,14,0)</f>
        <v>6</v>
      </c>
      <c r="T142" s="262" t="s">
        <v>415</v>
      </c>
      <c r="U142" s="391">
        <v>2</v>
      </c>
      <c r="V142" s="391" t="s">
        <v>406</v>
      </c>
      <c r="W142" s="391" t="s">
        <v>92</v>
      </c>
      <c r="X142" s="391" t="s">
        <v>92</v>
      </c>
      <c r="Y142" s="391" t="s">
        <v>92</v>
      </c>
      <c r="Z142" s="391" t="s">
        <v>92</v>
      </c>
      <c r="AA142" s="45" t="s">
        <v>92</v>
      </c>
      <c r="AB14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2" s="262" t="s">
        <v>407</v>
      </c>
      <c r="AD142" s="391">
        <f>IF(Tabela1[[#This Row],[Qtde. Lançada]]&gt;Tabela1[[#This Row],[Comprimento Total]],Tabela1[[#This Row],[Qtde. Lançada]],Tabela1[[#This Row],[Comprimento Total]])</f>
        <v>33</v>
      </c>
      <c r="AE142" s="391" t="s">
        <v>92</v>
      </c>
      <c r="AF142" s="391" t="s">
        <v>402</v>
      </c>
      <c r="AG142" s="391">
        <f ca="1">SUMIF('Lançamento de Cabos'!AE:AK,Tabela1[[#This Row],[Tag do Cabo]],'Lançamento de Cabos'!AG:AG)</f>
        <v>6</v>
      </c>
      <c r="AH142" s="29">
        <f>IFERROR(VLOOKUP(Tabela1[[#This Row],[Tag do Cabo]],'Lançamento de Cabos'!AE:AK,7,0),0)</f>
        <v>1</v>
      </c>
      <c r="AI142" s="262" t="s">
        <v>416</v>
      </c>
      <c r="AJ142" s="212" t="s">
        <v>212</v>
      </c>
      <c r="AK142" s="46" t="s">
        <v>92</v>
      </c>
    </row>
    <row r="143" spans="1:37" s="262" customFormat="1" ht="15" customHeight="1" x14ac:dyDescent="0.2">
      <c r="A143" s="168" t="s">
        <v>544</v>
      </c>
      <c r="B143" s="391" t="s">
        <v>37</v>
      </c>
      <c r="C143" s="391">
        <v>963</v>
      </c>
      <c r="D143" s="391" t="s">
        <v>240</v>
      </c>
      <c r="E143" s="3" t="s">
        <v>543</v>
      </c>
      <c r="F143" s="11">
        <v>150</v>
      </c>
      <c r="G143" s="391">
        <v>3</v>
      </c>
      <c r="H143" s="391">
        <v>10</v>
      </c>
      <c r="I143" s="391">
        <v>30</v>
      </c>
      <c r="J143" s="391" t="s">
        <v>402</v>
      </c>
      <c r="K143" s="262" t="s">
        <v>518</v>
      </c>
      <c r="L143" s="262" t="s">
        <v>472</v>
      </c>
      <c r="M143" s="22" t="s">
        <v>85</v>
      </c>
      <c r="N143" s="22" t="s">
        <v>86</v>
      </c>
      <c r="O143" s="391" t="s">
        <v>85</v>
      </c>
      <c r="P143" s="391" t="s">
        <v>85</v>
      </c>
      <c r="Q143" s="391" t="s">
        <v>243</v>
      </c>
      <c r="R143" s="391">
        <f>SUMIF('Lançamento de Cabos'!$B:$B,Tabela1[[#This Row],[Tag do Cabo]],'Lançamento de Cabos'!$C:$C)</f>
        <v>33</v>
      </c>
      <c r="S143" s="391">
        <f>VLOOKUP(Tabela1[[#This Row],[Tag do Cabo]],'Diagramas Ligações'!A:V,14,0)</f>
        <v>6</v>
      </c>
      <c r="T143" s="262" t="s">
        <v>415</v>
      </c>
      <c r="U143" s="391">
        <v>2</v>
      </c>
      <c r="V143" s="391" t="s">
        <v>406</v>
      </c>
      <c r="W143" s="391" t="s">
        <v>92</v>
      </c>
      <c r="X143" s="391" t="s">
        <v>92</v>
      </c>
      <c r="Y143" s="391" t="s">
        <v>92</v>
      </c>
      <c r="Z143" s="391" t="s">
        <v>92</v>
      </c>
      <c r="AA143" s="45" t="s">
        <v>92</v>
      </c>
      <c r="AB14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3" s="262" t="s">
        <v>407</v>
      </c>
      <c r="AD143" s="391">
        <f>IF(Tabela1[[#This Row],[Qtde. Lançada]]&gt;Tabela1[[#This Row],[Comprimento Total]],Tabela1[[#This Row],[Qtde. Lançada]],Tabela1[[#This Row],[Comprimento Total]])</f>
        <v>33</v>
      </c>
      <c r="AE143" s="391" t="s">
        <v>92</v>
      </c>
      <c r="AF143" s="391" t="s">
        <v>402</v>
      </c>
      <c r="AG143" s="391">
        <f ca="1">SUMIF('Lançamento de Cabos'!AE:AK,Tabela1[[#This Row],[Tag do Cabo]],'Lançamento de Cabos'!AG:AG)</f>
        <v>6</v>
      </c>
      <c r="AH143" s="29">
        <f>IFERROR(VLOOKUP(Tabela1[[#This Row],[Tag do Cabo]],'Lançamento de Cabos'!AE:AK,7,0),0)</f>
        <v>1</v>
      </c>
      <c r="AI143" s="262" t="s">
        <v>416</v>
      </c>
      <c r="AJ143" s="212" t="s">
        <v>212</v>
      </c>
      <c r="AK143" s="46" t="s">
        <v>92</v>
      </c>
    </row>
    <row r="144" spans="1:37" s="262" customFormat="1" ht="15" customHeight="1" x14ac:dyDescent="0.2">
      <c r="A144" s="168" t="s">
        <v>545</v>
      </c>
      <c r="B144" s="391" t="s">
        <v>37</v>
      </c>
      <c r="C144" s="391">
        <v>963</v>
      </c>
      <c r="D144" s="391" t="s">
        <v>240</v>
      </c>
      <c r="E144" s="3" t="s">
        <v>543</v>
      </c>
      <c r="F144" s="11">
        <v>150</v>
      </c>
      <c r="G144" s="391">
        <v>3</v>
      </c>
      <c r="H144" s="391">
        <v>10</v>
      </c>
      <c r="I144" s="391">
        <v>30</v>
      </c>
      <c r="J144" s="391" t="s">
        <v>402</v>
      </c>
      <c r="K144" s="262" t="s">
        <v>540</v>
      </c>
      <c r="L144" s="262" t="s">
        <v>472</v>
      </c>
      <c r="M144" s="22" t="s">
        <v>85</v>
      </c>
      <c r="N144" s="22" t="s">
        <v>86</v>
      </c>
      <c r="O144" s="391" t="s">
        <v>85</v>
      </c>
      <c r="P144" s="391" t="s">
        <v>85</v>
      </c>
      <c r="Q144" s="391" t="s">
        <v>243</v>
      </c>
      <c r="R144" s="391">
        <f>SUMIF('Lançamento de Cabos'!$B:$B,Tabela1[[#This Row],[Tag do Cabo]],'Lançamento de Cabos'!$C:$C)</f>
        <v>33</v>
      </c>
      <c r="S144" s="391">
        <f>VLOOKUP(Tabela1[[#This Row],[Tag do Cabo]],'Diagramas Ligações'!A:V,14,0)</f>
        <v>6</v>
      </c>
      <c r="T144" s="262" t="s">
        <v>415</v>
      </c>
      <c r="U144" s="391">
        <v>2</v>
      </c>
      <c r="V144" s="391" t="s">
        <v>406</v>
      </c>
      <c r="W144" s="391" t="s">
        <v>92</v>
      </c>
      <c r="X144" s="391" t="s">
        <v>92</v>
      </c>
      <c r="Y144" s="391" t="s">
        <v>92</v>
      </c>
      <c r="Z144" s="391" t="s">
        <v>92</v>
      </c>
      <c r="AA144" s="45" t="s">
        <v>92</v>
      </c>
      <c r="AB14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4" s="262" t="s">
        <v>407</v>
      </c>
      <c r="AD144" s="391">
        <f>IF(Tabela1[[#This Row],[Qtde. Lançada]]&gt;Tabela1[[#This Row],[Comprimento Total]],Tabela1[[#This Row],[Qtde. Lançada]],Tabela1[[#This Row],[Comprimento Total]])</f>
        <v>33</v>
      </c>
      <c r="AE144" s="391" t="s">
        <v>92</v>
      </c>
      <c r="AF144" s="391" t="s">
        <v>402</v>
      </c>
      <c r="AG144" s="391">
        <f ca="1">SUMIF('Lançamento de Cabos'!AE:AK,Tabela1[[#This Row],[Tag do Cabo]],'Lançamento de Cabos'!AG:AG)</f>
        <v>6</v>
      </c>
      <c r="AH144" s="29">
        <f>IFERROR(VLOOKUP(Tabela1[[#This Row],[Tag do Cabo]],'Lançamento de Cabos'!AE:AK,7,0),0)</f>
        <v>1</v>
      </c>
      <c r="AI144" s="262" t="s">
        <v>416</v>
      </c>
      <c r="AJ144" s="212" t="s">
        <v>212</v>
      </c>
      <c r="AK144" s="46" t="s">
        <v>92</v>
      </c>
    </row>
    <row r="145" spans="1:37" s="262" customFormat="1" ht="15" customHeight="1" x14ac:dyDescent="0.2">
      <c r="A145" s="168" t="s">
        <v>546</v>
      </c>
      <c r="B145" s="391" t="s">
        <v>37</v>
      </c>
      <c r="C145" s="391">
        <v>963</v>
      </c>
      <c r="D145" s="391" t="s">
        <v>240</v>
      </c>
      <c r="E145" s="3" t="s">
        <v>543</v>
      </c>
      <c r="F145" s="11">
        <v>150</v>
      </c>
      <c r="G145" s="391">
        <v>3</v>
      </c>
      <c r="H145" s="391">
        <v>10</v>
      </c>
      <c r="I145" s="391">
        <v>30</v>
      </c>
      <c r="J145" s="391" t="s">
        <v>402</v>
      </c>
      <c r="K145" s="262" t="s">
        <v>540</v>
      </c>
      <c r="L145" s="262" t="s">
        <v>472</v>
      </c>
      <c r="M145" s="22" t="s">
        <v>85</v>
      </c>
      <c r="N145" s="22" t="s">
        <v>86</v>
      </c>
      <c r="O145" s="391" t="s">
        <v>85</v>
      </c>
      <c r="P145" s="391" t="s">
        <v>85</v>
      </c>
      <c r="Q145" s="391" t="s">
        <v>243</v>
      </c>
      <c r="R145" s="391">
        <f>SUMIF('Lançamento de Cabos'!$B:$B,Tabela1[[#This Row],[Tag do Cabo]],'Lançamento de Cabos'!$C:$C)</f>
        <v>33</v>
      </c>
      <c r="S145" s="391">
        <f>VLOOKUP(Tabela1[[#This Row],[Tag do Cabo]],'Diagramas Ligações'!A:V,14,0)</f>
        <v>6</v>
      </c>
      <c r="T145" s="262" t="s">
        <v>415</v>
      </c>
      <c r="U145" s="391">
        <v>2</v>
      </c>
      <c r="V145" s="391" t="s">
        <v>406</v>
      </c>
      <c r="W145" s="391" t="s">
        <v>92</v>
      </c>
      <c r="X145" s="391" t="s">
        <v>92</v>
      </c>
      <c r="Y145" s="391" t="s">
        <v>92</v>
      </c>
      <c r="Z145" s="391" t="s">
        <v>92</v>
      </c>
      <c r="AA145" s="45" t="s">
        <v>92</v>
      </c>
      <c r="AB14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5" s="262" t="s">
        <v>407</v>
      </c>
      <c r="AD145" s="391">
        <f>IF(Tabela1[[#This Row],[Qtde. Lançada]]&gt;Tabela1[[#This Row],[Comprimento Total]],Tabela1[[#This Row],[Qtde. Lançada]],Tabela1[[#This Row],[Comprimento Total]])</f>
        <v>33</v>
      </c>
      <c r="AE145" s="391" t="s">
        <v>92</v>
      </c>
      <c r="AF145" s="391" t="s">
        <v>402</v>
      </c>
      <c r="AG145" s="391">
        <f ca="1">SUMIF('Lançamento de Cabos'!AE:AK,Tabela1[[#This Row],[Tag do Cabo]],'Lançamento de Cabos'!AG:AG)</f>
        <v>6</v>
      </c>
      <c r="AH145" s="29">
        <f>IFERROR(VLOOKUP(Tabela1[[#This Row],[Tag do Cabo]],'Lançamento de Cabos'!AE:AK,7,0),0)</f>
        <v>1</v>
      </c>
      <c r="AI145" s="262" t="s">
        <v>416</v>
      </c>
      <c r="AJ145" s="212" t="s">
        <v>212</v>
      </c>
      <c r="AK145" s="46" t="s">
        <v>92</v>
      </c>
    </row>
    <row r="146" spans="1:37" s="262" customFormat="1" ht="15" customHeight="1" x14ac:dyDescent="0.2">
      <c r="A146" s="168" t="s">
        <v>547</v>
      </c>
      <c r="B146" s="391" t="s">
        <v>37</v>
      </c>
      <c r="C146" s="391">
        <v>125</v>
      </c>
      <c r="D146" s="391" t="s">
        <v>80</v>
      </c>
      <c r="E146" s="3" t="s">
        <v>503</v>
      </c>
      <c r="F146" s="11">
        <v>2.5</v>
      </c>
      <c r="G146" s="391">
        <v>1</v>
      </c>
      <c r="H146" s="391">
        <v>20</v>
      </c>
      <c r="I146" s="391">
        <v>20</v>
      </c>
      <c r="J146" s="391" t="s">
        <v>402</v>
      </c>
      <c r="K146" s="262" t="s">
        <v>413</v>
      </c>
      <c r="L146" s="262" t="s">
        <v>418</v>
      </c>
      <c r="M146" s="22" t="s">
        <v>85</v>
      </c>
      <c r="N146" s="391" t="str">
        <f>"Sim"</f>
        <v>Sim</v>
      </c>
      <c r="O146" s="22" t="s">
        <v>86</v>
      </c>
      <c r="P146" s="22" t="s">
        <v>86</v>
      </c>
      <c r="Q146" s="391" t="s">
        <v>139</v>
      </c>
      <c r="R146" s="391">
        <f>SUMIF('Lançamento de Cabos'!$B:$B,Tabela1[[#This Row],[Tag do Cabo]],'Lançamento de Cabos'!$C:$C)</f>
        <v>20</v>
      </c>
      <c r="S146" s="391">
        <f>VLOOKUP(Tabela1[[#This Row],[Tag do Cabo]],'Diagramas Ligações'!A:V,14,0)</f>
        <v>6</v>
      </c>
      <c r="T146" s="262" t="s">
        <v>415</v>
      </c>
      <c r="U146" s="391">
        <v>2</v>
      </c>
      <c r="V146" s="391" t="s">
        <v>406</v>
      </c>
      <c r="W146" s="391" t="s">
        <v>92</v>
      </c>
      <c r="X146" s="391" t="s">
        <v>92</v>
      </c>
      <c r="Y146" s="391" t="s">
        <v>92</v>
      </c>
      <c r="Z146" s="391" t="s">
        <v>92</v>
      </c>
      <c r="AA146" s="45" t="s">
        <v>92</v>
      </c>
      <c r="AB14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6" s="262" t="s">
        <v>407</v>
      </c>
      <c r="AD146" s="391">
        <f>IF(Tabela1[[#This Row],[Qtde. Lançada]]&gt;Tabela1[[#This Row],[Comprimento Total]],Tabela1[[#This Row],[Qtde. Lançada]],Tabela1[[#This Row],[Comprimento Total]])</f>
        <v>20</v>
      </c>
      <c r="AE146" s="391" t="s">
        <v>92</v>
      </c>
      <c r="AF146" s="391" t="s">
        <v>402</v>
      </c>
      <c r="AG146" s="391">
        <f ca="1">SUMIF('Lançamento de Cabos'!AE:AK,Tabela1[[#This Row],[Tag do Cabo]],'Lançamento de Cabos'!AG:AG)</f>
        <v>6</v>
      </c>
      <c r="AH146" s="29">
        <f>IFERROR(VLOOKUP(Tabela1[[#This Row],[Tag do Cabo]],'Lançamento de Cabos'!AE:AK,7,0),0)</f>
        <v>1</v>
      </c>
      <c r="AI146" s="262" t="s">
        <v>416</v>
      </c>
      <c r="AJ146" s="212" t="s">
        <v>95</v>
      </c>
      <c r="AK146" s="46" t="s">
        <v>92</v>
      </c>
    </row>
    <row r="147" spans="1:37" s="262" customFormat="1" ht="15" customHeight="1" x14ac:dyDescent="0.2">
      <c r="A147" s="168" t="s">
        <v>548</v>
      </c>
      <c r="B147" s="391" t="s">
        <v>38</v>
      </c>
      <c r="C147" s="391" t="s">
        <v>92</v>
      </c>
      <c r="D147" s="391" t="s">
        <v>92</v>
      </c>
      <c r="E147" s="3" t="s">
        <v>470</v>
      </c>
      <c r="F147" s="11">
        <v>1.5</v>
      </c>
      <c r="G147" s="391">
        <v>1</v>
      </c>
      <c r="H147" s="391">
        <v>18</v>
      </c>
      <c r="I147" s="391">
        <v>18</v>
      </c>
      <c r="J147" s="391" t="s">
        <v>402</v>
      </c>
      <c r="K147" s="262" t="s">
        <v>413</v>
      </c>
      <c r="L147" s="262" t="s">
        <v>412</v>
      </c>
      <c r="M147" s="22" t="s">
        <v>85</v>
      </c>
      <c r="N147" s="391" t="str">
        <f>"Sim"</f>
        <v>Sim</v>
      </c>
      <c r="O147" s="22" t="s">
        <v>86</v>
      </c>
      <c r="P147" s="22" t="s">
        <v>86</v>
      </c>
      <c r="Q147" s="91" t="s">
        <v>184</v>
      </c>
      <c r="R147" s="391">
        <f>SUMIF('Lançamento de Cabos'!$B:$B,Tabela1[[#This Row],[Tag do Cabo]],'Lançamento de Cabos'!$C:$C)</f>
        <v>18</v>
      </c>
      <c r="S147" s="391">
        <f>VLOOKUP(Tabela1[[#This Row],[Tag do Cabo]],'Diagramas Ligações'!A:V,14,0)</f>
        <v>8</v>
      </c>
      <c r="T147" s="262" t="s">
        <v>405</v>
      </c>
      <c r="U147" s="391">
        <v>2</v>
      </c>
      <c r="V147" s="391" t="s">
        <v>406</v>
      </c>
      <c r="W147" s="391" t="s">
        <v>92</v>
      </c>
      <c r="X147" s="391" t="s">
        <v>92</v>
      </c>
      <c r="Y147" s="391" t="s">
        <v>92</v>
      </c>
      <c r="Z147" s="391" t="s">
        <v>92</v>
      </c>
      <c r="AA147" s="45" t="s">
        <v>92</v>
      </c>
      <c r="AB14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7" s="262" t="s">
        <v>407</v>
      </c>
      <c r="AD147" s="391">
        <f>IF(Tabela1[[#This Row],[Qtde. Lançada]]&gt;Tabela1[[#This Row],[Comprimento Total]],Tabela1[[#This Row],[Qtde. Lançada]],Tabela1[[#This Row],[Comprimento Total]])</f>
        <v>18</v>
      </c>
      <c r="AE147" s="391" t="s">
        <v>92</v>
      </c>
      <c r="AF147" s="391" t="s">
        <v>402</v>
      </c>
      <c r="AG147" s="391">
        <f ca="1">SUMIF('Lançamento de Cabos'!AE:AK,Tabela1[[#This Row],[Tag do Cabo]],'Lançamento de Cabos'!AG:AG)</f>
        <v>4</v>
      </c>
      <c r="AH147" s="29">
        <f>IFERROR(VLOOKUP(Tabela1[[#This Row],[Tag do Cabo]],'Lançamento de Cabos'!AE:AK,7,0),0)</f>
        <v>0.5</v>
      </c>
      <c r="AI147" s="262" t="s">
        <v>408</v>
      </c>
      <c r="AJ147" s="212" t="s">
        <v>202</v>
      </c>
      <c r="AK147" s="46" t="s">
        <v>92</v>
      </c>
    </row>
    <row r="148" spans="1:37" s="262" customFormat="1" ht="15" customHeight="1" x14ac:dyDescent="0.2">
      <c r="A148" s="168" t="s">
        <v>549</v>
      </c>
      <c r="B148" s="391" t="s">
        <v>38</v>
      </c>
      <c r="C148" s="391" t="s">
        <v>92</v>
      </c>
      <c r="D148" s="391" t="s">
        <v>92</v>
      </c>
      <c r="E148" s="3" t="s">
        <v>470</v>
      </c>
      <c r="F148" s="11">
        <v>1.5</v>
      </c>
      <c r="G148" s="391">
        <v>1</v>
      </c>
      <c r="H148" s="391">
        <v>20</v>
      </c>
      <c r="I148" s="391">
        <v>20</v>
      </c>
      <c r="J148" s="391" t="s">
        <v>402</v>
      </c>
      <c r="K148" s="262" t="s">
        <v>413</v>
      </c>
      <c r="L148" s="262" t="s">
        <v>418</v>
      </c>
      <c r="M148" s="22" t="s">
        <v>85</v>
      </c>
      <c r="N148" s="391" t="str">
        <f>"Sim"</f>
        <v>Sim</v>
      </c>
      <c r="O148" s="22" t="s">
        <v>86</v>
      </c>
      <c r="P148" s="22" t="s">
        <v>86</v>
      </c>
      <c r="Q148" s="91" t="s">
        <v>184</v>
      </c>
      <c r="R148" s="391">
        <f>SUMIF('Lançamento de Cabos'!$B:$B,Tabela1[[#This Row],[Tag do Cabo]],'Lançamento de Cabos'!$C:$C)</f>
        <v>20</v>
      </c>
      <c r="S148" s="391">
        <f>VLOOKUP(Tabela1[[#This Row],[Tag do Cabo]],'Diagramas Ligações'!A:V,14,0)</f>
        <v>8</v>
      </c>
      <c r="T148" s="262" t="s">
        <v>405</v>
      </c>
      <c r="U148" s="391">
        <v>2</v>
      </c>
      <c r="V148" s="391" t="s">
        <v>406</v>
      </c>
      <c r="W148" s="391" t="s">
        <v>92</v>
      </c>
      <c r="X148" s="391" t="s">
        <v>92</v>
      </c>
      <c r="Y148" s="391" t="s">
        <v>92</v>
      </c>
      <c r="Z148" s="391" t="s">
        <v>92</v>
      </c>
      <c r="AA148" s="45" t="s">
        <v>92</v>
      </c>
      <c r="AB14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8" s="262" t="s">
        <v>407</v>
      </c>
      <c r="AD148" s="391">
        <f>IF(Tabela1[[#This Row],[Qtde. Lançada]]&gt;Tabela1[[#This Row],[Comprimento Total]],Tabela1[[#This Row],[Qtde. Lançada]],Tabela1[[#This Row],[Comprimento Total]])</f>
        <v>20</v>
      </c>
      <c r="AE148" s="391" t="s">
        <v>92</v>
      </c>
      <c r="AF148" s="391" t="s">
        <v>402</v>
      </c>
      <c r="AG148" s="391">
        <f ca="1">SUMIF('Lançamento de Cabos'!AE:AK,Tabela1[[#This Row],[Tag do Cabo]],'Lançamento de Cabos'!AG:AG)</f>
        <v>8</v>
      </c>
      <c r="AH148" s="29">
        <f>IFERROR(VLOOKUP(Tabela1[[#This Row],[Tag do Cabo]],'Lançamento de Cabos'!AE:AK,7,0),0)</f>
        <v>1</v>
      </c>
      <c r="AI148" s="262" t="s">
        <v>408</v>
      </c>
      <c r="AJ148" s="212" t="s">
        <v>202</v>
      </c>
      <c r="AK148" s="46" t="s">
        <v>92</v>
      </c>
    </row>
    <row r="149" spans="1:37" s="262" customFormat="1" ht="15" customHeight="1" x14ac:dyDescent="0.2">
      <c r="A149" s="168" t="s">
        <v>550</v>
      </c>
      <c r="B149" s="391" t="s">
        <v>37</v>
      </c>
      <c r="C149" s="391">
        <v>1800</v>
      </c>
      <c r="D149" s="391" t="s">
        <v>240</v>
      </c>
      <c r="E149" s="3" t="s">
        <v>551</v>
      </c>
      <c r="F149" s="11">
        <v>150</v>
      </c>
      <c r="G149" s="391">
        <v>6</v>
      </c>
      <c r="H149" s="391">
        <v>10</v>
      </c>
      <c r="I149" s="391">
        <v>60</v>
      </c>
      <c r="J149" s="391" t="s">
        <v>402</v>
      </c>
      <c r="K149" s="262" t="s">
        <v>413</v>
      </c>
      <c r="L149" s="262" t="s">
        <v>552</v>
      </c>
      <c r="M149" s="22" t="s">
        <v>85</v>
      </c>
      <c r="N149" s="22" t="s">
        <v>86</v>
      </c>
      <c r="O149" s="391" t="s">
        <v>85</v>
      </c>
      <c r="P149" s="391" t="s">
        <v>85</v>
      </c>
      <c r="Q149" s="391" t="s">
        <v>243</v>
      </c>
      <c r="R149" s="391">
        <f>SUMIF('Lançamento de Cabos'!$B:$B,Tabela1[[#This Row],[Tag do Cabo]],'Lançamento de Cabos'!$C:$C)</f>
        <v>60</v>
      </c>
      <c r="S149" s="391">
        <f>VLOOKUP(Tabela1[[#This Row],[Tag do Cabo]],'Diagramas Ligações'!A:V,14,0)</f>
        <v>12</v>
      </c>
      <c r="T149" s="262" t="s">
        <v>415</v>
      </c>
      <c r="U149" s="391">
        <v>2</v>
      </c>
      <c r="V149" s="391" t="s">
        <v>406</v>
      </c>
      <c r="W149" s="391" t="s">
        <v>92</v>
      </c>
      <c r="X149" s="391" t="s">
        <v>92</v>
      </c>
      <c r="Y149" s="391" t="s">
        <v>92</v>
      </c>
      <c r="Z149" s="391" t="s">
        <v>92</v>
      </c>
      <c r="AA149" s="45" t="s">
        <v>92</v>
      </c>
      <c r="AB14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49" s="262" t="s">
        <v>407</v>
      </c>
      <c r="AD149" s="391">
        <f>IF(Tabela1[[#This Row],[Qtde. Lançada]]&gt;Tabela1[[#This Row],[Comprimento Total]],Tabela1[[#This Row],[Qtde. Lançada]],Tabela1[[#This Row],[Comprimento Total]])</f>
        <v>60</v>
      </c>
      <c r="AE149" s="391" t="s">
        <v>92</v>
      </c>
      <c r="AF149" s="391" t="s">
        <v>402</v>
      </c>
      <c r="AG149" s="391">
        <f ca="1">SUMIF('Lançamento de Cabos'!AE:AK,Tabela1[[#This Row],[Tag do Cabo]],'Lançamento de Cabos'!AG:AG)</f>
        <v>12</v>
      </c>
      <c r="AH149" s="29">
        <f>IFERROR(VLOOKUP(Tabela1[[#This Row],[Tag do Cabo]],'Lançamento de Cabos'!AE:AK,7,0),0)</f>
        <v>1</v>
      </c>
      <c r="AI149" s="262" t="s">
        <v>416</v>
      </c>
      <c r="AJ149" s="212" t="s">
        <v>261</v>
      </c>
      <c r="AK149" s="46" t="s">
        <v>92</v>
      </c>
    </row>
    <row r="150" spans="1:37" s="262" customFormat="1" ht="15" customHeight="1" x14ac:dyDescent="0.2">
      <c r="A150" s="168" t="s">
        <v>553</v>
      </c>
      <c r="B150" s="391" t="s">
        <v>37</v>
      </c>
      <c r="C150" s="391">
        <v>1800</v>
      </c>
      <c r="D150" s="391" t="s">
        <v>240</v>
      </c>
      <c r="E150" s="3" t="s">
        <v>551</v>
      </c>
      <c r="F150" s="11">
        <v>150</v>
      </c>
      <c r="G150" s="391">
        <v>6</v>
      </c>
      <c r="H150" s="391">
        <v>10</v>
      </c>
      <c r="I150" s="391">
        <v>60</v>
      </c>
      <c r="J150" s="391" t="s">
        <v>402</v>
      </c>
      <c r="K150" s="262" t="s">
        <v>413</v>
      </c>
      <c r="L150" s="262" t="s">
        <v>552</v>
      </c>
      <c r="M150" s="22" t="s">
        <v>85</v>
      </c>
      <c r="N150" s="22" t="s">
        <v>86</v>
      </c>
      <c r="O150" s="391" t="s">
        <v>85</v>
      </c>
      <c r="P150" s="391" t="s">
        <v>85</v>
      </c>
      <c r="Q150" s="391" t="s">
        <v>243</v>
      </c>
      <c r="R150" s="391">
        <f>SUMIF('Lançamento de Cabos'!$B:$B,Tabela1[[#This Row],[Tag do Cabo]],'Lançamento de Cabos'!$C:$C)</f>
        <v>60</v>
      </c>
      <c r="S150" s="391">
        <f>VLOOKUP(Tabela1[[#This Row],[Tag do Cabo]],'Diagramas Ligações'!A:V,14,0)</f>
        <v>12</v>
      </c>
      <c r="T150" s="262" t="s">
        <v>415</v>
      </c>
      <c r="U150" s="391">
        <v>2</v>
      </c>
      <c r="V150" s="391" t="s">
        <v>406</v>
      </c>
      <c r="W150" s="391" t="s">
        <v>92</v>
      </c>
      <c r="X150" s="391" t="s">
        <v>92</v>
      </c>
      <c r="Y150" s="391" t="s">
        <v>92</v>
      </c>
      <c r="Z150" s="391" t="s">
        <v>92</v>
      </c>
      <c r="AA150" s="45" t="s">
        <v>92</v>
      </c>
      <c r="AB15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0" s="262" t="s">
        <v>407</v>
      </c>
      <c r="AD150" s="391">
        <f>IF(Tabela1[[#This Row],[Qtde. Lançada]]&gt;Tabela1[[#This Row],[Comprimento Total]],Tabela1[[#This Row],[Qtde. Lançada]],Tabela1[[#This Row],[Comprimento Total]])</f>
        <v>60</v>
      </c>
      <c r="AE150" s="391" t="s">
        <v>92</v>
      </c>
      <c r="AF150" s="391" t="s">
        <v>402</v>
      </c>
      <c r="AG150" s="391">
        <f ca="1">SUMIF('Lançamento de Cabos'!AE:AK,Tabela1[[#This Row],[Tag do Cabo]],'Lançamento de Cabos'!AG:AG)</f>
        <v>12</v>
      </c>
      <c r="AH150" s="29">
        <f>IFERROR(VLOOKUP(Tabela1[[#This Row],[Tag do Cabo]],'Lançamento de Cabos'!AE:AK,7,0),0)</f>
        <v>1</v>
      </c>
      <c r="AI150" s="262" t="s">
        <v>416</v>
      </c>
      <c r="AJ150" s="212" t="s">
        <v>261</v>
      </c>
      <c r="AK150" s="46" t="s">
        <v>92</v>
      </c>
    </row>
    <row r="151" spans="1:37" s="262" customFormat="1" ht="15" customHeight="1" x14ac:dyDescent="0.2">
      <c r="A151" s="168" t="s">
        <v>554</v>
      </c>
      <c r="B151" s="391" t="s">
        <v>37</v>
      </c>
      <c r="C151" s="391">
        <v>1800</v>
      </c>
      <c r="D151" s="391" t="s">
        <v>240</v>
      </c>
      <c r="E151" s="3" t="s">
        <v>551</v>
      </c>
      <c r="F151" s="11">
        <v>150</v>
      </c>
      <c r="G151" s="391">
        <v>6</v>
      </c>
      <c r="H151" s="391">
        <v>11</v>
      </c>
      <c r="I151" s="391">
        <v>66</v>
      </c>
      <c r="J151" s="391" t="s">
        <v>402</v>
      </c>
      <c r="K151" s="262" t="s">
        <v>418</v>
      </c>
      <c r="L151" s="262" t="s">
        <v>552</v>
      </c>
      <c r="M151" s="22" t="s">
        <v>85</v>
      </c>
      <c r="N151" s="22" t="s">
        <v>86</v>
      </c>
      <c r="O151" s="391" t="s">
        <v>85</v>
      </c>
      <c r="P151" s="391" t="s">
        <v>85</v>
      </c>
      <c r="Q151" s="391" t="s">
        <v>243</v>
      </c>
      <c r="R151" s="391">
        <f>SUMIF('Lançamento de Cabos'!$B:$B,Tabela1[[#This Row],[Tag do Cabo]],'Lançamento de Cabos'!$C:$C)</f>
        <v>66</v>
      </c>
      <c r="S151" s="391">
        <f>VLOOKUP(Tabela1[[#This Row],[Tag do Cabo]],'Diagramas Ligações'!A:V,14,0)</f>
        <v>12</v>
      </c>
      <c r="T151" s="262" t="s">
        <v>415</v>
      </c>
      <c r="U151" s="391">
        <v>2</v>
      </c>
      <c r="V151" s="391" t="s">
        <v>406</v>
      </c>
      <c r="W151" s="391" t="s">
        <v>92</v>
      </c>
      <c r="X151" s="391" t="s">
        <v>92</v>
      </c>
      <c r="Y151" s="391" t="s">
        <v>92</v>
      </c>
      <c r="Z151" s="391" t="s">
        <v>92</v>
      </c>
      <c r="AA151" s="45" t="s">
        <v>92</v>
      </c>
      <c r="AB15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1" s="262" t="s">
        <v>407</v>
      </c>
      <c r="AD151" s="391">
        <f>IF(Tabela1[[#This Row],[Qtde. Lançada]]&gt;Tabela1[[#This Row],[Comprimento Total]],Tabela1[[#This Row],[Qtde. Lançada]],Tabela1[[#This Row],[Comprimento Total]])</f>
        <v>66</v>
      </c>
      <c r="AE151" s="391" t="s">
        <v>92</v>
      </c>
      <c r="AF151" s="391" t="s">
        <v>402</v>
      </c>
      <c r="AG151" s="391">
        <f ca="1">SUMIF('Lançamento de Cabos'!AE:AK,Tabela1[[#This Row],[Tag do Cabo]],'Lançamento de Cabos'!AG:AG)</f>
        <v>12</v>
      </c>
      <c r="AH151" s="29">
        <f>IFERROR(VLOOKUP(Tabela1[[#This Row],[Tag do Cabo]],'Lançamento de Cabos'!AE:AK,7,0),0)</f>
        <v>1</v>
      </c>
      <c r="AI151" s="262" t="s">
        <v>416</v>
      </c>
      <c r="AJ151" s="212" t="s">
        <v>261</v>
      </c>
      <c r="AK151" s="46" t="s">
        <v>92</v>
      </c>
    </row>
    <row r="152" spans="1:37" s="262" customFormat="1" ht="15" customHeight="1" x14ac:dyDescent="0.2">
      <c r="A152" s="168" t="s">
        <v>555</v>
      </c>
      <c r="B152" s="391" t="s">
        <v>37</v>
      </c>
      <c r="C152" s="391">
        <v>1800</v>
      </c>
      <c r="D152" s="391" t="s">
        <v>240</v>
      </c>
      <c r="E152" s="3" t="s">
        <v>551</v>
      </c>
      <c r="F152" s="11">
        <v>150</v>
      </c>
      <c r="G152" s="391">
        <v>6</v>
      </c>
      <c r="H152" s="391">
        <v>11</v>
      </c>
      <c r="I152" s="391">
        <v>66</v>
      </c>
      <c r="J152" s="391" t="s">
        <v>402</v>
      </c>
      <c r="K152" s="262" t="s">
        <v>418</v>
      </c>
      <c r="L152" s="262" t="s">
        <v>552</v>
      </c>
      <c r="M152" s="22" t="s">
        <v>85</v>
      </c>
      <c r="N152" s="22" t="s">
        <v>86</v>
      </c>
      <c r="O152" s="391" t="s">
        <v>85</v>
      </c>
      <c r="P152" s="391" t="s">
        <v>85</v>
      </c>
      <c r="Q152" s="391" t="s">
        <v>243</v>
      </c>
      <c r="R152" s="391">
        <f>SUMIF('Lançamento de Cabos'!$B:$B,Tabela1[[#This Row],[Tag do Cabo]],'Lançamento de Cabos'!$C:$C)</f>
        <v>66</v>
      </c>
      <c r="S152" s="391">
        <f>VLOOKUP(Tabela1[[#This Row],[Tag do Cabo]],'Diagramas Ligações'!A:V,14,0)</f>
        <v>12</v>
      </c>
      <c r="T152" s="262" t="s">
        <v>415</v>
      </c>
      <c r="U152" s="391">
        <v>2</v>
      </c>
      <c r="V152" s="391" t="s">
        <v>406</v>
      </c>
      <c r="W152" s="391" t="s">
        <v>92</v>
      </c>
      <c r="X152" s="391" t="s">
        <v>92</v>
      </c>
      <c r="Y152" s="391" t="s">
        <v>92</v>
      </c>
      <c r="Z152" s="391" t="s">
        <v>92</v>
      </c>
      <c r="AA152" s="45" t="s">
        <v>92</v>
      </c>
      <c r="AB15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2" s="262" t="s">
        <v>407</v>
      </c>
      <c r="AD152" s="391">
        <f>IF(Tabela1[[#This Row],[Qtde. Lançada]]&gt;Tabela1[[#This Row],[Comprimento Total]],Tabela1[[#This Row],[Qtde. Lançada]],Tabela1[[#This Row],[Comprimento Total]])</f>
        <v>66</v>
      </c>
      <c r="AE152" s="391" t="s">
        <v>92</v>
      </c>
      <c r="AF152" s="391" t="s">
        <v>402</v>
      </c>
      <c r="AG152" s="391">
        <f ca="1">SUMIF('Lançamento de Cabos'!AE:AK,Tabela1[[#This Row],[Tag do Cabo]],'Lançamento de Cabos'!AG:AG)</f>
        <v>12</v>
      </c>
      <c r="AH152" s="29">
        <f>IFERROR(VLOOKUP(Tabela1[[#This Row],[Tag do Cabo]],'Lançamento de Cabos'!AE:AK,7,0),0)</f>
        <v>1</v>
      </c>
      <c r="AI152" s="262" t="s">
        <v>416</v>
      </c>
      <c r="AJ152" s="212" t="s">
        <v>261</v>
      </c>
      <c r="AK152" s="46" t="s">
        <v>92</v>
      </c>
    </row>
    <row r="153" spans="1:37" s="262" customFormat="1" ht="15" customHeight="1" x14ac:dyDescent="0.2">
      <c r="A153" s="168" t="s">
        <v>556</v>
      </c>
      <c r="B153" s="391" t="s">
        <v>37</v>
      </c>
      <c r="C153" s="391">
        <v>125</v>
      </c>
      <c r="D153" s="391" t="s">
        <v>80</v>
      </c>
      <c r="E153" s="3" t="s">
        <v>503</v>
      </c>
      <c r="F153" s="11">
        <v>2.5</v>
      </c>
      <c r="G153" s="391">
        <v>1</v>
      </c>
      <c r="H153" s="391">
        <v>10</v>
      </c>
      <c r="I153" s="391">
        <v>10</v>
      </c>
      <c r="J153" s="391" t="s">
        <v>402</v>
      </c>
      <c r="K153" s="262" t="s">
        <v>424</v>
      </c>
      <c r="L153" s="262" t="s">
        <v>426</v>
      </c>
      <c r="M153" s="22" t="s">
        <v>85</v>
      </c>
      <c r="N153" s="391" t="str">
        <f>"Sim"</f>
        <v>Sim</v>
      </c>
      <c r="O153" s="22" t="s">
        <v>86</v>
      </c>
      <c r="P153" s="22" t="s">
        <v>86</v>
      </c>
      <c r="Q153" s="391" t="s">
        <v>139</v>
      </c>
      <c r="R153" s="391">
        <f>SUMIF('Lançamento de Cabos'!$B:$B,Tabela1[[#This Row],[Tag do Cabo]],'Lançamento de Cabos'!$C:$C)</f>
        <v>10</v>
      </c>
      <c r="S153" s="391">
        <f>VLOOKUP(Tabela1[[#This Row],[Tag do Cabo]],'Diagramas Ligações'!A:V,14,0)</f>
        <v>6</v>
      </c>
      <c r="T153" s="262" t="s">
        <v>415</v>
      </c>
      <c r="U153" s="391">
        <v>2</v>
      </c>
      <c r="V153" s="391" t="s">
        <v>406</v>
      </c>
      <c r="W153" s="391" t="s">
        <v>92</v>
      </c>
      <c r="X153" s="391" t="s">
        <v>92</v>
      </c>
      <c r="Y153" s="391" t="s">
        <v>92</v>
      </c>
      <c r="Z153" s="391" t="s">
        <v>92</v>
      </c>
      <c r="AA153" s="45" t="s">
        <v>92</v>
      </c>
      <c r="AB15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3" s="262" t="s">
        <v>407</v>
      </c>
      <c r="AD153" s="391">
        <f>IF(Tabela1[[#This Row],[Qtde. Lançada]]&gt;Tabela1[[#This Row],[Comprimento Total]],Tabela1[[#This Row],[Qtde. Lançada]],Tabela1[[#This Row],[Comprimento Total]])</f>
        <v>10</v>
      </c>
      <c r="AE153" s="391" t="s">
        <v>92</v>
      </c>
      <c r="AF153" s="391" t="s">
        <v>402</v>
      </c>
      <c r="AG153" s="391">
        <f ca="1">SUMIF('Lançamento de Cabos'!AE:AK,Tabela1[[#This Row],[Tag do Cabo]],'Lançamento de Cabos'!AG:AG)</f>
        <v>6</v>
      </c>
      <c r="AH153" s="29">
        <f>IFERROR(VLOOKUP(Tabela1[[#This Row],[Tag do Cabo]],'Lançamento de Cabos'!AE:AK,7,0),0)</f>
        <v>1</v>
      </c>
      <c r="AI153" s="262" t="s">
        <v>416</v>
      </c>
      <c r="AJ153" s="212" t="s">
        <v>95</v>
      </c>
      <c r="AK153" s="46" t="s">
        <v>92</v>
      </c>
    </row>
    <row r="154" spans="1:37" s="262" customFormat="1" ht="15" customHeight="1" x14ac:dyDescent="0.2">
      <c r="A154" s="168" t="s">
        <v>557</v>
      </c>
      <c r="B154" s="391" t="s">
        <v>38</v>
      </c>
      <c r="C154" s="391" t="s">
        <v>92</v>
      </c>
      <c r="D154" s="391" t="s">
        <v>92</v>
      </c>
      <c r="E154" s="3" t="s">
        <v>470</v>
      </c>
      <c r="F154" s="11">
        <v>1.5</v>
      </c>
      <c r="G154" s="391">
        <v>1</v>
      </c>
      <c r="H154" s="391">
        <v>18</v>
      </c>
      <c r="I154" s="391">
        <v>18</v>
      </c>
      <c r="J154" s="391" t="s">
        <v>402</v>
      </c>
      <c r="K154" s="262" t="s">
        <v>424</v>
      </c>
      <c r="L154" s="262" t="s">
        <v>412</v>
      </c>
      <c r="M154" s="22" t="s">
        <v>85</v>
      </c>
      <c r="N154" s="391" t="str">
        <f>"Sim"</f>
        <v>Sim</v>
      </c>
      <c r="O154" s="22" t="s">
        <v>86</v>
      </c>
      <c r="P154" s="22" t="s">
        <v>86</v>
      </c>
      <c r="Q154" s="91" t="s">
        <v>184</v>
      </c>
      <c r="R154" s="391">
        <f>SUMIF('Lançamento de Cabos'!$B:$B,Tabela1[[#This Row],[Tag do Cabo]],'Lançamento de Cabos'!$C:$C)</f>
        <v>18</v>
      </c>
      <c r="S154" s="391">
        <f>VLOOKUP(Tabela1[[#This Row],[Tag do Cabo]],'Diagramas Ligações'!A:V,14,0)</f>
        <v>8</v>
      </c>
      <c r="T154" s="262" t="s">
        <v>405</v>
      </c>
      <c r="U154" s="391">
        <v>2</v>
      </c>
      <c r="V154" s="391" t="s">
        <v>406</v>
      </c>
      <c r="W154" s="391" t="s">
        <v>92</v>
      </c>
      <c r="X154" s="391" t="s">
        <v>92</v>
      </c>
      <c r="Y154" s="391" t="s">
        <v>92</v>
      </c>
      <c r="Z154" s="391" t="s">
        <v>92</v>
      </c>
      <c r="AA154" s="45" t="s">
        <v>92</v>
      </c>
      <c r="AB15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4" s="262" t="s">
        <v>407</v>
      </c>
      <c r="AD154" s="391">
        <f>IF(Tabela1[[#This Row],[Qtde. Lançada]]&gt;Tabela1[[#This Row],[Comprimento Total]],Tabela1[[#This Row],[Qtde. Lançada]],Tabela1[[#This Row],[Comprimento Total]])</f>
        <v>18</v>
      </c>
      <c r="AE154" s="391" t="s">
        <v>92</v>
      </c>
      <c r="AF154" s="391" t="s">
        <v>402</v>
      </c>
      <c r="AG154" s="391">
        <f ca="1">SUMIF('Lançamento de Cabos'!AE:AK,Tabela1[[#This Row],[Tag do Cabo]],'Lançamento de Cabos'!AG:AG)</f>
        <v>8</v>
      </c>
      <c r="AH154" s="29">
        <f>IFERROR(VLOOKUP(Tabela1[[#This Row],[Tag do Cabo]],'Lançamento de Cabos'!AE:AK,7,0),0)</f>
        <v>1</v>
      </c>
      <c r="AI154" s="262" t="s">
        <v>408</v>
      </c>
      <c r="AJ154" s="212" t="s">
        <v>202</v>
      </c>
      <c r="AK154" s="46" t="s">
        <v>92</v>
      </c>
    </row>
    <row r="155" spans="1:37" s="262" customFormat="1" ht="15" customHeight="1" x14ac:dyDescent="0.2">
      <c r="A155" s="168" t="s">
        <v>558</v>
      </c>
      <c r="B155" s="391" t="s">
        <v>38</v>
      </c>
      <c r="C155" s="391" t="s">
        <v>92</v>
      </c>
      <c r="D155" s="391" t="s">
        <v>92</v>
      </c>
      <c r="E155" s="3" t="s">
        <v>470</v>
      </c>
      <c r="F155" s="11">
        <v>1.5</v>
      </c>
      <c r="G155" s="391">
        <v>1</v>
      </c>
      <c r="H155" s="391">
        <v>10</v>
      </c>
      <c r="I155" s="391">
        <v>10</v>
      </c>
      <c r="J155" s="391" t="s">
        <v>402</v>
      </c>
      <c r="K155" s="262" t="s">
        <v>424</v>
      </c>
      <c r="L155" s="262" t="s">
        <v>426</v>
      </c>
      <c r="M155" s="22" t="s">
        <v>85</v>
      </c>
      <c r="N155" s="391" t="str">
        <f>"Sim"</f>
        <v>Sim</v>
      </c>
      <c r="O155" s="22" t="s">
        <v>86</v>
      </c>
      <c r="P155" s="22" t="s">
        <v>86</v>
      </c>
      <c r="Q155" s="91" t="s">
        <v>184</v>
      </c>
      <c r="R155" s="391">
        <f>SUMIF('Lançamento de Cabos'!$B:$B,Tabela1[[#This Row],[Tag do Cabo]],'Lançamento de Cabos'!$C:$C)</f>
        <v>10</v>
      </c>
      <c r="S155" s="391">
        <f>VLOOKUP(Tabela1[[#This Row],[Tag do Cabo]],'Diagramas Ligações'!A:V,14,0)</f>
        <v>8</v>
      </c>
      <c r="T155" s="262" t="s">
        <v>405</v>
      </c>
      <c r="U155" s="391">
        <v>2</v>
      </c>
      <c r="V155" s="391" t="s">
        <v>406</v>
      </c>
      <c r="W155" s="391" t="s">
        <v>92</v>
      </c>
      <c r="X155" s="391" t="s">
        <v>92</v>
      </c>
      <c r="Y155" s="391" t="s">
        <v>92</v>
      </c>
      <c r="Z155" s="391" t="s">
        <v>92</v>
      </c>
      <c r="AA155" s="45" t="s">
        <v>92</v>
      </c>
      <c r="AB15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5" s="262" t="s">
        <v>407</v>
      </c>
      <c r="AD155" s="391">
        <f>IF(Tabela1[[#This Row],[Qtde. Lançada]]&gt;Tabela1[[#This Row],[Comprimento Total]],Tabela1[[#This Row],[Qtde. Lançada]],Tabela1[[#This Row],[Comprimento Total]])</f>
        <v>10</v>
      </c>
      <c r="AE155" s="391" t="s">
        <v>92</v>
      </c>
      <c r="AF155" s="391" t="s">
        <v>402</v>
      </c>
      <c r="AG155" s="391">
        <f ca="1">SUMIF('Lançamento de Cabos'!AE:AK,Tabela1[[#This Row],[Tag do Cabo]],'Lançamento de Cabos'!AG:AG)</f>
        <v>8</v>
      </c>
      <c r="AH155" s="29">
        <f>IFERROR(VLOOKUP(Tabela1[[#This Row],[Tag do Cabo]],'Lançamento de Cabos'!AE:AK,7,0),0)</f>
        <v>1</v>
      </c>
      <c r="AI155" s="262" t="s">
        <v>408</v>
      </c>
      <c r="AJ155" s="212" t="s">
        <v>202</v>
      </c>
      <c r="AK155" s="46" t="s">
        <v>92</v>
      </c>
    </row>
    <row r="156" spans="1:37" s="262" customFormat="1" ht="15" customHeight="1" x14ac:dyDescent="0.2">
      <c r="A156" s="168" t="s">
        <v>559</v>
      </c>
      <c r="B156" s="391" t="s">
        <v>37</v>
      </c>
      <c r="C156" s="391">
        <v>960</v>
      </c>
      <c r="D156" s="391" t="s">
        <v>240</v>
      </c>
      <c r="E156" s="3" t="s">
        <v>560</v>
      </c>
      <c r="F156" s="11">
        <v>120</v>
      </c>
      <c r="G156" s="391">
        <v>6</v>
      </c>
      <c r="H156" s="391">
        <v>15</v>
      </c>
      <c r="I156" s="391">
        <v>90</v>
      </c>
      <c r="J156" s="391" t="s">
        <v>402</v>
      </c>
      <c r="K156" s="262" t="s">
        <v>424</v>
      </c>
      <c r="L156" s="262" t="s">
        <v>466</v>
      </c>
      <c r="M156" s="22" t="s">
        <v>85</v>
      </c>
      <c r="N156" s="22" t="s">
        <v>86</v>
      </c>
      <c r="O156" s="391" t="s">
        <v>85</v>
      </c>
      <c r="P156" s="391" t="s">
        <v>85</v>
      </c>
      <c r="Q156" s="91" t="s">
        <v>243</v>
      </c>
      <c r="R156" s="391">
        <f>SUMIF('Lançamento de Cabos'!$B:$B,Tabela1[[#This Row],[Tag do Cabo]],'Lançamento de Cabos'!$C:$C)</f>
        <v>108</v>
      </c>
      <c r="S156" s="391">
        <f>VLOOKUP(Tabela1[[#This Row],[Tag do Cabo]],'Diagramas Ligações'!A:V,14,0)</f>
        <v>12</v>
      </c>
      <c r="T156" s="262" t="s">
        <v>415</v>
      </c>
      <c r="U156" s="391">
        <v>2</v>
      </c>
      <c r="V156" s="391" t="s">
        <v>406</v>
      </c>
      <c r="W156" s="391" t="s">
        <v>92</v>
      </c>
      <c r="X156" s="391" t="s">
        <v>92</v>
      </c>
      <c r="Y156" s="391" t="s">
        <v>92</v>
      </c>
      <c r="Z156" s="391" t="s">
        <v>92</v>
      </c>
      <c r="AA156" s="45" t="s">
        <v>92</v>
      </c>
      <c r="AB15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6" s="262" t="s">
        <v>407</v>
      </c>
      <c r="AD156" s="391">
        <f>IF(Tabela1[[#This Row],[Qtde. Lançada]]&gt;Tabela1[[#This Row],[Comprimento Total]],Tabela1[[#This Row],[Qtde. Lançada]],Tabela1[[#This Row],[Comprimento Total]])</f>
        <v>108</v>
      </c>
      <c r="AE156" s="391" t="s">
        <v>92</v>
      </c>
      <c r="AF156" s="391" t="s">
        <v>402</v>
      </c>
      <c r="AG156" s="391">
        <f ca="1">SUMIF('Lançamento de Cabos'!AE:AK,Tabela1[[#This Row],[Tag do Cabo]],'Lançamento de Cabos'!AG:AG)</f>
        <v>12</v>
      </c>
      <c r="AH156" s="29">
        <f>IFERROR(VLOOKUP(Tabela1[[#This Row],[Tag do Cabo]],'Lançamento de Cabos'!AE:AK,7,0),0)</f>
        <v>1</v>
      </c>
      <c r="AI156" s="262" t="s">
        <v>416</v>
      </c>
      <c r="AJ156" s="212" t="s">
        <v>212</v>
      </c>
      <c r="AK156" s="46" t="s">
        <v>92</v>
      </c>
    </row>
    <row r="157" spans="1:37" s="262" customFormat="1" ht="15" customHeight="1" x14ac:dyDescent="0.2">
      <c r="A157" s="168" t="s">
        <v>561</v>
      </c>
      <c r="B157" s="391" t="s">
        <v>37</v>
      </c>
      <c r="C157" s="391">
        <v>960</v>
      </c>
      <c r="D157" s="391" t="s">
        <v>240</v>
      </c>
      <c r="E157" s="3" t="s">
        <v>560</v>
      </c>
      <c r="F157" s="11">
        <v>120</v>
      </c>
      <c r="G157" s="391">
        <v>6</v>
      </c>
      <c r="H157" s="391">
        <v>15</v>
      </c>
      <c r="I157" s="391">
        <v>90</v>
      </c>
      <c r="J157" s="391" t="s">
        <v>402</v>
      </c>
      <c r="K157" s="262" t="s">
        <v>424</v>
      </c>
      <c r="L157" s="262" t="s">
        <v>466</v>
      </c>
      <c r="M157" s="22" t="s">
        <v>85</v>
      </c>
      <c r="N157" s="22" t="s">
        <v>86</v>
      </c>
      <c r="O157" s="391" t="s">
        <v>85</v>
      </c>
      <c r="P157" s="391" t="s">
        <v>85</v>
      </c>
      <c r="Q157" s="91" t="s">
        <v>243</v>
      </c>
      <c r="R157" s="391">
        <f>SUMIF('Lançamento de Cabos'!$B:$B,Tabela1[[#This Row],[Tag do Cabo]],'Lançamento de Cabos'!$C:$C)</f>
        <v>108</v>
      </c>
      <c r="S157" s="391">
        <f>VLOOKUP(Tabela1[[#This Row],[Tag do Cabo]],'Diagramas Ligações'!A:V,14,0)</f>
        <v>12</v>
      </c>
      <c r="T157" s="262" t="s">
        <v>415</v>
      </c>
      <c r="U157" s="391">
        <v>2</v>
      </c>
      <c r="V157" s="391" t="s">
        <v>406</v>
      </c>
      <c r="W157" s="391" t="s">
        <v>92</v>
      </c>
      <c r="X157" s="391" t="s">
        <v>92</v>
      </c>
      <c r="Y157" s="391" t="s">
        <v>92</v>
      </c>
      <c r="Z157" s="391" t="s">
        <v>92</v>
      </c>
      <c r="AA157" s="45" t="s">
        <v>92</v>
      </c>
      <c r="AB15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7" s="262" t="s">
        <v>407</v>
      </c>
      <c r="AD157" s="391">
        <f>IF(Tabela1[[#This Row],[Qtde. Lançada]]&gt;Tabela1[[#This Row],[Comprimento Total]],Tabela1[[#This Row],[Qtde. Lançada]],Tabela1[[#This Row],[Comprimento Total]])</f>
        <v>108</v>
      </c>
      <c r="AE157" s="391" t="s">
        <v>92</v>
      </c>
      <c r="AF157" s="391" t="s">
        <v>402</v>
      </c>
      <c r="AG157" s="391">
        <f ca="1">SUMIF('Lançamento de Cabos'!AE:AK,Tabela1[[#This Row],[Tag do Cabo]],'Lançamento de Cabos'!AG:AG)</f>
        <v>12</v>
      </c>
      <c r="AH157" s="29">
        <f>IFERROR(VLOOKUP(Tabela1[[#This Row],[Tag do Cabo]],'Lançamento de Cabos'!AE:AK,7,0),0)</f>
        <v>1</v>
      </c>
      <c r="AI157" s="262" t="s">
        <v>416</v>
      </c>
      <c r="AJ157" s="212" t="s">
        <v>212</v>
      </c>
      <c r="AK157" s="46" t="s">
        <v>92</v>
      </c>
    </row>
    <row r="158" spans="1:37" s="262" customFormat="1" ht="15" customHeight="1" x14ac:dyDescent="0.2">
      <c r="A158" s="168" t="s">
        <v>562</v>
      </c>
      <c r="B158" s="391" t="s">
        <v>37</v>
      </c>
      <c r="C158" s="391">
        <v>960</v>
      </c>
      <c r="D158" s="391" t="s">
        <v>240</v>
      </c>
      <c r="E158" s="3" t="s">
        <v>560</v>
      </c>
      <c r="F158" s="11">
        <v>120</v>
      </c>
      <c r="G158" s="391">
        <v>6</v>
      </c>
      <c r="H158" s="391">
        <v>14</v>
      </c>
      <c r="I158" s="391">
        <v>84</v>
      </c>
      <c r="J158" s="391" t="s">
        <v>402</v>
      </c>
      <c r="K158" s="262" t="s">
        <v>426</v>
      </c>
      <c r="L158" s="262" t="s">
        <v>466</v>
      </c>
      <c r="M158" s="22" t="s">
        <v>85</v>
      </c>
      <c r="N158" s="22" t="s">
        <v>86</v>
      </c>
      <c r="O158" s="391" t="s">
        <v>85</v>
      </c>
      <c r="P158" s="391" t="s">
        <v>85</v>
      </c>
      <c r="Q158" s="91" t="s">
        <v>243</v>
      </c>
      <c r="R158" s="391">
        <f>SUMIF('Lançamento de Cabos'!$B:$B,Tabela1[[#This Row],[Tag do Cabo]],'Lançamento de Cabos'!$C:$C)</f>
        <v>96</v>
      </c>
      <c r="S158" s="391">
        <f>VLOOKUP(Tabela1[[#This Row],[Tag do Cabo]],'Diagramas Ligações'!A:V,14,0)</f>
        <v>12</v>
      </c>
      <c r="T158" s="262" t="s">
        <v>415</v>
      </c>
      <c r="U158" s="391">
        <v>2</v>
      </c>
      <c r="V158" s="391" t="s">
        <v>406</v>
      </c>
      <c r="W158" s="391" t="s">
        <v>92</v>
      </c>
      <c r="X158" s="391" t="s">
        <v>92</v>
      </c>
      <c r="Y158" s="391" t="s">
        <v>92</v>
      </c>
      <c r="Z158" s="391" t="s">
        <v>92</v>
      </c>
      <c r="AA158" s="45" t="s">
        <v>92</v>
      </c>
      <c r="AB15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8" s="262" t="s">
        <v>407</v>
      </c>
      <c r="AD158" s="391">
        <f>IF(Tabela1[[#This Row],[Qtde. Lançada]]&gt;Tabela1[[#This Row],[Comprimento Total]],Tabela1[[#This Row],[Qtde. Lançada]],Tabela1[[#This Row],[Comprimento Total]])</f>
        <v>96</v>
      </c>
      <c r="AE158" s="391" t="s">
        <v>92</v>
      </c>
      <c r="AF158" s="391" t="s">
        <v>402</v>
      </c>
      <c r="AG158" s="391">
        <f ca="1">SUMIF('Lançamento de Cabos'!AE:AK,Tabela1[[#This Row],[Tag do Cabo]],'Lançamento de Cabos'!AG:AG)</f>
        <v>12</v>
      </c>
      <c r="AH158" s="29">
        <f>IFERROR(VLOOKUP(Tabela1[[#This Row],[Tag do Cabo]],'Lançamento de Cabos'!AE:AK,7,0),0)</f>
        <v>1</v>
      </c>
      <c r="AI158" s="262" t="s">
        <v>416</v>
      </c>
      <c r="AJ158" s="212" t="s">
        <v>212</v>
      </c>
      <c r="AK158" s="46" t="s">
        <v>92</v>
      </c>
    </row>
    <row r="159" spans="1:37" s="262" customFormat="1" ht="15" customHeight="1" x14ac:dyDescent="0.2">
      <c r="A159" s="168" t="s">
        <v>563</v>
      </c>
      <c r="B159" s="391" t="s">
        <v>37</v>
      </c>
      <c r="C159" s="391">
        <v>960</v>
      </c>
      <c r="D159" s="391" t="s">
        <v>240</v>
      </c>
      <c r="E159" s="3" t="s">
        <v>560</v>
      </c>
      <c r="F159" s="11">
        <v>120</v>
      </c>
      <c r="G159" s="391">
        <v>6</v>
      </c>
      <c r="H159" s="391">
        <v>14</v>
      </c>
      <c r="I159" s="391">
        <v>84</v>
      </c>
      <c r="J159" s="391" t="s">
        <v>402</v>
      </c>
      <c r="K159" s="262" t="s">
        <v>426</v>
      </c>
      <c r="L159" s="262" t="s">
        <v>466</v>
      </c>
      <c r="M159" s="22" t="s">
        <v>85</v>
      </c>
      <c r="N159" s="22" t="s">
        <v>86</v>
      </c>
      <c r="O159" s="391" t="s">
        <v>85</v>
      </c>
      <c r="P159" s="391" t="s">
        <v>85</v>
      </c>
      <c r="Q159" s="91" t="s">
        <v>243</v>
      </c>
      <c r="R159" s="391">
        <f>SUMIF('Lançamento de Cabos'!$B:$B,Tabela1[[#This Row],[Tag do Cabo]],'Lançamento de Cabos'!$C:$C)</f>
        <v>96</v>
      </c>
      <c r="S159" s="391">
        <f>VLOOKUP(Tabela1[[#This Row],[Tag do Cabo]],'Diagramas Ligações'!A:V,14,0)</f>
        <v>12</v>
      </c>
      <c r="T159" s="262" t="s">
        <v>415</v>
      </c>
      <c r="U159" s="391">
        <v>2</v>
      </c>
      <c r="V159" s="391" t="s">
        <v>406</v>
      </c>
      <c r="W159" s="391" t="s">
        <v>92</v>
      </c>
      <c r="X159" s="391" t="s">
        <v>92</v>
      </c>
      <c r="Y159" s="391" t="s">
        <v>92</v>
      </c>
      <c r="Z159" s="391" t="s">
        <v>92</v>
      </c>
      <c r="AA159" s="45" t="s">
        <v>92</v>
      </c>
      <c r="AB15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59" s="262" t="s">
        <v>407</v>
      </c>
      <c r="AD159" s="391">
        <f>IF(Tabela1[[#This Row],[Qtde. Lançada]]&gt;Tabela1[[#This Row],[Comprimento Total]],Tabela1[[#This Row],[Qtde. Lançada]],Tabela1[[#This Row],[Comprimento Total]])</f>
        <v>96</v>
      </c>
      <c r="AE159" s="391" t="s">
        <v>92</v>
      </c>
      <c r="AF159" s="391" t="s">
        <v>402</v>
      </c>
      <c r="AG159" s="391">
        <f ca="1">SUMIF('Lançamento de Cabos'!AE:AK,Tabela1[[#This Row],[Tag do Cabo]],'Lançamento de Cabos'!AG:AG)</f>
        <v>12</v>
      </c>
      <c r="AH159" s="29">
        <f>IFERROR(VLOOKUP(Tabela1[[#This Row],[Tag do Cabo]],'Lançamento de Cabos'!AE:AK,7,0),0)</f>
        <v>1</v>
      </c>
      <c r="AI159" s="262" t="s">
        <v>416</v>
      </c>
      <c r="AJ159" s="212" t="s">
        <v>212</v>
      </c>
      <c r="AK159" s="46" t="s">
        <v>92</v>
      </c>
    </row>
    <row r="160" spans="1:37" s="262" customFormat="1" ht="15" customHeight="1" x14ac:dyDescent="0.2">
      <c r="A160" s="168" t="s">
        <v>564</v>
      </c>
      <c r="B160" s="391" t="s">
        <v>37</v>
      </c>
      <c r="C160" s="391">
        <v>125</v>
      </c>
      <c r="D160" s="391" t="s">
        <v>80</v>
      </c>
      <c r="E160" s="3" t="s">
        <v>503</v>
      </c>
      <c r="F160" s="11">
        <v>2.5</v>
      </c>
      <c r="G160" s="391">
        <v>1</v>
      </c>
      <c r="H160" s="391">
        <v>25</v>
      </c>
      <c r="I160" s="391">
        <v>25</v>
      </c>
      <c r="J160" s="391" t="s">
        <v>402</v>
      </c>
      <c r="K160" s="262" t="s">
        <v>429</v>
      </c>
      <c r="L160" s="262" t="s">
        <v>431</v>
      </c>
      <c r="M160" s="22" t="s">
        <v>85</v>
      </c>
      <c r="N160" s="391" t="str">
        <f>"Sim"</f>
        <v>Sim</v>
      </c>
      <c r="O160" s="22" t="s">
        <v>86</v>
      </c>
      <c r="P160" s="22" t="s">
        <v>86</v>
      </c>
      <c r="Q160" s="391" t="s">
        <v>139</v>
      </c>
      <c r="R160" s="391">
        <f>SUMIF('Lançamento de Cabos'!$B:$B,Tabela1[[#This Row],[Tag do Cabo]],'Lançamento de Cabos'!$C:$C)</f>
        <v>25</v>
      </c>
      <c r="S160" s="391">
        <f>VLOOKUP(Tabela1[[#This Row],[Tag do Cabo]],'Diagramas Ligações'!A:V,14,0)</f>
        <v>6</v>
      </c>
      <c r="T160" s="262" t="s">
        <v>415</v>
      </c>
      <c r="U160" s="391">
        <v>2</v>
      </c>
      <c r="V160" s="391" t="s">
        <v>406</v>
      </c>
      <c r="W160" s="391" t="s">
        <v>92</v>
      </c>
      <c r="X160" s="391" t="s">
        <v>92</v>
      </c>
      <c r="Y160" s="391" t="s">
        <v>92</v>
      </c>
      <c r="Z160" s="391" t="s">
        <v>92</v>
      </c>
      <c r="AA160" s="45" t="s">
        <v>92</v>
      </c>
      <c r="AB16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0" s="262" t="s">
        <v>407</v>
      </c>
      <c r="AD160" s="391">
        <f>IF(Tabela1[[#This Row],[Qtde. Lançada]]&gt;Tabela1[[#This Row],[Comprimento Total]],Tabela1[[#This Row],[Qtde. Lançada]],Tabela1[[#This Row],[Comprimento Total]])</f>
        <v>25</v>
      </c>
      <c r="AE160" s="391" t="s">
        <v>92</v>
      </c>
      <c r="AF160" s="391" t="s">
        <v>402</v>
      </c>
      <c r="AG160" s="391">
        <f ca="1">SUMIF('Lançamento de Cabos'!AE:AK,Tabela1[[#This Row],[Tag do Cabo]],'Lançamento de Cabos'!AG:AG)</f>
        <v>6</v>
      </c>
      <c r="AH160" s="29">
        <f>IFERROR(VLOOKUP(Tabela1[[#This Row],[Tag do Cabo]],'Lançamento de Cabos'!AE:AK,7,0),0)</f>
        <v>1</v>
      </c>
      <c r="AI160" s="262" t="s">
        <v>416</v>
      </c>
      <c r="AJ160" s="212" t="s">
        <v>95</v>
      </c>
      <c r="AK160" s="46" t="s">
        <v>92</v>
      </c>
    </row>
    <row r="161" spans="1:37" s="262" customFormat="1" ht="15" customHeight="1" x14ac:dyDescent="0.2">
      <c r="A161" s="168" t="s">
        <v>565</v>
      </c>
      <c r="B161" s="391" t="s">
        <v>38</v>
      </c>
      <c r="C161" s="391" t="s">
        <v>92</v>
      </c>
      <c r="D161" s="391" t="s">
        <v>92</v>
      </c>
      <c r="E161" s="3" t="s">
        <v>470</v>
      </c>
      <c r="F161" s="11">
        <v>1.5</v>
      </c>
      <c r="G161" s="391">
        <v>1</v>
      </c>
      <c r="H161" s="391">
        <v>19</v>
      </c>
      <c r="I161" s="391">
        <v>19</v>
      </c>
      <c r="J161" s="391" t="s">
        <v>402</v>
      </c>
      <c r="K161" s="262" t="s">
        <v>429</v>
      </c>
      <c r="L161" s="262" t="s">
        <v>412</v>
      </c>
      <c r="M161" s="22" t="s">
        <v>85</v>
      </c>
      <c r="N161" s="391" t="str">
        <f>"Sim"</f>
        <v>Sim</v>
      </c>
      <c r="O161" s="22" t="s">
        <v>86</v>
      </c>
      <c r="P161" s="22" t="s">
        <v>86</v>
      </c>
      <c r="Q161" s="91" t="s">
        <v>184</v>
      </c>
      <c r="R161" s="391">
        <f>SUMIF('Lançamento de Cabos'!$B:$B,Tabela1[[#This Row],[Tag do Cabo]],'Lançamento de Cabos'!$C:$C)</f>
        <v>19</v>
      </c>
      <c r="S161" s="391">
        <f>VLOOKUP(Tabela1[[#This Row],[Tag do Cabo]],'Diagramas Ligações'!A:V,14,0)</f>
        <v>8</v>
      </c>
      <c r="T161" s="262" t="s">
        <v>405</v>
      </c>
      <c r="U161" s="391">
        <v>2</v>
      </c>
      <c r="V161" s="391" t="s">
        <v>406</v>
      </c>
      <c r="W161" s="391" t="s">
        <v>92</v>
      </c>
      <c r="X161" s="391" t="s">
        <v>92</v>
      </c>
      <c r="Y161" s="391" t="s">
        <v>92</v>
      </c>
      <c r="Z161" s="391" t="s">
        <v>92</v>
      </c>
      <c r="AA161" s="45" t="s">
        <v>92</v>
      </c>
      <c r="AB16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1" s="262" t="s">
        <v>407</v>
      </c>
      <c r="AD161" s="391">
        <f>IF(Tabela1[[#This Row],[Qtde. Lançada]]&gt;Tabela1[[#This Row],[Comprimento Total]],Tabela1[[#This Row],[Qtde. Lançada]],Tabela1[[#This Row],[Comprimento Total]])</f>
        <v>19</v>
      </c>
      <c r="AE161" s="391" t="s">
        <v>92</v>
      </c>
      <c r="AF161" s="391" t="s">
        <v>402</v>
      </c>
      <c r="AG161" s="391">
        <f ca="1">SUMIF('Lançamento de Cabos'!AE:AK,Tabela1[[#This Row],[Tag do Cabo]],'Lançamento de Cabos'!AG:AG)</f>
        <v>8</v>
      </c>
      <c r="AH161" s="29">
        <f>IFERROR(VLOOKUP(Tabela1[[#This Row],[Tag do Cabo]],'Lançamento de Cabos'!AE:AK,7,0),0)</f>
        <v>1</v>
      </c>
      <c r="AI161" s="262" t="s">
        <v>408</v>
      </c>
      <c r="AJ161" s="212" t="s">
        <v>202</v>
      </c>
      <c r="AK161" s="46" t="s">
        <v>92</v>
      </c>
    </row>
    <row r="162" spans="1:37" s="262" customFormat="1" ht="15" customHeight="1" x14ac:dyDescent="0.2">
      <c r="A162" s="168" t="s">
        <v>566</v>
      </c>
      <c r="B162" s="391" t="s">
        <v>37</v>
      </c>
      <c r="C162" s="391">
        <v>1800</v>
      </c>
      <c r="D162" s="391" t="s">
        <v>240</v>
      </c>
      <c r="E162" s="3" t="s">
        <v>567</v>
      </c>
      <c r="F162" s="11">
        <v>150</v>
      </c>
      <c r="G162" s="391">
        <v>9</v>
      </c>
      <c r="H162" s="391">
        <v>8</v>
      </c>
      <c r="I162" s="391">
        <v>72</v>
      </c>
      <c r="J162" s="391" t="s">
        <v>402</v>
      </c>
      <c r="K162" s="262" t="s">
        <v>429</v>
      </c>
      <c r="L162" s="262" t="s">
        <v>568</v>
      </c>
      <c r="M162" s="22" t="s">
        <v>85</v>
      </c>
      <c r="N162" s="22" t="s">
        <v>86</v>
      </c>
      <c r="O162" s="391" t="s">
        <v>85</v>
      </c>
      <c r="P162" s="391" t="s">
        <v>85</v>
      </c>
      <c r="Q162" s="391" t="s">
        <v>243</v>
      </c>
      <c r="R162" s="391">
        <f>SUMIF('Lançamento de Cabos'!$B:$B,Tabela1[[#This Row],[Tag do Cabo]],'Lançamento de Cabos'!$C:$C)</f>
        <v>72</v>
      </c>
      <c r="S162" s="391">
        <f>VLOOKUP(Tabela1[[#This Row],[Tag do Cabo]],'Diagramas Ligações'!A:V,14,0)</f>
        <v>18</v>
      </c>
      <c r="T162" s="262" t="s">
        <v>415</v>
      </c>
      <c r="U162" s="391">
        <v>2</v>
      </c>
      <c r="V162" s="391" t="s">
        <v>406</v>
      </c>
      <c r="W162" s="391" t="s">
        <v>92</v>
      </c>
      <c r="X162" s="391" t="s">
        <v>92</v>
      </c>
      <c r="Y162" s="391" t="s">
        <v>92</v>
      </c>
      <c r="Z162" s="391" t="s">
        <v>92</v>
      </c>
      <c r="AA162" s="45" t="s">
        <v>92</v>
      </c>
      <c r="AB16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2" s="262" t="s">
        <v>407</v>
      </c>
      <c r="AD162" s="391">
        <f>IF(Tabela1[[#This Row],[Qtde. Lançada]]&gt;Tabela1[[#This Row],[Comprimento Total]],Tabela1[[#This Row],[Qtde. Lançada]],Tabela1[[#This Row],[Comprimento Total]])</f>
        <v>72</v>
      </c>
      <c r="AE162" s="391" t="s">
        <v>92</v>
      </c>
      <c r="AF162" s="391" t="s">
        <v>402</v>
      </c>
      <c r="AG162" s="391">
        <f ca="1">SUMIF('Lançamento de Cabos'!AE:AK,Tabela1[[#This Row],[Tag do Cabo]],'Lançamento de Cabos'!AG:AG)</f>
        <v>18</v>
      </c>
      <c r="AH162" s="29">
        <f>IFERROR(VLOOKUP(Tabela1[[#This Row],[Tag do Cabo]],'Lançamento de Cabos'!AE:AK,7,0),0)</f>
        <v>1</v>
      </c>
      <c r="AI162" s="262" t="s">
        <v>416</v>
      </c>
      <c r="AJ162" s="212" t="s">
        <v>209</v>
      </c>
      <c r="AK162" s="46" t="s">
        <v>92</v>
      </c>
    </row>
    <row r="163" spans="1:37" s="262" customFormat="1" ht="15" customHeight="1" x14ac:dyDescent="0.2">
      <c r="A163" s="168" t="s">
        <v>569</v>
      </c>
      <c r="B163" s="391" t="s">
        <v>37</v>
      </c>
      <c r="C163" s="391">
        <v>1800</v>
      </c>
      <c r="D163" s="391" t="s">
        <v>240</v>
      </c>
      <c r="E163" s="3" t="s">
        <v>567</v>
      </c>
      <c r="F163" s="11">
        <v>150</v>
      </c>
      <c r="G163" s="391">
        <v>9</v>
      </c>
      <c r="H163" s="391">
        <v>8</v>
      </c>
      <c r="I163" s="391">
        <v>72</v>
      </c>
      <c r="J163" s="391" t="s">
        <v>402</v>
      </c>
      <c r="K163" s="262" t="s">
        <v>429</v>
      </c>
      <c r="L163" s="262" t="s">
        <v>568</v>
      </c>
      <c r="M163" s="22" t="s">
        <v>85</v>
      </c>
      <c r="N163" s="22" t="s">
        <v>86</v>
      </c>
      <c r="O163" s="391" t="s">
        <v>85</v>
      </c>
      <c r="P163" s="391" t="s">
        <v>85</v>
      </c>
      <c r="Q163" s="391" t="s">
        <v>243</v>
      </c>
      <c r="R163" s="391">
        <f>SUMIF('Lançamento de Cabos'!$B:$B,Tabela1[[#This Row],[Tag do Cabo]],'Lançamento de Cabos'!$C:$C)</f>
        <v>72</v>
      </c>
      <c r="S163" s="391">
        <f>VLOOKUP(Tabela1[[#This Row],[Tag do Cabo]],'Diagramas Ligações'!A:V,14,0)</f>
        <v>18</v>
      </c>
      <c r="T163" s="262" t="s">
        <v>415</v>
      </c>
      <c r="U163" s="391">
        <v>2</v>
      </c>
      <c r="V163" s="391" t="s">
        <v>406</v>
      </c>
      <c r="W163" s="391" t="s">
        <v>92</v>
      </c>
      <c r="X163" s="391" t="s">
        <v>92</v>
      </c>
      <c r="Y163" s="391" t="s">
        <v>92</v>
      </c>
      <c r="Z163" s="391" t="s">
        <v>92</v>
      </c>
      <c r="AA163" s="45" t="s">
        <v>92</v>
      </c>
      <c r="AB16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3" s="262" t="s">
        <v>407</v>
      </c>
      <c r="AD163" s="391">
        <f>IF(Tabela1[[#This Row],[Qtde. Lançada]]&gt;Tabela1[[#This Row],[Comprimento Total]],Tabela1[[#This Row],[Qtde. Lançada]],Tabela1[[#This Row],[Comprimento Total]])</f>
        <v>72</v>
      </c>
      <c r="AE163" s="391" t="s">
        <v>92</v>
      </c>
      <c r="AF163" s="391" t="s">
        <v>402</v>
      </c>
      <c r="AG163" s="391">
        <f ca="1">SUMIF('Lançamento de Cabos'!AE:AK,Tabela1[[#This Row],[Tag do Cabo]],'Lançamento de Cabos'!AG:AG)</f>
        <v>18</v>
      </c>
      <c r="AH163" s="29">
        <f>IFERROR(VLOOKUP(Tabela1[[#This Row],[Tag do Cabo]],'Lançamento de Cabos'!AE:AK,7,0),0)</f>
        <v>1</v>
      </c>
      <c r="AI163" s="262" t="s">
        <v>416</v>
      </c>
      <c r="AJ163" s="212" t="s">
        <v>209</v>
      </c>
      <c r="AK163" s="46" t="s">
        <v>92</v>
      </c>
    </row>
    <row r="164" spans="1:37" s="262" customFormat="1" ht="15" customHeight="1" x14ac:dyDescent="0.2">
      <c r="A164" s="168" t="s">
        <v>570</v>
      </c>
      <c r="B164" s="391" t="s">
        <v>37</v>
      </c>
      <c r="C164" s="391">
        <v>1800</v>
      </c>
      <c r="D164" s="391" t="s">
        <v>240</v>
      </c>
      <c r="E164" s="3" t="s">
        <v>567</v>
      </c>
      <c r="F164" s="11">
        <v>150</v>
      </c>
      <c r="G164" s="391">
        <v>9</v>
      </c>
      <c r="H164" s="391">
        <v>10</v>
      </c>
      <c r="I164" s="391">
        <v>90</v>
      </c>
      <c r="J164" s="391" t="s">
        <v>402</v>
      </c>
      <c r="K164" s="262" t="s">
        <v>431</v>
      </c>
      <c r="L164" s="262" t="s">
        <v>568</v>
      </c>
      <c r="M164" s="22" t="s">
        <v>85</v>
      </c>
      <c r="N164" s="22" t="s">
        <v>86</v>
      </c>
      <c r="O164" s="391" t="s">
        <v>85</v>
      </c>
      <c r="P164" s="391" t="s">
        <v>85</v>
      </c>
      <c r="Q164" s="391" t="s">
        <v>243</v>
      </c>
      <c r="R164" s="391">
        <f>SUMIF('Lançamento de Cabos'!$B:$B,Tabela1[[#This Row],[Tag do Cabo]],'Lançamento de Cabos'!$C:$C)</f>
        <v>90</v>
      </c>
      <c r="S164" s="391">
        <f>VLOOKUP(Tabela1[[#This Row],[Tag do Cabo]],'Diagramas Ligações'!A:V,14,0)</f>
        <v>18</v>
      </c>
      <c r="T164" s="262" t="s">
        <v>415</v>
      </c>
      <c r="U164" s="391">
        <v>2</v>
      </c>
      <c r="V164" s="391" t="s">
        <v>406</v>
      </c>
      <c r="W164" s="391" t="s">
        <v>92</v>
      </c>
      <c r="X164" s="391" t="s">
        <v>92</v>
      </c>
      <c r="Y164" s="391" t="s">
        <v>92</v>
      </c>
      <c r="Z164" s="391" t="s">
        <v>92</v>
      </c>
      <c r="AA164" s="45" t="s">
        <v>92</v>
      </c>
      <c r="AB16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4" s="262" t="s">
        <v>407</v>
      </c>
      <c r="AD164" s="391">
        <f>IF(Tabela1[[#This Row],[Qtde. Lançada]]&gt;Tabela1[[#This Row],[Comprimento Total]],Tabela1[[#This Row],[Qtde. Lançada]],Tabela1[[#This Row],[Comprimento Total]])</f>
        <v>90</v>
      </c>
      <c r="AE164" s="391" t="s">
        <v>92</v>
      </c>
      <c r="AF164" s="391" t="s">
        <v>402</v>
      </c>
      <c r="AG164" s="391">
        <f ca="1">SUMIF('Lançamento de Cabos'!AE:AK,Tabela1[[#This Row],[Tag do Cabo]],'Lançamento de Cabos'!AG:AG)</f>
        <v>18</v>
      </c>
      <c r="AH164" s="29">
        <f>IFERROR(VLOOKUP(Tabela1[[#This Row],[Tag do Cabo]],'Lançamento de Cabos'!AE:AK,7,0),0)</f>
        <v>1</v>
      </c>
      <c r="AI164" s="262" t="s">
        <v>416</v>
      </c>
      <c r="AJ164" s="212" t="s">
        <v>209</v>
      </c>
      <c r="AK164" s="46" t="s">
        <v>92</v>
      </c>
    </row>
    <row r="165" spans="1:37" s="262" customFormat="1" ht="15" customHeight="1" x14ac:dyDescent="0.2">
      <c r="A165" s="168" t="s">
        <v>571</v>
      </c>
      <c r="B165" s="391" t="s">
        <v>37</v>
      </c>
      <c r="C165" s="391">
        <v>1800</v>
      </c>
      <c r="D165" s="391" t="s">
        <v>240</v>
      </c>
      <c r="E165" s="3" t="s">
        <v>567</v>
      </c>
      <c r="F165" s="11">
        <v>150</v>
      </c>
      <c r="G165" s="391">
        <v>9</v>
      </c>
      <c r="H165" s="391">
        <v>10</v>
      </c>
      <c r="I165" s="391">
        <v>90</v>
      </c>
      <c r="J165" s="391" t="s">
        <v>402</v>
      </c>
      <c r="K165" s="262" t="s">
        <v>431</v>
      </c>
      <c r="L165" s="262" t="s">
        <v>568</v>
      </c>
      <c r="M165" s="22" t="s">
        <v>85</v>
      </c>
      <c r="N165" s="22" t="s">
        <v>86</v>
      </c>
      <c r="O165" s="391" t="s">
        <v>85</v>
      </c>
      <c r="P165" s="391" t="s">
        <v>85</v>
      </c>
      <c r="Q165" s="391" t="s">
        <v>243</v>
      </c>
      <c r="R165" s="391">
        <f>SUMIF('Lançamento de Cabos'!$B:$B,Tabela1[[#This Row],[Tag do Cabo]],'Lançamento de Cabos'!$C:$C)</f>
        <v>90</v>
      </c>
      <c r="S165" s="391">
        <f>VLOOKUP(Tabela1[[#This Row],[Tag do Cabo]],'Diagramas Ligações'!A:V,14,0)</f>
        <v>18</v>
      </c>
      <c r="T165" s="262" t="s">
        <v>415</v>
      </c>
      <c r="U165" s="391">
        <v>2</v>
      </c>
      <c r="V165" s="391" t="s">
        <v>406</v>
      </c>
      <c r="W165" s="391" t="s">
        <v>92</v>
      </c>
      <c r="X165" s="391" t="s">
        <v>92</v>
      </c>
      <c r="Y165" s="391" t="s">
        <v>92</v>
      </c>
      <c r="Z165" s="391" t="s">
        <v>92</v>
      </c>
      <c r="AA165" s="45" t="s">
        <v>92</v>
      </c>
      <c r="AB16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5" s="262" t="s">
        <v>407</v>
      </c>
      <c r="AD165" s="391">
        <f>IF(Tabela1[[#This Row],[Qtde. Lançada]]&gt;Tabela1[[#This Row],[Comprimento Total]],Tabela1[[#This Row],[Qtde. Lançada]],Tabela1[[#This Row],[Comprimento Total]])</f>
        <v>90</v>
      </c>
      <c r="AE165" s="391" t="s">
        <v>92</v>
      </c>
      <c r="AF165" s="391" t="s">
        <v>402</v>
      </c>
      <c r="AG165" s="391">
        <f ca="1">SUMIF('Lançamento de Cabos'!AE:AK,Tabela1[[#This Row],[Tag do Cabo]],'Lançamento de Cabos'!AG:AG)</f>
        <v>18</v>
      </c>
      <c r="AH165" s="29">
        <f>IFERROR(VLOOKUP(Tabela1[[#This Row],[Tag do Cabo]],'Lançamento de Cabos'!AE:AK,7,0),0)</f>
        <v>1</v>
      </c>
      <c r="AI165" s="262" t="s">
        <v>416</v>
      </c>
      <c r="AJ165" s="212" t="s">
        <v>209</v>
      </c>
      <c r="AK165" s="46" t="s">
        <v>92</v>
      </c>
    </row>
    <row r="166" spans="1:37" s="262" customFormat="1" ht="15" customHeight="1" x14ac:dyDescent="0.2">
      <c r="A166" s="323" t="s">
        <v>572</v>
      </c>
      <c r="B166" s="391" t="s">
        <v>37</v>
      </c>
      <c r="C166" s="391">
        <v>480</v>
      </c>
      <c r="D166" s="391" t="s">
        <v>80</v>
      </c>
      <c r="E166" s="3" t="s">
        <v>551</v>
      </c>
      <c r="F166" s="11">
        <v>150</v>
      </c>
      <c r="G166" s="391">
        <v>6</v>
      </c>
      <c r="H166" s="391">
        <v>13</v>
      </c>
      <c r="I166" s="391">
        <v>78</v>
      </c>
      <c r="J166" s="391" t="s">
        <v>402</v>
      </c>
      <c r="K166" s="262" t="s">
        <v>420</v>
      </c>
      <c r="L166" s="262" t="s">
        <v>497</v>
      </c>
      <c r="M166" s="22" t="s">
        <v>85</v>
      </c>
      <c r="N166" s="22" t="s">
        <v>86</v>
      </c>
      <c r="O166" s="391" t="str">
        <f>"Sim"</f>
        <v>Sim</v>
      </c>
      <c r="P166" s="22" t="s">
        <v>86</v>
      </c>
      <c r="Q166" s="391" t="s">
        <v>243</v>
      </c>
      <c r="R166" s="391">
        <f>SUMIF('Lançamento de Cabos'!$B:$B,Tabela1[[#This Row],[Tag do Cabo]],'Lançamento de Cabos'!$C:$C)</f>
        <v>78</v>
      </c>
      <c r="S166" s="391">
        <f>VLOOKUP(Tabela1[[#This Row],[Tag do Cabo]],'Diagramas Ligações'!A:V,14,0)</f>
        <v>2</v>
      </c>
      <c r="T166" s="262" t="s">
        <v>415</v>
      </c>
      <c r="U166" s="391">
        <v>2</v>
      </c>
      <c r="V166" s="391" t="s">
        <v>406</v>
      </c>
      <c r="W166" s="391" t="s">
        <v>92</v>
      </c>
      <c r="X166" s="391" t="s">
        <v>92</v>
      </c>
      <c r="Y166" s="391" t="s">
        <v>92</v>
      </c>
      <c r="Z166" s="391" t="s">
        <v>92</v>
      </c>
      <c r="AA166" s="45" t="s">
        <v>92</v>
      </c>
      <c r="AB16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6" s="262" t="s">
        <v>407</v>
      </c>
      <c r="AD166" s="391">
        <f>IF(Tabela1[[#This Row],[Qtde. Lançada]]&gt;Tabela1[[#This Row],[Comprimento Total]],Tabela1[[#This Row],[Qtde. Lançada]],Tabela1[[#This Row],[Comprimento Total]])</f>
        <v>78</v>
      </c>
      <c r="AE166" s="391" t="s">
        <v>92</v>
      </c>
      <c r="AF166" s="391" t="s">
        <v>402</v>
      </c>
      <c r="AG166" s="391">
        <f ca="1">SUMIF('Lançamento de Cabos'!AE:AK,Tabela1[[#This Row],[Tag do Cabo]],'Lançamento de Cabos'!AG:AG)</f>
        <v>2</v>
      </c>
      <c r="AH166" s="29">
        <f>IFERROR(VLOOKUP(Tabela1[[#This Row],[Tag do Cabo]],'Lançamento de Cabos'!AE:AK,7,0),0)</f>
        <v>1</v>
      </c>
      <c r="AI166" s="262" t="s">
        <v>416</v>
      </c>
      <c r="AJ166" s="212" t="s">
        <v>261</v>
      </c>
      <c r="AK166" s="46" t="s">
        <v>92</v>
      </c>
    </row>
    <row r="167" spans="1:37" s="262" customFormat="1" ht="15" customHeight="1" x14ac:dyDescent="0.2">
      <c r="A167" s="168" t="s">
        <v>573</v>
      </c>
      <c r="B167" s="391" t="s">
        <v>37</v>
      </c>
      <c r="C167" s="391">
        <v>277</v>
      </c>
      <c r="D167" s="391" t="s">
        <v>80</v>
      </c>
      <c r="E167" s="3" t="s">
        <v>500</v>
      </c>
      <c r="F167" s="11">
        <v>16</v>
      </c>
      <c r="G167" s="391">
        <v>1</v>
      </c>
      <c r="H167" s="391">
        <v>14</v>
      </c>
      <c r="I167" s="391">
        <v>14</v>
      </c>
      <c r="J167" s="391" t="s">
        <v>402</v>
      </c>
      <c r="K167" s="262" t="s">
        <v>420</v>
      </c>
      <c r="L167" s="262" t="s">
        <v>496</v>
      </c>
      <c r="M167" s="22" t="s">
        <v>85</v>
      </c>
      <c r="N167" s="22" t="s">
        <v>86</v>
      </c>
      <c r="O167" s="391" t="str">
        <f>"Sim"</f>
        <v>Sim</v>
      </c>
      <c r="P167" s="22" t="s">
        <v>86</v>
      </c>
      <c r="Q167" s="91" t="s">
        <v>284</v>
      </c>
      <c r="R167" s="391">
        <f>SUMIF('Lançamento de Cabos'!$B:$B,Tabela1[[#This Row],[Tag do Cabo]],'Lançamento de Cabos'!$C:$C)</f>
        <v>14</v>
      </c>
      <c r="S167" s="391">
        <f>VLOOKUP(Tabela1[[#This Row],[Tag do Cabo]],'Diagramas Ligações'!A:V,14,0)</f>
        <v>2</v>
      </c>
      <c r="T167" s="262" t="s">
        <v>415</v>
      </c>
      <c r="U167" s="391">
        <v>2</v>
      </c>
      <c r="V167" s="391" t="s">
        <v>406</v>
      </c>
      <c r="W167" s="391" t="s">
        <v>92</v>
      </c>
      <c r="X167" s="391" t="s">
        <v>92</v>
      </c>
      <c r="Y167" s="391" t="s">
        <v>92</v>
      </c>
      <c r="Z167" s="391" t="s">
        <v>92</v>
      </c>
      <c r="AA167" s="45" t="s">
        <v>92</v>
      </c>
      <c r="AB16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7" s="262" t="s">
        <v>407</v>
      </c>
      <c r="AD167" s="391">
        <f>IF(Tabela1[[#This Row],[Qtde. Lançada]]&gt;Tabela1[[#This Row],[Comprimento Total]],Tabela1[[#This Row],[Qtde. Lançada]],Tabela1[[#This Row],[Comprimento Total]])</f>
        <v>14</v>
      </c>
      <c r="AE167" s="391" t="s">
        <v>92</v>
      </c>
      <c r="AF167" s="391" t="s">
        <v>402</v>
      </c>
      <c r="AG167" s="391">
        <f ca="1">SUMIF('Lançamento de Cabos'!AE:AK,Tabela1[[#This Row],[Tag do Cabo]],'Lançamento de Cabos'!AG:AG)</f>
        <v>2</v>
      </c>
      <c r="AH167" s="29">
        <f>IFERROR(VLOOKUP(Tabela1[[#This Row],[Tag do Cabo]],'Lançamento de Cabos'!AE:AK,7,0),0)</f>
        <v>1</v>
      </c>
      <c r="AI167" s="262" t="s">
        <v>416</v>
      </c>
      <c r="AJ167" s="212" t="s">
        <v>261</v>
      </c>
      <c r="AK167" s="46" t="s">
        <v>92</v>
      </c>
    </row>
    <row r="168" spans="1:37" s="262" customFormat="1" ht="15" customHeight="1" x14ac:dyDescent="0.2">
      <c r="A168" s="168" t="s">
        <v>574</v>
      </c>
      <c r="B168" s="391" t="s">
        <v>38</v>
      </c>
      <c r="C168" s="391" t="s">
        <v>92</v>
      </c>
      <c r="D168" s="391" t="s">
        <v>92</v>
      </c>
      <c r="E168" s="3" t="s">
        <v>470</v>
      </c>
      <c r="F168" s="11">
        <v>1.5</v>
      </c>
      <c r="G168" s="391">
        <v>1</v>
      </c>
      <c r="H168" s="391">
        <v>21</v>
      </c>
      <c r="I168" s="391">
        <v>21</v>
      </c>
      <c r="J168" s="391" t="s">
        <v>402</v>
      </c>
      <c r="K168" s="262" t="s">
        <v>420</v>
      </c>
      <c r="L168" s="262" t="s">
        <v>412</v>
      </c>
      <c r="M168" s="22" t="s">
        <v>85</v>
      </c>
      <c r="N168" s="391" t="str">
        <f>"Sim"</f>
        <v>Sim</v>
      </c>
      <c r="O168" s="22" t="s">
        <v>86</v>
      </c>
      <c r="P168" s="22" t="s">
        <v>86</v>
      </c>
      <c r="Q168" s="91" t="s">
        <v>184</v>
      </c>
      <c r="R168" s="391">
        <f>SUMIF('Lançamento de Cabos'!$B:$B,Tabela1[[#This Row],[Tag do Cabo]],'Lançamento de Cabos'!$C:$C)</f>
        <v>21</v>
      </c>
      <c r="S168" s="391">
        <f>VLOOKUP(Tabela1[[#This Row],[Tag do Cabo]],'Diagramas Ligações'!A:V,14,0)</f>
        <v>8</v>
      </c>
      <c r="T168" s="262" t="s">
        <v>405</v>
      </c>
      <c r="U168" s="391">
        <v>2</v>
      </c>
      <c r="V168" s="391" t="s">
        <v>406</v>
      </c>
      <c r="W168" s="391" t="s">
        <v>92</v>
      </c>
      <c r="X168" s="391" t="s">
        <v>92</v>
      </c>
      <c r="Y168" s="391" t="s">
        <v>92</v>
      </c>
      <c r="Z168" s="391" t="s">
        <v>92</v>
      </c>
      <c r="AA168" s="45" t="s">
        <v>92</v>
      </c>
      <c r="AB16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8" s="262" t="s">
        <v>407</v>
      </c>
      <c r="AD168" s="391">
        <f>IF(Tabela1[[#This Row],[Qtde. Lançada]]&gt;Tabela1[[#This Row],[Comprimento Total]],Tabela1[[#This Row],[Qtde. Lançada]],Tabela1[[#This Row],[Comprimento Total]])</f>
        <v>21</v>
      </c>
      <c r="AE168" s="391" t="s">
        <v>92</v>
      </c>
      <c r="AF168" s="391" t="s">
        <v>402</v>
      </c>
      <c r="AG168" s="391">
        <f ca="1">SUMIF('Lançamento de Cabos'!AE:AK,Tabela1[[#This Row],[Tag do Cabo]],'Lançamento de Cabos'!AG:AG)</f>
        <v>8</v>
      </c>
      <c r="AH168" s="29">
        <f>IFERROR(VLOOKUP(Tabela1[[#This Row],[Tag do Cabo]],'Lançamento de Cabos'!AE:AK,7,0),0)</f>
        <v>1</v>
      </c>
      <c r="AI168" s="262" t="s">
        <v>408</v>
      </c>
      <c r="AJ168" s="212" t="s">
        <v>202</v>
      </c>
      <c r="AK168" s="46" t="s">
        <v>92</v>
      </c>
    </row>
    <row r="169" spans="1:37" s="262" customFormat="1" ht="15" customHeight="1" x14ac:dyDescent="0.2">
      <c r="A169" s="323" t="s">
        <v>575</v>
      </c>
      <c r="B169" s="391" t="s">
        <v>37</v>
      </c>
      <c r="C169" s="391">
        <v>220</v>
      </c>
      <c r="D169" s="391" t="s">
        <v>80</v>
      </c>
      <c r="E169" s="3" t="s">
        <v>576</v>
      </c>
      <c r="F169" s="11">
        <v>25</v>
      </c>
      <c r="G169" s="391">
        <v>1</v>
      </c>
      <c r="H169" s="391">
        <v>17</v>
      </c>
      <c r="I169" s="391">
        <v>17</v>
      </c>
      <c r="J169" s="391" t="s">
        <v>402</v>
      </c>
      <c r="K169" s="262" t="s">
        <v>513</v>
      </c>
      <c r="L169" s="262" t="s">
        <v>577</v>
      </c>
      <c r="M169" s="22" t="s">
        <v>85</v>
      </c>
      <c r="N169" s="22" t="s">
        <v>86</v>
      </c>
      <c r="O169" s="391" t="str">
        <f>"Sim"</f>
        <v>Sim</v>
      </c>
      <c r="P169" s="22" t="s">
        <v>86</v>
      </c>
      <c r="Q169" s="91" t="s">
        <v>578</v>
      </c>
      <c r="R169" s="391">
        <f>SUMIF('Lançamento de Cabos'!$B:$B,Tabela1[[#This Row],[Tag do Cabo]],'Lançamento de Cabos'!$C:$C)</f>
        <v>25</v>
      </c>
      <c r="S169" s="391">
        <f>VLOOKUP(Tabela1[[#This Row],[Tag do Cabo]],'Diagramas Ligações'!A:V,14,0)</f>
        <v>6</v>
      </c>
      <c r="T169" s="262" t="s">
        <v>415</v>
      </c>
      <c r="U169" s="391">
        <v>2</v>
      </c>
      <c r="V169" s="391" t="s">
        <v>406</v>
      </c>
      <c r="W169" s="391" t="s">
        <v>92</v>
      </c>
      <c r="X169" s="391" t="s">
        <v>92</v>
      </c>
      <c r="Y169" s="391" t="s">
        <v>92</v>
      </c>
      <c r="Z169" s="391" t="s">
        <v>92</v>
      </c>
      <c r="AA169" s="45" t="s">
        <v>92</v>
      </c>
      <c r="AB16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69" s="262" t="s">
        <v>407</v>
      </c>
      <c r="AD169" s="391">
        <f>IF(Tabela1[[#This Row],[Qtde. Lançada]]&gt;Tabela1[[#This Row],[Comprimento Total]],Tabela1[[#This Row],[Qtde. Lançada]],Tabela1[[#This Row],[Comprimento Total]])</f>
        <v>25</v>
      </c>
      <c r="AE169" s="391" t="s">
        <v>92</v>
      </c>
      <c r="AF169" s="391" t="s">
        <v>402</v>
      </c>
      <c r="AG169" s="391">
        <f ca="1">SUMIF('Lançamento de Cabos'!AE:AK,Tabela1[[#This Row],[Tag do Cabo]],'Lançamento de Cabos'!AG:AG)</f>
        <v>6</v>
      </c>
      <c r="AH169" s="29">
        <f>IFERROR(VLOOKUP(Tabela1[[#This Row],[Tag do Cabo]],'Lançamento de Cabos'!AE:AK,7,0),0)</f>
        <v>1</v>
      </c>
      <c r="AI169" s="262" t="s">
        <v>416</v>
      </c>
      <c r="AJ169" s="212" t="s">
        <v>126</v>
      </c>
      <c r="AK169" s="46" t="s">
        <v>92</v>
      </c>
    </row>
    <row r="170" spans="1:37" s="262" customFormat="1" ht="15" customHeight="1" x14ac:dyDescent="0.2">
      <c r="A170" s="323" t="s">
        <v>579</v>
      </c>
      <c r="B170" s="391" t="s">
        <v>37</v>
      </c>
      <c r="C170" s="391">
        <v>220</v>
      </c>
      <c r="D170" s="391" t="s">
        <v>80</v>
      </c>
      <c r="E170" s="3" t="s">
        <v>576</v>
      </c>
      <c r="F170" s="11">
        <v>25</v>
      </c>
      <c r="G170" s="391">
        <v>1</v>
      </c>
      <c r="H170" s="391">
        <v>17</v>
      </c>
      <c r="I170" s="391">
        <v>17</v>
      </c>
      <c r="J170" s="391" t="s">
        <v>402</v>
      </c>
      <c r="K170" s="262" t="s">
        <v>511</v>
      </c>
      <c r="L170" s="262" t="s">
        <v>517</v>
      </c>
      <c r="M170" s="22" t="s">
        <v>85</v>
      </c>
      <c r="N170" s="22" t="s">
        <v>86</v>
      </c>
      <c r="O170" s="391" t="str">
        <f>"Sim"</f>
        <v>Sim</v>
      </c>
      <c r="P170" s="22" t="s">
        <v>86</v>
      </c>
      <c r="Q170" s="91" t="s">
        <v>578</v>
      </c>
      <c r="R170" s="391">
        <f>SUMIF('Lançamento de Cabos'!$B:$B,Tabela1[[#This Row],[Tag do Cabo]],'Lançamento de Cabos'!$C:$C)</f>
        <v>25</v>
      </c>
      <c r="S170" s="391">
        <f>VLOOKUP(Tabela1[[#This Row],[Tag do Cabo]],'Diagramas Ligações'!A:V,14,0)</f>
        <v>6</v>
      </c>
      <c r="T170" s="262" t="s">
        <v>415</v>
      </c>
      <c r="U170" s="391">
        <v>2</v>
      </c>
      <c r="V170" s="391" t="s">
        <v>406</v>
      </c>
      <c r="W170" s="391" t="s">
        <v>92</v>
      </c>
      <c r="X170" s="391" t="s">
        <v>92</v>
      </c>
      <c r="Y170" s="391" t="s">
        <v>92</v>
      </c>
      <c r="Z170" s="391" t="s">
        <v>92</v>
      </c>
      <c r="AA170" s="45" t="s">
        <v>92</v>
      </c>
      <c r="AB17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0" s="262" t="s">
        <v>407</v>
      </c>
      <c r="AD170" s="391">
        <f>IF(Tabela1[[#This Row],[Qtde. Lançada]]&gt;Tabela1[[#This Row],[Comprimento Total]],Tabela1[[#This Row],[Qtde. Lançada]],Tabela1[[#This Row],[Comprimento Total]])</f>
        <v>25</v>
      </c>
      <c r="AE170" s="391" t="s">
        <v>92</v>
      </c>
      <c r="AF170" s="391" t="s">
        <v>402</v>
      </c>
      <c r="AG170" s="391">
        <f ca="1">SUMIF('Lançamento de Cabos'!AE:AK,Tabela1[[#This Row],[Tag do Cabo]],'Lançamento de Cabos'!AG:AG)</f>
        <v>6</v>
      </c>
      <c r="AH170" s="29">
        <f>IFERROR(VLOOKUP(Tabela1[[#This Row],[Tag do Cabo]],'Lançamento de Cabos'!AE:AK,7,0),0)</f>
        <v>1</v>
      </c>
      <c r="AI170" s="262" t="s">
        <v>416</v>
      </c>
      <c r="AJ170" s="212" t="s">
        <v>126</v>
      </c>
      <c r="AK170" s="46" t="s">
        <v>92</v>
      </c>
    </row>
    <row r="171" spans="1:37" s="262" customFormat="1" ht="15" customHeight="1" x14ac:dyDescent="0.2">
      <c r="A171" s="168" t="s">
        <v>580</v>
      </c>
      <c r="B171" s="391" t="s">
        <v>101</v>
      </c>
      <c r="C171" s="391" t="s">
        <v>92</v>
      </c>
      <c r="D171" s="391" t="s">
        <v>92</v>
      </c>
      <c r="E171" s="3" t="s">
        <v>581</v>
      </c>
      <c r="F171" s="11" t="s">
        <v>92</v>
      </c>
      <c r="G171" s="391">
        <v>1</v>
      </c>
      <c r="H171" s="391">
        <v>450</v>
      </c>
      <c r="I171" s="391">
        <v>450</v>
      </c>
      <c r="J171" s="391" t="s">
        <v>103</v>
      </c>
      <c r="K171" s="262" t="s">
        <v>402</v>
      </c>
      <c r="L171" s="262" t="s">
        <v>582</v>
      </c>
      <c r="M171" s="22" t="s">
        <v>86</v>
      </c>
      <c r="N171" s="22" t="s">
        <v>86</v>
      </c>
      <c r="O171" s="22" t="s">
        <v>86</v>
      </c>
      <c r="P171" s="22" t="s">
        <v>86</v>
      </c>
      <c r="Q171" s="91" t="s">
        <v>583</v>
      </c>
      <c r="R171" s="391">
        <f>SUMIF('Lançamento de Cabos'!$B:$B,Tabela1[[#This Row],[Tag do Cabo]],'Lançamento de Cabos'!$C:$C)</f>
        <v>450</v>
      </c>
      <c r="S171" s="391">
        <f>VLOOKUP(Tabela1[[#This Row],[Tag do Cabo]],'Diagramas Ligações'!A:V,14,0)</f>
        <v>8</v>
      </c>
      <c r="T171" s="262" t="s">
        <v>88</v>
      </c>
      <c r="U171" s="391">
        <v>5</v>
      </c>
      <c r="V171" s="391" t="s">
        <v>107</v>
      </c>
      <c r="W171" s="391" t="s">
        <v>342</v>
      </c>
      <c r="X171" s="32">
        <v>44177</v>
      </c>
      <c r="Y171" s="32">
        <v>44181</v>
      </c>
      <c r="Z171" s="3" t="s">
        <v>584</v>
      </c>
      <c r="AA171" s="45">
        <v>160</v>
      </c>
      <c r="AB17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1" s="262" t="s">
        <v>585</v>
      </c>
      <c r="AD171" s="391">
        <f>IF(Tabela1[[#This Row],[Qtde. Lançada]]&gt;Tabela1[[#This Row],[Comprimento Total]],Tabela1[[#This Row],[Qtde. Lançada]],Tabela1[[#This Row],[Comprimento Total]])</f>
        <v>450</v>
      </c>
      <c r="AE171" s="391" t="s">
        <v>92</v>
      </c>
      <c r="AF171" s="391" t="s">
        <v>586</v>
      </c>
      <c r="AG171" s="391">
        <f ca="1">SUMIF('Lançamento de Cabos'!AE:AK,Tabela1[[#This Row],[Tag do Cabo]],'Lançamento de Cabos'!AG:AG)</f>
        <v>0</v>
      </c>
      <c r="AH171" s="29">
        <f>IFERROR(VLOOKUP(Tabela1[[#This Row],[Tag do Cabo]],'Lançamento de Cabos'!AE:AK,7,0),0)</f>
        <v>0</v>
      </c>
      <c r="AI171" s="262" t="s">
        <v>98</v>
      </c>
      <c r="AJ171" s="212" t="s">
        <v>110</v>
      </c>
      <c r="AK171" s="46">
        <v>3056722</v>
      </c>
    </row>
    <row r="172" spans="1:37" s="262" customFormat="1" ht="15" customHeight="1" x14ac:dyDescent="0.2">
      <c r="A172" s="168" t="s">
        <v>587</v>
      </c>
      <c r="B172" s="391" t="s">
        <v>101</v>
      </c>
      <c r="C172" s="391" t="s">
        <v>92</v>
      </c>
      <c r="D172" s="391" t="s">
        <v>92</v>
      </c>
      <c r="E172" s="3" t="s">
        <v>581</v>
      </c>
      <c r="F172" s="11" t="s">
        <v>92</v>
      </c>
      <c r="G172" s="391">
        <v>1</v>
      </c>
      <c r="H172" s="391">
        <v>450</v>
      </c>
      <c r="I172" s="391">
        <v>450</v>
      </c>
      <c r="J172" s="391" t="s">
        <v>103</v>
      </c>
      <c r="K172" s="262" t="s">
        <v>588</v>
      </c>
      <c r="L172" s="262" t="s">
        <v>589</v>
      </c>
      <c r="M172" s="22" t="s">
        <v>86</v>
      </c>
      <c r="N172" s="22" t="s">
        <v>86</v>
      </c>
      <c r="O172" s="22" t="s">
        <v>86</v>
      </c>
      <c r="P172" s="22" t="s">
        <v>86</v>
      </c>
      <c r="Q172" s="91" t="s">
        <v>583</v>
      </c>
      <c r="R172" s="391">
        <f>SUMIF('Lançamento de Cabos'!$B:$B,Tabela1[[#This Row],[Tag do Cabo]],'Lançamento de Cabos'!$C:$C)</f>
        <v>450</v>
      </c>
      <c r="S172" s="391">
        <f>VLOOKUP(Tabela1[[#This Row],[Tag do Cabo]],'Diagramas Ligações'!A:V,14,0)</f>
        <v>8</v>
      </c>
      <c r="T172" s="262" t="s">
        <v>88</v>
      </c>
      <c r="U172" s="391">
        <v>5</v>
      </c>
      <c r="V172" s="391" t="s">
        <v>107</v>
      </c>
      <c r="W172" s="391" t="s">
        <v>536</v>
      </c>
      <c r="X172" s="32">
        <v>44177</v>
      </c>
      <c r="Y172" s="32">
        <v>44181</v>
      </c>
      <c r="Z172" s="3" t="s">
        <v>584</v>
      </c>
      <c r="AA172" s="45">
        <v>153</v>
      </c>
      <c r="AB17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2" s="262" t="s">
        <v>585</v>
      </c>
      <c r="AD172" s="391">
        <f>IF(Tabela1[[#This Row],[Qtde. Lançada]]&gt;Tabela1[[#This Row],[Comprimento Total]],Tabela1[[#This Row],[Qtde. Lançada]],Tabela1[[#This Row],[Comprimento Total]])</f>
        <v>450</v>
      </c>
      <c r="AE172" s="391" t="s">
        <v>92</v>
      </c>
      <c r="AF172" s="391" t="s">
        <v>586</v>
      </c>
      <c r="AG172" s="391">
        <f ca="1">SUMIF('Lançamento de Cabos'!AE:AK,Tabela1[[#This Row],[Tag do Cabo]],'Lançamento de Cabos'!AG:AG)</f>
        <v>8</v>
      </c>
      <c r="AH172" s="29">
        <f>IFERROR(VLOOKUP(Tabela1[[#This Row],[Tag do Cabo]],'Lançamento de Cabos'!AE:AK,7,0),0)</f>
        <v>1</v>
      </c>
      <c r="AI172" s="262" t="s">
        <v>98</v>
      </c>
      <c r="AJ172" s="212" t="s">
        <v>590</v>
      </c>
      <c r="AK172" s="46">
        <v>3056722</v>
      </c>
    </row>
    <row r="173" spans="1:37" s="262" customFormat="1" ht="15" customHeight="1" x14ac:dyDescent="0.2">
      <c r="A173" s="168" t="s">
        <v>591</v>
      </c>
      <c r="B173" s="391" t="s">
        <v>37</v>
      </c>
      <c r="C173" s="391">
        <v>480</v>
      </c>
      <c r="D173" s="391" t="s">
        <v>80</v>
      </c>
      <c r="E173" s="3" t="s">
        <v>592</v>
      </c>
      <c r="F173" s="11">
        <v>185</v>
      </c>
      <c r="G173" s="391">
        <v>9</v>
      </c>
      <c r="H173" s="391">
        <v>160</v>
      </c>
      <c r="I173" s="391">
        <v>1440</v>
      </c>
      <c r="J173" s="391" t="s">
        <v>310</v>
      </c>
      <c r="K173" s="262" t="s">
        <v>593</v>
      </c>
      <c r="L173" s="262" t="s">
        <v>594</v>
      </c>
      <c r="M173" s="22" t="s">
        <v>85</v>
      </c>
      <c r="N173" s="22" t="s">
        <v>86</v>
      </c>
      <c r="O173" s="391" t="str">
        <f>"Sim"</f>
        <v>Sim</v>
      </c>
      <c r="P173" s="22" t="s">
        <v>86</v>
      </c>
      <c r="Q173" s="91" t="s">
        <v>243</v>
      </c>
      <c r="R173" s="391">
        <f>SUMIF('Lançamento de Cabos'!$B:$B,Tabela1[[#This Row],[Tag do Cabo]],'Lançamento de Cabos'!$C:$C)</f>
        <v>1440</v>
      </c>
      <c r="S173" s="391">
        <f>VLOOKUP(Tabela1[[#This Row],[Tag do Cabo]],'Diagramas Ligações'!A:V,14,0)</f>
        <v>18</v>
      </c>
      <c r="T173" s="262" t="s">
        <v>88</v>
      </c>
      <c r="U173" s="391">
        <v>5</v>
      </c>
      <c r="V173" s="391"/>
      <c r="W173" s="391" t="s">
        <v>342</v>
      </c>
      <c r="X173" s="32">
        <v>44067</v>
      </c>
      <c r="Y173" s="32">
        <v>44067</v>
      </c>
      <c r="Z173" s="3" t="s">
        <v>595</v>
      </c>
      <c r="AA173" s="170" t="s">
        <v>596</v>
      </c>
      <c r="AB17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3" s="262" t="s">
        <v>407</v>
      </c>
      <c r="AD173" s="391">
        <f>IF(Tabela1[[#This Row],[Qtde. Lançada]]&gt;Tabela1[[#This Row],[Comprimento Total]],Tabela1[[#This Row],[Qtde. Lançada]],Tabela1[[#This Row],[Comprimento Total]])</f>
        <v>1440</v>
      </c>
      <c r="AE173" s="391" t="s">
        <v>92</v>
      </c>
      <c r="AF173" s="391" t="s">
        <v>597</v>
      </c>
      <c r="AG173" s="391">
        <f ca="1">SUMIF('Lançamento de Cabos'!AE:AK,Tabela1[[#This Row],[Tag do Cabo]],'Lançamento de Cabos'!AG:AG)</f>
        <v>18</v>
      </c>
      <c r="AH173" s="29">
        <f>IFERROR(VLOOKUP(Tabela1[[#This Row],[Tag do Cabo]],'Lançamento de Cabos'!AE:AK,7,0),0)</f>
        <v>1</v>
      </c>
      <c r="AI173" s="262" t="s">
        <v>537</v>
      </c>
      <c r="AJ173" s="212" t="s">
        <v>95</v>
      </c>
      <c r="AK173" s="46">
        <v>3169726</v>
      </c>
    </row>
    <row r="174" spans="1:37" s="262" customFormat="1" ht="15" customHeight="1" x14ac:dyDescent="0.2">
      <c r="A174" s="168" t="s">
        <v>598</v>
      </c>
      <c r="B174" s="391" t="s">
        <v>101</v>
      </c>
      <c r="C174" s="391" t="s">
        <v>92</v>
      </c>
      <c r="D174" s="391" t="s">
        <v>92</v>
      </c>
      <c r="E174" s="3" t="s">
        <v>599</v>
      </c>
      <c r="F174" s="11" t="s">
        <v>92</v>
      </c>
      <c r="G174" s="391">
        <v>1</v>
      </c>
      <c r="H174" s="391">
        <v>125</v>
      </c>
      <c r="I174" s="391">
        <v>125</v>
      </c>
      <c r="J174" s="391" t="s">
        <v>103</v>
      </c>
      <c r="K174" s="262" t="s">
        <v>600</v>
      </c>
      <c r="L174" s="262" t="s">
        <v>601</v>
      </c>
      <c r="M174" s="22" t="s">
        <v>86</v>
      </c>
      <c r="N174" s="22" t="s">
        <v>86</v>
      </c>
      <c r="O174" s="22" t="s">
        <v>86</v>
      </c>
      <c r="P174" s="22" t="s">
        <v>86</v>
      </c>
      <c r="Q174" s="91" t="s">
        <v>304</v>
      </c>
      <c r="R174" s="391">
        <f>SUMIF('Lançamento de Cabos'!$B:$B,Tabela1[[#This Row],[Tag do Cabo]],'Lançamento de Cabos'!$C:$C)</f>
        <v>148</v>
      </c>
      <c r="S174" s="391">
        <f>VLOOKUP(Tabela1[[#This Row],[Tag do Cabo]],'Diagramas Ligações'!A:V,14,0)</f>
        <v>2</v>
      </c>
      <c r="T174" s="262" t="s">
        <v>305</v>
      </c>
      <c r="U174" s="391">
        <v>2</v>
      </c>
      <c r="V174" s="391" t="s">
        <v>107</v>
      </c>
      <c r="W174" s="391" t="s">
        <v>453</v>
      </c>
      <c r="X174" s="32">
        <v>44120</v>
      </c>
      <c r="Y174" s="32">
        <v>44133</v>
      </c>
      <c r="Z174" s="3" t="s">
        <v>322</v>
      </c>
      <c r="AA174" s="45">
        <v>158</v>
      </c>
      <c r="AB17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4" s="262" t="s">
        <v>482</v>
      </c>
      <c r="AD174" s="391">
        <f>IF(Tabela1[[#This Row],[Qtde. Lançada]]&gt;Tabela1[[#This Row],[Comprimento Total]],Tabela1[[#This Row],[Qtde. Lançada]],Tabela1[[#This Row],[Comprimento Total]])</f>
        <v>148</v>
      </c>
      <c r="AE174" s="391" t="s">
        <v>92</v>
      </c>
      <c r="AF174" s="391" t="s">
        <v>597</v>
      </c>
      <c r="AG174" s="391">
        <f ca="1">SUMIF('Lançamento de Cabos'!AE:AK,Tabela1[[#This Row],[Tag do Cabo]],'Lançamento de Cabos'!AG:AG)</f>
        <v>0</v>
      </c>
      <c r="AH174" s="29">
        <f>IFERROR(VLOOKUP(Tabela1[[#This Row],[Tag do Cabo]],'Lançamento de Cabos'!AE:AK,7,0),0)</f>
        <v>0</v>
      </c>
      <c r="AI174" s="262" t="s">
        <v>378</v>
      </c>
      <c r="AJ174" s="212">
        <v>43</v>
      </c>
      <c r="AK174" s="46">
        <v>3104523</v>
      </c>
    </row>
    <row r="175" spans="1:37" s="262" customFormat="1" ht="15" customHeight="1" x14ac:dyDescent="0.2">
      <c r="A175" s="168" t="s">
        <v>602</v>
      </c>
      <c r="B175" s="391" t="s">
        <v>38</v>
      </c>
      <c r="C175" s="391" t="s">
        <v>92</v>
      </c>
      <c r="D175" s="391" t="s">
        <v>92</v>
      </c>
      <c r="E175" s="3" t="s">
        <v>347</v>
      </c>
      <c r="F175" s="11">
        <v>1</v>
      </c>
      <c r="G175" s="391">
        <v>1</v>
      </c>
      <c r="H175" s="391">
        <v>130</v>
      </c>
      <c r="I175" s="391">
        <v>130</v>
      </c>
      <c r="J175" s="391" t="s">
        <v>310</v>
      </c>
      <c r="K175" s="262" t="s">
        <v>603</v>
      </c>
      <c r="L175" s="262" t="s">
        <v>372</v>
      </c>
      <c r="M175" s="22" t="s">
        <v>85</v>
      </c>
      <c r="N175" s="391" t="str">
        <f t="shared" ref="N175:N204" si="5">"Sim"</f>
        <v>Sim</v>
      </c>
      <c r="O175" s="22" t="s">
        <v>86</v>
      </c>
      <c r="P175" s="22" t="s">
        <v>86</v>
      </c>
      <c r="Q175" s="391" t="s">
        <v>184</v>
      </c>
      <c r="R175" s="391">
        <f>SUMIF('Lançamento de Cabos'!$B:$B,Tabela1[[#This Row],[Tag do Cabo]],'Lançamento de Cabos'!$C:$C)</f>
        <v>136</v>
      </c>
      <c r="S175" s="391">
        <f>VLOOKUP(Tabela1[[#This Row],[Tag do Cabo]],'Diagramas Ligações'!A:V,14,0)</f>
        <v>16</v>
      </c>
      <c r="T175" s="262" t="s">
        <v>350</v>
      </c>
      <c r="U175" s="391">
        <v>10</v>
      </c>
      <c r="V175" s="391" t="s">
        <v>186</v>
      </c>
      <c r="W175" s="391" t="s">
        <v>306</v>
      </c>
      <c r="X175" s="32">
        <v>44120</v>
      </c>
      <c r="Y175" s="32">
        <v>44130</v>
      </c>
      <c r="Z175" s="88" t="s">
        <v>351</v>
      </c>
      <c r="AA175" s="45">
        <v>127</v>
      </c>
      <c r="AB17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5" s="262" t="s">
        <v>327</v>
      </c>
      <c r="AD175" s="391">
        <f>IF(Tabela1[[#This Row],[Qtde. Lançada]]&gt;Tabela1[[#This Row],[Comprimento Total]],Tabela1[[#This Row],[Qtde. Lançada]],Tabela1[[#This Row],[Comprimento Total]])</f>
        <v>136</v>
      </c>
      <c r="AE175" s="262" t="s">
        <v>190</v>
      </c>
      <c r="AF175" s="391" t="s">
        <v>597</v>
      </c>
      <c r="AG175" s="391">
        <f ca="1">SUMIF('Lançamento de Cabos'!AE:AK,Tabela1[[#This Row],[Tag do Cabo]],'Lançamento de Cabos'!AG:AG)</f>
        <v>0</v>
      </c>
      <c r="AH175" s="29">
        <f>IFERROR(VLOOKUP(Tabela1[[#This Row],[Tag do Cabo]],'Lançamento de Cabos'!AE:AK,7,0),0)</f>
        <v>0</v>
      </c>
      <c r="AI175" s="262" t="s">
        <v>378</v>
      </c>
      <c r="AJ175" s="212">
        <v>41</v>
      </c>
      <c r="AK175" s="46">
        <v>1423312</v>
      </c>
    </row>
    <row r="176" spans="1:37" s="262" customFormat="1" ht="15" customHeight="1" x14ac:dyDescent="0.2">
      <c r="A176" s="168" t="s">
        <v>604</v>
      </c>
      <c r="B176" s="391" t="s">
        <v>38</v>
      </c>
      <c r="C176" s="391" t="s">
        <v>92</v>
      </c>
      <c r="D176" s="391" t="s">
        <v>92</v>
      </c>
      <c r="E176" s="3" t="s">
        <v>355</v>
      </c>
      <c r="F176" s="11">
        <v>1</v>
      </c>
      <c r="G176" s="391">
        <v>1</v>
      </c>
      <c r="H176" s="391">
        <v>130</v>
      </c>
      <c r="I176" s="391">
        <v>130</v>
      </c>
      <c r="J176" s="391" t="s">
        <v>310</v>
      </c>
      <c r="K176" s="262" t="s">
        <v>605</v>
      </c>
      <c r="L176" s="262" t="s">
        <v>372</v>
      </c>
      <c r="M176" s="22" t="s">
        <v>85</v>
      </c>
      <c r="N176" s="391" t="str">
        <f t="shared" si="5"/>
        <v>Sim</v>
      </c>
      <c r="O176" s="22" t="s">
        <v>86</v>
      </c>
      <c r="P176" s="22" t="s">
        <v>86</v>
      </c>
      <c r="Q176" s="391" t="s">
        <v>184</v>
      </c>
      <c r="R176" s="391">
        <f>SUMIF('Lançamento de Cabos'!$B:$B,Tabela1[[#This Row],[Tag do Cabo]],'Lançamento de Cabos'!$C:$C)</f>
        <v>136</v>
      </c>
      <c r="S176" s="391">
        <f>VLOOKUP(Tabela1[[#This Row],[Tag do Cabo]],'Diagramas Ligações'!A:V,14,0)</f>
        <v>4</v>
      </c>
      <c r="T176" s="262" t="s">
        <v>350</v>
      </c>
      <c r="U176" s="391">
        <v>10</v>
      </c>
      <c r="V176" s="391" t="s">
        <v>186</v>
      </c>
      <c r="W176" s="391" t="s">
        <v>306</v>
      </c>
      <c r="X176" s="32">
        <v>44120</v>
      </c>
      <c r="Y176" s="32">
        <v>44130</v>
      </c>
      <c r="Z176" s="88" t="s">
        <v>351</v>
      </c>
      <c r="AA176" s="45">
        <v>182</v>
      </c>
      <c r="AB17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6" s="262" t="s">
        <v>327</v>
      </c>
      <c r="AD176" s="391">
        <f>IF(Tabela1[[#This Row],[Qtde. Lançada]]&gt;Tabela1[[#This Row],[Comprimento Total]],Tabela1[[#This Row],[Qtde. Lançada]],Tabela1[[#This Row],[Comprimento Total]])</f>
        <v>136</v>
      </c>
      <c r="AE176" s="262" t="s">
        <v>190</v>
      </c>
      <c r="AF176" s="391" t="s">
        <v>597</v>
      </c>
      <c r="AG176" s="391">
        <f ca="1">SUMIF('Lançamento de Cabos'!AE:AK,Tabela1[[#This Row],[Tag do Cabo]],'Lançamento de Cabos'!AG:AG)</f>
        <v>0</v>
      </c>
      <c r="AH176" s="29">
        <f>IFERROR(VLOOKUP(Tabela1[[#This Row],[Tag do Cabo]],'Lançamento de Cabos'!AE:AK,7,0),0)</f>
        <v>0</v>
      </c>
      <c r="AI176" s="262" t="s">
        <v>378</v>
      </c>
      <c r="AJ176" s="212">
        <v>41</v>
      </c>
      <c r="AK176" s="46">
        <v>306860</v>
      </c>
    </row>
    <row r="177" spans="1:37" s="262" customFormat="1" ht="15" customHeight="1" x14ac:dyDescent="0.2">
      <c r="A177" s="168" t="s">
        <v>606</v>
      </c>
      <c r="B177" s="391" t="s">
        <v>38</v>
      </c>
      <c r="C177" s="391" t="s">
        <v>92</v>
      </c>
      <c r="D177" s="391" t="s">
        <v>92</v>
      </c>
      <c r="E177" s="3" t="s">
        <v>355</v>
      </c>
      <c r="F177" s="11">
        <v>1</v>
      </c>
      <c r="G177" s="391">
        <v>1</v>
      </c>
      <c r="H177" s="391">
        <v>130</v>
      </c>
      <c r="I177" s="391">
        <v>130</v>
      </c>
      <c r="J177" s="391" t="s">
        <v>310</v>
      </c>
      <c r="K177" s="262" t="s">
        <v>381</v>
      </c>
      <c r="L177" s="262" t="s">
        <v>372</v>
      </c>
      <c r="M177" s="22" t="s">
        <v>85</v>
      </c>
      <c r="N177" s="391" t="str">
        <f t="shared" si="5"/>
        <v>Sim</v>
      </c>
      <c r="O177" s="22" t="s">
        <v>86</v>
      </c>
      <c r="P177" s="22" t="s">
        <v>86</v>
      </c>
      <c r="Q177" s="91" t="s">
        <v>184</v>
      </c>
      <c r="R177" s="391">
        <f>SUMIF('Lançamento de Cabos'!$B:$B,Tabela1[[#This Row],[Tag do Cabo]],'Lançamento de Cabos'!$C:$C)</f>
        <v>136</v>
      </c>
      <c r="S177" s="391">
        <f>VLOOKUP(Tabela1[[#This Row],[Tag do Cabo]],'Diagramas Ligações'!A:V,14,0)</f>
        <v>4</v>
      </c>
      <c r="T177" s="262" t="s">
        <v>350</v>
      </c>
      <c r="U177" s="391">
        <v>10</v>
      </c>
      <c r="V177" s="391" t="s">
        <v>186</v>
      </c>
      <c r="W177" s="391" t="s">
        <v>306</v>
      </c>
      <c r="X177" s="32">
        <v>44120</v>
      </c>
      <c r="Y177" s="32">
        <v>44130</v>
      </c>
      <c r="Z177" s="88" t="s">
        <v>351</v>
      </c>
      <c r="AA177" s="45">
        <v>182</v>
      </c>
      <c r="AB17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7" s="262" t="s">
        <v>327</v>
      </c>
      <c r="AD177" s="391">
        <f>IF(Tabela1[[#This Row],[Qtde. Lançada]]&gt;Tabela1[[#This Row],[Comprimento Total]],Tabela1[[#This Row],[Qtde. Lançada]],Tabela1[[#This Row],[Comprimento Total]])</f>
        <v>136</v>
      </c>
      <c r="AE177" s="262" t="s">
        <v>190</v>
      </c>
      <c r="AF177" s="391" t="s">
        <v>597</v>
      </c>
      <c r="AG177" s="391">
        <f ca="1">SUMIF('Lançamento de Cabos'!AE:AK,Tabela1[[#This Row],[Tag do Cabo]],'Lançamento de Cabos'!AG:AG)</f>
        <v>0</v>
      </c>
      <c r="AH177" s="29">
        <f>IFERROR(VLOOKUP(Tabela1[[#This Row],[Tag do Cabo]],'Lançamento de Cabos'!AE:AK,7,0),0)</f>
        <v>0</v>
      </c>
      <c r="AI177" s="262" t="s">
        <v>378</v>
      </c>
      <c r="AJ177" s="212">
        <v>41</v>
      </c>
      <c r="AK177" s="46">
        <v>306860</v>
      </c>
    </row>
    <row r="178" spans="1:37" s="262" customFormat="1" ht="15" customHeight="1" x14ac:dyDescent="0.2">
      <c r="A178" s="168" t="s">
        <v>607</v>
      </c>
      <c r="B178" s="391" t="s">
        <v>38</v>
      </c>
      <c r="C178" s="391" t="s">
        <v>92</v>
      </c>
      <c r="D178" s="391" t="s">
        <v>92</v>
      </c>
      <c r="E178" s="3" t="s">
        <v>608</v>
      </c>
      <c r="F178" s="11">
        <v>1</v>
      </c>
      <c r="G178" s="391">
        <v>1</v>
      </c>
      <c r="H178" s="391">
        <v>130</v>
      </c>
      <c r="I178" s="391">
        <v>130</v>
      </c>
      <c r="J178" s="391" t="s">
        <v>310</v>
      </c>
      <c r="K178" s="262" t="s">
        <v>609</v>
      </c>
      <c r="L178" s="262" t="s">
        <v>349</v>
      </c>
      <c r="M178" s="22" t="s">
        <v>85</v>
      </c>
      <c r="N178" s="391" t="str">
        <f t="shared" si="5"/>
        <v>Sim</v>
      </c>
      <c r="O178" s="22" t="s">
        <v>86</v>
      </c>
      <c r="P178" s="22" t="s">
        <v>86</v>
      </c>
      <c r="Q178" s="91" t="s">
        <v>321</v>
      </c>
      <c r="R178" s="391">
        <f>SUMIF('Lançamento de Cabos'!$B:$B,Tabela1[[#This Row],[Tag do Cabo]],'Lançamento de Cabos'!$C:$C)</f>
        <v>136</v>
      </c>
      <c r="S178" s="391">
        <f>VLOOKUP(Tabela1[[#This Row],[Tag do Cabo]],'Diagramas Ligações'!A:V,14,0)</f>
        <v>24</v>
      </c>
      <c r="T178" s="262" t="s">
        <v>350</v>
      </c>
      <c r="U178" s="391">
        <v>10</v>
      </c>
      <c r="V178" s="391" t="s">
        <v>186</v>
      </c>
      <c r="W178" s="391" t="s">
        <v>306</v>
      </c>
      <c r="X178" s="32">
        <v>44120</v>
      </c>
      <c r="Y178" s="32">
        <v>44130</v>
      </c>
      <c r="Z178" s="88" t="s">
        <v>351</v>
      </c>
      <c r="AA178" s="45">
        <v>124</v>
      </c>
      <c r="AB17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8" s="262" t="s">
        <v>327</v>
      </c>
      <c r="AD178" s="391">
        <f>IF(Tabela1[[#This Row],[Qtde. Lançada]]&gt;Tabela1[[#This Row],[Comprimento Total]],Tabela1[[#This Row],[Qtde. Lançada]],Tabela1[[#This Row],[Comprimento Total]])</f>
        <v>136</v>
      </c>
      <c r="AE178" s="262" t="s">
        <v>610</v>
      </c>
      <c r="AF178" s="391" t="s">
        <v>597</v>
      </c>
      <c r="AG178" s="391">
        <f ca="1">SUMIF('Lançamento de Cabos'!AE:AK,Tabela1[[#This Row],[Tag do Cabo]],'Lançamento de Cabos'!AG:AG)</f>
        <v>0</v>
      </c>
      <c r="AH178" s="29">
        <f>IFERROR(VLOOKUP(Tabela1[[#This Row],[Tag do Cabo]],'Lançamento de Cabos'!AE:AK,7,0),0)</f>
        <v>0</v>
      </c>
      <c r="AI178" s="262" t="s">
        <v>353</v>
      </c>
      <c r="AJ178" s="212">
        <v>10</v>
      </c>
      <c r="AK178" s="46">
        <v>3015008</v>
      </c>
    </row>
    <row r="179" spans="1:37" s="262" customFormat="1" ht="15" customHeight="1" x14ac:dyDescent="0.2">
      <c r="A179" s="168" t="s">
        <v>611</v>
      </c>
      <c r="B179" s="391" t="s">
        <v>38</v>
      </c>
      <c r="C179" s="391" t="s">
        <v>92</v>
      </c>
      <c r="D179" s="391" t="s">
        <v>92</v>
      </c>
      <c r="E179" s="3" t="s">
        <v>612</v>
      </c>
      <c r="F179" s="11">
        <v>1</v>
      </c>
      <c r="G179" s="391">
        <v>1</v>
      </c>
      <c r="H179" s="391">
        <v>130</v>
      </c>
      <c r="I179" s="391">
        <v>130</v>
      </c>
      <c r="J179" s="391" t="s">
        <v>310</v>
      </c>
      <c r="K179" s="262" t="s">
        <v>609</v>
      </c>
      <c r="L179" s="262" t="s">
        <v>349</v>
      </c>
      <c r="M179" s="22" t="s">
        <v>85</v>
      </c>
      <c r="N179" s="391" t="str">
        <f t="shared" si="5"/>
        <v>Sim</v>
      </c>
      <c r="O179" s="22" t="s">
        <v>86</v>
      </c>
      <c r="P179" s="22" t="s">
        <v>86</v>
      </c>
      <c r="Q179" s="91" t="s">
        <v>321</v>
      </c>
      <c r="R179" s="391">
        <f>SUMIF('Lançamento de Cabos'!$B:$B,Tabela1[[#This Row],[Tag do Cabo]],'Lançamento de Cabos'!$C:$C)</f>
        <v>136</v>
      </c>
      <c r="S179" s="391">
        <f>VLOOKUP(Tabela1[[#This Row],[Tag do Cabo]],'Diagramas Ligações'!A:V,14,0)</f>
        <v>32</v>
      </c>
      <c r="T179" s="262" t="s">
        <v>350</v>
      </c>
      <c r="U179" s="391">
        <v>10</v>
      </c>
      <c r="V179" s="391" t="s">
        <v>186</v>
      </c>
      <c r="W179" s="391" t="s">
        <v>306</v>
      </c>
      <c r="X179" s="32">
        <v>44120</v>
      </c>
      <c r="Y179" s="32">
        <v>44130</v>
      </c>
      <c r="Z179" s="88" t="s">
        <v>351</v>
      </c>
      <c r="AA179" s="45">
        <v>94</v>
      </c>
      <c r="AB17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79" s="262" t="s">
        <v>327</v>
      </c>
      <c r="AD179" s="391">
        <f>IF(Tabela1[[#This Row],[Qtde. Lançada]]&gt;Tabela1[[#This Row],[Comprimento Total]],Tabela1[[#This Row],[Qtde. Lançada]],Tabela1[[#This Row],[Comprimento Total]])</f>
        <v>136</v>
      </c>
      <c r="AE179" s="262" t="s">
        <v>190</v>
      </c>
      <c r="AF179" s="391" t="s">
        <v>597</v>
      </c>
      <c r="AG179" s="391">
        <f ca="1">SUMIF('Lançamento de Cabos'!AE:AK,Tabela1[[#This Row],[Tag do Cabo]],'Lançamento de Cabos'!AG:AG)</f>
        <v>0</v>
      </c>
      <c r="AH179" s="29">
        <f>IFERROR(VLOOKUP(Tabela1[[#This Row],[Tag do Cabo]],'Lançamento de Cabos'!AE:AK,7,0),0)</f>
        <v>0</v>
      </c>
      <c r="AI179" s="262" t="s">
        <v>353</v>
      </c>
      <c r="AJ179" s="212">
        <v>39</v>
      </c>
      <c r="AK179" s="46">
        <v>574198</v>
      </c>
    </row>
    <row r="180" spans="1:37" s="262" customFormat="1" ht="15" customHeight="1" x14ac:dyDescent="0.2">
      <c r="A180" s="168" t="s">
        <v>613</v>
      </c>
      <c r="B180" s="391" t="s">
        <v>38</v>
      </c>
      <c r="C180" s="391" t="s">
        <v>92</v>
      </c>
      <c r="D180" s="391" t="s">
        <v>92</v>
      </c>
      <c r="E180" s="3" t="s">
        <v>612</v>
      </c>
      <c r="F180" s="11">
        <v>1</v>
      </c>
      <c r="G180" s="391">
        <v>1</v>
      </c>
      <c r="H180" s="391">
        <v>130</v>
      </c>
      <c r="I180" s="391">
        <v>130</v>
      </c>
      <c r="J180" s="391" t="s">
        <v>310</v>
      </c>
      <c r="K180" s="262" t="s">
        <v>614</v>
      </c>
      <c r="L180" s="262" t="s">
        <v>349</v>
      </c>
      <c r="M180" s="22" t="s">
        <v>85</v>
      </c>
      <c r="N180" s="391" t="str">
        <f t="shared" si="5"/>
        <v>Sim</v>
      </c>
      <c r="O180" s="22" t="s">
        <v>86</v>
      </c>
      <c r="P180" s="22" t="s">
        <v>86</v>
      </c>
      <c r="Q180" s="91" t="s">
        <v>321</v>
      </c>
      <c r="R180" s="391">
        <f>SUMIF('Lançamento de Cabos'!$B:$B,Tabela1[[#This Row],[Tag do Cabo]],'Lançamento de Cabos'!$C:$C)</f>
        <v>136</v>
      </c>
      <c r="S180" s="391">
        <f>VLOOKUP(Tabela1[[#This Row],[Tag do Cabo]],'Diagramas Ligações'!A:V,14,0)</f>
        <v>30</v>
      </c>
      <c r="T180" s="262" t="s">
        <v>350</v>
      </c>
      <c r="U180" s="391">
        <v>10</v>
      </c>
      <c r="V180" s="391" t="s">
        <v>186</v>
      </c>
      <c r="W180" s="391" t="s">
        <v>306</v>
      </c>
      <c r="X180" s="32">
        <v>44120</v>
      </c>
      <c r="Y180" s="32">
        <v>44130</v>
      </c>
      <c r="Z180" s="88" t="s">
        <v>351</v>
      </c>
      <c r="AA180" s="45">
        <v>94</v>
      </c>
      <c r="AB18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0" s="262" t="s">
        <v>327</v>
      </c>
      <c r="AD180" s="391">
        <f>IF(Tabela1[[#This Row],[Qtde. Lançada]]&gt;Tabela1[[#This Row],[Comprimento Total]],Tabela1[[#This Row],[Qtde. Lançada]],Tabela1[[#This Row],[Comprimento Total]])</f>
        <v>136</v>
      </c>
      <c r="AE180" s="262" t="s">
        <v>190</v>
      </c>
      <c r="AF180" s="391" t="s">
        <v>597</v>
      </c>
      <c r="AG180" s="391">
        <f ca="1">SUMIF('Lançamento de Cabos'!AE:AK,Tabela1[[#This Row],[Tag do Cabo]],'Lançamento de Cabos'!AG:AG)</f>
        <v>0</v>
      </c>
      <c r="AH180" s="29">
        <f>IFERROR(VLOOKUP(Tabela1[[#This Row],[Tag do Cabo]],'Lançamento de Cabos'!AE:AK,7,0),0)</f>
        <v>0</v>
      </c>
      <c r="AI180" s="262" t="s">
        <v>353</v>
      </c>
      <c r="AJ180" s="212">
        <v>40</v>
      </c>
      <c r="AK180" s="46">
        <v>574198</v>
      </c>
    </row>
    <row r="181" spans="1:37" s="262" customFormat="1" ht="15" customHeight="1" x14ac:dyDescent="0.2">
      <c r="A181" s="168" t="s">
        <v>615</v>
      </c>
      <c r="B181" s="391" t="s">
        <v>38</v>
      </c>
      <c r="C181" s="391" t="s">
        <v>92</v>
      </c>
      <c r="D181" s="391" t="s">
        <v>92</v>
      </c>
      <c r="E181" s="3" t="s">
        <v>347</v>
      </c>
      <c r="F181" s="11">
        <v>1</v>
      </c>
      <c r="G181" s="391">
        <v>1</v>
      </c>
      <c r="H181" s="391">
        <v>130</v>
      </c>
      <c r="I181" s="391">
        <v>130</v>
      </c>
      <c r="J181" s="391" t="s">
        <v>310</v>
      </c>
      <c r="K181" s="262" t="s">
        <v>616</v>
      </c>
      <c r="L181" s="262" t="s">
        <v>349</v>
      </c>
      <c r="M181" s="22" t="s">
        <v>85</v>
      </c>
      <c r="N181" s="391" t="str">
        <f t="shared" si="5"/>
        <v>Sim</v>
      </c>
      <c r="O181" s="22" t="s">
        <v>86</v>
      </c>
      <c r="P181" s="22" t="s">
        <v>86</v>
      </c>
      <c r="Q181" s="91" t="s">
        <v>184</v>
      </c>
      <c r="R181" s="391">
        <f>SUMIF('Lançamento de Cabos'!$B:$B,Tabela1[[#This Row],[Tag do Cabo]],'Lançamento de Cabos'!$C:$C)</f>
        <v>136</v>
      </c>
      <c r="S181" s="391">
        <f>VLOOKUP(Tabela1[[#This Row],[Tag do Cabo]],'Diagramas Ligações'!A:V,14,0)</f>
        <v>12</v>
      </c>
      <c r="T181" s="262" t="s">
        <v>350</v>
      </c>
      <c r="U181" s="391">
        <v>10</v>
      </c>
      <c r="V181" s="391" t="s">
        <v>186</v>
      </c>
      <c r="W181" s="391" t="s">
        <v>306</v>
      </c>
      <c r="X181" s="32">
        <v>44120</v>
      </c>
      <c r="Y181" s="32">
        <v>44130</v>
      </c>
      <c r="Z181" s="88" t="s">
        <v>351</v>
      </c>
      <c r="AA181" s="45">
        <v>127</v>
      </c>
      <c r="AB18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1" s="262" t="s">
        <v>327</v>
      </c>
      <c r="AD181" s="391">
        <f>IF(Tabela1[[#This Row],[Qtde. Lançada]]&gt;Tabela1[[#This Row],[Comprimento Total]],Tabela1[[#This Row],[Qtde. Lançada]],Tabela1[[#This Row],[Comprimento Total]])</f>
        <v>136</v>
      </c>
      <c r="AE181" s="262" t="s">
        <v>190</v>
      </c>
      <c r="AF181" s="391" t="s">
        <v>597</v>
      </c>
      <c r="AG181" s="391">
        <f ca="1">SUMIF('Lançamento de Cabos'!AE:AK,Tabela1[[#This Row],[Tag do Cabo]],'Lançamento de Cabos'!AG:AG)</f>
        <v>0</v>
      </c>
      <c r="AH181" s="29">
        <f>IFERROR(VLOOKUP(Tabela1[[#This Row],[Tag do Cabo]],'Lançamento de Cabos'!AE:AK,7,0),0)</f>
        <v>0</v>
      </c>
      <c r="AI181" s="262" t="s">
        <v>353</v>
      </c>
      <c r="AJ181" s="212">
        <v>27</v>
      </c>
      <c r="AK181" s="46">
        <v>1423312</v>
      </c>
    </row>
    <row r="182" spans="1:37" s="262" customFormat="1" ht="15" customHeight="1" x14ac:dyDescent="0.2">
      <c r="A182" s="168" t="s">
        <v>617</v>
      </c>
      <c r="B182" s="391" t="s">
        <v>38</v>
      </c>
      <c r="C182" s="391" t="s">
        <v>92</v>
      </c>
      <c r="D182" s="391" t="s">
        <v>92</v>
      </c>
      <c r="E182" s="3" t="s">
        <v>347</v>
      </c>
      <c r="F182" s="11">
        <v>1</v>
      </c>
      <c r="G182" s="391">
        <v>1</v>
      </c>
      <c r="H182" s="391">
        <v>130</v>
      </c>
      <c r="I182" s="391">
        <v>130</v>
      </c>
      <c r="J182" s="391" t="s">
        <v>310</v>
      </c>
      <c r="K182" s="262" t="s">
        <v>616</v>
      </c>
      <c r="L182" s="262" t="s">
        <v>349</v>
      </c>
      <c r="M182" s="22" t="s">
        <v>85</v>
      </c>
      <c r="N182" s="391" t="str">
        <f t="shared" si="5"/>
        <v>Sim</v>
      </c>
      <c r="O182" s="22" t="s">
        <v>86</v>
      </c>
      <c r="P182" s="22" t="s">
        <v>86</v>
      </c>
      <c r="Q182" s="91" t="s">
        <v>184</v>
      </c>
      <c r="R182" s="391">
        <f>SUMIF('Lançamento de Cabos'!$B:$B,Tabela1[[#This Row],[Tag do Cabo]],'Lançamento de Cabos'!$C:$C)</f>
        <v>136</v>
      </c>
      <c r="S182" s="391">
        <f>VLOOKUP(Tabela1[[#This Row],[Tag do Cabo]],'Diagramas Ligações'!A:V,14,0)</f>
        <v>12</v>
      </c>
      <c r="T182" s="262" t="s">
        <v>350</v>
      </c>
      <c r="U182" s="391">
        <v>10</v>
      </c>
      <c r="V182" s="391" t="s">
        <v>186</v>
      </c>
      <c r="W182" s="391" t="s">
        <v>306</v>
      </c>
      <c r="X182" s="32">
        <v>44120</v>
      </c>
      <c r="Y182" s="32">
        <v>44130</v>
      </c>
      <c r="Z182" s="88" t="s">
        <v>351</v>
      </c>
      <c r="AA182" s="45">
        <v>127</v>
      </c>
      <c r="AB18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2" s="262" t="s">
        <v>327</v>
      </c>
      <c r="AD182" s="391">
        <f>IF(Tabela1[[#This Row],[Qtde. Lançada]]&gt;Tabela1[[#This Row],[Comprimento Total]],Tabela1[[#This Row],[Qtde. Lançada]],Tabela1[[#This Row],[Comprimento Total]])</f>
        <v>136</v>
      </c>
      <c r="AE182" s="262" t="s">
        <v>190</v>
      </c>
      <c r="AF182" s="391" t="s">
        <v>597</v>
      </c>
      <c r="AG182" s="391">
        <f ca="1">SUMIF('Lançamento de Cabos'!AE:AK,Tabela1[[#This Row],[Tag do Cabo]],'Lançamento de Cabos'!AG:AG)</f>
        <v>0</v>
      </c>
      <c r="AH182" s="29">
        <f>IFERROR(VLOOKUP(Tabela1[[#This Row],[Tag do Cabo]],'Lançamento de Cabos'!AE:AK,7,0),0)</f>
        <v>0</v>
      </c>
      <c r="AI182" s="262" t="s">
        <v>353</v>
      </c>
      <c r="AJ182" s="212">
        <v>27</v>
      </c>
      <c r="AK182" s="46">
        <v>1423312</v>
      </c>
    </row>
    <row r="183" spans="1:37" s="262" customFormat="1" ht="15" customHeight="1" x14ac:dyDescent="0.2">
      <c r="A183" s="168" t="s">
        <v>618</v>
      </c>
      <c r="B183" s="391" t="s">
        <v>38</v>
      </c>
      <c r="C183" s="391" t="s">
        <v>92</v>
      </c>
      <c r="D183" s="391" t="s">
        <v>92</v>
      </c>
      <c r="E183" s="3" t="s">
        <v>395</v>
      </c>
      <c r="F183" s="11">
        <v>1</v>
      </c>
      <c r="G183" s="391">
        <v>1</v>
      </c>
      <c r="H183" s="391">
        <v>130</v>
      </c>
      <c r="I183" s="391">
        <v>130</v>
      </c>
      <c r="J183" s="391" t="s">
        <v>310</v>
      </c>
      <c r="K183" s="262" t="s">
        <v>616</v>
      </c>
      <c r="L183" s="262" t="s">
        <v>349</v>
      </c>
      <c r="M183" s="22" t="s">
        <v>85</v>
      </c>
      <c r="N183" s="391" t="str">
        <f t="shared" si="5"/>
        <v>Sim</v>
      </c>
      <c r="O183" s="22" t="s">
        <v>86</v>
      </c>
      <c r="P183" s="22" t="s">
        <v>86</v>
      </c>
      <c r="Q183" s="91" t="s">
        <v>184</v>
      </c>
      <c r="R183" s="391">
        <f>SUMIF('Lançamento de Cabos'!$B:$B,Tabela1[[#This Row],[Tag do Cabo]],'Lançamento de Cabos'!$C:$C)</f>
        <v>136</v>
      </c>
      <c r="S183" s="391">
        <f>VLOOKUP(Tabela1[[#This Row],[Tag do Cabo]],'Diagramas Ligações'!A:V,14,0)</f>
        <v>8</v>
      </c>
      <c r="T183" s="262" t="s">
        <v>350</v>
      </c>
      <c r="U183" s="391">
        <v>10</v>
      </c>
      <c r="V183" s="391" t="s">
        <v>186</v>
      </c>
      <c r="W183" s="391" t="s">
        <v>306</v>
      </c>
      <c r="X183" s="32">
        <v>44120</v>
      </c>
      <c r="Y183" s="32">
        <v>44130</v>
      </c>
      <c r="Z183" s="88" t="s">
        <v>351</v>
      </c>
      <c r="AA183" s="45">
        <v>174</v>
      </c>
      <c r="AB18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3" s="262" t="s">
        <v>327</v>
      </c>
      <c r="AD183" s="391">
        <f>IF(Tabela1[[#This Row],[Qtde. Lançada]]&gt;Tabela1[[#This Row],[Comprimento Total]],Tabela1[[#This Row],[Qtde. Lançada]],Tabela1[[#This Row],[Comprimento Total]])</f>
        <v>136</v>
      </c>
      <c r="AE183" s="262" t="s">
        <v>190</v>
      </c>
      <c r="AF183" s="391" t="s">
        <v>597</v>
      </c>
      <c r="AG183" s="391">
        <f ca="1">SUMIF('Lançamento de Cabos'!AE:AK,Tabela1[[#This Row],[Tag do Cabo]],'Lançamento de Cabos'!AG:AG)</f>
        <v>0</v>
      </c>
      <c r="AH183" s="29">
        <f>IFERROR(VLOOKUP(Tabela1[[#This Row],[Tag do Cabo]],'Lançamento de Cabos'!AE:AK,7,0),0)</f>
        <v>0</v>
      </c>
      <c r="AI183" s="262" t="s">
        <v>353</v>
      </c>
      <c r="AJ183" s="212">
        <v>28</v>
      </c>
      <c r="AK183" s="46">
        <v>2056037</v>
      </c>
    </row>
    <row r="184" spans="1:37" s="262" customFormat="1" ht="15" customHeight="1" x14ac:dyDescent="0.2">
      <c r="A184" s="168" t="s">
        <v>619</v>
      </c>
      <c r="B184" s="391" t="s">
        <v>38</v>
      </c>
      <c r="C184" s="391" t="s">
        <v>92</v>
      </c>
      <c r="D184" s="391" t="s">
        <v>92</v>
      </c>
      <c r="E184" s="3" t="s">
        <v>347</v>
      </c>
      <c r="F184" s="11">
        <v>1</v>
      </c>
      <c r="G184" s="391">
        <v>1</v>
      </c>
      <c r="H184" s="391">
        <v>130</v>
      </c>
      <c r="I184" s="391">
        <v>130</v>
      </c>
      <c r="J184" s="391" t="s">
        <v>310</v>
      </c>
      <c r="K184" s="262" t="s">
        <v>616</v>
      </c>
      <c r="L184" s="262" t="s">
        <v>349</v>
      </c>
      <c r="M184" s="22" t="s">
        <v>85</v>
      </c>
      <c r="N184" s="391" t="str">
        <f t="shared" si="5"/>
        <v>Sim</v>
      </c>
      <c r="O184" s="22" t="s">
        <v>86</v>
      </c>
      <c r="P184" s="22" t="s">
        <v>86</v>
      </c>
      <c r="Q184" s="391" t="s">
        <v>184</v>
      </c>
      <c r="R184" s="391">
        <f>SUMIF('Lançamento de Cabos'!$B:$B,Tabela1[[#This Row],[Tag do Cabo]],'Lançamento de Cabos'!$C:$C)</f>
        <v>136</v>
      </c>
      <c r="S184" s="391">
        <f>VLOOKUP(Tabela1[[#This Row],[Tag do Cabo]],'Diagramas Ligações'!A:V,14,0)</f>
        <v>8</v>
      </c>
      <c r="T184" s="262" t="s">
        <v>350</v>
      </c>
      <c r="U184" s="391">
        <v>10</v>
      </c>
      <c r="V184" s="391" t="s">
        <v>186</v>
      </c>
      <c r="W184" s="391" t="s">
        <v>306</v>
      </c>
      <c r="X184" s="32">
        <v>44120</v>
      </c>
      <c r="Y184" s="32">
        <v>44153</v>
      </c>
      <c r="Z184" s="88" t="s">
        <v>620</v>
      </c>
      <c r="AA184" s="45">
        <v>127</v>
      </c>
      <c r="AB18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4" s="262" t="s">
        <v>327</v>
      </c>
      <c r="AD184" s="391">
        <f>IF(Tabela1[[#This Row],[Qtde. Lançada]]&gt;Tabela1[[#This Row],[Comprimento Total]],Tabela1[[#This Row],[Qtde. Lançada]],Tabela1[[#This Row],[Comprimento Total]])</f>
        <v>136</v>
      </c>
      <c r="AE184" s="262" t="s">
        <v>190</v>
      </c>
      <c r="AF184" s="391" t="s">
        <v>597</v>
      </c>
      <c r="AG184" s="391">
        <f ca="1">SUMIF('Lançamento de Cabos'!AE:AK,Tabela1[[#This Row],[Tag do Cabo]],'Lançamento de Cabos'!AG:AG)</f>
        <v>0</v>
      </c>
      <c r="AH184" s="29">
        <f>IFERROR(VLOOKUP(Tabela1[[#This Row],[Tag do Cabo]],'Lançamento de Cabos'!AE:AK,7,0),0)</f>
        <v>0</v>
      </c>
      <c r="AI184" s="262" t="s">
        <v>353</v>
      </c>
      <c r="AJ184" s="212">
        <v>28</v>
      </c>
      <c r="AK184" s="46">
        <v>1423312</v>
      </c>
    </row>
    <row r="185" spans="1:37" s="262" customFormat="1" ht="15" customHeight="1" x14ac:dyDescent="0.2">
      <c r="A185" s="168" t="s">
        <v>621</v>
      </c>
      <c r="B185" s="391" t="s">
        <v>38</v>
      </c>
      <c r="C185" s="391" t="s">
        <v>92</v>
      </c>
      <c r="D185" s="391" t="s">
        <v>92</v>
      </c>
      <c r="E185" s="3" t="s">
        <v>608</v>
      </c>
      <c r="F185" s="11">
        <v>1</v>
      </c>
      <c r="G185" s="391">
        <v>1</v>
      </c>
      <c r="H185" s="391">
        <v>130</v>
      </c>
      <c r="I185" s="391">
        <v>130</v>
      </c>
      <c r="J185" s="391" t="s">
        <v>310</v>
      </c>
      <c r="K185" s="262" t="s">
        <v>603</v>
      </c>
      <c r="L185" s="262" t="s">
        <v>349</v>
      </c>
      <c r="M185" s="22" t="s">
        <v>85</v>
      </c>
      <c r="N185" s="391" t="str">
        <f t="shared" si="5"/>
        <v>Sim</v>
      </c>
      <c r="O185" s="22" t="s">
        <v>86</v>
      </c>
      <c r="P185" s="22" t="s">
        <v>86</v>
      </c>
      <c r="Q185" s="91" t="s">
        <v>321</v>
      </c>
      <c r="R185" s="391">
        <f>SUMIF('Lançamento de Cabos'!$B:$B,Tabela1[[#This Row],[Tag do Cabo]],'Lançamento de Cabos'!$C:$C)</f>
        <v>136</v>
      </c>
      <c r="S185" s="391">
        <f>VLOOKUP(Tabela1[[#This Row],[Tag do Cabo]],'Diagramas Ligações'!A:V,14,0)</f>
        <v>16</v>
      </c>
      <c r="T185" s="262" t="s">
        <v>350</v>
      </c>
      <c r="U185" s="391">
        <v>10</v>
      </c>
      <c r="V185" s="391" t="s">
        <v>186</v>
      </c>
      <c r="W185" s="391" t="s">
        <v>306</v>
      </c>
      <c r="X185" s="32">
        <v>44120</v>
      </c>
      <c r="Y185" s="32">
        <v>44130</v>
      </c>
      <c r="Z185" s="88" t="s">
        <v>351</v>
      </c>
      <c r="AA185" s="45">
        <v>124</v>
      </c>
      <c r="AB18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5" s="262" t="s">
        <v>327</v>
      </c>
      <c r="AD185" s="391">
        <f>IF(Tabela1[[#This Row],[Qtde. Lançada]]&gt;Tabela1[[#This Row],[Comprimento Total]],Tabela1[[#This Row],[Qtde. Lançada]],Tabela1[[#This Row],[Comprimento Total]])</f>
        <v>136</v>
      </c>
      <c r="AE185" s="262" t="s">
        <v>190</v>
      </c>
      <c r="AF185" s="391" t="s">
        <v>597</v>
      </c>
      <c r="AG185" s="391">
        <f ca="1">SUMIF('Lançamento de Cabos'!AE:AK,Tabela1[[#This Row],[Tag do Cabo]],'Lançamento de Cabos'!AG:AG)</f>
        <v>0</v>
      </c>
      <c r="AH185" s="29">
        <f>IFERROR(VLOOKUP(Tabela1[[#This Row],[Tag do Cabo]],'Lançamento de Cabos'!AE:AK,7,0),0)</f>
        <v>0</v>
      </c>
      <c r="AI185" s="262" t="s">
        <v>353</v>
      </c>
      <c r="AJ185" s="212">
        <v>41</v>
      </c>
      <c r="AK185" s="46">
        <v>923841</v>
      </c>
    </row>
    <row r="186" spans="1:37" s="262" customFormat="1" ht="15" customHeight="1" x14ac:dyDescent="0.2">
      <c r="A186" s="168" t="s">
        <v>622</v>
      </c>
      <c r="B186" s="391" t="s">
        <v>38</v>
      </c>
      <c r="C186" s="391" t="s">
        <v>92</v>
      </c>
      <c r="D186" s="391" t="s">
        <v>92</v>
      </c>
      <c r="E186" s="3" t="s">
        <v>347</v>
      </c>
      <c r="F186" s="11">
        <v>1</v>
      </c>
      <c r="G186" s="391">
        <v>1</v>
      </c>
      <c r="H186" s="391">
        <v>130</v>
      </c>
      <c r="I186" s="391">
        <v>130</v>
      </c>
      <c r="J186" s="391" t="s">
        <v>310</v>
      </c>
      <c r="K186" s="262" t="s">
        <v>614</v>
      </c>
      <c r="L186" s="262" t="s">
        <v>349</v>
      </c>
      <c r="M186" s="22" t="s">
        <v>85</v>
      </c>
      <c r="N186" s="391" t="str">
        <f t="shared" si="5"/>
        <v>Sim</v>
      </c>
      <c r="O186" s="22" t="s">
        <v>86</v>
      </c>
      <c r="P186" s="22" t="s">
        <v>86</v>
      </c>
      <c r="Q186" s="391" t="s">
        <v>184</v>
      </c>
      <c r="R186" s="391">
        <f>SUMIF('Lançamento de Cabos'!$B:$B,Tabela1[[#This Row],[Tag do Cabo]],'Lançamento de Cabos'!$C:$C)</f>
        <v>136</v>
      </c>
      <c r="S186" s="391">
        <f>VLOOKUP(Tabela1[[#This Row],[Tag do Cabo]],'Diagramas Ligações'!A:V,14,0)</f>
        <v>4</v>
      </c>
      <c r="T186" s="262" t="s">
        <v>350</v>
      </c>
      <c r="U186" s="391">
        <v>10</v>
      </c>
      <c r="V186" s="391" t="s">
        <v>186</v>
      </c>
      <c r="W186" s="391" t="s">
        <v>306</v>
      </c>
      <c r="X186" s="32">
        <v>44120</v>
      </c>
      <c r="Y186" s="32">
        <v>44153</v>
      </c>
      <c r="Z186" s="88" t="s">
        <v>623</v>
      </c>
      <c r="AA186" s="45">
        <v>127</v>
      </c>
      <c r="AB18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6" s="262" t="s">
        <v>327</v>
      </c>
      <c r="AD186" s="391">
        <f>IF(Tabela1[[#This Row],[Qtde. Lançada]]&gt;Tabela1[[#This Row],[Comprimento Total]],Tabela1[[#This Row],[Qtde. Lançada]],Tabela1[[#This Row],[Comprimento Total]])</f>
        <v>136</v>
      </c>
      <c r="AE186" s="262" t="s">
        <v>610</v>
      </c>
      <c r="AF186" s="391" t="s">
        <v>597</v>
      </c>
      <c r="AG186" s="391">
        <f ca="1">SUMIF('Lançamento de Cabos'!AE:AK,Tabela1[[#This Row],[Tag do Cabo]],'Lançamento de Cabos'!AG:AG)</f>
        <v>0</v>
      </c>
      <c r="AH186" s="29">
        <f>IFERROR(VLOOKUP(Tabela1[[#This Row],[Tag do Cabo]],'Lançamento de Cabos'!AE:AK,7,0),0)</f>
        <v>0</v>
      </c>
      <c r="AI186" s="262" t="s">
        <v>353</v>
      </c>
      <c r="AJ186" s="212">
        <v>11</v>
      </c>
      <c r="AK186" s="46">
        <v>1423312</v>
      </c>
    </row>
    <row r="187" spans="1:37" s="262" customFormat="1" ht="15" customHeight="1" x14ac:dyDescent="0.2">
      <c r="A187" s="168" t="s">
        <v>624</v>
      </c>
      <c r="B187" s="391" t="s">
        <v>38</v>
      </c>
      <c r="C187" s="391" t="s">
        <v>92</v>
      </c>
      <c r="D187" s="391" t="s">
        <v>92</v>
      </c>
      <c r="E187" s="3" t="s">
        <v>347</v>
      </c>
      <c r="F187" s="11">
        <v>1</v>
      </c>
      <c r="G187" s="391">
        <v>1</v>
      </c>
      <c r="H187" s="391">
        <v>130</v>
      </c>
      <c r="I187" s="391">
        <v>130</v>
      </c>
      <c r="J187" s="391" t="s">
        <v>310</v>
      </c>
      <c r="K187" s="262" t="s">
        <v>609</v>
      </c>
      <c r="L187" s="262" t="s">
        <v>349</v>
      </c>
      <c r="M187" s="22" t="s">
        <v>85</v>
      </c>
      <c r="N187" s="391" t="str">
        <f t="shared" si="5"/>
        <v>Sim</v>
      </c>
      <c r="O187" s="22" t="s">
        <v>86</v>
      </c>
      <c r="P187" s="22" t="s">
        <v>86</v>
      </c>
      <c r="Q187" s="391" t="s">
        <v>184</v>
      </c>
      <c r="R187" s="391">
        <f>SUMIF('Lançamento de Cabos'!$B:$B,Tabela1[[#This Row],[Tag do Cabo]],'Lançamento de Cabos'!$C:$C)</f>
        <v>136</v>
      </c>
      <c r="S187" s="391">
        <f>VLOOKUP(Tabela1[[#This Row],[Tag do Cabo]],'Diagramas Ligações'!A:V,14,0)</f>
        <v>8</v>
      </c>
      <c r="T187" s="262" t="s">
        <v>350</v>
      </c>
      <c r="U187" s="391">
        <v>10</v>
      </c>
      <c r="V187" s="391" t="s">
        <v>186</v>
      </c>
      <c r="W187" s="391" t="s">
        <v>306</v>
      </c>
      <c r="X187" s="32">
        <v>44120</v>
      </c>
      <c r="Y187" s="32">
        <v>44153</v>
      </c>
      <c r="Z187" s="88" t="s">
        <v>623</v>
      </c>
      <c r="AA187" s="45">
        <v>125</v>
      </c>
      <c r="AB18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7" s="262" t="s">
        <v>327</v>
      </c>
      <c r="AD187" s="391">
        <f>IF(Tabela1[[#This Row],[Qtde. Lançada]]&gt;Tabela1[[#This Row],[Comprimento Total]],Tabela1[[#This Row],[Qtde. Lançada]],Tabela1[[#This Row],[Comprimento Total]])</f>
        <v>136</v>
      </c>
      <c r="AE187" s="262" t="s">
        <v>610</v>
      </c>
      <c r="AF187" s="391" t="s">
        <v>597</v>
      </c>
      <c r="AG187" s="391">
        <f ca="1">SUMIF('Lançamento de Cabos'!AE:AK,Tabela1[[#This Row],[Tag do Cabo]],'Lançamento de Cabos'!AG:AG)</f>
        <v>0</v>
      </c>
      <c r="AH187" s="29">
        <f>IFERROR(VLOOKUP(Tabela1[[#This Row],[Tag do Cabo]],'Lançamento de Cabos'!AE:AK,7,0),0)</f>
        <v>0</v>
      </c>
      <c r="AI187" s="262" t="s">
        <v>353</v>
      </c>
      <c r="AJ187" s="212">
        <v>11</v>
      </c>
      <c r="AK187" s="46">
        <v>1423312</v>
      </c>
    </row>
    <row r="188" spans="1:37" s="262" customFormat="1" ht="15" customHeight="1" x14ac:dyDescent="0.2">
      <c r="A188" s="168" t="s">
        <v>625</v>
      </c>
      <c r="B188" s="391" t="s">
        <v>38</v>
      </c>
      <c r="C188" s="391" t="s">
        <v>92</v>
      </c>
      <c r="D188" s="391" t="s">
        <v>92</v>
      </c>
      <c r="E188" s="3" t="s">
        <v>612</v>
      </c>
      <c r="F188" s="11">
        <v>1</v>
      </c>
      <c r="G188" s="391">
        <v>1</v>
      </c>
      <c r="H188" s="391">
        <v>130</v>
      </c>
      <c r="I188" s="391">
        <v>130</v>
      </c>
      <c r="J188" s="391" t="s">
        <v>310</v>
      </c>
      <c r="K188" s="262" t="s">
        <v>609</v>
      </c>
      <c r="L188" s="262" t="s">
        <v>349</v>
      </c>
      <c r="M188" s="22" t="s">
        <v>85</v>
      </c>
      <c r="N188" s="391" t="str">
        <f t="shared" si="5"/>
        <v>Sim</v>
      </c>
      <c r="O188" s="22" t="s">
        <v>86</v>
      </c>
      <c r="P188" s="22" t="s">
        <v>86</v>
      </c>
      <c r="Q188" s="391" t="s">
        <v>321</v>
      </c>
      <c r="R188" s="391">
        <f>SUMIF('Lançamento de Cabos'!$B:$B,Tabela1[[#This Row],[Tag do Cabo]],'Lançamento de Cabos'!$C:$C)</f>
        <v>136</v>
      </c>
      <c r="S188" s="391">
        <f>VLOOKUP(Tabela1[[#This Row],[Tag do Cabo]],'Diagramas Ligações'!A:V,14,0)</f>
        <v>40</v>
      </c>
      <c r="T188" s="262" t="s">
        <v>350</v>
      </c>
      <c r="U188" s="391">
        <v>10</v>
      </c>
      <c r="V188" s="391" t="s">
        <v>186</v>
      </c>
      <c r="W188" s="391" t="s">
        <v>306</v>
      </c>
      <c r="X188" s="32">
        <v>44120</v>
      </c>
      <c r="Y188" s="32">
        <v>44130</v>
      </c>
      <c r="Z188" s="88" t="s">
        <v>351</v>
      </c>
      <c r="AA188" s="45">
        <v>126</v>
      </c>
      <c r="AB18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8" s="262" t="s">
        <v>327</v>
      </c>
      <c r="AD188" s="391">
        <f>IF(Tabela1[[#This Row],[Qtde. Lançada]]&gt;Tabela1[[#This Row],[Comprimento Total]],Tabela1[[#This Row],[Qtde. Lançada]],Tabela1[[#This Row],[Comprimento Total]])</f>
        <v>136</v>
      </c>
      <c r="AE188" s="262" t="s">
        <v>190</v>
      </c>
      <c r="AF188" s="391" t="s">
        <v>597</v>
      </c>
      <c r="AG188" s="391">
        <f ca="1">SUMIF('Lançamento de Cabos'!AE:AK,Tabela1[[#This Row],[Tag do Cabo]],'Lançamento de Cabos'!AG:AG)</f>
        <v>0</v>
      </c>
      <c r="AH188" s="29">
        <f>IFERROR(VLOOKUP(Tabela1[[#This Row],[Tag do Cabo]],'Lançamento de Cabos'!AE:AK,7,0),0)</f>
        <v>0</v>
      </c>
      <c r="AI188" s="262" t="s">
        <v>353</v>
      </c>
      <c r="AJ188" s="212">
        <v>37</v>
      </c>
      <c r="AK188" s="46">
        <v>3005082</v>
      </c>
    </row>
    <row r="189" spans="1:37" s="262" customFormat="1" ht="15" customHeight="1" x14ac:dyDescent="0.2">
      <c r="A189" s="168" t="s">
        <v>626</v>
      </c>
      <c r="B189" s="391" t="s">
        <v>38</v>
      </c>
      <c r="C189" s="391" t="s">
        <v>92</v>
      </c>
      <c r="D189" s="391" t="s">
        <v>92</v>
      </c>
      <c r="E189" s="3" t="s">
        <v>612</v>
      </c>
      <c r="F189" s="11">
        <v>1</v>
      </c>
      <c r="G189" s="391">
        <v>1</v>
      </c>
      <c r="H189" s="391">
        <v>130</v>
      </c>
      <c r="I189" s="391">
        <v>130</v>
      </c>
      <c r="J189" s="391" t="s">
        <v>310</v>
      </c>
      <c r="K189" s="262" t="s">
        <v>614</v>
      </c>
      <c r="L189" s="262" t="s">
        <v>349</v>
      </c>
      <c r="M189" s="22" t="s">
        <v>85</v>
      </c>
      <c r="N189" s="391" t="str">
        <f t="shared" si="5"/>
        <v>Sim</v>
      </c>
      <c r="O189" s="22" t="s">
        <v>86</v>
      </c>
      <c r="P189" s="22" t="s">
        <v>86</v>
      </c>
      <c r="Q189" s="391" t="s">
        <v>321</v>
      </c>
      <c r="R189" s="391">
        <f>SUMIF('Lançamento de Cabos'!$B:$B,Tabela1[[#This Row],[Tag do Cabo]],'Lançamento de Cabos'!$C:$C)</f>
        <v>136</v>
      </c>
      <c r="S189" s="391">
        <f>VLOOKUP(Tabela1[[#This Row],[Tag do Cabo]],'Diagramas Ligações'!A:V,14,0)</f>
        <v>36</v>
      </c>
      <c r="T189" s="262" t="s">
        <v>350</v>
      </c>
      <c r="U189" s="391">
        <v>10</v>
      </c>
      <c r="V189" s="391" t="s">
        <v>186</v>
      </c>
      <c r="W189" s="391" t="s">
        <v>306</v>
      </c>
      <c r="X189" s="32">
        <v>44120</v>
      </c>
      <c r="Y189" s="32">
        <v>44130</v>
      </c>
      <c r="Z189" s="88" t="s">
        <v>351</v>
      </c>
      <c r="AA189" s="45">
        <v>126</v>
      </c>
      <c r="AB18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89" s="262" t="s">
        <v>327</v>
      </c>
      <c r="AD189" s="391">
        <f>IF(Tabela1[[#This Row],[Qtde. Lançada]]&gt;Tabela1[[#This Row],[Comprimento Total]],Tabela1[[#This Row],[Qtde. Lançada]],Tabela1[[#This Row],[Comprimento Total]])</f>
        <v>136</v>
      </c>
      <c r="AE189" s="262" t="s">
        <v>190</v>
      </c>
      <c r="AF189" s="391" t="s">
        <v>597</v>
      </c>
      <c r="AG189" s="391">
        <f ca="1">SUMIF('Lançamento de Cabos'!AE:AK,Tabela1[[#This Row],[Tag do Cabo]],'Lançamento de Cabos'!AG:AG)</f>
        <v>0</v>
      </c>
      <c r="AH189" s="29">
        <f>IFERROR(VLOOKUP(Tabela1[[#This Row],[Tag do Cabo]],'Lançamento de Cabos'!AE:AK,7,0),0)</f>
        <v>0</v>
      </c>
      <c r="AI189" s="262" t="s">
        <v>353</v>
      </c>
      <c r="AJ189" s="212">
        <v>38</v>
      </c>
      <c r="AK189" s="46">
        <v>3005082</v>
      </c>
    </row>
    <row r="190" spans="1:37" s="262" customFormat="1" ht="15" customHeight="1" x14ac:dyDescent="0.2">
      <c r="A190" s="168" t="s">
        <v>627</v>
      </c>
      <c r="B190" s="391" t="s">
        <v>38</v>
      </c>
      <c r="C190" s="391" t="s">
        <v>92</v>
      </c>
      <c r="D190" s="391" t="s">
        <v>92</v>
      </c>
      <c r="E190" s="3" t="s">
        <v>355</v>
      </c>
      <c r="F190" s="11">
        <v>1</v>
      </c>
      <c r="G190" s="391">
        <v>1</v>
      </c>
      <c r="H190" s="391">
        <v>130</v>
      </c>
      <c r="I190" s="391">
        <v>130</v>
      </c>
      <c r="J190" s="391" t="s">
        <v>310</v>
      </c>
      <c r="K190" s="262" t="s">
        <v>628</v>
      </c>
      <c r="L190" s="262" t="s">
        <v>349</v>
      </c>
      <c r="M190" s="22" t="s">
        <v>85</v>
      </c>
      <c r="N190" s="391" t="str">
        <f t="shared" si="5"/>
        <v>Sim</v>
      </c>
      <c r="O190" s="22" t="s">
        <v>86</v>
      </c>
      <c r="P190" s="22" t="s">
        <v>86</v>
      </c>
      <c r="Q190" s="391" t="s">
        <v>184</v>
      </c>
      <c r="R190" s="391">
        <f>SUMIF('Lançamento de Cabos'!$B:$B,Tabela1[[#This Row],[Tag do Cabo]],'Lançamento de Cabos'!$C:$C)</f>
        <v>136</v>
      </c>
      <c r="S190" s="391">
        <f>VLOOKUP(Tabela1[[#This Row],[Tag do Cabo]],'Diagramas Ligações'!A:V,14,0)</f>
        <v>4</v>
      </c>
      <c r="T190" s="262" t="s">
        <v>350</v>
      </c>
      <c r="U190" s="391">
        <v>10</v>
      </c>
      <c r="V190" s="391" t="s">
        <v>186</v>
      </c>
      <c r="W190" s="391" t="s">
        <v>306</v>
      </c>
      <c r="X190" s="32">
        <v>44120</v>
      </c>
      <c r="Y190" s="32">
        <v>44130</v>
      </c>
      <c r="Z190" s="88" t="s">
        <v>351</v>
      </c>
      <c r="AA190" s="45">
        <v>182</v>
      </c>
      <c r="AB19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0" s="262" t="s">
        <v>327</v>
      </c>
      <c r="AD190" s="391">
        <f>IF(Tabela1[[#This Row],[Qtde. Lançada]]&gt;Tabela1[[#This Row],[Comprimento Total]],Tabela1[[#This Row],[Qtde. Lançada]],Tabela1[[#This Row],[Comprimento Total]])</f>
        <v>136</v>
      </c>
      <c r="AE190" s="262" t="s">
        <v>190</v>
      </c>
      <c r="AF190" s="391" t="s">
        <v>597</v>
      </c>
      <c r="AG190" s="391">
        <f ca="1">SUMIF('Lançamento de Cabos'!AE:AK,Tabela1[[#This Row],[Tag do Cabo]],'Lançamento de Cabos'!AG:AG)</f>
        <v>0</v>
      </c>
      <c r="AH190" s="29">
        <f>IFERROR(VLOOKUP(Tabela1[[#This Row],[Tag do Cabo]],'Lançamento de Cabos'!AE:AK,7,0),0)</f>
        <v>0</v>
      </c>
      <c r="AI190" s="262" t="s">
        <v>353</v>
      </c>
      <c r="AJ190" s="212">
        <v>41</v>
      </c>
      <c r="AK190" s="46">
        <v>306860</v>
      </c>
    </row>
    <row r="191" spans="1:37" s="262" customFormat="1" ht="15" customHeight="1" x14ac:dyDescent="0.2">
      <c r="A191" s="168" t="s">
        <v>629</v>
      </c>
      <c r="B191" s="391" t="s">
        <v>38</v>
      </c>
      <c r="C191" s="391" t="s">
        <v>92</v>
      </c>
      <c r="D191" s="391" t="s">
        <v>92</v>
      </c>
      <c r="E191" s="3" t="s">
        <v>355</v>
      </c>
      <c r="F191" s="11">
        <v>1</v>
      </c>
      <c r="G191" s="391">
        <v>1</v>
      </c>
      <c r="H191" s="391">
        <v>130</v>
      </c>
      <c r="I191" s="391">
        <v>130</v>
      </c>
      <c r="J191" s="391" t="s">
        <v>310</v>
      </c>
      <c r="K191" s="262" t="s">
        <v>630</v>
      </c>
      <c r="L191" s="262" t="s">
        <v>349</v>
      </c>
      <c r="M191" s="22" t="s">
        <v>85</v>
      </c>
      <c r="N191" s="391" t="str">
        <f t="shared" si="5"/>
        <v>Sim</v>
      </c>
      <c r="O191" s="22" t="s">
        <v>86</v>
      </c>
      <c r="P191" s="22" t="s">
        <v>86</v>
      </c>
      <c r="Q191" s="391" t="s">
        <v>184</v>
      </c>
      <c r="R191" s="391">
        <f>SUMIF('Lançamento de Cabos'!$B:$B,Tabela1[[#This Row],[Tag do Cabo]],'Lançamento de Cabos'!$C:$C)</f>
        <v>136</v>
      </c>
      <c r="S191" s="391">
        <f>VLOOKUP(Tabela1[[#This Row],[Tag do Cabo]],'Diagramas Ligações'!A:V,14,0)</f>
        <v>4</v>
      </c>
      <c r="T191" s="262" t="s">
        <v>350</v>
      </c>
      <c r="U191" s="391">
        <v>10</v>
      </c>
      <c r="V191" s="391" t="s">
        <v>186</v>
      </c>
      <c r="W191" s="391" t="s">
        <v>306</v>
      </c>
      <c r="X191" s="32">
        <v>44120</v>
      </c>
      <c r="Y191" s="32">
        <v>44130</v>
      </c>
      <c r="Z191" s="88" t="s">
        <v>351</v>
      </c>
      <c r="AA191" s="45">
        <v>182</v>
      </c>
      <c r="AB19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1" s="262" t="s">
        <v>327</v>
      </c>
      <c r="AD191" s="391">
        <f>IF(Tabela1[[#This Row],[Qtde. Lançada]]&gt;Tabela1[[#This Row],[Comprimento Total]],Tabela1[[#This Row],[Qtde. Lançada]],Tabela1[[#This Row],[Comprimento Total]])</f>
        <v>136</v>
      </c>
      <c r="AE191" s="262" t="s">
        <v>190</v>
      </c>
      <c r="AF191" s="391" t="s">
        <v>597</v>
      </c>
      <c r="AG191" s="391">
        <f ca="1">SUMIF('Lançamento de Cabos'!AE:AK,Tabela1[[#This Row],[Tag do Cabo]],'Lançamento de Cabos'!AG:AG)</f>
        <v>0</v>
      </c>
      <c r="AH191" s="29">
        <f>IFERROR(VLOOKUP(Tabela1[[#This Row],[Tag do Cabo]],'Lançamento de Cabos'!AE:AK,7,0),0)</f>
        <v>0</v>
      </c>
      <c r="AI191" s="262" t="s">
        <v>353</v>
      </c>
      <c r="AJ191" s="212">
        <v>41</v>
      </c>
      <c r="AK191" s="46">
        <v>306860</v>
      </c>
    </row>
    <row r="192" spans="1:37" s="262" customFormat="1" ht="15" customHeight="1" x14ac:dyDescent="0.2">
      <c r="A192" s="168" t="s">
        <v>631</v>
      </c>
      <c r="B192" s="391" t="s">
        <v>38</v>
      </c>
      <c r="C192" s="391" t="s">
        <v>92</v>
      </c>
      <c r="D192" s="391" t="s">
        <v>92</v>
      </c>
      <c r="E192" s="3" t="s">
        <v>632</v>
      </c>
      <c r="F192" s="11">
        <v>1.5</v>
      </c>
      <c r="G192" s="391">
        <v>1</v>
      </c>
      <c r="H192" s="391">
        <v>130</v>
      </c>
      <c r="I192" s="391">
        <v>130</v>
      </c>
      <c r="J192" s="391" t="s">
        <v>310</v>
      </c>
      <c r="K192" s="262" t="s">
        <v>609</v>
      </c>
      <c r="L192" s="262" t="s">
        <v>372</v>
      </c>
      <c r="M192" s="22" t="s">
        <v>85</v>
      </c>
      <c r="N192" s="391" t="str">
        <f t="shared" si="5"/>
        <v>Sim</v>
      </c>
      <c r="O192" s="22" t="s">
        <v>86</v>
      </c>
      <c r="P192" s="22" t="s">
        <v>86</v>
      </c>
      <c r="Q192" s="91" t="s">
        <v>321</v>
      </c>
      <c r="R192" s="391">
        <f>SUMIF('Lançamento de Cabos'!$B:$B,Tabela1[[#This Row],[Tag do Cabo]],'Lançamento de Cabos'!$C:$C)</f>
        <v>136</v>
      </c>
      <c r="S192" s="391">
        <f>VLOOKUP(Tabela1[[#This Row],[Tag do Cabo]],'Diagramas Ligações'!A:V,14,0)</f>
        <v>44</v>
      </c>
      <c r="T192" s="262" t="s">
        <v>350</v>
      </c>
      <c r="U192" s="391">
        <v>10</v>
      </c>
      <c r="V192" s="391" t="s">
        <v>186</v>
      </c>
      <c r="W192" s="391" t="s">
        <v>306</v>
      </c>
      <c r="X192" s="32">
        <v>44120</v>
      </c>
      <c r="Y192" s="32">
        <v>44130</v>
      </c>
      <c r="Z192" s="88" t="s">
        <v>351</v>
      </c>
      <c r="AA192" s="45">
        <v>92</v>
      </c>
      <c r="AB19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2" s="262" t="s">
        <v>327</v>
      </c>
      <c r="AD192" s="391">
        <f>IF(Tabela1[[#This Row],[Qtde. Lançada]]&gt;Tabela1[[#This Row],[Comprimento Total]],Tabela1[[#This Row],[Qtde. Lançada]],Tabela1[[#This Row],[Comprimento Total]])</f>
        <v>136</v>
      </c>
      <c r="AE192" s="262" t="s">
        <v>190</v>
      </c>
      <c r="AF192" s="391" t="s">
        <v>597</v>
      </c>
      <c r="AG192" s="391">
        <f ca="1">SUMIF('Lançamento de Cabos'!AE:AK,Tabela1[[#This Row],[Tag do Cabo]],'Lançamento de Cabos'!AG:AG)</f>
        <v>0</v>
      </c>
      <c r="AH192" s="29">
        <f>IFERROR(VLOOKUP(Tabela1[[#This Row],[Tag do Cabo]],'Lançamento de Cabos'!AE:AK,7,0),0)</f>
        <v>0</v>
      </c>
      <c r="AI192" s="262" t="s">
        <v>378</v>
      </c>
      <c r="AJ192" s="212">
        <v>37</v>
      </c>
      <c r="AK192" s="46">
        <v>922346</v>
      </c>
    </row>
    <row r="193" spans="1:37" s="262" customFormat="1" ht="15" customHeight="1" x14ac:dyDescent="0.2">
      <c r="A193" s="168" t="s">
        <v>633</v>
      </c>
      <c r="B193" s="391" t="s">
        <v>38</v>
      </c>
      <c r="C193" s="391" t="s">
        <v>92</v>
      </c>
      <c r="D193" s="391" t="s">
        <v>92</v>
      </c>
      <c r="E193" s="3" t="s">
        <v>347</v>
      </c>
      <c r="F193" s="11">
        <v>1</v>
      </c>
      <c r="G193" s="391">
        <v>1</v>
      </c>
      <c r="H193" s="391">
        <v>130</v>
      </c>
      <c r="I193" s="391">
        <v>130</v>
      </c>
      <c r="J193" s="391" t="s">
        <v>310</v>
      </c>
      <c r="K193" s="262" t="s">
        <v>381</v>
      </c>
      <c r="L193" s="262" t="s">
        <v>372</v>
      </c>
      <c r="M193" s="22" t="s">
        <v>85</v>
      </c>
      <c r="N193" s="391" t="str">
        <f t="shared" si="5"/>
        <v>Sim</v>
      </c>
      <c r="O193" s="22" t="s">
        <v>86</v>
      </c>
      <c r="P193" s="22" t="s">
        <v>86</v>
      </c>
      <c r="Q193" s="391" t="s">
        <v>184</v>
      </c>
      <c r="R193" s="391">
        <f>SUMIF('Lançamento de Cabos'!$B:$B,Tabela1[[#This Row],[Tag do Cabo]],'Lançamento de Cabos'!$C:$C)</f>
        <v>136</v>
      </c>
      <c r="S193" s="391">
        <f>VLOOKUP(Tabela1[[#This Row],[Tag do Cabo]],'Diagramas Ligações'!A:V,14,0)</f>
        <v>8</v>
      </c>
      <c r="T193" s="262" t="s">
        <v>350</v>
      </c>
      <c r="U193" s="391">
        <v>10</v>
      </c>
      <c r="V193" s="391" t="s">
        <v>186</v>
      </c>
      <c r="W193" s="391" t="s">
        <v>306</v>
      </c>
      <c r="X193" s="32">
        <v>44120</v>
      </c>
      <c r="Y193" s="32">
        <v>44153</v>
      </c>
      <c r="Z193" s="88" t="s">
        <v>634</v>
      </c>
      <c r="AA193" s="45">
        <v>125</v>
      </c>
      <c r="AB19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3" s="262" t="s">
        <v>327</v>
      </c>
      <c r="AD193" s="391">
        <f>IF(Tabela1[[#This Row],[Qtde. Lançada]]&gt;Tabela1[[#This Row],[Comprimento Total]],Tabela1[[#This Row],[Qtde. Lançada]],Tabela1[[#This Row],[Comprimento Total]])</f>
        <v>136</v>
      </c>
      <c r="AE193" s="262" t="s">
        <v>610</v>
      </c>
      <c r="AF193" s="391" t="s">
        <v>597</v>
      </c>
      <c r="AG193" s="391">
        <f ca="1">SUMIF('Lançamento de Cabos'!AE:AK,Tabela1[[#This Row],[Tag do Cabo]],'Lançamento de Cabos'!AG:AG)</f>
        <v>0</v>
      </c>
      <c r="AH193" s="29">
        <f>IFERROR(VLOOKUP(Tabela1[[#This Row],[Tag do Cabo]],'Lançamento de Cabos'!AE:AK,7,0),0)</f>
        <v>0</v>
      </c>
      <c r="AI193" s="262" t="s">
        <v>378</v>
      </c>
      <c r="AJ193" s="212">
        <v>10</v>
      </c>
      <c r="AK193" s="46">
        <v>1423312</v>
      </c>
    </row>
    <row r="194" spans="1:37" s="262" customFormat="1" ht="15" customHeight="1" x14ac:dyDescent="0.2">
      <c r="A194" s="168" t="s">
        <v>635</v>
      </c>
      <c r="B194" s="391" t="s">
        <v>38</v>
      </c>
      <c r="C194" s="391" t="s">
        <v>92</v>
      </c>
      <c r="D194" s="391" t="s">
        <v>92</v>
      </c>
      <c r="E194" s="3" t="s">
        <v>395</v>
      </c>
      <c r="F194" s="11">
        <v>1</v>
      </c>
      <c r="G194" s="391">
        <v>1</v>
      </c>
      <c r="H194" s="391">
        <v>130</v>
      </c>
      <c r="I194" s="391">
        <v>130</v>
      </c>
      <c r="J194" s="391" t="s">
        <v>310</v>
      </c>
      <c r="K194" s="262" t="s">
        <v>381</v>
      </c>
      <c r="L194" s="262" t="s">
        <v>372</v>
      </c>
      <c r="M194" s="22" t="s">
        <v>85</v>
      </c>
      <c r="N194" s="391" t="str">
        <f t="shared" si="5"/>
        <v>Sim</v>
      </c>
      <c r="O194" s="22" t="s">
        <v>86</v>
      </c>
      <c r="P194" s="22" t="s">
        <v>86</v>
      </c>
      <c r="Q194" s="391" t="s">
        <v>184</v>
      </c>
      <c r="R194" s="391">
        <f>SUMIF('Lançamento de Cabos'!$B:$B,Tabela1[[#This Row],[Tag do Cabo]],'Lançamento de Cabos'!$C:$C)</f>
        <v>136</v>
      </c>
      <c r="S194" s="391">
        <f>VLOOKUP(Tabela1[[#This Row],[Tag do Cabo]],'Diagramas Ligações'!A:V,14,0)</f>
        <v>8</v>
      </c>
      <c r="T194" s="262" t="s">
        <v>350</v>
      </c>
      <c r="U194" s="391">
        <v>10</v>
      </c>
      <c r="V194" s="391" t="s">
        <v>186</v>
      </c>
      <c r="W194" s="391" t="s">
        <v>306</v>
      </c>
      <c r="X194" s="32">
        <v>44120</v>
      </c>
      <c r="Y194" s="32">
        <v>44130</v>
      </c>
      <c r="Z194" s="88" t="s">
        <v>351</v>
      </c>
      <c r="AA194" s="45">
        <v>73</v>
      </c>
      <c r="AB19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4" s="262" t="s">
        <v>327</v>
      </c>
      <c r="AD194" s="391">
        <f>IF(Tabela1[[#This Row],[Qtde. Lançada]]&gt;Tabela1[[#This Row],[Comprimento Total]],Tabela1[[#This Row],[Qtde. Lançada]],Tabela1[[#This Row],[Comprimento Total]])</f>
        <v>136</v>
      </c>
      <c r="AE194" s="262" t="s">
        <v>610</v>
      </c>
      <c r="AF194" s="391" t="s">
        <v>597</v>
      </c>
      <c r="AG194" s="391">
        <f ca="1">SUMIF('Lançamento de Cabos'!AE:AK,Tabela1[[#This Row],[Tag do Cabo]],'Lançamento de Cabos'!AG:AG)</f>
        <v>0</v>
      </c>
      <c r="AH194" s="29">
        <f>IFERROR(VLOOKUP(Tabela1[[#This Row],[Tag do Cabo]],'Lançamento de Cabos'!AE:AK,7,0),0)</f>
        <v>0</v>
      </c>
      <c r="AI194" s="262" t="s">
        <v>378</v>
      </c>
      <c r="AJ194" s="212">
        <v>10</v>
      </c>
      <c r="AK194" s="46">
        <v>2009470</v>
      </c>
    </row>
    <row r="195" spans="1:37" s="262" customFormat="1" ht="15" customHeight="1" x14ac:dyDescent="0.2">
      <c r="A195" s="168" t="s">
        <v>636</v>
      </c>
      <c r="B195" s="391" t="s">
        <v>38</v>
      </c>
      <c r="C195" s="391" t="s">
        <v>92</v>
      </c>
      <c r="D195" s="391" t="s">
        <v>92</v>
      </c>
      <c r="E195" s="3" t="s">
        <v>347</v>
      </c>
      <c r="F195" s="11">
        <v>1</v>
      </c>
      <c r="G195" s="391">
        <v>1</v>
      </c>
      <c r="H195" s="391">
        <v>130</v>
      </c>
      <c r="I195" s="391">
        <v>130</v>
      </c>
      <c r="J195" s="391" t="s">
        <v>310</v>
      </c>
      <c r="K195" s="262" t="s">
        <v>616</v>
      </c>
      <c r="L195" s="262" t="s">
        <v>372</v>
      </c>
      <c r="M195" s="22" t="s">
        <v>85</v>
      </c>
      <c r="N195" s="391" t="str">
        <f t="shared" si="5"/>
        <v>Sim</v>
      </c>
      <c r="O195" s="22" t="s">
        <v>86</v>
      </c>
      <c r="P195" s="22" t="s">
        <v>86</v>
      </c>
      <c r="Q195" s="91" t="s">
        <v>184</v>
      </c>
      <c r="R195" s="391">
        <f>SUMIF('Lançamento de Cabos'!$B:$B,Tabela1[[#This Row],[Tag do Cabo]],'Lançamento de Cabos'!$C:$C)</f>
        <v>136</v>
      </c>
      <c r="S195" s="391">
        <f>VLOOKUP(Tabela1[[#This Row],[Tag do Cabo]],'Diagramas Ligações'!A:V,14,0)</f>
        <v>12</v>
      </c>
      <c r="T195" s="262" t="s">
        <v>350</v>
      </c>
      <c r="U195" s="391">
        <v>10</v>
      </c>
      <c r="V195" s="391" t="s">
        <v>186</v>
      </c>
      <c r="W195" s="391" t="s">
        <v>306</v>
      </c>
      <c r="X195" s="32">
        <v>44120</v>
      </c>
      <c r="Y195" s="32">
        <v>44130</v>
      </c>
      <c r="Z195" s="88" t="s">
        <v>351</v>
      </c>
      <c r="AA195" s="45">
        <v>127</v>
      </c>
      <c r="AB19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5" s="262" t="s">
        <v>327</v>
      </c>
      <c r="AD195" s="391">
        <f>IF(Tabela1[[#This Row],[Qtde. Lançada]]&gt;Tabela1[[#This Row],[Comprimento Total]],Tabela1[[#This Row],[Qtde. Lançada]],Tabela1[[#This Row],[Comprimento Total]])</f>
        <v>136</v>
      </c>
      <c r="AE195" s="262" t="s">
        <v>190</v>
      </c>
      <c r="AF195" s="391" t="s">
        <v>597</v>
      </c>
      <c r="AG195" s="391">
        <f ca="1">SUMIF('Lançamento de Cabos'!AE:AK,Tabela1[[#This Row],[Tag do Cabo]],'Lançamento de Cabos'!AG:AG)</f>
        <v>0</v>
      </c>
      <c r="AH195" s="29">
        <f>IFERROR(VLOOKUP(Tabela1[[#This Row],[Tag do Cabo]],'Lançamento de Cabos'!AE:AK,7,0),0)</f>
        <v>0</v>
      </c>
      <c r="AI195" s="262" t="s">
        <v>378</v>
      </c>
      <c r="AJ195" s="212">
        <v>32</v>
      </c>
      <c r="AK195" s="46">
        <v>1423312</v>
      </c>
    </row>
    <row r="196" spans="1:37" s="262" customFormat="1" ht="15" customHeight="1" x14ac:dyDescent="0.2">
      <c r="A196" s="168" t="s">
        <v>637</v>
      </c>
      <c r="B196" s="391" t="s">
        <v>38</v>
      </c>
      <c r="C196" s="391" t="s">
        <v>92</v>
      </c>
      <c r="D196" s="391" t="s">
        <v>92</v>
      </c>
      <c r="E196" s="3" t="s">
        <v>395</v>
      </c>
      <c r="F196" s="11">
        <v>1</v>
      </c>
      <c r="G196" s="391">
        <v>1</v>
      </c>
      <c r="H196" s="391">
        <v>130</v>
      </c>
      <c r="I196" s="391">
        <v>130</v>
      </c>
      <c r="J196" s="391" t="s">
        <v>310</v>
      </c>
      <c r="K196" s="262" t="s">
        <v>616</v>
      </c>
      <c r="L196" s="262" t="s">
        <v>372</v>
      </c>
      <c r="M196" s="22" t="s">
        <v>85</v>
      </c>
      <c r="N196" s="391" t="str">
        <f t="shared" si="5"/>
        <v>Sim</v>
      </c>
      <c r="O196" s="22" t="s">
        <v>86</v>
      </c>
      <c r="P196" s="22" t="s">
        <v>86</v>
      </c>
      <c r="Q196" s="91" t="s">
        <v>184</v>
      </c>
      <c r="R196" s="391">
        <f>SUMIF('Lançamento de Cabos'!$B:$B,Tabela1[[#This Row],[Tag do Cabo]],'Lançamento de Cabos'!$C:$C)</f>
        <v>136</v>
      </c>
      <c r="S196" s="391">
        <f>VLOOKUP(Tabela1[[#This Row],[Tag do Cabo]],'Diagramas Ligações'!A:V,14,0)</f>
        <v>8</v>
      </c>
      <c r="T196" s="262" t="s">
        <v>350</v>
      </c>
      <c r="U196" s="391">
        <v>10</v>
      </c>
      <c r="V196" s="391" t="s">
        <v>186</v>
      </c>
      <c r="W196" s="391" t="s">
        <v>306</v>
      </c>
      <c r="X196" s="32">
        <v>44120</v>
      </c>
      <c r="Y196" s="32">
        <v>44130</v>
      </c>
      <c r="Z196" s="88" t="s">
        <v>351</v>
      </c>
      <c r="AA196" s="45">
        <v>73</v>
      </c>
      <c r="AB19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6" s="262" t="s">
        <v>327</v>
      </c>
      <c r="AD196" s="391">
        <f>IF(Tabela1[[#This Row],[Qtde. Lançada]]&gt;Tabela1[[#This Row],[Comprimento Total]],Tabela1[[#This Row],[Qtde. Lançada]],Tabela1[[#This Row],[Comprimento Total]])</f>
        <v>136</v>
      </c>
      <c r="AE196" s="262" t="s">
        <v>190</v>
      </c>
      <c r="AF196" s="391" t="s">
        <v>597</v>
      </c>
      <c r="AG196" s="391">
        <f ca="1">SUMIF('Lançamento de Cabos'!AE:AK,Tabela1[[#This Row],[Tag do Cabo]],'Lançamento de Cabos'!AG:AG)</f>
        <v>0</v>
      </c>
      <c r="AH196" s="29">
        <f>IFERROR(VLOOKUP(Tabela1[[#This Row],[Tag do Cabo]],'Lançamento de Cabos'!AE:AK,7,0),0)</f>
        <v>0</v>
      </c>
      <c r="AI196" s="262" t="s">
        <v>378</v>
      </c>
      <c r="AJ196" s="212">
        <v>32</v>
      </c>
      <c r="AK196" s="46">
        <v>2009470</v>
      </c>
    </row>
    <row r="197" spans="1:37" s="262" customFormat="1" ht="15" customHeight="1" x14ac:dyDescent="0.2">
      <c r="A197" s="168" t="s">
        <v>638</v>
      </c>
      <c r="B197" s="391" t="s">
        <v>38</v>
      </c>
      <c r="C197" s="391" t="s">
        <v>92</v>
      </c>
      <c r="D197" s="391" t="s">
        <v>92</v>
      </c>
      <c r="E197" s="3" t="s">
        <v>395</v>
      </c>
      <c r="F197" s="11">
        <v>1</v>
      </c>
      <c r="G197" s="391">
        <v>1</v>
      </c>
      <c r="H197" s="391">
        <v>130</v>
      </c>
      <c r="I197" s="391">
        <v>130</v>
      </c>
      <c r="J197" s="391" t="s">
        <v>310</v>
      </c>
      <c r="K197" s="262" t="s">
        <v>616</v>
      </c>
      <c r="L197" s="262" t="s">
        <v>372</v>
      </c>
      <c r="M197" s="22" t="s">
        <v>85</v>
      </c>
      <c r="N197" s="391" t="str">
        <f t="shared" si="5"/>
        <v>Sim</v>
      </c>
      <c r="O197" s="22" t="s">
        <v>86</v>
      </c>
      <c r="P197" s="22" t="s">
        <v>86</v>
      </c>
      <c r="Q197" s="391" t="s">
        <v>184</v>
      </c>
      <c r="R197" s="391">
        <f>SUMIF('Lançamento de Cabos'!$B:$B,Tabela1[[#This Row],[Tag do Cabo]],'Lançamento de Cabos'!$C:$C)</f>
        <v>136</v>
      </c>
      <c r="S197" s="391">
        <f>VLOOKUP(Tabela1[[#This Row],[Tag do Cabo]],'Diagramas Ligações'!A:V,14,0)</f>
        <v>8</v>
      </c>
      <c r="T197" s="262" t="s">
        <v>350</v>
      </c>
      <c r="U197" s="391">
        <v>10</v>
      </c>
      <c r="V197" s="391" t="s">
        <v>186</v>
      </c>
      <c r="W197" s="391" t="s">
        <v>306</v>
      </c>
      <c r="X197" s="32">
        <v>44120</v>
      </c>
      <c r="Y197" s="32">
        <v>44130</v>
      </c>
      <c r="Z197" s="88" t="s">
        <v>351</v>
      </c>
      <c r="AA197" s="45">
        <v>73</v>
      </c>
      <c r="AB19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7" s="262" t="s">
        <v>327</v>
      </c>
      <c r="AD197" s="391">
        <f>IF(Tabela1[[#This Row],[Qtde. Lançada]]&gt;Tabela1[[#This Row],[Comprimento Total]],Tabela1[[#This Row],[Qtde. Lançada]],Tabela1[[#This Row],[Comprimento Total]])</f>
        <v>136</v>
      </c>
      <c r="AE197" s="262" t="s">
        <v>190</v>
      </c>
      <c r="AF197" s="391" t="s">
        <v>597</v>
      </c>
      <c r="AG197" s="391">
        <f ca="1">SUMIF('Lançamento de Cabos'!AE:AK,Tabela1[[#This Row],[Tag do Cabo]],'Lançamento de Cabos'!AG:AG)</f>
        <v>0</v>
      </c>
      <c r="AH197" s="29">
        <f>IFERROR(VLOOKUP(Tabela1[[#This Row],[Tag do Cabo]],'Lançamento de Cabos'!AE:AK,7,0),0)</f>
        <v>0</v>
      </c>
      <c r="AI197" s="262" t="s">
        <v>378</v>
      </c>
      <c r="AJ197" s="212">
        <v>32</v>
      </c>
      <c r="AK197" s="46">
        <v>2009470</v>
      </c>
    </row>
    <row r="198" spans="1:37" s="262" customFormat="1" ht="15" customHeight="1" x14ac:dyDescent="0.2">
      <c r="A198" s="168" t="s">
        <v>639</v>
      </c>
      <c r="B198" s="391" t="s">
        <v>38</v>
      </c>
      <c r="C198" s="391" t="s">
        <v>92</v>
      </c>
      <c r="D198" s="391" t="s">
        <v>92</v>
      </c>
      <c r="E198" s="3" t="s">
        <v>347</v>
      </c>
      <c r="F198" s="11">
        <v>1</v>
      </c>
      <c r="G198" s="391">
        <v>1</v>
      </c>
      <c r="H198" s="391">
        <v>130</v>
      </c>
      <c r="I198" s="391">
        <v>130</v>
      </c>
      <c r="J198" s="391" t="s">
        <v>310</v>
      </c>
      <c r="K198" s="262" t="s">
        <v>616</v>
      </c>
      <c r="L198" s="262" t="s">
        <v>372</v>
      </c>
      <c r="M198" s="22" t="s">
        <v>85</v>
      </c>
      <c r="N198" s="391" t="str">
        <f t="shared" si="5"/>
        <v>Sim</v>
      </c>
      <c r="O198" s="22" t="s">
        <v>86</v>
      </c>
      <c r="P198" s="22" t="s">
        <v>86</v>
      </c>
      <c r="Q198" s="391" t="s">
        <v>184</v>
      </c>
      <c r="R198" s="391">
        <f>SUMIF('Lançamento de Cabos'!$B:$B,Tabela1[[#This Row],[Tag do Cabo]],'Lançamento de Cabos'!$C:$C)</f>
        <v>136</v>
      </c>
      <c r="S198" s="391">
        <f>VLOOKUP(Tabela1[[#This Row],[Tag do Cabo]],'Diagramas Ligações'!A:V,14,0)</f>
        <v>12</v>
      </c>
      <c r="T198" s="262" t="s">
        <v>350</v>
      </c>
      <c r="U198" s="391">
        <v>10</v>
      </c>
      <c r="V198" s="391" t="s">
        <v>186</v>
      </c>
      <c r="W198" s="391" t="s">
        <v>306</v>
      </c>
      <c r="X198" s="32">
        <v>44120</v>
      </c>
      <c r="Y198" s="32">
        <v>44130</v>
      </c>
      <c r="Z198" s="88" t="s">
        <v>351</v>
      </c>
      <c r="AA198" s="45">
        <v>127</v>
      </c>
      <c r="AB19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8" s="262" t="s">
        <v>327</v>
      </c>
      <c r="AD198" s="391">
        <f>IF(Tabela1[[#This Row],[Qtde. Lançada]]&gt;Tabela1[[#This Row],[Comprimento Total]],Tabela1[[#This Row],[Qtde. Lançada]],Tabela1[[#This Row],[Comprimento Total]])</f>
        <v>136</v>
      </c>
      <c r="AE198" s="262" t="s">
        <v>190</v>
      </c>
      <c r="AF198" s="391" t="s">
        <v>597</v>
      </c>
      <c r="AG198" s="391">
        <f ca="1">SUMIF('Lançamento de Cabos'!AE:AK,Tabela1[[#This Row],[Tag do Cabo]],'Lançamento de Cabos'!AG:AG)</f>
        <v>0</v>
      </c>
      <c r="AH198" s="29">
        <f>IFERROR(VLOOKUP(Tabela1[[#This Row],[Tag do Cabo]],'Lançamento de Cabos'!AE:AK,7,0),0)</f>
        <v>0</v>
      </c>
      <c r="AI198" s="262" t="s">
        <v>378</v>
      </c>
      <c r="AJ198" s="212">
        <v>31</v>
      </c>
      <c r="AK198" s="46">
        <v>1423312</v>
      </c>
    </row>
    <row r="199" spans="1:37" s="262" customFormat="1" ht="15" customHeight="1" x14ac:dyDescent="0.2">
      <c r="A199" s="168" t="s">
        <v>640</v>
      </c>
      <c r="B199" s="391" t="s">
        <v>38</v>
      </c>
      <c r="C199" s="391" t="s">
        <v>92</v>
      </c>
      <c r="D199" s="391" t="s">
        <v>92</v>
      </c>
      <c r="E199" s="3" t="s">
        <v>395</v>
      </c>
      <c r="F199" s="11">
        <v>1</v>
      </c>
      <c r="G199" s="391">
        <v>1</v>
      </c>
      <c r="H199" s="391">
        <v>130</v>
      </c>
      <c r="I199" s="391">
        <v>130</v>
      </c>
      <c r="J199" s="391" t="s">
        <v>310</v>
      </c>
      <c r="K199" s="262" t="s">
        <v>616</v>
      </c>
      <c r="L199" s="262" t="s">
        <v>372</v>
      </c>
      <c r="M199" s="22" t="s">
        <v>85</v>
      </c>
      <c r="N199" s="391" t="str">
        <f t="shared" si="5"/>
        <v>Sim</v>
      </c>
      <c r="O199" s="22" t="s">
        <v>86</v>
      </c>
      <c r="P199" s="22" t="s">
        <v>86</v>
      </c>
      <c r="Q199" s="91" t="s">
        <v>184</v>
      </c>
      <c r="R199" s="391">
        <f>SUMIF('Lançamento de Cabos'!$B:$B,Tabela1[[#This Row],[Tag do Cabo]],'Lançamento de Cabos'!$C:$C)</f>
        <v>136</v>
      </c>
      <c r="S199" s="391">
        <f>VLOOKUP(Tabela1[[#This Row],[Tag do Cabo]],'Diagramas Ligações'!A:V,14,0)</f>
        <v>8</v>
      </c>
      <c r="T199" s="262" t="s">
        <v>350</v>
      </c>
      <c r="U199" s="391">
        <v>10</v>
      </c>
      <c r="V199" s="391" t="s">
        <v>186</v>
      </c>
      <c r="W199" s="391" t="s">
        <v>306</v>
      </c>
      <c r="X199" s="32">
        <v>44120</v>
      </c>
      <c r="Y199" s="32">
        <v>44130</v>
      </c>
      <c r="Z199" s="88" t="s">
        <v>351</v>
      </c>
      <c r="AA199" s="45">
        <v>73</v>
      </c>
      <c r="AB19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199" s="262" t="s">
        <v>327</v>
      </c>
      <c r="AD199" s="391">
        <f>IF(Tabela1[[#This Row],[Qtde. Lançada]]&gt;Tabela1[[#This Row],[Comprimento Total]],Tabela1[[#This Row],[Qtde. Lançada]],Tabela1[[#This Row],[Comprimento Total]])</f>
        <v>136</v>
      </c>
      <c r="AE199" s="262" t="s">
        <v>190</v>
      </c>
      <c r="AF199" s="391" t="s">
        <v>597</v>
      </c>
      <c r="AG199" s="391">
        <f ca="1">SUMIF('Lançamento de Cabos'!AE:AK,Tabela1[[#This Row],[Tag do Cabo]],'Lançamento de Cabos'!AG:AG)</f>
        <v>0</v>
      </c>
      <c r="AH199" s="29">
        <f>IFERROR(VLOOKUP(Tabela1[[#This Row],[Tag do Cabo]],'Lançamento de Cabos'!AE:AK,7,0),0)</f>
        <v>0</v>
      </c>
      <c r="AI199" s="262" t="s">
        <v>378</v>
      </c>
      <c r="AJ199" s="212">
        <v>32</v>
      </c>
      <c r="AK199" s="46">
        <v>2009470</v>
      </c>
    </row>
    <row r="200" spans="1:37" s="262" customFormat="1" ht="15" customHeight="1" x14ac:dyDescent="0.2">
      <c r="A200" s="168" t="s">
        <v>641</v>
      </c>
      <c r="B200" s="391" t="s">
        <v>38</v>
      </c>
      <c r="C200" s="391" t="s">
        <v>92</v>
      </c>
      <c r="D200" s="391" t="s">
        <v>92</v>
      </c>
      <c r="E200" s="3" t="s">
        <v>347</v>
      </c>
      <c r="F200" s="11">
        <v>1</v>
      </c>
      <c r="G200" s="391">
        <v>1</v>
      </c>
      <c r="H200" s="391">
        <v>130</v>
      </c>
      <c r="I200" s="391">
        <v>130</v>
      </c>
      <c r="J200" s="391" t="s">
        <v>310</v>
      </c>
      <c r="K200" s="262" t="s">
        <v>616</v>
      </c>
      <c r="L200" s="262" t="s">
        <v>372</v>
      </c>
      <c r="M200" s="22" t="s">
        <v>85</v>
      </c>
      <c r="N200" s="391" t="str">
        <f t="shared" si="5"/>
        <v>Sim</v>
      </c>
      <c r="O200" s="22" t="s">
        <v>86</v>
      </c>
      <c r="P200" s="22" t="s">
        <v>86</v>
      </c>
      <c r="Q200" s="91" t="s">
        <v>184</v>
      </c>
      <c r="R200" s="391">
        <f>SUMIF('Lançamento de Cabos'!$B:$B,Tabela1[[#This Row],[Tag do Cabo]],'Lançamento de Cabos'!$C:$C)</f>
        <v>136</v>
      </c>
      <c r="S200" s="391">
        <f>VLOOKUP(Tabela1[[#This Row],[Tag do Cabo]],'Diagramas Ligações'!A:V,14,0)</f>
        <v>12</v>
      </c>
      <c r="T200" s="262" t="s">
        <v>350</v>
      </c>
      <c r="U200" s="391">
        <v>10</v>
      </c>
      <c r="V200" s="391" t="s">
        <v>186</v>
      </c>
      <c r="W200" s="391" t="s">
        <v>306</v>
      </c>
      <c r="X200" s="32">
        <v>44120</v>
      </c>
      <c r="Y200" s="32">
        <v>44130</v>
      </c>
      <c r="Z200" s="88" t="s">
        <v>351</v>
      </c>
      <c r="AA200" s="45">
        <v>127</v>
      </c>
      <c r="AB20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0" s="262" t="s">
        <v>327</v>
      </c>
      <c r="AD200" s="391">
        <f>IF(Tabela1[[#This Row],[Qtde. Lançada]]&gt;Tabela1[[#This Row],[Comprimento Total]],Tabela1[[#This Row],[Qtde. Lançada]],Tabela1[[#This Row],[Comprimento Total]])</f>
        <v>136</v>
      </c>
      <c r="AE200" s="262" t="s">
        <v>190</v>
      </c>
      <c r="AF200" s="391" t="s">
        <v>597</v>
      </c>
      <c r="AG200" s="391">
        <f ca="1">SUMIF('Lançamento de Cabos'!AE:AK,Tabela1[[#This Row],[Tag do Cabo]],'Lançamento de Cabos'!AG:AG)</f>
        <v>0</v>
      </c>
      <c r="AH200" s="29">
        <f>IFERROR(VLOOKUP(Tabela1[[#This Row],[Tag do Cabo]],'Lançamento de Cabos'!AE:AK,7,0),0)</f>
        <v>0</v>
      </c>
      <c r="AI200" s="262" t="s">
        <v>378</v>
      </c>
      <c r="AJ200" s="212">
        <v>31</v>
      </c>
      <c r="AK200" s="46">
        <v>1423312</v>
      </c>
    </row>
    <row r="201" spans="1:37" s="262" customFormat="1" ht="15" customHeight="1" x14ac:dyDescent="0.2">
      <c r="A201" s="168" t="s">
        <v>642</v>
      </c>
      <c r="B201" s="391" t="s">
        <v>38</v>
      </c>
      <c r="C201" s="391" t="s">
        <v>92</v>
      </c>
      <c r="D201" s="391" t="s">
        <v>92</v>
      </c>
      <c r="E201" s="3" t="s">
        <v>395</v>
      </c>
      <c r="F201" s="11">
        <v>1</v>
      </c>
      <c r="G201" s="391">
        <v>1</v>
      </c>
      <c r="H201" s="391">
        <v>130</v>
      </c>
      <c r="I201" s="391">
        <v>130</v>
      </c>
      <c r="J201" s="391" t="s">
        <v>310</v>
      </c>
      <c r="K201" s="262" t="s">
        <v>616</v>
      </c>
      <c r="L201" s="262" t="s">
        <v>372</v>
      </c>
      <c r="M201" s="22" t="s">
        <v>85</v>
      </c>
      <c r="N201" s="391" t="str">
        <f t="shared" si="5"/>
        <v>Sim</v>
      </c>
      <c r="O201" s="22" t="s">
        <v>86</v>
      </c>
      <c r="P201" s="22" t="s">
        <v>86</v>
      </c>
      <c r="Q201" s="91" t="s">
        <v>184</v>
      </c>
      <c r="R201" s="391">
        <f>SUMIF('Lançamento de Cabos'!$B:$B,Tabela1[[#This Row],[Tag do Cabo]],'Lançamento de Cabos'!$C:$C)</f>
        <v>136</v>
      </c>
      <c r="S201" s="391">
        <f>VLOOKUP(Tabela1[[#This Row],[Tag do Cabo]],'Diagramas Ligações'!A:V,14,0)</f>
        <v>8</v>
      </c>
      <c r="T201" s="262" t="s">
        <v>350</v>
      </c>
      <c r="U201" s="391">
        <v>10</v>
      </c>
      <c r="V201" s="391" t="s">
        <v>186</v>
      </c>
      <c r="W201" s="391" t="s">
        <v>306</v>
      </c>
      <c r="X201" s="32">
        <v>44120</v>
      </c>
      <c r="Y201" s="32">
        <v>44130</v>
      </c>
      <c r="Z201" s="88" t="s">
        <v>351</v>
      </c>
      <c r="AA201" s="45">
        <v>73</v>
      </c>
      <c r="AB20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1" s="262" t="s">
        <v>327</v>
      </c>
      <c r="AD201" s="391">
        <f>IF(Tabela1[[#This Row],[Qtde. Lançada]]&gt;Tabela1[[#This Row],[Comprimento Total]],Tabela1[[#This Row],[Qtde. Lançada]],Tabela1[[#This Row],[Comprimento Total]])</f>
        <v>136</v>
      </c>
      <c r="AE201" s="262" t="s">
        <v>190</v>
      </c>
      <c r="AF201" s="391" t="s">
        <v>597</v>
      </c>
      <c r="AG201" s="391">
        <f ca="1">SUMIF('Lançamento de Cabos'!AE:AK,Tabela1[[#This Row],[Tag do Cabo]],'Lançamento de Cabos'!AG:AG)</f>
        <v>0</v>
      </c>
      <c r="AH201" s="29">
        <f>IFERROR(VLOOKUP(Tabela1[[#This Row],[Tag do Cabo]],'Lançamento de Cabos'!AE:AK,7,0),0)</f>
        <v>0</v>
      </c>
      <c r="AI201" s="262" t="s">
        <v>378</v>
      </c>
      <c r="AJ201" s="212">
        <v>32</v>
      </c>
      <c r="AK201" s="46">
        <v>2009470</v>
      </c>
    </row>
    <row r="202" spans="1:37" s="262" customFormat="1" ht="15" customHeight="1" x14ac:dyDescent="0.2">
      <c r="A202" s="168" t="s">
        <v>643</v>
      </c>
      <c r="B202" s="391" t="s">
        <v>38</v>
      </c>
      <c r="C202" s="391" t="s">
        <v>92</v>
      </c>
      <c r="D202" s="391" t="s">
        <v>92</v>
      </c>
      <c r="E202" s="3" t="s">
        <v>347</v>
      </c>
      <c r="F202" s="11">
        <v>1</v>
      </c>
      <c r="G202" s="391">
        <v>1</v>
      </c>
      <c r="H202" s="391">
        <v>130</v>
      </c>
      <c r="I202" s="391">
        <v>130</v>
      </c>
      <c r="J202" s="391" t="s">
        <v>310</v>
      </c>
      <c r="K202" s="262" t="s">
        <v>616</v>
      </c>
      <c r="L202" s="262" t="s">
        <v>372</v>
      </c>
      <c r="M202" s="22" t="s">
        <v>85</v>
      </c>
      <c r="N202" s="391" t="str">
        <f t="shared" si="5"/>
        <v>Sim</v>
      </c>
      <c r="O202" s="22" t="s">
        <v>86</v>
      </c>
      <c r="P202" s="22" t="s">
        <v>86</v>
      </c>
      <c r="Q202" s="91" t="s">
        <v>184</v>
      </c>
      <c r="R202" s="391">
        <f>SUMIF('Lançamento de Cabos'!$B:$B,Tabela1[[#This Row],[Tag do Cabo]],'Lançamento de Cabos'!$C:$C)</f>
        <v>136</v>
      </c>
      <c r="S202" s="391">
        <f>VLOOKUP(Tabela1[[#This Row],[Tag do Cabo]],'Diagramas Ligações'!A:V,14,0)</f>
        <v>12</v>
      </c>
      <c r="T202" s="262" t="s">
        <v>350</v>
      </c>
      <c r="U202" s="391">
        <v>10</v>
      </c>
      <c r="V202" s="391" t="s">
        <v>186</v>
      </c>
      <c r="W202" s="391" t="s">
        <v>306</v>
      </c>
      <c r="X202" s="32">
        <v>44120</v>
      </c>
      <c r="Y202" s="32">
        <v>44130</v>
      </c>
      <c r="Z202" s="88" t="s">
        <v>351</v>
      </c>
      <c r="AA202" s="45">
        <v>127</v>
      </c>
      <c r="AB20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2" s="262" t="s">
        <v>327</v>
      </c>
      <c r="AD202" s="391">
        <f>IF(Tabela1[[#This Row],[Qtde. Lançada]]&gt;Tabela1[[#This Row],[Comprimento Total]],Tabela1[[#This Row],[Qtde. Lançada]],Tabela1[[#This Row],[Comprimento Total]])</f>
        <v>136</v>
      </c>
      <c r="AE202" s="262" t="s">
        <v>190</v>
      </c>
      <c r="AF202" s="391" t="s">
        <v>597</v>
      </c>
      <c r="AG202" s="391">
        <f ca="1">SUMIF('Lançamento de Cabos'!AE:AK,Tabela1[[#This Row],[Tag do Cabo]],'Lançamento de Cabos'!AG:AG)</f>
        <v>0</v>
      </c>
      <c r="AH202" s="29">
        <f>IFERROR(VLOOKUP(Tabela1[[#This Row],[Tag do Cabo]],'Lançamento de Cabos'!AE:AK,7,0),0)</f>
        <v>0</v>
      </c>
      <c r="AI202" s="262" t="s">
        <v>378</v>
      </c>
      <c r="AJ202" s="212">
        <v>31</v>
      </c>
      <c r="AK202" s="46">
        <v>1423312</v>
      </c>
    </row>
    <row r="203" spans="1:37" s="262" customFormat="1" ht="15" customHeight="1" x14ac:dyDescent="0.2">
      <c r="A203" s="168" t="s">
        <v>644</v>
      </c>
      <c r="B203" s="391" t="s">
        <v>38</v>
      </c>
      <c r="C203" s="391" t="s">
        <v>92</v>
      </c>
      <c r="D203" s="391" t="s">
        <v>92</v>
      </c>
      <c r="E203" s="3" t="s">
        <v>395</v>
      </c>
      <c r="F203" s="11">
        <v>1</v>
      </c>
      <c r="G203" s="391">
        <v>1</v>
      </c>
      <c r="H203" s="391">
        <v>130</v>
      </c>
      <c r="I203" s="391">
        <v>130</v>
      </c>
      <c r="J203" s="391" t="s">
        <v>310</v>
      </c>
      <c r="K203" s="262" t="s">
        <v>616</v>
      </c>
      <c r="L203" s="262" t="s">
        <v>372</v>
      </c>
      <c r="M203" s="22" t="s">
        <v>85</v>
      </c>
      <c r="N203" s="391" t="str">
        <f t="shared" si="5"/>
        <v>Sim</v>
      </c>
      <c r="O203" s="22" t="s">
        <v>86</v>
      </c>
      <c r="P203" s="22" t="s">
        <v>86</v>
      </c>
      <c r="Q203" s="91" t="s">
        <v>184</v>
      </c>
      <c r="R203" s="391">
        <f>SUMIF('Lançamento de Cabos'!$B:$B,Tabela1[[#This Row],[Tag do Cabo]],'Lançamento de Cabos'!$C:$C)</f>
        <v>136</v>
      </c>
      <c r="S203" s="391">
        <f>VLOOKUP(Tabela1[[#This Row],[Tag do Cabo]],'Diagramas Ligações'!A:V,14,0)</f>
        <v>8</v>
      </c>
      <c r="T203" s="262" t="s">
        <v>350</v>
      </c>
      <c r="U203" s="391">
        <v>10</v>
      </c>
      <c r="V203" s="391" t="s">
        <v>186</v>
      </c>
      <c r="W203" s="391" t="s">
        <v>306</v>
      </c>
      <c r="X203" s="32">
        <v>44120</v>
      </c>
      <c r="Y203" s="32">
        <v>44130</v>
      </c>
      <c r="Z203" s="88" t="s">
        <v>351</v>
      </c>
      <c r="AA203" s="45">
        <v>73</v>
      </c>
      <c r="AB20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3" s="262" t="s">
        <v>327</v>
      </c>
      <c r="AD203" s="391">
        <f>IF(Tabela1[[#This Row],[Qtde. Lançada]]&gt;Tabela1[[#This Row],[Comprimento Total]],Tabela1[[#This Row],[Qtde. Lançada]],Tabela1[[#This Row],[Comprimento Total]])</f>
        <v>136</v>
      </c>
      <c r="AE203" s="262" t="s">
        <v>190</v>
      </c>
      <c r="AF203" s="391" t="s">
        <v>597</v>
      </c>
      <c r="AG203" s="391">
        <f ca="1">SUMIF('Lançamento de Cabos'!AE:AK,Tabela1[[#This Row],[Tag do Cabo]],'Lançamento de Cabos'!AG:AG)</f>
        <v>0</v>
      </c>
      <c r="AH203" s="29">
        <f>IFERROR(VLOOKUP(Tabela1[[#This Row],[Tag do Cabo]],'Lançamento de Cabos'!AE:AK,7,0),0)</f>
        <v>0</v>
      </c>
      <c r="AI203" s="262" t="s">
        <v>378</v>
      </c>
      <c r="AJ203" s="212">
        <v>32</v>
      </c>
      <c r="AK203" s="46">
        <v>2009470</v>
      </c>
    </row>
    <row r="204" spans="1:37" s="262" customFormat="1" ht="15" customHeight="1" x14ac:dyDescent="0.2">
      <c r="A204" s="168" t="s">
        <v>645</v>
      </c>
      <c r="B204" s="391" t="s">
        <v>38</v>
      </c>
      <c r="C204" s="391" t="s">
        <v>92</v>
      </c>
      <c r="D204" s="391" t="s">
        <v>92</v>
      </c>
      <c r="E204" s="3" t="s">
        <v>347</v>
      </c>
      <c r="F204" s="11">
        <v>1</v>
      </c>
      <c r="G204" s="391">
        <v>1</v>
      </c>
      <c r="H204" s="391">
        <v>130</v>
      </c>
      <c r="I204" s="391">
        <v>130</v>
      </c>
      <c r="J204" s="391" t="s">
        <v>310</v>
      </c>
      <c r="K204" s="262" t="s">
        <v>616</v>
      </c>
      <c r="L204" s="262" t="s">
        <v>372</v>
      </c>
      <c r="M204" s="22" t="s">
        <v>85</v>
      </c>
      <c r="N204" s="391" t="str">
        <f t="shared" si="5"/>
        <v>Sim</v>
      </c>
      <c r="O204" s="22" t="s">
        <v>86</v>
      </c>
      <c r="P204" s="22" t="s">
        <v>86</v>
      </c>
      <c r="Q204" s="91" t="s">
        <v>184</v>
      </c>
      <c r="R204" s="391">
        <f>SUMIF('Lançamento de Cabos'!$B:$B,Tabela1[[#This Row],[Tag do Cabo]],'Lançamento de Cabos'!$C:$C)</f>
        <v>136</v>
      </c>
      <c r="S204" s="391">
        <f>VLOOKUP(Tabela1[[#This Row],[Tag do Cabo]],'Diagramas Ligações'!A:V,14,0)</f>
        <v>12</v>
      </c>
      <c r="T204" s="262" t="s">
        <v>350</v>
      </c>
      <c r="U204" s="391">
        <v>10</v>
      </c>
      <c r="V204" s="391" t="s">
        <v>186</v>
      </c>
      <c r="W204" s="391" t="s">
        <v>306</v>
      </c>
      <c r="X204" s="32">
        <v>44120</v>
      </c>
      <c r="Y204" s="32">
        <v>44130</v>
      </c>
      <c r="Z204" s="88" t="s">
        <v>351</v>
      </c>
      <c r="AA204" s="45">
        <v>127</v>
      </c>
      <c r="AB20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4" s="262" t="s">
        <v>327</v>
      </c>
      <c r="AD204" s="391">
        <f>IF(Tabela1[[#This Row],[Qtde. Lançada]]&gt;Tabela1[[#This Row],[Comprimento Total]],Tabela1[[#This Row],[Qtde. Lançada]],Tabela1[[#This Row],[Comprimento Total]])</f>
        <v>136</v>
      </c>
      <c r="AE204" s="262" t="s">
        <v>190</v>
      </c>
      <c r="AF204" s="391" t="s">
        <v>597</v>
      </c>
      <c r="AG204" s="391">
        <f ca="1">SUMIF('Lançamento de Cabos'!AE:AK,Tabela1[[#This Row],[Tag do Cabo]],'Lançamento de Cabos'!AG:AG)</f>
        <v>0</v>
      </c>
      <c r="AH204" s="29">
        <f>IFERROR(VLOOKUP(Tabela1[[#This Row],[Tag do Cabo]],'Lançamento de Cabos'!AE:AK,7,0),0)</f>
        <v>0</v>
      </c>
      <c r="AI204" s="262" t="s">
        <v>378</v>
      </c>
      <c r="AJ204" s="212">
        <v>31</v>
      </c>
      <c r="AK204" s="46">
        <v>1423312</v>
      </c>
    </row>
    <row r="205" spans="1:37" s="262" customFormat="1" ht="15" customHeight="1" x14ac:dyDescent="0.2">
      <c r="A205" s="168" t="s">
        <v>646</v>
      </c>
      <c r="B205" s="391" t="s">
        <v>101</v>
      </c>
      <c r="C205" s="391" t="s">
        <v>92</v>
      </c>
      <c r="D205" s="391" t="s">
        <v>92</v>
      </c>
      <c r="E205" s="3" t="s">
        <v>599</v>
      </c>
      <c r="F205" s="11" t="s">
        <v>92</v>
      </c>
      <c r="G205" s="391">
        <v>1</v>
      </c>
      <c r="H205" s="391">
        <v>220</v>
      </c>
      <c r="I205" s="391">
        <v>220</v>
      </c>
      <c r="J205" s="391" t="s">
        <v>103</v>
      </c>
      <c r="K205" s="262" t="s">
        <v>647</v>
      </c>
      <c r="L205" s="262" t="s">
        <v>648</v>
      </c>
      <c r="M205" s="22" t="s">
        <v>86</v>
      </c>
      <c r="N205" s="22" t="s">
        <v>86</v>
      </c>
      <c r="O205" s="22" t="s">
        <v>86</v>
      </c>
      <c r="P205" s="22" t="s">
        <v>86</v>
      </c>
      <c r="Q205" s="91" t="s">
        <v>304</v>
      </c>
      <c r="R205" s="391">
        <f>SUMIF('Lançamento de Cabos'!$B:$B,Tabela1[[#This Row],[Tag do Cabo]],'Lançamento de Cabos'!$C:$C)</f>
        <v>350</v>
      </c>
      <c r="S205" s="391">
        <f>VLOOKUP(Tabela1[[#This Row],[Tag do Cabo]],'Diagramas Ligações'!A:V,14,0)</f>
        <v>12</v>
      </c>
      <c r="T205" s="262" t="s">
        <v>446</v>
      </c>
      <c r="U205" s="391">
        <v>1</v>
      </c>
      <c r="V205" s="391" t="s">
        <v>107</v>
      </c>
      <c r="W205" s="391" t="s">
        <v>536</v>
      </c>
      <c r="X205" s="32">
        <v>44177</v>
      </c>
      <c r="Y205" s="32">
        <v>44247</v>
      </c>
      <c r="Z205" s="3" t="s">
        <v>649</v>
      </c>
      <c r="AA205" s="45">
        <v>164</v>
      </c>
      <c r="AB20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5" s="262" t="s">
        <v>585</v>
      </c>
      <c r="AD205" s="391">
        <f>IF(Tabela1[[#This Row],[Qtde. Lançada]]&gt;Tabela1[[#This Row],[Comprimento Total]],Tabela1[[#This Row],[Qtde. Lançada]],Tabela1[[#This Row],[Comprimento Total]])</f>
        <v>350</v>
      </c>
      <c r="AE205" s="391" t="s">
        <v>92</v>
      </c>
      <c r="AF205" s="391" t="s">
        <v>650</v>
      </c>
      <c r="AG205" s="391">
        <f ca="1">SUMIF('Lançamento de Cabos'!AE:AK,Tabela1[[#This Row],[Tag do Cabo]],'Lançamento de Cabos'!AG:AG)</f>
        <v>0</v>
      </c>
      <c r="AH205" s="29">
        <f>IFERROR(VLOOKUP(Tabela1[[#This Row],[Tag do Cabo]],'Lançamento de Cabos'!AE:AK,7,0),0)</f>
        <v>0</v>
      </c>
      <c r="AI205" s="262" t="s">
        <v>651</v>
      </c>
      <c r="AJ205" s="212" t="s">
        <v>160</v>
      </c>
      <c r="AK205" s="46">
        <v>3104523</v>
      </c>
    </row>
    <row r="206" spans="1:37" s="262" customFormat="1" ht="15" customHeight="1" x14ac:dyDescent="0.2">
      <c r="A206" s="168" t="s">
        <v>652</v>
      </c>
      <c r="B206" s="391" t="s">
        <v>101</v>
      </c>
      <c r="C206" s="391" t="s">
        <v>92</v>
      </c>
      <c r="D206" s="391" t="s">
        <v>92</v>
      </c>
      <c r="E206" s="3" t="s">
        <v>599</v>
      </c>
      <c r="F206" s="11" t="s">
        <v>92</v>
      </c>
      <c r="G206" s="391">
        <v>1</v>
      </c>
      <c r="H206" s="391">
        <v>350</v>
      </c>
      <c r="I206" s="391">
        <v>350</v>
      </c>
      <c r="J206" s="391" t="s">
        <v>103</v>
      </c>
      <c r="K206" s="262" t="s">
        <v>600</v>
      </c>
      <c r="L206" s="262" t="s">
        <v>653</v>
      </c>
      <c r="M206" s="22" t="s">
        <v>86</v>
      </c>
      <c r="N206" s="22" t="s">
        <v>86</v>
      </c>
      <c r="O206" s="22" t="s">
        <v>86</v>
      </c>
      <c r="P206" s="22" t="s">
        <v>86</v>
      </c>
      <c r="Q206" s="91" t="s">
        <v>304</v>
      </c>
      <c r="R206" s="391">
        <f>SUMIF('Lançamento de Cabos'!$B:$B,Tabela1[[#This Row],[Tag do Cabo]],'Lançamento de Cabos'!$C:$C)</f>
        <v>350</v>
      </c>
      <c r="S206" s="391">
        <f>VLOOKUP(Tabela1[[#This Row],[Tag do Cabo]],'Diagramas Ligações'!A:V,14,0)</f>
        <v>12</v>
      </c>
      <c r="T206" s="262" t="s">
        <v>305</v>
      </c>
      <c r="U206" s="391">
        <v>2</v>
      </c>
      <c r="V206" s="391" t="s">
        <v>107</v>
      </c>
      <c r="W206" s="391" t="s">
        <v>453</v>
      </c>
      <c r="X206" s="32">
        <v>44177</v>
      </c>
      <c r="Y206" s="32">
        <v>44207</v>
      </c>
      <c r="Z206" s="3" t="s">
        <v>307</v>
      </c>
      <c r="AA206" s="45">
        <v>158</v>
      </c>
      <c r="AB20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6" s="262" t="s">
        <v>585</v>
      </c>
      <c r="AD206" s="391">
        <f>IF(Tabela1[[#This Row],[Qtde. Lançada]]&gt;Tabela1[[#This Row],[Comprimento Total]],Tabela1[[#This Row],[Qtde. Lançada]],Tabela1[[#This Row],[Comprimento Total]])</f>
        <v>350</v>
      </c>
      <c r="AE206" s="391" t="s">
        <v>92</v>
      </c>
      <c r="AF206" s="391" t="s">
        <v>650</v>
      </c>
      <c r="AG206" s="391">
        <f ca="1">SUMIF('Lançamento de Cabos'!AE:AK,Tabela1[[#This Row],[Tag do Cabo]],'Lançamento de Cabos'!AG:AG)</f>
        <v>0</v>
      </c>
      <c r="AH206" s="29">
        <f>IFERROR(VLOOKUP(Tabela1[[#This Row],[Tag do Cabo]],'Lançamento de Cabos'!AE:AK,7,0),0)</f>
        <v>0</v>
      </c>
      <c r="AI206" s="262" t="s">
        <v>654</v>
      </c>
      <c r="AJ206" s="212" t="s">
        <v>655</v>
      </c>
      <c r="AK206" s="46">
        <v>3104523</v>
      </c>
    </row>
    <row r="207" spans="1:37" s="262" customFormat="1" ht="15" customHeight="1" x14ac:dyDescent="0.2">
      <c r="A207" s="168" t="s">
        <v>656</v>
      </c>
      <c r="B207" s="391" t="s">
        <v>38</v>
      </c>
      <c r="C207" s="391" t="s">
        <v>92</v>
      </c>
      <c r="D207" s="391" t="s">
        <v>92</v>
      </c>
      <c r="E207" s="3" t="s">
        <v>612</v>
      </c>
      <c r="F207" s="11">
        <v>1</v>
      </c>
      <c r="G207" s="391">
        <v>1</v>
      </c>
      <c r="H207" s="391">
        <v>370</v>
      </c>
      <c r="I207" s="391">
        <v>370</v>
      </c>
      <c r="J207" s="391" t="s">
        <v>402</v>
      </c>
      <c r="K207" s="262" t="s">
        <v>657</v>
      </c>
      <c r="L207" s="262" t="s">
        <v>658</v>
      </c>
      <c r="M207" s="22" t="s">
        <v>85</v>
      </c>
      <c r="N207" s="391" t="str">
        <f t="shared" ref="N207:N226" si="6">"Sim"</f>
        <v>Sim</v>
      </c>
      <c r="O207" s="22" t="s">
        <v>86</v>
      </c>
      <c r="P207" s="22" t="s">
        <v>86</v>
      </c>
      <c r="Q207" s="91" t="s">
        <v>321</v>
      </c>
      <c r="R207" s="391">
        <f>SUMIF('Lançamento de Cabos'!$B:$B,Tabela1[[#This Row],[Tag do Cabo]],'Lançamento de Cabos'!$C:$C)</f>
        <v>370</v>
      </c>
      <c r="S207" s="391">
        <f>VLOOKUP(Tabela1[[#This Row],[Tag do Cabo]],'Diagramas Ligações'!A:V,14,0)</f>
        <v>32</v>
      </c>
      <c r="T207" s="262" t="s">
        <v>659</v>
      </c>
      <c r="U207" s="391">
        <v>6</v>
      </c>
      <c r="V207" s="391" t="s">
        <v>186</v>
      </c>
      <c r="W207" s="391" t="s">
        <v>453</v>
      </c>
      <c r="X207" s="32">
        <v>44172</v>
      </c>
      <c r="Y207" s="32">
        <v>44174</v>
      </c>
      <c r="Z207" s="3" t="s">
        <v>660</v>
      </c>
      <c r="AA207" s="45">
        <v>202</v>
      </c>
      <c r="AB20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7" s="262" t="s">
        <v>327</v>
      </c>
      <c r="AD207" s="391">
        <f>IF(Tabela1[[#This Row],[Qtde. Lançada]]&gt;Tabela1[[#This Row],[Comprimento Total]],Tabela1[[#This Row],[Qtde. Lançada]],Tabela1[[#This Row],[Comprimento Total]])</f>
        <v>370</v>
      </c>
      <c r="AE207" s="262" t="s">
        <v>190</v>
      </c>
      <c r="AF207" s="391" t="s">
        <v>650</v>
      </c>
      <c r="AG207" s="391">
        <f ca="1">SUMIF('Lançamento de Cabos'!AE:AK,Tabela1[[#This Row],[Tag do Cabo]],'Lançamento de Cabos'!AG:AG)</f>
        <v>0</v>
      </c>
      <c r="AH207" s="29">
        <f>IFERROR(VLOOKUP(Tabela1[[#This Row],[Tag do Cabo]],'Lançamento de Cabos'!AE:AK,7,0),0)</f>
        <v>0</v>
      </c>
      <c r="AI207" s="262" t="s">
        <v>654</v>
      </c>
      <c r="AJ207" s="212" t="s">
        <v>661</v>
      </c>
      <c r="AK207" s="46">
        <v>574198</v>
      </c>
    </row>
    <row r="208" spans="1:37" s="262" customFormat="1" ht="15" customHeight="1" x14ac:dyDescent="0.2">
      <c r="A208" s="168" t="s">
        <v>662</v>
      </c>
      <c r="B208" s="391" t="s">
        <v>38</v>
      </c>
      <c r="C208" s="391" t="s">
        <v>92</v>
      </c>
      <c r="D208" s="391" t="s">
        <v>92</v>
      </c>
      <c r="E208" s="3" t="s">
        <v>395</v>
      </c>
      <c r="F208" s="11">
        <v>1</v>
      </c>
      <c r="G208" s="391">
        <v>1</v>
      </c>
      <c r="H208" s="391">
        <v>370</v>
      </c>
      <c r="I208" s="391">
        <v>370</v>
      </c>
      <c r="J208" s="391" t="s">
        <v>402</v>
      </c>
      <c r="K208" s="262" t="s">
        <v>657</v>
      </c>
      <c r="L208" s="262" t="s">
        <v>658</v>
      </c>
      <c r="M208" s="22" t="s">
        <v>85</v>
      </c>
      <c r="N208" s="391" t="str">
        <f t="shared" si="6"/>
        <v>Sim</v>
      </c>
      <c r="O208" s="22" t="s">
        <v>86</v>
      </c>
      <c r="P208" s="22" t="s">
        <v>86</v>
      </c>
      <c r="Q208" s="91" t="s">
        <v>184</v>
      </c>
      <c r="R208" s="391">
        <f>SUMIF('Lançamento de Cabos'!$B:$B,Tabela1[[#This Row],[Tag do Cabo]],'Lançamento de Cabos'!$C:$C)</f>
        <v>370</v>
      </c>
      <c r="S208" s="391">
        <f>VLOOKUP(Tabela1[[#This Row],[Tag do Cabo]],'Diagramas Ligações'!A:V,14,0)</f>
        <v>8</v>
      </c>
      <c r="T208" s="262" t="s">
        <v>659</v>
      </c>
      <c r="U208" s="391">
        <v>6</v>
      </c>
      <c r="V208" s="391" t="s">
        <v>186</v>
      </c>
      <c r="W208" s="391" t="s">
        <v>453</v>
      </c>
      <c r="X208" s="32">
        <v>44172</v>
      </c>
      <c r="Y208" s="32">
        <v>44174</v>
      </c>
      <c r="Z208" s="3" t="s">
        <v>660</v>
      </c>
      <c r="AA208" s="45">
        <v>120</v>
      </c>
      <c r="AB20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8" s="262" t="s">
        <v>327</v>
      </c>
      <c r="AD208" s="391">
        <f>IF(Tabela1[[#This Row],[Qtde. Lançada]]&gt;Tabela1[[#This Row],[Comprimento Total]],Tabela1[[#This Row],[Qtde. Lançada]],Tabela1[[#This Row],[Comprimento Total]])</f>
        <v>370</v>
      </c>
      <c r="AE208" s="262" t="s">
        <v>610</v>
      </c>
      <c r="AF208" s="391" t="s">
        <v>650</v>
      </c>
      <c r="AG208" s="391">
        <f ca="1">SUMIF('Lançamento de Cabos'!AE:AK,Tabela1[[#This Row],[Tag do Cabo]],'Lançamento de Cabos'!AG:AG)</f>
        <v>0</v>
      </c>
      <c r="AH208" s="29">
        <f>IFERROR(VLOOKUP(Tabela1[[#This Row],[Tag do Cabo]],'Lançamento de Cabos'!AE:AK,7,0),0)</f>
        <v>0</v>
      </c>
      <c r="AI208" s="262" t="s">
        <v>654</v>
      </c>
      <c r="AJ208" s="212" t="s">
        <v>663</v>
      </c>
      <c r="AK208" s="46">
        <v>2009470</v>
      </c>
    </row>
    <row r="209" spans="1:37" s="262" customFormat="1" ht="15" customHeight="1" x14ac:dyDescent="0.2">
      <c r="A209" s="168" t="s">
        <v>664</v>
      </c>
      <c r="B209" s="391" t="s">
        <v>38</v>
      </c>
      <c r="C209" s="391" t="s">
        <v>92</v>
      </c>
      <c r="D209" s="391" t="s">
        <v>92</v>
      </c>
      <c r="E209" s="3" t="s">
        <v>395</v>
      </c>
      <c r="F209" s="11">
        <v>1</v>
      </c>
      <c r="G209" s="391">
        <v>1</v>
      </c>
      <c r="H209" s="391">
        <v>370</v>
      </c>
      <c r="I209" s="391">
        <v>370</v>
      </c>
      <c r="J209" s="391" t="s">
        <v>402</v>
      </c>
      <c r="K209" s="262" t="s">
        <v>657</v>
      </c>
      <c r="L209" s="262" t="s">
        <v>658</v>
      </c>
      <c r="M209" s="22" t="s">
        <v>85</v>
      </c>
      <c r="N209" s="391" t="str">
        <f t="shared" si="6"/>
        <v>Sim</v>
      </c>
      <c r="O209" s="22" t="s">
        <v>86</v>
      </c>
      <c r="P209" s="22" t="s">
        <v>86</v>
      </c>
      <c r="Q209" s="391" t="s">
        <v>184</v>
      </c>
      <c r="R209" s="391">
        <f>SUMIF('Lançamento de Cabos'!$B:$B,Tabela1[[#This Row],[Tag do Cabo]],'Lançamento de Cabos'!$C:$C)</f>
        <v>370</v>
      </c>
      <c r="S209" s="391">
        <f>VLOOKUP(Tabela1[[#This Row],[Tag do Cabo]],'Diagramas Ligações'!A:V,14,0)</f>
        <v>8</v>
      </c>
      <c r="T209" s="262" t="s">
        <v>659</v>
      </c>
      <c r="U209" s="391">
        <v>6</v>
      </c>
      <c r="V209" s="391" t="s">
        <v>186</v>
      </c>
      <c r="W209" s="391" t="s">
        <v>453</v>
      </c>
      <c r="X209" s="32">
        <v>44172</v>
      </c>
      <c r="Y209" s="32">
        <v>44174</v>
      </c>
      <c r="Z209" s="3" t="s">
        <v>660</v>
      </c>
      <c r="AA209" s="45">
        <v>120</v>
      </c>
      <c r="AB20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09" s="262" t="s">
        <v>327</v>
      </c>
      <c r="AD209" s="391">
        <f>IF(Tabela1[[#This Row],[Qtde. Lançada]]&gt;Tabela1[[#This Row],[Comprimento Total]],Tabela1[[#This Row],[Qtde. Lançada]],Tabela1[[#This Row],[Comprimento Total]])</f>
        <v>370</v>
      </c>
      <c r="AE209" s="262" t="s">
        <v>610</v>
      </c>
      <c r="AF209" s="391" t="s">
        <v>650</v>
      </c>
      <c r="AG209" s="391">
        <f ca="1">SUMIF('Lançamento de Cabos'!AE:AK,Tabela1[[#This Row],[Tag do Cabo]],'Lançamento de Cabos'!AG:AG)</f>
        <v>0</v>
      </c>
      <c r="AH209" s="29">
        <f>IFERROR(VLOOKUP(Tabela1[[#This Row],[Tag do Cabo]],'Lançamento de Cabos'!AE:AK,7,0),0)</f>
        <v>0</v>
      </c>
      <c r="AI209" s="262" t="s">
        <v>654</v>
      </c>
      <c r="AJ209" s="212" t="s">
        <v>663</v>
      </c>
      <c r="AK209" s="46">
        <v>2009470</v>
      </c>
    </row>
    <row r="210" spans="1:37" s="262" customFormat="1" ht="15" customHeight="1" x14ac:dyDescent="0.2">
      <c r="A210" s="168" t="s">
        <v>665</v>
      </c>
      <c r="B210" s="391" t="s">
        <v>38</v>
      </c>
      <c r="C210" s="391" t="s">
        <v>92</v>
      </c>
      <c r="D210" s="391" t="s">
        <v>92</v>
      </c>
      <c r="E210" s="3" t="s">
        <v>347</v>
      </c>
      <c r="F210" s="11">
        <v>1</v>
      </c>
      <c r="G210" s="391">
        <v>1</v>
      </c>
      <c r="H210" s="391">
        <v>370</v>
      </c>
      <c r="I210" s="391">
        <v>370</v>
      </c>
      <c r="J210" s="391" t="s">
        <v>402</v>
      </c>
      <c r="K210" s="262" t="s">
        <v>616</v>
      </c>
      <c r="L210" s="262" t="s">
        <v>658</v>
      </c>
      <c r="M210" s="22" t="s">
        <v>85</v>
      </c>
      <c r="N210" s="391" t="str">
        <f t="shared" si="6"/>
        <v>Sim</v>
      </c>
      <c r="O210" s="22" t="s">
        <v>86</v>
      </c>
      <c r="P210" s="22" t="s">
        <v>86</v>
      </c>
      <c r="Q210" s="391" t="s">
        <v>184</v>
      </c>
      <c r="R210" s="391">
        <f>SUMIF('Lançamento de Cabos'!$B:$B,Tabela1[[#This Row],[Tag do Cabo]],'Lançamento de Cabos'!$C:$C)</f>
        <v>370</v>
      </c>
      <c r="S210" s="391">
        <f>VLOOKUP(Tabela1[[#This Row],[Tag do Cabo]],'Diagramas Ligações'!A:V,14,0)</f>
        <v>12</v>
      </c>
      <c r="T210" s="262" t="s">
        <v>659</v>
      </c>
      <c r="U210" s="391">
        <v>6</v>
      </c>
      <c r="V210" s="391" t="s">
        <v>186</v>
      </c>
      <c r="W210" s="391" t="s">
        <v>453</v>
      </c>
      <c r="X210" s="32">
        <v>44172</v>
      </c>
      <c r="Y210" s="32">
        <v>44174</v>
      </c>
      <c r="Z210" s="3" t="s">
        <v>660</v>
      </c>
      <c r="AA210" s="45">
        <v>128</v>
      </c>
      <c r="AB21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0" s="262" t="s">
        <v>327</v>
      </c>
      <c r="AD210" s="391">
        <f>IF(Tabela1[[#This Row],[Qtde. Lançada]]&gt;Tabela1[[#This Row],[Comprimento Total]],Tabela1[[#This Row],[Qtde. Lançada]],Tabela1[[#This Row],[Comprimento Total]])</f>
        <v>370</v>
      </c>
      <c r="AE210" s="262" t="s">
        <v>190</v>
      </c>
      <c r="AF210" s="391" t="s">
        <v>650</v>
      </c>
      <c r="AG210" s="391">
        <f ca="1">SUMIF('Lançamento de Cabos'!AE:AK,Tabela1[[#This Row],[Tag do Cabo]],'Lançamento de Cabos'!AG:AG)</f>
        <v>0</v>
      </c>
      <c r="AH210" s="29">
        <f>IFERROR(VLOOKUP(Tabela1[[#This Row],[Tag do Cabo]],'Lançamento de Cabos'!AE:AK,7,0),0)</f>
        <v>0</v>
      </c>
      <c r="AI210" s="262" t="s">
        <v>654</v>
      </c>
      <c r="AJ210" s="212" t="s">
        <v>666</v>
      </c>
      <c r="AK210" s="46">
        <v>1423312</v>
      </c>
    </row>
    <row r="211" spans="1:37" s="262" customFormat="1" ht="15" customHeight="1" x14ac:dyDescent="0.2">
      <c r="A211" s="168" t="s">
        <v>667</v>
      </c>
      <c r="B211" s="391" t="s">
        <v>38</v>
      </c>
      <c r="C211" s="391" t="s">
        <v>92</v>
      </c>
      <c r="D211" s="391" t="s">
        <v>92</v>
      </c>
      <c r="E211" s="3" t="s">
        <v>347</v>
      </c>
      <c r="F211" s="11">
        <v>1</v>
      </c>
      <c r="G211" s="391">
        <v>1</v>
      </c>
      <c r="H211" s="391">
        <v>370</v>
      </c>
      <c r="I211" s="391">
        <v>370</v>
      </c>
      <c r="J211" s="391" t="s">
        <v>402</v>
      </c>
      <c r="K211" s="262" t="s">
        <v>616</v>
      </c>
      <c r="L211" s="262" t="s">
        <v>658</v>
      </c>
      <c r="M211" s="22" t="s">
        <v>85</v>
      </c>
      <c r="N211" s="391" t="str">
        <f t="shared" si="6"/>
        <v>Sim</v>
      </c>
      <c r="O211" s="22" t="s">
        <v>86</v>
      </c>
      <c r="P211" s="22" t="s">
        <v>86</v>
      </c>
      <c r="Q211" s="391" t="s">
        <v>184</v>
      </c>
      <c r="R211" s="391">
        <f>SUMIF('Lançamento de Cabos'!$B:$B,Tabela1[[#This Row],[Tag do Cabo]],'Lançamento de Cabos'!$C:$C)</f>
        <v>370</v>
      </c>
      <c r="S211" s="391">
        <f>VLOOKUP(Tabela1[[#This Row],[Tag do Cabo]],'Diagramas Ligações'!A:V,14,0)</f>
        <v>12</v>
      </c>
      <c r="T211" s="262" t="s">
        <v>659</v>
      </c>
      <c r="U211" s="391">
        <v>6</v>
      </c>
      <c r="V211" s="391" t="s">
        <v>186</v>
      </c>
      <c r="W211" s="391" t="s">
        <v>453</v>
      </c>
      <c r="X211" s="32">
        <v>44172</v>
      </c>
      <c r="Y211" s="32">
        <v>44174</v>
      </c>
      <c r="Z211" s="3" t="s">
        <v>660</v>
      </c>
      <c r="AA211" s="45">
        <v>128</v>
      </c>
      <c r="AB21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1" s="262" t="s">
        <v>327</v>
      </c>
      <c r="AD211" s="391">
        <f>IF(Tabela1[[#This Row],[Qtde. Lançada]]&gt;Tabela1[[#This Row],[Comprimento Total]],Tabela1[[#This Row],[Qtde. Lançada]],Tabela1[[#This Row],[Comprimento Total]])</f>
        <v>370</v>
      </c>
      <c r="AE211" s="262" t="s">
        <v>190</v>
      </c>
      <c r="AF211" s="391" t="s">
        <v>650</v>
      </c>
      <c r="AG211" s="391">
        <f ca="1">SUMIF('Lançamento de Cabos'!AE:AK,Tabela1[[#This Row],[Tag do Cabo]],'Lançamento de Cabos'!AG:AG)</f>
        <v>0</v>
      </c>
      <c r="AH211" s="29">
        <f>IFERROR(VLOOKUP(Tabela1[[#This Row],[Tag do Cabo]],'Lançamento de Cabos'!AE:AK,7,0),0)</f>
        <v>0</v>
      </c>
      <c r="AI211" s="262" t="s">
        <v>654</v>
      </c>
      <c r="AJ211" s="212" t="s">
        <v>666</v>
      </c>
      <c r="AK211" s="46">
        <v>1423312</v>
      </c>
    </row>
    <row r="212" spans="1:37" s="262" customFormat="1" ht="15" customHeight="1" x14ac:dyDescent="0.2">
      <c r="A212" s="168" t="s">
        <v>668</v>
      </c>
      <c r="B212" s="391" t="s">
        <v>38</v>
      </c>
      <c r="C212" s="391" t="s">
        <v>92</v>
      </c>
      <c r="D212" s="391" t="s">
        <v>92</v>
      </c>
      <c r="E212" s="3" t="s">
        <v>347</v>
      </c>
      <c r="F212" s="11">
        <v>1</v>
      </c>
      <c r="G212" s="391">
        <v>1</v>
      </c>
      <c r="H212" s="391">
        <v>370</v>
      </c>
      <c r="I212" s="391">
        <v>370</v>
      </c>
      <c r="J212" s="391" t="s">
        <v>402</v>
      </c>
      <c r="K212" s="262" t="s">
        <v>616</v>
      </c>
      <c r="L212" s="262" t="s">
        <v>658</v>
      </c>
      <c r="M212" s="22" t="s">
        <v>85</v>
      </c>
      <c r="N212" s="391" t="str">
        <f t="shared" si="6"/>
        <v>Sim</v>
      </c>
      <c r="O212" s="22" t="s">
        <v>86</v>
      </c>
      <c r="P212" s="22" t="s">
        <v>86</v>
      </c>
      <c r="Q212" s="391" t="s">
        <v>184</v>
      </c>
      <c r="R212" s="391">
        <f>SUMIF('Lançamento de Cabos'!$B:$B,Tabela1[[#This Row],[Tag do Cabo]],'Lançamento de Cabos'!$C:$C)</f>
        <v>370</v>
      </c>
      <c r="S212" s="391">
        <f>VLOOKUP(Tabela1[[#This Row],[Tag do Cabo]],'Diagramas Ligações'!A:V,14,0)</f>
        <v>12</v>
      </c>
      <c r="T212" s="262" t="s">
        <v>659</v>
      </c>
      <c r="U212" s="391">
        <v>6</v>
      </c>
      <c r="V212" s="391" t="s">
        <v>186</v>
      </c>
      <c r="W212" s="391" t="s">
        <v>453</v>
      </c>
      <c r="X212" s="32">
        <v>44172</v>
      </c>
      <c r="Y212" s="32">
        <v>44174</v>
      </c>
      <c r="Z212" s="3" t="s">
        <v>660</v>
      </c>
      <c r="AA212" s="45">
        <v>128</v>
      </c>
      <c r="AB21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2" s="262" t="s">
        <v>327</v>
      </c>
      <c r="AD212" s="391">
        <f>IF(Tabela1[[#This Row],[Qtde. Lançada]]&gt;Tabela1[[#This Row],[Comprimento Total]],Tabela1[[#This Row],[Qtde. Lançada]],Tabela1[[#This Row],[Comprimento Total]])</f>
        <v>370</v>
      </c>
      <c r="AE212" s="262" t="s">
        <v>190</v>
      </c>
      <c r="AF212" s="391" t="s">
        <v>650</v>
      </c>
      <c r="AG212" s="391">
        <f ca="1">SUMIF('Lançamento de Cabos'!AE:AK,Tabela1[[#This Row],[Tag do Cabo]],'Lançamento de Cabos'!AG:AG)</f>
        <v>0</v>
      </c>
      <c r="AH212" s="29">
        <f>IFERROR(VLOOKUP(Tabela1[[#This Row],[Tag do Cabo]],'Lançamento de Cabos'!AE:AK,7,0),0)</f>
        <v>0</v>
      </c>
      <c r="AI212" s="262" t="s">
        <v>654</v>
      </c>
      <c r="AJ212" s="212" t="s">
        <v>669</v>
      </c>
      <c r="AK212" s="46">
        <v>1423312</v>
      </c>
    </row>
    <row r="213" spans="1:37" s="262" customFormat="1" ht="15" customHeight="1" x14ac:dyDescent="0.2">
      <c r="A213" s="168" t="s">
        <v>670</v>
      </c>
      <c r="B213" s="391" t="s">
        <v>38</v>
      </c>
      <c r="C213" s="391" t="s">
        <v>92</v>
      </c>
      <c r="D213" s="391" t="s">
        <v>92</v>
      </c>
      <c r="E213" s="3" t="s">
        <v>395</v>
      </c>
      <c r="F213" s="11">
        <v>1</v>
      </c>
      <c r="G213" s="391">
        <v>1</v>
      </c>
      <c r="H213" s="391">
        <v>370</v>
      </c>
      <c r="I213" s="391">
        <v>370</v>
      </c>
      <c r="J213" s="391" t="s">
        <v>402</v>
      </c>
      <c r="K213" s="262" t="s">
        <v>616</v>
      </c>
      <c r="L213" s="262" t="s">
        <v>658</v>
      </c>
      <c r="M213" s="22" t="s">
        <v>85</v>
      </c>
      <c r="N213" s="391" t="str">
        <f t="shared" si="6"/>
        <v>Sim</v>
      </c>
      <c r="O213" s="22" t="s">
        <v>86</v>
      </c>
      <c r="P213" s="22" t="s">
        <v>86</v>
      </c>
      <c r="Q213" s="391" t="s">
        <v>184</v>
      </c>
      <c r="R213" s="391">
        <f>SUMIF('Lançamento de Cabos'!$B:$B,Tabela1[[#This Row],[Tag do Cabo]],'Lançamento de Cabos'!$C:$C)</f>
        <v>370</v>
      </c>
      <c r="S213" s="391">
        <f>VLOOKUP(Tabela1[[#This Row],[Tag do Cabo]],'Diagramas Ligações'!A:V,14,0)</f>
        <v>8</v>
      </c>
      <c r="T213" s="262" t="s">
        <v>659</v>
      </c>
      <c r="U213" s="391">
        <v>6</v>
      </c>
      <c r="V213" s="391" t="s">
        <v>186</v>
      </c>
      <c r="W213" s="391" t="s">
        <v>453</v>
      </c>
      <c r="X213" s="32">
        <v>44172</v>
      </c>
      <c r="Y213" s="32">
        <v>44174</v>
      </c>
      <c r="Z213" s="3" t="s">
        <v>660</v>
      </c>
      <c r="AA213" s="45">
        <v>73</v>
      </c>
      <c r="AB21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3" s="262" t="s">
        <v>327</v>
      </c>
      <c r="AD213" s="391">
        <f>IF(Tabela1[[#This Row],[Qtde. Lançada]]&gt;Tabela1[[#This Row],[Comprimento Total]],Tabela1[[#This Row],[Qtde. Lançada]],Tabela1[[#This Row],[Comprimento Total]])</f>
        <v>370</v>
      </c>
      <c r="AE213" s="262" t="s">
        <v>190</v>
      </c>
      <c r="AF213" s="391" t="s">
        <v>650</v>
      </c>
      <c r="AG213" s="391">
        <f ca="1">SUMIF('Lançamento de Cabos'!AE:AK,Tabela1[[#This Row],[Tag do Cabo]],'Lançamento de Cabos'!AG:AG)</f>
        <v>0</v>
      </c>
      <c r="AH213" s="29">
        <f>IFERROR(VLOOKUP(Tabela1[[#This Row],[Tag do Cabo]],'Lançamento de Cabos'!AE:AK,7,0),0)</f>
        <v>0</v>
      </c>
      <c r="AI213" s="262" t="s">
        <v>654</v>
      </c>
      <c r="AJ213" s="212" t="s">
        <v>671</v>
      </c>
      <c r="AK213" s="46">
        <v>2009470</v>
      </c>
    </row>
    <row r="214" spans="1:37" s="262" customFormat="1" ht="15" customHeight="1" x14ac:dyDescent="0.2">
      <c r="A214" s="168" t="s">
        <v>672</v>
      </c>
      <c r="B214" s="391" t="s">
        <v>38</v>
      </c>
      <c r="C214" s="391" t="s">
        <v>92</v>
      </c>
      <c r="D214" s="391" t="s">
        <v>92</v>
      </c>
      <c r="E214" s="3" t="s">
        <v>395</v>
      </c>
      <c r="F214" s="11">
        <v>1</v>
      </c>
      <c r="G214" s="391">
        <v>1</v>
      </c>
      <c r="H214" s="391">
        <v>370</v>
      </c>
      <c r="I214" s="391">
        <v>370</v>
      </c>
      <c r="J214" s="391" t="s">
        <v>402</v>
      </c>
      <c r="K214" s="262" t="s">
        <v>616</v>
      </c>
      <c r="L214" s="262" t="s">
        <v>658</v>
      </c>
      <c r="M214" s="22" t="s">
        <v>85</v>
      </c>
      <c r="N214" s="391" t="str">
        <f t="shared" si="6"/>
        <v>Sim</v>
      </c>
      <c r="O214" s="22" t="s">
        <v>86</v>
      </c>
      <c r="P214" s="22" t="s">
        <v>86</v>
      </c>
      <c r="Q214" s="391" t="s">
        <v>184</v>
      </c>
      <c r="R214" s="391">
        <f>SUMIF('Lançamento de Cabos'!$B:$B,Tabela1[[#This Row],[Tag do Cabo]],'Lançamento de Cabos'!$C:$C)</f>
        <v>370</v>
      </c>
      <c r="S214" s="391">
        <f>VLOOKUP(Tabela1[[#This Row],[Tag do Cabo]],'Diagramas Ligações'!A:V,14,0)</f>
        <v>8</v>
      </c>
      <c r="T214" s="262" t="s">
        <v>659</v>
      </c>
      <c r="U214" s="391">
        <v>6</v>
      </c>
      <c r="V214" s="391" t="s">
        <v>186</v>
      </c>
      <c r="W214" s="391" t="s">
        <v>453</v>
      </c>
      <c r="X214" s="32">
        <v>44172</v>
      </c>
      <c r="Y214" s="32">
        <v>44174</v>
      </c>
      <c r="Z214" s="3" t="s">
        <v>673</v>
      </c>
      <c r="AA214" s="45">
        <v>217</v>
      </c>
      <c r="AB21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4" s="262" t="s">
        <v>327</v>
      </c>
      <c r="AD214" s="391">
        <f>IF(Tabela1[[#This Row],[Qtde. Lançada]]&gt;Tabela1[[#This Row],[Comprimento Total]],Tabela1[[#This Row],[Qtde. Lançada]],Tabela1[[#This Row],[Comprimento Total]])</f>
        <v>370</v>
      </c>
      <c r="AE214" s="262" t="s">
        <v>190</v>
      </c>
      <c r="AF214" s="391" t="s">
        <v>650</v>
      </c>
      <c r="AG214" s="391">
        <f ca="1">SUMIF('Lançamento de Cabos'!AE:AK,Tabela1[[#This Row],[Tag do Cabo]],'Lançamento de Cabos'!AG:AG)</f>
        <v>0</v>
      </c>
      <c r="AH214" s="29">
        <f>IFERROR(VLOOKUP(Tabela1[[#This Row],[Tag do Cabo]],'Lançamento de Cabos'!AE:AK,7,0),0)</f>
        <v>0</v>
      </c>
      <c r="AI214" s="262" t="s">
        <v>654</v>
      </c>
      <c r="AJ214" s="212" t="s">
        <v>671</v>
      </c>
      <c r="AK214" s="46">
        <v>2009470</v>
      </c>
    </row>
    <row r="215" spans="1:37" s="262" customFormat="1" ht="15" customHeight="1" x14ac:dyDescent="0.2">
      <c r="A215" s="168" t="s">
        <v>674</v>
      </c>
      <c r="B215" s="391" t="s">
        <v>38</v>
      </c>
      <c r="C215" s="391" t="s">
        <v>92</v>
      </c>
      <c r="D215" s="391" t="s">
        <v>92</v>
      </c>
      <c r="E215" s="3" t="s">
        <v>395</v>
      </c>
      <c r="F215" s="11">
        <v>1</v>
      </c>
      <c r="G215" s="391">
        <v>1</v>
      </c>
      <c r="H215" s="391">
        <v>370</v>
      </c>
      <c r="I215" s="391">
        <v>370</v>
      </c>
      <c r="J215" s="391" t="s">
        <v>402</v>
      </c>
      <c r="K215" s="262" t="s">
        <v>616</v>
      </c>
      <c r="L215" s="262" t="s">
        <v>658</v>
      </c>
      <c r="M215" s="22" t="s">
        <v>85</v>
      </c>
      <c r="N215" s="391" t="str">
        <f t="shared" si="6"/>
        <v>Sim</v>
      </c>
      <c r="O215" s="22" t="s">
        <v>86</v>
      </c>
      <c r="P215" s="22" t="s">
        <v>86</v>
      </c>
      <c r="Q215" s="391" t="s">
        <v>184</v>
      </c>
      <c r="R215" s="391">
        <f>SUMIF('Lançamento de Cabos'!$B:$B,Tabela1[[#This Row],[Tag do Cabo]],'Lançamento de Cabos'!$C:$C)</f>
        <v>370</v>
      </c>
      <c r="S215" s="391">
        <f>VLOOKUP(Tabela1[[#This Row],[Tag do Cabo]],'Diagramas Ligações'!A:V,14,0)</f>
        <v>8</v>
      </c>
      <c r="T215" s="262" t="s">
        <v>659</v>
      </c>
      <c r="U215" s="391">
        <v>6</v>
      </c>
      <c r="V215" s="391" t="s">
        <v>186</v>
      </c>
      <c r="W215" s="391" t="s">
        <v>453</v>
      </c>
      <c r="X215" s="32">
        <v>44172</v>
      </c>
      <c r="Y215" s="32">
        <v>44174</v>
      </c>
      <c r="Z215" s="3" t="s">
        <v>673</v>
      </c>
      <c r="AA215" s="45">
        <v>217</v>
      </c>
      <c r="AB21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5" s="262" t="s">
        <v>327</v>
      </c>
      <c r="AD215" s="391">
        <f>IF(Tabela1[[#This Row],[Qtde. Lançada]]&gt;Tabela1[[#This Row],[Comprimento Total]],Tabela1[[#This Row],[Qtde. Lançada]],Tabela1[[#This Row],[Comprimento Total]])</f>
        <v>370</v>
      </c>
      <c r="AE215" s="262" t="s">
        <v>190</v>
      </c>
      <c r="AF215" s="391" t="s">
        <v>650</v>
      </c>
      <c r="AG215" s="391">
        <f ca="1">SUMIF('Lançamento de Cabos'!AE:AK,Tabela1[[#This Row],[Tag do Cabo]],'Lançamento de Cabos'!AG:AG)</f>
        <v>0</v>
      </c>
      <c r="AH215" s="29">
        <f>IFERROR(VLOOKUP(Tabela1[[#This Row],[Tag do Cabo]],'Lançamento de Cabos'!AE:AK,7,0),0)</f>
        <v>0</v>
      </c>
      <c r="AI215" s="262" t="s">
        <v>654</v>
      </c>
      <c r="AJ215" s="212" t="s">
        <v>671</v>
      </c>
      <c r="AK215" s="46">
        <v>2009470</v>
      </c>
    </row>
    <row r="216" spans="1:37" s="262" customFormat="1" ht="15" customHeight="1" x14ac:dyDescent="0.2">
      <c r="A216" s="168" t="s">
        <v>675</v>
      </c>
      <c r="B216" s="391" t="s">
        <v>38</v>
      </c>
      <c r="C216" s="391" t="s">
        <v>92</v>
      </c>
      <c r="D216" s="391" t="s">
        <v>92</v>
      </c>
      <c r="E216" s="3" t="s">
        <v>632</v>
      </c>
      <c r="F216" s="11">
        <v>1.5</v>
      </c>
      <c r="G216" s="391">
        <v>1</v>
      </c>
      <c r="H216" s="391">
        <v>370</v>
      </c>
      <c r="I216" s="391">
        <v>370</v>
      </c>
      <c r="J216" s="391" t="s">
        <v>402</v>
      </c>
      <c r="K216" s="262" t="s">
        <v>657</v>
      </c>
      <c r="L216" s="262" t="s">
        <v>658</v>
      </c>
      <c r="M216" s="22" t="s">
        <v>85</v>
      </c>
      <c r="N216" s="391" t="str">
        <f t="shared" si="6"/>
        <v>Sim</v>
      </c>
      <c r="O216" s="22" t="s">
        <v>86</v>
      </c>
      <c r="P216" s="22" t="s">
        <v>86</v>
      </c>
      <c r="Q216" s="391" t="s">
        <v>321</v>
      </c>
      <c r="R216" s="391">
        <f>SUMIF('Lançamento de Cabos'!$B:$B,Tabela1[[#This Row],[Tag do Cabo]],'Lançamento de Cabos'!$C:$C)</f>
        <v>370</v>
      </c>
      <c r="S216" s="391">
        <f>VLOOKUP(Tabela1[[#This Row],[Tag do Cabo]],'Diagramas Ligações'!A:V,14,0)</f>
        <v>46</v>
      </c>
      <c r="T216" s="262" t="s">
        <v>659</v>
      </c>
      <c r="U216" s="391">
        <v>6</v>
      </c>
      <c r="V216" s="391" t="s">
        <v>186</v>
      </c>
      <c r="W216" s="391" t="s">
        <v>453</v>
      </c>
      <c r="X216" s="32">
        <v>44172</v>
      </c>
      <c r="Y216" s="32">
        <v>44174</v>
      </c>
      <c r="Z216" s="3" t="s">
        <v>676</v>
      </c>
      <c r="AA216" s="45">
        <v>92</v>
      </c>
      <c r="AB21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6" s="262" t="s">
        <v>327</v>
      </c>
      <c r="AD216" s="391">
        <f>IF(Tabela1[[#This Row],[Qtde. Lançada]]&gt;Tabela1[[#This Row],[Comprimento Total]],Tabela1[[#This Row],[Qtde. Lançada]],Tabela1[[#This Row],[Comprimento Total]])</f>
        <v>370</v>
      </c>
      <c r="AE216" s="262" t="s">
        <v>190</v>
      </c>
      <c r="AF216" s="391" t="s">
        <v>650</v>
      </c>
      <c r="AG216" s="391">
        <f ca="1">SUMIF('Lançamento de Cabos'!AE:AK,Tabela1[[#This Row],[Tag do Cabo]],'Lançamento de Cabos'!AG:AG)</f>
        <v>0</v>
      </c>
      <c r="AH216" s="29">
        <f>IFERROR(VLOOKUP(Tabela1[[#This Row],[Tag do Cabo]],'Lançamento de Cabos'!AE:AK,7,0),0)</f>
        <v>0</v>
      </c>
      <c r="AI216" s="262" t="s">
        <v>654</v>
      </c>
      <c r="AJ216" s="212" t="s">
        <v>677</v>
      </c>
      <c r="AK216" s="46">
        <v>922346</v>
      </c>
    </row>
    <row r="217" spans="1:37" s="262" customFormat="1" ht="15" customHeight="1" x14ac:dyDescent="0.2">
      <c r="A217" s="168" t="s">
        <v>678</v>
      </c>
      <c r="B217" s="391" t="s">
        <v>38</v>
      </c>
      <c r="C217" s="391" t="s">
        <v>92</v>
      </c>
      <c r="D217" s="391" t="s">
        <v>92</v>
      </c>
      <c r="E217" s="3" t="s">
        <v>395</v>
      </c>
      <c r="F217" s="11">
        <v>1</v>
      </c>
      <c r="G217" s="391">
        <v>1</v>
      </c>
      <c r="H217" s="391">
        <v>480</v>
      </c>
      <c r="I217" s="391">
        <v>480</v>
      </c>
      <c r="J217" s="391" t="s">
        <v>402</v>
      </c>
      <c r="K217" s="262" t="s">
        <v>402</v>
      </c>
      <c r="L217" s="262" t="s">
        <v>679</v>
      </c>
      <c r="M217" s="22" t="s">
        <v>85</v>
      </c>
      <c r="N217" s="23" t="str">
        <f t="shared" si="6"/>
        <v>Sim</v>
      </c>
      <c r="O217" s="22" t="s">
        <v>86</v>
      </c>
      <c r="P217" s="22" t="s">
        <v>86</v>
      </c>
      <c r="Q217" s="151" t="s">
        <v>184</v>
      </c>
      <c r="R217" s="23">
        <f>SUMIF('Lançamento de Cabos'!$B:$B,Tabela1[[#This Row],[Tag do Cabo]],'Lançamento de Cabos'!$C:$C)</f>
        <v>480</v>
      </c>
      <c r="S217" s="391">
        <f>VLOOKUP(Tabela1[[#This Row],[Tag do Cabo]],'Diagramas Ligações'!A:V,14,0)</f>
        <v>4</v>
      </c>
      <c r="T217" s="262" t="s">
        <v>680</v>
      </c>
      <c r="U217" s="391">
        <v>6</v>
      </c>
      <c r="V217" s="391" t="s">
        <v>186</v>
      </c>
      <c r="W217" s="391" t="s">
        <v>92</v>
      </c>
      <c r="X217" s="32">
        <v>44209</v>
      </c>
      <c r="Y217" s="32">
        <v>44211</v>
      </c>
      <c r="Z217" s="3" t="s">
        <v>681</v>
      </c>
      <c r="AA217" s="45">
        <v>217</v>
      </c>
      <c r="AB21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7" s="262" t="s">
        <v>482</v>
      </c>
      <c r="AD217" s="391">
        <f>IF(Tabela1[[#This Row],[Qtde. Lançada]]&gt;Tabela1[[#This Row],[Comprimento Total]],Tabela1[[#This Row],[Qtde. Lançada]],Tabela1[[#This Row],[Comprimento Total]])</f>
        <v>480</v>
      </c>
      <c r="AE217" s="262" t="s">
        <v>190</v>
      </c>
      <c r="AF217" s="391" t="s">
        <v>650</v>
      </c>
      <c r="AG217" s="391">
        <f ca="1">SUMIF('Lançamento de Cabos'!AE:AK,Tabela1[[#This Row],[Tag do Cabo]],'Lançamento de Cabos'!AG:AG)</f>
        <v>0</v>
      </c>
      <c r="AH217" s="29">
        <f>IFERROR(VLOOKUP(Tabela1[[#This Row],[Tag do Cabo]],'Lançamento de Cabos'!AE:AK,7,0),0)</f>
        <v>0</v>
      </c>
      <c r="AI217" s="262" t="s">
        <v>680</v>
      </c>
      <c r="AJ217" s="212" t="s">
        <v>682</v>
      </c>
      <c r="AK217" s="46">
        <v>2009470</v>
      </c>
    </row>
    <row r="218" spans="1:37" s="262" customFormat="1" ht="15" customHeight="1" x14ac:dyDescent="0.2">
      <c r="A218" s="168" t="s">
        <v>683</v>
      </c>
      <c r="B218" s="391" t="s">
        <v>38</v>
      </c>
      <c r="C218" s="391" t="s">
        <v>92</v>
      </c>
      <c r="D218" s="391" t="s">
        <v>92</v>
      </c>
      <c r="E218" s="3" t="s">
        <v>395</v>
      </c>
      <c r="F218" s="11">
        <v>1</v>
      </c>
      <c r="G218" s="391">
        <v>1</v>
      </c>
      <c r="H218" s="391">
        <v>480</v>
      </c>
      <c r="I218" s="391">
        <v>480</v>
      </c>
      <c r="J218" s="391" t="s">
        <v>402</v>
      </c>
      <c r="K218" s="262" t="s">
        <v>402</v>
      </c>
      <c r="L218" s="262" t="s">
        <v>679</v>
      </c>
      <c r="M218" s="22" t="s">
        <v>85</v>
      </c>
      <c r="N218" s="23" t="str">
        <f t="shared" si="6"/>
        <v>Sim</v>
      </c>
      <c r="O218" s="22" t="s">
        <v>86</v>
      </c>
      <c r="P218" s="22" t="s">
        <v>86</v>
      </c>
      <c r="Q218" s="151" t="s">
        <v>184</v>
      </c>
      <c r="R218" s="23">
        <f>SUMIF('Lançamento de Cabos'!$B:$B,Tabela1[[#This Row],[Tag do Cabo]],'Lançamento de Cabos'!$C:$C)</f>
        <v>480</v>
      </c>
      <c r="S218" s="391">
        <f>VLOOKUP(Tabela1[[#This Row],[Tag do Cabo]],'Diagramas Ligações'!A:V,14,0)</f>
        <v>4</v>
      </c>
      <c r="T218" s="262" t="s">
        <v>680</v>
      </c>
      <c r="U218" s="391">
        <v>6</v>
      </c>
      <c r="V218" s="391" t="s">
        <v>186</v>
      </c>
      <c r="W218" s="391" t="s">
        <v>92</v>
      </c>
      <c r="X218" s="32">
        <v>44209</v>
      </c>
      <c r="Y218" s="32">
        <v>44211</v>
      </c>
      <c r="Z218" s="3" t="s">
        <v>681</v>
      </c>
      <c r="AA218" s="45">
        <v>217</v>
      </c>
      <c r="AB21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8" s="262" t="s">
        <v>482</v>
      </c>
      <c r="AD218" s="391">
        <f>IF(Tabela1[[#This Row],[Qtde. Lançada]]&gt;Tabela1[[#This Row],[Comprimento Total]],Tabela1[[#This Row],[Qtde. Lançada]],Tabela1[[#This Row],[Comprimento Total]])</f>
        <v>480</v>
      </c>
      <c r="AE218" s="262" t="s">
        <v>190</v>
      </c>
      <c r="AF218" s="391" t="s">
        <v>650</v>
      </c>
      <c r="AG218" s="391">
        <f ca="1">SUMIF('Lançamento de Cabos'!AE:AK,Tabela1[[#This Row],[Tag do Cabo]],'Lançamento de Cabos'!AG:AG)</f>
        <v>0</v>
      </c>
      <c r="AH218" s="29">
        <f>IFERROR(VLOOKUP(Tabela1[[#This Row],[Tag do Cabo]],'Lançamento de Cabos'!AE:AK,7,0),0)</f>
        <v>0</v>
      </c>
      <c r="AI218" s="262" t="s">
        <v>680</v>
      </c>
      <c r="AJ218" s="212" t="s">
        <v>682</v>
      </c>
      <c r="AK218" s="46">
        <v>2009470</v>
      </c>
    </row>
    <row r="219" spans="1:37" s="262" customFormat="1" ht="15" customHeight="1" x14ac:dyDescent="0.2">
      <c r="A219" s="168" t="s">
        <v>684</v>
      </c>
      <c r="B219" s="391" t="s">
        <v>38</v>
      </c>
      <c r="C219" s="391" t="s">
        <v>92</v>
      </c>
      <c r="D219" s="391" t="s">
        <v>92</v>
      </c>
      <c r="E219" s="3" t="s">
        <v>608</v>
      </c>
      <c r="F219" s="11">
        <v>1</v>
      </c>
      <c r="G219" s="391">
        <v>1</v>
      </c>
      <c r="H219" s="391">
        <v>480</v>
      </c>
      <c r="I219" s="391">
        <v>480</v>
      </c>
      <c r="J219" s="391" t="s">
        <v>402</v>
      </c>
      <c r="K219" s="262" t="s">
        <v>402</v>
      </c>
      <c r="L219" s="262" t="s">
        <v>679</v>
      </c>
      <c r="M219" s="22" t="s">
        <v>85</v>
      </c>
      <c r="N219" s="23" t="str">
        <f t="shared" si="6"/>
        <v>Sim</v>
      </c>
      <c r="O219" s="22" t="s">
        <v>86</v>
      </c>
      <c r="P219" s="22" t="s">
        <v>86</v>
      </c>
      <c r="Q219" s="151" t="s">
        <v>321</v>
      </c>
      <c r="R219" s="23">
        <f>SUMIF('Lançamento de Cabos'!$B:$B,Tabela1[[#This Row],[Tag do Cabo]],'Lançamento de Cabos'!$C:$C)</f>
        <v>480</v>
      </c>
      <c r="S219" s="391">
        <f>VLOOKUP(Tabela1[[#This Row],[Tag do Cabo]],'Diagramas Ligações'!A:V,14,0)</f>
        <v>16</v>
      </c>
      <c r="T219" s="262" t="s">
        <v>680</v>
      </c>
      <c r="U219" s="391">
        <v>6</v>
      </c>
      <c r="V219" s="391" t="s">
        <v>186</v>
      </c>
      <c r="W219" s="391" t="s">
        <v>92</v>
      </c>
      <c r="X219" s="32">
        <v>44209</v>
      </c>
      <c r="Y219" s="32">
        <v>44211</v>
      </c>
      <c r="Z219" s="3" t="s">
        <v>681</v>
      </c>
      <c r="AA219" s="45">
        <v>221</v>
      </c>
      <c r="AB21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19" s="262" t="s">
        <v>482</v>
      </c>
      <c r="AD219" s="391">
        <f>IF(Tabela1[[#This Row],[Qtde. Lançada]]&gt;Tabela1[[#This Row],[Comprimento Total]],Tabela1[[#This Row],[Qtde. Lançada]],Tabela1[[#This Row],[Comprimento Total]])</f>
        <v>480</v>
      </c>
      <c r="AE219" s="262" t="s">
        <v>190</v>
      </c>
      <c r="AF219" s="391" t="s">
        <v>650</v>
      </c>
      <c r="AG219" s="391">
        <f ca="1">SUMIF('Lançamento de Cabos'!AE:AK,Tabela1[[#This Row],[Tag do Cabo]],'Lançamento de Cabos'!AG:AG)</f>
        <v>0</v>
      </c>
      <c r="AH219" s="29">
        <f>IFERROR(VLOOKUP(Tabela1[[#This Row],[Tag do Cabo]],'Lançamento de Cabos'!AE:AK,7,0),0)</f>
        <v>0</v>
      </c>
      <c r="AI219" s="262" t="s">
        <v>680</v>
      </c>
      <c r="AJ219" s="212" t="s">
        <v>685</v>
      </c>
      <c r="AK219" s="46">
        <v>3015008</v>
      </c>
    </row>
    <row r="220" spans="1:37" s="262" customFormat="1" ht="15" customHeight="1" x14ac:dyDescent="0.2">
      <c r="A220" s="168" t="s">
        <v>686</v>
      </c>
      <c r="B220" s="391" t="s">
        <v>38</v>
      </c>
      <c r="C220" s="391" t="s">
        <v>92</v>
      </c>
      <c r="D220" s="391" t="s">
        <v>92</v>
      </c>
      <c r="E220" s="3" t="s">
        <v>612</v>
      </c>
      <c r="F220" s="11">
        <v>1</v>
      </c>
      <c r="G220" s="391">
        <v>1</v>
      </c>
      <c r="H220" s="391">
        <v>480</v>
      </c>
      <c r="I220" s="391">
        <v>480</v>
      </c>
      <c r="J220" s="391" t="s">
        <v>402</v>
      </c>
      <c r="K220" s="262" t="s">
        <v>687</v>
      </c>
      <c r="L220" s="262" t="s">
        <v>679</v>
      </c>
      <c r="M220" s="22" t="s">
        <v>85</v>
      </c>
      <c r="N220" s="23" t="str">
        <f t="shared" si="6"/>
        <v>Sim</v>
      </c>
      <c r="O220" s="22" t="s">
        <v>86</v>
      </c>
      <c r="P220" s="22" t="s">
        <v>86</v>
      </c>
      <c r="Q220" s="151" t="s">
        <v>321</v>
      </c>
      <c r="R220" s="23">
        <f>SUMIF('Lançamento de Cabos'!$B:$B,Tabela1[[#This Row],[Tag do Cabo]],'Lançamento de Cabos'!$C:$C)</f>
        <v>480</v>
      </c>
      <c r="S220" s="391">
        <f>VLOOKUP(Tabela1[[#This Row],[Tag do Cabo]],'Diagramas Ligações'!A:V,14,0)</f>
        <v>48</v>
      </c>
      <c r="T220" s="262" t="s">
        <v>680</v>
      </c>
      <c r="U220" s="391">
        <v>6</v>
      </c>
      <c r="V220" s="391" t="s">
        <v>186</v>
      </c>
      <c r="W220" s="391" t="s">
        <v>92</v>
      </c>
      <c r="X220" s="32">
        <v>44209</v>
      </c>
      <c r="Y220" s="32">
        <v>44211</v>
      </c>
      <c r="Z220" s="3" t="s">
        <v>681</v>
      </c>
      <c r="AA220" s="45">
        <v>104</v>
      </c>
      <c r="AB22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0" s="262" t="s">
        <v>482</v>
      </c>
      <c r="AD220" s="391">
        <f>IF(Tabela1[[#This Row],[Qtde. Lançada]]&gt;Tabela1[[#This Row],[Comprimento Total]],Tabela1[[#This Row],[Qtde. Lançada]],Tabela1[[#This Row],[Comprimento Total]])</f>
        <v>480</v>
      </c>
      <c r="AE220" s="262" t="s">
        <v>190</v>
      </c>
      <c r="AF220" s="391" t="s">
        <v>650</v>
      </c>
      <c r="AG220" s="391">
        <f ca="1">SUMIF('Lançamento de Cabos'!AE:AK,Tabela1[[#This Row],[Tag do Cabo]],'Lançamento de Cabos'!AG:AG)</f>
        <v>0</v>
      </c>
      <c r="AH220" s="29">
        <f>IFERROR(VLOOKUP(Tabela1[[#This Row],[Tag do Cabo]],'Lançamento de Cabos'!AE:AK,7,0),0)</f>
        <v>0</v>
      </c>
      <c r="AI220" s="262" t="s">
        <v>680</v>
      </c>
      <c r="AJ220" s="212" t="s">
        <v>688</v>
      </c>
      <c r="AK220" s="46">
        <v>3087804</v>
      </c>
    </row>
    <row r="221" spans="1:37" s="262" customFormat="1" ht="15" customHeight="1" x14ac:dyDescent="0.2">
      <c r="A221" s="168" t="s">
        <v>689</v>
      </c>
      <c r="B221" s="391" t="s">
        <v>38</v>
      </c>
      <c r="C221" s="391" t="s">
        <v>92</v>
      </c>
      <c r="D221" s="391" t="s">
        <v>92</v>
      </c>
      <c r="E221" s="3" t="s">
        <v>612</v>
      </c>
      <c r="F221" s="11">
        <v>1</v>
      </c>
      <c r="G221" s="391">
        <v>1</v>
      </c>
      <c r="H221" s="391">
        <v>480</v>
      </c>
      <c r="I221" s="391">
        <v>480</v>
      </c>
      <c r="J221" s="391" t="s">
        <v>402</v>
      </c>
      <c r="K221" s="262" t="s">
        <v>687</v>
      </c>
      <c r="L221" s="262" t="s">
        <v>690</v>
      </c>
      <c r="M221" s="22" t="s">
        <v>85</v>
      </c>
      <c r="N221" s="23" t="str">
        <f t="shared" si="6"/>
        <v>Sim</v>
      </c>
      <c r="O221" s="22" t="s">
        <v>86</v>
      </c>
      <c r="P221" s="22" t="s">
        <v>86</v>
      </c>
      <c r="Q221" s="151" t="s">
        <v>321</v>
      </c>
      <c r="R221" s="23">
        <f>SUMIF('Lançamento de Cabos'!$B:$B,Tabela1[[#This Row],[Tag do Cabo]],'Lançamento de Cabos'!$C:$C)</f>
        <v>480</v>
      </c>
      <c r="S221" s="391">
        <f>VLOOKUP(Tabela1[[#This Row],[Tag do Cabo]],'Diagramas Ligações'!A:V,14,0)</f>
        <v>32</v>
      </c>
      <c r="T221" s="262" t="s">
        <v>680</v>
      </c>
      <c r="U221" s="391">
        <v>6</v>
      </c>
      <c r="V221" s="391" t="s">
        <v>186</v>
      </c>
      <c r="W221" s="391" t="s">
        <v>92</v>
      </c>
      <c r="X221" s="32">
        <v>44209</v>
      </c>
      <c r="Y221" s="32">
        <v>44211</v>
      </c>
      <c r="Z221" s="3" t="s">
        <v>681</v>
      </c>
      <c r="AA221" s="45">
        <v>104</v>
      </c>
      <c r="AB22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1" s="262" t="s">
        <v>482</v>
      </c>
      <c r="AD221" s="391">
        <f>IF(Tabela1[[#This Row],[Qtde. Lançada]]&gt;Tabela1[[#This Row],[Comprimento Total]],Tabela1[[#This Row],[Qtde. Lançada]],Tabela1[[#This Row],[Comprimento Total]])</f>
        <v>480</v>
      </c>
      <c r="AE221" s="262" t="s">
        <v>190</v>
      </c>
      <c r="AF221" s="391" t="s">
        <v>650</v>
      </c>
      <c r="AG221" s="391">
        <f ca="1">SUMIF('Lançamento de Cabos'!AE:AK,Tabela1[[#This Row],[Tag do Cabo]],'Lançamento de Cabos'!AG:AG)</f>
        <v>0</v>
      </c>
      <c r="AH221" s="29">
        <f>IFERROR(VLOOKUP(Tabela1[[#This Row],[Tag do Cabo]],'Lançamento de Cabos'!AE:AK,7,0),0)</f>
        <v>0</v>
      </c>
      <c r="AI221" s="262" t="s">
        <v>680</v>
      </c>
      <c r="AJ221" s="212" t="s">
        <v>691</v>
      </c>
      <c r="AK221" s="46">
        <v>3087804</v>
      </c>
    </row>
    <row r="222" spans="1:37" s="262" customFormat="1" ht="15" customHeight="1" x14ac:dyDescent="0.2">
      <c r="A222" s="168" t="s">
        <v>692</v>
      </c>
      <c r="B222" s="391" t="s">
        <v>38</v>
      </c>
      <c r="C222" s="391" t="s">
        <v>92</v>
      </c>
      <c r="D222" s="391" t="s">
        <v>92</v>
      </c>
      <c r="E222" s="3" t="s">
        <v>358</v>
      </c>
      <c r="F222" s="11">
        <v>1</v>
      </c>
      <c r="G222" s="391">
        <v>1</v>
      </c>
      <c r="H222" s="391">
        <v>480</v>
      </c>
      <c r="I222" s="391">
        <v>480</v>
      </c>
      <c r="J222" s="391" t="s">
        <v>402</v>
      </c>
      <c r="K222" s="262" t="s">
        <v>687</v>
      </c>
      <c r="L222" s="262" t="s">
        <v>690</v>
      </c>
      <c r="M222" s="22" t="s">
        <v>85</v>
      </c>
      <c r="N222" s="23" t="str">
        <f t="shared" si="6"/>
        <v>Sim</v>
      </c>
      <c r="O222" s="22" t="s">
        <v>86</v>
      </c>
      <c r="P222" s="22" t="s">
        <v>86</v>
      </c>
      <c r="Q222" s="151" t="s">
        <v>321</v>
      </c>
      <c r="R222" s="23">
        <f>SUMIF('Lançamento de Cabos'!$B:$B,Tabela1[[#This Row],[Tag do Cabo]],'Lançamento de Cabos'!$C:$C)</f>
        <v>480</v>
      </c>
      <c r="S222" s="391">
        <f>VLOOKUP(Tabela1[[#This Row],[Tag do Cabo]],'Diagramas Ligações'!A:V,14,0)</f>
        <v>16</v>
      </c>
      <c r="T222" s="262" t="s">
        <v>680</v>
      </c>
      <c r="U222" s="391">
        <v>6</v>
      </c>
      <c r="V222" s="391" t="s">
        <v>186</v>
      </c>
      <c r="W222" s="391" t="s">
        <v>92</v>
      </c>
      <c r="X222" s="32">
        <v>44209</v>
      </c>
      <c r="Y222" s="32">
        <v>44211</v>
      </c>
      <c r="Z222" s="3" t="s">
        <v>681</v>
      </c>
      <c r="AA222" s="45">
        <v>104</v>
      </c>
      <c r="AB22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2" s="262" t="s">
        <v>482</v>
      </c>
      <c r="AD222" s="391">
        <f>IF(Tabela1[[#This Row],[Qtde. Lançada]]&gt;Tabela1[[#This Row],[Comprimento Total]],Tabela1[[#This Row],[Qtde. Lançada]],Tabela1[[#This Row],[Comprimento Total]])</f>
        <v>480</v>
      </c>
      <c r="AE222" s="262" t="s">
        <v>610</v>
      </c>
      <c r="AF222" s="391" t="s">
        <v>650</v>
      </c>
      <c r="AG222" s="391">
        <f ca="1">SUMIF('Lançamento de Cabos'!AE:AK,Tabela1[[#This Row],[Tag do Cabo]],'Lançamento de Cabos'!AG:AG)</f>
        <v>0</v>
      </c>
      <c r="AH222" s="29">
        <f>IFERROR(VLOOKUP(Tabela1[[#This Row],[Tag do Cabo]],'Lançamento de Cabos'!AE:AK,7,0),0)</f>
        <v>0</v>
      </c>
      <c r="AI222" s="262" t="s">
        <v>680</v>
      </c>
      <c r="AJ222" s="212" t="s">
        <v>693</v>
      </c>
      <c r="AK222" s="46">
        <v>3087804</v>
      </c>
    </row>
    <row r="223" spans="1:37" s="262" customFormat="1" ht="15" customHeight="1" x14ac:dyDescent="0.2">
      <c r="A223" s="168" t="s">
        <v>694</v>
      </c>
      <c r="B223" s="391" t="s">
        <v>38</v>
      </c>
      <c r="C223" s="391" t="s">
        <v>92</v>
      </c>
      <c r="D223" s="391" t="s">
        <v>92</v>
      </c>
      <c r="E223" s="3" t="s">
        <v>347</v>
      </c>
      <c r="F223" s="11">
        <v>1</v>
      </c>
      <c r="G223" s="391">
        <v>1</v>
      </c>
      <c r="H223" s="391">
        <v>480</v>
      </c>
      <c r="I223" s="391">
        <v>480</v>
      </c>
      <c r="J223" s="391" t="s">
        <v>402</v>
      </c>
      <c r="K223" s="262" t="s">
        <v>687</v>
      </c>
      <c r="L223" s="262" t="s">
        <v>690</v>
      </c>
      <c r="M223" s="22" t="s">
        <v>85</v>
      </c>
      <c r="N223" s="23" t="str">
        <f t="shared" si="6"/>
        <v>Sim</v>
      </c>
      <c r="O223" s="22" t="s">
        <v>86</v>
      </c>
      <c r="P223" s="22" t="s">
        <v>86</v>
      </c>
      <c r="Q223" s="151" t="s">
        <v>184</v>
      </c>
      <c r="R223" s="23">
        <f>SUMIF('Lançamento de Cabos'!$B:$B,Tabela1[[#This Row],[Tag do Cabo]],'Lançamento de Cabos'!$C:$C)</f>
        <v>480</v>
      </c>
      <c r="S223" s="391">
        <f>VLOOKUP(Tabela1[[#This Row],[Tag do Cabo]],'Diagramas Ligações'!A:V,14,0)</f>
        <v>4</v>
      </c>
      <c r="T223" s="262" t="s">
        <v>680</v>
      </c>
      <c r="U223" s="391">
        <v>6</v>
      </c>
      <c r="V223" s="391" t="s">
        <v>186</v>
      </c>
      <c r="W223" s="391" t="s">
        <v>92</v>
      </c>
      <c r="X223" s="32">
        <v>44209</v>
      </c>
      <c r="Y223" s="32">
        <v>44211</v>
      </c>
      <c r="Z223" s="3" t="s">
        <v>681</v>
      </c>
      <c r="AA223" s="45">
        <v>128</v>
      </c>
      <c r="AB223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3" s="262" t="s">
        <v>482</v>
      </c>
      <c r="AD223" s="391">
        <f>IF(Tabela1[[#This Row],[Qtde. Lançada]]&gt;Tabela1[[#This Row],[Comprimento Total]],Tabela1[[#This Row],[Qtde. Lançada]],Tabela1[[#This Row],[Comprimento Total]])</f>
        <v>480</v>
      </c>
      <c r="AE223" s="262" t="s">
        <v>610</v>
      </c>
      <c r="AF223" s="391" t="s">
        <v>650</v>
      </c>
      <c r="AG223" s="391">
        <f ca="1">SUMIF('Lançamento de Cabos'!AE:AK,Tabela1[[#This Row],[Tag do Cabo]],'Lançamento de Cabos'!AG:AG)</f>
        <v>0</v>
      </c>
      <c r="AH223" s="29">
        <f>IFERROR(VLOOKUP(Tabela1[[#This Row],[Tag do Cabo]],'Lançamento de Cabos'!AE:AK,7,0),0)</f>
        <v>0</v>
      </c>
      <c r="AI223" s="262" t="s">
        <v>680</v>
      </c>
      <c r="AJ223" s="212" t="s">
        <v>669</v>
      </c>
      <c r="AK223" s="46">
        <v>1423312</v>
      </c>
    </row>
    <row r="224" spans="1:37" s="262" customFormat="1" ht="15" customHeight="1" x14ac:dyDescent="0.2">
      <c r="A224" s="168" t="s">
        <v>695</v>
      </c>
      <c r="B224" s="391" t="s">
        <v>38</v>
      </c>
      <c r="C224" s="391" t="s">
        <v>92</v>
      </c>
      <c r="D224" s="391" t="s">
        <v>92</v>
      </c>
      <c r="E224" s="3" t="s">
        <v>355</v>
      </c>
      <c r="F224" s="11">
        <v>1</v>
      </c>
      <c r="G224" s="391">
        <v>1</v>
      </c>
      <c r="H224" s="391">
        <v>370</v>
      </c>
      <c r="I224" s="391">
        <v>370</v>
      </c>
      <c r="J224" s="391" t="s">
        <v>402</v>
      </c>
      <c r="K224" s="262" t="s">
        <v>696</v>
      </c>
      <c r="L224" s="262" t="s">
        <v>658</v>
      </c>
      <c r="M224" s="22" t="s">
        <v>85</v>
      </c>
      <c r="N224" s="391" t="str">
        <f t="shared" si="6"/>
        <v>Sim</v>
      </c>
      <c r="O224" s="22" t="s">
        <v>86</v>
      </c>
      <c r="P224" s="22" t="s">
        <v>86</v>
      </c>
      <c r="Q224" s="91" t="s">
        <v>184</v>
      </c>
      <c r="R224" s="391">
        <f>SUMIF('Lançamento de Cabos'!$B:$B,Tabela1[[#This Row],[Tag do Cabo]],'Lançamento de Cabos'!$C:$C)</f>
        <v>370</v>
      </c>
      <c r="S224" s="391">
        <f>VLOOKUP(Tabela1[[#This Row],[Tag do Cabo]],'Diagramas Ligações'!A:V,14,0)</f>
        <v>4</v>
      </c>
      <c r="T224" s="262" t="s">
        <v>659</v>
      </c>
      <c r="U224" s="391">
        <v>6</v>
      </c>
      <c r="V224" s="391" t="s">
        <v>186</v>
      </c>
      <c r="W224" s="391" t="s">
        <v>453</v>
      </c>
      <c r="X224" s="32">
        <v>44172</v>
      </c>
      <c r="Y224" s="32">
        <v>44174</v>
      </c>
      <c r="Z224" s="31" t="s">
        <v>660</v>
      </c>
      <c r="AA224" s="45">
        <v>170</v>
      </c>
      <c r="AB22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4" s="262" t="s">
        <v>327</v>
      </c>
      <c r="AD224" s="391">
        <f>IF(Tabela1[[#This Row],[Qtde. Lançada]]&gt;Tabela1[[#This Row],[Comprimento Total]],Tabela1[[#This Row],[Qtde. Lançada]],Tabela1[[#This Row],[Comprimento Total]])</f>
        <v>370</v>
      </c>
      <c r="AE224" s="262" t="s">
        <v>190</v>
      </c>
      <c r="AF224" s="391" t="s">
        <v>650</v>
      </c>
      <c r="AG224" s="391">
        <f ca="1">SUMIF('Lançamento de Cabos'!AE:AK,Tabela1[[#This Row],[Tag do Cabo]],'Lançamento de Cabos'!AG:AG)</f>
        <v>0</v>
      </c>
      <c r="AH224" s="29">
        <f>IFERROR(VLOOKUP(Tabela1[[#This Row],[Tag do Cabo]],'Lançamento de Cabos'!AE:AK,7,0),0)</f>
        <v>0</v>
      </c>
      <c r="AI224" s="262" t="s">
        <v>654</v>
      </c>
      <c r="AJ224" s="212" t="s">
        <v>697</v>
      </c>
      <c r="AK224" s="46">
        <v>306860</v>
      </c>
    </row>
    <row r="225" spans="1:37" s="262" customFormat="1" ht="15" customHeight="1" x14ac:dyDescent="0.2">
      <c r="A225" s="168" t="s">
        <v>698</v>
      </c>
      <c r="B225" s="391" t="s">
        <v>38</v>
      </c>
      <c r="C225" s="391" t="s">
        <v>92</v>
      </c>
      <c r="D225" s="391" t="s">
        <v>92</v>
      </c>
      <c r="E225" s="3" t="s">
        <v>355</v>
      </c>
      <c r="F225" s="11">
        <v>1</v>
      </c>
      <c r="G225" s="391">
        <v>1</v>
      </c>
      <c r="H225" s="391">
        <v>370</v>
      </c>
      <c r="I225" s="391">
        <v>370</v>
      </c>
      <c r="J225" s="391" t="s">
        <v>402</v>
      </c>
      <c r="K225" s="262" t="s">
        <v>699</v>
      </c>
      <c r="L225" s="262" t="s">
        <v>658</v>
      </c>
      <c r="M225" s="22" t="s">
        <v>85</v>
      </c>
      <c r="N225" s="391" t="str">
        <f t="shared" si="6"/>
        <v>Sim</v>
      </c>
      <c r="O225" s="22" t="s">
        <v>86</v>
      </c>
      <c r="P225" s="22" t="s">
        <v>86</v>
      </c>
      <c r="Q225" s="91" t="s">
        <v>184</v>
      </c>
      <c r="R225" s="391">
        <f>SUMIF('Lançamento de Cabos'!$B:$B,Tabela1[[#This Row],[Tag do Cabo]],'Lançamento de Cabos'!$C:$C)</f>
        <v>370</v>
      </c>
      <c r="S225" s="391">
        <f>VLOOKUP(Tabela1[[#This Row],[Tag do Cabo]],'Diagramas Ligações'!A:V,14,0)</f>
        <v>4</v>
      </c>
      <c r="T225" s="262" t="s">
        <v>659</v>
      </c>
      <c r="U225" s="391">
        <v>6</v>
      </c>
      <c r="V225" s="391" t="s">
        <v>186</v>
      </c>
      <c r="W225" s="391" t="s">
        <v>453</v>
      </c>
      <c r="X225" s="32">
        <v>44172</v>
      </c>
      <c r="Y225" s="32">
        <v>44174</v>
      </c>
      <c r="Z225" s="31" t="s">
        <v>660</v>
      </c>
      <c r="AA225" s="45">
        <v>170</v>
      </c>
      <c r="AB22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5" s="262" t="s">
        <v>327</v>
      </c>
      <c r="AD225" s="391">
        <f>IF(Tabela1[[#This Row],[Qtde. Lançada]]&gt;Tabela1[[#This Row],[Comprimento Total]],Tabela1[[#This Row],[Qtde. Lançada]],Tabela1[[#This Row],[Comprimento Total]])</f>
        <v>370</v>
      </c>
      <c r="AE225" s="262" t="s">
        <v>190</v>
      </c>
      <c r="AF225" s="391" t="s">
        <v>650</v>
      </c>
      <c r="AG225" s="391">
        <f ca="1">SUMIF('Lançamento de Cabos'!AE:AK,Tabela1[[#This Row],[Tag do Cabo]],'Lançamento de Cabos'!AG:AG)</f>
        <v>0</v>
      </c>
      <c r="AH225" s="29">
        <f>IFERROR(VLOOKUP(Tabela1[[#This Row],[Tag do Cabo]],'Lançamento de Cabos'!AE:AK,7,0),0)</f>
        <v>0</v>
      </c>
      <c r="AI225" s="262" t="s">
        <v>654</v>
      </c>
      <c r="AJ225" s="212" t="s">
        <v>697</v>
      </c>
      <c r="AK225" s="46">
        <v>306860</v>
      </c>
    </row>
    <row r="226" spans="1:37" s="262" customFormat="1" ht="15" customHeight="1" x14ac:dyDescent="0.2">
      <c r="A226" s="168" t="s">
        <v>700</v>
      </c>
      <c r="B226" s="391" t="s">
        <v>38</v>
      </c>
      <c r="C226" s="391" t="s">
        <v>92</v>
      </c>
      <c r="D226" s="391" t="s">
        <v>92</v>
      </c>
      <c r="E226" s="3" t="s">
        <v>608</v>
      </c>
      <c r="F226" s="11">
        <v>1</v>
      </c>
      <c r="G226" s="391">
        <v>1</v>
      </c>
      <c r="H226" s="391">
        <v>370</v>
      </c>
      <c r="I226" s="391">
        <v>370</v>
      </c>
      <c r="J226" s="391" t="s">
        <v>402</v>
      </c>
      <c r="K226" s="262" t="s">
        <v>603</v>
      </c>
      <c r="L226" s="262" t="s">
        <v>658</v>
      </c>
      <c r="M226" s="22" t="s">
        <v>85</v>
      </c>
      <c r="N226" s="391" t="str">
        <f t="shared" si="6"/>
        <v>Sim</v>
      </c>
      <c r="O226" s="22" t="s">
        <v>86</v>
      </c>
      <c r="P226" s="22" t="s">
        <v>86</v>
      </c>
      <c r="Q226" s="91" t="s">
        <v>321</v>
      </c>
      <c r="R226" s="391">
        <f>SUMIF('Lançamento de Cabos'!$B:$B,Tabela1[[#This Row],[Tag do Cabo]],'Lançamento de Cabos'!$C:$C)</f>
        <v>370</v>
      </c>
      <c r="S226" s="391">
        <f>VLOOKUP(Tabela1[[#This Row],[Tag do Cabo]],'Diagramas Ligações'!A:V,14,0)</f>
        <v>16</v>
      </c>
      <c r="T226" s="262" t="s">
        <v>659</v>
      </c>
      <c r="U226" s="391">
        <v>6</v>
      </c>
      <c r="V226" s="391" t="s">
        <v>186</v>
      </c>
      <c r="W226" s="391" t="s">
        <v>453</v>
      </c>
      <c r="X226" s="32">
        <v>44172</v>
      </c>
      <c r="Y226" s="32">
        <v>44174</v>
      </c>
      <c r="Z226" s="31" t="s">
        <v>660</v>
      </c>
      <c r="AA226" s="45">
        <v>3</v>
      </c>
      <c r="AB22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6" s="262" t="s">
        <v>327</v>
      </c>
      <c r="AD226" s="391">
        <f>IF(Tabela1[[#This Row],[Qtde. Lançada]]&gt;Tabela1[[#This Row],[Comprimento Total]],Tabela1[[#This Row],[Qtde. Lançada]],Tabela1[[#This Row],[Comprimento Total]])</f>
        <v>370</v>
      </c>
      <c r="AE226" s="262" t="s">
        <v>190</v>
      </c>
      <c r="AF226" s="391" t="s">
        <v>650</v>
      </c>
      <c r="AG226" s="391">
        <f ca="1">SUMIF('Lançamento de Cabos'!AE:AK,Tabela1[[#This Row],[Tag do Cabo]],'Lançamento de Cabos'!AG:AG)</f>
        <v>0</v>
      </c>
      <c r="AH226" s="29">
        <f>IFERROR(VLOOKUP(Tabela1[[#This Row],[Tag do Cabo]],'Lançamento de Cabos'!AE:AK,7,0),0)</f>
        <v>0</v>
      </c>
      <c r="AI226" s="262" t="s">
        <v>654</v>
      </c>
      <c r="AJ226" s="212" t="s">
        <v>697</v>
      </c>
      <c r="AK226" s="46">
        <v>3015008</v>
      </c>
    </row>
    <row r="227" spans="1:37" s="262" customFormat="1" ht="15" customHeight="1" x14ac:dyDescent="0.2">
      <c r="A227" s="168" t="s">
        <v>701</v>
      </c>
      <c r="B227" s="391" t="s">
        <v>37</v>
      </c>
      <c r="C227" s="391">
        <v>2900</v>
      </c>
      <c r="D227" s="391" t="s">
        <v>120</v>
      </c>
      <c r="E227" s="3" t="s">
        <v>702</v>
      </c>
      <c r="F227" s="11">
        <v>240</v>
      </c>
      <c r="G227" s="391">
        <v>6</v>
      </c>
      <c r="H227" s="151">
        <v>85</v>
      </c>
      <c r="I227" s="151">
        <v>510</v>
      </c>
      <c r="J227" s="391" t="s">
        <v>703</v>
      </c>
      <c r="K227" s="262" t="s">
        <v>704</v>
      </c>
      <c r="L227" s="262" t="s">
        <v>705</v>
      </c>
      <c r="M227" s="22" t="s">
        <v>85</v>
      </c>
      <c r="N227" s="22" t="s">
        <v>86</v>
      </c>
      <c r="O227" s="391" t="s">
        <v>85</v>
      </c>
      <c r="P227" s="391" t="s">
        <v>85</v>
      </c>
      <c r="Q227" s="91" t="s">
        <v>124</v>
      </c>
      <c r="R227" s="391">
        <f>SUMIF('Lançamento de Cabos'!$B:$B,Tabela1[[#This Row],[Tag do Cabo]],'Lançamento de Cabos'!$C:$C)</f>
        <v>510</v>
      </c>
      <c r="S227" s="391">
        <f>VLOOKUP(Tabela1[[#This Row],[Tag do Cabo]],'Diagramas Ligações'!A:V,14,0)</f>
        <v>12</v>
      </c>
      <c r="T227" s="262" t="s">
        <v>706</v>
      </c>
      <c r="U227" s="391">
        <v>2</v>
      </c>
      <c r="V227" s="391"/>
      <c r="W227" s="391" t="s">
        <v>707</v>
      </c>
      <c r="X227" s="32">
        <v>44085</v>
      </c>
      <c r="Y227" s="32">
        <v>44089</v>
      </c>
      <c r="Z227" s="3" t="s">
        <v>708</v>
      </c>
      <c r="AA227" s="45" t="s">
        <v>709</v>
      </c>
      <c r="AB22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7" s="262" t="s">
        <v>407</v>
      </c>
      <c r="AD227" s="391">
        <f>IF(Tabela1[[#This Row],[Qtde. Lançada]]&gt;Tabela1[[#This Row],[Comprimento Total]],Tabela1[[#This Row],[Qtde. Lançada]],Tabela1[[#This Row],[Comprimento Total]])</f>
        <v>510</v>
      </c>
      <c r="AE227" s="391" t="s">
        <v>92</v>
      </c>
      <c r="AF227" s="391" t="s">
        <v>710</v>
      </c>
      <c r="AG227" s="391">
        <f ca="1">SUMIF('Lançamento de Cabos'!AE:AK,Tabela1[[#This Row],[Tag do Cabo]],'Lançamento de Cabos'!AG:AG)</f>
        <v>0</v>
      </c>
      <c r="AH227" s="29">
        <f>IFERROR(VLOOKUP(Tabela1[[#This Row],[Tag do Cabo]],'Lançamento de Cabos'!AE:AK,7,0),0)</f>
        <v>0</v>
      </c>
      <c r="AI227" s="262" t="s">
        <v>537</v>
      </c>
      <c r="AJ227" s="212" t="s">
        <v>261</v>
      </c>
      <c r="AK227" s="46">
        <v>330702</v>
      </c>
    </row>
    <row r="228" spans="1:37" s="262" customFormat="1" ht="15" customHeight="1" x14ac:dyDescent="0.2">
      <c r="A228" s="168" t="s">
        <v>711</v>
      </c>
      <c r="B228" s="391" t="s">
        <v>37</v>
      </c>
      <c r="C228" s="391">
        <v>480</v>
      </c>
      <c r="D228" s="391" t="s">
        <v>80</v>
      </c>
      <c r="E228" s="3" t="s">
        <v>712</v>
      </c>
      <c r="F228" s="11">
        <v>50</v>
      </c>
      <c r="G228" s="391">
        <v>1</v>
      </c>
      <c r="H228" s="391">
        <v>100</v>
      </c>
      <c r="I228" s="391">
        <v>100</v>
      </c>
      <c r="J228" s="391" t="s">
        <v>703</v>
      </c>
      <c r="K228" s="262" t="s">
        <v>593</v>
      </c>
      <c r="L228" s="262" t="s">
        <v>713</v>
      </c>
      <c r="M228" s="22" t="s">
        <v>85</v>
      </c>
      <c r="N228" s="22" t="s">
        <v>86</v>
      </c>
      <c r="O228" s="391" t="str">
        <f>"Sim"</f>
        <v>Sim</v>
      </c>
      <c r="P228" s="22" t="s">
        <v>86</v>
      </c>
      <c r="Q228" s="91" t="s">
        <v>578</v>
      </c>
      <c r="R228" s="391">
        <f>SUMIF('Lançamento de Cabos'!$B:$B,Tabela1[[#This Row],[Tag do Cabo]],'Lançamento de Cabos'!$C:$C)</f>
        <v>100</v>
      </c>
      <c r="S228" s="391">
        <f>VLOOKUP(Tabela1[[#This Row],[Tag do Cabo]],'Diagramas Ligações'!A:V,14,0)</f>
        <v>6</v>
      </c>
      <c r="T228" s="262" t="s">
        <v>706</v>
      </c>
      <c r="U228" s="391">
        <v>2</v>
      </c>
      <c r="V228" s="391"/>
      <c r="W228" s="391" t="s">
        <v>707</v>
      </c>
      <c r="X228" s="32">
        <v>44097</v>
      </c>
      <c r="Y228" s="32">
        <v>44139</v>
      </c>
      <c r="Z228" s="3" t="s">
        <v>714</v>
      </c>
      <c r="AA228" s="45">
        <v>5</v>
      </c>
      <c r="AB22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8" s="262" t="s">
        <v>407</v>
      </c>
      <c r="AD228" s="391">
        <f>IF(Tabela1[[#This Row],[Qtde. Lançada]]&gt;Tabela1[[#This Row],[Comprimento Total]],Tabela1[[#This Row],[Qtde. Lançada]],Tabela1[[#This Row],[Comprimento Total]])</f>
        <v>100</v>
      </c>
      <c r="AE228" s="391" t="s">
        <v>92</v>
      </c>
      <c r="AF228" s="391" t="s">
        <v>710</v>
      </c>
      <c r="AG228" s="391">
        <f ca="1">SUMIF('Lançamento de Cabos'!AE:AK,Tabela1[[#This Row],[Tag do Cabo]],'Lançamento de Cabos'!AG:AG)</f>
        <v>0</v>
      </c>
      <c r="AH228" s="29">
        <f>IFERROR(VLOOKUP(Tabela1[[#This Row],[Tag do Cabo]],'Lançamento de Cabos'!AE:AK,7,0),0)</f>
        <v>0</v>
      </c>
      <c r="AI228" s="262" t="s">
        <v>537</v>
      </c>
      <c r="AJ228" s="212" t="s">
        <v>261</v>
      </c>
      <c r="AK228" s="46">
        <v>320724</v>
      </c>
    </row>
    <row r="229" spans="1:37" s="262" customFormat="1" ht="15" customHeight="1" x14ac:dyDescent="0.2">
      <c r="A229" s="168" t="s">
        <v>715</v>
      </c>
      <c r="B229" s="391" t="s">
        <v>37</v>
      </c>
      <c r="C229" s="391">
        <v>480</v>
      </c>
      <c r="D229" s="391" t="s">
        <v>80</v>
      </c>
      <c r="E229" s="3" t="s">
        <v>712</v>
      </c>
      <c r="F229" s="11">
        <v>50</v>
      </c>
      <c r="G229" s="391">
        <v>1</v>
      </c>
      <c r="H229" s="391">
        <v>100</v>
      </c>
      <c r="I229" s="391">
        <v>100</v>
      </c>
      <c r="J229" s="391" t="s">
        <v>703</v>
      </c>
      <c r="K229" s="262" t="s">
        <v>593</v>
      </c>
      <c r="L229" s="262" t="s">
        <v>716</v>
      </c>
      <c r="M229" s="22" t="s">
        <v>85</v>
      </c>
      <c r="N229" s="22" t="s">
        <v>86</v>
      </c>
      <c r="O229" s="391" t="str">
        <f>"Sim"</f>
        <v>Sim</v>
      </c>
      <c r="P229" s="22" t="s">
        <v>86</v>
      </c>
      <c r="Q229" s="91" t="s">
        <v>578</v>
      </c>
      <c r="R229" s="391">
        <f>SUMIF('Lançamento de Cabos'!$B:$B,Tabela1[[#This Row],[Tag do Cabo]],'Lançamento de Cabos'!$C:$C)</f>
        <v>100</v>
      </c>
      <c r="S229" s="391">
        <f>VLOOKUP(Tabela1[[#This Row],[Tag do Cabo]],'Diagramas Ligações'!A:V,14,0)</f>
        <v>6</v>
      </c>
      <c r="T229" s="262" t="s">
        <v>706</v>
      </c>
      <c r="U229" s="391">
        <v>2</v>
      </c>
      <c r="V229" s="391"/>
      <c r="W229" s="391" t="s">
        <v>707</v>
      </c>
      <c r="X229" s="32">
        <v>44097</v>
      </c>
      <c r="Y229" s="32">
        <v>44139</v>
      </c>
      <c r="Z229" s="3" t="s">
        <v>714</v>
      </c>
      <c r="AA229" s="45">
        <v>201</v>
      </c>
      <c r="AB22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29" s="262" t="s">
        <v>407</v>
      </c>
      <c r="AD229" s="391">
        <f>IF(Tabela1[[#This Row],[Qtde. Lançada]]&gt;Tabela1[[#This Row],[Comprimento Total]],Tabela1[[#This Row],[Qtde. Lançada]],Tabela1[[#This Row],[Comprimento Total]])</f>
        <v>100</v>
      </c>
      <c r="AE229" s="391" t="s">
        <v>92</v>
      </c>
      <c r="AF229" s="391" t="s">
        <v>710</v>
      </c>
      <c r="AG229" s="391">
        <f ca="1">SUMIF('Lançamento de Cabos'!AE:AK,Tabela1[[#This Row],[Tag do Cabo]],'Lançamento de Cabos'!AG:AG)</f>
        <v>0</v>
      </c>
      <c r="AH229" s="29">
        <f>IFERROR(VLOOKUP(Tabela1[[#This Row],[Tag do Cabo]],'Lançamento de Cabos'!AE:AK,7,0),0)</f>
        <v>0</v>
      </c>
      <c r="AI229" s="262" t="s">
        <v>537</v>
      </c>
      <c r="AJ229" s="212" t="s">
        <v>261</v>
      </c>
      <c r="AK229" s="46">
        <v>320724</v>
      </c>
    </row>
    <row r="230" spans="1:37" s="262" customFormat="1" ht="15" customHeight="1" x14ac:dyDescent="0.2">
      <c r="A230" s="168" t="s">
        <v>717</v>
      </c>
      <c r="B230" s="391" t="s">
        <v>37</v>
      </c>
      <c r="C230" s="391">
        <v>127</v>
      </c>
      <c r="D230" s="391" t="s">
        <v>80</v>
      </c>
      <c r="E230" s="3" t="s">
        <v>718</v>
      </c>
      <c r="F230" s="11">
        <v>2.5</v>
      </c>
      <c r="G230" s="391">
        <v>1</v>
      </c>
      <c r="H230" s="391">
        <v>85</v>
      </c>
      <c r="I230" s="391">
        <v>85</v>
      </c>
      <c r="J230" s="391" t="s">
        <v>703</v>
      </c>
      <c r="K230" s="262" t="s">
        <v>719</v>
      </c>
      <c r="L230" s="262" t="s">
        <v>720</v>
      </c>
      <c r="M230" s="22" t="s">
        <v>85</v>
      </c>
      <c r="N230" s="391" t="str">
        <f>"Sim"</f>
        <v>Sim</v>
      </c>
      <c r="O230" s="22" t="s">
        <v>86</v>
      </c>
      <c r="P230" s="22" t="s">
        <v>86</v>
      </c>
      <c r="Q230" s="91" t="s">
        <v>721</v>
      </c>
      <c r="R230" s="391">
        <f>SUMIF('Lançamento de Cabos'!$B:$B,Tabela1[[#This Row],[Tag do Cabo]],'Lançamento de Cabos'!$C:$C)</f>
        <v>85</v>
      </c>
      <c r="S230" s="391">
        <f>VLOOKUP(Tabela1[[#This Row],[Tag do Cabo]],'Diagramas Ligações'!A:V,14,0)</f>
        <v>4</v>
      </c>
      <c r="T230" s="262" t="s">
        <v>706</v>
      </c>
      <c r="U230" s="391">
        <v>2</v>
      </c>
      <c r="V230" s="391"/>
      <c r="W230" s="391" t="s">
        <v>707</v>
      </c>
      <c r="X230" s="32">
        <v>44097</v>
      </c>
      <c r="Y230" s="32">
        <v>44135</v>
      </c>
      <c r="Z230" s="3" t="s">
        <v>722</v>
      </c>
      <c r="AA230" s="45">
        <v>200</v>
      </c>
      <c r="AB23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0" s="262" t="s">
        <v>407</v>
      </c>
      <c r="AD230" s="391">
        <f>IF(Tabela1[[#This Row],[Qtde. Lançada]]&gt;Tabela1[[#This Row],[Comprimento Total]],Tabela1[[#This Row],[Qtde. Lançada]],Tabela1[[#This Row],[Comprimento Total]])</f>
        <v>85</v>
      </c>
      <c r="AE230" s="391" t="s">
        <v>92</v>
      </c>
      <c r="AF230" s="391" t="s">
        <v>710</v>
      </c>
      <c r="AG230" s="391">
        <f ca="1">SUMIF('Lançamento de Cabos'!AE:AK,Tabela1[[#This Row],[Tag do Cabo]],'Lançamento de Cabos'!AG:AG)</f>
        <v>0</v>
      </c>
      <c r="AH230" s="29">
        <f>IFERROR(VLOOKUP(Tabela1[[#This Row],[Tag do Cabo]],'Lançamento de Cabos'!AE:AK,7,0),0)</f>
        <v>0</v>
      </c>
      <c r="AI230" s="262" t="s">
        <v>537</v>
      </c>
      <c r="AJ230" s="212" t="s">
        <v>261</v>
      </c>
      <c r="AK230" s="46">
        <v>932948</v>
      </c>
    </row>
    <row r="231" spans="1:37" s="262" customFormat="1" ht="15" customHeight="1" x14ac:dyDescent="0.2">
      <c r="A231" s="168" t="s">
        <v>723</v>
      </c>
      <c r="B231" s="391" t="s">
        <v>37</v>
      </c>
      <c r="C231" s="391">
        <v>127</v>
      </c>
      <c r="D231" s="391" t="s">
        <v>80</v>
      </c>
      <c r="E231" s="3" t="s">
        <v>718</v>
      </c>
      <c r="F231" s="11">
        <v>2.5</v>
      </c>
      <c r="G231" s="391">
        <v>1</v>
      </c>
      <c r="H231" s="391">
        <v>85</v>
      </c>
      <c r="I231" s="391">
        <v>85</v>
      </c>
      <c r="J231" s="391" t="s">
        <v>703</v>
      </c>
      <c r="K231" s="262" t="s">
        <v>719</v>
      </c>
      <c r="L231" s="262" t="s">
        <v>724</v>
      </c>
      <c r="M231" s="22" t="s">
        <v>85</v>
      </c>
      <c r="N231" s="391" t="str">
        <f>"Sim"</f>
        <v>Sim</v>
      </c>
      <c r="O231" s="22" t="s">
        <v>86</v>
      </c>
      <c r="P231" s="22" t="s">
        <v>86</v>
      </c>
      <c r="Q231" s="91" t="s">
        <v>721</v>
      </c>
      <c r="R231" s="391">
        <f>SUMIF('Lançamento de Cabos'!$B:$B,Tabela1[[#This Row],[Tag do Cabo]],'Lançamento de Cabos'!$C:$C)</f>
        <v>85</v>
      </c>
      <c r="S231" s="391">
        <f>VLOOKUP(Tabela1[[#This Row],[Tag do Cabo]],'Diagramas Ligações'!A:V,14,0)</f>
        <v>4</v>
      </c>
      <c r="T231" s="262" t="s">
        <v>706</v>
      </c>
      <c r="U231" s="391">
        <v>2</v>
      </c>
      <c r="V231" s="391"/>
      <c r="W231" s="391" t="s">
        <v>707</v>
      </c>
      <c r="X231" s="32">
        <v>44097</v>
      </c>
      <c r="Y231" s="32">
        <v>44135</v>
      </c>
      <c r="Z231" s="3" t="s">
        <v>722</v>
      </c>
      <c r="AA231" s="45">
        <v>200</v>
      </c>
      <c r="AB23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1" s="262" t="s">
        <v>407</v>
      </c>
      <c r="AD231" s="391">
        <f>IF(Tabela1[[#This Row],[Qtde. Lançada]]&gt;Tabela1[[#This Row],[Comprimento Total]],Tabela1[[#This Row],[Qtde. Lançada]],Tabela1[[#This Row],[Comprimento Total]])</f>
        <v>85</v>
      </c>
      <c r="AE231" s="391" t="s">
        <v>92</v>
      </c>
      <c r="AF231" s="391" t="s">
        <v>710</v>
      </c>
      <c r="AG231" s="391">
        <f ca="1">SUMIF('Lançamento de Cabos'!AE:AK,Tabela1[[#This Row],[Tag do Cabo]],'Lançamento de Cabos'!AG:AG)</f>
        <v>0</v>
      </c>
      <c r="AH231" s="29">
        <f>IFERROR(VLOOKUP(Tabela1[[#This Row],[Tag do Cabo]],'Lançamento de Cabos'!AE:AK,7,0),0)</f>
        <v>0</v>
      </c>
      <c r="AI231" s="262" t="s">
        <v>537</v>
      </c>
      <c r="AJ231" s="212" t="s">
        <v>261</v>
      </c>
      <c r="AK231" s="46">
        <v>932948</v>
      </c>
    </row>
    <row r="232" spans="1:37" s="262" customFormat="1" ht="15" customHeight="1" x14ac:dyDescent="0.2">
      <c r="A232" s="168" t="s">
        <v>725</v>
      </c>
      <c r="B232" s="391" t="s">
        <v>37</v>
      </c>
      <c r="C232" s="391">
        <v>127</v>
      </c>
      <c r="D232" s="391" t="s">
        <v>80</v>
      </c>
      <c r="E232" s="3" t="s">
        <v>718</v>
      </c>
      <c r="F232" s="11">
        <v>2.5</v>
      </c>
      <c r="G232" s="391">
        <v>1</v>
      </c>
      <c r="H232" s="391">
        <v>85</v>
      </c>
      <c r="I232" s="391">
        <v>85</v>
      </c>
      <c r="J232" s="391" t="s">
        <v>703</v>
      </c>
      <c r="K232" s="262" t="s">
        <v>719</v>
      </c>
      <c r="L232" s="262" t="s">
        <v>726</v>
      </c>
      <c r="M232" s="22" t="s">
        <v>85</v>
      </c>
      <c r="N232" s="391" t="str">
        <f>"Sim"</f>
        <v>Sim</v>
      </c>
      <c r="O232" s="22" t="s">
        <v>86</v>
      </c>
      <c r="P232" s="22" t="s">
        <v>86</v>
      </c>
      <c r="Q232" s="91" t="s">
        <v>721</v>
      </c>
      <c r="R232" s="391">
        <f>SUMIF('Lançamento de Cabos'!$B:$B,Tabela1[[#This Row],[Tag do Cabo]],'Lançamento de Cabos'!$C:$C)</f>
        <v>85</v>
      </c>
      <c r="S232" s="391">
        <f>VLOOKUP(Tabela1[[#This Row],[Tag do Cabo]],'Diagramas Ligações'!A:V,14,0)</f>
        <v>4</v>
      </c>
      <c r="T232" s="262" t="s">
        <v>706</v>
      </c>
      <c r="U232" s="391">
        <v>2</v>
      </c>
      <c r="V232" s="391"/>
      <c r="W232" s="391" t="s">
        <v>707</v>
      </c>
      <c r="X232" s="32">
        <v>44097</v>
      </c>
      <c r="Y232" s="32">
        <v>44135</v>
      </c>
      <c r="Z232" s="3" t="s">
        <v>722</v>
      </c>
      <c r="AA232" s="45">
        <v>200</v>
      </c>
      <c r="AB23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2" s="262" t="s">
        <v>407</v>
      </c>
      <c r="AD232" s="391">
        <f>IF(Tabela1[[#This Row],[Qtde. Lançada]]&gt;Tabela1[[#This Row],[Comprimento Total]],Tabela1[[#This Row],[Qtde. Lançada]],Tabela1[[#This Row],[Comprimento Total]])</f>
        <v>85</v>
      </c>
      <c r="AE232" s="391" t="s">
        <v>92</v>
      </c>
      <c r="AF232" s="391" t="s">
        <v>710</v>
      </c>
      <c r="AG232" s="391">
        <f ca="1">SUMIF('Lançamento de Cabos'!AE:AK,Tabela1[[#This Row],[Tag do Cabo]],'Lançamento de Cabos'!AG:AG)</f>
        <v>0</v>
      </c>
      <c r="AH232" s="29">
        <f>IFERROR(VLOOKUP(Tabela1[[#This Row],[Tag do Cabo]],'Lançamento de Cabos'!AE:AK,7,0),0)</f>
        <v>0</v>
      </c>
      <c r="AI232" s="262" t="s">
        <v>537</v>
      </c>
      <c r="AJ232" s="212" t="s">
        <v>261</v>
      </c>
      <c r="AK232" s="46">
        <v>932948</v>
      </c>
    </row>
    <row r="233" spans="1:37" s="262" customFormat="1" ht="15" customHeight="1" x14ac:dyDescent="0.2">
      <c r="A233" s="168" t="s">
        <v>727</v>
      </c>
      <c r="B233" s="391" t="s">
        <v>38</v>
      </c>
      <c r="C233" s="391" t="s">
        <v>92</v>
      </c>
      <c r="D233" s="391" t="s">
        <v>92</v>
      </c>
      <c r="E233" s="3" t="s">
        <v>358</v>
      </c>
      <c r="F233" s="11">
        <v>1</v>
      </c>
      <c r="G233" s="391">
        <v>1</v>
      </c>
      <c r="H233" s="391">
        <v>100</v>
      </c>
      <c r="I233" s="391">
        <v>100</v>
      </c>
      <c r="J233" s="391" t="s">
        <v>310</v>
      </c>
      <c r="K233" s="262" t="s">
        <v>363</v>
      </c>
      <c r="L233" s="262" t="s">
        <v>728</v>
      </c>
      <c r="M233" s="22" t="s">
        <v>85</v>
      </c>
      <c r="N233" s="23" t="str">
        <f>"Sim"</f>
        <v>Sim</v>
      </c>
      <c r="O233" s="22" t="s">
        <v>86</v>
      </c>
      <c r="P233" s="22" t="s">
        <v>86</v>
      </c>
      <c r="Q233" s="391" t="s">
        <v>321</v>
      </c>
      <c r="R233" s="23">
        <f>SUMIF('Lançamento de Cabos'!$B:$B,Tabela1[[#This Row],[Tag do Cabo]],'Lançamento de Cabos'!$C:$C)</f>
        <v>110</v>
      </c>
      <c r="S233" s="391">
        <f>VLOOKUP(Tabela1[[#This Row],[Tag do Cabo]],'Diagramas Ligações'!A:V,14,0)</f>
        <v>48</v>
      </c>
      <c r="T233" s="262" t="s">
        <v>350</v>
      </c>
      <c r="U233" s="391">
        <v>10</v>
      </c>
      <c r="V233" s="391" t="s">
        <v>186</v>
      </c>
      <c r="W233" s="391" t="s">
        <v>306</v>
      </c>
      <c r="X233" s="32">
        <v>44120</v>
      </c>
      <c r="Y233" s="32">
        <v>44130</v>
      </c>
      <c r="Z233" s="88" t="s">
        <v>351</v>
      </c>
      <c r="AA233" s="45">
        <v>94</v>
      </c>
      <c r="AB23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3" s="262" t="s">
        <v>327</v>
      </c>
      <c r="AD233" s="391">
        <f>IF(Tabela1[[#This Row],[Qtde. Lançada]]&gt;Tabela1[[#This Row],[Comprimento Total]],Tabela1[[#This Row],[Qtde. Lançada]],Tabela1[[#This Row],[Comprimento Total]])</f>
        <v>110</v>
      </c>
      <c r="AE233" s="262" t="s">
        <v>360</v>
      </c>
      <c r="AF233" s="391" t="s">
        <v>710</v>
      </c>
      <c r="AG233" s="391">
        <f ca="1">SUMIF('Lançamento de Cabos'!AE:AK,Tabela1[[#This Row],[Tag do Cabo]],'Lançamento de Cabos'!AG:AG)</f>
        <v>0</v>
      </c>
      <c r="AH233" s="29">
        <f>IFERROR(VLOOKUP(Tabela1[[#This Row],[Tag do Cabo]],'Lançamento de Cabos'!AE:AK,7,0),0)</f>
        <v>0</v>
      </c>
      <c r="AI233" s="325" t="s">
        <v>311</v>
      </c>
      <c r="AJ233" s="212"/>
      <c r="AK233" s="46">
        <v>574198</v>
      </c>
    </row>
    <row r="234" spans="1:37" s="262" customFormat="1" ht="15" customHeight="1" x14ac:dyDescent="0.2">
      <c r="A234" s="168" t="s">
        <v>729</v>
      </c>
      <c r="B234" s="391" t="s">
        <v>38</v>
      </c>
      <c r="C234" s="391" t="s">
        <v>92</v>
      </c>
      <c r="D234" s="391" t="s">
        <v>92</v>
      </c>
      <c r="E234" s="3" t="s">
        <v>392</v>
      </c>
      <c r="F234" s="11">
        <v>1</v>
      </c>
      <c r="G234" s="391">
        <v>1</v>
      </c>
      <c r="H234" s="391">
        <v>100</v>
      </c>
      <c r="I234" s="391">
        <v>100</v>
      </c>
      <c r="J234" s="391" t="s">
        <v>310</v>
      </c>
      <c r="K234" s="262" t="s">
        <v>730</v>
      </c>
      <c r="L234" s="262" t="s">
        <v>728</v>
      </c>
      <c r="M234" s="22" t="s">
        <v>85</v>
      </c>
      <c r="N234" s="23" t="str">
        <f>"Sim"</f>
        <v>Sim</v>
      </c>
      <c r="O234" s="22" t="s">
        <v>86</v>
      </c>
      <c r="P234" s="22" t="s">
        <v>86</v>
      </c>
      <c r="Q234" s="391" t="s">
        <v>184</v>
      </c>
      <c r="R234" s="23">
        <f>SUMIF('Lançamento de Cabos'!$B:$B,Tabela1[[#This Row],[Tag do Cabo]],'Lançamento de Cabos'!$C:$C)</f>
        <v>110</v>
      </c>
      <c r="S234" s="391">
        <f>VLOOKUP(Tabela1[[#This Row],[Tag do Cabo]],'Diagramas Ligações'!A:V,14,0)</f>
        <v>16</v>
      </c>
      <c r="T234" s="262" t="s">
        <v>350</v>
      </c>
      <c r="U234" s="391">
        <v>10</v>
      </c>
      <c r="V234" s="391" t="s">
        <v>186</v>
      </c>
      <c r="W234" s="391" t="s">
        <v>306</v>
      </c>
      <c r="X234" s="32">
        <v>44120</v>
      </c>
      <c r="Y234" s="32">
        <v>44130</v>
      </c>
      <c r="Z234" s="88" t="s">
        <v>351</v>
      </c>
      <c r="AA234" s="45">
        <v>127</v>
      </c>
      <c r="AB23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4" s="262" t="s">
        <v>327</v>
      </c>
      <c r="AD234" s="391">
        <f>IF(Tabela1[[#This Row],[Qtde. Lançada]]&gt;Tabela1[[#This Row],[Comprimento Total]],Tabela1[[#This Row],[Qtde. Lançada]],Tabela1[[#This Row],[Comprimento Total]])</f>
        <v>110</v>
      </c>
      <c r="AE234" s="262" t="s">
        <v>360</v>
      </c>
      <c r="AF234" s="391" t="s">
        <v>710</v>
      </c>
      <c r="AG234" s="391">
        <f ca="1">SUMIF('Lançamento de Cabos'!AE:AK,Tabela1[[#This Row],[Tag do Cabo]],'Lançamento de Cabos'!AG:AG)</f>
        <v>0</v>
      </c>
      <c r="AH234" s="29">
        <f>IFERROR(VLOOKUP(Tabela1[[#This Row],[Tag do Cabo]],'Lançamento de Cabos'!AE:AK,7,0),0)</f>
        <v>0</v>
      </c>
      <c r="AI234" s="325" t="s">
        <v>311</v>
      </c>
      <c r="AJ234" s="212"/>
      <c r="AK234" s="46">
        <v>1423312</v>
      </c>
    </row>
    <row r="235" spans="1:37" s="262" customFormat="1" ht="15" customHeight="1" x14ac:dyDescent="0.2">
      <c r="A235" s="168" t="s">
        <v>731</v>
      </c>
      <c r="B235" s="391" t="s">
        <v>37</v>
      </c>
      <c r="C235" s="391">
        <v>5400</v>
      </c>
      <c r="D235" s="391" t="s">
        <v>120</v>
      </c>
      <c r="E235" s="3" t="s">
        <v>732</v>
      </c>
      <c r="F235" s="11">
        <v>240</v>
      </c>
      <c r="G235" s="391">
        <v>12</v>
      </c>
      <c r="H235" s="151">
        <v>85</v>
      </c>
      <c r="I235" s="151">
        <v>1020</v>
      </c>
      <c r="J235" s="391" t="s">
        <v>733</v>
      </c>
      <c r="K235" s="262" t="s">
        <v>734</v>
      </c>
      <c r="L235" s="262" t="s">
        <v>735</v>
      </c>
      <c r="M235" s="22" t="s">
        <v>85</v>
      </c>
      <c r="N235" s="22" t="s">
        <v>86</v>
      </c>
      <c r="O235" s="391" t="s">
        <v>85</v>
      </c>
      <c r="P235" s="391" t="s">
        <v>85</v>
      </c>
      <c r="Q235" s="91" t="s">
        <v>124</v>
      </c>
      <c r="R235" s="391">
        <f>SUMIF('Lançamento de Cabos'!$B:$B,Tabela1[[#This Row],[Tag do Cabo]],'Lançamento de Cabos'!$C:$C)</f>
        <v>1200</v>
      </c>
      <c r="S235" s="391">
        <f>VLOOKUP(Tabela1[[#This Row],[Tag do Cabo]],'Diagramas Ligações'!A:V,14,0)</f>
        <v>24</v>
      </c>
      <c r="T235" s="262" t="s">
        <v>706</v>
      </c>
      <c r="U235" s="391">
        <v>2</v>
      </c>
      <c r="V235" s="391"/>
      <c r="W235" s="391" t="s">
        <v>736</v>
      </c>
      <c r="X235" s="32">
        <v>44085</v>
      </c>
      <c r="Y235" s="32">
        <v>44089</v>
      </c>
      <c r="Z235" s="3" t="s">
        <v>708</v>
      </c>
      <c r="AA235" s="45" t="s">
        <v>709</v>
      </c>
      <c r="AB23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5" s="262" t="s">
        <v>407</v>
      </c>
      <c r="AD235" s="391">
        <f>IF(Tabela1[[#This Row],[Qtde. Lançada]]&gt;Tabela1[[#This Row],[Comprimento Total]],Tabela1[[#This Row],[Qtde. Lançada]],Tabela1[[#This Row],[Comprimento Total]])</f>
        <v>1200</v>
      </c>
      <c r="AE235" s="391" t="s">
        <v>92</v>
      </c>
      <c r="AF235" s="391" t="s">
        <v>737</v>
      </c>
      <c r="AG235" s="391">
        <f ca="1">SUMIF('Lançamento de Cabos'!AE:AK,Tabela1[[#This Row],[Tag do Cabo]],'Lançamento de Cabos'!AG:AG)</f>
        <v>0</v>
      </c>
      <c r="AH235" s="29">
        <f>IFERROR(VLOOKUP(Tabela1[[#This Row],[Tag do Cabo]],'Lançamento de Cabos'!AE:AK,7,0),0)</f>
        <v>0</v>
      </c>
      <c r="AI235" s="262" t="s">
        <v>537</v>
      </c>
      <c r="AJ235" s="212" t="s">
        <v>212</v>
      </c>
      <c r="AK235" s="46">
        <v>330702</v>
      </c>
    </row>
    <row r="236" spans="1:37" s="262" customFormat="1" ht="15" customHeight="1" x14ac:dyDescent="0.2">
      <c r="A236" s="168" t="s">
        <v>738</v>
      </c>
      <c r="B236" s="391" t="s">
        <v>37</v>
      </c>
      <c r="C236" s="391">
        <v>480</v>
      </c>
      <c r="D236" s="391" t="s">
        <v>80</v>
      </c>
      <c r="E236" s="3" t="s">
        <v>712</v>
      </c>
      <c r="F236" s="11">
        <v>50</v>
      </c>
      <c r="G236" s="391">
        <v>1</v>
      </c>
      <c r="H236" s="391">
        <v>95</v>
      </c>
      <c r="I236" s="391">
        <v>95</v>
      </c>
      <c r="J236" s="391" t="s">
        <v>733</v>
      </c>
      <c r="K236" s="262" t="s">
        <v>593</v>
      </c>
      <c r="L236" s="262" t="s">
        <v>739</v>
      </c>
      <c r="M236" s="22" t="s">
        <v>85</v>
      </c>
      <c r="N236" s="22" t="s">
        <v>86</v>
      </c>
      <c r="O236" s="391" t="str">
        <f>"Sim"</f>
        <v>Sim</v>
      </c>
      <c r="P236" s="22" t="s">
        <v>86</v>
      </c>
      <c r="Q236" s="91" t="s">
        <v>578</v>
      </c>
      <c r="R236" s="391">
        <f>SUMIF('Lançamento de Cabos'!$B:$B,Tabela1[[#This Row],[Tag do Cabo]],'Lançamento de Cabos'!$C:$C)</f>
        <v>100</v>
      </c>
      <c r="S236" s="391">
        <f>VLOOKUP(Tabela1[[#This Row],[Tag do Cabo]],'Diagramas Ligações'!A:V,14,0)</f>
        <v>6</v>
      </c>
      <c r="T236" s="262" t="s">
        <v>706</v>
      </c>
      <c r="U236" s="391">
        <v>2</v>
      </c>
      <c r="V236" s="391"/>
      <c r="W236" s="391" t="s">
        <v>736</v>
      </c>
      <c r="X236" s="32">
        <v>44097</v>
      </c>
      <c r="Y236" s="32">
        <v>44139</v>
      </c>
      <c r="Z236" s="3" t="s">
        <v>714</v>
      </c>
      <c r="AA236" s="45">
        <v>5</v>
      </c>
      <c r="AB23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6" s="262" t="s">
        <v>407</v>
      </c>
      <c r="AD236" s="391">
        <f>IF(Tabela1[[#This Row],[Qtde. Lançada]]&gt;Tabela1[[#This Row],[Comprimento Total]],Tabela1[[#This Row],[Qtde. Lançada]],Tabela1[[#This Row],[Comprimento Total]])</f>
        <v>100</v>
      </c>
      <c r="AE236" s="391" t="s">
        <v>92</v>
      </c>
      <c r="AF236" s="391" t="s">
        <v>737</v>
      </c>
      <c r="AG236" s="391">
        <f ca="1">SUMIF('Lançamento de Cabos'!AE:AK,Tabela1[[#This Row],[Tag do Cabo]],'Lançamento de Cabos'!AG:AG)</f>
        <v>0</v>
      </c>
      <c r="AH236" s="29">
        <f>IFERROR(VLOOKUP(Tabela1[[#This Row],[Tag do Cabo]],'Lançamento de Cabos'!AE:AK,7,0),0)</f>
        <v>0</v>
      </c>
      <c r="AI236" s="262" t="s">
        <v>537</v>
      </c>
      <c r="AJ236" s="212" t="s">
        <v>212</v>
      </c>
      <c r="AK236" s="46">
        <v>320724</v>
      </c>
    </row>
    <row r="237" spans="1:37" s="262" customFormat="1" ht="15" customHeight="1" x14ac:dyDescent="0.2">
      <c r="A237" s="168" t="s">
        <v>740</v>
      </c>
      <c r="B237" s="391" t="s">
        <v>37</v>
      </c>
      <c r="C237" s="391">
        <v>480</v>
      </c>
      <c r="D237" s="391" t="s">
        <v>80</v>
      </c>
      <c r="E237" s="3" t="s">
        <v>712</v>
      </c>
      <c r="F237" s="11">
        <v>50</v>
      </c>
      <c r="G237" s="391">
        <v>1</v>
      </c>
      <c r="H237" s="391">
        <v>95</v>
      </c>
      <c r="I237" s="391">
        <v>95</v>
      </c>
      <c r="J237" s="391" t="s">
        <v>733</v>
      </c>
      <c r="K237" s="262" t="s">
        <v>593</v>
      </c>
      <c r="L237" s="262" t="s">
        <v>741</v>
      </c>
      <c r="M237" s="22" t="s">
        <v>85</v>
      </c>
      <c r="N237" s="22" t="s">
        <v>86</v>
      </c>
      <c r="O237" s="391" t="str">
        <f>"Sim"</f>
        <v>Sim</v>
      </c>
      <c r="P237" s="22" t="s">
        <v>86</v>
      </c>
      <c r="Q237" s="91" t="s">
        <v>578</v>
      </c>
      <c r="R237" s="391">
        <f>SUMIF('Lançamento de Cabos'!$B:$B,Tabela1[[#This Row],[Tag do Cabo]],'Lançamento de Cabos'!$C:$C)</f>
        <v>100</v>
      </c>
      <c r="S237" s="391">
        <f>VLOOKUP(Tabela1[[#This Row],[Tag do Cabo]],'Diagramas Ligações'!A:V,14,0)</f>
        <v>6</v>
      </c>
      <c r="T237" s="262" t="s">
        <v>706</v>
      </c>
      <c r="U237" s="391">
        <v>2</v>
      </c>
      <c r="V237" s="391"/>
      <c r="W237" s="391" t="s">
        <v>736</v>
      </c>
      <c r="X237" s="32">
        <v>44097</v>
      </c>
      <c r="Y237" s="32">
        <v>44139</v>
      </c>
      <c r="Z237" s="3" t="s">
        <v>714</v>
      </c>
      <c r="AA237" s="45">
        <v>5</v>
      </c>
      <c r="AB23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7" s="262" t="s">
        <v>407</v>
      </c>
      <c r="AD237" s="391">
        <f>IF(Tabela1[[#This Row],[Qtde. Lançada]]&gt;Tabela1[[#This Row],[Comprimento Total]],Tabela1[[#This Row],[Qtde. Lançada]],Tabela1[[#This Row],[Comprimento Total]])</f>
        <v>100</v>
      </c>
      <c r="AE237" s="391" t="s">
        <v>92</v>
      </c>
      <c r="AF237" s="391" t="s">
        <v>737</v>
      </c>
      <c r="AG237" s="391">
        <f ca="1">SUMIF('Lançamento de Cabos'!AE:AK,Tabela1[[#This Row],[Tag do Cabo]],'Lançamento de Cabos'!AG:AG)</f>
        <v>0</v>
      </c>
      <c r="AH237" s="29">
        <f>IFERROR(VLOOKUP(Tabela1[[#This Row],[Tag do Cabo]],'Lançamento de Cabos'!AE:AK,7,0),0)</f>
        <v>0</v>
      </c>
      <c r="AI237" s="262" t="s">
        <v>537</v>
      </c>
      <c r="AJ237" s="212" t="s">
        <v>212</v>
      </c>
      <c r="AK237" s="46">
        <v>320724</v>
      </c>
    </row>
    <row r="238" spans="1:37" s="262" customFormat="1" ht="15" customHeight="1" x14ac:dyDescent="0.2">
      <c r="A238" s="168" t="s">
        <v>742</v>
      </c>
      <c r="B238" s="391" t="s">
        <v>37</v>
      </c>
      <c r="C238" s="391">
        <v>480</v>
      </c>
      <c r="D238" s="391" t="s">
        <v>80</v>
      </c>
      <c r="E238" s="3" t="s">
        <v>712</v>
      </c>
      <c r="F238" s="11">
        <v>50</v>
      </c>
      <c r="G238" s="391">
        <v>1</v>
      </c>
      <c r="H238" s="391">
        <v>95</v>
      </c>
      <c r="I238" s="391">
        <v>95</v>
      </c>
      <c r="J238" s="391" t="s">
        <v>733</v>
      </c>
      <c r="K238" s="262" t="s">
        <v>593</v>
      </c>
      <c r="L238" s="262" t="s">
        <v>743</v>
      </c>
      <c r="M238" s="22" t="s">
        <v>85</v>
      </c>
      <c r="N238" s="22" t="s">
        <v>86</v>
      </c>
      <c r="O238" s="391" t="str">
        <f>"Sim"</f>
        <v>Sim</v>
      </c>
      <c r="P238" s="22" t="s">
        <v>86</v>
      </c>
      <c r="Q238" s="91" t="s">
        <v>578</v>
      </c>
      <c r="R238" s="391">
        <f>SUMIF('Lançamento de Cabos'!$B:$B,Tabela1[[#This Row],[Tag do Cabo]],'Lançamento de Cabos'!$C:$C)</f>
        <v>100</v>
      </c>
      <c r="S238" s="391">
        <f>VLOOKUP(Tabela1[[#This Row],[Tag do Cabo]],'Diagramas Ligações'!A:V,14,0)</f>
        <v>6</v>
      </c>
      <c r="T238" s="262" t="s">
        <v>706</v>
      </c>
      <c r="U238" s="391">
        <v>2</v>
      </c>
      <c r="V238" s="391"/>
      <c r="W238" s="391" t="s">
        <v>736</v>
      </c>
      <c r="X238" s="32">
        <v>44097</v>
      </c>
      <c r="Y238" s="32">
        <v>44139</v>
      </c>
      <c r="Z238" s="3" t="s">
        <v>714</v>
      </c>
      <c r="AA238" s="45">
        <v>201</v>
      </c>
      <c r="AB23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8" s="262" t="s">
        <v>407</v>
      </c>
      <c r="AD238" s="391">
        <f>IF(Tabela1[[#This Row],[Qtde. Lançada]]&gt;Tabela1[[#This Row],[Comprimento Total]],Tabela1[[#This Row],[Qtde. Lançada]],Tabela1[[#This Row],[Comprimento Total]])</f>
        <v>100</v>
      </c>
      <c r="AE238" s="391" t="s">
        <v>92</v>
      </c>
      <c r="AF238" s="391" t="s">
        <v>737</v>
      </c>
      <c r="AG238" s="391">
        <f ca="1">SUMIF('Lançamento de Cabos'!AE:AK,Tabela1[[#This Row],[Tag do Cabo]],'Lançamento de Cabos'!AG:AG)</f>
        <v>0</v>
      </c>
      <c r="AH238" s="29">
        <f>IFERROR(VLOOKUP(Tabela1[[#This Row],[Tag do Cabo]],'Lançamento de Cabos'!AE:AK,7,0),0)</f>
        <v>0</v>
      </c>
      <c r="AI238" s="262" t="s">
        <v>537</v>
      </c>
      <c r="AJ238" s="212" t="s">
        <v>212</v>
      </c>
      <c r="AK238" s="46">
        <v>320724</v>
      </c>
    </row>
    <row r="239" spans="1:37" s="262" customFormat="1" ht="15" customHeight="1" x14ac:dyDescent="0.2">
      <c r="A239" s="168" t="s">
        <v>744</v>
      </c>
      <c r="B239" s="391" t="s">
        <v>37</v>
      </c>
      <c r="C239" s="391">
        <v>480</v>
      </c>
      <c r="D239" s="391" t="s">
        <v>80</v>
      </c>
      <c r="E239" s="3" t="s">
        <v>712</v>
      </c>
      <c r="F239" s="11">
        <v>50</v>
      </c>
      <c r="G239" s="391">
        <v>1</v>
      </c>
      <c r="H239" s="391">
        <v>95</v>
      </c>
      <c r="I239" s="391">
        <v>95</v>
      </c>
      <c r="J239" s="391" t="s">
        <v>733</v>
      </c>
      <c r="K239" s="262" t="s">
        <v>593</v>
      </c>
      <c r="L239" s="262" t="s">
        <v>745</v>
      </c>
      <c r="M239" s="22" t="s">
        <v>85</v>
      </c>
      <c r="N239" s="22" t="s">
        <v>86</v>
      </c>
      <c r="O239" s="391" t="str">
        <f>"Sim"</f>
        <v>Sim</v>
      </c>
      <c r="P239" s="22" t="s">
        <v>86</v>
      </c>
      <c r="Q239" s="91" t="s">
        <v>578</v>
      </c>
      <c r="R239" s="391">
        <f>SUMIF('Lançamento de Cabos'!$B:$B,Tabela1[[#This Row],[Tag do Cabo]],'Lançamento de Cabos'!$C:$C)</f>
        <v>100</v>
      </c>
      <c r="S239" s="391">
        <f>VLOOKUP(Tabela1[[#This Row],[Tag do Cabo]],'Diagramas Ligações'!A:V,14,0)</f>
        <v>6</v>
      </c>
      <c r="T239" s="262" t="s">
        <v>706</v>
      </c>
      <c r="U239" s="391">
        <v>2</v>
      </c>
      <c r="V239" s="391"/>
      <c r="W239" s="391" t="s">
        <v>736</v>
      </c>
      <c r="X239" s="32">
        <v>44097</v>
      </c>
      <c r="Y239" s="32">
        <v>44139</v>
      </c>
      <c r="Z239" s="3" t="s">
        <v>714</v>
      </c>
      <c r="AA239" s="45">
        <v>201</v>
      </c>
      <c r="AB23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39" s="262" t="s">
        <v>407</v>
      </c>
      <c r="AD239" s="391">
        <f>IF(Tabela1[[#This Row],[Qtde. Lançada]]&gt;Tabela1[[#This Row],[Comprimento Total]],Tabela1[[#This Row],[Qtde. Lançada]],Tabela1[[#This Row],[Comprimento Total]])</f>
        <v>100</v>
      </c>
      <c r="AE239" s="391" t="s">
        <v>92</v>
      </c>
      <c r="AF239" s="391" t="s">
        <v>737</v>
      </c>
      <c r="AG239" s="391">
        <f ca="1">SUMIF('Lançamento de Cabos'!AE:AK,Tabela1[[#This Row],[Tag do Cabo]],'Lançamento de Cabos'!AG:AG)</f>
        <v>0</v>
      </c>
      <c r="AH239" s="29">
        <f>IFERROR(VLOOKUP(Tabela1[[#This Row],[Tag do Cabo]],'Lançamento de Cabos'!AE:AK,7,0),0)</f>
        <v>0</v>
      </c>
      <c r="AI239" s="262" t="s">
        <v>537</v>
      </c>
      <c r="AJ239" s="212" t="s">
        <v>212</v>
      </c>
      <c r="AK239" s="46">
        <v>320724</v>
      </c>
    </row>
    <row r="240" spans="1:37" s="262" customFormat="1" ht="15" customHeight="1" x14ac:dyDescent="0.2">
      <c r="A240" s="168" t="s">
        <v>746</v>
      </c>
      <c r="B240" s="391" t="s">
        <v>37</v>
      </c>
      <c r="C240" s="391">
        <v>480</v>
      </c>
      <c r="D240" s="391" t="s">
        <v>80</v>
      </c>
      <c r="E240" s="3" t="s">
        <v>747</v>
      </c>
      <c r="F240" s="11">
        <v>4</v>
      </c>
      <c r="G240" s="391">
        <v>1</v>
      </c>
      <c r="H240" s="391">
        <v>100</v>
      </c>
      <c r="I240" s="391">
        <v>100</v>
      </c>
      <c r="J240" s="391" t="s">
        <v>733</v>
      </c>
      <c r="K240" s="262" t="s">
        <v>593</v>
      </c>
      <c r="L240" s="262" t="s">
        <v>748</v>
      </c>
      <c r="M240" s="22" t="s">
        <v>85</v>
      </c>
      <c r="N240" s="22" t="s">
        <v>86</v>
      </c>
      <c r="O240" s="391" t="str">
        <f>"Sim"</f>
        <v>Sim</v>
      </c>
      <c r="P240" s="22" t="s">
        <v>86</v>
      </c>
      <c r="Q240" s="91" t="s">
        <v>87</v>
      </c>
      <c r="R240" s="391">
        <f>SUMIF('Lançamento de Cabos'!$B:$B,Tabela1[[#This Row],[Tag do Cabo]],'Lançamento de Cabos'!$C:$C)</f>
        <v>100</v>
      </c>
      <c r="S240" s="391">
        <f>VLOOKUP(Tabela1[[#This Row],[Tag do Cabo]],'Diagramas Ligações'!A:V,14,0)</f>
        <v>6</v>
      </c>
      <c r="T240" s="262" t="s">
        <v>706</v>
      </c>
      <c r="U240" s="391">
        <v>2</v>
      </c>
      <c r="V240" s="391" t="s">
        <v>140</v>
      </c>
      <c r="W240" s="391" t="s">
        <v>736</v>
      </c>
      <c r="X240" s="32">
        <v>44097</v>
      </c>
      <c r="Y240" s="32">
        <v>44144</v>
      </c>
      <c r="Z240" s="3" t="s">
        <v>749</v>
      </c>
      <c r="AA240" s="45">
        <v>203</v>
      </c>
      <c r="AB24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0" s="262" t="s">
        <v>407</v>
      </c>
      <c r="AD240" s="391">
        <f>IF(Tabela1[[#This Row],[Qtde. Lançada]]&gt;Tabela1[[#This Row],[Comprimento Total]],Tabela1[[#This Row],[Qtde. Lançada]],Tabela1[[#This Row],[Comprimento Total]])</f>
        <v>100</v>
      </c>
      <c r="AE240" s="391" t="s">
        <v>92</v>
      </c>
      <c r="AF240" s="391" t="s">
        <v>737</v>
      </c>
      <c r="AG240" s="391">
        <f ca="1">SUMIF('Lançamento de Cabos'!AE:AK,Tabela1[[#This Row],[Tag do Cabo]],'Lançamento de Cabos'!AG:AG)</f>
        <v>0</v>
      </c>
      <c r="AH240" s="29">
        <f>IFERROR(VLOOKUP(Tabela1[[#This Row],[Tag do Cabo]],'Lançamento de Cabos'!AE:AK,7,0),0)</f>
        <v>0</v>
      </c>
      <c r="AI240" s="262" t="s">
        <v>537</v>
      </c>
      <c r="AJ240" s="212" t="s">
        <v>212</v>
      </c>
      <c r="AK240" s="46">
        <v>320680</v>
      </c>
    </row>
    <row r="241" spans="1:37" s="262" customFormat="1" ht="15" customHeight="1" x14ac:dyDescent="0.2">
      <c r="A241" s="168" t="s">
        <v>750</v>
      </c>
      <c r="B241" s="391" t="s">
        <v>37</v>
      </c>
      <c r="C241" s="391">
        <v>127</v>
      </c>
      <c r="D241" s="391" t="s">
        <v>80</v>
      </c>
      <c r="E241" s="3" t="s">
        <v>718</v>
      </c>
      <c r="F241" s="11">
        <v>2.5</v>
      </c>
      <c r="G241" s="391">
        <v>1</v>
      </c>
      <c r="H241" s="391">
        <v>100</v>
      </c>
      <c r="I241" s="391">
        <v>100</v>
      </c>
      <c r="J241" s="391" t="s">
        <v>733</v>
      </c>
      <c r="K241" s="262" t="s">
        <v>719</v>
      </c>
      <c r="L241" s="262" t="s">
        <v>751</v>
      </c>
      <c r="M241" s="22" t="s">
        <v>85</v>
      </c>
      <c r="N241" s="391" t="str">
        <f>"Sim"</f>
        <v>Sim</v>
      </c>
      <c r="O241" s="22" t="s">
        <v>86</v>
      </c>
      <c r="P241" s="22" t="s">
        <v>86</v>
      </c>
      <c r="Q241" s="91" t="s">
        <v>721</v>
      </c>
      <c r="R241" s="391">
        <f>SUMIF('Lançamento de Cabos'!$B:$B,Tabela1[[#This Row],[Tag do Cabo]],'Lançamento de Cabos'!$C:$C)</f>
        <v>100</v>
      </c>
      <c r="S241" s="391">
        <f>VLOOKUP(Tabela1[[#This Row],[Tag do Cabo]],'Diagramas Ligações'!A:V,14,0)</f>
        <v>4</v>
      </c>
      <c r="T241" s="262" t="s">
        <v>706</v>
      </c>
      <c r="U241" s="391">
        <v>2</v>
      </c>
      <c r="V241" s="391"/>
      <c r="W241" s="391" t="s">
        <v>736</v>
      </c>
      <c r="X241" s="32">
        <v>44097</v>
      </c>
      <c r="Y241" s="32">
        <v>44135</v>
      </c>
      <c r="Z241" s="3" t="s">
        <v>722</v>
      </c>
      <c r="AA241" s="45">
        <v>200</v>
      </c>
      <c r="AB24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1" s="262" t="s">
        <v>407</v>
      </c>
      <c r="AD241" s="391">
        <f>IF(Tabela1[[#This Row],[Qtde. Lançada]]&gt;Tabela1[[#This Row],[Comprimento Total]],Tabela1[[#This Row],[Qtde. Lançada]],Tabela1[[#This Row],[Comprimento Total]])</f>
        <v>100</v>
      </c>
      <c r="AE241" s="391" t="s">
        <v>92</v>
      </c>
      <c r="AF241" s="391" t="s">
        <v>737</v>
      </c>
      <c r="AG241" s="391">
        <f ca="1">SUMIF('Lançamento de Cabos'!AE:AK,Tabela1[[#This Row],[Tag do Cabo]],'Lançamento de Cabos'!AG:AG)</f>
        <v>0</v>
      </c>
      <c r="AH241" s="29">
        <f>IFERROR(VLOOKUP(Tabela1[[#This Row],[Tag do Cabo]],'Lançamento de Cabos'!AE:AK,7,0),0)</f>
        <v>0</v>
      </c>
      <c r="AI241" s="262" t="s">
        <v>537</v>
      </c>
      <c r="AJ241" s="212" t="s">
        <v>212</v>
      </c>
      <c r="AK241" s="46">
        <v>932948</v>
      </c>
    </row>
    <row r="242" spans="1:37" s="262" customFormat="1" ht="15" customHeight="1" x14ac:dyDescent="0.2">
      <c r="A242" s="168" t="s">
        <v>752</v>
      </c>
      <c r="B242" s="391" t="s">
        <v>37</v>
      </c>
      <c r="C242" s="391">
        <v>127</v>
      </c>
      <c r="D242" s="391" t="s">
        <v>80</v>
      </c>
      <c r="E242" s="3" t="s">
        <v>718</v>
      </c>
      <c r="F242" s="11">
        <v>2.5</v>
      </c>
      <c r="G242" s="391">
        <v>1</v>
      </c>
      <c r="H242" s="391">
        <v>100</v>
      </c>
      <c r="I242" s="391">
        <v>100</v>
      </c>
      <c r="J242" s="391" t="s">
        <v>733</v>
      </c>
      <c r="K242" s="262" t="s">
        <v>719</v>
      </c>
      <c r="L242" s="262" t="s">
        <v>753</v>
      </c>
      <c r="M242" s="22" t="s">
        <v>85</v>
      </c>
      <c r="N242" s="391" t="str">
        <f>"Sim"</f>
        <v>Sim</v>
      </c>
      <c r="O242" s="22" t="s">
        <v>86</v>
      </c>
      <c r="P242" s="22" t="s">
        <v>86</v>
      </c>
      <c r="Q242" s="91" t="s">
        <v>721</v>
      </c>
      <c r="R242" s="391">
        <f>SUMIF('Lançamento de Cabos'!$B:$B,Tabela1[[#This Row],[Tag do Cabo]],'Lançamento de Cabos'!$C:$C)</f>
        <v>100</v>
      </c>
      <c r="S242" s="391">
        <f>VLOOKUP(Tabela1[[#This Row],[Tag do Cabo]],'Diagramas Ligações'!A:V,14,0)</f>
        <v>4</v>
      </c>
      <c r="T242" s="262" t="s">
        <v>706</v>
      </c>
      <c r="U242" s="391">
        <v>2</v>
      </c>
      <c r="V242" s="391"/>
      <c r="W242" s="391" t="s">
        <v>736</v>
      </c>
      <c r="X242" s="32">
        <v>44097</v>
      </c>
      <c r="Y242" s="32">
        <v>44135</v>
      </c>
      <c r="Z242" s="3" t="s">
        <v>722</v>
      </c>
      <c r="AA242" s="45">
        <v>200</v>
      </c>
      <c r="AB24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2" s="262" t="s">
        <v>407</v>
      </c>
      <c r="AD242" s="391">
        <f>IF(Tabela1[[#This Row],[Qtde. Lançada]]&gt;Tabela1[[#This Row],[Comprimento Total]],Tabela1[[#This Row],[Qtde. Lançada]],Tabela1[[#This Row],[Comprimento Total]])</f>
        <v>100</v>
      </c>
      <c r="AE242" s="391" t="s">
        <v>92</v>
      </c>
      <c r="AF242" s="391" t="s">
        <v>737</v>
      </c>
      <c r="AG242" s="391">
        <f ca="1">SUMIF('Lançamento de Cabos'!AE:AK,Tabela1[[#This Row],[Tag do Cabo]],'Lançamento de Cabos'!AG:AG)</f>
        <v>0</v>
      </c>
      <c r="AH242" s="29">
        <f>IFERROR(VLOOKUP(Tabela1[[#This Row],[Tag do Cabo]],'Lançamento de Cabos'!AE:AK,7,0),0)</f>
        <v>0</v>
      </c>
      <c r="AI242" s="262" t="s">
        <v>537</v>
      </c>
      <c r="AJ242" s="212" t="s">
        <v>212</v>
      </c>
      <c r="AK242" s="46">
        <v>932948</v>
      </c>
    </row>
    <row r="243" spans="1:37" s="262" customFormat="1" ht="15" customHeight="1" x14ac:dyDescent="0.2">
      <c r="A243" s="168" t="s">
        <v>754</v>
      </c>
      <c r="B243" s="391" t="s">
        <v>37</v>
      </c>
      <c r="C243" s="391">
        <v>127</v>
      </c>
      <c r="D243" s="391" t="s">
        <v>80</v>
      </c>
      <c r="E243" s="3" t="s">
        <v>718</v>
      </c>
      <c r="F243" s="11">
        <v>2.5</v>
      </c>
      <c r="G243" s="391">
        <v>1</v>
      </c>
      <c r="H243" s="391">
        <v>100</v>
      </c>
      <c r="I243" s="391">
        <v>100</v>
      </c>
      <c r="J243" s="391" t="s">
        <v>733</v>
      </c>
      <c r="K243" s="262" t="s">
        <v>719</v>
      </c>
      <c r="L243" s="262" t="s">
        <v>755</v>
      </c>
      <c r="M243" s="22" t="s">
        <v>85</v>
      </c>
      <c r="N243" s="391" t="str">
        <f>"Sim"</f>
        <v>Sim</v>
      </c>
      <c r="O243" s="22" t="s">
        <v>86</v>
      </c>
      <c r="P243" s="22" t="s">
        <v>86</v>
      </c>
      <c r="Q243" s="91" t="s">
        <v>721</v>
      </c>
      <c r="R243" s="391">
        <f>SUMIF('Lançamento de Cabos'!$B:$B,Tabela1[[#This Row],[Tag do Cabo]],'Lançamento de Cabos'!$C:$C)</f>
        <v>100</v>
      </c>
      <c r="S243" s="391">
        <f>VLOOKUP(Tabela1[[#This Row],[Tag do Cabo]],'Diagramas Ligações'!A:V,14,0)</f>
        <v>4</v>
      </c>
      <c r="T243" s="262" t="s">
        <v>706</v>
      </c>
      <c r="U243" s="391">
        <v>2</v>
      </c>
      <c r="V243" s="391"/>
      <c r="W243" s="391" t="s">
        <v>736</v>
      </c>
      <c r="X243" s="32">
        <v>44097</v>
      </c>
      <c r="Y243" s="32">
        <v>44135</v>
      </c>
      <c r="Z243" s="3" t="s">
        <v>722</v>
      </c>
      <c r="AA243" s="45">
        <v>200</v>
      </c>
      <c r="AB24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3" s="262" t="s">
        <v>407</v>
      </c>
      <c r="AD243" s="391">
        <f>IF(Tabela1[[#This Row],[Qtde. Lançada]]&gt;Tabela1[[#This Row],[Comprimento Total]],Tabela1[[#This Row],[Qtde. Lançada]],Tabela1[[#This Row],[Comprimento Total]])</f>
        <v>100</v>
      </c>
      <c r="AE243" s="391" t="s">
        <v>92</v>
      </c>
      <c r="AF243" s="391" t="s">
        <v>737</v>
      </c>
      <c r="AG243" s="391">
        <f ca="1">SUMIF('Lançamento de Cabos'!AE:AK,Tabela1[[#This Row],[Tag do Cabo]],'Lançamento de Cabos'!AG:AG)</f>
        <v>0</v>
      </c>
      <c r="AH243" s="29">
        <f>IFERROR(VLOOKUP(Tabela1[[#This Row],[Tag do Cabo]],'Lançamento de Cabos'!AE:AK,7,0),0)</f>
        <v>0</v>
      </c>
      <c r="AI243" s="262" t="s">
        <v>537</v>
      </c>
      <c r="AJ243" s="212" t="s">
        <v>212</v>
      </c>
      <c r="AK243" s="46">
        <v>932948</v>
      </c>
    </row>
    <row r="244" spans="1:37" s="262" customFormat="1" ht="15" customHeight="1" x14ac:dyDescent="0.2">
      <c r="A244" s="168" t="s">
        <v>756</v>
      </c>
      <c r="B244" s="391" t="s">
        <v>37</v>
      </c>
      <c r="C244" s="391">
        <v>127</v>
      </c>
      <c r="D244" s="391" t="s">
        <v>80</v>
      </c>
      <c r="E244" s="3" t="s">
        <v>718</v>
      </c>
      <c r="F244" s="11">
        <v>2.5</v>
      </c>
      <c r="G244" s="391">
        <v>1</v>
      </c>
      <c r="H244" s="391">
        <v>100</v>
      </c>
      <c r="I244" s="391">
        <v>100</v>
      </c>
      <c r="J244" s="391" t="s">
        <v>733</v>
      </c>
      <c r="K244" s="262" t="s">
        <v>719</v>
      </c>
      <c r="L244" s="262" t="s">
        <v>757</v>
      </c>
      <c r="M244" s="22" t="s">
        <v>85</v>
      </c>
      <c r="N244" s="391" t="str">
        <f>"Sim"</f>
        <v>Sim</v>
      </c>
      <c r="O244" s="22" t="s">
        <v>86</v>
      </c>
      <c r="P244" s="22" t="s">
        <v>86</v>
      </c>
      <c r="Q244" s="91" t="s">
        <v>721</v>
      </c>
      <c r="R244" s="391">
        <f>SUMIF('Lançamento de Cabos'!$B:$B,Tabela1[[#This Row],[Tag do Cabo]],'Lançamento de Cabos'!$C:$C)</f>
        <v>100</v>
      </c>
      <c r="S244" s="391">
        <f>VLOOKUP(Tabela1[[#This Row],[Tag do Cabo]],'Diagramas Ligações'!A:V,14,0)</f>
        <v>4</v>
      </c>
      <c r="T244" s="262" t="s">
        <v>706</v>
      </c>
      <c r="U244" s="391">
        <v>2</v>
      </c>
      <c r="V244" s="391"/>
      <c r="W244" s="391" t="s">
        <v>736</v>
      </c>
      <c r="X244" s="32">
        <v>44097</v>
      </c>
      <c r="Y244" s="32">
        <v>44135</v>
      </c>
      <c r="Z244" s="3" t="s">
        <v>722</v>
      </c>
      <c r="AA244" s="45">
        <v>200</v>
      </c>
      <c r="AB24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4" s="262" t="s">
        <v>407</v>
      </c>
      <c r="AD244" s="391">
        <f>IF(Tabela1[[#This Row],[Qtde. Lançada]]&gt;Tabela1[[#This Row],[Comprimento Total]],Tabela1[[#This Row],[Qtde. Lançada]],Tabela1[[#This Row],[Comprimento Total]])</f>
        <v>100</v>
      </c>
      <c r="AE244" s="391" t="s">
        <v>92</v>
      </c>
      <c r="AF244" s="391" t="s">
        <v>737</v>
      </c>
      <c r="AG244" s="391">
        <f ca="1">SUMIF('Lançamento de Cabos'!AE:AK,Tabela1[[#This Row],[Tag do Cabo]],'Lançamento de Cabos'!AG:AG)</f>
        <v>0</v>
      </c>
      <c r="AH244" s="29">
        <f>IFERROR(VLOOKUP(Tabela1[[#This Row],[Tag do Cabo]],'Lançamento de Cabos'!AE:AK,7,0),0)</f>
        <v>0</v>
      </c>
      <c r="AI244" s="262" t="s">
        <v>537</v>
      </c>
      <c r="AJ244" s="212" t="s">
        <v>212</v>
      </c>
      <c r="AK244" s="46">
        <v>932948</v>
      </c>
    </row>
    <row r="245" spans="1:37" s="262" customFormat="1" ht="15" customHeight="1" x14ac:dyDescent="0.2">
      <c r="A245" s="168" t="s">
        <v>758</v>
      </c>
      <c r="B245" s="391" t="s">
        <v>37</v>
      </c>
      <c r="C245" s="391">
        <v>127</v>
      </c>
      <c r="D245" s="391" t="s">
        <v>80</v>
      </c>
      <c r="E245" s="3" t="s">
        <v>718</v>
      </c>
      <c r="F245" s="11">
        <v>2.5</v>
      </c>
      <c r="G245" s="391">
        <v>1</v>
      </c>
      <c r="H245" s="391">
        <v>100</v>
      </c>
      <c r="I245" s="391">
        <v>100</v>
      </c>
      <c r="J245" s="391" t="s">
        <v>733</v>
      </c>
      <c r="K245" s="262" t="s">
        <v>719</v>
      </c>
      <c r="L245" s="262" t="s">
        <v>759</v>
      </c>
      <c r="M245" s="22" t="s">
        <v>85</v>
      </c>
      <c r="N245" s="391" t="str">
        <f>"Sim"</f>
        <v>Sim</v>
      </c>
      <c r="O245" s="22" t="s">
        <v>86</v>
      </c>
      <c r="P245" s="22" t="s">
        <v>86</v>
      </c>
      <c r="Q245" s="91" t="s">
        <v>721</v>
      </c>
      <c r="R245" s="391">
        <f>SUMIF('Lançamento de Cabos'!$B:$B,Tabela1[[#This Row],[Tag do Cabo]],'Lançamento de Cabos'!$C:$C)</f>
        <v>100</v>
      </c>
      <c r="S245" s="391">
        <f>VLOOKUP(Tabela1[[#This Row],[Tag do Cabo]],'Diagramas Ligações'!A:V,14,0)</f>
        <v>4</v>
      </c>
      <c r="T245" s="262" t="s">
        <v>706</v>
      </c>
      <c r="U245" s="391">
        <v>2</v>
      </c>
      <c r="V245" s="391"/>
      <c r="W245" s="391" t="s">
        <v>736</v>
      </c>
      <c r="X245" s="32">
        <v>44097</v>
      </c>
      <c r="Y245" s="32">
        <v>44135</v>
      </c>
      <c r="Z245" s="3" t="s">
        <v>722</v>
      </c>
      <c r="AA245" s="45">
        <v>200</v>
      </c>
      <c r="AB24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5" s="262" t="s">
        <v>407</v>
      </c>
      <c r="AD245" s="391">
        <f>IF(Tabela1[[#This Row],[Qtde. Lançada]]&gt;Tabela1[[#This Row],[Comprimento Total]],Tabela1[[#This Row],[Qtde. Lançada]],Tabela1[[#This Row],[Comprimento Total]])</f>
        <v>100</v>
      </c>
      <c r="AE245" s="391" t="s">
        <v>92</v>
      </c>
      <c r="AF245" s="391" t="s">
        <v>737</v>
      </c>
      <c r="AG245" s="391">
        <f ca="1">SUMIF('Lançamento de Cabos'!AE:AK,Tabela1[[#This Row],[Tag do Cabo]],'Lançamento de Cabos'!AG:AG)</f>
        <v>0</v>
      </c>
      <c r="AH245" s="29">
        <f>IFERROR(VLOOKUP(Tabela1[[#This Row],[Tag do Cabo]],'Lançamento de Cabos'!AE:AK,7,0),0)</f>
        <v>0</v>
      </c>
      <c r="AI245" s="262" t="s">
        <v>537</v>
      </c>
      <c r="AJ245" s="212" t="s">
        <v>212</v>
      </c>
      <c r="AK245" s="46">
        <v>932948</v>
      </c>
    </row>
    <row r="246" spans="1:37" s="262" customFormat="1" ht="15" customHeight="1" x14ac:dyDescent="0.2">
      <c r="A246" s="168" t="s">
        <v>760</v>
      </c>
      <c r="B246" s="391" t="s">
        <v>37</v>
      </c>
      <c r="C246" s="391">
        <v>5400</v>
      </c>
      <c r="D246" s="391" t="s">
        <v>120</v>
      </c>
      <c r="E246" s="3" t="s">
        <v>761</v>
      </c>
      <c r="F246" s="11">
        <v>240</v>
      </c>
      <c r="G246" s="391">
        <v>12</v>
      </c>
      <c r="H246" s="391">
        <v>420</v>
      </c>
      <c r="I246" s="391">
        <v>5040</v>
      </c>
      <c r="J246" s="391" t="s">
        <v>762</v>
      </c>
      <c r="K246" s="262" t="s">
        <v>763</v>
      </c>
      <c r="L246" s="262" t="s">
        <v>764</v>
      </c>
      <c r="M246" s="22" t="s">
        <v>85</v>
      </c>
      <c r="N246" s="22" t="s">
        <v>86</v>
      </c>
      <c r="O246" s="391" t="s">
        <v>85</v>
      </c>
      <c r="P246" s="391" t="s">
        <v>85</v>
      </c>
      <c r="Q246" s="91" t="s">
        <v>124</v>
      </c>
      <c r="R246" s="391">
        <f>SUMIF('Lançamento de Cabos'!$B:$B,Tabela1[[#This Row],[Tag do Cabo]],'Lançamento de Cabos'!$C:$C)</f>
        <v>5040</v>
      </c>
      <c r="S246" s="391">
        <f>VLOOKUP(Tabela1[[#This Row],[Tag do Cabo]],'Diagramas Ligações'!A:V,14,0)</f>
        <v>24</v>
      </c>
      <c r="T246" s="262" t="s">
        <v>706</v>
      </c>
      <c r="U246" s="391">
        <v>2</v>
      </c>
      <c r="V246" s="391"/>
      <c r="W246" s="391" t="s">
        <v>765</v>
      </c>
      <c r="X246" s="32">
        <v>44144</v>
      </c>
      <c r="Y246" s="32">
        <v>44146</v>
      </c>
      <c r="Z246" s="3" t="s">
        <v>766</v>
      </c>
      <c r="AA246" s="88" t="s">
        <v>767</v>
      </c>
      <c r="AB24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6" s="262" t="s">
        <v>327</v>
      </c>
      <c r="AD246" s="391">
        <f>IF(Tabela1[[#This Row],[Qtde. Lançada]]&gt;Tabela1[[#This Row],[Comprimento Total]],Tabela1[[#This Row],[Qtde. Lançada]],Tabela1[[#This Row],[Comprimento Total]])</f>
        <v>5040</v>
      </c>
      <c r="AE246" s="391" t="s">
        <v>92</v>
      </c>
      <c r="AF246" s="391" t="s">
        <v>768</v>
      </c>
      <c r="AG246" s="391">
        <f ca="1">SUMIF('Lançamento de Cabos'!AE:AK,Tabela1[[#This Row],[Tag do Cabo]],'Lançamento de Cabos'!AG:AG)</f>
        <v>0</v>
      </c>
      <c r="AH246" s="29">
        <f>IFERROR(VLOOKUP(Tabela1[[#This Row],[Tag do Cabo]],'Lançamento de Cabos'!AE:AK,7,0),0)</f>
        <v>0</v>
      </c>
      <c r="AI246" s="262" t="s">
        <v>537</v>
      </c>
      <c r="AJ246" s="212" t="s">
        <v>205</v>
      </c>
      <c r="AK246" s="46">
        <v>330702</v>
      </c>
    </row>
    <row r="247" spans="1:37" s="262" customFormat="1" ht="15" customHeight="1" x14ac:dyDescent="0.2">
      <c r="A247" s="168" t="s">
        <v>769</v>
      </c>
      <c r="B247" s="391" t="s">
        <v>37</v>
      </c>
      <c r="C247" s="391">
        <v>480</v>
      </c>
      <c r="D247" s="391" t="s">
        <v>80</v>
      </c>
      <c r="E247" s="3" t="s">
        <v>770</v>
      </c>
      <c r="F247" s="11">
        <v>95</v>
      </c>
      <c r="G247" s="391">
        <v>1</v>
      </c>
      <c r="H247" s="391">
        <v>430</v>
      </c>
      <c r="I247" s="391">
        <v>430</v>
      </c>
      <c r="J247" s="391" t="s">
        <v>762</v>
      </c>
      <c r="K247" s="262" t="s">
        <v>593</v>
      </c>
      <c r="L247" s="262" t="s">
        <v>771</v>
      </c>
      <c r="M247" s="22" t="s">
        <v>85</v>
      </c>
      <c r="N247" s="22" t="s">
        <v>86</v>
      </c>
      <c r="O247" s="391" t="str">
        <f t="shared" ref="O247:O252" si="7">"Sim"</f>
        <v>Sim</v>
      </c>
      <c r="P247" s="22" t="s">
        <v>86</v>
      </c>
      <c r="Q247" s="91" t="s">
        <v>414</v>
      </c>
      <c r="R247" s="391">
        <f>SUMIF('Lançamento de Cabos'!$B:$B,Tabela1[[#This Row],[Tag do Cabo]],'Lançamento de Cabos'!$C:$C)</f>
        <v>430</v>
      </c>
      <c r="S247" s="391">
        <f>VLOOKUP(Tabela1[[#This Row],[Tag do Cabo]],'Diagramas Ligações'!A:V,14,0)</f>
        <v>6</v>
      </c>
      <c r="T247" s="262" t="s">
        <v>706</v>
      </c>
      <c r="U247" s="391">
        <v>2</v>
      </c>
      <c r="V247" s="391"/>
      <c r="W247" s="391" t="s">
        <v>765</v>
      </c>
      <c r="X247" s="32">
        <v>44144</v>
      </c>
      <c r="Y247" s="32">
        <v>44146</v>
      </c>
      <c r="Z247" s="3" t="s">
        <v>766</v>
      </c>
      <c r="AA247" s="45">
        <v>7</v>
      </c>
      <c r="AB24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7" s="262" t="s">
        <v>482</v>
      </c>
      <c r="AD247" s="391">
        <f>IF(Tabela1[[#This Row],[Qtde. Lançada]]&gt;Tabela1[[#This Row],[Comprimento Total]],Tabela1[[#This Row],[Qtde. Lançada]],Tabela1[[#This Row],[Comprimento Total]])</f>
        <v>430</v>
      </c>
      <c r="AE247" s="391" t="s">
        <v>92</v>
      </c>
      <c r="AF247" s="391" t="s">
        <v>768</v>
      </c>
      <c r="AG247" s="391">
        <f ca="1">SUMIF('Lançamento de Cabos'!AE:AK,Tabela1[[#This Row],[Tag do Cabo]],'Lançamento de Cabos'!AG:AG)</f>
        <v>0</v>
      </c>
      <c r="AH247" s="29">
        <f>IFERROR(VLOOKUP(Tabela1[[#This Row],[Tag do Cabo]],'Lançamento de Cabos'!AE:AK,7,0),0)</f>
        <v>0</v>
      </c>
      <c r="AI247" s="262" t="s">
        <v>537</v>
      </c>
      <c r="AJ247" s="212" t="s">
        <v>205</v>
      </c>
      <c r="AK247" s="46">
        <v>337589</v>
      </c>
    </row>
    <row r="248" spans="1:37" s="262" customFormat="1" ht="15" customHeight="1" x14ac:dyDescent="0.2">
      <c r="A248" s="168" t="s">
        <v>772</v>
      </c>
      <c r="B248" s="391" t="s">
        <v>37</v>
      </c>
      <c r="C248" s="391">
        <v>480</v>
      </c>
      <c r="D248" s="391" t="s">
        <v>80</v>
      </c>
      <c r="E248" s="3" t="s">
        <v>770</v>
      </c>
      <c r="F248" s="11">
        <v>95</v>
      </c>
      <c r="G248" s="391">
        <v>1</v>
      </c>
      <c r="H248" s="391">
        <v>420</v>
      </c>
      <c r="I248" s="391">
        <v>420</v>
      </c>
      <c r="J248" s="391" t="s">
        <v>762</v>
      </c>
      <c r="K248" s="262" t="s">
        <v>593</v>
      </c>
      <c r="L248" s="262" t="s">
        <v>773</v>
      </c>
      <c r="M248" s="22" t="s">
        <v>85</v>
      </c>
      <c r="N248" s="22" t="s">
        <v>86</v>
      </c>
      <c r="O248" s="391" t="str">
        <f t="shared" si="7"/>
        <v>Sim</v>
      </c>
      <c r="P248" s="22" t="s">
        <v>86</v>
      </c>
      <c r="Q248" s="91" t="s">
        <v>414</v>
      </c>
      <c r="R248" s="391">
        <f>SUMIF('Lançamento de Cabos'!$B:$B,Tabela1[[#This Row],[Tag do Cabo]],'Lançamento de Cabos'!$C:$C)</f>
        <v>420</v>
      </c>
      <c r="S248" s="391">
        <f>VLOOKUP(Tabela1[[#This Row],[Tag do Cabo]],'Diagramas Ligações'!A:V,14,0)</f>
        <v>6</v>
      </c>
      <c r="T248" s="262" t="s">
        <v>706</v>
      </c>
      <c r="U248" s="391">
        <v>2</v>
      </c>
      <c r="V248" s="391"/>
      <c r="W248" s="391" t="s">
        <v>765</v>
      </c>
      <c r="X248" s="32">
        <v>44144</v>
      </c>
      <c r="Y248" s="32">
        <v>44194</v>
      </c>
      <c r="Z248" s="3" t="s">
        <v>774</v>
      </c>
      <c r="AA248" s="45">
        <v>218</v>
      </c>
      <c r="AB24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8" s="262" t="s">
        <v>482</v>
      </c>
      <c r="AD248" s="391">
        <f>IF(Tabela1[[#This Row],[Qtde. Lançada]]&gt;Tabela1[[#This Row],[Comprimento Total]],Tabela1[[#This Row],[Qtde. Lançada]],Tabela1[[#This Row],[Comprimento Total]])</f>
        <v>420</v>
      </c>
      <c r="AE248" s="391" t="s">
        <v>92</v>
      </c>
      <c r="AF248" s="391" t="s">
        <v>768</v>
      </c>
      <c r="AG248" s="391">
        <f ca="1">SUMIF('Lançamento de Cabos'!AE:AK,Tabela1[[#This Row],[Tag do Cabo]],'Lançamento de Cabos'!AG:AG)</f>
        <v>0</v>
      </c>
      <c r="AH248" s="29">
        <f>IFERROR(VLOOKUP(Tabela1[[#This Row],[Tag do Cabo]],'Lançamento de Cabos'!AE:AK,7,0),0)</f>
        <v>0</v>
      </c>
      <c r="AI248" s="262" t="s">
        <v>537</v>
      </c>
      <c r="AJ248" s="212" t="s">
        <v>205</v>
      </c>
      <c r="AK248" s="46">
        <v>337589</v>
      </c>
    </row>
    <row r="249" spans="1:37" s="262" customFormat="1" ht="15" customHeight="1" x14ac:dyDescent="0.2">
      <c r="A249" s="168" t="s">
        <v>775</v>
      </c>
      <c r="B249" s="391" t="s">
        <v>37</v>
      </c>
      <c r="C249" s="391">
        <v>480</v>
      </c>
      <c r="D249" s="391" t="s">
        <v>80</v>
      </c>
      <c r="E249" s="3" t="s">
        <v>747</v>
      </c>
      <c r="F249" s="11">
        <v>4</v>
      </c>
      <c r="G249" s="391">
        <v>1</v>
      </c>
      <c r="H249" s="391">
        <v>420</v>
      </c>
      <c r="I249" s="391">
        <v>420</v>
      </c>
      <c r="J249" s="391" t="s">
        <v>762</v>
      </c>
      <c r="K249" s="262" t="s">
        <v>593</v>
      </c>
      <c r="L249" s="262" t="s">
        <v>776</v>
      </c>
      <c r="M249" s="22" t="s">
        <v>85</v>
      </c>
      <c r="N249" s="22" t="s">
        <v>86</v>
      </c>
      <c r="O249" s="391" t="str">
        <f t="shared" si="7"/>
        <v>Sim</v>
      </c>
      <c r="P249" s="22" t="s">
        <v>86</v>
      </c>
      <c r="Q249" s="91" t="s">
        <v>87</v>
      </c>
      <c r="R249" s="391">
        <f>SUMIF('Lançamento de Cabos'!$B:$B,Tabela1[[#This Row],[Tag do Cabo]],'Lançamento de Cabos'!$C:$C)</f>
        <v>420</v>
      </c>
      <c r="S249" s="391">
        <f>VLOOKUP(Tabela1[[#This Row],[Tag do Cabo]],'Diagramas Ligações'!A:V,14,0)</f>
        <v>6</v>
      </c>
      <c r="T249" s="262" t="s">
        <v>706</v>
      </c>
      <c r="U249" s="391">
        <v>2</v>
      </c>
      <c r="V249" s="391" t="s">
        <v>140</v>
      </c>
      <c r="W249" s="391" t="s">
        <v>765</v>
      </c>
      <c r="X249" s="32">
        <v>44097</v>
      </c>
      <c r="Y249" s="32">
        <v>44144</v>
      </c>
      <c r="Z249" s="3" t="s">
        <v>749</v>
      </c>
      <c r="AA249" s="45">
        <v>203</v>
      </c>
      <c r="AB24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49" s="262" t="s">
        <v>482</v>
      </c>
      <c r="AD249" s="391">
        <f>IF(Tabela1[[#This Row],[Qtde. Lançada]]&gt;Tabela1[[#This Row],[Comprimento Total]],Tabela1[[#This Row],[Qtde. Lançada]],Tabela1[[#This Row],[Comprimento Total]])</f>
        <v>420</v>
      </c>
      <c r="AE249" s="391" t="s">
        <v>92</v>
      </c>
      <c r="AF249" s="391" t="s">
        <v>768</v>
      </c>
      <c r="AG249" s="391">
        <f ca="1">SUMIF('Lançamento de Cabos'!AE:AK,Tabela1[[#This Row],[Tag do Cabo]],'Lançamento de Cabos'!AG:AG)</f>
        <v>0</v>
      </c>
      <c r="AH249" s="29">
        <f>IFERROR(VLOOKUP(Tabela1[[#This Row],[Tag do Cabo]],'Lançamento de Cabos'!AE:AK,7,0),0)</f>
        <v>0</v>
      </c>
      <c r="AI249" s="262" t="s">
        <v>537</v>
      </c>
      <c r="AJ249" s="212" t="s">
        <v>205</v>
      </c>
      <c r="AK249" s="46">
        <v>320680</v>
      </c>
    </row>
    <row r="250" spans="1:37" s="262" customFormat="1" ht="15" customHeight="1" x14ac:dyDescent="0.2">
      <c r="A250" s="168" t="s">
        <v>777</v>
      </c>
      <c r="B250" s="391" t="s">
        <v>37</v>
      </c>
      <c r="C250" s="391">
        <v>127</v>
      </c>
      <c r="D250" s="391" t="s">
        <v>80</v>
      </c>
      <c r="E250" s="3" t="s">
        <v>778</v>
      </c>
      <c r="F250" s="11">
        <v>10</v>
      </c>
      <c r="G250" s="391">
        <v>1</v>
      </c>
      <c r="H250" s="391">
        <v>420</v>
      </c>
      <c r="I250" s="391">
        <v>420</v>
      </c>
      <c r="J250" s="391" t="s">
        <v>762</v>
      </c>
      <c r="K250" s="262" t="s">
        <v>719</v>
      </c>
      <c r="L250" s="262" t="s">
        <v>779</v>
      </c>
      <c r="M250" s="22" t="s">
        <v>85</v>
      </c>
      <c r="N250" s="22" t="s">
        <v>86</v>
      </c>
      <c r="O250" s="391" t="str">
        <f t="shared" si="7"/>
        <v>Sim</v>
      </c>
      <c r="P250" s="22" t="s">
        <v>86</v>
      </c>
      <c r="Q250" s="91" t="s">
        <v>284</v>
      </c>
      <c r="R250" s="391">
        <f>SUMIF('Lançamento de Cabos'!$B:$B,Tabela1[[#This Row],[Tag do Cabo]],'Lançamento de Cabos'!$C:$C)</f>
        <v>420</v>
      </c>
      <c r="S250" s="391">
        <f>VLOOKUP(Tabela1[[#This Row],[Tag do Cabo]],'Diagramas Ligações'!A:V,14,0)</f>
        <v>4</v>
      </c>
      <c r="T250" s="262" t="s">
        <v>706</v>
      </c>
      <c r="U250" s="391">
        <v>2</v>
      </c>
      <c r="V250" s="391"/>
      <c r="W250" s="391" t="s">
        <v>765</v>
      </c>
      <c r="X250" s="32">
        <v>44144</v>
      </c>
      <c r="Y250" s="32">
        <v>44176</v>
      </c>
      <c r="Z250" s="3" t="s">
        <v>780</v>
      </c>
      <c r="AA250" s="45">
        <v>211</v>
      </c>
      <c r="AB25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0" s="262" t="s">
        <v>482</v>
      </c>
      <c r="AD250" s="391">
        <f>IF(Tabela1[[#This Row],[Qtde. Lançada]]&gt;Tabela1[[#This Row],[Comprimento Total]],Tabela1[[#This Row],[Qtde. Lançada]],Tabela1[[#This Row],[Comprimento Total]])</f>
        <v>420</v>
      </c>
      <c r="AE250" s="391" t="s">
        <v>92</v>
      </c>
      <c r="AF250" s="391" t="s">
        <v>768</v>
      </c>
      <c r="AG250" s="391">
        <f ca="1">SUMIF('Lançamento de Cabos'!AE:AK,Tabela1[[#This Row],[Tag do Cabo]],'Lançamento de Cabos'!AG:AG)</f>
        <v>0</v>
      </c>
      <c r="AH250" s="29">
        <f>IFERROR(VLOOKUP(Tabela1[[#This Row],[Tag do Cabo]],'Lançamento de Cabos'!AE:AK,7,0),0)</f>
        <v>0</v>
      </c>
      <c r="AI250" s="262" t="s">
        <v>537</v>
      </c>
      <c r="AJ250" s="212" t="s">
        <v>205</v>
      </c>
      <c r="AK250" s="46">
        <v>932805</v>
      </c>
    </row>
    <row r="251" spans="1:37" s="262" customFormat="1" ht="15" customHeight="1" x14ac:dyDescent="0.2">
      <c r="A251" s="168" t="s">
        <v>781</v>
      </c>
      <c r="B251" s="391" t="s">
        <v>37</v>
      </c>
      <c r="C251" s="391">
        <v>127</v>
      </c>
      <c r="D251" s="391" t="s">
        <v>80</v>
      </c>
      <c r="E251" s="3" t="s">
        <v>778</v>
      </c>
      <c r="F251" s="11">
        <v>10</v>
      </c>
      <c r="G251" s="391">
        <v>1</v>
      </c>
      <c r="H251" s="391">
        <v>420</v>
      </c>
      <c r="I251" s="391">
        <v>420</v>
      </c>
      <c r="J251" s="391" t="s">
        <v>762</v>
      </c>
      <c r="K251" s="262" t="s">
        <v>719</v>
      </c>
      <c r="L251" s="262" t="s">
        <v>782</v>
      </c>
      <c r="M251" s="22" t="s">
        <v>85</v>
      </c>
      <c r="N251" s="22" t="s">
        <v>86</v>
      </c>
      <c r="O251" s="391" t="str">
        <f t="shared" si="7"/>
        <v>Sim</v>
      </c>
      <c r="P251" s="22" t="s">
        <v>86</v>
      </c>
      <c r="Q251" s="91" t="s">
        <v>284</v>
      </c>
      <c r="R251" s="391">
        <f>SUMIF('Lançamento de Cabos'!$B:$B,Tabela1[[#This Row],[Tag do Cabo]],'Lançamento de Cabos'!$C:$C)</f>
        <v>420</v>
      </c>
      <c r="S251" s="391">
        <f>VLOOKUP(Tabela1[[#This Row],[Tag do Cabo]],'Diagramas Ligações'!A:V,14,0)</f>
        <v>4</v>
      </c>
      <c r="T251" s="262" t="s">
        <v>706</v>
      </c>
      <c r="U251" s="391">
        <v>2</v>
      </c>
      <c r="V251" s="391"/>
      <c r="W251" s="391" t="s">
        <v>765</v>
      </c>
      <c r="X251" s="32">
        <v>44144</v>
      </c>
      <c r="Y251" s="32">
        <v>44176</v>
      </c>
      <c r="Z251" s="3" t="s">
        <v>780</v>
      </c>
      <c r="AA251" s="45">
        <v>212</v>
      </c>
      <c r="AB25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1" s="262" t="s">
        <v>482</v>
      </c>
      <c r="AD251" s="391">
        <f>IF(Tabela1[[#This Row],[Qtde. Lançada]]&gt;Tabela1[[#This Row],[Comprimento Total]],Tabela1[[#This Row],[Qtde. Lançada]],Tabela1[[#This Row],[Comprimento Total]])</f>
        <v>420</v>
      </c>
      <c r="AE251" s="391" t="s">
        <v>92</v>
      </c>
      <c r="AF251" s="391" t="s">
        <v>768</v>
      </c>
      <c r="AG251" s="391">
        <f ca="1">SUMIF('Lançamento de Cabos'!AE:AK,Tabela1[[#This Row],[Tag do Cabo]],'Lançamento de Cabos'!AG:AG)</f>
        <v>0</v>
      </c>
      <c r="AH251" s="29">
        <f>IFERROR(VLOOKUP(Tabela1[[#This Row],[Tag do Cabo]],'Lançamento de Cabos'!AE:AK,7,0),0)</f>
        <v>0</v>
      </c>
      <c r="AI251" s="262" t="s">
        <v>537</v>
      </c>
      <c r="AJ251" s="212" t="s">
        <v>205</v>
      </c>
      <c r="AK251" s="46">
        <v>932805</v>
      </c>
    </row>
    <row r="252" spans="1:37" s="262" customFormat="1" ht="15" customHeight="1" x14ac:dyDescent="0.2">
      <c r="A252" s="168" t="s">
        <v>783</v>
      </c>
      <c r="B252" s="391" t="s">
        <v>37</v>
      </c>
      <c r="C252" s="391">
        <v>127</v>
      </c>
      <c r="D252" s="391" t="s">
        <v>80</v>
      </c>
      <c r="E252" s="3" t="s">
        <v>778</v>
      </c>
      <c r="F252" s="11">
        <v>10</v>
      </c>
      <c r="G252" s="391">
        <v>1</v>
      </c>
      <c r="H252" s="391">
        <v>420</v>
      </c>
      <c r="I252" s="391">
        <v>420</v>
      </c>
      <c r="J252" s="391" t="s">
        <v>762</v>
      </c>
      <c r="K252" s="262" t="s">
        <v>719</v>
      </c>
      <c r="L252" s="262" t="s">
        <v>784</v>
      </c>
      <c r="M252" s="22" t="s">
        <v>85</v>
      </c>
      <c r="N252" s="22" t="s">
        <v>86</v>
      </c>
      <c r="O252" s="391" t="str">
        <f t="shared" si="7"/>
        <v>Sim</v>
      </c>
      <c r="P252" s="22" t="s">
        <v>86</v>
      </c>
      <c r="Q252" s="91" t="s">
        <v>284</v>
      </c>
      <c r="R252" s="391">
        <f>SUMIF('Lançamento de Cabos'!$B:$B,Tabela1[[#This Row],[Tag do Cabo]],'Lançamento de Cabos'!$C:$C)</f>
        <v>420</v>
      </c>
      <c r="S252" s="391">
        <f>VLOOKUP(Tabela1[[#This Row],[Tag do Cabo]],'Diagramas Ligações'!A:V,14,0)</f>
        <v>4</v>
      </c>
      <c r="T252" s="262" t="s">
        <v>706</v>
      </c>
      <c r="U252" s="391">
        <v>2</v>
      </c>
      <c r="V252" s="391"/>
      <c r="W252" s="391" t="s">
        <v>765</v>
      </c>
      <c r="X252" s="32">
        <v>44144</v>
      </c>
      <c r="Y252" s="32">
        <v>44176</v>
      </c>
      <c r="Z252" s="3" t="s">
        <v>780</v>
      </c>
      <c r="AA252" s="45">
        <v>214</v>
      </c>
      <c r="AB25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2" s="262" t="s">
        <v>482</v>
      </c>
      <c r="AD252" s="391">
        <f>IF(Tabela1[[#This Row],[Qtde. Lançada]]&gt;Tabela1[[#This Row],[Comprimento Total]],Tabela1[[#This Row],[Qtde. Lançada]],Tabela1[[#This Row],[Comprimento Total]])</f>
        <v>420</v>
      </c>
      <c r="AE252" s="391" t="s">
        <v>92</v>
      </c>
      <c r="AF252" s="391" t="s">
        <v>768</v>
      </c>
      <c r="AG252" s="391">
        <f ca="1">SUMIF('Lançamento de Cabos'!AE:AK,Tabela1[[#This Row],[Tag do Cabo]],'Lançamento de Cabos'!AG:AG)</f>
        <v>0</v>
      </c>
      <c r="AH252" s="29">
        <f>IFERROR(VLOOKUP(Tabela1[[#This Row],[Tag do Cabo]],'Lançamento de Cabos'!AE:AK,7,0),0)</f>
        <v>0</v>
      </c>
      <c r="AI252" s="262" t="s">
        <v>537</v>
      </c>
      <c r="AJ252" s="212" t="s">
        <v>205</v>
      </c>
      <c r="AK252" s="46">
        <v>932805</v>
      </c>
    </row>
    <row r="253" spans="1:37" s="262" customFormat="1" ht="15" customHeight="1" x14ac:dyDescent="0.2">
      <c r="A253" s="168" t="s">
        <v>785</v>
      </c>
      <c r="B253" s="391" t="s">
        <v>37</v>
      </c>
      <c r="C253" s="391">
        <v>3300</v>
      </c>
      <c r="D253" s="391" t="s">
        <v>120</v>
      </c>
      <c r="E253" s="3" t="s">
        <v>786</v>
      </c>
      <c r="F253" s="11">
        <v>95</v>
      </c>
      <c r="G253" s="391">
        <v>6</v>
      </c>
      <c r="H253" s="391">
        <v>310</v>
      </c>
      <c r="I253" s="391">
        <v>1860</v>
      </c>
      <c r="J253" s="391" t="s">
        <v>787</v>
      </c>
      <c r="K253" s="262" t="s">
        <v>788</v>
      </c>
      <c r="L253" s="262" t="s">
        <v>789</v>
      </c>
      <c r="M253" s="22" t="s">
        <v>85</v>
      </c>
      <c r="N253" s="22" t="s">
        <v>86</v>
      </c>
      <c r="O253" s="391" t="s">
        <v>85</v>
      </c>
      <c r="P253" s="391" t="s">
        <v>85</v>
      </c>
      <c r="Q253" s="91" t="s">
        <v>414</v>
      </c>
      <c r="R253" s="391">
        <f>SUMIF('Lançamento de Cabos'!$B:$B,Tabela1[[#This Row],[Tag do Cabo]],'Lançamento de Cabos'!$C:$C)</f>
        <v>1860</v>
      </c>
      <c r="S253" s="391">
        <f>VLOOKUP(Tabela1[[#This Row],[Tag do Cabo]],'Diagramas Ligações'!A:V,14,0)</f>
        <v>12</v>
      </c>
      <c r="T253" s="262" t="s">
        <v>706</v>
      </c>
      <c r="U253" s="391">
        <v>2</v>
      </c>
      <c r="V253" s="391"/>
      <c r="W253" s="391" t="s">
        <v>790</v>
      </c>
      <c r="X253" s="32">
        <v>44121</v>
      </c>
      <c r="Y253" s="32">
        <v>44124</v>
      </c>
      <c r="Z253" s="3" t="s">
        <v>791</v>
      </c>
      <c r="AA253" s="45" t="s">
        <v>792</v>
      </c>
      <c r="AB25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3" s="262" t="s">
        <v>407</v>
      </c>
      <c r="AD253" s="391">
        <f>IF(Tabela1[[#This Row],[Qtde. Lançada]]&gt;Tabela1[[#This Row],[Comprimento Total]],Tabela1[[#This Row],[Qtde. Lançada]],Tabela1[[#This Row],[Comprimento Total]])</f>
        <v>1860</v>
      </c>
      <c r="AE253" s="391" t="s">
        <v>92</v>
      </c>
      <c r="AF253" s="391" t="s">
        <v>793</v>
      </c>
      <c r="AG253" s="391">
        <f ca="1">SUMIF('Lançamento de Cabos'!AE:AK,Tabela1[[#This Row],[Tag do Cabo]],'Lançamento de Cabos'!AG:AG)</f>
        <v>0</v>
      </c>
      <c r="AH253" s="29">
        <f>IFERROR(VLOOKUP(Tabela1[[#This Row],[Tag do Cabo]],'Lançamento de Cabos'!AE:AK,7,0),0)</f>
        <v>0</v>
      </c>
      <c r="AI253" s="262" t="s">
        <v>537</v>
      </c>
      <c r="AJ253" s="212" t="s">
        <v>202</v>
      </c>
      <c r="AK253" s="46">
        <v>919980</v>
      </c>
    </row>
    <row r="254" spans="1:37" s="262" customFormat="1" ht="15" customHeight="1" x14ac:dyDescent="0.2">
      <c r="A254" s="168" t="s">
        <v>794</v>
      </c>
      <c r="B254" s="391" t="s">
        <v>37</v>
      </c>
      <c r="C254" s="391">
        <v>127</v>
      </c>
      <c r="D254" s="391" t="s">
        <v>80</v>
      </c>
      <c r="E254" s="3" t="s">
        <v>778</v>
      </c>
      <c r="F254" s="11">
        <v>10</v>
      </c>
      <c r="G254" s="391">
        <v>1</v>
      </c>
      <c r="H254" s="391">
        <v>300</v>
      </c>
      <c r="I254" s="391">
        <v>300</v>
      </c>
      <c r="J254" s="391" t="s">
        <v>787</v>
      </c>
      <c r="K254" s="262" t="s">
        <v>719</v>
      </c>
      <c r="L254" s="262" t="s">
        <v>795</v>
      </c>
      <c r="M254" s="22" t="s">
        <v>85</v>
      </c>
      <c r="N254" s="22" t="s">
        <v>86</v>
      </c>
      <c r="O254" s="391" t="str">
        <f>"Sim"</f>
        <v>Sim</v>
      </c>
      <c r="P254" s="22" t="s">
        <v>86</v>
      </c>
      <c r="Q254" s="91" t="s">
        <v>284</v>
      </c>
      <c r="R254" s="391">
        <f>SUMIF('Lançamento de Cabos'!$B:$B,Tabela1[[#This Row],[Tag do Cabo]],'Lançamento de Cabos'!$C:$C)</f>
        <v>300</v>
      </c>
      <c r="S254" s="391">
        <f>VLOOKUP(Tabela1[[#This Row],[Tag do Cabo]],'Diagramas Ligações'!A:V,14,0)</f>
        <v>4</v>
      </c>
      <c r="T254" s="262" t="s">
        <v>706</v>
      </c>
      <c r="U254" s="391">
        <v>2</v>
      </c>
      <c r="V254" s="391"/>
      <c r="W254" s="391" t="s">
        <v>790</v>
      </c>
      <c r="X254" s="32">
        <v>44121</v>
      </c>
      <c r="Y254" s="32">
        <v>44176</v>
      </c>
      <c r="Z254" s="3" t="s">
        <v>796</v>
      </c>
      <c r="AA254" s="45">
        <v>213</v>
      </c>
      <c r="AB25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4" s="262" t="s">
        <v>482</v>
      </c>
      <c r="AD254" s="391">
        <f>IF(Tabela1[[#This Row],[Qtde. Lançada]]&gt;Tabela1[[#This Row],[Comprimento Total]],Tabela1[[#This Row],[Qtde. Lançada]],Tabela1[[#This Row],[Comprimento Total]])</f>
        <v>300</v>
      </c>
      <c r="AE254" s="391" t="s">
        <v>92</v>
      </c>
      <c r="AF254" s="391" t="s">
        <v>793</v>
      </c>
      <c r="AG254" s="391">
        <f ca="1">SUMIF('Lançamento de Cabos'!AE:AK,Tabela1[[#This Row],[Tag do Cabo]],'Lançamento de Cabos'!AG:AG)</f>
        <v>0</v>
      </c>
      <c r="AH254" s="29">
        <f>IFERROR(VLOOKUP(Tabela1[[#This Row],[Tag do Cabo]],'Lançamento de Cabos'!AE:AK,7,0),0)</f>
        <v>0</v>
      </c>
      <c r="AI254" s="262" t="s">
        <v>537</v>
      </c>
      <c r="AJ254" s="212" t="s">
        <v>202</v>
      </c>
      <c r="AK254" s="46">
        <v>932805</v>
      </c>
    </row>
    <row r="255" spans="1:37" s="262" customFormat="1" ht="15" customHeight="1" x14ac:dyDescent="0.2">
      <c r="A255" s="168" t="s">
        <v>797</v>
      </c>
      <c r="B255" s="391" t="s">
        <v>101</v>
      </c>
      <c r="C255" s="391" t="s">
        <v>92</v>
      </c>
      <c r="D255" s="391" t="s">
        <v>92</v>
      </c>
      <c r="E255" s="3" t="s">
        <v>581</v>
      </c>
      <c r="F255" s="11" t="s">
        <v>92</v>
      </c>
      <c r="G255" s="391">
        <v>1</v>
      </c>
      <c r="H255" s="391">
        <v>950</v>
      </c>
      <c r="I255" s="391">
        <v>950</v>
      </c>
      <c r="J255" s="391" t="s">
        <v>103</v>
      </c>
      <c r="K255" s="262" t="s">
        <v>798</v>
      </c>
      <c r="L255" s="262" t="s">
        <v>799</v>
      </c>
      <c r="M255" s="22" t="s">
        <v>86</v>
      </c>
      <c r="N255" s="22" t="s">
        <v>86</v>
      </c>
      <c r="O255" s="22" t="s">
        <v>86</v>
      </c>
      <c r="P255" s="22" t="s">
        <v>86</v>
      </c>
      <c r="Q255" s="91" t="s">
        <v>583</v>
      </c>
      <c r="R255" s="23">
        <f>SUMIF('Lançamento de Cabos'!$B:$B,Tabela1[[#This Row],[Tag do Cabo]],'Lançamento de Cabos'!$C:$C)</f>
        <v>1150</v>
      </c>
      <c r="S255" s="391">
        <f>VLOOKUP(Tabela1[[#This Row],[Tag do Cabo]],'Diagramas Ligações'!A:V,14,0)</f>
        <v>8</v>
      </c>
      <c r="T255" s="262" t="s">
        <v>88</v>
      </c>
      <c r="U255" s="391">
        <v>5</v>
      </c>
      <c r="V255" s="391" t="s">
        <v>107</v>
      </c>
      <c r="W255" s="391" t="s">
        <v>536</v>
      </c>
      <c r="X255" s="32">
        <v>44177</v>
      </c>
      <c r="Y255" s="32">
        <v>44181</v>
      </c>
      <c r="Z255" s="3" t="s">
        <v>584</v>
      </c>
      <c r="AA255" s="45">
        <v>153</v>
      </c>
      <c r="AB25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5" s="262" t="s">
        <v>585</v>
      </c>
      <c r="AD255" s="391">
        <f>IF(Tabela1[[#This Row],[Qtde. Lançada]]&gt;Tabela1[[#This Row],[Comprimento Total]],Tabela1[[#This Row],[Qtde. Lançada]],Tabela1[[#This Row],[Comprimento Total]])</f>
        <v>1150</v>
      </c>
      <c r="AE255" s="391" t="s">
        <v>92</v>
      </c>
      <c r="AF255" s="391" t="s">
        <v>800</v>
      </c>
      <c r="AG255" s="391">
        <f ca="1">SUMIF('Lançamento de Cabos'!AE:AK,Tabela1[[#This Row],[Tag do Cabo]],'Lançamento de Cabos'!AG:AG)</f>
        <v>8</v>
      </c>
      <c r="AH255" s="29">
        <f>IFERROR(VLOOKUP(Tabela1[[#This Row],[Tag do Cabo]],'Lançamento de Cabos'!AE:AK,7,0),0)</f>
        <v>1</v>
      </c>
      <c r="AI255" s="262" t="s">
        <v>98</v>
      </c>
      <c r="AJ255" s="212" t="s">
        <v>801</v>
      </c>
      <c r="AK255" s="46">
        <v>3056722</v>
      </c>
    </row>
    <row r="256" spans="1:37" s="262" customFormat="1" ht="15" customHeight="1" x14ac:dyDescent="0.2">
      <c r="A256" s="323" t="s">
        <v>802</v>
      </c>
      <c r="B256" s="391" t="s">
        <v>37</v>
      </c>
      <c r="C256" s="391">
        <v>125</v>
      </c>
      <c r="D256" s="391" t="s">
        <v>80</v>
      </c>
      <c r="E256" s="3" t="s">
        <v>803</v>
      </c>
      <c r="F256" s="11">
        <v>120</v>
      </c>
      <c r="G256" s="391">
        <v>4</v>
      </c>
      <c r="H256" s="391">
        <v>15</v>
      </c>
      <c r="I256" s="391">
        <v>60</v>
      </c>
      <c r="J256" s="391" t="s">
        <v>804</v>
      </c>
      <c r="K256" s="262" t="s">
        <v>805</v>
      </c>
      <c r="L256" s="262" t="s">
        <v>806</v>
      </c>
      <c r="M256" s="22" t="s">
        <v>85</v>
      </c>
      <c r="N256" s="22" t="s">
        <v>86</v>
      </c>
      <c r="O256" s="391" t="str">
        <f>"Sim"</f>
        <v>Sim</v>
      </c>
      <c r="P256" s="22" t="s">
        <v>86</v>
      </c>
      <c r="Q256" s="91" t="s">
        <v>807</v>
      </c>
      <c r="R256" s="391">
        <f>SUMIF('Lançamento de Cabos'!$B:$B,Tabela1[[#This Row],[Tag do Cabo]],'Lançamento de Cabos'!$C:$C)</f>
        <v>60</v>
      </c>
      <c r="S256" s="391">
        <f>VLOOKUP(Tabela1[[#This Row],[Tag do Cabo]],'Diagramas Ligações'!A:V,14,0)</f>
        <v>8</v>
      </c>
      <c r="T256" s="262" t="s">
        <v>88</v>
      </c>
      <c r="U256" s="391">
        <v>5</v>
      </c>
      <c r="V256" s="391"/>
      <c r="W256" s="391" t="s">
        <v>808</v>
      </c>
      <c r="X256" s="32">
        <v>44151</v>
      </c>
      <c r="Y256" s="32">
        <v>44154</v>
      </c>
      <c r="Z256" s="3" t="s">
        <v>809</v>
      </c>
      <c r="AA256" s="45" t="s">
        <v>810</v>
      </c>
      <c r="AB25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6" s="262" t="s">
        <v>482</v>
      </c>
      <c r="AD256" s="391">
        <f>IF(Tabela1[[#This Row],[Qtde. Lançada]]&gt;Tabela1[[#This Row],[Comprimento Total]],Tabela1[[#This Row],[Qtde. Lançada]],Tabela1[[#This Row],[Comprimento Total]])</f>
        <v>60</v>
      </c>
      <c r="AE256" s="391" t="s">
        <v>92</v>
      </c>
      <c r="AF256" s="391" t="s">
        <v>804</v>
      </c>
      <c r="AG256" s="391">
        <f ca="1">SUMIF('Lançamento de Cabos'!AE:AK,Tabela1[[#This Row],[Tag do Cabo]],'Lançamento de Cabos'!AG:AG)</f>
        <v>8</v>
      </c>
      <c r="AH256" s="29">
        <f>IFERROR(VLOOKUP(Tabela1[[#This Row],[Tag do Cabo]],'Lançamento de Cabos'!AE:AK,7,0),0)</f>
        <v>1</v>
      </c>
      <c r="AI256" s="262" t="s">
        <v>811</v>
      </c>
      <c r="AJ256" s="212" t="s">
        <v>126</v>
      </c>
      <c r="AK256" s="46">
        <v>331971</v>
      </c>
    </row>
    <row r="257" spans="1:37" s="262" customFormat="1" ht="15" customHeight="1" x14ac:dyDescent="0.2">
      <c r="A257" s="168" t="s">
        <v>812</v>
      </c>
      <c r="B257" s="391" t="s">
        <v>37</v>
      </c>
      <c r="C257" s="391">
        <v>125</v>
      </c>
      <c r="D257" s="391" t="s">
        <v>80</v>
      </c>
      <c r="E257" s="3" t="s">
        <v>813</v>
      </c>
      <c r="F257" s="11">
        <v>50</v>
      </c>
      <c r="G257" s="391">
        <v>1</v>
      </c>
      <c r="H257" s="391">
        <v>10</v>
      </c>
      <c r="I257" s="391">
        <v>10</v>
      </c>
      <c r="J257" s="391" t="s">
        <v>804</v>
      </c>
      <c r="K257" s="262" t="s">
        <v>814</v>
      </c>
      <c r="L257" s="262" t="s">
        <v>815</v>
      </c>
      <c r="M257" s="22" t="s">
        <v>85</v>
      </c>
      <c r="N257" s="22" t="s">
        <v>86</v>
      </c>
      <c r="O257" s="391" t="str">
        <f>"Sim"</f>
        <v>Sim</v>
      </c>
      <c r="P257" s="22" t="s">
        <v>86</v>
      </c>
      <c r="Q257" s="91" t="s">
        <v>578</v>
      </c>
      <c r="R257" s="391">
        <f>SUMIF('Lançamento de Cabos'!$B:$B,Tabela1[[#This Row],[Tag do Cabo]],'Lançamento de Cabos'!$C:$C)</f>
        <v>10</v>
      </c>
      <c r="S257" s="391">
        <f>VLOOKUP(Tabela1[[#This Row],[Tag do Cabo]],'Diagramas Ligações'!A:V,14,0)</f>
        <v>4</v>
      </c>
      <c r="T257" s="262" t="s">
        <v>88</v>
      </c>
      <c r="U257" s="391">
        <v>5</v>
      </c>
      <c r="V257" s="391"/>
      <c r="W257" s="391" t="s">
        <v>808</v>
      </c>
      <c r="X257" s="32">
        <v>44151</v>
      </c>
      <c r="Y257" s="32">
        <v>44155</v>
      </c>
      <c r="Z257" s="3" t="s">
        <v>816</v>
      </c>
      <c r="AA257" s="45" t="s">
        <v>817</v>
      </c>
      <c r="AB25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7" s="262" t="s">
        <v>482</v>
      </c>
      <c r="AD257" s="391">
        <f>IF(Tabela1[[#This Row],[Qtde. Lançada]]&gt;Tabela1[[#This Row],[Comprimento Total]],Tabela1[[#This Row],[Qtde. Lançada]],Tabela1[[#This Row],[Comprimento Total]])</f>
        <v>10</v>
      </c>
      <c r="AE257" s="391" t="s">
        <v>92</v>
      </c>
      <c r="AF257" s="391" t="s">
        <v>804</v>
      </c>
      <c r="AG257" s="391">
        <f ca="1">SUMIF('Lançamento de Cabos'!AE:AK,Tabela1[[#This Row],[Tag do Cabo]],'Lançamento de Cabos'!AG:AG)</f>
        <v>4</v>
      </c>
      <c r="AH257" s="29">
        <f>IFERROR(VLOOKUP(Tabela1[[#This Row],[Tag do Cabo]],'Lançamento de Cabos'!AE:AK,7,0),0)</f>
        <v>1</v>
      </c>
      <c r="AI257" s="262" t="s">
        <v>811</v>
      </c>
      <c r="AJ257" s="212" t="s">
        <v>212</v>
      </c>
      <c r="AK257" s="46">
        <v>318690</v>
      </c>
    </row>
    <row r="258" spans="1:37" s="262" customFormat="1" ht="15" customHeight="1" x14ac:dyDescent="0.2">
      <c r="A258" s="323" t="s">
        <v>818</v>
      </c>
      <c r="B258" s="391" t="s">
        <v>38</v>
      </c>
      <c r="C258" s="391">
        <v>125</v>
      </c>
      <c r="D258" s="391" t="s">
        <v>80</v>
      </c>
      <c r="E258" s="3" t="s">
        <v>819</v>
      </c>
      <c r="F258" s="11">
        <v>2.5</v>
      </c>
      <c r="G258" s="391">
        <v>1</v>
      </c>
      <c r="H258" s="391">
        <v>10</v>
      </c>
      <c r="I258" s="391">
        <v>10</v>
      </c>
      <c r="J258" s="391" t="s">
        <v>804</v>
      </c>
      <c r="K258" s="262" t="s">
        <v>820</v>
      </c>
      <c r="L258" s="262" t="s">
        <v>821</v>
      </c>
      <c r="M258" s="22" t="s">
        <v>85</v>
      </c>
      <c r="N258" s="391" t="str">
        <f t="shared" ref="N258:N281" si="8">"Sim"</f>
        <v>Sim</v>
      </c>
      <c r="O258" s="22" t="s">
        <v>86</v>
      </c>
      <c r="P258" s="22" t="s">
        <v>86</v>
      </c>
      <c r="Q258" s="91" t="s">
        <v>139</v>
      </c>
      <c r="R258" s="391">
        <f>SUMIF('Lançamento de Cabos'!$B:$B,Tabela1[[#This Row],[Tag do Cabo]],'Lançamento de Cabos'!$C:$C)</f>
        <v>10</v>
      </c>
      <c r="S258" s="391">
        <f>VLOOKUP(Tabela1[[#This Row],[Tag do Cabo]],'Diagramas Ligações'!A:V,14,0)</f>
        <v>8</v>
      </c>
      <c r="T258" s="262" t="s">
        <v>88</v>
      </c>
      <c r="U258" s="391">
        <v>5</v>
      </c>
      <c r="V258" s="391" t="s">
        <v>140</v>
      </c>
      <c r="W258" s="391" t="s">
        <v>808</v>
      </c>
      <c r="X258" s="32">
        <v>44151</v>
      </c>
      <c r="Y258" s="32">
        <v>44159</v>
      </c>
      <c r="Z258" s="3" t="s">
        <v>822</v>
      </c>
      <c r="AA258" s="45">
        <v>71</v>
      </c>
      <c r="AB25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8" s="262" t="s">
        <v>482</v>
      </c>
      <c r="AD258" s="391">
        <f>IF(Tabela1[[#This Row],[Qtde. Lançada]]&gt;Tabela1[[#This Row],[Comprimento Total]],Tabela1[[#This Row],[Qtde. Lançada]],Tabela1[[#This Row],[Comprimento Total]])</f>
        <v>10</v>
      </c>
      <c r="AE258" s="391" t="s">
        <v>92</v>
      </c>
      <c r="AF258" s="391" t="s">
        <v>804</v>
      </c>
      <c r="AG258" s="391">
        <f ca="1">SUMIF('Lançamento de Cabos'!AE:AK,Tabela1[[#This Row],[Tag do Cabo]],'Lançamento de Cabos'!AG:AG)</f>
        <v>6</v>
      </c>
      <c r="AH258" s="29">
        <f>IFERROR(VLOOKUP(Tabela1[[#This Row],[Tag do Cabo]],'Lançamento de Cabos'!AE:AK,7,0),0)</f>
        <v>0.75</v>
      </c>
      <c r="AI258" s="262" t="s">
        <v>823</v>
      </c>
      <c r="AJ258" s="212" t="s">
        <v>824</v>
      </c>
      <c r="AK258" s="46">
        <v>932951</v>
      </c>
    </row>
    <row r="259" spans="1:37" s="262" customFormat="1" ht="15" customHeight="1" x14ac:dyDescent="0.2">
      <c r="A259" s="323" t="s">
        <v>825</v>
      </c>
      <c r="B259" s="391" t="s">
        <v>38</v>
      </c>
      <c r="C259" s="391">
        <v>125</v>
      </c>
      <c r="D259" s="391" t="s">
        <v>80</v>
      </c>
      <c r="E259" s="3" t="s">
        <v>826</v>
      </c>
      <c r="F259" s="11">
        <v>4</v>
      </c>
      <c r="G259" s="391">
        <v>1</v>
      </c>
      <c r="H259" s="391">
        <v>10</v>
      </c>
      <c r="I259" s="391">
        <v>10</v>
      </c>
      <c r="J259" s="391" t="s">
        <v>804</v>
      </c>
      <c r="K259" s="262" t="s">
        <v>827</v>
      </c>
      <c r="L259" s="262" t="s">
        <v>828</v>
      </c>
      <c r="M259" s="22" t="s">
        <v>85</v>
      </c>
      <c r="N259" s="391" t="str">
        <f t="shared" si="8"/>
        <v>Sim</v>
      </c>
      <c r="O259" s="22" t="s">
        <v>86</v>
      </c>
      <c r="P259" s="22" t="s">
        <v>86</v>
      </c>
      <c r="Q259" s="91" t="s">
        <v>87</v>
      </c>
      <c r="R259" s="391">
        <f>SUMIF('Lançamento de Cabos'!$B:$B,Tabela1[[#This Row],[Tag do Cabo]],'Lançamento de Cabos'!$C:$C)</f>
        <v>10</v>
      </c>
      <c r="S259" s="391">
        <f>VLOOKUP(Tabela1[[#This Row],[Tag do Cabo]],'Diagramas Ligações'!A:V,14,0)</f>
        <v>18</v>
      </c>
      <c r="T259" s="262" t="s">
        <v>88</v>
      </c>
      <c r="U259" s="391">
        <v>5</v>
      </c>
      <c r="V259" s="391" t="s">
        <v>140</v>
      </c>
      <c r="W259" s="391" t="s">
        <v>829</v>
      </c>
      <c r="X259" s="32">
        <v>44151</v>
      </c>
      <c r="Y259" s="32">
        <v>44159</v>
      </c>
      <c r="Z259" s="3" t="s">
        <v>822</v>
      </c>
      <c r="AA259" s="45">
        <v>67</v>
      </c>
      <c r="AB25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59" s="262" t="s">
        <v>482</v>
      </c>
      <c r="AD259" s="391">
        <f>IF(Tabela1[[#This Row],[Qtde. Lançada]]&gt;Tabela1[[#This Row],[Comprimento Total]],Tabela1[[#This Row],[Qtde. Lançada]],Tabela1[[#This Row],[Comprimento Total]])</f>
        <v>10</v>
      </c>
      <c r="AE259" s="391" t="s">
        <v>92</v>
      </c>
      <c r="AF259" s="391" t="s">
        <v>804</v>
      </c>
      <c r="AG259" s="391">
        <f ca="1">SUMIF('Lançamento de Cabos'!AE:AK,Tabela1[[#This Row],[Tag do Cabo]],'Lançamento de Cabos'!AG:AG)</f>
        <v>0</v>
      </c>
      <c r="AH259" s="29">
        <f>IFERROR(VLOOKUP(Tabela1[[#This Row],[Tag do Cabo]],'Lançamento de Cabos'!AE:AK,7,0),0)</f>
        <v>0</v>
      </c>
      <c r="AI259" s="262" t="s">
        <v>311</v>
      </c>
      <c r="AJ259" s="212"/>
      <c r="AK259" s="46">
        <v>932959</v>
      </c>
    </row>
    <row r="260" spans="1:37" s="262" customFormat="1" ht="15" customHeight="1" x14ac:dyDescent="0.2">
      <c r="A260" s="323" t="s">
        <v>830</v>
      </c>
      <c r="B260" s="391" t="s">
        <v>38</v>
      </c>
      <c r="C260" s="391">
        <v>125</v>
      </c>
      <c r="D260" s="391" t="s">
        <v>80</v>
      </c>
      <c r="E260" s="3" t="s">
        <v>826</v>
      </c>
      <c r="F260" s="11">
        <v>4</v>
      </c>
      <c r="G260" s="391">
        <v>1</v>
      </c>
      <c r="H260" s="391">
        <v>10</v>
      </c>
      <c r="I260" s="391">
        <v>10</v>
      </c>
      <c r="J260" s="391" t="s">
        <v>804</v>
      </c>
      <c r="K260" s="262" t="s">
        <v>831</v>
      </c>
      <c r="L260" s="262" t="s">
        <v>828</v>
      </c>
      <c r="M260" s="22" t="s">
        <v>85</v>
      </c>
      <c r="N260" s="391" t="str">
        <f t="shared" si="8"/>
        <v>Sim</v>
      </c>
      <c r="O260" s="22" t="s">
        <v>86</v>
      </c>
      <c r="P260" s="22" t="s">
        <v>86</v>
      </c>
      <c r="Q260" s="91" t="s">
        <v>87</v>
      </c>
      <c r="R260" s="391">
        <f>SUMIF('Lançamento de Cabos'!$B:$B,Tabela1[[#This Row],[Tag do Cabo]],'Lançamento de Cabos'!$C:$C)</f>
        <v>10</v>
      </c>
      <c r="S260" s="391">
        <f>VLOOKUP(Tabela1[[#This Row],[Tag do Cabo]],'Diagramas Ligações'!A:V,14,0)</f>
        <v>18</v>
      </c>
      <c r="T260" s="262" t="s">
        <v>88</v>
      </c>
      <c r="U260" s="391">
        <v>5</v>
      </c>
      <c r="V260" s="391" t="s">
        <v>140</v>
      </c>
      <c r="W260" s="391" t="s">
        <v>829</v>
      </c>
      <c r="X260" s="32">
        <v>44151</v>
      </c>
      <c r="Y260" s="32">
        <v>44159</v>
      </c>
      <c r="Z260" s="3" t="s">
        <v>832</v>
      </c>
      <c r="AA260" s="45">
        <v>67</v>
      </c>
      <c r="AB26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0" s="262" t="s">
        <v>482</v>
      </c>
      <c r="AD260" s="391">
        <f>IF(Tabela1[[#This Row],[Qtde. Lançada]]&gt;Tabela1[[#This Row],[Comprimento Total]],Tabela1[[#This Row],[Qtde. Lançada]],Tabela1[[#This Row],[Comprimento Total]])</f>
        <v>10</v>
      </c>
      <c r="AE260" s="391" t="s">
        <v>92</v>
      </c>
      <c r="AF260" s="391" t="s">
        <v>804</v>
      </c>
      <c r="AG260" s="391">
        <f ca="1">SUMIF('Lançamento de Cabos'!AE:AK,Tabela1[[#This Row],[Tag do Cabo]],'Lançamento de Cabos'!AG:AG)</f>
        <v>0</v>
      </c>
      <c r="AH260" s="29">
        <f>IFERROR(VLOOKUP(Tabela1[[#This Row],[Tag do Cabo]],'Lançamento de Cabos'!AE:AK,7,0),0)</f>
        <v>0</v>
      </c>
      <c r="AI260" s="262" t="s">
        <v>311</v>
      </c>
      <c r="AJ260" s="212"/>
      <c r="AK260" s="46">
        <v>932959</v>
      </c>
    </row>
    <row r="261" spans="1:37" s="262" customFormat="1" ht="15" customHeight="1" x14ac:dyDescent="0.2">
      <c r="A261" s="168" t="s">
        <v>833</v>
      </c>
      <c r="B261" s="391" t="s">
        <v>38</v>
      </c>
      <c r="C261" s="391">
        <v>125</v>
      </c>
      <c r="D261" s="391" t="s">
        <v>80</v>
      </c>
      <c r="E261" s="3" t="s">
        <v>819</v>
      </c>
      <c r="F261" s="11">
        <v>2.5</v>
      </c>
      <c r="G261" s="391">
        <v>1</v>
      </c>
      <c r="H261" s="391">
        <v>10</v>
      </c>
      <c r="I261" s="391">
        <v>10</v>
      </c>
      <c r="J261" s="391" t="s">
        <v>804</v>
      </c>
      <c r="K261" s="262" t="s">
        <v>834</v>
      </c>
      <c r="L261" s="262" t="s">
        <v>835</v>
      </c>
      <c r="M261" s="22" t="s">
        <v>85</v>
      </c>
      <c r="N261" s="391" t="str">
        <f t="shared" si="8"/>
        <v>Sim</v>
      </c>
      <c r="O261" s="22" t="s">
        <v>86</v>
      </c>
      <c r="P261" s="22" t="s">
        <v>86</v>
      </c>
      <c r="Q261" s="91" t="s">
        <v>139</v>
      </c>
      <c r="R261" s="391">
        <f>SUMIF('Lançamento de Cabos'!$B:$B,Tabela1[[#This Row],[Tag do Cabo]],'Lançamento de Cabos'!$C:$C)</f>
        <v>10</v>
      </c>
      <c r="S261" s="391">
        <f>VLOOKUP(Tabela1[[#This Row],[Tag do Cabo]],'Diagramas Ligações'!A:V,14,0)</f>
        <v>12</v>
      </c>
      <c r="T261" s="262" t="s">
        <v>88</v>
      </c>
      <c r="U261" s="391">
        <v>5</v>
      </c>
      <c r="V261" s="391" t="s">
        <v>140</v>
      </c>
      <c r="W261" s="391" t="s">
        <v>808</v>
      </c>
      <c r="X261" s="32">
        <v>44151</v>
      </c>
      <c r="Y261" s="32">
        <v>44159</v>
      </c>
      <c r="Z261" s="3" t="s">
        <v>822</v>
      </c>
      <c r="AA261" s="45">
        <v>71</v>
      </c>
      <c r="AB26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1" s="262" t="s">
        <v>482</v>
      </c>
      <c r="AD261" s="391">
        <f>IF(Tabela1[[#This Row],[Qtde. Lançada]]&gt;Tabela1[[#This Row],[Comprimento Total]],Tabela1[[#This Row],[Qtde. Lançada]],Tabela1[[#This Row],[Comprimento Total]])</f>
        <v>10</v>
      </c>
      <c r="AE261" s="391" t="s">
        <v>92</v>
      </c>
      <c r="AF261" s="391" t="s">
        <v>804</v>
      </c>
      <c r="AG261" s="391">
        <f ca="1">SUMIF('Lançamento de Cabos'!AE:AK,Tabela1[[#This Row],[Tag do Cabo]],'Lançamento de Cabos'!AG:AG)</f>
        <v>12</v>
      </c>
      <c r="AH261" s="29">
        <f>IFERROR(VLOOKUP(Tabela1[[#This Row],[Tag do Cabo]],'Lançamento de Cabos'!AE:AK,7,0),0)</f>
        <v>1</v>
      </c>
      <c r="AI261" s="262" t="s">
        <v>98</v>
      </c>
      <c r="AJ261" s="212" t="s">
        <v>836</v>
      </c>
      <c r="AK261" s="46">
        <v>932951</v>
      </c>
    </row>
    <row r="262" spans="1:37" s="262" customFormat="1" ht="15" customHeight="1" x14ac:dyDescent="0.2">
      <c r="A262" s="168" t="s">
        <v>837</v>
      </c>
      <c r="B262" s="391" t="s">
        <v>38</v>
      </c>
      <c r="C262" s="391">
        <v>125</v>
      </c>
      <c r="D262" s="391" t="s">
        <v>80</v>
      </c>
      <c r="E262" s="3" t="s">
        <v>819</v>
      </c>
      <c r="F262" s="11">
        <v>2.5</v>
      </c>
      <c r="G262" s="391">
        <v>1</v>
      </c>
      <c r="H262" s="391">
        <v>10</v>
      </c>
      <c r="I262" s="391">
        <v>10</v>
      </c>
      <c r="J262" s="391" t="s">
        <v>804</v>
      </c>
      <c r="K262" s="262" t="s">
        <v>831</v>
      </c>
      <c r="L262" s="262" t="s">
        <v>838</v>
      </c>
      <c r="M262" s="22" t="s">
        <v>85</v>
      </c>
      <c r="N262" s="391" t="str">
        <f t="shared" si="8"/>
        <v>Sim</v>
      </c>
      <c r="O262" s="22" t="s">
        <v>86</v>
      </c>
      <c r="P262" s="22" t="s">
        <v>86</v>
      </c>
      <c r="Q262" s="91" t="s">
        <v>139</v>
      </c>
      <c r="R262" s="391">
        <f>SUMIF('Lançamento de Cabos'!$B:$B,Tabela1[[#This Row],[Tag do Cabo]],'Lançamento de Cabos'!$C:$C)</f>
        <v>10</v>
      </c>
      <c r="S262" s="391">
        <f>VLOOKUP(Tabela1[[#This Row],[Tag do Cabo]],'Diagramas Ligações'!A:V,14,0)</f>
        <v>6</v>
      </c>
      <c r="T262" s="262" t="s">
        <v>88</v>
      </c>
      <c r="U262" s="391">
        <v>5</v>
      </c>
      <c r="V262" s="391" t="s">
        <v>140</v>
      </c>
      <c r="W262" s="391" t="s">
        <v>808</v>
      </c>
      <c r="X262" s="32">
        <v>44151</v>
      </c>
      <c r="Y262" s="32">
        <v>44159</v>
      </c>
      <c r="Z262" s="3" t="s">
        <v>822</v>
      </c>
      <c r="AA262" s="45">
        <v>71</v>
      </c>
      <c r="AB26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2" s="262" t="s">
        <v>482</v>
      </c>
      <c r="AD262" s="391">
        <f>IF(Tabela1[[#This Row],[Qtde. Lançada]]&gt;Tabela1[[#This Row],[Comprimento Total]],Tabela1[[#This Row],[Qtde. Lançada]],Tabela1[[#This Row],[Comprimento Total]])</f>
        <v>10</v>
      </c>
      <c r="AE262" s="391" t="s">
        <v>92</v>
      </c>
      <c r="AF262" s="391" t="s">
        <v>804</v>
      </c>
      <c r="AG262" s="391">
        <f ca="1">SUMIF('Lançamento de Cabos'!AE:AK,Tabela1[[#This Row],[Tag do Cabo]],'Lançamento de Cabos'!AG:AG)</f>
        <v>3</v>
      </c>
      <c r="AH262" s="29">
        <f>IFERROR(VLOOKUP(Tabela1[[#This Row],[Tag do Cabo]],'Lançamento de Cabos'!AE:AK,7,0),0)</f>
        <v>0.5</v>
      </c>
      <c r="AI262" s="262" t="s">
        <v>98</v>
      </c>
      <c r="AJ262" s="212" t="s">
        <v>839</v>
      </c>
      <c r="AK262" s="46">
        <v>932951</v>
      </c>
    </row>
    <row r="263" spans="1:37" s="262" customFormat="1" ht="15" customHeight="1" x14ac:dyDescent="0.2">
      <c r="A263" s="168" t="s">
        <v>840</v>
      </c>
      <c r="B263" s="391" t="s">
        <v>38</v>
      </c>
      <c r="C263" s="391">
        <v>125</v>
      </c>
      <c r="D263" s="391" t="s">
        <v>80</v>
      </c>
      <c r="E263" s="3" t="s">
        <v>819</v>
      </c>
      <c r="F263" s="11">
        <v>2.5</v>
      </c>
      <c r="G263" s="391">
        <v>1</v>
      </c>
      <c r="H263" s="391">
        <v>10</v>
      </c>
      <c r="I263" s="391">
        <v>10</v>
      </c>
      <c r="J263" s="391" t="s">
        <v>804</v>
      </c>
      <c r="K263" s="262" t="s">
        <v>834</v>
      </c>
      <c r="L263" s="262" t="s">
        <v>841</v>
      </c>
      <c r="M263" s="22" t="s">
        <v>85</v>
      </c>
      <c r="N263" s="391" t="str">
        <f t="shared" si="8"/>
        <v>Sim</v>
      </c>
      <c r="O263" s="22" t="s">
        <v>86</v>
      </c>
      <c r="P263" s="22" t="s">
        <v>86</v>
      </c>
      <c r="Q263" s="91" t="s">
        <v>139</v>
      </c>
      <c r="R263" s="391">
        <f>SUMIF('Lançamento de Cabos'!$B:$B,Tabela1[[#This Row],[Tag do Cabo]],'Lançamento de Cabos'!$C:$C)</f>
        <v>10</v>
      </c>
      <c r="S263" s="391">
        <f>VLOOKUP(Tabela1[[#This Row],[Tag do Cabo]],'Diagramas Ligações'!A:V,14,0)</f>
        <v>12</v>
      </c>
      <c r="T263" s="262" t="s">
        <v>88</v>
      </c>
      <c r="U263" s="391">
        <v>5</v>
      </c>
      <c r="V263" s="391" t="s">
        <v>140</v>
      </c>
      <c r="W263" s="391" t="s">
        <v>808</v>
      </c>
      <c r="X263" s="32">
        <v>44151</v>
      </c>
      <c r="Y263" s="32">
        <v>44159</v>
      </c>
      <c r="Z263" s="3" t="s">
        <v>822</v>
      </c>
      <c r="AA263" s="45">
        <v>71</v>
      </c>
      <c r="AB26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3" s="262" t="s">
        <v>482</v>
      </c>
      <c r="AD263" s="391">
        <f>IF(Tabela1[[#This Row],[Qtde. Lançada]]&gt;Tabela1[[#This Row],[Comprimento Total]],Tabela1[[#This Row],[Qtde. Lançada]],Tabela1[[#This Row],[Comprimento Total]])</f>
        <v>10</v>
      </c>
      <c r="AE263" s="391" t="s">
        <v>92</v>
      </c>
      <c r="AF263" s="391" t="s">
        <v>804</v>
      </c>
      <c r="AG263" s="391">
        <f ca="1">SUMIF('Lançamento de Cabos'!AE:AK,Tabela1[[#This Row],[Tag do Cabo]],'Lançamento de Cabos'!AG:AG)</f>
        <v>12</v>
      </c>
      <c r="AH263" s="29">
        <f>IFERROR(VLOOKUP(Tabela1[[#This Row],[Tag do Cabo]],'Lançamento de Cabos'!AE:AK,7,0),0)</f>
        <v>1</v>
      </c>
      <c r="AI263" s="262" t="s">
        <v>98</v>
      </c>
      <c r="AJ263" s="212" t="s">
        <v>842</v>
      </c>
      <c r="AK263" s="46">
        <v>932951</v>
      </c>
    </row>
    <row r="264" spans="1:37" s="262" customFormat="1" ht="15" customHeight="1" x14ac:dyDescent="0.2">
      <c r="A264" s="168" t="s">
        <v>843</v>
      </c>
      <c r="B264" s="391" t="s">
        <v>38</v>
      </c>
      <c r="C264" s="391">
        <v>125</v>
      </c>
      <c r="D264" s="391" t="s">
        <v>80</v>
      </c>
      <c r="E264" s="3" t="s">
        <v>819</v>
      </c>
      <c r="F264" s="11">
        <v>2.5</v>
      </c>
      <c r="G264" s="391">
        <v>1</v>
      </c>
      <c r="H264" s="391">
        <v>10</v>
      </c>
      <c r="I264" s="391">
        <v>10</v>
      </c>
      <c r="J264" s="391" t="s">
        <v>804</v>
      </c>
      <c r="K264" s="262" t="s">
        <v>827</v>
      </c>
      <c r="L264" s="262" t="s">
        <v>835</v>
      </c>
      <c r="M264" s="22" t="s">
        <v>85</v>
      </c>
      <c r="N264" s="391" t="str">
        <f t="shared" si="8"/>
        <v>Sim</v>
      </c>
      <c r="O264" s="22" t="s">
        <v>86</v>
      </c>
      <c r="P264" s="22" t="s">
        <v>86</v>
      </c>
      <c r="Q264" s="91" t="s">
        <v>139</v>
      </c>
      <c r="R264" s="391">
        <f>SUMIF('Lançamento de Cabos'!$B:$B,Tabela1[[#This Row],[Tag do Cabo]],'Lançamento de Cabos'!$C:$C)</f>
        <v>10</v>
      </c>
      <c r="S264" s="391">
        <f>VLOOKUP(Tabela1[[#This Row],[Tag do Cabo]],'Diagramas Ligações'!A:V,14,0)</f>
        <v>12</v>
      </c>
      <c r="T264" s="262" t="s">
        <v>88</v>
      </c>
      <c r="U264" s="391">
        <v>5</v>
      </c>
      <c r="V264" s="391" t="s">
        <v>140</v>
      </c>
      <c r="W264" s="391" t="s">
        <v>808</v>
      </c>
      <c r="X264" s="32">
        <v>44151</v>
      </c>
      <c r="Y264" s="32">
        <v>44159</v>
      </c>
      <c r="Z264" s="3" t="s">
        <v>822</v>
      </c>
      <c r="AA264" s="45">
        <v>71</v>
      </c>
      <c r="AB26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4" s="262" t="s">
        <v>482</v>
      </c>
      <c r="AD264" s="391">
        <f>IF(Tabela1[[#This Row],[Qtde. Lançada]]&gt;Tabela1[[#This Row],[Comprimento Total]],Tabela1[[#This Row],[Qtde. Lançada]],Tabela1[[#This Row],[Comprimento Total]])</f>
        <v>10</v>
      </c>
      <c r="AE264" s="391" t="s">
        <v>92</v>
      </c>
      <c r="AF264" s="391" t="s">
        <v>804</v>
      </c>
      <c r="AG264" s="391">
        <f ca="1">SUMIF('Lançamento de Cabos'!AE:AK,Tabela1[[#This Row],[Tag do Cabo]],'Lançamento de Cabos'!AG:AG)</f>
        <v>6</v>
      </c>
      <c r="AH264" s="29">
        <f>IFERROR(VLOOKUP(Tabela1[[#This Row],[Tag do Cabo]],'Lançamento de Cabos'!AE:AK,7,0),0)</f>
        <v>0.5</v>
      </c>
      <c r="AI264" s="262" t="s">
        <v>98</v>
      </c>
      <c r="AJ264" s="212" t="s">
        <v>836</v>
      </c>
      <c r="AK264" s="46">
        <v>932951</v>
      </c>
    </row>
    <row r="265" spans="1:37" s="262" customFormat="1" ht="15" customHeight="1" x14ac:dyDescent="0.2">
      <c r="A265" s="168" t="s">
        <v>844</v>
      </c>
      <c r="B265" s="391" t="s">
        <v>38</v>
      </c>
      <c r="C265" s="391">
        <v>125</v>
      </c>
      <c r="D265" s="391" t="s">
        <v>80</v>
      </c>
      <c r="E265" s="3" t="s">
        <v>819</v>
      </c>
      <c r="F265" s="11">
        <v>2.5</v>
      </c>
      <c r="G265" s="391">
        <v>1</v>
      </c>
      <c r="H265" s="391">
        <v>10</v>
      </c>
      <c r="I265" s="391">
        <v>10</v>
      </c>
      <c r="J265" s="391" t="s">
        <v>804</v>
      </c>
      <c r="K265" s="262" t="s">
        <v>827</v>
      </c>
      <c r="L265" s="262" t="s">
        <v>838</v>
      </c>
      <c r="M265" s="22" t="s">
        <v>85</v>
      </c>
      <c r="N265" s="391" t="str">
        <f t="shared" si="8"/>
        <v>Sim</v>
      </c>
      <c r="O265" s="22" t="s">
        <v>86</v>
      </c>
      <c r="P265" s="22" t="s">
        <v>86</v>
      </c>
      <c r="Q265" s="91" t="s">
        <v>139</v>
      </c>
      <c r="R265" s="391">
        <f>SUMIF('Lançamento de Cabos'!$B:$B,Tabela1[[#This Row],[Tag do Cabo]],'Lançamento de Cabos'!$C:$C)</f>
        <v>10</v>
      </c>
      <c r="S265" s="391">
        <f>VLOOKUP(Tabela1[[#This Row],[Tag do Cabo]],'Diagramas Ligações'!A:V,14,0)</f>
        <v>12</v>
      </c>
      <c r="T265" s="262" t="s">
        <v>88</v>
      </c>
      <c r="U265" s="391">
        <v>5</v>
      </c>
      <c r="V265" s="391" t="s">
        <v>140</v>
      </c>
      <c r="W265" s="391" t="s">
        <v>808</v>
      </c>
      <c r="X265" s="32">
        <v>44151</v>
      </c>
      <c r="Y265" s="32">
        <v>44159</v>
      </c>
      <c r="Z265" s="3" t="s">
        <v>822</v>
      </c>
      <c r="AA265" s="45">
        <v>71</v>
      </c>
      <c r="AB26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5" s="262" t="s">
        <v>482</v>
      </c>
      <c r="AD265" s="391">
        <f>IF(Tabela1[[#This Row],[Qtde. Lançada]]&gt;Tabela1[[#This Row],[Comprimento Total]],Tabela1[[#This Row],[Qtde. Lançada]],Tabela1[[#This Row],[Comprimento Total]])</f>
        <v>10</v>
      </c>
      <c r="AE265" s="391" t="s">
        <v>92</v>
      </c>
      <c r="AF265" s="391" t="s">
        <v>804</v>
      </c>
      <c r="AG265" s="391">
        <f ca="1">SUMIF('Lançamento de Cabos'!AE:AK,Tabela1[[#This Row],[Tag do Cabo]],'Lançamento de Cabos'!AG:AG)</f>
        <v>6</v>
      </c>
      <c r="AH265" s="29">
        <f>IFERROR(VLOOKUP(Tabela1[[#This Row],[Tag do Cabo]],'Lançamento de Cabos'!AE:AK,7,0),0)</f>
        <v>0.5</v>
      </c>
      <c r="AI265" s="262" t="s">
        <v>98</v>
      </c>
      <c r="AJ265" s="212" t="s">
        <v>839</v>
      </c>
      <c r="AK265" s="46">
        <v>932951</v>
      </c>
    </row>
    <row r="266" spans="1:37" s="262" customFormat="1" ht="15" customHeight="1" x14ac:dyDescent="0.2">
      <c r="A266" s="168" t="s">
        <v>845</v>
      </c>
      <c r="B266" s="391" t="s">
        <v>38</v>
      </c>
      <c r="C266" s="391">
        <v>125</v>
      </c>
      <c r="D266" s="391" t="s">
        <v>80</v>
      </c>
      <c r="E266" s="3" t="s">
        <v>819</v>
      </c>
      <c r="F266" s="11">
        <v>2.5</v>
      </c>
      <c r="G266" s="391">
        <v>1</v>
      </c>
      <c r="H266" s="391">
        <v>10</v>
      </c>
      <c r="I266" s="391">
        <v>10</v>
      </c>
      <c r="J266" s="391" t="s">
        <v>804</v>
      </c>
      <c r="K266" s="262" t="s">
        <v>831</v>
      </c>
      <c r="L266" s="262" t="s">
        <v>835</v>
      </c>
      <c r="M266" s="22" t="s">
        <v>85</v>
      </c>
      <c r="N266" s="391" t="str">
        <f t="shared" si="8"/>
        <v>Sim</v>
      </c>
      <c r="O266" s="22" t="s">
        <v>86</v>
      </c>
      <c r="P266" s="22" t="s">
        <v>86</v>
      </c>
      <c r="Q266" s="91" t="s">
        <v>139</v>
      </c>
      <c r="R266" s="391">
        <f>SUMIF('Lançamento de Cabos'!$B:$B,Tabela1[[#This Row],[Tag do Cabo]],'Lançamento de Cabos'!$C:$C)</f>
        <v>10</v>
      </c>
      <c r="S266" s="391">
        <f>VLOOKUP(Tabela1[[#This Row],[Tag do Cabo]],'Diagramas Ligações'!A:V,14,0)</f>
        <v>6</v>
      </c>
      <c r="T266" s="262" t="s">
        <v>88</v>
      </c>
      <c r="U266" s="391">
        <v>5</v>
      </c>
      <c r="V266" s="391" t="s">
        <v>140</v>
      </c>
      <c r="W266" s="391" t="s">
        <v>808</v>
      </c>
      <c r="X266" s="32">
        <v>44151</v>
      </c>
      <c r="Y266" s="32">
        <v>44159</v>
      </c>
      <c r="Z266" s="3" t="s">
        <v>822</v>
      </c>
      <c r="AA266" s="45">
        <v>71</v>
      </c>
      <c r="AB26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6" s="262" t="s">
        <v>482</v>
      </c>
      <c r="AD266" s="391">
        <f>IF(Tabela1[[#This Row],[Qtde. Lançada]]&gt;Tabela1[[#This Row],[Comprimento Total]],Tabela1[[#This Row],[Qtde. Lançada]],Tabela1[[#This Row],[Comprimento Total]])</f>
        <v>10</v>
      </c>
      <c r="AE266" s="391" t="s">
        <v>92</v>
      </c>
      <c r="AF266" s="391" t="s">
        <v>804</v>
      </c>
      <c r="AG266" s="391">
        <f ca="1">SUMIF('Lançamento de Cabos'!AE:AK,Tabela1[[#This Row],[Tag do Cabo]],'Lançamento de Cabos'!AG:AG)</f>
        <v>3</v>
      </c>
      <c r="AH266" s="29">
        <f>IFERROR(VLOOKUP(Tabela1[[#This Row],[Tag do Cabo]],'Lançamento de Cabos'!AE:AK,7,0),0)</f>
        <v>0.5</v>
      </c>
      <c r="AI266" s="262" t="s">
        <v>98</v>
      </c>
      <c r="AJ266" s="212" t="s">
        <v>836</v>
      </c>
      <c r="AK266" s="46">
        <v>932951</v>
      </c>
    </row>
    <row r="267" spans="1:37" s="262" customFormat="1" ht="15" customHeight="1" x14ac:dyDescent="0.2">
      <c r="A267" s="168" t="s">
        <v>846</v>
      </c>
      <c r="B267" s="391" t="s">
        <v>38</v>
      </c>
      <c r="C267" s="391">
        <v>125</v>
      </c>
      <c r="D267" s="391" t="s">
        <v>80</v>
      </c>
      <c r="E267" s="3" t="s">
        <v>819</v>
      </c>
      <c r="F267" s="11">
        <v>2.5</v>
      </c>
      <c r="G267" s="391">
        <v>1</v>
      </c>
      <c r="H267" s="391">
        <v>10</v>
      </c>
      <c r="I267" s="391">
        <v>10</v>
      </c>
      <c r="J267" s="391" t="s">
        <v>804</v>
      </c>
      <c r="K267" s="262" t="s">
        <v>847</v>
      </c>
      <c r="L267" s="262" t="s">
        <v>835</v>
      </c>
      <c r="M267" s="22" t="s">
        <v>85</v>
      </c>
      <c r="N267" s="23" t="str">
        <f t="shared" si="8"/>
        <v>Sim</v>
      </c>
      <c r="O267" s="22" t="s">
        <v>86</v>
      </c>
      <c r="P267" s="22" t="s">
        <v>86</v>
      </c>
      <c r="Q267" s="391" t="s">
        <v>139</v>
      </c>
      <c r="R267" s="23">
        <f>SUMIF('Lançamento de Cabos'!$B:$B,Tabela1[[#This Row],[Tag do Cabo]],'Lançamento de Cabos'!$C:$C)</f>
        <v>10</v>
      </c>
      <c r="S267" s="391">
        <f>VLOOKUP(Tabela1[[#This Row],[Tag do Cabo]],'Diagramas Ligações'!A:V,14,0)</f>
        <v>18</v>
      </c>
      <c r="T267" s="262" t="s">
        <v>88</v>
      </c>
      <c r="U267" s="391">
        <v>5</v>
      </c>
      <c r="V267" s="391" t="s">
        <v>140</v>
      </c>
      <c r="W267" s="391" t="s">
        <v>808</v>
      </c>
      <c r="X267" s="32">
        <v>44151</v>
      </c>
      <c r="Y267" s="32">
        <v>44159</v>
      </c>
      <c r="Z267" s="3" t="s">
        <v>822</v>
      </c>
      <c r="AA267" s="45">
        <v>71</v>
      </c>
      <c r="AB26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7" s="262" t="s">
        <v>482</v>
      </c>
      <c r="AD267" s="391">
        <f>IF(Tabela1[[#This Row],[Qtde. Lançada]]&gt;Tabela1[[#This Row],[Comprimento Total]],Tabela1[[#This Row],[Qtde. Lançada]],Tabela1[[#This Row],[Comprimento Total]])</f>
        <v>10</v>
      </c>
      <c r="AE267" s="391" t="s">
        <v>92</v>
      </c>
      <c r="AF267" s="391" t="s">
        <v>804</v>
      </c>
      <c r="AG267" s="391">
        <f ca="1">SUMIF('Lançamento de Cabos'!AE:AK,Tabela1[[#This Row],[Tag do Cabo]],'Lançamento de Cabos'!AG:AG)</f>
        <v>18</v>
      </c>
      <c r="AH267" s="29">
        <f>IFERROR(VLOOKUP(Tabela1[[#This Row],[Tag do Cabo]],'Lançamento de Cabos'!AE:AK,7,0),0)</f>
        <v>1</v>
      </c>
      <c r="AI267" s="262" t="s">
        <v>98</v>
      </c>
      <c r="AJ267" s="212" t="s">
        <v>836</v>
      </c>
      <c r="AK267" s="46">
        <v>932951</v>
      </c>
    </row>
    <row r="268" spans="1:37" s="262" customFormat="1" ht="15" customHeight="1" x14ac:dyDescent="0.2">
      <c r="A268" s="168" t="s">
        <v>848</v>
      </c>
      <c r="B268" s="391" t="s">
        <v>38</v>
      </c>
      <c r="C268" s="391">
        <v>125</v>
      </c>
      <c r="D268" s="391" t="s">
        <v>80</v>
      </c>
      <c r="E268" s="3" t="s">
        <v>819</v>
      </c>
      <c r="F268" s="11">
        <v>2.5</v>
      </c>
      <c r="G268" s="391">
        <v>1</v>
      </c>
      <c r="H268" s="391">
        <v>10</v>
      </c>
      <c r="I268" s="391">
        <v>10</v>
      </c>
      <c r="J268" s="391" t="s">
        <v>804</v>
      </c>
      <c r="K268" s="262" t="s">
        <v>847</v>
      </c>
      <c r="L268" s="262" t="s">
        <v>838</v>
      </c>
      <c r="M268" s="22" t="s">
        <v>85</v>
      </c>
      <c r="N268" s="23" t="str">
        <f t="shared" si="8"/>
        <v>Sim</v>
      </c>
      <c r="O268" s="22" t="s">
        <v>86</v>
      </c>
      <c r="P268" s="22" t="s">
        <v>86</v>
      </c>
      <c r="Q268" s="391" t="s">
        <v>139</v>
      </c>
      <c r="R268" s="23">
        <f>SUMIF('Lançamento de Cabos'!$B:$B,Tabela1[[#This Row],[Tag do Cabo]],'Lançamento de Cabos'!$C:$C)</f>
        <v>10</v>
      </c>
      <c r="S268" s="391">
        <f>VLOOKUP(Tabela1[[#This Row],[Tag do Cabo]],'Diagramas Ligações'!A:V,14,0)</f>
        <v>16</v>
      </c>
      <c r="T268" s="262" t="s">
        <v>88</v>
      </c>
      <c r="U268" s="391">
        <v>5</v>
      </c>
      <c r="V268" s="391" t="s">
        <v>140</v>
      </c>
      <c r="W268" s="391" t="s">
        <v>808</v>
      </c>
      <c r="X268" s="32">
        <v>44151</v>
      </c>
      <c r="Y268" s="32">
        <v>44159</v>
      </c>
      <c r="Z268" s="3" t="s">
        <v>822</v>
      </c>
      <c r="AA268" s="45">
        <v>71</v>
      </c>
      <c r="AB26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8" s="262" t="s">
        <v>482</v>
      </c>
      <c r="AD268" s="391">
        <f>IF(Tabela1[[#This Row],[Qtde. Lançada]]&gt;Tabela1[[#This Row],[Comprimento Total]],Tabela1[[#This Row],[Qtde. Lançada]],Tabela1[[#This Row],[Comprimento Total]])</f>
        <v>10</v>
      </c>
      <c r="AE268" s="391" t="s">
        <v>92</v>
      </c>
      <c r="AF268" s="391" t="s">
        <v>804</v>
      </c>
      <c r="AG268" s="391">
        <f ca="1">SUMIF('Lançamento de Cabos'!AE:AK,Tabela1[[#This Row],[Tag do Cabo]],'Lançamento de Cabos'!AG:AG)</f>
        <v>16</v>
      </c>
      <c r="AH268" s="29">
        <f>IFERROR(VLOOKUP(Tabela1[[#This Row],[Tag do Cabo]],'Lançamento de Cabos'!AE:AK,7,0),0)</f>
        <v>1</v>
      </c>
      <c r="AI268" s="262" t="s">
        <v>98</v>
      </c>
      <c r="AJ268" s="212" t="s">
        <v>839</v>
      </c>
      <c r="AK268" s="46">
        <v>932951</v>
      </c>
    </row>
    <row r="269" spans="1:37" s="262" customFormat="1" ht="15" customHeight="1" x14ac:dyDescent="0.2">
      <c r="A269" s="168" t="s">
        <v>849</v>
      </c>
      <c r="B269" s="391" t="s">
        <v>38</v>
      </c>
      <c r="C269" s="391">
        <v>125</v>
      </c>
      <c r="D269" s="391" t="s">
        <v>80</v>
      </c>
      <c r="E269" s="3" t="s">
        <v>136</v>
      </c>
      <c r="F269" s="11">
        <v>2.5</v>
      </c>
      <c r="G269" s="391">
        <v>1</v>
      </c>
      <c r="H269" s="391">
        <v>10</v>
      </c>
      <c r="I269" s="391">
        <v>10</v>
      </c>
      <c r="J269" s="391" t="s">
        <v>804</v>
      </c>
      <c r="K269" s="262" t="s">
        <v>850</v>
      </c>
      <c r="L269" s="262" t="s">
        <v>851</v>
      </c>
      <c r="M269" s="22" t="s">
        <v>85</v>
      </c>
      <c r="N269" s="23" t="str">
        <f t="shared" si="8"/>
        <v>Sim</v>
      </c>
      <c r="O269" s="22" t="s">
        <v>86</v>
      </c>
      <c r="P269" s="22" t="s">
        <v>86</v>
      </c>
      <c r="Q269" s="91" t="s">
        <v>139</v>
      </c>
      <c r="R269" s="23">
        <f>SUMIF('Lançamento de Cabos'!$B:$B,Tabela1[[#This Row],[Tag do Cabo]],'Lançamento de Cabos'!$C:$C)</f>
        <v>10</v>
      </c>
      <c r="S269" s="391">
        <f>VLOOKUP(Tabela1[[#This Row],[Tag do Cabo]],'Diagramas Ligações'!A:V,14,0)</f>
        <v>22</v>
      </c>
      <c r="T269" s="262" t="s">
        <v>88</v>
      </c>
      <c r="U269" s="391">
        <v>5</v>
      </c>
      <c r="V269" s="391" t="s">
        <v>140</v>
      </c>
      <c r="W269" s="391" t="s">
        <v>808</v>
      </c>
      <c r="X269" s="32">
        <v>44151</v>
      </c>
      <c r="Y269" s="32">
        <v>44159</v>
      </c>
      <c r="Z269" s="3" t="s">
        <v>822</v>
      </c>
      <c r="AA269" s="45">
        <v>97</v>
      </c>
      <c r="AB26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69" s="262" t="s">
        <v>482</v>
      </c>
      <c r="AD269" s="391">
        <f>IF(Tabela1[[#This Row],[Qtde. Lançada]]&gt;Tabela1[[#This Row],[Comprimento Total]],Tabela1[[#This Row],[Qtde. Lançada]],Tabela1[[#This Row],[Comprimento Total]])</f>
        <v>10</v>
      </c>
      <c r="AE269" s="391" t="s">
        <v>92</v>
      </c>
      <c r="AF269" s="391" t="s">
        <v>804</v>
      </c>
      <c r="AG269" s="391">
        <f ca="1">SUMIF('Lançamento de Cabos'!AE:AK,Tabela1[[#This Row],[Tag do Cabo]],'Lançamento de Cabos'!AG:AG)</f>
        <v>11</v>
      </c>
      <c r="AH269" s="29">
        <f>IFERROR(VLOOKUP(Tabela1[[#This Row],[Tag do Cabo]],'Lançamento de Cabos'!AE:AK,7,0),0)</f>
        <v>0.5</v>
      </c>
      <c r="AI269" s="262" t="s">
        <v>98</v>
      </c>
      <c r="AJ269" s="212" t="s">
        <v>852</v>
      </c>
      <c r="AK269" s="46">
        <v>9044579</v>
      </c>
    </row>
    <row r="270" spans="1:37" s="262" customFormat="1" ht="15" customHeight="1" x14ac:dyDescent="0.2">
      <c r="A270" s="168" t="s">
        <v>853</v>
      </c>
      <c r="B270" s="391" t="s">
        <v>38</v>
      </c>
      <c r="C270" s="391">
        <v>125</v>
      </c>
      <c r="D270" s="391" t="s">
        <v>80</v>
      </c>
      <c r="E270" s="3" t="s">
        <v>819</v>
      </c>
      <c r="F270" s="11">
        <v>2.5</v>
      </c>
      <c r="G270" s="391">
        <v>1</v>
      </c>
      <c r="H270" s="391">
        <v>10</v>
      </c>
      <c r="I270" s="391">
        <v>10</v>
      </c>
      <c r="J270" s="391" t="s">
        <v>804</v>
      </c>
      <c r="K270" s="262" t="s">
        <v>847</v>
      </c>
      <c r="L270" s="262" t="s">
        <v>841</v>
      </c>
      <c r="M270" s="22" t="s">
        <v>85</v>
      </c>
      <c r="N270" s="23" t="str">
        <f t="shared" si="8"/>
        <v>Sim</v>
      </c>
      <c r="O270" s="22" t="s">
        <v>86</v>
      </c>
      <c r="P270" s="22" t="s">
        <v>86</v>
      </c>
      <c r="Q270" s="391" t="s">
        <v>139</v>
      </c>
      <c r="R270" s="23">
        <f>SUMIF('Lançamento de Cabos'!$B:$B,Tabela1[[#This Row],[Tag do Cabo]],'Lançamento de Cabos'!$C:$C)</f>
        <v>10</v>
      </c>
      <c r="S270" s="391">
        <f>VLOOKUP(Tabela1[[#This Row],[Tag do Cabo]],'Diagramas Ligações'!A:V,14,0)</f>
        <v>4</v>
      </c>
      <c r="T270" s="262" t="s">
        <v>88</v>
      </c>
      <c r="U270" s="391">
        <v>5</v>
      </c>
      <c r="V270" s="391" t="s">
        <v>140</v>
      </c>
      <c r="W270" s="391" t="s">
        <v>808</v>
      </c>
      <c r="X270" s="32">
        <v>44151</v>
      </c>
      <c r="Y270" s="32">
        <v>44159</v>
      </c>
      <c r="Z270" s="3" t="s">
        <v>822</v>
      </c>
      <c r="AA270" s="45">
        <v>71</v>
      </c>
      <c r="AB27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0" s="262" t="s">
        <v>482</v>
      </c>
      <c r="AD270" s="391">
        <f>IF(Tabela1[[#This Row],[Qtde. Lançada]]&gt;Tabela1[[#This Row],[Comprimento Total]],Tabela1[[#This Row],[Qtde. Lançada]],Tabela1[[#This Row],[Comprimento Total]])</f>
        <v>10</v>
      </c>
      <c r="AE270" s="391" t="s">
        <v>92</v>
      </c>
      <c r="AF270" s="391" t="s">
        <v>804</v>
      </c>
      <c r="AG270" s="391">
        <f ca="1">SUMIF('Lançamento de Cabos'!AE:AK,Tabela1[[#This Row],[Tag do Cabo]],'Lançamento de Cabos'!AG:AG)</f>
        <v>4</v>
      </c>
      <c r="AH270" s="29">
        <f>IFERROR(VLOOKUP(Tabela1[[#This Row],[Tag do Cabo]],'Lançamento de Cabos'!AE:AK,7,0),0)</f>
        <v>1</v>
      </c>
      <c r="AI270" s="262" t="s">
        <v>98</v>
      </c>
      <c r="AJ270" s="212" t="s">
        <v>842</v>
      </c>
      <c r="AK270" s="46">
        <v>932951</v>
      </c>
    </row>
    <row r="271" spans="1:37" s="262" customFormat="1" ht="15" customHeight="1" x14ac:dyDescent="0.2">
      <c r="A271" s="168" t="s">
        <v>854</v>
      </c>
      <c r="B271" s="391" t="s">
        <v>37</v>
      </c>
      <c r="C271" s="391">
        <v>220</v>
      </c>
      <c r="D271" s="391" t="s">
        <v>80</v>
      </c>
      <c r="E271" s="3" t="s">
        <v>81</v>
      </c>
      <c r="F271" s="11">
        <v>4</v>
      </c>
      <c r="G271" s="391">
        <v>1</v>
      </c>
      <c r="H271" s="391">
        <v>10</v>
      </c>
      <c r="I271" s="391">
        <v>10</v>
      </c>
      <c r="J271" s="391" t="s">
        <v>804</v>
      </c>
      <c r="K271" s="262" t="s">
        <v>855</v>
      </c>
      <c r="L271" s="262" t="s">
        <v>856</v>
      </c>
      <c r="M271" s="22" t="s">
        <v>85</v>
      </c>
      <c r="N271" s="391" t="str">
        <f t="shared" si="8"/>
        <v>Sim</v>
      </c>
      <c r="O271" s="22" t="s">
        <v>86</v>
      </c>
      <c r="P271" s="22" t="s">
        <v>86</v>
      </c>
      <c r="Q271" s="91" t="s">
        <v>87</v>
      </c>
      <c r="R271" s="391">
        <f>SUMIF('Lançamento de Cabos'!$B:$B,Tabela1[[#This Row],[Tag do Cabo]],'Lançamento de Cabos'!$C:$C)</f>
        <v>10</v>
      </c>
      <c r="S271" s="391">
        <f>VLOOKUP(Tabela1[[#This Row],[Tag do Cabo]],'Diagramas Ligações'!A:V,14,0)</f>
        <v>4</v>
      </c>
      <c r="T271" s="262" t="s">
        <v>88</v>
      </c>
      <c r="U271" s="391">
        <v>5</v>
      </c>
      <c r="V271" s="391"/>
      <c r="W271" s="391" t="s">
        <v>808</v>
      </c>
      <c r="X271" s="32">
        <v>44151</v>
      </c>
      <c r="Y271" s="32">
        <v>44154</v>
      </c>
      <c r="Z271" s="3" t="s">
        <v>857</v>
      </c>
      <c r="AA271" s="45">
        <v>72</v>
      </c>
      <c r="AB27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1" s="262" t="s">
        <v>482</v>
      </c>
      <c r="AD271" s="391">
        <f>IF(Tabela1[[#This Row],[Qtde. Lançada]]&gt;Tabela1[[#This Row],[Comprimento Total]],Tabela1[[#This Row],[Qtde. Lançada]],Tabela1[[#This Row],[Comprimento Total]])</f>
        <v>10</v>
      </c>
      <c r="AE271" s="391" t="s">
        <v>92</v>
      </c>
      <c r="AF271" s="391" t="s">
        <v>804</v>
      </c>
      <c r="AG271" s="391">
        <f ca="1">SUMIF('Lançamento de Cabos'!AE:AK,Tabela1[[#This Row],[Tag do Cabo]],'Lançamento de Cabos'!AG:AG)</f>
        <v>4</v>
      </c>
      <c r="AH271" s="29">
        <f>IFERROR(VLOOKUP(Tabela1[[#This Row],[Tag do Cabo]],'Lançamento de Cabos'!AE:AK,7,0),0)</f>
        <v>1</v>
      </c>
      <c r="AI271" s="262" t="s">
        <v>811</v>
      </c>
      <c r="AJ271" s="212" t="s">
        <v>209</v>
      </c>
      <c r="AK271" s="46">
        <v>330260</v>
      </c>
    </row>
    <row r="272" spans="1:37" s="262" customFormat="1" ht="15" customHeight="1" x14ac:dyDescent="0.2">
      <c r="A272" s="168" t="s">
        <v>858</v>
      </c>
      <c r="B272" s="391" t="s">
        <v>37</v>
      </c>
      <c r="C272" s="391">
        <v>220</v>
      </c>
      <c r="D272" s="391" t="s">
        <v>80</v>
      </c>
      <c r="E272" s="3" t="s">
        <v>81</v>
      </c>
      <c r="F272" s="11">
        <v>4</v>
      </c>
      <c r="G272" s="391">
        <v>1</v>
      </c>
      <c r="H272" s="391">
        <v>10</v>
      </c>
      <c r="I272" s="391">
        <v>10</v>
      </c>
      <c r="J272" s="391" t="s">
        <v>804</v>
      </c>
      <c r="K272" s="262" t="s">
        <v>855</v>
      </c>
      <c r="L272" s="262" t="s">
        <v>805</v>
      </c>
      <c r="M272" s="22" t="s">
        <v>85</v>
      </c>
      <c r="N272" s="391" t="str">
        <f t="shared" si="8"/>
        <v>Sim</v>
      </c>
      <c r="O272" s="22" t="s">
        <v>86</v>
      </c>
      <c r="P272" s="22" t="s">
        <v>86</v>
      </c>
      <c r="Q272" s="91" t="s">
        <v>87</v>
      </c>
      <c r="R272" s="391">
        <f>SUMIF('Lançamento de Cabos'!$B:$B,Tabela1[[#This Row],[Tag do Cabo]],'Lançamento de Cabos'!$C:$C)</f>
        <v>10</v>
      </c>
      <c r="S272" s="391">
        <f>VLOOKUP(Tabela1[[#This Row],[Tag do Cabo]],'Diagramas Ligações'!A:V,14,0)</f>
        <v>4</v>
      </c>
      <c r="T272" s="262" t="s">
        <v>88</v>
      </c>
      <c r="U272" s="391">
        <v>5</v>
      </c>
      <c r="V272" s="391"/>
      <c r="W272" s="391" t="s">
        <v>808</v>
      </c>
      <c r="X272" s="32">
        <v>44151</v>
      </c>
      <c r="Y272" s="32">
        <v>44154</v>
      </c>
      <c r="Z272" s="3" t="s">
        <v>859</v>
      </c>
      <c r="AA272" s="45">
        <v>72</v>
      </c>
      <c r="AB27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2" s="262" t="s">
        <v>482</v>
      </c>
      <c r="AD272" s="391">
        <f>IF(Tabela1[[#This Row],[Qtde. Lançada]]&gt;Tabela1[[#This Row],[Comprimento Total]],Tabela1[[#This Row],[Qtde. Lançada]],Tabela1[[#This Row],[Comprimento Total]])</f>
        <v>10</v>
      </c>
      <c r="AE272" s="391" t="s">
        <v>92</v>
      </c>
      <c r="AF272" s="391" t="s">
        <v>804</v>
      </c>
      <c r="AG272" s="391">
        <f ca="1">SUMIF('Lançamento de Cabos'!AE:AK,Tabela1[[#This Row],[Tag do Cabo]],'Lançamento de Cabos'!AG:AG)</f>
        <v>4</v>
      </c>
      <c r="AH272" s="29">
        <f>IFERROR(VLOOKUP(Tabela1[[#This Row],[Tag do Cabo]],'Lançamento de Cabos'!AE:AK,7,0),0)</f>
        <v>1</v>
      </c>
      <c r="AI272" s="262" t="s">
        <v>811</v>
      </c>
      <c r="AJ272" s="212" t="s">
        <v>209</v>
      </c>
      <c r="AK272" s="46">
        <v>330260</v>
      </c>
    </row>
    <row r="273" spans="1:37" s="262" customFormat="1" ht="15" customHeight="1" x14ac:dyDescent="0.2">
      <c r="A273" s="323" t="s">
        <v>860</v>
      </c>
      <c r="B273" s="391" t="s">
        <v>37</v>
      </c>
      <c r="C273" s="391">
        <v>220</v>
      </c>
      <c r="D273" s="391" t="s">
        <v>80</v>
      </c>
      <c r="E273" s="3" t="s">
        <v>81</v>
      </c>
      <c r="F273" s="11">
        <v>4</v>
      </c>
      <c r="G273" s="391">
        <v>1</v>
      </c>
      <c r="H273" s="391">
        <v>15</v>
      </c>
      <c r="I273" s="391">
        <v>15</v>
      </c>
      <c r="J273" s="391" t="s">
        <v>804</v>
      </c>
      <c r="K273" s="262" t="s">
        <v>855</v>
      </c>
      <c r="L273" s="262" t="s">
        <v>861</v>
      </c>
      <c r="M273" s="22" t="s">
        <v>85</v>
      </c>
      <c r="N273" s="391" t="str">
        <f t="shared" si="8"/>
        <v>Sim</v>
      </c>
      <c r="O273" s="22" t="s">
        <v>86</v>
      </c>
      <c r="P273" s="22" t="s">
        <v>86</v>
      </c>
      <c r="Q273" s="91" t="s">
        <v>87</v>
      </c>
      <c r="R273" s="391">
        <f>SUMIF('Lançamento de Cabos'!$B:$B,Tabela1[[#This Row],[Tag do Cabo]],'Lançamento de Cabos'!$C:$C)</f>
        <v>15</v>
      </c>
      <c r="S273" s="391">
        <f>VLOOKUP(Tabela1[[#This Row],[Tag do Cabo]],'Diagramas Ligações'!A:V,14,0)</f>
        <v>4</v>
      </c>
      <c r="T273" s="262" t="s">
        <v>88</v>
      </c>
      <c r="U273" s="391">
        <v>5</v>
      </c>
      <c r="V273" s="391"/>
      <c r="W273" s="391" t="s">
        <v>808</v>
      </c>
      <c r="X273" s="32">
        <v>44151</v>
      </c>
      <c r="Y273" s="32">
        <v>44159</v>
      </c>
      <c r="Z273" s="3" t="s">
        <v>822</v>
      </c>
      <c r="AA273" s="45">
        <v>72</v>
      </c>
      <c r="AB27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3" s="262" t="s">
        <v>482</v>
      </c>
      <c r="AD273" s="391">
        <f>IF(Tabela1[[#This Row],[Qtde. Lançada]]&gt;Tabela1[[#This Row],[Comprimento Total]],Tabela1[[#This Row],[Qtde. Lançada]],Tabela1[[#This Row],[Comprimento Total]])</f>
        <v>15</v>
      </c>
      <c r="AE273" s="391" t="s">
        <v>92</v>
      </c>
      <c r="AF273" s="391" t="s">
        <v>804</v>
      </c>
      <c r="AG273" s="391">
        <f ca="1">SUMIF('Lançamento de Cabos'!AE:AK,Tabela1[[#This Row],[Tag do Cabo]],'Lançamento de Cabos'!AG:AG)</f>
        <v>4</v>
      </c>
      <c r="AH273" s="29">
        <f>IFERROR(VLOOKUP(Tabela1[[#This Row],[Tag do Cabo]],'Lançamento de Cabos'!AE:AK,7,0),0)</f>
        <v>1</v>
      </c>
      <c r="AI273" s="262" t="s">
        <v>811</v>
      </c>
      <c r="AJ273" s="212" t="s">
        <v>209</v>
      </c>
      <c r="AK273" s="46">
        <v>330260</v>
      </c>
    </row>
    <row r="274" spans="1:37" s="262" customFormat="1" ht="15" customHeight="1" x14ac:dyDescent="0.2">
      <c r="A274" s="168" t="s">
        <v>862</v>
      </c>
      <c r="B274" s="391" t="s">
        <v>37</v>
      </c>
      <c r="C274" s="391">
        <v>127</v>
      </c>
      <c r="D274" s="391" t="s">
        <v>80</v>
      </c>
      <c r="E274" s="3" t="s">
        <v>81</v>
      </c>
      <c r="F274" s="11">
        <v>4</v>
      </c>
      <c r="G274" s="391">
        <v>1</v>
      </c>
      <c r="H274" s="391">
        <v>10</v>
      </c>
      <c r="I274" s="391">
        <v>10</v>
      </c>
      <c r="J274" s="391" t="s">
        <v>804</v>
      </c>
      <c r="K274" s="262" t="s">
        <v>855</v>
      </c>
      <c r="L274" s="262" t="s">
        <v>863</v>
      </c>
      <c r="M274" s="22" t="s">
        <v>85</v>
      </c>
      <c r="N274" s="391" t="str">
        <f t="shared" si="8"/>
        <v>Sim</v>
      </c>
      <c r="O274" s="22" t="s">
        <v>86</v>
      </c>
      <c r="P274" s="22" t="s">
        <v>86</v>
      </c>
      <c r="Q274" s="91" t="s">
        <v>87</v>
      </c>
      <c r="R274" s="391">
        <f>SUMIF('Lançamento de Cabos'!$B:$B,Tabela1[[#This Row],[Tag do Cabo]],'Lançamento de Cabos'!$C:$C)</f>
        <v>10</v>
      </c>
      <c r="S274" s="391">
        <f>VLOOKUP(Tabela1[[#This Row],[Tag do Cabo]],'Diagramas Ligações'!A:V,14,0)</f>
        <v>4</v>
      </c>
      <c r="T274" s="262" t="s">
        <v>88</v>
      </c>
      <c r="U274" s="391">
        <v>5</v>
      </c>
      <c r="V274" s="391"/>
      <c r="W274" s="391" t="s">
        <v>808</v>
      </c>
      <c r="X274" s="32">
        <v>44151</v>
      </c>
      <c r="Y274" s="32">
        <v>44159</v>
      </c>
      <c r="Z274" s="3" t="s">
        <v>822</v>
      </c>
      <c r="AA274" s="45">
        <v>72</v>
      </c>
      <c r="AB27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4" s="262" t="s">
        <v>482</v>
      </c>
      <c r="AD274" s="391">
        <f>IF(Tabela1[[#This Row],[Qtde. Lançada]]&gt;Tabela1[[#This Row],[Comprimento Total]],Tabela1[[#This Row],[Qtde. Lançada]],Tabela1[[#This Row],[Comprimento Total]])</f>
        <v>10</v>
      </c>
      <c r="AE274" s="391" t="s">
        <v>92</v>
      </c>
      <c r="AF274" s="391" t="s">
        <v>804</v>
      </c>
      <c r="AG274" s="391">
        <f ca="1">SUMIF('Lançamento de Cabos'!AE:AK,Tabela1[[#This Row],[Tag do Cabo]],'Lançamento de Cabos'!AG:AG)</f>
        <v>4</v>
      </c>
      <c r="AH274" s="29">
        <f>IFERROR(VLOOKUP(Tabela1[[#This Row],[Tag do Cabo]],'Lançamento de Cabos'!AE:AK,7,0),0)</f>
        <v>1</v>
      </c>
      <c r="AI274" s="262" t="s">
        <v>811</v>
      </c>
      <c r="AJ274" s="212" t="s">
        <v>209</v>
      </c>
      <c r="AK274" s="46">
        <v>330260</v>
      </c>
    </row>
    <row r="275" spans="1:37" s="262" customFormat="1" ht="15" customHeight="1" x14ac:dyDescent="0.2">
      <c r="A275" s="168" t="s">
        <v>864</v>
      </c>
      <c r="B275" s="391" t="s">
        <v>37</v>
      </c>
      <c r="C275" s="391">
        <v>127</v>
      </c>
      <c r="D275" s="391" t="s">
        <v>80</v>
      </c>
      <c r="E275" s="3" t="s">
        <v>81</v>
      </c>
      <c r="F275" s="11">
        <v>4</v>
      </c>
      <c r="G275" s="391">
        <v>1</v>
      </c>
      <c r="H275" s="391">
        <v>10</v>
      </c>
      <c r="I275" s="391">
        <v>10</v>
      </c>
      <c r="J275" s="391" t="s">
        <v>804</v>
      </c>
      <c r="K275" s="262" t="s">
        <v>855</v>
      </c>
      <c r="L275" s="262" t="s">
        <v>865</v>
      </c>
      <c r="M275" s="22" t="s">
        <v>85</v>
      </c>
      <c r="N275" s="391" t="str">
        <f t="shared" si="8"/>
        <v>Sim</v>
      </c>
      <c r="O275" s="22" t="s">
        <v>86</v>
      </c>
      <c r="P275" s="22" t="s">
        <v>86</v>
      </c>
      <c r="Q275" s="91" t="s">
        <v>87</v>
      </c>
      <c r="R275" s="391">
        <f>SUMIF('Lançamento de Cabos'!$B:$B,Tabela1[[#This Row],[Tag do Cabo]],'Lançamento de Cabos'!$C:$C)</f>
        <v>14</v>
      </c>
      <c r="S275" s="391">
        <f>VLOOKUP(Tabela1[[#This Row],[Tag do Cabo]],'Diagramas Ligações'!A:V,14,0)</f>
        <v>4</v>
      </c>
      <c r="T275" s="262" t="s">
        <v>88</v>
      </c>
      <c r="U275" s="391">
        <v>5</v>
      </c>
      <c r="V275" s="391"/>
      <c r="W275" s="391" t="s">
        <v>808</v>
      </c>
      <c r="X275" s="32">
        <v>44151</v>
      </c>
      <c r="Y275" s="32">
        <v>44159</v>
      </c>
      <c r="Z275" s="3" t="s">
        <v>822</v>
      </c>
      <c r="AA275" s="45">
        <v>72</v>
      </c>
      <c r="AB27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5" s="262" t="s">
        <v>482</v>
      </c>
      <c r="AD275" s="391">
        <f>IF(Tabela1[[#This Row],[Qtde. Lançada]]&gt;Tabela1[[#This Row],[Comprimento Total]],Tabela1[[#This Row],[Qtde. Lançada]],Tabela1[[#This Row],[Comprimento Total]])</f>
        <v>14</v>
      </c>
      <c r="AE275" s="391" t="s">
        <v>92</v>
      </c>
      <c r="AF275" s="391" t="s">
        <v>804</v>
      </c>
      <c r="AG275" s="391">
        <f ca="1">SUMIF('Lançamento de Cabos'!AE:AK,Tabela1[[#This Row],[Tag do Cabo]],'Lançamento de Cabos'!AG:AG)</f>
        <v>4</v>
      </c>
      <c r="AH275" s="29">
        <f>IFERROR(VLOOKUP(Tabela1[[#This Row],[Tag do Cabo]],'Lançamento de Cabos'!AE:AK,7,0),0)</f>
        <v>1</v>
      </c>
      <c r="AI275" s="262" t="s">
        <v>811</v>
      </c>
      <c r="AJ275" s="212" t="s">
        <v>209</v>
      </c>
      <c r="AK275" s="46">
        <v>330260</v>
      </c>
    </row>
    <row r="276" spans="1:37" s="262" customFormat="1" ht="15" customHeight="1" x14ac:dyDescent="0.2">
      <c r="A276" s="168" t="s">
        <v>866</v>
      </c>
      <c r="B276" s="391" t="s">
        <v>37</v>
      </c>
      <c r="C276" s="391">
        <v>220</v>
      </c>
      <c r="D276" s="391" t="s">
        <v>80</v>
      </c>
      <c r="E276" s="3" t="s">
        <v>81</v>
      </c>
      <c r="F276" s="11">
        <v>4</v>
      </c>
      <c r="G276" s="391">
        <v>1</v>
      </c>
      <c r="H276" s="391">
        <v>10</v>
      </c>
      <c r="I276" s="391">
        <v>10</v>
      </c>
      <c r="J276" s="391" t="s">
        <v>804</v>
      </c>
      <c r="K276" s="262" t="s">
        <v>855</v>
      </c>
      <c r="L276" s="262" t="s">
        <v>815</v>
      </c>
      <c r="M276" s="22" t="s">
        <v>85</v>
      </c>
      <c r="N276" s="391" t="str">
        <f t="shared" si="8"/>
        <v>Sim</v>
      </c>
      <c r="O276" s="22" t="s">
        <v>86</v>
      </c>
      <c r="P276" s="22" t="s">
        <v>86</v>
      </c>
      <c r="Q276" s="91" t="s">
        <v>87</v>
      </c>
      <c r="R276" s="391">
        <f>SUMIF('Lançamento de Cabos'!$B:$B,Tabela1[[#This Row],[Tag do Cabo]],'Lançamento de Cabos'!$C:$C)</f>
        <v>10</v>
      </c>
      <c r="S276" s="391">
        <f>VLOOKUP(Tabela1[[#This Row],[Tag do Cabo]],'Diagramas Ligações'!A:V,14,0)</f>
        <v>4</v>
      </c>
      <c r="T276" s="262" t="s">
        <v>88</v>
      </c>
      <c r="U276" s="391">
        <v>5</v>
      </c>
      <c r="V276" s="391"/>
      <c r="W276" s="391" t="s">
        <v>808</v>
      </c>
      <c r="X276" s="32">
        <v>44151</v>
      </c>
      <c r="Y276" s="32">
        <v>44154</v>
      </c>
      <c r="Z276" s="3" t="s">
        <v>857</v>
      </c>
      <c r="AA276" s="45">
        <v>72</v>
      </c>
      <c r="AB27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6" s="262" t="s">
        <v>482</v>
      </c>
      <c r="AD276" s="391">
        <f>IF(Tabela1[[#This Row],[Qtde. Lançada]]&gt;Tabela1[[#This Row],[Comprimento Total]],Tabela1[[#This Row],[Qtde. Lançada]],Tabela1[[#This Row],[Comprimento Total]])</f>
        <v>10</v>
      </c>
      <c r="AE276" s="391" t="s">
        <v>92</v>
      </c>
      <c r="AF276" s="391" t="s">
        <v>804</v>
      </c>
      <c r="AG276" s="391">
        <f ca="1">SUMIF('Lançamento de Cabos'!AE:AK,Tabela1[[#This Row],[Tag do Cabo]],'Lançamento de Cabos'!AG:AG)</f>
        <v>4</v>
      </c>
      <c r="AH276" s="29">
        <f>IFERROR(VLOOKUP(Tabela1[[#This Row],[Tag do Cabo]],'Lançamento de Cabos'!AE:AK,7,0),0)</f>
        <v>1</v>
      </c>
      <c r="AI276" s="262" t="s">
        <v>811</v>
      </c>
      <c r="AJ276" s="212" t="s">
        <v>212</v>
      </c>
      <c r="AK276" s="46">
        <v>330260</v>
      </c>
    </row>
    <row r="277" spans="1:37" s="262" customFormat="1" ht="15" customHeight="1" x14ac:dyDescent="0.2">
      <c r="A277" s="168" t="s">
        <v>867</v>
      </c>
      <c r="B277" s="391" t="s">
        <v>37</v>
      </c>
      <c r="C277" s="391">
        <v>127</v>
      </c>
      <c r="D277" s="391" t="s">
        <v>80</v>
      </c>
      <c r="E277" s="3" t="s">
        <v>81</v>
      </c>
      <c r="F277" s="11">
        <v>4</v>
      </c>
      <c r="G277" s="391">
        <v>1</v>
      </c>
      <c r="H277" s="391">
        <v>10</v>
      </c>
      <c r="I277" s="391">
        <v>10</v>
      </c>
      <c r="J277" s="391" t="s">
        <v>804</v>
      </c>
      <c r="K277" s="262" t="s">
        <v>855</v>
      </c>
      <c r="L277" s="262" t="s">
        <v>868</v>
      </c>
      <c r="M277" s="22" t="s">
        <v>85</v>
      </c>
      <c r="N277" s="391" t="str">
        <f t="shared" si="8"/>
        <v>Sim</v>
      </c>
      <c r="O277" s="22" t="s">
        <v>86</v>
      </c>
      <c r="P277" s="22" t="s">
        <v>86</v>
      </c>
      <c r="Q277" s="91" t="s">
        <v>87</v>
      </c>
      <c r="R277" s="391">
        <f>SUMIF('Lançamento de Cabos'!$B:$B,Tabela1[[#This Row],[Tag do Cabo]],'Lançamento de Cabos'!$C:$C)</f>
        <v>10</v>
      </c>
      <c r="S277" s="391">
        <f>VLOOKUP(Tabela1[[#This Row],[Tag do Cabo]],'Diagramas Ligações'!A:V,14,0)</f>
        <v>4</v>
      </c>
      <c r="T277" s="262" t="s">
        <v>88</v>
      </c>
      <c r="U277" s="391">
        <v>5</v>
      </c>
      <c r="V277" s="391"/>
      <c r="W277" s="391" t="s">
        <v>808</v>
      </c>
      <c r="X277" s="32">
        <v>44151</v>
      </c>
      <c r="Y277" s="32">
        <v>44159</v>
      </c>
      <c r="Z277" s="3" t="s">
        <v>822</v>
      </c>
      <c r="AA277" s="45">
        <v>72</v>
      </c>
      <c r="AB27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7" s="262" t="s">
        <v>482</v>
      </c>
      <c r="AD277" s="391">
        <f>IF(Tabela1[[#This Row],[Qtde. Lançada]]&gt;Tabela1[[#This Row],[Comprimento Total]],Tabela1[[#This Row],[Qtde. Lançada]],Tabela1[[#This Row],[Comprimento Total]])</f>
        <v>10</v>
      </c>
      <c r="AE277" s="391" t="s">
        <v>92</v>
      </c>
      <c r="AF277" s="391" t="s">
        <v>804</v>
      </c>
      <c r="AG277" s="391">
        <f ca="1">SUMIF('Lançamento de Cabos'!AE:AK,Tabela1[[#This Row],[Tag do Cabo]],'Lançamento de Cabos'!AG:AG)</f>
        <v>4</v>
      </c>
      <c r="AH277" s="29">
        <f>IFERROR(VLOOKUP(Tabela1[[#This Row],[Tag do Cabo]],'Lançamento de Cabos'!AE:AK,7,0),0)</f>
        <v>1</v>
      </c>
      <c r="AI277" s="262" t="s">
        <v>811</v>
      </c>
      <c r="AJ277" s="212" t="s">
        <v>869</v>
      </c>
      <c r="AK277" s="46">
        <v>330260</v>
      </c>
    </row>
    <row r="278" spans="1:37" s="262" customFormat="1" ht="15" customHeight="1" x14ac:dyDescent="0.2">
      <c r="A278" s="168" t="s">
        <v>870</v>
      </c>
      <c r="B278" s="391" t="s">
        <v>37</v>
      </c>
      <c r="C278" s="391">
        <v>125</v>
      </c>
      <c r="D278" s="391" t="s">
        <v>80</v>
      </c>
      <c r="E278" s="3" t="s">
        <v>81</v>
      </c>
      <c r="F278" s="11">
        <v>4</v>
      </c>
      <c r="G278" s="391">
        <v>1</v>
      </c>
      <c r="H278" s="391">
        <v>10</v>
      </c>
      <c r="I278" s="391">
        <v>10</v>
      </c>
      <c r="J278" s="391" t="s">
        <v>804</v>
      </c>
      <c r="K278" s="262" t="s">
        <v>815</v>
      </c>
      <c r="L278" s="262" t="s">
        <v>856</v>
      </c>
      <c r="M278" s="22" t="s">
        <v>85</v>
      </c>
      <c r="N278" s="391" t="str">
        <f t="shared" si="8"/>
        <v>Sim</v>
      </c>
      <c r="O278" s="22" t="s">
        <v>86</v>
      </c>
      <c r="P278" s="22" t="s">
        <v>86</v>
      </c>
      <c r="Q278" s="91" t="s">
        <v>87</v>
      </c>
      <c r="R278" s="391">
        <f>SUMIF('Lançamento de Cabos'!$B:$B,Tabela1[[#This Row],[Tag do Cabo]],'Lançamento de Cabos'!$C:$C)</f>
        <v>10</v>
      </c>
      <c r="S278" s="391">
        <f>VLOOKUP(Tabela1[[#This Row],[Tag do Cabo]],'Diagramas Ligações'!A:V,14,0)</f>
        <v>4</v>
      </c>
      <c r="T278" s="262" t="s">
        <v>88</v>
      </c>
      <c r="U278" s="391">
        <v>5</v>
      </c>
      <c r="V278" s="391"/>
      <c r="W278" s="391" t="s">
        <v>808</v>
      </c>
      <c r="X278" s="32">
        <v>44151</v>
      </c>
      <c r="Y278" s="32">
        <v>44154</v>
      </c>
      <c r="Z278" s="3" t="s">
        <v>857</v>
      </c>
      <c r="AA278" s="45">
        <v>72</v>
      </c>
      <c r="AB27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8" s="262" t="s">
        <v>482</v>
      </c>
      <c r="AD278" s="391">
        <f>IF(Tabela1[[#This Row],[Qtde. Lançada]]&gt;Tabela1[[#This Row],[Comprimento Total]],Tabela1[[#This Row],[Qtde. Lançada]],Tabela1[[#This Row],[Comprimento Total]])</f>
        <v>10</v>
      </c>
      <c r="AE278" s="391" t="s">
        <v>92</v>
      </c>
      <c r="AF278" s="391" t="s">
        <v>804</v>
      </c>
      <c r="AG278" s="391">
        <f ca="1">SUMIF('Lançamento de Cabos'!AE:AK,Tabela1[[#This Row],[Tag do Cabo]],'Lançamento de Cabos'!AG:AG)</f>
        <v>4</v>
      </c>
      <c r="AH278" s="29">
        <f>IFERROR(VLOOKUP(Tabela1[[#This Row],[Tag do Cabo]],'Lançamento de Cabos'!AE:AK,7,0),0)</f>
        <v>1</v>
      </c>
      <c r="AI278" s="262" t="s">
        <v>811</v>
      </c>
      <c r="AJ278" s="212" t="s">
        <v>212</v>
      </c>
      <c r="AK278" s="46">
        <v>330260</v>
      </c>
    </row>
    <row r="279" spans="1:37" s="262" customFormat="1" ht="15" customHeight="1" x14ac:dyDescent="0.2">
      <c r="A279" s="168" t="s">
        <v>871</v>
      </c>
      <c r="B279" s="391" t="s">
        <v>37</v>
      </c>
      <c r="C279" s="391">
        <v>125</v>
      </c>
      <c r="D279" s="391" t="s">
        <v>80</v>
      </c>
      <c r="E279" s="3" t="s">
        <v>81</v>
      </c>
      <c r="F279" s="11">
        <v>4</v>
      </c>
      <c r="G279" s="391">
        <v>1</v>
      </c>
      <c r="H279" s="391">
        <v>10</v>
      </c>
      <c r="I279" s="391">
        <v>10</v>
      </c>
      <c r="J279" s="391" t="s">
        <v>804</v>
      </c>
      <c r="K279" s="262" t="s">
        <v>815</v>
      </c>
      <c r="L279" s="262" t="s">
        <v>863</v>
      </c>
      <c r="M279" s="22" t="s">
        <v>85</v>
      </c>
      <c r="N279" s="391" t="str">
        <f t="shared" si="8"/>
        <v>Sim</v>
      </c>
      <c r="O279" s="22" t="s">
        <v>86</v>
      </c>
      <c r="P279" s="22" t="s">
        <v>86</v>
      </c>
      <c r="Q279" s="91" t="s">
        <v>87</v>
      </c>
      <c r="R279" s="391">
        <f>SUMIF('Lançamento de Cabos'!$B:$B,Tabela1[[#This Row],[Tag do Cabo]],'Lançamento de Cabos'!$C:$C)</f>
        <v>10</v>
      </c>
      <c r="S279" s="391">
        <f>VLOOKUP(Tabela1[[#This Row],[Tag do Cabo]],'Diagramas Ligações'!A:V,14,0)</f>
        <v>4</v>
      </c>
      <c r="T279" s="262" t="s">
        <v>88</v>
      </c>
      <c r="U279" s="391">
        <v>5</v>
      </c>
      <c r="V279" s="391"/>
      <c r="W279" s="391" t="s">
        <v>808</v>
      </c>
      <c r="X279" s="32">
        <v>44151</v>
      </c>
      <c r="Y279" s="32">
        <v>44159</v>
      </c>
      <c r="Z279" s="3" t="s">
        <v>822</v>
      </c>
      <c r="AA279" s="45">
        <v>72</v>
      </c>
      <c r="AB27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79" s="262" t="s">
        <v>482</v>
      </c>
      <c r="AD279" s="391">
        <f>IF(Tabela1[[#This Row],[Qtde. Lançada]]&gt;Tabela1[[#This Row],[Comprimento Total]],Tabela1[[#This Row],[Qtde. Lançada]],Tabela1[[#This Row],[Comprimento Total]])</f>
        <v>10</v>
      </c>
      <c r="AE279" s="391" t="s">
        <v>92</v>
      </c>
      <c r="AF279" s="391" t="s">
        <v>804</v>
      </c>
      <c r="AG279" s="391">
        <f ca="1">SUMIF('Lançamento de Cabos'!AE:AK,Tabela1[[#This Row],[Tag do Cabo]],'Lançamento de Cabos'!AG:AG)</f>
        <v>4</v>
      </c>
      <c r="AH279" s="29">
        <f>IFERROR(VLOOKUP(Tabela1[[#This Row],[Tag do Cabo]],'Lançamento de Cabos'!AE:AK,7,0),0)</f>
        <v>1</v>
      </c>
      <c r="AI279" s="262" t="s">
        <v>811</v>
      </c>
      <c r="AJ279" s="212" t="s">
        <v>212</v>
      </c>
      <c r="AK279" s="46">
        <v>330260</v>
      </c>
    </row>
    <row r="280" spans="1:37" s="262" customFormat="1" ht="15" customHeight="1" x14ac:dyDescent="0.2">
      <c r="A280" s="168" t="s">
        <v>872</v>
      </c>
      <c r="B280" s="391" t="s">
        <v>37</v>
      </c>
      <c r="C280" s="391">
        <v>125</v>
      </c>
      <c r="D280" s="391" t="s">
        <v>80</v>
      </c>
      <c r="E280" s="3" t="s">
        <v>81</v>
      </c>
      <c r="F280" s="11">
        <v>4</v>
      </c>
      <c r="G280" s="391">
        <v>1</v>
      </c>
      <c r="H280" s="391">
        <v>10</v>
      </c>
      <c r="I280" s="391">
        <v>10</v>
      </c>
      <c r="J280" s="391" t="s">
        <v>804</v>
      </c>
      <c r="K280" s="262" t="s">
        <v>815</v>
      </c>
      <c r="L280" s="262" t="s">
        <v>873</v>
      </c>
      <c r="M280" s="22" t="s">
        <v>85</v>
      </c>
      <c r="N280" s="391" t="str">
        <f t="shared" si="8"/>
        <v>Sim</v>
      </c>
      <c r="O280" s="22" t="s">
        <v>86</v>
      </c>
      <c r="P280" s="22" t="s">
        <v>86</v>
      </c>
      <c r="Q280" s="91" t="s">
        <v>87</v>
      </c>
      <c r="R280" s="391">
        <f>SUMIF('Lançamento de Cabos'!$B:$B,Tabela1[[#This Row],[Tag do Cabo]],'Lançamento de Cabos'!$C:$C)</f>
        <v>10</v>
      </c>
      <c r="S280" s="391">
        <f>VLOOKUP(Tabela1[[#This Row],[Tag do Cabo]],'Diagramas Ligações'!A:V,14,0)</f>
        <v>4</v>
      </c>
      <c r="T280" s="262" t="s">
        <v>88</v>
      </c>
      <c r="U280" s="391">
        <v>5</v>
      </c>
      <c r="V280" s="391"/>
      <c r="W280" s="391" t="s">
        <v>808</v>
      </c>
      <c r="X280" s="32">
        <v>44151</v>
      </c>
      <c r="Y280" s="32">
        <v>44159</v>
      </c>
      <c r="Z280" s="3" t="s">
        <v>822</v>
      </c>
      <c r="AA280" s="45">
        <v>72</v>
      </c>
      <c r="AB28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0" s="262" t="s">
        <v>482</v>
      </c>
      <c r="AD280" s="391">
        <f>IF(Tabela1[[#This Row],[Qtde. Lançada]]&gt;Tabela1[[#This Row],[Comprimento Total]],Tabela1[[#This Row],[Qtde. Lançada]],Tabela1[[#This Row],[Comprimento Total]])</f>
        <v>10</v>
      </c>
      <c r="AE280" s="391" t="s">
        <v>92</v>
      </c>
      <c r="AF280" s="391" t="s">
        <v>804</v>
      </c>
      <c r="AG280" s="391">
        <f ca="1">SUMIF('Lançamento de Cabos'!AE:AK,Tabela1[[#This Row],[Tag do Cabo]],'Lançamento de Cabos'!AG:AG)</f>
        <v>4</v>
      </c>
      <c r="AH280" s="29">
        <f>IFERROR(VLOOKUP(Tabela1[[#This Row],[Tag do Cabo]],'Lançamento de Cabos'!AE:AK,7,0),0)</f>
        <v>1</v>
      </c>
      <c r="AI280" s="262" t="s">
        <v>811</v>
      </c>
      <c r="AJ280" s="212" t="s">
        <v>212</v>
      </c>
      <c r="AK280" s="46">
        <v>330260</v>
      </c>
    </row>
    <row r="281" spans="1:37" s="262" customFormat="1" ht="15" customHeight="1" x14ac:dyDescent="0.2">
      <c r="A281" s="323" t="s">
        <v>874</v>
      </c>
      <c r="B281" s="391" t="s">
        <v>37</v>
      </c>
      <c r="C281" s="391">
        <v>125</v>
      </c>
      <c r="D281" s="391" t="s">
        <v>80</v>
      </c>
      <c r="E281" s="3" t="s">
        <v>81</v>
      </c>
      <c r="F281" s="11">
        <v>4</v>
      </c>
      <c r="G281" s="391">
        <v>1</v>
      </c>
      <c r="H281" s="391">
        <v>10</v>
      </c>
      <c r="I281" s="391">
        <v>10</v>
      </c>
      <c r="J281" s="391" t="s">
        <v>804</v>
      </c>
      <c r="K281" s="262" t="s">
        <v>815</v>
      </c>
      <c r="L281" s="262" t="s">
        <v>875</v>
      </c>
      <c r="M281" s="22" t="s">
        <v>85</v>
      </c>
      <c r="N281" s="391" t="str">
        <f t="shared" si="8"/>
        <v>Sim</v>
      </c>
      <c r="O281" s="22" t="s">
        <v>86</v>
      </c>
      <c r="P281" s="22" t="s">
        <v>86</v>
      </c>
      <c r="Q281" s="91" t="s">
        <v>87</v>
      </c>
      <c r="R281" s="391">
        <f>SUMIF('Lançamento de Cabos'!$B:$B,Tabela1[[#This Row],[Tag do Cabo]],'Lançamento de Cabos'!$C:$C)</f>
        <v>10</v>
      </c>
      <c r="S281" s="391">
        <f>VLOOKUP(Tabela1[[#This Row],[Tag do Cabo]],'Diagramas Ligações'!A:V,14,0)</f>
        <v>4</v>
      </c>
      <c r="T281" s="262" t="s">
        <v>88</v>
      </c>
      <c r="U281" s="391">
        <v>5</v>
      </c>
      <c r="V281" s="391"/>
      <c r="W281" s="391" t="s">
        <v>808</v>
      </c>
      <c r="X281" s="32">
        <v>44151</v>
      </c>
      <c r="Y281" s="32">
        <v>44159</v>
      </c>
      <c r="Z281" s="3" t="s">
        <v>822</v>
      </c>
      <c r="AA281" s="45">
        <v>72</v>
      </c>
      <c r="AB28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1" s="262" t="s">
        <v>482</v>
      </c>
      <c r="AD281" s="391">
        <f>IF(Tabela1[[#This Row],[Qtde. Lançada]]&gt;Tabela1[[#This Row],[Comprimento Total]],Tabela1[[#This Row],[Qtde. Lançada]],Tabela1[[#This Row],[Comprimento Total]])</f>
        <v>10</v>
      </c>
      <c r="AE281" s="391" t="s">
        <v>92</v>
      </c>
      <c r="AF281" s="391" t="s">
        <v>804</v>
      </c>
      <c r="AG281" s="391">
        <f ca="1">SUMIF('Lançamento de Cabos'!AE:AK,Tabela1[[#This Row],[Tag do Cabo]],'Lançamento de Cabos'!AG:AG)</f>
        <v>4</v>
      </c>
      <c r="AH281" s="29">
        <f>IFERROR(VLOOKUP(Tabela1[[#This Row],[Tag do Cabo]],'Lançamento de Cabos'!AE:AK,7,0),0)</f>
        <v>1</v>
      </c>
      <c r="AI281" s="262" t="s">
        <v>811</v>
      </c>
      <c r="AJ281" s="212" t="s">
        <v>876</v>
      </c>
      <c r="AK281" s="46">
        <v>330260</v>
      </c>
    </row>
    <row r="282" spans="1:37" s="262" customFormat="1" ht="15" customHeight="1" x14ac:dyDescent="0.2">
      <c r="A282" s="323" t="s">
        <v>877</v>
      </c>
      <c r="B282" s="391" t="s">
        <v>37</v>
      </c>
      <c r="C282" s="391">
        <v>480</v>
      </c>
      <c r="D282" s="391" t="s">
        <v>80</v>
      </c>
      <c r="E282" s="3" t="s">
        <v>878</v>
      </c>
      <c r="F282" s="11">
        <v>25</v>
      </c>
      <c r="G282" s="391">
        <v>1</v>
      </c>
      <c r="H282" s="391">
        <v>5</v>
      </c>
      <c r="I282" s="391">
        <v>5</v>
      </c>
      <c r="J282" s="391" t="s">
        <v>804</v>
      </c>
      <c r="K282" s="262" t="s">
        <v>868</v>
      </c>
      <c r="L282" s="262" t="s">
        <v>805</v>
      </c>
      <c r="M282" s="22" t="s">
        <v>85</v>
      </c>
      <c r="N282" s="22" t="s">
        <v>86</v>
      </c>
      <c r="O282" s="391" t="str">
        <f>"Sim"</f>
        <v>Sim</v>
      </c>
      <c r="P282" s="22" t="s">
        <v>86</v>
      </c>
      <c r="Q282" s="91" t="s">
        <v>578</v>
      </c>
      <c r="R282" s="391">
        <f>SUMIF('Lançamento de Cabos'!$B:$B,Tabela1[[#This Row],[Tag do Cabo]],'Lançamento de Cabos'!$C:$C)</f>
        <v>5</v>
      </c>
      <c r="S282" s="391">
        <f>VLOOKUP(Tabela1[[#This Row],[Tag do Cabo]],'Diagramas Ligações'!A:V,14,0)</f>
        <v>6</v>
      </c>
      <c r="T282" s="262" t="s">
        <v>88</v>
      </c>
      <c r="U282" s="391">
        <v>5</v>
      </c>
      <c r="V282" s="391"/>
      <c r="W282" s="391" t="s">
        <v>808</v>
      </c>
      <c r="X282" s="32">
        <v>44151</v>
      </c>
      <c r="Y282" s="32">
        <v>44194</v>
      </c>
      <c r="Z282" s="3" t="s">
        <v>879</v>
      </c>
      <c r="AA282" s="45" t="s">
        <v>880</v>
      </c>
      <c r="AB28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2" s="262" t="s">
        <v>482</v>
      </c>
      <c r="AD282" s="391">
        <f>IF(Tabela1[[#This Row],[Qtde. Lançada]]&gt;Tabela1[[#This Row],[Comprimento Total]],Tabela1[[#This Row],[Qtde. Lançada]],Tabela1[[#This Row],[Comprimento Total]])</f>
        <v>5</v>
      </c>
      <c r="AE282" s="391" t="s">
        <v>92</v>
      </c>
      <c r="AF282" s="391" t="s">
        <v>804</v>
      </c>
      <c r="AG282" s="391">
        <f ca="1">SUMIF('Lançamento de Cabos'!AE:AK,Tabela1[[#This Row],[Tag do Cabo]],'Lançamento de Cabos'!AG:AG)</f>
        <v>6</v>
      </c>
      <c r="AH282" s="29">
        <f>IFERROR(VLOOKUP(Tabela1[[#This Row],[Tag do Cabo]],'Lançamento de Cabos'!AE:AK,7,0),0)</f>
        <v>1</v>
      </c>
      <c r="AI282" s="262" t="s">
        <v>811</v>
      </c>
      <c r="AJ282" s="212" t="s">
        <v>261</v>
      </c>
      <c r="AK282" s="46">
        <v>330257</v>
      </c>
    </row>
    <row r="283" spans="1:37" s="262" customFormat="1" ht="15" customHeight="1" x14ac:dyDescent="0.2">
      <c r="A283" s="168" t="s">
        <v>881</v>
      </c>
      <c r="B283" s="391" t="s">
        <v>37</v>
      </c>
      <c r="C283" s="391">
        <v>480</v>
      </c>
      <c r="D283" s="391" t="s">
        <v>80</v>
      </c>
      <c r="E283" s="3" t="s">
        <v>882</v>
      </c>
      <c r="F283" s="11">
        <v>10</v>
      </c>
      <c r="G283" s="391">
        <v>1</v>
      </c>
      <c r="H283" s="391">
        <v>5</v>
      </c>
      <c r="I283" s="391">
        <v>5</v>
      </c>
      <c r="J283" s="391" t="s">
        <v>804</v>
      </c>
      <c r="K283" s="262" t="s">
        <v>868</v>
      </c>
      <c r="L283" s="262" t="s">
        <v>883</v>
      </c>
      <c r="M283" s="22" t="s">
        <v>85</v>
      </c>
      <c r="N283" s="22" t="s">
        <v>86</v>
      </c>
      <c r="O283" s="391" t="str">
        <f>"Sim"</f>
        <v>Sim</v>
      </c>
      <c r="P283" s="22" t="s">
        <v>86</v>
      </c>
      <c r="Q283" s="91" t="s">
        <v>284</v>
      </c>
      <c r="R283" s="391">
        <f>SUMIF('Lançamento de Cabos'!$B:$B,Tabela1[[#This Row],[Tag do Cabo]],'Lançamento de Cabos'!$C:$C)</f>
        <v>5</v>
      </c>
      <c r="S283" s="391">
        <f>VLOOKUP(Tabela1[[#This Row],[Tag do Cabo]],'Diagramas Ligações'!A:V,14,0)</f>
        <v>6</v>
      </c>
      <c r="T283" s="262" t="s">
        <v>88</v>
      </c>
      <c r="U283" s="391">
        <v>5</v>
      </c>
      <c r="V283" s="391"/>
      <c r="W283" s="391" t="s">
        <v>808</v>
      </c>
      <c r="X283" s="32">
        <v>44151</v>
      </c>
      <c r="Y283" s="32">
        <v>44154</v>
      </c>
      <c r="Z283" s="3" t="s">
        <v>809</v>
      </c>
      <c r="AA283" s="45">
        <v>205</v>
      </c>
      <c r="AB28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3" s="262" t="s">
        <v>482</v>
      </c>
      <c r="AD283" s="391">
        <f>IF(Tabela1[[#This Row],[Qtde. Lançada]]&gt;Tabela1[[#This Row],[Comprimento Total]],Tabela1[[#This Row],[Qtde. Lançada]],Tabela1[[#This Row],[Comprimento Total]])</f>
        <v>5</v>
      </c>
      <c r="AE283" s="391" t="s">
        <v>92</v>
      </c>
      <c r="AF283" s="391" t="s">
        <v>804</v>
      </c>
      <c r="AG283" s="391">
        <f ca="1">SUMIF('Lançamento de Cabos'!AE:AK,Tabela1[[#This Row],[Tag do Cabo]],'Lançamento de Cabos'!AG:AG)</f>
        <v>6</v>
      </c>
      <c r="AH283" s="29">
        <f>IFERROR(VLOOKUP(Tabela1[[#This Row],[Tag do Cabo]],'Lançamento de Cabos'!AE:AK,7,0),0)</f>
        <v>1</v>
      </c>
      <c r="AI283" s="262" t="s">
        <v>811</v>
      </c>
      <c r="AJ283" s="212" t="s">
        <v>261</v>
      </c>
      <c r="AK283" s="46">
        <v>916144</v>
      </c>
    </row>
    <row r="284" spans="1:37" s="262" customFormat="1" ht="15" customHeight="1" x14ac:dyDescent="0.2">
      <c r="A284" s="168" t="s">
        <v>884</v>
      </c>
      <c r="B284" s="391" t="s">
        <v>37</v>
      </c>
      <c r="C284" s="391">
        <v>125</v>
      </c>
      <c r="D284" s="391" t="s">
        <v>80</v>
      </c>
      <c r="E284" s="3" t="s">
        <v>885</v>
      </c>
      <c r="F284" s="11">
        <v>2.5</v>
      </c>
      <c r="G284" s="391">
        <v>1</v>
      </c>
      <c r="H284" s="391">
        <v>15</v>
      </c>
      <c r="I284" s="391">
        <v>15</v>
      </c>
      <c r="J284" s="391" t="s">
        <v>804</v>
      </c>
      <c r="K284" s="262" t="s">
        <v>815</v>
      </c>
      <c r="L284" s="262" t="s">
        <v>886</v>
      </c>
      <c r="M284" s="22" t="s">
        <v>85</v>
      </c>
      <c r="N284" s="23" t="str">
        <f>"Sim"</f>
        <v>Sim</v>
      </c>
      <c r="O284" s="22" t="s">
        <v>86</v>
      </c>
      <c r="P284" s="22" t="s">
        <v>86</v>
      </c>
      <c r="Q284" s="391" t="s">
        <v>721</v>
      </c>
      <c r="R284" s="23">
        <f>SUMIF('Lançamento de Cabos'!$B:$B,Tabela1[[#This Row],[Tag do Cabo]],'Lançamento de Cabos'!$C:$C)</f>
        <v>0</v>
      </c>
      <c r="S284" s="23">
        <f>VLOOKUP(Tabela1[[#This Row],[Tag do Cabo]],'Diagramas Ligações'!A:V,14,0)</f>
        <v>4</v>
      </c>
      <c r="T284" s="262" t="s">
        <v>88</v>
      </c>
      <c r="U284" s="391">
        <v>5</v>
      </c>
      <c r="V284" s="391" t="s">
        <v>140</v>
      </c>
      <c r="W284" s="391" t="s">
        <v>92</v>
      </c>
      <c r="X284" s="32">
        <v>44256</v>
      </c>
      <c r="Y284" s="32">
        <v>44256</v>
      </c>
      <c r="Z284" s="31" t="s">
        <v>125</v>
      </c>
      <c r="AA284" s="45"/>
      <c r="AB28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D284" s="23">
        <f>IF(Tabela1[[#This Row],[Qtde. Lançada]]&gt;Tabela1[[#This Row],[Comprimento Total]],Tabela1[[#This Row],[Qtde. Lançada]],Tabela1[[#This Row],[Comprimento Total]])</f>
        <v>15</v>
      </c>
      <c r="AE284" s="391" t="s">
        <v>92</v>
      </c>
      <c r="AF284" s="391" t="s">
        <v>804</v>
      </c>
      <c r="AG284" s="23">
        <f ca="1">SUMIF('Lançamento de Cabos'!AE:AK,Tabela1[[#This Row],[Tag do Cabo]],'Lançamento de Cabos'!AG:AG)</f>
        <v>0</v>
      </c>
      <c r="AH284" s="29">
        <f>IFERROR(VLOOKUP(Tabela1[[#This Row],[Tag do Cabo]],'Lançamento de Cabos'!AE:AK,7,0),0)</f>
        <v>0</v>
      </c>
      <c r="AI284" s="262" t="s">
        <v>98</v>
      </c>
      <c r="AJ284" s="212" t="s">
        <v>887</v>
      </c>
      <c r="AK284" s="46">
        <v>3158959</v>
      </c>
    </row>
    <row r="285" spans="1:37" s="262" customFormat="1" ht="15" customHeight="1" x14ac:dyDescent="0.2">
      <c r="A285" s="168" t="s">
        <v>888</v>
      </c>
      <c r="B285" s="391" t="s">
        <v>37</v>
      </c>
      <c r="C285" s="391">
        <v>125</v>
      </c>
      <c r="D285" s="391" t="s">
        <v>80</v>
      </c>
      <c r="E285" s="3" t="s">
        <v>885</v>
      </c>
      <c r="F285" s="11">
        <v>2.5</v>
      </c>
      <c r="G285" s="391">
        <v>1</v>
      </c>
      <c r="H285" s="391">
        <v>15</v>
      </c>
      <c r="I285" s="391">
        <v>15</v>
      </c>
      <c r="J285" s="391" t="s">
        <v>804</v>
      </c>
      <c r="K285" s="262" t="s">
        <v>815</v>
      </c>
      <c r="L285" s="262" t="s">
        <v>886</v>
      </c>
      <c r="M285" s="22" t="s">
        <v>85</v>
      </c>
      <c r="N285" s="23" t="str">
        <f>"Sim"</f>
        <v>Sim</v>
      </c>
      <c r="O285" s="22" t="s">
        <v>86</v>
      </c>
      <c r="P285" s="22" t="s">
        <v>86</v>
      </c>
      <c r="Q285" s="391" t="s">
        <v>721</v>
      </c>
      <c r="R285" s="23">
        <f>SUMIF('Lançamento de Cabos'!$B:$B,Tabela1[[#This Row],[Tag do Cabo]],'Lançamento de Cabos'!$C:$C)</f>
        <v>0</v>
      </c>
      <c r="S285" s="23">
        <f>VLOOKUP(Tabela1[[#This Row],[Tag do Cabo]],'Diagramas Ligações'!A:V,14,0)</f>
        <v>4</v>
      </c>
      <c r="T285" s="262" t="s">
        <v>88</v>
      </c>
      <c r="U285" s="391">
        <v>5</v>
      </c>
      <c r="V285" s="391" t="s">
        <v>140</v>
      </c>
      <c r="W285" s="391" t="s">
        <v>92</v>
      </c>
      <c r="X285" s="32">
        <v>44256</v>
      </c>
      <c r="Y285" s="32">
        <v>44256</v>
      </c>
      <c r="Z285" s="31" t="s">
        <v>125</v>
      </c>
      <c r="AA285" s="45"/>
      <c r="AB28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D285" s="23">
        <f>IF(Tabela1[[#This Row],[Qtde. Lançada]]&gt;Tabela1[[#This Row],[Comprimento Total]],Tabela1[[#This Row],[Qtde. Lançada]],Tabela1[[#This Row],[Comprimento Total]])</f>
        <v>15</v>
      </c>
      <c r="AE285" s="391" t="s">
        <v>92</v>
      </c>
      <c r="AF285" s="391" t="s">
        <v>804</v>
      </c>
      <c r="AG285" s="23">
        <f ca="1">SUMIF('Lançamento de Cabos'!AE:AK,Tabela1[[#This Row],[Tag do Cabo]],'Lançamento de Cabos'!AG:AG)</f>
        <v>0</v>
      </c>
      <c r="AH285" s="29">
        <f>IFERROR(VLOOKUP(Tabela1[[#This Row],[Tag do Cabo]],'Lançamento de Cabos'!AE:AK,7,0),0)</f>
        <v>0</v>
      </c>
      <c r="AI285" s="262" t="s">
        <v>98</v>
      </c>
      <c r="AJ285" s="212" t="s">
        <v>887</v>
      </c>
      <c r="AK285" s="46">
        <v>3158959</v>
      </c>
    </row>
    <row r="286" spans="1:37" s="262" customFormat="1" ht="15" customHeight="1" x14ac:dyDescent="0.2">
      <c r="A286" s="323" t="s">
        <v>889</v>
      </c>
      <c r="B286" s="391" t="s">
        <v>37</v>
      </c>
      <c r="C286" s="391">
        <v>220</v>
      </c>
      <c r="D286" s="391" t="s">
        <v>80</v>
      </c>
      <c r="E286" s="3" t="s">
        <v>890</v>
      </c>
      <c r="F286" s="11">
        <v>16</v>
      </c>
      <c r="G286" s="391">
        <v>1</v>
      </c>
      <c r="H286" s="391">
        <v>5</v>
      </c>
      <c r="I286" s="391">
        <v>5</v>
      </c>
      <c r="J286" s="391" t="s">
        <v>804</v>
      </c>
      <c r="K286" s="262" t="s">
        <v>883</v>
      </c>
      <c r="L286" s="262" t="s">
        <v>855</v>
      </c>
      <c r="M286" s="22" t="s">
        <v>85</v>
      </c>
      <c r="N286" s="22" t="s">
        <v>86</v>
      </c>
      <c r="O286" s="391" t="str">
        <f>"Sim"</f>
        <v>Sim</v>
      </c>
      <c r="P286" s="22" t="s">
        <v>86</v>
      </c>
      <c r="Q286" s="91" t="s">
        <v>891</v>
      </c>
      <c r="R286" s="391">
        <f>SUMIF('Lançamento de Cabos'!$B:$B,Tabela1[[#This Row],[Tag do Cabo]],'Lançamento de Cabos'!$C:$C)</f>
        <v>5</v>
      </c>
      <c r="S286" s="391">
        <f>VLOOKUP(Tabela1[[#This Row],[Tag do Cabo]],'Diagramas Ligações'!A:V,14,0)</f>
        <v>8</v>
      </c>
      <c r="T286" s="262" t="s">
        <v>88</v>
      </c>
      <c r="U286" s="391">
        <v>5</v>
      </c>
      <c r="V286" s="391"/>
      <c r="W286" s="391" t="s">
        <v>808</v>
      </c>
      <c r="X286" s="32">
        <v>44151</v>
      </c>
      <c r="Y286" s="32">
        <v>44169</v>
      </c>
      <c r="Z286" s="3" t="s">
        <v>892</v>
      </c>
      <c r="AA286" s="45" t="s">
        <v>893</v>
      </c>
      <c r="AB28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6" s="262" t="s">
        <v>482</v>
      </c>
      <c r="AD286" s="391">
        <f>IF(Tabela1[[#This Row],[Qtde. Lançada]]&gt;Tabela1[[#This Row],[Comprimento Total]],Tabela1[[#This Row],[Qtde. Lançada]],Tabela1[[#This Row],[Comprimento Total]])</f>
        <v>5</v>
      </c>
      <c r="AE286" s="391" t="s">
        <v>92</v>
      </c>
      <c r="AF286" s="391" t="s">
        <v>804</v>
      </c>
      <c r="AG286" s="391">
        <f ca="1">SUMIF('Lançamento de Cabos'!AE:AK,Tabela1[[#This Row],[Tag do Cabo]],'Lançamento de Cabos'!AG:AG)</f>
        <v>8</v>
      </c>
      <c r="AH286" s="29">
        <f>IFERROR(VLOOKUP(Tabela1[[#This Row],[Tag do Cabo]],'Lançamento de Cabos'!AE:AK,7,0),0)</f>
        <v>1</v>
      </c>
      <c r="AI286" s="262" t="s">
        <v>811</v>
      </c>
      <c r="AJ286" s="212" t="s">
        <v>209</v>
      </c>
      <c r="AK286" s="46">
        <v>927619</v>
      </c>
    </row>
    <row r="287" spans="1:37" s="262" customFormat="1" ht="15" customHeight="1" x14ac:dyDescent="0.2">
      <c r="A287" s="168" t="s">
        <v>894</v>
      </c>
      <c r="B287" s="391" t="s">
        <v>101</v>
      </c>
      <c r="C287" s="391" t="s">
        <v>92</v>
      </c>
      <c r="D287" s="391" t="s">
        <v>92</v>
      </c>
      <c r="E287" s="3" t="s">
        <v>102</v>
      </c>
      <c r="F287" s="11" t="s">
        <v>92</v>
      </c>
      <c r="G287" s="391">
        <v>1</v>
      </c>
      <c r="H287" s="391">
        <v>10</v>
      </c>
      <c r="I287" s="391">
        <v>10</v>
      </c>
      <c r="J287" s="391" t="s">
        <v>103</v>
      </c>
      <c r="K287" s="262" t="s">
        <v>895</v>
      </c>
      <c r="L287" s="262" t="s">
        <v>896</v>
      </c>
      <c r="M287" s="22" t="s">
        <v>86</v>
      </c>
      <c r="N287" s="22" t="s">
        <v>86</v>
      </c>
      <c r="O287" s="22" t="s">
        <v>86</v>
      </c>
      <c r="P287" s="22" t="s">
        <v>86</v>
      </c>
      <c r="Q287" s="91" t="s">
        <v>106</v>
      </c>
      <c r="R287" s="391">
        <f>SUMIF('Lançamento de Cabos'!$B:$B,Tabela1[[#This Row],[Tag do Cabo]],'Lançamento de Cabos'!$C:$C)</f>
        <v>0</v>
      </c>
      <c r="S287" s="391">
        <f>VLOOKUP(Tabela1[[#This Row],[Tag do Cabo]],'Diagramas Ligações'!A:V,14,0)</f>
        <v>2</v>
      </c>
      <c r="T287" s="262" t="s">
        <v>88</v>
      </c>
      <c r="U287" s="391">
        <v>5</v>
      </c>
      <c r="V287" s="391" t="s">
        <v>107</v>
      </c>
      <c r="W287" s="391" t="s">
        <v>808</v>
      </c>
      <c r="X287" s="32">
        <v>44216</v>
      </c>
      <c r="Y287" s="32">
        <v>44216</v>
      </c>
      <c r="Z287" s="32" t="s">
        <v>897</v>
      </c>
      <c r="AA287" s="45" t="s">
        <v>898</v>
      </c>
      <c r="AB28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7" s="262" t="s">
        <v>899</v>
      </c>
      <c r="AD287" s="391">
        <f>IF(Tabela1[[#This Row],[Qtde. Lançada]]&gt;Tabela1[[#This Row],[Comprimento Total]],Tabela1[[#This Row],[Qtde. Lançada]],Tabela1[[#This Row],[Comprimento Total]])</f>
        <v>10</v>
      </c>
      <c r="AE287" s="391" t="s">
        <v>92</v>
      </c>
      <c r="AF287" s="391" t="s">
        <v>804</v>
      </c>
      <c r="AG287" s="391">
        <f ca="1">SUMIF('Lançamento de Cabos'!AE:AK,Tabela1[[#This Row],[Tag do Cabo]],'Lançamento de Cabos'!AG:AG)</f>
        <v>0</v>
      </c>
      <c r="AH287" s="29">
        <f>IFERROR(VLOOKUP(Tabela1[[#This Row],[Tag do Cabo]],'Lançamento de Cabos'!AE:AK,7,0),0)</f>
        <v>0</v>
      </c>
      <c r="AI287" s="262" t="s">
        <v>98</v>
      </c>
      <c r="AJ287" s="212" t="s">
        <v>887</v>
      </c>
      <c r="AK287" s="46">
        <v>3054429</v>
      </c>
    </row>
    <row r="288" spans="1:37" s="262" customFormat="1" ht="15" customHeight="1" x14ac:dyDescent="0.2">
      <c r="A288" s="168" t="s">
        <v>900</v>
      </c>
      <c r="B288" s="391" t="s">
        <v>101</v>
      </c>
      <c r="C288" s="391" t="s">
        <v>92</v>
      </c>
      <c r="D288" s="391" t="s">
        <v>92</v>
      </c>
      <c r="E288" s="3" t="s">
        <v>102</v>
      </c>
      <c r="F288" s="11" t="s">
        <v>92</v>
      </c>
      <c r="G288" s="391">
        <v>1</v>
      </c>
      <c r="H288" s="391">
        <v>5</v>
      </c>
      <c r="I288" s="391">
        <v>5</v>
      </c>
      <c r="J288" s="391" t="s">
        <v>103</v>
      </c>
      <c r="K288" s="262" t="s">
        <v>901</v>
      </c>
      <c r="L288" s="262" t="s">
        <v>902</v>
      </c>
      <c r="M288" s="22" t="s">
        <v>86</v>
      </c>
      <c r="N288" s="22" t="s">
        <v>86</v>
      </c>
      <c r="O288" s="22" t="s">
        <v>86</v>
      </c>
      <c r="P288" s="22" t="s">
        <v>86</v>
      </c>
      <c r="Q288" s="91" t="s">
        <v>106</v>
      </c>
      <c r="R288" s="391">
        <f>SUMIF('Lançamento de Cabos'!$B:$B,Tabela1[[#This Row],[Tag do Cabo]],'Lançamento de Cabos'!$C:$C)</f>
        <v>0</v>
      </c>
      <c r="S288" s="391">
        <f>VLOOKUP(Tabela1[[#This Row],[Tag do Cabo]],'Diagramas Ligações'!A:V,14,0)</f>
        <v>2</v>
      </c>
      <c r="T288" s="262" t="s">
        <v>88</v>
      </c>
      <c r="U288" s="391">
        <v>5</v>
      </c>
      <c r="V288" s="391" t="s">
        <v>107</v>
      </c>
      <c r="W288" s="391" t="s">
        <v>903</v>
      </c>
      <c r="X288" s="32">
        <v>44216</v>
      </c>
      <c r="Y288" s="32">
        <v>44216</v>
      </c>
      <c r="Z288" s="32" t="s">
        <v>897</v>
      </c>
      <c r="AA288" s="45" t="s">
        <v>898</v>
      </c>
      <c r="AB28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8" s="262" t="s">
        <v>899</v>
      </c>
      <c r="AD288" s="391">
        <f>IF(Tabela1[[#This Row],[Qtde. Lançada]]&gt;Tabela1[[#This Row],[Comprimento Total]],Tabela1[[#This Row],[Qtde. Lançada]],Tabela1[[#This Row],[Comprimento Total]])</f>
        <v>5</v>
      </c>
      <c r="AE288" s="391" t="s">
        <v>92</v>
      </c>
      <c r="AF288" s="391" t="s">
        <v>804</v>
      </c>
      <c r="AG288" s="391">
        <f ca="1">SUMIF('Lançamento de Cabos'!AE:AK,Tabela1[[#This Row],[Tag do Cabo]],'Lançamento de Cabos'!AG:AG)</f>
        <v>0</v>
      </c>
      <c r="AH288" s="29">
        <f>IFERROR(VLOOKUP(Tabela1[[#This Row],[Tag do Cabo]],'Lançamento de Cabos'!AE:AK,7,0),0)</f>
        <v>0</v>
      </c>
      <c r="AI288" s="262" t="s">
        <v>98</v>
      </c>
      <c r="AJ288" s="212" t="s">
        <v>824</v>
      </c>
      <c r="AK288" s="46">
        <v>3054429</v>
      </c>
    </row>
    <row r="289" spans="1:38" s="262" customFormat="1" ht="15" customHeight="1" x14ac:dyDescent="0.2">
      <c r="A289" s="168" t="s">
        <v>904</v>
      </c>
      <c r="B289" s="391" t="s">
        <v>38</v>
      </c>
      <c r="C289" s="391">
        <v>125</v>
      </c>
      <c r="D289" s="391" t="s">
        <v>80</v>
      </c>
      <c r="E289" s="3" t="s">
        <v>905</v>
      </c>
      <c r="F289" s="11">
        <v>2.5</v>
      </c>
      <c r="G289" s="391">
        <v>1</v>
      </c>
      <c r="H289" s="391">
        <v>450</v>
      </c>
      <c r="I289" s="391">
        <v>450</v>
      </c>
      <c r="J289" s="391" t="s">
        <v>906</v>
      </c>
      <c r="K289" s="262" t="s">
        <v>856</v>
      </c>
      <c r="L289" s="262" t="s">
        <v>907</v>
      </c>
      <c r="M289" s="22" t="s">
        <v>85</v>
      </c>
      <c r="N289" s="391" t="str">
        <f>"Sim"</f>
        <v>Sim</v>
      </c>
      <c r="O289" s="22" t="s">
        <v>86</v>
      </c>
      <c r="P289" s="22" t="s">
        <v>86</v>
      </c>
      <c r="Q289" s="91" t="s">
        <v>139</v>
      </c>
      <c r="R289" s="391">
        <f>SUMIF('Lançamento de Cabos'!$B:$B,Tabela1[[#This Row],[Tag do Cabo]],'Lançamento de Cabos'!$C:$C)</f>
        <v>450</v>
      </c>
      <c r="S289" s="391">
        <f>VLOOKUP(Tabela1[[#This Row],[Tag do Cabo]],'Diagramas Ligações'!A:V,14,0)</f>
        <v>12</v>
      </c>
      <c r="T289" s="262" t="s">
        <v>88</v>
      </c>
      <c r="U289" s="391">
        <v>5</v>
      </c>
      <c r="V289" s="391" t="s">
        <v>140</v>
      </c>
      <c r="W289" s="391" t="s">
        <v>829</v>
      </c>
      <c r="X289" s="32">
        <v>44177</v>
      </c>
      <c r="Y289" s="32">
        <v>44181</v>
      </c>
      <c r="Z289" s="3" t="s">
        <v>584</v>
      </c>
      <c r="AA289" s="45">
        <v>97</v>
      </c>
      <c r="AB28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89" s="262" t="s">
        <v>482</v>
      </c>
      <c r="AD289" s="391">
        <f>IF(Tabela1[[#This Row],[Qtde. Lançada]]&gt;Tabela1[[#This Row],[Comprimento Total]],Tabela1[[#This Row],[Qtde. Lançada]],Tabela1[[#This Row],[Comprimento Total]])</f>
        <v>450</v>
      </c>
      <c r="AE289" s="391" t="s">
        <v>92</v>
      </c>
      <c r="AF289" s="391" t="s">
        <v>908</v>
      </c>
      <c r="AG289" s="391">
        <f ca="1">SUMIF('Lançamento de Cabos'!AE:AK,Tabela1[[#This Row],[Tag do Cabo]],'Lançamento de Cabos'!AG:AG)</f>
        <v>6</v>
      </c>
      <c r="AH289" s="29">
        <f>IFERROR(VLOOKUP(Tabela1[[#This Row],[Tag do Cabo]],'Lançamento de Cabos'!AE:AK,7,0),0)</f>
        <v>0.5</v>
      </c>
      <c r="AI289" s="262" t="s">
        <v>811</v>
      </c>
      <c r="AJ289" s="212" t="s">
        <v>202</v>
      </c>
      <c r="AK289" s="46">
        <v>9044579</v>
      </c>
    </row>
    <row r="290" spans="1:38" s="262" customFormat="1" ht="15" customHeight="1" x14ac:dyDescent="0.2">
      <c r="A290" s="168" t="s">
        <v>909</v>
      </c>
      <c r="B290" s="391" t="s">
        <v>37</v>
      </c>
      <c r="C290" s="391">
        <v>13800</v>
      </c>
      <c r="D290" s="391" t="s">
        <v>120</v>
      </c>
      <c r="E290" s="3" t="s">
        <v>910</v>
      </c>
      <c r="F290" s="11">
        <v>185</v>
      </c>
      <c r="G290" s="391">
        <v>15</v>
      </c>
      <c r="H290" s="391">
        <v>450</v>
      </c>
      <c r="I290" s="391">
        <v>6750</v>
      </c>
      <c r="J290" s="391" t="s">
        <v>906</v>
      </c>
      <c r="K290" s="262" t="s">
        <v>856</v>
      </c>
      <c r="L290" s="262" t="s">
        <v>911</v>
      </c>
      <c r="M290" s="22" t="s">
        <v>85</v>
      </c>
      <c r="N290" s="22" t="s">
        <v>86</v>
      </c>
      <c r="O290" s="391" t="s">
        <v>85</v>
      </c>
      <c r="P290" s="391" t="s">
        <v>85</v>
      </c>
      <c r="Q290" s="91" t="s">
        <v>912</v>
      </c>
      <c r="R290" s="391">
        <f>SUMIF('Lançamento de Cabos'!$B:$B,Tabela1[[#This Row],[Tag do Cabo]],'Lançamento de Cabos'!$C:$C)</f>
        <v>6750</v>
      </c>
      <c r="S290" s="391">
        <f>VLOOKUP(Tabela1[[#This Row],[Tag do Cabo]],'Diagramas Ligações'!A:V,14,0)</f>
        <v>30</v>
      </c>
      <c r="T290" s="262" t="s">
        <v>88</v>
      </c>
      <c r="U290" s="391">
        <v>5</v>
      </c>
      <c r="V290" s="391"/>
      <c r="W290" s="391" t="s">
        <v>829</v>
      </c>
      <c r="X290" s="32">
        <v>44177</v>
      </c>
      <c r="Y290" s="32">
        <v>44181</v>
      </c>
      <c r="Z290" s="3" t="s">
        <v>913</v>
      </c>
      <c r="AA290" s="45" t="s">
        <v>914</v>
      </c>
      <c r="AB29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0" s="262" t="s">
        <v>482</v>
      </c>
      <c r="AD290" s="391">
        <f>IF(Tabela1[[#This Row],[Qtde. Lançada]]&gt;Tabela1[[#This Row],[Comprimento Total]],Tabela1[[#This Row],[Qtde. Lançada]],Tabela1[[#This Row],[Comprimento Total]])</f>
        <v>6750</v>
      </c>
      <c r="AE290" s="391" t="s">
        <v>92</v>
      </c>
      <c r="AF290" s="391" t="s">
        <v>908</v>
      </c>
      <c r="AG290" s="391">
        <f ca="1">SUMIF('Lançamento de Cabos'!AE:AK,Tabela1[[#This Row],[Tag do Cabo]],'Lançamento de Cabos'!AG:AG)</f>
        <v>30</v>
      </c>
      <c r="AH290" s="29">
        <f>IFERROR(VLOOKUP(Tabela1[[#This Row],[Tag do Cabo]],'Lançamento de Cabos'!AE:AK,7,0),0)</f>
        <v>1</v>
      </c>
      <c r="AI290" s="262" t="s">
        <v>811</v>
      </c>
      <c r="AJ290" s="212" t="s">
        <v>202</v>
      </c>
      <c r="AK290" s="46">
        <v>919989</v>
      </c>
    </row>
    <row r="291" spans="1:38" s="262" customFormat="1" ht="15" customHeight="1" x14ac:dyDescent="0.2">
      <c r="A291" s="168" t="s">
        <v>915</v>
      </c>
      <c r="B291" s="391" t="s">
        <v>101</v>
      </c>
      <c r="C291" s="391" t="s">
        <v>92</v>
      </c>
      <c r="D291" s="391" t="s">
        <v>92</v>
      </c>
      <c r="E291" s="3" t="s">
        <v>581</v>
      </c>
      <c r="F291" s="11" t="s">
        <v>92</v>
      </c>
      <c r="G291" s="391">
        <v>1</v>
      </c>
      <c r="H291" s="391">
        <v>430</v>
      </c>
      <c r="I291" s="391">
        <v>430</v>
      </c>
      <c r="J291" s="391" t="s">
        <v>103</v>
      </c>
      <c r="K291" s="262" t="s">
        <v>895</v>
      </c>
      <c r="L291" s="262" t="s">
        <v>588</v>
      </c>
      <c r="M291" s="22" t="s">
        <v>86</v>
      </c>
      <c r="N291" s="22" t="s">
        <v>86</v>
      </c>
      <c r="O291" s="22" t="s">
        <v>86</v>
      </c>
      <c r="P291" s="22" t="s">
        <v>86</v>
      </c>
      <c r="Q291" s="91" t="s">
        <v>583</v>
      </c>
      <c r="R291" s="391">
        <f>SUMIF('Lançamento de Cabos'!$B:$B,Tabela1[[#This Row],[Tag do Cabo]],'Lançamento de Cabos'!$C:$C)</f>
        <v>430</v>
      </c>
      <c r="S291" s="391">
        <f>VLOOKUP(Tabela1[[#This Row],[Tag do Cabo]],'Diagramas Ligações'!A:V,14,0)</f>
        <v>8</v>
      </c>
      <c r="T291" s="262" t="s">
        <v>88</v>
      </c>
      <c r="U291" s="391">
        <v>5</v>
      </c>
      <c r="V291" s="391" t="s">
        <v>107</v>
      </c>
      <c r="W291" s="391" t="s">
        <v>903</v>
      </c>
      <c r="X291" s="32">
        <v>44177</v>
      </c>
      <c r="Y291" s="32">
        <v>44218</v>
      </c>
      <c r="Z291" s="31" t="s">
        <v>916</v>
      </c>
      <c r="AA291" s="45">
        <v>160</v>
      </c>
      <c r="AB29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1" s="262" t="s">
        <v>899</v>
      </c>
      <c r="AD291" s="391">
        <f>IF(Tabela1[[#This Row],[Qtde. Lançada]]&gt;Tabela1[[#This Row],[Comprimento Total]],Tabela1[[#This Row],[Qtde. Lançada]],Tabela1[[#This Row],[Comprimento Total]])</f>
        <v>430</v>
      </c>
      <c r="AE291" s="391" t="s">
        <v>92</v>
      </c>
      <c r="AF291" s="391" t="s">
        <v>908</v>
      </c>
      <c r="AG291" s="391">
        <f ca="1">SUMIF('Lançamento de Cabos'!AE:AK,Tabela1[[#This Row],[Tag do Cabo]],'Lançamento de Cabos'!AG:AG)</f>
        <v>8</v>
      </c>
      <c r="AH291" s="29">
        <f>IFERROR(VLOOKUP(Tabela1[[#This Row],[Tag do Cabo]],'Lançamento de Cabos'!AE:AK,7,0),0)</f>
        <v>1</v>
      </c>
      <c r="AI291" s="262" t="s">
        <v>98</v>
      </c>
      <c r="AJ291" s="212" t="s">
        <v>887</v>
      </c>
      <c r="AK291" s="46">
        <v>3056722</v>
      </c>
    </row>
    <row r="292" spans="1:38" s="262" customFormat="1" ht="15" customHeight="1" x14ac:dyDescent="0.2">
      <c r="A292" s="168" t="s">
        <v>917</v>
      </c>
      <c r="B292" s="391" t="s">
        <v>38</v>
      </c>
      <c r="C292" s="391">
        <v>125</v>
      </c>
      <c r="D292" s="391" t="s">
        <v>80</v>
      </c>
      <c r="E292" s="3" t="s">
        <v>826</v>
      </c>
      <c r="F292" s="11">
        <v>4</v>
      </c>
      <c r="G292" s="391">
        <v>1</v>
      </c>
      <c r="H292" s="391">
        <v>430</v>
      </c>
      <c r="I292" s="391">
        <v>430</v>
      </c>
      <c r="J292" s="391" t="s">
        <v>906</v>
      </c>
      <c r="K292" s="262" t="s">
        <v>827</v>
      </c>
      <c r="L292" s="262" t="s">
        <v>918</v>
      </c>
      <c r="M292" s="22" t="s">
        <v>85</v>
      </c>
      <c r="N292" s="391" t="str">
        <f>"Sim"</f>
        <v>Sim</v>
      </c>
      <c r="O292" s="22" t="s">
        <v>86</v>
      </c>
      <c r="P292" s="22" t="s">
        <v>86</v>
      </c>
      <c r="Q292" s="91" t="s">
        <v>87</v>
      </c>
      <c r="R292" s="391">
        <f>SUMIF('Lançamento de Cabos'!$B:$B,Tabela1[[#This Row],[Tag do Cabo]],'Lançamento de Cabos'!$C:$C)</f>
        <v>450</v>
      </c>
      <c r="S292" s="391">
        <f>VLOOKUP(Tabela1[[#This Row],[Tag do Cabo]],'Diagramas Ligações'!A:V,14,0)</f>
        <v>12</v>
      </c>
      <c r="T292" s="262" t="s">
        <v>88</v>
      </c>
      <c r="U292" s="391">
        <v>5</v>
      </c>
      <c r="V292" s="391" t="s">
        <v>140</v>
      </c>
      <c r="W292" s="391" t="s">
        <v>829</v>
      </c>
      <c r="X292" s="32">
        <v>44177</v>
      </c>
      <c r="Y292" s="32">
        <v>44208</v>
      </c>
      <c r="Z292" s="3" t="s">
        <v>919</v>
      </c>
      <c r="AA292" s="45">
        <v>67</v>
      </c>
      <c r="AB292" s="157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2" s="262" t="s">
        <v>482</v>
      </c>
      <c r="AD292" s="391">
        <f>IF(Tabela1[[#This Row],[Qtde. Lançada]]&gt;Tabela1[[#This Row],[Comprimento Total]],Tabela1[[#This Row],[Qtde. Lançada]],Tabela1[[#This Row],[Comprimento Total]])</f>
        <v>450</v>
      </c>
      <c r="AE292" s="391" t="s">
        <v>92</v>
      </c>
      <c r="AF292" s="391" t="s">
        <v>908</v>
      </c>
      <c r="AG292" s="391">
        <f ca="1">SUMIF('Lançamento de Cabos'!AE:AK,Tabela1[[#This Row],[Tag do Cabo]],'Lançamento de Cabos'!AG:AG)</f>
        <v>6</v>
      </c>
      <c r="AH292" s="29">
        <f>IFERROR(VLOOKUP(Tabela1[[#This Row],[Tag do Cabo]],'Lançamento de Cabos'!AE:AK,7,0),0)</f>
        <v>0.5</v>
      </c>
      <c r="AI292" s="262" t="s">
        <v>98</v>
      </c>
      <c r="AJ292" s="212" t="s">
        <v>920</v>
      </c>
      <c r="AK292" s="46">
        <v>932959</v>
      </c>
    </row>
    <row r="293" spans="1:38" s="262" customFormat="1" ht="15" customHeight="1" x14ac:dyDescent="0.2">
      <c r="A293" s="323" t="s">
        <v>921</v>
      </c>
      <c r="B293" s="391" t="s">
        <v>38</v>
      </c>
      <c r="C293" s="391">
        <v>125</v>
      </c>
      <c r="D293" s="391" t="s">
        <v>80</v>
      </c>
      <c r="E293" s="3" t="s">
        <v>826</v>
      </c>
      <c r="F293" s="11">
        <v>4</v>
      </c>
      <c r="G293" s="391">
        <v>1</v>
      </c>
      <c r="H293" s="391">
        <v>430</v>
      </c>
      <c r="I293" s="391">
        <v>430</v>
      </c>
      <c r="J293" s="391" t="s">
        <v>906</v>
      </c>
      <c r="K293" s="262" t="s">
        <v>831</v>
      </c>
      <c r="L293" s="262" t="s">
        <v>918</v>
      </c>
      <c r="M293" s="22" t="s">
        <v>85</v>
      </c>
      <c r="N293" s="391" t="str">
        <f>"Sim"</f>
        <v>Sim</v>
      </c>
      <c r="O293" s="22" t="s">
        <v>86</v>
      </c>
      <c r="P293" s="22" t="s">
        <v>86</v>
      </c>
      <c r="Q293" s="91" t="s">
        <v>87</v>
      </c>
      <c r="R293" s="391">
        <f>SUMIF('Lançamento de Cabos'!$B:$B,Tabela1[[#This Row],[Tag do Cabo]],'Lançamento de Cabos'!$C:$C)</f>
        <v>450</v>
      </c>
      <c r="S293" s="391">
        <f>VLOOKUP(Tabela1[[#This Row],[Tag do Cabo]],'Diagramas Ligações'!A:V,14,0)</f>
        <v>6</v>
      </c>
      <c r="T293" s="262" t="s">
        <v>88</v>
      </c>
      <c r="U293" s="391">
        <v>5</v>
      </c>
      <c r="V293" s="391" t="s">
        <v>140</v>
      </c>
      <c r="W293" s="391" t="s">
        <v>829</v>
      </c>
      <c r="X293" s="32">
        <v>44177</v>
      </c>
      <c r="Y293" s="32">
        <v>44208</v>
      </c>
      <c r="Z293" s="3" t="s">
        <v>919</v>
      </c>
      <c r="AA293" s="45">
        <v>67</v>
      </c>
      <c r="AB293" s="157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3" s="262" t="s">
        <v>482</v>
      </c>
      <c r="AD293" s="391">
        <f>IF(Tabela1[[#This Row],[Qtde. Lançada]]&gt;Tabela1[[#This Row],[Comprimento Total]],Tabela1[[#This Row],[Qtde. Lançada]],Tabela1[[#This Row],[Comprimento Total]])</f>
        <v>450</v>
      </c>
      <c r="AE293" s="391" t="s">
        <v>92</v>
      </c>
      <c r="AF293" s="391" t="s">
        <v>908</v>
      </c>
      <c r="AG293" s="391">
        <f ca="1">SUMIF('Lançamento de Cabos'!AE:AK,Tabela1[[#This Row],[Tag do Cabo]],'Lançamento de Cabos'!AG:AG)</f>
        <v>3</v>
      </c>
      <c r="AH293" s="29">
        <f>IFERROR(VLOOKUP(Tabela1[[#This Row],[Tag do Cabo]],'Lançamento de Cabos'!AE:AK,7,0),0)</f>
        <v>0.5</v>
      </c>
      <c r="AI293" s="262" t="s">
        <v>98</v>
      </c>
      <c r="AJ293" s="212" t="s">
        <v>920</v>
      </c>
      <c r="AK293" s="46">
        <v>932959</v>
      </c>
    </row>
    <row r="294" spans="1:38" s="262" customFormat="1" ht="15" customHeight="1" x14ac:dyDescent="0.2">
      <c r="A294" s="323" t="s">
        <v>922</v>
      </c>
      <c r="B294" s="391" t="s">
        <v>38</v>
      </c>
      <c r="C294" s="391">
        <v>125</v>
      </c>
      <c r="D294" s="391" t="s">
        <v>80</v>
      </c>
      <c r="E294" s="3" t="s">
        <v>819</v>
      </c>
      <c r="F294" s="11">
        <v>2.5</v>
      </c>
      <c r="G294" s="391">
        <v>1</v>
      </c>
      <c r="H294" s="391">
        <v>450</v>
      </c>
      <c r="I294" s="391">
        <v>450</v>
      </c>
      <c r="J294" s="391" t="s">
        <v>906</v>
      </c>
      <c r="K294" s="262" t="s">
        <v>834</v>
      </c>
      <c r="L294" s="262" t="s">
        <v>82</v>
      </c>
      <c r="M294" s="22" t="s">
        <v>85</v>
      </c>
      <c r="N294" s="23" t="str">
        <f>"Sim"</f>
        <v>Sim</v>
      </c>
      <c r="O294" s="22" t="s">
        <v>86</v>
      </c>
      <c r="P294" s="22" t="s">
        <v>86</v>
      </c>
      <c r="Q294" s="391" t="s">
        <v>139</v>
      </c>
      <c r="R294" s="23">
        <f>SUMIF('Lançamento de Cabos'!$B:$B,Tabela1[[#This Row],[Tag do Cabo]],'Lançamento de Cabos'!$C:$C)</f>
        <v>450</v>
      </c>
      <c r="S294" s="391">
        <f>VLOOKUP(Tabela1[[#This Row],[Tag do Cabo]],'Diagramas Ligações'!A:V,14,0)</f>
        <v>18</v>
      </c>
      <c r="T294" s="262" t="s">
        <v>88</v>
      </c>
      <c r="U294" s="391">
        <v>5</v>
      </c>
      <c r="V294" s="391" t="s">
        <v>140</v>
      </c>
      <c r="W294" s="391" t="s">
        <v>808</v>
      </c>
      <c r="X294" s="32">
        <v>44177</v>
      </c>
      <c r="Y294" s="32">
        <v>44181</v>
      </c>
      <c r="Z294" s="3" t="s">
        <v>584</v>
      </c>
      <c r="AA294" s="45">
        <v>208</v>
      </c>
      <c r="AB29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4" s="262" t="s">
        <v>482</v>
      </c>
      <c r="AD294" s="391">
        <f>IF(Tabela1[[#This Row],[Qtde. Lançada]]&gt;Tabela1[[#This Row],[Comprimento Total]],Tabela1[[#This Row],[Qtde. Lançada]],Tabela1[[#This Row],[Comprimento Total]])</f>
        <v>450</v>
      </c>
      <c r="AE294" s="391" t="s">
        <v>92</v>
      </c>
      <c r="AF294" s="391" t="s">
        <v>908</v>
      </c>
      <c r="AG294" s="391">
        <f ca="1">SUMIF('Lançamento de Cabos'!AE:AK,Tabela1[[#This Row],[Tag do Cabo]],'Lançamento de Cabos'!AG:AG)</f>
        <v>0</v>
      </c>
      <c r="AH294" s="29">
        <f>IFERROR(VLOOKUP(Tabela1[[#This Row],[Tag do Cabo]],'Lançamento de Cabos'!AE:AK,7,0),0)</f>
        <v>0</v>
      </c>
      <c r="AI294" s="262" t="s">
        <v>311</v>
      </c>
      <c r="AJ294" s="212"/>
      <c r="AK294" s="46">
        <v>932951</v>
      </c>
    </row>
    <row r="295" spans="1:38" s="262" customFormat="1" ht="15" customHeight="1" x14ac:dyDescent="0.2">
      <c r="A295" s="323" t="s">
        <v>923</v>
      </c>
      <c r="B295" s="391" t="s">
        <v>38</v>
      </c>
      <c r="C295" s="391">
        <v>125</v>
      </c>
      <c r="D295" s="391" t="s">
        <v>80</v>
      </c>
      <c r="E295" s="3" t="s">
        <v>819</v>
      </c>
      <c r="F295" s="11">
        <v>2.5</v>
      </c>
      <c r="G295" s="391">
        <v>1</v>
      </c>
      <c r="H295" s="391">
        <v>430</v>
      </c>
      <c r="I295" s="391">
        <v>430</v>
      </c>
      <c r="J295" s="391" t="s">
        <v>906</v>
      </c>
      <c r="K295" s="262" t="s">
        <v>847</v>
      </c>
      <c r="L295" s="262" t="s">
        <v>924</v>
      </c>
      <c r="M295" s="22" t="s">
        <v>85</v>
      </c>
      <c r="N295" s="23" t="str">
        <f>"Sim"</f>
        <v>Sim</v>
      </c>
      <c r="O295" s="22" t="s">
        <v>86</v>
      </c>
      <c r="P295" s="22" t="s">
        <v>86</v>
      </c>
      <c r="Q295" s="391" t="s">
        <v>139</v>
      </c>
      <c r="R295" s="23">
        <f>SUMIF('Lançamento de Cabos'!$B:$B,Tabela1[[#This Row],[Tag do Cabo]],'Lançamento de Cabos'!$C:$C)</f>
        <v>450</v>
      </c>
      <c r="S295" s="391">
        <f>VLOOKUP(Tabela1[[#This Row],[Tag do Cabo]],'Diagramas Ligações'!A:V,14,0)</f>
        <v>12</v>
      </c>
      <c r="T295" s="262" t="s">
        <v>88</v>
      </c>
      <c r="U295" s="391">
        <v>5</v>
      </c>
      <c r="V295" s="391" t="s">
        <v>140</v>
      </c>
      <c r="W295" s="391" t="s">
        <v>808</v>
      </c>
      <c r="X295" s="32">
        <v>44177</v>
      </c>
      <c r="Y295" s="32">
        <v>44181</v>
      </c>
      <c r="Z295" s="3" t="s">
        <v>584</v>
      </c>
      <c r="AA295" s="45">
        <v>208</v>
      </c>
      <c r="AB29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5" s="262" t="s">
        <v>482</v>
      </c>
      <c r="AD295" s="391">
        <f>IF(Tabela1[[#This Row],[Qtde. Lançada]]&gt;Tabela1[[#This Row],[Comprimento Total]],Tabela1[[#This Row],[Qtde. Lançada]],Tabela1[[#This Row],[Comprimento Total]])</f>
        <v>450</v>
      </c>
      <c r="AE295" s="391" t="s">
        <v>92</v>
      </c>
      <c r="AF295" s="391" t="s">
        <v>908</v>
      </c>
      <c r="AG295" s="391">
        <f ca="1">SUMIF('Lançamento de Cabos'!AE:AK,Tabela1[[#This Row],[Tag do Cabo]],'Lançamento de Cabos'!AG:AG)</f>
        <v>6</v>
      </c>
      <c r="AH295" s="29">
        <f>IFERROR(VLOOKUP(Tabela1[[#This Row],[Tag do Cabo]],'Lançamento de Cabos'!AE:AK,7,0),0)</f>
        <v>0.5</v>
      </c>
      <c r="AI295" s="262" t="s">
        <v>98</v>
      </c>
      <c r="AJ295" s="212" t="s">
        <v>920</v>
      </c>
      <c r="AK295" s="46">
        <v>932951</v>
      </c>
    </row>
    <row r="296" spans="1:38" s="262" customFormat="1" ht="15" customHeight="1" x14ac:dyDescent="0.2">
      <c r="A296" s="168" t="s">
        <v>925</v>
      </c>
      <c r="B296" s="391" t="s">
        <v>38</v>
      </c>
      <c r="C296" s="391">
        <v>125</v>
      </c>
      <c r="D296" s="391" t="s">
        <v>80</v>
      </c>
      <c r="E296" s="3" t="s">
        <v>819</v>
      </c>
      <c r="F296" s="11">
        <v>2.5</v>
      </c>
      <c r="G296" s="391">
        <v>1</v>
      </c>
      <c r="H296" s="391">
        <v>450</v>
      </c>
      <c r="I296" s="391">
        <v>450</v>
      </c>
      <c r="J296" s="391" t="s">
        <v>906</v>
      </c>
      <c r="K296" s="262" t="s">
        <v>834</v>
      </c>
      <c r="L296" s="262" t="s">
        <v>926</v>
      </c>
      <c r="M296" s="22" t="s">
        <v>85</v>
      </c>
      <c r="N296" s="23" t="str">
        <f>"Sim"</f>
        <v>Sim</v>
      </c>
      <c r="O296" s="22" t="s">
        <v>86</v>
      </c>
      <c r="P296" s="22" t="s">
        <v>86</v>
      </c>
      <c r="Q296" s="391" t="s">
        <v>139</v>
      </c>
      <c r="R296" s="23">
        <f>SUMIF('Lançamento de Cabos'!$B:$B,Tabela1[[#This Row],[Tag do Cabo]],'Lançamento de Cabos'!$C:$C)</f>
        <v>450</v>
      </c>
      <c r="S296" s="391">
        <f>VLOOKUP(Tabela1[[#This Row],[Tag do Cabo]],'Diagramas Ligações'!A:V,14,0)</f>
        <v>12</v>
      </c>
      <c r="T296" s="262" t="s">
        <v>88</v>
      </c>
      <c r="U296" s="391">
        <v>5</v>
      </c>
      <c r="V296" s="391" t="s">
        <v>140</v>
      </c>
      <c r="W296" s="391" t="s">
        <v>808</v>
      </c>
      <c r="X296" s="32">
        <v>44177</v>
      </c>
      <c r="Y296" s="32">
        <v>44181</v>
      </c>
      <c r="Z296" s="3" t="s">
        <v>584</v>
      </c>
      <c r="AA296" s="45">
        <v>208</v>
      </c>
      <c r="AB29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6" s="262" t="s">
        <v>482</v>
      </c>
      <c r="AD296" s="391">
        <f>IF(Tabela1[[#This Row],[Qtde. Lançada]]&gt;Tabela1[[#This Row],[Comprimento Total]],Tabela1[[#This Row],[Qtde. Lançada]],Tabela1[[#This Row],[Comprimento Total]])</f>
        <v>450</v>
      </c>
      <c r="AE296" s="391" t="s">
        <v>92</v>
      </c>
      <c r="AF296" s="391" t="s">
        <v>908</v>
      </c>
      <c r="AG296" s="391">
        <f ca="1">SUMIF('Lançamento de Cabos'!AE:AK,Tabela1[[#This Row],[Tag do Cabo]],'Lançamento de Cabos'!AG:AG)</f>
        <v>6</v>
      </c>
      <c r="AH296" s="29">
        <f>IFERROR(VLOOKUP(Tabela1[[#This Row],[Tag do Cabo]],'Lançamento de Cabos'!AE:AK,7,0),0)</f>
        <v>0.5</v>
      </c>
      <c r="AI296" s="262" t="s">
        <v>98</v>
      </c>
      <c r="AJ296" s="212" t="s">
        <v>927</v>
      </c>
      <c r="AK296" s="46">
        <v>932951</v>
      </c>
    </row>
    <row r="297" spans="1:38" s="262" customFormat="1" ht="15" customHeight="1" x14ac:dyDescent="0.2">
      <c r="A297" s="168" t="s">
        <v>928</v>
      </c>
      <c r="B297" s="391" t="s">
        <v>38</v>
      </c>
      <c r="C297" s="391">
        <v>13800</v>
      </c>
      <c r="D297" s="391" t="s">
        <v>80</v>
      </c>
      <c r="E297" s="3" t="s">
        <v>819</v>
      </c>
      <c r="F297" s="11">
        <v>2.5</v>
      </c>
      <c r="G297" s="391">
        <v>1</v>
      </c>
      <c r="H297" s="391">
        <v>450</v>
      </c>
      <c r="I297" s="391">
        <v>450</v>
      </c>
      <c r="J297" s="391" t="s">
        <v>906</v>
      </c>
      <c r="K297" s="262" t="s">
        <v>834</v>
      </c>
      <c r="L297" s="262" t="s">
        <v>929</v>
      </c>
      <c r="M297" s="22" t="s">
        <v>85</v>
      </c>
      <c r="N297" s="22" t="s">
        <v>86</v>
      </c>
      <c r="O297" s="391" t="s">
        <v>85</v>
      </c>
      <c r="P297" s="391" t="s">
        <v>85</v>
      </c>
      <c r="Q297" s="391" t="s">
        <v>139</v>
      </c>
      <c r="R297" s="23">
        <f>SUMIF('Lançamento de Cabos'!$B:$B,Tabela1[[#This Row],[Tag do Cabo]],'Lançamento de Cabos'!$C:$C)</f>
        <v>450</v>
      </c>
      <c r="S297" s="391">
        <f>VLOOKUP(Tabela1[[#This Row],[Tag do Cabo]],'Diagramas Ligações'!A:V,14,0)</f>
        <v>12</v>
      </c>
      <c r="T297" s="262" t="s">
        <v>88</v>
      </c>
      <c r="U297" s="391">
        <v>5</v>
      </c>
      <c r="V297" s="391" t="s">
        <v>140</v>
      </c>
      <c r="W297" s="391" t="s">
        <v>808</v>
      </c>
      <c r="X297" s="32">
        <v>44177</v>
      </c>
      <c r="Y297" s="32">
        <v>44181</v>
      </c>
      <c r="Z297" s="3" t="s">
        <v>584</v>
      </c>
      <c r="AA297" s="45">
        <v>208</v>
      </c>
      <c r="AB29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7" s="262" t="s">
        <v>482</v>
      </c>
      <c r="AD297" s="391">
        <f>IF(Tabela1[[#This Row],[Qtde. Lançada]]&gt;Tabela1[[#This Row],[Comprimento Total]],Tabela1[[#This Row],[Qtde. Lançada]],Tabela1[[#This Row],[Comprimento Total]])</f>
        <v>450</v>
      </c>
      <c r="AE297" s="391" t="s">
        <v>92</v>
      </c>
      <c r="AF297" s="391" t="s">
        <v>908</v>
      </c>
      <c r="AG297" s="391">
        <f ca="1">SUMIF('Lançamento de Cabos'!AE:AK,Tabela1[[#This Row],[Tag do Cabo]],'Lançamento de Cabos'!AG:AG)</f>
        <v>6</v>
      </c>
      <c r="AH297" s="29">
        <f>IFERROR(VLOOKUP(Tabela1[[#This Row],[Tag do Cabo]],'Lançamento de Cabos'!AE:AK,7,0),0)</f>
        <v>0.5</v>
      </c>
      <c r="AI297" s="262" t="s">
        <v>98</v>
      </c>
      <c r="AJ297" s="212" t="s">
        <v>927</v>
      </c>
      <c r="AK297" s="46">
        <v>932951</v>
      </c>
    </row>
    <row r="298" spans="1:38" s="262" customFormat="1" ht="15" customHeight="1" x14ac:dyDescent="0.2">
      <c r="A298" s="168" t="s">
        <v>930</v>
      </c>
      <c r="B298" s="391" t="s">
        <v>38</v>
      </c>
      <c r="C298" s="391">
        <v>125</v>
      </c>
      <c r="D298" s="391" t="s">
        <v>80</v>
      </c>
      <c r="E298" s="3" t="s">
        <v>905</v>
      </c>
      <c r="F298" s="11">
        <v>2.5</v>
      </c>
      <c r="G298" s="391">
        <v>1</v>
      </c>
      <c r="H298" s="391">
        <v>770</v>
      </c>
      <c r="I298" s="391">
        <v>770</v>
      </c>
      <c r="J298" s="391" t="s">
        <v>931</v>
      </c>
      <c r="K298" s="262" t="s">
        <v>856</v>
      </c>
      <c r="L298" s="262" t="s">
        <v>932</v>
      </c>
      <c r="M298" s="22" t="s">
        <v>85</v>
      </c>
      <c r="N298" s="22" t="s">
        <v>85</v>
      </c>
      <c r="O298" s="22" t="s">
        <v>86</v>
      </c>
      <c r="P298" s="22" t="s">
        <v>86</v>
      </c>
      <c r="Q298" s="91" t="s">
        <v>139</v>
      </c>
      <c r="R298" s="391">
        <f>SUMIF('Lançamento de Cabos'!$B:$B,Tabela1[[#This Row],[Tag do Cabo]],'Lançamento de Cabos'!$C:$C)</f>
        <v>770</v>
      </c>
      <c r="S298" s="391">
        <f>VLOOKUP(Tabela1[[#This Row],[Tag do Cabo]],'Diagramas Ligações'!A:V,14,0)</f>
        <v>8</v>
      </c>
      <c r="T298" s="262" t="s">
        <v>88</v>
      </c>
      <c r="U298" s="391">
        <v>5</v>
      </c>
      <c r="V298" s="391" t="s">
        <v>140</v>
      </c>
      <c r="W298" s="391" t="s">
        <v>933</v>
      </c>
      <c r="X298" s="32">
        <v>44151</v>
      </c>
      <c r="Y298" s="32">
        <v>44154</v>
      </c>
      <c r="Z298" s="3" t="s">
        <v>934</v>
      </c>
      <c r="AA298" s="45">
        <v>97</v>
      </c>
      <c r="AB29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8" s="262" t="s">
        <v>327</v>
      </c>
      <c r="AD298" s="391">
        <f>IF(Tabela1[[#This Row],[Qtde. Lançada]]&gt;Tabela1[[#This Row],[Comprimento Total]],Tabela1[[#This Row],[Qtde. Lançada]],Tabela1[[#This Row],[Comprimento Total]])</f>
        <v>770</v>
      </c>
      <c r="AE298" s="391" t="s">
        <v>92</v>
      </c>
      <c r="AF298" s="391" t="s">
        <v>935</v>
      </c>
      <c r="AG298" s="391">
        <f ca="1">SUMIF('Lançamento de Cabos'!AE:AK,Tabela1[[#This Row],[Tag do Cabo]],'Lançamento de Cabos'!AG:AG)</f>
        <v>4</v>
      </c>
      <c r="AH298" s="29">
        <f>IFERROR(VLOOKUP(Tabela1[[#This Row],[Tag do Cabo]],'Lançamento de Cabos'!AE:AK,7,0),0)</f>
        <v>0.5</v>
      </c>
      <c r="AI298" s="262" t="s">
        <v>537</v>
      </c>
      <c r="AJ298" s="212" t="s">
        <v>209</v>
      </c>
      <c r="AK298" s="46">
        <v>9044579</v>
      </c>
    </row>
    <row r="299" spans="1:38" s="262" customFormat="1" ht="15" customHeight="1" x14ac:dyDescent="0.2">
      <c r="A299" s="168" t="s">
        <v>936</v>
      </c>
      <c r="B299" s="391" t="s">
        <v>37</v>
      </c>
      <c r="C299" s="391">
        <v>13800</v>
      </c>
      <c r="D299" s="391" t="s">
        <v>120</v>
      </c>
      <c r="E299" s="3" t="s">
        <v>910</v>
      </c>
      <c r="F299" s="11">
        <v>185</v>
      </c>
      <c r="G299" s="391">
        <v>15</v>
      </c>
      <c r="H299" s="391">
        <v>770</v>
      </c>
      <c r="I299" s="391">
        <v>11550</v>
      </c>
      <c r="J299" s="391" t="s">
        <v>931</v>
      </c>
      <c r="K299" s="262" t="s">
        <v>856</v>
      </c>
      <c r="L299" s="262" t="s">
        <v>937</v>
      </c>
      <c r="M299" s="22" t="s">
        <v>85</v>
      </c>
      <c r="N299" s="22" t="s">
        <v>86</v>
      </c>
      <c r="O299" s="391" t="s">
        <v>85</v>
      </c>
      <c r="P299" s="391" t="s">
        <v>85</v>
      </c>
      <c r="Q299" s="91" t="s">
        <v>912</v>
      </c>
      <c r="R299" s="391">
        <f>SUMIF('Lançamento de Cabos'!$B:$B,Tabela1[[#This Row],[Tag do Cabo]],'Lançamento de Cabos'!$C:$C)</f>
        <v>11550</v>
      </c>
      <c r="S299" s="391">
        <f>VLOOKUP(Tabela1[[#This Row],[Tag do Cabo]],'Diagramas Ligações'!A:V,14,0)</f>
        <v>30</v>
      </c>
      <c r="T299" s="262" t="s">
        <v>88</v>
      </c>
      <c r="U299" s="391">
        <v>5</v>
      </c>
      <c r="V299" s="391"/>
      <c r="W299" s="391" t="s">
        <v>933</v>
      </c>
      <c r="X299" s="32">
        <v>44151</v>
      </c>
      <c r="Y299" s="32">
        <v>44154</v>
      </c>
      <c r="Z299" s="3" t="s">
        <v>934</v>
      </c>
      <c r="AA299" s="45" t="s">
        <v>938</v>
      </c>
      <c r="AB29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299" s="262" t="s">
        <v>327</v>
      </c>
      <c r="AD299" s="391">
        <f>IF(Tabela1[[#This Row],[Qtde. Lançada]]&gt;Tabela1[[#This Row],[Comprimento Total]],Tabela1[[#This Row],[Qtde. Lançada]],Tabela1[[#This Row],[Comprimento Total]])</f>
        <v>11550</v>
      </c>
      <c r="AE299" s="391" t="s">
        <v>92</v>
      </c>
      <c r="AF299" s="391" t="s">
        <v>935</v>
      </c>
      <c r="AG299" s="391">
        <f ca="1">SUMIF('Lançamento de Cabos'!AE:AK,Tabela1[[#This Row],[Tag do Cabo]],'Lançamento de Cabos'!AG:AG)</f>
        <v>30</v>
      </c>
      <c r="AH299" s="29">
        <f>IFERROR(VLOOKUP(Tabela1[[#This Row],[Tag do Cabo]],'Lançamento de Cabos'!AE:AK,7,0),0)</f>
        <v>1</v>
      </c>
      <c r="AI299" s="262" t="s">
        <v>537</v>
      </c>
      <c r="AJ299" s="212" t="s">
        <v>209</v>
      </c>
      <c r="AK299" s="46">
        <v>919989</v>
      </c>
    </row>
    <row r="300" spans="1:38" s="262" customFormat="1" ht="15" customHeight="1" x14ac:dyDescent="0.2">
      <c r="A300" s="347" t="s">
        <v>939</v>
      </c>
      <c r="B300" s="391" t="s">
        <v>101</v>
      </c>
      <c r="C300" s="391" t="s">
        <v>92</v>
      </c>
      <c r="D300" s="391" t="s">
        <v>92</v>
      </c>
      <c r="E300" s="3" t="s">
        <v>581</v>
      </c>
      <c r="F300" s="11" t="s">
        <v>92</v>
      </c>
      <c r="G300" s="391">
        <v>1</v>
      </c>
      <c r="H300" s="391">
        <v>750</v>
      </c>
      <c r="I300" s="391">
        <v>750</v>
      </c>
      <c r="J300" s="391" t="s">
        <v>103</v>
      </c>
      <c r="K300" s="262" t="s">
        <v>940</v>
      </c>
      <c r="L300" s="262" t="s">
        <v>941</v>
      </c>
      <c r="M300" s="22" t="s">
        <v>86</v>
      </c>
      <c r="N300" s="22" t="s">
        <v>86</v>
      </c>
      <c r="O300" s="22" t="s">
        <v>86</v>
      </c>
      <c r="P300" s="22" t="s">
        <v>86</v>
      </c>
      <c r="Q300" s="91" t="s">
        <v>583</v>
      </c>
      <c r="R300" s="391">
        <f>SUMIF('Lançamento de Cabos'!$B:$B,Tabela1[[#This Row],[Tag do Cabo]],'Lançamento de Cabos'!$C:$C)</f>
        <v>774</v>
      </c>
      <c r="S300" s="391">
        <f>VLOOKUP(Tabela1[[#This Row],[Tag do Cabo]],'Diagramas Ligações'!A:V,14,0)</f>
        <v>8</v>
      </c>
      <c r="T300" s="262" t="s">
        <v>88</v>
      </c>
      <c r="U300" s="391">
        <v>5</v>
      </c>
      <c r="V300" s="391" t="s">
        <v>107</v>
      </c>
      <c r="W300" s="391" t="s">
        <v>536</v>
      </c>
      <c r="X300" s="32">
        <v>44177</v>
      </c>
      <c r="Y300" s="32">
        <v>44181</v>
      </c>
      <c r="Z300" s="3" t="s">
        <v>942</v>
      </c>
      <c r="AA300" s="45" t="s">
        <v>943</v>
      </c>
      <c r="AB30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0" s="262" t="s">
        <v>585</v>
      </c>
      <c r="AD300" s="391">
        <f>IF(Tabela1[[#This Row],[Qtde. Lançada]]&gt;Tabela1[[#This Row],[Comprimento Total]],Tabela1[[#This Row],[Qtde. Lançada]],Tabela1[[#This Row],[Comprimento Total]])</f>
        <v>774</v>
      </c>
      <c r="AE300" s="391" t="s">
        <v>92</v>
      </c>
      <c r="AF300" s="391" t="s">
        <v>935</v>
      </c>
      <c r="AG300" s="391">
        <f ca="1">SUMIF('Lançamento de Cabos'!AE:AK,Tabela1[[#This Row],[Tag do Cabo]],'Lançamento de Cabos'!AG:AG)</f>
        <v>4</v>
      </c>
      <c r="AH300" s="29">
        <f>IFERROR(VLOOKUP(Tabela1[[#This Row],[Tag do Cabo]],'Lançamento de Cabos'!AE:AK,7,0),0)</f>
        <v>0.5</v>
      </c>
      <c r="AI300" s="262" t="s">
        <v>98</v>
      </c>
      <c r="AJ300" s="212" t="s">
        <v>944</v>
      </c>
      <c r="AK300" s="46">
        <v>3056722</v>
      </c>
      <c r="AL300" s="359" t="s">
        <v>945</v>
      </c>
    </row>
    <row r="301" spans="1:38" s="262" customFormat="1" ht="15" customHeight="1" x14ac:dyDescent="0.2">
      <c r="A301" s="168" t="s">
        <v>946</v>
      </c>
      <c r="B301" s="391" t="s">
        <v>101</v>
      </c>
      <c r="C301" s="391" t="s">
        <v>92</v>
      </c>
      <c r="D301" s="391" t="s">
        <v>92</v>
      </c>
      <c r="E301" s="3" t="s">
        <v>581</v>
      </c>
      <c r="F301" s="11" t="s">
        <v>92</v>
      </c>
      <c r="G301" s="391">
        <v>1</v>
      </c>
      <c r="H301" s="391">
        <v>750</v>
      </c>
      <c r="I301" s="391">
        <v>750</v>
      </c>
      <c r="J301" s="391" t="s">
        <v>103</v>
      </c>
      <c r="K301" s="262" t="s">
        <v>947</v>
      </c>
      <c r="L301" s="262" t="s">
        <v>948</v>
      </c>
      <c r="M301" s="22" t="s">
        <v>86</v>
      </c>
      <c r="N301" s="22" t="s">
        <v>86</v>
      </c>
      <c r="O301" s="22" t="s">
        <v>86</v>
      </c>
      <c r="P301" s="22" t="s">
        <v>86</v>
      </c>
      <c r="Q301" s="91" t="s">
        <v>583</v>
      </c>
      <c r="R301" s="391">
        <f>SUMIF('Lançamento de Cabos'!$B:$B,Tabela1[[#This Row],[Tag do Cabo]],'Lançamento de Cabos'!$C:$C)</f>
        <v>774</v>
      </c>
      <c r="S301" s="391">
        <f>VLOOKUP(Tabela1[[#This Row],[Tag do Cabo]],'Diagramas Ligações'!A:V,14,0)</f>
        <v>8</v>
      </c>
      <c r="T301" s="262" t="s">
        <v>88</v>
      </c>
      <c r="U301" s="391">
        <v>5</v>
      </c>
      <c r="V301" s="391" t="s">
        <v>107</v>
      </c>
      <c r="W301" s="391" t="s">
        <v>808</v>
      </c>
      <c r="X301" s="32">
        <v>44177</v>
      </c>
      <c r="Y301" s="32">
        <v>44181</v>
      </c>
      <c r="Z301" s="3" t="s">
        <v>942</v>
      </c>
      <c r="AA301" s="45" t="s">
        <v>943</v>
      </c>
      <c r="AB30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1" s="262" t="s">
        <v>585</v>
      </c>
      <c r="AD301" s="391">
        <f>IF(Tabela1[[#This Row],[Qtde. Lançada]]&gt;Tabela1[[#This Row],[Comprimento Total]],Tabela1[[#This Row],[Qtde. Lançada]],Tabela1[[#This Row],[Comprimento Total]])</f>
        <v>774</v>
      </c>
      <c r="AE301" s="391" t="s">
        <v>92</v>
      </c>
      <c r="AF301" s="391" t="s">
        <v>935</v>
      </c>
      <c r="AG301" s="391">
        <f ca="1">SUMIF('Lançamento de Cabos'!AE:AK,Tabela1[[#This Row],[Tag do Cabo]],'Lançamento de Cabos'!AG:AG)</f>
        <v>0</v>
      </c>
      <c r="AH301" s="29">
        <f>IFERROR(VLOOKUP(Tabela1[[#This Row],[Tag do Cabo]],'Lançamento de Cabos'!AE:AK,7,0),0)</f>
        <v>0</v>
      </c>
      <c r="AI301" s="262" t="s">
        <v>311</v>
      </c>
      <c r="AJ301" s="212"/>
      <c r="AK301" s="46">
        <v>3056722</v>
      </c>
    </row>
    <row r="302" spans="1:38" s="262" customFormat="1" ht="15" customHeight="1" x14ac:dyDescent="0.2">
      <c r="A302" s="168" t="s">
        <v>949</v>
      </c>
      <c r="B302" s="391" t="s">
        <v>101</v>
      </c>
      <c r="C302" s="391" t="s">
        <v>92</v>
      </c>
      <c r="D302" s="391" t="s">
        <v>92</v>
      </c>
      <c r="E302" s="3" t="s">
        <v>581</v>
      </c>
      <c r="F302" s="11" t="s">
        <v>92</v>
      </c>
      <c r="G302" s="391">
        <v>1</v>
      </c>
      <c r="H302" s="391">
        <v>230</v>
      </c>
      <c r="I302" s="391">
        <v>230</v>
      </c>
      <c r="J302" s="391" t="s">
        <v>103</v>
      </c>
      <c r="K302" s="262" t="s">
        <v>950</v>
      </c>
      <c r="L302" s="262" t="s">
        <v>951</v>
      </c>
      <c r="M302" s="22" t="s">
        <v>86</v>
      </c>
      <c r="N302" s="22" t="s">
        <v>86</v>
      </c>
      <c r="O302" s="22" t="s">
        <v>86</v>
      </c>
      <c r="P302" s="22" t="s">
        <v>86</v>
      </c>
      <c r="Q302" s="91" t="s">
        <v>583</v>
      </c>
      <c r="R302" s="391">
        <f>SUMIF('Lançamento de Cabos'!$B:$B,Tabela1[[#This Row],[Tag do Cabo]],'Lançamento de Cabos'!$C:$C)</f>
        <v>230</v>
      </c>
      <c r="S302" s="391">
        <f>VLOOKUP(Tabela1[[#This Row],[Tag do Cabo]],'Diagramas Ligações'!A:V,14,0)</f>
        <v>8</v>
      </c>
      <c r="T302" s="262" t="s">
        <v>88</v>
      </c>
      <c r="U302" s="391">
        <v>5</v>
      </c>
      <c r="V302" s="391" t="s">
        <v>107</v>
      </c>
      <c r="W302" s="391" t="s">
        <v>903</v>
      </c>
      <c r="X302" s="32">
        <v>44177</v>
      </c>
      <c r="Y302" s="32">
        <v>44218</v>
      </c>
      <c r="Z302" s="31" t="s">
        <v>916</v>
      </c>
      <c r="AA302" s="45">
        <v>157</v>
      </c>
      <c r="AB30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2" s="262" t="s">
        <v>899</v>
      </c>
      <c r="AD302" s="391">
        <f>IF(Tabela1[[#This Row],[Qtde. Lançada]]&gt;Tabela1[[#This Row],[Comprimento Total]],Tabela1[[#This Row],[Qtde. Lançada]],Tabela1[[#This Row],[Comprimento Total]])</f>
        <v>230</v>
      </c>
      <c r="AE302" s="391" t="s">
        <v>92</v>
      </c>
      <c r="AF302" s="391" t="s">
        <v>952</v>
      </c>
      <c r="AG302" s="391">
        <f ca="1">SUMIF('Lançamento de Cabos'!AE:AK,Tabela1[[#This Row],[Tag do Cabo]],'Lançamento de Cabos'!AG:AG)</f>
        <v>4</v>
      </c>
      <c r="AH302" s="29">
        <f>IFERROR(VLOOKUP(Tabela1[[#This Row],[Tag do Cabo]],'Lançamento de Cabos'!AE:AK,7,0),0)</f>
        <v>0.5</v>
      </c>
      <c r="AI302" s="262" t="s">
        <v>98</v>
      </c>
      <c r="AJ302" s="212" t="s">
        <v>953</v>
      </c>
      <c r="AK302" s="46">
        <v>3056722</v>
      </c>
    </row>
    <row r="303" spans="1:38" s="262" customFormat="1" ht="15" customHeight="1" x14ac:dyDescent="0.2">
      <c r="A303" s="168" t="s">
        <v>954</v>
      </c>
      <c r="B303" s="391" t="s">
        <v>101</v>
      </c>
      <c r="C303" s="391" t="s">
        <v>92</v>
      </c>
      <c r="D303" s="391" t="s">
        <v>92</v>
      </c>
      <c r="E303" s="3" t="s">
        <v>581</v>
      </c>
      <c r="F303" s="11" t="s">
        <v>92</v>
      </c>
      <c r="G303" s="391">
        <v>1</v>
      </c>
      <c r="H303" s="391">
        <v>230</v>
      </c>
      <c r="I303" s="391">
        <v>230</v>
      </c>
      <c r="J303" s="391" t="s">
        <v>103</v>
      </c>
      <c r="K303" s="262" t="s">
        <v>950</v>
      </c>
      <c r="L303" s="262" t="s">
        <v>951</v>
      </c>
      <c r="M303" s="22" t="s">
        <v>86</v>
      </c>
      <c r="N303" s="22" t="s">
        <v>86</v>
      </c>
      <c r="O303" s="22" t="s">
        <v>86</v>
      </c>
      <c r="P303" s="22" t="s">
        <v>86</v>
      </c>
      <c r="Q303" s="91" t="s">
        <v>583</v>
      </c>
      <c r="R303" s="391">
        <f>SUMIF('Lançamento de Cabos'!$B:$B,Tabela1[[#This Row],[Tag do Cabo]],'Lançamento de Cabos'!$C:$C)</f>
        <v>230</v>
      </c>
      <c r="S303" s="391">
        <f>VLOOKUP(Tabela1[[#This Row],[Tag do Cabo]],'Diagramas Ligações'!A:V,14,0)</f>
        <v>8</v>
      </c>
      <c r="T303" s="262" t="s">
        <v>88</v>
      </c>
      <c r="U303" s="391">
        <v>5</v>
      </c>
      <c r="V303" s="391" t="s">
        <v>107</v>
      </c>
      <c r="W303" s="391" t="s">
        <v>903</v>
      </c>
      <c r="X303" s="32">
        <v>44177</v>
      </c>
      <c r="Y303" s="32">
        <v>44218</v>
      </c>
      <c r="Z303" s="31" t="s">
        <v>916</v>
      </c>
      <c r="AA303" s="45">
        <v>160</v>
      </c>
      <c r="AB30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3" s="262" t="s">
        <v>899</v>
      </c>
      <c r="AD303" s="391">
        <f>IF(Tabela1[[#This Row],[Qtde. Lançada]]&gt;Tabela1[[#This Row],[Comprimento Total]],Tabela1[[#This Row],[Qtde. Lançada]],Tabela1[[#This Row],[Comprimento Total]])</f>
        <v>230</v>
      </c>
      <c r="AE303" s="391" t="s">
        <v>92</v>
      </c>
      <c r="AF303" s="391" t="s">
        <v>952</v>
      </c>
      <c r="AG303" s="391">
        <f ca="1">SUMIF('Lançamento de Cabos'!AE:AK,Tabela1[[#This Row],[Tag do Cabo]],'Lançamento de Cabos'!AG:AG)</f>
        <v>4</v>
      </c>
      <c r="AH303" s="29">
        <f>IFERROR(VLOOKUP(Tabela1[[#This Row],[Tag do Cabo]],'Lançamento de Cabos'!AE:AK,7,0),0)</f>
        <v>0.5</v>
      </c>
      <c r="AI303" s="262" t="s">
        <v>98</v>
      </c>
      <c r="AJ303" s="212" t="s">
        <v>953</v>
      </c>
      <c r="AK303" s="46">
        <v>3056722</v>
      </c>
    </row>
    <row r="304" spans="1:38" s="262" customFormat="1" ht="15" customHeight="1" x14ac:dyDescent="0.2">
      <c r="A304" s="168" t="s">
        <v>955</v>
      </c>
      <c r="B304" s="391" t="s">
        <v>101</v>
      </c>
      <c r="C304" s="391" t="s">
        <v>92</v>
      </c>
      <c r="D304" s="391" t="s">
        <v>92</v>
      </c>
      <c r="E304" s="3" t="s">
        <v>956</v>
      </c>
      <c r="F304" s="11" t="s">
        <v>92</v>
      </c>
      <c r="G304" s="391">
        <v>1</v>
      </c>
      <c r="H304" s="391">
        <v>220</v>
      </c>
      <c r="I304" s="391">
        <v>220</v>
      </c>
      <c r="J304" s="391" t="s">
        <v>103</v>
      </c>
      <c r="K304" s="262" t="s">
        <v>957</v>
      </c>
      <c r="L304" s="262" t="s">
        <v>958</v>
      </c>
      <c r="M304" s="22" t="s">
        <v>86</v>
      </c>
      <c r="N304" s="22" t="s">
        <v>86</v>
      </c>
      <c r="O304" s="22" t="s">
        <v>86</v>
      </c>
      <c r="P304" s="22" t="s">
        <v>86</v>
      </c>
      <c r="Q304" s="91" t="s">
        <v>304</v>
      </c>
      <c r="R304" s="391">
        <f>SUMIF('Lançamento de Cabos'!$B:$B,Tabela1[[#This Row],[Tag do Cabo]],'Lançamento de Cabos'!$C:$C)</f>
        <v>247</v>
      </c>
      <c r="S304" s="391">
        <f>VLOOKUP(Tabela1[[#This Row],[Tag do Cabo]],'Diagramas Ligações'!A:V,14,0)</f>
        <v>6</v>
      </c>
      <c r="T304" s="262" t="s">
        <v>446</v>
      </c>
      <c r="U304" s="391">
        <v>1</v>
      </c>
      <c r="V304" s="391" t="s">
        <v>107</v>
      </c>
      <c r="W304" s="391" t="s">
        <v>903</v>
      </c>
      <c r="X304" s="32">
        <v>44177</v>
      </c>
      <c r="Y304" s="32">
        <v>44249</v>
      </c>
      <c r="Z304" s="3" t="s">
        <v>959</v>
      </c>
      <c r="AA304" s="45">
        <v>161</v>
      </c>
      <c r="AB30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04" s="391">
        <f>IF(Tabela1[[#This Row],[Qtde. Lançada]]&gt;Tabela1[[#This Row],[Comprimento Total]],Tabela1[[#This Row],[Qtde. Lançada]],Tabela1[[#This Row],[Comprimento Total]])</f>
        <v>247</v>
      </c>
      <c r="AE304" s="262" t="s">
        <v>156</v>
      </c>
      <c r="AF304" s="391" t="s">
        <v>952</v>
      </c>
      <c r="AG304" s="391">
        <f ca="1">SUMIF('Lançamento de Cabos'!AE:AK,Tabela1[[#This Row],[Tag do Cabo]],'Lançamento de Cabos'!AG:AG)</f>
        <v>0</v>
      </c>
      <c r="AH304" s="29">
        <f>IFERROR(VLOOKUP(Tabela1[[#This Row],[Tag do Cabo]],'Lançamento de Cabos'!AE:AK,7,0),0)</f>
        <v>0</v>
      </c>
      <c r="AI304" s="262" t="s">
        <v>960</v>
      </c>
      <c r="AJ304" s="212" t="s">
        <v>920</v>
      </c>
      <c r="AK304" s="46">
        <v>3008361</v>
      </c>
    </row>
    <row r="305" spans="1:38" s="262" customFormat="1" ht="15" customHeight="1" x14ac:dyDescent="0.2">
      <c r="A305" s="168" t="s">
        <v>961</v>
      </c>
      <c r="B305" s="391" t="s">
        <v>101</v>
      </c>
      <c r="C305" s="391" t="s">
        <v>92</v>
      </c>
      <c r="D305" s="391" t="s">
        <v>92</v>
      </c>
      <c r="E305" s="3" t="s">
        <v>956</v>
      </c>
      <c r="F305" s="11" t="s">
        <v>92</v>
      </c>
      <c r="G305" s="391">
        <v>1</v>
      </c>
      <c r="H305" s="391">
        <v>220</v>
      </c>
      <c r="I305" s="391">
        <v>220</v>
      </c>
      <c r="J305" s="391" t="s">
        <v>103</v>
      </c>
      <c r="K305" s="262" t="s">
        <v>957</v>
      </c>
      <c r="L305" s="262" t="s">
        <v>962</v>
      </c>
      <c r="M305" s="22" t="s">
        <v>86</v>
      </c>
      <c r="N305" s="22" t="s">
        <v>86</v>
      </c>
      <c r="O305" s="22" t="s">
        <v>86</v>
      </c>
      <c r="P305" s="22" t="s">
        <v>86</v>
      </c>
      <c r="Q305" s="91" t="s">
        <v>304</v>
      </c>
      <c r="R305" s="391">
        <f>SUMIF('Lançamento de Cabos'!$B:$B,Tabela1[[#This Row],[Tag do Cabo]],'Lançamento de Cabos'!$C:$C)</f>
        <v>247</v>
      </c>
      <c r="S305" s="391">
        <f>VLOOKUP(Tabela1[[#This Row],[Tag do Cabo]],'Diagramas Ligações'!A:V,14,0)</f>
        <v>6</v>
      </c>
      <c r="T305" s="262" t="s">
        <v>446</v>
      </c>
      <c r="U305" s="391">
        <v>1</v>
      </c>
      <c r="V305" s="391" t="s">
        <v>107</v>
      </c>
      <c r="W305" s="391" t="s">
        <v>903</v>
      </c>
      <c r="X305" s="32">
        <v>44177</v>
      </c>
      <c r="Y305" s="32">
        <v>44249</v>
      </c>
      <c r="Z305" s="3" t="s">
        <v>959</v>
      </c>
      <c r="AA305" s="45">
        <v>161</v>
      </c>
      <c r="AB30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05" s="391">
        <f>IF(Tabela1[[#This Row],[Qtde. Lançada]]&gt;Tabela1[[#This Row],[Comprimento Total]],Tabela1[[#This Row],[Qtde. Lançada]],Tabela1[[#This Row],[Comprimento Total]])</f>
        <v>247</v>
      </c>
      <c r="AE305" s="262" t="s">
        <v>156</v>
      </c>
      <c r="AF305" s="391" t="s">
        <v>952</v>
      </c>
      <c r="AG305" s="391">
        <f ca="1">SUMIF('Lançamento de Cabos'!AE:AK,Tabela1[[#This Row],[Tag do Cabo]],'Lançamento de Cabos'!AG:AG)</f>
        <v>0</v>
      </c>
      <c r="AH305" s="29">
        <f>IFERROR(VLOOKUP(Tabela1[[#This Row],[Tag do Cabo]],'Lançamento de Cabos'!AE:AK,7,0),0)</f>
        <v>0</v>
      </c>
      <c r="AI305" s="262" t="s">
        <v>960</v>
      </c>
      <c r="AJ305" s="212" t="s">
        <v>920</v>
      </c>
      <c r="AK305" s="46">
        <v>3008361</v>
      </c>
    </row>
    <row r="306" spans="1:38" s="262" customFormat="1" ht="15" customHeight="1" x14ac:dyDescent="0.2">
      <c r="A306" s="168" t="s">
        <v>963</v>
      </c>
      <c r="B306" s="391" t="s">
        <v>37</v>
      </c>
      <c r="C306" s="391">
        <v>480</v>
      </c>
      <c r="D306" s="391" t="s">
        <v>80</v>
      </c>
      <c r="E306" s="3" t="s">
        <v>964</v>
      </c>
      <c r="F306" s="11">
        <v>185</v>
      </c>
      <c r="G306" s="391">
        <v>12</v>
      </c>
      <c r="H306" s="391">
        <v>750</v>
      </c>
      <c r="I306" s="391">
        <v>9000</v>
      </c>
      <c r="J306" s="391" t="s">
        <v>804</v>
      </c>
      <c r="K306" s="262" t="s">
        <v>965</v>
      </c>
      <c r="L306" s="262" t="s">
        <v>966</v>
      </c>
      <c r="M306" s="22" t="s">
        <v>85</v>
      </c>
      <c r="N306" s="22" t="s">
        <v>86</v>
      </c>
      <c r="O306" s="391" t="str">
        <f>"Sim"</f>
        <v>Sim</v>
      </c>
      <c r="P306" s="22" t="s">
        <v>86</v>
      </c>
      <c r="Q306" s="91" t="s">
        <v>243</v>
      </c>
      <c r="R306" s="391">
        <f>SUMIF('Lançamento de Cabos'!$B:$B,Tabela1[[#This Row],[Tag do Cabo]],'Lançamento de Cabos'!$C:$C)</f>
        <v>9000</v>
      </c>
      <c r="S306" s="391">
        <f>VLOOKUP(Tabela1[[#This Row],[Tag do Cabo]],'Diagramas Ligações'!A:V,14,0)</f>
        <v>24</v>
      </c>
      <c r="T306" s="262" t="s">
        <v>88</v>
      </c>
      <c r="U306" s="391">
        <v>5</v>
      </c>
      <c r="V306" s="391"/>
      <c r="W306" s="391" t="s">
        <v>808</v>
      </c>
      <c r="X306" s="32">
        <v>44151</v>
      </c>
      <c r="Y306" s="32">
        <v>44155</v>
      </c>
      <c r="Z306" s="3" t="s">
        <v>816</v>
      </c>
      <c r="AA306" s="45" t="s">
        <v>967</v>
      </c>
      <c r="AB30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6" s="262" t="s">
        <v>327</v>
      </c>
      <c r="AD306" s="391">
        <f>IF(Tabela1[[#This Row],[Qtde. Lançada]]&gt;Tabela1[[#This Row],[Comprimento Total]],Tabela1[[#This Row],[Qtde. Lançada]],Tabela1[[#This Row],[Comprimento Total]])</f>
        <v>9000</v>
      </c>
      <c r="AE306" s="391" t="s">
        <v>92</v>
      </c>
      <c r="AF306" s="391" t="s">
        <v>968</v>
      </c>
      <c r="AG306" s="391">
        <f ca="1">SUMIF('Lançamento de Cabos'!AE:AK,Tabela1[[#This Row],[Tag do Cabo]],'Lançamento de Cabos'!AG:AG)</f>
        <v>24</v>
      </c>
      <c r="AH306" s="29">
        <f>IFERROR(VLOOKUP(Tabela1[[#This Row],[Tag do Cabo]],'Lançamento de Cabos'!AE:AK,7,0),0)</f>
        <v>1</v>
      </c>
      <c r="AI306" s="262" t="s">
        <v>811</v>
      </c>
      <c r="AJ306" s="212" t="s">
        <v>261</v>
      </c>
      <c r="AK306" s="46">
        <v>331973</v>
      </c>
    </row>
    <row r="307" spans="1:38" s="262" customFormat="1" ht="15" customHeight="1" x14ac:dyDescent="0.2">
      <c r="A307" s="168" t="s">
        <v>969</v>
      </c>
      <c r="B307" s="391" t="s">
        <v>38</v>
      </c>
      <c r="C307" s="391">
        <v>125</v>
      </c>
      <c r="D307" s="391" t="s">
        <v>80</v>
      </c>
      <c r="E307" s="3" t="s">
        <v>970</v>
      </c>
      <c r="F307" s="11">
        <v>4</v>
      </c>
      <c r="G307" s="391">
        <v>1</v>
      </c>
      <c r="H307" s="391">
        <v>450</v>
      </c>
      <c r="I307" s="391">
        <v>450</v>
      </c>
      <c r="J307" s="391" t="s">
        <v>804</v>
      </c>
      <c r="K307" s="262" t="s">
        <v>847</v>
      </c>
      <c r="L307" s="262" t="s">
        <v>971</v>
      </c>
      <c r="M307" s="22" t="s">
        <v>85</v>
      </c>
      <c r="N307" s="391" t="str">
        <f t="shared" ref="N307:N313" si="9">"Sim"</f>
        <v>Sim</v>
      </c>
      <c r="O307" s="22" t="s">
        <v>86</v>
      </c>
      <c r="P307" s="22" t="s">
        <v>86</v>
      </c>
      <c r="Q307" s="91" t="s">
        <v>87</v>
      </c>
      <c r="R307" s="391">
        <f>SUMIF('Lançamento de Cabos'!$B:$B,Tabela1[[#This Row],[Tag do Cabo]],'Lançamento de Cabos'!$C:$C)</f>
        <v>0</v>
      </c>
      <c r="S307" s="391">
        <f>VLOOKUP(Tabela1[[#This Row],[Tag do Cabo]],'Diagramas Ligações'!A:V,14,0)</f>
        <v>24</v>
      </c>
      <c r="T307" s="262" t="s">
        <v>88</v>
      </c>
      <c r="U307" s="391">
        <v>5</v>
      </c>
      <c r="V307" s="391" t="s">
        <v>140</v>
      </c>
      <c r="W307" s="391" t="s">
        <v>808</v>
      </c>
      <c r="X307" s="32">
        <v>44177</v>
      </c>
      <c r="Y307" s="32">
        <v>44181</v>
      </c>
      <c r="Z307" s="332" t="s">
        <v>972</v>
      </c>
      <c r="AA307" s="45" t="s">
        <v>973</v>
      </c>
      <c r="AB30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7" s="262" t="s">
        <v>974</v>
      </c>
      <c r="AD307" s="391">
        <f>IF(Tabela1[[#This Row],[Qtde. Lançada]]&gt;Tabela1[[#This Row],[Comprimento Total]],Tabela1[[#This Row],[Qtde. Lançada]],Tabela1[[#This Row],[Comprimento Total]])</f>
        <v>450</v>
      </c>
      <c r="AE307" s="391" t="s">
        <v>92</v>
      </c>
      <c r="AF307" s="391" t="s">
        <v>975</v>
      </c>
      <c r="AG307" s="391">
        <f ca="1">SUMIF('Lançamento de Cabos'!AE:AK,Tabela1[[#This Row],[Tag do Cabo]],'Lançamento de Cabos'!AG:AG)</f>
        <v>0</v>
      </c>
      <c r="AH307" s="29">
        <f>IFERROR(VLOOKUP(Tabela1[[#This Row],[Tag do Cabo]],'Lançamento de Cabos'!AE:AK,7,0),0)</f>
        <v>0</v>
      </c>
      <c r="AI307" s="262" t="s">
        <v>98</v>
      </c>
      <c r="AJ307" s="212" t="s">
        <v>976</v>
      </c>
      <c r="AK307" s="46">
        <v>932960</v>
      </c>
    </row>
    <row r="308" spans="1:38" s="262" customFormat="1" ht="15" customHeight="1" x14ac:dyDescent="0.2">
      <c r="A308" s="168" t="s">
        <v>977</v>
      </c>
      <c r="B308" s="391" t="s">
        <v>38</v>
      </c>
      <c r="C308" s="391">
        <v>125</v>
      </c>
      <c r="D308" s="391" t="s">
        <v>80</v>
      </c>
      <c r="E308" s="3" t="s">
        <v>970</v>
      </c>
      <c r="F308" s="11">
        <v>4</v>
      </c>
      <c r="G308" s="391">
        <v>1</v>
      </c>
      <c r="H308" s="391">
        <v>450</v>
      </c>
      <c r="I308" s="391">
        <v>450</v>
      </c>
      <c r="J308" s="391" t="s">
        <v>804</v>
      </c>
      <c r="K308" s="262" t="s">
        <v>847</v>
      </c>
      <c r="L308" s="262" t="s">
        <v>971</v>
      </c>
      <c r="M308" s="22" t="s">
        <v>85</v>
      </c>
      <c r="N308" s="391" t="str">
        <f t="shared" si="9"/>
        <v>Sim</v>
      </c>
      <c r="O308" s="22" t="s">
        <v>86</v>
      </c>
      <c r="P308" s="22" t="s">
        <v>86</v>
      </c>
      <c r="Q308" s="91" t="s">
        <v>87</v>
      </c>
      <c r="R308" s="391">
        <f>SUMIF('Lançamento de Cabos'!$B:$B,Tabela1[[#This Row],[Tag do Cabo]],'Lançamento de Cabos'!$C:$C)</f>
        <v>0</v>
      </c>
      <c r="S308" s="391">
        <f>VLOOKUP(Tabela1[[#This Row],[Tag do Cabo]],'Diagramas Ligações'!A:V,14,0)</f>
        <v>16</v>
      </c>
      <c r="T308" s="262" t="s">
        <v>88</v>
      </c>
      <c r="U308" s="391">
        <v>5</v>
      </c>
      <c r="V308" s="391" t="s">
        <v>140</v>
      </c>
      <c r="W308" s="391" t="s">
        <v>808</v>
      </c>
      <c r="X308" s="32">
        <v>44177</v>
      </c>
      <c r="Y308" s="32">
        <v>44181</v>
      </c>
      <c r="Z308" s="332" t="s">
        <v>978</v>
      </c>
      <c r="AA308" s="45" t="s">
        <v>973</v>
      </c>
      <c r="AB30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8" s="262" t="s">
        <v>974</v>
      </c>
      <c r="AD308" s="391">
        <f>IF(Tabela1[[#This Row],[Qtde. Lançada]]&gt;Tabela1[[#This Row],[Comprimento Total]],Tabela1[[#This Row],[Qtde. Lançada]],Tabela1[[#This Row],[Comprimento Total]])</f>
        <v>450</v>
      </c>
      <c r="AE308" s="391" t="s">
        <v>92</v>
      </c>
      <c r="AF308" s="391" t="s">
        <v>975</v>
      </c>
      <c r="AG308" s="391">
        <f ca="1">SUMIF('Lançamento de Cabos'!AE:AK,Tabela1[[#This Row],[Tag do Cabo]],'Lançamento de Cabos'!AG:AG)</f>
        <v>0</v>
      </c>
      <c r="AH308" s="29">
        <f>IFERROR(VLOOKUP(Tabela1[[#This Row],[Tag do Cabo]],'Lançamento de Cabos'!AE:AK,7,0),0)</f>
        <v>0</v>
      </c>
      <c r="AI308" s="262" t="s">
        <v>98</v>
      </c>
      <c r="AJ308" s="212" t="s">
        <v>976</v>
      </c>
      <c r="AK308" s="46">
        <v>932960</v>
      </c>
    </row>
    <row r="309" spans="1:38" s="262" customFormat="1" ht="15" customHeight="1" x14ac:dyDescent="0.2">
      <c r="A309" s="168" t="s">
        <v>979</v>
      </c>
      <c r="B309" s="391" t="s">
        <v>38</v>
      </c>
      <c r="C309" s="391">
        <v>125</v>
      </c>
      <c r="D309" s="391" t="s">
        <v>80</v>
      </c>
      <c r="E309" s="3" t="s">
        <v>970</v>
      </c>
      <c r="F309" s="11">
        <v>4</v>
      </c>
      <c r="G309" s="391">
        <v>1</v>
      </c>
      <c r="H309" s="391">
        <v>450</v>
      </c>
      <c r="I309" s="391">
        <v>450</v>
      </c>
      <c r="J309" s="391" t="s">
        <v>804</v>
      </c>
      <c r="K309" s="262" t="s">
        <v>847</v>
      </c>
      <c r="L309" s="262" t="s">
        <v>971</v>
      </c>
      <c r="M309" s="22" t="s">
        <v>85</v>
      </c>
      <c r="N309" s="391" t="str">
        <f t="shared" si="9"/>
        <v>Sim</v>
      </c>
      <c r="O309" s="22" t="s">
        <v>86</v>
      </c>
      <c r="P309" s="22" t="s">
        <v>86</v>
      </c>
      <c r="Q309" s="91" t="s">
        <v>87</v>
      </c>
      <c r="R309" s="391">
        <f>SUMIF('Lançamento de Cabos'!$B:$B,Tabela1[[#This Row],[Tag do Cabo]],'Lançamento de Cabos'!$C:$C)</f>
        <v>520</v>
      </c>
      <c r="S309" s="391">
        <f>VLOOKUP(Tabela1[[#This Row],[Tag do Cabo]],'Diagramas Ligações'!A:V,14,0)</f>
        <v>22</v>
      </c>
      <c r="T309" s="262" t="s">
        <v>88</v>
      </c>
      <c r="U309" s="391">
        <v>5</v>
      </c>
      <c r="V309" s="391" t="s">
        <v>140</v>
      </c>
      <c r="W309" s="391" t="s">
        <v>808</v>
      </c>
      <c r="X309" s="32">
        <v>44177</v>
      </c>
      <c r="Y309" s="32">
        <v>44181</v>
      </c>
      <c r="Z309" s="3" t="s">
        <v>584</v>
      </c>
      <c r="AA309" s="45">
        <v>98</v>
      </c>
      <c r="AB30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09" s="262" t="s">
        <v>974</v>
      </c>
      <c r="AD309" s="391">
        <f>IF(Tabela1[[#This Row],[Qtde. Lançada]]&gt;Tabela1[[#This Row],[Comprimento Total]],Tabela1[[#This Row],[Qtde. Lançada]],Tabela1[[#This Row],[Comprimento Total]])</f>
        <v>520</v>
      </c>
      <c r="AE309" s="391" t="s">
        <v>92</v>
      </c>
      <c r="AF309" s="391" t="s">
        <v>975</v>
      </c>
      <c r="AG309" s="391">
        <f ca="1">SUMIF('Lançamento de Cabos'!AE:AK,Tabela1[[#This Row],[Tag do Cabo]],'Lançamento de Cabos'!AG:AG)</f>
        <v>0</v>
      </c>
      <c r="AH309" s="29">
        <f>IFERROR(VLOOKUP(Tabela1[[#This Row],[Tag do Cabo]],'Lançamento de Cabos'!AE:AK,7,0),0)</f>
        <v>0</v>
      </c>
      <c r="AI309" s="262" t="s">
        <v>98</v>
      </c>
      <c r="AJ309" s="212" t="s">
        <v>976</v>
      </c>
      <c r="AK309" s="46">
        <v>932960</v>
      </c>
    </row>
    <row r="310" spans="1:38" s="262" customFormat="1" ht="15" customHeight="1" x14ac:dyDescent="0.2">
      <c r="A310" s="168" t="s">
        <v>980</v>
      </c>
      <c r="B310" s="391" t="s">
        <v>38</v>
      </c>
      <c r="C310" s="391">
        <v>125</v>
      </c>
      <c r="D310" s="391" t="s">
        <v>80</v>
      </c>
      <c r="E310" s="3" t="s">
        <v>970</v>
      </c>
      <c r="F310" s="11">
        <v>4</v>
      </c>
      <c r="G310" s="391">
        <v>1</v>
      </c>
      <c r="H310" s="391">
        <v>450</v>
      </c>
      <c r="I310" s="391">
        <v>450</v>
      </c>
      <c r="J310" s="391" t="s">
        <v>804</v>
      </c>
      <c r="K310" s="262" t="s">
        <v>847</v>
      </c>
      <c r="L310" s="262" t="s">
        <v>971</v>
      </c>
      <c r="M310" s="22" t="s">
        <v>85</v>
      </c>
      <c r="N310" s="391" t="str">
        <f t="shared" si="9"/>
        <v>Sim</v>
      </c>
      <c r="O310" s="22" t="s">
        <v>86</v>
      </c>
      <c r="P310" s="22" t="s">
        <v>86</v>
      </c>
      <c r="Q310" s="91" t="s">
        <v>87</v>
      </c>
      <c r="R310" s="391">
        <f>SUMIF('Lançamento de Cabos'!$B:$B,Tabela1[[#This Row],[Tag do Cabo]],'Lançamento de Cabos'!$C:$C)</f>
        <v>520</v>
      </c>
      <c r="S310" s="391">
        <f>VLOOKUP(Tabela1[[#This Row],[Tag do Cabo]],'Diagramas Ligações'!A:V,14,0)</f>
        <v>22</v>
      </c>
      <c r="T310" s="262" t="s">
        <v>88</v>
      </c>
      <c r="U310" s="391">
        <v>5</v>
      </c>
      <c r="V310" s="391" t="s">
        <v>140</v>
      </c>
      <c r="W310" s="391" t="s">
        <v>808</v>
      </c>
      <c r="X310" s="32">
        <v>44177</v>
      </c>
      <c r="Y310" s="32">
        <v>44181</v>
      </c>
      <c r="Z310" s="3" t="s">
        <v>584</v>
      </c>
      <c r="AA310" s="45">
        <v>98</v>
      </c>
      <c r="AB31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0" s="262" t="s">
        <v>974</v>
      </c>
      <c r="AD310" s="391">
        <f>IF(Tabela1[[#This Row],[Qtde. Lançada]]&gt;Tabela1[[#This Row],[Comprimento Total]],Tabela1[[#This Row],[Qtde. Lançada]],Tabela1[[#This Row],[Comprimento Total]])</f>
        <v>520</v>
      </c>
      <c r="AE310" s="391" t="s">
        <v>92</v>
      </c>
      <c r="AF310" s="391" t="s">
        <v>975</v>
      </c>
      <c r="AG310" s="391">
        <f ca="1">SUMIF('Lançamento de Cabos'!AE:AK,Tabela1[[#This Row],[Tag do Cabo]],'Lançamento de Cabos'!AG:AG)</f>
        <v>0</v>
      </c>
      <c r="AH310" s="29">
        <f>IFERROR(VLOOKUP(Tabela1[[#This Row],[Tag do Cabo]],'Lançamento de Cabos'!AE:AK,7,0),0)</f>
        <v>0</v>
      </c>
      <c r="AI310" s="262" t="s">
        <v>98</v>
      </c>
      <c r="AJ310" s="212" t="s">
        <v>976</v>
      </c>
      <c r="AK310" s="46">
        <v>932960</v>
      </c>
    </row>
    <row r="311" spans="1:38" s="262" customFormat="1" ht="15" customHeight="1" x14ac:dyDescent="0.2">
      <c r="A311" s="168" t="s">
        <v>981</v>
      </c>
      <c r="B311" s="391" t="s">
        <v>38</v>
      </c>
      <c r="C311" s="391">
        <v>125</v>
      </c>
      <c r="D311" s="391" t="s">
        <v>80</v>
      </c>
      <c r="E311" s="3" t="s">
        <v>970</v>
      </c>
      <c r="F311" s="11">
        <v>4</v>
      </c>
      <c r="G311" s="391">
        <v>1</v>
      </c>
      <c r="H311" s="391">
        <v>450</v>
      </c>
      <c r="I311" s="391">
        <v>450</v>
      </c>
      <c r="J311" s="391" t="s">
        <v>804</v>
      </c>
      <c r="K311" s="262" t="s">
        <v>847</v>
      </c>
      <c r="L311" s="262" t="s">
        <v>971</v>
      </c>
      <c r="M311" s="22" t="s">
        <v>85</v>
      </c>
      <c r="N311" s="391" t="str">
        <f t="shared" si="9"/>
        <v>Sim</v>
      </c>
      <c r="O311" s="22" t="s">
        <v>86</v>
      </c>
      <c r="P311" s="22" t="s">
        <v>86</v>
      </c>
      <c r="Q311" s="91" t="s">
        <v>87</v>
      </c>
      <c r="R311" s="391">
        <f>SUMIF('Lançamento de Cabos'!$B:$B,Tabela1[[#This Row],[Tag do Cabo]],'Lançamento de Cabos'!$C:$C)</f>
        <v>520</v>
      </c>
      <c r="S311" s="391">
        <f>VLOOKUP(Tabela1[[#This Row],[Tag do Cabo]],'Diagramas Ligações'!A:V,14,0)</f>
        <v>12</v>
      </c>
      <c r="T311" s="262" t="s">
        <v>88</v>
      </c>
      <c r="U311" s="391">
        <v>5</v>
      </c>
      <c r="V311" s="391" t="s">
        <v>140</v>
      </c>
      <c r="W311" s="391" t="s">
        <v>808</v>
      </c>
      <c r="X311" s="32">
        <v>44177</v>
      </c>
      <c r="Y311" s="32">
        <v>44218</v>
      </c>
      <c r="Z311" s="31" t="s">
        <v>108</v>
      </c>
      <c r="AA311" s="45">
        <v>66</v>
      </c>
      <c r="AB31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1" s="262" t="s">
        <v>974</v>
      </c>
      <c r="AD311" s="391">
        <f>IF(Tabela1[[#This Row],[Qtde. Lançada]]&gt;Tabela1[[#This Row],[Comprimento Total]],Tabela1[[#This Row],[Qtde. Lançada]],Tabela1[[#This Row],[Comprimento Total]])</f>
        <v>520</v>
      </c>
      <c r="AE311" s="391" t="s">
        <v>92</v>
      </c>
      <c r="AF311" s="391" t="s">
        <v>975</v>
      </c>
      <c r="AG311" s="391">
        <f ca="1">SUMIF('Lançamento de Cabos'!AE:AK,Tabela1[[#This Row],[Tag do Cabo]],'Lançamento de Cabos'!AG:AG)</f>
        <v>0</v>
      </c>
      <c r="AH311" s="29">
        <f>IFERROR(VLOOKUP(Tabela1[[#This Row],[Tag do Cabo]],'Lançamento de Cabos'!AE:AK,7,0),0)</f>
        <v>0</v>
      </c>
      <c r="AI311" s="262" t="s">
        <v>98</v>
      </c>
      <c r="AJ311" s="212" t="s">
        <v>976</v>
      </c>
      <c r="AK311" s="46">
        <v>932960</v>
      </c>
    </row>
    <row r="312" spans="1:38" s="262" customFormat="1" ht="15" customHeight="1" x14ac:dyDescent="0.2">
      <c r="A312" s="168" t="s">
        <v>982</v>
      </c>
      <c r="B312" s="391" t="s">
        <v>38</v>
      </c>
      <c r="C312" s="391">
        <v>125</v>
      </c>
      <c r="D312" s="391" t="s">
        <v>80</v>
      </c>
      <c r="E312" s="3" t="s">
        <v>970</v>
      </c>
      <c r="F312" s="11">
        <v>4</v>
      </c>
      <c r="G312" s="391">
        <v>1</v>
      </c>
      <c r="H312" s="391">
        <v>450</v>
      </c>
      <c r="I312" s="391">
        <v>450</v>
      </c>
      <c r="J312" s="391" t="s">
        <v>804</v>
      </c>
      <c r="K312" s="262" t="s">
        <v>983</v>
      </c>
      <c r="L312" s="262" t="s">
        <v>971</v>
      </c>
      <c r="M312" s="22" t="s">
        <v>85</v>
      </c>
      <c r="N312" s="391" t="str">
        <f t="shared" si="9"/>
        <v>Sim</v>
      </c>
      <c r="O312" s="22" t="s">
        <v>86</v>
      </c>
      <c r="P312" s="22" t="s">
        <v>86</v>
      </c>
      <c r="Q312" s="91" t="s">
        <v>87</v>
      </c>
      <c r="R312" s="391">
        <f>SUMIF('Lançamento de Cabos'!$B:$B,Tabela1[[#This Row],[Tag do Cabo]],'Lançamento de Cabos'!$C:$C)</f>
        <v>520</v>
      </c>
      <c r="S312" s="391">
        <f>VLOOKUP(Tabela1[[#This Row],[Tag do Cabo]],'Diagramas Ligações'!A:V,14,0)</f>
        <v>24</v>
      </c>
      <c r="T312" s="262" t="s">
        <v>88</v>
      </c>
      <c r="U312" s="391">
        <v>5</v>
      </c>
      <c r="V312" s="391" t="s">
        <v>140</v>
      </c>
      <c r="W312" s="391" t="s">
        <v>808</v>
      </c>
      <c r="X312" s="32">
        <v>44177</v>
      </c>
      <c r="Y312" s="32">
        <v>44218</v>
      </c>
      <c r="Z312" s="31" t="s">
        <v>108</v>
      </c>
      <c r="AA312" s="45">
        <v>66</v>
      </c>
      <c r="AB31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2" s="262" t="s">
        <v>974</v>
      </c>
      <c r="AD312" s="391">
        <f>IF(Tabela1[[#This Row],[Qtde. Lançada]]&gt;Tabela1[[#This Row],[Comprimento Total]],Tabela1[[#This Row],[Qtde. Lançada]],Tabela1[[#This Row],[Comprimento Total]])</f>
        <v>520</v>
      </c>
      <c r="AE312" s="391" t="s">
        <v>92</v>
      </c>
      <c r="AF312" s="391" t="s">
        <v>975</v>
      </c>
      <c r="AG312" s="391">
        <f ca="1">SUMIF('Lançamento de Cabos'!AE:AK,Tabela1[[#This Row],[Tag do Cabo]],'Lançamento de Cabos'!AG:AG)</f>
        <v>0</v>
      </c>
      <c r="AH312" s="29">
        <f>IFERROR(VLOOKUP(Tabela1[[#This Row],[Tag do Cabo]],'Lançamento de Cabos'!AE:AK,7,0),0)</f>
        <v>0</v>
      </c>
      <c r="AI312" s="262" t="s">
        <v>98</v>
      </c>
      <c r="AJ312" s="212" t="s">
        <v>976</v>
      </c>
      <c r="AK312" s="46">
        <v>932960</v>
      </c>
    </row>
    <row r="313" spans="1:38" s="262" customFormat="1" ht="15" customHeight="1" x14ac:dyDescent="0.2">
      <c r="A313" s="168" t="s">
        <v>984</v>
      </c>
      <c r="B313" s="391" t="s">
        <v>38</v>
      </c>
      <c r="C313" s="391">
        <v>125</v>
      </c>
      <c r="D313" s="391" t="s">
        <v>80</v>
      </c>
      <c r="E313" s="3" t="s">
        <v>905</v>
      </c>
      <c r="F313" s="11">
        <v>2.5</v>
      </c>
      <c r="G313" s="391">
        <v>1</v>
      </c>
      <c r="H313" s="391">
        <v>30</v>
      </c>
      <c r="I313" s="391">
        <v>30</v>
      </c>
      <c r="J313" s="391" t="s">
        <v>804</v>
      </c>
      <c r="K313" s="262" t="s">
        <v>856</v>
      </c>
      <c r="L313" s="262" t="s">
        <v>985</v>
      </c>
      <c r="M313" s="22" t="s">
        <v>85</v>
      </c>
      <c r="N313" s="391" t="str">
        <f t="shared" si="9"/>
        <v>Sim</v>
      </c>
      <c r="O313" s="22" t="s">
        <v>86</v>
      </c>
      <c r="P313" s="22" t="s">
        <v>86</v>
      </c>
      <c r="Q313" s="91" t="s">
        <v>139</v>
      </c>
      <c r="R313" s="391">
        <f>SUMIF('Lançamento de Cabos'!$B:$B,Tabela1[[#This Row],[Tag do Cabo]],'Lançamento de Cabos'!$C:$C)</f>
        <v>30</v>
      </c>
      <c r="S313" s="391">
        <f>VLOOKUP(Tabela1[[#This Row],[Tag do Cabo]],'Diagramas Ligações'!A:V,14,0)</f>
        <v>12</v>
      </c>
      <c r="T313" s="262" t="s">
        <v>88</v>
      </c>
      <c r="U313" s="391">
        <v>5</v>
      </c>
      <c r="V313" s="391" t="s">
        <v>140</v>
      </c>
      <c r="W313" s="391" t="s">
        <v>808</v>
      </c>
      <c r="X313" s="32">
        <v>44177</v>
      </c>
      <c r="Y313" s="32">
        <v>44218</v>
      </c>
      <c r="Z313" s="31" t="s">
        <v>108</v>
      </c>
      <c r="AA313" s="45">
        <v>215</v>
      </c>
      <c r="AB31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3" s="262" t="s">
        <v>482</v>
      </c>
      <c r="AD313" s="391">
        <f>IF(Tabela1[[#This Row],[Qtde. Lançada]]&gt;Tabela1[[#This Row],[Comprimento Total]],Tabela1[[#This Row],[Qtde. Lançada]],Tabela1[[#This Row],[Comprimento Total]])</f>
        <v>30</v>
      </c>
      <c r="AE313" s="391" t="s">
        <v>92</v>
      </c>
      <c r="AF313" s="391" t="s">
        <v>986</v>
      </c>
      <c r="AG313" s="391">
        <f ca="1">SUMIF('Lançamento de Cabos'!AE:AK,Tabela1[[#This Row],[Tag do Cabo]],'Lançamento de Cabos'!AG:AG)</f>
        <v>6</v>
      </c>
      <c r="AH313" s="29">
        <f>IFERROR(VLOOKUP(Tabela1[[#This Row],[Tag do Cabo]],'Lançamento de Cabos'!AE:AK,7,0),0)</f>
        <v>0.5</v>
      </c>
      <c r="AI313" s="262" t="s">
        <v>811</v>
      </c>
      <c r="AJ313" s="212" t="s">
        <v>202</v>
      </c>
      <c r="AK313" s="46">
        <v>9044579</v>
      </c>
    </row>
    <row r="314" spans="1:38" s="262" customFormat="1" ht="15" customHeight="1" x14ac:dyDescent="0.2">
      <c r="A314" s="323" t="s">
        <v>987</v>
      </c>
      <c r="B314" s="391" t="s">
        <v>37</v>
      </c>
      <c r="C314" s="391">
        <v>13800</v>
      </c>
      <c r="D314" s="391" t="s">
        <v>120</v>
      </c>
      <c r="E314" s="3" t="s">
        <v>988</v>
      </c>
      <c r="F314" s="11">
        <v>240</v>
      </c>
      <c r="G314" s="391">
        <v>18</v>
      </c>
      <c r="H314" s="391">
        <v>30</v>
      </c>
      <c r="I314" s="391">
        <v>540</v>
      </c>
      <c r="J314" s="391" t="s">
        <v>804</v>
      </c>
      <c r="K314" s="262" t="s">
        <v>856</v>
      </c>
      <c r="L314" s="262" t="s">
        <v>989</v>
      </c>
      <c r="M314" s="22" t="s">
        <v>85</v>
      </c>
      <c r="N314" s="22" t="s">
        <v>86</v>
      </c>
      <c r="O314" s="391" t="s">
        <v>85</v>
      </c>
      <c r="P314" s="391" t="s">
        <v>85</v>
      </c>
      <c r="Q314" s="91" t="s">
        <v>124</v>
      </c>
      <c r="R314" s="391">
        <f>SUMIF('Lançamento de Cabos'!$B:$B,Tabela1[[#This Row],[Tag do Cabo]],'Lançamento de Cabos'!$C:$C)</f>
        <v>540</v>
      </c>
      <c r="S314" s="391">
        <f>VLOOKUP(Tabela1[[#This Row],[Tag do Cabo]],'Diagramas Ligações'!A:V,14,0)</f>
        <v>36</v>
      </c>
      <c r="T314" s="262" t="s">
        <v>88</v>
      </c>
      <c r="U314" s="391">
        <v>5</v>
      </c>
      <c r="V314" s="391"/>
      <c r="W314" s="391" t="s">
        <v>808</v>
      </c>
      <c r="X314" s="32">
        <v>44177</v>
      </c>
      <c r="Y314" s="32">
        <v>44181</v>
      </c>
      <c r="Z314" s="3" t="s">
        <v>584</v>
      </c>
      <c r="AA314" s="45">
        <v>114</v>
      </c>
      <c r="AB31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4" s="262" t="s">
        <v>482</v>
      </c>
      <c r="AD314" s="391">
        <f>IF(Tabela1[[#This Row],[Qtde. Lançada]]&gt;Tabela1[[#This Row],[Comprimento Total]],Tabela1[[#This Row],[Qtde. Lançada]],Tabela1[[#This Row],[Comprimento Total]])</f>
        <v>540</v>
      </c>
      <c r="AE314" s="391" t="s">
        <v>92</v>
      </c>
      <c r="AF314" s="391" t="s">
        <v>986</v>
      </c>
      <c r="AG314" s="391">
        <f ca="1">SUMIF('Lançamento de Cabos'!AE:AK,Tabela1[[#This Row],[Tag do Cabo]],'Lançamento de Cabos'!AG:AG)</f>
        <v>36</v>
      </c>
      <c r="AH314" s="29">
        <f>IFERROR(VLOOKUP(Tabela1[[#This Row],[Tag do Cabo]],'Lançamento de Cabos'!AE:AK,7,0),0)</f>
        <v>1</v>
      </c>
      <c r="AI314" s="262" t="s">
        <v>811</v>
      </c>
      <c r="AJ314" s="212" t="s">
        <v>202</v>
      </c>
      <c r="AK314" s="46">
        <v>330702</v>
      </c>
    </row>
    <row r="315" spans="1:38" s="262" customFormat="1" ht="15" customHeight="1" x14ac:dyDescent="0.2">
      <c r="A315" s="168" t="s">
        <v>990</v>
      </c>
      <c r="B315" s="391" t="s">
        <v>38</v>
      </c>
      <c r="C315" s="391">
        <v>125</v>
      </c>
      <c r="D315" s="391" t="s">
        <v>80</v>
      </c>
      <c r="E315" s="3" t="s">
        <v>905</v>
      </c>
      <c r="F315" s="11">
        <v>2.5</v>
      </c>
      <c r="G315" s="391">
        <v>1</v>
      </c>
      <c r="H315" s="391">
        <v>30</v>
      </c>
      <c r="I315" s="391">
        <v>30</v>
      </c>
      <c r="J315" s="391" t="s">
        <v>804</v>
      </c>
      <c r="K315" s="262" t="s">
        <v>856</v>
      </c>
      <c r="L315" s="262" t="s">
        <v>991</v>
      </c>
      <c r="M315" s="22" t="s">
        <v>85</v>
      </c>
      <c r="N315" s="391" t="str">
        <f>"Sim"</f>
        <v>Sim</v>
      </c>
      <c r="O315" s="22" t="s">
        <v>86</v>
      </c>
      <c r="P315" s="22" t="s">
        <v>86</v>
      </c>
      <c r="Q315" s="91" t="s">
        <v>139</v>
      </c>
      <c r="R315" s="391">
        <f>SUMIF('Lançamento de Cabos'!$B:$B,Tabela1[[#This Row],[Tag do Cabo]],'Lançamento de Cabos'!$C:$C)</f>
        <v>30</v>
      </c>
      <c r="S315" s="391">
        <f>VLOOKUP(Tabela1[[#This Row],[Tag do Cabo]],'Diagramas Ligações'!A:V,14,0)</f>
        <v>8</v>
      </c>
      <c r="T315" s="262" t="s">
        <v>88</v>
      </c>
      <c r="U315" s="391">
        <v>5</v>
      </c>
      <c r="V315" s="391" t="s">
        <v>140</v>
      </c>
      <c r="W315" s="391" t="s">
        <v>808</v>
      </c>
      <c r="X315" s="32">
        <v>44177</v>
      </c>
      <c r="Y315" s="32">
        <v>44218</v>
      </c>
      <c r="Z315" s="31" t="s">
        <v>108</v>
      </c>
      <c r="AA315" s="45">
        <v>215</v>
      </c>
      <c r="AB31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5" s="262" t="s">
        <v>482</v>
      </c>
      <c r="AD315" s="391">
        <f>IF(Tabela1[[#This Row],[Qtde. Lançada]]&gt;Tabela1[[#This Row],[Comprimento Total]],Tabela1[[#This Row],[Qtde. Lançada]],Tabela1[[#This Row],[Comprimento Total]])</f>
        <v>30</v>
      </c>
      <c r="AE315" s="391" t="s">
        <v>92</v>
      </c>
      <c r="AF315" s="391" t="s">
        <v>986</v>
      </c>
      <c r="AG315" s="391">
        <f ca="1">SUMIF('Lançamento de Cabos'!AE:AK,Tabela1[[#This Row],[Tag do Cabo]],'Lançamento de Cabos'!AG:AG)</f>
        <v>4</v>
      </c>
      <c r="AH315" s="29">
        <f>IFERROR(VLOOKUP(Tabela1[[#This Row],[Tag do Cabo]],'Lançamento de Cabos'!AE:AK,7,0),0)</f>
        <v>0.5</v>
      </c>
      <c r="AI315" s="262" t="s">
        <v>811</v>
      </c>
      <c r="AJ315" s="212" t="s">
        <v>202</v>
      </c>
      <c r="AK315" s="46">
        <v>9044579</v>
      </c>
    </row>
    <row r="316" spans="1:38" s="262" customFormat="1" ht="15" customHeight="1" x14ac:dyDescent="0.2">
      <c r="A316" s="323" t="s">
        <v>992</v>
      </c>
      <c r="B316" s="391" t="s">
        <v>37</v>
      </c>
      <c r="C316" s="391">
        <v>125</v>
      </c>
      <c r="D316" s="391" t="s">
        <v>80</v>
      </c>
      <c r="E316" s="3" t="s">
        <v>993</v>
      </c>
      <c r="F316" s="11">
        <v>120</v>
      </c>
      <c r="G316" s="391">
        <v>1</v>
      </c>
      <c r="H316" s="391">
        <v>10</v>
      </c>
      <c r="I316" s="391">
        <v>10</v>
      </c>
      <c r="J316" s="391" t="s">
        <v>804</v>
      </c>
      <c r="K316" s="262" t="s">
        <v>806</v>
      </c>
      <c r="L316" s="262" t="s">
        <v>994</v>
      </c>
      <c r="M316" s="22" t="s">
        <v>85</v>
      </c>
      <c r="N316" s="22" t="s">
        <v>86</v>
      </c>
      <c r="O316" s="391" t="str">
        <f>"Sim"</f>
        <v>Sim</v>
      </c>
      <c r="P316" s="22" t="s">
        <v>86</v>
      </c>
      <c r="Q316" s="91" t="s">
        <v>807</v>
      </c>
      <c r="R316" s="391">
        <f>SUMIF('Lançamento de Cabos'!$B:$B,Tabela1[[#This Row],[Tag do Cabo]],'Lançamento de Cabos'!$C:$C)</f>
        <v>10</v>
      </c>
      <c r="S316" s="391">
        <f>VLOOKUP(Tabela1[[#This Row],[Tag do Cabo]],'Diagramas Ligações'!A:V,14,0)</f>
        <v>4</v>
      </c>
      <c r="T316" s="262" t="s">
        <v>88</v>
      </c>
      <c r="U316" s="391">
        <v>5</v>
      </c>
      <c r="V316" s="391"/>
      <c r="W316" s="391" t="s">
        <v>808</v>
      </c>
      <c r="X316" s="32">
        <v>44151</v>
      </c>
      <c r="Y316" s="32">
        <v>44162</v>
      </c>
      <c r="Z316" s="3" t="s">
        <v>995</v>
      </c>
      <c r="AA316" s="45" t="s">
        <v>810</v>
      </c>
      <c r="AB31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6" s="262" t="s">
        <v>482</v>
      </c>
      <c r="AD316" s="391">
        <f>IF(Tabela1[[#This Row],[Qtde. Lançada]]&gt;Tabela1[[#This Row],[Comprimento Total]],Tabela1[[#This Row],[Qtde. Lançada]],Tabela1[[#This Row],[Comprimento Total]])</f>
        <v>10</v>
      </c>
      <c r="AE316" s="391" t="s">
        <v>92</v>
      </c>
      <c r="AF316" s="391" t="s">
        <v>986</v>
      </c>
      <c r="AG316" s="391">
        <f ca="1">SUMIF('Lançamento de Cabos'!AE:AK,Tabela1[[#This Row],[Tag do Cabo]],'Lançamento de Cabos'!AG:AG)</f>
        <v>4</v>
      </c>
      <c r="AH316" s="29">
        <f>IFERROR(VLOOKUP(Tabela1[[#This Row],[Tag do Cabo]],'Lançamento de Cabos'!AE:AK,7,0),0)</f>
        <v>1</v>
      </c>
      <c r="AI316" s="262" t="s">
        <v>811</v>
      </c>
      <c r="AJ316" s="212" t="s">
        <v>126</v>
      </c>
      <c r="AK316" s="46">
        <v>331971</v>
      </c>
    </row>
    <row r="317" spans="1:38" s="262" customFormat="1" ht="15" customHeight="1" x14ac:dyDescent="0.2">
      <c r="A317" s="347" t="s">
        <v>996</v>
      </c>
      <c r="B317" s="391" t="s">
        <v>40</v>
      </c>
      <c r="C317" s="391" t="s">
        <v>92</v>
      </c>
      <c r="D317" s="391" t="s">
        <v>92</v>
      </c>
      <c r="E317" s="3" t="s">
        <v>318</v>
      </c>
      <c r="F317" s="11" t="s">
        <v>92</v>
      </c>
      <c r="G317" s="391">
        <v>1</v>
      </c>
      <c r="H317" s="391">
        <v>30</v>
      </c>
      <c r="I317" s="391">
        <v>30</v>
      </c>
      <c r="J317" s="391" t="s">
        <v>319</v>
      </c>
      <c r="K317" s="262" t="s">
        <v>997</v>
      </c>
      <c r="L317" s="262" t="s">
        <v>998</v>
      </c>
      <c r="M317" s="22" t="s">
        <v>86</v>
      </c>
      <c r="N317" s="22" t="s">
        <v>86</v>
      </c>
      <c r="O317" s="22" t="s">
        <v>86</v>
      </c>
      <c r="P317" s="22" t="s">
        <v>86</v>
      </c>
      <c r="Q317" s="91" t="s">
        <v>106</v>
      </c>
      <c r="R317" s="391">
        <f>SUMIF('Lançamento de Cabos'!$B:$B,Tabela1[[#This Row],[Tag do Cabo]],'Lançamento de Cabos'!$C:$C)</f>
        <v>30</v>
      </c>
      <c r="S317" s="391">
        <f>VLOOKUP(Tabela1[[#This Row],[Tag do Cabo]],'Diagramas Ligações'!A:V,14,0)</f>
        <v>2</v>
      </c>
      <c r="T317" s="262" t="s">
        <v>88</v>
      </c>
      <c r="U317" s="391">
        <v>5</v>
      </c>
      <c r="V317" s="391" t="s">
        <v>107</v>
      </c>
      <c r="W317" s="391" t="s">
        <v>808</v>
      </c>
      <c r="X317" s="32">
        <v>44177</v>
      </c>
      <c r="Y317" s="32">
        <v>44218</v>
      </c>
      <c r="Z317" s="31" t="s">
        <v>108</v>
      </c>
      <c r="AA317" s="45">
        <v>222</v>
      </c>
      <c r="AB31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7" s="262" t="s">
        <v>899</v>
      </c>
      <c r="AD317" s="391">
        <f>IF(Tabela1[[#This Row],[Qtde. Lançada]]&gt;Tabela1[[#This Row],[Comprimento Total]],Tabela1[[#This Row],[Qtde. Lançada]],Tabela1[[#This Row],[Comprimento Total]])</f>
        <v>30</v>
      </c>
      <c r="AE317" s="391" t="s">
        <v>92</v>
      </c>
      <c r="AF317" s="391" t="s">
        <v>986</v>
      </c>
      <c r="AG317" s="391">
        <f ca="1">SUMIF('Lançamento de Cabos'!AE:AK,Tabela1[[#This Row],[Tag do Cabo]],'Lançamento de Cabos'!AG:AG)</f>
        <v>0</v>
      </c>
      <c r="AH317" s="29">
        <f>IFERROR(VLOOKUP(Tabela1[[#This Row],[Tag do Cabo]],'Lançamento de Cabos'!AE:AK,7,0),0)</f>
        <v>0</v>
      </c>
      <c r="AI317" s="262" t="s">
        <v>311</v>
      </c>
      <c r="AJ317" s="212"/>
      <c r="AK317" s="46">
        <v>3143911</v>
      </c>
      <c r="AL317" s="359" t="s">
        <v>945</v>
      </c>
    </row>
    <row r="318" spans="1:38" s="262" customFormat="1" ht="15" customHeight="1" x14ac:dyDescent="0.2">
      <c r="A318" s="347" t="s">
        <v>999</v>
      </c>
      <c r="B318" s="391" t="s">
        <v>40</v>
      </c>
      <c r="C318" s="391" t="s">
        <v>92</v>
      </c>
      <c r="D318" s="391" t="s">
        <v>92</v>
      </c>
      <c r="E318" s="3" t="s">
        <v>318</v>
      </c>
      <c r="F318" s="11" t="s">
        <v>92</v>
      </c>
      <c r="G318" s="391">
        <v>1</v>
      </c>
      <c r="H318" s="391">
        <v>30</v>
      </c>
      <c r="I318" s="391">
        <v>30</v>
      </c>
      <c r="J318" s="391" t="s">
        <v>319</v>
      </c>
      <c r="K318" s="262" t="s">
        <v>1000</v>
      </c>
      <c r="L318" s="262" t="s">
        <v>1001</v>
      </c>
      <c r="M318" s="22" t="s">
        <v>86</v>
      </c>
      <c r="N318" s="22" t="s">
        <v>86</v>
      </c>
      <c r="O318" s="22" t="s">
        <v>86</v>
      </c>
      <c r="P318" s="22" t="s">
        <v>86</v>
      </c>
      <c r="Q318" s="91" t="s">
        <v>106</v>
      </c>
      <c r="R318" s="391">
        <f>SUMIF('Lançamento de Cabos'!$B:$B,Tabela1[[#This Row],[Tag do Cabo]],'Lançamento de Cabos'!$C:$C)</f>
        <v>30</v>
      </c>
      <c r="S318" s="391">
        <f>VLOOKUP(Tabela1[[#This Row],[Tag do Cabo]],'Diagramas Ligações'!A:V,14,0)</f>
        <v>2</v>
      </c>
      <c r="T318" s="262" t="s">
        <v>88</v>
      </c>
      <c r="U318" s="391">
        <v>5</v>
      </c>
      <c r="V318" s="391" t="s">
        <v>107</v>
      </c>
      <c r="W318" s="391" t="s">
        <v>808</v>
      </c>
      <c r="X318" s="32">
        <v>44177</v>
      </c>
      <c r="Y318" s="32">
        <v>44218</v>
      </c>
      <c r="Z318" s="31" t="s">
        <v>108</v>
      </c>
      <c r="AA318" s="45">
        <v>222</v>
      </c>
      <c r="AB31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8" s="262" t="s">
        <v>899</v>
      </c>
      <c r="AD318" s="391">
        <f>IF(Tabela1[[#This Row],[Qtde. Lançada]]&gt;Tabela1[[#This Row],[Comprimento Total]],Tabela1[[#This Row],[Qtde. Lançada]],Tabela1[[#This Row],[Comprimento Total]])</f>
        <v>30</v>
      </c>
      <c r="AE318" s="391" t="s">
        <v>92</v>
      </c>
      <c r="AF318" s="391" t="s">
        <v>986</v>
      </c>
      <c r="AG318" s="391">
        <f ca="1">SUMIF('Lançamento de Cabos'!AE:AK,Tabela1[[#This Row],[Tag do Cabo]],'Lançamento de Cabos'!AG:AG)</f>
        <v>0</v>
      </c>
      <c r="AH318" s="29">
        <f>IFERROR(VLOOKUP(Tabela1[[#This Row],[Tag do Cabo]],'Lançamento de Cabos'!AE:AK,7,0),0)</f>
        <v>0</v>
      </c>
      <c r="AI318" s="262" t="s">
        <v>311</v>
      </c>
      <c r="AJ318" s="212"/>
      <c r="AK318" s="46">
        <v>3143911</v>
      </c>
      <c r="AL318" s="359" t="s">
        <v>945</v>
      </c>
    </row>
    <row r="319" spans="1:38" s="262" customFormat="1" ht="15" customHeight="1" x14ac:dyDescent="0.2">
      <c r="A319" s="323" t="s">
        <v>1002</v>
      </c>
      <c r="B319" s="391" t="s">
        <v>38</v>
      </c>
      <c r="C319" s="391">
        <v>125</v>
      </c>
      <c r="D319" s="391" t="s">
        <v>80</v>
      </c>
      <c r="E319" s="3" t="s">
        <v>819</v>
      </c>
      <c r="F319" s="11">
        <v>2.5</v>
      </c>
      <c r="G319" s="391">
        <v>1</v>
      </c>
      <c r="H319" s="391">
        <v>30</v>
      </c>
      <c r="I319" s="391">
        <v>30</v>
      </c>
      <c r="J319" s="391" t="s">
        <v>804</v>
      </c>
      <c r="K319" s="262" t="s">
        <v>820</v>
      </c>
      <c r="L319" s="262" t="s">
        <v>1003</v>
      </c>
      <c r="M319" s="22" t="s">
        <v>85</v>
      </c>
      <c r="N319" s="391" t="str">
        <f t="shared" ref="N319:N325" si="10">"Sim"</f>
        <v>Sim</v>
      </c>
      <c r="O319" s="22" t="s">
        <v>86</v>
      </c>
      <c r="P319" s="22" t="s">
        <v>86</v>
      </c>
      <c r="Q319" s="91" t="s">
        <v>139</v>
      </c>
      <c r="R319" s="391">
        <f>SUMIF('Lançamento de Cabos'!$B:$B,Tabela1[[#This Row],[Tag do Cabo]],'Lançamento de Cabos'!$C:$C)</f>
        <v>30</v>
      </c>
      <c r="S319" s="391">
        <f>VLOOKUP(Tabela1[[#This Row],[Tag do Cabo]],'Diagramas Ligações'!A:V,14,0)</f>
        <v>12</v>
      </c>
      <c r="T319" s="262" t="s">
        <v>88</v>
      </c>
      <c r="U319" s="391">
        <v>5</v>
      </c>
      <c r="V319" s="391" t="s">
        <v>140</v>
      </c>
      <c r="W319" s="391" t="s">
        <v>808</v>
      </c>
      <c r="X319" s="32">
        <v>44151</v>
      </c>
      <c r="Y319" s="32">
        <v>44162</v>
      </c>
      <c r="Z319" s="3" t="s">
        <v>995</v>
      </c>
      <c r="AA319" s="45">
        <v>71</v>
      </c>
      <c r="AB31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19" s="262" t="s">
        <v>482</v>
      </c>
      <c r="AD319" s="391">
        <f>IF(Tabela1[[#This Row],[Qtde. Lançada]]&gt;Tabela1[[#This Row],[Comprimento Total]],Tabela1[[#This Row],[Qtde. Lançada]],Tabela1[[#This Row],[Comprimento Total]])</f>
        <v>30</v>
      </c>
      <c r="AE319" s="391" t="s">
        <v>92</v>
      </c>
      <c r="AF319" s="391" t="s">
        <v>986</v>
      </c>
      <c r="AG319" s="391">
        <f ca="1">SUMIF('Lançamento de Cabos'!AE:AK,Tabela1[[#This Row],[Tag do Cabo]],'Lançamento de Cabos'!AG:AG)</f>
        <v>0</v>
      </c>
      <c r="AH319" s="29">
        <f>IFERROR(VLOOKUP(Tabela1[[#This Row],[Tag do Cabo]],'Lançamento de Cabos'!AE:AK,7,0),0)</f>
        <v>0</v>
      </c>
      <c r="AI319" s="262" t="s">
        <v>823</v>
      </c>
      <c r="AJ319" s="212" t="s">
        <v>824</v>
      </c>
      <c r="AK319" s="46">
        <v>932951</v>
      </c>
    </row>
    <row r="320" spans="1:38" s="262" customFormat="1" ht="15" customHeight="1" x14ac:dyDescent="0.2">
      <c r="A320" s="323" t="s">
        <v>1004</v>
      </c>
      <c r="B320" s="391" t="s">
        <v>38</v>
      </c>
      <c r="C320" s="391">
        <v>125</v>
      </c>
      <c r="D320" s="391" t="s">
        <v>80</v>
      </c>
      <c r="E320" s="3" t="s">
        <v>819</v>
      </c>
      <c r="F320" s="11">
        <v>2.5</v>
      </c>
      <c r="G320" s="391">
        <v>1</v>
      </c>
      <c r="H320" s="391">
        <v>30</v>
      </c>
      <c r="I320" s="391">
        <v>30</v>
      </c>
      <c r="J320" s="391" t="s">
        <v>804</v>
      </c>
      <c r="K320" s="262" t="s">
        <v>820</v>
      </c>
      <c r="L320" s="262" t="s">
        <v>1005</v>
      </c>
      <c r="M320" s="22" t="s">
        <v>85</v>
      </c>
      <c r="N320" s="391" t="str">
        <f t="shared" si="10"/>
        <v>Sim</v>
      </c>
      <c r="O320" s="22" t="s">
        <v>86</v>
      </c>
      <c r="P320" s="22" t="s">
        <v>86</v>
      </c>
      <c r="Q320" s="91" t="s">
        <v>139</v>
      </c>
      <c r="R320" s="391">
        <f>SUMIF('Lançamento de Cabos'!$B:$B,Tabela1[[#This Row],[Tag do Cabo]],'Lançamento de Cabos'!$C:$C)</f>
        <v>30</v>
      </c>
      <c r="S320" s="391">
        <f>VLOOKUP(Tabela1[[#This Row],[Tag do Cabo]],'Diagramas Ligações'!A:V,14,0)</f>
        <v>12</v>
      </c>
      <c r="T320" s="262" t="s">
        <v>88</v>
      </c>
      <c r="U320" s="391">
        <v>5</v>
      </c>
      <c r="V320" s="391" t="s">
        <v>140</v>
      </c>
      <c r="W320" s="391" t="s">
        <v>808</v>
      </c>
      <c r="X320" s="32">
        <v>44151</v>
      </c>
      <c r="Y320" s="32">
        <v>44162</v>
      </c>
      <c r="Z320" s="3" t="s">
        <v>995</v>
      </c>
      <c r="AA320" s="45">
        <v>71</v>
      </c>
      <c r="AB32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0" s="262" t="s">
        <v>482</v>
      </c>
      <c r="AD320" s="391">
        <f>IF(Tabela1[[#This Row],[Qtde. Lançada]]&gt;Tabela1[[#This Row],[Comprimento Total]],Tabela1[[#This Row],[Qtde. Lançada]],Tabela1[[#This Row],[Comprimento Total]])</f>
        <v>30</v>
      </c>
      <c r="AE320" s="391" t="s">
        <v>92</v>
      </c>
      <c r="AF320" s="391" t="s">
        <v>986</v>
      </c>
      <c r="AG320" s="391">
        <f ca="1">SUMIF('Lançamento de Cabos'!AE:AK,Tabela1[[#This Row],[Tag do Cabo]],'Lançamento de Cabos'!AG:AG)</f>
        <v>0</v>
      </c>
      <c r="AH320" s="29">
        <f>IFERROR(VLOOKUP(Tabela1[[#This Row],[Tag do Cabo]],'Lançamento de Cabos'!AE:AK,7,0),0)</f>
        <v>0</v>
      </c>
      <c r="AI320" s="262" t="s">
        <v>823</v>
      </c>
      <c r="AJ320" s="212" t="s">
        <v>824</v>
      </c>
      <c r="AK320" s="46">
        <v>932951</v>
      </c>
    </row>
    <row r="321" spans="1:37" s="262" customFormat="1" ht="15" customHeight="1" x14ac:dyDescent="0.2">
      <c r="A321" s="323" t="s">
        <v>1006</v>
      </c>
      <c r="B321" s="391" t="s">
        <v>38</v>
      </c>
      <c r="C321" s="391">
        <v>125</v>
      </c>
      <c r="D321" s="391" t="s">
        <v>80</v>
      </c>
      <c r="E321" s="3" t="s">
        <v>136</v>
      </c>
      <c r="F321" s="11">
        <v>2.5</v>
      </c>
      <c r="G321" s="391">
        <v>1</v>
      </c>
      <c r="H321" s="391">
        <v>30</v>
      </c>
      <c r="I321" s="391">
        <v>30</v>
      </c>
      <c r="J321" s="391" t="s">
        <v>804</v>
      </c>
      <c r="K321" s="262" t="s">
        <v>847</v>
      </c>
      <c r="L321" s="262" t="s">
        <v>1007</v>
      </c>
      <c r="M321" s="22" t="s">
        <v>85</v>
      </c>
      <c r="N321" s="391" t="str">
        <f t="shared" si="10"/>
        <v>Sim</v>
      </c>
      <c r="O321" s="22" t="s">
        <v>86</v>
      </c>
      <c r="P321" s="22" t="s">
        <v>86</v>
      </c>
      <c r="Q321" s="91" t="s">
        <v>139</v>
      </c>
      <c r="R321" s="391">
        <f>SUMIF('Lançamento de Cabos'!$B:$B,Tabela1[[#This Row],[Tag do Cabo]],'Lançamento de Cabos'!$C:$C)</f>
        <v>30</v>
      </c>
      <c r="S321" s="391">
        <f>VLOOKUP(Tabela1[[#This Row],[Tag do Cabo]],'Diagramas Ligações'!A:V,14,0)</f>
        <v>20</v>
      </c>
      <c r="T321" s="262" t="s">
        <v>88</v>
      </c>
      <c r="U321" s="391">
        <v>5</v>
      </c>
      <c r="V321" s="391" t="s">
        <v>140</v>
      </c>
      <c r="W321" s="391" t="s">
        <v>808</v>
      </c>
      <c r="X321" s="32">
        <v>44151</v>
      </c>
      <c r="Y321" s="32">
        <v>44162</v>
      </c>
      <c r="Z321" s="3" t="s">
        <v>995</v>
      </c>
      <c r="AA321" s="45">
        <v>97</v>
      </c>
      <c r="AB32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1" s="262" t="s">
        <v>482</v>
      </c>
      <c r="AD321" s="391">
        <f>IF(Tabela1[[#This Row],[Qtde. Lançada]]&gt;Tabela1[[#This Row],[Comprimento Total]],Tabela1[[#This Row],[Qtde. Lançada]],Tabela1[[#This Row],[Comprimento Total]])</f>
        <v>30</v>
      </c>
      <c r="AE321" s="391" t="s">
        <v>92</v>
      </c>
      <c r="AF321" s="391" t="s">
        <v>986</v>
      </c>
      <c r="AG321" s="391">
        <f ca="1">SUMIF('Lançamento de Cabos'!AE:AK,Tabela1[[#This Row],[Tag do Cabo]],'Lançamento de Cabos'!AG:AG)</f>
        <v>10</v>
      </c>
      <c r="AH321" s="29">
        <f>IFERROR(VLOOKUP(Tabela1[[#This Row],[Tag do Cabo]],'Lançamento de Cabos'!AE:AK,7,0),0)</f>
        <v>0.5</v>
      </c>
      <c r="AI321" s="262" t="s">
        <v>98</v>
      </c>
      <c r="AJ321" s="212" t="s">
        <v>1008</v>
      </c>
      <c r="AK321" s="46">
        <v>9044579</v>
      </c>
    </row>
    <row r="322" spans="1:37" s="262" customFormat="1" ht="15" customHeight="1" x14ac:dyDescent="0.2">
      <c r="A322" s="323" t="s">
        <v>1009</v>
      </c>
      <c r="B322" s="391" t="s">
        <v>38</v>
      </c>
      <c r="C322" s="391">
        <v>125</v>
      </c>
      <c r="D322" s="391" t="s">
        <v>80</v>
      </c>
      <c r="E322" s="3" t="s">
        <v>136</v>
      </c>
      <c r="F322" s="11">
        <v>2.5</v>
      </c>
      <c r="G322" s="391">
        <v>1</v>
      </c>
      <c r="H322" s="391">
        <v>30</v>
      </c>
      <c r="I322" s="391">
        <v>30</v>
      </c>
      <c r="J322" s="391" t="s">
        <v>804</v>
      </c>
      <c r="K322" s="262" t="s">
        <v>847</v>
      </c>
      <c r="L322" s="262" t="s">
        <v>1010</v>
      </c>
      <c r="M322" s="22" t="s">
        <v>85</v>
      </c>
      <c r="N322" s="391" t="str">
        <f t="shared" si="10"/>
        <v>Sim</v>
      </c>
      <c r="O322" s="22" t="s">
        <v>86</v>
      </c>
      <c r="P322" s="22" t="s">
        <v>86</v>
      </c>
      <c r="Q322" s="91" t="s">
        <v>139</v>
      </c>
      <c r="R322" s="391">
        <f>SUMIF('Lançamento de Cabos'!$B:$B,Tabela1[[#This Row],[Tag do Cabo]],'Lançamento de Cabos'!$C:$C)</f>
        <v>30</v>
      </c>
      <c r="S322" s="391">
        <f>VLOOKUP(Tabela1[[#This Row],[Tag do Cabo]],'Diagramas Ligações'!A:V,14,0)</f>
        <v>20</v>
      </c>
      <c r="T322" s="262" t="s">
        <v>88</v>
      </c>
      <c r="U322" s="391">
        <v>5</v>
      </c>
      <c r="V322" s="391" t="s">
        <v>140</v>
      </c>
      <c r="W322" s="391" t="s">
        <v>808</v>
      </c>
      <c r="X322" s="32">
        <v>44151</v>
      </c>
      <c r="Y322" s="32">
        <v>44162</v>
      </c>
      <c r="Z322" s="3" t="s">
        <v>995</v>
      </c>
      <c r="AA322" s="45">
        <v>97</v>
      </c>
      <c r="AB32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2" s="262" t="s">
        <v>482</v>
      </c>
      <c r="AD322" s="391">
        <f>IF(Tabela1[[#This Row],[Qtde. Lançada]]&gt;Tabela1[[#This Row],[Comprimento Total]],Tabela1[[#This Row],[Qtde. Lançada]],Tabela1[[#This Row],[Comprimento Total]])</f>
        <v>30</v>
      </c>
      <c r="AE322" s="391" t="s">
        <v>92</v>
      </c>
      <c r="AF322" s="391" t="s">
        <v>986</v>
      </c>
      <c r="AG322" s="391">
        <f ca="1">SUMIF('Lançamento de Cabos'!AE:AK,Tabela1[[#This Row],[Tag do Cabo]],'Lançamento de Cabos'!AG:AG)</f>
        <v>10</v>
      </c>
      <c r="AH322" s="29">
        <f>IFERROR(VLOOKUP(Tabela1[[#This Row],[Tag do Cabo]],'Lançamento de Cabos'!AE:AK,7,0),0)</f>
        <v>0.5</v>
      </c>
      <c r="AI322" s="262" t="s">
        <v>98</v>
      </c>
      <c r="AJ322" s="212" t="s">
        <v>1008</v>
      </c>
      <c r="AK322" s="46">
        <v>9044579</v>
      </c>
    </row>
    <row r="323" spans="1:37" s="262" customFormat="1" ht="15" customHeight="1" x14ac:dyDescent="0.2">
      <c r="A323" s="168" t="s">
        <v>1011</v>
      </c>
      <c r="B323" s="391" t="s">
        <v>38</v>
      </c>
      <c r="C323" s="391" t="s">
        <v>92</v>
      </c>
      <c r="D323" s="391" t="s">
        <v>92</v>
      </c>
      <c r="E323" s="3" t="s">
        <v>1012</v>
      </c>
      <c r="F323" s="11" t="s">
        <v>1013</v>
      </c>
      <c r="G323" s="391">
        <v>1</v>
      </c>
      <c r="H323" s="391">
        <v>60</v>
      </c>
      <c r="I323" s="391">
        <v>60</v>
      </c>
      <c r="J323" s="391" t="s">
        <v>1014</v>
      </c>
      <c r="K323" s="262" t="s">
        <v>1015</v>
      </c>
      <c r="L323" s="262" t="s">
        <v>1016</v>
      </c>
      <c r="M323" s="22" t="s">
        <v>85</v>
      </c>
      <c r="N323" s="391" t="str">
        <f t="shared" si="10"/>
        <v>Sim</v>
      </c>
      <c r="O323" s="22" t="s">
        <v>86</v>
      </c>
      <c r="P323" s="22" t="s">
        <v>86</v>
      </c>
      <c r="Q323" s="91" t="s">
        <v>1017</v>
      </c>
      <c r="R323" s="391">
        <f>SUMIF('Lançamento de Cabos'!$B:$B,Tabela1[[#This Row],[Tag do Cabo]],'Lançamento de Cabos'!$C:$C)</f>
        <v>0</v>
      </c>
      <c r="S323" s="391">
        <f>VLOOKUP(Tabela1[[#This Row],[Tag do Cabo]],'Diagramas Ligações'!A:V,14,0)</f>
        <v>4</v>
      </c>
      <c r="T323" s="262" t="s">
        <v>1018</v>
      </c>
      <c r="U323" s="391">
        <v>2</v>
      </c>
      <c r="V323" s="391" t="s">
        <v>186</v>
      </c>
      <c r="W323" s="391"/>
      <c r="X323" s="32">
        <v>44177</v>
      </c>
      <c r="Y323" s="32">
        <v>44210</v>
      </c>
      <c r="Z323" s="3" t="s">
        <v>1019</v>
      </c>
      <c r="AA323" s="45">
        <v>189</v>
      </c>
      <c r="AB32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3" s="262" t="s">
        <v>1020</v>
      </c>
      <c r="AD323" s="391">
        <f>IF(Tabela1[[#This Row],[Qtde. Lançada]]&gt;Tabela1[[#This Row],[Comprimento Total]],Tabela1[[#This Row],[Qtde. Lançada]],Tabela1[[#This Row],[Comprimento Total]])</f>
        <v>60</v>
      </c>
      <c r="AE323" s="391" t="s">
        <v>92</v>
      </c>
      <c r="AF323" s="391" t="s">
        <v>1021</v>
      </c>
      <c r="AG323" s="391">
        <f ca="1">SUMIF('Lançamento de Cabos'!AE:AK,Tabela1[[#This Row],[Tag do Cabo]],'Lançamento de Cabos'!AG:AG)</f>
        <v>0</v>
      </c>
      <c r="AH323" s="29">
        <f>IFERROR(VLOOKUP(Tabela1[[#This Row],[Tag do Cabo]],'Lançamento de Cabos'!AE:AK,7,0),0)</f>
        <v>0</v>
      </c>
      <c r="AI323" s="262" t="s">
        <v>1022</v>
      </c>
      <c r="AJ323" s="212">
        <v>43</v>
      </c>
      <c r="AK323" s="46">
        <v>2057046</v>
      </c>
    </row>
    <row r="324" spans="1:37" s="262" customFormat="1" ht="15" customHeight="1" x14ac:dyDescent="0.2">
      <c r="A324" s="168" t="s">
        <v>1023</v>
      </c>
      <c r="B324" s="391" t="s">
        <v>38</v>
      </c>
      <c r="C324" s="391" t="s">
        <v>92</v>
      </c>
      <c r="D324" s="391" t="s">
        <v>92</v>
      </c>
      <c r="E324" s="3" t="s">
        <v>1012</v>
      </c>
      <c r="F324" s="11" t="s">
        <v>1013</v>
      </c>
      <c r="G324" s="391">
        <v>1</v>
      </c>
      <c r="H324" s="391">
        <v>60</v>
      </c>
      <c r="I324" s="391">
        <v>60</v>
      </c>
      <c r="J324" s="391" t="s">
        <v>1014</v>
      </c>
      <c r="K324" s="262" t="s">
        <v>1024</v>
      </c>
      <c r="L324" s="262" t="s">
        <v>1016</v>
      </c>
      <c r="M324" s="22" t="s">
        <v>85</v>
      </c>
      <c r="N324" s="391" t="str">
        <f t="shared" si="10"/>
        <v>Sim</v>
      </c>
      <c r="O324" s="22" t="s">
        <v>86</v>
      </c>
      <c r="P324" s="22" t="s">
        <v>86</v>
      </c>
      <c r="Q324" s="91" t="s">
        <v>1017</v>
      </c>
      <c r="R324" s="391">
        <f>SUMIF('Lançamento de Cabos'!$B:$B,Tabela1[[#This Row],[Tag do Cabo]],'Lançamento de Cabos'!$C:$C)</f>
        <v>0</v>
      </c>
      <c r="S324" s="391">
        <f>VLOOKUP(Tabela1[[#This Row],[Tag do Cabo]],'Diagramas Ligações'!A:V,14,0)</f>
        <v>4</v>
      </c>
      <c r="T324" s="262" t="s">
        <v>1018</v>
      </c>
      <c r="U324" s="391">
        <v>2</v>
      </c>
      <c r="V324" s="391" t="s">
        <v>186</v>
      </c>
      <c r="W324" s="391"/>
      <c r="X324" s="32">
        <v>44177</v>
      </c>
      <c r="Y324" s="32">
        <v>44210</v>
      </c>
      <c r="Z324" s="3" t="s">
        <v>1019</v>
      </c>
      <c r="AA324" s="45">
        <v>189</v>
      </c>
      <c r="AB32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4" s="262" t="s">
        <v>1020</v>
      </c>
      <c r="AD324" s="391">
        <f>IF(Tabela1[[#This Row],[Qtde. Lançada]]&gt;Tabela1[[#This Row],[Comprimento Total]],Tabela1[[#This Row],[Qtde. Lançada]],Tabela1[[#This Row],[Comprimento Total]])</f>
        <v>60</v>
      </c>
      <c r="AE324" s="391" t="s">
        <v>92</v>
      </c>
      <c r="AF324" s="391" t="s">
        <v>1021</v>
      </c>
      <c r="AG324" s="391">
        <f ca="1">SUMIF('Lançamento de Cabos'!AE:AK,Tabela1[[#This Row],[Tag do Cabo]],'Lançamento de Cabos'!AG:AG)</f>
        <v>0</v>
      </c>
      <c r="AH324" s="29">
        <f>IFERROR(VLOOKUP(Tabela1[[#This Row],[Tag do Cabo]],'Lançamento de Cabos'!AE:AK,7,0),0)</f>
        <v>0</v>
      </c>
      <c r="AI324" s="262" t="s">
        <v>1022</v>
      </c>
      <c r="AJ324" s="212">
        <v>43</v>
      </c>
      <c r="AK324" s="46">
        <v>2057046</v>
      </c>
    </row>
    <row r="325" spans="1:37" s="262" customFormat="1" ht="15" customHeight="1" x14ac:dyDescent="0.2">
      <c r="A325" s="168" t="s">
        <v>1025</v>
      </c>
      <c r="B325" s="391" t="s">
        <v>38</v>
      </c>
      <c r="C325" s="391" t="s">
        <v>92</v>
      </c>
      <c r="D325" s="391" t="s">
        <v>92</v>
      </c>
      <c r="E325" s="3" t="s">
        <v>1012</v>
      </c>
      <c r="F325" s="11" t="s">
        <v>1013</v>
      </c>
      <c r="G325" s="391">
        <v>1</v>
      </c>
      <c r="H325" s="391">
        <v>60</v>
      </c>
      <c r="I325" s="391">
        <v>60</v>
      </c>
      <c r="J325" s="391" t="s">
        <v>1014</v>
      </c>
      <c r="K325" s="262" t="s">
        <v>1026</v>
      </c>
      <c r="L325" s="262" t="s">
        <v>1016</v>
      </c>
      <c r="M325" s="22" t="s">
        <v>85</v>
      </c>
      <c r="N325" s="391" t="str">
        <f t="shared" si="10"/>
        <v>Sim</v>
      </c>
      <c r="O325" s="22" t="s">
        <v>86</v>
      </c>
      <c r="P325" s="22" t="s">
        <v>86</v>
      </c>
      <c r="Q325" s="91" t="s">
        <v>1017</v>
      </c>
      <c r="R325" s="391">
        <f>SUMIF('Lançamento de Cabos'!$B:$B,Tabela1[[#This Row],[Tag do Cabo]],'Lançamento de Cabos'!$C:$C)</f>
        <v>0</v>
      </c>
      <c r="S325" s="391">
        <f>VLOOKUP(Tabela1[[#This Row],[Tag do Cabo]],'Diagramas Ligações'!A:V,14,0)</f>
        <v>4</v>
      </c>
      <c r="T325" s="262" t="s">
        <v>1018</v>
      </c>
      <c r="U325" s="391">
        <v>2</v>
      </c>
      <c r="V325" s="391" t="s">
        <v>186</v>
      </c>
      <c r="W325" s="391"/>
      <c r="X325" s="32">
        <v>44177</v>
      </c>
      <c r="Y325" s="32">
        <v>44210</v>
      </c>
      <c r="Z325" s="3" t="s">
        <v>1019</v>
      </c>
      <c r="AA325" s="45">
        <v>189</v>
      </c>
      <c r="AB32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5" s="262" t="s">
        <v>1020</v>
      </c>
      <c r="AD325" s="391">
        <f>IF(Tabela1[[#This Row],[Qtde. Lançada]]&gt;Tabela1[[#This Row],[Comprimento Total]],Tabela1[[#This Row],[Qtde. Lançada]],Tabela1[[#This Row],[Comprimento Total]])</f>
        <v>60</v>
      </c>
      <c r="AE325" s="391" t="s">
        <v>92</v>
      </c>
      <c r="AF325" s="391" t="s">
        <v>1021</v>
      </c>
      <c r="AG325" s="391">
        <f ca="1">SUMIF('Lançamento de Cabos'!AE:AK,Tabela1[[#This Row],[Tag do Cabo]],'Lançamento de Cabos'!AG:AG)</f>
        <v>0</v>
      </c>
      <c r="AH325" s="29">
        <f>IFERROR(VLOOKUP(Tabela1[[#This Row],[Tag do Cabo]],'Lançamento de Cabos'!AE:AK,7,0),0)</f>
        <v>0</v>
      </c>
      <c r="AI325" s="262" t="s">
        <v>1022</v>
      </c>
      <c r="AJ325" s="212">
        <v>43</v>
      </c>
      <c r="AK325" s="46">
        <v>2057046</v>
      </c>
    </row>
    <row r="326" spans="1:37" s="262" customFormat="1" ht="15" customHeight="1" x14ac:dyDescent="0.2">
      <c r="A326" s="168" t="s">
        <v>1027</v>
      </c>
      <c r="B326" s="391" t="s">
        <v>40</v>
      </c>
      <c r="C326" s="391" t="s">
        <v>92</v>
      </c>
      <c r="D326" s="391" t="s">
        <v>92</v>
      </c>
      <c r="E326" s="3" t="s">
        <v>318</v>
      </c>
      <c r="F326" s="11" t="s">
        <v>92</v>
      </c>
      <c r="G326" s="391">
        <v>1</v>
      </c>
      <c r="H326" s="391">
        <v>40</v>
      </c>
      <c r="I326" s="391">
        <v>40</v>
      </c>
      <c r="J326" s="391" t="s">
        <v>319</v>
      </c>
      <c r="K326" s="262" t="s">
        <v>1028</v>
      </c>
      <c r="L326" s="262" t="s">
        <v>1029</v>
      </c>
      <c r="M326" s="22" t="s">
        <v>86</v>
      </c>
      <c r="N326" s="22" t="s">
        <v>86</v>
      </c>
      <c r="O326" s="22" t="s">
        <v>86</v>
      </c>
      <c r="P326" s="22" t="s">
        <v>86</v>
      </c>
      <c r="Q326" s="91" t="s">
        <v>106</v>
      </c>
      <c r="R326" s="391">
        <f>SUMIF('Lançamento de Cabos'!$B:$B,Tabela1[[#This Row],[Tag do Cabo]],'Lançamento de Cabos'!$C:$C)</f>
        <v>0</v>
      </c>
      <c r="S326" s="391">
        <f>VLOOKUP(Tabela1[[#This Row],[Tag do Cabo]],'Diagramas Ligações'!A:V,14,0)</f>
        <v>2</v>
      </c>
      <c r="T326" s="262" t="s">
        <v>88</v>
      </c>
      <c r="U326" s="391">
        <v>5</v>
      </c>
      <c r="V326" s="391" t="s">
        <v>107</v>
      </c>
      <c r="W326" s="391" t="s">
        <v>1030</v>
      </c>
      <c r="X326" s="32">
        <v>44177</v>
      </c>
      <c r="Y326" s="32">
        <v>44218</v>
      </c>
      <c r="Z326" s="31" t="s">
        <v>108</v>
      </c>
      <c r="AA326" s="45">
        <v>222</v>
      </c>
      <c r="AB32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6" s="262" t="s">
        <v>1031</v>
      </c>
      <c r="AD326" s="391">
        <f>IF(Tabela1[[#This Row],[Qtde. Lançada]]&gt;Tabela1[[#This Row],[Comprimento Total]],Tabela1[[#This Row],[Qtde. Lançada]],Tabela1[[#This Row],[Comprimento Total]])</f>
        <v>40</v>
      </c>
      <c r="AE326" s="391" t="s">
        <v>92</v>
      </c>
      <c r="AF326" s="391" t="s">
        <v>1032</v>
      </c>
      <c r="AG326" s="391">
        <f ca="1">SUMIF('Lançamento de Cabos'!AE:AK,Tabela1[[#This Row],[Tag do Cabo]],'Lançamento de Cabos'!AG:AG)</f>
        <v>0</v>
      </c>
      <c r="AH326" s="29">
        <f>IFERROR(VLOOKUP(Tabela1[[#This Row],[Tag do Cabo]],'Lançamento de Cabos'!AE:AK,7,0),0)</f>
        <v>0</v>
      </c>
      <c r="AI326" s="262" t="s">
        <v>98</v>
      </c>
      <c r="AJ326" s="212" t="s">
        <v>669</v>
      </c>
      <c r="AK326" s="46">
        <v>3143911</v>
      </c>
    </row>
    <row r="327" spans="1:37" s="262" customFormat="1" ht="15" customHeight="1" x14ac:dyDescent="0.2">
      <c r="A327" s="168" t="s">
        <v>1033</v>
      </c>
      <c r="B327" s="391" t="s">
        <v>101</v>
      </c>
      <c r="C327" s="391" t="s">
        <v>92</v>
      </c>
      <c r="D327" s="391" t="s">
        <v>92</v>
      </c>
      <c r="E327" s="3" t="s">
        <v>102</v>
      </c>
      <c r="F327" s="11" t="s">
        <v>92</v>
      </c>
      <c r="G327" s="391">
        <v>1</v>
      </c>
      <c r="H327" s="391">
        <v>10</v>
      </c>
      <c r="I327" s="391">
        <v>10</v>
      </c>
      <c r="J327" s="391" t="s">
        <v>103</v>
      </c>
      <c r="K327" s="262" t="s">
        <v>1034</v>
      </c>
      <c r="L327" s="262" t="s">
        <v>1035</v>
      </c>
      <c r="M327" s="22" t="s">
        <v>86</v>
      </c>
      <c r="N327" s="22" t="s">
        <v>86</v>
      </c>
      <c r="O327" s="22" t="s">
        <v>86</v>
      </c>
      <c r="P327" s="22" t="s">
        <v>86</v>
      </c>
      <c r="Q327" s="91" t="s">
        <v>106</v>
      </c>
      <c r="R327" s="391">
        <f>SUMIF('Lançamento de Cabos'!$B:$B,Tabela1[[#This Row],[Tag do Cabo]],'Lançamento de Cabos'!$C:$C)</f>
        <v>0</v>
      </c>
      <c r="S327" s="391">
        <f>VLOOKUP(Tabela1[[#This Row],[Tag do Cabo]],'Diagramas Ligações'!A:V,14,0)</f>
        <v>2</v>
      </c>
      <c r="T327" s="262" t="s">
        <v>88</v>
      </c>
      <c r="U327" s="391">
        <v>5</v>
      </c>
      <c r="V327" s="391" t="s">
        <v>107</v>
      </c>
      <c r="W327" s="391" t="s">
        <v>1030</v>
      </c>
      <c r="X327" s="32">
        <v>44216</v>
      </c>
      <c r="Y327" s="32">
        <v>44216</v>
      </c>
      <c r="Z327" s="32" t="s">
        <v>897</v>
      </c>
      <c r="AA327" s="45" t="s">
        <v>898</v>
      </c>
      <c r="AB32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7" s="262" t="s">
        <v>1031</v>
      </c>
      <c r="AD327" s="391">
        <f>IF(Tabela1[[#This Row],[Qtde. Lançada]]&gt;Tabela1[[#This Row],[Comprimento Total]],Tabela1[[#This Row],[Qtde. Lançada]],Tabela1[[#This Row],[Comprimento Total]])</f>
        <v>10</v>
      </c>
      <c r="AE327" s="391" t="s">
        <v>92</v>
      </c>
      <c r="AF327" s="391" t="s">
        <v>1032</v>
      </c>
      <c r="AG327" s="391">
        <f ca="1">SUMIF('Lançamento de Cabos'!AE:AK,Tabela1[[#This Row],[Tag do Cabo]],'Lançamento de Cabos'!AG:AG)</f>
        <v>0</v>
      </c>
      <c r="AH327" s="29">
        <f>IFERROR(VLOOKUP(Tabela1[[#This Row],[Tag do Cabo]],'Lançamento de Cabos'!AE:AK,7,0),0)</f>
        <v>0</v>
      </c>
      <c r="AI327" s="262" t="s">
        <v>98</v>
      </c>
      <c r="AJ327" s="212" t="s">
        <v>669</v>
      </c>
      <c r="AK327" s="46">
        <v>3054429</v>
      </c>
    </row>
    <row r="328" spans="1:37" s="262" customFormat="1" ht="15" customHeight="1" x14ac:dyDescent="0.2">
      <c r="A328" s="168" t="s">
        <v>1036</v>
      </c>
      <c r="B328" s="391" t="s">
        <v>101</v>
      </c>
      <c r="C328" s="391" t="s">
        <v>92</v>
      </c>
      <c r="D328" s="391" t="s">
        <v>92</v>
      </c>
      <c r="E328" s="3" t="s">
        <v>102</v>
      </c>
      <c r="F328" s="11" t="s">
        <v>92</v>
      </c>
      <c r="G328" s="391">
        <v>1</v>
      </c>
      <c r="H328" s="391">
        <v>10</v>
      </c>
      <c r="I328" s="391">
        <v>10</v>
      </c>
      <c r="J328" s="391" t="s">
        <v>103</v>
      </c>
      <c r="K328" s="262" t="s">
        <v>1037</v>
      </c>
      <c r="L328" s="262" t="s">
        <v>1035</v>
      </c>
      <c r="M328" s="22" t="s">
        <v>86</v>
      </c>
      <c r="N328" s="22" t="s">
        <v>86</v>
      </c>
      <c r="O328" s="22" t="s">
        <v>86</v>
      </c>
      <c r="P328" s="22" t="s">
        <v>86</v>
      </c>
      <c r="Q328" s="91" t="s">
        <v>106</v>
      </c>
      <c r="R328" s="391">
        <f>SUMIF('Lançamento de Cabos'!$B:$B,Tabela1[[#This Row],[Tag do Cabo]],'Lançamento de Cabos'!$C:$C)</f>
        <v>0</v>
      </c>
      <c r="S328" s="391">
        <f>VLOOKUP(Tabela1[[#This Row],[Tag do Cabo]],'Diagramas Ligações'!A:V,14,0)</f>
        <v>2</v>
      </c>
      <c r="T328" s="262" t="s">
        <v>88</v>
      </c>
      <c r="U328" s="391">
        <v>5</v>
      </c>
      <c r="V328" s="391" t="s">
        <v>107</v>
      </c>
      <c r="W328" s="391" t="s">
        <v>1030</v>
      </c>
      <c r="X328" s="32">
        <v>44216</v>
      </c>
      <c r="Y328" s="32">
        <v>44216</v>
      </c>
      <c r="Z328" s="32" t="s">
        <v>897</v>
      </c>
      <c r="AA328" s="45" t="s">
        <v>898</v>
      </c>
      <c r="AB32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8" s="262" t="s">
        <v>1031</v>
      </c>
      <c r="AD328" s="391">
        <f>IF(Tabela1[[#This Row],[Qtde. Lançada]]&gt;Tabela1[[#This Row],[Comprimento Total]],Tabela1[[#This Row],[Qtde. Lançada]],Tabela1[[#This Row],[Comprimento Total]])</f>
        <v>10</v>
      </c>
      <c r="AE328" s="391" t="s">
        <v>92</v>
      </c>
      <c r="AF328" s="391" t="s">
        <v>1032</v>
      </c>
      <c r="AG328" s="391">
        <f ca="1">SUMIF('Lançamento de Cabos'!AE:AK,Tabela1[[#This Row],[Tag do Cabo]],'Lançamento de Cabos'!AG:AG)</f>
        <v>0</v>
      </c>
      <c r="AH328" s="29">
        <f>IFERROR(VLOOKUP(Tabela1[[#This Row],[Tag do Cabo]],'Lançamento de Cabos'!AE:AK,7,0),0)</f>
        <v>0</v>
      </c>
      <c r="AI328" s="262" t="s">
        <v>98</v>
      </c>
      <c r="AJ328" s="212" t="s">
        <v>669</v>
      </c>
      <c r="AK328" s="46">
        <v>3054429</v>
      </c>
    </row>
    <row r="329" spans="1:37" s="262" customFormat="1" ht="15" customHeight="1" x14ac:dyDescent="0.2">
      <c r="A329" s="168" t="s">
        <v>1038</v>
      </c>
      <c r="B329" s="391" t="s">
        <v>40</v>
      </c>
      <c r="C329" s="391" t="s">
        <v>92</v>
      </c>
      <c r="D329" s="391" t="s">
        <v>92</v>
      </c>
      <c r="E329" s="3" t="s">
        <v>318</v>
      </c>
      <c r="F329" s="11" t="s">
        <v>92</v>
      </c>
      <c r="G329" s="391">
        <v>1</v>
      </c>
      <c r="H329" s="391">
        <v>10</v>
      </c>
      <c r="I329" s="391">
        <v>10</v>
      </c>
      <c r="J329" s="391" t="s">
        <v>319</v>
      </c>
      <c r="K329" s="262" t="s">
        <v>1034</v>
      </c>
      <c r="L329" s="262" t="s">
        <v>1029</v>
      </c>
      <c r="M329" s="22" t="s">
        <v>86</v>
      </c>
      <c r="N329" s="22" t="s">
        <v>86</v>
      </c>
      <c r="O329" s="22" t="s">
        <v>86</v>
      </c>
      <c r="P329" s="22" t="s">
        <v>86</v>
      </c>
      <c r="Q329" s="91" t="s">
        <v>106</v>
      </c>
      <c r="R329" s="391">
        <f>SUMIF('Lançamento de Cabos'!$B:$B,Tabela1[[#This Row],[Tag do Cabo]],'Lançamento de Cabos'!$C:$C)</f>
        <v>0</v>
      </c>
      <c r="S329" s="391">
        <f>VLOOKUP(Tabela1[[#This Row],[Tag do Cabo]],'Diagramas Ligações'!A:V,14,0)</f>
        <v>2</v>
      </c>
      <c r="T329" s="262" t="s">
        <v>88</v>
      </c>
      <c r="U329" s="391">
        <v>5</v>
      </c>
      <c r="V329" s="391" t="s">
        <v>107</v>
      </c>
      <c r="W329" s="391" t="s">
        <v>1030</v>
      </c>
      <c r="X329" s="32">
        <v>44177</v>
      </c>
      <c r="Y329" s="32">
        <v>44218</v>
      </c>
      <c r="Z329" s="31" t="s">
        <v>108</v>
      </c>
      <c r="AA329" s="45">
        <v>222</v>
      </c>
      <c r="AB32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29" s="262" t="s">
        <v>1031</v>
      </c>
      <c r="AD329" s="391">
        <f>IF(Tabela1[[#This Row],[Qtde. Lançada]]&gt;Tabela1[[#This Row],[Comprimento Total]],Tabela1[[#This Row],[Qtde. Lançada]],Tabela1[[#This Row],[Comprimento Total]])</f>
        <v>10</v>
      </c>
      <c r="AE329" s="391" t="s">
        <v>92</v>
      </c>
      <c r="AF329" s="391" t="s">
        <v>1032</v>
      </c>
      <c r="AG329" s="391">
        <f ca="1">SUMIF('Lançamento de Cabos'!AE:AK,Tabela1[[#This Row],[Tag do Cabo]],'Lançamento de Cabos'!AG:AG)</f>
        <v>0</v>
      </c>
      <c r="AH329" s="29">
        <f>IFERROR(VLOOKUP(Tabela1[[#This Row],[Tag do Cabo]],'Lançamento de Cabos'!AE:AK,7,0),0)</f>
        <v>0</v>
      </c>
      <c r="AI329" s="262" t="s">
        <v>98</v>
      </c>
      <c r="AJ329" s="212" t="s">
        <v>669</v>
      </c>
      <c r="AK329" s="46">
        <v>3143911</v>
      </c>
    </row>
    <row r="330" spans="1:37" s="262" customFormat="1" ht="15" customHeight="1" x14ac:dyDescent="0.2">
      <c r="A330" s="168" t="s">
        <v>1039</v>
      </c>
      <c r="B330" s="391" t="s">
        <v>40</v>
      </c>
      <c r="C330" s="391" t="s">
        <v>92</v>
      </c>
      <c r="D330" s="391" t="s">
        <v>92</v>
      </c>
      <c r="E330" s="3" t="s">
        <v>318</v>
      </c>
      <c r="F330" s="11" t="s">
        <v>92</v>
      </c>
      <c r="G330" s="391">
        <v>1</v>
      </c>
      <c r="H330" s="391">
        <v>10</v>
      </c>
      <c r="I330" s="391">
        <v>10</v>
      </c>
      <c r="J330" s="391" t="s">
        <v>319</v>
      </c>
      <c r="K330" s="262" t="s">
        <v>1037</v>
      </c>
      <c r="L330" s="262" t="s">
        <v>1029</v>
      </c>
      <c r="M330" s="22" t="s">
        <v>86</v>
      </c>
      <c r="N330" s="22" t="s">
        <v>86</v>
      </c>
      <c r="O330" s="22" t="s">
        <v>86</v>
      </c>
      <c r="P330" s="22" t="s">
        <v>86</v>
      </c>
      <c r="Q330" s="91" t="s">
        <v>106</v>
      </c>
      <c r="R330" s="391">
        <f>SUMIF('Lançamento de Cabos'!$B:$B,Tabela1[[#This Row],[Tag do Cabo]],'Lançamento de Cabos'!$C:$C)</f>
        <v>0</v>
      </c>
      <c r="S330" s="391">
        <f>VLOOKUP(Tabela1[[#This Row],[Tag do Cabo]],'Diagramas Ligações'!A:V,14,0)</f>
        <v>2</v>
      </c>
      <c r="T330" s="262" t="s">
        <v>88</v>
      </c>
      <c r="U330" s="391">
        <v>5</v>
      </c>
      <c r="V330" s="391" t="s">
        <v>107</v>
      </c>
      <c r="W330" s="391" t="s">
        <v>1030</v>
      </c>
      <c r="X330" s="32">
        <v>44177</v>
      </c>
      <c r="Y330" s="32">
        <v>44218</v>
      </c>
      <c r="Z330" s="31" t="s">
        <v>108</v>
      </c>
      <c r="AA330" s="45">
        <v>222</v>
      </c>
      <c r="AB33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0" s="262" t="s">
        <v>1031</v>
      </c>
      <c r="AD330" s="391">
        <f>IF(Tabela1[[#This Row],[Qtde. Lançada]]&gt;Tabela1[[#This Row],[Comprimento Total]],Tabela1[[#This Row],[Qtde. Lançada]],Tabela1[[#This Row],[Comprimento Total]])</f>
        <v>10</v>
      </c>
      <c r="AE330" s="391" t="s">
        <v>92</v>
      </c>
      <c r="AF330" s="391" t="s">
        <v>1032</v>
      </c>
      <c r="AG330" s="391">
        <f ca="1">SUMIF('Lançamento de Cabos'!AE:AK,Tabela1[[#This Row],[Tag do Cabo]],'Lançamento de Cabos'!AG:AG)</f>
        <v>0</v>
      </c>
      <c r="AH330" s="29">
        <f>IFERROR(VLOOKUP(Tabela1[[#This Row],[Tag do Cabo]],'Lançamento de Cabos'!AE:AK,7,0),0)</f>
        <v>0</v>
      </c>
      <c r="AI330" s="262" t="s">
        <v>98</v>
      </c>
      <c r="AJ330" s="212" t="s">
        <v>669</v>
      </c>
      <c r="AK330" s="46">
        <v>3143911</v>
      </c>
    </row>
    <row r="331" spans="1:37" s="262" customFormat="1" ht="15" customHeight="1" x14ac:dyDescent="0.2">
      <c r="A331" s="168" t="s">
        <v>1040</v>
      </c>
      <c r="B331" s="391" t="s">
        <v>40</v>
      </c>
      <c r="C331" s="391" t="s">
        <v>92</v>
      </c>
      <c r="D331" s="391" t="s">
        <v>92</v>
      </c>
      <c r="E331" s="3" t="s">
        <v>318</v>
      </c>
      <c r="F331" s="11" t="s">
        <v>92</v>
      </c>
      <c r="G331" s="391">
        <v>1</v>
      </c>
      <c r="H331" s="391">
        <v>2.5</v>
      </c>
      <c r="I331" s="391">
        <v>2.5</v>
      </c>
      <c r="J331" s="391" t="s">
        <v>319</v>
      </c>
      <c r="K331" s="262" t="s">
        <v>958</v>
      </c>
      <c r="L331" s="262" t="s">
        <v>1041</v>
      </c>
      <c r="M331" s="22" t="s">
        <v>86</v>
      </c>
      <c r="N331" s="22" t="s">
        <v>86</v>
      </c>
      <c r="O331" s="22" t="s">
        <v>86</v>
      </c>
      <c r="P331" s="22" t="s">
        <v>86</v>
      </c>
      <c r="Q331" s="91" t="s">
        <v>321</v>
      </c>
      <c r="R331" s="391">
        <f>SUMIF('Lançamento de Cabos'!$B:$B,Tabela1[[#This Row],[Tag do Cabo]],'Lançamento de Cabos'!$C:$C)</f>
        <v>0</v>
      </c>
      <c r="S331" s="391">
        <f>VLOOKUP(Tabela1[[#This Row],[Tag do Cabo]],'Diagramas Ligações'!A:V,14,0)</f>
        <v>2</v>
      </c>
      <c r="T331" s="262" t="s">
        <v>446</v>
      </c>
      <c r="U331" s="391">
        <v>1</v>
      </c>
      <c r="V331" s="391" t="s">
        <v>107</v>
      </c>
      <c r="W331" s="391" t="s">
        <v>903</v>
      </c>
      <c r="X331" s="32">
        <v>44177</v>
      </c>
      <c r="Y331" s="32">
        <v>44207</v>
      </c>
      <c r="Z331" s="3" t="s">
        <v>307</v>
      </c>
      <c r="AA331" s="45">
        <v>188</v>
      </c>
      <c r="AB33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1" s="262" t="s">
        <v>1031</v>
      </c>
      <c r="AD331" s="391">
        <f>IF(Tabela1[[#This Row],[Qtde. Lançada]]&gt;Tabela1[[#This Row],[Comprimento Total]],Tabela1[[#This Row],[Qtde. Lançada]],Tabela1[[#This Row],[Comprimento Total]])</f>
        <v>2.5</v>
      </c>
      <c r="AE331" s="391" t="s">
        <v>92</v>
      </c>
      <c r="AF331" s="391" t="s">
        <v>1032</v>
      </c>
      <c r="AG331" s="391">
        <f ca="1">SUMIF('Lançamento de Cabos'!AE:AK,Tabela1[[#This Row],[Tag do Cabo]],'Lançamento de Cabos'!AG:AG)</f>
        <v>0</v>
      </c>
      <c r="AH331" s="29">
        <f>IFERROR(VLOOKUP(Tabela1[[#This Row],[Tag do Cabo]],'Lançamento de Cabos'!AE:AK,7,0),0)</f>
        <v>0</v>
      </c>
      <c r="AI331" s="262" t="s">
        <v>960</v>
      </c>
      <c r="AJ331" s="212" t="s">
        <v>927</v>
      </c>
      <c r="AK331" s="46">
        <v>3185497</v>
      </c>
    </row>
    <row r="332" spans="1:37" s="262" customFormat="1" ht="15" customHeight="1" x14ac:dyDescent="0.2">
      <c r="A332" s="168" t="s">
        <v>1042</v>
      </c>
      <c r="B332" s="391" t="s">
        <v>40</v>
      </c>
      <c r="C332" s="391" t="s">
        <v>92</v>
      </c>
      <c r="D332" s="391" t="s">
        <v>92</v>
      </c>
      <c r="E332" s="3" t="s">
        <v>318</v>
      </c>
      <c r="F332" s="11" t="s">
        <v>92</v>
      </c>
      <c r="G332" s="391">
        <v>1</v>
      </c>
      <c r="H332" s="391">
        <v>2.5</v>
      </c>
      <c r="I332" s="391">
        <v>2.5</v>
      </c>
      <c r="J332" s="391" t="s">
        <v>319</v>
      </c>
      <c r="K332" s="262" t="s">
        <v>962</v>
      </c>
      <c r="L332" s="262" t="s">
        <v>1043</v>
      </c>
      <c r="M332" s="22" t="s">
        <v>86</v>
      </c>
      <c r="N332" s="22" t="s">
        <v>86</v>
      </c>
      <c r="O332" s="22" t="s">
        <v>86</v>
      </c>
      <c r="P332" s="22" t="s">
        <v>86</v>
      </c>
      <c r="Q332" s="91" t="s">
        <v>321</v>
      </c>
      <c r="R332" s="391">
        <f>SUMIF('Lançamento de Cabos'!$B:$B,Tabela1[[#This Row],[Tag do Cabo]],'Lançamento de Cabos'!$C:$C)</f>
        <v>0</v>
      </c>
      <c r="S332" s="391">
        <f>VLOOKUP(Tabela1[[#This Row],[Tag do Cabo]],'Diagramas Ligações'!A:V,14,0)</f>
        <v>2</v>
      </c>
      <c r="T332" s="262" t="s">
        <v>446</v>
      </c>
      <c r="U332" s="391">
        <v>1</v>
      </c>
      <c r="V332" s="391" t="s">
        <v>107</v>
      </c>
      <c r="W332" s="391" t="s">
        <v>903</v>
      </c>
      <c r="X332" s="32">
        <v>44177</v>
      </c>
      <c r="Y332" s="32">
        <v>44207</v>
      </c>
      <c r="Z332" s="3" t="s">
        <v>307</v>
      </c>
      <c r="AA332" s="45">
        <v>188</v>
      </c>
      <c r="AB33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2" s="262" t="s">
        <v>1031</v>
      </c>
      <c r="AD332" s="391">
        <f>IF(Tabela1[[#This Row],[Qtde. Lançada]]&gt;Tabela1[[#This Row],[Comprimento Total]],Tabela1[[#This Row],[Qtde. Lançada]],Tabela1[[#This Row],[Comprimento Total]])</f>
        <v>2.5</v>
      </c>
      <c r="AE332" s="391" t="s">
        <v>92</v>
      </c>
      <c r="AF332" s="391" t="s">
        <v>1032</v>
      </c>
      <c r="AG332" s="391">
        <f ca="1">SUMIF('Lançamento de Cabos'!AE:AK,Tabela1[[#This Row],[Tag do Cabo]],'Lançamento de Cabos'!AG:AG)</f>
        <v>0</v>
      </c>
      <c r="AH332" s="29">
        <f>IFERROR(VLOOKUP(Tabela1[[#This Row],[Tag do Cabo]],'Lançamento de Cabos'!AE:AK,7,0),0)</f>
        <v>0</v>
      </c>
      <c r="AI332" s="262" t="s">
        <v>960</v>
      </c>
      <c r="AJ332" s="212" t="s">
        <v>663</v>
      </c>
      <c r="AK332" s="46">
        <v>3185497</v>
      </c>
    </row>
    <row r="333" spans="1:37" s="262" customFormat="1" ht="15" customHeight="1" x14ac:dyDescent="0.2">
      <c r="A333" s="168" t="s">
        <v>1044</v>
      </c>
      <c r="B333" s="391" t="s">
        <v>101</v>
      </c>
      <c r="C333" s="391" t="s">
        <v>92</v>
      </c>
      <c r="D333" s="391" t="s">
        <v>92</v>
      </c>
      <c r="E333" s="3" t="s">
        <v>102</v>
      </c>
      <c r="F333" s="11" t="s">
        <v>92</v>
      </c>
      <c r="G333" s="391">
        <v>1</v>
      </c>
      <c r="H333" s="391">
        <v>2.5</v>
      </c>
      <c r="I333" s="391">
        <v>2.5</v>
      </c>
      <c r="J333" s="391" t="s">
        <v>103</v>
      </c>
      <c r="K333" s="262" t="s">
        <v>958</v>
      </c>
      <c r="L333" s="262" t="s">
        <v>1045</v>
      </c>
      <c r="M333" s="22" t="s">
        <v>86</v>
      </c>
      <c r="N333" s="22" t="s">
        <v>86</v>
      </c>
      <c r="O333" s="22" t="s">
        <v>86</v>
      </c>
      <c r="P333" s="22" t="s">
        <v>86</v>
      </c>
      <c r="Q333" s="91" t="s">
        <v>304</v>
      </c>
      <c r="R333" s="391">
        <f>SUMIF('Lançamento de Cabos'!$B:$B,Tabela1[[#This Row],[Tag do Cabo]],'Lançamento de Cabos'!$C:$C)</f>
        <v>0</v>
      </c>
      <c r="S333" s="391">
        <f>VLOOKUP(Tabela1[[#This Row],[Tag do Cabo]],'Diagramas Ligações'!A:V,14,0)</f>
        <v>2</v>
      </c>
      <c r="T333" s="262" t="s">
        <v>446</v>
      </c>
      <c r="U333" s="391">
        <v>1</v>
      </c>
      <c r="V333" s="391" t="s">
        <v>107</v>
      </c>
      <c r="W333" s="391" t="s">
        <v>903</v>
      </c>
      <c r="X333" s="32">
        <v>44177</v>
      </c>
      <c r="Y333" s="32">
        <v>44249</v>
      </c>
      <c r="Z333" s="3" t="s">
        <v>1046</v>
      </c>
      <c r="AA333" s="45" t="s">
        <v>1047</v>
      </c>
      <c r="AB33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3" s="262" t="s">
        <v>1031</v>
      </c>
      <c r="AD333" s="391">
        <f>IF(Tabela1[[#This Row],[Qtde. Lançada]]&gt;Tabela1[[#This Row],[Comprimento Total]],Tabela1[[#This Row],[Qtde. Lançada]],Tabela1[[#This Row],[Comprimento Total]])</f>
        <v>2.5</v>
      </c>
      <c r="AE333" s="391" t="s">
        <v>92</v>
      </c>
      <c r="AF333" s="391" t="s">
        <v>1032</v>
      </c>
      <c r="AG333" s="391">
        <f ca="1">SUMIF('Lançamento de Cabos'!AE:AK,Tabela1[[#This Row],[Tag do Cabo]],'Lançamento de Cabos'!AG:AG)</f>
        <v>0</v>
      </c>
      <c r="AH333" s="29">
        <f>IFERROR(VLOOKUP(Tabela1[[#This Row],[Tag do Cabo]],'Lançamento de Cabos'!AE:AK,7,0),0)</f>
        <v>0</v>
      </c>
      <c r="AI333" s="262" t="s">
        <v>311</v>
      </c>
      <c r="AJ333" s="212"/>
      <c r="AK333" s="46">
        <v>3104088</v>
      </c>
    </row>
    <row r="334" spans="1:37" s="262" customFormat="1" ht="15" customHeight="1" x14ac:dyDescent="0.2">
      <c r="A334" s="168" t="s">
        <v>1048</v>
      </c>
      <c r="B334" s="391" t="s">
        <v>101</v>
      </c>
      <c r="C334" s="391" t="s">
        <v>92</v>
      </c>
      <c r="D334" s="391" t="s">
        <v>92</v>
      </c>
      <c r="E334" s="3" t="s">
        <v>102</v>
      </c>
      <c r="F334" s="11" t="s">
        <v>92</v>
      </c>
      <c r="G334" s="391">
        <v>1</v>
      </c>
      <c r="H334" s="391">
        <v>2.5</v>
      </c>
      <c r="I334" s="391">
        <v>2.5</v>
      </c>
      <c r="J334" s="391" t="s">
        <v>103</v>
      </c>
      <c r="K334" s="262" t="s">
        <v>962</v>
      </c>
      <c r="L334" s="262" t="s">
        <v>1045</v>
      </c>
      <c r="M334" s="22" t="s">
        <v>86</v>
      </c>
      <c r="N334" s="22" t="s">
        <v>86</v>
      </c>
      <c r="O334" s="22" t="s">
        <v>86</v>
      </c>
      <c r="P334" s="22" t="s">
        <v>86</v>
      </c>
      <c r="Q334" s="91" t="s">
        <v>304</v>
      </c>
      <c r="R334" s="391">
        <f>SUMIF('Lançamento de Cabos'!$B:$B,Tabela1[[#This Row],[Tag do Cabo]],'Lançamento de Cabos'!$C:$C)</f>
        <v>0</v>
      </c>
      <c r="S334" s="391">
        <f>VLOOKUP(Tabela1[[#This Row],[Tag do Cabo]],'Diagramas Ligações'!A:V,14,0)</f>
        <v>2</v>
      </c>
      <c r="T334" s="262" t="s">
        <v>446</v>
      </c>
      <c r="U334" s="391">
        <v>1</v>
      </c>
      <c r="V334" s="391" t="s">
        <v>107</v>
      </c>
      <c r="W334" s="391" t="s">
        <v>903</v>
      </c>
      <c r="X334" s="32">
        <v>44177</v>
      </c>
      <c r="Y334" s="32">
        <v>44249</v>
      </c>
      <c r="Z334" s="3" t="s">
        <v>1046</v>
      </c>
      <c r="AA334" s="45" t="s">
        <v>1047</v>
      </c>
      <c r="AB33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4" s="262" t="s">
        <v>1031</v>
      </c>
      <c r="AD334" s="391">
        <f>IF(Tabela1[[#This Row],[Qtde. Lançada]]&gt;Tabela1[[#This Row],[Comprimento Total]],Tabela1[[#This Row],[Qtde. Lançada]],Tabela1[[#This Row],[Comprimento Total]])</f>
        <v>2.5</v>
      </c>
      <c r="AE334" s="391" t="s">
        <v>92</v>
      </c>
      <c r="AF334" s="391" t="s">
        <v>1032</v>
      </c>
      <c r="AG334" s="391">
        <f ca="1">SUMIF('Lançamento de Cabos'!AE:AK,Tabela1[[#This Row],[Tag do Cabo]],'Lançamento de Cabos'!AG:AG)</f>
        <v>0</v>
      </c>
      <c r="AH334" s="29">
        <f>IFERROR(VLOOKUP(Tabela1[[#This Row],[Tag do Cabo]],'Lançamento de Cabos'!AE:AK,7,0),0)</f>
        <v>0</v>
      </c>
      <c r="AI334" s="262" t="s">
        <v>311</v>
      </c>
      <c r="AJ334" s="212"/>
      <c r="AK334" s="46">
        <v>3104088</v>
      </c>
    </row>
    <row r="335" spans="1:37" s="262" customFormat="1" ht="15" customHeight="1" x14ac:dyDescent="0.2">
      <c r="A335" s="168" t="s">
        <v>1049</v>
      </c>
      <c r="B335" s="391" t="s">
        <v>40</v>
      </c>
      <c r="C335" s="391" t="s">
        <v>92</v>
      </c>
      <c r="D335" s="391" t="s">
        <v>92</v>
      </c>
      <c r="E335" s="3" t="s">
        <v>1050</v>
      </c>
      <c r="F335" s="11" t="s">
        <v>92</v>
      </c>
      <c r="G335" s="391">
        <v>1</v>
      </c>
      <c r="H335" s="391">
        <v>60</v>
      </c>
      <c r="I335" s="391">
        <v>60</v>
      </c>
      <c r="J335" s="391" t="s">
        <v>319</v>
      </c>
      <c r="K335" s="262" t="s">
        <v>1051</v>
      </c>
      <c r="L335" s="262" t="s">
        <v>1052</v>
      </c>
      <c r="M335" s="22" t="s">
        <v>86</v>
      </c>
      <c r="N335" s="22" t="s">
        <v>86</v>
      </c>
      <c r="O335" s="22" t="s">
        <v>86</v>
      </c>
      <c r="P335" s="22" t="s">
        <v>86</v>
      </c>
      <c r="Q335" s="391" t="s">
        <v>321</v>
      </c>
      <c r="R335" s="391">
        <f>SUMIF('Lançamento de Cabos'!$B:$B,Tabela1[[#This Row],[Tag do Cabo]],'Lançamento de Cabos'!$C:$C)</f>
        <v>60</v>
      </c>
      <c r="S335" s="391">
        <f>VLOOKUP(Tabela1[[#This Row],[Tag do Cabo]],'Diagramas Ligações'!A:V,14,0)</f>
        <v>2</v>
      </c>
      <c r="T335" s="262" t="s">
        <v>305</v>
      </c>
      <c r="U335" s="391">
        <v>2</v>
      </c>
      <c r="V335" s="391" t="s">
        <v>107</v>
      </c>
      <c r="W335" s="391" t="s">
        <v>903</v>
      </c>
      <c r="X335" s="32">
        <v>44177</v>
      </c>
      <c r="Y335" s="32">
        <v>44207</v>
      </c>
      <c r="Z335" s="3" t="s">
        <v>307</v>
      </c>
      <c r="AA335" s="45">
        <v>172</v>
      </c>
      <c r="AB33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5" s="262" t="s">
        <v>1053</v>
      </c>
      <c r="AD335" s="391">
        <f>IF(Tabela1[[#This Row],[Qtde. Lançada]]&gt;Tabela1[[#This Row],[Comprimento Total]],Tabela1[[#This Row],[Qtde. Lançada]],Tabela1[[#This Row],[Comprimento Total]])</f>
        <v>60</v>
      </c>
      <c r="AE335" s="391" t="s">
        <v>92</v>
      </c>
      <c r="AF335" s="391" t="s">
        <v>1054</v>
      </c>
      <c r="AG335" s="391">
        <f ca="1">SUMIF('Lançamento de Cabos'!AE:AK,Tabela1[[#This Row],[Tag do Cabo]],'Lançamento de Cabos'!AG:AG)</f>
        <v>0</v>
      </c>
      <c r="AH335" s="29">
        <f>IFERROR(VLOOKUP(Tabela1[[#This Row],[Tag do Cabo]],'Lançamento de Cabos'!AE:AK,7,0),0)</f>
        <v>0</v>
      </c>
      <c r="AI335" s="262" t="s">
        <v>1055</v>
      </c>
      <c r="AJ335" s="212" t="s">
        <v>205</v>
      </c>
      <c r="AK335" s="46">
        <v>2089361</v>
      </c>
    </row>
    <row r="336" spans="1:37" s="262" customFormat="1" ht="15" customHeight="1" x14ac:dyDescent="0.2">
      <c r="A336" s="168" t="s">
        <v>1056</v>
      </c>
      <c r="B336" s="391" t="s">
        <v>40</v>
      </c>
      <c r="C336" s="391" t="s">
        <v>92</v>
      </c>
      <c r="D336" s="391" t="s">
        <v>92</v>
      </c>
      <c r="E336" s="3" t="s">
        <v>1050</v>
      </c>
      <c r="F336" s="11" t="s">
        <v>92</v>
      </c>
      <c r="G336" s="391">
        <v>1</v>
      </c>
      <c r="H336" s="391">
        <v>75</v>
      </c>
      <c r="I336" s="391">
        <v>75</v>
      </c>
      <c r="J336" s="391" t="s">
        <v>319</v>
      </c>
      <c r="K336" s="262" t="s">
        <v>1057</v>
      </c>
      <c r="L336" s="262" t="s">
        <v>1058</v>
      </c>
      <c r="M336" s="22" t="s">
        <v>86</v>
      </c>
      <c r="N336" s="22" t="s">
        <v>86</v>
      </c>
      <c r="O336" s="22" t="s">
        <v>86</v>
      </c>
      <c r="P336" s="22" t="s">
        <v>86</v>
      </c>
      <c r="Q336" s="391" t="s">
        <v>321</v>
      </c>
      <c r="R336" s="391">
        <f>SUMIF('Lançamento de Cabos'!$B:$B,Tabela1[[#This Row],[Tag do Cabo]],'Lançamento de Cabos'!$C:$C)</f>
        <v>75</v>
      </c>
      <c r="S336" s="391">
        <f>VLOOKUP(Tabela1[[#This Row],[Tag do Cabo]],'Diagramas Ligações'!A:V,14,0)</f>
        <v>2</v>
      </c>
      <c r="T336" s="262" t="s">
        <v>305</v>
      </c>
      <c r="U336" s="391">
        <v>2</v>
      </c>
      <c r="V336" s="391" t="s">
        <v>107</v>
      </c>
      <c r="W336" s="391" t="s">
        <v>1059</v>
      </c>
      <c r="X336" s="32">
        <v>44177</v>
      </c>
      <c r="Y336" s="32">
        <v>44207</v>
      </c>
      <c r="Z336" s="3" t="s">
        <v>307</v>
      </c>
      <c r="AA336" s="45">
        <v>172</v>
      </c>
      <c r="AB33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36" s="391">
        <f>IF(Tabela1[[#This Row],[Qtde. Lançada]]&gt;Tabela1[[#This Row],[Comprimento Total]],Tabela1[[#This Row],[Qtde. Lançada]],Tabela1[[#This Row],[Comprimento Total]])</f>
        <v>75</v>
      </c>
      <c r="AE336" s="391" t="s">
        <v>92</v>
      </c>
      <c r="AF336" s="391" t="s">
        <v>1054</v>
      </c>
      <c r="AG336" s="391">
        <f ca="1">SUMIF('Lançamento de Cabos'!AE:AK,Tabela1[[#This Row],[Tag do Cabo]],'Lançamento de Cabos'!AG:AG)</f>
        <v>0</v>
      </c>
      <c r="AH336" s="29">
        <f>IFERROR(VLOOKUP(Tabela1[[#This Row],[Tag do Cabo]],'Lançamento de Cabos'!AE:AK,7,0),0)</f>
        <v>0</v>
      </c>
      <c r="AI336" s="262" t="s">
        <v>1060</v>
      </c>
      <c r="AJ336" s="212" t="s">
        <v>209</v>
      </c>
      <c r="AK336" s="46">
        <v>2089361</v>
      </c>
    </row>
    <row r="337" spans="1:38" s="262" customFormat="1" ht="15" customHeight="1" x14ac:dyDescent="0.2">
      <c r="A337" s="168" t="s">
        <v>1061</v>
      </c>
      <c r="B337" s="391" t="s">
        <v>40</v>
      </c>
      <c r="C337" s="391" t="s">
        <v>92</v>
      </c>
      <c r="D337" s="391" t="s">
        <v>92</v>
      </c>
      <c r="E337" s="3" t="s">
        <v>1050</v>
      </c>
      <c r="F337" s="11" t="s">
        <v>92</v>
      </c>
      <c r="G337" s="391">
        <v>1</v>
      </c>
      <c r="H337" s="391">
        <v>70</v>
      </c>
      <c r="I337" s="391">
        <v>70</v>
      </c>
      <c r="J337" s="391" t="s">
        <v>319</v>
      </c>
      <c r="K337" s="262" t="s">
        <v>1062</v>
      </c>
      <c r="L337" s="262" t="s">
        <v>1063</v>
      </c>
      <c r="M337" s="22" t="s">
        <v>86</v>
      </c>
      <c r="N337" s="22" t="s">
        <v>86</v>
      </c>
      <c r="O337" s="22" t="s">
        <v>86</v>
      </c>
      <c r="P337" s="22" t="s">
        <v>86</v>
      </c>
      <c r="Q337" s="391" t="s">
        <v>321</v>
      </c>
      <c r="R337" s="391">
        <f>SUMIF('Lançamento de Cabos'!$B:$B,Tabela1[[#This Row],[Tag do Cabo]],'Lançamento de Cabos'!$C:$C)</f>
        <v>70</v>
      </c>
      <c r="S337" s="391">
        <f>VLOOKUP(Tabela1[[#This Row],[Tag do Cabo]],'Diagramas Ligações'!A:V,14,0)</f>
        <v>2</v>
      </c>
      <c r="T337" s="262" t="s">
        <v>305</v>
      </c>
      <c r="U337" s="391">
        <v>2</v>
      </c>
      <c r="V337" s="391" t="s">
        <v>107</v>
      </c>
      <c r="W337" s="391" t="s">
        <v>903</v>
      </c>
      <c r="X337" s="32">
        <v>44177</v>
      </c>
      <c r="Y337" s="32">
        <v>44207</v>
      </c>
      <c r="Z337" s="3" t="s">
        <v>307</v>
      </c>
      <c r="AA337" s="45">
        <v>172</v>
      </c>
      <c r="AB33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7" s="262" t="s">
        <v>1053</v>
      </c>
      <c r="AD337" s="391">
        <f>IF(Tabela1[[#This Row],[Qtde. Lançada]]&gt;Tabela1[[#This Row],[Comprimento Total]],Tabela1[[#This Row],[Qtde. Lançada]],Tabela1[[#This Row],[Comprimento Total]])</f>
        <v>70</v>
      </c>
      <c r="AE337" s="391" t="s">
        <v>92</v>
      </c>
      <c r="AF337" s="391" t="s">
        <v>1054</v>
      </c>
      <c r="AG337" s="391">
        <f ca="1">SUMIF('Lançamento de Cabos'!AE:AK,Tabela1[[#This Row],[Tag do Cabo]],'Lançamento de Cabos'!AG:AG)</f>
        <v>0</v>
      </c>
      <c r="AH337" s="29">
        <f>IFERROR(VLOOKUP(Tabela1[[#This Row],[Tag do Cabo]],'Lançamento de Cabos'!AE:AK,7,0),0)</f>
        <v>0</v>
      </c>
      <c r="AI337" s="262" t="s">
        <v>1055</v>
      </c>
      <c r="AJ337" s="212" t="s">
        <v>205</v>
      </c>
      <c r="AK337" s="46">
        <v>2089361</v>
      </c>
    </row>
    <row r="338" spans="1:38" s="262" customFormat="1" ht="15" customHeight="1" x14ac:dyDescent="0.2">
      <c r="A338" s="168" t="s">
        <v>1064</v>
      </c>
      <c r="B338" s="391" t="s">
        <v>37</v>
      </c>
      <c r="C338" s="391">
        <v>110</v>
      </c>
      <c r="D338" s="391" t="s">
        <v>80</v>
      </c>
      <c r="E338" s="3" t="s">
        <v>339</v>
      </c>
      <c r="F338" s="11">
        <v>4</v>
      </c>
      <c r="G338" s="391">
        <v>1</v>
      </c>
      <c r="H338" s="391">
        <v>20</v>
      </c>
      <c r="I338" s="391">
        <v>20</v>
      </c>
      <c r="J338" s="391" t="s">
        <v>1054</v>
      </c>
      <c r="K338" s="262" t="s">
        <v>1065</v>
      </c>
      <c r="L338" s="262" t="s">
        <v>1066</v>
      </c>
      <c r="M338" s="22" t="s">
        <v>85</v>
      </c>
      <c r="N338" s="23" t="str">
        <f>"Sim"</f>
        <v>Sim</v>
      </c>
      <c r="O338" s="22" t="s">
        <v>86</v>
      </c>
      <c r="P338" s="22" t="s">
        <v>86</v>
      </c>
      <c r="Q338" s="391" t="s">
        <v>87</v>
      </c>
      <c r="R338" s="23">
        <f>SUMIF('Lançamento de Cabos'!$B:$B,Tabela1[[#This Row],[Tag do Cabo]],'Lançamento de Cabos'!$C:$C)</f>
        <v>20</v>
      </c>
      <c r="S338" s="391">
        <f>VLOOKUP(Tabela1[[#This Row],[Tag do Cabo]],'Diagramas Ligações'!A:V,14,0)</f>
        <v>6</v>
      </c>
      <c r="T338" s="262" t="s">
        <v>88</v>
      </c>
      <c r="U338" s="391">
        <v>5</v>
      </c>
      <c r="V338" s="391"/>
      <c r="W338" s="391" t="s">
        <v>1067</v>
      </c>
      <c r="X338" s="32">
        <v>44177</v>
      </c>
      <c r="Y338" s="32">
        <v>44218</v>
      </c>
      <c r="Z338" s="31" t="s">
        <v>108</v>
      </c>
      <c r="AA338" s="45" t="s">
        <v>343</v>
      </c>
      <c r="AB33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8" s="262" t="s">
        <v>1053</v>
      </c>
      <c r="AD338" s="391">
        <f>IF(Tabela1[[#This Row],[Qtde. Lançada]]&gt;Tabela1[[#This Row],[Comprimento Total]],Tabela1[[#This Row],[Qtde. Lançada]],Tabela1[[#This Row],[Comprimento Total]])</f>
        <v>20</v>
      </c>
      <c r="AE338" s="391" t="s">
        <v>92</v>
      </c>
      <c r="AF338" s="391" t="s">
        <v>1054</v>
      </c>
      <c r="AG338" s="391">
        <f ca="1">SUMIF('Lançamento de Cabos'!AE:AK,Tabela1[[#This Row],[Tag do Cabo]],'Lançamento de Cabos'!AG:AG)</f>
        <v>0</v>
      </c>
      <c r="AH338" s="29">
        <f>IFERROR(VLOOKUP(Tabela1[[#This Row],[Tag do Cabo]],'Lançamento de Cabos'!AE:AK,7,0),0)</f>
        <v>0</v>
      </c>
      <c r="AI338" s="262" t="s">
        <v>1068</v>
      </c>
      <c r="AJ338" s="212" t="s">
        <v>212</v>
      </c>
      <c r="AK338" s="46">
        <v>320680</v>
      </c>
    </row>
    <row r="339" spans="1:38" s="262" customFormat="1" ht="15" customHeight="1" x14ac:dyDescent="0.2">
      <c r="A339" s="168" t="s">
        <v>1069</v>
      </c>
      <c r="B339" s="391" t="s">
        <v>37</v>
      </c>
      <c r="C339" s="391">
        <v>110</v>
      </c>
      <c r="D339" s="391" t="s">
        <v>80</v>
      </c>
      <c r="E339" s="3" t="s">
        <v>339</v>
      </c>
      <c r="F339" s="11">
        <v>4</v>
      </c>
      <c r="G339" s="391">
        <v>1</v>
      </c>
      <c r="H339" s="391">
        <v>20</v>
      </c>
      <c r="I339" s="391">
        <v>20</v>
      </c>
      <c r="J339" s="391" t="s">
        <v>1054</v>
      </c>
      <c r="K339" s="262" t="s">
        <v>1070</v>
      </c>
      <c r="L339" s="262" t="s">
        <v>1066</v>
      </c>
      <c r="M339" s="22" t="s">
        <v>85</v>
      </c>
      <c r="N339" s="23" t="str">
        <f>"Sim"</f>
        <v>Sim</v>
      </c>
      <c r="O339" s="22" t="s">
        <v>86</v>
      </c>
      <c r="P339" s="22" t="s">
        <v>86</v>
      </c>
      <c r="Q339" s="391" t="s">
        <v>87</v>
      </c>
      <c r="R339" s="23">
        <f>SUMIF('Lançamento de Cabos'!$B:$B,Tabela1[[#This Row],[Tag do Cabo]],'Lançamento de Cabos'!$C:$C)</f>
        <v>20</v>
      </c>
      <c r="S339" s="391">
        <f>VLOOKUP(Tabela1[[#This Row],[Tag do Cabo]],'Diagramas Ligações'!A:V,14,0)</f>
        <v>6</v>
      </c>
      <c r="T339" s="262" t="s">
        <v>88</v>
      </c>
      <c r="U339" s="391">
        <v>5</v>
      </c>
      <c r="V339" s="391"/>
      <c r="W339" s="391" t="s">
        <v>1067</v>
      </c>
      <c r="X339" s="32">
        <v>44177</v>
      </c>
      <c r="Y339" s="32">
        <v>44218</v>
      </c>
      <c r="Z339" s="31" t="s">
        <v>108</v>
      </c>
      <c r="AA339" s="45" t="s">
        <v>343</v>
      </c>
      <c r="AB33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39" s="262" t="s">
        <v>1053</v>
      </c>
      <c r="AD339" s="391">
        <f>IF(Tabela1[[#This Row],[Qtde. Lançada]]&gt;Tabela1[[#This Row],[Comprimento Total]],Tabela1[[#This Row],[Qtde. Lançada]],Tabela1[[#This Row],[Comprimento Total]])</f>
        <v>20</v>
      </c>
      <c r="AE339" s="391" t="s">
        <v>92</v>
      </c>
      <c r="AF339" s="391" t="s">
        <v>1054</v>
      </c>
      <c r="AG339" s="391">
        <f ca="1">SUMIF('Lançamento de Cabos'!AE:AK,Tabela1[[#This Row],[Tag do Cabo]],'Lançamento de Cabos'!AG:AG)</f>
        <v>0</v>
      </c>
      <c r="AH339" s="29">
        <f>IFERROR(VLOOKUP(Tabela1[[#This Row],[Tag do Cabo]],'Lançamento de Cabos'!AE:AK,7,0),0)</f>
        <v>0</v>
      </c>
      <c r="AI339" s="262" t="s">
        <v>1068</v>
      </c>
      <c r="AJ339" s="212" t="s">
        <v>212</v>
      </c>
      <c r="AK339" s="46">
        <v>320680</v>
      </c>
    </row>
    <row r="340" spans="1:38" s="262" customFormat="1" ht="15" customHeight="1" x14ac:dyDescent="0.2">
      <c r="A340" s="168" t="s">
        <v>1071</v>
      </c>
      <c r="B340" s="391" t="s">
        <v>38</v>
      </c>
      <c r="C340" s="391" t="s">
        <v>92</v>
      </c>
      <c r="D340" s="391" t="s">
        <v>92</v>
      </c>
      <c r="E340" s="3" t="s">
        <v>612</v>
      </c>
      <c r="F340" s="11">
        <v>1</v>
      </c>
      <c r="G340" s="391">
        <v>1</v>
      </c>
      <c r="H340" s="391">
        <v>22</v>
      </c>
      <c r="I340" s="391">
        <v>5</v>
      </c>
      <c r="J340" s="391" t="s">
        <v>1054</v>
      </c>
      <c r="K340" s="262" t="s">
        <v>1072</v>
      </c>
      <c r="L340" s="262" t="s">
        <v>679</v>
      </c>
      <c r="M340" s="22" t="s">
        <v>85</v>
      </c>
      <c r="N340" s="23" t="str">
        <f>"Sim"</f>
        <v>Sim</v>
      </c>
      <c r="O340" s="22" t="s">
        <v>86</v>
      </c>
      <c r="P340" s="22" t="s">
        <v>86</v>
      </c>
      <c r="Q340" s="151" t="s">
        <v>321</v>
      </c>
      <c r="R340" s="23">
        <f>SUMIF('Lançamento de Cabos'!$B:$B,Tabela1[[#This Row],[Tag do Cabo]],'Lançamento de Cabos'!$C:$C)</f>
        <v>5</v>
      </c>
      <c r="S340" s="391">
        <f>VLOOKUP(Tabela1[[#This Row],[Tag do Cabo]],'Diagramas Ligações'!A:V,14,0)</f>
        <v>44</v>
      </c>
      <c r="T340" s="262" t="s">
        <v>680</v>
      </c>
      <c r="U340" s="391">
        <v>6</v>
      </c>
      <c r="V340" s="391" t="s">
        <v>186</v>
      </c>
      <c r="W340" s="391" t="s">
        <v>92</v>
      </c>
      <c r="X340" s="32">
        <v>44209</v>
      </c>
      <c r="Y340" s="32">
        <v>44211</v>
      </c>
      <c r="Z340" s="3" t="s">
        <v>681</v>
      </c>
      <c r="AA340" s="45">
        <v>104</v>
      </c>
      <c r="AB34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0" s="262" t="s">
        <v>1073</v>
      </c>
      <c r="AD340" s="391">
        <f>IF(Tabela1[[#This Row],[Qtde. Lançada]]&gt;Tabela1[[#This Row],[Comprimento Total]],Tabela1[[#This Row],[Qtde. Lançada]],Tabela1[[#This Row],[Comprimento Total]])</f>
        <v>5</v>
      </c>
      <c r="AE340" s="391" t="s">
        <v>92</v>
      </c>
      <c r="AF340" s="391" t="s">
        <v>1054</v>
      </c>
      <c r="AG340" s="391">
        <f ca="1">SUMIF('Lançamento de Cabos'!AE:AK,Tabela1[[#This Row],[Tag do Cabo]],'Lançamento de Cabos'!AG:AG)</f>
        <v>0</v>
      </c>
      <c r="AH340" s="29">
        <f>IFERROR(VLOOKUP(Tabela1[[#This Row],[Tag do Cabo]],'Lançamento de Cabos'!AE:AK,7,0),0)</f>
        <v>0</v>
      </c>
      <c r="AI340" s="262" t="s">
        <v>680</v>
      </c>
      <c r="AJ340" s="212" t="s">
        <v>1074</v>
      </c>
      <c r="AK340" s="46">
        <v>3087804</v>
      </c>
    </row>
    <row r="341" spans="1:38" s="262" customFormat="1" ht="15" customHeight="1" x14ac:dyDescent="0.2">
      <c r="A341" s="168" t="s">
        <v>1075</v>
      </c>
      <c r="B341" s="391" t="s">
        <v>40</v>
      </c>
      <c r="C341" s="391" t="s">
        <v>92</v>
      </c>
      <c r="D341" s="391" t="s">
        <v>92</v>
      </c>
      <c r="E341" s="3" t="s">
        <v>318</v>
      </c>
      <c r="F341" s="11" t="s">
        <v>92</v>
      </c>
      <c r="G341" s="391">
        <v>1</v>
      </c>
      <c r="H341" s="391">
        <v>2.5</v>
      </c>
      <c r="I341" s="391">
        <v>2.5</v>
      </c>
      <c r="J341" s="391" t="s">
        <v>319</v>
      </c>
      <c r="K341" s="262" t="s">
        <v>1076</v>
      </c>
      <c r="L341" s="262" t="s">
        <v>1077</v>
      </c>
      <c r="M341" s="22" t="s">
        <v>86</v>
      </c>
      <c r="N341" s="22" t="s">
        <v>86</v>
      </c>
      <c r="O341" s="22" t="s">
        <v>86</v>
      </c>
      <c r="P341" s="22" t="s">
        <v>86</v>
      </c>
      <c r="Q341" s="91" t="s">
        <v>321</v>
      </c>
      <c r="R341" s="391">
        <f>SUMIF('Lançamento de Cabos'!$B:$B,Tabela1[[#This Row],[Tag do Cabo]],'Lançamento de Cabos'!$C:$C)</f>
        <v>0</v>
      </c>
      <c r="S341" s="391">
        <f>VLOOKUP(Tabela1[[#This Row],[Tag do Cabo]],'Diagramas Ligações'!A:V,14,0)</f>
        <v>2</v>
      </c>
      <c r="T341" s="262" t="s">
        <v>446</v>
      </c>
      <c r="U341" s="391">
        <v>1</v>
      </c>
      <c r="V341" s="391" t="s">
        <v>107</v>
      </c>
      <c r="W341" s="391" t="s">
        <v>1067</v>
      </c>
      <c r="X341" s="32">
        <v>44177</v>
      </c>
      <c r="Y341" s="32">
        <v>44207</v>
      </c>
      <c r="Z341" s="3" t="s">
        <v>307</v>
      </c>
      <c r="AA341" s="45">
        <v>188</v>
      </c>
      <c r="AB34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1" s="262" t="s">
        <v>1053</v>
      </c>
      <c r="AD341" s="391">
        <f>IF(Tabela1[[#This Row],[Qtde. Lançada]]&gt;Tabela1[[#This Row],[Comprimento Total]],Tabela1[[#This Row],[Qtde. Lançada]],Tabela1[[#This Row],[Comprimento Total]])</f>
        <v>2.5</v>
      </c>
      <c r="AE341" s="391" t="s">
        <v>92</v>
      </c>
      <c r="AF341" s="391" t="s">
        <v>1054</v>
      </c>
      <c r="AG341" s="391">
        <f ca="1">SUMIF('Lançamento de Cabos'!AE:AK,Tabela1[[#This Row],[Tag do Cabo]],'Lançamento de Cabos'!AG:AG)</f>
        <v>0</v>
      </c>
      <c r="AH341" s="29">
        <f>IFERROR(VLOOKUP(Tabela1[[#This Row],[Tag do Cabo]],'Lançamento de Cabos'!AE:AK,7,0),0)</f>
        <v>0</v>
      </c>
      <c r="AI341" s="262" t="s">
        <v>651</v>
      </c>
      <c r="AJ341" s="212" t="s">
        <v>1078</v>
      </c>
      <c r="AK341" s="46">
        <v>3185497</v>
      </c>
    </row>
    <row r="342" spans="1:38" s="262" customFormat="1" ht="15" customHeight="1" x14ac:dyDescent="0.2">
      <c r="A342" s="168" t="s">
        <v>1079</v>
      </c>
      <c r="B342" s="391" t="s">
        <v>38</v>
      </c>
      <c r="C342" s="391" t="s">
        <v>92</v>
      </c>
      <c r="D342" s="391" t="s">
        <v>92</v>
      </c>
      <c r="E342" s="3" t="s">
        <v>608</v>
      </c>
      <c r="F342" s="11">
        <v>1</v>
      </c>
      <c r="G342" s="391">
        <v>1</v>
      </c>
      <c r="H342" s="391">
        <v>5</v>
      </c>
      <c r="I342" s="391">
        <v>5</v>
      </c>
      <c r="J342" s="391" t="s">
        <v>1054</v>
      </c>
      <c r="K342" s="262" t="s">
        <v>1080</v>
      </c>
      <c r="L342" s="262" t="s">
        <v>679</v>
      </c>
      <c r="M342" s="22" t="s">
        <v>85</v>
      </c>
      <c r="N342" s="23" t="str">
        <f>"Sim"</f>
        <v>Sim</v>
      </c>
      <c r="O342" s="22" t="s">
        <v>86</v>
      </c>
      <c r="P342" s="22" t="s">
        <v>86</v>
      </c>
      <c r="Q342" s="151" t="s">
        <v>321</v>
      </c>
      <c r="R342" s="23">
        <f>SUMIF('Lançamento de Cabos'!$B:$B,Tabela1[[#This Row],[Tag do Cabo]],'Lançamento de Cabos'!$C:$C)</f>
        <v>5</v>
      </c>
      <c r="S342" s="391">
        <f>VLOOKUP(Tabela1[[#This Row],[Tag do Cabo]],'Diagramas Ligações'!A:V,14,0)</f>
        <v>20</v>
      </c>
      <c r="T342" s="262" t="s">
        <v>680</v>
      </c>
      <c r="U342" s="391">
        <v>6</v>
      </c>
      <c r="V342" s="391" t="s">
        <v>186</v>
      </c>
      <c r="W342" s="391" t="s">
        <v>92</v>
      </c>
      <c r="X342" s="32">
        <v>44209</v>
      </c>
      <c r="Y342" s="32">
        <v>44211</v>
      </c>
      <c r="Z342" s="3" t="s">
        <v>681</v>
      </c>
      <c r="AA342" s="45">
        <v>176</v>
      </c>
      <c r="AB34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2" s="262" t="s">
        <v>1073</v>
      </c>
      <c r="AD342" s="391">
        <f>IF(Tabela1[[#This Row],[Qtde. Lançada]]&gt;Tabela1[[#This Row],[Comprimento Total]],Tabela1[[#This Row],[Qtde. Lançada]],Tabela1[[#This Row],[Comprimento Total]])</f>
        <v>5</v>
      </c>
      <c r="AE342" s="391" t="s">
        <v>92</v>
      </c>
      <c r="AF342" s="391" t="s">
        <v>1054</v>
      </c>
      <c r="AG342" s="391">
        <f ca="1">SUMIF('Lançamento de Cabos'!AE:AK,Tabela1[[#This Row],[Tag do Cabo]],'Lançamento de Cabos'!AG:AG)</f>
        <v>0</v>
      </c>
      <c r="AH342" s="29">
        <f>IFERROR(VLOOKUP(Tabela1[[#This Row],[Tag do Cabo]],'Lançamento de Cabos'!AE:AK,7,0),0)</f>
        <v>0</v>
      </c>
      <c r="AI342" s="262" t="s">
        <v>680</v>
      </c>
      <c r="AJ342" s="212" t="s">
        <v>160</v>
      </c>
      <c r="AK342" s="46">
        <v>923841</v>
      </c>
    </row>
    <row r="343" spans="1:38" s="262" customFormat="1" ht="17.25" customHeight="1" x14ac:dyDescent="0.2">
      <c r="A343" s="168" t="s">
        <v>1081</v>
      </c>
      <c r="B343" s="391" t="s">
        <v>101</v>
      </c>
      <c r="C343" s="391" t="s">
        <v>92</v>
      </c>
      <c r="D343" s="391" t="s">
        <v>92</v>
      </c>
      <c r="E343" s="3" t="s">
        <v>102</v>
      </c>
      <c r="F343" s="11" t="s">
        <v>92</v>
      </c>
      <c r="G343" s="391">
        <v>1</v>
      </c>
      <c r="H343" s="391">
        <v>2.5</v>
      </c>
      <c r="I343" s="391">
        <v>2.5</v>
      </c>
      <c r="J343" s="391" t="s">
        <v>103</v>
      </c>
      <c r="K343" s="262" t="s">
        <v>1076</v>
      </c>
      <c r="L343" s="262" t="s">
        <v>648</v>
      </c>
      <c r="M343" s="22" t="s">
        <v>86</v>
      </c>
      <c r="N343" s="22" t="s">
        <v>86</v>
      </c>
      <c r="O343" s="22" t="s">
        <v>86</v>
      </c>
      <c r="P343" s="22" t="s">
        <v>86</v>
      </c>
      <c r="Q343" s="91" t="s">
        <v>304</v>
      </c>
      <c r="R343" s="391">
        <f>SUMIF('Lançamento de Cabos'!$B:$B,Tabela1[[#This Row],[Tag do Cabo]],'Lançamento de Cabos'!$C:$C)</f>
        <v>0</v>
      </c>
      <c r="S343" s="391">
        <f>VLOOKUP(Tabela1[[#This Row],[Tag do Cabo]],'Diagramas Ligações'!A:V,14,0)</f>
        <v>2</v>
      </c>
      <c r="T343" s="262" t="s">
        <v>446</v>
      </c>
      <c r="U343" s="391">
        <v>1</v>
      </c>
      <c r="V343" s="391" t="s">
        <v>107</v>
      </c>
      <c r="W343" s="391" t="s">
        <v>1067</v>
      </c>
      <c r="X343" s="32">
        <v>44177</v>
      </c>
      <c r="Y343" s="32">
        <v>44207</v>
      </c>
      <c r="Z343" s="3" t="s">
        <v>1082</v>
      </c>
      <c r="AA343" s="45" t="s">
        <v>1083</v>
      </c>
      <c r="AB34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3" s="262" t="s">
        <v>1053</v>
      </c>
      <c r="AD343" s="391">
        <f>IF(Tabela1[[#This Row],[Qtde. Lançada]]&gt;Tabela1[[#This Row],[Comprimento Total]],Tabela1[[#This Row],[Qtde. Lançada]],Tabela1[[#This Row],[Comprimento Total]])</f>
        <v>2.5</v>
      </c>
      <c r="AE343" s="391" t="s">
        <v>92</v>
      </c>
      <c r="AF343" s="391" t="s">
        <v>1054</v>
      </c>
      <c r="AG343" s="391">
        <f ca="1">SUMIF('Lançamento de Cabos'!AE:AK,Tabela1[[#This Row],[Tag do Cabo]],'Lançamento de Cabos'!AG:AG)</f>
        <v>0</v>
      </c>
      <c r="AH343" s="29">
        <f>IFERROR(VLOOKUP(Tabela1[[#This Row],[Tag do Cabo]],'Lançamento de Cabos'!AE:AK,7,0),0)</f>
        <v>0</v>
      </c>
      <c r="AI343" s="262" t="s">
        <v>311</v>
      </c>
      <c r="AJ343" s="212"/>
      <c r="AK343" s="46">
        <v>3129018</v>
      </c>
    </row>
    <row r="344" spans="1:38" s="262" customFormat="1" ht="15" customHeight="1" x14ac:dyDescent="0.2">
      <c r="A344" s="168" t="s">
        <v>1084</v>
      </c>
      <c r="B344" s="391" t="s">
        <v>38</v>
      </c>
      <c r="C344" s="391" t="s">
        <v>92</v>
      </c>
      <c r="D344" s="391" t="s">
        <v>92</v>
      </c>
      <c r="E344" s="3" t="s">
        <v>255</v>
      </c>
      <c r="F344" s="11">
        <v>1</v>
      </c>
      <c r="G344" s="391">
        <v>1</v>
      </c>
      <c r="H344" s="391">
        <v>265</v>
      </c>
      <c r="I344" s="391">
        <v>265</v>
      </c>
      <c r="J344" s="391" t="s">
        <v>1054</v>
      </c>
      <c r="K344" s="262" t="s">
        <v>1085</v>
      </c>
      <c r="L344" s="262" t="s">
        <v>1086</v>
      </c>
      <c r="M344" s="22" t="s">
        <v>85</v>
      </c>
      <c r="N344" s="391" t="str">
        <f>"Sim"</f>
        <v>Sim</v>
      </c>
      <c r="O344" s="22" t="s">
        <v>86</v>
      </c>
      <c r="P344" s="22" t="s">
        <v>86</v>
      </c>
      <c r="Q344" s="91" t="s">
        <v>184</v>
      </c>
      <c r="R344" s="391">
        <f>SUMIF('Lançamento de Cabos'!$B:$B,Tabela1[[#This Row],[Tag do Cabo]],'Lançamento de Cabos'!$C:$C)</f>
        <v>265</v>
      </c>
      <c r="S344" s="391">
        <f>VLOOKUP(Tabela1[[#This Row],[Tag do Cabo]],'Diagramas Ligações'!A:V,14,0)</f>
        <v>8</v>
      </c>
      <c r="T344" s="262" t="s">
        <v>1087</v>
      </c>
      <c r="U344" s="391">
        <v>3</v>
      </c>
      <c r="V344" s="391" t="s">
        <v>186</v>
      </c>
      <c r="W344" s="391" t="s">
        <v>1088</v>
      </c>
      <c r="X344" s="32">
        <v>44155</v>
      </c>
      <c r="Y344" s="32">
        <v>44161</v>
      </c>
      <c r="Z344" s="3" t="s">
        <v>1089</v>
      </c>
      <c r="AA344" s="45">
        <v>125</v>
      </c>
      <c r="AB34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4" s="262" t="s">
        <v>189</v>
      </c>
      <c r="AD344" s="391">
        <f>IF(Tabela1[[#This Row],[Qtde. Lançada]]&gt;Tabela1[[#This Row],[Comprimento Total]],Tabela1[[#This Row],[Qtde. Lançada]],Tabela1[[#This Row],[Comprimento Total]])</f>
        <v>265</v>
      </c>
      <c r="AE344" s="262" t="s">
        <v>190</v>
      </c>
      <c r="AF344" s="391" t="s">
        <v>1090</v>
      </c>
      <c r="AG344" s="391">
        <f ca="1">SUMIF('Lançamento de Cabos'!AE:AK,Tabela1[[#This Row],[Tag do Cabo]],'Lançamento de Cabos'!AG:AG)</f>
        <v>0</v>
      </c>
      <c r="AH344" s="29">
        <f>IFERROR(VLOOKUP(Tabela1[[#This Row],[Tag do Cabo]],'Lançamento de Cabos'!AE:AK,7,0),0)</f>
        <v>0</v>
      </c>
      <c r="AI344" s="262" t="s">
        <v>259</v>
      </c>
      <c r="AJ344" s="212" t="s">
        <v>661</v>
      </c>
      <c r="AK344" s="46">
        <v>1423312</v>
      </c>
    </row>
    <row r="345" spans="1:38" s="262" customFormat="1" ht="15" customHeight="1" x14ac:dyDescent="0.2">
      <c r="A345" s="168" t="s">
        <v>1091</v>
      </c>
      <c r="B345" s="391" t="s">
        <v>38</v>
      </c>
      <c r="C345" s="391" t="s">
        <v>92</v>
      </c>
      <c r="D345" s="391" t="s">
        <v>92</v>
      </c>
      <c r="E345" s="3" t="s">
        <v>255</v>
      </c>
      <c r="F345" s="11">
        <v>1</v>
      </c>
      <c r="G345" s="391">
        <v>1</v>
      </c>
      <c r="H345" s="391">
        <v>265</v>
      </c>
      <c r="I345" s="391">
        <v>265</v>
      </c>
      <c r="J345" s="391" t="s">
        <v>1054</v>
      </c>
      <c r="K345" s="262" t="s">
        <v>1085</v>
      </c>
      <c r="L345" s="262" t="s">
        <v>1086</v>
      </c>
      <c r="M345" s="22" t="s">
        <v>85</v>
      </c>
      <c r="N345" s="391" t="str">
        <f>"Sim"</f>
        <v>Sim</v>
      </c>
      <c r="O345" s="22" t="s">
        <v>86</v>
      </c>
      <c r="P345" s="22" t="s">
        <v>86</v>
      </c>
      <c r="Q345" s="91" t="s">
        <v>184</v>
      </c>
      <c r="R345" s="391">
        <f>SUMIF('Lançamento de Cabos'!$B:$B,Tabela1[[#This Row],[Tag do Cabo]],'Lançamento de Cabos'!$C:$C)</f>
        <v>265</v>
      </c>
      <c r="S345" s="391">
        <f>VLOOKUP(Tabela1[[#This Row],[Tag do Cabo]],'Diagramas Ligações'!A:V,14,0)</f>
        <v>8</v>
      </c>
      <c r="T345" s="262" t="s">
        <v>1087</v>
      </c>
      <c r="U345" s="391">
        <v>3</v>
      </c>
      <c r="V345" s="391" t="s">
        <v>186</v>
      </c>
      <c r="W345" s="391" t="s">
        <v>1088</v>
      </c>
      <c r="X345" s="32">
        <v>44155</v>
      </c>
      <c r="Y345" s="32">
        <v>44161</v>
      </c>
      <c r="Z345" s="3" t="s">
        <v>1089</v>
      </c>
      <c r="AA345" s="45">
        <v>125</v>
      </c>
      <c r="AB34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5" s="262" t="s">
        <v>189</v>
      </c>
      <c r="AD345" s="391">
        <f>IF(Tabela1[[#This Row],[Qtde. Lançada]]&gt;Tabela1[[#This Row],[Comprimento Total]],Tabela1[[#This Row],[Qtde. Lançada]],Tabela1[[#This Row],[Comprimento Total]])</f>
        <v>265</v>
      </c>
      <c r="AE345" s="262" t="s">
        <v>190</v>
      </c>
      <c r="AF345" s="391" t="s">
        <v>1090</v>
      </c>
      <c r="AG345" s="391">
        <f ca="1">SUMIF('Lançamento de Cabos'!AE:AK,Tabela1[[#This Row],[Tag do Cabo]],'Lançamento de Cabos'!AG:AG)</f>
        <v>0</v>
      </c>
      <c r="AH345" s="29">
        <f>IFERROR(VLOOKUP(Tabela1[[#This Row],[Tag do Cabo]],'Lançamento de Cabos'!AE:AK,7,0),0)</f>
        <v>0</v>
      </c>
      <c r="AI345" s="262" t="s">
        <v>259</v>
      </c>
      <c r="AJ345" s="212" t="s">
        <v>1092</v>
      </c>
      <c r="AK345" s="46">
        <v>1423312</v>
      </c>
    </row>
    <row r="346" spans="1:38" s="262" customFormat="1" ht="15" customHeight="1" x14ac:dyDescent="0.2">
      <c r="A346" s="168" t="s">
        <v>1093</v>
      </c>
      <c r="B346" s="391" t="s">
        <v>38</v>
      </c>
      <c r="C346" s="391" t="s">
        <v>92</v>
      </c>
      <c r="D346" s="391" t="s">
        <v>92</v>
      </c>
      <c r="E346" s="3" t="s">
        <v>347</v>
      </c>
      <c r="F346" s="11">
        <v>1</v>
      </c>
      <c r="G346" s="391">
        <v>1</v>
      </c>
      <c r="H346" s="391">
        <v>265</v>
      </c>
      <c r="I346" s="391">
        <v>265</v>
      </c>
      <c r="J346" s="391" t="s">
        <v>1054</v>
      </c>
      <c r="K346" s="262" t="s">
        <v>1094</v>
      </c>
      <c r="L346" s="262" t="s">
        <v>1086</v>
      </c>
      <c r="M346" s="22" t="s">
        <v>85</v>
      </c>
      <c r="N346" s="391" t="str">
        <f>"Sim"</f>
        <v>Sim</v>
      </c>
      <c r="O346" s="22" t="s">
        <v>86</v>
      </c>
      <c r="P346" s="22" t="s">
        <v>86</v>
      </c>
      <c r="Q346" s="91" t="s">
        <v>184</v>
      </c>
      <c r="R346" s="391">
        <f>SUMIF('Lançamento de Cabos'!$B:$B,Tabela1[[#This Row],[Tag do Cabo]],'Lançamento de Cabos'!$C:$C)</f>
        <v>265</v>
      </c>
      <c r="S346" s="391">
        <f>VLOOKUP(Tabela1[[#This Row],[Tag do Cabo]],'Diagramas Ligações'!A:V,14,0)</f>
        <v>8</v>
      </c>
      <c r="T346" s="262" t="s">
        <v>1087</v>
      </c>
      <c r="U346" s="391">
        <v>3</v>
      </c>
      <c r="V346" s="391" t="s">
        <v>186</v>
      </c>
      <c r="W346" s="391" t="s">
        <v>1088</v>
      </c>
      <c r="X346" s="32">
        <v>44155</v>
      </c>
      <c r="Y346" s="32">
        <v>44161</v>
      </c>
      <c r="Z346" s="3" t="s">
        <v>1089</v>
      </c>
      <c r="AA346" s="45">
        <v>125</v>
      </c>
      <c r="AB34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6" s="262" t="s">
        <v>189</v>
      </c>
      <c r="AD346" s="391">
        <f>IF(Tabela1[[#This Row],[Qtde. Lançada]]&gt;Tabela1[[#This Row],[Comprimento Total]],Tabela1[[#This Row],[Qtde. Lançada]],Tabela1[[#This Row],[Comprimento Total]])</f>
        <v>265</v>
      </c>
      <c r="AE346" s="262" t="s">
        <v>190</v>
      </c>
      <c r="AF346" s="391" t="s">
        <v>1090</v>
      </c>
      <c r="AG346" s="391">
        <f ca="1">SUMIF('Lançamento de Cabos'!AE:AK,Tabela1[[#This Row],[Tag do Cabo]],'Lançamento de Cabos'!AG:AG)</f>
        <v>0</v>
      </c>
      <c r="AH346" s="29">
        <f>IFERROR(VLOOKUP(Tabela1[[#This Row],[Tag do Cabo]],'Lançamento de Cabos'!AE:AK,7,0),0)</f>
        <v>0</v>
      </c>
      <c r="AI346" s="262" t="s">
        <v>259</v>
      </c>
      <c r="AJ346" s="212" t="s">
        <v>824</v>
      </c>
      <c r="AK346" s="46">
        <v>1423312</v>
      </c>
    </row>
    <row r="347" spans="1:38" s="262" customFormat="1" ht="15" customHeight="1" x14ac:dyDescent="0.2">
      <c r="A347" s="168" t="s">
        <v>1095</v>
      </c>
      <c r="B347" s="391" t="s">
        <v>38</v>
      </c>
      <c r="C347" s="391" t="s">
        <v>92</v>
      </c>
      <c r="D347" s="391" t="s">
        <v>92</v>
      </c>
      <c r="E347" s="3" t="s">
        <v>255</v>
      </c>
      <c r="F347" s="11">
        <v>1</v>
      </c>
      <c r="G347" s="391">
        <v>1</v>
      </c>
      <c r="H347" s="391">
        <v>265</v>
      </c>
      <c r="I347" s="391">
        <v>265</v>
      </c>
      <c r="J347" s="391" t="s">
        <v>1054</v>
      </c>
      <c r="K347" s="262" t="s">
        <v>1094</v>
      </c>
      <c r="L347" s="262" t="s">
        <v>1086</v>
      </c>
      <c r="M347" s="22" t="s">
        <v>85</v>
      </c>
      <c r="N347" s="391" t="str">
        <f>"Sim"</f>
        <v>Sim</v>
      </c>
      <c r="O347" s="22" t="s">
        <v>86</v>
      </c>
      <c r="P347" s="22" t="s">
        <v>86</v>
      </c>
      <c r="Q347" s="91" t="s">
        <v>184</v>
      </c>
      <c r="R347" s="391">
        <f>SUMIF('Lançamento de Cabos'!$B:$B,Tabela1[[#This Row],[Tag do Cabo]],'Lançamento de Cabos'!$C:$C)</f>
        <v>265</v>
      </c>
      <c r="S347" s="391">
        <f>VLOOKUP(Tabela1[[#This Row],[Tag do Cabo]],'Diagramas Ligações'!A:V,14,0)</f>
        <v>8</v>
      </c>
      <c r="T347" s="262" t="s">
        <v>1087</v>
      </c>
      <c r="U347" s="391">
        <v>3</v>
      </c>
      <c r="V347" s="391" t="s">
        <v>186</v>
      </c>
      <c r="W347" s="391" t="s">
        <v>1088</v>
      </c>
      <c r="X347" s="32">
        <v>44155</v>
      </c>
      <c r="Y347" s="32">
        <v>44161</v>
      </c>
      <c r="Z347" s="3" t="s">
        <v>1096</v>
      </c>
      <c r="AA347" s="45">
        <v>125</v>
      </c>
      <c r="AB34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7" s="262" t="s">
        <v>189</v>
      </c>
      <c r="AD347" s="391">
        <f>IF(Tabela1[[#This Row],[Qtde. Lançada]]&gt;Tabela1[[#This Row],[Comprimento Total]],Tabela1[[#This Row],[Qtde. Lançada]],Tabela1[[#This Row],[Comprimento Total]])</f>
        <v>265</v>
      </c>
      <c r="AE347" s="262" t="s">
        <v>190</v>
      </c>
      <c r="AF347" s="391" t="s">
        <v>1090</v>
      </c>
      <c r="AG347" s="391">
        <f ca="1">SUMIF('Lançamento de Cabos'!AE:AK,Tabela1[[#This Row],[Tag do Cabo]],'Lançamento de Cabos'!AG:AG)</f>
        <v>0</v>
      </c>
      <c r="AH347" s="29">
        <f>IFERROR(VLOOKUP(Tabela1[[#This Row],[Tag do Cabo]],'Lançamento de Cabos'!AE:AK,7,0),0)</f>
        <v>0</v>
      </c>
      <c r="AI347" s="262" t="s">
        <v>259</v>
      </c>
      <c r="AJ347" s="212" t="s">
        <v>836</v>
      </c>
      <c r="AK347" s="46">
        <v>1423312</v>
      </c>
    </row>
    <row r="348" spans="1:38" s="262" customFormat="1" ht="15" customHeight="1" x14ac:dyDescent="0.2">
      <c r="A348" s="347" t="s">
        <v>1097</v>
      </c>
      <c r="B348" s="348" t="s">
        <v>37</v>
      </c>
      <c r="C348" s="348">
        <v>120</v>
      </c>
      <c r="D348" s="348" t="s">
        <v>80</v>
      </c>
      <c r="E348" s="349" t="s">
        <v>81</v>
      </c>
      <c r="F348" s="350">
        <v>4</v>
      </c>
      <c r="G348" s="348">
        <v>1</v>
      </c>
      <c r="H348" s="348">
        <v>170</v>
      </c>
      <c r="I348" s="348">
        <v>170</v>
      </c>
      <c r="J348" s="348" t="s">
        <v>1098</v>
      </c>
      <c r="K348" s="346" t="s">
        <v>236</v>
      </c>
      <c r="L348" s="346" t="s">
        <v>1099</v>
      </c>
      <c r="M348" s="351" t="s">
        <v>85</v>
      </c>
      <c r="N348" s="351" t="s">
        <v>86</v>
      </c>
      <c r="O348" s="348" t="str">
        <f>"Sim"</f>
        <v>Sim</v>
      </c>
      <c r="P348" s="351" t="s">
        <v>86</v>
      </c>
      <c r="Q348" s="352" t="s">
        <v>87</v>
      </c>
      <c r="R348" s="348">
        <f>SUMIF('Lançamento de Cabos'!$B:$B,Tabela1[[#This Row],[Tag do Cabo]],'Lançamento de Cabos'!$C:$C)</f>
        <v>170</v>
      </c>
      <c r="S348" s="348">
        <f>VLOOKUP(Tabela1[[#This Row],[Tag do Cabo]],'Diagramas Ligações'!A:V,14,0)</f>
        <v>4</v>
      </c>
      <c r="T348" s="346" t="s">
        <v>88</v>
      </c>
      <c r="U348" s="348">
        <v>5</v>
      </c>
      <c r="V348" s="348"/>
      <c r="W348" s="348" t="s">
        <v>1100</v>
      </c>
      <c r="X348" s="353">
        <v>44177</v>
      </c>
      <c r="Y348" s="353">
        <v>44218</v>
      </c>
      <c r="Z348" s="354" t="s">
        <v>108</v>
      </c>
      <c r="AA348" s="355">
        <v>178</v>
      </c>
      <c r="AB348" s="348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8" s="346" t="s">
        <v>1101</v>
      </c>
      <c r="AD348" s="348">
        <f>IF(Tabela1[[#This Row],[Qtde. Lançada]]&gt;Tabela1[[#This Row],[Comprimento Total]],Tabela1[[#This Row],[Qtde. Lançada]],Tabela1[[#This Row],[Comprimento Total]])</f>
        <v>170</v>
      </c>
      <c r="AE348" s="348" t="s">
        <v>92</v>
      </c>
      <c r="AF348" s="348" t="s">
        <v>1102</v>
      </c>
      <c r="AG348" s="348">
        <f ca="1">SUMIF('Lançamento de Cabos'!AE:AK,Tabela1[[#This Row],[Tag do Cabo]],'Lançamento de Cabos'!AG:AG)</f>
        <v>0</v>
      </c>
      <c r="AH348" s="356">
        <f>IFERROR(VLOOKUP(Tabela1[[#This Row],[Tag do Cabo]],'Lançamento de Cabos'!AE:AK,7,0),0)</f>
        <v>0</v>
      </c>
      <c r="AI348" s="346" t="s">
        <v>1068</v>
      </c>
      <c r="AJ348" s="357" t="s">
        <v>205</v>
      </c>
      <c r="AK348" s="358">
        <v>3160463</v>
      </c>
      <c r="AL348" s="359" t="s">
        <v>945</v>
      </c>
    </row>
    <row r="349" spans="1:38" s="262" customFormat="1" ht="15" customHeight="1" x14ac:dyDescent="0.2">
      <c r="A349" s="168" t="s">
        <v>1103</v>
      </c>
      <c r="B349" s="391" t="s">
        <v>38</v>
      </c>
      <c r="C349" s="391">
        <v>125</v>
      </c>
      <c r="D349" s="391" t="s">
        <v>80</v>
      </c>
      <c r="E349" s="3" t="s">
        <v>1104</v>
      </c>
      <c r="F349" s="11">
        <v>2.5</v>
      </c>
      <c r="G349" s="391">
        <v>1</v>
      </c>
      <c r="H349" s="391">
        <v>170</v>
      </c>
      <c r="I349" s="391">
        <v>170</v>
      </c>
      <c r="J349" s="391" t="s">
        <v>1098</v>
      </c>
      <c r="K349" s="262" t="s">
        <v>1105</v>
      </c>
      <c r="L349" s="262" t="s">
        <v>1106</v>
      </c>
      <c r="M349" s="22" t="s">
        <v>85</v>
      </c>
      <c r="N349" s="391" t="str">
        <f>"Sim"</f>
        <v>Sim</v>
      </c>
      <c r="O349" s="22" t="s">
        <v>86</v>
      </c>
      <c r="P349" s="22" t="s">
        <v>86</v>
      </c>
      <c r="Q349" s="91" t="s">
        <v>139</v>
      </c>
      <c r="R349" s="391">
        <f>SUMIF('Lançamento de Cabos'!$B:$B,Tabela1[[#This Row],[Tag do Cabo]],'Lançamento de Cabos'!$C:$C)</f>
        <v>170</v>
      </c>
      <c r="S349" s="391">
        <f>VLOOKUP(Tabela1[[#This Row],[Tag do Cabo]],'Diagramas Ligações'!A:V,14,0)</f>
        <v>4</v>
      </c>
      <c r="T349" s="262" t="s">
        <v>88</v>
      </c>
      <c r="U349" s="391">
        <v>5</v>
      </c>
      <c r="V349" s="391" t="s">
        <v>140</v>
      </c>
      <c r="W349" s="391" t="s">
        <v>1100</v>
      </c>
      <c r="X349" s="32">
        <v>44177</v>
      </c>
      <c r="Y349" s="32">
        <v>44218</v>
      </c>
      <c r="Z349" s="31" t="s">
        <v>108</v>
      </c>
      <c r="AA349" s="45">
        <v>70</v>
      </c>
      <c r="AB34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49" s="262" t="s">
        <v>1101</v>
      </c>
      <c r="AD349" s="391">
        <f>IF(Tabela1[[#This Row],[Qtde. Lançada]]&gt;Tabela1[[#This Row],[Comprimento Total]],Tabela1[[#This Row],[Qtde. Lançada]],Tabela1[[#This Row],[Comprimento Total]])</f>
        <v>170</v>
      </c>
      <c r="AE349" s="391" t="s">
        <v>92</v>
      </c>
      <c r="AF349" s="391" t="s">
        <v>1102</v>
      </c>
      <c r="AG349" s="391">
        <f ca="1">SUMIF('Lançamento de Cabos'!AE:AK,Tabela1[[#This Row],[Tag do Cabo]],'Lançamento de Cabos'!AG:AG)</f>
        <v>0</v>
      </c>
      <c r="AH349" s="29">
        <f>IFERROR(VLOOKUP(Tabela1[[#This Row],[Tag do Cabo]],'Lançamento de Cabos'!AE:AK,7,0),0)</f>
        <v>0</v>
      </c>
      <c r="AI349" s="262" t="s">
        <v>1068</v>
      </c>
      <c r="AJ349" s="212" t="s">
        <v>205</v>
      </c>
      <c r="AK349" s="46">
        <v>49726</v>
      </c>
    </row>
    <row r="350" spans="1:38" s="262" customFormat="1" ht="15" customHeight="1" x14ac:dyDescent="0.2">
      <c r="A350" s="168" t="s">
        <v>1107</v>
      </c>
      <c r="B350" s="391" t="s">
        <v>37</v>
      </c>
      <c r="C350" s="391">
        <v>480</v>
      </c>
      <c r="D350" s="391" t="s">
        <v>80</v>
      </c>
      <c r="E350" s="3" t="s">
        <v>1108</v>
      </c>
      <c r="F350" s="11">
        <v>70</v>
      </c>
      <c r="G350" s="391">
        <v>1</v>
      </c>
      <c r="H350" s="391">
        <v>170</v>
      </c>
      <c r="I350" s="391">
        <v>170</v>
      </c>
      <c r="J350" s="391" t="s">
        <v>1098</v>
      </c>
      <c r="K350" s="262" t="s">
        <v>1109</v>
      </c>
      <c r="L350" s="262" t="s">
        <v>1110</v>
      </c>
      <c r="M350" s="22" t="s">
        <v>85</v>
      </c>
      <c r="N350" s="22" t="s">
        <v>86</v>
      </c>
      <c r="O350" s="391" t="str">
        <f>"Sim"</f>
        <v>Sim</v>
      </c>
      <c r="P350" s="22" t="s">
        <v>86</v>
      </c>
      <c r="Q350" s="91" t="s">
        <v>414</v>
      </c>
      <c r="R350" s="391">
        <f>SUMIF('Lançamento de Cabos'!$B:$B,Tabela1[[#This Row],[Tag do Cabo]],'Lançamento de Cabos'!$C:$C)</f>
        <v>170</v>
      </c>
      <c r="S350" s="391">
        <f>VLOOKUP(Tabela1[[#This Row],[Tag do Cabo]],'Diagramas Ligações'!A:V,14,0)</f>
        <v>6</v>
      </c>
      <c r="T350" s="262" t="s">
        <v>88</v>
      </c>
      <c r="U350" s="391">
        <v>5</v>
      </c>
      <c r="V350" s="391"/>
      <c r="W350" s="391" t="s">
        <v>1100</v>
      </c>
      <c r="X350" s="32">
        <v>44177</v>
      </c>
      <c r="Y350" s="32">
        <v>44218</v>
      </c>
      <c r="Z350" s="31" t="s">
        <v>1111</v>
      </c>
      <c r="AA350" s="45">
        <v>226</v>
      </c>
      <c r="AB35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0" s="262" t="s">
        <v>1101</v>
      </c>
      <c r="AD350" s="391">
        <f>IF(Tabela1[[#This Row],[Qtde. Lançada]]&gt;Tabela1[[#This Row],[Comprimento Total]],Tabela1[[#This Row],[Qtde. Lançada]],Tabela1[[#This Row],[Comprimento Total]])</f>
        <v>170</v>
      </c>
      <c r="AE350" s="391" t="s">
        <v>92</v>
      </c>
      <c r="AF350" s="391" t="s">
        <v>1102</v>
      </c>
      <c r="AG350" s="391">
        <f ca="1">SUMIF('Lançamento de Cabos'!AE:AK,Tabela1[[#This Row],[Tag do Cabo]],'Lançamento de Cabos'!AG:AG)</f>
        <v>0</v>
      </c>
      <c r="AH350" s="29">
        <f>IFERROR(VLOOKUP(Tabela1[[#This Row],[Tag do Cabo]],'Lançamento de Cabos'!AE:AK,7,0),0)</f>
        <v>0</v>
      </c>
      <c r="AI350" s="262" t="s">
        <v>1068</v>
      </c>
      <c r="AJ350" s="212" t="s">
        <v>205</v>
      </c>
      <c r="AK350" s="46">
        <v>342581</v>
      </c>
    </row>
    <row r="351" spans="1:38" s="262" customFormat="1" ht="15" customHeight="1" x14ac:dyDescent="0.2">
      <c r="A351" s="347" t="s">
        <v>1112</v>
      </c>
      <c r="B351" s="348" t="s">
        <v>37</v>
      </c>
      <c r="C351" s="348">
        <v>120</v>
      </c>
      <c r="D351" s="348" t="s">
        <v>80</v>
      </c>
      <c r="E351" s="349" t="s">
        <v>81</v>
      </c>
      <c r="F351" s="350">
        <v>4</v>
      </c>
      <c r="G351" s="348">
        <v>1</v>
      </c>
      <c r="H351" s="348">
        <v>170</v>
      </c>
      <c r="I351" s="348">
        <v>170</v>
      </c>
      <c r="J351" s="348" t="s">
        <v>1098</v>
      </c>
      <c r="K351" s="346" t="s">
        <v>236</v>
      </c>
      <c r="L351" s="346" t="s">
        <v>1113</v>
      </c>
      <c r="M351" s="351" t="s">
        <v>85</v>
      </c>
      <c r="N351" s="351" t="s">
        <v>86</v>
      </c>
      <c r="O351" s="348" t="str">
        <f>"Sim"</f>
        <v>Sim</v>
      </c>
      <c r="P351" s="351" t="s">
        <v>86</v>
      </c>
      <c r="Q351" s="352" t="s">
        <v>87</v>
      </c>
      <c r="R351" s="348">
        <f>SUMIF('Lançamento de Cabos'!$B:$B,Tabela1[[#This Row],[Tag do Cabo]],'Lançamento de Cabos'!$C:$C)</f>
        <v>170</v>
      </c>
      <c r="S351" s="348">
        <f>VLOOKUP(Tabela1[[#This Row],[Tag do Cabo]],'Diagramas Ligações'!A:V,14,0)</f>
        <v>4</v>
      </c>
      <c r="T351" s="346" t="s">
        <v>88</v>
      </c>
      <c r="U351" s="348">
        <v>5</v>
      </c>
      <c r="V351" s="348"/>
      <c r="W351" s="348" t="s">
        <v>1114</v>
      </c>
      <c r="X351" s="353">
        <v>44177</v>
      </c>
      <c r="Y351" s="353">
        <v>44218</v>
      </c>
      <c r="Z351" s="354" t="s">
        <v>1115</v>
      </c>
      <c r="AA351" s="355">
        <v>225</v>
      </c>
      <c r="AB351" s="348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1" s="346" t="s">
        <v>1101</v>
      </c>
      <c r="AD351" s="348">
        <f>IF(Tabela1[[#This Row],[Qtde. Lançada]]&gt;Tabela1[[#This Row],[Comprimento Total]],Tabela1[[#This Row],[Qtde. Lançada]],Tabela1[[#This Row],[Comprimento Total]])</f>
        <v>170</v>
      </c>
      <c r="AE351" s="348" t="s">
        <v>92</v>
      </c>
      <c r="AF351" s="348" t="s">
        <v>1102</v>
      </c>
      <c r="AG351" s="348">
        <f ca="1">SUMIF('Lançamento de Cabos'!AE:AK,Tabela1[[#This Row],[Tag do Cabo]],'Lançamento de Cabos'!AG:AG)</f>
        <v>0</v>
      </c>
      <c r="AH351" s="356">
        <f>IFERROR(VLOOKUP(Tabela1[[#This Row],[Tag do Cabo]],'Lançamento de Cabos'!AE:AK,7,0),0)</f>
        <v>0</v>
      </c>
      <c r="AI351" s="346" t="s">
        <v>1068</v>
      </c>
      <c r="AJ351" s="357" t="s">
        <v>202</v>
      </c>
      <c r="AK351" s="358">
        <v>3160463</v>
      </c>
      <c r="AL351" s="359" t="s">
        <v>945</v>
      </c>
    </row>
    <row r="352" spans="1:38" s="262" customFormat="1" ht="15" customHeight="1" x14ac:dyDescent="0.2">
      <c r="A352" s="168" t="s">
        <v>1116</v>
      </c>
      <c r="B352" s="391" t="s">
        <v>38</v>
      </c>
      <c r="C352" s="391">
        <v>125</v>
      </c>
      <c r="D352" s="391" t="s">
        <v>80</v>
      </c>
      <c r="E352" s="3" t="s">
        <v>1104</v>
      </c>
      <c r="F352" s="11">
        <v>2.5</v>
      </c>
      <c r="G352" s="391">
        <v>1</v>
      </c>
      <c r="H352" s="391">
        <v>170</v>
      </c>
      <c r="I352" s="391">
        <v>170</v>
      </c>
      <c r="J352" s="391" t="s">
        <v>1098</v>
      </c>
      <c r="K352" s="262" t="s">
        <v>1109</v>
      </c>
      <c r="L352" s="262" t="s">
        <v>1117</v>
      </c>
      <c r="M352" s="22" t="s">
        <v>85</v>
      </c>
      <c r="N352" s="391" t="str">
        <f>"Sim"</f>
        <v>Sim</v>
      </c>
      <c r="O352" s="22" t="s">
        <v>86</v>
      </c>
      <c r="P352" s="22" t="s">
        <v>86</v>
      </c>
      <c r="Q352" s="91" t="s">
        <v>139</v>
      </c>
      <c r="R352" s="391">
        <f>SUMIF('Lançamento de Cabos'!$B:$B,Tabela1[[#This Row],[Tag do Cabo]],'Lançamento de Cabos'!$C:$C)</f>
        <v>170</v>
      </c>
      <c r="S352" s="391">
        <f>VLOOKUP(Tabela1[[#This Row],[Tag do Cabo]],'Diagramas Ligações'!A:V,14,0)</f>
        <v>4</v>
      </c>
      <c r="T352" s="262" t="s">
        <v>88</v>
      </c>
      <c r="U352" s="391">
        <v>5</v>
      </c>
      <c r="V352" s="391" t="s">
        <v>140</v>
      </c>
      <c r="W352" s="391" t="s">
        <v>1114</v>
      </c>
      <c r="X352" s="32">
        <v>44177</v>
      </c>
      <c r="Y352" s="32">
        <v>44218</v>
      </c>
      <c r="Z352" s="31" t="s">
        <v>108</v>
      </c>
      <c r="AA352" s="45">
        <v>70</v>
      </c>
      <c r="AB35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2" s="262" t="s">
        <v>1101</v>
      </c>
      <c r="AD352" s="391">
        <f>IF(Tabela1[[#This Row],[Qtde. Lançada]]&gt;Tabela1[[#This Row],[Comprimento Total]],Tabela1[[#This Row],[Qtde. Lançada]],Tabela1[[#This Row],[Comprimento Total]])</f>
        <v>170</v>
      </c>
      <c r="AE352" s="391" t="s">
        <v>92</v>
      </c>
      <c r="AF352" s="391" t="s">
        <v>1102</v>
      </c>
      <c r="AG352" s="391">
        <f ca="1">SUMIF('Lançamento de Cabos'!AE:AK,Tabela1[[#This Row],[Tag do Cabo]],'Lançamento de Cabos'!AG:AG)</f>
        <v>0</v>
      </c>
      <c r="AH352" s="29">
        <f>IFERROR(VLOOKUP(Tabela1[[#This Row],[Tag do Cabo]],'Lançamento de Cabos'!AE:AK,7,0),0)</f>
        <v>0</v>
      </c>
      <c r="AI352" s="262" t="s">
        <v>1068</v>
      </c>
      <c r="AJ352" s="212" t="s">
        <v>202</v>
      </c>
      <c r="AK352" s="46">
        <v>49726</v>
      </c>
    </row>
    <row r="353" spans="1:37" s="262" customFormat="1" ht="15" customHeight="1" x14ac:dyDescent="0.2">
      <c r="A353" s="168" t="s">
        <v>1118</v>
      </c>
      <c r="B353" s="391" t="s">
        <v>37</v>
      </c>
      <c r="C353" s="391">
        <v>480</v>
      </c>
      <c r="D353" s="391" t="s">
        <v>80</v>
      </c>
      <c r="E353" s="3" t="s">
        <v>1108</v>
      </c>
      <c r="F353" s="11">
        <v>70</v>
      </c>
      <c r="G353" s="391">
        <v>1</v>
      </c>
      <c r="H353" s="391">
        <v>170</v>
      </c>
      <c r="I353" s="391">
        <v>170</v>
      </c>
      <c r="J353" s="391" t="s">
        <v>1098</v>
      </c>
      <c r="K353" s="262" t="s">
        <v>1109</v>
      </c>
      <c r="L353" s="262" t="s">
        <v>1119</v>
      </c>
      <c r="M353" s="22" t="s">
        <v>85</v>
      </c>
      <c r="N353" s="22" t="s">
        <v>86</v>
      </c>
      <c r="O353" s="391" t="str">
        <f>"Sim"</f>
        <v>Sim</v>
      </c>
      <c r="P353" s="22" t="s">
        <v>86</v>
      </c>
      <c r="Q353" s="91" t="s">
        <v>414</v>
      </c>
      <c r="R353" s="391">
        <f>SUMIF('Lançamento de Cabos'!$B:$B,Tabela1[[#This Row],[Tag do Cabo]],'Lançamento de Cabos'!$C:$C)</f>
        <v>170</v>
      </c>
      <c r="S353" s="391">
        <f>VLOOKUP(Tabela1[[#This Row],[Tag do Cabo]],'Diagramas Ligações'!A:V,14,0)</f>
        <v>6</v>
      </c>
      <c r="T353" s="262" t="s">
        <v>88</v>
      </c>
      <c r="U353" s="391">
        <v>5</v>
      </c>
      <c r="V353" s="391"/>
      <c r="W353" s="391" t="s">
        <v>1114</v>
      </c>
      <c r="X353" s="32">
        <v>44177</v>
      </c>
      <c r="Y353" s="32">
        <v>44218</v>
      </c>
      <c r="Z353" s="31" t="s">
        <v>108</v>
      </c>
      <c r="AA353" s="45">
        <v>8</v>
      </c>
      <c r="AB35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3" s="262" t="s">
        <v>1101</v>
      </c>
      <c r="AD353" s="391">
        <f>IF(Tabela1[[#This Row],[Qtde. Lançada]]&gt;Tabela1[[#This Row],[Comprimento Total]],Tabela1[[#This Row],[Qtde. Lançada]],Tabela1[[#This Row],[Comprimento Total]])</f>
        <v>170</v>
      </c>
      <c r="AE353" s="391" t="s">
        <v>92</v>
      </c>
      <c r="AF353" s="391" t="s">
        <v>1102</v>
      </c>
      <c r="AG353" s="391">
        <f ca="1">SUMIF('Lançamento de Cabos'!AE:AK,Tabela1[[#This Row],[Tag do Cabo]],'Lançamento de Cabos'!AG:AG)</f>
        <v>0</v>
      </c>
      <c r="AH353" s="29">
        <f>IFERROR(VLOOKUP(Tabela1[[#This Row],[Tag do Cabo]],'Lançamento de Cabos'!AE:AK,7,0),0)</f>
        <v>0</v>
      </c>
      <c r="AI353" s="262" t="s">
        <v>1068</v>
      </c>
      <c r="AJ353" s="212" t="s">
        <v>202</v>
      </c>
      <c r="AK353" s="46">
        <v>342581</v>
      </c>
    </row>
    <row r="354" spans="1:37" s="262" customFormat="1" ht="15" customHeight="1" x14ac:dyDescent="0.2">
      <c r="A354" s="168" t="s">
        <v>1120</v>
      </c>
      <c r="B354" s="391" t="s">
        <v>38</v>
      </c>
      <c r="C354" s="391" t="s">
        <v>92</v>
      </c>
      <c r="D354" s="391" t="s">
        <v>92</v>
      </c>
      <c r="E354" s="3" t="s">
        <v>366</v>
      </c>
      <c r="F354" s="11">
        <v>1</v>
      </c>
      <c r="G354" s="391">
        <v>1</v>
      </c>
      <c r="H354" s="391">
        <v>100</v>
      </c>
      <c r="I354" s="391">
        <v>100</v>
      </c>
      <c r="J354" s="391" t="s">
        <v>762</v>
      </c>
      <c r="K354" s="262" t="s">
        <v>1121</v>
      </c>
      <c r="L354" s="262" t="s">
        <v>658</v>
      </c>
      <c r="M354" s="22" t="s">
        <v>85</v>
      </c>
      <c r="N354" s="391" t="str">
        <f t="shared" ref="N354:N370" si="11">"Sim"</f>
        <v>Sim</v>
      </c>
      <c r="O354" s="22" t="s">
        <v>86</v>
      </c>
      <c r="P354" s="22" t="s">
        <v>86</v>
      </c>
      <c r="Q354" s="91" t="s">
        <v>321</v>
      </c>
      <c r="R354" s="391">
        <f>SUMIF('Lançamento de Cabos'!$B:$B,Tabela1[[#This Row],[Tag do Cabo]],'Lançamento de Cabos'!$C:$C)</f>
        <v>100</v>
      </c>
      <c r="S354" s="391">
        <f>VLOOKUP(Tabela1[[#This Row],[Tag do Cabo]],'Diagramas Ligações'!A:V,14,0)</f>
        <v>22</v>
      </c>
      <c r="T354" s="262" t="s">
        <v>659</v>
      </c>
      <c r="U354" s="391">
        <v>6</v>
      </c>
      <c r="V354" s="391" t="s">
        <v>186</v>
      </c>
      <c r="W354" s="391" t="s">
        <v>1059</v>
      </c>
      <c r="X354" s="32">
        <v>44177</v>
      </c>
      <c r="Y354" s="32">
        <v>44210</v>
      </c>
      <c r="Z354" s="3" t="s">
        <v>1122</v>
      </c>
      <c r="AA354" s="45">
        <v>3</v>
      </c>
      <c r="AB35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4" s="262" t="s">
        <v>1123</v>
      </c>
      <c r="AD354" s="391">
        <f>IF(Tabela1[[#This Row],[Qtde. Lançada]]&gt;Tabela1[[#This Row],[Comprimento Total]],Tabela1[[#This Row],[Qtde. Lançada]],Tabela1[[#This Row],[Comprimento Total]])</f>
        <v>100</v>
      </c>
      <c r="AE354" s="262" t="s">
        <v>360</v>
      </c>
      <c r="AF354" s="391" t="s">
        <v>1124</v>
      </c>
      <c r="AG354" s="391">
        <f ca="1">SUMIF('Lançamento de Cabos'!AE:AK,Tabela1[[#This Row],[Tag do Cabo]],'Lançamento de Cabos'!AG:AG)</f>
        <v>0</v>
      </c>
      <c r="AH354" s="29">
        <f>IFERROR(VLOOKUP(Tabela1[[#This Row],[Tag do Cabo]],'Lançamento de Cabos'!AE:AK,7,0),0)</f>
        <v>0</v>
      </c>
      <c r="AI354" s="262" t="s">
        <v>654</v>
      </c>
      <c r="AJ354" s="212">
        <v>5</v>
      </c>
      <c r="AK354" s="46">
        <v>3015008</v>
      </c>
    </row>
    <row r="355" spans="1:37" s="262" customFormat="1" ht="15" customHeight="1" x14ac:dyDescent="0.2">
      <c r="A355" s="168" t="s">
        <v>1125</v>
      </c>
      <c r="B355" s="391" t="s">
        <v>38</v>
      </c>
      <c r="C355" s="391" t="s">
        <v>92</v>
      </c>
      <c r="D355" s="391" t="s">
        <v>92</v>
      </c>
      <c r="E355" s="3" t="s">
        <v>1126</v>
      </c>
      <c r="F355" s="11">
        <v>1</v>
      </c>
      <c r="G355" s="391">
        <v>1</v>
      </c>
      <c r="H355" s="391">
        <v>100</v>
      </c>
      <c r="I355" s="391">
        <v>100</v>
      </c>
      <c r="J355" s="391" t="s">
        <v>762</v>
      </c>
      <c r="K355" s="262" t="s">
        <v>1127</v>
      </c>
      <c r="L355" s="262" t="s">
        <v>658</v>
      </c>
      <c r="M355" s="22" t="s">
        <v>85</v>
      </c>
      <c r="N355" s="391" t="str">
        <f t="shared" si="11"/>
        <v>Sim</v>
      </c>
      <c r="O355" s="22" t="s">
        <v>86</v>
      </c>
      <c r="P355" s="22" t="s">
        <v>86</v>
      </c>
      <c r="Q355" s="91" t="s">
        <v>321</v>
      </c>
      <c r="R355" s="391">
        <f>SUMIF('Lançamento de Cabos'!$B:$B,Tabela1[[#This Row],[Tag do Cabo]],'Lançamento de Cabos'!$C:$C)</f>
        <v>100</v>
      </c>
      <c r="S355" s="391">
        <f>VLOOKUP(Tabela1[[#This Row],[Tag do Cabo]],'Diagramas Ligações'!A:V,14,0)</f>
        <v>60</v>
      </c>
      <c r="T355" s="262" t="s">
        <v>659</v>
      </c>
      <c r="U355" s="391">
        <v>6</v>
      </c>
      <c r="V355" s="391" t="s">
        <v>186</v>
      </c>
      <c r="W355" s="391" t="s">
        <v>1059</v>
      </c>
      <c r="X355" s="32">
        <v>44177</v>
      </c>
      <c r="Y355" s="32">
        <v>44210</v>
      </c>
      <c r="Z355" s="3" t="s">
        <v>1122</v>
      </c>
      <c r="AA355" s="45">
        <v>131</v>
      </c>
      <c r="AB35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5" s="262" t="s">
        <v>1123</v>
      </c>
      <c r="AD355" s="391">
        <f>IF(Tabela1[[#This Row],[Qtde. Lançada]]&gt;Tabela1[[#This Row],[Comprimento Total]],Tabela1[[#This Row],[Qtde. Lançada]],Tabela1[[#This Row],[Comprimento Total]])</f>
        <v>100</v>
      </c>
      <c r="AE355" s="262" t="s">
        <v>360</v>
      </c>
      <c r="AF355" s="391" t="s">
        <v>1124</v>
      </c>
      <c r="AG355" s="391">
        <f ca="1">SUMIF('Lançamento de Cabos'!AE:AK,Tabela1[[#This Row],[Tag do Cabo]],'Lançamento de Cabos'!AG:AG)</f>
        <v>0</v>
      </c>
      <c r="AH355" s="29">
        <f>IFERROR(VLOOKUP(Tabela1[[#This Row],[Tag do Cabo]],'Lançamento de Cabos'!AE:AK,7,0),0)</f>
        <v>0</v>
      </c>
      <c r="AI355" s="262" t="s">
        <v>654</v>
      </c>
      <c r="AJ355" s="212" t="s">
        <v>126</v>
      </c>
      <c r="AK355" s="46">
        <v>3184797</v>
      </c>
    </row>
    <row r="356" spans="1:37" s="262" customFormat="1" ht="15" customHeight="1" x14ac:dyDescent="0.2">
      <c r="A356" s="168" t="s">
        <v>1128</v>
      </c>
      <c r="B356" s="391" t="s">
        <v>38</v>
      </c>
      <c r="C356" s="391" t="s">
        <v>92</v>
      </c>
      <c r="D356" s="391" t="s">
        <v>92</v>
      </c>
      <c r="E356" s="3" t="s">
        <v>347</v>
      </c>
      <c r="F356" s="11">
        <v>1</v>
      </c>
      <c r="G356" s="391">
        <v>1</v>
      </c>
      <c r="H356" s="391">
        <v>100</v>
      </c>
      <c r="I356" s="391">
        <v>100</v>
      </c>
      <c r="J356" s="391" t="s">
        <v>762</v>
      </c>
      <c r="K356" s="262" t="s">
        <v>1129</v>
      </c>
      <c r="L356" s="262" t="s">
        <v>658</v>
      </c>
      <c r="M356" s="22" t="s">
        <v>85</v>
      </c>
      <c r="N356" s="391" t="str">
        <f t="shared" si="11"/>
        <v>Sim</v>
      </c>
      <c r="O356" s="22" t="s">
        <v>86</v>
      </c>
      <c r="P356" s="22" t="s">
        <v>86</v>
      </c>
      <c r="Q356" s="91" t="s">
        <v>184</v>
      </c>
      <c r="R356" s="391">
        <f>SUMIF('Lançamento de Cabos'!$B:$B,Tabela1[[#This Row],[Tag do Cabo]],'Lançamento de Cabos'!$C:$C)</f>
        <v>100</v>
      </c>
      <c r="S356" s="391">
        <f>VLOOKUP(Tabela1[[#This Row],[Tag do Cabo]],'Diagramas Ligações'!A:V,14,0)</f>
        <v>12</v>
      </c>
      <c r="T356" s="262" t="s">
        <v>659</v>
      </c>
      <c r="U356" s="391">
        <v>6</v>
      </c>
      <c r="V356" s="391" t="s">
        <v>186</v>
      </c>
      <c r="W356" s="391" t="s">
        <v>1059</v>
      </c>
      <c r="X356" s="32">
        <v>44177</v>
      </c>
      <c r="Y356" s="32">
        <v>44210</v>
      </c>
      <c r="Z356" s="3" t="s">
        <v>1122</v>
      </c>
      <c r="AA356" s="45">
        <v>125</v>
      </c>
      <c r="AB35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6" s="262" t="s">
        <v>1123</v>
      </c>
      <c r="AD356" s="391">
        <f>IF(Tabela1[[#This Row],[Qtde. Lançada]]&gt;Tabela1[[#This Row],[Comprimento Total]],Tabela1[[#This Row],[Qtde. Lançada]],Tabela1[[#This Row],[Comprimento Total]])</f>
        <v>100</v>
      </c>
      <c r="AE356" s="262" t="s">
        <v>190</v>
      </c>
      <c r="AF356" s="391" t="s">
        <v>1124</v>
      </c>
      <c r="AG356" s="391">
        <f ca="1">SUMIF('Lançamento de Cabos'!AE:AK,Tabela1[[#This Row],[Tag do Cabo]],'Lançamento de Cabos'!AG:AG)</f>
        <v>0</v>
      </c>
      <c r="AH356" s="29">
        <f>IFERROR(VLOOKUP(Tabela1[[#This Row],[Tag do Cabo]],'Lançamento de Cabos'!AE:AK,7,0),0)</f>
        <v>0</v>
      </c>
      <c r="AI356" s="262" t="s">
        <v>654</v>
      </c>
      <c r="AJ356" s="212" t="s">
        <v>141</v>
      </c>
      <c r="AK356" s="46">
        <v>1423312</v>
      </c>
    </row>
    <row r="357" spans="1:37" s="262" customFormat="1" ht="15" customHeight="1" x14ac:dyDescent="0.2">
      <c r="A357" s="168" t="s">
        <v>1130</v>
      </c>
      <c r="B357" s="391" t="s">
        <v>38</v>
      </c>
      <c r="C357" s="391" t="s">
        <v>92</v>
      </c>
      <c r="D357" s="391" t="s">
        <v>92</v>
      </c>
      <c r="E357" s="3" t="s">
        <v>355</v>
      </c>
      <c r="F357" s="11">
        <v>1</v>
      </c>
      <c r="G357" s="391">
        <v>1</v>
      </c>
      <c r="H357" s="391">
        <v>100</v>
      </c>
      <c r="I357" s="391">
        <v>100</v>
      </c>
      <c r="J357" s="391" t="s">
        <v>762</v>
      </c>
      <c r="K357" s="262" t="s">
        <v>1131</v>
      </c>
      <c r="L357" s="262" t="s">
        <v>658</v>
      </c>
      <c r="M357" s="22" t="s">
        <v>85</v>
      </c>
      <c r="N357" s="391" t="str">
        <f t="shared" si="11"/>
        <v>Sim</v>
      </c>
      <c r="O357" s="22" t="s">
        <v>86</v>
      </c>
      <c r="P357" s="22" t="s">
        <v>86</v>
      </c>
      <c r="Q357" s="391" t="s">
        <v>184</v>
      </c>
      <c r="R357" s="391">
        <f>SUMIF('Lançamento de Cabos'!$B:$B,Tabela1[[#This Row],[Tag do Cabo]],'Lançamento de Cabos'!$C:$C)</f>
        <v>100</v>
      </c>
      <c r="S357" s="391">
        <f>VLOOKUP(Tabela1[[#This Row],[Tag do Cabo]],'Diagramas Ligações'!A:V,14,0)</f>
        <v>4</v>
      </c>
      <c r="T357" s="262" t="s">
        <v>659</v>
      </c>
      <c r="U357" s="391">
        <v>6</v>
      </c>
      <c r="V357" s="391" t="s">
        <v>186</v>
      </c>
      <c r="W357" s="391" t="s">
        <v>1059</v>
      </c>
      <c r="X357" s="32">
        <v>44177</v>
      </c>
      <c r="Y357" s="32">
        <v>44210</v>
      </c>
      <c r="Z357" s="3" t="s">
        <v>1122</v>
      </c>
      <c r="AA357" s="45">
        <v>182</v>
      </c>
      <c r="AB35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7" s="262" t="s">
        <v>1123</v>
      </c>
      <c r="AD357" s="391">
        <f>IF(Tabela1[[#This Row],[Qtde. Lançada]]&gt;Tabela1[[#This Row],[Comprimento Total]],Tabela1[[#This Row],[Qtde. Lançada]],Tabela1[[#This Row],[Comprimento Total]])</f>
        <v>100</v>
      </c>
      <c r="AE357" s="262" t="s">
        <v>190</v>
      </c>
      <c r="AF357" s="391" t="s">
        <v>1124</v>
      </c>
      <c r="AG357" s="391">
        <f ca="1">SUMIF('Lançamento de Cabos'!AE:AK,Tabela1[[#This Row],[Tag do Cabo]],'Lançamento de Cabos'!AG:AG)</f>
        <v>0</v>
      </c>
      <c r="AH357" s="29">
        <f>IFERROR(VLOOKUP(Tabela1[[#This Row],[Tag do Cabo]],'Lançamento de Cabos'!AE:AK,7,0),0)</f>
        <v>0</v>
      </c>
      <c r="AI357" s="262" t="s">
        <v>654</v>
      </c>
      <c r="AJ357" s="212" t="s">
        <v>141</v>
      </c>
      <c r="AK357" s="46">
        <v>306860</v>
      </c>
    </row>
    <row r="358" spans="1:37" s="262" customFormat="1" ht="15" customHeight="1" x14ac:dyDescent="0.2">
      <c r="A358" s="168" t="s">
        <v>1132</v>
      </c>
      <c r="B358" s="391" t="s">
        <v>38</v>
      </c>
      <c r="C358" s="391" t="s">
        <v>92</v>
      </c>
      <c r="D358" s="391" t="s">
        <v>92</v>
      </c>
      <c r="E358" s="3" t="s">
        <v>358</v>
      </c>
      <c r="F358" s="11">
        <v>1</v>
      </c>
      <c r="G358" s="391">
        <v>1</v>
      </c>
      <c r="H358" s="391">
        <v>100</v>
      </c>
      <c r="I358" s="391">
        <v>100</v>
      </c>
      <c r="J358" s="391" t="s">
        <v>762</v>
      </c>
      <c r="K358" s="262" t="s">
        <v>1121</v>
      </c>
      <c r="L358" s="262" t="s">
        <v>658</v>
      </c>
      <c r="M358" s="22" t="s">
        <v>85</v>
      </c>
      <c r="N358" s="391" t="str">
        <f t="shared" si="11"/>
        <v>Sim</v>
      </c>
      <c r="O358" s="22" t="s">
        <v>86</v>
      </c>
      <c r="P358" s="22" t="s">
        <v>86</v>
      </c>
      <c r="Q358" s="391" t="s">
        <v>321</v>
      </c>
      <c r="R358" s="391">
        <f>SUMIF('Lançamento de Cabos'!$B:$B,Tabela1[[#This Row],[Tag do Cabo]],'Lançamento de Cabos'!$C:$C)</f>
        <v>100</v>
      </c>
      <c r="S358" s="391">
        <f>VLOOKUP(Tabela1[[#This Row],[Tag do Cabo]],'Diagramas Ligações'!A:V,14,0)</f>
        <v>32</v>
      </c>
      <c r="T358" s="262" t="s">
        <v>659</v>
      </c>
      <c r="U358" s="391">
        <v>6</v>
      </c>
      <c r="V358" s="391" t="s">
        <v>186</v>
      </c>
      <c r="W358" s="391" t="s">
        <v>1059</v>
      </c>
      <c r="X358" s="32">
        <v>44177</v>
      </c>
      <c r="Y358" s="32">
        <v>44210</v>
      </c>
      <c r="Z358" s="3" t="s">
        <v>1133</v>
      </c>
      <c r="AA358" s="45">
        <v>94</v>
      </c>
      <c r="AB35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8" s="262" t="s">
        <v>1123</v>
      </c>
      <c r="AD358" s="391">
        <f>IF(Tabela1[[#This Row],[Qtde. Lançada]]&gt;Tabela1[[#This Row],[Comprimento Total]],Tabela1[[#This Row],[Qtde. Lançada]],Tabela1[[#This Row],[Comprimento Total]])</f>
        <v>100</v>
      </c>
      <c r="AE358" s="262" t="s">
        <v>360</v>
      </c>
      <c r="AF358" s="391" t="s">
        <v>1124</v>
      </c>
      <c r="AG358" s="391">
        <f ca="1">SUMIF('Lançamento de Cabos'!AE:AK,Tabela1[[#This Row],[Tag do Cabo]],'Lançamento de Cabos'!AG:AG)</f>
        <v>0</v>
      </c>
      <c r="AH358" s="29">
        <f>IFERROR(VLOOKUP(Tabela1[[#This Row],[Tag do Cabo]],'Lançamento de Cabos'!AE:AK,7,0),0)</f>
        <v>0</v>
      </c>
      <c r="AI358" s="262" t="s">
        <v>654</v>
      </c>
      <c r="AJ358" s="212" t="s">
        <v>839</v>
      </c>
      <c r="AK358" s="46">
        <v>574198</v>
      </c>
    </row>
    <row r="359" spans="1:37" s="262" customFormat="1" ht="15" customHeight="1" x14ac:dyDescent="0.2">
      <c r="A359" s="168" t="s">
        <v>1134</v>
      </c>
      <c r="B359" s="391" t="s">
        <v>38</v>
      </c>
      <c r="C359" s="391" t="s">
        <v>92</v>
      </c>
      <c r="D359" s="391" t="s">
        <v>92</v>
      </c>
      <c r="E359" s="3" t="s">
        <v>392</v>
      </c>
      <c r="F359" s="11">
        <v>1</v>
      </c>
      <c r="G359" s="391">
        <v>1</v>
      </c>
      <c r="H359" s="391">
        <v>100</v>
      </c>
      <c r="I359" s="391">
        <v>100</v>
      </c>
      <c r="J359" s="391" t="s">
        <v>762</v>
      </c>
      <c r="K359" s="262" t="s">
        <v>1135</v>
      </c>
      <c r="L359" s="262" t="s">
        <v>658</v>
      </c>
      <c r="M359" s="22" t="s">
        <v>85</v>
      </c>
      <c r="N359" s="391" t="str">
        <f t="shared" si="11"/>
        <v>Sim</v>
      </c>
      <c r="O359" s="22" t="s">
        <v>86</v>
      </c>
      <c r="P359" s="22" t="s">
        <v>86</v>
      </c>
      <c r="Q359" s="391" t="s">
        <v>184</v>
      </c>
      <c r="R359" s="391">
        <f>SUMIF('Lançamento de Cabos'!$B:$B,Tabela1[[#This Row],[Tag do Cabo]],'Lançamento de Cabos'!$C:$C)</f>
        <v>100</v>
      </c>
      <c r="S359" s="391">
        <f>VLOOKUP(Tabela1[[#This Row],[Tag do Cabo]],'Diagramas Ligações'!A:V,14,0)</f>
        <v>16</v>
      </c>
      <c r="T359" s="262" t="s">
        <v>659</v>
      </c>
      <c r="U359" s="391">
        <v>6</v>
      </c>
      <c r="V359" s="391" t="s">
        <v>186</v>
      </c>
      <c r="W359" s="391" t="s">
        <v>1059</v>
      </c>
      <c r="X359" s="32">
        <v>44177</v>
      </c>
      <c r="Y359" s="32">
        <v>44210</v>
      </c>
      <c r="Z359" s="3" t="s">
        <v>1122</v>
      </c>
      <c r="AA359" s="45">
        <v>125</v>
      </c>
      <c r="AB35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59" s="262" t="s">
        <v>1123</v>
      </c>
      <c r="AD359" s="391">
        <f>IF(Tabela1[[#This Row],[Qtde. Lançada]]&gt;Tabela1[[#This Row],[Comprimento Total]],Tabela1[[#This Row],[Qtde. Lançada]],Tabela1[[#This Row],[Comprimento Total]])</f>
        <v>100</v>
      </c>
      <c r="AE359" s="262" t="s">
        <v>360</v>
      </c>
      <c r="AF359" s="391" t="s">
        <v>1124</v>
      </c>
      <c r="AG359" s="391">
        <f ca="1">SUMIF('Lançamento de Cabos'!AE:AK,Tabela1[[#This Row],[Tag do Cabo]],'Lançamento de Cabos'!AG:AG)</f>
        <v>0</v>
      </c>
      <c r="AH359" s="29">
        <f>IFERROR(VLOOKUP(Tabela1[[#This Row],[Tag do Cabo]],'Lançamento de Cabos'!AE:AK,7,0),0)</f>
        <v>0</v>
      </c>
      <c r="AI359" s="262" t="s">
        <v>654</v>
      </c>
      <c r="AJ359" s="212" t="s">
        <v>842</v>
      </c>
      <c r="AK359" s="46">
        <v>1423312</v>
      </c>
    </row>
    <row r="360" spans="1:37" s="262" customFormat="1" ht="15" customHeight="1" x14ac:dyDescent="0.2">
      <c r="A360" s="168" t="s">
        <v>1136</v>
      </c>
      <c r="B360" s="391" t="s">
        <v>38</v>
      </c>
      <c r="C360" s="391" t="s">
        <v>92</v>
      </c>
      <c r="D360" s="391" t="s">
        <v>92</v>
      </c>
      <c r="E360" s="3" t="s">
        <v>1137</v>
      </c>
      <c r="F360" s="11">
        <v>1</v>
      </c>
      <c r="G360" s="391">
        <v>1</v>
      </c>
      <c r="H360" s="391">
        <v>100</v>
      </c>
      <c r="I360" s="391">
        <v>100</v>
      </c>
      <c r="J360" s="391" t="s">
        <v>762</v>
      </c>
      <c r="K360" s="262" t="s">
        <v>1135</v>
      </c>
      <c r="L360" s="262" t="s">
        <v>658</v>
      </c>
      <c r="M360" s="22" t="s">
        <v>85</v>
      </c>
      <c r="N360" s="391" t="str">
        <f t="shared" si="11"/>
        <v>Sim</v>
      </c>
      <c r="O360" s="22" t="s">
        <v>86</v>
      </c>
      <c r="P360" s="22" t="s">
        <v>86</v>
      </c>
      <c r="Q360" s="391" t="s">
        <v>184</v>
      </c>
      <c r="R360" s="391">
        <f>SUMIF('Lançamento de Cabos'!$B:$B,Tabela1[[#This Row],[Tag do Cabo]],'Lançamento de Cabos'!$C:$C)</f>
        <v>100</v>
      </c>
      <c r="S360" s="391">
        <f>VLOOKUP(Tabela1[[#This Row],[Tag do Cabo]],'Diagramas Ligações'!A:V,14,0)</f>
        <v>8</v>
      </c>
      <c r="T360" s="262" t="s">
        <v>659</v>
      </c>
      <c r="U360" s="391">
        <v>6</v>
      </c>
      <c r="V360" s="391" t="s">
        <v>186</v>
      </c>
      <c r="W360" s="391" t="s">
        <v>1059</v>
      </c>
      <c r="X360" s="32">
        <v>44177</v>
      </c>
      <c r="Y360" s="32">
        <v>44210</v>
      </c>
      <c r="Z360" s="3" t="s">
        <v>1122</v>
      </c>
      <c r="AA360" s="45">
        <v>217</v>
      </c>
      <c r="AB36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60" s="262" t="s">
        <v>1123</v>
      </c>
      <c r="AD360" s="391">
        <f>IF(Tabela1[[#This Row],[Qtde. Lançada]]&gt;Tabela1[[#This Row],[Comprimento Total]],Tabela1[[#This Row],[Qtde. Lançada]],Tabela1[[#This Row],[Comprimento Total]])</f>
        <v>100</v>
      </c>
      <c r="AE360" s="262" t="s">
        <v>610</v>
      </c>
      <c r="AF360" s="391" t="s">
        <v>1124</v>
      </c>
      <c r="AG360" s="391">
        <f ca="1">SUMIF('Lançamento de Cabos'!AE:AK,Tabela1[[#This Row],[Tag do Cabo]],'Lançamento de Cabos'!AG:AG)</f>
        <v>0</v>
      </c>
      <c r="AH360" s="29">
        <f>IFERROR(VLOOKUP(Tabela1[[#This Row],[Tag do Cabo]],'Lançamento de Cabos'!AE:AK,7,0),0)</f>
        <v>0</v>
      </c>
      <c r="AI360" s="262" t="s">
        <v>654</v>
      </c>
      <c r="AJ360" s="212" t="s">
        <v>1138</v>
      </c>
      <c r="AK360" s="46">
        <v>2009470</v>
      </c>
    </row>
    <row r="361" spans="1:37" s="262" customFormat="1" ht="15" customHeight="1" x14ac:dyDescent="0.2">
      <c r="A361" s="168" t="s">
        <v>1139</v>
      </c>
      <c r="B361" s="391" t="s">
        <v>38</v>
      </c>
      <c r="C361" s="391" t="s">
        <v>92</v>
      </c>
      <c r="D361" s="391" t="s">
        <v>92</v>
      </c>
      <c r="E361" s="3" t="s">
        <v>1140</v>
      </c>
      <c r="F361" s="11">
        <v>1</v>
      </c>
      <c r="G361" s="391">
        <v>1</v>
      </c>
      <c r="H361" s="391">
        <v>342</v>
      </c>
      <c r="I361" s="391">
        <v>342</v>
      </c>
      <c r="J361" s="391" t="s">
        <v>1054</v>
      </c>
      <c r="K361" s="262" t="s">
        <v>1141</v>
      </c>
      <c r="L361" s="262" t="s">
        <v>1072</v>
      </c>
      <c r="M361" s="22" t="s">
        <v>85</v>
      </c>
      <c r="N361" s="23" t="str">
        <f t="shared" si="11"/>
        <v>Sim</v>
      </c>
      <c r="O361" s="22" t="s">
        <v>86</v>
      </c>
      <c r="P361" s="22" t="s">
        <v>86</v>
      </c>
      <c r="Q361" s="151" t="s">
        <v>184</v>
      </c>
      <c r="R361" s="23">
        <f>SUMIF('Lançamento de Cabos'!$B:$B,Tabela1[[#This Row],[Tag do Cabo]],'Lançamento de Cabos'!$C:$C)</f>
        <v>342</v>
      </c>
      <c r="S361" s="391">
        <f>VLOOKUP(Tabela1[[#This Row],[Tag do Cabo]],'Diagramas Ligações'!A:V,14,0)</f>
        <v>22</v>
      </c>
      <c r="T361" s="262" t="s">
        <v>680</v>
      </c>
      <c r="U361" s="391">
        <v>6</v>
      </c>
      <c r="V361" s="391" t="s">
        <v>186</v>
      </c>
      <c r="W361" s="391" t="s">
        <v>92</v>
      </c>
      <c r="X361" s="32">
        <v>44209</v>
      </c>
      <c r="Y361" s="32">
        <v>44211</v>
      </c>
      <c r="Z361" s="3" t="s">
        <v>681</v>
      </c>
      <c r="AA361" s="45">
        <v>219</v>
      </c>
      <c r="AB36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1" s="391">
        <f>IF(Tabela1[[#This Row],[Qtde. Lançada]]&gt;Tabela1[[#This Row],[Comprimento Total]],Tabela1[[#This Row],[Qtde. Lançada]],Tabela1[[#This Row],[Comprimento Total]])</f>
        <v>342</v>
      </c>
      <c r="AE361" s="262" t="s">
        <v>610</v>
      </c>
      <c r="AF361" s="391" t="s">
        <v>1142</v>
      </c>
      <c r="AG361" s="391">
        <f ca="1">SUMIF('Lançamento de Cabos'!AE:AK,Tabela1[[#This Row],[Tag do Cabo]],'Lançamento de Cabos'!AG:AG)</f>
        <v>0</v>
      </c>
      <c r="AH361" s="29">
        <f>IFERROR(VLOOKUP(Tabela1[[#This Row],[Tag do Cabo]],'Lançamento de Cabos'!AE:AK,7,0),0)</f>
        <v>0</v>
      </c>
      <c r="AI361" s="262" t="s">
        <v>680</v>
      </c>
      <c r="AJ361" s="212" t="s">
        <v>836</v>
      </c>
      <c r="AK361" s="46">
        <v>923851</v>
      </c>
    </row>
    <row r="362" spans="1:37" s="262" customFormat="1" ht="15" customHeight="1" x14ac:dyDescent="0.2">
      <c r="A362" s="168" t="s">
        <v>1143</v>
      </c>
      <c r="B362" s="391" t="s">
        <v>38</v>
      </c>
      <c r="C362" s="391" t="s">
        <v>92</v>
      </c>
      <c r="D362" s="391" t="s">
        <v>92</v>
      </c>
      <c r="E362" s="3" t="s">
        <v>1144</v>
      </c>
      <c r="F362" s="11">
        <v>1</v>
      </c>
      <c r="G362" s="391">
        <v>1</v>
      </c>
      <c r="H362" s="391">
        <v>342</v>
      </c>
      <c r="I362" s="391">
        <v>342</v>
      </c>
      <c r="J362" s="391" t="s">
        <v>1054</v>
      </c>
      <c r="K362" s="262" t="s">
        <v>1145</v>
      </c>
      <c r="L362" s="262" t="s">
        <v>1072</v>
      </c>
      <c r="M362" s="22" t="s">
        <v>85</v>
      </c>
      <c r="N362" s="23" t="str">
        <f t="shared" si="11"/>
        <v>Sim</v>
      </c>
      <c r="O362" s="22" t="s">
        <v>86</v>
      </c>
      <c r="P362" s="22" t="s">
        <v>86</v>
      </c>
      <c r="Q362" s="151" t="s">
        <v>321</v>
      </c>
      <c r="R362" s="23">
        <f>SUMIF('Lançamento de Cabos'!$B:$B,Tabela1[[#This Row],[Tag do Cabo]],'Lançamento de Cabos'!$C:$C)</f>
        <v>342</v>
      </c>
      <c r="S362" s="391">
        <f>VLOOKUP(Tabela1[[#This Row],[Tag do Cabo]],'Diagramas Ligações'!A:V,14,0)</f>
        <v>48</v>
      </c>
      <c r="T362" s="262" t="s">
        <v>680</v>
      </c>
      <c r="U362" s="391">
        <v>6</v>
      </c>
      <c r="V362" s="391" t="s">
        <v>186</v>
      </c>
      <c r="W362" s="391" t="s">
        <v>92</v>
      </c>
      <c r="X362" s="32">
        <v>44209</v>
      </c>
      <c r="Y362" s="32">
        <v>44211</v>
      </c>
      <c r="Z362" s="3" t="s">
        <v>1146</v>
      </c>
      <c r="AA362" s="45">
        <v>68</v>
      </c>
      <c r="AB36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2" s="391">
        <f>IF(Tabela1[[#This Row],[Qtde. Lançada]]&gt;Tabela1[[#This Row],[Comprimento Total]],Tabela1[[#This Row],[Qtde. Lançada]],Tabela1[[#This Row],[Comprimento Total]])</f>
        <v>342</v>
      </c>
      <c r="AE362" s="262" t="s">
        <v>610</v>
      </c>
      <c r="AF362" s="391" t="s">
        <v>1142</v>
      </c>
      <c r="AG362" s="391">
        <f ca="1">SUMIF('Lançamento de Cabos'!AE:AK,Tabela1[[#This Row],[Tag do Cabo]],'Lançamento de Cabos'!AG:AG)</f>
        <v>0</v>
      </c>
      <c r="AH362" s="29">
        <f>IFERROR(VLOOKUP(Tabela1[[#This Row],[Tag do Cabo]],'Lançamento de Cabos'!AE:AK,7,0),0)</f>
        <v>0</v>
      </c>
      <c r="AI362" s="262" t="s">
        <v>680</v>
      </c>
      <c r="AJ362" s="212" t="s">
        <v>1147</v>
      </c>
      <c r="AK362" s="46">
        <v>3184797</v>
      </c>
    </row>
    <row r="363" spans="1:37" s="262" customFormat="1" ht="15" customHeight="1" x14ac:dyDescent="0.2">
      <c r="A363" s="168" t="s">
        <v>1148</v>
      </c>
      <c r="B363" s="391" t="s">
        <v>38</v>
      </c>
      <c r="C363" s="391" t="s">
        <v>92</v>
      </c>
      <c r="D363" s="391" t="s">
        <v>92</v>
      </c>
      <c r="E363" s="3" t="s">
        <v>1140</v>
      </c>
      <c r="F363" s="11">
        <v>1</v>
      </c>
      <c r="G363" s="391">
        <v>1</v>
      </c>
      <c r="H363" s="391">
        <v>342</v>
      </c>
      <c r="I363" s="391">
        <v>342</v>
      </c>
      <c r="J363" s="391" t="s">
        <v>1054</v>
      </c>
      <c r="K363" s="262" t="s">
        <v>1145</v>
      </c>
      <c r="L363" s="262" t="s">
        <v>1072</v>
      </c>
      <c r="M363" s="22" t="s">
        <v>85</v>
      </c>
      <c r="N363" s="23" t="str">
        <f t="shared" si="11"/>
        <v>Sim</v>
      </c>
      <c r="O363" s="22" t="s">
        <v>86</v>
      </c>
      <c r="P363" s="22" t="s">
        <v>86</v>
      </c>
      <c r="Q363" s="151" t="s">
        <v>184</v>
      </c>
      <c r="R363" s="23">
        <f>SUMIF('Lançamento de Cabos'!$B:$B,Tabela1[[#This Row],[Tag do Cabo]],'Lançamento de Cabos'!$C:$C)</f>
        <v>342</v>
      </c>
      <c r="S363" s="391">
        <f>VLOOKUP(Tabela1[[#This Row],[Tag do Cabo]],'Diagramas Ligações'!A:V,14,0)</f>
        <v>36</v>
      </c>
      <c r="T363" s="262" t="s">
        <v>680</v>
      </c>
      <c r="U363" s="391">
        <v>6</v>
      </c>
      <c r="V363" s="391" t="s">
        <v>186</v>
      </c>
      <c r="W363" s="391" t="s">
        <v>92</v>
      </c>
      <c r="X363" s="32">
        <v>44209</v>
      </c>
      <c r="Y363" s="32">
        <v>44211</v>
      </c>
      <c r="Z363" s="3" t="s">
        <v>681</v>
      </c>
      <c r="AA363" s="45">
        <v>219</v>
      </c>
      <c r="AB363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3" s="391">
        <f>IF(Tabela1[[#This Row],[Qtde. Lançada]]&gt;Tabela1[[#This Row],[Comprimento Total]],Tabela1[[#This Row],[Qtde. Lançada]],Tabela1[[#This Row],[Comprimento Total]])</f>
        <v>342</v>
      </c>
      <c r="AE363" s="262" t="s">
        <v>610</v>
      </c>
      <c r="AF363" s="391" t="s">
        <v>1142</v>
      </c>
      <c r="AG363" s="391">
        <f ca="1">SUMIF('Lançamento de Cabos'!AE:AK,Tabela1[[#This Row],[Tag do Cabo]],'Lançamento de Cabos'!AG:AG)</f>
        <v>0</v>
      </c>
      <c r="AH363" s="29">
        <f>IFERROR(VLOOKUP(Tabela1[[#This Row],[Tag do Cabo]],'Lançamento de Cabos'!AE:AK,7,0),0)</f>
        <v>0</v>
      </c>
      <c r="AI363" s="262" t="s">
        <v>680</v>
      </c>
      <c r="AJ363" s="212" t="s">
        <v>1149</v>
      </c>
      <c r="AK363" s="46">
        <v>923851</v>
      </c>
    </row>
    <row r="364" spans="1:37" s="262" customFormat="1" ht="15" customHeight="1" x14ac:dyDescent="0.2">
      <c r="A364" s="168" t="s">
        <v>1150</v>
      </c>
      <c r="B364" s="391" t="s">
        <v>38</v>
      </c>
      <c r="C364" s="391" t="s">
        <v>92</v>
      </c>
      <c r="D364" s="391" t="s">
        <v>92</v>
      </c>
      <c r="E364" s="3" t="s">
        <v>1144</v>
      </c>
      <c r="F364" s="11">
        <v>1</v>
      </c>
      <c r="G364" s="391">
        <v>1</v>
      </c>
      <c r="H364" s="391">
        <v>342</v>
      </c>
      <c r="I364" s="391">
        <v>342</v>
      </c>
      <c r="J364" s="391" t="s">
        <v>1054</v>
      </c>
      <c r="K364" s="262" t="s">
        <v>1151</v>
      </c>
      <c r="L364" s="262" t="s">
        <v>1072</v>
      </c>
      <c r="M364" s="22" t="s">
        <v>85</v>
      </c>
      <c r="N364" s="23" t="str">
        <f t="shared" si="11"/>
        <v>Sim</v>
      </c>
      <c r="O364" s="22" t="s">
        <v>86</v>
      </c>
      <c r="P364" s="22" t="s">
        <v>86</v>
      </c>
      <c r="Q364" s="151" t="s">
        <v>321</v>
      </c>
      <c r="R364" s="23">
        <f>SUMIF('Lançamento de Cabos'!$B:$B,Tabela1[[#This Row],[Tag do Cabo]],'Lançamento de Cabos'!$C:$C)</f>
        <v>342</v>
      </c>
      <c r="S364" s="391">
        <f>VLOOKUP(Tabela1[[#This Row],[Tag do Cabo]],'Diagramas Ligações'!A:V,14,0)</f>
        <v>36</v>
      </c>
      <c r="T364" s="262" t="s">
        <v>680</v>
      </c>
      <c r="U364" s="391">
        <v>6</v>
      </c>
      <c r="V364" s="391" t="s">
        <v>186</v>
      </c>
      <c r="W364" s="391" t="s">
        <v>92</v>
      </c>
      <c r="X364" s="32">
        <v>44209</v>
      </c>
      <c r="Y364" s="32">
        <v>44211</v>
      </c>
      <c r="Z364" s="3" t="s">
        <v>1146</v>
      </c>
      <c r="AA364" s="45">
        <v>68</v>
      </c>
      <c r="AB36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4" s="391">
        <f>IF(Tabela1[[#This Row],[Qtde. Lançada]]&gt;Tabela1[[#This Row],[Comprimento Total]],Tabela1[[#This Row],[Qtde. Lançada]],Tabela1[[#This Row],[Comprimento Total]])</f>
        <v>342</v>
      </c>
      <c r="AE364" s="262" t="s">
        <v>610</v>
      </c>
      <c r="AF364" s="391" t="s">
        <v>1142</v>
      </c>
      <c r="AG364" s="391">
        <f ca="1">SUMIF('Lançamento de Cabos'!AE:AK,Tabela1[[#This Row],[Tag do Cabo]],'Lançamento de Cabos'!AG:AG)</f>
        <v>0</v>
      </c>
      <c r="AH364" s="29">
        <f>IFERROR(VLOOKUP(Tabela1[[#This Row],[Tag do Cabo]],'Lançamento de Cabos'!AE:AK,7,0),0)</f>
        <v>0</v>
      </c>
      <c r="AI364" s="262" t="s">
        <v>680</v>
      </c>
      <c r="AJ364" s="212" t="s">
        <v>1152</v>
      </c>
      <c r="AK364" s="46">
        <v>3184797</v>
      </c>
    </row>
    <row r="365" spans="1:37" s="262" customFormat="1" ht="15" customHeight="1" x14ac:dyDescent="0.2">
      <c r="A365" s="168" t="s">
        <v>1153</v>
      </c>
      <c r="B365" s="391" t="s">
        <v>38</v>
      </c>
      <c r="C365" s="391" t="s">
        <v>92</v>
      </c>
      <c r="D365" s="391" t="s">
        <v>92</v>
      </c>
      <c r="E365" s="3" t="s">
        <v>1140</v>
      </c>
      <c r="F365" s="11">
        <v>1</v>
      </c>
      <c r="G365" s="391">
        <v>1</v>
      </c>
      <c r="H365" s="391">
        <v>342</v>
      </c>
      <c r="I365" s="391">
        <v>342</v>
      </c>
      <c r="J365" s="391" t="s">
        <v>1054</v>
      </c>
      <c r="K365" s="262" t="s">
        <v>1154</v>
      </c>
      <c r="L365" s="262" t="s">
        <v>1072</v>
      </c>
      <c r="M365" s="22" t="s">
        <v>85</v>
      </c>
      <c r="N365" s="23" t="str">
        <f t="shared" si="11"/>
        <v>Sim</v>
      </c>
      <c r="O365" s="22" t="s">
        <v>86</v>
      </c>
      <c r="P365" s="22" t="s">
        <v>86</v>
      </c>
      <c r="Q365" s="151" t="s">
        <v>184</v>
      </c>
      <c r="R365" s="23">
        <f>SUMIF('Lançamento de Cabos'!$B:$B,Tabela1[[#This Row],[Tag do Cabo]],'Lançamento de Cabos'!$C:$C)</f>
        <v>342</v>
      </c>
      <c r="S365" s="391">
        <f>VLOOKUP(Tabela1[[#This Row],[Tag do Cabo]],'Diagramas Ligações'!A:V,14,0)</f>
        <v>22</v>
      </c>
      <c r="T365" s="262" t="s">
        <v>680</v>
      </c>
      <c r="U365" s="391">
        <v>6</v>
      </c>
      <c r="V365" s="391" t="s">
        <v>186</v>
      </c>
      <c r="W365" s="391" t="s">
        <v>92</v>
      </c>
      <c r="X365" s="32">
        <v>44209</v>
      </c>
      <c r="Y365" s="32">
        <v>44211</v>
      </c>
      <c r="Z365" s="3" t="s">
        <v>681</v>
      </c>
      <c r="AA365" s="45">
        <v>219</v>
      </c>
      <c r="AB36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5" s="391">
        <f>IF(Tabela1[[#This Row],[Qtde. Lançada]]&gt;Tabela1[[#This Row],[Comprimento Total]],Tabela1[[#This Row],[Qtde. Lançada]],Tabela1[[#This Row],[Comprimento Total]])</f>
        <v>342</v>
      </c>
      <c r="AE365" s="262" t="s">
        <v>610</v>
      </c>
      <c r="AF365" s="391" t="s">
        <v>1142</v>
      </c>
      <c r="AG365" s="391">
        <f ca="1">SUMIF('Lançamento de Cabos'!AE:AK,Tabela1[[#This Row],[Tag do Cabo]],'Lançamento de Cabos'!AG:AG)</f>
        <v>0</v>
      </c>
      <c r="AH365" s="29">
        <f>IFERROR(VLOOKUP(Tabela1[[#This Row],[Tag do Cabo]],'Lançamento de Cabos'!AE:AK,7,0),0)</f>
        <v>0</v>
      </c>
      <c r="AI365" s="262" t="s">
        <v>680</v>
      </c>
      <c r="AJ365" s="212" t="s">
        <v>852</v>
      </c>
      <c r="AK365" s="46">
        <v>923851</v>
      </c>
    </row>
    <row r="366" spans="1:37" s="262" customFormat="1" ht="15" customHeight="1" x14ac:dyDescent="0.2">
      <c r="A366" s="168" t="s">
        <v>1155</v>
      </c>
      <c r="B366" s="391" t="s">
        <v>38</v>
      </c>
      <c r="C366" s="391" t="s">
        <v>92</v>
      </c>
      <c r="D366" s="391" t="s">
        <v>92</v>
      </c>
      <c r="E366" s="3" t="s">
        <v>1140</v>
      </c>
      <c r="F366" s="11">
        <v>1</v>
      </c>
      <c r="G366" s="391">
        <v>1</v>
      </c>
      <c r="H366" s="391">
        <v>342</v>
      </c>
      <c r="I366" s="391">
        <v>342</v>
      </c>
      <c r="J366" s="391" t="s">
        <v>1054</v>
      </c>
      <c r="K366" s="262" t="s">
        <v>1151</v>
      </c>
      <c r="L366" s="262" t="s">
        <v>1072</v>
      </c>
      <c r="M366" s="22" t="s">
        <v>85</v>
      </c>
      <c r="N366" s="23" t="str">
        <f t="shared" si="11"/>
        <v>Sim</v>
      </c>
      <c r="O366" s="22" t="s">
        <v>86</v>
      </c>
      <c r="P366" s="22" t="s">
        <v>86</v>
      </c>
      <c r="Q366" s="151" t="s">
        <v>184</v>
      </c>
      <c r="R366" s="23">
        <f>SUMIF('Lançamento de Cabos'!$B:$B,Tabela1[[#This Row],[Tag do Cabo]],'Lançamento de Cabos'!$C:$C)</f>
        <v>342</v>
      </c>
      <c r="S366" s="391">
        <f>VLOOKUP(Tabela1[[#This Row],[Tag do Cabo]],'Diagramas Ligações'!A:V,14,0)</f>
        <v>36</v>
      </c>
      <c r="T366" s="262" t="s">
        <v>680</v>
      </c>
      <c r="U366" s="391">
        <v>6</v>
      </c>
      <c r="V366" s="391" t="s">
        <v>186</v>
      </c>
      <c r="W366" s="391" t="s">
        <v>92</v>
      </c>
      <c r="X366" s="32">
        <v>44209</v>
      </c>
      <c r="Y366" s="32">
        <v>44211</v>
      </c>
      <c r="Z366" s="3" t="s">
        <v>681</v>
      </c>
      <c r="AA366" s="45">
        <v>219</v>
      </c>
      <c r="AB36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6" s="391">
        <f>IF(Tabela1[[#This Row],[Qtde. Lançada]]&gt;Tabela1[[#This Row],[Comprimento Total]],Tabela1[[#This Row],[Qtde. Lançada]],Tabela1[[#This Row],[Comprimento Total]])</f>
        <v>342</v>
      </c>
      <c r="AE366" s="262" t="s">
        <v>610</v>
      </c>
      <c r="AF366" s="391" t="s">
        <v>1142</v>
      </c>
      <c r="AG366" s="391">
        <f ca="1">SUMIF('Lançamento de Cabos'!AE:AK,Tabela1[[#This Row],[Tag do Cabo]],'Lançamento de Cabos'!AG:AG)</f>
        <v>0</v>
      </c>
      <c r="AH366" s="29">
        <f>IFERROR(VLOOKUP(Tabela1[[#This Row],[Tag do Cabo]],'Lançamento de Cabos'!AE:AK,7,0),0)</f>
        <v>0</v>
      </c>
      <c r="AI366" s="262" t="s">
        <v>680</v>
      </c>
      <c r="AJ366" s="212" t="s">
        <v>1156</v>
      </c>
      <c r="AK366" s="46">
        <v>923851</v>
      </c>
    </row>
    <row r="367" spans="1:37" s="262" customFormat="1" ht="15" customHeight="1" x14ac:dyDescent="0.2">
      <c r="A367" s="168" t="s">
        <v>1157</v>
      </c>
      <c r="B367" s="391" t="s">
        <v>38</v>
      </c>
      <c r="C367" s="391" t="s">
        <v>92</v>
      </c>
      <c r="D367" s="391" t="s">
        <v>92</v>
      </c>
      <c r="E367" s="3" t="s">
        <v>358</v>
      </c>
      <c r="F367" s="11">
        <v>1</v>
      </c>
      <c r="G367" s="391">
        <v>1</v>
      </c>
      <c r="H367" s="391">
        <v>342</v>
      </c>
      <c r="I367" s="391">
        <v>342</v>
      </c>
      <c r="J367" s="391" t="s">
        <v>787</v>
      </c>
      <c r="K367" s="262" t="s">
        <v>1158</v>
      </c>
      <c r="L367" s="262" t="s">
        <v>1159</v>
      </c>
      <c r="M367" s="22" t="s">
        <v>85</v>
      </c>
      <c r="N367" s="23" t="str">
        <f t="shared" si="11"/>
        <v>Sim</v>
      </c>
      <c r="O367" s="22" t="s">
        <v>86</v>
      </c>
      <c r="P367" s="22" t="s">
        <v>86</v>
      </c>
      <c r="Q367" s="151" t="s">
        <v>321</v>
      </c>
      <c r="R367" s="23">
        <f>SUMIF('Lançamento de Cabos'!$B:$B,Tabela1[[#This Row],[Tag do Cabo]],'Lançamento de Cabos'!$C:$C)</f>
        <v>342</v>
      </c>
      <c r="S367" s="391">
        <f>VLOOKUP(Tabela1[[#This Row],[Tag do Cabo]],'Diagramas Ligações'!A:V,14,0)</f>
        <v>12</v>
      </c>
      <c r="T367" s="262" t="s">
        <v>680</v>
      </c>
      <c r="U367" s="391">
        <v>6</v>
      </c>
      <c r="V367" s="391" t="s">
        <v>186</v>
      </c>
      <c r="W367" s="391" t="s">
        <v>92</v>
      </c>
      <c r="X367" s="32">
        <v>44209</v>
      </c>
      <c r="Y367" s="32">
        <v>44211</v>
      </c>
      <c r="Z367" s="3" t="s">
        <v>681</v>
      </c>
      <c r="AA367" s="45">
        <v>104</v>
      </c>
      <c r="AB36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7" s="391">
        <f>IF(Tabela1[[#This Row],[Qtde. Lançada]]&gt;Tabela1[[#This Row],[Comprimento Total]],Tabela1[[#This Row],[Qtde. Lançada]],Tabela1[[#This Row],[Comprimento Total]])</f>
        <v>342</v>
      </c>
      <c r="AE367" s="262" t="s">
        <v>382</v>
      </c>
      <c r="AF367" s="391" t="s">
        <v>1142</v>
      </c>
      <c r="AG367" s="391">
        <f ca="1">SUMIF('Lançamento de Cabos'!AE:AK,Tabela1[[#This Row],[Tag do Cabo]],'Lançamento de Cabos'!AG:AG)</f>
        <v>0</v>
      </c>
      <c r="AH367" s="29">
        <f>IFERROR(VLOOKUP(Tabela1[[#This Row],[Tag do Cabo]],'Lançamento de Cabos'!AE:AK,7,0),0)</f>
        <v>0</v>
      </c>
      <c r="AI367" s="262" t="s">
        <v>680</v>
      </c>
      <c r="AJ367" s="212" t="s">
        <v>1160</v>
      </c>
      <c r="AK367" s="46">
        <v>3087804</v>
      </c>
    </row>
    <row r="368" spans="1:37" s="262" customFormat="1" ht="15" customHeight="1" x14ac:dyDescent="0.2">
      <c r="A368" s="168" t="s">
        <v>1161</v>
      </c>
      <c r="B368" s="391" t="s">
        <v>38</v>
      </c>
      <c r="C368" s="391" t="s">
        <v>92</v>
      </c>
      <c r="D368" s="391" t="s">
        <v>92</v>
      </c>
      <c r="E368" s="3" t="s">
        <v>366</v>
      </c>
      <c r="F368" s="11">
        <v>1</v>
      </c>
      <c r="G368" s="391">
        <v>1</v>
      </c>
      <c r="H368" s="391">
        <v>240</v>
      </c>
      <c r="I368" s="391">
        <v>240</v>
      </c>
      <c r="J368" s="391" t="s">
        <v>1054</v>
      </c>
      <c r="K368" s="262" t="s">
        <v>1162</v>
      </c>
      <c r="L368" s="262" t="s">
        <v>1080</v>
      </c>
      <c r="M368" s="22" t="s">
        <v>85</v>
      </c>
      <c r="N368" s="23" t="str">
        <f t="shared" si="11"/>
        <v>Sim</v>
      </c>
      <c r="O368" s="22" t="s">
        <v>86</v>
      </c>
      <c r="P368" s="22" t="s">
        <v>86</v>
      </c>
      <c r="Q368" s="151" t="s">
        <v>321</v>
      </c>
      <c r="R368" s="23">
        <f>SUMIF('Lançamento de Cabos'!$B:$B,Tabela1[[#This Row],[Tag do Cabo]],'Lançamento de Cabos'!$C:$C)</f>
        <v>240</v>
      </c>
      <c r="S368" s="391">
        <f>VLOOKUP(Tabela1[[#This Row],[Tag do Cabo]],'Diagramas Ligações'!A:V,14,0)</f>
        <v>20</v>
      </c>
      <c r="T368" s="262" t="s">
        <v>680</v>
      </c>
      <c r="U368" s="391">
        <v>6</v>
      </c>
      <c r="V368" s="391" t="s">
        <v>186</v>
      </c>
      <c r="W368" s="391" t="s">
        <v>92</v>
      </c>
      <c r="X368" s="32">
        <v>44209</v>
      </c>
      <c r="Y368" s="32">
        <v>44211</v>
      </c>
      <c r="Z368" s="3" t="s">
        <v>681</v>
      </c>
      <c r="AA368" s="45">
        <v>176</v>
      </c>
      <c r="AB36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8" s="391">
        <f>IF(Tabela1[[#This Row],[Qtde. Lançada]]&gt;Tabela1[[#This Row],[Comprimento Total]],Tabela1[[#This Row],[Qtde. Lançada]],Tabela1[[#This Row],[Comprimento Total]])</f>
        <v>240</v>
      </c>
      <c r="AE368" s="262" t="s">
        <v>360</v>
      </c>
      <c r="AF368" s="391" t="s">
        <v>1142</v>
      </c>
      <c r="AG368" s="391">
        <f ca="1">SUMIF('Lançamento de Cabos'!AE:AK,Tabela1[[#This Row],[Tag do Cabo]],'Lançamento de Cabos'!AG:AG)</f>
        <v>0</v>
      </c>
      <c r="AH368" s="29">
        <f>IFERROR(VLOOKUP(Tabela1[[#This Row],[Tag do Cabo]],'Lançamento de Cabos'!AE:AK,7,0),0)</f>
        <v>0</v>
      </c>
      <c r="AI368" s="262" t="s">
        <v>680</v>
      </c>
      <c r="AJ368" s="212" t="s">
        <v>149</v>
      </c>
      <c r="AK368" s="46">
        <v>923841</v>
      </c>
    </row>
    <row r="369" spans="1:37" s="262" customFormat="1" ht="15" customHeight="1" x14ac:dyDescent="0.2">
      <c r="A369" s="168" t="s">
        <v>1163</v>
      </c>
      <c r="B369" s="391" t="s">
        <v>38</v>
      </c>
      <c r="C369" s="391" t="s">
        <v>92</v>
      </c>
      <c r="D369" s="391" t="s">
        <v>92</v>
      </c>
      <c r="E369" s="3" t="s">
        <v>1144</v>
      </c>
      <c r="F369" s="11">
        <v>1</v>
      </c>
      <c r="G369" s="391">
        <v>1</v>
      </c>
      <c r="H369" s="391">
        <v>342</v>
      </c>
      <c r="I369" s="391">
        <v>342</v>
      </c>
      <c r="J369" s="391" t="s">
        <v>1054</v>
      </c>
      <c r="K369" s="262" t="s">
        <v>1164</v>
      </c>
      <c r="L369" s="262" t="s">
        <v>1072</v>
      </c>
      <c r="M369" s="22" t="s">
        <v>85</v>
      </c>
      <c r="N369" s="23" t="str">
        <f t="shared" si="11"/>
        <v>Sim</v>
      </c>
      <c r="O369" s="22" t="s">
        <v>86</v>
      </c>
      <c r="P369" s="22" t="s">
        <v>86</v>
      </c>
      <c r="Q369" s="151" t="s">
        <v>321</v>
      </c>
      <c r="R369" s="23">
        <f>SUMIF('Lançamento de Cabos'!$B:$B,Tabela1[[#This Row],[Tag do Cabo]],'Lançamento de Cabos'!$C:$C)</f>
        <v>342</v>
      </c>
      <c r="S369" s="391">
        <f>VLOOKUP(Tabela1[[#This Row],[Tag do Cabo]],'Diagramas Ligações'!A:V,14,0)</f>
        <v>36</v>
      </c>
      <c r="T369" s="262" t="s">
        <v>680</v>
      </c>
      <c r="U369" s="391">
        <v>6</v>
      </c>
      <c r="V369" s="391" t="s">
        <v>186</v>
      </c>
      <c r="W369" s="391" t="s">
        <v>92</v>
      </c>
      <c r="X369" s="32">
        <v>44209</v>
      </c>
      <c r="Y369" s="32">
        <v>44211</v>
      </c>
      <c r="Z369" s="3" t="s">
        <v>1146</v>
      </c>
      <c r="AA369" s="45">
        <v>68</v>
      </c>
      <c r="AB36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69" s="391">
        <f>IF(Tabela1[[#This Row],[Qtde. Lançada]]&gt;Tabela1[[#This Row],[Comprimento Total]],Tabela1[[#This Row],[Qtde. Lançada]],Tabela1[[#This Row],[Comprimento Total]])</f>
        <v>342</v>
      </c>
      <c r="AE369" s="262" t="s">
        <v>610</v>
      </c>
      <c r="AF369" s="391" t="s">
        <v>1142</v>
      </c>
      <c r="AG369" s="391">
        <f ca="1">SUMIF('Lançamento de Cabos'!AE:AK,Tabela1[[#This Row],[Tag do Cabo]],'Lançamento de Cabos'!AG:AG)</f>
        <v>0</v>
      </c>
      <c r="AH369" s="29">
        <f>IFERROR(VLOOKUP(Tabela1[[#This Row],[Tag do Cabo]],'Lançamento de Cabos'!AE:AK,7,0),0)</f>
        <v>0</v>
      </c>
      <c r="AI369" s="262" t="s">
        <v>680</v>
      </c>
      <c r="AJ369" s="212" t="s">
        <v>1165</v>
      </c>
      <c r="AK369" s="46">
        <v>3184797</v>
      </c>
    </row>
    <row r="370" spans="1:37" s="262" customFormat="1" ht="15" customHeight="1" x14ac:dyDescent="0.2">
      <c r="A370" s="168" t="s">
        <v>1166</v>
      </c>
      <c r="B370" s="391" t="s">
        <v>38</v>
      </c>
      <c r="C370" s="391" t="s">
        <v>92</v>
      </c>
      <c r="D370" s="391" t="s">
        <v>92</v>
      </c>
      <c r="E370" s="3" t="s">
        <v>1144</v>
      </c>
      <c r="F370" s="11">
        <v>1</v>
      </c>
      <c r="G370" s="391">
        <v>1</v>
      </c>
      <c r="H370" s="391">
        <v>342</v>
      </c>
      <c r="I370" s="391">
        <v>342</v>
      </c>
      <c r="J370" s="391" t="s">
        <v>1054</v>
      </c>
      <c r="K370" s="262" t="s">
        <v>1167</v>
      </c>
      <c r="L370" s="262" t="s">
        <v>1072</v>
      </c>
      <c r="M370" s="22" t="s">
        <v>85</v>
      </c>
      <c r="N370" s="23" t="str">
        <f t="shared" si="11"/>
        <v>Sim</v>
      </c>
      <c r="O370" s="22" t="s">
        <v>86</v>
      </c>
      <c r="P370" s="22" t="s">
        <v>86</v>
      </c>
      <c r="Q370" s="151" t="s">
        <v>321</v>
      </c>
      <c r="R370" s="23">
        <f>SUMIF('Lançamento de Cabos'!$B:$B,Tabela1[[#This Row],[Tag do Cabo]],'Lançamento de Cabos'!$C:$C)</f>
        <v>342</v>
      </c>
      <c r="S370" s="391">
        <f>VLOOKUP(Tabela1[[#This Row],[Tag do Cabo]],'Diagramas Ligações'!A:V,14,0)</f>
        <v>36</v>
      </c>
      <c r="T370" s="262" t="s">
        <v>680</v>
      </c>
      <c r="U370" s="391">
        <v>6</v>
      </c>
      <c r="V370" s="391" t="s">
        <v>186</v>
      </c>
      <c r="W370" s="391" t="s">
        <v>92</v>
      </c>
      <c r="X370" s="32">
        <v>44209</v>
      </c>
      <c r="Y370" s="32">
        <v>44211</v>
      </c>
      <c r="Z370" s="3" t="s">
        <v>1168</v>
      </c>
      <c r="AA370" s="45">
        <v>74</v>
      </c>
      <c r="AB37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0" s="391">
        <f>IF(Tabela1[[#This Row],[Qtde. Lançada]]&gt;Tabela1[[#This Row],[Comprimento Total]],Tabela1[[#This Row],[Qtde. Lançada]],Tabela1[[#This Row],[Comprimento Total]])</f>
        <v>342</v>
      </c>
      <c r="AE370" s="262" t="s">
        <v>610</v>
      </c>
      <c r="AF370" s="391" t="s">
        <v>1142</v>
      </c>
      <c r="AG370" s="391">
        <f ca="1">SUMIF('Lançamento de Cabos'!AE:AK,Tabela1[[#This Row],[Tag do Cabo]],'Lançamento de Cabos'!AG:AG)</f>
        <v>0</v>
      </c>
      <c r="AH370" s="29">
        <f>IFERROR(VLOOKUP(Tabela1[[#This Row],[Tag do Cabo]],'Lançamento de Cabos'!AE:AK,7,0),0)</f>
        <v>0</v>
      </c>
      <c r="AI370" s="262" t="s">
        <v>680</v>
      </c>
      <c r="AJ370" s="212" t="s">
        <v>1169</v>
      </c>
      <c r="AK370" s="46">
        <v>3184797</v>
      </c>
    </row>
    <row r="371" spans="1:37" s="262" customFormat="1" ht="15" customHeight="1" x14ac:dyDescent="0.2">
      <c r="A371" s="168" t="s">
        <v>1170</v>
      </c>
      <c r="B371" s="391" t="s">
        <v>101</v>
      </c>
      <c r="C371" s="391" t="s">
        <v>92</v>
      </c>
      <c r="D371" s="391" t="s">
        <v>92</v>
      </c>
      <c r="E371" s="3" t="s">
        <v>102</v>
      </c>
      <c r="F371" s="11" t="s">
        <v>92</v>
      </c>
      <c r="G371" s="391">
        <v>1</v>
      </c>
      <c r="H371" s="391">
        <v>10</v>
      </c>
      <c r="I371" s="391">
        <v>10</v>
      </c>
      <c r="J371" s="391" t="s">
        <v>103</v>
      </c>
      <c r="K371" s="262" t="s">
        <v>971</v>
      </c>
      <c r="L371" s="262" t="s">
        <v>1171</v>
      </c>
      <c r="M371" s="22" t="s">
        <v>86</v>
      </c>
      <c r="N371" s="22" t="s">
        <v>86</v>
      </c>
      <c r="O371" s="22" t="s">
        <v>86</v>
      </c>
      <c r="P371" s="22" t="s">
        <v>86</v>
      </c>
      <c r="Q371" s="91" t="s">
        <v>106</v>
      </c>
      <c r="R371" s="23">
        <f>SUMIF('Lançamento de Cabos'!$B:$B,Tabela1[[#This Row],[Tag do Cabo]],'Lançamento de Cabos'!$C:$C)</f>
        <v>0</v>
      </c>
      <c r="S371" s="391">
        <f>VLOOKUP(Tabela1[[#This Row],[Tag do Cabo]],'Diagramas Ligações'!A:V,14,0)</f>
        <v>2</v>
      </c>
      <c r="T371" s="262" t="s">
        <v>88</v>
      </c>
      <c r="U371" s="391">
        <v>5</v>
      </c>
      <c r="V371" s="391" t="s">
        <v>107</v>
      </c>
      <c r="W371" s="391" t="s">
        <v>89</v>
      </c>
      <c r="X371" s="32">
        <v>44177</v>
      </c>
      <c r="Y371" s="32">
        <v>44218</v>
      </c>
      <c r="Z371" s="31" t="s">
        <v>1172</v>
      </c>
      <c r="AA371" s="45" t="s">
        <v>898</v>
      </c>
      <c r="AB37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1" s="391">
        <f>IF(Tabela1[[#This Row],[Qtde. Lançada]]&gt;Tabela1[[#This Row],[Comprimento Total]],Tabela1[[#This Row],[Qtde. Lançada]],Tabela1[[#This Row],[Comprimento Total]])</f>
        <v>10</v>
      </c>
      <c r="AE371" s="391" t="s">
        <v>92</v>
      </c>
      <c r="AF371" s="391" t="s">
        <v>1173</v>
      </c>
      <c r="AG371" s="391">
        <f ca="1">SUMIF('Lançamento de Cabos'!AE:AK,Tabela1[[#This Row],[Tag do Cabo]],'Lançamento de Cabos'!AG:AG)</f>
        <v>0</v>
      </c>
      <c r="AH371" s="29">
        <f>IFERROR(VLOOKUP(Tabela1[[#This Row],[Tag do Cabo]],'Lançamento de Cabos'!AE:AK,7,0),0)</f>
        <v>0</v>
      </c>
      <c r="AI371" s="262" t="s">
        <v>98</v>
      </c>
      <c r="AJ371" s="212" t="s">
        <v>666</v>
      </c>
      <c r="AK371" s="46">
        <v>3173229</v>
      </c>
    </row>
    <row r="372" spans="1:37" s="262" customFormat="1" ht="15" customHeight="1" x14ac:dyDescent="0.2">
      <c r="A372" s="168" t="s">
        <v>1174</v>
      </c>
      <c r="B372" s="391" t="s">
        <v>101</v>
      </c>
      <c r="C372" s="391" t="s">
        <v>92</v>
      </c>
      <c r="D372" s="391" t="s">
        <v>92</v>
      </c>
      <c r="E372" s="3" t="s">
        <v>102</v>
      </c>
      <c r="F372" s="11" t="s">
        <v>92</v>
      </c>
      <c r="G372" s="391">
        <v>1</v>
      </c>
      <c r="H372" s="391">
        <v>10</v>
      </c>
      <c r="I372" s="391">
        <v>10</v>
      </c>
      <c r="J372" s="391" t="s">
        <v>103</v>
      </c>
      <c r="K372" s="262" t="s">
        <v>971</v>
      </c>
      <c r="L372" s="262" t="s">
        <v>1175</v>
      </c>
      <c r="M372" s="22" t="s">
        <v>86</v>
      </c>
      <c r="N372" s="22" t="s">
        <v>86</v>
      </c>
      <c r="O372" s="22" t="s">
        <v>86</v>
      </c>
      <c r="P372" s="22" t="s">
        <v>86</v>
      </c>
      <c r="Q372" s="91" t="s">
        <v>106</v>
      </c>
      <c r="R372" s="23">
        <f>SUMIF('Lançamento de Cabos'!$B:$B,Tabela1[[#This Row],[Tag do Cabo]],'Lançamento de Cabos'!$C:$C)</f>
        <v>0</v>
      </c>
      <c r="S372" s="391">
        <f>VLOOKUP(Tabela1[[#This Row],[Tag do Cabo]],'Diagramas Ligações'!A:V,14,0)</f>
        <v>2</v>
      </c>
      <c r="T372" s="262" t="s">
        <v>88</v>
      </c>
      <c r="U372" s="391">
        <v>5</v>
      </c>
      <c r="V372" s="391" t="s">
        <v>107</v>
      </c>
      <c r="W372" s="391" t="s">
        <v>89</v>
      </c>
      <c r="X372" s="32">
        <v>44216</v>
      </c>
      <c r="Y372" s="32">
        <v>44216</v>
      </c>
      <c r="Z372" s="32" t="s">
        <v>897</v>
      </c>
      <c r="AA372" s="45" t="s">
        <v>898</v>
      </c>
      <c r="AB37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2" s="391">
        <f>IF(Tabela1[[#This Row],[Qtde. Lançada]]&gt;Tabela1[[#This Row],[Comprimento Total]],Tabela1[[#This Row],[Qtde. Lançada]],Tabela1[[#This Row],[Comprimento Total]])</f>
        <v>10</v>
      </c>
      <c r="AE372" s="391" t="s">
        <v>92</v>
      </c>
      <c r="AF372" s="391" t="s">
        <v>1173</v>
      </c>
      <c r="AG372" s="391">
        <f ca="1">SUMIF('Lançamento de Cabos'!AE:AK,Tabela1[[#This Row],[Tag do Cabo]],'Lançamento de Cabos'!AG:AG)</f>
        <v>0</v>
      </c>
      <c r="AH372" s="29">
        <f>IFERROR(VLOOKUP(Tabela1[[#This Row],[Tag do Cabo]],'Lançamento de Cabos'!AE:AK,7,0),0)</f>
        <v>0</v>
      </c>
      <c r="AI372" s="262" t="s">
        <v>98</v>
      </c>
      <c r="AJ372" s="212" t="s">
        <v>666</v>
      </c>
      <c r="AK372" s="46">
        <v>3173229</v>
      </c>
    </row>
    <row r="373" spans="1:37" s="262" customFormat="1" ht="15" customHeight="1" x14ac:dyDescent="0.2">
      <c r="A373" s="168" t="s">
        <v>1176</v>
      </c>
      <c r="B373" s="391" t="s">
        <v>40</v>
      </c>
      <c r="C373" s="391" t="s">
        <v>92</v>
      </c>
      <c r="D373" s="391" t="s">
        <v>92</v>
      </c>
      <c r="E373" s="3" t="s">
        <v>318</v>
      </c>
      <c r="F373" s="11" t="s">
        <v>92</v>
      </c>
      <c r="G373" s="391">
        <v>1</v>
      </c>
      <c r="H373" s="391">
        <v>50</v>
      </c>
      <c r="I373" s="391">
        <v>50</v>
      </c>
      <c r="J373" s="391" t="s">
        <v>319</v>
      </c>
      <c r="K373" s="262" t="s">
        <v>1177</v>
      </c>
      <c r="L373" s="262" t="s">
        <v>1178</v>
      </c>
      <c r="M373" s="22" t="s">
        <v>86</v>
      </c>
      <c r="N373" s="22" t="s">
        <v>86</v>
      </c>
      <c r="O373" s="22" t="s">
        <v>86</v>
      </c>
      <c r="P373" s="22" t="s">
        <v>86</v>
      </c>
      <c r="Q373" s="91" t="s">
        <v>106</v>
      </c>
      <c r="R373" s="391">
        <f>SUMIF('Lançamento de Cabos'!$B:$B,Tabela1[[#This Row],[Tag do Cabo]],'Lançamento de Cabos'!$C:$C)</f>
        <v>0</v>
      </c>
      <c r="S373" s="391">
        <f>VLOOKUP(Tabela1[[#This Row],[Tag do Cabo]],'Diagramas Ligações'!A:V,14,0)</f>
        <v>2</v>
      </c>
      <c r="T373" s="262" t="s">
        <v>88</v>
      </c>
      <c r="U373" s="391">
        <v>5</v>
      </c>
      <c r="V373" s="391" t="s">
        <v>107</v>
      </c>
      <c r="W373" s="391" t="s">
        <v>89</v>
      </c>
      <c r="X373" s="32">
        <v>44177</v>
      </c>
      <c r="Y373" s="32">
        <v>44218</v>
      </c>
      <c r="Z373" s="31" t="s">
        <v>1172</v>
      </c>
      <c r="AA373" s="45">
        <v>222</v>
      </c>
      <c r="AB37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3" s="391">
        <f>IF(Tabela1[[#This Row],[Qtde. Lançada]]&gt;Tabela1[[#This Row],[Comprimento Total]],Tabela1[[#This Row],[Qtde. Lançada]],Tabela1[[#This Row],[Comprimento Total]])</f>
        <v>50</v>
      </c>
      <c r="AE373" s="391" t="s">
        <v>92</v>
      </c>
      <c r="AF373" s="391" t="s">
        <v>1179</v>
      </c>
      <c r="AG373" s="391">
        <f ca="1">SUMIF('Lançamento de Cabos'!AE:AK,Tabela1[[#This Row],[Tag do Cabo]],'Lançamento de Cabos'!AG:AG)</f>
        <v>0</v>
      </c>
      <c r="AH373" s="29">
        <f>IFERROR(VLOOKUP(Tabela1[[#This Row],[Tag do Cabo]],'Lançamento de Cabos'!AE:AK,7,0),0)</f>
        <v>0</v>
      </c>
      <c r="AI373" s="262" t="s">
        <v>98</v>
      </c>
      <c r="AJ373" s="212" t="s">
        <v>1180</v>
      </c>
      <c r="AK373" s="46">
        <v>3143911</v>
      </c>
    </row>
    <row r="374" spans="1:37" s="262" customFormat="1" ht="15" customHeight="1" x14ac:dyDescent="0.2">
      <c r="A374" s="168" t="s">
        <v>1181</v>
      </c>
      <c r="B374" s="391" t="s">
        <v>40</v>
      </c>
      <c r="C374" s="391" t="s">
        <v>92</v>
      </c>
      <c r="D374" s="391" t="s">
        <v>92</v>
      </c>
      <c r="E374" s="3" t="s">
        <v>318</v>
      </c>
      <c r="F374" s="11" t="s">
        <v>92</v>
      </c>
      <c r="G374" s="391">
        <v>1</v>
      </c>
      <c r="H374" s="391">
        <v>50</v>
      </c>
      <c r="I374" s="391">
        <v>50</v>
      </c>
      <c r="J374" s="391" t="s">
        <v>319</v>
      </c>
      <c r="K374" s="262" t="s">
        <v>1177</v>
      </c>
      <c r="L374" s="262" t="s">
        <v>1182</v>
      </c>
      <c r="M374" s="22" t="s">
        <v>86</v>
      </c>
      <c r="N374" s="22" t="s">
        <v>86</v>
      </c>
      <c r="O374" s="22" t="s">
        <v>86</v>
      </c>
      <c r="P374" s="22" t="s">
        <v>86</v>
      </c>
      <c r="Q374" s="91" t="s">
        <v>106</v>
      </c>
      <c r="R374" s="391">
        <f>SUMIF('Lançamento de Cabos'!$B:$B,Tabela1[[#This Row],[Tag do Cabo]],'Lançamento de Cabos'!$C:$C)</f>
        <v>0</v>
      </c>
      <c r="S374" s="391">
        <f>VLOOKUP(Tabela1[[#This Row],[Tag do Cabo]],'Diagramas Ligações'!A:V,14,0)</f>
        <v>2</v>
      </c>
      <c r="T374" s="262" t="s">
        <v>88</v>
      </c>
      <c r="U374" s="391">
        <v>5</v>
      </c>
      <c r="V374" s="391" t="s">
        <v>107</v>
      </c>
      <c r="W374" s="391" t="s">
        <v>89</v>
      </c>
      <c r="X374" s="32">
        <v>44177</v>
      </c>
      <c r="Y374" s="32">
        <v>44218</v>
      </c>
      <c r="Z374" s="31" t="s">
        <v>1172</v>
      </c>
      <c r="AA374" s="45">
        <v>222</v>
      </c>
      <c r="AB37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4" s="391">
        <f>IF(Tabela1[[#This Row],[Qtde. Lançada]]&gt;Tabela1[[#This Row],[Comprimento Total]],Tabela1[[#This Row],[Qtde. Lançada]],Tabela1[[#This Row],[Comprimento Total]])</f>
        <v>50</v>
      </c>
      <c r="AE374" s="391" t="s">
        <v>92</v>
      </c>
      <c r="AF374" s="391" t="s">
        <v>1179</v>
      </c>
      <c r="AG374" s="391">
        <f ca="1">SUMIF('Lançamento de Cabos'!AE:AK,Tabela1[[#This Row],[Tag do Cabo]],'Lançamento de Cabos'!AG:AG)</f>
        <v>0</v>
      </c>
      <c r="AH374" s="29">
        <f>IFERROR(VLOOKUP(Tabela1[[#This Row],[Tag do Cabo]],'Lançamento de Cabos'!AE:AK,7,0),0)</f>
        <v>0</v>
      </c>
      <c r="AI374" s="262" t="s">
        <v>98</v>
      </c>
      <c r="AJ374" s="212" t="s">
        <v>1180</v>
      </c>
      <c r="AK374" s="46">
        <v>3143911</v>
      </c>
    </row>
    <row r="375" spans="1:37" s="262" customFormat="1" ht="15" customHeight="1" x14ac:dyDescent="0.2">
      <c r="A375" s="168" t="s">
        <v>1183</v>
      </c>
      <c r="B375" s="391" t="s">
        <v>101</v>
      </c>
      <c r="C375" s="391" t="s">
        <v>92</v>
      </c>
      <c r="D375" s="391" t="s">
        <v>92</v>
      </c>
      <c r="E375" s="3" t="s">
        <v>581</v>
      </c>
      <c r="F375" s="11" t="s">
        <v>92</v>
      </c>
      <c r="G375" s="391">
        <v>1</v>
      </c>
      <c r="H375" s="391">
        <v>770</v>
      </c>
      <c r="I375" s="391">
        <v>770</v>
      </c>
      <c r="J375" s="391" t="s">
        <v>103</v>
      </c>
      <c r="K375" s="262" t="s">
        <v>971</v>
      </c>
      <c r="L375" s="262" t="s">
        <v>1184</v>
      </c>
      <c r="M375" s="22" t="s">
        <v>86</v>
      </c>
      <c r="N375" s="22" t="s">
        <v>86</v>
      </c>
      <c r="O375" s="22" t="s">
        <v>86</v>
      </c>
      <c r="P375" s="22" t="s">
        <v>86</v>
      </c>
      <c r="Q375" s="91" t="s">
        <v>583</v>
      </c>
      <c r="R375" s="23">
        <f>SUMIF('Lançamento de Cabos'!$B:$B,Tabela1[[#This Row],[Tag do Cabo]],'Lançamento de Cabos'!$C:$C)</f>
        <v>910</v>
      </c>
      <c r="S375" s="391">
        <f>VLOOKUP(Tabela1[[#This Row],[Tag do Cabo]],'Diagramas Ligações'!A:V,14,0)</f>
        <v>8</v>
      </c>
      <c r="T375" s="262" t="s">
        <v>88</v>
      </c>
      <c r="U375" s="391">
        <v>5</v>
      </c>
      <c r="V375" s="391" t="s">
        <v>107</v>
      </c>
      <c r="W375" s="391" t="s">
        <v>89</v>
      </c>
      <c r="X375" s="32">
        <v>44177</v>
      </c>
      <c r="Y375" s="32">
        <v>44181</v>
      </c>
      <c r="Z375" s="3" t="s">
        <v>584</v>
      </c>
      <c r="AA375" s="45">
        <v>156</v>
      </c>
      <c r="AB37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5" s="391">
        <f>IF(Tabela1[[#This Row],[Qtde. Lançada]]&gt;Tabela1[[#This Row],[Comprimento Total]],Tabela1[[#This Row],[Qtde. Lançada]],Tabela1[[#This Row],[Comprimento Total]])</f>
        <v>910</v>
      </c>
      <c r="AE375" s="391" t="s">
        <v>92</v>
      </c>
      <c r="AF375" s="391" t="s">
        <v>1185</v>
      </c>
      <c r="AG375" s="391">
        <f ca="1">SUMIF('Lançamento de Cabos'!AE:AK,Tabela1[[#This Row],[Tag do Cabo]],'Lançamento de Cabos'!AG:AG)</f>
        <v>0</v>
      </c>
      <c r="AH375" s="29">
        <f>IFERROR(VLOOKUP(Tabela1[[#This Row],[Tag do Cabo]],'Lançamento de Cabos'!AE:AK,7,0),0)</f>
        <v>0</v>
      </c>
      <c r="AI375" s="262" t="s">
        <v>98</v>
      </c>
      <c r="AJ375" s="212" t="s">
        <v>1186</v>
      </c>
      <c r="AK375" s="46">
        <v>3056722</v>
      </c>
    </row>
    <row r="376" spans="1:37" s="262" customFormat="1" ht="15" customHeight="1" x14ac:dyDescent="0.2">
      <c r="A376" s="168" t="s">
        <v>1187</v>
      </c>
      <c r="B376" s="391" t="s">
        <v>101</v>
      </c>
      <c r="C376" s="391" t="s">
        <v>92</v>
      </c>
      <c r="D376" s="391" t="s">
        <v>92</v>
      </c>
      <c r="E376" s="3" t="s">
        <v>581</v>
      </c>
      <c r="F376" s="11" t="s">
        <v>92</v>
      </c>
      <c r="G376" s="391">
        <v>1</v>
      </c>
      <c r="H376" s="391">
        <v>800</v>
      </c>
      <c r="I376" s="391">
        <v>800</v>
      </c>
      <c r="J376" s="391" t="s">
        <v>103</v>
      </c>
      <c r="K376" s="262" t="s">
        <v>1188</v>
      </c>
      <c r="L376" s="324" t="s">
        <v>1189</v>
      </c>
      <c r="M376" s="22" t="s">
        <v>86</v>
      </c>
      <c r="N376" s="22" t="s">
        <v>86</v>
      </c>
      <c r="O376" s="22" t="s">
        <v>86</v>
      </c>
      <c r="P376" s="22" t="s">
        <v>86</v>
      </c>
      <c r="Q376" s="391" t="s">
        <v>583</v>
      </c>
      <c r="R376" s="23">
        <f>SUMIF('Lançamento de Cabos'!$B:$B,Tabela1[[#This Row],[Tag do Cabo]],'Lançamento de Cabos'!$C:$C)</f>
        <v>910</v>
      </c>
      <c r="S376" s="23">
        <f>VLOOKUP(Tabela1[[#This Row],[Tag do Cabo]],'Diagramas Ligações'!A:V,14,0)</f>
        <v>8</v>
      </c>
      <c r="T376" s="262" t="s">
        <v>88</v>
      </c>
      <c r="U376" s="391">
        <v>5</v>
      </c>
      <c r="V376" s="391" t="s">
        <v>107</v>
      </c>
      <c r="W376" s="391" t="s">
        <v>92</v>
      </c>
      <c r="X376" s="32">
        <v>44246</v>
      </c>
      <c r="Y376" s="32">
        <v>44249</v>
      </c>
      <c r="Z376" s="3" t="s">
        <v>1190</v>
      </c>
      <c r="AA376" s="45">
        <v>159</v>
      </c>
      <c r="AB37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6" s="23">
        <f>IF(Tabela1[[#This Row],[Qtde. Lançada]]&gt;Tabela1[[#This Row],[Comprimento Total]],Tabela1[[#This Row],[Qtde. Lançada]],Tabela1[[#This Row],[Comprimento Total]])</f>
        <v>910</v>
      </c>
      <c r="AE376" s="262" t="s">
        <v>156</v>
      </c>
      <c r="AF376" s="391" t="s">
        <v>1185</v>
      </c>
      <c r="AG376" s="23">
        <f ca="1">SUMIF('Lançamento de Cabos'!AE:AK,Tabela1[[#This Row],[Tag do Cabo]],'Lançamento de Cabos'!AG:AG)</f>
        <v>0</v>
      </c>
      <c r="AH376" s="29">
        <f>IFERROR(VLOOKUP(Tabela1[[#This Row],[Tag do Cabo]],'Lançamento de Cabos'!AE:AK,7,0),0)</f>
        <v>0</v>
      </c>
      <c r="AI376" s="262" t="s">
        <v>98</v>
      </c>
      <c r="AJ376" s="212" t="s">
        <v>1191</v>
      </c>
      <c r="AK376" s="46">
        <v>3056722</v>
      </c>
    </row>
    <row r="377" spans="1:37" s="262" customFormat="1" ht="15" customHeight="1" x14ac:dyDescent="0.2">
      <c r="A377" s="168" t="s">
        <v>1192</v>
      </c>
      <c r="B377" s="391" t="s">
        <v>101</v>
      </c>
      <c r="C377" s="391" t="s">
        <v>92</v>
      </c>
      <c r="D377" s="391" t="s">
        <v>92</v>
      </c>
      <c r="E377" s="3" t="s">
        <v>581</v>
      </c>
      <c r="F377" s="11" t="s">
        <v>92</v>
      </c>
      <c r="G377" s="391">
        <v>1</v>
      </c>
      <c r="H377" s="391">
        <v>770</v>
      </c>
      <c r="I377" s="391">
        <v>770</v>
      </c>
      <c r="J377" s="391" t="s">
        <v>103</v>
      </c>
      <c r="K377" s="262" t="s">
        <v>971</v>
      </c>
      <c r="L377" s="262" t="s">
        <v>1184</v>
      </c>
      <c r="M377" s="22" t="s">
        <v>86</v>
      </c>
      <c r="N377" s="22" t="s">
        <v>86</v>
      </c>
      <c r="O377" s="22" t="s">
        <v>86</v>
      </c>
      <c r="P377" s="22" t="s">
        <v>86</v>
      </c>
      <c r="Q377" s="91" t="s">
        <v>583</v>
      </c>
      <c r="R377" s="23">
        <f>SUMIF('Lançamento de Cabos'!$B:$B,Tabela1[[#This Row],[Tag do Cabo]],'Lançamento de Cabos'!$C:$C)</f>
        <v>0</v>
      </c>
      <c r="S377" s="391">
        <f>VLOOKUP(Tabela1[[#This Row],[Tag do Cabo]],'Diagramas Ligações'!A:V,14,0)</f>
        <v>8</v>
      </c>
      <c r="T377" s="262" t="s">
        <v>88</v>
      </c>
      <c r="U377" s="391">
        <v>5</v>
      </c>
      <c r="V377" s="391" t="s">
        <v>107</v>
      </c>
      <c r="W377" s="391" t="s">
        <v>89</v>
      </c>
      <c r="X377" s="32">
        <v>44177</v>
      </c>
      <c r="Y377" s="32">
        <v>44267</v>
      </c>
      <c r="Z377" s="332" t="s">
        <v>1193</v>
      </c>
      <c r="AA377" s="45"/>
      <c r="AB37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D377" s="391">
        <f>IF(Tabela1[[#This Row],[Qtde. Lançada]]&gt;Tabela1[[#This Row],[Comprimento Total]],Tabela1[[#This Row],[Qtde. Lançada]],Tabela1[[#This Row],[Comprimento Total]])</f>
        <v>770</v>
      </c>
      <c r="AE377" s="391" t="s">
        <v>92</v>
      </c>
      <c r="AF377" s="391" t="s">
        <v>1185</v>
      </c>
      <c r="AG377" s="391">
        <f ca="1">SUMIF('Lançamento de Cabos'!AE:AK,Tabela1[[#This Row],[Tag do Cabo]],'Lançamento de Cabos'!AG:AG)</f>
        <v>0</v>
      </c>
      <c r="AH377" s="29">
        <f>IFERROR(VLOOKUP(Tabela1[[#This Row],[Tag do Cabo]],'Lançamento de Cabos'!AE:AK,7,0),0)</f>
        <v>0</v>
      </c>
      <c r="AI377" s="262" t="s">
        <v>98</v>
      </c>
      <c r="AJ377" s="212" t="s">
        <v>1194</v>
      </c>
      <c r="AK377" s="46">
        <v>3056722</v>
      </c>
    </row>
    <row r="378" spans="1:37" s="262" customFormat="1" ht="15" customHeight="1" x14ac:dyDescent="0.2">
      <c r="A378" s="168" t="s">
        <v>1195</v>
      </c>
      <c r="B378" s="391" t="s">
        <v>40</v>
      </c>
      <c r="C378" s="391" t="s">
        <v>92</v>
      </c>
      <c r="D378" s="391" t="s">
        <v>92</v>
      </c>
      <c r="E378" s="3" t="s">
        <v>1050</v>
      </c>
      <c r="F378" s="11" t="s">
        <v>92</v>
      </c>
      <c r="G378" s="391">
        <v>1</v>
      </c>
      <c r="H378" s="391">
        <v>50</v>
      </c>
      <c r="I378" s="391">
        <v>50</v>
      </c>
      <c r="J378" s="391" t="s">
        <v>319</v>
      </c>
      <c r="K378" s="262" t="s">
        <v>1196</v>
      </c>
      <c r="L378" s="262" t="s">
        <v>1197</v>
      </c>
      <c r="M378" s="22" t="s">
        <v>86</v>
      </c>
      <c r="N378" s="22" t="s">
        <v>86</v>
      </c>
      <c r="O378" s="22" t="s">
        <v>86</v>
      </c>
      <c r="P378" s="22" t="s">
        <v>86</v>
      </c>
      <c r="Q378" s="391" t="s">
        <v>321</v>
      </c>
      <c r="R378" s="391">
        <f>SUMIF('Lançamento de Cabos'!$B:$B,Tabela1[[#This Row],[Tag do Cabo]],'Lançamento de Cabos'!$C:$C)</f>
        <v>0</v>
      </c>
      <c r="S378" s="391">
        <f>VLOOKUP(Tabela1[[#This Row],[Tag do Cabo]],'Diagramas Ligações'!A:V,14,0)</f>
        <v>2</v>
      </c>
      <c r="T378" s="262" t="s">
        <v>305</v>
      </c>
      <c r="U378" s="391">
        <v>2</v>
      </c>
      <c r="V378" s="391" t="s">
        <v>107</v>
      </c>
      <c r="W378" s="391" t="s">
        <v>1198</v>
      </c>
      <c r="X378" s="32">
        <v>44177</v>
      </c>
      <c r="Y378" s="32">
        <v>44207</v>
      </c>
      <c r="Z378" s="3" t="s">
        <v>307</v>
      </c>
      <c r="AA378" s="45">
        <v>172</v>
      </c>
      <c r="AB37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8" s="391">
        <f>IF(Tabela1[[#This Row],[Qtde. Lançada]]&gt;Tabela1[[#This Row],[Comprimento Total]],Tabela1[[#This Row],[Qtde. Lançada]],Tabela1[[#This Row],[Comprimento Total]])</f>
        <v>50</v>
      </c>
      <c r="AE378" s="391" t="s">
        <v>92</v>
      </c>
      <c r="AF378" s="391" t="s">
        <v>1199</v>
      </c>
      <c r="AG378" s="391">
        <f ca="1">SUMIF('Lançamento de Cabos'!AE:AK,Tabela1[[#This Row],[Tag do Cabo]],'Lançamento de Cabos'!AG:AG)</f>
        <v>0</v>
      </c>
      <c r="AH378" s="29">
        <f>IFERROR(VLOOKUP(Tabela1[[#This Row],[Tag do Cabo]],'Lançamento de Cabos'!AE:AK,7,0),0)</f>
        <v>0</v>
      </c>
      <c r="AI378" s="262" t="s">
        <v>1200</v>
      </c>
      <c r="AJ378" s="212" t="s">
        <v>126</v>
      </c>
      <c r="AK378" s="46">
        <v>2089361</v>
      </c>
    </row>
    <row r="379" spans="1:37" s="262" customFormat="1" ht="15" customHeight="1" x14ac:dyDescent="0.2">
      <c r="A379" s="168" t="s">
        <v>1201</v>
      </c>
      <c r="B379" s="391" t="s">
        <v>37</v>
      </c>
      <c r="C379" s="391">
        <v>110</v>
      </c>
      <c r="D379" s="391" t="s">
        <v>80</v>
      </c>
      <c r="E379" s="3" t="s">
        <v>339</v>
      </c>
      <c r="F379" s="11">
        <v>4</v>
      </c>
      <c r="G379" s="391">
        <v>1</v>
      </c>
      <c r="H379" s="391">
        <v>30</v>
      </c>
      <c r="I379" s="391">
        <v>30</v>
      </c>
      <c r="J379" s="391" t="s">
        <v>1199</v>
      </c>
      <c r="K379" s="262" t="s">
        <v>1202</v>
      </c>
      <c r="L379" s="262" t="s">
        <v>1203</v>
      </c>
      <c r="M379" s="22" t="s">
        <v>85</v>
      </c>
      <c r="N379" s="23" t="str">
        <f>"Sim"</f>
        <v>Sim</v>
      </c>
      <c r="O379" s="22" t="s">
        <v>86</v>
      </c>
      <c r="P379" s="22" t="s">
        <v>86</v>
      </c>
      <c r="Q379" s="391" t="s">
        <v>87</v>
      </c>
      <c r="R379" s="23">
        <f>SUMIF('Lançamento de Cabos'!$B:$B,Tabela1[[#This Row],[Tag do Cabo]],'Lançamento de Cabos'!$C:$C)</f>
        <v>0</v>
      </c>
      <c r="S379" s="391">
        <f>VLOOKUP(Tabela1[[#This Row],[Tag do Cabo]],'Diagramas Ligações'!A:V,14,0)</f>
        <v>6</v>
      </c>
      <c r="T379" s="262" t="s">
        <v>88</v>
      </c>
      <c r="U379" s="391">
        <v>5</v>
      </c>
      <c r="V379" s="391" t="s">
        <v>140</v>
      </c>
      <c r="W379" s="391" t="s">
        <v>1198</v>
      </c>
      <c r="X379" s="32">
        <v>44177</v>
      </c>
      <c r="Y379" s="32">
        <v>44218</v>
      </c>
      <c r="Z379" s="3" t="s">
        <v>108</v>
      </c>
      <c r="AA379" s="45" t="s">
        <v>343</v>
      </c>
      <c r="AB37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79" s="391">
        <f>IF(Tabela1[[#This Row],[Qtde. Lançada]]&gt;Tabela1[[#This Row],[Comprimento Total]],Tabela1[[#This Row],[Qtde. Lançada]],Tabela1[[#This Row],[Comprimento Total]])</f>
        <v>30</v>
      </c>
      <c r="AE379" s="391" t="s">
        <v>92</v>
      </c>
      <c r="AF379" s="391" t="s">
        <v>1199</v>
      </c>
      <c r="AG379" s="391">
        <f ca="1">SUMIF('Lançamento de Cabos'!AE:AK,Tabela1[[#This Row],[Tag do Cabo]],'Lançamento de Cabos'!AG:AG)</f>
        <v>0</v>
      </c>
      <c r="AH379" s="29">
        <f>IFERROR(VLOOKUP(Tabela1[[#This Row],[Tag do Cabo]],'Lançamento de Cabos'!AE:AK,7,0),0)</f>
        <v>0</v>
      </c>
      <c r="AI379" s="262" t="s">
        <v>1200</v>
      </c>
      <c r="AJ379" s="212" t="s">
        <v>209</v>
      </c>
      <c r="AK379" s="46">
        <v>320680</v>
      </c>
    </row>
    <row r="380" spans="1:37" s="262" customFormat="1" ht="15" customHeight="1" x14ac:dyDescent="0.2">
      <c r="A380" s="168" t="s">
        <v>1204</v>
      </c>
      <c r="B380" s="391" t="s">
        <v>37</v>
      </c>
      <c r="C380" s="391">
        <v>110</v>
      </c>
      <c r="D380" s="391" t="s">
        <v>80</v>
      </c>
      <c r="E380" s="3" t="s">
        <v>339</v>
      </c>
      <c r="F380" s="11">
        <v>4</v>
      </c>
      <c r="G380" s="391">
        <v>1</v>
      </c>
      <c r="H380" s="391">
        <v>30</v>
      </c>
      <c r="I380" s="391">
        <v>30</v>
      </c>
      <c r="J380" s="391" t="s">
        <v>1199</v>
      </c>
      <c r="K380" s="262" t="s">
        <v>1205</v>
      </c>
      <c r="L380" s="262" t="s">
        <v>1203</v>
      </c>
      <c r="M380" s="22" t="s">
        <v>85</v>
      </c>
      <c r="N380" s="23" t="str">
        <f>"Sim"</f>
        <v>Sim</v>
      </c>
      <c r="O380" s="22" t="s">
        <v>86</v>
      </c>
      <c r="P380" s="22" t="s">
        <v>86</v>
      </c>
      <c r="Q380" s="391" t="s">
        <v>87</v>
      </c>
      <c r="R380" s="23">
        <f>SUMIF('Lançamento de Cabos'!$B:$B,Tabela1[[#This Row],[Tag do Cabo]],'Lançamento de Cabos'!$C:$C)</f>
        <v>0</v>
      </c>
      <c r="S380" s="391">
        <f>VLOOKUP(Tabela1[[#This Row],[Tag do Cabo]],'Diagramas Ligações'!A:V,14,0)</f>
        <v>6</v>
      </c>
      <c r="T380" s="262" t="s">
        <v>88</v>
      </c>
      <c r="U380" s="391">
        <v>5</v>
      </c>
      <c r="V380" s="391" t="s">
        <v>140</v>
      </c>
      <c r="W380" s="391" t="s">
        <v>1198</v>
      </c>
      <c r="X380" s="32">
        <v>44177</v>
      </c>
      <c r="Y380" s="32">
        <v>44218</v>
      </c>
      <c r="Z380" s="3" t="s">
        <v>108</v>
      </c>
      <c r="AA380" s="45" t="s">
        <v>343</v>
      </c>
      <c r="AB38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80" s="391">
        <f>IF(Tabela1[[#This Row],[Qtde. Lançada]]&gt;Tabela1[[#This Row],[Comprimento Total]],Tabela1[[#This Row],[Qtde. Lançada]],Tabela1[[#This Row],[Comprimento Total]])</f>
        <v>30</v>
      </c>
      <c r="AE380" s="391" t="s">
        <v>92</v>
      </c>
      <c r="AF380" s="391" t="s">
        <v>1199</v>
      </c>
      <c r="AG380" s="391">
        <f ca="1">SUMIF('Lançamento de Cabos'!AE:AK,Tabela1[[#This Row],[Tag do Cabo]],'Lançamento de Cabos'!AG:AG)</f>
        <v>0</v>
      </c>
      <c r="AH380" s="29">
        <f>IFERROR(VLOOKUP(Tabela1[[#This Row],[Tag do Cabo]],'Lançamento de Cabos'!AE:AK,7,0),0)</f>
        <v>0</v>
      </c>
      <c r="AI380" s="262" t="s">
        <v>1200</v>
      </c>
      <c r="AJ380" s="212" t="s">
        <v>209</v>
      </c>
      <c r="AK380" s="46">
        <v>320680</v>
      </c>
    </row>
    <row r="381" spans="1:37" s="262" customFormat="1" ht="15" customHeight="1" x14ac:dyDescent="0.2">
      <c r="A381" s="168" t="s">
        <v>1206</v>
      </c>
      <c r="B381" s="391" t="s">
        <v>37</v>
      </c>
      <c r="C381" s="391">
        <v>120</v>
      </c>
      <c r="D381" s="391" t="s">
        <v>80</v>
      </c>
      <c r="E381" s="3" t="s">
        <v>1207</v>
      </c>
      <c r="F381" s="11">
        <v>16</v>
      </c>
      <c r="G381" s="391">
        <v>1</v>
      </c>
      <c r="H381" s="391">
        <v>150</v>
      </c>
      <c r="I381" s="391">
        <v>150</v>
      </c>
      <c r="J381" s="391" t="s">
        <v>235</v>
      </c>
      <c r="K381" s="262" t="s">
        <v>1208</v>
      </c>
      <c r="L381" s="262" t="s">
        <v>1209</v>
      </c>
      <c r="M381" s="22" t="s">
        <v>85</v>
      </c>
      <c r="N381" s="22" t="s">
        <v>86</v>
      </c>
      <c r="O381" s="391" t="str">
        <f>"Sim"</f>
        <v>Sim</v>
      </c>
      <c r="P381" s="22" t="s">
        <v>86</v>
      </c>
      <c r="Q381" s="91" t="s">
        <v>284</v>
      </c>
      <c r="R381" s="391">
        <f>SUMIF('Lançamento de Cabos'!$B:$B,Tabela1[[#This Row],[Tag do Cabo]],'Lançamento de Cabos'!$C:$C)</f>
        <v>150</v>
      </c>
      <c r="S381" s="391">
        <f>VLOOKUP(Tabela1[[#This Row],[Tag do Cabo]],'Diagramas Ligações'!A:V,14,0)</f>
        <v>4</v>
      </c>
      <c r="T381" s="262" t="s">
        <v>88</v>
      </c>
      <c r="U381" s="391">
        <v>5</v>
      </c>
      <c r="V381" s="391"/>
      <c r="W381" s="391" t="s">
        <v>198</v>
      </c>
      <c r="X381" s="32">
        <v>44177</v>
      </c>
      <c r="Y381" s="32">
        <v>44218</v>
      </c>
      <c r="Z381" s="31" t="s">
        <v>1172</v>
      </c>
      <c r="AA381" s="45">
        <v>2</v>
      </c>
      <c r="AB38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1" s="262" t="s">
        <v>1210</v>
      </c>
      <c r="AD381" s="391">
        <f>IF(Tabela1[[#This Row],[Qtde. Lançada]]&gt;Tabela1[[#This Row],[Comprimento Total]],Tabela1[[#This Row],[Qtde. Lançada]],Tabela1[[#This Row],[Comprimento Total]])</f>
        <v>150</v>
      </c>
      <c r="AE381" s="391" t="s">
        <v>92</v>
      </c>
      <c r="AF381" s="391" t="s">
        <v>1211</v>
      </c>
      <c r="AG381" s="391">
        <f ca="1">SUMIF('Lançamento de Cabos'!AE:AK,Tabela1[[#This Row],[Tag do Cabo]],'Lançamento de Cabos'!AG:AG)</f>
        <v>0</v>
      </c>
      <c r="AH381" s="29">
        <f>IFERROR(VLOOKUP(Tabela1[[#This Row],[Tag do Cabo]],'Lançamento de Cabos'!AE:AK,7,0),0)</f>
        <v>0</v>
      </c>
      <c r="AI381" s="262" t="s">
        <v>94</v>
      </c>
      <c r="AJ381" s="212" t="s">
        <v>261</v>
      </c>
      <c r="AK381" s="46">
        <v>3159373</v>
      </c>
    </row>
    <row r="382" spans="1:37" s="262" customFormat="1" ht="15" customHeight="1" x14ac:dyDescent="0.2">
      <c r="A382" s="168" t="s">
        <v>1212</v>
      </c>
      <c r="B382" s="391" t="s">
        <v>37</v>
      </c>
      <c r="C382" s="391">
        <v>120</v>
      </c>
      <c r="D382" s="391" t="s">
        <v>80</v>
      </c>
      <c r="E382" s="3" t="s">
        <v>1207</v>
      </c>
      <c r="F382" s="11">
        <v>16</v>
      </c>
      <c r="G382" s="391">
        <v>1</v>
      </c>
      <c r="H382" s="391">
        <v>150</v>
      </c>
      <c r="I382" s="391">
        <v>150</v>
      </c>
      <c r="J382" s="391" t="s">
        <v>235</v>
      </c>
      <c r="K382" s="262" t="s">
        <v>1213</v>
      </c>
      <c r="L382" s="262" t="s">
        <v>1209</v>
      </c>
      <c r="M382" s="22" t="s">
        <v>85</v>
      </c>
      <c r="N382" s="22" t="s">
        <v>86</v>
      </c>
      <c r="O382" s="391" t="str">
        <f>"Sim"</f>
        <v>Sim</v>
      </c>
      <c r="P382" s="22" t="s">
        <v>86</v>
      </c>
      <c r="Q382" s="91" t="s">
        <v>284</v>
      </c>
      <c r="R382" s="391">
        <f>SUMIF('Lançamento de Cabos'!$B:$B,Tabela1[[#This Row],[Tag do Cabo]],'Lançamento de Cabos'!$C:$C)</f>
        <v>150</v>
      </c>
      <c r="S382" s="391">
        <f>VLOOKUP(Tabela1[[#This Row],[Tag do Cabo]],'Diagramas Ligações'!A:V,14,0)</f>
        <v>4</v>
      </c>
      <c r="T382" s="262" t="s">
        <v>88</v>
      </c>
      <c r="U382" s="391">
        <v>5</v>
      </c>
      <c r="V382" s="391"/>
      <c r="W382" s="391" t="s">
        <v>198</v>
      </c>
      <c r="X382" s="32">
        <v>44177</v>
      </c>
      <c r="Y382" s="32">
        <v>44218</v>
      </c>
      <c r="Z382" s="31" t="s">
        <v>1172</v>
      </c>
      <c r="AA382" s="45">
        <v>2</v>
      </c>
      <c r="AB38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2" s="262" t="s">
        <v>1210</v>
      </c>
      <c r="AD382" s="391">
        <f>IF(Tabela1[[#This Row],[Qtde. Lançada]]&gt;Tabela1[[#This Row],[Comprimento Total]],Tabela1[[#This Row],[Qtde. Lançada]],Tabela1[[#This Row],[Comprimento Total]])</f>
        <v>150</v>
      </c>
      <c r="AE382" s="391" t="s">
        <v>92</v>
      </c>
      <c r="AF382" s="391" t="s">
        <v>1211</v>
      </c>
      <c r="AG382" s="391">
        <f ca="1">SUMIF('Lançamento de Cabos'!AE:AK,Tabela1[[#This Row],[Tag do Cabo]],'Lançamento de Cabos'!AG:AG)</f>
        <v>0</v>
      </c>
      <c r="AH382" s="29">
        <f>IFERROR(VLOOKUP(Tabela1[[#This Row],[Tag do Cabo]],'Lançamento de Cabos'!AE:AK,7,0),0)</f>
        <v>0</v>
      </c>
      <c r="AI382" s="262" t="s">
        <v>94</v>
      </c>
      <c r="AJ382" s="212" t="s">
        <v>261</v>
      </c>
      <c r="AK382" s="46">
        <v>3159373</v>
      </c>
    </row>
    <row r="383" spans="1:37" s="262" customFormat="1" ht="15" customHeight="1" x14ac:dyDescent="0.2">
      <c r="A383" s="168" t="s">
        <v>1214</v>
      </c>
      <c r="B383" s="391" t="s">
        <v>37</v>
      </c>
      <c r="C383" s="391">
        <v>120</v>
      </c>
      <c r="D383" s="391" t="s">
        <v>80</v>
      </c>
      <c r="E383" s="3" t="s">
        <v>1207</v>
      </c>
      <c r="F383" s="11">
        <v>16</v>
      </c>
      <c r="G383" s="391">
        <v>1</v>
      </c>
      <c r="H383" s="391">
        <v>150</v>
      </c>
      <c r="I383" s="391">
        <v>150</v>
      </c>
      <c r="J383" s="391" t="s">
        <v>235</v>
      </c>
      <c r="K383" s="262" t="s">
        <v>1215</v>
      </c>
      <c r="L383" s="262" t="s">
        <v>1209</v>
      </c>
      <c r="M383" s="22" t="s">
        <v>85</v>
      </c>
      <c r="N383" s="22" t="s">
        <v>86</v>
      </c>
      <c r="O383" s="391" t="str">
        <f>"Sim"</f>
        <v>Sim</v>
      </c>
      <c r="P383" s="22" t="s">
        <v>86</v>
      </c>
      <c r="Q383" s="91" t="s">
        <v>284</v>
      </c>
      <c r="R383" s="391">
        <f>SUMIF('Lançamento de Cabos'!$B:$B,Tabela1[[#This Row],[Tag do Cabo]],'Lançamento de Cabos'!$C:$C)</f>
        <v>150</v>
      </c>
      <c r="S383" s="391">
        <f>VLOOKUP(Tabela1[[#This Row],[Tag do Cabo]],'Diagramas Ligações'!A:V,14,0)</f>
        <v>4</v>
      </c>
      <c r="T383" s="262" t="s">
        <v>88</v>
      </c>
      <c r="U383" s="391">
        <v>5</v>
      </c>
      <c r="V383" s="391"/>
      <c r="W383" s="391" t="s">
        <v>198</v>
      </c>
      <c r="X383" s="32">
        <v>44177</v>
      </c>
      <c r="Y383" s="32">
        <v>44218</v>
      </c>
      <c r="Z383" s="31" t="s">
        <v>1172</v>
      </c>
      <c r="AA383" s="45">
        <v>177</v>
      </c>
      <c r="AB38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3" s="262" t="s">
        <v>1210</v>
      </c>
      <c r="AD383" s="391">
        <f>IF(Tabela1[[#This Row],[Qtde. Lançada]]&gt;Tabela1[[#This Row],[Comprimento Total]],Tabela1[[#This Row],[Qtde. Lançada]],Tabela1[[#This Row],[Comprimento Total]])</f>
        <v>150</v>
      </c>
      <c r="AE383" s="391" t="s">
        <v>92</v>
      </c>
      <c r="AF383" s="391" t="s">
        <v>1211</v>
      </c>
      <c r="AG383" s="391">
        <f ca="1">SUMIF('Lançamento de Cabos'!AE:AK,Tabela1[[#This Row],[Tag do Cabo]],'Lançamento de Cabos'!AG:AG)</f>
        <v>0</v>
      </c>
      <c r="AH383" s="29">
        <f>IFERROR(VLOOKUP(Tabela1[[#This Row],[Tag do Cabo]],'Lançamento de Cabos'!AE:AK,7,0),0)</f>
        <v>0</v>
      </c>
      <c r="AI383" s="262" t="s">
        <v>94</v>
      </c>
      <c r="AJ383" s="212" t="s">
        <v>261</v>
      </c>
      <c r="AK383" s="46">
        <v>905934</v>
      </c>
    </row>
    <row r="384" spans="1:37" s="262" customFormat="1" ht="15" customHeight="1" x14ac:dyDescent="0.2">
      <c r="A384" s="168" t="s">
        <v>1216</v>
      </c>
      <c r="B384" s="391" t="s">
        <v>101</v>
      </c>
      <c r="C384" s="391" t="s">
        <v>92</v>
      </c>
      <c r="D384" s="391" t="s">
        <v>92</v>
      </c>
      <c r="E384" s="3" t="s">
        <v>956</v>
      </c>
      <c r="F384" s="11" t="s">
        <v>92</v>
      </c>
      <c r="G384" s="391">
        <v>1</v>
      </c>
      <c r="H384" s="391">
        <v>85</v>
      </c>
      <c r="I384" s="391">
        <v>85</v>
      </c>
      <c r="J384" s="391" t="s">
        <v>103</v>
      </c>
      <c r="K384" s="262" t="s">
        <v>1217</v>
      </c>
      <c r="L384" s="262" t="s">
        <v>1218</v>
      </c>
      <c r="M384" s="22" t="s">
        <v>86</v>
      </c>
      <c r="N384" s="22" t="s">
        <v>86</v>
      </c>
      <c r="O384" s="22" t="s">
        <v>86</v>
      </c>
      <c r="P384" s="22" t="s">
        <v>86</v>
      </c>
      <c r="Q384" s="91" t="s">
        <v>304</v>
      </c>
      <c r="R384" s="391">
        <f>SUMIF('Lançamento de Cabos'!$B:$B,Tabela1[[#This Row],[Tag do Cabo]],'Lançamento de Cabos'!$C:$C)</f>
        <v>85</v>
      </c>
      <c r="S384" s="391">
        <f>VLOOKUP(Tabela1[[#This Row],[Tag do Cabo]],'Diagramas Ligações'!A:V,14,0)</f>
        <v>6</v>
      </c>
      <c r="T384" s="262" t="s">
        <v>305</v>
      </c>
      <c r="U384" s="391">
        <v>2</v>
      </c>
      <c r="V384" s="391" t="s">
        <v>107</v>
      </c>
      <c r="W384" s="391" t="s">
        <v>1219</v>
      </c>
      <c r="X384" s="32">
        <v>44177</v>
      </c>
      <c r="Y384" s="32">
        <v>44249</v>
      </c>
      <c r="Z384" s="3" t="s">
        <v>1220</v>
      </c>
      <c r="AA384" s="45">
        <v>152</v>
      </c>
      <c r="AB38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4" s="262" t="s">
        <v>1210</v>
      </c>
      <c r="AD384" s="391">
        <f>IF(Tabela1[[#This Row],[Qtde. Lançada]]&gt;Tabela1[[#This Row],[Comprimento Total]],Tabela1[[#This Row],[Qtde. Lançada]],Tabela1[[#This Row],[Comprimento Total]])</f>
        <v>85</v>
      </c>
      <c r="AE384" s="391" t="s">
        <v>92</v>
      </c>
      <c r="AF384" s="391" t="s">
        <v>1211</v>
      </c>
      <c r="AG384" s="391">
        <f ca="1">SUMIF('Lançamento de Cabos'!AE:AK,Tabela1[[#This Row],[Tag do Cabo]],'Lançamento de Cabos'!AG:AG)</f>
        <v>0</v>
      </c>
      <c r="AH384" s="29">
        <f>IFERROR(VLOOKUP(Tabela1[[#This Row],[Tag do Cabo]],'Lançamento de Cabos'!AE:AK,7,0),0)</f>
        <v>0</v>
      </c>
      <c r="AI384" s="262" t="s">
        <v>1200</v>
      </c>
      <c r="AJ384" s="212" t="s">
        <v>126</v>
      </c>
      <c r="AK384" s="46">
        <v>3008361</v>
      </c>
    </row>
    <row r="385" spans="1:37" s="262" customFormat="1" ht="15" customHeight="1" x14ac:dyDescent="0.2">
      <c r="A385" s="168" t="s">
        <v>1221</v>
      </c>
      <c r="B385" s="391" t="s">
        <v>38</v>
      </c>
      <c r="C385" s="391" t="s">
        <v>92</v>
      </c>
      <c r="D385" s="391" t="s">
        <v>92</v>
      </c>
      <c r="E385" s="3" t="s">
        <v>255</v>
      </c>
      <c r="F385" s="11">
        <v>1</v>
      </c>
      <c r="G385" s="391">
        <v>1</v>
      </c>
      <c r="H385" s="391">
        <v>70</v>
      </c>
      <c r="I385" s="391">
        <v>70</v>
      </c>
      <c r="J385" s="391" t="s">
        <v>235</v>
      </c>
      <c r="K385" s="262" t="s">
        <v>1222</v>
      </c>
      <c r="L385" s="262" t="s">
        <v>256</v>
      </c>
      <c r="M385" s="22" t="s">
        <v>85</v>
      </c>
      <c r="N385" s="391" t="str">
        <f t="shared" ref="N385:N397" si="12">"Sim"</f>
        <v>Sim</v>
      </c>
      <c r="O385" s="22" t="s">
        <v>86</v>
      </c>
      <c r="P385" s="22" t="s">
        <v>86</v>
      </c>
      <c r="Q385" s="391" t="s">
        <v>184</v>
      </c>
      <c r="R385" s="391">
        <f>SUMIF('Lançamento de Cabos'!$B:$B,Tabela1[[#This Row],[Tag do Cabo]],'Lançamento de Cabos'!$C:$C)</f>
        <v>70</v>
      </c>
      <c r="S385" s="391">
        <f>VLOOKUP(Tabela1[[#This Row],[Tag do Cabo]],'Diagramas Ligações'!A:V,14,0)</f>
        <v>8</v>
      </c>
      <c r="T385" s="262" t="s">
        <v>257</v>
      </c>
      <c r="U385" s="391">
        <v>2</v>
      </c>
      <c r="V385" s="391" t="s">
        <v>186</v>
      </c>
      <c r="W385" s="391" t="s">
        <v>258</v>
      </c>
      <c r="X385" s="32">
        <v>44177</v>
      </c>
      <c r="Y385" s="32">
        <v>44210</v>
      </c>
      <c r="Z385" s="3" t="s">
        <v>232</v>
      </c>
      <c r="AA385" s="45">
        <v>125</v>
      </c>
      <c r="AB38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5" s="262" t="s">
        <v>1210</v>
      </c>
      <c r="AD385" s="391">
        <f>IF(Tabela1[[#This Row],[Qtde. Lançada]]&gt;Tabela1[[#This Row],[Comprimento Total]],Tabela1[[#This Row],[Qtde. Lançada]],Tabela1[[#This Row],[Comprimento Total]])</f>
        <v>70</v>
      </c>
      <c r="AE385" s="262" t="s">
        <v>190</v>
      </c>
      <c r="AF385" s="391" t="s">
        <v>1211</v>
      </c>
      <c r="AG385" s="391">
        <f ca="1">SUMIF('Lançamento de Cabos'!AE:AK,Tabela1[[#This Row],[Tag do Cabo]],'Lançamento de Cabos'!AG:AG)</f>
        <v>0</v>
      </c>
      <c r="AH385" s="29">
        <f>IFERROR(VLOOKUP(Tabela1[[#This Row],[Tag do Cabo]],'Lançamento de Cabos'!AE:AK,7,0),0)</f>
        <v>0</v>
      </c>
      <c r="AI385" s="262" t="s">
        <v>259</v>
      </c>
      <c r="AJ385" s="212" t="s">
        <v>205</v>
      </c>
      <c r="AK385" s="46">
        <v>1423312</v>
      </c>
    </row>
    <row r="386" spans="1:37" s="262" customFormat="1" ht="15" customHeight="1" x14ac:dyDescent="0.2">
      <c r="A386" s="168" t="s">
        <v>1223</v>
      </c>
      <c r="B386" s="391" t="s">
        <v>38</v>
      </c>
      <c r="C386" s="391" t="s">
        <v>92</v>
      </c>
      <c r="D386" s="391" t="s">
        <v>92</v>
      </c>
      <c r="E386" s="3" t="s">
        <v>255</v>
      </c>
      <c r="F386" s="11">
        <v>1</v>
      </c>
      <c r="G386" s="391">
        <v>1</v>
      </c>
      <c r="H386" s="391">
        <v>70</v>
      </c>
      <c r="I386" s="391">
        <v>70</v>
      </c>
      <c r="J386" s="391" t="s">
        <v>235</v>
      </c>
      <c r="K386" s="262" t="s">
        <v>1222</v>
      </c>
      <c r="L386" s="262" t="s">
        <v>256</v>
      </c>
      <c r="M386" s="22" t="s">
        <v>85</v>
      </c>
      <c r="N386" s="391" t="str">
        <f t="shared" si="12"/>
        <v>Sim</v>
      </c>
      <c r="O386" s="22" t="s">
        <v>86</v>
      </c>
      <c r="P386" s="22" t="s">
        <v>86</v>
      </c>
      <c r="Q386" s="391" t="s">
        <v>184</v>
      </c>
      <c r="R386" s="391">
        <f>SUMIF('Lançamento de Cabos'!$B:$B,Tabela1[[#This Row],[Tag do Cabo]],'Lançamento de Cabos'!$C:$C)</f>
        <v>70</v>
      </c>
      <c r="S386" s="391">
        <f>VLOOKUP(Tabela1[[#This Row],[Tag do Cabo]],'Diagramas Ligações'!A:V,14,0)</f>
        <v>4</v>
      </c>
      <c r="T386" s="262" t="s">
        <v>257</v>
      </c>
      <c r="U386" s="391">
        <v>2</v>
      </c>
      <c r="V386" s="391" t="s">
        <v>186</v>
      </c>
      <c r="W386" s="391" t="s">
        <v>258</v>
      </c>
      <c r="X386" s="32">
        <v>44177</v>
      </c>
      <c r="Y386" s="32">
        <v>44210</v>
      </c>
      <c r="Z386" s="3" t="s">
        <v>232</v>
      </c>
      <c r="AA386" s="45">
        <v>125</v>
      </c>
      <c r="AB38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6" s="262" t="s">
        <v>1210</v>
      </c>
      <c r="AD386" s="391">
        <f>IF(Tabela1[[#This Row],[Qtde. Lançada]]&gt;Tabela1[[#This Row],[Comprimento Total]],Tabela1[[#This Row],[Qtde. Lançada]],Tabela1[[#This Row],[Comprimento Total]])</f>
        <v>70</v>
      </c>
      <c r="AE386" s="262" t="s">
        <v>190</v>
      </c>
      <c r="AF386" s="391" t="s">
        <v>1211</v>
      </c>
      <c r="AG386" s="391">
        <f ca="1">SUMIF('Lançamento de Cabos'!AE:AK,Tabela1[[#This Row],[Tag do Cabo]],'Lançamento de Cabos'!AG:AG)</f>
        <v>0</v>
      </c>
      <c r="AH386" s="29">
        <f>IFERROR(VLOOKUP(Tabela1[[#This Row],[Tag do Cabo]],'Lançamento de Cabos'!AE:AK,7,0),0)</f>
        <v>0</v>
      </c>
      <c r="AI386" s="262" t="s">
        <v>259</v>
      </c>
      <c r="AJ386" s="212" t="s">
        <v>212</v>
      </c>
      <c r="AK386" s="46">
        <v>1423312</v>
      </c>
    </row>
    <row r="387" spans="1:37" s="262" customFormat="1" ht="15" customHeight="1" x14ac:dyDescent="0.2">
      <c r="A387" s="168" t="s">
        <v>1224</v>
      </c>
      <c r="B387" s="391" t="s">
        <v>38</v>
      </c>
      <c r="C387" s="391" t="s">
        <v>92</v>
      </c>
      <c r="D387" s="391" t="s">
        <v>92</v>
      </c>
      <c r="E387" s="3" t="s">
        <v>255</v>
      </c>
      <c r="F387" s="11">
        <v>1</v>
      </c>
      <c r="G387" s="391">
        <v>1</v>
      </c>
      <c r="H387" s="391">
        <v>70</v>
      </c>
      <c r="I387" s="391">
        <v>70</v>
      </c>
      <c r="J387" s="391" t="s">
        <v>235</v>
      </c>
      <c r="K387" s="262" t="s">
        <v>1222</v>
      </c>
      <c r="L387" s="262" t="s">
        <v>256</v>
      </c>
      <c r="M387" s="22" t="s">
        <v>85</v>
      </c>
      <c r="N387" s="391" t="str">
        <f t="shared" si="12"/>
        <v>Sim</v>
      </c>
      <c r="O387" s="22" t="s">
        <v>86</v>
      </c>
      <c r="P387" s="22" t="s">
        <v>86</v>
      </c>
      <c r="Q387" s="391" t="s">
        <v>184</v>
      </c>
      <c r="R387" s="391">
        <f>SUMIF('Lançamento de Cabos'!$B:$B,Tabela1[[#This Row],[Tag do Cabo]],'Lançamento de Cabos'!$C:$C)</f>
        <v>70</v>
      </c>
      <c r="S387" s="391">
        <f>VLOOKUP(Tabela1[[#This Row],[Tag do Cabo]],'Diagramas Ligações'!A:V,14,0)</f>
        <v>4</v>
      </c>
      <c r="T387" s="262" t="s">
        <v>257</v>
      </c>
      <c r="U387" s="391">
        <v>2</v>
      </c>
      <c r="V387" s="391" t="s">
        <v>186</v>
      </c>
      <c r="W387" s="391" t="s">
        <v>258</v>
      </c>
      <c r="X387" s="32">
        <v>44177</v>
      </c>
      <c r="Y387" s="32">
        <v>44210</v>
      </c>
      <c r="Z387" s="3" t="s">
        <v>1225</v>
      </c>
      <c r="AA387" s="45">
        <v>128</v>
      </c>
      <c r="AB38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7" s="262" t="s">
        <v>1210</v>
      </c>
      <c r="AD387" s="391">
        <f>IF(Tabela1[[#This Row],[Qtde. Lançada]]&gt;Tabela1[[#This Row],[Comprimento Total]],Tabela1[[#This Row],[Qtde. Lançada]],Tabela1[[#This Row],[Comprimento Total]])</f>
        <v>70</v>
      </c>
      <c r="AE387" s="262" t="s">
        <v>190</v>
      </c>
      <c r="AF387" s="391" t="s">
        <v>1211</v>
      </c>
      <c r="AG387" s="391">
        <f ca="1">SUMIF('Lançamento de Cabos'!AE:AK,Tabela1[[#This Row],[Tag do Cabo]],'Lançamento de Cabos'!AG:AG)</f>
        <v>0</v>
      </c>
      <c r="AH387" s="29">
        <f>IFERROR(VLOOKUP(Tabela1[[#This Row],[Tag do Cabo]],'Lançamento de Cabos'!AE:AK,7,0),0)</f>
        <v>0</v>
      </c>
      <c r="AI387" s="262" t="s">
        <v>259</v>
      </c>
      <c r="AJ387" s="212" t="s">
        <v>209</v>
      </c>
      <c r="AK387" s="46">
        <v>1423312</v>
      </c>
    </row>
    <row r="388" spans="1:37" s="262" customFormat="1" ht="15" customHeight="1" x14ac:dyDescent="0.2">
      <c r="A388" s="168" t="s">
        <v>1226</v>
      </c>
      <c r="B388" s="391" t="s">
        <v>38</v>
      </c>
      <c r="C388" s="391" t="s">
        <v>92</v>
      </c>
      <c r="D388" s="391" t="s">
        <v>92</v>
      </c>
      <c r="E388" s="3" t="s">
        <v>1227</v>
      </c>
      <c r="F388" s="11">
        <v>1</v>
      </c>
      <c r="G388" s="391">
        <v>1</v>
      </c>
      <c r="H388" s="391">
        <v>75</v>
      </c>
      <c r="I388" s="391">
        <v>75</v>
      </c>
      <c r="J388" s="45" t="s">
        <v>1098</v>
      </c>
      <c r="K388" s="262" t="s">
        <v>1228</v>
      </c>
      <c r="L388" s="262" t="s">
        <v>1086</v>
      </c>
      <c r="M388" s="22" t="s">
        <v>85</v>
      </c>
      <c r="N388" s="391" t="str">
        <f t="shared" si="12"/>
        <v>Sim</v>
      </c>
      <c r="O388" s="22" t="s">
        <v>86</v>
      </c>
      <c r="P388" s="22" t="s">
        <v>86</v>
      </c>
      <c r="Q388" s="91" t="s">
        <v>321</v>
      </c>
      <c r="R388" s="391">
        <f>SUMIF('Lançamento de Cabos'!$B:$B,Tabela1[[#This Row],[Tag do Cabo]],'Lançamento de Cabos'!$C:$C)</f>
        <v>75</v>
      </c>
      <c r="S388" s="391">
        <f>VLOOKUP(Tabela1[[#This Row],[Tag do Cabo]],'Diagramas Ligações'!A:V,14,0)</f>
        <v>24</v>
      </c>
      <c r="T388" s="262" t="s">
        <v>1087</v>
      </c>
      <c r="U388" s="391">
        <v>3</v>
      </c>
      <c r="V388" s="391" t="s">
        <v>186</v>
      </c>
      <c r="W388" s="391" t="s">
        <v>1229</v>
      </c>
      <c r="X388" s="32">
        <v>44155</v>
      </c>
      <c r="Y388" s="32">
        <v>44161</v>
      </c>
      <c r="Z388" s="3" t="s">
        <v>1089</v>
      </c>
      <c r="AA388" s="45">
        <v>124</v>
      </c>
      <c r="AB38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8" s="262" t="s">
        <v>1101</v>
      </c>
      <c r="AD388" s="391">
        <f>IF(Tabela1[[#This Row],[Qtde. Lançada]]&gt;Tabela1[[#This Row],[Comprimento Total]],Tabela1[[#This Row],[Qtde. Lançada]],Tabela1[[#This Row],[Comprimento Total]])</f>
        <v>75</v>
      </c>
      <c r="AE388" s="262" t="s">
        <v>610</v>
      </c>
      <c r="AF388" s="391" t="s">
        <v>1230</v>
      </c>
      <c r="AG388" s="391">
        <f ca="1">SUMIF('Lançamento de Cabos'!AE:AK,Tabela1[[#This Row],[Tag do Cabo]],'Lançamento de Cabos'!AG:AG)</f>
        <v>0</v>
      </c>
      <c r="AH388" s="29">
        <f>IFERROR(VLOOKUP(Tabela1[[#This Row],[Tag do Cabo]],'Lançamento de Cabos'!AE:AK,7,0),0)</f>
        <v>0</v>
      </c>
      <c r="AI388" s="262" t="s">
        <v>259</v>
      </c>
      <c r="AJ388" s="212" t="s">
        <v>126</v>
      </c>
      <c r="AK388" s="46">
        <v>3015008</v>
      </c>
    </row>
    <row r="389" spans="1:37" s="262" customFormat="1" ht="15" customHeight="1" x14ac:dyDescent="0.2">
      <c r="A389" s="168" t="s">
        <v>1231</v>
      </c>
      <c r="B389" s="391" t="s">
        <v>38</v>
      </c>
      <c r="C389" s="391" t="s">
        <v>92</v>
      </c>
      <c r="D389" s="391" t="s">
        <v>92</v>
      </c>
      <c r="E389" s="3" t="s">
        <v>1232</v>
      </c>
      <c r="F389" s="11">
        <v>1</v>
      </c>
      <c r="G389" s="391">
        <v>1</v>
      </c>
      <c r="H389" s="391">
        <v>65</v>
      </c>
      <c r="I389" s="391">
        <v>65</v>
      </c>
      <c r="J389" s="45" t="s">
        <v>1098</v>
      </c>
      <c r="K389" s="262" t="s">
        <v>1233</v>
      </c>
      <c r="L389" s="262" t="s">
        <v>1086</v>
      </c>
      <c r="M389" s="22" t="s">
        <v>85</v>
      </c>
      <c r="N389" s="391" t="str">
        <f t="shared" si="12"/>
        <v>Sim</v>
      </c>
      <c r="O389" s="22" t="s">
        <v>86</v>
      </c>
      <c r="P389" s="22" t="s">
        <v>86</v>
      </c>
      <c r="Q389" s="91" t="s">
        <v>321</v>
      </c>
      <c r="R389" s="391">
        <f>SUMIF('Lançamento de Cabos'!$B:$B,Tabela1[[#This Row],[Tag do Cabo]],'Lançamento de Cabos'!$C:$C)</f>
        <v>65</v>
      </c>
      <c r="S389" s="391">
        <f>VLOOKUP(Tabela1[[#This Row],[Tag do Cabo]],'Diagramas Ligações'!A:V,14,0)</f>
        <v>18</v>
      </c>
      <c r="T389" s="262" t="s">
        <v>1087</v>
      </c>
      <c r="U389" s="391">
        <v>3</v>
      </c>
      <c r="V389" s="391" t="s">
        <v>186</v>
      </c>
      <c r="W389" s="391" t="s">
        <v>1229</v>
      </c>
      <c r="X389" s="32">
        <v>44155</v>
      </c>
      <c r="Y389" s="32">
        <v>44161</v>
      </c>
      <c r="Z389" s="3" t="s">
        <v>1089</v>
      </c>
      <c r="AA389" s="45">
        <v>124</v>
      </c>
      <c r="AB38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89" s="262" t="s">
        <v>1101</v>
      </c>
      <c r="AD389" s="391">
        <f>IF(Tabela1[[#This Row],[Qtde. Lançada]]&gt;Tabela1[[#This Row],[Comprimento Total]],Tabela1[[#This Row],[Qtde. Lançada]],Tabela1[[#This Row],[Comprimento Total]])</f>
        <v>65</v>
      </c>
      <c r="AE389" s="262" t="s">
        <v>190</v>
      </c>
      <c r="AF389" s="391" t="s">
        <v>1230</v>
      </c>
      <c r="AG389" s="391">
        <f ca="1">SUMIF('Lançamento de Cabos'!AE:AK,Tabela1[[#This Row],[Tag do Cabo]],'Lançamento de Cabos'!AG:AG)</f>
        <v>0</v>
      </c>
      <c r="AH389" s="29">
        <f>IFERROR(VLOOKUP(Tabela1[[#This Row],[Tag do Cabo]],'Lançamento de Cabos'!AE:AK,7,0),0)</f>
        <v>0</v>
      </c>
      <c r="AI389" s="262" t="s">
        <v>259</v>
      </c>
      <c r="AJ389" s="212" t="s">
        <v>95</v>
      </c>
      <c r="AK389" s="46">
        <v>3015008</v>
      </c>
    </row>
    <row r="390" spans="1:37" s="262" customFormat="1" ht="15" customHeight="1" x14ac:dyDescent="0.2">
      <c r="A390" s="168" t="s">
        <v>1234</v>
      </c>
      <c r="B390" s="391" t="s">
        <v>38</v>
      </c>
      <c r="C390" s="391" t="s">
        <v>92</v>
      </c>
      <c r="D390" s="391" t="s">
        <v>92</v>
      </c>
      <c r="E390" s="3" t="s">
        <v>1227</v>
      </c>
      <c r="F390" s="11">
        <v>1</v>
      </c>
      <c r="G390" s="391">
        <v>1</v>
      </c>
      <c r="H390" s="391">
        <v>85</v>
      </c>
      <c r="I390" s="391">
        <v>85</v>
      </c>
      <c r="J390" s="391" t="s">
        <v>1098</v>
      </c>
      <c r="K390" s="262" t="s">
        <v>1235</v>
      </c>
      <c r="L390" s="262" t="s">
        <v>1086</v>
      </c>
      <c r="M390" s="22" t="s">
        <v>85</v>
      </c>
      <c r="N390" s="391" t="str">
        <f t="shared" si="12"/>
        <v>Sim</v>
      </c>
      <c r="O390" s="22" t="s">
        <v>86</v>
      </c>
      <c r="P390" s="22" t="s">
        <v>86</v>
      </c>
      <c r="Q390" s="91" t="s">
        <v>321</v>
      </c>
      <c r="R390" s="391">
        <f>SUMIF('Lançamento de Cabos'!$B:$B,Tabela1[[#This Row],[Tag do Cabo]],'Lançamento de Cabos'!$C:$C)</f>
        <v>85</v>
      </c>
      <c r="S390" s="391">
        <f>VLOOKUP(Tabela1[[#This Row],[Tag do Cabo]],'Diagramas Ligações'!A:V,14,0)</f>
        <v>24</v>
      </c>
      <c r="T390" s="262" t="s">
        <v>1087</v>
      </c>
      <c r="U390" s="391">
        <v>3</v>
      </c>
      <c r="V390" s="391" t="s">
        <v>186</v>
      </c>
      <c r="W390" s="391" t="s">
        <v>1088</v>
      </c>
      <c r="X390" s="32">
        <v>44155</v>
      </c>
      <c r="Y390" s="32">
        <v>44161</v>
      </c>
      <c r="Z390" s="3" t="s">
        <v>1089</v>
      </c>
      <c r="AA390" s="45">
        <v>124</v>
      </c>
      <c r="AB39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90" s="262" t="s">
        <v>1101</v>
      </c>
      <c r="AD390" s="391">
        <f>IF(Tabela1[[#This Row],[Qtde. Lançada]]&gt;Tabela1[[#This Row],[Comprimento Total]],Tabela1[[#This Row],[Qtde. Lançada]],Tabela1[[#This Row],[Comprimento Total]])</f>
        <v>85</v>
      </c>
      <c r="AE390" s="262" t="s">
        <v>190</v>
      </c>
      <c r="AF390" s="391" t="s">
        <v>1230</v>
      </c>
      <c r="AG390" s="391">
        <f ca="1">SUMIF('Lançamento de Cabos'!AE:AK,Tabela1[[#This Row],[Tag do Cabo]],'Lançamento de Cabos'!AG:AG)</f>
        <v>0</v>
      </c>
      <c r="AH390" s="29">
        <f>IFERROR(VLOOKUP(Tabela1[[#This Row],[Tag do Cabo]],'Lançamento de Cabos'!AE:AK,7,0),0)</f>
        <v>0</v>
      </c>
      <c r="AI390" s="262" t="s">
        <v>259</v>
      </c>
      <c r="AJ390" s="212" t="s">
        <v>663</v>
      </c>
      <c r="AK390" s="46">
        <v>3015008</v>
      </c>
    </row>
    <row r="391" spans="1:37" s="262" customFormat="1" ht="15" customHeight="1" x14ac:dyDescent="0.2">
      <c r="A391" s="168" t="s">
        <v>1236</v>
      </c>
      <c r="B391" s="391" t="s">
        <v>38</v>
      </c>
      <c r="C391" s="391" t="s">
        <v>92</v>
      </c>
      <c r="D391" s="391" t="s">
        <v>92</v>
      </c>
      <c r="E391" s="3" t="s">
        <v>1227</v>
      </c>
      <c r="F391" s="11">
        <v>1</v>
      </c>
      <c r="G391" s="391">
        <v>1</v>
      </c>
      <c r="H391" s="391">
        <v>85</v>
      </c>
      <c r="I391" s="391">
        <v>85</v>
      </c>
      <c r="J391" s="391" t="s">
        <v>1098</v>
      </c>
      <c r="K391" s="262" t="s">
        <v>1237</v>
      </c>
      <c r="L391" s="262" t="s">
        <v>1086</v>
      </c>
      <c r="M391" s="22" t="s">
        <v>85</v>
      </c>
      <c r="N391" s="391" t="str">
        <f t="shared" si="12"/>
        <v>Sim</v>
      </c>
      <c r="O391" s="22" t="s">
        <v>86</v>
      </c>
      <c r="P391" s="22" t="s">
        <v>86</v>
      </c>
      <c r="Q391" s="91" t="s">
        <v>321</v>
      </c>
      <c r="R391" s="391">
        <f>SUMIF('Lançamento de Cabos'!$B:$B,Tabela1[[#This Row],[Tag do Cabo]],'Lançamento de Cabos'!$C:$C)</f>
        <v>85</v>
      </c>
      <c r="S391" s="391">
        <f>VLOOKUP(Tabela1[[#This Row],[Tag do Cabo]],'Diagramas Ligações'!A:V,14,0)</f>
        <v>24</v>
      </c>
      <c r="T391" s="262" t="s">
        <v>1087</v>
      </c>
      <c r="U391" s="391">
        <v>3</v>
      </c>
      <c r="V391" s="391" t="s">
        <v>186</v>
      </c>
      <c r="W391" s="391" t="s">
        <v>1088</v>
      </c>
      <c r="X391" s="32">
        <v>44155</v>
      </c>
      <c r="Y391" s="32">
        <v>44161</v>
      </c>
      <c r="Z391" s="3" t="s">
        <v>1089</v>
      </c>
      <c r="AA391" s="45">
        <v>124</v>
      </c>
      <c r="AB39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91" s="262" t="s">
        <v>1101</v>
      </c>
      <c r="AD391" s="391">
        <f>IF(Tabela1[[#This Row],[Qtde. Lançada]]&gt;Tabela1[[#This Row],[Comprimento Total]],Tabela1[[#This Row],[Qtde. Lançada]],Tabela1[[#This Row],[Comprimento Total]])</f>
        <v>85</v>
      </c>
      <c r="AE391" s="262" t="s">
        <v>190</v>
      </c>
      <c r="AF391" s="391" t="s">
        <v>1230</v>
      </c>
      <c r="AG391" s="391">
        <f ca="1">SUMIF('Lançamento de Cabos'!AE:AK,Tabela1[[#This Row],[Tag do Cabo]],'Lançamento de Cabos'!AG:AG)</f>
        <v>0</v>
      </c>
      <c r="AH391" s="29">
        <f>IFERROR(VLOOKUP(Tabela1[[#This Row],[Tag do Cabo]],'Lançamento de Cabos'!AE:AK,7,0),0)</f>
        <v>0</v>
      </c>
      <c r="AI391" s="262" t="s">
        <v>259</v>
      </c>
      <c r="AJ391" s="212" t="s">
        <v>887</v>
      </c>
      <c r="AK391" s="46">
        <v>3015008</v>
      </c>
    </row>
    <row r="392" spans="1:37" s="262" customFormat="1" ht="15" customHeight="1" x14ac:dyDescent="0.2">
      <c r="A392" s="168" t="s">
        <v>1238</v>
      </c>
      <c r="B392" s="391" t="s">
        <v>38</v>
      </c>
      <c r="C392" s="391" t="s">
        <v>92</v>
      </c>
      <c r="D392" s="391" t="s">
        <v>92</v>
      </c>
      <c r="E392" s="3" t="s">
        <v>1232</v>
      </c>
      <c r="F392" s="11">
        <v>1</v>
      </c>
      <c r="G392" s="391">
        <v>1</v>
      </c>
      <c r="H392" s="391">
        <v>65</v>
      </c>
      <c r="I392" s="391">
        <v>65</v>
      </c>
      <c r="J392" s="45" t="s">
        <v>1098</v>
      </c>
      <c r="K392" s="262" t="s">
        <v>1233</v>
      </c>
      <c r="L392" s="262" t="s">
        <v>1086</v>
      </c>
      <c r="M392" s="22" t="s">
        <v>85</v>
      </c>
      <c r="N392" s="391" t="str">
        <f t="shared" si="12"/>
        <v>Sim</v>
      </c>
      <c r="O392" s="22" t="s">
        <v>86</v>
      </c>
      <c r="P392" s="22" t="s">
        <v>86</v>
      </c>
      <c r="Q392" s="91" t="s">
        <v>321</v>
      </c>
      <c r="R392" s="391">
        <f>SUMIF('Lançamento de Cabos'!$B:$B,Tabela1[[#This Row],[Tag do Cabo]],'Lançamento de Cabos'!$C:$C)</f>
        <v>65</v>
      </c>
      <c r="S392" s="391">
        <f>VLOOKUP(Tabela1[[#This Row],[Tag do Cabo]],'Diagramas Ligações'!A:V,14,0)</f>
        <v>20</v>
      </c>
      <c r="T392" s="262" t="s">
        <v>1087</v>
      </c>
      <c r="U392" s="391">
        <v>3</v>
      </c>
      <c r="V392" s="391" t="s">
        <v>186</v>
      </c>
      <c r="W392" s="391" t="s">
        <v>1229</v>
      </c>
      <c r="X392" s="32">
        <v>44155</v>
      </c>
      <c r="Y392" s="32">
        <v>44161</v>
      </c>
      <c r="Z392" s="3" t="s">
        <v>1089</v>
      </c>
      <c r="AA392" s="45">
        <v>124</v>
      </c>
      <c r="AB39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92" s="262" t="s">
        <v>1101</v>
      </c>
      <c r="AD392" s="391">
        <f>IF(Tabela1[[#This Row],[Qtde. Lançada]]&gt;Tabela1[[#This Row],[Comprimento Total]],Tabela1[[#This Row],[Qtde. Lançada]],Tabela1[[#This Row],[Comprimento Total]])</f>
        <v>65</v>
      </c>
      <c r="AE392" s="262" t="s">
        <v>1239</v>
      </c>
      <c r="AF392" s="391" t="s">
        <v>1230</v>
      </c>
      <c r="AG392" s="391">
        <f ca="1">SUMIF('Lançamento de Cabos'!AE:AK,Tabela1[[#This Row],[Tag do Cabo]],'Lançamento de Cabos'!AG:AG)</f>
        <v>0</v>
      </c>
      <c r="AH392" s="29">
        <f>IFERROR(VLOOKUP(Tabela1[[#This Row],[Tag do Cabo]],'Lançamento de Cabos'!AE:AK,7,0),0)</f>
        <v>0</v>
      </c>
      <c r="AI392" s="262" t="s">
        <v>259</v>
      </c>
      <c r="AJ392" s="212" t="s">
        <v>141</v>
      </c>
      <c r="AK392" s="46">
        <v>3015008</v>
      </c>
    </row>
    <row r="393" spans="1:37" s="262" customFormat="1" ht="15" customHeight="1" x14ac:dyDescent="0.2">
      <c r="A393" s="323" t="s">
        <v>1240</v>
      </c>
      <c r="B393" s="391" t="s">
        <v>38</v>
      </c>
      <c r="C393" s="391" t="s">
        <v>92</v>
      </c>
      <c r="D393" s="391" t="s">
        <v>92</v>
      </c>
      <c r="E393" s="3" t="s">
        <v>1241</v>
      </c>
      <c r="F393" s="11">
        <v>1</v>
      </c>
      <c r="G393" s="391">
        <v>1</v>
      </c>
      <c r="H393" s="391">
        <v>150</v>
      </c>
      <c r="I393" s="391">
        <v>150</v>
      </c>
      <c r="J393" s="391" t="s">
        <v>282</v>
      </c>
      <c r="K393" s="262" t="s">
        <v>1242</v>
      </c>
      <c r="L393" s="262" t="s">
        <v>216</v>
      </c>
      <c r="M393" s="22" t="s">
        <v>85</v>
      </c>
      <c r="N393" s="391" t="str">
        <f t="shared" si="12"/>
        <v>Sim</v>
      </c>
      <c r="O393" s="22" t="s">
        <v>86</v>
      </c>
      <c r="P393" s="22" t="s">
        <v>86</v>
      </c>
      <c r="Q393" s="91" t="s">
        <v>184</v>
      </c>
      <c r="R393" s="391">
        <f>SUMIF('Lançamento de Cabos'!$B:$B,Tabela1[[#This Row],[Tag do Cabo]],'Lançamento de Cabos'!$C:$C)</f>
        <v>0</v>
      </c>
      <c r="S393" s="391">
        <f>VLOOKUP(Tabela1[[#This Row],[Tag do Cabo]],'Diagramas Ligações'!A:V,14,0)</f>
        <v>10</v>
      </c>
      <c r="T393" s="262" t="s">
        <v>217</v>
      </c>
      <c r="U393" s="391">
        <v>2</v>
      </c>
      <c r="V393" s="391" t="s">
        <v>186</v>
      </c>
      <c r="W393" s="391" t="s">
        <v>218</v>
      </c>
      <c r="X393" s="32">
        <v>44177</v>
      </c>
      <c r="Y393" s="32">
        <v>44204</v>
      </c>
      <c r="Z393" s="332" t="s">
        <v>1243</v>
      </c>
      <c r="AA393" s="45"/>
      <c r="AB393" s="15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C393" s="262" t="s">
        <v>1244</v>
      </c>
      <c r="AD393" s="391">
        <f>IF(Tabela1[[#This Row],[Qtde. Lançada]]&gt;Tabela1[[#This Row],[Comprimento Total]],Tabela1[[#This Row],[Qtde. Lançada]],Tabela1[[#This Row],[Comprimento Total]])</f>
        <v>150</v>
      </c>
      <c r="AE393" s="262" t="s">
        <v>610</v>
      </c>
      <c r="AF393" s="391" t="s">
        <v>1245</v>
      </c>
      <c r="AG393" s="391">
        <f ca="1">SUMIF('Lançamento de Cabos'!AE:AK,Tabela1[[#This Row],[Tag do Cabo]],'Lançamento de Cabos'!AG:AG)</f>
        <v>0</v>
      </c>
      <c r="AH393" s="29">
        <f>IFERROR(VLOOKUP(Tabela1[[#This Row],[Tag do Cabo]],'Lançamento de Cabos'!AE:AK,7,0),0)</f>
        <v>0</v>
      </c>
      <c r="AI393" s="262" t="s">
        <v>223</v>
      </c>
      <c r="AJ393" s="213" t="s">
        <v>1246</v>
      </c>
      <c r="AK393" s="46">
        <v>1423312</v>
      </c>
    </row>
    <row r="394" spans="1:37" s="262" customFormat="1" ht="15" customHeight="1" x14ac:dyDescent="0.2">
      <c r="A394" s="168" t="s">
        <v>1247</v>
      </c>
      <c r="B394" s="391" t="s">
        <v>38</v>
      </c>
      <c r="C394" s="391" t="s">
        <v>92</v>
      </c>
      <c r="D394" s="391" t="s">
        <v>92</v>
      </c>
      <c r="E394" s="3" t="s">
        <v>1248</v>
      </c>
      <c r="F394" s="11">
        <v>1</v>
      </c>
      <c r="G394" s="391">
        <v>1</v>
      </c>
      <c r="H394" s="391">
        <v>150</v>
      </c>
      <c r="I394" s="391">
        <v>150</v>
      </c>
      <c r="J394" s="391" t="s">
        <v>282</v>
      </c>
      <c r="K394" s="262" t="s">
        <v>1249</v>
      </c>
      <c r="L394" s="262" t="s">
        <v>216</v>
      </c>
      <c r="M394" s="22" t="s">
        <v>85</v>
      </c>
      <c r="N394" s="391" t="str">
        <f t="shared" si="12"/>
        <v>Sim</v>
      </c>
      <c r="O394" s="22" t="s">
        <v>86</v>
      </c>
      <c r="P394" s="22" t="s">
        <v>86</v>
      </c>
      <c r="Q394" s="91" t="s">
        <v>321</v>
      </c>
      <c r="R394" s="391">
        <f>SUMIF('Lançamento de Cabos'!$B:$B,Tabela1[[#This Row],[Tag do Cabo]],'Lançamento de Cabos'!$C:$C)</f>
        <v>150</v>
      </c>
      <c r="S394" s="391">
        <f>VLOOKUP(Tabela1[[#This Row],[Tag do Cabo]],'Diagramas Ligações'!A:V,14,0)</f>
        <v>26</v>
      </c>
      <c r="T394" s="262" t="s">
        <v>217</v>
      </c>
      <c r="U394" s="391">
        <v>2</v>
      </c>
      <c r="V394" s="391" t="s">
        <v>186</v>
      </c>
      <c r="W394" s="391" t="s">
        <v>218</v>
      </c>
      <c r="X394" s="32">
        <v>44177</v>
      </c>
      <c r="Y394" s="32">
        <v>44204</v>
      </c>
      <c r="Z394" s="3" t="s">
        <v>1250</v>
      </c>
      <c r="AA394" s="45">
        <v>202</v>
      </c>
      <c r="AB39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94" s="262" t="s">
        <v>1244</v>
      </c>
      <c r="AD394" s="391">
        <f>IF(Tabela1[[#This Row],[Qtde. Lançada]]&gt;Tabela1[[#This Row],[Comprimento Total]],Tabela1[[#This Row],[Qtde. Lançada]],Tabela1[[#This Row],[Comprimento Total]])</f>
        <v>150</v>
      </c>
      <c r="AE394" s="262" t="s">
        <v>190</v>
      </c>
      <c r="AF394" s="391" t="s">
        <v>1245</v>
      </c>
      <c r="AG394" s="391">
        <f ca="1">SUMIF('Lançamento de Cabos'!AE:AK,Tabela1[[#This Row],[Tag do Cabo]],'Lançamento de Cabos'!AG:AG)</f>
        <v>0</v>
      </c>
      <c r="AH394" s="29">
        <f>IFERROR(VLOOKUP(Tabela1[[#This Row],[Tag do Cabo]],'Lançamento de Cabos'!AE:AK,7,0),0)</f>
        <v>0</v>
      </c>
      <c r="AI394" s="262" t="s">
        <v>223</v>
      </c>
      <c r="AJ394" s="213" t="s">
        <v>1251</v>
      </c>
      <c r="AK394" s="46">
        <v>574198</v>
      </c>
    </row>
    <row r="395" spans="1:37" s="262" customFormat="1" ht="15" customHeight="1" x14ac:dyDescent="0.2">
      <c r="A395" s="168" t="s">
        <v>1252</v>
      </c>
      <c r="B395" s="391" t="s">
        <v>38</v>
      </c>
      <c r="C395" s="391" t="s">
        <v>92</v>
      </c>
      <c r="D395" s="391" t="s">
        <v>92</v>
      </c>
      <c r="E395" s="3" t="s">
        <v>1241</v>
      </c>
      <c r="F395" s="11">
        <v>1</v>
      </c>
      <c r="G395" s="391">
        <v>1</v>
      </c>
      <c r="H395" s="391">
        <v>150</v>
      </c>
      <c r="I395" s="391">
        <v>150</v>
      </c>
      <c r="J395" s="391" t="s">
        <v>282</v>
      </c>
      <c r="K395" s="262" t="s">
        <v>1253</v>
      </c>
      <c r="L395" s="262" t="s">
        <v>216</v>
      </c>
      <c r="M395" s="22" t="s">
        <v>85</v>
      </c>
      <c r="N395" s="391" t="str">
        <f t="shared" si="12"/>
        <v>Sim</v>
      </c>
      <c r="O395" s="22" t="s">
        <v>86</v>
      </c>
      <c r="P395" s="22" t="s">
        <v>86</v>
      </c>
      <c r="Q395" s="91" t="s">
        <v>184</v>
      </c>
      <c r="R395" s="391">
        <f>SUMIF('Lançamento de Cabos'!$B:$B,Tabela1[[#This Row],[Tag do Cabo]],'Lançamento de Cabos'!$C:$C)</f>
        <v>150</v>
      </c>
      <c r="S395" s="391">
        <f>VLOOKUP(Tabela1[[#This Row],[Tag do Cabo]],'Diagramas Ligações'!A:V,14,0)</f>
        <v>10</v>
      </c>
      <c r="T395" s="262" t="s">
        <v>217</v>
      </c>
      <c r="U395" s="391">
        <v>2</v>
      </c>
      <c r="V395" s="391" t="s">
        <v>186</v>
      </c>
      <c r="W395" s="391" t="s">
        <v>218</v>
      </c>
      <c r="X395" s="32">
        <v>44177</v>
      </c>
      <c r="Y395" s="32">
        <v>44204</v>
      </c>
      <c r="Z395" s="3" t="s">
        <v>219</v>
      </c>
      <c r="AA395" s="45">
        <v>128</v>
      </c>
      <c r="AB39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95" s="262" t="s">
        <v>1244</v>
      </c>
      <c r="AD395" s="391">
        <f>IF(Tabela1[[#This Row],[Qtde. Lançada]]&gt;Tabela1[[#This Row],[Comprimento Total]],Tabela1[[#This Row],[Qtde. Lançada]],Tabela1[[#This Row],[Comprimento Total]])</f>
        <v>150</v>
      </c>
      <c r="AE395" s="262" t="s">
        <v>610</v>
      </c>
      <c r="AF395" s="391" t="s">
        <v>1245</v>
      </c>
      <c r="AG395" s="391">
        <f ca="1">SUMIF('Lançamento de Cabos'!AE:AK,Tabela1[[#This Row],[Tag do Cabo]],'Lançamento de Cabos'!AG:AG)</f>
        <v>0</v>
      </c>
      <c r="AH395" s="29">
        <f>IFERROR(VLOOKUP(Tabela1[[#This Row],[Tag do Cabo]],'Lançamento de Cabos'!AE:AK,7,0),0)</f>
        <v>0</v>
      </c>
      <c r="AI395" s="262" t="s">
        <v>223</v>
      </c>
      <c r="AJ395" s="213" t="s">
        <v>1254</v>
      </c>
      <c r="AK395" s="46">
        <v>1423312</v>
      </c>
    </row>
    <row r="396" spans="1:37" s="262" customFormat="1" ht="15" customHeight="1" x14ac:dyDescent="0.2">
      <c r="A396" s="168" t="s">
        <v>1255</v>
      </c>
      <c r="B396" s="391" t="s">
        <v>38</v>
      </c>
      <c r="C396" s="391" t="s">
        <v>92</v>
      </c>
      <c r="D396" s="391" t="s">
        <v>92</v>
      </c>
      <c r="E396" s="3" t="s">
        <v>1248</v>
      </c>
      <c r="F396" s="11">
        <v>1</v>
      </c>
      <c r="G396" s="391">
        <v>1</v>
      </c>
      <c r="H396" s="391">
        <v>150</v>
      </c>
      <c r="I396" s="391">
        <v>150</v>
      </c>
      <c r="J396" s="391" t="s">
        <v>282</v>
      </c>
      <c r="K396" s="262" t="s">
        <v>1256</v>
      </c>
      <c r="L396" s="262" t="s">
        <v>216</v>
      </c>
      <c r="M396" s="22" t="s">
        <v>85</v>
      </c>
      <c r="N396" s="391" t="str">
        <f t="shared" si="12"/>
        <v>Sim</v>
      </c>
      <c r="O396" s="22" t="s">
        <v>86</v>
      </c>
      <c r="P396" s="22" t="s">
        <v>86</v>
      </c>
      <c r="Q396" s="91" t="s">
        <v>321</v>
      </c>
      <c r="R396" s="391">
        <f>SUMIF('Lançamento de Cabos'!$B:$B,Tabela1[[#This Row],[Tag do Cabo]],'Lançamento de Cabos'!$C:$C)</f>
        <v>150</v>
      </c>
      <c r="S396" s="391">
        <f>VLOOKUP(Tabela1[[#This Row],[Tag do Cabo]],'Diagramas Ligações'!A:V,14,0)</f>
        <v>26</v>
      </c>
      <c r="T396" s="262" t="s">
        <v>217</v>
      </c>
      <c r="U396" s="391">
        <v>2</v>
      </c>
      <c r="V396" s="391" t="s">
        <v>186</v>
      </c>
      <c r="W396" s="391" t="s">
        <v>218</v>
      </c>
      <c r="X396" s="32">
        <v>44177</v>
      </c>
      <c r="Y396" s="32">
        <v>44204</v>
      </c>
      <c r="Z396" s="3" t="s">
        <v>219</v>
      </c>
      <c r="AA396" s="45">
        <v>94</v>
      </c>
      <c r="AB39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396" s="262" t="s">
        <v>1244</v>
      </c>
      <c r="AD396" s="391">
        <f>IF(Tabela1[[#This Row],[Qtde. Lançada]]&gt;Tabela1[[#This Row],[Comprimento Total]],Tabela1[[#This Row],[Qtde. Lançada]],Tabela1[[#This Row],[Comprimento Total]])</f>
        <v>150</v>
      </c>
      <c r="AE396" s="262" t="s">
        <v>190</v>
      </c>
      <c r="AF396" s="391" t="s">
        <v>1245</v>
      </c>
      <c r="AG396" s="391">
        <f ca="1">SUMIF('Lançamento de Cabos'!AE:AK,Tabela1[[#This Row],[Tag do Cabo]],'Lançamento de Cabos'!AG:AG)</f>
        <v>0</v>
      </c>
      <c r="AH396" s="29">
        <f>IFERROR(VLOOKUP(Tabela1[[#This Row],[Tag do Cabo]],'Lançamento de Cabos'!AE:AK,7,0),0)</f>
        <v>0</v>
      </c>
      <c r="AI396" s="262" t="s">
        <v>223</v>
      </c>
      <c r="AJ396" s="213" t="s">
        <v>1257</v>
      </c>
      <c r="AK396" s="46">
        <v>574198</v>
      </c>
    </row>
    <row r="397" spans="1:37" s="262" customFormat="1" ht="15" customHeight="1" x14ac:dyDescent="0.2">
      <c r="A397" s="323" t="s">
        <v>1258</v>
      </c>
      <c r="B397" s="391" t="s">
        <v>38</v>
      </c>
      <c r="C397" s="391" t="s">
        <v>92</v>
      </c>
      <c r="D397" s="391" t="s">
        <v>92</v>
      </c>
      <c r="E397" s="3" t="s">
        <v>1259</v>
      </c>
      <c r="F397" s="11">
        <v>1.5</v>
      </c>
      <c r="G397" s="391">
        <v>1</v>
      </c>
      <c r="H397" s="391">
        <v>250</v>
      </c>
      <c r="I397" s="391">
        <v>250</v>
      </c>
      <c r="J397" s="391" t="s">
        <v>804</v>
      </c>
      <c r="K397" s="262" t="s">
        <v>1260</v>
      </c>
      <c r="L397" s="262" t="s">
        <v>1032</v>
      </c>
      <c r="M397" s="22" t="s">
        <v>85</v>
      </c>
      <c r="N397" s="391" t="str">
        <f t="shared" si="12"/>
        <v>Sim</v>
      </c>
      <c r="O397" s="22" t="s">
        <v>86</v>
      </c>
      <c r="P397" s="22" t="s">
        <v>86</v>
      </c>
      <c r="Q397" s="91" t="s">
        <v>321</v>
      </c>
      <c r="R397" s="391">
        <f>SUMIF('Lançamento de Cabos'!$B:$B,Tabela1[[#This Row],[Tag do Cabo]],'Lançamento de Cabos'!$C:$C)</f>
        <v>0</v>
      </c>
      <c r="S397" s="391">
        <f>VLOOKUP(Tabela1[[#This Row],[Tag do Cabo]],'Diagramas Ligações'!A:V,14,0)</f>
        <v>0</v>
      </c>
      <c r="T397" s="262" t="s">
        <v>1261</v>
      </c>
      <c r="U397" s="391">
        <v>2</v>
      </c>
      <c r="V397" s="391" t="s">
        <v>186</v>
      </c>
      <c r="W397" s="391" t="s">
        <v>1030</v>
      </c>
      <c r="X397" s="32">
        <v>44177</v>
      </c>
      <c r="Y397" s="32">
        <v>44204</v>
      </c>
      <c r="Z397" s="332" t="s">
        <v>1262</v>
      </c>
      <c r="AA397" s="45"/>
      <c r="AB397" s="15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D397" s="391">
        <f>IF(Tabela1[[#This Row],[Qtde. Lançada]]&gt;Tabela1[[#This Row],[Comprimento Total]],Tabela1[[#This Row],[Qtde. Lançada]],Tabela1[[#This Row],[Comprimento Total]])</f>
        <v>250</v>
      </c>
      <c r="AE397" s="262" t="s">
        <v>1263</v>
      </c>
      <c r="AF397" s="391" t="s">
        <v>1264</v>
      </c>
      <c r="AG397" s="391">
        <f ca="1">SUMIF('Lançamento de Cabos'!AE:AK,Tabela1[[#This Row],[Tag do Cabo]],'Lançamento de Cabos'!AG:AG)</f>
        <v>0</v>
      </c>
      <c r="AH397" s="29">
        <f>IFERROR(VLOOKUP(Tabela1[[#This Row],[Tag do Cabo]],'Lançamento de Cabos'!AE:AK,7,0),0)</f>
        <v>0</v>
      </c>
      <c r="AI397" s="325" t="s">
        <v>92</v>
      </c>
      <c r="AJ397" s="212" t="s">
        <v>92</v>
      </c>
      <c r="AK397" s="46">
        <v>10001906</v>
      </c>
    </row>
    <row r="398" spans="1:37" s="262" customFormat="1" ht="15" customHeight="1" x14ac:dyDescent="0.2">
      <c r="A398" s="168" t="s">
        <v>1265</v>
      </c>
      <c r="B398" s="391" t="s">
        <v>101</v>
      </c>
      <c r="C398" s="391" t="s">
        <v>92</v>
      </c>
      <c r="D398" s="391" t="s">
        <v>92</v>
      </c>
      <c r="E398" s="3" t="s">
        <v>956</v>
      </c>
      <c r="F398" s="11" t="s">
        <v>92</v>
      </c>
      <c r="G398" s="391">
        <v>1</v>
      </c>
      <c r="H398" s="391">
        <v>220</v>
      </c>
      <c r="I398" s="391">
        <v>220</v>
      </c>
      <c r="J398" s="391" t="s">
        <v>103</v>
      </c>
      <c r="K398" s="262" t="s">
        <v>1266</v>
      </c>
      <c r="L398" s="262" t="s">
        <v>1267</v>
      </c>
      <c r="M398" s="22" t="s">
        <v>86</v>
      </c>
      <c r="N398" s="22" t="s">
        <v>86</v>
      </c>
      <c r="O398" s="22" t="s">
        <v>86</v>
      </c>
      <c r="P398" s="22" t="s">
        <v>86</v>
      </c>
      <c r="Q398" s="91" t="s">
        <v>304</v>
      </c>
      <c r="R398" s="391">
        <f>SUMIF('Lançamento de Cabos'!$B:$B,Tabela1[[#This Row],[Tag do Cabo]],'Lançamento de Cabos'!$C:$C)</f>
        <v>220</v>
      </c>
      <c r="S398" s="391">
        <f>VLOOKUP(Tabela1[[#This Row],[Tag do Cabo]],'Diagramas Ligações'!A:V,14,0)</f>
        <v>0</v>
      </c>
      <c r="T398" s="262" t="s">
        <v>305</v>
      </c>
      <c r="U398" s="391">
        <v>2</v>
      </c>
      <c r="V398" s="391" t="s">
        <v>107</v>
      </c>
      <c r="W398" s="391" t="s">
        <v>903</v>
      </c>
      <c r="X398" s="32">
        <v>44177</v>
      </c>
      <c r="Y398" s="32">
        <v>44249</v>
      </c>
      <c r="Z398" s="3" t="s">
        <v>1268</v>
      </c>
      <c r="AA398" s="45">
        <v>155</v>
      </c>
      <c r="AB39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98" s="391">
        <f>IF(Tabela1[[#This Row],[Qtde. Lançada]]&gt;Tabela1[[#This Row],[Comprimento Total]],Tabela1[[#This Row],[Qtde. Lançada]],Tabela1[[#This Row],[Comprimento Total]])</f>
        <v>220</v>
      </c>
      <c r="AE398" s="262" t="s">
        <v>156</v>
      </c>
      <c r="AF398" s="391" t="s">
        <v>1264</v>
      </c>
      <c r="AG398" s="391">
        <f ca="1">SUMIF('Lançamento de Cabos'!AE:AK,Tabela1[[#This Row],[Tag do Cabo]],'Lançamento de Cabos'!AG:AG)</f>
        <v>0</v>
      </c>
      <c r="AH398" s="29">
        <f>IFERROR(VLOOKUP(Tabela1[[#This Row],[Tag do Cabo]],'Lançamento de Cabos'!AE:AK,7,0),0)</f>
        <v>0</v>
      </c>
      <c r="AI398" s="262" t="s">
        <v>1269</v>
      </c>
      <c r="AJ398" s="212" t="s">
        <v>92</v>
      </c>
      <c r="AK398" s="46">
        <v>3008361</v>
      </c>
    </row>
    <row r="399" spans="1:37" s="262" customFormat="1" ht="15" customHeight="1" x14ac:dyDescent="0.2">
      <c r="A399" s="168" t="s">
        <v>1270</v>
      </c>
      <c r="B399" s="391" t="s">
        <v>101</v>
      </c>
      <c r="C399" s="391" t="s">
        <v>92</v>
      </c>
      <c r="D399" s="391" t="s">
        <v>92</v>
      </c>
      <c r="E399" s="3" t="s">
        <v>956</v>
      </c>
      <c r="F399" s="11" t="s">
        <v>92</v>
      </c>
      <c r="G399" s="391">
        <v>1</v>
      </c>
      <c r="H399" s="391">
        <v>220</v>
      </c>
      <c r="I399" s="391">
        <v>220</v>
      </c>
      <c r="J399" s="391" t="s">
        <v>103</v>
      </c>
      <c r="K399" s="262" t="s">
        <v>1266</v>
      </c>
      <c r="L399" s="262" t="s">
        <v>1267</v>
      </c>
      <c r="M399" s="22" t="s">
        <v>86</v>
      </c>
      <c r="N399" s="22" t="s">
        <v>86</v>
      </c>
      <c r="O399" s="22" t="s">
        <v>86</v>
      </c>
      <c r="P399" s="22" t="s">
        <v>86</v>
      </c>
      <c r="Q399" s="91" t="s">
        <v>304</v>
      </c>
      <c r="R399" s="391">
        <f>SUMIF('Lançamento de Cabos'!$B:$B,Tabela1[[#This Row],[Tag do Cabo]],'Lançamento de Cabos'!$C:$C)</f>
        <v>220</v>
      </c>
      <c r="S399" s="391">
        <f>VLOOKUP(Tabela1[[#This Row],[Tag do Cabo]],'Diagramas Ligações'!A:V,14,0)</f>
        <v>0</v>
      </c>
      <c r="T399" s="262" t="s">
        <v>305</v>
      </c>
      <c r="U399" s="391">
        <v>2</v>
      </c>
      <c r="V399" s="391" t="s">
        <v>107</v>
      </c>
      <c r="W399" s="391" t="s">
        <v>903</v>
      </c>
      <c r="X399" s="32">
        <v>44177</v>
      </c>
      <c r="Y399" s="32">
        <v>44207</v>
      </c>
      <c r="Z399" s="332" t="s">
        <v>1271</v>
      </c>
      <c r="AA399" s="45">
        <v>159</v>
      </c>
      <c r="AB39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99" s="391">
        <f>IF(Tabela1[[#This Row],[Qtde. Lançada]]&gt;Tabela1[[#This Row],[Comprimento Total]],Tabela1[[#This Row],[Qtde. Lançada]],Tabela1[[#This Row],[Comprimento Total]])</f>
        <v>220</v>
      </c>
      <c r="AE399" s="262" t="s">
        <v>156</v>
      </c>
      <c r="AF399" s="391" t="s">
        <v>1264</v>
      </c>
      <c r="AG399" s="391">
        <f ca="1">SUMIF('Lançamento de Cabos'!AE:AK,Tabela1[[#This Row],[Tag do Cabo]],'Lançamento de Cabos'!AG:AG)</f>
        <v>0</v>
      </c>
      <c r="AH399" s="29">
        <f>IFERROR(VLOOKUP(Tabela1[[#This Row],[Tag do Cabo]],'Lançamento de Cabos'!AE:AK,7,0),0)</f>
        <v>0</v>
      </c>
      <c r="AI399" s="262" t="s">
        <v>1269</v>
      </c>
      <c r="AJ399" s="212" t="s">
        <v>92</v>
      </c>
      <c r="AK399" s="46">
        <v>3008361</v>
      </c>
    </row>
    <row r="400" spans="1:37" s="262" customFormat="1" ht="15" customHeight="1" x14ac:dyDescent="0.2">
      <c r="A400" s="168" t="s">
        <v>1272</v>
      </c>
      <c r="B400" s="391" t="s">
        <v>101</v>
      </c>
      <c r="C400" s="391" t="s">
        <v>92</v>
      </c>
      <c r="D400" s="391" t="s">
        <v>92</v>
      </c>
      <c r="E400" s="3" t="s">
        <v>956</v>
      </c>
      <c r="F400" s="11" t="s">
        <v>92</v>
      </c>
      <c r="G400" s="391">
        <v>1</v>
      </c>
      <c r="H400" s="391">
        <v>220</v>
      </c>
      <c r="I400" s="391">
        <v>220</v>
      </c>
      <c r="J400" s="391" t="s">
        <v>103</v>
      </c>
      <c r="K400" s="262" t="s">
        <v>1266</v>
      </c>
      <c r="L400" s="262" t="s">
        <v>1267</v>
      </c>
      <c r="M400" s="22" t="s">
        <v>86</v>
      </c>
      <c r="N400" s="22" t="s">
        <v>86</v>
      </c>
      <c r="O400" s="22" t="s">
        <v>86</v>
      </c>
      <c r="P400" s="22" t="s">
        <v>86</v>
      </c>
      <c r="Q400" s="91" t="s">
        <v>304</v>
      </c>
      <c r="R400" s="391">
        <f>SUMIF('Lançamento de Cabos'!$B:$B,Tabela1[[#This Row],[Tag do Cabo]],'Lançamento de Cabos'!$C:$C)</f>
        <v>220</v>
      </c>
      <c r="S400" s="391">
        <f>VLOOKUP(Tabela1[[#This Row],[Tag do Cabo]],'Diagramas Ligações'!A:V,14,0)</f>
        <v>0</v>
      </c>
      <c r="T400" s="262" t="s">
        <v>305</v>
      </c>
      <c r="U400" s="391">
        <v>2</v>
      </c>
      <c r="V400" s="391" t="s">
        <v>107</v>
      </c>
      <c r="W400" s="391" t="s">
        <v>903</v>
      </c>
      <c r="X400" s="32">
        <v>44177</v>
      </c>
      <c r="Y400" s="32">
        <v>44207</v>
      </c>
      <c r="Z400" s="3" t="s">
        <v>1273</v>
      </c>
      <c r="AA400" s="45">
        <v>152</v>
      </c>
      <c r="AB40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400" s="391">
        <f>IF(Tabela1[[#This Row],[Qtde. Lançada]]&gt;Tabela1[[#This Row],[Comprimento Total]],Tabela1[[#This Row],[Qtde. Lançada]],Tabela1[[#This Row],[Comprimento Total]])</f>
        <v>220</v>
      </c>
      <c r="AE400" s="262" t="s">
        <v>156</v>
      </c>
      <c r="AF400" s="391" t="s">
        <v>1264</v>
      </c>
      <c r="AG400" s="391">
        <f ca="1">SUMIF('Lançamento de Cabos'!AE:AK,Tabela1[[#This Row],[Tag do Cabo]],'Lançamento de Cabos'!AG:AG)</f>
        <v>0</v>
      </c>
      <c r="AH400" s="29">
        <f>IFERROR(VLOOKUP(Tabela1[[#This Row],[Tag do Cabo]],'Lançamento de Cabos'!AE:AK,7,0),0)</f>
        <v>0</v>
      </c>
      <c r="AI400" s="262" t="s">
        <v>1269</v>
      </c>
      <c r="AJ400" s="212" t="s">
        <v>92</v>
      </c>
      <c r="AK400" s="46">
        <v>3008361</v>
      </c>
    </row>
    <row r="401" spans="1:37" s="262" customFormat="1" ht="15" customHeight="1" x14ac:dyDescent="0.2">
      <c r="A401" s="168" t="s">
        <v>1274</v>
      </c>
      <c r="B401" s="391" t="s">
        <v>38</v>
      </c>
      <c r="C401" s="391" t="s">
        <v>92</v>
      </c>
      <c r="D401" s="391" t="s">
        <v>92</v>
      </c>
      <c r="E401" s="3" t="s">
        <v>1259</v>
      </c>
      <c r="F401" s="11">
        <v>1.5</v>
      </c>
      <c r="G401" s="391">
        <v>1</v>
      </c>
      <c r="H401" s="391">
        <v>250</v>
      </c>
      <c r="I401" s="391">
        <v>250</v>
      </c>
      <c r="J401" s="391" t="s">
        <v>804</v>
      </c>
      <c r="K401" s="262" t="s">
        <v>1260</v>
      </c>
      <c r="L401" s="262" t="s">
        <v>1032</v>
      </c>
      <c r="M401" s="22" t="s">
        <v>85</v>
      </c>
      <c r="N401" s="391" t="str">
        <f>"Sim"</f>
        <v>Sim</v>
      </c>
      <c r="O401" s="22" t="s">
        <v>86</v>
      </c>
      <c r="P401" s="22" t="s">
        <v>86</v>
      </c>
      <c r="Q401" s="91" t="s">
        <v>321</v>
      </c>
      <c r="R401" s="391">
        <f>SUMIF('Lançamento de Cabos'!$B:$B,Tabela1[[#This Row],[Tag do Cabo]],'Lançamento de Cabos'!$C:$C)</f>
        <v>250</v>
      </c>
      <c r="S401" s="391">
        <f>VLOOKUP(Tabela1[[#This Row],[Tag do Cabo]],'Diagramas Ligações'!A:V,14,0)</f>
        <v>0</v>
      </c>
      <c r="T401" s="262" t="s">
        <v>1261</v>
      </c>
      <c r="U401" s="391">
        <v>2</v>
      </c>
      <c r="V401" s="391" t="s">
        <v>186</v>
      </c>
      <c r="W401" s="391" t="s">
        <v>1030</v>
      </c>
      <c r="X401" s="32">
        <v>44177</v>
      </c>
      <c r="Y401" s="32">
        <v>44204</v>
      </c>
      <c r="Z401" s="3" t="s">
        <v>1275</v>
      </c>
      <c r="AA401" s="45">
        <v>92</v>
      </c>
      <c r="AB40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401" s="391">
        <f>IF(Tabela1[[#This Row],[Qtde. Lançada]]&gt;Tabela1[[#This Row],[Comprimento Total]],Tabela1[[#This Row],[Qtde. Lançada]],Tabela1[[#This Row],[Comprimento Total]])</f>
        <v>250</v>
      </c>
      <c r="AE401" s="262" t="s">
        <v>1263</v>
      </c>
      <c r="AF401" s="391" t="s">
        <v>1264</v>
      </c>
      <c r="AG401" s="391">
        <f ca="1">SUMIF('Lançamento de Cabos'!AE:AK,Tabela1[[#This Row],[Tag do Cabo]],'Lançamento de Cabos'!AG:AG)</f>
        <v>0</v>
      </c>
      <c r="AH401" s="29">
        <f>IFERROR(VLOOKUP(Tabela1[[#This Row],[Tag do Cabo]],'Lançamento de Cabos'!AE:AK,7,0),0)</f>
        <v>0</v>
      </c>
      <c r="AI401" s="325" t="s">
        <v>92</v>
      </c>
      <c r="AJ401" s="212" t="s">
        <v>92</v>
      </c>
      <c r="AK401" s="46">
        <v>10001906</v>
      </c>
    </row>
    <row r="402" spans="1:37" s="262" customFormat="1" ht="15" customHeight="1" x14ac:dyDescent="0.2">
      <c r="A402" s="168" t="s">
        <v>1276</v>
      </c>
      <c r="B402" s="391" t="s">
        <v>38</v>
      </c>
      <c r="C402" s="391" t="s">
        <v>92</v>
      </c>
      <c r="D402" s="391" t="s">
        <v>92</v>
      </c>
      <c r="E402" s="3" t="s">
        <v>1259</v>
      </c>
      <c r="F402" s="11">
        <v>1.5</v>
      </c>
      <c r="G402" s="391">
        <v>1</v>
      </c>
      <c r="H402" s="391">
        <v>250</v>
      </c>
      <c r="I402" s="391">
        <v>250</v>
      </c>
      <c r="J402" s="391" t="s">
        <v>804</v>
      </c>
      <c r="K402" s="262" t="s">
        <v>1260</v>
      </c>
      <c r="L402" s="262" t="s">
        <v>1032</v>
      </c>
      <c r="M402" s="22" t="s">
        <v>85</v>
      </c>
      <c r="N402" s="391" t="str">
        <f>"Sim"</f>
        <v>Sim</v>
      </c>
      <c r="O402" s="22" t="s">
        <v>86</v>
      </c>
      <c r="P402" s="22" t="s">
        <v>86</v>
      </c>
      <c r="Q402" s="91" t="s">
        <v>321</v>
      </c>
      <c r="R402" s="391">
        <f>SUMIF('Lançamento de Cabos'!$B:$B,Tabela1[[#This Row],[Tag do Cabo]],'Lançamento de Cabos'!$C:$C)</f>
        <v>250</v>
      </c>
      <c r="S402" s="391">
        <f>VLOOKUP(Tabela1[[#This Row],[Tag do Cabo]],'Diagramas Ligações'!A:V,14,0)</f>
        <v>0</v>
      </c>
      <c r="T402" s="262" t="s">
        <v>1261</v>
      </c>
      <c r="U402" s="391">
        <v>2</v>
      </c>
      <c r="V402" s="391" t="s">
        <v>186</v>
      </c>
      <c r="W402" s="391" t="s">
        <v>1030</v>
      </c>
      <c r="X402" s="32">
        <v>44177</v>
      </c>
      <c r="Y402" s="32">
        <v>44204</v>
      </c>
      <c r="Z402" s="3" t="s">
        <v>1275</v>
      </c>
      <c r="AA402" s="45">
        <v>92</v>
      </c>
      <c r="AB40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402" s="391">
        <f>IF(Tabela1[[#This Row],[Qtde. Lançada]]&gt;Tabela1[[#This Row],[Comprimento Total]],Tabela1[[#This Row],[Qtde. Lançada]],Tabela1[[#This Row],[Comprimento Total]])</f>
        <v>250</v>
      </c>
      <c r="AE402" s="262" t="s">
        <v>1263</v>
      </c>
      <c r="AF402" s="391" t="s">
        <v>1264</v>
      </c>
      <c r="AG402" s="391">
        <f ca="1">SUMIF('Lançamento de Cabos'!AE:AK,Tabela1[[#This Row],[Tag do Cabo]],'Lançamento de Cabos'!AG:AG)</f>
        <v>0</v>
      </c>
      <c r="AH402" s="29">
        <f>IFERROR(VLOOKUP(Tabela1[[#This Row],[Tag do Cabo]],'Lançamento de Cabos'!AE:AK,7,0),0)</f>
        <v>0</v>
      </c>
      <c r="AI402" s="325" t="s">
        <v>92</v>
      </c>
      <c r="AJ402" s="212" t="s">
        <v>92</v>
      </c>
      <c r="AK402" s="46">
        <v>10001906</v>
      </c>
    </row>
    <row r="403" spans="1:37" s="262" customFormat="1" ht="15" customHeight="1" x14ac:dyDescent="0.2">
      <c r="A403" s="168" t="s">
        <v>1277</v>
      </c>
      <c r="B403" s="391" t="s">
        <v>38</v>
      </c>
      <c r="C403" s="391" t="s">
        <v>92</v>
      </c>
      <c r="D403" s="391" t="s">
        <v>92</v>
      </c>
      <c r="E403" s="3" t="s">
        <v>214</v>
      </c>
      <c r="F403" s="11">
        <v>1.5</v>
      </c>
      <c r="G403" s="391">
        <v>1</v>
      </c>
      <c r="H403" s="391">
        <v>250</v>
      </c>
      <c r="I403" s="391">
        <v>250</v>
      </c>
      <c r="J403" s="391" t="s">
        <v>804</v>
      </c>
      <c r="K403" s="262" t="s">
        <v>1260</v>
      </c>
      <c r="L403" s="262" t="s">
        <v>1032</v>
      </c>
      <c r="M403" s="22" t="s">
        <v>85</v>
      </c>
      <c r="N403" s="391" t="str">
        <f>"Sim"</f>
        <v>Sim</v>
      </c>
      <c r="O403" s="22" t="s">
        <v>86</v>
      </c>
      <c r="P403" s="22" t="s">
        <v>86</v>
      </c>
      <c r="Q403" s="91" t="s">
        <v>184</v>
      </c>
      <c r="R403" s="391">
        <f>SUMIF('Lançamento de Cabos'!$B:$B,Tabela1[[#This Row],[Tag do Cabo]],'Lançamento de Cabos'!$C:$C)</f>
        <v>250</v>
      </c>
      <c r="S403" s="391">
        <f>VLOOKUP(Tabela1[[#This Row],[Tag do Cabo]],'Diagramas Ligações'!A:V,14,0)</f>
        <v>0</v>
      </c>
      <c r="T403" s="262" t="s">
        <v>1261</v>
      </c>
      <c r="U403" s="391">
        <v>2</v>
      </c>
      <c r="V403" s="391" t="s">
        <v>186</v>
      </c>
      <c r="W403" s="391" t="s">
        <v>1030</v>
      </c>
      <c r="X403" s="32">
        <v>44177</v>
      </c>
      <c r="Y403" s="32">
        <v>44204</v>
      </c>
      <c r="Z403" s="332" t="s">
        <v>1278</v>
      </c>
      <c r="AA403" s="45" t="s">
        <v>220</v>
      </c>
      <c r="AB40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403" s="391">
        <f>IF(Tabela1[[#This Row],[Qtde. Lançada]]&gt;Tabela1[[#This Row],[Comprimento Total]],Tabela1[[#This Row],[Qtde. Lançada]],Tabela1[[#This Row],[Comprimento Total]])</f>
        <v>250</v>
      </c>
      <c r="AE403" s="262" t="s">
        <v>1263</v>
      </c>
      <c r="AF403" s="391" t="s">
        <v>1264</v>
      </c>
      <c r="AG403" s="391">
        <f ca="1">SUMIF('Lançamento de Cabos'!AE:AK,Tabela1[[#This Row],[Tag do Cabo]],'Lançamento de Cabos'!AG:AG)</f>
        <v>0</v>
      </c>
      <c r="AH403" s="29">
        <f>IFERROR(VLOOKUP(Tabela1[[#This Row],[Tag do Cabo]],'Lançamento de Cabos'!AE:AK,7,0),0)</f>
        <v>0</v>
      </c>
      <c r="AI403" s="325" t="s">
        <v>92</v>
      </c>
      <c r="AJ403" s="212" t="s">
        <v>92</v>
      </c>
      <c r="AK403" s="46">
        <v>901166</v>
      </c>
    </row>
    <row r="404" spans="1:37" s="262" customFormat="1" ht="15" customHeight="1" x14ac:dyDescent="0.2">
      <c r="A404" s="168" t="s">
        <v>1279</v>
      </c>
      <c r="B404" s="391" t="s">
        <v>38</v>
      </c>
      <c r="C404" s="391" t="s">
        <v>92</v>
      </c>
      <c r="D404" s="391" t="s">
        <v>92</v>
      </c>
      <c r="E404" s="3" t="s">
        <v>214</v>
      </c>
      <c r="F404" s="11">
        <v>1.5</v>
      </c>
      <c r="G404" s="391">
        <v>1</v>
      </c>
      <c r="H404" s="391">
        <v>250</v>
      </c>
      <c r="I404" s="391">
        <v>250</v>
      </c>
      <c r="J404" s="391" t="s">
        <v>804</v>
      </c>
      <c r="K404" s="262" t="s">
        <v>1260</v>
      </c>
      <c r="L404" s="262" t="s">
        <v>1032</v>
      </c>
      <c r="M404" s="22" t="s">
        <v>85</v>
      </c>
      <c r="N404" s="391" t="str">
        <f>"Sim"</f>
        <v>Sim</v>
      </c>
      <c r="O404" s="22" t="s">
        <v>86</v>
      </c>
      <c r="P404" s="22" t="s">
        <v>86</v>
      </c>
      <c r="Q404" s="91" t="s">
        <v>184</v>
      </c>
      <c r="R404" s="391">
        <f>SUMIF('Lançamento de Cabos'!$B:$B,Tabela1[[#This Row],[Tag do Cabo]],'Lançamento de Cabos'!$C:$C)</f>
        <v>250</v>
      </c>
      <c r="S404" s="391">
        <f>VLOOKUP(Tabela1[[#This Row],[Tag do Cabo]],'Diagramas Ligações'!A:V,14,0)</f>
        <v>0</v>
      </c>
      <c r="T404" s="262" t="s">
        <v>1261</v>
      </c>
      <c r="U404" s="391">
        <v>2</v>
      </c>
      <c r="V404" s="391" t="s">
        <v>186</v>
      </c>
      <c r="W404" s="391" t="s">
        <v>1030</v>
      </c>
      <c r="X404" s="32">
        <v>44177</v>
      </c>
      <c r="Y404" s="32">
        <v>44204</v>
      </c>
      <c r="Z404" s="3" t="s">
        <v>1278</v>
      </c>
      <c r="AA404" s="45" t="s">
        <v>220</v>
      </c>
      <c r="AB40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404" s="391">
        <f>IF(Tabela1[[#This Row],[Qtde. Lançada]]&gt;Tabela1[[#This Row],[Comprimento Total]],Tabela1[[#This Row],[Qtde. Lançada]],Tabela1[[#This Row],[Comprimento Total]])</f>
        <v>250</v>
      </c>
      <c r="AE404" s="262" t="s">
        <v>1263</v>
      </c>
      <c r="AF404" s="391" t="s">
        <v>1264</v>
      </c>
      <c r="AG404" s="391">
        <f ca="1">SUMIF('Lançamento de Cabos'!AE:AK,Tabela1[[#This Row],[Tag do Cabo]],'Lançamento de Cabos'!AG:AG)</f>
        <v>0</v>
      </c>
      <c r="AH404" s="29">
        <f>IFERROR(VLOOKUP(Tabela1[[#This Row],[Tag do Cabo]],'Lançamento de Cabos'!AE:AK,7,0),0)</f>
        <v>0</v>
      </c>
      <c r="AI404" s="325" t="s">
        <v>92</v>
      </c>
      <c r="AJ404" s="212" t="s">
        <v>92</v>
      </c>
      <c r="AK404" s="46">
        <v>901166</v>
      </c>
    </row>
    <row r="405" spans="1:37" s="262" customFormat="1" ht="15" customHeight="1" x14ac:dyDescent="0.2">
      <c r="A405" s="168" t="s">
        <v>1280</v>
      </c>
      <c r="B405" s="391" t="s">
        <v>101</v>
      </c>
      <c r="C405" s="391" t="s">
        <v>92</v>
      </c>
      <c r="D405" s="391" t="s">
        <v>92</v>
      </c>
      <c r="E405" s="3" t="s">
        <v>956</v>
      </c>
      <c r="F405" s="11" t="s">
        <v>92</v>
      </c>
      <c r="G405" s="391">
        <v>1</v>
      </c>
      <c r="H405" s="391">
        <v>510</v>
      </c>
      <c r="I405" s="391">
        <v>510</v>
      </c>
      <c r="J405" s="391" t="s">
        <v>103</v>
      </c>
      <c r="K405" s="262" t="s">
        <v>1266</v>
      </c>
      <c r="L405" s="262" t="s">
        <v>1281</v>
      </c>
      <c r="M405" s="22" t="s">
        <v>86</v>
      </c>
      <c r="N405" s="22" t="s">
        <v>86</v>
      </c>
      <c r="O405" s="22" t="s">
        <v>86</v>
      </c>
      <c r="P405" s="22" t="s">
        <v>86</v>
      </c>
      <c r="Q405" s="91" t="s">
        <v>304</v>
      </c>
      <c r="R405" s="391">
        <f>SUMIF('Lançamento de Cabos'!$B:$B,Tabela1[[#This Row],[Tag do Cabo]],'Lançamento de Cabos'!$C:$C)</f>
        <v>0</v>
      </c>
      <c r="S405" s="391">
        <f>VLOOKUP(Tabela1[[#This Row],[Tag do Cabo]],'Diagramas Ligações'!A:V,14,0)</f>
        <v>6</v>
      </c>
      <c r="T405" s="262" t="s">
        <v>305</v>
      </c>
      <c r="U405" s="391">
        <v>2</v>
      </c>
      <c r="V405" s="391" t="s">
        <v>107</v>
      </c>
      <c r="W405" s="391" t="s">
        <v>1198</v>
      </c>
      <c r="X405" s="32">
        <v>44177</v>
      </c>
      <c r="Y405" s="32">
        <v>44249</v>
      </c>
      <c r="Z405" s="32" t="s">
        <v>1282</v>
      </c>
      <c r="AA405" s="45">
        <v>161</v>
      </c>
      <c r="AB405" s="391" t="s">
        <v>1283</v>
      </c>
      <c r="AD405" s="391">
        <f>IF(Tabela1[[#This Row],[Qtde. Lançada]]&gt;Tabela1[[#This Row],[Comprimento Total]],Tabela1[[#This Row],[Qtde. Lançada]],Tabela1[[#This Row],[Comprimento Total]])</f>
        <v>510</v>
      </c>
      <c r="AE405" s="262" t="s">
        <v>92</v>
      </c>
      <c r="AF405" s="391" t="s">
        <v>1284</v>
      </c>
      <c r="AG405" s="391">
        <f ca="1">SUMIF('Lançamento de Cabos'!AE:AK,Tabela1[[#This Row],[Tag do Cabo]],'Lançamento de Cabos'!AG:AG)</f>
        <v>0</v>
      </c>
      <c r="AH405" s="29">
        <f>IFERROR(VLOOKUP(Tabela1[[#This Row],[Tag do Cabo]],'Lançamento de Cabos'!AE:AK,7,0),0)</f>
        <v>0</v>
      </c>
      <c r="AI405" s="262" t="s">
        <v>1200</v>
      </c>
      <c r="AJ405" s="212" t="s">
        <v>126</v>
      </c>
      <c r="AK405" s="46">
        <v>3008361</v>
      </c>
    </row>
    <row r="406" spans="1:37" s="262" customFormat="1" ht="15" customHeight="1" x14ac:dyDescent="0.2">
      <c r="A406" s="168" t="s">
        <v>1285</v>
      </c>
      <c r="B406" s="391" t="s">
        <v>101</v>
      </c>
      <c r="C406" s="391" t="s">
        <v>92</v>
      </c>
      <c r="D406" s="391" t="s">
        <v>92</v>
      </c>
      <c r="E406" s="3" t="s">
        <v>956</v>
      </c>
      <c r="F406" s="11" t="s">
        <v>92</v>
      </c>
      <c r="G406" s="391">
        <v>1</v>
      </c>
      <c r="H406" s="391">
        <v>510</v>
      </c>
      <c r="I406" s="391">
        <v>510</v>
      </c>
      <c r="J406" s="391" t="s">
        <v>103</v>
      </c>
      <c r="K406" s="262" t="s">
        <v>1266</v>
      </c>
      <c r="L406" s="262" t="s">
        <v>1281</v>
      </c>
      <c r="M406" s="22" t="s">
        <v>86</v>
      </c>
      <c r="N406" s="22" t="s">
        <v>86</v>
      </c>
      <c r="O406" s="22" t="s">
        <v>86</v>
      </c>
      <c r="P406" s="22" t="s">
        <v>86</v>
      </c>
      <c r="Q406" s="91" t="s">
        <v>304</v>
      </c>
      <c r="R406" s="391">
        <f>SUMIF('Lançamento de Cabos'!$B:$B,Tabela1[[#This Row],[Tag do Cabo]],'Lançamento de Cabos'!$C:$C)</f>
        <v>0</v>
      </c>
      <c r="S406" s="391">
        <f>VLOOKUP(Tabela1[[#This Row],[Tag do Cabo]],'Diagramas Ligações'!A:V,14,0)</f>
        <v>6</v>
      </c>
      <c r="T406" s="262" t="s">
        <v>305</v>
      </c>
      <c r="U406" s="391">
        <v>2</v>
      </c>
      <c r="V406" s="391" t="s">
        <v>107</v>
      </c>
      <c r="W406" s="391" t="s">
        <v>1198</v>
      </c>
      <c r="X406" s="32">
        <v>44177</v>
      </c>
      <c r="Y406" s="32">
        <v>44249</v>
      </c>
      <c r="Z406" s="32" t="s">
        <v>1282</v>
      </c>
      <c r="AA406" s="45">
        <v>161</v>
      </c>
      <c r="AB406" s="391" t="s">
        <v>1283</v>
      </c>
      <c r="AD406" s="391">
        <f>IF(Tabela1[[#This Row],[Qtde. Lançada]]&gt;Tabela1[[#This Row],[Comprimento Total]],Tabela1[[#This Row],[Qtde. Lançada]],Tabela1[[#This Row],[Comprimento Total]])</f>
        <v>510</v>
      </c>
      <c r="AE406" s="262" t="s">
        <v>92</v>
      </c>
      <c r="AF406" s="391" t="s">
        <v>1284</v>
      </c>
      <c r="AG406" s="391">
        <f ca="1">SUMIF('Lançamento de Cabos'!AE:AK,Tabela1[[#This Row],[Tag do Cabo]],'Lançamento de Cabos'!AG:AG)</f>
        <v>0</v>
      </c>
      <c r="AH406" s="29">
        <f>IFERROR(VLOOKUP(Tabela1[[#This Row],[Tag do Cabo]],'Lançamento de Cabos'!AE:AK,7,0),0)</f>
        <v>0</v>
      </c>
      <c r="AI406" s="262" t="s">
        <v>1200</v>
      </c>
      <c r="AJ406" s="212" t="s">
        <v>126</v>
      </c>
      <c r="AK406" s="46">
        <v>3008361</v>
      </c>
    </row>
    <row r="407" spans="1:37" s="262" customFormat="1" ht="15" customHeight="1" x14ac:dyDescent="0.2">
      <c r="A407" s="168" t="s">
        <v>1286</v>
      </c>
      <c r="B407" s="391" t="s">
        <v>38</v>
      </c>
      <c r="C407" s="391" t="s">
        <v>92</v>
      </c>
      <c r="D407" s="391" t="s">
        <v>92</v>
      </c>
      <c r="E407" s="3" t="s">
        <v>1287</v>
      </c>
      <c r="F407" s="11">
        <v>1</v>
      </c>
      <c r="G407" s="391">
        <v>1</v>
      </c>
      <c r="H407" s="391">
        <v>150</v>
      </c>
      <c r="I407" s="391">
        <v>150</v>
      </c>
      <c r="J407" s="391" t="s">
        <v>1014</v>
      </c>
      <c r="K407" s="262" t="s">
        <v>1288</v>
      </c>
      <c r="L407" s="262" t="s">
        <v>1016</v>
      </c>
      <c r="M407" s="22" t="s">
        <v>85</v>
      </c>
      <c r="N407" s="391" t="str">
        <f t="shared" ref="N407:N438" si="13">"Sim"</f>
        <v>Sim</v>
      </c>
      <c r="O407" s="22" t="s">
        <v>86</v>
      </c>
      <c r="P407" s="22" t="s">
        <v>86</v>
      </c>
      <c r="Q407" s="91" t="s">
        <v>184</v>
      </c>
      <c r="R407" s="391">
        <f>SUMIF('Lançamento de Cabos'!$B:$B,Tabela1[[#This Row],[Tag do Cabo]],'Lançamento de Cabos'!$C:$C)</f>
        <v>150</v>
      </c>
      <c r="S407" s="391">
        <f>VLOOKUP(Tabela1[[#This Row],[Tag do Cabo]],'Diagramas Ligações'!A:V,14,0)</f>
        <v>4</v>
      </c>
      <c r="T407" s="262" t="s">
        <v>1018</v>
      </c>
      <c r="U407" s="391">
        <v>2</v>
      </c>
      <c r="V407" s="391" t="s">
        <v>186</v>
      </c>
      <c r="W407" s="391"/>
      <c r="X407" s="32">
        <v>44177</v>
      </c>
      <c r="Y407" s="32">
        <v>44204</v>
      </c>
      <c r="Z407" s="3" t="s">
        <v>1289</v>
      </c>
      <c r="AA407" s="45">
        <v>95</v>
      </c>
      <c r="AB407" s="391" t="s">
        <v>1290</v>
      </c>
      <c r="AC407" s="262" t="s">
        <v>1291</v>
      </c>
      <c r="AD407" s="391">
        <f>IF(Tabela1[[#This Row],[Qtde. Lançada]]&gt;Tabela1[[#This Row],[Comprimento Total]],Tabela1[[#This Row],[Qtde. Lançada]],Tabela1[[#This Row],[Comprimento Total]])</f>
        <v>150</v>
      </c>
      <c r="AE407" s="262" t="s">
        <v>610</v>
      </c>
      <c r="AF407" s="391" t="s">
        <v>1292</v>
      </c>
      <c r="AG407" s="391">
        <f ca="1">SUMIF('Lançamento de Cabos'!AE:AK,Tabela1[[#This Row],[Tag do Cabo]],'Lançamento de Cabos'!AG:AG)</f>
        <v>0</v>
      </c>
      <c r="AH407" s="29">
        <f>IFERROR(VLOOKUP(Tabela1[[#This Row],[Tag do Cabo]],'Lançamento de Cabos'!AE:AK,7,0),0)</f>
        <v>0</v>
      </c>
      <c r="AI407" s="262" t="s">
        <v>1293</v>
      </c>
      <c r="AJ407" s="212" t="s">
        <v>1294</v>
      </c>
      <c r="AK407" s="46">
        <v>306860</v>
      </c>
    </row>
    <row r="408" spans="1:37" s="262" customFormat="1" ht="15" customHeight="1" x14ac:dyDescent="0.2">
      <c r="A408" s="168" t="s">
        <v>1295</v>
      </c>
      <c r="B408" s="391" t="s">
        <v>38</v>
      </c>
      <c r="C408" s="391" t="s">
        <v>92</v>
      </c>
      <c r="D408" s="391" t="s">
        <v>92</v>
      </c>
      <c r="E408" s="3" t="s">
        <v>1287</v>
      </c>
      <c r="F408" s="11">
        <v>1</v>
      </c>
      <c r="G408" s="391">
        <v>1</v>
      </c>
      <c r="H408" s="391">
        <v>150</v>
      </c>
      <c r="I408" s="391">
        <v>150</v>
      </c>
      <c r="J408" s="391" t="s">
        <v>1014</v>
      </c>
      <c r="K408" s="262" t="s">
        <v>1288</v>
      </c>
      <c r="L408" s="262" t="s">
        <v>1016</v>
      </c>
      <c r="M408" s="22" t="s">
        <v>85</v>
      </c>
      <c r="N408" s="391" t="str">
        <f t="shared" si="13"/>
        <v>Sim</v>
      </c>
      <c r="O408" s="22" t="s">
        <v>86</v>
      </c>
      <c r="P408" s="22" t="s">
        <v>86</v>
      </c>
      <c r="Q408" s="91" t="s">
        <v>184</v>
      </c>
      <c r="R408" s="391">
        <f>SUMIF('Lançamento de Cabos'!$B:$B,Tabela1[[#This Row],[Tag do Cabo]],'Lançamento de Cabos'!$C:$C)</f>
        <v>150</v>
      </c>
      <c r="S408" s="391">
        <f>VLOOKUP(Tabela1[[#This Row],[Tag do Cabo]],'Diagramas Ligações'!A:V,14,0)</f>
        <v>4</v>
      </c>
      <c r="T408" s="262" t="s">
        <v>1018</v>
      </c>
      <c r="U408" s="391">
        <v>2</v>
      </c>
      <c r="V408" s="391" t="s">
        <v>186</v>
      </c>
      <c r="W408" s="391"/>
      <c r="X408" s="32">
        <v>44177</v>
      </c>
      <c r="Y408" s="32">
        <v>44204</v>
      </c>
      <c r="Z408" s="3" t="s">
        <v>1289</v>
      </c>
      <c r="AA408" s="45">
        <v>95</v>
      </c>
      <c r="AB408" s="391" t="s">
        <v>1290</v>
      </c>
      <c r="AC408" s="262" t="s">
        <v>1291</v>
      </c>
      <c r="AD408" s="391">
        <f>IF(Tabela1[[#This Row],[Qtde. Lançada]]&gt;Tabela1[[#This Row],[Comprimento Total]],Tabela1[[#This Row],[Qtde. Lançada]],Tabela1[[#This Row],[Comprimento Total]])</f>
        <v>150</v>
      </c>
      <c r="AE408" s="262" t="s">
        <v>610</v>
      </c>
      <c r="AF408" s="391" t="s">
        <v>1292</v>
      </c>
      <c r="AG408" s="391">
        <f ca="1">SUMIF('Lançamento de Cabos'!AE:AK,Tabela1[[#This Row],[Tag do Cabo]],'Lançamento de Cabos'!AG:AG)</f>
        <v>0</v>
      </c>
      <c r="AH408" s="29">
        <f>IFERROR(VLOOKUP(Tabela1[[#This Row],[Tag do Cabo]],'Lançamento de Cabos'!AE:AK,7,0),0)</f>
        <v>0</v>
      </c>
      <c r="AI408" s="262" t="s">
        <v>1293</v>
      </c>
      <c r="AJ408" s="212" t="s">
        <v>1296</v>
      </c>
      <c r="AK408" s="46">
        <v>306860</v>
      </c>
    </row>
    <row r="409" spans="1:37" s="262" customFormat="1" ht="15" customHeight="1" x14ac:dyDescent="0.2">
      <c r="A409" s="168" t="s">
        <v>1297</v>
      </c>
      <c r="B409" s="391" t="s">
        <v>38</v>
      </c>
      <c r="C409" s="391" t="s">
        <v>92</v>
      </c>
      <c r="D409" s="391" t="s">
        <v>92</v>
      </c>
      <c r="E409" s="3" t="s">
        <v>1287</v>
      </c>
      <c r="F409" s="11">
        <v>1</v>
      </c>
      <c r="G409" s="391">
        <v>1</v>
      </c>
      <c r="H409" s="391">
        <v>150</v>
      </c>
      <c r="I409" s="391">
        <v>150</v>
      </c>
      <c r="J409" s="391" t="s">
        <v>1014</v>
      </c>
      <c r="K409" s="262" t="s">
        <v>1288</v>
      </c>
      <c r="L409" s="262" t="s">
        <v>1016</v>
      </c>
      <c r="M409" s="22" t="s">
        <v>85</v>
      </c>
      <c r="N409" s="391" t="str">
        <f t="shared" si="13"/>
        <v>Sim</v>
      </c>
      <c r="O409" s="22" t="s">
        <v>86</v>
      </c>
      <c r="P409" s="22" t="s">
        <v>86</v>
      </c>
      <c r="Q409" s="91" t="s">
        <v>184</v>
      </c>
      <c r="R409" s="391">
        <f>SUMIF('Lançamento de Cabos'!$B:$B,Tabela1[[#This Row],[Tag do Cabo]],'Lançamento de Cabos'!$C:$C)</f>
        <v>150</v>
      </c>
      <c r="S409" s="391">
        <f>VLOOKUP(Tabela1[[#This Row],[Tag do Cabo]],'Diagramas Ligações'!A:V,14,0)</f>
        <v>4</v>
      </c>
      <c r="T409" s="262" t="s">
        <v>1018</v>
      </c>
      <c r="U409" s="391">
        <v>2</v>
      </c>
      <c r="V409" s="391" t="s">
        <v>186</v>
      </c>
      <c r="W409" s="391"/>
      <c r="X409" s="32">
        <v>44177</v>
      </c>
      <c r="Y409" s="32">
        <v>44204</v>
      </c>
      <c r="Z409" s="3" t="s">
        <v>1289</v>
      </c>
      <c r="AA409" s="45">
        <v>173</v>
      </c>
      <c r="AB409" s="391" t="s">
        <v>1290</v>
      </c>
      <c r="AC409" s="262" t="s">
        <v>1291</v>
      </c>
      <c r="AD409" s="391">
        <f>IF(Tabela1[[#This Row],[Qtde. Lançada]]&gt;Tabela1[[#This Row],[Comprimento Total]],Tabela1[[#This Row],[Qtde. Lançada]],Tabela1[[#This Row],[Comprimento Total]])</f>
        <v>150</v>
      </c>
      <c r="AE409" s="262" t="s">
        <v>610</v>
      </c>
      <c r="AF409" s="391" t="s">
        <v>1292</v>
      </c>
      <c r="AG409" s="391">
        <f ca="1">SUMIF('Lançamento de Cabos'!AE:AK,Tabela1[[#This Row],[Tag do Cabo]],'Lançamento de Cabos'!AG:AG)</f>
        <v>0</v>
      </c>
      <c r="AH409" s="29">
        <f>IFERROR(VLOOKUP(Tabela1[[#This Row],[Tag do Cabo]],'Lançamento de Cabos'!AE:AK,7,0),0)</f>
        <v>0</v>
      </c>
      <c r="AI409" s="262" t="s">
        <v>1298</v>
      </c>
      <c r="AJ409" s="213" t="s">
        <v>1299</v>
      </c>
      <c r="AK409" s="46">
        <v>306860</v>
      </c>
    </row>
    <row r="410" spans="1:37" s="262" customFormat="1" ht="15" customHeight="1" x14ac:dyDescent="0.2">
      <c r="A410" s="168" t="s">
        <v>1300</v>
      </c>
      <c r="B410" s="391" t="s">
        <v>38</v>
      </c>
      <c r="C410" s="391" t="s">
        <v>92</v>
      </c>
      <c r="D410" s="391" t="s">
        <v>92</v>
      </c>
      <c r="E410" s="3" t="s">
        <v>1287</v>
      </c>
      <c r="F410" s="11">
        <v>1</v>
      </c>
      <c r="G410" s="391">
        <v>1</v>
      </c>
      <c r="H410" s="391">
        <v>150</v>
      </c>
      <c r="I410" s="391">
        <v>150</v>
      </c>
      <c r="J410" s="391" t="s">
        <v>1014</v>
      </c>
      <c r="K410" s="262" t="s">
        <v>1288</v>
      </c>
      <c r="L410" s="262" t="s">
        <v>1016</v>
      </c>
      <c r="M410" s="22" t="s">
        <v>85</v>
      </c>
      <c r="N410" s="391" t="str">
        <f t="shared" si="13"/>
        <v>Sim</v>
      </c>
      <c r="O410" s="22" t="s">
        <v>86</v>
      </c>
      <c r="P410" s="22" t="s">
        <v>86</v>
      </c>
      <c r="Q410" s="91" t="s">
        <v>184</v>
      </c>
      <c r="R410" s="391">
        <f>SUMIF('Lançamento de Cabos'!$B:$B,Tabela1[[#This Row],[Tag do Cabo]],'Lançamento de Cabos'!$C:$C)</f>
        <v>150</v>
      </c>
      <c r="S410" s="391">
        <f>VLOOKUP(Tabela1[[#This Row],[Tag do Cabo]],'Diagramas Ligações'!A:V,14,0)</f>
        <v>4</v>
      </c>
      <c r="T410" s="262" t="s">
        <v>1018</v>
      </c>
      <c r="U410" s="391">
        <v>2</v>
      </c>
      <c r="V410" s="391" t="s">
        <v>186</v>
      </c>
      <c r="W410" s="391"/>
      <c r="X410" s="32">
        <v>44177</v>
      </c>
      <c r="Y410" s="32">
        <v>44204</v>
      </c>
      <c r="Z410" s="3" t="s">
        <v>1289</v>
      </c>
      <c r="AA410" s="45">
        <v>173</v>
      </c>
      <c r="AB410" s="391" t="s">
        <v>1290</v>
      </c>
      <c r="AC410" s="262" t="s">
        <v>1291</v>
      </c>
      <c r="AD410" s="391">
        <f>IF(Tabela1[[#This Row],[Qtde. Lançada]]&gt;Tabela1[[#This Row],[Comprimento Total]],Tabela1[[#This Row],[Qtde. Lançada]],Tabela1[[#This Row],[Comprimento Total]])</f>
        <v>150</v>
      </c>
      <c r="AE410" s="262" t="s">
        <v>610</v>
      </c>
      <c r="AF410" s="391" t="s">
        <v>1292</v>
      </c>
      <c r="AG410" s="391">
        <f ca="1">SUMIF('Lançamento de Cabos'!AE:AK,Tabela1[[#This Row],[Tag do Cabo]],'Lançamento de Cabos'!AG:AG)</f>
        <v>0</v>
      </c>
      <c r="AH410" s="29">
        <f>IFERROR(VLOOKUP(Tabela1[[#This Row],[Tag do Cabo]],'Lançamento de Cabos'!AE:AK,7,0),0)</f>
        <v>0</v>
      </c>
      <c r="AI410" s="262" t="s">
        <v>1301</v>
      </c>
      <c r="AJ410" s="212" t="s">
        <v>1302</v>
      </c>
      <c r="AK410" s="46">
        <v>306860</v>
      </c>
    </row>
    <row r="411" spans="1:37" s="262" customFormat="1" ht="15" customHeight="1" x14ac:dyDescent="0.2">
      <c r="A411" s="168" t="s">
        <v>1303</v>
      </c>
      <c r="B411" s="391" t="s">
        <v>38</v>
      </c>
      <c r="C411" s="391" t="s">
        <v>92</v>
      </c>
      <c r="D411" s="391" t="s">
        <v>92</v>
      </c>
      <c r="E411" s="3" t="s">
        <v>1287</v>
      </c>
      <c r="F411" s="11">
        <v>1</v>
      </c>
      <c r="G411" s="391">
        <v>1</v>
      </c>
      <c r="H411" s="391">
        <v>150</v>
      </c>
      <c r="I411" s="391">
        <v>150</v>
      </c>
      <c r="J411" s="391" t="s">
        <v>1014</v>
      </c>
      <c r="K411" s="262" t="s">
        <v>1288</v>
      </c>
      <c r="L411" s="262" t="s">
        <v>1016</v>
      </c>
      <c r="M411" s="22" t="s">
        <v>85</v>
      </c>
      <c r="N411" s="391" t="str">
        <f t="shared" si="13"/>
        <v>Sim</v>
      </c>
      <c r="O411" s="22" t="s">
        <v>86</v>
      </c>
      <c r="P411" s="22" t="s">
        <v>86</v>
      </c>
      <c r="Q411" s="91" t="s">
        <v>184</v>
      </c>
      <c r="R411" s="391">
        <f>SUMIF('Lançamento de Cabos'!$B:$B,Tabela1[[#This Row],[Tag do Cabo]],'Lançamento de Cabos'!$C:$C)</f>
        <v>150</v>
      </c>
      <c r="S411" s="391">
        <f>VLOOKUP(Tabela1[[#This Row],[Tag do Cabo]],'Diagramas Ligações'!A:V,14,0)</f>
        <v>4</v>
      </c>
      <c r="T411" s="262" t="s">
        <v>1018</v>
      </c>
      <c r="U411" s="391">
        <v>2</v>
      </c>
      <c r="V411" s="391" t="s">
        <v>186</v>
      </c>
      <c r="W411" s="391"/>
      <c r="X411" s="32">
        <v>44177</v>
      </c>
      <c r="Y411" s="32">
        <v>44210</v>
      </c>
      <c r="Z411" s="3" t="s">
        <v>1304</v>
      </c>
      <c r="AA411" s="45">
        <v>170</v>
      </c>
      <c r="AB411" s="391" t="s">
        <v>1290</v>
      </c>
      <c r="AC411" s="262" t="s">
        <v>1291</v>
      </c>
      <c r="AD411" s="391">
        <f>IF(Tabela1[[#This Row],[Qtde. Lançada]]&gt;Tabela1[[#This Row],[Comprimento Total]],Tabela1[[#This Row],[Qtde. Lançada]],Tabela1[[#This Row],[Comprimento Total]])</f>
        <v>150</v>
      </c>
      <c r="AE411" s="262" t="s">
        <v>190</v>
      </c>
      <c r="AF411" s="391" t="s">
        <v>1292</v>
      </c>
      <c r="AG411" s="391">
        <f ca="1">SUMIF('Lançamento de Cabos'!AE:AK,Tabela1[[#This Row],[Tag do Cabo]],'Lançamento de Cabos'!AG:AG)</f>
        <v>0</v>
      </c>
      <c r="AH411" s="29">
        <f>IFERROR(VLOOKUP(Tabela1[[#This Row],[Tag do Cabo]],'Lançamento de Cabos'!AE:AK,7,0),0)</f>
        <v>0</v>
      </c>
      <c r="AI411" s="262" t="s">
        <v>1293</v>
      </c>
      <c r="AJ411" s="213" t="s">
        <v>1305</v>
      </c>
      <c r="AK411" s="46">
        <v>306860</v>
      </c>
    </row>
    <row r="412" spans="1:37" s="262" customFormat="1" ht="15" customHeight="1" x14ac:dyDescent="0.2">
      <c r="A412" s="168" t="s">
        <v>1306</v>
      </c>
      <c r="B412" s="391" t="s">
        <v>38</v>
      </c>
      <c r="C412" s="391" t="s">
        <v>92</v>
      </c>
      <c r="D412" s="391" t="s">
        <v>92</v>
      </c>
      <c r="E412" s="3" t="s">
        <v>1287</v>
      </c>
      <c r="F412" s="11">
        <v>1</v>
      </c>
      <c r="G412" s="391">
        <v>1</v>
      </c>
      <c r="H412" s="391">
        <v>150</v>
      </c>
      <c r="I412" s="391">
        <v>150</v>
      </c>
      <c r="J412" s="391" t="s">
        <v>1014</v>
      </c>
      <c r="K412" s="262" t="s">
        <v>1288</v>
      </c>
      <c r="L412" s="262" t="s">
        <v>1016</v>
      </c>
      <c r="M412" s="22" t="s">
        <v>85</v>
      </c>
      <c r="N412" s="391" t="str">
        <f t="shared" si="13"/>
        <v>Sim</v>
      </c>
      <c r="O412" s="22" t="s">
        <v>86</v>
      </c>
      <c r="P412" s="22" t="s">
        <v>86</v>
      </c>
      <c r="Q412" s="91" t="s">
        <v>184</v>
      </c>
      <c r="R412" s="391">
        <f>SUMIF('Lançamento de Cabos'!$B:$B,Tabela1[[#This Row],[Tag do Cabo]],'Lançamento de Cabos'!$C:$C)</f>
        <v>150</v>
      </c>
      <c r="S412" s="391">
        <f>VLOOKUP(Tabela1[[#This Row],[Tag do Cabo]],'Diagramas Ligações'!A:V,14,0)</f>
        <v>4</v>
      </c>
      <c r="T412" s="262" t="s">
        <v>1018</v>
      </c>
      <c r="U412" s="391">
        <v>2</v>
      </c>
      <c r="V412" s="391" t="s">
        <v>186</v>
      </c>
      <c r="W412" s="391"/>
      <c r="X412" s="32">
        <v>44177</v>
      </c>
      <c r="Y412" s="32">
        <v>44210</v>
      </c>
      <c r="Z412" s="3" t="s">
        <v>1304</v>
      </c>
      <c r="AA412" s="45">
        <v>170</v>
      </c>
      <c r="AB412" s="391" t="s">
        <v>1290</v>
      </c>
      <c r="AC412" s="262" t="s">
        <v>1291</v>
      </c>
      <c r="AD412" s="391">
        <f>IF(Tabela1[[#This Row],[Qtde. Lançada]]&gt;Tabela1[[#This Row],[Comprimento Total]],Tabela1[[#This Row],[Qtde. Lançada]],Tabela1[[#This Row],[Comprimento Total]])</f>
        <v>150</v>
      </c>
      <c r="AE412" s="262" t="s">
        <v>190</v>
      </c>
      <c r="AF412" s="391" t="s">
        <v>1292</v>
      </c>
      <c r="AG412" s="391">
        <f ca="1">SUMIF('Lançamento de Cabos'!AE:AK,Tabela1[[#This Row],[Tag do Cabo]],'Lançamento de Cabos'!AG:AG)</f>
        <v>0</v>
      </c>
      <c r="AH412" s="29">
        <f>IFERROR(VLOOKUP(Tabela1[[#This Row],[Tag do Cabo]],'Lançamento de Cabos'!AE:AK,7,0),0)</f>
        <v>0</v>
      </c>
      <c r="AI412" s="262" t="s">
        <v>1293</v>
      </c>
      <c r="AJ412" s="213" t="s">
        <v>1307</v>
      </c>
      <c r="AK412" s="46">
        <v>306860</v>
      </c>
    </row>
    <row r="413" spans="1:37" s="262" customFormat="1" ht="15" customHeight="1" x14ac:dyDescent="0.2">
      <c r="A413" s="168" t="s">
        <v>1308</v>
      </c>
      <c r="B413" s="391" t="s">
        <v>38</v>
      </c>
      <c r="C413" s="391" t="s">
        <v>92</v>
      </c>
      <c r="D413" s="391" t="s">
        <v>92</v>
      </c>
      <c r="E413" s="3" t="s">
        <v>1287</v>
      </c>
      <c r="F413" s="11">
        <v>1</v>
      </c>
      <c r="G413" s="391">
        <v>1</v>
      </c>
      <c r="H413" s="391">
        <v>150</v>
      </c>
      <c r="I413" s="391">
        <v>150</v>
      </c>
      <c r="J413" s="391" t="s">
        <v>1014</v>
      </c>
      <c r="K413" s="262" t="s">
        <v>1288</v>
      </c>
      <c r="L413" s="262" t="s">
        <v>1016</v>
      </c>
      <c r="M413" s="22" t="s">
        <v>85</v>
      </c>
      <c r="N413" s="391" t="str">
        <f t="shared" si="13"/>
        <v>Sim</v>
      </c>
      <c r="O413" s="22" t="s">
        <v>86</v>
      </c>
      <c r="P413" s="22" t="s">
        <v>86</v>
      </c>
      <c r="Q413" s="91" t="s">
        <v>184</v>
      </c>
      <c r="R413" s="391">
        <f>SUMIF('Lançamento de Cabos'!$B:$B,Tabela1[[#This Row],[Tag do Cabo]],'Lançamento de Cabos'!$C:$C)</f>
        <v>150</v>
      </c>
      <c r="S413" s="391">
        <f>VLOOKUP(Tabela1[[#This Row],[Tag do Cabo]],'Diagramas Ligações'!A:V,14,0)</f>
        <v>4</v>
      </c>
      <c r="T413" s="262" t="s">
        <v>1018</v>
      </c>
      <c r="U413" s="391">
        <v>2</v>
      </c>
      <c r="V413" s="391" t="s">
        <v>186</v>
      </c>
      <c r="W413" s="391"/>
      <c r="X413" s="32">
        <v>44177</v>
      </c>
      <c r="Y413" s="32">
        <v>44210</v>
      </c>
      <c r="Z413" s="3" t="s">
        <v>1304</v>
      </c>
      <c r="AA413" s="45">
        <v>170</v>
      </c>
      <c r="AB413" s="391" t="s">
        <v>1290</v>
      </c>
      <c r="AC413" s="262" t="s">
        <v>1291</v>
      </c>
      <c r="AD413" s="391">
        <f>IF(Tabela1[[#This Row],[Qtde. Lançada]]&gt;Tabela1[[#This Row],[Comprimento Total]],Tabela1[[#This Row],[Qtde. Lançada]],Tabela1[[#This Row],[Comprimento Total]])</f>
        <v>150</v>
      </c>
      <c r="AE413" s="262" t="s">
        <v>190</v>
      </c>
      <c r="AF413" s="391" t="s">
        <v>1292</v>
      </c>
      <c r="AG413" s="391">
        <f ca="1">SUMIF('Lançamento de Cabos'!AE:AK,Tabela1[[#This Row],[Tag do Cabo]],'Lançamento de Cabos'!AG:AG)</f>
        <v>0</v>
      </c>
      <c r="AH413" s="29">
        <f>IFERROR(VLOOKUP(Tabela1[[#This Row],[Tag do Cabo]],'Lançamento de Cabos'!AE:AK,7,0),0)</f>
        <v>0</v>
      </c>
      <c r="AI413" s="262" t="s">
        <v>1293</v>
      </c>
      <c r="AJ413" s="213" t="s">
        <v>1309</v>
      </c>
      <c r="AK413" s="46">
        <v>306860</v>
      </c>
    </row>
    <row r="414" spans="1:37" s="262" customFormat="1" ht="15" customHeight="1" x14ac:dyDescent="0.2">
      <c r="A414" s="168" t="s">
        <v>1310</v>
      </c>
      <c r="B414" s="391" t="s">
        <v>38</v>
      </c>
      <c r="C414" s="391" t="s">
        <v>92</v>
      </c>
      <c r="D414" s="391" t="s">
        <v>92</v>
      </c>
      <c r="E414" s="3" t="s">
        <v>1287</v>
      </c>
      <c r="F414" s="11">
        <v>1</v>
      </c>
      <c r="G414" s="391">
        <v>1</v>
      </c>
      <c r="H414" s="391">
        <v>150</v>
      </c>
      <c r="I414" s="391">
        <v>150</v>
      </c>
      <c r="J414" s="391" t="s">
        <v>1014</v>
      </c>
      <c r="K414" s="262" t="s">
        <v>1288</v>
      </c>
      <c r="L414" s="262" t="s">
        <v>1016</v>
      </c>
      <c r="M414" s="22" t="s">
        <v>85</v>
      </c>
      <c r="N414" s="391" t="str">
        <f t="shared" si="13"/>
        <v>Sim</v>
      </c>
      <c r="O414" s="22" t="s">
        <v>86</v>
      </c>
      <c r="P414" s="22" t="s">
        <v>86</v>
      </c>
      <c r="Q414" s="91" t="s">
        <v>184</v>
      </c>
      <c r="R414" s="391">
        <f>SUMIF('Lançamento de Cabos'!$B:$B,Tabela1[[#This Row],[Tag do Cabo]],'Lançamento de Cabos'!$C:$C)</f>
        <v>150</v>
      </c>
      <c r="S414" s="391">
        <f>VLOOKUP(Tabela1[[#This Row],[Tag do Cabo]],'Diagramas Ligações'!A:V,14,0)</f>
        <v>4</v>
      </c>
      <c r="T414" s="262" t="s">
        <v>1018</v>
      </c>
      <c r="U414" s="391">
        <v>2</v>
      </c>
      <c r="V414" s="391" t="s">
        <v>186</v>
      </c>
      <c r="W414" s="391"/>
      <c r="X414" s="32">
        <v>44177</v>
      </c>
      <c r="Y414" s="32">
        <v>44210</v>
      </c>
      <c r="Z414" s="3" t="s">
        <v>1304</v>
      </c>
      <c r="AA414" s="45">
        <v>170</v>
      </c>
      <c r="AB414" s="391" t="s">
        <v>1290</v>
      </c>
      <c r="AC414" s="262" t="s">
        <v>1291</v>
      </c>
      <c r="AD414" s="391">
        <f>IF(Tabela1[[#This Row],[Qtde. Lançada]]&gt;Tabela1[[#This Row],[Comprimento Total]],Tabela1[[#This Row],[Qtde. Lançada]],Tabela1[[#This Row],[Comprimento Total]])</f>
        <v>150</v>
      </c>
      <c r="AE414" s="262" t="s">
        <v>190</v>
      </c>
      <c r="AF414" s="391" t="s">
        <v>1292</v>
      </c>
      <c r="AG414" s="391">
        <f ca="1">SUMIF('Lançamento de Cabos'!AE:AK,Tabela1[[#This Row],[Tag do Cabo]],'Lançamento de Cabos'!AG:AG)</f>
        <v>0</v>
      </c>
      <c r="AH414" s="29">
        <f>IFERROR(VLOOKUP(Tabela1[[#This Row],[Tag do Cabo]],'Lançamento de Cabos'!AE:AK,7,0),0)</f>
        <v>0</v>
      </c>
      <c r="AI414" s="262" t="s">
        <v>1293</v>
      </c>
      <c r="AJ414" s="213" t="s">
        <v>1311</v>
      </c>
      <c r="AK414" s="46">
        <v>306860</v>
      </c>
    </row>
    <row r="415" spans="1:37" s="262" customFormat="1" ht="15" customHeight="1" x14ac:dyDescent="0.2">
      <c r="A415" s="168" t="s">
        <v>1312</v>
      </c>
      <c r="B415" s="391" t="s">
        <v>38</v>
      </c>
      <c r="C415" s="391" t="s">
        <v>92</v>
      </c>
      <c r="D415" s="391" t="s">
        <v>92</v>
      </c>
      <c r="E415" s="3" t="s">
        <v>1287</v>
      </c>
      <c r="F415" s="11">
        <v>1</v>
      </c>
      <c r="G415" s="391">
        <v>1</v>
      </c>
      <c r="H415" s="391">
        <v>150</v>
      </c>
      <c r="I415" s="391">
        <v>150</v>
      </c>
      <c r="J415" s="391" t="s">
        <v>1014</v>
      </c>
      <c r="K415" s="262" t="s">
        <v>1288</v>
      </c>
      <c r="L415" s="262" t="s">
        <v>1016</v>
      </c>
      <c r="M415" s="22" t="s">
        <v>85</v>
      </c>
      <c r="N415" s="391" t="str">
        <f t="shared" si="13"/>
        <v>Sim</v>
      </c>
      <c r="O415" s="22" t="s">
        <v>86</v>
      </c>
      <c r="P415" s="22" t="s">
        <v>86</v>
      </c>
      <c r="Q415" s="91" t="s">
        <v>184</v>
      </c>
      <c r="R415" s="391">
        <f>SUMIF('Lançamento de Cabos'!$B:$B,Tabela1[[#This Row],[Tag do Cabo]],'Lançamento de Cabos'!$C:$C)</f>
        <v>150</v>
      </c>
      <c r="S415" s="391">
        <f>VLOOKUP(Tabela1[[#This Row],[Tag do Cabo]],'Diagramas Ligações'!A:V,14,0)</f>
        <v>4</v>
      </c>
      <c r="T415" s="262" t="s">
        <v>1018</v>
      </c>
      <c r="U415" s="391">
        <v>2</v>
      </c>
      <c r="V415" s="391" t="s">
        <v>186</v>
      </c>
      <c r="W415" s="391"/>
      <c r="X415" s="32">
        <v>44177</v>
      </c>
      <c r="Y415" s="32">
        <v>44210</v>
      </c>
      <c r="Z415" s="3" t="s">
        <v>1304</v>
      </c>
      <c r="AA415" s="45">
        <v>170</v>
      </c>
      <c r="AB415" s="391" t="s">
        <v>1290</v>
      </c>
      <c r="AC415" s="262" t="s">
        <v>1291</v>
      </c>
      <c r="AD415" s="391">
        <f>IF(Tabela1[[#This Row],[Qtde. Lançada]]&gt;Tabela1[[#This Row],[Comprimento Total]],Tabela1[[#This Row],[Qtde. Lançada]],Tabela1[[#This Row],[Comprimento Total]])</f>
        <v>150</v>
      </c>
      <c r="AE415" s="262" t="s">
        <v>190</v>
      </c>
      <c r="AF415" s="391" t="s">
        <v>1292</v>
      </c>
      <c r="AG415" s="391">
        <f ca="1">SUMIF('Lançamento de Cabos'!AE:AK,Tabela1[[#This Row],[Tag do Cabo]],'Lançamento de Cabos'!AG:AG)</f>
        <v>0</v>
      </c>
      <c r="AH415" s="29">
        <f>IFERROR(VLOOKUP(Tabela1[[#This Row],[Tag do Cabo]],'Lançamento de Cabos'!AE:AK,7,0),0)</f>
        <v>0</v>
      </c>
      <c r="AI415" s="262" t="s">
        <v>1293</v>
      </c>
      <c r="AJ415" s="213" t="s">
        <v>1313</v>
      </c>
      <c r="AK415" s="46">
        <v>306860</v>
      </c>
    </row>
    <row r="416" spans="1:37" s="262" customFormat="1" ht="15" customHeight="1" x14ac:dyDescent="0.2">
      <c r="A416" s="168" t="s">
        <v>1314</v>
      </c>
      <c r="B416" s="391" t="s">
        <v>38</v>
      </c>
      <c r="C416" s="391" t="s">
        <v>92</v>
      </c>
      <c r="D416" s="391" t="s">
        <v>92</v>
      </c>
      <c r="E416" s="3" t="s">
        <v>1287</v>
      </c>
      <c r="F416" s="11">
        <v>1</v>
      </c>
      <c r="G416" s="391">
        <v>1</v>
      </c>
      <c r="H416" s="391">
        <v>150</v>
      </c>
      <c r="I416" s="391">
        <v>150</v>
      </c>
      <c r="J416" s="391" t="s">
        <v>1014</v>
      </c>
      <c r="K416" s="262" t="s">
        <v>1288</v>
      </c>
      <c r="L416" s="262" t="s">
        <v>1016</v>
      </c>
      <c r="M416" s="22" t="s">
        <v>85</v>
      </c>
      <c r="N416" s="391" t="str">
        <f t="shared" si="13"/>
        <v>Sim</v>
      </c>
      <c r="O416" s="22" t="s">
        <v>86</v>
      </c>
      <c r="P416" s="22" t="s">
        <v>86</v>
      </c>
      <c r="Q416" s="91" t="s">
        <v>184</v>
      </c>
      <c r="R416" s="391">
        <f>SUMIF('Lançamento de Cabos'!$B:$B,Tabela1[[#This Row],[Tag do Cabo]],'Lançamento de Cabos'!$C:$C)</f>
        <v>150</v>
      </c>
      <c r="S416" s="391">
        <f>VLOOKUP(Tabela1[[#This Row],[Tag do Cabo]],'Diagramas Ligações'!A:V,14,0)</f>
        <v>4</v>
      </c>
      <c r="T416" s="262" t="s">
        <v>1018</v>
      </c>
      <c r="U416" s="391">
        <v>2</v>
      </c>
      <c r="V416" s="391" t="s">
        <v>186</v>
      </c>
      <c r="W416" s="391"/>
      <c r="X416" s="32">
        <v>44177</v>
      </c>
      <c r="Y416" s="32">
        <v>44210</v>
      </c>
      <c r="Z416" s="3" t="s">
        <v>1304</v>
      </c>
      <c r="AA416" s="45">
        <v>170</v>
      </c>
      <c r="AB416" s="391" t="s">
        <v>1290</v>
      </c>
      <c r="AC416" s="262" t="s">
        <v>1291</v>
      </c>
      <c r="AD416" s="391">
        <f>IF(Tabela1[[#This Row],[Qtde. Lançada]]&gt;Tabela1[[#This Row],[Comprimento Total]],Tabela1[[#This Row],[Qtde. Lançada]],Tabela1[[#This Row],[Comprimento Total]])</f>
        <v>150</v>
      </c>
      <c r="AE416" s="262" t="s">
        <v>190</v>
      </c>
      <c r="AF416" s="391" t="s">
        <v>1292</v>
      </c>
      <c r="AG416" s="391">
        <f ca="1">SUMIF('Lançamento de Cabos'!AE:AK,Tabela1[[#This Row],[Tag do Cabo]],'Lançamento de Cabos'!AG:AG)</f>
        <v>0</v>
      </c>
      <c r="AH416" s="29">
        <f>IFERROR(VLOOKUP(Tabela1[[#This Row],[Tag do Cabo]],'Lançamento de Cabos'!AE:AK,7,0),0)</f>
        <v>0</v>
      </c>
      <c r="AI416" s="262" t="s">
        <v>1293</v>
      </c>
      <c r="AJ416" s="213" t="s">
        <v>1315</v>
      </c>
      <c r="AK416" s="46">
        <v>306860</v>
      </c>
    </row>
    <row r="417" spans="1:37" s="262" customFormat="1" ht="15" customHeight="1" x14ac:dyDescent="0.2">
      <c r="A417" s="168" t="s">
        <v>1316</v>
      </c>
      <c r="B417" s="391" t="s">
        <v>38</v>
      </c>
      <c r="C417" s="391" t="s">
        <v>92</v>
      </c>
      <c r="D417" s="391" t="s">
        <v>92</v>
      </c>
      <c r="E417" s="3" t="s">
        <v>1287</v>
      </c>
      <c r="F417" s="11">
        <v>1</v>
      </c>
      <c r="G417" s="391">
        <v>1</v>
      </c>
      <c r="H417" s="391">
        <v>150</v>
      </c>
      <c r="I417" s="391">
        <v>150</v>
      </c>
      <c r="J417" s="391" t="s">
        <v>1014</v>
      </c>
      <c r="K417" s="262" t="s">
        <v>1288</v>
      </c>
      <c r="L417" s="262" t="s">
        <v>1016</v>
      </c>
      <c r="M417" s="22" t="s">
        <v>85</v>
      </c>
      <c r="N417" s="391" t="str">
        <f t="shared" si="13"/>
        <v>Sim</v>
      </c>
      <c r="O417" s="22" t="s">
        <v>86</v>
      </c>
      <c r="P417" s="22" t="s">
        <v>86</v>
      </c>
      <c r="Q417" s="91" t="s">
        <v>184</v>
      </c>
      <c r="R417" s="391">
        <f>SUMIF('Lançamento de Cabos'!$B:$B,Tabela1[[#This Row],[Tag do Cabo]],'Lançamento de Cabos'!$C:$C)</f>
        <v>150</v>
      </c>
      <c r="S417" s="391">
        <f>VLOOKUP(Tabela1[[#This Row],[Tag do Cabo]],'Diagramas Ligações'!A:V,14,0)</f>
        <v>4</v>
      </c>
      <c r="T417" s="262" t="s">
        <v>1018</v>
      </c>
      <c r="U417" s="391">
        <v>2</v>
      </c>
      <c r="V417" s="391" t="s">
        <v>186</v>
      </c>
      <c r="W417" s="391"/>
      <c r="X417" s="32">
        <v>44177</v>
      </c>
      <c r="Y417" s="32">
        <v>44210</v>
      </c>
      <c r="Z417" s="3" t="s">
        <v>1304</v>
      </c>
      <c r="AA417" s="45">
        <v>170</v>
      </c>
      <c r="AB417" s="391" t="s">
        <v>1290</v>
      </c>
      <c r="AC417" s="262" t="s">
        <v>1291</v>
      </c>
      <c r="AD417" s="391">
        <f>IF(Tabela1[[#This Row],[Qtde. Lançada]]&gt;Tabela1[[#This Row],[Comprimento Total]],Tabela1[[#This Row],[Qtde. Lançada]],Tabela1[[#This Row],[Comprimento Total]])</f>
        <v>150</v>
      </c>
      <c r="AE417" s="262" t="s">
        <v>190</v>
      </c>
      <c r="AF417" s="391" t="s">
        <v>1292</v>
      </c>
      <c r="AG417" s="391">
        <f ca="1">SUMIF('Lançamento de Cabos'!AE:AK,Tabela1[[#This Row],[Tag do Cabo]],'Lançamento de Cabos'!AG:AG)</f>
        <v>0</v>
      </c>
      <c r="AH417" s="29">
        <f>IFERROR(VLOOKUP(Tabela1[[#This Row],[Tag do Cabo]],'Lançamento de Cabos'!AE:AK,7,0),0)</f>
        <v>0</v>
      </c>
      <c r="AI417" s="262" t="s">
        <v>1293</v>
      </c>
      <c r="AJ417" s="213" t="s">
        <v>1317</v>
      </c>
      <c r="AK417" s="46">
        <v>306860</v>
      </c>
    </row>
    <row r="418" spans="1:37" s="262" customFormat="1" ht="15" customHeight="1" x14ac:dyDescent="0.2">
      <c r="A418" s="168" t="s">
        <v>1318</v>
      </c>
      <c r="B418" s="391" t="s">
        <v>38</v>
      </c>
      <c r="C418" s="391" t="s">
        <v>92</v>
      </c>
      <c r="D418" s="391" t="s">
        <v>92</v>
      </c>
      <c r="E418" s="3" t="s">
        <v>1287</v>
      </c>
      <c r="F418" s="11">
        <v>1</v>
      </c>
      <c r="G418" s="391">
        <v>1</v>
      </c>
      <c r="H418" s="391">
        <v>150</v>
      </c>
      <c r="I418" s="391">
        <v>150</v>
      </c>
      <c r="J418" s="391" t="s">
        <v>1014</v>
      </c>
      <c r="K418" s="262" t="s">
        <v>1288</v>
      </c>
      <c r="L418" s="262" t="s">
        <v>1016</v>
      </c>
      <c r="M418" s="22" t="s">
        <v>85</v>
      </c>
      <c r="N418" s="391" t="str">
        <f t="shared" si="13"/>
        <v>Sim</v>
      </c>
      <c r="O418" s="22" t="s">
        <v>86</v>
      </c>
      <c r="P418" s="22" t="s">
        <v>86</v>
      </c>
      <c r="Q418" s="91" t="s">
        <v>184</v>
      </c>
      <c r="R418" s="391">
        <f>SUMIF('Lançamento de Cabos'!$B:$B,Tabela1[[#This Row],[Tag do Cabo]],'Lançamento de Cabos'!$C:$C)</f>
        <v>150</v>
      </c>
      <c r="S418" s="391">
        <f>VLOOKUP(Tabela1[[#This Row],[Tag do Cabo]],'Diagramas Ligações'!A:V,14,0)</f>
        <v>4</v>
      </c>
      <c r="T418" s="262" t="s">
        <v>1018</v>
      </c>
      <c r="U418" s="391">
        <v>2</v>
      </c>
      <c r="V418" s="391" t="s">
        <v>186</v>
      </c>
      <c r="W418" s="391"/>
      <c r="X418" s="32">
        <v>44177</v>
      </c>
      <c r="Y418" s="32">
        <v>44210</v>
      </c>
      <c r="Z418" s="3" t="s">
        <v>1304</v>
      </c>
      <c r="AA418" s="45">
        <v>170</v>
      </c>
      <c r="AB418" s="391" t="s">
        <v>1290</v>
      </c>
      <c r="AC418" s="262" t="s">
        <v>1291</v>
      </c>
      <c r="AD418" s="391">
        <f>IF(Tabela1[[#This Row],[Qtde. Lançada]]&gt;Tabela1[[#This Row],[Comprimento Total]],Tabela1[[#This Row],[Qtde. Lançada]],Tabela1[[#This Row],[Comprimento Total]])</f>
        <v>150</v>
      </c>
      <c r="AE418" s="262" t="s">
        <v>190</v>
      </c>
      <c r="AF418" s="391" t="s">
        <v>1292</v>
      </c>
      <c r="AG418" s="391">
        <f ca="1">SUMIF('Lançamento de Cabos'!AE:AK,Tabela1[[#This Row],[Tag do Cabo]],'Lançamento de Cabos'!AG:AG)</f>
        <v>0</v>
      </c>
      <c r="AH418" s="29">
        <f>IFERROR(VLOOKUP(Tabela1[[#This Row],[Tag do Cabo]],'Lançamento de Cabos'!AE:AK,7,0),0)</f>
        <v>0</v>
      </c>
      <c r="AI418" s="262" t="s">
        <v>1293</v>
      </c>
      <c r="AJ418" s="213" t="s">
        <v>1319</v>
      </c>
      <c r="AK418" s="46">
        <v>306860</v>
      </c>
    </row>
    <row r="419" spans="1:37" s="262" customFormat="1" ht="15" customHeight="1" x14ac:dyDescent="0.2">
      <c r="A419" s="168" t="s">
        <v>1320</v>
      </c>
      <c r="B419" s="391" t="s">
        <v>38</v>
      </c>
      <c r="C419" s="391" t="s">
        <v>92</v>
      </c>
      <c r="D419" s="391" t="s">
        <v>92</v>
      </c>
      <c r="E419" s="3" t="s">
        <v>1287</v>
      </c>
      <c r="F419" s="11">
        <v>1</v>
      </c>
      <c r="G419" s="391">
        <v>1</v>
      </c>
      <c r="H419" s="391">
        <v>150</v>
      </c>
      <c r="I419" s="391">
        <v>150</v>
      </c>
      <c r="J419" s="391" t="s">
        <v>1014</v>
      </c>
      <c r="K419" s="262" t="s">
        <v>1288</v>
      </c>
      <c r="L419" s="262" t="s">
        <v>1016</v>
      </c>
      <c r="M419" s="22" t="s">
        <v>85</v>
      </c>
      <c r="N419" s="391" t="str">
        <f t="shared" si="13"/>
        <v>Sim</v>
      </c>
      <c r="O419" s="22" t="s">
        <v>86</v>
      </c>
      <c r="P419" s="22" t="s">
        <v>86</v>
      </c>
      <c r="Q419" s="91" t="s">
        <v>184</v>
      </c>
      <c r="R419" s="391">
        <f>SUMIF('Lançamento de Cabos'!$B:$B,Tabela1[[#This Row],[Tag do Cabo]],'Lançamento de Cabos'!$C:$C)</f>
        <v>150</v>
      </c>
      <c r="S419" s="391">
        <f>VLOOKUP(Tabela1[[#This Row],[Tag do Cabo]],'Diagramas Ligações'!A:V,14,0)</f>
        <v>4</v>
      </c>
      <c r="T419" s="262" t="s">
        <v>1018</v>
      </c>
      <c r="U419" s="391">
        <v>2</v>
      </c>
      <c r="V419" s="391" t="s">
        <v>186</v>
      </c>
      <c r="W419" s="391"/>
      <c r="X419" s="32">
        <v>44177</v>
      </c>
      <c r="Y419" s="32">
        <v>44210</v>
      </c>
      <c r="Z419" s="3" t="s">
        <v>1304</v>
      </c>
      <c r="AA419" s="45">
        <v>170</v>
      </c>
      <c r="AB419" s="391" t="s">
        <v>1290</v>
      </c>
      <c r="AC419" s="262" t="s">
        <v>1291</v>
      </c>
      <c r="AD419" s="391">
        <f>IF(Tabela1[[#This Row],[Qtde. Lançada]]&gt;Tabela1[[#This Row],[Comprimento Total]],Tabela1[[#This Row],[Qtde. Lançada]],Tabela1[[#This Row],[Comprimento Total]])</f>
        <v>150</v>
      </c>
      <c r="AE419" s="262" t="s">
        <v>190</v>
      </c>
      <c r="AF419" s="391" t="s">
        <v>1292</v>
      </c>
      <c r="AG419" s="391">
        <f ca="1">SUMIF('Lançamento de Cabos'!AE:AK,Tabela1[[#This Row],[Tag do Cabo]],'Lançamento de Cabos'!AG:AG)</f>
        <v>0</v>
      </c>
      <c r="AH419" s="29">
        <f>IFERROR(VLOOKUP(Tabela1[[#This Row],[Tag do Cabo]],'Lançamento de Cabos'!AE:AK,7,0),0)</f>
        <v>0</v>
      </c>
      <c r="AI419" s="262" t="s">
        <v>1293</v>
      </c>
      <c r="AJ419" s="213" t="s">
        <v>1321</v>
      </c>
      <c r="AK419" s="46">
        <v>306860</v>
      </c>
    </row>
    <row r="420" spans="1:37" s="262" customFormat="1" ht="15" customHeight="1" x14ac:dyDescent="0.2">
      <c r="A420" s="168" t="s">
        <v>1322</v>
      </c>
      <c r="B420" s="391" t="s">
        <v>38</v>
      </c>
      <c r="C420" s="391" t="s">
        <v>92</v>
      </c>
      <c r="D420" s="391" t="s">
        <v>92</v>
      </c>
      <c r="E420" s="3" t="s">
        <v>1287</v>
      </c>
      <c r="F420" s="11">
        <v>1</v>
      </c>
      <c r="G420" s="391">
        <v>1</v>
      </c>
      <c r="H420" s="391">
        <v>150</v>
      </c>
      <c r="I420" s="391">
        <v>150</v>
      </c>
      <c r="J420" s="391" t="s">
        <v>1014</v>
      </c>
      <c r="K420" s="262" t="s">
        <v>1288</v>
      </c>
      <c r="L420" s="262" t="s">
        <v>1016</v>
      </c>
      <c r="M420" s="22" t="s">
        <v>85</v>
      </c>
      <c r="N420" s="391" t="str">
        <f t="shared" si="13"/>
        <v>Sim</v>
      </c>
      <c r="O420" s="22" t="s">
        <v>86</v>
      </c>
      <c r="P420" s="22" t="s">
        <v>86</v>
      </c>
      <c r="Q420" s="91" t="s">
        <v>184</v>
      </c>
      <c r="R420" s="391">
        <f>SUMIF('Lançamento de Cabos'!$B:$B,Tabela1[[#This Row],[Tag do Cabo]],'Lançamento de Cabos'!$C:$C)</f>
        <v>150</v>
      </c>
      <c r="S420" s="391">
        <f>VLOOKUP(Tabela1[[#This Row],[Tag do Cabo]],'Diagramas Ligações'!A:V,14,0)</f>
        <v>4</v>
      </c>
      <c r="T420" s="262" t="s">
        <v>1018</v>
      </c>
      <c r="U420" s="391">
        <v>2</v>
      </c>
      <c r="V420" s="391" t="s">
        <v>186</v>
      </c>
      <c r="W420" s="391"/>
      <c r="X420" s="32">
        <v>44177</v>
      </c>
      <c r="Y420" s="32">
        <v>44210</v>
      </c>
      <c r="Z420" s="3" t="s">
        <v>1304</v>
      </c>
      <c r="AA420" s="45">
        <v>170</v>
      </c>
      <c r="AB420" s="391" t="s">
        <v>1290</v>
      </c>
      <c r="AC420" s="262" t="s">
        <v>1291</v>
      </c>
      <c r="AD420" s="391">
        <f>IF(Tabela1[[#This Row],[Qtde. Lançada]]&gt;Tabela1[[#This Row],[Comprimento Total]],Tabela1[[#This Row],[Qtde. Lançada]],Tabela1[[#This Row],[Comprimento Total]])</f>
        <v>150</v>
      </c>
      <c r="AE420" s="262" t="s">
        <v>190</v>
      </c>
      <c r="AF420" s="391" t="s">
        <v>1292</v>
      </c>
      <c r="AG420" s="391">
        <f ca="1">SUMIF('Lançamento de Cabos'!AE:AK,Tabela1[[#This Row],[Tag do Cabo]],'Lançamento de Cabos'!AG:AG)</f>
        <v>0</v>
      </c>
      <c r="AH420" s="29">
        <f>IFERROR(VLOOKUP(Tabela1[[#This Row],[Tag do Cabo]],'Lançamento de Cabos'!AE:AK,7,0),0)</f>
        <v>0</v>
      </c>
      <c r="AI420" s="262" t="s">
        <v>1293</v>
      </c>
      <c r="AJ420" s="213" t="s">
        <v>1323</v>
      </c>
      <c r="AK420" s="46">
        <v>306860</v>
      </c>
    </row>
    <row r="421" spans="1:37" s="262" customFormat="1" ht="15" customHeight="1" x14ac:dyDescent="0.2">
      <c r="A421" s="168" t="s">
        <v>1324</v>
      </c>
      <c r="B421" s="391" t="s">
        <v>38</v>
      </c>
      <c r="C421" s="391" t="s">
        <v>92</v>
      </c>
      <c r="D421" s="391" t="s">
        <v>92</v>
      </c>
      <c r="E421" s="3" t="s">
        <v>1287</v>
      </c>
      <c r="F421" s="11">
        <v>1</v>
      </c>
      <c r="G421" s="391">
        <v>1</v>
      </c>
      <c r="H421" s="391">
        <v>150</v>
      </c>
      <c r="I421" s="391">
        <v>150</v>
      </c>
      <c r="J421" s="391" t="s">
        <v>1014</v>
      </c>
      <c r="K421" s="262" t="s">
        <v>1288</v>
      </c>
      <c r="L421" s="262" t="s">
        <v>1016</v>
      </c>
      <c r="M421" s="22" t="s">
        <v>85</v>
      </c>
      <c r="N421" s="391" t="str">
        <f t="shared" si="13"/>
        <v>Sim</v>
      </c>
      <c r="O421" s="22" t="s">
        <v>86</v>
      </c>
      <c r="P421" s="22" t="s">
        <v>86</v>
      </c>
      <c r="Q421" s="91" t="s">
        <v>184</v>
      </c>
      <c r="R421" s="391">
        <f>SUMIF('Lançamento de Cabos'!$B:$B,Tabela1[[#This Row],[Tag do Cabo]],'Lançamento de Cabos'!$C:$C)</f>
        <v>150</v>
      </c>
      <c r="S421" s="391">
        <f>VLOOKUP(Tabela1[[#This Row],[Tag do Cabo]],'Diagramas Ligações'!A:V,14,0)</f>
        <v>4</v>
      </c>
      <c r="T421" s="262" t="s">
        <v>1018</v>
      </c>
      <c r="U421" s="391">
        <v>2</v>
      </c>
      <c r="V421" s="391" t="s">
        <v>186</v>
      </c>
      <c r="W421" s="391"/>
      <c r="X421" s="32">
        <v>44177</v>
      </c>
      <c r="Y421" s="32">
        <v>44210</v>
      </c>
      <c r="Z421" s="3" t="s">
        <v>1304</v>
      </c>
      <c r="AA421" s="45">
        <v>170</v>
      </c>
      <c r="AB421" s="391" t="s">
        <v>1290</v>
      </c>
      <c r="AC421" s="262" t="s">
        <v>1291</v>
      </c>
      <c r="AD421" s="391">
        <f>IF(Tabela1[[#This Row],[Qtde. Lançada]]&gt;Tabela1[[#This Row],[Comprimento Total]],Tabela1[[#This Row],[Qtde. Lançada]],Tabela1[[#This Row],[Comprimento Total]])</f>
        <v>150</v>
      </c>
      <c r="AE421" s="262" t="s">
        <v>190</v>
      </c>
      <c r="AF421" s="391" t="s">
        <v>1292</v>
      </c>
      <c r="AG421" s="391">
        <f ca="1">SUMIF('Lançamento de Cabos'!AE:AK,Tabela1[[#This Row],[Tag do Cabo]],'Lançamento de Cabos'!AG:AG)</f>
        <v>0</v>
      </c>
      <c r="AH421" s="29">
        <f>IFERROR(VLOOKUP(Tabela1[[#This Row],[Tag do Cabo]],'Lançamento de Cabos'!AE:AK,7,0),0)</f>
        <v>0</v>
      </c>
      <c r="AI421" s="262" t="s">
        <v>1293</v>
      </c>
      <c r="AJ421" s="212" t="s">
        <v>1325</v>
      </c>
      <c r="AK421" s="46">
        <v>306860</v>
      </c>
    </row>
    <row r="422" spans="1:37" s="262" customFormat="1" ht="15" customHeight="1" x14ac:dyDescent="0.2">
      <c r="A422" s="168" t="s">
        <v>1326</v>
      </c>
      <c r="B422" s="391" t="s">
        <v>38</v>
      </c>
      <c r="C422" s="391" t="s">
        <v>92</v>
      </c>
      <c r="D422" s="391" t="s">
        <v>92</v>
      </c>
      <c r="E422" s="3" t="s">
        <v>1012</v>
      </c>
      <c r="F422" s="11" t="s">
        <v>1013</v>
      </c>
      <c r="G422" s="391">
        <v>1</v>
      </c>
      <c r="H422" s="391">
        <v>70</v>
      </c>
      <c r="I422" s="391">
        <v>70</v>
      </c>
      <c r="J422" s="391" t="s">
        <v>235</v>
      </c>
      <c r="K422" s="262" t="s">
        <v>1326</v>
      </c>
      <c r="L422" s="262" t="s">
        <v>1327</v>
      </c>
      <c r="M422" s="22" t="s">
        <v>85</v>
      </c>
      <c r="N422" s="391" t="str">
        <f t="shared" si="13"/>
        <v>Sim</v>
      </c>
      <c r="O422" s="22" t="s">
        <v>86</v>
      </c>
      <c r="P422" s="22" t="s">
        <v>86</v>
      </c>
      <c r="Q422" s="91" t="s">
        <v>1017</v>
      </c>
      <c r="R422" s="391">
        <f>SUMIF('Lançamento de Cabos'!$B:$B,Tabela1[[#This Row],[Tag do Cabo]],'Lançamento de Cabos'!$C:$C)</f>
        <v>70</v>
      </c>
      <c r="S422" s="391">
        <f>VLOOKUP(Tabela1[[#This Row],[Tag do Cabo]],'Diagramas Ligações'!A:V,14,0)</f>
        <v>6</v>
      </c>
      <c r="T422" s="262" t="s">
        <v>1018</v>
      </c>
      <c r="U422" s="391">
        <v>2</v>
      </c>
      <c r="V422" s="391" t="s">
        <v>186</v>
      </c>
      <c r="W422" s="391" t="s">
        <v>258</v>
      </c>
      <c r="X422" s="32">
        <v>44177</v>
      </c>
      <c r="Y422" s="32">
        <v>44210</v>
      </c>
      <c r="Z422" s="3" t="s">
        <v>1019</v>
      </c>
      <c r="AA422" s="45">
        <v>189</v>
      </c>
      <c r="AB42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2" s="262" t="s">
        <v>1210</v>
      </c>
      <c r="AD422" s="391">
        <f>IF(Tabela1[[#This Row],[Qtde. Lançada]]&gt;Tabela1[[#This Row],[Comprimento Total]],Tabela1[[#This Row],[Qtde. Lançada]],Tabela1[[#This Row],[Comprimento Total]])</f>
        <v>70</v>
      </c>
      <c r="AE422" s="391" t="s">
        <v>92</v>
      </c>
      <c r="AF422" s="391" t="s">
        <v>235</v>
      </c>
      <c r="AG422" s="391">
        <f ca="1">SUMIF('Lançamento de Cabos'!AE:AK,Tabela1[[#This Row],[Tag do Cabo]],'Lançamento de Cabos'!AG:AG)</f>
        <v>0</v>
      </c>
      <c r="AH422" s="29">
        <f>IFERROR(VLOOKUP(Tabela1[[#This Row],[Tag do Cabo]],'Lançamento de Cabos'!AE:AK,7,0),0)</f>
        <v>0</v>
      </c>
      <c r="AI422" s="262" t="s">
        <v>1022</v>
      </c>
      <c r="AJ422" s="212">
        <v>44</v>
      </c>
      <c r="AK422" s="46">
        <v>2057046</v>
      </c>
    </row>
    <row r="423" spans="1:37" s="262" customFormat="1" ht="15" customHeight="1" x14ac:dyDescent="0.2">
      <c r="A423" s="168" t="s">
        <v>1328</v>
      </c>
      <c r="B423" s="391" t="s">
        <v>38</v>
      </c>
      <c r="C423" s="391" t="s">
        <v>92</v>
      </c>
      <c r="D423" s="391" t="s">
        <v>92</v>
      </c>
      <c r="E423" s="3" t="s">
        <v>1012</v>
      </c>
      <c r="F423" s="11" t="s">
        <v>1013</v>
      </c>
      <c r="G423" s="391">
        <v>1</v>
      </c>
      <c r="H423" s="391">
        <v>70</v>
      </c>
      <c r="I423" s="391">
        <v>70</v>
      </c>
      <c r="J423" s="391" t="s">
        <v>235</v>
      </c>
      <c r="K423" s="262" t="s">
        <v>1328</v>
      </c>
      <c r="L423" s="262" t="s">
        <v>1327</v>
      </c>
      <c r="M423" s="22" t="s">
        <v>85</v>
      </c>
      <c r="N423" s="391" t="str">
        <f t="shared" si="13"/>
        <v>Sim</v>
      </c>
      <c r="O423" s="22" t="s">
        <v>86</v>
      </c>
      <c r="P423" s="22" t="s">
        <v>86</v>
      </c>
      <c r="Q423" s="91" t="s">
        <v>1017</v>
      </c>
      <c r="R423" s="391">
        <f>SUMIF('Lançamento de Cabos'!$B:$B,Tabela1[[#This Row],[Tag do Cabo]],'Lançamento de Cabos'!$C:$C)</f>
        <v>70</v>
      </c>
      <c r="S423" s="391">
        <f>VLOOKUP(Tabela1[[#This Row],[Tag do Cabo]],'Diagramas Ligações'!A:V,14,0)</f>
        <v>6</v>
      </c>
      <c r="T423" s="262" t="s">
        <v>1018</v>
      </c>
      <c r="U423" s="391">
        <v>2</v>
      </c>
      <c r="V423" s="391" t="s">
        <v>186</v>
      </c>
      <c r="W423" s="391" t="s">
        <v>258</v>
      </c>
      <c r="X423" s="32">
        <v>44177</v>
      </c>
      <c r="Y423" s="32">
        <v>44210</v>
      </c>
      <c r="Z423" s="3" t="s">
        <v>1019</v>
      </c>
      <c r="AA423" s="45">
        <v>189</v>
      </c>
      <c r="AB42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3" s="262" t="s">
        <v>1210</v>
      </c>
      <c r="AD423" s="391">
        <f>IF(Tabela1[[#This Row],[Qtde. Lançada]]&gt;Tabela1[[#This Row],[Comprimento Total]],Tabela1[[#This Row],[Qtde. Lançada]],Tabela1[[#This Row],[Comprimento Total]])</f>
        <v>70</v>
      </c>
      <c r="AE423" s="391" t="s">
        <v>92</v>
      </c>
      <c r="AF423" s="391" t="s">
        <v>235</v>
      </c>
      <c r="AG423" s="391">
        <f ca="1">SUMIF('Lançamento de Cabos'!AE:AK,Tabela1[[#This Row],[Tag do Cabo]],'Lançamento de Cabos'!AG:AG)</f>
        <v>0</v>
      </c>
      <c r="AH423" s="29">
        <f>IFERROR(VLOOKUP(Tabela1[[#This Row],[Tag do Cabo]],'Lançamento de Cabos'!AE:AK,7,0),0)</f>
        <v>0</v>
      </c>
      <c r="AI423" s="262" t="s">
        <v>1022</v>
      </c>
      <c r="AJ423" s="212">
        <v>44</v>
      </c>
      <c r="AK423" s="46">
        <v>2057046</v>
      </c>
    </row>
    <row r="424" spans="1:37" s="262" customFormat="1" ht="15" customHeight="1" x14ac:dyDescent="0.2">
      <c r="A424" s="168" t="s">
        <v>1329</v>
      </c>
      <c r="B424" s="391" t="s">
        <v>38</v>
      </c>
      <c r="C424" s="391" t="s">
        <v>92</v>
      </c>
      <c r="D424" s="391" t="s">
        <v>92</v>
      </c>
      <c r="E424" s="3" t="s">
        <v>1012</v>
      </c>
      <c r="F424" s="11" t="s">
        <v>1013</v>
      </c>
      <c r="G424" s="391">
        <v>1</v>
      </c>
      <c r="H424" s="391">
        <v>62</v>
      </c>
      <c r="I424" s="391">
        <v>62</v>
      </c>
      <c r="J424" s="391" t="s">
        <v>235</v>
      </c>
      <c r="K424" s="262" t="s">
        <v>1329</v>
      </c>
      <c r="L424" s="262" t="s">
        <v>1327</v>
      </c>
      <c r="M424" s="22" t="s">
        <v>85</v>
      </c>
      <c r="N424" s="391" t="str">
        <f t="shared" si="13"/>
        <v>Sim</v>
      </c>
      <c r="O424" s="22" t="s">
        <v>86</v>
      </c>
      <c r="P424" s="22" t="s">
        <v>86</v>
      </c>
      <c r="Q424" s="91" t="s">
        <v>1017</v>
      </c>
      <c r="R424" s="391">
        <f>SUMIF('Lançamento de Cabos'!$B:$B,Tabela1[[#This Row],[Tag do Cabo]],'Lançamento de Cabos'!$C:$C)</f>
        <v>62</v>
      </c>
      <c r="S424" s="391">
        <f>VLOOKUP(Tabela1[[#This Row],[Tag do Cabo]],'Diagramas Ligações'!A:V,14,0)</f>
        <v>6</v>
      </c>
      <c r="T424" s="262" t="s">
        <v>1018</v>
      </c>
      <c r="U424" s="391">
        <v>2</v>
      </c>
      <c r="V424" s="391" t="s">
        <v>186</v>
      </c>
      <c r="W424" s="391" t="s">
        <v>258</v>
      </c>
      <c r="X424" s="32">
        <v>44177</v>
      </c>
      <c r="Y424" s="32">
        <v>44210</v>
      </c>
      <c r="Z424" s="3" t="s">
        <v>1019</v>
      </c>
      <c r="AA424" s="45">
        <v>189</v>
      </c>
      <c r="AB42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4" s="262" t="s">
        <v>1210</v>
      </c>
      <c r="AD424" s="391">
        <f>IF(Tabela1[[#This Row],[Qtde. Lançada]]&gt;Tabela1[[#This Row],[Comprimento Total]],Tabela1[[#This Row],[Qtde. Lançada]],Tabela1[[#This Row],[Comprimento Total]])</f>
        <v>62</v>
      </c>
      <c r="AE424" s="391" t="s">
        <v>92</v>
      </c>
      <c r="AF424" s="391" t="s">
        <v>235</v>
      </c>
      <c r="AG424" s="391">
        <f ca="1">SUMIF('Lançamento de Cabos'!AE:AK,Tabela1[[#This Row],[Tag do Cabo]],'Lançamento de Cabos'!AG:AG)</f>
        <v>0</v>
      </c>
      <c r="AH424" s="29">
        <f>IFERROR(VLOOKUP(Tabela1[[#This Row],[Tag do Cabo]],'Lançamento de Cabos'!AE:AK,7,0),0)</f>
        <v>0</v>
      </c>
      <c r="AI424" s="262" t="s">
        <v>1022</v>
      </c>
      <c r="AJ424" s="212">
        <v>44</v>
      </c>
      <c r="AK424" s="46">
        <v>2057046</v>
      </c>
    </row>
    <row r="425" spans="1:37" s="262" customFormat="1" ht="15" customHeight="1" x14ac:dyDescent="0.2">
      <c r="A425" s="168" t="s">
        <v>1330</v>
      </c>
      <c r="B425" s="391" t="s">
        <v>38</v>
      </c>
      <c r="C425" s="391" t="s">
        <v>92</v>
      </c>
      <c r="D425" s="391" t="s">
        <v>92</v>
      </c>
      <c r="E425" s="3" t="s">
        <v>1012</v>
      </c>
      <c r="F425" s="11" t="s">
        <v>1013</v>
      </c>
      <c r="G425" s="391">
        <v>1</v>
      </c>
      <c r="H425" s="391">
        <v>50</v>
      </c>
      <c r="I425" s="391">
        <v>50</v>
      </c>
      <c r="J425" s="391" t="s">
        <v>235</v>
      </c>
      <c r="K425" s="262" t="s">
        <v>1330</v>
      </c>
      <c r="L425" s="262" t="s">
        <v>1327</v>
      </c>
      <c r="M425" s="22" t="s">
        <v>85</v>
      </c>
      <c r="N425" s="391" t="str">
        <f t="shared" si="13"/>
        <v>Sim</v>
      </c>
      <c r="O425" s="22" t="s">
        <v>86</v>
      </c>
      <c r="P425" s="22" t="s">
        <v>86</v>
      </c>
      <c r="Q425" s="91" t="s">
        <v>1017</v>
      </c>
      <c r="R425" s="391">
        <f>SUMIF('Lançamento de Cabos'!$B:$B,Tabela1[[#This Row],[Tag do Cabo]],'Lançamento de Cabos'!$C:$C)</f>
        <v>50</v>
      </c>
      <c r="S425" s="391">
        <f>VLOOKUP(Tabela1[[#This Row],[Tag do Cabo]],'Diagramas Ligações'!A:V,14,0)</f>
        <v>6</v>
      </c>
      <c r="T425" s="262" t="s">
        <v>1018</v>
      </c>
      <c r="U425" s="391">
        <v>2</v>
      </c>
      <c r="V425" s="391" t="s">
        <v>186</v>
      </c>
      <c r="W425" s="391" t="s">
        <v>258</v>
      </c>
      <c r="X425" s="32">
        <v>44177</v>
      </c>
      <c r="Y425" s="32">
        <v>44210</v>
      </c>
      <c r="Z425" s="3" t="s">
        <v>1019</v>
      </c>
      <c r="AA425" s="45">
        <v>189</v>
      </c>
      <c r="AB42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5" s="262" t="s">
        <v>1210</v>
      </c>
      <c r="AD425" s="391">
        <f>IF(Tabela1[[#This Row],[Qtde. Lançada]]&gt;Tabela1[[#This Row],[Comprimento Total]],Tabela1[[#This Row],[Qtde. Lançada]],Tabela1[[#This Row],[Comprimento Total]])</f>
        <v>50</v>
      </c>
      <c r="AE425" s="391" t="s">
        <v>92</v>
      </c>
      <c r="AF425" s="391" t="s">
        <v>235</v>
      </c>
      <c r="AG425" s="391">
        <f ca="1">SUMIF('Lançamento de Cabos'!AE:AK,Tabela1[[#This Row],[Tag do Cabo]],'Lançamento de Cabos'!AG:AG)</f>
        <v>0</v>
      </c>
      <c r="AH425" s="29">
        <f>IFERROR(VLOOKUP(Tabela1[[#This Row],[Tag do Cabo]],'Lançamento de Cabos'!AE:AK,7,0),0)</f>
        <v>0</v>
      </c>
      <c r="AI425" s="262" t="s">
        <v>1022</v>
      </c>
      <c r="AJ425" s="212">
        <v>45</v>
      </c>
      <c r="AK425" s="46">
        <v>2057046</v>
      </c>
    </row>
    <row r="426" spans="1:37" s="262" customFormat="1" ht="15" customHeight="1" x14ac:dyDescent="0.2">
      <c r="A426" s="168" t="s">
        <v>1331</v>
      </c>
      <c r="B426" s="391" t="s">
        <v>38</v>
      </c>
      <c r="C426" s="391" t="s">
        <v>92</v>
      </c>
      <c r="D426" s="391" t="s">
        <v>92</v>
      </c>
      <c r="E426" s="3" t="s">
        <v>1012</v>
      </c>
      <c r="F426" s="11" t="s">
        <v>1013</v>
      </c>
      <c r="G426" s="391">
        <v>1</v>
      </c>
      <c r="H426" s="391">
        <v>50</v>
      </c>
      <c r="I426" s="391">
        <v>50</v>
      </c>
      <c r="J426" s="391" t="s">
        <v>235</v>
      </c>
      <c r="K426" s="262" t="s">
        <v>1331</v>
      </c>
      <c r="L426" s="262" t="s">
        <v>1327</v>
      </c>
      <c r="M426" s="22" t="s">
        <v>85</v>
      </c>
      <c r="N426" s="391" t="str">
        <f t="shared" si="13"/>
        <v>Sim</v>
      </c>
      <c r="O426" s="22" t="s">
        <v>86</v>
      </c>
      <c r="P426" s="22" t="s">
        <v>86</v>
      </c>
      <c r="Q426" s="91" t="s">
        <v>1017</v>
      </c>
      <c r="R426" s="391">
        <f>SUMIF('Lançamento de Cabos'!$B:$B,Tabela1[[#This Row],[Tag do Cabo]],'Lançamento de Cabos'!$C:$C)</f>
        <v>50</v>
      </c>
      <c r="S426" s="391">
        <f>VLOOKUP(Tabela1[[#This Row],[Tag do Cabo]],'Diagramas Ligações'!A:V,14,0)</f>
        <v>6</v>
      </c>
      <c r="T426" s="262" t="s">
        <v>1018</v>
      </c>
      <c r="U426" s="391">
        <v>2</v>
      </c>
      <c r="V426" s="391" t="s">
        <v>186</v>
      </c>
      <c r="W426" s="391" t="s">
        <v>258</v>
      </c>
      <c r="X426" s="32">
        <v>44177</v>
      </c>
      <c r="Y426" s="32">
        <v>44210</v>
      </c>
      <c r="Z426" s="3" t="s">
        <v>1019</v>
      </c>
      <c r="AA426" s="45">
        <v>189</v>
      </c>
      <c r="AB42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6" s="262" t="s">
        <v>1210</v>
      </c>
      <c r="AD426" s="391">
        <f>IF(Tabela1[[#This Row],[Qtde. Lançada]]&gt;Tabela1[[#This Row],[Comprimento Total]],Tabela1[[#This Row],[Qtde. Lançada]],Tabela1[[#This Row],[Comprimento Total]])</f>
        <v>50</v>
      </c>
      <c r="AE426" s="391" t="s">
        <v>92</v>
      </c>
      <c r="AF426" s="391" t="s">
        <v>235</v>
      </c>
      <c r="AG426" s="391">
        <f ca="1">SUMIF('Lançamento de Cabos'!AE:AK,Tabela1[[#This Row],[Tag do Cabo]],'Lançamento de Cabos'!AG:AG)</f>
        <v>0</v>
      </c>
      <c r="AH426" s="29">
        <f>IFERROR(VLOOKUP(Tabela1[[#This Row],[Tag do Cabo]],'Lançamento de Cabos'!AE:AK,7,0),0)</f>
        <v>0</v>
      </c>
      <c r="AI426" s="262" t="s">
        <v>1022</v>
      </c>
      <c r="AJ426" s="212">
        <v>46</v>
      </c>
      <c r="AK426" s="46">
        <v>2057046</v>
      </c>
    </row>
    <row r="427" spans="1:37" s="262" customFormat="1" ht="15" customHeight="1" x14ac:dyDescent="0.2">
      <c r="A427" s="168" t="s">
        <v>1332</v>
      </c>
      <c r="B427" s="391" t="s">
        <v>38</v>
      </c>
      <c r="C427" s="391" t="s">
        <v>92</v>
      </c>
      <c r="D427" s="391" t="s">
        <v>92</v>
      </c>
      <c r="E427" s="3" t="s">
        <v>1012</v>
      </c>
      <c r="F427" s="11" t="s">
        <v>1013</v>
      </c>
      <c r="G427" s="391">
        <v>1</v>
      </c>
      <c r="H427" s="391">
        <v>28</v>
      </c>
      <c r="I427" s="391">
        <v>28</v>
      </c>
      <c r="J427" s="391" t="s">
        <v>235</v>
      </c>
      <c r="K427" s="262" t="s">
        <v>1332</v>
      </c>
      <c r="L427" s="262" t="s">
        <v>1333</v>
      </c>
      <c r="M427" s="22" t="s">
        <v>85</v>
      </c>
      <c r="N427" s="391" t="str">
        <f t="shared" si="13"/>
        <v>Sim</v>
      </c>
      <c r="O427" s="22" t="s">
        <v>86</v>
      </c>
      <c r="P427" s="22" t="s">
        <v>86</v>
      </c>
      <c r="Q427" s="91" t="s">
        <v>1017</v>
      </c>
      <c r="R427" s="391">
        <f>SUMIF('Lançamento de Cabos'!$B:$B,Tabela1[[#This Row],[Tag do Cabo]],'Lançamento de Cabos'!$C:$C)</f>
        <v>28</v>
      </c>
      <c r="S427" s="391">
        <f>VLOOKUP(Tabela1[[#This Row],[Tag do Cabo]],'Diagramas Ligações'!A:V,14,0)</f>
        <v>6</v>
      </c>
      <c r="T427" s="262" t="s">
        <v>1018</v>
      </c>
      <c r="U427" s="391">
        <v>2</v>
      </c>
      <c r="V427" s="391" t="s">
        <v>186</v>
      </c>
      <c r="W427" s="391" t="s">
        <v>258</v>
      </c>
      <c r="X427" s="32">
        <v>44177</v>
      </c>
      <c r="Y427" s="32">
        <v>44210</v>
      </c>
      <c r="Z427" s="3" t="s">
        <v>1019</v>
      </c>
      <c r="AA427" s="45">
        <v>189</v>
      </c>
      <c r="AB42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7" s="262" t="s">
        <v>1210</v>
      </c>
      <c r="AD427" s="391">
        <f>IF(Tabela1[[#This Row],[Qtde. Lançada]]&gt;Tabela1[[#This Row],[Comprimento Total]],Tabela1[[#This Row],[Qtde. Lançada]],Tabela1[[#This Row],[Comprimento Total]])</f>
        <v>28</v>
      </c>
      <c r="AE427" s="391" t="s">
        <v>92</v>
      </c>
      <c r="AF427" s="391" t="s">
        <v>235</v>
      </c>
      <c r="AG427" s="391">
        <f ca="1">SUMIF('Lançamento de Cabos'!AE:AK,Tabela1[[#This Row],[Tag do Cabo]],'Lançamento de Cabos'!AG:AG)</f>
        <v>0</v>
      </c>
      <c r="AH427" s="29">
        <f>IFERROR(VLOOKUP(Tabela1[[#This Row],[Tag do Cabo]],'Lançamento de Cabos'!AE:AK,7,0),0)</f>
        <v>0</v>
      </c>
      <c r="AI427" s="262" t="s">
        <v>1022</v>
      </c>
      <c r="AJ427" s="212">
        <v>36</v>
      </c>
      <c r="AK427" s="46">
        <v>2057046</v>
      </c>
    </row>
    <row r="428" spans="1:37" s="262" customFormat="1" ht="15" customHeight="1" x14ac:dyDescent="0.2">
      <c r="A428" s="168" t="s">
        <v>1334</v>
      </c>
      <c r="B428" s="391" t="s">
        <v>38</v>
      </c>
      <c r="C428" s="391" t="s">
        <v>92</v>
      </c>
      <c r="D428" s="391" t="s">
        <v>92</v>
      </c>
      <c r="E428" s="3" t="s">
        <v>1012</v>
      </c>
      <c r="F428" s="11" t="s">
        <v>1013</v>
      </c>
      <c r="G428" s="391">
        <v>1</v>
      </c>
      <c r="H428" s="391">
        <v>120</v>
      </c>
      <c r="I428" s="391">
        <v>120</v>
      </c>
      <c r="J428" s="391" t="s">
        <v>235</v>
      </c>
      <c r="K428" s="262" t="s">
        <v>1333</v>
      </c>
      <c r="L428" s="262" t="s">
        <v>1016</v>
      </c>
      <c r="M428" s="22" t="s">
        <v>85</v>
      </c>
      <c r="N428" s="391" t="str">
        <f t="shared" si="13"/>
        <v>Sim</v>
      </c>
      <c r="O428" s="22" t="s">
        <v>86</v>
      </c>
      <c r="P428" s="22" t="s">
        <v>86</v>
      </c>
      <c r="Q428" s="91" t="s">
        <v>1017</v>
      </c>
      <c r="R428" s="391">
        <f>SUMIF('Lançamento de Cabos'!$B:$B,Tabela1[[#This Row],[Tag do Cabo]],'Lançamento de Cabos'!$C:$C)</f>
        <v>120</v>
      </c>
      <c r="S428" s="391">
        <f>VLOOKUP(Tabela1[[#This Row],[Tag do Cabo]],'Diagramas Ligações'!A:V,14,0)</f>
        <v>4</v>
      </c>
      <c r="T428" s="262" t="s">
        <v>1018</v>
      </c>
      <c r="U428" s="391">
        <v>2</v>
      </c>
      <c r="V428" s="391" t="s">
        <v>186</v>
      </c>
      <c r="W428" s="391" t="s">
        <v>258</v>
      </c>
      <c r="X428" s="32">
        <v>44177</v>
      </c>
      <c r="Y428" s="32">
        <v>44210</v>
      </c>
      <c r="Z428" s="3" t="s">
        <v>1019</v>
      </c>
      <c r="AA428" s="45">
        <v>189</v>
      </c>
      <c r="AB42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8" s="262" t="s">
        <v>1210</v>
      </c>
      <c r="AD428" s="391">
        <f>IF(Tabela1[[#This Row],[Qtde. Lançada]]&gt;Tabela1[[#This Row],[Comprimento Total]],Tabela1[[#This Row],[Qtde. Lançada]],Tabela1[[#This Row],[Comprimento Total]])</f>
        <v>120</v>
      </c>
      <c r="AE428" s="262" t="s">
        <v>1335</v>
      </c>
      <c r="AF428" s="391" t="s">
        <v>235</v>
      </c>
      <c r="AG428" s="391">
        <f ca="1">SUMIF('Lançamento de Cabos'!AE:AK,Tabela1[[#This Row],[Tag do Cabo]],'Lançamento de Cabos'!AG:AG)</f>
        <v>0</v>
      </c>
      <c r="AH428" s="29">
        <f>IFERROR(VLOOKUP(Tabela1[[#This Row],[Tag do Cabo]],'Lançamento de Cabos'!AE:AK,7,0),0)</f>
        <v>0</v>
      </c>
      <c r="AI428" s="262" t="s">
        <v>1022</v>
      </c>
      <c r="AJ428" s="212">
        <v>36</v>
      </c>
      <c r="AK428" s="46">
        <v>2057046</v>
      </c>
    </row>
    <row r="429" spans="1:37" s="262" customFormat="1" ht="15" customHeight="1" x14ac:dyDescent="0.2">
      <c r="A429" s="168" t="s">
        <v>1336</v>
      </c>
      <c r="B429" s="391" t="s">
        <v>38</v>
      </c>
      <c r="C429" s="391" t="s">
        <v>92</v>
      </c>
      <c r="D429" s="391" t="s">
        <v>92</v>
      </c>
      <c r="E429" s="3" t="s">
        <v>1012</v>
      </c>
      <c r="F429" s="11" t="s">
        <v>1013</v>
      </c>
      <c r="G429" s="391">
        <v>1</v>
      </c>
      <c r="H429" s="391">
        <v>65</v>
      </c>
      <c r="I429" s="391">
        <v>65</v>
      </c>
      <c r="J429" s="391" t="s">
        <v>235</v>
      </c>
      <c r="K429" s="262" t="s">
        <v>1327</v>
      </c>
      <c r="L429" s="262" t="s">
        <v>1016</v>
      </c>
      <c r="M429" s="22" t="s">
        <v>85</v>
      </c>
      <c r="N429" s="391" t="str">
        <f t="shared" si="13"/>
        <v>Sim</v>
      </c>
      <c r="O429" s="22" t="s">
        <v>86</v>
      </c>
      <c r="P429" s="22" t="s">
        <v>86</v>
      </c>
      <c r="Q429" s="91" t="s">
        <v>1017</v>
      </c>
      <c r="R429" s="391">
        <f>SUMIF('Lançamento de Cabos'!$B:$B,Tabela1[[#This Row],[Tag do Cabo]],'Lançamento de Cabos'!$C:$C)</f>
        <v>65</v>
      </c>
      <c r="S429" s="391">
        <f>VLOOKUP(Tabela1[[#This Row],[Tag do Cabo]],'Diagramas Ligações'!A:V,14,0)</f>
        <v>8</v>
      </c>
      <c r="T429" s="262" t="s">
        <v>1018</v>
      </c>
      <c r="U429" s="391">
        <v>2</v>
      </c>
      <c r="V429" s="391" t="s">
        <v>186</v>
      </c>
      <c r="W429" s="391" t="s">
        <v>258</v>
      </c>
      <c r="X429" s="32">
        <v>44177</v>
      </c>
      <c r="Y429" s="32">
        <v>44210</v>
      </c>
      <c r="Z429" s="3" t="s">
        <v>1019</v>
      </c>
      <c r="AA429" s="45">
        <v>189</v>
      </c>
      <c r="AB42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29" s="262" t="s">
        <v>1210</v>
      </c>
      <c r="AD429" s="391">
        <f>IF(Tabela1[[#This Row],[Qtde. Lançada]]&gt;Tabela1[[#This Row],[Comprimento Total]],Tabela1[[#This Row],[Qtde. Lançada]],Tabela1[[#This Row],[Comprimento Total]])</f>
        <v>65</v>
      </c>
      <c r="AE429" s="262" t="s">
        <v>1335</v>
      </c>
      <c r="AF429" s="391" t="s">
        <v>235</v>
      </c>
      <c r="AG429" s="391">
        <f ca="1">SUMIF('Lançamento de Cabos'!AE:AK,Tabela1[[#This Row],[Tag do Cabo]],'Lançamento de Cabos'!AG:AG)</f>
        <v>0</v>
      </c>
      <c r="AH429" s="29">
        <f>IFERROR(VLOOKUP(Tabela1[[#This Row],[Tag do Cabo]],'Lançamento de Cabos'!AE:AK,7,0),0)</f>
        <v>0</v>
      </c>
      <c r="AI429" s="262" t="s">
        <v>1022</v>
      </c>
      <c r="AJ429" s="212" t="s">
        <v>1337</v>
      </c>
      <c r="AK429" s="46">
        <v>2057046</v>
      </c>
    </row>
    <row r="430" spans="1:37" s="262" customFormat="1" ht="15" customHeight="1" x14ac:dyDescent="0.2">
      <c r="A430" s="168" t="s">
        <v>1338</v>
      </c>
      <c r="B430" s="391" t="s">
        <v>38</v>
      </c>
      <c r="C430" s="391" t="s">
        <v>92</v>
      </c>
      <c r="D430" s="391" t="s">
        <v>92</v>
      </c>
      <c r="E430" s="3" t="s">
        <v>1012</v>
      </c>
      <c r="F430" s="11" t="s">
        <v>1013</v>
      </c>
      <c r="G430" s="391">
        <v>1</v>
      </c>
      <c r="H430" s="391">
        <v>2</v>
      </c>
      <c r="I430" s="391">
        <v>2</v>
      </c>
      <c r="J430" s="391" t="s">
        <v>235</v>
      </c>
      <c r="K430" s="262" t="s">
        <v>1338</v>
      </c>
      <c r="L430" s="262" t="s">
        <v>1333</v>
      </c>
      <c r="M430" s="22" t="s">
        <v>85</v>
      </c>
      <c r="N430" s="391" t="str">
        <f t="shared" si="13"/>
        <v>Sim</v>
      </c>
      <c r="O430" s="22" t="s">
        <v>86</v>
      </c>
      <c r="P430" s="22" t="s">
        <v>86</v>
      </c>
      <c r="Q430" s="91" t="s">
        <v>1017</v>
      </c>
      <c r="R430" s="391">
        <f>SUMIF('Lançamento de Cabos'!$B:$B,Tabela1[[#This Row],[Tag do Cabo]],'Lançamento de Cabos'!$C:$C)</f>
        <v>2</v>
      </c>
      <c r="S430" s="391">
        <f>VLOOKUP(Tabela1[[#This Row],[Tag do Cabo]],'Diagramas Ligações'!A:V,14,0)</f>
        <v>6</v>
      </c>
      <c r="T430" s="262" t="s">
        <v>1018</v>
      </c>
      <c r="U430" s="391">
        <v>2</v>
      </c>
      <c r="V430" s="391" t="s">
        <v>186</v>
      </c>
      <c r="W430" s="391" t="s">
        <v>258</v>
      </c>
      <c r="X430" s="32">
        <v>44177</v>
      </c>
      <c r="Y430" s="32">
        <v>44210</v>
      </c>
      <c r="Z430" s="3" t="s">
        <v>1019</v>
      </c>
      <c r="AA430" s="45">
        <v>189</v>
      </c>
      <c r="AB43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0" s="262" t="s">
        <v>1210</v>
      </c>
      <c r="AD430" s="391">
        <f>IF(Tabela1[[#This Row],[Qtde. Lançada]]&gt;Tabela1[[#This Row],[Comprimento Total]],Tabela1[[#This Row],[Qtde. Lançada]],Tabela1[[#This Row],[Comprimento Total]])</f>
        <v>2</v>
      </c>
      <c r="AE430" s="391" t="s">
        <v>92</v>
      </c>
      <c r="AF430" s="391" t="s">
        <v>235</v>
      </c>
      <c r="AG430" s="391">
        <f ca="1">SUMIF('Lançamento de Cabos'!AE:AK,Tabela1[[#This Row],[Tag do Cabo]],'Lançamento de Cabos'!AG:AG)</f>
        <v>0</v>
      </c>
      <c r="AH430" s="29">
        <f>IFERROR(VLOOKUP(Tabela1[[#This Row],[Tag do Cabo]],'Lançamento de Cabos'!AE:AK,7,0),0)</f>
        <v>0</v>
      </c>
      <c r="AI430" s="262" t="s">
        <v>1022</v>
      </c>
      <c r="AJ430" s="212">
        <v>36</v>
      </c>
      <c r="AK430" s="46">
        <v>2057046</v>
      </c>
    </row>
    <row r="431" spans="1:37" s="262" customFormat="1" ht="15" customHeight="1" x14ac:dyDescent="0.2">
      <c r="A431" s="168" t="s">
        <v>1339</v>
      </c>
      <c r="B431" s="391" t="s">
        <v>38</v>
      </c>
      <c r="C431" s="391" t="s">
        <v>92</v>
      </c>
      <c r="D431" s="391" t="s">
        <v>92</v>
      </c>
      <c r="E431" s="3" t="s">
        <v>1012</v>
      </c>
      <c r="F431" s="11" t="s">
        <v>1013</v>
      </c>
      <c r="G431" s="391">
        <v>1</v>
      </c>
      <c r="H431" s="391">
        <v>110</v>
      </c>
      <c r="I431" s="391">
        <v>110</v>
      </c>
      <c r="J431" s="391" t="s">
        <v>1098</v>
      </c>
      <c r="K431" s="262" t="s">
        <v>1340</v>
      </c>
      <c r="L431" s="262" t="s">
        <v>1016</v>
      </c>
      <c r="M431" s="22" t="s">
        <v>85</v>
      </c>
      <c r="N431" s="391" t="str">
        <f t="shared" si="13"/>
        <v>Sim</v>
      </c>
      <c r="O431" s="22" t="s">
        <v>86</v>
      </c>
      <c r="P431" s="22" t="s">
        <v>86</v>
      </c>
      <c r="Q431" s="91" t="s">
        <v>1017</v>
      </c>
      <c r="R431" s="391">
        <f>SUMIF('Lançamento de Cabos'!$B:$B,Tabela1[[#This Row],[Tag do Cabo]],'Lançamento de Cabos'!$C:$C)</f>
        <v>0</v>
      </c>
      <c r="S431" s="391">
        <f>VLOOKUP(Tabela1[[#This Row],[Tag do Cabo]],'Diagramas Ligações'!A:V,14,0)</f>
        <v>8</v>
      </c>
      <c r="T431" s="262" t="s">
        <v>1018</v>
      </c>
      <c r="U431" s="391">
        <v>2</v>
      </c>
      <c r="V431" s="391" t="s">
        <v>186</v>
      </c>
      <c r="W431" s="391" t="s">
        <v>1229</v>
      </c>
      <c r="X431" s="32">
        <v>44177</v>
      </c>
      <c r="Y431" s="32">
        <v>44210</v>
      </c>
      <c r="Z431" s="3" t="s">
        <v>1019</v>
      </c>
      <c r="AA431" s="45">
        <v>189</v>
      </c>
      <c r="AB43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1" s="262" t="s">
        <v>1101</v>
      </c>
      <c r="AD431" s="391">
        <f>IF(Tabela1[[#This Row],[Qtde. Lançada]]&gt;Tabela1[[#This Row],[Comprimento Total]],Tabela1[[#This Row],[Qtde. Lançada]],Tabela1[[#This Row],[Comprimento Total]])</f>
        <v>110</v>
      </c>
      <c r="AE431" s="262" t="s">
        <v>1335</v>
      </c>
      <c r="AF431" s="391" t="s">
        <v>1098</v>
      </c>
      <c r="AG431" s="391">
        <f ca="1">SUMIF('Lançamento de Cabos'!AE:AK,Tabela1[[#This Row],[Tag do Cabo]],'Lançamento de Cabos'!AG:AG)</f>
        <v>0</v>
      </c>
      <c r="AH431" s="29">
        <f>IFERROR(VLOOKUP(Tabela1[[#This Row],[Tag do Cabo]],'Lançamento de Cabos'!AE:AK,7,0),0)</f>
        <v>0</v>
      </c>
      <c r="AI431" s="262" t="s">
        <v>1022</v>
      </c>
      <c r="AJ431" s="212" t="s">
        <v>1341</v>
      </c>
      <c r="AK431" s="46">
        <v>2057046</v>
      </c>
    </row>
    <row r="432" spans="1:37" s="262" customFormat="1" ht="15" customHeight="1" x14ac:dyDescent="0.2">
      <c r="A432" s="168" t="s">
        <v>1342</v>
      </c>
      <c r="B432" s="391" t="s">
        <v>38</v>
      </c>
      <c r="C432" s="391" t="s">
        <v>92</v>
      </c>
      <c r="D432" s="391" t="s">
        <v>92</v>
      </c>
      <c r="E432" s="3" t="s">
        <v>1343</v>
      </c>
      <c r="F432" s="11">
        <v>1.5</v>
      </c>
      <c r="G432" s="391">
        <v>1</v>
      </c>
      <c r="H432" s="391">
        <v>35</v>
      </c>
      <c r="I432" s="391">
        <v>35</v>
      </c>
      <c r="J432" s="45" t="s">
        <v>1098</v>
      </c>
      <c r="K432" s="262" t="s">
        <v>1342</v>
      </c>
      <c r="L432" s="262" t="s">
        <v>1233</v>
      </c>
      <c r="M432" s="22" t="s">
        <v>85</v>
      </c>
      <c r="N432" s="391" t="str">
        <f t="shared" si="13"/>
        <v>Sim</v>
      </c>
      <c r="O432" s="22" t="s">
        <v>86</v>
      </c>
      <c r="P432" s="22" t="s">
        <v>86</v>
      </c>
      <c r="Q432" s="91" t="s">
        <v>184</v>
      </c>
      <c r="R432" s="391">
        <f>SUMIF('Lançamento de Cabos'!$B:$B,Tabela1[[#This Row],[Tag do Cabo]],'Lançamento de Cabos'!$C:$C)</f>
        <v>0</v>
      </c>
      <c r="S432" s="391">
        <f>VLOOKUP(Tabela1[[#This Row],[Tag do Cabo]],'Diagramas Ligações'!A:V,14,0)</f>
        <v>4</v>
      </c>
      <c r="T432" s="262" t="s">
        <v>1087</v>
      </c>
      <c r="U432" s="391">
        <v>3</v>
      </c>
      <c r="V432" s="391" t="s">
        <v>186</v>
      </c>
      <c r="W432" s="391" t="s">
        <v>1229</v>
      </c>
      <c r="X432" s="32">
        <v>44155</v>
      </c>
      <c r="Y432" s="32">
        <v>44161</v>
      </c>
      <c r="Z432" s="3" t="s">
        <v>1089</v>
      </c>
      <c r="AA432" s="45" t="s">
        <v>220</v>
      </c>
      <c r="AB43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2" s="262" t="s">
        <v>1101</v>
      </c>
      <c r="AD432" s="391">
        <f>IF(Tabela1[[#This Row],[Qtde. Lançada]]&gt;Tabela1[[#This Row],[Comprimento Total]],Tabela1[[#This Row],[Qtde. Lançada]],Tabela1[[#This Row],[Comprimento Total]])</f>
        <v>35</v>
      </c>
      <c r="AE432" s="391" t="s">
        <v>92</v>
      </c>
      <c r="AF432" s="391" t="s">
        <v>1098</v>
      </c>
      <c r="AG432" s="391">
        <f ca="1">SUMIF('Lançamento de Cabos'!AE:AK,Tabela1[[#This Row],[Tag do Cabo]],'Lançamento de Cabos'!AG:AG)</f>
        <v>0</v>
      </c>
      <c r="AH432" s="29">
        <f>IFERROR(VLOOKUP(Tabela1[[#This Row],[Tag do Cabo]],'Lançamento de Cabos'!AE:AK,7,0),0)</f>
        <v>0</v>
      </c>
      <c r="AI432" s="262" t="s">
        <v>259</v>
      </c>
      <c r="AJ432" s="212" t="s">
        <v>95</v>
      </c>
      <c r="AK432" s="46">
        <v>901166</v>
      </c>
    </row>
    <row r="433" spans="1:38" s="328" customFormat="1" x14ac:dyDescent="0.25">
      <c r="A433" s="168" t="s">
        <v>1344</v>
      </c>
      <c r="B433" s="391" t="s">
        <v>38</v>
      </c>
      <c r="C433" s="391" t="s">
        <v>92</v>
      </c>
      <c r="D433" s="391" t="s">
        <v>92</v>
      </c>
      <c r="E433" s="3" t="s">
        <v>1343</v>
      </c>
      <c r="F433" s="11">
        <v>1.5</v>
      </c>
      <c r="G433" s="391">
        <v>1</v>
      </c>
      <c r="H433" s="391">
        <v>35</v>
      </c>
      <c r="I433" s="391">
        <v>35</v>
      </c>
      <c r="J433" s="45" t="s">
        <v>1098</v>
      </c>
      <c r="K433" s="262" t="s">
        <v>1344</v>
      </c>
      <c r="L433" s="262" t="s">
        <v>1233</v>
      </c>
      <c r="M433" s="22" t="s">
        <v>85</v>
      </c>
      <c r="N433" s="391" t="str">
        <f t="shared" si="13"/>
        <v>Sim</v>
      </c>
      <c r="O433" s="22" t="s">
        <v>86</v>
      </c>
      <c r="P433" s="22" t="s">
        <v>86</v>
      </c>
      <c r="Q433" s="91" t="s">
        <v>184</v>
      </c>
      <c r="R433" s="391">
        <f>SUMIF('Lançamento de Cabos'!$B:$B,Tabela1[[#This Row],[Tag do Cabo]],'Lançamento de Cabos'!$C:$C)</f>
        <v>0</v>
      </c>
      <c r="S433" s="391">
        <f>VLOOKUP(Tabela1[[#This Row],[Tag do Cabo]],'Diagramas Ligações'!A:V,14,0)</f>
        <v>4</v>
      </c>
      <c r="T433" s="262" t="s">
        <v>1087</v>
      </c>
      <c r="U433" s="391">
        <v>3</v>
      </c>
      <c r="V433" s="391" t="s">
        <v>186</v>
      </c>
      <c r="W433" s="391" t="s">
        <v>1229</v>
      </c>
      <c r="X433" s="32">
        <v>44155</v>
      </c>
      <c r="Y433" s="32">
        <v>44161</v>
      </c>
      <c r="Z433" s="3" t="s">
        <v>1089</v>
      </c>
      <c r="AA433" s="45" t="s">
        <v>220</v>
      </c>
      <c r="AB43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3" s="262" t="s">
        <v>1101</v>
      </c>
      <c r="AD433" s="391">
        <f>IF(Tabela1[[#This Row],[Qtde. Lançada]]&gt;Tabela1[[#This Row],[Comprimento Total]],Tabela1[[#This Row],[Qtde. Lançada]],Tabela1[[#This Row],[Comprimento Total]])</f>
        <v>35</v>
      </c>
      <c r="AE433" s="391" t="s">
        <v>92</v>
      </c>
      <c r="AF433" s="391" t="s">
        <v>1098</v>
      </c>
      <c r="AG433" s="391">
        <f ca="1">SUMIF('Lançamento de Cabos'!AE:AK,Tabela1[[#This Row],[Tag do Cabo]],'Lançamento de Cabos'!AG:AG)</f>
        <v>0</v>
      </c>
      <c r="AH433" s="29">
        <f>IFERROR(VLOOKUP(Tabela1[[#This Row],[Tag do Cabo]],'Lançamento de Cabos'!AE:AK,7,0),0)</f>
        <v>0</v>
      </c>
      <c r="AI433" s="262" t="s">
        <v>259</v>
      </c>
      <c r="AJ433" s="212" t="s">
        <v>141</v>
      </c>
      <c r="AK433" s="46">
        <v>901166</v>
      </c>
      <c r="AL433" s="262"/>
    </row>
    <row r="434" spans="1:38" s="328" customFormat="1" x14ac:dyDescent="0.25">
      <c r="A434" s="168" t="s">
        <v>1345</v>
      </c>
      <c r="B434" s="391" t="s">
        <v>38</v>
      </c>
      <c r="C434" s="391" t="s">
        <v>92</v>
      </c>
      <c r="D434" s="391" t="s">
        <v>92</v>
      </c>
      <c r="E434" s="3" t="s">
        <v>1343</v>
      </c>
      <c r="F434" s="11">
        <v>1.5</v>
      </c>
      <c r="G434" s="391">
        <v>1</v>
      </c>
      <c r="H434" s="391">
        <v>35</v>
      </c>
      <c r="I434" s="391">
        <v>35</v>
      </c>
      <c r="J434" s="45" t="s">
        <v>1098</v>
      </c>
      <c r="K434" s="262" t="s">
        <v>1345</v>
      </c>
      <c r="L434" s="262" t="s">
        <v>1233</v>
      </c>
      <c r="M434" s="22" t="s">
        <v>85</v>
      </c>
      <c r="N434" s="391" t="str">
        <f t="shared" si="13"/>
        <v>Sim</v>
      </c>
      <c r="O434" s="22" t="s">
        <v>86</v>
      </c>
      <c r="P434" s="22" t="s">
        <v>86</v>
      </c>
      <c r="Q434" s="91" t="s">
        <v>184</v>
      </c>
      <c r="R434" s="391">
        <f>SUMIF('Lançamento de Cabos'!$B:$B,Tabela1[[#This Row],[Tag do Cabo]],'Lançamento de Cabos'!$C:$C)</f>
        <v>0</v>
      </c>
      <c r="S434" s="391">
        <f>VLOOKUP(Tabela1[[#This Row],[Tag do Cabo]],'Diagramas Ligações'!A:V,14,0)</f>
        <v>4</v>
      </c>
      <c r="T434" s="262" t="s">
        <v>1087</v>
      </c>
      <c r="U434" s="391">
        <v>3</v>
      </c>
      <c r="V434" s="391" t="s">
        <v>186</v>
      </c>
      <c r="W434" s="391" t="s">
        <v>1229</v>
      </c>
      <c r="X434" s="32">
        <v>44155</v>
      </c>
      <c r="Y434" s="32">
        <v>44161</v>
      </c>
      <c r="Z434" s="3" t="s">
        <v>1089</v>
      </c>
      <c r="AA434" s="45" t="s">
        <v>220</v>
      </c>
      <c r="AB43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4" s="262" t="s">
        <v>1101</v>
      </c>
      <c r="AD434" s="391">
        <f>IF(Tabela1[[#This Row],[Qtde. Lançada]]&gt;Tabela1[[#This Row],[Comprimento Total]],Tabela1[[#This Row],[Qtde. Lançada]],Tabela1[[#This Row],[Comprimento Total]])</f>
        <v>35</v>
      </c>
      <c r="AE434" s="391" t="s">
        <v>92</v>
      </c>
      <c r="AF434" s="391" t="s">
        <v>1098</v>
      </c>
      <c r="AG434" s="391">
        <f ca="1">SUMIF('Lançamento de Cabos'!AE:AK,Tabela1[[#This Row],[Tag do Cabo]],'Lançamento de Cabos'!AG:AG)</f>
        <v>0</v>
      </c>
      <c r="AH434" s="29">
        <f>IFERROR(VLOOKUP(Tabela1[[#This Row],[Tag do Cabo]],'Lançamento de Cabos'!AE:AK,7,0),0)</f>
        <v>0</v>
      </c>
      <c r="AI434" s="262" t="s">
        <v>259</v>
      </c>
      <c r="AJ434" s="212" t="s">
        <v>141</v>
      </c>
      <c r="AK434" s="46">
        <v>901166</v>
      </c>
      <c r="AL434" s="262"/>
    </row>
    <row r="435" spans="1:38" s="328" customFormat="1" x14ac:dyDescent="0.25">
      <c r="A435" s="168" t="s">
        <v>1346</v>
      </c>
      <c r="B435" s="391" t="s">
        <v>38</v>
      </c>
      <c r="C435" s="391" t="s">
        <v>92</v>
      </c>
      <c r="D435" s="391" t="s">
        <v>92</v>
      </c>
      <c r="E435" s="3" t="s">
        <v>1012</v>
      </c>
      <c r="F435" s="11" t="s">
        <v>1013</v>
      </c>
      <c r="G435" s="391">
        <v>1</v>
      </c>
      <c r="H435" s="391">
        <v>33</v>
      </c>
      <c r="I435" s="391">
        <v>33</v>
      </c>
      <c r="J435" s="391" t="s">
        <v>1098</v>
      </c>
      <c r="K435" s="262" t="s">
        <v>1346</v>
      </c>
      <c r="L435" s="262" t="s">
        <v>1347</v>
      </c>
      <c r="M435" s="22" t="s">
        <v>85</v>
      </c>
      <c r="N435" s="391" t="str">
        <f t="shared" si="13"/>
        <v>Sim</v>
      </c>
      <c r="O435" s="22" t="s">
        <v>86</v>
      </c>
      <c r="P435" s="22" t="s">
        <v>86</v>
      </c>
      <c r="Q435" s="91" t="s">
        <v>1017</v>
      </c>
      <c r="R435" s="391">
        <f>SUMIF('Lançamento de Cabos'!$B:$B,Tabela1[[#This Row],[Tag do Cabo]],'Lançamento de Cabos'!$C:$C)</f>
        <v>33</v>
      </c>
      <c r="S435" s="391">
        <f>VLOOKUP(Tabela1[[#This Row],[Tag do Cabo]],'Diagramas Ligações'!A:V,14,0)</f>
        <v>6</v>
      </c>
      <c r="T435" s="262" t="s">
        <v>1018</v>
      </c>
      <c r="U435" s="391">
        <v>2</v>
      </c>
      <c r="V435" s="391" t="s">
        <v>186</v>
      </c>
      <c r="W435" s="391" t="s">
        <v>1229</v>
      </c>
      <c r="X435" s="32">
        <v>44177</v>
      </c>
      <c r="Y435" s="32">
        <v>44210</v>
      </c>
      <c r="Z435" s="3" t="s">
        <v>1019</v>
      </c>
      <c r="AA435" s="45">
        <v>189</v>
      </c>
      <c r="AB43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5" s="262" t="s">
        <v>1101</v>
      </c>
      <c r="AD435" s="391">
        <f>IF(Tabela1[[#This Row],[Qtde. Lançada]]&gt;Tabela1[[#This Row],[Comprimento Total]],Tabela1[[#This Row],[Qtde. Lançada]],Tabela1[[#This Row],[Comprimento Total]])</f>
        <v>33</v>
      </c>
      <c r="AE435" s="391" t="s">
        <v>92</v>
      </c>
      <c r="AF435" s="391" t="s">
        <v>1098</v>
      </c>
      <c r="AG435" s="391">
        <f ca="1">SUMIF('Lançamento de Cabos'!AE:AK,Tabela1[[#This Row],[Tag do Cabo]],'Lançamento de Cabos'!AG:AG)</f>
        <v>0</v>
      </c>
      <c r="AH435" s="29">
        <f>IFERROR(VLOOKUP(Tabela1[[#This Row],[Tag do Cabo]],'Lançamento de Cabos'!AE:AK,7,0),0)</f>
        <v>0</v>
      </c>
      <c r="AI435" s="262" t="s">
        <v>1022</v>
      </c>
      <c r="AJ435" s="212">
        <v>35</v>
      </c>
      <c r="AK435" s="46">
        <v>2057046</v>
      </c>
      <c r="AL435" s="262"/>
    </row>
    <row r="436" spans="1:38" s="328" customFormat="1" x14ac:dyDescent="0.25">
      <c r="A436" s="168" t="s">
        <v>1348</v>
      </c>
      <c r="B436" s="391" t="s">
        <v>38</v>
      </c>
      <c r="C436" s="391" t="s">
        <v>92</v>
      </c>
      <c r="D436" s="391" t="s">
        <v>92</v>
      </c>
      <c r="E436" s="3" t="s">
        <v>1012</v>
      </c>
      <c r="F436" s="11" t="s">
        <v>1013</v>
      </c>
      <c r="G436" s="391">
        <v>1</v>
      </c>
      <c r="H436" s="391">
        <v>32</v>
      </c>
      <c r="I436" s="391">
        <v>32</v>
      </c>
      <c r="J436" s="391" t="s">
        <v>1098</v>
      </c>
      <c r="K436" s="262" t="s">
        <v>1348</v>
      </c>
      <c r="L436" s="262" t="s">
        <v>1347</v>
      </c>
      <c r="M436" s="22" t="s">
        <v>85</v>
      </c>
      <c r="N436" s="391" t="str">
        <f t="shared" si="13"/>
        <v>Sim</v>
      </c>
      <c r="O436" s="22" t="s">
        <v>86</v>
      </c>
      <c r="P436" s="22" t="s">
        <v>86</v>
      </c>
      <c r="Q436" s="91" t="s">
        <v>1017</v>
      </c>
      <c r="R436" s="391">
        <f>SUMIF('Lançamento de Cabos'!$B:$B,Tabela1[[#This Row],[Tag do Cabo]],'Lançamento de Cabos'!$C:$C)</f>
        <v>32</v>
      </c>
      <c r="S436" s="391">
        <f>VLOOKUP(Tabela1[[#This Row],[Tag do Cabo]],'Diagramas Ligações'!A:V,14,0)</f>
        <v>6</v>
      </c>
      <c r="T436" s="262" t="s">
        <v>1018</v>
      </c>
      <c r="U436" s="391">
        <v>2</v>
      </c>
      <c r="V436" s="391" t="s">
        <v>186</v>
      </c>
      <c r="W436" s="391" t="s">
        <v>1229</v>
      </c>
      <c r="X436" s="32">
        <v>44177</v>
      </c>
      <c r="Y436" s="32">
        <v>44210</v>
      </c>
      <c r="Z436" s="3" t="s">
        <v>1019</v>
      </c>
      <c r="AA436" s="45">
        <v>189</v>
      </c>
      <c r="AB43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6" s="262" t="s">
        <v>1101</v>
      </c>
      <c r="AD436" s="391">
        <f>IF(Tabela1[[#This Row],[Qtde. Lançada]]&gt;Tabela1[[#This Row],[Comprimento Total]],Tabela1[[#This Row],[Qtde. Lançada]],Tabela1[[#This Row],[Comprimento Total]])</f>
        <v>32</v>
      </c>
      <c r="AE436" s="391" t="s">
        <v>92</v>
      </c>
      <c r="AF436" s="391" t="s">
        <v>1098</v>
      </c>
      <c r="AG436" s="391">
        <f ca="1">SUMIF('Lançamento de Cabos'!AE:AK,Tabela1[[#This Row],[Tag do Cabo]],'Lançamento de Cabos'!AG:AG)</f>
        <v>0</v>
      </c>
      <c r="AH436" s="29">
        <f>IFERROR(VLOOKUP(Tabela1[[#This Row],[Tag do Cabo]],'Lançamento de Cabos'!AE:AK,7,0),0)</f>
        <v>0</v>
      </c>
      <c r="AI436" s="262" t="s">
        <v>1022</v>
      </c>
      <c r="AJ436" s="212">
        <v>35</v>
      </c>
      <c r="AK436" s="46">
        <v>2057046</v>
      </c>
      <c r="AL436" s="262"/>
    </row>
    <row r="437" spans="1:38" s="328" customFormat="1" x14ac:dyDescent="0.25">
      <c r="A437" s="168" t="s">
        <v>1349</v>
      </c>
      <c r="B437" s="391" t="s">
        <v>38</v>
      </c>
      <c r="C437" s="391" t="s">
        <v>92</v>
      </c>
      <c r="D437" s="391" t="s">
        <v>92</v>
      </c>
      <c r="E437" s="3" t="s">
        <v>1012</v>
      </c>
      <c r="F437" s="11" t="s">
        <v>1013</v>
      </c>
      <c r="G437" s="391">
        <v>1</v>
      </c>
      <c r="H437" s="391">
        <v>30</v>
      </c>
      <c r="I437" s="391">
        <v>30</v>
      </c>
      <c r="J437" s="391" t="s">
        <v>1098</v>
      </c>
      <c r="K437" s="262" t="s">
        <v>1349</v>
      </c>
      <c r="L437" s="262" t="s">
        <v>1347</v>
      </c>
      <c r="M437" s="22" t="s">
        <v>85</v>
      </c>
      <c r="N437" s="391" t="str">
        <f t="shared" si="13"/>
        <v>Sim</v>
      </c>
      <c r="O437" s="22" t="s">
        <v>86</v>
      </c>
      <c r="P437" s="22" t="s">
        <v>86</v>
      </c>
      <c r="Q437" s="91" t="s">
        <v>1017</v>
      </c>
      <c r="R437" s="391">
        <f>SUMIF('Lançamento de Cabos'!$B:$B,Tabela1[[#This Row],[Tag do Cabo]],'Lançamento de Cabos'!$C:$C)</f>
        <v>30</v>
      </c>
      <c r="S437" s="391">
        <f>VLOOKUP(Tabela1[[#This Row],[Tag do Cabo]],'Diagramas Ligações'!A:V,14,0)</f>
        <v>6</v>
      </c>
      <c r="T437" s="262" t="s">
        <v>1018</v>
      </c>
      <c r="U437" s="391">
        <v>2</v>
      </c>
      <c r="V437" s="391" t="s">
        <v>186</v>
      </c>
      <c r="W437" s="391" t="s">
        <v>1229</v>
      </c>
      <c r="X437" s="32">
        <v>44177</v>
      </c>
      <c r="Y437" s="32">
        <v>44210</v>
      </c>
      <c r="Z437" s="3" t="s">
        <v>1019</v>
      </c>
      <c r="AA437" s="45">
        <v>189</v>
      </c>
      <c r="AB43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7" s="262" t="s">
        <v>1101</v>
      </c>
      <c r="AD437" s="391">
        <f>IF(Tabela1[[#This Row],[Qtde. Lançada]]&gt;Tabela1[[#This Row],[Comprimento Total]],Tabela1[[#This Row],[Qtde. Lançada]],Tabela1[[#This Row],[Comprimento Total]])</f>
        <v>30</v>
      </c>
      <c r="AE437" s="391" t="s">
        <v>92</v>
      </c>
      <c r="AF437" s="391" t="s">
        <v>1098</v>
      </c>
      <c r="AG437" s="391">
        <f ca="1">SUMIF('Lançamento de Cabos'!AE:AK,Tabela1[[#This Row],[Tag do Cabo]],'Lançamento de Cabos'!AG:AG)</f>
        <v>0</v>
      </c>
      <c r="AH437" s="29">
        <f>IFERROR(VLOOKUP(Tabela1[[#This Row],[Tag do Cabo]],'Lançamento de Cabos'!AE:AK,7,0),0)</f>
        <v>0</v>
      </c>
      <c r="AI437" s="262" t="s">
        <v>1022</v>
      </c>
      <c r="AJ437" s="212">
        <v>35</v>
      </c>
      <c r="AK437" s="46">
        <v>2057046</v>
      </c>
      <c r="AL437" s="262"/>
    </row>
    <row r="438" spans="1:38" s="328" customFormat="1" x14ac:dyDescent="0.25">
      <c r="A438" s="168" t="s">
        <v>1350</v>
      </c>
      <c r="B438" s="391" t="s">
        <v>38</v>
      </c>
      <c r="C438" s="391" t="s">
        <v>92</v>
      </c>
      <c r="D438" s="391" t="s">
        <v>92</v>
      </c>
      <c r="E438" s="3" t="s">
        <v>1012</v>
      </c>
      <c r="F438" s="11" t="s">
        <v>1013</v>
      </c>
      <c r="G438" s="391">
        <v>1</v>
      </c>
      <c r="H438" s="391">
        <v>25</v>
      </c>
      <c r="I438" s="391">
        <v>25</v>
      </c>
      <c r="J438" s="391" t="s">
        <v>1098</v>
      </c>
      <c r="K438" s="262" t="s">
        <v>1350</v>
      </c>
      <c r="L438" s="262" t="s">
        <v>1340</v>
      </c>
      <c r="M438" s="22" t="s">
        <v>85</v>
      </c>
      <c r="N438" s="391" t="str">
        <f t="shared" si="13"/>
        <v>Sim</v>
      </c>
      <c r="O438" s="22" t="s">
        <v>86</v>
      </c>
      <c r="P438" s="22" t="s">
        <v>86</v>
      </c>
      <c r="Q438" s="91" t="s">
        <v>1017</v>
      </c>
      <c r="R438" s="391">
        <f>SUMIF('Lançamento de Cabos'!$B:$B,Tabela1[[#This Row],[Tag do Cabo]],'Lançamento de Cabos'!$C:$C)</f>
        <v>25</v>
      </c>
      <c r="S438" s="391">
        <f>VLOOKUP(Tabela1[[#This Row],[Tag do Cabo]],'Diagramas Ligações'!A:V,14,0)</f>
        <v>6</v>
      </c>
      <c r="T438" s="262" t="s">
        <v>1018</v>
      </c>
      <c r="U438" s="391">
        <v>2</v>
      </c>
      <c r="V438" s="391" t="s">
        <v>186</v>
      </c>
      <c r="W438" s="391" t="s">
        <v>1229</v>
      </c>
      <c r="X438" s="32">
        <v>44177</v>
      </c>
      <c r="Y438" s="32">
        <v>44210</v>
      </c>
      <c r="Z438" s="3" t="s">
        <v>1019</v>
      </c>
      <c r="AA438" s="45">
        <v>189</v>
      </c>
      <c r="AB43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8" s="262" t="s">
        <v>1101</v>
      </c>
      <c r="AD438" s="391">
        <f>IF(Tabela1[[#This Row],[Qtde. Lançada]]&gt;Tabela1[[#This Row],[Comprimento Total]],Tabela1[[#This Row],[Qtde. Lançada]],Tabela1[[#This Row],[Comprimento Total]])</f>
        <v>25</v>
      </c>
      <c r="AE438" s="391" t="s">
        <v>92</v>
      </c>
      <c r="AF438" s="391" t="s">
        <v>1098</v>
      </c>
      <c r="AG438" s="391">
        <f ca="1">SUMIF('Lançamento de Cabos'!AE:AK,Tabela1[[#This Row],[Tag do Cabo]],'Lançamento de Cabos'!AG:AG)</f>
        <v>0</v>
      </c>
      <c r="AH438" s="29">
        <f>IFERROR(VLOOKUP(Tabela1[[#This Row],[Tag do Cabo]],'Lançamento de Cabos'!AE:AK,7,0),0)</f>
        <v>0</v>
      </c>
      <c r="AI438" s="325" t="s">
        <v>1022</v>
      </c>
      <c r="AJ438" s="212" t="s">
        <v>1351</v>
      </c>
      <c r="AK438" s="46">
        <v>2057046</v>
      </c>
      <c r="AL438" s="262"/>
    </row>
    <row r="439" spans="1:38" s="328" customFormat="1" x14ac:dyDescent="0.25">
      <c r="A439" s="168" t="s">
        <v>1352</v>
      </c>
      <c r="B439" s="391" t="s">
        <v>38</v>
      </c>
      <c r="C439" s="391" t="s">
        <v>92</v>
      </c>
      <c r="D439" s="391" t="s">
        <v>92</v>
      </c>
      <c r="E439" s="3" t="s">
        <v>1012</v>
      </c>
      <c r="F439" s="11" t="s">
        <v>1013</v>
      </c>
      <c r="G439" s="391">
        <v>1</v>
      </c>
      <c r="H439" s="391">
        <v>25</v>
      </c>
      <c r="I439" s="391">
        <v>25</v>
      </c>
      <c r="J439" s="391" t="s">
        <v>1098</v>
      </c>
      <c r="K439" s="262" t="s">
        <v>1352</v>
      </c>
      <c r="L439" s="262" t="s">
        <v>1340</v>
      </c>
      <c r="M439" s="22" t="s">
        <v>85</v>
      </c>
      <c r="N439" s="391" t="str">
        <f t="shared" ref="N439:N458" si="14">"Sim"</f>
        <v>Sim</v>
      </c>
      <c r="O439" s="22" t="s">
        <v>86</v>
      </c>
      <c r="P439" s="22" t="s">
        <v>86</v>
      </c>
      <c r="Q439" s="91" t="s">
        <v>1017</v>
      </c>
      <c r="R439" s="391">
        <f>SUMIF('Lançamento de Cabos'!$B:$B,Tabela1[[#This Row],[Tag do Cabo]],'Lançamento de Cabos'!$C:$C)</f>
        <v>25</v>
      </c>
      <c r="S439" s="391">
        <f>VLOOKUP(Tabela1[[#This Row],[Tag do Cabo]],'Diagramas Ligações'!A:V,14,0)</f>
        <v>6</v>
      </c>
      <c r="T439" s="262" t="s">
        <v>1018</v>
      </c>
      <c r="U439" s="391">
        <v>2</v>
      </c>
      <c r="V439" s="391" t="s">
        <v>186</v>
      </c>
      <c r="W439" s="391" t="s">
        <v>1229</v>
      </c>
      <c r="X439" s="32">
        <v>44177</v>
      </c>
      <c r="Y439" s="32">
        <v>44210</v>
      </c>
      <c r="Z439" s="3" t="s">
        <v>1019</v>
      </c>
      <c r="AA439" s="45">
        <v>189</v>
      </c>
      <c r="AB43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39" s="262" t="s">
        <v>1101</v>
      </c>
      <c r="AD439" s="391">
        <f>IF(Tabela1[[#This Row],[Qtde. Lançada]]&gt;Tabela1[[#This Row],[Comprimento Total]],Tabela1[[#This Row],[Qtde. Lançada]],Tabela1[[#This Row],[Comprimento Total]])</f>
        <v>25</v>
      </c>
      <c r="AE439" s="391" t="s">
        <v>92</v>
      </c>
      <c r="AF439" s="391" t="s">
        <v>1098</v>
      </c>
      <c r="AG439" s="391">
        <f ca="1">SUMIF('Lançamento de Cabos'!AE:AK,Tabela1[[#This Row],[Tag do Cabo]],'Lançamento de Cabos'!AG:AG)</f>
        <v>0</v>
      </c>
      <c r="AH439" s="29">
        <f>IFERROR(VLOOKUP(Tabela1[[#This Row],[Tag do Cabo]],'Lançamento de Cabos'!AE:AK,7,0),0)</f>
        <v>0</v>
      </c>
      <c r="AI439" s="325" t="s">
        <v>1022</v>
      </c>
      <c r="AJ439" s="212" t="s">
        <v>671</v>
      </c>
      <c r="AK439" s="46">
        <v>2057046</v>
      </c>
      <c r="AL439" s="262"/>
    </row>
    <row r="440" spans="1:38" s="328" customFormat="1" x14ac:dyDescent="0.25">
      <c r="A440" s="168" t="s">
        <v>1353</v>
      </c>
      <c r="B440" s="391" t="s">
        <v>38</v>
      </c>
      <c r="C440" s="391" t="s">
        <v>92</v>
      </c>
      <c r="D440" s="391" t="s">
        <v>92</v>
      </c>
      <c r="E440" s="3" t="s">
        <v>1012</v>
      </c>
      <c r="F440" s="11" t="s">
        <v>1013</v>
      </c>
      <c r="G440" s="391">
        <v>1</v>
      </c>
      <c r="H440" s="391">
        <v>22</v>
      </c>
      <c r="I440" s="391">
        <v>22</v>
      </c>
      <c r="J440" s="391" t="s">
        <v>1098</v>
      </c>
      <c r="K440" s="262" t="s">
        <v>1347</v>
      </c>
      <c r="L440" s="262" t="s">
        <v>1340</v>
      </c>
      <c r="M440" s="22" t="s">
        <v>85</v>
      </c>
      <c r="N440" s="391" t="str">
        <f t="shared" si="14"/>
        <v>Sim</v>
      </c>
      <c r="O440" s="22" t="s">
        <v>86</v>
      </c>
      <c r="P440" s="22" t="s">
        <v>86</v>
      </c>
      <c r="Q440" s="91" t="s">
        <v>1017</v>
      </c>
      <c r="R440" s="391">
        <f>SUMIF('Lançamento de Cabos'!$B:$B,Tabela1[[#This Row],[Tag do Cabo]],'Lançamento de Cabos'!$C:$C)</f>
        <v>22</v>
      </c>
      <c r="S440" s="391">
        <f>VLOOKUP(Tabela1[[#This Row],[Tag do Cabo]],'Diagramas Ligações'!A:V,14,0)</f>
        <v>6</v>
      </c>
      <c r="T440" s="262" t="s">
        <v>1018</v>
      </c>
      <c r="U440" s="391">
        <v>2</v>
      </c>
      <c r="V440" s="391" t="s">
        <v>186</v>
      </c>
      <c r="W440" s="391" t="s">
        <v>1229</v>
      </c>
      <c r="X440" s="32">
        <v>44177</v>
      </c>
      <c r="Y440" s="32">
        <v>44210</v>
      </c>
      <c r="Z440" s="3" t="s">
        <v>1019</v>
      </c>
      <c r="AA440" s="45">
        <v>189</v>
      </c>
      <c r="AB44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0" s="262" t="s">
        <v>1101</v>
      </c>
      <c r="AD440" s="391">
        <f>IF(Tabela1[[#This Row],[Qtde. Lançada]]&gt;Tabela1[[#This Row],[Comprimento Total]],Tabela1[[#This Row],[Qtde. Lançada]],Tabela1[[#This Row],[Comprimento Total]])</f>
        <v>22</v>
      </c>
      <c r="AE440" s="262" t="s">
        <v>1335</v>
      </c>
      <c r="AF440" s="391" t="s">
        <v>1098</v>
      </c>
      <c r="AG440" s="391">
        <f ca="1">SUMIF('Lançamento de Cabos'!AE:AK,Tabela1[[#This Row],[Tag do Cabo]],'Lançamento de Cabos'!AG:AG)</f>
        <v>0</v>
      </c>
      <c r="AH440" s="29">
        <f>IFERROR(VLOOKUP(Tabela1[[#This Row],[Tag do Cabo]],'Lançamento de Cabos'!AE:AK,7,0),0)</f>
        <v>0</v>
      </c>
      <c r="AI440" s="262" t="s">
        <v>1022</v>
      </c>
      <c r="AJ440" s="212" t="s">
        <v>1341</v>
      </c>
      <c r="AK440" s="46">
        <v>2057046</v>
      </c>
      <c r="AL440" s="262"/>
    </row>
    <row r="441" spans="1:38" s="328" customFormat="1" x14ac:dyDescent="0.25">
      <c r="A441" s="168" t="s">
        <v>1354</v>
      </c>
      <c r="B441" s="391" t="s">
        <v>38</v>
      </c>
      <c r="C441" s="391" t="s">
        <v>92</v>
      </c>
      <c r="D441" s="391" t="s">
        <v>92</v>
      </c>
      <c r="E441" s="3" t="s">
        <v>1012</v>
      </c>
      <c r="F441" s="11" t="s">
        <v>1013</v>
      </c>
      <c r="G441" s="391">
        <v>1</v>
      </c>
      <c r="H441" s="391">
        <v>20</v>
      </c>
      <c r="I441" s="391">
        <v>20</v>
      </c>
      <c r="J441" s="391" t="s">
        <v>1098</v>
      </c>
      <c r="K441" s="262" t="s">
        <v>1354</v>
      </c>
      <c r="L441" s="262" t="s">
        <v>1347</v>
      </c>
      <c r="M441" s="22" t="s">
        <v>85</v>
      </c>
      <c r="N441" s="391" t="str">
        <f t="shared" si="14"/>
        <v>Sim</v>
      </c>
      <c r="O441" s="22" t="s">
        <v>86</v>
      </c>
      <c r="P441" s="22" t="s">
        <v>86</v>
      </c>
      <c r="Q441" s="91" t="s">
        <v>1017</v>
      </c>
      <c r="R441" s="391">
        <f>SUMIF('Lançamento de Cabos'!$B:$B,Tabela1[[#This Row],[Tag do Cabo]],'Lançamento de Cabos'!$C:$C)</f>
        <v>20</v>
      </c>
      <c r="S441" s="391">
        <f>VLOOKUP(Tabela1[[#This Row],[Tag do Cabo]],'Diagramas Ligações'!A:V,14,0)</f>
        <v>6</v>
      </c>
      <c r="T441" s="262" t="s">
        <v>1018</v>
      </c>
      <c r="U441" s="391">
        <v>2</v>
      </c>
      <c r="V441" s="391" t="s">
        <v>186</v>
      </c>
      <c r="W441" s="391" t="s">
        <v>1229</v>
      </c>
      <c r="X441" s="32">
        <v>44177</v>
      </c>
      <c r="Y441" s="32">
        <v>44210</v>
      </c>
      <c r="Z441" s="3" t="s">
        <v>1019</v>
      </c>
      <c r="AA441" s="45">
        <v>189</v>
      </c>
      <c r="AB44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1" s="262" t="s">
        <v>1101</v>
      </c>
      <c r="AD441" s="391">
        <f>IF(Tabela1[[#This Row],[Qtde. Lançada]]&gt;Tabela1[[#This Row],[Comprimento Total]],Tabela1[[#This Row],[Qtde. Lançada]],Tabela1[[#This Row],[Comprimento Total]])</f>
        <v>20</v>
      </c>
      <c r="AE441" s="391" t="s">
        <v>92</v>
      </c>
      <c r="AF441" s="391" t="s">
        <v>1098</v>
      </c>
      <c r="AG441" s="391">
        <f ca="1">SUMIF('Lançamento de Cabos'!AE:AK,Tabela1[[#This Row],[Tag do Cabo]],'Lançamento de Cabos'!AG:AG)</f>
        <v>0</v>
      </c>
      <c r="AH441" s="29">
        <f>IFERROR(VLOOKUP(Tabela1[[#This Row],[Tag do Cabo]],'Lançamento de Cabos'!AE:AK,7,0),0)</f>
        <v>0</v>
      </c>
      <c r="AI441" s="262" t="s">
        <v>1022</v>
      </c>
      <c r="AJ441" s="212">
        <v>35</v>
      </c>
      <c r="AK441" s="46">
        <v>2057046</v>
      </c>
      <c r="AL441" s="262"/>
    </row>
    <row r="442" spans="1:38" s="328" customFormat="1" x14ac:dyDescent="0.25">
      <c r="A442" s="168" t="s">
        <v>1355</v>
      </c>
      <c r="B442" s="391" t="s">
        <v>38</v>
      </c>
      <c r="C442" s="391" t="s">
        <v>92</v>
      </c>
      <c r="D442" s="391" t="s">
        <v>92</v>
      </c>
      <c r="E442" s="3" t="s">
        <v>1356</v>
      </c>
      <c r="F442" s="11">
        <v>1</v>
      </c>
      <c r="G442" s="391">
        <v>1</v>
      </c>
      <c r="H442" s="391">
        <v>20</v>
      </c>
      <c r="I442" s="391">
        <v>20</v>
      </c>
      <c r="J442" s="45" t="s">
        <v>1098</v>
      </c>
      <c r="K442" s="262" t="s">
        <v>1355</v>
      </c>
      <c r="L442" s="262" t="s">
        <v>1228</v>
      </c>
      <c r="M442" s="22" t="s">
        <v>85</v>
      </c>
      <c r="N442" s="391" t="str">
        <f t="shared" si="14"/>
        <v>Sim</v>
      </c>
      <c r="O442" s="22" t="s">
        <v>86</v>
      </c>
      <c r="P442" s="22" t="s">
        <v>86</v>
      </c>
      <c r="Q442" s="91" t="s">
        <v>184</v>
      </c>
      <c r="R442" s="391">
        <f>SUMIF('Lançamento de Cabos'!$B:$B,Tabela1[[#This Row],[Tag do Cabo]],'Lançamento de Cabos'!$C:$C)</f>
        <v>20</v>
      </c>
      <c r="S442" s="391">
        <f>VLOOKUP(Tabela1[[#This Row],[Tag do Cabo]],'Diagramas Ligações'!A:V,14,0)</f>
        <v>4</v>
      </c>
      <c r="T442" s="262" t="s">
        <v>1087</v>
      </c>
      <c r="U442" s="391">
        <v>3</v>
      </c>
      <c r="V442" s="391" t="s">
        <v>186</v>
      </c>
      <c r="W442" s="391" t="s">
        <v>1229</v>
      </c>
      <c r="X442" s="32">
        <v>44155</v>
      </c>
      <c r="Y442" s="32">
        <v>44161</v>
      </c>
      <c r="Z442" s="3" t="s">
        <v>1089</v>
      </c>
      <c r="AA442" s="45">
        <v>182</v>
      </c>
      <c r="AB44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2" s="262" t="s">
        <v>1101</v>
      </c>
      <c r="AD442" s="391">
        <f>IF(Tabela1[[#This Row],[Qtde. Lançada]]&gt;Tabela1[[#This Row],[Comprimento Total]],Tabela1[[#This Row],[Qtde. Lançada]],Tabela1[[#This Row],[Comprimento Total]])</f>
        <v>20</v>
      </c>
      <c r="AE442" s="391" t="s">
        <v>92</v>
      </c>
      <c r="AF442" s="391" t="s">
        <v>1098</v>
      </c>
      <c r="AG442" s="391">
        <f ca="1">SUMIF('Lançamento de Cabos'!AE:AK,Tabela1[[#This Row],[Tag do Cabo]],'Lançamento de Cabos'!AG:AG)</f>
        <v>0</v>
      </c>
      <c r="AH442" s="29">
        <f>IFERROR(VLOOKUP(Tabela1[[#This Row],[Tag do Cabo]],'Lançamento de Cabos'!AE:AK,7,0),0)</f>
        <v>0</v>
      </c>
      <c r="AI442" s="262" t="s">
        <v>259</v>
      </c>
      <c r="AJ442" s="212" t="s">
        <v>126</v>
      </c>
      <c r="AK442" s="46">
        <v>306860</v>
      </c>
      <c r="AL442" s="262"/>
    </row>
    <row r="443" spans="1:38" s="328" customFormat="1" x14ac:dyDescent="0.25">
      <c r="A443" s="168" t="s">
        <v>1357</v>
      </c>
      <c r="B443" s="391" t="s">
        <v>38</v>
      </c>
      <c r="C443" s="391" t="s">
        <v>92</v>
      </c>
      <c r="D443" s="391" t="s">
        <v>92</v>
      </c>
      <c r="E443" s="3" t="s">
        <v>1356</v>
      </c>
      <c r="F443" s="11">
        <v>1</v>
      </c>
      <c r="G443" s="391">
        <v>1</v>
      </c>
      <c r="H443" s="391">
        <v>17</v>
      </c>
      <c r="I443" s="391">
        <v>17</v>
      </c>
      <c r="J443" s="45" t="s">
        <v>1098</v>
      </c>
      <c r="K443" s="262" t="s">
        <v>1357</v>
      </c>
      <c r="L443" s="262" t="s">
        <v>1228</v>
      </c>
      <c r="M443" s="22" t="s">
        <v>85</v>
      </c>
      <c r="N443" s="391" t="str">
        <f t="shared" si="14"/>
        <v>Sim</v>
      </c>
      <c r="O443" s="22" t="s">
        <v>86</v>
      </c>
      <c r="P443" s="22" t="s">
        <v>86</v>
      </c>
      <c r="Q443" s="91" t="s">
        <v>184</v>
      </c>
      <c r="R443" s="391">
        <f>SUMIF('Lançamento de Cabos'!$B:$B,Tabela1[[#This Row],[Tag do Cabo]],'Lançamento de Cabos'!$C:$C)</f>
        <v>17</v>
      </c>
      <c r="S443" s="391">
        <f>VLOOKUP(Tabela1[[#This Row],[Tag do Cabo]],'Diagramas Ligações'!A:V,14,0)</f>
        <v>4</v>
      </c>
      <c r="T443" s="262" t="s">
        <v>1087</v>
      </c>
      <c r="U443" s="391">
        <v>3</v>
      </c>
      <c r="V443" s="391" t="s">
        <v>186</v>
      </c>
      <c r="W443" s="391" t="s">
        <v>1229</v>
      </c>
      <c r="X443" s="32">
        <v>44155</v>
      </c>
      <c r="Y443" s="32">
        <v>44161</v>
      </c>
      <c r="Z443" s="3" t="s">
        <v>1089</v>
      </c>
      <c r="AA443" s="45">
        <v>182</v>
      </c>
      <c r="AB44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3" s="262" t="s">
        <v>1101</v>
      </c>
      <c r="AD443" s="391">
        <f>IF(Tabela1[[#This Row],[Qtde. Lançada]]&gt;Tabela1[[#This Row],[Comprimento Total]],Tabela1[[#This Row],[Qtde. Lançada]],Tabela1[[#This Row],[Comprimento Total]])</f>
        <v>17</v>
      </c>
      <c r="AE443" s="391" t="s">
        <v>92</v>
      </c>
      <c r="AF443" s="391" t="s">
        <v>1098</v>
      </c>
      <c r="AG443" s="391">
        <f ca="1">SUMIF('Lançamento de Cabos'!AE:AK,Tabela1[[#This Row],[Tag do Cabo]],'Lançamento de Cabos'!AG:AG)</f>
        <v>0</v>
      </c>
      <c r="AH443" s="29">
        <f>IFERROR(VLOOKUP(Tabela1[[#This Row],[Tag do Cabo]],'Lançamento de Cabos'!AE:AK,7,0),0)</f>
        <v>0</v>
      </c>
      <c r="AI443" s="262" t="s">
        <v>259</v>
      </c>
      <c r="AJ443" s="212" t="s">
        <v>126</v>
      </c>
      <c r="AK443" s="46">
        <v>306860</v>
      </c>
      <c r="AL443" s="262"/>
    </row>
    <row r="444" spans="1:38" s="328" customFormat="1" x14ac:dyDescent="0.25">
      <c r="A444" s="168" t="s">
        <v>1358</v>
      </c>
      <c r="B444" s="391" t="s">
        <v>38</v>
      </c>
      <c r="C444" s="391" t="s">
        <v>92</v>
      </c>
      <c r="D444" s="391" t="s">
        <v>92</v>
      </c>
      <c r="E444" s="3" t="s">
        <v>1356</v>
      </c>
      <c r="F444" s="11">
        <v>1</v>
      </c>
      <c r="G444" s="391">
        <v>1</v>
      </c>
      <c r="H444" s="391">
        <v>15</v>
      </c>
      <c r="I444" s="391">
        <v>15</v>
      </c>
      <c r="J444" s="45" t="s">
        <v>1098</v>
      </c>
      <c r="K444" s="262" t="s">
        <v>1358</v>
      </c>
      <c r="L444" s="262" t="s">
        <v>1228</v>
      </c>
      <c r="M444" s="22" t="s">
        <v>85</v>
      </c>
      <c r="N444" s="391" t="str">
        <f t="shared" si="14"/>
        <v>Sim</v>
      </c>
      <c r="O444" s="22" t="s">
        <v>86</v>
      </c>
      <c r="P444" s="22" t="s">
        <v>86</v>
      </c>
      <c r="Q444" s="91" t="s">
        <v>184</v>
      </c>
      <c r="R444" s="391">
        <f>SUMIF('Lançamento de Cabos'!$B:$B,Tabela1[[#This Row],[Tag do Cabo]],'Lançamento de Cabos'!$C:$C)</f>
        <v>15</v>
      </c>
      <c r="S444" s="391">
        <f>VLOOKUP(Tabela1[[#This Row],[Tag do Cabo]],'Diagramas Ligações'!A:V,14,0)</f>
        <v>4</v>
      </c>
      <c r="T444" s="262" t="s">
        <v>1087</v>
      </c>
      <c r="U444" s="391">
        <v>3</v>
      </c>
      <c r="V444" s="391" t="s">
        <v>186</v>
      </c>
      <c r="W444" s="391" t="s">
        <v>1229</v>
      </c>
      <c r="X444" s="32">
        <v>44155</v>
      </c>
      <c r="Y444" s="32">
        <v>44161</v>
      </c>
      <c r="Z444" s="3" t="s">
        <v>1089</v>
      </c>
      <c r="AA444" s="45">
        <v>182</v>
      </c>
      <c r="AB444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4" s="262" t="s">
        <v>1101</v>
      </c>
      <c r="AD444" s="391">
        <f>IF(Tabela1[[#This Row],[Qtde. Lançada]]&gt;Tabela1[[#This Row],[Comprimento Total]],Tabela1[[#This Row],[Qtde. Lançada]],Tabela1[[#This Row],[Comprimento Total]])</f>
        <v>15</v>
      </c>
      <c r="AE444" s="391" t="s">
        <v>92</v>
      </c>
      <c r="AF444" s="391" t="s">
        <v>1098</v>
      </c>
      <c r="AG444" s="391">
        <f ca="1">SUMIF('Lançamento de Cabos'!AE:AK,Tabela1[[#This Row],[Tag do Cabo]],'Lançamento de Cabos'!AG:AG)</f>
        <v>0</v>
      </c>
      <c r="AH444" s="29">
        <f>IFERROR(VLOOKUP(Tabela1[[#This Row],[Tag do Cabo]],'Lançamento de Cabos'!AE:AK,7,0),0)</f>
        <v>0</v>
      </c>
      <c r="AI444" s="262" t="s">
        <v>259</v>
      </c>
      <c r="AJ444" s="212" t="s">
        <v>126</v>
      </c>
      <c r="AK444" s="46">
        <v>306860</v>
      </c>
      <c r="AL444" s="262"/>
    </row>
    <row r="445" spans="1:38" s="328" customFormat="1" x14ac:dyDescent="0.25">
      <c r="A445" s="168" t="s">
        <v>1359</v>
      </c>
      <c r="B445" s="391" t="s">
        <v>38</v>
      </c>
      <c r="C445" s="391" t="s">
        <v>92</v>
      </c>
      <c r="D445" s="391" t="s">
        <v>92</v>
      </c>
      <c r="E445" s="3" t="s">
        <v>1356</v>
      </c>
      <c r="F445" s="11">
        <v>1</v>
      </c>
      <c r="G445" s="391">
        <v>1</v>
      </c>
      <c r="H445" s="391">
        <v>15</v>
      </c>
      <c r="I445" s="391">
        <v>15</v>
      </c>
      <c r="J445" s="45" t="s">
        <v>1098</v>
      </c>
      <c r="K445" s="262" t="s">
        <v>1359</v>
      </c>
      <c r="L445" s="262" t="s">
        <v>1228</v>
      </c>
      <c r="M445" s="22" t="s">
        <v>85</v>
      </c>
      <c r="N445" s="391" t="str">
        <f t="shared" si="14"/>
        <v>Sim</v>
      </c>
      <c r="O445" s="22" t="s">
        <v>86</v>
      </c>
      <c r="P445" s="22" t="s">
        <v>86</v>
      </c>
      <c r="Q445" s="91" t="s">
        <v>184</v>
      </c>
      <c r="R445" s="391">
        <f>SUMIF('Lançamento de Cabos'!$B:$B,Tabela1[[#This Row],[Tag do Cabo]],'Lançamento de Cabos'!$C:$C)</f>
        <v>15</v>
      </c>
      <c r="S445" s="391">
        <f>VLOOKUP(Tabela1[[#This Row],[Tag do Cabo]],'Diagramas Ligações'!A:V,14,0)</f>
        <v>4</v>
      </c>
      <c r="T445" s="262" t="s">
        <v>1087</v>
      </c>
      <c r="U445" s="391">
        <v>3</v>
      </c>
      <c r="V445" s="391" t="s">
        <v>186</v>
      </c>
      <c r="W445" s="391" t="s">
        <v>1229</v>
      </c>
      <c r="X445" s="32">
        <v>44155</v>
      </c>
      <c r="Y445" s="32">
        <v>44161</v>
      </c>
      <c r="Z445" s="3" t="s">
        <v>1089</v>
      </c>
      <c r="AA445" s="45">
        <v>182</v>
      </c>
      <c r="AB445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5" s="262" t="s">
        <v>1101</v>
      </c>
      <c r="AD445" s="391">
        <f>IF(Tabela1[[#This Row],[Qtde. Lançada]]&gt;Tabela1[[#This Row],[Comprimento Total]],Tabela1[[#This Row],[Qtde. Lançada]],Tabela1[[#This Row],[Comprimento Total]])</f>
        <v>15</v>
      </c>
      <c r="AE445" s="391" t="s">
        <v>92</v>
      </c>
      <c r="AF445" s="391" t="s">
        <v>1098</v>
      </c>
      <c r="AG445" s="391">
        <f ca="1">SUMIF('Lançamento de Cabos'!AE:AK,Tabela1[[#This Row],[Tag do Cabo]],'Lançamento de Cabos'!AG:AG)</f>
        <v>0</v>
      </c>
      <c r="AH445" s="29">
        <f>IFERROR(VLOOKUP(Tabela1[[#This Row],[Tag do Cabo]],'Lançamento de Cabos'!AE:AK,7,0),0)</f>
        <v>0</v>
      </c>
      <c r="AI445" s="262" t="s">
        <v>259</v>
      </c>
      <c r="AJ445" s="212" t="s">
        <v>126</v>
      </c>
      <c r="AK445" s="46">
        <v>306860</v>
      </c>
      <c r="AL445" s="262"/>
    </row>
    <row r="446" spans="1:38" s="328" customFormat="1" x14ac:dyDescent="0.25">
      <c r="A446" s="168" t="s">
        <v>1360</v>
      </c>
      <c r="B446" s="391" t="s">
        <v>38</v>
      </c>
      <c r="C446" s="391" t="s">
        <v>92</v>
      </c>
      <c r="D446" s="391" t="s">
        <v>92</v>
      </c>
      <c r="E446" s="3" t="s">
        <v>1012</v>
      </c>
      <c r="F446" s="11" t="s">
        <v>1013</v>
      </c>
      <c r="G446" s="391">
        <v>1</v>
      </c>
      <c r="H446" s="391">
        <v>2</v>
      </c>
      <c r="I446" s="391">
        <v>2</v>
      </c>
      <c r="J446" s="391" t="s">
        <v>1098</v>
      </c>
      <c r="K446" s="262" t="s">
        <v>1360</v>
      </c>
      <c r="L446" s="262" t="s">
        <v>1347</v>
      </c>
      <c r="M446" s="22" t="s">
        <v>85</v>
      </c>
      <c r="N446" s="391" t="str">
        <f t="shared" si="14"/>
        <v>Sim</v>
      </c>
      <c r="O446" s="22" t="s">
        <v>86</v>
      </c>
      <c r="P446" s="22" t="s">
        <v>86</v>
      </c>
      <c r="Q446" s="91" t="s">
        <v>1017</v>
      </c>
      <c r="R446" s="391">
        <f>SUMIF('Lançamento de Cabos'!$B:$B,Tabela1[[#This Row],[Tag do Cabo]],'Lançamento de Cabos'!$C:$C)</f>
        <v>2</v>
      </c>
      <c r="S446" s="391">
        <f>VLOOKUP(Tabela1[[#This Row],[Tag do Cabo]],'Diagramas Ligações'!A:V,14,0)</f>
        <v>6</v>
      </c>
      <c r="T446" s="262" t="s">
        <v>1018</v>
      </c>
      <c r="U446" s="391">
        <v>2</v>
      </c>
      <c r="V446" s="391" t="s">
        <v>186</v>
      </c>
      <c r="W446" s="391" t="s">
        <v>1229</v>
      </c>
      <c r="X446" s="32">
        <v>44177</v>
      </c>
      <c r="Y446" s="32">
        <v>44210</v>
      </c>
      <c r="Z446" s="3" t="s">
        <v>1019</v>
      </c>
      <c r="AA446" s="45">
        <v>189</v>
      </c>
      <c r="AB446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6" s="262" t="s">
        <v>1101</v>
      </c>
      <c r="AD446" s="391">
        <f>IF(Tabela1[[#This Row],[Qtde. Lançada]]&gt;Tabela1[[#This Row],[Comprimento Total]],Tabela1[[#This Row],[Qtde. Lançada]],Tabela1[[#This Row],[Comprimento Total]])</f>
        <v>2</v>
      </c>
      <c r="AE446" s="391" t="s">
        <v>92</v>
      </c>
      <c r="AF446" s="391" t="s">
        <v>1098</v>
      </c>
      <c r="AG446" s="391">
        <f ca="1">SUMIF('Lançamento de Cabos'!AE:AK,Tabela1[[#This Row],[Tag do Cabo]],'Lançamento de Cabos'!AG:AG)</f>
        <v>0</v>
      </c>
      <c r="AH446" s="29">
        <f>IFERROR(VLOOKUP(Tabela1[[#This Row],[Tag do Cabo]],'Lançamento de Cabos'!AE:AK,7,0),0)</f>
        <v>0</v>
      </c>
      <c r="AI446" s="262" t="s">
        <v>1022</v>
      </c>
      <c r="AJ446" s="212">
        <v>35</v>
      </c>
      <c r="AK446" s="46">
        <v>2057046</v>
      </c>
      <c r="AL446" s="262"/>
    </row>
    <row r="447" spans="1:38" s="328" customFormat="1" x14ac:dyDescent="0.25">
      <c r="A447" s="168" t="s">
        <v>1361</v>
      </c>
      <c r="B447" s="391" t="s">
        <v>38</v>
      </c>
      <c r="C447" s="391" t="s">
        <v>92</v>
      </c>
      <c r="D447" s="391" t="s">
        <v>92</v>
      </c>
      <c r="E447" s="3" t="s">
        <v>1012</v>
      </c>
      <c r="F447" s="11" t="s">
        <v>1013</v>
      </c>
      <c r="G447" s="391">
        <v>1</v>
      </c>
      <c r="H447" s="391">
        <v>2</v>
      </c>
      <c r="I447" s="391">
        <v>2</v>
      </c>
      <c r="J447" s="391" t="s">
        <v>1098</v>
      </c>
      <c r="K447" s="262" t="s">
        <v>1361</v>
      </c>
      <c r="L447" s="262" t="s">
        <v>1340</v>
      </c>
      <c r="M447" s="22" t="s">
        <v>85</v>
      </c>
      <c r="N447" s="391" t="str">
        <f t="shared" si="14"/>
        <v>Sim</v>
      </c>
      <c r="O447" s="22" t="s">
        <v>86</v>
      </c>
      <c r="P447" s="22" t="s">
        <v>86</v>
      </c>
      <c r="Q447" s="91" t="s">
        <v>1017</v>
      </c>
      <c r="R447" s="391">
        <f>SUMIF('Lançamento de Cabos'!$B:$B,Tabela1[[#This Row],[Tag do Cabo]],'Lançamento de Cabos'!$C:$C)</f>
        <v>2</v>
      </c>
      <c r="S447" s="391">
        <f>VLOOKUP(Tabela1[[#This Row],[Tag do Cabo]],'Diagramas Ligações'!A:V,14,0)</f>
        <v>6</v>
      </c>
      <c r="T447" s="262" t="s">
        <v>1018</v>
      </c>
      <c r="U447" s="391">
        <v>2</v>
      </c>
      <c r="V447" s="391" t="s">
        <v>186</v>
      </c>
      <c r="W447" s="391" t="s">
        <v>1229</v>
      </c>
      <c r="X447" s="32">
        <v>44177</v>
      </c>
      <c r="Y447" s="32">
        <v>44210</v>
      </c>
      <c r="Z447" s="3" t="s">
        <v>1019</v>
      </c>
      <c r="AA447" s="45">
        <v>189</v>
      </c>
      <c r="AB447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7" s="262" t="s">
        <v>1101</v>
      </c>
      <c r="AD447" s="391">
        <f>IF(Tabela1[[#This Row],[Qtde. Lançada]]&gt;Tabela1[[#This Row],[Comprimento Total]],Tabela1[[#This Row],[Qtde. Lançada]],Tabela1[[#This Row],[Comprimento Total]])</f>
        <v>2</v>
      </c>
      <c r="AE447" s="391" t="s">
        <v>92</v>
      </c>
      <c r="AF447" s="391" t="s">
        <v>1098</v>
      </c>
      <c r="AG447" s="391">
        <f ca="1">SUMIF('Lançamento de Cabos'!AE:AK,Tabela1[[#This Row],[Tag do Cabo]],'Lançamento de Cabos'!AG:AG)</f>
        <v>0</v>
      </c>
      <c r="AH447" s="29">
        <f>IFERROR(VLOOKUP(Tabela1[[#This Row],[Tag do Cabo]],'Lançamento de Cabos'!AE:AK,7,0),0)</f>
        <v>0</v>
      </c>
      <c r="AI447" s="325" t="s">
        <v>1022</v>
      </c>
      <c r="AJ447" s="212" t="s">
        <v>669</v>
      </c>
      <c r="AK447" s="46">
        <v>2057046</v>
      </c>
      <c r="AL447" s="262"/>
    </row>
    <row r="448" spans="1:38" s="328" customFormat="1" x14ac:dyDescent="0.25">
      <c r="A448" s="168" t="s">
        <v>1362</v>
      </c>
      <c r="B448" s="391" t="s">
        <v>38</v>
      </c>
      <c r="C448" s="391" t="s">
        <v>92</v>
      </c>
      <c r="D448" s="391" t="s">
        <v>92</v>
      </c>
      <c r="E448" s="3" t="s">
        <v>1363</v>
      </c>
      <c r="F448" s="11">
        <v>1</v>
      </c>
      <c r="G448" s="391">
        <v>1</v>
      </c>
      <c r="H448" s="391">
        <v>100</v>
      </c>
      <c r="I448" s="391">
        <v>100</v>
      </c>
      <c r="J448" s="391" t="s">
        <v>787</v>
      </c>
      <c r="K448" s="262" t="s">
        <v>1364</v>
      </c>
      <c r="L448" s="262" t="s">
        <v>1365</v>
      </c>
      <c r="M448" s="22" t="s">
        <v>85</v>
      </c>
      <c r="N448" s="391" t="str">
        <f t="shared" si="14"/>
        <v>Sim</v>
      </c>
      <c r="O448" s="22" t="s">
        <v>86</v>
      </c>
      <c r="P448" s="22" t="s">
        <v>86</v>
      </c>
      <c r="Q448" s="391" t="s">
        <v>184</v>
      </c>
      <c r="R448" s="391">
        <f>SUMIF('Lançamento de Cabos'!$B:$B,Tabela1[[#This Row],[Tag do Cabo]],'Lançamento de Cabos'!$C:$C)</f>
        <v>0</v>
      </c>
      <c r="S448" s="391">
        <f>VLOOKUP(Tabela1[[#This Row],[Tag do Cabo]],'Diagramas Ligações'!A:V,14,0)</f>
        <v>4</v>
      </c>
      <c r="T448" s="262" t="s">
        <v>1366</v>
      </c>
      <c r="U448" s="391">
        <v>2</v>
      </c>
      <c r="V448" s="391" t="s">
        <v>186</v>
      </c>
      <c r="W448" s="391" t="s">
        <v>1367</v>
      </c>
      <c r="X448" s="32">
        <v>44177</v>
      </c>
      <c r="Y448" s="32">
        <v>44210</v>
      </c>
      <c r="Z448" s="3" t="s">
        <v>1122</v>
      </c>
      <c r="AA448" s="45">
        <v>95</v>
      </c>
      <c r="AB448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8" s="262"/>
      <c r="AD448" s="391">
        <f>IF(Tabela1[[#This Row],[Qtde. Lançada]]&gt;Tabela1[[#This Row],[Comprimento Total]],Tabela1[[#This Row],[Qtde. Lançada]],Tabela1[[#This Row],[Comprimento Total]])</f>
        <v>100</v>
      </c>
      <c r="AE448" s="391" t="s">
        <v>1368</v>
      </c>
      <c r="AF448" s="391" t="s">
        <v>787</v>
      </c>
      <c r="AG448" s="391">
        <f ca="1">SUMIF('Lançamento de Cabos'!AE:AK,Tabela1[[#This Row],[Tag do Cabo]],'Lançamento de Cabos'!AG:AG)</f>
        <v>0</v>
      </c>
      <c r="AH448" s="29">
        <f>IFERROR(VLOOKUP(Tabela1[[#This Row],[Tag do Cabo]],'Lançamento de Cabos'!AE:AK,7,0),0)</f>
        <v>0</v>
      </c>
      <c r="AI448" s="262" t="s">
        <v>1369</v>
      </c>
      <c r="AJ448" s="212">
        <v>1</v>
      </c>
      <c r="AK448" s="46">
        <v>306860</v>
      </c>
      <c r="AL448" s="262"/>
    </row>
    <row r="449" spans="1:38" s="328" customFormat="1" x14ac:dyDescent="0.25">
      <c r="A449" s="168" t="s">
        <v>1370</v>
      </c>
      <c r="B449" s="391" t="s">
        <v>38</v>
      </c>
      <c r="C449" s="391" t="s">
        <v>92</v>
      </c>
      <c r="D449" s="391" t="s">
        <v>92</v>
      </c>
      <c r="E449" s="3" t="s">
        <v>1140</v>
      </c>
      <c r="F449" s="11">
        <v>1</v>
      </c>
      <c r="G449" s="391">
        <v>1</v>
      </c>
      <c r="H449" s="391">
        <v>10</v>
      </c>
      <c r="I449" s="391">
        <v>10</v>
      </c>
      <c r="J449" s="391" t="s">
        <v>787</v>
      </c>
      <c r="K449" s="262" t="s">
        <v>1141</v>
      </c>
      <c r="L449" s="262" t="s">
        <v>1162</v>
      </c>
      <c r="M449" s="22" t="s">
        <v>85</v>
      </c>
      <c r="N449" s="23" t="str">
        <f t="shared" si="14"/>
        <v>Sim</v>
      </c>
      <c r="O449" s="22" t="s">
        <v>86</v>
      </c>
      <c r="P449" s="22" t="s">
        <v>86</v>
      </c>
      <c r="Q449" s="151" t="s">
        <v>184</v>
      </c>
      <c r="R449" s="23">
        <f>SUMIF('Lançamento de Cabos'!$B:$B,Tabela1[[#This Row],[Tag do Cabo]],'Lançamento de Cabos'!$C:$C)</f>
        <v>10</v>
      </c>
      <c r="S449" s="391">
        <f>VLOOKUP(Tabela1[[#This Row],[Tag do Cabo]],'Diagramas Ligações'!A:V,14,0)</f>
        <v>30</v>
      </c>
      <c r="T449" s="262" t="s">
        <v>680</v>
      </c>
      <c r="U449" s="391">
        <v>6</v>
      </c>
      <c r="V449" s="391" t="s">
        <v>186</v>
      </c>
      <c r="W449" s="391" t="s">
        <v>92</v>
      </c>
      <c r="X449" s="32">
        <v>44209</v>
      </c>
      <c r="Y449" s="32">
        <v>44211</v>
      </c>
      <c r="Z449" s="3" t="s">
        <v>681</v>
      </c>
      <c r="AA449" s="45">
        <v>219</v>
      </c>
      <c r="AB44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49" s="262"/>
      <c r="AD449" s="391">
        <f>IF(Tabela1[[#This Row],[Qtde. Lançada]]&gt;Tabela1[[#This Row],[Comprimento Total]],Tabela1[[#This Row],[Qtde. Lançada]],Tabela1[[#This Row],[Comprimento Total]])</f>
        <v>10</v>
      </c>
      <c r="AE449" s="262" t="s">
        <v>610</v>
      </c>
      <c r="AF449" s="391" t="s">
        <v>787</v>
      </c>
      <c r="AG449" s="391">
        <f ca="1">SUMIF('Lançamento de Cabos'!AE:AK,Tabela1[[#This Row],[Tag do Cabo]],'Lançamento de Cabos'!AG:AG)</f>
        <v>0</v>
      </c>
      <c r="AH449" s="29">
        <f>IFERROR(VLOOKUP(Tabela1[[#This Row],[Tag do Cabo]],'Lançamento de Cabos'!AE:AK,7,0),0)</f>
        <v>0</v>
      </c>
      <c r="AI449" s="262" t="s">
        <v>680</v>
      </c>
      <c r="AJ449" s="212" t="s">
        <v>887</v>
      </c>
      <c r="AK449" s="46">
        <v>923851</v>
      </c>
      <c r="AL449" s="262"/>
    </row>
    <row r="450" spans="1:38" s="328" customFormat="1" x14ac:dyDescent="0.25">
      <c r="A450" s="168" t="s">
        <v>1371</v>
      </c>
      <c r="B450" s="391" t="s">
        <v>38</v>
      </c>
      <c r="C450" s="391" t="s">
        <v>92</v>
      </c>
      <c r="D450" s="391" t="s">
        <v>92</v>
      </c>
      <c r="E450" s="3" t="s">
        <v>228</v>
      </c>
      <c r="F450" s="11">
        <v>1</v>
      </c>
      <c r="G450" s="391">
        <v>1</v>
      </c>
      <c r="H450" s="391">
        <v>40</v>
      </c>
      <c r="I450" s="391">
        <v>40</v>
      </c>
      <c r="J450" s="391" t="s">
        <v>282</v>
      </c>
      <c r="K450" s="262" t="s">
        <v>1372</v>
      </c>
      <c r="L450" s="262" t="s">
        <v>1242</v>
      </c>
      <c r="M450" s="22" t="s">
        <v>85</v>
      </c>
      <c r="N450" s="391" t="str">
        <f t="shared" si="14"/>
        <v>Sim</v>
      </c>
      <c r="O450" s="22" t="s">
        <v>86</v>
      </c>
      <c r="P450" s="22" t="s">
        <v>86</v>
      </c>
      <c r="Q450" s="391" t="s">
        <v>184</v>
      </c>
      <c r="R450" s="391">
        <f>SUMIF('Lançamento de Cabos'!$B:$B,Tabela1[[#This Row],[Tag do Cabo]],'Lançamento de Cabos'!$C:$C)</f>
        <v>40</v>
      </c>
      <c r="S450" s="391">
        <f>VLOOKUP(Tabela1[[#This Row],[Tag do Cabo]],'Diagramas Ligações'!A:V,14,0)</f>
        <v>4</v>
      </c>
      <c r="T450" s="262" t="s">
        <v>217</v>
      </c>
      <c r="U450" s="391">
        <v>2</v>
      </c>
      <c r="V450" s="391" t="s">
        <v>186</v>
      </c>
      <c r="W450" s="391" t="s">
        <v>218</v>
      </c>
      <c r="X450" s="32">
        <v>44177</v>
      </c>
      <c r="Y450" s="32">
        <v>44210</v>
      </c>
      <c r="Z450" s="3" t="s">
        <v>1122</v>
      </c>
      <c r="AA450" s="45">
        <v>170</v>
      </c>
      <c r="AB450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0" s="262" t="s">
        <v>1244</v>
      </c>
      <c r="AD450" s="391">
        <f>IF(Tabela1[[#This Row],[Qtde. Lançada]]&gt;Tabela1[[#This Row],[Comprimento Total]],Tabela1[[#This Row],[Qtde. Lançada]],Tabela1[[#This Row],[Comprimento Total]])</f>
        <v>40</v>
      </c>
      <c r="AE450" s="262" t="s">
        <v>1373</v>
      </c>
      <c r="AF450" s="391" t="s">
        <v>282</v>
      </c>
      <c r="AG450" s="391">
        <f ca="1">SUMIF('Lançamento de Cabos'!AE:AK,Tabela1[[#This Row],[Tag do Cabo]],'Lançamento de Cabos'!AG:AG)</f>
        <v>0</v>
      </c>
      <c r="AH450" s="29">
        <f>IFERROR(VLOOKUP(Tabela1[[#This Row],[Tag do Cabo]],'Lançamento de Cabos'!AE:AK,7,0),0)</f>
        <v>0</v>
      </c>
      <c r="AI450" s="262" t="s">
        <v>223</v>
      </c>
      <c r="AJ450" s="213" t="s">
        <v>1246</v>
      </c>
      <c r="AK450" s="46">
        <v>306860</v>
      </c>
      <c r="AL450" s="262"/>
    </row>
    <row r="451" spans="1:38" s="328" customFormat="1" ht="15" customHeight="1" x14ac:dyDescent="0.25">
      <c r="A451" s="168" t="s">
        <v>1374</v>
      </c>
      <c r="B451" s="391" t="s">
        <v>38</v>
      </c>
      <c r="C451" s="391" t="s">
        <v>92</v>
      </c>
      <c r="D451" s="391" t="s">
        <v>92</v>
      </c>
      <c r="E451" s="3" t="s">
        <v>228</v>
      </c>
      <c r="F451" s="11">
        <v>1</v>
      </c>
      <c r="G451" s="391">
        <v>1</v>
      </c>
      <c r="H451" s="391">
        <v>30</v>
      </c>
      <c r="I451" s="391">
        <v>30</v>
      </c>
      <c r="J451" s="391" t="s">
        <v>282</v>
      </c>
      <c r="K451" s="262" t="s">
        <v>1375</v>
      </c>
      <c r="L451" s="262" t="s">
        <v>1253</v>
      </c>
      <c r="M451" s="22" t="s">
        <v>85</v>
      </c>
      <c r="N451" s="391" t="str">
        <f t="shared" si="14"/>
        <v>Sim</v>
      </c>
      <c r="O451" s="22" t="s">
        <v>86</v>
      </c>
      <c r="P451" s="22" t="s">
        <v>86</v>
      </c>
      <c r="Q451" s="391" t="s">
        <v>184</v>
      </c>
      <c r="R451" s="391">
        <f>SUMIF('Lançamento de Cabos'!$B:$B,Tabela1[[#This Row],[Tag do Cabo]],'Lançamento de Cabos'!$C:$C)</f>
        <v>30</v>
      </c>
      <c r="S451" s="391">
        <f>VLOOKUP(Tabela1[[#This Row],[Tag do Cabo]],'Diagramas Ligações'!A:V,14,0)</f>
        <v>4</v>
      </c>
      <c r="T451" s="262" t="s">
        <v>217</v>
      </c>
      <c r="U451" s="391">
        <v>2</v>
      </c>
      <c r="V451" s="391" t="s">
        <v>186</v>
      </c>
      <c r="W451" s="391" t="s">
        <v>218</v>
      </c>
      <c r="X451" s="32">
        <v>44177</v>
      </c>
      <c r="Y451" s="32">
        <v>44210</v>
      </c>
      <c r="Z451" s="3" t="s">
        <v>1376</v>
      </c>
      <c r="AA451" s="45">
        <v>170</v>
      </c>
      <c r="AB45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1" s="262" t="s">
        <v>1244</v>
      </c>
      <c r="AD451" s="391">
        <f>IF(Tabela1[[#This Row],[Qtde. Lançada]]&gt;Tabela1[[#This Row],[Comprimento Total]],Tabela1[[#This Row],[Qtde. Lançada]],Tabela1[[#This Row],[Comprimento Total]])</f>
        <v>30</v>
      </c>
      <c r="AE451" s="262" t="s">
        <v>1373</v>
      </c>
      <c r="AF451" s="391" t="s">
        <v>282</v>
      </c>
      <c r="AG451" s="391">
        <f ca="1">SUMIF('Lançamento de Cabos'!AE:AK,Tabela1[[#This Row],[Tag do Cabo]],'Lançamento de Cabos'!AG:AG)</f>
        <v>0</v>
      </c>
      <c r="AH451" s="29">
        <f>IFERROR(VLOOKUP(Tabela1[[#This Row],[Tag do Cabo]],'Lançamento de Cabos'!AE:AK,7,0),0)</f>
        <v>0</v>
      </c>
      <c r="AI451" s="262" t="s">
        <v>223</v>
      </c>
      <c r="AJ451" s="213" t="s">
        <v>1254</v>
      </c>
      <c r="AK451" s="46">
        <v>306860</v>
      </c>
      <c r="AL451" s="262"/>
    </row>
    <row r="452" spans="1:38" s="328" customFormat="1" ht="15" customHeight="1" x14ac:dyDescent="0.25">
      <c r="A452" s="168" t="s">
        <v>1377</v>
      </c>
      <c r="B452" s="391" t="s">
        <v>38</v>
      </c>
      <c r="C452" s="391" t="s">
        <v>92</v>
      </c>
      <c r="D452" s="391" t="s">
        <v>92</v>
      </c>
      <c r="E452" s="3" t="s">
        <v>228</v>
      </c>
      <c r="F452" s="11">
        <v>1</v>
      </c>
      <c r="G452" s="391">
        <v>1</v>
      </c>
      <c r="H452" s="391">
        <v>25</v>
      </c>
      <c r="I452" s="391">
        <v>25</v>
      </c>
      <c r="J452" s="391" t="s">
        <v>282</v>
      </c>
      <c r="K452" s="262" t="s">
        <v>1378</v>
      </c>
      <c r="L452" s="262" t="s">
        <v>1256</v>
      </c>
      <c r="M452" s="22" t="s">
        <v>85</v>
      </c>
      <c r="N452" s="391" t="str">
        <f t="shared" si="14"/>
        <v>Sim</v>
      </c>
      <c r="O452" s="22" t="s">
        <v>86</v>
      </c>
      <c r="P452" s="22" t="s">
        <v>86</v>
      </c>
      <c r="Q452" s="91" t="s">
        <v>184</v>
      </c>
      <c r="R452" s="391">
        <f>SUMIF('Lançamento de Cabos'!$B:$B,Tabela1[[#This Row],[Tag do Cabo]],'Lançamento de Cabos'!$C:$C)</f>
        <v>0</v>
      </c>
      <c r="S452" s="391">
        <f>VLOOKUP(Tabela1[[#This Row],[Tag do Cabo]],'Diagramas Ligações'!A:V,14,0)</f>
        <v>4</v>
      </c>
      <c r="T452" s="262" t="s">
        <v>217</v>
      </c>
      <c r="U452" s="391">
        <v>2</v>
      </c>
      <c r="V452" s="391" t="s">
        <v>186</v>
      </c>
      <c r="W452" s="391" t="s">
        <v>218</v>
      </c>
      <c r="X452" s="32">
        <v>44177</v>
      </c>
      <c r="Y452" s="32">
        <v>44210</v>
      </c>
      <c r="Z452" s="3" t="s">
        <v>1122</v>
      </c>
      <c r="AA452" s="45">
        <v>170</v>
      </c>
      <c r="AB452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2" s="262" t="s">
        <v>1244</v>
      </c>
      <c r="AD452" s="391">
        <f>IF(Tabela1[[#This Row],[Qtde. Lançada]]&gt;Tabela1[[#This Row],[Comprimento Total]],Tabela1[[#This Row],[Qtde. Lançada]],Tabela1[[#This Row],[Comprimento Total]])</f>
        <v>25</v>
      </c>
      <c r="AE452" s="262" t="s">
        <v>1379</v>
      </c>
      <c r="AF452" s="391" t="s">
        <v>282</v>
      </c>
      <c r="AG452" s="391">
        <f ca="1">SUMIF('Lançamento de Cabos'!AE:AK,Tabela1[[#This Row],[Tag do Cabo]],'Lançamento de Cabos'!AG:AG)</f>
        <v>0</v>
      </c>
      <c r="AH452" s="29">
        <f>IFERROR(VLOOKUP(Tabela1[[#This Row],[Tag do Cabo]],'Lançamento de Cabos'!AE:AK,7,0),0)</f>
        <v>0</v>
      </c>
      <c r="AI452" s="262" t="s">
        <v>223</v>
      </c>
      <c r="AJ452" s="213" t="s">
        <v>1257</v>
      </c>
      <c r="AK452" s="46">
        <v>306860</v>
      </c>
      <c r="AL452" s="262"/>
    </row>
    <row r="453" spans="1:38" s="328" customFormat="1" x14ac:dyDescent="0.25">
      <c r="A453" s="168" t="s">
        <v>1380</v>
      </c>
      <c r="B453" s="391" t="s">
        <v>38</v>
      </c>
      <c r="C453" s="391" t="s">
        <v>92</v>
      </c>
      <c r="D453" s="391" t="s">
        <v>92</v>
      </c>
      <c r="E453" s="3" t="s">
        <v>228</v>
      </c>
      <c r="F453" s="11">
        <v>1</v>
      </c>
      <c r="G453" s="391">
        <v>1</v>
      </c>
      <c r="H453" s="391">
        <v>25</v>
      </c>
      <c r="I453" s="391">
        <v>25</v>
      </c>
      <c r="J453" s="391" t="s">
        <v>282</v>
      </c>
      <c r="K453" s="262" t="s">
        <v>1378</v>
      </c>
      <c r="L453" s="262" t="s">
        <v>1249</v>
      </c>
      <c r="M453" s="22" t="s">
        <v>85</v>
      </c>
      <c r="N453" s="391" t="str">
        <f t="shared" si="14"/>
        <v>Sim</v>
      </c>
      <c r="O453" s="22" t="s">
        <v>86</v>
      </c>
      <c r="P453" s="22" t="s">
        <v>86</v>
      </c>
      <c r="Q453" s="391" t="s">
        <v>184</v>
      </c>
      <c r="R453" s="391">
        <f>SUMIF('Lançamento de Cabos'!$B:$B,Tabela1[[#This Row],[Tag do Cabo]],'Lançamento de Cabos'!$C:$C)</f>
        <v>0</v>
      </c>
      <c r="S453" s="391">
        <f>VLOOKUP(Tabela1[[#This Row],[Tag do Cabo]],'Diagramas Ligações'!A:V,14,0)</f>
        <v>4</v>
      </c>
      <c r="T453" s="262" t="s">
        <v>217</v>
      </c>
      <c r="U453" s="391">
        <v>2</v>
      </c>
      <c r="V453" s="391" t="s">
        <v>186</v>
      </c>
      <c r="W453" s="391" t="s">
        <v>218</v>
      </c>
      <c r="X453" s="32">
        <v>44177</v>
      </c>
      <c r="Y453" s="32">
        <v>44210</v>
      </c>
      <c r="Z453" s="3" t="s">
        <v>1122</v>
      </c>
      <c r="AA453" s="45">
        <v>170</v>
      </c>
      <c r="AB453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3" s="262" t="s">
        <v>1244</v>
      </c>
      <c r="AD453" s="391">
        <f>IF(Tabela1[[#This Row],[Qtde. Lançada]]&gt;Tabela1[[#This Row],[Comprimento Total]],Tabela1[[#This Row],[Qtde. Lançada]],Tabela1[[#This Row],[Comprimento Total]])</f>
        <v>25</v>
      </c>
      <c r="AE453" s="262" t="s">
        <v>1379</v>
      </c>
      <c r="AF453" s="391" t="s">
        <v>282</v>
      </c>
      <c r="AG453" s="391">
        <f ca="1">SUMIF('Lançamento de Cabos'!AE:AK,Tabela1[[#This Row],[Tag do Cabo]],'Lançamento de Cabos'!AG:AG)</f>
        <v>0</v>
      </c>
      <c r="AH453" s="29">
        <f>IFERROR(VLOOKUP(Tabela1[[#This Row],[Tag do Cabo]],'Lançamento de Cabos'!AE:AK,7,0),0)</f>
        <v>0</v>
      </c>
      <c r="AI453" s="262" t="s">
        <v>223</v>
      </c>
      <c r="AJ453" s="213" t="s">
        <v>1251</v>
      </c>
      <c r="AK453" s="46">
        <v>306860</v>
      </c>
      <c r="AL453" s="262"/>
    </row>
    <row r="454" spans="1:38" s="328" customFormat="1" x14ac:dyDescent="0.25">
      <c r="A454" s="168" t="s">
        <v>1381</v>
      </c>
      <c r="B454" s="391" t="s">
        <v>38</v>
      </c>
      <c r="C454" s="391" t="s">
        <v>92</v>
      </c>
      <c r="D454" s="391" t="s">
        <v>92</v>
      </c>
      <c r="E454" s="3" t="s">
        <v>228</v>
      </c>
      <c r="F454" s="11">
        <v>1</v>
      </c>
      <c r="G454" s="391">
        <v>1</v>
      </c>
      <c r="H454" s="391">
        <v>25</v>
      </c>
      <c r="I454" s="391">
        <v>25</v>
      </c>
      <c r="J454" s="391" t="s">
        <v>1014</v>
      </c>
      <c r="K454" s="262" t="s">
        <v>1382</v>
      </c>
      <c r="L454" s="262" t="s">
        <v>1383</v>
      </c>
      <c r="M454" s="22" t="s">
        <v>85</v>
      </c>
      <c r="N454" s="23" t="str">
        <f t="shared" si="14"/>
        <v>Sim</v>
      </c>
      <c r="O454" s="22" t="s">
        <v>86</v>
      </c>
      <c r="P454" s="22" t="s">
        <v>86</v>
      </c>
      <c r="Q454" s="151" t="s">
        <v>184</v>
      </c>
      <c r="R454" s="23">
        <f>SUMIF('Lançamento de Cabos'!$B:$B,Tabela1[[#This Row],[Tag do Cabo]],'Lançamento de Cabos'!$C:$C)</f>
        <v>0</v>
      </c>
      <c r="S454" s="391">
        <f>VLOOKUP(Tabela1[[#This Row],[Tag do Cabo]],'Diagramas Ligações'!A:V,14,0)</f>
        <v>4</v>
      </c>
      <c r="T454" s="262" t="s">
        <v>1384</v>
      </c>
      <c r="U454" s="391">
        <v>3</v>
      </c>
      <c r="V454" s="391" t="s">
        <v>186</v>
      </c>
      <c r="W454" s="391" t="s">
        <v>92</v>
      </c>
      <c r="X454" s="32">
        <v>44209</v>
      </c>
      <c r="Y454" s="32">
        <v>44211</v>
      </c>
      <c r="Z454" s="3" t="s">
        <v>681</v>
      </c>
      <c r="AA454" s="45">
        <v>170</v>
      </c>
      <c r="AB45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4" s="262"/>
      <c r="AD454" s="391">
        <f>IF(Tabela1[[#This Row],[Qtde. Lançada]]&gt;Tabela1[[#This Row],[Comprimento Total]],Tabela1[[#This Row],[Qtde. Lançada]],Tabela1[[#This Row],[Comprimento Total]])</f>
        <v>25</v>
      </c>
      <c r="AE454" s="262" t="s">
        <v>610</v>
      </c>
      <c r="AF454" s="391" t="s">
        <v>1385</v>
      </c>
      <c r="AG454" s="391">
        <f ca="1">SUMIF('Lançamento de Cabos'!AE:AK,Tabela1[[#This Row],[Tag do Cabo]],'Lançamento de Cabos'!AG:AG)</f>
        <v>0</v>
      </c>
      <c r="AH454" s="29">
        <f>IFERROR(VLOOKUP(Tabela1[[#This Row],[Tag do Cabo]],'Lançamento de Cabos'!AE:AK,7,0),0)</f>
        <v>0</v>
      </c>
      <c r="AI454" s="262" t="s">
        <v>1293</v>
      </c>
      <c r="AJ454" s="212" t="s">
        <v>1386</v>
      </c>
      <c r="AK454" s="46">
        <v>306860</v>
      </c>
      <c r="AL454" s="262"/>
    </row>
    <row r="455" spans="1:38" s="328" customFormat="1" x14ac:dyDescent="0.25">
      <c r="A455" s="168" t="s">
        <v>1387</v>
      </c>
      <c r="B455" s="391" t="s">
        <v>38</v>
      </c>
      <c r="C455" s="391" t="s">
        <v>92</v>
      </c>
      <c r="D455" s="391" t="s">
        <v>92</v>
      </c>
      <c r="E455" s="3" t="s">
        <v>228</v>
      </c>
      <c r="F455" s="11">
        <v>1</v>
      </c>
      <c r="G455" s="391">
        <v>1</v>
      </c>
      <c r="H455" s="391">
        <v>22</v>
      </c>
      <c r="I455" s="391">
        <v>22</v>
      </c>
      <c r="J455" s="391" t="s">
        <v>1014</v>
      </c>
      <c r="K455" s="262" t="s">
        <v>1388</v>
      </c>
      <c r="L455" s="262" t="s">
        <v>1389</v>
      </c>
      <c r="M455" s="22" t="s">
        <v>85</v>
      </c>
      <c r="N455" s="23" t="str">
        <f t="shared" si="14"/>
        <v>Sim</v>
      </c>
      <c r="O455" s="22" t="s">
        <v>86</v>
      </c>
      <c r="P455" s="22" t="s">
        <v>86</v>
      </c>
      <c r="Q455" s="151" t="s">
        <v>184</v>
      </c>
      <c r="R455" s="23">
        <f>SUMIF('Lançamento de Cabos'!$B:$B,Tabela1[[#This Row],[Tag do Cabo]],'Lançamento de Cabos'!$C:$C)</f>
        <v>0</v>
      </c>
      <c r="S455" s="391">
        <f>VLOOKUP(Tabela1[[#This Row],[Tag do Cabo]],'Diagramas Ligações'!A:V,14,0)</f>
        <v>4</v>
      </c>
      <c r="T455" s="262" t="s">
        <v>1390</v>
      </c>
      <c r="U455" s="391">
        <v>5</v>
      </c>
      <c r="V455" s="391" t="s">
        <v>186</v>
      </c>
      <c r="W455" s="391" t="s">
        <v>92</v>
      </c>
      <c r="X455" s="32">
        <v>44209</v>
      </c>
      <c r="Y455" s="32">
        <v>44211</v>
      </c>
      <c r="Z455" s="3" t="s">
        <v>681</v>
      </c>
      <c r="AA455" s="45">
        <v>170</v>
      </c>
      <c r="AB45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5" s="262"/>
      <c r="AD455" s="391">
        <f>IF(Tabela1[[#This Row],[Qtde. Lançada]]&gt;Tabela1[[#This Row],[Comprimento Total]],Tabela1[[#This Row],[Qtde. Lançada]],Tabela1[[#This Row],[Comprimento Total]])</f>
        <v>22</v>
      </c>
      <c r="AE455" s="262" t="s">
        <v>610</v>
      </c>
      <c r="AF455" s="391" t="s">
        <v>1385</v>
      </c>
      <c r="AG455" s="391">
        <f ca="1">SUMIF('Lançamento de Cabos'!AE:AK,Tabela1[[#This Row],[Tag do Cabo]],'Lançamento de Cabos'!AG:AG)</f>
        <v>0</v>
      </c>
      <c r="AH455" s="29">
        <f>IFERROR(VLOOKUP(Tabela1[[#This Row],[Tag do Cabo]],'Lançamento de Cabos'!AE:AK,7,0),0)</f>
        <v>0</v>
      </c>
      <c r="AI455" s="262" t="s">
        <v>1293</v>
      </c>
      <c r="AJ455" s="212" t="s">
        <v>1391</v>
      </c>
      <c r="AK455" s="46">
        <v>306860</v>
      </c>
      <c r="AL455" s="262"/>
    </row>
    <row r="456" spans="1:38" s="328" customFormat="1" x14ac:dyDescent="0.25">
      <c r="A456" s="168" t="s">
        <v>1392</v>
      </c>
      <c r="B456" s="391" t="s">
        <v>38</v>
      </c>
      <c r="C456" s="391" t="s">
        <v>92</v>
      </c>
      <c r="D456" s="391" t="s">
        <v>92</v>
      </c>
      <c r="E456" s="3" t="s">
        <v>228</v>
      </c>
      <c r="F456" s="11">
        <v>1</v>
      </c>
      <c r="G456" s="391">
        <v>1</v>
      </c>
      <c r="H456" s="391">
        <v>22</v>
      </c>
      <c r="I456" s="391">
        <v>22</v>
      </c>
      <c r="J456" s="391" t="s">
        <v>1014</v>
      </c>
      <c r="K456" s="262" t="s">
        <v>1393</v>
      </c>
      <c r="L456" s="262" t="s">
        <v>1394</v>
      </c>
      <c r="M456" s="22" t="s">
        <v>85</v>
      </c>
      <c r="N456" s="23" t="str">
        <f t="shared" si="14"/>
        <v>Sim</v>
      </c>
      <c r="O456" s="22" t="s">
        <v>86</v>
      </c>
      <c r="P456" s="22" t="s">
        <v>86</v>
      </c>
      <c r="Q456" s="151" t="s">
        <v>184</v>
      </c>
      <c r="R456" s="23">
        <f>SUMIF('Lançamento de Cabos'!$B:$B,Tabela1[[#This Row],[Tag do Cabo]],'Lançamento de Cabos'!$C:$C)</f>
        <v>0</v>
      </c>
      <c r="S456" s="391">
        <f>VLOOKUP(Tabela1[[#This Row],[Tag do Cabo]],'Diagramas Ligações'!A:V,14,0)</f>
        <v>4</v>
      </c>
      <c r="T456" s="262" t="s">
        <v>1395</v>
      </c>
      <c r="U456" s="391">
        <v>3</v>
      </c>
      <c r="V456" s="391" t="s">
        <v>186</v>
      </c>
      <c r="W456" s="391" t="s">
        <v>92</v>
      </c>
      <c r="X456" s="32">
        <v>44209</v>
      </c>
      <c r="Y456" s="32">
        <v>44211</v>
      </c>
      <c r="Z456" s="3" t="s">
        <v>681</v>
      </c>
      <c r="AA456" s="45">
        <v>170</v>
      </c>
      <c r="AB45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6" s="262"/>
      <c r="AD456" s="391">
        <f>IF(Tabela1[[#This Row],[Qtde. Lançada]]&gt;Tabela1[[#This Row],[Comprimento Total]],Tabela1[[#This Row],[Qtde. Lançada]],Tabela1[[#This Row],[Comprimento Total]])</f>
        <v>22</v>
      </c>
      <c r="AE456" s="262" t="s">
        <v>610</v>
      </c>
      <c r="AF456" s="391" t="s">
        <v>1385</v>
      </c>
      <c r="AG456" s="391">
        <f ca="1">SUMIF('Lançamento de Cabos'!AE:AK,Tabela1[[#This Row],[Tag do Cabo]],'Lançamento de Cabos'!AG:AG)</f>
        <v>0</v>
      </c>
      <c r="AH456" s="29">
        <f>IFERROR(VLOOKUP(Tabela1[[#This Row],[Tag do Cabo]],'Lançamento de Cabos'!AE:AK,7,0),0)</f>
        <v>0</v>
      </c>
      <c r="AI456" s="262" t="s">
        <v>1293</v>
      </c>
      <c r="AJ456" s="212" t="s">
        <v>1396</v>
      </c>
      <c r="AK456" s="46">
        <v>306860</v>
      </c>
      <c r="AL456" s="262"/>
    </row>
    <row r="457" spans="1:38" s="328" customFormat="1" ht="18.75" customHeight="1" x14ac:dyDescent="0.25">
      <c r="A457" s="168" t="s">
        <v>1397</v>
      </c>
      <c r="B457" s="391" t="s">
        <v>38</v>
      </c>
      <c r="C457" s="391" t="s">
        <v>92</v>
      </c>
      <c r="D457" s="391" t="s">
        <v>92</v>
      </c>
      <c r="E457" s="3" t="s">
        <v>228</v>
      </c>
      <c r="F457" s="11">
        <v>1</v>
      </c>
      <c r="G457" s="391">
        <v>1</v>
      </c>
      <c r="H457" s="391">
        <v>20</v>
      </c>
      <c r="I457" s="391">
        <v>20</v>
      </c>
      <c r="J457" s="391" t="s">
        <v>1014</v>
      </c>
      <c r="K457" s="262" t="s">
        <v>1398</v>
      </c>
      <c r="L457" s="262" t="s">
        <v>1399</v>
      </c>
      <c r="M457" s="22" t="s">
        <v>85</v>
      </c>
      <c r="N457" s="23" t="str">
        <f t="shared" si="14"/>
        <v>Sim</v>
      </c>
      <c r="O457" s="22" t="s">
        <v>86</v>
      </c>
      <c r="P457" s="22" t="s">
        <v>86</v>
      </c>
      <c r="Q457" s="151" t="s">
        <v>184</v>
      </c>
      <c r="R457" s="23">
        <f>SUMIF('Lançamento de Cabos'!$B:$B,Tabela1[[#This Row],[Tag do Cabo]],'Lançamento de Cabos'!$C:$C)</f>
        <v>0</v>
      </c>
      <c r="S457" s="391">
        <f>VLOOKUP(Tabela1[[#This Row],[Tag do Cabo]],'Diagramas Ligações'!A:V,14,0)</f>
        <v>4</v>
      </c>
      <c r="T457" s="262" t="s">
        <v>1400</v>
      </c>
      <c r="U457" s="391">
        <v>5</v>
      </c>
      <c r="V457" s="391" t="s">
        <v>186</v>
      </c>
      <c r="W457" s="391" t="s">
        <v>92</v>
      </c>
      <c r="X457" s="32">
        <v>44209</v>
      </c>
      <c r="Y457" s="32">
        <v>44211</v>
      </c>
      <c r="Z457" s="3" t="s">
        <v>681</v>
      </c>
      <c r="AA457" s="45">
        <v>170</v>
      </c>
      <c r="AB45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7" s="262"/>
      <c r="AD457" s="391">
        <f>IF(Tabela1[[#This Row],[Qtde. Lançada]]&gt;Tabela1[[#This Row],[Comprimento Total]],Tabela1[[#This Row],[Qtde. Lançada]],Tabela1[[#This Row],[Comprimento Total]])</f>
        <v>20</v>
      </c>
      <c r="AE457" s="262" t="s">
        <v>610</v>
      </c>
      <c r="AF457" s="391" t="s">
        <v>1385</v>
      </c>
      <c r="AG457" s="391">
        <f ca="1">SUMIF('Lançamento de Cabos'!AE:AK,Tabela1[[#This Row],[Tag do Cabo]],'Lançamento de Cabos'!AG:AG)</f>
        <v>0</v>
      </c>
      <c r="AH457" s="29">
        <f>IFERROR(VLOOKUP(Tabela1[[#This Row],[Tag do Cabo]],'Lançamento de Cabos'!AE:AK,7,0),0)</f>
        <v>0</v>
      </c>
      <c r="AI457" s="262" t="s">
        <v>1293</v>
      </c>
      <c r="AJ457" s="212" t="s">
        <v>1401</v>
      </c>
      <c r="AK457" s="46">
        <v>306860</v>
      </c>
      <c r="AL457" s="262"/>
    </row>
    <row r="458" spans="1:38" s="328" customFormat="1" x14ac:dyDescent="0.25">
      <c r="A458" s="168" t="s">
        <v>1402</v>
      </c>
      <c r="B458" s="391" t="s">
        <v>38</v>
      </c>
      <c r="C458" s="391" t="s">
        <v>92</v>
      </c>
      <c r="D458" s="391" t="s">
        <v>92</v>
      </c>
      <c r="E458" s="3" t="s">
        <v>228</v>
      </c>
      <c r="F458" s="11">
        <v>1</v>
      </c>
      <c r="G458" s="391">
        <v>1</v>
      </c>
      <c r="H458" s="391">
        <v>20</v>
      </c>
      <c r="I458" s="391">
        <v>20</v>
      </c>
      <c r="J458" s="391" t="s">
        <v>1014</v>
      </c>
      <c r="K458" s="262" t="s">
        <v>1403</v>
      </c>
      <c r="L458" s="262" t="s">
        <v>1404</v>
      </c>
      <c r="M458" s="22" t="s">
        <v>85</v>
      </c>
      <c r="N458" s="23" t="str">
        <f t="shared" si="14"/>
        <v>Sim</v>
      </c>
      <c r="O458" s="22" t="s">
        <v>86</v>
      </c>
      <c r="P458" s="22" t="s">
        <v>86</v>
      </c>
      <c r="Q458" s="151" t="s">
        <v>184</v>
      </c>
      <c r="R458" s="23">
        <f>SUMIF('Lançamento de Cabos'!$B:$B,Tabela1[[#This Row],[Tag do Cabo]],'Lançamento de Cabos'!$C:$C)</f>
        <v>0</v>
      </c>
      <c r="S458" s="391">
        <f>VLOOKUP(Tabela1[[#This Row],[Tag do Cabo]],'Diagramas Ligações'!A:V,14,0)</f>
        <v>4</v>
      </c>
      <c r="T458" s="262" t="s">
        <v>1405</v>
      </c>
      <c r="U458" s="391">
        <v>7</v>
      </c>
      <c r="V458" s="391" t="s">
        <v>186</v>
      </c>
      <c r="W458" s="391" t="s">
        <v>92</v>
      </c>
      <c r="X458" s="32">
        <v>44209</v>
      </c>
      <c r="Y458" s="32">
        <v>44211</v>
      </c>
      <c r="Z458" s="3" t="s">
        <v>681</v>
      </c>
      <c r="AA458" s="45">
        <v>170</v>
      </c>
      <c r="AB45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58" s="262"/>
      <c r="AD458" s="391">
        <f>IF(Tabela1[[#This Row],[Qtde. Lançada]]&gt;Tabela1[[#This Row],[Comprimento Total]],Tabela1[[#This Row],[Qtde. Lançada]],Tabela1[[#This Row],[Comprimento Total]])</f>
        <v>20</v>
      </c>
      <c r="AE458" s="262" t="s">
        <v>610</v>
      </c>
      <c r="AF458" s="391" t="s">
        <v>1385</v>
      </c>
      <c r="AG458" s="391">
        <f ca="1">SUMIF('Lançamento de Cabos'!AE:AK,Tabela1[[#This Row],[Tag do Cabo]],'Lançamento de Cabos'!AG:AG)</f>
        <v>0</v>
      </c>
      <c r="AH458" s="29">
        <f>IFERROR(VLOOKUP(Tabela1[[#This Row],[Tag do Cabo]],'Lançamento de Cabos'!AE:AK,7,0),0)</f>
        <v>0</v>
      </c>
      <c r="AI458" s="262" t="s">
        <v>1293</v>
      </c>
      <c r="AJ458" s="212" t="s">
        <v>1406</v>
      </c>
      <c r="AK458" s="46">
        <v>306860</v>
      </c>
      <c r="AL458" s="262"/>
    </row>
    <row r="459" spans="1:38" s="328" customFormat="1" ht="17.25" customHeight="1" x14ac:dyDescent="0.25">
      <c r="A459" s="323" t="s">
        <v>1407</v>
      </c>
      <c r="B459" s="391" t="s">
        <v>101</v>
      </c>
      <c r="C459" s="391" t="s">
        <v>92</v>
      </c>
      <c r="D459" s="391" t="s">
        <v>92</v>
      </c>
      <c r="E459" s="3" t="s">
        <v>1408</v>
      </c>
      <c r="F459" s="11" t="s">
        <v>92</v>
      </c>
      <c r="G459" s="391">
        <v>1</v>
      </c>
      <c r="H459" s="391">
        <v>220</v>
      </c>
      <c r="I459" s="391">
        <v>220</v>
      </c>
      <c r="J459" s="391" t="s">
        <v>103</v>
      </c>
      <c r="K459" s="262" t="s">
        <v>1409</v>
      </c>
      <c r="L459" s="262" t="s">
        <v>1410</v>
      </c>
      <c r="M459" s="22" t="s">
        <v>86</v>
      </c>
      <c r="N459" s="22" t="s">
        <v>86</v>
      </c>
      <c r="O459" s="22" t="s">
        <v>86</v>
      </c>
      <c r="P459" s="22" t="s">
        <v>86</v>
      </c>
      <c r="Q459" s="91" t="s">
        <v>304</v>
      </c>
      <c r="R459" s="391">
        <f>SUMIF('Lançamento de Cabos'!$B:$B,Tabela1[[#This Row],[Tag do Cabo]],'Lançamento de Cabos'!$C:$C)</f>
        <v>0</v>
      </c>
      <c r="S459" s="391">
        <f>VLOOKUP(Tabela1[[#This Row],[Tag do Cabo]],'Diagramas Ligações'!A:V,14,0)</f>
        <v>0</v>
      </c>
      <c r="T459" s="262" t="s">
        <v>305</v>
      </c>
      <c r="U459" s="391">
        <v>2</v>
      </c>
      <c r="V459" s="391" t="s">
        <v>107</v>
      </c>
      <c r="W459" s="391" t="s">
        <v>903</v>
      </c>
      <c r="X459" s="32">
        <v>44177</v>
      </c>
      <c r="Y459" s="32">
        <v>44207</v>
      </c>
      <c r="Z459" s="338" t="s">
        <v>1411</v>
      </c>
      <c r="AA459" s="45"/>
      <c r="AB459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C459" s="262"/>
      <c r="AD459" s="391">
        <f>IF(Tabela1[[#This Row],[Qtde. Lançada]]&gt;Tabela1[[#This Row],[Comprimento Total]],Tabela1[[#This Row],[Qtde. Lançada]],Tabela1[[#This Row],[Comprimento Total]])</f>
        <v>220</v>
      </c>
      <c r="AE459" s="262" t="s">
        <v>156</v>
      </c>
      <c r="AF459" s="391" t="s">
        <v>1412</v>
      </c>
      <c r="AG459" s="391">
        <f ca="1">SUMIF('Lançamento de Cabos'!AE:AK,Tabela1[[#This Row],[Tag do Cabo]],'Lançamento de Cabos'!AG:AG)</f>
        <v>0</v>
      </c>
      <c r="AH459" s="29">
        <f>IFERROR(VLOOKUP(Tabela1[[#This Row],[Tag do Cabo]],'Lançamento de Cabos'!AE:AK,7,0),0)</f>
        <v>0</v>
      </c>
      <c r="AI459" s="262" t="s">
        <v>1269</v>
      </c>
      <c r="AJ459" s="212" t="s">
        <v>92</v>
      </c>
      <c r="AK459" s="46">
        <v>3185822</v>
      </c>
      <c r="AL459" s="262"/>
    </row>
    <row r="460" spans="1:38" s="328" customFormat="1" x14ac:dyDescent="0.25">
      <c r="A460" s="168" t="s">
        <v>1413</v>
      </c>
      <c r="B460" s="391" t="s">
        <v>37</v>
      </c>
      <c r="C460" s="391">
        <v>13800</v>
      </c>
      <c r="D460" s="391" t="s">
        <v>120</v>
      </c>
      <c r="E460" s="3" t="s">
        <v>121</v>
      </c>
      <c r="F460" s="11">
        <v>150</v>
      </c>
      <c r="G460" s="391">
        <v>1</v>
      </c>
      <c r="H460" s="391">
        <v>110</v>
      </c>
      <c r="I460" s="391">
        <v>1980</v>
      </c>
      <c r="J460" s="391" t="s">
        <v>1414</v>
      </c>
      <c r="K460" s="262" t="s">
        <v>1415</v>
      </c>
      <c r="L460" s="262" t="s">
        <v>1416</v>
      </c>
      <c r="M460" s="22" t="s">
        <v>85</v>
      </c>
      <c r="N460" s="22" t="s">
        <v>86</v>
      </c>
      <c r="O460" s="391" t="s">
        <v>85</v>
      </c>
      <c r="P460" s="391" t="s">
        <v>85</v>
      </c>
      <c r="Q460" s="391" t="s">
        <v>124</v>
      </c>
      <c r="R460" s="23">
        <f>SUMIF('Lançamento de Cabos'!$B:$B,Tabela1[[#This Row],[Tag do Cabo]],'Lançamento de Cabos'!$C:$C)</f>
        <v>0</v>
      </c>
      <c r="S460" s="391">
        <f>VLOOKUP(Tabela1[[#This Row],[Tag do Cabo]],'Diagramas Ligações'!A:V,14,0)</f>
        <v>36</v>
      </c>
      <c r="T460" s="262" t="s">
        <v>88</v>
      </c>
      <c r="U460" s="391">
        <v>5</v>
      </c>
      <c r="V460" s="391"/>
      <c r="W460" s="391" t="s">
        <v>89</v>
      </c>
      <c r="X460" s="32">
        <v>44177</v>
      </c>
      <c r="Y460" s="32">
        <v>44218</v>
      </c>
      <c r="Z460" s="31" t="s">
        <v>125</v>
      </c>
      <c r="AA460" s="45"/>
      <c r="AB46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Pend. Compra</v>
      </c>
      <c r="AC460" s="262"/>
      <c r="AD460" s="391">
        <f>IF(Tabela1[[#This Row],[Qtde. Lançada]]&gt;Tabela1[[#This Row],[Comprimento Total]],Tabela1[[#This Row],[Qtde. Lançada]],Tabela1[[#This Row],[Comprimento Total]])</f>
        <v>1980</v>
      </c>
      <c r="AE460" s="391" t="s">
        <v>92</v>
      </c>
      <c r="AF460" s="391" t="s">
        <v>1417</v>
      </c>
      <c r="AG460" s="391">
        <f ca="1">SUMIF('Lançamento de Cabos'!AE:AK,Tabela1[[#This Row],[Tag do Cabo]],'Lançamento de Cabos'!AG:AG)</f>
        <v>0</v>
      </c>
      <c r="AH460" s="29">
        <f>IFERROR(VLOOKUP(Tabela1[[#This Row],[Tag do Cabo]],'Lançamento de Cabos'!AE:AK,7,0),0)</f>
        <v>0</v>
      </c>
      <c r="AI460" s="262" t="s">
        <v>94</v>
      </c>
      <c r="AJ460" s="212" t="s">
        <v>126</v>
      </c>
      <c r="AK460" s="46">
        <v>919525</v>
      </c>
      <c r="AL460" s="262"/>
    </row>
    <row r="461" spans="1:38" s="328" customFormat="1" x14ac:dyDescent="0.25">
      <c r="A461" s="168" t="s">
        <v>1418</v>
      </c>
      <c r="B461" s="391" t="s">
        <v>101</v>
      </c>
      <c r="C461" s="391" t="s">
        <v>92</v>
      </c>
      <c r="D461" s="391" t="s">
        <v>92</v>
      </c>
      <c r="E461" s="3" t="s">
        <v>581</v>
      </c>
      <c r="F461" s="11" t="s">
        <v>92</v>
      </c>
      <c r="G461" s="391">
        <v>1</v>
      </c>
      <c r="H461" s="391">
        <v>800</v>
      </c>
      <c r="I461" s="391">
        <v>800</v>
      </c>
      <c r="J461" s="391" t="s">
        <v>103</v>
      </c>
      <c r="K461" s="262" t="s">
        <v>1188</v>
      </c>
      <c r="L461" s="262" t="s">
        <v>1189</v>
      </c>
      <c r="M461" s="22" t="s">
        <v>86</v>
      </c>
      <c r="N461" s="22" t="s">
        <v>86</v>
      </c>
      <c r="O461" s="22" t="s">
        <v>86</v>
      </c>
      <c r="P461" s="22" t="s">
        <v>86</v>
      </c>
      <c r="Q461" s="391" t="s">
        <v>583</v>
      </c>
      <c r="R461" s="23">
        <f>SUMIF('Lançamento de Cabos'!$B:$B,Tabela1[[#This Row],[Tag do Cabo]],'Lançamento de Cabos'!$C:$C)</f>
        <v>600</v>
      </c>
      <c r="S461" s="23">
        <f>VLOOKUP(Tabela1[[#This Row],[Tag do Cabo]],'Diagramas Ligações'!A:V,14,0)</f>
        <v>8</v>
      </c>
      <c r="T461" s="262" t="s">
        <v>88</v>
      </c>
      <c r="U461" s="391">
        <v>5</v>
      </c>
      <c r="V461" s="391" t="s">
        <v>107</v>
      </c>
      <c r="W461" s="391" t="s">
        <v>92</v>
      </c>
      <c r="X461" s="32">
        <v>44246</v>
      </c>
      <c r="Y461" s="32">
        <v>44249</v>
      </c>
      <c r="Z461" s="3" t="s">
        <v>1419</v>
      </c>
      <c r="AA461" s="45">
        <v>186</v>
      </c>
      <c r="AB46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C461" s="262"/>
      <c r="AD461" s="23">
        <f>IF(Tabela1[[#This Row],[Qtde. Lançada]]&gt;Tabela1[[#This Row],[Comprimento Total]],Tabela1[[#This Row],[Qtde. Lançada]],Tabela1[[#This Row],[Comprimento Total]])</f>
        <v>800</v>
      </c>
      <c r="AE461" s="262" t="s">
        <v>156</v>
      </c>
      <c r="AF461" s="391" t="s">
        <v>1185</v>
      </c>
      <c r="AG461" s="23">
        <f ca="1">SUMIF('Lançamento de Cabos'!AE:AK,Tabela1[[#This Row],[Tag do Cabo]],'Lançamento de Cabos'!AG:AG)</f>
        <v>0</v>
      </c>
      <c r="AH461" s="29">
        <f>IFERROR(VLOOKUP(Tabela1[[#This Row],[Tag do Cabo]],'Lançamento de Cabos'!AE:AK,7,0),0)</f>
        <v>0</v>
      </c>
      <c r="AI461" s="262" t="s">
        <v>98</v>
      </c>
      <c r="AJ461" s="212" t="s">
        <v>666</v>
      </c>
      <c r="AK461" s="46">
        <v>3056722</v>
      </c>
      <c r="AL461" s="262"/>
    </row>
    <row r="462" spans="1:38" x14ac:dyDescent="0.25">
      <c r="A462" s="168" t="s">
        <v>1420</v>
      </c>
      <c r="B462" s="391" t="s">
        <v>37</v>
      </c>
      <c r="C462" s="391">
        <v>120</v>
      </c>
      <c r="D462" s="391" t="s">
        <v>80</v>
      </c>
      <c r="E462" s="3" t="s">
        <v>281</v>
      </c>
      <c r="F462" s="11">
        <v>10</v>
      </c>
      <c r="G462" s="391">
        <v>1</v>
      </c>
      <c r="H462" s="391">
        <v>30</v>
      </c>
      <c r="I462" s="391">
        <v>30</v>
      </c>
      <c r="J462" s="391" t="s">
        <v>282</v>
      </c>
      <c r="K462" s="262" t="s">
        <v>196</v>
      </c>
      <c r="L462" s="262" t="s">
        <v>252</v>
      </c>
      <c r="M462" s="23" t="str">
        <f>IF(AND(C462&gt;1000,D462="8,7/15"),"---","Sim")</f>
        <v>Sim</v>
      </c>
      <c r="N462" s="22" t="s">
        <v>86</v>
      </c>
      <c r="O462" s="23" t="str">
        <f>"Sim"</f>
        <v>Sim</v>
      </c>
      <c r="P462" s="23" t="str">
        <f>IF(OR(C462&lt;1000,C462="-"),"---","Sim")</f>
        <v>---</v>
      </c>
      <c r="Q462" s="391" t="s">
        <v>284</v>
      </c>
      <c r="R462" s="23">
        <f>SUMIF('Lançamento de Cabos'!$B:$B,Tabela1[[#This Row],[Tag do Cabo]],'Lançamento de Cabos'!$C:$C)</f>
        <v>0</v>
      </c>
      <c r="S462" s="23">
        <f>VLOOKUP(Tabela1[[#This Row],[Tag do Cabo]],'Diagramas Ligações'!A:V,14,0)</f>
        <v>4</v>
      </c>
      <c r="T462" s="262" t="s">
        <v>88</v>
      </c>
      <c r="U462" s="391">
        <v>5</v>
      </c>
      <c r="V462" s="391" t="s">
        <v>107</v>
      </c>
      <c r="W462" s="391" t="s">
        <v>92</v>
      </c>
      <c r="X462" s="391"/>
      <c r="Y462" s="391"/>
      <c r="Z462" s="3"/>
      <c r="AA462" s="45"/>
      <c r="AB46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2" s="262"/>
      <c r="AD462" s="23">
        <f>IF(Tabela1[[#This Row],[Qtde. Lançada]]&gt;Tabela1[[#This Row],[Comprimento Total]],Tabela1[[#This Row],[Qtde. Lançada]],Tabela1[[#This Row],[Comprimento Total]])</f>
        <v>30</v>
      </c>
      <c r="AE462" s="391" t="s">
        <v>92</v>
      </c>
      <c r="AF462" s="391" t="s">
        <v>93</v>
      </c>
      <c r="AG462" s="23">
        <f ca="1">SUMIF('Lançamento de Cabos'!AE:AK,Tabela1[[#This Row],[Tag do Cabo]],'Lançamento de Cabos'!AG:AG)</f>
        <v>0</v>
      </c>
      <c r="AH462" s="28">
        <f>IFERROR(VLOOKUP(Tabela1[[#This Row],[Tag do Cabo]],'Lançamento de Cabos'!AE:AK,7,0),0)</f>
        <v>0</v>
      </c>
      <c r="AI462" s="262" t="s">
        <v>1421</v>
      </c>
      <c r="AJ462" s="212"/>
      <c r="AK462" s="46">
        <v>932805</v>
      </c>
      <c r="AL462" s="262" t="s">
        <v>1422</v>
      </c>
    </row>
    <row r="463" spans="1:38" x14ac:dyDescent="0.25">
      <c r="A463" s="168" t="s">
        <v>1423</v>
      </c>
      <c r="B463" s="391" t="s">
        <v>37</v>
      </c>
      <c r="C463" s="391">
        <v>120</v>
      </c>
      <c r="D463" s="391" t="s">
        <v>80</v>
      </c>
      <c r="E463" s="3" t="s">
        <v>281</v>
      </c>
      <c r="F463" s="11">
        <v>10</v>
      </c>
      <c r="G463" s="391">
        <v>1</v>
      </c>
      <c r="H463" s="391">
        <v>190</v>
      </c>
      <c r="I463" s="391">
        <v>190</v>
      </c>
      <c r="J463" s="391" t="s">
        <v>282</v>
      </c>
      <c r="K463" s="262" t="s">
        <v>252</v>
      </c>
      <c r="L463" s="262" t="s">
        <v>293</v>
      </c>
      <c r="M463" s="23" t="str">
        <f>IF(AND(C463&gt;1000,D463="8,7/15"),"---","Sim")</f>
        <v>Sim</v>
      </c>
      <c r="N463" s="22" t="s">
        <v>86</v>
      </c>
      <c r="O463" s="23" t="str">
        <f>"Sim"</f>
        <v>Sim</v>
      </c>
      <c r="P463" s="23" t="str">
        <f>IF(OR(C463&lt;1000,C463="-"),"---","Sim")</f>
        <v>---</v>
      </c>
      <c r="Q463" s="391" t="s">
        <v>284</v>
      </c>
      <c r="R463" s="23">
        <f>SUMIF('Lançamento de Cabos'!$B:$B,Tabela1[[#This Row],[Tag do Cabo]],'Lançamento de Cabos'!$C:$C)</f>
        <v>0</v>
      </c>
      <c r="S463" s="23">
        <f>VLOOKUP(Tabela1[[#This Row],[Tag do Cabo]],'Diagramas Ligações'!A:V,14,0)</f>
        <v>4</v>
      </c>
      <c r="T463" s="262" t="s">
        <v>88</v>
      </c>
      <c r="U463" s="391">
        <v>5</v>
      </c>
      <c r="V463" s="391" t="s">
        <v>107</v>
      </c>
      <c r="W463" s="391" t="s">
        <v>92</v>
      </c>
      <c r="X463" s="391"/>
      <c r="Y463" s="391"/>
      <c r="Z463" s="3"/>
      <c r="AA463" s="45"/>
      <c r="AB463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3" s="262"/>
      <c r="AD463" s="23">
        <f>IF(Tabela1[[#This Row],[Qtde. Lançada]]&gt;Tabela1[[#This Row],[Comprimento Total]],Tabela1[[#This Row],[Qtde. Lançada]],Tabela1[[#This Row],[Comprimento Total]])</f>
        <v>190</v>
      </c>
      <c r="AE463" s="391" t="s">
        <v>92</v>
      </c>
      <c r="AF463" s="391" t="s">
        <v>1424</v>
      </c>
      <c r="AG463" s="23">
        <f ca="1">SUMIF('Lançamento de Cabos'!AE:AK,Tabela1[[#This Row],[Tag do Cabo]],'Lançamento de Cabos'!AG:AG)</f>
        <v>0</v>
      </c>
      <c r="AH463" s="28">
        <f>IFERROR(VLOOKUP(Tabela1[[#This Row],[Tag do Cabo]],'Lançamento de Cabos'!AE:AK,7,0),0)</f>
        <v>0</v>
      </c>
      <c r="AI463" s="262" t="s">
        <v>1421</v>
      </c>
      <c r="AJ463" s="212"/>
      <c r="AK463" s="46">
        <v>932805</v>
      </c>
      <c r="AL463" s="262" t="s">
        <v>1422</v>
      </c>
    </row>
    <row r="464" spans="1:38" x14ac:dyDescent="0.25">
      <c r="A464" s="168" t="s">
        <v>1425</v>
      </c>
      <c r="B464" s="391" t="s">
        <v>37</v>
      </c>
      <c r="C464" s="391">
        <v>120</v>
      </c>
      <c r="D464" s="391" t="s">
        <v>80</v>
      </c>
      <c r="E464" s="3" t="s">
        <v>81</v>
      </c>
      <c r="F464" s="11">
        <v>4</v>
      </c>
      <c r="G464" s="391">
        <v>1</v>
      </c>
      <c r="H464" s="391">
        <v>30</v>
      </c>
      <c r="I464" s="391">
        <v>30</v>
      </c>
      <c r="J464" s="391" t="s">
        <v>235</v>
      </c>
      <c r="K464" s="262" t="s">
        <v>196</v>
      </c>
      <c r="L464" s="262" t="s">
        <v>252</v>
      </c>
      <c r="M464" s="23" t="str">
        <f t="shared" ref="M464:M465" si="15">IF(AND(C464&gt;1000,D464="8,7/15"),"---","Sim")</f>
        <v>Sim</v>
      </c>
      <c r="N464" s="22" t="s">
        <v>86</v>
      </c>
      <c r="O464" s="23" t="str">
        <f t="shared" ref="O464:O465" si="16">"Sim"</f>
        <v>Sim</v>
      </c>
      <c r="P464" s="23" t="str">
        <f t="shared" ref="P464:P465" si="17">IF(OR(C464&lt;1000,C464="-"),"---","Sim")</f>
        <v>---</v>
      </c>
      <c r="Q464" s="157" t="s">
        <v>87</v>
      </c>
      <c r="R464" s="23">
        <f>SUMIF('Lançamento de Cabos'!$B:$B,Tabela1[[#This Row],[Tag do Cabo]],'Lançamento de Cabos'!$C:$C)</f>
        <v>0</v>
      </c>
      <c r="S464" s="23">
        <f>VLOOKUP(Tabela1[[#This Row],[Tag do Cabo]],'Diagramas Ligações'!A:V,14,0)</f>
        <v>4</v>
      </c>
      <c r="T464" s="262" t="s">
        <v>88</v>
      </c>
      <c r="U464" s="391">
        <v>5</v>
      </c>
      <c r="V464" s="391" t="s">
        <v>107</v>
      </c>
      <c r="W464" s="391" t="s">
        <v>92</v>
      </c>
      <c r="X464" s="391"/>
      <c r="Y464" s="391"/>
      <c r="Z464" s="3"/>
      <c r="AA464" s="45"/>
      <c r="AB46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4" s="262"/>
      <c r="AD464" s="23">
        <f>IF(Tabela1[[#This Row],[Qtde. Lançada]]&gt;Tabela1[[#This Row],[Comprimento Total]],Tabela1[[#This Row],[Qtde. Lançada]],Tabela1[[#This Row],[Comprimento Total]])</f>
        <v>30</v>
      </c>
      <c r="AE464" s="391" t="s">
        <v>92</v>
      </c>
      <c r="AF464" s="391" t="s">
        <v>93</v>
      </c>
      <c r="AG464" s="23">
        <f ca="1">SUMIF('Lançamento de Cabos'!AE:AK,Tabela1[[#This Row],[Tag do Cabo]],'Lançamento de Cabos'!AG:AG)</f>
        <v>0</v>
      </c>
      <c r="AH464" s="28">
        <f>IFERROR(VLOOKUP(Tabela1[[#This Row],[Tag do Cabo]],'Lançamento de Cabos'!AE:AK,7,0),0)</f>
        <v>0</v>
      </c>
      <c r="AI464" s="262" t="s">
        <v>1421</v>
      </c>
      <c r="AJ464" s="212"/>
      <c r="AK464" s="46">
        <v>3160463</v>
      </c>
      <c r="AL464" s="262" t="s">
        <v>1422</v>
      </c>
    </row>
    <row r="465" spans="1:38" x14ac:dyDescent="0.25">
      <c r="A465" s="168" t="s">
        <v>1426</v>
      </c>
      <c r="B465" s="391" t="s">
        <v>37</v>
      </c>
      <c r="C465" s="391">
        <v>120</v>
      </c>
      <c r="D465" s="391" t="s">
        <v>80</v>
      </c>
      <c r="E465" s="3" t="s">
        <v>81</v>
      </c>
      <c r="F465" s="11">
        <v>4</v>
      </c>
      <c r="G465" s="391">
        <v>1</v>
      </c>
      <c r="H465" s="391">
        <v>140</v>
      </c>
      <c r="I465" s="391">
        <v>140</v>
      </c>
      <c r="J465" s="391" t="s">
        <v>235</v>
      </c>
      <c r="K465" s="262" t="s">
        <v>252</v>
      </c>
      <c r="L465" s="262" t="s">
        <v>237</v>
      </c>
      <c r="M465" s="23" t="str">
        <f t="shared" si="15"/>
        <v>Sim</v>
      </c>
      <c r="N465" s="22" t="s">
        <v>86</v>
      </c>
      <c r="O465" s="23" t="str">
        <f t="shared" si="16"/>
        <v>Sim</v>
      </c>
      <c r="P465" s="23" t="str">
        <f t="shared" si="17"/>
        <v>---</v>
      </c>
      <c r="Q465" s="157" t="s">
        <v>87</v>
      </c>
      <c r="R465" s="23">
        <f>SUMIF('Lançamento de Cabos'!$B:$B,Tabela1[[#This Row],[Tag do Cabo]],'Lançamento de Cabos'!$C:$C)</f>
        <v>0</v>
      </c>
      <c r="S465" s="23">
        <f>VLOOKUP(Tabela1[[#This Row],[Tag do Cabo]],'Diagramas Ligações'!A:V,14,0)</f>
        <v>4</v>
      </c>
      <c r="T465" s="262" t="s">
        <v>88</v>
      </c>
      <c r="U465" s="391">
        <v>5</v>
      </c>
      <c r="V465" s="391" t="s">
        <v>107</v>
      </c>
      <c r="W465" s="391" t="s">
        <v>92</v>
      </c>
      <c r="X465" s="391"/>
      <c r="Y465" s="391"/>
      <c r="Z465" s="3"/>
      <c r="AA465" s="45"/>
      <c r="AB46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5" s="262"/>
      <c r="AD465" s="23">
        <f>IF(Tabela1[[#This Row],[Qtde. Lançada]]&gt;Tabela1[[#This Row],[Comprimento Total]],Tabela1[[#This Row],[Qtde. Lançada]],Tabela1[[#This Row],[Comprimento Total]])</f>
        <v>140</v>
      </c>
      <c r="AE465" s="391" t="s">
        <v>92</v>
      </c>
      <c r="AF465" s="391" t="s">
        <v>1427</v>
      </c>
      <c r="AG465" s="23">
        <f ca="1">SUMIF('Lançamento de Cabos'!AE:AK,Tabela1[[#This Row],[Tag do Cabo]],'Lançamento de Cabos'!AG:AG)</f>
        <v>0</v>
      </c>
      <c r="AH465" s="28">
        <f>IFERROR(VLOOKUP(Tabela1[[#This Row],[Tag do Cabo]],'Lançamento de Cabos'!AE:AK,7,0),0)</f>
        <v>0</v>
      </c>
      <c r="AI465" s="262" t="s">
        <v>1421</v>
      </c>
      <c r="AJ465" s="212"/>
      <c r="AK465" s="46">
        <v>3160463</v>
      </c>
      <c r="AL465" s="262" t="s">
        <v>1422</v>
      </c>
    </row>
    <row r="466" spans="1:38" x14ac:dyDescent="0.25">
      <c r="A466" s="168" t="s">
        <v>1428</v>
      </c>
      <c r="B466" s="391" t="s">
        <v>37</v>
      </c>
      <c r="C466" s="391">
        <v>120</v>
      </c>
      <c r="D466" s="391" t="s">
        <v>80</v>
      </c>
      <c r="E466" s="3" t="s">
        <v>281</v>
      </c>
      <c r="F466" s="11">
        <v>10</v>
      </c>
      <c r="G466" s="391">
        <v>1</v>
      </c>
      <c r="H466" s="391">
        <v>30</v>
      </c>
      <c r="I466" s="391">
        <v>30</v>
      </c>
      <c r="J466" s="391" t="s">
        <v>282</v>
      </c>
      <c r="K466" s="262" t="s">
        <v>196</v>
      </c>
      <c r="L466" s="262" t="s">
        <v>252</v>
      </c>
      <c r="M466" s="23" t="str">
        <f t="shared" ref="M466:M467" si="18">IF(AND(C466&gt;1000,D466="8,7/15"),"---","Sim")</f>
        <v>Sim</v>
      </c>
      <c r="N466" s="22" t="s">
        <v>86</v>
      </c>
      <c r="O466" s="23" t="str">
        <f t="shared" ref="O466:O467" si="19">"Sim"</f>
        <v>Sim</v>
      </c>
      <c r="P466" s="23" t="str">
        <f t="shared" ref="P466:P467" si="20">IF(OR(C466&lt;1000,C466="-"),"---","Sim")</f>
        <v>---</v>
      </c>
      <c r="Q466" s="157" t="s">
        <v>284</v>
      </c>
      <c r="R466" s="23">
        <f>SUMIF('Lançamento de Cabos'!$B:$B,Tabela1[[#This Row],[Tag do Cabo]],'Lançamento de Cabos'!$C:$C)</f>
        <v>0</v>
      </c>
      <c r="S466" s="23">
        <f>VLOOKUP(Tabela1[[#This Row],[Tag do Cabo]],'Diagramas Ligações'!A:V,14,0)</f>
        <v>4</v>
      </c>
      <c r="T466" s="262" t="s">
        <v>88</v>
      </c>
      <c r="U466" s="391">
        <v>5</v>
      </c>
      <c r="V466" s="391" t="s">
        <v>107</v>
      </c>
      <c r="W466" s="391" t="s">
        <v>92</v>
      </c>
      <c r="X466" s="391"/>
      <c r="Y466" s="391"/>
      <c r="Z466" s="3"/>
      <c r="AA466" s="45"/>
      <c r="AB46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6" s="262"/>
      <c r="AD466" s="23">
        <f>IF(Tabela1[[#This Row],[Qtde. Lançada]]&gt;Tabela1[[#This Row],[Comprimento Total]],Tabela1[[#This Row],[Qtde. Lançada]],Tabela1[[#This Row],[Comprimento Total]])</f>
        <v>30</v>
      </c>
      <c r="AE466" s="391" t="s">
        <v>92</v>
      </c>
      <c r="AF466" s="391" t="s">
        <v>93</v>
      </c>
      <c r="AG466" s="23">
        <f ca="1">SUMIF('Lançamento de Cabos'!AE:AK,Tabela1[[#This Row],[Tag do Cabo]],'Lançamento de Cabos'!AG:AG)</f>
        <v>0</v>
      </c>
      <c r="AH466" s="28">
        <f>IFERROR(VLOOKUP(Tabela1[[#This Row],[Tag do Cabo]],'Lançamento de Cabos'!AE:AK,7,0),0)</f>
        <v>0</v>
      </c>
      <c r="AI466" s="262" t="s">
        <v>1421</v>
      </c>
      <c r="AJ466" s="212"/>
      <c r="AK466" s="46">
        <v>932805</v>
      </c>
      <c r="AL466" s="262" t="s">
        <v>1422</v>
      </c>
    </row>
    <row r="467" spans="1:38" x14ac:dyDescent="0.25">
      <c r="A467" s="168" t="s">
        <v>1429</v>
      </c>
      <c r="B467" s="391" t="s">
        <v>37</v>
      </c>
      <c r="C467" s="391">
        <v>120</v>
      </c>
      <c r="D467" s="391" t="s">
        <v>80</v>
      </c>
      <c r="E467" s="3" t="s">
        <v>281</v>
      </c>
      <c r="F467" s="11">
        <v>10</v>
      </c>
      <c r="G467" s="391">
        <v>1</v>
      </c>
      <c r="H467" s="391">
        <v>190</v>
      </c>
      <c r="I467" s="391">
        <v>190</v>
      </c>
      <c r="J467" s="391" t="s">
        <v>282</v>
      </c>
      <c r="K467" s="262" t="s">
        <v>252</v>
      </c>
      <c r="L467" s="262" t="s">
        <v>283</v>
      </c>
      <c r="M467" s="23" t="str">
        <f t="shared" si="18"/>
        <v>Sim</v>
      </c>
      <c r="N467" s="22" t="s">
        <v>86</v>
      </c>
      <c r="O467" s="23" t="str">
        <f t="shared" si="19"/>
        <v>Sim</v>
      </c>
      <c r="P467" s="23" t="str">
        <f t="shared" si="20"/>
        <v>---</v>
      </c>
      <c r="Q467" s="157" t="s">
        <v>284</v>
      </c>
      <c r="R467" s="23">
        <f>SUMIF('Lançamento de Cabos'!$B:$B,Tabela1[[#This Row],[Tag do Cabo]],'Lançamento de Cabos'!$C:$C)</f>
        <v>0</v>
      </c>
      <c r="S467" s="23">
        <f>VLOOKUP(Tabela1[[#This Row],[Tag do Cabo]],'Diagramas Ligações'!A:V,14,0)</f>
        <v>4</v>
      </c>
      <c r="T467" s="262" t="s">
        <v>88</v>
      </c>
      <c r="U467" s="391">
        <v>5</v>
      </c>
      <c r="V467" s="391" t="s">
        <v>107</v>
      </c>
      <c r="W467" s="391" t="s">
        <v>92</v>
      </c>
      <c r="X467" s="391"/>
      <c r="Y467" s="391"/>
      <c r="Z467" s="3"/>
      <c r="AA467" s="45"/>
      <c r="AB46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7" s="262"/>
      <c r="AD467" s="23">
        <f>IF(Tabela1[[#This Row],[Qtde. Lançada]]&gt;Tabela1[[#This Row],[Comprimento Total]],Tabela1[[#This Row],[Qtde. Lançada]],Tabela1[[#This Row],[Comprimento Total]])</f>
        <v>190</v>
      </c>
      <c r="AE467" s="391" t="s">
        <v>92</v>
      </c>
      <c r="AF467" s="391" t="s">
        <v>1430</v>
      </c>
      <c r="AG467" s="23">
        <f ca="1">SUMIF('Lançamento de Cabos'!AE:AK,Tabela1[[#This Row],[Tag do Cabo]],'Lançamento de Cabos'!AG:AG)</f>
        <v>0</v>
      </c>
      <c r="AH467" s="28">
        <f>IFERROR(VLOOKUP(Tabela1[[#This Row],[Tag do Cabo]],'Lançamento de Cabos'!AE:AK,7,0),0)</f>
        <v>0</v>
      </c>
      <c r="AI467" s="262" t="s">
        <v>1421</v>
      </c>
      <c r="AJ467" s="212"/>
      <c r="AK467" s="46">
        <v>932805</v>
      </c>
      <c r="AL467" s="262" t="s">
        <v>1422</v>
      </c>
    </row>
    <row r="468" spans="1:38" x14ac:dyDescent="0.25">
      <c r="A468" s="168" t="s">
        <v>1431</v>
      </c>
      <c r="B468" s="391" t="s">
        <v>37</v>
      </c>
      <c r="C468" s="391">
        <v>120</v>
      </c>
      <c r="D468" s="391" t="s">
        <v>80</v>
      </c>
      <c r="E468" s="3" t="s">
        <v>268</v>
      </c>
      <c r="F468" s="11">
        <v>6</v>
      </c>
      <c r="G468" s="391">
        <v>1</v>
      </c>
      <c r="H468" s="391">
        <v>30</v>
      </c>
      <c r="I468" s="391">
        <v>30</v>
      </c>
      <c r="J468" s="391" t="s">
        <v>264</v>
      </c>
      <c r="K468" s="262" t="s">
        <v>196</v>
      </c>
      <c r="L468" s="262" t="s">
        <v>252</v>
      </c>
      <c r="M468" s="23" t="str">
        <f t="shared" ref="M468:M469" si="21">IF(AND(C468&gt;1000,D468="8,7/15"),"---","Sim")</f>
        <v>Sim</v>
      </c>
      <c r="N468" s="22" t="s">
        <v>86</v>
      </c>
      <c r="O468" s="23" t="str">
        <f t="shared" ref="O468:O470" si="22">"Sim"</f>
        <v>Sim</v>
      </c>
      <c r="P468" s="23" t="str">
        <f t="shared" ref="P468:P469" si="23">IF(OR(C468&lt;1000,C468="-"),"---","Sim")</f>
        <v>---</v>
      </c>
      <c r="Q468" s="157" t="s">
        <v>270</v>
      </c>
      <c r="R468" s="23">
        <f>SUMIF('Lançamento de Cabos'!$B:$B,Tabela1[[#This Row],[Tag do Cabo]],'Lançamento de Cabos'!$C:$C)</f>
        <v>0</v>
      </c>
      <c r="S468" s="23">
        <f>VLOOKUP(Tabela1[[#This Row],[Tag do Cabo]],'Diagramas Ligações'!A:V,14,0)</f>
        <v>4</v>
      </c>
      <c r="T468" s="262" t="s">
        <v>88</v>
      </c>
      <c r="U468" s="391">
        <v>5</v>
      </c>
      <c r="V468" s="391" t="s">
        <v>107</v>
      </c>
      <c r="W468" s="391" t="s">
        <v>92</v>
      </c>
      <c r="X468" s="391"/>
      <c r="Y468" s="391"/>
      <c r="Z468" s="3"/>
      <c r="AA468" s="45"/>
      <c r="AB46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8" s="262"/>
      <c r="AD468" s="23">
        <f>IF(Tabela1[[#This Row],[Qtde. Lançada]]&gt;Tabela1[[#This Row],[Comprimento Total]],Tabela1[[#This Row],[Qtde. Lançada]],Tabela1[[#This Row],[Comprimento Total]])</f>
        <v>30</v>
      </c>
      <c r="AE468" s="391" t="s">
        <v>92</v>
      </c>
      <c r="AF468" s="391" t="s">
        <v>93</v>
      </c>
      <c r="AG468" s="23">
        <f ca="1">SUMIF('Lançamento de Cabos'!AE:AK,Tabela1[[#This Row],[Tag do Cabo]],'Lançamento de Cabos'!AG:AG)</f>
        <v>0</v>
      </c>
      <c r="AH468" s="28">
        <f>IFERROR(VLOOKUP(Tabela1[[#This Row],[Tag do Cabo]],'Lançamento de Cabos'!AE:AK,7,0),0)</f>
        <v>0</v>
      </c>
      <c r="AI468" s="262" t="s">
        <v>1421</v>
      </c>
      <c r="AJ468" s="212"/>
      <c r="AK468" s="46">
        <v>330264</v>
      </c>
      <c r="AL468" s="262" t="s">
        <v>1422</v>
      </c>
    </row>
    <row r="469" spans="1:38" x14ac:dyDescent="0.25">
      <c r="A469" s="168" t="s">
        <v>1432</v>
      </c>
      <c r="B469" s="391" t="s">
        <v>37</v>
      </c>
      <c r="C469" s="391">
        <v>120</v>
      </c>
      <c r="D469" s="391" t="s">
        <v>80</v>
      </c>
      <c r="E469" s="3" t="s">
        <v>268</v>
      </c>
      <c r="F469" s="11">
        <v>6</v>
      </c>
      <c r="G469" s="391">
        <v>1</v>
      </c>
      <c r="H469" s="391">
        <v>160</v>
      </c>
      <c r="I469" s="391">
        <v>160</v>
      </c>
      <c r="J469" s="391" t="s">
        <v>264</v>
      </c>
      <c r="K469" s="262" t="s">
        <v>252</v>
      </c>
      <c r="L469" s="262" t="s">
        <v>269</v>
      </c>
      <c r="M469" s="23" t="str">
        <f t="shared" si="21"/>
        <v>Sim</v>
      </c>
      <c r="N469" s="22" t="s">
        <v>86</v>
      </c>
      <c r="O469" s="23" t="str">
        <f t="shared" si="22"/>
        <v>Sim</v>
      </c>
      <c r="P469" s="23" t="str">
        <f t="shared" si="23"/>
        <v>---</v>
      </c>
      <c r="Q469" s="157" t="s">
        <v>270</v>
      </c>
      <c r="R469" s="23">
        <f>SUMIF('Lançamento de Cabos'!$B:$B,Tabela1[[#This Row],[Tag do Cabo]],'Lançamento de Cabos'!$C:$C)</f>
        <v>0</v>
      </c>
      <c r="S469" s="23">
        <f>VLOOKUP(Tabela1[[#This Row],[Tag do Cabo]],'Diagramas Ligações'!A:V,14,0)</f>
        <v>4</v>
      </c>
      <c r="T469" s="262" t="s">
        <v>88</v>
      </c>
      <c r="U469" s="391">
        <v>5</v>
      </c>
      <c r="V469" s="391" t="s">
        <v>107</v>
      </c>
      <c r="W469" s="391" t="s">
        <v>92</v>
      </c>
      <c r="X469" s="391"/>
      <c r="Y469" s="391"/>
      <c r="Z469" s="3"/>
      <c r="AA469" s="45"/>
      <c r="AB46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69" s="262"/>
      <c r="AD469" s="23">
        <f>IF(Tabela1[[#This Row],[Qtde. Lançada]]&gt;Tabela1[[#This Row],[Comprimento Total]],Tabela1[[#This Row],[Qtde. Lançada]],Tabela1[[#This Row],[Comprimento Total]])</f>
        <v>160</v>
      </c>
      <c r="AE469" s="391" t="s">
        <v>92</v>
      </c>
      <c r="AF469" s="391" t="s">
        <v>1433</v>
      </c>
      <c r="AG469" s="23">
        <f ca="1">SUMIF('Lançamento de Cabos'!AE:AK,Tabela1[[#This Row],[Tag do Cabo]],'Lançamento de Cabos'!AG:AG)</f>
        <v>0</v>
      </c>
      <c r="AH469" s="28">
        <f>IFERROR(VLOOKUP(Tabela1[[#This Row],[Tag do Cabo]],'Lançamento de Cabos'!AE:AK,7,0),0)</f>
        <v>0</v>
      </c>
      <c r="AI469" s="262" t="s">
        <v>1421</v>
      </c>
      <c r="AJ469" s="212"/>
      <c r="AK469" s="46">
        <v>330264</v>
      </c>
      <c r="AL469" s="262" t="s">
        <v>1422</v>
      </c>
    </row>
    <row r="470" spans="1:38" x14ac:dyDescent="0.25">
      <c r="A470" s="168" t="s">
        <v>1434</v>
      </c>
      <c r="B470" s="391" t="s">
        <v>37</v>
      </c>
      <c r="C470" s="391">
        <v>125</v>
      </c>
      <c r="D470" s="391" t="s">
        <v>80</v>
      </c>
      <c r="E470" s="3" t="s">
        <v>81</v>
      </c>
      <c r="F470" s="11">
        <v>4</v>
      </c>
      <c r="G470" s="391">
        <v>1</v>
      </c>
      <c r="H470" s="391">
        <v>20</v>
      </c>
      <c r="I470" s="391">
        <v>20</v>
      </c>
      <c r="J470" s="391" t="s">
        <v>82</v>
      </c>
      <c r="K470" s="262" t="s">
        <v>1435</v>
      </c>
      <c r="L470" s="262" t="s">
        <v>1436</v>
      </c>
      <c r="M470" s="23" t="str">
        <f t="shared" ref="M470:M478" si="24">IF(AND(C470&gt;1000,D470="8,7/15"),"---","Sim")</f>
        <v>Sim</v>
      </c>
      <c r="N470" s="22" t="s">
        <v>86</v>
      </c>
      <c r="O470" s="23" t="str">
        <f t="shared" si="22"/>
        <v>Sim</v>
      </c>
      <c r="P470" s="23" t="str">
        <f t="shared" ref="P470:P478" si="25">IF(OR(C470&lt;1000,C470="-"),"---","Sim")</f>
        <v>---</v>
      </c>
      <c r="Q470" s="157" t="s">
        <v>87</v>
      </c>
      <c r="R470" s="23">
        <f>SUMIF('Lançamento de Cabos'!$B:$B,Tabela1[[#This Row],[Tag do Cabo]],'Lançamento de Cabos'!$C:$C)</f>
        <v>0</v>
      </c>
      <c r="S470" s="23">
        <f>VLOOKUP(Tabela1[[#This Row],[Tag do Cabo]],'Diagramas Ligações'!A:V,14,0)</f>
        <v>4</v>
      </c>
      <c r="T470" s="262" t="s">
        <v>88</v>
      </c>
      <c r="U470" s="391">
        <v>5</v>
      </c>
      <c r="V470" s="391" t="s">
        <v>107</v>
      </c>
      <c r="W470" s="391" t="s">
        <v>92</v>
      </c>
      <c r="X470" s="391"/>
      <c r="Y470" s="391"/>
      <c r="Z470" s="3"/>
      <c r="AA470" s="45"/>
      <c r="AB47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0" s="262"/>
      <c r="AD470" s="23">
        <f>IF(Tabela1[[#This Row],[Qtde. Lançada]]&gt;Tabela1[[#This Row],[Comprimento Total]],Tabela1[[#This Row],[Qtde. Lançada]],Tabela1[[#This Row],[Comprimento Total]])</f>
        <v>20</v>
      </c>
      <c r="AE470" s="391" t="s">
        <v>92</v>
      </c>
      <c r="AF470" s="391" t="s">
        <v>93</v>
      </c>
      <c r="AG470" s="23">
        <f ca="1">SUMIF('Lançamento de Cabos'!AE:AK,Tabela1[[#This Row],[Tag do Cabo]],'Lançamento de Cabos'!AG:AG)</f>
        <v>0</v>
      </c>
      <c r="AH470" s="28">
        <f>IFERROR(VLOOKUP(Tabela1[[#This Row],[Tag do Cabo]],'Lançamento de Cabos'!AE:AK,7,0),0)</f>
        <v>0</v>
      </c>
      <c r="AI470" s="262" t="s">
        <v>1421</v>
      </c>
      <c r="AJ470" s="212"/>
      <c r="AK470" s="46">
        <v>330260</v>
      </c>
      <c r="AL470" s="262" t="s">
        <v>1422</v>
      </c>
    </row>
    <row r="471" spans="1:38" x14ac:dyDescent="0.25">
      <c r="A471" s="168" t="s">
        <v>1437</v>
      </c>
      <c r="B471" s="391" t="s">
        <v>101</v>
      </c>
      <c r="C471" s="391" t="s">
        <v>92</v>
      </c>
      <c r="D471" s="391" t="s">
        <v>92</v>
      </c>
      <c r="E471" s="3" t="s">
        <v>102</v>
      </c>
      <c r="F471" s="11" t="s">
        <v>92</v>
      </c>
      <c r="G471" s="391">
        <v>1</v>
      </c>
      <c r="H471" s="391">
        <v>20</v>
      </c>
      <c r="I471" s="391">
        <v>20</v>
      </c>
      <c r="J471" s="391" t="s">
        <v>103</v>
      </c>
      <c r="K471" s="262" t="s">
        <v>105</v>
      </c>
      <c r="L471" s="262" t="s">
        <v>155</v>
      </c>
      <c r="M471" s="23" t="str">
        <f t="shared" si="24"/>
        <v>Sim</v>
      </c>
      <c r="N471" s="23" t="str">
        <f t="shared" ref="N471:N478" si="26">"Sim"</f>
        <v>Sim</v>
      </c>
      <c r="O471" s="23" t="str">
        <f t="shared" ref="O471:O478" si="27">IF(OR(C471&lt;1000,C471="-"),"---","Sim")</f>
        <v>---</v>
      </c>
      <c r="P471" s="23" t="str">
        <f t="shared" si="25"/>
        <v>---</v>
      </c>
      <c r="Q471" s="391" t="s">
        <v>106</v>
      </c>
      <c r="R471" s="23">
        <f>SUMIF('Lançamento de Cabos'!$B:$B,Tabela1[[#This Row],[Tag do Cabo]],'Lançamento de Cabos'!$C:$C)</f>
        <v>0</v>
      </c>
      <c r="S471" s="23">
        <f>VLOOKUP(Tabela1[[#This Row],[Tag do Cabo]],'Diagramas Ligações'!A:V,14,0)</f>
        <v>2</v>
      </c>
      <c r="T471" s="262" t="s">
        <v>88</v>
      </c>
      <c r="U471" s="391">
        <v>5</v>
      </c>
      <c r="V471" s="391" t="s">
        <v>107</v>
      </c>
      <c r="W471" s="391" t="s">
        <v>92</v>
      </c>
      <c r="X471" s="391"/>
      <c r="Y471" s="391"/>
      <c r="Z471" s="3"/>
      <c r="AA471" s="45"/>
      <c r="AB47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1" s="262"/>
      <c r="AD471" s="23">
        <f>IF(Tabela1[[#This Row],[Qtde. Lançada]]&gt;Tabela1[[#This Row],[Comprimento Total]],Tabela1[[#This Row],[Qtde. Lançada]],Tabela1[[#This Row],[Comprimento Total]])</f>
        <v>20</v>
      </c>
      <c r="AE471" s="262" t="s">
        <v>156</v>
      </c>
      <c r="AF471" s="391" t="s">
        <v>1438</v>
      </c>
      <c r="AG471" s="23">
        <f ca="1">SUMIF('Lançamento de Cabos'!AE:AK,Tabela1[[#This Row],[Tag do Cabo]],'Lançamento de Cabos'!AG:AG)</f>
        <v>0</v>
      </c>
      <c r="AH471" s="28">
        <f>IFERROR(VLOOKUP(Tabela1[[#This Row],[Tag do Cabo]],'Lançamento de Cabos'!AE:AK,7,0),0)</f>
        <v>0</v>
      </c>
      <c r="AI471" s="262" t="s">
        <v>98</v>
      </c>
      <c r="AJ471" s="212" t="s">
        <v>110</v>
      </c>
      <c r="AK471" s="46">
        <v>3054429</v>
      </c>
      <c r="AL471" s="262" t="s">
        <v>1422</v>
      </c>
    </row>
    <row r="472" spans="1:38" x14ac:dyDescent="0.25">
      <c r="A472" s="168" t="s">
        <v>1439</v>
      </c>
      <c r="B472" s="391" t="s">
        <v>101</v>
      </c>
      <c r="C472" s="391" t="s">
        <v>92</v>
      </c>
      <c r="D472" s="391" t="s">
        <v>92</v>
      </c>
      <c r="E472" s="3" t="s">
        <v>581</v>
      </c>
      <c r="F472" s="11" t="s">
        <v>92</v>
      </c>
      <c r="G472" s="391">
        <v>1</v>
      </c>
      <c r="H472" s="391">
        <v>70</v>
      </c>
      <c r="I472" s="391">
        <v>70</v>
      </c>
      <c r="J472" s="391" t="s">
        <v>103</v>
      </c>
      <c r="K472" s="262" t="s">
        <v>1440</v>
      </c>
      <c r="L472" s="262" t="s">
        <v>105</v>
      </c>
      <c r="M472" s="23" t="str">
        <f t="shared" si="24"/>
        <v>Sim</v>
      </c>
      <c r="N472" s="23" t="str">
        <f t="shared" si="26"/>
        <v>Sim</v>
      </c>
      <c r="O472" s="23" t="str">
        <f t="shared" si="27"/>
        <v>---</v>
      </c>
      <c r="P472" s="23" t="str">
        <f t="shared" si="25"/>
        <v>---</v>
      </c>
      <c r="Q472" s="391" t="s">
        <v>583</v>
      </c>
      <c r="R472" s="23">
        <f>SUMIF('Lançamento de Cabos'!$B:$B,Tabela1[[#This Row],[Tag do Cabo]],'Lançamento de Cabos'!$C:$C)</f>
        <v>0</v>
      </c>
      <c r="S472" s="23">
        <f>VLOOKUP(Tabela1[[#This Row],[Tag do Cabo]],'Diagramas Ligações'!A:V,14,0)</f>
        <v>8</v>
      </c>
      <c r="T472" s="262" t="s">
        <v>88</v>
      </c>
      <c r="U472" s="391">
        <v>5</v>
      </c>
      <c r="V472" s="391" t="s">
        <v>107</v>
      </c>
      <c r="W472" s="391" t="s">
        <v>92</v>
      </c>
      <c r="X472" s="391"/>
      <c r="Y472" s="391"/>
      <c r="Z472" s="3"/>
      <c r="AA472" s="45"/>
      <c r="AB47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2" s="262"/>
      <c r="AD472" s="23">
        <f>IF(Tabela1[[#This Row],[Qtde. Lançada]]&gt;Tabela1[[#This Row],[Comprimento Total]],Tabela1[[#This Row],[Qtde. Lançada]],Tabela1[[#This Row],[Comprimento Total]])</f>
        <v>70</v>
      </c>
      <c r="AE472" s="262" t="s">
        <v>156</v>
      </c>
      <c r="AF472" s="391" t="s">
        <v>1179</v>
      </c>
      <c r="AG472" s="23">
        <f ca="1">SUMIF('Lançamento de Cabos'!AE:AK,Tabela1[[#This Row],[Tag do Cabo]],'Lançamento de Cabos'!AG:AG)</f>
        <v>0</v>
      </c>
      <c r="AH472" s="28">
        <f>IFERROR(VLOOKUP(Tabela1[[#This Row],[Tag do Cabo]],'Lançamento de Cabos'!AE:AK,7,0),0)</f>
        <v>0</v>
      </c>
      <c r="AI472" s="262" t="s">
        <v>98</v>
      </c>
      <c r="AJ472" s="212" t="s">
        <v>590</v>
      </c>
      <c r="AK472" s="46">
        <v>3056722</v>
      </c>
      <c r="AL472" s="262" t="s">
        <v>1422</v>
      </c>
    </row>
    <row r="473" spans="1:38" x14ac:dyDescent="0.25">
      <c r="A473" s="168" t="s">
        <v>1441</v>
      </c>
      <c r="B473" s="391" t="s">
        <v>101</v>
      </c>
      <c r="C473" s="391" t="s">
        <v>92</v>
      </c>
      <c r="D473" s="391" t="s">
        <v>92</v>
      </c>
      <c r="E473" s="3" t="s">
        <v>581</v>
      </c>
      <c r="F473" s="11" t="s">
        <v>92</v>
      </c>
      <c r="G473" s="391">
        <v>1</v>
      </c>
      <c r="H473" s="391">
        <v>70</v>
      </c>
      <c r="I473" s="391">
        <v>70</v>
      </c>
      <c r="J473" s="391" t="s">
        <v>103</v>
      </c>
      <c r="K473" s="262" t="s">
        <v>1440</v>
      </c>
      <c r="L473" s="262" t="s">
        <v>105</v>
      </c>
      <c r="M473" s="23" t="str">
        <f t="shared" si="24"/>
        <v>Sim</v>
      </c>
      <c r="N473" s="23" t="str">
        <f t="shared" si="26"/>
        <v>Sim</v>
      </c>
      <c r="O473" s="23" t="str">
        <f t="shared" si="27"/>
        <v>---</v>
      </c>
      <c r="P473" s="23" t="str">
        <f t="shared" si="25"/>
        <v>---</v>
      </c>
      <c r="Q473" s="391" t="s">
        <v>583</v>
      </c>
      <c r="R473" s="23">
        <f>SUMIF('Lançamento de Cabos'!$B:$B,Tabela1[[#This Row],[Tag do Cabo]],'Lançamento de Cabos'!$C:$C)</f>
        <v>0</v>
      </c>
      <c r="S473" s="23">
        <f>VLOOKUP(Tabela1[[#This Row],[Tag do Cabo]],'Diagramas Ligações'!A:V,14,0)</f>
        <v>8</v>
      </c>
      <c r="T473" s="262" t="s">
        <v>88</v>
      </c>
      <c r="U473" s="391">
        <v>5</v>
      </c>
      <c r="V473" s="391" t="s">
        <v>107</v>
      </c>
      <c r="W473" s="391" t="s">
        <v>92</v>
      </c>
      <c r="X473" s="391"/>
      <c r="Y473" s="391"/>
      <c r="Z473" s="3"/>
      <c r="AA473" s="45"/>
      <c r="AB473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3" s="262"/>
      <c r="AD473" s="23">
        <f>IF(Tabela1[[#This Row],[Qtde. Lançada]]&gt;Tabela1[[#This Row],[Comprimento Total]],Tabela1[[#This Row],[Qtde. Lançada]],Tabela1[[#This Row],[Comprimento Total]])</f>
        <v>70</v>
      </c>
      <c r="AE473" s="262" t="s">
        <v>156</v>
      </c>
      <c r="AF473" s="391" t="s">
        <v>1179</v>
      </c>
      <c r="AG473" s="23">
        <f ca="1">SUMIF('Lançamento de Cabos'!AE:AK,Tabela1[[#This Row],[Tag do Cabo]],'Lançamento de Cabos'!AG:AG)</f>
        <v>0</v>
      </c>
      <c r="AH473" s="28">
        <f>IFERROR(VLOOKUP(Tabela1[[#This Row],[Tag do Cabo]],'Lançamento de Cabos'!AE:AK,7,0),0)</f>
        <v>0</v>
      </c>
      <c r="AI473" s="262" t="s">
        <v>98</v>
      </c>
      <c r="AJ473" s="212" t="s">
        <v>590</v>
      </c>
      <c r="AK473" s="46">
        <v>3056722</v>
      </c>
      <c r="AL473" s="262" t="s">
        <v>1422</v>
      </c>
    </row>
    <row r="474" spans="1:38" x14ac:dyDescent="0.25">
      <c r="A474" s="168" t="s">
        <v>1442</v>
      </c>
      <c r="B474" s="391" t="s">
        <v>101</v>
      </c>
      <c r="C474" s="391" t="s">
        <v>92</v>
      </c>
      <c r="D474" s="391" t="s">
        <v>92</v>
      </c>
      <c r="E474" s="3" t="s">
        <v>102</v>
      </c>
      <c r="F474" s="11" t="s">
        <v>92</v>
      </c>
      <c r="G474" s="391">
        <v>1</v>
      </c>
      <c r="H474" s="391">
        <v>40</v>
      </c>
      <c r="I474" s="391">
        <v>40</v>
      </c>
      <c r="J474" s="391" t="s">
        <v>103</v>
      </c>
      <c r="K474" s="262" t="s">
        <v>911</v>
      </c>
      <c r="L474" s="262" t="s">
        <v>105</v>
      </c>
      <c r="M474" s="23" t="str">
        <f t="shared" si="24"/>
        <v>Sim</v>
      </c>
      <c r="N474" s="23" t="str">
        <f t="shared" si="26"/>
        <v>Sim</v>
      </c>
      <c r="O474" s="23" t="str">
        <f t="shared" si="27"/>
        <v>---</v>
      </c>
      <c r="P474" s="23" t="str">
        <f t="shared" si="25"/>
        <v>---</v>
      </c>
      <c r="Q474" s="391" t="s">
        <v>106</v>
      </c>
      <c r="R474" s="23">
        <f>SUMIF('Lançamento de Cabos'!$B:$B,Tabela1[[#This Row],[Tag do Cabo]],'Lançamento de Cabos'!$C:$C)</f>
        <v>0</v>
      </c>
      <c r="S474" s="23">
        <f>VLOOKUP(Tabela1[[#This Row],[Tag do Cabo]],'Diagramas Ligações'!A:V,14,0)</f>
        <v>2</v>
      </c>
      <c r="T474" s="262" t="s">
        <v>88</v>
      </c>
      <c r="U474" s="391">
        <v>5</v>
      </c>
      <c r="V474" s="391" t="s">
        <v>107</v>
      </c>
      <c r="W474" s="391" t="s">
        <v>92</v>
      </c>
      <c r="X474" s="391"/>
      <c r="Y474" s="391"/>
      <c r="Z474" s="3"/>
      <c r="AA474" s="45"/>
      <c r="AB47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4" s="262"/>
      <c r="AD474" s="23">
        <f>IF(Tabela1[[#This Row],[Qtde. Lançada]]&gt;Tabela1[[#This Row],[Comprimento Total]],Tabela1[[#This Row],[Qtde. Lançada]],Tabela1[[#This Row],[Comprimento Total]])</f>
        <v>40</v>
      </c>
      <c r="AE474" s="262" t="s">
        <v>156</v>
      </c>
      <c r="AF474" s="391" t="s">
        <v>82</v>
      </c>
      <c r="AG474" s="23">
        <f ca="1">SUMIF('Lançamento de Cabos'!AE:AK,Tabela1[[#This Row],[Tag do Cabo]],'Lançamento de Cabos'!AG:AG)</f>
        <v>0</v>
      </c>
      <c r="AH474" s="28">
        <f>IFERROR(VLOOKUP(Tabela1[[#This Row],[Tag do Cabo]],'Lançamento de Cabos'!AE:AK,7,0),0)</f>
        <v>0</v>
      </c>
      <c r="AI474" s="262" t="s">
        <v>98</v>
      </c>
      <c r="AJ474" s="212" t="s">
        <v>110</v>
      </c>
      <c r="AK474" s="46">
        <v>3054429</v>
      </c>
      <c r="AL474" s="262" t="s">
        <v>1422</v>
      </c>
    </row>
    <row r="475" spans="1:38" x14ac:dyDescent="0.25">
      <c r="A475" s="168" t="s">
        <v>1443</v>
      </c>
      <c r="B475" s="391" t="s">
        <v>101</v>
      </c>
      <c r="C475" s="391" t="s">
        <v>92</v>
      </c>
      <c r="D475" s="391" t="s">
        <v>92</v>
      </c>
      <c r="E475" s="3" t="s">
        <v>102</v>
      </c>
      <c r="F475" s="11" t="s">
        <v>92</v>
      </c>
      <c r="G475" s="391">
        <v>1</v>
      </c>
      <c r="H475" s="391">
        <v>35</v>
      </c>
      <c r="I475" s="391">
        <v>35</v>
      </c>
      <c r="J475" s="391" t="s">
        <v>103</v>
      </c>
      <c r="K475" s="262" t="s">
        <v>911</v>
      </c>
      <c r="L475" s="262" t="s">
        <v>105</v>
      </c>
      <c r="M475" s="23" t="str">
        <f t="shared" si="24"/>
        <v>Sim</v>
      </c>
      <c r="N475" s="23" t="str">
        <f t="shared" si="26"/>
        <v>Sim</v>
      </c>
      <c r="O475" s="23" t="str">
        <f t="shared" si="27"/>
        <v>---</v>
      </c>
      <c r="P475" s="23" t="str">
        <f t="shared" si="25"/>
        <v>---</v>
      </c>
      <c r="Q475" s="391" t="s">
        <v>106</v>
      </c>
      <c r="R475" s="23">
        <f>SUMIF('Lançamento de Cabos'!$B:$B,Tabela1[[#This Row],[Tag do Cabo]],'Lançamento de Cabos'!$C:$C)</f>
        <v>0</v>
      </c>
      <c r="S475" s="23">
        <f>VLOOKUP(Tabela1[[#This Row],[Tag do Cabo]],'Diagramas Ligações'!A:V,14,0)</f>
        <v>2</v>
      </c>
      <c r="T475" s="262" t="s">
        <v>88</v>
      </c>
      <c r="U475" s="391">
        <v>5</v>
      </c>
      <c r="V475" s="391" t="s">
        <v>107</v>
      </c>
      <c r="W475" s="391" t="s">
        <v>92</v>
      </c>
      <c r="X475" s="391"/>
      <c r="Y475" s="391"/>
      <c r="Z475" s="3"/>
      <c r="AA475" s="45"/>
      <c r="AB47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5" s="262"/>
      <c r="AD475" s="23">
        <f>IF(Tabela1[[#This Row],[Qtde. Lançada]]&gt;Tabela1[[#This Row],[Comprimento Total]],Tabela1[[#This Row],[Qtde. Lançada]],Tabela1[[#This Row],[Comprimento Total]])</f>
        <v>35</v>
      </c>
      <c r="AE475" s="262" t="s">
        <v>156</v>
      </c>
      <c r="AF475" s="391" t="s">
        <v>82</v>
      </c>
      <c r="AG475" s="23">
        <f ca="1">SUMIF('Lançamento de Cabos'!AE:AK,Tabela1[[#This Row],[Tag do Cabo]],'Lançamento de Cabos'!AG:AG)</f>
        <v>0</v>
      </c>
      <c r="AH475" s="28">
        <f>IFERROR(VLOOKUP(Tabela1[[#This Row],[Tag do Cabo]],'Lançamento de Cabos'!AE:AK,7,0),0)</f>
        <v>0</v>
      </c>
      <c r="AI475" s="262" t="s">
        <v>98</v>
      </c>
      <c r="AJ475" s="212" t="s">
        <v>110</v>
      </c>
      <c r="AK475" s="46">
        <v>3054429</v>
      </c>
      <c r="AL475" s="262" t="s">
        <v>1422</v>
      </c>
    </row>
    <row r="476" spans="1:38" x14ac:dyDescent="0.25">
      <c r="A476" s="168" t="s">
        <v>1444</v>
      </c>
      <c r="B476" s="391" t="s">
        <v>101</v>
      </c>
      <c r="C476" s="391" t="s">
        <v>92</v>
      </c>
      <c r="D476" s="391" t="s">
        <v>92</v>
      </c>
      <c r="E476" s="3" t="s">
        <v>102</v>
      </c>
      <c r="F476" s="11" t="s">
        <v>92</v>
      </c>
      <c r="G476" s="391">
        <v>1</v>
      </c>
      <c r="H476" s="391">
        <v>28</v>
      </c>
      <c r="I476" s="391">
        <v>28</v>
      </c>
      <c r="J476" s="391" t="s">
        <v>103</v>
      </c>
      <c r="K476" s="262" t="s">
        <v>911</v>
      </c>
      <c r="L476" s="262" t="s">
        <v>105</v>
      </c>
      <c r="M476" s="23" t="str">
        <f t="shared" si="24"/>
        <v>Sim</v>
      </c>
      <c r="N476" s="23" t="str">
        <f t="shared" si="26"/>
        <v>Sim</v>
      </c>
      <c r="O476" s="23" t="str">
        <f t="shared" si="27"/>
        <v>---</v>
      </c>
      <c r="P476" s="23" t="str">
        <f t="shared" si="25"/>
        <v>---</v>
      </c>
      <c r="Q476" s="391" t="s">
        <v>106</v>
      </c>
      <c r="R476" s="23">
        <f>SUMIF('Lançamento de Cabos'!$B:$B,Tabela1[[#This Row],[Tag do Cabo]],'Lançamento de Cabos'!$C:$C)</f>
        <v>0</v>
      </c>
      <c r="S476" s="23">
        <f>VLOOKUP(Tabela1[[#This Row],[Tag do Cabo]],'Diagramas Ligações'!A:V,14,0)</f>
        <v>2</v>
      </c>
      <c r="T476" s="262" t="s">
        <v>88</v>
      </c>
      <c r="U476" s="391">
        <v>5</v>
      </c>
      <c r="V476" s="391" t="s">
        <v>107</v>
      </c>
      <c r="W476" s="391" t="s">
        <v>92</v>
      </c>
      <c r="X476" s="391"/>
      <c r="Y476" s="391"/>
      <c r="Z476" s="3"/>
      <c r="AA476" s="45"/>
      <c r="AB47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6" s="262"/>
      <c r="AD476" s="23">
        <f>IF(Tabela1[[#This Row],[Qtde. Lançada]]&gt;Tabela1[[#This Row],[Comprimento Total]],Tabela1[[#This Row],[Qtde. Lançada]],Tabela1[[#This Row],[Comprimento Total]])</f>
        <v>28</v>
      </c>
      <c r="AE476" s="262" t="s">
        <v>156</v>
      </c>
      <c r="AF476" s="391" t="s">
        <v>82</v>
      </c>
      <c r="AG476" s="23">
        <f ca="1">SUMIF('Lançamento de Cabos'!AE:AK,Tabela1[[#This Row],[Tag do Cabo]],'Lançamento de Cabos'!AG:AG)</f>
        <v>0</v>
      </c>
      <c r="AH476" s="28">
        <f>IFERROR(VLOOKUP(Tabela1[[#This Row],[Tag do Cabo]],'Lançamento de Cabos'!AE:AK,7,0),0)</f>
        <v>0</v>
      </c>
      <c r="AI476" s="262" t="s">
        <v>98</v>
      </c>
      <c r="AJ476" s="212" t="s">
        <v>110</v>
      </c>
      <c r="AK476" s="46">
        <v>3054429</v>
      </c>
      <c r="AL476" s="262" t="s">
        <v>1422</v>
      </c>
    </row>
    <row r="477" spans="1:38" x14ac:dyDescent="0.25">
      <c r="A477" s="168" t="s">
        <v>1445</v>
      </c>
      <c r="B477" s="391" t="s">
        <v>101</v>
      </c>
      <c r="C477" s="391" t="s">
        <v>92</v>
      </c>
      <c r="D477" s="391" t="s">
        <v>92</v>
      </c>
      <c r="E477" s="3" t="s">
        <v>581</v>
      </c>
      <c r="F477" s="11" t="s">
        <v>92</v>
      </c>
      <c r="G477" s="391">
        <v>1</v>
      </c>
      <c r="H477" s="391">
        <v>450</v>
      </c>
      <c r="I477" s="391">
        <v>450</v>
      </c>
      <c r="J477" s="391" t="s">
        <v>103</v>
      </c>
      <c r="K477" s="262" t="s">
        <v>1446</v>
      </c>
      <c r="L477" s="262" t="s">
        <v>582</v>
      </c>
      <c r="M477" s="23" t="str">
        <f t="shared" si="24"/>
        <v>Sim</v>
      </c>
      <c r="N477" s="23" t="str">
        <f t="shared" si="26"/>
        <v>Sim</v>
      </c>
      <c r="O477" s="23" t="str">
        <f t="shared" si="27"/>
        <v>---</v>
      </c>
      <c r="P477" s="23" t="str">
        <f t="shared" si="25"/>
        <v>---</v>
      </c>
      <c r="Q477" s="391" t="s">
        <v>583</v>
      </c>
      <c r="R477" s="23">
        <f>SUMIF('Lançamento de Cabos'!$B:$B,Tabela1[[#This Row],[Tag do Cabo]],'Lançamento de Cabos'!$C:$C)</f>
        <v>0</v>
      </c>
      <c r="S477" s="23">
        <f>VLOOKUP(Tabela1[[#This Row],[Tag do Cabo]],'Diagramas Ligações'!A:V,14,0)</f>
        <v>8</v>
      </c>
      <c r="T477" s="262" t="s">
        <v>88</v>
      </c>
      <c r="U477" s="391">
        <v>5</v>
      </c>
      <c r="V477" s="391" t="s">
        <v>107</v>
      </c>
      <c r="W477" s="391" t="s">
        <v>92</v>
      </c>
      <c r="X477" s="391"/>
      <c r="Y477" s="391"/>
      <c r="Z477" s="3"/>
      <c r="AA477" s="45"/>
      <c r="AB47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7" s="262"/>
      <c r="AD477" s="23">
        <f>IF(Tabela1[[#This Row],[Qtde. Lançada]]&gt;Tabela1[[#This Row],[Comprimento Total]],Tabela1[[#This Row],[Qtde. Lançada]],Tabela1[[#This Row],[Comprimento Total]])</f>
        <v>450</v>
      </c>
      <c r="AE477" s="262" t="s">
        <v>156</v>
      </c>
      <c r="AF477" s="391" t="s">
        <v>586</v>
      </c>
      <c r="AG477" s="23">
        <f ca="1">SUMIF('Lançamento de Cabos'!AE:AK,Tabela1[[#This Row],[Tag do Cabo]],'Lançamento de Cabos'!AG:AG)</f>
        <v>0</v>
      </c>
      <c r="AH477" s="28">
        <f>IFERROR(VLOOKUP(Tabela1[[#This Row],[Tag do Cabo]],'Lançamento de Cabos'!AE:AK,7,0),0)</f>
        <v>0</v>
      </c>
      <c r="AI477" s="262" t="s">
        <v>98</v>
      </c>
      <c r="AJ477" s="212" t="s">
        <v>110</v>
      </c>
      <c r="AK477" s="46">
        <v>3056722</v>
      </c>
      <c r="AL477" s="262" t="s">
        <v>1422</v>
      </c>
    </row>
    <row r="478" spans="1:38" x14ac:dyDescent="0.25">
      <c r="A478" s="168" t="s">
        <v>1447</v>
      </c>
      <c r="B478" s="391" t="s">
        <v>38</v>
      </c>
      <c r="C478" s="391">
        <v>127</v>
      </c>
      <c r="D478" s="391" t="s">
        <v>80</v>
      </c>
      <c r="E478" s="3" t="s">
        <v>136</v>
      </c>
      <c r="F478" s="11">
        <v>2.5</v>
      </c>
      <c r="G478" s="391">
        <v>1</v>
      </c>
      <c r="H478" s="391">
        <v>40</v>
      </c>
      <c r="I478" s="391">
        <v>40</v>
      </c>
      <c r="J478" s="391" t="s">
        <v>82</v>
      </c>
      <c r="K478" s="262" t="s">
        <v>137</v>
      </c>
      <c r="L478" s="262" t="s">
        <v>138</v>
      </c>
      <c r="M478" s="23" t="str">
        <f t="shared" si="24"/>
        <v>Sim</v>
      </c>
      <c r="N478" s="23" t="str">
        <f t="shared" si="26"/>
        <v>Sim</v>
      </c>
      <c r="O478" s="23" t="str">
        <f t="shared" si="27"/>
        <v>---</v>
      </c>
      <c r="P478" s="23" t="str">
        <f t="shared" si="25"/>
        <v>---</v>
      </c>
      <c r="Q478" s="391" t="s">
        <v>139</v>
      </c>
      <c r="R478" s="23">
        <f>SUMIF('Lançamento de Cabos'!$B:$B,Tabela1[[#This Row],[Tag do Cabo]],'Lançamento de Cabos'!$C:$C)</f>
        <v>0</v>
      </c>
      <c r="S478" s="23">
        <f>VLOOKUP(Tabela1[[#This Row],[Tag do Cabo]],'Diagramas Ligações'!A:V,14,0)</f>
        <v>22</v>
      </c>
      <c r="T478" s="262" t="s">
        <v>88</v>
      </c>
      <c r="U478" s="391">
        <v>5</v>
      </c>
      <c r="V478" s="391" t="s">
        <v>140</v>
      </c>
      <c r="W478" s="391" t="s">
        <v>92</v>
      </c>
      <c r="X478" s="391"/>
      <c r="Y478" s="391"/>
      <c r="Z478" s="3"/>
      <c r="AA478" s="45"/>
      <c r="AB47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8" s="262"/>
      <c r="AD478" s="23">
        <f>IF(Tabela1[[#This Row],[Qtde. Lançada]]&gt;Tabela1[[#This Row],[Comprimento Total]],Tabela1[[#This Row],[Qtde. Lançada]],Tabela1[[#This Row],[Comprimento Total]])</f>
        <v>40</v>
      </c>
      <c r="AE478" s="360" t="s">
        <v>1448</v>
      </c>
      <c r="AF478" s="391" t="s">
        <v>82</v>
      </c>
      <c r="AG478" s="23">
        <f ca="1">SUMIF('Lançamento de Cabos'!AE:AK,Tabela1[[#This Row],[Tag do Cabo]],'Lançamento de Cabos'!AG:AG)</f>
        <v>0</v>
      </c>
      <c r="AH478" s="28">
        <f>IFERROR(VLOOKUP(Tabela1[[#This Row],[Tag do Cabo]],'Lançamento de Cabos'!AE:AK,7,0),0)</f>
        <v>0</v>
      </c>
      <c r="AI478" s="262" t="s">
        <v>94</v>
      </c>
      <c r="AJ478" s="212" t="s">
        <v>141</v>
      </c>
      <c r="AK478" s="46">
        <v>9044579</v>
      </c>
      <c r="AL478" s="262" t="s">
        <v>1422</v>
      </c>
    </row>
    <row r="479" spans="1:38" x14ac:dyDescent="0.25">
      <c r="A479" s="168" t="s">
        <v>1449</v>
      </c>
      <c r="B479" s="391" t="s">
        <v>38</v>
      </c>
      <c r="C479" s="391">
        <v>127</v>
      </c>
      <c r="D479" s="391" t="s">
        <v>80</v>
      </c>
      <c r="E479" s="3" t="s">
        <v>136</v>
      </c>
      <c r="F479" s="11">
        <v>2.5</v>
      </c>
      <c r="G479" s="391">
        <v>1</v>
      </c>
      <c r="H479" s="391">
        <v>40</v>
      </c>
      <c r="I479" s="391">
        <v>40</v>
      </c>
      <c r="J479" s="391" t="s">
        <v>82</v>
      </c>
      <c r="K479" s="262" t="s">
        <v>137</v>
      </c>
      <c r="L479" s="262" t="s">
        <v>1450</v>
      </c>
      <c r="M479" s="23" t="str">
        <f t="shared" ref="M479:M497" si="28">IF(AND(C479&gt;1000,D479="8,7/15"),"---","Sim")</f>
        <v>Sim</v>
      </c>
      <c r="N479" s="23" t="str">
        <f t="shared" ref="N479:N497" si="29">"Sim"</f>
        <v>Sim</v>
      </c>
      <c r="O479" s="23" t="str">
        <f t="shared" ref="O479:O497" si="30">IF(OR(C479&lt;1000,C479="-"),"---","Sim")</f>
        <v>---</v>
      </c>
      <c r="P479" s="23" t="str">
        <f t="shared" ref="P479:P497" si="31">IF(OR(C479&lt;1000,C479="-"),"---","Sim")</f>
        <v>---</v>
      </c>
      <c r="Q479" s="391" t="s">
        <v>139</v>
      </c>
      <c r="R479" s="23">
        <f>SUMIF('Lançamento de Cabos'!$B:$B,Tabela1[[#This Row],[Tag do Cabo]],'Lançamento de Cabos'!$C:$C)</f>
        <v>0</v>
      </c>
      <c r="S479" s="23">
        <f>VLOOKUP(Tabela1[[#This Row],[Tag do Cabo]],'Diagramas Ligações'!A:V,14,0)</f>
        <v>24</v>
      </c>
      <c r="T479" s="262" t="s">
        <v>88</v>
      </c>
      <c r="U479" s="391">
        <v>5</v>
      </c>
      <c r="V479" s="391" t="s">
        <v>140</v>
      </c>
      <c r="W479" s="391" t="s">
        <v>92</v>
      </c>
      <c r="X479" s="391"/>
      <c r="Y479" s="391"/>
      <c r="Z479" s="3"/>
      <c r="AA479" s="45"/>
      <c r="AB47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79" s="262"/>
      <c r="AD479" s="23">
        <f>IF(Tabela1[[#This Row],[Qtde. Lançada]]&gt;Tabela1[[#This Row],[Comprimento Total]],Tabela1[[#This Row],[Qtde. Lançada]],Tabela1[[#This Row],[Comprimento Total]])</f>
        <v>40</v>
      </c>
      <c r="AE479" s="360" t="s">
        <v>1448</v>
      </c>
      <c r="AF479" s="391" t="s">
        <v>82</v>
      </c>
      <c r="AG479" s="23">
        <f ca="1">SUMIF('Lançamento de Cabos'!AE:AK,Tabela1[[#This Row],[Tag do Cabo]],'Lançamento de Cabos'!AG:AG)</f>
        <v>0</v>
      </c>
      <c r="AH479" s="28">
        <f>IFERROR(VLOOKUP(Tabela1[[#This Row],[Tag do Cabo]],'Lançamento de Cabos'!AE:AK,7,0),0)</f>
        <v>0</v>
      </c>
      <c r="AI479" s="262" t="s">
        <v>1421</v>
      </c>
      <c r="AJ479" s="212"/>
      <c r="AK479" s="46">
        <v>9044579</v>
      </c>
      <c r="AL479" s="262" t="s">
        <v>1422</v>
      </c>
    </row>
    <row r="480" spans="1:38" x14ac:dyDescent="0.25">
      <c r="A480" s="168" t="s">
        <v>1451</v>
      </c>
      <c r="B480" s="391" t="s">
        <v>38</v>
      </c>
      <c r="C480" s="391">
        <v>127</v>
      </c>
      <c r="D480" s="391" t="s">
        <v>80</v>
      </c>
      <c r="E480" s="3" t="s">
        <v>136</v>
      </c>
      <c r="F480" s="11">
        <v>2.5</v>
      </c>
      <c r="G480" s="391">
        <v>1</v>
      </c>
      <c r="H480" s="391">
        <v>40</v>
      </c>
      <c r="I480" s="391">
        <v>40</v>
      </c>
      <c r="J480" s="391" t="s">
        <v>82</v>
      </c>
      <c r="K480" s="262" t="s">
        <v>137</v>
      </c>
      <c r="L480" s="262" t="s">
        <v>1450</v>
      </c>
      <c r="M480" s="23" t="str">
        <f t="shared" si="28"/>
        <v>Sim</v>
      </c>
      <c r="N480" s="23" t="str">
        <f t="shared" si="29"/>
        <v>Sim</v>
      </c>
      <c r="O480" s="23" t="str">
        <f t="shared" si="30"/>
        <v>---</v>
      </c>
      <c r="P480" s="23" t="str">
        <f t="shared" si="31"/>
        <v>---</v>
      </c>
      <c r="Q480" s="391" t="s">
        <v>139</v>
      </c>
      <c r="R480" s="23">
        <f>SUMIF('Lançamento de Cabos'!$B:$B,Tabela1[[#This Row],[Tag do Cabo]],'Lançamento de Cabos'!$C:$C)</f>
        <v>0</v>
      </c>
      <c r="S480" s="23">
        <f>VLOOKUP(Tabela1[[#This Row],[Tag do Cabo]],'Diagramas Ligações'!A:V,14,0)</f>
        <v>24</v>
      </c>
      <c r="T480" s="262" t="s">
        <v>88</v>
      </c>
      <c r="U480" s="391">
        <v>5</v>
      </c>
      <c r="V480" s="391" t="s">
        <v>140</v>
      </c>
      <c r="W480" s="391" t="s">
        <v>92</v>
      </c>
      <c r="X480" s="391"/>
      <c r="Y480" s="391"/>
      <c r="Z480" s="3"/>
      <c r="AA480" s="45"/>
      <c r="AB48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0" s="262"/>
      <c r="AD480" s="23">
        <f>IF(Tabela1[[#This Row],[Qtde. Lançada]]&gt;Tabela1[[#This Row],[Comprimento Total]],Tabela1[[#This Row],[Qtde. Lançada]],Tabela1[[#This Row],[Comprimento Total]])</f>
        <v>40</v>
      </c>
      <c r="AE480" s="360" t="s">
        <v>1448</v>
      </c>
      <c r="AF480" s="391" t="s">
        <v>82</v>
      </c>
      <c r="AG480" s="23">
        <f ca="1">SUMIF('Lançamento de Cabos'!AE:AK,Tabela1[[#This Row],[Tag do Cabo]],'Lançamento de Cabos'!AG:AG)</f>
        <v>0</v>
      </c>
      <c r="AH480" s="28">
        <f>IFERROR(VLOOKUP(Tabela1[[#This Row],[Tag do Cabo]],'Lançamento de Cabos'!AE:AK,7,0),0)</f>
        <v>0</v>
      </c>
      <c r="AI480" s="262" t="s">
        <v>1421</v>
      </c>
      <c r="AJ480" s="212"/>
      <c r="AK480" s="46">
        <v>9044579</v>
      </c>
      <c r="AL480" s="262" t="s">
        <v>1422</v>
      </c>
    </row>
    <row r="481" spans="1:38" x14ac:dyDescent="0.25">
      <c r="A481" s="168" t="s">
        <v>1452</v>
      </c>
      <c r="B481" s="391" t="s">
        <v>38</v>
      </c>
      <c r="C481" s="391">
        <v>127</v>
      </c>
      <c r="D481" s="391" t="s">
        <v>80</v>
      </c>
      <c r="E481" s="3" t="s">
        <v>136</v>
      </c>
      <c r="F481" s="11">
        <v>2.5</v>
      </c>
      <c r="G481" s="391">
        <v>1</v>
      </c>
      <c r="H481" s="391">
        <v>40</v>
      </c>
      <c r="I481" s="391">
        <v>40</v>
      </c>
      <c r="J481" s="391" t="s">
        <v>82</v>
      </c>
      <c r="K481" s="262" t="s">
        <v>137</v>
      </c>
      <c r="L481" s="262" t="s">
        <v>1450</v>
      </c>
      <c r="M481" s="23" t="str">
        <f t="shared" si="28"/>
        <v>Sim</v>
      </c>
      <c r="N481" s="23" t="str">
        <f t="shared" si="29"/>
        <v>Sim</v>
      </c>
      <c r="O481" s="23" t="str">
        <f t="shared" si="30"/>
        <v>---</v>
      </c>
      <c r="P481" s="23" t="str">
        <f t="shared" si="31"/>
        <v>---</v>
      </c>
      <c r="Q481" s="391" t="s">
        <v>139</v>
      </c>
      <c r="R481" s="23">
        <f>SUMIF('Lançamento de Cabos'!$B:$B,Tabela1[[#This Row],[Tag do Cabo]],'Lançamento de Cabos'!$C:$C)</f>
        <v>0</v>
      </c>
      <c r="S481" s="23">
        <f>VLOOKUP(Tabela1[[#This Row],[Tag do Cabo]],'Diagramas Ligações'!A:V,14,0)</f>
        <v>24</v>
      </c>
      <c r="T481" s="262" t="s">
        <v>88</v>
      </c>
      <c r="U481" s="391">
        <v>5</v>
      </c>
      <c r="V481" s="391" t="s">
        <v>140</v>
      </c>
      <c r="W481" s="391" t="s">
        <v>92</v>
      </c>
      <c r="X481" s="391"/>
      <c r="Y481" s="391"/>
      <c r="Z481" s="3"/>
      <c r="AA481" s="45"/>
      <c r="AB48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1" s="262"/>
      <c r="AD481" s="23">
        <f>IF(Tabela1[[#This Row],[Qtde. Lançada]]&gt;Tabela1[[#This Row],[Comprimento Total]],Tabela1[[#This Row],[Qtde. Lançada]],Tabela1[[#This Row],[Comprimento Total]])</f>
        <v>40</v>
      </c>
      <c r="AE481" s="360" t="s">
        <v>1448</v>
      </c>
      <c r="AF481" s="391" t="s">
        <v>82</v>
      </c>
      <c r="AG481" s="23">
        <f ca="1">SUMIF('Lançamento de Cabos'!AE:AK,Tabela1[[#This Row],[Tag do Cabo]],'Lançamento de Cabos'!AG:AG)</f>
        <v>0</v>
      </c>
      <c r="AH481" s="28">
        <f>IFERROR(VLOOKUP(Tabela1[[#This Row],[Tag do Cabo]],'Lançamento de Cabos'!AE:AK,7,0),0)</f>
        <v>0</v>
      </c>
      <c r="AI481" s="262" t="s">
        <v>1421</v>
      </c>
      <c r="AJ481" s="212"/>
      <c r="AK481" s="46">
        <v>9044579</v>
      </c>
      <c r="AL481" s="262" t="s">
        <v>1422</v>
      </c>
    </row>
    <row r="482" spans="1:38" x14ac:dyDescent="0.25">
      <c r="A482" s="168" t="s">
        <v>1453</v>
      </c>
      <c r="B482" s="391" t="s">
        <v>38</v>
      </c>
      <c r="C482" s="391">
        <v>127</v>
      </c>
      <c r="D482" s="391" t="s">
        <v>80</v>
      </c>
      <c r="E482" s="3" t="s">
        <v>136</v>
      </c>
      <c r="F482" s="11">
        <v>2.5</v>
      </c>
      <c r="G482" s="391">
        <v>1</v>
      </c>
      <c r="H482" s="391">
        <v>40</v>
      </c>
      <c r="I482" s="391">
        <v>40</v>
      </c>
      <c r="J482" s="391" t="s">
        <v>82</v>
      </c>
      <c r="K482" s="262" t="s">
        <v>137</v>
      </c>
      <c r="L482" s="262" t="s">
        <v>1450</v>
      </c>
      <c r="M482" s="23" t="str">
        <f t="shared" si="28"/>
        <v>Sim</v>
      </c>
      <c r="N482" s="23" t="str">
        <f t="shared" si="29"/>
        <v>Sim</v>
      </c>
      <c r="O482" s="23" t="str">
        <f t="shared" si="30"/>
        <v>---</v>
      </c>
      <c r="P482" s="23" t="str">
        <f t="shared" si="31"/>
        <v>---</v>
      </c>
      <c r="Q482" s="391" t="s">
        <v>139</v>
      </c>
      <c r="R482" s="23">
        <f>SUMIF('Lançamento de Cabos'!$B:$B,Tabela1[[#This Row],[Tag do Cabo]],'Lançamento de Cabos'!$C:$C)</f>
        <v>0</v>
      </c>
      <c r="S482" s="23">
        <f>VLOOKUP(Tabela1[[#This Row],[Tag do Cabo]],'Diagramas Ligações'!A:V,14,0)</f>
        <v>24</v>
      </c>
      <c r="T482" s="262" t="s">
        <v>88</v>
      </c>
      <c r="U482" s="391">
        <v>5</v>
      </c>
      <c r="V482" s="391" t="s">
        <v>140</v>
      </c>
      <c r="W482" s="391" t="s">
        <v>92</v>
      </c>
      <c r="X482" s="391"/>
      <c r="Y482" s="391"/>
      <c r="Z482" s="3"/>
      <c r="AA482" s="45"/>
      <c r="AB48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2" s="262"/>
      <c r="AD482" s="23">
        <f>IF(Tabela1[[#This Row],[Qtde. Lançada]]&gt;Tabela1[[#This Row],[Comprimento Total]],Tabela1[[#This Row],[Qtde. Lançada]],Tabela1[[#This Row],[Comprimento Total]])</f>
        <v>40</v>
      </c>
      <c r="AE482" s="360" t="s">
        <v>1448</v>
      </c>
      <c r="AF482" s="391" t="s">
        <v>82</v>
      </c>
      <c r="AG482" s="23">
        <f ca="1">SUMIF('Lançamento de Cabos'!AE:AK,Tabela1[[#This Row],[Tag do Cabo]],'Lançamento de Cabos'!AG:AG)</f>
        <v>0</v>
      </c>
      <c r="AH482" s="28">
        <f>IFERROR(VLOOKUP(Tabela1[[#This Row],[Tag do Cabo]],'Lançamento de Cabos'!AE:AK,7,0),0)</f>
        <v>0</v>
      </c>
      <c r="AI482" s="262" t="s">
        <v>1421</v>
      </c>
      <c r="AJ482" s="212"/>
      <c r="AK482" s="46">
        <v>9044579</v>
      </c>
      <c r="AL482" s="262" t="s">
        <v>1422</v>
      </c>
    </row>
    <row r="483" spans="1:38" x14ac:dyDescent="0.25">
      <c r="A483" s="168" t="s">
        <v>1454</v>
      </c>
      <c r="B483" s="391" t="s">
        <v>38</v>
      </c>
      <c r="C483" s="391">
        <v>127</v>
      </c>
      <c r="D483" s="391" t="s">
        <v>80</v>
      </c>
      <c r="E483" s="3" t="s">
        <v>136</v>
      </c>
      <c r="F483" s="11">
        <v>2.5</v>
      </c>
      <c r="G483" s="391">
        <v>1</v>
      </c>
      <c r="H483" s="391">
        <v>40</v>
      </c>
      <c r="I483" s="391">
        <v>40</v>
      </c>
      <c r="J483" s="391" t="s">
        <v>82</v>
      </c>
      <c r="K483" s="262" t="s">
        <v>1455</v>
      </c>
      <c r="L483" s="262" t="s">
        <v>1450</v>
      </c>
      <c r="M483" s="23" t="str">
        <f t="shared" si="28"/>
        <v>Sim</v>
      </c>
      <c r="N483" s="23" t="str">
        <f t="shared" si="29"/>
        <v>Sim</v>
      </c>
      <c r="O483" s="23" t="str">
        <f t="shared" si="30"/>
        <v>---</v>
      </c>
      <c r="P483" s="23" t="str">
        <f t="shared" si="31"/>
        <v>---</v>
      </c>
      <c r="Q483" s="391" t="s">
        <v>139</v>
      </c>
      <c r="R483" s="23">
        <f>SUMIF('Lançamento de Cabos'!$B:$B,Tabela1[[#This Row],[Tag do Cabo]],'Lançamento de Cabos'!$C:$C)</f>
        <v>0</v>
      </c>
      <c r="S483" s="23">
        <f>VLOOKUP(Tabela1[[#This Row],[Tag do Cabo]],'Diagramas Ligações'!A:V,14,0)</f>
        <v>24</v>
      </c>
      <c r="T483" s="262" t="s">
        <v>88</v>
      </c>
      <c r="U483" s="391">
        <v>5</v>
      </c>
      <c r="V483" s="391" t="s">
        <v>140</v>
      </c>
      <c r="W483" s="391" t="s">
        <v>92</v>
      </c>
      <c r="X483" s="391"/>
      <c r="Y483" s="391"/>
      <c r="Z483" s="3"/>
      <c r="AA483" s="45"/>
      <c r="AB483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3" s="262"/>
      <c r="AD483" s="23">
        <f>IF(Tabela1[[#This Row],[Qtde. Lançada]]&gt;Tabela1[[#This Row],[Comprimento Total]],Tabela1[[#This Row],[Qtde. Lançada]],Tabela1[[#This Row],[Comprimento Total]])</f>
        <v>40</v>
      </c>
      <c r="AE483" s="360" t="s">
        <v>1448</v>
      </c>
      <c r="AF483" s="391" t="s">
        <v>82</v>
      </c>
      <c r="AG483" s="23">
        <f ca="1">SUMIF('Lançamento de Cabos'!AE:AK,Tabela1[[#This Row],[Tag do Cabo]],'Lançamento de Cabos'!AG:AG)</f>
        <v>0</v>
      </c>
      <c r="AH483" s="28">
        <f>IFERROR(VLOOKUP(Tabela1[[#This Row],[Tag do Cabo]],'Lançamento de Cabos'!AE:AK,7,0),0)</f>
        <v>0</v>
      </c>
      <c r="AI483" s="262" t="s">
        <v>1421</v>
      </c>
      <c r="AJ483" s="212"/>
      <c r="AK483" s="46">
        <v>9044579</v>
      </c>
      <c r="AL483" s="262" t="s">
        <v>1422</v>
      </c>
    </row>
    <row r="484" spans="1:38" x14ac:dyDescent="0.25">
      <c r="A484" s="168" t="s">
        <v>1456</v>
      </c>
      <c r="B484" s="391" t="s">
        <v>38</v>
      </c>
      <c r="C484" s="391">
        <v>127</v>
      </c>
      <c r="D484" s="391" t="s">
        <v>80</v>
      </c>
      <c r="E484" s="3" t="s">
        <v>136</v>
      </c>
      <c r="F484" s="11">
        <v>2.5</v>
      </c>
      <c r="G484" s="391">
        <v>1</v>
      </c>
      <c r="H484" s="391">
        <v>40</v>
      </c>
      <c r="I484" s="391">
        <v>40</v>
      </c>
      <c r="J484" s="391" t="s">
        <v>82</v>
      </c>
      <c r="K484" s="262" t="s">
        <v>1457</v>
      </c>
      <c r="L484" s="262" t="s">
        <v>1455</v>
      </c>
      <c r="M484" s="23" t="str">
        <f t="shared" si="28"/>
        <v>Sim</v>
      </c>
      <c r="N484" s="23" t="str">
        <f t="shared" si="29"/>
        <v>Sim</v>
      </c>
      <c r="O484" s="23" t="str">
        <f t="shared" si="30"/>
        <v>---</v>
      </c>
      <c r="P484" s="23" t="str">
        <f t="shared" si="31"/>
        <v>---</v>
      </c>
      <c r="Q484" s="391" t="s">
        <v>139</v>
      </c>
      <c r="R484" s="23">
        <f>SUMIF('Lançamento de Cabos'!$B:$B,Tabela1[[#This Row],[Tag do Cabo]],'Lançamento de Cabos'!$C:$C)</f>
        <v>0</v>
      </c>
      <c r="S484" s="23">
        <f>VLOOKUP(Tabela1[[#This Row],[Tag do Cabo]],'Diagramas Ligações'!A:V,14,0)</f>
        <v>24</v>
      </c>
      <c r="T484" s="262" t="s">
        <v>88</v>
      </c>
      <c r="U484" s="391">
        <v>5</v>
      </c>
      <c r="V484" s="391" t="s">
        <v>140</v>
      </c>
      <c r="W484" s="391" t="s">
        <v>92</v>
      </c>
      <c r="X484" s="391"/>
      <c r="Y484" s="391"/>
      <c r="Z484" s="3"/>
      <c r="AA484" s="45"/>
      <c r="AB48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4" s="262"/>
      <c r="AD484" s="23">
        <f>IF(Tabela1[[#This Row],[Qtde. Lançada]]&gt;Tabela1[[#This Row],[Comprimento Total]],Tabela1[[#This Row],[Qtde. Lançada]],Tabela1[[#This Row],[Comprimento Total]])</f>
        <v>40</v>
      </c>
      <c r="AE484" s="360" t="s">
        <v>1448</v>
      </c>
      <c r="AF484" s="391" t="s">
        <v>82</v>
      </c>
      <c r="AG484" s="23">
        <f ca="1">SUMIF('Lançamento de Cabos'!AE:AK,Tabela1[[#This Row],[Tag do Cabo]],'Lançamento de Cabos'!AG:AG)</f>
        <v>0</v>
      </c>
      <c r="AH484" s="28">
        <f>IFERROR(VLOOKUP(Tabela1[[#This Row],[Tag do Cabo]],'Lançamento de Cabos'!AE:AK,7,0),0)</f>
        <v>0</v>
      </c>
      <c r="AI484" s="262" t="s">
        <v>1421</v>
      </c>
      <c r="AJ484" s="212"/>
      <c r="AK484" s="46">
        <v>9044579</v>
      </c>
      <c r="AL484" s="262" t="s">
        <v>1422</v>
      </c>
    </row>
    <row r="485" spans="1:38" x14ac:dyDescent="0.25">
      <c r="A485" s="168" t="s">
        <v>1458</v>
      </c>
      <c r="B485" s="391" t="s">
        <v>38</v>
      </c>
      <c r="C485" s="391">
        <v>127</v>
      </c>
      <c r="D485" s="391" t="s">
        <v>80</v>
      </c>
      <c r="E485" s="3" t="s">
        <v>136</v>
      </c>
      <c r="F485" s="11">
        <v>2.5</v>
      </c>
      <c r="G485" s="391">
        <v>1</v>
      </c>
      <c r="H485" s="391">
        <v>40</v>
      </c>
      <c r="I485" s="391">
        <v>40</v>
      </c>
      <c r="J485" s="391" t="s">
        <v>82</v>
      </c>
      <c r="K485" s="262" t="s">
        <v>137</v>
      </c>
      <c r="L485" s="262" t="s">
        <v>1459</v>
      </c>
      <c r="M485" s="23" t="str">
        <f t="shared" si="28"/>
        <v>Sim</v>
      </c>
      <c r="N485" s="23" t="str">
        <f t="shared" si="29"/>
        <v>Sim</v>
      </c>
      <c r="O485" s="23" t="str">
        <f t="shared" si="30"/>
        <v>---</v>
      </c>
      <c r="P485" s="23" t="str">
        <f t="shared" si="31"/>
        <v>---</v>
      </c>
      <c r="Q485" s="391" t="s">
        <v>139</v>
      </c>
      <c r="R485" s="23">
        <f>SUMIF('Lançamento de Cabos'!$B:$B,Tabela1[[#This Row],[Tag do Cabo]],'Lançamento de Cabos'!$C:$C)</f>
        <v>0</v>
      </c>
      <c r="S485" s="23">
        <f>VLOOKUP(Tabela1[[#This Row],[Tag do Cabo]],'Diagramas Ligações'!A:V,14,0)</f>
        <v>24</v>
      </c>
      <c r="T485" s="262" t="s">
        <v>88</v>
      </c>
      <c r="U485" s="391">
        <v>5</v>
      </c>
      <c r="V485" s="391" t="s">
        <v>140</v>
      </c>
      <c r="W485" s="391" t="s">
        <v>92</v>
      </c>
      <c r="X485" s="391"/>
      <c r="Y485" s="391"/>
      <c r="Z485" s="3"/>
      <c r="AA485" s="45"/>
      <c r="AB48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5" s="262"/>
      <c r="AD485" s="23">
        <f>IF(Tabela1[[#This Row],[Qtde. Lançada]]&gt;Tabela1[[#This Row],[Comprimento Total]],Tabela1[[#This Row],[Qtde. Lançada]],Tabela1[[#This Row],[Comprimento Total]])</f>
        <v>40</v>
      </c>
      <c r="AE485" s="360" t="s">
        <v>1448</v>
      </c>
      <c r="AF485" s="391" t="s">
        <v>82</v>
      </c>
      <c r="AG485" s="23">
        <f ca="1">SUMIF('Lançamento de Cabos'!AE:AK,Tabela1[[#This Row],[Tag do Cabo]],'Lançamento de Cabos'!AG:AG)</f>
        <v>0</v>
      </c>
      <c r="AH485" s="28">
        <f>IFERROR(VLOOKUP(Tabela1[[#This Row],[Tag do Cabo]],'Lançamento de Cabos'!AE:AK,7,0),0)</f>
        <v>0</v>
      </c>
      <c r="AI485" s="262" t="s">
        <v>1421</v>
      </c>
      <c r="AJ485" s="212"/>
      <c r="AK485" s="46">
        <v>9044579</v>
      </c>
      <c r="AL485" s="262" t="s">
        <v>1422</v>
      </c>
    </row>
    <row r="486" spans="1:38" x14ac:dyDescent="0.25">
      <c r="A486" s="168" t="s">
        <v>1460</v>
      </c>
      <c r="B486" s="391" t="s">
        <v>38</v>
      </c>
      <c r="C486" s="391">
        <v>127</v>
      </c>
      <c r="D486" s="391" t="s">
        <v>80</v>
      </c>
      <c r="E486" s="3" t="s">
        <v>136</v>
      </c>
      <c r="F486" s="11">
        <v>2.5</v>
      </c>
      <c r="G486" s="391">
        <v>1</v>
      </c>
      <c r="H486" s="391">
        <v>40</v>
      </c>
      <c r="I486" s="391">
        <v>40</v>
      </c>
      <c r="J486" s="391" t="s">
        <v>82</v>
      </c>
      <c r="K486" s="262" t="s">
        <v>137</v>
      </c>
      <c r="L486" s="262" t="s">
        <v>1459</v>
      </c>
      <c r="M486" s="23" t="str">
        <f t="shared" si="28"/>
        <v>Sim</v>
      </c>
      <c r="N486" s="23" t="str">
        <f t="shared" si="29"/>
        <v>Sim</v>
      </c>
      <c r="O486" s="23" t="str">
        <f t="shared" si="30"/>
        <v>---</v>
      </c>
      <c r="P486" s="23" t="str">
        <f t="shared" si="31"/>
        <v>---</v>
      </c>
      <c r="Q486" s="391" t="s">
        <v>139</v>
      </c>
      <c r="R486" s="23">
        <f>SUMIF('Lançamento de Cabos'!$B:$B,Tabela1[[#This Row],[Tag do Cabo]],'Lançamento de Cabos'!$C:$C)</f>
        <v>0</v>
      </c>
      <c r="S486" s="23">
        <f>VLOOKUP(Tabela1[[#This Row],[Tag do Cabo]],'Diagramas Ligações'!A:V,14,0)</f>
        <v>24</v>
      </c>
      <c r="T486" s="262" t="s">
        <v>88</v>
      </c>
      <c r="U486" s="391">
        <v>5</v>
      </c>
      <c r="V486" s="391" t="s">
        <v>140</v>
      </c>
      <c r="W486" s="391" t="s">
        <v>92</v>
      </c>
      <c r="X486" s="391"/>
      <c r="Y486" s="391"/>
      <c r="Z486" s="3"/>
      <c r="AA486" s="45"/>
      <c r="AB48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6" s="262"/>
      <c r="AD486" s="23">
        <f>IF(Tabela1[[#This Row],[Qtde. Lançada]]&gt;Tabela1[[#This Row],[Comprimento Total]],Tabela1[[#This Row],[Qtde. Lançada]],Tabela1[[#This Row],[Comprimento Total]])</f>
        <v>40</v>
      </c>
      <c r="AE486" s="360" t="s">
        <v>1448</v>
      </c>
      <c r="AF486" s="391" t="s">
        <v>82</v>
      </c>
      <c r="AG486" s="23">
        <f ca="1">SUMIF('Lançamento de Cabos'!AE:AK,Tabela1[[#This Row],[Tag do Cabo]],'Lançamento de Cabos'!AG:AG)</f>
        <v>0</v>
      </c>
      <c r="AH486" s="28">
        <f>IFERROR(VLOOKUP(Tabela1[[#This Row],[Tag do Cabo]],'Lançamento de Cabos'!AE:AK,7,0),0)</f>
        <v>0</v>
      </c>
      <c r="AI486" s="262" t="s">
        <v>1421</v>
      </c>
      <c r="AJ486" s="212"/>
      <c r="AK486" s="46">
        <v>9044579</v>
      </c>
      <c r="AL486" s="262" t="s">
        <v>1422</v>
      </c>
    </row>
    <row r="487" spans="1:38" x14ac:dyDescent="0.25">
      <c r="A487" s="168" t="s">
        <v>1461</v>
      </c>
      <c r="B487" s="391" t="s">
        <v>38</v>
      </c>
      <c r="C487" s="391">
        <v>127</v>
      </c>
      <c r="D487" s="391" t="s">
        <v>80</v>
      </c>
      <c r="E487" s="3" t="s">
        <v>136</v>
      </c>
      <c r="F487" s="11">
        <v>2.5</v>
      </c>
      <c r="G487" s="391">
        <v>1</v>
      </c>
      <c r="H487" s="391">
        <v>40</v>
      </c>
      <c r="I487" s="391">
        <v>40</v>
      </c>
      <c r="J487" s="391" t="s">
        <v>82</v>
      </c>
      <c r="K487" s="262" t="s">
        <v>137</v>
      </c>
      <c r="L487" s="262" t="s">
        <v>1459</v>
      </c>
      <c r="M487" s="23" t="str">
        <f t="shared" si="28"/>
        <v>Sim</v>
      </c>
      <c r="N487" s="23" t="str">
        <f t="shared" si="29"/>
        <v>Sim</v>
      </c>
      <c r="O487" s="23" t="str">
        <f t="shared" si="30"/>
        <v>---</v>
      </c>
      <c r="P487" s="23" t="str">
        <f t="shared" si="31"/>
        <v>---</v>
      </c>
      <c r="Q487" s="391" t="s">
        <v>139</v>
      </c>
      <c r="R487" s="23">
        <f>SUMIF('Lançamento de Cabos'!$B:$B,Tabela1[[#This Row],[Tag do Cabo]],'Lançamento de Cabos'!$C:$C)</f>
        <v>0</v>
      </c>
      <c r="S487" s="23">
        <f>VLOOKUP(Tabela1[[#This Row],[Tag do Cabo]],'Diagramas Ligações'!A:V,14,0)</f>
        <v>24</v>
      </c>
      <c r="T487" s="262" t="s">
        <v>88</v>
      </c>
      <c r="U487" s="391">
        <v>5</v>
      </c>
      <c r="V487" s="391" t="s">
        <v>140</v>
      </c>
      <c r="W487" s="391" t="s">
        <v>92</v>
      </c>
      <c r="X487" s="391"/>
      <c r="Y487" s="391"/>
      <c r="Z487" s="3"/>
      <c r="AA487" s="45"/>
      <c r="AB48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7" s="262"/>
      <c r="AD487" s="23">
        <f>IF(Tabela1[[#This Row],[Qtde. Lançada]]&gt;Tabela1[[#This Row],[Comprimento Total]],Tabela1[[#This Row],[Qtde. Lançada]],Tabela1[[#This Row],[Comprimento Total]])</f>
        <v>40</v>
      </c>
      <c r="AE487" s="360" t="s">
        <v>1448</v>
      </c>
      <c r="AF487" s="391" t="s">
        <v>82</v>
      </c>
      <c r="AG487" s="23">
        <f ca="1">SUMIF('Lançamento de Cabos'!AE:AK,Tabela1[[#This Row],[Tag do Cabo]],'Lançamento de Cabos'!AG:AG)</f>
        <v>0</v>
      </c>
      <c r="AH487" s="28">
        <f>IFERROR(VLOOKUP(Tabela1[[#This Row],[Tag do Cabo]],'Lançamento de Cabos'!AE:AK,7,0),0)</f>
        <v>0</v>
      </c>
      <c r="AI487" s="262" t="s">
        <v>1421</v>
      </c>
      <c r="AJ487" s="212"/>
      <c r="AK487" s="46">
        <v>9044579</v>
      </c>
      <c r="AL487" s="262" t="s">
        <v>1422</v>
      </c>
    </row>
    <row r="488" spans="1:38" x14ac:dyDescent="0.25">
      <c r="A488" s="168" t="s">
        <v>1462</v>
      </c>
      <c r="B488" s="391" t="s">
        <v>38</v>
      </c>
      <c r="C488" s="391">
        <v>127</v>
      </c>
      <c r="D488" s="391" t="s">
        <v>80</v>
      </c>
      <c r="E488" s="3" t="s">
        <v>136</v>
      </c>
      <c r="F488" s="11">
        <v>2.5</v>
      </c>
      <c r="G488" s="391">
        <v>1</v>
      </c>
      <c r="H488" s="391">
        <v>40</v>
      </c>
      <c r="I488" s="391">
        <v>40</v>
      </c>
      <c r="J488" s="391" t="s">
        <v>82</v>
      </c>
      <c r="K488" s="262" t="s">
        <v>137</v>
      </c>
      <c r="L488" s="262" t="s">
        <v>1459</v>
      </c>
      <c r="M488" s="23" t="str">
        <f t="shared" si="28"/>
        <v>Sim</v>
      </c>
      <c r="N488" s="23" t="str">
        <f t="shared" si="29"/>
        <v>Sim</v>
      </c>
      <c r="O488" s="23" t="str">
        <f t="shared" si="30"/>
        <v>---</v>
      </c>
      <c r="P488" s="23" t="str">
        <f t="shared" si="31"/>
        <v>---</v>
      </c>
      <c r="Q488" s="391" t="s">
        <v>139</v>
      </c>
      <c r="R488" s="23">
        <f>SUMIF('Lançamento de Cabos'!$B:$B,Tabela1[[#This Row],[Tag do Cabo]],'Lançamento de Cabos'!$C:$C)</f>
        <v>0</v>
      </c>
      <c r="S488" s="23">
        <f>VLOOKUP(Tabela1[[#This Row],[Tag do Cabo]],'Diagramas Ligações'!A:V,14,0)</f>
        <v>24</v>
      </c>
      <c r="T488" s="262" t="s">
        <v>88</v>
      </c>
      <c r="U488" s="391">
        <v>5</v>
      </c>
      <c r="V488" s="391" t="s">
        <v>140</v>
      </c>
      <c r="W488" s="391" t="s">
        <v>92</v>
      </c>
      <c r="X488" s="391"/>
      <c r="Y488" s="391"/>
      <c r="Z488" s="3"/>
      <c r="AA488" s="45"/>
      <c r="AB48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8" s="262"/>
      <c r="AD488" s="23">
        <f>IF(Tabela1[[#This Row],[Qtde. Lançada]]&gt;Tabela1[[#This Row],[Comprimento Total]],Tabela1[[#This Row],[Qtde. Lançada]],Tabela1[[#This Row],[Comprimento Total]])</f>
        <v>40</v>
      </c>
      <c r="AE488" s="360" t="s">
        <v>1448</v>
      </c>
      <c r="AF488" s="391" t="s">
        <v>82</v>
      </c>
      <c r="AG488" s="23">
        <f ca="1">SUMIF('Lançamento de Cabos'!AE:AK,Tabela1[[#This Row],[Tag do Cabo]],'Lançamento de Cabos'!AG:AG)</f>
        <v>0</v>
      </c>
      <c r="AH488" s="28">
        <f>IFERROR(VLOOKUP(Tabela1[[#This Row],[Tag do Cabo]],'Lançamento de Cabos'!AE:AK,7,0),0)</f>
        <v>0</v>
      </c>
      <c r="AI488" s="262" t="s">
        <v>1421</v>
      </c>
      <c r="AJ488" s="212"/>
      <c r="AK488" s="46">
        <v>9044579</v>
      </c>
      <c r="AL488" s="262" t="s">
        <v>1422</v>
      </c>
    </row>
    <row r="489" spans="1:38" x14ac:dyDescent="0.25">
      <c r="A489" s="168" t="s">
        <v>1463</v>
      </c>
      <c r="B489" s="391" t="s">
        <v>38</v>
      </c>
      <c r="C489" s="391">
        <v>127</v>
      </c>
      <c r="D489" s="391" t="s">
        <v>80</v>
      </c>
      <c r="E489" s="3" t="s">
        <v>136</v>
      </c>
      <c r="F489" s="11">
        <v>2.5</v>
      </c>
      <c r="G489" s="391">
        <v>1</v>
      </c>
      <c r="H489" s="391">
        <v>40</v>
      </c>
      <c r="I489" s="391">
        <v>40</v>
      </c>
      <c r="J489" s="391" t="s">
        <v>82</v>
      </c>
      <c r="K489" s="262" t="s">
        <v>137</v>
      </c>
      <c r="L489" s="262" t="s">
        <v>1459</v>
      </c>
      <c r="M489" s="23" t="str">
        <f t="shared" si="28"/>
        <v>Sim</v>
      </c>
      <c r="N489" s="23" t="str">
        <f t="shared" si="29"/>
        <v>Sim</v>
      </c>
      <c r="O489" s="23" t="str">
        <f t="shared" si="30"/>
        <v>---</v>
      </c>
      <c r="P489" s="23" t="str">
        <f t="shared" si="31"/>
        <v>---</v>
      </c>
      <c r="Q489" s="391" t="s">
        <v>139</v>
      </c>
      <c r="R489" s="23">
        <f>SUMIF('Lançamento de Cabos'!$B:$B,Tabela1[[#This Row],[Tag do Cabo]],'Lançamento de Cabos'!$C:$C)</f>
        <v>0</v>
      </c>
      <c r="S489" s="23">
        <f>VLOOKUP(Tabela1[[#This Row],[Tag do Cabo]],'Diagramas Ligações'!A:V,14,0)</f>
        <v>24</v>
      </c>
      <c r="T489" s="262" t="s">
        <v>88</v>
      </c>
      <c r="U489" s="391">
        <v>5</v>
      </c>
      <c r="V489" s="391" t="s">
        <v>140</v>
      </c>
      <c r="W489" s="391" t="s">
        <v>92</v>
      </c>
      <c r="X489" s="391"/>
      <c r="Y489" s="391"/>
      <c r="Z489" s="3"/>
      <c r="AA489" s="45"/>
      <c r="AB48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89" s="262"/>
      <c r="AD489" s="23">
        <f>IF(Tabela1[[#This Row],[Qtde. Lançada]]&gt;Tabela1[[#This Row],[Comprimento Total]],Tabela1[[#This Row],[Qtde. Lançada]],Tabela1[[#This Row],[Comprimento Total]])</f>
        <v>40</v>
      </c>
      <c r="AE489" s="360" t="s">
        <v>1448</v>
      </c>
      <c r="AF489" s="391" t="s">
        <v>82</v>
      </c>
      <c r="AG489" s="23">
        <f ca="1">SUMIF('Lançamento de Cabos'!AE:AK,Tabela1[[#This Row],[Tag do Cabo]],'Lançamento de Cabos'!AG:AG)</f>
        <v>0</v>
      </c>
      <c r="AH489" s="28">
        <f>IFERROR(VLOOKUP(Tabela1[[#This Row],[Tag do Cabo]],'Lançamento de Cabos'!AE:AK,7,0),0)</f>
        <v>0</v>
      </c>
      <c r="AI489" s="262" t="s">
        <v>1421</v>
      </c>
      <c r="AJ489" s="212"/>
      <c r="AK489" s="46">
        <v>9044579</v>
      </c>
      <c r="AL489" s="262" t="s">
        <v>1422</v>
      </c>
    </row>
    <row r="490" spans="1:38" x14ac:dyDescent="0.25">
      <c r="A490" s="168" t="s">
        <v>1464</v>
      </c>
      <c r="B490" s="391" t="s">
        <v>38</v>
      </c>
      <c r="C490" s="391">
        <v>127</v>
      </c>
      <c r="D490" s="391" t="s">
        <v>80</v>
      </c>
      <c r="E490" s="3" t="s">
        <v>136</v>
      </c>
      <c r="F490" s="11">
        <v>2.5</v>
      </c>
      <c r="G490" s="391">
        <v>1</v>
      </c>
      <c r="H490" s="391">
        <v>40</v>
      </c>
      <c r="I490" s="391">
        <v>40</v>
      </c>
      <c r="J490" s="391" t="s">
        <v>82</v>
      </c>
      <c r="K490" s="262" t="s">
        <v>1455</v>
      </c>
      <c r="L490" s="262" t="s">
        <v>1459</v>
      </c>
      <c r="M490" s="23" t="str">
        <f t="shared" si="28"/>
        <v>Sim</v>
      </c>
      <c r="N490" s="23" t="str">
        <f t="shared" si="29"/>
        <v>Sim</v>
      </c>
      <c r="O490" s="23" t="str">
        <f t="shared" si="30"/>
        <v>---</v>
      </c>
      <c r="P490" s="23" t="str">
        <f t="shared" si="31"/>
        <v>---</v>
      </c>
      <c r="Q490" s="391" t="s">
        <v>139</v>
      </c>
      <c r="R490" s="23">
        <f>SUMIF('Lançamento de Cabos'!$B:$B,Tabela1[[#This Row],[Tag do Cabo]],'Lançamento de Cabos'!$C:$C)</f>
        <v>0</v>
      </c>
      <c r="S490" s="23">
        <f>VLOOKUP(Tabela1[[#This Row],[Tag do Cabo]],'Diagramas Ligações'!A:V,14,0)</f>
        <v>24</v>
      </c>
      <c r="T490" s="262" t="s">
        <v>88</v>
      </c>
      <c r="U490" s="391">
        <v>5</v>
      </c>
      <c r="V490" s="391" t="s">
        <v>140</v>
      </c>
      <c r="W490" s="391" t="s">
        <v>92</v>
      </c>
      <c r="X490" s="391"/>
      <c r="Y490" s="391"/>
      <c r="Z490" s="3"/>
      <c r="AA490" s="45"/>
      <c r="AB49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0" s="262"/>
      <c r="AD490" s="23">
        <f>IF(Tabela1[[#This Row],[Qtde. Lançada]]&gt;Tabela1[[#This Row],[Comprimento Total]],Tabela1[[#This Row],[Qtde. Lançada]],Tabela1[[#This Row],[Comprimento Total]])</f>
        <v>40</v>
      </c>
      <c r="AE490" s="360" t="s">
        <v>1448</v>
      </c>
      <c r="AF490" s="391" t="s">
        <v>82</v>
      </c>
      <c r="AG490" s="23">
        <f ca="1">SUMIF('Lançamento de Cabos'!AE:AK,Tabela1[[#This Row],[Tag do Cabo]],'Lançamento de Cabos'!AG:AG)</f>
        <v>0</v>
      </c>
      <c r="AH490" s="28">
        <f>IFERROR(VLOOKUP(Tabela1[[#This Row],[Tag do Cabo]],'Lançamento de Cabos'!AE:AK,7,0),0)</f>
        <v>0</v>
      </c>
      <c r="AI490" s="262" t="s">
        <v>1421</v>
      </c>
      <c r="AJ490" s="212"/>
      <c r="AK490" s="46">
        <v>9044579</v>
      </c>
      <c r="AL490" s="262" t="s">
        <v>1422</v>
      </c>
    </row>
    <row r="491" spans="1:38" x14ac:dyDescent="0.25">
      <c r="A491" s="168" t="s">
        <v>1465</v>
      </c>
      <c r="B491" s="391" t="s">
        <v>38</v>
      </c>
      <c r="C491" s="391">
        <v>127</v>
      </c>
      <c r="D491" s="391" t="s">
        <v>80</v>
      </c>
      <c r="E491" s="3" t="s">
        <v>136</v>
      </c>
      <c r="F491" s="11">
        <v>2.5</v>
      </c>
      <c r="G491" s="391">
        <v>1</v>
      </c>
      <c r="H491" s="391">
        <v>40</v>
      </c>
      <c r="I491" s="391">
        <v>40</v>
      </c>
      <c r="J491" s="391" t="s">
        <v>82</v>
      </c>
      <c r="K491" s="262" t="s">
        <v>137</v>
      </c>
      <c r="L491" s="262" t="s">
        <v>1455</v>
      </c>
      <c r="M491" s="23" t="str">
        <f t="shared" si="28"/>
        <v>Sim</v>
      </c>
      <c r="N491" s="23" t="str">
        <f t="shared" si="29"/>
        <v>Sim</v>
      </c>
      <c r="O491" s="23" t="str">
        <f t="shared" si="30"/>
        <v>---</v>
      </c>
      <c r="P491" s="23" t="str">
        <f t="shared" si="31"/>
        <v>---</v>
      </c>
      <c r="Q491" s="391" t="s">
        <v>139</v>
      </c>
      <c r="R491" s="23">
        <f>SUMIF('Lançamento de Cabos'!$B:$B,Tabela1[[#This Row],[Tag do Cabo]],'Lançamento de Cabos'!$C:$C)</f>
        <v>0</v>
      </c>
      <c r="S491" s="23">
        <f>VLOOKUP(Tabela1[[#This Row],[Tag do Cabo]],'Diagramas Ligações'!A:V,14,0)</f>
        <v>24</v>
      </c>
      <c r="T491" s="262" t="s">
        <v>88</v>
      </c>
      <c r="U491" s="391">
        <v>5</v>
      </c>
      <c r="V491" s="391" t="s">
        <v>140</v>
      </c>
      <c r="W491" s="391" t="s">
        <v>92</v>
      </c>
      <c r="X491" s="391"/>
      <c r="Y491" s="391"/>
      <c r="Z491" s="3"/>
      <c r="AA491" s="45"/>
      <c r="AB49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1" s="262"/>
      <c r="AD491" s="23">
        <f>IF(Tabela1[[#This Row],[Qtde. Lançada]]&gt;Tabela1[[#This Row],[Comprimento Total]],Tabela1[[#This Row],[Qtde. Lançada]],Tabela1[[#This Row],[Comprimento Total]])</f>
        <v>40</v>
      </c>
      <c r="AE491" s="360" t="s">
        <v>1448</v>
      </c>
      <c r="AF491" s="391" t="s">
        <v>82</v>
      </c>
      <c r="AG491" s="23">
        <f ca="1">SUMIF('Lançamento de Cabos'!AE:AK,Tabela1[[#This Row],[Tag do Cabo]],'Lançamento de Cabos'!AG:AG)</f>
        <v>0</v>
      </c>
      <c r="AH491" s="28">
        <f>IFERROR(VLOOKUP(Tabela1[[#This Row],[Tag do Cabo]],'Lançamento de Cabos'!AE:AK,7,0),0)</f>
        <v>0</v>
      </c>
      <c r="AI491" s="262" t="s">
        <v>1421</v>
      </c>
      <c r="AJ491" s="212"/>
      <c r="AK491" s="46">
        <v>9044579</v>
      </c>
      <c r="AL491" s="262" t="s">
        <v>1422</v>
      </c>
    </row>
    <row r="492" spans="1:38" x14ac:dyDescent="0.25">
      <c r="A492" s="168" t="s">
        <v>1466</v>
      </c>
      <c r="B492" s="391" t="s">
        <v>38</v>
      </c>
      <c r="C492" s="391">
        <v>127</v>
      </c>
      <c r="D492" s="391" t="s">
        <v>80</v>
      </c>
      <c r="E492" s="3" t="s">
        <v>136</v>
      </c>
      <c r="F492" s="11">
        <v>2.5</v>
      </c>
      <c r="G492" s="391">
        <v>1</v>
      </c>
      <c r="H492" s="391">
        <v>40</v>
      </c>
      <c r="I492" s="391">
        <v>40</v>
      </c>
      <c r="J492" s="391" t="s">
        <v>82</v>
      </c>
      <c r="K492" s="262" t="s">
        <v>137</v>
      </c>
      <c r="L492" s="262" t="s">
        <v>1467</v>
      </c>
      <c r="M492" s="23" t="str">
        <f t="shared" si="28"/>
        <v>Sim</v>
      </c>
      <c r="N492" s="23" t="str">
        <f t="shared" si="29"/>
        <v>Sim</v>
      </c>
      <c r="O492" s="23" t="str">
        <f t="shared" si="30"/>
        <v>---</v>
      </c>
      <c r="P492" s="23" t="str">
        <f t="shared" si="31"/>
        <v>---</v>
      </c>
      <c r="Q492" s="391" t="s">
        <v>139</v>
      </c>
      <c r="R492" s="23">
        <f>SUMIF('Lançamento de Cabos'!$B:$B,Tabela1[[#This Row],[Tag do Cabo]],'Lançamento de Cabos'!$C:$C)</f>
        <v>0</v>
      </c>
      <c r="S492" s="23">
        <f>VLOOKUP(Tabela1[[#This Row],[Tag do Cabo]],'Diagramas Ligações'!A:V,14,0)</f>
        <v>24</v>
      </c>
      <c r="T492" s="262" t="s">
        <v>88</v>
      </c>
      <c r="U492" s="391">
        <v>5</v>
      </c>
      <c r="V492" s="391" t="s">
        <v>140</v>
      </c>
      <c r="W492" s="391" t="s">
        <v>92</v>
      </c>
      <c r="X492" s="391"/>
      <c r="Y492" s="391"/>
      <c r="Z492" s="3"/>
      <c r="AA492" s="45"/>
      <c r="AB492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2" s="262"/>
      <c r="AD492" s="23">
        <f>IF(Tabela1[[#This Row],[Qtde. Lançada]]&gt;Tabela1[[#This Row],[Comprimento Total]],Tabela1[[#This Row],[Qtde. Lançada]],Tabela1[[#This Row],[Comprimento Total]])</f>
        <v>40</v>
      </c>
      <c r="AE492" s="360" t="s">
        <v>1448</v>
      </c>
      <c r="AF492" s="391" t="s">
        <v>82</v>
      </c>
      <c r="AG492" s="23">
        <f ca="1">SUMIF('Lançamento de Cabos'!AE:AK,Tabela1[[#This Row],[Tag do Cabo]],'Lançamento de Cabos'!AG:AG)</f>
        <v>0</v>
      </c>
      <c r="AH492" s="28">
        <f>IFERROR(VLOOKUP(Tabela1[[#This Row],[Tag do Cabo]],'Lançamento de Cabos'!AE:AK,7,0),0)</f>
        <v>0</v>
      </c>
      <c r="AI492" s="262" t="s">
        <v>1421</v>
      </c>
      <c r="AJ492" s="212"/>
      <c r="AK492" s="46">
        <v>9044579</v>
      </c>
      <c r="AL492" s="262" t="s">
        <v>1422</v>
      </c>
    </row>
    <row r="493" spans="1:38" x14ac:dyDescent="0.25">
      <c r="A493" s="168" t="s">
        <v>1468</v>
      </c>
      <c r="B493" s="391" t="s">
        <v>38</v>
      </c>
      <c r="C493" s="391">
        <v>127</v>
      </c>
      <c r="D493" s="391" t="s">
        <v>80</v>
      </c>
      <c r="E493" s="3" t="s">
        <v>136</v>
      </c>
      <c r="F493" s="11">
        <v>2.5</v>
      </c>
      <c r="G493" s="391">
        <v>1</v>
      </c>
      <c r="H493" s="391">
        <v>40</v>
      </c>
      <c r="I493" s="391">
        <v>40</v>
      </c>
      <c r="J493" s="391" t="s">
        <v>82</v>
      </c>
      <c r="K493" s="262" t="s">
        <v>137</v>
      </c>
      <c r="L493" s="262" t="s">
        <v>1467</v>
      </c>
      <c r="M493" s="23" t="str">
        <f t="shared" si="28"/>
        <v>Sim</v>
      </c>
      <c r="N493" s="23" t="str">
        <f t="shared" si="29"/>
        <v>Sim</v>
      </c>
      <c r="O493" s="23" t="str">
        <f t="shared" si="30"/>
        <v>---</v>
      </c>
      <c r="P493" s="23" t="str">
        <f t="shared" si="31"/>
        <v>---</v>
      </c>
      <c r="Q493" s="391" t="s">
        <v>139</v>
      </c>
      <c r="R493" s="23">
        <f>SUMIF('Lançamento de Cabos'!$B:$B,Tabela1[[#This Row],[Tag do Cabo]],'Lançamento de Cabos'!$C:$C)</f>
        <v>0</v>
      </c>
      <c r="S493" s="23">
        <f>VLOOKUP(Tabela1[[#This Row],[Tag do Cabo]],'Diagramas Ligações'!A:V,14,0)</f>
        <v>24</v>
      </c>
      <c r="T493" s="262" t="s">
        <v>88</v>
      </c>
      <c r="U493" s="391">
        <v>5</v>
      </c>
      <c r="V493" s="391" t="s">
        <v>140</v>
      </c>
      <c r="W493" s="391" t="s">
        <v>92</v>
      </c>
      <c r="X493" s="391"/>
      <c r="Y493" s="391"/>
      <c r="Z493" s="3"/>
      <c r="AA493" s="45"/>
      <c r="AB493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3" s="262"/>
      <c r="AD493" s="23">
        <f>IF(Tabela1[[#This Row],[Qtde. Lançada]]&gt;Tabela1[[#This Row],[Comprimento Total]],Tabela1[[#This Row],[Qtde. Lançada]],Tabela1[[#This Row],[Comprimento Total]])</f>
        <v>40</v>
      </c>
      <c r="AE493" s="360" t="s">
        <v>1448</v>
      </c>
      <c r="AF493" s="391" t="s">
        <v>82</v>
      </c>
      <c r="AG493" s="23">
        <f ca="1">SUMIF('Lançamento de Cabos'!AE:AK,Tabela1[[#This Row],[Tag do Cabo]],'Lançamento de Cabos'!AG:AG)</f>
        <v>0</v>
      </c>
      <c r="AH493" s="28">
        <f>IFERROR(VLOOKUP(Tabela1[[#This Row],[Tag do Cabo]],'Lançamento de Cabos'!AE:AK,7,0),0)</f>
        <v>0</v>
      </c>
      <c r="AI493" s="262" t="s">
        <v>1421</v>
      </c>
      <c r="AJ493" s="212"/>
      <c r="AK493" s="46">
        <v>9044579</v>
      </c>
      <c r="AL493" s="262" t="s">
        <v>1422</v>
      </c>
    </row>
    <row r="494" spans="1:38" x14ac:dyDescent="0.25">
      <c r="A494" s="168" t="s">
        <v>1469</v>
      </c>
      <c r="B494" s="391" t="s">
        <v>38</v>
      </c>
      <c r="C494" s="391">
        <v>127</v>
      </c>
      <c r="D494" s="391" t="s">
        <v>80</v>
      </c>
      <c r="E494" s="3" t="s">
        <v>136</v>
      </c>
      <c r="F494" s="11">
        <v>2.5</v>
      </c>
      <c r="G494" s="391">
        <v>1</v>
      </c>
      <c r="H494" s="391">
        <v>40</v>
      </c>
      <c r="I494" s="391">
        <v>40</v>
      </c>
      <c r="J494" s="391" t="s">
        <v>82</v>
      </c>
      <c r="K494" s="262" t="s">
        <v>1457</v>
      </c>
      <c r="L494" s="262" t="s">
        <v>1467</v>
      </c>
      <c r="M494" s="23" t="str">
        <f t="shared" si="28"/>
        <v>Sim</v>
      </c>
      <c r="N494" s="23" t="str">
        <f t="shared" si="29"/>
        <v>Sim</v>
      </c>
      <c r="O494" s="23" t="str">
        <f t="shared" si="30"/>
        <v>---</v>
      </c>
      <c r="P494" s="23" t="str">
        <f t="shared" si="31"/>
        <v>---</v>
      </c>
      <c r="Q494" s="391" t="s">
        <v>139</v>
      </c>
      <c r="R494" s="23">
        <f>SUMIF('Lançamento de Cabos'!$B:$B,Tabela1[[#This Row],[Tag do Cabo]],'Lançamento de Cabos'!$C:$C)</f>
        <v>0</v>
      </c>
      <c r="S494" s="23">
        <f>VLOOKUP(Tabela1[[#This Row],[Tag do Cabo]],'Diagramas Ligações'!A:V,14,0)</f>
        <v>24</v>
      </c>
      <c r="T494" s="262" t="s">
        <v>88</v>
      </c>
      <c r="U494" s="391">
        <v>5</v>
      </c>
      <c r="V494" s="391" t="s">
        <v>140</v>
      </c>
      <c r="W494" s="391" t="s">
        <v>92</v>
      </c>
      <c r="X494" s="391"/>
      <c r="Y494" s="391"/>
      <c r="Z494" s="3"/>
      <c r="AA494" s="45"/>
      <c r="AB494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4" s="262"/>
      <c r="AD494" s="23">
        <f>IF(Tabela1[[#This Row],[Qtde. Lançada]]&gt;Tabela1[[#This Row],[Comprimento Total]],Tabela1[[#This Row],[Qtde. Lançada]],Tabela1[[#This Row],[Comprimento Total]])</f>
        <v>40</v>
      </c>
      <c r="AE494" s="360" t="s">
        <v>1448</v>
      </c>
      <c r="AF494" s="391" t="s">
        <v>82</v>
      </c>
      <c r="AG494" s="23">
        <f ca="1">SUMIF('Lançamento de Cabos'!AE:AK,Tabela1[[#This Row],[Tag do Cabo]],'Lançamento de Cabos'!AG:AG)</f>
        <v>0</v>
      </c>
      <c r="AH494" s="28">
        <f>IFERROR(VLOOKUP(Tabela1[[#This Row],[Tag do Cabo]],'Lançamento de Cabos'!AE:AK,7,0),0)</f>
        <v>0</v>
      </c>
      <c r="AI494" s="262" t="s">
        <v>1421</v>
      </c>
      <c r="AJ494" s="212"/>
      <c r="AK494" s="46">
        <v>9044579</v>
      </c>
      <c r="AL494" s="262" t="s">
        <v>1422</v>
      </c>
    </row>
    <row r="495" spans="1:38" x14ac:dyDescent="0.25">
      <c r="A495" s="168" t="s">
        <v>1470</v>
      </c>
      <c r="B495" s="391" t="s">
        <v>38</v>
      </c>
      <c r="C495" s="391">
        <v>127</v>
      </c>
      <c r="D495" s="391" t="s">
        <v>80</v>
      </c>
      <c r="E495" s="3" t="s">
        <v>136</v>
      </c>
      <c r="F495" s="11">
        <v>2.5</v>
      </c>
      <c r="G495" s="391">
        <v>1</v>
      </c>
      <c r="H495" s="391">
        <v>40</v>
      </c>
      <c r="I495" s="391">
        <v>40</v>
      </c>
      <c r="J495" s="391" t="s">
        <v>82</v>
      </c>
      <c r="K495" s="262" t="s">
        <v>1455</v>
      </c>
      <c r="L495" s="262" t="s">
        <v>1467</v>
      </c>
      <c r="M495" s="23" t="str">
        <f t="shared" si="28"/>
        <v>Sim</v>
      </c>
      <c r="N495" s="23" t="str">
        <f t="shared" si="29"/>
        <v>Sim</v>
      </c>
      <c r="O495" s="23" t="str">
        <f t="shared" si="30"/>
        <v>---</v>
      </c>
      <c r="P495" s="23" t="str">
        <f t="shared" si="31"/>
        <v>---</v>
      </c>
      <c r="Q495" s="391" t="s">
        <v>139</v>
      </c>
      <c r="R495" s="23">
        <f>SUMIF('Lançamento de Cabos'!$B:$B,Tabela1[[#This Row],[Tag do Cabo]],'Lançamento de Cabos'!$C:$C)</f>
        <v>0</v>
      </c>
      <c r="S495" s="23">
        <f>VLOOKUP(Tabela1[[#This Row],[Tag do Cabo]],'Diagramas Ligações'!A:V,14,0)</f>
        <v>24</v>
      </c>
      <c r="T495" s="262" t="s">
        <v>88</v>
      </c>
      <c r="U495" s="391">
        <v>5</v>
      </c>
      <c r="V495" s="391" t="s">
        <v>140</v>
      </c>
      <c r="W495" s="391" t="s">
        <v>92</v>
      </c>
      <c r="X495" s="391"/>
      <c r="Y495" s="391"/>
      <c r="Z495" s="3"/>
      <c r="AA495" s="45"/>
      <c r="AB495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5" s="262"/>
      <c r="AD495" s="23">
        <f>IF(Tabela1[[#This Row],[Qtde. Lançada]]&gt;Tabela1[[#This Row],[Comprimento Total]],Tabela1[[#This Row],[Qtde. Lançada]],Tabela1[[#This Row],[Comprimento Total]])</f>
        <v>40</v>
      </c>
      <c r="AE495" s="360" t="s">
        <v>1448</v>
      </c>
      <c r="AF495" s="391" t="s">
        <v>82</v>
      </c>
      <c r="AG495" s="23">
        <f ca="1">SUMIF('Lançamento de Cabos'!AE:AK,Tabela1[[#This Row],[Tag do Cabo]],'Lançamento de Cabos'!AG:AG)</f>
        <v>0</v>
      </c>
      <c r="AH495" s="28">
        <f>IFERROR(VLOOKUP(Tabela1[[#This Row],[Tag do Cabo]],'Lançamento de Cabos'!AE:AK,7,0),0)</f>
        <v>0</v>
      </c>
      <c r="AI495" s="262" t="s">
        <v>1421</v>
      </c>
      <c r="AJ495" s="212"/>
      <c r="AK495" s="46">
        <v>9044579</v>
      </c>
      <c r="AL495" s="262" t="s">
        <v>1422</v>
      </c>
    </row>
    <row r="496" spans="1:38" x14ac:dyDescent="0.25">
      <c r="A496" s="168" t="s">
        <v>1471</v>
      </c>
      <c r="B496" s="391" t="s">
        <v>38</v>
      </c>
      <c r="C496" s="391">
        <v>127</v>
      </c>
      <c r="D496" s="391" t="s">
        <v>80</v>
      </c>
      <c r="E496" s="3" t="s">
        <v>136</v>
      </c>
      <c r="F496" s="11">
        <v>2.5</v>
      </c>
      <c r="G496" s="391">
        <v>1</v>
      </c>
      <c r="H496" s="391">
        <v>40</v>
      </c>
      <c r="I496" s="391">
        <v>40</v>
      </c>
      <c r="J496" s="391" t="s">
        <v>82</v>
      </c>
      <c r="K496" s="262" t="s">
        <v>1457</v>
      </c>
      <c r="L496" s="262" t="s">
        <v>1455</v>
      </c>
      <c r="M496" s="23" t="str">
        <f t="shared" si="28"/>
        <v>Sim</v>
      </c>
      <c r="N496" s="23" t="str">
        <f t="shared" si="29"/>
        <v>Sim</v>
      </c>
      <c r="O496" s="23" t="str">
        <f t="shared" si="30"/>
        <v>---</v>
      </c>
      <c r="P496" s="23" t="str">
        <f t="shared" si="31"/>
        <v>---</v>
      </c>
      <c r="Q496" s="391" t="s">
        <v>139</v>
      </c>
      <c r="R496" s="23">
        <f>SUMIF('Lançamento de Cabos'!$B:$B,Tabela1[[#This Row],[Tag do Cabo]],'Lançamento de Cabos'!$C:$C)</f>
        <v>0</v>
      </c>
      <c r="S496" s="23">
        <f>VLOOKUP(Tabela1[[#This Row],[Tag do Cabo]],'Diagramas Ligações'!A:V,14,0)</f>
        <v>24</v>
      </c>
      <c r="T496" s="262" t="s">
        <v>88</v>
      </c>
      <c r="U496" s="391">
        <v>5</v>
      </c>
      <c r="V496" s="391" t="s">
        <v>140</v>
      </c>
      <c r="W496" s="391" t="s">
        <v>92</v>
      </c>
      <c r="X496" s="391"/>
      <c r="Y496" s="391"/>
      <c r="Z496" s="3"/>
      <c r="AA496" s="45"/>
      <c r="AB496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6" s="262"/>
      <c r="AD496" s="23">
        <f>IF(Tabela1[[#This Row],[Qtde. Lançada]]&gt;Tabela1[[#This Row],[Comprimento Total]],Tabela1[[#This Row],[Qtde. Lançada]],Tabela1[[#This Row],[Comprimento Total]])</f>
        <v>40</v>
      </c>
      <c r="AE496" s="360" t="s">
        <v>1448</v>
      </c>
      <c r="AF496" s="391" t="s">
        <v>82</v>
      </c>
      <c r="AG496" s="23">
        <f ca="1">SUMIF('Lançamento de Cabos'!AE:AK,Tabela1[[#This Row],[Tag do Cabo]],'Lançamento de Cabos'!AG:AG)</f>
        <v>0</v>
      </c>
      <c r="AH496" s="28">
        <f>IFERROR(VLOOKUP(Tabela1[[#This Row],[Tag do Cabo]],'Lançamento de Cabos'!AE:AK,7,0),0)</f>
        <v>0</v>
      </c>
      <c r="AI496" s="262" t="s">
        <v>1421</v>
      </c>
      <c r="AJ496" s="212"/>
      <c r="AK496" s="46">
        <v>9044579</v>
      </c>
      <c r="AL496" s="262" t="s">
        <v>1422</v>
      </c>
    </row>
    <row r="497" spans="1:38" x14ac:dyDescent="0.25">
      <c r="A497" s="168" t="s">
        <v>1472</v>
      </c>
      <c r="B497" s="391" t="s">
        <v>38</v>
      </c>
      <c r="C497" s="391">
        <v>127</v>
      </c>
      <c r="D497" s="391" t="s">
        <v>80</v>
      </c>
      <c r="E497" s="3" t="s">
        <v>136</v>
      </c>
      <c r="F497" s="11">
        <v>2.5</v>
      </c>
      <c r="G497" s="391">
        <v>1</v>
      </c>
      <c r="H497" s="391">
        <v>40</v>
      </c>
      <c r="I497" s="391">
        <v>40</v>
      </c>
      <c r="J497" s="391" t="s">
        <v>82</v>
      </c>
      <c r="K497" s="262" t="s">
        <v>137</v>
      </c>
      <c r="L497" s="262" t="s">
        <v>1473</v>
      </c>
      <c r="M497" s="23" t="str">
        <f t="shared" si="28"/>
        <v>Sim</v>
      </c>
      <c r="N497" s="23" t="str">
        <f t="shared" si="29"/>
        <v>Sim</v>
      </c>
      <c r="O497" s="23" t="str">
        <f t="shared" si="30"/>
        <v>---</v>
      </c>
      <c r="P497" s="23" t="str">
        <f t="shared" si="31"/>
        <v>---</v>
      </c>
      <c r="Q497" s="391" t="s">
        <v>139</v>
      </c>
      <c r="R497" s="23">
        <f>SUMIF('Lançamento de Cabos'!$B:$B,Tabela1[[#This Row],[Tag do Cabo]],'Lançamento de Cabos'!$C:$C)</f>
        <v>0</v>
      </c>
      <c r="S497" s="23">
        <f>VLOOKUP(Tabela1[[#This Row],[Tag do Cabo]],'Diagramas Ligações'!A:V,14,0)</f>
        <v>24</v>
      </c>
      <c r="T497" s="262" t="s">
        <v>88</v>
      </c>
      <c r="U497" s="391">
        <v>5</v>
      </c>
      <c r="V497" s="391" t="s">
        <v>140</v>
      </c>
      <c r="W497" s="391" t="s">
        <v>92</v>
      </c>
      <c r="X497" s="391"/>
      <c r="Y497" s="391"/>
      <c r="Z497" s="3"/>
      <c r="AA497" s="45"/>
      <c r="AB497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7" s="262"/>
      <c r="AD497" s="23">
        <f>IF(Tabela1[[#This Row],[Qtde. Lançada]]&gt;Tabela1[[#This Row],[Comprimento Total]],Tabela1[[#This Row],[Qtde. Lançada]],Tabela1[[#This Row],[Comprimento Total]])</f>
        <v>40</v>
      </c>
      <c r="AE497" s="360" t="s">
        <v>1448</v>
      </c>
      <c r="AF497" s="391" t="s">
        <v>82</v>
      </c>
      <c r="AG497" s="23">
        <f ca="1">SUMIF('Lançamento de Cabos'!AE:AK,Tabela1[[#This Row],[Tag do Cabo]],'Lançamento de Cabos'!AG:AG)</f>
        <v>0</v>
      </c>
      <c r="AH497" s="28">
        <f>IFERROR(VLOOKUP(Tabela1[[#This Row],[Tag do Cabo]],'Lançamento de Cabos'!AE:AK,7,0),0)</f>
        <v>0</v>
      </c>
      <c r="AI497" s="262" t="s">
        <v>1421</v>
      </c>
      <c r="AJ497" s="212"/>
      <c r="AK497" s="46">
        <v>9044579</v>
      </c>
      <c r="AL497" s="262" t="s">
        <v>1422</v>
      </c>
    </row>
    <row r="498" spans="1:38" x14ac:dyDescent="0.25">
      <c r="A498" s="168" t="s">
        <v>1474</v>
      </c>
      <c r="B498" s="391" t="s">
        <v>38</v>
      </c>
      <c r="C498" s="391">
        <v>127</v>
      </c>
      <c r="D498" s="391" t="s">
        <v>80</v>
      </c>
      <c r="E498" s="3" t="s">
        <v>136</v>
      </c>
      <c r="F498" s="11">
        <v>2.5</v>
      </c>
      <c r="G498" s="391">
        <v>1</v>
      </c>
      <c r="H498" s="391">
        <v>40</v>
      </c>
      <c r="I498" s="391">
        <v>40</v>
      </c>
      <c r="J498" s="391" t="s">
        <v>82</v>
      </c>
      <c r="K498" s="262" t="s">
        <v>1475</v>
      </c>
      <c r="L498" s="262" t="s">
        <v>1476</v>
      </c>
      <c r="M498" s="23" t="str">
        <f>IF(AND(C498&gt;1000,D498="8,7/15"),"---","Sim")</f>
        <v>Sim</v>
      </c>
      <c r="N498" s="23" t="str">
        <f>"Sim"</f>
        <v>Sim</v>
      </c>
      <c r="O498" s="23" t="str">
        <f>IF(OR(C498&lt;1000,C498="-"),"---","Sim")</f>
        <v>---</v>
      </c>
      <c r="P498" s="23" t="str">
        <f>IF(OR(C498&lt;1000,C498="-"),"---","Sim")</f>
        <v>---</v>
      </c>
      <c r="Q498" s="391" t="s">
        <v>139</v>
      </c>
      <c r="R498" s="23">
        <f>SUMIF('Lançamento de Cabos'!$B:$B,Tabela1[[#This Row],[Tag do Cabo]],'Lançamento de Cabos'!$C:$C)</f>
        <v>0</v>
      </c>
      <c r="S498" s="23">
        <f>VLOOKUP(Tabela1[[#This Row],[Tag do Cabo]],'Diagramas Ligações'!A:V,14,0)</f>
        <v>24</v>
      </c>
      <c r="T498" s="262" t="s">
        <v>88</v>
      </c>
      <c r="U498" s="391">
        <v>5</v>
      </c>
      <c r="V498" s="391" t="s">
        <v>140</v>
      </c>
      <c r="W498" s="391" t="s">
        <v>92</v>
      </c>
      <c r="X498" s="391"/>
      <c r="Y498" s="391"/>
      <c r="Z498" s="3"/>
      <c r="AA498" s="45"/>
      <c r="AB498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8" s="262"/>
      <c r="AD498" s="23">
        <f>IF(Tabela1[[#This Row],[Qtde. Lançada]]&gt;Tabela1[[#This Row],[Comprimento Total]],Tabela1[[#This Row],[Qtde. Lançada]],Tabela1[[#This Row],[Comprimento Total]])</f>
        <v>40</v>
      </c>
      <c r="AE498" s="360" t="s">
        <v>1448</v>
      </c>
      <c r="AF498" s="391" t="s">
        <v>82</v>
      </c>
      <c r="AG498" s="23">
        <f ca="1">SUMIF('Lançamento de Cabos'!AE:AK,Tabela1[[#This Row],[Tag do Cabo]],'Lançamento de Cabos'!AG:AG)</f>
        <v>0</v>
      </c>
      <c r="AH498" s="28">
        <f>IFERROR(VLOOKUP(Tabela1[[#This Row],[Tag do Cabo]],'Lançamento de Cabos'!AE:AK,7,0),0)</f>
        <v>0</v>
      </c>
      <c r="AI498" s="262" t="s">
        <v>1421</v>
      </c>
      <c r="AJ498" s="212"/>
      <c r="AK498" s="46">
        <v>9044579</v>
      </c>
      <c r="AL498" s="262" t="s">
        <v>1422</v>
      </c>
    </row>
    <row r="499" spans="1:38" x14ac:dyDescent="0.25">
      <c r="A499" s="168" t="s">
        <v>1477</v>
      </c>
      <c r="B499" s="391" t="s">
        <v>38</v>
      </c>
      <c r="C499" s="391">
        <v>127</v>
      </c>
      <c r="D499" s="391" t="s">
        <v>80</v>
      </c>
      <c r="E499" s="3" t="s">
        <v>136</v>
      </c>
      <c r="F499" s="11">
        <v>2.5</v>
      </c>
      <c r="G499" s="391">
        <v>1</v>
      </c>
      <c r="H499" s="391">
        <v>40</v>
      </c>
      <c r="I499" s="391">
        <v>40</v>
      </c>
      <c r="J499" s="391" t="s">
        <v>82</v>
      </c>
      <c r="K499" s="262" t="s">
        <v>1478</v>
      </c>
      <c r="L499" s="262" t="s">
        <v>1476</v>
      </c>
      <c r="M499" s="23" t="str">
        <f>IF(AND(C499&gt;1000,D499="8,7/15"),"---","Sim")</f>
        <v>Sim</v>
      </c>
      <c r="N499" s="23" t="str">
        <f>"Sim"</f>
        <v>Sim</v>
      </c>
      <c r="O499" s="23" t="str">
        <f>IF(OR(C499&lt;1000,C499="-"),"---","Sim")</f>
        <v>---</v>
      </c>
      <c r="P499" s="23" t="str">
        <f>IF(OR(C499&lt;1000,C499="-"),"---","Sim")</f>
        <v>---</v>
      </c>
      <c r="Q499" s="391" t="s">
        <v>139</v>
      </c>
      <c r="R499" s="23">
        <f>SUMIF('Lançamento de Cabos'!$B:$B,Tabela1[[#This Row],[Tag do Cabo]],'Lançamento de Cabos'!$C:$C)</f>
        <v>0</v>
      </c>
      <c r="S499" s="23">
        <f>VLOOKUP(Tabela1[[#This Row],[Tag do Cabo]],'Diagramas Ligações'!A:V,14,0)</f>
        <v>24</v>
      </c>
      <c r="T499" s="262" t="s">
        <v>88</v>
      </c>
      <c r="U499" s="391">
        <v>5</v>
      </c>
      <c r="V499" s="391" t="s">
        <v>140</v>
      </c>
      <c r="W499" s="391" t="s">
        <v>92</v>
      </c>
      <c r="X499" s="391"/>
      <c r="Y499" s="391"/>
      <c r="Z499" s="3"/>
      <c r="AA499" s="45"/>
      <c r="AB499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499" s="262"/>
      <c r="AD499" s="23">
        <f>IF(Tabela1[[#This Row],[Qtde. Lançada]]&gt;Tabela1[[#This Row],[Comprimento Total]],Tabela1[[#This Row],[Qtde. Lançada]],Tabela1[[#This Row],[Comprimento Total]])</f>
        <v>40</v>
      </c>
      <c r="AE499" s="360" t="s">
        <v>1448</v>
      </c>
      <c r="AF499" s="391" t="s">
        <v>82</v>
      </c>
      <c r="AG499" s="23">
        <f ca="1">SUMIF('Lançamento de Cabos'!AE:AK,Tabela1[[#This Row],[Tag do Cabo]],'Lançamento de Cabos'!AG:AG)</f>
        <v>0</v>
      </c>
      <c r="AH499" s="28">
        <f>IFERROR(VLOOKUP(Tabela1[[#This Row],[Tag do Cabo]],'Lançamento de Cabos'!AE:AK,7,0),0)</f>
        <v>0</v>
      </c>
      <c r="AI499" s="262" t="s">
        <v>1421</v>
      </c>
      <c r="AJ499" s="212"/>
      <c r="AK499" s="46">
        <v>9044579</v>
      </c>
      <c r="AL499" s="262" t="s">
        <v>1422</v>
      </c>
    </row>
    <row r="500" spans="1:38" x14ac:dyDescent="0.25">
      <c r="A500" s="168" t="s">
        <v>1479</v>
      </c>
      <c r="B500" s="391" t="s">
        <v>40</v>
      </c>
      <c r="C500" s="391" t="s">
        <v>92</v>
      </c>
      <c r="D500" s="391" t="s">
        <v>92</v>
      </c>
      <c r="E500" s="3" t="s">
        <v>318</v>
      </c>
      <c r="F500" s="11" t="s">
        <v>92</v>
      </c>
      <c r="G500" s="391">
        <v>1</v>
      </c>
      <c r="H500" s="391">
        <v>20</v>
      </c>
      <c r="I500" s="391">
        <v>20</v>
      </c>
      <c r="J500" s="391" t="s">
        <v>319</v>
      </c>
      <c r="K500" s="262" t="s">
        <v>1480</v>
      </c>
      <c r="L500" s="262" t="s">
        <v>155</v>
      </c>
      <c r="M500" s="23" t="str">
        <f>IF(AND(C500&gt;1000,D500="8,7/15"),"---","Sim")</f>
        <v>Sim</v>
      </c>
      <c r="N500" s="23" t="str">
        <f>"Sim"</f>
        <v>Sim</v>
      </c>
      <c r="O500" s="23" t="str">
        <f>IF(OR(C500&lt;1000,C500="-"),"---","Sim")</f>
        <v>---</v>
      </c>
      <c r="P500" s="23" t="str">
        <f>IF(OR(C500&lt;1000,C500="-"),"---","Sim")</f>
        <v>---</v>
      </c>
      <c r="Q500" s="391" t="s">
        <v>106</v>
      </c>
      <c r="R500" s="23">
        <f>SUMIF('Lançamento de Cabos'!$B:$B,Tabela1[[#This Row],[Tag do Cabo]],'Lançamento de Cabos'!$C:$C)</f>
        <v>0</v>
      </c>
      <c r="S500" s="23">
        <f>VLOOKUP(Tabela1[[#This Row],[Tag do Cabo]],'Diagramas Ligações'!A:V,14,0)</f>
        <v>2</v>
      </c>
      <c r="T500" s="262" t="s">
        <v>88</v>
      </c>
      <c r="U500" s="391">
        <v>5</v>
      </c>
      <c r="V500" s="391" t="s">
        <v>107</v>
      </c>
      <c r="W500" s="391" t="s">
        <v>92</v>
      </c>
      <c r="X500" s="391"/>
      <c r="Y500" s="391"/>
      <c r="Z500" s="3"/>
      <c r="AA500" s="45"/>
      <c r="AB500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500" s="262"/>
      <c r="AD500" s="23">
        <f>IF(Tabela1[[#This Row],[Qtde. Lançada]]&gt;Tabela1[[#This Row],[Comprimento Total]],Tabela1[[#This Row],[Qtde. Lançada]],Tabela1[[#This Row],[Comprimento Total]])</f>
        <v>20</v>
      </c>
      <c r="AE500" s="262" t="s">
        <v>156</v>
      </c>
      <c r="AF500" s="391" t="s">
        <v>201</v>
      </c>
      <c r="AG500" s="23">
        <f ca="1">SUMIF('Lançamento de Cabos'!AE:AK,Tabela1[[#This Row],[Tag do Cabo]],'Lançamento de Cabos'!AG:AG)</f>
        <v>0</v>
      </c>
      <c r="AH500" s="28">
        <f>IFERROR(VLOOKUP(Tabela1[[#This Row],[Tag do Cabo]],'Lançamento de Cabos'!AE:AK,7,0),0)</f>
        <v>0</v>
      </c>
      <c r="AI500" s="262" t="s">
        <v>98</v>
      </c>
      <c r="AJ500" s="212" t="s">
        <v>110</v>
      </c>
      <c r="AK500" s="46">
        <v>3143911</v>
      </c>
      <c r="AL500" s="262" t="s">
        <v>1422</v>
      </c>
    </row>
    <row r="501" spans="1:38" x14ac:dyDescent="0.25">
      <c r="A501" s="168" t="s">
        <v>1481</v>
      </c>
      <c r="B501" s="391" t="s">
        <v>40</v>
      </c>
      <c r="C501" s="391" t="s">
        <v>92</v>
      </c>
      <c r="D501" s="391" t="s">
        <v>92</v>
      </c>
      <c r="E501" s="3" t="s">
        <v>318</v>
      </c>
      <c r="F501" s="11" t="s">
        <v>92</v>
      </c>
      <c r="G501" s="391">
        <v>1</v>
      </c>
      <c r="H501" s="391">
        <v>40</v>
      </c>
      <c r="I501" s="391">
        <v>40</v>
      </c>
      <c r="J501" s="391" t="s">
        <v>319</v>
      </c>
      <c r="K501" s="262" t="s">
        <v>1482</v>
      </c>
      <c r="L501" s="262" t="s">
        <v>155</v>
      </c>
      <c r="M501" s="23" t="str">
        <f>IF(AND(C501&gt;1000,D501="8,7/15"),"---","Sim")</f>
        <v>Sim</v>
      </c>
      <c r="N501" s="23" t="str">
        <f>"Sim"</f>
        <v>Sim</v>
      </c>
      <c r="O501" s="23" t="str">
        <f>IF(OR(C501&lt;1000,C501="-"),"---","Sim")</f>
        <v>---</v>
      </c>
      <c r="P501" s="23" t="str">
        <f>IF(OR(C501&lt;1000,C501="-"),"---","Sim")</f>
        <v>---</v>
      </c>
      <c r="Q501" s="391" t="s">
        <v>106</v>
      </c>
      <c r="R501" s="23">
        <f>SUMIF('Lançamento de Cabos'!$B:$B,Tabela1[[#This Row],[Tag do Cabo]],'Lançamento de Cabos'!$C:$C)</f>
        <v>0</v>
      </c>
      <c r="S501" s="23">
        <f>VLOOKUP(Tabela1[[#This Row],[Tag do Cabo]],'Diagramas Ligações'!A:V,14,0)</f>
        <v>2</v>
      </c>
      <c r="T501" s="262" t="s">
        <v>88</v>
      </c>
      <c r="U501" s="391">
        <v>5</v>
      </c>
      <c r="V501" s="391" t="s">
        <v>107</v>
      </c>
      <c r="W501" s="391" t="s">
        <v>92</v>
      </c>
      <c r="X501" s="391"/>
      <c r="Y501" s="391"/>
      <c r="Z501" s="3"/>
      <c r="AA501" s="45"/>
      <c r="AB501" s="23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Não Solic.</v>
      </c>
      <c r="AC501" s="262"/>
      <c r="AD501" s="23">
        <f>IF(Tabela1[[#This Row],[Qtde. Lançada]]&gt;Tabela1[[#This Row],[Comprimento Total]],Tabela1[[#This Row],[Qtde. Lançada]],Tabela1[[#This Row],[Comprimento Total]])</f>
        <v>40</v>
      </c>
      <c r="AE501" s="262" t="s">
        <v>156</v>
      </c>
      <c r="AF501" s="391" t="s">
        <v>201</v>
      </c>
      <c r="AG501" s="23">
        <f ca="1">SUMIF('Lançamento de Cabos'!AE:AK,Tabela1[[#This Row],[Tag do Cabo]],'Lançamento de Cabos'!AG:AG)</f>
        <v>0</v>
      </c>
      <c r="AH501" s="28">
        <f>IFERROR(VLOOKUP(Tabela1[[#This Row],[Tag do Cabo]],'Lançamento de Cabos'!AE:AK,7,0),0)</f>
        <v>0</v>
      </c>
      <c r="AI501" s="262" t="s">
        <v>98</v>
      </c>
      <c r="AJ501" s="212" t="s">
        <v>110</v>
      </c>
      <c r="AK501" s="46">
        <v>3143911</v>
      </c>
      <c r="AL501" s="262" t="s">
        <v>1422</v>
      </c>
    </row>
  </sheetData>
  <sheetProtection autoFilter="0"/>
  <conditionalFormatting sqref="A448">
    <cfRule type="duplicateValues" dxfId="243" priority="7"/>
  </conditionalFormatting>
  <conditionalFormatting sqref="A464:A465">
    <cfRule type="duplicateValues" dxfId="242" priority="6"/>
  </conditionalFormatting>
  <conditionalFormatting sqref="A466:A467">
    <cfRule type="duplicateValues" dxfId="241" priority="5"/>
  </conditionalFormatting>
  <conditionalFormatting sqref="A468:A469">
    <cfRule type="duplicateValues" dxfId="240" priority="4"/>
  </conditionalFormatting>
  <conditionalFormatting sqref="A468:A469">
    <cfRule type="duplicateValues" dxfId="239" priority="3"/>
  </conditionalFormatting>
  <conditionalFormatting sqref="A475">
    <cfRule type="duplicateValues" dxfId="238" priority="2"/>
  </conditionalFormatting>
  <conditionalFormatting sqref="A476">
    <cfRule type="duplicateValues" dxfId="237" priority="1"/>
  </conditionalFormatting>
  <conditionalFormatting sqref="A2:A501">
    <cfRule type="duplicateValues" dxfId="236" priority="103"/>
  </conditionalFormatting>
  <pageMargins left="0.51181102362204722" right="0" top="0.19685039370078741" bottom="0.19685039370078741" header="0" footer="0"/>
  <pageSetup paperSize="8" scale="64" fitToHeight="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6">
    <tabColor rgb="FF7030A0"/>
    <pageSetUpPr fitToPage="1"/>
  </sheetPr>
  <dimension ref="A1:AK427"/>
  <sheetViews>
    <sheetView topLeftCell="A153" zoomScaleNormal="100" workbookViewId="0">
      <selection activeCell="B164" sqref="B164"/>
    </sheetView>
  </sheetViews>
  <sheetFormatPr defaultRowHeight="15" x14ac:dyDescent="0.25"/>
  <cols>
    <col min="1" max="1" width="11.28515625" style="1" bestFit="1" customWidth="1"/>
    <col min="2" max="2" width="23.28515625" customWidth="1"/>
    <col min="3" max="3" width="14.85546875" style="1" bestFit="1" customWidth="1"/>
    <col min="4" max="4" width="9.5703125" style="1" bestFit="1" customWidth="1"/>
    <col min="5" max="5" width="9.42578125" style="1" bestFit="1" customWidth="1"/>
    <col min="6" max="6" width="9.7109375" style="1" bestFit="1" customWidth="1"/>
    <col min="7" max="7" width="27.28515625" style="3" customWidth="1"/>
    <col min="8" max="9" width="13.85546875" style="3" customWidth="1"/>
    <col min="10" max="10" width="12.28515625" style="221" customWidth="1"/>
    <col min="11" max="12" width="12.28515625" style="3" customWidth="1"/>
    <col min="14" max="14" width="11.28515625" customWidth="1"/>
    <col min="15" max="15" width="29.28515625" customWidth="1"/>
    <col min="16" max="16" width="28.140625" customWidth="1"/>
    <col min="17" max="17" width="12.5703125" customWidth="1"/>
    <col min="18" max="18" width="12.5703125" hidden="1" customWidth="1"/>
    <col min="19" max="19" width="20.7109375" customWidth="1"/>
    <col min="21" max="21" width="0" hidden="1" customWidth="1"/>
    <col min="22" max="22" width="10.85546875" style="25" customWidth="1"/>
    <col min="30" max="30" width="10.85546875" bestFit="1" customWidth="1"/>
    <col min="31" max="31" width="24" customWidth="1"/>
    <col min="32" max="32" width="15.140625" customWidth="1"/>
    <col min="33" max="33" width="13" bestFit="1" customWidth="1"/>
    <col min="34" max="34" width="9.5703125" bestFit="1" customWidth="1"/>
    <col min="35" max="35" width="12.85546875" bestFit="1" customWidth="1"/>
  </cols>
  <sheetData>
    <row r="1" spans="1:37" x14ac:dyDescent="0.25">
      <c r="A1" s="1" t="s">
        <v>1483</v>
      </c>
      <c r="B1" s="1" t="s">
        <v>1484</v>
      </c>
      <c r="C1" s="1" t="s">
        <v>1485</v>
      </c>
      <c r="D1" s="1" t="s">
        <v>1486</v>
      </c>
      <c r="E1" s="1" t="s">
        <v>4</v>
      </c>
      <c r="F1" s="1" t="s">
        <v>1487</v>
      </c>
      <c r="G1" s="5" t="s">
        <v>1488</v>
      </c>
      <c r="H1" s="5" t="s">
        <v>1489</v>
      </c>
      <c r="I1" s="5" t="s">
        <v>1490</v>
      </c>
      <c r="J1" s="220" t="s">
        <v>1491</v>
      </c>
      <c r="K1" s="5" t="s">
        <v>1492</v>
      </c>
      <c r="L1" s="5" t="s">
        <v>48</v>
      </c>
      <c r="N1" s="1" t="s">
        <v>1493</v>
      </c>
      <c r="O1" s="1" t="s">
        <v>1494</v>
      </c>
      <c r="P1" s="1" t="s">
        <v>1495</v>
      </c>
      <c r="Q1" s="1" t="s">
        <v>1486</v>
      </c>
      <c r="R1" s="1" t="s">
        <v>1496</v>
      </c>
      <c r="S1" s="1" t="s">
        <v>1497</v>
      </c>
      <c r="T1" s="1" t="s">
        <v>1498</v>
      </c>
      <c r="U1" s="1" t="s">
        <v>1487</v>
      </c>
      <c r="V1" s="1" t="s">
        <v>5</v>
      </c>
      <c r="W1" s="1" t="s">
        <v>1499</v>
      </c>
      <c r="X1" s="1" t="s">
        <v>1500</v>
      </c>
      <c r="Y1" s="1" t="s">
        <v>1501</v>
      </c>
      <c r="Z1" s="1" t="s">
        <v>18</v>
      </c>
      <c r="AA1" s="1" t="s">
        <v>19</v>
      </c>
      <c r="AB1" s="1" t="s">
        <v>1502</v>
      </c>
      <c r="AD1" s="1" t="s">
        <v>1503</v>
      </c>
      <c r="AE1" s="1" t="s">
        <v>1494</v>
      </c>
      <c r="AF1" s="1" t="s">
        <v>22</v>
      </c>
      <c r="AG1" s="1" t="s">
        <v>23</v>
      </c>
      <c r="AH1" s="1" t="s">
        <v>1486</v>
      </c>
      <c r="AI1" s="1" t="s">
        <v>1504</v>
      </c>
      <c r="AJ1" s="1" t="s">
        <v>1487</v>
      </c>
      <c r="AK1" s="1" t="s">
        <v>33</v>
      </c>
    </row>
    <row r="2" spans="1:37" x14ac:dyDescent="0.25">
      <c r="A2" s="391">
        <v>1</v>
      </c>
      <c r="B2" s="7" t="s">
        <v>591</v>
      </c>
      <c r="C2" s="391">
        <v>320</v>
      </c>
      <c r="D2" s="32">
        <v>44069</v>
      </c>
      <c r="E2" s="32" t="str">
        <f>VLOOKUP(Tabela2[[#This Row],[Tag]],BD!$A:$B,2,0)</f>
        <v>Força</v>
      </c>
      <c r="F2" s="32" t="str">
        <f>VLOOKUP(Tabela2[[#This Row],[Tag]],BD!A:J,10,0)</f>
        <v>30LV</v>
      </c>
      <c r="G2" s="31" t="str">
        <f>VLOOKUP(Tabela2[[#This Row],[Tag]],BD!$A:$V,20,0)</f>
        <v>BK-SP54-0900A-LC-74-00001_00000</v>
      </c>
      <c r="H2" s="32" t="str">
        <f>IF(VLOOKUP(Tabela2[[#This Row],[Tag]],BD!A:T,17,0)=0,"",VLOOKUP(Tabela2[[#This Row],[Tag]],BD!A:T,17,0))</f>
        <v>5.2.13</v>
      </c>
      <c r="I2" s="139">
        <v>44044</v>
      </c>
      <c r="J2" s="155">
        <f>VLOOKUP(Tabela2[[#This Row],[Tag]],BD!$A:$AE,30,0)</f>
        <v>1440</v>
      </c>
      <c r="K2" s="29">
        <f>SUMIF(B:B,Tabela2[[#This Row],[Tag]],C:C)/Tabela2[[#This Row],[Comprim. Real]]</f>
        <v>1</v>
      </c>
      <c r="L2" s="29" t="str">
        <f>VLOOKUP(Tabela2[[#This Row],[Tag]],BD!A:AF,32,0)</f>
        <v>7HVx30LV</v>
      </c>
      <c r="N2" s="21">
        <v>1</v>
      </c>
      <c r="O2" s="21" t="s">
        <v>591</v>
      </c>
      <c r="P2" s="21" t="s">
        <v>18</v>
      </c>
      <c r="Q2" s="26">
        <v>44125</v>
      </c>
      <c r="R2" s="27">
        <f>VLOOKUP(Tabela5[[#This Row],[Teste]],Referências!$D$2:$E$5,2,0)</f>
        <v>3</v>
      </c>
      <c r="S2" s="23" t="str">
        <f>Tabela5[[#This Row],[TAG]]&amp;"-"&amp;Tabela5[[#This Row],[COD_Test]]</f>
        <v>30LV-TCC-49-7HV-001F-3</v>
      </c>
      <c r="T2" s="21" t="s">
        <v>1505</v>
      </c>
      <c r="U2" s="21" t="str">
        <f>VLOOKUP(Tabela5[[#This Row],[TAG]],BD!A:J,10,0)</f>
        <v>30LV</v>
      </c>
      <c r="V2" s="3" t="str">
        <f>VLOOKUP(Tabela5[[#This Row],[TAG]],BD!A:E,5,0)</f>
        <v>3x3x1/C#185</v>
      </c>
      <c r="W2" s="21">
        <v>9</v>
      </c>
      <c r="X2" s="245">
        <f>VLOOKUP(Tabela5[[#This Row],[TAG]],$AE:$AK,7,0)</f>
        <v>1</v>
      </c>
      <c r="Y2" s="245" t="str">
        <f>VLOOKUP(Tabela5[[#This Row],[TAG]],BD!A:P,14,0)</f>
        <v>---</v>
      </c>
      <c r="Z2" s="245" t="str">
        <f>VLOOKUP(Tabela5[[#This Row],[TAG]],BD!A:P,15,0)</f>
        <v>Sim</v>
      </c>
      <c r="AA2" s="245" t="str">
        <f>VLOOKUP(Tabela5[[#This Row],[TAG]],BD!A:P,16,0)</f>
        <v>---</v>
      </c>
      <c r="AB2" s="245"/>
      <c r="AD2" s="391">
        <v>1</v>
      </c>
      <c r="AE2" s="391" t="s">
        <v>591</v>
      </c>
      <c r="AF2" s="391" t="s">
        <v>92</v>
      </c>
      <c r="AG2" s="391">
        <v>18</v>
      </c>
      <c r="AH2" s="32">
        <v>44125</v>
      </c>
      <c r="AI2" s="391">
        <f>VLOOKUP(Tabela7[[#This Row],[TAG]],BD!$A:$V,19,0)</f>
        <v>18</v>
      </c>
      <c r="AJ2" s="391" t="str">
        <f>VLOOKUP(Tabela7[[#This Row],[TAG]],BD!A:J,10,0)</f>
        <v>30LV</v>
      </c>
      <c r="AK2" s="29">
        <f>SUMIF(AE:AE,Tabela7[[#This Row],[TAG]],AG:AG)/Tabela7[[#This Row],[Qtde Lig]]</f>
        <v>1</v>
      </c>
    </row>
    <row r="3" spans="1:37" x14ac:dyDescent="0.25">
      <c r="A3" s="391">
        <v>2</v>
      </c>
      <c r="B3" s="7" t="s">
        <v>591</v>
      </c>
      <c r="C3" s="391">
        <v>640</v>
      </c>
      <c r="D3" s="32">
        <v>44070</v>
      </c>
      <c r="E3" s="32" t="str">
        <f>VLOOKUP(Tabela2[[#This Row],[Tag]],BD!$A:$B,2,0)</f>
        <v>Força</v>
      </c>
      <c r="F3" s="32" t="str">
        <f>VLOOKUP(Tabela2[[#This Row],[Tag]],BD!A:J,10,0)</f>
        <v>30LV</v>
      </c>
      <c r="G3" s="31" t="str">
        <f>VLOOKUP(Tabela2[[#This Row],[Tag]],BD!$A:$V,20,0)</f>
        <v>BK-SP54-0900A-LC-74-00001_00000</v>
      </c>
      <c r="H3" s="32" t="str">
        <f>IF(VLOOKUP(Tabela2[[#This Row],[Tag]],BD!A:T,17,0)=0,"",VLOOKUP(Tabela2[[#This Row],[Tag]],BD!A:T,17,0))</f>
        <v>5.2.13</v>
      </c>
      <c r="I3" s="139">
        <v>44044</v>
      </c>
      <c r="J3" s="155">
        <f>VLOOKUP(Tabela2[[#This Row],[Tag]],BD!$A:$AE,30,0)</f>
        <v>1440</v>
      </c>
      <c r="K3" s="29">
        <f>SUMIF(B:B,Tabela2[[#This Row],[Tag]],C:C)/Tabela2[[#This Row],[Comprim. Real]]</f>
        <v>1</v>
      </c>
      <c r="L3" s="29" t="str">
        <f>VLOOKUP(Tabela2[[#This Row],[Tag]],BD!A:AF,32,0)</f>
        <v>7HVx30LV</v>
      </c>
      <c r="N3" s="21">
        <v>2</v>
      </c>
      <c r="O3" s="21" t="s">
        <v>591</v>
      </c>
      <c r="P3" s="21" t="s">
        <v>16</v>
      </c>
      <c r="Q3" s="26">
        <v>44125</v>
      </c>
      <c r="R3" s="27">
        <f>VLOOKUP(Tabela5[[#This Row],[Teste]],Referências!$D$2:$E$5,2,0)</f>
        <v>1</v>
      </c>
      <c r="S3" s="27" t="str">
        <f>Tabela5[[#This Row],[TAG]]&amp;"-"&amp;Tabela5[[#This Row],[COD_Test]]</f>
        <v>30LV-TCC-49-7HV-001F-1</v>
      </c>
      <c r="T3" s="21" t="s">
        <v>1505</v>
      </c>
      <c r="U3" s="21" t="str">
        <f>VLOOKUP(Tabela5[[#This Row],[TAG]],BD!A:J,10,0)</f>
        <v>30LV</v>
      </c>
      <c r="V3" s="24" t="str">
        <f>VLOOKUP(Tabela5[[#This Row],[TAG]],BD!A:E,5,0)</f>
        <v>3x3x1/C#185</v>
      </c>
      <c r="W3" s="21">
        <v>9</v>
      </c>
      <c r="X3" s="256">
        <f>VLOOKUP(Tabela5[[#This Row],[TAG]],$AE:$AK,7,0)</f>
        <v>1</v>
      </c>
      <c r="Y3" s="256" t="str">
        <f>VLOOKUP(Tabela5[[#This Row],[TAG]],BD!A:P,14,0)</f>
        <v>---</v>
      </c>
      <c r="Z3" s="256" t="str">
        <f>VLOOKUP(Tabela5[[#This Row],[TAG]],BD!A:P,15,0)</f>
        <v>Sim</v>
      </c>
      <c r="AA3" s="256" t="str">
        <f>VLOOKUP(Tabela5[[#This Row],[TAG]],BD!A:P,16,0)</f>
        <v>---</v>
      </c>
      <c r="AB3" s="256"/>
      <c r="AD3" s="391">
        <v>2</v>
      </c>
      <c r="AE3" s="391" t="s">
        <v>438</v>
      </c>
      <c r="AF3" s="391" t="s">
        <v>92</v>
      </c>
      <c r="AG3" s="391">
        <v>6</v>
      </c>
      <c r="AH3" s="32">
        <v>44151</v>
      </c>
      <c r="AI3" s="391">
        <f>VLOOKUP(Tabela7[[#This Row],[TAG]],BD!$A:$V,19,0)</f>
        <v>6</v>
      </c>
      <c r="AJ3" s="23" t="str">
        <f>VLOOKUP(Tabela7[[#This Row],[TAG]],BD!A:J,10,0)</f>
        <v>7HV</v>
      </c>
      <c r="AK3" s="28">
        <f>SUMIF(AE:AE,Tabela7[[#This Row],[TAG]],AG:AG)/Tabela7[[#This Row],[Qtde Lig]]</f>
        <v>1</v>
      </c>
    </row>
    <row r="4" spans="1:37" x14ac:dyDescent="0.25">
      <c r="A4" s="391">
        <v>3</v>
      </c>
      <c r="B4" s="7" t="s">
        <v>591</v>
      </c>
      <c r="C4" s="391">
        <v>480</v>
      </c>
      <c r="D4" s="32">
        <v>44071</v>
      </c>
      <c r="E4" s="32" t="str">
        <f>VLOOKUP(Tabela2[[#This Row],[Tag]],BD!$A:$B,2,0)</f>
        <v>Força</v>
      </c>
      <c r="F4" s="32" t="str">
        <f>VLOOKUP(Tabela2[[#This Row],[Tag]],BD!A:J,10,0)</f>
        <v>30LV</v>
      </c>
      <c r="G4" s="31" t="str">
        <f>VLOOKUP(Tabela2[[#This Row],[Tag]],BD!$A:$V,20,0)</f>
        <v>BK-SP54-0900A-LC-74-00001_00000</v>
      </c>
      <c r="H4" s="32" t="str">
        <f>IF(VLOOKUP(Tabela2[[#This Row],[Tag]],BD!A:T,17,0)=0,"",VLOOKUP(Tabela2[[#This Row],[Tag]],BD!A:T,17,0))</f>
        <v>5.2.13</v>
      </c>
      <c r="I4" s="139">
        <v>44044</v>
      </c>
      <c r="J4" s="155">
        <f>VLOOKUP(Tabela2[[#This Row],[Tag]],BD!$A:$AE,30,0)</f>
        <v>1440</v>
      </c>
      <c r="K4" s="29">
        <f>SUMIF(B:B,Tabela2[[#This Row],[Tag]],C:C)/Tabela2[[#This Row],[Comprim. Real]]</f>
        <v>1</v>
      </c>
      <c r="L4" s="29" t="str">
        <f>VLOOKUP(Tabela2[[#This Row],[Tag]],BD!A:AF,32,0)</f>
        <v>7HVx30LV</v>
      </c>
      <c r="N4" s="21">
        <v>3</v>
      </c>
      <c r="O4" s="21" t="s">
        <v>421</v>
      </c>
      <c r="P4" s="21" t="s">
        <v>19</v>
      </c>
      <c r="Q4" s="26">
        <v>44239</v>
      </c>
      <c r="R4" s="27">
        <f>VLOOKUP(Tabela5[[#This Row],[Teste]],Referências!$D$2:$E$5,2,0)</f>
        <v>4</v>
      </c>
      <c r="S4" s="27" t="str">
        <f>Tabela5[[#This Row],[TAG]]&amp;"-"&amp;Tabela5[[#This Row],[COD_Test]]</f>
        <v>7HV-M004-4</v>
      </c>
      <c r="T4" s="21" t="s">
        <v>1505</v>
      </c>
      <c r="U4" s="21" t="str">
        <f>VLOOKUP(Tabela5[[#This Row],[TAG]],BD!A:J,10,0)</f>
        <v>7HV</v>
      </c>
      <c r="V4" s="3" t="str">
        <f>VLOOKUP(Tabela5[[#This Row],[TAG]],BD!A:E,5,0)</f>
        <v>1x3x1/C#70</v>
      </c>
      <c r="W4" s="21">
        <v>3</v>
      </c>
      <c r="X4" s="245">
        <f>VLOOKUP(Tabela5[[#This Row],[TAG]],$AE:$AK,7,0)</f>
        <v>1</v>
      </c>
      <c r="Y4" s="245" t="str">
        <f>VLOOKUP(Tabela5[[#This Row],[TAG]],BD!A:P,14,0)</f>
        <v>---</v>
      </c>
      <c r="Z4" s="245" t="str">
        <f>VLOOKUP(Tabela5[[#This Row],[TAG]],BD!A:P,15,0)</f>
        <v>Sim</v>
      </c>
      <c r="AA4" s="245" t="str">
        <f>VLOOKUP(Tabela5[[#This Row],[TAG]],BD!A:P,16,0)</f>
        <v>Sim</v>
      </c>
      <c r="AB4" s="245"/>
      <c r="AD4" s="391">
        <v>3</v>
      </c>
      <c r="AE4" s="391" t="s">
        <v>441</v>
      </c>
      <c r="AF4" s="391" t="s">
        <v>92</v>
      </c>
      <c r="AG4" s="391">
        <v>6</v>
      </c>
      <c r="AH4" s="32">
        <v>44151</v>
      </c>
      <c r="AI4" s="391">
        <f>VLOOKUP(Tabela7[[#This Row],[TAG]],BD!$A:$V,19,0)</f>
        <v>6</v>
      </c>
      <c r="AJ4" s="23" t="str">
        <f>VLOOKUP(Tabela7[[#This Row],[TAG]],BD!A:J,10,0)</f>
        <v>7HV</v>
      </c>
      <c r="AK4" s="28">
        <f>SUMIF(AE:AE,Tabela7[[#This Row],[TAG]],AG:AG)/Tabela7[[#This Row],[Qtde Lig]]</f>
        <v>1</v>
      </c>
    </row>
    <row r="5" spans="1:37" x14ac:dyDescent="0.25">
      <c r="A5" s="391">
        <v>4</v>
      </c>
      <c r="B5" s="7" t="s">
        <v>731</v>
      </c>
      <c r="C5" s="391">
        <v>600</v>
      </c>
      <c r="D5" s="32">
        <v>44092</v>
      </c>
      <c r="E5" s="32" t="str">
        <f>VLOOKUP(Tabela2[[#This Row],[Tag]],BD!$A:$B,2,0)</f>
        <v>Força</v>
      </c>
      <c r="F5" s="32" t="str">
        <f>VLOOKUP(Tabela2[[#This Row],[Tag]],BD!A:J,10,0)</f>
        <v>GB-1203</v>
      </c>
      <c r="G5" s="31" t="str">
        <f>VLOOKUP(Tabela2[[#This Row],[Tag]],BD!$A:$V,20,0)</f>
        <v>BK-SP54-0900B-LC-74-00004_00000</v>
      </c>
      <c r="H5" s="32" t="str">
        <f>IF(VLOOKUP(Tabela2[[#This Row],[Tag]],BD!A:T,17,0)=0,"",VLOOKUP(Tabela2[[#This Row],[Tag]],BD!A:T,17,0))</f>
        <v>5.2.3</v>
      </c>
      <c r="I5" s="139">
        <v>44075</v>
      </c>
      <c r="J5" s="155">
        <f>VLOOKUP(Tabela2[[#This Row],[Tag]],BD!$A:$AE,30,0)</f>
        <v>1200</v>
      </c>
      <c r="K5" s="29">
        <f>SUMIF(B:B,Tabela2[[#This Row],[Tag]],C:C)/Tabela2[[#This Row],[Comprim. Real]]</f>
        <v>1</v>
      </c>
      <c r="L5" s="29" t="str">
        <f>VLOOKUP(Tabela2[[#This Row],[Tag]],BD!A:AF,32,0)</f>
        <v>7HVxGB-1203</v>
      </c>
      <c r="N5" s="21">
        <v>4</v>
      </c>
      <c r="O5" s="21" t="s">
        <v>421</v>
      </c>
      <c r="P5" s="21" t="s">
        <v>16</v>
      </c>
      <c r="Q5" s="26">
        <v>44239</v>
      </c>
      <c r="R5" s="27">
        <f>VLOOKUP(Tabela5[[#This Row],[Teste]],Referências!$D$2:$E$5,2,0)</f>
        <v>1</v>
      </c>
      <c r="S5" s="27" t="str">
        <f>Tabela5[[#This Row],[TAG]]&amp;"-"&amp;Tabela5[[#This Row],[COD_Test]]</f>
        <v>7HV-M004-1</v>
      </c>
      <c r="T5" s="21" t="s">
        <v>1505</v>
      </c>
      <c r="U5" s="21" t="str">
        <f>VLOOKUP(Tabela5[[#This Row],[TAG]],BD!A:J,10,0)</f>
        <v>7HV</v>
      </c>
      <c r="V5" s="24" t="str">
        <f>VLOOKUP(Tabela5[[#This Row],[TAG]],BD!A:E,5,0)</f>
        <v>1x3x1/C#70</v>
      </c>
      <c r="W5" s="21">
        <v>3</v>
      </c>
      <c r="X5" s="256">
        <f>VLOOKUP(Tabela5[[#This Row],[TAG]],$AE:$AK,7,0)</f>
        <v>1</v>
      </c>
      <c r="Y5" s="256" t="str">
        <f>VLOOKUP(Tabela5[[#This Row],[TAG]],BD!A:P,14,0)</f>
        <v>---</v>
      </c>
      <c r="Z5" s="256" t="str">
        <f>VLOOKUP(Tabela5[[#This Row],[TAG]],BD!A:P,15,0)</f>
        <v>Sim</v>
      </c>
      <c r="AA5" s="256" t="str">
        <f>VLOOKUP(Tabela5[[#This Row],[TAG]],BD!A:P,16,0)</f>
        <v>Sim</v>
      </c>
      <c r="AB5" s="256"/>
      <c r="AD5" s="391">
        <v>4</v>
      </c>
      <c r="AE5" s="391" t="s">
        <v>436</v>
      </c>
      <c r="AF5" s="391" t="s">
        <v>92</v>
      </c>
      <c r="AG5" s="391">
        <v>6</v>
      </c>
      <c r="AH5" s="32">
        <v>44151</v>
      </c>
      <c r="AI5" s="391">
        <f>VLOOKUP(Tabela7[[#This Row],[TAG]],BD!$A:$V,19,0)</f>
        <v>6</v>
      </c>
      <c r="AJ5" s="23" t="str">
        <f>VLOOKUP(Tabela7[[#This Row],[TAG]],BD!A:J,10,0)</f>
        <v>7HV</v>
      </c>
      <c r="AK5" s="28">
        <f>SUMIF(AE:AE,Tabela7[[#This Row],[TAG]],AG:AG)/Tabela7[[#This Row],[Qtde Lig]]</f>
        <v>1</v>
      </c>
    </row>
    <row r="6" spans="1:37" x14ac:dyDescent="0.25">
      <c r="A6" s="391">
        <v>5</v>
      </c>
      <c r="B6" s="7" t="s">
        <v>731</v>
      </c>
      <c r="C6" s="391">
        <v>600</v>
      </c>
      <c r="D6" s="32">
        <v>44103</v>
      </c>
      <c r="E6" s="32" t="str">
        <f>VLOOKUP(Tabela2[[#This Row],[Tag]],BD!$A:$B,2,0)</f>
        <v>Força</v>
      </c>
      <c r="F6" s="32" t="str">
        <f>VLOOKUP(Tabela2[[#This Row],[Tag]],BD!A:J,10,0)</f>
        <v>GB-1203</v>
      </c>
      <c r="G6" s="31" t="str">
        <f>VLOOKUP(Tabela2[[#This Row],[Tag]],BD!$A:$V,20,0)</f>
        <v>BK-SP54-0900B-LC-74-00004_00000</v>
      </c>
      <c r="H6" s="32" t="str">
        <f>IF(VLOOKUP(Tabela2[[#This Row],[Tag]],BD!A:T,17,0)=0,"",VLOOKUP(Tabela2[[#This Row],[Tag]],BD!A:T,17,0))</f>
        <v>5.2.3</v>
      </c>
      <c r="I6" s="139">
        <v>44075</v>
      </c>
      <c r="J6" s="155">
        <f>VLOOKUP(Tabela2[[#This Row],[Tag]],BD!$A:$AE,30,0)</f>
        <v>1200</v>
      </c>
      <c r="K6" s="29">
        <f>SUMIF(B:B,Tabela2[[#This Row],[Tag]],C:C)/Tabela2[[#This Row],[Comprim. Real]]</f>
        <v>1</v>
      </c>
      <c r="L6" s="29" t="str">
        <f>VLOOKUP(Tabela2[[#This Row],[Tag]],BD!A:AF,32,0)</f>
        <v>7HVxGB-1203</v>
      </c>
      <c r="N6" s="21">
        <v>5</v>
      </c>
      <c r="O6" s="21" t="s">
        <v>421</v>
      </c>
      <c r="P6" s="21" t="s">
        <v>18</v>
      </c>
      <c r="Q6" s="26">
        <v>44239</v>
      </c>
      <c r="R6" s="27">
        <f>VLOOKUP(Tabela5[[#This Row],[Teste]],Referências!$D$2:$E$5,2,0)</f>
        <v>3</v>
      </c>
      <c r="S6" s="27" t="str">
        <f>Tabela5[[#This Row],[TAG]]&amp;"-"&amp;Tabela5[[#This Row],[COD_Test]]</f>
        <v>7HV-M004-3</v>
      </c>
      <c r="T6" s="21" t="s">
        <v>1505</v>
      </c>
      <c r="U6" s="21" t="str">
        <f>VLOOKUP(Tabela5[[#This Row],[TAG]],BD!A:J,10,0)</f>
        <v>7HV</v>
      </c>
      <c r="V6" s="24" t="str">
        <f>VLOOKUP(Tabela5[[#This Row],[TAG]],BD!A:E,5,0)</f>
        <v>1x3x1/C#70</v>
      </c>
      <c r="W6" s="21">
        <v>3</v>
      </c>
      <c r="X6" s="256">
        <f>VLOOKUP(Tabela5[[#This Row],[TAG]],$AE:$AK,7,0)</f>
        <v>1</v>
      </c>
      <c r="Y6" s="256" t="str">
        <f>VLOOKUP(Tabela5[[#This Row],[TAG]],BD!A:P,14,0)</f>
        <v>---</v>
      </c>
      <c r="Z6" s="256" t="str">
        <f>VLOOKUP(Tabela5[[#This Row],[TAG]],BD!A:P,15,0)</f>
        <v>Sim</v>
      </c>
      <c r="AA6" s="256" t="str">
        <f>VLOOKUP(Tabela5[[#This Row],[TAG]],BD!A:P,16,0)</f>
        <v>Sim</v>
      </c>
      <c r="AB6" s="256"/>
      <c r="AD6" s="391">
        <v>5</v>
      </c>
      <c r="AE6" s="391" t="s">
        <v>432</v>
      </c>
      <c r="AF6" s="391" t="s">
        <v>92</v>
      </c>
      <c r="AG6" s="391">
        <v>6</v>
      </c>
      <c r="AH6" s="32">
        <v>44151</v>
      </c>
      <c r="AI6" s="391">
        <f>VLOOKUP(Tabela7[[#This Row],[TAG]],BD!$A:$V,19,0)</f>
        <v>6</v>
      </c>
      <c r="AJ6" s="23" t="str">
        <f>VLOOKUP(Tabela7[[#This Row],[TAG]],BD!A:J,10,0)</f>
        <v>7HV</v>
      </c>
      <c r="AK6" s="28">
        <f>SUMIF(AE:AE,Tabela7[[#This Row],[TAG]],AG:AG)/Tabela7[[#This Row],[Qtde Lig]]</f>
        <v>1</v>
      </c>
    </row>
    <row r="7" spans="1:37" x14ac:dyDescent="0.25">
      <c r="A7" s="391">
        <v>6</v>
      </c>
      <c r="B7" s="7" t="s">
        <v>701</v>
      </c>
      <c r="C7" s="391">
        <v>510</v>
      </c>
      <c r="D7" s="32">
        <v>44102</v>
      </c>
      <c r="E7" s="32" t="str">
        <f>VLOOKUP(Tabela2[[#This Row],[Tag]],BD!$A:$B,2,0)</f>
        <v>Força</v>
      </c>
      <c r="F7" s="32" t="str">
        <f>VLOOKUP(Tabela2[[#This Row],[Tag]],BD!A:J,10,0)</f>
        <v>GB-1201</v>
      </c>
      <c r="G7" s="31" t="str">
        <f>VLOOKUP(Tabela2[[#This Row],[Tag]],BD!$A:$V,20,0)</f>
        <v>BK-SP54-0900B-LC-74-00004_00000</v>
      </c>
      <c r="H7" s="32" t="str">
        <f>IF(VLOOKUP(Tabela2[[#This Row],[Tag]],BD!A:T,17,0)=0,"",VLOOKUP(Tabela2[[#This Row],[Tag]],BD!A:T,17,0))</f>
        <v>5.2.3</v>
      </c>
      <c r="I7" s="139">
        <v>44075</v>
      </c>
      <c r="J7" s="155">
        <f>VLOOKUP(Tabela2[[#This Row],[Tag]],BD!$A:$AE,30,0)</f>
        <v>510</v>
      </c>
      <c r="K7" s="29">
        <f>SUMIF(B:B,Tabela2[[#This Row],[Tag]],C:C)/Tabela2[[#This Row],[Comprim. Real]]</f>
        <v>1</v>
      </c>
      <c r="L7" s="29" t="str">
        <f>VLOOKUP(Tabela2[[#This Row],[Tag]],BD!A:AF,32,0)</f>
        <v>7HVxGB-1201</v>
      </c>
      <c r="N7" s="21">
        <v>6</v>
      </c>
      <c r="O7" s="21" t="s">
        <v>423</v>
      </c>
      <c r="P7" s="21" t="s">
        <v>19</v>
      </c>
      <c r="Q7" s="26">
        <v>44245</v>
      </c>
      <c r="R7" s="27">
        <f>VLOOKUP(Tabela5[[#This Row],[Teste]],Referências!$D$2:$E$5,2,0)</f>
        <v>4</v>
      </c>
      <c r="S7" s="27" t="str">
        <f>Tabela5[[#This Row],[TAG]]&amp;"-"&amp;Tabela5[[#This Row],[COD_Test]]</f>
        <v>7HV-M005-4</v>
      </c>
      <c r="T7" s="21" t="s">
        <v>1505</v>
      </c>
      <c r="U7" s="21" t="str">
        <f>VLOOKUP(Tabela5[[#This Row],[TAG]],BD!A:J,10,0)</f>
        <v>7HV</v>
      </c>
      <c r="V7" s="24" t="str">
        <f>VLOOKUP(Tabela5[[#This Row],[TAG]],BD!A:E,5,0)</f>
        <v>1x3x1/C#70</v>
      </c>
      <c r="W7" s="21">
        <v>3</v>
      </c>
      <c r="X7" s="245">
        <f>VLOOKUP(Tabela5[[#This Row],[TAG]],$AE:$AK,7,0)</f>
        <v>1</v>
      </c>
      <c r="Y7" s="245" t="str">
        <f>VLOOKUP(Tabela5[[#This Row],[TAG]],BD!A:P,14,0)</f>
        <v>---</v>
      </c>
      <c r="Z7" s="245" t="str">
        <f>VLOOKUP(Tabela5[[#This Row],[TAG]],BD!A:P,15,0)</f>
        <v>Sim</v>
      </c>
      <c r="AA7" s="245" t="str">
        <f>VLOOKUP(Tabela5[[#This Row],[TAG]],BD!A:P,16,0)</f>
        <v>Sim</v>
      </c>
      <c r="AB7" s="245"/>
      <c r="AD7" s="391">
        <v>6</v>
      </c>
      <c r="AE7" s="391" t="s">
        <v>963</v>
      </c>
      <c r="AF7" s="391" t="s">
        <v>92</v>
      </c>
      <c r="AG7" s="391">
        <v>12</v>
      </c>
      <c r="AH7" s="32">
        <v>44203</v>
      </c>
      <c r="AI7" s="391">
        <f>VLOOKUP(Tabela7[[#This Row],[TAG]],BD!$A:$V,19,0)</f>
        <v>24</v>
      </c>
      <c r="AJ7" s="23" t="str">
        <f>VLOOKUP(Tabela7[[#This Row],[TAG]],BD!A:J,10,0)</f>
        <v>8HV</v>
      </c>
      <c r="AK7" s="28">
        <f>SUMIF(AE:AE,Tabela7[[#This Row],[TAG]],AG:AG)/Tabela7[[#This Row],[Qtde Lig]]</f>
        <v>1</v>
      </c>
    </row>
    <row r="8" spans="1:37" x14ac:dyDescent="0.25">
      <c r="A8" s="391">
        <v>7</v>
      </c>
      <c r="B8" s="7" t="s">
        <v>509</v>
      </c>
      <c r="C8" s="391">
        <v>21</v>
      </c>
      <c r="D8" s="32">
        <v>44131</v>
      </c>
      <c r="E8" s="32" t="str">
        <f>VLOOKUP(Tabela2[[#This Row],[Tag]],BD!$A:$B,2,0)</f>
        <v>Força</v>
      </c>
      <c r="F8" s="32" t="str">
        <f>VLOOKUP(Tabela2[[#This Row],[Tag]],BD!A:J,10,0)</f>
        <v>7HV</v>
      </c>
      <c r="G8" s="31" t="str">
        <f>VLOOKUP(Tabela2[[#This Row],[Tag]],BD!$A:$V,20,0)</f>
        <v>E5WP000490-C-001-LC003</v>
      </c>
      <c r="H8" s="32" t="str">
        <f>IF(VLOOKUP(Tabela2[[#This Row],[Tag]],BD!A:T,17,0)=0,"",VLOOKUP(Tabela2[[#This Row],[Tag]],BD!A:T,17,0))</f>
        <v>5.3.3</v>
      </c>
      <c r="I8" s="139">
        <v>44105</v>
      </c>
      <c r="J8" s="155">
        <f>VLOOKUP(Tabela2[[#This Row],[Tag]],BD!$A:$AE,30,0)</f>
        <v>21</v>
      </c>
      <c r="K8" s="29">
        <f>SUMIF(B:B,Tabela2[[#This Row],[Tag]],C:C)/Tabela2[[#This Row],[Comprim. Real]]</f>
        <v>1</v>
      </c>
      <c r="L8" s="29" t="str">
        <f>VLOOKUP(Tabela2[[#This Row],[Tag]],BD!A:AF,32,0)</f>
        <v>7HV</v>
      </c>
      <c r="N8" s="21">
        <v>7</v>
      </c>
      <c r="O8" s="21" t="s">
        <v>423</v>
      </c>
      <c r="P8" s="21" t="s">
        <v>16</v>
      </c>
      <c r="Q8" s="26">
        <v>44245</v>
      </c>
      <c r="R8" s="27">
        <f>VLOOKUP(Tabela5[[#This Row],[Teste]],Referências!$D$2:$E$5,2,0)</f>
        <v>1</v>
      </c>
      <c r="S8" s="27" t="str">
        <f>Tabela5[[#This Row],[TAG]]&amp;"-"&amp;Tabela5[[#This Row],[COD_Test]]</f>
        <v>7HV-M005-1</v>
      </c>
      <c r="T8" s="21" t="s">
        <v>1505</v>
      </c>
      <c r="U8" s="21" t="str">
        <f>VLOOKUP(Tabela5[[#This Row],[TAG]],BD!A:J,10,0)</f>
        <v>7HV</v>
      </c>
      <c r="V8" s="24" t="str">
        <f>VLOOKUP(Tabela5[[#This Row],[TAG]],BD!A:E,5,0)</f>
        <v>1x3x1/C#70</v>
      </c>
      <c r="W8" s="21">
        <v>3</v>
      </c>
      <c r="X8" s="256">
        <f>VLOOKUP(Tabela5[[#This Row],[TAG]],$AE:$AK,7,0)</f>
        <v>1</v>
      </c>
      <c r="Y8" s="256" t="str">
        <f>VLOOKUP(Tabela5[[#This Row],[TAG]],BD!A:P,14,0)</f>
        <v>---</v>
      </c>
      <c r="Z8" s="256" t="str">
        <f>VLOOKUP(Tabela5[[#This Row],[TAG]],BD!A:P,15,0)</f>
        <v>Sim</v>
      </c>
      <c r="AA8" s="256" t="str">
        <f>VLOOKUP(Tabela5[[#This Row],[TAG]],BD!A:P,16,0)</f>
        <v>Sim</v>
      </c>
      <c r="AB8" s="256"/>
      <c r="AD8" s="391">
        <v>7</v>
      </c>
      <c r="AE8" s="391" t="s">
        <v>802</v>
      </c>
      <c r="AF8" s="22" t="s">
        <v>92</v>
      </c>
      <c r="AG8" s="391">
        <v>8</v>
      </c>
      <c r="AH8" s="32">
        <v>44214</v>
      </c>
      <c r="AI8" s="391">
        <f>VLOOKUP(Tabela7[[#This Row],[TAG]],BD!$A:$V,19,0)</f>
        <v>8</v>
      </c>
      <c r="AJ8" s="23" t="str">
        <f>VLOOKUP(Tabela7[[#This Row],[TAG]],BD!A:J,10,0)</f>
        <v>8HV</v>
      </c>
      <c r="AK8" s="28">
        <f>SUMIF(AE:AE,Tabela7[[#This Row],[TAG]],AG:AG)/Tabela7[[#This Row],[Qtde Lig]]</f>
        <v>1</v>
      </c>
    </row>
    <row r="9" spans="1:37" x14ac:dyDescent="0.25">
      <c r="A9" s="391">
        <v>8</v>
      </c>
      <c r="B9" s="7" t="s">
        <v>512</v>
      </c>
      <c r="C9" s="391">
        <v>21</v>
      </c>
      <c r="D9" s="32">
        <v>44131</v>
      </c>
      <c r="E9" s="32" t="str">
        <f>VLOOKUP(Tabela2[[#This Row],[Tag]],BD!$A:$B,2,0)</f>
        <v>Força</v>
      </c>
      <c r="F9" s="32" t="str">
        <f>VLOOKUP(Tabela2[[#This Row],[Tag]],BD!A:J,10,0)</f>
        <v>7HV</v>
      </c>
      <c r="G9" s="31" t="str">
        <f>VLOOKUP(Tabela2[[#This Row],[Tag]],BD!$A:$V,20,0)</f>
        <v>E5WP000490-C-001-LC003</v>
      </c>
      <c r="H9" s="32" t="str">
        <f>IF(VLOOKUP(Tabela2[[#This Row],[Tag]],BD!A:T,17,0)=0,"",VLOOKUP(Tabela2[[#This Row],[Tag]],BD!A:T,17,0))</f>
        <v>5.3.3</v>
      </c>
      <c r="I9" s="139">
        <v>44105</v>
      </c>
      <c r="J9" s="155">
        <f>VLOOKUP(Tabela2[[#This Row],[Tag]],BD!$A:$AE,30,0)</f>
        <v>21</v>
      </c>
      <c r="K9" s="29">
        <f>SUMIF(B:B,Tabela2[[#This Row],[Tag]],C:C)/Tabela2[[#This Row],[Comprim. Real]]</f>
        <v>1</v>
      </c>
      <c r="L9" s="29" t="str">
        <f>VLOOKUP(Tabela2[[#This Row],[Tag]],BD!A:AF,32,0)</f>
        <v>7HV</v>
      </c>
      <c r="N9" s="21">
        <v>8</v>
      </c>
      <c r="O9" s="21" t="s">
        <v>423</v>
      </c>
      <c r="P9" s="21" t="s">
        <v>18</v>
      </c>
      <c r="Q9" s="26">
        <v>44245</v>
      </c>
      <c r="R9" s="27">
        <f>VLOOKUP(Tabela5[[#This Row],[Teste]],Referências!$D$2:$E$5,2,0)</f>
        <v>3</v>
      </c>
      <c r="S9" s="27" t="str">
        <f>Tabela5[[#This Row],[TAG]]&amp;"-"&amp;Tabela5[[#This Row],[COD_Test]]</f>
        <v>7HV-M005-3</v>
      </c>
      <c r="T9" s="21" t="s">
        <v>1505</v>
      </c>
      <c r="U9" s="21" t="str">
        <f>VLOOKUP(Tabela5[[#This Row],[TAG]],BD!A:J,10,0)</f>
        <v>7HV</v>
      </c>
      <c r="V9" s="24" t="str">
        <f>VLOOKUP(Tabela5[[#This Row],[TAG]],BD!A:E,5,0)</f>
        <v>1x3x1/C#70</v>
      </c>
      <c r="W9" s="21">
        <v>3</v>
      </c>
      <c r="X9" s="256">
        <f>VLOOKUP(Tabela5[[#This Row],[TAG]],$AE:$AK,7,0)</f>
        <v>1</v>
      </c>
      <c r="Y9" s="256" t="str">
        <f>VLOOKUP(Tabela5[[#This Row],[TAG]],BD!A:P,14,0)</f>
        <v>---</v>
      </c>
      <c r="Z9" s="256" t="str">
        <f>VLOOKUP(Tabela5[[#This Row],[TAG]],BD!A:P,15,0)</f>
        <v>Sim</v>
      </c>
      <c r="AA9" s="256" t="str">
        <f>VLOOKUP(Tabela5[[#This Row],[TAG]],BD!A:P,16,0)</f>
        <v>Sim</v>
      </c>
      <c r="AB9" s="256"/>
      <c r="AD9" s="391">
        <v>8</v>
      </c>
      <c r="AE9" s="391" t="s">
        <v>812</v>
      </c>
      <c r="AF9" s="22" t="s">
        <v>92</v>
      </c>
      <c r="AG9" s="391">
        <v>4</v>
      </c>
      <c r="AH9" s="32">
        <v>44214</v>
      </c>
      <c r="AI9" s="391">
        <f>VLOOKUP(Tabela7[[#This Row],[TAG]],BD!$A:$V,19,0)</f>
        <v>4</v>
      </c>
      <c r="AJ9" s="23" t="str">
        <f>VLOOKUP(Tabela7[[#This Row],[TAG]],BD!A:J,10,0)</f>
        <v>8HV</v>
      </c>
      <c r="AK9" s="28">
        <f>SUMIF(AE:AE,Tabela7[[#This Row],[TAG]],AG:AG)/Tabela7[[#This Row],[Qtde Lig]]</f>
        <v>1</v>
      </c>
    </row>
    <row r="10" spans="1:37" x14ac:dyDescent="0.25">
      <c r="A10" s="391">
        <v>9</v>
      </c>
      <c r="B10" s="7" t="s">
        <v>575</v>
      </c>
      <c r="C10" s="391">
        <v>25</v>
      </c>
      <c r="D10" s="32">
        <v>44131</v>
      </c>
      <c r="E10" s="32" t="str">
        <f>VLOOKUP(Tabela2[[#This Row],[Tag]],BD!$A:$B,2,0)</f>
        <v>Força</v>
      </c>
      <c r="F10" s="32" t="str">
        <f>VLOOKUP(Tabela2[[#This Row],[Tag]],BD!A:J,10,0)</f>
        <v>7HV</v>
      </c>
      <c r="G10" s="31" t="str">
        <f>VLOOKUP(Tabela2[[#This Row],[Tag]],BD!$A:$V,20,0)</f>
        <v>E5WP000490-C-001-LC003</v>
      </c>
      <c r="H10" s="32" t="str">
        <f>IF(VLOOKUP(Tabela2[[#This Row],[Tag]],BD!A:T,17,0)=0,"",VLOOKUP(Tabela2[[#This Row],[Tag]],BD!A:T,17,0))</f>
        <v>5.2.8</v>
      </c>
      <c r="I10" s="139">
        <v>44105</v>
      </c>
      <c r="J10" s="155">
        <f>VLOOKUP(Tabela2[[#This Row],[Tag]],BD!$A:$AE,30,0)</f>
        <v>25</v>
      </c>
      <c r="K10" s="29">
        <f>SUMIF(B:B,Tabela2[[#This Row],[Tag]],C:C)/Tabela2[[#This Row],[Comprim. Real]]</f>
        <v>1</v>
      </c>
      <c r="L10" s="29" t="str">
        <f>VLOOKUP(Tabela2[[#This Row],[Tag]],BD!A:AF,32,0)</f>
        <v>7HV</v>
      </c>
      <c r="N10" s="21">
        <v>9</v>
      </c>
      <c r="O10" s="21" t="s">
        <v>425</v>
      </c>
      <c r="P10" s="21" t="s">
        <v>19</v>
      </c>
      <c r="Q10" s="26">
        <v>44245</v>
      </c>
      <c r="R10" s="27">
        <f>VLOOKUP(Tabela5[[#This Row],[Teste]],Referências!$D$2:$E$5,2,0)</f>
        <v>4</v>
      </c>
      <c r="S10" s="27" t="str">
        <f>Tabela5[[#This Row],[TAG]]&amp;"-"&amp;Tabela5[[#This Row],[COD_Test]]</f>
        <v>7HV-M006-4</v>
      </c>
      <c r="T10" s="21" t="s">
        <v>1505</v>
      </c>
      <c r="U10" s="21" t="str">
        <f>VLOOKUP(Tabela5[[#This Row],[TAG]],BD!A:J,10,0)</f>
        <v>7HV</v>
      </c>
      <c r="V10" s="24" t="str">
        <f>VLOOKUP(Tabela5[[#This Row],[TAG]],BD!A:E,5,0)</f>
        <v>1x3x1/C#70</v>
      </c>
      <c r="W10" s="21">
        <v>3</v>
      </c>
      <c r="X10" s="245">
        <f>VLOOKUP(Tabela5[[#This Row],[TAG]],$AE:$AK,7,0)</f>
        <v>1</v>
      </c>
      <c r="Y10" s="245" t="str">
        <f>VLOOKUP(Tabela5[[#This Row],[TAG]],BD!A:P,14,0)</f>
        <v>---</v>
      </c>
      <c r="Z10" s="245" t="str">
        <f>VLOOKUP(Tabela5[[#This Row],[TAG]],BD!A:P,15,0)</f>
        <v>Sim</v>
      </c>
      <c r="AA10" s="245" t="str">
        <f>VLOOKUP(Tabela5[[#This Row],[TAG]],BD!A:P,16,0)</f>
        <v>Sim</v>
      </c>
      <c r="AB10" s="245"/>
      <c r="AD10" s="391">
        <v>9</v>
      </c>
      <c r="AE10" s="391" t="s">
        <v>877</v>
      </c>
      <c r="AF10" s="391" t="s">
        <v>92</v>
      </c>
      <c r="AG10" s="391">
        <v>6</v>
      </c>
      <c r="AH10" s="32">
        <v>44214</v>
      </c>
      <c r="AI10" s="391">
        <f>VLOOKUP(Tabela7[[#This Row],[TAG]],BD!$A:$V,19,0)</f>
        <v>6</v>
      </c>
      <c r="AJ10" s="23" t="str">
        <f>VLOOKUP(Tabela7[[#This Row],[TAG]],BD!A:J,10,0)</f>
        <v>8HV</v>
      </c>
      <c r="AK10" s="28">
        <f>SUMIF(AE:AE,Tabela7[[#This Row],[TAG]],AG:AG)/Tabela7[[#This Row],[Qtde Lig]]</f>
        <v>1</v>
      </c>
    </row>
    <row r="11" spans="1:37" x14ac:dyDescent="0.25">
      <c r="A11" s="391">
        <v>10</v>
      </c>
      <c r="B11" s="7" t="s">
        <v>438</v>
      </c>
      <c r="C11" s="391">
        <v>7</v>
      </c>
      <c r="D11" s="32">
        <v>44131</v>
      </c>
      <c r="E11" s="32" t="str">
        <f>VLOOKUP(Tabela2[[#This Row],[Tag]],BD!$A:$B,2,0)</f>
        <v>Força</v>
      </c>
      <c r="F11" s="32" t="str">
        <f>VLOOKUP(Tabela2[[#This Row],[Tag]],BD!A:J,10,0)</f>
        <v>7HV</v>
      </c>
      <c r="G11" s="31" t="str">
        <f>VLOOKUP(Tabela2[[#This Row],[Tag]],BD!$A:$V,20,0)</f>
        <v>E5WP000490-C-001-LC003</v>
      </c>
      <c r="H11" s="32" t="str">
        <f>IF(VLOOKUP(Tabela2[[#This Row],[Tag]],BD!A:T,17,0)=0,"",VLOOKUP(Tabela2[[#This Row],[Tag]],BD!A:T,17,0))</f>
        <v>5.5.2</v>
      </c>
      <c r="I11" s="139">
        <v>44105</v>
      </c>
      <c r="J11" s="155">
        <f>VLOOKUP(Tabela2[[#This Row],[Tag]],BD!$A:$AE,30,0)</f>
        <v>7</v>
      </c>
      <c r="K11" s="29">
        <f>SUMIF(B:B,Tabela2[[#This Row],[Tag]],C:C)/Tabela2[[#This Row],[Comprim. Real]]</f>
        <v>1</v>
      </c>
      <c r="L11" s="29" t="str">
        <f>VLOOKUP(Tabela2[[#This Row],[Tag]],BD!A:AF,32,0)</f>
        <v>7HV</v>
      </c>
      <c r="N11" s="21">
        <v>10</v>
      </c>
      <c r="O11" s="21" t="s">
        <v>425</v>
      </c>
      <c r="P11" s="21" t="s">
        <v>16</v>
      </c>
      <c r="Q11" s="26">
        <v>44245</v>
      </c>
      <c r="R11" s="27">
        <f>VLOOKUP(Tabela5[[#This Row],[Teste]],Referências!$D$2:$E$5,2,0)</f>
        <v>1</v>
      </c>
      <c r="S11" s="27" t="str">
        <f>Tabela5[[#This Row],[TAG]]&amp;"-"&amp;Tabela5[[#This Row],[COD_Test]]</f>
        <v>7HV-M006-1</v>
      </c>
      <c r="T11" s="21" t="s">
        <v>1505</v>
      </c>
      <c r="U11" s="21" t="str">
        <f>VLOOKUP(Tabela5[[#This Row],[TAG]],BD!A:J,10,0)</f>
        <v>7HV</v>
      </c>
      <c r="V11" s="24" t="str">
        <f>VLOOKUP(Tabela5[[#This Row],[TAG]],BD!A:E,5,0)</f>
        <v>1x3x1/C#70</v>
      </c>
      <c r="W11" s="21">
        <v>3</v>
      </c>
      <c r="X11" s="256">
        <f>VLOOKUP(Tabela5[[#This Row],[TAG]],$AE:$AK,7,0)</f>
        <v>1</v>
      </c>
      <c r="Y11" s="256" t="str">
        <f>VLOOKUP(Tabela5[[#This Row],[TAG]],BD!A:P,14,0)</f>
        <v>---</v>
      </c>
      <c r="Z11" s="256" t="str">
        <f>VLOOKUP(Tabela5[[#This Row],[TAG]],BD!A:P,15,0)</f>
        <v>Sim</v>
      </c>
      <c r="AA11" s="256" t="str">
        <f>VLOOKUP(Tabela5[[#This Row],[TAG]],BD!A:P,16,0)</f>
        <v>Sim</v>
      </c>
      <c r="AB11" s="256"/>
      <c r="AD11" s="391">
        <v>10</v>
      </c>
      <c r="AE11" s="391" t="s">
        <v>881</v>
      </c>
      <c r="AF11" s="391" t="s">
        <v>92</v>
      </c>
      <c r="AG11" s="391">
        <v>6</v>
      </c>
      <c r="AH11" s="32">
        <v>44214</v>
      </c>
      <c r="AI11" s="391">
        <f>VLOOKUP(Tabela7[[#This Row],[TAG]],BD!$A:$V,19,0)</f>
        <v>6</v>
      </c>
      <c r="AJ11" s="23" t="str">
        <f>VLOOKUP(Tabela7[[#This Row],[TAG]],BD!A:J,10,0)</f>
        <v>8HV</v>
      </c>
      <c r="AK11" s="28">
        <f>SUMIF(AE:AE,Tabela7[[#This Row],[TAG]],AG:AG)/Tabela7[[#This Row],[Qtde Lig]]</f>
        <v>1</v>
      </c>
    </row>
    <row r="12" spans="1:37" x14ac:dyDescent="0.25">
      <c r="A12" s="391">
        <v>11</v>
      </c>
      <c r="B12" s="7" t="s">
        <v>441</v>
      </c>
      <c r="C12" s="391">
        <v>15</v>
      </c>
      <c r="D12" s="32">
        <v>44131</v>
      </c>
      <c r="E12" s="32" t="str">
        <f>VLOOKUP(Tabela2[[#This Row],[Tag]],BD!$A:$B,2,0)</f>
        <v>Força</v>
      </c>
      <c r="F12" s="32" t="str">
        <f>VLOOKUP(Tabela2[[#This Row],[Tag]],BD!A:J,10,0)</f>
        <v>7HV</v>
      </c>
      <c r="G12" s="31" t="str">
        <f>VLOOKUP(Tabela2[[#This Row],[Tag]],BD!$A:$V,20,0)</f>
        <v>E5WP000490-C-001-LC003</v>
      </c>
      <c r="H12" s="32" t="str">
        <f>IF(VLOOKUP(Tabela2[[#This Row],[Tag]],BD!A:T,17,0)=0,"",VLOOKUP(Tabela2[[#This Row],[Tag]],BD!A:T,17,0))</f>
        <v>5.5.2</v>
      </c>
      <c r="I12" s="139">
        <v>44105</v>
      </c>
      <c r="J12" s="155">
        <f>VLOOKUP(Tabela2[[#This Row],[Tag]],BD!$A:$AE,30,0)</f>
        <v>15</v>
      </c>
      <c r="K12" s="29">
        <f>SUMIF(B:B,Tabela2[[#This Row],[Tag]],C:C)/Tabela2[[#This Row],[Comprim. Real]]</f>
        <v>1</v>
      </c>
      <c r="L12" s="29" t="str">
        <f>VLOOKUP(Tabela2[[#This Row],[Tag]],BD!A:AF,32,0)</f>
        <v>7HV</v>
      </c>
      <c r="N12" s="21">
        <v>11</v>
      </c>
      <c r="O12" s="21" t="s">
        <v>425</v>
      </c>
      <c r="P12" s="21" t="s">
        <v>18</v>
      </c>
      <c r="Q12" s="26">
        <v>44245</v>
      </c>
      <c r="R12" s="27">
        <f>VLOOKUP(Tabela5[[#This Row],[Teste]],Referências!$D$2:$E$5,2,0)</f>
        <v>3</v>
      </c>
      <c r="S12" s="27" t="str">
        <f>Tabela5[[#This Row],[TAG]]&amp;"-"&amp;Tabela5[[#This Row],[COD_Test]]</f>
        <v>7HV-M006-3</v>
      </c>
      <c r="T12" s="21" t="s">
        <v>1505</v>
      </c>
      <c r="U12" s="21" t="str">
        <f>VLOOKUP(Tabela5[[#This Row],[TAG]],BD!A:J,10,0)</f>
        <v>7HV</v>
      </c>
      <c r="V12" s="24" t="str">
        <f>VLOOKUP(Tabela5[[#This Row],[TAG]],BD!A:E,5,0)</f>
        <v>1x3x1/C#70</v>
      </c>
      <c r="W12" s="21">
        <v>3</v>
      </c>
      <c r="X12" s="256">
        <f>VLOOKUP(Tabela5[[#This Row],[TAG]],$AE:$AK,7,0)</f>
        <v>1</v>
      </c>
      <c r="Y12" s="256" t="str">
        <f>VLOOKUP(Tabela5[[#This Row],[TAG]],BD!A:P,14,0)</f>
        <v>---</v>
      </c>
      <c r="Z12" s="256" t="str">
        <f>VLOOKUP(Tabela5[[#This Row],[TAG]],BD!A:P,15,0)</f>
        <v>Sim</v>
      </c>
      <c r="AA12" s="256" t="str">
        <f>VLOOKUP(Tabela5[[#This Row],[TAG]],BD!A:P,16,0)</f>
        <v>Sim</v>
      </c>
      <c r="AB12" s="256"/>
      <c r="AD12" s="391">
        <v>11</v>
      </c>
      <c r="AE12" s="391" t="s">
        <v>889</v>
      </c>
      <c r="AF12" s="391" t="s">
        <v>92</v>
      </c>
      <c r="AG12" s="391">
        <v>8</v>
      </c>
      <c r="AH12" s="32">
        <v>44214</v>
      </c>
      <c r="AI12" s="391">
        <f>VLOOKUP(Tabela7[[#This Row],[TAG]],BD!$A:$V,19,0)</f>
        <v>8</v>
      </c>
      <c r="AJ12" s="23" t="str">
        <f>VLOOKUP(Tabela7[[#This Row],[TAG]],BD!A:J,10,0)</f>
        <v>8HV</v>
      </c>
      <c r="AK12" s="28">
        <f>SUMIF(AE:AE,Tabela7[[#This Row],[TAG]],AG:AG)/Tabela7[[#This Row],[Qtde Lig]]</f>
        <v>1</v>
      </c>
    </row>
    <row r="13" spans="1:37" x14ac:dyDescent="0.25">
      <c r="A13" s="391">
        <v>12</v>
      </c>
      <c r="B13" s="7" t="s">
        <v>436</v>
      </c>
      <c r="C13" s="391">
        <v>7</v>
      </c>
      <c r="D13" s="32">
        <v>44131</v>
      </c>
      <c r="E13" s="32" t="str">
        <f>VLOOKUP(Tabela2[[#This Row],[Tag]],BD!$A:$B,2,0)</f>
        <v>Força</v>
      </c>
      <c r="F13" s="32" t="str">
        <f>VLOOKUP(Tabela2[[#This Row],[Tag]],BD!A:J,10,0)</f>
        <v>7HV</v>
      </c>
      <c r="G13" s="31" t="str">
        <f>VLOOKUP(Tabela2[[#This Row],[Tag]],BD!$A:$V,20,0)</f>
        <v>E5WP000490-C-001-LC003</v>
      </c>
      <c r="H13" s="32" t="str">
        <f>IF(VLOOKUP(Tabela2[[#This Row],[Tag]],BD!A:T,17,0)=0,"",VLOOKUP(Tabela2[[#This Row],[Tag]],BD!A:T,17,0))</f>
        <v>5.5.2</v>
      </c>
      <c r="I13" s="139">
        <v>44105</v>
      </c>
      <c r="J13" s="155">
        <f>VLOOKUP(Tabela2[[#This Row],[Tag]],BD!$A:$AE,30,0)</f>
        <v>7</v>
      </c>
      <c r="K13" s="29">
        <f>SUMIF(B:B,Tabela2[[#This Row],[Tag]],C:C)/Tabela2[[#This Row],[Comprim. Real]]</f>
        <v>1</v>
      </c>
      <c r="L13" s="29" t="str">
        <f>VLOOKUP(Tabela2[[#This Row],[Tag]],BD!A:AF,32,0)</f>
        <v>7HV</v>
      </c>
      <c r="N13" s="21">
        <v>12</v>
      </c>
      <c r="O13" s="21" t="s">
        <v>909</v>
      </c>
      <c r="P13" s="21" t="s">
        <v>19</v>
      </c>
      <c r="Q13" s="26">
        <v>44230</v>
      </c>
      <c r="R13" s="27">
        <f>VLOOKUP(Tabela5[[#This Row],[Teste]],Referências!$D$2:$E$5,2,0)</f>
        <v>4</v>
      </c>
      <c r="S13" s="27" t="str">
        <f>Tabela5[[#This Row],[TAG]]&amp;"-"&amp;Tabela5[[#This Row],[COD_Test]]</f>
        <v>8HV-1HV-001F-4</v>
      </c>
      <c r="T13" s="21" t="s">
        <v>1505</v>
      </c>
      <c r="U13" s="21" t="str">
        <f>VLOOKUP(Tabela5[[#This Row],[TAG]],BD!A:J,10,0)</f>
        <v>8HV x 1HV</v>
      </c>
      <c r="V13" s="3" t="str">
        <f>VLOOKUP(Tabela5[[#This Row],[TAG]],BD!A:E,5,0)</f>
        <v>5x3x1/c#185</v>
      </c>
      <c r="W13" s="21">
        <v>5</v>
      </c>
      <c r="X13" s="245">
        <f>VLOOKUP(Tabela5[[#This Row],[TAG]],$AE:$AK,7,0)</f>
        <v>1</v>
      </c>
      <c r="Y13" s="245" t="str">
        <f>VLOOKUP(Tabela5[[#This Row],[TAG]],BD!A:P,14,0)</f>
        <v>---</v>
      </c>
      <c r="Z13" s="245" t="str">
        <f>VLOOKUP(Tabela5[[#This Row],[TAG]],BD!A:P,15,0)</f>
        <v>Sim</v>
      </c>
      <c r="AA13" s="245" t="str">
        <f>VLOOKUP(Tabela5[[#This Row],[TAG]],BD!A:P,16,0)</f>
        <v>Sim</v>
      </c>
      <c r="AB13" s="245"/>
      <c r="AD13" s="391">
        <v>12</v>
      </c>
      <c r="AE13" s="391" t="s">
        <v>992</v>
      </c>
      <c r="AF13" s="391" t="s">
        <v>92</v>
      </c>
      <c r="AG13" s="391">
        <v>4</v>
      </c>
      <c r="AH13" s="32">
        <v>44214</v>
      </c>
      <c r="AI13" s="391">
        <f>VLOOKUP(Tabela7[[#This Row],[TAG]],BD!$A:$V,19,0)</f>
        <v>4</v>
      </c>
      <c r="AJ13" s="23" t="str">
        <f>VLOOKUP(Tabela7[[#This Row],[TAG]],BD!A:J,10,0)</f>
        <v>8HV</v>
      </c>
      <c r="AK13" s="28">
        <f>SUMIF(AE:AE,Tabela7[[#This Row],[TAG]],AG:AG)/Tabela7[[#This Row],[Qtde Lig]]</f>
        <v>1</v>
      </c>
    </row>
    <row r="14" spans="1:37" x14ac:dyDescent="0.25">
      <c r="A14" s="391">
        <v>13</v>
      </c>
      <c r="B14" s="7" t="s">
        <v>432</v>
      </c>
      <c r="C14" s="391">
        <v>15</v>
      </c>
      <c r="D14" s="32">
        <v>44131</v>
      </c>
      <c r="E14" s="32" t="str">
        <f>VLOOKUP(Tabela2[[#This Row],[Tag]],BD!$A:$B,2,0)</f>
        <v>Força</v>
      </c>
      <c r="F14" s="32" t="str">
        <f>VLOOKUP(Tabela2[[#This Row],[Tag]],BD!A:J,10,0)</f>
        <v>7HV</v>
      </c>
      <c r="G14" s="31" t="str">
        <f>VLOOKUP(Tabela2[[#This Row],[Tag]],BD!$A:$V,20,0)</f>
        <v>E5WP000490-C-001-LC003</v>
      </c>
      <c r="H14" s="32" t="str">
        <f>IF(VLOOKUP(Tabela2[[#This Row],[Tag]],BD!A:T,17,0)=0,"",VLOOKUP(Tabela2[[#This Row],[Tag]],BD!A:T,17,0))</f>
        <v>5.5.2</v>
      </c>
      <c r="I14" s="139">
        <v>44105</v>
      </c>
      <c r="J14" s="155">
        <f>VLOOKUP(Tabela2[[#This Row],[Tag]],BD!$A:$AE,30,0)</f>
        <v>15</v>
      </c>
      <c r="K14" s="29">
        <f>SUMIF(B:B,Tabela2[[#This Row],[Tag]],C:C)/Tabela2[[#This Row],[Comprim. Real]]</f>
        <v>1</v>
      </c>
      <c r="L14" s="29" t="str">
        <f>VLOOKUP(Tabela2[[#This Row],[Tag]],BD!A:AF,32,0)</f>
        <v>7HV</v>
      </c>
      <c r="N14" s="21">
        <v>13</v>
      </c>
      <c r="O14" s="21" t="s">
        <v>909</v>
      </c>
      <c r="P14" s="21" t="s">
        <v>16</v>
      </c>
      <c r="Q14" s="26">
        <v>44230</v>
      </c>
      <c r="R14" s="27">
        <f>VLOOKUP(Tabela5[[#This Row],[Teste]],Referências!$D$2:$E$5,2,0)</f>
        <v>1</v>
      </c>
      <c r="S14" s="27" t="str">
        <f>Tabela5[[#This Row],[TAG]]&amp;"-"&amp;Tabela5[[#This Row],[COD_Test]]</f>
        <v>8HV-1HV-001F-1</v>
      </c>
      <c r="T14" s="21" t="s">
        <v>1505</v>
      </c>
      <c r="U14" s="21" t="str">
        <f>VLOOKUP(Tabela5[[#This Row],[TAG]],BD!A:J,10,0)</f>
        <v>8HV x 1HV</v>
      </c>
      <c r="V14" s="24" t="str">
        <f>VLOOKUP(Tabela5[[#This Row],[TAG]],BD!A:E,5,0)</f>
        <v>5x3x1/c#185</v>
      </c>
      <c r="W14" s="21">
        <v>5</v>
      </c>
      <c r="X14" s="256">
        <f>VLOOKUP(Tabela5[[#This Row],[TAG]],$AE:$AK,7,0)</f>
        <v>1</v>
      </c>
      <c r="Y14" s="256" t="str">
        <f>VLOOKUP(Tabela5[[#This Row],[TAG]],BD!A:P,14,0)</f>
        <v>---</v>
      </c>
      <c r="Z14" s="256" t="str">
        <f>VLOOKUP(Tabela5[[#This Row],[TAG]],BD!A:P,15,0)</f>
        <v>Sim</v>
      </c>
      <c r="AA14" s="256" t="str">
        <f>VLOOKUP(Tabela5[[#This Row],[TAG]],BD!A:P,16,0)</f>
        <v>Sim</v>
      </c>
      <c r="AB14" s="256"/>
      <c r="AD14" s="391">
        <v>13</v>
      </c>
      <c r="AE14" s="391" t="s">
        <v>963</v>
      </c>
      <c r="AF14" s="391" t="s">
        <v>92</v>
      </c>
      <c r="AG14" s="391">
        <v>12</v>
      </c>
      <c r="AH14" s="32">
        <v>44214</v>
      </c>
      <c r="AI14" s="391">
        <f>VLOOKUP(Tabela7[[#This Row],[TAG]],BD!$A:$V,19,0)</f>
        <v>24</v>
      </c>
      <c r="AJ14" s="23" t="str">
        <f>VLOOKUP(Tabela7[[#This Row],[TAG]],BD!A:J,10,0)</f>
        <v>8HV</v>
      </c>
      <c r="AK14" s="28">
        <f>SUMIF(AE:AE,Tabela7[[#This Row],[TAG]],AG:AG)/Tabela7[[#This Row],[Qtde Lig]]</f>
        <v>1</v>
      </c>
    </row>
    <row r="15" spans="1:37" x14ac:dyDescent="0.25">
      <c r="A15" s="391">
        <v>14</v>
      </c>
      <c r="B15" s="7" t="s">
        <v>579</v>
      </c>
      <c r="C15" s="391">
        <v>25</v>
      </c>
      <c r="D15" s="32">
        <v>44131</v>
      </c>
      <c r="E15" s="32" t="str">
        <f>VLOOKUP(Tabela2[[#This Row],[Tag]],BD!$A:$B,2,0)</f>
        <v>Força</v>
      </c>
      <c r="F15" s="32" t="str">
        <f>VLOOKUP(Tabela2[[#This Row],[Tag]],BD!A:J,10,0)</f>
        <v>7HV</v>
      </c>
      <c r="G15" s="31" t="str">
        <f>VLOOKUP(Tabela2[[#This Row],[Tag]],BD!$A:$V,20,0)</f>
        <v>E5WP000490-C-001-LC003</v>
      </c>
      <c r="H15" s="32" t="str">
        <f>IF(VLOOKUP(Tabela2[[#This Row],[Tag]],BD!A:T,17,0)=0,"",VLOOKUP(Tabela2[[#This Row],[Tag]],BD!A:T,17,0))</f>
        <v>5.2.8</v>
      </c>
      <c r="I15" s="139">
        <v>44105</v>
      </c>
      <c r="J15" s="155">
        <f>VLOOKUP(Tabela2[[#This Row],[Tag]],BD!$A:$AE,30,0)</f>
        <v>25</v>
      </c>
      <c r="K15" s="29">
        <f>SUMIF(B:B,Tabela2[[#This Row],[Tag]],C:C)/Tabela2[[#This Row],[Comprim. Real]]</f>
        <v>1</v>
      </c>
      <c r="L15" s="29" t="str">
        <f>VLOOKUP(Tabela2[[#This Row],[Tag]],BD!A:AF,32,0)</f>
        <v>7HV</v>
      </c>
      <c r="N15" s="21">
        <v>14</v>
      </c>
      <c r="O15" s="21" t="s">
        <v>909</v>
      </c>
      <c r="P15" s="21" t="s">
        <v>18</v>
      </c>
      <c r="Q15" s="26">
        <v>44230</v>
      </c>
      <c r="R15" s="27">
        <f>VLOOKUP(Tabela5[[#This Row],[Teste]],Referências!$D$2:$E$5,2,0)</f>
        <v>3</v>
      </c>
      <c r="S15" s="27" t="str">
        <f>Tabela5[[#This Row],[TAG]]&amp;"-"&amp;Tabela5[[#This Row],[COD_Test]]</f>
        <v>8HV-1HV-001F-3</v>
      </c>
      <c r="T15" s="21" t="s">
        <v>1505</v>
      </c>
      <c r="U15" s="21" t="str">
        <f>VLOOKUP(Tabela5[[#This Row],[TAG]],BD!A:J,10,0)</f>
        <v>8HV x 1HV</v>
      </c>
      <c r="V15" s="24" t="str">
        <f>VLOOKUP(Tabela5[[#This Row],[TAG]],BD!A:E,5,0)</f>
        <v>5x3x1/c#185</v>
      </c>
      <c r="W15" s="21">
        <v>5</v>
      </c>
      <c r="X15" s="256">
        <f>VLOOKUP(Tabela5[[#This Row],[TAG]],$AE:$AK,7,0)</f>
        <v>1</v>
      </c>
      <c r="Y15" s="256" t="str">
        <f>VLOOKUP(Tabela5[[#This Row],[TAG]],BD!A:P,14,0)</f>
        <v>---</v>
      </c>
      <c r="Z15" s="256" t="str">
        <f>VLOOKUP(Tabela5[[#This Row],[TAG]],BD!A:P,15,0)</f>
        <v>Sim</v>
      </c>
      <c r="AA15" s="256" t="str">
        <f>VLOOKUP(Tabela5[[#This Row],[TAG]],BD!A:P,16,0)</f>
        <v>Sim</v>
      </c>
      <c r="AB15" s="256"/>
      <c r="AD15" s="391">
        <v>14</v>
      </c>
      <c r="AE15" s="391" t="s">
        <v>400</v>
      </c>
      <c r="AF15" s="391" t="s">
        <v>92</v>
      </c>
      <c r="AG15" s="391">
        <v>9</v>
      </c>
      <c r="AH15" s="32">
        <v>44224</v>
      </c>
      <c r="AI15" s="391">
        <f>VLOOKUP(Tabela7[[#This Row],[TAG]],BD!$A:$V,19,0)</f>
        <v>6</v>
      </c>
      <c r="AJ15" s="23" t="str">
        <f>VLOOKUP(Tabela7[[#This Row],[TAG]],BD!A:J,10,0)</f>
        <v>7HV</v>
      </c>
      <c r="AK15" s="28">
        <f>SUMIF(AE:AE,Tabela7[[#This Row],[TAG]],AG:AG)/Tabela7[[#This Row],[Qtde Lig]]</f>
        <v>1.5</v>
      </c>
    </row>
    <row r="16" spans="1:37" x14ac:dyDescent="0.25">
      <c r="A16" s="391">
        <v>15</v>
      </c>
      <c r="B16" s="7" t="s">
        <v>785</v>
      </c>
      <c r="C16" s="391">
        <v>310</v>
      </c>
      <c r="D16" s="32">
        <v>44134</v>
      </c>
      <c r="E16" s="32" t="str">
        <f>VLOOKUP(Tabela2[[#This Row],[Tag]],BD!$A:$B,2,0)</f>
        <v>Força</v>
      </c>
      <c r="F16" s="32" t="str">
        <f>VLOOKUP(Tabela2[[#This Row],[Tag]],BD!A:J,10,0)</f>
        <v>GB-351</v>
      </c>
      <c r="G16" s="31" t="str">
        <f>VLOOKUP(Tabela2[[#This Row],[Tag]],BD!$A:$V,20,0)</f>
        <v>BK-SP54-0900B-LC-74-00004_00000</v>
      </c>
      <c r="H16" s="32" t="str">
        <f>IF(VLOOKUP(Tabela2[[#This Row],[Tag]],BD!A:T,17,0)=0,"",VLOOKUP(Tabela2[[#This Row],[Tag]],BD!A:T,17,0))</f>
        <v>5.2.4</v>
      </c>
      <c r="I16" s="139">
        <v>44105</v>
      </c>
      <c r="J16" s="155">
        <f>VLOOKUP(Tabela2[[#This Row],[Tag]],BD!$A:$AE,30,0)</f>
        <v>1860</v>
      </c>
      <c r="K16" s="29">
        <f>SUMIF(B:B,Tabela2[[#This Row],[Tag]],C:C)/Tabela2[[#This Row],[Comprim. Real]]</f>
        <v>1</v>
      </c>
      <c r="L16" s="29" t="str">
        <f>VLOOKUP(Tabela2[[#This Row],[Tag]],BD!A:AF,32,0)</f>
        <v>7HVxGB-351</v>
      </c>
      <c r="N16" s="21">
        <v>15</v>
      </c>
      <c r="O16" s="21" t="s">
        <v>987</v>
      </c>
      <c r="P16" s="21" t="s">
        <v>19</v>
      </c>
      <c r="Q16" s="26">
        <v>44230</v>
      </c>
      <c r="R16" s="27">
        <f>VLOOKUP(Tabela5[[#This Row],[Teste]],Referências!$D$2:$E$5,2,0)</f>
        <v>4</v>
      </c>
      <c r="S16" s="27" t="str">
        <f>Tabela5[[#This Row],[TAG]]&amp;"-"&amp;Tabela5[[#This Row],[COD_Test]]</f>
        <v>8HV-COG-001F-4</v>
      </c>
      <c r="T16" s="21" t="s">
        <v>1505</v>
      </c>
      <c r="U16" s="21" t="str">
        <f>VLOOKUP(Tabela5[[#This Row],[TAG]],BD!A:J,10,0)</f>
        <v>8HV</v>
      </c>
      <c r="V16" s="3" t="str">
        <f>VLOOKUP(Tabela5[[#This Row],[TAG]],BD!A:E,5,0)</f>
        <v>6x3x1/c#240</v>
      </c>
      <c r="W16" s="21">
        <v>6</v>
      </c>
      <c r="X16" s="245">
        <f>VLOOKUP(Tabela5[[#This Row],[TAG]],$AE:$AK,7,0)</f>
        <v>1</v>
      </c>
      <c r="Y16" s="245" t="str">
        <f>VLOOKUP(Tabela5[[#This Row],[TAG]],BD!A:P,14,0)</f>
        <v>---</v>
      </c>
      <c r="Z16" s="245" t="str">
        <f>VLOOKUP(Tabela5[[#This Row],[TAG]],BD!A:P,15,0)</f>
        <v>Sim</v>
      </c>
      <c r="AA16" s="245" t="str">
        <f>VLOOKUP(Tabela5[[#This Row],[TAG]],BD!A:P,16,0)</f>
        <v>Sim</v>
      </c>
      <c r="AB16" s="245"/>
      <c r="AD16" s="391">
        <v>15</v>
      </c>
      <c r="AE16" s="391" t="s">
        <v>409</v>
      </c>
      <c r="AF16" s="391" t="s">
        <v>92</v>
      </c>
      <c r="AG16" s="391">
        <v>2</v>
      </c>
      <c r="AH16" s="32">
        <v>44224</v>
      </c>
      <c r="AI16" s="391">
        <f>VLOOKUP(Tabela7[[#This Row],[TAG]],BD!$A:$V,19,0)</f>
        <v>2</v>
      </c>
      <c r="AJ16" s="23" t="str">
        <f>VLOOKUP(Tabela7[[#This Row],[TAG]],BD!A:J,10,0)</f>
        <v>7HV</v>
      </c>
      <c r="AK16" s="28">
        <f>SUMIF(AE:AE,Tabela7[[#This Row],[TAG]],AG:AG)/Tabela7[[#This Row],[Qtde Lig]]</f>
        <v>1</v>
      </c>
    </row>
    <row r="17" spans="1:37" x14ac:dyDescent="0.25">
      <c r="A17" s="391">
        <v>16</v>
      </c>
      <c r="B17" s="7" t="s">
        <v>525</v>
      </c>
      <c r="C17" s="391">
        <v>25</v>
      </c>
      <c r="D17" s="32">
        <v>44134</v>
      </c>
      <c r="E17" s="32" t="str">
        <f>VLOOKUP(Tabela2[[#This Row],[Tag]],BD!$A:$B,2,0)</f>
        <v>Força</v>
      </c>
      <c r="F17" s="32" t="str">
        <f>VLOOKUP(Tabela2[[#This Row],[Tag]],BD!A:J,10,0)</f>
        <v>7HV</v>
      </c>
      <c r="G17" s="31" t="str">
        <f>VLOOKUP(Tabela2[[#This Row],[Tag]],BD!$A:$V,20,0)</f>
        <v>E5WP000490-C-001-LC003</v>
      </c>
      <c r="H17" s="32" t="str">
        <f>IF(VLOOKUP(Tabela2[[#This Row],[Tag]],BD!A:T,17,0)=0,"",VLOOKUP(Tabela2[[#This Row],[Tag]],BD!A:T,17,0))</f>
        <v>5.8.1</v>
      </c>
      <c r="I17" s="139">
        <v>44105</v>
      </c>
      <c r="J17" s="155">
        <f>VLOOKUP(Tabela2[[#This Row],[Tag]],BD!$A:$AE,30,0)</f>
        <v>25</v>
      </c>
      <c r="K17" s="29">
        <f>SUMIF(B:B,Tabela2[[#This Row],[Tag]],C:C)/Tabela2[[#This Row],[Comprim. Real]]</f>
        <v>1</v>
      </c>
      <c r="L17" s="29" t="str">
        <f>VLOOKUP(Tabela2[[#This Row],[Tag]],BD!A:AF,32,0)</f>
        <v>7HV</v>
      </c>
      <c r="N17" s="21">
        <v>16</v>
      </c>
      <c r="O17" s="21" t="s">
        <v>987</v>
      </c>
      <c r="P17" s="21" t="s">
        <v>16</v>
      </c>
      <c r="Q17" s="26">
        <v>44230</v>
      </c>
      <c r="R17" s="27">
        <f>VLOOKUP(Tabela5[[#This Row],[Teste]],Referências!$D$2:$E$5,2,0)</f>
        <v>1</v>
      </c>
      <c r="S17" s="27" t="str">
        <f>Tabela5[[#This Row],[TAG]]&amp;"-"&amp;Tabela5[[#This Row],[COD_Test]]</f>
        <v>8HV-COG-001F-1</v>
      </c>
      <c r="T17" s="21" t="s">
        <v>1505</v>
      </c>
      <c r="U17" s="21" t="str">
        <f>VLOOKUP(Tabela5[[#This Row],[TAG]],BD!A:J,10,0)</f>
        <v>8HV</v>
      </c>
      <c r="V17" s="24" t="str">
        <f>VLOOKUP(Tabela5[[#This Row],[TAG]],BD!A:E,5,0)</f>
        <v>6x3x1/c#240</v>
      </c>
      <c r="W17" s="21">
        <v>6</v>
      </c>
      <c r="X17" s="256">
        <f>VLOOKUP(Tabela5[[#This Row],[TAG]],$AE:$AK,7,0)</f>
        <v>1</v>
      </c>
      <c r="Y17" s="256" t="str">
        <f>VLOOKUP(Tabela5[[#This Row],[TAG]],BD!A:P,14,0)</f>
        <v>---</v>
      </c>
      <c r="Z17" s="256" t="str">
        <f>VLOOKUP(Tabela5[[#This Row],[TAG]],BD!A:P,15,0)</f>
        <v>Sim</v>
      </c>
      <c r="AA17" s="256" t="str">
        <f>VLOOKUP(Tabela5[[#This Row],[TAG]],BD!A:P,16,0)</f>
        <v>Sim</v>
      </c>
      <c r="AB17" s="256"/>
      <c r="AD17" s="391">
        <v>16</v>
      </c>
      <c r="AE17" s="391" t="s">
        <v>463</v>
      </c>
      <c r="AF17" s="391" t="s">
        <v>92</v>
      </c>
      <c r="AG17" s="391">
        <v>48</v>
      </c>
      <c r="AH17" s="32">
        <v>44224</v>
      </c>
      <c r="AI17" s="391">
        <f>VLOOKUP(Tabela7[[#This Row],[TAG]],BD!$A:$V,19,0)</f>
        <v>48</v>
      </c>
      <c r="AJ17" s="23" t="str">
        <f>VLOOKUP(Tabela7[[#This Row],[TAG]],BD!A:J,10,0)</f>
        <v>7HV</v>
      </c>
      <c r="AK17" s="28">
        <f>SUMIF(AE:AE,Tabela7[[#This Row],[TAG]],AG:AG)/Tabela7[[#This Row],[Qtde Lig]]</f>
        <v>1</v>
      </c>
    </row>
    <row r="18" spans="1:37" x14ac:dyDescent="0.25">
      <c r="A18" s="391">
        <v>17</v>
      </c>
      <c r="B18" s="7" t="s">
        <v>527</v>
      </c>
      <c r="C18" s="391">
        <v>24</v>
      </c>
      <c r="D18" s="32">
        <v>44134</v>
      </c>
      <c r="E18" s="32" t="str">
        <f>VLOOKUP(Tabela2[[#This Row],[Tag]],BD!$A:$B,2,0)</f>
        <v>Força</v>
      </c>
      <c r="F18" s="32" t="str">
        <f>VLOOKUP(Tabela2[[#This Row],[Tag]],BD!A:J,10,0)</f>
        <v>7HV</v>
      </c>
      <c r="G18" s="31" t="str">
        <f>VLOOKUP(Tabela2[[#This Row],[Tag]],BD!$A:$V,20,0)</f>
        <v>E5WP000490-C-001-LC003</v>
      </c>
      <c r="H18" s="32" t="str">
        <f>IF(VLOOKUP(Tabela2[[#This Row],[Tag]],BD!A:T,17,0)=0,"",VLOOKUP(Tabela2[[#This Row],[Tag]],BD!A:T,17,0))</f>
        <v>5.8.1</v>
      </c>
      <c r="I18" s="139">
        <v>44105</v>
      </c>
      <c r="J18" s="155">
        <f>VLOOKUP(Tabela2[[#This Row],[Tag]],BD!$A:$AE,30,0)</f>
        <v>24</v>
      </c>
      <c r="K18" s="29">
        <f>SUMIF(B:B,Tabela2[[#This Row],[Tag]],C:C)/Tabela2[[#This Row],[Comprim. Real]]</f>
        <v>1</v>
      </c>
      <c r="L18" s="29" t="str">
        <f>VLOOKUP(Tabela2[[#This Row],[Tag]],BD!A:AF,32,0)</f>
        <v>7HV</v>
      </c>
      <c r="N18" s="21">
        <v>17</v>
      </c>
      <c r="O18" s="21" t="s">
        <v>987</v>
      </c>
      <c r="P18" s="21" t="s">
        <v>18</v>
      </c>
      <c r="Q18" s="26">
        <v>44230</v>
      </c>
      <c r="R18" s="27">
        <f>VLOOKUP(Tabela5[[#This Row],[Teste]],Referências!$D$2:$E$5,2,0)</f>
        <v>3</v>
      </c>
      <c r="S18" s="27" t="str">
        <f>Tabela5[[#This Row],[TAG]]&amp;"-"&amp;Tabela5[[#This Row],[COD_Test]]</f>
        <v>8HV-COG-001F-3</v>
      </c>
      <c r="T18" s="21" t="s">
        <v>1505</v>
      </c>
      <c r="U18" s="21" t="str">
        <f>VLOOKUP(Tabela5[[#This Row],[TAG]],BD!A:J,10,0)</f>
        <v>8HV</v>
      </c>
      <c r="V18" s="24" t="str">
        <f>VLOOKUP(Tabela5[[#This Row],[TAG]],BD!A:E,5,0)</f>
        <v>6x3x1/c#240</v>
      </c>
      <c r="W18" s="21">
        <v>6</v>
      </c>
      <c r="X18" s="256">
        <f>VLOOKUP(Tabela5[[#This Row],[TAG]],$AE:$AK,7,0)</f>
        <v>1</v>
      </c>
      <c r="Y18" s="256" t="str">
        <f>VLOOKUP(Tabela5[[#This Row],[TAG]],BD!A:P,14,0)</f>
        <v>---</v>
      </c>
      <c r="Z18" s="256" t="str">
        <f>VLOOKUP(Tabela5[[#This Row],[TAG]],BD!A:P,15,0)</f>
        <v>Sim</v>
      </c>
      <c r="AA18" s="256" t="str">
        <f>VLOOKUP(Tabela5[[#This Row],[TAG]],BD!A:P,16,0)</f>
        <v>Sim</v>
      </c>
      <c r="AB18" s="256"/>
      <c r="AD18" s="391">
        <v>17</v>
      </c>
      <c r="AE18" s="391" t="s">
        <v>467</v>
      </c>
      <c r="AF18" s="391" t="s">
        <v>92</v>
      </c>
      <c r="AG18" s="391">
        <v>2</v>
      </c>
      <c r="AH18" s="32">
        <v>44224</v>
      </c>
      <c r="AI18" s="391">
        <f>VLOOKUP(Tabela7[[#This Row],[TAG]],BD!$A:$V,19,0)</f>
        <v>2</v>
      </c>
      <c r="AJ18" s="23" t="str">
        <f>VLOOKUP(Tabela7[[#This Row],[TAG]],BD!A:J,10,0)</f>
        <v>7HV</v>
      </c>
      <c r="AK18" s="28">
        <f>SUMIF(AE:AE,Tabela7[[#This Row],[TAG]],AG:AG)/Tabela7[[#This Row],[Qtde Lig]]</f>
        <v>1</v>
      </c>
    </row>
    <row r="19" spans="1:37" x14ac:dyDescent="0.25">
      <c r="A19" s="391">
        <v>18</v>
      </c>
      <c r="B19" s="7" t="s">
        <v>528</v>
      </c>
      <c r="C19" s="391">
        <v>26</v>
      </c>
      <c r="D19" s="32">
        <v>44134</v>
      </c>
      <c r="E19" s="32" t="str">
        <f>VLOOKUP(Tabela2[[#This Row],[Tag]],BD!$A:$B,2,0)</f>
        <v>Força</v>
      </c>
      <c r="F19" s="32" t="str">
        <f>VLOOKUP(Tabela2[[#This Row],[Tag]],BD!A:J,10,0)</f>
        <v>7HV</v>
      </c>
      <c r="G19" s="31" t="str">
        <f>VLOOKUP(Tabela2[[#This Row],[Tag]],BD!$A:$V,20,0)</f>
        <v>E5WP000490-C-001-LC003</v>
      </c>
      <c r="H19" s="32" t="str">
        <f>IF(VLOOKUP(Tabela2[[#This Row],[Tag]],BD!A:T,17,0)=0,"",VLOOKUP(Tabela2[[#This Row],[Tag]],BD!A:T,17,0))</f>
        <v>5.8.1</v>
      </c>
      <c r="I19" s="139">
        <v>44105</v>
      </c>
      <c r="J19" s="155">
        <f>VLOOKUP(Tabela2[[#This Row],[Tag]],BD!$A:$AE,30,0)</f>
        <v>26</v>
      </c>
      <c r="K19" s="29">
        <f>SUMIF(B:B,Tabela2[[#This Row],[Tag]],C:C)/Tabela2[[#This Row],[Comprim. Real]]</f>
        <v>1</v>
      </c>
      <c r="L19" s="29" t="str">
        <f>VLOOKUP(Tabela2[[#This Row],[Tag]],BD!A:AF,32,0)</f>
        <v>7HV</v>
      </c>
      <c r="N19" s="21">
        <v>18</v>
      </c>
      <c r="O19" s="21" t="s">
        <v>802</v>
      </c>
      <c r="P19" s="21" t="s">
        <v>18</v>
      </c>
      <c r="Q19" s="26">
        <v>44214</v>
      </c>
      <c r="R19" s="27">
        <f>VLOOKUP(Tabela5[[#This Row],[Teste]],Referências!$D$2:$E$5,2,0)</f>
        <v>3</v>
      </c>
      <c r="S19" s="23" t="str">
        <f>Tabela5[[#This Row],[TAG]]&amp;"-"&amp;Tabela5[[#This Row],[COD_Test]]</f>
        <v>BCH19-8HV-BCH19-POT-8HV-001F-3</v>
      </c>
      <c r="T19" s="21" t="s">
        <v>1505</v>
      </c>
      <c r="U19" s="21" t="str">
        <f>VLOOKUP(Tabela5[[#This Row],[TAG]],BD!A:J,10,0)</f>
        <v>8HV</v>
      </c>
      <c r="V19" s="3" t="str">
        <f>VLOOKUP(Tabela5[[#This Row],[TAG]],BD!A:E,5,0)</f>
        <v>2x2x1/C#120</v>
      </c>
      <c r="W19" s="21">
        <v>4</v>
      </c>
      <c r="X19" s="245">
        <f>VLOOKUP(Tabela5[[#This Row],[TAG]],$AE:$AK,7,0)</f>
        <v>1</v>
      </c>
      <c r="Y19" s="245" t="str">
        <f>VLOOKUP(Tabela5[[#This Row],[TAG]],BD!A:P,14,0)</f>
        <v>---</v>
      </c>
      <c r="Z19" s="245" t="str">
        <f>VLOOKUP(Tabela5[[#This Row],[TAG]],BD!A:P,15,0)</f>
        <v>Sim</v>
      </c>
      <c r="AA19" s="245" t="str">
        <f>VLOOKUP(Tabela5[[#This Row],[TAG]],BD!A:P,16,0)</f>
        <v>---</v>
      </c>
      <c r="AB19" s="245"/>
      <c r="AD19" s="391">
        <v>18</v>
      </c>
      <c r="AE19" s="391" t="s">
        <v>469</v>
      </c>
      <c r="AF19" s="391" t="s">
        <v>92</v>
      </c>
      <c r="AG19" s="391">
        <v>2</v>
      </c>
      <c r="AH19" s="32">
        <v>44224</v>
      </c>
      <c r="AI19" s="391">
        <f>VLOOKUP(Tabela7[[#This Row],[TAG]],BD!$A:$V,19,0)</f>
        <v>2</v>
      </c>
      <c r="AJ19" s="23" t="str">
        <f>VLOOKUP(Tabela7[[#This Row],[TAG]],BD!A:J,10,0)</f>
        <v>7HV</v>
      </c>
      <c r="AK19" s="28">
        <f>SUMIF(AE:AE,Tabela7[[#This Row],[TAG]],AG:AG)/Tabela7[[#This Row],[Qtde Lig]]</f>
        <v>1</v>
      </c>
    </row>
    <row r="20" spans="1:37" x14ac:dyDescent="0.25">
      <c r="A20" s="391">
        <v>19</v>
      </c>
      <c r="B20" s="7" t="s">
        <v>529</v>
      </c>
      <c r="C20" s="391">
        <v>22</v>
      </c>
      <c r="D20" s="32">
        <v>44134</v>
      </c>
      <c r="E20" s="32" t="str">
        <f>VLOOKUP(Tabela2[[#This Row],[Tag]],BD!$A:$B,2,0)</f>
        <v>Força</v>
      </c>
      <c r="F20" s="32" t="str">
        <f>VLOOKUP(Tabela2[[#This Row],[Tag]],BD!A:J,10,0)</f>
        <v>7HV</v>
      </c>
      <c r="G20" s="31" t="str">
        <f>VLOOKUP(Tabela2[[#This Row],[Tag]],BD!$A:$V,20,0)</f>
        <v>E5WP000490-C-001-LC003</v>
      </c>
      <c r="H20" s="32" t="str">
        <f>IF(VLOOKUP(Tabela2[[#This Row],[Tag]],BD!A:T,17,0)=0,"",VLOOKUP(Tabela2[[#This Row],[Tag]],BD!A:T,17,0))</f>
        <v>5.8.1</v>
      </c>
      <c r="I20" s="139">
        <v>44105</v>
      </c>
      <c r="J20" s="155">
        <f>VLOOKUP(Tabela2[[#This Row],[Tag]],BD!$A:$AE,30,0)</f>
        <v>22</v>
      </c>
      <c r="K20" s="29">
        <f>SUMIF(B:B,Tabela2[[#This Row],[Tag]],C:C)/Tabela2[[#This Row],[Comprim. Real]]</f>
        <v>1</v>
      </c>
      <c r="L20" s="29" t="str">
        <f>VLOOKUP(Tabela2[[#This Row],[Tag]],BD!A:AF,32,0)</f>
        <v>7HV</v>
      </c>
      <c r="N20" s="21">
        <v>19</v>
      </c>
      <c r="O20" s="21" t="s">
        <v>802</v>
      </c>
      <c r="P20" s="21" t="s">
        <v>16</v>
      </c>
      <c r="Q20" s="26">
        <v>44214</v>
      </c>
      <c r="R20" s="27">
        <f>VLOOKUP(Tabela5[[#This Row],[Teste]],Referências!$D$2:$E$5,2,0)</f>
        <v>1</v>
      </c>
      <c r="S20" s="27" t="str">
        <f>Tabela5[[#This Row],[TAG]]&amp;"-"&amp;Tabela5[[#This Row],[COD_Test]]</f>
        <v>BCH19-8HV-BCH19-POT-8HV-001F-1</v>
      </c>
      <c r="T20" s="21" t="s">
        <v>1505</v>
      </c>
      <c r="U20" s="21" t="str">
        <f>VLOOKUP(Tabela5[[#This Row],[TAG]],BD!A:J,10,0)</f>
        <v>8HV</v>
      </c>
      <c r="V20" s="24" t="str">
        <f>VLOOKUP(Tabela5[[#This Row],[TAG]],BD!A:E,5,0)</f>
        <v>2x2x1/C#120</v>
      </c>
      <c r="W20" s="21">
        <v>4</v>
      </c>
      <c r="X20" s="256">
        <f>VLOOKUP(Tabela5[[#This Row],[TAG]],$AE:$AK,7,0)</f>
        <v>1</v>
      </c>
      <c r="Y20" s="256" t="str">
        <f>VLOOKUP(Tabela5[[#This Row],[TAG]],BD!A:P,14,0)</f>
        <v>---</v>
      </c>
      <c r="Z20" s="256" t="str">
        <f>VLOOKUP(Tabela5[[#This Row],[TAG]],BD!A:P,15,0)</f>
        <v>Sim</v>
      </c>
      <c r="AA20" s="256" t="str">
        <f>VLOOKUP(Tabela5[[#This Row],[TAG]],BD!A:P,16,0)</f>
        <v>---</v>
      </c>
      <c r="AB20" s="256"/>
      <c r="AD20" s="391">
        <v>19</v>
      </c>
      <c r="AE20" s="391" t="s">
        <v>471</v>
      </c>
      <c r="AF20" s="391" t="s">
        <v>92</v>
      </c>
      <c r="AG20" s="391">
        <v>48</v>
      </c>
      <c r="AH20" s="32">
        <v>44224</v>
      </c>
      <c r="AI20" s="391">
        <f>VLOOKUP(Tabela7[[#This Row],[TAG]],BD!$A:$V,19,0)</f>
        <v>48</v>
      </c>
      <c r="AJ20" s="23" t="str">
        <f>VLOOKUP(Tabela7[[#This Row],[TAG]],BD!A:J,10,0)</f>
        <v>7HV</v>
      </c>
      <c r="AK20" s="28">
        <f>SUMIF(AE:AE,Tabela7[[#This Row],[TAG]],AG:AG)/Tabela7[[#This Row],[Qtde Lig]]</f>
        <v>1</v>
      </c>
    </row>
    <row r="21" spans="1:37" x14ac:dyDescent="0.25">
      <c r="A21" s="391">
        <v>20</v>
      </c>
      <c r="B21" s="7" t="s">
        <v>530</v>
      </c>
      <c r="C21" s="391">
        <v>11</v>
      </c>
      <c r="D21" s="32">
        <v>44134</v>
      </c>
      <c r="E21" s="32" t="str">
        <f>VLOOKUP(Tabela2[[#This Row],[Tag]],BD!$A:$B,2,0)</f>
        <v>Força</v>
      </c>
      <c r="F21" s="32" t="str">
        <f>VLOOKUP(Tabela2[[#This Row],[Tag]],BD!A:J,10,0)</f>
        <v>7HV</v>
      </c>
      <c r="G21" s="31" t="str">
        <f>VLOOKUP(Tabela2[[#This Row],[Tag]],BD!$A:$V,20,0)</f>
        <v>E5WP000490-C-001-LC003</v>
      </c>
      <c r="H21" s="32" t="str">
        <f>IF(VLOOKUP(Tabela2[[#This Row],[Tag]],BD!A:T,17,0)=0,"",VLOOKUP(Tabela2[[#This Row],[Tag]],BD!A:T,17,0))</f>
        <v>5.8.1</v>
      </c>
      <c r="I21" s="139">
        <v>44105</v>
      </c>
      <c r="J21" s="155">
        <f>VLOOKUP(Tabela2[[#This Row],[Tag]],BD!$A:$AE,30,0)</f>
        <v>11</v>
      </c>
      <c r="K21" s="29">
        <f>SUMIF(B:B,Tabela2[[#This Row],[Tag]],C:C)/Tabela2[[#This Row],[Comprim. Real]]</f>
        <v>1</v>
      </c>
      <c r="L21" s="29" t="str">
        <f>VLOOKUP(Tabela2[[#This Row],[Tag]],BD!A:AF,32,0)</f>
        <v>7HV</v>
      </c>
      <c r="N21" s="21">
        <v>20</v>
      </c>
      <c r="O21" s="21" t="s">
        <v>812</v>
      </c>
      <c r="P21" s="21" t="s">
        <v>18</v>
      </c>
      <c r="Q21" s="26">
        <v>44214</v>
      </c>
      <c r="R21" s="27">
        <f>VLOOKUP(Tabela5[[#This Row],[Teste]],Referências!$D$2:$E$5,2,0)</f>
        <v>3</v>
      </c>
      <c r="S21" s="23" t="str">
        <f>Tabela5[[#This Row],[TAG]]&amp;"-"&amp;Tabela5[[#This Row],[COD_Test]]</f>
        <v>BCH19-8HV-TCC34-001F-3</v>
      </c>
      <c r="T21" s="21" t="s">
        <v>1505</v>
      </c>
      <c r="U21" s="21" t="str">
        <f>VLOOKUP(Tabela5[[#This Row],[TAG]],BD!A:J,10,0)</f>
        <v>8HV</v>
      </c>
      <c r="V21" s="3" t="str">
        <f>VLOOKUP(Tabela5[[#This Row],[TAG]],BD!A:E,5,0)</f>
        <v>1x2/C#50</v>
      </c>
      <c r="W21" s="21">
        <v>2</v>
      </c>
      <c r="X21" s="245">
        <f>VLOOKUP(Tabela5[[#This Row],[TAG]],$AE:$AK,7,0)</f>
        <v>1</v>
      </c>
      <c r="Y21" s="245" t="str">
        <f>VLOOKUP(Tabela5[[#This Row],[TAG]],BD!A:P,14,0)</f>
        <v>---</v>
      </c>
      <c r="Z21" s="245" t="str">
        <f>VLOOKUP(Tabela5[[#This Row],[TAG]],BD!A:P,15,0)</f>
        <v>Sim</v>
      </c>
      <c r="AA21" s="245" t="str">
        <f>VLOOKUP(Tabela5[[#This Row],[TAG]],BD!A:P,16,0)</f>
        <v>---</v>
      </c>
      <c r="AB21" s="245"/>
      <c r="AD21" s="391">
        <v>20</v>
      </c>
      <c r="AE21" s="391" t="s">
        <v>473</v>
      </c>
      <c r="AF21" s="391" t="s">
        <v>92</v>
      </c>
      <c r="AG21" s="391">
        <v>2</v>
      </c>
      <c r="AH21" s="32">
        <v>44224</v>
      </c>
      <c r="AI21" s="391">
        <f>VLOOKUP(Tabela7[[#This Row],[TAG]],BD!$A:$V,19,0)</f>
        <v>2</v>
      </c>
      <c r="AJ21" s="23" t="str">
        <f>VLOOKUP(Tabela7[[#This Row],[TAG]],BD!A:J,10,0)</f>
        <v>7HV</v>
      </c>
      <c r="AK21" s="28">
        <f>SUMIF(AE:AE,Tabela7[[#This Row],[TAG]],AG:AG)/Tabela7[[#This Row],[Qtde Lig]]</f>
        <v>1</v>
      </c>
    </row>
    <row r="22" spans="1:37" x14ac:dyDescent="0.25">
      <c r="A22" s="391">
        <v>21</v>
      </c>
      <c r="B22" s="7" t="s">
        <v>531</v>
      </c>
      <c r="C22" s="391">
        <v>14</v>
      </c>
      <c r="D22" s="32">
        <v>44134</v>
      </c>
      <c r="E22" s="32" t="str">
        <f>VLOOKUP(Tabela2[[#This Row],[Tag]],BD!$A:$B,2,0)</f>
        <v>Força</v>
      </c>
      <c r="F22" s="32" t="str">
        <f>VLOOKUP(Tabela2[[#This Row],[Tag]],BD!A:J,10,0)</f>
        <v>7HV</v>
      </c>
      <c r="G22" s="31" t="str">
        <f>VLOOKUP(Tabela2[[#This Row],[Tag]],BD!$A:$V,20,0)</f>
        <v>E5WP000490-C-001-LC003</v>
      </c>
      <c r="H22" s="32" t="str">
        <f>IF(VLOOKUP(Tabela2[[#This Row],[Tag]],BD!A:T,17,0)=0,"",VLOOKUP(Tabela2[[#This Row],[Tag]],BD!A:T,17,0))</f>
        <v>5.8.1</v>
      </c>
      <c r="I22" s="139">
        <v>44105</v>
      </c>
      <c r="J22" s="155">
        <f>VLOOKUP(Tabela2[[#This Row],[Tag]],BD!$A:$AE,30,0)</f>
        <v>14</v>
      </c>
      <c r="K22" s="29">
        <f>SUMIF(B:B,Tabela2[[#This Row],[Tag]],C:C)/Tabela2[[#This Row],[Comprim. Real]]</f>
        <v>1</v>
      </c>
      <c r="L22" s="29" t="str">
        <f>VLOOKUP(Tabela2[[#This Row],[Tag]],BD!A:AF,32,0)</f>
        <v>7HV</v>
      </c>
      <c r="N22" s="21">
        <v>21</v>
      </c>
      <c r="O22" s="21" t="s">
        <v>812</v>
      </c>
      <c r="P22" s="21" t="s">
        <v>16</v>
      </c>
      <c r="Q22" s="26">
        <v>44214</v>
      </c>
      <c r="R22" s="27">
        <f>VLOOKUP(Tabela5[[#This Row],[Teste]],Referências!$D$2:$E$5,2,0)</f>
        <v>1</v>
      </c>
      <c r="S22" s="27" t="str">
        <f>Tabela5[[#This Row],[TAG]]&amp;"-"&amp;Tabela5[[#This Row],[COD_Test]]</f>
        <v>BCH19-8HV-TCC34-001F-1</v>
      </c>
      <c r="T22" s="21" t="s">
        <v>1505</v>
      </c>
      <c r="U22" s="21" t="str">
        <f>VLOOKUP(Tabela5[[#This Row],[TAG]],BD!A:J,10,0)</f>
        <v>8HV</v>
      </c>
      <c r="V22" s="24" t="str">
        <f>VLOOKUP(Tabela5[[#This Row],[TAG]],BD!A:E,5,0)</f>
        <v>1x2/C#50</v>
      </c>
      <c r="W22" s="21">
        <v>2</v>
      </c>
      <c r="X22" s="256">
        <f>VLOOKUP(Tabela5[[#This Row],[TAG]],$AE:$AK,7,0)</f>
        <v>1</v>
      </c>
      <c r="Y22" s="256" t="str">
        <f>VLOOKUP(Tabela5[[#This Row],[TAG]],BD!A:P,14,0)</f>
        <v>---</v>
      </c>
      <c r="Z22" s="256" t="str">
        <f>VLOOKUP(Tabela5[[#This Row],[TAG]],BD!A:P,15,0)</f>
        <v>Sim</v>
      </c>
      <c r="AA22" s="256" t="str">
        <f>VLOOKUP(Tabela5[[#This Row],[TAG]],BD!A:P,16,0)</f>
        <v>---</v>
      </c>
      <c r="AB22" s="256"/>
      <c r="AD22" s="391">
        <v>21</v>
      </c>
      <c r="AE22" s="391" t="s">
        <v>474</v>
      </c>
      <c r="AF22" s="391" t="s">
        <v>92</v>
      </c>
      <c r="AG22" s="391">
        <v>2</v>
      </c>
      <c r="AH22" s="32">
        <v>44224</v>
      </c>
      <c r="AI22" s="391">
        <f>VLOOKUP(Tabela7[[#This Row],[TAG]],BD!$A:$V,19,0)</f>
        <v>2</v>
      </c>
      <c r="AJ22" s="23" t="str">
        <f>VLOOKUP(Tabela7[[#This Row],[TAG]],BD!A:J,10,0)</f>
        <v>7HV</v>
      </c>
      <c r="AK22" s="28">
        <f>SUMIF(AE:AE,Tabela7[[#This Row],[TAG]],AG:AG)/Tabela7[[#This Row],[Qtde Lig]]</f>
        <v>1</v>
      </c>
    </row>
    <row r="23" spans="1:37" x14ac:dyDescent="0.25">
      <c r="A23" s="391">
        <v>22</v>
      </c>
      <c r="B23" s="7" t="s">
        <v>516</v>
      </c>
      <c r="C23" s="391">
        <v>21</v>
      </c>
      <c r="D23" s="32">
        <v>44134</v>
      </c>
      <c r="E23" s="32" t="str">
        <f>VLOOKUP(Tabela2[[#This Row],[Tag]],BD!$A:$B,2,0)</f>
        <v>Força</v>
      </c>
      <c r="F23" s="32" t="str">
        <f>VLOOKUP(Tabela2[[#This Row],[Tag]],BD!A:J,10,0)</f>
        <v>7HV</v>
      </c>
      <c r="G23" s="31" t="str">
        <f>VLOOKUP(Tabela2[[#This Row],[Tag]],BD!$A:$V,20,0)</f>
        <v>E5WP000490-C-001-LC003</v>
      </c>
      <c r="H23" s="32" t="str">
        <f>IF(VLOOKUP(Tabela2[[#This Row],[Tag]],BD!A:T,17,0)=0,"",VLOOKUP(Tabela2[[#This Row],[Tag]],BD!A:T,17,0))</f>
        <v>5.8.1</v>
      </c>
      <c r="I23" s="139">
        <v>44105</v>
      </c>
      <c r="J23" s="155">
        <f>VLOOKUP(Tabela2[[#This Row],[Tag]],BD!$A:$AE,30,0)</f>
        <v>21</v>
      </c>
      <c r="K23" s="29">
        <f>SUMIF(B:B,Tabela2[[#This Row],[Tag]],C:C)/Tabela2[[#This Row],[Comprim. Real]]</f>
        <v>1</v>
      </c>
      <c r="L23" s="29" t="str">
        <f>VLOOKUP(Tabela2[[#This Row],[Tag]],BD!A:AF,32,0)</f>
        <v>7HV</v>
      </c>
      <c r="N23" s="21">
        <v>22</v>
      </c>
      <c r="O23" s="21" t="s">
        <v>992</v>
      </c>
      <c r="P23" s="21" t="s">
        <v>18</v>
      </c>
      <c r="Q23" s="26">
        <v>44214</v>
      </c>
      <c r="R23" s="27">
        <f>VLOOKUP(Tabela5[[#This Row],[Teste]],Referências!$D$2:$E$5,2,0)</f>
        <v>3</v>
      </c>
      <c r="S23" s="27" t="str">
        <f>Tabela5[[#This Row],[TAG]]&amp;"-"&amp;Tabela5[[#This Row],[COD_Test]]</f>
        <v>BCH19-POT-8HV-BCH19-BAT-8HV-001F-3</v>
      </c>
      <c r="T23" s="21" t="s">
        <v>1505</v>
      </c>
      <c r="U23" s="21" t="str">
        <f>VLOOKUP(Tabela5[[#This Row],[TAG]],BD!A:J,10,0)</f>
        <v>8HV</v>
      </c>
      <c r="V23" s="3" t="str">
        <f>VLOOKUP(Tabela5[[#This Row],[TAG]],BD!A:E,5,0)</f>
        <v>1x2x1/C#120</v>
      </c>
      <c r="W23" s="21">
        <v>2</v>
      </c>
      <c r="X23" s="245">
        <f>VLOOKUP(Tabela5[[#This Row],[TAG]],$AE:$AK,7,0)</f>
        <v>1</v>
      </c>
      <c r="Y23" s="245" t="str">
        <f>VLOOKUP(Tabela5[[#This Row],[TAG]],BD!A:P,14,0)</f>
        <v>---</v>
      </c>
      <c r="Z23" s="245" t="str">
        <f>VLOOKUP(Tabela5[[#This Row],[TAG]],BD!A:P,15,0)</f>
        <v>Sim</v>
      </c>
      <c r="AA23" s="245" t="str">
        <f>VLOOKUP(Tabela5[[#This Row],[TAG]],BD!A:P,16,0)</f>
        <v>---</v>
      </c>
      <c r="AB23" s="245"/>
      <c r="AD23" s="391">
        <v>22</v>
      </c>
      <c r="AE23" s="391" t="s">
        <v>475</v>
      </c>
      <c r="AF23" s="391" t="s">
        <v>92</v>
      </c>
      <c r="AG23" s="391">
        <v>24</v>
      </c>
      <c r="AH23" s="32">
        <v>44224</v>
      </c>
      <c r="AI23" s="391">
        <f>VLOOKUP(Tabela7[[#This Row],[TAG]],BD!$A:$V,19,0)</f>
        <v>24</v>
      </c>
      <c r="AJ23" s="23" t="str">
        <f>VLOOKUP(Tabela7[[#This Row],[TAG]],BD!A:J,10,0)</f>
        <v>7HV</v>
      </c>
      <c r="AK23" s="28">
        <f>SUMIF(AE:AE,Tabela7[[#This Row],[TAG]],AG:AG)/Tabela7[[#This Row],[Qtde Lig]]</f>
        <v>1</v>
      </c>
    </row>
    <row r="24" spans="1:37" x14ac:dyDescent="0.25">
      <c r="A24" s="391">
        <v>23</v>
      </c>
      <c r="B24" s="7" t="s">
        <v>519</v>
      </c>
      <c r="C24" s="391">
        <v>34</v>
      </c>
      <c r="D24" s="32">
        <v>44134</v>
      </c>
      <c r="E24" s="32" t="str">
        <f>VLOOKUP(Tabela2[[#This Row],[Tag]],BD!$A:$B,2,0)</f>
        <v>Força</v>
      </c>
      <c r="F24" s="32" t="str">
        <f>VLOOKUP(Tabela2[[#This Row],[Tag]],BD!A:J,10,0)</f>
        <v>7HV</v>
      </c>
      <c r="G24" s="31" t="str">
        <f>VLOOKUP(Tabela2[[#This Row],[Tag]],BD!$A:$V,20,0)</f>
        <v>E5WP000490-C-001-LC003</v>
      </c>
      <c r="H24" s="32" t="str">
        <f>IF(VLOOKUP(Tabela2[[#This Row],[Tag]],BD!A:T,17,0)=0,"",VLOOKUP(Tabela2[[#This Row],[Tag]],BD!A:T,17,0))</f>
        <v>5.8.1</v>
      </c>
      <c r="I24" s="139">
        <v>44105</v>
      </c>
      <c r="J24" s="155">
        <f>VLOOKUP(Tabela2[[#This Row],[Tag]],BD!$A:$AE,30,0)</f>
        <v>34</v>
      </c>
      <c r="K24" s="29">
        <f>SUMIF(B:B,Tabela2[[#This Row],[Tag]],C:C)/Tabela2[[#This Row],[Comprim. Real]]</f>
        <v>1</v>
      </c>
      <c r="L24" s="29" t="str">
        <f>VLOOKUP(Tabela2[[#This Row],[Tag]],BD!A:AF,32,0)</f>
        <v>7HV</v>
      </c>
      <c r="N24" s="21">
        <v>23</v>
      </c>
      <c r="O24" s="21" t="s">
        <v>992</v>
      </c>
      <c r="P24" s="21" t="s">
        <v>16</v>
      </c>
      <c r="Q24" s="26">
        <v>44214</v>
      </c>
      <c r="R24" s="27">
        <f>VLOOKUP(Tabela5[[#This Row],[Teste]],Referências!$D$2:$E$5,2,0)</f>
        <v>1</v>
      </c>
      <c r="S24" s="27" t="str">
        <f>Tabela5[[#This Row],[TAG]]&amp;"-"&amp;Tabela5[[#This Row],[COD_Test]]</f>
        <v>BCH19-POT-8HV-BCH19-BAT-8HV-001F-1</v>
      </c>
      <c r="T24" s="21" t="s">
        <v>1505</v>
      </c>
      <c r="U24" s="21" t="str">
        <f>VLOOKUP(Tabela5[[#This Row],[TAG]],BD!A:J,10,0)</f>
        <v>8HV</v>
      </c>
      <c r="V24" s="24" t="str">
        <f>VLOOKUP(Tabela5[[#This Row],[TAG]],BD!A:E,5,0)</f>
        <v>1x2x1/C#120</v>
      </c>
      <c r="W24" s="21">
        <v>2</v>
      </c>
      <c r="X24" s="256">
        <f>VLOOKUP(Tabela5[[#This Row],[TAG]],$AE:$AK,7,0)</f>
        <v>1</v>
      </c>
      <c r="Y24" s="256" t="str">
        <f>VLOOKUP(Tabela5[[#This Row],[TAG]],BD!A:P,14,0)</f>
        <v>---</v>
      </c>
      <c r="Z24" s="256" t="str">
        <f>VLOOKUP(Tabela5[[#This Row],[TAG]],BD!A:P,15,0)</f>
        <v>Sim</v>
      </c>
      <c r="AA24" s="256" t="str">
        <f>VLOOKUP(Tabela5[[#This Row],[TAG]],BD!A:P,16,0)</f>
        <v>---</v>
      </c>
      <c r="AB24" s="256"/>
      <c r="AD24" s="391">
        <v>23</v>
      </c>
      <c r="AE24" s="391" t="s">
        <v>477</v>
      </c>
      <c r="AF24" s="391" t="s">
        <v>92</v>
      </c>
      <c r="AG24" s="391">
        <v>24</v>
      </c>
      <c r="AH24" s="32">
        <v>44224</v>
      </c>
      <c r="AI24" s="391">
        <f>VLOOKUP(Tabela7[[#This Row],[TAG]],BD!$A:$V,19,0)</f>
        <v>24</v>
      </c>
      <c r="AJ24" s="23" t="str">
        <f>VLOOKUP(Tabela7[[#This Row],[TAG]],BD!A:J,10,0)</f>
        <v>7HV</v>
      </c>
      <c r="AK24" s="28">
        <f>SUMIF(AE:AE,Tabela7[[#This Row],[TAG]],AG:AG)/Tabela7[[#This Row],[Qtde Lig]]</f>
        <v>1</v>
      </c>
    </row>
    <row r="25" spans="1:37" x14ac:dyDescent="0.25">
      <c r="A25" s="391">
        <v>24</v>
      </c>
      <c r="B25" s="7" t="s">
        <v>520</v>
      </c>
      <c r="C25" s="391">
        <v>24</v>
      </c>
      <c r="D25" s="32">
        <v>44134</v>
      </c>
      <c r="E25" s="32" t="str">
        <f>VLOOKUP(Tabela2[[#This Row],[Tag]],BD!$A:$B,2,0)</f>
        <v>Força</v>
      </c>
      <c r="F25" s="32" t="str">
        <f>VLOOKUP(Tabela2[[#This Row],[Tag]],BD!A:J,10,0)</f>
        <v>7HV</v>
      </c>
      <c r="G25" s="31" t="str">
        <f>VLOOKUP(Tabela2[[#This Row],[Tag]],BD!$A:$V,20,0)</f>
        <v>E5WP000490-C-001-LC003</v>
      </c>
      <c r="H25" s="32" t="str">
        <f>IF(VLOOKUP(Tabela2[[#This Row],[Tag]],BD!A:T,17,0)=0,"",VLOOKUP(Tabela2[[#This Row],[Tag]],BD!A:T,17,0))</f>
        <v>5.8.1</v>
      </c>
      <c r="I25" s="139">
        <v>44105</v>
      </c>
      <c r="J25" s="155">
        <f>VLOOKUP(Tabela2[[#This Row],[Tag]],BD!$A:$AE,30,0)</f>
        <v>24</v>
      </c>
      <c r="K25" s="29">
        <f>SUMIF(B:B,Tabela2[[#This Row],[Tag]],C:C)/Tabela2[[#This Row],[Comprim. Real]]</f>
        <v>1</v>
      </c>
      <c r="L25" s="29" t="str">
        <f>VLOOKUP(Tabela2[[#This Row],[Tag]],BD!A:AF,32,0)</f>
        <v>7HV</v>
      </c>
      <c r="N25" s="21">
        <v>24</v>
      </c>
      <c r="O25" s="21" t="s">
        <v>877</v>
      </c>
      <c r="P25" s="21" t="s">
        <v>18</v>
      </c>
      <c r="Q25" s="26">
        <v>44214</v>
      </c>
      <c r="R25" s="27">
        <f>VLOOKUP(Tabela5[[#This Row],[Teste]],Referências!$D$2:$E$5,2,0)</f>
        <v>3</v>
      </c>
      <c r="S25" s="23" t="str">
        <f>Tabela5[[#This Row],[TAG]]&amp;"-"&amp;Tabela5[[#This Row],[COD_Test]]</f>
        <v>TCC36-BCH19-8HV-001F-3</v>
      </c>
      <c r="T25" s="21" t="s">
        <v>1505</v>
      </c>
      <c r="U25" s="21" t="str">
        <f>VLOOKUP(Tabela5[[#This Row],[TAG]],BD!A:J,10,0)</f>
        <v>8HV</v>
      </c>
      <c r="V25" s="3" t="str">
        <f>VLOOKUP(Tabela5[[#This Row],[TAG]],BD!A:E,5,0)</f>
        <v>1x3/C#25</v>
      </c>
      <c r="W25" s="21">
        <v>3</v>
      </c>
      <c r="X25" s="245">
        <f>VLOOKUP(Tabela5[[#This Row],[TAG]],$AE:$AK,7,0)</f>
        <v>1</v>
      </c>
      <c r="Y25" s="245" t="str">
        <f>VLOOKUP(Tabela5[[#This Row],[TAG]],BD!A:P,14,0)</f>
        <v>---</v>
      </c>
      <c r="Z25" s="245" t="str">
        <f>VLOOKUP(Tabela5[[#This Row],[TAG]],BD!A:P,15,0)</f>
        <v>Sim</v>
      </c>
      <c r="AA25" s="245" t="str">
        <f>VLOOKUP(Tabela5[[#This Row],[TAG]],BD!A:P,16,0)</f>
        <v>---</v>
      </c>
      <c r="AB25" s="245"/>
      <c r="AD25" s="391">
        <v>24</v>
      </c>
      <c r="AE25" s="391" t="s">
        <v>495</v>
      </c>
      <c r="AF25" s="391" t="s">
        <v>92</v>
      </c>
      <c r="AG25" s="391">
        <v>4</v>
      </c>
      <c r="AH25" s="32">
        <v>44224</v>
      </c>
      <c r="AI25" s="391">
        <f>VLOOKUP(Tabela7[[#This Row],[TAG]],BD!$A:$V,19,0)</f>
        <v>4</v>
      </c>
      <c r="AJ25" s="23" t="str">
        <f>VLOOKUP(Tabela7[[#This Row],[TAG]],BD!A:J,10,0)</f>
        <v>7HV</v>
      </c>
      <c r="AK25" s="28">
        <f>SUMIF(AE:AE,Tabela7[[#This Row],[TAG]],AG:AG)/Tabela7[[#This Row],[Qtde Lig]]</f>
        <v>1</v>
      </c>
    </row>
    <row r="26" spans="1:37" x14ac:dyDescent="0.25">
      <c r="A26" s="391">
        <v>25</v>
      </c>
      <c r="B26" s="7" t="s">
        <v>521</v>
      </c>
      <c r="C26" s="391">
        <v>23</v>
      </c>
      <c r="D26" s="32">
        <v>44134</v>
      </c>
      <c r="E26" s="32" t="str">
        <f>VLOOKUP(Tabela2[[#This Row],[Tag]],BD!$A:$B,2,0)</f>
        <v>Força</v>
      </c>
      <c r="F26" s="32" t="str">
        <f>VLOOKUP(Tabela2[[#This Row],[Tag]],BD!A:J,10,0)</f>
        <v>7HV</v>
      </c>
      <c r="G26" s="31" t="str">
        <f>VLOOKUP(Tabela2[[#This Row],[Tag]],BD!$A:$V,20,0)</f>
        <v>E5WP000490-C-001-LC003</v>
      </c>
      <c r="H26" s="32" t="str">
        <f>IF(VLOOKUP(Tabela2[[#This Row],[Tag]],BD!A:T,17,0)=0,"",VLOOKUP(Tabela2[[#This Row],[Tag]],BD!A:T,17,0))</f>
        <v>5.8.1</v>
      </c>
      <c r="I26" s="139">
        <v>44105</v>
      </c>
      <c r="J26" s="155">
        <f>VLOOKUP(Tabela2[[#This Row],[Tag]],BD!$A:$AE,30,0)</f>
        <v>23</v>
      </c>
      <c r="K26" s="29">
        <f>SUMIF(B:B,Tabela2[[#This Row],[Tag]],C:C)/Tabela2[[#This Row],[Comprim. Real]]</f>
        <v>1</v>
      </c>
      <c r="L26" s="29" t="str">
        <f>VLOOKUP(Tabela2[[#This Row],[Tag]],BD!A:AF,32,0)</f>
        <v>7HV</v>
      </c>
      <c r="N26" s="21">
        <v>25</v>
      </c>
      <c r="O26" s="21" t="s">
        <v>877</v>
      </c>
      <c r="P26" s="21" t="s">
        <v>16</v>
      </c>
      <c r="Q26" s="26">
        <v>44214</v>
      </c>
      <c r="R26" s="27">
        <f>VLOOKUP(Tabela5[[#This Row],[Teste]],Referências!$D$2:$E$5,2,0)</f>
        <v>1</v>
      </c>
      <c r="S26" s="27" t="str">
        <f>Tabela5[[#This Row],[TAG]]&amp;"-"&amp;Tabela5[[#This Row],[COD_Test]]</f>
        <v>TCC36-BCH19-8HV-001F-1</v>
      </c>
      <c r="T26" s="21" t="s">
        <v>1505</v>
      </c>
      <c r="U26" s="21" t="str">
        <f>VLOOKUP(Tabela5[[#This Row],[TAG]],BD!A:J,10,0)</f>
        <v>8HV</v>
      </c>
      <c r="V26" s="24" t="str">
        <f>VLOOKUP(Tabela5[[#This Row],[TAG]],BD!A:E,5,0)</f>
        <v>1x3/C#25</v>
      </c>
      <c r="W26" s="21">
        <v>3</v>
      </c>
      <c r="X26" s="256">
        <f>VLOOKUP(Tabela5[[#This Row],[TAG]],$AE:$AK,7,0)</f>
        <v>1</v>
      </c>
      <c r="Y26" s="256" t="str">
        <f>VLOOKUP(Tabela5[[#This Row],[TAG]],BD!A:P,14,0)</f>
        <v>---</v>
      </c>
      <c r="Z26" s="256" t="str">
        <f>VLOOKUP(Tabela5[[#This Row],[TAG]],BD!A:P,15,0)</f>
        <v>Sim</v>
      </c>
      <c r="AA26" s="256" t="str">
        <f>VLOOKUP(Tabela5[[#This Row],[TAG]],BD!A:P,16,0)</f>
        <v>---</v>
      </c>
      <c r="AB26" s="256"/>
      <c r="AD26" s="391">
        <v>25</v>
      </c>
      <c r="AE26" s="391" t="s">
        <v>541</v>
      </c>
      <c r="AF26" s="391" t="s">
        <v>92</v>
      </c>
      <c r="AG26" s="391">
        <v>4</v>
      </c>
      <c r="AH26" s="32">
        <v>44224</v>
      </c>
      <c r="AI26" s="391">
        <f>VLOOKUP(Tabela7[[#This Row],[TAG]],BD!$A:$V,19,0)</f>
        <v>8</v>
      </c>
      <c r="AJ26" s="23" t="str">
        <f>VLOOKUP(Tabela7[[#This Row],[TAG]],BD!A:J,10,0)</f>
        <v>7HV</v>
      </c>
      <c r="AK26" s="28">
        <f>SUMIF(AE:AE,Tabela7[[#This Row],[TAG]],AG:AG)/Tabela7[[#This Row],[Qtde Lig]]</f>
        <v>0.5</v>
      </c>
    </row>
    <row r="27" spans="1:37" x14ac:dyDescent="0.25">
      <c r="A27" s="391">
        <v>26</v>
      </c>
      <c r="B27" s="7" t="s">
        <v>566</v>
      </c>
      <c r="C27" s="391">
        <v>72</v>
      </c>
      <c r="D27" s="32">
        <v>44144</v>
      </c>
      <c r="E27" s="32" t="str">
        <f>VLOOKUP(Tabela2[[#This Row],[Tag]],BD!$A:$B,2,0)</f>
        <v>Força</v>
      </c>
      <c r="F27" s="32" t="str">
        <f>VLOOKUP(Tabela2[[#This Row],[Tag]],BD!A:J,10,0)</f>
        <v>7HV</v>
      </c>
      <c r="G27" s="31" t="str">
        <f>VLOOKUP(Tabela2[[#This Row],[Tag]],BD!$A:$V,20,0)</f>
        <v>E5WP000490-C-001-LC003</v>
      </c>
      <c r="H27" s="32" t="str">
        <f>IF(VLOOKUP(Tabela2[[#This Row],[Tag]],BD!A:T,17,0)=0,"",VLOOKUP(Tabela2[[#This Row],[Tag]],BD!A:T,17,0))</f>
        <v>5.2.13</v>
      </c>
      <c r="I27" s="140">
        <v>44136</v>
      </c>
      <c r="J27" s="155">
        <f>VLOOKUP(Tabela2[[#This Row],[Tag]],BD!$A:$AE,30,0)</f>
        <v>72</v>
      </c>
      <c r="K27" s="29">
        <f>SUMIF(B:B,Tabela2[[#This Row],[Tag]],C:C)/Tabela2[[#This Row],[Comprim. Real]]</f>
        <v>1</v>
      </c>
      <c r="L27" s="29" t="str">
        <f>VLOOKUP(Tabela2[[#This Row],[Tag]],BD!A:AF,32,0)</f>
        <v>7HV</v>
      </c>
      <c r="N27" s="21">
        <v>26</v>
      </c>
      <c r="O27" s="21" t="s">
        <v>881</v>
      </c>
      <c r="P27" s="21" t="s">
        <v>18</v>
      </c>
      <c r="Q27" s="26">
        <v>44214</v>
      </c>
      <c r="R27" s="27">
        <f>VLOOKUP(Tabela5[[#This Row],[Teste]],Referências!$D$2:$E$5,2,0)</f>
        <v>3</v>
      </c>
      <c r="S27" s="27" t="str">
        <f>Tabela5[[#This Row],[TAG]]&amp;"-"&amp;Tabela5[[#This Row],[COD_Test]]</f>
        <v>TCC36-TRN-01-001F-3</v>
      </c>
      <c r="T27" s="21" t="s">
        <v>1505</v>
      </c>
      <c r="U27" s="21" t="str">
        <f>VLOOKUP(Tabela5[[#This Row],[TAG]],BD!A:J,10,0)</f>
        <v>8HV</v>
      </c>
      <c r="V27" s="3" t="str">
        <f>VLOOKUP(Tabela5[[#This Row],[TAG]],BD!A:E,5,0)</f>
        <v>1x1x3/C#10</v>
      </c>
      <c r="W27" s="21">
        <v>3</v>
      </c>
      <c r="X27" s="245">
        <f>VLOOKUP(Tabela5[[#This Row],[TAG]],$AE:$AK,7,0)</f>
        <v>1</v>
      </c>
      <c r="Y27" s="245" t="str">
        <f>VLOOKUP(Tabela5[[#This Row],[TAG]],BD!A:P,14,0)</f>
        <v>---</v>
      </c>
      <c r="Z27" s="245" t="str">
        <f>VLOOKUP(Tabela5[[#This Row],[TAG]],BD!A:P,15,0)</f>
        <v>Sim</v>
      </c>
      <c r="AA27" s="245" t="str">
        <f>VLOOKUP(Tabela5[[#This Row],[TAG]],BD!A:P,16,0)</f>
        <v>---</v>
      </c>
      <c r="AB27" s="245"/>
      <c r="AD27" s="391">
        <v>26</v>
      </c>
      <c r="AE27" s="391" t="s">
        <v>548</v>
      </c>
      <c r="AF27" s="391" t="s">
        <v>92</v>
      </c>
      <c r="AG27" s="391">
        <v>4</v>
      </c>
      <c r="AH27" s="32">
        <v>44224</v>
      </c>
      <c r="AI27" s="391">
        <f>VLOOKUP(Tabela7[[#This Row],[TAG]],BD!$A:$V,19,0)</f>
        <v>8</v>
      </c>
      <c r="AJ27" s="23" t="str">
        <f>VLOOKUP(Tabela7[[#This Row],[TAG]],BD!A:J,10,0)</f>
        <v>7HV</v>
      </c>
      <c r="AK27" s="28">
        <f>SUMIF(AE:AE,Tabela7[[#This Row],[TAG]],AG:AG)/Tabela7[[#This Row],[Qtde Lig]]</f>
        <v>0.5</v>
      </c>
    </row>
    <row r="28" spans="1:37" x14ac:dyDescent="0.25">
      <c r="A28" s="391">
        <v>27</v>
      </c>
      <c r="B28" s="7" t="s">
        <v>569</v>
      </c>
      <c r="C28" s="391">
        <v>72</v>
      </c>
      <c r="D28" s="32">
        <v>44144</v>
      </c>
      <c r="E28" s="32" t="str">
        <f>VLOOKUP(Tabela2[[#This Row],[Tag]],BD!$A:$B,2,0)</f>
        <v>Força</v>
      </c>
      <c r="F28" s="32" t="str">
        <f>VLOOKUP(Tabela2[[#This Row],[Tag]],BD!A:J,10,0)</f>
        <v>7HV</v>
      </c>
      <c r="G28" s="31" t="str">
        <f>VLOOKUP(Tabela2[[#This Row],[Tag]],BD!$A:$V,20,0)</f>
        <v>E5WP000490-C-001-LC003</v>
      </c>
      <c r="H28" s="32" t="str">
        <f>IF(VLOOKUP(Tabela2[[#This Row],[Tag]],BD!A:T,17,0)=0,"",VLOOKUP(Tabela2[[#This Row],[Tag]],BD!A:T,17,0))</f>
        <v>5.2.13</v>
      </c>
      <c r="I28" s="140">
        <v>44136</v>
      </c>
      <c r="J28" s="155">
        <f>VLOOKUP(Tabela2[[#This Row],[Tag]],BD!$A:$AE,30,0)</f>
        <v>72</v>
      </c>
      <c r="K28" s="29">
        <f>SUMIF(B:B,Tabela2[[#This Row],[Tag]],C:C)/Tabela2[[#This Row],[Comprim. Real]]</f>
        <v>1</v>
      </c>
      <c r="L28" s="29" t="str">
        <f>VLOOKUP(Tabela2[[#This Row],[Tag]],BD!A:AF,32,0)</f>
        <v>7HV</v>
      </c>
      <c r="N28" s="21">
        <v>27</v>
      </c>
      <c r="O28" s="21" t="s">
        <v>881</v>
      </c>
      <c r="P28" s="21" t="s">
        <v>16</v>
      </c>
      <c r="Q28" s="26">
        <v>44214</v>
      </c>
      <c r="R28" s="27">
        <f>VLOOKUP(Tabela5[[#This Row],[Teste]],Referências!$D$2:$E$5,2,0)</f>
        <v>1</v>
      </c>
      <c r="S28" s="27" t="str">
        <f>Tabela5[[#This Row],[TAG]]&amp;"-"&amp;Tabela5[[#This Row],[COD_Test]]</f>
        <v>TCC36-TRN-01-001F-1</v>
      </c>
      <c r="T28" s="21" t="s">
        <v>1505</v>
      </c>
      <c r="U28" s="21" t="str">
        <f>VLOOKUP(Tabela5[[#This Row],[TAG]],BD!A:J,10,0)</f>
        <v>8HV</v>
      </c>
      <c r="V28" s="24" t="str">
        <f>VLOOKUP(Tabela5[[#This Row],[TAG]],BD!A:E,5,0)</f>
        <v>1x1x3/C#10</v>
      </c>
      <c r="W28" s="21">
        <v>3</v>
      </c>
      <c r="X28" s="256">
        <f>VLOOKUP(Tabela5[[#This Row],[TAG]],$AE:$AK,7,0)</f>
        <v>1</v>
      </c>
      <c r="Y28" s="256" t="str">
        <f>VLOOKUP(Tabela5[[#This Row],[TAG]],BD!A:P,14,0)</f>
        <v>---</v>
      </c>
      <c r="Z28" s="256" t="str">
        <f>VLOOKUP(Tabela5[[#This Row],[TAG]],BD!A:P,15,0)</f>
        <v>Sim</v>
      </c>
      <c r="AA28" s="256" t="str">
        <f>VLOOKUP(Tabela5[[#This Row],[TAG]],BD!A:P,16,0)</f>
        <v>---</v>
      </c>
      <c r="AB28" s="256"/>
      <c r="AD28" s="391">
        <v>27</v>
      </c>
      <c r="AE28" s="391" t="s">
        <v>549</v>
      </c>
      <c r="AF28" s="391" t="s">
        <v>92</v>
      </c>
      <c r="AG28" s="391">
        <v>8</v>
      </c>
      <c r="AH28" s="32">
        <v>44224</v>
      </c>
      <c r="AI28" s="391">
        <f>VLOOKUP(Tabela7[[#This Row],[TAG]],BD!$A:$V,19,0)</f>
        <v>8</v>
      </c>
      <c r="AJ28" s="23" t="str">
        <f>VLOOKUP(Tabela7[[#This Row],[TAG]],BD!A:J,10,0)</f>
        <v>7HV</v>
      </c>
      <c r="AK28" s="28">
        <f>SUMIF(AE:AE,Tabela7[[#This Row],[TAG]],AG:AG)/Tabela7[[#This Row],[Qtde Lig]]</f>
        <v>1</v>
      </c>
    </row>
    <row r="29" spans="1:37" x14ac:dyDescent="0.25">
      <c r="A29" s="391">
        <v>28</v>
      </c>
      <c r="B29" s="7" t="s">
        <v>570</v>
      </c>
      <c r="C29" s="391">
        <v>90</v>
      </c>
      <c r="D29" s="32">
        <v>44144</v>
      </c>
      <c r="E29" s="32" t="str">
        <f>VLOOKUP(Tabela2[[#This Row],[Tag]],BD!$A:$B,2,0)</f>
        <v>Força</v>
      </c>
      <c r="F29" s="32" t="str">
        <f>VLOOKUP(Tabela2[[#This Row],[Tag]],BD!A:J,10,0)</f>
        <v>7HV</v>
      </c>
      <c r="G29" s="31" t="str">
        <f>VLOOKUP(Tabela2[[#This Row],[Tag]],BD!$A:$V,20,0)</f>
        <v>E5WP000490-C-001-LC003</v>
      </c>
      <c r="H29" s="32" t="str">
        <f>IF(VLOOKUP(Tabela2[[#This Row],[Tag]],BD!A:T,17,0)=0,"",VLOOKUP(Tabela2[[#This Row],[Tag]],BD!A:T,17,0))</f>
        <v>5.2.13</v>
      </c>
      <c r="I29" s="140">
        <v>44136</v>
      </c>
      <c r="J29" s="155">
        <f>VLOOKUP(Tabela2[[#This Row],[Tag]],BD!$A:$AE,30,0)</f>
        <v>90</v>
      </c>
      <c r="K29" s="29">
        <f>SUMIF(B:B,Tabela2[[#This Row],[Tag]],C:C)/Tabela2[[#This Row],[Comprim. Real]]</f>
        <v>1</v>
      </c>
      <c r="L29" s="29" t="str">
        <f>VLOOKUP(Tabela2[[#This Row],[Tag]],BD!A:AF,32,0)</f>
        <v>7HV</v>
      </c>
      <c r="N29" s="21">
        <v>28</v>
      </c>
      <c r="O29" s="21" t="s">
        <v>963</v>
      </c>
      <c r="P29" s="21" t="s">
        <v>18</v>
      </c>
      <c r="Q29" s="26">
        <v>44211</v>
      </c>
      <c r="R29" s="27">
        <f>VLOOKUP(Tabela5[[#This Row],[Teste]],Referências!$D$2:$E$5,2,0)</f>
        <v>3</v>
      </c>
      <c r="S29" s="23" t="str">
        <f>Tabela5[[#This Row],[TAG]]&amp;"-"&amp;Tabela5[[#This Row],[COD_Test]]</f>
        <v>TCC3-TCC36-001F-3</v>
      </c>
      <c r="T29" s="21" t="s">
        <v>1505</v>
      </c>
      <c r="U29" s="21" t="str">
        <f>VLOOKUP(Tabela5[[#This Row],[TAG]],BD!A:J,10,0)</f>
        <v>8HV</v>
      </c>
      <c r="V29" s="3" t="str">
        <f>VLOOKUP(Tabela5[[#This Row],[TAG]],BD!A:E,5,0)</f>
        <v>4x3x1/C#185</v>
      </c>
      <c r="W29" s="21">
        <v>3</v>
      </c>
      <c r="X29" s="245">
        <f>VLOOKUP(Tabela5[[#This Row],[TAG]],$AE:$AK,7,0)</f>
        <v>1</v>
      </c>
      <c r="Y29" s="245" t="str">
        <f>VLOOKUP(Tabela5[[#This Row],[TAG]],BD!A:P,14,0)</f>
        <v>---</v>
      </c>
      <c r="Z29" s="245" t="str">
        <f>VLOOKUP(Tabela5[[#This Row],[TAG]],BD!A:P,15,0)</f>
        <v>Sim</v>
      </c>
      <c r="AA29" s="245" t="str">
        <f>VLOOKUP(Tabela5[[#This Row],[TAG]],BD!A:P,16,0)</f>
        <v>---</v>
      </c>
      <c r="AB29" s="245"/>
      <c r="AD29" s="391">
        <v>28</v>
      </c>
      <c r="AE29" s="391" t="s">
        <v>557</v>
      </c>
      <c r="AF29" s="391" t="s">
        <v>92</v>
      </c>
      <c r="AG29" s="391">
        <v>8</v>
      </c>
      <c r="AH29" s="32">
        <v>44224</v>
      </c>
      <c r="AI29" s="391">
        <f>VLOOKUP(Tabela7[[#This Row],[TAG]],BD!$A:$V,19,0)</f>
        <v>8</v>
      </c>
      <c r="AJ29" s="23" t="str">
        <f>VLOOKUP(Tabela7[[#This Row],[TAG]],BD!A:J,10,0)</f>
        <v>7HV</v>
      </c>
      <c r="AK29" s="28">
        <f>SUMIF(AE:AE,Tabela7[[#This Row],[TAG]],AG:AG)/Tabela7[[#This Row],[Qtde Lig]]</f>
        <v>1</v>
      </c>
    </row>
    <row r="30" spans="1:37" x14ac:dyDescent="0.25">
      <c r="A30" s="391">
        <v>29</v>
      </c>
      <c r="B30" s="7" t="s">
        <v>571</v>
      </c>
      <c r="C30" s="391">
        <v>90</v>
      </c>
      <c r="D30" s="32">
        <v>44144</v>
      </c>
      <c r="E30" s="32" t="str">
        <f>VLOOKUP(Tabela2[[#This Row],[Tag]],BD!$A:$B,2,0)</f>
        <v>Força</v>
      </c>
      <c r="F30" s="32" t="str">
        <f>VLOOKUP(Tabela2[[#This Row],[Tag]],BD!A:J,10,0)</f>
        <v>7HV</v>
      </c>
      <c r="G30" s="31" t="str">
        <f>VLOOKUP(Tabela2[[#This Row],[Tag]],BD!$A:$V,20,0)</f>
        <v>E5WP000490-C-001-LC003</v>
      </c>
      <c r="H30" s="32" t="str">
        <f>IF(VLOOKUP(Tabela2[[#This Row],[Tag]],BD!A:T,17,0)=0,"",VLOOKUP(Tabela2[[#This Row],[Tag]],BD!A:T,17,0))</f>
        <v>5.2.13</v>
      </c>
      <c r="I30" s="140">
        <v>44136</v>
      </c>
      <c r="J30" s="155">
        <f>VLOOKUP(Tabela2[[#This Row],[Tag]],BD!$A:$AE,30,0)</f>
        <v>90</v>
      </c>
      <c r="K30" s="29">
        <f>SUMIF(B:B,Tabela2[[#This Row],[Tag]],C:C)/Tabela2[[#This Row],[Comprim. Real]]</f>
        <v>1</v>
      </c>
      <c r="L30" s="29" t="str">
        <f>VLOOKUP(Tabela2[[#This Row],[Tag]],BD!A:AF,32,0)</f>
        <v>7HV</v>
      </c>
      <c r="N30" s="21">
        <v>29</v>
      </c>
      <c r="O30" s="21" t="s">
        <v>963</v>
      </c>
      <c r="P30" s="21" t="s">
        <v>16</v>
      </c>
      <c r="Q30" s="26">
        <v>44211</v>
      </c>
      <c r="R30" s="27">
        <f>VLOOKUP(Tabela5[[#This Row],[Teste]],Referências!$D$2:$E$5,2,0)</f>
        <v>1</v>
      </c>
      <c r="S30" s="27" t="str">
        <f>Tabela5[[#This Row],[TAG]]&amp;"-"&amp;Tabela5[[#This Row],[COD_Test]]</f>
        <v>TCC3-TCC36-001F-1</v>
      </c>
      <c r="T30" s="21" t="s">
        <v>1505</v>
      </c>
      <c r="U30" s="21" t="str">
        <f>VLOOKUP(Tabela5[[#This Row],[TAG]],BD!A:J,10,0)</f>
        <v>8HV</v>
      </c>
      <c r="V30" s="24" t="str">
        <f>VLOOKUP(Tabela5[[#This Row],[TAG]],BD!A:E,5,0)</f>
        <v>4x3x1/C#185</v>
      </c>
      <c r="W30" s="21">
        <v>3</v>
      </c>
      <c r="X30" s="256">
        <f>VLOOKUP(Tabela5[[#This Row],[TAG]],$AE:$AK,7,0)</f>
        <v>1</v>
      </c>
      <c r="Y30" s="256" t="str">
        <f>VLOOKUP(Tabela5[[#This Row],[TAG]],BD!A:P,14,0)</f>
        <v>---</v>
      </c>
      <c r="Z30" s="256" t="str">
        <f>VLOOKUP(Tabela5[[#This Row],[TAG]],BD!A:P,15,0)</f>
        <v>Sim</v>
      </c>
      <c r="AA30" s="256" t="str">
        <f>VLOOKUP(Tabela5[[#This Row],[TAG]],BD!A:P,16,0)</f>
        <v>---</v>
      </c>
      <c r="AB30" s="256"/>
      <c r="AD30" s="391">
        <v>29</v>
      </c>
      <c r="AE30" s="391" t="s">
        <v>558</v>
      </c>
      <c r="AF30" s="391" t="s">
        <v>92</v>
      </c>
      <c r="AG30" s="391">
        <v>8</v>
      </c>
      <c r="AH30" s="32">
        <v>44224</v>
      </c>
      <c r="AI30" s="391">
        <f>VLOOKUP(Tabela7[[#This Row],[TAG]],BD!$A:$V,19,0)</f>
        <v>8</v>
      </c>
      <c r="AJ30" s="23" t="str">
        <f>VLOOKUP(Tabela7[[#This Row],[TAG]],BD!A:J,10,0)</f>
        <v>7HV</v>
      </c>
      <c r="AK30" s="28">
        <f>SUMIF(AE:AE,Tabela7[[#This Row],[TAG]],AG:AG)/Tabela7[[#This Row],[Qtde Lig]]</f>
        <v>1</v>
      </c>
    </row>
    <row r="31" spans="1:37" x14ac:dyDescent="0.25">
      <c r="A31" s="391">
        <v>30</v>
      </c>
      <c r="B31" s="7" t="s">
        <v>785</v>
      </c>
      <c r="C31" s="391">
        <v>1550</v>
      </c>
      <c r="D31" s="32">
        <v>44145</v>
      </c>
      <c r="E31" s="32" t="str">
        <f>VLOOKUP(Tabela2[[#This Row],[Tag]],BD!$A:$B,2,0)</f>
        <v>Força</v>
      </c>
      <c r="F31" s="32" t="str">
        <f>VLOOKUP(Tabela2[[#This Row],[Tag]],BD!A:J,10,0)</f>
        <v>GB-351</v>
      </c>
      <c r="G31" s="31" t="str">
        <f>VLOOKUP(Tabela2[[#This Row],[Tag]],BD!$A:$V,20,0)</f>
        <v>BK-SP54-0900B-LC-74-00004_00000</v>
      </c>
      <c r="H31" s="32" t="str">
        <f>IF(VLOOKUP(Tabela2[[#This Row],[Tag]],BD!A:T,17,0)=0,"",VLOOKUP(Tabela2[[#This Row],[Tag]],BD!A:T,17,0))</f>
        <v>5.2.4</v>
      </c>
      <c r="I31" s="140">
        <v>44136</v>
      </c>
      <c r="J31" s="155">
        <f>VLOOKUP(Tabela2[[#This Row],[Tag]],BD!$A:$AE,30,0)</f>
        <v>1860</v>
      </c>
      <c r="K31" s="29">
        <f>SUMIF(B:B,Tabela2[[#This Row],[Tag]],C:C)/Tabela2[[#This Row],[Comprim. Real]]</f>
        <v>1</v>
      </c>
      <c r="L31" s="29" t="str">
        <f>VLOOKUP(Tabela2[[#This Row],[Tag]],BD!A:AF,32,0)</f>
        <v>7HVxGB-351</v>
      </c>
      <c r="N31" s="21">
        <v>30</v>
      </c>
      <c r="O31" s="21" t="s">
        <v>544</v>
      </c>
      <c r="P31" s="21" t="s">
        <v>19</v>
      </c>
      <c r="Q31" s="26">
        <v>44239</v>
      </c>
      <c r="R31" s="27">
        <f>VLOOKUP(Tabela5[[#This Row],[Teste]],Referências!$D$2:$E$5,2,0)</f>
        <v>4</v>
      </c>
      <c r="S31" s="27" t="str">
        <f>Tabela5[[#This Row],[TAG]]&amp;"-"&amp;Tabela5[[#This Row],[COD_Test]]</f>
        <v>TR08A-M002-4</v>
      </c>
      <c r="T31" s="21" t="s">
        <v>1505</v>
      </c>
      <c r="U31" s="21" t="str">
        <f>VLOOKUP(Tabela5[[#This Row],[TAG]],BD!A:J,10,0)</f>
        <v>7HV</v>
      </c>
      <c r="V31" s="3" t="str">
        <f>VLOOKUP(Tabela5[[#This Row],[TAG]],BD!A:E,5,0)</f>
        <v>1x3x1/C#150</v>
      </c>
      <c r="W31" s="21">
        <v>6</v>
      </c>
      <c r="X31" s="245">
        <f>VLOOKUP(Tabela5[[#This Row],[TAG]],$AE:$AK,7,0)</f>
        <v>1</v>
      </c>
      <c r="Y31" s="245" t="str">
        <f>VLOOKUP(Tabela5[[#This Row],[TAG]],BD!A:P,14,0)</f>
        <v>---</v>
      </c>
      <c r="Z31" s="245" t="str">
        <f>VLOOKUP(Tabela5[[#This Row],[TAG]],BD!A:P,15,0)</f>
        <v>Sim</v>
      </c>
      <c r="AA31" s="245" t="str">
        <f>VLOOKUP(Tabela5[[#This Row],[TAG]],BD!A:P,16,0)</f>
        <v>Sim</v>
      </c>
      <c r="AB31" s="245"/>
      <c r="AD31" s="391">
        <v>30</v>
      </c>
      <c r="AE31" s="391" t="s">
        <v>565</v>
      </c>
      <c r="AF31" s="391" t="s">
        <v>92</v>
      </c>
      <c r="AG31" s="391">
        <v>8</v>
      </c>
      <c r="AH31" s="32">
        <v>44224</v>
      </c>
      <c r="AI31" s="391">
        <f>VLOOKUP(Tabela7[[#This Row],[TAG]],BD!$A:$V,19,0)</f>
        <v>8</v>
      </c>
      <c r="AJ31" s="23" t="str">
        <f>VLOOKUP(Tabela7[[#This Row],[TAG]],BD!A:J,10,0)</f>
        <v>7HV</v>
      </c>
      <c r="AK31" s="28">
        <f>SUMIF(AE:AE,Tabela7[[#This Row],[TAG]],AG:AG)/Tabela7[[#This Row],[Qtde Lig]]</f>
        <v>1</v>
      </c>
    </row>
    <row r="32" spans="1:37" x14ac:dyDescent="0.25">
      <c r="A32" s="391">
        <v>31</v>
      </c>
      <c r="B32" s="7" t="s">
        <v>419</v>
      </c>
      <c r="C32" s="391">
        <v>54</v>
      </c>
      <c r="D32" s="32">
        <v>44151</v>
      </c>
      <c r="E32" s="32" t="str">
        <f>VLOOKUP(Tabela2[[#This Row],[Tag]],BD!$A:$B,2,0)</f>
        <v>Força</v>
      </c>
      <c r="F32" s="32" t="str">
        <f>VLOOKUP(Tabela2[[#This Row],[Tag]],BD!A:J,10,0)</f>
        <v>7HV</v>
      </c>
      <c r="G32" s="31" t="str">
        <f>VLOOKUP(Tabela2[[#This Row],[Tag]],BD!$A:$V,20,0)</f>
        <v>E5WP000490-C-001-LC003</v>
      </c>
      <c r="H32" s="32" t="str">
        <f>IF(VLOOKUP(Tabela2[[#This Row],[Tag]],BD!A:T,17,0)=0,"",VLOOKUP(Tabela2[[#This Row],[Tag]],BD!A:T,17,0))</f>
        <v>5.2.4</v>
      </c>
      <c r="I32" s="140">
        <v>44136</v>
      </c>
      <c r="J32" s="155">
        <f>VLOOKUP(Tabela2[[#This Row],[Tag]],BD!$A:$AE,30,0)</f>
        <v>54</v>
      </c>
      <c r="K32" s="29">
        <f>SUMIF(B:B,Tabela2[[#This Row],[Tag]],C:C)/Tabela2[[#This Row],[Comprim. Real]]</f>
        <v>1</v>
      </c>
      <c r="L32" s="29" t="str">
        <f>VLOOKUP(Tabela2[[#This Row],[Tag]],BD!A:AF,32,0)</f>
        <v>7HV</v>
      </c>
      <c r="N32" s="21">
        <v>31</v>
      </c>
      <c r="O32" s="21" t="s">
        <v>544</v>
      </c>
      <c r="P32" s="21" t="s">
        <v>16</v>
      </c>
      <c r="Q32" s="26">
        <v>44239</v>
      </c>
      <c r="R32" s="27">
        <f>VLOOKUP(Tabela5[[#This Row],[Teste]],Referências!$D$2:$E$5,2,0)</f>
        <v>1</v>
      </c>
      <c r="S32" s="27" t="str">
        <f>Tabela5[[#This Row],[TAG]]&amp;"-"&amp;Tabela5[[#This Row],[COD_Test]]</f>
        <v>TR08A-M002-1</v>
      </c>
      <c r="T32" s="21" t="s">
        <v>1505</v>
      </c>
      <c r="U32" s="21" t="str">
        <f>VLOOKUP(Tabela5[[#This Row],[TAG]],BD!A:J,10,0)</f>
        <v>7HV</v>
      </c>
      <c r="V32" s="24" t="str">
        <f>VLOOKUP(Tabela5[[#This Row],[TAG]],BD!A:E,5,0)</f>
        <v>1x3x1/C#150</v>
      </c>
      <c r="W32" s="21">
        <v>6</v>
      </c>
      <c r="X32" s="256">
        <f>VLOOKUP(Tabela5[[#This Row],[TAG]],$AE:$AK,7,0)</f>
        <v>1</v>
      </c>
      <c r="Y32" s="256" t="str">
        <f>VLOOKUP(Tabela5[[#This Row],[TAG]],BD!A:P,14,0)</f>
        <v>---</v>
      </c>
      <c r="Z32" s="256" t="str">
        <f>VLOOKUP(Tabela5[[#This Row],[TAG]],BD!A:P,15,0)</f>
        <v>Sim</v>
      </c>
      <c r="AA32" s="256" t="str">
        <f>VLOOKUP(Tabela5[[#This Row],[TAG]],BD!A:P,16,0)</f>
        <v>Sim</v>
      </c>
      <c r="AB32" s="256"/>
      <c r="AD32" s="391">
        <v>31</v>
      </c>
      <c r="AE32" s="391" t="s">
        <v>574</v>
      </c>
      <c r="AF32" s="391" t="s">
        <v>92</v>
      </c>
      <c r="AG32" s="391">
        <v>8</v>
      </c>
      <c r="AH32" s="32">
        <v>44224</v>
      </c>
      <c r="AI32" s="391">
        <f>VLOOKUP(Tabela7[[#This Row],[TAG]],BD!$A:$V,19,0)</f>
        <v>8</v>
      </c>
      <c r="AJ32" s="23" t="str">
        <f>VLOOKUP(Tabela7[[#This Row],[TAG]],BD!A:J,10,0)</f>
        <v>7HV</v>
      </c>
      <c r="AK32" s="28">
        <f>SUMIF(AE:AE,Tabela7[[#This Row],[TAG]],AG:AG)/Tabela7[[#This Row],[Qtde Lig]]</f>
        <v>1</v>
      </c>
    </row>
    <row r="33" spans="1:37" x14ac:dyDescent="0.25">
      <c r="A33" s="391">
        <v>32</v>
      </c>
      <c r="B33" s="7" t="s">
        <v>421</v>
      </c>
      <c r="C33" s="391">
        <v>36</v>
      </c>
      <c r="D33" s="32">
        <v>44151</v>
      </c>
      <c r="E33" s="32" t="str">
        <f>VLOOKUP(Tabela2[[#This Row],[Tag]],BD!$A:$B,2,0)</f>
        <v>Força</v>
      </c>
      <c r="F33" s="32" t="str">
        <f>VLOOKUP(Tabela2[[#This Row],[Tag]],BD!A:J,10,0)</f>
        <v>7HV</v>
      </c>
      <c r="G33" s="31" t="str">
        <f>VLOOKUP(Tabela2[[#This Row],[Tag]],BD!$A:$V,20,0)</f>
        <v>E5WP000490-C-001-LC003</v>
      </c>
      <c r="H33" s="32" t="str">
        <f>IF(VLOOKUP(Tabela2[[#This Row],[Tag]],BD!A:T,17,0)=0,"",VLOOKUP(Tabela2[[#This Row],[Tag]],BD!A:T,17,0))</f>
        <v>5.2.4</v>
      </c>
      <c r="I33" s="140">
        <v>44136</v>
      </c>
      <c r="J33" s="155">
        <f>VLOOKUP(Tabela2[[#This Row],[Tag]],BD!$A:$AE,30,0)</f>
        <v>36</v>
      </c>
      <c r="K33" s="29">
        <f>SUMIF(B:B,Tabela2[[#This Row],[Tag]],C:C)/Tabela2[[#This Row],[Comprim. Real]]</f>
        <v>1</v>
      </c>
      <c r="L33" s="29" t="str">
        <f>VLOOKUP(Tabela2[[#This Row],[Tag]],BD!A:AF,32,0)</f>
        <v>7HV</v>
      </c>
      <c r="N33" s="21">
        <v>32</v>
      </c>
      <c r="O33" s="21" t="s">
        <v>544</v>
      </c>
      <c r="P33" s="21" t="s">
        <v>18</v>
      </c>
      <c r="Q33" s="26">
        <v>44239</v>
      </c>
      <c r="R33" s="27">
        <f>VLOOKUP(Tabela5[[#This Row],[Teste]],Referências!$D$2:$E$5,2,0)</f>
        <v>3</v>
      </c>
      <c r="S33" s="27" t="str">
        <f>Tabela5[[#This Row],[TAG]]&amp;"-"&amp;Tabela5[[#This Row],[COD_Test]]</f>
        <v>TR08A-M002-3</v>
      </c>
      <c r="T33" s="21" t="s">
        <v>1505</v>
      </c>
      <c r="U33" s="21" t="str">
        <f>VLOOKUP(Tabela5[[#This Row],[TAG]],BD!A:J,10,0)</f>
        <v>7HV</v>
      </c>
      <c r="V33" s="24" t="str">
        <f>VLOOKUP(Tabela5[[#This Row],[TAG]],BD!A:E,5,0)</f>
        <v>1x3x1/C#150</v>
      </c>
      <c r="W33" s="21">
        <v>6</v>
      </c>
      <c r="X33" s="256">
        <f>VLOOKUP(Tabela5[[#This Row],[TAG]],$AE:$AK,7,0)</f>
        <v>1</v>
      </c>
      <c r="Y33" s="256" t="str">
        <f>VLOOKUP(Tabela5[[#This Row],[TAG]],BD!A:P,14,0)</f>
        <v>---</v>
      </c>
      <c r="Z33" s="256" t="str">
        <f>VLOOKUP(Tabela5[[#This Row],[TAG]],BD!A:P,15,0)</f>
        <v>Sim</v>
      </c>
      <c r="AA33" s="256" t="str">
        <f>VLOOKUP(Tabela5[[#This Row],[TAG]],BD!A:P,16,0)</f>
        <v>Sim</v>
      </c>
      <c r="AB33" s="256"/>
      <c r="AD33" s="391">
        <v>32</v>
      </c>
      <c r="AE33" s="391" t="s">
        <v>410</v>
      </c>
      <c r="AF33" s="391" t="s">
        <v>92</v>
      </c>
      <c r="AG33" s="391">
        <v>3</v>
      </c>
      <c r="AH33" s="32">
        <v>44224</v>
      </c>
      <c r="AI33" s="391">
        <f>VLOOKUP(Tabela7[[#This Row],[TAG]],BD!$A:$V,19,0)</f>
        <v>6</v>
      </c>
      <c r="AJ33" s="23" t="str">
        <f>VLOOKUP(Tabela7[[#This Row],[TAG]],BD!A:J,10,0)</f>
        <v>7HV</v>
      </c>
      <c r="AK33" s="28">
        <f>SUMIF(AE:AE,Tabela7[[#This Row],[TAG]],AG:AG)/Tabela7[[#This Row],[Qtde Lig]]</f>
        <v>1</v>
      </c>
    </row>
    <row r="34" spans="1:37" x14ac:dyDescent="0.25">
      <c r="A34" s="391">
        <v>33</v>
      </c>
      <c r="B34" s="7" t="s">
        <v>423</v>
      </c>
      <c r="C34" s="391">
        <v>12</v>
      </c>
      <c r="D34" s="32">
        <v>44151</v>
      </c>
      <c r="E34" s="32" t="str">
        <f>VLOOKUP(Tabela2[[#This Row],[Tag]],BD!$A:$B,2,0)</f>
        <v>Força</v>
      </c>
      <c r="F34" s="32" t="str">
        <f>VLOOKUP(Tabela2[[#This Row],[Tag]],BD!A:J,10,0)</f>
        <v>7HV</v>
      </c>
      <c r="G34" s="31" t="str">
        <f>VLOOKUP(Tabela2[[#This Row],[Tag]],BD!$A:$V,20,0)</f>
        <v>E5WP000490-C-001-LC003</v>
      </c>
      <c r="H34" s="32" t="str">
        <f>IF(VLOOKUP(Tabela2[[#This Row],[Tag]],BD!A:T,17,0)=0,"",VLOOKUP(Tabela2[[#This Row],[Tag]],BD!A:T,17,0))</f>
        <v>5.2.4</v>
      </c>
      <c r="I34" s="140">
        <v>44136</v>
      </c>
      <c r="J34" s="155">
        <f>VLOOKUP(Tabela2[[#This Row],[Tag]],BD!$A:$AE,30,0)</f>
        <v>12</v>
      </c>
      <c r="K34" s="29">
        <f>SUMIF(B:B,Tabela2[[#This Row],[Tag]],C:C)/Tabela2[[#This Row],[Comprim. Real]]</f>
        <v>1</v>
      </c>
      <c r="L34" s="29" t="str">
        <f>VLOOKUP(Tabela2[[#This Row],[Tag]],BD!A:AF,32,0)</f>
        <v>7HV</v>
      </c>
      <c r="N34" s="21">
        <v>33</v>
      </c>
      <c r="O34" s="21" t="s">
        <v>545</v>
      </c>
      <c r="P34" s="21" t="s">
        <v>19</v>
      </c>
      <c r="Q34" s="26">
        <v>44239</v>
      </c>
      <c r="R34" s="27">
        <f>VLOOKUP(Tabela5[[#This Row],[Teste]],Referências!$D$2:$E$5,2,0)</f>
        <v>4</v>
      </c>
      <c r="S34" s="27" t="str">
        <f>Tabela5[[#This Row],[TAG]]&amp;"-"&amp;Tabela5[[#This Row],[COD_Test]]</f>
        <v>TR08B-M001-4</v>
      </c>
      <c r="T34" s="21" t="s">
        <v>1505</v>
      </c>
      <c r="U34" s="21" t="str">
        <f>VLOOKUP(Tabela5[[#This Row],[TAG]],BD!A:J,10,0)</f>
        <v>7HV</v>
      </c>
      <c r="V34" s="3" t="str">
        <f>VLOOKUP(Tabela5[[#This Row],[TAG]],BD!A:E,5,0)</f>
        <v>1x3x1/C#150</v>
      </c>
      <c r="W34" s="21">
        <v>6</v>
      </c>
      <c r="X34" s="245">
        <f>VLOOKUP(Tabela5[[#This Row],[TAG]],$AE:$AK,7,0)</f>
        <v>1</v>
      </c>
      <c r="Y34" s="245" t="str">
        <f>VLOOKUP(Tabela5[[#This Row],[TAG]],BD!A:P,14,0)</f>
        <v>---</v>
      </c>
      <c r="Z34" s="245" t="str">
        <f>VLOOKUP(Tabela5[[#This Row],[TAG]],BD!A:P,15,0)</f>
        <v>Sim</v>
      </c>
      <c r="AA34" s="245" t="str">
        <f>VLOOKUP(Tabela5[[#This Row],[TAG]],BD!A:P,16,0)</f>
        <v>Sim</v>
      </c>
      <c r="AB34" s="245"/>
      <c r="AD34" s="391">
        <v>33</v>
      </c>
      <c r="AE34" s="391" t="s">
        <v>417</v>
      </c>
      <c r="AF34" s="391" t="s">
        <v>92</v>
      </c>
      <c r="AG34" s="391">
        <v>3</v>
      </c>
      <c r="AH34" s="32">
        <v>44224</v>
      </c>
      <c r="AI34" s="391">
        <f>VLOOKUP(Tabela7[[#This Row],[TAG]],BD!$A:$V,19,0)</f>
        <v>6</v>
      </c>
      <c r="AJ34" s="23" t="str">
        <f>VLOOKUP(Tabela7[[#This Row],[TAG]],BD!A:J,10,0)</f>
        <v>7HV</v>
      </c>
      <c r="AK34" s="28">
        <f>SUMIF(AE:AE,Tabela7[[#This Row],[TAG]],AG:AG)/Tabela7[[#This Row],[Qtde Lig]]</f>
        <v>1</v>
      </c>
    </row>
    <row r="35" spans="1:37" x14ac:dyDescent="0.25">
      <c r="A35" s="391">
        <v>34</v>
      </c>
      <c r="B35" s="7" t="s">
        <v>425</v>
      </c>
      <c r="C35" s="391">
        <v>18</v>
      </c>
      <c r="D35" s="32">
        <v>44151</v>
      </c>
      <c r="E35" s="32" t="str">
        <f>VLOOKUP(Tabela2[[#This Row],[Tag]],BD!$A:$B,2,0)</f>
        <v>Força</v>
      </c>
      <c r="F35" s="32" t="str">
        <f>VLOOKUP(Tabela2[[#This Row],[Tag]],BD!A:J,10,0)</f>
        <v>7HV</v>
      </c>
      <c r="G35" s="31" t="str">
        <f>VLOOKUP(Tabela2[[#This Row],[Tag]],BD!$A:$V,20,0)</f>
        <v>E5WP000490-C-001-LC003</v>
      </c>
      <c r="H35" s="32" t="str">
        <f>IF(VLOOKUP(Tabela2[[#This Row],[Tag]],BD!A:T,17,0)=0,"",VLOOKUP(Tabela2[[#This Row],[Tag]],BD!A:T,17,0))</f>
        <v>5.2.4</v>
      </c>
      <c r="I35" s="140">
        <v>44136</v>
      </c>
      <c r="J35" s="155">
        <f>VLOOKUP(Tabela2[[#This Row],[Tag]],BD!$A:$AE,30,0)</f>
        <v>18</v>
      </c>
      <c r="K35" s="29">
        <f>SUMIF(B:B,Tabela2[[#This Row],[Tag]],C:C)/Tabela2[[#This Row],[Comprim. Real]]</f>
        <v>1</v>
      </c>
      <c r="L35" s="29" t="str">
        <f>VLOOKUP(Tabela2[[#This Row],[Tag]],BD!A:AF,32,0)</f>
        <v>7HV</v>
      </c>
      <c r="N35" s="21">
        <v>34</v>
      </c>
      <c r="O35" s="21" t="s">
        <v>545</v>
      </c>
      <c r="P35" s="21" t="s">
        <v>16</v>
      </c>
      <c r="Q35" s="26">
        <v>44239</v>
      </c>
      <c r="R35" s="27">
        <f>VLOOKUP(Tabela5[[#This Row],[Teste]],Referências!$D$2:$E$5,2,0)</f>
        <v>1</v>
      </c>
      <c r="S35" s="27" t="str">
        <f>Tabela5[[#This Row],[TAG]]&amp;"-"&amp;Tabela5[[#This Row],[COD_Test]]</f>
        <v>TR08B-M001-1</v>
      </c>
      <c r="T35" s="21" t="s">
        <v>1505</v>
      </c>
      <c r="U35" s="21" t="str">
        <f>VLOOKUP(Tabela5[[#This Row],[TAG]],BD!A:J,10,0)</f>
        <v>7HV</v>
      </c>
      <c r="V35" s="24" t="str">
        <f>VLOOKUP(Tabela5[[#This Row],[TAG]],BD!A:E,5,0)</f>
        <v>1x3x1/C#150</v>
      </c>
      <c r="W35" s="21">
        <v>6</v>
      </c>
      <c r="X35" s="256">
        <f>VLOOKUP(Tabela5[[#This Row],[TAG]],$AE:$AK,7,0)</f>
        <v>1</v>
      </c>
      <c r="Y35" s="256" t="str">
        <f>VLOOKUP(Tabela5[[#This Row],[TAG]],BD!A:P,14,0)</f>
        <v>---</v>
      </c>
      <c r="Z35" s="256" t="str">
        <f>VLOOKUP(Tabela5[[#This Row],[TAG]],BD!A:P,15,0)</f>
        <v>Sim</v>
      </c>
      <c r="AA35" s="256" t="str">
        <f>VLOOKUP(Tabela5[[#This Row],[TAG]],BD!A:P,16,0)</f>
        <v>Sim</v>
      </c>
      <c r="AB35" s="256"/>
      <c r="AD35" s="391">
        <v>34</v>
      </c>
      <c r="AE35" s="391" t="s">
        <v>419</v>
      </c>
      <c r="AF35" s="391" t="s">
        <v>92</v>
      </c>
      <c r="AG35" s="391">
        <v>6</v>
      </c>
      <c r="AH35" s="32">
        <v>44224</v>
      </c>
      <c r="AI35" s="391">
        <f>VLOOKUP(Tabela7[[#This Row],[TAG]],BD!$A:$V,19,0)</f>
        <v>6</v>
      </c>
      <c r="AJ35" s="23" t="str">
        <f>VLOOKUP(Tabela7[[#This Row],[TAG]],BD!A:J,10,0)</f>
        <v>7HV</v>
      </c>
      <c r="AK35" s="28">
        <f>SUMIF(AE:AE,Tabela7[[#This Row],[TAG]],AG:AG)/Tabela7[[#This Row],[Qtde Lig]]</f>
        <v>1</v>
      </c>
    </row>
    <row r="36" spans="1:37" x14ac:dyDescent="0.25">
      <c r="A36" s="391">
        <v>35</v>
      </c>
      <c r="B36" s="7" t="s">
        <v>427</v>
      </c>
      <c r="C36" s="391">
        <v>42</v>
      </c>
      <c r="D36" s="32">
        <v>44151</v>
      </c>
      <c r="E36" s="32" t="str">
        <f>VLOOKUP(Tabela2[[#This Row],[Tag]],BD!$A:$B,2,0)</f>
        <v>Força</v>
      </c>
      <c r="F36" s="32" t="str">
        <f>VLOOKUP(Tabela2[[#This Row],[Tag]],BD!A:J,10,0)</f>
        <v>7HV</v>
      </c>
      <c r="G36" s="31" t="str">
        <f>VLOOKUP(Tabela2[[#This Row],[Tag]],BD!$A:$V,20,0)</f>
        <v>E5WP000490-C-001-LC003</v>
      </c>
      <c r="H36" s="32" t="str">
        <f>IF(VLOOKUP(Tabela2[[#This Row],[Tag]],BD!A:T,17,0)=0,"",VLOOKUP(Tabela2[[#This Row],[Tag]],BD!A:T,17,0))</f>
        <v>5.2.4</v>
      </c>
      <c r="I36" s="140">
        <v>44136</v>
      </c>
      <c r="J36" s="155">
        <f>VLOOKUP(Tabela2[[#This Row],[Tag]],BD!$A:$AE,30,0)</f>
        <v>42</v>
      </c>
      <c r="K36" s="29">
        <f>SUMIF(B:B,Tabela2[[#This Row],[Tag]],C:C)/Tabela2[[#This Row],[Comprim. Real]]</f>
        <v>1</v>
      </c>
      <c r="L36" s="29" t="str">
        <f>VLOOKUP(Tabela2[[#This Row],[Tag]],BD!A:AF,32,0)</f>
        <v>7HV</v>
      </c>
      <c r="N36" s="21">
        <v>35</v>
      </c>
      <c r="O36" s="21" t="s">
        <v>545</v>
      </c>
      <c r="P36" s="21" t="s">
        <v>18</v>
      </c>
      <c r="Q36" s="26">
        <v>44239</v>
      </c>
      <c r="R36" s="27">
        <f>VLOOKUP(Tabela5[[#This Row],[Teste]],Referências!$D$2:$E$5,2,0)</f>
        <v>3</v>
      </c>
      <c r="S36" s="27" t="str">
        <f>Tabela5[[#This Row],[TAG]]&amp;"-"&amp;Tabela5[[#This Row],[COD_Test]]</f>
        <v>TR08B-M001-3</v>
      </c>
      <c r="T36" s="21" t="s">
        <v>1505</v>
      </c>
      <c r="U36" s="21" t="str">
        <f>VLOOKUP(Tabela5[[#This Row],[TAG]],BD!A:J,10,0)</f>
        <v>7HV</v>
      </c>
      <c r="V36" s="24" t="str">
        <f>VLOOKUP(Tabela5[[#This Row],[TAG]],BD!A:E,5,0)</f>
        <v>1x3x1/C#150</v>
      </c>
      <c r="W36" s="21">
        <v>6</v>
      </c>
      <c r="X36" s="256">
        <f>VLOOKUP(Tabela5[[#This Row],[TAG]],$AE:$AK,7,0)</f>
        <v>1</v>
      </c>
      <c r="Y36" s="256" t="str">
        <f>VLOOKUP(Tabela5[[#This Row],[TAG]],BD!A:P,14,0)</f>
        <v>---</v>
      </c>
      <c r="Z36" s="256" t="str">
        <f>VLOOKUP(Tabela5[[#This Row],[TAG]],BD!A:P,15,0)</f>
        <v>Sim</v>
      </c>
      <c r="AA36" s="256" t="str">
        <f>VLOOKUP(Tabela5[[#This Row],[TAG]],BD!A:P,16,0)</f>
        <v>Sim</v>
      </c>
      <c r="AB36" s="256"/>
      <c r="AD36" s="391">
        <v>35</v>
      </c>
      <c r="AE36" s="391" t="s">
        <v>421</v>
      </c>
      <c r="AF36" s="391" t="s">
        <v>92</v>
      </c>
      <c r="AG36" s="391">
        <v>6</v>
      </c>
      <c r="AH36" s="32">
        <v>44224</v>
      </c>
      <c r="AI36" s="391">
        <f>VLOOKUP(Tabela7[[#This Row],[TAG]],BD!$A:$V,19,0)</f>
        <v>6</v>
      </c>
      <c r="AJ36" s="23" t="str">
        <f>VLOOKUP(Tabela7[[#This Row],[TAG]],BD!A:J,10,0)</f>
        <v>7HV</v>
      </c>
      <c r="AK36" s="28">
        <f>SUMIF(AE:AE,Tabela7[[#This Row],[TAG]],AG:AG)/Tabela7[[#This Row],[Qtde Lig]]</f>
        <v>1</v>
      </c>
    </row>
    <row r="37" spans="1:37" x14ac:dyDescent="0.25">
      <c r="A37" s="391">
        <v>36</v>
      </c>
      <c r="B37" s="7" t="s">
        <v>430</v>
      </c>
      <c r="C37" s="391">
        <v>48</v>
      </c>
      <c r="D37" s="32">
        <v>44151</v>
      </c>
      <c r="E37" s="32" t="str">
        <f>VLOOKUP(Tabela2[[#This Row],[Tag]],BD!$A:$B,2,0)</f>
        <v>Força</v>
      </c>
      <c r="F37" s="32" t="str">
        <f>VLOOKUP(Tabela2[[#This Row],[Tag]],BD!A:J,10,0)</f>
        <v>7HV</v>
      </c>
      <c r="G37" s="31" t="str">
        <f>VLOOKUP(Tabela2[[#This Row],[Tag]],BD!$A:$V,20,0)</f>
        <v>E5WP000490-C-001-LC003</v>
      </c>
      <c r="H37" s="32" t="str">
        <f>IF(VLOOKUP(Tabela2[[#This Row],[Tag]],BD!A:T,17,0)=0,"",VLOOKUP(Tabela2[[#This Row],[Tag]],BD!A:T,17,0))</f>
        <v>5.2.4</v>
      </c>
      <c r="I37" s="140">
        <v>44136</v>
      </c>
      <c r="J37" s="155">
        <f>VLOOKUP(Tabela2[[#This Row],[Tag]],BD!$A:$AE,30,0)</f>
        <v>48</v>
      </c>
      <c r="K37" s="29">
        <f>SUMIF(B:B,Tabela2[[#This Row],[Tag]],C:C)/Tabela2[[#This Row],[Comprim. Real]]</f>
        <v>1</v>
      </c>
      <c r="L37" s="29" t="str">
        <f>VLOOKUP(Tabela2[[#This Row],[Tag]],BD!A:AF,32,0)</f>
        <v>7HV</v>
      </c>
      <c r="N37" s="21">
        <v>36</v>
      </c>
      <c r="O37" s="21" t="s">
        <v>559</v>
      </c>
      <c r="P37" s="21" t="s">
        <v>19</v>
      </c>
      <c r="Q37" s="26">
        <v>44245</v>
      </c>
      <c r="R37" s="27">
        <f>VLOOKUP(Tabela5[[#This Row],[Teste]],Referências!$D$2:$E$5,2,0)</f>
        <v>4</v>
      </c>
      <c r="S37" s="27" t="str">
        <f>Tabela5[[#This Row],[TAG]]&amp;"-"&amp;Tabela5[[#This Row],[COD_Test]]</f>
        <v>TR24A-M001-4</v>
      </c>
      <c r="T37" s="21" t="s">
        <v>1505</v>
      </c>
      <c r="U37" s="21" t="str">
        <f>VLOOKUP(Tabela5[[#This Row],[TAG]],BD!A:J,10,0)</f>
        <v>7HV</v>
      </c>
      <c r="V37" s="3" t="str">
        <f>VLOOKUP(Tabela5[[#This Row],[TAG]],BD!A:E,5,0)</f>
        <v>2x3x1/C#120</v>
      </c>
      <c r="W37" s="21">
        <v>6</v>
      </c>
      <c r="X37" s="245">
        <f>VLOOKUP(Tabela5[[#This Row],[TAG]],$AE:$AK,7,0)</f>
        <v>1</v>
      </c>
      <c r="Y37" s="245" t="str">
        <f>VLOOKUP(Tabela5[[#This Row],[TAG]],BD!A:P,14,0)</f>
        <v>---</v>
      </c>
      <c r="Z37" s="245" t="str">
        <f>VLOOKUP(Tabela5[[#This Row],[TAG]],BD!A:P,15,0)</f>
        <v>Sim</v>
      </c>
      <c r="AA37" s="245" t="str">
        <f>VLOOKUP(Tabela5[[#This Row],[TAG]],BD!A:P,16,0)</f>
        <v>Sim</v>
      </c>
      <c r="AB37" s="245"/>
      <c r="AD37" s="391">
        <v>36</v>
      </c>
      <c r="AE37" s="391" t="s">
        <v>423</v>
      </c>
      <c r="AF37" s="391" t="s">
        <v>92</v>
      </c>
      <c r="AG37" s="391">
        <v>3</v>
      </c>
      <c r="AH37" s="32">
        <v>44224</v>
      </c>
      <c r="AI37" s="391">
        <f>VLOOKUP(Tabela7[[#This Row],[TAG]],BD!$A:$V,19,0)</f>
        <v>6</v>
      </c>
      <c r="AJ37" s="23" t="str">
        <f>VLOOKUP(Tabela7[[#This Row],[TAG]],BD!A:J,10,0)</f>
        <v>7HV</v>
      </c>
      <c r="AK37" s="28">
        <f>SUMIF(AE:AE,Tabela7[[#This Row],[TAG]],AG:AG)/Tabela7[[#This Row],[Qtde Lig]]</f>
        <v>1</v>
      </c>
    </row>
    <row r="38" spans="1:37" x14ac:dyDescent="0.25">
      <c r="A38" s="391">
        <v>37</v>
      </c>
      <c r="B38" s="7" t="s">
        <v>550</v>
      </c>
      <c r="C38" s="391">
        <v>60</v>
      </c>
      <c r="D38" s="32">
        <v>44151</v>
      </c>
      <c r="E38" s="32" t="str">
        <f>VLOOKUP(Tabela2[[#This Row],[Tag]],BD!$A:$B,2,0)</f>
        <v>Força</v>
      </c>
      <c r="F38" s="32" t="str">
        <f>VLOOKUP(Tabela2[[#This Row],[Tag]],BD!A:J,10,0)</f>
        <v>7HV</v>
      </c>
      <c r="G38" s="31" t="str">
        <f>VLOOKUP(Tabela2[[#This Row],[Tag]],BD!$A:$V,20,0)</f>
        <v>E5WP000490-C-001-LC003</v>
      </c>
      <c r="H38" s="32" t="str">
        <f>IF(VLOOKUP(Tabela2[[#This Row],[Tag]],BD!A:T,17,0)=0,"",VLOOKUP(Tabela2[[#This Row],[Tag]],BD!A:T,17,0))</f>
        <v>5.2.13</v>
      </c>
      <c r="I38" s="140">
        <v>44136</v>
      </c>
      <c r="J38" s="155">
        <f>VLOOKUP(Tabela2[[#This Row],[Tag]],BD!$A:$AE,30,0)</f>
        <v>60</v>
      </c>
      <c r="K38" s="29">
        <f>SUMIF(B:B,Tabela2[[#This Row],[Tag]],C:C)/Tabela2[[#This Row],[Comprim. Real]]</f>
        <v>1</v>
      </c>
      <c r="L38" s="29" t="str">
        <f>VLOOKUP(Tabela2[[#This Row],[Tag]],BD!A:AF,32,0)</f>
        <v>7HV</v>
      </c>
      <c r="N38" s="21">
        <v>37</v>
      </c>
      <c r="O38" s="21" t="s">
        <v>559</v>
      </c>
      <c r="P38" s="21" t="s">
        <v>16</v>
      </c>
      <c r="Q38" s="26">
        <v>44245</v>
      </c>
      <c r="R38" s="27">
        <f>VLOOKUP(Tabela5[[#This Row],[Teste]],Referências!$D$2:$E$5,2,0)</f>
        <v>1</v>
      </c>
      <c r="S38" s="27" t="str">
        <f>Tabela5[[#This Row],[TAG]]&amp;"-"&amp;Tabela5[[#This Row],[COD_Test]]</f>
        <v>TR24A-M001-1</v>
      </c>
      <c r="T38" s="21" t="s">
        <v>1505</v>
      </c>
      <c r="U38" s="21" t="str">
        <f>VLOOKUP(Tabela5[[#This Row],[TAG]],BD!A:J,10,0)</f>
        <v>7HV</v>
      </c>
      <c r="V38" s="24" t="str">
        <f>VLOOKUP(Tabela5[[#This Row],[TAG]],BD!A:E,5,0)</f>
        <v>2x3x1/C#120</v>
      </c>
      <c r="W38" s="21">
        <v>6</v>
      </c>
      <c r="X38" s="256">
        <f>VLOOKUP(Tabela5[[#This Row],[TAG]],$AE:$AK,7,0)</f>
        <v>1</v>
      </c>
      <c r="Y38" s="256" t="str">
        <f>VLOOKUP(Tabela5[[#This Row],[TAG]],BD!A:P,14,0)</f>
        <v>---</v>
      </c>
      <c r="Z38" s="256" t="str">
        <f>VLOOKUP(Tabela5[[#This Row],[TAG]],BD!A:P,15,0)</f>
        <v>Sim</v>
      </c>
      <c r="AA38" s="256" t="str">
        <f>VLOOKUP(Tabela5[[#This Row],[TAG]],BD!A:P,16,0)</f>
        <v>Sim</v>
      </c>
      <c r="AB38" s="256"/>
      <c r="AD38" s="391">
        <v>37</v>
      </c>
      <c r="AE38" s="391" t="s">
        <v>425</v>
      </c>
      <c r="AF38" s="391" t="s">
        <v>92</v>
      </c>
      <c r="AG38" s="391">
        <v>3</v>
      </c>
      <c r="AH38" s="32">
        <v>44224</v>
      </c>
      <c r="AI38" s="391">
        <f>VLOOKUP(Tabela7[[#This Row],[TAG]],BD!$A:$V,19,0)</f>
        <v>6</v>
      </c>
      <c r="AJ38" s="23" t="str">
        <f>VLOOKUP(Tabela7[[#This Row],[TAG]],BD!A:J,10,0)</f>
        <v>7HV</v>
      </c>
      <c r="AK38" s="28">
        <f>SUMIF(AE:AE,Tabela7[[#This Row],[TAG]],AG:AG)/Tabela7[[#This Row],[Qtde Lig]]</f>
        <v>1</v>
      </c>
    </row>
    <row r="39" spans="1:37" x14ac:dyDescent="0.25">
      <c r="A39" s="391">
        <v>38</v>
      </c>
      <c r="B39" s="7" t="s">
        <v>553</v>
      </c>
      <c r="C39" s="391">
        <v>60</v>
      </c>
      <c r="D39" s="32">
        <v>44151</v>
      </c>
      <c r="E39" s="32" t="str">
        <f>VLOOKUP(Tabela2[[#This Row],[Tag]],BD!$A:$B,2,0)</f>
        <v>Força</v>
      </c>
      <c r="F39" s="32" t="str">
        <f>VLOOKUP(Tabela2[[#This Row],[Tag]],BD!A:J,10,0)</f>
        <v>7HV</v>
      </c>
      <c r="G39" s="31" t="str">
        <f>VLOOKUP(Tabela2[[#This Row],[Tag]],BD!$A:$V,20,0)</f>
        <v>E5WP000490-C-001-LC003</v>
      </c>
      <c r="H39" s="32" t="str">
        <f>IF(VLOOKUP(Tabela2[[#This Row],[Tag]],BD!A:T,17,0)=0,"",VLOOKUP(Tabela2[[#This Row],[Tag]],BD!A:T,17,0))</f>
        <v>5.2.13</v>
      </c>
      <c r="I39" s="140">
        <v>44136</v>
      </c>
      <c r="J39" s="155">
        <f>VLOOKUP(Tabela2[[#This Row],[Tag]],BD!$A:$AE,30,0)</f>
        <v>60</v>
      </c>
      <c r="K39" s="29">
        <f>SUMIF(B:B,Tabela2[[#This Row],[Tag]],C:C)/Tabela2[[#This Row],[Comprim. Real]]</f>
        <v>1</v>
      </c>
      <c r="L39" s="29" t="str">
        <f>VLOOKUP(Tabela2[[#This Row],[Tag]],BD!A:AF,32,0)</f>
        <v>7HV</v>
      </c>
      <c r="N39" s="21">
        <v>38</v>
      </c>
      <c r="O39" s="21" t="s">
        <v>559</v>
      </c>
      <c r="P39" s="21" t="s">
        <v>18</v>
      </c>
      <c r="Q39" s="26">
        <v>44245</v>
      </c>
      <c r="R39" s="27">
        <f>VLOOKUP(Tabela5[[#This Row],[Teste]],Referências!$D$2:$E$5,2,0)</f>
        <v>3</v>
      </c>
      <c r="S39" s="27" t="str">
        <f>Tabela5[[#This Row],[TAG]]&amp;"-"&amp;Tabela5[[#This Row],[COD_Test]]</f>
        <v>TR24A-M001-3</v>
      </c>
      <c r="T39" s="21" t="s">
        <v>1505</v>
      </c>
      <c r="U39" s="21" t="str">
        <f>VLOOKUP(Tabela5[[#This Row],[TAG]],BD!A:J,10,0)</f>
        <v>7HV</v>
      </c>
      <c r="V39" s="24" t="str">
        <f>VLOOKUP(Tabela5[[#This Row],[TAG]],BD!A:E,5,0)</f>
        <v>2x3x1/C#120</v>
      </c>
      <c r="W39" s="21">
        <v>6</v>
      </c>
      <c r="X39" s="256">
        <f>VLOOKUP(Tabela5[[#This Row],[TAG]],$AE:$AK,7,0)</f>
        <v>1</v>
      </c>
      <c r="Y39" s="256" t="str">
        <f>VLOOKUP(Tabela5[[#This Row],[TAG]],BD!A:P,14,0)</f>
        <v>---</v>
      </c>
      <c r="Z39" s="256" t="str">
        <f>VLOOKUP(Tabela5[[#This Row],[TAG]],BD!A:P,15,0)</f>
        <v>Sim</v>
      </c>
      <c r="AA39" s="256" t="str">
        <f>VLOOKUP(Tabela5[[#This Row],[TAG]],BD!A:P,16,0)</f>
        <v>Sim</v>
      </c>
      <c r="AB39" s="256"/>
      <c r="AD39" s="391">
        <v>38</v>
      </c>
      <c r="AE39" s="391" t="s">
        <v>427</v>
      </c>
      <c r="AF39" s="391" t="s">
        <v>92</v>
      </c>
      <c r="AG39" s="391">
        <v>3</v>
      </c>
      <c r="AH39" s="32">
        <v>44224</v>
      </c>
      <c r="AI39" s="391">
        <f>VLOOKUP(Tabela7[[#This Row],[TAG]],BD!$A:$V,19,0)</f>
        <v>6</v>
      </c>
      <c r="AJ39" s="23" t="str">
        <f>VLOOKUP(Tabela7[[#This Row],[TAG]],BD!A:J,10,0)</f>
        <v>7HV</v>
      </c>
      <c r="AK39" s="28">
        <f>SUMIF(AE:AE,Tabela7[[#This Row],[TAG]],AG:AG)/Tabela7[[#This Row],[Qtde Lig]]</f>
        <v>1</v>
      </c>
    </row>
    <row r="40" spans="1:37" x14ac:dyDescent="0.25">
      <c r="A40" s="391">
        <v>39</v>
      </c>
      <c r="B40" s="7" t="s">
        <v>554</v>
      </c>
      <c r="C40" s="391">
        <v>66</v>
      </c>
      <c r="D40" s="32">
        <v>44151</v>
      </c>
      <c r="E40" s="32" t="str">
        <f>VLOOKUP(Tabela2[[#This Row],[Tag]],BD!$A:$B,2,0)</f>
        <v>Força</v>
      </c>
      <c r="F40" s="32" t="str">
        <f>VLOOKUP(Tabela2[[#This Row],[Tag]],BD!A:J,10,0)</f>
        <v>7HV</v>
      </c>
      <c r="G40" s="31" t="str">
        <f>VLOOKUP(Tabela2[[#This Row],[Tag]],BD!$A:$V,20,0)</f>
        <v>E5WP000490-C-001-LC003</v>
      </c>
      <c r="H40" s="32" t="str">
        <f>IF(VLOOKUP(Tabela2[[#This Row],[Tag]],BD!A:T,17,0)=0,"",VLOOKUP(Tabela2[[#This Row],[Tag]],BD!A:T,17,0))</f>
        <v>5.2.13</v>
      </c>
      <c r="I40" s="140">
        <v>44136</v>
      </c>
      <c r="J40" s="155">
        <f>VLOOKUP(Tabela2[[#This Row],[Tag]],BD!$A:$AE,30,0)</f>
        <v>66</v>
      </c>
      <c r="K40" s="29">
        <f>SUMIF(B:B,Tabela2[[#This Row],[Tag]],C:C)/Tabela2[[#This Row],[Comprim. Real]]</f>
        <v>1</v>
      </c>
      <c r="L40" s="29" t="str">
        <f>VLOOKUP(Tabela2[[#This Row],[Tag]],BD!A:AF,32,0)</f>
        <v>7HV</v>
      </c>
      <c r="N40" s="21">
        <v>39</v>
      </c>
      <c r="O40" s="21" t="s">
        <v>561</v>
      </c>
      <c r="P40" s="21" t="s">
        <v>19</v>
      </c>
      <c r="Q40" s="26">
        <v>44245</v>
      </c>
      <c r="R40" s="27">
        <f>VLOOKUP(Tabela5[[#This Row],[Teste]],Referências!$D$2:$E$5,2,0)</f>
        <v>4</v>
      </c>
      <c r="S40" s="27" t="str">
        <f>Tabela5[[#This Row],[TAG]]&amp;"-"&amp;Tabela5[[#This Row],[COD_Test]]</f>
        <v>TR24A-M002-4</v>
      </c>
      <c r="T40" s="21" t="s">
        <v>1505</v>
      </c>
      <c r="U40" s="21" t="str">
        <f>VLOOKUP(Tabela5[[#This Row],[TAG]],BD!A:J,10,0)</f>
        <v>7HV</v>
      </c>
      <c r="V40" s="3" t="str">
        <f>VLOOKUP(Tabela5[[#This Row],[TAG]],BD!A:E,5,0)</f>
        <v>2x3x1/C#120</v>
      </c>
      <c r="W40" s="21">
        <v>6</v>
      </c>
      <c r="X40" s="245">
        <f>VLOOKUP(Tabela5[[#This Row],[TAG]],$AE:$AK,7,0)</f>
        <v>1</v>
      </c>
      <c r="Y40" s="245" t="str">
        <f>VLOOKUP(Tabela5[[#This Row],[TAG]],BD!A:P,14,0)</f>
        <v>---</v>
      </c>
      <c r="Z40" s="245" t="str">
        <f>VLOOKUP(Tabela5[[#This Row],[TAG]],BD!A:P,15,0)</f>
        <v>Sim</v>
      </c>
      <c r="AA40" s="245" t="str">
        <f>VLOOKUP(Tabela5[[#This Row],[TAG]],BD!A:P,16,0)</f>
        <v>Sim</v>
      </c>
      <c r="AB40" s="245"/>
      <c r="AD40" s="391">
        <v>39</v>
      </c>
      <c r="AE40" s="391" t="s">
        <v>430</v>
      </c>
      <c r="AF40" s="391" t="s">
        <v>92</v>
      </c>
      <c r="AG40" s="391">
        <v>3</v>
      </c>
      <c r="AH40" s="32">
        <v>44224</v>
      </c>
      <c r="AI40" s="391">
        <f>VLOOKUP(Tabela7[[#This Row],[TAG]],BD!$A:$V,19,0)</f>
        <v>6</v>
      </c>
      <c r="AJ40" s="23" t="str">
        <f>VLOOKUP(Tabela7[[#This Row],[TAG]],BD!A:J,10,0)</f>
        <v>7HV</v>
      </c>
      <c r="AK40" s="28">
        <f>SUMIF(AE:AE,Tabela7[[#This Row],[TAG]],AG:AG)/Tabela7[[#This Row],[Qtde Lig]]</f>
        <v>1</v>
      </c>
    </row>
    <row r="41" spans="1:37" x14ac:dyDescent="0.25">
      <c r="A41" s="391">
        <v>40</v>
      </c>
      <c r="B41" s="7" t="s">
        <v>555</v>
      </c>
      <c r="C41" s="391">
        <v>66</v>
      </c>
      <c r="D41" s="32">
        <v>44151</v>
      </c>
      <c r="E41" s="32" t="str">
        <f>VLOOKUP(Tabela2[[#This Row],[Tag]],BD!$A:$B,2,0)</f>
        <v>Força</v>
      </c>
      <c r="F41" s="32" t="str">
        <f>VLOOKUP(Tabela2[[#This Row],[Tag]],BD!A:J,10,0)</f>
        <v>7HV</v>
      </c>
      <c r="G41" s="31" t="str">
        <f>VLOOKUP(Tabela2[[#This Row],[Tag]],BD!$A:$V,20,0)</f>
        <v>E5WP000490-C-001-LC003</v>
      </c>
      <c r="H41" s="32" t="str">
        <f>IF(VLOOKUP(Tabela2[[#This Row],[Tag]],BD!A:T,17,0)=0,"",VLOOKUP(Tabela2[[#This Row],[Tag]],BD!A:T,17,0))</f>
        <v>5.2.13</v>
      </c>
      <c r="I41" s="140">
        <v>44136</v>
      </c>
      <c r="J41" s="155">
        <f>VLOOKUP(Tabela2[[#This Row],[Tag]],BD!$A:$AE,30,0)</f>
        <v>66</v>
      </c>
      <c r="K41" s="29">
        <f>SUMIF(B:B,Tabela2[[#This Row],[Tag]],C:C)/Tabela2[[#This Row],[Comprim. Real]]</f>
        <v>1</v>
      </c>
      <c r="L41" s="29" t="str">
        <f>VLOOKUP(Tabela2[[#This Row],[Tag]],BD!A:AF,32,0)</f>
        <v>7HV</v>
      </c>
      <c r="N41" s="21">
        <v>40</v>
      </c>
      <c r="O41" s="21" t="s">
        <v>561</v>
      </c>
      <c r="P41" s="21" t="s">
        <v>16</v>
      </c>
      <c r="Q41" s="26">
        <v>44245</v>
      </c>
      <c r="R41" s="27">
        <f>VLOOKUP(Tabela5[[#This Row],[Teste]],Referências!$D$2:$E$5,2,0)</f>
        <v>1</v>
      </c>
      <c r="S41" s="27" t="str">
        <f>Tabela5[[#This Row],[TAG]]&amp;"-"&amp;Tabela5[[#This Row],[COD_Test]]</f>
        <v>TR24A-M002-1</v>
      </c>
      <c r="T41" s="21" t="s">
        <v>1505</v>
      </c>
      <c r="U41" s="21" t="str">
        <f>VLOOKUP(Tabela5[[#This Row],[TAG]],BD!A:J,10,0)</f>
        <v>7HV</v>
      </c>
      <c r="V41" s="24" t="str">
        <f>VLOOKUP(Tabela5[[#This Row],[TAG]],BD!A:E,5,0)</f>
        <v>2x3x1/C#120</v>
      </c>
      <c r="W41" s="21">
        <v>6</v>
      </c>
      <c r="X41" s="256">
        <f>VLOOKUP(Tabela5[[#This Row],[TAG]],$AE:$AK,7,0)</f>
        <v>1</v>
      </c>
      <c r="Y41" s="256" t="str">
        <f>VLOOKUP(Tabela5[[#This Row],[TAG]],BD!A:P,14,0)</f>
        <v>---</v>
      </c>
      <c r="Z41" s="256" t="str">
        <f>VLOOKUP(Tabela5[[#This Row],[TAG]],BD!A:P,15,0)</f>
        <v>Sim</v>
      </c>
      <c r="AA41" s="256" t="str">
        <f>VLOOKUP(Tabela5[[#This Row],[TAG]],BD!A:P,16,0)</f>
        <v>Sim</v>
      </c>
      <c r="AB41" s="256"/>
      <c r="AD41" s="391">
        <v>40</v>
      </c>
      <c r="AE41" s="391" t="s">
        <v>550</v>
      </c>
      <c r="AF41" s="391" t="s">
        <v>92</v>
      </c>
      <c r="AG41" s="391">
        <v>6</v>
      </c>
      <c r="AH41" s="32">
        <v>44224</v>
      </c>
      <c r="AI41" s="391">
        <f>VLOOKUP(Tabela7[[#This Row],[TAG]],BD!$A:$V,19,0)</f>
        <v>12</v>
      </c>
      <c r="AJ41" s="23" t="str">
        <f>VLOOKUP(Tabela7[[#This Row],[TAG]],BD!A:J,10,0)</f>
        <v>7HV</v>
      </c>
      <c r="AK41" s="28">
        <f>SUMIF(AE:AE,Tabela7[[#This Row],[TAG]],AG:AG)/Tabela7[[#This Row],[Qtde Lig]]</f>
        <v>1</v>
      </c>
    </row>
    <row r="42" spans="1:37" x14ac:dyDescent="0.25">
      <c r="A42" s="391">
        <v>41</v>
      </c>
      <c r="B42" s="7" t="s">
        <v>572</v>
      </c>
      <c r="C42" s="391">
        <v>78</v>
      </c>
      <c r="D42" s="32">
        <v>44151</v>
      </c>
      <c r="E42" s="32" t="str">
        <f>VLOOKUP(Tabela2[[#This Row],[Tag]],BD!$A:$B,2,0)</f>
        <v>Força</v>
      </c>
      <c r="F42" s="32" t="str">
        <f>VLOOKUP(Tabela2[[#This Row],[Tag]],BD!A:J,10,0)</f>
        <v>7HV</v>
      </c>
      <c r="G42" s="31" t="str">
        <f>VLOOKUP(Tabela2[[#This Row],[Tag]],BD!$A:$V,20,0)</f>
        <v>E5WP000490-C-001-LC003</v>
      </c>
      <c r="H42" s="32" t="str">
        <f>IF(VLOOKUP(Tabela2[[#This Row],[Tag]],BD!A:T,17,0)=0,"",VLOOKUP(Tabela2[[#This Row],[Tag]],BD!A:T,17,0))</f>
        <v>5.2.13</v>
      </c>
      <c r="I42" s="140">
        <v>44136</v>
      </c>
      <c r="J42" s="155">
        <f>VLOOKUP(Tabela2[[#This Row],[Tag]],BD!$A:$AE,30,0)</f>
        <v>78</v>
      </c>
      <c r="K42" s="29">
        <f>SUMIF(B:B,Tabela2[[#This Row],[Tag]],C:C)/Tabela2[[#This Row],[Comprim. Real]]</f>
        <v>1</v>
      </c>
      <c r="L42" s="29" t="str">
        <f>VLOOKUP(Tabela2[[#This Row],[Tag]],BD!A:AF,32,0)</f>
        <v>7HV</v>
      </c>
      <c r="N42" s="21">
        <v>41</v>
      </c>
      <c r="O42" s="21" t="s">
        <v>561</v>
      </c>
      <c r="P42" s="21" t="s">
        <v>18</v>
      </c>
      <c r="Q42" s="26">
        <v>44245</v>
      </c>
      <c r="R42" s="27">
        <f>VLOOKUP(Tabela5[[#This Row],[Teste]],Referências!$D$2:$E$5,2,0)</f>
        <v>3</v>
      </c>
      <c r="S42" s="27" t="str">
        <f>Tabela5[[#This Row],[TAG]]&amp;"-"&amp;Tabela5[[#This Row],[COD_Test]]</f>
        <v>TR24A-M002-3</v>
      </c>
      <c r="T42" s="21" t="s">
        <v>1505</v>
      </c>
      <c r="U42" s="21" t="str">
        <f>VLOOKUP(Tabela5[[#This Row],[TAG]],BD!A:J,10,0)</f>
        <v>7HV</v>
      </c>
      <c r="V42" s="24" t="str">
        <f>VLOOKUP(Tabela5[[#This Row],[TAG]],BD!A:E,5,0)</f>
        <v>2x3x1/C#120</v>
      </c>
      <c r="W42" s="21">
        <v>6</v>
      </c>
      <c r="X42" s="256">
        <f>VLOOKUP(Tabela5[[#This Row],[TAG]],$AE:$AK,7,0)</f>
        <v>1</v>
      </c>
      <c r="Y42" s="256" t="str">
        <f>VLOOKUP(Tabela5[[#This Row],[TAG]],BD!A:P,14,0)</f>
        <v>---</v>
      </c>
      <c r="Z42" s="256" t="str">
        <f>VLOOKUP(Tabela5[[#This Row],[TAG]],BD!A:P,15,0)</f>
        <v>Sim</v>
      </c>
      <c r="AA42" s="256" t="str">
        <f>VLOOKUP(Tabela5[[#This Row],[TAG]],BD!A:P,16,0)</f>
        <v>Sim</v>
      </c>
      <c r="AB42" s="256"/>
      <c r="AD42" s="391">
        <v>41</v>
      </c>
      <c r="AE42" s="391" t="s">
        <v>553</v>
      </c>
      <c r="AF42" s="391" t="s">
        <v>92</v>
      </c>
      <c r="AG42" s="391">
        <v>6</v>
      </c>
      <c r="AH42" s="32">
        <v>44224</v>
      </c>
      <c r="AI42" s="391">
        <f>VLOOKUP(Tabela7[[#This Row],[TAG]],BD!$A:$V,19,0)</f>
        <v>12</v>
      </c>
      <c r="AJ42" s="23" t="str">
        <f>VLOOKUP(Tabela7[[#This Row],[TAG]],BD!A:J,10,0)</f>
        <v>7HV</v>
      </c>
      <c r="AK42" s="28">
        <f>SUMIF(AE:AE,Tabela7[[#This Row],[TAG]],AG:AG)/Tabela7[[#This Row],[Qtde Lig]]</f>
        <v>1</v>
      </c>
    </row>
    <row r="43" spans="1:37" x14ac:dyDescent="0.25">
      <c r="A43" s="391">
        <v>42</v>
      </c>
      <c r="B43" s="7" t="s">
        <v>542</v>
      </c>
      <c r="C43" s="391">
        <v>33</v>
      </c>
      <c r="D43" s="32">
        <v>44151</v>
      </c>
      <c r="E43" s="32" t="str">
        <f>VLOOKUP(Tabela2[[#This Row],[Tag]],BD!$A:$B,2,0)</f>
        <v>Força</v>
      </c>
      <c r="F43" s="32" t="str">
        <f>VLOOKUP(Tabela2[[#This Row],[Tag]],BD!A:J,10,0)</f>
        <v>7HV</v>
      </c>
      <c r="G43" s="31" t="str">
        <f>VLOOKUP(Tabela2[[#This Row],[Tag]],BD!$A:$V,20,0)</f>
        <v>E5WP000490-C-001-LC003</v>
      </c>
      <c r="H43" s="32" t="str">
        <f>IF(VLOOKUP(Tabela2[[#This Row],[Tag]],BD!A:T,17,0)=0,"",VLOOKUP(Tabela2[[#This Row],[Tag]],BD!A:T,17,0))</f>
        <v>5.2.13</v>
      </c>
      <c r="I43" s="140">
        <v>44136</v>
      </c>
      <c r="J43" s="155">
        <f>VLOOKUP(Tabela2[[#This Row],[Tag]],BD!$A:$AE,30,0)</f>
        <v>33</v>
      </c>
      <c r="K43" s="29">
        <f>SUMIF(B:B,Tabela2[[#This Row],[Tag]],C:C)/Tabela2[[#This Row],[Comprim. Real]]</f>
        <v>1</v>
      </c>
      <c r="L43" s="29" t="str">
        <f>VLOOKUP(Tabela2[[#This Row],[Tag]],BD!A:AF,32,0)</f>
        <v>7HV</v>
      </c>
      <c r="N43" s="21">
        <v>42</v>
      </c>
      <c r="O43" s="21" t="s">
        <v>562</v>
      </c>
      <c r="P43" s="21" t="s">
        <v>19</v>
      </c>
      <c r="Q43" s="26">
        <v>44245</v>
      </c>
      <c r="R43" s="27">
        <f>VLOOKUP(Tabela5[[#This Row],[Teste]],Referências!$D$2:$E$5,2,0)</f>
        <v>4</v>
      </c>
      <c r="S43" s="27" t="str">
        <f>Tabela5[[#This Row],[TAG]]&amp;"-"&amp;Tabela5[[#This Row],[COD_Test]]</f>
        <v>TR24B-M001-4</v>
      </c>
      <c r="T43" s="21" t="s">
        <v>1505</v>
      </c>
      <c r="U43" s="21" t="str">
        <f>VLOOKUP(Tabela5[[#This Row],[TAG]],BD!A:J,10,0)</f>
        <v>7HV</v>
      </c>
      <c r="V43" s="24" t="str">
        <f>VLOOKUP(Tabela5[[#This Row],[TAG]],BD!A:E,5,0)</f>
        <v>2x3x1/C#120</v>
      </c>
      <c r="W43" s="21">
        <v>6</v>
      </c>
      <c r="X43" s="245">
        <f>VLOOKUP(Tabela5[[#This Row],[TAG]],$AE:$AK,7,0)</f>
        <v>1</v>
      </c>
      <c r="Y43" s="245" t="str">
        <f>VLOOKUP(Tabela5[[#This Row],[TAG]],BD!A:P,14,0)</f>
        <v>---</v>
      </c>
      <c r="Z43" s="245" t="str">
        <f>VLOOKUP(Tabela5[[#This Row],[TAG]],BD!A:P,15,0)</f>
        <v>Sim</v>
      </c>
      <c r="AA43" s="245" t="str">
        <f>VLOOKUP(Tabela5[[#This Row],[TAG]],BD!A:P,16,0)</f>
        <v>Sim</v>
      </c>
      <c r="AB43" s="245"/>
      <c r="AD43" s="391">
        <v>42</v>
      </c>
      <c r="AE43" s="391" t="s">
        <v>554</v>
      </c>
      <c r="AF43" s="391" t="s">
        <v>92</v>
      </c>
      <c r="AG43" s="391">
        <v>6</v>
      </c>
      <c r="AH43" s="32">
        <v>44224</v>
      </c>
      <c r="AI43" s="391">
        <f>VLOOKUP(Tabela7[[#This Row],[TAG]],BD!$A:$V,19,0)</f>
        <v>12</v>
      </c>
      <c r="AJ43" s="23" t="str">
        <f>VLOOKUP(Tabela7[[#This Row],[TAG]],BD!A:J,10,0)</f>
        <v>7HV</v>
      </c>
      <c r="AK43" s="28">
        <f>SUMIF(AE:AE,Tabela7[[#This Row],[TAG]],AG:AG)/Tabela7[[#This Row],[Qtde Lig]]</f>
        <v>1</v>
      </c>
    </row>
    <row r="44" spans="1:37" x14ac:dyDescent="0.25">
      <c r="A44" s="391">
        <v>43</v>
      </c>
      <c r="B44" s="7" t="s">
        <v>544</v>
      </c>
      <c r="C44" s="391">
        <v>33</v>
      </c>
      <c r="D44" s="32">
        <v>44151</v>
      </c>
      <c r="E44" s="32" t="str">
        <f>VLOOKUP(Tabela2[[#This Row],[Tag]],BD!$A:$B,2,0)</f>
        <v>Força</v>
      </c>
      <c r="F44" s="32" t="str">
        <f>VLOOKUP(Tabela2[[#This Row],[Tag]],BD!A:J,10,0)</f>
        <v>7HV</v>
      </c>
      <c r="G44" s="31" t="str">
        <f>VLOOKUP(Tabela2[[#This Row],[Tag]],BD!$A:$V,20,0)</f>
        <v>E5WP000490-C-001-LC003</v>
      </c>
      <c r="H44" s="32" t="str">
        <f>IF(VLOOKUP(Tabela2[[#This Row],[Tag]],BD!A:T,17,0)=0,"",VLOOKUP(Tabela2[[#This Row],[Tag]],BD!A:T,17,0))</f>
        <v>5.2.13</v>
      </c>
      <c r="I44" s="140">
        <v>44136</v>
      </c>
      <c r="J44" s="155">
        <f>VLOOKUP(Tabela2[[#This Row],[Tag]],BD!$A:$AE,30,0)</f>
        <v>33</v>
      </c>
      <c r="K44" s="29">
        <f>SUMIF(B:B,Tabela2[[#This Row],[Tag]],C:C)/Tabela2[[#This Row],[Comprim. Real]]</f>
        <v>1</v>
      </c>
      <c r="L44" s="29" t="str">
        <f>VLOOKUP(Tabela2[[#This Row],[Tag]],BD!A:AF,32,0)</f>
        <v>7HV</v>
      </c>
      <c r="N44" s="21">
        <v>43</v>
      </c>
      <c r="O44" s="21" t="s">
        <v>562</v>
      </c>
      <c r="P44" s="21" t="s">
        <v>16</v>
      </c>
      <c r="Q44" s="26">
        <v>44245</v>
      </c>
      <c r="R44" s="27">
        <f>VLOOKUP(Tabela5[[#This Row],[Teste]],Referências!$D$2:$E$5,2,0)</f>
        <v>1</v>
      </c>
      <c r="S44" s="27" t="str">
        <f>Tabela5[[#This Row],[TAG]]&amp;"-"&amp;Tabela5[[#This Row],[COD_Test]]</f>
        <v>TR24B-M001-1</v>
      </c>
      <c r="T44" s="21" t="s">
        <v>1505</v>
      </c>
      <c r="U44" s="21" t="str">
        <f>VLOOKUP(Tabela5[[#This Row],[TAG]],BD!A:J,10,0)</f>
        <v>7HV</v>
      </c>
      <c r="V44" s="24" t="str">
        <f>VLOOKUP(Tabela5[[#This Row],[TAG]],BD!A:E,5,0)</f>
        <v>2x3x1/C#120</v>
      </c>
      <c r="W44" s="21">
        <v>6</v>
      </c>
      <c r="X44" s="256">
        <f>VLOOKUP(Tabela5[[#This Row],[TAG]],$AE:$AK,7,0)</f>
        <v>1</v>
      </c>
      <c r="Y44" s="256" t="str">
        <f>VLOOKUP(Tabela5[[#This Row],[TAG]],BD!A:P,14,0)</f>
        <v>---</v>
      </c>
      <c r="Z44" s="256" t="str">
        <f>VLOOKUP(Tabela5[[#This Row],[TAG]],BD!A:P,15,0)</f>
        <v>Sim</v>
      </c>
      <c r="AA44" s="256" t="str">
        <f>VLOOKUP(Tabela5[[#This Row],[TAG]],BD!A:P,16,0)</f>
        <v>Sim</v>
      </c>
      <c r="AB44" s="256"/>
      <c r="AD44" s="391">
        <v>43</v>
      </c>
      <c r="AE44" s="391" t="s">
        <v>555</v>
      </c>
      <c r="AF44" s="391" t="s">
        <v>92</v>
      </c>
      <c r="AG44" s="391">
        <v>6</v>
      </c>
      <c r="AH44" s="32">
        <v>44224</v>
      </c>
      <c r="AI44" s="391">
        <f>VLOOKUP(Tabela7[[#This Row],[TAG]],BD!$A:$V,19,0)</f>
        <v>12</v>
      </c>
      <c r="AJ44" s="23" t="str">
        <f>VLOOKUP(Tabela7[[#This Row],[TAG]],BD!A:J,10,0)</f>
        <v>7HV</v>
      </c>
      <c r="AK44" s="28">
        <f>SUMIF(AE:AE,Tabela7[[#This Row],[TAG]],AG:AG)/Tabela7[[#This Row],[Qtde Lig]]</f>
        <v>1</v>
      </c>
    </row>
    <row r="45" spans="1:37" x14ac:dyDescent="0.25">
      <c r="A45" s="391">
        <v>44</v>
      </c>
      <c r="B45" s="7" t="s">
        <v>545</v>
      </c>
      <c r="C45" s="391">
        <v>33</v>
      </c>
      <c r="D45" s="32">
        <v>44151</v>
      </c>
      <c r="E45" s="32" t="str">
        <f>VLOOKUP(Tabela2[[#This Row],[Tag]],BD!$A:$B,2,0)</f>
        <v>Força</v>
      </c>
      <c r="F45" s="32" t="str">
        <f>VLOOKUP(Tabela2[[#This Row],[Tag]],BD!A:J,10,0)</f>
        <v>7HV</v>
      </c>
      <c r="G45" s="31" t="str">
        <f>VLOOKUP(Tabela2[[#This Row],[Tag]],BD!$A:$V,20,0)</f>
        <v>E5WP000490-C-001-LC003</v>
      </c>
      <c r="H45" s="32" t="str">
        <f>IF(VLOOKUP(Tabela2[[#This Row],[Tag]],BD!A:T,17,0)=0,"",VLOOKUP(Tabela2[[#This Row],[Tag]],BD!A:T,17,0))</f>
        <v>5.2.13</v>
      </c>
      <c r="I45" s="140">
        <v>44136</v>
      </c>
      <c r="J45" s="155">
        <f>VLOOKUP(Tabela2[[#This Row],[Tag]],BD!$A:$AE,30,0)</f>
        <v>33</v>
      </c>
      <c r="K45" s="29">
        <f>SUMIF(B:B,Tabela2[[#This Row],[Tag]],C:C)/Tabela2[[#This Row],[Comprim. Real]]</f>
        <v>1</v>
      </c>
      <c r="L45" s="29" t="str">
        <f>VLOOKUP(Tabela2[[#This Row],[Tag]],BD!A:AF,32,0)</f>
        <v>7HV</v>
      </c>
      <c r="N45" s="21">
        <v>44</v>
      </c>
      <c r="O45" s="21" t="s">
        <v>562</v>
      </c>
      <c r="P45" s="21" t="s">
        <v>18</v>
      </c>
      <c r="Q45" s="26">
        <v>44245</v>
      </c>
      <c r="R45" s="27">
        <f>VLOOKUP(Tabela5[[#This Row],[Teste]],Referências!$D$2:$E$5,2,0)</f>
        <v>3</v>
      </c>
      <c r="S45" s="27" t="str">
        <f>Tabela5[[#This Row],[TAG]]&amp;"-"&amp;Tabela5[[#This Row],[COD_Test]]</f>
        <v>TR24B-M001-3</v>
      </c>
      <c r="T45" s="21" t="s">
        <v>1505</v>
      </c>
      <c r="U45" s="21" t="str">
        <f>VLOOKUP(Tabela5[[#This Row],[TAG]],BD!A:J,10,0)</f>
        <v>7HV</v>
      </c>
      <c r="V45" s="24" t="str">
        <f>VLOOKUP(Tabela5[[#This Row],[TAG]],BD!A:E,5,0)</f>
        <v>2x3x1/C#120</v>
      </c>
      <c r="W45" s="21">
        <v>6</v>
      </c>
      <c r="X45" s="256">
        <f>VLOOKUP(Tabela5[[#This Row],[TAG]],$AE:$AK,7,0)</f>
        <v>1</v>
      </c>
      <c r="Y45" s="256" t="str">
        <f>VLOOKUP(Tabela5[[#This Row],[TAG]],BD!A:P,14,0)</f>
        <v>---</v>
      </c>
      <c r="Z45" s="256" t="str">
        <f>VLOOKUP(Tabela5[[#This Row],[TAG]],BD!A:P,15,0)</f>
        <v>Sim</v>
      </c>
      <c r="AA45" s="256" t="str">
        <f>VLOOKUP(Tabela5[[#This Row],[TAG]],BD!A:P,16,0)</f>
        <v>Sim</v>
      </c>
      <c r="AB45" s="256"/>
      <c r="AD45" s="391">
        <v>44</v>
      </c>
      <c r="AE45" s="391" t="s">
        <v>572</v>
      </c>
      <c r="AF45" s="391" t="s">
        <v>92</v>
      </c>
      <c r="AG45" s="391">
        <v>2</v>
      </c>
      <c r="AH45" s="32">
        <v>44224</v>
      </c>
      <c r="AI45" s="391">
        <f>VLOOKUP(Tabela7[[#This Row],[TAG]],BD!$A:$V,19,0)</f>
        <v>2</v>
      </c>
      <c r="AJ45" s="23" t="str">
        <f>VLOOKUP(Tabela7[[#This Row],[TAG]],BD!A:J,10,0)</f>
        <v>7HV</v>
      </c>
      <c r="AK45" s="28">
        <f>SUMIF(AE:AE,Tabela7[[#This Row],[TAG]],AG:AG)/Tabela7[[#This Row],[Qtde Lig]]</f>
        <v>1</v>
      </c>
    </row>
    <row r="46" spans="1:37" x14ac:dyDescent="0.25">
      <c r="A46" s="391">
        <v>45</v>
      </c>
      <c r="B46" s="7" t="s">
        <v>546</v>
      </c>
      <c r="C46" s="391">
        <v>33</v>
      </c>
      <c r="D46" s="32">
        <v>44151</v>
      </c>
      <c r="E46" s="32" t="str">
        <f>VLOOKUP(Tabela2[[#This Row],[Tag]],BD!$A:$B,2,0)</f>
        <v>Força</v>
      </c>
      <c r="F46" s="32" t="str">
        <f>VLOOKUP(Tabela2[[#This Row],[Tag]],BD!A:J,10,0)</f>
        <v>7HV</v>
      </c>
      <c r="G46" s="31" t="str">
        <f>VLOOKUP(Tabela2[[#This Row],[Tag]],BD!$A:$V,20,0)</f>
        <v>E5WP000490-C-001-LC003</v>
      </c>
      <c r="H46" s="32" t="str">
        <f>IF(VLOOKUP(Tabela2[[#This Row],[Tag]],BD!A:T,17,0)=0,"",VLOOKUP(Tabela2[[#This Row],[Tag]],BD!A:T,17,0))</f>
        <v>5.2.13</v>
      </c>
      <c r="I46" s="140">
        <v>44136</v>
      </c>
      <c r="J46" s="155">
        <f>VLOOKUP(Tabela2[[#This Row],[Tag]],BD!$A:$AE,30,0)</f>
        <v>33</v>
      </c>
      <c r="K46" s="29">
        <f>SUMIF(B:B,Tabela2[[#This Row],[Tag]],C:C)/Tabela2[[#This Row],[Comprim. Real]]</f>
        <v>1</v>
      </c>
      <c r="L46" s="29" t="str">
        <f>VLOOKUP(Tabela2[[#This Row],[Tag]],BD!A:AF,32,0)</f>
        <v>7HV</v>
      </c>
      <c r="N46" s="21">
        <v>45</v>
      </c>
      <c r="O46" s="21" t="s">
        <v>563</v>
      </c>
      <c r="P46" s="21" t="s">
        <v>19</v>
      </c>
      <c r="Q46" s="26">
        <v>44245</v>
      </c>
      <c r="R46" s="27">
        <f>VLOOKUP(Tabela5[[#This Row],[Teste]],Referências!$D$2:$E$5,2,0)</f>
        <v>4</v>
      </c>
      <c r="S46" s="27" t="str">
        <f>Tabela5[[#This Row],[TAG]]&amp;"-"&amp;Tabela5[[#This Row],[COD_Test]]</f>
        <v>TR24B-M002-4</v>
      </c>
      <c r="T46" s="21" t="s">
        <v>1505</v>
      </c>
      <c r="U46" s="21" t="str">
        <f>VLOOKUP(Tabela5[[#This Row],[TAG]],BD!A:J,10,0)</f>
        <v>7HV</v>
      </c>
      <c r="V46" s="24" t="str">
        <f>VLOOKUP(Tabela5[[#This Row],[TAG]],BD!A:E,5,0)</f>
        <v>2x3x1/C#120</v>
      </c>
      <c r="W46" s="21">
        <v>6</v>
      </c>
      <c r="X46" s="245">
        <f>VLOOKUP(Tabela5[[#This Row],[TAG]],$AE:$AK,7,0)</f>
        <v>1</v>
      </c>
      <c r="Y46" s="245" t="str">
        <f>VLOOKUP(Tabela5[[#This Row],[TAG]],BD!A:P,14,0)</f>
        <v>---</v>
      </c>
      <c r="Z46" s="245" t="str">
        <f>VLOOKUP(Tabela5[[#This Row],[TAG]],BD!A:P,15,0)</f>
        <v>Sim</v>
      </c>
      <c r="AA46" s="245" t="str">
        <f>VLOOKUP(Tabela5[[#This Row],[TAG]],BD!A:P,16,0)</f>
        <v>Sim</v>
      </c>
      <c r="AB46" s="245"/>
      <c r="AD46" s="391">
        <v>45</v>
      </c>
      <c r="AE46" s="391" t="s">
        <v>573</v>
      </c>
      <c r="AF46" s="391" t="s">
        <v>92</v>
      </c>
      <c r="AG46" s="391">
        <v>2</v>
      </c>
      <c r="AH46" s="32">
        <v>44224</v>
      </c>
      <c r="AI46" s="391">
        <f>VLOOKUP(Tabela7[[#This Row],[TAG]],BD!$A:$V,19,0)</f>
        <v>2</v>
      </c>
      <c r="AJ46" s="23" t="str">
        <f>VLOOKUP(Tabela7[[#This Row],[TAG]],BD!A:J,10,0)</f>
        <v>7HV</v>
      </c>
      <c r="AK46" s="28">
        <f>SUMIF(AE:AE,Tabela7[[#This Row],[TAG]],AG:AG)/Tabela7[[#This Row],[Qtde Lig]]</f>
        <v>1</v>
      </c>
    </row>
    <row r="47" spans="1:37" x14ac:dyDescent="0.25">
      <c r="A47" s="391">
        <v>46</v>
      </c>
      <c r="B47" s="7" t="s">
        <v>559</v>
      </c>
      <c r="C47" s="391">
        <v>108</v>
      </c>
      <c r="D47" s="32">
        <v>44151</v>
      </c>
      <c r="E47" s="32" t="str">
        <f>VLOOKUP(Tabela2[[#This Row],[Tag]],BD!$A:$B,2,0)</f>
        <v>Força</v>
      </c>
      <c r="F47" s="32" t="str">
        <f>VLOOKUP(Tabela2[[#This Row],[Tag]],BD!A:J,10,0)</f>
        <v>7HV</v>
      </c>
      <c r="G47" s="31" t="str">
        <f>VLOOKUP(Tabela2[[#This Row],[Tag]],BD!$A:$V,20,0)</f>
        <v>E5WP000490-C-001-LC003</v>
      </c>
      <c r="H47" s="32" t="str">
        <f>IF(VLOOKUP(Tabela2[[#This Row],[Tag]],BD!A:T,17,0)=0,"",VLOOKUP(Tabela2[[#This Row],[Tag]],BD!A:T,17,0))</f>
        <v>5.2.13</v>
      </c>
      <c r="I47" s="140">
        <v>44136</v>
      </c>
      <c r="J47" s="155">
        <f>VLOOKUP(Tabela2[[#This Row],[Tag]],BD!$A:$AE,30,0)</f>
        <v>108</v>
      </c>
      <c r="K47" s="29">
        <f>SUMIF(B:B,Tabela2[[#This Row],[Tag]],C:C)/Tabela2[[#This Row],[Comprim. Real]]</f>
        <v>1</v>
      </c>
      <c r="L47" s="29" t="str">
        <f>VLOOKUP(Tabela2[[#This Row],[Tag]],BD!A:AF,32,0)</f>
        <v>7HV</v>
      </c>
      <c r="N47" s="21">
        <v>46</v>
      </c>
      <c r="O47" s="21" t="s">
        <v>563</v>
      </c>
      <c r="P47" s="21" t="s">
        <v>16</v>
      </c>
      <c r="Q47" s="26">
        <v>44245</v>
      </c>
      <c r="R47" s="27">
        <f>VLOOKUP(Tabela5[[#This Row],[Teste]],Referências!$D$2:$E$5,2,0)</f>
        <v>1</v>
      </c>
      <c r="S47" s="27" t="str">
        <f>Tabela5[[#This Row],[TAG]]&amp;"-"&amp;Tabela5[[#This Row],[COD_Test]]</f>
        <v>TR24B-M002-1</v>
      </c>
      <c r="T47" s="21" t="s">
        <v>1505</v>
      </c>
      <c r="U47" s="21" t="str">
        <f>VLOOKUP(Tabela5[[#This Row],[TAG]],BD!A:J,10,0)</f>
        <v>7HV</v>
      </c>
      <c r="V47" s="24" t="str">
        <f>VLOOKUP(Tabela5[[#This Row],[TAG]],BD!A:E,5,0)</f>
        <v>2x3x1/C#120</v>
      </c>
      <c r="W47" s="21">
        <v>6</v>
      </c>
      <c r="X47" s="256">
        <f>VLOOKUP(Tabela5[[#This Row],[TAG]],$AE:$AK,7,0)</f>
        <v>1</v>
      </c>
      <c r="Y47" s="256" t="str">
        <f>VLOOKUP(Tabela5[[#This Row],[TAG]],BD!A:P,14,0)</f>
        <v>---</v>
      </c>
      <c r="Z47" s="256" t="str">
        <f>VLOOKUP(Tabela5[[#This Row],[TAG]],BD!A:P,15,0)</f>
        <v>Sim</v>
      </c>
      <c r="AA47" s="256" t="str">
        <f>VLOOKUP(Tabela5[[#This Row],[TAG]],BD!A:P,16,0)</f>
        <v>Sim</v>
      </c>
      <c r="AB47" s="256"/>
      <c r="AD47" s="391">
        <v>46</v>
      </c>
      <c r="AE47" s="391" t="s">
        <v>498</v>
      </c>
      <c r="AF47" s="391" t="s">
        <v>92</v>
      </c>
      <c r="AG47" s="391">
        <v>2</v>
      </c>
      <c r="AH47" s="32">
        <v>44224</v>
      </c>
      <c r="AI47" s="391">
        <f>VLOOKUP(Tabela7[[#This Row],[TAG]],BD!$A:$V,19,0)</f>
        <v>2</v>
      </c>
      <c r="AJ47" s="23" t="str">
        <f>VLOOKUP(Tabela7[[#This Row],[TAG]],BD!A:J,10,0)</f>
        <v>7HV</v>
      </c>
      <c r="AK47" s="28">
        <f>SUMIF(AE:AE,Tabela7[[#This Row],[TAG]],AG:AG)/Tabela7[[#This Row],[Qtde Lig]]</f>
        <v>1</v>
      </c>
    </row>
    <row r="48" spans="1:37" x14ac:dyDescent="0.25">
      <c r="A48" s="391">
        <v>47</v>
      </c>
      <c r="B48" s="7" t="s">
        <v>561</v>
      </c>
      <c r="C48" s="391">
        <v>108</v>
      </c>
      <c r="D48" s="32">
        <v>44151</v>
      </c>
      <c r="E48" s="32" t="str">
        <f>VLOOKUP(Tabela2[[#This Row],[Tag]],BD!$A:$B,2,0)</f>
        <v>Força</v>
      </c>
      <c r="F48" s="32" t="str">
        <f>VLOOKUP(Tabela2[[#This Row],[Tag]],BD!A:J,10,0)</f>
        <v>7HV</v>
      </c>
      <c r="G48" s="31" t="str">
        <f>VLOOKUP(Tabela2[[#This Row],[Tag]],BD!$A:$V,20,0)</f>
        <v>E5WP000490-C-001-LC003</v>
      </c>
      <c r="H48" s="32" t="str">
        <f>IF(VLOOKUP(Tabela2[[#This Row],[Tag]],BD!A:T,17,0)=0,"",VLOOKUP(Tabela2[[#This Row],[Tag]],BD!A:T,17,0))</f>
        <v>5.2.13</v>
      </c>
      <c r="I48" s="140">
        <v>44136</v>
      </c>
      <c r="J48" s="155">
        <f>VLOOKUP(Tabela2[[#This Row],[Tag]],BD!$A:$AE,30,0)</f>
        <v>108</v>
      </c>
      <c r="K48" s="29">
        <f>SUMIF(B:B,Tabela2[[#This Row],[Tag]],C:C)/Tabela2[[#This Row],[Comprim. Real]]</f>
        <v>1</v>
      </c>
      <c r="L48" s="29" t="str">
        <f>VLOOKUP(Tabela2[[#This Row],[Tag]],BD!A:AF,32,0)</f>
        <v>7HV</v>
      </c>
      <c r="N48" s="21">
        <v>47</v>
      </c>
      <c r="O48" s="21" t="s">
        <v>563</v>
      </c>
      <c r="P48" s="21" t="s">
        <v>18</v>
      </c>
      <c r="Q48" s="26">
        <v>44245</v>
      </c>
      <c r="R48" s="27">
        <f>VLOOKUP(Tabela5[[#This Row],[Teste]],Referências!$D$2:$E$5,2,0)</f>
        <v>3</v>
      </c>
      <c r="S48" s="27" t="str">
        <f>Tabela5[[#This Row],[TAG]]&amp;"-"&amp;Tabela5[[#This Row],[COD_Test]]</f>
        <v>TR24B-M002-3</v>
      </c>
      <c r="T48" s="21" t="s">
        <v>1505</v>
      </c>
      <c r="U48" s="21" t="str">
        <f>VLOOKUP(Tabela5[[#This Row],[TAG]],BD!A:J,10,0)</f>
        <v>7HV</v>
      </c>
      <c r="V48" s="24" t="str">
        <f>VLOOKUP(Tabela5[[#This Row],[TAG]],BD!A:E,5,0)</f>
        <v>2x3x1/C#120</v>
      </c>
      <c r="W48" s="21">
        <v>6</v>
      </c>
      <c r="X48" s="256">
        <f>VLOOKUP(Tabela5[[#This Row],[TAG]],$AE:$AK,7,0)</f>
        <v>1</v>
      </c>
      <c r="Y48" s="256" t="str">
        <f>VLOOKUP(Tabela5[[#This Row],[TAG]],BD!A:P,14,0)</f>
        <v>---</v>
      </c>
      <c r="Z48" s="256" t="str">
        <f>VLOOKUP(Tabela5[[#This Row],[TAG]],BD!A:P,15,0)</f>
        <v>Sim</v>
      </c>
      <c r="AA48" s="256" t="str">
        <f>VLOOKUP(Tabela5[[#This Row],[TAG]],BD!A:P,16,0)</f>
        <v>Sim</v>
      </c>
      <c r="AB48" s="256"/>
      <c r="AD48" s="391">
        <v>47</v>
      </c>
      <c r="AE48" s="391" t="s">
        <v>542</v>
      </c>
      <c r="AF48" s="391" t="s">
        <v>92</v>
      </c>
      <c r="AG48" s="391">
        <v>6</v>
      </c>
      <c r="AH48" s="32">
        <v>44224</v>
      </c>
      <c r="AI48" s="391">
        <f>VLOOKUP(Tabela7[[#This Row],[TAG]],BD!$A:$V,19,0)</f>
        <v>6</v>
      </c>
      <c r="AJ48" s="23" t="str">
        <f>VLOOKUP(Tabela7[[#This Row],[TAG]],BD!A:J,10,0)</f>
        <v>7HV</v>
      </c>
      <c r="AK48" s="28">
        <f>SUMIF(AE:AE,Tabela7[[#This Row],[TAG]],AG:AG)/Tabela7[[#This Row],[Qtde Lig]]</f>
        <v>1</v>
      </c>
    </row>
    <row r="49" spans="1:37" x14ac:dyDescent="0.25">
      <c r="A49" s="391">
        <v>48</v>
      </c>
      <c r="B49" s="7" t="s">
        <v>562</v>
      </c>
      <c r="C49" s="391">
        <v>96</v>
      </c>
      <c r="D49" s="32">
        <v>44151</v>
      </c>
      <c r="E49" s="32" t="str">
        <f>VLOOKUP(Tabela2[[#This Row],[Tag]],BD!$A:$B,2,0)</f>
        <v>Força</v>
      </c>
      <c r="F49" s="32" t="str">
        <f>VLOOKUP(Tabela2[[#This Row],[Tag]],BD!A:J,10,0)</f>
        <v>7HV</v>
      </c>
      <c r="G49" s="31" t="str">
        <f>VLOOKUP(Tabela2[[#This Row],[Tag]],BD!$A:$V,20,0)</f>
        <v>E5WP000490-C-001-LC003</v>
      </c>
      <c r="H49" s="32" t="str">
        <f>IF(VLOOKUP(Tabela2[[#This Row],[Tag]],BD!A:T,17,0)=0,"",VLOOKUP(Tabela2[[#This Row],[Tag]],BD!A:T,17,0))</f>
        <v>5.2.13</v>
      </c>
      <c r="I49" s="140">
        <v>44136</v>
      </c>
      <c r="J49" s="155">
        <f>VLOOKUP(Tabela2[[#This Row],[Tag]],BD!$A:$AE,30,0)</f>
        <v>96</v>
      </c>
      <c r="K49" s="29">
        <f>SUMIF(B:B,Tabela2[[#This Row],[Tag]],C:C)/Tabela2[[#This Row],[Comprim. Real]]</f>
        <v>1</v>
      </c>
      <c r="L49" s="29" t="str">
        <f>VLOOKUP(Tabela2[[#This Row],[Tag]],BD!A:AF,32,0)</f>
        <v>7HV</v>
      </c>
      <c r="N49" s="21">
        <v>48</v>
      </c>
      <c r="O49" s="21" t="s">
        <v>889</v>
      </c>
      <c r="P49" s="21" t="s">
        <v>16</v>
      </c>
      <c r="Q49" s="26">
        <v>44245</v>
      </c>
      <c r="R49" s="27">
        <f>VLOOKUP(Tabela5[[#This Row],[Teste]],Referências!$D$2:$E$5,2,0)</f>
        <v>1</v>
      </c>
      <c r="S49" s="27" t="str">
        <f>Tabela5[[#This Row],[TAG]]&amp;"-"&amp;Tabela5[[#This Row],[COD_Test]]</f>
        <v>TRN-01-TCC33-001F-1</v>
      </c>
      <c r="T49" s="21" t="s">
        <v>1505</v>
      </c>
      <c r="U49" s="21" t="str">
        <f>VLOOKUP(Tabela5[[#This Row],[TAG]],BD!A:J,10,0)</f>
        <v>8HV</v>
      </c>
      <c r="V49" s="3" t="str">
        <f>VLOOKUP(Tabela5[[#This Row],[TAG]],BD!A:E,5,0)</f>
        <v>1x1x4/C#16</v>
      </c>
      <c r="W49" s="21">
        <v>4</v>
      </c>
      <c r="X49" s="245">
        <f>VLOOKUP(Tabela5[[#This Row],[TAG]],$AE:$AK,7,0)</f>
        <v>1</v>
      </c>
      <c r="Y49" s="245" t="str">
        <f>VLOOKUP(Tabela5[[#This Row],[TAG]],BD!A:P,14,0)</f>
        <v>---</v>
      </c>
      <c r="Z49" s="245" t="str">
        <f>VLOOKUP(Tabela5[[#This Row],[TAG]],BD!A:P,15,0)</f>
        <v>Sim</v>
      </c>
      <c r="AA49" s="245" t="str">
        <f>VLOOKUP(Tabela5[[#This Row],[TAG]],BD!A:P,16,0)</f>
        <v>---</v>
      </c>
      <c r="AB49" s="245"/>
      <c r="AD49" s="391">
        <v>48</v>
      </c>
      <c r="AE49" s="391" t="s">
        <v>544</v>
      </c>
      <c r="AF49" s="391" t="s">
        <v>92</v>
      </c>
      <c r="AG49" s="391">
        <v>6</v>
      </c>
      <c r="AH49" s="32">
        <v>44224</v>
      </c>
      <c r="AI49" s="391">
        <f>VLOOKUP(Tabela7[[#This Row],[TAG]],BD!$A:$V,19,0)</f>
        <v>6</v>
      </c>
      <c r="AJ49" s="23" t="str">
        <f>VLOOKUP(Tabela7[[#This Row],[TAG]],BD!A:J,10,0)</f>
        <v>7HV</v>
      </c>
      <c r="AK49" s="28">
        <f>SUMIF(AE:AE,Tabela7[[#This Row],[TAG]],AG:AG)/Tabela7[[#This Row],[Qtde Lig]]</f>
        <v>1</v>
      </c>
    </row>
    <row r="50" spans="1:37" x14ac:dyDescent="0.25">
      <c r="A50" s="391">
        <v>49</v>
      </c>
      <c r="B50" s="7" t="s">
        <v>563</v>
      </c>
      <c r="C50" s="391">
        <v>96</v>
      </c>
      <c r="D50" s="32">
        <v>44151</v>
      </c>
      <c r="E50" s="32" t="str">
        <f>VLOOKUP(Tabela2[[#This Row],[Tag]],BD!$A:$B,2,0)</f>
        <v>Força</v>
      </c>
      <c r="F50" s="32" t="str">
        <f>VLOOKUP(Tabela2[[#This Row],[Tag]],BD!A:J,10,0)</f>
        <v>7HV</v>
      </c>
      <c r="G50" s="31" t="str">
        <f>VLOOKUP(Tabela2[[#This Row],[Tag]],BD!$A:$V,20,0)</f>
        <v>E5WP000490-C-001-LC003</v>
      </c>
      <c r="H50" s="32" t="str">
        <f>IF(VLOOKUP(Tabela2[[#This Row],[Tag]],BD!A:T,17,0)=0,"",VLOOKUP(Tabela2[[#This Row],[Tag]],BD!A:T,17,0))</f>
        <v>5.2.13</v>
      </c>
      <c r="I50" s="140">
        <v>44136</v>
      </c>
      <c r="J50" s="155">
        <f>VLOOKUP(Tabela2[[#This Row],[Tag]],BD!$A:$AE,30,0)</f>
        <v>96</v>
      </c>
      <c r="K50" s="29">
        <f>SUMIF(B:B,Tabela2[[#This Row],[Tag]],C:C)/Tabela2[[#This Row],[Comprim. Real]]</f>
        <v>1</v>
      </c>
      <c r="L50" s="29" t="str">
        <f>VLOOKUP(Tabela2[[#This Row],[Tag]],BD!A:AF,32,0)</f>
        <v>7HV</v>
      </c>
      <c r="N50" s="21">
        <v>49</v>
      </c>
      <c r="O50" s="21" t="s">
        <v>889</v>
      </c>
      <c r="P50" s="21" t="s">
        <v>18</v>
      </c>
      <c r="Q50" s="26">
        <v>44245</v>
      </c>
      <c r="R50" s="27">
        <f>VLOOKUP(Tabela5[[#This Row],[Teste]],Referências!$D$2:$E$5,2,0)</f>
        <v>3</v>
      </c>
      <c r="S50" s="27" t="str">
        <f>Tabela5[[#This Row],[TAG]]&amp;"-"&amp;Tabela5[[#This Row],[COD_Test]]</f>
        <v>TRN-01-TCC33-001F-3</v>
      </c>
      <c r="T50" s="21" t="s">
        <v>1505</v>
      </c>
      <c r="U50" s="21" t="str">
        <f>VLOOKUP(Tabela5[[#This Row],[TAG]],BD!A:J,10,0)</f>
        <v>8HV</v>
      </c>
      <c r="V50" s="24" t="str">
        <f>VLOOKUP(Tabela5[[#This Row],[TAG]],BD!A:E,5,0)</f>
        <v>1x1x4/C#16</v>
      </c>
      <c r="W50" s="21">
        <v>4</v>
      </c>
      <c r="X50" s="256">
        <f>VLOOKUP(Tabela5[[#This Row],[TAG]],$AE:$AK,7,0)</f>
        <v>1</v>
      </c>
      <c r="Y50" s="256" t="str">
        <f>VLOOKUP(Tabela5[[#This Row],[TAG]],BD!A:P,14,0)</f>
        <v>---</v>
      </c>
      <c r="Z50" s="256" t="str">
        <f>VLOOKUP(Tabela5[[#This Row],[TAG]],BD!A:P,15,0)</f>
        <v>Sim</v>
      </c>
      <c r="AA50" s="256" t="str">
        <f>VLOOKUP(Tabela5[[#This Row],[TAG]],BD!A:P,16,0)</f>
        <v>---</v>
      </c>
      <c r="AB50" s="256"/>
      <c r="AD50" s="391">
        <v>49</v>
      </c>
      <c r="AE50" s="391" t="s">
        <v>545</v>
      </c>
      <c r="AF50" s="391" t="s">
        <v>92</v>
      </c>
      <c r="AG50" s="391">
        <v>6</v>
      </c>
      <c r="AH50" s="32">
        <v>44224</v>
      </c>
      <c r="AI50" s="391">
        <f>VLOOKUP(Tabela7[[#This Row],[TAG]],BD!$A:$V,19,0)</f>
        <v>6</v>
      </c>
      <c r="AJ50" s="23" t="str">
        <f>VLOOKUP(Tabela7[[#This Row],[TAG]],BD!A:J,10,0)</f>
        <v>7HV</v>
      </c>
      <c r="AK50" s="28">
        <f>SUMIF(AE:AE,Tabela7[[#This Row],[TAG]],AG:AG)/Tabela7[[#This Row],[Qtde Lig]]</f>
        <v>1</v>
      </c>
    </row>
    <row r="51" spans="1:37" x14ac:dyDescent="0.25">
      <c r="A51" s="391">
        <v>50</v>
      </c>
      <c r="B51" s="7" t="s">
        <v>557</v>
      </c>
      <c r="C51" s="391">
        <v>18</v>
      </c>
      <c r="D51" s="32">
        <v>44152</v>
      </c>
      <c r="E51" s="32" t="str">
        <f>VLOOKUP(Tabela2[[#This Row],[Tag]],BD!$A:$B,2,0)</f>
        <v>Controle</v>
      </c>
      <c r="F51" s="32" t="str">
        <f>VLOOKUP(Tabela2[[#This Row],[Tag]],BD!A:J,10,0)</f>
        <v>7HV</v>
      </c>
      <c r="G51" s="31" t="str">
        <f>VLOOKUP(Tabela2[[#This Row],[Tag]],BD!$A:$V,20,0)</f>
        <v>E5WP000490-C-001-LC004</v>
      </c>
      <c r="H51" s="32" t="str">
        <f>IF(VLOOKUP(Tabela2[[#This Row],[Tag]],BD!A:T,17,0)=0,"",VLOOKUP(Tabela2[[#This Row],[Tag]],BD!A:T,17,0))</f>
        <v>4.6.1</v>
      </c>
      <c r="I51" s="140">
        <v>44136</v>
      </c>
      <c r="J51" s="155">
        <f>VLOOKUP(Tabela2[[#This Row],[Tag]],BD!$A:$AE,30,0)</f>
        <v>18</v>
      </c>
      <c r="K51" s="29">
        <f>SUMIF(B:B,Tabela2[[#This Row],[Tag]],C:C)/Tabela2[[#This Row],[Comprim. Real]]</f>
        <v>1</v>
      </c>
      <c r="L51" s="29" t="str">
        <f>VLOOKUP(Tabela2[[#This Row],[Tag]],BD!A:AF,32,0)</f>
        <v>7HV</v>
      </c>
      <c r="N51" s="21">
        <v>50</v>
      </c>
      <c r="O51" s="21" t="s">
        <v>833</v>
      </c>
      <c r="P51" s="21" t="s">
        <v>16</v>
      </c>
      <c r="Q51" s="26">
        <v>44250</v>
      </c>
      <c r="R51" s="27">
        <f>VLOOKUP(Tabela5[[#This Row],[Teste]],Referências!$D$2:$E$5,2,0)</f>
        <v>1</v>
      </c>
      <c r="S51" s="27" t="str">
        <f>Tabela5[[#This Row],[TAG]]&amp;"-"&amp;Tabela5[[#This Row],[COD_Test]]</f>
        <v>PSINC2-8HV-001C-1</v>
      </c>
      <c r="T51" s="21" t="s">
        <v>1505</v>
      </c>
      <c r="U51" s="21" t="str">
        <f>VLOOKUP(Tabela5[[#This Row],[TAG]],BD!A:J,10,0)</f>
        <v>8HV</v>
      </c>
      <c r="V51" s="24" t="str">
        <f>VLOOKUP(Tabela5[[#This Row],[TAG]],BD!A:E,5,0)</f>
        <v>1x1x9/C#2,5</v>
      </c>
      <c r="W51" s="21">
        <v>6</v>
      </c>
      <c r="X51" s="256">
        <f>VLOOKUP(Tabela5[[#This Row],[TAG]],$AE:$AK,7,0)</f>
        <v>1</v>
      </c>
      <c r="Y51" s="256" t="str">
        <f>VLOOKUP(Tabela5[[#This Row],[TAG]],BD!A:P,14,0)</f>
        <v>Sim</v>
      </c>
      <c r="Z51" s="256" t="str">
        <f>VLOOKUP(Tabela5[[#This Row],[TAG]],BD!A:P,15,0)</f>
        <v>---</v>
      </c>
      <c r="AA51" s="256" t="str">
        <f>VLOOKUP(Tabela5[[#This Row],[TAG]],BD!A:P,16,0)</f>
        <v>---</v>
      </c>
      <c r="AB51" s="256"/>
      <c r="AD51" s="391">
        <v>50</v>
      </c>
      <c r="AE51" s="391" t="s">
        <v>546</v>
      </c>
      <c r="AF51" s="391" t="s">
        <v>92</v>
      </c>
      <c r="AG51" s="391">
        <v>6</v>
      </c>
      <c r="AH51" s="32">
        <v>44224</v>
      </c>
      <c r="AI51" s="391">
        <f>VLOOKUP(Tabela7[[#This Row],[TAG]],BD!$A:$V,19,0)</f>
        <v>6</v>
      </c>
      <c r="AJ51" s="23" t="str">
        <f>VLOOKUP(Tabela7[[#This Row],[TAG]],BD!A:J,10,0)</f>
        <v>7HV</v>
      </c>
      <c r="AK51" s="28">
        <f>SUMIF(AE:AE,Tabela7[[#This Row],[TAG]],AG:AG)/Tabela7[[#This Row],[Qtde Lig]]</f>
        <v>1</v>
      </c>
    </row>
    <row r="52" spans="1:37" x14ac:dyDescent="0.25">
      <c r="A52" s="391">
        <v>51</v>
      </c>
      <c r="B52" s="7" t="s">
        <v>463</v>
      </c>
      <c r="C52" s="391">
        <v>11</v>
      </c>
      <c r="D52" s="32">
        <v>44152</v>
      </c>
      <c r="E52" s="32" t="str">
        <f>VLOOKUP(Tabela2[[#This Row],[Tag]],BD!$A:$B,2,0)</f>
        <v>Controle</v>
      </c>
      <c r="F52" s="32" t="str">
        <f>VLOOKUP(Tabela2[[#This Row],[Tag]],BD!A:J,10,0)</f>
        <v>7HV</v>
      </c>
      <c r="G52" s="31" t="str">
        <f>VLOOKUP(Tabela2[[#This Row],[Tag]],BD!$A:$V,20,0)</f>
        <v>E5WP000490-C-001-LC004</v>
      </c>
      <c r="H52" s="32" t="str">
        <f>IF(VLOOKUP(Tabela2[[#This Row],[Tag]],BD!A:T,17,0)=0,"",VLOOKUP(Tabela2[[#This Row],[Tag]],BD!A:T,17,0))</f>
        <v>4.6.1</v>
      </c>
      <c r="I52" s="140">
        <v>44136</v>
      </c>
      <c r="J52" s="155">
        <f>VLOOKUP(Tabela2[[#This Row],[Tag]],BD!$A:$AE,30,0)</f>
        <v>11</v>
      </c>
      <c r="K52" s="29">
        <f>SUMIF(B:B,Tabela2[[#This Row],[Tag]],C:C)/Tabela2[[#This Row],[Comprim. Real]]</f>
        <v>1</v>
      </c>
      <c r="L52" s="29" t="str">
        <f>VLOOKUP(Tabela2[[#This Row],[Tag]],BD!A:AF,32,0)</f>
        <v>7HV</v>
      </c>
      <c r="N52" s="21">
        <v>51</v>
      </c>
      <c r="O52" s="21" t="s">
        <v>833</v>
      </c>
      <c r="P52" s="21" t="s">
        <v>17</v>
      </c>
      <c r="Q52" s="26">
        <v>44250</v>
      </c>
      <c r="R52" s="27">
        <f>VLOOKUP(Tabela5[[#This Row],[Teste]],Referências!$D$2:$E$5,2,0)</f>
        <v>2</v>
      </c>
      <c r="S52" s="27" t="str">
        <f>Tabela5[[#This Row],[TAG]]&amp;"-"&amp;Tabela5[[#This Row],[COD_Test]]</f>
        <v>PSINC2-8HV-001C-2</v>
      </c>
      <c r="T52" s="21" t="s">
        <v>1505</v>
      </c>
      <c r="U52" s="21" t="str">
        <f>VLOOKUP(Tabela5[[#This Row],[TAG]],BD!A:J,10,0)</f>
        <v>8HV</v>
      </c>
      <c r="V52" s="24" t="str">
        <f>VLOOKUP(Tabela5[[#This Row],[TAG]],BD!A:E,5,0)</f>
        <v>1x1x9/C#2,5</v>
      </c>
      <c r="W52" s="21">
        <v>6</v>
      </c>
      <c r="X52" s="256">
        <f>VLOOKUP(Tabela5[[#This Row],[TAG]],$AE:$AK,7,0)</f>
        <v>1</v>
      </c>
      <c r="Y52" s="256" t="str">
        <f>VLOOKUP(Tabela5[[#This Row],[TAG]],BD!A:P,14,0)</f>
        <v>Sim</v>
      </c>
      <c r="Z52" s="256" t="str">
        <f>VLOOKUP(Tabela5[[#This Row],[TAG]],BD!A:P,15,0)</f>
        <v>---</v>
      </c>
      <c r="AA52" s="256" t="str">
        <f>VLOOKUP(Tabela5[[#This Row],[TAG]],BD!A:P,16,0)</f>
        <v>---</v>
      </c>
      <c r="AB52" s="256" t="s">
        <v>85</v>
      </c>
      <c r="AD52" s="391">
        <v>51</v>
      </c>
      <c r="AE52" s="391" t="s">
        <v>559</v>
      </c>
      <c r="AF52" s="391" t="s">
        <v>92</v>
      </c>
      <c r="AG52" s="391">
        <v>6</v>
      </c>
      <c r="AH52" s="32">
        <v>44224</v>
      </c>
      <c r="AI52" s="391">
        <f>VLOOKUP(Tabela7[[#This Row],[TAG]],BD!$A:$V,19,0)</f>
        <v>12</v>
      </c>
      <c r="AJ52" s="23" t="str">
        <f>VLOOKUP(Tabela7[[#This Row],[TAG]],BD!A:J,10,0)</f>
        <v>7HV</v>
      </c>
      <c r="AK52" s="28">
        <f>SUMIF(AE:AE,Tabela7[[#This Row],[TAG]],AG:AG)/Tabela7[[#This Row],[Qtde Lig]]</f>
        <v>1</v>
      </c>
    </row>
    <row r="53" spans="1:37" x14ac:dyDescent="0.25">
      <c r="A53" s="391">
        <v>52</v>
      </c>
      <c r="B53" s="7" t="s">
        <v>467</v>
      </c>
      <c r="C53" s="391">
        <v>11</v>
      </c>
      <c r="D53" s="32">
        <v>44152</v>
      </c>
      <c r="E53" s="32" t="str">
        <f>VLOOKUP(Tabela2[[#This Row],[Tag]],BD!$A:$B,2,0)</f>
        <v>Controle</v>
      </c>
      <c r="F53" s="32" t="str">
        <f>VLOOKUP(Tabela2[[#This Row],[Tag]],BD!A:J,10,0)</f>
        <v>7HV</v>
      </c>
      <c r="G53" s="31" t="str">
        <f>VLOOKUP(Tabela2[[#This Row],[Tag]],BD!$A:$V,20,0)</f>
        <v>E5WP000490-C-001-LC004</v>
      </c>
      <c r="H53" s="32" t="str">
        <f>IF(VLOOKUP(Tabela2[[#This Row],[Tag]],BD!A:T,17,0)=0,"",VLOOKUP(Tabela2[[#This Row],[Tag]],BD!A:T,17,0))</f>
        <v>4.6.1</v>
      </c>
      <c r="I53" s="140">
        <v>44136</v>
      </c>
      <c r="J53" s="155">
        <f>VLOOKUP(Tabela2[[#This Row],[Tag]],BD!$A:$AE,30,0)</f>
        <v>11</v>
      </c>
      <c r="K53" s="29">
        <f>SUMIF(B:B,Tabela2[[#This Row],[Tag]],C:C)/Tabela2[[#This Row],[Comprim. Real]]</f>
        <v>1</v>
      </c>
      <c r="L53" s="29" t="str">
        <f>VLOOKUP(Tabela2[[#This Row],[Tag]],BD!A:AF,32,0)</f>
        <v>7HV</v>
      </c>
      <c r="N53" s="21">
        <v>52</v>
      </c>
      <c r="O53" s="21" t="s">
        <v>846</v>
      </c>
      <c r="P53" s="21" t="s">
        <v>16</v>
      </c>
      <c r="Q53" s="26">
        <v>44250</v>
      </c>
      <c r="R53" s="27">
        <f>VLOOKUP(Tabela5[[#This Row],[Teste]],Referências!$D$2:$E$5,2,0)</f>
        <v>1</v>
      </c>
      <c r="S53" s="27" t="str">
        <f>Tabela5[[#This Row],[TAG]]&amp;"-"&amp;Tabela5[[#This Row],[COD_Test]]</f>
        <v>PSINC2-8HV-007C-1</v>
      </c>
      <c r="T53" s="21" t="s">
        <v>1505</v>
      </c>
      <c r="U53" s="21" t="str">
        <f>VLOOKUP(Tabela5[[#This Row],[TAG]],BD!A:J,10,0)</f>
        <v>8HV</v>
      </c>
      <c r="V53" s="24" t="str">
        <f>VLOOKUP(Tabela5[[#This Row],[TAG]],BD!A:E,5,0)</f>
        <v>1x1x9/C#2,5</v>
      </c>
      <c r="W53" s="21">
        <v>9</v>
      </c>
      <c r="X53" s="256">
        <f>VLOOKUP(Tabela5[[#This Row],[TAG]],$AE:$AK,7,0)</f>
        <v>1</v>
      </c>
      <c r="Y53" s="256" t="str">
        <f>VLOOKUP(Tabela5[[#This Row],[TAG]],BD!A:P,14,0)</f>
        <v>Sim</v>
      </c>
      <c r="Z53" s="256" t="str">
        <f>VLOOKUP(Tabela5[[#This Row],[TAG]],BD!A:P,15,0)</f>
        <v>---</v>
      </c>
      <c r="AA53" s="256" t="str">
        <f>VLOOKUP(Tabela5[[#This Row],[TAG]],BD!A:P,16,0)</f>
        <v>---</v>
      </c>
      <c r="AB53" s="256"/>
      <c r="AD53" s="391">
        <v>52</v>
      </c>
      <c r="AE53" s="391" t="s">
        <v>561</v>
      </c>
      <c r="AF53" s="391" t="s">
        <v>92</v>
      </c>
      <c r="AG53" s="391">
        <v>6</v>
      </c>
      <c r="AH53" s="32">
        <v>44224</v>
      </c>
      <c r="AI53" s="391">
        <f>VLOOKUP(Tabela7[[#This Row],[TAG]],BD!$A:$V,19,0)</f>
        <v>12</v>
      </c>
      <c r="AJ53" s="23" t="str">
        <f>VLOOKUP(Tabela7[[#This Row],[TAG]],BD!A:J,10,0)</f>
        <v>7HV</v>
      </c>
      <c r="AK53" s="28">
        <f>SUMIF(AE:AE,Tabela7[[#This Row],[TAG]],AG:AG)/Tabela7[[#This Row],[Qtde Lig]]</f>
        <v>1</v>
      </c>
    </row>
    <row r="54" spans="1:37" x14ac:dyDescent="0.25">
      <c r="A54" s="391">
        <v>53</v>
      </c>
      <c r="B54" s="7" t="s">
        <v>475</v>
      </c>
      <c r="C54" s="391">
        <v>11</v>
      </c>
      <c r="D54" s="32">
        <v>44152</v>
      </c>
      <c r="E54" s="32" t="str">
        <f>VLOOKUP(Tabela2[[#This Row],[Tag]],BD!$A:$B,2,0)</f>
        <v>Controle</v>
      </c>
      <c r="F54" s="32" t="str">
        <f>VLOOKUP(Tabela2[[#This Row],[Tag]],BD!A:J,10,0)</f>
        <v>7HV</v>
      </c>
      <c r="G54" s="31" t="str">
        <f>VLOOKUP(Tabela2[[#This Row],[Tag]],BD!$A:$V,20,0)</f>
        <v>E5WP000490-C-001-LC004</v>
      </c>
      <c r="H54" s="32" t="str">
        <f>IF(VLOOKUP(Tabela2[[#This Row],[Tag]],BD!A:T,17,0)=0,"",VLOOKUP(Tabela2[[#This Row],[Tag]],BD!A:T,17,0))</f>
        <v>4.6.1</v>
      </c>
      <c r="I54" s="140">
        <v>44136</v>
      </c>
      <c r="J54" s="155">
        <f>VLOOKUP(Tabela2[[#This Row],[Tag]],BD!$A:$AE,30,0)</f>
        <v>11</v>
      </c>
      <c r="K54" s="29">
        <f>SUMIF(B:B,Tabela2[[#This Row],[Tag]],C:C)/Tabela2[[#This Row],[Comprim. Real]]</f>
        <v>1</v>
      </c>
      <c r="L54" s="29" t="str">
        <f>VLOOKUP(Tabela2[[#This Row],[Tag]],BD!A:AF,32,0)</f>
        <v>7HV</v>
      </c>
      <c r="N54" s="21">
        <v>53</v>
      </c>
      <c r="O54" s="21" t="s">
        <v>846</v>
      </c>
      <c r="P54" s="21" t="s">
        <v>17</v>
      </c>
      <c r="Q54" s="26">
        <v>44250</v>
      </c>
      <c r="R54" s="27">
        <f>VLOOKUP(Tabela5[[#This Row],[Teste]],Referências!$D$2:$E$5,2,0)</f>
        <v>2</v>
      </c>
      <c r="S54" s="27" t="str">
        <f>Tabela5[[#This Row],[TAG]]&amp;"-"&amp;Tabela5[[#This Row],[COD_Test]]</f>
        <v>PSINC2-8HV-007C-2</v>
      </c>
      <c r="T54" s="21" t="s">
        <v>1505</v>
      </c>
      <c r="U54" s="21" t="str">
        <f>VLOOKUP(Tabela5[[#This Row],[TAG]],BD!A:J,10,0)</f>
        <v>8HV</v>
      </c>
      <c r="V54" s="24" t="str">
        <f>VLOOKUP(Tabela5[[#This Row],[TAG]],BD!A:E,5,0)</f>
        <v>1x1x9/C#2,5</v>
      </c>
      <c r="W54" s="21">
        <v>9</v>
      </c>
      <c r="X54" s="256">
        <f>VLOOKUP(Tabela5[[#This Row],[TAG]],$AE:$AK,7,0)</f>
        <v>1</v>
      </c>
      <c r="Y54" s="256" t="str">
        <f>VLOOKUP(Tabela5[[#This Row],[TAG]],BD!A:P,14,0)</f>
        <v>Sim</v>
      </c>
      <c r="Z54" s="256" t="str">
        <f>VLOOKUP(Tabela5[[#This Row],[TAG]],BD!A:P,15,0)</f>
        <v>---</v>
      </c>
      <c r="AA54" s="256" t="str">
        <f>VLOOKUP(Tabela5[[#This Row],[TAG]],BD!A:P,16,0)</f>
        <v>---</v>
      </c>
      <c r="AB54" s="256" t="s">
        <v>85</v>
      </c>
      <c r="AD54" s="391">
        <v>53</v>
      </c>
      <c r="AE54" s="391" t="s">
        <v>562</v>
      </c>
      <c r="AF54" s="391" t="s">
        <v>92</v>
      </c>
      <c r="AG54" s="391">
        <v>6</v>
      </c>
      <c r="AH54" s="32">
        <v>44224</v>
      </c>
      <c r="AI54" s="391">
        <f>VLOOKUP(Tabela7[[#This Row],[TAG]],BD!$A:$V,19,0)</f>
        <v>12</v>
      </c>
      <c r="AJ54" s="23" t="str">
        <f>VLOOKUP(Tabela7[[#This Row],[TAG]],BD!A:J,10,0)</f>
        <v>7HV</v>
      </c>
      <c r="AK54" s="28">
        <f>SUMIF(AE:AE,Tabela7[[#This Row],[TAG]],AG:AG)/Tabela7[[#This Row],[Qtde Lig]]</f>
        <v>1</v>
      </c>
    </row>
    <row r="55" spans="1:37" x14ac:dyDescent="0.25">
      <c r="A55" s="391">
        <v>54</v>
      </c>
      <c r="B55" s="7" t="s">
        <v>565</v>
      </c>
      <c r="C55" s="391">
        <v>19</v>
      </c>
      <c r="D55" s="32">
        <v>44152</v>
      </c>
      <c r="E55" s="32" t="str">
        <f>VLOOKUP(Tabela2[[#This Row],[Tag]],BD!$A:$B,2,0)</f>
        <v>Controle</v>
      </c>
      <c r="F55" s="32" t="str">
        <f>VLOOKUP(Tabela2[[#This Row],[Tag]],BD!A:J,10,0)</f>
        <v>7HV</v>
      </c>
      <c r="G55" s="31" t="str">
        <f>VLOOKUP(Tabela2[[#This Row],[Tag]],BD!$A:$V,20,0)</f>
        <v>E5WP000490-C-001-LC004</v>
      </c>
      <c r="H55" s="32" t="str">
        <f>IF(VLOOKUP(Tabela2[[#This Row],[Tag]],BD!A:T,17,0)=0,"",VLOOKUP(Tabela2[[#This Row],[Tag]],BD!A:T,17,0))</f>
        <v>4.6.1</v>
      </c>
      <c r="I55" s="140">
        <v>44136</v>
      </c>
      <c r="J55" s="155">
        <f>VLOOKUP(Tabela2[[#This Row],[Tag]],BD!$A:$AE,30,0)</f>
        <v>19</v>
      </c>
      <c r="K55" s="29">
        <f>SUMIF(B:B,Tabela2[[#This Row],[Tag]],C:C)/Tabela2[[#This Row],[Comprim. Real]]</f>
        <v>1</v>
      </c>
      <c r="L55" s="29" t="str">
        <f>VLOOKUP(Tabela2[[#This Row],[Tag]],BD!A:AF,32,0)</f>
        <v>7HV</v>
      </c>
      <c r="N55" s="21">
        <v>54</v>
      </c>
      <c r="O55" s="21" t="s">
        <v>848</v>
      </c>
      <c r="P55" s="21" t="s">
        <v>16</v>
      </c>
      <c r="Q55" s="26">
        <v>44250</v>
      </c>
      <c r="R55" s="27">
        <f>VLOOKUP(Tabela5[[#This Row],[Teste]],Referências!$D$2:$E$5,2,0)</f>
        <v>1</v>
      </c>
      <c r="S55" s="27" t="str">
        <f>Tabela5[[#This Row],[TAG]]&amp;"-"&amp;Tabela5[[#This Row],[COD_Test]]</f>
        <v>PSINC2-8HV-008C-1</v>
      </c>
      <c r="T55" s="21" t="s">
        <v>1505</v>
      </c>
      <c r="U55" s="21" t="str">
        <f>VLOOKUP(Tabela5[[#This Row],[TAG]],BD!A:J,10,0)</f>
        <v>8HV</v>
      </c>
      <c r="V55" s="24" t="str">
        <f>VLOOKUP(Tabela5[[#This Row],[TAG]],BD!A:E,5,0)</f>
        <v>1x1x9/C#2,5</v>
      </c>
      <c r="W55" s="21">
        <v>8</v>
      </c>
      <c r="X55" s="256">
        <f>VLOOKUP(Tabela5[[#This Row],[TAG]],$AE:$AK,7,0)</f>
        <v>1</v>
      </c>
      <c r="Y55" s="256" t="str">
        <f>VLOOKUP(Tabela5[[#This Row],[TAG]],BD!A:P,14,0)</f>
        <v>Sim</v>
      </c>
      <c r="Z55" s="256" t="str">
        <f>VLOOKUP(Tabela5[[#This Row],[TAG]],BD!A:P,15,0)</f>
        <v>---</v>
      </c>
      <c r="AA55" s="256" t="str">
        <f>VLOOKUP(Tabela5[[#This Row],[TAG]],BD!A:P,16,0)</f>
        <v>---</v>
      </c>
      <c r="AB55" s="256"/>
      <c r="AD55" s="391">
        <v>54</v>
      </c>
      <c r="AE55" s="391" t="s">
        <v>563</v>
      </c>
      <c r="AF55" s="391" t="s">
        <v>92</v>
      </c>
      <c r="AG55" s="391">
        <v>6</v>
      </c>
      <c r="AH55" s="32">
        <v>44224</v>
      </c>
      <c r="AI55" s="391">
        <f>VLOOKUP(Tabela7[[#This Row],[TAG]],BD!$A:$V,19,0)</f>
        <v>12</v>
      </c>
      <c r="AJ55" s="23" t="str">
        <f>VLOOKUP(Tabela7[[#This Row],[TAG]],BD!A:J,10,0)</f>
        <v>7HV</v>
      </c>
      <c r="AK55" s="28">
        <f>SUMIF(AE:AE,Tabela7[[#This Row],[TAG]],AG:AG)/Tabela7[[#This Row],[Qtde Lig]]</f>
        <v>1</v>
      </c>
    </row>
    <row r="56" spans="1:37" x14ac:dyDescent="0.25">
      <c r="A56" s="391">
        <v>55</v>
      </c>
      <c r="B56" s="7" t="s">
        <v>541</v>
      </c>
      <c r="C56" s="391">
        <v>18</v>
      </c>
      <c r="D56" s="32">
        <v>44152</v>
      </c>
      <c r="E56" s="32" t="str">
        <f>VLOOKUP(Tabela2[[#This Row],[Tag]],BD!$A:$B,2,0)</f>
        <v>Controle</v>
      </c>
      <c r="F56" s="32" t="str">
        <f>VLOOKUP(Tabela2[[#This Row],[Tag]],BD!A:J,10,0)</f>
        <v>7HV</v>
      </c>
      <c r="G56" s="31" t="str">
        <f>VLOOKUP(Tabela2[[#This Row],[Tag]],BD!$A:$V,20,0)</f>
        <v>E5WP000490-C-001-LC004</v>
      </c>
      <c r="H56" s="32" t="str">
        <f>IF(VLOOKUP(Tabela2[[#This Row],[Tag]],BD!A:T,17,0)=0,"",VLOOKUP(Tabela2[[#This Row],[Tag]],BD!A:T,17,0))</f>
        <v>4.6.1</v>
      </c>
      <c r="I56" s="140">
        <v>44136</v>
      </c>
      <c r="J56" s="155">
        <f>VLOOKUP(Tabela2[[#This Row],[Tag]],BD!$A:$AE,30,0)</f>
        <v>18</v>
      </c>
      <c r="K56" s="29">
        <f>SUMIF(B:B,Tabela2[[#This Row],[Tag]],C:C)/Tabela2[[#This Row],[Comprim. Real]]</f>
        <v>1</v>
      </c>
      <c r="L56" s="29" t="str">
        <f>VLOOKUP(Tabela2[[#This Row],[Tag]],BD!A:AF,32,0)</f>
        <v>7HV</v>
      </c>
      <c r="N56" s="21">
        <v>55</v>
      </c>
      <c r="O56" s="21" t="s">
        <v>848</v>
      </c>
      <c r="P56" s="21" t="s">
        <v>17</v>
      </c>
      <c r="Q56" s="26">
        <v>44250</v>
      </c>
      <c r="R56" s="27">
        <f>VLOOKUP(Tabela5[[#This Row],[Teste]],Referências!$D$2:$E$5,2,0)</f>
        <v>2</v>
      </c>
      <c r="S56" s="27" t="str">
        <f>Tabela5[[#This Row],[TAG]]&amp;"-"&amp;Tabela5[[#This Row],[COD_Test]]</f>
        <v>PSINC2-8HV-008C-2</v>
      </c>
      <c r="T56" s="21" t="s">
        <v>1505</v>
      </c>
      <c r="U56" s="21" t="str">
        <f>VLOOKUP(Tabela5[[#This Row],[TAG]],BD!A:J,10,0)</f>
        <v>8HV</v>
      </c>
      <c r="V56" s="24" t="str">
        <f>VLOOKUP(Tabela5[[#This Row],[TAG]],BD!A:E,5,0)</f>
        <v>1x1x9/C#2,5</v>
      </c>
      <c r="W56" s="21">
        <v>8</v>
      </c>
      <c r="X56" s="256">
        <f>VLOOKUP(Tabela5[[#This Row],[TAG]],$AE:$AK,7,0)</f>
        <v>1</v>
      </c>
      <c r="Y56" s="256" t="str">
        <f>VLOOKUP(Tabela5[[#This Row],[TAG]],BD!A:P,14,0)</f>
        <v>Sim</v>
      </c>
      <c r="Z56" s="256" t="str">
        <f>VLOOKUP(Tabela5[[#This Row],[TAG]],BD!A:P,15,0)</f>
        <v>---</v>
      </c>
      <c r="AA56" s="256" t="str">
        <f>VLOOKUP(Tabela5[[#This Row],[TAG]],BD!A:P,16,0)</f>
        <v>---</v>
      </c>
      <c r="AB56" s="256" t="s">
        <v>85</v>
      </c>
      <c r="AD56" s="391">
        <v>55</v>
      </c>
      <c r="AE56" s="391" t="s">
        <v>566</v>
      </c>
      <c r="AF56" s="391" t="s">
        <v>92</v>
      </c>
      <c r="AG56" s="391">
        <v>9</v>
      </c>
      <c r="AH56" s="32">
        <v>44224</v>
      </c>
      <c r="AI56" s="391">
        <f>VLOOKUP(Tabela7[[#This Row],[TAG]],BD!$A:$V,19,0)</f>
        <v>18</v>
      </c>
      <c r="AJ56" s="23" t="str">
        <f>VLOOKUP(Tabela7[[#This Row],[TAG]],BD!A:J,10,0)</f>
        <v>7HV</v>
      </c>
      <c r="AK56" s="28">
        <f>SUMIF(AE:AE,Tabela7[[#This Row],[TAG]],AG:AG)/Tabela7[[#This Row],[Qtde Lig]]</f>
        <v>1</v>
      </c>
    </row>
    <row r="57" spans="1:37" x14ac:dyDescent="0.25">
      <c r="A57" s="391">
        <v>56</v>
      </c>
      <c r="B57" s="7" t="s">
        <v>471</v>
      </c>
      <c r="C57" s="391">
        <v>19</v>
      </c>
      <c r="D57" s="32">
        <v>44152</v>
      </c>
      <c r="E57" s="32" t="str">
        <f>VLOOKUP(Tabela2[[#This Row],[Tag]],BD!$A:$B,2,0)</f>
        <v>Controle</v>
      </c>
      <c r="F57" s="32" t="str">
        <f>VLOOKUP(Tabela2[[#This Row],[Tag]],BD!A:J,10,0)</f>
        <v>7HV</v>
      </c>
      <c r="G57" s="31" t="str">
        <f>VLOOKUP(Tabela2[[#This Row],[Tag]],BD!$A:$V,20,0)</f>
        <v>E5WP000490-C-001-LC004</v>
      </c>
      <c r="H57" s="32" t="str">
        <f>IF(VLOOKUP(Tabela2[[#This Row],[Tag]],BD!A:T,17,0)=0,"",VLOOKUP(Tabela2[[#This Row],[Tag]],BD!A:T,17,0))</f>
        <v>4.6.1</v>
      </c>
      <c r="I57" s="140">
        <v>44136</v>
      </c>
      <c r="J57" s="155">
        <f>VLOOKUP(Tabela2[[#This Row],[Tag]],BD!$A:$AE,30,0)</f>
        <v>19</v>
      </c>
      <c r="K57" s="29">
        <f>SUMIF(B:B,Tabela2[[#This Row],[Tag]],C:C)/Tabela2[[#This Row],[Comprim. Real]]</f>
        <v>1</v>
      </c>
      <c r="L57" s="29" t="str">
        <f>VLOOKUP(Tabela2[[#This Row],[Tag]],BD!A:AF,32,0)</f>
        <v>7HV</v>
      </c>
      <c r="N57" s="21">
        <v>56</v>
      </c>
      <c r="O57" s="21" t="s">
        <v>840</v>
      </c>
      <c r="P57" s="21" t="s">
        <v>16</v>
      </c>
      <c r="Q57" s="26">
        <v>44250</v>
      </c>
      <c r="R57" s="27">
        <f>VLOOKUP(Tabela5[[#This Row],[Teste]],Referências!$D$2:$E$5,2,0)</f>
        <v>1</v>
      </c>
      <c r="S57" s="27" t="str">
        <f>Tabela5[[#This Row],[TAG]]&amp;"-"&amp;Tabela5[[#This Row],[COD_Test]]</f>
        <v>PSINC2-8HV-003C-1</v>
      </c>
      <c r="T57" s="21" t="s">
        <v>1505</v>
      </c>
      <c r="U57" s="21" t="str">
        <f>VLOOKUP(Tabela5[[#This Row],[TAG]],BD!A:J,10,0)</f>
        <v>8HV</v>
      </c>
      <c r="V57" s="24" t="str">
        <f>VLOOKUP(Tabela5[[#This Row],[TAG]],BD!A:E,5,0)</f>
        <v>1x1x9/C#2,5</v>
      </c>
      <c r="W57" s="21">
        <v>6</v>
      </c>
      <c r="X57" s="256">
        <f>VLOOKUP(Tabela5[[#This Row],[TAG]],$AE:$AK,7,0)</f>
        <v>1</v>
      </c>
      <c r="Y57" s="256" t="str">
        <f>VLOOKUP(Tabela5[[#This Row],[TAG]],BD!A:P,14,0)</f>
        <v>Sim</v>
      </c>
      <c r="Z57" s="256" t="str">
        <f>VLOOKUP(Tabela5[[#This Row],[TAG]],BD!A:P,15,0)</f>
        <v>---</v>
      </c>
      <c r="AA57" s="256" t="str">
        <f>VLOOKUP(Tabela5[[#This Row],[TAG]],BD!A:P,16,0)</f>
        <v>---</v>
      </c>
      <c r="AB57" s="256"/>
      <c r="AD57" s="391">
        <v>56</v>
      </c>
      <c r="AE57" s="391" t="s">
        <v>569</v>
      </c>
      <c r="AF57" s="391" t="s">
        <v>92</v>
      </c>
      <c r="AG57" s="391">
        <v>9</v>
      </c>
      <c r="AH57" s="32">
        <v>44224</v>
      </c>
      <c r="AI57" s="391">
        <f>VLOOKUP(Tabela7[[#This Row],[TAG]],BD!$A:$V,19,0)</f>
        <v>18</v>
      </c>
      <c r="AJ57" s="23" t="str">
        <f>VLOOKUP(Tabela7[[#This Row],[TAG]],BD!A:J,10,0)</f>
        <v>7HV</v>
      </c>
      <c r="AK57" s="28">
        <f>SUMIF(AE:AE,Tabela7[[#This Row],[TAG]],AG:AG)/Tabela7[[#This Row],[Qtde Lig]]</f>
        <v>1</v>
      </c>
    </row>
    <row r="58" spans="1:37" x14ac:dyDescent="0.25">
      <c r="A58" s="391">
        <v>57</v>
      </c>
      <c r="B58" s="7" t="s">
        <v>473</v>
      </c>
      <c r="C58" s="391">
        <v>19</v>
      </c>
      <c r="D58" s="32">
        <v>44152</v>
      </c>
      <c r="E58" s="32" t="str">
        <f>VLOOKUP(Tabela2[[#This Row],[Tag]],BD!$A:$B,2,0)</f>
        <v>Controle</v>
      </c>
      <c r="F58" s="32" t="str">
        <f>VLOOKUP(Tabela2[[#This Row],[Tag]],BD!A:J,10,0)</f>
        <v>7HV</v>
      </c>
      <c r="G58" s="31" t="str">
        <f>VLOOKUP(Tabela2[[#This Row],[Tag]],BD!$A:$V,20,0)</f>
        <v>E5WP000490-C-001-LC004</v>
      </c>
      <c r="H58" s="32" t="str">
        <f>IF(VLOOKUP(Tabela2[[#This Row],[Tag]],BD!A:T,17,0)=0,"",VLOOKUP(Tabela2[[#This Row],[Tag]],BD!A:T,17,0))</f>
        <v>4.6.1</v>
      </c>
      <c r="I58" s="140">
        <v>44136</v>
      </c>
      <c r="J58" s="155">
        <f>VLOOKUP(Tabela2[[#This Row],[Tag]],BD!$A:$AE,30,0)</f>
        <v>19</v>
      </c>
      <c r="K58" s="29">
        <f>SUMIF(B:B,Tabela2[[#This Row],[Tag]],C:C)/Tabela2[[#This Row],[Comprim. Real]]</f>
        <v>1</v>
      </c>
      <c r="L58" s="29" t="str">
        <f>VLOOKUP(Tabela2[[#This Row],[Tag]],BD!A:AF,32,0)</f>
        <v>7HV</v>
      </c>
      <c r="N58" s="21">
        <v>57</v>
      </c>
      <c r="O58" s="21" t="s">
        <v>840</v>
      </c>
      <c r="P58" s="21" t="s">
        <v>17</v>
      </c>
      <c r="Q58" s="26">
        <v>44250</v>
      </c>
      <c r="R58" s="27">
        <f>VLOOKUP(Tabela5[[#This Row],[Teste]],Referências!$D$2:$E$5,2,0)</f>
        <v>2</v>
      </c>
      <c r="S58" s="27" t="str">
        <f>Tabela5[[#This Row],[TAG]]&amp;"-"&amp;Tabela5[[#This Row],[COD_Test]]</f>
        <v>PSINC2-8HV-003C-2</v>
      </c>
      <c r="T58" s="21" t="s">
        <v>1505</v>
      </c>
      <c r="U58" s="21" t="str">
        <f>VLOOKUP(Tabela5[[#This Row],[TAG]],BD!A:J,10,0)</f>
        <v>8HV</v>
      </c>
      <c r="V58" s="24" t="str">
        <f>VLOOKUP(Tabela5[[#This Row],[TAG]],BD!A:E,5,0)</f>
        <v>1x1x9/C#2,5</v>
      </c>
      <c r="W58" s="21">
        <v>6</v>
      </c>
      <c r="X58" s="256">
        <f>VLOOKUP(Tabela5[[#This Row],[TAG]],$AE:$AK,7,0)</f>
        <v>1</v>
      </c>
      <c r="Y58" s="256" t="str">
        <f>VLOOKUP(Tabela5[[#This Row],[TAG]],BD!A:P,14,0)</f>
        <v>Sim</v>
      </c>
      <c r="Z58" s="256" t="str">
        <f>VLOOKUP(Tabela5[[#This Row],[TAG]],BD!A:P,15,0)</f>
        <v>---</v>
      </c>
      <c r="AA58" s="256" t="str">
        <f>VLOOKUP(Tabela5[[#This Row],[TAG]],BD!A:P,16,0)</f>
        <v>---</v>
      </c>
      <c r="AB58" s="256" t="s">
        <v>85</v>
      </c>
      <c r="AD58" s="391">
        <v>57</v>
      </c>
      <c r="AE58" s="391" t="s">
        <v>570</v>
      </c>
      <c r="AF58" s="391" t="s">
        <v>92</v>
      </c>
      <c r="AG58" s="391">
        <v>9</v>
      </c>
      <c r="AH58" s="32">
        <v>44224</v>
      </c>
      <c r="AI58" s="391">
        <f>VLOOKUP(Tabela7[[#This Row],[TAG]],BD!$A:$V,19,0)</f>
        <v>18</v>
      </c>
      <c r="AJ58" s="23" t="str">
        <f>VLOOKUP(Tabela7[[#This Row],[TAG]],BD!A:J,10,0)</f>
        <v>7HV</v>
      </c>
      <c r="AK58" s="28">
        <f>SUMIF(AE:AE,Tabela7[[#This Row],[TAG]],AG:AG)/Tabela7[[#This Row],[Qtde Lig]]</f>
        <v>1</v>
      </c>
    </row>
    <row r="59" spans="1:37" x14ac:dyDescent="0.25">
      <c r="A59" s="391">
        <v>58</v>
      </c>
      <c r="B59" s="7" t="s">
        <v>477</v>
      </c>
      <c r="C59" s="391">
        <v>19</v>
      </c>
      <c r="D59" s="32">
        <v>44152</v>
      </c>
      <c r="E59" s="32" t="str">
        <f>VLOOKUP(Tabela2[[#This Row],[Tag]],BD!$A:$B,2,0)</f>
        <v>Controle</v>
      </c>
      <c r="F59" s="32" t="str">
        <f>VLOOKUP(Tabela2[[#This Row],[Tag]],BD!A:J,10,0)</f>
        <v>7HV</v>
      </c>
      <c r="G59" s="31" t="str">
        <f>VLOOKUP(Tabela2[[#This Row],[Tag]],BD!$A:$V,20,0)</f>
        <v>E5WP000490-C-001-LC004</v>
      </c>
      <c r="H59" s="32" t="str">
        <f>IF(VLOOKUP(Tabela2[[#This Row],[Tag]],BD!A:T,17,0)=0,"",VLOOKUP(Tabela2[[#This Row],[Tag]],BD!A:T,17,0))</f>
        <v>4.6.1</v>
      </c>
      <c r="I59" s="140">
        <v>44136</v>
      </c>
      <c r="J59" s="155">
        <f>VLOOKUP(Tabela2[[#This Row],[Tag]],BD!$A:$AE,30,0)</f>
        <v>19</v>
      </c>
      <c r="K59" s="29">
        <f>SUMIF(B:B,Tabela2[[#This Row],[Tag]],C:C)/Tabela2[[#This Row],[Comprim. Real]]</f>
        <v>1</v>
      </c>
      <c r="L59" s="29" t="str">
        <f>VLOOKUP(Tabela2[[#This Row],[Tag]],BD!A:AF,32,0)</f>
        <v>7HV</v>
      </c>
      <c r="N59" s="21">
        <v>58</v>
      </c>
      <c r="O59" s="21" t="s">
        <v>853</v>
      </c>
      <c r="P59" s="21" t="s">
        <v>16</v>
      </c>
      <c r="Q59" s="26">
        <v>44250</v>
      </c>
      <c r="R59" s="27">
        <f>VLOOKUP(Tabela5[[#This Row],[Teste]],Referências!$D$2:$E$5,2,0)</f>
        <v>1</v>
      </c>
      <c r="S59" s="27" t="str">
        <f>Tabela5[[#This Row],[TAG]]&amp;"-"&amp;Tabela5[[#This Row],[COD_Test]]</f>
        <v>PSINC2-8HV-010C-1</v>
      </c>
      <c r="T59" s="21" t="s">
        <v>1505</v>
      </c>
      <c r="U59" s="21" t="str">
        <f>VLOOKUP(Tabela5[[#This Row],[TAG]],BD!A:J,10,0)</f>
        <v>8HV</v>
      </c>
      <c r="V59" s="24" t="str">
        <f>VLOOKUP(Tabela5[[#This Row],[TAG]],BD!A:E,5,0)</f>
        <v>1x1x9/C#2,5</v>
      </c>
      <c r="W59" s="21">
        <v>2</v>
      </c>
      <c r="X59" s="256">
        <f>VLOOKUP(Tabela5[[#This Row],[TAG]],$AE:$AK,7,0)</f>
        <v>1</v>
      </c>
      <c r="Y59" s="256" t="str">
        <f>VLOOKUP(Tabela5[[#This Row],[TAG]],BD!A:P,14,0)</f>
        <v>Sim</v>
      </c>
      <c r="Z59" s="256" t="str">
        <f>VLOOKUP(Tabela5[[#This Row],[TAG]],BD!A:P,15,0)</f>
        <v>---</v>
      </c>
      <c r="AA59" s="256" t="str">
        <f>VLOOKUP(Tabela5[[#This Row],[TAG]],BD!A:P,16,0)</f>
        <v>---</v>
      </c>
      <c r="AB59" s="256"/>
      <c r="AD59" s="391">
        <v>58</v>
      </c>
      <c r="AE59" s="391" t="s">
        <v>571</v>
      </c>
      <c r="AF59" s="391" t="s">
        <v>92</v>
      </c>
      <c r="AG59" s="391">
        <v>9</v>
      </c>
      <c r="AH59" s="32">
        <v>44224</v>
      </c>
      <c r="AI59" s="391">
        <f>VLOOKUP(Tabela7[[#This Row],[TAG]],BD!$A:$V,19,0)</f>
        <v>18</v>
      </c>
      <c r="AJ59" s="23" t="str">
        <f>VLOOKUP(Tabela7[[#This Row],[TAG]],BD!A:J,10,0)</f>
        <v>7HV</v>
      </c>
      <c r="AK59" s="28">
        <f>SUMIF(AE:AE,Tabela7[[#This Row],[TAG]],AG:AG)/Tabela7[[#This Row],[Qtde Lig]]</f>
        <v>1</v>
      </c>
    </row>
    <row r="60" spans="1:37" x14ac:dyDescent="0.25">
      <c r="A60" s="391">
        <v>59</v>
      </c>
      <c r="B60" s="7" t="s">
        <v>548</v>
      </c>
      <c r="C60" s="391">
        <v>18</v>
      </c>
      <c r="D60" s="32">
        <v>44152</v>
      </c>
      <c r="E60" s="32" t="str">
        <f>VLOOKUP(Tabela2[[#This Row],[Tag]],BD!$A:$B,2,0)</f>
        <v>Controle</v>
      </c>
      <c r="F60" s="32" t="str">
        <f>VLOOKUP(Tabela2[[#This Row],[Tag]],BD!A:J,10,0)</f>
        <v>7HV</v>
      </c>
      <c r="G60" s="31" t="str">
        <f>VLOOKUP(Tabela2[[#This Row],[Tag]],BD!$A:$V,20,0)</f>
        <v>E5WP000490-C-001-LC004</v>
      </c>
      <c r="H60" s="32" t="str">
        <f>IF(VLOOKUP(Tabela2[[#This Row],[Tag]],BD!A:T,17,0)=0,"",VLOOKUP(Tabela2[[#This Row],[Tag]],BD!A:T,17,0))</f>
        <v>4.6.1</v>
      </c>
      <c r="I60" s="140">
        <v>44136</v>
      </c>
      <c r="J60" s="155">
        <f>VLOOKUP(Tabela2[[#This Row],[Tag]],BD!$A:$AE,30,0)</f>
        <v>18</v>
      </c>
      <c r="K60" s="29">
        <f>SUMIF(B:B,Tabela2[[#This Row],[Tag]],C:C)/Tabela2[[#This Row],[Comprim. Real]]</f>
        <v>1</v>
      </c>
      <c r="L60" s="29" t="str">
        <f>VLOOKUP(Tabela2[[#This Row],[Tag]],BD!A:AF,32,0)</f>
        <v>7HV</v>
      </c>
      <c r="N60" s="21">
        <v>59</v>
      </c>
      <c r="O60" s="21" t="s">
        <v>853</v>
      </c>
      <c r="P60" s="21" t="s">
        <v>17</v>
      </c>
      <c r="Q60" s="26">
        <v>44250</v>
      </c>
      <c r="R60" s="27">
        <f>VLOOKUP(Tabela5[[#This Row],[Teste]],Referências!$D$2:$E$5,2,0)</f>
        <v>2</v>
      </c>
      <c r="S60" s="27" t="str">
        <f>Tabela5[[#This Row],[TAG]]&amp;"-"&amp;Tabela5[[#This Row],[COD_Test]]</f>
        <v>PSINC2-8HV-010C-2</v>
      </c>
      <c r="T60" s="21" t="s">
        <v>1505</v>
      </c>
      <c r="U60" s="21" t="str">
        <f>VLOOKUP(Tabela5[[#This Row],[TAG]],BD!A:J,10,0)</f>
        <v>8HV</v>
      </c>
      <c r="V60" s="24" t="str">
        <f>VLOOKUP(Tabela5[[#This Row],[TAG]],BD!A:E,5,0)</f>
        <v>1x1x9/C#2,5</v>
      </c>
      <c r="W60" s="21">
        <v>2</v>
      </c>
      <c r="X60" s="256">
        <f>VLOOKUP(Tabela5[[#This Row],[TAG]],$AE:$AK,7,0)</f>
        <v>1</v>
      </c>
      <c r="Y60" s="256" t="str">
        <f>VLOOKUP(Tabela5[[#This Row],[TAG]],BD!A:P,14,0)</f>
        <v>Sim</v>
      </c>
      <c r="Z60" s="256" t="str">
        <f>VLOOKUP(Tabela5[[#This Row],[TAG]],BD!A:P,15,0)</f>
        <v>---</v>
      </c>
      <c r="AA60" s="256" t="str">
        <f>VLOOKUP(Tabela5[[#This Row],[TAG]],BD!A:P,16,0)</f>
        <v>---</v>
      </c>
      <c r="AB60" s="256" t="s">
        <v>85</v>
      </c>
      <c r="AD60" s="391">
        <v>59</v>
      </c>
      <c r="AE60" s="391" t="s">
        <v>514</v>
      </c>
      <c r="AF60" s="391" t="s">
        <v>92</v>
      </c>
      <c r="AG60" s="391">
        <v>2</v>
      </c>
      <c r="AH60" s="32">
        <v>44224</v>
      </c>
      <c r="AI60" s="391">
        <f>VLOOKUP(Tabela7[[#This Row],[TAG]],BD!$A:$V,19,0)</f>
        <v>2</v>
      </c>
      <c r="AJ60" s="23" t="str">
        <f>VLOOKUP(Tabela7[[#This Row],[TAG]],BD!A:J,10,0)</f>
        <v>7HV</v>
      </c>
      <c r="AK60" s="28">
        <f>SUMIF(AE:AE,Tabela7[[#This Row],[TAG]],AG:AG)/Tabela7[[#This Row],[Qtde Lig]]</f>
        <v>1</v>
      </c>
    </row>
    <row r="61" spans="1:37" x14ac:dyDescent="0.25">
      <c r="A61" s="391">
        <v>60</v>
      </c>
      <c r="B61" s="7" t="s">
        <v>574</v>
      </c>
      <c r="C61" s="391">
        <v>21</v>
      </c>
      <c r="D61" s="32">
        <v>44152</v>
      </c>
      <c r="E61" s="32" t="str">
        <f>VLOOKUP(Tabela2[[#This Row],[Tag]],BD!$A:$B,2,0)</f>
        <v>Controle</v>
      </c>
      <c r="F61" s="32" t="str">
        <f>VLOOKUP(Tabela2[[#This Row],[Tag]],BD!A:J,10,0)</f>
        <v>7HV</v>
      </c>
      <c r="G61" s="31" t="str">
        <f>VLOOKUP(Tabela2[[#This Row],[Tag]],BD!$A:$V,20,0)</f>
        <v>E5WP000490-C-001-LC004</v>
      </c>
      <c r="H61" s="32" t="str">
        <f>IF(VLOOKUP(Tabela2[[#This Row],[Tag]],BD!A:T,17,0)=0,"",VLOOKUP(Tabela2[[#This Row],[Tag]],BD!A:T,17,0))</f>
        <v>4.6.1</v>
      </c>
      <c r="I61" s="140">
        <v>44136</v>
      </c>
      <c r="J61" s="155">
        <f>VLOOKUP(Tabela2[[#This Row],[Tag]],BD!$A:$AE,30,0)</f>
        <v>21</v>
      </c>
      <c r="K61" s="29">
        <f>SUMIF(B:B,Tabela2[[#This Row],[Tag]],C:C)/Tabela2[[#This Row],[Comprim. Real]]</f>
        <v>1</v>
      </c>
      <c r="L61" s="29" t="str">
        <f>VLOOKUP(Tabela2[[#This Row],[Tag]],BD!A:AF,32,0)</f>
        <v>7HV</v>
      </c>
      <c r="N61" s="21">
        <v>60</v>
      </c>
      <c r="O61" s="21" t="s">
        <v>874</v>
      </c>
      <c r="P61" s="21" t="s">
        <v>16</v>
      </c>
      <c r="Q61" s="26">
        <v>44250</v>
      </c>
      <c r="R61" s="27">
        <f>VLOOKUP(Tabela5[[#This Row],[Teste]],Referências!$D$2:$E$5,2,0)</f>
        <v>1</v>
      </c>
      <c r="S61" s="27" t="str">
        <f>Tabela5[[#This Row],[TAG]]&amp;"-"&amp;Tabela5[[#This Row],[COD_Test]]</f>
        <v>TCC34-TCC36-001F-1</v>
      </c>
      <c r="T61" s="21" t="s">
        <v>1505</v>
      </c>
      <c r="U61" s="21" t="str">
        <f>VLOOKUP(Tabela5[[#This Row],[TAG]],BD!A:J,10,0)</f>
        <v>8HV</v>
      </c>
      <c r="V61" s="24" t="str">
        <f>VLOOKUP(Tabela5[[#This Row],[TAG]],BD!A:E,5,0)</f>
        <v>1x2/C#4</v>
      </c>
      <c r="W61" s="21">
        <v>2</v>
      </c>
      <c r="X61" s="256">
        <f>VLOOKUP(Tabela5[[#This Row],[TAG]],$AE:$AK,7,0)</f>
        <v>1</v>
      </c>
      <c r="Y61" s="256" t="str">
        <f>VLOOKUP(Tabela5[[#This Row],[TAG]],BD!A:P,14,0)</f>
        <v>Sim</v>
      </c>
      <c r="Z61" s="256" t="str">
        <f>VLOOKUP(Tabela5[[#This Row],[TAG]],BD!A:P,15,0)</f>
        <v>---</v>
      </c>
      <c r="AA61" s="256" t="str">
        <f>VLOOKUP(Tabela5[[#This Row],[TAG]],BD!A:P,16,0)</f>
        <v>---</v>
      </c>
      <c r="AB61" s="256"/>
      <c r="AD61" s="391">
        <v>60</v>
      </c>
      <c r="AE61" s="391" t="s">
        <v>509</v>
      </c>
      <c r="AF61" s="391" t="s">
        <v>92</v>
      </c>
      <c r="AG61" s="391">
        <v>3</v>
      </c>
      <c r="AH61" s="32">
        <v>44224</v>
      </c>
      <c r="AI61" s="391">
        <f>VLOOKUP(Tabela7[[#This Row],[TAG]],BD!$A:$V,19,0)</f>
        <v>6</v>
      </c>
      <c r="AJ61" s="23" t="str">
        <f>VLOOKUP(Tabela7[[#This Row],[TAG]],BD!A:J,10,0)</f>
        <v>7HV</v>
      </c>
      <c r="AK61" s="28">
        <f>SUMIF(AE:AE,Tabela7[[#This Row],[TAG]],AG:AG)/Tabela7[[#This Row],[Qtde Lig]]</f>
        <v>0.5</v>
      </c>
    </row>
    <row r="62" spans="1:37" x14ac:dyDescent="0.25">
      <c r="A62" s="391">
        <v>61</v>
      </c>
      <c r="B62" s="7" t="s">
        <v>495</v>
      </c>
      <c r="C62" s="391">
        <v>18</v>
      </c>
      <c r="D62" s="32">
        <v>44152</v>
      </c>
      <c r="E62" s="32" t="str">
        <f>VLOOKUP(Tabela2[[#This Row],[Tag]],BD!$A:$B,2,0)</f>
        <v>Controle</v>
      </c>
      <c r="F62" s="32" t="str">
        <f>VLOOKUP(Tabela2[[#This Row],[Tag]],BD!A:J,10,0)</f>
        <v>7HV</v>
      </c>
      <c r="G62" s="31" t="str">
        <f>VLOOKUP(Tabela2[[#This Row],[Tag]],BD!$A:$V,20,0)</f>
        <v>E5WP000490-C-001-LC004</v>
      </c>
      <c r="H62" s="32" t="str">
        <f>IF(VLOOKUP(Tabela2[[#This Row],[Tag]],BD!A:T,17,0)=0,"",VLOOKUP(Tabela2[[#This Row],[Tag]],BD!A:T,17,0))</f>
        <v>4.6.1</v>
      </c>
      <c r="I62" s="140">
        <v>44136</v>
      </c>
      <c r="J62" s="155">
        <f>VLOOKUP(Tabela2[[#This Row],[Tag]],BD!$A:$AE,30,0)</f>
        <v>18</v>
      </c>
      <c r="K62" s="29">
        <f>SUMIF(B:B,Tabela2[[#This Row],[Tag]],C:C)/Tabela2[[#This Row],[Comprim. Real]]</f>
        <v>1</v>
      </c>
      <c r="L62" s="29" t="str">
        <f>VLOOKUP(Tabela2[[#This Row],[Tag]],BD!A:AF,32,0)</f>
        <v>7HV</v>
      </c>
      <c r="N62" s="21">
        <v>61</v>
      </c>
      <c r="O62" s="21" t="s">
        <v>874</v>
      </c>
      <c r="P62" s="21" t="s">
        <v>17</v>
      </c>
      <c r="Q62" s="26">
        <v>44250</v>
      </c>
      <c r="R62" s="27">
        <f>VLOOKUP(Tabela5[[#This Row],[Teste]],Referências!$D$2:$E$5,2,0)</f>
        <v>2</v>
      </c>
      <c r="S62" s="27" t="str">
        <f>Tabela5[[#This Row],[TAG]]&amp;"-"&amp;Tabela5[[#This Row],[COD_Test]]</f>
        <v>TCC34-TCC36-001F-2</v>
      </c>
      <c r="T62" s="21" t="s">
        <v>1505</v>
      </c>
      <c r="U62" s="21" t="str">
        <f>VLOOKUP(Tabela5[[#This Row],[TAG]],BD!A:J,10,0)</f>
        <v>8HV</v>
      </c>
      <c r="V62" s="24" t="str">
        <f>VLOOKUP(Tabela5[[#This Row],[TAG]],BD!A:E,5,0)</f>
        <v>1x2/C#4</v>
      </c>
      <c r="W62" s="21">
        <v>2</v>
      </c>
      <c r="X62" s="256">
        <f>VLOOKUP(Tabela5[[#This Row],[TAG]],$AE:$AK,7,0)</f>
        <v>1</v>
      </c>
      <c r="Y62" s="256" t="str">
        <f>VLOOKUP(Tabela5[[#This Row],[TAG]],BD!A:P,14,0)</f>
        <v>Sim</v>
      </c>
      <c r="Z62" s="256" t="str">
        <f>VLOOKUP(Tabela5[[#This Row],[TAG]],BD!A:P,15,0)</f>
        <v>---</v>
      </c>
      <c r="AA62" s="256" t="str">
        <f>VLOOKUP(Tabela5[[#This Row],[TAG]],BD!A:P,16,0)</f>
        <v>---</v>
      </c>
      <c r="AB62" s="256" t="s">
        <v>85</v>
      </c>
      <c r="AD62" s="391">
        <v>61</v>
      </c>
      <c r="AE62" s="391" t="s">
        <v>512</v>
      </c>
      <c r="AF62" s="391" t="s">
        <v>92</v>
      </c>
      <c r="AG62" s="391">
        <v>3</v>
      </c>
      <c r="AH62" s="32">
        <v>44224</v>
      </c>
      <c r="AI62" s="391">
        <f>VLOOKUP(Tabela7[[#This Row],[TAG]],BD!$A:$V,19,0)</f>
        <v>6</v>
      </c>
      <c r="AJ62" s="23" t="str">
        <f>VLOOKUP(Tabela7[[#This Row],[TAG]],BD!A:J,10,0)</f>
        <v>7HV</v>
      </c>
      <c r="AK62" s="28">
        <f>SUMIF(AE:AE,Tabela7[[#This Row],[TAG]],AG:AG)/Tabela7[[#This Row],[Qtde Lig]]</f>
        <v>0.5</v>
      </c>
    </row>
    <row r="63" spans="1:37" x14ac:dyDescent="0.25">
      <c r="A63" s="391">
        <v>62</v>
      </c>
      <c r="B63" s="7" t="s">
        <v>738</v>
      </c>
      <c r="C63" s="391">
        <v>100</v>
      </c>
      <c r="D63" s="87">
        <v>44152</v>
      </c>
      <c r="E63" s="32" t="str">
        <f>VLOOKUP(Tabela2[[#This Row],[Tag]],BD!$A:$B,2,0)</f>
        <v>Força</v>
      </c>
      <c r="F63" s="32" t="str">
        <f>VLOOKUP(Tabela2[[#This Row],[Tag]],BD!A:J,10,0)</f>
        <v>GB-1203</v>
      </c>
      <c r="G63" s="31" t="str">
        <f>VLOOKUP(Tabela2[[#This Row],[Tag]],BD!$A:$V,20,0)</f>
        <v>BK-SP54-0900B-LC-74-00004_00000</v>
      </c>
      <c r="H63" s="32" t="str">
        <f>IF(VLOOKUP(Tabela2[[#This Row],[Tag]],BD!A:T,17,0)=0,"",VLOOKUP(Tabela2[[#This Row],[Tag]],BD!A:T,17,0))</f>
        <v>5.2.8</v>
      </c>
      <c r="I63" s="140">
        <v>44136</v>
      </c>
      <c r="J63" s="155">
        <f>VLOOKUP(Tabela2[[#This Row],[Tag]],BD!$A:$AE,30,0)</f>
        <v>100</v>
      </c>
      <c r="K63" s="29">
        <f>SUMIF(B:B,Tabela2[[#This Row],[Tag]],C:C)/Tabela2[[#This Row],[Comprim. Real]]</f>
        <v>1</v>
      </c>
      <c r="L63" s="29" t="str">
        <f>VLOOKUP(Tabela2[[#This Row],[Tag]],BD!A:AF,32,0)</f>
        <v>7HVxGB-1203</v>
      </c>
      <c r="N63" s="21">
        <v>62</v>
      </c>
      <c r="O63" s="21" t="s">
        <v>867</v>
      </c>
      <c r="P63" s="21" t="s">
        <v>16</v>
      </c>
      <c r="Q63" s="26">
        <v>44250</v>
      </c>
      <c r="R63" s="27">
        <f>VLOOKUP(Tabela5[[#This Row],[Teste]],Referências!$D$2:$E$5,2,0)</f>
        <v>1</v>
      </c>
      <c r="S63" s="27" t="str">
        <f>Tabela5[[#This Row],[TAG]]&amp;"-"&amp;Tabela5[[#This Row],[COD_Test]]</f>
        <v>TCC33-TCC36-001F-1</v>
      </c>
      <c r="T63" s="21" t="s">
        <v>1505</v>
      </c>
      <c r="U63" s="21" t="str">
        <f>VLOOKUP(Tabela5[[#This Row],[TAG]],BD!A:J,10,0)</f>
        <v>8HV</v>
      </c>
      <c r="V63" s="24" t="str">
        <f>VLOOKUP(Tabela5[[#This Row],[TAG]],BD!A:E,5,0)</f>
        <v>1x2/C#4</v>
      </c>
      <c r="W63" s="21">
        <v>2</v>
      </c>
      <c r="X63" s="256">
        <f>VLOOKUP(Tabela5[[#This Row],[TAG]],$AE:$AK,7,0)</f>
        <v>1</v>
      </c>
      <c r="Y63" s="256" t="str">
        <f>VLOOKUP(Tabela5[[#This Row],[TAG]],BD!A:P,14,0)</f>
        <v>Sim</v>
      </c>
      <c r="Z63" s="256" t="str">
        <f>VLOOKUP(Tabela5[[#This Row],[TAG]],BD!A:P,15,0)</f>
        <v>---</v>
      </c>
      <c r="AA63" s="256" t="str">
        <f>VLOOKUP(Tabela5[[#This Row],[TAG]],BD!A:P,16,0)</f>
        <v>---</v>
      </c>
      <c r="AB63" s="256"/>
      <c r="AD63" s="391">
        <v>62</v>
      </c>
      <c r="AE63" s="391" t="s">
        <v>525</v>
      </c>
      <c r="AF63" s="391" t="s">
        <v>92</v>
      </c>
      <c r="AG63" s="391">
        <v>6</v>
      </c>
      <c r="AH63" s="32">
        <v>44224</v>
      </c>
      <c r="AI63" s="391">
        <f>VLOOKUP(Tabela7[[#This Row],[TAG]],BD!$A:$V,19,0)</f>
        <v>6</v>
      </c>
      <c r="AJ63" s="23" t="str">
        <f>VLOOKUP(Tabela7[[#This Row],[TAG]],BD!A:J,10,0)</f>
        <v>7HV</v>
      </c>
      <c r="AK63" s="28">
        <f>SUMIF(AE:AE,Tabela7[[#This Row],[TAG]],AG:AG)/Tabela7[[#This Row],[Qtde Lig]]</f>
        <v>1</v>
      </c>
    </row>
    <row r="64" spans="1:37" x14ac:dyDescent="0.25">
      <c r="A64" s="391">
        <v>63</v>
      </c>
      <c r="B64" s="7" t="s">
        <v>740</v>
      </c>
      <c r="C64" s="391">
        <v>100</v>
      </c>
      <c r="D64" s="87">
        <v>44152</v>
      </c>
      <c r="E64" s="32" t="str">
        <f>VLOOKUP(Tabela2[[#This Row],[Tag]],BD!$A:$B,2,0)</f>
        <v>Força</v>
      </c>
      <c r="F64" s="32" t="str">
        <f>VLOOKUP(Tabela2[[#This Row],[Tag]],BD!A:J,10,0)</f>
        <v>GB-1203</v>
      </c>
      <c r="G64" s="31" t="str">
        <f>VLOOKUP(Tabela2[[#This Row],[Tag]],BD!$A:$V,20,0)</f>
        <v>BK-SP54-0900B-LC-74-00004_00000</v>
      </c>
      <c r="H64" s="32" t="str">
        <f>IF(VLOOKUP(Tabela2[[#This Row],[Tag]],BD!A:T,17,0)=0,"",VLOOKUP(Tabela2[[#This Row],[Tag]],BD!A:T,17,0))</f>
        <v>5.2.8</v>
      </c>
      <c r="I64" s="140">
        <v>44136</v>
      </c>
      <c r="J64" s="155">
        <f>VLOOKUP(Tabela2[[#This Row],[Tag]],BD!$A:$AE,30,0)</f>
        <v>100</v>
      </c>
      <c r="K64" s="29">
        <f>SUMIF(B:B,Tabela2[[#This Row],[Tag]],C:C)/Tabela2[[#This Row],[Comprim. Real]]</f>
        <v>1</v>
      </c>
      <c r="L64" s="29" t="str">
        <f>VLOOKUP(Tabela2[[#This Row],[Tag]],BD!A:AF,32,0)</f>
        <v>7HVxGB-1203</v>
      </c>
      <c r="N64" s="21">
        <v>63</v>
      </c>
      <c r="O64" s="21" t="s">
        <v>867</v>
      </c>
      <c r="P64" s="21" t="s">
        <v>17</v>
      </c>
      <c r="Q64" s="26">
        <v>44250</v>
      </c>
      <c r="R64" s="27">
        <f>VLOOKUP(Tabela5[[#This Row],[Teste]],Referências!$D$2:$E$5,2,0)</f>
        <v>2</v>
      </c>
      <c r="S64" s="27" t="str">
        <f>Tabela5[[#This Row],[TAG]]&amp;"-"&amp;Tabela5[[#This Row],[COD_Test]]</f>
        <v>TCC33-TCC36-001F-2</v>
      </c>
      <c r="T64" s="21" t="s">
        <v>1505</v>
      </c>
      <c r="U64" s="21" t="str">
        <f>VLOOKUP(Tabela5[[#This Row],[TAG]],BD!A:J,10,0)</f>
        <v>8HV</v>
      </c>
      <c r="V64" s="24" t="str">
        <f>VLOOKUP(Tabela5[[#This Row],[TAG]],BD!A:E,5,0)</f>
        <v>1x2/C#4</v>
      </c>
      <c r="W64" s="21">
        <v>2</v>
      </c>
      <c r="X64" s="256">
        <f>VLOOKUP(Tabela5[[#This Row],[TAG]],$AE:$AK,7,0)</f>
        <v>1</v>
      </c>
      <c r="Y64" s="256" t="str">
        <f>VLOOKUP(Tabela5[[#This Row],[TAG]],BD!A:P,14,0)</f>
        <v>Sim</v>
      </c>
      <c r="Z64" s="256" t="str">
        <f>VLOOKUP(Tabela5[[#This Row],[TAG]],BD!A:P,15,0)</f>
        <v>---</v>
      </c>
      <c r="AA64" s="256" t="str">
        <f>VLOOKUP(Tabela5[[#This Row],[TAG]],BD!A:P,16,0)</f>
        <v>---</v>
      </c>
      <c r="AB64" s="256" t="s">
        <v>85</v>
      </c>
      <c r="AD64" s="391">
        <v>63</v>
      </c>
      <c r="AE64" s="391" t="s">
        <v>527</v>
      </c>
      <c r="AF64" s="391" t="s">
        <v>92</v>
      </c>
      <c r="AG64" s="391">
        <v>6</v>
      </c>
      <c r="AH64" s="32">
        <v>44224</v>
      </c>
      <c r="AI64" s="391">
        <f>VLOOKUP(Tabela7[[#This Row],[TAG]],BD!$A:$V,19,0)</f>
        <v>6</v>
      </c>
      <c r="AJ64" s="23" t="str">
        <f>VLOOKUP(Tabela7[[#This Row],[TAG]],BD!A:J,10,0)</f>
        <v>7HV</v>
      </c>
      <c r="AK64" s="28">
        <f>SUMIF(AE:AE,Tabela7[[#This Row],[TAG]],AG:AG)/Tabela7[[#This Row],[Qtde Lig]]</f>
        <v>1</v>
      </c>
    </row>
    <row r="65" spans="1:37" x14ac:dyDescent="0.25">
      <c r="A65" s="391">
        <v>64</v>
      </c>
      <c r="B65" s="7" t="s">
        <v>742</v>
      </c>
      <c r="C65" s="391">
        <v>100</v>
      </c>
      <c r="D65" s="87">
        <v>44152</v>
      </c>
      <c r="E65" s="32" t="str">
        <f>VLOOKUP(Tabela2[[#This Row],[Tag]],BD!$A:$B,2,0)</f>
        <v>Força</v>
      </c>
      <c r="F65" s="32" t="str">
        <f>VLOOKUP(Tabela2[[#This Row],[Tag]],BD!A:J,10,0)</f>
        <v>GB-1203</v>
      </c>
      <c r="G65" s="31" t="str">
        <f>VLOOKUP(Tabela2[[#This Row],[Tag]],BD!$A:$V,20,0)</f>
        <v>BK-SP54-0900B-LC-74-00004_00000</v>
      </c>
      <c r="H65" s="32" t="str">
        <f>IF(VLOOKUP(Tabela2[[#This Row],[Tag]],BD!A:T,17,0)=0,"",VLOOKUP(Tabela2[[#This Row],[Tag]],BD!A:T,17,0))</f>
        <v>5.2.8</v>
      </c>
      <c r="I65" s="140">
        <v>44136</v>
      </c>
      <c r="J65" s="155">
        <f>VLOOKUP(Tabela2[[#This Row],[Tag]],BD!$A:$AE,30,0)</f>
        <v>100</v>
      </c>
      <c r="K65" s="29">
        <f>SUMIF(B:B,Tabela2[[#This Row],[Tag]],C:C)/Tabela2[[#This Row],[Comprim. Real]]</f>
        <v>1</v>
      </c>
      <c r="L65" s="29" t="str">
        <f>VLOOKUP(Tabela2[[#This Row],[Tag]],BD!A:AF,32,0)</f>
        <v>7HVxGB-1203</v>
      </c>
      <c r="N65" s="21">
        <v>64</v>
      </c>
      <c r="O65" s="21" t="s">
        <v>870</v>
      </c>
      <c r="P65" s="21" t="s">
        <v>16</v>
      </c>
      <c r="Q65" s="26">
        <v>44250</v>
      </c>
      <c r="R65" s="27">
        <f>VLOOKUP(Tabela5[[#This Row],[Teste]],Referências!$D$2:$E$5,2,0)</f>
        <v>1</v>
      </c>
      <c r="S65" s="27" t="str">
        <f>Tabela5[[#This Row],[TAG]]&amp;"-"&amp;Tabela5[[#This Row],[COD_Test]]</f>
        <v>TCC34-8HV-001F-1</v>
      </c>
      <c r="T65" s="21" t="s">
        <v>1505</v>
      </c>
      <c r="U65" s="21" t="str">
        <f>VLOOKUP(Tabela5[[#This Row],[TAG]],BD!A:J,10,0)</f>
        <v>8HV</v>
      </c>
      <c r="V65" s="24" t="str">
        <f>VLOOKUP(Tabela5[[#This Row],[TAG]],BD!A:E,5,0)</f>
        <v>1x2/C#4</v>
      </c>
      <c r="W65" s="21">
        <v>2</v>
      </c>
      <c r="X65" s="256">
        <f>VLOOKUP(Tabela5[[#This Row],[TAG]],$AE:$AK,7,0)</f>
        <v>1</v>
      </c>
      <c r="Y65" s="256" t="str">
        <f>VLOOKUP(Tabela5[[#This Row],[TAG]],BD!A:P,14,0)</f>
        <v>Sim</v>
      </c>
      <c r="Z65" s="256" t="str">
        <f>VLOOKUP(Tabela5[[#This Row],[TAG]],BD!A:P,15,0)</f>
        <v>---</v>
      </c>
      <c r="AA65" s="256" t="str">
        <f>VLOOKUP(Tabela5[[#This Row],[TAG]],BD!A:P,16,0)</f>
        <v>---</v>
      </c>
      <c r="AB65" s="256"/>
      <c r="AD65" s="391">
        <v>64</v>
      </c>
      <c r="AE65" s="391" t="s">
        <v>528</v>
      </c>
      <c r="AF65" s="391" t="s">
        <v>92</v>
      </c>
      <c r="AG65" s="391">
        <v>6</v>
      </c>
      <c r="AH65" s="32">
        <v>44224</v>
      </c>
      <c r="AI65" s="391">
        <f>VLOOKUP(Tabela7[[#This Row],[TAG]],BD!$A:$V,19,0)</f>
        <v>6</v>
      </c>
      <c r="AJ65" s="23" t="str">
        <f>VLOOKUP(Tabela7[[#This Row],[TAG]],BD!A:J,10,0)</f>
        <v>7HV</v>
      </c>
      <c r="AK65" s="28">
        <f>SUMIF(AE:AE,Tabela7[[#This Row],[TAG]],AG:AG)/Tabela7[[#This Row],[Qtde Lig]]</f>
        <v>1</v>
      </c>
    </row>
    <row r="66" spans="1:37" x14ac:dyDescent="0.25">
      <c r="A66" s="391">
        <v>65</v>
      </c>
      <c r="B66" s="7" t="s">
        <v>744</v>
      </c>
      <c r="C66" s="391">
        <v>100</v>
      </c>
      <c r="D66" s="87">
        <v>44152</v>
      </c>
      <c r="E66" s="32" t="str">
        <f>VLOOKUP(Tabela2[[#This Row],[Tag]],BD!$A:$B,2,0)</f>
        <v>Força</v>
      </c>
      <c r="F66" s="32" t="str">
        <f>VLOOKUP(Tabela2[[#This Row],[Tag]],BD!A:J,10,0)</f>
        <v>GB-1203</v>
      </c>
      <c r="G66" s="31" t="str">
        <f>VLOOKUP(Tabela2[[#This Row],[Tag]],BD!$A:$V,20,0)</f>
        <v>BK-SP54-0900B-LC-74-00004_00000</v>
      </c>
      <c r="H66" s="32" t="str">
        <f>IF(VLOOKUP(Tabela2[[#This Row],[Tag]],BD!A:T,17,0)=0,"",VLOOKUP(Tabela2[[#This Row],[Tag]],BD!A:T,17,0))</f>
        <v>5.2.8</v>
      </c>
      <c r="I66" s="140">
        <v>44136</v>
      </c>
      <c r="J66" s="155">
        <f>VLOOKUP(Tabela2[[#This Row],[Tag]],BD!$A:$AE,30,0)</f>
        <v>100</v>
      </c>
      <c r="K66" s="29">
        <f>SUMIF(B:B,Tabela2[[#This Row],[Tag]],C:C)/Tabela2[[#This Row],[Comprim. Real]]</f>
        <v>1</v>
      </c>
      <c r="L66" s="29" t="str">
        <f>VLOOKUP(Tabela2[[#This Row],[Tag]],BD!A:AF,32,0)</f>
        <v>7HVxGB-1203</v>
      </c>
      <c r="N66" s="21">
        <v>65</v>
      </c>
      <c r="O66" s="21" t="s">
        <v>870</v>
      </c>
      <c r="P66" s="21" t="s">
        <v>17</v>
      </c>
      <c r="Q66" s="26">
        <v>44250</v>
      </c>
      <c r="R66" s="27">
        <f>VLOOKUP(Tabela5[[#This Row],[Teste]],Referências!$D$2:$E$5,2,0)</f>
        <v>2</v>
      </c>
      <c r="S66" s="27" t="str">
        <f>Tabela5[[#This Row],[TAG]]&amp;"-"&amp;Tabela5[[#This Row],[COD_Test]]</f>
        <v>TCC34-8HV-001F-2</v>
      </c>
      <c r="T66" s="21" t="s">
        <v>1505</v>
      </c>
      <c r="U66" s="21" t="str">
        <f>VLOOKUP(Tabela5[[#This Row],[TAG]],BD!A:J,10,0)</f>
        <v>8HV</v>
      </c>
      <c r="V66" s="24" t="str">
        <f>VLOOKUP(Tabela5[[#This Row],[TAG]],BD!A:E,5,0)</f>
        <v>1x2/C#4</v>
      </c>
      <c r="W66" s="21">
        <v>2</v>
      </c>
      <c r="X66" s="256">
        <f>VLOOKUP(Tabela5[[#This Row],[TAG]],$AE:$AK,7,0)</f>
        <v>1</v>
      </c>
      <c r="Y66" s="256" t="str">
        <f>VLOOKUP(Tabela5[[#This Row],[TAG]],BD!A:P,14,0)</f>
        <v>Sim</v>
      </c>
      <c r="Z66" s="256" t="str">
        <f>VLOOKUP(Tabela5[[#This Row],[TAG]],BD!A:P,15,0)</f>
        <v>---</v>
      </c>
      <c r="AA66" s="256" t="str">
        <f>VLOOKUP(Tabela5[[#This Row],[TAG]],BD!A:P,16,0)</f>
        <v>---</v>
      </c>
      <c r="AB66" s="256" t="s">
        <v>85</v>
      </c>
      <c r="AD66" s="391">
        <v>65</v>
      </c>
      <c r="AE66" s="391" t="s">
        <v>529</v>
      </c>
      <c r="AF66" s="391" t="s">
        <v>92</v>
      </c>
      <c r="AG66" s="391">
        <v>6</v>
      </c>
      <c r="AH66" s="32">
        <v>44224</v>
      </c>
      <c r="AI66" s="391">
        <f>VLOOKUP(Tabela7[[#This Row],[TAG]],BD!$A:$V,19,0)</f>
        <v>6</v>
      </c>
      <c r="AJ66" s="23" t="str">
        <f>VLOOKUP(Tabela7[[#This Row],[TAG]],BD!A:J,10,0)</f>
        <v>7HV</v>
      </c>
      <c r="AK66" s="28">
        <f>SUMIF(AE:AE,Tabela7[[#This Row],[TAG]],AG:AG)/Tabela7[[#This Row],[Qtde Lig]]</f>
        <v>1</v>
      </c>
    </row>
    <row r="67" spans="1:37" x14ac:dyDescent="0.25">
      <c r="A67" s="391">
        <v>66</v>
      </c>
      <c r="B67" s="7" t="s">
        <v>711</v>
      </c>
      <c r="C67" s="391">
        <v>90</v>
      </c>
      <c r="D67" s="87">
        <v>44152</v>
      </c>
      <c r="E67" s="32" t="str">
        <f>VLOOKUP(Tabela2[[#This Row],[Tag]],BD!$A:$B,2,0)</f>
        <v>Força</v>
      </c>
      <c r="F67" s="32" t="str">
        <f>VLOOKUP(Tabela2[[#This Row],[Tag]],BD!A:J,10,0)</f>
        <v>GB-1201</v>
      </c>
      <c r="G67" s="31" t="str">
        <f>VLOOKUP(Tabela2[[#This Row],[Tag]],BD!$A:$V,20,0)</f>
        <v>BK-SP54-0900B-LC-74-00004_00000</v>
      </c>
      <c r="H67" s="32" t="str">
        <f>IF(VLOOKUP(Tabela2[[#This Row],[Tag]],BD!A:T,17,0)=0,"",VLOOKUP(Tabela2[[#This Row],[Tag]],BD!A:T,17,0))</f>
        <v>5.2.8</v>
      </c>
      <c r="I67" s="140">
        <v>44136</v>
      </c>
      <c r="J67" s="155">
        <f>VLOOKUP(Tabela2[[#This Row],[Tag]],BD!$A:$AE,30,0)</f>
        <v>100</v>
      </c>
      <c r="K67" s="29">
        <f>SUMIF(B:B,Tabela2[[#This Row],[Tag]],C:C)/Tabela2[[#This Row],[Comprim. Real]]</f>
        <v>1</v>
      </c>
      <c r="L67" s="29" t="str">
        <f>VLOOKUP(Tabela2[[#This Row],[Tag]],BD!A:AF,32,0)</f>
        <v>7HVxGB-1201</v>
      </c>
      <c r="N67" s="21">
        <v>66</v>
      </c>
      <c r="O67" s="21" t="s">
        <v>872</v>
      </c>
      <c r="P67" s="21" t="s">
        <v>16</v>
      </c>
      <c r="Q67" s="26">
        <v>44250</v>
      </c>
      <c r="R67" s="27">
        <f>VLOOKUP(Tabela5[[#This Row],[Teste]],Referências!$D$2:$E$5,2,0)</f>
        <v>1</v>
      </c>
      <c r="S67" s="27" t="str">
        <f>Tabela5[[#This Row],[TAG]]&amp;"-"&amp;Tabela5[[#This Row],[COD_Test]]</f>
        <v>TCC34-PSYNC2-001F-1</v>
      </c>
      <c r="T67" s="21" t="s">
        <v>1505</v>
      </c>
      <c r="U67" s="21" t="str">
        <f>VLOOKUP(Tabela5[[#This Row],[TAG]],BD!A:J,10,0)</f>
        <v>8HV</v>
      </c>
      <c r="V67" s="24" t="str">
        <f>VLOOKUP(Tabela5[[#This Row],[TAG]],BD!A:E,5,0)</f>
        <v>1x2/C#4</v>
      </c>
      <c r="W67" s="21">
        <v>2</v>
      </c>
      <c r="X67" s="256">
        <f>VLOOKUP(Tabela5[[#This Row],[TAG]],$AE:$AK,7,0)</f>
        <v>1</v>
      </c>
      <c r="Y67" s="256" t="str">
        <f>VLOOKUP(Tabela5[[#This Row],[TAG]],BD!A:P,14,0)</f>
        <v>Sim</v>
      </c>
      <c r="Z67" s="256" t="str">
        <f>VLOOKUP(Tabela5[[#This Row],[TAG]],BD!A:P,15,0)</f>
        <v>---</v>
      </c>
      <c r="AA67" s="256" t="str">
        <f>VLOOKUP(Tabela5[[#This Row],[TAG]],BD!A:P,16,0)</f>
        <v>---</v>
      </c>
      <c r="AB67" s="256"/>
      <c r="AD67" s="391">
        <v>66</v>
      </c>
      <c r="AE67" s="391" t="s">
        <v>530</v>
      </c>
      <c r="AF67" s="391" t="s">
        <v>92</v>
      </c>
      <c r="AG67" s="391">
        <v>6</v>
      </c>
      <c r="AH67" s="32">
        <v>44224</v>
      </c>
      <c r="AI67" s="391">
        <f>VLOOKUP(Tabela7[[#This Row],[TAG]],BD!$A:$V,19,0)</f>
        <v>6</v>
      </c>
      <c r="AJ67" s="23" t="str">
        <f>VLOOKUP(Tabela7[[#This Row],[TAG]],BD!A:J,10,0)</f>
        <v>7HV</v>
      </c>
      <c r="AK67" s="28">
        <f>SUMIF(AE:AE,Tabela7[[#This Row],[TAG]],AG:AG)/Tabela7[[#This Row],[Qtde Lig]]</f>
        <v>1</v>
      </c>
    </row>
    <row r="68" spans="1:37" x14ac:dyDescent="0.25">
      <c r="A68" s="391">
        <v>67</v>
      </c>
      <c r="B68" s="7" t="s">
        <v>715</v>
      </c>
      <c r="C68" s="391">
        <v>90</v>
      </c>
      <c r="D68" s="87">
        <v>44152</v>
      </c>
      <c r="E68" s="32" t="str">
        <f>VLOOKUP(Tabela2[[#This Row],[Tag]],BD!$A:$B,2,0)</f>
        <v>Força</v>
      </c>
      <c r="F68" s="32" t="str">
        <f>VLOOKUP(Tabela2[[#This Row],[Tag]],BD!A:J,10,0)</f>
        <v>GB-1201</v>
      </c>
      <c r="G68" s="31" t="str">
        <f>VLOOKUP(Tabela2[[#This Row],[Tag]],BD!$A:$V,20,0)</f>
        <v>BK-SP54-0900B-LC-74-00004_00000</v>
      </c>
      <c r="H68" s="32" t="str">
        <f>IF(VLOOKUP(Tabela2[[#This Row],[Tag]],BD!A:T,17,0)=0,"",VLOOKUP(Tabela2[[#This Row],[Tag]],BD!A:T,17,0))</f>
        <v>5.2.8</v>
      </c>
      <c r="I68" s="140">
        <v>44136</v>
      </c>
      <c r="J68" s="155">
        <f>VLOOKUP(Tabela2[[#This Row],[Tag]],BD!$A:$AE,30,0)</f>
        <v>100</v>
      </c>
      <c r="K68" s="29">
        <f>SUMIF(B:B,Tabela2[[#This Row],[Tag]],C:C)/Tabela2[[#This Row],[Comprim. Real]]</f>
        <v>1</v>
      </c>
      <c r="L68" s="29" t="str">
        <f>VLOOKUP(Tabela2[[#This Row],[Tag]],BD!A:AF,32,0)</f>
        <v>7HVxGB-1201</v>
      </c>
      <c r="N68" s="21">
        <v>67</v>
      </c>
      <c r="O68" s="21" t="s">
        <v>872</v>
      </c>
      <c r="P68" s="21" t="s">
        <v>17</v>
      </c>
      <c r="Q68" s="26">
        <v>44250</v>
      </c>
      <c r="R68" s="27">
        <f>VLOOKUP(Tabela5[[#This Row],[Teste]],Referências!$D$2:$E$5,2,0)</f>
        <v>2</v>
      </c>
      <c r="S68" s="27" t="str">
        <f>Tabela5[[#This Row],[TAG]]&amp;"-"&amp;Tabela5[[#This Row],[COD_Test]]</f>
        <v>TCC34-PSYNC2-001F-2</v>
      </c>
      <c r="T68" s="21" t="s">
        <v>1505</v>
      </c>
      <c r="U68" s="21" t="str">
        <f>VLOOKUP(Tabela5[[#This Row],[TAG]],BD!A:J,10,0)</f>
        <v>8HV</v>
      </c>
      <c r="V68" s="24" t="str">
        <f>VLOOKUP(Tabela5[[#This Row],[TAG]],BD!A:E,5,0)</f>
        <v>1x2/C#4</v>
      </c>
      <c r="W68" s="21">
        <v>2</v>
      </c>
      <c r="X68" s="256">
        <f>VLOOKUP(Tabela5[[#This Row],[TAG]],$AE:$AK,7,0)</f>
        <v>1</v>
      </c>
      <c r="Y68" s="256" t="str">
        <f>VLOOKUP(Tabela5[[#This Row],[TAG]],BD!A:P,14,0)</f>
        <v>Sim</v>
      </c>
      <c r="Z68" s="256" t="str">
        <f>VLOOKUP(Tabela5[[#This Row],[TAG]],BD!A:P,15,0)</f>
        <v>---</v>
      </c>
      <c r="AA68" s="256" t="str">
        <f>VLOOKUP(Tabela5[[#This Row],[TAG]],BD!A:P,16,0)</f>
        <v>---</v>
      </c>
      <c r="AB68" s="256" t="s">
        <v>85</v>
      </c>
      <c r="AD68" s="391">
        <v>67</v>
      </c>
      <c r="AE68" s="391" t="s">
        <v>531</v>
      </c>
      <c r="AF68" s="391" t="s">
        <v>92</v>
      </c>
      <c r="AG68" s="391">
        <v>6</v>
      </c>
      <c r="AH68" s="32">
        <v>44224</v>
      </c>
      <c r="AI68" s="391">
        <f>VLOOKUP(Tabela7[[#This Row],[TAG]],BD!$A:$V,19,0)</f>
        <v>6</v>
      </c>
      <c r="AJ68" s="23" t="str">
        <f>VLOOKUP(Tabela7[[#This Row],[TAG]],BD!A:J,10,0)</f>
        <v>7HV</v>
      </c>
      <c r="AK68" s="28">
        <f>SUMIF(AE:AE,Tabela7[[#This Row],[TAG]],AG:AG)/Tabela7[[#This Row],[Qtde Lig]]</f>
        <v>1</v>
      </c>
    </row>
    <row r="69" spans="1:37" x14ac:dyDescent="0.25">
      <c r="A69" s="391">
        <v>68</v>
      </c>
      <c r="B69" s="7" t="s">
        <v>746</v>
      </c>
      <c r="C69" s="391">
        <v>100</v>
      </c>
      <c r="D69" s="87">
        <v>44152</v>
      </c>
      <c r="E69" s="32" t="str">
        <f>VLOOKUP(Tabela2[[#This Row],[Tag]],BD!$A:$B,2,0)</f>
        <v>Força</v>
      </c>
      <c r="F69" s="32" t="str">
        <f>VLOOKUP(Tabela2[[#This Row],[Tag]],BD!A:J,10,0)</f>
        <v>GB-1203</v>
      </c>
      <c r="G69" s="31" t="str">
        <f>VLOOKUP(Tabela2[[#This Row],[Tag]],BD!$A:$V,20,0)</f>
        <v>BK-SP54-0900B-LC-74-00004_00000</v>
      </c>
      <c r="H69" s="32" t="str">
        <f>IF(VLOOKUP(Tabela2[[#This Row],[Tag]],BD!A:T,17,0)=0,"",VLOOKUP(Tabela2[[#This Row],[Tag]],BD!A:T,17,0))</f>
        <v>5.10.2</v>
      </c>
      <c r="I69" s="140">
        <v>44136</v>
      </c>
      <c r="J69" s="155">
        <f>VLOOKUP(Tabela2[[#This Row],[Tag]],BD!$A:$AE,30,0)</f>
        <v>100</v>
      </c>
      <c r="K69" s="29">
        <f>SUMIF(B:B,Tabela2[[#This Row],[Tag]],C:C)/Tabela2[[#This Row],[Comprim. Real]]</f>
        <v>1</v>
      </c>
      <c r="L69" s="29" t="str">
        <f>VLOOKUP(Tabela2[[#This Row],[Tag]],BD!A:AF,32,0)</f>
        <v>7HVxGB-1203</v>
      </c>
      <c r="N69" s="21">
        <v>68</v>
      </c>
      <c r="O69" s="21" t="s">
        <v>871</v>
      </c>
      <c r="P69" s="21" t="s">
        <v>16</v>
      </c>
      <c r="Q69" s="26">
        <v>44250</v>
      </c>
      <c r="R69" s="27">
        <f>VLOOKUP(Tabela5[[#This Row],[Teste]],Referências!$D$2:$E$5,2,0)</f>
        <v>1</v>
      </c>
      <c r="S69" s="27" t="str">
        <f>Tabela5[[#This Row],[TAG]]&amp;"-"&amp;Tabela5[[#This Row],[COD_Test]]</f>
        <v>TCC34-PSDC1-001F-1</v>
      </c>
      <c r="T69" s="21" t="s">
        <v>1505</v>
      </c>
      <c r="U69" s="21" t="str">
        <f>VLOOKUP(Tabela5[[#This Row],[TAG]],BD!A:J,10,0)</f>
        <v>8HV</v>
      </c>
      <c r="V69" s="24" t="str">
        <f>VLOOKUP(Tabela5[[#This Row],[TAG]],BD!A:E,5,0)</f>
        <v>1x2/C#4</v>
      </c>
      <c r="W69" s="21">
        <v>2</v>
      </c>
      <c r="X69" s="256">
        <f>VLOOKUP(Tabela5[[#This Row],[TAG]],$AE:$AK,7,0)</f>
        <v>1</v>
      </c>
      <c r="Y69" s="256" t="str">
        <f>VLOOKUP(Tabela5[[#This Row],[TAG]],BD!A:P,14,0)</f>
        <v>Sim</v>
      </c>
      <c r="Z69" s="256" t="str">
        <f>VLOOKUP(Tabela5[[#This Row],[TAG]],BD!A:P,15,0)</f>
        <v>---</v>
      </c>
      <c r="AA69" s="256" t="str">
        <f>VLOOKUP(Tabela5[[#This Row],[TAG]],BD!A:P,16,0)</f>
        <v>---</v>
      </c>
      <c r="AB69" s="256"/>
      <c r="AD69" s="391">
        <v>68</v>
      </c>
      <c r="AE69" s="391" t="s">
        <v>539</v>
      </c>
      <c r="AF69" s="391" t="s">
        <v>92</v>
      </c>
      <c r="AG69" s="391">
        <v>6</v>
      </c>
      <c r="AH69" s="32">
        <v>44224</v>
      </c>
      <c r="AI69" s="391">
        <f>VLOOKUP(Tabela7[[#This Row],[TAG]],BD!$A:$V,19,0)</f>
        <v>6</v>
      </c>
      <c r="AJ69" s="23" t="str">
        <f>VLOOKUP(Tabela7[[#This Row],[TAG]],BD!A:J,10,0)</f>
        <v>7HV</v>
      </c>
      <c r="AK69" s="28">
        <f>SUMIF(AE:AE,Tabela7[[#This Row],[TAG]],AG:AG)/Tabela7[[#This Row],[Qtde Lig]]</f>
        <v>1</v>
      </c>
    </row>
    <row r="70" spans="1:37" x14ac:dyDescent="0.25">
      <c r="A70" s="391">
        <v>69</v>
      </c>
      <c r="B70" s="7" t="s">
        <v>750</v>
      </c>
      <c r="C70" s="391">
        <v>100</v>
      </c>
      <c r="D70" s="87">
        <v>44152</v>
      </c>
      <c r="E70" s="32" t="str">
        <f>VLOOKUP(Tabela2[[#This Row],[Tag]],BD!$A:$B,2,0)</f>
        <v>Força</v>
      </c>
      <c r="F70" s="32" t="str">
        <f>VLOOKUP(Tabela2[[#This Row],[Tag]],BD!A:J,10,0)</f>
        <v>GB-1203</v>
      </c>
      <c r="G70" s="31" t="str">
        <f>VLOOKUP(Tabela2[[#This Row],[Tag]],BD!$A:$V,20,0)</f>
        <v>BK-SP54-0900B-LC-74-00004_00000</v>
      </c>
      <c r="H70" s="32" t="str">
        <f>IF(VLOOKUP(Tabela2[[#This Row],[Tag]],BD!A:T,17,0)=0,"",VLOOKUP(Tabela2[[#This Row],[Tag]],BD!A:T,17,0))</f>
        <v>5.5.1</v>
      </c>
      <c r="I70" s="140">
        <v>44136</v>
      </c>
      <c r="J70" s="155">
        <f>VLOOKUP(Tabela2[[#This Row],[Tag]],BD!$A:$AE,30,0)</f>
        <v>100</v>
      </c>
      <c r="K70" s="29">
        <f>SUMIF(B:B,Tabela2[[#This Row],[Tag]],C:C)/Tabela2[[#This Row],[Comprim. Real]]</f>
        <v>1</v>
      </c>
      <c r="L70" s="29" t="str">
        <f>VLOOKUP(Tabela2[[#This Row],[Tag]],BD!A:AF,32,0)</f>
        <v>7HVxGB-1203</v>
      </c>
      <c r="N70" s="21">
        <v>69</v>
      </c>
      <c r="O70" s="21" t="s">
        <v>871</v>
      </c>
      <c r="P70" s="21" t="s">
        <v>17</v>
      </c>
      <c r="Q70" s="26">
        <v>44250</v>
      </c>
      <c r="R70" s="27">
        <f>VLOOKUP(Tabela5[[#This Row],[Teste]],Referências!$D$2:$E$5,2,0)</f>
        <v>2</v>
      </c>
      <c r="S70" s="27" t="str">
        <f>Tabela5[[#This Row],[TAG]]&amp;"-"&amp;Tabela5[[#This Row],[COD_Test]]</f>
        <v>TCC34-PSDC1-001F-2</v>
      </c>
      <c r="T70" s="21" t="s">
        <v>1505</v>
      </c>
      <c r="U70" s="21" t="str">
        <f>VLOOKUP(Tabela5[[#This Row],[TAG]],BD!A:J,10,0)</f>
        <v>8HV</v>
      </c>
      <c r="V70" s="24" t="str">
        <f>VLOOKUP(Tabela5[[#This Row],[TAG]],BD!A:E,5,0)</f>
        <v>1x2/C#4</v>
      </c>
      <c r="W70" s="21">
        <v>2</v>
      </c>
      <c r="X70" s="256">
        <f>VLOOKUP(Tabela5[[#This Row],[TAG]],$AE:$AK,7,0)</f>
        <v>1</v>
      </c>
      <c r="Y70" s="256" t="str">
        <f>VLOOKUP(Tabela5[[#This Row],[TAG]],BD!A:P,14,0)</f>
        <v>Sim</v>
      </c>
      <c r="Z70" s="256" t="str">
        <f>VLOOKUP(Tabela5[[#This Row],[TAG]],BD!A:P,15,0)</f>
        <v>---</v>
      </c>
      <c r="AA70" s="256" t="str">
        <f>VLOOKUP(Tabela5[[#This Row],[TAG]],BD!A:P,16,0)</f>
        <v>---</v>
      </c>
      <c r="AB70" s="256" t="s">
        <v>85</v>
      </c>
      <c r="AD70" s="391">
        <v>69</v>
      </c>
      <c r="AE70" s="391" t="s">
        <v>547</v>
      </c>
      <c r="AF70" s="391" t="s">
        <v>92</v>
      </c>
      <c r="AG70" s="391">
        <v>6</v>
      </c>
      <c r="AH70" s="32">
        <v>44224</v>
      </c>
      <c r="AI70" s="391">
        <f>VLOOKUP(Tabela7[[#This Row],[TAG]],BD!$A:$V,19,0)</f>
        <v>6</v>
      </c>
      <c r="AJ70" s="23" t="str">
        <f>VLOOKUP(Tabela7[[#This Row],[TAG]],BD!A:J,10,0)</f>
        <v>7HV</v>
      </c>
      <c r="AK70" s="28">
        <f>SUMIF(AE:AE,Tabela7[[#This Row],[TAG]],AG:AG)/Tabela7[[#This Row],[Qtde Lig]]</f>
        <v>1</v>
      </c>
    </row>
    <row r="71" spans="1:37" x14ac:dyDescent="0.25">
      <c r="A71" s="391">
        <v>70</v>
      </c>
      <c r="B71" s="7" t="s">
        <v>752</v>
      </c>
      <c r="C71" s="391">
        <v>100</v>
      </c>
      <c r="D71" s="87">
        <v>44152</v>
      </c>
      <c r="E71" s="32" t="str">
        <f>VLOOKUP(Tabela2[[#This Row],[Tag]],BD!$A:$B,2,0)</f>
        <v>Força</v>
      </c>
      <c r="F71" s="32" t="str">
        <f>VLOOKUP(Tabela2[[#This Row],[Tag]],BD!A:J,10,0)</f>
        <v>GB-1203</v>
      </c>
      <c r="G71" s="31" t="str">
        <f>VLOOKUP(Tabela2[[#This Row],[Tag]],BD!$A:$V,20,0)</f>
        <v>BK-SP54-0900B-LC-74-00004_00000</v>
      </c>
      <c r="H71" s="32" t="str">
        <f>IF(VLOOKUP(Tabela2[[#This Row],[Tag]],BD!A:T,17,0)=0,"",VLOOKUP(Tabela2[[#This Row],[Tag]],BD!A:T,17,0))</f>
        <v>5.5.1</v>
      </c>
      <c r="I71" s="140">
        <v>44136</v>
      </c>
      <c r="J71" s="155">
        <f>VLOOKUP(Tabela2[[#This Row],[Tag]],BD!$A:$AE,30,0)</f>
        <v>100</v>
      </c>
      <c r="K71" s="29">
        <f>SUMIF(B:B,Tabela2[[#This Row],[Tag]],C:C)/Tabela2[[#This Row],[Comprim. Real]]</f>
        <v>1</v>
      </c>
      <c r="L71" s="29" t="str">
        <f>VLOOKUP(Tabela2[[#This Row],[Tag]],BD!A:AF,32,0)</f>
        <v>7HVxGB-1203</v>
      </c>
      <c r="N71" s="21">
        <v>70</v>
      </c>
      <c r="O71" s="21" t="s">
        <v>854</v>
      </c>
      <c r="P71" s="21" t="s">
        <v>16</v>
      </c>
      <c r="Q71" s="26">
        <v>44250</v>
      </c>
      <c r="R71" s="27">
        <f>VLOOKUP(Tabela5[[#This Row],[Teste]],Referências!$D$2:$E$5,2,0)</f>
        <v>1</v>
      </c>
      <c r="S71" s="27" t="str">
        <f>Tabela5[[#This Row],[TAG]]&amp;"-"&amp;Tabela5[[#This Row],[COD_Test]]</f>
        <v>TCC33-8HV-001F-1</v>
      </c>
      <c r="T71" s="21" t="s">
        <v>1505</v>
      </c>
      <c r="U71" s="21" t="str">
        <f>VLOOKUP(Tabela5[[#This Row],[TAG]],BD!A:J,10,0)</f>
        <v>8HV</v>
      </c>
      <c r="V71" s="24" t="str">
        <f>VLOOKUP(Tabela5[[#This Row],[TAG]],BD!A:E,5,0)</f>
        <v>1x2/C#4</v>
      </c>
      <c r="W71" s="21">
        <v>2</v>
      </c>
      <c r="X71" s="256">
        <f>VLOOKUP(Tabela5[[#This Row],[TAG]],$AE:$AK,7,0)</f>
        <v>1</v>
      </c>
      <c r="Y71" s="256" t="str">
        <f>VLOOKUP(Tabela5[[#This Row],[TAG]],BD!A:P,14,0)</f>
        <v>Sim</v>
      </c>
      <c r="Z71" s="256" t="str">
        <f>VLOOKUP(Tabela5[[#This Row],[TAG]],BD!A:P,15,0)</f>
        <v>---</v>
      </c>
      <c r="AA71" s="256" t="str">
        <f>VLOOKUP(Tabela5[[#This Row],[TAG]],BD!A:P,16,0)</f>
        <v>---</v>
      </c>
      <c r="AB71" s="256"/>
      <c r="AD71" s="391">
        <v>70</v>
      </c>
      <c r="AE71" s="391" t="s">
        <v>556</v>
      </c>
      <c r="AF71" s="391" t="s">
        <v>92</v>
      </c>
      <c r="AG71" s="391">
        <v>6</v>
      </c>
      <c r="AH71" s="32">
        <v>44224</v>
      </c>
      <c r="AI71" s="391">
        <f>VLOOKUP(Tabela7[[#This Row],[TAG]],BD!$A:$V,19,0)</f>
        <v>6</v>
      </c>
      <c r="AJ71" s="23" t="str">
        <f>VLOOKUP(Tabela7[[#This Row],[TAG]],BD!A:J,10,0)</f>
        <v>7HV</v>
      </c>
      <c r="AK71" s="28">
        <f>SUMIF(AE:AE,Tabela7[[#This Row],[TAG]],AG:AG)/Tabela7[[#This Row],[Qtde Lig]]</f>
        <v>1</v>
      </c>
    </row>
    <row r="72" spans="1:37" x14ac:dyDescent="0.25">
      <c r="A72" s="391">
        <v>71</v>
      </c>
      <c r="B72" s="7" t="s">
        <v>754</v>
      </c>
      <c r="C72" s="391">
        <v>100</v>
      </c>
      <c r="D72" s="87">
        <v>44152</v>
      </c>
      <c r="E72" s="32" t="str">
        <f>VLOOKUP(Tabela2[[#This Row],[Tag]],BD!$A:$B,2,0)</f>
        <v>Força</v>
      </c>
      <c r="F72" s="32" t="str">
        <f>VLOOKUP(Tabela2[[#This Row],[Tag]],BD!A:J,10,0)</f>
        <v>GB-1203</v>
      </c>
      <c r="G72" s="31" t="str">
        <f>VLOOKUP(Tabela2[[#This Row],[Tag]],BD!$A:$V,20,0)</f>
        <v>BK-SP54-0900B-LC-74-00004_00000</v>
      </c>
      <c r="H72" s="32" t="str">
        <f>IF(VLOOKUP(Tabela2[[#This Row],[Tag]],BD!A:T,17,0)=0,"",VLOOKUP(Tabela2[[#This Row],[Tag]],BD!A:T,17,0))</f>
        <v>5.5.1</v>
      </c>
      <c r="I72" s="140">
        <v>44136</v>
      </c>
      <c r="J72" s="155">
        <f>VLOOKUP(Tabela2[[#This Row],[Tag]],BD!$A:$AE,30,0)</f>
        <v>100</v>
      </c>
      <c r="K72" s="29">
        <f>SUMIF(B:B,Tabela2[[#This Row],[Tag]],C:C)/Tabela2[[#This Row],[Comprim. Real]]</f>
        <v>1</v>
      </c>
      <c r="L72" s="29" t="str">
        <f>VLOOKUP(Tabela2[[#This Row],[Tag]],BD!A:AF,32,0)</f>
        <v>7HVxGB-1203</v>
      </c>
      <c r="N72" s="21">
        <v>71</v>
      </c>
      <c r="O72" s="21" t="s">
        <v>854</v>
      </c>
      <c r="P72" s="21" t="s">
        <v>17</v>
      </c>
      <c r="Q72" s="26">
        <v>44250</v>
      </c>
      <c r="R72" s="27">
        <f>VLOOKUP(Tabela5[[#This Row],[Teste]],Referências!$D$2:$E$5,2,0)</f>
        <v>2</v>
      </c>
      <c r="S72" s="27" t="str">
        <f>Tabela5[[#This Row],[TAG]]&amp;"-"&amp;Tabela5[[#This Row],[COD_Test]]</f>
        <v>TCC33-8HV-001F-2</v>
      </c>
      <c r="T72" s="21" t="s">
        <v>1505</v>
      </c>
      <c r="U72" s="21" t="str">
        <f>VLOOKUP(Tabela5[[#This Row],[TAG]],BD!A:J,10,0)</f>
        <v>8HV</v>
      </c>
      <c r="V72" s="24" t="str">
        <f>VLOOKUP(Tabela5[[#This Row],[TAG]],BD!A:E,5,0)</f>
        <v>1x2/C#4</v>
      </c>
      <c r="W72" s="21">
        <v>2</v>
      </c>
      <c r="X72" s="256">
        <f>VLOOKUP(Tabela5[[#This Row],[TAG]],$AE:$AK,7,0)</f>
        <v>1</v>
      </c>
      <c r="Y72" s="256" t="str">
        <f>VLOOKUP(Tabela5[[#This Row],[TAG]],BD!A:P,14,0)</f>
        <v>Sim</v>
      </c>
      <c r="Z72" s="256" t="str">
        <f>VLOOKUP(Tabela5[[#This Row],[TAG]],BD!A:P,15,0)</f>
        <v>---</v>
      </c>
      <c r="AA72" s="256" t="str">
        <f>VLOOKUP(Tabela5[[#This Row],[TAG]],BD!A:P,16,0)</f>
        <v>---</v>
      </c>
      <c r="AB72" s="256" t="s">
        <v>85</v>
      </c>
      <c r="AD72" s="391">
        <v>71</v>
      </c>
      <c r="AE72" s="391" t="s">
        <v>564</v>
      </c>
      <c r="AF72" s="391" t="s">
        <v>92</v>
      </c>
      <c r="AG72" s="391">
        <v>6</v>
      </c>
      <c r="AH72" s="32">
        <v>44224</v>
      </c>
      <c r="AI72" s="391">
        <f>VLOOKUP(Tabela7[[#This Row],[TAG]],BD!$A:$V,19,0)</f>
        <v>6</v>
      </c>
      <c r="AJ72" s="23" t="str">
        <f>VLOOKUP(Tabela7[[#This Row],[TAG]],BD!A:J,10,0)</f>
        <v>7HV</v>
      </c>
      <c r="AK72" s="28">
        <f>SUMIF(AE:AE,Tabela7[[#This Row],[TAG]],AG:AG)/Tabela7[[#This Row],[Qtde Lig]]</f>
        <v>1</v>
      </c>
    </row>
    <row r="73" spans="1:37" x14ac:dyDescent="0.25">
      <c r="A73" s="391">
        <v>72</v>
      </c>
      <c r="B73" s="7" t="s">
        <v>756</v>
      </c>
      <c r="C73" s="391">
        <v>100</v>
      </c>
      <c r="D73" s="87">
        <v>44152</v>
      </c>
      <c r="E73" s="32" t="str">
        <f>VLOOKUP(Tabela2[[#This Row],[Tag]],BD!$A:$B,2,0)</f>
        <v>Força</v>
      </c>
      <c r="F73" s="32" t="str">
        <f>VLOOKUP(Tabela2[[#This Row],[Tag]],BD!A:J,10,0)</f>
        <v>GB-1203</v>
      </c>
      <c r="G73" s="31" t="str">
        <f>VLOOKUP(Tabela2[[#This Row],[Tag]],BD!$A:$V,20,0)</f>
        <v>BK-SP54-0900B-LC-74-00004_00000</v>
      </c>
      <c r="H73" s="32" t="str">
        <f>IF(VLOOKUP(Tabela2[[#This Row],[Tag]],BD!A:T,17,0)=0,"",VLOOKUP(Tabela2[[#This Row],[Tag]],BD!A:T,17,0))</f>
        <v>5.5.1</v>
      </c>
      <c r="I73" s="140">
        <v>44136</v>
      </c>
      <c r="J73" s="155">
        <f>VLOOKUP(Tabela2[[#This Row],[Tag]],BD!$A:$AE,30,0)</f>
        <v>100</v>
      </c>
      <c r="K73" s="29">
        <f>SUMIF(B:B,Tabela2[[#This Row],[Tag]],C:C)/Tabela2[[#This Row],[Comprim. Real]]</f>
        <v>1</v>
      </c>
      <c r="L73" s="29" t="str">
        <f>VLOOKUP(Tabela2[[#This Row],[Tag]],BD!A:AF,32,0)</f>
        <v>7HVxGB-1203</v>
      </c>
      <c r="N73" s="21">
        <v>72</v>
      </c>
      <c r="O73" s="21" t="s">
        <v>858</v>
      </c>
      <c r="P73" s="21" t="s">
        <v>16</v>
      </c>
      <c r="Q73" s="26">
        <v>44250</v>
      </c>
      <c r="R73" s="27">
        <f>VLOOKUP(Tabela5[[#This Row],[Teste]],Referências!$D$2:$E$5,2,0)</f>
        <v>1</v>
      </c>
      <c r="S73" s="27" t="str">
        <f>Tabela5[[#This Row],[TAG]]&amp;"-"&amp;Tabela5[[#This Row],[COD_Test]]</f>
        <v>TCC33-BCH19-8HV-001F-1</v>
      </c>
      <c r="T73" s="21" t="s">
        <v>1505</v>
      </c>
      <c r="U73" s="21" t="str">
        <f>VLOOKUP(Tabela5[[#This Row],[TAG]],BD!A:J,10,0)</f>
        <v>8HV</v>
      </c>
      <c r="V73" s="24" t="str">
        <f>VLOOKUP(Tabela5[[#This Row],[TAG]],BD!A:E,5,0)</f>
        <v>1x2/C#4</v>
      </c>
      <c r="W73" s="21">
        <v>2</v>
      </c>
      <c r="X73" s="256">
        <f>VLOOKUP(Tabela5[[#This Row],[TAG]],$AE:$AK,7,0)</f>
        <v>1</v>
      </c>
      <c r="Y73" s="256" t="str">
        <f>VLOOKUP(Tabela5[[#This Row],[TAG]],BD!A:P,14,0)</f>
        <v>Sim</v>
      </c>
      <c r="Z73" s="256" t="str">
        <f>VLOOKUP(Tabela5[[#This Row],[TAG]],BD!A:P,15,0)</f>
        <v>---</v>
      </c>
      <c r="AA73" s="256" t="str">
        <f>VLOOKUP(Tabela5[[#This Row],[TAG]],BD!A:P,16,0)</f>
        <v>---</v>
      </c>
      <c r="AB73" s="256"/>
      <c r="AD73" s="391">
        <v>72</v>
      </c>
      <c r="AE73" s="391" t="s">
        <v>575</v>
      </c>
      <c r="AF73" s="391" t="s">
        <v>92</v>
      </c>
      <c r="AG73" s="391">
        <v>6</v>
      </c>
      <c r="AH73" s="32">
        <v>44224</v>
      </c>
      <c r="AI73" s="391">
        <f>VLOOKUP(Tabela7[[#This Row],[TAG]],BD!$A:$V,19,0)</f>
        <v>6</v>
      </c>
      <c r="AJ73" s="23" t="str">
        <f>VLOOKUP(Tabela7[[#This Row],[TAG]],BD!A:J,10,0)</f>
        <v>7HV</v>
      </c>
      <c r="AK73" s="28">
        <f>SUMIF(AE:AE,Tabela7[[#This Row],[TAG]],AG:AG)/Tabela7[[#This Row],[Qtde Lig]]</f>
        <v>1</v>
      </c>
    </row>
    <row r="74" spans="1:37" x14ac:dyDescent="0.25">
      <c r="A74" s="391">
        <v>73</v>
      </c>
      <c r="B74" s="7" t="s">
        <v>758</v>
      </c>
      <c r="C74" s="391">
        <v>100</v>
      </c>
      <c r="D74" s="87">
        <v>44152</v>
      </c>
      <c r="E74" s="32" t="str">
        <f>VLOOKUP(Tabela2[[#This Row],[Tag]],BD!$A:$B,2,0)</f>
        <v>Força</v>
      </c>
      <c r="F74" s="32" t="str">
        <f>VLOOKUP(Tabela2[[#This Row],[Tag]],BD!A:J,10,0)</f>
        <v>GB-1203</v>
      </c>
      <c r="G74" s="31" t="str">
        <f>VLOOKUP(Tabela2[[#This Row],[Tag]],BD!$A:$V,20,0)</f>
        <v>BK-SP54-0900B-LC-74-00004_00000</v>
      </c>
      <c r="H74" s="32" t="str">
        <f>IF(VLOOKUP(Tabela2[[#This Row],[Tag]],BD!A:T,17,0)=0,"",VLOOKUP(Tabela2[[#This Row],[Tag]],BD!A:T,17,0))</f>
        <v>5.5.1</v>
      </c>
      <c r="I74" s="140">
        <v>44136</v>
      </c>
      <c r="J74" s="155">
        <f>VLOOKUP(Tabela2[[#This Row],[Tag]],BD!$A:$AE,30,0)</f>
        <v>100</v>
      </c>
      <c r="K74" s="29">
        <f>SUMIF(B:B,Tabela2[[#This Row],[Tag]],C:C)/Tabela2[[#This Row],[Comprim. Real]]</f>
        <v>1</v>
      </c>
      <c r="L74" s="29" t="str">
        <f>VLOOKUP(Tabela2[[#This Row],[Tag]],BD!A:AF,32,0)</f>
        <v>7HVxGB-1203</v>
      </c>
      <c r="N74" s="21">
        <v>73</v>
      </c>
      <c r="O74" s="21" t="s">
        <v>858</v>
      </c>
      <c r="P74" s="21" t="s">
        <v>17</v>
      </c>
      <c r="Q74" s="26">
        <v>44250</v>
      </c>
      <c r="R74" s="27">
        <f>VLOOKUP(Tabela5[[#This Row],[Teste]],Referências!$D$2:$E$5,2,0)</f>
        <v>2</v>
      </c>
      <c r="S74" s="27" t="str">
        <f>Tabela5[[#This Row],[TAG]]&amp;"-"&amp;Tabela5[[#This Row],[COD_Test]]</f>
        <v>TCC33-BCH19-8HV-001F-2</v>
      </c>
      <c r="T74" s="21" t="s">
        <v>1505</v>
      </c>
      <c r="U74" s="21" t="str">
        <f>VLOOKUP(Tabela5[[#This Row],[TAG]],BD!A:J,10,0)</f>
        <v>8HV</v>
      </c>
      <c r="V74" s="24" t="str">
        <f>VLOOKUP(Tabela5[[#This Row],[TAG]],BD!A:E,5,0)</f>
        <v>1x2/C#4</v>
      </c>
      <c r="W74" s="21">
        <v>2</v>
      </c>
      <c r="X74" s="256">
        <f>VLOOKUP(Tabela5[[#This Row],[TAG]],$AE:$AK,7,0)</f>
        <v>1</v>
      </c>
      <c r="Y74" s="256" t="str">
        <f>VLOOKUP(Tabela5[[#This Row],[TAG]],BD!A:P,14,0)</f>
        <v>Sim</v>
      </c>
      <c r="Z74" s="256" t="str">
        <f>VLOOKUP(Tabela5[[#This Row],[TAG]],BD!A:P,15,0)</f>
        <v>---</v>
      </c>
      <c r="AA74" s="256" t="str">
        <f>VLOOKUP(Tabela5[[#This Row],[TAG]],BD!A:P,16,0)</f>
        <v>---</v>
      </c>
      <c r="AB74" s="256" t="s">
        <v>85</v>
      </c>
      <c r="AD74" s="391">
        <v>73</v>
      </c>
      <c r="AE74" s="391" t="s">
        <v>516</v>
      </c>
      <c r="AF74" s="391" t="s">
        <v>92</v>
      </c>
      <c r="AG74" s="391">
        <v>6</v>
      </c>
      <c r="AH74" s="32">
        <v>44224</v>
      </c>
      <c r="AI74" s="391">
        <f>VLOOKUP(Tabela7[[#This Row],[TAG]],BD!$A:$V,19,0)</f>
        <v>6</v>
      </c>
      <c r="AJ74" s="23" t="str">
        <f>VLOOKUP(Tabela7[[#This Row],[TAG]],BD!A:J,10,0)</f>
        <v>7HV</v>
      </c>
      <c r="AK74" s="28">
        <f>SUMIF(AE:AE,Tabela7[[#This Row],[TAG]],AG:AG)/Tabela7[[#This Row],[Qtde Lig]]</f>
        <v>1</v>
      </c>
    </row>
    <row r="75" spans="1:37" x14ac:dyDescent="0.25">
      <c r="A75" s="391">
        <v>74</v>
      </c>
      <c r="B75" s="7" t="s">
        <v>717</v>
      </c>
      <c r="C75" s="391">
        <v>85</v>
      </c>
      <c r="D75" s="87">
        <v>44152</v>
      </c>
      <c r="E75" s="32" t="str">
        <f>VLOOKUP(Tabela2[[#This Row],[Tag]],BD!$A:$B,2,0)</f>
        <v>Força</v>
      </c>
      <c r="F75" s="32" t="str">
        <f>VLOOKUP(Tabela2[[#This Row],[Tag]],BD!A:J,10,0)</f>
        <v>GB-1201</v>
      </c>
      <c r="G75" s="31" t="str">
        <f>VLOOKUP(Tabela2[[#This Row],[Tag]],BD!$A:$V,20,0)</f>
        <v>BK-SP54-0900B-LC-74-00004_00000</v>
      </c>
      <c r="H75" s="32" t="str">
        <f>IF(VLOOKUP(Tabela2[[#This Row],[Tag]],BD!A:T,17,0)=0,"",VLOOKUP(Tabela2[[#This Row],[Tag]],BD!A:T,17,0))</f>
        <v>5.5.1</v>
      </c>
      <c r="I75" s="140">
        <v>44136</v>
      </c>
      <c r="J75" s="155">
        <f>VLOOKUP(Tabela2[[#This Row],[Tag]],BD!$A:$AE,30,0)</f>
        <v>85</v>
      </c>
      <c r="K75" s="29">
        <f>SUMIF(B:B,Tabela2[[#This Row],[Tag]],C:C)/Tabela2[[#This Row],[Comprim. Real]]</f>
        <v>1</v>
      </c>
      <c r="L75" s="29" t="str">
        <f>VLOOKUP(Tabela2[[#This Row],[Tag]],BD!A:AF,32,0)</f>
        <v>7HVxGB-1201</v>
      </c>
      <c r="N75" s="21">
        <v>74</v>
      </c>
      <c r="O75" s="21" t="s">
        <v>860</v>
      </c>
      <c r="P75" s="21" t="s">
        <v>16</v>
      </c>
      <c r="Q75" s="26">
        <v>44250</v>
      </c>
      <c r="R75" s="27">
        <f>VLOOKUP(Tabela5[[#This Row],[Teste]],Referências!$D$2:$E$5,2,0)</f>
        <v>1</v>
      </c>
      <c r="S75" s="27" t="str">
        <f>Tabela5[[#This Row],[TAG]]&amp;"-"&amp;Tabela5[[#This Row],[COD_Test]]</f>
        <v>TCC33-BCH19-POT-8HV-001F-1</v>
      </c>
      <c r="T75" s="21" t="s">
        <v>1505</v>
      </c>
      <c r="U75" s="21" t="str">
        <f>VLOOKUP(Tabela5[[#This Row],[TAG]],BD!A:J,10,0)</f>
        <v>8HV</v>
      </c>
      <c r="V75" s="24" t="str">
        <f>VLOOKUP(Tabela5[[#This Row],[TAG]],BD!A:E,5,0)</f>
        <v>1x2/C#4</v>
      </c>
      <c r="W75" s="21">
        <v>2</v>
      </c>
      <c r="X75" s="256">
        <f>VLOOKUP(Tabela5[[#This Row],[TAG]],$AE:$AK,7,0)</f>
        <v>1</v>
      </c>
      <c r="Y75" s="256" t="str">
        <f>VLOOKUP(Tabela5[[#This Row],[TAG]],BD!A:P,14,0)</f>
        <v>Sim</v>
      </c>
      <c r="Z75" s="256" t="str">
        <f>VLOOKUP(Tabela5[[#This Row],[TAG]],BD!A:P,15,0)</f>
        <v>---</v>
      </c>
      <c r="AA75" s="256" t="str">
        <f>VLOOKUP(Tabela5[[#This Row],[TAG]],BD!A:P,16,0)</f>
        <v>---</v>
      </c>
      <c r="AB75" s="256"/>
      <c r="AD75" s="391">
        <v>74</v>
      </c>
      <c r="AE75" s="391" t="s">
        <v>519</v>
      </c>
      <c r="AF75" s="391" t="s">
        <v>92</v>
      </c>
      <c r="AG75" s="391">
        <v>6</v>
      </c>
      <c r="AH75" s="32">
        <v>44224</v>
      </c>
      <c r="AI75" s="391">
        <f>VLOOKUP(Tabela7[[#This Row],[TAG]],BD!$A:$V,19,0)</f>
        <v>6</v>
      </c>
      <c r="AJ75" s="23" t="str">
        <f>VLOOKUP(Tabela7[[#This Row],[TAG]],BD!A:J,10,0)</f>
        <v>7HV</v>
      </c>
      <c r="AK75" s="28">
        <f>SUMIF(AE:AE,Tabela7[[#This Row],[TAG]],AG:AG)/Tabela7[[#This Row],[Qtde Lig]]</f>
        <v>1</v>
      </c>
    </row>
    <row r="76" spans="1:37" x14ac:dyDescent="0.25">
      <c r="A76" s="391">
        <v>75</v>
      </c>
      <c r="B76" s="7" t="s">
        <v>723</v>
      </c>
      <c r="C76" s="391">
        <v>85</v>
      </c>
      <c r="D76" s="87">
        <v>44152</v>
      </c>
      <c r="E76" s="32" t="str">
        <f>VLOOKUP(Tabela2[[#This Row],[Tag]],BD!$A:$B,2,0)</f>
        <v>Força</v>
      </c>
      <c r="F76" s="32" t="str">
        <f>VLOOKUP(Tabela2[[#This Row],[Tag]],BD!A:J,10,0)</f>
        <v>GB-1201</v>
      </c>
      <c r="G76" s="31" t="str">
        <f>VLOOKUP(Tabela2[[#This Row],[Tag]],BD!$A:$V,20,0)</f>
        <v>BK-SP54-0900B-LC-74-00004_00000</v>
      </c>
      <c r="H76" s="32" t="str">
        <f>IF(VLOOKUP(Tabela2[[#This Row],[Tag]],BD!A:T,17,0)=0,"",VLOOKUP(Tabela2[[#This Row],[Tag]],BD!A:T,17,0))</f>
        <v>5.5.1</v>
      </c>
      <c r="I76" s="140">
        <v>44136</v>
      </c>
      <c r="J76" s="155">
        <f>VLOOKUP(Tabela2[[#This Row],[Tag]],BD!$A:$AE,30,0)</f>
        <v>85</v>
      </c>
      <c r="K76" s="29">
        <f>SUMIF(B:B,Tabela2[[#This Row],[Tag]],C:C)/Tabela2[[#This Row],[Comprim. Real]]</f>
        <v>1</v>
      </c>
      <c r="L76" s="29" t="str">
        <f>VLOOKUP(Tabela2[[#This Row],[Tag]],BD!A:AF,32,0)</f>
        <v>7HVxGB-1201</v>
      </c>
      <c r="N76" s="21">
        <v>75</v>
      </c>
      <c r="O76" s="21" t="s">
        <v>860</v>
      </c>
      <c r="P76" s="21" t="s">
        <v>17</v>
      </c>
      <c r="Q76" s="26">
        <v>44250</v>
      </c>
      <c r="R76" s="27">
        <f>VLOOKUP(Tabela5[[#This Row],[Teste]],Referências!$D$2:$E$5,2,0)</f>
        <v>2</v>
      </c>
      <c r="S76" s="27" t="str">
        <f>Tabela5[[#This Row],[TAG]]&amp;"-"&amp;Tabela5[[#This Row],[COD_Test]]</f>
        <v>TCC33-BCH19-POT-8HV-001F-2</v>
      </c>
      <c r="T76" s="21" t="s">
        <v>1505</v>
      </c>
      <c r="U76" s="21" t="str">
        <f>VLOOKUP(Tabela5[[#This Row],[TAG]],BD!A:J,10,0)</f>
        <v>8HV</v>
      </c>
      <c r="V76" s="24" t="str">
        <f>VLOOKUP(Tabela5[[#This Row],[TAG]],BD!A:E,5,0)</f>
        <v>1x2/C#4</v>
      </c>
      <c r="W76" s="21">
        <v>2</v>
      </c>
      <c r="X76" s="256">
        <f>VLOOKUP(Tabela5[[#This Row],[TAG]],$AE:$AK,7,0)</f>
        <v>1</v>
      </c>
      <c r="Y76" s="256" t="str">
        <f>VLOOKUP(Tabela5[[#This Row],[TAG]],BD!A:P,14,0)</f>
        <v>Sim</v>
      </c>
      <c r="Z76" s="256" t="str">
        <f>VLOOKUP(Tabela5[[#This Row],[TAG]],BD!A:P,15,0)</f>
        <v>---</v>
      </c>
      <c r="AA76" s="256" t="str">
        <f>VLOOKUP(Tabela5[[#This Row],[TAG]],BD!A:P,16,0)</f>
        <v>---</v>
      </c>
      <c r="AB76" s="256" t="s">
        <v>85</v>
      </c>
      <c r="AD76" s="391">
        <v>75</v>
      </c>
      <c r="AE76" s="391" t="s">
        <v>520</v>
      </c>
      <c r="AF76" s="391" t="s">
        <v>92</v>
      </c>
      <c r="AG76" s="391">
        <v>6</v>
      </c>
      <c r="AH76" s="32">
        <v>44224</v>
      </c>
      <c r="AI76" s="391">
        <f>VLOOKUP(Tabela7[[#This Row],[TAG]],BD!$A:$V,19,0)</f>
        <v>6</v>
      </c>
      <c r="AJ76" s="23" t="str">
        <f>VLOOKUP(Tabela7[[#This Row],[TAG]],BD!A:J,10,0)</f>
        <v>7HV</v>
      </c>
      <c r="AK76" s="28">
        <f>SUMIF(AE:AE,Tabela7[[#This Row],[TAG]],AG:AG)/Tabela7[[#This Row],[Qtde Lig]]</f>
        <v>1</v>
      </c>
    </row>
    <row r="77" spans="1:37" x14ac:dyDescent="0.25">
      <c r="A77" s="391">
        <v>76</v>
      </c>
      <c r="B77" s="7" t="s">
        <v>725</v>
      </c>
      <c r="C77" s="391">
        <v>85</v>
      </c>
      <c r="D77" s="87">
        <v>44152</v>
      </c>
      <c r="E77" s="32" t="str">
        <f>VLOOKUP(Tabela2[[#This Row],[Tag]],BD!$A:$B,2,0)</f>
        <v>Força</v>
      </c>
      <c r="F77" s="32" t="str">
        <f>VLOOKUP(Tabela2[[#This Row],[Tag]],BD!A:J,10,0)</f>
        <v>GB-1201</v>
      </c>
      <c r="G77" s="31" t="str">
        <f>VLOOKUP(Tabela2[[#This Row],[Tag]],BD!$A:$V,20,0)</f>
        <v>BK-SP54-0900B-LC-74-00004_00000</v>
      </c>
      <c r="H77" s="32" t="str">
        <f>IF(VLOOKUP(Tabela2[[#This Row],[Tag]],BD!A:T,17,0)=0,"",VLOOKUP(Tabela2[[#This Row],[Tag]],BD!A:T,17,0))</f>
        <v>5.5.1</v>
      </c>
      <c r="I77" s="140">
        <v>44136</v>
      </c>
      <c r="J77" s="155">
        <f>VLOOKUP(Tabela2[[#This Row],[Tag]],BD!$A:$AE,30,0)</f>
        <v>85</v>
      </c>
      <c r="K77" s="29">
        <f>SUMIF(B:B,Tabela2[[#This Row],[Tag]],C:C)/Tabela2[[#This Row],[Comprim. Real]]</f>
        <v>1</v>
      </c>
      <c r="L77" s="29" t="str">
        <f>VLOOKUP(Tabela2[[#This Row],[Tag]],BD!A:AF,32,0)</f>
        <v>7HVxGB-1201</v>
      </c>
      <c r="N77" s="21">
        <v>76</v>
      </c>
      <c r="O77" s="21" t="s">
        <v>427</v>
      </c>
      <c r="P77" s="21" t="s">
        <v>16</v>
      </c>
      <c r="Q77" s="26">
        <v>44249</v>
      </c>
      <c r="R77" s="27">
        <f>VLOOKUP(Tabela5[[#This Row],[Teste]],Referências!$D$2:$E$5,2,0)</f>
        <v>1</v>
      </c>
      <c r="S77" s="27" t="str">
        <f>Tabela5[[#This Row],[TAG]]&amp;"-"&amp;Tabela5[[#This Row],[COD_Test]]</f>
        <v>7HV-M007-1</v>
      </c>
      <c r="T77" s="21" t="s">
        <v>1505</v>
      </c>
      <c r="U77" s="21" t="str">
        <f>VLOOKUP(Tabela5[[#This Row],[TAG]],BD!A:J,10,0)</f>
        <v>7HV</v>
      </c>
      <c r="V77" s="24" t="str">
        <f>VLOOKUP(Tabela5[[#This Row],[TAG]],BD!A:E,5,0)</f>
        <v>1x3x1/C#95</v>
      </c>
      <c r="W77" s="21">
        <v>2</v>
      </c>
      <c r="X77" s="256">
        <f>VLOOKUP(Tabela5[[#This Row],[TAG]],$AE:$AK,7,0)</f>
        <v>1</v>
      </c>
      <c r="Y77" s="256" t="str">
        <f>VLOOKUP(Tabela5[[#This Row],[TAG]],BD!A:P,14,0)</f>
        <v>---</v>
      </c>
      <c r="Z77" s="256" t="str">
        <f>VLOOKUP(Tabela5[[#This Row],[TAG]],BD!A:P,15,0)</f>
        <v>Sim</v>
      </c>
      <c r="AA77" s="256" t="str">
        <f>VLOOKUP(Tabela5[[#This Row],[TAG]],BD!A:P,16,0)</f>
        <v>Sim</v>
      </c>
      <c r="AB77" s="256"/>
      <c r="AD77" s="391">
        <v>76</v>
      </c>
      <c r="AE77" s="391" t="s">
        <v>521</v>
      </c>
      <c r="AF77" s="391" t="s">
        <v>92</v>
      </c>
      <c r="AG77" s="391">
        <v>6</v>
      </c>
      <c r="AH77" s="32">
        <v>44224</v>
      </c>
      <c r="AI77" s="391">
        <f>VLOOKUP(Tabela7[[#This Row],[TAG]],BD!$A:$V,19,0)</f>
        <v>6</v>
      </c>
      <c r="AJ77" s="23" t="str">
        <f>VLOOKUP(Tabela7[[#This Row],[TAG]],BD!A:J,10,0)</f>
        <v>7HV</v>
      </c>
      <c r="AK77" s="28">
        <f>SUMIF(AE:AE,Tabela7[[#This Row],[TAG]],AG:AG)/Tabela7[[#This Row],[Qtde Lig]]</f>
        <v>1</v>
      </c>
    </row>
    <row r="78" spans="1:37" x14ac:dyDescent="0.25">
      <c r="A78" s="391">
        <v>77</v>
      </c>
      <c r="B78" s="7" t="s">
        <v>410</v>
      </c>
      <c r="C78" s="391">
        <v>24</v>
      </c>
      <c r="D78" s="32">
        <v>44154</v>
      </c>
      <c r="E78" s="32" t="str">
        <f>VLOOKUP(Tabela2[[#This Row],[Tag]],BD!$A:$B,2,0)</f>
        <v>Força</v>
      </c>
      <c r="F78" s="32" t="str">
        <f>VLOOKUP(Tabela2[[#This Row],[Tag]],BD!A:J,10,0)</f>
        <v>7HV</v>
      </c>
      <c r="G78" s="31" t="str">
        <f>VLOOKUP(Tabela2[[#This Row],[Tag]],BD!$A:$V,20,0)</f>
        <v>E5WP000490-C-001-LC003</v>
      </c>
      <c r="H78" s="32" t="str">
        <f>IF(VLOOKUP(Tabela2[[#This Row],[Tag]],BD!A:T,17,0)=0,"",VLOOKUP(Tabela2[[#This Row],[Tag]],BD!A:T,17,0))</f>
        <v>5.2.4</v>
      </c>
      <c r="I78" s="140">
        <v>44136</v>
      </c>
      <c r="J78" s="155">
        <f>VLOOKUP(Tabela2[[#This Row],[Tag]],BD!$A:$AE,30,0)</f>
        <v>24</v>
      </c>
      <c r="K78" s="29">
        <f>SUMIF(B:B,Tabela2[[#This Row],[Tag]],C:C)/Tabela2[[#This Row],[Comprim. Real]]</f>
        <v>1</v>
      </c>
      <c r="L78" s="29" t="str">
        <f>VLOOKUP(Tabela2[[#This Row],[Tag]],BD!A:AF,32,0)</f>
        <v>7HV</v>
      </c>
      <c r="N78" s="21">
        <v>77</v>
      </c>
      <c r="O78" s="21" t="s">
        <v>427</v>
      </c>
      <c r="P78" s="21" t="s">
        <v>18</v>
      </c>
      <c r="Q78" s="26">
        <v>44249</v>
      </c>
      <c r="R78" s="27">
        <f>VLOOKUP(Tabela5[[#This Row],[Teste]],Referências!$D$2:$E$5,2,0)</f>
        <v>3</v>
      </c>
      <c r="S78" s="27" t="str">
        <f>Tabela5[[#This Row],[TAG]]&amp;"-"&amp;Tabela5[[#This Row],[COD_Test]]</f>
        <v>7HV-M007-3</v>
      </c>
      <c r="T78" s="21" t="s">
        <v>1505</v>
      </c>
      <c r="U78" s="21" t="str">
        <f>VLOOKUP(Tabela5[[#This Row],[TAG]],BD!A:J,10,0)</f>
        <v>7HV</v>
      </c>
      <c r="V78" s="24" t="str">
        <f>VLOOKUP(Tabela5[[#This Row],[TAG]],BD!A:E,5,0)</f>
        <v>1x3x1/C#95</v>
      </c>
      <c r="W78" s="21">
        <v>2</v>
      </c>
      <c r="X78" s="256">
        <f>VLOOKUP(Tabela5[[#This Row],[TAG]],$AE:$AK,7,0)</f>
        <v>1</v>
      </c>
      <c r="Y78" s="256" t="str">
        <f>VLOOKUP(Tabela5[[#This Row],[TAG]],BD!A:P,14,0)</f>
        <v>---</v>
      </c>
      <c r="Z78" s="256" t="str">
        <f>VLOOKUP(Tabela5[[#This Row],[TAG]],BD!A:P,15,0)</f>
        <v>Sim</v>
      </c>
      <c r="AA78" s="256" t="str">
        <f>VLOOKUP(Tabela5[[#This Row],[TAG]],BD!A:P,16,0)</f>
        <v>Sim</v>
      </c>
      <c r="AB78" s="256"/>
      <c r="AD78" s="391">
        <v>77</v>
      </c>
      <c r="AE78" s="391" t="s">
        <v>502</v>
      </c>
      <c r="AF78" s="391" t="s">
        <v>92</v>
      </c>
      <c r="AG78" s="391">
        <v>6</v>
      </c>
      <c r="AH78" s="32">
        <v>44224</v>
      </c>
      <c r="AI78" s="391">
        <f>VLOOKUP(Tabela7[[#This Row],[TAG]],BD!$A:$V,19,0)</f>
        <v>6</v>
      </c>
      <c r="AJ78" s="23" t="str">
        <f>VLOOKUP(Tabela7[[#This Row],[TAG]],BD!A:J,10,0)</f>
        <v>7HV</v>
      </c>
      <c r="AK78" s="28">
        <f>SUMIF(AE:AE,Tabela7[[#This Row],[TAG]],AG:AG)/Tabela7[[#This Row],[Qtde Lig]]</f>
        <v>1</v>
      </c>
    </row>
    <row r="79" spans="1:37" x14ac:dyDescent="0.25">
      <c r="A79" s="391">
        <v>78</v>
      </c>
      <c r="B79" s="7" t="s">
        <v>417</v>
      </c>
      <c r="C79" s="391">
        <v>18</v>
      </c>
      <c r="D79" s="32">
        <v>44154</v>
      </c>
      <c r="E79" s="32" t="str">
        <f>VLOOKUP(Tabela2[[#This Row],[Tag]],BD!$A:$B,2,0)</f>
        <v>Força</v>
      </c>
      <c r="F79" s="32" t="str">
        <f>VLOOKUP(Tabela2[[#This Row],[Tag]],BD!A:J,10,0)</f>
        <v>7HV</v>
      </c>
      <c r="G79" s="31" t="str">
        <f>VLOOKUP(Tabela2[[#This Row],[Tag]],BD!$A:$V,20,0)</f>
        <v>E5WP000490-C-001-LC003</v>
      </c>
      <c r="H79" s="32" t="str">
        <f>IF(VLOOKUP(Tabela2[[#This Row],[Tag]],BD!A:T,17,0)=0,"",VLOOKUP(Tabela2[[#This Row],[Tag]],BD!A:T,17,0))</f>
        <v>5.2.4</v>
      </c>
      <c r="I79" s="140">
        <v>44136</v>
      </c>
      <c r="J79" s="155">
        <f>VLOOKUP(Tabela2[[#This Row],[Tag]],BD!$A:$AE,30,0)</f>
        <v>18</v>
      </c>
      <c r="K79" s="29">
        <f>SUMIF(B:B,Tabela2[[#This Row],[Tag]],C:C)/Tabela2[[#This Row],[Comprim. Real]]</f>
        <v>1</v>
      </c>
      <c r="L79" s="29" t="str">
        <f>VLOOKUP(Tabela2[[#This Row],[Tag]],BD!A:AF,32,0)</f>
        <v>7HV</v>
      </c>
      <c r="N79" s="21">
        <v>78</v>
      </c>
      <c r="O79" s="21" t="s">
        <v>427</v>
      </c>
      <c r="P79" s="21" t="s">
        <v>19</v>
      </c>
      <c r="Q79" s="26">
        <v>44249</v>
      </c>
      <c r="R79" s="27">
        <f>VLOOKUP(Tabela5[[#This Row],[Teste]],Referências!$D$2:$E$5,2,0)</f>
        <v>4</v>
      </c>
      <c r="S79" s="27" t="str">
        <f>Tabela5[[#This Row],[TAG]]&amp;"-"&amp;Tabela5[[#This Row],[COD_Test]]</f>
        <v>7HV-M007-4</v>
      </c>
      <c r="T79" s="21" t="s">
        <v>1505</v>
      </c>
      <c r="U79" s="21" t="str">
        <f>VLOOKUP(Tabela5[[#This Row],[TAG]],BD!A:J,10,0)</f>
        <v>7HV</v>
      </c>
      <c r="V79" s="24" t="str">
        <f>VLOOKUP(Tabela5[[#This Row],[TAG]],BD!A:E,5,0)</f>
        <v>1x3x1/C#95</v>
      </c>
      <c r="W79" s="21">
        <v>2</v>
      </c>
      <c r="X79" s="256">
        <f>VLOOKUP(Tabela5[[#This Row],[TAG]],$AE:$AK,7,0)</f>
        <v>1</v>
      </c>
      <c r="Y79" s="256" t="str">
        <f>VLOOKUP(Tabela5[[#This Row],[TAG]],BD!A:P,14,0)</f>
        <v>---</v>
      </c>
      <c r="Z79" s="256" t="str">
        <f>VLOOKUP(Tabela5[[#This Row],[TAG]],BD!A:P,15,0)</f>
        <v>Sim</v>
      </c>
      <c r="AA79" s="256" t="str">
        <f>VLOOKUP(Tabela5[[#This Row],[TAG]],BD!A:P,16,0)</f>
        <v>Sim</v>
      </c>
      <c r="AB79" s="256"/>
      <c r="AD79" s="391">
        <v>78</v>
      </c>
      <c r="AE79" s="391" t="s">
        <v>506</v>
      </c>
      <c r="AF79" s="391" t="s">
        <v>92</v>
      </c>
      <c r="AG79" s="391">
        <v>6</v>
      </c>
      <c r="AH79" s="32">
        <v>44224</v>
      </c>
      <c r="AI79" s="391">
        <f>VLOOKUP(Tabela7[[#This Row],[TAG]],BD!$A:$V,19,0)</f>
        <v>6</v>
      </c>
      <c r="AJ79" s="23" t="str">
        <f>VLOOKUP(Tabela7[[#This Row],[TAG]],BD!A:J,10,0)</f>
        <v>7HV</v>
      </c>
      <c r="AK79" s="28">
        <f>SUMIF(AE:AE,Tabela7[[#This Row],[TAG]],AG:AG)/Tabela7[[#This Row],[Qtde Lig]]</f>
        <v>1</v>
      </c>
    </row>
    <row r="80" spans="1:37" x14ac:dyDescent="0.25">
      <c r="A80" s="391">
        <v>79</v>
      </c>
      <c r="B80" s="7" t="s">
        <v>573</v>
      </c>
      <c r="C80" s="391">
        <v>14</v>
      </c>
      <c r="D80" s="32">
        <v>44154</v>
      </c>
      <c r="E80" s="32" t="str">
        <f>VLOOKUP(Tabela2[[#This Row],[Tag]],BD!$A:$B,2,0)</f>
        <v>Força</v>
      </c>
      <c r="F80" s="32" t="str">
        <f>VLOOKUP(Tabela2[[#This Row],[Tag]],BD!A:J,10,0)</f>
        <v>7HV</v>
      </c>
      <c r="G80" s="31" t="str">
        <f>VLOOKUP(Tabela2[[#This Row],[Tag]],BD!$A:$V,20,0)</f>
        <v>E5WP000490-C-001-LC003</v>
      </c>
      <c r="H80" s="32" t="str">
        <f>IF(VLOOKUP(Tabela2[[#This Row],[Tag]],BD!A:T,17,0)=0,"",VLOOKUP(Tabela2[[#This Row],[Tag]],BD!A:T,17,0))</f>
        <v>5.5.2</v>
      </c>
      <c r="I80" s="140">
        <v>44136</v>
      </c>
      <c r="J80" s="155">
        <f>VLOOKUP(Tabela2[[#This Row],[Tag]],BD!$A:$AE,30,0)</f>
        <v>14</v>
      </c>
      <c r="K80" s="29">
        <f>SUMIF(B:B,Tabela2[[#This Row],[Tag]],C:C)/Tabela2[[#This Row],[Comprim. Real]]</f>
        <v>1</v>
      </c>
      <c r="L80" s="29" t="str">
        <f>VLOOKUP(Tabela2[[#This Row],[Tag]],BD!A:AF,32,0)</f>
        <v>7HV</v>
      </c>
      <c r="N80" s="21">
        <v>79</v>
      </c>
      <c r="O80" s="21" t="s">
        <v>430</v>
      </c>
      <c r="P80" s="21" t="s">
        <v>16</v>
      </c>
      <c r="Q80" s="26">
        <v>44249</v>
      </c>
      <c r="R80" s="27">
        <f>VLOOKUP(Tabela5[[#This Row],[Teste]],Referências!$D$2:$E$5,2,0)</f>
        <v>1</v>
      </c>
      <c r="S80" s="27" t="str">
        <f>Tabela5[[#This Row],[TAG]]&amp;"-"&amp;Tabela5[[#This Row],[COD_Test]]</f>
        <v>7HV-M008-1</v>
      </c>
      <c r="T80" s="21" t="s">
        <v>1505</v>
      </c>
      <c r="U80" s="21" t="str">
        <f>VLOOKUP(Tabela5[[#This Row],[TAG]],BD!A:J,10,0)</f>
        <v>7HV</v>
      </c>
      <c r="V80" s="24" t="str">
        <f>VLOOKUP(Tabela5[[#This Row],[TAG]],BD!A:E,5,0)</f>
        <v>1x3x1/C#95</v>
      </c>
      <c r="W80" s="21">
        <v>2</v>
      </c>
      <c r="X80" s="256">
        <f>VLOOKUP(Tabela5[[#This Row],[TAG]],$AE:$AK,7,0)</f>
        <v>1</v>
      </c>
      <c r="Y80" s="256" t="str">
        <f>VLOOKUP(Tabela5[[#This Row],[TAG]],BD!A:P,14,0)</f>
        <v>---</v>
      </c>
      <c r="Z80" s="256" t="str">
        <f>VLOOKUP(Tabela5[[#This Row],[TAG]],BD!A:P,15,0)</f>
        <v>Sim</v>
      </c>
      <c r="AA80" s="256" t="str">
        <f>VLOOKUP(Tabela5[[#This Row],[TAG]],BD!A:P,16,0)</f>
        <v>Sim</v>
      </c>
      <c r="AB80" s="256"/>
      <c r="AD80" s="391">
        <v>79</v>
      </c>
      <c r="AE80" s="391" t="s">
        <v>507</v>
      </c>
      <c r="AF80" s="391" t="s">
        <v>92</v>
      </c>
      <c r="AG80" s="391">
        <v>6</v>
      </c>
      <c r="AH80" s="32">
        <v>44224</v>
      </c>
      <c r="AI80" s="391">
        <f>VLOOKUP(Tabela7[[#This Row],[TAG]],BD!$A:$V,19,0)</f>
        <v>6</v>
      </c>
      <c r="AJ80" s="23" t="str">
        <f>VLOOKUP(Tabela7[[#This Row],[TAG]],BD!A:J,10,0)</f>
        <v>7HV</v>
      </c>
      <c r="AK80" s="28">
        <f>SUMIF(AE:AE,Tabela7[[#This Row],[TAG]],AG:AG)/Tabela7[[#This Row],[Qtde Lig]]</f>
        <v>1</v>
      </c>
    </row>
    <row r="81" spans="1:37" x14ac:dyDescent="0.25">
      <c r="A81" s="391">
        <v>80</v>
      </c>
      <c r="B81" s="7" t="s">
        <v>498</v>
      </c>
      <c r="C81" s="391">
        <v>3</v>
      </c>
      <c r="D81" s="32">
        <v>44154</v>
      </c>
      <c r="E81" s="32" t="str">
        <f>VLOOKUP(Tabela2[[#This Row],[Tag]],BD!$A:$B,2,0)</f>
        <v>Força</v>
      </c>
      <c r="F81" s="32" t="str">
        <f>VLOOKUP(Tabela2[[#This Row],[Tag]],BD!A:J,10,0)</f>
        <v>7HV</v>
      </c>
      <c r="G81" s="31" t="str">
        <f>VLOOKUP(Tabela2[[#This Row],[Tag]],BD!$A:$V,20,0)</f>
        <v>E5WP000490-C-001-LC003</v>
      </c>
      <c r="H81" s="32" t="str">
        <f>IF(VLOOKUP(Tabela2[[#This Row],[Tag]],BD!A:T,17,0)=0,"",VLOOKUP(Tabela2[[#This Row],[Tag]],BD!A:T,17,0))</f>
        <v>5.5.2</v>
      </c>
      <c r="I81" s="140">
        <v>44136</v>
      </c>
      <c r="J81" s="155">
        <f>VLOOKUP(Tabela2[[#This Row],[Tag]],BD!$A:$AE,30,0)</f>
        <v>3</v>
      </c>
      <c r="K81" s="29">
        <f>SUMIF(B:B,Tabela2[[#This Row],[Tag]],C:C)/Tabela2[[#This Row],[Comprim. Real]]</f>
        <v>1</v>
      </c>
      <c r="L81" s="29" t="str">
        <f>VLOOKUP(Tabela2[[#This Row],[Tag]],BD!A:AF,32,0)</f>
        <v>7HV</v>
      </c>
      <c r="N81" s="21">
        <v>80</v>
      </c>
      <c r="O81" s="21" t="s">
        <v>430</v>
      </c>
      <c r="P81" s="21" t="s">
        <v>18</v>
      </c>
      <c r="Q81" s="26">
        <v>44249</v>
      </c>
      <c r="R81" s="27">
        <f>VLOOKUP(Tabela5[[#This Row],[Teste]],Referências!$D$2:$E$5,2,0)</f>
        <v>3</v>
      </c>
      <c r="S81" s="27" t="str">
        <f>Tabela5[[#This Row],[TAG]]&amp;"-"&amp;Tabela5[[#This Row],[COD_Test]]</f>
        <v>7HV-M008-3</v>
      </c>
      <c r="T81" s="21" t="s">
        <v>1505</v>
      </c>
      <c r="U81" s="21" t="str">
        <f>VLOOKUP(Tabela5[[#This Row],[TAG]],BD!A:J,10,0)</f>
        <v>7HV</v>
      </c>
      <c r="V81" s="24" t="str">
        <f>VLOOKUP(Tabela5[[#This Row],[TAG]],BD!A:E,5,0)</f>
        <v>1x3x1/C#95</v>
      </c>
      <c r="W81" s="21">
        <v>2</v>
      </c>
      <c r="X81" s="256">
        <f>VLOOKUP(Tabela5[[#This Row],[TAG]],$AE:$AK,7,0)</f>
        <v>1</v>
      </c>
      <c r="Y81" s="256" t="str">
        <f>VLOOKUP(Tabela5[[#This Row],[TAG]],BD!A:P,14,0)</f>
        <v>---</v>
      </c>
      <c r="Z81" s="256" t="str">
        <f>VLOOKUP(Tabela5[[#This Row],[TAG]],BD!A:P,15,0)</f>
        <v>Sim</v>
      </c>
      <c r="AA81" s="256" t="str">
        <f>VLOOKUP(Tabela5[[#This Row],[TAG]],BD!A:P,16,0)</f>
        <v>Sim</v>
      </c>
      <c r="AB81" s="256"/>
      <c r="AD81" s="391">
        <v>80</v>
      </c>
      <c r="AE81" s="391" t="s">
        <v>508</v>
      </c>
      <c r="AF81" s="391" t="s">
        <v>92</v>
      </c>
      <c r="AG81" s="391">
        <v>6</v>
      </c>
      <c r="AH81" s="32">
        <v>44224</v>
      </c>
      <c r="AI81" s="391">
        <f>VLOOKUP(Tabela7[[#This Row],[TAG]],BD!$A:$V,19,0)</f>
        <v>6</v>
      </c>
      <c r="AJ81" s="23" t="str">
        <f>VLOOKUP(Tabela7[[#This Row],[TAG]],BD!A:J,10,0)</f>
        <v>7HV</v>
      </c>
      <c r="AK81" s="28">
        <f>SUMIF(AE:AE,Tabela7[[#This Row],[TAG]],AG:AG)/Tabela7[[#This Row],[Qtde Lig]]</f>
        <v>1</v>
      </c>
    </row>
    <row r="82" spans="1:37" x14ac:dyDescent="0.25">
      <c r="A82" s="391">
        <v>81</v>
      </c>
      <c r="B82" s="7" t="s">
        <v>514</v>
      </c>
      <c r="C82" s="391">
        <v>10</v>
      </c>
      <c r="D82" s="32">
        <v>44154</v>
      </c>
      <c r="E82" s="32" t="str">
        <f>VLOOKUP(Tabela2[[#This Row],[Tag]],BD!$A:$B,2,0)</f>
        <v>Força</v>
      </c>
      <c r="F82" s="32" t="str">
        <f>VLOOKUP(Tabela2[[#This Row],[Tag]],BD!A:J,10,0)</f>
        <v>7HV</v>
      </c>
      <c r="G82" s="31" t="str">
        <f>VLOOKUP(Tabela2[[#This Row],[Tag]],BD!$A:$V,20,0)</f>
        <v>E5WP000490-C-001-LC003</v>
      </c>
      <c r="H82" s="32" t="str">
        <f>IF(VLOOKUP(Tabela2[[#This Row],[Tag]],BD!A:T,17,0)=0,"",VLOOKUP(Tabela2[[#This Row],[Tag]],BD!A:T,17,0))</f>
        <v>5.8.1</v>
      </c>
      <c r="I82" s="140">
        <v>44136</v>
      </c>
      <c r="J82" s="155">
        <f>VLOOKUP(Tabela2[[#This Row],[Tag]],BD!$A:$AE,30,0)</f>
        <v>10</v>
      </c>
      <c r="K82" s="29">
        <f>SUMIF(B:B,Tabela2[[#This Row],[Tag]],C:C)/Tabela2[[#This Row],[Comprim. Real]]</f>
        <v>1</v>
      </c>
      <c r="L82" s="29" t="str">
        <f>VLOOKUP(Tabela2[[#This Row],[Tag]],BD!A:AF,32,0)</f>
        <v>7HV</v>
      </c>
      <c r="N82" s="21">
        <v>81</v>
      </c>
      <c r="O82" s="21" t="s">
        <v>430</v>
      </c>
      <c r="P82" s="21" t="s">
        <v>19</v>
      </c>
      <c r="Q82" s="26">
        <v>44249</v>
      </c>
      <c r="R82" s="27">
        <f>VLOOKUP(Tabela5[[#This Row],[Teste]],Referências!$D$2:$E$5,2,0)</f>
        <v>4</v>
      </c>
      <c r="S82" s="27" t="str">
        <f>Tabela5[[#This Row],[TAG]]&amp;"-"&amp;Tabela5[[#This Row],[COD_Test]]</f>
        <v>7HV-M008-4</v>
      </c>
      <c r="T82" s="21" t="s">
        <v>1505</v>
      </c>
      <c r="U82" s="21" t="str">
        <f>VLOOKUP(Tabela5[[#This Row],[TAG]],BD!A:J,10,0)</f>
        <v>7HV</v>
      </c>
      <c r="V82" s="24" t="str">
        <f>VLOOKUP(Tabela5[[#This Row],[TAG]],BD!A:E,5,0)</f>
        <v>1x3x1/C#95</v>
      </c>
      <c r="W82" s="21">
        <v>2</v>
      </c>
      <c r="X82" s="256">
        <f>VLOOKUP(Tabela5[[#This Row],[TAG]],$AE:$AK,7,0)</f>
        <v>1</v>
      </c>
      <c r="Y82" s="256" t="str">
        <f>VLOOKUP(Tabela5[[#This Row],[TAG]],BD!A:P,14,0)</f>
        <v>---</v>
      </c>
      <c r="Z82" s="256" t="str">
        <f>VLOOKUP(Tabela5[[#This Row],[TAG]],BD!A:P,15,0)</f>
        <v>Sim</v>
      </c>
      <c r="AA82" s="256" t="str">
        <f>VLOOKUP(Tabela5[[#This Row],[TAG]],BD!A:P,16,0)</f>
        <v>Sim</v>
      </c>
      <c r="AB82" s="256"/>
      <c r="AD82" s="391">
        <v>81</v>
      </c>
      <c r="AE82" s="391" t="s">
        <v>579</v>
      </c>
      <c r="AF82" s="391" t="s">
        <v>92</v>
      </c>
      <c r="AG82" s="391">
        <v>6</v>
      </c>
      <c r="AH82" s="32">
        <v>44224</v>
      </c>
      <c r="AI82" s="391">
        <f>VLOOKUP(Tabela7[[#This Row],[TAG]],BD!$A:$V,19,0)</f>
        <v>6</v>
      </c>
      <c r="AJ82" s="23" t="str">
        <f>VLOOKUP(Tabela7[[#This Row],[TAG]],BD!A:J,10,0)</f>
        <v>7HV</v>
      </c>
      <c r="AK82" s="28">
        <f>SUMIF(AE:AE,Tabela7[[#This Row],[TAG]],AG:AG)/Tabela7[[#This Row],[Qtde Lig]]</f>
        <v>1</v>
      </c>
    </row>
    <row r="83" spans="1:37" x14ac:dyDescent="0.25">
      <c r="A83" s="391">
        <v>82</v>
      </c>
      <c r="B83" s="7" t="s">
        <v>539</v>
      </c>
      <c r="C83" s="391">
        <v>5</v>
      </c>
      <c r="D83" s="32">
        <v>44154</v>
      </c>
      <c r="E83" s="32" t="str">
        <f>VLOOKUP(Tabela2[[#This Row],[Tag]],BD!$A:$B,2,0)</f>
        <v>Força</v>
      </c>
      <c r="F83" s="32" t="str">
        <f>VLOOKUP(Tabela2[[#This Row],[Tag]],BD!A:J,10,0)</f>
        <v>7HV</v>
      </c>
      <c r="G83" s="31" t="str">
        <f>VLOOKUP(Tabela2[[#This Row],[Tag]],BD!$A:$V,20,0)</f>
        <v>E5WP000490-C-001-LC003</v>
      </c>
      <c r="H83" s="32" t="str">
        <f>IF(VLOOKUP(Tabela2[[#This Row],[Tag]],BD!A:T,17,0)=0,"",VLOOKUP(Tabela2[[#This Row],[Tag]],BD!A:T,17,0))</f>
        <v>5.8.1</v>
      </c>
      <c r="I83" s="140">
        <v>44136</v>
      </c>
      <c r="J83" s="155">
        <f>VLOOKUP(Tabela2[[#This Row],[Tag]],BD!$A:$AE,30,0)</f>
        <v>5</v>
      </c>
      <c r="K83" s="29">
        <f>SUMIF(B:B,Tabela2[[#This Row],[Tag]],C:C)/Tabela2[[#This Row],[Comprim. Real]]</f>
        <v>1</v>
      </c>
      <c r="L83" s="29" t="str">
        <f>VLOOKUP(Tabela2[[#This Row],[Tag]],BD!A:AF,32,0)</f>
        <v>7HV</v>
      </c>
      <c r="N83" s="21">
        <v>82</v>
      </c>
      <c r="O83" s="21" t="s">
        <v>410</v>
      </c>
      <c r="P83" s="21" t="s">
        <v>16</v>
      </c>
      <c r="Q83" s="26">
        <v>44249</v>
      </c>
      <c r="R83" s="27">
        <f>VLOOKUP(Tabela5[[#This Row],[Teste]],Referências!$D$2:$E$5,2,0)</f>
        <v>1</v>
      </c>
      <c r="S83" s="27" t="str">
        <f>Tabela5[[#This Row],[TAG]]&amp;"-"&amp;Tabela5[[#This Row],[COD_Test]]</f>
        <v>7HV-M001-1</v>
      </c>
      <c r="T83" s="21" t="s">
        <v>1505</v>
      </c>
      <c r="U83" s="21" t="str">
        <f>VLOOKUP(Tabela5[[#This Row],[TAG]],BD!A:J,10,0)</f>
        <v>7HV</v>
      </c>
      <c r="V83" s="24" t="str">
        <f>VLOOKUP(Tabela5[[#This Row],[TAG]],BD!A:E,5,0)</f>
        <v>1x3x1/C#70</v>
      </c>
      <c r="W83" s="21">
        <v>2</v>
      </c>
      <c r="X83" s="256">
        <f>VLOOKUP(Tabela5[[#This Row],[TAG]],$AE:$AK,7,0)</f>
        <v>1</v>
      </c>
      <c r="Y83" s="256" t="str">
        <f>VLOOKUP(Tabela5[[#This Row],[TAG]],BD!A:P,14,0)</f>
        <v>---</v>
      </c>
      <c r="Z83" s="256" t="str">
        <f>VLOOKUP(Tabela5[[#This Row],[TAG]],BD!A:P,15,0)</f>
        <v>Sim</v>
      </c>
      <c r="AA83" s="256" t="str">
        <f>VLOOKUP(Tabela5[[#This Row],[TAG]],BD!A:P,16,0)</f>
        <v>Sim</v>
      </c>
      <c r="AB83" s="256"/>
      <c r="AD83" s="391">
        <v>82</v>
      </c>
      <c r="AE83" s="391" t="s">
        <v>909</v>
      </c>
      <c r="AF83" s="391" t="s">
        <v>92</v>
      </c>
      <c r="AG83" s="391">
        <v>30</v>
      </c>
      <c r="AH83" s="32">
        <v>44232</v>
      </c>
      <c r="AI83" s="391">
        <f>VLOOKUP(Tabela7[[#This Row],[TAG]],BD!$A:$V,19,0)</f>
        <v>30</v>
      </c>
      <c r="AJ83" s="23" t="str">
        <f>VLOOKUP(Tabela7[[#This Row],[TAG]],BD!A:J,10,0)</f>
        <v>8HV x 1HV</v>
      </c>
      <c r="AK83" s="28">
        <f>SUMIF(AE:AE,Tabela7[[#This Row],[TAG]],AG:AG)/Tabela7[[#This Row],[Qtde Lig]]</f>
        <v>1</v>
      </c>
    </row>
    <row r="84" spans="1:37" x14ac:dyDescent="0.25">
      <c r="A84" s="391">
        <v>83</v>
      </c>
      <c r="B84" s="7" t="s">
        <v>547</v>
      </c>
      <c r="C84" s="391">
        <v>20</v>
      </c>
      <c r="D84" s="32">
        <v>44154</v>
      </c>
      <c r="E84" s="32" t="str">
        <f>VLOOKUP(Tabela2[[#This Row],[Tag]],BD!$A:$B,2,0)</f>
        <v>Força</v>
      </c>
      <c r="F84" s="32" t="str">
        <f>VLOOKUP(Tabela2[[#This Row],[Tag]],BD!A:J,10,0)</f>
        <v>7HV</v>
      </c>
      <c r="G84" s="31" t="str">
        <f>VLOOKUP(Tabela2[[#This Row],[Tag]],BD!$A:$V,20,0)</f>
        <v>E5WP000490-C-001-LC003</v>
      </c>
      <c r="H84" s="32" t="str">
        <f>IF(VLOOKUP(Tabela2[[#This Row],[Tag]],BD!A:T,17,0)=0,"",VLOOKUP(Tabela2[[#This Row],[Tag]],BD!A:T,17,0))</f>
        <v>5.8.1</v>
      </c>
      <c r="I84" s="140">
        <v>44136</v>
      </c>
      <c r="J84" s="155">
        <f>VLOOKUP(Tabela2[[#This Row],[Tag]],BD!$A:$AE,30,0)</f>
        <v>20</v>
      </c>
      <c r="K84" s="29">
        <f>SUMIF(B:B,Tabela2[[#This Row],[Tag]],C:C)/Tabela2[[#This Row],[Comprim. Real]]</f>
        <v>1</v>
      </c>
      <c r="L84" s="29" t="str">
        <f>VLOOKUP(Tabela2[[#This Row],[Tag]],BD!A:AF,32,0)</f>
        <v>7HV</v>
      </c>
      <c r="N84" s="21">
        <v>83</v>
      </c>
      <c r="O84" s="21" t="s">
        <v>410</v>
      </c>
      <c r="P84" s="21" t="s">
        <v>18</v>
      </c>
      <c r="Q84" s="26">
        <v>44249</v>
      </c>
      <c r="R84" s="27">
        <f>VLOOKUP(Tabela5[[#This Row],[Teste]],Referências!$D$2:$E$5,2,0)</f>
        <v>3</v>
      </c>
      <c r="S84" s="27" t="str">
        <f>Tabela5[[#This Row],[TAG]]&amp;"-"&amp;Tabela5[[#This Row],[COD_Test]]</f>
        <v>7HV-M001-3</v>
      </c>
      <c r="T84" s="21" t="s">
        <v>1505</v>
      </c>
      <c r="U84" s="21" t="str">
        <f>VLOOKUP(Tabela5[[#This Row],[TAG]],BD!A:J,10,0)</f>
        <v>7HV</v>
      </c>
      <c r="V84" s="24" t="str">
        <f>VLOOKUP(Tabela5[[#This Row],[TAG]],BD!A:E,5,0)</f>
        <v>1x3x1/C#70</v>
      </c>
      <c r="W84" s="21">
        <v>2</v>
      </c>
      <c r="X84" s="256">
        <f>VLOOKUP(Tabela5[[#This Row],[TAG]],$AE:$AK,7,0)</f>
        <v>1</v>
      </c>
      <c r="Y84" s="256" t="str">
        <f>VLOOKUP(Tabela5[[#This Row],[TAG]],BD!A:P,14,0)</f>
        <v>---</v>
      </c>
      <c r="Z84" s="256" t="str">
        <f>VLOOKUP(Tabela5[[#This Row],[TAG]],BD!A:P,15,0)</f>
        <v>Sim</v>
      </c>
      <c r="AA84" s="256" t="str">
        <f>VLOOKUP(Tabela5[[#This Row],[TAG]],BD!A:P,16,0)</f>
        <v>Sim</v>
      </c>
      <c r="AB84" s="256"/>
      <c r="AD84" s="391">
        <v>83</v>
      </c>
      <c r="AE84" s="391" t="s">
        <v>936</v>
      </c>
      <c r="AF84" s="391" t="s">
        <v>92</v>
      </c>
      <c r="AG84" s="391">
        <v>30</v>
      </c>
      <c r="AH84" s="32">
        <v>44232</v>
      </c>
      <c r="AI84" s="391">
        <f>VLOOKUP(Tabela7[[#This Row],[TAG]],BD!$A:$V,19,0)</f>
        <v>30</v>
      </c>
      <c r="AJ84" s="23" t="str">
        <f>VLOOKUP(Tabela7[[#This Row],[TAG]],BD!A:J,10,0)</f>
        <v>8HV x 7HV</v>
      </c>
      <c r="AK84" s="28">
        <f>SUMIF(AE:AE,Tabela7[[#This Row],[TAG]],AG:AG)/Tabela7[[#This Row],[Qtde Lig]]</f>
        <v>1</v>
      </c>
    </row>
    <row r="85" spans="1:37" x14ac:dyDescent="0.25">
      <c r="A85" s="391">
        <v>84</v>
      </c>
      <c r="B85" s="7" t="s">
        <v>556</v>
      </c>
      <c r="C85" s="391">
        <v>10</v>
      </c>
      <c r="D85" s="32">
        <v>44154</v>
      </c>
      <c r="E85" s="32" t="str">
        <f>VLOOKUP(Tabela2[[#This Row],[Tag]],BD!$A:$B,2,0)</f>
        <v>Força</v>
      </c>
      <c r="F85" s="32" t="str">
        <f>VLOOKUP(Tabela2[[#This Row],[Tag]],BD!A:J,10,0)</f>
        <v>7HV</v>
      </c>
      <c r="G85" s="31" t="str">
        <f>VLOOKUP(Tabela2[[#This Row],[Tag]],BD!$A:$V,20,0)</f>
        <v>E5WP000490-C-001-LC003</v>
      </c>
      <c r="H85" s="32" t="str">
        <f>IF(VLOOKUP(Tabela2[[#This Row],[Tag]],BD!A:T,17,0)=0,"",VLOOKUP(Tabela2[[#This Row],[Tag]],BD!A:T,17,0))</f>
        <v>5.8.1</v>
      </c>
      <c r="I85" s="140">
        <v>44136</v>
      </c>
      <c r="J85" s="155">
        <f>VLOOKUP(Tabela2[[#This Row],[Tag]],BD!$A:$AE,30,0)</f>
        <v>10</v>
      </c>
      <c r="K85" s="29">
        <f>SUMIF(B:B,Tabela2[[#This Row],[Tag]],C:C)/Tabela2[[#This Row],[Comprim. Real]]</f>
        <v>1</v>
      </c>
      <c r="L85" s="29" t="str">
        <f>VLOOKUP(Tabela2[[#This Row],[Tag]],BD!A:AF,32,0)</f>
        <v>7HV</v>
      </c>
      <c r="N85" s="21">
        <v>84</v>
      </c>
      <c r="O85" s="21" t="s">
        <v>410</v>
      </c>
      <c r="P85" s="21" t="s">
        <v>19</v>
      </c>
      <c r="Q85" s="26">
        <v>44249</v>
      </c>
      <c r="R85" s="27">
        <f>VLOOKUP(Tabela5[[#This Row],[Teste]],Referências!$D$2:$E$5,2,0)</f>
        <v>4</v>
      </c>
      <c r="S85" s="27" t="str">
        <f>Tabela5[[#This Row],[TAG]]&amp;"-"&amp;Tabela5[[#This Row],[COD_Test]]</f>
        <v>7HV-M001-4</v>
      </c>
      <c r="T85" s="21" t="s">
        <v>1505</v>
      </c>
      <c r="U85" s="21" t="str">
        <f>VLOOKUP(Tabela5[[#This Row],[TAG]],BD!A:J,10,0)</f>
        <v>7HV</v>
      </c>
      <c r="V85" s="24" t="str">
        <f>VLOOKUP(Tabela5[[#This Row],[TAG]],BD!A:E,5,0)</f>
        <v>1x3x1/C#70</v>
      </c>
      <c r="W85" s="21">
        <v>2</v>
      </c>
      <c r="X85" s="256">
        <f>VLOOKUP(Tabela5[[#This Row],[TAG]],$AE:$AK,7,0)</f>
        <v>1</v>
      </c>
      <c r="Y85" s="256" t="str">
        <f>VLOOKUP(Tabela5[[#This Row],[TAG]],BD!A:P,14,0)</f>
        <v>---</v>
      </c>
      <c r="Z85" s="256" t="str">
        <f>VLOOKUP(Tabela5[[#This Row],[TAG]],BD!A:P,15,0)</f>
        <v>Sim</v>
      </c>
      <c r="AA85" s="256" t="str">
        <f>VLOOKUP(Tabela5[[#This Row],[TAG]],BD!A:P,16,0)</f>
        <v>Sim</v>
      </c>
      <c r="AB85" s="256"/>
      <c r="AD85" s="391">
        <v>84</v>
      </c>
      <c r="AE85" s="391" t="s">
        <v>987</v>
      </c>
      <c r="AF85" s="391" t="s">
        <v>92</v>
      </c>
      <c r="AG85" s="391">
        <v>36</v>
      </c>
      <c r="AH85" s="32">
        <v>44232</v>
      </c>
      <c r="AI85" s="391">
        <f>VLOOKUP(Tabela7[[#This Row],[TAG]],BD!$A:$V,19,0)</f>
        <v>36</v>
      </c>
      <c r="AJ85" s="23" t="str">
        <f>VLOOKUP(Tabela7[[#This Row],[TAG]],BD!A:J,10,0)</f>
        <v>8HV</v>
      </c>
      <c r="AK85" s="28">
        <f>SUMIF(AE:AE,Tabela7[[#This Row],[TAG]],AG:AG)/Tabela7[[#This Row],[Qtde Lig]]</f>
        <v>1</v>
      </c>
    </row>
    <row r="86" spans="1:37" x14ac:dyDescent="0.25">
      <c r="A86" s="391">
        <v>85</v>
      </c>
      <c r="B86" s="7" t="s">
        <v>564</v>
      </c>
      <c r="C86" s="391">
        <v>25</v>
      </c>
      <c r="D86" s="32">
        <v>44154</v>
      </c>
      <c r="E86" s="32" t="str">
        <f>VLOOKUP(Tabela2[[#This Row],[Tag]],BD!$A:$B,2,0)</f>
        <v>Força</v>
      </c>
      <c r="F86" s="32" t="str">
        <f>VLOOKUP(Tabela2[[#This Row],[Tag]],BD!A:J,10,0)</f>
        <v>7HV</v>
      </c>
      <c r="G86" s="31" t="str">
        <f>VLOOKUP(Tabela2[[#This Row],[Tag]],BD!$A:$V,20,0)</f>
        <v>E5WP000490-C-001-LC003</v>
      </c>
      <c r="H86" s="32" t="str">
        <f>IF(VLOOKUP(Tabela2[[#This Row],[Tag]],BD!A:T,17,0)=0,"",VLOOKUP(Tabela2[[#This Row],[Tag]],BD!A:T,17,0))</f>
        <v>5.8.1</v>
      </c>
      <c r="I86" s="140">
        <v>44136</v>
      </c>
      <c r="J86" s="155">
        <f>VLOOKUP(Tabela2[[#This Row],[Tag]],BD!$A:$AE,30,0)</f>
        <v>25</v>
      </c>
      <c r="K86" s="29">
        <f>SUMIF(B:B,Tabela2[[#This Row],[Tag]],C:C)/Tabela2[[#This Row],[Comprim. Real]]</f>
        <v>1</v>
      </c>
      <c r="L86" s="29" t="str">
        <f>VLOOKUP(Tabela2[[#This Row],[Tag]],BD!A:AF,32,0)</f>
        <v>7HV</v>
      </c>
      <c r="N86" s="21">
        <v>85</v>
      </c>
      <c r="O86" s="21" t="s">
        <v>417</v>
      </c>
      <c r="P86" s="21" t="s">
        <v>16</v>
      </c>
      <c r="Q86" s="26">
        <v>44249</v>
      </c>
      <c r="R86" s="27">
        <f>VLOOKUP(Tabela5[[#This Row],[Teste]],Referências!$D$2:$E$5,2,0)</f>
        <v>1</v>
      </c>
      <c r="S86" s="27" t="str">
        <f>Tabela5[[#This Row],[TAG]]&amp;"-"&amp;Tabela5[[#This Row],[COD_Test]]</f>
        <v>7HV-M002-1</v>
      </c>
      <c r="T86" s="21" t="s">
        <v>1505</v>
      </c>
      <c r="U86" s="21" t="str">
        <f>VLOOKUP(Tabela5[[#This Row],[TAG]],BD!A:J,10,0)</f>
        <v>7HV</v>
      </c>
      <c r="V86" s="24" t="str">
        <f>VLOOKUP(Tabela5[[#This Row],[TAG]],BD!A:E,5,0)</f>
        <v>1x3x1/C#70</v>
      </c>
      <c r="W86" s="21">
        <v>2</v>
      </c>
      <c r="X86" s="256">
        <f>VLOOKUP(Tabela5[[#This Row],[TAG]],$AE:$AK,7,0)</f>
        <v>1</v>
      </c>
      <c r="Y86" s="256" t="str">
        <f>VLOOKUP(Tabela5[[#This Row],[TAG]],BD!A:P,14,0)</f>
        <v>---</v>
      </c>
      <c r="Z86" s="256" t="str">
        <f>VLOOKUP(Tabela5[[#This Row],[TAG]],BD!A:P,15,0)</f>
        <v>Sim</v>
      </c>
      <c r="AA86" s="256" t="str">
        <f>VLOOKUP(Tabela5[[#This Row],[TAG]],BD!A:P,16,0)</f>
        <v>Sim</v>
      </c>
      <c r="AB86" s="256"/>
      <c r="AD86" s="391">
        <v>85</v>
      </c>
      <c r="AE86" s="391" t="s">
        <v>559</v>
      </c>
      <c r="AF86" s="391" t="s">
        <v>92</v>
      </c>
      <c r="AG86" s="391">
        <v>6</v>
      </c>
      <c r="AH86" s="32">
        <v>44245</v>
      </c>
      <c r="AI86" s="391">
        <f>VLOOKUP(Tabela7[[#This Row],[TAG]],BD!$A:$V,19,0)</f>
        <v>12</v>
      </c>
      <c r="AJ86" s="23" t="str">
        <f>VLOOKUP(Tabela7[[#This Row],[TAG]],BD!A:J,10,0)</f>
        <v>7HV</v>
      </c>
      <c r="AK86" s="28">
        <f>SUMIF(AE:AE,Tabela7[[#This Row],[TAG]],AG:AG)/Tabela7[[#This Row],[Qtde Lig]]</f>
        <v>1</v>
      </c>
    </row>
    <row r="87" spans="1:37" x14ac:dyDescent="0.25">
      <c r="A87" s="391">
        <v>86</v>
      </c>
      <c r="B87" s="7" t="s">
        <v>502</v>
      </c>
      <c r="C87" s="391">
        <v>3</v>
      </c>
      <c r="D87" s="32">
        <v>44155</v>
      </c>
      <c r="E87" s="32" t="str">
        <f>VLOOKUP(Tabela2[[#This Row],[Tag]],BD!$A:$B,2,0)</f>
        <v>Força</v>
      </c>
      <c r="F87" s="32" t="str">
        <f>VLOOKUP(Tabela2[[#This Row],[Tag]],BD!A:J,10,0)</f>
        <v>7HV</v>
      </c>
      <c r="G87" s="31" t="str">
        <f>VLOOKUP(Tabela2[[#This Row],[Tag]],BD!$A:$V,20,0)</f>
        <v>E5WP000490-C-001-LC003</v>
      </c>
      <c r="H87" s="32" t="str">
        <f>IF(VLOOKUP(Tabela2[[#This Row],[Tag]],BD!A:T,17,0)=0,"",VLOOKUP(Tabela2[[#This Row],[Tag]],BD!A:T,17,0))</f>
        <v>5.8.1</v>
      </c>
      <c r="I87" s="140">
        <v>44136</v>
      </c>
      <c r="J87" s="155">
        <f>VLOOKUP(Tabela2[[#This Row],[Tag]],BD!$A:$AE,30,0)</f>
        <v>3</v>
      </c>
      <c r="K87" s="29">
        <f>SUMIF(B:B,Tabela2[[#This Row],[Tag]],C:C)/Tabela2[[#This Row],[Comprim. Real]]</f>
        <v>1</v>
      </c>
      <c r="L87" s="29" t="str">
        <f>VLOOKUP(Tabela2[[#This Row],[Tag]],BD!A:AF,32,0)</f>
        <v>7HV</v>
      </c>
      <c r="N87" s="21">
        <v>86</v>
      </c>
      <c r="O87" s="21" t="s">
        <v>417</v>
      </c>
      <c r="P87" s="21" t="s">
        <v>18</v>
      </c>
      <c r="Q87" s="26">
        <v>44249</v>
      </c>
      <c r="R87" s="27">
        <f>VLOOKUP(Tabela5[[#This Row],[Teste]],Referências!$D$2:$E$5,2,0)</f>
        <v>3</v>
      </c>
      <c r="S87" s="27" t="str">
        <f>Tabela5[[#This Row],[TAG]]&amp;"-"&amp;Tabela5[[#This Row],[COD_Test]]</f>
        <v>7HV-M002-3</v>
      </c>
      <c r="T87" s="21" t="s">
        <v>1505</v>
      </c>
      <c r="U87" s="21" t="str">
        <f>VLOOKUP(Tabela5[[#This Row],[TAG]],BD!A:J,10,0)</f>
        <v>7HV</v>
      </c>
      <c r="V87" s="24" t="str">
        <f>VLOOKUP(Tabela5[[#This Row],[TAG]],BD!A:E,5,0)</f>
        <v>1x3x1/C#70</v>
      </c>
      <c r="W87" s="21">
        <v>2</v>
      </c>
      <c r="X87" s="256">
        <f>VLOOKUP(Tabela5[[#This Row],[TAG]],$AE:$AK,7,0)</f>
        <v>1</v>
      </c>
      <c r="Y87" s="256" t="str">
        <f>VLOOKUP(Tabela5[[#This Row],[TAG]],BD!A:P,14,0)</f>
        <v>---</v>
      </c>
      <c r="Z87" s="256" t="str">
        <f>VLOOKUP(Tabela5[[#This Row],[TAG]],BD!A:P,15,0)</f>
        <v>Sim</v>
      </c>
      <c r="AA87" s="256" t="str">
        <f>VLOOKUP(Tabela5[[#This Row],[TAG]],BD!A:P,16,0)</f>
        <v>Sim</v>
      </c>
      <c r="AB87" s="256"/>
      <c r="AD87" s="391">
        <v>86</v>
      </c>
      <c r="AE87" s="391" t="s">
        <v>561</v>
      </c>
      <c r="AF87" s="391" t="s">
        <v>92</v>
      </c>
      <c r="AG87" s="391">
        <v>6</v>
      </c>
      <c r="AH87" s="32">
        <v>44245</v>
      </c>
      <c r="AI87" s="391">
        <f>VLOOKUP(Tabela7[[#This Row],[TAG]],BD!$A:$V,19,0)</f>
        <v>12</v>
      </c>
      <c r="AJ87" s="23" t="str">
        <f>VLOOKUP(Tabela7[[#This Row],[TAG]],BD!A:J,10,0)</f>
        <v>7HV</v>
      </c>
      <c r="AK87" s="28">
        <f>SUMIF(AE:AE,Tabela7[[#This Row],[TAG]],AG:AG)/Tabela7[[#This Row],[Qtde Lig]]</f>
        <v>1</v>
      </c>
    </row>
    <row r="88" spans="1:37" x14ac:dyDescent="0.25">
      <c r="A88" s="391">
        <v>87</v>
      </c>
      <c r="B88" s="7" t="s">
        <v>506</v>
      </c>
      <c r="C88" s="391">
        <v>20</v>
      </c>
      <c r="D88" s="32">
        <v>44155</v>
      </c>
      <c r="E88" s="32" t="str">
        <f>VLOOKUP(Tabela2[[#This Row],[Tag]],BD!$A:$B,2,0)</f>
        <v>Força</v>
      </c>
      <c r="F88" s="32" t="str">
        <f>VLOOKUP(Tabela2[[#This Row],[Tag]],BD!A:J,10,0)</f>
        <v>7HV</v>
      </c>
      <c r="G88" s="31" t="str">
        <f>VLOOKUP(Tabela2[[#This Row],[Tag]],BD!$A:$V,20,0)</f>
        <v>E5WP000490-C-001-LC003</v>
      </c>
      <c r="H88" s="32" t="str">
        <f>IF(VLOOKUP(Tabela2[[#This Row],[Tag]],BD!A:T,17,0)=0,"",VLOOKUP(Tabela2[[#This Row],[Tag]],BD!A:T,17,0))</f>
        <v>5.8.1</v>
      </c>
      <c r="I88" s="140">
        <v>44136</v>
      </c>
      <c r="J88" s="155">
        <f>VLOOKUP(Tabela2[[#This Row],[Tag]],BD!$A:$AE,30,0)</f>
        <v>20</v>
      </c>
      <c r="K88" s="29">
        <f>SUMIF(B:B,Tabela2[[#This Row],[Tag]],C:C)/Tabela2[[#This Row],[Comprim. Real]]</f>
        <v>1</v>
      </c>
      <c r="L88" s="29" t="str">
        <f>VLOOKUP(Tabela2[[#This Row],[Tag]],BD!A:AF,32,0)</f>
        <v>7HV</v>
      </c>
      <c r="N88" s="21">
        <v>87</v>
      </c>
      <c r="O88" s="21" t="s">
        <v>417</v>
      </c>
      <c r="P88" s="21" t="s">
        <v>19</v>
      </c>
      <c r="Q88" s="26">
        <v>44249</v>
      </c>
      <c r="R88" s="27">
        <f>VLOOKUP(Tabela5[[#This Row],[Teste]],Referências!$D$2:$E$5,2,0)</f>
        <v>4</v>
      </c>
      <c r="S88" s="27" t="str">
        <f>Tabela5[[#This Row],[TAG]]&amp;"-"&amp;Tabela5[[#This Row],[COD_Test]]</f>
        <v>7HV-M002-4</v>
      </c>
      <c r="T88" s="21" t="s">
        <v>1505</v>
      </c>
      <c r="U88" s="21" t="str">
        <f>VLOOKUP(Tabela5[[#This Row],[TAG]],BD!A:J,10,0)</f>
        <v>7HV</v>
      </c>
      <c r="V88" s="24" t="str">
        <f>VLOOKUP(Tabela5[[#This Row],[TAG]],BD!A:E,5,0)</f>
        <v>1x3x1/C#70</v>
      </c>
      <c r="W88" s="21">
        <v>2</v>
      </c>
      <c r="X88" s="256">
        <f>VLOOKUP(Tabela5[[#This Row],[TAG]],$AE:$AK,7,0)</f>
        <v>1</v>
      </c>
      <c r="Y88" s="256" t="str">
        <f>VLOOKUP(Tabela5[[#This Row],[TAG]],BD!A:P,14,0)</f>
        <v>---</v>
      </c>
      <c r="Z88" s="256" t="str">
        <f>VLOOKUP(Tabela5[[#This Row],[TAG]],BD!A:P,15,0)</f>
        <v>Sim</v>
      </c>
      <c r="AA88" s="256" t="str">
        <f>VLOOKUP(Tabela5[[#This Row],[TAG]],BD!A:P,16,0)</f>
        <v>Sim</v>
      </c>
      <c r="AB88" s="256"/>
      <c r="AD88" s="391">
        <v>87</v>
      </c>
      <c r="AE88" s="391" t="s">
        <v>562</v>
      </c>
      <c r="AF88" s="391" t="s">
        <v>92</v>
      </c>
      <c r="AG88" s="391">
        <v>6</v>
      </c>
      <c r="AH88" s="32">
        <v>44245</v>
      </c>
      <c r="AI88" s="391">
        <f>VLOOKUP(Tabela7[[#This Row],[TAG]],BD!$A:$V,19,0)</f>
        <v>12</v>
      </c>
      <c r="AJ88" s="23" t="str">
        <f>VLOOKUP(Tabela7[[#This Row],[TAG]],BD!A:J,10,0)</f>
        <v>7HV</v>
      </c>
      <c r="AK88" s="28">
        <f>SUMIF(AE:AE,Tabela7[[#This Row],[TAG]],AG:AG)/Tabela7[[#This Row],[Qtde Lig]]</f>
        <v>1</v>
      </c>
    </row>
    <row r="89" spans="1:37" x14ac:dyDescent="0.25">
      <c r="A89" s="391">
        <v>88</v>
      </c>
      <c r="B89" s="7" t="s">
        <v>507</v>
      </c>
      <c r="C89" s="391">
        <v>8</v>
      </c>
      <c r="D89" s="32">
        <v>44155</v>
      </c>
      <c r="E89" s="32" t="str">
        <f>VLOOKUP(Tabela2[[#This Row],[Tag]],BD!$A:$B,2,0)</f>
        <v>Força</v>
      </c>
      <c r="F89" s="32" t="str">
        <f>VLOOKUP(Tabela2[[#This Row],[Tag]],BD!A:J,10,0)</f>
        <v>7HV</v>
      </c>
      <c r="G89" s="31" t="str">
        <f>VLOOKUP(Tabela2[[#This Row],[Tag]],BD!$A:$V,20,0)</f>
        <v>E5WP000490-C-001-LC003</v>
      </c>
      <c r="H89" s="32" t="str">
        <f>IF(VLOOKUP(Tabela2[[#This Row],[Tag]],BD!A:T,17,0)=0,"",VLOOKUP(Tabela2[[#This Row],[Tag]],BD!A:T,17,0))</f>
        <v>5.8.1</v>
      </c>
      <c r="I89" s="140">
        <v>44136</v>
      </c>
      <c r="J89" s="155">
        <f>VLOOKUP(Tabela2[[#This Row],[Tag]],BD!$A:$AE,30,0)</f>
        <v>8</v>
      </c>
      <c r="K89" s="29">
        <f>SUMIF(B:B,Tabela2[[#This Row],[Tag]],C:C)/Tabela2[[#This Row],[Comprim. Real]]</f>
        <v>1</v>
      </c>
      <c r="L89" s="29" t="str">
        <f>VLOOKUP(Tabela2[[#This Row],[Tag]],BD!A:AF,32,0)</f>
        <v>7HV</v>
      </c>
      <c r="N89" s="21">
        <v>88</v>
      </c>
      <c r="O89" s="21" t="s">
        <v>936</v>
      </c>
      <c r="P89" s="21" t="s">
        <v>16</v>
      </c>
      <c r="Q89" s="26">
        <v>44250</v>
      </c>
      <c r="R89" s="27">
        <f>VLOOKUP(Tabela5[[#This Row],[Teste]],Referências!$D$2:$E$5,2,0)</f>
        <v>1</v>
      </c>
      <c r="S89" s="27" t="str">
        <f>Tabela5[[#This Row],[TAG]]&amp;"-"&amp;Tabela5[[#This Row],[COD_Test]]</f>
        <v>8HV-7HV-001F-1</v>
      </c>
      <c r="T89" s="21" t="s">
        <v>1505</v>
      </c>
      <c r="U89" s="21" t="str">
        <f>VLOOKUP(Tabela5[[#This Row],[TAG]],BD!A:J,10,0)</f>
        <v>8HV x 7HV</v>
      </c>
      <c r="V89" s="24" t="str">
        <f>VLOOKUP(Tabela5[[#This Row],[TAG]],BD!A:E,5,0)</f>
        <v>5x3x1/c#185</v>
      </c>
      <c r="W89" s="21">
        <v>15</v>
      </c>
      <c r="X89" s="256">
        <f>VLOOKUP(Tabela5[[#This Row],[TAG]],$AE:$AK,7,0)</f>
        <v>1</v>
      </c>
      <c r="Y89" s="256" t="str">
        <f>VLOOKUP(Tabela5[[#This Row],[TAG]],BD!A:P,14,0)</f>
        <v>---</v>
      </c>
      <c r="Z89" s="256" t="str">
        <f>VLOOKUP(Tabela5[[#This Row],[TAG]],BD!A:P,15,0)</f>
        <v>Sim</v>
      </c>
      <c r="AA89" s="256" t="str">
        <f>VLOOKUP(Tabela5[[#This Row],[TAG]],BD!A:P,16,0)</f>
        <v>Sim</v>
      </c>
      <c r="AB89" s="256"/>
      <c r="AD89" s="391">
        <v>88</v>
      </c>
      <c r="AE89" s="391" t="s">
        <v>563</v>
      </c>
      <c r="AF89" s="391" t="s">
        <v>92</v>
      </c>
      <c r="AG89" s="391">
        <v>6</v>
      </c>
      <c r="AH89" s="32">
        <v>44245</v>
      </c>
      <c r="AI89" s="391">
        <f>VLOOKUP(Tabela7[[#This Row],[TAG]],BD!$A:$V,19,0)</f>
        <v>12</v>
      </c>
      <c r="AJ89" s="23" t="str">
        <f>VLOOKUP(Tabela7[[#This Row],[TAG]],BD!A:J,10,0)</f>
        <v>7HV</v>
      </c>
      <c r="AK89" s="28">
        <f>SUMIF(AE:AE,Tabela7[[#This Row],[TAG]],AG:AG)/Tabela7[[#This Row],[Qtde Lig]]</f>
        <v>1</v>
      </c>
    </row>
    <row r="90" spans="1:37" x14ac:dyDescent="0.25">
      <c r="A90" s="391">
        <v>89</v>
      </c>
      <c r="B90" s="7" t="s">
        <v>508</v>
      </c>
      <c r="C90" s="391">
        <v>25</v>
      </c>
      <c r="D90" s="32">
        <v>44155</v>
      </c>
      <c r="E90" s="32" t="str">
        <f>VLOOKUP(Tabela2[[#This Row],[Tag]],BD!$A:$B,2,0)</f>
        <v>Força</v>
      </c>
      <c r="F90" s="32" t="str">
        <f>VLOOKUP(Tabela2[[#This Row],[Tag]],BD!A:J,10,0)</f>
        <v>7HV</v>
      </c>
      <c r="G90" s="31" t="str">
        <f>VLOOKUP(Tabela2[[#This Row],[Tag]],BD!$A:$V,20,0)</f>
        <v>E5WP000490-C-001-LC003</v>
      </c>
      <c r="H90" s="32" t="str">
        <f>IF(VLOOKUP(Tabela2[[#This Row],[Tag]],BD!A:T,17,0)=0,"",VLOOKUP(Tabela2[[#This Row],[Tag]],BD!A:T,17,0))</f>
        <v>5.8.1</v>
      </c>
      <c r="I90" s="140">
        <v>44136</v>
      </c>
      <c r="J90" s="155">
        <f>VLOOKUP(Tabela2[[#This Row],[Tag]],BD!$A:$AE,30,0)</f>
        <v>25</v>
      </c>
      <c r="K90" s="29">
        <f>SUMIF(B:B,Tabela2[[#This Row],[Tag]],C:C)/Tabela2[[#This Row],[Comprim. Real]]</f>
        <v>1</v>
      </c>
      <c r="L90" s="29" t="str">
        <f>VLOOKUP(Tabela2[[#This Row],[Tag]],BD!A:AF,32,0)</f>
        <v>7HV</v>
      </c>
      <c r="N90" s="21">
        <v>89</v>
      </c>
      <c r="O90" s="21" t="s">
        <v>936</v>
      </c>
      <c r="P90" s="21" t="s">
        <v>18</v>
      </c>
      <c r="Q90" s="26">
        <v>44250</v>
      </c>
      <c r="R90" s="27">
        <f>VLOOKUP(Tabela5[[#This Row],[Teste]],Referências!$D$2:$E$5,2,0)</f>
        <v>3</v>
      </c>
      <c r="S90" s="27" t="str">
        <f>Tabela5[[#This Row],[TAG]]&amp;"-"&amp;Tabela5[[#This Row],[COD_Test]]</f>
        <v>8HV-7HV-001F-3</v>
      </c>
      <c r="T90" s="21" t="s">
        <v>1505</v>
      </c>
      <c r="U90" s="21" t="str">
        <f>VLOOKUP(Tabela5[[#This Row],[TAG]],BD!A:J,10,0)</f>
        <v>8HV x 7HV</v>
      </c>
      <c r="V90" s="24" t="str">
        <f>VLOOKUP(Tabela5[[#This Row],[TAG]],BD!A:E,5,0)</f>
        <v>5x3x1/c#185</v>
      </c>
      <c r="W90" s="21">
        <v>15</v>
      </c>
      <c r="X90" s="256">
        <f>VLOOKUP(Tabela5[[#This Row],[TAG]],$AE:$AK,7,0)</f>
        <v>1</v>
      </c>
      <c r="Y90" s="256" t="str">
        <f>VLOOKUP(Tabela5[[#This Row],[TAG]],BD!A:P,14,0)</f>
        <v>---</v>
      </c>
      <c r="Z90" s="256" t="str">
        <f>VLOOKUP(Tabela5[[#This Row],[TAG]],BD!A:P,15,0)</f>
        <v>Sim</v>
      </c>
      <c r="AA90" s="256" t="str">
        <f>VLOOKUP(Tabela5[[#This Row],[TAG]],BD!A:P,16,0)</f>
        <v>Sim</v>
      </c>
      <c r="AB90" s="256"/>
      <c r="AD90" s="391">
        <v>89</v>
      </c>
      <c r="AE90" s="391" t="s">
        <v>423</v>
      </c>
      <c r="AF90" s="391" t="s">
        <v>92</v>
      </c>
      <c r="AG90" s="391">
        <v>3</v>
      </c>
      <c r="AH90" s="32">
        <v>44245</v>
      </c>
      <c r="AI90" s="391">
        <f>VLOOKUP(Tabela7[[#This Row],[TAG]],BD!$A:$V,19,0)</f>
        <v>6</v>
      </c>
      <c r="AJ90" s="23" t="str">
        <f>VLOOKUP(Tabela7[[#This Row],[TAG]],BD!A:J,10,0)</f>
        <v>7HV</v>
      </c>
      <c r="AK90" s="28">
        <f>SUMIF(AE:AE,Tabela7[[#This Row],[TAG]],AG:AG)/Tabela7[[#This Row],[Qtde Lig]]</f>
        <v>1</v>
      </c>
    </row>
    <row r="91" spans="1:37" x14ac:dyDescent="0.25">
      <c r="A91" s="391">
        <v>90</v>
      </c>
      <c r="B91" s="7" t="s">
        <v>760</v>
      </c>
      <c r="C91" s="391">
        <v>5040</v>
      </c>
      <c r="D91" s="32">
        <v>44160</v>
      </c>
      <c r="E91" s="32" t="str">
        <f>VLOOKUP(Tabela2[[#This Row],[Tag]],BD!$A:$B,2,0)</f>
        <v>Força</v>
      </c>
      <c r="F91" s="32" t="str">
        <f>VLOOKUP(Tabela2[[#This Row],[Tag]],BD!A:J,10,0)</f>
        <v>GB-200</v>
      </c>
      <c r="G91" s="31" t="str">
        <f>VLOOKUP(Tabela2[[#This Row],[Tag]],BD!$A:$V,20,0)</f>
        <v>BK-SP54-0900B-LC-74-00004_00000</v>
      </c>
      <c r="H91" s="32" t="str">
        <f>IF(VLOOKUP(Tabela2[[#This Row],[Tag]],BD!A:T,17,0)=0,"",VLOOKUP(Tabela2[[#This Row],[Tag]],BD!A:T,17,0))</f>
        <v>5.2.3</v>
      </c>
      <c r="I91" s="140">
        <v>44136</v>
      </c>
      <c r="J91" s="155">
        <f>VLOOKUP(Tabela2[[#This Row],[Tag]],BD!$A:$AE,30,0)</f>
        <v>5040</v>
      </c>
      <c r="K91" s="29">
        <f>SUMIF(B:B,Tabela2[[#This Row],[Tag]],C:C)/Tabela2[[#This Row],[Comprim. Real]]</f>
        <v>1</v>
      </c>
      <c r="L91" s="29" t="str">
        <f>VLOOKUP(Tabela2[[#This Row],[Tag]],BD!A:AF,32,0)</f>
        <v>7HVxGB-200</v>
      </c>
      <c r="N91" s="21">
        <v>90</v>
      </c>
      <c r="O91" s="21" t="s">
        <v>936</v>
      </c>
      <c r="P91" s="21" t="s">
        <v>19</v>
      </c>
      <c r="Q91" s="26">
        <v>44250</v>
      </c>
      <c r="R91" s="27">
        <f>VLOOKUP(Tabela5[[#This Row],[Teste]],Referências!$D$2:$E$5,2,0)</f>
        <v>4</v>
      </c>
      <c r="S91" s="27" t="str">
        <f>Tabela5[[#This Row],[TAG]]&amp;"-"&amp;Tabela5[[#This Row],[COD_Test]]</f>
        <v>8HV-7HV-001F-4</v>
      </c>
      <c r="T91" s="21" t="s">
        <v>1505</v>
      </c>
      <c r="U91" s="21" t="str">
        <f>VLOOKUP(Tabela5[[#This Row],[TAG]],BD!A:J,10,0)</f>
        <v>8HV x 7HV</v>
      </c>
      <c r="V91" s="24" t="str">
        <f>VLOOKUP(Tabela5[[#This Row],[TAG]],BD!A:E,5,0)</f>
        <v>5x3x1/c#185</v>
      </c>
      <c r="W91" s="21">
        <v>15</v>
      </c>
      <c r="X91" s="256">
        <f>VLOOKUP(Tabela5[[#This Row],[TAG]],$AE:$AK,7,0)</f>
        <v>1</v>
      </c>
      <c r="Y91" s="256" t="str">
        <f>VLOOKUP(Tabela5[[#This Row],[TAG]],BD!A:P,14,0)</f>
        <v>---</v>
      </c>
      <c r="Z91" s="256" t="str">
        <f>VLOOKUP(Tabela5[[#This Row],[TAG]],BD!A:P,15,0)</f>
        <v>Sim</v>
      </c>
      <c r="AA91" s="256" t="str">
        <f>VLOOKUP(Tabela5[[#This Row],[TAG]],BD!A:P,16,0)</f>
        <v>Sim</v>
      </c>
      <c r="AB91" s="256"/>
      <c r="AD91" s="391">
        <v>90</v>
      </c>
      <c r="AE91" s="391" t="s">
        <v>425</v>
      </c>
      <c r="AF91" s="391" t="s">
        <v>92</v>
      </c>
      <c r="AG91" s="391">
        <v>3</v>
      </c>
      <c r="AH91" s="32">
        <v>44245</v>
      </c>
      <c r="AI91" s="391">
        <f>VLOOKUP(Tabela7[[#This Row],[TAG]],BD!$A:$V,19,0)</f>
        <v>6</v>
      </c>
      <c r="AJ91" s="23" t="str">
        <f>VLOOKUP(Tabela7[[#This Row],[TAG]],BD!A:J,10,0)</f>
        <v>7HV</v>
      </c>
      <c r="AK91" s="28">
        <f>SUMIF(AE:AE,Tabela7[[#This Row],[TAG]],AG:AG)/Tabela7[[#This Row],[Qtde Lig]]</f>
        <v>1</v>
      </c>
    </row>
    <row r="92" spans="1:37" x14ac:dyDescent="0.25">
      <c r="A92" s="391">
        <v>91</v>
      </c>
      <c r="B92" s="7" t="s">
        <v>558</v>
      </c>
      <c r="C92" s="391">
        <v>10</v>
      </c>
      <c r="D92" s="32">
        <v>44160</v>
      </c>
      <c r="E92" s="32" t="str">
        <f>VLOOKUP(Tabela2[[#This Row],[Tag]],BD!$A:$B,2,0)</f>
        <v>Controle</v>
      </c>
      <c r="F92" s="32" t="str">
        <f>VLOOKUP(Tabela2[[#This Row],[Tag]],BD!A:J,10,0)</f>
        <v>7HV</v>
      </c>
      <c r="G92" s="31" t="str">
        <f>VLOOKUP(Tabela2[[#This Row],[Tag]],BD!$A:$V,20,0)</f>
        <v>E5WP000490-C-001-LC004</v>
      </c>
      <c r="H92" s="32" t="str">
        <f>IF(VLOOKUP(Tabela2[[#This Row],[Tag]],BD!A:T,17,0)=0,"",VLOOKUP(Tabela2[[#This Row],[Tag]],BD!A:T,17,0))</f>
        <v>4.6.1</v>
      </c>
      <c r="I92" s="140">
        <v>44136</v>
      </c>
      <c r="J92" s="155">
        <f>VLOOKUP(Tabela2[[#This Row],[Tag]],BD!$A:$AE,30,0)</f>
        <v>10</v>
      </c>
      <c r="K92" s="29">
        <f>SUMIF(B:B,Tabela2[[#This Row],[Tag]],C:C)/Tabela2[[#This Row],[Comprim. Real]]</f>
        <v>1</v>
      </c>
      <c r="L92" s="29" t="str">
        <f>VLOOKUP(Tabela2[[#This Row],[Tag]],BD!A:AF,32,0)</f>
        <v>7HV</v>
      </c>
      <c r="N92" s="21">
        <v>91</v>
      </c>
      <c r="O92" s="21" t="s">
        <v>419</v>
      </c>
      <c r="P92" s="21" t="s">
        <v>16</v>
      </c>
      <c r="Q92" s="26">
        <v>44253</v>
      </c>
      <c r="R92" s="27">
        <f>VLOOKUP(Tabela5[[#This Row],[Teste]],Referências!$D$2:$E$5,2,0)</f>
        <v>1</v>
      </c>
      <c r="S92" s="27" t="str">
        <f>Tabela5[[#This Row],[TAG]]&amp;"-"&amp;Tabela5[[#This Row],[COD_Test]]</f>
        <v>7HV-M003-1</v>
      </c>
      <c r="T92" s="21" t="s">
        <v>1505</v>
      </c>
      <c r="U92" s="21" t="str">
        <f>VLOOKUP(Tabela5[[#This Row],[TAG]],BD!A:J,10,0)</f>
        <v>7HV</v>
      </c>
      <c r="V92" s="24" t="str">
        <f>VLOOKUP(Tabela5[[#This Row],[TAG]],BD!A:E,5,0)</f>
        <v>1x3x1/C#70</v>
      </c>
      <c r="W92" s="21">
        <v>3</v>
      </c>
      <c r="X92" s="256">
        <f>VLOOKUP(Tabela5[[#This Row],[TAG]],$AE:$AK,7,0)</f>
        <v>1</v>
      </c>
      <c r="Y92" s="256" t="str">
        <f>VLOOKUP(Tabela5[[#This Row],[TAG]],BD!A:P,14,0)</f>
        <v>---</v>
      </c>
      <c r="Z92" s="256" t="str">
        <f>VLOOKUP(Tabela5[[#This Row],[TAG]],BD!A:P,15,0)</f>
        <v>Sim</v>
      </c>
      <c r="AA92" s="256" t="str">
        <f>VLOOKUP(Tabela5[[#This Row],[TAG]],BD!A:P,16,0)</f>
        <v>Sim</v>
      </c>
      <c r="AB92" s="256"/>
      <c r="AD92" s="391">
        <v>91</v>
      </c>
      <c r="AE92" s="391" t="s">
        <v>864</v>
      </c>
      <c r="AF92" s="391" t="s">
        <v>92</v>
      </c>
      <c r="AG92" s="391">
        <v>4</v>
      </c>
      <c r="AH92" s="32">
        <v>44247</v>
      </c>
      <c r="AI92" s="391">
        <f>VLOOKUP(Tabela7[[#This Row],[TAG]],BD!$A:$V,19,0)</f>
        <v>4</v>
      </c>
      <c r="AJ92" s="23" t="str">
        <f>VLOOKUP(Tabela7[[#This Row],[TAG]],BD!A:J,10,0)</f>
        <v>8HV</v>
      </c>
      <c r="AK92" s="28">
        <f>SUMIF(AE:AE,Tabela7[[#This Row],[TAG]],AG:AG)/Tabela7[[#This Row],[Qtde Lig]]</f>
        <v>1</v>
      </c>
    </row>
    <row r="93" spans="1:37" x14ac:dyDescent="0.25">
      <c r="A93" s="391">
        <v>92</v>
      </c>
      <c r="B93" s="7" t="s">
        <v>469</v>
      </c>
      <c r="C93" s="391">
        <v>11</v>
      </c>
      <c r="D93" s="32">
        <v>44160</v>
      </c>
      <c r="E93" s="32" t="str">
        <f>VLOOKUP(Tabela2[[#This Row],[Tag]],BD!$A:$B,2,0)</f>
        <v>Controle</v>
      </c>
      <c r="F93" s="32" t="str">
        <f>VLOOKUP(Tabela2[[#This Row],[Tag]],BD!A:J,10,0)</f>
        <v>7HV</v>
      </c>
      <c r="G93" s="31" t="str">
        <f>VLOOKUP(Tabela2[[#This Row],[Tag]],BD!$A:$V,20,0)</f>
        <v>E5WP000490-C-001-LC004</v>
      </c>
      <c r="H93" s="32" t="str">
        <f>IF(VLOOKUP(Tabela2[[#This Row],[Tag]],BD!A:T,17,0)=0,"",VLOOKUP(Tabela2[[#This Row],[Tag]],BD!A:T,17,0))</f>
        <v>4.6.1</v>
      </c>
      <c r="I93" s="140">
        <v>44136</v>
      </c>
      <c r="J93" s="155">
        <f>VLOOKUP(Tabela2[[#This Row],[Tag]],BD!$A:$AE,30,0)</f>
        <v>11</v>
      </c>
      <c r="K93" s="29">
        <f>SUMIF(B:B,Tabela2[[#This Row],[Tag]],C:C)/Tabela2[[#This Row],[Comprim. Real]]</f>
        <v>1</v>
      </c>
      <c r="L93" s="29" t="str">
        <f>VLOOKUP(Tabela2[[#This Row],[Tag]],BD!A:AF,32,0)</f>
        <v>7HV</v>
      </c>
      <c r="N93" s="21">
        <v>92</v>
      </c>
      <c r="O93" s="21" t="s">
        <v>419</v>
      </c>
      <c r="P93" s="21" t="s">
        <v>18</v>
      </c>
      <c r="Q93" s="26">
        <v>44253</v>
      </c>
      <c r="R93" s="27">
        <f>VLOOKUP(Tabela5[[#This Row],[Teste]],Referências!$D$2:$E$5,2,0)</f>
        <v>3</v>
      </c>
      <c r="S93" s="27" t="str">
        <f>Tabela5[[#This Row],[TAG]]&amp;"-"&amp;Tabela5[[#This Row],[COD_Test]]</f>
        <v>7HV-M003-3</v>
      </c>
      <c r="T93" s="21" t="s">
        <v>1505</v>
      </c>
      <c r="U93" s="21" t="str">
        <f>VLOOKUP(Tabela5[[#This Row],[TAG]],BD!A:J,10,0)</f>
        <v>7HV</v>
      </c>
      <c r="V93" s="24" t="str">
        <f>VLOOKUP(Tabela5[[#This Row],[TAG]],BD!A:E,5,0)</f>
        <v>1x3x1/C#70</v>
      </c>
      <c r="W93" s="21">
        <v>3</v>
      </c>
      <c r="X93" s="256">
        <f>VLOOKUP(Tabela5[[#This Row],[TAG]],$AE:$AK,7,0)</f>
        <v>1</v>
      </c>
      <c r="Y93" s="256" t="str">
        <f>VLOOKUP(Tabela5[[#This Row],[TAG]],BD!A:P,14,0)</f>
        <v>---</v>
      </c>
      <c r="Z93" s="256" t="str">
        <f>VLOOKUP(Tabela5[[#This Row],[TAG]],BD!A:P,15,0)</f>
        <v>Sim</v>
      </c>
      <c r="AA93" s="256" t="str">
        <f>VLOOKUP(Tabela5[[#This Row],[TAG]],BD!A:P,16,0)</f>
        <v>Sim</v>
      </c>
      <c r="AB93" s="256"/>
      <c r="AD93" s="391">
        <v>92</v>
      </c>
      <c r="AE93" s="391" t="s">
        <v>872</v>
      </c>
      <c r="AF93" s="391" t="s">
        <v>92</v>
      </c>
      <c r="AG93" s="391">
        <v>4</v>
      </c>
      <c r="AH93" s="32">
        <v>44247</v>
      </c>
      <c r="AI93" s="391">
        <f>VLOOKUP(Tabela7[[#This Row],[TAG]],BD!$A:$V,19,0)</f>
        <v>4</v>
      </c>
      <c r="AJ93" s="23" t="str">
        <f>VLOOKUP(Tabela7[[#This Row],[TAG]],BD!A:J,10,0)</f>
        <v>8HV</v>
      </c>
      <c r="AK93" s="28">
        <f>SUMIF(AE:AE,Tabela7[[#This Row],[TAG]],AG:AG)/Tabela7[[#This Row],[Qtde Lig]]</f>
        <v>1</v>
      </c>
    </row>
    <row r="94" spans="1:37" x14ac:dyDescent="0.25">
      <c r="A94" s="391">
        <v>93</v>
      </c>
      <c r="B94" s="7" t="s">
        <v>474</v>
      </c>
      <c r="C94" s="391">
        <v>19</v>
      </c>
      <c r="D94" s="32">
        <v>44160</v>
      </c>
      <c r="E94" s="32" t="str">
        <f>VLOOKUP(Tabela2[[#This Row],[Tag]],BD!$A:$B,2,0)</f>
        <v>Controle</v>
      </c>
      <c r="F94" s="32" t="str">
        <f>VLOOKUP(Tabela2[[#This Row],[Tag]],BD!A:J,10,0)</f>
        <v>7HV</v>
      </c>
      <c r="G94" s="31" t="str">
        <f>VLOOKUP(Tabela2[[#This Row],[Tag]],BD!$A:$V,20,0)</f>
        <v>E5WP000490-C-001-LC004</v>
      </c>
      <c r="H94" s="32" t="str">
        <f>IF(VLOOKUP(Tabela2[[#This Row],[Tag]],BD!A:T,17,0)=0,"",VLOOKUP(Tabela2[[#This Row],[Tag]],BD!A:T,17,0))</f>
        <v>4.6.1</v>
      </c>
      <c r="I94" s="140">
        <v>44136</v>
      </c>
      <c r="J94" s="155">
        <f>VLOOKUP(Tabela2[[#This Row],[Tag]],BD!$A:$AE,30,0)</f>
        <v>19</v>
      </c>
      <c r="K94" s="29">
        <f>SUMIF(B:B,Tabela2[[#This Row],[Tag]],C:C)/Tabela2[[#This Row],[Comprim. Real]]</f>
        <v>1</v>
      </c>
      <c r="L94" s="29" t="str">
        <f>VLOOKUP(Tabela2[[#This Row],[Tag]],BD!A:AF,32,0)</f>
        <v>7HV</v>
      </c>
      <c r="N94" s="21">
        <v>93</v>
      </c>
      <c r="O94" s="21" t="s">
        <v>419</v>
      </c>
      <c r="P94" s="21" t="s">
        <v>19</v>
      </c>
      <c r="Q94" s="26">
        <v>44253</v>
      </c>
      <c r="R94" s="27">
        <f>VLOOKUP(Tabela5[[#This Row],[Teste]],Referências!$D$2:$E$5,2,0)</f>
        <v>4</v>
      </c>
      <c r="S94" s="27" t="str">
        <f>Tabela5[[#This Row],[TAG]]&amp;"-"&amp;Tabela5[[#This Row],[COD_Test]]</f>
        <v>7HV-M003-4</v>
      </c>
      <c r="T94" s="21" t="s">
        <v>1505</v>
      </c>
      <c r="U94" s="21" t="str">
        <f>VLOOKUP(Tabela5[[#This Row],[TAG]],BD!A:J,10,0)</f>
        <v>7HV</v>
      </c>
      <c r="V94" s="24" t="str">
        <f>VLOOKUP(Tabela5[[#This Row],[TAG]],BD!A:E,5,0)</f>
        <v>1x3x1/C#70</v>
      </c>
      <c r="W94" s="21">
        <v>3</v>
      </c>
      <c r="X94" s="256">
        <f>VLOOKUP(Tabela5[[#This Row],[TAG]],$AE:$AK,7,0)</f>
        <v>1</v>
      </c>
      <c r="Y94" s="256" t="str">
        <f>VLOOKUP(Tabela5[[#This Row],[TAG]],BD!A:P,14,0)</f>
        <v>---</v>
      </c>
      <c r="Z94" s="256" t="str">
        <f>VLOOKUP(Tabela5[[#This Row],[TAG]],BD!A:P,15,0)</f>
        <v>Sim</v>
      </c>
      <c r="AA94" s="256" t="str">
        <f>VLOOKUP(Tabela5[[#This Row],[TAG]],BD!A:P,16,0)</f>
        <v>Sim</v>
      </c>
      <c r="AB94" s="256"/>
      <c r="AD94" s="391">
        <v>93</v>
      </c>
      <c r="AE94" s="391" t="s">
        <v>843</v>
      </c>
      <c r="AF94" s="391" t="s">
        <v>92</v>
      </c>
      <c r="AG94" s="391">
        <v>6</v>
      </c>
      <c r="AH94" s="32">
        <v>44247</v>
      </c>
      <c r="AI94" s="391">
        <f>VLOOKUP(Tabela7[[#This Row],[TAG]],BD!$A:$V,19,0)</f>
        <v>12</v>
      </c>
      <c r="AJ94" s="23" t="str">
        <f>VLOOKUP(Tabela7[[#This Row],[TAG]],BD!A:J,10,0)</f>
        <v>8HV</v>
      </c>
      <c r="AK94" s="28">
        <f>SUMIF(AE:AE,Tabela7[[#This Row],[TAG]],AG:AG)/Tabela7[[#This Row],[Qtde Lig]]</f>
        <v>0.5</v>
      </c>
    </row>
    <row r="95" spans="1:37" x14ac:dyDescent="0.25">
      <c r="A95" s="391">
        <v>94</v>
      </c>
      <c r="B95" s="7" t="s">
        <v>549</v>
      </c>
      <c r="C95" s="391">
        <v>20</v>
      </c>
      <c r="D95" s="32">
        <v>44160</v>
      </c>
      <c r="E95" s="32" t="str">
        <f>VLOOKUP(Tabela2[[#This Row],[Tag]],BD!$A:$B,2,0)</f>
        <v>Controle</v>
      </c>
      <c r="F95" s="32" t="str">
        <f>VLOOKUP(Tabela2[[#This Row],[Tag]],BD!A:J,10,0)</f>
        <v>7HV</v>
      </c>
      <c r="G95" s="31" t="str">
        <f>VLOOKUP(Tabela2[[#This Row],[Tag]],BD!$A:$V,20,0)</f>
        <v>E5WP000490-C-001-LC004</v>
      </c>
      <c r="H95" s="32" t="str">
        <f>IF(VLOOKUP(Tabela2[[#This Row],[Tag]],BD!A:T,17,0)=0,"",VLOOKUP(Tabela2[[#This Row],[Tag]],BD!A:T,17,0))</f>
        <v>4.6.1</v>
      </c>
      <c r="I95" s="140">
        <v>44136</v>
      </c>
      <c r="J95" s="155">
        <f>VLOOKUP(Tabela2[[#This Row],[Tag]],BD!$A:$AE,30,0)</f>
        <v>20</v>
      </c>
      <c r="K95" s="29">
        <f>SUMIF(B:B,Tabela2[[#This Row],[Tag]],C:C)/Tabela2[[#This Row],[Comprim. Real]]</f>
        <v>1</v>
      </c>
      <c r="L95" s="29" t="str">
        <f>VLOOKUP(Tabela2[[#This Row],[Tag]],BD!A:AF,32,0)</f>
        <v>7HV</v>
      </c>
      <c r="N95" s="21">
        <v>94</v>
      </c>
      <c r="O95" s="21" t="s">
        <v>239</v>
      </c>
      <c r="P95" s="21" t="s">
        <v>16</v>
      </c>
      <c r="Q95" s="26">
        <v>44257</v>
      </c>
      <c r="R95" s="27">
        <f>VLOOKUP(Tabela5[[#This Row],[Teste]],Referências!$D$2:$E$5,2,0)</f>
        <v>1</v>
      </c>
      <c r="S95" s="27" t="str">
        <f>Tabela5[[#This Row],[TAG]]&amp;"-"&amp;Tabela5[[#This Row],[COD_Test]]</f>
        <v>1MV-GAM-906E-001F-1</v>
      </c>
      <c r="T95" s="21" t="s">
        <v>1505</v>
      </c>
      <c r="U95" s="21" t="str">
        <f>VLOOKUP(Tabela5[[#This Row],[TAG]],BD!A:J,10,0)</f>
        <v>GA-906E</v>
      </c>
      <c r="V95" s="24" t="str">
        <f>VLOOKUP(Tabela5[[#This Row],[TAG]],BD!A:E,5,0)</f>
        <v>3x1x1/C#185</v>
      </c>
      <c r="W95" s="21">
        <v>3</v>
      </c>
      <c r="X95" s="256">
        <f>VLOOKUP(Tabela5[[#This Row],[TAG]],$AE:$AK,7,0)</f>
        <v>1</v>
      </c>
      <c r="Y95" s="256" t="str">
        <f>VLOOKUP(Tabela5[[#This Row],[TAG]],BD!A:P,14,0)</f>
        <v>---</v>
      </c>
      <c r="Z95" s="256" t="str">
        <f>VLOOKUP(Tabela5[[#This Row],[TAG]],BD!A:P,15,0)</f>
        <v>Sim</v>
      </c>
      <c r="AA95" s="256" t="str">
        <f>VLOOKUP(Tabela5[[#This Row],[TAG]],BD!A:P,16,0)</f>
        <v>Sim</v>
      </c>
      <c r="AB95" s="256"/>
      <c r="AD95" s="391">
        <v>94</v>
      </c>
      <c r="AE95" s="391" t="s">
        <v>846</v>
      </c>
      <c r="AF95" s="391" t="s">
        <v>92</v>
      </c>
      <c r="AG95" s="391">
        <v>18</v>
      </c>
      <c r="AH95" s="32">
        <v>44247</v>
      </c>
      <c r="AI95" s="391">
        <f>VLOOKUP(Tabela7[[#This Row],[TAG]],BD!$A:$V,19,0)</f>
        <v>18</v>
      </c>
      <c r="AJ95" s="23" t="str">
        <f>VLOOKUP(Tabela7[[#This Row],[TAG]],BD!A:J,10,0)</f>
        <v>8HV</v>
      </c>
      <c r="AK95" s="28">
        <f>SUMIF(AE:AE,Tabela7[[#This Row],[TAG]],AG:AG)/Tabela7[[#This Row],[Qtde Lig]]</f>
        <v>1</v>
      </c>
    </row>
    <row r="96" spans="1:37" x14ac:dyDescent="0.25">
      <c r="A96" s="391">
        <v>95</v>
      </c>
      <c r="B96" s="7" t="s">
        <v>400</v>
      </c>
      <c r="C96" s="391">
        <v>30</v>
      </c>
      <c r="D96" s="32">
        <v>44160</v>
      </c>
      <c r="E96" s="32" t="str">
        <f>VLOOKUP(Tabela2[[#This Row],[Tag]],BD!$A:$B,2,0)</f>
        <v>Controle</v>
      </c>
      <c r="F96" s="32" t="str">
        <f>VLOOKUP(Tabela2[[#This Row],[Tag]],BD!A:J,10,0)</f>
        <v>7HV</v>
      </c>
      <c r="G96" s="31" t="str">
        <f>VLOOKUP(Tabela2[[#This Row],[Tag]],BD!$A:$V,20,0)</f>
        <v>E5WP000490-C-001-LC004</v>
      </c>
      <c r="H96" s="32" t="str">
        <f>IF(VLOOKUP(Tabela2[[#This Row],[Tag]],BD!A:T,17,0)=0,"",VLOOKUP(Tabela2[[#This Row],[Tag]],BD!A:T,17,0))</f>
        <v>4.6.1</v>
      </c>
      <c r="I96" s="140">
        <v>44136</v>
      </c>
      <c r="J96" s="155">
        <f>VLOOKUP(Tabela2[[#This Row],[Tag]],BD!$A:$AE,30,0)</f>
        <v>30</v>
      </c>
      <c r="K96" s="29">
        <f>SUMIF(B:B,Tabela2[[#This Row],[Tag]],C:C)/Tabela2[[#This Row],[Comprim. Real]]</f>
        <v>1</v>
      </c>
      <c r="L96" s="29" t="str">
        <f>VLOOKUP(Tabela2[[#This Row],[Tag]],BD!A:AF,32,0)</f>
        <v>7HV</v>
      </c>
      <c r="N96" s="21">
        <v>95</v>
      </c>
      <c r="O96" s="21" t="s">
        <v>239</v>
      </c>
      <c r="P96" s="21" t="s">
        <v>18</v>
      </c>
      <c r="Q96" s="26">
        <v>44257</v>
      </c>
      <c r="R96" s="27">
        <f>VLOOKUP(Tabela5[[#This Row],[Teste]],Referências!$D$2:$E$5,2,0)</f>
        <v>3</v>
      </c>
      <c r="S96" s="27" t="str">
        <f>Tabela5[[#This Row],[TAG]]&amp;"-"&amp;Tabela5[[#This Row],[COD_Test]]</f>
        <v>1MV-GAM-906E-001F-3</v>
      </c>
      <c r="T96" s="21" t="s">
        <v>1505</v>
      </c>
      <c r="U96" s="21" t="str">
        <f>VLOOKUP(Tabela5[[#This Row],[TAG]],BD!A:J,10,0)</f>
        <v>GA-906E</v>
      </c>
      <c r="V96" s="24" t="str">
        <f>VLOOKUP(Tabela5[[#This Row],[TAG]],BD!A:E,5,0)</f>
        <v>3x1x1/C#185</v>
      </c>
      <c r="W96" s="21">
        <v>3</v>
      </c>
      <c r="X96" s="256">
        <f>VLOOKUP(Tabela5[[#This Row],[TAG]],$AE:$AK,7,0)</f>
        <v>1</v>
      </c>
      <c r="Y96" s="256" t="str">
        <f>VLOOKUP(Tabela5[[#This Row],[TAG]],BD!A:P,14,0)</f>
        <v>---</v>
      </c>
      <c r="Z96" s="256" t="str">
        <f>VLOOKUP(Tabela5[[#This Row],[TAG]],BD!A:P,15,0)</f>
        <v>Sim</v>
      </c>
      <c r="AA96" s="256" t="str">
        <f>VLOOKUP(Tabela5[[#This Row],[TAG]],BD!A:P,16,0)</f>
        <v>Sim</v>
      </c>
      <c r="AB96" s="256"/>
      <c r="AD96" s="391">
        <v>95</v>
      </c>
      <c r="AE96" s="391" t="s">
        <v>833</v>
      </c>
      <c r="AF96" s="391" t="s">
        <v>92</v>
      </c>
      <c r="AG96" s="391">
        <v>12</v>
      </c>
      <c r="AH96" s="32">
        <v>44247</v>
      </c>
      <c r="AI96" s="391">
        <f>VLOOKUP(Tabela7[[#This Row],[TAG]],BD!$A:$V,19,0)</f>
        <v>12</v>
      </c>
      <c r="AJ96" s="23" t="str">
        <f>VLOOKUP(Tabela7[[#This Row],[TAG]],BD!A:J,10,0)</f>
        <v>8HV</v>
      </c>
      <c r="AK96" s="28">
        <f>SUMIF(AE:AE,Tabela7[[#This Row],[TAG]],AG:AG)/Tabela7[[#This Row],[Qtde Lig]]</f>
        <v>1</v>
      </c>
    </row>
    <row r="97" spans="1:37" x14ac:dyDescent="0.25">
      <c r="A97" s="391">
        <v>96</v>
      </c>
      <c r="B97" s="7" t="s">
        <v>409</v>
      </c>
      <c r="C97" s="391">
        <v>30</v>
      </c>
      <c r="D97" s="32">
        <v>44160</v>
      </c>
      <c r="E97" s="32" t="str">
        <f>VLOOKUP(Tabela2[[#This Row],[Tag]],BD!$A:$B,2,0)</f>
        <v>Controle</v>
      </c>
      <c r="F97" s="32" t="str">
        <f>VLOOKUP(Tabela2[[#This Row],[Tag]],BD!A:J,10,0)</f>
        <v>7HV</v>
      </c>
      <c r="G97" s="31" t="str">
        <f>VLOOKUP(Tabela2[[#This Row],[Tag]],BD!$A:$V,20,0)</f>
        <v>E5WP000490-C-001-LC004</v>
      </c>
      <c r="H97" s="32" t="str">
        <f>IF(VLOOKUP(Tabela2[[#This Row],[Tag]],BD!A:T,17,0)=0,"",VLOOKUP(Tabela2[[#This Row],[Tag]],BD!A:T,17,0))</f>
        <v>4.6.1</v>
      </c>
      <c r="I97" s="140">
        <v>44136</v>
      </c>
      <c r="J97" s="155">
        <f>VLOOKUP(Tabela2[[#This Row],[Tag]],BD!$A:$AE,30,0)</f>
        <v>30</v>
      </c>
      <c r="K97" s="29">
        <f>SUMIF(B:B,Tabela2[[#This Row],[Tag]],C:C)/Tabela2[[#This Row],[Comprim. Real]]</f>
        <v>1</v>
      </c>
      <c r="L97" s="29" t="str">
        <f>VLOOKUP(Tabela2[[#This Row],[Tag]],BD!A:AF,32,0)</f>
        <v>7HV</v>
      </c>
      <c r="N97" s="21">
        <v>96</v>
      </c>
      <c r="O97" s="21" t="s">
        <v>239</v>
      </c>
      <c r="P97" s="21" t="s">
        <v>19</v>
      </c>
      <c r="Q97" s="26">
        <v>44257</v>
      </c>
      <c r="R97" s="27">
        <f>VLOOKUP(Tabela5[[#This Row],[Teste]],Referências!$D$2:$E$5,2,0)</f>
        <v>4</v>
      </c>
      <c r="S97" s="27" t="str">
        <f>Tabela5[[#This Row],[TAG]]&amp;"-"&amp;Tabela5[[#This Row],[COD_Test]]</f>
        <v>1MV-GAM-906E-001F-4</v>
      </c>
      <c r="T97" s="21" t="s">
        <v>1505</v>
      </c>
      <c r="U97" s="21" t="str">
        <f>VLOOKUP(Tabela5[[#This Row],[TAG]],BD!A:J,10,0)</f>
        <v>GA-906E</v>
      </c>
      <c r="V97" s="24" t="str">
        <f>VLOOKUP(Tabela5[[#This Row],[TAG]],BD!A:E,5,0)</f>
        <v>3x1x1/C#185</v>
      </c>
      <c r="W97" s="21">
        <v>3</v>
      </c>
      <c r="X97" s="256">
        <f>VLOOKUP(Tabela5[[#This Row],[TAG]],$AE:$AK,7,0)</f>
        <v>1</v>
      </c>
      <c r="Y97" s="256" t="str">
        <f>VLOOKUP(Tabela5[[#This Row],[TAG]],BD!A:P,14,0)</f>
        <v>---</v>
      </c>
      <c r="Z97" s="256" t="str">
        <f>VLOOKUP(Tabela5[[#This Row],[TAG]],BD!A:P,15,0)</f>
        <v>Sim</v>
      </c>
      <c r="AA97" s="256" t="str">
        <f>VLOOKUP(Tabela5[[#This Row],[TAG]],BD!A:P,16,0)</f>
        <v>Sim</v>
      </c>
      <c r="AB97" s="256"/>
      <c r="AD97" s="391">
        <v>96</v>
      </c>
      <c r="AE97" s="391" t="s">
        <v>845</v>
      </c>
      <c r="AF97" s="391" t="s">
        <v>92</v>
      </c>
      <c r="AG97" s="391">
        <v>3</v>
      </c>
      <c r="AH97" s="32">
        <v>44247</v>
      </c>
      <c r="AI97" s="391">
        <f>VLOOKUP(Tabela7[[#This Row],[TAG]],BD!$A:$V,19,0)</f>
        <v>6</v>
      </c>
      <c r="AJ97" s="23" t="str">
        <f>VLOOKUP(Tabela7[[#This Row],[TAG]],BD!A:J,10,0)</f>
        <v>8HV</v>
      </c>
      <c r="AK97" s="28">
        <f>SUMIF(AE:AE,Tabela7[[#This Row],[TAG]],AG:AG)/Tabela7[[#This Row],[Qtde Lig]]</f>
        <v>0.5</v>
      </c>
    </row>
    <row r="98" spans="1:37" x14ac:dyDescent="0.25">
      <c r="A98" s="391">
        <v>97</v>
      </c>
      <c r="B98" s="7" t="s">
        <v>870</v>
      </c>
      <c r="C98" s="391">
        <v>10</v>
      </c>
      <c r="D98" s="32">
        <v>44167</v>
      </c>
      <c r="E98" s="32" t="str">
        <f>VLOOKUP(Tabela2[[#This Row],[Tag]],BD!$A:$B,2,0)</f>
        <v>Força</v>
      </c>
      <c r="F98" s="32" t="str">
        <f>VLOOKUP(Tabela2[[#This Row],[Tag]],BD!A:J,10,0)</f>
        <v>8HV</v>
      </c>
      <c r="G98" s="31" t="str">
        <f>VLOOKUP(Tabela2[[#This Row],[Tag]],BD!$A:$V,20,0)</f>
        <v>BK-SP54-0900A-LC-74-00001_00000</v>
      </c>
      <c r="H98" s="32" t="str">
        <f>IF(VLOOKUP(Tabela2[[#This Row],[Tag]],BD!A:T,17,0)=0,"",VLOOKUP(Tabela2[[#This Row],[Tag]],BD!A:T,17,0))</f>
        <v>5.10.2</v>
      </c>
      <c r="I98" s="139">
        <v>44166</v>
      </c>
      <c r="J98" s="155">
        <f>VLOOKUP(Tabela2[[#This Row],[Tag]],BD!$A:$AE,30,0)</f>
        <v>10</v>
      </c>
      <c r="K98" s="29">
        <f>SUMIF(B:B,Tabela2[[#This Row],[Tag]],C:C)/Tabela2[[#This Row],[Comprim. Real]]</f>
        <v>1</v>
      </c>
      <c r="L98" s="29" t="str">
        <f>VLOOKUP(Tabela2[[#This Row],[Tag]],BD!A:AF,32,0)</f>
        <v>8HV</v>
      </c>
      <c r="N98" s="21">
        <v>97</v>
      </c>
      <c r="O98" s="21" t="s">
        <v>866</v>
      </c>
      <c r="P98" s="21" t="s">
        <v>16</v>
      </c>
      <c r="Q98" s="26">
        <v>44263</v>
      </c>
      <c r="R98" s="27">
        <f>VLOOKUP(Tabela5[[#This Row],[Teste]],Referências!$D$2:$E$5,2,0)</f>
        <v>1</v>
      </c>
      <c r="S98" s="27" t="str">
        <f>Tabela5[[#This Row],[TAG]]&amp;"-"&amp;Tabela5[[#This Row],[COD_Test]]</f>
        <v>TCC33-TCC34-001F-1</v>
      </c>
      <c r="T98" s="21" t="s">
        <v>1505</v>
      </c>
      <c r="U98" s="21" t="str">
        <f>VLOOKUP(Tabela5[[#This Row],[TAG]],BD!A:J,10,0)</f>
        <v>8HV</v>
      </c>
      <c r="V98" s="24" t="str">
        <f>VLOOKUP(Tabela5[[#This Row],[TAG]],BD!A:E,5,0)</f>
        <v>1x2/C#4</v>
      </c>
      <c r="W98" s="21">
        <v>2</v>
      </c>
      <c r="X98" s="256">
        <f>VLOOKUP(Tabela5[[#This Row],[TAG]],$AE:$AK,7,0)</f>
        <v>1</v>
      </c>
      <c r="Y98" s="256" t="str">
        <f>VLOOKUP(Tabela5[[#This Row],[TAG]],BD!A:P,14,0)</f>
        <v>Sim</v>
      </c>
      <c r="Z98" s="256" t="str">
        <f>VLOOKUP(Tabela5[[#This Row],[TAG]],BD!A:P,15,0)</f>
        <v>---</v>
      </c>
      <c r="AA98" s="256" t="str">
        <f>VLOOKUP(Tabela5[[#This Row],[TAG]],BD!A:P,16,0)</f>
        <v>---</v>
      </c>
      <c r="AB98" s="256"/>
      <c r="AD98" s="391">
        <v>97</v>
      </c>
      <c r="AE98" s="391" t="s">
        <v>849</v>
      </c>
      <c r="AF98" s="391" t="s">
        <v>92</v>
      </c>
      <c r="AG98" s="391">
        <v>11</v>
      </c>
      <c r="AH98" s="32">
        <v>44247</v>
      </c>
      <c r="AI98" s="391">
        <f>VLOOKUP(Tabela7[[#This Row],[TAG]],BD!$A:$V,19,0)</f>
        <v>22</v>
      </c>
      <c r="AJ98" s="23" t="str">
        <f>VLOOKUP(Tabela7[[#This Row],[TAG]],BD!A:J,10,0)</f>
        <v>8HV</v>
      </c>
      <c r="AK98" s="28">
        <f>SUMIF(AE:AE,Tabela7[[#This Row],[TAG]],AG:AG)/Tabela7[[#This Row],[Qtde Lig]]</f>
        <v>0.5</v>
      </c>
    </row>
    <row r="99" spans="1:37" x14ac:dyDescent="0.25">
      <c r="A99" s="391">
        <v>98</v>
      </c>
      <c r="B99" s="7" t="s">
        <v>854</v>
      </c>
      <c r="C99" s="391">
        <v>10</v>
      </c>
      <c r="D99" s="32">
        <v>44167</v>
      </c>
      <c r="E99" s="32" t="str">
        <f>VLOOKUP(Tabela2[[#This Row],[Tag]],BD!$A:$B,2,0)</f>
        <v>Força</v>
      </c>
      <c r="F99" s="32" t="str">
        <f>VLOOKUP(Tabela2[[#This Row],[Tag]],BD!A:J,10,0)</f>
        <v>8HV</v>
      </c>
      <c r="G99" s="31" t="str">
        <f>VLOOKUP(Tabela2[[#This Row],[Tag]],BD!$A:$V,20,0)</f>
        <v>BK-SP54-0900A-LC-74-00001_00000</v>
      </c>
      <c r="H99" s="32" t="str">
        <f>IF(VLOOKUP(Tabela2[[#This Row],[Tag]],BD!A:T,17,0)=0,"",VLOOKUP(Tabela2[[#This Row],[Tag]],BD!A:T,17,0))</f>
        <v>5.10.2</v>
      </c>
      <c r="I99" s="139">
        <v>44166</v>
      </c>
      <c r="J99" s="155">
        <f>VLOOKUP(Tabela2[[#This Row],[Tag]],BD!$A:$AE,30,0)</f>
        <v>10</v>
      </c>
      <c r="K99" s="29">
        <f>SUMIF(B:B,Tabela2[[#This Row],[Tag]],C:C)/Tabela2[[#This Row],[Comprim. Real]]</f>
        <v>1</v>
      </c>
      <c r="L99" s="29" t="str">
        <f>VLOOKUP(Tabela2[[#This Row],[Tag]],BD!A:AF,32,0)</f>
        <v>8HV</v>
      </c>
      <c r="N99" s="21">
        <v>98</v>
      </c>
      <c r="O99" s="21" t="s">
        <v>866</v>
      </c>
      <c r="P99" s="21" t="s">
        <v>17</v>
      </c>
      <c r="Q99" s="26">
        <v>44263</v>
      </c>
      <c r="R99" s="27">
        <f>VLOOKUP(Tabela5[[#This Row],[Teste]],Referências!$D$2:$E$5,2,0)</f>
        <v>2</v>
      </c>
      <c r="S99" s="27" t="str">
        <f>Tabela5[[#This Row],[TAG]]&amp;"-"&amp;Tabela5[[#This Row],[COD_Test]]</f>
        <v>TCC33-TCC34-001F-2</v>
      </c>
      <c r="T99" s="21" t="s">
        <v>1505</v>
      </c>
      <c r="U99" s="21" t="str">
        <f>VLOOKUP(Tabela5[[#This Row],[TAG]],BD!A:J,10,0)</f>
        <v>8HV</v>
      </c>
      <c r="V99" s="24" t="str">
        <f>VLOOKUP(Tabela5[[#This Row],[TAG]],BD!A:E,5,0)</f>
        <v>1x2/C#4</v>
      </c>
      <c r="W99" s="21">
        <v>2</v>
      </c>
      <c r="X99" s="256">
        <f>VLOOKUP(Tabela5[[#This Row],[TAG]],$AE:$AK,7,0)</f>
        <v>1</v>
      </c>
      <c r="Y99" s="256" t="str">
        <f>VLOOKUP(Tabela5[[#This Row],[TAG]],BD!A:P,14,0)</f>
        <v>Sim</v>
      </c>
      <c r="Z99" s="256" t="str">
        <f>VLOOKUP(Tabela5[[#This Row],[TAG]],BD!A:P,15,0)</f>
        <v>---</v>
      </c>
      <c r="AA99" s="256" t="str">
        <f>VLOOKUP(Tabela5[[#This Row],[TAG]],BD!A:P,16,0)</f>
        <v>---</v>
      </c>
      <c r="AB99" s="256" t="s">
        <v>85</v>
      </c>
      <c r="AD99" s="391">
        <v>98</v>
      </c>
      <c r="AE99" s="391" t="s">
        <v>844</v>
      </c>
      <c r="AF99" s="391" t="s">
        <v>92</v>
      </c>
      <c r="AG99" s="391">
        <v>6</v>
      </c>
      <c r="AH99" s="32">
        <v>44247</v>
      </c>
      <c r="AI99" s="391">
        <f>VLOOKUP(Tabela7[[#This Row],[TAG]],BD!$A:$V,19,0)</f>
        <v>12</v>
      </c>
      <c r="AJ99" s="23" t="str">
        <f>VLOOKUP(Tabela7[[#This Row],[TAG]],BD!A:J,10,0)</f>
        <v>8HV</v>
      </c>
      <c r="AK99" s="28">
        <f>SUMIF(AE:AE,Tabela7[[#This Row],[TAG]],AG:AG)/Tabela7[[#This Row],[Qtde Lig]]</f>
        <v>0.5</v>
      </c>
    </row>
    <row r="100" spans="1:37" x14ac:dyDescent="0.25">
      <c r="A100" s="391">
        <v>99</v>
      </c>
      <c r="B100" s="7" t="s">
        <v>881</v>
      </c>
      <c r="C100" s="391">
        <v>5</v>
      </c>
      <c r="D100" s="32">
        <v>44167</v>
      </c>
      <c r="E100" s="32" t="str">
        <f>VLOOKUP(Tabela2[[#This Row],[Tag]],BD!$A:$B,2,0)</f>
        <v>Força</v>
      </c>
      <c r="F100" s="32" t="str">
        <f>VLOOKUP(Tabela2[[#This Row],[Tag]],BD!A:J,10,0)</f>
        <v>8HV</v>
      </c>
      <c r="G100" s="31" t="str">
        <f>VLOOKUP(Tabela2[[#This Row],[Tag]],BD!$A:$V,20,0)</f>
        <v>BK-SP54-0900A-LC-74-00001_00000</v>
      </c>
      <c r="H100" s="32" t="str">
        <f>IF(VLOOKUP(Tabela2[[#This Row],[Tag]],BD!A:T,17,0)=0,"",VLOOKUP(Tabela2[[#This Row],[Tag]],BD!A:T,17,0))</f>
        <v>5.5.2</v>
      </c>
      <c r="I100" s="139">
        <v>44166</v>
      </c>
      <c r="J100" s="155">
        <f>VLOOKUP(Tabela2[[#This Row],[Tag]],BD!$A:$AE,30,0)</f>
        <v>5</v>
      </c>
      <c r="K100" s="29">
        <f>SUMIF(B:B,Tabela2[[#This Row],[Tag]],C:C)/Tabela2[[#This Row],[Comprim. Real]]</f>
        <v>1</v>
      </c>
      <c r="L100" s="29" t="str">
        <f>VLOOKUP(Tabela2[[#This Row],[Tag]],BD!A:AF,32,0)</f>
        <v>8HV</v>
      </c>
      <c r="N100" s="21">
        <v>99</v>
      </c>
      <c r="O100" s="21" t="s">
        <v>864</v>
      </c>
      <c r="P100" s="21" t="s">
        <v>16</v>
      </c>
      <c r="Q100" s="26">
        <v>44263</v>
      </c>
      <c r="R100" s="27">
        <f>VLOOKUP(Tabela5[[#This Row],[Teste]],Referências!$D$2:$E$5,2,0)</f>
        <v>1</v>
      </c>
      <c r="S100" s="27" t="str">
        <f>Tabela5[[#This Row],[TAG]]&amp;"-"&amp;Tabela5[[#This Row],[COD_Test]]</f>
        <v>TCC33-PSINC2-001F-1</v>
      </c>
      <c r="T100" s="21" t="s">
        <v>1505</v>
      </c>
      <c r="U100" s="21" t="str">
        <f>VLOOKUP(Tabela5[[#This Row],[TAG]],BD!A:J,10,0)</f>
        <v>8HV</v>
      </c>
      <c r="V100" s="24" t="str">
        <f>VLOOKUP(Tabela5[[#This Row],[TAG]],BD!A:E,5,0)</f>
        <v>1x2/C#4</v>
      </c>
      <c r="W100" s="21">
        <v>2</v>
      </c>
      <c r="X100" s="256">
        <f>VLOOKUP(Tabela5[[#This Row],[TAG]],$AE:$AK,7,0)</f>
        <v>1</v>
      </c>
      <c r="Y100" s="256" t="str">
        <f>VLOOKUP(Tabela5[[#This Row],[TAG]],BD!A:P,14,0)</f>
        <v>Sim</v>
      </c>
      <c r="Z100" s="256" t="str">
        <f>VLOOKUP(Tabela5[[#This Row],[TAG]],BD!A:P,15,0)</f>
        <v>---</v>
      </c>
      <c r="AA100" s="256" t="str">
        <f>VLOOKUP(Tabela5[[#This Row],[TAG]],BD!A:P,16,0)</f>
        <v>---</v>
      </c>
      <c r="AB100" s="256"/>
      <c r="AD100" s="391">
        <v>99</v>
      </c>
      <c r="AE100" s="391" t="s">
        <v>837</v>
      </c>
      <c r="AF100" s="391" t="s">
        <v>92</v>
      </c>
      <c r="AG100" s="391">
        <v>3</v>
      </c>
      <c r="AH100" s="32">
        <v>44247</v>
      </c>
      <c r="AI100" s="391">
        <f>VLOOKUP(Tabela7[[#This Row],[TAG]],BD!$A:$V,19,0)</f>
        <v>6</v>
      </c>
      <c r="AJ100" s="23" t="str">
        <f>VLOOKUP(Tabela7[[#This Row],[TAG]],BD!A:J,10,0)</f>
        <v>8HV</v>
      </c>
      <c r="AK100" s="28">
        <f>SUMIF(AE:AE,Tabela7[[#This Row],[TAG]],AG:AG)/Tabela7[[#This Row],[Qtde Lig]]</f>
        <v>0.5</v>
      </c>
    </row>
    <row r="101" spans="1:37" x14ac:dyDescent="0.25">
      <c r="A101" s="391">
        <v>100</v>
      </c>
      <c r="B101" s="7" t="s">
        <v>858</v>
      </c>
      <c r="C101" s="391">
        <v>10</v>
      </c>
      <c r="D101" s="32">
        <v>44167</v>
      </c>
      <c r="E101" s="32" t="str">
        <f>VLOOKUP(Tabela2[[#This Row],[Tag]],BD!$A:$B,2,0)</f>
        <v>Força</v>
      </c>
      <c r="F101" s="32" t="str">
        <f>VLOOKUP(Tabela2[[#This Row],[Tag]],BD!A:J,10,0)</f>
        <v>8HV</v>
      </c>
      <c r="G101" s="31" t="str">
        <f>VLOOKUP(Tabela2[[#This Row],[Tag]],BD!$A:$V,20,0)</f>
        <v>BK-SP54-0900A-LC-74-00001_00000</v>
      </c>
      <c r="H101" s="32" t="str">
        <f>IF(VLOOKUP(Tabela2[[#This Row],[Tag]],BD!A:T,17,0)=0,"",VLOOKUP(Tabela2[[#This Row],[Tag]],BD!A:T,17,0))</f>
        <v>5.10.2</v>
      </c>
      <c r="I101" s="139">
        <v>44166</v>
      </c>
      <c r="J101" s="155">
        <f>VLOOKUP(Tabela2[[#This Row],[Tag]],BD!$A:$AE,30,0)</f>
        <v>10</v>
      </c>
      <c r="K101" s="29">
        <f>SUMIF(B:B,Tabela2[[#This Row],[Tag]],C:C)/Tabela2[[#This Row],[Comprim. Real]]</f>
        <v>1</v>
      </c>
      <c r="L101" s="29" t="str">
        <f>VLOOKUP(Tabela2[[#This Row],[Tag]],BD!A:AF,32,0)</f>
        <v>8HV</v>
      </c>
      <c r="N101" s="21">
        <v>100</v>
      </c>
      <c r="O101" s="21" t="s">
        <v>864</v>
      </c>
      <c r="P101" s="21" t="s">
        <v>17</v>
      </c>
      <c r="Q101" s="26">
        <v>44263</v>
      </c>
      <c r="R101" s="27">
        <f>VLOOKUP(Tabela5[[#This Row],[Teste]],Referências!$D$2:$E$5,2,0)</f>
        <v>2</v>
      </c>
      <c r="S101" s="27" t="str">
        <f>Tabela5[[#This Row],[TAG]]&amp;"-"&amp;Tabela5[[#This Row],[COD_Test]]</f>
        <v>TCC33-PSINC2-001F-2</v>
      </c>
      <c r="T101" s="21" t="s">
        <v>1505</v>
      </c>
      <c r="U101" s="21" t="str">
        <f>VLOOKUP(Tabela5[[#This Row],[TAG]],BD!A:J,10,0)</f>
        <v>8HV</v>
      </c>
      <c r="V101" s="24" t="str">
        <f>VLOOKUP(Tabela5[[#This Row],[TAG]],BD!A:E,5,0)</f>
        <v>1x2/C#4</v>
      </c>
      <c r="W101" s="21">
        <v>2</v>
      </c>
      <c r="X101" s="256">
        <f>VLOOKUP(Tabela5[[#This Row],[TAG]],$AE:$AK,7,0)</f>
        <v>1</v>
      </c>
      <c r="Y101" s="256" t="str">
        <f>VLOOKUP(Tabela5[[#This Row],[TAG]],BD!A:P,14,0)</f>
        <v>Sim</v>
      </c>
      <c r="Z101" s="256" t="str">
        <f>VLOOKUP(Tabela5[[#This Row],[TAG]],BD!A:P,15,0)</f>
        <v>---</v>
      </c>
      <c r="AA101" s="256" t="str">
        <f>VLOOKUP(Tabela5[[#This Row],[TAG]],BD!A:P,16,0)</f>
        <v>---</v>
      </c>
      <c r="AB101" s="256" t="s">
        <v>85</v>
      </c>
      <c r="AD101" s="391">
        <v>100</v>
      </c>
      <c r="AE101" s="391" t="s">
        <v>848</v>
      </c>
      <c r="AF101" s="391" t="s">
        <v>92</v>
      </c>
      <c r="AG101" s="391">
        <v>16</v>
      </c>
      <c r="AH101" s="32">
        <v>44247</v>
      </c>
      <c r="AI101" s="391">
        <f>VLOOKUP(Tabela7[[#This Row],[TAG]],BD!$A:$V,19,0)</f>
        <v>16</v>
      </c>
      <c r="AJ101" s="23" t="str">
        <f>VLOOKUP(Tabela7[[#This Row],[TAG]],BD!A:J,10,0)</f>
        <v>8HV</v>
      </c>
      <c r="AK101" s="28">
        <f>SUMIF(AE:AE,Tabela7[[#This Row],[TAG]],AG:AG)/Tabela7[[#This Row],[Qtde Lig]]</f>
        <v>1</v>
      </c>
    </row>
    <row r="102" spans="1:37" x14ac:dyDescent="0.25">
      <c r="A102" s="391">
        <v>101</v>
      </c>
      <c r="B102" s="7" t="s">
        <v>812</v>
      </c>
      <c r="C102" s="391">
        <v>10</v>
      </c>
      <c r="D102" s="32">
        <v>44167</v>
      </c>
      <c r="E102" s="32" t="str">
        <f>VLOOKUP(Tabela2[[#This Row],[Tag]],BD!$A:$B,2,0)</f>
        <v>Força</v>
      </c>
      <c r="F102" s="32" t="str">
        <f>VLOOKUP(Tabela2[[#This Row],[Tag]],BD!A:J,10,0)</f>
        <v>8HV</v>
      </c>
      <c r="G102" s="31" t="str">
        <f>VLOOKUP(Tabela2[[#This Row],[Tag]],BD!$A:$V,20,0)</f>
        <v>BK-SP54-0900A-LC-74-00001_00000</v>
      </c>
      <c r="H102" s="32" t="str">
        <f>IF(VLOOKUP(Tabela2[[#This Row],[Tag]],BD!A:T,17,0)=0,"",VLOOKUP(Tabela2[[#This Row],[Tag]],BD!A:T,17,0))</f>
        <v>5.2.8</v>
      </c>
      <c r="I102" s="139">
        <v>44166</v>
      </c>
      <c r="J102" s="155">
        <f>VLOOKUP(Tabela2[[#This Row],[Tag]],BD!$A:$AE,30,0)</f>
        <v>10</v>
      </c>
      <c r="K102" s="29">
        <f>SUMIF(B:B,Tabela2[[#This Row],[Tag]],C:C)/Tabela2[[#This Row],[Comprim. Real]]</f>
        <v>1</v>
      </c>
      <c r="L102" s="29" t="str">
        <f>VLOOKUP(Tabela2[[#This Row],[Tag]],BD!A:AF,32,0)</f>
        <v>8HV</v>
      </c>
      <c r="N102" s="21">
        <v>101</v>
      </c>
      <c r="O102" s="21" t="s">
        <v>862</v>
      </c>
      <c r="P102" s="21" t="s">
        <v>16</v>
      </c>
      <c r="Q102" s="26">
        <v>44263</v>
      </c>
      <c r="R102" s="27">
        <f>VLOOKUP(Tabela5[[#This Row],[Teste]],Referências!$D$2:$E$5,2,0)</f>
        <v>1</v>
      </c>
      <c r="S102" s="27" t="str">
        <f>Tabela5[[#This Row],[TAG]]&amp;"-"&amp;Tabela5[[#This Row],[COD_Test]]</f>
        <v>TCC33-PSDC1-001F-1</v>
      </c>
      <c r="T102" s="21" t="s">
        <v>1505</v>
      </c>
      <c r="U102" s="21" t="str">
        <f>VLOOKUP(Tabela5[[#This Row],[TAG]],BD!A:J,10,0)</f>
        <v>8HV</v>
      </c>
      <c r="V102" s="24" t="str">
        <f>VLOOKUP(Tabela5[[#This Row],[TAG]],BD!A:E,5,0)</f>
        <v>1x2/C#4</v>
      </c>
      <c r="W102" s="21">
        <v>2</v>
      </c>
      <c r="X102" s="256">
        <f>VLOOKUP(Tabela5[[#This Row],[TAG]],$AE:$AK,7,0)</f>
        <v>1</v>
      </c>
      <c r="Y102" s="256" t="str">
        <f>VLOOKUP(Tabela5[[#This Row],[TAG]],BD!A:P,14,0)</f>
        <v>Sim</v>
      </c>
      <c r="Z102" s="256" t="str">
        <f>VLOOKUP(Tabela5[[#This Row],[TAG]],BD!A:P,15,0)</f>
        <v>---</v>
      </c>
      <c r="AA102" s="256" t="str">
        <f>VLOOKUP(Tabela5[[#This Row],[TAG]],BD!A:P,16,0)</f>
        <v>---</v>
      </c>
      <c r="AB102" s="256"/>
      <c r="AD102" s="391">
        <v>101</v>
      </c>
      <c r="AE102" s="391" t="s">
        <v>840</v>
      </c>
      <c r="AF102" s="391" t="s">
        <v>92</v>
      </c>
      <c r="AG102" s="391">
        <v>12</v>
      </c>
      <c r="AH102" s="32">
        <v>44247</v>
      </c>
      <c r="AI102" s="391">
        <f>VLOOKUP(Tabela7[[#This Row],[TAG]],BD!$A:$V,19,0)</f>
        <v>12</v>
      </c>
      <c r="AJ102" s="23" t="str">
        <f>VLOOKUP(Tabela7[[#This Row],[TAG]],BD!A:J,10,0)</f>
        <v>8HV</v>
      </c>
      <c r="AK102" s="28">
        <f>SUMIF(AE:AE,Tabela7[[#This Row],[TAG]],AG:AG)/Tabela7[[#This Row],[Qtde Lig]]</f>
        <v>1</v>
      </c>
    </row>
    <row r="103" spans="1:37" x14ac:dyDescent="0.25">
      <c r="A103" s="391">
        <v>102</v>
      </c>
      <c r="B103" s="7" t="s">
        <v>866</v>
      </c>
      <c r="C103" s="391">
        <v>10</v>
      </c>
      <c r="D103" s="32">
        <v>44167</v>
      </c>
      <c r="E103" s="32" t="str">
        <f>VLOOKUP(Tabela2[[#This Row],[Tag]],BD!$A:$B,2,0)</f>
        <v>Força</v>
      </c>
      <c r="F103" s="32" t="str">
        <f>VLOOKUP(Tabela2[[#This Row],[Tag]],BD!A:J,10,0)</f>
        <v>8HV</v>
      </c>
      <c r="G103" s="31" t="str">
        <f>VLOOKUP(Tabela2[[#This Row],[Tag]],BD!$A:$V,20,0)</f>
        <v>BK-SP54-0900A-LC-74-00001_00000</v>
      </c>
      <c r="H103" s="32" t="str">
        <f>IF(VLOOKUP(Tabela2[[#This Row],[Tag]],BD!A:T,17,0)=0,"",VLOOKUP(Tabela2[[#This Row],[Tag]],BD!A:T,17,0))</f>
        <v>5.10.2</v>
      </c>
      <c r="I103" s="139">
        <v>44197</v>
      </c>
      <c r="J103" s="155">
        <f>VLOOKUP(Tabela2[[#This Row],[Tag]],BD!$A:$AE,30,0)</f>
        <v>10</v>
      </c>
      <c r="K103" s="29">
        <f>SUMIF(B:B,Tabela2[[#This Row],[Tag]],C:C)/Tabela2[[#This Row],[Comprim. Real]]</f>
        <v>1</v>
      </c>
      <c r="L103" s="29" t="str">
        <f>VLOOKUP(Tabela2[[#This Row],[Tag]],BD!A:AF,32,0)</f>
        <v>8HV</v>
      </c>
      <c r="N103" s="21">
        <v>102</v>
      </c>
      <c r="O103" s="21" t="s">
        <v>862</v>
      </c>
      <c r="P103" s="21" t="s">
        <v>17</v>
      </c>
      <c r="Q103" s="26">
        <v>44263</v>
      </c>
      <c r="R103" s="27">
        <f>VLOOKUP(Tabela5[[#This Row],[Teste]],Referências!$D$2:$E$5,2,0)</f>
        <v>2</v>
      </c>
      <c r="S103" s="27" t="str">
        <f>Tabela5[[#This Row],[TAG]]&amp;"-"&amp;Tabela5[[#This Row],[COD_Test]]</f>
        <v>TCC33-PSDC1-001F-2</v>
      </c>
      <c r="T103" s="21" t="s">
        <v>1505</v>
      </c>
      <c r="U103" s="21" t="str">
        <f>VLOOKUP(Tabela5[[#This Row],[TAG]],BD!A:J,10,0)</f>
        <v>8HV</v>
      </c>
      <c r="V103" s="24" t="str">
        <f>VLOOKUP(Tabela5[[#This Row],[TAG]],BD!A:E,5,0)</f>
        <v>1x2/C#4</v>
      </c>
      <c r="W103" s="21">
        <v>2</v>
      </c>
      <c r="X103" s="256">
        <f>VLOOKUP(Tabela5[[#This Row],[TAG]],$AE:$AK,7,0)</f>
        <v>1</v>
      </c>
      <c r="Y103" s="256" t="str">
        <f>VLOOKUP(Tabela5[[#This Row],[TAG]],BD!A:P,14,0)</f>
        <v>Sim</v>
      </c>
      <c r="Z103" s="256" t="str">
        <f>VLOOKUP(Tabela5[[#This Row],[TAG]],BD!A:P,15,0)</f>
        <v>---</v>
      </c>
      <c r="AA103" s="256" t="str">
        <f>VLOOKUP(Tabela5[[#This Row],[TAG]],BD!A:P,16,0)</f>
        <v>---</v>
      </c>
      <c r="AB103" s="256" t="s">
        <v>85</v>
      </c>
      <c r="AD103" s="391">
        <v>102</v>
      </c>
      <c r="AE103" s="391" t="s">
        <v>853</v>
      </c>
      <c r="AF103" s="391" t="s">
        <v>92</v>
      </c>
      <c r="AG103" s="391">
        <v>4</v>
      </c>
      <c r="AH103" s="32">
        <v>44247</v>
      </c>
      <c r="AI103" s="391">
        <f>VLOOKUP(Tabela7[[#This Row],[TAG]],BD!$A:$V,19,0)</f>
        <v>4</v>
      </c>
      <c r="AJ103" s="23" t="str">
        <f>VLOOKUP(Tabela7[[#This Row],[TAG]],BD!A:J,10,0)</f>
        <v>8HV</v>
      </c>
      <c r="AK103" s="28">
        <f>SUMIF(AE:AE,Tabela7[[#This Row],[TAG]],AG:AG)/Tabela7[[#This Row],[Qtde Lig]]</f>
        <v>1</v>
      </c>
    </row>
    <row r="104" spans="1:37" x14ac:dyDescent="0.25">
      <c r="A104" s="391">
        <v>103</v>
      </c>
      <c r="B104" s="7" t="s">
        <v>872</v>
      </c>
      <c r="C104" s="391">
        <v>10</v>
      </c>
      <c r="D104" s="32">
        <v>44167</v>
      </c>
      <c r="E104" s="32" t="str">
        <f>VLOOKUP(Tabela2[[#This Row],[Tag]],BD!$A:$B,2,0)</f>
        <v>Força</v>
      </c>
      <c r="F104" s="32" t="str">
        <f>VLOOKUP(Tabela2[[#This Row],[Tag]],BD!A:J,10,0)</f>
        <v>8HV</v>
      </c>
      <c r="G104" s="31" t="str">
        <f>VLOOKUP(Tabela2[[#This Row],[Tag]],BD!$A:$V,20,0)</f>
        <v>BK-SP54-0900A-LC-74-00001_00000</v>
      </c>
      <c r="H104" s="32" t="str">
        <f>IF(VLOOKUP(Tabela2[[#This Row],[Tag]],BD!A:T,17,0)=0,"",VLOOKUP(Tabela2[[#This Row],[Tag]],BD!A:T,17,0))</f>
        <v>5.10.2</v>
      </c>
      <c r="I104" s="139">
        <v>44166</v>
      </c>
      <c r="J104" s="155">
        <f>VLOOKUP(Tabela2[[#This Row],[Tag]],BD!$A:$AE,30,0)</f>
        <v>10</v>
      </c>
      <c r="K104" s="29">
        <f>SUMIF(B:B,Tabela2[[#This Row],[Tag]],C:C)/Tabela2[[#This Row],[Comprim. Real]]</f>
        <v>1</v>
      </c>
      <c r="L104" s="29" t="str">
        <f>VLOOKUP(Tabela2[[#This Row],[Tag]],BD!A:AF,32,0)</f>
        <v>8HV</v>
      </c>
      <c r="N104" s="21">
        <v>103</v>
      </c>
      <c r="O104" s="21" t="s">
        <v>570</v>
      </c>
      <c r="P104" s="21" t="s">
        <v>16</v>
      </c>
      <c r="Q104" s="26">
        <v>44273</v>
      </c>
      <c r="R104" s="27">
        <f>VLOOKUP(Tabela5[[#This Row],[Teste]],Referências!$D$2:$E$5,2,0)</f>
        <v>1</v>
      </c>
      <c r="S104" s="27" t="str">
        <f>Tabela5[[#This Row],[TAG]]&amp;"-"&amp;Tabela5[[#This Row],[COD_Test]]</f>
        <v>TR26B-M001-1</v>
      </c>
      <c r="T104" s="21" t="s">
        <v>1505</v>
      </c>
      <c r="U104" s="21" t="str">
        <f>VLOOKUP(Tabela5[[#This Row],[TAG]],BD!A:J,10,0)</f>
        <v>7HV</v>
      </c>
      <c r="V104" s="24" t="str">
        <f>VLOOKUP(Tabela5[[#This Row],[TAG]],BD!A:E,5,0)</f>
        <v>3x3x1/C#150</v>
      </c>
      <c r="W104" s="21">
        <v>9</v>
      </c>
      <c r="X104" s="256">
        <f>VLOOKUP(Tabela5[[#This Row],[TAG]],$AE:$AK,7,0)</f>
        <v>1</v>
      </c>
      <c r="Y104" s="256" t="str">
        <f>VLOOKUP(Tabela5[[#This Row],[TAG]],BD!A:P,14,0)</f>
        <v>---</v>
      </c>
      <c r="Z104" s="256" t="str">
        <f>VLOOKUP(Tabela5[[#This Row],[TAG]],BD!A:P,15,0)</f>
        <v>Sim</v>
      </c>
      <c r="AA104" s="256" t="str">
        <f>VLOOKUP(Tabela5[[#This Row],[TAG]],BD!A:P,16,0)</f>
        <v>Sim</v>
      </c>
      <c r="AB104" s="256"/>
      <c r="AD104" s="391">
        <v>103</v>
      </c>
      <c r="AE104" s="391" t="s">
        <v>1006</v>
      </c>
      <c r="AF104" s="391" t="s">
        <v>92</v>
      </c>
      <c r="AG104" s="391">
        <v>10</v>
      </c>
      <c r="AH104" s="32">
        <v>44247</v>
      </c>
      <c r="AI104" s="391">
        <f>VLOOKUP(Tabela7[[#This Row],[TAG]],BD!$A:$V,19,0)</f>
        <v>20</v>
      </c>
      <c r="AJ104" s="23" t="str">
        <f>VLOOKUP(Tabela7[[#This Row],[TAG]],BD!A:J,10,0)</f>
        <v>8HV</v>
      </c>
      <c r="AK104" s="28">
        <f>SUMIF(AE:AE,Tabela7[[#This Row],[TAG]],AG:AG)/Tabela7[[#This Row],[Qtde Lig]]</f>
        <v>0.5</v>
      </c>
    </row>
    <row r="105" spans="1:37" x14ac:dyDescent="0.25">
      <c r="A105" s="391">
        <v>104</v>
      </c>
      <c r="B105" s="7" t="s">
        <v>871</v>
      </c>
      <c r="C105" s="391">
        <v>10</v>
      </c>
      <c r="D105" s="32">
        <v>44167</v>
      </c>
      <c r="E105" s="32" t="str">
        <f>VLOOKUP(Tabela2[[#This Row],[Tag]],BD!$A:$B,2,0)</f>
        <v>Força</v>
      </c>
      <c r="F105" s="32" t="str">
        <f>VLOOKUP(Tabela2[[#This Row],[Tag]],BD!A:J,10,0)</f>
        <v>8HV</v>
      </c>
      <c r="G105" s="31" t="str">
        <f>VLOOKUP(Tabela2[[#This Row],[Tag]],BD!$A:$V,20,0)</f>
        <v>BK-SP54-0900A-LC-74-00001_00000</v>
      </c>
      <c r="H105" s="32" t="str">
        <f>IF(VLOOKUP(Tabela2[[#This Row],[Tag]],BD!A:T,17,0)=0,"",VLOOKUP(Tabela2[[#This Row],[Tag]],BD!A:T,17,0))</f>
        <v>5.10.2</v>
      </c>
      <c r="I105" s="139">
        <v>44166</v>
      </c>
      <c r="J105" s="155">
        <f>VLOOKUP(Tabela2[[#This Row],[Tag]],BD!$A:$AE,30,0)</f>
        <v>10</v>
      </c>
      <c r="K105" s="29">
        <f>SUMIF(B:B,Tabela2[[#This Row],[Tag]],C:C)/Tabela2[[#This Row],[Comprim. Real]]</f>
        <v>1</v>
      </c>
      <c r="L105" s="29" t="str">
        <f>VLOOKUP(Tabela2[[#This Row],[Tag]],BD!A:AF,32,0)</f>
        <v>8HV</v>
      </c>
      <c r="N105" s="21">
        <v>104</v>
      </c>
      <c r="O105" s="21" t="s">
        <v>570</v>
      </c>
      <c r="P105" s="21" t="s">
        <v>18</v>
      </c>
      <c r="Q105" s="26">
        <v>44273</v>
      </c>
      <c r="R105" s="27">
        <f>VLOOKUP(Tabela5[[#This Row],[Teste]],Referências!$D$2:$E$5,2,0)</f>
        <v>3</v>
      </c>
      <c r="S105" s="27" t="str">
        <f>Tabela5[[#This Row],[TAG]]&amp;"-"&amp;Tabela5[[#This Row],[COD_Test]]</f>
        <v>TR26B-M001-3</v>
      </c>
      <c r="T105" s="21" t="s">
        <v>1505</v>
      </c>
      <c r="U105" s="21" t="str">
        <f>VLOOKUP(Tabela5[[#This Row],[TAG]],BD!A:J,10,0)</f>
        <v>7HV</v>
      </c>
      <c r="V105" s="24" t="str">
        <f>VLOOKUP(Tabela5[[#This Row],[TAG]],BD!A:E,5,0)</f>
        <v>3x3x1/C#150</v>
      </c>
      <c r="W105" s="21">
        <v>9</v>
      </c>
      <c r="X105" s="256">
        <f>VLOOKUP(Tabela5[[#This Row],[TAG]],$AE:$AK,7,0)</f>
        <v>1</v>
      </c>
      <c r="Y105" s="256" t="str">
        <f>VLOOKUP(Tabela5[[#This Row],[TAG]],BD!A:P,14,0)</f>
        <v>---</v>
      </c>
      <c r="Z105" s="256" t="str">
        <f>VLOOKUP(Tabela5[[#This Row],[TAG]],BD!A:P,15,0)</f>
        <v>Sim</v>
      </c>
      <c r="AA105" s="256" t="str">
        <f>VLOOKUP(Tabela5[[#This Row],[TAG]],BD!A:P,16,0)</f>
        <v>Sim</v>
      </c>
      <c r="AB105" s="256"/>
      <c r="AD105" s="391">
        <v>104</v>
      </c>
      <c r="AE105" s="391" t="s">
        <v>1009</v>
      </c>
      <c r="AF105" s="391" t="s">
        <v>92</v>
      </c>
      <c r="AG105" s="391">
        <v>10</v>
      </c>
      <c r="AH105" s="32">
        <v>44247</v>
      </c>
      <c r="AI105" s="391">
        <f>VLOOKUP(Tabela7[[#This Row],[TAG]],BD!$A:$V,19,0)</f>
        <v>20</v>
      </c>
      <c r="AJ105" s="23" t="str">
        <f>VLOOKUP(Tabela7[[#This Row],[TAG]],BD!A:J,10,0)</f>
        <v>8HV</v>
      </c>
      <c r="AK105" s="28">
        <f>SUMIF(AE:AE,Tabela7[[#This Row],[TAG]],AG:AG)/Tabela7[[#This Row],[Qtde Lig]]</f>
        <v>0.5</v>
      </c>
    </row>
    <row r="106" spans="1:37" x14ac:dyDescent="0.25">
      <c r="A106" s="391">
        <v>105</v>
      </c>
      <c r="B106" s="7" t="s">
        <v>867</v>
      </c>
      <c r="C106" s="391">
        <v>10</v>
      </c>
      <c r="D106" s="32">
        <v>44167</v>
      </c>
      <c r="E106" s="32" t="str">
        <f>VLOOKUP(Tabela2[[#This Row],[Tag]],BD!$A:$B,2,0)</f>
        <v>Força</v>
      </c>
      <c r="F106" s="32" t="str">
        <f>VLOOKUP(Tabela2[[#This Row],[Tag]],BD!A:J,10,0)</f>
        <v>8HV</v>
      </c>
      <c r="G106" s="31" t="str">
        <f>VLOOKUP(Tabela2[[#This Row],[Tag]],BD!$A:$V,20,0)</f>
        <v>BK-SP54-0900A-LC-74-00001_00000</v>
      </c>
      <c r="H106" s="32" t="str">
        <f>IF(VLOOKUP(Tabela2[[#This Row],[Tag]],BD!A:T,17,0)=0,"",VLOOKUP(Tabela2[[#This Row],[Tag]],BD!A:T,17,0))</f>
        <v>5.10.2</v>
      </c>
      <c r="I106" s="139">
        <v>44166</v>
      </c>
      <c r="J106" s="155">
        <f>VLOOKUP(Tabela2[[#This Row],[Tag]],BD!$A:$AE,30,0)</f>
        <v>10</v>
      </c>
      <c r="K106" s="29">
        <f>SUMIF(B:B,Tabela2[[#This Row],[Tag]],C:C)/Tabela2[[#This Row],[Comprim. Real]]</f>
        <v>1</v>
      </c>
      <c r="L106" s="29" t="str">
        <f>VLOOKUP(Tabela2[[#This Row],[Tag]],BD!A:AF,32,0)</f>
        <v>8HV</v>
      </c>
      <c r="N106" s="21">
        <v>105</v>
      </c>
      <c r="O106" s="21" t="s">
        <v>570</v>
      </c>
      <c r="P106" s="21" t="s">
        <v>19</v>
      </c>
      <c r="Q106" s="26">
        <v>44273</v>
      </c>
      <c r="R106" s="27">
        <f>VLOOKUP(Tabela5[[#This Row],[Teste]],Referências!$D$2:$E$5,2,0)</f>
        <v>4</v>
      </c>
      <c r="S106" s="27" t="str">
        <f>Tabela5[[#This Row],[TAG]]&amp;"-"&amp;Tabela5[[#This Row],[COD_Test]]</f>
        <v>TR26B-M001-4</v>
      </c>
      <c r="T106" s="21" t="s">
        <v>1505</v>
      </c>
      <c r="U106" s="21" t="str">
        <f>VLOOKUP(Tabela5[[#This Row],[TAG]],BD!A:J,10,0)</f>
        <v>7HV</v>
      </c>
      <c r="V106" s="24" t="str">
        <f>VLOOKUP(Tabela5[[#This Row],[TAG]],BD!A:E,5,0)</f>
        <v>3x3x1/C#150</v>
      </c>
      <c r="W106" s="21">
        <v>9</v>
      </c>
      <c r="X106" s="256">
        <f>VLOOKUP(Tabela5[[#This Row],[TAG]],$AE:$AK,7,0)</f>
        <v>1</v>
      </c>
      <c r="Y106" s="256" t="str">
        <f>VLOOKUP(Tabela5[[#This Row],[TAG]],BD!A:P,14,0)</f>
        <v>---</v>
      </c>
      <c r="Z106" s="256" t="str">
        <f>VLOOKUP(Tabela5[[#This Row],[TAG]],BD!A:P,15,0)</f>
        <v>Sim</v>
      </c>
      <c r="AA106" s="256" t="str">
        <f>VLOOKUP(Tabela5[[#This Row],[TAG]],BD!A:P,16,0)</f>
        <v>Sim</v>
      </c>
      <c r="AB106" s="256"/>
      <c r="AD106" s="391">
        <v>105</v>
      </c>
      <c r="AE106" s="391" t="s">
        <v>904</v>
      </c>
      <c r="AF106" s="391" t="s">
        <v>92</v>
      </c>
      <c r="AG106" s="391">
        <v>6</v>
      </c>
      <c r="AH106" s="32">
        <v>44247</v>
      </c>
      <c r="AI106" s="391">
        <f>VLOOKUP(Tabela7[[#This Row],[TAG]],BD!$A:$V,19,0)</f>
        <v>12</v>
      </c>
      <c r="AJ106" s="23" t="str">
        <f>VLOOKUP(Tabela7[[#This Row],[TAG]],BD!A:J,10,0)</f>
        <v>8HV x 1HV</v>
      </c>
      <c r="AK106" s="28">
        <f>SUMIF(AE:AE,Tabela7[[#This Row],[TAG]],AG:AG)/Tabela7[[#This Row],[Qtde Lig]]</f>
        <v>0.5</v>
      </c>
    </row>
    <row r="107" spans="1:37" x14ac:dyDescent="0.25">
      <c r="A107" s="391">
        <v>106</v>
      </c>
      <c r="B107" s="7" t="s">
        <v>864</v>
      </c>
      <c r="C107" s="391">
        <v>10</v>
      </c>
      <c r="D107" s="32">
        <v>44167</v>
      </c>
      <c r="E107" s="32" t="str">
        <f>VLOOKUP(Tabela2[[#This Row],[Tag]],BD!$A:$B,2,0)</f>
        <v>Força</v>
      </c>
      <c r="F107" s="32" t="str">
        <f>VLOOKUP(Tabela2[[#This Row],[Tag]],BD!A:J,10,0)</f>
        <v>8HV</v>
      </c>
      <c r="G107" s="31" t="str">
        <f>VLOOKUP(Tabela2[[#This Row],[Tag]],BD!$A:$V,20,0)</f>
        <v>BK-SP54-0900A-LC-74-00001_00000</v>
      </c>
      <c r="H107" s="32" t="str">
        <f>IF(VLOOKUP(Tabela2[[#This Row],[Tag]],BD!A:T,17,0)=0,"",VLOOKUP(Tabela2[[#This Row],[Tag]],BD!A:T,17,0))</f>
        <v>5.10.2</v>
      </c>
      <c r="I107" s="139">
        <v>44166</v>
      </c>
      <c r="J107" s="155">
        <f>VLOOKUP(Tabela2[[#This Row],[Tag]],BD!$A:$AE,30,0)</f>
        <v>14</v>
      </c>
      <c r="K107" s="29">
        <f>SUMIF(B:B,Tabela2[[#This Row],[Tag]],C:C)/Tabela2[[#This Row],[Comprim. Real]]</f>
        <v>1</v>
      </c>
      <c r="L107" s="29" t="str">
        <f>VLOOKUP(Tabela2[[#This Row],[Tag]],BD!A:AF,32,0)</f>
        <v>8HV</v>
      </c>
      <c r="N107" s="21">
        <v>106</v>
      </c>
      <c r="O107" s="21" t="s">
        <v>571</v>
      </c>
      <c r="P107" s="21" t="s">
        <v>16</v>
      </c>
      <c r="Q107" s="26">
        <v>44273</v>
      </c>
      <c r="R107" s="27">
        <f>VLOOKUP(Tabela5[[#This Row],[Teste]],Referências!$D$2:$E$5,2,0)</f>
        <v>1</v>
      </c>
      <c r="S107" s="27" t="str">
        <f>Tabela5[[#This Row],[TAG]]&amp;"-"&amp;Tabela5[[#This Row],[COD_Test]]</f>
        <v>TR26B-M002-1</v>
      </c>
      <c r="T107" s="21" t="s">
        <v>1505</v>
      </c>
      <c r="U107" s="21" t="str">
        <f>VLOOKUP(Tabela5[[#This Row],[TAG]],BD!A:J,10,0)</f>
        <v>7HV</v>
      </c>
      <c r="V107" s="24" t="str">
        <f>VLOOKUP(Tabela5[[#This Row],[TAG]],BD!A:E,5,0)</f>
        <v>3x3x1/C#150</v>
      </c>
      <c r="W107" s="21">
        <v>9</v>
      </c>
      <c r="X107" s="256">
        <f>VLOOKUP(Tabela5[[#This Row],[TAG]],$AE:$AK,7,0)</f>
        <v>1</v>
      </c>
      <c r="Y107" s="256" t="str">
        <f>VLOOKUP(Tabela5[[#This Row],[TAG]],BD!A:P,14,0)</f>
        <v>---</v>
      </c>
      <c r="Z107" s="256" t="str">
        <f>VLOOKUP(Tabela5[[#This Row],[TAG]],BD!A:P,15,0)</f>
        <v>Sim</v>
      </c>
      <c r="AA107" s="256" t="str">
        <f>VLOOKUP(Tabela5[[#This Row],[TAG]],BD!A:P,16,0)</f>
        <v>Sim</v>
      </c>
      <c r="AB107" s="256"/>
      <c r="AD107" s="391">
        <v>106</v>
      </c>
      <c r="AE107" s="391" t="s">
        <v>984</v>
      </c>
      <c r="AF107" s="391" t="s">
        <v>92</v>
      </c>
      <c r="AG107" s="391">
        <v>6</v>
      </c>
      <c r="AH107" s="32">
        <v>44247</v>
      </c>
      <c r="AI107" s="391">
        <f>VLOOKUP(Tabela7[[#This Row],[TAG]],BD!$A:$V,19,0)</f>
        <v>12</v>
      </c>
      <c r="AJ107" s="23" t="str">
        <f>VLOOKUP(Tabela7[[#This Row],[TAG]],BD!A:J,10,0)</f>
        <v>8HV</v>
      </c>
      <c r="AK107" s="28">
        <f>SUMIF(AE:AE,Tabela7[[#This Row],[TAG]],AG:AG)/Tabela7[[#This Row],[Qtde Lig]]</f>
        <v>0.5</v>
      </c>
    </row>
    <row r="108" spans="1:37" x14ac:dyDescent="0.25">
      <c r="A108" s="391">
        <v>107</v>
      </c>
      <c r="B108" s="7" t="s">
        <v>862</v>
      </c>
      <c r="C108" s="391">
        <v>10</v>
      </c>
      <c r="D108" s="32">
        <v>44167</v>
      </c>
      <c r="E108" s="32" t="str">
        <f>VLOOKUP(Tabela2[[#This Row],[Tag]],BD!$A:$B,2,0)</f>
        <v>Força</v>
      </c>
      <c r="F108" s="32" t="str">
        <f>VLOOKUP(Tabela2[[#This Row],[Tag]],BD!A:J,10,0)</f>
        <v>8HV</v>
      </c>
      <c r="G108" s="31" t="str">
        <f>VLOOKUP(Tabela2[[#This Row],[Tag]],BD!$A:$V,20,0)</f>
        <v>BK-SP54-0900A-LC-74-00001_00000</v>
      </c>
      <c r="H108" s="32" t="str">
        <f>IF(VLOOKUP(Tabela2[[#This Row],[Tag]],BD!A:T,17,0)=0,"",VLOOKUP(Tabela2[[#This Row],[Tag]],BD!A:T,17,0))</f>
        <v>5.10.2</v>
      </c>
      <c r="I108" s="139">
        <v>44166</v>
      </c>
      <c r="J108" s="155">
        <f>VLOOKUP(Tabela2[[#This Row],[Tag]],BD!$A:$AE,30,0)</f>
        <v>10</v>
      </c>
      <c r="K108" s="29">
        <f>SUMIF(B:B,Tabela2[[#This Row],[Tag]],C:C)/Tabela2[[#This Row],[Comprim. Real]]</f>
        <v>1</v>
      </c>
      <c r="L108" s="29" t="str">
        <f>VLOOKUP(Tabela2[[#This Row],[Tag]],BD!A:AF,32,0)</f>
        <v>8HV</v>
      </c>
      <c r="N108" s="21">
        <v>107</v>
      </c>
      <c r="O108" s="21" t="s">
        <v>571</v>
      </c>
      <c r="P108" s="21" t="s">
        <v>18</v>
      </c>
      <c r="Q108" s="26">
        <v>44273</v>
      </c>
      <c r="R108" s="27">
        <f>VLOOKUP(Tabela5[[#This Row],[Teste]],Referências!$D$2:$E$5,2,0)</f>
        <v>3</v>
      </c>
      <c r="S108" s="27" t="str">
        <f>Tabela5[[#This Row],[TAG]]&amp;"-"&amp;Tabela5[[#This Row],[COD_Test]]</f>
        <v>TR26B-M002-3</v>
      </c>
      <c r="T108" s="21" t="s">
        <v>1505</v>
      </c>
      <c r="U108" s="21" t="str">
        <f>VLOOKUP(Tabela5[[#This Row],[TAG]],BD!A:J,10,0)</f>
        <v>7HV</v>
      </c>
      <c r="V108" s="24" t="str">
        <f>VLOOKUP(Tabela5[[#This Row],[TAG]],BD!A:E,5,0)</f>
        <v>3x3x1/C#150</v>
      </c>
      <c r="W108" s="21">
        <v>9</v>
      </c>
      <c r="X108" s="256">
        <f>VLOOKUP(Tabela5[[#This Row],[TAG]],$AE:$AK,7,0)</f>
        <v>1</v>
      </c>
      <c r="Y108" s="256" t="str">
        <f>VLOOKUP(Tabela5[[#This Row],[TAG]],BD!A:P,14,0)</f>
        <v>---</v>
      </c>
      <c r="Z108" s="256" t="str">
        <f>VLOOKUP(Tabela5[[#This Row],[TAG]],BD!A:P,15,0)</f>
        <v>Sim</v>
      </c>
      <c r="AA108" s="256" t="str">
        <f>VLOOKUP(Tabela5[[#This Row],[TAG]],BD!A:P,16,0)</f>
        <v>Sim</v>
      </c>
      <c r="AB108" s="256"/>
      <c r="AD108" s="391">
        <v>107</v>
      </c>
      <c r="AE108" s="391" t="s">
        <v>990</v>
      </c>
      <c r="AF108" s="391" t="s">
        <v>92</v>
      </c>
      <c r="AG108" s="391">
        <v>4</v>
      </c>
      <c r="AH108" s="32">
        <v>44247</v>
      </c>
      <c r="AI108" s="391">
        <f>VLOOKUP(Tabela7[[#This Row],[TAG]],BD!$A:$V,19,0)</f>
        <v>8</v>
      </c>
      <c r="AJ108" s="23" t="str">
        <f>VLOOKUP(Tabela7[[#This Row],[TAG]],BD!A:J,10,0)</f>
        <v>8HV</v>
      </c>
      <c r="AK108" s="28">
        <f>SUMIF(AE:AE,Tabela7[[#This Row],[TAG]],AG:AG)/Tabela7[[#This Row],[Qtde Lig]]</f>
        <v>0.5</v>
      </c>
    </row>
    <row r="109" spans="1:37" x14ac:dyDescent="0.25">
      <c r="A109" s="391">
        <v>108</v>
      </c>
      <c r="B109" s="7" t="s">
        <v>833</v>
      </c>
      <c r="C109" s="391">
        <v>10</v>
      </c>
      <c r="D109" s="32">
        <v>44167</v>
      </c>
      <c r="E109" s="32" t="str">
        <f>VLOOKUP(Tabela2[[#This Row],[Tag]],BD!$A:$B,2,0)</f>
        <v>Controle</v>
      </c>
      <c r="F109" s="32" t="str">
        <f>VLOOKUP(Tabela2[[#This Row],[Tag]],BD!A:J,10,0)</f>
        <v>8HV</v>
      </c>
      <c r="G109" s="31" t="str">
        <f>VLOOKUP(Tabela2[[#This Row],[Tag]],BD!$A:$V,20,0)</f>
        <v>BK-SP54-0900A-LC-74-00001_00000</v>
      </c>
      <c r="H109" s="32" t="str">
        <f>IF(VLOOKUP(Tabela2[[#This Row],[Tag]],BD!A:T,17,0)=0,"",VLOOKUP(Tabela2[[#This Row],[Tag]],BD!A:T,17,0))</f>
        <v>5.8.1</v>
      </c>
      <c r="I109" s="139">
        <v>44166</v>
      </c>
      <c r="J109" s="155">
        <f>VLOOKUP(Tabela2[[#This Row],[Tag]],BD!$A:$AE,30,0)</f>
        <v>10</v>
      </c>
      <c r="K109" s="29">
        <f>SUMIF(B:B,Tabela2[[#This Row],[Tag]],C:C)/Tabela2[[#This Row],[Comprim. Real]]</f>
        <v>1</v>
      </c>
      <c r="L109" s="29" t="str">
        <f>VLOOKUP(Tabela2[[#This Row],[Tag]],BD!A:AF,32,0)</f>
        <v>8HV</v>
      </c>
      <c r="N109" s="21">
        <v>108</v>
      </c>
      <c r="O109" s="21" t="s">
        <v>571</v>
      </c>
      <c r="P109" s="21" t="s">
        <v>19</v>
      </c>
      <c r="Q109" s="26">
        <v>44273</v>
      </c>
      <c r="R109" s="27">
        <f>VLOOKUP(Tabela5[[#This Row],[Teste]],Referências!$D$2:$E$5,2,0)</f>
        <v>4</v>
      </c>
      <c r="S109" s="27" t="str">
        <f>Tabela5[[#This Row],[TAG]]&amp;"-"&amp;Tabela5[[#This Row],[COD_Test]]</f>
        <v>TR26B-M002-4</v>
      </c>
      <c r="T109" s="21" t="s">
        <v>1505</v>
      </c>
      <c r="U109" s="21" t="str">
        <f>VLOOKUP(Tabela5[[#This Row],[TAG]],BD!A:J,10,0)</f>
        <v>7HV</v>
      </c>
      <c r="V109" s="24" t="str">
        <f>VLOOKUP(Tabela5[[#This Row],[TAG]],BD!A:E,5,0)</f>
        <v>3x3x1/C#150</v>
      </c>
      <c r="W109" s="21">
        <v>9</v>
      </c>
      <c r="X109" s="256">
        <f>VLOOKUP(Tabela5[[#This Row],[TAG]],$AE:$AK,7,0)</f>
        <v>1</v>
      </c>
      <c r="Y109" s="256" t="str">
        <f>VLOOKUP(Tabela5[[#This Row],[TAG]],BD!A:P,14,0)</f>
        <v>---</v>
      </c>
      <c r="Z109" s="256" t="str">
        <f>VLOOKUP(Tabela5[[#This Row],[TAG]],BD!A:P,15,0)</f>
        <v>Sim</v>
      </c>
      <c r="AA109" s="256" t="str">
        <f>VLOOKUP(Tabela5[[#This Row],[TAG]],BD!A:P,16,0)</f>
        <v>Sim</v>
      </c>
      <c r="AB109" s="256"/>
      <c r="AD109" s="391">
        <v>108</v>
      </c>
      <c r="AE109" s="391" t="s">
        <v>930</v>
      </c>
      <c r="AF109" s="391" t="s">
        <v>92</v>
      </c>
      <c r="AG109" s="391">
        <v>4</v>
      </c>
      <c r="AH109" s="32">
        <v>44247</v>
      </c>
      <c r="AI109" s="391">
        <f>VLOOKUP(Tabela7[[#This Row],[TAG]],BD!$A:$V,19,0)</f>
        <v>8</v>
      </c>
      <c r="AJ109" s="23" t="str">
        <f>VLOOKUP(Tabela7[[#This Row],[TAG]],BD!A:J,10,0)</f>
        <v>8HV x 7HV</v>
      </c>
      <c r="AK109" s="28">
        <f>SUMIF(AE:AE,Tabela7[[#This Row],[TAG]],AG:AG)/Tabela7[[#This Row],[Qtde Lig]]</f>
        <v>0.5</v>
      </c>
    </row>
    <row r="110" spans="1:37" x14ac:dyDescent="0.25">
      <c r="A110" s="391">
        <v>109</v>
      </c>
      <c r="B110" s="7" t="s">
        <v>837</v>
      </c>
      <c r="C110" s="391">
        <v>10</v>
      </c>
      <c r="D110" s="32">
        <v>44167</v>
      </c>
      <c r="E110" s="32" t="str">
        <f>VLOOKUP(Tabela2[[#This Row],[Tag]],BD!$A:$B,2,0)</f>
        <v>Controle</v>
      </c>
      <c r="F110" s="32" t="str">
        <f>VLOOKUP(Tabela2[[#This Row],[Tag]],BD!A:J,10,0)</f>
        <v>8HV</v>
      </c>
      <c r="G110" s="31" t="str">
        <f>VLOOKUP(Tabela2[[#This Row],[Tag]],BD!$A:$V,20,0)</f>
        <v>BK-SP54-0900A-LC-74-00001_00000</v>
      </c>
      <c r="H110" s="32" t="str">
        <f>IF(VLOOKUP(Tabela2[[#This Row],[Tag]],BD!A:T,17,0)=0,"",VLOOKUP(Tabela2[[#This Row],[Tag]],BD!A:T,17,0))</f>
        <v>5.8.1</v>
      </c>
      <c r="I110" s="139">
        <v>44166</v>
      </c>
      <c r="J110" s="155">
        <f>VLOOKUP(Tabela2[[#This Row],[Tag]],BD!$A:$AE,30,0)</f>
        <v>10</v>
      </c>
      <c r="K110" s="29">
        <f>SUMIF(B:B,Tabela2[[#This Row],[Tag]],C:C)/Tabela2[[#This Row],[Comprim. Real]]</f>
        <v>1</v>
      </c>
      <c r="L110" s="29" t="str">
        <f>VLOOKUP(Tabela2[[#This Row],[Tag]],BD!A:AF,32,0)</f>
        <v>8HV</v>
      </c>
      <c r="N110" s="21">
        <v>109</v>
      </c>
      <c r="O110" s="21" t="s">
        <v>566</v>
      </c>
      <c r="P110" s="21" t="s">
        <v>16</v>
      </c>
      <c r="Q110" s="26">
        <v>44273</v>
      </c>
      <c r="R110" s="27">
        <f>VLOOKUP(Tabela5[[#This Row],[Teste]],Referências!$D$2:$E$5,2,0)</f>
        <v>1</v>
      </c>
      <c r="S110" s="27" t="str">
        <f>Tabela5[[#This Row],[TAG]]&amp;"-"&amp;Tabela5[[#This Row],[COD_Test]]</f>
        <v>TR26A-M001-1</v>
      </c>
      <c r="T110" s="21" t="s">
        <v>1505</v>
      </c>
      <c r="U110" s="21" t="str">
        <f>VLOOKUP(Tabela5[[#This Row],[TAG]],BD!A:J,10,0)</f>
        <v>7HV</v>
      </c>
      <c r="V110" s="24" t="str">
        <f>VLOOKUP(Tabela5[[#This Row],[TAG]],BD!A:E,5,0)</f>
        <v>3x3x1/C#150</v>
      </c>
      <c r="W110" s="21">
        <v>9</v>
      </c>
      <c r="X110" s="256">
        <f>VLOOKUP(Tabela5[[#This Row],[TAG]],$AE:$AK,7,0)</f>
        <v>1</v>
      </c>
      <c r="Y110" s="256" t="str">
        <f>VLOOKUP(Tabela5[[#This Row],[TAG]],BD!A:P,14,0)</f>
        <v>---</v>
      </c>
      <c r="Z110" s="256" t="str">
        <f>VLOOKUP(Tabela5[[#This Row],[TAG]],BD!A:P,15,0)</f>
        <v>Sim</v>
      </c>
      <c r="AA110" s="256" t="str">
        <f>VLOOKUP(Tabela5[[#This Row],[TAG]],BD!A:P,16,0)</f>
        <v>Sim</v>
      </c>
      <c r="AB110" s="256"/>
      <c r="AD110" s="391">
        <v>109</v>
      </c>
      <c r="AE110" s="391" t="s">
        <v>867</v>
      </c>
      <c r="AF110" s="391" t="s">
        <v>92</v>
      </c>
      <c r="AG110" s="391">
        <v>4</v>
      </c>
      <c r="AH110" s="32">
        <v>44247</v>
      </c>
      <c r="AI110" s="391">
        <f>VLOOKUP(Tabela7[[#This Row],[TAG]],BD!$A:$V,19,0)</f>
        <v>4</v>
      </c>
      <c r="AJ110" s="23" t="str">
        <f>VLOOKUP(Tabela7[[#This Row],[TAG]],BD!A:J,10,0)</f>
        <v>8HV</v>
      </c>
      <c r="AK110" s="28">
        <f>SUMIF(AE:AE,Tabela7[[#This Row],[TAG]],AG:AG)/Tabela7[[#This Row],[Qtde Lig]]</f>
        <v>1</v>
      </c>
    </row>
    <row r="111" spans="1:37" x14ac:dyDescent="0.25">
      <c r="A111" s="391">
        <v>110</v>
      </c>
      <c r="B111" s="7" t="s">
        <v>840</v>
      </c>
      <c r="C111" s="391">
        <v>10</v>
      </c>
      <c r="D111" s="32">
        <v>44167</v>
      </c>
      <c r="E111" s="32" t="str">
        <f>VLOOKUP(Tabela2[[#This Row],[Tag]],BD!$A:$B,2,0)</f>
        <v>Controle</v>
      </c>
      <c r="F111" s="32" t="str">
        <f>VLOOKUP(Tabela2[[#This Row],[Tag]],BD!A:J,10,0)</f>
        <v>8HV</v>
      </c>
      <c r="G111" s="31" t="str">
        <f>VLOOKUP(Tabela2[[#This Row],[Tag]],BD!$A:$V,20,0)</f>
        <v>BK-SP54-0900A-LC-74-00001_00000</v>
      </c>
      <c r="H111" s="32" t="str">
        <f>IF(VLOOKUP(Tabela2[[#This Row],[Tag]],BD!A:T,17,0)=0,"",VLOOKUP(Tabela2[[#This Row],[Tag]],BD!A:T,17,0))</f>
        <v>5.8.1</v>
      </c>
      <c r="I111" s="139">
        <v>44166</v>
      </c>
      <c r="J111" s="155">
        <f>VLOOKUP(Tabela2[[#This Row],[Tag]],BD!$A:$AE,30,0)</f>
        <v>10</v>
      </c>
      <c r="K111" s="29">
        <f>SUMIF(B:B,Tabela2[[#This Row],[Tag]],C:C)/Tabela2[[#This Row],[Comprim. Real]]</f>
        <v>1</v>
      </c>
      <c r="L111" s="29" t="str">
        <f>VLOOKUP(Tabela2[[#This Row],[Tag]],BD!A:AF,32,0)</f>
        <v>8HV</v>
      </c>
      <c r="N111" s="21">
        <v>110</v>
      </c>
      <c r="O111" s="21" t="s">
        <v>566</v>
      </c>
      <c r="P111" s="21" t="s">
        <v>18</v>
      </c>
      <c r="Q111" s="26">
        <v>44273</v>
      </c>
      <c r="R111" s="27">
        <f>VLOOKUP(Tabela5[[#This Row],[Teste]],Referências!$D$2:$E$5,2,0)</f>
        <v>3</v>
      </c>
      <c r="S111" s="27" t="str">
        <f>Tabela5[[#This Row],[TAG]]&amp;"-"&amp;Tabela5[[#This Row],[COD_Test]]</f>
        <v>TR26A-M001-3</v>
      </c>
      <c r="T111" s="21" t="s">
        <v>1505</v>
      </c>
      <c r="U111" s="21" t="str">
        <f>VLOOKUP(Tabela5[[#This Row],[TAG]],BD!A:J,10,0)</f>
        <v>7HV</v>
      </c>
      <c r="V111" s="24" t="str">
        <f>VLOOKUP(Tabela5[[#This Row],[TAG]],BD!A:E,5,0)</f>
        <v>3x3x1/C#150</v>
      </c>
      <c r="W111" s="21">
        <v>9</v>
      </c>
      <c r="X111" s="256">
        <f>VLOOKUP(Tabela5[[#This Row],[TAG]],$AE:$AK,7,0)</f>
        <v>1</v>
      </c>
      <c r="Y111" s="256" t="str">
        <f>VLOOKUP(Tabela5[[#This Row],[TAG]],BD!A:P,14,0)</f>
        <v>---</v>
      </c>
      <c r="Z111" s="256" t="str">
        <f>VLOOKUP(Tabela5[[#This Row],[TAG]],BD!A:P,15,0)</f>
        <v>Sim</v>
      </c>
      <c r="AA111" s="256" t="str">
        <f>VLOOKUP(Tabela5[[#This Row],[TAG]],BD!A:P,16,0)</f>
        <v>Sim</v>
      </c>
      <c r="AB111" s="256"/>
      <c r="AD111" s="391">
        <v>110</v>
      </c>
      <c r="AE111" s="391" t="s">
        <v>870</v>
      </c>
      <c r="AF111" s="391" t="s">
        <v>92</v>
      </c>
      <c r="AG111" s="391">
        <v>4</v>
      </c>
      <c r="AH111" s="32">
        <v>44247</v>
      </c>
      <c r="AI111" s="391">
        <f>VLOOKUP(Tabela7[[#This Row],[TAG]],BD!$A:$V,19,0)</f>
        <v>4</v>
      </c>
      <c r="AJ111" s="23" t="str">
        <f>VLOOKUP(Tabela7[[#This Row],[TAG]],BD!A:J,10,0)</f>
        <v>8HV</v>
      </c>
      <c r="AK111" s="28">
        <f>SUMIF(AE:AE,Tabela7[[#This Row],[TAG]],AG:AG)/Tabela7[[#This Row],[Qtde Lig]]</f>
        <v>1</v>
      </c>
    </row>
    <row r="112" spans="1:37" x14ac:dyDescent="0.25">
      <c r="A112" s="391">
        <v>111</v>
      </c>
      <c r="B112" s="7" t="s">
        <v>843</v>
      </c>
      <c r="C112" s="391">
        <v>10</v>
      </c>
      <c r="D112" s="32">
        <v>44167</v>
      </c>
      <c r="E112" s="32" t="str">
        <f>VLOOKUP(Tabela2[[#This Row],[Tag]],BD!$A:$B,2,0)</f>
        <v>Controle</v>
      </c>
      <c r="F112" s="32" t="str">
        <f>VLOOKUP(Tabela2[[#This Row],[Tag]],BD!A:J,10,0)</f>
        <v>8HV</v>
      </c>
      <c r="G112" s="31" t="str">
        <f>VLOOKUP(Tabela2[[#This Row],[Tag]],BD!$A:$V,20,0)</f>
        <v>BK-SP54-0900A-LC-74-00001_00000</v>
      </c>
      <c r="H112" s="32" t="str">
        <f>IF(VLOOKUP(Tabela2[[#This Row],[Tag]],BD!A:T,17,0)=0,"",VLOOKUP(Tabela2[[#This Row],[Tag]],BD!A:T,17,0))</f>
        <v>5.8.1</v>
      </c>
      <c r="I112" s="139">
        <v>44166</v>
      </c>
      <c r="J112" s="155">
        <f>VLOOKUP(Tabela2[[#This Row],[Tag]],BD!$A:$AE,30,0)</f>
        <v>10</v>
      </c>
      <c r="K112" s="29">
        <f>SUMIF(B:B,Tabela2[[#This Row],[Tag]],C:C)/Tabela2[[#This Row],[Comprim. Real]]</f>
        <v>1</v>
      </c>
      <c r="L112" s="29" t="str">
        <f>VLOOKUP(Tabela2[[#This Row],[Tag]],BD!A:AF,32,0)</f>
        <v>8HV</v>
      </c>
      <c r="N112" s="21">
        <v>111</v>
      </c>
      <c r="O112" s="21" t="s">
        <v>566</v>
      </c>
      <c r="P112" s="21" t="s">
        <v>19</v>
      </c>
      <c r="Q112" s="26">
        <v>44273</v>
      </c>
      <c r="R112" s="27">
        <f>VLOOKUP(Tabela5[[#This Row],[Teste]],Referências!$D$2:$E$5,2,0)</f>
        <v>4</v>
      </c>
      <c r="S112" s="27" t="str">
        <f>Tabela5[[#This Row],[TAG]]&amp;"-"&amp;Tabela5[[#This Row],[COD_Test]]</f>
        <v>TR26A-M001-4</v>
      </c>
      <c r="T112" s="21" t="s">
        <v>1505</v>
      </c>
      <c r="U112" s="21" t="str">
        <f>VLOOKUP(Tabela5[[#This Row],[TAG]],BD!A:J,10,0)</f>
        <v>7HV</v>
      </c>
      <c r="V112" s="24" t="str">
        <f>VLOOKUP(Tabela5[[#This Row],[TAG]],BD!A:E,5,0)</f>
        <v>3x3x1/C#150</v>
      </c>
      <c r="W112" s="21">
        <v>9</v>
      </c>
      <c r="X112" s="256">
        <f>VLOOKUP(Tabela5[[#This Row],[TAG]],$AE:$AK,7,0)</f>
        <v>1</v>
      </c>
      <c r="Y112" s="256" t="str">
        <f>VLOOKUP(Tabela5[[#This Row],[TAG]],BD!A:P,14,0)</f>
        <v>---</v>
      </c>
      <c r="Z112" s="256" t="str">
        <f>VLOOKUP(Tabela5[[#This Row],[TAG]],BD!A:P,15,0)</f>
        <v>Sim</v>
      </c>
      <c r="AA112" s="256" t="str">
        <f>VLOOKUP(Tabela5[[#This Row],[TAG]],BD!A:P,16,0)</f>
        <v>Sim</v>
      </c>
      <c r="AB112" s="256"/>
      <c r="AD112" s="391">
        <v>111</v>
      </c>
      <c r="AE112" s="391" t="s">
        <v>871</v>
      </c>
      <c r="AF112" s="391" t="s">
        <v>92</v>
      </c>
      <c r="AG112" s="391">
        <v>4</v>
      </c>
      <c r="AH112" s="32">
        <v>44247</v>
      </c>
      <c r="AI112" s="391">
        <f>VLOOKUP(Tabela7[[#This Row],[TAG]],BD!$A:$V,19,0)</f>
        <v>4</v>
      </c>
      <c r="AJ112" s="23" t="str">
        <f>VLOOKUP(Tabela7[[#This Row],[TAG]],BD!A:J,10,0)</f>
        <v>8HV</v>
      </c>
      <c r="AK112" s="28">
        <f>SUMIF(AE:AE,Tabela7[[#This Row],[TAG]],AG:AG)/Tabela7[[#This Row],[Qtde Lig]]</f>
        <v>1</v>
      </c>
    </row>
    <row r="113" spans="1:37" x14ac:dyDescent="0.25">
      <c r="A113" s="391">
        <v>112</v>
      </c>
      <c r="B113" s="7" t="s">
        <v>844</v>
      </c>
      <c r="C113" s="391">
        <v>10</v>
      </c>
      <c r="D113" s="32">
        <v>44167</v>
      </c>
      <c r="E113" s="32" t="str">
        <f>VLOOKUP(Tabela2[[#This Row],[Tag]],BD!$A:$B,2,0)</f>
        <v>Controle</v>
      </c>
      <c r="F113" s="32" t="str">
        <f>VLOOKUP(Tabela2[[#This Row],[Tag]],BD!A:J,10,0)</f>
        <v>8HV</v>
      </c>
      <c r="G113" s="31" t="str">
        <f>VLOOKUP(Tabela2[[#This Row],[Tag]],BD!$A:$V,20,0)</f>
        <v>BK-SP54-0900A-LC-74-00001_00000</v>
      </c>
      <c r="H113" s="32" t="str">
        <f>IF(VLOOKUP(Tabela2[[#This Row],[Tag]],BD!A:T,17,0)=0,"",VLOOKUP(Tabela2[[#This Row],[Tag]],BD!A:T,17,0))</f>
        <v>5.8.1</v>
      </c>
      <c r="I113" s="139">
        <v>44166</v>
      </c>
      <c r="J113" s="155">
        <f>VLOOKUP(Tabela2[[#This Row],[Tag]],BD!$A:$AE,30,0)</f>
        <v>10</v>
      </c>
      <c r="K113" s="29">
        <f>SUMIF(B:B,Tabela2[[#This Row],[Tag]],C:C)/Tabela2[[#This Row],[Comprim. Real]]</f>
        <v>1</v>
      </c>
      <c r="L113" s="29" t="str">
        <f>VLOOKUP(Tabela2[[#This Row],[Tag]],BD!A:AF,32,0)</f>
        <v>8HV</v>
      </c>
      <c r="N113" s="21">
        <v>112</v>
      </c>
      <c r="O113" s="21" t="s">
        <v>569</v>
      </c>
      <c r="P113" s="21" t="s">
        <v>16</v>
      </c>
      <c r="Q113" s="26">
        <v>44273</v>
      </c>
      <c r="R113" s="27">
        <f>VLOOKUP(Tabela5[[#This Row],[Teste]],Referências!$D$2:$E$5,2,0)</f>
        <v>1</v>
      </c>
      <c r="S113" s="27" t="str">
        <f>Tabela5[[#This Row],[TAG]]&amp;"-"&amp;Tabela5[[#This Row],[COD_Test]]</f>
        <v>TR26A-M002-1</v>
      </c>
      <c r="T113" s="21" t="s">
        <v>1505</v>
      </c>
      <c r="U113" s="21" t="str">
        <f>VLOOKUP(Tabela5[[#This Row],[TAG]],BD!A:J,10,0)</f>
        <v>7HV</v>
      </c>
      <c r="V113" s="24" t="str">
        <f>VLOOKUP(Tabela5[[#This Row],[TAG]],BD!A:E,5,0)</f>
        <v>3x3x1/C#150</v>
      </c>
      <c r="W113" s="21">
        <v>9</v>
      </c>
      <c r="X113" s="256">
        <f>VLOOKUP(Tabela5[[#This Row],[TAG]],$AE:$AK,7,0)</f>
        <v>1</v>
      </c>
      <c r="Y113" s="256" t="str">
        <f>VLOOKUP(Tabela5[[#This Row],[TAG]],BD!A:P,14,0)</f>
        <v>---</v>
      </c>
      <c r="Z113" s="256" t="str">
        <f>VLOOKUP(Tabela5[[#This Row],[TAG]],BD!A:P,15,0)</f>
        <v>Sim</v>
      </c>
      <c r="AA113" s="256" t="str">
        <f>VLOOKUP(Tabela5[[#This Row],[TAG]],BD!A:P,16,0)</f>
        <v>Sim</v>
      </c>
      <c r="AB113" s="256"/>
      <c r="AD113" s="391">
        <v>112</v>
      </c>
      <c r="AE113" s="391" t="s">
        <v>854</v>
      </c>
      <c r="AF113" s="391" t="s">
        <v>92</v>
      </c>
      <c r="AG113" s="391">
        <v>4</v>
      </c>
      <c r="AH113" s="32">
        <v>44247</v>
      </c>
      <c r="AI113" s="391">
        <f>VLOOKUP(Tabela7[[#This Row],[TAG]],BD!$A:$V,19,0)</f>
        <v>4</v>
      </c>
      <c r="AJ113" s="23" t="str">
        <f>VLOOKUP(Tabela7[[#This Row],[TAG]],BD!A:J,10,0)</f>
        <v>8HV</v>
      </c>
      <c r="AK113" s="28">
        <f>SUMIF(AE:AE,Tabela7[[#This Row],[TAG]],AG:AG)/Tabela7[[#This Row],[Qtde Lig]]</f>
        <v>1</v>
      </c>
    </row>
    <row r="114" spans="1:37" x14ac:dyDescent="0.25">
      <c r="A114" s="391">
        <v>113</v>
      </c>
      <c r="B114" s="7" t="s">
        <v>845</v>
      </c>
      <c r="C114" s="391">
        <v>10</v>
      </c>
      <c r="D114" s="32">
        <v>44167</v>
      </c>
      <c r="E114" s="32" t="str">
        <f>VLOOKUP(Tabela2[[#This Row],[Tag]],BD!$A:$B,2,0)</f>
        <v>Controle</v>
      </c>
      <c r="F114" s="32" t="str">
        <f>VLOOKUP(Tabela2[[#This Row],[Tag]],BD!A:J,10,0)</f>
        <v>8HV</v>
      </c>
      <c r="G114" s="31" t="str">
        <f>VLOOKUP(Tabela2[[#This Row],[Tag]],BD!$A:$V,20,0)</f>
        <v>BK-SP54-0900A-LC-74-00001_00000</v>
      </c>
      <c r="H114" s="32" t="str">
        <f>IF(VLOOKUP(Tabela2[[#This Row],[Tag]],BD!A:T,17,0)=0,"",VLOOKUP(Tabela2[[#This Row],[Tag]],BD!A:T,17,0))</f>
        <v>5.8.1</v>
      </c>
      <c r="I114" s="139">
        <v>44166</v>
      </c>
      <c r="J114" s="155">
        <f>VLOOKUP(Tabela2[[#This Row],[Tag]],BD!$A:$AE,30,0)</f>
        <v>10</v>
      </c>
      <c r="K114" s="29">
        <f>SUMIF(B:B,Tabela2[[#This Row],[Tag]],C:C)/Tabela2[[#This Row],[Comprim. Real]]</f>
        <v>1</v>
      </c>
      <c r="L114" s="29" t="str">
        <f>VLOOKUP(Tabela2[[#This Row],[Tag]],BD!A:AF,32,0)</f>
        <v>8HV</v>
      </c>
      <c r="N114" s="21">
        <v>113</v>
      </c>
      <c r="O114" s="21" t="s">
        <v>569</v>
      </c>
      <c r="P114" s="21" t="s">
        <v>18</v>
      </c>
      <c r="Q114" s="26">
        <v>44273</v>
      </c>
      <c r="R114" s="27">
        <f>VLOOKUP(Tabela5[[#This Row],[Teste]],Referências!$D$2:$E$5,2,0)</f>
        <v>3</v>
      </c>
      <c r="S114" s="27" t="str">
        <f>Tabela5[[#This Row],[TAG]]&amp;"-"&amp;Tabela5[[#This Row],[COD_Test]]</f>
        <v>TR26A-M002-3</v>
      </c>
      <c r="T114" s="21" t="s">
        <v>1505</v>
      </c>
      <c r="U114" s="21" t="str">
        <f>VLOOKUP(Tabela5[[#This Row],[TAG]],BD!A:J,10,0)</f>
        <v>7HV</v>
      </c>
      <c r="V114" s="24" t="str">
        <f>VLOOKUP(Tabela5[[#This Row],[TAG]],BD!A:E,5,0)</f>
        <v>3x3x1/C#150</v>
      </c>
      <c r="W114" s="21">
        <v>9</v>
      </c>
      <c r="X114" s="256">
        <f>VLOOKUP(Tabela5[[#This Row],[TAG]],$AE:$AK,7,0)</f>
        <v>1</v>
      </c>
      <c r="Y114" s="256" t="str">
        <f>VLOOKUP(Tabela5[[#This Row],[TAG]],BD!A:P,14,0)</f>
        <v>---</v>
      </c>
      <c r="Z114" s="256" t="str">
        <f>VLOOKUP(Tabela5[[#This Row],[TAG]],BD!A:P,15,0)</f>
        <v>Sim</v>
      </c>
      <c r="AA114" s="256" t="str">
        <f>VLOOKUP(Tabela5[[#This Row],[TAG]],BD!A:P,16,0)</f>
        <v>Sim</v>
      </c>
      <c r="AB114" s="256"/>
      <c r="AD114" s="391">
        <v>113</v>
      </c>
      <c r="AE114" s="391" t="s">
        <v>858</v>
      </c>
      <c r="AF114" s="391" t="s">
        <v>92</v>
      </c>
      <c r="AG114" s="391">
        <v>4</v>
      </c>
      <c r="AH114" s="32">
        <v>44247</v>
      </c>
      <c r="AI114" s="391">
        <f>VLOOKUP(Tabela7[[#This Row],[TAG]],BD!$A:$V,19,0)</f>
        <v>4</v>
      </c>
      <c r="AJ114" s="23" t="str">
        <f>VLOOKUP(Tabela7[[#This Row],[TAG]],BD!A:J,10,0)</f>
        <v>8HV</v>
      </c>
      <c r="AK114" s="28">
        <f>SUMIF(AE:AE,Tabela7[[#This Row],[TAG]],AG:AG)/Tabela7[[#This Row],[Qtde Lig]]</f>
        <v>1</v>
      </c>
    </row>
    <row r="115" spans="1:37" x14ac:dyDescent="0.25">
      <c r="A115" s="391">
        <v>114</v>
      </c>
      <c r="B115" s="7" t="s">
        <v>846</v>
      </c>
      <c r="C115" s="391">
        <v>10</v>
      </c>
      <c r="D115" s="32">
        <v>44167</v>
      </c>
      <c r="E115" s="32" t="str">
        <f>VLOOKUP(Tabela2[[#This Row],[Tag]],BD!$A:$B,2,0)</f>
        <v>Controle</v>
      </c>
      <c r="F115" s="32" t="str">
        <f>VLOOKUP(Tabela2[[#This Row],[Tag]],BD!A:J,10,0)</f>
        <v>8HV</v>
      </c>
      <c r="G115" s="31" t="str">
        <f>VLOOKUP(Tabela2[[#This Row],[Tag]],BD!$A:$V,20,0)</f>
        <v>BK-SP54-0900A-LC-74-00001_00000</v>
      </c>
      <c r="H115" s="32" t="str">
        <f>IF(VLOOKUP(Tabela2[[#This Row],[Tag]],BD!A:T,17,0)=0,"",VLOOKUP(Tabela2[[#This Row],[Tag]],BD!A:T,17,0))</f>
        <v>5.8.1</v>
      </c>
      <c r="I115" s="139">
        <v>44166</v>
      </c>
      <c r="J115" s="155">
        <f>VLOOKUP(Tabela2[[#This Row],[Tag]],BD!$A:$AE,30,0)</f>
        <v>10</v>
      </c>
      <c r="K115" s="29">
        <f>SUMIF(B:B,Tabela2[[#This Row],[Tag]],C:C)/Tabela2[[#This Row],[Comprim. Real]]</f>
        <v>1</v>
      </c>
      <c r="L115" s="29" t="str">
        <f>VLOOKUP(Tabela2[[#This Row],[Tag]],BD!A:AF,32,0)</f>
        <v>8HV</v>
      </c>
      <c r="N115" s="21">
        <v>114</v>
      </c>
      <c r="O115" s="21" t="s">
        <v>569</v>
      </c>
      <c r="P115" s="21" t="s">
        <v>19</v>
      </c>
      <c r="Q115" s="26">
        <v>44273</v>
      </c>
      <c r="R115" s="27">
        <f>VLOOKUP(Tabela5[[#This Row],[Teste]],Referências!$D$2:$E$5,2,0)</f>
        <v>4</v>
      </c>
      <c r="S115" s="27" t="str">
        <f>Tabela5[[#This Row],[TAG]]&amp;"-"&amp;Tabela5[[#This Row],[COD_Test]]</f>
        <v>TR26A-M002-4</v>
      </c>
      <c r="T115" s="21" t="s">
        <v>1505</v>
      </c>
      <c r="U115" s="21" t="str">
        <f>VLOOKUP(Tabela5[[#This Row],[TAG]],BD!A:J,10,0)</f>
        <v>7HV</v>
      </c>
      <c r="V115" s="24" t="str">
        <f>VLOOKUP(Tabela5[[#This Row],[TAG]],BD!A:E,5,0)</f>
        <v>3x3x1/C#150</v>
      </c>
      <c r="W115" s="21">
        <v>9</v>
      </c>
      <c r="X115" s="256">
        <f>VLOOKUP(Tabela5[[#This Row],[TAG]],$AE:$AK,7,0)</f>
        <v>1</v>
      </c>
      <c r="Y115" s="256" t="str">
        <f>VLOOKUP(Tabela5[[#This Row],[TAG]],BD!A:P,14,0)</f>
        <v>---</v>
      </c>
      <c r="Z115" s="256" t="str">
        <f>VLOOKUP(Tabela5[[#This Row],[TAG]],BD!A:P,15,0)</f>
        <v>Sim</v>
      </c>
      <c r="AA115" s="256" t="str">
        <f>VLOOKUP(Tabela5[[#This Row],[TAG]],BD!A:P,16,0)</f>
        <v>Sim</v>
      </c>
      <c r="AB115" s="256"/>
      <c r="AD115" s="391">
        <v>114</v>
      </c>
      <c r="AE115" s="391" t="s">
        <v>860</v>
      </c>
      <c r="AF115" s="391" t="s">
        <v>92</v>
      </c>
      <c r="AG115" s="391">
        <v>4</v>
      </c>
      <c r="AH115" s="32">
        <v>44247</v>
      </c>
      <c r="AI115" s="391">
        <f>VLOOKUP(Tabela7[[#This Row],[TAG]],BD!$A:$V,19,0)</f>
        <v>4</v>
      </c>
      <c r="AJ115" s="23" t="str">
        <f>VLOOKUP(Tabela7[[#This Row],[TAG]],BD!A:J,10,0)</f>
        <v>8HV</v>
      </c>
      <c r="AK115" s="28">
        <f>SUMIF(AE:AE,Tabela7[[#This Row],[TAG]],AG:AG)/Tabela7[[#This Row],[Qtde Lig]]</f>
        <v>1</v>
      </c>
    </row>
    <row r="116" spans="1:37" x14ac:dyDescent="0.25">
      <c r="A116" s="391">
        <v>115</v>
      </c>
      <c r="B116" s="7" t="s">
        <v>848</v>
      </c>
      <c r="C116" s="391">
        <v>10</v>
      </c>
      <c r="D116" s="32">
        <v>44167</v>
      </c>
      <c r="E116" s="32" t="str">
        <f>VLOOKUP(Tabela2[[#This Row],[Tag]],BD!$A:$B,2,0)</f>
        <v>Controle</v>
      </c>
      <c r="F116" s="32" t="str">
        <f>VLOOKUP(Tabela2[[#This Row],[Tag]],BD!A:J,10,0)</f>
        <v>8HV</v>
      </c>
      <c r="G116" s="31" t="str">
        <f>VLOOKUP(Tabela2[[#This Row],[Tag]],BD!$A:$V,20,0)</f>
        <v>BK-SP54-0900A-LC-74-00001_00000</v>
      </c>
      <c r="H116" s="32" t="str">
        <f>IF(VLOOKUP(Tabela2[[#This Row],[Tag]],BD!A:T,17,0)=0,"",VLOOKUP(Tabela2[[#This Row],[Tag]],BD!A:T,17,0))</f>
        <v>5.8.1</v>
      </c>
      <c r="I116" s="139">
        <v>44166</v>
      </c>
      <c r="J116" s="155">
        <f>VLOOKUP(Tabela2[[#This Row],[Tag]],BD!$A:$AE,30,0)</f>
        <v>10</v>
      </c>
      <c r="K116" s="29">
        <f>SUMIF(B:B,Tabela2[[#This Row],[Tag]],C:C)/Tabela2[[#This Row],[Comprim. Real]]</f>
        <v>1</v>
      </c>
      <c r="L116" s="29" t="str">
        <f>VLOOKUP(Tabela2[[#This Row],[Tag]],BD!A:AF,32,0)</f>
        <v>8HV</v>
      </c>
      <c r="N116" s="368">
        <v>115</v>
      </c>
      <c r="O116" s="21" t="s">
        <v>550</v>
      </c>
      <c r="P116" s="21" t="s">
        <v>19</v>
      </c>
      <c r="Q116" s="372">
        <v>44277</v>
      </c>
      <c r="R116" s="369">
        <f>VLOOKUP(Tabela5[[#This Row],[Teste]],Referências!$D$2:$E$5,2,0)</f>
        <v>4</v>
      </c>
      <c r="S116" s="369" t="str">
        <f>Tabela5[[#This Row],[TAG]]&amp;"-"&amp;Tabela5[[#This Row],[COD_Test]]</f>
        <v>TR09A-M001-4</v>
      </c>
      <c r="T116" s="21" t="s">
        <v>1505</v>
      </c>
      <c r="U116" s="368" t="str">
        <f>VLOOKUP(Tabela5[[#This Row],[TAG]],BD!A:J,10,0)</f>
        <v>7HV</v>
      </c>
      <c r="V116" s="370" t="str">
        <f>VLOOKUP(Tabela5[[#This Row],[TAG]],BD!A:E,5,0)</f>
        <v>2x3x1/C#150</v>
      </c>
      <c r="W116" s="368">
        <v>6</v>
      </c>
      <c r="X116" s="371">
        <f>VLOOKUP(Tabela5[[#This Row],[TAG]],$AE:$AK,7,0)</f>
        <v>1</v>
      </c>
      <c r="Y116" s="371" t="str">
        <f>VLOOKUP(Tabela5[[#This Row],[TAG]],BD!A:P,14,0)</f>
        <v>---</v>
      </c>
      <c r="Z116" s="371" t="str">
        <f>VLOOKUP(Tabela5[[#This Row],[TAG]],BD!A:P,15,0)</f>
        <v>Sim</v>
      </c>
      <c r="AA116" s="371" t="str">
        <f>VLOOKUP(Tabela5[[#This Row],[TAG]],BD!A:P,16,0)</f>
        <v>Sim</v>
      </c>
      <c r="AB116" s="371"/>
      <c r="AD116" s="391">
        <v>115</v>
      </c>
      <c r="AE116" s="391" t="s">
        <v>862</v>
      </c>
      <c r="AF116" s="391" t="s">
        <v>92</v>
      </c>
      <c r="AG116" s="391">
        <v>4</v>
      </c>
      <c r="AH116" s="32">
        <v>44247</v>
      </c>
      <c r="AI116" s="391">
        <f>VLOOKUP(Tabela7[[#This Row],[TAG]],BD!$A:$V,19,0)</f>
        <v>4</v>
      </c>
      <c r="AJ116" s="23" t="str">
        <f>VLOOKUP(Tabela7[[#This Row],[TAG]],BD!A:J,10,0)</f>
        <v>8HV</v>
      </c>
      <c r="AK116" s="28">
        <f>SUMIF(AE:AE,Tabela7[[#This Row],[TAG]],AG:AG)/Tabela7[[#This Row],[Qtde Lig]]</f>
        <v>1</v>
      </c>
    </row>
    <row r="117" spans="1:37" x14ac:dyDescent="0.25">
      <c r="A117" s="391">
        <v>116</v>
      </c>
      <c r="B117" s="7" t="s">
        <v>849</v>
      </c>
      <c r="C117" s="391">
        <v>10</v>
      </c>
      <c r="D117" s="32">
        <v>44167</v>
      </c>
      <c r="E117" s="32" t="str">
        <f>VLOOKUP(Tabela2[[#This Row],[Tag]],BD!$A:$B,2,0)</f>
        <v>Controle</v>
      </c>
      <c r="F117" s="32" t="str">
        <f>VLOOKUP(Tabela2[[#This Row],[Tag]],BD!A:J,10,0)</f>
        <v>8HV</v>
      </c>
      <c r="G117" s="31" t="str">
        <f>VLOOKUP(Tabela2[[#This Row],[Tag]],BD!$A:$V,20,0)</f>
        <v>BK-SP54-0900A-LC-74-00001_00000</v>
      </c>
      <c r="H117" s="32" t="str">
        <f>IF(VLOOKUP(Tabela2[[#This Row],[Tag]],BD!A:T,17,0)=0,"",VLOOKUP(Tabela2[[#This Row],[Tag]],BD!A:T,17,0))</f>
        <v>5.8.1</v>
      </c>
      <c r="I117" s="139">
        <v>44166</v>
      </c>
      <c r="J117" s="155">
        <f>VLOOKUP(Tabela2[[#This Row],[Tag]],BD!$A:$AE,30,0)</f>
        <v>10</v>
      </c>
      <c r="K117" s="29">
        <f>SUMIF(B:B,Tabela2[[#This Row],[Tag]],C:C)/Tabela2[[#This Row],[Comprim. Real]]</f>
        <v>1</v>
      </c>
      <c r="L117" s="29" t="str">
        <f>VLOOKUP(Tabela2[[#This Row],[Tag]],BD!A:AF,32,0)</f>
        <v>8HV</v>
      </c>
      <c r="N117" s="368">
        <v>116</v>
      </c>
      <c r="O117" s="21" t="s">
        <v>550</v>
      </c>
      <c r="P117" s="368" t="s">
        <v>16</v>
      </c>
      <c r="Q117" s="372">
        <v>44277</v>
      </c>
      <c r="R117" s="369">
        <f>VLOOKUP(Tabela5[[#This Row],[Teste]],Referências!$D$2:$E$5,2,0)</f>
        <v>1</v>
      </c>
      <c r="S117" s="369" t="str">
        <f>Tabela5[[#This Row],[TAG]]&amp;"-"&amp;Tabela5[[#This Row],[COD_Test]]</f>
        <v>TR09A-M001-1</v>
      </c>
      <c r="T117" s="21" t="s">
        <v>1505</v>
      </c>
      <c r="U117" s="368" t="str">
        <f>VLOOKUP(Tabela5[[#This Row],[TAG]],BD!A:J,10,0)</f>
        <v>7HV</v>
      </c>
      <c r="V117" s="370" t="str">
        <f>VLOOKUP(Tabela5[[#This Row],[TAG]],BD!A:E,5,0)</f>
        <v>2x3x1/C#150</v>
      </c>
      <c r="W117" s="368">
        <v>6</v>
      </c>
      <c r="X117" s="371">
        <f>VLOOKUP(Tabela5[[#This Row],[TAG]],$AE:$AK,7,0)</f>
        <v>1</v>
      </c>
      <c r="Y117" s="371" t="str">
        <f>VLOOKUP(Tabela5[[#This Row],[TAG]],BD!A:P,14,0)</f>
        <v>---</v>
      </c>
      <c r="Z117" s="371" t="str">
        <f>VLOOKUP(Tabela5[[#This Row],[TAG]],BD!A:P,15,0)</f>
        <v>Sim</v>
      </c>
      <c r="AA117" s="371" t="str">
        <f>VLOOKUP(Tabela5[[#This Row],[TAG]],BD!A:P,16,0)</f>
        <v>Sim</v>
      </c>
      <c r="AB117" s="371"/>
      <c r="AD117" s="391">
        <v>116</v>
      </c>
      <c r="AE117" s="391" t="s">
        <v>866</v>
      </c>
      <c r="AF117" s="391" t="s">
        <v>92</v>
      </c>
      <c r="AG117" s="391">
        <v>4</v>
      </c>
      <c r="AH117" s="32">
        <v>44247</v>
      </c>
      <c r="AI117" s="391">
        <f>VLOOKUP(Tabela7[[#This Row],[TAG]],BD!$A:$V,19,0)</f>
        <v>4</v>
      </c>
      <c r="AJ117" s="23" t="str">
        <f>VLOOKUP(Tabela7[[#This Row],[TAG]],BD!A:J,10,0)</f>
        <v>8HV</v>
      </c>
      <c r="AK117" s="28">
        <f>SUMIF(AE:AE,Tabela7[[#This Row],[TAG]],AG:AG)/Tabela7[[#This Row],[Qtde Lig]]</f>
        <v>1</v>
      </c>
    </row>
    <row r="118" spans="1:37" x14ac:dyDescent="0.25">
      <c r="A118" s="391">
        <v>117</v>
      </c>
      <c r="B118" s="7" t="s">
        <v>853</v>
      </c>
      <c r="C118" s="391">
        <v>10</v>
      </c>
      <c r="D118" s="32">
        <v>44167</v>
      </c>
      <c r="E118" s="32" t="str">
        <f>VLOOKUP(Tabela2[[#This Row],[Tag]],BD!$A:$B,2,0)</f>
        <v>Controle</v>
      </c>
      <c r="F118" s="32" t="str">
        <f>VLOOKUP(Tabela2[[#This Row],[Tag]],BD!A:J,10,0)</f>
        <v>8HV</v>
      </c>
      <c r="G118" s="31" t="str">
        <f>VLOOKUP(Tabela2[[#This Row],[Tag]],BD!$A:$V,20,0)</f>
        <v>BK-SP54-0900A-LC-74-00001_00000</v>
      </c>
      <c r="H118" s="32" t="str">
        <f>IF(VLOOKUP(Tabela2[[#This Row],[Tag]],BD!A:T,17,0)=0,"",VLOOKUP(Tabela2[[#This Row],[Tag]],BD!A:T,17,0))</f>
        <v>5.8.1</v>
      </c>
      <c r="I118" s="139">
        <v>44166</v>
      </c>
      <c r="J118" s="155">
        <f>VLOOKUP(Tabela2[[#This Row],[Tag]],BD!$A:$AE,30,0)</f>
        <v>10</v>
      </c>
      <c r="K118" s="29">
        <f>SUMIF(B:B,Tabela2[[#This Row],[Tag]],C:C)/Tabela2[[#This Row],[Comprim. Real]]</f>
        <v>1</v>
      </c>
      <c r="L118" s="29" t="str">
        <f>VLOOKUP(Tabela2[[#This Row],[Tag]],BD!A:AF,32,0)</f>
        <v>8HV</v>
      </c>
      <c r="N118" s="368">
        <v>117</v>
      </c>
      <c r="O118" s="21" t="s">
        <v>550</v>
      </c>
      <c r="P118" s="368" t="s">
        <v>18</v>
      </c>
      <c r="Q118" s="372">
        <v>44277</v>
      </c>
      <c r="R118" s="369">
        <f>VLOOKUP(Tabela5[[#This Row],[Teste]],Referências!$D$2:$E$5,2,0)</f>
        <v>3</v>
      </c>
      <c r="S118" s="369" t="str">
        <f>Tabela5[[#This Row],[TAG]]&amp;"-"&amp;Tabela5[[#This Row],[COD_Test]]</f>
        <v>TR09A-M001-3</v>
      </c>
      <c r="T118" s="21" t="s">
        <v>1505</v>
      </c>
      <c r="U118" s="368" t="str">
        <f>VLOOKUP(Tabela5[[#This Row],[TAG]],BD!A:J,10,0)</f>
        <v>7HV</v>
      </c>
      <c r="V118" s="370" t="str">
        <f>VLOOKUP(Tabela5[[#This Row],[TAG]],BD!A:E,5,0)</f>
        <v>2x3x1/C#150</v>
      </c>
      <c r="W118" s="368">
        <v>6</v>
      </c>
      <c r="X118" s="371">
        <f>VLOOKUP(Tabela5[[#This Row],[TAG]],$AE:$AK,7,0)</f>
        <v>1</v>
      </c>
      <c r="Y118" s="371" t="str">
        <f>VLOOKUP(Tabela5[[#This Row],[TAG]],BD!A:P,14,0)</f>
        <v>---</v>
      </c>
      <c r="Z118" s="371" t="str">
        <f>VLOOKUP(Tabela5[[#This Row],[TAG]],BD!A:P,15,0)</f>
        <v>Sim</v>
      </c>
      <c r="AA118" s="371" t="str">
        <f>VLOOKUP(Tabela5[[#This Row],[TAG]],BD!A:P,16,0)</f>
        <v>Sim</v>
      </c>
      <c r="AB118" s="371"/>
      <c r="AD118" s="391">
        <v>117</v>
      </c>
      <c r="AE118" s="391" t="s">
        <v>874</v>
      </c>
      <c r="AF118" s="391" t="s">
        <v>92</v>
      </c>
      <c r="AG118" s="391">
        <v>2</v>
      </c>
      <c r="AH118" s="32">
        <v>44247</v>
      </c>
      <c r="AI118" s="391">
        <f>VLOOKUP(Tabela7[[#This Row],[TAG]],BD!$A:$V,19,0)</f>
        <v>4</v>
      </c>
      <c r="AJ118" s="23" t="str">
        <f>VLOOKUP(Tabela7[[#This Row],[TAG]],BD!A:J,10,0)</f>
        <v>8HV</v>
      </c>
      <c r="AK118" s="28">
        <f>SUMIF(AE:AE,Tabela7[[#This Row],[TAG]],AG:AG)/Tabela7[[#This Row],[Qtde Lig]]</f>
        <v>1</v>
      </c>
    </row>
    <row r="119" spans="1:37" x14ac:dyDescent="0.25">
      <c r="A119" s="391">
        <v>118</v>
      </c>
      <c r="B119" s="7" t="s">
        <v>602</v>
      </c>
      <c r="C119" s="391">
        <v>136</v>
      </c>
      <c r="D119" s="32">
        <v>44179</v>
      </c>
      <c r="E119" s="32" t="str">
        <f>VLOOKUP(Tabela2[[#This Row],[Tag]],BD!$A:$B,2,0)</f>
        <v>Controle</v>
      </c>
      <c r="F119" s="32" t="str">
        <f>VLOOKUP(Tabela2[[#This Row],[Tag]],BD!A:J,10,0)</f>
        <v>30LV</v>
      </c>
      <c r="G119" s="31" t="str">
        <f>VLOOKUP(Tabela2[[#This Row],[Tag]],BD!$A:$V,20,0)</f>
        <v>BK-SP54-01200-LC-80-00004_00000</v>
      </c>
      <c r="H119" s="32" t="str">
        <f>IF(VLOOKUP(Tabela2[[#This Row],[Tag]],BD!A:T,17,0)=0,"",VLOOKUP(Tabela2[[#This Row],[Tag]],BD!A:T,17,0))</f>
        <v>4.6.1</v>
      </c>
      <c r="I119" s="139">
        <v>44166</v>
      </c>
      <c r="J119" s="155">
        <f>VLOOKUP(Tabela2[[#This Row],[Tag]],BD!$A:$AE,30,0)</f>
        <v>136</v>
      </c>
      <c r="K119" s="29">
        <f>SUMIF(B:B,Tabela2[[#This Row],[Tag]],C:C)/Tabela2[[#This Row],[Comprim. Real]]</f>
        <v>1</v>
      </c>
      <c r="L119" s="29" t="str">
        <f>VLOOKUP(Tabela2[[#This Row],[Tag]],BD!A:AF,32,0)</f>
        <v>7HVx30LV</v>
      </c>
      <c r="N119" s="368">
        <v>118</v>
      </c>
      <c r="O119" s="368" t="s">
        <v>553</v>
      </c>
      <c r="P119" s="21" t="s">
        <v>19</v>
      </c>
      <c r="Q119" s="372">
        <v>44277</v>
      </c>
      <c r="R119" s="369">
        <f>VLOOKUP(Tabela5[[#This Row],[Teste]],Referências!$D$2:$E$5,2,0)</f>
        <v>4</v>
      </c>
      <c r="S119" s="369" t="str">
        <f>Tabela5[[#This Row],[TAG]]&amp;"-"&amp;Tabela5[[#This Row],[COD_Test]]</f>
        <v>TR09A-M002-4</v>
      </c>
      <c r="T119" s="21" t="s">
        <v>1505</v>
      </c>
      <c r="U119" s="368" t="str">
        <f>VLOOKUP(Tabela5[[#This Row],[TAG]],BD!A:J,10,0)</f>
        <v>7HV</v>
      </c>
      <c r="V119" s="370" t="str">
        <f>VLOOKUP(Tabela5[[#This Row],[TAG]],BD!A:E,5,0)</f>
        <v>2x3x1/C#150</v>
      </c>
      <c r="W119" s="368">
        <v>6</v>
      </c>
      <c r="X119" s="371">
        <f>VLOOKUP(Tabela5[[#This Row],[TAG]],$AE:$AK,7,0)</f>
        <v>1</v>
      </c>
      <c r="Y119" s="371" t="str">
        <f>VLOOKUP(Tabela5[[#This Row],[TAG]],BD!A:P,14,0)</f>
        <v>---</v>
      </c>
      <c r="Z119" s="371" t="str">
        <f>VLOOKUP(Tabela5[[#This Row],[TAG]],BD!A:P,15,0)</f>
        <v>Sim</v>
      </c>
      <c r="AA119" s="371" t="str">
        <f>VLOOKUP(Tabela5[[#This Row],[TAG]],BD!A:P,16,0)</f>
        <v>Sim</v>
      </c>
      <c r="AB119" s="371"/>
      <c r="AD119" s="391">
        <v>118</v>
      </c>
      <c r="AE119" s="391" t="s">
        <v>917</v>
      </c>
      <c r="AF119" s="391" t="s">
        <v>92</v>
      </c>
      <c r="AG119" s="391">
        <v>6</v>
      </c>
      <c r="AH119" s="32">
        <v>44250</v>
      </c>
      <c r="AI119" s="391">
        <f>VLOOKUP(Tabela7[[#This Row],[TAG]],BD!$A:$V,19,0)</f>
        <v>12</v>
      </c>
      <c r="AJ119" s="23" t="str">
        <f>VLOOKUP(Tabela7[[#This Row],[TAG]],BD!A:J,10,0)</f>
        <v>8HV x 1HV</v>
      </c>
      <c r="AK119" s="28">
        <f>SUMIF(AE:AE,Tabela7[[#This Row],[TAG]],AG:AG)/Tabela7[[#This Row],[Qtde Lig]]</f>
        <v>0.5</v>
      </c>
    </row>
    <row r="120" spans="1:37" x14ac:dyDescent="0.25">
      <c r="A120" s="391">
        <v>119</v>
      </c>
      <c r="B120" s="7" t="s">
        <v>611</v>
      </c>
      <c r="C120" s="391">
        <v>136</v>
      </c>
      <c r="D120" s="32">
        <v>44179</v>
      </c>
      <c r="E120" s="32" t="str">
        <f>VLOOKUP(Tabela2[[#This Row],[Tag]],BD!$A:$B,2,0)</f>
        <v>Controle</v>
      </c>
      <c r="F120" s="32" t="str">
        <f>VLOOKUP(Tabela2[[#This Row],[Tag]],BD!A:J,10,0)</f>
        <v>30LV</v>
      </c>
      <c r="G120" s="31" t="str">
        <f>VLOOKUP(Tabela2[[#This Row],[Tag]],BD!$A:$V,20,0)</f>
        <v>BK-SP54-01200-LC-80-00004_00000</v>
      </c>
      <c r="H120" s="32" t="str">
        <f>IF(VLOOKUP(Tabela2[[#This Row],[Tag]],BD!A:T,17,0)=0,"",VLOOKUP(Tabela2[[#This Row],[Tag]],BD!A:T,17,0))</f>
        <v>4.4.1</v>
      </c>
      <c r="I120" s="139">
        <v>44166</v>
      </c>
      <c r="J120" s="155">
        <f>VLOOKUP(Tabela2[[#This Row],[Tag]],BD!$A:$AE,30,0)</f>
        <v>136</v>
      </c>
      <c r="K120" s="29">
        <f>SUMIF(B:B,Tabela2[[#This Row],[Tag]],C:C)/Tabela2[[#This Row],[Comprim. Real]]</f>
        <v>1</v>
      </c>
      <c r="L120" s="29" t="str">
        <f>VLOOKUP(Tabela2[[#This Row],[Tag]],BD!A:AF,32,0)</f>
        <v>7HVx30LV</v>
      </c>
      <c r="N120" s="368">
        <v>119</v>
      </c>
      <c r="O120" s="368" t="s">
        <v>553</v>
      </c>
      <c r="P120" s="368" t="s">
        <v>16</v>
      </c>
      <c r="Q120" s="372">
        <v>44277</v>
      </c>
      <c r="R120" s="369">
        <f>VLOOKUP(Tabela5[[#This Row],[Teste]],Referências!$D$2:$E$5,2,0)</f>
        <v>1</v>
      </c>
      <c r="S120" s="369" t="str">
        <f>Tabela5[[#This Row],[TAG]]&amp;"-"&amp;Tabela5[[#This Row],[COD_Test]]</f>
        <v>TR09A-M002-1</v>
      </c>
      <c r="T120" s="21" t="s">
        <v>1505</v>
      </c>
      <c r="U120" s="368" t="str">
        <f>VLOOKUP(Tabela5[[#This Row],[TAG]],BD!A:J,10,0)</f>
        <v>7HV</v>
      </c>
      <c r="V120" s="370" t="str">
        <f>VLOOKUP(Tabela5[[#This Row],[TAG]],BD!A:E,5,0)</f>
        <v>2x3x1/C#150</v>
      </c>
      <c r="W120" s="368">
        <v>6</v>
      </c>
      <c r="X120" s="371">
        <f>VLOOKUP(Tabela5[[#This Row],[TAG]],$AE:$AK,7,0)</f>
        <v>1</v>
      </c>
      <c r="Y120" s="371" t="str">
        <f>VLOOKUP(Tabela5[[#This Row],[TAG]],BD!A:P,14,0)</f>
        <v>---</v>
      </c>
      <c r="Z120" s="371" t="str">
        <f>VLOOKUP(Tabela5[[#This Row],[TAG]],BD!A:P,15,0)</f>
        <v>Sim</v>
      </c>
      <c r="AA120" s="371" t="str">
        <f>VLOOKUP(Tabela5[[#This Row],[TAG]],BD!A:P,16,0)</f>
        <v>Sim</v>
      </c>
      <c r="AB120" s="371"/>
      <c r="AD120" s="391">
        <v>119</v>
      </c>
      <c r="AE120" s="391" t="s">
        <v>921</v>
      </c>
      <c r="AF120" s="391" t="s">
        <v>92</v>
      </c>
      <c r="AG120" s="391">
        <v>3</v>
      </c>
      <c r="AH120" s="32">
        <v>44250</v>
      </c>
      <c r="AI120" s="391">
        <f>VLOOKUP(Tabela7[[#This Row],[TAG]],BD!$A:$V,19,0)</f>
        <v>6</v>
      </c>
      <c r="AJ120" s="23" t="str">
        <f>VLOOKUP(Tabela7[[#This Row],[TAG]],BD!A:J,10,0)</f>
        <v>8HV x 1HV</v>
      </c>
      <c r="AK120" s="28">
        <f>SUMIF(AE:AE,Tabela7[[#This Row],[TAG]],AG:AG)/Tabela7[[#This Row],[Qtde Lig]]</f>
        <v>0.5</v>
      </c>
    </row>
    <row r="121" spans="1:37" x14ac:dyDescent="0.25">
      <c r="A121" s="391">
        <v>120</v>
      </c>
      <c r="B121" s="7" t="s">
        <v>613</v>
      </c>
      <c r="C121" s="391">
        <v>136</v>
      </c>
      <c r="D121" s="32">
        <v>44179</v>
      </c>
      <c r="E121" s="32" t="str">
        <f>VLOOKUP(Tabela2[[#This Row],[Tag]],BD!$A:$B,2,0)</f>
        <v>Controle</v>
      </c>
      <c r="F121" s="32" t="str">
        <f>VLOOKUP(Tabela2[[#This Row],[Tag]],BD!A:J,10,0)</f>
        <v>30LV</v>
      </c>
      <c r="G121" s="31" t="str">
        <f>VLOOKUP(Tabela2[[#This Row],[Tag]],BD!$A:$V,20,0)</f>
        <v>BK-SP54-01200-LC-80-00004_00000</v>
      </c>
      <c r="H121" s="32" t="str">
        <f>IF(VLOOKUP(Tabela2[[#This Row],[Tag]],BD!A:T,17,0)=0,"",VLOOKUP(Tabela2[[#This Row],[Tag]],BD!A:T,17,0))</f>
        <v>4.4.1</v>
      </c>
      <c r="I121" s="139">
        <v>44166</v>
      </c>
      <c r="J121" s="155">
        <f>VLOOKUP(Tabela2[[#This Row],[Tag]],BD!$A:$AE,30,0)</f>
        <v>136</v>
      </c>
      <c r="K121" s="29">
        <f>SUMIF(B:B,Tabela2[[#This Row],[Tag]],C:C)/Tabela2[[#This Row],[Comprim. Real]]</f>
        <v>1</v>
      </c>
      <c r="L121" s="29" t="str">
        <f>VLOOKUP(Tabela2[[#This Row],[Tag]],BD!A:AF,32,0)</f>
        <v>7HVx30LV</v>
      </c>
      <c r="N121" s="368">
        <v>120</v>
      </c>
      <c r="O121" s="368" t="s">
        <v>553</v>
      </c>
      <c r="P121" s="368" t="s">
        <v>18</v>
      </c>
      <c r="Q121" s="372">
        <v>44277</v>
      </c>
      <c r="R121" s="369">
        <f>VLOOKUP(Tabela5[[#This Row],[Teste]],Referências!$D$2:$E$5,2,0)</f>
        <v>3</v>
      </c>
      <c r="S121" s="369" t="str">
        <f>Tabela5[[#This Row],[TAG]]&amp;"-"&amp;Tabela5[[#This Row],[COD_Test]]</f>
        <v>TR09A-M002-3</v>
      </c>
      <c r="T121" s="21" t="s">
        <v>1505</v>
      </c>
      <c r="U121" s="368" t="str">
        <f>VLOOKUP(Tabela5[[#This Row],[TAG]],BD!A:J,10,0)</f>
        <v>7HV</v>
      </c>
      <c r="V121" s="370" t="str">
        <f>VLOOKUP(Tabela5[[#This Row],[TAG]],BD!A:E,5,0)</f>
        <v>2x3x1/C#150</v>
      </c>
      <c r="W121" s="368">
        <v>6</v>
      </c>
      <c r="X121" s="371">
        <f>VLOOKUP(Tabela5[[#This Row],[TAG]],$AE:$AK,7,0)</f>
        <v>1</v>
      </c>
      <c r="Y121" s="371" t="str">
        <f>VLOOKUP(Tabela5[[#This Row],[TAG]],BD!A:P,14,0)</f>
        <v>---</v>
      </c>
      <c r="Z121" s="371" t="str">
        <f>VLOOKUP(Tabela5[[#This Row],[TAG]],BD!A:P,15,0)</f>
        <v>Sim</v>
      </c>
      <c r="AA121" s="371" t="str">
        <f>VLOOKUP(Tabela5[[#This Row],[TAG]],BD!A:P,16,0)</f>
        <v>Sim</v>
      </c>
      <c r="AB121" s="371"/>
      <c r="AD121" s="391">
        <v>120</v>
      </c>
      <c r="AE121" s="391" t="s">
        <v>923</v>
      </c>
      <c r="AF121" s="391" t="s">
        <v>92</v>
      </c>
      <c r="AG121" s="391">
        <v>6</v>
      </c>
      <c r="AH121" s="32">
        <v>44250</v>
      </c>
      <c r="AI121" s="391">
        <f>VLOOKUP(Tabela7[[#This Row],[TAG]],BD!$A:$V,19,0)</f>
        <v>12</v>
      </c>
      <c r="AJ121" s="23" t="str">
        <f>VLOOKUP(Tabela7[[#This Row],[TAG]],BD!A:J,10,0)</f>
        <v>8HV x 1HV</v>
      </c>
      <c r="AK121" s="28">
        <f>SUMIF(AE:AE,Tabela7[[#This Row],[TAG]],AG:AG)/Tabela7[[#This Row],[Qtde Lig]]</f>
        <v>0.5</v>
      </c>
    </row>
    <row r="122" spans="1:37" x14ac:dyDescent="0.25">
      <c r="A122" s="391">
        <v>121</v>
      </c>
      <c r="B122" s="7" t="s">
        <v>615</v>
      </c>
      <c r="C122" s="391">
        <v>136</v>
      </c>
      <c r="D122" s="32">
        <v>44179</v>
      </c>
      <c r="E122" s="32" t="str">
        <f>VLOOKUP(Tabela2[[#This Row],[Tag]],BD!$A:$B,2,0)</f>
        <v>Controle</v>
      </c>
      <c r="F122" s="32" t="str">
        <f>VLOOKUP(Tabela2[[#This Row],[Tag]],BD!A:J,10,0)</f>
        <v>30LV</v>
      </c>
      <c r="G122" s="31" t="str">
        <f>VLOOKUP(Tabela2[[#This Row],[Tag]],BD!$A:$V,20,0)</f>
        <v>BK-SP54-01200-LC-80-00004_00000</v>
      </c>
      <c r="H122" s="32" t="str">
        <f>IF(VLOOKUP(Tabela2[[#This Row],[Tag]],BD!A:T,17,0)=0,"",VLOOKUP(Tabela2[[#This Row],[Tag]],BD!A:T,17,0))</f>
        <v>4.6.1</v>
      </c>
      <c r="I122" s="139">
        <v>44166</v>
      </c>
      <c r="J122" s="155">
        <f>VLOOKUP(Tabela2[[#This Row],[Tag]],BD!$A:$AE,30,0)</f>
        <v>136</v>
      </c>
      <c r="K122" s="29">
        <f>SUMIF(B:B,Tabela2[[#This Row],[Tag]],C:C)/Tabela2[[#This Row],[Comprim. Real]]</f>
        <v>1</v>
      </c>
      <c r="L122" s="29" t="str">
        <f>VLOOKUP(Tabela2[[#This Row],[Tag]],BD!A:AF,32,0)</f>
        <v>7HVx30LV</v>
      </c>
      <c r="N122" s="368">
        <v>121</v>
      </c>
      <c r="O122" s="21" t="s">
        <v>554</v>
      </c>
      <c r="P122" s="368" t="s">
        <v>19</v>
      </c>
      <c r="Q122" s="372">
        <v>44277</v>
      </c>
      <c r="R122" s="369">
        <f>VLOOKUP(Tabela5[[#This Row],[Teste]],Referências!$D$2:$E$5,2,0)</f>
        <v>4</v>
      </c>
      <c r="S122" s="369" t="str">
        <f>Tabela5[[#This Row],[TAG]]&amp;"-"&amp;Tabela5[[#This Row],[COD_Test]]</f>
        <v>TR09B-M001-4</v>
      </c>
      <c r="T122" s="21" t="s">
        <v>1505</v>
      </c>
      <c r="U122" s="368" t="str">
        <f>VLOOKUP(Tabela5[[#This Row],[TAG]],BD!A:J,10,0)</f>
        <v>7HV</v>
      </c>
      <c r="V122" s="370" t="str">
        <f>VLOOKUP(Tabela5[[#This Row],[TAG]],BD!A:E,5,0)</f>
        <v>2x3x1/C#150</v>
      </c>
      <c r="W122" s="368">
        <v>6</v>
      </c>
      <c r="X122" s="371">
        <f>VLOOKUP(Tabela5[[#This Row],[TAG]],$AE:$AK,7,0)</f>
        <v>1</v>
      </c>
      <c r="Y122" s="371" t="str">
        <f>VLOOKUP(Tabela5[[#This Row],[TAG]],BD!A:P,14,0)</f>
        <v>---</v>
      </c>
      <c r="Z122" s="371" t="str">
        <f>VLOOKUP(Tabela5[[#This Row],[TAG]],BD!A:P,15,0)</f>
        <v>Sim</v>
      </c>
      <c r="AA122" s="371" t="str">
        <f>VLOOKUP(Tabela5[[#This Row],[TAG]],BD!A:P,16,0)</f>
        <v>Sim</v>
      </c>
      <c r="AB122" s="371"/>
      <c r="AD122" s="391">
        <v>121</v>
      </c>
      <c r="AE122" s="391" t="s">
        <v>925</v>
      </c>
      <c r="AF122" s="391" t="s">
        <v>92</v>
      </c>
      <c r="AG122" s="391">
        <v>6</v>
      </c>
      <c r="AH122" s="32">
        <v>44250</v>
      </c>
      <c r="AI122" s="391">
        <f>VLOOKUP(Tabela7[[#This Row],[TAG]],BD!$A:$V,19,0)</f>
        <v>12</v>
      </c>
      <c r="AJ122" s="23" t="str">
        <f>VLOOKUP(Tabela7[[#This Row],[TAG]],BD!A:J,10,0)</f>
        <v>8HV x 1HV</v>
      </c>
      <c r="AK122" s="28">
        <f>SUMIF(AE:AE,Tabela7[[#This Row],[TAG]],AG:AG)/Tabela7[[#This Row],[Qtde Lig]]</f>
        <v>0.5</v>
      </c>
    </row>
    <row r="123" spans="1:37" x14ac:dyDescent="0.25">
      <c r="A123" s="391">
        <v>122</v>
      </c>
      <c r="B123" s="7" t="s">
        <v>617</v>
      </c>
      <c r="C123" s="391">
        <v>136</v>
      </c>
      <c r="D123" s="32">
        <v>44179</v>
      </c>
      <c r="E123" s="32" t="str">
        <f>VLOOKUP(Tabela2[[#This Row],[Tag]],BD!$A:$B,2,0)</f>
        <v>Controle</v>
      </c>
      <c r="F123" s="32" t="str">
        <f>VLOOKUP(Tabela2[[#This Row],[Tag]],BD!A:J,10,0)</f>
        <v>30LV</v>
      </c>
      <c r="G123" s="31" t="str">
        <f>VLOOKUP(Tabela2[[#This Row],[Tag]],BD!$A:$V,20,0)</f>
        <v>BK-SP54-01200-LC-80-00004_00000</v>
      </c>
      <c r="H123" s="32" t="str">
        <f>IF(VLOOKUP(Tabela2[[#This Row],[Tag]],BD!A:T,17,0)=0,"",VLOOKUP(Tabela2[[#This Row],[Tag]],BD!A:T,17,0))</f>
        <v>4.6.1</v>
      </c>
      <c r="I123" s="139">
        <v>44166</v>
      </c>
      <c r="J123" s="155">
        <f>VLOOKUP(Tabela2[[#This Row],[Tag]],BD!$A:$AE,30,0)</f>
        <v>136</v>
      </c>
      <c r="K123" s="29">
        <f>SUMIF(B:B,Tabela2[[#This Row],[Tag]],C:C)/Tabela2[[#This Row],[Comprim. Real]]</f>
        <v>1</v>
      </c>
      <c r="L123" s="29" t="str">
        <f>VLOOKUP(Tabela2[[#This Row],[Tag]],BD!A:AF,32,0)</f>
        <v>7HVx30LV</v>
      </c>
      <c r="N123" s="368">
        <v>122</v>
      </c>
      <c r="O123" s="21" t="s">
        <v>554</v>
      </c>
      <c r="P123" s="368" t="s">
        <v>16</v>
      </c>
      <c r="Q123" s="372">
        <v>44277</v>
      </c>
      <c r="R123" s="369">
        <f>VLOOKUP(Tabela5[[#This Row],[Teste]],Referências!$D$2:$E$5,2,0)</f>
        <v>1</v>
      </c>
      <c r="S123" s="369" t="str">
        <f>Tabela5[[#This Row],[TAG]]&amp;"-"&amp;Tabela5[[#This Row],[COD_Test]]</f>
        <v>TR09B-M001-1</v>
      </c>
      <c r="T123" s="21" t="s">
        <v>1505</v>
      </c>
      <c r="U123" s="368" t="str">
        <f>VLOOKUP(Tabela5[[#This Row],[TAG]],BD!A:J,10,0)</f>
        <v>7HV</v>
      </c>
      <c r="V123" s="370" t="str">
        <f>VLOOKUP(Tabela5[[#This Row],[TAG]],BD!A:E,5,0)</f>
        <v>2x3x1/C#150</v>
      </c>
      <c r="W123" s="368">
        <v>6</v>
      </c>
      <c r="X123" s="371">
        <f>VLOOKUP(Tabela5[[#This Row],[TAG]],$AE:$AK,7,0)</f>
        <v>1</v>
      </c>
      <c r="Y123" s="371" t="str">
        <f>VLOOKUP(Tabela5[[#This Row],[TAG]],BD!A:P,14,0)</f>
        <v>---</v>
      </c>
      <c r="Z123" s="371" t="str">
        <f>VLOOKUP(Tabela5[[#This Row],[TAG]],BD!A:P,15,0)</f>
        <v>Sim</v>
      </c>
      <c r="AA123" s="371" t="str">
        <f>VLOOKUP(Tabela5[[#This Row],[TAG]],BD!A:P,16,0)</f>
        <v>Sim</v>
      </c>
      <c r="AB123" s="371"/>
      <c r="AD123" s="391">
        <v>122</v>
      </c>
      <c r="AE123" s="391" t="s">
        <v>928</v>
      </c>
      <c r="AF123" s="391" t="s">
        <v>92</v>
      </c>
      <c r="AG123" s="391">
        <v>6</v>
      </c>
      <c r="AH123" s="32">
        <v>44250</v>
      </c>
      <c r="AI123" s="391">
        <f>VLOOKUP(Tabela7[[#This Row],[TAG]],BD!$A:$V,19,0)</f>
        <v>12</v>
      </c>
      <c r="AJ123" s="23" t="str">
        <f>VLOOKUP(Tabela7[[#This Row],[TAG]],BD!A:J,10,0)</f>
        <v>8HV x 1HV</v>
      </c>
      <c r="AK123" s="28">
        <f>SUMIF(AE:AE,Tabela7[[#This Row],[TAG]],AG:AG)/Tabela7[[#This Row],[Qtde Lig]]</f>
        <v>0.5</v>
      </c>
    </row>
    <row r="124" spans="1:37" x14ac:dyDescent="0.25">
      <c r="A124" s="391">
        <v>123</v>
      </c>
      <c r="B124" s="7" t="s">
        <v>619</v>
      </c>
      <c r="C124" s="391">
        <v>136</v>
      </c>
      <c r="D124" s="32">
        <v>44179</v>
      </c>
      <c r="E124" s="32" t="str">
        <f>VLOOKUP(Tabela2[[#This Row],[Tag]],BD!$A:$B,2,0)</f>
        <v>Controle</v>
      </c>
      <c r="F124" s="32" t="str">
        <f>VLOOKUP(Tabela2[[#This Row],[Tag]],BD!A:J,10,0)</f>
        <v>30LV</v>
      </c>
      <c r="G124" s="31" t="str">
        <f>VLOOKUP(Tabela2[[#This Row],[Tag]],BD!$A:$V,20,0)</f>
        <v>BK-SP54-01200-LC-80-00004_00000</v>
      </c>
      <c r="H124" s="32" t="str">
        <f>IF(VLOOKUP(Tabela2[[#This Row],[Tag]],BD!A:T,17,0)=0,"",VLOOKUP(Tabela2[[#This Row],[Tag]],BD!A:T,17,0))</f>
        <v>4.6.1</v>
      </c>
      <c r="I124" s="139">
        <v>44166</v>
      </c>
      <c r="J124" s="155">
        <f>VLOOKUP(Tabela2[[#This Row],[Tag]],BD!$A:$AE,30,0)</f>
        <v>136</v>
      </c>
      <c r="K124" s="29">
        <f>SUMIF(B:B,Tabela2[[#This Row],[Tag]],C:C)/Tabela2[[#This Row],[Comprim. Real]]</f>
        <v>1</v>
      </c>
      <c r="L124" s="29" t="str">
        <f>VLOOKUP(Tabela2[[#This Row],[Tag]],BD!A:AF,32,0)</f>
        <v>7HVx30LV</v>
      </c>
      <c r="N124" s="368">
        <v>123</v>
      </c>
      <c r="O124" s="21" t="s">
        <v>554</v>
      </c>
      <c r="P124" s="368" t="s">
        <v>18</v>
      </c>
      <c r="Q124" s="372">
        <v>44277</v>
      </c>
      <c r="R124" s="369">
        <f>VLOOKUP(Tabela5[[#This Row],[Teste]],Referências!$D$2:$E$5,2,0)</f>
        <v>3</v>
      </c>
      <c r="S124" s="369" t="str">
        <f>Tabela5[[#This Row],[TAG]]&amp;"-"&amp;Tabela5[[#This Row],[COD_Test]]</f>
        <v>TR09B-M001-3</v>
      </c>
      <c r="T124" s="21" t="s">
        <v>1505</v>
      </c>
      <c r="U124" s="368" t="str">
        <f>VLOOKUP(Tabela5[[#This Row],[TAG]],BD!A:J,10,0)</f>
        <v>7HV</v>
      </c>
      <c r="V124" s="370" t="str">
        <f>VLOOKUP(Tabela5[[#This Row],[TAG]],BD!A:E,5,0)</f>
        <v>2x3x1/C#150</v>
      </c>
      <c r="W124" s="368">
        <v>6</v>
      </c>
      <c r="X124" s="371">
        <f>VLOOKUP(Tabela5[[#This Row],[TAG]],$AE:$AK,7,0)</f>
        <v>1</v>
      </c>
      <c r="Y124" s="371" t="str">
        <f>VLOOKUP(Tabela5[[#This Row],[TAG]],BD!A:P,14,0)</f>
        <v>---</v>
      </c>
      <c r="Z124" s="371" t="str">
        <f>VLOOKUP(Tabela5[[#This Row],[TAG]],BD!A:P,15,0)</f>
        <v>Sim</v>
      </c>
      <c r="AA124" s="371" t="str">
        <f>VLOOKUP(Tabela5[[#This Row],[TAG]],BD!A:P,16,0)</f>
        <v>Sim</v>
      </c>
      <c r="AB124" s="371"/>
      <c r="AD124" s="391">
        <v>123</v>
      </c>
      <c r="AE124" s="391" t="s">
        <v>874</v>
      </c>
      <c r="AF124" s="391" t="s">
        <v>92</v>
      </c>
      <c r="AG124" s="391">
        <v>2</v>
      </c>
      <c r="AH124" s="32">
        <v>44250</v>
      </c>
      <c r="AI124" s="391">
        <f>VLOOKUP(Tabela7[[#This Row],[TAG]],BD!$A:$V,19,0)</f>
        <v>4</v>
      </c>
      <c r="AJ124" s="23" t="str">
        <f>VLOOKUP(Tabela7[[#This Row],[TAG]],BD!A:J,10,0)</f>
        <v>8HV</v>
      </c>
      <c r="AK124" s="28">
        <f>SUMIF(AE:AE,Tabela7[[#This Row],[TAG]],AG:AG)/Tabela7[[#This Row],[Qtde Lig]]</f>
        <v>1</v>
      </c>
    </row>
    <row r="125" spans="1:37" x14ac:dyDescent="0.25">
      <c r="A125" s="391">
        <v>124</v>
      </c>
      <c r="B125" s="7" t="s">
        <v>622</v>
      </c>
      <c r="C125" s="391">
        <v>136</v>
      </c>
      <c r="D125" s="32">
        <v>44179</v>
      </c>
      <c r="E125" s="32" t="str">
        <f>VLOOKUP(Tabela2[[#This Row],[Tag]],BD!$A:$B,2,0)</f>
        <v>Controle</v>
      </c>
      <c r="F125" s="32" t="str">
        <f>VLOOKUP(Tabela2[[#This Row],[Tag]],BD!A:J,10,0)</f>
        <v>30LV</v>
      </c>
      <c r="G125" s="31" t="str">
        <f>VLOOKUP(Tabela2[[#This Row],[Tag]],BD!$A:$V,20,0)</f>
        <v>BK-SP54-01200-LC-80-00004_00000</v>
      </c>
      <c r="H125" s="32" t="str">
        <f>IF(VLOOKUP(Tabela2[[#This Row],[Tag]],BD!A:T,17,0)=0,"",VLOOKUP(Tabela2[[#This Row],[Tag]],BD!A:T,17,0))</f>
        <v>4.6.1</v>
      </c>
      <c r="I125" s="139">
        <v>44166</v>
      </c>
      <c r="J125" s="155">
        <f>VLOOKUP(Tabela2[[#This Row],[Tag]],BD!$A:$AE,30,0)</f>
        <v>136</v>
      </c>
      <c r="K125" s="29">
        <f>SUMIF(B:B,Tabela2[[#This Row],[Tag]],C:C)/Tabela2[[#This Row],[Comprim. Real]]</f>
        <v>1</v>
      </c>
      <c r="L125" s="29" t="str">
        <f>VLOOKUP(Tabela2[[#This Row],[Tag]],BD!A:AF,32,0)</f>
        <v>7HVx30LV</v>
      </c>
      <c r="N125" s="368">
        <v>124</v>
      </c>
      <c r="O125" s="368" t="s">
        <v>555</v>
      </c>
      <c r="P125" s="368" t="s">
        <v>19</v>
      </c>
      <c r="Q125" s="372">
        <v>44277</v>
      </c>
      <c r="R125" s="369">
        <f>VLOOKUP(Tabela5[[#This Row],[Teste]],Referências!$D$2:$E$5,2,0)</f>
        <v>4</v>
      </c>
      <c r="S125" s="369" t="str">
        <f>Tabela5[[#This Row],[TAG]]&amp;"-"&amp;Tabela5[[#This Row],[COD_Test]]</f>
        <v>TR09B-M002-4</v>
      </c>
      <c r="T125" s="21" t="s">
        <v>1505</v>
      </c>
      <c r="U125" s="368" t="str">
        <f>VLOOKUP(Tabela5[[#This Row],[TAG]],BD!A:J,10,0)</f>
        <v>7HV</v>
      </c>
      <c r="V125" s="370" t="str">
        <f>VLOOKUP(Tabela5[[#This Row],[TAG]],BD!A:E,5,0)</f>
        <v>2x3x1/C#150</v>
      </c>
      <c r="W125" s="368">
        <v>6</v>
      </c>
      <c r="X125" s="371">
        <f>VLOOKUP(Tabela5[[#This Row],[TAG]],$AE:$AK,7,0)</f>
        <v>1</v>
      </c>
      <c r="Y125" s="371" t="str">
        <f>VLOOKUP(Tabela5[[#This Row],[TAG]],BD!A:P,14,0)</f>
        <v>---</v>
      </c>
      <c r="Z125" s="371" t="str">
        <f>VLOOKUP(Tabela5[[#This Row],[TAG]],BD!A:P,15,0)</f>
        <v>Sim</v>
      </c>
      <c r="AA125" s="371" t="str">
        <f>VLOOKUP(Tabela5[[#This Row],[TAG]],BD!A:P,16,0)</f>
        <v>Sim</v>
      </c>
      <c r="AB125" s="371"/>
      <c r="AD125" s="391">
        <v>124</v>
      </c>
      <c r="AE125" s="391" t="s">
        <v>427</v>
      </c>
      <c r="AF125" s="391" t="s">
        <v>92</v>
      </c>
      <c r="AG125" s="391">
        <v>3</v>
      </c>
      <c r="AH125" s="32">
        <v>44249</v>
      </c>
      <c r="AI125" s="391">
        <f>VLOOKUP(Tabela7[[#This Row],[TAG]],BD!$A:$V,19,0)</f>
        <v>6</v>
      </c>
      <c r="AJ125" s="23" t="str">
        <f>VLOOKUP(Tabela7[[#This Row],[TAG]],BD!A:J,10,0)</f>
        <v>7HV</v>
      </c>
      <c r="AK125" s="28">
        <f>SUMIF(AE:AE,Tabela7[[#This Row],[TAG]],AG:AG)/Tabela7[[#This Row],[Qtde Lig]]</f>
        <v>1</v>
      </c>
    </row>
    <row r="126" spans="1:37" x14ac:dyDescent="0.25">
      <c r="A126" s="391">
        <v>125</v>
      </c>
      <c r="B126" s="7" t="s">
        <v>624</v>
      </c>
      <c r="C126" s="391">
        <v>136</v>
      </c>
      <c r="D126" s="32">
        <v>44179</v>
      </c>
      <c r="E126" s="32" t="str">
        <f>VLOOKUP(Tabela2[[#This Row],[Tag]],BD!$A:$B,2,0)</f>
        <v>Controle</v>
      </c>
      <c r="F126" s="32" t="str">
        <f>VLOOKUP(Tabela2[[#This Row],[Tag]],BD!A:J,10,0)</f>
        <v>30LV</v>
      </c>
      <c r="G126" s="31" t="str">
        <f>VLOOKUP(Tabela2[[#This Row],[Tag]],BD!$A:$V,20,0)</f>
        <v>BK-SP54-01200-LC-80-00004_00000</v>
      </c>
      <c r="H126" s="32" t="str">
        <f>IF(VLOOKUP(Tabela2[[#This Row],[Tag]],BD!A:T,17,0)=0,"",VLOOKUP(Tabela2[[#This Row],[Tag]],BD!A:T,17,0))</f>
        <v>4.6.1</v>
      </c>
      <c r="I126" s="139">
        <v>44166</v>
      </c>
      <c r="J126" s="155">
        <f>VLOOKUP(Tabela2[[#This Row],[Tag]],BD!$A:$AE,30,0)</f>
        <v>136</v>
      </c>
      <c r="K126" s="29">
        <f>SUMIF(B:B,Tabela2[[#This Row],[Tag]],C:C)/Tabela2[[#This Row],[Comprim. Real]]</f>
        <v>1</v>
      </c>
      <c r="L126" s="29" t="str">
        <f>VLOOKUP(Tabela2[[#This Row],[Tag]],BD!A:AF,32,0)</f>
        <v>7HVx30LV</v>
      </c>
      <c r="N126" s="368">
        <v>125</v>
      </c>
      <c r="O126" s="368" t="s">
        <v>555</v>
      </c>
      <c r="P126" s="368" t="s">
        <v>16</v>
      </c>
      <c r="Q126" s="372">
        <v>44277</v>
      </c>
      <c r="R126" s="369">
        <f>VLOOKUP(Tabela5[[#This Row],[Teste]],Referências!$D$2:$E$5,2,0)</f>
        <v>1</v>
      </c>
      <c r="S126" s="369" t="str">
        <f>Tabela5[[#This Row],[TAG]]&amp;"-"&amp;Tabela5[[#This Row],[COD_Test]]</f>
        <v>TR09B-M002-1</v>
      </c>
      <c r="T126" s="21" t="s">
        <v>1505</v>
      </c>
      <c r="U126" s="368" t="str">
        <f>VLOOKUP(Tabela5[[#This Row],[TAG]],BD!A:J,10,0)</f>
        <v>7HV</v>
      </c>
      <c r="V126" s="370" t="str">
        <f>VLOOKUP(Tabela5[[#This Row],[TAG]],BD!A:E,5,0)</f>
        <v>2x3x1/C#150</v>
      </c>
      <c r="W126" s="368">
        <v>6</v>
      </c>
      <c r="X126" s="371">
        <f>VLOOKUP(Tabela5[[#This Row],[TAG]],$AE:$AK,7,0)</f>
        <v>1</v>
      </c>
      <c r="Y126" s="371" t="str">
        <f>VLOOKUP(Tabela5[[#This Row],[TAG]],BD!A:P,14,0)</f>
        <v>---</v>
      </c>
      <c r="Z126" s="371" t="str">
        <f>VLOOKUP(Tabela5[[#This Row],[TAG]],BD!A:P,15,0)</f>
        <v>Sim</v>
      </c>
      <c r="AA126" s="371" t="str">
        <f>VLOOKUP(Tabela5[[#This Row],[TAG]],BD!A:P,16,0)</f>
        <v>Sim</v>
      </c>
      <c r="AB126" s="371"/>
      <c r="AD126" s="391">
        <v>125</v>
      </c>
      <c r="AE126" s="391" t="s">
        <v>430</v>
      </c>
      <c r="AF126" s="391" t="s">
        <v>92</v>
      </c>
      <c r="AG126" s="391">
        <v>3</v>
      </c>
      <c r="AH126" s="32">
        <v>44249</v>
      </c>
      <c r="AI126" s="391">
        <f>VLOOKUP(Tabela7[[#This Row],[TAG]],BD!$A:$V,19,0)</f>
        <v>6</v>
      </c>
      <c r="AJ126" s="23" t="str">
        <f>VLOOKUP(Tabela7[[#This Row],[TAG]],BD!A:J,10,0)</f>
        <v>7HV</v>
      </c>
      <c r="AK126" s="28">
        <f>SUMIF(AE:AE,Tabela7[[#This Row],[TAG]],AG:AG)/Tabela7[[#This Row],[Qtde Lig]]</f>
        <v>1</v>
      </c>
    </row>
    <row r="127" spans="1:37" x14ac:dyDescent="0.25">
      <c r="A127" s="391">
        <v>126</v>
      </c>
      <c r="B127" s="7" t="s">
        <v>625</v>
      </c>
      <c r="C127" s="391">
        <v>136</v>
      </c>
      <c r="D127" s="32">
        <v>44179</v>
      </c>
      <c r="E127" s="32" t="str">
        <f>VLOOKUP(Tabela2[[#This Row],[Tag]],BD!$A:$B,2,0)</f>
        <v>Controle</v>
      </c>
      <c r="F127" s="32" t="str">
        <f>VLOOKUP(Tabela2[[#This Row],[Tag]],BD!A:J,10,0)</f>
        <v>30LV</v>
      </c>
      <c r="G127" s="31" t="str">
        <f>VLOOKUP(Tabela2[[#This Row],[Tag]],BD!$A:$V,20,0)</f>
        <v>BK-SP54-01200-LC-80-00004_00000</v>
      </c>
      <c r="H127" s="32" t="str">
        <f>IF(VLOOKUP(Tabela2[[#This Row],[Tag]],BD!A:T,17,0)=0,"",VLOOKUP(Tabela2[[#This Row],[Tag]],BD!A:T,17,0))</f>
        <v>4.4.1</v>
      </c>
      <c r="I127" s="139">
        <v>44166</v>
      </c>
      <c r="J127" s="155">
        <f>VLOOKUP(Tabela2[[#This Row],[Tag]],BD!$A:$AE,30,0)</f>
        <v>136</v>
      </c>
      <c r="K127" s="29">
        <f>SUMIF(B:B,Tabela2[[#This Row],[Tag]],C:C)/Tabela2[[#This Row],[Comprim. Real]]</f>
        <v>1</v>
      </c>
      <c r="L127" s="29" t="str">
        <f>VLOOKUP(Tabela2[[#This Row],[Tag]],BD!A:AF,32,0)</f>
        <v>7HVx30LV</v>
      </c>
      <c r="N127" s="368">
        <v>126</v>
      </c>
      <c r="O127" s="368" t="s">
        <v>555</v>
      </c>
      <c r="P127" s="368" t="s">
        <v>18</v>
      </c>
      <c r="Q127" s="372">
        <v>44277</v>
      </c>
      <c r="R127" s="369">
        <f>VLOOKUP(Tabela5[[#This Row],[Teste]],Referências!$D$2:$E$5,2,0)</f>
        <v>3</v>
      </c>
      <c r="S127" s="369" t="str">
        <f>Tabela5[[#This Row],[TAG]]&amp;"-"&amp;Tabela5[[#This Row],[COD_Test]]</f>
        <v>TR09B-M002-3</v>
      </c>
      <c r="T127" s="21" t="s">
        <v>1505</v>
      </c>
      <c r="U127" s="368" t="str">
        <f>VLOOKUP(Tabela5[[#This Row],[TAG]],BD!A:J,10,0)</f>
        <v>7HV</v>
      </c>
      <c r="V127" s="370" t="str">
        <f>VLOOKUP(Tabela5[[#This Row],[TAG]],BD!A:E,5,0)</f>
        <v>2x3x1/C#150</v>
      </c>
      <c r="W127" s="368">
        <v>6</v>
      </c>
      <c r="X127" s="371">
        <f>VLOOKUP(Tabela5[[#This Row],[TAG]],$AE:$AK,7,0)</f>
        <v>1</v>
      </c>
      <c r="Y127" s="371" t="str">
        <f>VLOOKUP(Tabela5[[#This Row],[TAG]],BD!A:P,14,0)</f>
        <v>---</v>
      </c>
      <c r="Z127" s="371" t="str">
        <f>VLOOKUP(Tabela5[[#This Row],[TAG]],BD!A:P,15,0)</f>
        <v>Sim</v>
      </c>
      <c r="AA127" s="371" t="str">
        <f>VLOOKUP(Tabela5[[#This Row],[TAG]],BD!A:P,16,0)</f>
        <v>Sim</v>
      </c>
      <c r="AB127" s="371"/>
      <c r="AD127" s="391">
        <v>126</v>
      </c>
      <c r="AE127" s="391" t="s">
        <v>410</v>
      </c>
      <c r="AF127" s="391" t="s">
        <v>92</v>
      </c>
      <c r="AG127" s="391">
        <v>3</v>
      </c>
      <c r="AH127" s="32">
        <v>44249</v>
      </c>
      <c r="AI127" s="391">
        <f>VLOOKUP(Tabela7[[#This Row],[TAG]],BD!$A:$V,19,0)</f>
        <v>6</v>
      </c>
      <c r="AJ127" s="23" t="str">
        <f>VLOOKUP(Tabela7[[#This Row],[TAG]],BD!A:J,10,0)</f>
        <v>7HV</v>
      </c>
      <c r="AK127" s="28">
        <f>SUMIF(AE:AE,Tabela7[[#This Row],[TAG]],AG:AG)/Tabela7[[#This Row],[Qtde Lig]]</f>
        <v>1</v>
      </c>
    </row>
    <row r="128" spans="1:37" x14ac:dyDescent="0.25">
      <c r="A128" s="391">
        <v>127</v>
      </c>
      <c r="B128" s="7" t="s">
        <v>626</v>
      </c>
      <c r="C128" s="391">
        <v>136</v>
      </c>
      <c r="D128" s="32">
        <v>44179</v>
      </c>
      <c r="E128" s="32" t="str">
        <f>VLOOKUP(Tabela2[[#This Row],[Tag]],BD!$A:$B,2,0)</f>
        <v>Controle</v>
      </c>
      <c r="F128" s="32" t="str">
        <f>VLOOKUP(Tabela2[[#This Row],[Tag]],BD!A:J,10,0)</f>
        <v>30LV</v>
      </c>
      <c r="G128" s="31" t="str">
        <f>VLOOKUP(Tabela2[[#This Row],[Tag]],BD!$A:$V,20,0)</f>
        <v>BK-SP54-01200-LC-80-00004_00000</v>
      </c>
      <c r="H128" s="32" t="str">
        <f>IF(VLOOKUP(Tabela2[[#This Row],[Tag]],BD!A:T,17,0)=0,"",VLOOKUP(Tabela2[[#This Row],[Tag]],BD!A:T,17,0))</f>
        <v>4.4.1</v>
      </c>
      <c r="I128" s="139">
        <v>44166</v>
      </c>
      <c r="J128" s="155">
        <f>VLOOKUP(Tabela2[[#This Row],[Tag]],BD!$A:$AE,30,0)</f>
        <v>136</v>
      </c>
      <c r="K128" s="29">
        <f>SUMIF(B:B,Tabela2[[#This Row],[Tag]],C:C)/Tabela2[[#This Row],[Comprim. Real]]</f>
        <v>1</v>
      </c>
      <c r="L128" s="29" t="str">
        <f>VLOOKUP(Tabela2[[#This Row],[Tag]],BD!A:AF,32,0)</f>
        <v>7HVx30LV</v>
      </c>
      <c r="AD128" s="391">
        <v>127</v>
      </c>
      <c r="AE128" s="391" t="s">
        <v>417</v>
      </c>
      <c r="AF128" s="391" t="s">
        <v>92</v>
      </c>
      <c r="AG128" s="391">
        <v>3</v>
      </c>
      <c r="AH128" s="32">
        <v>44249</v>
      </c>
      <c r="AI128" s="391">
        <f>VLOOKUP(Tabela7[[#This Row],[TAG]],BD!$A:$V,19,0)</f>
        <v>6</v>
      </c>
      <c r="AJ128" s="23" t="str">
        <f>VLOOKUP(Tabela7[[#This Row],[TAG]],BD!A:J,10,0)</f>
        <v>7HV</v>
      </c>
      <c r="AK128" s="28">
        <f>SUMIF(AE:AE,Tabela7[[#This Row],[TAG]],AG:AG)/Tabela7[[#This Row],[Qtde Lig]]</f>
        <v>1</v>
      </c>
    </row>
    <row r="129" spans="1:37" x14ac:dyDescent="0.25">
      <c r="A129" s="391">
        <v>128</v>
      </c>
      <c r="B129" s="7" t="s">
        <v>631</v>
      </c>
      <c r="C129" s="391">
        <v>136</v>
      </c>
      <c r="D129" s="32">
        <v>44179</v>
      </c>
      <c r="E129" s="32" t="str">
        <f>VLOOKUP(Tabela2[[#This Row],[Tag]],BD!$A:$B,2,0)</f>
        <v>Controle</v>
      </c>
      <c r="F129" s="32" t="str">
        <f>VLOOKUP(Tabela2[[#This Row],[Tag]],BD!A:J,10,0)</f>
        <v>30LV</v>
      </c>
      <c r="G129" s="31" t="str">
        <f>VLOOKUP(Tabela2[[#This Row],[Tag]],BD!$A:$V,20,0)</f>
        <v>BK-SP54-01200-LC-80-00004_00000</v>
      </c>
      <c r="H129" s="32" t="str">
        <f>IF(VLOOKUP(Tabela2[[#This Row],[Tag]],BD!A:T,17,0)=0,"",VLOOKUP(Tabela2[[#This Row],[Tag]],BD!A:T,17,0))</f>
        <v>4.4.1</v>
      </c>
      <c r="I129" s="139">
        <v>44166</v>
      </c>
      <c r="J129" s="155">
        <f>VLOOKUP(Tabela2[[#This Row],[Tag]],BD!$A:$AE,30,0)</f>
        <v>136</v>
      </c>
      <c r="K129" s="29">
        <f>SUMIF(B:B,Tabela2[[#This Row],[Tag]],C:C)/Tabela2[[#This Row],[Comprim. Real]]</f>
        <v>1</v>
      </c>
      <c r="L129" s="29" t="str">
        <f>VLOOKUP(Tabela2[[#This Row],[Tag]],BD!A:AF,32,0)</f>
        <v>7HVx30LV</v>
      </c>
      <c r="AD129" s="391">
        <v>128</v>
      </c>
      <c r="AE129" s="391" t="s">
        <v>338</v>
      </c>
      <c r="AF129" s="391" t="s">
        <v>92</v>
      </c>
      <c r="AG129" s="391">
        <v>6</v>
      </c>
      <c r="AH129" s="32">
        <v>44249</v>
      </c>
      <c r="AI129" s="391">
        <f>VLOOKUP(Tabela7[[#This Row],[TAG]],BD!$A:$V,19,0)</f>
        <v>6</v>
      </c>
      <c r="AJ129" s="23" t="str">
        <f>VLOOKUP(Tabela7[[#This Row],[TAG]],BD!A:J,10,0)</f>
        <v>30LV</v>
      </c>
      <c r="AK129" s="28">
        <f>SUMIF(AE:AE,Tabela7[[#This Row],[TAG]],AG:AG)/Tabela7[[#This Row],[Qtde Lig]]</f>
        <v>1</v>
      </c>
    </row>
    <row r="130" spans="1:37" x14ac:dyDescent="0.25">
      <c r="A130" s="391">
        <v>129</v>
      </c>
      <c r="B130" s="7" t="s">
        <v>633</v>
      </c>
      <c r="C130" s="391">
        <v>136</v>
      </c>
      <c r="D130" s="32">
        <v>44179</v>
      </c>
      <c r="E130" s="32" t="str">
        <f>VLOOKUP(Tabela2[[#This Row],[Tag]],BD!$A:$B,2,0)</f>
        <v>Controle</v>
      </c>
      <c r="F130" s="32" t="str">
        <f>VLOOKUP(Tabela2[[#This Row],[Tag]],BD!A:J,10,0)</f>
        <v>30LV</v>
      </c>
      <c r="G130" s="31" t="str">
        <f>VLOOKUP(Tabela2[[#This Row],[Tag]],BD!$A:$V,20,0)</f>
        <v>BK-SP54-01200-LC-80-00004_00000</v>
      </c>
      <c r="H130" s="32" t="str">
        <f>IF(VLOOKUP(Tabela2[[#This Row],[Tag]],BD!A:T,17,0)=0,"",VLOOKUP(Tabela2[[#This Row],[Tag]],BD!A:T,17,0))</f>
        <v>4.6.1</v>
      </c>
      <c r="I130" s="139">
        <v>44166</v>
      </c>
      <c r="J130" s="155">
        <f>VLOOKUP(Tabela2[[#This Row],[Tag]],BD!$A:$AE,30,0)</f>
        <v>136</v>
      </c>
      <c r="K130" s="29">
        <f>SUMIF(B:B,Tabela2[[#This Row],[Tag]],C:C)/Tabela2[[#This Row],[Comprim. Real]]</f>
        <v>1</v>
      </c>
      <c r="L130" s="29" t="str">
        <f>VLOOKUP(Tabela2[[#This Row],[Tag]],BD!A:AF,32,0)</f>
        <v>7HVx30LV</v>
      </c>
      <c r="AD130" s="391">
        <v>129</v>
      </c>
      <c r="AE130" s="391" t="s">
        <v>344</v>
      </c>
      <c r="AF130" s="391" t="s">
        <v>92</v>
      </c>
      <c r="AG130" s="391">
        <v>6</v>
      </c>
      <c r="AH130" s="32">
        <v>44249</v>
      </c>
      <c r="AI130" s="391">
        <f>VLOOKUP(Tabela7[[#This Row],[TAG]],BD!$A:$V,19,0)</f>
        <v>6</v>
      </c>
      <c r="AJ130" s="23" t="str">
        <f>VLOOKUP(Tabela7[[#This Row],[TAG]],BD!A:J,10,0)</f>
        <v>30LV</v>
      </c>
      <c r="AK130" s="28">
        <f>SUMIF(AE:AE,Tabela7[[#This Row],[TAG]],AG:AG)/Tabela7[[#This Row],[Qtde Lig]]</f>
        <v>1</v>
      </c>
    </row>
    <row r="131" spans="1:37" x14ac:dyDescent="0.25">
      <c r="A131" s="391">
        <v>130</v>
      </c>
      <c r="B131" s="7" t="s">
        <v>636</v>
      </c>
      <c r="C131" s="391">
        <v>136</v>
      </c>
      <c r="D131" s="32">
        <v>44179</v>
      </c>
      <c r="E131" s="32" t="str">
        <f>VLOOKUP(Tabela2[[#This Row],[Tag]],BD!$A:$B,2,0)</f>
        <v>Controle</v>
      </c>
      <c r="F131" s="32" t="str">
        <f>VLOOKUP(Tabela2[[#This Row],[Tag]],BD!A:J,10,0)</f>
        <v>30LV</v>
      </c>
      <c r="G131" s="31" t="str">
        <f>VLOOKUP(Tabela2[[#This Row],[Tag]],BD!$A:$V,20,0)</f>
        <v>BK-SP54-01200-LC-80-00004_00000</v>
      </c>
      <c r="H131" s="32" t="str">
        <f>IF(VLOOKUP(Tabela2[[#This Row],[Tag]],BD!A:T,17,0)=0,"",VLOOKUP(Tabela2[[#This Row],[Tag]],BD!A:T,17,0))</f>
        <v>4.6.1</v>
      </c>
      <c r="I131" s="139">
        <v>44166</v>
      </c>
      <c r="J131" s="155">
        <f>VLOOKUP(Tabela2[[#This Row],[Tag]],BD!$A:$AE,30,0)</f>
        <v>136</v>
      </c>
      <c r="K131" s="29">
        <f>SUMIF(B:B,Tabela2[[#This Row],[Tag]],C:C)/Tabela2[[#This Row],[Comprim. Real]]</f>
        <v>1</v>
      </c>
      <c r="L131" s="29" t="str">
        <f>VLOOKUP(Tabela2[[#This Row],[Tag]],BD!A:AF,32,0)</f>
        <v>7HVx30LV</v>
      </c>
      <c r="AD131" s="391">
        <v>130</v>
      </c>
      <c r="AE131" s="391" t="s">
        <v>239</v>
      </c>
      <c r="AF131" s="391" t="s">
        <v>92</v>
      </c>
      <c r="AG131" s="391">
        <v>6</v>
      </c>
      <c r="AH131" s="32">
        <v>44257</v>
      </c>
      <c r="AI131" s="391">
        <f>VLOOKUP(Tabela7[[#This Row],[TAG]],BD!$A:$V,19,0)</f>
        <v>6</v>
      </c>
      <c r="AJ131" s="23" t="str">
        <f>VLOOKUP(Tabela7[[#This Row],[TAG]],BD!A:J,10,0)</f>
        <v>GA-906E</v>
      </c>
      <c r="AK131" s="28">
        <f>SUMIF(AE:AE,Tabela7[[#This Row],[TAG]],AG:AG)/Tabela7[[#This Row],[Qtde Lig]]</f>
        <v>1</v>
      </c>
    </row>
    <row r="132" spans="1:37" x14ac:dyDescent="0.25">
      <c r="A132" s="391">
        <v>131</v>
      </c>
      <c r="B132" s="7" t="s">
        <v>639</v>
      </c>
      <c r="C132" s="391">
        <v>136</v>
      </c>
      <c r="D132" s="32">
        <v>44179</v>
      </c>
      <c r="E132" s="32" t="str">
        <f>VLOOKUP(Tabela2[[#This Row],[Tag]],BD!$A:$B,2,0)</f>
        <v>Controle</v>
      </c>
      <c r="F132" s="32" t="str">
        <f>VLOOKUP(Tabela2[[#This Row],[Tag]],BD!A:J,10,0)</f>
        <v>30LV</v>
      </c>
      <c r="G132" s="31" t="str">
        <f>VLOOKUP(Tabela2[[#This Row],[Tag]],BD!$A:$V,20,0)</f>
        <v>BK-SP54-01200-LC-80-00004_00000</v>
      </c>
      <c r="H132" s="32" t="str">
        <f>IF(VLOOKUP(Tabela2[[#This Row],[Tag]],BD!A:T,17,0)=0,"",VLOOKUP(Tabela2[[#This Row],[Tag]],BD!A:T,17,0))</f>
        <v>4.6.1</v>
      </c>
      <c r="I132" s="139">
        <v>44166</v>
      </c>
      <c r="J132" s="155">
        <f>VLOOKUP(Tabela2[[#This Row],[Tag]],BD!$A:$AE,30,0)</f>
        <v>136</v>
      </c>
      <c r="K132" s="29">
        <f>SUMIF(B:B,Tabela2[[#This Row],[Tag]],C:C)/Tabela2[[#This Row],[Comprim. Real]]</f>
        <v>1</v>
      </c>
      <c r="L132" s="29" t="str">
        <f>VLOOKUP(Tabela2[[#This Row],[Tag]],BD!A:AF,32,0)</f>
        <v>7HVx30LV</v>
      </c>
      <c r="AD132" s="391">
        <v>131</v>
      </c>
      <c r="AE132" s="391" t="s">
        <v>818</v>
      </c>
      <c r="AF132" s="391" t="s">
        <v>92</v>
      </c>
      <c r="AG132" s="391">
        <v>6</v>
      </c>
      <c r="AH132" s="32">
        <v>44263</v>
      </c>
      <c r="AI132" s="391">
        <f>VLOOKUP(Tabela7[[#This Row],[TAG]],BD!$A:$V,19,0)</f>
        <v>8</v>
      </c>
      <c r="AJ132" s="23" t="str">
        <f>VLOOKUP(Tabela7[[#This Row],[TAG]],BD!A:J,10,0)</f>
        <v>8HV</v>
      </c>
      <c r="AK132" s="28">
        <f>SUMIF(AE:AE,Tabela7[[#This Row],[TAG]],AG:AG)/Tabela7[[#This Row],[Qtde Lig]]</f>
        <v>0.75</v>
      </c>
    </row>
    <row r="133" spans="1:37" x14ac:dyDescent="0.25">
      <c r="A133" s="391">
        <v>132</v>
      </c>
      <c r="B133" s="7" t="s">
        <v>641</v>
      </c>
      <c r="C133" s="391">
        <v>136</v>
      </c>
      <c r="D133" s="32">
        <v>44179</v>
      </c>
      <c r="E133" s="32" t="str">
        <f>VLOOKUP(Tabela2[[#This Row],[Tag]],BD!$A:$B,2,0)</f>
        <v>Controle</v>
      </c>
      <c r="F133" s="32" t="str">
        <f>VLOOKUP(Tabela2[[#This Row],[Tag]],BD!A:J,10,0)</f>
        <v>30LV</v>
      </c>
      <c r="G133" s="31" t="str">
        <f>VLOOKUP(Tabela2[[#This Row],[Tag]],BD!$A:$V,20,0)</f>
        <v>BK-SP54-01200-LC-80-00004_00000</v>
      </c>
      <c r="H133" s="32" t="str">
        <f>IF(VLOOKUP(Tabela2[[#This Row],[Tag]],BD!A:T,17,0)=0,"",VLOOKUP(Tabela2[[#This Row],[Tag]],BD!A:T,17,0))</f>
        <v>4.6.1</v>
      </c>
      <c r="I133" s="139">
        <v>44166</v>
      </c>
      <c r="J133" s="155">
        <f>VLOOKUP(Tabela2[[#This Row],[Tag]],BD!$A:$AE,30,0)</f>
        <v>136</v>
      </c>
      <c r="K133" s="29">
        <f>SUMIF(B:B,Tabela2[[#This Row],[Tag]],C:C)/Tabela2[[#This Row],[Comprim. Real]]</f>
        <v>1</v>
      </c>
      <c r="L133" s="29" t="str">
        <f>VLOOKUP(Tabela2[[#This Row],[Tag]],BD!A:AF,32,0)</f>
        <v>7HVx30LV</v>
      </c>
      <c r="AD133" s="391">
        <v>132</v>
      </c>
      <c r="AE133" s="391" t="s">
        <v>570</v>
      </c>
      <c r="AF133" s="391" t="s">
        <v>92</v>
      </c>
      <c r="AG133" s="391">
        <v>9</v>
      </c>
      <c r="AH133" s="32">
        <v>44273</v>
      </c>
      <c r="AI133" s="45">
        <f>VLOOKUP(Tabela7[[#This Row],[TAG]],BD!$A:$V,19,0)</f>
        <v>18</v>
      </c>
      <c r="AJ133" s="23" t="str">
        <f>VLOOKUP(Tabela7[[#This Row],[TAG]],BD!A:J,10,0)</f>
        <v>7HV</v>
      </c>
      <c r="AK133" s="28">
        <f>SUMIF(AE:AE,Tabela7[[#This Row],[TAG]],AG:AG)/Tabela7[[#This Row],[Qtde Lig]]</f>
        <v>1</v>
      </c>
    </row>
    <row r="134" spans="1:37" x14ac:dyDescent="0.25">
      <c r="A134" s="391">
        <v>133</v>
      </c>
      <c r="B134" s="7" t="s">
        <v>643</v>
      </c>
      <c r="C134" s="391">
        <v>136</v>
      </c>
      <c r="D134" s="32">
        <v>44179</v>
      </c>
      <c r="E134" s="32" t="str">
        <f>VLOOKUP(Tabela2[[#This Row],[Tag]],BD!$A:$B,2,0)</f>
        <v>Controle</v>
      </c>
      <c r="F134" s="32" t="str">
        <f>VLOOKUP(Tabela2[[#This Row],[Tag]],BD!A:J,10,0)</f>
        <v>30LV</v>
      </c>
      <c r="G134" s="31" t="str">
        <f>VLOOKUP(Tabela2[[#This Row],[Tag]],BD!$A:$V,20,0)</f>
        <v>BK-SP54-01200-LC-80-00004_00000</v>
      </c>
      <c r="H134" s="32" t="str">
        <f>IF(VLOOKUP(Tabela2[[#This Row],[Tag]],BD!A:T,17,0)=0,"",VLOOKUP(Tabela2[[#This Row],[Tag]],BD!A:T,17,0))</f>
        <v>4.6.1</v>
      </c>
      <c r="I134" s="139">
        <v>44166</v>
      </c>
      <c r="J134" s="155">
        <f>VLOOKUP(Tabela2[[#This Row],[Tag]],BD!$A:$AE,30,0)</f>
        <v>136</v>
      </c>
      <c r="K134" s="29">
        <f>SUMIF(B:B,Tabela2[[#This Row],[Tag]],C:C)/Tabela2[[#This Row],[Comprim. Real]]</f>
        <v>1</v>
      </c>
      <c r="L134" s="29" t="str">
        <f>VLOOKUP(Tabela2[[#This Row],[Tag]],BD!A:AF,32,0)</f>
        <v>7HVx30LV</v>
      </c>
      <c r="AD134" s="391">
        <v>133</v>
      </c>
      <c r="AE134" s="391" t="s">
        <v>571</v>
      </c>
      <c r="AF134" s="391" t="s">
        <v>92</v>
      </c>
      <c r="AG134" s="391">
        <v>9</v>
      </c>
      <c r="AH134" s="32">
        <v>44273</v>
      </c>
      <c r="AI134" s="45">
        <f>VLOOKUP(Tabela7[[#This Row],[TAG]],BD!$A:$V,19,0)</f>
        <v>18</v>
      </c>
      <c r="AJ134" s="23" t="str">
        <f>VLOOKUP(Tabela7[[#This Row],[TAG]],BD!A:J,10,0)</f>
        <v>7HV</v>
      </c>
      <c r="AK134" s="28">
        <f>SUMIF(AE:AE,Tabela7[[#This Row],[TAG]],AG:AG)/Tabela7[[#This Row],[Qtde Lig]]</f>
        <v>1</v>
      </c>
    </row>
    <row r="135" spans="1:37" x14ac:dyDescent="0.25">
      <c r="A135" s="391">
        <v>134</v>
      </c>
      <c r="B135" s="7" t="s">
        <v>645</v>
      </c>
      <c r="C135" s="391">
        <v>136</v>
      </c>
      <c r="D135" s="32">
        <v>44179</v>
      </c>
      <c r="E135" s="32" t="str">
        <f>VLOOKUP(Tabela2[[#This Row],[Tag]],BD!$A:$B,2,0)</f>
        <v>Controle</v>
      </c>
      <c r="F135" s="32" t="str">
        <f>VLOOKUP(Tabela2[[#This Row],[Tag]],BD!A:J,10,0)</f>
        <v>30LV</v>
      </c>
      <c r="G135" s="31" t="str">
        <f>VLOOKUP(Tabela2[[#This Row],[Tag]],BD!$A:$V,20,0)</f>
        <v>BK-SP54-01200-LC-80-00004_00000</v>
      </c>
      <c r="H135" s="32" t="str">
        <f>IF(VLOOKUP(Tabela2[[#This Row],[Tag]],BD!A:T,17,0)=0,"",VLOOKUP(Tabela2[[#This Row],[Tag]],BD!A:T,17,0))</f>
        <v>4.6.1</v>
      </c>
      <c r="I135" s="139">
        <v>44166</v>
      </c>
      <c r="J135" s="155">
        <f>VLOOKUP(Tabela2[[#This Row],[Tag]],BD!$A:$AE,30,0)</f>
        <v>136</v>
      </c>
      <c r="K135" s="29">
        <f>SUMIF(B:B,Tabela2[[#This Row],[Tag]],C:C)/Tabela2[[#This Row],[Comprim. Real]]</f>
        <v>1</v>
      </c>
      <c r="L135" s="29" t="str">
        <f>VLOOKUP(Tabela2[[#This Row],[Tag]],BD!A:AF,32,0)</f>
        <v>7HVx30LV</v>
      </c>
      <c r="AD135" s="391">
        <v>134</v>
      </c>
      <c r="AE135" s="391" t="s">
        <v>569</v>
      </c>
      <c r="AF135" s="391" t="s">
        <v>92</v>
      </c>
      <c r="AG135" s="391">
        <v>9</v>
      </c>
      <c r="AH135" s="32">
        <v>44273</v>
      </c>
      <c r="AI135" s="391">
        <f>VLOOKUP(Tabela7[[#This Row],[TAG]],BD!$A:$V,19,0)</f>
        <v>18</v>
      </c>
      <c r="AJ135" s="23" t="str">
        <f>VLOOKUP(Tabela7[[#This Row],[TAG]],BD!A:J,10,0)</f>
        <v>7HV</v>
      </c>
      <c r="AK135" s="28">
        <f>SUMIF(AE:AE,Tabela7[[#This Row],[TAG]],AG:AG)/Tabela7[[#This Row],[Qtde Lig]]</f>
        <v>1</v>
      </c>
    </row>
    <row r="136" spans="1:37" x14ac:dyDescent="0.25">
      <c r="A136" s="391">
        <v>135</v>
      </c>
      <c r="B136" s="7" t="s">
        <v>963</v>
      </c>
      <c r="C136" s="159">
        <v>9000</v>
      </c>
      <c r="D136" s="32">
        <v>44179</v>
      </c>
      <c r="E136" s="32" t="str">
        <f>VLOOKUP(Tabela2[[#This Row],[Tag]],BD!$A:$B,2,0)</f>
        <v>Força</v>
      </c>
      <c r="F136" s="32" t="str">
        <f>VLOOKUP(Tabela2[[#This Row],[Tag]],BD!A:J,10,0)</f>
        <v>8HV</v>
      </c>
      <c r="G136" s="31" t="str">
        <f>VLOOKUP(Tabela2[[#This Row],[Tag]],BD!$A:$V,20,0)</f>
        <v>BK-SP54-0900A-LC-74-00001_00000</v>
      </c>
      <c r="H136" s="32" t="str">
        <f>IF(VLOOKUP(Tabela2[[#This Row],[Tag]],BD!A:T,17,0)=0,"",VLOOKUP(Tabela2[[#This Row],[Tag]],BD!A:T,17,0))</f>
        <v>5.2.13</v>
      </c>
      <c r="I136" s="139">
        <v>44166</v>
      </c>
      <c r="J136" s="155">
        <f>VLOOKUP(Tabela2[[#This Row],[Tag]],BD!$A:$AE,30,0)</f>
        <v>9000</v>
      </c>
      <c r="K136" s="29">
        <f>SUMIF(B:B,Tabela2[[#This Row],[Tag]],C:C)/Tabela2[[#This Row],[Comprim. Real]]</f>
        <v>1</v>
      </c>
      <c r="L136" s="29" t="str">
        <f>VLOOKUP(Tabela2[[#This Row],[Tag]],BD!A:AF,32,0)</f>
        <v>8HVxCCP</v>
      </c>
      <c r="AD136" s="391">
        <v>135</v>
      </c>
      <c r="AE136" s="391" t="s">
        <v>566</v>
      </c>
      <c r="AF136" s="391" t="s">
        <v>92</v>
      </c>
      <c r="AG136" s="391">
        <v>9</v>
      </c>
      <c r="AH136" s="32">
        <v>44273</v>
      </c>
      <c r="AI136" s="391">
        <f>VLOOKUP(Tabela7[[#This Row],[TAG]],BD!$A:$V,19,0)</f>
        <v>18</v>
      </c>
      <c r="AJ136" s="23" t="str">
        <f>VLOOKUP(Tabela7[[#This Row],[TAG]],BD!A:J,10,0)</f>
        <v>7HV</v>
      </c>
      <c r="AK136" s="28">
        <f>SUMIF(AE:AE,Tabela7[[#This Row],[TAG]],AG:AG)/Tabela7[[#This Row],[Qtde Lig]]</f>
        <v>1</v>
      </c>
    </row>
    <row r="137" spans="1:37" x14ac:dyDescent="0.25">
      <c r="A137" s="391">
        <v>136</v>
      </c>
      <c r="B137" s="7" t="s">
        <v>379</v>
      </c>
      <c r="C137" s="391">
        <v>136</v>
      </c>
      <c r="D137" s="87">
        <v>44179</v>
      </c>
      <c r="E137" s="32" t="str">
        <f>VLOOKUP(Tabela2[[#This Row],[Tag]],BD!$A:$B,2,0)</f>
        <v>Controle</v>
      </c>
      <c r="F137" s="32" t="str">
        <f>VLOOKUP(Tabela2[[#This Row],[Tag]],BD!A:J,10,0)</f>
        <v>30LV</v>
      </c>
      <c r="G137" s="31" t="str">
        <f>VLOOKUP(Tabela2[[#This Row],[Tag]],BD!$A:$V,20,0)</f>
        <v>BK-SP54-01200-LC-80-00004_00000</v>
      </c>
      <c r="H137" s="32" t="str">
        <f>IF(VLOOKUP(Tabela2[[#This Row],[Tag]],BD!A:T,17,0)=0,"",VLOOKUP(Tabela2[[#This Row],[Tag]],BD!A:T,17,0))</f>
        <v>4.4.1</v>
      </c>
      <c r="I137" s="139">
        <v>44166</v>
      </c>
      <c r="J137" s="155">
        <f>VLOOKUP(Tabela2[[#This Row],[Tag]],BD!$A:$AE,30,0)</f>
        <v>136</v>
      </c>
      <c r="K137" s="29">
        <f>SUMIF(B:B,Tabela2[[#This Row],[Tag]],C:C)/Tabela2[[#This Row],[Comprim. Real]]</f>
        <v>1</v>
      </c>
      <c r="L137" s="29" t="str">
        <f>VLOOKUP(Tabela2[[#This Row],[Tag]],BD!A:AF,32,0)</f>
        <v>30LVxGB-1203</v>
      </c>
      <c r="AD137" s="361">
        <v>136</v>
      </c>
      <c r="AE137" s="361" t="s">
        <v>550</v>
      </c>
      <c r="AF137" s="391" t="s">
        <v>92</v>
      </c>
      <c r="AG137" s="361">
        <v>6</v>
      </c>
      <c r="AH137" s="363">
        <v>44277</v>
      </c>
      <c r="AI137" s="361">
        <f>VLOOKUP(Tabela7[[#This Row],[TAG]],BD!$A:$V,19,0)</f>
        <v>12</v>
      </c>
      <c r="AJ137" s="373" t="str">
        <f>VLOOKUP(Tabela7[[#This Row],[TAG]],BD!A:J,10,0)</f>
        <v>7HV</v>
      </c>
      <c r="AK137" s="374">
        <f>SUMIF(AE:AE,Tabela7[[#This Row],[TAG]],AG:AG)/Tabela7[[#This Row],[Qtde Lig]]</f>
        <v>1</v>
      </c>
    </row>
    <row r="138" spans="1:37" x14ac:dyDescent="0.25">
      <c r="A138" s="391">
        <v>137</v>
      </c>
      <c r="B138" s="7" t="s">
        <v>604</v>
      </c>
      <c r="C138" s="391">
        <v>136</v>
      </c>
      <c r="D138" s="87">
        <v>44179</v>
      </c>
      <c r="E138" s="32" t="str">
        <f>VLOOKUP(Tabela2[[#This Row],[Tag]],BD!$A:$B,2,0)</f>
        <v>Controle</v>
      </c>
      <c r="F138" s="32" t="str">
        <f>VLOOKUP(Tabela2[[#This Row],[Tag]],BD!A:J,10,0)</f>
        <v>30LV</v>
      </c>
      <c r="G138" s="31" t="str">
        <f>VLOOKUP(Tabela2[[#This Row],[Tag]],BD!$A:$V,20,0)</f>
        <v>BK-SP54-01200-LC-80-00004_00000</v>
      </c>
      <c r="H138" s="32" t="str">
        <f>IF(VLOOKUP(Tabela2[[#This Row],[Tag]],BD!A:T,17,0)=0,"",VLOOKUP(Tabela2[[#This Row],[Tag]],BD!A:T,17,0))</f>
        <v>4.6.1</v>
      </c>
      <c r="I138" s="139">
        <v>44166</v>
      </c>
      <c r="J138" s="155">
        <f>VLOOKUP(Tabela2[[#This Row],[Tag]],BD!$A:$AE,30,0)</f>
        <v>136</v>
      </c>
      <c r="K138" s="29">
        <f>SUMIF(B:B,Tabela2[[#This Row],[Tag]],C:C)/Tabela2[[#This Row],[Comprim. Real]]</f>
        <v>1</v>
      </c>
      <c r="L138" s="29" t="str">
        <f>VLOOKUP(Tabela2[[#This Row],[Tag]],BD!A:AF,32,0)</f>
        <v>7HVx30LV</v>
      </c>
      <c r="AD138" s="361">
        <v>137</v>
      </c>
      <c r="AE138" s="361" t="s">
        <v>553</v>
      </c>
      <c r="AF138" s="391" t="s">
        <v>92</v>
      </c>
      <c r="AG138" s="361">
        <v>6</v>
      </c>
      <c r="AH138" s="363">
        <v>44277</v>
      </c>
      <c r="AI138" s="361">
        <f>VLOOKUP(Tabela7[[#This Row],[TAG]],BD!$A:$V,19,0)</f>
        <v>12</v>
      </c>
      <c r="AJ138" s="373" t="str">
        <f>VLOOKUP(Tabela7[[#This Row],[TAG]],BD!A:J,10,0)</f>
        <v>7HV</v>
      </c>
      <c r="AK138" s="374">
        <f>SUMIF(AE:AE,Tabela7[[#This Row],[TAG]],AG:AG)/Tabela7[[#This Row],[Qtde Lig]]</f>
        <v>1</v>
      </c>
    </row>
    <row r="139" spans="1:37" x14ac:dyDescent="0.25">
      <c r="A139" s="391">
        <v>138</v>
      </c>
      <c r="B139" s="7" t="s">
        <v>606</v>
      </c>
      <c r="C139" s="391">
        <v>136</v>
      </c>
      <c r="D139" s="87">
        <v>44179</v>
      </c>
      <c r="E139" s="32" t="str">
        <f>VLOOKUP(Tabela2[[#This Row],[Tag]],BD!$A:$B,2,0)</f>
        <v>Controle</v>
      </c>
      <c r="F139" s="32" t="str">
        <f>VLOOKUP(Tabela2[[#This Row],[Tag]],BD!A:J,10,0)</f>
        <v>30LV</v>
      </c>
      <c r="G139" s="31" t="str">
        <f>VLOOKUP(Tabela2[[#This Row],[Tag]],BD!$A:$V,20,0)</f>
        <v>BK-SP54-01200-LC-80-00004_00000</v>
      </c>
      <c r="H139" s="32" t="str">
        <f>IF(VLOOKUP(Tabela2[[#This Row],[Tag]],BD!A:T,17,0)=0,"",VLOOKUP(Tabela2[[#This Row],[Tag]],BD!A:T,17,0))</f>
        <v>4.6.1</v>
      </c>
      <c r="I139" s="139">
        <v>44166</v>
      </c>
      <c r="J139" s="155">
        <f>VLOOKUP(Tabela2[[#This Row],[Tag]],BD!$A:$AE,30,0)</f>
        <v>136</v>
      </c>
      <c r="K139" s="29">
        <f>SUMIF(B:B,Tabela2[[#This Row],[Tag]],C:C)/Tabela2[[#This Row],[Comprim. Real]]</f>
        <v>1</v>
      </c>
      <c r="L139" s="29" t="str">
        <f>VLOOKUP(Tabela2[[#This Row],[Tag]],BD!A:AF,32,0)</f>
        <v>7HVx30LV</v>
      </c>
      <c r="AD139" s="361">
        <v>138</v>
      </c>
      <c r="AE139" s="361" t="s">
        <v>554</v>
      </c>
      <c r="AF139" s="391" t="s">
        <v>92</v>
      </c>
      <c r="AG139" s="361">
        <v>6</v>
      </c>
      <c r="AH139" s="363">
        <v>44277</v>
      </c>
      <c r="AI139" s="361">
        <f>VLOOKUP(Tabela7[[#This Row],[TAG]],BD!$A:$V,19,0)</f>
        <v>12</v>
      </c>
      <c r="AJ139" s="373" t="str">
        <f>VLOOKUP(Tabela7[[#This Row],[TAG]],BD!A:J,10,0)</f>
        <v>7HV</v>
      </c>
      <c r="AK139" s="374">
        <f>SUMIF(AE:AE,Tabela7[[#This Row],[TAG]],AG:AG)/Tabela7[[#This Row],[Qtde Lig]]</f>
        <v>1</v>
      </c>
    </row>
    <row r="140" spans="1:37" x14ac:dyDescent="0.25">
      <c r="A140" s="391">
        <v>139</v>
      </c>
      <c r="B140" s="7" t="s">
        <v>607</v>
      </c>
      <c r="C140" s="391">
        <v>136</v>
      </c>
      <c r="D140" s="87">
        <v>44179</v>
      </c>
      <c r="E140" s="32" t="str">
        <f>VLOOKUP(Tabela2[[#This Row],[Tag]],BD!$A:$B,2,0)</f>
        <v>Controle</v>
      </c>
      <c r="F140" s="32" t="str">
        <f>VLOOKUP(Tabela2[[#This Row],[Tag]],BD!A:J,10,0)</f>
        <v>30LV</v>
      </c>
      <c r="G140" s="31" t="str">
        <f>VLOOKUP(Tabela2[[#This Row],[Tag]],BD!$A:$V,20,0)</f>
        <v>BK-SP54-01200-LC-80-00004_00000</v>
      </c>
      <c r="H140" s="32" t="str">
        <f>IF(VLOOKUP(Tabela2[[#This Row],[Tag]],BD!A:T,17,0)=0,"",VLOOKUP(Tabela2[[#This Row],[Tag]],BD!A:T,17,0))</f>
        <v>4.4.1</v>
      </c>
      <c r="I140" s="139">
        <v>44166</v>
      </c>
      <c r="J140" s="155">
        <f>VLOOKUP(Tabela2[[#This Row],[Tag]],BD!$A:$AE,30,0)</f>
        <v>136</v>
      </c>
      <c r="K140" s="29">
        <f>SUMIF(B:B,Tabela2[[#This Row],[Tag]],C:C)/Tabela2[[#This Row],[Comprim. Real]]</f>
        <v>1</v>
      </c>
      <c r="L140" s="29" t="str">
        <f>VLOOKUP(Tabela2[[#This Row],[Tag]],BD!A:AF,32,0)</f>
        <v>7HVx30LV</v>
      </c>
      <c r="AD140" s="361">
        <v>139</v>
      </c>
      <c r="AE140" s="361" t="s">
        <v>555</v>
      </c>
      <c r="AF140" s="391" t="s">
        <v>92</v>
      </c>
      <c r="AG140" s="361">
        <v>6</v>
      </c>
      <c r="AH140" s="363">
        <v>44277</v>
      </c>
      <c r="AI140" s="361">
        <f>VLOOKUP(Tabela7[[#This Row],[TAG]],BD!$A:$V,19,0)</f>
        <v>12</v>
      </c>
      <c r="AJ140" s="373" t="str">
        <f>VLOOKUP(Tabela7[[#This Row],[TAG]],BD!A:J,10,0)</f>
        <v>7HV</v>
      </c>
      <c r="AK140" s="374">
        <f>SUMIF(AE:AE,Tabela7[[#This Row],[TAG]],AG:AG)/Tabela7[[#This Row],[Qtde Lig]]</f>
        <v>1</v>
      </c>
    </row>
    <row r="141" spans="1:37" x14ac:dyDescent="0.25">
      <c r="A141" s="391">
        <v>140</v>
      </c>
      <c r="B141" s="7" t="s">
        <v>621</v>
      </c>
      <c r="C141" s="391">
        <v>136</v>
      </c>
      <c r="D141" s="87">
        <v>44179</v>
      </c>
      <c r="E141" s="32" t="str">
        <f>VLOOKUP(Tabela2[[#This Row],[Tag]],BD!$A:$B,2,0)</f>
        <v>Controle</v>
      </c>
      <c r="F141" s="32" t="str">
        <f>VLOOKUP(Tabela2[[#This Row],[Tag]],BD!A:J,10,0)</f>
        <v>30LV</v>
      </c>
      <c r="G141" s="31" t="str">
        <f>VLOOKUP(Tabela2[[#This Row],[Tag]],BD!$A:$V,20,0)</f>
        <v>BK-SP54-01200-LC-80-00004_00000</v>
      </c>
      <c r="H141" s="32" t="str">
        <f>IF(VLOOKUP(Tabela2[[#This Row],[Tag]],BD!A:T,17,0)=0,"",VLOOKUP(Tabela2[[#This Row],[Tag]],BD!A:T,17,0))</f>
        <v>4.4.1</v>
      </c>
      <c r="I141" s="139">
        <v>44166</v>
      </c>
      <c r="J141" s="155">
        <f>VLOOKUP(Tabela2[[#This Row],[Tag]],BD!$A:$AE,30,0)</f>
        <v>136</v>
      </c>
      <c r="K141" s="29">
        <f>SUMIF(B:B,Tabela2[[#This Row],[Tag]],C:C)/Tabela2[[#This Row],[Comprim. Real]]</f>
        <v>1</v>
      </c>
      <c r="L141" s="29" t="str">
        <f>VLOOKUP(Tabela2[[#This Row],[Tag]],BD!A:AF,32,0)</f>
        <v>7HVx30LV</v>
      </c>
      <c r="AD141" s="361">
        <v>140</v>
      </c>
      <c r="AE141" s="392" t="s">
        <v>954</v>
      </c>
      <c r="AF141" s="392" t="s">
        <v>92</v>
      </c>
      <c r="AG141" s="361">
        <v>4</v>
      </c>
      <c r="AH141" s="363">
        <v>44280</v>
      </c>
      <c r="AI141" s="361">
        <f>VLOOKUP(Tabela7[[#This Row],[TAG]],BD!$A:$V,19,0)</f>
        <v>8</v>
      </c>
      <c r="AJ141" s="373" t="str">
        <f>VLOOKUP(Tabela7[[#This Row],[TAG]],BD!A:J,10,0)</f>
        <v>FIBRA</v>
      </c>
      <c r="AK141" s="374">
        <f>SUMIF(AE:AE,Tabela7[[#This Row],[TAG]],AG:AG)/Tabela7[[#This Row],[Qtde Lig]]</f>
        <v>0.5</v>
      </c>
    </row>
    <row r="142" spans="1:37" x14ac:dyDescent="0.25">
      <c r="A142" s="391">
        <v>141</v>
      </c>
      <c r="B142" s="7" t="s">
        <v>627</v>
      </c>
      <c r="C142" s="391">
        <v>136</v>
      </c>
      <c r="D142" s="87">
        <v>44179</v>
      </c>
      <c r="E142" s="32" t="str">
        <f>VLOOKUP(Tabela2[[#This Row],[Tag]],BD!$A:$B,2,0)</f>
        <v>Controle</v>
      </c>
      <c r="F142" s="32" t="str">
        <f>VLOOKUP(Tabela2[[#This Row],[Tag]],BD!A:J,10,0)</f>
        <v>30LV</v>
      </c>
      <c r="G142" s="31" t="str">
        <f>VLOOKUP(Tabela2[[#This Row],[Tag]],BD!$A:$V,20,0)</f>
        <v>BK-SP54-01200-LC-80-00004_00000</v>
      </c>
      <c r="H142" s="32" t="str">
        <f>IF(VLOOKUP(Tabela2[[#This Row],[Tag]],BD!A:T,17,0)=0,"",VLOOKUP(Tabela2[[#This Row],[Tag]],BD!A:T,17,0))</f>
        <v>4.6.1</v>
      </c>
      <c r="I142" s="139">
        <v>44166</v>
      </c>
      <c r="J142" s="155">
        <f>VLOOKUP(Tabela2[[#This Row],[Tag]],BD!$A:$AE,30,0)</f>
        <v>136</v>
      </c>
      <c r="K142" s="29">
        <f>SUMIF(B:B,Tabela2[[#This Row],[Tag]],C:C)/Tabela2[[#This Row],[Comprim. Real]]</f>
        <v>1</v>
      </c>
      <c r="L142" s="29" t="str">
        <f>VLOOKUP(Tabela2[[#This Row],[Tag]],BD!A:AF,32,0)</f>
        <v>7HVx30LV</v>
      </c>
      <c r="AD142" s="361">
        <v>141</v>
      </c>
      <c r="AE142" s="361" t="s">
        <v>949</v>
      </c>
      <c r="AF142" s="392" t="s">
        <v>92</v>
      </c>
      <c r="AG142" s="361">
        <v>4</v>
      </c>
      <c r="AH142" s="363">
        <v>44280</v>
      </c>
      <c r="AI142" s="361">
        <f>VLOOKUP(Tabela7[[#This Row],[TAG]],BD!$A:$V,19,0)</f>
        <v>8</v>
      </c>
      <c r="AJ142" s="373" t="str">
        <f>VLOOKUP(Tabela7[[#This Row],[TAG]],BD!A:J,10,0)</f>
        <v>FIBRA</v>
      </c>
      <c r="AK142" s="374">
        <f>SUMIF(AE:AE,Tabela7[[#This Row],[TAG]],AG:AG)/Tabela7[[#This Row],[Qtde Lig]]</f>
        <v>0.5</v>
      </c>
    </row>
    <row r="143" spans="1:37" x14ac:dyDescent="0.25">
      <c r="A143" s="391">
        <v>142</v>
      </c>
      <c r="B143" s="7" t="s">
        <v>629</v>
      </c>
      <c r="C143" s="391">
        <v>136</v>
      </c>
      <c r="D143" s="87">
        <v>44179</v>
      </c>
      <c r="E143" s="32" t="str">
        <f>VLOOKUP(Tabela2[[#This Row],[Tag]],BD!$A:$B,2,0)</f>
        <v>Controle</v>
      </c>
      <c r="F143" s="32" t="str">
        <f>VLOOKUP(Tabela2[[#This Row],[Tag]],BD!A:J,10,0)</f>
        <v>30LV</v>
      </c>
      <c r="G143" s="31" t="str">
        <f>VLOOKUP(Tabela2[[#This Row],[Tag]],BD!$A:$V,20,0)</f>
        <v>BK-SP54-01200-LC-80-00004_00000</v>
      </c>
      <c r="H143" s="32" t="str">
        <f>IF(VLOOKUP(Tabela2[[#This Row],[Tag]],BD!A:T,17,0)=0,"",VLOOKUP(Tabela2[[#This Row],[Tag]],BD!A:T,17,0))</f>
        <v>4.6.1</v>
      </c>
      <c r="I143" s="139">
        <v>44166</v>
      </c>
      <c r="J143" s="155">
        <f>VLOOKUP(Tabela2[[#This Row],[Tag]],BD!$A:$AE,30,0)</f>
        <v>136</v>
      </c>
      <c r="K143" s="29">
        <f>SUMIF(B:B,Tabela2[[#This Row],[Tag]],C:C)/Tabela2[[#This Row],[Comprim. Real]]</f>
        <v>1</v>
      </c>
      <c r="L143" s="29" t="str">
        <f>VLOOKUP(Tabela2[[#This Row],[Tag]],BD!A:AF,32,0)</f>
        <v>7HVx30LV</v>
      </c>
      <c r="AD143" s="361">
        <v>142</v>
      </c>
      <c r="AE143" s="361" t="s">
        <v>915</v>
      </c>
      <c r="AF143" s="392" t="s">
        <v>92</v>
      </c>
      <c r="AG143" s="361">
        <v>8</v>
      </c>
      <c r="AH143" s="363">
        <v>44280</v>
      </c>
      <c r="AI143" s="361">
        <f>VLOOKUP(Tabela7[[#This Row],[TAG]],BD!$A:$V,19,0)</f>
        <v>8</v>
      </c>
      <c r="AJ143" s="373" t="str">
        <f>VLOOKUP(Tabela7[[#This Row],[TAG]],BD!A:J,10,0)</f>
        <v>FIBRA</v>
      </c>
      <c r="AK143" s="374">
        <f>SUMIF(AE:AE,Tabela7[[#This Row],[TAG]],AG:AG)/Tabela7[[#This Row],[Qtde Lig]]</f>
        <v>1</v>
      </c>
    </row>
    <row r="144" spans="1:37" x14ac:dyDescent="0.25">
      <c r="A144" s="391">
        <v>143</v>
      </c>
      <c r="B144" s="7" t="s">
        <v>635</v>
      </c>
      <c r="C144" s="391">
        <v>136</v>
      </c>
      <c r="D144" s="87">
        <v>44179</v>
      </c>
      <c r="E144" s="32" t="str">
        <f>VLOOKUP(Tabela2[[#This Row],[Tag]],BD!$A:$B,2,0)</f>
        <v>Controle</v>
      </c>
      <c r="F144" s="32" t="str">
        <f>VLOOKUP(Tabela2[[#This Row],[Tag]],BD!A:J,10,0)</f>
        <v>30LV</v>
      </c>
      <c r="G144" s="31" t="str">
        <f>VLOOKUP(Tabela2[[#This Row],[Tag]],BD!$A:$V,20,0)</f>
        <v>BK-SP54-01200-LC-80-00004_00000</v>
      </c>
      <c r="H144" s="32" t="str">
        <f>IF(VLOOKUP(Tabela2[[#This Row],[Tag]],BD!A:T,17,0)=0,"",VLOOKUP(Tabela2[[#This Row],[Tag]],BD!A:T,17,0))</f>
        <v>4.6.1</v>
      </c>
      <c r="I144" s="139">
        <v>44166</v>
      </c>
      <c r="J144" s="155">
        <f>VLOOKUP(Tabela2[[#This Row],[Tag]],BD!$A:$AE,30,0)</f>
        <v>136</v>
      </c>
      <c r="K144" s="29">
        <f>SUMIF(B:B,Tabela2[[#This Row],[Tag]],C:C)/Tabela2[[#This Row],[Comprim. Real]]</f>
        <v>1</v>
      </c>
      <c r="L144" s="29" t="str">
        <f>VLOOKUP(Tabela2[[#This Row],[Tag]],BD!A:AF,32,0)</f>
        <v>7HVx30LV</v>
      </c>
      <c r="AD144" s="361">
        <v>143</v>
      </c>
      <c r="AE144" s="361" t="s">
        <v>587</v>
      </c>
      <c r="AF144" s="392" t="s">
        <v>92</v>
      </c>
      <c r="AG144" s="361">
        <v>8</v>
      </c>
      <c r="AH144" s="363">
        <v>44280</v>
      </c>
      <c r="AI144" s="361">
        <f>VLOOKUP(Tabela7[[#This Row],[TAG]],BD!$A:$V,19,0)</f>
        <v>8</v>
      </c>
      <c r="AJ144" s="373" t="str">
        <f>VLOOKUP(Tabela7[[#This Row],[TAG]],BD!A:J,10,0)</f>
        <v>FIBRA</v>
      </c>
      <c r="AK144" s="374">
        <f>SUMIF(AE:AE,Tabela7[[#This Row],[TAG]],AG:AG)/Tabela7[[#This Row],[Qtde Lig]]</f>
        <v>1</v>
      </c>
    </row>
    <row r="145" spans="1:37" x14ac:dyDescent="0.25">
      <c r="A145" s="391">
        <v>144</v>
      </c>
      <c r="B145" s="7" t="s">
        <v>637</v>
      </c>
      <c r="C145" s="391">
        <v>136</v>
      </c>
      <c r="D145" s="87">
        <v>44179</v>
      </c>
      <c r="E145" s="32" t="str">
        <f>VLOOKUP(Tabela2[[#This Row],[Tag]],BD!$A:$B,2,0)</f>
        <v>Controle</v>
      </c>
      <c r="F145" s="32" t="str">
        <f>VLOOKUP(Tabela2[[#This Row],[Tag]],BD!A:J,10,0)</f>
        <v>30LV</v>
      </c>
      <c r="G145" s="31" t="str">
        <f>VLOOKUP(Tabela2[[#This Row],[Tag]],BD!$A:$V,20,0)</f>
        <v>BK-SP54-01200-LC-80-00004_00000</v>
      </c>
      <c r="H145" s="32" t="str">
        <f>IF(VLOOKUP(Tabela2[[#This Row],[Tag]],BD!A:T,17,0)=0,"",VLOOKUP(Tabela2[[#This Row],[Tag]],BD!A:T,17,0))</f>
        <v>4.6.1</v>
      </c>
      <c r="I145" s="139">
        <v>44166</v>
      </c>
      <c r="J145" s="155">
        <f>VLOOKUP(Tabela2[[#This Row],[Tag]],BD!$A:$AE,30,0)</f>
        <v>136</v>
      </c>
      <c r="K145" s="29">
        <f>SUMIF(B:B,Tabela2[[#This Row],[Tag]],C:C)/Tabela2[[#This Row],[Comprim. Real]]</f>
        <v>1</v>
      </c>
      <c r="L145" s="29" t="str">
        <f>VLOOKUP(Tabela2[[#This Row],[Tag]],BD!A:AF,32,0)</f>
        <v>7HVx30LV</v>
      </c>
      <c r="AD145" s="361">
        <v>144</v>
      </c>
      <c r="AE145" s="361" t="s">
        <v>797</v>
      </c>
      <c r="AF145" s="392" t="s">
        <v>92</v>
      </c>
      <c r="AG145" s="361">
        <v>8</v>
      </c>
      <c r="AH145" s="363">
        <v>44280</v>
      </c>
      <c r="AI145" s="361">
        <f>VLOOKUP(Tabela7[[#This Row],[TAG]],BD!$A:$V,19,0)</f>
        <v>8</v>
      </c>
      <c r="AJ145" s="373" t="str">
        <f>VLOOKUP(Tabela7[[#This Row],[TAG]],BD!A:J,10,0)</f>
        <v>FIBRA</v>
      </c>
      <c r="AK145" s="374">
        <f>SUMIF(AE:AE,Tabela7[[#This Row],[TAG]],AG:AG)/Tabela7[[#This Row],[Qtde Lig]]</f>
        <v>1</v>
      </c>
    </row>
    <row r="146" spans="1:37" x14ac:dyDescent="0.25">
      <c r="A146" s="391">
        <v>145</v>
      </c>
      <c r="B146" s="7" t="s">
        <v>638</v>
      </c>
      <c r="C146" s="391">
        <v>136</v>
      </c>
      <c r="D146" s="87">
        <v>44179</v>
      </c>
      <c r="E146" s="32" t="str">
        <f>VLOOKUP(Tabela2[[#This Row],[Tag]],BD!$A:$B,2,0)</f>
        <v>Controle</v>
      </c>
      <c r="F146" s="32" t="str">
        <f>VLOOKUP(Tabela2[[#This Row],[Tag]],BD!A:J,10,0)</f>
        <v>30LV</v>
      </c>
      <c r="G146" s="31" t="str">
        <f>VLOOKUP(Tabela2[[#This Row],[Tag]],BD!$A:$V,20,0)</f>
        <v>BK-SP54-01200-LC-80-00004_00000</v>
      </c>
      <c r="H146" s="32" t="str">
        <f>IF(VLOOKUP(Tabela2[[#This Row],[Tag]],BD!A:T,17,0)=0,"",VLOOKUP(Tabela2[[#This Row],[Tag]],BD!A:T,17,0))</f>
        <v>4.6.1</v>
      </c>
      <c r="I146" s="139">
        <v>44166</v>
      </c>
      <c r="J146" s="155">
        <f>VLOOKUP(Tabela2[[#This Row],[Tag]],BD!$A:$AE,30,0)</f>
        <v>136</v>
      </c>
      <c r="K146" s="29">
        <f>SUMIF(B:B,Tabela2[[#This Row],[Tag]],C:C)/Tabela2[[#This Row],[Comprim. Real]]</f>
        <v>1</v>
      </c>
      <c r="L146" s="29" t="str">
        <f>VLOOKUP(Tabela2[[#This Row],[Tag]],BD!A:AF,32,0)</f>
        <v>7HVx30LV</v>
      </c>
      <c r="AD146" s="361">
        <v>145</v>
      </c>
      <c r="AE146" s="361" t="s">
        <v>939</v>
      </c>
      <c r="AF146" s="392" t="s">
        <v>92</v>
      </c>
      <c r="AG146" s="361">
        <v>4</v>
      </c>
      <c r="AH146" s="361"/>
      <c r="AI146" s="361">
        <f>VLOOKUP(Tabela7[[#This Row],[TAG]],BD!$A:$V,19,0)</f>
        <v>8</v>
      </c>
      <c r="AJ146" s="373" t="str">
        <f>VLOOKUP(Tabela7[[#This Row],[TAG]],BD!A:J,10,0)</f>
        <v>FIBRA</v>
      </c>
      <c r="AK146" s="374">
        <f>SUMIF(AE:AE,Tabela7[[#This Row],[TAG]],AG:AG)/Tabela7[[#This Row],[Qtde Lig]]</f>
        <v>0.5</v>
      </c>
    </row>
    <row r="147" spans="1:37" x14ac:dyDescent="0.25">
      <c r="A147" s="391">
        <v>146</v>
      </c>
      <c r="B147" s="7" t="s">
        <v>640</v>
      </c>
      <c r="C147" s="391">
        <v>136</v>
      </c>
      <c r="D147" s="87">
        <v>44179</v>
      </c>
      <c r="E147" s="32" t="str">
        <f>VLOOKUP(Tabela2[[#This Row],[Tag]],BD!$A:$B,2,0)</f>
        <v>Controle</v>
      </c>
      <c r="F147" s="32" t="str">
        <f>VLOOKUP(Tabela2[[#This Row],[Tag]],BD!A:J,10,0)</f>
        <v>30LV</v>
      </c>
      <c r="G147" s="31" t="str">
        <f>VLOOKUP(Tabela2[[#This Row],[Tag]],BD!$A:$V,20,0)</f>
        <v>BK-SP54-01200-LC-80-00004_00000</v>
      </c>
      <c r="H147" s="32" t="str">
        <f>IF(VLOOKUP(Tabela2[[#This Row],[Tag]],BD!A:T,17,0)=0,"",VLOOKUP(Tabela2[[#This Row],[Tag]],BD!A:T,17,0))</f>
        <v>4.6.1</v>
      </c>
      <c r="I147" s="139">
        <v>44166</v>
      </c>
      <c r="J147" s="155">
        <f>VLOOKUP(Tabela2[[#This Row],[Tag]],BD!$A:$AE,30,0)</f>
        <v>136</v>
      </c>
      <c r="K147" s="29">
        <f>SUMIF(B:B,Tabela2[[#This Row],[Tag]],C:C)/Tabela2[[#This Row],[Comprim. Real]]</f>
        <v>1</v>
      </c>
      <c r="L147" s="29" t="str">
        <f>VLOOKUP(Tabela2[[#This Row],[Tag]],BD!A:AF,32,0)</f>
        <v>7HVx30LV</v>
      </c>
    </row>
    <row r="148" spans="1:37" x14ac:dyDescent="0.25">
      <c r="A148" s="391">
        <v>147</v>
      </c>
      <c r="B148" s="7" t="s">
        <v>642</v>
      </c>
      <c r="C148" s="391">
        <v>136</v>
      </c>
      <c r="D148" s="87">
        <v>44179</v>
      </c>
      <c r="E148" s="32" t="str">
        <f>VLOOKUP(Tabela2[[#This Row],[Tag]],BD!$A:$B,2,0)</f>
        <v>Controle</v>
      </c>
      <c r="F148" s="32" t="str">
        <f>VLOOKUP(Tabela2[[#This Row],[Tag]],BD!A:J,10,0)</f>
        <v>30LV</v>
      </c>
      <c r="G148" s="31" t="str">
        <f>VLOOKUP(Tabela2[[#This Row],[Tag]],BD!$A:$V,20,0)</f>
        <v>BK-SP54-01200-LC-80-00004_00000</v>
      </c>
      <c r="H148" s="32" t="str">
        <f>IF(VLOOKUP(Tabela2[[#This Row],[Tag]],BD!A:T,17,0)=0,"",VLOOKUP(Tabela2[[#This Row],[Tag]],BD!A:T,17,0))</f>
        <v>4.6.1</v>
      </c>
      <c r="I148" s="139">
        <v>44166</v>
      </c>
      <c r="J148" s="155">
        <f>VLOOKUP(Tabela2[[#This Row],[Tag]],BD!$A:$AE,30,0)</f>
        <v>136</v>
      </c>
      <c r="K148" s="29">
        <f>SUMIF(B:B,Tabela2[[#This Row],[Tag]],C:C)/Tabela2[[#This Row],[Comprim. Real]]</f>
        <v>1</v>
      </c>
      <c r="L148" s="29" t="str">
        <f>VLOOKUP(Tabela2[[#This Row],[Tag]],BD!A:AF,32,0)</f>
        <v>7HVx30LV</v>
      </c>
    </row>
    <row r="149" spans="1:37" x14ac:dyDescent="0.25">
      <c r="A149" s="391">
        <v>148</v>
      </c>
      <c r="B149" s="7" t="s">
        <v>644</v>
      </c>
      <c r="C149" s="391">
        <v>136</v>
      </c>
      <c r="D149" s="87">
        <v>44179</v>
      </c>
      <c r="E149" s="32" t="str">
        <f>VLOOKUP(Tabela2[[#This Row],[Tag]],BD!$A:$B,2,0)</f>
        <v>Controle</v>
      </c>
      <c r="F149" s="32" t="str">
        <f>VLOOKUP(Tabela2[[#This Row],[Tag]],BD!A:J,10,0)</f>
        <v>30LV</v>
      </c>
      <c r="G149" s="31" t="str">
        <f>VLOOKUP(Tabela2[[#This Row],[Tag]],BD!$A:$V,20,0)</f>
        <v>BK-SP54-01200-LC-80-00004_00000</v>
      </c>
      <c r="H149" s="32" t="str">
        <f>IF(VLOOKUP(Tabela2[[#This Row],[Tag]],BD!A:T,17,0)=0,"",VLOOKUP(Tabela2[[#This Row],[Tag]],BD!A:T,17,0))</f>
        <v>4.6.1</v>
      </c>
      <c r="I149" s="139">
        <v>44166</v>
      </c>
      <c r="J149" s="155">
        <f>VLOOKUP(Tabela2[[#This Row],[Tag]],BD!$A:$AE,30,0)</f>
        <v>136</v>
      </c>
      <c r="K149" s="29">
        <f>SUMIF(B:B,Tabela2[[#This Row],[Tag]],C:C)/Tabela2[[#This Row],[Comprim. Real]]</f>
        <v>1</v>
      </c>
      <c r="L149" s="29" t="str">
        <f>VLOOKUP(Tabela2[[#This Row],[Tag]],BD!A:AF,32,0)</f>
        <v>7HVx30LV</v>
      </c>
    </row>
    <row r="150" spans="1:37" x14ac:dyDescent="0.25">
      <c r="A150" s="391">
        <v>149</v>
      </c>
      <c r="B150" s="7" t="s">
        <v>346</v>
      </c>
      <c r="C150" s="391">
        <v>120</v>
      </c>
      <c r="D150" s="32">
        <v>44182</v>
      </c>
      <c r="E150" s="32" t="str">
        <f>VLOOKUP(Tabela2[[#This Row],[Tag]],BD!$A:$B,2,0)</f>
        <v>Controle</v>
      </c>
      <c r="F150" s="32" t="str">
        <f>VLOOKUP(Tabela2[[#This Row],[Tag]],BD!A:J,10,0)</f>
        <v>30LV</v>
      </c>
      <c r="G150" s="31" t="str">
        <f>VLOOKUP(Tabela2[[#This Row],[Tag]],BD!$A:$V,20,0)</f>
        <v>BK-SP54-01200-LC-80-00004_00000</v>
      </c>
      <c r="H150" s="32" t="str">
        <f>IF(VLOOKUP(Tabela2[[#This Row],[Tag]],BD!A:T,17,0)=0,"",VLOOKUP(Tabela2[[#This Row],[Tag]],BD!A:T,17,0))</f>
        <v>4.6.1</v>
      </c>
      <c r="I150" s="139">
        <v>44166</v>
      </c>
      <c r="J150" s="155">
        <f>VLOOKUP(Tabela2[[#This Row],[Tag]],BD!$A:$AE,30,0)</f>
        <v>120</v>
      </c>
      <c r="K150" s="29">
        <f>SUMIF(B:B,Tabela2[[#This Row],[Tag]],C:C)/Tabela2[[#This Row],[Comprim. Real]]</f>
        <v>1</v>
      </c>
      <c r="L150" s="29" t="str">
        <f>VLOOKUP(Tabela2[[#This Row],[Tag]],BD!A:AF,32,0)</f>
        <v>30LVxGB-1201</v>
      </c>
    </row>
    <row r="151" spans="1:37" x14ac:dyDescent="0.25">
      <c r="A151" s="391">
        <v>150</v>
      </c>
      <c r="B151" s="7" t="s">
        <v>354</v>
      </c>
      <c r="C151" s="391">
        <v>120</v>
      </c>
      <c r="D151" s="32">
        <v>44182</v>
      </c>
      <c r="E151" s="32" t="str">
        <f>VLOOKUP(Tabela2[[#This Row],[Tag]],BD!$A:$B,2,0)</f>
        <v>Controle</v>
      </c>
      <c r="F151" s="32" t="str">
        <f>VLOOKUP(Tabela2[[#This Row],[Tag]],BD!A:J,10,0)</f>
        <v>30LV</v>
      </c>
      <c r="G151" s="31" t="str">
        <f>VLOOKUP(Tabela2[[#This Row],[Tag]],BD!$A:$V,20,0)</f>
        <v>BK-SP54-01200-LC-80-00004_00000</v>
      </c>
      <c r="H151" s="32" t="str">
        <f>IF(VLOOKUP(Tabela2[[#This Row],[Tag]],BD!A:T,17,0)=0,"",VLOOKUP(Tabela2[[#This Row],[Tag]],BD!A:T,17,0))</f>
        <v>4.6.1</v>
      </c>
      <c r="I151" s="139">
        <v>44166</v>
      </c>
      <c r="J151" s="155">
        <f>VLOOKUP(Tabela2[[#This Row],[Tag]],BD!$A:$AE,30,0)</f>
        <v>120</v>
      </c>
      <c r="K151" s="29">
        <f>SUMIF(B:B,Tabela2[[#This Row],[Tag]],C:C)/Tabela2[[#This Row],[Comprim. Real]]</f>
        <v>1</v>
      </c>
      <c r="L151" s="29" t="str">
        <f>VLOOKUP(Tabela2[[#This Row],[Tag]],BD!A:AF,32,0)</f>
        <v>30LVxGB-1201</v>
      </c>
    </row>
    <row r="152" spans="1:37" x14ac:dyDescent="0.25">
      <c r="A152" s="391">
        <v>151</v>
      </c>
      <c r="B152" s="7" t="s">
        <v>365</v>
      </c>
      <c r="C152" s="391">
        <v>120</v>
      </c>
      <c r="D152" s="32">
        <v>44182</v>
      </c>
      <c r="E152" s="32" t="str">
        <f>VLOOKUP(Tabela2[[#This Row],[Tag]],BD!$A:$B,2,0)</f>
        <v>Controle</v>
      </c>
      <c r="F152" s="32" t="str">
        <f>VLOOKUP(Tabela2[[#This Row],[Tag]],BD!A:J,10,0)</f>
        <v>30LV</v>
      </c>
      <c r="G152" s="31" t="str">
        <f>VLOOKUP(Tabela2[[#This Row],[Tag]],BD!$A:$V,20,0)</f>
        <v>BK-SP54-01200-LC-80-00004_00000</v>
      </c>
      <c r="H152" s="32" t="str">
        <f>IF(VLOOKUP(Tabela2[[#This Row],[Tag]],BD!A:T,17,0)=0,"",VLOOKUP(Tabela2[[#This Row],[Tag]],BD!A:T,17,0))</f>
        <v>4.4.1</v>
      </c>
      <c r="I152" s="139">
        <v>44166</v>
      </c>
      <c r="J152" s="155">
        <f>VLOOKUP(Tabela2[[#This Row],[Tag]],BD!$A:$AE,30,0)</f>
        <v>120</v>
      </c>
      <c r="K152" s="29">
        <f>SUMIF(B:B,Tabela2[[#This Row],[Tag]],C:C)/Tabela2[[#This Row],[Comprim. Real]]</f>
        <v>1</v>
      </c>
      <c r="L152" s="29" t="str">
        <f>VLOOKUP(Tabela2[[#This Row],[Tag]],BD!A:AF,32,0)</f>
        <v>30LVxGB-1201</v>
      </c>
    </row>
    <row r="153" spans="1:37" x14ac:dyDescent="0.25">
      <c r="A153" s="391">
        <v>152</v>
      </c>
      <c r="B153" s="7" t="s">
        <v>368</v>
      </c>
      <c r="C153" s="391">
        <v>120</v>
      </c>
      <c r="D153" s="32">
        <v>44182</v>
      </c>
      <c r="E153" s="32" t="str">
        <f>VLOOKUP(Tabela2[[#This Row],[Tag]],BD!$A:$B,2,0)</f>
        <v>Controle</v>
      </c>
      <c r="F153" s="32" t="str">
        <f>VLOOKUP(Tabela2[[#This Row],[Tag]],BD!A:J,10,0)</f>
        <v>30LV</v>
      </c>
      <c r="G153" s="31" t="str">
        <f>VLOOKUP(Tabela2[[#This Row],[Tag]],BD!$A:$V,20,0)</f>
        <v>BK-SP54-01200-LC-80-00004_00000</v>
      </c>
      <c r="H153" s="32" t="str">
        <f>IF(VLOOKUP(Tabela2[[#This Row],[Tag]],BD!A:T,17,0)=0,"",VLOOKUP(Tabela2[[#This Row],[Tag]],BD!A:T,17,0))</f>
        <v>4.4.1</v>
      </c>
      <c r="I153" s="139">
        <v>44166</v>
      </c>
      <c r="J153" s="155">
        <f>VLOOKUP(Tabela2[[#This Row],[Tag]],BD!$A:$AE,30,0)</f>
        <v>120</v>
      </c>
      <c r="K153" s="29">
        <f>SUMIF(B:B,Tabela2[[#This Row],[Tag]],C:C)/Tabela2[[#This Row],[Comprim. Real]]</f>
        <v>1</v>
      </c>
      <c r="L153" s="29" t="str">
        <f>VLOOKUP(Tabela2[[#This Row],[Tag]],BD!A:AF,32,0)</f>
        <v>30LVxGB-1201</v>
      </c>
    </row>
    <row r="154" spans="1:37" x14ac:dyDescent="0.25">
      <c r="A154" s="391">
        <v>153</v>
      </c>
      <c r="B154" s="7" t="s">
        <v>370</v>
      </c>
      <c r="C154" s="391">
        <v>110</v>
      </c>
      <c r="D154" s="32">
        <v>44182</v>
      </c>
      <c r="E154" s="32" t="str">
        <f>VLOOKUP(Tabela2[[#This Row],[Tag]],BD!$A:$B,2,0)</f>
        <v>Controle</v>
      </c>
      <c r="F154" s="32" t="str">
        <f>VLOOKUP(Tabela2[[#This Row],[Tag]],BD!A:J,10,0)</f>
        <v>30LV</v>
      </c>
      <c r="G154" s="31" t="str">
        <f>VLOOKUP(Tabela2[[#This Row],[Tag]],BD!$A:$V,20,0)</f>
        <v>BK-SP54-01200-LC-80-00004_00000</v>
      </c>
      <c r="H154" s="32" t="str">
        <f>IF(VLOOKUP(Tabela2[[#This Row],[Tag]],BD!A:T,17,0)=0,"",VLOOKUP(Tabela2[[#This Row],[Tag]],BD!A:T,17,0))</f>
        <v>4.6.1</v>
      </c>
      <c r="I154" s="139">
        <v>44166</v>
      </c>
      <c r="J154" s="155">
        <f>VLOOKUP(Tabela2[[#This Row],[Tag]],BD!$A:$AE,30,0)</f>
        <v>110</v>
      </c>
      <c r="K154" s="29">
        <f>SUMIF(B:B,Tabela2[[#This Row],[Tag]],C:C)/Tabela2[[#This Row],[Comprim. Real]]</f>
        <v>1</v>
      </c>
      <c r="L154" s="29" t="str">
        <f>VLOOKUP(Tabela2[[#This Row],[Tag]],BD!A:AF,32,0)</f>
        <v>30LVxGB-1203</v>
      </c>
    </row>
    <row r="155" spans="1:37" x14ac:dyDescent="0.25">
      <c r="A155" s="391">
        <v>154</v>
      </c>
      <c r="B155" s="7" t="s">
        <v>376</v>
      </c>
      <c r="C155" s="391">
        <v>110</v>
      </c>
      <c r="D155" s="32">
        <v>44182</v>
      </c>
      <c r="E155" s="32" t="str">
        <f>VLOOKUP(Tabela2[[#This Row],[Tag]],BD!$A:$B,2,0)</f>
        <v>Controle</v>
      </c>
      <c r="F155" s="32" t="str">
        <f>VLOOKUP(Tabela2[[#This Row],[Tag]],BD!A:J,10,0)</f>
        <v>30LV</v>
      </c>
      <c r="G155" s="31" t="str">
        <f>VLOOKUP(Tabela2[[#This Row],[Tag]],BD!$A:$V,20,0)</f>
        <v>BK-SP54-01200-LC-80-00004_00000</v>
      </c>
      <c r="H155" s="32" t="str">
        <f>IF(VLOOKUP(Tabela2[[#This Row],[Tag]],BD!A:T,17,0)=0,"",VLOOKUP(Tabela2[[#This Row],[Tag]],BD!A:T,17,0))</f>
        <v>4.6.1</v>
      </c>
      <c r="I155" s="139">
        <v>44166</v>
      </c>
      <c r="J155" s="155">
        <f>VLOOKUP(Tabela2[[#This Row],[Tag]],BD!$A:$AE,30,0)</f>
        <v>110</v>
      </c>
      <c r="K155" s="29">
        <f>SUMIF(B:B,Tabela2[[#This Row],[Tag]],C:C)/Tabela2[[#This Row],[Comprim. Real]]</f>
        <v>1</v>
      </c>
      <c r="L155" s="29" t="str">
        <f>VLOOKUP(Tabela2[[#This Row],[Tag]],BD!A:AF,32,0)</f>
        <v>30LVxGB-1203</v>
      </c>
    </row>
    <row r="156" spans="1:37" x14ac:dyDescent="0.25">
      <c r="A156" s="391">
        <v>155</v>
      </c>
      <c r="B156" s="7" t="s">
        <v>385</v>
      </c>
      <c r="C156" s="391">
        <v>110</v>
      </c>
      <c r="D156" s="32">
        <v>44182</v>
      </c>
      <c r="E156" s="32" t="str">
        <f>VLOOKUP(Tabela2[[#This Row],[Tag]],BD!$A:$B,2,0)</f>
        <v>Controle</v>
      </c>
      <c r="F156" s="32" t="str">
        <f>VLOOKUP(Tabela2[[#This Row],[Tag]],BD!A:J,10,0)</f>
        <v>30LV</v>
      </c>
      <c r="G156" s="31" t="str">
        <f>VLOOKUP(Tabela2[[#This Row],[Tag]],BD!$A:$V,20,0)</f>
        <v>BK-SP54-01200-LC-80-00004_00000</v>
      </c>
      <c r="H156" s="32" t="str">
        <f>IF(VLOOKUP(Tabela2[[#This Row],[Tag]],BD!A:T,17,0)=0,"",VLOOKUP(Tabela2[[#This Row],[Tag]],BD!A:T,17,0))</f>
        <v>4.6.1</v>
      </c>
      <c r="I156" s="139">
        <v>44166</v>
      </c>
      <c r="J156" s="155">
        <f>VLOOKUP(Tabela2[[#This Row],[Tag]],BD!$A:$AE,30,0)</f>
        <v>110</v>
      </c>
      <c r="K156" s="29">
        <f>SUMIF(B:B,Tabela2[[#This Row],[Tag]],C:C)/Tabela2[[#This Row],[Comprim. Real]]</f>
        <v>1</v>
      </c>
      <c r="L156" s="29" t="str">
        <f>VLOOKUP(Tabela2[[#This Row],[Tag]],BD!A:AF,32,0)</f>
        <v>30LVxGB-1203</v>
      </c>
    </row>
    <row r="157" spans="1:37" x14ac:dyDescent="0.25">
      <c r="A157" s="391">
        <v>156</v>
      </c>
      <c r="B157" s="7" t="s">
        <v>388</v>
      </c>
      <c r="C157" s="391">
        <v>110</v>
      </c>
      <c r="D157" s="32">
        <v>44182</v>
      </c>
      <c r="E157" s="32" t="str">
        <f>VLOOKUP(Tabela2[[#This Row],[Tag]],BD!$A:$B,2,0)</f>
        <v>Controle</v>
      </c>
      <c r="F157" s="32" t="str">
        <f>VLOOKUP(Tabela2[[#This Row],[Tag]],BD!A:J,10,0)</f>
        <v>30LV</v>
      </c>
      <c r="G157" s="31" t="str">
        <f>VLOOKUP(Tabela2[[#This Row],[Tag]],BD!$A:$V,20,0)</f>
        <v>BK-SP54-01200-LC-80-00004_00000</v>
      </c>
      <c r="H157" s="32" t="str">
        <f>IF(VLOOKUP(Tabela2[[#This Row],[Tag]],BD!A:T,17,0)=0,"",VLOOKUP(Tabela2[[#This Row],[Tag]],BD!A:T,17,0))</f>
        <v>4.4.1</v>
      </c>
      <c r="I157" s="139">
        <v>44166</v>
      </c>
      <c r="J157" s="155">
        <f>VLOOKUP(Tabela2[[#This Row],[Tag]],BD!$A:$AE,30,0)</f>
        <v>110</v>
      </c>
      <c r="K157" s="29">
        <f>SUMIF(B:B,Tabela2[[#This Row],[Tag]],C:C)/Tabela2[[#This Row],[Comprim. Real]]</f>
        <v>1</v>
      </c>
      <c r="L157" s="29" t="str">
        <f>VLOOKUP(Tabela2[[#This Row],[Tag]],BD!A:AF,32,0)</f>
        <v>30LVxGB-1203</v>
      </c>
    </row>
    <row r="158" spans="1:37" x14ac:dyDescent="0.25">
      <c r="A158" s="391">
        <v>157</v>
      </c>
      <c r="B158" s="7" t="s">
        <v>391</v>
      </c>
      <c r="C158" s="391">
        <v>110</v>
      </c>
      <c r="D158" s="32">
        <v>44182</v>
      </c>
      <c r="E158" s="32" t="str">
        <f>VLOOKUP(Tabela2[[#This Row],[Tag]],BD!$A:$B,2,0)</f>
        <v>Controle</v>
      </c>
      <c r="F158" s="32" t="str">
        <f>VLOOKUP(Tabela2[[#This Row],[Tag]],BD!A:J,10,0)</f>
        <v>30LV</v>
      </c>
      <c r="G158" s="31" t="str">
        <f>VLOOKUP(Tabela2[[#This Row],[Tag]],BD!$A:$V,20,0)</f>
        <v>BK-SP54-01200-LC-80-00004_00000</v>
      </c>
      <c r="H158" s="32" t="str">
        <f>IF(VLOOKUP(Tabela2[[#This Row],[Tag]],BD!A:T,17,0)=0,"",VLOOKUP(Tabela2[[#This Row],[Tag]],BD!A:T,17,0))</f>
        <v>4.6.1</v>
      </c>
      <c r="I158" s="139">
        <v>44166</v>
      </c>
      <c r="J158" s="155">
        <f>VLOOKUP(Tabela2[[#This Row],[Tag]],BD!$A:$AE,30,0)</f>
        <v>110</v>
      </c>
      <c r="K158" s="29">
        <f>SUMIF(B:B,Tabela2[[#This Row],[Tag]],C:C)/Tabela2[[#This Row],[Comprim. Real]]</f>
        <v>1</v>
      </c>
      <c r="L158" s="29" t="str">
        <f>VLOOKUP(Tabela2[[#This Row],[Tag]],BD!A:AF,32,0)</f>
        <v>30LVxGB-1203</v>
      </c>
    </row>
    <row r="159" spans="1:37" x14ac:dyDescent="0.25">
      <c r="A159" s="391">
        <v>158</v>
      </c>
      <c r="B159" s="7" t="s">
        <v>394</v>
      </c>
      <c r="C159" s="391">
        <v>110</v>
      </c>
      <c r="D159" s="32">
        <v>44182</v>
      </c>
      <c r="E159" s="32" t="str">
        <f>VLOOKUP(Tabela2[[#This Row],[Tag]],BD!$A:$B,2,0)</f>
        <v>Controle</v>
      </c>
      <c r="F159" s="32" t="str">
        <f>VLOOKUP(Tabela2[[#This Row],[Tag]],BD!A:J,10,0)</f>
        <v>30LV</v>
      </c>
      <c r="G159" s="31" t="str">
        <f>VLOOKUP(Tabela2[[#This Row],[Tag]],BD!$A:$V,20,0)</f>
        <v>BK-SP54-01200-LC-80-00004_00000</v>
      </c>
      <c r="H159" s="32" t="str">
        <f>IF(VLOOKUP(Tabela2[[#This Row],[Tag]],BD!A:T,17,0)=0,"",VLOOKUP(Tabela2[[#This Row],[Tag]],BD!A:T,17,0))</f>
        <v>4.6.1</v>
      </c>
      <c r="I159" s="139">
        <v>44166</v>
      </c>
      <c r="J159" s="155">
        <f>VLOOKUP(Tabela2[[#This Row],[Tag]],BD!$A:$AE,30,0)</f>
        <v>110</v>
      </c>
      <c r="K159" s="29">
        <f>SUMIF(B:B,Tabela2[[#This Row],[Tag]],C:C)/Tabela2[[#This Row],[Comprim. Real]]</f>
        <v>1</v>
      </c>
      <c r="L159" s="29" t="str">
        <f>VLOOKUP(Tabela2[[#This Row],[Tag]],BD!A:AF,32,0)</f>
        <v>30LVxGB-1203</v>
      </c>
    </row>
    <row r="160" spans="1:37" x14ac:dyDescent="0.25">
      <c r="A160" s="391">
        <v>159</v>
      </c>
      <c r="B160" s="7" t="s">
        <v>398</v>
      </c>
      <c r="C160" s="391">
        <v>110</v>
      </c>
      <c r="D160" s="32">
        <v>44182</v>
      </c>
      <c r="E160" s="32" t="str">
        <f>VLOOKUP(Tabela2[[#This Row],[Tag]],BD!$A:$B,2,0)</f>
        <v>Controle</v>
      </c>
      <c r="F160" s="32" t="str">
        <f>VLOOKUP(Tabela2[[#This Row],[Tag]],BD!A:J,10,0)</f>
        <v>30LV</v>
      </c>
      <c r="G160" s="31" t="str">
        <f>VLOOKUP(Tabela2[[#This Row],[Tag]],BD!$A:$V,20,0)</f>
        <v>BK-SP54-01200-LC-80-00004_00000</v>
      </c>
      <c r="H160" s="32" t="str">
        <f>IF(VLOOKUP(Tabela2[[#This Row],[Tag]],BD!A:T,17,0)=0,"",VLOOKUP(Tabela2[[#This Row],[Tag]],BD!A:T,17,0))</f>
        <v>4.6.1</v>
      </c>
      <c r="I160" s="139">
        <v>44166</v>
      </c>
      <c r="J160" s="155">
        <f>VLOOKUP(Tabela2[[#This Row],[Tag]],BD!$A:$AE,30,0)</f>
        <v>110</v>
      </c>
      <c r="K160" s="29">
        <f>SUMIF(B:B,Tabela2[[#This Row],[Tag]],C:C)/Tabela2[[#This Row],[Comprim. Real]]</f>
        <v>1</v>
      </c>
      <c r="L160" s="29" t="str">
        <f>VLOOKUP(Tabela2[[#This Row],[Tag]],BD!A:AF,32,0)</f>
        <v>30LVxGB-1203</v>
      </c>
    </row>
    <row r="161" spans="1:12" x14ac:dyDescent="0.25">
      <c r="A161" s="391">
        <v>160</v>
      </c>
      <c r="B161" s="7" t="s">
        <v>357</v>
      </c>
      <c r="C161" s="391">
        <v>110</v>
      </c>
      <c r="D161" s="32">
        <v>44182</v>
      </c>
      <c r="E161" s="32" t="str">
        <f>VLOOKUP(Tabela2[[#This Row],[Tag]],BD!$A:$B,2,0)</f>
        <v>Controle</v>
      </c>
      <c r="F161" s="32" t="str">
        <f>VLOOKUP(Tabela2[[#This Row],[Tag]],BD!A:J,10,0)</f>
        <v>30LV</v>
      </c>
      <c r="G161" s="31" t="str">
        <f>VLOOKUP(Tabela2[[#This Row],[Tag]],BD!$A:$V,20,0)</f>
        <v>BK-SP54-01200-LC-80-00004_00000</v>
      </c>
      <c r="H161" s="32" t="str">
        <f>IF(VLOOKUP(Tabela2[[#This Row],[Tag]],BD!A:T,17,0)=0,"",VLOOKUP(Tabela2[[#This Row],[Tag]],BD!A:T,17,0))</f>
        <v>4.4.1</v>
      </c>
      <c r="I161" s="139">
        <v>44166</v>
      </c>
      <c r="J161" s="155">
        <f>VLOOKUP(Tabela2[[#This Row],[Tag]],BD!$A:$AE,30,0)</f>
        <v>110</v>
      </c>
      <c r="K161" s="29">
        <f>SUMIF(B:B,Tabela2[[#This Row],[Tag]],C:C)/Tabela2[[#This Row],[Comprim. Real]]</f>
        <v>1</v>
      </c>
      <c r="L161" s="29" t="str">
        <f>VLOOKUP(Tabela2[[#This Row],[Tag]],BD!A:AF,32,0)</f>
        <v>30LVxGB-1201</v>
      </c>
    </row>
    <row r="162" spans="1:12" x14ac:dyDescent="0.25">
      <c r="A162" s="391">
        <v>161</v>
      </c>
      <c r="B162" s="7" t="s">
        <v>618</v>
      </c>
      <c r="C162" s="391">
        <v>136</v>
      </c>
      <c r="D162" s="32">
        <v>44182</v>
      </c>
      <c r="E162" s="32" t="str">
        <f>VLOOKUP(Tabela2[[#This Row],[Tag]],BD!$A:$B,2,0)</f>
        <v>Controle</v>
      </c>
      <c r="F162" s="32" t="str">
        <f>VLOOKUP(Tabela2[[#This Row],[Tag]],BD!A:J,10,0)</f>
        <v>30LV</v>
      </c>
      <c r="G162" s="31" t="str">
        <f>VLOOKUP(Tabela2[[#This Row],[Tag]],BD!$A:$V,20,0)</f>
        <v>BK-SP54-01200-LC-80-00004_00000</v>
      </c>
      <c r="H162" s="32" t="str">
        <f>IF(VLOOKUP(Tabela2[[#This Row],[Tag]],BD!A:T,17,0)=0,"",VLOOKUP(Tabela2[[#This Row],[Tag]],BD!A:T,17,0))</f>
        <v>4.6.1</v>
      </c>
      <c r="I162" s="139">
        <v>44166</v>
      </c>
      <c r="J162" s="155">
        <f>VLOOKUP(Tabela2[[#This Row],[Tag]],BD!$A:$AE,30,0)</f>
        <v>136</v>
      </c>
      <c r="K162" s="29">
        <f>SUMIF(B:B,Tabela2[[#This Row],[Tag]],C:C)/Tabela2[[#This Row],[Comprim. Real]]</f>
        <v>1</v>
      </c>
      <c r="L162" s="29" t="str">
        <f>VLOOKUP(Tabela2[[#This Row],[Tag]],BD!A:AF,32,0)</f>
        <v>7HVx30LV</v>
      </c>
    </row>
    <row r="163" spans="1:12" x14ac:dyDescent="0.25">
      <c r="A163" s="391">
        <v>162</v>
      </c>
      <c r="B163" s="7" t="s">
        <v>383</v>
      </c>
      <c r="C163" s="391">
        <v>110</v>
      </c>
      <c r="D163" s="32">
        <v>44182</v>
      </c>
      <c r="E163" s="32" t="str">
        <f>VLOOKUP(Tabela2[[#This Row],[Tag]],BD!$A:$B,2,0)</f>
        <v>Controle</v>
      </c>
      <c r="F163" s="32" t="str">
        <f>VLOOKUP(Tabela2[[#This Row],[Tag]],BD!A:J,10,0)</f>
        <v>30LV</v>
      </c>
      <c r="G163" s="31" t="str">
        <f>VLOOKUP(Tabela2[[#This Row],[Tag]],BD!$A:$V,20,0)</f>
        <v>BK-SP54-01200-LC-80-00004_00000</v>
      </c>
      <c r="H163" s="32" t="str">
        <f>IF(VLOOKUP(Tabela2[[#This Row],[Tag]],BD!A:T,17,0)=0,"",VLOOKUP(Tabela2[[#This Row],[Tag]],BD!A:T,17,0))</f>
        <v>4.6.1</v>
      </c>
      <c r="I163" s="139">
        <v>44166</v>
      </c>
      <c r="J163" s="155">
        <f>VLOOKUP(Tabela2[[#This Row],[Tag]],BD!$A:$AE,30,0)</f>
        <v>110</v>
      </c>
      <c r="K163" s="29">
        <f>SUMIF(B:B,Tabela2[[#This Row],[Tag]],C:C)/Tabela2[[#This Row],[Comprim. Real]]</f>
        <v>1</v>
      </c>
      <c r="L163" s="29" t="str">
        <f>VLOOKUP(Tabela2[[#This Row],[Tag]],BD!A:AF,32,0)</f>
        <v>30LVxGB-1203</v>
      </c>
    </row>
    <row r="164" spans="1:12" x14ac:dyDescent="0.25">
      <c r="A164" s="391">
        <v>163</v>
      </c>
      <c r="B164" s="7" t="s">
        <v>727</v>
      </c>
      <c r="C164" s="391">
        <v>110</v>
      </c>
      <c r="D164" s="32">
        <v>44186</v>
      </c>
      <c r="E164" s="32" t="str">
        <f>VLOOKUP(Tabela2[[#This Row],[Tag]],BD!$A:$B,2,0)</f>
        <v>Controle</v>
      </c>
      <c r="F164" s="32" t="str">
        <f>VLOOKUP(Tabela2[[#This Row],[Tag]],BD!A:J,10,0)</f>
        <v>30LV</v>
      </c>
      <c r="G164" s="31" t="str">
        <f>VLOOKUP(Tabela2[[#This Row],[Tag]],BD!$A:$V,20,0)</f>
        <v>BK-SP54-01200-LC-80-00004_00000</v>
      </c>
      <c r="H164" s="32" t="str">
        <f>IF(VLOOKUP(Tabela2[[#This Row],[Tag]],BD!A:T,17,0)=0,"",VLOOKUP(Tabela2[[#This Row],[Tag]],BD!A:T,17,0))</f>
        <v>4.4.1</v>
      </c>
      <c r="I164" s="139">
        <v>44166</v>
      </c>
      <c r="J164" s="155">
        <f>VLOOKUP(Tabela2[[#This Row],[Tag]],BD!$A:$AE,30,0)</f>
        <v>110</v>
      </c>
      <c r="K164" s="29">
        <f>SUMIF(B:B,Tabela2[[#This Row],[Tag]],C:C)/Tabela2[[#This Row],[Comprim. Real]]</f>
        <v>1</v>
      </c>
      <c r="L164" s="29" t="str">
        <f>VLOOKUP(Tabela2[[#This Row],[Tag]],BD!A:AF,32,0)</f>
        <v>7HVxGB-1201</v>
      </c>
    </row>
    <row r="165" spans="1:12" x14ac:dyDescent="0.25">
      <c r="A165" s="391">
        <v>164</v>
      </c>
      <c r="B165" s="7" t="s">
        <v>729</v>
      </c>
      <c r="C165" s="391">
        <v>110</v>
      </c>
      <c r="D165" s="32">
        <v>44186</v>
      </c>
      <c r="E165" s="32" t="str">
        <f>VLOOKUP(Tabela2[[#This Row],[Tag]],BD!$A:$B,2,0)</f>
        <v>Controle</v>
      </c>
      <c r="F165" s="32" t="str">
        <f>VLOOKUP(Tabela2[[#This Row],[Tag]],BD!A:J,10,0)</f>
        <v>30LV</v>
      </c>
      <c r="G165" s="31" t="str">
        <f>VLOOKUP(Tabela2[[#This Row],[Tag]],BD!$A:$V,20,0)</f>
        <v>BK-SP54-01200-LC-80-00004_00000</v>
      </c>
      <c r="H165" s="32" t="str">
        <f>IF(VLOOKUP(Tabela2[[#This Row],[Tag]],BD!A:T,17,0)=0,"",VLOOKUP(Tabela2[[#This Row],[Tag]],BD!A:T,17,0))</f>
        <v>4.6.1</v>
      </c>
      <c r="I165" s="139">
        <v>44166</v>
      </c>
      <c r="J165" s="155">
        <f>VLOOKUP(Tabela2[[#This Row],[Tag]],BD!$A:$AE,30,0)</f>
        <v>110</v>
      </c>
      <c r="K165" s="29">
        <f>SUMIF(B:B,Tabela2[[#This Row],[Tag]],C:C)/Tabela2[[#This Row],[Comprim. Real]]</f>
        <v>1</v>
      </c>
      <c r="L165" s="29" t="str">
        <f>VLOOKUP(Tabela2[[#This Row],[Tag]],BD!A:AF,32,0)</f>
        <v>7HVxGB-1201</v>
      </c>
    </row>
    <row r="166" spans="1:12" x14ac:dyDescent="0.25">
      <c r="A166" s="391">
        <v>165</v>
      </c>
      <c r="B166" s="7" t="s">
        <v>936</v>
      </c>
      <c r="C166" s="391">
        <v>4000</v>
      </c>
      <c r="D166" s="32">
        <v>44183</v>
      </c>
      <c r="E166" s="32" t="str">
        <f>VLOOKUP(Tabela2[[#This Row],[Tag]],BD!$A:$B,2,0)</f>
        <v>Força</v>
      </c>
      <c r="F166" s="32" t="str">
        <f>VLOOKUP(Tabela2[[#This Row],[Tag]],BD!A:J,10,0)</f>
        <v>8HV x 7HV</v>
      </c>
      <c r="G166" s="31" t="str">
        <f>VLOOKUP(Tabela2[[#This Row],[Tag]],BD!$A:$V,20,0)</f>
        <v>BK-SP54-0900A-LC-74-00001_00000</v>
      </c>
      <c r="H166" s="32" t="str">
        <f>IF(VLOOKUP(Tabela2[[#This Row],[Tag]],BD!A:T,17,0)=0,"",VLOOKUP(Tabela2[[#This Row],[Tag]],BD!A:T,17,0))</f>
        <v>5.2.2</v>
      </c>
      <c r="I166" s="139">
        <v>44166</v>
      </c>
      <c r="J166" s="155">
        <f>VLOOKUP(Tabela2[[#This Row],[Tag]],BD!$A:$AE,30,0)</f>
        <v>11550</v>
      </c>
      <c r="K166" s="29">
        <f>SUMIF(B:B,Tabela2[[#This Row],[Tag]],C:C)/Tabela2[[#This Row],[Comprim. Real]]</f>
        <v>1</v>
      </c>
      <c r="L166" s="29" t="str">
        <f>VLOOKUP(Tabela2[[#This Row],[Tag]],BD!A:AF,32,0)</f>
        <v>8HVx7HV</v>
      </c>
    </row>
    <row r="167" spans="1:12" x14ac:dyDescent="0.25">
      <c r="A167" s="391">
        <v>166</v>
      </c>
      <c r="B167" s="7" t="s">
        <v>936</v>
      </c>
      <c r="C167" s="391">
        <v>5000</v>
      </c>
      <c r="D167" s="32">
        <v>44188</v>
      </c>
      <c r="E167" s="32" t="str">
        <f>VLOOKUP(Tabela2[[#This Row],[Tag]],BD!$A:$B,2,0)</f>
        <v>Força</v>
      </c>
      <c r="F167" s="32" t="str">
        <f>VLOOKUP(Tabela2[[#This Row],[Tag]],BD!A:J,10,0)</f>
        <v>8HV x 7HV</v>
      </c>
      <c r="G167" s="31" t="str">
        <f>VLOOKUP(Tabela2[[#This Row],[Tag]],BD!$A:$V,20,0)</f>
        <v>BK-SP54-0900A-LC-74-00001_00000</v>
      </c>
      <c r="H167" s="32" t="str">
        <f>IF(VLOOKUP(Tabela2[[#This Row],[Tag]],BD!A:T,17,0)=0,"",VLOOKUP(Tabela2[[#This Row],[Tag]],BD!A:T,17,0))</f>
        <v>5.2.2</v>
      </c>
      <c r="I167" s="139">
        <v>44166</v>
      </c>
      <c r="J167" s="155">
        <f>VLOOKUP(Tabela2[[#This Row],[Tag]],BD!$A:$AE,30,0)</f>
        <v>11550</v>
      </c>
      <c r="K167" s="29">
        <f>SUMIF(B:B,Tabela2[[#This Row],[Tag]],C:C)/Tabela2[[#This Row],[Comprim. Real]]</f>
        <v>1</v>
      </c>
      <c r="L167" s="29" t="str">
        <f>VLOOKUP(Tabela2[[#This Row],[Tag]],BD!A:AF,32,0)</f>
        <v>8HVx7HV</v>
      </c>
    </row>
    <row r="168" spans="1:12" x14ac:dyDescent="0.25">
      <c r="A168" s="391">
        <v>167</v>
      </c>
      <c r="B168" s="7" t="s">
        <v>777</v>
      </c>
      <c r="C168" s="391">
        <v>420</v>
      </c>
      <c r="D168" s="32">
        <v>44188</v>
      </c>
      <c r="E168" s="32" t="str">
        <f>VLOOKUP(Tabela2[[#This Row],[Tag]],BD!$A:$B,2,0)</f>
        <v>Força</v>
      </c>
      <c r="F168" s="32" t="str">
        <f>VLOOKUP(Tabela2[[#This Row],[Tag]],BD!A:J,10,0)</f>
        <v>GB-200</v>
      </c>
      <c r="G168" s="31" t="str">
        <f>VLOOKUP(Tabela2[[#This Row],[Tag]],BD!$A:$V,20,0)</f>
        <v>BK-SP54-0900B-LC-74-00004_00000</v>
      </c>
      <c r="H168" s="32" t="str">
        <f>IF(VLOOKUP(Tabela2[[#This Row],[Tag]],BD!A:T,17,0)=0,"",VLOOKUP(Tabela2[[#This Row],[Tag]],BD!A:T,17,0))</f>
        <v>5.5.2</v>
      </c>
      <c r="I168" s="139">
        <v>44197</v>
      </c>
      <c r="J168" s="155">
        <f>VLOOKUP(Tabela2[[#This Row],[Tag]],BD!$A:$AE,30,0)</f>
        <v>420</v>
      </c>
      <c r="K168" s="29">
        <f>SUMIF(B:B,Tabela2[[#This Row],[Tag]],C:C)/Tabela2[[#This Row],[Comprim. Real]]</f>
        <v>1</v>
      </c>
      <c r="L168" s="29" t="str">
        <f>VLOOKUP(Tabela2[[#This Row],[Tag]],BD!A:AF,32,0)</f>
        <v>7HVxGB-200</v>
      </c>
    </row>
    <row r="169" spans="1:12" x14ac:dyDescent="0.25">
      <c r="A169" s="391">
        <v>168</v>
      </c>
      <c r="B169" s="7" t="s">
        <v>781</v>
      </c>
      <c r="C169" s="391">
        <v>420</v>
      </c>
      <c r="D169" s="32">
        <v>44188</v>
      </c>
      <c r="E169" s="32" t="str">
        <f>VLOOKUP(Tabela2[[#This Row],[Tag]],BD!$A:$B,2,0)</f>
        <v>Força</v>
      </c>
      <c r="F169" s="32" t="str">
        <f>VLOOKUP(Tabela2[[#This Row],[Tag]],BD!A:J,10,0)</f>
        <v>GB-200</v>
      </c>
      <c r="G169" s="31" t="str">
        <f>VLOOKUP(Tabela2[[#This Row],[Tag]],BD!$A:$V,20,0)</f>
        <v>BK-SP54-0900B-LC-74-00004_00000</v>
      </c>
      <c r="H169" s="32" t="str">
        <f>IF(VLOOKUP(Tabela2[[#This Row],[Tag]],BD!A:T,17,0)=0,"",VLOOKUP(Tabela2[[#This Row],[Tag]],BD!A:T,17,0))</f>
        <v>5.5.2</v>
      </c>
      <c r="I169" s="139">
        <v>44197</v>
      </c>
      <c r="J169" s="155">
        <f>VLOOKUP(Tabela2[[#This Row],[Tag]],BD!$A:$AE,30,0)</f>
        <v>420</v>
      </c>
      <c r="K169" s="29">
        <f>SUMIF(B:B,Tabela2[[#This Row],[Tag]],C:C)/Tabela2[[#This Row],[Comprim. Real]]</f>
        <v>1</v>
      </c>
      <c r="L169" s="29" t="str">
        <f>VLOOKUP(Tabela2[[#This Row],[Tag]],BD!A:AF,32,0)</f>
        <v>7HVxGB-200</v>
      </c>
    </row>
    <row r="170" spans="1:12" x14ac:dyDescent="0.25">
      <c r="A170" s="391">
        <v>169</v>
      </c>
      <c r="B170" s="7" t="s">
        <v>783</v>
      </c>
      <c r="C170" s="391">
        <v>420</v>
      </c>
      <c r="D170" s="32">
        <v>44188</v>
      </c>
      <c r="E170" s="32" t="str">
        <f>VLOOKUP(Tabela2[[#This Row],[Tag]],BD!$A:$B,2,0)</f>
        <v>Força</v>
      </c>
      <c r="F170" s="32" t="str">
        <f>VLOOKUP(Tabela2[[#This Row],[Tag]],BD!A:J,10,0)</f>
        <v>GB-200</v>
      </c>
      <c r="G170" s="31" t="str">
        <f>VLOOKUP(Tabela2[[#This Row],[Tag]],BD!$A:$V,20,0)</f>
        <v>BK-SP54-0900B-LC-74-00004_00000</v>
      </c>
      <c r="H170" s="32" t="str">
        <f>IF(VLOOKUP(Tabela2[[#This Row],[Tag]],BD!A:T,17,0)=0,"",VLOOKUP(Tabela2[[#This Row],[Tag]],BD!A:T,17,0))</f>
        <v>5.5.2</v>
      </c>
      <c r="I170" s="139">
        <v>44197</v>
      </c>
      <c r="J170" s="155">
        <f>VLOOKUP(Tabela2[[#This Row],[Tag]],BD!$A:$AE,30,0)</f>
        <v>420</v>
      </c>
      <c r="K170" s="29">
        <f>SUMIF(B:B,Tabela2[[#This Row],[Tag]],C:C)/Tabela2[[#This Row],[Comprim. Real]]</f>
        <v>1</v>
      </c>
      <c r="L170" s="29" t="str">
        <f>VLOOKUP(Tabela2[[#This Row],[Tag]],BD!A:AF,32,0)</f>
        <v>7HVxGB-200</v>
      </c>
    </row>
    <row r="171" spans="1:12" x14ac:dyDescent="0.25">
      <c r="A171" s="391">
        <v>170</v>
      </c>
      <c r="B171" s="7" t="s">
        <v>936</v>
      </c>
      <c r="C171" s="391">
        <v>2550</v>
      </c>
      <c r="D171" s="32">
        <v>43837</v>
      </c>
      <c r="E171" s="32" t="str">
        <f>VLOOKUP(Tabela2[[#This Row],[Tag]],BD!$A:$B,2,0)</f>
        <v>Força</v>
      </c>
      <c r="F171" s="32" t="str">
        <f>VLOOKUP(Tabela2[[#This Row],[Tag]],BD!A:J,10,0)</f>
        <v>8HV x 7HV</v>
      </c>
      <c r="G171" s="31" t="str">
        <f>VLOOKUP(Tabela2[[#This Row],[Tag]],BD!$A:$V,20,0)</f>
        <v>BK-SP54-0900A-LC-74-00001_00000</v>
      </c>
      <c r="H171" s="32" t="str">
        <f>IF(VLOOKUP(Tabela2[[#This Row],[Tag]],BD!A:T,17,0)=0,"",VLOOKUP(Tabela2[[#This Row],[Tag]],BD!A:T,17,0))</f>
        <v>5.2.2</v>
      </c>
      <c r="I171" s="139">
        <v>44197</v>
      </c>
      <c r="J171" s="155">
        <f>VLOOKUP(Tabela2[[#This Row],[Tag]],BD!$A:$AE,30,0)</f>
        <v>11550</v>
      </c>
      <c r="K171" s="29">
        <f>SUMIF(B:B,Tabela2[[#This Row],[Tag]],C:C)/Tabela2[[#This Row],[Comprim. Real]]</f>
        <v>1</v>
      </c>
      <c r="L171" s="29" t="str">
        <f>VLOOKUP(Tabela2[[#This Row],[Tag]],BD!A:AF,32,0)</f>
        <v>8HVx7HV</v>
      </c>
    </row>
    <row r="172" spans="1:12" x14ac:dyDescent="0.25">
      <c r="A172" s="391">
        <v>171</v>
      </c>
      <c r="B172" s="7" t="s">
        <v>794</v>
      </c>
      <c r="C172" s="391">
        <v>300</v>
      </c>
      <c r="D172" s="32">
        <v>43837</v>
      </c>
      <c r="E172" s="32" t="str">
        <f>VLOOKUP(Tabela2[[#This Row],[Tag]],BD!$A:$B,2,0)</f>
        <v>Força</v>
      </c>
      <c r="F172" s="32" t="str">
        <f>VLOOKUP(Tabela2[[#This Row],[Tag]],BD!A:J,10,0)</f>
        <v>GB-351</v>
      </c>
      <c r="G172" s="31" t="str">
        <f>VLOOKUP(Tabela2[[#This Row],[Tag]],BD!$A:$V,20,0)</f>
        <v>BK-SP54-0900B-LC-74-00004_00000</v>
      </c>
      <c r="H172" s="32" t="str">
        <f>IF(VLOOKUP(Tabela2[[#This Row],[Tag]],BD!A:T,17,0)=0,"",VLOOKUP(Tabela2[[#This Row],[Tag]],BD!A:T,17,0))</f>
        <v>5.5.2</v>
      </c>
      <c r="I172" s="139">
        <v>44197</v>
      </c>
      <c r="J172" s="155">
        <f>VLOOKUP(Tabela2[[#This Row],[Tag]],BD!$A:$AE,30,0)</f>
        <v>300</v>
      </c>
      <c r="K172" s="29">
        <f>SUMIF(B:B,Tabela2[[#This Row],[Tag]],C:C)/Tabela2[[#This Row],[Comprim. Real]]</f>
        <v>1</v>
      </c>
      <c r="L172" s="29" t="str">
        <f>VLOOKUP(Tabela2[[#This Row],[Tag]],BD!A:AF,32,0)</f>
        <v>7HVxGB-351</v>
      </c>
    </row>
    <row r="173" spans="1:12" x14ac:dyDescent="0.25">
      <c r="A173" s="391">
        <v>172</v>
      </c>
      <c r="B173" s="7" t="s">
        <v>909</v>
      </c>
      <c r="C173" s="391">
        <v>2560</v>
      </c>
      <c r="D173" s="32">
        <v>43841</v>
      </c>
      <c r="E173" s="32" t="str">
        <f>VLOOKUP(Tabela2[[#This Row],[Tag]],BD!$A:$B,2,0)</f>
        <v>Força</v>
      </c>
      <c r="F173" s="32" t="str">
        <f>VLOOKUP(Tabela2[[#This Row],[Tag]],BD!A:J,10,0)</f>
        <v>8HV x 1HV</v>
      </c>
      <c r="G173" s="31" t="str">
        <f>VLOOKUP(Tabela2[[#This Row],[Tag]],BD!$A:$V,20,0)</f>
        <v>BK-SP54-0900A-LC-74-00001_00000</v>
      </c>
      <c r="H173" s="32" t="str">
        <f>IF(VLOOKUP(Tabela2[[#This Row],[Tag]],BD!A:T,17,0)=0,"",VLOOKUP(Tabela2[[#This Row],[Tag]],BD!A:T,17,0))</f>
        <v>5.2.2</v>
      </c>
      <c r="I173" s="139">
        <v>44197</v>
      </c>
      <c r="J173" s="155">
        <f>VLOOKUP(Tabela2[[#This Row],[Tag]],BD!$A:$AE,30,0)</f>
        <v>6750</v>
      </c>
      <c r="K173" s="29">
        <f>SUMIF(B:B,Tabela2[[#This Row],[Tag]],C:C)/Tabela2[[#This Row],[Comprim. Real]]</f>
        <v>1</v>
      </c>
      <c r="L173" s="29" t="str">
        <f>VLOOKUP(Tabela2[[#This Row],[Tag]],BD!A:AF,32,0)</f>
        <v>8HVx1HV</v>
      </c>
    </row>
    <row r="174" spans="1:12" x14ac:dyDescent="0.25">
      <c r="A174" s="391">
        <v>173</v>
      </c>
      <c r="B174" s="7" t="s">
        <v>930</v>
      </c>
      <c r="C174" s="391">
        <v>750</v>
      </c>
      <c r="D174" s="32">
        <v>43841</v>
      </c>
      <c r="E174" s="32" t="str">
        <f>VLOOKUP(Tabela2[[#This Row],[Tag]],BD!$A:$B,2,0)</f>
        <v>Controle</v>
      </c>
      <c r="F174" s="32" t="str">
        <f>VLOOKUP(Tabela2[[#This Row],[Tag]],BD!A:J,10,0)</f>
        <v>8HV x 7HV</v>
      </c>
      <c r="G174" s="31" t="str">
        <f>VLOOKUP(Tabela2[[#This Row],[Tag]],BD!$A:$V,20,0)</f>
        <v>BK-SP54-0900A-LC-74-00001_00000</v>
      </c>
      <c r="H174" s="32" t="str">
        <f>IF(VLOOKUP(Tabela2[[#This Row],[Tag]],BD!A:T,17,0)=0,"",VLOOKUP(Tabela2[[#This Row],[Tag]],BD!A:T,17,0))</f>
        <v>5.8.1</v>
      </c>
      <c r="I174" s="139">
        <v>44166</v>
      </c>
      <c r="J174" s="155">
        <f>VLOOKUP(Tabela2[[#This Row],[Tag]],BD!$A:$AE,30,0)</f>
        <v>770</v>
      </c>
      <c r="K174" s="29">
        <f>SUMIF(B:B,Tabela2[[#This Row],[Tag]],C:C)/Tabela2[[#This Row],[Comprim. Real]]</f>
        <v>1</v>
      </c>
      <c r="L174" s="29" t="str">
        <f>VLOOKUP(Tabela2[[#This Row],[Tag]],BD!A:AF,32,0)</f>
        <v>8HVx7HV</v>
      </c>
    </row>
    <row r="175" spans="1:12" x14ac:dyDescent="0.25">
      <c r="A175" s="391">
        <v>174</v>
      </c>
      <c r="B175" s="7" t="s">
        <v>925</v>
      </c>
      <c r="C175" s="391">
        <v>200</v>
      </c>
      <c r="D175" s="32">
        <v>43842</v>
      </c>
      <c r="E175" s="32" t="str">
        <f>VLOOKUP(Tabela2[[#This Row],[Tag]],BD!$A:$B,2,0)</f>
        <v>Controle</v>
      </c>
      <c r="F175" s="32" t="str">
        <f>VLOOKUP(Tabela2[[#This Row],[Tag]],BD!A:J,10,0)</f>
        <v>8HV x 1HV</v>
      </c>
      <c r="G175" s="31" t="str">
        <f>VLOOKUP(Tabela2[[#This Row],[Tag]],BD!$A:$V,20,0)</f>
        <v>BK-SP54-0900A-LC-74-00001_00000</v>
      </c>
      <c r="H175" s="32" t="str">
        <f>IF(VLOOKUP(Tabela2[[#This Row],[Tag]],BD!A:T,17,0)=0,"",VLOOKUP(Tabela2[[#This Row],[Tag]],BD!A:T,17,0))</f>
        <v>5.8.1</v>
      </c>
      <c r="I175" s="139">
        <v>44197</v>
      </c>
      <c r="J175" s="155">
        <f>VLOOKUP(Tabela2[[#This Row],[Tag]],BD!$A:$AE,30,0)</f>
        <v>450</v>
      </c>
      <c r="K175" s="29">
        <f>SUMIF(B:B,Tabela2[[#This Row],[Tag]],C:C)/Tabela2[[#This Row],[Comprim. Real]]</f>
        <v>1</v>
      </c>
      <c r="L175" s="29" t="str">
        <f>VLOOKUP(Tabela2[[#This Row],[Tag]],BD!A:AF,32,0)</f>
        <v>8HVx1HV</v>
      </c>
    </row>
    <row r="176" spans="1:12" x14ac:dyDescent="0.25">
      <c r="A176" s="391">
        <v>175</v>
      </c>
      <c r="B176" s="7" t="s">
        <v>909</v>
      </c>
      <c r="C176" s="391">
        <v>2240</v>
      </c>
      <c r="D176" s="32">
        <v>43843</v>
      </c>
      <c r="E176" s="32" t="str">
        <f>VLOOKUP(Tabela2[[#This Row],[Tag]],BD!$A:$B,2,0)</f>
        <v>Força</v>
      </c>
      <c r="F176" s="32" t="str">
        <f>VLOOKUP(Tabela2[[#This Row],[Tag]],BD!A:J,10,0)</f>
        <v>8HV x 1HV</v>
      </c>
      <c r="G176" s="31" t="str">
        <f>VLOOKUP(Tabela2[[#This Row],[Tag]],BD!$A:$V,20,0)</f>
        <v>BK-SP54-0900A-LC-74-00001_00000</v>
      </c>
      <c r="H176" s="32" t="str">
        <f>IF(VLOOKUP(Tabela2[[#This Row],[Tag]],BD!A:T,17,0)=0,"",VLOOKUP(Tabela2[[#This Row],[Tag]],BD!A:T,17,0))</f>
        <v>5.2.2</v>
      </c>
      <c r="I176" s="139">
        <v>44197</v>
      </c>
      <c r="J176" s="155">
        <f>VLOOKUP(Tabela2[[#This Row],[Tag]],BD!$A:$AE,30,0)</f>
        <v>6750</v>
      </c>
      <c r="K176" s="29">
        <f>SUMIF(B:B,Tabela2[[#This Row],[Tag]],C:C)/Tabela2[[#This Row],[Comprim. Real]]</f>
        <v>1</v>
      </c>
      <c r="L176" s="29" t="str">
        <f>VLOOKUP(Tabela2[[#This Row],[Tag]],BD!A:AF,32,0)</f>
        <v>8HVx1HV</v>
      </c>
    </row>
    <row r="177" spans="1:12" x14ac:dyDescent="0.25">
      <c r="A177" s="391">
        <v>176</v>
      </c>
      <c r="B177" s="34" t="s">
        <v>917</v>
      </c>
      <c r="C177" s="391">
        <v>450</v>
      </c>
      <c r="D177" s="32">
        <v>43843</v>
      </c>
      <c r="E177" s="32" t="str">
        <f>VLOOKUP(Tabela2[[#This Row],[Tag]],BD!$A:$B,2,0)</f>
        <v>Controle</v>
      </c>
      <c r="F177" s="32" t="str">
        <f>VLOOKUP(Tabela2[[#This Row],[Tag]],BD!A:J,10,0)</f>
        <v>8HV x 1HV</v>
      </c>
      <c r="G177" s="31" t="str">
        <f>VLOOKUP(Tabela2[[#This Row],[Tag]],BD!$A:$V,20,0)</f>
        <v>BK-SP54-0900A-LC-74-00001_00000</v>
      </c>
      <c r="H177" s="32" t="str">
        <f>IF(VLOOKUP(Tabela2[[#This Row],[Tag]],BD!A:T,17,0)=0,"",VLOOKUP(Tabela2[[#This Row],[Tag]],BD!A:T,17,0))</f>
        <v>5.10.2</v>
      </c>
      <c r="I177" s="139">
        <v>44197</v>
      </c>
      <c r="J177" s="155">
        <f>VLOOKUP(Tabela2[[#This Row],[Tag]],BD!$A:$AE,30,0)</f>
        <v>450</v>
      </c>
      <c r="K177" s="29">
        <f>SUMIF(B:B,Tabela2[[#This Row],[Tag]],C:C)/Tabela2[[#This Row],[Comprim. Real]]</f>
        <v>1</v>
      </c>
      <c r="L177" s="29" t="str">
        <f>VLOOKUP(Tabela2[[#This Row],[Tag]],BD!A:AF,32,0)</f>
        <v>8HVx1HV</v>
      </c>
    </row>
    <row r="178" spans="1:12" x14ac:dyDescent="0.25">
      <c r="A178" s="391">
        <v>177</v>
      </c>
      <c r="B178" s="34" t="s">
        <v>921</v>
      </c>
      <c r="C178" s="391">
        <v>450</v>
      </c>
      <c r="D178" s="32">
        <v>43843</v>
      </c>
      <c r="E178" s="32" t="str">
        <f>VLOOKUP(Tabela2[[#This Row],[Tag]],BD!$A:$B,2,0)</f>
        <v>Controle</v>
      </c>
      <c r="F178" s="32" t="str">
        <f>VLOOKUP(Tabela2[[#This Row],[Tag]],BD!A:J,10,0)</f>
        <v>8HV x 1HV</v>
      </c>
      <c r="G178" s="31" t="str">
        <f>VLOOKUP(Tabela2[[#This Row],[Tag]],BD!$A:$V,20,0)</f>
        <v>BK-SP54-0900A-LC-74-00001_00000</v>
      </c>
      <c r="H178" s="32" t="str">
        <f>IF(VLOOKUP(Tabela2[[#This Row],[Tag]],BD!A:T,17,0)=0,"",VLOOKUP(Tabela2[[#This Row],[Tag]],BD!A:T,17,0))</f>
        <v>5.10.2</v>
      </c>
      <c r="I178" s="139">
        <v>44197</v>
      </c>
      <c r="J178" s="155">
        <f>VLOOKUP(Tabela2[[#This Row],[Tag]],BD!$A:$AE,30,0)</f>
        <v>450</v>
      </c>
      <c r="K178" s="29">
        <f>SUMIF(B:B,Tabela2[[#This Row],[Tag]],C:C)/Tabela2[[#This Row],[Comprim. Real]]</f>
        <v>1</v>
      </c>
      <c r="L178" s="29" t="str">
        <f>VLOOKUP(Tabela2[[#This Row],[Tag]],BD!A:AF,32,0)</f>
        <v>8HVx1HV</v>
      </c>
    </row>
    <row r="179" spans="1:12" x14ac:dyDescent="0.25">
      <c r="A179" s="391">
        <v>178</v>
      </c>
      <c r="B179" s="34" t="s">
        <v>922</v>
      </c>
      <c r="C179" s="391">
        <v>450</v>
      </c>
      <c r="D179" s="32">
        <v>43843</v>
      </c>
      <c r="E179" s="32" t="str">
        <f>VLOOKUP(Tabela2[[#This Row],[Tag]],BD!$A:$B,2,0)</f>
        <v>Controle</v>
      </c>
      <c r="F179" s="32" t="str">
        <f>VLOOKUP(Tabela2[[#This Row],[Tag]],BD!A:J,10,0)</f>
        <v>8HV x 1HV</v>
      </c>
      <c r="G179" s="31" t="str">
        <f>VLOOKUP(Tabela2[[#This Row],[Tag]],BD!$A:$V,20,0)</f>
        <v>BK-SP54-0900A-LC-74-00001_00000</v>
      </c>
      <c r="H179" s="32" t="str">
        <f>IF(VLOOKUP(Tabela2[[#This Row],[Tag]],BD!A:T,17,0)=0,"",VLOOKUP(Tabela2[[#This Row],[Tag]],BD!A:T,17,0))</f>
        <v>5.8.1</v>
      </c>
      <c r="I179" s="139">
        <v>44197</v>
      </c>
      <c r="J179" s="155">
        <f>VLOOKUP(Tabela2[[#This Row],[Tag]],BD!$A:$AE,30,0)</f>
        <v>450</v>
      </c>
      <c r="K179" s="29">
        <f>SUMIF(B:B,Tabela2[[#This Row],[Tag]],C:C)/Tabela2[[#This Row],[Comprim. Real]]</f>
        <v>1</v>
      </c>
      <c r="L179" s="29" t="str">
        <f>VLOOKUP(Tabela2[[#This Row],[Tag]],BD!A:AF,32,0)</f>
        <v>8HVx1HV</v>
      </c>
    </row>
    <row r="180" spans="1:12" x14ac:dyDescent="0.25">
      <c r="A180" s="391">
        <v>179</v>
      </c>
      <c r="B180" s="34" t="s">
        <v>923</v>
      </c>
      <c r="C180" s="391">
        <v>450</v>
      </c>
      <c r="D180" s="32">
        <v>43843</v>
      </c>
      <c r="E180" s="32" t="str">
        <f>VLOOKUP(Tabela2[[#This Row],[Tag]],BD!$A:$B,2,0)</f>
        <v>Controle</v>
      </c>
      <c r="F180" s="32" t="str">
        <f>VLOOKUP(Tabela2[[#This Row],[Tag]],BD!A:J,10,0)</f>
        <v>8HV x 1HV</v>
      </c>
      <c r="G180" s="31" t="str">
        <f>VLOOKUP(Tabela2[[#This Row],[Tag]],BD!$A:$V,20,0)</f>
        <v>BK-SP54-0900A-LC-74-00001_00000</v>
      </c>
      <c r="H180" s="32" t="str">
        <f>IF(VLOOKUP(Tabela2[[#This Row],[Tag]],BD!A:T,17,0)=0,"",VLOOKUP(Tabela2[[#This Row],[Tag]],BD!A:T,17,0))</f>
        <v>5.8.1</v>
      </c>
      <c r="I180" s="139">
        <v>44197</v>
      </c>
      <c r="J180" s="155">
        <f>VLOOKUP(Tabela2[[#This Row],[Tag]],BD!$A:$AE,30,0)</f>
        <v>450</v>
      </c>
      <c r="K180" s="29">
        <f>SUMIF(B:B,Tabela2[[#This Row],[Tag]],C:C)/Tabela2[[#This Row],[Comprim. Real]]</f>
        <v>1</v>
      </c>
      <c r="L180" s="29" t="str">
        <f>VLOOKUP(Tabela2[[#This Row],[Tag]],BD!A:AF,32,0)</f>
        <v>8HVx1HV</v>
      </c>
    </row>
    <row r="181" spans="1:12" x14ac:dyDescent="0.25">
      <c r="A181" s="391">
        <v>180</v>
      </c>
      <c r="B181" s="34" t="s">
        <v>925</v>
      </c>
      <c r="C181" s="391">
        <v>250</v>
      </c>
      <c r="D181" s="32">
        <v>43843</v>
      </c>
      <c r="E181" s="32" t="str">
        <f>VLOOKUP(Tabela2[[#This Row],[Tag]],BD!$A:$B,2,0)</f>
        <v>Controle</v>
      </c>
      <c r="F181" s="32" t="str">
        <f>VLOOKUP(Tabela2[[#This Row],[Tag]],BD!A:J,10,0)</f>
        <v>8HV x 1HV</v>
      </c>
      <c r="G181" s="31" t="str">
        <f>VLOOKUP(Tabela2[[#This Row],[Tag]],BD!$A:$V,20,0)</f>
        <v>BK-SP54-0900A-LC-74-00001_00000</v>
      </c>
      <c r="H181" s="32" t="str">
        <f>IF(VLOOKUP(Tabela2[[#This Row],[Tag]],BD!A:T,17,0)=0,"",VLOOKUP(Tabela2[[#This Row],[Tag]],BD!A:T,17,0))</f>
        <v>5.8.1</v>
      </c>
      <c r="I181" s="139">
        <v>44197</v>
      </c>
      <c r="J181" s="155">
        <f>VLOOKUP(Tabela2[[#This Row],[Tag]],BD!$A:$AE,30,0)</f>
        <v>450</v>
      </c>
      <c r="K181" s="29">
        <f>SUMIF(B:B,Tabela2[[#This Row],[Tag]],C:C)/Tabela2[[#This Row],[Comprim. Real]]</f>
        <v>1</v>
      </c>
      <c r="L181" s="29" t="str">
        <f>VLOOKUP(Tabela2[[#This Row],[Tag]],BD!A:AF,32,0)</f>
        <v>8HVx1HV</v>
      </c>
    </row>
    <row r="182" spans="1:12" x14ac:dyDescent="0.25">
      <c r="A182" s="391">
        <v>181</v>
      </c>
      <c r="B182" s="34" t="s">
        <v>928</v>
      </c>
      <c r="C182" s="391">
        <v>450</v>
      </c>
      <c r="D182" s="32">
        <v>43843</v>
      </c>
      <c r="E182" s="32" t="str">
        <f>VLOOKUP(Tabela2[[#This Row],[Tag]],BD!$A:$B,2,0)</f>
        <v>Controle</v>
      </c>
      <c r="F182" s="32" t="str">
        <f>VLOOKUP(Tabela2[[#This Row],[Tag]],BD!A:J,10,0)</f>
        <v>8HV x 1HV</v>
      </c>
      <c r="G182" s="31" t="str">
        <f>VLOOKUP(Tabela2[[#This Row],[Tag]],BD!$A:$V,20,0)</f>
        <v>BK-SP54-0900A-LC-74-00001_00000</v>
      </c>
      <c r="H182" s="32" t="str">
        <f>IF(VLOOKUP(Tabela2[[#This Row],[Tag]],BD!A:T,17,0)=0,"",VLOOKUP(Tabela2[[#This Row],[Tag]],BD!A:T,17,0))</f>
        <v>5.8.1</v>
      </c>
      <c r="I182" s="139">
        <v>44197</v>
      </c>
      <c r="J182" s="155">
        <f>VLOOKUP(Tabela2[[#This Row],[Tag]],BD!$A:$AE,30,0)</f>
        <v>450</v>
      </c>
      <c r="K182" s="29">
        <f>SUMIF(B:B,Tabela2[[#This Row],[Tag]],C:C)/Tabela2[[#This Row],[Comprim. Real]]</f>
        <v>1</v>
      </c>
      <c r="L182" s="29" t="str">
        <f>VLOOKUP(Tabela2[[#This Row],[Tag]],BD!A:AF,32,0)</f>
        <v>8HVx1HV</v>
      </c>
    </row>
    <row r="183" spans="1:12" x14ac:dyDescent="0.25">
      <c r="A183" s="391">
        <v>182</v>
      </c>
      <c r="B183" s="34" t="s">
        <v>769</v>
      </c>
      <c r="C183" s="391">
        <v>430</v>
      </c>
      <c r="D183" s="32">
        <v>44188</v>
      </c>
      <c r="E183" s="32" t="str">
        <f>VLOOKUP(Tabela2[[#This Row],[Tag]],BD!$A:$B,2,0)</f>
        <v>Força</v>
      </c>
      <c r="F183" s="32" t="str">
        <f>VLOOKUP(Tabela2[[#This Row],[Tag]],BD!A:J,10,0)</f>
        <v>GB-200</v>
      </c>
      <c r="G183" s="31" t="str">
        <f>VLOOKUP(Tabela2[[#This Row],[Tag]],BD!$A:$V,20,0)</f>
        <v>BK-SP54-0900B-LC-74-00004_00000</v>
      </c>
      <c r="H183" s="32" t="str">
        <f>IF(VLOOKUP(Tabela2[[#This Row],[Tag]],BD!A:T,17,0)=0,"",VLOOKUP(Tabela2[[#This Row],[Tag]],BD!A:T,17,0))</f>
        <v>5.2.4</v>
      </c>
      <c r="I183" s="139">
        <v>44197</v>
      </c>
      <c r="J183" s="155">
        <f>VLOOKUP(Tabela2[[#This Row],[Tag]],BD!$A:$AE,30,0)</f>
        <v>430</v>
      </c>
      <c r="K183" s="29">
        <f>SUMIF(B:B,Tabela2[[#This Row],[Tag]],C:C)/Tabela2[[#This Row],[Comprim. Real]]</f>
        <v>1</v>
      </c>
      <c r="L183" s="29" t="str">
        <f>VLOOKUP(Tabela2[[#This Row],[Tag]],BD!A:AF,32,0)</f>
        <v>7HVxGB-200</v>
      </c>
    </row>
    <row r="184" spans="1:12" x14ac:dyDescent="0.25">
      <c r="A184" s="391">
        <v>183</v>
      </c>
      <c r="B184" s="34" t="s">
        <v>775</v>
      </c>
      <c r="C184" s="391">
        <v>420</v>
      </c>
      <c r="D184" s="32">
        <v>44188</v>
      </c>
      <c r="E184" s="32" t="str">
        <f>VLOOKUP(Tabela2[[#This Row],[Tag]],BD!$A:$B,2,0)</f>
        <v>Força</v>
      </c>
      <c r="F184" s="32" t="str">
        <f>VLOOKUP(Tabela2[[#This Row],[Tag]],BD!A:J,10,0)</f>
        <v>GB-200</v>
      </c>
      <c r="G184" s="31" t="str">
        <f>VLOOKUP(Tabela2[[#This Row],[Tag]],BD!$A:$V,20,0)</f>
        <v>BK-SP54-0900B-LC-74-00004_00000</v>
      </c>
      <c r="H184" s="32" t="str">
        <f>IF(VLOOKUP(Tabela2[[#This Row],[Tag]],BD!A:T,17,0)=0,"",VLOOKUP(Tabela2[[#This Row],[Tag]],BD!A:T,17,0))</f>
        <v>5.10.2</v>
      </c>
      <c r="I184" s="139">
        <v>44197</v>
      </c>
      <c r="J184" s="155">
        <f>VLOOKUP(Tabela2[[#This Row],[Tag]],BD!$A:$AE,30,0)</f>
        <v>420</v>
      </c>
      <c r="K184" s="29">
        <f>SUMIF(B:B,Tabela2[[#This Row],[Tag]],C:C)/Tabela2[[#This Row],[Comprim. Real]]</f>
        <v>1</v>
      </c>
      <c r="L184" s="29" t="str">
        <f>VLOOKUP(Tabela2[[#This Row],[Tag]],BD!A:AF,32,0)</f>
        <v>7HVxGB-200</v>
      </c>
    </row>
    <row r="185" spans="1:12" x14ac:dyDescent="0.25">
      <c r="A185" s="391">
        <v>184</v>
      </c>
      <c r="B185" s="7" t="s">
        <v>904</v>
      </c>
      <c r="C185" s="391">
        <v>450</v>
      </c>
      <c r="D185" s="32">
        <v>44188</v>
      </c>
      <c r="E185" s="32" t="str">
        <f>VLOOKUP(Tabela2[[#This Row],[Tag]],BD!$A:$B,2,0)</f>
        <v>Controle</v>
      </c>
      <c r="F185" s="32" t="str">
        <f>VLOOKUP(Tabela2[[#This Row],[Tag]],BD!A:J,10,0)</f>
        <v>8HV x 1HV</v>
      </c>
      <c r="G185" s="31" t="str">
        <f>VLOOKUP(Tabela2[[#This Row],[Tag]],BD!$A:$V,20,0)</f>
        <v>BK-SP54-0900A-LC-74-00001_00000</v>
      </c>
      <c r="H185" s="32" t="str">
        <f>IF(VLOOKUP(Tabela2[[#This Row],[Tag]],BD!A:T,17,0)=0,"",VLOOKUP(Tabela2[[#This Row],[Tag]],BD!A:T,17,0))</f>
        <v>5.8.1</v>
      </c>
      <c r="I185" s="139">
        <v>44197</v>
      </c>
      <c r="J185" s="155">
        <f>VLOOKUP(Tabela2[[#This Row],[Tag]],BD!$A:$AE,30,0)</f>
        <v>450</v>
      </c>
      <c r="K185" s="29">
        <f>SUMIF(B:B,Tabela2[[#This Row],[Tag]],C:C)/Tabela2[[#This Row],[Comprim. Real]]</f>
        <v>1</v>
      </c>
      <c r="L185" s="29" t="str">
        <f>VLOOKUP(Tabela2[[#This Row],[Tag]],BD!A:AF,32,0)</f>
        <v>8HVx1HV</v>
      </c>
    </row>
    <row r="186" spans="1:12" x14ac:dyDescent="0.25">
      <c r="A186" s="391">
        <v>185</v>
      </c>
      <c r="B186" s="7" t="s">
        <v>478</v>
      </c>
      <c r="C186" s="206">
        <v>20</v>
      </c>
      <c r="D186" s="32">
        <v>44206</v>
      </c>
      <c r="E186" s="32" t="str">
        <f>VLOOKUP(Tabela2[[#This Row],[Tag]],BD!$A:$B,2,0)</f>
        <v>Controle</v>
      </c>
      <c r="F186" s="32" t="str">
        <f>VLOOKUP(Tabela2[[#This Row],[Tag]],BD!A:J,10,0)</f>
        <v>7HV</v>
      </c>
      <c r="G186" s="31" t="str">
        <f>VLOOKUP(Tabela2[[#This Row],[Tag]],BD!$A:$V,20,0)</f>
        <v>BK-SP54-0900A-LC-74-00001_00000</v>
      </c>
      <c r="H186" s="32" t="str">
        <f>IF(VLOOKUP(Tabela2[[#This Row],[Tag]],BD!A:T,17,0)=0,"",VLOOKUP(Tabela2[[#This Row],[Tag]],BD!A:T,17,0))</f>
        <v>5.8.1</v>
      </c>
      <c r="I186" s="139">
        <v>44197</v>
      </c>
      <c r="J186" s="155">
        <f>VLOOKUP(Tabela2[[#This Row],[Tag]],BD!$A:$AE,30,0)</f>
        <v>20</v>
      </c>
      <c r="K186" s="29">
        <f>SUMIF(B:B,Tabela2[[#This Row],[Tag]],C:C)/Tabela2[[#This Row],[Comprim. Real]]</f>
        <v>1</v>
      </c>
      <c r="L186" s="29" t="str">
        <f>VLOOKUP(Tabela2[[#This Row],[Tag]],BD!A:AF,32,0)</f>
        <v>7HV</v>
      </c>
    </row>
    <row r="187" spans="1:12" x14ac:dyDescent="0.25">
      <c r="A187" s="391">
        <v>186</v>
      </c>
      <c r="B187" s="7" t="s">
        <v>484</v>
      </c>
      <c r="C187" s="391">
        <v>20</v>
      </c>
      <c r="D187" s="32">
        <v>44206</v>
      </c>
      <c r="E187" s="32" t="str">
        <f>VLOOKUP(Tabela2[[#This Row],[Tag]],BD!$A:$B,2,0)</f>
        <v>Controle</v>
      </c>
      <c r="F187" s="32" t="str">
        <f>VLOOKUP(Tabela2[[#This Row],[Tag]],BD!A:J,10,0)</f>
        <v>7HV</v>
      </c>
      <c r="G187" s="31" t="str">
        <f>VLOOKUP(Tabela2[[#This Row],[Tag]],BD!$A:$V,20,0)</f>
        <v>BK-SP54-0900A-LC-74-00001_00000</v>
      </c>
      <c r="H187" s="32" t="str">
        <f>IF(VLOOKUP(Tabela2[[#This Row],[Tag]],BD!A:T,17,0)=0,"",VLOOKUP(Tabela2[[#This Row],[Tag]],BD!A:T,17,0))</f>
        <v>5.8.1</v>
      </c>
      <c r="I187" s="139">
        <v>44197</v>
      </c>
      <c r="J187" s="155">
        <f>VLOOKUP(Tabela2[[#This Row],[Tag]],BD!$A:$AE,30,0)</f>
        <v>20</v>
      </c>
      <c r="K187" s="29">
        <f>SUMIF(B:B,Tabela2[[#This Row],[Tag]],C:C)/Tabela2[[#This Row],[Comprim. Real]]</f>
        <v>1</v>
      </c>
      <c r="L187" s="29" t="str">
        <f>VLOOKUP(Tabela2[[#This Row],[Tag]],BD!A:AF,32,0)</f>
        <v>7HV</v>
      </c>
    </row>
    <row r="188" spans="1:12" x14ac:dyDescent="0.25">
      <c r="A188" s="391">
        <v>187</v>
      </c>
      <c r="B188" s="7" t="s">
        <v>486</v>
      </c>
      <c r="C188" s="391">
        <v>20</v>
      </c>
      <c r="D188" s="32">
        <v>44206</v>
      </c>
      <c r="E188" s="32" t="str">
        <f>VLOOKUP(Tabela2[[#This Row],[Tag]],BD!$A:$B,2,0)</f>
        <v>Controle</v>
      </c>
      <c r="F188" s="32" t="str">
        <f>VLOOKUP(Tabela2[[#This Row],[Tag]],BD!A:J,10,0)</f>
        <v>7HV</v>
      </c>
      <c r="G188" s="31" t="str">
        <f>VLOOKUP(Tabela2[[#This Row],[Tag]],BD!$A:$V,20,0)</f>
        <v>BK-SP54-0900A-LC-74-00001_00000</v>
      </c>
      <c r="H188" s="32" t="str">
        <f>IF(VLOOKUP(Tabela2[[#This Row],[Tag]],BD!A:T,17,0)=0,"",VLOOKUP(Tabela2[[#This Row],[Tag]],BD!A:T,17,0))</f>
        <v>5.8.1</v>
      </c>
      <c r="I188" s="139">
        <v>44197</v>
      </c>
      <c r="J188" s="155">
        <f>VLOOKUP(Tabela2[[#This Row],[Tag]],BD!$A:$AE,30,0)</f>
        <v>20</v>
      </c>
      <c r="K188" s="29">
        <f>SUMIF(B:B,Tabela2[[#This Row],[Tag]],C:C)/Tabela2[[#This Row],[Comprim. Real]]</f>
        <v>1</v>
      </c>
      <c r="L188" s="29" t="str">
        <f>VLOOKUP(Tabela2[[#This Row],[Tag]],BD!A:AF,32,0)</f>
        <v>7HV</v>
      </c>
    </row>
    <row r="189" spans="1:12" x14ac:dyDescent="0.25">
      <c r="A189" s="391">
        <v>188</v>
      </c>
      <c r="B189" s="7" t="s">
        <v>488</v>
      </c>
      <c r="C189" s="391">
        <v>20</v>
      </c>
      <c r="D189" s="32">
        <v>44206</v>
      </c>
      <c r="E189" s="32" t="str">
        <f>VLOOKUP(Tabela2[[#This Row],[Tag]],BD!$A:$B,2,0)</f>
        <v>Controle</v>
      </c>
      <c r="F189" s="32" t="str">
        <f>VLOOKUP(Tabela2[[#This Row],[Tag]],BD!A:J,10,0)</f>
        <v>7HV</v>
      </c>
      <c r="G189" s="31" t="str">
        <f>VLOOKUP(Tabela2[[#This Row],[Tag]],BD!$A:$V,20,0)</f>
        <v>BK-SP54-0900A-LC-74-00001_00000</v>
      </c>
      <c r="H189" s="32" t="str">
        <f>IF(VLOOKUP(Tabela2[[#This Row],[Tag]],BD!A:T,17,0)=0,"",VLOOKUP(Tabela2[[#This Row],[Tag]],BD!A:T,17,0))</f>
        <v>5.8.1</v>
      </c>
      <c r="I189" s="139">
        <v>44197</v>
      </c>
      <c r="J189" s="155">
        <f>VLOOKUP(Tabela2[[#This Row],[Tag]],BD!$A:$AE,30,0)</f>
        <v>20</v>
      </c>
      <c r="K189" s="29">
        <f>SUMIF(B:B,Tabela2[[#This Row],[Tag]],C:C)/Tabela2[[#This Row],[Comprim. Real]]</f>
        <v>1</v>
      </c>
      <c r="L189" s="29" t="str">
        <f>VLOOKUP(Tabela2[[#This Row],[Tag]],BD!A:AF,32,0)</f>
        <v>7HV</v>
      </c>
    </row>
    <row r="190" spans="1:12" x14ac:dyDescent="0.25">
      <c r="A190" s="391">
        <v>189</v>
      </c>
      <c r="B190" s="7" t="s">
        <v>490</v>
      </c>
      <c r="C190" s="391">
        <v>20</v>
      </c>
      <c r="D190" s="32">
        <v>44206</v>
      </c>
      <c r="E190" s="32" t="str">
        <f>VLOOKUP(Tabela2[[#This Row],[Tag]],BD!$A:$B,2,0)</f>
        <v>Controle</v>
      </c>
      <c r="F190" s="32" t="str">
        <f>VLOOKUP(Tabela2[[#This Row],[Tag]],BD!A:J,10,0)</f>
        <v>7HV</v>
      </c>
      <c r="G190" s="31" t="str">
        <f>VLOOKUP(Tabela2[[#This Row],[Tag]],BD!$A:$V,20,0)</f>
        <v>BK-SP54-0900A-LC-74-00001_00000</v>
      </c>
      <c r="H190" s="32" t="str">
        <f>IF(VLOOKUP(Tabela2[[#This Row],[Tag]],BD!A:T,17,0)=0,"",VLOOKUP(Tabela2[[#This Row],[Tag]],BD!A:T,17,0))</f>
        <v>5.8.1</v>
      </c>
      <c r="I190" s="139">
        <v>44197</v>
      </c>
      <c r="J190" s="155">
        <f>VLOOKUP(Tabela2[[#This Row],[Tag]],BD!$A:$AE,30,0)</f>
        <v>20</v>
      </c>
      <c r="K190" s="29">
        <f>SUMIF(B:B,Tabela2[[#This Row],[Tag]],C:C)/Tabela2[[#This Row],[Comprim. Real]]</f>
        <v>1</v>
      </c>
      <c r="L190" s="29" t="str">
        <f>VLOOKUP(Tabela2[[#This Row],[Tag]],BD!A:AF,32,0)</f>
        <v>7HV</v>
      </c>
    </row>
    <row r="191" spans="1:12" x14ac:dyDescent="0.25">
      <c r="A191" s="391">
        <v>190</v>
      </c>
      <c r="B191" s="7" t="s">
        <v>522</v>
      </c>
      <c r="C191" s="391">
        <v>20</v>
      </c>
      <c r="D191" s="32">
        <v>44206</v>
      </c>
      <c r="E191" s="32" t="str">
        <f>VLOOKUP(Tabela2[[#This Row],[Tag]],BD!$A:$B,2,0)</f>
        <v>Força</v>
      </c>
      <c r="F191" s="32" t="str">
        <f>VLOOKUP(Tabela2[[#This Row],[Tag]],BD!A:J,10,0)</f>
        <v>7HV</v>
      </c>
      <c r="G191" s="31" t="str">
        <f>VLOOKUP(Tabela2[[#This Row],[Tag]],BD!$A:$V,20,0)</f>
        <v>BK-SP54-0900A-LC-74-00001_00000</v>
      </c>
      <c r="H191" s="32" t="str">
        <f>IF(VLOOKUP(Tabela2[[#This Row],[Tag]],BD!A:T,17,0)=0,"",VLOOKUP(Tabela2[[#This Row],[Tag]],BD!A:T,17,0))</f>
        <v>5.10.2</v>
      </c>
      <c r="I191" s="139">
        <v>44197</v>
      </c>
      <c r="J191" s="155">
        <f>VLOOKUP(Tabela2[[#This Row],[Tag]],BD!$A:$AE,30,0)</f>
        <v>20</v>
      </c>
      <c r="K191" s="29">
        <f>SUMIF(B:B,Tabela2[[#This Row],[Tag]],C:C)/Tabela2[[#This Row],[Comprim. Real]]</f>
        <v>1</v>
      </c>
      <c r="L191" s="29" t="str">
        <f>VLOOKUP(Tabela2[[#This Row],[Tag]],BD!A:AF,32,0)</f>
        <v>7HV</v>
      </c>
    </row>
    <row r="192" spans="1:12" x14ac:dyDescent="0.25">
      <c r="A192" s="391">
        <v>191</v>
      </c>
      <c r="B192" s="7" t="s">
        <v>532</v>
      </c>
      <c r="C192" s="391">
        <v>20</v>
      </c>
      <c r="D192" s="32">
        <v>44206</v>
      </c>
      <c r="E192" s="32" t="str">
        <f>VLOOKUP(Tabela2[[#This Row],[Tag]],BD!$A:$B,2,0)</f>
        <v>Força</v>
      </c>
      <c r="F192" s="32" t="str">
        <f>VLOOKUP(Tabela2[[#This Row],[Tag]],BD!A:J,10,0)</f>
        <v>7HV</v>
      </c>
      <c r="G192" s="31" t="str">
        <f>VLOOKUP(Tabela2[[#This Row],[Tag]],BD!$A:$V,20,0)</f>
        <v>BK-SP54-0900A-LC-74-00001_00000</v>
      </c>
      <c r="H192" s="32" t="str">
        <f>IF(VLOOKUP(Tabela2[[#This Row],[Tag]],BD!A:T,17,0)=0,"",VLOOKUP(Tabela2[[#This Row],[Tag]],BD!A:T,17,0))</f>
        <v>5.10.2</v>
      </c>
      <c r="I192" s="139">
        <v>44197</v>
      </c>
      <c r="J192" s="155">
        <f>VLOOKUP(Tabela2[[#This Row],[Tag]],BD!$A:$AE,30,0)</f>
        <v>20</v>
      </c>
      <c r="K192" s="29">
        <f>SUMIF(B:B,Tabela2[[#This Row],[Tag]],C:C)/Tabela2[[#This Row],[Comprim. Real]]</f>
        <v>1</v>
      </c>
      <c r="L192" s="29" t="str">
        <f>VLOOKUP(Tabela2[[#This Row],[Tag]],BD!A:AF,32,0)</f>
        <v>7HV</v>
      </c>
    </row>
    <row r="193" spans="1:12" x14ac:dyDescent="0.25">
      <c r="A193" s="391">
        <v>192</v>
      </c>
      <c r="B193" s="7" t="s">
        <v>802</v>
      </c>
      <c r="C193" s="391">
        <v>60</v>
      </c>
      <c r="D193" s="32">
        <v>44206</v>
      </c>
      <c r="E193" s="32" t="str">
        <f>VLOOKUP(Tabela2[[#This Row],[Tag]],BD!$A:$B,2,0)</f>
        <v>Força</v>
      </c>
      <c r="F193" s="32" t="str">
        <f>VLOOKUP(Tabela2[[#This Row],[Tag]],BD!A:J,10,0)</f>
        <v>8HV</v>
      </c>
      <c r="G193" s="31" t="str">
        <f>VLOOKUP(Tabela2[[#This Row],[Tag]],BD!$A:$V,20,0)</f>
        <v>BK-SP54-0900A-LC-74-00001_00000</v>
      </c>
      <c r="H193" s="32" t="str">
        <f>IF(VLOOKUP(Tabela2[[#This Row],[Tag]],BD!A:T,17,0)=0,"",VLOOKUP(Tabela2[[#This Row],[Tag]],BD!A:T,17,0))</f>
        <v>5.2.11</v>
      </c>
      <c r="I193" s="139">
        <v>44197</v>
      </c>
      <c r="J193" s="155">
        <f>VLOOKUP(Tabela2[[#This Row],[Tag]],BD!$A:$AE,30,0)</f>
        <v>60</v>
      </c>
      <c r="K193" s="29">
        <f>SUMIF(B:B,Tabela2[[#This Row],[Tag]],C:C)/Tabela2[[#This Row],[Comprim. Real]]</f>
        <v>1</v>
      </c>
      <c r="L193" s="29" t="str">
        <f>VLOOKUP(Tabela2[[#This Row],[Tag]],BD!A:AF,32,0)</f>
        <v>8HV</v>
      </c>
    </row>
    <row r="194" spans="1:12" x14ac:dyDescent="0.25">
      <c r="A194" s="391">
        <v>193</v>
      </c>
      <c r="B194" s="7" t="s">
        <v>818</v>
      </c>
      <c r="C194" s="391">
        <v>10</v>
      </c>
      <c r="D194" s="32">
        <v>44206</v>
      </c>
      <c r="E194" s="32" t="str">
        <f>VLOOKUP(Tabela2[[#This Row],[Tag]],BD!$A:$B,2,0)</f>
        <v>Controle</v>
      </c>
      <c r="F194" s="32" t="str">
        <f>VLOOKUP(Tabela2[[#This Row],[Tag]],BD!A:J,10,0)</f>
        <v>8HV</v>
      </c>
      <c r="G194" s="31" t="str">
        <f>VLOOKUP(Tabela2[[#This Row],[Tag]],BD!$A:$V,20,0)</f>
        <v>BK-SP54-0900A-LC-74-00001_00000</v>
      </c>
      <c r="H194" s="32" t="str">
        <f>IF(VLOOKUP(Tabela2[[#This Row],[Tag]],BD!A:T,17,0)=0,"",VLOOKUP(Tabela2[[#This Row],[Tag]],BD!A:T,17,0))</f>
        <v>5.8.1</v>
      </c>
      <c r="I194" s="139">
        <v>44197</v>
      </c>
      <c r="J194" s="155">
        <f>VLOOKUP(Tabela2[[#This Row],[Tag]],BD!$A:$AE,30,0)</f>
        <v>10</v>
      </c>
      <c r="K194" s="29">
        <f>SUMIF(B:B,Tabela2[[#This Row],[Tag]],C:C)/Tabela2[[#This Row],[Comprim. Real]]</f>
        <v>1</v>
      </c>
      <c r="L194" s="29" t="str">
        <f>VLOOKUP(Tabela2[[#This Row],[Tag]],BD!A:AF,32,0)</f>
        <v>8HV</v>
      </c>
    </row>
    <row r="195" spans="1:12" x14ac:dyDescent="0.25">
      <c r="A195" s="391">
        <v>194</v>
      </c>
      <c r="B195" s="7" t="s">
        <v>825</v>
      </c>
      <c r="C195" s="391">
        <v>10</v>
      </c>
      <c r="D195" s="32">
        <v>44206</v>
      </c>
      <c r="E195" s="32" t="str">
        <f>VLOOKUP(Tabela2[[#This Row],[Tag]],BD!$A:$B,2,0)</f>
        <v>Controle</v>
      </c>
      <c r="F195" s="32" t="str">
        <f>VLOOKUP(Tabela2[[#This Row],[Tag]],BD!A:J,10,0)</f>
        <v>8HV</v>
      </c>
      <c r="G195" s="31" t="str">
        <f>VLOOKUP(Tabela2[[#This Row],[Tag]],BD!$A:$V,20,0)</f>
        <v>BK-SP54-0900A-LC-74-00001_00000</v>
      </c>
      <c r="H195" s="32" t="str">
        <f>IF(VLOOKUP(Tabela2[[#This Row],[Tag]],BD!A:T,17,0)=0,"",VLOOKUP(Tabela2[[#This Row],[Tag]],BD!A:T,17,0))</f>
        <v>5.10.2</v>
      </c>
      <c r="I195" s="139">
        <v>44197</v>
      </c>
      <c r="J195" s="155">
        <f>VLOOKUP(Tabela2[[#This Row],[Tag]],BD!$A:$AE,30,0)</f>
        <v>10</v>
      </c>
      <c r="K195" s="29">
        <f>SUMIF(B:B,Tabela2[[#This Row],[Tag]],C:C)/Tabela2[[#This Row],[Comprim. Real]]</f>
        <v>1</v>
      </c>
      <c r="L195" s="29" t="str">
        <f>VLOOKUP(Tabela2[[#This Row],[Tag]],BD!A:AF,32,0)</f>
        <v>8HV</v>
      </c>
    </row>
    <row r="196" spans="1:12" x14ac:dyDescent="0.25">
      <c r="A196" s="391">
        <v>195</v>
      </c>
      <c r="B196" s="7" t="s">
        <v>830</v>
      </c>
      <c r="C196" s="391">
        <v>10</v>
      </c>
      <c r="D196" s="32">
        <v>44206</v>
      </c>
      <c r="E196" s="32" t="str">
        <f>VLOOKUP(Tabela2[[#This Row],[Tag]],BD!$A:$B,2,0)</f>
        <v>Controle</v>
      </c>
      <c r="F196" s="32" t="str">
        <f>VLOOKUP(Tabela2[[#This Row],[Tag]],BD!A:J,10,0)</f>
        <v>8HV</v>
      </c>
      <c r="G196" s="31" t="str">
        <f>VLOOKUP(Tabela2[[#This Row],[Tag]],BD!$A:$V,20,0)</f>
        <v>BK-SP54-0900A-LC-74-00001_00000</v>
      </c>
      <c r="H196" s="32" t="str">
        <f>IF(VLOOKUP(Tabela2[[#This Row],[Tag]],BD!A:T,17,0)=0,"",VLOOKUP(Tabela2[[#This Row],[Tag]],BD!A:T,17,0))</f>
        <v>5.10.2</v>
      </c>
      <c r="I196" s="139">
        <v>44197</v>
      </c>
      <c r="J196" s="155">
        <f>VLOOKUP(Tabela2[[#This Row],[Tag]],BD!$A:$AE,30,0)</f>
        <v>10</v>
      </c>
      <c r="K196" s="29">
        <f>SUMIF(B:B,Tabela2[[#This Row],[Tag]],C:C)/Tabela2[[#This Row],[Comprim. Real]]</f>
        <v>1</v>
      </c>
      <c r="L196" s="29" t="str">
        <f>VLOOKUP(Tabela2[[#This Row],[Tag]],BD!A:AF,32,0)</f>
        <v>8HV</v>
      </c>
    </row>
    <row r="197" spans="1:12" x14ac:dyDescent="0.25">
      <c r="A197" s="391">
        <v>196</v>
      </c>
      <c r="B197" s="7" t="s">
        <v>860</v>
      </c>
      <c r="C197" s="391">
        <v>15</v>
      </c>
      <c r="D197" s="32">
        <v>44206</v>
      </c>
      <c r="E197" s="32" t="str">
        <f>VLOOKUP(Tabela2[[#This Row],[Tag]],BD!$A:$B,2,0)</f>
        <v>Força</v>
      </c>
      <c r="F197" s="32" t="str">
        <f>VLOOKUP(Tabela2[[#This Row],[Tag]],BD!A:J,10,0)</f>
        <v>8HV</v>
      </c>
      <c r="G197" s="31" t="str">
        <f>VLOOKUP(Tabela2[[#This Row],[Tag]],BD!$A:$V,20,0)</f>
        <v>BK-SP54-0900A-LC-74-00001_00000</v>
      </c>
      <c r="H197" s="32" t="str">
        <f>IF(VLOOKUP(Tabela2[[#This Row],[Tag]],BD!A:T,17,0)=0,"",VLOOKUP(Tabela2[[#This Row],[Tag]],BD!A:T,17,0))</f>
        <v>5.10.2</v>
      </c>
      <c r="I197" s="139">
        <v>44197</v>
      </c>
      <c r="J197" s="155">
        <f>VLOOKUP(Tabela2[[#This Row],[Tag]],BD!$A:$AE,30,0)</f>
        <v>15</v>
      </c>
      <c r="K197" s="29">
        <f>SUMIF(B:B,Tabela2[[#This Row],[Tag]],C:C)/Tabela2[[#This Row],[Comprim. Real]]</f>
        <v>1</v>
      </c>
      <c r="L197" s="29" t="str">
        <f>VLOOKUP(Tabela2[[#This Row],[Tag]],BD!A:AF,32,0)</f>
        <v>8HV</v>
      </c>
    </row>
    <row r="198" spans="1:12" x14ac:dyDescent="0.25">
      <c r="A198" s="391">
        <v>197</v>
      </c>
      <c r="B198" s="7" t="s">
        <v>874</v>
      </c>
      <c r="C198" s="391">
        <v>10</v>
      </c>
      <c r="D198" s="32">
        <v>44206</v>
      </c>
      <c r="E198" s="32" t="str">
        <f>VLOOKUP(Tabela2[[#This Row],[Tag]],BD!$A:$B,2,0)</f>
        <v>Força</v>
      </c>
      <c r="F198" s="32" t="str">
        <f>VLOOKUP(Tabela2[[#This Row],[Tag]],BD!A:J,10,0)</f>
        <v>8HV</v>
      </c>
      <c r="G198" s="31" t="str">
        <f>VLOOKUP(Tabela2[[#This Row],[Tag]],BD!$A:$V,20,0)</f>
        <v>BK-SP54-0900A-LC-74-00001_00000</v>
      </c>
      <c r="H198" s="32" t="str">
        <f>IF(VLOOKUP(Tabela2[[#This Row],[Tag]],BD!A:T,17,0)=0,"",VLOOKUP(Tabela2[[#This Row],[Tag]],BD!A:T,17,0))</f>
        <v>5.10.2</v>
      </c>
      <c r="I198" s="139">
        <v>44197</v>
      </c>
      <c r="J198" s="155">
        <f>VLOOKUP(Tabela2[[#This Row],[Tag]],BD!$A:$AE,30,0)</f>
        <v>10</v>
      </c>
      <c r="K198" s="29">
        <f>SUMIF(B:B,Tabela2[[#This Row],[Tag]],C:C)/Tabela2[[#This Row],[Comprim. Real]]</f>
        <v>1</v>
      </c>
      <c r="L198" s="29" t="str">
        <f>VLOOKUP(Tabela2[[#This Row],[Tag]],BD!A:AF,32,0)</f>
        <v>8HV</v>
      </c>
    </row>
    <row r="199" spans="1:12" x14ac:dyDescent="0.25">
      <c r="A199" s="391">
        <v>198</v>
      </c>
      <c r="B199" s="7" t="s">
        <v>877</v>
      </c>
      <c r="C199" s="391">
        <v>5</v>
      </c>
      <c r="D199" s="32">
        <v>44206</v>
      </c>
      <c r="E199" s="32" t="str">
        <f>VLOOKUP(Tabela2[[#This Row],[Tag]],BD!$A:$B,2,0)</f>
        <v>Força</v>
      </c>
      <c r="F199" s="32" t="str">
        <f>VLOOKUP(Tabela2[[#This Row],[Tag]],BD!A:J,10,0)</f>
        <v>8HV</v>
      </c>
      <c r="G199" s="31" t="str">
        <f>VLOOKUP(Tabela2[[#This Row],[Tag]],BD!$A:$V,20,0)</f>
        <v>BK-SP54-0900A-LC-74-00001_00000</v>
      </c>
      <c r="H199" s="32" t="str">
        <f>IF(VLOOKUP(Tabela2[[#This Row],[Tag]],BD!A:T,17,0)=0,"",VLOOKUP(Tabela2[[#This Row],[Tag]],BD!A:T,17,0))</f>
        <v>5.2.8</v>
      </c>
      <c r="I199" s="139">
        <v>44197</v>
      </c>
      <c r="J199" s="155">
        <f>VLOOKUP(Tabela2[[#This Row],[Tag]],BD!$A:$AE,30,0)</f>
        <v>5</v>
      </c>
      <c r="K199" s="29">
        <f>SUMIF(B:B,Tabela2[[#This Row],[Tag]],C:C)/Tabela2[[#This Row],[Comprim. Real]]</f>
        <v>1</v>
      </c>
      <c r="L199" s="29" t="str">
        <f>VLOOKUP(Tabela2[[#This Row],[Tag]],BD!A:AF,32,0)</f>
        <v>8HV</v>
      </c>
    </row>
    <row r="200" spans="1:12" x14ac:dyDescent="0.25">
      <c r="A200" s="391">
        <v>199</v>
      </c>
      <c r="B200" s="7" t="s">
        <v>889</v>
      </c>
      <c r="C200" s="391">
        <v>5</v>
      </c>
      <c r="D200" s="32">
        <v>44206</v>
      </c>
      <c r="E200" s="32" t="str">
        <f>VLOOKUP(Tabela2[[#This Row],[Tag]],BD!$A:$B,2,0)</f>
        <v>Força</v>
      </c>
      <c r="F200" s="32" t="str">
        <f>VLOOKUP(Tabela2[[#This Row],[Tag]],BD!A:J,10,0)</f>
        <v>8HV</v>
      </c>
      <c r="G200" s="31" t="str">
        <f>VLOOKUP(Tabela2[[#This Row],[Tag]],BD!$A:$V,20,0)</f>
        <v>BK-SP54-0900A-LC-74-00001_00000</v>
      </c>
      <c r="H200" s="32" t="str">
        <f>IF(VLOOKUP(Tabela2[[#This Row],[Tag]],BD!A:T,17,0)=0,"",VLOOKUP(Tabela2[[#This Row],[Tag]],BD!A:T,17,0))</f>
        <v>5.4.1</v>
      </c>
      <c r="I200" s="139">
        <v>44197</v>
      </c>
      <c r="J200" s="155">
        <f>VLOOKUP(Tabela2[[#This Row],[Tag]],BD!$A:$AE,30,0)</f>
        <v>5</v>
      </c>
      <c r="K200" s="29">
        <f>SUMIF(B:B,Tabela2[[#This Row],[Tag]],C:C)/Tabela2[[#This Row],[Comprim. Real]]</f>
        <v>1</v>
      </c>
      <c r="L200" s="29" t="str">
        <f>VLOOKUP(Tabela2[[#This Row],[Tag]],BD!A:AF,32,0)</f>
        <v>8HV</v>
      </c>
    </row>
    <row r="201" spans="1:12" x14ac:dyDescent="0.25">
      <c r="A201" s="391">
        <v>200</v>
      </c>
      <c r="B201" s="7" t="s">
        <v>987</v>
      </c>
      <c r="C201" s="391">
        <v>540</v>
      </c>
      <c r="D201" s="32">
        <v>44206</v>
      </c>
      <c r="E201" s="32" t="str">
        <f>VLOOKUP(Tabela2[[#This Row],[Tag]],BD!$A:$B,2,0)</f>
        <v>Força</v>
      </c>
      <c r="F201" s="32" t="str">
        <f>VLOOKUP(Tabela2[[#This Row],[Tag]],BD!A:J,10,0)</f>
        <v>8HV</v>
      </c>
      <c r="G201" s="31" t="str">
        <f>VLOOKUP(Tabela2[[#This Row],[Tag]],BD!$A:$V,20,0)</f>
        <v>BK-SP54-0900A-LC-74-00001_00000</v>
      </c>
      <c r="H201" s="32" t="str">
        <f>IF(VLOOKUP(Tabela2[[#This Row],[Tag]],BD!A:T,17,0)=0,"",VLOOKUP(Tabela2[[#This Row],[Tag]],BD!A:T,17,0))</f>
        <v>5.2.3</v>
      </c>
      <c r="I201" s="139">
        <v>44197</v>
      </c>
      <c r="J201" s="155">
        <f>VLOOKUP(Tabela2[[#This Row],[Tag]],BD!$A:$AE,30,0)</f>
        <v>540</v>
      </c>
      <c r="K201" s="29">
        <f>SUMIF(B:B,Tabela2[[#This Row],[Tag]],C:C)/Tabela2[[#This Row],[Comprim. Real]]</f>
        <v>1</v>
      </c>
      <c r="L201" s="29" t="str">
        <f>VLOOKUP(Tabela2[[#This Row],[Tag]],BD!A:AF,32,0)</f>
        <v>8HVxCOG</v>
      </c>
    </row>
    <row r="202" spans="1:12" x14ac:dyDescent="0.25">
      <c r="A202" s="391">
        <v>201</v>
      </c>
      <c r="B202" s="7" t="s">
        <v>992</v>
      </c>
      <c r="C202" s="391">
        <v>10</v>
      </c>
      <c r="D202" s="32">
        <v>44206</v>
      </c>
      <c r="E202" s="32" t="str">
        <f>VLOOKUP(Tabela2[[#This Row],[Tag]],BD!$A:$B,2,0)</f>
        <v>Força</v>
      </c>
      <c r="F202" s="32" t="str">
        <f>VLOOKUP(Tabela2[[#This Row],[Tag]],BD!A:J,10,0)</f>
        <v>8HV</v>
      </c>
      <c r="G202" s="31" t="str">
        <f>VLOOKUP(Tabela2[[#This Row],[Tag]],BD!$A:$V,20,0)</f>
        <v>BK-SP54-0900A-LC-74-00001_00000</v>
      </c>
      <c r="H202" s="32" t="str">
        <f>IF(VLOOKUP(Tabela2[[#This Row],[Tag]],BD!A:T,17,0)=0,"",VLOOKUP(Tabela2[[#This Row],[Tag]],BD!A:T,17,0))</f>
        <v>5.2.11</v>
      </c>
      <c r="I202" s="139">
        <v>44197</v>
      </c>
      <c r="J202" s="155">
        <f>VLOOKUP(Tabela2[[#This Row],[Tag]],BD!$A:$AE,30,0)</f>
        <v>10</v>
      </c>
      <c r="K202" s="29">
        <f>SUMIF(B:B,Tabela2[[#This Row],[Tag]],C:C)/Tabela2[[#This Row],[Comprim. Real]]</f>
        <v>1</v>
      </c>
      <c r="L202" s="29" t="str">
        <f>VLOOKUP(Tabela2[[#This Row],[Tag]],BD!A:AF,32,0)</f>
        <v>8HVxCOG</v>
      </c>
    </row>
    <row r="203" spans="1:12" x14ac:dyDescent="0.25">
      <c r="A203" s="391">
        <v>202</v>
      </c>
      <c r="B203" s="7" t="s">
        <v>1002</v>
      </c>
      <c r="C203" s="391">
        <v>30</v>
      </c>
      <c r="D203" s="32">
        <v>44206</v>
      </c>
      <c r="E203" s="32" t="str">
        <f>VLOOKUP(Tabela2[[#This Row],[Tag]],BD!$A:$B,2,0)</f>
        <v>Controle</v>
      </c>
      <c r="F203" s="32" t="str">
        <f>VLOOKUP(Tabela2[[#This Row],[Tag]],BD!A:J,10,0)</f>
        <v>8HV</v>
      </c>
      <c r="G203" s="31" t="str">
        <f>VLOOKUP(Tabela2[[#This Row],[Tag]],BD!$A:$V,20,0)</f>
        <v>BK-SP54-0900A-LC-74-00001_00000</v>
      </c>
      <c r="H203" s="32" t="str">
        <f>IF(VLOOKUP(Tabela2[[#This Row],[Tag]],BD!A:T,17,0)=0,"",VLOOKUP(Tabela2[[#This Row],[Tag]],BD!A:T,17,0))</f>
        <v>5.8.1</v>
      </c>
      <c r="I203" s="139">
        <v>44197</v>
      </c>
      <c r="J203" s="155">
        <f>VLOOKUP(Tabela2[[#This Row],[Tag]],BD!$A:$AE,30,0)</f>
        <v>30</v>
      </c>
      <c r="K203" s="29">
        <f>SUMIF(B:B,Tabela2[[#This Row],[Tag]],C:C)/Tabela2[[#This Row],[Comprim. Real]]</f>
        <v>1</v>
      </c>
      <c r="L203" s="29" t="str">
        <f>VLOOKUP(Tabela2[[#This Row],[Tag]],BD!A:AF,32,0)</f>
        <v>8HVxCOG</v>
      </c>
    </row>
    <row r="204" spans="1:12" x14ac:dyDescent="0.25">
      <c r="A204" s="391">
        <v>203</v>
      </c>
      <c r="B204" s="7" t="s">
        <v>1004</v>
      </c>
      <c r="C204" s="391">
        <v>30</v>
      </c>
      <c r="D204" s="32">
        <v>44206</v>
      </c>
      <c r="E204" s="32" t="str">
        <f>VLOOKUP(Tabela2[[#This Row],[Tag]],BD!$A:$B,2,0)</f>
        <v>Controle</v>
      </c>
      <c r="F204" s="32" t="str">
        <f>VLOOKUP(Tabela2[[#This Row],[Tag]],BD!A:J,10,0)</f>
        <v>8HV</v>
      </c>
      <c r="G204" s="31" t="str">
        <f>VLOOKUP(Tabela2[[#This Row],[Tag]],BD!$A:$V,20,0)</f>
        <v>BK-SP54-0900A-LC-74-00001_00000</v>
      </c>
      <c r="H204" s="32" t="str">
        <f>IF(VLOOKUP(Tabela2[[#This Row],[Tag]],BD!A:T,17,0)=0,"",VLOOKUP(Tabela2[[#This Row],[Tag]],BD!A:T,17,0))</f>
        <v>5.8.1</v>
      </c>
      <c r="I204" s="139">
        <v>44197</v>
      </c>
      <c r="J204" s="155">
        <f>VLOOKUP(Tabela2[[#This Row],[Tag]],BD!$A:$AE,30,0)</f>
        <v>30</v>
      </c>
      <c r="K204" s="29">
        <f>SUMIF(B:B,Tabela2[[#This Row],[Tag]],C:C)/Tabela2[[#This Row],[Comprim. Real]]</f>
        <v>1</v>
      </c>
      <c r="L204" s="29" t="str">
        <f>VLOOKUP(Tabela2[[#This Row],[Tag]],BD!A:AF,32,0)</f>
        <v>8HVxCOG</v>
      </c>
    </row>
    <row r="205" spans="1:12" x14ac:dyDescent="0.25">
      <c r="A205" s="391">
        <v>204</v>
      </c>
      <c r="B205" s="7" t="s">
        <v>1006</v>
      </c>
      <c r="C205" s="391">
        <v>30</v>
      </c>
      <c r="D205" s="32">
        <v>44206</v>
      </c>
      <c r="E205" s="32" t="str">
        <f>VLOOKUP(Tabela2[[#This Row],[Tag]],BD!$A:$B,2,0)</f>
        <v>Controle</v>
      </c>
      <c r="F205" s="32" t="str">
        <f>VLOOKUP(Tabela2[[#This Row],[Tag]],BD!A:J,10,0)</f>
        <v>8HV</v>
      </c>
      <c r="G205" s="31" t="str">
        <f>VLOOKUP(Tabela2[[#This Row],[Tag]],BD!$A:$V,20,0)</f>
        <v>BK-SP54-0900A-LC-74-00001_00000</v>
      </c>
      <c r="H205" s="32" t="str">
        <f>IF(VLOOKUP(Tabela2[[#This Row],[Tag]],BD!A:T,17,0)=0,"",VLOOKUP(Tabela2[[#This Row],[Tag]],BD!A:T,17,0))</f>
        <v>5.8.1</v>
      </c>
      <c r="I205" s="139">
        <v>44197</v>
      </c>
      <c r="J205" s="155">
        <f>VLOOKUP(Tabela2[[#This Row],[Tag]],BD!$A:$AE,30,0)</f>
        <v>30</v>
      </c>
      <c r="K205" s="29">
        <f>SUMIF(B:B,Tabela2[[#This Row],[Tag]],C:C)/Tabela2[[#This Row],[Comprim. Real]]</f>
        <v>1</v>
      </c>
      <c r="L205" s="29" t="str">
        <f>VLOOKUP(Tabela2[[#This Row],[Tag]],BD!A:AF,32,0)</f>
        <v>8HVxCOG</v>
      </c>
    </row>
    <row r="206" spans="1:12" x14ac:dyDescent="0.25">
      <c r="A206" s="391">
        <v>205</v>
      </c>
      <c r="B206" s="7" t="s">
        <v>1009</v>
      </c>
      <c r="C206" s="391">
        <v>30</v>
      </c>
      <c r="D206" s="32">
        <v>44206</v>
      </c>
      <c r="E206" s="32" t="str">
        <f>VLOOKUP(Tabela2[[#This Row],[Tag]],BD!$A:$B,2,0)</f>
        <v>Controle</v>
      </c>
      <c r="F206" s="32" t="str">
        <f>VLOOKUP(Tabela2[[#This Row],[Tag]],BD!A:J,10,0)</f>
        <v>8HV</v>
      </c>
      <c r="G206" s="31" t="str">
        <f>VLOOKUP(Tabela2[[#This Row],[Tag]],BD!$A:$V,20,0)</f>
        <v>BK-SP54-0900A-LC-74-00001_00000</v>
      </c>
      <c r="H206" s="32" t="str">
        <f>IF(VLOOKUP(Tabela2[[#This Row],[Tag]],BD!A:T,17,0)=0,"",VLOOKUP(Tabela2[[#This Row],[Tag]],BD!A:T,17,0))</f>
        <v>5.8.1</v>
      </c>
      <c r="I206" s="139">
        <v>44197</v>
      </c>
      <c r="J206" s="155">
        <f>VLOOKUP(Tabela2[[#This Row],[Tag]],BD!$A:$AE,30,0)</f>
        <v>30</v>
      </c>
      <c r="K206" s="29">
        <f>SUMIF(B:B,Tabela2[[#This Row],[Tag]],C:C)/Tabela2[[#This Row],[Comprim. Real]]</f>
        <v>1</v>
      </c>
      <c r="L206" s="29" t="str">
        <f>VLOOKUP(Tabela2[[#This Row],[Tag]],BD!A:AF,32,0)</f>
        <v>8HVxCOG</v>
      </c>
    </row>
    <row r="207" spans="1:12" x14ac:dyDescent="0.25">
      <c r="A207" s="391">
        <v>206</v>
      </c>
      <c r="B207" s="7" t="s">
        <v>695</v>
      </c>
      <c r="C207" s="391">
        <v>370</v>
      </c>
      <c r="D207" s="32">
        <v>44214</v>
      </c>
      <c r="E207" s="32" t="str">
        <f>VLOOKUP(Tabela2[[#This Row],[Tag]],BD!$A:$B,2,0)</f>
        <v>Controle</v>
      </c>
      <c r="F207" s="32" t="str">
        <f>VLOOKUP(Tabela2[[#This Row],[Tag]],BD!A:J,10,0)</f>
        <v>7HV</v>
      </c>
      <c r="G207" s="31" t="str">
        <f>VLOOKUP(Tabela2[[#This Row],[Tag]],BD!$A:$V,20,0)</f>
        <v>BK-SP54-00200-LC-81-00001_00000</v>
      </c>
      <c r="H207" s="32" t="str">
        <f>IF(VLOOKUP(Tabela2[[#This Row],[Tag]],BD!A:T,17,0)=0,"",VLOOKUP(Tabela2[[#This Row],[Tag]],BD!A:T,17,0))</f>
        <v>4.6.1</v>
      </c>
      <c r="I207" s="139">
        <v>44166</v>
      </c>
      <c r="J207" s="155">
        <f>VLOOKUP(Tabela2[[#This Row],[Tag]],BD!$A:$AE,30,0)</f>
        <v>370</v>
      </c>
      <c r="K207" s="29">
        <f>SUMIF(B:B,Tabela2[[#This Row],[Tag]],C:C)/Tabela2[[#This Row],[Comprim. Real]]</f>
        <v>1</v>
      </c>
      <c r="L207" s="29" t="str">
        <f>VLOOKUP(Tabela2[[#This Row],[Tag]],BD!A:AF,32,0)</f>
        <v>7HVxCCP</v>
      </c>
    </row>
    <row r="208" spans="1:12" x14ac:dyDescent="0.25">
      <c r="A208" s="391">
        <v>207</v>
      </c>
      <c r="B208" s="7" t="s">
        <v>698</v>
      </c>
      <c r="C208" s="391">
        <v>370</v>
      </c>
      <c r="D208" s="32">
        <v>44214</v>
      </c>
      <c r="E208" s="32" t="str">
        <f>VLOOKUP(Tabela2[[#This Row],[Tag]],BD!$A:$B,2,0)</f>
        <v>Controle</v>
      </c>
      <c r="F208" s="32" t="str">
        <f>VLOOKUP(Tabela2[[#This Row],[Tag]],BD!A:J,10,0)</f>
        <v>7HV</v>
      </c>
      <c r="G208" s="31" t="str">
        <f>VLOOKUP(Tabela2[[#This Row],[Tag]],BD!$A:$V,20,0)</f>
        <v>BK-SP54-00200-LC-81-00001_00000</v>
      </c>
      <c r="H208" s="32" t="str">
        <f>IF(VLOOKUP(Tabela2[[#This Row],[Tag]],BD!A:T,17,0)=0,"",VLOOKUP(Tabela2[[#This Row],[Tag]],BD!A:T,17,0))</f>
        <v>4.6.1</v>
      </c>
      <c r="I208" s="139">
        <v>44166</v>
      </c>
      <c r="J208" s="155">
        <f>VLOOKUP(Tabela2[[#This Row],[Tag]],BD!$A:$AE,30,0)</f>
        <v>370</v>
      </c>
      <c r="K208" s="29">
        <f>SUMIF(B:B,Tabela2[[#This Row],[Tag]],C:C)/Tabela2[[#This Row],[Comprim. Real]]</f>
        <v>1</v>
      </c>
      <c r="L208" s="29" t="str">
        <f>VLOOKUP(Tabela2[[#This Row],[Tag]],BD!A:AF,32,0)</f>
        <v>7HVxCCP</v>
      </c>
    </row>
    <row r="209" spans="1:12" x14ac:dyDescent="0.25">
      <c r="A209" s="391">
        <v>208</v>
      </c>
      <c r="B209" s="7" t="s">
        <v>700</v>
      </c>
      <c r="C209" s="391">
        <v>370</v>
      </c>
      <c r="D209" s="32">
        <v>44214</v>
      </c>
      <c r="E209" s="32" t="str">
        <f>VLOOKUP(Tabela2[[#This Row],[Tag]],BD!$A:$B,2,0)</f>
        <v>Controle</v>
      </c>
      <c r="F209" s="32" t="str">
        <f>VLOOKUP(Tabela2[[#This Row],[Tag]],BD!A:J,10,0)</f>
        <v>7HV</v>
      </c>
      <c r="G209" s="31" t="str">
        <f>VLOOKUP(Tabela2[[#This Row],[Tag]],BD!$A:$V,20,0)</f>
        <v>BK-SP54-00200-LC-81-00001_00000</v>
      </c>
      <c r="H209" s="32" t="str">
        <f>IF(VLOOKUP(Tabela2[[#This Row],[Tag]],BD!A:T,17,0)=0,"",VLOOKUP(Tabela2[[#This Row],[Tag]],BD!A:T,17,0))</f>
        <v>4.4.1</v>
      </c>
      <c r="I209" s="139">
        <v>44166</v>
      </c>
      <c r="J209" s="155">
        <f>VLOOKUP(Tabela2[[#This Row],[Tag]],BD!$A:$AE,30,0)</f>
        <v>370</v>
      </c>
      <c r="K209" s="29">
        <f>SUMIF(B:B,Tabela2[[#This Row],[Tag]],C:C)/Tabela2[[#This Row],[Comprim. Real]]</f>
        <v>1</v>
      </c>
      <c r="L209" s="29" t="str">
        <f>VLOOKUP(Tabela2[[#This Row],[Tag]],BD!A:AF,32,0)</f>
        <v>7HVxCCP</v>
      </c>
    </row>
    <row r="210" spans="1:12" x14ac:dyDescent="0.25">
      <c r="A210" s="391">
        <v>209</v>
      </c>
      <c r="B210" s="7" t="s">
        <v>656</v>
      </c>
      <c r="C210" s="391">
        <v>370</v>
      </c>
      <c r="D210" s="32">
        <v>44214</v>
      </c>
      <c r="E210" s="32" t="str">
        <f>VLOOKUP(Tabela2[[#This Row],[Tag]],BD!$A:$B,2,0)</f>
        <v>Controle</v>
      </c>
      <c r="F210" s="32" t="str">
        <f>VLOOKUP(Tabela2[[#This Row],[Tag]],BD!A:J,10,0)</f>
        <v>7HV</v>
      </c>
      <c r="G210" s="31" t="str">
        <f>VLOOKUP(Tabela2[[#This Row],[Tag]],BD!$A:$V,20,0)</f>
        <v>BK-SP54-00200-LC-81-00001_00000</v>
      </c>
      <c r="H210" s="32" t="str">
        <f>IF(VLOOKUP(Tabela2[[#This Row],[Tag]],BD!A:T,17,0)=0,"",VLOOKUP(Tabela2[[#This Row],[Tag]],BD!A:T,17,0))</f>
        <v>4.4.1</v>
      </c>
      <c r="I210" s="139">
        <v>44166</v>
      </c>
      <c r="J210" s="155">
        <f>VLOOKUP(Tabela2[[#This Row],[Tag]],BD!$A:$AE,30,0)</f>
        <v>370</v>
      </c>
      <c r="K210" s="29">
        <f>SUMIF(B:B,Tabela2[[#This Row],[Tag]],C:C)/Tabela2[[#This Row],[Comprim. Real]]</f>
        <v>1</v>
      </c>
      <c r="L210" s="29" t="str">
        <f>VLOOKUP(Tabela2[[#This Row],[Tag]],BD!A:AF,32,0)</f>
        <v>7HVxCCP</v>
      </c>
    </row>
    <row r="211" spans="1:12" x14ac:dyDescent="0.25">
      <c r="A211" s="391">
        <v>210</v>
      </c>
      <c r="B211" s="7" t="s">
        <v>662</v>
      </c>
      <c r="C211" s="391">
        <v>370</v>
      </c>
      <c r="D211" s="32">
        <v>44214</v>
      </c>
      <c r="E211" s="32" t="str">
        <f>VLOOKUP(Tabela2[[#This Row],[Tag]],BD!$A:$B,2,0)</f>
        <v>Controle</v>
      </c>
      <c r="F211" s="32" t="str">
        <f>VLOOKUP(Tabela2[[#This Row],[Tag]],BD!A:J,10,0)</f>
        <v>7HV</v>
      </c>
      <c r="G211" s="31" t="str">
        <f>VLOOKUP(Tabela2[[#This Row],[Tag]],BD!$A:$V,20,0)</f>
        <v>BK-SP54-00200-LC-81-00001_00000</v>
      </c>
      <c r="H211" s="32" t="str">
        <f>IF(VLOOKUP(Tabela2[[#This Row],[Tag]],BD!A:T,17,0)=0,"",VLOOKUP(Tabela2[[#This Row],[Tag]],BD!A:T,17,0))</f>
        <v>4.6.1</v>
      </c>
      <c r="I211" s="139">
        <v>44166</v>
      </c>
      <c r="J211" s="155">
        <f>VLOOKUP(Tabela2[[#This Row],[Tag]],BD!$A:$AE,30,0)</f>
        <v>370</v>
      </c>
      <c r="K211" s="29">
        <f>SUMIF(B:B,Tabela2[[#This Row],[Tag]],C:C)/Tabela2[[#This Row],[Comprim. Real]]</f>
        <v>1</v>
      </c>
      <c r="L211" s="29" t="str">
        <f>VLOOKUP(Tabela2[[#This Row],[Tag]],BD!A:AF,32,0)</f>
        <v>7HVxCCP</v>
      </c>
    </row>
    <row r="212" spans="1:12" x14ac:dyDescent="0.25">
      <c r="A212" s="391">
        <v>211</v>
      </c>
      <c r="B212" s="7" t="s">
        <v>664</v>
      </c>
      <c r="C212" s="391">
        <v>370</v>
      </c>
      <c r="D212" s="32">
        <v>44214</v>
      </c>
      <c r="E212" s="32" t="str">
        <f>VLOOKUP(Tabela2[[#This Row],[Tag]],BD!$A:$B,2,0)</f>
        <v>Controle</v>
      </c>
      <c r="F212" s="32" t="str">
        <f>VLOOKUP(Tabela2[[#This Row],[Tag]],BD!A:J,10,0)</f>
        <v>7HV</v>
      </c>
      <c r="G212" s="31" t="str">
        <f>VLOOKUP(Tabela2[[#This Row],[Tag]],BD!$A:$V,20,0)</f>
        <v>BK-SP54-00200-LC-81-00001_00000</v>
      </c>
      <c r="H212" s="32" t="str">
        <f>IF(VLOOKUP(Tabela2[[#This Row],[Tag]],BD!A:T,17,0)=0,"",VLOOKUP(Tabela2[[#This Row],[Tag]],BD!A:T,17,0))</f>
        <v>4.6.1</v>
      </c>
      <c r="I212" s="139">
        <v>44166</v>
      </c>
      <c r="J212" s="155">
        <f>VLOOKUP(Tabela2[[#This Row],[Tag]],BD!$A:$AE,30,0)</f>
        <v>370</v>
      </c>
      <c r="K212" s="29">
        <f>SUMIF(B:B,Tabela2[[#This Row],[Tag]],C:C)/Tabela2[[#This Row],[Comprim. Real]]</f>
        <v>1</v>
      </c>
      <c r="L212" s="29" t="str">
        <f>VLOOKUP(Tabela2[[#This Row],[Tag]],BD!A:AF,32,0)</f>
        <v>7HVxCCP</v>
      </c>
    </row>
    <row r="213" spans="1:12" x14ac:dyDescent="0.25">
      <c r="A213" s="391">
        <v>212</v>
      </c>
      <c r="B213" s="7" t="s">
        <v>665</v>
      </c>
      <c r="C213" s="391">
        <v>370</v>
      </c>
      <c r="D213" s="32">
        <v>44214</v>
      </c>
      <c r="E213" s="32" t="str">
        <f>VLOOKUP(Tabela2[[#This Row],[Tag]],BD!$A:$B,2,0)</f>
        <v>Controle</v>
      </c>
      <c r="F213" s="32" t="str">
        <f>VLOOKUP(Tabela2[[#This Row],[Tag]],BD!A:J,10,0)</f>
        <v>7HV</v>
      </c>
      <c r="G213" s="31" t="str">
        <f>VLOOKUP(Tabela2[[#This Row],[Tag]],BD!$A:$V,20,0)</f>
        <v>BK-SP54-00200-LC-81-00001_00000</v>
      </c>
      <c r="H213" s="32" t="str">
        <f>IF(VLOOKUP(Tabela2[[#This Row],[Tag]],BD!A:T,17,0)=0,"",VLOOKUP(Tabela2[[#This Row],[Tag]],BD!A:T,17,0))</f>
        <v>4.6.1</v>
      </c>
      <c r="I213" s="139">
        <v>44166</v>
      </c>
      <c r="J213" s="155">
        <f>VLOOKUP(Tabela2[[#This Row],[Tag]],BD!$A:$AE,30,0)</f>
        <v>370</v>
      </c>
      <c r="K213" s="29">
        <f>SUMIF(B:B,Tabela2[[#This Row],[Tag]],C:C)/Tabela2[[#This Row],[Comprim. Real]]</f>
        <v>1</v>
      </c>
      <c r="L213" s="29" t="str">
        <f>VLOOKUP(Tabela2[[#This Row],[Tag]],BD!A:AF,32,0)</f>
        <v>7HVxCCP</v>
      </c>
    </row>
    <row r="214" spans="1:12" x14ac:dyDescent="0.25">
      <c r="A214" s="391">
        <v>213</v>
      </c>
      <c r="B214" s="7" t="s">
        <v>667</v>
      </c>
      <c r="C214" s="391">
        <v>370</v>
      </c>
      <c r="D214" s="32">
        <v>44214</v>
      </c>
      <c r="E214" s="32" t="str">
        <f>VLOOKUP(Tabela2[[#This Row],[Tag]],BD!$A:$B,2,0)</f>
        <v>Controle</v>
      </c>
      <c r="F214" s="32" t="str">
        <f>VLOOKUP(Tabela2[[#This Row],[Tag]],BD!A:J,10,0)</f>
        <v>7HV</v>
      </c>
      <c r="G214" s="31" t="str">
        <f>VLOOKUP(Tabela2[[#This Row],[Tag]],BD!$A:$V,20,0)</f>
        <v>BK-SP54-00200-LC-81-00001_00000</v>
      </c>
      <c r="H214" s="32" t="str">
        <f>IF(VLOOKUP(Tabela2[[#This Row],[Tag]],BD!A:T,17,0)=0,"",VLOOKUP(Tabela2[[#This Row],[Tag]],BD!A:T,17,0))</f>
        <v>4.6.1</v>
      </c>
      <c r="I214" s="139">
        <v>44166</v>
      </c>
      <c r="J214" s="155">
        <f>VLOOKUP(Tabela2[[#This Row],[Tag]],BD!$A:$AE,30,0)</f>
        <v>370</v>
      </c>
      <c r="K214" s="29">
        <f>SUMIF(B:B,Tabela2[[#This Row],[Tag]],C:C)/Tabela2[[#This Row],[Comprim. Real]]</f>
        <v>1</v>
      </c>
      <c r="L214" s="29" t="str">
        <f>VLOOKUP(Tabela2[[#This Row],[Tag]],BD!A:AF,32,0)</f>
        <v>7HVxCCP</v>
      </c>
    </row>
    <row r="215" spans="1:12" x14ac:dyDescent="0.25">
      <c r="A215" s="391">
        <v>214</v>
      </c>
      <c r="B215" s="7" t="s">
        <v>668</v>
      </c>
      <c r="C215" s="391">
        <v>370</v>
      </c>
      <c r="D215" s="32">
        <v>44214</v>
      </c>
      <c r="E215" s="32" t="str">
        <f>VLOOKUP(Tabela2[[#This Row],[Tag]],BD!$A:$B,2,0)</f>
        <v>Controle</v>
      </c>
      <c r="F215" s="32" t="str">
        <f>VLOOKUP(Tabela2[[#This Row],[Tag]],BD!A:J,10,0)</f>
        <v>7HV</v>
      </c>
      <c r="G215" s="31" t="str">
        <f>VLOOKUP(Tabela2[[#This Row],[Tag]],BD!$A:$V,20,0)</f>
        <v>BK-SP54-00200-LC-81-00001_00000</v>
      </c>
      <c r="H215" s="32" t="str">
        <f>IF(VLOOKUP(Tabela2[[#This Row],[Tag]],BD!A:T,17,0)=0,"",VLOOKUP(Tabela2[[#This Row],[Tag]],BD!A:T,17,0))</f>
        <v>4.6.1</v>
      </c>
      <c r="I215" s="139">
        <v>44166</v>
      </c>
      <c r="J215" s="155">
        <f>VLOOKUP(Tabela2[[#This Row],[Tag]],BD!$A:$AE,30,0)</f>
        <v>370</v>
      </c>
      <c r="K215" s="29">
        <f>SUMIF(B:B,Tabela2[[#This Row],[Tag]],C:C)/Tabela2[[#This Row],[Comprim. Real]]</f>
        <v>1</v>
      </c>
      <c r="L215" s="29" t="str">
        <f>VLOOKUP(Tabela2[[#This Row],[Tag]],BD!A:AF,32,0)</f>
        <v>7HVxCCP</v>
      </c>
    </row>
    <row r="216" spans="1:12" x14ac:dyDescent="0.25">
      <c r="A216" s="391">
        <v>215</v>
      </c>
      <c r="B216" s="7" t="s">
        <v>670</v>
      </c>
      <c r="C216" s="391">
        <v>370</v>
      </c>
      <c r="D216" s="32">
        <v>44214</v>
      </c>
      <c r="E216" s="32" t="str">
        <f>VLOOKUP(Tabela2[[#This Row],[Tag]],BD!$A:$B,2,0)</f>
        <v>Controle</v>
      </c>
      <c r="F216" s="32" t="str">
        <f>VLOOKUP(Tabela2[[#This Row],[Tag]],BD!A:J,10,0)</f>
        <v>7HV</v>
      </c>
      <c r="G216" s="31" t="str">
        <f>VLOOKUP(Tabela2[[#This Row],[Tag]],BD!$A:$V,20,0)</f>
        <v>BK-SP54-00200-LC-81-00001_00000</v>
      </c>
      <c r="H216" s="32" t="str">
        <f>IF(VLOOKUP(Tabela2[[#This Row],[Tag]],BD!A:T,17,0)=0,"",VLOOKUP(Tabela2[[#This Row],[Tag]],BD!A:T,17,0))</f>
        <v>4.6.1</v>
      </c>
      <c r="I216" s="139">
        <v>44166</v>
      </c>
      <c r="J216" s="155">
        <f>VLOOKUP(Tabela2[[#This Row],[Tag]],BD!$A:$AE,30,0)</f>
        <v>370</v>
      </c>
      <c r="K216" s="29">
        <f>SUMIF(B:B,Tabela2[[#This Row],[Tag]],C:C)/Tabela2[[#This Row],[Comprim. Real]]</f>
        <v>1</v>
      </c>
      <c r="L216" s="29" t="str">
        <f>VLOOKUP(Tabela2[[#This Row],[Tag]],BD!A:AF,32,0)</f>
        <v>7HVxCCP</v>
      </c>
    </row>
    <row r="217" spans="1:12" x14ac:dyDescent="0.25">
      <c r="A217" s="391">
        <v>216</v>
      </c>
      <c r="B217" s="7" t="s">
        <v>672</v>
      </c>
      <c r="C217" s="391">
        <v>370</v>
      </c>
      <c r="D217" s="32">
        <v>44214</v>
      </c>
      <c r="E217" s="32" t="str">
        <f>VLOOKUP(Tabela2[[#This Row],[Tag]],BD!$A:$B,2,0)</f>
        <v>Controle</v>
      </c>
      <c r="F217" s="32" t="str">
        <f>VLOOKUP(Tabela2[[#This Row],[Tag]],BD!A:J,10,0)</f>
        <v>7HV</v>
      </c>
      <c r="G217" s="31" t="str">
        <f>VLOOKUP(Tabela2[[#This Row],[Tag]],BD!$A:$V,20,0)</f>
        <v>BK-SP54-00200-LC-81-00001_00000</v>
      </c>
      <c r="H217" s="32" t="str">
        <f>IF(VLOOKUP(Tabela2[[#This Row],[Tag]],BD!A:T,17,0)=0,"",VLOOKUP(Tabela2[[#This Row],[Tag]],BD!A:T,17,0))</f>
        <v>4.6.1</v>
      </c>
      <c r="I217" s="139">
        <v>44166</v>
      </c>
      <c r="J217" s="155">
        <f>VLOOKUP(Tabela2[[#This Row],[Tag]],BD!$A:$AE,30,0)</f>
        <v>370</v>
      </c>
      <c r="K217" s="29">
        <f>SUMIF(B:B,Tabela2[[#This Row],[Tag]],C:C)/Tabela2[[#This Row],[Comprim. Real]]</f>
        <v>1</v>
      </c>
      <c r="L217" s="29" t="str">
        <f>VLOOKUP(Tabela2[[#This Row],[Tag]],BD!A:AF,32,0)</f>
        <v>7HVxCCP</v>
      </c>
    </row>
    <row r="218" spans="1:12" x14ac:dyDescent="0.25">
      <c r="A218" s="391">
        <v>217</v>
      </c>
      <c r="B218" s="7" t="s">
        <v>674</v>
      </c>
      <c r="C218" s="391">
        <v>370</v>
      </c>
      <c r="D218" s="32">
        <v>44214</v>
      </c>
      <c r="E218" s="32" t="str">
        <f>VLOOKUP(Tabela2[[#This Row],[Tag]],BD!$A:$B,2,0)</f>
        <v>Controle</v>
      </c>
      <c r="F218" s="32" t="str">
        <f>VLOOKUP(Tabela2[[#This Row],[Tag]],BD!A:J,10,0)</f>
        <v>7HV</v>
      </c>
      <c r="G218" s="31" t="str">
        <f>VLOOKUP(Tabela2[[#This Row],[Tag]],BD!$A:$V,20,0)</f>
        <v>BK-SP54-00200-LC-81-00001_00000</v>
      </c>
      <c r="H218" s="32" t="str">
        <f>IF(VLOOKUP(Tabela2[[#This Row],[Tag]],BD!A:T,17,0)=0,"",VLOOKUP(Tabela2[[#This Row],[Tag]],BD!A:T,17,0))</f>
        <v>4.6.1</v>
      </c>
      <c r="I218" s="139">
        <v>44166</v>
      </c>
      <c r="J218" s="155">
        <f>VLOOKUP(Tabela2[[#This Row],[Tag]],BD!$A:$AE,30,0)</f>
        <v>370</v>
      </c>
      <c r="K218" s="29">
        <f>SUMIF(B:B,Tabela2[[#This Row],[Tag]],C:C)/Tabela2[[#This Row],[Comprim. Real]]</f>
        <v>1</v>
      </c>
      <c r="L218" s="29" t="str">
        <f>VLOOKUP(Tabela2[[#This Row],[Tag]],BD!A:AF,32,0)</f>
        <v>7HVxCCP</v>
      </c>
    </row>
    <row r="219" spans="1:12" x14ac:dyDescent="0.25">
      <c r="A219" s="391">
        <v>218</v>
      </c>
      <c r="B219" s="7" t="s">
        <v>675</v>
      </c>
      <c r="C219" s="391">
        <v>370</v>
      </c>
      <c r="D219" s="32">
        <v>44214</v>
      </c>
      <c r="E219" s="32" t="str">
        <f>VLOOKUP(Tabela2[[#This Row],[Tag]],BD!$A:$B,2,0)</f>
        <v>Controle</v>
      </c>
      <c r="F219" s="32" t="str">
        <f>VLOOKUP(Tabela2[[#This Row],[Tag]],BD!A:J,10,0)</f>
        <v>7HV</v>
      </c>
      <c r="G219" s="31" t="str">
        <f>VLOOKUP(Tabela2[[#This Row],[Tag]],BD!$A:$V,20,0)</f>
        <v>BK-SP54-00200-LC-81-00001_00000</v>
      </c>
      <c r="H219" s="32" t="str">
        <f>IF(VLOOKUP(Tabela2[[#This Row],[Tag]],BD!A:T,17,0)=0,"",VLOOKUP(Tabela2[[#This Row],[Tag]],BD!A:T,17,0))</f>
        <v>4.4.1</v>
      </c>
      <c r="I219" s="139">
        <v>44166</v>
      </c>
      <c r="J219" s="155">
        <f>VLOOKUP(Tabela2[[#This Row],[Tag]],BD!$A:$AE,30,0)</f>
        <v>370</v>
      </c>
      <c r="K219" s="29">
        <f>SUMIF(B:B,Tabela2[[#This Row],[Tag]],C:C)/Tabela2[[#This Row],[Comprim. Real]]</f>
        <v>1</v>
      </c>
      <c r="L219" s="29" t="str">
        <f>VLOOKUP(Tabela2[[#This Row],[Tag]],BD!A:AF,32,0)</f>
        <v>7HVxCCP</v>
      </c>
    </row>
    <row r="220" spans="1:12" x14ac:dyDescent="0.25">
      <c r="A220" s="391">
        <v>219</v>
      </c>
      <c r="B220" s="7" t="s">
        <v>598</v>
      </c>
      <c r="C220" s="391">
        <v>148</v>
      </c>
      <c r="D220" s="32">
        <v>44212</v>
      </c>
      <c r="E220" s="32" t="str">
        <f>VLOOKUP(Tabela2[[#This Row],[Tag]],BD!$A:$B,2,0)</f>
        <v>FO</v>
      </c>
      <c r="F220" s="32" t="str">
        <f>VLOOKUP(Tabela2[[#This Row],[Tag]],BD!A:J,10,0)</f>
        <v>FIBRA</v>
      </c>
      <c r="G220" s="31" t="str">
        <f>VLOOKUP(Tabela2[[#This Row],[Tag]],BD!$A:$V,20,0)</f>
        <v>BK-SP54-0900A-LC-90-00004_00000</v>
      </c>
      <c r="H220" s="32" t="str">
        <f>IF(VLOOKUP(Tabela2[[#This Row],[Tag]],BD!A:T,17,0)=0,"",VLOOKUP(Tabela2[[#This Row],[Tag]],BD!A:T,17,0))</f>
        <v>4.3.1</v>
      </c>
      <c r="I220" s="139">
        <v>44197</v>
      </c>
      <c r="J220" s="155">
        <f>VLOOKUP(Tabela2[[#This Row],[Tag]],BD!$A:$AE,30,0)</f>
        <v>148</v>
      </c>
      <c r="K220" s="29">
        <f>SUMIF(B:B,Tabela2[[#This Row],[Tag]],C:C)/Tabela2[[#This Row],[Comprim. Real]]</f>
        <v>1</v>
      </c>
      <c r="L220" s="29" t="str">
        <f>VLOOKUP(Tabela2[[#This Row],[Tag]],BD!A:AF,32,0)</f>
        <v>7HVx30LV</v>
      </c>
    </row>
    <row r="221" spans="1:12" x14ac:dyDescent="0.25">
      <c r="A221" s="391">
        <v>220</v>
      </c>
      <c r="B221" s="7" t="s">
        <v>984</v>
      </c>
      <c r="C221" s="391">
        <v>30</v>
      </c>
      <c r="D221" s="32">
        <v>44206</v>
      </c>
      <c r="E221" s="32" t="str">
        <f>VLOOKUP(Tabela2[[#This Row],[Tag]],BD!$A:$B,2,0)</f>
        <v>Controle</v>
      </c>
      <c r="F221" s="32" t="str">
        <f>VLOOKUP(Tabela2[[#This Row],[Tag]],BD!A:J,10,0)</f>
        <v>8HV</v>
      </c>
      <c r="G221" s="31" t="str">
        <f>VLOOKUP(Tabela2[[#This Row],[Tag]],BD!$A:$V,20,0)</f>
        <v>BK-SP54-0900A-LC-74-00001_00000</v>
      </c>
      <c r="H221" s="32" t="str">
        <f>IF(VLOOKUP(Tabela2[[#This Row],[Tag]],BD!A:T,17,0)=0,"",VLOOKUP(Tabela2[[#This Row],[Tag]],BD!A:T,17,0))</f>
        <v>5.8.1</v>
      </c>
      <c r="I221" s="139">
        <v>44197</v>
      </c>
      <c r="J221" s="155">
        <f>VLOOKUP(Tabela2[[#This Row],[Tag]],BD!$A:$AE,30,0)</f>
        <v>30</v>
      </c>
      <c r="K221" s="29">
        <f>SUMIF(B:B,Tabela2[[#This Row],[Tag]],C:C)/Tabela2[[#This Row],[Comprim. Real]]</f>
        <v>1</v>
      </c>
      <c r="L221" s="29" t="str">
        <f>VLOOKUP(Tabela2[[#This Row],[Tag]],BD!A:AF,32,0)</f>
        <v>8HVxCOG</v>
      </c>
    </row>
    <row r="222" spans="1:12" x14ac:dyDescent="0.25">
      <c r="A222" s="391">
        <v>221</v>
      </c>
      <c r="B222" s="7" t="s">
        <v>990</v>
      </c>
      <c r="C222" s="391">
        <v>30</v>
      </c>
      <c r="D222" s="32">
        <v>44206</v>
      </c>
      <c r="E222" s="32" t="str">
        <f>VLOOKUP(Tabela2[[#This Row],[Tag]],BD!$A:$B,2,0)</f>
        <v>Controle</v>
      </c>
      <c r="F222" s="32" t="str">
        <f>VLOOKUP(Tabela2[[#This Row],[Tag]],BD!A:J,10,0)</f>
        <v>8HV</v>
      </c>
      <c r="G222" s="31" t="str">
        <f>VLOOKUP(Tabela2[[#This Row],[Tag]],BD!$A:$V,20,0)</f>
        <v>BK-SP54-0900A-LC-74-00001_00000</v>
      </c>
      <c r="H222" s="32" t="str">
        <f>IF(VLOOKUP(Tabela2[[#This Row],[Tag]],BD!A:T,17,0)=0,"",VLOOKUP(Tabela2[[#This Row],[Tag]],BD!A:T,17,0))</f>
        <v>5.8.1</v>
      </c>
      <c r="I222" s="139">
        <v>44197</v>
      </c>
      <c r="J222" s="155">
        <f>VLOOKUP(Tabela2[[#This Row],[Tag]],BD!$A:$AE,30,0)</f>
        <v>30</v>
      </c>
      <c r="K222" s="29">
        <f>SUMIF(B:B,Tabela2[[#This Row],[Tag]],C:C)/Tabela2[[#This Row],[Comprim. Real]]</f>
        <v>1</v>
      </c>
      <c r="L222" s="29" t="str">
        <f>VLOOKUP(Tabela2[[#This Row],[Tag]],BD!A:AF,32,0)</f>
        <v>8HVxCOG</v>
      </c>
    </row>
    <row r="223" spans="1:12" x14ac:dyDescent="0.25">
      <c r="A223" s="391">
        <v>222</v>
      </c>
      <c r="B223" s="7" t="s">
        <v>772</v>
      </c>
      <c r="C223" s="391">
        <v>420</v>
      </c>
      <c r="D223" s="32">
        <v>44216</v>
      </c>
      <c r="E223" s="32" t="str">
        <f>VLOOKUP(Tabela2[[#This Row],[Tag]],BD!$A:$B,2,0)</f>
        <v>Força</v>
      </c>
      <c r="F223" s="32" t="str">
        <f>VLOOKUP(Tabela2[[#This Row],[Tag]],BD!A:J,10,0)</f>
        <v>GB-200</v>
      </c>
      <c r="G223" s="31" t="str">
        <f>VLOOKUP(Tabela2[[#This Row],[Tag]],BD!$A:$V,20,0)</f>
        <v>BK-SP54-0900B-LC-74-00004_00000</v>
      </c>
      <c r="H223" s="32" t="str">
        <f>IF(VLOOKUP(Tabela2[[#This Row],[Tag]],BD!A:T,17,0)=0,"",VLOOKUP(Tabela2[[#This Row],[Tag]],BD!A:T,17,0))</f>
        <v>5.2.4</v>
      </c>
      <c r="I223" s="139">
        <v>44197</v>
      </c>
      <c r="J223" s="155">
        <f>VLOOKUP(Tabela2[[#This Row],[Tag]],BD!$A:$AE,30,0)</f>
        <v>420</v>
      </c>
      <c r="K223" s="29">
        <f>SUMIF(B:B,Tabela2[[#This Row],[Tag]],C:C)/Tabela2[[#This Row],[Comprim. Real]]</f>
        <v>1</v>
      </c>
      <c r="L223" s="29" t="str">
        <f>VLOOKUP(Tabela2[[#This Row],[Tag]],BD!A:AF,32,0)</f>
        <v>7HVxGB-200</v>
      </c>
    </row>
    <row r="224" spans="1:12" x14ac:dyDescent="0.25">
      <c r="A224" s="391">
        <v>223</v>
      </c>
      <c r="B224" s="34" t="s">
        <v>325</v>
      </c>
      <c r="C224" s="391">
        <v>17</v>
      </c>
      <c r="D224" s="32">
        <v>44218</v>
      </c>
      <c r="E224" s="32" t="str">
        <f>VLOOKUP(Tabela2[[#This Row],[Tag]],BD!$A:$B,2,0)</f>
        <v>Rede</v>
      </c>
      <c r="F224" s="32" t="str">
        <f>VLOOKUP(Tabela2[[#This Row],[Tag]],BD!A:J,10,0)</f>
        <v>REDE</v>
      </c>
      <c r="G224" s="31" t="str">
        <f>VLOOKUP(Tabela2[[#This Row],[Tag]],BD!$A:$V,20,0)</f>
        <v>BK-SP54-0900A-LC-90-00004_00000</v>
      </c>
      <c r="H224" s="32" t="str">
        <f>IF(VLOOKUP(Tabela2[[#This Row],[Tag]],BD!A:T,17,0)=0,"",VLOOKUP(Tabela2[[#This Row],[Tag]],BD!A:T,17,0))</f>
        <v>4.4.1</v>
      </c>
      <c r="I224" s="139">
        <v>44166</v>
      </c>
      <c r="J224" s="155">
        <f>VLOOKUP(Tabela2[[#This Row],[Tag]],BD!$A:$AE,30,0)</f>
        <v>17</v>
      </c>
      <c r="K224" s="29">
        <f>SUMIF(B:B,Tabela2[[#This Row],[Tag]],C:C)/Tabela2[[#This Row],[Comprim. Real]]</f>
        <v>1</v>
      </c>
      <c r="L224" s="29" t="str">
        <f>VLOOKUP(Tabela2[[#This Row],[Tag]],BD!A:AF,32,0)</f>
        <v>30LV</v>
      </c>
    </row>
    <row r="225" spans="1:12" x14ac:dyDescent="0.25">
      <c r="A225" s="391">
        <v>224</v>
      </c>
      <c r="B225" s="34" t="s">
        <v>328</v>
      </c>
      <c r="C225" s="391">
        <v>10</v>
      </c>
      <c r="D225" s="32">
        <v>44218</v>
      </c>
      <c r="E225" s="32" t="str">
        <f>VLOOKUP(Tabela2[[#This Row],[Tag]],BD!$A:$B,2,0)</f>
        <v>Rede</v>
      </c>
      <c r="F225" s="32" t="str">
        <f>VLOOKUP(Tabela2[[#This Row],[Tag]],BD!A:J,10,0)</f>
        <v>REDE</v>
      </c>
      <c r="G225" s="31" t="str">
        <f>VLOOKUP(Tabela2[[#This Row],[Tag]],BD!$A:$V,20,0)</f>
        <v>BK-SP54-0900A-LC-90-00004_00000</v>
      </c>
      <c r="H225" s="32" t="str">
        <f>IF(VLOOKUP(Tabela2[[#This Row],[Tag]],BD!A:T,17,0)=0,"",VLOOKUP(Tabela2[[#This Row],[Tag]],BD!A:T,17,0))</f>
        <v>4.4.1</v>
      </c>
      <c r="I225" s="139">
        <v>44166</v>
      </c>
      <c r="J225" s="155">
        <f>VLOOKUP(Tabela2[[#This Row],[Tag]],BD!$A:$AE,30,0)</f>
        <v>10</v>
      </c>
      <c r="K225" s="29">
        <f>SUMIF(B:B,Tabela2[[#This Row],[Tag]],C:C)/Tabela2[[#This Row],[Comprim. Real]]</f>
        <v>1</v>
      </c>
      <c r="L225" s="29" t="str">
        <f>VLOOKUP(Tabela2[[#This Row],[Tag]],BD!A:AF,32,0)</f>
        <v>30LV</v>
      </c>
    </row>
    <row r="226" spans="1:12" x14ac:dyDescent="0.25">
      <c r="A226" s="391">
        <v>225</v>
      </c>
      <c r="B226" s="34" t="s">
        <v>330</v>
      </c>
      <c r="C226" s="391">
        <v>17</v>
      </c>
      <c r="D226" s="32">
        <v>44218</v>
      </c>
      <c r="E226" s="32" t="str">
        <f>VLOOKUP(Tabela2[[#This Row],[Tag]],BD!$A:$B,2,0)</f>
        <v>Rede</v>
      </c>
      <c r="F226" s="32" t="str">
        <f>VLOOKUP(Tabela2[[#This Row],[Tag]],BD!A:J,10,0)</f>
        <v>REDE</v>
      </c>
      <c r="G226" s="31" t="str">
        <f>VLOOKUP(Tabela2[[#This Row],[Tag]],BD!$A:$V,20,0)</f>
        <v>BK-SP54-0900A-LC-90-00004_00000</v>
      </c>
      <c r="H226" s="32" t="str">
        <f>IF(VLOOKUP(Tabela2[[#This Row],[Tag]],BD!A:T,17,0)=0,"",VLOOKUP(Tabela2[[#This Row],[Tag]],BD!A:T,17,0))</f>
        <v>4.4.1</v>
      </c>
      <c r="I226" s="139">
        <v>44166</v>
      </c>
      <c r="J226" s="155">
        <f>VLOOKUP(Tabela2[[#This Row],[Tag]],BD!$A:$AE,30,0)</f>
        <v>17</v>
      </c>
      <c r="K226" s="29">
        <f>SUMIF(B:B,Tabela2[[#This Row],[Tag]],C:C)/Tabela2[[#This Row],[Comprim. Real]]</f>
        <v>1</v>
      </c>
      <c r="L226" s="29" t="str">
        <f>VLOOKUP(Tabela2[[#This Row],[Tag]],BD!A:AF,32,0)</f>
        <v>30LV</v>
      </c>
    </row>
    <row r="227" spans="1:12" x14ac:dyDescent="0.25">
      <c r="A227" s="391">
        <v>226</v>
      </c>
      <c r="B227" s="3" t="s">
        <v>361</v>
      </c>
      <c r="C227" s="391">
        <v>90</v>
      </c>
      <c r="D227" s="32">
        <v>44218</v>
      </c>
      <c r="E227" s="32" t="str">
        <f>VLOOKUP(Tabela2[[#This Row],[Tag]],BD!$A:$B,2,0)</f>
        <v>Controle</v>
      </c>
      <c r="F227" s="32" t="str">
        <f>VLOOKUP(Tabela2[[#This Row],[Tag]],BD!A:J,10,0)</f>
        <v>30LV</v>
      </c>
      <c r="G227" s="31" t="str">
        <f>VLOOKUP(Tabela2[[#This Row],[Tag]],BD!$A:$V,20,0)</f>
        <v>BK-SP54-01200-LC-80-00004_00000</v>
      </c>
      <c r="H227" s="32" t="str">
        <f>IF(VLOOKUP(Tabela2[[#This Row],[Tag]],BD!A:T,17,0)=0,"",VLOOKUP(Tabela2[[#This Row],[Tag]],BD!A:T,17,0))</f>
        <v>4.6.1</v>
      </c>
      <c r="I227" s="139">
        <v>44166</v>
      </c>
      <c r="J227" s="155">
        <f>VLOOKUP(Tabela2[[#This Row],[Tag]],BD!$A:$AE,30,0)</f>
        <v>90</v>
      </c>
      <c r="K227" s="29">
        <f>SUMIF(B:B,Tabela2[[#This Row],[Tag]],C:C)/Tabela2[[#This Row],[Comprim. Real]]</f>
        <v>1</v>
      </c>
      <c r="L227" s="29" t="str">
        <f>VLOOKUP(Tabela2[[#This Row],[Tag]],BD!A:AF,32,0)</f>
        <v>30LVxGB-1201</v>
      </c>
    </row>
    <row r="228" spans="1:12" x14ac:dyDescent="0.25">
      <c r="A228" s="391">
        <v>227</v>
      </c>
      <c r="B228" s="7" t="s">
        <v>678</v>
      </c>
      <c r="C228" s="391">
        <v>480</v>
      </c>
      <c r="D228" s="32">
        <v>44218</v>
      </c>
      <c r="E228" s="32" t="str">
        <f>VLOOKUP(Tabela2[[#This Row],[Tag]],BD!$A:$B,2,0)</f>
        <v>Controle</v>
      </c>
      <c r="F228" s="32" t="str">
        <f>VLOOKUP(Tabela2[[#This Row],[Tag]],BD!A:J,10,0)</f>
        <v>7HV</v>
      </c>
      <c r="G228" s="31" t="str">
        <f>VLOOKUP(Tabela2[[#This Row],[Tag]],BD!$A:$V,20,0)</f>
        <v>BK-SP54-00350-LC-80-00006_00000</v>
      </c>
      <c r="H228" s="32" t="str">
        <f>IF(VLOOKUP(Tabela2[[#This Row],[Tag]],BD!A:T,17,0)=0,"",VLOOKUP(Tabela2[[#This Row],[Tag]],BD!A:T,17,0))</f>
        <v>4.6.1</v>
      </c>
      <c r="I228" s="139">
        <v>44197</v>
      </c>
      <c r="J228" s="155">
        <f>VLOOKUP(Tabela2[[#This Row],[Tag]],BD!$A:$AE,30,0)</f>
        <v>480</v>
      </c>
      <c r="K228" s="29">
        <f>SUMIF(B:B,Tabela2[[#This Row],[Tag]],C:C)/Tabela2[[#This Row],[Comprim. Real]]</f>
        <v>1</v>
      </c>
      <c r="L228" s="29" t="str">
        <f>VLOOKUP(Tabela2[[#This Row],[Tag]],BD!A:AF,32,0)</f>
        <v>7HVxCCP</v>
      </c>
    </row>
    <row r="229" spans="1:12" x14ac:dyDescent="0.25">
      <c r="A229" s="391">
        <v>228</v>
      </c>
      <c r="B229" s="7" t="s">
        <v>683</v>
      </c>
      <c r="C229" s="391">
        <v>480</v>
      </c>
      <c r="D229" s="32">
        <v>44218</v>
      </c>
      <c r="E229" s="32" t="str">
        <f>VLOOKUP(Tabela2[[#This Row],[Tag]],BD!$A:$B,2,0)</f>
        <v>Controle</v>
      </c>
      <c r="F229" s="32" t="str">
        <f>VLOOKUP(Tabela2[[#This Row],[Tag]],BD!A:J,10,0)</f>
        <v>7HV</v>
      </c>
      <c r="G229" s="31" t="str">
        <f>VLOOKUP(Tabela2[[#This Row],[Tag]],BD!$A:$V,20,0)</f>
        <v>BK-SP54-00350-LC-80-00006_00000</v>
      </c>
      <c r="H229" s="32" t="str">
        <f>IF(VLOOKUP(Tabela2[[#This Row],[Tag]],BD!A:T,17,0)=0,"",VLOOKUP(Tabela2[[#This Row],[Tag]],BD!A:T,17,0))</f>
        <v>4.6.1</v>
      </c>
      <c r="I229" s="139">
        <v>44197</v>
      </c>
      <c r="J229" s="155">
        <f>VLOOKUP(Tabela2[[#This Row],[Tag]],BD!$A:$AE,30,0)</f>
        <v>480</v>
      </c>
      <c r="K229" s="29">
        <f>SUMIF(B:B,Tabela2[[#This Row],[Tag]],C:C)/Tabela2[[#This Row],[Comprim. Real]]</f>
        <v>1</v>
      </c>
      <c r="L229" s="29" t="str">
        <f>VLOOKUP(Tabela2[[#This Row],[Tag]],BD!A:AF,32,0)</f>
        <v>7HVxCCP</v>
      </c>
    </row>
    <row r="230" spans="1:12" x14ac:dyDescent="0.25">
      <c r="A230" s="391">
        <v>308</v>
      </c>
      <c r="B230" s="7" t="s">
        <v>317</v>
      </c>
      <c r="C230" s="391">
        <v>10</v>
      </c>
      <c r="D230" s="32">
        <v>44253</v>
      </c>
      <c r="E230" s="32" t="str">
        <f>VLOOKUP(Tabela2[[#This Row],[Tag]],BD!$A:$B,2,0)</f>
        <v>Rede</v>
      </c>
      <c r="F230" s="32" t="str">
        <f>VLOOKUP(Tabela2[[#This Row],[Tag]],BD!A:J,10,0)</f>
        <v>REDE</v>
      </c>
      <c r="G230" s="31" t="str">
        <f>VLOOKUP(Tabela2[[#This Row],[Tag]],BD!$A:$V,20,0)</f>
        <v>BK-SP54-0900A-LC-90-00004_00000</v>
      </c>
      <c r="H230" s="32" t="str">
        <f>IF(VLOOKUP(Tabela2[[#This Row],[Tag]],BD!A:T,17,0)=0,"",VLOOKUP(Tabela2[[#This Row],[Tag]],BD!A:T,17,0))</f>
        <v>4.4.1</v>
      </c>
      <c r="I230" s="139">
        <v>44166</v>
      </c>
      <c r="J230" s="155">
        <f>VLOOKUP(Tabela2[[#This Row],[Tag]],BD!$A:$AE,30,0)</f>
        <v>10</v>
      </c>
      <c r="K230" s="29">
        <f>SUMIF(B:B,Tabela2[[#This Row],[Tag]],C:C)/Tabela2[[#This Row],[Comprim. Real]]</f>
        <v>1</v>
      </c>
      <c r="L230" s="29" t="str">
        <f>VLOOKUP(Tabela2[[#This Row],[Tag]],BD!A:AF,32,0)</f>
        <v>30LV</v>
      </c>
    </row>
    <row r="231" spans="1:12" x14ac:dyDescent="0.25">
      <c r="A231" s="391">
        <v>309</v>
      </c>
      <c r="B231" s="7" t="s">
        <v>323</v>
      </c>
      <c r="C231" s="391">
        <v>10</v>
      </c>
      <c r="D231" s="32">
        <v>44253</v>
      </c>
      <c r="E231" s="32" t="str">
        <f>VLOOKUP(Tabela2[[#This Row],[Tag]],BD!$A:$B,2,0)</f>
        <v>Rede</v>
      </c>
      <c r="F231" s="32" t="str">
        <f>VLOOKUP(Tabela2[[#This Row],[Tag]],BD!A:J,10,0)</f>
        <v>REDE</v>
      </c>
      <c r="G231" s="31" t="str">
        <f>VLOOKUP(Tabela2[[#This Row],[Tag]],BD!$A:$V,20,0)</f>
        <v>BK-SP54-0900A-LC-90-00004_00000</v>
      </c>
      <c r="H231" s="32" t="str">
        <f>IF(VLOOKUP(Tabela2[[#This Row],[Tag]],BD!A:T,17,0)=0,"",VLOOKUP(Tabela2[[#This Row],[Tag]],BD!A:T,17,0))</f>
        <v>4.4.1</v>
      </c>
      <c r="I231" s="139">
        <v>44166</v>
      </c>
      <c r="J231" s="155">
        <f>VLOOKUP(Tabela2[[#This Row],[Tag]],BD!$A:$AE,30,0)</f>
        <v>10</v>
      </c>
      <c r="K231" s="29">
        <f>SUMIF(B:B,Tabela2[[#This Row],[Tag]],C:C)/Tabela2[[#This Row],[Comprim. Real]]</f>
        <v>1</v>
      </c>
      <c r="L231" s="29" t="str">
        <f>VLOOKUP(Tabela2[[#This Row],[Tag]],BD!A:AF,32,0)</f>
        <v>30LV</v>
      </c>
    </row>
    <row r="232" spans="1:12" x14ac:dyDescent="0.25">
      <c r="A232" s="391">
        <v>310</v>
      </c>
      <c r="B232" s="7" t="s">
        <v>332</v>
      </c>
      <c r="C232" s="391">
        <v>10</v>
      </c>
      <c r="D232" s="32">
        <v>44253</v>
      </c>
      <c r="E232" s="32" t="str">
        <f>VLOOKUP(Tabela2[[#This Row],[Tag]],BD!$A:$B,2,0)</f>
        <v>Rede</v>
      </c>
      <c r="F232" s="32" t="str">
        <f>VLOOKUP(Tabela2[[#This Row],[Tag]],BD!A:J,10,0)</f>
        <v>REDE</v>
      </c>
      <c r="G232" s="31" t="str">
        <f>VLOOKUP(Tabela2[[#This Row],[Tag]],BD!$A:$V,20,0)</f>
        <v>BK-SP54-0900A-LC-90-00004_00000</v>
      </c>
      <c r="H232" s="32" t="str">
        <f>IF(VLOOKUP(Tabela2[[#This Row],[Tag]],BD!A:T,17,0)=0,"",VLOOKUP(Tabela2[[#This Row],[Tag]],BD!A:T,17,0))</f>
        <v>4.4.1</v>
      </c>
      <c r="I232" s="139">
        <v>44166</v>
      </c>
      <c r="J232" s="155">
        <f>VLOOKUP(Tabela2[[#This Row],[Tag]],BD!$A:$AE,30,0)</f>
        <v>10</v>
      </c>
      <c r="K232" s="29">
        <f>SUMIF(B:B,Tabela2[[#This Row],[Tag]],C:C)/Tabela2[[#This Row],[Comprim. Real]]</f>
        <v>1</v>
      </c>
      <c r="L232" s="29" t="str">
        <f>VLOOKUP(Tabela2[[#This Row],[Tag]],BD!A:AF,32,0)</f>
        <v>30LV</v>
      </c>
    </row>
    <row r="233" spans="1:12" x14ac:dyDescent="0.25">
      <c r="A233" s="391">
        <v>311</v>
      </c>
      <c r="B233" s="7" t="s">
        <v>334</v>
      </c>
      <c r="C233" s="391">
        <v>10</v>
      </c>
      <c r="D233" s="32">
        <v>44253</v>
      </c>
      <c r="E233" s="32" t="str">
        <f>VLOOKUP(Tabela2[[#This Row],[Tag]],BD!$A:$B,2,0)</f>
        <v>Rede</v>
      </c>
      <c r="F233" s="32" t="str">
        <f>VLOOKUP(Tabela2[[#This Row],[Tag]],BD!A:J,10,0)</f>
        <v>REDE</v>
      </c>
      <c r="G233" s="31" t="str">
        <f>VLOOKUP(Tabela2[[#This Row],[Tag]],BD!$A:$V,20,0)</f>
        <v>BK-SP54-0900A-LC-90-00004_00000</v>
      </c>
      <c r="H233" s="32" t="str">
        <f>IF(VLOOKUP(Tabela2[[#This Row],[Tag]],BD!A:T,17,0)=0,"",VLOOKUP(Tabela2[[#This Row],[Tag]],BD!A:T,17,0))</f>
        <v>4.4.1</v>
      </c>
      <c r="I233" s="139">
        <v>44166</v>
      </c>
      <c r="J233" s="155">
        <f>VLOOKUP(Tabela2[[#This Row],[Tag]],BD!$A:$AE,30,0)</f>
        <v>10</v>
      </c>
      <c r="K233" s="29">
        <f>SUMIF(B:B,Tabela2[[#This Row],[Tag]],C:C)/Tabela2[[#This Row],[Comprim. Real]]</f>
        <v>1</v>
      </c>
      <c r="L233" s="29" t="str">
        <f>VLOOKUP(Tabela2[[#This Row],[Tag]],BD!A:AF,32,0)</f>
        <v>30LV</v>
      </c>
    </row>
    <row r="234" spans="1:12" x14ac:dyDescent="0.25">
      <c r="A234" s="391">
        <v>233</v>
      </c>
      <c r="B234" s="7" t="s">
        <v>694</v>
      </c>
      <c r="C234" s="391">
        <v>480</v>
      </c>
      <c r="D234" s="32">
        <v>44218</v>
      </c>
      <c r="E234" s="32" t="str">
        <f>VLOOKUP(Tabela2[[#This Row],[Tag]],BD!$A:$B,2,0)</f>
        <v>Controle</v>
      </c>
      <c r="F234" s="32" t="str">
        <f>VLOOKUP(Tabela2[[#This Row],[Tag]],BD!A:J,10,0)</f>
        <v>7HV</v>
      </c>
      <c r="G234" s="31" t="str">
        <f>VLOOKUP(Tabela2[[#This Row],[Tag]],BD!$A:$V,20,0)</f>
        <v>BK-SP54-00350-LC-80-00006_00000</v>
      </c>
      <c r="H234" s="32" t="str">
        <f>IF(VLOOKUP(Tabela2[[#This Row],[Tag]],BD!A:T,17,0)=0,"",VLOOKUP(Tabela2[[#This Row],[Tag]],BD!A:T,17,0))</f>
        <v>4.6.1</v>
      </c>
      <c r="I234" s="139">
        <v>44197</v>
      </c>
      <c r="J234" s="155">
        <f>VLOOKUP(Tabela2[[#This Row],[Tag]],BD!$A:$AE,30,0)</f>
        <v>480</v>
      </c>
      <c r="K234" s="29">
        <f>SUMIF(B:B,Tabela2[[#This Row],[Tag]],C:C)/Tabela2[[#This Row],[Comprim. Real]]</f>
        <v>1</v>
      </c>
      <c r="L234" s="29" t="str">
        <f>VLOOKUP(Tabela2[[#This Row],[Tag]],BD!A:AF,32,0)</f>
        <v>7HVxCCP</v>
      </c>
    </row>
    <row r="235" spans="1:12" x14ac:dyDescent="0.25">
      <c r="A235" s="391">
        <v>234</v>
      </c>
      <c r="B235" s="7" t="s">
        <v>909</v>
      </c>
      <c r="C235" s="391">
        <v>1950</v>
      </c>
      <c r="D235" s="32">
        <v>44218</v>
      </c>
      <c r="E235" s="32" t="str">
        <f>VLOOKUP(Tabela2[[#This Row],[Tag]],BD!$A:$B,2,0)</f>
        <v>Força</v>
      </c>
      <c r="F235" s="32" t="str">
        <f>VLOOKUP(Tabela2[[#This Row],[Tag]],BD!A:J,10,0)</f>
        <v>8HV x 1HV</v>
      </c>
      <c r="G235" s="31" t="str">
        <f>VLOOKUP(Tabela2[[#This Row],[Tag]],BD!$A:$V,20,0)</f>
        <v>BK-SP54-0900A-LC-74-00001_00000</v>
      </c>
      <c r="H235" s="32" t="str">
        <f>IF(VLOOKUP(Tabela2[[#This Row],[Tag]],BD!A:T,17,0)=0,"",VLOOKUP(Tabela2[[#This Row],[Tag]],BD!A:T,17,0))</f>
        <v>5.2.2</v>
      </c>
      <c r="I235" s="139">
        <v>44197</v>
      </c>
      <c r="J235" s="155">
        <f>VLOOKUP(Tabela2[[#This Row],[Tag]],BD!$A:$AE,30,0)</f>
        <v>6750</v>
      </c>
      <c r="K235" s="29">
        <f>SUMIF(B:B,Tabela2[[#This Row],[Tag]],C:C)/Tabela2[[#This Row],[Comprim. Real]]</f>
        <v>1</v>
      </c>
      <c r="L235" s="29" t="str">
        <f>VLOOKUP(Tabela2[[#This Row],[Tag]],BD!A:AF,32,0)</f>
        <v>8HVx1HV</v>
      </c>
    </row>
    <row r="236" spans="1:12" x14ac:dyDescent="0.25">
      <c r="A236" s="391">
        <v>235</v>
      </c>
      <c r="B236" s="7" t="s">
        <v>1118</v>
      </c>
      <c r="C236" s="391">
        <v>170</v>
      </c>
      <c r="D236" s="32">
        <v>44225</v>
      </c>
      <c r="E236" s="32" t="str">
        <f>VLOOKUP(Tabela2[[#This Row],[Tag]],BD!$A:$B,2,0)</f>
        <v>Força</v>
      </c>
      <c r="F236" s="32" t="str">
        <f>VLOOKUP(Tabela2[[#This Row],[Tag]],BD!A:J,10,0)</f>
        <v>GA-9312/S</v>
      </c>
      <c r="G236" s="31" t="str">
        <f>VLOOKUP(Tabela2[[#This Row],[Tag]],BD!$A:$V,20,0)</f>
        <v>BK-SP54-0900A-LC-74-00001_00000</v>
      </c>
      <c r="H236" s="32" t="str">
        <f>IF(VLOOKUP(Tabela2[[#This Row],[Tag]],BD!A:T,17,0)=0,"",VLOOKUP(Tabela2[[#This Row],[Tag]],BD!A:T,17,0))</f>
        <v>5.2.4</v>
      </c>
      <c r="I236" s="139">
        <v>44197</v>
      </c>
      <c r="J236" s="155">
        <f>VLOOKUP(Tabela2[[#This Row],[Tag]],BD!$A:$AE,30,0)</f>
        <v>170</v>
      </c>
      <c r="K236" s="29">
        <f>SUMIF(B:B,Tabela2[[#This Row],[Tag]],C:C)/Tabela2[[#This Row],[Comprim. Real]]</f>
        <v>1</v>
      </c>
      <c r="L236" s="29" t="str">
        <f>VLOOKUP(Tabela2[[#This Row],[Tag]],BD!A:AF,32,0)</f>
        <v>CCPxGA-9312/S</v>
      </c>
    </row>
    <row r="237" spans="1:12" x14ac:dyDescent="0.25">
      <c r="A237" s="391">
        <v>236</v>
      </c>
      <c r="B237" s="7" t="s">
        <v>1116</v>
      </c>
      <c r="C237" s="391">
        <v>170</v>
      </c>
      <c r="D237" s="32">
        <v>44225</v>
      </c>
      <c r="E237" s="32" t="str">
        <f>VLOOKUP(Tabela2[[#This Row],[Tag]],BD!$A:$B,2,0)</f>
        <v>Controle</v>
      </c>
      <c r="F237" s="32" t="str">
        <f>VLOOKUP(Tabela2[[#This Row],[Tag]],BD!A:J,10,0)</f>
        <v>GA-9312/S</v>
      </c>
      <c r="G237" s="31" t="str">
        <f>VLOOKUP(Tabela2[[#This Row],[Tag]],BD!$A:$V,20,0)</f>
        <v>BK-SP54-0900A-LC-74-00001_00000</v>
      </c>
      <c r="H237" s="32" t="str">
        <f>IF(VLOOKUP(Tabela2[[#This Row],[Tag]],BD!A:T,17,0)=0,"",VLOOKUP(Tabela2[[#This Row],[Tag]],BD!A:T,17,0))</f>
        <v>5.8.1</v>
      </c>
      <c r="I237" s="139">
        <v>44197</v>
      </c>
      <c r="J237" s="155">
        <f>VLOOKUP(Tabela2[[#This Row],[Tag]],BD!$A:$AE,30,0)</f>
        <v>170</v>
      </c>
      <c r="K237" s="29">
        <f>SUMIF(B:B,Tabela2[[#This Row],[Tag]],C:C)/Tabela2[[#This Row],[Comprim. Real]]</f>
        <v>1</v>
      </c>
      <c r="L237" s="29" t="str">
        <f>VLOOKUP(Tabela2[[#This Row],[Tag]],BD!A:AF,32,0)</f>
        <v>CCPxGA-9312/S</v>
      </c>
    </row>
    <row r="238" spans="1:12" x14ac:dyDescent="0.25">
      <c r="A238" s="391">
        <v>237</v>
      </c>
      <c r="B238" s="7" t="s">
        <v>286</v>
      </c>
      <c r="C238" s="391">
        <v>315</v>
      </c>
      <c r="D238" s="32">
        <v>44225</v>
      </c>
      <c r="E238" s="32" t="str">
        <f>VLOOKUP(Tabela2[[#This Row],[Tag]],BD!$A:$B,2,0)</f>
        <v>Força</v>
      </c>
      <c r="F238" s="32" t="str">
        <f>VLOOKUP(Tabela2[[#This Row],[Tag]],BD!A:J,10,0)</f>
        <v>GB-967A/B</v>
      </c>
      <c r="G238" s="31" t="str">
        <f>VLOOKUP(Tabela2[[#This Row],[Tag]],BD!$A:$V,20,0)</f>
        <v>BK-SP54-0900A-LC-74-00001_00000</v>
      </c>
      <c r="H238" s="32" t="str">
        <f>IF(VLOOKUP(Tabela2[[#This Row],[Tag]],BD!A:T,17,0)=0,"",VLOOKUP(Tabela2[[#This Row],[Tag]],BD!A:T,17,0))</f>
        <v>5.2.13</v>
      </c>
      <c r="I238" s="139">
        <v>44197</v>
      </c>
      <c r="J238" s="155">
        <f>VLOOKUP(Tabela2[[#This Row],[Tag]],BD!$A:$AE,30,0)</f>
        <v>630</v>
      </c>
      <c r="K238" s="29">
        <f>SUMIF(B:B,Tabela2[[#This Row],[Tag]],C:C)/Tabela2[[#This Row],[Comprim. Real]]</f>
        <v>1</v>
      </c>
      <c r="L238" s="29" t="str">
        <f>VLOOKUP(Tabela2[[#This Row],[Tag]],BD!A:AF,32,0)</f>
        <v>1MVxGB-967A</v>
      </c>
    </row>
    <row r="239" spans="1:12" x14ac:dyDescent="0.25">
      <c r="A239" s="391">
        <v>238</v>
      </c>
      <c r="B239" s="7" t="s">
        <v>295</v>
      </c>
      <c r="C239" s="391">
        <v>315</v>
      </c>
      <c r="D239" s="32">
        <v>44225</v>
      </c>
      <c r="E239" s="32" t="str">
        <f>VLOOKUP(Tabela2[[#This Row],[Tag]],BD!$A:$B,2,0)</f>
        <v>Força</v>
      </c>
      <c r="F239" s="32" t="str">
        <f>VLOOKUP(Tabela2[[#This Row],[Tag]],BD!A:J,10,0)</f>
        <v>GB-967A/B</v>
      </c>
      <c r="G239" s="31" t="str">
        <f>VLOOKUP(Tabela2[[#This Row],[Tag]],BD!$A:$V,20,0)</f>
        <v>BK-SP54-0900A-LC-74-00001_00000</v>
      </c>
      <c r="H239" s="32" t="str">
        <f>IF(VLOOKUP(Tabela2[[#This Row],[Tag]],BD!A:T,17,0)=0,"",VLOOKUP(Tabela2[[#This Row],[Tag]],BD!A:T,17,0))</f>
        <v>5.2.13</v>
      </c>
      <c r="I239" s="139">
        <v>44197</v>
      </c>
      <c r="J239" s="155">
        <f>VLOOKUP(Tabela2[[#This Row],[Tag]],BD!$A:$AE,30,0)</f>
        <v>630</v>
      </c>
      <c r="K239" s="29">
        <f>SUMIF(B:B,Tabela2[[#This Row],[Tag]],C:C)/Tabela2[[#This Row],[Comprim. Real]]</f>
        <v>1</v>
      </c>
      <c r="L239" s="29" t="str">
        <f>VLOOKUP(Tabela2[[#This Row],[Tag]],BD!A:AF,32,0)</f>
        <v>1MVxGB-967B</v>
      </c>
    </row>
    <row r="240" spans="1:12" x14ac:dyDescent="0.25">
      <c r="A240" s="391">
        <v>239</v>
      </c>
      <c r="B240" s="7" t="s">
        <v>239</v>
      </c>
      <c r="C240" s="391">
        <v>255</v>
      </c>
      <c r="D240" s="32">
        <v>44225</v>
      </c>
      <c r="E240" s="32" t="str">
        <f>VLOOKUP(Tabela2[[#This Row],[Tag]],BD!$A:$B,2,0)</f>
        <v>Força</v>
      </c>
      <c r="F240" s="32" t="str">
        <f>VLOOKUP(Tabela2[[#This Row],[Tag]],BD!A:J,10,0)</f>
        <v>GA-906E</v>
      </c>
      <c r="G240" s="31" t="str">
        <f>VLOOKUP(Tabela2[[#This Row],[Tag]],BD!$A:$V,20,0)</f>
        <v>BK-SP54-0900A-LC-74-00001_00000</v>
      </c>
      <c r="H240" s="32" t="str">
        <f>IF(VLOOKUP(Tabela2[[#This Row],[Tag]],BD!A:T,17,0)=0,"",VLOOKUP(Tabela2[[#This Row],[Tag]],BD!A:T,17,0))</f>
        <v>5.2.13</v>
      </c>
      <c r="I240" s="139">
        <v>44197</v>
      </c>
      <c r="J240" s="155">
        <f>VLOOKUP(Tabela2[[#This Row],[Tag]],BD!$A:$AE,30,0)</f>
        <v>510</v>
      </c>
      <c r="K240" s="29">
        <f>SUMIF(B:B,Tabela2[[#This Row],[Tag]],C:C)/Tabela2[[#This Row],[Comprim. Real]]</f>
        <v>1</v>
      </c>
      <c r="L240" s="29" t="str">
        <f>VLOOKUP(Tabela2[[#This Row],[Tag]],BD!A:AF,32,0)</f>
        <v>1MVxGA-906E</v>
      </c>
    </row>
    <row r="241" spans="1:12" x14ac:dyDescent="0.25">
      <c r="A241" s="391">
        <v>240</v>
      </c>
      <c r="B241" s="7" t="s">
        <v>286</v>
      </c>
      <c r="C241" s="391">
        <v>315</v>
      </c>
      <c r="D241" s="32">
        <v>44230</v>
      </c>
      <c r="E241" s="32" t="str">
        <f>VLOOKUP(Tabela2[[#This Row],[Tag]],BD!$A:$B,2,0)</f>
        <v>Força</v>
      </c>
      <c r="F241" s="32" t="str">
        <f>VLOOKUP(Tabela2[[#This Row],[Tag]],BD!A:J,10,0)</f>
        <v>GB-967A/B</v>
      </c>
      <c r="G241" s="31" t="str">
        <f>VLOOKUP(Tabela2[[#This Row],[Tag]],BD!$A:$V,20,0)</f>
        <v>BK-SP54-0900A-LC-74-00001_00000</v>
      </c>
      <c r="H241" s="32" t="str">
        <f>IF(VLOOKUP(Tabela2[[#This Row],[Tag]],BD!A:T,17,0)=0,"",VLOOKUP(Tabela2[[#This Row],[Tag]],BD!A:T,17,0))</f>
        <v>5.2.13</v>
      </c>
      <c r="I241" s="139">
        <v>44228</v>
      </c>
      <c r="J241" s="155">
        <f>VLOOKUP(Tabela2[[#This Row],[Tag]],BD!$A:$AE,30,0)</f>
        <v>630</v>
      </c>
      <c r="K241" s="29">
        <f>SUMIF(B:B,Tabela2[[#This Row],[Tag]],C:C)/Tabela2[[#This Row],[Comprim. Real]]</f>
        <v>1</v>
      </c>
      <c r="L241" s="29" t="str">
        <f>VLOOKUP(Tabela2[[#This Row],[Tag]],BD!A:AF,32,0)</f>
        <v>1MVxGB-967A</v>
      </c>
    </row>
    <row r="242" spans="1:12" x14ac:dyDescent="0.25">
      <c r="A242" s="391">
        <v>241</v>
      </c>
      <c r="B242" s="7" t="s">
        <v>295</v>
      </c>
      <c r="C242" s="391">
        <v>315</v>
      </c>
      <c r="D242" s="32">
        <v>44230</v>
      </c>
      <c r="E242" s="32" t="str">
        <f>VLOOKUP(Tabela2[[#This Row],[Tag]],BD!$A:$B,2,0)</f>
        <v>Força</v>
      </c>
      <c r="F242" s="32" t="str">
        <f>VLOOKUP(Tabela2[[#This Row],[Tag]],BD!A:J,10,0)</f>
        <v>GB-967A/B</v>
      </c>
      <c r="G242" s="31" t="str">
        <f>VLOOKUP(Tabela2[[#This Row],[Tag]],BD!$A:$V,20,0)</f>
        <v>BK-SP54-0900A-LC-74-00001_00000</v>
      </c>
      <c r="H242" s="32" t="str">
        <f>IF(VLOOKUP(Tabela2[[#This Row],[Tag]],BD!A:T,17,0)=0,"",VLOOKUP(Tabela2[[#This Row],[Tag]],BD!A:T,17,0))</f>
        <v>5.2.13</v>
      </c>
      <c r="I242" s="139">
        <v>44228</v>
      </c>
      <c r="J242" s="155">
        <f>VLOOKUP(Tabela2[[#This Row],[Tag]],BD!$A:$AE,30,0)</f>
        <v>630</v>
      </c>
      <c r="K242" s="29">
        <f>SUMIF(B:B,Tabela2[[#This Row],[Tag]],C:C)/Tabela2[[#This Row],[Comprim. Real]]</f>
        <v>1</v>
      </c>
      <c r="L242" s="29" t="str">
        <f>VLOOKUP(Tabela2[[#This Row],[Tag]],BD!A:AF,32,0)</f>
        <v>1MVxGB-967B</v>
      </c>
    </row>
    <row r="243" spans="1:12" x14ac:dyDescent="0.25">
      <c r="A243" s="391">
        <v>242</v>
      </c>
      <c r="B243" s="7" t="s">
        <v>239</v>
      </c>
      <c r="C243" s="391">
        <v>255</v>
      </c>
      <c r="D243" s="32">
        <v>44230</v>
      </c>
      <c r="E243" s="32" t="str">
        <f>VLOOKUP(Tabela2[[#This Row],[Tag]],BD!$A:$B,2,0)</f>
        <v>Força</v>
      </c>
      <c r="F243" s="32" t="str">
        <f>VLOOKUP(Tabela2[[#This Row],[Tag]],BD!A:J,10,0)</f>
        <v>GA-906E</v>
      </c>
      <c r="G243" s="31" t="str">
        <f>VLOOKUP(Tabela2[[#This Row],[Tag]],BD!$A:$V,20,0)</f>
        <v>BK-SP54-0900A-LC-74-00001_00000</v>
      </c>
      <c r="H243" s="32" t="str">
        <f>IF(VLOOKUP(Tabela2[[#This Row],[Tag]],BD!A:T,17,0)=0,"",VLOOKUP(Tabela2[[#This Row],[Tag]],BD!A:T,17,0))</f>
        <v>5.2.13</v>
      </c>
      <c r="I243" s="139">
        <v>44228</v>
      </c>
      <c r="J243" s="155">
        <f>VLOOKUP(Tabela2[[#This Row],[Tag]],BD!$A:$AE,30,0)</f>
        <v>510</v>
      </c>
      <c r="K243" s="29">
        <f>SUMIF(B:B,Tabela2[[#This Row],[Tag]],C:C)/Tabela2[[#This Row],[Comprim. Real]]</f>
        <v>1</v>
      </c>
      <c r="L243" s="29" t="str">
        <f>VLOOKUP(Tabela2[[#This Row],[Tag]],BD!A:AF,32,0)</f>
        <v>1MVxGA-906E</v>
      </c>
    </row>
    <row r="244" spans="1:12" x14ac:dyDescent="0.25">
      <c r="A244" s="391">
        <v>243</v>
      </c>
      <c r="B244" s="7" t="s">
        <v>312</v>
      </c>
      <c r="C244" s="391">
        <v>5</v>
      </c>
      <c r="D244" s="32">
        <v>44230</v>
      </c>
      <c r="E244" s="32" t="str">
        <f>VLOOKUP(Tabela2[[#This Row],[Tag]],BD!$A:$B,2,0)</f>
        <v>FO</v>
      </c>
      <c r="F244" s="32" t="str">
        <f>VLOOKUP(Tabela2[[#This Row],[Tag]],BD!A:J,10,0)</f>
        <v>FIBRA</v>
      </c>
      <c r="G244" s="31" t="str">
        <f>VLOOKUP(Tabela2[[#This Row],[Tag]],BD!$A:$V,20,0)</f>
        <v>BK-SP54-0900A-LC-90-00004_00000</v>
      </c>
      <c r="H244" s="32" t="str">
        <f>IF(VLOOKUP(Tabela2[[#This Row],[Tag]],BD!A:T,17,0)=0,"",VLOOKUP(Tabela2[[#This Row],[Tag]],BD!A:T,17,0))</f>
        <v>4.3.1</v>
      </c>
      <c r="I244" s="139">
        <v>44166</v>
      </c>
      <c r="J244" s="155">
        <f>VLOOKUP(Tabela2[[#This Row],[Tag]],BD!$A:$AE,30,0)</f>
        <v>5</v>
      </c>
      <c r="K244" s="29">
        <f>SUMIF(B:B,Tabela2[[#This Row],[Tag]],C:C)/Tabela2[[#This Row],[Comprim. Real]]</f>
        <v>1</v>
      </c>
      <c r="L244" s="29" t="str">
        <f>VLOOKUP(Tabela2[[#This Row],[Tag]],BD!A:AF,32,0)</f>
        <v>30LV</v>
      </c>
    </row>
    <row r="245" spans="1:12" x14ac:dyDescent="0.25">
      <c r="A245" s="391">
        <v>244</v>
      </c>
      <c r="B245" s="7" t="s">
        <v>1139</v>
      </c>
      <c r="C245" s="391">
        <v>342</v>
      </c>
      <c r="D245" s="32">
        <v>44232</v>
      </c>
      <c r="E245" s="32" t="str">
        <f>VLOOKUP(Tabela2[[#This Row],[Tag]],BD!$A:$B,2,0)</f>
        <v>Controle</v>
      </c>
      <c r="F245" s="32" t="str">
        <f>VLOOKUP(Tabela2[[#This Row],[Tag]],BD!A:J,10,0)</f>
        <v>CCP</v>
      </c>
      <c r="G245" s="31" t="str">
        <f>VLOOKUP(Tabela2[[#This Row],[Tag]],BD!$A:$V,20,0)</f>
        <v>BK-SP54-00350-LC-80-00006_00000</v>
      </c>
      <c r="H245" s="32" t="str">
        <f>IF(VLOOKUP(Tabela2[[#This Row],[Tag]],BD!A:T,17,0)=0,"",VLOOKUP(Tabela2[[#This Row],[Tag]],BD!A:T,17,0))</f>
        <v>4.6.1</v>
      </c>
      <c r="I245" s="139">
        <v>44228</v>
      </c>
      <c r="J245" s="155">
        <f>VLOOKUP(Tabela2[[#This Row],[Tag]],BD!$A:$AE,30,0)</f>
        <v>342</v>
      </c>
      <c r="K245" s="29">
        <f>SUMIF(B:B,Tabela2[[#This Row],[Tag]],C:C)/Tabela2[[#This Row],[Comprim. Real]]</f>
        <v>1</v>
      </c>
      <c r="L245" s="29" t="str">
        <f>VLOOKUP(Tabela2[[#This Row],[Tag]],BD!A:AF,32,0)</f>
        <v>CCPxGB-351</v>
      </c>
    </row>
    <row r="246" spans="1:12" x14ac:dyDescent="0.25">
      <c r="A246" s="391">
        <v>245</v>
      </c>
      <c r="B246" s="7" t="s">
        <v>1148</v>
      </c>
      <c r="C246" s="391">
        <v>342</v>
      </c>
      <c r="D246" s="32">
        <v>44232</v>
      </c>
      <c r="E246" s="32" t="str">
        <f>VLOOKUP(Tabela2[[#This Row],[Tag]],BD!$A:$B,2,0)</f>
        <v>Controle</v>
      </c>
      <c r="F246" s="32" t="str">
        <f>VLOOKUP(Tabela2[[#This Row],[Tag]],BD!A:J,10,0)</f>
        <v>CCP</v>
      </c>
      <c r="G246" s="31" t="str">
        <f>VLOOKUP(Tabela2[[#This Row],[Tag]],BD!$A:$V,20,0)</f>
        <v>BK-SP54-00350-LC-80-00006_00000</v>
      </c>
      <c r="H246" s="32" t="str">
        <f>IF(VLOOKUP(Tabela2[[#This Row],[Tag]],BD!A:T,17,0)=0,"",VLOOKUP(Tabela2[[#This Row],[Tag]],BD!A:T,17,0))</f>
        <v>4.6.1</v>
      </c>
      <c r="I246" s="139">
        <v>44228</v>
      </c>
      <c r="J246" s="155">
        <f>VLOOKUP(Tabela2[[#This Row],[Tag]],BD!$A:$AE,30,0)</f>
        <v>342</v>
      </c>
      <c r="K246" s="29">
        <f>SUMIF(B:B,Tabela2[[#This Row],[Tag]],C:C)/Tabela2[[#This Row],[Comprim. Real]]</f>
        <v>1</v>
      </c>
      <c r="L246" s="29" t="str">
        <f>VLOOKUP(Tabela2[[#This Row],[Tag]],BD!A:AF,32,0)</f>
        <v>CCPxGB-351</v>
      </c>
    </row>
    <row r="247" spans="1:12" x14ac:dyDescent="0.25">
      <c r="A247" s="391">
        <v>246</v>
      </c>
      <c r="B247" s="7" t="s">
        <v>1153</v>
      </c>
      <c r="C247" s="391">
        <v>342</v>
      </c>
      <c r="D247" s="32">
        <v>44232</v>
      </c>
      <c r="E247" s="32" t="str">
        <f>VLOOKUP(Tabela2[[#This Row],[Tag]],BD!$A:$B,2,0)</f>
        <v>Controle</v>
      </c>
      <c r="F247" s="32" t="str">
        <f>VLOOKUP(Tabela2[[#This Row],[Tag]],BD!A:J,10,0)</f>
        <v>CCP</v>
      </c>
      <c r="G247" s="31" t="str">
        <f>VLOOKUP(Tabela2[[#This Row],[Tag]],BD!$A:$V,20,0)</f>
        <v>BK-SP54-00350-LC-80-00006_00000</v>
      </c>
      <c r="H247" s="32" t="str">
        <f>IF(VLOOKUP(Tabela2[[#This Row],[Tag]],BD!A:T,17,0)=0,"",VLOOKUP(Tabela2[[#This Row],[Tag]],BD!A:T,17,0))</f>
        <v>4.6.1</v>
      </c>
      <c r="I247" s="139">
        <v>44228</v>
      </c>
      <c r="J247" s="155">
        <f>VLOOKUP(Tabela2[[#This Row],[Tag]],BD!$A:$AE,30,0)</f>
        <v>342</v>
      </c>
      <c r="K247" s="29">
        <f>SUMIF(B:B,Tabela2[[#This Row],[Tag]],C:C)/Tabela2[[#This Row],[Comprim. Real]]</f>
        <v>1</v>
      </c>
      <c r="L247" s="29" t="str">
        <f>VLOOKUP(Tabela2[[#This Row],[Tag]],BD!A:AF,32,0)</f>
        <v>CCPxGB-351</v>
      </c>
    </row>
    <row r="248" spans="1:12" x14ac:dyDescent="0.25">
      <c r="A248" s="391">
        <v>247</v>
      </c>
      <c r="B248" s="7" t="s">
        <v>1155</v>
      </c>
      <c r="C248" s="391">
        <v>342</v>
      </c>
      <c r="D248" s="32">
        <v>44232</v>
      </c>
      <c r="E248" s="32" t="str">
        <f>VLOOKUP(Tabela2[[#This Row],[Tag]],BD!$A:$B,2,0)</f>
        <v>Controle</v>
      </c>
      <c r="F248" s="32" t="str">
        <f>VLOOKUP(Tabela2[[#This Row],[Tag]],BD!A:J,10,0)</f>
        <v>CCP</v>
      </c>
      <c r="G248" s="31" t="str">
        <f>VLOOKUP(Tabela2[[#This Row],[Tag]],BD!$A:$V,20,0)</f>
        <v>BK-SP54-00350-LC-80-00006_00000</v>
      </c>
      <c r="H248" s="32" t="str">
        <f>IF(VLOOKUP(Tabela2[[#This Row],[Tag]],BD!A:T,17,0)=0,"",VLOOKUP(Tabela2[[#This Row],[Tag]],BD!A:T,17,0))</f>
        <v>4.6.1</v>
      </c>
      <c r="I248" s="139">
        <v>44228</v>
      </c>
      <c r="J248" s="155">
        <f>VLOOKUP(Tabela2[[#This Row],[Tag]],BD!$A:$AE,30,0)</f>
        <v>342</v>
      </c>
      <c r="K248" s="29">
        <f>SUMIF(B:B,Tabela2[[#This Row],[Tag]],C:C)/Tabela2[[#This Row],[Comprim. Real]]</f>
        <v>1</v>
      </c>
      <c r="L248" s="29" t="str">
        <f>VLOOKUP(Tabela2[[#This Row],[Tag]],BD!A:AF,32,0)</f>
        <v>CCPxGB-351</v>
      </c>
    </row>
    <row r="249" spans="1:12" x14ac:dyDescent="0.25">
      <c r="A249" s="391">
        <v>312</v>
      </c>
      <c r="B249" s="7" t="s">
        <v>336</v>
      </c>
      <c r="C249" s="391">
        <v>10</v>
      </c>
      <c r="D249" s="32">
        <v>44253</v>
      </c>
      <c r="E249" s="32" t="str">
        <f>VLOOKUP(Tabela2[[#This Row],[Tag]],BD!$A:$B,2,0)</f>
        <v>Rede</v>
      </c>
      <c r="F249" s="32" t="str">
        <f>VLOOKUP(Tabela2[[#This Row],[Tag]],BD!A:J,10,0)</f>
        <v>REDE</v>
      </c>
      <c r="G249" s="31" t="str">
        <f>VLOOKUP(Tabela2[[#This Row],[Tag]],BD!$A:$V,20,0)</f>
        <v>BK-SP54-0900A-LC-90-00004_00000</v>
      </c>
      <c r="H249" s="32" t="str">
        <f>IF(VLOOKUP(Tabela2[[#This Row],[Tag]],BD!A:T,17,0)=0,"",VLOOKUP(Tabela2[[#This Row],[Tag]],BD!A:T,17,0))</f>
        <v>4.4.1</v>
      </c>
      <c r="I249" s="139">
        <v>44166</v>
      </c>
      <c r="J249" s="155">
        <f>VLOOKUP(Tabela2[[#This Row],[Tag]],BD!$A:$AE,30,0)</f>
        <v>10</v>
      </c>
      <c r="K249" s="29">
        <f>SUMIF(B:B,Tabela2[[#This Row],[Tag]],C:C)/Tabela2[[#This Row],[Comprim. Real]]</f>
        <v>1</v>
      </c>
      <c r="L249" s="29" t="str">
        <f>VLOOKUP(Tabela2[[#This Row],[Tag]],BD!A:AF,32,0)</f>
        <v>30LV</v>
      </c>
    </row>
    <row r="250" spans="1:12" x14ac:dyDescent="0.25">
      <c r="A250" s="391">
        <v>249</v>
      </c>
      <c r="B250" s="7" t="s">
        <v>262</v>
      </c>
      <c r="C250" s="391">
        <v>720</v>
      </c>
      <c r="D250" s="32">
        <v>44232</v>
      </c>
      <c r="E250" s="32" t="str">
        <f>VLOOKUP(Tabela2[[#This Row],[Tag]],BD!$A:$B,2,0)</f>
        <v>Força</v>
      </c>
      <c r="F250" s="32" t="str">
        <f>VLOOKUP(Tabela2[[#This Row],[Tag]],BD!A:J,10,0)</f>
        <v>GB-208A</v>
      </c>
      <c r="G250" s="31" t="str">
        <f>VLOOKUP(Tabela2[[#This Row],[Tag]],BD!$A:$V,20,0)</f>
        <v>BK-SP54-0900A-LC-74-00001_00000</v>
      </c>
      <c r="H250" s="32" t="str">
        <f>IF(VLOOKUP(Tabela2[[#This Row],[Tag]],BD!A:T,17,0)=0,"",VLOOKUP(Tabela2[[#This Row],[Tag]],BD!A:T,17,0))</f>
        <v>5.2.13</v>
      </c>
      <c r="I250" s="139">
        <v>44228</v>
      </c>
      <c r="J250" s="155">
        <f>VLOOKUP(Tabela2[[#This Row],[Tag]],BD!$A:$AE,30,0)</f>
        <v>720</v>
      </c>
      <c r="K250" s="29">
        <f>SUMIF(B:B,Tabela2[[#This Row],[Tag]],C:C)/Tabela2[[#This Row],[Comprim. Real]]</f>
        <v>1</v>
      </c>
      <c r="L250" s="29" t="str">
        <f>VLOOKUP(Tabela2[[#This Row],[Tag]],BD!A:AF,32,0)</f>
        <v>1MVxGB-208A</v>
      </c>
    </row>
    <row r="251" spans="1:12" x14ac:dyDescent="0.25">
      <c r="A251" s="391">
        <v>250</v>
      </c>
      <c r="B251" s="7" t="s">
        <v>1107</v>
      </c>
      <c r="C251" s="391">
        <v>170</v>
      </c>
      <c r="D251" s="32">
        <v>44232</v>
      </c>
      <c r="E251" s="32" t="str">
        <f>VLOOKUP(Tabela2[[#This Row],[Tag]],BD!$A:$B,2,0)</f>
        <v>Força</v>
      </c>
      <c r="F251" s="32" t="str">
        <f>VLOOKUP(Tabela2[[#This Row],[Tag]],BD!A:J,10,0)</f>
        <v>GA-9312/S</v>
      </c>
      <c r="G251" s="31" t="str">
        <f>VLOOKUP(Tabela2[[#This Row],[Tag]],BD!$A:$V,20,0)</f>
        <v>BK-SP54-0900A-LC-74-00001_00000</v>
      </c>
      <c r="H251" s="32" t="str">
        <f>IF(VLOOKUP(Tabela2[[#This Row],[Tag]],BD!A:T,17,0)=0,"",VLOOKUP(Tabela2[[#This Row],[Tag]],BD!A:T,17,0))</f>
        <v>5.2.4</v>
      </c>
      <c r="I251" s="139">
        <v>44228</v>
      </c>
      <c r="J251" s="155">
        <f>VLOOKUP(Tabela2[[#This Row],[Tag]],BD!$A:$AE,30,0)</f>
        <v>170</v>
      </c>
      <c r="K251" s="29">
        <f>SUMIF(B:B,Tabela2[[#This Row],[Tag]],C:C)/Tabela2[[#This Row],[Comprim. Real]]</f>
        <v>1</v>
      </c>
      <c r="L251" s="29" t="str">
        <f>VLOOKUP(Tabela2[[#This Row],[Tag]],BD!A:AF,32,0)</f>
        <v>CCPxGA-9312/S</v>
      </c>
    </row>
    <row r="252" spans="1:12" x14ac:dyDescent="0.25">
      <c r="A252" s="391">
        <v>251</v>
      </c>
      <c r="B252" s="7" t="s">
        <v>1103</v>
      </c>
      <c r="C252" s="391">
        <v>170</v>
      </c>
      <c r="D252" s="32">
        <v>44232</v>
      </c>
      <c r="E252" s="32" t="str">
        <f>VLOOKUP(Tabela2[[#This Row],[Tag]],BD!$A:$B,2,0)</f>
        <v>Controle</v>
      </c>
      <c r="F252" s="32" t="str">
        <f>VLOOKUP(Tabela2[[#This Row],[Tag]],BD!A:J,10,0)</f>
        <v>GA-9312/S</v>
      </c>
      <c r="G252" s="31" t="str">
        <f>VLOOKUP(Tabela2[[#This Row],[Tag]],BD!$A:$V,20,0)</f>
        <v>BK-SP54-0900A-LC-74-00001_00000</v>
      </c>
      <c r="H252" s="32" t="str">
        <f>IF(VLOOKUP(Tabela2[[#This Row],[Tag]],BD!A:T,17,0)=0,"",VLOOKUP(Tabela2[[#This Row],[Tag]],BD!A:T,17,0))</f>
        <v>5.8.1</v>
      </c>
      <c r="I252" s="139">
        <v>44228</v>
      </c>
      <c r="J252" s="155">
        <f>VLOOKUP(Tabela2[[#This Row],[Tag]],BD!$A:$AE,30,0)</f>
        <v>170</v>
      </c>
      <c r="K252" s="29">
        <f>SUMIF(B:B,Tabela2[[#This Row],[Tag]],C:C)/Tabela2[[#This Row],[Comprim. Real]]</f>
        <v>1</v>
      </c>
      <c r="L252" s="29" t="str">
        <f>VLOOKUP(Tabela2[[#This Row],[Tag]],BD!A:AF,32,0)</f>
        <v>CCPxGA-9312/S</v>
      </c>
    </row>
    <row r="253" spans="1:12" x14ac:dyDescent="0.25">
      <c r="A253" s="391">
        <v>252</v>
      </c>
      <c r="B253" s="7" t="s">
        <v>1097</v>
      </c>
      <c r="C253" s="391">
        <v>170</v>
      </c>
      <c r="D253" s="32">
        <v>44232</v>
      </c>
      <c r="E253" s="32" t="str">
        <f>VLOOKUP(Tabela2[[#This Row],[Tag]],BD!$A:$B,2,0)</f>
        <v>Força</v>
      </c>
      <c r="F253" s="32" t="str">
        <f>VLOOKUP(Tabela2[[#This Row],[Tag]],BD!A:J,10,0)</f>
        <v>GA-9312/S</v>
      </c>
      <c r="G253" s="31" t="str">
        <f>VLOOKUP(Tabela2[[#This Row],[Tag]],BD!$A:$V,20,0)</f>
        <v>BK-SP54-0900A-LC-74-00001_00000</v>
      </c>
      <c r="H253" s="32" t="str">
        <f>IF(VLOOKUP(Tabela2[[#This Row],[Tag]],BD!A:T,17,0)=0,"",VLOOKUP(Tabela2[[#This Row],[Tag]],BD!A:T,17,0))</f>
        <v>5.10.2</v>
      </c>
      <c r="I253" s="139">
        <v>44228</v>
      </c>
      <c r="J253" s="155">
        <f>VLOOKUP(Tabela2[[#This Row],[Tag]],BD!$A:$AE,30,0)</f>
        <v>170</v>
      </c>
      <c r="K253" s="29">
        <f>SUMIF(B:B,Tabela2[[#This Row],[Tag]],C:C)/Tabela2[[#This Row],[Comprim. Real]]</f>
        <v>1</v>
      </c>
      <c r="L253" s="29" t="str">
        <f>VLOOKUP(Tabela2[[#This Row],[Tag]],BD!A:AF,32,0)</f>
        <v>CCPxGA-9312/S</v>
      </c>
    </row>
    <row r="254" spans="1:12" x14ac:dyDescent="0.25">
      <c r="A254" s="391">
        <v>253</v>
      </c>
      <c r="B254" s="7" t="s">
        <v>1112</v>
      </c>
      <c r="C254" s="391">
        <v>170</v>
      </c>
      <c r="D254" s="32">
        <v>44232</v>
      </c>
      <c r="E254" s="32" t="str">
        <f>VLOOKUP(Tabela2[[#This Row],[Tag]],BD!$A:$B,2,0)</f>
        <v>Força</v>
      </c>
      <c r="F254" s="32" t="str">
        <f>VLOOKUP(Tabela2[[#This Row],[Tag]],BD!A:J,10,0)</f>
        <v>GA-9312/S</v>
      </c>
      <c r="G254" s="31" t="str">
        <f>VLOOKUP(Tabela2[[#This Row],[Tag]],BD!$A:$V,20,0)</f>
        <v>BK-SP54-0900A-LC-74-00001_00000</v>
      </c>
      <c r="H254" s="32" t="str">
        <f>IF(VLOOKUP(Tabela2[[#This Row],[Tag]],BD!A:T,17,0)=0,"",VLOOKUP(Tabela2[[#This Row],[Tag]],BD!A:T,17,0))</f>
        <v>5.10.2</v>
      </c>
      <c r="I254" s="139">
        <v>44228</v>
      </c>
      <c r="J254" s="155">
        <f>VLOOKUP(Tabela2[[#This Row],[Tag]],BD!$A:$AE,30,0)</f>
        <v>170</v>
      </c>
      <c r="K254" s="29">
        <f>SUMIF(B:B,Tabela2[[#This Row],[Tag]],C:C)/Tabela2[[#This Row],[Comprim. Real]]</f>
        <v>1</v>
      </c>
      <c r="L254" s="29" t="str">
        <f>VLOOKUP(Tabela2[[#This Row],[Tag]],BD!A:AF,32,0)</f>
        <v>CCPxGA-9312/S</v>
      </c>
    </row>
    <row r="255" spans="1:12" x14ac:dyDescent="0.25">
      <c r="A255" s="391">
        <v>229</v>
      </c>
      <c r="B255" s="7" t="s">
        <v>684</v>
      </c>
      <c r="C255" s="391">
        <v>480</v>
      </c>
      <c r="D255" s="32">
        <v>44218</v>
      </c>
      <c r="E255" s="32" t="str">
        <f>VLOOKUP(Tabela2[[#This Row],[Tag]],BD!$A:$B,2,0)</f>
        <v>Controle</v>
      </c>
      <c r="F255" s="32" t="str">
        <f>VLOOKUP(Tabela2[[#This Row],[Tag]],BD!A:J,10,0)</f>
        <v>7HV</v>
      </c>
      <c r="G255" s="31" t="str">
        <f>VLOOKUP(Tabela2[[#This Row],[Tag]],BD!$A:$V,20,0)</f>
        <v>BK-SP54-00350-LC-80-00006_00000</v>
      </c>
      <c r="H255" s="32" t="str">
        <f>IF(VLOOKUP(Tabela2[[#This Row],[Tag]],BD!A:T,17,0)=0,"",VLOOKUP(Tabela2[[#This Row],[Tag]],BD!A:T,17,0))</f>
        <v>4.4.1</v>
      </c>
      <c r="I255" s="139">
        <v>44197</v>
      </c>
      <c r="J255" s="155">
        <f>VLOOKUP(Tabela2[[#This Row],[Tag]],BD!$A:$AE,30,0)</f>
        <v>480</v>
      </c>
      <c r="K255" s="29">
        <f>SUMIF(B:B,Tabela2[[#This Row],[Tag]],C:C)/Tabela2[[#This Row],[Comprim. Real]]</f>
        <v>1</v>
      </c>
      <c r="L255" s="29" t="str">
        <f>VLOOKUP(Tabela2[[#This Row],[Tag]],BD!A:AF,32,0)</f>
        <v>7HVxCCP</v>
      </c>
    </row>
    <row r="256" spans="1:12" x14ac:dyDescent="0.25">
      <c r="A256" s="391">
        <v>255</v>
      </c>
      <c r="B256" s="7" t="s">
        <v>1370</v>
      </c>
      <c r="C256" s="391">
        <v>10</v>
      </c>
      <c r="D256" s="32">
        <v>44238</v>
      </c>
      <c r="E256" s="32" t="str">
        <f>VLOOKUP(Tabela2[[#This Row],[Tag]],BD!$A:$B,2,0)</f>
        <v>Controle</v>
      </c>
      <c r="F256" s="32" t="str">
        <f>VLOOKUP(Tabela2[[#This Row],[Tag]],BD!A:J,10,0)</f>
        <v>GB-351</v>
      </c>
      <c r="G256" s="31" t="str">
        <f>VLOOKUP(Tabela2[[#This Row],[Tag]],BD!$A:$V,20,0)</f>
        <v>BK-SP54-00350-LC-80-00006_00000</v>
      </c>
      <c r="H256" s="32" t="str">
        <f>IF(VLOOKUP(Tabela2[[#This Row],[Tag]],BD!A:T,17,0)=0,"",VLOOKUP(Tabela2[[#This Row],[Tag]],BD!A:T,17,0))</f>
        <v>4.6.1</v>
      </c>
      <c r="I256" s="139">
        <v>44228</v>
      </c>
      <c r="J256" s="155">
        <f>VLOOKUP(Tabela2[[#This Row],[Tag]],BD!$A:$AE,30,0)</f>
        <v>10</v>
      </c>
      <c r="K256" s="29">
        <f>SUMIF(B:B,Tabela2[[#This Row],[Tag]],C:C)/Tabela2[[#This Row],[Comprim. Real]]</f>
        <v>1</v>
      </c>
      <c r="L256" s="29" t="str">
        <f>VLOOKUP(Tabela2[[#This Row],[Tag]],BD!A:AF,32,0)</f>
        <v>GB-351</v>
      </c>
    </row>
    <row r="257" spans="1:12" x14ac:dyDescent="0.25">
      <c r="A257" s="391">
        <v>230</v>
      </c>
      <c r="B257" s="7" t="s">
        <v>686</v>
      </c>
      <c r="C257" s="391">
        <v>480</v>
      </c>
      <c r="D257" s="32">
        <v>44218</v>
      </c>
      <c r="E257" s="32" t="str">
        <f>VLOOKUP(Tabela2[[#This Row],[Tag]],BD!$A:$B,2,0)</f>
        <v>Controle</v>
      </c>
      <c r="F257" s="32" t="str">
        <f>VLOOKUP(Tabela2[[#This Row],[Tag]],BD!A:J,10,0)</f>
        <v>7HV</v>
      </c>
      <c r="G257" s="31" t="str">
        <f>VLOOKUP(Tabela2[[#This Row],[Tag]],BD!$A:$V,20,0)</f>
        <v>BK-SP54-00350-LC-80-00006_00000</v>
      </c>
      <c r="H257" s="32" t="str">
        <f>IF(VLOOKUP(Tabela2[[#This Row],[Tag]],BD!A:T,17,0)=0,"",VLOOKUP(Tabela2[[#This Row],[Tag]],BD!A:T,17,0))</f>
        <v>4.4.1</v>
      </c>
      <c r="I257" s="139">
        <v>44197</v>
      </c>
      <c r="J257" s="155">
        <f>VLOOKUP(Tabela2[[#This Row],[Tag]],BD!$A:$AE,30,0)</f>
        <v>480</v>
      </c>
      <c r="K257" s="29">
        <f>SUMIF(B:B,Tabela2[[#This Row],[Tag]],C:C)/Tabela2[[#This Row],[Comprim. Real]]</f>
        <v>1</v>
      </c>
      <c r="L257" s="29" t="str">
        <f>VLOOKUP(Tabela2[[#This Row],[Tag]],BD!A:AF,32,0)</f>
        <v>7HVxCCP</v>
      </c>
    </row>
    <row r="258" spans="1:12" x14ac:dyDescent="0.25">
      <c r="A258" s="391">
        <v>231</v>
      </c>
      <c r="B258" s="7" t="s">
        <v>689</v>
      </c>
      <c r="C258" s="391">
        <v>480</v>
      </c>
      <c r="D258" s="32">
        <v>44218</v>
      </c>
      <c r="E258" s="32" t="str">
        <f>VLOOKUP(Tabela2[[#This Row],[Tag]],BD!$A:$B,2,0)</f>
        <v>Controle</v>
      </c>
      <c r="F258" s="32" t="str">
        <f>VLOOKUP(Tabela2[[#This Row],[Tag]],BD!A:J,10,0)</f>
        <v>7HV</v>
      </c>
      <c r="G258" s="31" t="str">
        <f>VLOOKUP(Tabela2[[#This Row],[Tag]],BD!$A:$V,20,0)</f>
        <v>BK-SP54-00350-LC-80-00006_00000</v>
      </c>
      <c r="H258" s="32" t="str">
        <f>IF(VLOOKUP(Tabela2[[#This Row],[Tag]],BD!A:T,17,0)=0,"",VLOOKUP(Tabela2[[#This Row],[Tag]],BD!A:T,17,0))</f>
        <v>4.4.1</v>
      </c>
      <c r="I258" s="139">
        <v>44197</v>
      </c>
      <c r="J258" s="155">
        <f>VLOOKUP(Tabela2[[#This Row],[Tag]],BD!$A:$AE,30,0)</f>
        <v>480</v>
      </c>
      <c r="K258" s="29">
        <f>SUMIF(B:B,Tabela2[[#This Row],[Tag]],C:C)/Tabela2[[#This Row],[Comprim. Real]]</f>
        <v>1</v>
      </c>
      <c r="L258" s="29" t="str">
        <f>VLOOKUP(Tabela2[[#This Row],[Tag]],BD!A:AF,32,0)</f>
        <v>7HVxCCP</v>
      </c>
    </row>
    <row r="259" spans="1:12" x14ac:dyDescent="0.25">
      <c r="A259" s="391">
        <v>232</v>
      </c>
      <c r="B259" s="7" t="s">
        <v>692</v>
      </c>
      <c r="C259" s="391">
        <v>480</v>
      </c>
      <c r="D259" s="32">
        <v>44218</v>
      </c>
      <c r="E259" s="32" t="str">
        <f>VLOOKUP(Tabela2[[#This Row],[Tag]],BD!$A:$B,2,0)</f>
        <v>Controle</v>
      </c>
      <c r="F259" s="32" t="str">
        <f>VLOOKUP(Tabela2[[#This Row],[Tag]],BD!A:J,10,0)</f>
        <v>7HV</v>
      </c>
      <c r="G259" s="31" t="str">
        <f>VLOOKUP(Tabela2[[#This Row],[Tag]],BD!$A:$V,20,0)</f>
        <v>BK-SP54-00350-LC-80-00006_00000</v>
      </c>
      <c r="H259" s="32" t="str">
        <f>IF(VLOOKUP(Tabela2[[#This Row],[Tag]],BD!A:T,17,0)=0,"",VLOOKUP(Tabela2[[#This Row],[Tag]],BD!A:T,17,0))</f>
        <v>4.4.1</v>
      </c>
      <c r="I259" s="139">
        <v>44197</v>
      </c>
      <c r="J259" s="155">
        <f>VLOOKUP(Tabela2[[#This Row],[Tag]],BD!$A:$AE,30,0)</f>
        <v>480</v>
      </c>
      <c r="K259" s="29">
        <f>SUMIF(B:B,Tabela2[[#This Row],[Tag]],C:C)/Tabela2[[#This Row],[Comprim. Real]]</f>
        <v>1</v>
      </c>
      <c r="L259" s="29" t="str">
        <f>VLOOKUP(Tabela2[[#This Row],[Tag]],BD!A:AF,32,0)</f>
        <v>7HVxCCP</v>
      </c>
    </row>
    <row r="260" spans="1:12" x14ac:dyDescent="0.25">
      <c r="A260" s="391">
        <v>248</v>
      </c>
      <c r="B260" s="7" t="s">
        <v>1157</v>
      </c>
      <c r="C260" s="391">
        <v>342</v>
      </c>
      <c r="D260" s="32">
        <v>44232</v>
      </c>
      <c r="E260" s="32" t="str">
        <f>VLOOKUP(Tabela2[[#This Row],[Tag]],BD!$A:$B,2,0)</f>
        <v>Controle</v>
      </c>
      <c r="F260" s="32" t="str">
        <f>VLOOKUP(Tabela2[[#This Row],[Tag]],BD!A:J,10,0)</f>
        <v>GB-351</v>
      </c>
      <c r="G260" s="31" t="str">
        <f>VLOOKUP(Tabela2[[#This Row],[Tag]],BD!$A:$V,20,0)</f>
        <v>BK-SP54-00350-LC-80-00006_00000</v>
      </c>
      <c r="H260" s="32" t="str">
        <f>IF(VLOOKUP(Tabela2[[#This Row],[Tag]],BD!A:T,17,0)=0,"",VLOOKUP(Tabela2[[#This Row],[Tag]],BD!A:T,17,0))</f>
        <v>4.4.1</v>
      </c>
      <c r="I260" s="139">
        <v>44228</v>
      </c>
      <c r="J260" s="155">
        <f>VLOOKUP(Tabela2[[#This Row],[Tag]],BD!$A:$AE,30,0)</f>
        <v>342</v>
      </c>
      <c r="K260" s="29">
        <f>SUMIF(B:B,Tabela2[[#This Row],[Tag]],C:C)/Tabela2[[#This Row],[Comprim. Real]]</f>
        <v>1</v>
      </c>
      <c r="L260" s="29" t="str">
        <f>VLOOKUP(Tabela2[[#This Row],[Tag]],BD!A:AF,32,0)</f>
        <v>CCPxGB-351</v>
      </c>
    </row>
    <row r="261" spans="1:12" x14ac:dyDescent="0.25">
      <c r="A261" s="391">
        <v>254</v>
      </c>
      <c r="B261" s="7" t="s">
        <v>1071</v>
      </c>
      <c r="C261" s="391">
        <v>5</v>
      </c>
      <c r="D261" s="32">
        <v>44238</v>
      </c>
      <c r="E261" s="32" t="str">
        <f>VLOOKUP(Tabela2[[#This Row],[Tag]],BD!$A:$B,2,0)</f>
        <v>Controle</v>
      </c>
      <c r="F261" s="32" t="str">
        <f>VLOOKUP(Tabela2[[#This Row],[Tag]],BD!A:J,10,0)</f>
        <v>CCP</v>
      </c>
      <c r="G261" s="31" t="str">
        <f>VLOOKUP(Tabela2[[#This Row],[Tag]],BD!$A:$V,20,0)</f>
        <v>BK-SP54-00350-LC-80-00006_00000</v>
      </c>
      <c r="H261" s="32" t="str">
        <f>IF(VLOOKUP(Tabela2[[#This Row],[Tag]],BD!A:T,17,0)=0,"",VLOOKUP(Tabela2[[#This Row],[Tag]],BD!A:T,17,0))</f>
        <v>4.4.1</v>
      </c>
      <c r="I261" s="139">
        <v>44228</v>
      </c>
      <c r="J261" s="155">
        <f>VLOOKUP(Tabela2[[#This Row],[Tag]],BD!$A:$AE,30,0)</f>
        <v>5</v>
      </c>
      <c r="K261" s="29">
        <f>SUMIF(B:B,Tabela2[[#This Row],[Tag]],C:C)/Tabela2[[#This Row],[Comprim. Real]]</f>
        <v>1</v>
      </c>
      <c r="L261" s="29" t="str">
        <f>VLOOKUP(Tabela2[[#This Row],[Tag]],BD!A:AF,32,0)</f>
        <v>CCP</v>
      </c>
    </row>
    <row r="262" spans="1:12" x14ac:dyDescent="0.25">
      <c r="A262" s="391">
        <v>256</v>
      </c>
      <c r="B262" s="7" t="s">
        <v>1079</v>
      </c>
      <c r="C262" s="391">
        <v>5</v>
      </c>
      <c r="D262" s="32">
        <v>44238</v>
      </c>
      <c r="E262" s="32" t="str">
        <f>VLOOKUP(Tabela2[[#This Row],[Tag]],BD!$A:$B,2,0)</f>
        <v>Controle</v>
      </c>
      <c r="F262" s="32" t="str">
        <f>VLOOKUP(Tabela2[[#This Row],[Tag]],BD!A:J,10,0)</f>
        <v>CCP</v>
      </c>
      <c r="G262" s="31" t="str">
        <f>VLOOKUP(Tabela2[[#This Row],[Tag]],BD!$A:$V,20,0)</f>
        <v>BK-SP54-00350-LC-80-00006_00000</v>
      </c>
      <c r="H262" s="32" t="str">
        <f>IF(VLOOKUP(Tabela2[[#This Row],[Tag]],BD!A:T,17,0)=0,"",VLOOKUP(Tabela2[[#This Row],[Tag]],BD!A:T,17,0))</f>
        <v>4.4.1</v>
      </c>
      <c r="I262" s="139">
        <v>44228</v>
      </c>
      <c r="J262" s="155">
        <f>VLOOKUP(Tabela2[[#This Row],[Tag]],BD!$A:$AE,30,0)</f>
        <v>5</v>
      </c>
      <c r="K262" s="29">
        <f>SUMIF(B:B,Tabela2[[#This Row],[Tag]],C:C)/Tabela2[[#This Row],[Comprim. Real]]</f>
        <v>1</v>
      </c>
      <c r="L262" s="29" t="str">
        <f>VLOOKUP(Tabela2[[#This Row],[Tag]],BD!A:AF,32,0)</f>
        <v>CCP</v>
      </c>
    </row>
    <row r="263" spans="1:12" x14ac:dyDescent="0.25">
      <c r="A263" s="391">
        <v>257</v>
      </c>
      <c r="B263" s="7" t="s">
        <v>1143</v>
      </c>
      <c r="C263" s="391">
        <v>342</v>
      </c>
      <c r="D263" s="32">
        <v>44238</v>
      </c>
      <c r="E263" s="32" t="str">
        <f>VLOOKUP(Tabela2[[#This Row],[Tag]],BD!$A:$B,2,0)</f>
        <v>Controle</v>
      </c>
      <c r="F263" s="32" t="str">
        <f>VLOOKUP(Tabela2[[#This Row],[Tag]],BD!A:J,10,0)</f>
        <v>CCP</v>
      </c>
      <c r="G263" s="31" t="str">
        <f>VLOOKUP(Tabela2[[#This Row],[Tag]],BD!$A:$V,20,0)</f>
        <v>BK-SP54-00350-LC-80-00006_00000</v>
      </c>
      <c r="H263" s="32" t="str">
        <f>IF(VLOOKUP(Tabela2[[#This Row],[Tag]],BD!A:T,17,0)=0,"",VLOOKUP(Tabela2[[#This Row],[Tag]],BD!A:T,17,0))</f>
        <v>4.4.1</v>
      </c>
      <c r="I263" s="139">
        <v>44228</v>
      </c>
      <c r="J263" s="155">
        <f>VLOOKUP(Tabela2[[#This Row],[Tag]],BD!$A:$AE,30,0)</f>
        <v>342</v>
      </c>
      <c r="K263" s="29">
        <f>SUMIF(B:B,Tabela2[[#This Row],[Tag]],C:C)/Tabela2[[#This Row],[Comprim. Real]]</f>
        <v>1</v>
      </c>
      <c r="L263" s="29" t="str">
        <f>VLOOKUP(Tabela2[[#This Row],[Tag]],BD!A:AF,32,0)</f>
        <v>CCPxGB-351</v>
      </c>
    </row>
    <row r="264" spans="1:12" x14ac:dyDescent="0.25">
      <c r="A264" s="391">
        <v>258</v>
      </c>
      <c r="B264" s="7" t="s">
        <v>1150</v>
      </c>
      <c r="C264" s="391">
        <v>342</v>
      </c>
      <c r="D264" s="32">
        <v>44238</v>
      </c>
      <c r="E264" s="32" t="str">
        <f>VLOOKUP(Tabela2[[#This Row],[Tag]],BD!$A:$B,2,0)</f>
        <v>Controle</v>
      </c>
      <c r="F264" s="32" t="str">
        <f>VLOOKUP(Tabela2[[#This Row],[Tag]],BD!A:J,10,0)</f>
        <v>CCP</v>
      </c>
      <c r="G264" s="31" t="str">
        <f>VLOOKUP(Tabela2[[#This Row],[Tag]],BD!$A:$V,20,0)</f>
        <v>BK-SP54-00350-LC-80-00006_00000</v>
      </c>
      <c r="H264" s="32" t="str">
        <f>IF(VLOOKUP(Tabela2[[#This Row],[Tag]],BD!A:T,17,0)=0,"",VLOOKUP(Tabela2[[#This Row],[Tag]],BD!A:T,17,0))</f>
        <v>4.4.1</v>
      </c>
      <c r="I264" s="139">
        <v>44228</v>
      </c>
      <c r="J264" s="155">
        <f>VLOOKUP(Tabela2[[#This Row],[Tag]],BD!$A:$AE,30,0)</f>
        <v>342</v>
      </c>
      <c r="K264" s="29">
        <f>SUMIF(B:B,Tabela2[[#This Row],[Tag]],C:C)/Tabela2[[#This Row],[Comprim. Real]]</f>
        <v>1</v>
      </c>
      <c r="L264" s="29" t="str">
        <f>VLOOKUP(Tabela2[[#This Row],[Tag]],BD!A:AF,32,0)</f>
        <v>CCPxGB-351</v>
      </c>
    </row>
    <row r="265" spans="1:12" x14ac:dyDescent="0.25">
      <c r="A265" s="391">
        <v>264</v>
      </c>
      <c r="B265" s="7" t="s">
        <v>1128</v>
      </c>
      <c r="C265" s="391">
        <v>100</v>
      </c>
      <c r="D265" s="32">
        <v>44238</v>
      </c>
      <c r="E265" s="32" t="str">
        <f>VLOOKUP(Tabela2[[#This Row],[Tag]],BD!$A:$B,2,0)</f>
        <v>Controle</v>
      </c>
      <c r="F265" s="32" t="str">
        <f>VLOOKUP(Tabela2[[#This Row],[Tag]],BD!A:J,10,0)</f>
        <v>GB-200</v>
      </c>
      <c r="G265" s="31" t="str">
        <f>VLOOKUP(Tabela2[[#This Row],[Tag]],BD!$A:$V,20,0)</f>
        <v>BK-SP54-00200-LC-81-00001_00000</v>
      </c>
      <c r="H265" s="32" t="str">
        <f>IF(VLOOKUP(Tabela2[[#This Row],[Tag]],BD!A:T,17,0)=0,"",VLOOKUP(Tabela2[[#This Row],[Tag]],BD!A:T,17,0))</f>
        <v>4.6.1</v>
      </c>
      <c r="I265" s="139">
        <v>44228</v>
      </c>
      <c r="J265" s="155">
        <f>VLOOKUP(Tabela2[[#This Row],[Tag]],BD!$A:$AE,30,0)</f>
        <v>100</v>
      </c>
      <c r="K265" s="29">
        <f>SUMIF(B:B,Tabela2[[#This Row],[Tag]],C:C)/Tabela2[[#This Row],[Comprim. Real]]</f>
        <v>1</v>
      </c>
      <c r="L265" s="29" t="str">
        <f>VLOOKUP(Tabela2[[#This Row],[Tag]],BD!A:AF,32,0)</f>
        <v>CCPxGB-200</v>
      </c>
    </row>
    <row r="266" spans="1:12" x14ac:dyDescent="0.25">
      <c r="A266" s="391">
        <v>265</v>
      </c>
      <c r="B266" s="7" t="s">
        <v>1130</v>
      </c>
      <c r="C266" s="391">
        <v>100</v>
      </c>
      <c r="D266" s="32">
        <v>44238</v>
      </c>
      <c r="E266" s="32" t="str">
        <f>VLOOKUP(Tabela2[[#This Row],[Tag]],BD!$A:$B,2,0)</f>
        <v>Controle</v>
      </c>
      <c r="F266" s="32" t="str">
        <f>VLOOKUP(Tabela2[[#This Row],[Tag]],BD!A:J,10,0)</f>
        <v>GB-200</v>
      </c>
      <c r="G266" s="31" t="str">
        <f>VLOOKUP(Tabela2[[#This Row],[Tag]],BD!$A:$V,20,0)</f>
        <v>BK-SP54-00200-LC-81-00001_00000</v>
      </c>
      <c r="H266" s="32" t="str">
        <f>IF(VLOOKUP(Tabela2[[#This Row],[Tag]],BD!A:T,17,0)=0,"",VLOOKUP(Tabela2[[#This Row],[Tag]],BD!A:T,17,0))</f>
        <v>4.6.1</v>
      </c>
      <c r="I266" s="139">
        <v>44228</v>
      </c>
      <c r="J266" s="155">
        <f>VLOOKUP(Tabela2[[#This Row],[Tag]],BD!$A:$AE,30,0)</f>
        <v>100</v>
      </c>
      <c r="K266" s="29">
        <f>SUMIF(B:B,Tabela2[[#This Row],[Tag]],C:C)/Tabela2[[#This Row],[Comprim. Real]]</f>
        <v>1</v>
      </c>
      <c r="L266" s="29" t="str">
        <f>VLOOKUP(Tabela2[[#This Row],[Tag]],BD!A:AF,32,0)</f>
        <v>CCPxGB-200</v>
      </c>
    </row>
    <row r="267" spans="1:12" x14ac:dyDescent="0.25">
      <c r="A267" s="391">
        <v>266</v>
      </c>
      <c r="B267" s="7" t="s">
        <v>1134</v>
      </c>
      <c r="C267" s="391">
        <v>100</v>
      </c>
      <c r="D267" s="32">
        <v>44238</v>
      </c>
      <c r="E267" s="32" t="str">
        <f>VLOOKUP(Tabela2[[#This Row],[Tag]],BD!$A:$B,2,0)</f>
        <v>Controle</v>
      </c>
      <c r="F267" s="32" t="str">
        <f>VLOOKUP(Tabela2[[#This Row],[Tag]],BD!A:J,10,0)</f>
        <v>GB-200</v>
      </c>
      <c r="G267" s="31" t="str">
        <f>VLOOKUP(Tabela2[[#This Row],[Tag]],BD!$A:$V,20,0)</f>
        <v>BK-SP54-00200-LC-81-00001_00000</v>
      </c>
      <c r="H267" s="32" t="str">
        <f>IF(VLOOKUP(Tabela2[[#This Row],[Tag]],BD!A:T,17,0)=0,"",VLOOKUP(Tabela2[[#This Row],[Tag]],BD!A:T,17,0))</f>
        <v>4.6.1</v>
      </c>
      <c r="I267" s="139">
        <v>44228</v>
      </c>
      <c r="J267" s="155">
        <f>VLOOKUP(Tabela2[[#This Row],[Tag]],BD!$A:$AE,30,0)</f>
        <v>100</v>
      </c>
      <c r="K267" s="29">
        <f>SUMIF(B:B,Tabela2[[#This Row],[Tag]],C:C)/Tabela2[[#This Row],[Comprim. Real]]</f>
        <v>1</v>
      </c>
      <c r="L267" s="29" t="str">
        <f>VLOOKUP(Tabela2[[#This Row],[Tag]],BD!A:AF,32,0)</f>
        <v>CCPxGB-200</v>
      </c>
    </row>
    <row r="268" spans="1:12" x14ac:dyDescent="0.25">
      <c r="A268" s="391">
        <v>267</v>
      </c>
      <c r="B268" s="7" t="s">
        <v>1136</v>
      </c>
      <c r="C268" s="391">
        <v>100</v>
      </c>
      <c r="D268" s="32">
        <v>44238</v>
      </c>
      <c r="E268" s="32" t="str">
        <f>VLOOKUP(Tabela2[[#This Row],[Tag]],BD!$A:$B,2,0)</f>
        <v>Controle</v>
      </c>
      <c r="F268" s="32" t="str">
        <f>VLOOKUP(Tabela2[[#This Row],[Tag]],BD!A:J,10,0)</f>
        <v>GB-200</v>
      </c>
      <c r="G268" s="31" t="str">
        <f>VLOOKUP(Tabela2[[#This Row],[Tag]],BD!$A:$V,20,0)</f>
        <v>BK-SP54-00200-LC-81-00001_00000</v>
      </c>
      <c r="H268" s="32" t="str">
        <f>IF(VLOOKUP(Tabela2[[#This Row],[Tag]],BD!A:T,17,0)=0,"",VLOOKUP(Tabela2[[#This Row],[Tag]],BD!A:T,17,0))</f>
        <v>4.6.1</v>
      </c>
      <c r="I268" s="139">
        <v>44228</v>
      </c>
      <c r="J268" s="155">
        <f>VLOOKUP(Tabela2[[#This Row],[Tag]],BD!$A:$AE,30,0)</f>
        <v>100</v>
      </c>
      <c r="K268" s="29">
        <f>SUMIF(B:B,Tabela2[[#This Row],[Tag]],C:C)/Tabela2[[#This Row],[Comprim. Real]]</f>
        <v>1</v>
      </c>
      <c r="L268" s="29" t="str">
        <f>VLOOKUP(Tabela2[[#This Row],[Tag]],BD!A:AF,32,0)</f>
        <v>CCPxGB-200</v>
      </c>
    </row>
    <row r="269" spans="1:12" x14ac:dyDescent="0.25">
      <c r="A269" s="391">
        <v>268</v>
      </c>
      <c r="B269" s="7" t="s">
        <v>299</v>
      </c>
      <c r="C269" s="391">
        <v>210</v>
      </c>
      <c r="D269" s="32">
        <v>44238</v>
      </c>
      <c r="E269" s="32" t="str">
        <f>VLOOKUP(Tabela2[[#This Row],[Tag]],BD!$A:$B,2,0)</f>
        <v>Controle</v>
      </c>
      <c r="F269" s="32" t="str">
        <f>VLOOKUP(Tabela2[[#This Row],[Tag]],BD!A:J,10,0)</f>
        <v>GB-967A/B</v>
      </c>
      <c r="G269" s="31" t="str">
        <f>VLOOKUP(Tabela2[[#This Row],[Tag]],BD!$A:$V,20,0)</f>
        <v>BK-SP54-0900A-LC-74-00001_00000</v>
      </c>
      <c r="H269" s="32" t="str">
        <f>IF(VLOOKUP(Tabela2[[#This Row],[Tag]],BD!A:T,17,0)=0,"",VLOOKUP(Tabela2[[#This Row],[Tag]],BD!A:T,17,0))</f>
        <v>5.8.1</v>
      </c>
      <c r="I269" s="139">
        <v>44228</v>
      </c>
      <c r="J269" s="155">
        <f>VLOOKUP(Tabela2[[#This Row],[Tag]],BD!$A:$AE,30,0)</f>
        <v>210</v>
      </c>
      <c r="K269" s="29">
        <f>SUMIF(B:B,Tabela2[[#This Row],[Tag]],C:C)/Tabela2[[#This Row],[Comprim. Real]]</f>
        <v>1</v>
      </c>
      <c r="L269" s="29" t="str">
        <f>VLOOKUP(Tabela2[[#This Row],[Tag]],BD!A:AF,32,0)</f>
        <v>1MVxGB-967B</v>
      </c>
    </row>
    <row r="270" spans="1:12" x14ac:dyDescent="0.25">
      <c r="A270" s="391">
        <v>269</v>
      </c>
      <c r="B270" s="7" t="s">
        <v>292</v>
      </c>
      <c r="C270" s="391">
        <v>210</v>
      </c>
      <c r="D270" s="32">
        <v>44238</v>
      </c>
      <c r="E270" s="32" t="str">
        <f>VLOOKUP(Tabela2[[#This Row],[Tag]],BD!$A:$B,2,0)</f>
        <v>Força</v>
      </c>
      <c r="F270" s="32" t="str">
        <f>VLOOKUP(Tabela2[[#This Row],[Tag]],BD!A:J,10,0)</f>
        <v>GB-967A/B</v>
      </c>
      <c r="G270" s="31" t="str">
        <f>VLOOKUP(Tabela2[[#This Row],[Tag]],BD!$A:$V,20,0)</f>
        <v>BK-SP54-0900A-LC-74-00001_00000</v>
      </c>
      <c r="H270" s="32" t="str">
        <f>IF(VLOOKUP(Tabela2[[#This Row],[Tag]],BD!A:T,17,0)=0,"",VLOOKUP(Tabela2[[#This Row],[Tag]],BD!A:T,17,0))</f>
        <v>5.5.2</v>
      </c>
      <c r="I270" s="139">
        <v>44228</v>
      </c>
      <c r="J270" s="155">
        <f>VLOOKUP(Tabela2[[#This Row],[Tag]],BD!$A:$AE,30,0)</f>
        <v>210</v>
      </c>
      <c r="K270" s="29">
        <f>SUMIF(B:B,Tabela2[[#This Row],[Tag]],C:C)/Tabela2[[#This Row],[Comprim. Real]]</f>
        <v>1</v>
      </c>
      <c r="L270" s="29" t="str">
        <f>VLOOKUP(Tabela2[[#This Row],[Tag]],BD!A:AF,32,0)</f>
        <v>1MVxGB-967B</v>
      </c>
    </row>
    <row r="271" spans="1:12" x14ac:dyDescent="0.25">
      <c r="A271" s="391">
        <v>270</v>
      </c>
      <c r="B271" s="7" t="s">
        <v>1206</v>
      </c>
      <c r="C271" s="391">
        <v>150</v>
      </c>
      <c r="D271" s="32">
        <v>44238</v>
      </c>
      <c r="E271" s="32" t="str">
        <f>VLOOKUP(Tabela2[[#This Row],[Tag]],BD!$A:$B,2,0)</f>
        <v>Força</v>
      </c>
      <c r="F271" s="32" t="str">
        <f>VLOOKUP(Tabela2[[#This Row],[Tag]],BD!A:J,10,0)</f>
        <v>GA-906E</v>
      </c>
      <c r="G271" s="31" t="str">
        <f>VLOOKUP(Tabela2[[#This Row],[Tag]],BD!$A:$V,20,0)</f>
        <v>BK-SP54-0900A-LC-74-00001_00000</v>
      </c>
      <c r="H271" s="32" t="str">
        <f>IF(VLOOKUP(Tabela2[[#This Row],[Tag]],BD!A:T,17,0)=0,"",VLOOKUP(Tabela2[[#This Row],[Tag]],BD!A:T,17,0))</f>
        <v>5.5.2</v>
      </c>
      <c r="I271" s="139">
        <v>44228</v>
      </c>
      <c r="J271" s="155">
        <f>VLOOKUP(Tabela2[[#This Row],[Tag]],BD!$A:$AE,30,0)</f>
        <v>150</v>
      </c>
      <c r="K271" s="29">
        <f>SUMIF(B:B,Tabela2[[#This Row],[Tag]],C:C)/Tabela2[[#This Row],[Comprim. Real]]</f>
        <v>1</v>
      </c>
      <c r="L271" s="29" t="str">
        <f>VLOOKUP(Tabela2[[#This Row],[Tag]],BD!A:AF,32,0)</f>
        <v>CCUxGA-906E</v>
      </c>
    </row>
    <row r="272" spans="1:12" x14ac:dyDescent="0.25">
      <c r="A272" s="391">
        <v>271</v>
      </c>
      <c r="B272" s="7" t="s">
        <v>1212</v>
      </c>
      <c r="C272" s="391">
        <v>150</v>
      </c>
      <c r="D272" s="32">
        <v>44238</v>
      </c>
      <c r="E272" s="32" t="str">
        <f>VLOOKUP(Tabela2[[#This Row],[Tag]],BD!$A:$B,2,0)</f>
        <v>Força</v>
      </c>
      <c r="F272" s="32" t="str">
        <f>VLOOKUP(Tabela2[[#This Row],[Tag]],BD!A:J,10,0)</f>
        <v>GA-906E</v>
      </c>
      <c r="G272" s="31" t="str">
        <f>VLOOKUP(Tabela2[[#This Row],[Tag]],BD!$A:$V,20,0)</f>
        <v>BK-SP54-0900A-LC-74-00001_00000</v>
      </c>
      <c r="H272" s="32" t="str">
        <f>IF(VLOOKUP(Tabela2[[#This Row],[Tag]],BD!A:T,17,0)=0,"",VLOOKUP(Tabela2[[#This Row],[Tag]],BD!A:T,17,0))</f>
        <v>5.5.2</v>
      </c>
      <c r="I272" s="139">
        <v>44228</v>
      </c>
      <c r="J272" s="155">
        <f>VLOOKUP(Tabela2[[#This Row],[Tag]],BD!$A:$AE,30,0)</f>
        <v>150</v>
      </c>
      <c r="K272" s="29">
        <f>SUMIF(B:B,Tabela2[[#This Row],[Tag]],C:C)/Tabela2[[#This Row],[Comprim. Real]]</f>
        <v>1</v>
      </c>
      <c r="L272" s="29" t="str">
        <f>VLOOKUP(Tabela2[[#This Row],[Tag]],BD!A:AF,32,0)</f>
        <v>CCUxGA-906E</v>
      </c>
    </row>
    <row r="273" spans="1:12" x14ac:dyDescent="0.25">
      <c r="A273" s="391">
        <v>272</v>
      </c>
      <c r="B273" s="7" t="s">
        <v>1214</v>
      </c>
      <c r="C273" s="391">
        <v>150</v>
      </c>
      <c r="D273" s="32">
        <v>44238</v>
      </c>
      <c r="E273" s="32" t="str">
        <f>VLOOKUP(Tabela2[[#This Row],[Tag]],BD!$A:$B,2,0)</f>
        <v>Força</v>
      </c>
      <c r="F273" s="32" t="str">
        <f>VLOOKUP(Tabela2[[#This Row],[Tag]],BD!A:J,10,0)</f>
        <v>GA-906E</v>
      </c>
      <c r="G273" s="31" t="str">
        <f>VLOOKUP(Tabela2[[#This Row],[Tag]],BD!$A:$V,20,0)</f>
        <v>BK-SP54-0900A-LC-74-00001_00000</v>
      </c>
      <c r="H273" s="32" t="str">
        <f>IF(VLOOKUP(Tabela2[[#This Row],[Tag]],BD!A:T,17,0)=0,"",VLOOKUP(Tabela2[[#This Row],[Tag]],BD!A:T,17,0))</f>
        <v>5.5.2</v>
      </c>
      <c r="I273" s="139">
        <v>44228</v>
      </c>
      <c r="J273" s="155">
        <f>VLOOKUP(Tabela2[[#This Row],[Tag]],BD!$A:$AE,30,0)</f>
        <v>150</v>
      </c>
      <c r="K273" s="29">
        <f>SUMIF(B:B,Tabela2[[#This Row],[Tag]],C:C)/Tabela2[[#This Row],[Comprim. Real]]</f>
        <v>1</v>
      </c>
      <c r="L273" s="29" t="str">
        <f>VLOOKUP(Tabela2[[#This Row],[Tag]],BD!A:AF,32,0)</f>
        <v>CCUxGA-906E</v>
      </c>
    </row>
    <row r="274" spans="1:12" x14ac:dyDescent="0.25">
      <c r="A274" s="391">
        <v>273</v>
      </c>
      <c r="B274" s="7" t="s">
        <v>251</v>
      </c>
      <c r="C274" s="391">
        <v>170</v>
      </c>
      <c r="D274" s="32">
        <v>44238</v>
      </c>
      <c r="E274" s="32" t="str">
        <f>VLOOKUP(Tabela2[[#This Row],[Tag]],BD!$A:$B,2,0)</f>
        <v>Controle</v>
      </c>
      <c r="F274" s="32" t="str">
        <f>VLOOKUP(Tabela2[[#This Row],[Tag]],BD!A:J,10,0)</f>
        <v>GA-906E</v>
      </c>
      <c r="G274" s="31" t="str">
        <f>VLOOKUP(Tabela2[[#This Row],[Tag]],BD!$A:$V,20,0)</f>
        <v>BK-SP54-0900A-LC-74-00001_00000</v>
      </c>
      <c r="H274" s="32" t="str">
        <f>IF(VLOOKUP(Tabela2[[#This Row],[Tag]],BD!A:T,17,0)=0,"",VLOOKUP(Tabela2[[#This Row],[Tag]],BD!A:T,17,0))</f>
        <v>5.8.1</v>
      </c>
      <c r="I274" s="139">
        <v>44228</v>
      </c>
      <c r="J274" s="155">
        <f>VLOOKUP(Tabela2[[#This Row],[Tag]],BD!$A:$AE,30,0)</f>
        <v>170</v>
      </c>
      <c r="K274" s="29">
        <f>SUMIF(B:B,Tabela2[[#This Row],[Tag]],C:C)/Tabela2[[#This Row],[Comprim. Real]]</f>
        <v>1</v>
      </c>
      <c r="L274" s="29" t="str">
        <f>VLOOKUP(Tabela2[[#This Row],[Tag]],BD!A:AF,32,0)</f>
        <v>1MVxGA-906E</v>
      </c>
    </row>
    <row r="275" spans="1:12" x14ac:dyDescent="0.25">
      <c r="A275" s="391">
        <v>274</v>
      </c>
      <c r="B275" s="7" t="s">
        <v>234</v>
      </c>
      <c r="C275" s="391">
        <v>170</v>
      </c>
      <c r="D275" s="32">
        <v>44238</v>
      </c>
      <c r="E275" s="32" t="str">
        <f>VLOOKUP(Tabela2[[#This Row],[Tag]],BD!$A:$B,2,0)</f>
        <v>Força</v>
      </c>
      <c r="F275" s="32" t="str">
        <f>VLOOKUP(Tabela2[[#This Row],[Tag]],BD!A:J,10,0)</f>
        <v>GA-906E</v>
      </c>
      <c r="G275" s="31" t="str">
        <f>VLOOKUP(Tabela2[[#This Row],[Tag]],BD!$A:$V,20,0)</f>
        <v>BK-SP54-0900A-LC-74-00001_00000</v>
      </c>
      <c r="H275" s="32" t="str">
        <f>IF(VLOOKUP(Tabela2[[#This Row],[Tag]],BD!A:T,17,0)=0,"",VLOOKUP(Tabela2[[#This Row],[Tag]],BD!A:T,17,0))</f>
        <v>5.10.2</v>
      </c>
      <c r="I275" s="139">
        <v>44228</v>
      </c>
      <c r="J275" s="155">
        <f>VLOOKUP(Tabela2[[#This Row],[Tag]],BD!$A:$AE,30,0)</f>
        <v>170</v>
      </c>
      <c r="K275" s="29">
        <f>SUMIF(B:B,Tabela2[[#This Row],[Tag]],C:C)/Tabela2[[#This Row],[Comprim. Real]]</f>
        <v>1</v>
      </c>
      <c r="L275" s="29" t="str">
        <f>VLOOKUP(Tabela2[[#This Row],[Tag]],BD!A:AF,32,0)</f>
        <v>1MVxGA-906E</v>
      </c>
    </row>
    <row r="276" spans="1:12" x14ac:dyDescent="0.25">
      <c r="A276" s="391">
        <v>275</v>
      </c>
      <c r="B276" s="7" t="s">
        <v>280</v>
      </c>
      <c r="C276" s="391">
        <v>210</v>
      </c>
      <c r="D276" s="32">
        <v>44238</v>
      </c>
      <c r="E276" s="32" t="str">
        <f>VLOOKUP(Tabela2[[#This Row],[Tag]],BD!$A:$B,2,0)</f>
        <v>Força</v>
      </c>
      <c r="F276" s="32" t="str">
        <f>VLOOKUP(Tabela2[[#This Row],[Tag]],BD!A:J,10,0)</f>
        <v>GB-967A/B</v>
      </c>
      <c r="G276" s="31" t="str">
        <f>VLOOKUP(Tabela2[[#This Row],[Tag]],BD!$A:$V,20,0)</f>
        <v>BK-SP54-0900A-LC-74-00001_00000</v>
      </c>
      <c r="H276" s="32" t="str">
        <f>IF(VLOOKUP(Tabela2[[#This Row],[Tag]],BD!A:T,17,0)=0,"",VLOOKUP(Tabela2[[#This Row],[Tag]],BD!A:T,17,0))</f>
        <v>5.5.2</v>
      </c>
      <c r="I276" s="139">
        <v>44228</v>
      </c>
      <c r="J276" s="155">
        <f>VLOOKUP(Tabela2[[#This Row],[Tag]],BD!$A:$AE,30,0)</f>
        <v>210</v>
      </c>
      <c r="K276" s="29">
        <f>SUMIF(B:B,Tabela2[[#This Row],[Tag]],C:C)/Tabela2[[#This Row],[Comprim. Real]]</f>
        <v>1</v>
      </c>
      <c r="L276" s="29" t="str">
        <f>VLOOKUP(Tabela2[[#This Row],[Tag]],BD!A:AF,32,0)</f>
        <v>1MVxGB-967A</v>
      </c>
    </row>
    <row r="277" spans="1:12" x14ac:dyDescent="0.25">
      <c r="A277" s="391">
        <v>276</v>
      </c>
      <c r="B277" s="7" t="s">
        <v>290</v>
      </c>
      <c r="C277" s="391">
        <v>210</v>
      </c>
      <c r="D277" s="32">
        <v>44238</v>
      </c>
      <c r="E277" s="391" t="str">
        <f>VLOOKUP(Tabela2[[#This Row],[Tag]],BD!$A:$B,2,0)</f>
        <v>Controle</v>
      </c>
      <c r="F277" s="391" t="str">
        <f>VLOOKUP(Tabela2[[#This Row],[Tag]],BD!A:J,10,0)</f>
        <v>GB-967A/B</v>
      </c>
      <c r="G277" s="31" t="str">
        <f>VLOOKUP(Tabela2[[#This Row],[Tag]],BD!$A:$V,20,0)</f>
        <v>BK-SP54-0900A-LC-74-00001_00000</v>
      </c>
      <c r="H277" s="32" t="str">
        <f>IF(VLOOKUP(Tabela2[[#This Row],[Tag]],BD!A:T,17,0)=0,"",VLOOKUP(Tabela2[[#This Row],[Tag]],BD!A:T,17,0))</f>
        <v>5.8.1</v>
      </c>
      <c r="I277" s="139">
        <v>44228</v>
      </c>
      <c r="J277" s="155">
        <f>VLOOKUP(Tabela2[[#This Row],[Tag]],BD!$A:$AE,30,0)</f>
        <v>210</v>
      </c>
      <c r="K277" s="29">
        <f>SUMIF(B:B,Tabela2[[#This Row],[Tag]],C:C)/Tabela2[[#This Row],[Comprim. Real]]</f>
        <v>1</v>
      </c>
      <c r="L277" s="29" t="str">
        <f>VLOOKUP(Tabela2[[#This Row],[Tag]],BD!A:AF,32,0)</f>
        <v>1MVxGB-967A</v>
      </c>
    </row>
    <row r="278" spans="1:12" x14ac:dyDescent="0.25">
      <c r="A278" s="391">
        <v>277</v>
      </c>
      <c r="B278" s="7" t="s">
        <v>1221</v>
      </c>
      <c r="C278" s="391">
        <v>70</v>
      </c>
      <c r="D278" s="32">
        <v>44238</v>
      </c>
      <c r="E278" s="32" t="str">
        <f>VLOOKUP(Tabela2[[#This Row],[Tag]],BD!$A:$B,2,0)</f>
        <v>Controle</v>
      </c>
      <c r="F278" s="32" t="str">
        <f>VLOOKUP(Tabela2[[#This Row],[Tag]],BD!A:J,10,0)</f>
        <v>GA-906E</v>
      </c>
      <c r="G278" s="31" t="str">
        <f>VLOOKUP(Tabela2[[#This Row],[Tag]],BD!$A:$V,20,0)</f>
        <v>BK-SP54-0900A-LC-80-00185_00000</v>
      </c>
      <c r="H278" s="32" t="str">
        <f>IF(VLOOKUP(Tabela2[[#This Row],[Tag]],BD!A:T,17,0)=0,"",VLOOKUP(Tabela2[[#This Row],[Tag]],BD!A:T,17,0))</f>
        <v>4.6.1</v>
      </c>
      <c r="I278" s="139">
        <v>44228</v>
      </c>
      <c r="J278" s="155">
        <f>VLOOKUP(Tabela2[[#This Row],[Tag]],BD!$A:$AE,30,0)</f>
        <v>70</v>
      </c>
      <c r="K278" s="29">
        <f>SUMIF(B:B,Tabela2[[#This Row],[Tag]],C:C)/Tabela2[[#This Row],[Comprim. Real]]</f>
        <v>1</v>
      </c>
      <c r="L278" s="29" t="str">
        <f>VLOOKUP(Tabela2[[#This Row],[Tag]],BD!A:AF,32,0)</f>
        <v>CCUxGA-906E</v>
      </c>
    </row>
    <row r="279" spans="1:12" x14ac:dyDescent="0.25">
      <c r="A279" s="391">
        <v>278</v>
      </c>
      <c r="B279" s="7" t="s">
        <v>254</v>
      </c>
      <c r="C279" s="391">
        <v>130</v>
      </c>
      <c r="D279" s="32">
        <v>44238</v>
      </c>
      <c r="E279" s="32" t="str">
        <f>VLOOKUP(Tabela2[[#This Row],[Tag]],BD!$A:$B,2,0)</f>
        <v>Controle</v>
      </c>
      <c r="F279" s="32" t="str">
        <f>VLOOKUP(Tabela2[[#This Row],[Tag]],BD!A:J,10,0)</f>
        <v>GA-906E</v>
      </c>
      <c r="G279" s="31" t="str">
        <f>VLOOKUP(Tabela2[[#This Row],[Tag]],BD!$A:$V,20,0)</f>
        <v>BK-SP54-0900A-LC-80-00185_00000</v>
      </c>
      <c r="H279" s="32" t="str">
        <f>IF(VLOOKUP(Tabela2[[#This Row],[Tag]],BD!A:T,17,0)=0,"",VLOOKUP(Tabela2[[#This Row],[Tag]],BD!A:T,17,0))</f>
        <v>4.6.1</v>
      </c>
      <c r="I279" s="139">
        <v>44228</v>
      </c>
      <c r="J279" s="155">
        <f>VLOOKUP(Tabela2[[#This Row],[Tag]],BD!$A:$AE,30,0)</f>
        <v>130</v>
      </c>
      <c r="K279" s="29">
        <f>SUMIF(B:B,Tabela2[[#This Row],[Tag]],C:C)/Tabela2[[#This Row],[Comprim. Real]]</f>
        <v>1</v>
      </c>
      <c r="L279" s="29" t="str">
        <f>VLOOKUP(Tabela2[[#This Row],[Tag]],BD!A:AF,32,0)</f>
        <v>1MVxGA-906E</v>
      </c>
    </row>
    <row r="280" spans="1:12" x14ac:dyDescent="0.25">
      <c r="A280" s="391">
        <v>279</v>
      </c>
      <c r="B280" s="7" t="s">
        <v>260</v>
      </c>
      <c r="C280" s="391">
        <v>130</v>
      </c>
      <c r="D280" s="32">
        <v>44238</v>
      </c>
      <c r="E280" s="32" t="str">
        <f>VLOOKUP(Tabela2[[#This Row],[Tag]],BD!$A:$B,2,0)</f>
        <v>Controle</v>
      </c>
      <c r="F280" s="32" t="str">
        <f>VLOOKUP(Tabela2[[#This Row],[Tag]],BD!A:J,10,0)</f>
        <v>GA-906E</v>
      </c>
      <c r="G280" s="31" t="str">
        <f>VLOOKUP(Tabela2[[#This Row],[Tag]],BD!$A:$V,20,0)</f>
        <v>BK-SP54-0900A-LC-80-00185_00000</v>
      </c>
      <c r="H280" s="32" t="str">
        <f>IF(VLOOKUP(Tabela2[[#This Row],[Tag]],BD!A:T,17,0)=0,"",VLOOKUP(Tabela2[[#This Row],[Tag]],BD!A:T,17,0))</f>
        <v>4.6.1</v>
      </c>
      <c r="I280" s="139">
        <v>44228</v>
      </c>
      <c r="J280" s="155">
        <f>VLOOKUP(Tabela2[[#This Row],[Tag]],BD!$A:$AE,30,0)</f>
        <v>130</v>
      </c>
      <c r="K280" s="29">
        <f>SUMIF(B:B,Tabela2[[#This Row],[Tag]],C:C)/Tabela2[[#This Row],[Comprim. Real]]</f>
        <v>1</v>
      </c>
      <c r="L280" s="29" t="str">
        <f>VLOOKUP(Tabela2[[#This Row],[Tag]],BD!A:AF,32,0)</f>
        <v>1MVxGA-906E</v>
      </c>
    </row>
    <row r="281" spans="1:12" x14ac:dyDescent="0.25">
      <c r="A281" s="391">
        <v>280</v>
      </c>
      <c r="B281" s="7" t="s">
        <v>534</v>
      </c>
      <c r="C281" s="391">
        <v>15</v>
      </c>
      <c r="D281" s="32">
        <v>44238</v>
      </c>
      <c r="E281" s="32" t="str">
        <f>VLOOKUP(Tabela2[[#This Row],[Tag]],BD!$A:$B,2,0)</f>
        <v>Força</v>
      </c>
      <c r="F281" s="32" t="str">
        <f>VLOOKUP(Tabela2[[#This Row],[Tag]],BD!A:J,10,0)</f>
        <v>7HV</v>
      </c>
      <c r="G281" s="31" t="str">
        <f>VLOOKUP(Tabela2[[#This Row],[Tag]],BD!$A:$V,20,0)</f>
        <v>BK-SP54-0900A-LC-74-00001_00000</v>
      </c>
      <c r="H281" s="32" t="str">
        <f>IF(VLOOKUP(Tabela2[[#This Row],[Tag]],BD!A:T,17,0)=0,"",VLOOKUP(Tabela2[[#This Row],[Tag]],BD!A:T,17,0))</f>
        <v>5.10.2</v>
      </c>
      <c r="I281" s="139">
        <v>44228</v>
      </c>
      <c r="J281" s="155">
        <f>VLOOKUP(Tabela2[[#This Row],[Tag]],BD!$A:$AE,30,0)</f>
        <v>15</v>
      </c>
      <c r="K281" s="29">
        <f>SUMIF(B:B,Tabela2[[#This Row],[Tag]],C:C)/Tabela2[[#This Row],[Comprim. Real]]</f>
        <v>1</v>
      </c>
      <c r="L281" s="29" t="str">
        <f>VLOOKUP(Tabela2[[#This Row],[Tag]],BD!A:AF,32,0)</f>
        <v>7HV</v>
      </c>
    </row>
    <row r="282" spans="1:12" x14ac:dyDescent="0.25">
      <c r="A282" s="391">
        <v>281</v>
      </c>
      <c r="B282" s="7" t="s">
        <v>538</v>
      </c>
      <c r="C282" s="391">
        <v>15</v>
      </c>
      <c r="D282" s="32">
        <v>44238</v>
      </c>
      <c r="E282" s="32" t="str">
        <f>VLOOKUP(Tabela2[[#This Row],[Tag]],BD!$A:$B,2,0)</f>
        <v>Força</v>
      </c>
      <c r="F282" s="32" t="str">
        <f>VLOOKUP(Tabela2[[#This Row],[Tag]],BD!A:J,10,0)</f>
        <v>7HV</v>
      </c>
      <c r="G282" s="31" t="str">
        <f>VLOOKUP(Tabela2[[#This Row],[Tag]],BD!$A:$V,20,0)</f>
        <v>BK-SP54-0900A-LC-74-00001_00000</v>
      </c>
      <c r="H282" s="32" t="str">
        <f>IF(VLOOKUP(Tabela2[[#This Row],[Tag]],BD!A:T,17,0)=0,"",VLOOKUP(Tabela2[[#This Row],[Tag]],BD!A:T,17,0))</f>
        <v>5.10.2</v>
      </c>
      <c r="I282" s="139">
        <v>44228</v>
      </c>
      <c r="J282" s="155">
        <f>VLOOKUP(Tabela2[[#This Row],[Tag]],BD!$A:$AE,30,0)</f>
        <v>15</v>
      </c>
      <c r="K282" s="29">
        <f>SUMIF(B:B,Tabela2[[#This Row],[Tag]],C:C)/Tabela2[[#This Row],[Comprim. Real]]</f>
        <v>1</v>
      </c>
      <c r="L282" s="29" t="str">
        <f>VLOOKUP(Tabela2[[#This Row],[Tag]],BD!A:AF,32,0)</f>
        <v>7HV</v>
      </c>
    </row>
    <row r="283" spans="1:12" x14ac:dyDescent="0.25">
      <c r="A283" s="391">
        <v>259</v>
      </c>
      <c r="B283" s="7" t="s">
        <v>1161</v>
      </c>
      <c r="C283" s="391">
        <v>240</v>
      </c>
      <c r="D283" s="32">
        <v>44238</v>
      </c>
      <c r="E283" s="32" t="str">
        <f>VLOOKUP(Tabela2[[#This Row],[Tag]],BD!$A:$B,2,0)</f>
        <v>Controle</v>
      </c>
      <c r="F283" s="32" t="str">
        <f>VLOOKUP(Tabela2[[#This Row],[Tag]],BD!A:J,10,0)</f>
        <v>CCP</v>
      </c>
      <c r="G283" s="31" t="str">
        <f>VLOOKUP(Tabela2[[#This Row],[Tag]],BD!$A:$V,20,0)</f>
        <v>BK-SP54-00350-LC-80-00006_00000</v>
      </c>
      <c r="H283" s="32" t="str">
        <f>IF(VLOOKUP(Tabela2[[#This Row],[Tag]],BD!A:T,17,0)=0,"",VLOOKUP(Tabela2[[#This Row],[Tag]],BD!A:T,17,0))</f>
        <v>4.4.1</v>
      </c>
      <c r="I283" s="139">
        <v>44228</v>
      </c>
      <c r="J283" s="155">
        <f>VLOOKUP(Tabela2[[#This Row],[Tag]],BD!$A:$AE,30,0)</f>
        <v>240</v>
      </c>
      <c r="K283" s="29">
        <f>SUMIF(B:B,Tabela2[[#This Row],[Tag]],C:C)/Tabela2[[#This Row],[Comprim. Real]]</f>
        <v>1</v>
      </c>
      <c r="L283" s="29" t="str">
        <f>VLOOKUP(Tabela2[[#This Row],[Tag]],BD!A:AF,32,0)</f>
        <v>CCPxGB-351</v>
      </c>
    </row>
    <row r="284" spans="1:12" x14ac:dyDescent="0.25">
      <c r="A284" s="391">
        <v>260</v>
      </c>
      <c r="B284" s="7" t="s">
        <v>1163</v>
      </c>
      <c r="C284" s="391">
        <v>342</v>
      </c>
      <c r="D284" s="32">
        <v>44238</v>
      </c>
      <c r="E284" s="32" t="str">
        <f>VLOOKUP(Tabela2[[#This Row],[Tag]],BD!$A:$B,2,0)</f>
        <v>Controle</v>
      </c>
      <c r="F284" s="32" t="str">
        <f>VLOOKUP(Tabela2[[#This Row],[Tag]],BD!A:J,10,0)</f>
        <v>CCP</v>
      </c>
      <c r="G284" s="31" t="str">
        <f>VLOOKUP(Tabela2[[#This Row],[Tag]],BD!$A:$V,20,0)</f>
        <v>BK-SP54-00350-LC-80-00006_00000</v>
      </c>
      <c r="H284" s="32" t="str">
        <f>IF(VLOOKUP(Tabela2[[#This Row],[Tag]],BD!A:T,17,0)=0,"",VLOOKUP(Tabela2[[#This Row],[Tag]],BD!A:T,17,0))</f>
        <v>4.4.1</v>
      </c>
      <c r="I284" s="139">
        <v>44228</v>
      </c>
      <c r="J284" s="155">
        <f>VLOOKUP(Tabela2[[#This Row],[Tag]],BD!$A:$AE,30,0)</f>
        <v>342</v>
      </c>
      <c r="K284" s="29">
        <f>SUMIF(B:B,Tabela2[[#This Row],[Tag]],C:C)/Tabela2[[#This Row],[Comprim. Real]]</f>
        <v>1</v>
      </c>
      <c r="L284" s="29" t="str">
        <f>VLOOKUP(Tabela2[[#This Row],[Tag]],BD!A:AF,32,0)</f>
        <v>CCPxGB-351</v>
      </c>
    </row>
    <row r="285" spans="1:12" x14ac:dyDescent="0.25">
      <c r="A285" s="391">
        <v>261</v>
      </c>
      <c r="B285" s="7" t="s">
        <v>1166</v>
      </c>
      <c r="C285" s="391">
        <v>342</v>
      </c>
      <c r="D285" s="32">
        <v>44238</v>
      </c>
      <c r="E285" s="32" t="str">
        <f>VLOOKUP(Tabela2[[#This Row],[Tag]],BD!$A:$B,2,0)</f>
        <v>Controle</v>
      </c>
      <c r="F285" s="32" t="str">
        <f>VLOOKUP(Tabela2[[#This Row],[Tag]],BD!A:J,10,0)</f>
        <v>CCP</v>
      </c>
      <c r="G285" s="31" t="str">
        <f>VLOOKUP(Tabela2[[#This Row],[Tag]],BD!$A:$V,20,0)</f>
        <v>BK-SP54-00350-LC-80-00006_00000</v>
      </c>
      <c r="H285" s="32" t="str">
        <f>IF(VLOOKUP(Tabela2[[#This Row],[Tag]],BD!A:T,17,0)=0,"",VLOOKUP(Tabela2[[#This Row],[Tag]],BD!A:T,17,0))</f>
        <v>4.4.1</v>
      </c>
      <c r="I285" s="139">
        <v>44228</v>
      </c>
      <c r="J285" s="155">
        <f>VLOOKUP(Tabela2[[#This Row],[Tag]],BD!$A:$AE,30,0)</f>
        <v>342</v>
      </c>
      <c r="K285" s="29">
        <f>SUMIF(B:B,Tabela2[[#This Row],[Tag]],C:C)/Tabela2[[#This Row],[Comprim. Real]]</f>
        <v>1</v>
      </c>
      <c r="L285" s="29" t="str">
        <f>VLOOKUP(Tabela2[[#This Row],[Tag]],BD!A:AF,32,0)</f>
        <v>CCPxGB-351</v>
      </c>
    </row>
    <row r="286" spans="1:12" x14ac:dyDescent="0.25">
      <c r="A286" s="391">
        <v>262</v>
      </c>
      <c r="B286" s="7" t="s">
        <v>1120</v>
      </c>
      <c r="C286" s="391">
        <v>100</v>
      </c>
      <c r="D286" s="32">
        <v>44238</v>
      </c>
      <c r="E286" s="32" t="str">
        <f>VLOOKUP(Tabela2[[#This Row],[Tag]],BD!$A:$B,2,0)</f>
        <v>Controle</v>
      </c>
      <c r="F286" s="32" t="str">
        <f>VLOOKUP(Tabela2[[#This Row],[Tag]],BD!A:J,10,0)</f>
        <v>GB-200</v>
      </c>
      <c r="G286" s="31" t="str">
        <f>VLOOKUP(Tabela2[[#This Row],[Tag]],BD!$A:$V,20,0)</f>
        <v>BK-SP54-00200-LC-81-00001_00000</v>
      </c>
      <c r="H286" s="32" t="str">
        <f>IF(VLOOKUP(Tabela2[[#This Row],[Tag]],BD!A:T,17,0)=0,"",VLOOKUP(Tabela2[[#This Row],[Tag]],BD!A:T,17,0))</f>
        <v>4.4.1</v>
      </c>
      <c r="I286" s="139">
        <v>44228</v>
      </c>
      <c r="J286" s="155">
        <f>VLOOKUP(Tabela2[[#This Row],[Tag]],BD!$A:$AE,30,0)</f>
        <v>100</v>
      </c>
      <c r="K286" s="29">
        <f>SUMIF(B:B,Tabela2[[#This Row],[Tag]],C:C)/Tabela2[[#This Row],[Comprim. Real]]</f>
        <v>1</v>
      </c>
      <c r="L286" s="29" t="str">
        <f>VLOOKUP(Tabela2[[#This Row],[Tag]],BD!A:AF,32,0)</f>
        <v>CCPxGB-200</v>
      </c>
    </row>
    <row r="287" spans="1:12" x14ac:dyDescent="0.25">
      <c r="A287" s="391">
        <v>286</v>
      </c>
      <c r="B287" s="7" t="s">
        <v>1252</v>
      </c>
      <c r="C287" s="391">
        <v>150</v>
      </c>
      <c r="D287" s="32">
        <v>44249</v>
      </c>
      <c r="E287" s="32" t="str">
        <f>VLOOKUP(Tabela2[[#This Row],[Tag]],BD!$A:$B,2,0)</f>
        <v>Controle</v>
      </c>
      <c r="F287" s="32" t="str">
        <f>VLOOKUP(Tabela2[[#This Row],[Tag]],BD!A:J,10,0)</f>
        <v>GB-967A/B</v>
      </c>
      <c r="G287" s="31" t="str">
        <f>VLOOKUP(Tabela2[[#This Row],[Tag]],BD!$A:$V,20,0)</f>
        <v>BK-SP54-0900A-LC-80-00187_00000</v>
      </c>
      <c r="H287" s="32" t="str">
        <f>IF(VLOOKUP(Tabela2[[#This Row],[Tag]],BD!A:T,17,0)=0,"",VLOOKUP(Tabela2[[#This Row],[Tag]],BD!A:T,17,0))</f>
        <v>4.6.1</v>
      </c>
      <c r="I287" s="139">
        <v>44228</v>
      </c>
      <c r="J287" s="155">
        <f>VLOOKUP(Tabela2[[#This Row],[Tag]],BD!$A:$AE,30,0)</f>
        <v>150</v>
      </c>
      <c r="K287" s="29">
        <f>SUMIF(B:B,Tabela2[[#This Row],[Tag]],C:C)/Tabela2[[#This Row],[Comprim. Real]]</f>
        <v>1</v>
      </c>
      <c r="L287" s="29" t="str">
        <f>VLOOKUP(Tabela2[[#This Row],[Tag]],BD!A:AF,32,0)</f>
        <v>CCUxGB-967A/B</v>
      </c>
    </row>
    <row r="288" spans="1:12" x14ac:dyDescent="0.25">
      <c r="A288" s="391">
        <v>287</v>
      </c>
      <c r="B288" s="7" t="s">
        <v>1084</v>
      </c>
      <c r="C288" s="391">
        <v>265</v>
      </c>
      <c r="D288" s="32">
        <v>44249</v>
      </c>
      <c r="E288" s="32" t="str">
        <f>VLOOKUP(Tabela2[[#This Row],[Tag]],BD!$A:$B,2,0)</f>
        <v>Controle</v>
      </c>
      <c r="F288" s="32" t="str">
        <f>VLOOKUP(Tabela2[[#This Row],[Tag]],BD!A:J,10,0)</f>
        <v>CCP</v>
      </c>
      <c r="G288" s="31" t="str">
        <f>VLOOKUP(Tabela2[[#This Row],[Tag]],BD!$A:$V,20,0)</f>
        <v>BK-SP54-0900A-LC-80-00186_00000</v>
      </c>
      <c r="H288" s="32" t="str">
        <f>IF(VLOOKUP(Tabela2[[#This Row],[Tag]],BD!A:T,17,0)=0,"",VLOOKUP(Tabela2[[#This Row],[Tag]],BD!A:T,17,0))</f>
        <v>4.6.1</v>
      </c>
      <c r="I288" s="139">
        <v>44228</v>
      </c>
      <c r="J288" s="155">
        <f>VLOOKUP(Tabela2[[#This Row],[Tag]],BD!$A:$AE,30,0)</f>
        <v>265</v>
      </c>
      <c r="K288" s="29">
        <f>SUMIF(B:B,Tabela2[[#This Row],[Tag]],C:C)/Tabela2[[#This Row],[Comprim. Real]]</f>
        <v>1</v>
      </c>
      <c r="L288" s="29" t="str">
        <f>VLOOKUP(Tabela2[[#This Row],[Tag]],BD!A:AF,32,0)</f>
        <v>CCPxCCU</v>
      </c>
    </row>
    <row r="289" spans="1:12" x14ac:dyDescent="0.25">
      <c r="A289" s="391">
        <v>288</v>
      </c>
      <c r="B289" s="7" t="s">
        <v>1091</v>
      </c>
      <c r="C289" s="391">
        <v>265</v>
      </c>
      <c r="D289" s="32">
        <v>44249</v>
      </c>
      <c r="E289" s="32" t="str">
        <f>VLOOKUP(Tabela2[[#This Row],[Tag]],BD!$A:$B,2,0)</f>
        <v>Controle</v>
      </c>
      <c r="F289" s="32" t="str">
        <f>VLOOKUP(Tabela2[[#This Row],[Tag]],BD!A:J,10,0)</f>
        <v>CCP</v>
      </c>
      <c r="G289" s="31" t="str">
        <f>VLOOKUP(Tabela2[[#This Row],[Tag]],BD!$A:$V,20,0)</f>
        <v>BK-SP54-0900A-LC-80-00186_00000</v>
      </c>
      <c r="H289" s="32" t="str">
        <f>IF(VLOOKUP(Tabela2[[#This Row],[Tag]],BD!A:T,17,0)=0,"",VLOOKUP(Tabela2[[#This Row],[Tag]],BD!A:T,17,0))</f>
        <v>4.6.1</v>
      </c>
      <c r="I289" s="139">
        <v>44228</v>
      </c>
      <c r="J289" s="155">
        <f>VLOOKUP(Tabela2[[#This Row],[Tag]],BD!$A:$AE,30,0)</f>
        <v>265</v>
      </c>
      <c r="K289" s="29">
        <f>SUMIF(B:B,Tabela2[[#This Row],[Tag]],C:C)/Tabela2[[#This Row],[Comprim. Real]]</f>
        <v>1</v>
      </c>
      <c r="L289" s="29" t="str">
        <f>VLOOKUP(Tabela2[[#This Row],[Tag]],BD!A:AF,32,0)</f>
        <v>CCPxCCU</v>
      </c>
    </row>
    <row r="290" spans="1:12" x14ac:dyDescent="0.25">
      <c r="A290" s="391">
        <v>289</v>
      </c>
      <c r="B290" s="7" t="s">
        <v>1093</v>
      </c>
      <c r="C290" s="391">
        <v>265</v>
      </c>
      <c r="D290" s="32">
        <v>44249</v>
      </c>
      <c r="E290" s="32" t="str">
        <f>VLOOKUP(Tabela2[[#This Row],[Tag]],BD!$A:$B,2,0)</f>
        <v>Controle</v>
      </c>
      <c r="F290" s="32" t="str">
        <f>VLOOKUP(Tabela2[[#This Row],[Tag]],BD!A:J,10,0)</f>
        <v>CCP</v>
      </c>
      <c r="G290" s="31" t="str">
        <f>VLOOKUP(Tabela2[[#This Row],[Tag]],BD!$A:$V,20,0)</f>
        <v>BK-SP54-0900A-LC-80-00186_00000</v>
      </c>
      <c r="H290" s="32" t="str">
        <f>IF(VLOOKUP(Tabela2[[#This Row],[Tag]],BD!A:T,17,0)=0,"",VLOOKUP(Tabela2[[#This Row],[Tag]],BD!A:T,17,0))</f>
        <v>4.6.1</v>
      </c>
      <c r="I290" s="139">
        <v>44228</v>
      </c>
      <c r="J290" s="155">
        <f>VLOOKUP(Tabela2[[#This Row],[Tag]],BD!$A:$AE,30,0)</f>
        <v>265</v>
      </c>
      <c r="K290" s="29">
        <f>SUMIF(B:B,Tabela2[[#This Row],[Tag]],C:C)/Tabela2[[#This Row],[Comprim. Real]]</f>
        <v>1</v>
      </c>
      <c r="L290" s="29" t="str">
        <f>VLOOKUP(Tabela2[[#This Row],[Tag]],BD!A:AF,32,0)</f>
        <v>CCPxCCU</v>
      </c>
    </row>
    <row r="291" spans="1:12" x14ac:dyDescent="0.25">
      <c r="A291" s="391">
        <v>290</v>
      </c>
      <c r="B291" s="7" t="s">
        <v>1095</v>
      </c>
      <c r="C291" s="391">
        <v>265</v>
      </c>
      <c r="D291" s="32">
        <v>44249</v>
      </c>
      <c r="E291" s="32" t="str">
        <f>VLOOKUP(Tabela2[[#This Row],[Tag]],BD!$A:$B,2,0)</f>
        <v>Controle</v>
      </c>
      <c r="F291" s="32" t="str">
        <f>VLOOKUP(Tabela2[[#This Row],[Tag]],BD!A:J,10,0)</f>
        <v>CCP</v>
      </c>
      <c r="G291" s="31" t="str">
        <f>VLOOKUP(Tabela2[[#This Row],[Tag]],BD!$A:$V,20,0)</f>
        <v>BK-SP54-0900A-LC-80-00186_00000</v>
      </c>
      <c r="H291" s="32" t="str">
        <f>IF(VLOOKUP(Tabela2[[#This Row],[Tag]],BD!A:T,17,0)=0,"",VLOOKUP(Tabela2[[#This Row],[Tag]],BD!A:T,17,0))</f>
        <v>4.6.1</v>
      </c>
      <c r="I291" s="139">
        <v>44228</v>
      </c>
      <c r="J291" s="155">
        <f>VLOOKUP(Tabela2[[#This Row],[Tag]],BD!$A:$AE,30,0)</f>
        <v>265</v>
      </c>
      <c r="K291" s="29">
        <f>SUMIF(B:B,Tabela2[[#This Row],[Tag]],C:C)/Tabela2[[#This Row],[Comprim. Real]]</f>
        <v>1</v>
      </c>
      <c r="L291" s="29" t="str">
        <f>VLOOKUP(Tabela2[[#This Row],[Tag]],BD!A:AF,32,0)</f>
        <v>CCPxCCU</v>
      </c>
    </row>
    <row r="292" spans="1:12" x14ac:dyDescent="0.25">
      <c r="A292" s="391">
        <v>291</v>
      </c>
      <c r="B292" s="7" t="s">
        <v>1223</v>
      </c>
      <c r="C292" s="391">
        <v>70</v>
      </c>
      <c r="D292" s="32">
        <v>44249</v>
      </c>
      <c r="E292" s="32" t="str">
        <f>VLOOKUP(Tabela2[[#This Row],[Tag]],BD!$A:$B,2,0)</f>
        <v>Controle</v>
      </c>
      <c r="F292" s="32" t="str">
        <f>VLOOKUP(Tabela2[[#This Row],[Tag]],BD!A:J,10,0)</f>
        <v>GA-906E</v>
      </c>
      <c r="G292" s="31" t="str">
        <f>VLOOKUP(Tabela2[[#This Row],[Tag]],BD!$A:$V,20,0)</f>
        <v>BK-SP54-0900A-LC-80-00185_00000</v>
      </c>
      <c r="H292" s="32" t="str">
        <f>IF(VLOOKUP(Tabela2[[#This Row],[Tag]],BD!A:T,17,0)=0,"",VLOOKUP(Tabela2[[#This Row],[Tag]],BD!A:T,17,0))</f>
        <v>4.6.1</v>
      </c>
      <c r="I292" s="139">
        <v>44228</v>
      </c>
      <c r="J292" s="155">
        <f>VLOOKUP(Tabela2[[#This Row],[Tag]],BD!$A:$AE,30,0)</f>
        <v>70</v>
      </c>
      <c r="K292" s="29">
        <f>SUMIF(B:B,Tabela2[[#This Row],[Tag]],C:C)/Tabela2[[#This Row],[Comprim. Real]]</f>
        <v>1</v>
      </c>
      <c r="L292" s="29" t="str">
        <f>VLOOKUP(Tabela2[[#This Row],[Tag]],BD!A:AF,32,0)</f>
        <v>CCUxGA-906E</v>
      </c>
    </row>
    <row r="293" spans="1:12" x14ac:dyDescent="0.25">
      <c r="A293" s="391">
        <v>292</v>
      </c>
      <c r="B293" s="7" t="s">
        <v>1224</v>
      </c>
      <c r="C293" s="391">
        <v>70</v>
      </c>
      <c r="D293" s="32">
        <v>44249</v>
      </c>
      <c r="E293" s="32" t="str">
        <f>VLOOKUP(Tabela2[[#This Row],[Tag]],BD!$A:$B,2,0)</f>
        <v>Controle</v>
      </c>
      <c r="F293" s="32" t="str">
        <f>VLOOKUP(Tabela2[[#This Row],[Tag]],BD!A:J,10,0)</f>
        <v>GA-906E</v>
      </c>
      <c r="G293" s="31" t="str">
        <f>VLOOKUP(Tabela2[[#This Row],[Tag]],BD!$A:$V,20,0)</f>
        <v>BK-SP54-0900A-LC-80-00185_00000</v>
      </c>
      <c r="H293" s="32" t="str">
        <f>IF(VLOOKUP(Tabela2[[#This Row],[Tag]],BD!A:T,17,0)=0,"",VLOOKUP(Tabela2[[#This Row],[Tag]],BD!A:T,17,0))</f>
        <v>4.6.1</v>
      </c>
      <c r="I293" s="139">
        <v>44228</v>
      </c>
      <c r="J293" s="155">
        <f>VLOOKUP(Tabela2[[#This Row],[Tag]],BD!$A:$AE,30,0)</f>
        <v>70</v>
      </c>
      <c r="K293" s="29">
        <f>SUMIF(B:B,Tabela2[[#This Row],[Tag]],C:C)/Tabela2[[#This Row],[Comprim. Real]]</f>
        <v>1</v>
      </c>
      <c r="L293" s="29" t="str">
        <f>VLOOKUP(Tabela2[[#This Row],[Tag]],BD!A:AF,32,0)</f>
        <v>CCUxGA-906E</v>
      </c>
    </row>
    <row r="294" spans="1:12" x14ac:dyDescent="0.25">
      <c r="A294" s="391">
        <v>293</v>
      </c>
      <c r="B294" s="7" t="s">
        <v>1334</v>
      </c>
      <c r="C294" s="391">
        <v>120</v>
      </c>
      <c r="D294" s="32">
        <v>44249</v>
      </c>
      <c r="E294" s="32" t="str">
        <f>VLOOKUP(Tabela2[[#This Row],[Tag]],BD!$A:$B,2,0)</f>
        <v>Controle</v>
      </c>
      <c r="F294" s="32" t="str">
        <f>VLOOKUP(Tabela2[[#This Row],[Tag]],BD!A:J,10,0)</f>
        <v>GA-906E</v>
      </c>
      <c r="G294" s="31" t="str">
        <f>VLOOKUP(Tabela2[[#This Row],[Tag]],BD!$A:$V,20,0)</f>
        <v>BK-SP54-0900A-LC-80-00188_00000</v>
      </c>
      <c r="H294" s="32" t="str">
        <f>IF(VLOOKUP(Tabela2[[#This Row],[Tag]],BD!A:T,17,0)=0,"",VLOOKUP(Tabela2[[#This Row],[Tag]],BD!A:T,17,0))</f>
        <v>4.7.1</v>
      </c>
      <c r="I294" s="139">
        <v>44228</v>
      </c>
      <c r="J294" s="155">
        <f>VLOOKUP(Tabela2[[#This Row],[Tag]],BD!$A:$AE,30,0)</f>
        <v>120</v>
      </c>
      <c r="K294" s="29">
        <f>SUMIF(B:B,Tabela2[[#This Row],[Tag]],C:C)/Tabela2[[#This Row],[Comprim. Real]]</f>
        <v>1</v>
      </c>
      <c r="L294" s="29" t="str">
        <f>VLOOKUP(Tabela2[[#This Row],[Tag]],BD!A:AF,32,0)</f>
        <v>GA-906E</v>
      </c>
    </row>
    <row r="295" spans="1:12" x14ac:dyDescent="0.25">
      <c r="A295" s="391">
        <v>294</v>
      </c>
      <c r="B295" s="7" t="s">
        <v>1336</v>
      </c>
      <c r="C295" s="391">
        <v>65</v>
      </c>
      <c r="D295" s="32">
        <v>44249</v>
      </c>
      <c r="E295" s="32" t="str">
        <f>VLOOKUP(Tabela2[[#This Row],[Tag]],BD!$A:$B,2,0)</f>
        <v>Controle</v>
      </c>
      <c r="F295" s="32" t="str">
        <f>VLOOKUP(Tabela2[[#This Row],[Tag]],BD!A:J,10,0)</f>
        <v>GA-906E</v>
      </c>
      <c r="G295" s="31" t="str">
        <f>VLOOKUP(Tabela2[[#This Row],[Tag]],BD!$A:$V,20,0)</f>
        <v>BK-SP54-0900A-LC-80-00188_00000</v>
      </c>
      <c r="H295" s="32" t="str">
        <f>IF(VLOOKUP(Tabela2[[#This Row],[Tag]],BD!A:T,17,0)=0,"",VLOOKUP(Tabela2[[#This Row],[Tag]],BD!A:T,17,0))</f>
        <v>4.7.1</v>
      </c>
      <c r="I295" s="139">
        <v>44228</v>
      </c>
      <c r="J295" s="155">
        <f>VLOOKUP(Tabela2[[#This Row],[Tag]],BD!$A:$AE,30,0)</f>
        <v>65</v>
      </c>
      <c r="K295" s="29">
        <f>SUMIF(B:B,Tabela2[[#This Row],[Tag]],C:C)/Tabela2[[#This Row],[Comprim. Real]]</f>
        <v>1</v>
      </c>
      <c r="L295" s="29" t="str">
        <f>VLOOKUP(Tabela2[[#This Row],[Tag]],BD!A:AF,32,0)</f>
        <v>GA-906E</v>
      </c>
    </row>
    <row r="296" spans="1:12" x14ac:dyDescent="0.25">
      <c r="A296" s="391">
        <v>295</v>
      </c>
      <c r="B296" s="7" t="s">
        <v>297</v>
      </c>
      <c r="C296" s="391">
        <v>210</v>
      </c>
      <c r="D296" s="32">
        <v>44249</v>
      </c>
      <c r="E296" s="32" t="str">
        <f>VLOOKUP(Tabela2[[#This Row],[Tag]],BD!$A:$B,2,0)</f>
        <v>Controle</v>
      </c>
      <c r="F296" s="32" t="str">
        <f>VLOOKUP(Tabela2[[#This Row],[Tag]],BD!A:J,10,0)</f>
        <v>GB-967A/B</v>
      </c>
      <c r="G296" s="31" t="str">
        <f>VLOOKUP(Tabela2[[#This Row],[Tag]],BD!$A:$V,20,0)</f>
        <v>BK-SP54-0900A-LC-74-00001_00000</v>
      </c>
      <c r="H296" s="32" t="str">
        <f>IF(VLOOKUP(Tabela2[[#This Row],[Tag]],BD!A:T,17,0)=0,"",VLOOKUP(Tabela2[[#This Row],[Tag]],BD!A:T,17,0))</f>
        <v>5.7.1</v>
      </c>
      <c r="I296" s="139">
        <v>44228</v>
      </c>
      <c r="J296" s="155">
        <f>VLOOKUP(Tabela2[[#This Row],[Tag]],BD!$A:$AE,30,0)</f>
        <v>210</v>
      </c>
      <c r="K296" s="29">
        <f>SUMIF(B:B,Tabela2[[#This Row],[Tag]],C:C)/Tabela2[[#This Row],[Comprim. Real]]</f>
        <v>1</v>
      </c>
      <c r="L296" s="29" t="str">
        <f>VLOOKUP(Tabela2[[#This Row],[Tag]],BD!A:AF,32,0)</f>
        <v>1MVxGB-967B</v>
      </c>
    </row>
    <row r="297" spans="1:12" x14ac:dyDescent="0.25">
      <c r="A297" s="391">
        <v>296</v>
      </c>
      <c r="B297" s="7" t="s">
        <v>288</v>
      </c>
      <c r="C297" s="391">
        <v>210</v>
      </c>
      <c r="D297" s="32">
        <v>44249</v>
      </c>
      <c r="E297" s="32" t="str">
        <f>VLOOKUP(Tabela2[[#This Row],[Tag]],BD!$A:$B,2,0)</f>
        <v>Controle</v>
      </c>
      <c r="F297" s="32" t="str">
        <f>VLOOKUP(Tabela2[[#This Row],[Tag]],BD!A:J,10,0)</f>
        <v>GB-967A/B</v>
      </c>
      <c r="G297" s="31" t="str">
        <f>VLOOKUP(Tabela2[[#This Row],[Tag]],BD!$A:$V,20,0)</f>
        <v>BK-SP54-0900A-LC-74-00001_00000</v>
      </c>
      <c r="H297" s="32" t="str">
        <f>IF(VLOOKUP(Tabela2[[#This Row],[Tag]],BD!A:T,17,0)=0,"",VLOOKUP(Tabela2[[#This Row],[Tag]],BD!A:T,17,0))</f>
        <v>5.7.1</v>
      </c>
      <c r="I297" s="139">
        <v>44228</v>
      </c>
      <c r="J297" s="155">
        <f>VLOOKUP(Tabela2[[#This Row],[Tag]],BD!$A:$AE,30,0)</f>
        <v>210</v>
      </c>
      <c r="K297" s="29">
        <f>SUMIF(B:B,Tabela2[[#This Row],[Tag]],C:C)/Tabela2[[#This Row],[Comprim. Real]]</f>
        <v>1</v>
      </c>
      <c r="L297" s="29" t="str">
        <f>VLOOKUP(Tabela2[[#This Row],[Tag]],BD!A:AF,32,0)</f>
        <v>1MVxGB-967A</v>
      </c>
    </row>
    <row r="298" spans="1:12" x14ac:dyDescent="0.25">
      <c r="A298" s="391">
        <v>297</v>
      </c>
      <c r="B298" s="7" t="s">
        <v>245</v>
      </c>
      <c r="C298" s="391">
        <v>170</v>
      </c>
      <c r="D298" s="32">
        <v>44249</v>
      </c>
      <c r="E298" s="32" t="str">
        <f>VLOOKUP(Tabela2[[#This Row],[Tag]],BD!$A:$B,2,0)</f>
        <v>Controle</v>
      </c>
      <c r="F298" s="32" t="str">
        <f>VLOOKUP(Tabela2[[#This Row],[Tag]],BD!A:J,10,0)</f>
        <v>GA-906E</v>
      </c>
      <c r="G298" s="31" t="str">
        <f>VLOOKUP(Tabela2[[#This Row],[Tag]],BD!$A:$V,20,0)</f>
        <v>BK-SP54-0900A-LC-74-00001_00000</v>
      </c>
      <c r="H298" s="32" t="str">
        <f>IF(VLOOKUP(Tabela2[[#This Row],[Tag]],BD!A:T,17,0)=0,"",VLOOKUP(Tabela2[[#This Row],[Tag]],BD!A:T,17,0))</f>
        <v>5.7.1</v>
      </c>
      <c r="I298" s="139">
        <v>44228</v>
      </c>
      <c r="J298" s="155">
        <f>VLOOKUP(Tabela2[[#This Row],[Tag]],BD!$A:$AE,30,0)</f>
        <v>170</v>
      </c>
      <c r="K298" s="29">
        <f>SUMIF(B:B,Tabela2[[#This Row],[Tag]],C:C)/Tabela2[[#This Row],[Comprim. Real]]</f>
        <v>1</v>
      </c>
      <c r="L298" s="29" t="str">
        <f>VLOOKUP(Tabela2[[#This Row],[Tag]],BD!A:AF,32,0)</f>
        <v>1MVxGA-906E</v>
      </c>
    </row>
    <row r="299" spans="1:12" x14ac:dyDescent="0.25">
      <c r="A299" s="391">
        <v>298</v>
      </c>
      <c r="B299" s="7" t="s">
        <v>276</v>
      </c>
      <c r="C299" s="391">
        <v>190</v>
      </c>
      <c r="D299" s="32">
        <v>44249</v>
      </c>
      <c r="E299" s="32" t="str">
        <f>VLOOKUP(Tabela2[[#This Row],[Tag]],BD!$A:$B,2,0)</f>
        <v>Controle</v>
      </c>
      <c r="F299" s="32" t="str">
        <f>VLOOKUP(Tabela2[[#This Row],[Tag]],BD!A:J,10,0)</f>
        <v>GB-208A</v>
      </c>
      <c r="G299" s="31" t="str">
        <f>VLOOKUP(Tabela2[[#This Row],[Tag]],BD!$A:$V,20,0)</f>
        <v>BK-SP54-0900A-LC-74-00001_00000</v>
      </c>
      <c r="H299" s="32" t="str">
        <f>IF(VLOOKUP(Tabela2[[#This Row],[Tag]],BD!A:T,17,0)=0,"",VLOOKUP(Tabela2[[#This Row],[Tag]],BD!A:T,17,0))</f>
        <v>5.8.1</v>
      </c>
      <c r="I299" s="139">
        <v>44228</v>
      </c>
      <c r="J299" s="155">
        <f>VLOOKUP(Tabela2[[#This Row],[Tag]],BD!$A:$AE,30,0)</f>
        <v>190</v>
      </c>
      <c r="K299" s="29">
        <f>SUMIF(B:B,Tabela2[[#This Row],[Tag]],C:C)/Tabela2[[#This Row],[Comprim. Real]]</f>
        <v>1</v>
      </c>
      <c r="L299" s="29" t="str">
        <f>VLOOKUP(Tabela2[[#This Row],[Tag]],BD!A:AF,32,0)</f>
        <v>1MVxGB-208A</v>
      </c>
    </row>
    <row r="300" spans="1:12" x14ac:dyDescent="0.25">
      <c r="A300" s="391">
        <v>299</v>
      </c>
      <c r="B300" s="7" t="s">
        <v>267</v>
      </c>
      <c r="C300" s="391">
        <v>190</v>
      </c>
      <c r="D300" s="32">
        <v>44249</v>
      </c>
      <c r="E300" s="32" t="str">
        <f>VLOOKUP(Tabela2[[#This Row],[Tag]],BD!$A:$B,2,0)</f>
        <v>Força</v>
      </c>
      <c r="F300" s="32" t="str">
        <f>VLOOKUP(Tabela2[[#This Row],[Tag]],BD!A:J,10,0)</f>
        <v>GB-208A</v>
      </c>
      <c r="G300" s="31" t="str">
        <f>VLOOKUP(Tabela2[[#This Row],[Tag]],BD!$A:$V,20,0)</f>
        <v>BK-SP54-0900A-LC-74-00001_00000</v>
      </c>
      <c r="H300" s="32" t="str">
        <f>IF(VLOOKUP(Tabela2[[#This Row],[Tag]],BD!A:T,17,0)=0,"",VLOOKUP(Tabela2[[#This Row],[Tag]],BD!A:T,17,0))</f>
        <v>5.3.3</v>
      </c>
      <c r="I300" s="139">
        <v>44228</v>
      </c>
      <c r="J300" s="155">
        <f>VLOOKUP(Tabela2[[#This Row],[Tag]],BD!$A:$AE,30,0)</f>
        <v>190</v>
      </c>
      <c r="K300" s="29">
        <f>SUMIF(B:B,Tabela2[[#This Row],[Tag]],C:C)/Tabela2[[#This Row],[Comprim. Real]]</f>
        <v>1</v>
      </c>
      <c r="L300" s="29" t="str">
        <f>VLOOKUP(Tabela2[[#This Row],[Tag]],BD!A:AF,32,0)</f>
        <v>1MVxGB-208A</v>
      </c>
    </row>
    <row r="301" spans="1:12" x14ac:dyDescent="0.25">
      <c r="A301" s="391">
        <v>300</v>
      </c>
      <c r="B301" s="7" t="s">
        <v>273</v>
      </c>
      <c r="C301" s="391">
        <v>190</v>
      </c>
      <c r="D301" s="32">
        <v>44249</v>
      </c>
      <c r="E301" s="32" t="str">
        <f>VLOOKUP(Tabela2[[#This Row],[Tag]],BD!$A:$B,2,0)</f>
        <v>Controle</v>
      </c>
      <c r="F301" s="32" t="str">
        <f>VLOOKUP(Tabela2[[#This Row],[Tag]],BD!A:J,10,0)</f>
        <v>GB-208A</v>
      </c>
      <c r="G301" s="31" t="str">
        <f>VLOOKUP(Tabela2[[#This Row],[Tag]],BD!$A:$V,20,0)</f>
        <v>BK-SP54-0900A-LC-74-00001_00000</v>
      </c>
      <c r="H301" s="32" t="str">
        <f>IF(VLOOKUP(Tabela2[[#This Row],[Tag]],BD!A:T,17,0)=0,"",VLOOKUP(Tabela2[[#This Row],[Tag]],BD!A:T,17,0))</f>
        <v>5.7.1</v>
      </c>
      <c r="I301" s="139">
        <v>44228</v>
      </c>
      <c r="J301" s="155">
        <f>VLOOKUP(Tabela2[[#This Row],[Tag]],BD!$A:$AE,30,0)</f>
        <v>190</v>
      </c>
      <c r="K301" s="29">
        <f>SUMIF(B:B,Tabela2[[#This Row],[Tag]],C:C)/Tabela2[[#This Row],[Comprim. Real]]</f>
        <v>1</v>
      </c>
      <c r="L301" s="29" t="str">
        <f>VLOOKUP(Tabela2[[#This Row],[Tag]],BD!A:AF,32,0)</f>
        <v>1MVxGB-208A</v>
      </c>
    </row>
    <row r="302" spans="1:12" x14ac:dyDescent="0.25">
      <c r="A302" s="391">
        <v>301</v>
      </c>
      <c r="B302" s="7" t="s">
        <v>338</v>
      </c>
      <c r="C302" s="391">
        <v>30</v>
      </c>
      <c r="D302" s="32">
        <v>44249</v>
      </c>
      <c r="E302" s="32" t="str">
        <f>VLOOKUP(Tabela2[[#This Row],[Tag]],BD!$A:$B,2,0)</f>
        <v>Força</v>
      </c>
      <c r="F302" s="32" t="str">
        <f>VLOOKUP(Tabela2[[#This Row],[Tag]],BD!A:J,10,0)</f>
        <v>30LV</v>
      </c>
      <c r="G302" s="31" t="str">
        <f>VLOOKUP(Tabela2[[#This Row],[Tag]],BD!$A:$V,20,0)</f>
        <v>BK-SP54-0900A-LC-74-00001_00000</v>
      </c>
      <c r="H302" s="32" t="str">
        <f>IF(VLOOKUP(Tabela2[[#This Row],[Tag]],BD!A:T,17,0)=0,"",VLOOKUP(Tabela2[[#This Row],[Tag]],BD!A:T,17,0))</f>
        <v>5.10.2</v>
      </c>
      <c r="I302" s="139">
        <v>44228</v>
      </c>
      <c r="J302" s="155">
        <f>VLOOKUP(Tabela2[[#This Row],[Tag]],BD!$A:$AE,30,0)</f>
        <v>30</v>
      </c>
      <c r="K302" s="29">
        <f>SUMIF(B:B,Tabela2[[#This Row],[Tag]],C:C)/Tabela2[[#This Row],[Comprim. Real]]</f>
        <v>1</v>
      </c>
      <c r="L302" s="29" t="str">
        <f>VLOOKUP(Tabela2[[#This Row],[Tag]],BD!A:AF,32,0)</f>
        <v>30LV</v>
      </c>
    </row>
    <row r="303" spans="1:12" x14ac:dyDescent="0.25">
      <c r="A303" s="391">
        <v>302</v>
      </c>
      <c r="B303" s="7" t="s">
        <v>344</v>
      </c>
      <c r="C303" s="391">
        <v>30</v>
      </c>
      <c r="D303" s="32">
        <v>44249</v>
      </c>
      <c r="E303" s="32" t="str">
        <f>VLOOKUP(Tabela2[[#This Row],[Tag]],BD!$A:$B,2,0)</f>
        <v>Força</v>
      </c>
      <c r="F303" s="32" t="str">
        <f>VLOOKUP(Tabela2[[#This Row],[Tag]],BD!A:J,10,0)</f>
        <v>30LV</v>
      </c>
      <c r="G303" s="31" t="str">
        <f>VLOOKUP(Tabela2[[#This Row],[Tag]],BD!$A:$V,20,0)</f>
        <v>BK-SP54-0900A-LC-74-00001_00000</v>
      </c>
      <c r="H303" s="32" t="str">
        <f>IF(VLOOKUP(Tabela2[[#This Row],[Tag]],BD!A:T,17,0)=0,"",VLOOKUP(Tabela2[[#This Row],[Tag]],BD!A:T,17,0))</f>
        <v>5.10.2</v>
      </c>
      <c r="I303" s="139">
        <v>44228</v>
      </c>
      <c r="J303" s="155">
        <f>VLOOKUP(Tabela2[[#This Row],[Tag]],BD!$A:$AE,30,0)</f>
        <v>30</v>
      </c>
      <c r="K303" s="29">
        <f>SUMIF(B:B,Tabela2[[#This Row],[Tag]],C:C)/Tabela2[[#This Row],[Comprim. Real]]</f>
        <v>1</v>
      </c>
      <c r="L303" s="29" t="str">
        <f>VLOOKUP(Tabela2[[#This Row],[Tag]],BD!A:AF,32,0)</f>
        <v>30LV</v>
      </c>
    </row>
    <row r="304" spans="1:12" x14ac:dyDescent="0.25">
      <c r="A304" s="391">
        <v>303</v>
      </c>
      <c r="B304" s="7" t="s">
        <v>646</v>
      </c>
      <c r="C304" s="391">
        <v>350</v>
      </c>
      <c r="D304" s="32">
        <v>44249</v>
      </c>
      <c r="E304" s="32" t="str">
        <f>VLOOKUP(Tabela2[[#This Row],[Tag]],BD!$A:$B,2,0)</f>
        <v>FO</v>
      </c>
      <c r="F304" s="32" t="str">
        <f>VLOOKUP(Tabela2[[#This Row],[Tag]],BD!A:J,10,0)</f>
        <v>FIBRA</v>
      </c>
      <c r="G304" s="31" t="str">
        <f>VLOOKUP(Tabela2[[#This Row],[Tag]],BD!$A:$V,20,0)</f>
        <v>BK-SP54-0900B-LC-90-00010_00000</v>
      </c>
      <c r="H304" s="32" t="str">
        <f>IF(VLOOKUP(Tabela2[[#This Row],[Tag]],BD!A:T,17,0)=0,"",VLOOKUP(Tabela2[[#This Row],[Tag]],BD!A:T,17,0))</f>
        <v>4.3.1</v>
      </c>
      <c r="I304" s="139">
        <v>44228</v>
      </c>
      <c r="J304" s="155">
        <f>VLOOKUP(Tabela2[[#This Row],[Tag]],BD!$A:$AE,30,0)</f>
        <v>350</v>
      </c>
      <c r="K304" s="29">
        <f>SUMIF(B:B,Tabela2[[#This Row],[Tag]],C:C)/Tabela2[[#This Row],[Comprim. Real]]</f>
        <v>1</v>
      </c>
      <c r="L304" s="29" t="str">
        <f>VLOOKUP(Tabela2[[#This Row],[Tag]],BD!A:AF,32,0)</f>
        <v>7HVxCCP</v>
      </c>
    </row>
    <row r="305" spans="1:12" x14ac:dyDescent="0.25">
      <c r="A305" s="391">
        <v>304</v>
      </c>
      <c r="B305" s="7" t="s">
        <v>652</v>
      </c>
      <c r="C305" s="391">
        <v>350</v>
      </c>
      <c r="D305" s="32">
        <v>44249</v>
      </c>
      <c r="E305" s="32" t="str">
        <f>VLOOKUP(Tabela2[[#This Row],[Tag]],BD!$A:$B,2,0)</f>
        <v>FO</v>
      </c>
      <c r="F305" s="32" t="str">
        <f>VLOOKUP(Tabela2[[#This Row],[Tag]],BD!A:J,10,0)</f>
        <v>FIBRA</v>
      </c>
      <c r="G305" s="31" t="str">
        <f>VLOOKUP(Tabela2[[#This Row],[Tag]],BD!$A:$V,20,0)</f>
        <v>BK-SP54-0900A-LC-90-00004_00000</v>
      </c>
      <c r="H305" s="32" t="str">
        <f>IF(VLOOKUP(Tabela2[[#This Row],[Tag]],BD!A:T,17,0)=0,"",VLOOKUP(Tabela2[[#This Row],[Tag]],BD!A:T,17,0))</f>
        <v>4.3.1</v>
      </c>
      <c r="I305" s="139">
        <v>44228</v>
      </c>
      <c r="J305" s="155">
        <f>VLOOKUP(Tabela2[[#This Row],[Tag]],BD!$A:$AE,30,0)</f>
        <v>350</v>
      </c>
      <c r="K305" s="29">
        <f>SUMIF(B:B,Tabela2[[#This Row],[Tag]],C:C)/Tabela2[[#This Row],[Comprim. Real]]</f>
        <v>1</v>
      </c>
      <c r="L305" s="29" t="str">
        <f>VLOOKUP(Tabela2[[#This Row],[Tag]],BD!A:AF,32,0)</f>
        <v>7HVxCCP</v>
      </c>
    </row>
    <row r="306" spans="1:12" x14ac:dyDescent="0.25">
      <c r="A306" s="391">
        <v>263</v>
      </c>
      <c r="B306" s="7" t="s">
        <v>1125</v>
      </c>
      <c r="C306" s="391">
        <v>100</v>
      </c>
      <c r="D306" s="32">
        <v>44238</v>
      </c>
      <c r="E306" s="32" t="str">
        <f>VLOOKUP(Tabela2[[#This Row],[Tag]],BD!$A:$B,2,0)</f>
        <v>Controle</v>
      </c>
      <c r="F306" s="32" t="str">
        <f>VLOOKUP(Tabela2[[#This Row],[Tag]],BD!A:J,10,0)</f>
        <v>GB-200</v>
      </c>
      <c r="G306" s="31" t="str">
        <f>VLOOKUP(Tabela2[[#This Row],[Tag]],BD!$A:$V,20,0)</f>
        <v>BK-SP54-00200-LC-81-00001_00000</v>
      </c>
      <c r="H306" s="32" t="str">
        <f>IF(VLOOKUP(Tabela2[[#This Row],[Tag]],BD!A:T,17,0)=0,"",VLOOKUP(Tabela2[[#This Row],[Tag]],BD!A:T,17,0))</f>
        <v>4.4.1</v>
      </c>
      <c r="I306" s="139">
        <v>44228</v>
      </c>
      <c r="J306" s="155">
        <f>VLOOKUP(Tabela2[[#This Row],[Tag]],BD!$A:$AE,30,0)</f>
        <v>100</v>
      </c>
      <c r="K306" s="29">
        <f>SUMIF(B:B,Tabela2[[#This Row],[Tag]],C:C)/Tabela2[[#This Row],[Comprim. Real]]</f>
        <v>1</v>
      </c>
      <c r="L306" s="29" t="str">
        <f>VLOOKUP(Tabela2[[#This Row],[Tag]],BD!A:AF,32,0)</f>
        <v>CCPxGB-200</v>
      </c>
    </row>
    <row r="307" spans="1:12" x14ac:dyDescent="0.25">
      <c r="A307" s="391">
        <v>306</v>
      </c>
      <c r="B307" s="7" t="s">
        <v>180</v>
      </c>
      <c r="C307" s="391">
        <v>230</v>
      </c>
      <c r="D307" s="32">
        <v>44253</v>
      </c>
      <c r="E307" s="32" t="str">
        <f>VLOOKUP(Tabela2[[#This Row],[Tag]],BD!$A:$B,2,0)</f>
        <v>Controle</v>
      </c>
      <c r="F307" s="32" t="str">
        <f>VLOOKUP(Tabela2[[#This Row],[Tag]],BD!A:J,10,0)</f>
        <v>1HV</v>
      </c>
      <c r="G307" s="31" t="str">
        <f>VLOOKUP(Tabela2[[#This Row],[Tag]],BD!$A:$V,20,0)</f>
        <v>BK-SP54-00200-LC-80-00699_00000</v>
      </c>
      <c r="H307" s="32" t="str">
        <f>IF(VLOOKUP(Tabela2[[#This Row],[Tag]],BD!A:T,17,0)=0,"",VLOOKUP(Tabela2[[#This Row],[Tag]],BD!A:T,17,0))</f>
        <v>4.6.1</v>
      </c>
      <c r="I307" s="139">
        <v>44228</v>
      </c>
      <c r="J307" s="155">
        <f>VLOOKUP(Tabela2[[#This Row],[Tag]],BD!$A:$AE,30,0)</f>
        <v>230</v>
      </c>
      <c r="K307" s="29">
        <f>SUMIF(B:B,Tabela2[[#This Row],[Tag]],C:C)/Tabela2[[#This Row],[Comprim. Real]]</f>
        <v>1</v>
      </c>
      <c r="L307" s="29" t="str">
        <f>VLOOKUP(Tabela2[[#This Row],[Tag]],BD!A:AF,32,0)</f>
        <v>1HVxCCP</v>
      </c>
    </row>
    <row r="308" spans="1:12" x14ac:dyDescent="0.25">
      <c r="A308" s="391">
        <v>307</v>
      </c>
      <c r="B308" s="7" t="s">
        <v>301</v>
      </c>
      <c r="C308" s="391">
        <v>2.5</v>
      </c>
      <c r="D308" s="32">
        <v>44253</v>
      </c>
      <c r="E308" s="32" t="str">
        <f>VLOOKUP(Tabela2[[#This Row],[Tag]],BD!$A:$B,2,0)</f>
        <v>FO</v>
      </c>
      <c r="F308" s="32" t="str">
        <f>VLOOKUP(Tabela2[[#This Row],[Tag]],BD!A:J,10,0)</f>
        <v>FIBRA</v>
      </c>
      <c r="G308" s="31" t="str">
        <f>VLOOKUP(Tabela2[[#This Row],[Tag]],BD!$A:$V,20,0)</f>
        <v>BK-SP54-0900A-LC-90-00004_00000</v>
      </c>
      <c r="H308" s="32" t="str">
        <f>IF(VLOOKUP(Tabela2[[#This Row],[Tag]],BD!A:T,17,0)=0,"",VLOOKUP(Tabela2[[#This Row],[Tag]],BD!A:T,17,0))</f>
        <v>4.3.1</v>
      </c>
      <c r="I308" s="139">
        <v>44166</v>
      </c>
      <c r="J308" s="155">
        <f>VLOOKUP(Tabela2[[#This Row],[Tag]],BD!$A:$AE,30,0)</f>
        <v>2.5</v>
      </c>
      <c r="K308" s="29">
        <f>SUMIF(B:B,Tabela2[[#This Row],[Tag]],C:C)/Tabela2[[#This Row],[Comprim. Real]]</f>
        <v>1</v>
      </c>
      <c r="L308" s="29" t="str">
        <f>VLOOKUP(Tabela2[[#This Row],[Tag]],BD!A:AF,32,0)</f>
        <v>30LV</v>
      </c>
    </row>
    <row r="309" spans="1:12" x14ac:dyDescent="0.25">
      <c r="A309" s="391">
        <v>282</v>
      </c>
      <c r="B309" s="34" t="s">
        <v>457</v>
      </c>
      <c r="C309" s="391">
        <v>30</v>
      </c>
      <c r="D309" s="32">
        <v>44246</v>
      </c>
      <c r="E309" s="32" t="str">
        <f>VLOOKUP(Tabela2[[#This Row],[Tag]],BD!$A:$B,2,0)</f>
        <v>Rede</v>
      </c>
      <c r="F309" s="32" t="str">
        <f>VLOOKUP(Tabela2[[#This Row],[Tag]],BD!A:J,10,0)</f>
        <v>REDE</v>
      </c>
      <c r="G309" s="31" t="str">
        <f>VLOOKUP(Tabela2[[#This Row],[Tag]],BD!$A:$V,20,0)</f>
        <v>BK-SP54-0900A-LC-90-00004_00000</v>
      </c>
      <c r="H309" s="32" t="str">
        <f>IF(VLOOKUP(Tabela2[[#This Row],[Tag]],BD!A:T,17,0)=0,"",VLOOKUP(Tabela2[[#This Row],[Tag]],BD!A:T,17,0))</f>
        <v>4.4.1</v>
      </c>
      <c r="I309" s="139">
        <v>44228</v>
      </c>
      <c r="J309" s="155">
        <f>VLOOKUP(Tabela2[[#This Row],[Tag]],BD!$A:$AE,30,0)</f>
        <v>30</v>
      </c>
      <c r="K309" s="29">
        <f>SUMIF(B:B,Tabela2[[#This Row],[Tag]],C:C)/Tabela2[[#This Row],[Comprim. Real]]</f>
        <v>1</v>
      </c>
      <c r="L309" s="29" t="str">
        <f>VLOOKUP(Tabela2[[#This Row],[Tag]],BD!A:AF,32,0)</f>
        <v>7HV</v>
      </c>
    </row>
    <row r="310" spans="1:12" x14ac:dyDescent="0.25">
      <c r="A310" s="391">
        <v>283</v>
      </c>
      <c r="B310" s="34" t="s">
        <v>450</v>
      </c>
      <c r="C310" s="391">
        <v>30</v>
      </c>
      <c r="D310" s="32">
        <v>44246</v>
      </c>
      <c r="E310" s="32" t="str">
        <f>VLOOKUP(Tabela2[[#This Row],[Tag]],BD!$A:$B,2,0)</f>
        <v>Rede</v>
      </c>
      <c r="F310" s="32" t="str">
        <f>VLOOKUP(Tabela2[[#This Row],[Tag]],BD!A:J,10,0)</f>
        <v>REDE</v>
      </c>
      <c r="G310" s="31" t="str">
        <f>VLOOKUP(Tabela2[[#This Row],[Tag]],BD!$A:$V,20,0)</f>
        <v>BK-SP54-0900A-LC-90-00004_00000</v>
      </c>
      <c r="H310" s="32" t="str">
        <f>IF(VLOOKUP(Tabela2[[#This Row],[Tag]],BD!A:T,17,0)=0,"",VLOOKUP(Tabela2[[#This Row],[Tag]],BD!A:T,17,0))</f>
        <v>4.4.1</v>
      </c>
      <c r="I310" s="139">
        <v>44228</v>
      </c>
      <c r="J310" s="155">
        <f>VLOOKUP(Tabela2[[#This Row],[Tag]],BD!$A:$AE,30,0)</f>
        <v>30</v>
      </c>
      <c r="K310" s="29">
        <f>SUMIF(B:B,Tabela2[[#This Row],[Tag]],C:C)/Tabela2[[#This Row],[Comprim. Real]]</f>
        <v>1</v>
      </c>
      <c r="L310" s="29" t="str">
        <f>VLOOKUP(Tabela2[[#This Row],[Tag]],BD!A:AF,32,0)</f>
        <v>7HV</v>
      </c>
    </row>
    <row r="311" spans="1:12" x14ac:dyDescent="0.25">
      <c r="A311" s="391">
        <v>284</v>
      </c>
      <c r="B311" s="34" t="s">
        <v>455</v>
      </c>
      <c r="C311" s="391">
        <v>30</v>
      </c>
      <c r="D311" s="32">
        <v>44246</v>
      </c>
      <c r="E311" s="32" t="str">
        <f>VLOOKUP(Tabela2[[#This Row],[Tag]],BD!$A:$B,2,0)</f>
        <v>Rede</v>
      </c>
      <c r="F311" s="32" t="str">
        <f>VLOOKUP(Tabela2[[#This Row],[Tag]],BD!A:J,10,0)</f>
        <v>REDE</v>
      </c>
      <c r="G311" s="31" t="str">
        <f>VLOOKUP(Tabela2[[#This Row],[Tag]],BD!$A:$V,20,0)</f>
        <v>BK-SP54-0900A-LC-90-00004_00000</v>
      </c>
      <c r="H311" s="32" t="str">
        <f>IF(VLOOKUP(Tabela2[[#This Row],[Tag]],BD!A:T,17,0)=0,"",VLOOKUP(Tabela2[[#This Row],[Tag]],BD!A:T,17,0))</f>
        <v>4.4.1</v>
      </c>
      <c r="I311" s="139">
        <v>44228</v>
      </c>
      <c r="J311" s="155">
        <f>VLOOKUP(Tabela2[[#This Row],[Tag]],BD!$A:$AE,30,0)</f>
        <v>30</v>
      </c>
      <c r="K311" s="29">
        <f>SUMIF(B:B,Tabela2[[#This Row],[Tag]],C:C)/Tabela2[[#This Row],[Comprim. Real]]</f>
        <v>1</v>
      </c>
      <c r="L311" s="29" t="str">
        <f>VLOOKUP(Tabela2[[#This Row],[Tag]],BD!A:AF,32,0)</f>
        <v>7HV</v>
      </c>
    </row>
    <row r="312" spans="1:12" x14ac:dyDescent="0.25">
      <c r="A312" s="391">
        <v>285</v>
      </c>
      <c r="B312" s="34" t="s">
        <v>460</v>
      </c>
      <c r="C312" s="391">
        <v>30</v>
      </c>
      <c r="D312" s="32">
        <v>44246</v>
      </c>
      <c r="E312" s="32" t="str">
        <f>VLOOKUP(Tabela2[[#This Row],[Tag]],BD!$A:$B,2,0)</f>
        <v>Rede</v>
      </c>
      <c r="F312" s="32" t="str">
        <f>VLOOKUP(Tabela2[[#This Row],[Tag]],BD!A:J,10,0)</f>
        <v>REDE</v>
      </c>
      <c r="G312" s="31" t="str">
        <f>VLOOKUP(Tabela2[[#This Row],[Tag]],BD!$A:$V,20,0)</f>
        <v>BK-SP54-0900A-LC-90-00004_00000</v>
      </c>
      <c r="H312" s="32" t="str">
        <f>IF(VLOOKUP(Tabela2[[#This Row],[Tag]],BD!A:T,17,0)=0,"",VLOOKUP(Tabela2[[#This Row],[Tag]],BD!A:T,17,0))</f>
        <v>4.4.1</v>
      </c>
      <c r="I312" s="139">
        <v>44228</v>
      </c>
      <c r="J312" s="155">
        <f>VLOOKUP(Tabela2[[#This Row],[Tag]],BD!$A:$AE,30,0)</f>
        <v>30</v>
      </c>
      <c r="K312" s="29">
        <f>SUMIF(B:B,Tabela2[[#This Row],[Tag]],C:C)/Tabela2[[#This Row],[Comprim. Real]]</f>
        <v>1</v>
      </c>
      <c r="L312" s="29" t="str">
        <f>VLOOKUP(Tabela2[[#This Row],[Tag]],BD!A:AF,32,0)</f>
        <v>7HV</v>
      </c>
    </row>
    <row r="313" spans="1:12" x14ac:dyDescent="0.25">
      <c r="A313" s="391">
        <v>305</v>
      </c>
      <c r="B313" s="7" t="s">
        <v>1132</v>
      </c>
      <c r="C313" s="391">
        <v>100</v>
      </c>
      <c r="D313" s="32">
        <v>44249</v>
      </c>
      <c r="E313" s="32" t="str">
        <f>VLOOKUP(Tabela2[[#This Row],[Tag]],BD!$A:$B,2,0)</f>
        <v>Controle</v>
      </c>
      <c r="F313" s="32" t="str">
        <f>VLOOKUP(Tabela2[[#This Row],[Tag]],BD!A:J,10,0)</f>
        <v>GB-200</v>
      </c>
      <c r="G313" s="31" t="str">
        <f>VLOOKUP(Tabela2[[#This Row],[Tag]],BD!$A:$V,20,0)</f>
        <v>BK-SP54-00200-LC-81-00001_00000</v>
      </c>
      <c r="H313" s="32" t="str">
        <f>IF(VLOOKUP(Tabela2[[#This Row],[Tag]],BD!A:T,17,0)=0,"",VLOOKUP(Tabela2[[#This Row],[Tag]],BD!A:T,17,0))</f>
        <v>4.4.1</v>
      </c>
      <c r="I313" s="139">
        <v>44228</v>
      </c>
      <c r="J313" s="155">
        <f>VLOOKUP(Tabela2[[#This Row],[Tag]],BD!$A:$AE,30,0)</f>
        <v>100</v>
      </c>
      <c r="K313" s="29">
        <f>SUMIF(B:B,Tabela2[[#This Row],[Tag]],C:C)/Tabela2[[#This Row],[Comprim. Real]]</f>
        <v>1</v>
      </c>
      <c r="L313" s="29" t="str">
        <f>VLOOKUP(Tabela2[[#This Row],[Tag]],BD!A:AF,32,0)</f>
        <v>CCPxGB-200</v>
      </c>
    </row>
    <row r="314" spans="1:12" x14ac:dyDescent="0.25">
      <c r="A314" s="391">
        <v>313</v>
      </c>
      <c r="B314" s="7" t="s">
        <v>443</v>
      </c>
      <c r="C314" s="391">
        <v>20</v>
      </c>
      <c r="D314" s="32">
        <v>44253</v>
      </c>
      <c r="E314" s="32" t="str">
        <f>VLOOKUP(Tabela2[[#This Row],[Tag]],BD!$A:$B,2,0)</f>
        <v>Rede</v>
      </c>
      <c r="F314" s="32" t="str">
        <f>VLOOKUP(Tabela2[[#This Row],[Tag]],BD!A:J,10,0)</f>
        <v>REDE</v>
      </c>
      <c r="G314" s="31" t="str">
        <f>VLOOKUP(Tabela2[[#This Row],[Tag]],BD!$A:$V,20,0)</f>
        <v>BK-SP54-0900B-LC-90-00010_00000</v>
      </c>
      <c r="H314" s="32" t="str">
        <f>IF(VLOOKUP(Tabela2[[#This Row],[Tag]],BD!A:T,17,0)=0,"",VLOOKUP(Tabela2[[#This Row],[Tag]],BD!A:T,17,0))</f>
        <v>4.4.1</v>
      </c>
      <c r="I314" s="139">
        <v>44228</v>
      </c>
      <c r="J314" s="155">
        <f>VLOOKUP(Tabela2[[#This Row],[Tag]],BD!$A:$AE,30,0)</f>
        <v>20</v>
      </c>
      <c r="K314" s="29">
        <f>SUMIF(B:B,Tabela2[[#This Row],[Tag]],C:C)/Tabela2[[#This Row],[Comprim. Real]]</f>
        <v>1</v>
      </c>
      <c r="L314" s="29" t="str">
        <f>VLOOKUP(Tabela2[[#This Row],[Tag]],BD!A:AF,32,0)</f>
        <v>7HV</v>
      </c>
    </row>
    <row r="315" spans="1:12" x14ac:dyDescent="0.25">
      <c r="A315" s="391">
        <v>314</v>
      </c>
      <c r="B315" s="7" t="s">
        <v>580</v>
      </c>
      <c r="C315" s="391">
        <v>450</v>
      </c>
      <c r="D315" s="32">
        <v>44253</v>
      </c>
      <c r="E315" s="32" t="str">
        <f>VLOOKUP(Tabela2[[#This Row],[Tag]],BD!$A:$B,2,0)</f>
        <v>FO</v>
      </c>
      <c r="F315" s="32" t="str">
        <f>VLOOKUP(Tabela2[[#This Row],[Tag]],BD!A:J,10,0)</f>
        <v>FIBRA</v>
      </c>
      <c r="G315" s="31" t="str">
        <f>VLOOKUP(Tabela2[[#This Row],[Tag]],BD!$A:$V,20,0)</f>
        <v>BK-SP54-0900A-LC-74-00001_00000</v>
      </c>
      <c r="H315" s="32" t="str">
        <f>IF(VLOOKUP(Tabela2[[#This Row],[Tag]],BD!A:T,17,0)=0,"",VLOOKUP(Tabela2[[#This Row],[Tag]],BD!A:T,17,0))</f>
        <v>5.10.1</v>
      </c>
      <c r="I315" s="139">
        <v>44228</v>
      </c>
      <c r="J315" s="155">
        <f>VLOOKUP(Tabela2[[#This Row],[Tag]],BD!$A:$AE,30,0)</f>
        <v>450</v>
      </c>
      <c r="K315" s="29">
        <f>SUMIF(B:B,Tabela2[[#This Row],[Tag]],C:C)/Tabela2[[#This Row],[Comprim. Real]]</f>
        <v>1</v>
      </c>
      <c r="L315" s="29" t="str">
        <f>VLOOKUP(Tabela2[[#This Row],[Tag]],BD!A:AF,32,0)</f>
        <v>7HVx1HV</v>
      </c>
    </row>
    <row r="316" spans="1:12" x14ac:dyDescent="0.25">
      <c r="A316" s="391">
        <v>315</v>
      </c>
      <c r="B316" s="7" t="s">
        <v>587</v>
      </c>
      <c r="C316" s="391">
        <v>450</v>
      </c>
      <c r="D316" s="32">
        <v>44253</v>
      </c>
      <c r="E316" s="32" t="str">
        <f>VLOOKUP(Tabela2[[#This Row],[Tag]],BD!$A:$B,2,0)</f>
        <v>FO</v>
      </c>
      <c r="F316" s="32" t="str">
        <f>VLOOKUP(Tabela2[[#This Row],[Tag]],BD!A:J,10,0)</f>
        <v>FIBRA</v>
      </c>
      <c r="G316" s="31" t="str">
        <f>VLOOKUP(Tabela2[[#This Row],[Tag]],BD!$A:$V,20,0)</f>
        <v>BK-SP54-0900A-LC-74-00001_00000</v>
      </c>
      <c r="H316" s="32" t="str">
        <f>IF(VLOOKUP(Tabela2[[#This Row],[Tag]],BD!A:T,17,0)=0,"",VLOOKUP(Tabela2[[#This Row],[Tag]],BD!A:T,17,0))</f>
        <v>5.10.1</v>
      </c>
      <c r="I316" s="139">
        <v>44228</v>
      </c>
      <c r="J316" s="155">
        <f>VLOOKUP(Tabela2[[#This Row],[Tag]],BD!$A:$AE,30,0)</f>
        <v>450</v>
      </c>
      <c r="K316" s="29">
        <f>SUMIF(B:B,Tabela2[[#This Row],[Tag]],C:C)/Tabela2[[#This Row],[Comprim. Real]]</f>
        <v>1</v>
      </c>
      <c r="L316" s="29" t="str">
        <f>VLOOKUP(Tabela2[[#This Row],[Tag]],BD!A:AF,32,0)</f>
        <v>7HVx1HV</v>
      </c>
    </row>
    <row r="317" spans="1:12" x14ac:dyDescent="0.25">
      <c r="A317" s="391">
        <v>316</v>
      </c>
      <c r="B317" s="7" t="s">
        <v>979</v>
      </c>
      <c r="C317" s="391">
        <v>520</v>
      </c>
      <c r="D317" s="32">
        <v>44253</v>
      </c>
      <c r="E317" s="32" t="str">
        <f>VLOOKUP(Tabela2[[#This Row],[Tag]],BD!$A:$B,2,0)</f>
        <v>Controle</v>
      </c>
      <c r="F317" s="32" t="str">
        <f>VLOOKUP(Tabela2[[#This Row],[Tag]],BD!A:J,10,0)</f>
        <v>8HV</v>
      </c>
      <c r="G317" s="31" t="str">
        <f>VLOOKUP(Tabela2[[#This Row],[Tag]],BD!$A:$V,20,0)</f>
        <v>BK-SP54-0900A-LC-74-00001_00000</v>
      </c>
      <c r="H317" s="32" t="str">
        <f>IF(VLOOKUP(Tabela2[[#This Row],[Tag]],BD!A:T,17,0)=0,"",VLOOKUP(Tabela2[[#This Row],[Tag]],BD!A:T,17,0))</f>
        <v>5.10.2</v>
      </c>
      <c r="I317" s="139">
        <v>44228</v>
      </c>
      <c r="J317" s="155">
        <f>VLOOKUP(Tabela2[[#This Row],[Tag]],BD!$A:$AE,30,0)</f>
        <v>520</v>
      </c>
      <c r="K317" s="29">
        <f>SUMIF(B:B,Tabela2[[#This Row],[Tag]],C:C)/Tabela2[[#This Row],[Comprim. Real]]</f>
        <v>1</v>
      </c>
      <c r="L317" s="29" t="str">
        <f>VLOOKUP(Tabela2[[#This Row],[Tag]],BD!A:AF,32,0)</f>
        <v>8HVxCCSE</v>
      </c>
    </row>
    <row r="318" spans="1:12" x14ac:dyDescent="0.25">
      <c r="A318" s="391">
        <v>317</v>
      </c>
      <c r="B318" s="7" t="s">
        <v>980</v>
      </c>
      <c r="C318" s="391">
        <v>520</v>
      </c>
      <c r="D318" s="32">
        <v>44253</v>
      </c>
      <c r="E318" s="32" t="str">
        <f>VLOOKUP(Tabela2[[#This Row],[Tag]],BD!$A:$B,2,0)</f>
        <v>Controle</v>
      </c>
      <c r="F318" s="32" t="str">
        <f>VLOOKUP(Tabela2[[#This Row],[Tag]],BD!A:J,10,0)</f>
        <v>8HV</v>
      </c>
      <c r="G318" s="31" t="str">
        <f>VLOOKUP(Tabela2[[#This Row],[Tag]],BD!$A:$V,20,0)</f>
        <v>BK-SP54-0900A-LC-74-00001_00000</v>
      </c>
      <c r="H318" s="32" t="str">
        <f>IF(VLOOKUP(Tabela2[[#This Row],[Tag]],BD!A:T,17,0)=0,"",VLOOKUP(Tabela2[[#This Row],[Tag]],BD!A:T,17,0))</f>
        <v>5.10.2</v>
      </c>
      <c r="I318" s="139">
        <v>44228</v>
      </c>
      <c r="J318" s="155">
        <f>VLOOKUP(Tabela2[[#This Row],[Tag]],BD!$A:$AE,30,0)</f>
        <v>520</v>
      </c>
      <c r="K318" s="29">
        <f>SUMIF(B:B,Tabela2[[#This Row],[Tag]],C:C)/Tabela2[[#This Row],[Comprim. Real]]</f>
        <v>1</v>
      </c>
      <c r="L318" s="29" t="str">
        <f>VLOOKUP(Tabela2[[#This Row],[Tag]],BD!A:AF,32,0)</f>
        <v>8HVxCCSE</v>
      </c>
    </row>
    <row r="319" spans="1:12" x14ac:dyDescent="0.25">
      <c r="A319" s="391">
        <v>318</v>
      </c>
      <c r="B319" s="7" t="s">
        <v>981</v>
      </c>
      <c r="C319" s="391">
        <v>520</v>
      </c>
      <c r="D319" s="32">
        <v>44253</v>
      </c>
      <c r="E319" s="32" t="str">
        <f>VLOOKUP(Tabela2[[#This Row],[Tag]],BD!$A:$B,2,0)</f>
        <v>Controle</v>
      </c>
      <c r="F319" s="32" t="str">
        <f>VLOOKUP(Tabela2[[#This Row],[Tag]],BD!A:J,10,0)</f>
        <v>8HV</v>
      </c>
      <c r="G319" s="31" t="str">
        <f>VLOOKUP(Tabela2[[#This Row],[Tag]],BD!$A:$V,20,0)</f>
        <v>BK-SP54-0900A-LC-74-00001_00000</v>
      </c>
      <c r="H319" s="32" t="str">
        <f>IF(VLOOKUP(Tabela2[[#This Row],[Tag]],BD!A:T,17,0)=0,"",VLOOKUP(Tabela2[[#This Row],[Tag]],BD!A:T,17,0))</f>
        <v>5.10.2</v>
      </c>
      <c r="I319" s="139">
        <v>44228</v>
      </c>
      <c r="J319" s="155">
        <f>VLOOKUP(Tabela2[[#This Row],[Tag]],BD!$A:$AE,30,0)</f>
        <v>520</v>
      </c>
      <c r="K319" s="29">
        <f>SUMIF(B:B,Tabela2[[#This Row],[Tag]],C:C)/Tabela2[[#This Row],[Comprim. Real]]</f>
        <v>1</v>
      </c>
      <c r="L319" s="29" t="str">
        <f>VLOOKUP(Tabela2[[#This Row],[Tag]],BD!A:AF,32,0)</f>
        <v>8HVxCCSE</v>
      </c>
    </row>
    <row r="320" spans="1:12" x14ac:dyDescent="0.25">
      <c r="A320" s="391">
        <v>319</v>
      </c>
      <c r="B320" s="7" t="s">
        <v>982</v>
      </c>
      <c r="C320" s="391">
        <v>520</v>
      </c>
      <c r="D320" s="32">
        <v>44253</v>
      </c>
      <c r="E320" s="32" t="str">
        <f>VLOOKUP(Tabela2[[#This Row],[Tag]],BD!$A:$B,2,0)</f>
        <v>Controle</v>
      </c>
      <c r="F320" s="32" t="str">
        <f>VLOOKUP(Tabela2[[#This Row],[Tag]],BD!A:J,10,0)</f>
        <v>8HV</v>
      </c>
      <c r="G320" s="31" t="str">
        <f>VLOOKUP(Tabela2[[#This Row],[Tag]],BD!$A:$V,20,0)</f>
        <v>BK-SP54-0900A-LC-74-00001_00000</v>
      </c>
      <c r="H320" s="32" t="str">
        <f>IF(VLOOKUP(Tabela2[[#This Row],[Tag]],BD!A:T,17,0)=0,"",VLOOKUP(Tabela2[[#This Row],[Tag]],BD!A:T,17,0))</f>
        <v>5.10.2</v>
      </c>
      <c r="I320" s="139">
        <v>44228</v>
      </c>
      <c r="J320" s="155">
        <f>VLOOKUP(Tabela2[[#This Row],[Tag]],BD!$A:$AE,30,0)</f>
        <v>520</v>
      </c>
      <c r="K320" s="29">
        <f>SUMIF(B:B,Tabela2[[#This Row],[Tag]],C:C)/Tabela2[[#This Row],[Comprim. Real]]</f>
        <v>1</v>
      </c>
      <c r="L320" s="29" t="str">
        <f>VLOOKUP(Tabela2[[#This Row],[Tag]],BD!A:AF,32,0)</f>
        <v>8HVxCCSE</v>
      </c>
    </row>
    <row r="321" spans="1:12" x14ac:dyDescent="0.25">
      <c r="A321" s="391">
        <v>320</v>
      </c>
      <c r="B321" s="7" t="s">
        <v>1049</v>
      </c>
      <c r="C321" s="391">
        <v>60</v>
      </c>
      <c r="D321" s="32">
        <v>44253</v>
      </c>
      <c r="E321" s="32" t="str">
        <f>VLOOKUP(Tabela2[[#This Row],[Tag]],BD!$A:$B,2,0)</f>
        <v>Rede</v>
      </c>
      <c r="F321" s="32" t="str">
        <f>VLOOKUP(Tabela2[[#This Row],[Tag]],BD!A:J,10,0)</f>
        <v>REDE</v>
      </c>
      <c r="G321" s="31" t="str">
        <f>VLOOKUP(Tabela2[[#This Row],[Tag]],BD!$A:$V,20,0)</f>
        <v>BK-SP54-0900A-LC-90-00004_00000</v>
      </c>
      <c r="H321" s="32" t="str">
        <f>IF(VLOOKUP(Tabela2[[#This Row],[Tag]],BD!A:T,17,0)=0,"",VLOOKUP(Tabela2[[#This Row],[Tag]],BD!A:T,17,0))</f>
        <v>4.4.1</v>
      </c>
      <c r="I321" s="139">
        <v>44228</v>
      </c>
      <c r="J321" s="155">
        <f>VLOOKUP(Tabela2[[#This Row],[Tag]],BD!$A:$AE,30,0)</f>
        <v>60</v>
      </c>
      <c r="K321" s="29">
        <f>SUMIF(B:B,Tabela2[[#This Row],[Tag]],C:C)/Tabela2[[#This Row],[Comprim. Real]]</f>
        <v>1</v>
      </c>
      <c r="L321" s="29" t="str">
        <f>VLOOKUP(Tabela2[[#This Row],[Tag]],BD!A:AF,32,0)</f>
        <v>CCP</v>
      </c>
    </row>
    <row r="322" spans="1:12" x14ac:dyDescent="0.25">
      <c r="A322" s="391">
        <v>321</v>
      </c>
      <c r="B322" s="42" t="s">
        <v>157</v>
      </c>
      <c r="C322" s="391">
        <v>48</v>
      </c>
      <c r="D322" s="32">
        <v>44253</v>
      </c>
      <c r="E322" s="32" t="str">
        <f>VLOOKUP(Tabela2[[#This Row],[Tag]],BD!$A:$B,2,0)</f>
        <v>Controle</v>
      </c>
      <c r="F322" s="32" t="str">
        <f>VLOOKUP(Tabela2[[#This Row],[Tag]],BD!A:J,10,0)</f>
        <v>1HV</v>
      </c>
      <c r="G322" s="31" t="str">
        <f>VLOOKUP(Tabela2[[#This Row],[Tag]],BD!$A:$V,20,0)</f>
        <v>BK-SP54-0900A-LC-74-00001_00000</v>
      </c>
      <c r="H322" s="32" t="str">
        <f>IF(VLOOKUP(Tabela2[[#This Row],[Tag]],BD!A:T,17,0)=0,"",VLOOKUP(Tabela2[[#This Row],[Tag]],BD!A:T,17,0))</f>
        <v>5.8.1</v>
      </c>
      <c r="I322" s="139">
        <v>44228</v>
      </c>
      <c r="J322" s="155">
        <f>VLOOKUP(Tabela2[[#This Row],[Tag]],BD!$A:$AE,30,0)</f>
        <v>48</v>
      </c>
      <c r="K322" s="29">
        <f>SUMIF(B:B,Tabela2[[#This Row],[Tag]],C:C)/Tabela2[[#This Row],[Comprim. Real]]</f>
        <v>1</v>
      </c>
      <c r="L322" s="29" t="str">
        <f>VLOOKUP(Tabela2[[#This Row],[Tag]],BD!A:AF,32,0)</f>
        <v>1HVx1MV</v>
      </c>
    </row>
    <row r="323" spans="1:12" x14ac:dyDescent="0.25">
      <c r="A323" s="391">
        <v>322</v>
      </c>
      <c r="B323" s="42" t="s">
        <v>161</v>
      </c>
      <c r="C323" s="391">
        <v>47</v>
      </c>
      <c r="D323" s="32">
        <v>44253</v>
      </c>
      <c r="E323" s="32" t="str">
        <f>VLOOKUP(Tabela2[[#This Row],[Tag]],BD!$A:$B,2,0)</f>
        <v>Controle</v>
      </c>
      <c r="F323" s="32" t="str">
        <f>VLOOKUP(Tabela2[[#This Row],[Tag]],BD!A:J,10,0)</f>
        <v>1HV</v>
      </c>
      <c r="G323" s="31" t="str">
        <f>VLOOKUP(Tabela2[[#This Row],[Tag]],BD!$A:$V,20,0)</f>
        <v>BK-SP54-0900A-LC-74-00001_00000</v>
      </c>
      <c r="H323" s="32" t="str">
        <f>IF(VLOOKUP(Tabela2[[#This Row],[Tag]],BD!A:T,17,0)=0,"",VLOOKUP(Tabela2[[#This Row],[Tag]],BD!A:T,17,0))</f>
        <v>5.8.1</v>
      </c>
      <c r="I323" s="139">
        <v>44228</v>
      </c>
      <c r="J323" s="155">
        <f>VLOOKUP(Tabela2[[#This Row],[Tag]],BD!$A:$AE,30,0)</f>
        <v>47</v>
      </c>
      <c r="K323" s="29">
        <f>SUMIF(B:B,Tabela2[[#This Row],[Tag]],C:C)/Tabela2[[#This Row],[Comprim. Real]]</f>
        <v>1</v>
      </c>
      <c r="L323" s="29" t="str">
        <f>VLOOKUP(Tabela2[[#This Row],[Tag]],BD!A:AF,32,0)</f>
        <v>1HVx1MV</v>
      </c>
    </row>
    <row r="324" spans="1:12" x14ac:dyDescent="0.25">
      <c r="A324" s="391">
        <v>323</v>
      </c>
      <c r="B324" s="42" t="s">
        <v>163</v>
      </c>
      <c r="C324" s="391">
        <v>40</v>
      </c>
      <c r="D324" s="32">
        <v>44253</v>
      </c>
      <c r="E324" s="32" t="str">
        <f>VLOOKUP(Tabela2[[#This Row],[Tag]],BD!$A:$B,2,0)</f>
        <v>Controle</v>
      </c>
      <c r="F324" s="32" t="str">
        <f>VLOOKUP(Tabela2[[#This Row],[Tag]],BD!A:J,10,0)</f>
        <v>1HV</v>
      </c>
      <c r="G324" s="31" t="str">
        <f>VLOOKUP(Tabela2[[#This Row],[Tag]],BD!$A:$V,20,0)</f>
        <v>BK-SP54-0900A-LC-74-00001_00000</v>
      </c>
      <c r="H324" s="32" t="str">
        <f>IF(VLOOKUP(Tabela2[[#This Row],[Tag]],BD!A:T,17,0)=0,"",VLOOKUP(Tabela2[[#This Row],[Tag]],BD!A:T,17,0))</f>
        <v>5.8.1</v>
      </c>
      <c r="I324" s="139">
        <v>44228</v>
      </c>
      <c r="J324" s="155">
        <f>VLOOKUP(Tabela2[[#This Row],[Tag]],BD!$A:$AE,30,0)</f>
        <v>40</v>
      </c>
      <c r="K324" s="29">
        <f>SUMIF(B:B,Tabela2[[#This Row],[Tag]],C:C)/Tabela2[[#This Row],[Comprim. Real]]</f>
        <v>1</v>
      </c>
      <c r="L324" s="29" t="str">
        <f>VLOOKUP(Tabela2[[#This Row],[Tag]],BD!A:AF,32,0)</f>
        <v>1HVx1MV</v>
      </c>
    </row>
    <row r="325" spans="1:12" x14ac:dyDescent="0.25">
      <c r="A325" s="391">
        <v>324</v>
      </c>
      <c r="B325" s="42" t="s">
        <v>165</v>
      </c>
      <c r="C325" s="391">
        <v>39</v>
      </c>
      <c r="D325" s="32">
        <v>44253</v>
      </c>
      <c r="E325" s="32" t="str">
        <f>VLOOKUP(Tabela2[[#This Row],[Tag]],BD!$A:$B,2,0)</f>
        <v>Controle</v>
      </c>
      <c r="F325" s="32" t="str">
        <f>VLOOKUP(Tabela2[[#This Row],[Tag]],BD!A:J,10,0)</f>
        <v>1HV</v>
      </c>
      <c r="G325" s="31" t="str">
        <f>VLOOKUP(Tabela2[[#This Row],[Tag]],BD!$A:$V,20,0)</f>
        <v>BK-SP54-0900A-LC-74-00001_00000</v>
      </c>
      <c r="H325" s="32" t="str">
        <f>IF(VLOOKUP(Tabela2[[#This Row],[Tag]],BD!A:T,17,0)=0,"",VLOOKUP(Tabela2[[#This Row],[Tag]],BD!A:T,17,0))</f>
        <v>5.8.1</v>
      </c>
      <c r="I325" s="139">
        <v>44228</v>
      </c>
      <c r="J325" s="155">
        <f>VLOOKUP(Tabela2[[#This Row],[Tag]],BD!$A:$AE,30,0)</f>
        <v>39</v>
      </c>
      <c r="K325" s="29">
        <f>SUMIF(B:B,Tabela2[[#This Row],[Tag]],C:C)/Tabela2[[#This Row],[Comprim. Real]]</f>
        <v>1</v>
      </c>
      <c r="L325" s="29" t="str">
        <f>VLOOKUP(Tabela2[[#This Row],[Tag]],BD!A:AF,32,0)</f>
        <v>1HVx1MV</v>
      </c>
    </row>
    <row r="326" spans="1:12" x14ac:dyDescent="0.25">
      <c r="A326" s="391">
        <v>325</v>
      </c>
      <c r="B326" s="42" t="s">
        <v>167</v>
      </c>
      <c r="C326" s="391">
        <v>40</v>
      </c>
      <c r="D326" s="32">
        <v>44253</v>
      </c>
      <c r="E326" s="32" t="str">
        <f>VLOOKUP(Tabela2[[#This Row],[Tag]],BD!$A:$B,2,0)</f>
        <v>Controle</v>
      </c>
      <c r="F326" s="32" t="str">
        <f>VLOOKUP(Tabela2[[#This Row],[Tag]],BD!A:J,10,0)</f>
        <v>1HV</v>
      </c>
      <c r="G326" s="31" t="str">
        <f>VLOOKUP(Tabela2[[#This Row],[Tag]],BD!$A:$V,20,0)</f>
        <v>BK-SP54-0900A-LC-74-00001_00000</v>
      </c>
      <c r="H326" s="32" t="str">
        <f>IF(VLOOKUP(Tabela2[[#This Row],[Tag]],BD!A:T,17,0)=0,"",VLOOKUP(Tabela2[[#This Row],[Tag]],BD!A:T,17,0))</f>
        <v>5.8.1</v>
      </c>
      <c r="I326" s="139">
        <v>44228</v>
      </c>
      <c r="J326" s="155">
        <f>VLOOKUP(Tabela2[[#This Row],[Tag]],BD!$A:$AE,30,0)</f>
        <v>40</v>
      </c>
      <c r="K326" s="29">
        <f>SUMIF(B:B,Tabela2[[#This Row],[Tag]],C:C)/Tabela2[[#This Row],[Comprim. Real]]</f>
        <v>1</v>
      </c>
      <c r="L326" s="29" t="str">
        <f>VLOOKUP(Tabela2[[#This Row],[Tag]],BD!A:AF,32,0)</f>
        <v>1HVx1MV</v>
      </c>
    </row>
    <row r="327" spans="1:12" x14ac:dyDescent="0.25">
      <c r="A327" s="391">
        <v>326</v>
      </c>
      <c r="B327" s="42" t="s">
        <v>169</v>
      </c>
      <c r="C327" s="391">
        <v>39</v>
      </c>
      <c r="D327" s="32">
        <v>44253</v>
      </c>
      <c r="E327" s="32" t="str">
        <f>VLOOKUP(Tabela2[[#This Row],[Tag]],BD!$A:$B,2,0)</f>
        <v>Controle</v>
      </c>
      <c r="F327" s="32" t="str">
        <f>VLOOKUP(Tabela2[[#This Row],[Tag]],BD!A:J,10,0)</f>
        <v>1HV</v>
      </c>
      <c r="G327" s="31" t="str">
        <f>VLOOKUP(Tabela2[[#This Row],[Tag]],BD!$A:$V,20,0)</f>
        <v>BK-SP54-0900A-LC-74-00001_00000</v>
      </c>
      <c r="H327" s="32" t="str">
        <f>IF(VLOOKUP(Tabela2[[#This Row],[Tag]],BD!A:T,17,0)=0,"",VLOOKUP(Tabela2[[#This Row],[Tag]],BD!A:T,17,0))</f>
        <v>5.8.1</v>
      </c>
      <c r="I327" s="139">
        <v>44228</v>
      </c>
      <c r="J327" s="155">
        <f>VLOOKUP(Tabela2[[#This Row],[Tag]],BD!$A:$AE,30,0)</f>
        <v>39</v>
      </c>
      <c r="K327" s="29">
        <f>SUMIF(B:B,Tabela2[[#This Row],[Tag]],C:C)/Tabela2[[#This Row],[Comprim. Real]]</f>
        <v>1</v>
      </c>
      <c r="L327" s="29" t="str">
        <f>VLOOKUP(Tabela2[[#This Row],[Tag]],BD!A:AF,32,0)</f>
        <v>1HVx1MV</v>
      </c>
    </row>
    <row r="328" spans="1:12" x14ac:dyDescent="0.25">
      <c r="A328" s="391">
        <v>327</v>
      </c>
      <c r="B328" s="42" t="s">
        <v>194</v>
      </c>
      <c r="C328" s="391">
        <v>42</v>
      </c>
      <c r="D328" s="32">
        <v>44253</v>
      </c>
      <c r="E328" s="32" t="str">
        <f>VLOOKUP(Tabela2[[#This Row],[Tag]],BD!$A:$B,2,0)</f>
        <v>Controle</v>
      </c>
      <c r="F328" s="32" t="str">
        <f>VLOOKUP(Tabela2[[#This Row],[Tag]],BD!A:J,10,0)</f>
        <v>1HV</v>
      </c>
      <c r="G328" s="31" t="str">
        <f>VLOOKUP(Tabela2[[#This Row],[Tag]],BD!$A:$V,20,0)</f>
        <v>BK-SP54-0900A-LC-74-00001_00000</v>
      </c>
      <c r="H328" s="32" t="str">
        <f>IF(VLOOKUP(Tabela2[[#This Row],[Tag]],BD!A:T,17,0)=0,"",VLOOKUP(Tabela2[[#This Row],[Tag]],BD!A:T,17,0))</f>
        <v>5.8.1</v>
      </c>
      <c r="I328" s="139">
        <v>44228</v>
      </c>
      <c r="J328" s="155">
        <f>VLOOKUP(Tabela2[[#This Row],[Tag]],BD!$A:$AE,30,0)</f>
        <v>42</v>
      </c>
      <c r="K328" s="29">
        <f>SUMIF(B:B,Tabela2[[#This Row],[Tag]],C:C)/Tabela2[[#This Row],[Comprim. Real]]</f>
        <v>1</v>
      </c>
      <c r="L328" s="29" t="str">
        <f>VLOOKUP(Tabela2[[#This Row],[Tag]],BD!A:AF,32,0)</f>
        <v>1MV</v>
      </c>
    </row>
    <row r="329" spans="1:12" x14ac:dyDescent="0.25">
      <c r="A329" s="391">
        <v>328</v>
      </c>
      <c r="B329" s="42" t="s">
        <v>203</v>
      </c>
      <c r="C329" s="391">
        <v>47</v>
      </c>
      <c r="D329" s="32">
        <v>44253</v>
      </c>
      <c r="E329" s="32" t="str">
        <f>VLOOKUP(Tabela2[[#This Row],[Tag]],BD!$A:$B,2,0)</f>
        <v>Controle</v>
      </c>
      <c r="F329" s="32" t="str">
        <f>VLOOKUP(Tabela2[[#This Row],[Tag]],BD!A:J,10,0)</f>
        <v>1HV</v>
      </c>
      <c r="G329" s="31" t="str">
        <f>VLOOKUP(Tabela2[[#This Row],[Tag]],BD!$A:$V,20,0)</f>
        <v>BK-SP54-0900A-LC-74-00001_00000</v>
      </c>
      <c r="H329" s="32" t="str">
        <f>IF(VLOOKUP(Tabela2[[#This Row],[Tag]],BD!A:T,17,0)=0,"",VLOOKUP(Tabela2[[#This Row],[Tag]],BD!A:T,17,0))</f>
        <v>5.8.1</v>
      </c>
      <c r="I329" s="139">
        <v>44228</v>
      </c>
      <c r="J329" s="155">
        <f>VLOOKUP(Tabela2[[#This Row],[Tag]],BD!$A:$AE,30,0)</f>
        <v>47</v>
      </c>
      <c r="K329" s="29">
        <f>SUMIF(B:B,Tabela2[[#This Row],[Tag]],C:C)/Tabela2[[#This Row],[Comprim. Real]]</f>
        <v>1</v>
      </c>
      <c r="L329" s="29" t="str">
        <f>VLOOKUP(Tabela2[[#This Row],[Tag]],BD!A:AF,32,0)</f>
        <v>1MV</v>
      </c>
    </row>
    <row r="330" spans="1:12" x14ac:dyDescent="0.25">
      <c r="A330" s="391">
        <v>329</v>
      </c>
      <c r="B330" s="42" t="s">
        <v>797</v>
      </c>
      <c r="C330" s="391">
        <v>1150</v>
      </c>
      <c r="D330" s="32">
        <v>44253</v>
      </c>
      <c r="E330" s="32" t="str">
        <f>VLOOKUP(Tabela2[[#This Row],[Tag]],BD!$A:$B,2,0)</f>
        <v>FO</v>
      </c>
      <c r="F330" s="32" t="str">
        <f>VLOOKUP(Tabela2[[#This Row],[Tag]],BD!A:J,10,0)</f>
        <v>FIBRA</v>
      </c>
      <c r="G330" s="31" t="str">
        <f>VLOOKUP(Tabela2[[#This Row],[Tag]],BD!$A:$V,20,0)</f>
        <v>BK-SP54-0900A-LC-74-00001_00000</v>
      </c>
      <c r="H330" s="32" t="str">
        <f>IF(VLOOKUP(Tabela2[[#This Row],[Tag]],BD!A:T,17,0)=0,"",VLOOKUP(Tabela2[[#This Row],[Tag]],BD!A:T,17,0))</f>
        <v>5.10.1</v>
      </c>
      <c r="I330" s="139">
        <v>44228</v>
      </c>
      <c r="J330" s="155">
        <f>VLOOKUP(Tabela2[[#This Row],[Tag]],BD!$A:$AE,30,0)</f>
        <v>1150</v>
      </c>
      <c r="K330" s="29">
        <f>SUMIF(B:B,Tabela2[[#This Row],[Tag]],C:C)/Tabela2[[#This Row],[Comprim. Real]]</f>
        <v>1</v>
      </c>
      <c r="L330" s="29" t="str">
        <f>VLOOKUP(Tabela2[[#This Row],[Tag]],BD!A:AF,32,0)</f>
        <v>7HVxQ3</v>
      </c>
    </row>
    <row r="331" spans="1:12" x14ac:dyDescent="0.25">
      <c r="A331" s="391">
        <v>330</v>
      </c>
      <c r="B331" s="42" t="s">
        <v>79</v>
      </c>
      <c r="C331" s="391">
        <v>40</v>
      </c>
      <c r="D331" s="32">
        <v>44253</v>
      </c>
      <c r="E331" s="32" t="str">
        <f>VLOOKUP(Tabela2[[#This Row],[Tag]],BD!$A:$B,2,0)</f>
        <v>Força</v>
      </c>
      <c r="F331" s="32" t="str">
        <f>VLOOKUP(Tabela2[[#This Row],[Tag]],BD!A:J,10,0)</f>
        <v>1HV</v>
      </c>
      <c r="G331" s="31" t="str">
        <f>VLOOKUP(Tabela2[[#This Row],[Tag]],BD!$A:$V,20,0)</f>
        <v>BK-SP54-0900A-LC-74-00001_00000</v>
      </c>
      <c r="H331" s="32" t="str">
        <f>IF(VLOOKUP(Tabela2[[#This Row],[Tag]],BD!A:T,17,0)=0,"",VLOOKUP(Tabela2[[#This Row],[Tag]],BD!A:T,17,0))</f>
        <v>5.10.2</v>
      </c>
      <c r="I331" s="139">
        <v>44228</v>
      </c>
      <c r="J331" s="155">
        <f>VLOOKUP(Tabela2[[#This Row],[Tag]],BD!$A:$AE,30,0)</f>
        <v>40</v>
      </c>
      <c r="K331" s="29">
        <f>SUMIF(B:B,Tabela2[[#This Row],[Tag]],C:C)/Tabela2[[#This Row],[Comprim. Real]]</f>
        <v>1</v>
      </c>
      <c r="L331" s="29" t="str">
        <f>VLOOKUP(Tabela2[[#This Row],[Tag]],BD!A:AF,32,0)</f>
        <v>1HVx1MV</v>
      </c>
    </row>
    <row r="332" spans="1:12" x14ac:dyDescent="0.25">
      <c r="A332" s="391">
        <v>331</v>
      </c>
      <c r="B332" s="42" t="s">
        <v>96</v>
      </c>
      <c r="C332" s="391">
        <v>40</v>
      </c>
      <c r="D332" s="32">
        <v>44253</v>
      </c>
      <c r="E332" s="32" t="str">
        <f>VLOOKUP(Tabela2[[#This Row],[Tag]],BD!$A:$B,2,0)</f>
        <v>Força</v>
      </c>
      <c r="F332" s="32" t="str">
        <f>VLOOKUP(Tabela2[[#This Row],[Tag]],BD!A:J,10,0)</f>
        <v>1HV</v>
      </c>
      <c r="G332" s="31" t="str">
        <f>VLOOKUP(Tabela2[[#This Row],[Tag]],BD!$A:$V,20,0)</f>
        <v>BK-SP54-0900A-LC-74-00001_00000</v>
      </c>
      <c r="H332" s="32" t="str">
        <f>IF(VLOOKUP(Tabela2[[#This Row],[Tag]],BD!A:T,17,0)=0,"",VLOOKUP(Tabela2[[#This Row],[Tag]],BD!A:T,17,0))</f>
        <v>5.10.2</v>
      </c>
      <c r="I332" s="139">
        <v>44228</v>
      </c>
      <c r="J332" s="155">
        <f>VLOOKUP(Tabela2[[#This Row],[Tag]],BD!$A:$AE,30,0)</f>
        <v>40</v>
      </c>
      <c r="K332" s="29">
        <f>SUMIF(B:B,Tabela2[[#This Row],[Tag]],C:C)/Tabela2[[#This Row],[Comprim. Real]]</f>
        <v>1</v>
      </c>
      <c r="L332" s="29" t="str">
        <f>VLOOKUP(Tabela2[[#This Row],[Tag]],BD!A:AF,32,0)</f>
        <v>1HVx1MV</v>
      </c>
    </row>
    <row r="333" spans="1:12" x14ac:dyDescent="0.25">
      <c r="A333" s="391">
        <v>332</v>
      </c>
      <c r="B333" s="42" t="s">
        <v>100</v>
      </c>
      <c r="C333" s="391">
        <v>40</v>
      </c>
      <c r="D333" s="32">
        <v>44253</v>
      </c>
      <c r="E333" s="32" t="str">
        <f>VLOOKUP(Tabela2[[#This Row],[Tag]],BD!$A:$B,2,0)</f>
        <v>FO</v>
      </c>
      <c r="F333" s="32" t="str">
        <f>VLOOKUP(Tabela2[[#This Row],[Tag]],BD!A:J,10,0)</f>
        <v>FIBRA</v>
      </c>
      <c r="G333" s="31" t="str">
        <f>VLOOKUP(Tabela2[[#This Row],[Tag]],BD!$A:$V,20,0)</f>
        <v>BK-SP54-0900A-LC-74-00001_00000</v>
      </c>
      <c r="H333" s="32" t="str">
        <f>IF(VLOOKUP(Tabela2[[#This Row],[Tag]],BD!A:T,17,0)=0,"",VLOOKUP(Tabela2[[#This Row],[Tag]],BD!A:T,17,0))</f>
        <v>5.6.1</v>
      </c>
      <c r="I333" s="139">
        <v>44228</v>
      </c>
      <c r="J333" s="155">
        <f>VLOOKUP(Tabela2[[#This Row],[Tag]],BD!$A:$AE,30,0)</f>
        <v>40</v>
      </c>
      <c r="K333" s="29">
        <f>SUMIF(B:B,Tabela2[[#This Row],[Tag]],C:C)/Tabela2[[#This Row],[Comprim. Real]]</f>
        <v>1</v>
      </c>
      <c r="L333" s="29" t="str">
        <f>VLOOKUP(Tabela2[[#This Row],[Tag]],BD!A:AF,32,0)</f>
        <v>1HV</v>
      </c>
    </row>
    <row r="334" spans="1:12" x14ac:dyDescent="0.25">
      <c r="A334" s="391">
        <v>333</v>
      </c>
      <c r="B334" s="42" t="s">
        <v>111</v>
      </c>
      <c r="C334" s="391">
        <v>40</v>
      </c>
      <c r="D334" s="32">
        <v>44253</v>
      </c>
      <c r="E334" s="32" t="str">
        <f>VLOOKUP(Tabela2[[#This Row],[Tag]],BD!$A:$B,2,0)</f>
        <v>FO</v>
      </c>
      <c r="F334" s="32" t="str">
        <f>VLOOKUP(Tabela2[[#This Row],[Tag]],BD!A:J,10,0)</f>
        <v>FIBRA</v>
      </c>
      <c r="G334" s="31" t="str">
        <f>VLOOKUP(Tabela2[[#This Row],[Tag]],BD!$A:$V,20,0)</f>
        <v>BK-SP54-0900A-LC-74-00001_00000</v>
      </c>
      <c r="H334" s="32" t="str">
        <f>IF(VLOOKUP(Tabela2[[#This Row],[Tag]],BD!A:T,17,0)=0,"",VLOOKUP(Tabela2[[#This Row],[Tag]],BD!A:T,17,0))</f>
        <v>5.6.1</v>
      </c>
      <c r="I334" s="139">
        <v>44228</v>
      </c>
      <c r="J334" s="155">
        <f>VLOOKUP(Tabela2[[#This Row],[Tag]],BD!$A:$AE,30,0)</f>
        <v>40</v>
      </c>
      <c r="K334" s="29">
        <f>SUMIF(B:B,Tabela2[[#This Row],[Tag]],C:C)/Tabela2[[#This Row],[Comprim. Real]]</f>
        <v>1</v>
      </c>
      <c r="L334" s="29" t="str">
        <f>VLOOKUP(Tabela2[[#This Row],[Tag]],BD!A:AF,32,0)</f>
        <v>1HV</v>
      </c>
    </row>
    <row r="335" spans="1:12" x14ac:dyDescent="0.25">
      <c r="A335" s="391">
        <v>334</v>
      </c>
      <c r="B335" s="42" t="s">
        <v>112</v>
      </c>
      <c r="C335" s="391">
        <v>40</v>
      </c>
      <c r="D335" s="32">
        <v>44253</v>
      </c>
      <c r="E335" s="32" t="str">
        <f>VLOOKUP(Tabela2[[#This Row],[Tag]],BD!$A:$B,2,0)</f>
        <v>FO</v>
      </c>
      <c r="F335" s="32" t="str">
        <f>VLOOKUP(Tabela2[[#This Row],[Tag]],BD!A:J,10,0)</f>
        <v>FIBRA</v>
      </c>
      <c r="G335" s="31" t="str">
        <f>VLOOKUP(Tabela2[[#This Row],[Tag]],BD!$A:$V,20,0)</f>
        <v>BK-SP54-0900A-LC-74-00001_00000</v>
      </c>
      <c r="H335" s="32" t="str">
        <f>IF(VLOOKUP(Tabela2[[#This Row],[Tag]],BD!A:T,17,0)=0,"",VLOOKUP(Tabela2[[#This Row],[Tag]],BD!A:T,17,0))</f>
        <v>5.6.1</v>
      </c>
      <c r="I335" s="139">
        <v>44228</v>
      </c>
      <c r="J335" s="155">
        <f>VLOOKUP(Tabela2[[#This Row],[Tag]],BD!$A:$AE,30,0)</f>
        <v>40</v>
      </c>
      <c r="K335" s="29">
        <f>SUMIF(B:B,Tabela2[[#This Row],[Tag]],C:C)/Tabela2[[#This Row],[Comprim. Real]]</f>
        <v>1</v>
      </c>
      <c r="L335" s="29" t="str">
        <f>VLOOKUP(Tabela2[[#This Row],[Tag]],BD!A:AF,32,0)</f>
        <v>1HV</v>
      </c>
    </row>
    <row r="336" spans="1:12" x14ac:dyDescent="0.25">
      <c r="A336" s="391">
        <v>335</v>
      </c>
      <c r="B336" s="42" t="s">
        <v>113</v>
      </c>
      <c r="C336" s="391">
        <v>40</v>
      </c>
      <c r="D336" s="32">
        <v>44253</v>
      </c>
      <c r="E336" s="32" t="str">
        <f>VLOOKUP(Tabela2[[#This Row],[Tag]],BD!$A:$B,2,0)</f>
        <v>FO</v>
      </c>
      <c r="F336" s="32" t="str">
        <f>VLOOKUP(Tabela2[[#This Row],[Tag]],BD!A:J,10,0)</f>
        <v>FIBRA</v>
      </c>
      <c r="G336" s="31" t="str">
        <f>VLOOKUP(Tabela2[[#This Row],[Tag]],BD!$A:$V,20,0)</f>
        <v>BK-SP54-0900A-LC-74-00001_00000</v>
      </c>
      <c r="H336" s="32" t="str">
        <f>IF(VLOOKUP(Tabela2[[#This Row],[Tag]],BD!A:T,17,0)=0,"",VLOOKUP(Tabela2[[#This Row],[Tag]],BD!A:T,17,0))</f>
        <v>5.6.1</v>
      </c>
      <c r="I336" s="139">
        <v>44228</v>
      </c>
      <c r="J336" s="155">
        <f>VLOOKUP(Tabela2[[#This Row],[Tag]],BD!$A:$AE,30,0)</f>
        <v>40</v>
      </c>
      <c r="K336" s="29">
        <f>SUMIF(B:B,Tabela2[[#This Row],[Tag]],C:C)/Tabela2[[#This Row],[Comprim. Real]]</f>
        <v>1</v>
      </c>
      <c r="L336" s="29" t="str">
        <f>VLOOKUP(Tabela2[[#This Row],[Tag]],BD!A:AF,32,0)</f>
        <v>1HV</v>
      </c>
    </row>
    <row r="337" spans="1:12" x14ac:dyDescent="0.25">
      <c r="A337" s="391">
        <v>336</v>
      </c>
      <c r="B337" s="42" t="s">
        <v>114</v>
      </c>
      <c r="C337" s="391">
        <v>40</v>
      </c>
      <c r="D337" s="32">
        <v>44253</v>
      </c>
      <c r="E337" s="32" t="str">
        <f>VLOOKUP(Tabela2[[#This Row],[Tag]],BD!$A:$B,2,0)</f>
        <v>FO</v>
      </c>
      <c r="F337" s="32" t="str">
        <f>VLOOKUP(Tabela2[[#This Row],[Tag]],BD!A:J,10,0)</f>
        <v>FIBRA</v>
      </c>
      <c r="G337" s="31" t="str">
        <f>VLOOKUP(Tabela2[[#This Row],[Tag]],BD!$A:$V,20,0)</f>
        <v>BK-SP54-0900A-LC-74-00001_00000</v>
      </c>
      <c r="H337" s="32" t="str">
        <f>IF(VLOOKUP(Tabela2[[#This Row],[Tag]],BD!A:T,17,0)=0,"",VLOOKUP(Tabela2[[#This Row],[Tag]],BD!A:T,17,0))</f>
        <v>5.6.1</v>
      </c>
      <c r="I337" s="139">
        <v>44228</v>
      </c>
      <c r="J337" s="155">
        <f>VLOOKUP(Tabela2[[#This Row],[Tag]],BD!$A:$AE,30,0)</f>
        <v>40</v>
      </c>
      <c r="K337" s="29">
        <f>SUMIF(B:B,Tabela2[[#This Row],[Tag]],C:C)/Tabela2[[#This Row],[Comprim. Real]]</f>
        <v>1</v>
      </c>
      <c r="L337" s="29" t="str">
        <f>VLOOKUP(Tabela2[[#This Row],[Tag]],BD!A:AF,32,0)</f>
        <v>1HV</v>
      </c>
    </row>
    <row r="338" spans="1:12" x14ac:dyDescent="0.25">
      <c r="A338" s="391">
        <v>337</v>
      </c>
      <c r="B338" s="42" t="s">
        <v>115</v>
      </c>
      <c r="C338" s="391">
        <v>40</v>
      </c>
      <c r="D338" s="32">
        <v>44253</v>
      </c>
      <c r="E338" s="32" t="str">
        <f>VLOOKUP(Tabela2[[#This Row],[Tag]],BD!$A:$B,2,0)</f>
        <v>Força</v>
      </c>
      <c r="F338" s="32" t="str">
        <f>VLOOKUP(Tabela2[[#This Row],[Tag]],BD!A:J,10,0)</f>
        <v>1HV</v>
      </c>
      <c r="G338" s="31" t="str">
        <f>VLOOKUP(Tabela2[[#This Row],[Tag]],BD!$A:$V,20,0)</f>
        <v>BK-SP54-0900A-LC-74-00001_00000</v>
      </c>
      <c r="H338" s="32" t="str">
        <f>IF(VLOOKUP(Tabela2[[#This Row],[Tag]],BD!A:T,17,0)=0,"",VLOOKUP(Tabela2[[#This Row],[Tag]],BD!A:T,17,0))</f>
        <v>5.10.2</v>
      </c>
      <c r="I338" s="139">
        <v>44228</v>
      </c>
      <c r="J338" s="155">
        <f>VLOOKUP(Tabela2[[#This Row],[Tag]],BD!$A:$AE,30,0)</f>
        <v>40</v>
      </c>
      <c r="K338" s="29">
        <f>SUMIF(B:B,Tabela2[[#This Row],[Tag]],C:C)/Tabela2[[#This Row],[Comprim. Real]]</f>
        <v>1</v>
      </c>
      <c r="L338" s="29" t="str">
        <f>VLOOKUP(Tabela2[[#This Row],[Tag]],BD!A:AF,32,0)</f>
        <v>1HV</v>
      </c>
    </row>
    <row r="339" spans="1:12" x14ac:dyDescent="0.25">
      <c r="A339" s="391">
        <v>338</v>
      </c>
      <c r="B339" s="42" t="s">
        <v>118</v>
      </c>
      <c r="C339" s="391">
        <v>40</v>
      </c>
      <c r="D339" s="32">
        <v>44253</v>
      </c>
      <c r="E339" s="32" t="str">
        <f>VLOOKUP(Tabela2[[#This Row],[Tag]],BD!$A:$B,2,0)</f>
        <v>Força</v>
      </c>
      <c r="F339" s="32" t="str">
        <f>VLOOKUP(Tabela2[[#This Row],[Tag]],BD!A:J,10,0)</f>
        <v>1HV</v>
      </c>
      <c r="G339" s="31" t="str">
        <f>VLOOKUP(Tabela2[[#This Row],[Tag]],BD!$A:$V,20,0)</f>
        <v>BK-SP54-0900A-LC-74-00001_00000</v>
      </c>
      <c r="H339" s="32" t="str">
        <f>IF(VLOOKUP(Tabela2[[#This Row],[Tag]],BD!A:T,17,0)=0,"",VLOOKUP(Tabela2[[#This Row],[Tag]],BD!A:T,17,0))</f>
        <v>5.10.2</v>
      </c>
      <c r="I339" s="139">
        <v>44228</v>
      </c>
      <c r="J339" s="155">
        <f>VLOOKUP(Tabela2[[#This Row],[Tag]],BD!$A:$AE,30,0)</f>
        <v>40</v>
      </c>
      <c r="K339" s="29">
        <f>SUMIF(B:B,Tabela2[[#This Row],[Tag]],C:C)/Tabela2[[#This Row],[Comprim. Real]]</f>
        <v>1</v>
      </c>
      <c r="L339" s="29" t="str">
        <f>VLOOKUP(Tabela2[[#This Row],[Tag]],BD!A:AF,32,0)</f>
        <v>1HV</v>
      </c>
    </row>
    <row r="340" spans="1:12" x14ac:dyDescent="0.25">
      <c r="A340" s="391">
        <v>339</v>
      </c>
      <c r="B340" s="42" t="s">
        <v>135</v>
      </c>
      <c r="C340" s="391">
        <v>53</v>
      </c>
      <c r="D340" s="32">
        <v>44253</v>
      </c>
      <c r="E340" s="32" t="str">
        <f>VLOOKUP(Tabela2[[#This Row],[Tag]],BD!$A:$B,2,0)</f>
        <v>Controle</v>
      </c>
      <c r="F340" s="32" t="str">
        <f>VLOOKUP(Tabela2[[#This Row],[Tag]],BD!A:J,10,0)</f>
        <v>1HV</v>
      </c>
      <c r="G340" s="31" t="str">
        <f>VLOOKUP(Tabela2[[#This Row],[Tag]],BD!$A:$V,20,0)</f>
        <v>BK-SP54-0900A-LC-74-00001_00000</v>
      </c>
      <c r="H340" s="32" t="str">
        <f>IF(VLOOKUP(Tabela2[[#This Row],[Tag]],BD!A:T,17,0)=0,"",VLOOKUP(Tabela2[[#This Row],[Tag]],BD!A:T,17,0))</f>
        <v>5.8.1</v>
      </c>
      <c r="I340" s="139">
        <v>44228</v>
      </c>
      <c r="J340" s="155">
        <f>VLOOKUP(Tabela2[[#This Row],[Tag]],BD!$A:$AE,30,0)</f>
        <v>53</v>
      </c>
      <c r="K340" s="29">
        <f>SUMIF(B:B,Tabela2[[#This Row],[Tag]],C:C)/Tabela2[[#This Row],[Comprim. Real]]</f>
        <v>1</v>
      </c>
      <c r="L340" s="29" t="str">
        <f>VLOOKUP(Tabela2[[#This Row],[Tag]],BD!A:AF,32,0)</f>
        <v>1HV</v>
      </c>
    </row>
    <row r="341" spans="1:12" x14ac:dyDescent="0.25">
      <c r="A341" s="391">
        <v>340</v>
      </c>
      <c r="B341" s="42" t="s">
        <v>142</v>
      </c>
      <c r="C341" s="391">
        <v>53</v>
      </c>
      <c r="D341" s="32">
        <v>44253</v>
      </c>
      <c r="E341" s="32" t="str">
        <f>VLOOKUP(Tabela2[[#This Row],[Tag]],BD!$A:$B,2,0)</f>
        <v>Controle</v>
      </c>
      <c r="F341" s="32" t="str">
        <f>VLOOKUP(Tabela2[[#This Row],[Tag]],BD!A:J,10,0)</f>
        <v>1HV</v>
      </c>
      <c r="G341" s="31" t="str">
        <f>VLOOKUP(Tabela2[[#This Row],[Tag]],BD!$A:$V,20,0)</f>
        <v>BK-SP54-0900A-LC-74-00001_00000</v>
      </c>
      <c r="H341" s="32" t="str">
        <f>IF(VLOOKUP(Tabela2[[#This Row],[Tag]],BD!A:T,17,0)=0,"",VLOOKUP(Tabela2[[#This Row],[Tag]],BD!A:T,17,0))</f>
        <v>5.8.1</v>
      </c>
      <c r="I341" s="139">
        <v>44228</v>
      </c>
      <c r="J341" s="155">
        <f>VLOOKUP(Tabela2[[#This Row],[Tag]],BD!$A:$AE,30,0)</f>
        <v>53</v>
      </c>
      <c r="K341" s="29">
        <f>SUMIF(B:B,Tabela2[[#This Row],[Tag]],C:C)/Tabela2[[#This Row],[Comprim. Real]]</f>
        <v>1</v>
      </c>
      <c r="L341" s="29" t="str">
        <f>VLOOKUP(Tabela2[[#This Row],[Tag]],BD!A:AF,32,0)</f>
        <v>1HV</v>
      </c>
    </row>
    <row r="342" spans="1:12" x14ac:dyDescent="0.25">
      <c r="A342" s="391">
        <v>341</v>
      </c>
      <c r="B342" s="42" t="s">
        <v>143</v>
      </c>
      <c r="C342" s="391">
        <v>53</v>
      </c>
      <c r="D342" s="32">
        <v>44253</v>
      </c>
      <c r="E342" s="32" t="str">
        <f>VLOOKUP(Tabela2[[#This Row],[Tag]],BD!$A:$B,2,0)</f>
        <v>Controle</v>
      </c>
      <c r="F342" s="32" t="str">
        <f>VLOOKUP(Tabela2[[#This Row],[Tag]],BD!A:J,10,0)</f>
        <v>1HV</v>
      </c>
      <c r="G342" s="31" t="str">
        <f>VLOOKUP(Tabela2[[#This Row],[Tag]],BD!$A:$V,20,0)</f>
        <v>BK-SP54-0900A-LC-74-00001_00000</v>
      </c>
      <c r="H342" s="32" t="str">
        <f>IF(VLOOKUP(Tabela2[[#This Row],[Tag]],BD!A:T,17,0)=0,"",VLOOKUP(Tabela2[[#This Row],[Tag]],BD!A:T,17,0))</f>
        <v>5.8.1</v>
      </c>
      <c r="I342" s="139">
        <v>44228</v>
      </c>
      <c r="J342" s="155">
        <f>VLOOKUP(Tabela2[[#This Row],[Tag]],BD!$A:$AE,30,0)</f>
        <v>53</v>
      </c>
      <c r="K342" s="29">
        <f>SUMIF(B:B,Tabela2[[#This Row],[Tag]],C:C)/Tabela2[[#This Row],[Comprim. Real]]</f>
        <v>1</v>
      </c>
      <c r="L342" s="29" t="str">
        <f>VLOOKUP(Tabela2[[#This Row],[Tag]],BD!A:AF,32,0)</f>
        <v>1HV</v>
      </c>
    </row>
    <row r="343" spans="1:12" x14ac:dyDescent="0.25">
      <c r="A343" s="391">
        <v>342</v>
      </c>
      <c r="B343" s="7" t="s">
        <v>1056</v>
      </c>
      <c r="C343" s="391">
        <v>75</v>
      </c>
      <c r="D343" s="32">
        <v>44253</v>
      </c>
      <c r="E343" s="32" t="str">
        <f>VLOOKUP(Tabela2[[#This Row],[Tag]],BD!$A:$B,2,0)</f>
        <v>Rede</v>
      </c>
      <c r="F343" s="32" t="str">
        <f>VLOOKUP(Tabela2[[#This Row],[Tag]],BD!A:J,10,0)</f>
        <v>REDE</v>
      </c>
      <c r="G343" s="31" t="str">
        <f>VLOOKUP(Tabela2[[#This Row],[Tag]],BD!$A:$V,20,0)</f>
        <v>BK-SP54-0900A-LC-90-00004_00000</v>
      </c>
      <c r="H343" s="32" t="str">
        <f>IF(VLOOKUP(Tabela2[[#This Row],[Tag]],BD!A:T,17,0)=0,"",VLOOKUP(Tabela2[[#This Row],[Tag]],BD!A:T,17,0))</f>
        <v>4.4.1</v>
      </c>
      <c r="I343" s="139">
        <v>44228</v>
      </c>
      <c r="J343" s="155">
        <f>VLOOKUP(Tabela2[[#This Row],[Tag]],BD!$A:$AE,30,0)</f>
        <v>75</v>
      </c>
      <c r="K343" s="29">
        <f>SUMIF(B:B,Tabela2[[#This Row],[Tag]],C:C)/Tabela2[[#This Row],[Comprim. Real]]</f>
        <v>1</v>
      </c>
      <c r="L343" s="29" t="str">
        <f>VLOOKUP(Tabela2[[#This Row],[Tag]],BD!A:AF,32,0)</f>
        <v>CCP</v>
      </c>
    </row>
    <row r="344" spans="1:12" x14ac:dyDescent="0.25">
      <c r="A344" s="391">
        <v>343</v>
      </c>
      <c r="B344" s="7" t="s">
        <v>1061</v>
      </c>
      <c r="C344" s="391">
        <v>70</v>
      </c>
      <c r="D344" s="32">
        <v>44253</v>
      </c>
      <c r="E344" s="32" t="str">
        <f>VLOOKUP(Tabela2[[#This Row],[Tag]],BD!$A:$B,2,0)</f>
        <v>Rede</v>
      </c>
      <c r="F344" s="32" t="str">
        <f>VLOOKUP(Tabela2[[#This Row],[Tag]],BD!A:J,10,0)</f>
        <v>REDE</v>
      </c>
      <c r="G344" s="31" t="str">
        <f>VLOOKUP(Tabela2[[#This Row],[Tag]],BD!$A:$V,20,0)</f>
        <v>BK-SP54-0900A-LC-90-00004_00000</v>
      </c>
      <c r="H344" s="32" t="str">
        <f>IF(VLOOKUP(Tabela2[[#This Row],[Tag]],BD!A:T,17,0)=0,"",VLOOKUP(Tabela2[[#This Row],[Tag]],BD!A:T,17,0))</f>
        <v>4.4.1</v>
      </c>
      <c r="I344" s="139">
        <v>44228</v>
      </c>
      <c r="J344" s="155">
        <f>VLOOKUP(Tabela2[[#This Row],[Tag]],BD!$A:$AE,30,0)</f>
        <v>70</v>
      </c>
      <c r="K344" s="29">
        <f>SUMIF(B:B,Tabela2[[#This Row],[Tag]],C:C)/Tabela2[[#This Row],[Comprim. Real]]</f>
        <v>1</v>
      </c>
      <c r="L344" s="29" t="str">
        <f>VLOOKUP(Tabela2[[#This Row],[Tag]],BD!A:AF,32,0)</f>
        <v>CCP</v>
      </c>
    </row>
    <row r="345" spans="1:12" x14ac:dyDescent="0.25">
      <c r="A345" s="391">
        <v>344</v>
      </c>
      <c r="B345" s="7" t="s">
        <v>939</v>
      </c>
      <c r="C345" s="391">
        <v>774</v>
      </c>
      <c r="D345" s="32">
        <v>44253</v>
      </c>
      <c r="E345" s="32" t="str">
        <f>VLOOKUP(Tabela2[[#This Row],[Tag]],BD!$A:$B,2,0)</f>
        <v>FO</v>
      </c>
      <c r="F345" s="32" t="str">
        <f>VLOOKUP(Tabela2[[#This Row],[Tag]],BD!A:J,10,0)</f>
        <v>FIBRA</v>
      </c>
      <c r="G345" s="31" t="str">
        <f>VLOOKUP(Tabela2[[#This Row],[Tag]],BD!$A:$V,20,0)</f>
        <v>BK-SP54-0900A-LC-74-00001_00000</v>
      </c>
      <c r="H345" s="32" t="str">
        <f>IF(VLOOKUP(Tabela2[[#This Row],[Tag]],BD!A:T,17,0)=0,"",VLOOKUP(Tabela2[[#This Row],[Tag]],BD!A:T,17,0))</f>
        <v>5.10.1</v>
      </c>
      <c r="I345" s="139">
        <v>44228</v>
      </c>
      <c r="J345" s="155">
        <f>VLOOKUP(Tabela2[[#This Row],[Tag]],BD!$A:$AE,30,0)</f>
        <v>774</v>
      </c>
      <c r="K345" s="29">
        <f>SUMIF(B:B,Tabela2[[#This Row],[Tag]],C:C)/Tabela2[[#This Row],[Comprim. Real]]</f>
        <v>1</v>
      </c>
      <c r="L345" s="29" t="str">
        <f>VLOOKUP(Tabela2[[#This Row],[Tag]],BD!A:AF,32,0)</f>
        <v>8HVx7HV</v>
      </c>
    </row>
    <row r="346" spans="1:12" x14ac:dyDescent="0.25">
      <c r="A346" s="391">
        <v>345</v>
      </c>
      <c r="B346" s="7" t="s">
        <v>711</v>
      </c>
      <c r="C346" s="391">
        <v>10</v>
      </c>
      <c r="D346" s="32">
        <v>44152</v>
      </c>
      <c r="E346" s="32" t="str">
        <f>VLOOKUP(Tabela2[[#This Row],[Tag]],BD!$A:$B,2,0)</f>
        <v>Força</v>
      </c>
      <c r="F346" s="32" t="str">
        <f>VLOOKUP(Tabela2[[#This Row],[Tag]],BD!A:J,10,0)</f>
        <v>GB-1201</v>
      </c>
      <c r="G346" s="31" t="str">
        <f>VLOOKUP(Tabela2[[#This Row],[Tag]],BD!$A:$V,20,0)</f>
        <v>BK-SP54-0900B-LC-74-00004_00000</v>
      </c>
      <c r="H346" s="32" t="str">
        <f>IF(VLOOKUP(Tabela2[[#This Row],[Tag]],BD!A:T,17,0)=0,"",VLOOKUP(Tabela2[[#This Row],[Tag]],BD!A:T,17,0))</f>
        <v>5.2.8</v>
      </c>
      <c r="I346" s="139">
        <v>44228</v>
      </c>
      <c r="J346" s="155">
        <f>VLOOKUP(Tabela2[[#This Row],[Tag]],BD!$A:$AE,30,0)</f>
        <v>100</v>
      </c>
      <c r="K346" s="29">
        <f>SUMIF(B:B,Tabela2[[#This Row],[Tag]],C:C)/Tabela2[[#This Row],[Comprim. Real]]</f>
        <v>1</v>
      </c>
      <c r="L346" s="29" t="str">
        <f>VLOOKUP(Tabela2[[#This Row],[Tag]],BD!A:AF,32,0)</f>
        <v>7HVxGB-1201</v>
      </c>
    </row>
    <row r="347" spans="1:12" x14ac:dyDescent="0.25">
      <c r="A347" s="391">
        <v>346</v>
      </c>
      <c r="B347" s="7" t="s">
        <v>715</v>
      </c>
      <c r="C347" s="391">
        <v>10</v>
      </c>
      <c r="D347" s="32">
        <v>44152</v>
      </c>
      <c r="E347" s="32" t="str">
        <f>VLOOKUP(Tabela2[[#This Row],[Tag]],BD!$A:$B,2,0)</f>
        <v>Força</v>
      </c>
      <c r="F347" s="32" t="str">
        <f>VLOOKUP(Tabela2[[#This Row],[Tag]],BD!A:J,10,0)</f>
        <v>GB-1201</v>
      </c>
      <c r="G347" s="31" t="str">
        <f>VLOOKUP(Tabela2[[#This Row],[Tag]],BD!$A:$V,20,0)</f>
        <v>BK-SP54-0900B-LC-74-00004_00000</v>
      </c>
      <c r="H347" s="32" t="str">
        <f>IF(VLOOKUP(Tabela2[[#This Row],[Tag]],BD!A:T,17,0)=0,"",VLOOKUP(Tabela2[[#This Row],[Tag]],BD!A:T,17,0))</f>
        <v>5.2.8</v>
      </c>
      <c r="I347" s="139">
        <v>44228</v>
      </c>
      <c r="J347" s="155">
        <f>VLOOKUP(Tabela2[[#This Row],[Tag]],BD!$A:$AE,30,0)</f>
        <v>100</v>
      </c>
      <c r="K347" s="29">
        <f>SUMIF(B:B,Tabela2[[#This Row],[Tag]],C:C)/Tabela2[[#This Row],[Comprim. Real]]</f>
        <v>1</v>
      </c>
      <c r="L347" s="29" t="str">
        <f>VLOOKUP(Tabela2[[#This Row],[Tag]],BD!A:AF,32,0)</f>
        <v>7HVxGB-1201</v>
      </c>
    </row>
    <row r="348" spans="1:12" x14ac:dyDescent="0.25">
      <c r="A348" s="391">
        <v>347</v>
      </c>
      <c r="B348" s="7" t="s">
        <v>1418</v>
      </c>
      <c r="C348" s="391">
        <v>600</v>
      </c>
      <c r="D348" s="32">
        <v>44253</v>
      </c>
      <c r="E348" s="32" t="str">
        <f>VLOOKUP(Tabela2[[#This Row],[Tag]],BD!$A:$B,2,0)</f>
        <v>FO</v>
      </c>
      <c r="F348" s="32" t="str">
        <f>VLOOKUP(Tabela2[[#This Row],[Tag]],BD!A:J,10,0)</f>
        <v>FIBRA</v>
      </c>
      <c r="G348" s="31" t="str">
        <f>VLOOKUP(Tabela2[[#This Row],[Tag]],BD!$A:$V,20,0)</f>
        <v>BK-SP54-0900A-LC-74-00001_00000</v>
      </c>
      <c r="H348" s="32" t="str">
        <f>IF(VLOOKUP(Tabela2[[#This Row],[Tag]],BD!A:T,17,0)=0,"",VLOOKUP(Tabela2[[#This Row],[Tag]],BD!A:T,17,0))</f>
        <v>5.10.1</v>
      </c>
      <c r="I348" s="139">
        <v>44228</v>
      </c>
      <c r="J348" s="155">
        <f>VLOOKUP(Tabela2[[#This Row],[Tag]],BD!$A:$AE,30,0)</f>
        <v>800</v>
      </c>
      <c r="K348" s="29">
        <f>SUMIF(B:B,Tabela2[[#This Row],[Tag]],C:C)/Tabela2[[#This Row],[Comprim. Real]]</f>
        <v>0.75</v>
      </c>
      <c r="L348" s="29" t="str">
        <f>VLOOKUP(Tabela2[[#This Row],[Tag]],BD!A:AF,32,0)</f>
        <v>CCSExQ3</v>
      </c>
    </row>
    <row r="349" spans="1:12" x14ac:dyDescent="0.25">
      <c r="A349" s="391">
        <v>348</v>
      </c>
      <c r="B349" s="7" t="s">
        <v>930</v>
      </c>
      <c r="C349" s="391">
        <v>20</v>
      </c>
      <c r="D349" s="32">
        <v>43841</v>
      </c>
      <c r="E349" s="32" t="str">
        <f>VLOOKUP(Tabela2[[#This Row],[Tag]],BD!$A:$B,2,0)</f>
        <v>Controle</v>
      </c>
      <c r="F349" s="32" t="str">
        <f>VLOOKUP(Tabela2[[#This Row],[Tag]],BD!A:J,10,0)</f>
        <v>8HV x 7HV</v>
      </c>
      <c r="G349" s="31" t="str">
        <f>VLOOKUP(Tabela2[[#This Row],[Tag]],BD!$A:$V,20,0)</f>
        <v>BK-SP54-0900A-LC-74-00001_00000</v>
      </c>
      <c r="H349" s="32" t="str">
        <f>IF(VLOOKUP(Tabela2[[#This Row],[Tag]],BD!A:T,17,0)=0,"",VLOOKUP(Tabela2[[#This Row],[Tag]],BD!A:T,17,0))</f>
        <v>5.8.1</v>
      </c>
      <c r="I349" s="139">
        <v>44228</v>
      </c>
      <c r="J349" s="155">
        <f>VLOOKUP(Tabela2[[#This Row],[Tag]],BD!$A:$AE,30,0)</f>
        <v>770</v>
      </c>
      <c r="K349" s="29">
        <f>SUMIF(B:B,Tabela2[[#This Row],[Tag]],C:C)/Tabela2[[#This Row],[Comprim. Real]]</f>
        <v>1</v>
      </c>
      <c r="L349" s="29" t="str">
        <f>VLOOKUP(Tabela2[[#This Row],[Tag]],BD!A:AF,32,0)</f>
        <v>8HVx7HV</v>
      </c>
    </row>
    <row r="350" spans="1:12" x14ac:dyDescent="0.25">
      <c r="A350" s="391">
        <v>349</v>
      </c>
      <c r="B350" s="7" t="s">
        <v>864</v>
      </c>
      <c r="C350" s="391">
        <v>4</v>
      </c>
      <c r="D350" s="32">
        <v>44167</v>
      </c>
      <c r="E350" s="32" t="str">
        <f>VLOOKUP(Tabela2[[#This Row],[Tag]],BD!$A:$B,2,0)</f>
        <v>Força</v>
      </c>
      <c r="F350" s="32" t="str">
        <f>VLOOKUP(Tabela2[[#This Row],[Tag]],BD!A:J,10,0)</f>
        <v>8HV</v>
      </c>
      <c r="G350" s="31" t="str">
        <f>VLOOKUP(Tabela2[[#This Row],[Tag]],BD!$A:$V,20,0)</f>
        <v>BK-SP54-0900A-LC-74-00001_00000</v>
      </c>
      <c r="H350" s="32" t="str">
        <f>IF(VLOOKUP(Tabela2[[#This Row],[Tag]],BD!A:T,17,0)=0,"",VLOOKUP(Tabela2[[#This Row],[Tag]],BD!A:T,17,0))</f>
        <v>5.10.2</v>
      </c>
      <c r="I350" s="139">
        <v>44228</v>
      </c>
      <c r="J350" s="155">
        <f>VLOOKUP(Tabela2[[#This Row],[Tag]],BD!$A:$AE,30,0)</f>
        <v>14</v>
      </c>
      <c r="K350" s="29">
        <f>SUMIF(B:B,Tabela2[[#This Row],[Tag]],C:C)/Tabela2[[#This Row],[Comprim. Real]]</f>
        <v>1</v>
      </c>
      <c r="L350" s="29" t="str">
        <f>VLOOKUP(Tabela2[[#This Row],[Tag]],BD!A:AF,32,0)</f>
        <v>8HV</v>
      </c>
    </row>
    <row r="351" spans="1:12" x14ac:dyDescent="0.25">
      <c r="A351" s="391">
        <v>352</v>
      </c>
      <c r="B351" s="7" t="s">
        <v>213</v>
      </c>
      <c r="C351" s="391">
        <v>150</v>
      </c>
      <c r="D351" s="32">
        <v>44259</v>
      </c>
      <c r="E351" s="32" t="str">
        <f>VLOOKUP(Tabela2[[#This Row],[Tag]],BD!$A:$B,2,0)</f>
        <v>Controle</v>
      </c>
      <c r="F351" s="32" t="str">
        <f>VLOOKUP(Tabela2[[#This Row],[Tag]],BD!A:J,10,0)</f>
        <v>1HV</v>
      </c>
      <c r="G351" s="31" t="str">
        <f>VLOOKUP(Tabela2[[#This Row],[Tag]],BD!$A:$V,20,0)</f>
        <v>BK-SP54-0900A-LC-80-00187_00000</v>
      </c>
      <c r="H351" s="32" t="str">
        <f>IF(VLOOKUP(Tabela2[[#This Row],[Tag]],BD!A:T,17,0)=0,"",VLOOKUP(Tabela2[[#This Row],[Tag]],BD!A:T,17,0))</f>
        <v>4.6.1</v>
      </c>
      <c r="I351" s="139">
        <v>44228</v>
      </c>
      <c r="J351" s="155">
        <f>VLOOKUP(Tabela2[[#This Row],[Tag]],BD!$A:$AE,30,0)</f>
        <v>150</v>
      </c>
      <c r="K351" s="29">
        <f>SUMIF(B:B,Tabela2[[#This Row],[Tag]],C:C)/Tabela2[[#This Row],[Comprim. Real]]</f>
        <v>1</v>
      </c>
      <c r="L351" s="29" t="str">
        <f>VLOOKUP(Tabela2[[#This Row],[Tag]],BD!A:AF,32,0)</f>
        <v>1MVxCCU</v>
      </c>
    </row>
    <row r="352" spans="1:12" x14ac:dyDescent="0.25">
      <c r="A352" s="391">
        <v>353</v>
      </c>
      <c r="B352" s="7" t="s">
        <v>225</v>
      </c>
      <c r="C352" s="391">
        <v>150</v>
      </c>
      <c r="D352" s="32">
        <v>44259</v>
      </c>
      <c r="E352" s="32" t="str">
        <f>VLOOKUP(Tabela2[[#This Row],[Tag]],BD!$A:$B,2,0)</f>
        <v>Controle</v>
      </c>
      <c r="F352" s="32" t="str">
        <f>VLOOKUP(Tabela2[[#This Row],[Tag]],BD!A:J,10,0)</f>
        <v>1HV</v>
      </c>
      <c r="G352" s="31" t="str">
        <f>VLOOKUP(Tabela2[[#This Row],[Tag]],BD!$A:$V,20,0)</f>
        <v>BK-SP54-0900A-LC-80-00187_00000</v>
      </c>
      <c r="H352" s="32" t="str">
        <f>IF(VLOOKUP(Tabela2[[#This Row],[Tag]],BD!A:T,17,0)=0,"",VLOOKUP(Tabela2[[#This Row],[Tag]],BD!A:T,17,0))</f>
        <v>4.6.1</v>
      </c>
      <c r="I352" s="139">
        <v>44228</v>
      </c>
      <c r="J352" s="155">
        <f>VLOOKUP(Tabela2[[#This Row],[Tag]],BD!$A:$AE,30,0)</f>
        <v>150</v>
      </c>
      <c r="K352" s="29">
        <f>SUMIF(B:B,Tabela2[[#This Row],[Tag]],C:C)/Tabela2[[#This Row],[Comprim. Real]]</f>
        <v>1</v>
      </c>
      <c r="L352" s="29" t="str">
        <f>VLOOKUP(Tabela2[[#This Row],[Tag]],BD!A:AF,32,0)</f>
        <v>1MVxCCU</v>
      </c>
    </row>
    <row r="353" spans="1:12" x14ac:dyDescent="0.25">
      <c r="A353" s="391">
        <v>354</v>
      </c>
      <c r="B353" s="7" t="s">
        <v>227</v>
      </c>
      <c r="C353" s="391">
        <v>150</v>
      </c>
      <c r="D353" s="32">
        <v>44259</v>
      </c>
      <c r="E353" s="32" t="str">
        <f>VLOOKUP(Tabela2[[#This Row],[Tag]],BD!$A:$B,2,0)</f>
        <v>Controle</v>
      </c>
      <c r="F353" s="32" t="str">
        <f>VLOOKUP(Tabela2[[#This Row],[Tag]],BD!A:J,10,0)</f>
        <v>1HV</v>
      </c>
      <c r="G353" s="31" t="str">
        <f>VLOOKUP(Tabela2[[#This Row],[Tag]],BD!$A:$V,20,0)</f>
        <v>BK-SP54-0900A-LC-80-00187_00000</v>
      </c>
      <c r="H353" s="32" t="str">
        <f>IF(VLOOKUP(Tabela2[[#This Row],[Tag]],BD!A:T,17,0)=0,"",VLOOKUP(Tabela2[[#This Row],[Tag]],BD!A:T,17,0))</f>
        <v>4.6.1</v>
      </c>
      <c r="I353" s="139">
        <v>44228</v>
      </c>
      <c r="J353" s="155">
        <f>VLOOKUP(Tabela2[[#This Row],[Tag]],BD!$A:$AE,30,0)</f>
        <v>150</v>
      </c>
      <c r="K353" s="29">
        <f>SUMIF(B:B,Tabela2[[#This Row],[Tag]],C:C)/Tabela2[[#This Row],[Comprim. Real]]</f>
        <v>1</v>
      </c>
      <c r="L353" s="29" t="str">
        <f>VLOOKUP(Tabela2[[#This Row],[Tag]],BD!A:AF,32,0)</f>
        <v>1MVxCCU</v>
      </c>
    </row>
    <row r="354" spans="1:12" x14ac:dyDescent="0.25">
      <c r="A354" s="391">
        <v>355</v>
      </c>
      <c r="B354" s="7" t="s">
        <v>231</v>
      </c>
      <c r="C354" s="391">
        <v>150</v>
      </c>
      <c r="D354" s="32">
        <v>44259</v>
      </c>
      <c r="E354" s="32" t="str">
        <f>VLOOKUP(Tabela2[[#This Row],[Tag]],BD!$A:$B,2,0)</f>
        <v>Controle</v>
      </c>
      <c r="F354" s="32" t="str">
        <f>VLOOKUP(Tabela2[[#This Row],[Tag]],BD!A:J,10,0)</f>
        <v>1HV</v>
      </c>
      <c r="G354" s="31" t="str">
        <f>VLOOKUP(Tabela2[[#This Row],[Tag]],BD!$A:$V,20,0)</f>
        <v>BK-SP54-0900A-LC-80-00187_00000</v>
      </c>
      <c r="H354" s="32" t="str">
        <f>IF(VLOOKUP(Tabela2[[#This Row],[Tag]],BD!A:T,17,0)=0,"",VLOOKUP(Tabela2[[#This Row],[Tag]],BD!A:T,17,0))</f>
        <v>4.6.1</v>
      </c>
      <c r="I354" s="139">
        <v>44228</v>
      </c>
      <c r="J354" s="155">
        <f>VLOOKUP(Tabela2[[#This Row],[Tag]],BD!$A:$AE,30,0)</f>
        <v>150</v>
      </c>
      <c r="K354" s="29">
        <f>SUMIF(B:B,Tabela2[[#This Row],[Tag]],C:C)/Tabela2[[#This Row],[Comprim. Real]]</f>
        <v>1</v>
      </c>
      <c r="L354" s="29" t="str">
        <f>VLOOKUP(Tabela2[[#This Row],[Tag]],BD!A:AF,32,0)</f>
        <v>1MVxCCU</v>
      </c>
    </row>
    <row r="355" spans="1:12" x14ac:dyDescent="0.25">
      <c r="A355" s="391">
        <v>356</v>
      </c>
      <c r="B355" s="7" t="s">
        <v>1226</v>
      </c>
      <c r="C355" s="391">
        <v>75</v>
      </c>
      <c r="D355" s="32">
        <v>44259</v>
      </c>
      <c r="E355" s="32" t="str">
        <f>VLOOKUP(Tabela2[[#This Row],[Tag]],BD!$A:$B,2,0)</f>
        <v>Controle</v>
      </c>
      <c r="F355" s="32" t="str">
        <f>VLOOKUP(Tabela2[[#This Row],[Tag]],BD!A:J,10,0)</f>
        <v>GA-9312/S</v>
      </c>
      <c r="G355" s="31" t="str">
        <f>VLOOKUP(Tabela2[[#This Row],[Tag]],BD!$A:$V,20,0)</f>
        <v>BK-SP54-0900A-LC-80-00186_00000</v>
      </c>
      <c r="H355" s="32" t="str">
        <f>IF(VLOOKUP(Tabela2[[#This Row],[Tag]],BD!A:T,17,0)=0,"",VLOOKUP(Tabela2[[#This Row],[Tag]],BD!A:T,17,0))</f>
        <v>4.4.1</v>
      </c>
      <c r="I355" s="139">
        <v>44228</v>
      </c>
      <c r="J355" s="155">
        <f>VLOOKUP(Tabela2[[#This Row],[Tag]],BD!$A:$AE,30,0)</f>
        <v>75</v>
      </c>
      <c r="K355" s="29">
        <f>SUMIF(B:B,Tabela2[[#This Row],[Tag]],C:C)/Tabela2[[#This Row],[Comprim. Real]]</f>
        <v>1</v>
      </c>
      <c r="L355" s="29" t="str">
        <f>VLOOKUP(Tabela2[[#This Row],[Tag]],BD!A:AF,32,0)</f>
        <v>CCUxGA-9312/S</v>
      </c>
    </row>
    <row r="356" spans="1:12" x14ac:dyDescent="0.25">
      <c r="A356" s="391">
        <v>357</v>
      </c>
      <c r="B356" s="7" t="s">
        <v>1231</v>
      </c>
      <c r="C356" s="391">
        <v>65</v>
      </c>
      <c r="D356" s="32">
        <v>44259</v>
      </c>
      <c r="E356" s="32" t="str">
        <f>VLOOKUP(Tabela2[[#This Row],[Tag]],BD!$A:$B,2,0)</f>
        <v>Controle</v>
      </c>
      <c r="F356" s="32" t="str">
        <f>VLOOKUP(Tabela2[[#This Row],[Tag]],BD!A:J,10,0)</f>
        <v>GA-9312/S</v>
      </c>
      <c r="G356" s="31" t="str">
        <f>VLOOKUP(Tabela2[[#This Row],[Tag]],BD!$A:$V,20,0)</f>
        <v>BK-SP54-0900A-LC-80-00186_00000</v>
      </c>
      <c r="H356" s="32" t="str">
        <f>IF(VLOOKUP(Tabela2[[#This Row],[Tag]],BD!A:T,17,0)=0,"",VLOOKUP(Tabela2[[#This Row],[Tag]],BD!A:T,17,0))</f>
        <v>4.4.1</v>
      </c>
      <c r="I356" s="139">
        <v>44228</v>
      </c>
      <c r="J356" s="155">
        <f>VLOOKUP(Tabela2[[#This Row],[Tag]],BD!$A:$AE,30,0)</f>
        <v>65</v>
      </c>
      <c r="K356" s="29">
        <f>SUMIF(B:B,Tabela2[[#This Row],[Tag]],C:C)/Tabela2[[#This Row],[Comprim. Real]]</f>
        <v>1</v>
      </c>
      <c r="L356" s="29" t="str">
        <f>VLOOKUP(Tabela2[[#This Row],[Tag]],BD!A:AF,32,0)</f>
        <v>CCUxGA-9312/S</v>
      </c>
    </row>
    <row r="357" spans="1:12" x14ac:dyDescent="0.25">
      <c r="A357" s="391">
        <v>358</v>
      </c>
      <c r="B357" s="7" t="s">
        <v>1234</v>
      </c>
      <c r="C357" s="391">
        <v>85</v>
      </c>
      <c r="D357" s="32">
        <v>44259</v>
      </c>
      <c r="E357" s="32" t="str">
        <f>VLOOKUP(Tabela2[[#This Row],[Tag]],BD!$A:$B,2,0)</f>
        <v>Controle</v>
      </c>
      <c r="F357" s="32" t="str">
        <f>VLOOKUP(Tabela2[[#This Row],[Tag]],BD!A:J,10,0)</f>
        <v>GA-9312/S</v>
      </c>
      <c r="G357" s="31" t="str">
        <f>VLOOKUP(Tabela2[[#This Row],[Tag]],BD!$A:$V,20,0)</f>
        <v>BK-SP54-0900A-LC-80-00186_00000</v>
      </c>
      <c r="H357" s="32" t="str">
        <f>IF(VLOOKUP(Tabela2[[#This Row],[Tag]],BD!A:T,17,0)=0,"",VLOOKUP(Tabela2[[#This Row],[Tag]],BD!A:T,17,0))</f>
        <v>4.4.1</v>
      </c>
      <c r="I357" s="139">
        <v>44228</v>
      </c>
      <c r="J357" s="155">
        <f>VLOOKUP(Tabela2[[#This Row],[Tag]],BD!$A:$AE,30,0)</f>
        <v>85</v>
      </c>
      <c r="K357" s="29">
        <f>SUMIF(B:B,Tabela2[[#This Row],[Tag]],C:C)/Tabela2[[#This Row],[Comprim. Real]]</f>
        <v>1</v>
      </c>
      <c r="L357" s="29" t="str">
        <f>VLOOKUP(Tabela2[[#This Row],[Tag]],BD!A:AF,32,0)</f>
        <v>CCUxGA-9312/S</v>
      </c>
    </row>
    <row r="358" spans="1:12" x14ac:dyDescent="0.25">
      <c r="A358" s="391">
        <v>359</v>
      </c>
      <c r="B358" s="7" t="s">
        <v>1236</v>
      </c>
      <c r="C358" s="391">
        <v>85</v>
      </c>
      <c r="D358" s="32">
        <v>44259</v>
      </c>
      <c r="E358" s="32" t="str">
        <f>VLOOKUP(Tabela2[[#This Row],[Tag]],BD!$A:$B,2,0)</f>
        <v>Controle</v>
      </c>
      <c r="F358" s="32" t="str">
        <f>VLOOKUP(Tabela2[[#This Row],[Tag]],BD!A:J,10,0)</f>
        <v>GA-9312/S</v>
      </c>
      <c r="G358" s="31" t="str">
        <f>VLOOKUP(Tabela2[[#This Row],[Tag]],BD!$A:$V,20,0)</f>
        <v>BK-SP54-0900A-LC-80-00186_00000</v>
      </c>
      <c r="H358" s="32" t="str">
        <f>IF(VLOOKUP(Tabela2[[#This Row],[Tag]],BD!A:T,17,0)=0,"",VLOOKUP(Tabela2[[#This Row],[Tag]],BD!A:T,17,0))</f>
        <v>4.4.1</v>
      </c>
      <c r="I358" s="139">
        <v>44228</v>
      </c>
      <c r="J358" s="155">
        <f>VLOOKUP(Tabela2[[#This Row],[Tag]],BD!$A:$AE,30,0)</f>
        <v>85</v>
      </c>
      <c r="K358" s="29">
        <f>SUMIF(B:B,Tabela2[[#This Row],[Tag]],C:C)/Tabela2[[#This Row],[Comprim. Real]]</f>
        <v>1</v>
      </c>
      <c r="L358" s="29" t="str">
        <f>VLOOKUP(Tabela2[[#This Row],[Tag]],BD!A:AF,32,0)</f>
        <v>CCUxGA-9312/S</v>
      </c>
    </row>
    <row r="359" spans="1:12" x14ac:dyDescent="0.25">
      <c r="A359" s="391">
        <v>360</v>
      </c>
      <c r="B359" s="7" t="s">
        <v>1238</v>
      </c>
      <c r="C359" s="391">
        <v>65</v>
      </c>
      <c r="D359" s="32">
        <v>44259</v>
      </c>
      <c r="E359" s="32" t="str">
        <f>VLOOKUP(Tabela2[[#This Row],[Tag]],BD!$A:$B,2,0)</f>
        <v>Controle</v>
      </c>
      <c r="F359" s="32" t="str">
        <f>VLOOKUP(Tabela2[[#This Row],[Tag]],BD!A:J,10,0)</f>
        <v>GA-9312/S</v>
      </c>
      <c r="G359" s="31" t="str">
        <f>VLOOKUP(Tabela2[[#This Row],[Tag]],BD!$A:$V,20,0)</f>
        <v>BK-SP54-0900A-LC-80-00186_00000</v>
      </c>
      <c r="H359" s="32" t="str">
        <f>IF(VLOOKUP(Tabela2[[#This Row],[Tag]],BD!A:T,17,0)=0,"",VLOOKUP(Tabela2[[#This Row],[Tag]],BD!A:T,17,0))</f>
        <v>4.4.1</v>
      </c>
      <c r="I359" s="139">
        <v>44228</v>
      </c>
      <c r="J359" s="155">
        <f>VLOOKUP(Tabela2[[#This Row],[Tag]],BD!$A:$AE,30,0)</f>
        <v>65</v>
      </c>
      <c r="K359" s="29">
        <f>SUMIF(B:B,Tabela2[[#This Row],[Tag]],C:C)/Tabela2[[#This Row],[Comprim. Real]]</f>
        <v>1</v>
      </c>
      <c r="L359" s="29" t="str">
        <f>VLOOKUP(Tabela2[[#This Row],[Tag]],BD!A:AF,32,0)</f>
        <v>CCUxGA-9312/S</v>
      </c>
    </row>
    <row r="360" spans="1:12" x14ac:dyDescent="0.25">
      <c r="A360" s="391">
        <v>361</v>
      </c>
      <c r="B360" s="7" t="s">
        <v>1270</v>
      </c>
      <c r="C360" s="391">
        <v>220</v>
      </c>
      <c r="D360" s="32">
        <v>44259</v>
      </c>
      <c r="E360" s="32" t="str">
        <f>VLOOKUP(Tabela2[[#This Row],[Tag]],BD!$A:$B,2,0)</f>
        <v>FO</v>
      </c>
      <c r="F360" s="32" t="str">
        <f>VLOOKUP(Tabela2[[#This Row],[Tag]],BD!A:J,10,0)</f>
        <v>FIBRA</v>
      </c>
      <c r="G360" s="31" t="str">
        <f>VLOOKUP(Tabela2[[#This Row],[Tag]],BD!$A:$V,20,0)</f>
        <v>BK-SP54-0900A-LC-90-00004_00000</v>
      </c>
      <c r="H360" s="32" t="str">
        <f>IF(VLOOKUP(Tabela2[[#This Row],[Tag]],BD!A:T,17,0)=0,"",VLOOKUP(Tabela2[[#This Row],[Tag]],BD!A:T,17,0))</f>
        <v>4.3.1</v>
      </c>
      <c r="I360" s="139">
        <v>44228</v>
      </c>
      <c r="J360" s="155">
        <f>VLOOKUP(Tabela2[[#This Row],[Tag]],BD!$A:$AE,30,0)</f>
        <v>220</v>
      </c>
      <c r="K360" s="29">
        <f>SUMIF(B:B,Tabela2[[#This Row],[Tag]],C:C)/Tabela2[[#This Row],[Comprim. Real]]</f>
        <v>1</v>
      </c>
      <c r="L360" s="29" t="str">
        <f>VLOOKUP(Tabela2[[#This Row],[Tag]],BD!A:AF,32,0)</f>
        <v>COGxCCO</v>
      </c>
    </row>
    <row r="361" spans="1:12" x14ac:dyDescent="0.25">
      <c r="A361" s="391">
        <v>362</v>
      </c>
      <c r="B361" s="7" t="s">
        <v>949</v>
      </c>
      <c r="C361" s="391">
        <v>230</v>
      </c>
      <c r="D361" s="32">
        <v>44259</v>
      </c>
      <c r="E361" s="32" t="str">
        <f>VLOOKUP(Tabela2[[#This Row],[Tag]],BD!$A:$B,2,0)</f>
        <v>FO</v>
      </c>
      <c r="F361" s="32" t="str">
        <f>VLOOKUP(Tabela2[[#This Row],[Tag]],BD!A:J,10,0)</f>
        <v>FIBRA</v>
      </c>
      <c r="G361" s="31" t="str">
        <f>VLOOKUP(Tabela2[[#This Row],[Tag]],BD!$A:$V,20,0)</f>
        <v>BK-SP54-0900A-LC-74-00001_00000</v>
      </c>
      <c r="H361" s="32" t="str">
        <f>IF(VLOOKUP(Tabela2[[#This Row],[Tag]],BD!A:T,17,0)=0,"",VLOOKUP(Tabela2[[#This Row],[Tag]],BD!A:T,17,0))</f>
        <v>5.10.1</v>
      </c>
      <c r="I361" s="139">
        <v>44228</v>
      </c>
      <c r="J361" s="155">
        <f>VLOOKUP(Tabela2[[#This Row],[Tag]],BD!$A:$AE,30,0)</f>
        <v>230</v>
      </c>
      <c r="K361" s="29">
        <f>SUMIF(B:B,Tabela2[[#This Row],[Tag]],C:C)/Tabela2[[#This Row],[Comprim. Real]]</f>
        <v>1</v>
      </c>
      <c r="L361" s="29" t="str">
        <f>VLOOKUP(Tabela2[[#This Row],[Tag]],BD!A:AF,32,0)</f>
        <v>8HVxCCO</v>
      </c>
    </row>
    <row r="362" spans="1:12" x14ac:dyDescent="0.25">
      <c r="A362" s="391">
        <v>363</v>
      </c>
      <c r="B362" s="7" t="s">
        <v>954</v>
      </c>
      <c r="C362" s="391">
        <v>230</v>
      </c>
      <c r="D362" s="32">
        <v>44259</v>
      </c>
      <c r="E362" s="32" t="str">
        <f>VLOOKUP(Tabela2[[#This Row],[Tag]],BD!$A:$B,2,0)</f>
        <v>FO</v>
      </c>
      <c r="F362" s="32" t="str">
        <f>VLOOKUP(Tabela2[[#This Row],[Tag]],BD!A:J,10,0)</f>
        <v>FIBRA</v>
      </c>
      <c r="G362" s="31" t="str">
        <f>VLOOKUP(Tabela2[[#This Row],[Tag]],BD!$A:$V,20,0)</f>
        <v>BK-SP54-0900A-LC-74-00001_00000</v>
      </c>
      <c r="H362" s="32" t="str">
        <f>IF(VLOOKUP(Tabela2[[#This Row],[Tag]],BD!A:T,17,0)=0,"",VLOOKUP(Tabela2[[#This Row],[Tag]],BD!A:T,17,0))</f>
        <v>5.10.1</v>
      </c>
      <c r="I362" s="139">
        <v>44228</v>
      </c>
      <c r="J362" s="155">
        <f>VLOOKUP(Tabela2[[#This Row],[Tag]],BD!$A:$AE,30,0)</f>
        <v>230</v>
      </c>
      <c r="K362" s="29">
        <f>SUMIF(B:B,Tabela2[[#This Row],[Tag]],C:C)/Tabela2[[#This Row],[Comprim. Real]]</f>
        <v>1</v>
      </c>
      <c r="L362" s="29" t="str">
        <f>VLOOKUP(Tabela2[[#This Row],[Tag]],BD!A:AF,32,0)</f>
        <v>8HVxCCO</v>
      </c>
    </row>
    <row r="363" spans="1:12" x14ac:dyDescent="0.25">
      <c r="A363" s="391">
        <v>364</v>
      </c>
      <c r="B363" s="7" t="s">
        <v>915</v>
      </c>
      <c r="C363" s="391">
        <v>430</v>
      </c>
      <c r="D363" s="32">
        <v>44259</v>
      </c>
      <c r="E363" s="32" t="str">
        <f>VLOOKUP(Tabela2[[#This Row],[Tag]],BD!$A:$B,2,0)</f>
        <v>FO</v>
      </c>
      <c r="F363" s="32" t="str">
        <f>VLOOKUP(Tabela2[[#This Row],[Tag]],BD!A:J,10,0)</f>
        <v>FIBRA</v>
      </c>
      <c r="G363" s="31" t="str">
        <f>VLOOKUP(Tabela2[[#This Row],[Tag]],BD!$A:$V,20,0)</f>
        <v>BK-SP54-0900A-LC-74-00001_00000</v>
      </c>
      <c r="H363" s="32" t="str">
        <f>IF(VLOOKUP(Tabela2[[#This Row],[Tag]],BD!A:T,17,0)=0,"",VLOOKUP(Tabela2[[#This Row],[Tag]],BD!A:T,17,0))</f>
        <v>5.10.1</v>
      </c>
      <c r="I363" s="139">
        <v>44228</v>
      </c>
      <c r="J363" s="155">
        <f>VLOOKUP(Tabela2[[#This Row],[Tag]],BD!$A:$AE,30,0)</f>
        <v>430</v>
      </c>
      <c r="K363" s="29">
        <f>SUMIF(B:B,Tabela2[[#This Row],[Tag]],C:C)/Tabela2[[#This Row],[Comprim. Real]]</f>
        <v>1</v>
      </c>
      <c r="L363" s="29" t="str">
        <f>VLOOKUP(Tabela2[[#This Row],[Tag]],BD!A:AF,32,0)</f>
        <v>8HVx1HV</v>
      </c>
    </row>
    <row r="364" spans="1:12" x14ac:dyDescent="0.25">
      <c r="A364" s="391">
        <v>365</v>
      </c>
      <c r="B364" s="7" t="s">
        <v>1216</v>
      </c>
      <c r="C364" s="391">
        <v>85</v>
      </c>
      <c r="D364" s="32">
        <v>44259</v>
      </c>
      <c r="E364" s="32" t="str">
        <f>VLOOKUP(Tabela2[[#This Row],[Tag]],BD!$A:$B,2,0)</f>
        <v>FO</v>
      </c>
      <c r="F364" s="32" t="str">
        <f>VLOOKUP(Tabela2[[#This Row],[Tag]],BD!A:J,10,0)</f>
        <v>FIBRA</v>
      </c>
      <c r="G364" s="31" t="str">
        <f>VLOOKUP(Tabela2[[#This Row],[Tag]],BD!$A:$V,20,0)</f>
        <v>BK-SP54-0900A-LC-90-00004_00000</v>
      </c>
      <c r="H364" s="32" t="str">
        <f>IF(VLOOKUP(Tabela2[[#This Row],[Tag]],BD!A:T,17,0)=0,"",VLOOKUP(Tabela2[[#This Row],[Tag]],BD!A:T,17,0))</f>
        <v>4.3.1</v>
      </c>
      <c r="I364" s="139">
        <v>44228</v>
      </c>
      <c r="J364" s="155">
        <f>VLOOKUP(Tabela2[[#This Row],[Tag]],BD!$A:$AE,30,0)</f>
        <v>85</v>
      </c>
      <c r="K364" s="29">
        <f>SUMIF(B:B,Tabela2[[#This Row],[Tag]],C:C)/Tabela2[[#This Row],[Comprim. Real]]</f>
        <v>1</v>
      </c>
      <c r="L364" s="29" t="str">
        <f>VLOOKUP(Tabela2[[#This Row],[Tag]],BD!A:AF,32,0)</f>
        <v>CCUxGA-906E</v>
      </c>
    </row>
    <row r="365" spans="1:12" x14ac:dyDescent="0.25">
      <c r="A365" s="391">
        <v>366</v>
      </c>
      <c r="B365" s="7" t="s">
        <v>1265</v>
      </c>
      <c r="C365" s="391">
        <v>220</v>
      </c>
      <c r="D365" s="32">
        <v>44263</v>
      </c>
      <c r="E365" s="32" t="str">
        <f>VLOOKUP(Tabela2[[#This Row],[Tag]],BD!$A:$B,2,0)</f>
        <v>FO</v>
      </c>
      <c r="F365" s="32" t="str">
        <f>VLOOKUP(Tabela2[[#This Row],[Tag]],BD!A:J,10,0)</f>
        <v>FIBRA</v>
      </c>
      <c r="G365" s="31" t="str">
        <f>VLOOKUP(Tabela2[[#This Row],[Tag]],BD!$A:$V,20,0)</f>
        <v>BK-SP54-0900A-LC-90-00004_00000</v>
      </c>
      <c r="H365" s="32" t="str">
        <f>IF(VLOOKUP(Tabela2[[#This Row],[Tag]],BD!A:T,17,0)=0,"",VLOOKUP(Tabela2[[#This Row],[Tag]],BD!A:T,17,0))</f>
        <v>4.3.1</v>
      </c>
      <c r="I365" s="139">
        <v>44256</v>
      </c>
      <c r="J365" s="155">
        <f>VLOOKUP(Tabela2[[#This Row],[Tag]],BD!$A:$AE,30,0)</f>
        <v>220</v>
      </c>
      <c r="K365" s="29">
        <f>SUMIF(B:B,Tabela2[[#This Row],[Tag]],C:C)/Tabela2[[#This Row],[Comprim. Real]]</f>
        <v>1</v>
      </c>
      <c r="L365" s="29" t="str">
        <f>VLOOKUP(Tabela2[[#This Row],[Tag]],BD!A:AF,32,0)</f>
        <v>COGxCCO</v>
      </c>
    </row>
    <row r="366" spans="1:12" x14ac:dyDescent="0.25">
      <c r="A366" s="391">
        <v>367</v>
      </c>
      <c r="B366" s="7" t="s">
        <v>1272</v>
      </c>
      <c r="C366" s="391">
        <v>220</v>
      </c>
      <c r="D366" s="32">
        <v>44263</v>
      </c>
      <c r="E366" s="32" t="str">
        <f>VLOOKUP(Tabela2[[#This Row],[Tag]],BD!$A:$B,2,0)</f>
        <v>FO</v>
      </c>
      <c r="F366" s="32" t="str">
        <f>VLOOKUP(Tabela2[[#This Row],[Tag]],BD!A:J,10,0)</f>
        <v>FIBRA</v>
      </c>
      <c r="G366" s="31" t="str">
        <f>VLOOKUP(Tabela2[[#This Row],[Tag]],BD!$A:$V,20,0)</f>
        <v>BK-SP54-0900A-LC-90-00004_00000</v>
      </c>
      <c r="H366" s="32" t="str">
        <f>IF(VLOOKUP(Tabela2[[#This Row],[Tag]],BD!A:T,17,0)=0,"",VLOOKUP(Tabela2[[#This Row],[Tag]],BD!A:T,17,0))</f>
        <v>4.3.1</v>
      </c>
      <c r="I366" s="139">
        <v>44256</v>
      </c>
      <c r="J366" s="155">
        <f>VLOOKUP(Tabela2[[#This Row],[Tag]],BD!$A:$AE,30,0)</f>
        <v>220</v>
      </c>
      <c r="K366" s="29">
        <f>SUMIF(B:B,Tabela2[[#This Row],[Tag]],C:C)/Tabela2[[#This Row],[Comprim. Real]]</f>
        <v>1</v>
      </c>
      <c r="L366" s="29" t="str">
        <f>VLOOKUP(Tabela2[[#This Row],[Tag]],BD!A:AF,32,0)</f>
        <v>COGxCCO</v>
      </c>
    </row>
    <row r="367" spans="1:12" x14ac:dyDescent="0.25">
      <c r="A367" s="391">
        <v>368</v>
      </c>
      <c r="B367" s="7" t="s">
        <v>1255</v>
      </c>
      <c r="C367" s="391">
        <v>150</v>
      </c>
      <c r="D367" s="32">
        <v>44263</v>
      </c>
      <c r="E367" s="32" t="str">
        <f>VLOOKUP(Tabela2[[#This Row],[Tag]],BD!$A:$B,2,0)</f>
        <v>Controle</v>
      </c>
      <c r="F367" s="32" t="str">
        <f>VLOOKUP(Tabela2[[#This Row],[Tag]],BD!A:J,10,0)</f>
        <v>GB-967A/B</v>
      </c>
      <c r="G367" s="31" t="str">
        <f>VLOOKUP(Tabela2[[#This Row],[Tag]],BD!$A:$V,20,0)</f>
        <v>BK-SP54-0900A-LC-80-00187_00000</v>
      </c>
      <c r="H367" s="32" t="str">
        <f>IF(VLOOKUP(Tabela2[[#This Row],[Tag]],BD!A:T,17,0)=0,"",VLOOKUP(Tabela2[[#This Row],[Tag]],BD!A:T,17,0))</f>
        <v>4.4.1</v>
      </c>
      <c r="I367" s="139">
        <v>44256</v>
      </c>
      <c r="J367" s="155">
        <f>VLOOKUP(Tabela2[[#This Row],[Tag]],BD!$A:$AE,30,0)</f>
        <v>150</v>
      </c>
      <c r="K367" s="29">
        <f>SUMIF(B:B,Tabela2[[#This Row],[Tag]],C:C)/Tabela2[[#This Row],[Comprim. Real]]</f>
        <v>1</v>
      </c>
      <c r="L367" s="29" t="str">
        <f>VLOOKUP(Tabela2[[#This Row],[Tag]],BD!A:AF,32,0)</f>
        <v>CCUxGB-967A/B</v>
      </c>
    </row>
    <row r="368" spans="1:12" x14ac:dyDescent="0.25">
      <c r="A368" s="391">
        <v>367</v>
      </c>
      <c r="B368" s="7" t="s">
        <v>946</v>
      </c>
      <c r="C368" s="391">
        <v>774</v>
      </c>
      <c r="D368" s="32">
        <v>44264</v>
      </c>
      <c r="E368" s="32" t="str">
        <f>VLOOKUP(Tabela2[[#This Row],[Tag]],BD!$A:$B,2,0)</f>
        <v>FO</v>
      </c>
      <c r="F368" s="32" t="str">
        <f>VLOOKUP(Tabela2[[#This Row],[Tag]],BD!A:J,10,0)</f>
        <v>FIBRA</v>
      </c>
      <c r="G368" s="31" t="str">
        <f>VLOOKUP(Tabela2[[#This Row],[Tag]],BD!$A:$V,20,0)</f>
        <v>BK-SP54-0900A-LC-74-00001_00000</v>
      </c>
      <c r="H368" s="32" t="str">
        <f>IF(VLOOKUP(Tabela2[[#This Row],[Tag]],BD!A:T,17,0)=0,"",VLOOKUP(Tabela2[[#This Row],[Tag]],BD!A:T,17,0))</f>
        <v>5.10.1</v>
      </c>
      <c r="I368" s="139">
        <v>44256</v>
      </c>
      <c r="J368" s="155">
        <f>VLOOKUP(Tabela2[[#This Row],[Tag]],BD!$A:$AE,30,0)</f>
        <v>774</v>
      </c>
      <c r="K368" s="29">
        <f>SUMIF(B:B,Tabela2[[#This Row],[Tag]],C:C)/Tabela2[[#This Row],[Comprim. Real]]</f>
        <v>1</v>
      </c>
      <c r="L368" s="29" t="str">
        <f>VLOOKUP(Tabela2[[#This Row],[Tag]],BD!A:AF,32,0)</f>
        <v>8HVx7HV</v>
      </c>
    </row>
    <row r="369" spans="1:12" x14ac:dyDescent="0.25">
      <c r="A369" s="391">
        <v>368</v>
      </c>
      <c r="B369" s="168" t="s">
        <v>955</v>
      </c>
      <c r="C369" s="391">
        <v>247</v>
      </c>
      <c r="D369" s="32">
        <v>44266</v>
      </c>
      <c r="E369" s="32" t="str">
        <f>VLOOKUP(Tabela2[[#This Row],[Tag]],BD!$A:$B,2,0)</f>
        <v>FO</v>
      </c>
      <c r="F369" s="32" t="str">
        <f>VLOOKUP(Tabela2[[#This Row],[Tag]],BD!A:J,10,0)</f>
        <v>FIBRA</v>
      </c>
      <c r="G369" s="31" t="str">
        <f>VLOOKUP(Tabela2[[#This Row],[Tag]],BD!$A:$V,20,0)</f>
        <v>BK-SP54-0900B-LC-90-00010_00000</v>
      </c>
      <c r="H369" s="32" t="str">
        <f>IF(VLOOKUP(Tabela2[[#This Row],[Tag]],BD!A:T,17,0)=0,"",VLOOKUP(Tabela2[[#This Row],[Tag]],BD!A:T,17,0))</f>
        <v>4.3.1</v>
      </c>
      <c r="I369" s="139">
        <v>44256</v>
      </c>
      <c r="J369" s="155">
        <f>VLOOKUP(Tabela2[[#This Row],[Tag]],BD!$A:$AE,30,0)</f>
        <v>247</v>
      </c>
      <c r="K369" s="29">
        <f>SUMIF(B:B,Tabela2[[#This Row],[Tag]],C:C)/Tabela2[[#This Row],[Comprim. Real]]</f>
        <v>1</v>
      </c>
      <c r="L369" s="29" t="str">
        <f>VLOOKUP(Tabela2[[#This Row],[Tag]],BD!A:AF,32,0)</f>
        <v>8HVxCCO</v>
      </c>
    </row>
    <row r="370" spans="1:12" x14ac:dyDescent="0.25">
      <c r="A370" s="391">
        <v>369</v>
      </c>
      <c r="B370" s="168" t="s">
        <v>961</v>
      </c>
      <c r="C370" s="391">
        <v>247</v>
      </c>
      <c r="D370" s="32">
        <v>44266</v>
      </c>
      <c r="E370" s="32" t="str">
        <f>VLOOKUP(Tabela2[[#This Row],[Tag]],BD!$A:$B,2,0)</f>
        <v>FO</v>
      </c>
      <c r="F370" s="32" t="str">
        <f>VLOOKUP(Tabela2[[#This Row],[Tag]],BD!A:J,10,0)</f>
        <v>FIBRA</v>
      </c>
      <c r="G370" s="31" t="str">
        <f>VLOOKUP(Tabela2[[#This Row],[Tag]],BD!$A:$V,20,0)</f>
        <v>BK-SP54-0900B-LC-90-00010_00000</v>
      </c>
      <c r="H370" s="32" t="str">
        <f>IF(VLOOKUP(Tabela2[[#This Row],[Tag]],BD!A:T,17,0)=0,"",VLOOKUP(Tabela2[[#This Row],[Tag]],BD!A:T,17,0))</f>
        <v>4.3.1</v>
      </c>
      <c r="I370" s="139">
        <v>44256</v>
      </c>
      <c r="J370" s="155">
        <f>VLOOKUP(Tabela2[[#This Row],[Tag]],BD!$A:$AE,30,0)</f>
        <v>247</v>
      </c>
      <c r="K370" s="29">
        <f>SUMIF(B:B,Tabela2[[#This Row],[Tag]],C:C)/Tabela2[[#This Row],[Comprim. Real]]</f>
        <v>1</v>
      </c>
      <c r="L370" s="29" t="str">
        <f>VLOOKUP(Tabela2[[#This Row],[Tag]],BD!A:AF,32,0)</f>
        <v>8HVxCCO</v>
      </c>
    </row>
    <row r="371" spans="1:12" x14ac:dyDescent="0.25">
      <c r="A371" s="391">
        <v>370</v>
      </c>
      <c r="B371" s="168" t="s">
        <v>996</v>
      </c>
      <c r="C371" s="391">
        <v>30</v>
      </c>
      <c r="D371" s="32">
        <v>44266</v>
      </c>
      <c r="E371" s="32" t="str">
        <f>VLOOKUP(Tabela2[[#This Row],[Tag]],BD!$A:$B,2,0)</f>
        <v>Rede</v>
      </c>
      <c r="F371" s="32" t="str">
        <f>VLOOKUP(Tabela2[[#This Row],[Tag]],BD!A:J,10,0)</f>
        <v>REDE</v>
      </c>
      <c r="G371" s="31" t="str">
        <f>VLOOKUP(Tabela2[[#This Row],[Tag]],BD!$A:$V,20,0)</f>
        <v>BK-SP54-0900A-LC-74-00001_00000</v>
      </c>
      <c r="H371" s="32" t="str">
        <f>IF(VLOOKUP(Tabela2[[#This Row],[Tag]],BD!A:T,17,0)=0,"",VLOOKUP(Tabela2[[#This Row],[Tag]],BD!A:T,17,0))</f>
        <v>5.6.1</v>
      </c>
      <c r="I371" s="139">
        <v>44256</v>
      </c>
      <c r="J371" s="155">
        <f>VLOOKUP(Tabela2[[#This Row],[Tag]],BD!$A:$AE,30,0)</f>
        <v>30</v>
      </c>
      <c r="K371" s="29">
        <f>SUMIF(B:B,Tabela2[[#This Row],[Tag]],C:C)/Tabela2[[#This Row],[Comprim. Real]]</f>
        <v>1</v>
      </c>
      <c r="L371" s="29" t="str">
        <f>VLOOKUP(Tabela2[[#This Row],[Tag]],BD!A:AF,32,0)</f>
        <v>8HVxCOG</v>
      </c>
    </row>
    <row r="372" spans="1:12" x14ac:dyDescent="0.25">
      <c r="A372" s="391">
        <v>371</v>
      </c>
      <c r="B372" s="168" t="s">
        <v>999</v>
      </c>
      <c r="C372" s="391">
        <v>30</v>
      </c>
      <c r="D372" s="32">
        <v>44266</v>
      </c>
      <c r="E372" s="32" t="str">
        <f>VLOOKUP(Tabela2[[#This Row],[Tag]],BD!$A:$B,2,0)</f>
        <v>Rede</v>
      </c>
      <c r="F372" s="32" t="str">
        <f>VLOOKUP(Tabela2[[#This Row],[Tag]],BD!A:J,10,0)</f>
        <v>REDE</v>
      </c>
      <c r="G372" s="31" t="str">
        <f>VLOOKUP(Tabela2[[#This Row],[Tag]],BD!$A:$V,20,0)</f>
        <v>BK-SP54-0900A-LC-74-00001_00000</v>
      </c>
      <c r="H372" s="32" t="str">
        <f>IF(VLOOKUP(Tabela2[[#This Row],[Tag]],BD!A:T,17,0)=0,"",VLOOKUP(Tabela2[[#This Row],[Tag]],BD!A:T,17,0))</f>
        <v>5.6.1</v>
      </c>
      <c r="I372" s="139">
        <v>44256</v>
      </c>
      <c r="J372" s="155">
        <f>VLOOKUP(Tabela2[[#This Row],[Tag]],BD!$A:$AE,30,0)</f>
        <v>30</v>
      </c>
      <c r="K372" s="29">
        <f>SUMIF(B:B,Tabela2[[#This Row],[Tag]],C:C)/Tabela2[[#This Row],[Comprim. Real]]</f>
        <v>1</v>
      </c>
      <c r="L372" s="29" t="str">
        <f>VLOOKUP(Tabela2[[#This Row],[Tag]],BD!A:AF,32,0)</f>
        <v>8HVxCOG</v>
      </c>
    </row>
    <row r="373" spans="1:12" x14ac:dyDescent="0.25">
      <c r="A373" s="391">
        <v>372</v>
      </c>
      <c r="B373" s="7" t="s">
        <v>1286</v>
      </c>
      <c r="C373" s="391">
        <v>150</v>
      </c>
      <c r="D373" s="32">
        <v>44268</v>
      </c>
      <c r="E373" s="32" t="str">
        <f>VLOOKUP(Tabela2[[#This Row],[Tag]],BD!$A:$B,2,0)</f>
        <v>Controle</v>
      </c>
      <c r="F373" s="32" t="str">
        <f>VLOOKUP(Tabela2[[#This Row],[Tag]],BD!A:J,10,0)</f>
        <v>PERIF. IV</v>
      </c>
      <c r="G373" s="31" t="str">
        <f>VLOOKUP(Tabela2[[#This Row],[Tag]],BD!$A:$V,20,0)</f>
        <v>BK-SP54-0900A-LC-80-00188_00000</v>
      </c>
      <c r="H373" s="32" t="str">
        <f>IF(VLOOKUP(Tabela2[[#This Row],[Tag]],BD!A:T,17,0)=0,"",VLOOKUP(Tabela2[[#This Row],[Tag]],BD!A:T,17,0))</f>
        <v>4.6.1</v>
      </c>
      <c r="I373" s="139">
        <v>44256</v>
      </c>
      <c r="J373" s="155">
        <f>VLOOKUP(Tabela2[[#This Row],[Tag]],BD!$A:$AE,30,0)</f>
        <v>150</v>
      </c>
      <c r="K373" s="29">
        <f>SUMIF(B:B,Tabela2[[#This Row],[Tag]],C:C)/Tabela2[[#This Row],[Comprim. Real]]</f>
        <v>1</v>
      </c>
      <c r="L373" s="29" t="str">
        <f>VLOOKUP(Tabela2[[#This Row],[Tag]],BD!A:AF,32,0)</f>
        <v>COGxPERIF.IV</v>
      </c>
    </row>
    <row r="374" spans="1:12" x14ac:dyDescent="0.25">
      <c r="A374" s="391">
        <v>373</v>
      </c>
      <c r="B374" s="7" t="s">
        <v>1295</v>
      </c>
      <c r="C374" s="391">
        <v>150</v>
      </c>
      <c r="D374" s="32">
        <v>44268</v>
      </c>
      <c r="E374" s="32" t="str">
        <f>VLOOKUP(Tabela2[[#This Row],[Tag]],BD!$A:$B,2,0)</f>
        <v>Controle</v>
      </c>
      <c r="F374" s="32" t="str">
        <f>VLOOKUP(Tabela2[[#This Row],[Tag]],BD!A:J,10,0)</f>
        <v>PERIF. IV</v>
      </c>
      <c r="G374" s="31" t="str">
        <f>VLOOKUP(Tabela2[[#This Row],[Tag]],BD!$A:$V,20,0)</f>
        <v>BK-SP54-0900A-LC-80-00188_00000</v>
      </c>
      <c r="H374" s="32" t="str">
        <f>IF(VLOOKUP(Tabela2[[#This Row],[Tag]],BD!A:T,17,0)=0,"",VLOOKUP(Tabela2[[#This Row],[Tag]],BD!A:T,17,0))</f>
        <v>4.6.1</v>
      </c>
      <c r="I374" s="139">
        <v>44256</v>
      </c>
      <c r="J374" s="155">
        <f>VLOOKUP(Tabela2[[#This Row],[Tag]],BD!$A:$AE,30,0)</f>
        <v>150</v>
      </c>
      <c r="K374" s="29">
        <f>SUMIF(B:B,Tabela2[[#This Row],[Tag]],C:C)/Tabela2[[#This Row],[Comprim. Real]]</f>
        <v>1</v>
      </c>
      <c r="L374" s="29" t="str">
        <f>VLOOKUP(Tabela2[[#This Row],[Tag]],BD!A:AF,32,0)</f>
        <v>COGxPERIF.IV</v>
      </c>
    </row>
    <row r="375" spans="1:12" x14ac:dyDescent="0.25">
      <c r="A375" s="391">
        <v>374</v>
      </c>
      <c r="B375" s="7" t="s">
        <v>1303</v>
      </c>
      <c r="C375" s="391">
        <v>150</v>
      </c>
      <c r="D375" s="32">
        <v>44268</v>
      </c>
      <c r="E375" s="32" t="str">
        <f>VLOOKUP(Tabela2[[#This Row],[Tag]],BD!$A:$B,2,0)</f>
        <v>Controle</v>
      </c>
      <c r="F375" s="32" t="str">
        <f>VLOOKUP(Tabela2[[#This Row],[Tag]],BD!A:J,10,0)</f>
        <v>PERIF. IV</v>
      </c>
      <c r="G375" s="31" t="str">
        <f>VLOOKUP(Tabela2[[#This Row],[Tag]],BD!$A:$V,20,0)</f>
        <v>BK-SP54-0900A-LC-80-00188_00000</v>
      </c>
      <c r="H375" s="32" t="str">
        <f>IF(VLOOKUP(Tabela2[[#This Row],[Tag]],BD!A:T,17,0)=0,"",VLOOKUP(Tabela2[[#This Row],[Tag]],BD!A:T,17,0))</f>
        <v>4.6.1</v>
      </c>
      <c r="I375" s="139">
        <v>44256</v>
      </c>
      <c r="J375" s="155">
        <f>VLOOKUP(Tabela2[[#This Row],[Tag]],BD!$A:$AE,30,0)</f>
        <v>150</v>
      </c>
      <c r="K375" s="29">
        <f>SUMIF(B:B,Tabela2[[#This Row],[Tag]],C:C)/Tabela2[[#This Row],[Comprim. Real]]</f>
        <v>1</v>
      </c>
      <c r="L375" s="29" t="str">
        <f>VLOOKUP(Tabela2[[#This Row],[Tag]],BD!A:AF,32,0)</f>
        <v>COGxPERIF.IV</v>
      </c>
    </row>
    <row r="376" spans="1:12" x14ac:dyDescent="0.25">
      <c r="A376" s="391">
        <v>375</v>
      </c>
      <c r="B376" s="7" t="s">
        <v>1306</v>
      </c>
      <c r="C376" s="391">
        <v>150</v>
      </c>
      <c r="D376" s="32">
        <v>44268</v>
      </c>
      <c r="E376" s="32" t="str">
        <f>VLOOKUP(Tabela2[[#This Row],[Tag]],BD!$A:$B,2,0)</f>
        <v>Controle</v>
      </c>
      <c r="F376" s="32" t="str">
        <f>VLOOKUP(Tabela2[[#This Row],[Tag]],BD!A:J,10,0)</f>
        <v>PERIF. IV</v>
      </c>
      <c r="G376" s="31" t="str">
        <f>VLOOKUP(Tabela2[[#This Row],[Tag]],BD!$A:$V,20,0)</f>
        <v>BK-SP54-0900A-LC-80-00188_00000</v>
      </c>
      <c r="H376" s="32" t="str">
        <f>IF(VLOOKUP(Tabela2[[#This Row],[Tag]],BD!A:T,17,0)=0,"",VLOOKUP(Tabela2[[#This Row],[Tag]],BD!A:T,17,0))</f>
        <v>4.6.1</v>
      </c>
      <c r="I376" s="139">
        <v>44256</v>
      </c>
      <c r="J376" s="155">
        <f>VLOOKUP(Tabela2[[#This Row],[Tag]],BD!$A:$AE,30,0)</f>
        <v>150</v>
      </c>
      <c r="K376" s="29">
        <f>SUMIF(B:B,Tabela2[[#This Row],[Tag]],C:C)/Tabela2[[#This Row],[Comprim. Real]]</f>
        <v>1</v>
      </c>
      <c r="L376" s="29" t="str">
        <f>VLOOKUP(Tabela2[[#This Row],[Tag]],BD!A:AF,32,0)</f>
        <v>COGxPERIF.IV</v>
      </c>
    </row>
    <row r="377" spans="1:12" x14ac:dyDescent="0.25">
      <c r="A377" s="391">
        <v>376</v>
      </c>
      <c r="B377" s="7" t="s">
        <v>1308</v>
      </c>
      <c r="C377" s="391">
        <v>150</v>
      </c>
      <c r="D377" s="32">
        <v>44268</v>
      </c>
      <c r="E377" s="32" t="str">
        <f>VLOOKUP(Tabela2[[#This Row],[Tag]],BD!$A:$B,2,0)</f>
        <v>Controle</v>
      </c>
      <c r="F377" s="32" t="str">
        <f>VLOOKUP(Tabela2[[#This Row],[Tag]],BD!A:J,10,0)</f>
        <v>PERIF. IV</v>
      </c>
      <c r="G377" s="31" t="str">
        <f>VLOOKUP(Tabela2[[#This Row],[Tag]],BD!$A:$V,20,0)</f>
        <v>BK-SP54-0900A-LC-80-00188_00000</v>
      </c>
      <c r="H377" s="32" t="str">
        <f>IF(VLOOKUP(Tabela2[[#This Row],[Tag]],BD!A:T,17,0)=0,"",VLOOKUP(Tabela2[[#This Row],[Tag]],BD!A:T,17,0))</f>
        <v>4.6.1</v>
      </c>
      <c r="I377" s="139">
        <v>44256</v>
      </c>
      <c r="J377" s="155">
        <f>VLOOKUP(Tabela2[[#This Row],[Tag]],BD!$A:$AE,30,0)</f>
        <v>150</v>
      </c>
      <c r="K377" s="29">
        <f>SUMIF(B:B,Tabela2[[#This Row],[Tag]],C:C)/Tabela2[[#This Row],[Comprim. Real]]</f>
        <v>1</v>
      </c>
      <c r="L377" s="29" t="str">
        <f>VLOOKUP(Tabela2[[#This Row],[Tag]],BD!A:AF,32,0)</f>
        <v>COGxPERIF.IV</v>
      </c>
    </row>
    <row r="378" spans="1:12" x14ac:dyDescent="0.25">
      <c r="A378" s="391">
        <v>377</v>
      </c>
      <c r="B378" s="7" t="s">
        <v>1310</v>
      </c>
      <c r="C378" s="391">
        <v>150</v>
      </c>
      <c r="D378" s="32">
        <v>44268</v>
      </c>
      <c r="E378" s="32" t="str">
        <f>VLOOKUP(Tabela2[[#This Row],[Tag]],BD!$A:$B,2,0)</f>
        <v>Controle</v>
      </c>
      <c r="F378" s="32" t="str">
        <f>VLOOKUP(Tabela2[[#This Row],[Tag]],BD!A:J,10,0)</f>
        <v>PERIF. IV</v>
      </c>
      <c r="G378" s="31" t="str">
        <f>VLOOKUP(Tabela2[[#This Row],[Tag]],BD!$A:$V,20,0)</f>
        <v>BK-SP54-0900A-LC-80-00188_00000</v>
      </c>
      <c r="H378" s="32" t="str">
        <f>IF(VLOOKUP(Tabela2[[#This Row],[Tag]],BD!A:T,17,0)=0,"",VLOOKUP(Tabela2[[#This Row],[Tag]],BD!A:T,17,0))</f>
        <v>4.6.1</v>
      </c>
      <c r="I378" s="139">
        <v>44256</v>
      </c>
      <c r="J378" s="155">
        <f>VLOOKUP(Tabela2[[#This Row],[Tag]],BD!$A:$AE,30,0)</f>
        <v>150</v>
      </c>
      <c r="K378" s="29">
        <f>SUMIF(B:B,Tabela2[[#This Row],[Tag]],C:C)/Tabela2[[#This Row],[Comprim. Real]]</f>
        <v>1</v>
      </c>
      <c r="L378" s="29" t="str">
        <f>VLOOKUP(Tabela2[[#This Row],[Tag]],BD!A:AF,32,0)</f>
        <v>COGxPERIF.IV</v>
      </c>
    </row>
    <row r="379" spans="1:12" x14ac:dyDescent="0.25">
      <c r="A379" s="391">
        <v>378</v>
      </c>
      <c r="B379" s="7" t="s">
        <v>1312</v>
      </c>
      <c r="C379" s="391">
        <v>150</v>
      </c>
      <c r="D379" s="32">
        <v>44268</v>
      </c>
      <c r="E379" s="32" t="str">
        <f>VLOOKUP(Tabela2[[#This Row],[Tag]],BD!$A:$B,2,0)</f>
        <v>Controle</v>
      </c>
      <c r="F379" s="32" t="str">
        <f>VLOOKUP(Tabela2[[#This Row],[Tag]],BD!A:J,10,0)</f>
        <v>PERIF. IV</v>
      </c>
      <c r="G379" s="31" t="str">
        <f>VLOOKUP(Tabela2[[#This Row],[Tag]],BD!$A:$V,20,0)</f>
        <v>BK-SP54-0900A-LC-80-00188_00000</v>
      </c>
      <c r="H379" s="32" t="str">
        <f>IF(VLOOKUP(Tabela2[[#This Row],[Tag]],BD!A:T,17,0)=0,"",VLOOKUP(Tabela2[[#This Row],[Tag]],BD!A:T,17,0))</f>
        <v>4.6.1</v>
      </c>
      <c r="I379" s="139">
        <v>44256</v>
      </c>
      <c r="J379" s="155">
        <f>VLOOKUP(Tabela2[[#This Row],[Tag]],BD!$A:$AE,30,0)</f>
        <v>150</v>
      </c>
      <c r="K379" s="29">
        <f>SUMIF(B:B,Tabela2[[#This Row],[Tag]],C:C)/Tabela2[[#This Row],[Comprim. Real]]</f>
        <v>1</v>
      </c>
      <c r="L379" s="29" t="str">
        <f>VLOOKUP(Tabela2[[#This Row],[Tag]],BD!A:AF,32,0)</f>
        <v>COGxPERIF.IV</v>
      </c>
    </row>
    <row r="380" spans="1:12" x14ac:dyDescent="0.25">
      <c r="A380" s="391">
        <v>379</v>
      </c>
      <c r="B380" s="7" t="s">
        <v>1314</v>
      </c>
      <c r="C380" s="391">
        <v>150</v>
      </c>
      <c r="D380" s="32">
        <v>44268</v>
      </c>
      <c r="E380" s="32" t="str">
        <f>VLOOKUP(Tabela2[[#This Row],[Tag]],BD!$A:$B,2,0)</f>
        <v>Controle</v>
      </c>
      <c r="F380" s="32" t="str">
        <f>VLOOKUP(Tabela2[[#This Row],[Tag]],BD!A:J,10,0)</f>
        <v>PERIF. IV</v>
      </c>
      <c r="G380" s="31" t="str">
        <f>VLOOKUP(Tabela2[[#This Row],[Tag]],BD!$A:$V,20,0)</f>
        <v>BK-SP54-0900A-LC-80-00188_00000</v>
      </c>
      <c r="H380" s="32" t="str">
        <f>IF(VLOOKUP(Tabela2[[#This Row],[Tag]],BD!A:T,17,0)=0,"",VLOOKUP(Tabela2[[#This Row],[Tag]],BD!A:T,17,0))</f>
        <v>4.6.1</v>
      </c>
      <c r="I380" s="139">
        <v>44256</v>
      </c>
      <c r="J380" s="155">
        <f>VLOOKUP(Tabela2[[#This Row],[Tag]],BD!$A:$AE,30,0)</f>
        <v>150</v>
      </c>
      <c r="K380" s="29">
        <f>SUMIF(B:B,Tabela2[[#This Row],[Tag]],C:C)/Tabela2[[#This Row],[Comprim. Real]]</f>
        <v>1</v>
      </c>
      <c r="L380" s="29" t="str">
        <f>VLOOKUP(Tabela2[[#This Row],[Tag]],BD!A:AF,32,0)</f>
        <v>COGxPERIF.IV</v>
      </c>
    </row>
    <row r="381" spans="1:12" x14ac:dyDescent="0.25">
      <c r="A381" s="391">
        <v>380</v>
      </c>
      <c r="B381" s="7" t="s">
        <v>1316</v>
      </c>
      <c r="C381" s="391">
        <v>150</v>
      </c>
      <c r="D381" s="32">
        <v>44268</v>
      </c>
      <c r="E381" s="32" t="str">
        <f>VLOOKUP(Tabela2[[#This Row],[Tag]],BD!$A:$B,2,0)</f>
        <v>Controle</v>
      </c>
      <c r="F381" s="32" t="str">
        <f>VLOOKUP(Tabela2[[#This Row],[Tag]],BD!A:J,10,0)</f>
        <v>PERIF. IV</v>
      </c>
      <c r="G381" s="31" t="str">
        <f>VLOOKUP(Tabela2[[#This Row],[Tag]],BD!$A:$V,20,0)</f>
        <v>BK-SP54-0900A-LC-80-00188_00000</v>
      </c>
      <c r="H381" s="32" t="str">
        <f>IF(VLOOKUP(Tabela2[[#This Row],[Tag]],BD!A:T,17,0)=0,"",VLOOKUP(Tabela2[[#This Row],[Tag]],BD!A:T,17,0))</f>
        <v>4.6.1</v>
      </c>
      <c r="I381" s="139">
        <v>44256</v>
      </c>
      <c r="J381" s="155">
        <f>VLOOKUP(Tabela2[[#This Row],[Tag]],BD!$A:$AE,30,0)</f>
        <v>150</v>
      </c>
      <c r="K381" s="29">
        <f>SUMIF(B:B,Tabela2[[#This Row],[Tag]],C:C)/Tabela2[[#This Row],[Comprim. Real]]</f>
        <v>1</v>
      </c>
      <c r="L381" s="29" t="str">
        <f>VLOOKUP(Tabela2[[#This Row],[Tag]],BD!A:AF,32,0)</f>
        <v>COGxPERIF.IV</v>
      </c>
    </row>
    <row r="382" spans="1:12" x14ac:dyDescent="0.25">
      <c r="A382" s="391">
        <v>381</v>
      </c>
      <c r="B382" s="7" t="s">
        <v>1318</v>
      </c>
      <c r="C382" s="391">
        <v>150</v>
      </c>
      <c r="D382" s="32">
        <v>44268</v>
      </c>
      <c r="E382" s="32" t="str">
        <f>VLOOKUP(Tabela2[[#This Row],[Tag]],BD!$A:$B,2,0)</f>
        <v>Controle</v>
      </c>
      <c r="F382" s="32" t="str">
        <f>VLOOKUP(Tabela2[[#This Row],[Tag]],BD!A:J,10,0)</f>
        <v>PERIF. IV</v>
      </c>
      <c r="G382" s="31" t="str">
        <f>VLOOKUP(Tabela2[[#This Row],[Tag]],BD!$A:$V,20,0)</f>
        <v>BK-SP54-0900A-LC-80-00188_00000</v>
      </c>
      <c r="H382" s="32" t="str">
        <f>IF(VLOOKUP(Tabela2[[#This Row],[Tag]],BD!A:T,17,0)=0,"",VLOOKUP(Tabela2[[#This Row],[Tag]],BD!A:T,17,0))</f>
        <v>4.6.1</v>
      </c>
      <c r="I382" s="139">
        <v>44256</v>
      </c>
      <c r="J382" s="155">
        <f>VLOOKUP(Tabela2[[#This Row],[Tag]],BD!$A:$AE,30,0)</f>
        <v>150</v>
      </c>
      <c r="K382" s="29">
        <f>SUMIF(B:B,Tabela2[[#This Row],[Tag]],C:C)/Tabela2[[#This Row],[Comprim. Real]]</f>
        <v>1</v>
      </c>
      <c r="L382" s="29" t="str">
        <f>VLOOKUP(Tabela2[[#This Row],[Tag]],BD!A:AF,32,0)</f>
        <v>COGxPERIF.IV</v>
      </c>
    </row>
    <row r="383" spans="1:12" x14ac:dyDescent="0.25">
      <c r="A383" s="391">
        <v>382</v>
      </c>
      <c r="B383" s="7" t="s">
        <v>1320</v>
      </c>
      <c r="C383" s="391">
        <v>150</v>
      </c>
      <c r="D383" s="32">
        <v>44268</v>
      </c>
      <c r="E383" s="32" t="str">
        <f>VLOOKUP(Tabela2[[#This Row],[Tag]],BD!$A:$B,2,0)</f>
        <v>Controle</v>
      </c>
      <c r="F383" s="32" t="str">
        <f>VLOOKUP(Tabela2[[#This Row],[Tag]],BD!A:J,10,0)</f>
        <v>PERIF. IV</v>
      </c>
      <c r="G383" s="31" t="str">
        <f>VLOOKUP(Tabela2[[#This Row],[Tag]],BD!$A:$V,20,0)</f>
        <v>BK-SP54-0900A-LC-80-00188_00000</v>
      </c>
      <c r="H383" s="32" t="str">
        <f>IF(VLOOKUP(Tabela2[[#This Row],[Tag]],BD!A:T,17,0)=0,"",VLOOKUP(Tabela2[[#This Row],[Tag]],BD!A:T,17,0))</f>
        <v>4.6.1</v>
      </c>
      <c r="I383" s="139">
        <v>44256</v>
      </c>
      <c r="J383" s="155">
        <f>VLOOKUP(Tabela2[[#This Row],[Tag]],BD!$A:$AE,30,0)</f>
        <v>150</v>
      </c>
      <c r="K383" s="29">
        <f>SUMIF(B:B,Tabela2[[#This Row],[Tag]],C:C)/Tabela2[[#This Row],[Comprim. Real]]</f>
        <v>1</v>
      </c>
      <c r="L383" s="29" t="str">
        <f>VLOOKUP(Tabela2[[#This Row],[Tag]],BD!A:AF,32,0)</f>
        <v>COGxPERIF.IV</v>
      </c>
    </row>
    <row r="384" spans="1:12" x14ac:dyDescent="0.25">
      <c r="A384" s="391">
        <v>383</v>
      </c>
      <c r="B384" s="7" t="s">
        <v>1322</v>
      </c>
      <c r="C384" s="391">
        <v>150</v>
      </c>
      <c r="D384" s="32">
        <v>44268</v>
      </c>
      <c r="E384" s="32" t="str">
        <f>VLOOKUP(Tabela2[[#This Row],[Tag]],BD!$A:$B,2,0)</f>
        <v>Controle</v>
      </c>
      <c r="F384" s="32" t="str">
        <f>VLOOKUP(Tabela2[[#This Row],[Tag]],BD!A:J,10,0)</f>
        <v>PERIF. IV</v>
      </c>
      <c r="G384" s="31" t="str">
        <f>VLOOKUP(Tabela2[[#This Row],[Tag]],BD!$A:$V,20,0)</f>
        <v>BK-SP54-0900A-LC-80-00188_00000</v>
      </c>
      <c r="H384" s="32" t="str">
        <f>IF(VLOOKUP(Tabela2[[#This Row],[Tag]],BD!A:T,17,0)=0,"",VLOOKUP(Tabela2[[#This Row],[Tag]],BD!A:T,17,0))</f>
        <v>4.6.1</v>
      </c>
      <c r="I384" s="139">
        <v>44256</v>
      </c>
      <c r="J384" s="155">
        <f>VLOOKUP(Tabela2[[#This Row],[Tag]],BD!$A:$AE,30,0)</f>
        <v>150</v>
      </c>
      <c r="K384" s="29">
        <f>SUMIF(B:B,Tabela2[[#This Row],[Tag]],C:C)/Tabela2[[#This Row],[Comprim. Real]]</f>
        <v>1</v>
      </c>
      <c r="L384" s="29" t="str">
        <f>VLOOKUP(Tabela2[[#This Row],[Tag]],BD!A:AF,32,0)</f>
        <v>COGxPERIF.IV</v>
      </c>
    </row>
    <row r="385" spans="1:12" x14ac:dyDescent="0.25">
      <c r="A385" s="391">
        <v>384</v>
      </c>
      <c r="B385" s="7" t="s">
        <v>1324</v>
      </c>
      <c r="C385" s="391">
        <v>150</v>
      </c>
      <c r="D385" s="32">
        <v>44268</v>
      </c>
      <c r="E385" s="32" t="str">
        <f>VLOOKUP(Tabela2[[#This Row],[Tag]],BD!$A:$B,2,0)</f>
        <v>Controle</v>
      </c>
      <c r="F385" s="32" t="str">
        <f>VLOOKUP(Tabela2[[#This Row],[Tag]],BD!A:J,10,0)</f>
        <v>PERIF. IV</v>
      </c>
      <c r="G385" s="31" t="str">
        <f>VLOOKUP(Tabela2[[#This Row],[Tag]],BD!$A:$V,20,0)</f>
        <v>BK-SP54-0900A-LC-80-00188_00000</v>
      </c>
      <c r="H385" s="32" t="str">
        <f>IF(VLOOKUP(Tabela2[[#This Row],[Tag]],BD!A:T,17,0)=0,"",VLOOKUP(Tabela2[[#This Row],[Tag]],BD!A:T,17,0))</f>
        <v>4.6.1</v>
      </c>
      <c r="I385" s="139">
        <v>44256</v>
      </c>
      <c r="J385" s="155">
        <f>VLOOKUP(Tabela2[[#This Row],[Tag]],BD!$A:$AE,30,0)</f>
        <v>150</v>
      </c>
      <c r="K385" s="29">
        <f>SUMIF(B:B,Tabela2[[#This Row],[Tag]],C:C)/Tabela2[[#This Row],[Comprim. Real]]</f>
        <v>1</v>
      </c>
      <c r="L385" s="29" t="str">
        <f>VLOOKUP(Tabela2[[#This Row],[Tag]],BD!A:AF,32,0)</f>
        <v>COGxPERIF.IV</v>
      </c>
    </row>
    <row r="386" spans="1:12" x14ac:dyDescent="0.25">
      <c r="A386" s="391">
        <v>385</v>
      </c>
      <c r="B386" s="7" t="s">
        <v>1277</v>
      </c>
      <c r="C386" s="391">
        <v>250</v>
      </c>
      <c r="D386" s="32">
        <v>44268</v>
      </c>
      <c r="E386" s="32" t="str">
        <f>VLOOKUP(Tabela2[[#This Row],[Tag]],BD!$A:$B,2,0)</f>
        <v>Controle</v>
      </c>
      <c r="F386" s="32" t="str">
        <f>VLOOKUP(Tabela2[[#This Row],[Tag]],BD!A:J,10,0)</f>
        <v>8HV</v>
      </c>
      <c r="G386" s="31" t="str">
        <f>VLOOKUP(Tabela2[[#This Row],[Tag]],BD!$A:$V,20,0)</f>
        <v>BK-SP54-0900B-LC-80-00155_00000</v>
      </c>
      <c r="H386" s="32" t="str">
        <f>IF(VLOOKUP(Tabela2[[#This Row],[Tag]],BD!A:T,17,0)=0,"",VLOOKUP(Tabela2[[#This Row],[Tag]],BD!A:T,17,0))</f>
        <v>4.6.1</v>
      </c>
      <c r="I386" s="139">
        <v>44256</v>
      </c>
      <c r="J386" s="155">
        <f>VLOOKUP(Tabela2[[#This Row],[Tag]],BD!$A:$AE,30,0)</f>
        <v>250</v>
      </c>
      <c r="K386" s="29">
        <f>SUMIF(B:B,Tabela2[[#This Row],[Tag]],C:C)/Tabela2[[#This Row],[Comprim. Real]]</f>
        <v>1</v>
      </c>
      <c r="L386" s="337" t="str">
        <f>VLOOKUP(Tabela2[[#This Row],[Tag]],BD!A:AF,32,0)</f>
        <v>COGxCCO</v>
      </c>
    </row>
    <row r="387" spans="1:12" x14ac:dyDescent="0.25">
      <c r="A387" s="391">
        <v>386</v>
      </c>
      <c r="B387" s="7" t="s">
        <v>1279</v>
      </c>
      <c r="C387" s="391">
        <v>250</v>
      </c>
      <c r="D387" s="32">
        <v>44268</v>
      </c>
      <c r="E387" s="32" t="str">
        <f>VLOOKUP(Tabela2[[#This Row],[Tag]],BD!$A:$B,2,0)</f>
        <v>Controle</v>
      </c>
      <c r="F387" s="32" t="str">
        <f>VLOOKUP(Tabela2[[#This Row],[Tag]],BD!A:J,10,0)</f>
        <v>8HV</v>
      </c>
      <c r="G387" s="31" t="str">
        <f>VLOOKUP(Tabela2[[#This Row],[Tag]],BD!$A:$V,20,0)</f>
        <v>BK-SP54-0900B-LC-80-00155_00000</v>
      </c>
      <c r="H387" s="32" t="str">
        <f>IF(VLOOKUP(Tabela2[[#This Row],[Tag]],BD!A:T,17,0)=0,"",VLOOKUP(Tabela2[[#This Row],[Tag]],BD!A:T,17,0))</f>
        <v>4.6.1</v>
      </c>
      <c r="I387" s="139">
        <v>44256</v>
      </c>
      <c r="J387" s="155">
        <f>VLOOKUP(Tabela2[[#This Row],[Tag]],BD!$A:$AE,30,0)</f>
        <v>250</v>
      </c>
      <c r="K387" s="29">
        <f>SUMIF(B:B,Tabela2[[#This Row],[Tag]],C:C)/Tabela2[[#This Row],[Comprim. Real]]</f>
        <v>1</v>
      </c>
      <c r="L387" s="337" t="str">
        <f>VLOOKUP(Tabela2[[#This Row],[Tag]],BD!A:AF,32,0)</f>
        <v>COGxCCO</v>
      </c>
    </row>
    <row r="388" spans="1:12" x14ac:dyDescent="0.25">
      <c r="A388" s="391">
        <v>387</v>
      </c>
      <c r="B388" s="7" t="s">
        <v>1274</v>
      </c>
      <c r="C388" s="391">
        <v>250</v>
      </c>
      <c r="D388" s="32">
        <v>44268</v>
      </c>
      <c r="E388" s="32" t="str">
        <f>VLOOKUP(Tabela2[[#This Row],[Tag]],BD!$A:$B,2,0)</f>
        <v>Controle</v>
      </c>
      <c r="F388" s="32" t="str">
        <f>VLOOKUP(Tabela2[[#This Row],[Tag]],BD!A:J,10,0)</f>
        <v>8HV</v>
      </c>
      <c r="G388" s="31" t="str">
        <f>VLOOKUP(Tabela2[[#This Row],[Tag]],BD!$A:$V,20,0)</f>
        <v>BK-SP54-0900B-LC-80-00155_00000</v>
      </c>
      <c r="H388" s="32" t="str">
        <f>IF(VLOOKUP(Tabela2[[#This Row],[Tag]],BD!A:T,17,0)=0,"",VLOOKUP(Tabela2[[#This Row],[Tag]],BD!A:T,17,0))</f>
        <v>4.4.1</v>
      </c>
      <c r="I388" s="139">
        <v>44256</v>
      </c>
      <c r="J388" s="155">
        <f>VLOOKUP(Tabela2[[#This Row],[Tag]],BD!$A:$AE,30,0)</f>
        <v>250</v>
      </c>
      <c r="K388" s="29">
        <f>SUMIF(B:B,Tabela2[[#This Row],[Tag]],C:C)/Tabela2[[#This Row],[Comprim. Real]]</f>
        <v>1</v>
      </c>
      <c r="L388" s="337" t="str">
        <f>VLOOKUP(Tabela2[[#This Row],[Tag]],BD!A:AF,32,0)</f>
        <v>COGxCCO</v>
      </c>
    </row>
    <row r="389" spans="1:12" x14ac:dyDescent="0.25">
      <c r="A389" s="391">
        <v>388</v>
      </c>
      <c r="B389" s="7" t="s">
        <v>1276</v>
      </c>
      <c r="C389" s="391">
        <v>250</v>
      </c>
      <c r="D389" s="32">
        <v>44268</v>
      </c>
      <c r="E389" s="32" t="str">
        <f>VLOOKUP(Tabela2[[#This Row],[Tag]],BD!$A:$B,2,0)</f>
        <v>Controle</v>
      </c>
      <c r="F389" s="32" t="str">
        <f>VLOOKUP(Tabela2[[#This Row],[Tag]],BD!A:J,10,0)</f>
        <v>8HV</v>
      </c>
      <c r="G389" s="31" t="str">
        <f>VLOOKUP(Tabela2[[#This Row],[Tag]],BD!$A:$V,20,0)</f>
        <v>BK-SP54-0900B-LC-80-00155_00000</v>
      </c>
      <c r="H389" s="32" t="str">
        <f>IF(VLOOKUP(Tabela2[[#This Row],[Tag]],BD!A:T,17,0)=0,"",VLOOKUP(Tabela2[[#This Row],[Tag]],BD!A:T,17,0))</f>
        <v>4.4.1</v>
      </c>
      <c r="I389" s="139">
        <v>44256</v>
      </c>
      <c r="J389" s="155">
        <f>VLOOKUP(Tabela2[[#This Row],[Tag]],BD!$A:$AE,30,0)</f>
        <v>250</v>
      </c>
      <c r="K389" s="29">
        <f>SUMIF(B:B,Tabela2[[#This Row],[Tag]],C:C)/Tabela2[[#This Row],[Comprim. Real]]</f>
        <v>1</v>
      </c>
      <c r="L389" s="337" t="str">
        <f>VLOOKUP(Tabela2[[#This Row],[Tag]],BD!A:AF,32,0)</f>
        <v>COGxCCO</v>
      </c>
    </row>
    <row r="390" spans="1:12" x14ac:dyDescent="0.25">
      <c r="A390" s="391">
        <v>389</v>
      </c>
      <c r="B390" s="7" t="s">
        <v>1183</v>
      </c>
      <c r="C390" s="391">
        <v>910</v>
      </c>
      <c r="D390" s="32">
        <v>44266</v>
      </c>
      <c r="E390" s="32" t="str">
        <f>VLOOKUP(Tabela2[[#This Row],[Tag]],BD!$A:$B,2,0)</f>
        <v>FO</v>
      </c>
      <c r="F390" s="32" t="str">
        <f>VLOOKUP(Tabela2[[#This Row],[Tag]],BD!A:J,10,0)</f>
        <v>FIBRA</v>
      </c>
      <c r="G390" s="31" t="str">
        <f>VLOOKUP(Tabela2[[#This Row],[Tag]],BD!$A:$V,20,0)</f>
        <v>BK-SP54-0900A-LC-74-00001_00000</v>
      </c>
      <c r="H390" s="32" t="str">
        <f>IF(VLOOKUP(Tabela2[[#This Row],[Tag]],BD!A:T,17,0)=0,"",VLOOKUP(Tabela2[[#This Row],[Tag]],BD!A:T,17,0))</f>
        <v>5.10.1</v>
      </c>
      <c r="I390" s="139">
        <v>44256</v>
      </c>
      <c r="J390" s="155">
        <f>VLOOKUP(Tabela2[[#This Row],[Tag]],BD!$A:$AE,30,0)</f>
        <v>910</v>
      </c>
      <c r="K390" s="29">
        <f>SUMIF(B:B,Tabela2[[#This Row],[Tag]],C:C)/Tabela2[[#This Row],[Comprim. Real]]</f>
        <v>1</v>
      </c>
      <c r="L390" s="337" t="str">
        <f>VLOOKUP(Tabela2[[#This Row],[Tag]],BD!A:AF,32,0)</f>
        <v>CCSExQ3</v>
      </c>
    </row>
    <row r="391" spans="1:12" x14ac:dyDescent="0.25">
      <c r="A391" s="391">
        <v>390</v>
      </c>
      <c r="B391" s="7" t="s">
        <v>1187</v>
      </c>
      <c r="C391" s="391">
        <v>910</v>
      </c>
      <c r="D391" s="32">
        <v>44266</v>
      </c>
      <c r="E391" s="32" t="str">
        <f>VLOOKUP(Tabela2[[#This Row],[Tag]],BD!$A:$B,2,0)</f>
        <v>FO</v>
      </c>
      <c r="F391" s="32" t="str">
        <f>VLOOKUP(Tabela2[[#This Row],[Tag]],BD!A:J,10,0)</f>
        <v>FIBRA</v>
      </c>
      <c r="G391" s="31" t="str">
        <f>VLOOKUP(Tabela2[[#This Row],[Tag]],BD!$A:$V,20,0)</f>
        <v>BK-SP54-0900A-LC-74-00001_00000</v>
      </c>
      <c r="H391" s="32" t="str">
        <f>IF(VLOOKUP(Tabela2[[#This Row],[Tag]],BD!A:T,17,0)=0,"",VLOOKUP(Tabela2[[#This Row],[Tag]],BD!A:T,17,0))</f>
        <v>5.10.1</v>
      </c>
      <c r="I391" s="139">
        <v>44256</v>
      </c>
      <c r="J391" s="155">
        <f>VLOOKUP(Tabela2[[#This Row],[Tag]],BD!$A:$AE,30,0)</f>
        <v>910</v>
      </c>
      <c r="K391" s="29">
        <f>SUMIF(B:B,Tabela2[[#This Row],[Tag]],C:C)/Tabela2[[#This Row],[Comprim. Real]]</f>
        <v>1</v>
      </c>
      <c r="L391" s="337" t="str">
        <f>VLOOKUP(Tabela2[[#This Row],[Tag]],BD!A:AF,32,0)</f>
        <v>CCSExQ3</v>
      </c>
    </row>
    <row r="392" spans="1:12" x14ac:dyDescent="0.25">
      <c r="A392" s="391">
        <v>391</v>
      </c>
      <c r="B392" s="7" t="s">
        <v>1297</v>
      </c>
      <c r="C392" s="391">
        <v>150</v>
      </c>
      <c r="D392" s="32">
        <v>44268</v>
      </c>
      <c r="E392" s="32" t="str">
        <f>VLOOKUP(Tabela2[[#This Row],[Tag]],BD!$A:$B,2,0)</f>
        <v>Controle</v>
      </c>
      <c r="F392" s="32" t="str">
        <f>VLOOKUP(Tabela2[[#This Row],[Tag]],BD!A:J,10,0)</f>
        <v>PERIF. IV</v>
      </c>
      <c r="G392" s="31" t="str">
        <f>VLOOKUP(Tabela2[[#This Row],[Tag]],BD!$A:$V,20,0)</f>
        <v>BK-SP54-0900A-LC-80-00188_00000</v>
      </c>
      <c r="H392" s="32" t="str">
        <f>IF(VLOOKUP(Tabela2[[#This Row],[Tag]],BD!A:T,17,0)=0,"",VLOOKUP(Tabela2[[#This Row],[Tag]],BD!A:T,17,0))</f>
        <v>4.6.1</v>
      </c>
      <c r="I392" s="139">
        <v>44256</v>
      </c>
      <c r="J392" s="155">
        <f>VLOOKUP(Tabela2[[#This Row],[Tag]],BD!$A:$AE,30,0)</f>
        <v>150</v>
      </c>
      <c r="K392" s="29">
        <f>SUMIF(B:B,Tabela2[[#This Row],[Tag]],C:C)/Tabela2[[#This Row],[Comprim. Real]]</f>
        <v>1</v>
      </c>
      <c r="L392" s="337" t="str">
        <f>VLOOKUP(Tabela2[[#This Row],[Tag]],BD!A:AF,32,0)</f>
        <v>COGxPERIF.IV</v>
      </c>
    </row>
    <row r="393" spans="1:12" x14ac:dyDescent="0.25">
      <c r="A393" s="391">
        <v>392</v>
      </c>
      <c r="B393" s="7" t="s">
        <v>1300</v>
      </c>
      <c r="C393" s="391">
        <v>150</v>
      </c>
      <c r="D393" s="32">
        <v>44268</v>
      </c>
      <c r="E393" s="32" t="str">
        <f>VLOOKUP(Tabela2[[#This Row],[Tag]],BD!$A:$B,2,0)</f>
        <v>Controle</v>
      </c>
      <c r="F393" s="32" t="str">
        <f>VLOOKUP(Tabela2[[#This Row],[Tag]],BD!A:J,10,0)</f>
        <v>PERIF. IV</v>
      </c>
      <c r="G393" s="31" t="str">
        <f>VLOOKUP(Tabela2[[#This Row],[Tag]],BD!$A:$V,20,0)</f>
        <v>BK-SP54-0900A-LC-80-00188_00000</v>
      </c>
      <c r="H393" s="32" t="str">
        <f>IF(VLOOKUP(Tabela2[[#This Row],[Tag]],BD!A:T,17,0)=0,"",VLOOKUP(Tabela2[[#This Row],[Tag]],BD!A:T,17,0))</f>
        <v>4.6.1</v>
      </c>
      <c r="I393" s="139">
        <v>44256</v>
      </c>
      <c r="J393" s="155">
        <f>VLOOKUP(Tabela2[[#This Row],[Tag]],BD!$A:$AE,30,0)</f>
        <v>150</v>
      </c>
      <c r="K393" s="29">
        <f>SUMIF(B:B,Tabela2[[#This Row],[Tag]],C:C)/Tabela2[[#This Row],[Comprim. Real]]</f>
        <v>1</v>
      </c>
      <c r="L393" s="337" t="str">
        <f>VLOOKUP(Tabela2[[#This Row],[Tag]],BD!A:AF,32,0)</f>
        <v>COGxPERIF.IV</v>
      </c>
    </row>
    <row r="394" spans="1:12" x14ac:dyDescent="0.25">
      <c r="A394" s="391">
        <v>393</v>
      </c>
      <c r="B394" s="7" t="s">
        <v>1247</v>
      </c>
      <c r="C394" s="391">
        <v>150</v>
      </c>
      <c r="D394" s="32">
        <v>44268</v>
      </c>
      <c r="E394" s="32" t="str">
        <f>VLOOKUP(Tabela2[[#This Row],[Tag]],BD!$A:$B,2,0)</f>
        <v>Controle</v>
      </c>
      <c r="F394" s="32" t="str">
        <f>VLOOKUP(Tabela2[[#This Row],[Tag]],BD!A:J,10,0)</f>
        <v>GB-967A/B</v>
      </c>
      <c r="G394" s="31" t="str">
        <f>VLOOKUP(Tabela2[[#This Row],[Tag]],BD!$A:$V,20,0)</f>
        <v>BK-SP54-0900A-LC-80-00187_00000</v>
      </c>
      <c r="H394" s="32" t="str">
        <f>IF(VLOOKUP(Tabela2[[#This Row],[Tag]],BD!A:T,17,0)=0,"",VLOOKUP(Tabela2[[#This Row],[Tag]],BD!A:T,17,0))</f>
        <v>4.4.1</v>
      </c>
      <c r="I394" s="139">
        <v>44256</v>
      </c>
      <c r="J394" s="155">
        <f>VLOOKUP(Tabela2[[#This Row],[Tag]],BD!$A:$AE,30,0)</f>
        <v>150</v>
      </c>
      <c r="K394" s="29">
        <f>SUMIF(B:B,Tabela2[[#This Row],[Tag]],C:C)/Tabela2[[#This Row],[Comprim. Real]]</f>
        <v>1</v>
      </c>
      <c r="L394" s="337" t="str">
        <f>VLOOKUP(Tabela2[[#This Row],[Tag]],BD!A:AF,32,0)</f>
        <v>CCUxGB-967A/B</v>
      </c>
    </row>
    <row r="395" spans="1:12" x14ac:dyDescent="0.25">
      <c r="A395" s="391">
        <v>394</v>
      </c>
      <c r="B395" s="7" t="s">
        <v>206</v>
      </c>
      <c r="C395" s="157">
        <v>45</v>
      </c>
      <c r="D395" s="32">
        <v>44268</v>
      </c>
      <c r="E395" s="32" t="str">
        <f>VLOOKUP(Tabela2[[#This Row],[Tag]],BD!$A:$B,2,0)</f>
        <v>Controle</v>
      </c>
      <c r="F395" s="32" t="str">
        <f>VLOOKUP(Tabela2[[#This Row],[Tag]],BD!A:J,10,0)</f>
        <v>1HV</v>
      </c>
      <c r="G395" s="31" t="str">
        <f>VLOOKUP(Tabela2[[#This Row],[Tag]],BD!$A:$V,20,0)</f>
        <v>BK-SP54-0900A-LC-74-00001_00000</v>
      </c>
      <c r="H395" s="32" t="str">
        <f>IF(VLOOKUP(Tabela2[[#This Row],[Tag]],BD!A:T,17,0)=0,"",VLOOKUP(Tabela2[[#This Row],[Tag]],BD!A:T,17,0))</f>
        <v>5.8.1</v>
      </c>
      <c r="I395" s="139">
        <v>44256</v>
      </c>
      <c r="J395" s="155">
        <f>VLOOKUP(Tabela2[[#This Row],[Tag]],BD!$A:$AE,30,0)</f>
        <v>45</v>
      </c>
      <c r="K395" s="29">
        <f>SUMIF(B:B,Tabela2[[#This Row],[Tag]],C:C)/Tabela2[[#This Row],[Comprim. Real]]</f>
        <v>1</v>
      </c>
      <c r="L395" s="337" t="str">
        <f>VLOOKUP(Tabela2[[#This Row],[Tag]],BD!A:AF,32,0)</f>
        <v>1MV</v>
      </c>
    </row>
    <row r="396" spans="1:12" x14ac:dyDescent="0.25">
      <c r="A396" s="391">
        <v>395</v>
      </c>
      <c r="B396" s="7" t="s">
        <v>210</v>
      </c>
      <c r="C396" s="157">
        <v>40</v>
      </c>
      <c r="D396" s="32">
        <v>44268</v>
      </c>
      <c r="E396" s="32" t="str">
        <f>VLOOKUP(Tabela2[[#This Row],[Tag]],BD!$A:$B,2,0)</f>
        <v>Controle</v>
      </c>
      <c r="F396" s="32" t="str">
        <f>VLOOKUP(Tabela2[[#This Row],[Tag]],BD!A:J,10,0)</f>
        <v>1HV</v>
      </c>
      <c r="G396" s="31" t="str">
        <f>VLOOKUP(Tabela2[[#This Row],[Tag]],BD!$A:$V,20,0)</f>
        <v>BK-SP54-0900A-LC-74-00001_00000</v>
      </c>
      <c r="H396" s="32" t="str">
        <f>IF(VLOOKUP(Tabela2[[#This Row],[Tag]],BD!A:T,17,0)=0,"",VLOOKUP(Tabela2[[#This Row],[Tag]],BD!A:T,17,0))</f>
        <v>5.8.1</v>
      </c>
      <c r="I396" s="139">
        <v>44256</v>
      </c>
      <c r="J396" s="155">
        <f>VLOOKUP(Tabela2[[#This Row],[Tag]],BD!$A:$AE,30,0)</f>
        <v>40</v>
      </c>
      <c r="K396" s="29">
        <f>SUMIF(B:B,Tabela2[[#This Row],[Tag]],C:C)/Tabela2[[#This Row],[Comprim. Real]]</f>
        <v>1</v>
      </c>
      <c r="L396" s="337" t="str">
        <f>VLOOKUP(Tabela2[[#This Row],[Tag]],BD!A:AF,32,0)</f>
        <v>1MV</v>
      </c>
    </row>
    <row r="397" spans="1:12" x14ac:dyDescent="0.25">
      <c r="A397" s="391">
        <v>396</v>
      </c>
      <c r="B397" s="7" t="s">
        <v>144</v>
      </c>
      <c r="C397" s="157">
        <v>42</v>
      </c>
      <c r="D397" s="32">
        <v>44268</v>
      </c>
      <c r="E397" s="32" t="str">
        <f>VLOOKUP(Tabela2[[#This Row],[Tag]],BD!$A:$B,2,0)</f>
        <v>Controle</v>
      </c>
      <c r="F397" s="32" t="str">
        <f>VLOOKUP(Tabela2[[#This Row],[Tag]],BD!A:J,10,0)</f>
        <v>1HV</v>
      </c>
      <c r="G397" s="31" t="str">
        <f>VLOOKUP(Tabela2[[#This Row],[Tag]],BD!$A:$V,20,0)</f>
        <v>BK-SP54-0900A-LC-74-00001_00000</v>
      </c>
      <c r="H397" s="32" t="str">
        <f>IF(VLOOKUP(Tabela2[[#This Row],[Tag]],BD!A:T,17,0)=0,"",VLOOKUP(Tabela2[[#This Row],[Tag]],BD!A:T,17,0))</f>
        <v>5.8.1</v>
      </c>
      <c r="I397" s="139">
        <v>44256</v>
      </c>
      <c r="J397" s="155">
        <f>VLOOKUP(Tabela2[[#This Row],[Tag]],BD!$A:$AE,30,0)</f>
        <v>42</v>
      </c>
      <c r="K397" s="29">
        <f>SUMIF(B:B,Tabela2[[#This Row],[Tag]],C:C)/Tabela2[[#This Row],[Comprim. Real]]</f>
        <v>1</v>
      </c>
      <c r="L397" s="337" t="str">
        <f>VLOOKUP(Tabela2[[#This Row],[Tag]],BD!A:AF,32,0)</f>
        <v>1HV</v>
      </c>
    </row>
    <row r="398" spans="1:12" x14ac:dyDescent="0.25">
      <c r="A398" s="391">
        <v>397</v>
      </c>
      <c r="B398" s="7" t="s">
        <v>150</v>
      </c>
      <c r="C398" s="157">
        <v>42</v>
      </c>
      <c r="D398" s="32">
        <v>44268</v>
      </c>
      <c r="E398" s="32" t="str">
        <f>VLOOKUP(Tabela2[[#This Row],[Tag]],BD!$A:$B,2,0)</f>
        <v>Controle</v>
      </c>
      <c r="F398" s="32" t="str">
        <f>VLOOKUP(Tabela2[[#This Row],[Tag]],BD!A:J,10,0)</f>
        <v>1HV</v>
      </c>
      <c r="G398" s="31" t="str">
        <f>VLOOKUP(Tabela2[[#This Row],[Tag]],BD!$A:$V,20,0)</f>
        <v>BK-SP54-0900A-LC-74-00001_00000</v>
      </c>
      <c r="H398" s="32" t="str">
        <f>IF(VLOOKUP(Tabela2[[#This Row],[Tag]],BD!A:T,17,0)=0,"",VLOOKUP(Tabela2[[#This Row],[Tag]],BD!A:T,17,0))</f>
        <v>5.8.1</v>
      </c>
      <c r="I398" s="139">
        <v>44256</v>
      </c>
      <c r="J398" s="155">
        <f>VLOOKUP(Tabela2[[#This Row],[Tag]],BD!$A:$AE,30,0)</f>
        <v>42</v>
      </c>
      <c r="K398" s="29">
        <f>SUMIF(B:B,Tabela2[[#This Row],[Tag]],C:C)/Tabela2[[#This Row],[Comprim. Real]]</f>
        <v>1</v>
      </c>
      <c r="L398" s="337" t="str">
        <f>VLOOKUP(Tabela2[[#This Row],[Tag]],BD!A:AF,32,0)</f>
        <v>1HV</v>
      </c>
    </row>
    <row r="399" spans="1:12" x14ac:dyDescent="0.25">
      <c r="A399" s="391">
        <v>398</v>
      </c>
      <c r="B399" s="7" t="s">
        <v>152</v>
      </c>
      <c r="C399" s="157">
        <v>42</v>
      </c>
      <c r="D399" s="32">
        <v>44268</v>
      </c>
      <c r="E399" s="32" t="str">
        <f>VLOOKUP(Tabela2[[#This Row],[Tag]],BD!$A:$B,2,0)</f>
        <v>Controle</v>
      </c>
      <c r="F399" s="32" t="str">
        <f>VLOOKUP(Tabela2[[#This Row],[Tag]],BD!A:J,10,0)</f>
        <v>1HV</v>
      </c>
      <c r="G399" s="31" t="str">
        <f>VLOOKUP(Tabela2[[#This Row],[Tag]],BD!$A:$V,20,0)</f>
        <v>BK-SP54-0900A-LC-74-00001_00000</v>
      </c>
      <c r="H399" s="32" t="str">
        <f>IF(VLOOKUP(Tabela2[[#This Row],[Tag]],BD!A:T,17,0)=0,"",VLOOKUP(Tabela2[[#This Row],[Tag]],BD!A:T,17,0))</f>
        <v>5.8.1</v>
      </c>
      <c r="I399" s="139">
        <v>44256</v>
      </c>
      <c r="J399" s="155">
        <f>VLOOKUP(Tabela2[[#This Row],[Tag]],BD!$A:$AE,30,0)</f>
        <v>42</v>
      </c>
      <c r="K399" s="29">
        <f>SUMIF(B:B,Tabela2[[#This Row],[Tag]],C:C)/Tabela2[[#This Row],[Comprim. Real]]</f>
        <v>1</v>
      </c>
      <c r="L399" s="337" t="str">
        <f>VLOOKUP(Tabela2[[#This Row],[Tag]],BD!A:AF,32,0)</f>
        <v>1HV</v>
      </c>
    </row>
    <row r="400" spans="1:12" x14ac:dyDescent="0.25">
      <c r="A400" s="391">
        <v>399</v>
      </c>
      <c r="B400" s="7" t="s">
        <v>172</v>
      </c>
      <c r="C400" s="157">
        <v>42</v>
      </c>
      <c r="D400" s="32">
        <v>44268</v>
      </c>
      <c r="E400" s="32" t="str">
        <f>VLOOKUP(Tabela2[[#This Row],[Tag]],BD!$A:$B,2,0)</f>
        <v>Controle</v>
      </c>
      <c r="F400" s="32" t="str">
        <f>VLOOKUP(Tabela2[[#This Row],[Tag]],BD!A:J,10,0)</f>
        <v>1HV</v>
      </c>
      <c r="G400" s="31" t="str">
        <f>VLOOKUP(Tabela2[[#This Row],[Tag]],BD!$A:$V,20,0)</f>
        <v>BK-SP54-0900A-LC-74-00001_00000</v>
      </c>
      <c r="H400" s="32" t="str">
        <f>IF(VLOOKUP(Tabela2[[#This Row],[Tag]],BD!A:T,17,0)=0,"",VLOOKUP(Tabela2[[#This Row],[Tag]],BD!A:T,17,0))</f>
        <v>5.8.1</v>
      </c>
      <c r="I400" s="139">
        <v>44256</v>
      </c>
      <c r="J400" s="155">
        <f>VLOOKUP(Tabela2[[#This Row],[Tag]],BD!$A:$AE,30,0)</f>
        <v>42</v>
      </c>
      <c r="K400" s="29">
        <f>SUMIF(B:B,Tabela2[[#This Row],[Tag]],C:C)/Tabela2[[#This Row],[Comprim. Real]]</f>
        <v>1</v>
      </c>
      <c r="L400" s="337" t="str">
        <f>VLOOKUP(Tabela2[[#This Row],[Tag]],BD!A:AF,32,0)</f>
        <v>1HVx1MV</v>
      </c>
    </row>
    <row r="401" spans="1:12" x14ac:dyDescent="0.25">
      <c r="A401" s="391">
        <v>400</v>
      </c>
      <c r="B401" s="7" t="s">
        <v>174</v>
      </c>
      <c r="C401" s="157">
        <v>42</v>
      </c>
      <c r="D401" s="32">
        <v>44268</v>
      </c>
      <c r="E401" s="32" t="str">
        <f>VLOOKUP(Tabela2[[#This Row],[Tag]],BD!$A:$B,2,0)</f>
        <v>Controle</v>
      </c>
      <c r="F401" s="32" t="str">
        <f>VLOOKUP(Tabela2[[#This Row],[Tag]],BD!A:J,10,0)</f>
        <v>1HV</v>
      </c>
      <c r="G401" s="31" t="str">
        <f>VLOOKUP(Tabela2[[#This Row],[Tag]],BD!$A:$V,20,0)</f>
        <v>BK-SP54-0900A-LC-74-00001_00000</v>
      </c>
      <c r="H401" s="32" t="str">
        <f>IF(VLOOKUP(Tabela2[[#This Row],[Tag]],BD!A:T,17,0)=0,"",VLOOKUP(Tabela2[[#This Row],[Tag]],BD!A:T,17,0))</f>
        <v>5.8.1</v>
      </c>
      <c r="I401" s="139">
        <v>44256</v>
      </c>
      <c r="J401" s="155">
        <f>VLOOKUP(Tabela2[[#This Row],[Tag]],BD!$A:$AE,30,0)</f>
        <v>42</v>
      </c>
      <c r="K401" s="29">
        <f>SUMIF(B:B,Tabela2[[#This Row],[Tag]],C:C)/Tabela2[[#This Row],[Comprim. Real]]</f>
        <v>1</v>
      </c>
      <c r="L401" s="337" t="str">
        <f>VLOOKUP(Tabela2[[#This Row],[Tag]],BD!A:AF,32,0)</f>
        <v>1HVx1MV</v>
      </c>
    </row>
    <row r="402" spans="1:12" x14ac:dyDescent="0.25">
      <c r="A402" s="391">
        <v>401</v>
      </c>
      <c r="B402" s="7" t="s">
        <v>176</v>
      </c>
      <c r="C402" s="157">
        <v>38</v>
      </c>
      <c r="D402" s="32">
        <v>44268</v>
      </c>
      <c r="E402" s="32" t="str">
        <f>VLOOKUP(Tabela2[[#This Row],[Tag]],BD!$A:$B,2,0)</f>
        <v>Controle</v>
      </c>
      <c r="F402" s="32" t="str">
        <f>VLOOKUP(Tabela2[[#This Row],[Tag]],BD!A:J,10,0)</f>
        <v>1HV</v>
      </c>
      <c r="G402" s="31" t="str">
        <f>VLOOKUP(Tabela2[[#This Row],[Tag]],BD!$A:$V,20,0)</f>
        <v>BK-SP54-0900A-LC-74-00001_00000</v>
      </c>
      <c r="H402" s="32" t="str">
        <f>IF(VLOOKUP(Tabela2[[#This Row],[Tag]],BD!A:T,17,0)=0,"",VLOOKUP(Tabela2[[#This Row],[Tag]],BD!A:T,17,0))</f>
        <v>5.8.1</v>
      </c>
      <c r="I402" s="139">
        <v>44256</v>
      </c>
      <c r="J402" s="155">
        <f>VLOOKUP(Tabela2[[#This Row],[Tag]],BD!$A:$AE,30,0)</f>
        <v>38</v>
      </c>
      <c r="K402" s="29">
        <f>SUMIF(B:B,Tabela2[[#This Row],[Tag]],C:C)/Tabela2[[#This Row],[Comprim. Real]]</f>
        <v>1</v>
      </c>
      <c r="L402" s="337" t="str">
        <f>VLOOKUP(Tabela2[[#This Row],[Tag]],BD!A:AF,32,0)</f>
        <v>1HVx1MV</v>
      </c>
    </row>
    <row r="403" spans="1:12" x14ac:dyDescent="0.25">
      <c r="A403" s="391">
        <v>402</v>
      </c>
      <c r="B403" s="7" t="s">
        <v>178</v>
      </c>
      <c r="C403" s="157">
        <v>41</v>
      </c>
      <c r="D403" s="32">
        <v>44268</v>
      </c>
      <c r="E403" s="32" t="str">
        <f>VLOOKUP(Tabela2[[#This Row],[Tag]],BD!$A:$B,2,0)</f>
        <v>Controle</v>
      </c>
      <c r="F403" s="32" t="str">
        <f>VLOOKUP(Tabela2[[#This Row],[Tag]],BD!A:J,10,0)</f>
        <v>1HV</v>
      </c>
      <c r="G403" s="31" t="str">
        <f>VLOOKUP(Tabela2[[#This Row],[Tag]],BD!$A:$V,20,0)</f>
        <v>BK-SP54-0900A-LC-74-00001_00000</v>
      </c>
      <c r="H403" s="32" t="str">
        <f>IF(VLOOKUP(Tabela2[[#This Row],[Tag]],BD!A:T,17,0)=0,"",VLOOKUP(Tabela2[[#This Row],[Tag]],BD!A:T,17,0))</f>
        <v>5.8.1</v>
      </c>
      <c r="I403" s="139">
        <v>44256</v>
      </c>
      <c r="J403" s="155">
        <f>VLOOKUP(Tabela2[[#This Row],[Tag]],BD!$A:$AE,30,0)</f>
        <v>41</v>
      </c>
      <c r="K403" s="29">
        <f>SUMIF(B:B,Tabela2[[#This Row],[Tag]],C:C)/Tabela2[[#This Row],[Comprim. Real]]</f>
        <v>1</v>
      </c>
      <c r="L403" s="337" t="str">
        <f>VLOOKUP(Tabela2[[#This Row],[Tag]],BD!A:AF,32,0)</f>
        <v>1HVx1MV</v>
      </c>
    </row>
    <row r="404" spans="1:12" x14ac:dyDescent="0.25">
      <c r="A404" s="361">
        <v>403</v>
      </c>
      <c r="B404" s="362" t="s">
        <v>1064</v>
      </c>
      <c r="C404" s="361">
        <v>20</v>
      </c>
      <c r="D404" s="363">
        <v>44277</v>
      </c>
      <c r="E404" s="363" t="str">
        <f>VLOOKUP(Tabela2[[#This Row],[Tag]],BD!$A:$B,2,0)</f>
        <v>Força</v>
      </c>
      <c r="F404" s="363" t="str">
        <f>VLOOKUP(Tabela2[[#This Row],[Tag]],BD!A:J,10,0)</f>
        <v>CCP</v>
      </c>
      <c r="G404" s="364" t="str">
        <f>VLOOKUP(Tabela2[[#This Row],[Tag]],BD!$A:$V,20,0)</f>
        <v>BK-SP54-0900A-LC-74-00001_00000</v>
      </c>
      <c r="H404" s="363" t="str">
        <f>IF(VLOOKUP(Tabela2[[#This Row],[Tag]],BD!A:T,17,0)=0,"",VLOOKUP(Tabela2[[#This Row],[Tag]],BD!A:T,17,0))</f>
        <v>5.10.2</v>
      </c>
      <c r="I404" s="139">
        <v>44256</v>
      </c>
      <c r="J404" s="365">
        <f>VLOOKUP(Tabela2[[#This Row],[Tag]],BD!$A:$AE,30,0)</f>
        <v>20</v>
      </c>
      <c r="K404" s="366">
        <f>SUMIF(B:B,Tabela2[[#This Row],[Tag]],C:C)/Tabela2[[#This Row],[Comprim. Real]]</f>
        <v>1</v>
      </c>
      <c r="L404" s="367" t="str">
        <f>VLOOKUP(Tabela2[[#This Row],[Tag]],BD!A:AF,32,0)</f>
        <v>CCP</v>
      </c>
    </row>
    <row r="405" spans="1:12" x14ac:dyDescent="0.25">
      <c r="A405" s="361">
        <v>405</v>
      </c>
      <c r="B405" s="7" t="s">
        <v>1069</v>
      </c>
      <c r="C405" s="361">
        <v>20</v>
      </c>
      <c r="D405" s="363">
        <v>44277</v>
      </c>
      <c r="E405" s="363" t="str">
        <f>VLOOKUP(Tabela2[[#This Row],[Tag]],BD!$A:$B,2,0)</f>
        <v>Força</v>
      </c>
      <c r="F405" s="363" t="str">
        <f>VLOOKUP(Tabela2[[#This Row],[Tag]],BD!A:J,10,0)</f>
        <v>CCP</v>
      </c>
      <c r="G405" s="364" t="str">
        <f>VLOOKUP(Tabela2[[#This Row],[Tag]],BD!$A:$V,20,0)</f>
        <v>BK-SP54-0900A-LC-74-00001_00000</v>
      </c>
      <c r="H405" s="363" t="str">
        <f>IF(VLOOKUP(Tabela2[[#This Row],[Tag]],BD!A:T,17,0)=0,"",VLOOKUP(Tabela2[[#This Row],[Tag]],BD!A:T,17,0))</f>
        <v>5.10.2</v>
      </c>
      <c r="I405" s="139">
        <v>44256</v>
      </c>
      <c r="J405" s="365">
        <f>VLOOKUP(Tabela2[[#This Row],[Tag]],BD!$A:$AE,30,0)</f>
        <v>20</v>
      </c>
      <c r="K405" s="366">
        <f>SUMIF(B:B,Tabela2[[#This Row],[Tag]],C:C)/Tabela2[[#This Row],[Comprim. Real]]</f>
        <v>1</v>
      </c>
      <c r="L405" s="367" t="str">
        <f>VLOOKUP(Tabela2[[#This Row],[Tag]],BD!A:AF,32,0)</f>
        <v>CCP</v>
      </c>
    </row>
    <row r="406" spans="1:12" x14ac:dyDescent="0.25">
      <c r="A406" s="361">
        <v>406</v>
      </c>
      <c r="B406" s="7" t="s">
        <v>1326</v>
      </c>
      <c r="C406" s="361">
        <v>70</v>
      </c>
      <c r="D406" s="363">
        <v>44277</v>
      </c>
      <c r="E406" s="363" t="str">
        <f>VLOOKUP(Tabela2[[#This Row],[Tag]],BD!$A:$B,2,0)</f>
        <v>Controle</v>
      </c>
      <c r="F406" s="363" t="str">
        <f>VLOOKUP(Tabela2[[#This Row],[Tag]],BD!A:J,10,0)</f>
        <v>GA-906E</v>
      </c>
      <c r="G406" s="364" t="str">
        <f>VLOOKUP(Tabela2[[#This Row],[Tag]],BD!$A:$V,20,0)</f>
        <v>BK-SP54-0900A-LC-80-00188_00000</v>
      </c>
      <c r="H406" s="363" t="str">
        <f>IF(VLOOKUP(Tabela2[[#This Row],[Tag]],BD!A:T,17,0)=0,"",VLOOKUP(Tabela2[[#This Row],[Tag]],BD!A:T,17,0))</f>
        <v>4.7.1</v>
      </c>
      <c r="I406" s="139">
        <v>44256</v>
      </c>
      <c r="J406" s="365">
        <f>VLOOKUP(Tabela2[[#This Row],[Tag]],BD!$A:$AE,30,0)</f>
        <v>70</v>
      </c>
      <c r="K406" s="366">
        <f>SUMIF(B:B,Tabela2[[#This Row],[Tag]],C:C)/Tabela2[[#This Row],[Comprim. Real]]</f>
        <v>1</v>
      </c>
      <c r="L406" s="367" t="str">
        <f>VLOOKUP(Tabela2[[#This Row],[Tag]],BD!A:AF,32,0)</f>
        <v>GA-906E</v>
      </c>
    </row>
    <row r="407" spans="1:12" x14ac:dyDescent="0.25">
      <c r="A407" s="361">
        <v>407</v>
      </c>
      <c r="B407" s="7" t="s">
        <v>1328</v>
      </c>
      <c r="C407" s="361">
        <v>70</v>
      </c>
      <c r="D407" s="363">
        <v>44277</v>
      </c>
      <c r="E407" s="363" t="str">
        <f>VLOOKUP(Tabela2[[#This Row],[Tag]],BD!$A:$B,2,0)</f>
        <v>Controle</v>
      </c>
      <c r="F407" s="363" t="str">
        <f>VLOOKUP(Tabela2[[#This Row],[Tag]],BD!A:J,10,0)</f>
        <v>GA-906E</v>
      </c>
      <c r="G407" s="364" t="str">
        <f>VLOOKUP(Tabela2[[#This Row],[Tag]],BD!$A:$V,20,0)</f>
        <v>BK-SP54-0900A-LC-80-00188_00000</v>
      </c>
      <c r="H407" s="363" t="str">
        <f>IF(VLOOKUP(Tabela2[[#This Row],[Tag]],BD!A:T,17,0)=0,"",VLOOKUP(Tabela2[[#This Row],[Tag]],BD!A:T,17,0))</f>
        <v>4.7.1</v>
      </c>
      <c r="I407" s="139">
        <v>44256</v>
      </c>
      <c r="J407" s="365">
        <f>VLOOKUP(Tabela2[[#This Row],[Tag]],BD!$A:$AE,30,0)</f>
        <v>70</v>
      </c>
      <c r="K407" s="366">
        <f>SUMIF(B:B,Tabela2[[#This Row],[Tag]],C:C)/Tabela2[[#This Row],[Comprim. Real]]</f>
        <v>1</v>
      </c>
      <c r="L407" s="367" t="str">
        <f>VLOOKUP(Tabela2[[#This Row],[Tag]],BD!A:AF,32,0)</f>
        <v>GA-906E</v>
      </c>
    </row>
    <row r="408" spans="1:12" x14ac:dyDescent="0.25">
      <c r="A408" s="361">
        <v>408</v>
      </c>
      <c r="B408" s="362" t="s">
        <v>1329</v>
      </c>
      <c r="C408" s="361">
        <v>62</v>
      </c>
      <c r="D408" s="363">
        <v>44277</v>
      </c>
      <c r="E408" s="363" t="str">
        <f>VLOOKUP(Tabela2[[#This Row],[Tag]],BD!$A:$B,2,0)</f>
        <v>Controle</v>
      </c>
      <c r="F408" s="363" t="str">
        <f>VLOOKUP(Tabela2[[#This Row],[Tag]],BD!A:J,10,0)</f>
        <v>GA-906E</v>
      </c>
      <c r="G408" s="364" t="str">
        <f>VLOOKUP(Tabela2[[#This Row],[Tag]],BD!$A:$V,20,0)</f>
        <v>BK-SP54-0900A-LC-80-00188_00000</v>
      </c>
      <c r="H408" s="363" t="str">
        <f>IF(VLOOKUP(Tabela2[[#This Row],[Tag]],BD!A:T,17,0)=0,"",VLOOKUP(Tabela2[[#This Row],[Tag]],BD!A:T,17,0))</f>
        <v>4.7.1</v>
      </c>
      <c r="I408" s="139">
        <v>44256</v>
      </c>
      <c r="J408" s="365">
        <f>VLOOKUP(Tabela2[[#This Row],[Tag]],BD!$A:$AE,30,0)</f>
        <v>62</v>
      </c>
      <c r="K408" s="366">
        <f>SUMIF(B:B,Tabela2[[#This Row],[Tag]],C:C)/Tabela2[[#This Row],[Comprim. Real]]</f>
        <v>1</v>
      </c>
      <c r="L408" s="367" t="str">
        <f>VLOOKUP(Tabela2[[#This Row],[Tag]],BD!A:AF,32,0)</f>
        <v>GA-906E</v>
      </c>
    </row>
    <row r="409" spans="1:12" x14ac:dyDescent="0.25">
      <c r="A409" s="361">
        <v>409</v>
      </c>
      <c r="B409" s="362" t="s">
        <v>1330</v>
      </c>
      <c r="C409" s="361">
        <v>50</v>
      </c>
      <c r="D409" s="363">
        <v>44277</v>
      </c>
      <c r="E409" s="363" t="str">
        <f>VLOOKUP(Tabela2[[#This Row],[Tag]],BD!$A:$B,2,0)</f>
        <v>Controle</v>
      </c>
      <c r="F409" s="363" t="str">
        <f>VLOOKUP(Tabela2[[#This Row],[Tag]],BD!A:J,10,0)</f>
        <v>GA-906E</v>
      </c>
      <c r="G409" s="364" t="str">
        <f>VLOOKUP(Tabela2[[#This Row],[Tag]],BD!$A:$V,20,0)</f>
        <v>BK-SP54-0900A-LC-80-00188_00000</v>
      </c>
      <c r="H409" s="363" t="str">
        <f>IF(VLOOKUP(Tabela2[[#This Row],[Tag]],BD!A:T,17,0)=0,"",VLOOKUP(Tabela2[[#This Row],[Tag]],BD!A:T,17,0))</f>
        <v>4.7.1</v>
      </c>
      <c r="I409" s="139">
        <v>44256</v>
      </c>
      <c r="J409" s="365">
        <f>VLOOKUP(Tabela2[[#This Row],[Tag]],BD!$A:$AE,30,0)</f>
        <v>50</v>
      </c>
      <c r="K409" s="366">
        <f>SUMIF(B:B,Tabela2[[#This Row],[Tag]],C:C)/Tabela2[[#This Row],[Comprim. Real]]</f>
        <v>1</v>
      </c>
      <c r="L409" s="367" t="str">
        <f>VLOOKUP(Tabela2[[#This Row],[Tag]],BD!A:AF,32,0)</f>
        <v>GA-906E</v>
      </c>
    </row>
    <row r="410" spans="1:12" x14ac:dyDescent="0.25">
      <c r="A410" s="361">
        <v>410</v>
      </c>
      <c r="B410" s="362" t="s">
        <v>1331</v>
      </c>
      <c r="C410" s="361">
        <v>50</v>
      </c>
      <c r="D410" s="363">
        <v>44277</v>
      </c>
      <c r="E410" s="363" t="str">
        <f>VLOOKUP(Tabela2[[#This Row],[Tag]],BD!$A:$B,2,0)</f>
        <v>Controle</v>
      </c>
      <c r="F410" s="363" t="str">
        <f>VLOOKUP(Tabela2[[#This Row],[Tag]],BD!A:J,10,0)</f>
        <v>GA-906E</v>
      </c>
      <c r="G410" s="364" t="str">
        <f>VLOOKUP(Tabela2[[#This Row],[Tag]],BD!$A:$V,20,0)</f>
        <v>BK-SP54-0900A-LC-80-00188_00000</v>
      </c>
      <c r="H410" s="363" t="str">
        <f>IF(VLOOKUP(Tabela2[[#This Row],[Tag]],BD!A:T,17,0)=0,"",VLOOKUP(Tabela2[[#This Row],[Tag]],BD!A:T,17,0))</f>
        <v>4.7.1</v>
      </c>
      <c r="I410" s="139">
        <v>44256</v>
      </c>
      <c r="J410" s="365">
        <f>VLOOKUP(Tabela2[[#This Row],[Tag]],BD!$A:$AE,30,0)</f>
        <v>50</v>
      </c>
      <c r="K410" s="366">
        <f>SUMIF(B:B,Tabela2[[#This Row],[Tag]],C:C)/Tabela2[[#This Row],[Comprim. Real]]</f>
        <v>1</v>
      </c>
      <c r="L410" s="367" t="str">
        <f>VLOOKUP(Tabela2[[#This Row],[Tag]],BD!A:AF,32,0)</f>
        <v>GA-906E</v>
      </c>
    </row>
    <row r="411" spans="1:12" x14ac:dyDescent="0.25">
      <c r="A411" s="361">
        <v>411</v>
      </c>
      <c r="B411" s="362" t="s">
        <v>1332</v>
      </c>
      <c r="C411" s="361">
        <v>28</v>
      </c>
      <c r="D411" s="363">
        <v>44277</v>
      </c>
      <c r="E411" s="363" t="str">
        <f>VLOOKUP(Tabela2[[#This Row],[Tag]],BD!$A:$B,2,0)</f>
        <v>Controle</v>
      </c>
      <c r="F411" s="363" t="str">
        <f>VLOOKUP(Tabela2[[#This Row],[Tag]],BD!A:J,10,0)</f>
        <v>GA-906E</v>
      </c>
      <c r="G411" s="364" t="str">
        <f>VLOOKUP(Tabela2[[#This Row],[Tag]],BD!$A:$V,20,0)</f>
        <v>BK-SP54-0900A-LC-80-00188_00000</v>
      </c>
      <c r="H411" s="363" t="str">
        <f>IF(VLOOKUP(Tabela2[[#This Row],[Tag]],BD!A:T,17,0)=0,"",VLOOKUP(Tabela2[[#This Row],[Tag]],BD!A:T,17,0))</f>
        <v>4.7.1</v>
      </c>
      <c r="I411" s="139">
        <v>44256</v>
      </c>
      <c r="J411" s="365">
        <f>VLOOKUP(Tabela2[[#This Row],[Tag]],BD!$A:$AE,30,0)</f>
        <v>28</v>
      </c>
      <c r="K411" s="366">
        <f>SUMIF(B:B,Tabela2[[#This Row],[Tag]],C:C)/Tabela2[[#This Row],[Comprim. Real]]</f>
        <v>1</v>
      </c>
      <c r="L411" s="367" t="str">
        <f>VLOOKUP(Tabela2[[#This Row],[Tag]],BD!A:AF,32,0)</f>
        <v>GA-906E</v>
      </c>
    </row>
    <row r="412" spans="1:12" x14ac:dyDescent="0.25">
      <c r="A412" s="361">
        <v>412</v>
      </c>
      <c r="B412" s="362" t="s">
        <v>1338</v>
      </c>
      <c r="C412" s="361">
        <v>2</v>
      </c>
      <c r="D412" s="363">
        <v>44277</v>
      </c>
      <c r="E412" s="363" t="str">
        <f>VLOOKUP(Tabela2[[#This Row],[Tag]],BD!$A:$B,2,0)</f>
        <v>Controle</v>
      </c>
      <c r="F412" s="363" t="str">
        <f>VLOOKUP(Tabela2[[#This Row],[Tag]],BD!A:J,10,0)</f>
        <v>GA-906E</v>
      </c>
      <c r="G412" s="364" t="str">
        <f>VLOOKUP(Tabela2[[#This Row],[Tag]],BD!$A:$V,20,0)</f>
        <v>BK-SP54-0900A-LC-80-00188_00000</v>
      </c>
      <c r="H412" s="363" t="str">
        <f>IF(VLOOKUP(Tabela2[[#This Row],[Tag]],BD!A:T,17,0)=0,"",VLOOKUP(Tabela2[[#This Row],[Tag]],BD!A:T,17,0))</f>
        <v>4.7.1</v>
      </c>
      <c r="I412" s="139">
        <v>44256</v>
      </c>
      <c r="J412" s="365">
        <f>VLOOKUP(Tabela2[[#This Row],[Tag]],BD!$A:$AE,30,0)</f>
        <v>2</v>
      </c>
      <c r="K412" s="366">
        <f>SUMIF(B:B,Tabela2[[#This Row],[Tag]],C:C)/Tabela2[[#This Row],[Comprim. Real]]</f>
        <v>1</v>
      </c>
      <c r="L412" s="367" t="str">
        <f>VLOOKUP(Tabela2[[#This Row],[Tag]],BD!A:AF,32,0)</f>
        <v>GA-906E</v>
      </c>
    </row>
    <row r="413" spans="1:12" x14ac:dyDescent="0.25">
      <c r="A413" s="361">
        <v>413</v>
      </c>
      <c r="B413" s="7" t="s">
        <v>1346</v>
      </c>
      <c r="C413" s="361">
        <v>33</v>
      </c>
      <c r="D413" s="363">
        <v>44277</v>
      </c>
      <c r="E413" s="363" t="str">
        <f>VLOOKUP(Tabela2[[#This Row],[Tag]],BD!$A:$B,2,0)</f>
        <v>Controle</v>
      </c>
      <c r="F413" s="363" t="str">
        <f>VLOOKUP(Tabela2[[#This Row],[Tag]],BD!A:J,10,0)</f>
        <v>GA-9312/S</v>
      </c>
      <c r="G413" s="364" t="str">
        <f>VLOOKUP(Tabela2[[#This Row],[Tag]],BD!$A:$V,20,0)</f>
        <v>BK-SP54-0900A-LC-80-00188_00000</v>
      </c>
      <c r="H413" s="363" t="str">
        <f>IF(VLOOKUP(Tabela2[[#This Row],[Tag]],BD!A:T,17,0)=0,"",VLOOKUP(Tabela2[[#This Row],[Tag]],BD!A:T,17,0))</f>
        <v>4.7.1</v>
      </c>
      <c r="I413" s="139">
        <v>44256</v>
      </c>
      <c r="J413" s="365">
        <f>VLOOKUP(Tabela2[[#This Row],[Tag]],BD!$A:$AE,30,0)</f>
        <v>33</v>
      </c>
      <c r="K413" s="366">
        <f>SUMIF(B:B,Tabela2[[#This Row],[Tag]],C:C)/Tabela2[[#This Row],[Comprim. Real]]</f>
        <v>1</v>
      </c>
      <c r="L413" s="367" t="str">
        <f>VLOOKUP(Tabela2[[#This Row],[Tag]],BD!A:AF,32,0)</f>
        <v>GA-9312/S</v>
      </c>
    </row>
    <row r="414" spans="1:12" x14ac:dyDescent="0.25">
      <c r="A414" s="361">
        <v>414</v>
      </c>
      <c r="B414" s="7" t="s">
        <v>1348</v>
      </c>
      <c r="C414" s="361">
        <v>32</v>
      </c>
      <c r="D414" s="363">
        <v>44277</v>
      </c>
      <c r="E414" s="363" t="str">
        <f>VLOOKUP(Tabela2[[#This Row],[Tag]],BD!$A:$B,2,0)</f>
        <v>Controle</v>
      </c>
      <c r="F414" s="363" t="str">
        <f>VLOOKUP(Tabela2[[#This Row],[Tag]],BD!A:J,10,0)</f>
        <v>GA-9312/S</v>
      </c>
      <c r="G414" s="364" t="str">
        <f>VLOOKUP(Tabela2[[#This Row],[Tag]],BD!$A:$V,20,0)</f>
        <v>BK-SP54-0900A-LC-80-00188_00000</v>
      </c>
      <c r="H414" s="363" t="str">
        <f>IF(VLOOKUP(Tabela2[[#This Row],[Tag]],BD!A:T,17,0)=0,"",VLOOKUP(Tabela2[[#This Row],[Tag]],BD!A:T,17,0))</f>
        <v>4.7.1</v>
      </c>
      <c r="I414" s="139">
        <v>44256</v>
      </c>
      <c r="J414" s="365">
        <f>VLOOKUP(Tabela2[[#This Row],[Tag]],BD!$A:$AE,30,0)</f>
        <v>32</v>
      </c>
      <c r="K414" s="366">
        <f>SUMIF(B:B,Tabela2[[#This Row],[Tag]],C:C)/Tabela2[[#This Row],[Comprim. Real]]</f>
        <v>1</v>
      </c>
      <c r="L414" s="367" t="str">
        <f>VLOOKUP(Tabela2[[#This Row],[Tag]],BD!A:AF,32,0)</f>
        <v>GA-9312/S</v>
      </c>
    </row>
    <row r="415" spans="1:12" x14ac:dyDescent="0.25">
      <c r="A415" s="361">
        <v>415</v>
      </c>
      <c r="B415" s="7" t="s">
        <v>1349</v>
      </c>
      <c r="C415" s="361">
        <v>30</v>
      </c>
      <c r="D415" s="363">
        <v>44277</v>
      </c>
      <c r="E415" s="363" t="str">
        <f>VLOOKUP(Tabela2[[#This Row],[Tag]],BD!$A:$B,2,0)</f>
        <v>Controle</v>
      </c>
      <c r="F415" s="363" t="str">
        <f>VLOOKUP(Tabela2[[#This Row],[Tag]],BD!A:J,10,0)</f>
        <v>GA-9312/S</v>
      </c>
      <c r="G415" s="364" t="str">
        <f>VLOOKUP(Tabela2[[#This Row],[Tag]],BD!$A:$V,20,0)</f>
        <v>BK-SP54-0900A-LC-80-00188_00000</v>
      </c>
      <c r="H415" s="363" t="str">
        <f>IF(VLOOKUP(Tabela2[[#This Row],[Tag]],BD!A:T,17,0)=0,"",VLOOKUP(Tabela2[[#This Row],[Tag]],BD!A:T,17,0))</f>
        <v>4.7.1</v>
      </c>
      <c r="I415" s="139">
        <v>44256</v>
      </c>
      <c r="J415" s="365">
        <f>VLOOKUP(Tabela2[[#This Row],[Tag]],BD!$A:$AE,30,0)</f>
        <v>30</v>
      </c>
      <c r="K415" s="366">
        <f>SUMIF(B:B,Tabela2[[#This Row],[Tag]],C:C)/Tabela2[[#This Row],[Comprim. Real]]</f>
        <v>1</v>
      </c>
      <c r="L415" s="367" t="str">
        <f>VLOOKUP(Tabela2[[#This Row],[Tag]],BD!A:AF,32,0)</f>
        <v>GA-9312/S</v>
      </c>
    </row>
    <row r="416" spans="1:12" x14ac:dyDescent="0.25">
      <c r="A416" s="361">
        <v>416</v>
      </c>
      <c r="B416" s="362" t="s">
        <v>1350</v>
      </c>
      <c r="C416" s="361">
        <v>25</v>
      </c>
      <c r="D416" s="363">
        <v>44277</v>
      </c>
      <c r="E416" s="363" t="str">
        <f>VLOOKUP(Tabela2[[#This Row],[Tag]],BD!$A:$B,2,0)</f>
        <v>Controle</v>
      </c>
      <c r="F416" s="363" t="str">
        <f>VLOOKUP(Tabela2[[#This Row],[Tag]],BD!A:J,10,0)</f>
        <v>GA-9312/S</v>
      </c>
      <c r="G416" s="364" t="str">
        <f>VLOOKUP(Tabela2[[#This Row],[Tag]],BD!$A:$V,20,0)</f>
        <v>BK-SP54-0900A-LC-80-00188_00000</v>
      </c>
      <c r="H416" s="363" t="str">
        <f>IF(VLOOKUP(Tabela2[[#This Row],[Tag]],BD!A:T,17,0)=0,"",VLOOKUP(Tabela2[[#This Row],[Tag]],BD!A:T,17,0))</f>
        <v>4.7.1</v>
      </c>
      <c r="I416" s="139">
        <v>44256</v>
      </c>
      <c r="J416" s="365">
        <f>VLOOKUP(Tabela2[[#This Row],[Tag]],BD!$A:$AE,30,0)</f>
        <v>25</v>
      </c>
      <c r="K416" s="366">
        <f>SUMIF(B:B,Tabela2[[#This Row],[Tag]],C:C)/Tabela2[[#This Row],[Comprim. Real]]</f>
        <v>1</v>
      </c>
      <c r="L416" s="367" t="str">
        <f>VLOOKUP(Tabela2[[#This Row],[Tag]],BD!A:AF,32,0)</f>
        <v>GA-9312/S</v>
      </c>
    </row>
    <row r="417" spans="1:12" x14ac:dyDescent="0.25">
      <c r="A417" s="361">
        <v>417</v>
      </c>
      <c r="B417" s="7" t="s">
        <v>1352</v>
      </c>
      <c r="C417" s="361">
        <v>25</v>
      </c>
      <c r="D417" s="363">
        <v>44277</v>
      </c>
      <c r="E417" s="363" t="str">
        <f>VLOOKUP(Tabela2[[#This Row],[Tag]],BD!$A:$B,2,0)</f>
        <v>Controle</v>
      </c>
      <c r="F417" s="363" t="str">
        <f>VLOOKUP(Tabela2[[#This Row],[Tag]],BD!A:J,10,0)</f>
        <v>GA-9312/S</v>
      </c>
      <c r="G417" s="364" t="str">
        <f>VLOOKUP(Tabela2[[#This Row],[Tag]],BD!$A:$V,20,0)</f>
        <v>BK-SP54-0900A-LC-80-00188_00000</v>
      </c>
      <c r="H417" s="363" t="str">
        <f>IF(VLOOKUP(Tabela2[[#This Row],[Tag]],BD!A:T,17,0)=0,"",VLOOKUP(Tabela2[[#This Row],[Tag]],BD!A:T,17,0))</f>
        <v>4.7.1</v>
      </c>
      <c r="I417" s="139">
        <v>44256</v>
      </c>
      <c r="J417" s="365">
        <f>VLOOKUP(Tabela2[[#This Row],[Tag]],BD!$A:$AE,30,0)</f>
        <v>25</v>
      </c>
      <c r="K417" s="366">
        <f>SUMIF(B:B,Tabela2[[#This Row],[Tag]],C:C)/Tabela2[[#This Row],[Comprim. Real]]</f>
        <v>1</v>
      </c>
      <c r="L417" s="367" t="str">
        <f>VLOOKUP(Tabela2[[#This Row],[Tag]],BD!A:AF,32,0)</f>
        <v>GA-9312/S</v>
      </c>
    </row>
    <row r="418" spans="1:12" x14ac:dyDescent="0.25">
      <c r="A418" s="361">
        <v>418</v>
      </c>
      <c r="B418" s="7" t="s">
        <v>1353</v>
      </c>
      <c r="C418" s="361">
        <v>22</v>
      </c>
      <c r="D418" s="363">
        <v>44277</v>
      </c>
      <c r="E418" s="363" t="str">
        <f>VLOOKUP(Tabela2[[#This Row],[Tag]],BD!$A:$B,2,0)</f>
        <v>Controle</v>
      </c>
      <c r="F418" s="363" t="str">
        <f>VLOOKUP(Tabela2[[#This Row],[Tag]],BD!A:J,10,0)</f>
        <v>GA-9312/S</v>
      </c>
      <c r="G418" s="364" t="str">
        <f>VLOOKUP(Tabela2[[#This Row],[Tag]],BD!$A:$V,20,0)</f>
        <v>BK-SP54-0900A-LC-80-00188_00000</v>
      </c>
      <c r="H418" s="363" t="str">
        <f>IF(VLOOKUP(Tabela2[[#This Row],[Tag]],BD!A:T,17,0)=0,"",VLOOKUP(Tabela2[[#This Row],[Tag]],BD!A:T,17,0))</f>
        <v>4.7.1</v>
      </c>
      <c r="I418" s="139">
        <v>44256</v>
      </c>
      <c r="J418" s="365">
        <f>VLOOKUP(Tabela2[[#This Row],[Tag]],BD!$A:$AE,30,0)</f>
        <v>22</v>
      </c>
      <c r="K418" s="366">
        <f>SUMIF(B:B,Tabela2[[#This Row],[Tag]],C:C)/Tabela2[[#This Row],[Comprim. Real]]</f>
        <v>1</v>
      </c>
      <c r="L418" s="367" t="str">
        <f>VLOOKUP(Tabela2[[#This Row],[Tag]],BD!A:AF,32,0)</f>
        <v>GA-9312/S</v>
      </c>
    </row>
    <row r="419" spans="1:12" x14ac:dyDescent="0.25">
      <c r="A419" s="361">
        <v>419</v>
      </c>
      <c r="B419" s="7" t="s">
        <v>1354</v>
      </c>
      <c r="C419" s="361">
        <v>20</v>
      </c>
      <c r="D419" s="363">
        <v>44277</v>
      </c>
      <c r="E419" s="363" t="str">
        <f>VLOOKUP(Tabela2[[#This Row],[Tag]],BD!$A:$B,2,0)</f>
        <v>Controle</v>
      </c>
      <c r="F419" s="363" t="str">
        <f>VLOOKUP(Tabela2[[#This Row],[Tag]],BD!A:J,10,0)</f>
        <v>GA-9312/S</v>
      </c>
      <c r="G419" s="364" t="str">
        <f>VLOOKUP(Tabela2[[#This Row],[Tag]],BD!$A:$V,20,0)</f>
        <v>BK-SP54-0900A-LC-80-00188_00000</v>
      </c>
      <c r="H419" s="363" t="str">
        <f>IF(VLOOKUP(Tabela2[[#This Row],[Tag]],BD!A:T,17,0)=0,"",VLOOKUP(Tabela2[[#This Row],[Tag]],BD!A:T,17,0))</f>
        <v>4.7.1</v>
      </c>
      <c r="I419" s="139">
        <v>44256</v>
      </c>
      <c r="J419" s="365">
        <f>VLOOKUP(Tabela2[[#This Row],[Tag]],BD!$A:$AE,30,0)</f>
        <v>20</v>
      </c>
      <c r="K419" s="366">
        <f>SUMIF(B:B,Tabela2[[#This Row],[Tag]],C:C)/Tabela2[[#This Row],[Comprim. Real]]</f>
        <v>1</v>
      </c>
      <c r="L419" s="367" t="str">
        <f>VLOOKUP(Tabela2[[#This Row],[Tag]],BD!A:AF,32,0)</f>
        <v>GA-9312/S</v>
      </c>
    </row>
    <row r="420" spans="1:12" x14ac:dyDescent="0.25">
      <c r="A420" s="361">
        <v>420</v>
      </c>
      <c r="B420" s="7" t="s">
        <v>1355</v>
      </c>
      <c r="C420" s="361">
        <v>20</v>
      </c>
      <c r="D420" s="363">
        <v>44277</v>
      </c>
      <c r="E420" s="363" t="str">
        <f>VLOOKUP(Tabela2[[#This Row],[Tag]],BD!$A:$B,2,0)</f>
        <v>Controle</v>
      </c>
      <c r="F420" s="363" t="str">
        <f>VLOOKUP(Tabela2[[#This Row],[Tag]],BD!A:J,10,0)</f>
        <v>GA-9312/S</v>
      </c>
      <c r="G420" s="364" t="str">
        <f>VLOOKUP(Tabela2[[#This Row],[Tag]],BD!$A:$V,20,0)</f>
        <v>BK-SP54-0900A-LC-80-00186_00000</v>
      </c>
      <c r="H420" s="363" t="str">
        <f>IF(VLOOKUP(Tabela2[[#This Row],[Tag]],BD!A:T,17,0)=0,"",VLOOKUP(Tabela2[[#This Row],[Tag]],BD!A:T,17,0))</f>
        <v>4.6.1</v>
      </c>
      <c r="I420" s="139">
        <v>44256</v>
      </c>
      <c r="J420" s="365">
        <f>VLOOKUP(Tabela2[[#This Row],[Tag]],BD!$A:$AE,30,0)</f>
        <v>20</v>
      </c>
      <c r="K420" s="366">
        <f>SUMIF(B:B,Tabela2[[#This Row],[Tag]],C:C)/Tabela2[[#This Row],[Comprim. Real]]</f>
        <v>1</v>
      </c>
      <c r="L420" s="367" t="str">
        <f>VLOOKUP(Tabela2[[#This Row],[Tag]],BD!A:AF,32,0)</f>
        <v>GA-9312/S</v>
      </c>
    </row>
    <row r="421" spans="1:12" x14ac:dyDescent="0.25">
      <c r="A421" s="361">
        <v>421</v>
      </c>
      <c r="B421" s="7" t="s">
        <v>1357</v>
      </c>
      <c r="C421" s="361">
        <v>17</v>
      </c>
      <c r="D421" s="363">
        <v>44277</v>
      </c>
      <c r="E421" s="363" t="str">
        <f>VLOOKUP(Tabela2[[#This Row],[Tag]],BD!$A:$B,2,0)</f>
        <v>Controle</v>
      </c>
      <c r="F421" s="363" t="str">
        <f>VLOOKUP(Tabela2[[#This Row],[Tag]],BD!A:J,10,0)</f>
        <v>GA-9312/S</v>
      </c>
      <c r="G421" s="364" t="str">
        <f>VLOOKUP(Tabela2[[#This Row],[Tag]],BD!$A:$V,20,0)</f>
        <v>BK-SP54-0900A-LC-80-00186_00000</v>
      </c>
      <c r="H421" s="363" t="str">
        <f>IF(VLOOKUP(Tabela2[[#This Row],[Tag]],BD!A:T,17,0)=0,"",VLOOKUP(Tabela2[[#This Row],[Tag]],BD!A:T,17,0))</f>
        <v>4.6.1</v>
      </c>
      <c r="I421" s="139">
        <v>44256</v>
      </c>
      <c r="J421" s="365">
        <f>VLOOKUP(Tabela2[[#This Row],[Tag]],BD!$A:$AE,30,0)</f>
        <v>17</v>
      </c>
      <c r="K421" s="366">
        <f>SUMIF(B:B,Tabela2[[#This Row],[Tag]],C:C)/Tabela2[[#This Row],[Comprim. Real]]</f>
        <v>1</v>
      </c>
      <c r="L421" s="367" t="str">
        <f>VLOOKUP(Tabela2[[#This Row],[Tag]],BD!A:AF,32,0)</f>
        <v>GA-9312/S</v>
      </c>
    </row>
    <row r="422" spans="1:12" x14ac:dyDescent="0.25">
      <c r="A422" s="361">
        <v>422</v>
      </c>
      <c r="B422" s="7" t="s">
        <v>1358</v>
      </c>
      <c r="C422" s="361">
        <v>15</v>
      </c>
      <c r="D422" s="363">
        <v>44277</v>
      </c>
      <c r="E422" s="363" t="str">
        <f>VLOOKUP(Tabela2[[#This Row],[Tag]],BD!$A:$B,2,0)</f>
        <v>Controle</v>
      </c>
      <c r="F422" s="363" t="str">
        <f>VLOOKUP(Tabela2[[#This Row],[Tag]],BD!A:J,10,0)</f>
        <v>GA-9312/S</v>
      </c>
      <c r="G422" s="364" t="str">
        <f>VLOOKUP(Tabela2[[#This Row],[Tag]],BD!$A:$V,20,0)</f>
        <v>BK-SP54-0900A-LC-80-00186_00000</v>
      </c>
      <c r="H422" s="363" t="str">
        <f>IF(VLOOKUP(Tabela2[[#This Row],[Tag]],BD!A:T,17,0)=0,"",VLOOKUP(Tabela2[[#This Row],[Tag]],BD!A:T,17,0))</f>
        <v>4.6.1</v>
      </c>
      <c r="I422" s="139">
        <v>44256</v>
      </c>
      <c r="J422" s="365">
        <f>VLOOKUP(Tabela2[[#This Row],[Tag]],BD!$A:$AE,30,0)</f>
        <v>15</v>
      </c>
      <c r="K422" s="366">
        <f>SUMIF(B:B,Tabela2[[#This Row],[Tag]],C:C)/Tabela2[[#This Row],[Comprim. Real]]</f>
        <v>1</v>
      </c>
      <c r="L422" s="367" t="str">
        <f>VLOOKUP(Tabela2[[#This Row],[Tag]],BD!A:AF,32,0)</f>
        <v>GA-9312/S</v>
      </c>
    </row>
    <row r="423" spans="1:12" x14ac:dyDescent="0.25">
      <c r="A423" s="361">
        <v>424</v>
      </c>
      <c r="B423" s="7" t="s">
        <v>1359</v>
      </c>
      <c r="C423" s="361">
        <v>15</v>
      </c>
      <c r="D423" s="363">
        <v>44277</v>
      </c>
      <c r="E423" s="363" t="str">
        <f>VLOOKUP(Tabela2[[#This Row],[Tag]],BD!$A:$B,2,0)</f>
        <v>Controle</v>
      </c>
      <c r="F423" s="363" t="str">
        <f>VLOOKUP(Tabela2[[#This Row],[Tag]],BD!A:J,10,0)</f>
        <v>GA-9312/S</v>
      </c>
      <c r="G423" s="364" t="str">
        <f>VLOOKUP(Tabela2[[#This Row],[Tag]],BD!$A:$V,20,0)</f>
        <v>BK-SP54-0900A-LC-80-00186_00000</v>
      </c>
      <c r="H423" s="363" t="str">
        <f>IF(VLOOKUP(Tabela2[[#This Row],[Tag]],BD!A:T,17,0)=0,"",VLOOKUP(Tabela2[[#This Row],[Tag]],BD!A:T,17,0))</f>
        <v>4.6.1</v>
      </c>
      <c r="I423" s="139">
        <v>44256</v>
      </c>
      <c r="J423" s="365">
        <f>VLOOKUP(Tabela2[[#This Row],[Tag]],BD!$A:$AE,30,0)</f>
        <v>15</v>
      </c>
      <c r="K423" s="366">
        <f>SUMIF(B:B,Tabela2[[#This Row],[Tag]],C:C)/Tabela2[[#This Row],[Comprim. Real]]</f>
        <v>1</v>
      </c>
      <c r="L423" s="367" t="str">
        <f>VLOOKUP(Tabela2[[#This Row],[Tag]],BD!A:AF,32,0)</f>
        <v>GA-9312/S</v>
      </c>
    </row>
    <row r="424" spans="1:12" x14ac:dyDescent="0.25">
      <c r="A424" s="361">
        <v>425</v>
      </c>
      <c r="B424" s="7" t="s">
        <v>1360</v>
      </c>
      <c r="C424" s="361">
        <v>2</v>
      </c>
      <c r="D424" s="363">
        <v>44277</v>
      </c>
      <c r="E424" s="363" t="str">
        <f>VLOOKUP(Tabela2[[#This Row],[Tag]],BD!$A:$B,2,0)</f>
        <v>Controle</v>
      </c>
      <c r="F424" s="363" t="str">
        <f>VLOOKUP(Tabela2[[#This Row],[Tag]],BD!A:J,10,0)</f>
        <v>GA-9312/S</v>
      </c>
      <c r="G424" s="364" t="str">
        <f>VLOOKUP(Tabela2[[#This Row],[Tag]],BD!$A:$V,20,0)</f>
        <v>BK-SP54-0900A-LC-80-00188_00000</v>
      </c>
      <c r="H424" s="363" t="str">
        <f>IF(VLOOKUP(Tabela2[[#This Row],[Tag]],BD!A:T,17,0)=0,"",VLOOKUP(Tabela2[[#This Row],[Tag]],BD!A:T,17,0))</f>
        <v>4.7.1</v>
      </c>
      <c r="I424" s="139">
        <v>44256</v>
      </c>
      <c r="J424" s="365">
        <f>VLOOKUP(Tabela2[[#This Row],[Tag]],BD!$A:$AE,30,0)</f>
        <v>2</v>
      </c>
      <c r="K424" s="366">
        <f>SUMIF(B:B,Tabela2[[#This Row],[Tag]],C:C)/Tabela2[[#This Row],[Comprim. Real]]</f>
        <v>1</v>
      </c>
      <c r="L424" s="367" t="str">
        <f>VLOOKUP(Tabela2[[#This Row],[Tag]],BD!A:AF,32,0)</f>
        <v>GA-9312/S</v>
      </c>
    </row>
    <row r="425" spans="1:12" x14ac:dyDescent="0.25">
      <c r="A425" s="361">
        <v>426</v>
      </c>
      <c r="B425" s="7" t="s">
        <v>1361</v>
      </c>
      <c r="C425" s="361">
        <v>2</v>
      </c>
      <c r="D425" s="363">
        <v>44277</v>
      </c>
      <c r="E425" s="363" t="str">
        <f>VLOOKUP(Tabela2[[#This Row],[Tag]],BD!$A:$B,2,0)</f>
        <v>Controle</v>
      </c>
      <c r="F425" s="363" t="str">
        <f>VLOOKUP(Tabela2[[#This Row],[Tag]],BD!A:J,10,0)</f>
        <v>GA-9312/S</v>
      </c>
      <c r="G425" s="364" t="str">
        <f>VLOOKUP(Tabela2[[#This Row],[Tag]],BD!$A:$V,20,0)</f>
        <v>BK-SP54-0900A-LC-80-00188_00000</v>
      </c>
      <c r="H425" s="363" t="str">
        <f>IF(VLOOKUP(Tabela2[[#This Row],[Tag]],BD!A:T,17,0)=0,"",VLOOKUP(Tabela2[[#This Row],[Tag]],BD!A:T,17,0))</f>
        <v>4.7.1</v>
      </c>
      <c r="I425" s="139">
        <v>44256</v>
      </c>
      <c r="J425" s="365">
        <f>VLOOKUP(Tabela2[[#This Row],[Tag]],BD!$A:$AE,30,0)</f>
        <v>2</v>
      </c>
      <c r="K425" s="366">
        <f>SUMIF(B:B,Tabela2[[#This Row],[Tag]],C:C)/Tabela2[[#This Row],[Comprim. Real]]</f>
        <v>1</v>
      </c>
      <c r="L425" s="367" t="str">
        <f>VLOOKUP(Tabela2[[#This Row],[Tag]],BD!A:AF,32,0)</f>
        <v>GA-9312/S</v>
      </c>
    </row>
    <row r="426" spans="1:12" x14ac:dyDescent="0.25">
      <c r="A426" s="361">
        <v>427</v>
      </c>
      <c r="B426" s="7" t="s">
        <v>1371</v>
      </c>
      <c r="C426" s="361">
        <v>40</v>
      </c>
      <c r="D426" s="363">
        <v>44277</v>
      </c>
      <c r="E426" s="363" t="str">
        <f>VLOOKUP(Tabela2[[#This Row],[Tag]],BD!$A:$B,2,0)</f>
        <v>Controle</v>
      </c>
      <c r="F426" s="363" t="str">
        <f>VLOOKUP(Tabela2[[#This Row],[Tag]],BD!A:J,10,0)</f>
        <v>GB-967A/B</v>
      </c>
      <c r="G426" s="364" t="str">
        <f>VLOOKUP(Tabela2[[#This Row],[Tag]],BD!$A:$V,20,0)</f>
        <v>BK-SP54-0900A-LC-80-00187_00000</v>
      </c>
      <c r="H426" s="363" t="str">
        <f>IF(VLOOKUP(Tabela2[[#This Row],[Tag]],BD!A:T,17,0)=0,"",VLOOKUP(Tabela2[[#This Row],[Tag]],BD!A:T,17,0))</f>
        <v>4.6.1</v>
      </c>
      <c r="I426" s="139">
        <v>44256</v>
      </c>
      <c r="J426" s="365">
        <f>VLOOKUP(Tabela2[[#This Row],[Tag]],BD!$A:$AE,30,0)</f>
        <v>40</v>
      </c>
      <c r="K426" s="366">
        <f>SUMIF(B:B,Tabela2[[#This Row],[Tag]],C:C)/Tabela2[[#This Row],[Comprim. Real]]</f>
        <v>1</v>
      </c>
      <c r="L426" s="367" t="str">
        <f>VLOOKUP(Tabela2[[#This Row],[Tag]],BD!A:AF,32,0)</f>
        <v>GB-967A/B</v>
      </c>
    </row>
    <row r="427" spans="1:12" x14ac:dyDescent="0.25">
      <c r="A427" s="361">
        <v>428</v>
      </c>
      <c r="B427" s="7" t="s">
        <v>1374</v>
      </c>
      <c r="C427" s="361">
        <v>30</v>
      </c>
      <c r="D427" s="363">
        <v>44277</v>
      </c>
      <c r="E427" s="363" t="str">
        <f>VLOOKUP(Tabela2[[#This Row],[Tag]],BD!$A:$B,2,0)</f>
        <v>Controle</v>
      </c>
      <c r="F427" s="363" t="str">
        <f>VLOOKUP(Tabela2[[#This Row],[Tag]],BD!A:J,10,0)</f>
        <v>GB-967A/B</v>
      </c>
      <c r="G427" s="364" t="str">
        <f>VLOOKUP(Tabela2[[#This Row],[Tag]],BD!$A:$V,20,0)</f>
        <v>BK-SP54-0900A-LC-80-00187_00000</v>
      </c>
      <c r="H427" s="363" t="str">
        <f>IF(VLOOKUP(Tabela2[[#This Row],[Tag]],BD!A:T,17,0)=0,"",VLOOKUP(Tabela2[[#This Row],[Tag]],BD!A:T,17,0))</f>
        <v>4.6.1</v>
      </c>
      <c r="I427" s="139">
        <v>44256</v>
      </c>
      <c r="J427" s="365">
        <f>VLOOKUP(Tabela2[[#This Row],[Tag]],BD!$A:$AE,30,0)</f>
        <v>30</v>
      </c>
      <c r="K427" s="366">
        <f>SUMIF(B:B,Tabela2[[#This Row],[Tag]],C:C)/Tabela2[[#This Row],[Comprim. Real]]</f>
        <v>1</v>
      </c>
      <c r="L427" s="367" t="str">
        <f>VLOOKUP(Tabela2[[#This Row],[Tag]],BD!A:AF,32,0)</f>
        <v>GB-967A/B</v>
      </c>
    </row>
  </sheetData>
  <conditionalFormatting sqref="B1:B226 B228:B368 B373:B1048576">
    <cfRule type="duplicateValues" dxfId="195" priority="10"/>
  </conditionalFormatting>
  <conditionalFormatting sqref="B177:B182">
    <cfRule type="duplicateValues" dxfId="194" priority="9"/>
  </conditionalFormatting>
  <conditionalFormatting sqref="B183:B184">
    <cfRule type="duplicateValues" dxfId="193" priority="58"/>
  </conditionalFormatting>
  <conditionalFormatting sqref="AE1:AE1048576">
    <cfRule type="duplicateValues" dxfId="192" priority="6"/>
  </conditionalFormatting>
  <conditionalFormatting sqref="AK1:AK146">
    <cfRule type="cellIs" dxfId="191" priority="5" operator="lessThan">
      <formula>1</formula>
    </cfRule>
  </conditionalFormatting>
  <conditionalFormatting sqref="B1:B1048576">
    <cfRule type="duplicateValues" dxfId="190" priority="3"/>
  </conditionalFormatting>
  <conditionalFormatting sqref="B369:B370">
    <cfRule type="duplicateValues" dxfId="189" priority="2"/>
  </conditionalFormatting>
  <conditionalFormatting sqref="B371:B372">
    <cfRule type="duplicateValues" dxfId="188" priority="1"/>
  </conditionalFormatting>
  <pageMargins left="0.511811024" right="0.511811024" top="0.78740157499999996" bottom="0.78740157499999996" header="0.31496062000000002" footer="0.31496062000000002"/>
  <pageSetup paperSize="9" scale="24" fitToHeight="0" orientation="portrait" r:id="rId1"/>
  <legacyDrawing r:id="rId2"/>
  <tableParts count="3"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0000000}">
          <x14:formula1>
            <xm:f>Referências!$D$2:$D$5</xm:f>
          </x14:formula1>
          <xm:sqref>P2:P127</xm:sqref>
        </x14:dataValidation>
        <x14:dataValidation type="list" allowBlank="1" showInputMessage="1" showErrorMessage="1" xr:uid="{00000000-0002-0000-0300-000001000000}">
          <x14:formula1>
            <xm:f>BD!$A$2:$A$434</xm:f>
          </x14:formula1>
          <xm:sqref>B2:B118 B346:B347 B120:B125</xm:sqref>
        </x14:dataValidation>
        <x14:dataValidation type="list" allowBlank="1" showInputMessage="1" showErrorMessage="1" xr:uid="{00000000-0002-0000-0300-000002000000}">
          <x14:formula1>
            <xm:f>BD!$A$2:$A$986</xm:f>
          </x14:formula1>
          <xm:sqref>B119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workbookViewId="0">
      <selection activeCell="G34" sqref="G34"/>
    </sheetView>
  </sheetViews>
  <sheetFormatPr defaultRowHeight="15" x14ac:dyDescent="0.25"/>
  <cols>
    <col min="2" max="2" width="16.7109375" style="1" customWidth="1"/>
    <col min="5" max="5" width="12.7109375" bestFit="1" customWidth="1"/>
    <col min="7" max="7" width="12.140625" style="30" bestFit="1" customWidth="1"/>
  </cols>
  <sheetData>
    <row r="1" spans="1:7" ht="38.25" customHeight="1" x14ac:dyDescent="0.25">
      <c r="A1" s="311" t="s">
        <v>1506</v>
      </c>
      <c r="B1" s="311" t="s">
        <v>1507</v>
      </c>
      <c r="C1" s="311" t="s">
        <v>1508</v>
      </c>
      <c r="D1" s="311" t="s">
        <v>1509</v>
      </c>
      <c r="E1" s="311" t="s">
        <v>1489</v>
      </c>
      <c r="F1" s="316" t="s">
        <v>1510</v>
      </c>
      <c r="G1" s="318" t="s">
        <v>1498</v>
      </c>
    </row>
    <row r="2" spans="1:7" ht="15" customHeight="1" x14ac:dyDescent="0.25">
      <c r="A2" s="312" t="s">
        <v>87</v>
      </c>
      <c r="B2" s="313" t="s">
        <v>870</v>
      </c>
      <c r="C2" s="314">
        <v>10</v>
      </c>
      <c r="D2" s="314">
        <f>VLOOKUP(B2,Tabela2[[Tag]:[Comprim. Real]],9,0)</f>
        <v>10</v>
      </c>
      <c r="E2" s="317">
        <f>VLOOKUP(B2,Tabela2[[Tag]:[Comprim. Real]],8,0)</f>
        <v>44166</v>
      </c>
      <c r="F2" s="314">
        <f>D2-C2</f>
        <v>0</v>
      </c>
      <c r="G2" s="301" t="s">
        <v>1505</v>
      </c>
    </row>
    <row r="3" spans="1:7" ht="15" customHeight="1" x14ac:dyDescent="0.25">
      <c r="A3" s="312" t="s">
        <v>87</v>
      </c>
      <c r="B3" s="313" t="s">
        <v>854</v>
      </c>
      <c r="C3" s="314">
        <v>10</v>
      </c>
      <c r="D3" s="314">
        <f>VLOOKUP(B3,Tabela2[[Tag]:[Comprim. Real]],9,0)</f>
        <v>10</v>
      </c>
      <c r="E3" s="317">
        <f>VLOOKUP(B3,Tabela2[[Tag]:[Comprim. Real]],8,0)</f>
        <v>44166</v>
      </c>
      <c r="F3" s="314">
        <f t="shared" ref="F3:F66" si="0">D3-C3</f>
        <v>0</v>
      </c>
      <c r="G3" s="301" t="s">
        <v>1505</v>
      </c>
    </row>
    <row r="4" spans="1:7" ht="15" customHeight="1" x14ac:dyDescent="0.25">
      <c r="A4" s="312" t="s">
        <v>284</v>
      </c>
      <c r="B4" s="313" t="s">
        <v>881</v>
      </c>
      <c r="C4" s="314">
        <v>5</v>
      </c>
      <c r="D4" s="314">
        <f>VLOOKUP(B4,Tabela2[[Tag]:[Comprim. Real]],9,0)</f>
        <v>5</v>
      </c>
      <c r="E4" s="317">
        <f>VLOOKUP(B4,Tabela2[[Tag]:[Comprim. Real]],8,0)</f>
        <v>44166</v>
      </c>
      <c r="F4" s="314">
        <f t="shared" si="0"/>
        <v>0</v>
      </c>
      <c r="G4" s="301" t="s">
        <v>1505</v>
      </c>
    </row>
    <row r="5" spans="1:7" ht="15" customHeight="1" x14ac:dyDescent="0.25">
      <c r="A5" s="312" t="s">
        <v>87</v>
      </c>
      <c r="B5" s="313" t="s">
        <v>858</v>
      </c>
      <c r="C5" s="314">
        <v>10</v>
      </c>
      <c r="D5" s="314">
        <f>VLOOKUP(B5,Tabela2[[Tag]:[Comprim. Real]],9,0)</f>
        <v>10</v>
      </c>
      <c r="E5" s="317">
        <f>VLOOKUP(B5,Tabela2[[Tag]:[Comprim. Real]],8,0)</f>
        <v>44166</v>
      </c>
      <c r="F5" s="314">
        <f t="shared" si="0"/>
        <v>0</v>
      </c>
      <c r="G5" s="301" t="s">
        <v>1505</v>
      </c>
    </row>
    <row r="6" spans="1:7" ht="15" customHeight="1" x14ac:dyDescent="0.25">
      <c r="A6" s="312" t="s">
        <v>578</v>
      </c>
      <c r="B6" s="313" t="s">
        <v>812</v>
      </c>
      <c r="C6" s="314">
        <v>10</v>
      </c>
      <c r="D6" s="314">
        <f>VLOOKUP(B6,Tabela2[[Tag]:[Comprim. Real]],9,0)</f>
        <v>10</v>
      </c>
      <c r="E6" s="317">
        <f>VLOOKUP(B6,Tabela2[[Tag]:[Comprim. Real]],8,0)</f>
        <v>44166</v>
      </c>
      <c r="F6" s="314">
        <f t="shared" si="0"/>
        <v>0</v>
      </c>
      <c r="G6" s="301" t="s">
        <v>1505</v>
      </c>
    </row>
    <row r="7" spans="1:7" ht="15" customHeight="1" x14ac:dyDescent="0.25">
      <c r="A7" s="312" t="s">
        <v>87</v>
      </c>
      <c r="B7" s="313" t="s">
        <v>866</v>
      </c>
      <c r="C7" s="314">
        <v>10</v>
      </c>
      <c r="D7" s="314">
        <f>VLOOKUP(B7,Tabela2[[Tag]:[Comprim. Real]],9,0)</f>
        <v>10</v>
      </c>
      <c r="E7" s="317">
        <v>44166</v>
      </c>
      <c r="F7" s="314">
        <f t="shared" si="0"/>
        <v>0</v>
      </c>
      <c r="G7" s="301" t="s">
        <v>1505</v>
      </c>
    </row>
    <row r="8" spans="1:7" ht="15" customHeight="1" x14ac:dyDescent="0.25">
      <c r="A8" s="312" t="s">
        <v>87</v>
      </c>
      <c r="B8" s="313" t="s">
        <v>872</v>
      </c>
      <c r="C8" s="314">
        <v>10</v>
      </c>
      <c r="D8" s="314">
        <f>VLOOKUP(B8,Tabela2[[Tag]:[Comprim. Real]],9,0)</f>
        <v>10</v>
      </c>
      <c r="E8" s="317">
        <f>VLOOKUP(B8,Tabela2[[Tag]:[Comprim. Real]],8,0)</f>
        <v>44166</v>
      </c>
      <c r="F8" s="314">
        <f t="shared" si="0"/>
        <v>0</v>
      </c>
      <c r="G8" s="301" t="s">
        <v>1505</v>
      </c>
    </row>
    <row r="9" spans="1:7" ht="15" customHeight="1" x14ac:dyDescent="0.25">
      <c r="A9" s="312" t="s">
        <v>87</v>
      </c>
      <c r="B9" s="313" t="s">
        <v>871</v>
      </c>
      <c r="C9" s="314">
        <v>10</v>
      </c>
      <c r="D9" s="314">
        <f>VLOOKUP(B9,Tabela2[[Tag]:[Comprim. Real]],9,0)</f>
        <v>10</v>
      </c>
      <c r="E9" s="317">
        <f>VLOOKUP(B9,Tabela2[[Tag]:[Comprim. Real]],8,0)</f>
        <v>44166</v>
      </c>
      <c r="F9" s="314">
        <f t="shared" si="0"/>
        <v>0</v>
      </c>
      <c r="G9" s="301" t="s">
        <v>1505</v>
      </c>
    </row>
    <row r="10" spans="1:7" ht="15" customHeight="1" x14ac:dyDescent="0.25">
      <c r="A10" s="312" t="s">
        <v>87</v>
      </c>
      <c r="B10" s="313" t="s">
        <v>867</v>
      </c>
      <c r="C10" s="314">
        <v>10</v>
      </c>
      <c r="D10" s="314">
        <f>VLOOKUP(B10,Tabela2[[Tag]:[Comprim. Real]],9,0)</f>
        <v>10</v>
      </c>
      <c r="E10" s="317">
        <f>VLOOKUP(B10,Tabela2[[Tag]:[Comprim. Real]],8,0)</f>
        <v>44166</v>
      </c>
      <c r="F10" s="314">
        <f t="shared" si="0"/>
        <v>0</v>
      </c>
      <c r="G10" s="301" t="s">
        <v>1505</v>
      </c>
    </row>
    <row r="11" spans="1:7" ht="15" customHeight="1" x14ac:dyDescent="0.25">
      <c r="A11" s="312" t="s">
        <v>87</v>
      </c>
      <c r="B11" s="313" t="s">
        <v>864</v>
      </c>
      <c r="C11" s="314">
        <v>10</v>
      </c>
      <c r="D11" s="314">
        <f>VLOOKUP(B11,Tabela2[[Tag]:[Comprim. Real]],9,0)</f>
        <v>14</v>
      </c>
      <c r="E11" s="317">
        <f>VLOOKUP(B11,Tabela2[[Tag]:[Comprim. Real]],8,0)</f>
        <v>44166</v>
      </c>
      <c r="F11" s="314">
        <f t="shared" si="0"/>
        <v>4</v>
      </c>
      <c r="G11" s="301" t="s">
        <v>1505</v>
      </c>
    </row>
    <row r="12" spans="1:7" ht="15" customHeight="1" x14ac:dyDescent="0.25">
      <c r="A12" s="312" t="s">
        <v>87</v>
      </c>
      <c r="B12" s="313" t="s">
        <v>862</v>
      </c>
      <c r="C12" s="314">
        <v>10</v>
      </c>
      <c r="D12" s="314">
        <f>VLOOKUP(B12,Tabela2[[Tag]:[Comprim. Real]],9,0)</f>
        <v>10</v>
      </c>
      <c r="E12" s="317">
        <f>VLOOKUP(B12,Tabela2[[Tag]:[Comprim. Real]],8,0)</f>
        <v>44166</v>
      </c>
      <c r="F12" s="314">
        <f t="shared" si="0"/>
        <v>0</v>
      </c>
      <c r="G12" s="301" t="s">
        <v>1505</v>
      </c>
    </row>
    <row r="13" spans="1:7" ht="15" customHeight="1" x14ac:dyDescent="0.25">
      <c r="A13" s="312" t="s">
        <v>139</v>
      </c>
      <c r="B13" s="313" t="s">
        <v>833</v>
      </c>
      <c r="C13" s="314">
        <v>10</v>
      </c>
      <c r="D13" s="314">
        <f>VLOOKUP(B13,Tabela2[[Tag]:[Comprim. Real]],9,0)</f>
        <v>10</v>
      </c>
      <c r="E13" s="317">
        <f>VLOOKUP(B13,Tabela2[[Tag]:[Comprim. Real]],8,0)</f>
        <v>44166</v>
      </c>
      <c r="F13" s="314">
        <f t="shared" si="0"/>
        <v>0</v>
      </c>
      <c r="G13" s="301" t="s">
        <v>1505</v>
      </c>
    </row>
    <row r="14" spans="1:7" ht="15" customHeight="1" x14ac:dyDescent="0.25">
      <c r="A14" s="312" t="s">
        <v>139</v>
      </c>
      <c r="B14" s="313" t="s">
        <v>837</v>
      </c>
      <c r="C14" s="314">
        <v>10</v>
      </c>
      <c r="D14" s="314">
        <f>VLOOKUP(B14,Tabela2[[Tag]:[Comprim. Real]],9,0)</f>
        <v>10</v>
      </c>
      <c r="E14" s="317">
        <f>VLOOKUP(B14,Tabela2[[Tag]:[Comprim. Real]],8,0)</f>
        <v>44166</v>
      </c>
      <c r="F14" s="314">
        <f t="shared" si="0"/>
        <v>0</v>
      </c>
      <c r="G14" s="301" t="s">
        <v>1505</v>
      </c>
    </row>
    <row r="15" spans="1:7" ht="15" customHeight="1" x14ac:dyDescent="0.25">
      <c r="A15" s="312" t="s">
        <v>139</v>
      </c>
      <c r="B15" s="313" t="s">
        <v>840</v>
      </c>
      <c r="C15" s="314">
        <v>10</v>
      </c>
      <c r="D15" s="314">
        <f>VLOOKUP(B15,Tabela2[[Tag]:[Comprim. Real]],9,0)</f>
        <v>10</v>
      </c>
      <c r="E15" s="317">
        <f>VLOOKUP(B15,Tabela2[[Tag]:[Comprim. Real]],8,0)</f>
        <v>44166</v>
      </c>
      <c r="F15" s="314">
        <f t="shared" si="0"/>
        <v>0</v>
      </c>
      <c r="G15" s="301" t="s">
        <v>1505</v>
      </c>
    </row>
    <row r="16" spans="1:7" ht="15" customHeight="1" x14ac:dyDescent="0.25">
      <c r="A16" s="312" t="s">
        <v>139</v>
      </c>
      <c r="B16" s="313" t="s">
        <v>843</v>
      </c>
      <c r="C16" s="314">
        <v>10</v>
      </c>
      <c r="D16" s="314">
        <f>VLOOKUP(B16,Tabela2[[Tag]:[Comprim. Real]],9,0)</f>
        <v>10</v>
      </c>
      <c r="E16" s="317">
        <f>VLOOKUP(B16,Tabela2[[Tag]:[Comprim. Real]],8,0)</f>
        <v>44166</v>
      </c>
      <c r="F16" s="314">
        <f t="shared" si="0"/>
        <v>0</v>
      </c>
      <c r="G16" s="301" t="s">
        <v>1505</v>
      </c>
    </row>
    <row r="17" spans="1:8" ht="15" customHeight="1" x14ac:dyDescent="0.25">
      <c r="A17" s="312" t="s">
        <v>139</v>
      </c>
      <c r="B17" s="313" t="s">
        <v>844</v>
      </c>
      <c r="C17" s="314">
        <v>10</v>
      </c>
      <c r="D17" s="314">
        <f>VLOOKUP(B17,Tabela2[[Tag]:[Comprim. Real]],9,0)</f>
        <v>10</v>
      </c>
      <c r="E17" s="317">
        <f>VLOOKUP(B17,Tabela2[[Tag]:[Comprim. Real]],8,0)</f>
        <v>44166</v>
      </c>
      <c r="F17" s="314">
        <f t="shared" si="0"/>
        <v>0</v>
      </c>
      <c r="G17" s="301" t="s">
        <v>1505</v>
      </c>
    </row>
    <row r="18" spans="1:8" ht="15" customHeight="1" x14ac:dyDescent="0.25">
      <c r="A18" s="312" t="s">
        <v>139</v>
      </c>
      <c r="B18" s="313" t="s">
        <v>845</v>
      </c>
      <c r="C18" s="314">
        <v>10</v>
      </c>
      <c r="D18" s="314">
        <f>VLOOKUP(B18,Tabela2[[Tag]:[Comprim. Real]],9,0)</f>
        <v>10</v>
      </c>
      <c r="E18" s="317">
        <f>VLOOKUP(B18,Tabela2[[Tag]:[Comprim. Real]],8,0)</f>
        <v>44166</v>
      </c>
      <c r="F18" s="314">
        <f t="shared" si="0"/>
        <v>0</v>
      </c>
      <c r="G18" s="301" t="s">
        <v>1505</v>
      </c>
    </row>
    <row r="19" spans="1:8" ht="15" customHeight="1" x14ac:dyDescent="0.25">
      <c r="A19" s="312" t="s">
        <v>139</v>
      </c>
      <c r="B19" s="313" t="s">
        <v>846</v>
      </c>
      <c r="C19" s="314">
        <v>10</v>
      </c>
      <c r="D19" s="314">
        <f>VLOOKUP(B19,Tabela2[[Tag]:[Comprim. Real]],9,0)</f>
        <v>10</v>
      </c>
      <c r="E19" s="317">
        <f>VLOOKUP(B19,Tabela2[[Tag]:[Comprim. Real]],8,0)</f>
        <v>44166</v>
      </c>
      <c r="F19" s="314">
        <f t="shared" si="0"/>
        <v>0</v>
      </c>
      <c r="G19" s="301" t="s">
        <v>1505</v>
      </c>
    </row>
    <row r="20" spans="1:8" ht="15" customHeight="1" x14ac:dyDescent="0.25">
      <c r="A20" s="312" t="s">
        <v>139</v>
      </c>
      <c r="B20" s="313" t="s">
        <v>848</v>
      </c>
      <c r="C20" s="314">
        <v>10</v>
      </c>
      <c r="D20" s="314">
        <f>VLOOKUP(B20,Tabela2[[Tag]:[Comprim. Real]],9,0)</f>
        <v>10</v>
      </c>
      <c r="E20" s="317">
        <f>VLOOKUP(B20,Tabela2[[Tag]:[Comprim. Real]],8,0)</f>
        <v>44166</v>
      </c>
      <c r="F20" s="314">
        <f t="shared" si="0"/>
        <v>0</v>
      </c>
      <c r="G20" s="301" t="s">
        <v>1505</v>
      </c>
    </row>
    <row r="21" spans="1:8" ht="15" customHeight="1" x14ac:dyDescent="0.25">
      <c r="A21" s="312" t="s">
        <v>139</v>
      </c>
      <c r="B21" s="313" t="s">
        <v>849</v>
      </c>
      <c r="C21" s="314">
        <v>10</v>
      </c>
      <c r="D21" s="314">
        <f>VLOOKUP(B21,Tabela2[[Tag]:[Comprim. Real]],9,0)</f>
        <v>10</v>
      </c>
      <c r="E21" s="317">
        <f>VLOOKUP(B21,Tabela2[[Tag]:[Comprim. Real]],8,0)</f>
        <v>44166</v>
      </c>
      <c r="F21" s="314">
        <f t="shared" si="0"/>
        <v>0</v>
      </c>
      <c r="G21" s="301" t="s">
        <v>1505</v>
      </c>
    </row>
    <row r="22" spans="1:8" ht="15" customHeight="1" x14ac:dyDescent="0.25">
      <c r="A22" s="312" t="s">
        <v>139</v>
      </c>
      <c r="B22" s="313" t="s">
        <v>853</v>
      </c>
      <c r="C22" s="314">
        <v>10</v>
      </c>
      <c r="D22" s="314">
        <f>VLOOKUP(B22,Tabela2[[Tag]:[Comprim. Real]],9,0)</f>
        <v>10</v>
      </c>
      <c r="E22" s="317">
        <f>VLOOKUP(B22,Tabela2[[Tag]:[Comprim. Real]],8,0)</f>
        <v>44166</v>
      </c>
      <c r="F22" s="314">
        <f t="shared" si="0"/>
        <v>0</v>
      </c>
      <c r="G22" s="301" t="s">
        <v>1505</v>
      </c>
    </row>
    <row r="23" spans="1:8" x14ac:dyDescent="0.25">
      <c r="A23" s="312" t="s">
        <v>106</v>
      </c>
      <c r="B23" s="313" t="s">
        <v>900</v>
      </c>
      <c r="C23" s="314">
        <v>5</v>
      </c>
      <c r="D23" s="314" t="e">
        <f>VLOOKUP(B23,Tabela2[[Tag]:[Comprim. Real]],9,0)</f>
        <v>#N/A</v>
      </c>
      <c r="E23" s="317" t="e">
        <f>VLOOKUP(B23,Tabela2[[Tag]:[Comprim. Real]],8,0)</f>
        <v>#N/A</v>
      </c>
      <c r="F23" s="314" t="e">
        <f t="shared" si="0"/>
        <v>#N/A</v>
      </c>
      <c r="G23" s="301" t="s">
        <v>1511</v>
      </c>
    </row>
    <row r="24" spans="1:8" x14ac:dyDescent="0.25">
      <c r="A24" s="312" t="s">
        <v>106</v>
      </c>
      <c r="B24" s="313" t="s">
        <v>1033</v>
      </c>
      <c r="C24" s="314">
        <v>10</v>
      </c>
      <c r="D24" s="314" t="e">
        <f>VLOOKUP(B24,Tabela2[[Tag]:[Comprim. Real]],9,0)</f>
        <v>#N/A</v>
      </c>
      <c r="E24" s="317" t="e">
        <f>VLOOKUP(B24,Tabela2[[Tag]:[Comprim. Real]],8,0)</f>
        <v>#N/A</v>
      </c>
      <c r="F24" s="314" t="e">
        <f t="shared" si="0"/>
        <v>#N/A</v>
      </c>
      <c r="G24" s="301" t="s">
        <v>1511</v>
      </c>
    </row>
    <row r="25" spans="1:8" x14ac:dyDescent="0.25">
      <c r="A25" s="312" t="s">
        <v>106</v>
      </c>
      <c r="B25" s="313" t="s">
        <v>1036</v>
      </c>
      <c r="C25" s="314">
        <v>10</v>
      </c>
      <c r="D25" s="314" t="e">
        <f>VLOOKUP(B25,Tabela2[[Tag]:[Comprim. Real]],9,0)</f>
        <v>#N/A</v>
      </c>
      <c r="E25" s="317" t="e">
        <f>VLOOKUP(B25,Tabela2[[Tag]:[Comprim. Real]],8,0)</f>
        <v>#N/A</v>
      </c>
      <c r="F25" s="314" t="e">
        <f t="shared" si="0"/>
        <v>#N/A</v>
      </c>
      <c r="G25" s="301" t="s">
        <v>1511</v>
      </c>
    </row>
    <row r="26" spans="1:8" x14ac:dyDescent="0.25">
      <c r="A26" s="312" t="s">
        <v>106</v>
      </c>
      <c r="B26" s="313" t="s">
        <v>894</v>
      </c>
      <c r="C26" s="314">
        <v>10</v>
      </c>
      <c r="D26" s="314" t="e">
        <f>VLOOKUP(B26,Tabela2[[Tag]:[Comprim. Real]],9,0)</f>
        <v>#N/A</v>
      </c>
      <c r="E26" s="317" t="e">
        <f>VLOOKUP(B26,Tabela2[[Tag]:[Comprim. Real]],8,0)</f>
        <v>#N/A</v>
      </c>
      <c r="F26" s="314" t="e">
        <f t="shared" si="0"/>
        <v>#N/A</v>
      </c>
      <c r="G26" s="301" t="s">
        <v>1511</v>
      </c>
    </row>
    <row r="27" spans="1:8" x14ac:dyDescent="0.25">
      <c r="A27" s="312" t="s">
        <v>106</v>
      </c>
      <c r="B27" s="313" t="s">
        <v>1174</v>
      </c>
      <c r="C27" s="314">
        <v>10</v>
      </c>
      <c r="D27" s="314" t="e">
        <f>VLOOKUP(B27,Tabela2[[Tag]:[Comprim. Real]],9,0)</f>
        <v>#N/A</v>
      </c>
      <c r="E27" s="317" t="e">
        <f>VLOOKUP(B27,Tabela2[[Tag]:[Comprim. Real]],8,0)</f>
        <v>#N/A</v>
      </c>
      <c r="F27" s="314" t="e">
        <f t="shared" si="0"/>
        <v>#N/A</v>
      </c>
      <c r="G27" s="301" t="s">
        <v>1511</v>
      </c>
    </row>
    <row r="28" spans="1:8" ht="15" customHeight="1" x14ac:dyDescent="0.25">
      <c r="A28" s="312" t="s">
        <v>912</v>
      </c>
      <c r="B28" s="313" t="s">
        <v>936</v>
      </c>
      <c r="C28" s="314">
        <v>9000</v>
      </c>
      <c r="D28" s="314">
        <f>VLOOKUP(B28,Tabela2[[Tag]:[Comprim. Real]],9,0)</f>
        <v>11550</v>
      </c>
      <c r="E28" s="317">
        <f>VLOOKUP(B28,Tabela2[[Tag]:[Comprim. Real]],8,0)</f>
        <v>44166</v>
      </c>
      <c r="F28" s="314">
        <f t="shared" si="0"/>
        <v>2550</v>
      </c>
      <c r="G28" s="301" t="s">
        <v>1505</v>
      </c>
    </row>
    <row r="29" spans="1:8" ht="15" customHeight="1" x14ac:dyDescent="0.25">
      <c r="A29" s="312" t="s">
        <v>139</v>
      </c>
      <c r="B29" s="313" t="s">
        <v>930</v>
      </c>
      <c r="C29" s="314">
        <v>750</v>
      </c>
      <c r="D29" s="314">
        <f>VLOOKUP(B29,Tabela2[[Tag]:[Comprim. Real]],9,0)</f>
        <v>770</v>
      </c>
      <c r="E29" s="317">
        <f>VLOOKUP(B29,Tabela2[[Tag]:[Comprim. Real]],8,0)</f>
        <v>44166</v>
      </c>
      <c r="F29" s="314">
        <f t="shared" si="0"/>
        <v>20</v>
      </c>
      <c r="G29" s="301" t="s">
        <v>1505</v>
      </c>
    </row>
    <row r="30" spans="1:8" ht="15" customHeight="1" x14ac:dyDescent="0.25">
      <c r="A30" s="312" t="s">
        <v>243</v>
      </c>
      <c r="B30" s="313" t="s">
        <v>963</v>
      </c>
      <c r="C30" s="314">
        <v>6000</v>
      </c>
      <c r="D30" s="314">
        <f>VLOOKUP(B30,Tabela2[[Tag]:[Comprim. Real]],9,0)</f>
        <v>9000</v>
      </c>
      <c r="E30" s="317">
        <f>VLOOKUP(B30,Tabela2[[Tag]:[Comprim. Real]],8,0)</f>
        <v>44166</v>
      </c>
      <c r="F30" s="314">
        <f t="shared" si="0"/>
        <v>3000</v>
      </c>
      <c r="G30" s="301" t="s">
        <v>1505</v>
      </c>
    </row>
    <row r="31" spans="1:8" x14ac:dyDescent="0.25">
      <c r="A31" s="312" t="s">
        <v>184</v>
      </c>
      <c r="B31" s="319" t="s">
        <v>346</v>
      </c>
      <c r="C31" s="314">
        <v>85.5</v>
      </c>
      <c r="D31" s="314">
        <f>VLOOKUP(B31,Tabela2[[Tag]:[Comprim. Real]],9,0)</f>
        <v>120</v>
      </c>
      <c r="E31" s="317">
        <f>VLOOKUP(B31,Tabela2[[Tag]:[Comprim. Real]],8,0)</f>
        <v>44166</v>
      </c>
      <c r="F31" s="314">
        <f t="shared" si="0"/>
        <v>34.5</v>
      </c>
      <c r="G31" s="301" t="s">
        <v>1505</v>
      </c>
      <c r="H31" s="320"/>
    </row>
    <row r="32" spans="1:8" x14ac:dyDescent="0.25">
      <c r="A32" s="312" t="s">
        <v>184</v>
      </c>
      <c r="B32" s="319" t="s">
        <v>354</v>
      </c>
      <c r="C32" s="314">
        <v>85.5</v>
      </c>
      <c r="D32" s="314">
        <f>VLOOKUP(B32,Tabela2[[Tag]:[Comprim. Real]],9,0)</f>
        <v>120</v>
      </c>
      <c r="E32" s="317">
        <f>VLOOKUP(B32,Tabela2[[Tag]:[Comprim. Real]],8,0)</f>
        <v>44166</v>
      </c>
      <c r="F32" s="314">
        <f t="shared" si="0"/>
        <v>34.5</v>
      </c>
      <c r="G32" s="301" t="s">
        <v>1505</v>
      </c>
      <c r="H32" s="320"/>
    </row>
    <row r="33" spans="1:8" x14ac:dyDescent="0.25">
      <c r="A33" s="312" t="s">
        <v>321</v>
      </c>
      <c r="B33" s="319" t="s">
        <v>357</v>
      </c>
      <c r="C33" s="314">
        <v>80</v>
      </c>
      <c r="D33" s="314">
        <f>VLOOKUP(B33,Tabela2[[Tag]:[Comprim. Real]],9,0)</f>
        <v>110</v>
      </c>
      <c r="E33" s="317">
        <f>VLOOKUP(B33,Tabela2[[Tag]:[Comprim. Real]],8,0)</f>
        <v>44166</v>
      </c>
      <c r="F33" s="314">
        <f t="shared" si="0"/>
        <v>30</v>
      </c>
      <c r="G33" s="301" t="s">
        <v>1505</v>
      </c>
      <c r="H33" s="320"/>
    </row>
    <row r="34" spans="1:8" x14ac:dyDescent="0.25">
      <c r="A34" s="312" t="s">
        <v>321</v>
      </c>
      <c r="B34" s="319" t="s">
        <v>368</v>
      </c>
      <c r="C34" s="314">
        <v>90</v>
      </c>
      <c r="D34" s="314">
        <f>VLOOKUP(B34,Tabela2[[Tag]:[Comprim. Real]],9,0)</f>
        <v>120</v>
      </c>
      <c r="E34" s="317">
        <f>VLOOKUP(B34,Tabela2[[Tag]:[Comprim. Real]],8,0)</f>
        <v>44166</v>
      </c>
      <c r="F34" s="314">
        <f t="shared" si="0"/>
        <v>30</v>
      </c>
      <c r="G34" s="301" t="s">
        <v>1505</v>
      </c>
      <c r="H34" s="320"/>
    </row>
    <row r="35" spans="1:8" x14ac:dyDescent="0.25">
      <c r="A35" s="312" t="s">
        <v>321</v>
      </c>
      <c r="B35" s="319" t="s">
        <v>727</v>
      </c>
      <c r="C35" s="314">
        <v>100</v>
      </c>
      <c r="D35" s="314">
        <f>VLOOKUP(B35,Tabela2[[Tag]:[Comprim. Real]],9,0)</f>
        <v>110</v>
      </c>
      <c r="E35" s="317">
        <f>VLOOKUP(B35,Tabela2[[Tag]:[Comprim. Real]],8,0)</f>
        <v>44166</v>
      </c>
      <c r="F35" s="314">
        <f t="shared" si="0"/>
        <v>10</v>
      </c>
      <c r="G35" s="301" t="s">
        <v>1505</v>
      </c>
      <c r="H35" s="320"/>
    </row>
    <row r="36" spans="1:8" x14ac:dyDescent="0.25">
      <c r="A36" s="312" t="s">
        <v>184</v>
      </c>
      <c r="B36" s="319" t="s">
        <v>729</v>
      </c>
      <c r="C36" s="314">
        <v>95</v>
      </c>
      <c r="D36" s="314">
        <f>VLOOKUP(B36,Tabela2[[Tag]:[Comprim. Real]],9,0)</f>
        <v>110</v>
      </c>
      <c r="E36" s="317">
        <f>VLOOKUP(B36,Tabela2[[Tag]:[Comprim. Real]],8,0)</f>
        <v>44166</v>
      </c>
      <c r="F36" s="314">
        <f t="shared" si="0"/>
        <v>15</v>
      </c>
      <c r="G36" s="301" t="s">
        <v>1505</v>
      </c>
      <c r="H36" s="320"/>
    </row>
    <row r="37" spans="1:8" x14ac:dyDescent="0.25">
      <c r="A37" s="312" t="s">
        <v>321</v>
      </c>
      <c r="B37" s="319" t="s">
        <v>607</v>
      </c>
      <c r="C37" s="314">
        <v>130</v>
      </c>
      <c r="D37" s="314">
        <f>VLOOKUP(B37,Tabela2[[Tag]:[Comprim. Real]],9,0)</f>
        <v>136</v>
      </c>
      <c r="E37" s="317">
        <f>VLOOKUP(B37,Tabela2[[Tag]:[Comprim. Real]],8,0)</f>
        <v>44166</v>
      </c>
      <c r="F37" s="314">
        <f t="shared" si="0"/>
        <v>6</v>
      </c>
      <c r="G37" s="301" t="s">
        <v>1505</v>
      </c>
      <c r="H37" s="320"/>
    </row>
    <row r="38" spans="1:8" x14ac:dyDescent="0.25">
      <c r="A38" s="312" t="s">
        <v>321</v>
      </c>
      <c r="B38" s="319" t="s">
        <v>611</v>
      </c>
      <c r="C38" s="314">
        <v>130</v>
      </c>
      <c r="D38" s="314">
        <f>VLOOKUP(B38,Tabela2[[Tag]:[Comprim. Real]],9,0)</f>
        <v>136</v>
      </c>
      <c r="E38" s="317">
        <f>VLOOKUP(B38,Tabela2[[Tag]:[Comprim. Real]],8,0)</f>
        <v>44166</v>
      </c>
      <c r="F38" s="314">
        <f t="shared" si="0"/>
        <v>6</v>
      </c>
      <c r="G38" s="301" t="s">
        <v>1505</v>
      </c>
      <c r="H38" s="320"/>
    </row>
    <row r="39" spans="1:8" x14ac:dyDescent="0.25">
      <c r="A39" s="312" t="s">
        <v>321</v>
      </c>
      <c r="B39" s="319" t="s">
        <v>613</v>
      </c>
      <c r="C39" s="314">
        <v>130</v>
      </c>
      <c r="D39" s="314">
        <f>VLOOKUP(B39,Tabela2[[Tag]:[Comprim. Real]],9,0)</f>
        <v>136</v>
      </c>
      <c r="E39" s="317">
        <f>VLOOKUP(B39,Tabela2[[Tag]:[Comprim. Real]],8,0)</f>
        <v>44166</v>
      </c>
      <c r="F39" s="314">
        <f t="shared" si="0"/>
        <v>6</v>
      </c>
      <c r="G39" s="301" t="s">
        <v>1505</v>
      </c>
      <c r="H39" s="320"/>
    </row>
    <row r="40" spans="1:8" x14ac:dyDescent="0.25">
      <c r="A40" s="312" t="s">
        <v>184</v>
      </c>
      <c r="B40" s="319" t="s">
        <v>615</v>
      </c>
      <c r="C40" s="314">
        <v>123.5</v>
      </c>
      <c r="D40" s="314">
        <f>VLOOKUP(B40,Tabela2[[Tag]:[Comprim. Real]],9,0)</f>
        <v>136</v>
      </c>
      <c r="E40" s="317">
        <f>VLOOKUP(B40,Tabela2[[Tag]:[Comprim. Real]],8,0)</f>
        <v>44166</v>
      </c>
      <c r="F40" s="314">
        <f t="shared" si="0"/>
        <v>12.5</v>
      </c>
      <c r="G40" s="301" t="s">
        <v>1505</v>
      </c>
      <c r="H40" s="320"/>
    </row>
    <row r="41" spans="1:8" x14ac:dyDescent="0.25">
      <c r="A41" s="312" t="s">
        <v>184</v>
      </c>
      <c r="B41" s="319" t="s">
        <v>617</v>
      </c>
      <c r="C41" s="314">
        <v>123.5</v>
      </c>
      <c r="D41" s="314">
        <f>VLOOKUP(B41,Tabela2[[Tag]:[Comprim. Real]],9,0)</f>
        <v>136</v>
      </c>
      <c r="E41" s="317">
        <f>VLOOKUP(B41,Tabela2[[Tag]:[Comprim. Real]],8,0)</f>
        <v>44166</v>
      </c>
      <c r="F41" s="314">
        <f t="shared" si="0"/>
        <v>12.5</v>
      </c>
      <c r="G41" s="301" t="s">
        <v>1505</v>
      </c>
      <c r="H41" s="320"/>
    </row>
    <row r="42" spans="1:8" x14ac:dyDescent="0.25">
      <c r="A42" s="312" t="s">
        <v>184</v>
      </c>
      <c r="B42" s="319" t="s">
        <v>618</v>
      </c>
      <c r="C42" s="314">
        <v>123.5</v>
      </c>
      <c r="D42" s="314">
        <f>VLOOKUP(B42,Tabela2[[Tag]:[Comprim. Real]],9,0)</f>
        <v>136</v>
      </c>
      <c r="E42" s="317">
        <f>VLOOKUP(B42,Tabela2[[Tag]:[Comprim. Real]],8,0)</f>
        <v>44166</v>
      </c>
      <c r="F42" s="314">
        <f t="shared" si="0"/>
        <v>12.5</v>
      </c>
      <c r="G42" s="301" t="s">
        <v>1505</v>
      </c>
      <c r="H42" s="320"/>
    </row>
    <row r="43" spans="1:8" x14ac:dyDescent="0.25">
      <c r="A43" s="312" t="s">
        <v>184</v>
      </c>
      <c r="B43" s="319" t="s">
        <v>619</v>
      </c>
      <c r="C43" s="314">
        <v>123.5</v>
      </c>
      <c r="D43" s="314">
        <f>VLOOKUP(B43,Tabela2[[Tag]:[Comprim. Real]],9,0)</f>
        <v>136</v>
      </c>
      <c r="E43" s="317">
        <f>VLOOKUP(B43,Tabela2[[Tag]:[Comprim. Real]],8,0)</f>
        <v>44166</v>
      </c>
      <c r="F43" s="314">
        <f t="shared" si="0"/>
        <v>12.5</v>
      </c>
      <c r="G43" s="301" t="s">
        <v>1505</v>
      </c>
      <c r="H43" s="320"/>
    </row>
    <row r="44" spans="1:8" x14ac:dyDescent="0.25">
      <c r="A44" s="312" t="s">
        <v>321</v>
      </c>
      <c r="B44" s="319" t="s">
        <v>621</v>
      </c>
      <c r="C44" s="314">
        <v>130</v>
      </c>
      <c r="D44" s="314">
        <f>VLOOKUP(B44,Tabela2[[Tag]:[Comprim. Real]],9,0)</f>
        <v>136</v>
      </c>
      <c r="E44" s="317">
        <f>VLOOKUP(B44,Tabela2[[Tag]:[Comprim. Real]],8,0)</f>
        <v>44166</v>
      </c>
      <c r="F44" s="314">
        <f t="shared" si="0"/>
        <v>6</v>
      </c>
      <c r="G44" s="301" t="s">
        <v>1505</v>
      </c>
      <c r="H44" s="320"/>
    </row>
    <row r="45" spans="1:8" x14ac:dyDescent="0.25">
      <c r="A45" s="312" t="s">
        <v>184</v>
      </c>
      <c r="B45" s="319" t="s">
        <v>361</v>
      </c>
      <c r="C45" s="314">
        <v>85.5</v>
      </c>
      <c r="D45" s="314">
        <f>VLOOKUP(B45,Tabela2[[Tag]:[Comprim. Real]],9,0)</f>
        <v>90</v>
      </c>
      <c r="E45" s="317">
        <f>VLOOKUP(B45,Tabela2[[Tag]:[Comprim. Real]],8,0)</f>
        <v>44166</v>
      </c>
      <c r="F45" s="314">
        <f t="shared" si="0"/>
        <v>4.5</v>
      </c>
      <c r="G45" s="301" t="s">
        <v>1505</v>
      </c>
      <c r="H45" s="320"/>
    </row>
    <row r="46" spans="1:8" x14ac:dyDescent="0.25">
      <c r="A46" s="312" t="s">
        <v>321</v>
      </c>
      <c r="B46" s="319" t="s">
        <v>365</v>
      </c>
      <c r="C46" s="314">
        <v>90</v>
      </c>
      <c r="D46" s="314">
        <f>VLOOKUP(B46,Tabela2[[Tag]:[Comprim. Real]],9,0)</f>
        <v>120</v>
      </c>
      <c r="E46" s="317">
        <f>VLOOKUP(B46,Tabela2[[Tag]:[Comprim. Real]],8,0)</f>
        <v>44166</v>
      </c>
      <c r="F46" s="314">
        <f t="shared" si="0"/>
        <v>30</v>
      </c>
      <c r="G46" s="301" t="s">
        <v>1505</v>
      </c>
      <c r="H46" s="320"/>
    </row>
    <row r="47" spans="1:8" x14ac:dyDescent="0.25">
      <c r="A47" s="312" t="s">
        <v>184</v>
      </c>
      <c r="B47" s="319" t="s">
        <v>622</v>
      </c>
      <c r="C47" s="314">
        <v>123.5</v>
      </c>
      <c r="D47" s="314">
        <f>VLOOKUP(B47,Tabela2[[Tag]:[Comprim. Real]],9,0)</f>
        <v>136</v>
      </c>
      <c r="E47" s="317">
        <f>VLOOKUP(B47,Tabela2[[Tag]:[Comprim. Real]],8,0)</f>
        <v>44166</v>
      </c>
      <c r="F47" s="314">
        <f t="shared" si="0"/>
        <v>12.5</v>
      </c>
      <c r="G47" s="301" t="s">
        <v>1505</v>
      </c>
      <c r="H47" s="320"/>
    </row>
    <row r="48" spans="1:8" x14ac:dyDescent="0.25">
      <c r="A48" s="312" t="s">
        <v>184</v>
      </c>
      <c r="B48" s="319" t="s">
        <v>624</v>
      </c>
      <c r="C48" s="314">
        <v>123.5</v>
      </c>
      <c r="D48" s="314">
        <f>VLOOKUP(B48,Tabela2[[Tag]:[Comprim. Real]],9,0)</f>
        <v>136</v>
      </c>
      <c r="E48" s="317">
        <f>VLOOKUP(B48,Tabela2[[Tag]:[Comprim. Real]],8,0)</f>
        <v>44166</v>
      </c>
      <c r="F48" s="314">
        <f t="shared" si="0"/>
        <v>12.5</v>
      </c>
      <c r="G48" s="301" t="s">
        <v>1505</v>
      </c>
      <c r="H48" s="320"/>
    </row>
    <row r="49" spans="1:8" x14ac:dyDescent="0.25">
      <c r="A49" s="312" t="s">
        <v>321</v>
      </c>
      <c r="B49" s="319" t="s">
        <v>625</v>
      </c>
      <c r="C49" s="314">
        <v>130</v>
      </c>
      <c r="D49" s="314">
        <f>VLOOKUP(B49,Tabela2[[Tag]:[Comprim. Real]],9,0)</f>
        <v>136</v>
      </c>
      <c r="E49" s="317">
        <f>VLOOKUP(B49,Tabela2[[Tag]:[Comprim. Real]],8,0)</f>
        <v>44166</v>
      </c>
      <c r="F49" s="314">
        <f t="shared" si="0"/>
        <v>6</v>
      </c>
      <c r="G49" s="301" t="s">
        <v>1505</v>
      </c>
      <c r="H49" s="320"/>
    </row>
    <row r="50" spans="1:8" x14ac:dyDescent="0.25">
      <c r="A50" s="312" t="s">
        <v>321</v>
      </c>
      <c r="B50" s="319" t="s">
        <v>626</v>
      </c>
      <c r="C50" s="314">
        <v>130</v>
      </c>
      <c r="D50" s="314">
        <f>VLOOKUP(B50,Tabela2[[Tag]:[Comprim. Real]],9,0)</f>
        <v>136</v>
      </c>
      <c r="E50" s="317">
        <f>VLOOKUP(B50,Tabela2[[Tag]:[Comprim. Real]],8,0)</f>
        <v>44166</v>
      </c>
      <c r="F50" s="314">
        <f t="shared" si="0"/>
        <v>6</v>
      </c>
      <c r="G50" s="301" t="s">
        <v>1505</v>
      </c>
      <c r="H50" s="320"/>
    </row>
    <row r="51" spans="1:8" x14ac:dyDescent="0.25">
      <c r="A51" s="312" t="s">
        <v>184</v>
      </c>
      <c r="B51" s="319" t="s">
        <v>627</v>
      </c>
      <c r="C51" s="314">
        <v>123.5</v>
      </c>
      <c r="D51" s="314">
        <f>VLOOKUP(B51,Tabela2[[Tag]:[Comprim. Real]],9,0)</f>
        <v>136</v>
      </c>
      <c r="E51" s="317">
        <f>VLOOKUP(B51,Tabela2[[Tag]:[Comprim. Real]],8,0)</f>
        <v>44166</v>
      </c>
      <c r="F51" s="314">
        <f t="shared" si="0"/>
        <v>12.5</v>
      </c>
      <c r="G51" s="301" t="s">
        <v>1505</v>
      </c>
      <c r="H51" s="320"/>
    </row>
    <row r="52" spans="1:8" x14ac:dyDescent="0.25">
      <c r="A52" s="312" t="s">
        <v>184</v>
      </c>
      <c r="B52" s="319" t="s">
        <v>629</v>
      </c>
      <c r="C52" s="314">
        <v>123.5</v>
      </c>
      <c r="D52" s="314">
        <f>VLOOKUP(B52,Tabela2[[Tag]:[Comprim. Real]],9,0)</f>
        <v>136</v>
      </c>
      <c r="E52" s="317">
        <f>VLOOKUP(B52,Tabela2[[Tag]:[Comprim. Real]],8,0)</f>
        <v>44166</v>
      </c>
      <c r="F52" s="314">
        <f t="shared" si="0"/>
        <v>12.5</v>
      </c>
      <c r="G52" s="301" t="s">
        <v>1505</v>
      </c>
      <c r="H52" s="320"/>
    </row>
    <row r="53" spans="1:8" x14ac:dyDescent="0.25">
      <c r="A53" s="312" t="s">
        <v>184</v>
      </c>
      <c r="B53" s="319" t="s">
        <v>1512</v>
      </c>
      <c r="C53" s="314">
        <v>76</v>
      </c>
      <c r="D53" s="314" t="e">
        <f>VLOOKUP(B53,Tabela2[[Tag]:[Comprim. Real]],9,0)</f>
        <v>#N/A</v>
      </c>
      <c r="E53" s="317" t="e">
        <f>VLOOKUP(B53,Tabela2[[Tag]:[Comprim. Real]],8,0)</f>
        <v>#N/A</v>
      </c>
      <c r="F53" s="314" t="e">
        <f t="shared" si="0"/>
        <v>#N/A</v>
      </c>
      <c r="G53" s="301" t="s">
        <v>1511</v>
      </c>
    </row>
    <row r="54" spans="1:8" x14ac:dyDescent="0.25">
      <c r="A54" s="312" t="s">
        <v>184</v>
      </c>
      <c r="B54" s="319" t="s">
        <v>376</v>
      </c>
      <c r="C54" s="314">
        <v>76</v>
      </c>
      <c r="D54" s="314">
        <f>VLOOKUP(B54,Tabela2[[Tag]:[Comprim. Real]],9,0)</f>
        <v>110</v>
      </c>
      <c r="E54" s="317">
        <f>VLOOKUP(B54,Tabela2[[Tag]:[Comprim. Real]],8,0)</f>
        <v>44166</v>
      </c>
      <c r="F54" s="314">
        <f t="shared" si="0"/>
        <v>34</v>
      </c>
      <c r="G54" s="301" t="s">
        <v>1505</v>
      </c>
      <c r="H54" s="320"/>
    </row>
    <row r="55" spans="1:8" x14ac:dyDescent="0.25">
      <c r="A55" s="312" t="s">
        <v>184</v>
      </c>
      <c r="B55" s="319" t="s">
        <v>1513</v>
      </c>
      <c r="C55" s="314">
        <v>123.5</v>
      </c>
      <c r="D55" s="314" t="e">
        <f>VLOOKUP(B55,Tabela2[[Tag]:[Comprim. Real]],9,0)</f>
        <v>#N/A</v>
      </c>
      <c r="E55" s="317" t="e">
        <f>VLOOKUP(B55,Tabela2[[Tag]:[Comprim. Real]],8,0)</f>
        <v>#N/A</v>
      </c>
      <c r="F55" s="314" t="e">
        <f t="shared" si="0"/>
        <v>#N/A</v>
      </c>
      <c r="G55" s="301" t="s">
        <v>1511</v>
      </c>
    </row>
    <row r="56" spans="1:8" x14ac:dyDescent="0.25">
      <c r="A56" s="312" t="s">
        <v>184</v>
      </c>
      <c r="B56" s="319" t="s">
        <v>1514</v>
      </c>
      <c r="C56" s="314">
        <v>123.5</v>
      </c>
      <c r="D56" s="314" t="e">
        <f>VLOOKUP(B56,Tabela2[[Tag]:[Comprim. Real]],9,0)</f>
        <v>#N/A</v>
      </c>
      <c r="E56" s="317" t="e">
        <f>VLOOKUP(B56,Tabela2[[Tag]:[Comprim. Real]],8,0)</f>
        <v>#N/A</v>
      </c>
      <c r="F56" s="314" t="e">
        <f t="shared" si="0"/>
        <v>#N/A</v>
      </c>
      <c r="G56" s="301" t="s">
        <v>1511</v>
      </c>
    </row>
    <row r="57" spans="1:8" x14ac:dyDescent="0.25">
      <c r="A57" s="312" t="s">
        <v>184</v>
      </c>
      <c r="B57" s="319" t="s">
        <v>606</v>
      </c>
      <c r="C57" s="314">
        <v>123.5</v>
      </c>
      <c r="D57" s="314">
        <f>VLOOKUP(B57,Tabela2[[Tag]:[Comprim. Real]],9,0)</f>
        <v>136</v>
      </c>
      <c r="E57" s="317">
        <f>VLOOKUP(B57,Tabela2[[Tag]:[Comprim. Real]],8,0)</f>
        <v>44166</v>
      </c>
      <c r="F57" s="314">
        <f t="shared" si="0"/>
        <v>12.5</v>
      </c>
      <c r="G57" s="301" t="s">
        <v>1505</v>
      </c>
      <c r="H57" s="320"/>
    </row>
    <row r="58" spans="1:8" x14ac:dyDescent="0.25">
      <c r="A58" s="312" t="s">
        <v>321</v>
      </c>
      <c r="B58" s="319" t="s">
        <v>631</v>
      </c>
      <c r="C58" s="314">
        <v>130</v>
      </c>
      <c r="D58" s="314">
        <f>VLOOKUP(B58,Tabela2[[Tag]:[Comprim. Real]],9,0)</f>
        <v>136</v>
      </c>
      <c r="E58" s="317">
        <f>VLOOKUP(B58,Tabela2[[Tag]:[Comprim. Real]],8,0)</f>
        <v>44166</v>
      </c>
      <c r="F58" s="314">
        <f t="shared" si="0"/>
        <v>6</v>
      </c>
      <c r="G58" s="301" t="s">
        <v>1505</v>
      </c>
      <c r="H58" s="320"/>
    </row>
    <row r="59" spans="1:8" x14ac:dyDescent="0.25">
      <c r="A59" s="312" t="s">
        <v>184</v>
      </c>
      <c r="B59" s="319" t="s">
        <v>633</v>
      </c>
      <c r="C59" s="314">
        <v>123.5</v>
      </c>
      <c r="D59" s="314">
        <f>VLOOKUP(B59,Tabela2[[Tag]:[Comprim. Real]],9,0)</f>
        <v>136</v>
      </c>
      <c r="E59" s="317">
        <f>VLOOKUP(B59,Tabela2[[Tag]:[Comprim. Real]],8,0)</f>
        <v>44166</v>
      </c>
      <c r="F59" s="314">
        <f t="shared" si="0"/>
        <v>12.5</v>
      </c>
      <c r="G59" s="301" t="s">
        <v>1505</v>
      </c>
      <c r="H59" s="320"/>
    </row>
    <row r="60" spans="1:8" x14ac:dyDescent="0.25">
      <c r="A60" s="312" t="s">
        <v>321</v>
      </c>
      <c r="B60" s="319" t="s">
        <v>379</v>
      </c>
      <c r="C60" s="314">
        <v>80</v>
      </c>
      <c r="D60" s="314">
        <f>VLOOKUP(B60,Tabela2[[Tag]:[Comprim. Real]],9,0)</f>
        <v>136</v>
      </c>
      <c r="E60" s="317">
        <f>VLOOKUP(B60,Tabela2[[Tag]:[Comprim. Real]],8,0)</f>
        <v>44166</v>
      </c>
      <c r="F60" s="314">
        <f t="shared" si="0"/>
        <v>56</v>
      </c>
      <c r="G60" s="301" t="s">
        <v>1505</v>
      </c>
      <c r="H60" s="320"/>
    </row>
    <row r="61" spans="1:8" x14ac:dyDescent="0.25">
      <c r="A61" s="312" t="s">
        <v>184</v>
      </c>
      <c r="B61" s="319" t="s">
        <v>383</v>
      </c>
      <c r="C61" s="314">
        <v>123.5</v>
      </c>
      <c r="D61" s="314">
        <v>123.5</v>
      </c>
      <c r="E61" s="317">
        <f>VLOOKUP(B61,Tabela2[[Tag]:[Comprim. Real]],8,0)</f>
        <v>44166</v>
      </c>
      <c r="F61" s="314">
        <f t="shared" si="0"/>
        <v>0</v>
      </c>
      <c r="G61" s="301" t="s">
        <v>1505</v>
      </c>
    </row>
    <row r="62" spans="1:8" x14ac:dyDescent="0.25">
      <c r="A62" s="312" t="s">
        <v>184</v>
      </c>
      <c r="B62" s="319" t="s">
        <v>635</v>
      </c>
      <c r="C62" s="314">
        <v>123.5</v>
      </c>
      <c r="D62" s="314">
        <f>VLOOKUP(B62,Tabela2[[Tag]:[Comprim. Real]],9,0)</f>
        <v>136</v>
      </c>
      <c r="E62" s="317">
        <f>VLOOKUP(B62,Tabela2[[Tag]:[Comprim. Real]],8,0)</f>
        <v>44166</v>
      </c>
      <c r="F62" s="314">
        <f t="shared" si="0"/>
        <v>12.5</v>
      </c>
      <c r="G62" s="301" t="s">
        <v>1505</v>
      </c>
      <c r="H62" s="320"/>
    </row>
    <row r="63" spans="1:8" x14ac:dyDescent="0.25">
      <c r="A63" s="312" t="s">
        <v>184</v>
      </c>
      <c r="B63" s="319" t="s">
        <v>385</v>
      </c>
      <c r="C63" s="314">
        <v>76</v>
      </c>
      <c r="D63" s="314">
        <f>VLOOKUP(B63,Tabela2[[Tag]:[Comprim. Real]],9,0)</f>
        <v>110</v>
      </c>
      <c r="E63" s="317">
        <f>VLOOKUP(B63,Tabela2[[Tag]:[Comprim. Real]],8,0)</f>
        <v>44166</v>
      </c>
      <c r="F63" s="314">
        <f t="shared" si="0"/>
        <v>34</v>
      </c>
      <c r="G63" s="301" t="s">
        <v>1505</v>
      </c>
      <c r="H63" s="320"/>
    </row>
    <row r="64" spans="1:8" x14ac:dyDescent="0.25">
      <c r="A64" s="312" t="s">
        <v>184</v>
      </c>
      <c r="B64" s="319" t="s">
        <v>636</v>
      </c>
      <c r="C64" s="314">
        <v>123.5</v>
      </c>
      <c r="D64" s="314">
        <f>VLOOKUP(B64,Tabela2[[Tag]:[Comprim. Real]],9,0)</f>
        <v>136</v>
      </c>
      <c r="E64" s="317">
        <f>VLOOKUP(B64,Tabela2[[Tag]:[Comprim. Real]],8,0)</f>
        <v>44166</v>
      </c>
      <c r="F64" s="314">
        <f t="shared" si="0"/>
        <v>12.5</v>
      </c>
      <c r="G64" s="301" t="s">
        <v>1505</v>
      </c>
      <c r="H64" s="320"/>
    </row>
    <row r="65" spans="1:8" x14ac:dyDescent="0.25">
      <c r="A65" s="312" t="s">
        <v>184</v>
      </c>
      <c r="B65" s="319" t="s">
        <v>637</v>
      </c>
      <c r="C65" s="314">
        <v>123.5</v>
      </c>
      <c r="D65" s="314">
        <f>VLOOKUP(B65,Tabela2[[Tag]:[Comprim. Real]],9,0)</f>
        <v>136</v>
      </c>
      <c r="E65" s="317">
        <f>VLOOKUP(B65,Tabela2[[Tag]:[Comprim. Real]],8,0)</f>
        <v>44166</v>
      </c>
      <c r="F65" s="314">
        <f t="shared" si="0"/>
        <v>12.5</v>
      </c>
      <c r="G65" s="301" t="s">
        <v>1505</v>
      </c>
      <c r="H65" s="320"/>
    </row>
    <row r="66" spans="1:8" x14ac:dyDescent="0.25">
      <c r="A66" s="312" t="s">
        <v>184</v>
      </c>
      <c r="B66" s="319" t="s">
        <v>638</v>
      </c>
      <c r="C66" s="314">
        <v>123.5</v>
      </c>
      <c r="D66" s="314">
        <f>VLOOKUP(B66,Tabela2[[Tag]:[Comprim. Real]],9,0)</f>
        <v>136</v>
      </c>
      <c r="E66" s="317">
        <f>VLOOKUP(B66,Tabela2[[Tag]:[Comprim. Real]],8,0)</f>
        <v>44166</v>
      </c>
      <c r="F66" s="314">
        <f t="shared" si="0"/>
        <v>12.5</v>
      </c>
      <c r="G66" s="301" t="s">
        <v>1505</v>
      </c>
      <c r="H66" s="320"/>
    </row>
    <row r="67" spans="1:8" x14ac:dyDescent="0.25">
      <c r="A67" s="312" t="s">
        <v>184</v>
      </c>
      <c r="B67" s="319" t="s">
        <v>639</v>
      </c>
      <c r="C67" s="314">
        <v>123.5</v>
      </c>
      <c r="D67" s="314">
        <f>VLOOKUP(B67,Tabela2[[Tag]:[Comprim. Real]],9,0)</f>
        <v>136</v>
      </c>
      <c r="E67" s="317">
        <f>VLOOKUP(B67,Tabela2[[Tag]:[Comprim. Real]],8,0)</f>
        <v>44166</v>
      </c>
      <c r="F67" s="314">
        <f t="shared" ref="F67:F100" si="1">D67-C67</f>
        <v>12.5</v>
      </c>
      <c r="G67" s="301" t="s">
        <v>1505</v>
      </c>
      <c r="H67" s="320"/>
    </row>
    <row r="68" spans="1:8" x14ac:dyDescent="0.25">
      <c r="A68" s="312" t="s">
        <v>184</v>
      </c>
      <c r="B68" s="319" t="s">
        <v>640</v>
      </c>
      <c r="C68" s="314">
        <v>123.5</v>
      </c>
      <c r="D68" s="314">
        <f>VLOOKUP(B68,Tabela2[[Tag]:[Comprim. Real]],9,0)</f>
        <v>136</v>
      </c>
      <c r="E68" s="317">
        <f>VLOOKUP(B68,Tabela2[[Tag]:[Comprim. Real]],8,0)</f>
        <v>44166</v>
      </c>
      <c r="F68" s="314">
        <f t="shared" si="1"/>
        <v>12.5</v>
      </c>
      <c r="G68" s="301" t="s">
        <v>1505</v>
      </c>
      <c r="H68" s="320"/>
    </row>
    <row r="69" spans="1:8" x14ac:dyDescent="0.25">
      <c r="A69" s="312" t="s">
        <v>184</v>
      </c>
      <c r="B69" s="319" t="s">
        <v>641</v>
      </c>
      <c r="C69" s="314">
        <v>123.5</v>
      </c>
      <c r="D69" s="314">
        <f>VLOOKUP(B69,Tabela2[[Tag]:[Comprim. Real]],9,0)</f>
        <v>136</v>
      </c>
      <c r="E69" s="317">
        <f>VLOOKUP(B69,Tabela2[[Tag]:[Comprim. Real]],8,0)</f>
        <v>44166</v>
      </c>
      <c r="F69" s="314">
        <f t="shared" si="1"/>
        <v>12.5</v>
      </c>
      <c r="G69" s="301" t="s">
        <v>1505</v>
      </c>
      <c r="H69" s="320"/>
    </row>
    <row r="70" spans="1:8" x14ac:dyDescent="0.25">
      <c r="A70" s="312" t="s">
        <v>184</v>
      </c>
      <c r="B70" s="319" t="s">
        <v>642</v>
      </c>
      <c r="C70" s="314">
        <v>123.5</v>
      </c>
      <c r="D70" s="314">
        <f>VLOOKUP(B70,Tabela2[[Tag]:[Comprim. Real]],9,0)</f>
        <v>136</v>
      </c>
      <c r="E70" s="317">
        <f>VLOOKUP(B70,Tabela2[[Tag]:[Comprim. Real]],8,0)</f>
        <v>44166</v>
      </c>
      <c r="F70" s="314">
        <f t="shared" si="1"/>
        <v>12.5</v>
      </c>
      <c r="G70" s="301" t="s">
        <v>1505</v>
      </c>
      <c r="H70" s="320"/>
    </row>
    <row r="71" spans="1:8" x14ac:dyDescent="0.25">
      <c r="A71" s="312" t="s">
        <v>321</v>
      </c>
      <c r="B71" s="319" t="s">
        <v>388</v>
      </c>
      <c r="C71" s="314">
        <v>80</v>
      </c>
      <c r="D71" s="314">
        <f>VLOOKUP(B71,Tabela2[[Tag]:[Comprim. Real]],9,0)</f>
        <v>110</v>
      </c>
      <c r="E71" s="317">
        <f>VLOOKUP(B71,Tabela2[[Tag]:[Comprim. Real]],8,0)</f>
        <v>44166</v>
      </c>
      <c r="F71" s="314">
        <f t="shared" si="1"/>
        <v>30</v>
      </c>
      <c r="G71" s="301" t="s">
        <v>1505</v>
      </c>
      <c r="H71" s="320"/>
    </row>
    <row r="72" spans="1:8" x14ac:dyDescent="0.25">
      <c r="A72" s="312" t="s">
        <v>184</v>
      </c>
      <c r="B72" s="319" t="s">
        <v>643</v>
      </c>
      <c r="C72" s="314">
        <v>123.5</v>
      </c>
      <c r="D72" s="314">
        <f>VLOOKUP(B72,Tabela2[[Tag]:[Comprim. Real]],9,0)</f>
        <v>136</v>
      </c>
      <c r="E72" s="317">
        <f>VLOOKUP(B72,Tabela2[[Tag]:[Comprim. Real]],8,0)</f>
        <v>44166</v>
      </c>
      <c r="F72" s="314">
        <f t="shared" si="1"/>
        <v>12.5</v>
      </c>
      <c r="G72" s="301" t="s">
        <v>1505</v>
      </c>
      <c r="H72" s="320"/>
    </row>
    <row r="73" spans="1:8" x14ac:dyDescent="0.25">
      <c r="A73" s="312" t="s">
        <v>184</v>
      </c>
      <c r="B73" s="319" t="s">
        <v>644</v>
      </c>
      <c r="C73" s="314">
        <v>123.5</v>
      </c>
      <c r="D73" s="314">
        <f>VLOOKUP(B73,Tabela2[[Tag]:[Comprim. Real]],9,0)</f>
        <v>136</v>
      </c>
      <c r="E73" s="317">
        <f>VLOOKUP(B73,Tabela2[[Tag]:[Comprim. Real]],8,0)</f>
        <v>44166</v>
      </c>
      <c r="F73" s="314">
        <f t="shared" si="1"/>
        <v>12.5</v>
      </c>
      <c r="G73" s="301" t="s">
        <v>1505</v>
      </c>
      <c r="H73" s="320"/>
    </row>
    <row r="74" spans="1:8" x14ac:dyDescent="0.25">
      <c r="A74" s="312" t="s">
        <v>184</v>
      </c>
      <c r="B74" s="319" t="s">
        <v>645</v>
      </c>
      <c r="C74" s="314">
        <v>123.5</v>
      </c>
      <c r="D74" s="314">
        <f>VLOOKUP(B74,Tabela2[[Tag]:[Comprim. Real]],9,0)</f>
        <v>136</v>
      </c>
      <c r="E74" s="317">
        <f>VLOOKUP(B74,Tabela2[[Tag]:[Comprim. Real]],8,0)</f>
        <v>44166</v>
      </c>
      <c r="F74" s="314">
        <f t="shared" si="1"/>
        <v>12.5</v>
      </c>
      <c r="G74" s="301" t="s">
        <v>1505</v>
      </c>
      <c r="H74" s="320"/>
    </row>
    <row r="75" spans="1:8" x14ac:dyDescent="0.25">
      <c r="A75" s="312" t="s">
        <v>184</v>
      </c>
      <c r="B75" s="319" t="s">
        <v>391</v>
      </c>
      <c r="C75" s="314">
        <v>76</v>
      </c>
      <c r="D75" s="314">
        <f>VLOOKUP(B75,Tabela2[[Tag]:[Comprim. Real]],9,0)</f>
        <v>110</v>
      </c>
      <c r="E75" s="317">
        <f>VLOOKUP(B75,Tabela2[[Tag]:[Comprim. Real]],8,0)</f>
        <v>44166</v>
      </c>
      <c r="F75" s="314">
        <f t="shared" si="1"/>
        <v>34</v>
      </c>
      <c r="G75" s="301" t="s">
        <v>1505</v>
      </c>
      <c r="H75" s="320"/>
    </row>
    <row r="76" spans="1:8" x14ac:dyDescent="0.25">
      <c r="A76" s="312" t="s">
        <v>184</v>
      </c>
      <c r="B76" s="319" t="s">
        <v>394</v>
      </c>
      <c r="C76" s="314">
        <v>76</v>
      </c>
      <c r="D76" s="314">
        <f>VLOOKUP(B76,Tabela2[[Tag]:[Comprim. Real]],9,0)</f>
        <v>110</v>
      </c>
      <c r="E76" s="317">
        <f>VLOOKUP(B76,Tabela2[[Tag]:[Comprim. Real]],8,0)</f>
        <v>44166</v>
      </c>
      <c r="F76" s="314">
        <f t="shared" si="1"/>
        <v>34</v>
      </c>
      <c r="G76" s="301" t="s">
        <v>1505</v>
      </c>
      <c r="H76" s="320"/>
    </row>
    <row r="77" spans="1:8" x14ac:dyDescent="0.25">
      <c r="A77" s="312" t="s">
        <v>184</v>
      </c>
      <c r="B77" s="319" t="s">
        <v>398</v>
      </c>
      <c r="C77" s="314">
        <v>76</v>
      </c>
      <c r="D77" s="314">
        <f>VLOOKUP(B77,Tabela2[[Tag]:[Comprim. Real]],9,0)</f>
        <v>110</v>
      </c>
      <c r="E77" s="317">
        <f>VLOOKUP(B77,Tabela2[[Tag]:[Comprim. Real]],8,0)</f>
        <v>44166</v>
      </c>
      <c r="F77" s="314">
        <f t="shared" si="1"/>
        <v>34</v>
      </c>
      <c r="G77" s="301" t="s">
        <v>1505</v>
      </c>
      <c r="H77" s="320"/>
    </row>
    <row r="78" spans="1:8" x14ac:dyDescent="0.25">
      <c r="A78" s="312" t="s">
        <v>321</v>
      </c>
      <c r="B78" s="319" t="s">
        <v>656</v>
      </c>
      <c r="C78" s="314">
        <v>370</v>
      </c>
      <c r="D78" s="314">
        <f>VLOOKUP(B78,Tabela2[[Tag]:[Comprim. Real]],9,0)</f>
        <v>370</v>
      </c>
      <c r="E78" s="317">
        <f>VLOOKUP(B78,Tabela2[[Tag]:[Comprim. Real]],8,0)</f>
        <v>44166</v>
      </c>
      <c r="F78" s="314">
        <f t="shared" si="1"/>
        <v>0</v>
      </c>
      <c r="G78" s="301" t="s">
        <v>1505</v>
      </c>
    </row>
    <row r="79" spans="1:8" x14ac:dyDescent="0.25">
      <c r="A79" s="312" t="s">
        <v>184</v>
      </c>
      <c r="B79" s="319" t="s">
        <v>662</v>
      </c>
      <c r="C79" s="314">
        <v>351.5</v>
      </c>
      <c r="D79" s="314">
        <f>VLOOKUP(B79,Tabela2[[Tag]:[Comprim. Real]],9,0)</f>
        <v>370</v>
      </c>
      <c r="E79" s="317">
        <f>VLOOKUP(B79,Tabela2[[Tag]:[Comprim. Real]],8,0)</f>
        <v>44166</v>
      </c>
      <c r="F79" s="314">
        <f t="shared" si="1"/>
        <v>18.5</v>
      </c>
      <c r="G79" s="301" t="s">
        <v>1505</v>
      </c>
      <c r="H79" s="320"/>
    </row>
    <row r="80" spans="1:8" x14ac:dyDescent="0.25">
      <c r="A80" s="315" t="s">
        <v>184</v>
      </c>
      <c r="B80" s="319" t="s">
        <v>664</v>
      </c>
      <c r="C80" s="314">
        <v>370</v>
      </c>
      <c r="D80" s="314">
        <f>VLOOKUP(B80,Tabela2[[Tag]:[Comprim. Real]],9,0)</f>
        <v>370</v>
      </c>
      <c r="E80" s="317">
        <f>VLOOKUP(B80,Tabela2[[Tag]:[Comprim. Real]],8,0)</f>
        <v>44166</v>
      </c>
      <c r="F80" s="314">
        <f t="shared" si="1"/>
        <v>0</v>
      </c>
      <c r="G80" s="301" t="s">
        <v>1505</v>
      </c>
    </row>
    <row r="81" spans="1:7" x14ac:dyDescent="0.25">
      <c r="A81" s="315" t="s">
        <v>321</v>
      </c>
      <c r="B81" s="319" t="s">
        <v>675</v>
      </c>
      <c r="C81" s="314">
        <v>370</v>
      </c>
      <c r="D81" s="314">
        <f>VLOOKUP(B81,Tabela2[[Tag]:[Comprim. Real]],9,0)</f>
        <v>370</v>
      </c>
      <c r="E81" s="317">
        <f>VLOOKUP(B81,Tabela2[[Tag]:[Comprim. Real]],8,0)</f>
        <v>44166</v>
      </c>
      <c r="F81" s="314">
        <f t="shared" si="1"/>
        <v>0</v>
      </c>
      <c r="G81" s="301" t="s">
        <v>1505</v>
      </c>
    </row>
    <row r="82" spans="1:7" x14ac:dyDescent="0.25">
      <c r="A82" s="315" t="s">
        <v>184</v>
      </c>
      <c r="B82" s="319" t="s">
        <v>695</v>
      </c>
      <c r="C82" s="314">
        <v>370</v>
      </c>
      <c r="D82" s="314">
        <f>VLOOKUP(B82,Tabela2[[Tag]:[Comprim. Real]],9,0)</f>
        <v>370</v>
      </c>
      <c r="E82" s="317">
        <f>VLOOKUP(B82,Tabela2[[Tag]:[Comprim. Real]],8,0)</f>
        <v>44166</v>
      </c>
      <c r="F82" s="314">
        <f t="shared" si="1"/>
        <v>0</v>
      </c>
      <c r="G82" s="301" t="s">
        <v>1505</v>
      </c>
    </row>
    <row r="83" spans="1:7" x14ac:dyDescent="0.25">
      <c r="A83" s="315" t="s">
        <v>184</v>
      </c>
      <c r="B83" s="319" t="s">
        <v>698</v>
      </c>
      <c r="C83" s="314">
        <v>370</v>
      </c>
      <c r="D83" s="314">
        <f>VLOOKUP(B83,Tabela2[[Tag]:[Comprim. Real]],9,0)</f>
        <v>370</v>
      </c>
      <c r="E83" s="317">
        <f>VLOOKUP(B83,Tabela2[[Tag]:[Comprim. Real]],8,0)</f>
        <v>44166</v>
      </c>
      <c r="F83" s="314">
        <f t="shared" si="1"/>
        <v>0</v>
      </c>
      <c r="G83" s="301" t="s">
        <v>1505</v>
      </c>
    </row>
    <row r="84" spans="1:7" x14ac:dyDescent="0.25">
      <c r="A84" s="315" t="s">
        <v>321</v>
      </c>
      <c r="B84" s="319" t="s">
        <v>700</v>
      </c>
      <c r="C84" s="314">
        <v>370</v>
      </c>
      <c r="D84" s="314">
        <f>VLOOKUP(B84,Tabela2[[Tag]:[Comprim. Real]],9,0)</f>
        <v>370</v>
      </c>
      <c r="E84" s="317">
        <f>VLOOKUP(B84,Tabela2[[Tag]:[Comprim. Real]],8,0)</f>
        <v>44166</v>
      </c>
      <c r="F84" s="314">
        <f t="shared" si="1"/>
        <v>0</v>
      </c>
      <c r="G84" s="301" t="s">
        <v>1505</v>
      </c>
    </row>
    <row r="85" spans="1:7" x14ac:dyDescent="0.25">
      <c r="A85" s="315" t="s">
        <v>184</v>
      </c>
      <c r="B85" s="319" t="s">
        <v>665</v>
      </c>
      <c r="C85" s="314">
        <v>370</v>
      </c>
      <c r="D85" s="314">
        <f>VLOOKUP(B85,Tabela2[[Tag]:[Comprim. Real]],9,0)</f>
        <v>370</v>
      </c>
      <c r="E85" s="317">
        <f>VLOOKUP(B85,Tabela2[[Tag]:[Comprim. Real]],8,0)</f>
        <v>44166</v>
      </c>
      <c r="F85" s="314">
        <f t="shared" si="1"/>
        <v>0</v>
      </c>
      <c r="G85" s="301" t="s">
        <v>1505</v>
      </c>
    </row>
    <row r="86" spans="1:7" x14ac:dyDescent="0.25">
      <c r="A86" s="315" t="s">
        <v>184</v>
      </c>
      <c r="B86" s="319" t="s">
        <v>667</v>
      </c>
      <c r="C86" s="314">
        <v>370</v>
      </c>
      <c r="D86" s="314">
        <f>VLOOKUP(B86,Tabela2[[Tag]:[Comprim. Real]],9,0)</f>
        <v>370</v>
      </c>
      <c r="E86" s="317">
        <f>VLOOKUP(B86,Tabela2[[Tag]:[Comprim. Real]],8,0)</f>
        <v>44166</v>
      </c>
      <c r="F86" s="314">
        <f t="shared" si="1"/>
        <v>0</v>
      </c>
      <c r="G86" s="301" t="s">
        <v>1505</v>
      </c>
    </row>
    <row r="87" spans="1:7" x14ac:dyDescent="0.25">
      <c r="A87" s="315" t="s">
        <v>184</v>
      </c>
      <c r="B87" s="319" t="s">
        <v>668</v>
      </c>
      <c r="C87" s="314">
        <v>370</v>
      </c>
      <c r="D87" s="314">
        <f>VLOOKUP(B87,Tabela2[[Tag]:[Comprim. Real]],9,0)</f>
        <v>370</v>
      </c>
      <c r="E87" s="317">
        <f>VLOOKUP(B87,Tabela2[[Tag]:[Comprim. Real]],8,0)</f>
        <v>44166</v>
      </c>
      <c r="F87" s="314">
        <f t="shared" si="1"/>
        <v>0</v>
      </c>
      <c r="G87" s="301" t="s">
        <v>1505</v>
      </c>
    </row>
    <row r="88" spans="1:7" x14ac:dyDescent="0.25">
      <c r="A88" s="315" t="s">
        <v>184</v>
      </c>
      <c r="B88" s="319" t="s">
        <v>670</v>
      </c>
      <c r="C88" s="314">
        <v>370</v>
      </c>
      <c r="D88" s="314">
        <f>VLOOKUP(B88,Tabela2[[Tag]:[Comprim. Real]],9,0)</f>
        <v>370</v>
      </c>
      <c r="E88" s="317">
        <f>VLOOKUP(B88,Tabela2[[Tag]:[Comprim. Real]],8,0)</f>
        <v>44166</v>
      </c>
      <c r="F88" s="314">
        <f t="shared" si="1"/>
        <v>0</v>
      </c>
      <c r="G88" s="301" t="s">
        <v>1505</v>
      </c>
    </row>
    <row r="89" spans="1:7" x14ac:dyDescent="0.25">
      <c r="A89" s="315" t="s">
        <v>184</v>
      </c>
      <c r="B89" s="319" t="s">
        <v>672</v>
      </c>
      <c r="C89" s="314">
        <v>370</v>
      </c>
      <c r="D89" s="314">
        <f>VLOOKUP(B89,Tabela2[[Tag]:[Comprim. Real]],9,0)</f>
        <v>370</v>
      </c>
      <c r="E89" s="317">
        <f>VLOOKUP(B89,Tabela2[[Tag]:[Comprim. Real]],8,0)</f>
        <v>44166</v>
      </c>
      <c r="F89" s="314">
        <f t="shared" si="1"/>
        <v>0</v>
      </c>
      <c r="G89" s="301" t="s">
        <v>1505</v>
      </c>
    </row>
    <row r="90" spans="1:7" x14ac:dyDescent="0.25">
      <c r="A90" s="315" t="s">
        <v>184</v>
      </c>
      <c r="B90" s="319" t="s">
        <v>674</v>
      </c>
      <c r="C90" s="314">
        <v>370</v>
      </c>
      <c r="D90" s="314">
        <f>VLOOKUP(B90,Tabela2[[Tag]:[Comprim. Real]],9,0)</f>
        <v>370</v>
      </c>
      <c r="E90" s="317">
        <f>VLOOKUP(B90,Tabela2[[Tag]:[Comprim. Real]],8,0)</f>
        <v>44166</v>
      </c>
      <c r="F90" s="314">
        <f t="shared" si="1"/>
        <v>0</v>
      </c>
      <c r="G90" s="301" t="s">
        <v>1505</v>
      </c>
    </row>
    <row r="91" spans="1:7" x14ac:dyDescent="0.25">
      <c r="A91" s="315" t="s">
        <v>321</v>
      </c>
      <c r="B91" s="319" t="s">
        <v>317</v>
      </c>
      <c r="C91" s="314">
        <v>10</v>
      </c>
      <c r="D91" s="314">
        <f>VLOOKUP(B91,Tabela2[[Tag]:[Comprim. Real]],9,0)</f>
        <v>10</v>
      </c>
      <c r="E91" s="321">
        <f>VLOOKUP(B91,Tabela2[[Tag]:[Comprim. Real]],8,0)</f>
        <v>44166</v>
      </c>
      <c r="F91" s="314">
        <f t="shared" si="1"/>
        <v>0</v>
      </c>
      <c r="G91" s="301" t="s">
        <v>1505</v>
      </c>
    </row>
    <row r="92" spans="1:7" x14ac:dyDescent="0.25">
      <c r="A92" s="315" t="s">
        <v>321</v>
      </c>
      <c r="B92" s="319" t="s">
        <v>323</v>
      </c>
      <c r="C92" s="314">
        <v>10</v>
      </c>
      <c r="D92" s="314">
        <f>VLOOKUP(B92,Tabela2[[Tag]:[Comprim. Real]],9,0)</f>
        <v>10</v>
      </c>
      <c r="E92" s="321">
        <f>VLOOKUP(B92,Tabela2[[Tag]:[Comprim. Real]],8,0)</f>
        <v>44166</v>
      </c>
      <c r="F92" s="314">
        <f t="shared" si="1"/>
        <v>0</v>
      </c>
      <c r="G92" s="301" t="s">
        <v>1505</v>
      </c>
    </row>
    <row r="93" spans="1:7" x14ac:dyDescent="0.25">
      <c r="A93" s="315" t="s">
        <v>321</v>
      </c>
      <c r="B93" s="319" t="s">
        <v>325</v>
      </c>
      <c r="C93" s="314">
        <v>17</v>
      </c>
      <c r="D93" s="314">
        <f>VLOOKUP(B93,Tabela2[[Tag]:[Comprim. Real]],9,0)</f>
        <v>17</v>
      </c>
      <c r="E93" s="321">
        <f>VLOOKUP(B93,Tabela2[[Tag]:[Comprim. Real]],8,0)</f>
        <v>44166</v>
      </c>
      <c r="F93" s="314">
        <f t="shared" si="1"/>
        <v>0</v>
      </c>
      <c r="G93" s="301" t="s">
        <v>1505</v>
      </c>
    </row>
    <row r="94" spans="1:7" x14ac:dyDescent="0.25">
      <c r="A94" s="315" t="s">
        <v>321</v>
      </c>
      <c r="B94" s="319" t="s">
        <v>328</v>
      </c>
      <c r="C94" s="314">
        <v>10</v>
      </c>
      <c r="D94" s="314">
        <f>VLOOKUP(B94,Tabela2[[Tag]:[Comprim. Real]],9,0)</f>
        <v>10</v>
      </c>
      <c r="E94" s="321">
        <f>VLOOKUP(B94,Tabela2[[Tag]:[Comprim. Real]],8,0)</f>
        <v>44166</v>
      </c>
      <c r="F94" s="314">
        <f t="shared" si="1"/>
        <v>0</v>
      </c>
      <c r="G94" s="301" t="s">
        <v>1505</v>
      </c>
    </row>
    <row r="95" spans="1:7" x14ac:dyDescent="0.25">
      <c r="A95" s="315" t="s">
        <v>321</v>
      </c>
      <c r="B95" s="319" t="s">
        <v>330</v>
      </c>
      <c r="C95" s="314">
        <v>17</v>
      </c>
      <c r="D95" s="314">
        <f>VLOOKUP(B95,Tabela2[[Tag]:[Comprim. Real]],9,0)</f>
        <v>17</v>
      </c>
      <c r="E95" s="321">
        <f>VLOOKUP(B95,Tabela2[[Tag]:[Comprim. Real]],8,0)</f>
        <v>44166</v>
      </c>
      <c r="F95" s="314">
        <f t="shared" si="1"/>
        <v>0</v>
      </c>
      <c r="G95" s="301" t="s">
        <v>1505</v>
      </c>
    </row>
    <row r="96" spans="1:7" x14ac:dyDescent="0.25">
      <c r="A96" s="315" t="s">
        <v>321</v>
      </c>
      <c r="B96" s="319" t="s">
        <v>332</v>
      </c>
      <c r="C96" s="314">
        <v>10</v>
      </c>
      <c r="D96" s="314">
        <f>VLOOKUP(B96,Tabela2[[Tag]:[Comprim. Real]],9,0)</f>
        <v>10</v>
      </c>
      <c r="E96" s="321">
        <f>VLOOKUP(B96,Tabela2[[Tag]:[Comprim. Real]],8,0)</f>
        <v>44166</v>
      </c>
      <c r="F96" s="314">
        <f t="shared" si="1"/>
        <v>0</v>
      </c>
      <c r="G96" s="301" t="s">
        <v>1505</v>
      </c>
    </row>
    <row r="97" spans="1:7" x14ac:dyDescent="0.25">
      <c r="A97" s="315" t="s">
        <v>321</v>
      </c>
      <c r="B97" s="319" t="s">
        <v>334</v>
      </c>
      <c r="C97" s="314">
        <v>10</v>
      </c>
      <c r="D97" s="314">
        <f>VLOOKUP(B97,Tabela2[[Tag]:[Comprim. Real]],9,0)</f>
        <v>10</v>
      </c>
      <c r="E97" s="321">
        <f>VLOOKUP(B97,Tabela2[[Tag]:[Comprim. Real]],8,0)</f>
        <v>44166</v>
      </c>
      <c r="F97" s="314">
        <f t="shared" si="1"/>
        <v>0</v>
      </c>
      <c r="G97" s="301" t="s">
        <v>1505</v>
      </c>
    </row>
    <row r="98" spans="1:7" x14ac:dyDescent="0.25">
      <c r="A98" s="315" t="s">
        <v>321</v>
      </c>
      <c r="B98" s="319" t="s">
        <v>336</v>
      </c>
      <c r="C98" s="314">
        <v>10</v>
      </c>
      <c r="D98" s="314">
        <f>VLOOKUP(B98,Tabela2[[Tag]:[Comprim. Real]],9,0)</f>
        <v>10</v>
      </c>
      <c r="E98" s="321">
        <f>VLOOKUP(B98,Tabela2[[Tag]:[Comprim. Real]],8,0)</f>
        <v>44166</v>
      </c>
      <c r="F98" s="314">
        <f t="shared" si="1"/>
        <v>0</v>
      </c>
      <c r="G98" s="301" t="s">
        <v>1505</v>
      </c>
    </row>
    <row r="99" spans="1:7" x14ac:dyDescent="0.25">
      <c r="A99" s="315" t="s">
        <v>304</v>
      </c>
      <c r="B99" s="319" t="s">
        <v>312</v>
      </c>
      <c r="C99" s="314">
        <v>5</v>
      </c>
      <c r="D99" s="314">
        <f>VLOOKUP(B99,Tabela2[[Tag]:[Comprim. Real]],9,0)</f>
        <v>5</v>
      </c>
      <c r="E99" s="321">
        <f>VLOOKUP(B99,Tabela2[[Tag]:[Comprim. Real]],8,0)</f>
        <v>44166</v>
      </c>
      <c r="F99" s="314">
        <f t="shared" si="1"/>
        <v>0</v>
      </c>
      <c r="G99" s="301" t="s">
        <v>1505</v>
      </c>
    </row>
    <row r="100" spans="1:7" x14ac:dyDescent="0.25">
      <c r="A100" s="315" t="s">
        <v>304</v>
      </c>
      <c r="B100" s="319" t="s">
        <v>301</v>
      </c>
      <c r="C100" s="314">
        <v>2.5</v>
      </c>
      <c r="D100" s="314">
        <f>VLOOKUP(B100,Tabela2[[Tag]:[Comprim. Real]],9,0)</f>
        <v>2.5</v>
      </c>
      <c r="E100" s="321">
        <f>VLOOKUP(B100,Tabela2[[Tag]:[Comprim. Real]],8,0)</f>
        <v>44166</v>
      </c>
      <c r="F100" s="314">
        <f t="shared" si="1"/>
        <v>0</v>
      </c>
      <c r="G100" s="301" t="s">
        <v>1505</v>
      </c>
    </row>
  </sheetData>
  <autoFilter ref="A1:G100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/>
  <dimension ref="A1:S27"/>
  <sheetViews>
    <sheetView topLeftCell="D7" workbookViewId="0">
      <selection sqref="A1:S27"/>
    </sheetView>
  </sheetViews>
  <sheetFormatPr defaultRowHeight="15" x14ac:dyDescent="0.25"/>
  <cols>
    <col min="1" max="1" width="10.42578125" customWidth="1"/>
    <col min="3" max="3" width="20.5703125" bestFit="1" customWidth="1"/>
    <col min="9" max="9" width="18.5703125" bestFit="1" customWidth="1"/>
    <col min="10" max="10" width="18.42578125" bestFit="1" customWidth="1"/>
    <col min="11" max="11" width="25.5703125" bestFit="1" customWidth="1"/>
    <col min="12" max="12" width="6.5703125" bestFit="1" customWidth="1"/>
    <col min="13" max="13" width="8.140625" bestFit="1" customWidth="1"/>
    <col min="14" max="14" width="8" bestFit="1" customWidth="1"/>
    <col min="15" max="15" width="7.28515625" bestFit="1" customWidth="1"/>
    <col min="18" max="18" width="12.140625" bestFit="1" customWidth="1"/>
  </cols>
  <sheetData>
    <row r="1" spans="1:19" ht="36" x14ac:dyDescent="0.25">
      <c r="A1" s="172" t="s">
        <v>53</v>
      </c>
      <c r="B1" s="173" t="s">
        <v>4</v>
      </c>
      <c r="C1" s="173" t="s">
        <v>5</v>
      </c>
      <c r="D1" s="173" t="s">
        <v>56</v>
      </c>
      <c r="E1" s="173" t="s">
        <v>57</v>
      </c>
      <c r="F1" s="173" t="s">
        <v>58</v>
      </c>
      <c r="G1" s="173" t="s">
        <v>59</v>
      </c>
      <c r="H1" s="173" t="s">
        <v>0</v>
      </c>
      <c r="I1" s="173" t="s">
        <v>14</v>
      </c>
      <c r="J1" s="173" t="s">
        <v>15</v>
      </c>
      <c r="K1" s="173" t="s">
        <v>30</v>
      </c>
      <c r="L1" s="173" t="s">
        <v>64</v>
      </c>
      <c r="M1" s="173" t="s">
        <v>67</v>
      </c>
      <c r="N1" s="173" t="s">
        <v>68</v>
      </c>
      <c r="O1" s="186" t="s">
        <v>69</v>
      </c>
      <c r="P1" s="173" t="s">
        <v>70</v>
      </c>
      <c r="Q1" s="173" t="s">
        <v>24</v>
      </c>
      <c r="R1" s="173" t="s">
        <v>73</v>
      </c>
      <c r="S1" s="187" t="s">
        <v>48</v>
      </c>
    </row>
    <row r="2" spans="1:19" x14ac:dyDescent="0.25">
      <c r="A2" s="174" t="s">
        <v>1397</v>
      </c>
      <c r="B2" s="175" t="s">
        <v>38</v>
      </c>
      <c r="C2" s="178" t="s">
        <v>228</v>
      </c>
      <c r="D2" s="179">
        <v>1</v>
      </c>
      <c r="E2" s="175">
        <v>1</v>
      </c>
      <c r="F2" s="175">
        <v>20</v>
      </c>
      <c r="G2" s="175">
        <v>20</v>
      </c>
      <c r="H2" s="175" t="s">
        <v>1014</v>
      </c>
      <c r="I2" s="180" t="s">
        <v>1398</v>
      </c>
      <c r="J2" s="180" t="s">
        <v>1399</v>
      </c>
      <c r="K2" s="180" t="s">
        <v>1400</v>
      </c>
      <c r="L2" s="175">
        <v>5</v>
      </c>
      <c r="M2" s="175"/>
      <c r="N2" s="175"/>
      <c r="O2" s="178"/>
      <c r="P2" s="175"/>
      <c r="Q2" s="191" t="s">
        <v>1515</v>
      </c>
      <c r="R2" s="180" t="s">
        <v>610</v>
      </c>
      <c r="S2" s="188" t="s">
        <v>1385</v>
      </c>
    </row>
    <row r="3" spans="1:19" x14ac:dyDescent="0.25">
      <c r="A3" s="176" t="s">
        <v>1381</v>
      </c>
      <c r="B3" s="177" t="s">
        <v>38</v>
      </c>
      <c r="C3" s="181" t="s">
        <v>228</v>
      </c>
      <c r="D3" s="182">
        <v>1</v>
      </c>
      <c r="E3" s="177">
        <v>1</v>
      </c>
      <c r="F3" s="177">
        <v>25</v>
      </c>
      <c r="G3" s="177">
        <v>25</v>
      </c>
      <c r="H3" s="177" t="s">
        <v>1014</v>
      </c>
      <c r="I3" s="183" t="s">
        <v>1382</v>
      </c>
      <c r="J3" s="183" t="s">
        <v>1383</v>
      </c>
      <c r="K3" s="183" t="s">
        <v>1384</v>
      </c>
      <c r="L3" s="177">
        <v>3</v>
      </c>
      <c r="M3" s="177"/>
      <c r="N3" s="177"/>
      <c r="O3" s="181"/>
      <c r="P3" s="177"/>
      <c r="Q3" s="190" t="s">
        <v>1515</v>
      </c>
      <c r="R3" s="183" t="s">
        <v>610</v>
      </c>
      <c r="S3" s="189" t="s">
        <v>1385</v>
      </c>
    </row>
    <row r="4" spans="1:19" x14ac:dyDescent="0.25">
      <c r="A4" s="174" t="s">
        <v>1387</v>
      </c>
      <c r="B4" s="175" t="s">
        <v>38</v>
      </c>
      <c r="C4" s="178" t="s">
        <v>228</v>
      </c>
      <c r="D4" s="179">
        <v>1</v>
      </c>
      <c r="E4" s="175">
        <v>1</v>
      </c>
      <c r="F4" s="175">
        <v>22</v>
      </c>
      <c r="G4" s="175">
        <v>22</v>
      </c>
      <c r="H4" s="175" t="s">
        <v>1014</v>
      </c>
      <c r="I4" s="180" t="s">
        <v>1388</v>
      </c>
      <c r="J4" s="180" t="s">
        <v>1389</v>
      </c>
      <c r="K4" s="180" t="s">
        <v>1390</v>
      </c>
      <c r="L4" s="175">
        <v>5</v>
      </c>
      <c r="M4" s="175"/>
      <c r="N4" s="175"/>
      <c r="O4" s="178"/>
      <c r="P4" s="175"/>
      <c r="Q4" s="191" t="s">
        <v>1515</v>
      </c>
      <c r="R4" s="180" t="s">
        <v>610</v>
      </c>
      <c r="S4" s="188" t="s">
        <v>1385</v>
      </c>
    </row>
    <row r="5" spans="1:19" x14ac:dyDescent="0.25">
      <c r="A5" s="176" t="s">
        <v>1392</v>
      </c>
      <c r="B5" s="177" t="s">
        <v>38</v>
      </c>
      <c r="C5" s="181" t="s">
        <v>228</v>
      </c>
      <c r="D5" s="182">
        <v>1</v>
      </c>
      <c r="E5" s="177">
        <v>1</v>
      </c>
      <c r="F5" s="177">
        <v>22</v>
      </c>
      <c r="G5" s="177">
        <v>22</v>
      </c>
      <c r="H5" s="177" t="s">
        <v>1014</v>
      </c>
      <c r="I5" s="183" t="s">
        <v>1393</v>
      </c>
      <c r="J5" s="183" t="s">
        <v>1394</v>
      </c>
      <c r="K5" s="183" t="s">
        <v>1395</v>
      </c>
      <c r="L5" s="177">
        <v>3</v>
      </c>
      <c r="M5" s="177"/>
      <c r="N5" s="177"/>
      <c r="O5" s="181"/>
      <c r="P5" s="177"/>
      <c r="Q5" s="190" t="s">
        <v>1515</v>
      </c>
      <c r="R5" s="183" t="s">
        <v>610</v>
      </c>
      <c r="S5" s="189" t="s">
        <v>1385</v>
      </c>
    </row>
    <row r="6" spans="1:19" x14ac:dyDescent="0.25">
      <c r="A6" s="174" t="s">
        <v>1516</v>
      </c>
      <c r="B6" s="175" t="s">
        <v>38</v>
      </c>
      <c r="C6" s="178" t="s">
        <v>228</v>
      </c>
      <c r="D6" s="179">
        <v>1</v>
      </c>
      <c r="E6" s="175">
        <v>1</v>
      </c>
      <c r="F6" s="175">
        <v>600</v>
      </c>
      <c r="G6" s="175">
        <v>600</v>
      </c>
      <c r="H6" s="175" t="s">
        <v>1014</v>
      </c>
      <c r="I6" s="180" t="s">
        <v>1517</v>
      </c>
      <c r="J6" s="180" t="s">
        <v>1518</v>
      </c>
      <c r="K6" s="180" t="s">
        <v>1519</v>
      </c>
      <c r="L6" s="175">
        <v>1</v>
      </c>
      <c r="M6" s="175"/>
      <c r="N6" s="175"/>
      <c r="O6" s="178"/>
      <c r="P6" s="175"/>
      <c r="Q6" s="191" t="s">
        <v>1515</v>
      </c>
      <c r="R6" s="180" t="s">
        <v>610</v>
      </c>
      <c r="S6" s="188" t="s">
        <v>1520</v>
      </c>
    </row>
    <row r="7" spans="1:19" x14ac:dyDescent="0.25">
      <c r="A7" s="176" t="s">
        <v>1402</v>
      </c>
      <c r="B7" s="177" t="s">
        <v>38</v>
      </c>
      <c r="C7" s="181" t="s">
        <v>228</v>
      </c>
      <c r="D7" s="182">
        <v>1</v>
      </c>
      <c r="E7" s="177">
        <v>1</v>
      </c>
      <c r="F7" s="177">
        <v>20</v>
      </c>
      <c r="G7" s="177">
        <v>20</v>
      </c>
      <c r="H7" s="177" t="s">
        <v>1014</v>
      </c>
      <c r="I7" s="183" t="s">
        <v>1403</v>
      </c>
      <c r="J7" s="183" t="s">
        <v>1404</v>
      </c>
      <c r="K7" s="183" t="s">
        <v>1405</v>
      </c>
      <c r="L7" s="177">
        <v>7</v>
      </c>
      <c r="M7" s="177"/>
      <c r="N7" s="177"/>
      <c r="O7" s="181"/>
      <c r="P7" s="177"/>
      <c r="Q7" s="190" t="s">
        <v>1515</v>
      </c>
      <c r="R7" s="183" t="s">
        <v>610</v>
      </c>
      <c r="S7" s="189" t="s">
        <v>1385</v>
      </c>
    </row>
    <row r="8" spans="1:19" x14ac:dyDescent="0.25">
      <c r="A8" s="174" t="s">
        <v>1139</v>
      </c>
      <c r="B8" s="175" t="s">
        <v>38</v>
      </c>
      <c r="C8" s="178" t="s">
        <v>1140</v>
      </c>
      <c r="D8" s="179">
        <v>1</v>
      </c>
      <c r="E8" s="175">
        <v>1</v>
      </c>
      <c r="F8" s="175">
        <v>342</v>
      </c>
      <c r="G8" s="175">
        <v>342</v>
      </c>
      <c r="H8" s="175" t="s">
        <v>787</v>
      </c>
      <c r="I8" s="180" t="s">
        <v>1141</v>
      </c>
      <c r="J8" s="180" t="s">
        <v>1072</v>
      </c>
      <c r="K8" s="180" t="s">
        <v>680</v>
      </c>
      <c r="L8" s="175">
        <v>6</v>
      </c>
      <c r="M8" s="175"/>
      <c r="N8" s="175"/>
      <c r="O8" s="178"/>
      <c r="P8" s="175"/>
      <c r="Q8" s="191" t="s">
        <v>1515</v>
      </c>
      <c r="R8" s="180" t="s">
        <v>610</v>
      </c>
      <c r="S8" s="188" t="s">
        <v>1142</v>
      </c>
    </row>
    <row r="9" spans="1:19" x14ac:dyDescent="0.25">
      <c r="A9" s="176" t="s">
        <v>1143</v>
      </c>
      <c r="B9" s="177" t="s">
        <v>38</v>
      </c>
      <c r="C9" s="181" t="s">
        <v>1144</v>
      </c>
      <c r="D9" s="182">
        <v>1</v>
      </c>
      <c r="E9" s="177">
        <v>1</v>
      </c>
      <c r="F9" s="177">
        <v>342</v>
      </c>
      <c r="G9" s="177">
        <v>342</v>
      </c>
      <c r="H9" s="177" t="s">
        <v>787</v>
      </c>
      <c r="I9" s="183" t="s">
        <v>1145</v>
      </c>
      <c r="J9" s="183" t="s">
        <v>1072</v>
      </c>
      <c r="K9" s="183" t="s">
        <v>680</v>
      </c>
      <c r="L9" s="177">
        <v>6</v>
      </c>
      <c r="M9" s="177"/>
      <c r="N9" s="177"/>
      <c r="O9" s="181"/>
      <c r="P9" s="177"/>
      <c r="Q9" s="190" t="s">
        <v>1515</v>
      </c>
      <c r="R9" s="183" t="s">
        <v>610</v>
      </c>
      <c r="S9" s="189" t="s">
        <v>1142</v>
      </c>
    </row>
    <row r="10" spans="1:19" x14ac:dyDescent="0.25">
      <c r="A10" s="174" t="s">
        <v>1148</v>
      </c>
      <c r="B10" s="175" t="s">
        <v>38</v>
      </c>
      <c r="C10" s="178" t="s">
        <v>1140</v>
      </c>
      <c r="D10" s="179">
        <v>1</v>
      </c>
      <c r="E10" s="175">
        <v>1</v>
      </c>
      <c r="F10" s="175">
        <v>342</v>
      </c>
      <c r="G10" s="175">
        <v>342</v>
      </c>
      <c r="H10" s="175" t="s">
        <v>787</v>
      </c>
      <c r="I10" s="180" t="s">
        <v>1145</v>
      </c>
      <c r="J10" s="180" t="s">
        <v>1072</v>
      </c>
      <c r="K10" s="180" t="s">
        <v>680</v>
      </c>
      <c r="L10" s="175">
        <v>6</v>
      </c>
      <c r="M10" s="175"/>
      <c r="N10" s="175"/>
      <c r="O10" s="178"/>
      <c r="P10" s="175"/>
      <c r="Q10" s="191" t="s">
        <v>1515</v>
      </c>
      <c r="R10" s="180" t="s">
        <v>610</v>
      </c>
      <c r="S10" s="188" t="s">
        <v>1142</v>
      </c>
    </row>
    <row r="11" spans="1:19" x14ac:dyDescent="0.25">
      <c r="A11" s="176" t="s">
        <v>1150</v>
      </c>
      <c r="B11" s="177" t="s">
        <v>38</v>
      </c>
      <c r="C11" s="181" t="s">
        <v>1144</v>
      </c>
      <c r="D11" s="182">
        <v>1</v>
      </c>
      <c r="E11" s="177">
        <v>1</v>
      </c>
      <c r="F11" s="177">
        <v>342</v>
      </c>
      <c r="G11" s="177">
        <v>342</v>
      </c>
      <c r="H11" s="177" t="s">
        <v>787</v>
      </c>
      <c r="I11" s="183" t="s">
        <v>1151</v>
      </c>
      <c r="J11" s="183" t="s">
        <v>1072</v>
      </c>
      <c r="K11" s="183" t="s">
        <v>680</v>
      </c>
      <c r="L11" s="177">
        <v>6</v>
      </c>
      <c r="M11" s="177"/>
      <c r="N11" s="177"/>
      <c r="O11" s="181"/>
      <c r="P11" s="177"/>
      <c r="Q11" s="190" t="s">
        <v>1515</v>
      </c>
      <c r="R11" s="183" t="s">
        <v>610</v>
      </c>
      <c r="S11" s="189" t="s">
        <v>1142</v>
      </c>
    </row>
    <row r="12" spans="1:19" x14ac:dyDescent="0.25">
      <c r="A12" s="174" t="s">
        <v>1153</v>
      </c>
      <c r="B12" s="175" t="s">
        <v>38</v>
      </c>
      <c r="C12" s="178" t="s">
        <v>1140</v>
      </c>
      <c r="D12" s="179">
        <v>1</v>
      </c>
      <c r="E12" s="175">
        <v>1</v>
      </c>
      <c r="F12" s="175">
        <v>342</v>
      </c>
      <c r="G12" s="175">
        <v>342</v>
      </c>
      <c r="H12" s="175" t="s">
        <v>787</v>
      </c>
      <c r="I12" s="180" t="s">
        <v>1154</v>
      </c>
      <c r="J12" s="180" t="s">
        <v>1072</v>
      </c>
      <c r="K12" s="180" t="s">
        <v>680</v>
      </c>
      <c r="L12" s="175">
        <v>6</v>
      </c>
      <c r="M12" s="175"/>
      <c r="N12" s="175"/>
      <c r="O12" s="178"/>
      <c r="P12" s="175"/>
      <c r="Q12" s="191" t="s">
        <v>1515</v>
      </c>
      <c r="R12" s="180" t="s">
        <v>610</v>
      </c>
      <c r="S12" s="188" t="s">
        <v>1142</v>
      </c>
    </row>
    <row r="13" spans="1:19" x14ac:dyDescent="0.25">
      <c r="A13" s="176" t="s">
        <v>1155</v>
      </c>
      <c r="B13" s="177" t="s">
        <v>38</v>
      </c>
      <c r="C13" s="181" t="s">
        <v>1140</v>
      </c>
      <c r="D13" s="182">
        <v>1</v>
      </c>
      <c r="E13" s="177">
        <v>1</v>
      </c>
      <c r="F13" s="177">
        <v>342</v>
      </c>
      <c r="G13" s="177">
        <v>342</v>
      </c>
      <c r="H13" s="177" t="s">
        <v>787</v>
      </c>
      <c r="I13" s="183" t="s">
        <v>1151</v>
      </c>
      <c r="J13" s="183" t="s">
        <v>1072</v>
      </c>
      <c r="K13" s="183" t="s">
        <v>680</v>
      </c>
      <c r="L13" s="177">
        <v>6</v>
      </c>
      <c r="M13" s="177"/>
      <c r="N13" s="177"/>
      <c r="O13" s="181"/>
      <c r="P13" s="177"/>
      <c r="Q13" s="190" t="s">
        <v>1515</v>
      </c>
      <c r="R13" s="183" t="s">
        <v>610</v>
      </c>
      <c r="S13" s="189" t="s">
        <v>1142</v>
      </c>
    </row>
    <row r="14" spans="1:19" x14ac:dyDescent="0.25">
      <c r="A14" s="174" t="s">
        <v>1071</v>
      </c>
      <c r="B14" s="175" t="s">
        <v>38</v>
      </c>
      <c r="C14" s="178" t="s">
        <v>612</v>
      </c>
      <c r="D14" s="179">
        <v>1</v>
      </c>
      <c r="E14" s="175">
        <v>1</v>
      </c>
      <c r="F14" s="175">
        <v>22</v>
      </c>
      <c r="G14" s="175">
        <v>22</v>
      </c>
      <c r="H14" s="175" t="s">
        <v>787</v>
      </c>
      <c r="I14" s="180" t="s">
        <v>1072</v>
      </c>
      <c r="J14" s="180" t="s">
        <v>679</v>
      </c>
      <c r="K14" s="180" t="s">
        <v>680</v>
      </c>
      <c r="L14" s="175">
        <v>6</v>
      </c>
      <c r="M14" s="175"/>
      <c r="N14" s="175"/>
      <c r="O14" s="178"/>
      <c r="P14" s="175"/>
      <c r="Q14" s="191" t="s">
        <v>1515</v>
      </c>
      <c r="R14" s="180"/>
      <c r="S14" s="188" t="s">
        <v>1054</v>
      </c>
    </row>
    <row r="15" spans="1:19" x14ac:dyDescent="0.25">
      <c r="A15" s="192" t="s">
        <v>678</v>
      </c>
      <c r="B15" s="193" t="s">
        <v>38</v>
      </c>
      <c r="C15" s="194" t="s">
        <v>395</v>
      </c>
      <c r="D15" s="195">
        <v>1</v>
      </c>
      <c r="E15" s="193">
        <v>1</v>
      </c>
      <c r="F15" s="193">
        <v>480</v>
      </c>
      <c r="G15" s="193">
        <v>480</v>
      </c>
      <c r="H15" s="193" t="s">
        <v>787</v>
      </c>
      <c r="I15" s="196" t="s">
        <v>402</v>
      </c>
      <c r="J15" s="196" t="s">
        <v>679</v>
      </c>
      <c r="K15" s="196" t="s">
        <v>680</v>
      </c>
      <c r="L15" s="193">
        <v>6</v>
      </c>
      <c r="M15" s="193"/>
      <c r="N15" s="193"/>
      <c r="O15" s="194"/>
      <c r="P15" s="193"/>
      <c r="Q15" s="197" t="s">
        <v>1515</v>
      </c>
      <c r="R15" s="196" t="s">
        <v>190</v>
      </c>
      <c r="S15" s="198" t="s">
        <v>650</v>
      </c>
    </row>
    <row r="16" spans="1:19" x14ac:dyDescent="0.25">
      <c r="A16" s="199" t="s">
        <v>683</v>
      </c>
      <c r="B16" s="200" t="s">
        <v>38</v>
      </c>
      <c r="C16" s="201" t="s">
        <v>395</v>
      </c>
      <c r="D16" s="202">
        <v>1</v>
      </c>
      <c r="E16" s="200">
        <v>1</v>
      </c>
      <c r="F16" s="200">
        <v>480</v>
      </c>
      <c r="G16" s="200">
        <v>480</v>
      </c>
      <c r="H16" s="200" t="s">
        <v>787</v>
      </c>
      <c r="I16" s="203" t="s">
        <v>402</v>
      </c>
      <c r="J16" s="203" t="s">
        <v>679</v>
      </c>
      <c r="K16" s="203" t="s">
        <v>680</v>
      </c>
      <c r="L16" s="200">
        <v>6</v>
      </c>
      <c r="M16" s="200"/>
      <c r="N16" s="200"/>
      <c r="O16" s="201"/>
      <c r="P16" s="200"/>
      <c r="Q16" s="204" t="s">
        <v>1515</v>
      </c>
      <c r="R16" s="203" t="s">
        <v>190</v>
      </c>
      <c r="S16" s="205" t="s">
        <v>650</v>
      </c>
    </row>
    <row r="17" spans="1:19" x14ac:dyDescent="0.25">
      <c r="A17" s="176" t="s">
        <v>1157</v>
      </c>
      <c r="B17" s="177" t="s">
        <v>38</v>
      </c>
      <c r="C17" s="181" t="s">
        <v>358</v>
      </c>
      <c r="D17" s="182">
        <v>1</v>
      </c>
      <c r="E17" s="177">
        <v>1</v>
      </c>
      <c r="F17" s="177">
        <v>342</v>
      </c>
      <c r="G17" s="177">
        <v>342</v>
      </c>
      <c r="H17" s="177" t="s">
        <v>787</v>
      </c>
      <c r="I17" s="183" t="s">
        <v>1158</v>
      </c>
      <c r="J17" s="183" t="s">
        <v>1159</v>
      </c>
      <c r="K17" s="183" t="s">
        <v>680</v>
      </c>
      <c r="L17" s="177">
        <v>6</v>
      </c>
      <c r="M17" s="177"/>
      <c r="N17" s="177"/>
      <c r="O17" s="181"/>
      <c r="P17" s="177"/>
      <c r="Q17" s="190" t="s">
        <v>1515</v>
      </c>
      <c r="R17" s="183" t="s">
        <v>382</v>
      </c>
      <c r="S17" s="189" t="s">
        <v>1142</v>
      </c>
    </row>
    <row r="18" spans="1:19" x14ac:dyDescent="0.25">
      <c r="A18" s="199" t="s">
        <v>684</v>
      </c>
      <c r="B18" s="200" t="s">
        <v>38</v>
      </c>
      <c r="C18" s="201" t="s">
        <v>608</v>
      </c>
      <c r="D18" s="202">
        <v>1</v>
      </c>
      <c r="E18" s="200">
        <v>1</v>
      </c>
      <c r="F18" s="200">
        <v>480</v>
      </c>
      <c r="G18" s="200">
        <v>480</v>
      </c>
      <c r="H18" s="200" t="s">
        <v>787</v>
      </c>
      <c r="I18" s="203" t="s">
        <v>402</v>
      </c>
      <c r="J18" s="203" t="s">
        <v>679</v>
      </c>
      <c r="K18" s="203" t="s">
        <v>680</v>
      </c>
      <c r="L18" s="200">
        <v>6</v>
      </c>
      <c r="M18" s="200"/>
      <c r="N18" s="200"/>
      <c r="O18" s="201"/>
      <c r="P18" s="200"/>
      <c r="Q18" s="204" t="s">
        <v>1515</v>
      </c>
      <c r="R18" s="203" t="s">
        <v>190</v>
      </c>
      <c r="S18" s="205" t="s">
        <v>650</v>
      </c>
    </row>
    <row r="19" spans="1:19" x14ac:dyDescent="0.25">
      <c r="A19" s="192" t="s">
        <v>686</v>
      </c>
      <c r="B19" s="193" t="s">
        <v>38</v>
      </c>
      <c r="C19" s="194" t="s">
        <v>612</v>
      </c>
      <c r="D19" s="195">
        <v>1</v>
      </c>
      <c r="E19" s="193">
        <v>1</v>
      </c>
      <c r="F19" s="193">
        <v>480</v>
      </c>
      <c r="G19" s="193">
        <v>480</v>
      </c>
      <c r="H19" s="193" t="s">
        <v>787</v>
      </c>
      <c r="I19" s="196" t="s">
        <v>687</v>
      </c>
      <c r="J19" s="196" t="s">
        <v>679</v>
      </c>
      <c r="K19" s="196" t="s">
        <v>680</v>
      </c>
      <c r="L19" s="193">
        <v>6</v>
      </c>
      <c r="M19" s="193"/>
      <c r="N19" s="193"/>
      <c r="O19" s="194"/>
      <c r="P19" s="193"/>
      <c r="Q19" s="197" t="s">
        <v>1515</v>
      </c>
      <c r="R19" s="196" t="s">
        <v>190</v>
      </c>
      <c r="S19" s="198" t="s">
        <v>650</v>
      </c>
    </row>
    <row r="20" spans="1:19" x14ac:dyDescent="0.25">
      <c r="A20" s="199" t="s">
        <v>689</v>
      </c>
      <c r="B20" s="200" t="s">
        <v>38</v>
      </c>
      <c r="C20" s="201" t="s">
        <v>612</v>
      </c>
      <c r="D20" s="202">
        <v>1</v>
      </c>
      <c r="E20" s="200">
        <v>1</v>
      </c>
      <c r="F20" s="200">
        <v>480</v>
      </c>
      <c r="G20" s="200">
        <v>480</v>
      </c>
      <c r="H20" s="200" t="s">
        <v>787</v>
      </c>
      <c r="I20" s="203" t="s">
        <v>687</v>
      </c>
      <c r="J20" s="203" t="s">
        <v>690</v>
      </c>
      <c r="K20" s="203" t="s">
        <v>680</v>
      </c>
      <c r="L20" s="200">
        <v>6</v>
      </c>
      <c r="M20" s="200"/>
      <c r="N20" s="200"/>
      <c r="O20" s="201"/>
      <c r="P20" s="200"/>
      <c r="Q20" s="204" t="s">
        <v>1515</v>
      </c>
      <c r="R20" s="203" t="s">
        <v>190</v>
      </c>
      <c r="S20" s="205" t="s">
        <v>650</v>
      </c>
    </row>
    <row r="21" spans="1:19" x14ac:dyDescent="0.25">
      <c r="A21" s="192" t="s">
        <v>692</v>
      </c>
      <c r="B21" s="193" t="s">
        <v>38</v>
      </c>
      <c r="C21" s="194" t="s">
        <v>358</v>
      </c>
      <c r="D21" s="195">
        <v>1</v>
      </c>
      <c r="E21" s="193">
        <v>1</v>
      </c>
      <c r="F21" s="193">
        <v>480</v>
      </c>
      <c r="G21" s="193">
        <v>480</v>
      </c>
      <c r="H21" s="193" t="s">
        <v>787</v>
      </c>
      <c r="I21" s="196" t="s">
        <v>687</v>
      </c>
      <c r="J21" s="196" t="s">
        <v>690</v>
      </c>
      <c r="K21" s="196" t="s">
        <v>680</v>
      </c>
      <c r="L21" s="193">
        <v>6</v>
      </c>
      <c r="M21" s="193"/>
      <c r="N21" s="193"/>
      <c r="O21" s="194"/>
      <c r="P21" s="193"/>
      <c r="Q21" s="197" t="s">
        <v>1515</v>
      </c>
      <c r="R21" s="196" t="s">
        <v>610</v>
      </c>
      <c r="S21" s="198" t="s">
        <v>650</v>
      </c>
    </row>
    <row r="22" spans="1:19" x14ac:dyDescent="0.25">
      <c r="A22" s="199" t="s">
        <v>694</v>
      </c>
      <c r="B22" s="200" t="s">
        <v>38</v>
      </c>
      <c r="C22" s="201" t="s">
        <v>347</v>
      </c>
      <c r="D22" s="202">
        <v>1</v>
      </c>
      <c r="E22" s="200">
        <v>1</v>
      </c>
      <c r="F22" s="200">
        <v>480</v>
      </c>
      <c r="G22" s="200">
        <v>480</v>
      </c>
      <c r="H22" s="200" t="s">
        <v>787</v>
      </c>
      <c r="I22" s="203" t="s">
        <v>687</v>
      </c>
      <c r="J22" s="203" t="s">
        <v>690</v>
      </c>
      <c r="K22" s="203" t="s">
        <v>680</v>
      </c>
      <c r="L22" s="200">
        <v>6</v>
      </c>
      <c r="M22" s="200"/>
      <c r="N22" s="200"/>
      <c r="O22" s="201"/>
      <c r="P22" s="200"/>
      <c r="Q22" s="204" t="s">
        <v>1515</v>
      </c>
      <c r="R22" s="203" t="s">
        <v>610</v>
      </c>
      <c r="S22" s="205" t="s">
        <v>650</v>
      </c>
    </row>
    <row r="23" spans="1:19" x14ac:dyDescent="0.25">
      <c r="A23" s="176" t="s">
        <v>1161</v>
      </c>
      <c r="B23" s="177" t="s">
        <v>38</v>
      </c>
      <c r="C23" s="181" t="s">
        <v>366</v>
      </c>
      <c r="D23" s="182">
        <v>1</v>
      </c>
      <c r="E23" s="177">
        <v>1</v>
      </c>
      <c r="F23" s="177">
        <v>240</v>
      </c>
      <c r="G23" s="177">
        <v>240</v>
      </c>
      <c r="H23" s="177" t="s">
        <v>787</v>
      </c>
      <c r="I23" s="183" t="s">
        <v>1162</v>
      </c>
      <c r="J23" s="183" t="s">
        <v>1080</v>
      </c>
      <c r="K23" s="183" t="s">
        <v>680</v>
      </c>
      <c r="L23" s="177">
        <v>6</v>
      </c>
      <c r="M23" s="177"/>
      <c r="N23" s="177"/>
      <c r="O23" s="181"/>
      <c r="P23" s="177"/>
      <c r="Q23" s="190" t="s">
        <v>1515</v>
      </c>
      <c r="R23" s="183" t="s">
        <v>360</v>
      </c>
      <c r="S23" s="189" t="s">
        <v>1142</v>
      </c>
    </row>
    <row r="24" spans="1:19" x14ac:dyDescent="0.25">
      <c r="A24" s="174" t="s">
        <v>1163</v>
      </c>
      <c r="B24" s="175" t="s">
        <v>38</v>
      </c>
      <c r="C24" s="178" t="s">
        <v>1144</v>
      </c>
      <c r="D24" s="179">
        <v>1</v>
      </c>
      <c r="E24" s="175">
        <v>1</v>
      </c>
      <c r="F24" s="175">
        <v>342</v>
      </c>
      <c r="G24" s="175">
        <v>342</v>
      </c>
      <c r="H24" s="175" t="s">
        <v>787</v>
      </c>
      <c r="I24" s="180" t="s">
        <v>1164</v>
      </c>
      <c r="J24" s="180" t="s">
        <v>1072</v>
      </c>
      <c r="K24" s="180" t="s">
        <v>680</v>
      </c>
      <c r="L24" s="175">
        <v>6</v>
      </c>
      <c r="M24" s="175"/>
      <c r="N24" s="175"/>
      <c r="O24" s="178"/>
      <c r="P24" s="175"/>
      <c r="Q24" s="191" t="s">
        <v>1515</v>
      </c>
      <c r="R24" s="180" t="s">
        <v>610</v>
      </c>
      <c r="S24" s="188" t="s">
        <v>1142</v>
      </c>
    </row>
    <row r="25" spans="1:19" x14ac:dyDescent="0.25">
      <c r="A25" s="176" t="s">
        <v>1166</v>
      </c>
      <c r="B25" s="177" t="s">
        <v>38</v>
      </c>
      <c r="C25" s="181" t="s">
        <v>1144</v>
      </c>
      <c r="D25" s="182">
        <v>1</v>
      </c>
      <c r="E25" s="177">
        <v>1</v>
      </c>
      <c r="F25" s="177">
        <v>342</v>
      </c>
      <c r="G25" s="177">
        <v>342</v>
      </c>
      <c r="H25" s="177" t="s">
        <v>787</v>
      </c>
      <c r="I25" s="183" t="s">
        <v>1167</v>
      </c>
      <c r="J25" s="183" t="s">
        <v>1072</v>
      </c>
      <c r="K25" s="183" t="s">
        <v>680</v>
      </c>
      <c r="L25" s="177">
        <v>6</v>
      </c>
      <c r="M25" s="177"/>
      <c r="N25" s="177"/>
      <c r="O25" s="181"/>
      <c r="P25" s="177"/>
      <c r="Q25" s="190" t="s">
        <v>1515</v>
      </c>
      <c r="R25" s="183" t="s">
        <v>610</v>
      </c>
      <c r="S25" s="189" t="s">
        <v>1142</v>
      </c>
    </row>
    <row r="26" spans="1:19" x14ac:dyDescent="0.25">
      <c r="A26" s="174" t="s">
        <v>1370</v>
      </c>
      <c r="B26" s="175" t="s">
        <v>38</v>
      </c>
      <c r="C26" s="178" t="s">
        <v>1140</v>
      </c>
      <c r="D26" s="179">
        <v>1</v>
      </c>
      <c r="E26" s="175">
        <v>1</v>
      </c>
      <c r="F26" s="175">
        <v>10</v>
      </c>
      <c r="G26" s="175">
        <v>10</v>
      </c>
      <c r="H26" s="175" t="s">
        <v>787</v>
      </c>
      <c r="I26" s="180" t="s">
        <v>1141</v>
      </c>
      <c r="J26" s="180" t="s">
        <v>1162</v>
      </c>
      <c r="K26" s="180" t="s">
        <v>680</v>
      </c>
      <c r="L26" s="175">
        <v>6</v>
      </c>
      <c r="M26" s="175"/>
      <c r="N26" s="175"/>
      <c r="O26" s="178"/>
      <c r="P26" s="175"/>
      <c r="Q26" s="191" t="s">
        <v>1515</v>
      </c>
      <c r="R26" s="180" t="s">
        <v>610</v>
      </c>
      <c r="S26" s="188" t="s">
        <v>787</v>
      </c>
    </row>
    <row r="27" spans="1:19" x14ac:dyDescent="0.25">
      <c r="A27" s="176" t="s">
        <v>1079</v>
      </c>
      <c r="B27" s="177" t="s">
        <v>38</v>
      </c>
      <c r="C27" s="181" t="s">
        <v>608</v>
      </c>
      <c r="D27" s="182">
        <v>1</v>
      </c>
      <c r="E27" s="177">
        <v>1</v>
      </c>
      <c r="F27" s="177">
        <v>20</v>
      </c>
      <c r="G27" s="177">
        <v>20</v>
      </c>
      <c r="H27" s="177" t="s">
        <v>787</v>
      </c>
      <c r="I27" s="183" t="s">
        <v>1080</v>
      </c>
      <c r="J27" s="183" t="s">
        <v>679</v>
      </c>
      <c r="K27" s="183" t="s">
        <v>680</v>
      </c>
      <c r="L27" s="177">
        <v>6</v>
      </c>
      <c r="M27" s="177"/>
      <c r="N27" s="177"/>
      <c r="O27" s="181"/>
      <c r="P27" s="177"/>
      <c r="Q27" s="190" t="s">
        <v>1515</v>
      </c>
      <c r="R27" s="183"/>
      <c r="S27" s="189" t="s">
        <v>1054</v>
      </c>
    </row>
  </sheetData>
  <autoFilter ref="A1:S27" xr:uid="{00000000-0009-0000-0000-000005000000}"/>
  <conditionalFormatting sqref="A2:A27">
    <cfRule type="duplicateValues" dxfId="147" priority="1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6">
    <tabColor rgb="FFFFC000"/>
  </sheetPr>
  <dimension ref="A1:V501"/>
  <sheetViews>
    <sheetView zoomScaleNormal="100" workbookViewId="0">
      <pane xSplit="3" topLeftCell="G1" activePane="topRight" state="frozen"/>
      <selection activeCell="C429" sqref="C429"/>
      <selection pane="topRight" activeCell="C429" sqref="C429"/>
    </sheetView>
  </sheetViews>
  <sheetFormatPr defaultRowHeight="15" x14ac:dyDescent="0.25"/>
  <cols>
    <col min="1" max="1" width="20.140625" style="34" customWidth="1"/>
    <col min="2" max="2" width="10.5703125" style="209" customWidth="1"/>
    <col min="3" max="3" width="22.42578125" style="3" customWidth="1"/>
    <col min="4" max="4" width="15.7109375" style="209" customWidth="1"/>
    <col min="5" max="5" width="26.7109375" style="215" customWidth="1"/>
    <col min="6" max="6" width="47.85546875" style="209" customWidth="1"/>
    <col min="7" max="7" width="24.5703125" style="3" customWidth="1"/>
    <col min="8" max="8" width="18" style="7" customWidth="1"/>
    <col min="9" max="9" width="27" style="7" customWidth="1"/>
    <col min="10" max="10" width="25.85546875" style="1" customWidth="1"/>
    <col min="11" max="11" width="14.7109375" style="1" customWidth="1"/>
    <col min="12" max="12" width="17" style="1" bestFit="1" customWidth="1"/>
    <col min="13" max="13" width="8.5703125" style="1" customWidth="1"/>
    <col min="14" max="14" width="11" style="232" customWidth="1"/>
    <col min="15" max="19" width="10.85546875" customWidth="1"/>
    <col min="20" max="20" width="10.85546875" style="274" customWidth="1"/>
    <col min="21" max="21" width="10.85546875" style="232" customWidth="1"/>
    <col min="22" max="22" width="51.28515625" style="25" customWidth="1"/>
  </cols>
  <sheetData>
    <row r="1" spans="1:22" ht="33.75" x14ac:dyDescent="0.25">
      <c r="A1" s="210" t="s">
        <v>53</v>
      </c>
      <c r="B1" s="13" t="s">
        <v>4</v>
      </c>
      <c r="C1" s="13" t="s">
        <v>5</v>
      </c>
      <c r="D1" s="211" t="s">
        <v>1521</v>
      </c>
      <c r="E1" s="211" t="s">
        <v>30</v>
      </c>
      <c r="F1" s="13" t="s">
        <v>1522</v>
      </c>
      <c r="G1" s="13" t="s">
        <v>76</v>
      </c>
      <c r="H1" s="13" t="s">
        <v>48</v>
      </c>
      <c r="I1" s="13" t="s">
        <v>14</v>
      </c>
      <c r="J1" s="13" t="s">
        <v>15</v>
      </c>
      <c r="K1" s="13" t="s">
        <v>1523</v>
      </c>
      <c r="L1" s="13" t="s">
        <v>1524</v>
      </c>
      <c r="M1" s="13" t="s">
        <v>1525</v>
      </c>
      <c r="N1" s="13" t="s">
        <v>63</v>
      </c>
      <c r="O1" s="13" t="s">
        <v>1526</v>
      </c>
      <c r="P1" s="13" t="s">
        <v>1527</v>
      </c>
      <c r="Q1" s="13" t="s">
        <v>1528</v>
      </c>
      <c r="R1" s="13" t="s">
        <v>52</v>
      </c>
      <c r="S1" s="13" t="s">
        <v>1529</v>
      </c>
      <c r="T1" s="275" t="s">
        <v>1530</v>
      </c>
      <c r="U1" s="275" t="s">
        <v>1531</v>
      </c>
      <c r="V1" s="13" t="s">
        <v>1532</v>
      </c>
    </row>
    <row r="2" spans="1:22" hidden="1" x14ac:dyDescent="0.25">
      <c r="A2" s="34" t="s">
        <v>79</v>
      </c>
      <c r="B2" s="391" t="str">
        <f>VLOOKUP(Tabela11[[#This Row],[Tag do Cabo]],BD!A:AJ,2,0)</f>
        <v>Força</v>
      </c>
      <c r="C2" s="3" t="str">
        <f>VLOOKUP(Tabela11[[#This Row],[Tag do Cabo]],BD!A:AJ,5,0)</f>
        <v>1x2/C#4</v>
      </c>
      <c r="D2" s="391" t="s">
        <v>1533</v>
      </c>
      <c r="E2" s="391" t="str">
        <f>VLOOKUP(Tabela11[[#This Row],[Tag do Cabo]],BD!A:T,20,0)</f>
        <v>BK-SP54-0900A-LC-74-00001_00000</v>
      </c>
      <c r="F2" s="222" t="str">
        <f>IF(VLOOKUP(Tabela11[[#This Row],[Tag do Cabo]],BD!A:AJ,35,0)=0,"Pendente",VLOOKUP(Tabela11[[#This Row],[Tag do Cabo]],BD!A:AJ,35,0))</f>
        <v>BK-SP54-0900B-DI-74-00452</v>
      </c>
      <c r="G2" s="3" t="str">
        <f>IF(VLOOKUP(Tabela11[[#This Row],[Tag do Cabo]],BD!A:AJ,36,0)=0,"Pendente",VLOOKUP(Tabela11[[#This Row],[Tag do Cabo]],BD!A:AJ,36,0))</f>
        <v>7</v>
      </c>
      <c r="H2" s="391" t="str">
        <f>VLOOKUP(Tabela11[[#This Row],[Tag do Cabo]],BD!A:AJ,32,0)</f>
        <v>1HVx1MV</v>
      </c>
      <c r="I2" s="7" t="str">
        <f>VLOOKUP(Tabela11[[#This Row],[Tag do Cabo]],BD!A:AJ,11,0)</f>
        <v>PAINEL DE 125Vcc (nota 2)</v>
      </c>
      <c r="J2" s="3" t="str">
        <f>VLOOKUP(Tabela11[[#This Row],[Tag do Cabo]],BD!A:AJ,12,0)</f>
        <v>1HV-BUS3 - PAINEL 13,8kV - ALIM 1</v>
      </c>
      <c r="K2" s="391" t="s">
        <v>1534</v>
      </c>
      <c r="L2" s="391" t="s">
        <v>104</v>
      </c>
      <c r="M2" s="3" t="str">
        <f>CONCATENATE(Tabela11[[#This Row],[Painel 1]]&amp;" "&amp;Tabela11[[#This Row],[Painel 2]])</f>
        <v>PAINEL 125VCC 1HV-BUS3</v>
      </c>
      <c r="N2" s="157">
        <v>4</v>
      </c>
      <c r="O2" s="391">
        <f>COUNTIF(Tabela12[Tag Cabo],Tabela11[[#This Row],[Tag do Cabo]])</f>
        <v>4</v>
      </c>
      <c r="P2" s="391" t="str">
        <f>IF(Tabela11[[#This Row],[Qtde Ligações]]&lt;&gt;Tabela11[[#This Row],[Qtde Anilhas]],"Ver","Ok")</f>
        <v>Ok</v>
      </c>
      <c r="Q2" s="391">
        <f>VLOOKUP(Tabela11[[#This Row],[Tag do Cabo]],BD!A:F,6,0)</f>
        <v>4</v>
      </c>
      <c r="R2" s="391">
        <f>SUMIF('Lançamento de Cabos'!AE:AE,Tabela11[[#This Row],[Tag do Cabo]],'Lançamento de Cabos'!AG:AG)</f>
        <v>0</v>
      </c>
      <c r="S2" s="29">
        <f>Tabela11[[#This Row],[Ligações Realizadas]]/Tabela11[[#This Row],[Qtde Ligações]]</f>
        <v>0</v>
      </c>
      <c r="T2" s="269">
        <f>IF(Tabela11[[#This Row],[Ligações Realizadas]]/Tabela11[[#This Row],[Qtde Ligações]]=0,0,IF(Tabela11[[#This Row],[Ligações Realizadas]]/Tabela11[[#This Row],[Qtde Ligações]]=1,ROUND(N2/2,0),"Ver Painel"))</f>
        <v>0</v>
      </c>
      <c r="U2" s="23">
        <f>IF(Tabela11[[#This Row],[Ligações Realizadas]]/Tabela11[[#This Row],[Qtde Ligações]]=0,0,IF(Tabela11[[#This Row],[Ligações Realizadas]]/Tabela11[[#This Row],[Qtde Ligações]]=1,ROUND(N2/2,0),"Ver Painel"))</f>
        <v>0</v>
      </c>
      <c r="V2" s="219"/>
    </row>
    <row r="3" spans="1:22" hidden="1" x14ac:dyDescent="0.25">
      <c r="A3" s="34" t="s">
        <v>96</v>
      </c>
      <c r="B3" s="391" t="str">
        <f>VLOOKUP(Tabela11[[#This Row],[Tag do Cabo]],BD!A:AJ,2,0)</f>
        <v>Força</v>
      </c>
      <c r="C3" s="3" t="str">
        <f>VLOOKUP(Tabela11[[#This Row],[Tag do Cabo]],BD!A:AJ,5,0)</f>
        <v>1x2/C#4</v>
      </c>
      <c r="D3" s="391" t="s">
        <v>1533</v>
      </c>
      <c r="E3" s="391" t="str">
        <f>VLOOKUP(Tabela11[[#This Row],[Tag do Cabo]],BD!A:T,20,0)</f>
        <v>BK-SP54-0900A-LC-74-00001_00000</v>
      </c>
      <c r="F3" s="222" t="str">
        <f>IF(VLOOKUP(Tabela11[[#This Row],[Tag do Cabo]],BD!A:AJ,35,0)=0,"Pendente",VLOOKUP(Tabela11[[#This Row],[Tag do Cabo]],BD!A:AJ,35,0))</f>
        <v>BK-SP54-0900B-DI-74-00450</v>
      </c>
      <c r="G3" s="3" t="str">
        <f>IF(VLOOKUP(Tabela11[[#This Row],[Tag do Cabo]],BD!A:AJ,36,0)=0,"Pendente",VLOOKUP(Tabela11[[#This Row],[Tag do Cabo]],BD!A:AJ,36,0))</f>
        <v>25</v>
      </c>
      <c r="H3" s="391" t="str">
        <f>VLOOKUP(Tabela11[[#This Row],[Tag do Cabo]],BD!A:AJ,32,0)</f>
        <v>1HVx1MV</v>
      </c>
      <c r="I3" s="7" t="str">
        <f>VLOOKUP(Tabela11[[#This Row],[Tag do Cabo]],BD!A:AJ,11,0)</f>
        <v>PAINEL DE 125Vcc (nota 2)</v>
      </c>
      <c r="J3" s="3" t="str">
        <f>VLOOKUP(Tabela11[[#This Row],[Tag do Cabo]],BD!A:AJ,12,0)</f>
        <v>PSDC2 - PAINEL DE REJEICAO DE CARGAS 1</v>
      </c>
      <c r="K3" s="391"/>
      <c r="L3" s="391" t="s">
        <v>1535</v>
      </c>
      <c r="M3" s="3" t="str">
        <f>CONCATENATE(Tabela11[[#This Row],[Painel 1]]&amp;" "&amp;Tabela11[[#This Row],[Painel 2]])</f>
        <v xml:space="preserve"> PSDC2</v>
      </c>
      <c r="N3" s="218">
        <v>4</v>
      </c>
      <c r="O3" s="391">
        <f>COUNTIF(Tabela12[Tag Cabo],Tabela11[[#This Row],[Tag do Cabo]])</f>
        <v>0</v>
      </c>
      <c r="P3" s="391" t="str">
        <f>IF(Tabela11[[#This Row],[Qtde Ligações]]&lt;&gt;Tabela11[[#This Row],[Qtde Anilhas]],"Ver","Ok")</f>
        <v>Ver</v>
      </c>
      <c r="Q3" s="391">
        <f>VLOOKUP(Tabela11[[#This Row],[Tag do Cabo]],BD!A:F,6,0)</f>
        <v>4</v>
      </c>
      <c r="R3" s="391">
        <f>SUMIF('Lançamento de Cabos'!AE:AE,Tabela11[[#This Row],[Tag do Cabo]],'Lançamento de Cabos'!AG:AG)</f>
        <v>0</v>
      </c>
      <c r="S3" s="28">
        <f>Tabela11[[#This Row],[Ligações Realizadas]]/Tabela11[[#This Row],[Qtde Ligações]]</f>
        <v>0</v>
      </c>
      <c r="T3" s="269">
        <f>IF(Tabela11[[#This Row],[Ligações Realizadas]]/Tabela11[[#This Row],[Qtde Ligações]]=0,0,IF(Tabela11[[#This Row],[Ligações Realizadas]]/Tabela11[[#This Row],[Qtde Ligações]]=1,ROUND(N3/2,0),"Ver Painel"))</f>
        <v>0</v>
      </c>
      <c r="U3" s="23">
        <f>IF(Tabela11[[#This Row],[Ligações Realizadas]]/Tabela11[[#This Row],[Qtde Ligações]]=0,0,IF(Tabela11[[#This Row],[Ligações Realizadas]]/Tabela11[[#This Row],[Qtde Ligações]]=1,ROUND(N3/2,0),"Ver Painel"))</f>
        <v>0</v>
      </c>
      <c r="V3" s="219"/>
    </row>
    <row r="4" spans="1:22" hidden="1" x14ac:dyDescent="0.25">
      <c r="A4" s="34" t="s">
        <v>100</v>
      </c>
      <c r="B4" s="391" t="str">
        <f>VLOOKUP(Tabela11[[#This Row],[Tag do Cabo]],BD!A:AJ,2,0)</f>
        <v>FO</v>
      </c>
      <c r="C4" s="3" t="str">
        <f>VLOOKUP(Tabela11[[#This Row],[Tag do Cabo]],BD!A:AJ,5,0)</f>
        <v>CORDÃO ÓPTICO</v>
      </c>
      <c r="D4" s="391" t="s">
        <v>1533</v>
      </c>
      <c r="E4" s="391" t="str">
        <f>VLOOKUP(Tabela11[[#This Row],[Tag do Cabo]],BD!A:T,20,0)</f>
        <v>BK-SP54-0900A-LC-74-00001_00000</v>
      </c>
      <c r="F4" s="222" t="str">
        <f>IF(VLOOKUP(Tabela11[[#This Row],[Tag do Cabo]],BD!A:AJ,35,0)=0,"Pendente",VLOOKUP(Tabela11[[#This Row],[Tag do Cabo]],BD!A:AJ,35,0))</f>
        <v>BK-SP54-0900B-DI-74-00450</v>
      </c>
      <c r="G4" s="3" t="str">
        <f>IF(VLOOKUP(Tabela11[[#This Row],[Tag do Cabo]],BD!A:AJ,36,0)=0,"Pendente",VLOOKUP(Tabela11[[#This Row],[Tag do Cabo]],BD!A:AJ,36,0))</f>
        <v>30</v>
      </c>
      <c r="H4" s="391" t="str">
        <f>VLOOKUP(Tabela11[[#This Row],[Tag do Cabo]],BD!A:AJ,32,0)</f>
        <v>1HV</v>
      </c>
      <c r="I4" s="7" t="str">
        <f>VLOOKUP(Tabela11[[#This Row],[Tag do Cabo]],BD!A:AJ,11,0)</f>
        <v>1HV-BUS3</v>
      </c>
      <c r="J4" s="3" t="str">
        <f>VLOOKUP(Tabela11[[#This Row],[Tag do Cabo]],BD!A:AJ,12,0)</f>
        <v>ER-3</v>
      </c>
      <c r="K4" s="391" t="s">
        <v>104</v>
      </c>
      <c r="L4" s="391" t="s">
        <v>582</v>
      </c>
      <c r="M4" s="3" t="str">
        <f>CONCATENATE(Tabela11[[#This Row],[Painel 1]]&amp;" "&amp;Tabela11[[#This Row],[Painel 2]])</f>
        <v>1HV-BUS3 REMOTA 1HV</v>
      </c>
      <c r="N4" s="218">
        <v>2</v>
      </c>
      <c r="O4" s="391" t="s">
        <v>92</v>
      </c>
      <c r="P4" s="391" t="s">
        <v>107</v>
      </c>
      <c r="Q4" s="391" t="str">
        <f>VLOOKUP(Tabela11[[#This Row],[Tag do Cabo]],BD!A:F,6,0)</f>
        <v>-</v>
      </c>
      <c r="R4" s="391">
        <f>SUMIF('Lançamento de Cabos'!AE:AE,Tabela11[[#This Row],[Tag do Cabo]],'Lançamento de Cabos'!AG:AG)</f>
        <v>0</v>
      </c>
      <c r="S4" s="28">
        <f>Tabela11[[#This Row],[Ligações Realizadas]]/Tabela11[[#This Row],[Qtde Ligações]]</f>
        <v>0</v>
      </c>
      <c r="T4" s="269">
        <f>IF(Tabela11[[#This Row],[Ligações Realizadas]]/Tabela11[[#This Row],[Qtde Ligações]]=0,0,IF(Tabela11[[#This Row],[Ligações Realizadas]]/Tabela11[[#This Row],[Qtde Ligações]]=1,ROUND(N4/2,0),"Ver Painel"))</f>
        <v>0</v>
      </c>
      <c r="U4" s="23">
        <f>IF(Tabela11[[#This Row],[Ligações Realizadas]]/Tabela11[[#This Row],[Qtde Ligações]]=0,0,IF(Tabela11[[#This Row],[Ligações Realizadas]]/Tabela11[[#This Row],[Qtde Ligações]]=1,ROUND(N4/2,0),"Ver Painel"))</f>
        <v>0</v>
      </c>
      <c r="V4" s="219"/>
    </row>
    <row r="5" spans="1:22" hidden="1" x14ac:dyDescent="0.25">
      <c r="A5" s="34" t="s">
        <v>111</v>
      </c>
      <c r="B5" s="391" t="str">
        <f>VLOOKUP(Tabela11[[#This Row],[Tag do Cabo]],BD!A:AJ,2,0)</f>
        <v>FO</v>
      </c>
      <c r="C5" s="3" t="str">
        <f>VLOOKUP(Tabela11[[#This Row],[Tag do Cabo]],BD!A:AJ,5,0)</f>
        <v>CORDÃO ÓPTICO</v>
      </c>
      <c r="D5" s="391" t="s">
        <v>1533</v>
      </c>
      <c r="E5" s="391" t="str">
        <f>VLOOKUP(Tabela11[[#This Row],[Tag do Cabo]],BD!A:T,20,0)</f>
        <v>BK-SP54-0900A-LC-74-00001_00000</v>
      </c>
      <c r="F5" s="222" t="str">
        <f>IF(VLOOKUP(Tabela11[[#This Row],[Tag do Cabo]],BD!A:AJ,35,0)=0,"Pendente",VLOOKUP(Tabela11[[#This Row],[Tag do Cabo]],BD!A:AJ,35,0))</f>
        <v>BK-SP54-0900B-DI-74-00450</v>
      </c>
      <c r="G5" s="3" t="str">
        <f>IF(VLOOKUP(Tabela11[[#This Row],[Tag do Cabo]],BD!A:AJ,36,0)=0,"Pendente",VLOOKUP(Tabela11[[#This Row],[Tag do Cabo]],BD!A:AJ,36,0))</f>
        <v>30</v>
      </c>
      <c r="H5" s="391" t="str">
        <f>VLOOKUP(Tabela11[[#This Row],[Tag do Cabo]],BD!A:AJ,32,0)</f>
        <v>1HV</v>
      </c>
      <c r="I5" s="7" t="str">
        <f>VLOOKUP(Tabela11[[#This Row],[Tag do Cabo]],BD!A:AJ,11,0)</f>
        <v>1HV-BUS3</v>
      </c>
      <c r="J5" s="3" t="str">
        <f>VLOOKUP(Tabela11[[#This Row],[Tag do Cabo]],BD!A:AJ,12,0)</f>
        <v>ER-3</v>
      </c>
      <c r="K5" s="391" t="s">
        <v>104</v>
      </c>
      <c r="L5" s="391" t="s">
        <v>582</v>
      </c>
      <c r="M5" s="3" t="str">
        <f>CONCATENATE(Tabela11[[#This Row],[Painel 1]]&amp;" "&amp;Tabela11[[#This Row],[Painel 2]])</f>
        <v>1HV-BUS3 REMOTA 1HV</v>
      </c>
      <c r="N5" s="218">
        <v>2</v>
      </c>
      <c r="O5" s="391" t="s">
        <v>92</v>
      </c>
      <c r="P5" s="391" t="s">
        <v>107</v>
      </c>
      <c r="Q5" s="391" t="str">
        <f>VLOOKUP(Tabela11[[#This Row],[Tag do Cabo]],BD!A:F,6,0)</f>
        <v>-</v>
      </c>
      <c r="R5" s="391">
        <f>SUMIF('Lançamento de Cabos'!AE:AE,Tabela11[[#This Row],[Tag do Cabo]],'Lançamento de Cabos'!AG:AG)</f>
        <v>0</v>
      </c>
      <c r="S5" s="28">
        <f>Tabela11[[#This Row],[Ligações Realizadas]]/Tabela11[[#This Row],[Qtde Ligações]]</f>
        <v>0</v>
      </c>
      <c r="T5" s="269">
        <f>IF(Tabela11[[#This Row],[Ligações Realizadas]]/Tabela11[[#This Row],[Qtde Ligações]]=0,0,IF(Tabela11[[#This Row],[Ligações Realizadas]]/Tabela11[[#This Row],[Qtde Ligações]]=1,ROUND(N5/2,0),"Ver Painel"))</f>
        <v>0</v>
      </c>
      <c r="U5" s="23">
        <f>IF(Tabela11[[#This Row],[Ligações Realizadas]]/Tabela11[[#This Row],[Qtde Ligações]]=0,0,IF(Tabela11[[#This Row],[Ligações Realizadas]]/Tabela11[[#This Row],[Qtde Ligações]]=1,ROUND(N5/2,0),"Ver Painel"))</f>
        <v>0</v>
      </c>
      <c r="V5" s="219"/>
    </row>
    <row r="6" spans="1:22" hidden="1" x14ac:dyDescent="0.25">
      <c r="A6" s="34" t="s">
        <v>112</v>
      </c>
      <c r="B6" s="391" t="str">
        <f>VLOOKUP(Tabela11[[#This Row],[Tag do Cabo]],BD!A:AJ,2,0)</f>
        <v>FO</v>
      </c>
      <c r="C6" s="3" t="str">
        <f>VLOOKUP(Tabela11[[#This Row],[Tag do Cabo]],BD!A:AJ,5,0)</f>
        <v>CORDÃO ÓPTICO</v>
      </c>
      <c r="D6" s="391" t="s">
        <v>1533</v>
      </c>
      <c r="E6" s="391" t="str">
        <f>VLOOKUP(Tabela11[[#This Row],[Tag do Cabo]],BD!A:T,20,0)</f>
        <v>BK-SP54-0900A-LC-74-00001_00000</v>
      </c>
      <c r="F6" s="222" t="str">
        <f>IF(VLOOKUP(Tabela11[[#This Row],[Tag do Cabo]],BD!A:AJ,35,0)=0,"Pendente",VLOOKUP(Tabela11[[#This Row],[Tag do Cabo]],BD!A:AJ,35,0))</f>
        <v>BK-SP54-0900B-DI-74-00450</v>
      </c>
      <c r="G6" s="3" t="str">
        <f>IF(VLOOKUP(Tabela11[[#This Row],[Tag do Cabo]],BD!A:AJ,36,0)=0,"Pendente",VLOOKUP(Tabela11[[#This Row],[Tag do Cabo]],BD!A:AJ,36,0))</f>
        <v>30</v>
      </c>
      <c r="H6" s="391" t="str">
        <f>VLOOKUP(Tabela11[[#This Row],[Tag do Cabo]],BD!A:AJ,32,0)</f>
        <v>1HV</v>
      </c>
      <c r="I6" s="7" t="str">
        <f>VLOOKUP(Tabela11[[#This Row],[Tag do Cabo]],BD!A:AJ,11,0)</f>
        <v>1HV-BUS3</v>
      </c>
      <c r="J6" s="3" t="str">
        <f>VLOOKUP(Tabela11[[#This Row],[Tag do Cabo]],BD!A:AJ,12,0)</f>
        <v>ER-3</v>
      </c>
      <c r="K6" s="391" t="s">
        <v>104</v>
      </c>
      <c r="L6" s="391" t="s">
        <v>582</v>
      </c>
      <c r="M6" s="3" t="str">
        <f>CONCATENATE(Tabela11[[#This Row],[Painel 1]]&amp;" "&amp;Tabela11[[#This Row],[Painel 2]])</f>
        <v>1HV-BUS3 REMOTA 1HV</v>
      </c>
      <c r="N6" s="218">
        <v>2</v>
      </c>
      <c r="O6" s="391" t="s">
        <v>92</v>
      </c>
      <c r="P6" s="391" t="s">
        <v>107</v>
      </c>
      <c r="Q6" s="391" t="str">
        <f>VLOOKUP(Tabela11[[#This Row],[Tag do Cabo]],BD!A:F,6,0)</f>
        <v>-</v>
      </c>
      <c r="R6" s="391">
        <f>SUMIF('Lançamento de Cabos'!AE:AE,Tabela11[[#This Row],[Tag do Cabo]],'Lançamento de Cabos'!AG:AG)</f>
        <v>0</v>
      </c>
      <c r="S6" s="28">
        <f>Tabela11[[#This Row],[Ligações Realizadas]]/Tabela11[[#This Row],[Qtde Ligações]]</f>
        <v>0</v>
      </c>
      <c r="T6" s="269">
        <f>IF(Tabela11[[#This Row],[Ligações Realizadas]]/Tabela11[[#This Row],[Qtde Ligações]]=0,0,IF(Tabela11[[#This Row],[Ligações Realizadas]]/Tabela11[[#This Row],[Qtde Ligações]]=1,ROUND(N6/2,0),"Ver Painel"))</f>
        <v>0</v>
      </c>
      <c r="U6" s="23">
        <f>IF(Tabela11[[#This Row],[Ligações Realizadas]]/Tabela11[[#This Row],[Qtde Ligações]]=0,0,IF(Tabela11[[#This Row],[Ligações Realizadas]]/Tabela11[[#This Row],[Qtde Ligações]]=1,ROUND(N6/2,0),"Ver Painel"))</f>
        <v>0</v>
      </c>
      <c r="V6" s="219"/>
    </row>
    <row r="7" spans="1:22" hidden="1" x14ac:dyDescent="0.25">
      <c r="A7" s="34" t="s">
        <v>113</v>
      </c>
      <c r="B7" s="391" t="str">
        <f>VLOOKUP(Tabela11[[#This Row],[Tag do Cabo]],BD!A:AJ,2,0)</f>
        <v>FO</v>
      </c>
      <c r="C7" s="3" t="str">
        <f>VLOOKUP(Tabela11[[#This Row],[Tag do Cabo]],BD!A:AJ,5,0)</f>
        <v>CORDÃO ÓPTICO</v>
      </c>
      <c r="D7" s="391" t="s">
        <v>1533</v>
      </c>
      <c r="E7" s="391" t="str">
        <f>VLOOKUP(Tabela11[[#This Row],[Tag do Cabo]],BD!A:T,20,0)</f>
        <v>BK-SP54-0900A-LC-74-00001_00000</v>
      </c>
      <c r="F7" s="222" t="str">
        <f>IF(VLOOKUP(Tabela11[[#This Row],[Tag do Cabo]],BD!A:AJ,35,0)=0,"Pendente",VLOOKUP(Tabela11[[#This Row],[Tag do Cabo]],BD!A:AJ,35,0))</f>
        <v>BK-SP54-0900B-DI-74-00450</v>
      </c>
      <c r="G7" s="3" t="str">
        <f>IF(VLOOKUP(Tabela11[[#This Row],[Tag do Cabo]],BD!A:AJ,36,0)=0,"Pendente",VLOOKUP(Tabela11[[#This Row],[Tag do Cabo]],BD!A:AJ,36,0))</f>
        <v>30</v>
      </c>
      <c r="H7" s="391" t="str">
        <f>VLOOKUP(Tabela11[[#This Row],[Tag do Cabo]],BD!A:AJ,32,0)</f>
        <v>1HV</v>
      </c>
      <c r="I7" s="7" t="str">
        <f>VLOOKUP(Tabela11[[#This Row],[Tag do Cabo]],BD!A:AJ,11,0)</f>
        <v>1HV-BUS3</v>
      </c>
      <c r="J7" s="3" t="str">
        <f>VLOOKUP(Tabela11[[#This Row],[Tag do Cabo]],BD!A:AJ,12,0)</f>
        <v>ER-3</v>
      </c>
      <c r="K7" s="391" t="s">
        <v>104</v>
      </c>
      <c r="L7" s="391" t="s">
        <v>582</v>
      </c>
      <c r="M7" s="3" t="str">
        <f>CONCATENATE(Tabela11[[#This Row],[Painel 1]]&amp;" "&amp;Tabela11[[#This Row],[Painel 2]])</f>
        <v>1HV-BUS3 REMOTA 1HV</v>
      </c>
      <c r="N7" s="218">
        <v>2</v>
      </c>
      <c r="O7" s="391" t="s">
        <v>92</v>
      </c>
      <c r="P7" s="391" t="s">
        <v>107</v>
      </c>
      <c r="Q7" s="391" t="str">
        <f>VLOOKUP(Tabela11[[#This Row],[Tag do Cabo]],BD!A:F,6,0)</f>
        <v>-</v>
      </c>
      <c r="R7" s="391">
        <f>SUMIF('Lançamento de Cabos'!AE:AE,Tabela11[[#This Row],[Tag do Cabo]],'Lançamento de Cabos'!AG:AG)</f>
        <v>0</v>
      </c>
      <c r="S7" s="28">
        <f>Tabela11[[#This Row],[Ligações Realizadas]]/Tabela11[[#This Row],[Qtde Ligações]]</f>
        <v>0</v>
      </c>
      <c r="T7" s="269">
        <f>IF(Tabela11[[#This Row],[Ligações Realizadas]]/Tabela11[[#This Row],[Qtde Ligações]]=0,0,IF(Tabela11[[#This Row],[Ligações Realizadas]]/Tabela11[[#This Row],[Qtde Ligações]]=1,ROUND(N7/2,0),"Ver Painel"))</f>
        <v>0</v>
      </c>
      <c r="U7" s="23">
        <f>IF(Tabela11[[#This Row],[Ligações Realizadas]]/Tabela11[[#This Row],[Qtde Ligações]]=0,0,IF(Tabela11[[#This Row],[Ligações Realizadas]]/Tabela11[[#This Row],[Qtde Ligações]]=1,ROUND(N7/2,0),"Ver Painel"))</f>
        <v>0</v>
      </c>
      <c r="V7" s="219"/>
    </row>
    <row r="8" spans="1:22" hidden="1" x14ac:dyDescent="0.25">
      <c r="A8" s="34" t="s">
        <v>114</v>
      </c>
      <c r="B8" s="391" t="str">
        <f>VLOOKUP(Tabela11[[#This Row],[Tag do Cabo]],BD!A:AJ,2,0)</f>
        <v>FO</v>
      </c>
      <c r="C8" s="3" t="str">
        <f>VLOOKUP(Tabela11[[#This Row],[Tag do Cabo]],BD!A:AJ,5,0)</f>
        <v>CORDÃO ÓPTICO</v>
      </c>
      <c r="D8" s="391" t="s">
        <v>1533</v>
      </c>
      <c r="E8" s="391" t="str">
        <f>VLOOKUP(Tabela11[[#This Row],[Tag do Cabo]],BD!A:T,20,0)</f>
        <v>BK-SP54-0900A-LC-74-00001_00000</v>
      </c>
      <c r="F8" s="222" t="str">
        <f>IF(VLOOKUP(Tabela11[[#This Row],[Tag do Cabo]],BD!A:AJ,35,0)=0,"Pendente",VLOOKUP(Tabela11[[#This Row],[Tag do Cabo]],BD!A:AJ,35,0))</f>
        <v>BK-SP54-0900B-DI-74-00450</v>
      </c>
      <c r="G8" s="3" t="str">
        <f>IF(VLOOKUP(Tabela11[[#This Row],[Tag do Cabo]],BD!A:AJ,36,0)=0,"Pendente",VLOOKUP(Tabela11[[#This Row],[Tag do Cabo]],BD!A:AJ,36,0))</f>
        <v>30</v>
      </c>
      <c r="H8" s="391" t="str">
        <f>VLOOKUP(Tabela11[[#This Row],[Tag do Cabo]],BD!A:AJ,32,0)</f>
        <v>1HV</v>
      </c>
      <c r="I8" s="7" t="str">
        <f>VLOOKUP(Tabela11[[#This Row],[Tag do Cabo]],BD!A:AJ,11,0)</f>
        <v>1HV-BUS3</v>
      </c>
      <c r="J8" s="3" t="str">
        <f>VLOOKUP(Tabela11[[#This Row],[Tag do Cabo]],BD!A:AJ,12,0)</f>
        <v>ER-3</v>
      </c>
      <c r="K8" s="391" t="s">
        <v>104</v>
      </c>
      <c r="L8" s="391" t="s">
        <v>582</v>
      </c>
      <c r="M8" s="3" t="str">
        <f>CONCATENATE(Tabela11[[#This Row],[Painel 1]]&amp;" "&amp;Tabela11[[#This Row],[Painel 2]])</f>
        <v>1HV-BUS3 REMOTA 1HV</v>
      </c>
      <c r="N8" s="218">
        <v>2</v>
      </c>
      <c r="O8" s="391" t="s">
        <v>92</v>
      </c>
      <c r="P8" s="391" t="s">
        <v>107</v>
      </c>
      <c r="Q8" s="391" t="str">
        <f>VLOOKUP(Tabela11[[#This Row],[Tag do Cabo]],BD!A:F,6,0)</f>
        <v>-</v>
      </c>
      <c r="R8" s="391">
        <f>SUMIF('Lançamento de Cabos'!AE:AE,Tabela11[[#This Row],[Tag do Cabo]],'Lançamento de Cabos'!AG:AG)</f>
        <v>0</v>
      </c>
      <c r="S8" s="28">
        <f>Tabela11[[#This Row],[Ligações Realizadas]]/Tabela11[[#This Row],[Qtde Ligações]]</f>
        <v>0</v>
      </c>
      <c r="T8" s="269">
        <f>IF(Tabela11[[#This Row],[Ligações Realizadas]]/Tabela11[[#This Row],[Qtde Ligações]]=0,0,IF(Tabela11[[#This Row],[Ligações Realizadas]]/Tabela11[[#This Row],[Qtde Ligações]]=1,ROUND(N8/2,0),"Ver Painel"))</f>
        <v>0</v>
      </c>
      <c r="U8" s="23">
        <f>IF(Tabela11[[#This Row],[Ligações Realizadas]]/Tabela11[[#This Row],[Qtde Ligações]]=0,0,IF(Tabela11[[#This Row],[Ligações Realizadas]]/Tabela11[[#This Row],[Qtde Ligações]]=1,ROUND(N8/2,0),"Ver Painel"))</f>
        <v>0</v>
      </c>
      <c r="V8" s="219"/>
    </row>
    <row r="9" spans="1:22" hidden="1" x14ac:dyDescent="0.25">
      <c r="A9" s="34" t="s">
        <v>262</v>
      </c>
      <c r="B9" s="391" t="str">
        <f>VLOOKUP(Tabela11[[#This Row],[Tag do Cabo]],BD!A:AJ,2,0)</f>
        <v>Força</v>
      </c>
      <c r="C9" s="3" t="str">
        <f>VLOOKUP(Tabela11[[#This Row],[Tag do Cabo]],BD!A:AJ,5,0)</f>
        <v>3x1x1/C#120</v>
      </c>
      <c r="D9" s="391" t="s">
        <v>1533</v>
      </c>
      <c r="E9" s="391" t="str">
        <f>VLOOKUP(Tabela11[[#This Row],[Tag do Cabo]],BD!A:T,20,0)</f>
        <v>BK-SP54-0900A-LC-74-00001_00000</v>
      </c>
      <c r="F9" s="222" t="str">
        <f>IF(VLOOKUP(Tabela11[[#This Row],[Tag do Cabo]],BD!A:AJ,35,0)=0,"Pendente",VLOOKUP(Tabela11[[#This Row],[Tag do Cabo]],BD!A:AJ,35,0))</f>
        <v>BK-SP54-0900B-DI-74-00452</v>
      </c>
      <c r="G9" s="3" t="str">
        <f>IF(VLOOKUP(Tabela11[[#This Row],[Tag do Cabo]],BD!A:AJ,36,0)=0,"Pendente",VLOOKUP(Tabela11[[#This Row],[Tag do Cabo]],BD!A:AJ,36,0))</f>
        <v>5</v>
      </c>
      <c r="H9" s="391" t="str">
        <f>VLOOKUP(Tabela11[[#This Row],[Tag do Cabo]],BD!A:AJ,32,0)</f>
        <v>1MVxGB-208A</v>
      </c>
      <c r="I9" s="7" t="str">
        <f>VLOOKUP(Tabela11[[#This Row],[Tag do Cabo]],BD!A:AJ,11,0)</f>
        <v>PAINEL 1MV</v>
      </c>
      <c r="J9" s="3" t="str">
        <f>VLOOKUP(Tabela11[[#This Row],[Tag do Cabo]],BD!A:AJ,12,0)</f>
        <v>MOTOR GAM-208A</v>
      </c>
      <c r="K9" s="391" t="s">
        <v>196</v>
      </c>
      <c r="L9" s="391" t="s">
        <v>264</v>
      </c>
      <c r="M9" s="3" t="str">
        <f>CONCATENATE(Tabela11[[#This Row],[Painel 1]]&amp;" "&amp;Tabela11[[#This Row],[Painel 2]])</f>
        <v>PAINEL 1MV GB-208A</v>
      </c>
      <c r="N9" s="157">
        <v>6</v>
      </c>
      <c r="O9" s="391" t="s">
        <v>92</v>
      </c>
      <c r="P9" s="391" t="s">
        <v>1536</v>
      </c>
      <c r="Q9" s="391">
        <f>VLOOKUP(Tabela11[[#This Row],[Tag do Cabo]],BD!A:F,6,0)</f>
        <v>120</v>
      </c>
      <c r="R9" s="391">
        <f>SUMIF('Lançamento de Cabos'!AE:AE,Tabela11[[#This Row],[Tag do Cabo]],'Lançamento de Cabos'!AG:AG)</f>
        <v>0</v>
      </c>
      <c r="S9" s="28">
        <f>Tabela11[[#This Row],[Ligações Realizadas]]/Tabela11[[#This Row],[Qtde Ligações]]</f>
        <v>0</v>
      </c>
      <c r="T9" s="269">
        <f>IF(Tabela11[[#This Row],[Ligações Realizadas]]/Tabela11[[#This Row],[Qtde Ligações]]=0,0,IF(Tabela11[[#This Row],[Ligações Realizadas]]/Tabela11[[#This Row],[Qtde Ligações]]=1,ROUND(N9/2,0),"Ver Painel"))</f>
        <v>0</v>
      </c>
      <c r="U9" s="23">
        <f>IF(Tabela11[[#This Row],[Ligações Realizadas]]/Tabela11[[#This Row],[Qtde Ligações]]=0,0,IF(Tabela11[[#This Row],[Ligações Realizadas]]/Tabela11[[#This Row],[Qtde Ligações]]=1,ROUND(N9/2,0),"Ver Painel"))</f>
        <v>0</v>
      </c>
      <c r="V9" s="261"/>
    </row>
    <row r="10" spans="1:22" hidden="1" x14ac:dyDescent="0.25">
      <c r="A10" s="34" t="s">
        <v>234</v>
      </c>
      <c r="B10" s="391" t="str">
        <f>VLOOKUP(Tabela11[[#This Row],[Tag do Cabo]],BD!A:AJ,2,0)</f>
        <v>Força</v>
      </c>
      <c r="C10" s="3" t="str">
        <f>VLOOKUP(Tabela11[[#This Row],[Tag do Cabo]],BD!A:AJ,5,0)</f>
        <v>1x2/C#4</v>
      </c>
      <c r="D10" s="391" t="s">
        <v>1533</v>
      </c>
      <c r="E10" s="391" t="str">
        <f>VLOOKUP(Tabela11[[#This Row],[Tag do Cabo]],BD!A:T,20,0)</f>
        <v>BK-SP54-0900A-LC-74-00001_00000</v>
      </c>
      <c r="F10" s="222" t="str">
        <f>IF(VLOOKUP(Tabela11[[#This Row],[Tag do Cabo]],BD!A:AJ,35,0)=0,"Pendente",VLOOKUP(Tabela11[[#This Row],[Tag do Cabo]],BD!A:AJ,35,0))</f>
        <v>BK-SP54-0900B-DI-74-00452</v>
      </c>
      <c r="G10" s="3" t="str">
        <f>IF(VLOOKUP(Tabela11[[#This Row],[Tag do Cabo]],BD!A:AJ,36,0)=0,"Pendente",VLOOKUP(Tabela11[[#This Row],[Tag do Cabo]],BD!A:AJ,36,0))</f>
        <v>2</v>
      </c>
      <c r="H10" s="391" t="str">
        <f>VLOOKUP(Tabela11[[#This Row],[Tag do Cabo]],BD!A:AJ,32,0)</f>
        <v>1MVxGA-906E</v>
      </c>
      <c r="I10" s="7" t="str">
        <f>VLOOKUP(Tabela11[[#This Row],[Tag do Cabo]],BD!A:AJ,11,0)</f>
        <v>PAINEL DE RESISTENCIA DE AQUECIMENTO</v>
      </c>
      <c r="J10" s="3" t="str">
        <f>VLOOKUP(Tabela11[[#This Row],[Tag do Cabo]],BD!A:AJ,12,0)</f>
        <v>MOTOR GAM-906E (AQUECIMENTO)</v>
      </c>
      <c r="K10" s="391" t="s">
        <v>1537</v>
      </c>
      <c r="L10" s="391" t="s">
        <v>235</v>
      </c>
      <c r="M10" s="3" t="str">
        <f>CONCATENATE(Tabela11[[#This Row],[Painel 1]]&amp;" "&amp;Tabela11[[#This Row],[Painel 2]])</f>
        <v>RES. AQUEC. GA-906E</v>
      </c>
      <c r="N10" s="157">
        <v>4</v>
      </c>
      <c r="O10" s="391" t="s">
        <v>92</v>
      </c>
      <c r="P10" s="391" t="s">
        <v>107</v>
      </c>
      <c r="Q10" s="391">
        <f>VLOOKUP(Tabela11[[#This Row],[Tag do Cabo]],BD!A:F,6,0)</f>
        <v>4</v>
      </c>
      <c r="R10" s="391">
        <f>SUMIF('Lançamento de Cabos'!AE:AE,Tabela11[[#This Row],[Tag do Cabo]],'Lançamento de Cabos'!AG:AG)</f>
        <v>0</v>
      </c>
      <c r="S10" s="28">
        <f>Tabela11[[#This Row],[Ligações Realizadas]]/Tabela11[[#This Row],[Qtde Ligações]]</f>
        <v>0</v>
      </c>
      <c r="T10" s="269">
        <f>IF(Tabela11[[#This Row],[Ligações Realizadas]]/Tabela11[[#This Row],[Qtde Ligações]]=0,0,IF(Tabela11[[#This Row],[Ligações Realizadas]]/Tabela11[[#This Row],[Qtde Ligações]]=1,ROUND(N10/2,0),"Ver Painel"))</f>
        <v>0</v>
      </c>
      <c r="U10" s="23">
        <f>IF(Tabela11[[#This Row],[Ligações Realizadas]]/Tabela11[[#This Row],[Qtde Ligações]]=0,0,IF(Tabela11[[#This Row],[Ligações Realizadas]]/Tabela11[[#This Row],[Qtde Ligações]]=1,ROUND(N10/2,0),"Ver Painel"))</f>
        <v>0</v>
      </c>
      <c r="V10" s="261"/>
    </row>
    <row r="11" spans="1:22" hidden="1" x14ac:dyDescent="0.25">
      <c r="A11" s="34" t="s">
        <v>194</v>
      </c>
      <c r="B11" s="391" t="str">
        <f>VLOOKUP(Tabela11[[#This Row],[Tag do Cabo]],BD!A:AJ,2,0)</f>
        <v>Controle</v>
      </c>
      <c r="C11" s="3" t="str">
        <f>VLOOKUP(Tabela11[[#This Row],[Tag do Cabo]],BD!A:AJ,5,0)</f>
        <v>1x9/C#2,5</v>
      </c>
      <c r="D11" s="391" t="s">
        <v>1533</v>
      </c>
      <c r="E11" s="391" t="str">
        <f>VLOOKUP(Tabela11[[#This Row],[Tag do Cabo]],BD!A:T,20,0)</f>
        <v>BK-SP54-0900A-LC-74-00001_00000</v>
      </c>
      <c r="F11" s="222" t="str">
        <f>IF(VLOOKUP(Tabela11[[#This Row],[Tag do Cabo]],BD!A:AJ,35,0)=0,"Pendente",VLOOKUP(Tabela11[[#This Row],[Tag do Cabo]],BD!A:AJ,35,0))</f>
        <v>BK-SP54-0900B-DI-74-00452</v>
      </c>
      <c r="G11" s="3" t="str">
        <f>IF(VLOOKUP(Tabela11[[#This Row],[Tag do Cabo]],BD!A:AJ,36,0)=0,"Pendente",VLOOKUP(Tabela11[[#This Row],[Tag do Cabo]],BD!A:AJ,36,0))</f>
        <v>2</v>
      </c>
      <c r="H11" s="391" t="str">
        <f>VLOOKUP(Tabela11[[#This Row],[Tag do Cabo]],BD!A:AJ,32,0)</f>
        <v>1MV</v>
      </c>
      <c r="I11" s="7" t="str">
        <f>VLOOKUP(Tabela11[[#This Row],[Tag do Cabo]],BD!A:AJ,11,0)</f>
        <v>PAINEL 1MV</v>
      </c>
      <c r="J11" s="3" t="str">
        <f>VLOOKUP(Tabela11[[#This Row],[Tag do Cabo]],BD!A:AJ,12,0)</f>
        <v>1MV-GAINE IV (COMANDO)</v>
      </c>
      <c r="K11" s="391" t="s">
        <v>196</v>
      </c>
      <c r="L11" s="391" t="s">
        <v>1538</v>
      </c>
      <c r="M11" s="3" t="str">
        <f>CONCATENATE(Tabela11[[#This Row],[Painel 1]]&amp;" "&amp;Tabela11[[#This Row],[Painel 2]])</f>
        <v>PAINEL 1MV GAINE IV</v>
      </c>
      <c r="N11" s="157">
        <v>8</v>
      </c>
      <c r="O11" s="391">
        <f>COUNTIF(Tabela12[Tag Cabo],Tabela11[[#This Row],[Tag do Cabo]])</f>
        <v>8</v>
      </c>
      <c r="P11" s="391" t="str">
        <f>IF(Tabela11[[#This Row],[Qtde Ligações]]&lt;&gt;Tabela11[[#This Row],[Qtde Anilhas]],"Ver","Ok")</f>
        <v>Ok</v>
      </c>
      <c r="Q11" s="391">
        <f>VLOOKUP(Tabela11[[#This Row],[Tag do Cabo]],BD!A:F,6,0)</f>
        <v>2.5</v>
      </c>
      <c r="R11" s="391">
        <f>SUMIF('Lançamento de Cabos'!AE:AE,Tabela11[[#This Row],[Tag do Cabo]],'Lançamento de Cabos'!AG:AG)</f>
        <v>0</v>
      </c>
      <c r="S11" s="28">
        <f>Tabela11[[#This Row],[Ligações Realizadas]]/Tabela11[[#This Row],[Qtde Ligações]]</f>
        <v>0</v>
      </c>
      <c r="T11" s="269">
        <f>IF(Tabela11[[#This Row],[Ligações Realizadas]]/Tabela11[[#This Row],[Qtde Ligações]]=0,0,IF(Tabela11[[#This Row],[Ligações Realizadas]]/Tabela11[[#This Row],[Qtde Ligações]]=1,ROUND(N11/2,0),"Ver Painel"))</f>
        <v>0</v>
      </c>
      <c r="U11" s="23">
        <f>IF(Tabela11[[#This Row],[Ligações Realizadas]]/Tabela11[[#This Row],[Qtde Ligações]]=0,0,IF(Tabela11[[#This Row],[Ligações Realizadas]]/Tabela11[[#This Row],[Qtde Ligações]]=1,ROUND(N11/2,0),"Ver Painel"))</f>
        <v>0</v>
      </c>
      <c r="V11" s="261"/>
    </row>
    <row r="12" spans="1:22" hidden="1" x14ac:dyDescent="0.25">
      <c r="A12" s="34" t="s">
        <v>239</v>
      </c>
      <c r="B12" s="391" t="str">
        <f>VLOOKUP(Tabela11[[#This Row],[Tag do Cabo]],BD!A:AJ,2,0)</f>
        <v>Força</v>
      </c>
      <c r="C12" s="3" t="str">
        <f>VLOOKUP(Tabela11[[#This Row],[Tag do Cabo]],BD!A:AJ,5,0)</f>
        <v>3x1x1/C#185</v>
      </c>
      <c r="D12" s="391" t="s">
        <v>1533</v>
      </c>
      <c r="E12" s="391" t="str">
        <f>VLOOKUP(Tabela11[[#This Row],[Tag do Cabo]],BD!A:T,20,0)</f>
        <v>BK-SP54-0900A-LC-74-00001_00000</v>
      </c>
      <c r="F12" s="222" t="str">
        <f>IF(VLOOKUP(Tabela11[[#This Row],[Tag do Cabo]],BD!A:AJ,35,0)=0,"Pendente",VLOOKUP(Tabela11[[#This Row],[Tag do Cabo]],BD!A:AJ,35,0))</f>
        <v>BK-SP54-0900B-DI-74-00452</v>
      </c>
      <c r="G12" s="3" t="str">
        <f>IF(VLOOKUP(Tabela11[[#This Row],[Tag do Cabo]],BD!A:AJ,36,0)=0,"Pendente",VLOOKUP(Tabela11[[#This Row],[Tag do Cabo]],BD!A:AJ,36,0))</f>
        <v>2</v>
      </c>
      <c r="H12" s="391" t="str">
        <f>VLOOKUP(Tabela11[[#This Row],[Tag do Cabo]],BD!A:AJ,32,0)</f>
        <v>1MVxGA-906E</v>
      </c>
      <c r="I12" s="7" t="str">
        <f>VLOOKUP(Tabela11[[#This Row],[Tag do Cabo]],BD!A:AJ,11,0)</f>
        <v>PAINEL 1MV</v>
      </c>
      <c r="J12" s="3" t="str">
        <f>VLOOKUP(Tabela11[[#This Row],[Tag do Cabo]],BD!A:AJ,12,0)</f>
        <v>MOTOR GAM-906E</v>
      </c>
      <c r="K12" s="391" t="s">
        <v>196</v>
      </c>
      <c r="L12" s="391" t="s">
        <v>235</v>
      </c>
      <c r="M12" s="3" t="str">
        <f>CONCATENATE(Tabela11[[#This Row],[Painel 1]]&amp;" "&amp;Tabela11[[#This Row],[Painel 2]])</f>
        <v>PAINEL 1MV GA-906E</v>
      </c>
      <c r="N12" s="157">
        <v>6</v>
      </c>
      <c r="O12" s="391" t="s">
        <v>92</v>
      </c>
      <c r="P12" s="391" t="s">
        <v>1536</v>
      </c>
      <c r="Q12" s="391">
        <f>VLOOKUP(Tabela11[[#This Row],[Tag do Cabo]],BD!A:F,6,0)</f>
        <v>185</v>
      </c>
      <c r="R12" s="391">
        <f>SUMIF('Lançamento de Cabos'!AE:AE,Tabela11[[#This Row],[Tag do Cabo]],'Lançamento de Cabos'!AG:AG)</f>
        <v>6</v>
      </c>
      <c r="S12" s="28">
        <f>Tabela11[[#This Row],[Ligações Realizadas]]/Tabela11[[#This Row],[Qtde Ligações]]</f>
        <v>1</v>
      </c>
      <c r="T12" s="269">
        <f>IF(Tabela11[[#This Row],[Ligações Realizadas]]/Tabela11[[#This Row],[Qtde Ligações]]=0,0,IF(Tabela11[[#This Row],[Ligações Realizadas]]/Tabela11[[#This Row],[Qtde Ligações]]=1,ROUND(N12/2,0),"Ver Painel"))</f>
        <v>3</v>
      </c>
      <c r="U12" s="23">
        <f>IF(Tabela11[[#This Row],[Ligações Realizadas]]/Tabela11[[#This Row],[Qtde Ligações]]=0,0,IF(Tabela11[[#This Row],[Ligações Realizadas]]/Tabela11[[#This Row],[Qtde Ligações]]=1,ROUND(N12/2,0),"Ver Painel"))</f>
        <v>3</v>
      </c>
      <c r="V12" s="261"/>
    </row>
    <row r="13" spans="1:22" hidden="1" x14ac:dyDescent="0.25">
      <c r="A13" s="34" t="s">
        <v>245</v>
      </c>
      <c r="B13" s="391" t="str">
        <f>VLOOKUP(Tabela11[[#This Row],[Tag do Cabo]],BD!A:AJ,2,0)</f>
        <v>Controle</v>
      </c>
      <c r="C13" s="3" t="str">
        <f>VLOOKUP(Tabela11[[#This Row],[Tag do Cabo]],BD!A:AJ,5,0)</f>
        <v>1x8T#1,0</v>
      </c>
      <c r="D13" s="391" t="s">
        <v>1533</v>
      </c>
      <c r="E13" s="391" t="str">
        <f>VLOOKUP(Tabela11[[#This Row],[Tag do Cabo]],BD!A:T,20,0)</f>
        <v>BK-SP54-0900A-LC-74-00001_00000</v>
      </c>
      <c r="F13" s="222" t="str">
        <f>IF(VLOOKUP(Tabela11[[#This Row],[Tag do Cabo]],BD!A:AJ,35,0)=0,"Pendente",VLOOKUP(Tabela11[[#This Row],[Tag do Cabo]],BD!A:AJ,35,0))</f>
        <v>BK-SP54-0900B-DI-74-00452</v>
      </c>
      <c r="G13" s="3" t="str">
        <f>IF(VLOOKUP(Tabela11[[#This Row],[Tag do Cabo]],BD!A:AJ,36,0)=0,"Pendente",VLOOKUP(Tabela11[[#This Row],[Tag do Cabo]],BD!A:AJ,36,0))</f>
        <v>2</v>
      </c>
      <c r="H13" s="391" t="str">
        <f>VLOOKUP(Tabela11[[#This Row],[Tag do Cabo]],BD!A:AJ,32,0)</f>
        <v>1MVxGA-906E</v>
      </c>
      <c r="I13" s="7" t="str">
        <f>VLOOKUP(Tabela11[[#This Row],[Tag do Cabo]],BD!A:AJ,11,0)</f>
        <v>PAINEL 1MV</v>
      </c>
      <c r="J13" s="3" t="str">
        <f>VLOOKUP(Tabela11[[#This Row],[Tag do Cabo]],BD!A:AJ,12,0)</f>
        <v>MOTOR GAM-906E (RTD)</v>
      </c>
      <c r="K13" s="391" t="s">
        <v>196</v>
      </c>
      <c r="L13" s="391" t="s">
        <v>235</v>
      </c>
      <c r="M13" s="3" t="str">
        <f>CONCATENATE(Tabela11[[#This Row],[Painel 1]]&amp;" "&amp;Tabela11[[#This Row],[Painel 2]])</f>
        <v>PAINEL 1MV GA-906E</v>
      </c>
      <c r="N13" s="157">
        <v>48</v>
      </c>
      <c r="O13" s="391">
        <f>COUNTIF(Tabela12[Tag Cabo],Tabela11[[#This Row],[Tag do Cabo]])</f>
        <v>48</v>
      </c>
      <c r="P13" s="391" t="str">
        <f>IF(Tabela11[[#This Row],[Qtde Ligações]]&lt;&gt;Tabela11[[#This Row],[Qtde Anilhas]],"Ver","Ok")</f>
        <v>Ok</v>
      </c>
      <c r="Q13" s="391">
        <f>VLOOKUP(Tabela11[[#This Row],[Tag do Cabo]],BD!A:F,6,0)</f>
        <v>1</v>
      </c>
      <c r="R13" s="391">
        <f>SUMIF('Lançamento de Cabos'!AE:AE,Tabela11[[#This Row],[Tag do Cabo]],'Lançamento de Cabos'!AG:AG)</f>
        <v>0</v>
      </c>
      <c r="S13" s="28">
        <f>Tabela11[[#This Row],[Ligações Realizadas]]/Tabela11[[#This Row],[Qtde Ligações]]</f>
        <v>0</v>
      </c>
      <c r="T13" s="269">
        <f>IF(Tabela11[[#This Row],[Ligações Realizadas]]/Tabela11[[#This Row],[Qtde Ligações]]=0,0,IF(Tabela11[[#This Row],[Ligações Realizadas]]/Tabela11[[#This Row],[Qtde Ligações]]=1,ROUND(N13/2,0),"Ver Painel"))</f>
        <v>0</v>
      </c>
      <c r="U13" s="23">
        <f>IF(Tabela11[[#This Row],[Ligações Realizadas]]/Tabela11[[#This Row],[Qtde Ligações]]=0,0,IF(Tabela11[[#This Row],[Ligações Realizadas]]/Tabela11[[#This Row],[Qtde Ligações]]=1,ROUND(N13/2,0),"Ver Painel"))</f>
        <v>0</v>
      </c>
      <c r="V13" s="219"/>
    </row>
    <row r="14" spans="1:22" hidden="1" x14ac:dyDescent="0.25">
      <c r="A14" s="34" t="s">
        <v>251</v>
      </c>
      <c r="B14" s="391" t="str">
        <f>VLOOKUP(Tabela11[[#This Row],[Tag do Cabo]],BD!A:AJ,2,0)</f>
        <v>Controle</v>
      </c>
      <c r="C14" s="3" t="str">
        <f>VLOOKUP(Tabela11[[#This Row],[Tag do Cabo]],BD!A:AJ,5,0)</f>
        <v>1x9/C#2,5</v>
      </c>
      <c r="D14" s="391" t="s">
        <v>1533</v>
      </c>
      <c r="E14" s="391" t="str">
        <f>VLOOKUP(Tabela11[[#This Row],[Tag do Cabo]],BD!A:T,20,0)</f>
        <v>BK-SP54-0900A-LC-74-00001_00000</v>
      </c>
      <c r="F14" s="222" t="str">
        <f>IF(VLOOKUP(Tabela11[[#This Row],[Tag do Cabo]],BD!A:AJ,35,0)=0,"Pendente",VLOOKUP(Tabela11[[#This Row],[Tag do Cabo]],BD!A:AJ,35,0))</f>
        <v>BK-SP54-0900B-DI-74-00452</v>
      </c>
      <c r="G14" s="3" t="str">
        <f>IF(VLOOKUP(Tabela11[[#This Row],[Tag do Cabo]],BD!A:AJ,36,0)=0,"Pendente",VLOOKUP(Tabela11[[#This Row],[Tag do Cabo]],BD!A:AJ,36,0))</f>
        <v>2</v>
      </c>
      <c r="H14" s="391" t="str">
        <f>VLOOKUP(Tabela11[[#This Row],[Tag do Cabo]],BD!A:AJ,32,0)</f>
        <v>1MVxGA-906E</v>
      </c>
      <c r="I14" s="7" t="str">
        <f>VLOOKUP(Tabela11[[#This Row],[Tag do Cabo]],BD!A:AJ,11,0)</f>
        <v>1MV-GAINE IV</v>
      </c>
      <c r="J14" s="3" t="str">
        <f>VLOOKUP(Tabela11[[#This Row],[Tag do Cabo]],BD!A:AJ,12,0)</f>
        <v>MOTOR GAM-906E (BOTOEIRA)</v>
      </c>
      <c r="K14" s="391" t="s">
        <v>1538</v>
      </c>
      <c r="L14" s="391" t="s">
        <v>235</v>
      </c>
      <c r="M14" s="3" t="str">
        <f>CONCATENATE(Tabela11[[#This Row],[Painel 1]]&amp;" "&amp;Tabela11[[#This Row],[Painel 2]])</f>
        <v>GAINE IV GA-906E</v>
      </c>
      <c r="N14" s="157">
        <v>8</v>
      </c>
      <c r="O14" s="391">
        <f>COUNTIF(Tabela12[Tag Cabo],Tabela11[[#This Row],[Tag do Cabo]])</f>
        <v>8</v>
      </c>
      <c r="P14" s="391" t="str">
        <f>IF(Tabela11[[#This Row],[Qtde Ligações]]&lt;&gt;Tabela11[[#This Row],[Qtde Anilhas]],"Ver","Ok")</f>
        <v>Ok</v>
      </c>
      <c r="Q14" s="391">
        <f>VLOOKUP(Tabela11[[#This Row],[Tag do Cabo]],BD!A:F,6,0)</f>
        <v>2.5</v>
      </c>
      <c r="R14" s="391">
        <f>SUMIF('Lançamento de Cabos'!AE:AE,Tabela11[[#This Row],[Tag do Cabo]],'Lançamento de Cabos'!AG:AG)</f>
        <v>0</v>
      </c>
      <c r="S14" s="28">
        <f>Tabela11[[#This Row],[Ligações Realizadas]]/Tabela11[[#This Row],[Qtde Ligações]]</f>
        <v>0</v>
      </c>
      <c r="T14" s="269">
        <f>IF(Tabela11[[#This Row],[Ligações Realizadas]]/Tabela11[[#This Row],[Qtde Ligações]]=0,0,IF(Tabela11[[#This Row],[Ligações Realizadas]]/Tabela11[[#This Row],[Qtde Ligações]]=1,ROUND(N14/2,0),"Ver Painel"))</f>
        <v>0</v>
      </c>
      <c r="U14" s="23">
        <f>IF(Tabela11[[#This Row],[Ligações Realizadas]]/Tabela11[[#This Row],[Qtde Ligações]]=0,0,IF(Tabela11[[#This Row],[Ligações Realizadas]]/Tabela11[[#This Row],[Qtde Ligações]]=1,ROUND(N14/2,0),"Ver Painel"))</f>
        <v>0</v>
      </c>
      <c r="V14" s="261"/>
    </row>
    <row r="15" spans="1:22" hidden="1" x14ac:dyDescent="0.25">
      <c r="A15" s="34" t="s">
        <v>267</v>
      </c>
      <c r="B15" s="391" t="str">
        <f>VLOOKUP(Tabela11[[#This Row],[Tag do Cabo]],BD!A:AJ,2,0)</f>
        <v>Força</v>
      </c>
      <c r="C15" s="3" t="str">
        <f>VLOOKUP(Tabela11[[#This Row],[Tag do Cabo]],BD!A:AJ,5,0)</f>
        <v>1x2/C#6</v>
      </c>
      <c r="D15" s="391" t="s">
        <v>1533</v>
      </c>
      <c r="E15" s="391" t="str">
        <f>VLOOKUP(Tabela11[[#This Row],[Tag do Cabo]],BD!A:T,20,0)</f>
        <v>BK-SP54-0900A-LC-74-00001_00000</v>
      </c>
      <c r="F15" s="222" t="str">
        <f>IF(VLOOKUP(Tabela11[[#This Row],[Tag do Cabo]],BD!A:AJ,35,0)=0,"Pendente",VLOOKUP(Tabela11[[#This Row],[Tag do Cabo]],BD!A:AJ,35,0))</f>
        <v>BK-SP54-0900B-DI-74-00452</v>
      </c>
      <c r="G15" s="3" t="str">
        <f>IF(VLOOKUP(Tabela11[[#This Row],[Tag do Cabo]],BD!A:AJ,36,0)=0,"Pendente",VLOOKUP(Tabela11[[#This Row],[Tag do Cabo]],BD!A:AJ,36,0))</f>
        <v>5</v>
      </c>
      <c r="H15" s="391" t="str">
        <f>VLOOKUP(Tabela11[[#This Row],[Tag do Cabo]],BD!A:AJ,32,0)</f>
        <v>1MVxGB-208A</v>
      </c>
      <c r="I15" s="7" t="str">
        <f>VLOOKUP(Tabela11[[#This Row],[Tag do Cabo]],BD!A:AJ,11,0)</f>
        <v>PAINEL DE RESISTENCIA DE AQUECIMENTO</v>
      </c>
      <c r="J15" s="3" t="str">
        <f>VLOOKUP(Tabela11[[#This Row],[Tag do Cabo]],BD!A:AJ,12,0)</f>
        <v>MOTOR GAM-208A (AQUECIMENTO)</v>
      </c>
      <c r="K15" s="391" t="s">
        <v>1537</v>
      </c>
      <c r="L15" s="391" t="s">
        <v>264</v>
      </c>
      <c r="M15" s="3" t="str">
        <f>CONCATENATE(Tabela11[[#This Row],[Painel 1]]&amp;" "&amp;Tabela11[[#This Row],[Painel 2]])</f>
        <v>RES. AQUEC. GB-208A</v>
      </c>
      <c r="N15" s="157">
        <v>4</v>
      </c>
      <c r="O15" s="391" t="s">
        <v>92</v>
      </c>
      <c r="P15" s="391" t="s">
        <v>107</v>
      </c>
      <c r="Q15" s="391">
        <f>VLOOKUP(Tabela11[[#This Row],[Tag do Cabo]],BD!A:F,6,0)</f>
        <v>6</v>
      </c>
      <c r="R15" s="391">
        <f>SUMIF('Lançamento de Cabos'!AE:AE,Tabela11[[#This Row],[Tag do Cabo]],'Lançamento de Cabos'!AG:AG)</f>
        <v>0</v>
      </c>
      <c r="S15" s="28">
        <f>Tabela11[[#This Row],[Ligações Realizadas]]/Tabela11[[#This Row],[Qtde Ligações]]</f>
        <v>0</v>
      </c>
      <c r="T15" s="269">
        <f>IF(Tabela11[[#This Row],[Ligações Realizadas]]/Tabela11[[#This Row],[Qtde Ligações]]=0,0,IF(Tabela11[[#This Row],[Ligações Realizadas]]/Tabela11[[#This Row],[Qtde Ligações]]=1,ROUND(N15/2,0),"Ver Painel"))</f>
        <v>0</v>
      </c>
      <c r="U15" s="23">
        <f>IF(Tabela11[[#This Row],[Ligações Realizadas]]/Tabela11[[#This Row],[Qtde Ligações]]=0,0,IF(Tabela11[[#This Row],[Ligações Realizadas]]/Tabela11[[#This Row],[Qtde Ligações]]=1,ROUND(N15/2,0),"Ver Painel"))</f>
        <v>0</v>
      </c>
      <c r="V15" s="261"/>
    </row>
    <row r="16" spans="1:22" hidden="1" x14ac:dyDescent="0.25">
      <c r="A16" s="34" t="s">
        <v>206</v>
      </c>
      <c r="B16" s="391" t="str">
        <f>VLOOKUP(Tabela11[[#This Row],[Tag do Cabo]],BD!A:AJ,2,0)</f>
        <v>Controle</v>
      </c>
      <c r="C16" s="3" t="str">
        <f>VLOOKUP(Tabela11[[#This Row],[Tag do Cabo]],BD!A:AJ,5,0)</f>
        <v>1x9/C#2,5</v>
      </c>
      <c r="D16" s="391" t="s">
        <v>1533</v>
      </c>
      <c r="E16" s="391" t="str">
        <f>VLOOKUP(Tabela11[[#This Row],[Tag do Cabo]],BD!A:T,20,0)</f>
        <v>BK-SP54-0900A-LC-74-00001_00000</v>
      </c>
      <c r="F16" s="222" t="str">
        <f>IF(VLOOKUP(Tabela11[[#This Row],[Tag do Cabo]],BD!A:AJ,35,0)=0,"Pendente",VLOOKUP(Tabela11[[#This Row],[Tag do Cabo]],BD!A:AJ,35,0))</f>
        <v>BK-SP54-0900B-DI-74-00452</v>
      </c>
      <c r="G16" s="3" t="str">
        <f>IF(VLOOKUP(Tabela11[[#This Row],[Tag do Cabo]],BD!A:AJ,36,0)=0,"Pendente",VLOOKUP(Tabela11[[#This Row],[Tag do Cabo]],BD!A:AJ,36,0))</f>
        <v>5</v>
      </c>
      <c r="H16" s="391" t="str">
        <f>VLOOKUP(Tabela11[[#This Row],[Tag do Cabo]],BD!A:AJ,32,0)</f>
        <v>1MV</v>
      </c>
      <c r="I16" s="7" t="str">
        <f>VLOOKUP(Tabela11[[#This Row],[Tag do Cabo]],BD!A:AJ,11,0)</f>
        <v>PAINEL 1MV</v>
      </c>
      <c r="J16" s="3" t="str">
        <f>VLOOKUP(Tabela11[[#This Row],[Tag do Cabo]],BD!A:AJ,12,0)</f>
        <v>1MV-GAINE IV (COMANDO)</v>
      </c>
      <c r="K16" s="391" t="s">
        <v>196</v>
      </c>
      <c r="L16" s="391" t="s">
        <v>1538</v>
      </c>
      <c r="M16" s="3" t="str">
        <f>CONCATENATE(Tabela11[[#This Row],[Painel 1]]&amp;" "&amp;Tabela11[[#This Row],[Painel 2]])</f>
        <v>PAINEL 1MV GAINE IV</v>
      </c>
      <c r="N16" s="157">
        <v>12</v>
      </c>
      <c r="O16" s="391">
        <f>COUNTIF(Tabela12[Tag Cabo],Tabela11[[#This Row],[Tag do Cabo]])</f>
        <v>12</v>
      </c>
      <c r="P16" s="391" t="str">
        <f>IF(Tabela11[[#This Row],[Qtde Ligações]]&lt;&gt;Tabela11[[#This Row],[Qtde Anilhas]],"Ver","Ok")</f>
        <v>Ok</v>
      </c>
      <c r="Q16" s="391">
        <f>VLOOKUP(Tabela11[[#This Row],[Tag do Cabo]],BD!A:F,6,0)</f>
        <v>2.5</v>
      </c>
      <c r="R16" s="391">
        <f>SUMIF('Lançamento de Cabos'!AE:AE,Tabela11[[#This Row],[Tag do Cabo]],'Lançamento de Cabos'!AG:AG)</f>
        <v>0</v>
      </c>
      <c r="S16" s="28">
        <f>Tabela11[[#This Row],[Ligações Realizadas]]/Tabela11[[#This Row],[Qtde Ligações]]</f>
        <v>0</v>
      </c>
      <c r="T16" s="269">
        <f>IF(Tabela11[[#This Row],[Ligações Realizadas]]/Tabela11[[#This Row],[Qtde Ligações]]=0,0,IF(Tabela11[[#This Row],[Ligações Realizadas]]/Tabela11[[#This Row],[Qtde Ligações]]=1,ROUND(N16/2,0),"Ver Painel"))</f>
        <v>0</v>
      </c>
      <c r="U16" s="23">
        <f>IF(Tabela11[[#This Row],[Ligações Realizadas]]/Tabela11[[#This Row],[Qtde Ligações]]=0,0,IF(Tabela11[[#This Row],[Ligações Realizadas]]/Tabela11[[#This Row],[Qtde Ligações]]=1,ROUND(N16/2,0),"Ver Painel"))</f>
        <v>0</v>
      </c>
      <c r="V16" s="261"/>
    </row>
    <row r="17" spans="1:22" hidden="1" x14ac:dyDescent="0.25">
      <c r="A17" s="34" t="s">
        <v>273</v>
      </c>
      <c r="B17" s="391" t="str">
        <f>VLOOKUP(Tabela11[[#This Row],[Tag do Cabo]],BD!A:AJ,2,0)</f>
        <v>Controle</v>
      </c>
      <c r="C17" s="3" t="str">
        <f>VLOOKUP(Tabela11[[#This Row],[Tag do Cabo]],BD!A:AJ,5,0)</f>
        <v>1x8T#1,0</v>
      </c>
      <c r="D17" s="391" t="s">
        <v>1533</v>
      </c>
      <c r="E17" s="391" t="str">
        <f>VLOOKUP(Tabela11[[#This Row],[Tag do Cabo]],BD!A:T,20,0)</f>
        <v>BK-SP54-0900A-LC-74-00001_00000</v>
      </c>
      <c r="F17" s="222" t="str">
        <f>IF(VLOOKUP(Tabela11[[#This Row],[Tag do Cabo]],BD!A:AJ,35,0)=0,"Pendente",VLOOKUP(Tabela11[[#This Row],[Tag do Cabo]],BD!A:AJ,35,0))</f>
        <v>BK-SP54-0900B-DI-74-00452</v>
      </c>
      <c r="G17" s="3" t="str">
        <f>IF(VLOOKUP(Tabela11[[#This Row],[Tag do Cabo]],BD!A:AJ,36,0)=0,"Pendente",VLOOKUP(Tabela11[[#This Row],[Tag do Cabo]],BD!A:AJ,36,0))</f>
        <v>5</v>
      </c>
      <c r="H17" s="391" t="str">
        <f>VLOOKUP(Tabela11[[#This Row],[Tag do Cabo]],BD!A:AJ,32,0)</f>
        <v>1MVxGB-208A</v>
      </c>
      <c r="I17" s="7" t="str">
        <f>VLOOKUP(Tabela11[[#This Row],[Tag do Cabo]],BD!A:AJ,11,0)</f>
        <v>PAINEL 1MV</v>
      </c>
      <c r="J17" s="3" t="str">
        <f>VLOOKUP(Tabela11[[#This Row],[Tag do Cabo]],BD!A:AJ,12,0)</f>
        <v>MOTOR GBM-208A (RTD)</v>
      </c>
      <c r="K17" s="391" t="s">
        <v>196</v>
      </c>
      <c r="L17" s="391" t="s">
        <v>264</v>
      </c>
      <c r="M17" s="3" t="str">
        <f>CONCATENATE(Tabela11[[#This Row],[Painel 1]]&amp;" "&amp;Tabela11[[#This Row],[Painel 2]])</f>
        <v>PAINEL 1MV GB-208A</v>
      </c>
      <c r="N17" s="157">
        <v>48</v>
      </c>
      <c r="O17" s="391">
        <f>COUNTIF(Tabela12[Tag Cabo],Tabela11[[#This Row],[Tag do Cabo]])</f>
        <v>48</v>
      </c>
      <c r="P17" s="391" t="str">
        <f>IF(Tabela11[[#This Row],[Qtde Ligações]]&lt;&gt;Tabela11[[#This Row],[Qtde Anilhas]],"Ver","Ok")</f>
        <v>Ok</v>
      </c>
      <c r="Q17" s="391">
        <f>VLOOKUP(Tabela11[[#This Row],[Tag do Cabo]],BD!A:F,6,0)</f>
        <v>1</v>
      </c>
      <c r="R17" s="391">
        <f>SUMIF('Lançamento de Cabos'!AE:AE,Tabela11[[#This Row],[Tag do Cabo]],'Lançamento de Cabos'!AG:AG)</f>
        <v>0</v>
      </c>
      <c r="S17" s="28">
        <f>Tabela11[[#This Row],[Ligações Realizadas]]/Tabela11[[#This Row],[Qtde Ligações]]</f>
        <v>0</v>
      </c>
      <c r="T17" s="269">
        <f>IF(Tabela11[[#This Row],[Ligações Realizadas]]/Tabela11[[#This Row],[Qtde Ligações]]=0,0,IF(Tabela11[[#This Row],[Ligações Realizadas]]/Tabela11[[#This Row],[Qtde Ligações]]=1,ROUND(N17/2,0),"Ver Painel"))</f>
        <v>0</v>
      </c>
      <c r="U17" s="23">
        <f>IF(Tabela11[[#This Row],[Ligações Realizadas]]/Tabela11[[#This Row],[Qtde Ligações]]=0,0,IF(Tabela11[[#This Row],[Ligações Realizadas]]/Tabela11[[#This Row],[Qtde Ligações]]=1,ROUND(N17/2,0),"Ver Painel"))</f>
        <v>0</v>
      </c>
      <c r="V17" s="219"/>
    </row>
    <row r="18" spans="1:22" hidden="1" x14ac:dyDescent="0.25">
      <c r="A18" s="34" t="s">
        <v>276</v>
      </c>
      <c r="B18" s="391" t="str">
        <f>VLOOKUP(Tabela11[[#This Row],[Tag do Cabo]],BD!A:AJ,2,0)</f>
        <v>Controle</v>
      </c>
      <c r="C18" s="3" t="str">
        <f>VLOOKUP(Tabela11[[#This Row],[Tag do Cabo]],BD!A:AJ,5,0)</f>
        <v>1x9/C#2,5</v>
      </c>
      <c r="D18" s="391" t="s">
        <v>1533</v>
      </c>
      <c r="E18" s="391" t="str">
        <f>VLOOKUP(Tabela11[[#This Row],[Tag do Cabo]],BD!A:T,20,0)</f>
        <v>BK-SP54-0900A-LC-74-00001_00000</v>
      </c>
      <c r="F18" s="222" t="str">
        <f>IF(VLOOKUP(Tabela11[[#This Row],[Tag do Cabo]],BD!A:AJ,35,0)=0,"Pendente",VLOOKUP(Tabela11[[#This Row],[Tag do Cabo]],BD!A:AJ,35,0))</f>
        <v>BK-SP54-0900B-DI-74-00452</v>
      </c>
      <c r="G18" s="3" t="str">
        <f>IF(VLOOKUP(Tabela11[[#This Row],[Tag do Cabo]],BD!A:AJ,36,0)=0,"Pendente",VLOOKUP(Tabela11[[#This Row],[Tag do Cabo]],BD!A:AJ,36,0))</f>
        <v>5</v>
      </c>
      <c r="H18" s="391" t="str">
        <f>VLOOKUP(Tabela11[[#This Row],[Tag do Cabo]],BD!A:AJ,32,0)</f>
        <v>1MVxGB-208A</v>
      </c>
      <c r="I18" s="7" t="str">
        <f>VLOOKUP(Tabela11[[#This Row],[Tag do Cabo]],BD!A:AJ,11,0)</f>
        <v>1MV-GAINE IV</v>
      </c>
      <c r="J18" s="3" t="str">
        <f>VLOOKUP(Tabela11[[#This Row],[Tag do Cabo]],BD!A:AJ,12,0)</f>
        <v>MOTOR GBM-208A (BOTOEIRA)</v>
      </c>
      <c r="K18" s="391" t="s">
        <v>1538</v>
      </c>
      <c r="L18" s="391" t="s">
        <v>264</v>
      </c>
      <c r="M18" s="3" t="str">
        <f>CONCATENATE(Tabela11[[#This Row],[Painel 1]]&amp;" "&amp;Tabela11[[#This Row],[Painel 2]])</f>
        <v>GAINE IV GB-208A</v>
      </c>
      <c r="N18" s="157">
        <v>12</v>
      </c>
      <c r="O18" s="391">
        <f>COUNTIF(Tabela12[Tag Cabo],Tabela11[[#This Row],[Tag do Cabo]])</f>
        <v>12</v>
      </c>
      <c r="P18" s="391" t="str">
        <f>IF(Tabela11[[#This Row],[Qtde Ligações]]&lt;&gt;Tabela11[[#This Row],[Qtde Anilhas]],"Ver","Ok")</f>
        <v>Ok</v>
      </c>
      <c r="Q18" s="391">
        <f>VLOOKUP(Tabela11[[#This Row],[Tag do Cabo]],BD!A:F,6,0)</f>
        <v>2.5</v>
      </c>
      <c r="R18" s="391">
        <f>SUMIF('Lançamento de Cabos'!AE:AE,Tabela11[[#This Row],[Tag do Cabo]],'Lançamento de Cabos'!AG:AG)</f>
        <v>0</v>
      </c>
      <c r="S18" s="28">
        <f>Tabela11[[#This Row],[Ligações Realizadas]]/Tabela11[[#This Row],[Qtde Ligações]]</f>
        <v>0</v>
      </c>
      <c r="T18" s="269">
        <f>IF(Tabela11[[#This Row],[Ligações Realizadas]]/Tabela11[[#This Row],[Qtde Ligações]]=0,0,IF(Tabela11[[#This Row],[Ligações Realizadas]]/Tabela11[[#This Row],[Qtde Ligações]]=1,ROUND(N18/2,0),"Ver Painel"))</f>
        <v>0</v>
      </c>
      <c r="U18" s="23">
        <f>IF(Tabela11[[#This Row],[Ligações Realizadas]]/Tabela11[[#This Row],[Qtde Ligações]]=0,0,IF(Tabela11[[#This Row],[Ligações Realizadas]]/Tabela11[[#This Row],[Qtde Ligações]]=1,ROUND(N18/2,0),"Ver Painel"))</f>
        <v>0</v>
      </c>
      <c r="V18" s="261"/>
    </row>
    <row r="19" spans="1:22" hidden="1" x14ac:dyDescent="0.25">
      <c r="A19" s="34" t="s">
        <v>280</v>
      </c>
      <c r="B19" s="391" t="str">
        <f>VLOOKUP(Tabela11[[#This Row],[Tag do Cabo]],BD!A:AJ,2,0)</f>
        <v>Força</v>
      </c>
      <c r="C19" s="3" t="str">
        <f>VLOOKUP(Tabela11[[#This Row],[Tag do Cabo]],BD!A:AJ,5,0)</f>
        <v>1x2/C#10</v>
      </c>
      <c r="D19" s="391" t="s">
        <v>1533</v>
      </c>
      <c r="E19" s="391" t="str">
        <f>VLOOKUP(Tabela11[[#This Row],[Tag do Cabo]],BD!A:T,20,0)</f>
        <v>BK-SP54-0900A-LC-74-00001_00000</v>
      </c>
      <c r="F19" s="222" t="str">
        <f>IF(VLOOKUP(Tabela11[[#This Row],[Tag do Cabo]],BD!A:AJ,35,0)=0,"Pendente",VLOOKUP(Tabela11[[#This Row],[Tag do Cabo]],BD!A:AJ,35,0))</f>
        <v>BK-SP54-0900B-DI-74-00452</v>
      </c>
      <c r="G19" s="3" t="str">
        <f>IF(VLOOKUP(Tabela11[[#This Row],[Tag do Cabo]],BD!A:AJ,36,0)=0,"Pendente",VLOOKUP(Tabela11[[#This Row],[Tag do Cabo]],BD!A:AJ,36,0))</f>
        <v>4</v>
      </c>
      <c r="H19" s="391" t="str">
        <f>VLOOKUP(Tabela11[[#This Row],[Tag do Cabo]],BD!A:AJ,32,0)</f>
        <v>1MVxGB-967A</v>
      </c>
      <c r="I19" s="7" t="str">
        <f>VLOOKUP(Tabela11[[#This Row],[Tag do Cabo]],BD!A:AJ,11,0)</f>
        <v>PAINEL DE RESISTENCIA DE AQUECIMENTO</v>
      </c>
      <c r="J19" s="3" t="str">
        <f>VLOOKUP(Tabela11[[#This Row],[Tag do Cabo]],BD!A:AJ,12,0)</f>
        <v>MOTOR GBM-967A (AQUECIMENTO)</v>
      </c>
      <c r="K19" s="391" t="s">
        <v>1537</v>
      </c>
      <c r="L19" s="391" t="s">
        <v>1539</v>
      </c>
      <c r="M19" s="3" t="str">
        <f>CONCATENATE(Tabela11[[#This Row],[Painel 1]]&amp;" "&amp;Tabela11[[#This Row],[Painel 2]])</f>
        <v>RES. AQUEC. GB-967A</v>
      </c>
      <c r="N19" s="157">
        <v>4</v>
      </c>
      <c r="O19" s="391" t="s">
        <v>92</v>
      </c>
      <c r="P19" s="391" t="s">
        <v>107</v>
      </c>
      <c r="Q19" s="391">
        <f>VLOOKUP(Tabela11[[#This Row],[Tag do Cabo]],BD!A:F,6,0)</f>
        <v>10</v>
      </c>
      <c r="R19" s="391">
        <f>SUMIF('Lançamento de Cabos'!AE:AE,Tabela11[[#This Row],[Tag do Cabo]],'Lançamento de Cabos'!AG:AG)</f>
        <v>0</v>
      </c>
      <c r="S19" s="28">
        <f>Tabela11[[#This Row],[Ligações Realizadas]]/Tabela11[[#This Row],[Qtde Ligações]]</f>
        <v>0</v>
      </c>
      <c r="T19" s="269">
        <f>IF(Tabela11[[#This Row],[Ligações Realizadas]]/Tabela11[[#This Row],[Qtde Ligações]]=0,0,IF(Tabela11[[#This Row],[Ligações Realizadas]]/Tabela11[[#This Row],[Qtde Ligações]]=1,ROUND(N19/2,0),"Ver Painel"))</f>
        <v>0</v>
      </c>
      <c r="U19" s="23">
        <f>IF(Tabela11[[#This Row],[Ligações Realizadas]]/Tabela11[[#This Row],[Qtde Ligações]]=0,0,IF(Tabela11[[#This Row],[Ligações Realizadas]]/Tabela11[[#This Row],[Qtde Ligações]]=1,ROUND(N19/2,0),"Ver Painel"))</f>
        <v>0</v>
      </c>
      <c r="V19" s="261"/>
    </row>
    <row r="20" spans="1:22" hidden="1" x14ac:dyDescent="0.25">
      <c r="A20" s="34" t="s">
        <v>210</v>
      </c>
      <c r="B20" s="391" t="str">
        <f>VLOOKUP(Tabela11[[#This Row],[Tag do Cabo]],BD!A:AJ,2,0)</f>
        <v>Controle</v>
      </c>
      <c r="C20" s="3" t="str">
        <f>VLOOKUP(Tabela11[[#This Row],[Tag do Cabo]],BD!A:AJ,5,0)</f>
        <v>1x9/C#2,5</v>
      </c>
      <c r="D20" s="391" t="s">
        <v>1533</v>
      </c>
      <c r="E20" s="391" t="str">
        <f>VLOOKUP(Tabela11[[#This Row],[Tag do Cabo]],BD!A:T,20,0)</f>
        <v>BK-SP54-0900A-LC-74-00001_00000</v>
      </c>
      <c r="F20" s="222" t="str">
        <f>IF(VLOOKUP(Tabela11[[#This Row],[Tag do Cabo]],BD!A:AJ,35,0)=0,"Pendente",VLOOKUP(Tabela11[[#This Row],[Tag do Cabo]],BD!A:AJ,35,0))</f>
        <v>BK-SP54-0900B-DI-74-00452</v>
      </c>
      <c r="G20" s="3" t="str">
        <f>IF(VLOOKUP(Tabela11[[#This Row],[Tag do Cabo]],BD!A:AJ,36,0)=0,"Pendente",VLOOKUP(Tabela11[[#This Row],[Tag do Cabo]],BD!A:AJ,36,0))</f>
        <v>4</v>
      </c>
      <c r="H20" s="391" t="str">
        <f>VLOOKUP(Tabela11[[#This Row],[Tag do Cabo]],BD!A:AJ,32,0)</f>
        <v>1MV</v>
      </c>
      <c r="I20" s="7" t="str">
        <f>VLOOKUP(Tabela11[[#This Row],[Tag do Cabo]],BD!A:AJ,11,0)</f>
        <v>PAINEL 1MV</v>
      </c>
      <c r="J20" s="3" t="str">
        <f>VLOOKUP(Tabela11[[#This Row],[Tag do Cabo]],BD!A:AJ,12,0)</f>
        <v>1MV-GAINE IV (COMANDO)</v>
      </c>
      <c r="K20" s="391" t="s">
        <v>196</v>
      </c>
      <c r="L20" s="391" t="s">
        <v>1538</v>
      </c>
      <c r="M20" s="3" t="str">
        <f>CONCATENATE(Tabela11[[#This Row],[Painel 1]]&amp;" "&amp;Tabela11[[#This Row],[Painel 2]])</f>
        <v>PAINEL 1MV GAINE IV</v>
      </c>
      <c r="N20" s="157">
        <v>8</v>
      </c>
      <c r="O20" s="391">
        <f>COUNTIF(Tabela12[Tag Cabo],Tabela11[[#This Row],[Tag do Cabo]])</f>
        <v>8</v>
      </c>
      <c r="P20" s="391" t="str">
        <f>IF(Tabela11[[#This Row],[Qtde Ligações]]&lt;&gt;Tabela11[[#This Row],[Qtde Anilhas]],"Ver","Ok")</f>
        <v>Ok</v>
      </c>
      <c r="Q20" s="391">
        <f>VLOOKUP(Tabela11[[#This Row],[Tag do Cabo]],BD!A:F,6,0)</f>
        <v>2.5</v>
      </c>
      <c r="R20" s="391">
        <f>SUMIF('Lançamento de Cabos'!AE:AE,Tabela11[[#This Row],[Tag do Cabo]],'Lançamento de Cabos'!AG:AG)</f>
        <v>0</v>
      </c>
      <c r="S20" s="28">
        <f>Tabela11[[#This Row],[Ligações Realizadas]]/Tabela11[[#This Row],[Qtde Ligações]]</f>
        <v>0</v>
      </c>
      <c r="T20" s="269">
        <f>IF(Tabela11[[#This Row],[Ligações Realizadas]]/Tabela11[[#This Row],[Qtde Ligações]]=0,0,IF(Tabela11[[#This Row],[Ligações Realizadas]]/Tabela11[[#This Row],[Qtde Ligações]]=1,ROUND(N20/2,0),"Ver Painel"))</f>
        <v>0</v>
      </c>
      <c r="U20" s="23">
        <f>IF(Tabela11[[#This Row],[Ligações Realizadas]]/Tabela11[[#This Row],[Qtde Ligações]]=0,0,IF(Tabela11[[#This Row],[Ligações Realizadas]]/Tabela11[[#This Row],[Qtde Ligações]]=1,ROUND(N20/2,0),"Ver Painel"))</f>
        <v>0</v>
      </c>
      <c r="V20" s="261"/>
    </row>
    <row r="21" spans="1:22" hidden="1" x14ac:dyDescent="0.25">
      <c r="A21" s="34" t="s">
        <v>286</v>
      </c>
      <c r="B21" s="391" t="str">
        <f>VLOOKUP(Tabela11[[#This Row],[Tag do Cabo]],BD!A:AJ,2,0)</f>
        <v>Força</v>
      </c>
      <c r="C21" s="3" t="str">
        <f>VLOOKUP(Tabela11[[#This Row],[Tag do Cabo]],BD!A:AJ,5,0)</f>
        <v>3x1x1/C#120</v>
      </c>
      <c r="D21" s="391" t="s">
        <v>1533</v>
      </c>
      <c r="E21" s="391" t="str">
        <f>VLOOKUP(Tabela11[[#This Row],[Tag do Cabo]],BD!A:T,20,0)</f>
        <v>BK-SP54-0900A-LC-74-00001_00000</v>
      </c>
      <c r="F21" s="222" t="str">
        <f>IF(VLOOKUP(Tabela11[[#This Row],[Tag do Cabo]],BD!A:AJ,35,0)=0,"Pendente",VLOOKUP(Tabela11[[#This Row],[Tag do Cabo]],BD!A:AJ,35,0))</f>
        <v>BK-SP54-0900B-DI-74-00452</v>
      </c>
      <c r="G21" s="3" t="str">
        <f>IF(VLOOKUP(Tabela11[[#This Row],[Tag do Cabo]],BD!A:AJ,36,0)=0,"Pendente",VLOOKUP(Tabela11[[#This Row],[Tag do Cabo]],BD!A:AJ,36,0))</f>
        <v>4</v>
      </c>
      <c r="H21" s="391" t="str">
        <f>VLOOKUP(Tabela11[[#This Row],[Tag do Cabo]],BD!A:AJ,32,0)</f>
        <v>1MVxGB-967A</v>
      </c>
      <c r="I21" s="7" t="str">
        <f>VLOOKUP(Tabela11[[#This Row],[Tag do Cabo]],BD!A:AJ,11,0)</f>
        <v>PAINEL 1MV</v>
      </c>
      <c r="J21" s="3" t="str">
        <f>VLOOKUP(Tabela11[[#This Row],[Tag do Cabo]],BD!A:AJ,12,0)</f>
        <v>MOTOR GBM-967A</v>
      </c>
      <c r="K21" s="391" t="s">
        <v>196</v>
      </c>
      <c r="L21" s="391" t="s">
        <v>1539</v>
      </c>
      <c r="M21" s="3" t="str">
        <f>CONCATENATE(Tabela11[[#This Row],[Painel 1]]&amp;" "&amp;Tabela11[[#This Row],[Painel 2]])</f>
        <v>PAINEL 1MV GB-967A</v>
      </c>
      <c r="N21" s="157">
        <v>6</v>
      </c>
      <c r="O21" s="391" t="s">
        <v>92</v>
      </c>
      <c r="P21" s="391" t="s">
        <v>1536</v>
      </c>
      <c r="Q21" s="391">
        <f>VLOOKUP(Tabela11[[#This Row],[Tag do Cabo]],BD!A:F,6,0)</f>
        <v>120</v>
      </c>
      <c r="R21" s="391">
        <f>SUMIF('Lançamento de Cabos'!AE:AE,Tabela11[[#This Row],[Tag do Cabo]],'Lançamento de Cabos'!AG:AG)</f>
        <v>0</v>
      </c>
      <c r="S21" s="28">
        <f>Tabela11[[#This Row],[Ligações Realizadas]]/Tabela11[[#This Row],[Qtde Ligações]]</f>
        <v>0</v>
      </c>
      <c r="T21" s="269">
        <f>IF(Tabela11[[#This Row],[Ligações Realizadas]]/Tabela11[[#This Row],[Qtde Ligações]]=0,0,IF(Tabela11[[#This Row],[Ligações Realizadas]]/Tabela11[[#This Row],[Qtde Ligações]]=1,ROUND(N21/2,0),"Ver Painel"))</f>
        <v>0</v>
      </c>
      <c r="U21" s="23">
        <f>IF(Tabela11[[#This Row],[Ligações Realizadas]]/Tabela11[[#This Row],[Qtde Ligações]]=0,0,IF(Tabela11[[#This Row],[Ligações Realizadas]]/Tabela11[[#This Row],[Qtde Ligações]]=1,ROUND(N21/2,0),"Ver Painel"))</f>
        <v>0</v>
      </c>
      <c r="V21" s="261"/>
    </row>
    <row r="22" spans="1:22" hidden="1" x14ac:dyDescent="0.25">
      <c r="A22" s="34" t="s">
        <v>288</v>
      </c>
      <c r="B22" s="391" t="str">
        <f>VLOOKUP(Tabela11[[#This Row],[Tag do Cabo]],BD!A:AJ,2,0)</f>
        <v>Controle</v>
      </c>
      <c r="C22" s="3" t="str">
        <f>VLOOKUP(Tabela11[[#This Row],[Tag do Cabo]],BD!A:AJ,5,0)</f>
        <v>1x8T#1,0</v>
      </c>
      <c r="D22" s="391" t="s">
        <v>1533</v>
      </c>
      <c r="E22" s="391" t="str">
        <f>VLOOKUP(Tabela11[[#This Row],[Tag do Cabo]],BD!A:T,20,0)</f>
        <v>BK-SP54-0900A-LC-74-00001_00000</v>
      </c>
      <c r="F22" s="222" t="str">
        <f>IF(VLOOKUP(Tabela11[[#This Row],[Tag do Cabo]],BD!A:AJ,35,0)=0,"Pendente",VLOOKUP(Tabela11[[#This Row],[Tag do Cabo]],BD!A:AJ,35,0))</f>
        <v>BK-SP54-0900B-DI-74-00452</v>
      </c>
      <c r="G22" s="3" t="str">
        <f>IF(VLOOKUP(Tabela11[[#This Row],[Tag do Cabo]],BD!A:AJ,36,0)=0,"Pendente",VLOOKUP(Tabela11[[#This Row],[Tag do Cabo]],BD!A:AJ,36,0))</f>
        <v>4</v>
      </c>
      <c r="H22" s="391" t="str">
        <f>VLOOKUP(Tabela11[[#This Row],[Tag do Cabo]],BD!A:AJ,32,0)</f>
        <v>1MVxGB-967A</v>
      </c>
      <c r="I22" s="7" t="str">
        <f>VLOOKUP(Tabela11[[#This Row],[Tag do Cabo]],BD!A:AJ,11,0)</f>
        <v>PAINEL 1MV</v>
      </c>
      <c r="J22" s="3" t="str">
        <f>VLOOKUP(Tabela11[[#This Row],[Tag do Cabo]],BD!A:AJ,12,0)</f>
        <v>MOTOR GBM-967A (RTD)</v>
      </c>
      <c r="K22" s="391" t="s">
        <v>196</v>
      </c>
      <c r="L22" s="391" t="s">
        <v>1539</v>
      </c>
      <c r="M22" s="3" t="str">
        <f>CONCATENATE(Tabela11[[#This Row],[Painel 1]]&amp;" "&amp;Tabela11[[#This Row],[Painel 2]])</f>
        <v>PAINEL 1MV GB-967A</v>
      </c>
      <c r="N22" s="157">
        <v>48</v>
      </c>
      <c r="O22" s="391">
        <f>COUNTIF(Tabela12[Tag Cabo],Tabela11[[#This Row],[Tag do Cabo]])</f>
        <v>48</v>
      </c>
      <c r="P22" s="391" t="str">
        <f>IF(Tabela11[[#This Row],[Qtde Ligações]]&lt;&gt;Tabela11[[#This Row],[Qtde Anilhas]],"Ver","Ok")</f>
        <v>Ok</v>
      </c>
      <c r="Q22" s="391">
        <f>VLOOKUP(Tabela11[[#This Row],[Tag do Cabo]],BD!A:F,6,0)</f>
        <v>1</v>
      </c>
      <c r="R22" s="391">
        <f>SUMIF('Lançamento de Cabos'!AE:AE,Tabela11[[#This Row],[Tag do Cabo]],'Lançamento de Cabos'!AG:AG)</f>
        <v>0</v>
      </c>
      <c r="S22" s="28">
        <f>Tabela11[[#This Row],[Ligações Realizadas]]/Tabela11[[#This Row],[Qtde Ligações]]</f>
        <v>0</v>
      </c>
      <c r="T22" s="269">
        <f>IF(Tabela11[[#This Row],[Ligações Realizadas]]/Tabela11[[#This Row],[Qtde Ligações]]=0,0,IF(Tabela11[[#This Row],[Ligações Realizadas]]/Tabela11[[#This Row],[Qtde Ligações]]=1,ROUND(N22/2,0),"Ver Painel"))</f>
        <v>0</v>
      </c>
      <c r="U22" s="23">
        <f>IF(Tabela11[[#This Row],[Ligações Realizadas]]/Tabela11[[#This Row],[Qtde Ligações]]=0,0,IF(Tabela11[[#This Row],[Ligações Realizadas]]/Tabela11[[#This Row],[Qtde Ligações]]=1,ROUND(N22/2,0),"Ver Painel"))</f>
        <v>0</v>
      </c>
      <c r="V22" s="219"/>
    </row>
    <row r="23" spans="1:22" hidden="1" x14ac:dyDescent="0.25">
      <c r="A23" s="34" t="s">
        <v>290</v>
      </c>
      <c r="B23" s="391" t="str">
        <f>VLOOKUP(Tabela11[[#This Row],[Tag do Cabo]],BD!A:AJ,2,0)</f>
        <v>Controle</v>
      </c>
      <c r="C23" s="3" t="str">
        <f>VLOOKUP(Tabela11[[#This Row],[Tag do Cabo]],BD!A:AJ,5,0)</f>
        <v>1x9/C#2,5</v>
      </c>
      <c r="D23" s="391" t="s">
        <v>1533</v>
      </c>
      <c r="E23" s="391" t="str">
        <f>VLOOKUP(Tabela11[[#This Row],[Tag do Cabo]],BD!A:T,20,0)</f>
        <v>BK-SP54-0900A-LC-74-00001_00000</v>
      </c>
      <c r="F23" s="222" t="str">
        <f>IF(VLOOKUP(Tabela11[[#This Row],[Tag do Cabo]],BD!A:AJ,35,0)=0,"Pendente",VLOOKUP(Tabela11[[#This Row],[Tag do Cabo]],BD!A:AJ,35,0))</f>
        <v>BK-SP54-0900B-DI-74-00452</v>
      </c>
      <c r="G23" s="3" t="str">
        <f>IF(VLOOKUP(Tabela11[[#This Row],[Tag do Cabo]],BD!A:AJ,36,0)=0,"Pendente",VLOOKUP(Tabela11[[#This Row],[Tag do Cabo]],BD!A:AJ,36,0))</f>
        <v>4</v>
      </c>
      <c r="H23" s="391" t="str">
        <f>VLOOKUP(Tabela11[[#This Row],[Tag do Cabo]],BD!A:AJ,32,0)</f>
        <v>1MVxGB-967A</v>
      </c>
      <c r="I23" s="7" t="str">
        <f>VLOOKUP(Tabela11[[#This Row],[Tag do Cabo]],BD!A:AJ,11,0)</f>
        <v>1MV-GAINE IV</v>
      </c>
      <c r="J23" s="3" t="str">
        <f>VLOOKUP(Tabela11[[#This Row],[Tag do Cabo]],BD!A:AJ,12,0)</f>
        <v>MOTOR GBM-967A (BOTOEIRA)</v>
      </c>
      <c r="K23" s="391" t="s">
        <v>1538</v>
      </c>
      <c r="L23" s="391" t="s">
        <v>1539</v>
      </c>
      <c r="M23" s="3" t="str">
        <f>CONCATENATE(Tabela11[[#This Row],[Painel 1]]&amp;" "&amp;Tabela11[[#This Row],[Painel 2]])</f>
        <v>GAINE IV GB-967A</v>
      </c>
      <c r="N23" s="157">
        <v>8</v>
      </c>
      <c r="O23" s="391">
        <f>COUNTIF(Tabela12[Tag Cabo],Tabela11[[#This Row],[Tag do Cabo]])</f>
        <v>8</v>
      </c>
      <c r="P23" s="391" t="str">
        <f>IF(Tabela11[[#This Row],[Qtde Ligações]]&lt;&gt;Tabela11[[#This Row],[Qtde Anilhas]],"Ver","Ok")</f>
        <v>Ok</v>
      </c>
      <c r="Q23" s="391">
        <f>VLOOKUP(Tabela11[[#This Row],[Tag do Cabo]],BD!A:F,6,0)</f>
        <v>2.5</v>
      </c>
      <c r="R23" s="391">
        <f>SUMIF('Lançamento de Cabos'!AE:AE,Tabela11[[#This Row],[Tag do Cabo]],'Lançamento de Cabos'!AG:AG)</f>
        <v>0</v>
      </c>
      <c r="S23" s="28">
        <f>Tabela11[[#This Row],[Ligações Realizadas]]/Tabela11[[#This Row],[Qtde Ligações]]</f>
        <v>0</v>
      </c>
      <c r="T23" s="269">
        <f>IF(Tabela11[[#This Row],[Ligações Realizadas]]/Tabela11[[#This Row],[Qtde Ligações]]=0,0,IF(Tabela11[[#This Row],[Ligações Realizadas]]/Tabela11[[#This Row],[Qtde Ligações]]=1,ROUND(N23/2,0),"Ver Painel"))</f>
        <v>0</v>
      </c>
      <c r="U23" s="23">
        <f>IF(Tabela11[[#This Row],[Ligações Realizadas]]/Tabela11[[#This Row],[Qtde Ligações]]=0,0,IF(Tabela11[[#This Row],[Ligações Realizadas]]/Tabela11[[#This Row],[Qtde Ligações]]=1,ROUND(N23/2,0),"Ver Painel"))</f>
        <v>0</v>
      </c>
      <c r="V23" s="261"/>
    </row>
    <row r="24" spans="1:22" hidden="1" x14ac:dyDescent="0.25">
      <c r="A24" s="34" t="s">
        <v>292</v>
      </c>
      <c r="B24" s="391" t="str">
        <f>VLOOKUP(Tabela11[[#This Row],[Tag do Cabo]],BD!A:AJ,2,0)</f>
        <v>Força</v>
      </c>
      <c r="C24" s="3" t="str">
        <f>VLOOKUP(Tabela11[[#This Row],[Tag do Cabo]],BD!A:AJ,5,0)</f>
        <v>1x2/C#10</v>
      </c>
      <c r="D24" s="391" t="s">
        <v>1533</v>
      </c>
      <c r="E24" s="391" t="str">
        <f>VLOOKUP(Tabela11[[#This Row],[Tag do Cabo]],BD!A:T,20,0)</f>
        <v>BK-SP54-0900A-LC-74-00001_00000</v>
      </c>
      <c r="F24" s="222" t="str">
        <f>IF(VLOOKUP(Tabela11[[#This Row],[Tag do Cabo]],BD!A:AJ,35,0)=0,"Pendente",VLOOKUP(Tabela11[[#This Row],[Tag do Cabo]],BD!A:AJ,35,0))</f>
        <v>BK-SP54-0900B-DI-74-00452</v>
      </c>
      <c r="G24" s="3" t="str">
        <f>IF(VLOOKUP(Tabela11[[#This Row],[Tag do Cabo]],BD!A:AJ,36,0)=0,"Pendente",VLOOKUP(Tabela11[[#This Row],[Tag do Cabo]],BD!A:AJ,36,0))</f>
        <v>1</v>
      </c>
      <c r="H24" s="391" t="str">
        <f>VLOOKUP(Tabela11[[#This Row],[Tag do Cabo]],BD!A:AJ,32,0)</f>
        <v>1MVxGB-967B</v>
      </c>
      <c r="I24" s="7" t="str">
        <f>VLOOKUP(Tabela11[[#This Row],[Tag do Cabo]],BD!A:AJ,11,0)</f>
        <v>PAINEL DE RESISTENCIA DE AQUECIMENTO</v>
      </c>
      <c r="J24" s="3" t="str">
        <f>VLOOKUP(Tabela11[[#This Row],[Tag do Cabo]],BD!A:AJ,12,0)</f>
        <v>MOTOR GBM-967B (AQUECIMENTO)</v>
      </c>
      <c r="K24" s="391" t="s">
        <v>1537</v>
      </c>
      <c r="L24" s="391" t="s">
        <v>1540</v>
      </c>
      <c r="M24" s="3" t="str">
        <f>CONCATENATE(Tabela11[[#This Row],[Painel 1]]&amp;" "&amp;Tabela11[[#This Row],[Painel 2]])</f>
        <v>RES. AQUEC. GB-967B</v>
      </c>
      <c r="N24" s="157">
        <v>4</v>
      </c>
      <c r="O24" s="391" t="s">
        <v>92</v>
      </c>
      <c r="P24" s="391" t="s">
        <v>107</v>
      </c>
      <c r="Q24" s="391">
        <f>VLOOKUP(Tabela11[[#This Row],[Tag do Cabo]],BD!A:F,6,0)</f>
        <v>10</v>
      </c>
      <c r="R24" s="391">
        <f>SUMIF('Lançamento de Cabos'!AE:AE,Tabela11[[#This Row],[Tag do Cabo]],'Lançamento de Cabos'!AG:AG)</f>
        <v>0</v>
      </c>
      <c r="S24" s="28">
        <f>Tabela11[[#This Row],[Ligações Realizadas]]/Tabela11[[#This Row],[Qtde Ligações]]</f>
        <v>0</v>
      </c>
      <c r="T24" s="269">
        <f>IF(Tabela11[[#This Row],[Ligações Realizadas]]/Tabela11[[#This Row],[Qtde Ligações]]=0,0,IF(Tabela11[[#This Row],[Ligações Realizadas]]/Tabela11[[#This Row],[Qtde Ligações]]=1,ROUND(N24/2,0),"Ver Painel"))</f>
        <v>0</v>
      </c>
      <c r="U24" s="23">
        <f>IF(Tabela11[[#This Row],[Ligações Realizadas]]/Tabela11[[#This Row],[Qtde Ligações]]=0,0,IF(Tabela11[[#This Row],[Ligações Realizadas]]/Tabela11[[#This Row],[Qtde Ligações]]=1,ROUND(N24/2,0),"Ver Painel"))</f>
        <v>0</v>
      </c>
      <c r="V24" s="261"/>
    </row>
    <row r="25" spans="1:22" hidden="1" x14ac:dyDescent="0.25">
      <c r="A25" s="34" t="s">
        <v>203</v>
      </c>
      <c r="B25" s="391" t="str">
        <f>VLOOKUP(Tabela11[[#This Row],[Tag do Cabo]],BD!A:AJ,2,0)</f>
        <v>Controle</v>
      </c>
      <c r="C25" s="3" t="str">
        <f>VLOOKUP(Tabela11[[#This Row],[Tag do Cabo]],BD!A:AJ,5,0)</f>
        <v>1x9/C#2,5</v>
      </c>
      <c r="D25" s="391" t="s">
        <v>1533</v>
      </c>
      <c r="E25" s="391" t="str">
        <f>VLOOKUP(Tabela11[[#This Row],[Tag do Cabo]],BD!A:T,20,0)</f>
        <v>BK-SP54-0900A-LC-74-00001_00000</v>
      </c>
      <c r="F25" s="222" t="str">
        <f>IF(VLOOKUP(Tabela11[[#This Row],[Tag do Cabo]],BD!A:AJ,35,0)=0,"Pendente",VLOOKUP(Tabela11[[#This Row],[Tag do Cabo]],BD!A:AJ,35,0))</f>
        <v>BK-SP54-0900B-DI-74-00452</v>
      </c>
      <c r="G25" s="3" t="str">
        <f>IF(VLOOKUP(Tabela11[[#This Row],[Tag do Cabo]],BD!A:AJ,36,0)=0,"Pendente",VLOOKUP(Tabela11[[#This Row],[Tag do Cabo]],BD!A:AJ,36,0))</f>
        <v>1</v>
      </c>
      <c r="H25" s="391" t="str">
        <f>VLOOKUP(Tabela11[[#This Row],[Tag do Cabo]],BD!A:AJ,32,0)</f>
        <v>1MV</v>
      </c>
      <c r="I25" s="7" t="str">
        <f>VLOOKUP(Tabela11[[#This Row],[Tag do Cabo]],BD!A:AJ,11,0)</f>
        <v>PAINEL 1MV</v>
      </c>
      <c r="J25" s="3" t="str">
        <f>VLOOKUP(Tabela11[[#This Row],[Tag do Cabo]],BD!A:AJ,12,0)</f>
        <v>1MV-GAINE IV (COMANDO)</v>
      </c>
      <c r="K25" s="391" t="s">
        <v>196</v>
      </c>
      <c r="L25" s="391" t="s">
        <v>1538</v>
      </c>
      <c r="M25" s="3" t="str">
        <f>CONCATENATE(Tabela11[[#This Row],[Painel 1]]&amp;" "&amp;Tabela11[[#This Row],[Painel 2]])</f>
        <v>PAINEL 1MV GAINE IV</v>
      </c>
      <c r="N25" s="157">
        <v>8</v>
      </c>
      <c r="O25" s="391">
        <f>COUNTIF(Tabela12[Tag Cabo],Tabela11[[#This Row],[Tag do Cabo]])</f>
        <v>8</v>
      </c>
      <c r="P25" s="391" t="str">
        <f>IF(Tabela11[[#This Row],[Qtde Ligações]]&lt;&gt;Tabela11[[#This Row],[Qtde Anilhas]],"Ver","Ok")</f>
        <v>Ok</v>
      </c>
      <c r="Q25" s="391">
        <f>VLOOKUP(Tabela11[[#This Row],[Tag do Cabo]],BD!A:F,6,0)</f>
        <v>2.5</v>
      </c>
      <c r="R25" s="391">
        <f>SUMIF('Lançamento de Cabos'!AE:AE,Tabela11[[#This Row],[Tag do Cabo]],'Lançamento de Cabos'!AG:AG)</f>
        <v>0</v>
      </c>
      <c r="S25" s="28">
        <f>Tabela11[[#This Row],[Ligações Realizadas]]/Tabela11[[#This Row],[Qtde Ligações]]</f>
        <v>0</v>
      </c>
      <c r="T25" s="269">
        <f>IF(Tabela11[[#This Row],[Ligações Realizadas]]/Tabela11[[#This Row],[Qtde Ligações]]=0,0,IF(Tabela11[[#This Row],[Ligações Realizadas]]/Tabela11[[#This Row],[Qtde Ligações]]=1,ROUND(N25/2,0),"Ver Painel"))</f>
        <v>0</v>
      </c>
      <c r="U25" s="23">
        <f>IF(Tabela11[[#This Row],[Ligações Realizadas]]/Tabela11[[#This Row],[Qtde Ligações]]=0,0,IF(Tabela11[[#This Row],[Ligações Realizadas]]/Tabela11[[#This Row],[Qtde Ligações]]=1,ROUND(N25/2,0),"Ver Painel"))</f>
        <v>0</v>
      </c>
      <c r="V25" s="261"/>
    </row>
    <row r="26" spans="1:22" hidden="1" x14ac:dyDescent="0.25">
      <c r="A26" s="34" t="s">
        <v>295</v>
      </c>
      <c r="B26" s="391" t="str">
        <f>VLOOKUP(Tabela11[[#This Row],[Tag do Cabo]],BD!A:AJ,2,0)</f>
        <v>Força</v>
      </c>
      <c r="C26" s="3" t="str">
        <f>VLOOKUP(Tabela11[[#This Row],[Tag do Cabo]],BD!A:AJ,5,0)</f>
        <v>3x1x1/C#120</v>
      </c>
      <c r="D26" s="391" t="s">
        <v>1533</v>
      </c>
      <c r="E26" s="391" t="str">
        <f>VLOOKUP(Tabela11[[#This Row],[Tag do Cabo]],BD!A:T,20,0)</f>
        <v>BK-SP54-0900A-LC-74-00001_00000</v>
      </c>
      <c r="F26" s="222" t="str">
        <f>IF(VLOOKUP(Tabela11[[#This Row],[Tag do Cabo]],BD!A:AJ,35,0)=0,"Pendente",VLOOKUP(Tabela11[[#This Row],[Tag do Cabo]],BD!A:AJ,35,0))</f>
        <v>BK-SP54-0900B-DI-74-00452</v>
      </c>
      <c r="G26" s="3" t="str">
        <f>IF(VLOOKUP(Tabela11[[#This Row],[Tag do Cabo]],BD!A:AJ,36,0)=0,"Pendente",VLOOKUP(Tabela11[[#This Row],[Tag do Cabo]],BD!A:AJ,36,0))</f>
        <v>1</v>
      </c>
      <c r="H26" s="391" t="str">
        <f>VLOOKUP(Tabela11[[#This Row],[Tag do Cabo]],BD!A:AJ,32,0)</f>
        <v>1MVxGB-967B</v>
      </c>
      <c r="I26" s="7" t="str">
        <f>VLOOKUP(Tabela11[[#This Row],[Tag do Cabo]],BD!A:AJ,11,0)</f>
        <v>PAINEL 1MV</v>
      </c>
      <c r="J26" s="3" t="str">
        <f>VLOOKUP(Tabela11[[#This Row],[Tag do Cabo]],BD!A:AJ,12,0)</f>
        <v>MOTOR GBM-967B</v>
      </c>
      <c r="K26" s="391" t="s">
        <v>196</v>
      </c>
      <c r="L26" s="391" t="s">
        <v>1539</v>
      </c>
      <c r="M26" s="3" t="str">
        <f>CONCATENATE(Tabela11[[#This Row],[Painel 1]]&amp;" "&amp;Tabela11[[#This Row],[Painel 2]])</f>
        <v>PAINEL 1MV GB-967A</v>
      </c>
      <c r="N26" s="157">
        <v>6</v>
      </c>
      <c r="O26" s="391" t="s">
        <v>92</v>
      </c>
      <c r="P26" s="391" t="s">
        <v>1536</v>
      </c>
      <c r="Q26" s="391">
        <f>VLOOKUP(Tabela11[[#This Row],[Tag do Cabo]],BD!A:F,6,0)</f>
        <v>120</v>
      </c>
      <c r="R26" s="391">
        <f>SUMIF('Lançamento de Cabos'!AE:AE,Tabela11[[#This Row],[Tag do Cabo]],'Lançamento de Cabos'!AG:AG)</f>
        <v>0</v>
      </c>
      <c r="S26" s="28">
        <f>Tabela11[[#This Row],[Ligações Realizadas]]/Tabela11[[#This Row],[Qtde Ligações]]</f>
        <v>0</v>
      </c>
      <c r="T26" s="269">
        <f>IF(Tabela11[[#This Row],[Ligações Realizadas]]/Tabela11[[#This Row],[Qtde Ligações]]=0,0,IF(Tabela11[[#This Row],[Ligações Realizadas]]/Tabela11[[#This Row],[Qtde Ligações]]=1,ROUND(N26/2,0),"Ver Painel"))</f>
        <v>0</v>
      </c>
      <c r="U26" s="23">
        <f>IF(Tabela11[[#This Row],[Ligações Realizadas]]/Tabela11[[#This Row],[Qtde Ligações]]=0,0,IF(Tabela11[[#This Row],[Ligações Realizadas]]/Tabela11[[#This Row],[Qtde Ligações]]=1,ROUND(N26/2,0),"Ver Painel"))</f>
        <v>0</v>
      </c>
      <c r="V26" s="261"/>
    </row>
    <row r="27" spans="1:22" hidden="1" x14ac:dyDescent="0.25">
      <c r="A27" s="168" t="s">
        <v>297</v>
      </c>
      <c r="B27" s="391" t="str">
        <f>VLOOKUP(Tabela11[[#This Row],[Tag do Cabo]],BD!A:AJ,2,0)</f>
        <v>Controle</v>
      </c>
      <c r="C27" s="3" t="str">
        <f>VLOOKUP(Tabela11[[#This Row],[Tag do Cabo]],BD!A:AJ,5,0)</f>
        <v>1x8T#1,0</v>
      </c>
      <c r="D27" s="391" t="s">
        <v>1533</v>
      </c>
      <c r="E27" s="391" t="str">
        <f>VLOOKUP(Tabela11[[#This Row],[Tag do Cabo]],BD!A:T,20,0)</f>
        <v>BK-SP54-0900A-LC-74-00001_00000</v>
      </c>
      <c r="F27" s="222" t="str">
        <f>IF(VLOOKUP(Tabela11[[#This Row],[Tag do Cabo]],BD!A:AJ,35,0)=0,"Pendente",VLOOKUP(Tabela11[[#This Row],[Tag do Cabo]],BD!A:AJ,35,0))</f>
        <v>BK-SP54-0900B-DI-74-00452</v>
      </c>
      <c r="G27" s="3" t="str">
        <f>IF(VLOOKUP(Tabela11[[#This Row],[Tag do Cabo]],BD!A:AJ,36,0)=0,"Pendente",VLOOKUP(Tabela11[[#This Row],[Tag do Cabo]],BD!A:AJ,36,0))</f>
        <v>1</v>
      </c>
      <c r="H27" s="391" t="str">
        <f>VLOOKUP(Tabela11[[#This Row],[Tag do Cabo]],BD!A:AJ,32,0)</f>
        <v>1MVxGB-967B</v>
      </c>
      <c r="I27" s="7" t="str">
        <f>VLOOKUP(Tabela11[[#This Row],[Tag do Cabo]],BD!A:AJ,11,0)</f>
        <v>PAINEL 1MV</v>
      </c>
      <c r="J27" s="3" t="str">
        <f>VLOOKUP(Tabela11[[#This Row],[Tag do Cabo]],BD!A:AJ,12,0)</f>
        <v>MOTOR GBM-967B (RTD)</v>
      </c>
      <c r="K27" s="391" t="s">
        <v>196</v>
      </c>
      <c r="L27" s="391" t="s">
        <v>1540</v>
      </c>
      <c r="M27" s="3" t="str">
        <f>CONCATENATE(Tabela11[[#This Row],[Painel 1]]&amp;" "&amp;Tabela11[[#This Row],[Painel 2]])</f>
        <v>PAINEL 1MV GB-967B</v>
      </c>
      <c r="N27" s="157">
        <v>48</v>
      </c>
      <c r="O27" s="391">
        <f>COUNTIF(Tabela12[Tag Cabo],Tabela11[[#This Row],[Tag do Cabo]])</f>
        <v>48</v>
      </c>
      <c r="P27" s="391" t="str">
        <f>IF(Tabela11[[#This Row],[Qtde Ligações]]&lt;&gt;Tabela11[[#This Row],[Qtde Anilhas]],"Ver","Ok")</f>
        <v>Ok</v>
      </c>
      <c r="Q27" s="391">
        <f>VLOOKUP(Tabela11[[#This Row],[Tag do Cabo]],BD!A:F,6,0)</f>
        <v>1</v>
      </c>
      <c r="R27" s="391">
        <f>SUMIF('Lançamento de Cabos'!AE:AE,Tabela11[[#This Row],[Tag do Cabo]],'Lançamento de Cabos'!AG:AG)</f>
        <v>0</v>
      </c>
      <c r="S27" s="28">
        <f>Tabela11[[#This Row],[Ligações Realizadas]]/Tabela11[[#This Row],[Qtde Ligações]]</f>
        <v>0</v>
      </c>
      <c r="T27" s="269">
        <f>IF(Tabela11[[#This Row],[Ligações Realizadas]]/Tabela11[[#This Row],[Qtde Ligações]]=0,0,IF(Tabela11[[#This Row],[Ligações Realizadas]]/Tabela11[[#This Row],[Qtde Ligações]]=1,ROUND(N27/2,0),"Ver Painel"))</f>
        <v>0</v>
      </c>
      <c r="U27" s="23">
        <f>IF(Tabela11[[#This Row],[Ligações Realizadas]]/Tabela11[[#This Row],[Qtde Ligações]]=0,0,IF(Tabela11[[#This Row],[Ligações Realizadas]]/Tabela11[[#This Row],[Qtde Ligações]]=1,ROUND(N27/2,0),"Ver Painel"))</f>
        <v>0</v>
      </c>
      <c r="V27" s="219"/>
    </row>
    <row r="28" spans="1:22" hidden="1" x14ac:dyDescent="0.25">
      <c r="A28" s="34" t="s">
        <v>299</v>
      </c>
      <c r="B28" s="391" t="str">
        <f>VLOOKUP(Tabela11[[#This Row],[Tag do Cabo]],BD!A:AJ,2,0)</f>
        <v>Controle</v>
      </c>
      <c r="C28" s="3" t="str">
        <f>VLOOKUP(Tabela11[[#This Row],[Tag do Cabo]],BD!A:AJ,5,0)</f>
        <v>1x9/C#2,5</v>
      </c>
      <c r="D28" s="391" t="s">
        <v>1533</v>
      </c>
      <c r="E28" s="391" t="str">
        <f>VLOOKUP(Tabela11[[#This Row],[Tag do Cabo]],BD!A:T,20,0)</f>
        <v>BK-SP54-0900A-LC-74-00001_00000</v>
      </c>
      <c r="F28" s="222" t="str">
        <f>IF(VLOOKUP(Tabela11[[#This Row],[Tag do Cabo]],BD!A:AJ,35,0)=0,"Pendente",VLOOKUP(Tabela11[[#This Row],[Tag do Cabo]],BD!A:AJ,35,0))</f>
        <v>BK-SP54-0900B-DI-74-00452</v>
      </c>
      <c r="G28" s="3" t="str">
        <f>IF(VLOOKUP(Tabela11[[#This Row],[Tag do Cabo]],BD!A:AJ,36,0)=0,"Pendente",VLOOKUP(Tabela11[[#This Row],[Tag do Cabo]],BD!A:AJ,36,0))</f>
        <v>1</v>
      </c>
      <c r="H28" s="391" t="str">
        <f>VLOOKUP(Tabela11[[#This Row],[Tag do Cabo]],BD!A:AJ,32,0)</f>
        <v>1MVxGB-967B</v>
      </c>
      <c r="I28" s="7" t="str">
        <f>VLOOKUP(Tabela11[[#This Row],[Tag do Cabo]],BD!A:AJ,11,0)</f>
        <v>1MV-GAINE IV</v>
      </c>
      <c r="J28" s="3" t="str">
        <f>VLOOKUP(Tabela11[[#This Row],[Tag do Cabo]],BD!A:AJ,12,0)</f>
        <v>MOTOR GBM-967B (BOTOEIRA)</v>
      </c>
      <c r="K28" s="391" t="s">
        <v>1538</v>
      </c>
      <c r="L28" s="391" t="s">
        <v>1540</v>
      </c>
      <c r="M28" s="3" t="str">
        <f>CONCATENATE(Tabela11[[#This Row],[Painel 1]]&amp;" "&amp;Tabela11[[#This Row],[Painel 2]])</f>
        <v>GAINE IV GB-967B</v>
      </c>
      <c r="N28" s="157">
        <v>8</v>
      </c>
      <c r="O28" s="391">
        <f>COUNTIF(Tabela12[Tag Cabo],Tabela11[[#This Row],[Tag do Cabo]])</f>
        <v>8</v>
      </c>
      <c r="P28" s="391" t="str">
        <f>IF(Tabela11[[#This Row],[Qtde Ligações]]&lt;&gt;Tabela11[[#This Row],[Qtde Anilhas]],"Ver","Ok")</f>
        <v>Ok</v>
      </c>
      <c r="Q28" s="391">
        <f>VLOOKUP(Tabela11[[#This Row],[Tag do Cabo]],BD!A:F,6,0)</f>
        <v>2.5</v>
      </c>
      <c r="R28" s="391">
        <f>SUMIF('Lançamento de Cabos'!AE:AE,Tabela11[[#This Row],[Tag do Cabo]],'Lançamento de Cabos'!AG:AG)</f>
        <v>0</v>
      </c>
      <c r="S28" s="28">
        <f>Tabela11[[#This Row],[Ligações Realizadas]]/Tabela11[[#This Row],[Qtde Ligações]]</f>
        <v>0</v>
      </c>
      <c r="T28" s="269">
        <f>IF(Tabela11[[#This Row],[Ligações Realizadas]]/Tabela11[[#This Row],[Qtde Ligações]]=0,0,IF(Tabela11[[#This Row],[Ligações Realizadas]]/Tabela11[[#This Row],[Qtde Ligações]]=1,ROUND(N28/2,0),"Ver Painel"))</f>
        <v>0</v>
      </c>
      <c r="U28" s="23">
        <f>IF(Tabela11[[#This Row],[Ligações Realizadas]]/Tabela11[[#This Row],[Qtde Ligações]]=0,0,IF(Tabela11[[#This Row],[Ligações Realizadas]]/Tabela11[[#This Row],[Qtde Ligações]]=1,ROUND(N28/2,0),"Ver Painel"))</f>
        <v>0</v>
      </c>
      <c r="V28" s="261"/>
    </row>
    <row r="29" spans="1:22" hidden="1" x14ac:dyDescent="0.25">
      <c r="A29" s="34" t="s">
        <v>115</v>
      </c>
      <c r="B29" s="391" t="str">
        <f>VLOOKUP(Tabela11[[#This Row],[Tag do Cabo]],BD!A:AJ,2,0)</f>
        <v>Força</v>
      </c>
      <c r="C29" s="3" t="str">
        <f>VLOOKUP(Tabela11[[#This Row],[Tag do Cabo]],BD!A:AJ,5,0)</f>
        <v>1x2/C#4</v>
      </c>
      <c r="D29" s="391" t="s">
        <v>1533</v>
      </c>
      <c r="E29" s="391" t="str">
        <f>VLOOKUP(Tabela11[[#This Row],[Tag do Cabo]],BD!A:T,20,0)</f>
        <v>BK-SP54-0900A-LC-74-00001_00000</v>
      </c>
      <c r="F29" s="222" t="str">
        <f>IF(VLOOKUP(Tabela11[[#This Row],[Tag do Cabo]],BD!A:AJ,35,0)=0,"Pendente",VLOOKUP(Tabela11[[#This Row],[Tag do Cabo]],BD!A:AJ,35,0))</f>
        <v>BK-SP54-0900B-DI-74-00452</v>
      </c>
      <c r="G29" s="3" t="str">
        <f>IF(VLOOKUP(Tabela11[[#This Row],[Tag do Cabo]],BD!A:AJ,36,0)=0,"Pendente",VLOOKUP(Tabela11[[#This Row],[Tag do Cabo]],BD!A:AJ,36,0))</f>
        <v>7</v>
      </c>
      <c r="H29" s="391" t="str">
        <f>VLOOKUP(Tabela11[[#This Row],[Tag do Cabo]],BD!A:AJ,32,0)</f>
        <v>1HV</v>
      </c>
      <c r="I29" s="7" t="str">
        <f>VLOOKUP(Tabela11[[#This Row],[Tag do Cabo]],BD!A:AJ,11,0)</f>
        <v>PAINEL DE 220/127V (nota 2)</v>
      </c>
      <c r="J29" s="3" t="str">
        <f>VLOOKUP(Tabela11[[#This Row],[Tag do Cabo]],BD!A:AJ,12,0)</f>
        <v>1HV-BUS3 - PAINEL 13,8kV</v>
      </c>
      <c r="K29" s="391" t="s">
        <v>1541</v>
      </c>
      <c r="L29" s="391" t="s">
        <v>104</v>
      </c>
      <c r="M29" s="3" t="str">
        <f>CONCATENATE(Tabela11[[#This Row],[Painel 1]]&amp;" "&amp;Tabela11[[#This Row],[Painel 2]])</f>
        <v>PAINEL 220V 1HV-BUS3</v>
      </c>
      <c r="N29" s="157">
        <v>4</v>
      </c>
      <c r="O29" s="391">
        <f>COUNTIF(Tabela12[Tag Cabo],Tabela11[[#This Row],[Tag do Cabo]])</f>
        <v>4</v>
      </c>
      <c r="P29" s="391" t="str">
        <f>IF(Tabela11[[#This Row],[Qtde Ligações]]&lt;&gt;Tabela11[[#This Row],[Qtde Anilhas]],"Ver","Ok")</f>
        <v>Ok</v>
      </c>
      <c r="Q29" s="391">
        <f>VLOOKUP(Tabela11[[#This Row],[Tag do Cabo]],BD!A:F,6,0)</f>
        <v>4</v>
      </c>
      <c r="R29" s="391">
        <f>SUMIF('Lançamento de Cabos'!AE:AE,Tabela11[[#This Row],[Tag do Cabo]],'Lançamento de Cabos'!AG:AG)</f>
        <v>0</v>
      </c>
      <c r="S29" s="28">
        <f>Tabela11[[#This Row],[Ligações Realizadas]]/Tabela11[[#This Row],[Qtde Ligações]]</f>
        <v>0</v>
      </c>
      <c r="T29" s="269">
        <f>IF(Tabela11[[#This Row],[Ligações Realizadas]]/Tabela11[[#This Row],[Qtde Ligações]]=0,0,IF(Tabela11[[#This Row],[Ligações Realizadas]]/Tabela11[[#This Row],[Qtde Ligações]]=1,ROUND(N29/2,0),"Ver Painel"))</f>
        <v>0</v>
      </c>
      <c r="U29" s="23">
        <f>IF(Tabela11[[#This Row],[Ligações Realizadas]]/Tabela11[[#This Row],[Qtde Ligações]]=0,0,IF(Tabela11[[#This Row],[Ligações Realizadas]]/Tabela11[[#This Row],[Qtde Ligações]]=1,ROUND(N29/2,0),"Ver Painel"))</f>
        <v>0</v>
      </c>
      <c r="V29" s="219"/>
    </row>
    <row r="30" spans="1:22" hidden="1" x14ac:dyDescent="0.25">
      <c r="A30" s="34" t="s">
        <v>118</v>
      </c>
      <c r="B30" s="391" t="str">
        <f>VLOOKUP(Tabela11[[#This Row],[Tag do Cabo]],BD!A:AJ,2,0)</f>
        <v>Força</v>
      </c>
      <c r="C30" s="3" t="str">
        <f>VLOOKUP(Tabela11[[#This Row],[Tag do Cabo]],BD!A:AJ,5,0)</f>
        <v>1x2/C#4</v>
      </c>
      <c r="D30" s="391" t="s">
        <v>1533</v>
      </c>
      <c r="E30" s="391" t="str">
        <f>VLOOKUP(Tabela11[[#This Row],[Tag do Cabo]],BD!A:T,20,0)</f>
        <v>BK-SP54-0900A-LC-74-00001_00000</v>
      </c>
      <c r="F30" s="222" t="str">
        <f>IF(VLOOKUP(Tabela11[[#This Row],[Tag do Cabo]],BD!A:AJ,35,0)=0,"Pendente",VLOOKUP(Tabela11[[#This Row],[Tag do Cabo]],BD!A:AJ,35,0))</f>
        <v>BK-SP54-0900B-DI-74-00450</v>
      </c>
      <c r="G30" s="3" t="str">
        <f>IF(VLOOKUP(Tabela11[[#This Row],[Tag do Cabo]],BD!A:AJ,36,0)=0,"Pendente",VLOOKUP(Tabela11[[#This Row],[Tag do Cabo]],BD!A:AJ,36,0))</f>
        <v>25</v>
      </c>
      <c r="H30" s="391" t="str">
        <f>VLOOKUP(Tabela11[[#This Row],[Tag do Cabo]],BD!A:AJ,32,0)</f>
        <v>1HV</v>
      </c>
      <c r="I30" s="7" t="str">
        <f>VLOOKUP(Tabela11[[#This Row],[Tag do Cabo]],BD!A:AJ,11,0)</f>
        <v>PAINEL DE 220/127V (nota 2)</v>
      </c>
      <c r="J30" s="3" t="str">
        <f>VLOOKUP(Tabela11[[#This Row],[Tag do Cabo]],BD!A:AJ,12,0)</f>
        <v>PSDC2 - PAINEL DE REJEICAO DE CARGAS 1</v>
      </c>
      <c r="K30" s="391"/>
      <c r="L30" s="391" t="s">
        <v>1535</v>
      </c>
      <c r="M30" s="3" t="str">
        <f>CONCATENATE(Tabela11[[#This Row],[Painel 1]]&amp;" "&amp;Tabela11[[#This Row],[Painel 2]])</f>
        <v xml:space="preserve"> PSDC2</v>
      </c>
      <c r="N30" s="218">
        <v>4</v>
      </c>
      <c r="O30" s="391">
        <f>COUNTIF(Tabela12[Tag Cabo],Tabela11[[#This Row],[Tag do Cabo]])</f>
        <v>0</v>
      </c>
      <c r="P30" s="391" t="str">
        <f>IF(Tabela11[[#This Row],[Qtde Ligações]]&lt;&gt;Tabela11[[#This Row],[Qtde Anilhas]],"Ver","Ok")</f>
        <v>Ver</v>
      </c>
      <c r="Q30" s="391">
        <f>VLOOKUP(Tabela11[[#This Row],[Tag do Cabo]],BD!A:F,6,0)</f>
        <v>4</v>
      </c>
      <c r="R30" s="391">
        <f>SUMIF('Lançamento de Cabos'!AE:AE,Tabela11[[#This Row],[Tag do Cabo]],'Lançamento de Cabos'!AG:AG)</f>
        <v>0</v>
      </c>
      <c r="S30" s="28">
        <f>Tabela11[[#This Row],[Ligações Realizadas]]/Tabela11[[#This Row],[Qtde Ligações]]</f>
        <v>0</v>
      </c>
      <c r="T30" s="269">
        <f>IF(Tabela11[[#This Row],[Ligações Realizadas]]/Tabela11[[#This Row],[Qtde Ligações]]=0,0,IF(Tabela11[[#This Row],[Ligações Realizadas]]/Tabela11[[#This Row],[Qtde Ligações]]=1,ROUND(N30/2,0),"Ver Painel"))</f>
        <v>0</v>
      </c>
      <c r="U30" s="23">
        <f>IF(Tabela11[[#This Row],[Ligações Realizadas]]/Tabela11[[#This Row],[Qtde Ligações]]=0,0,IF(Tabela11[[#This Row],[Ligações Realizadas]]/Tabela11[[#This Row],[Qtde Ligações]]=1,ROUND(N30/2,0),"Ver Painel"))</f>
        <v>0</v>
      </c>
      <c r="V30" s="219"/>
    </row>
    <row r="31" spans="1:22" hidden="1" x14ac:dyDescent="0.25">
      <c r="A31" s="34" t="s">
        <v>591</v>
      </c>
      <c r="B31" s="391" t="str">
        <f>VLOOKUP(Tabela11[[#This Row],[Tag do Cabo]],BD!A:AJ,2,0)</f>
        <v>Força</v>
      </c>
      <c r="C31" s="3" t="str">
        <f>VLOOKUP(Tabela11[[#This Row],[Tag do Cabo]],BD!A:AJ,5,0)</f>
        <v>3x3x1/C#185</v>
      </c>
      <c r="D31" s="391" t="s">
        <v>1542</v>
      </c>
      <c r="E31" s="391" t="str">
        <f>VLOOKUP(Tabela11[[#This Row],[Tag do Cabo]],BD!A:T,20,0)</f>
        <v>BK-SP54-0900A-LC-74-00001_00000</v>
      </c>
      <c r="F31" s="3" t="str">
        <f>IF(VLOOKUP(Tabela11[[#This Row],[Tag do Cabo]],BD!A:AJ,35,0)=0,"Pendente",VLOOKUP(Tabela11[[#This Row],[Tag do Cabo]],BD!A:AJ,35,0))</f>
        <v>BK-SP54-0900B-DI-70-01014</v>
      </c>
      <c r="G31" s="3" t="str">
        <f>IF(VLOOKUP(Tabela11[[#This Row],[Tag do Cabo]],BD!A:AJ,36,0)=0,"Pendente",VLOOKUP(Tabela11[[#This Row],[Tag do Cabo]],BD!A:AJ,36,0))</f>
        <v>7</v>
      </c>
      <c r="H31" s="391" t="str">
        <f>VLOOKUP(Tabela11[[#This Row],[Tag do Cabo]],BD!A:AJ,32,0)</f>
        <v>7HVx30LV</v>
      </c>
      <c r="I31" s="7" t="str">
        <f>VLOOKUP(Tabela11[[#This Row],[Tag do Cabo]],BD!A:AJ,11,0)</f>
        <v>PAINEL TCC-49 (7HV)</v>
      </c>
      <c r="J31" s="3" t="str">
        <f>VLOOKUP(Tabela11[[#This Row],[Tag do Cabo]],BD!A:AJ,12,0)</f>
        <v>ALIMENTAÇÃO REDUNDANTE - 30LV</v>
      </c>
      <c r="K31" s="391" t="s">
        <v>1543</v>
      </c>
      <c r="L31" s="391" t="s">
        <v>1544</v>
      </c>
      <c r="M31" s="3" t="str">
        <f>CONCATENATE(Tabela11[[#This Row],[Painel 1]]&amp;" "&amp;Tabela11[[#This Row],[Painel 2]])</f>
        <v>TCC-49 PAINEL 30LV</v>
      </c>
      <c r="N31" s="157">
        <v>18</v>
      </c>
      <c r="O31" s="391" t="s">
        <v>92</v>
      </c>
      <c r="P31" s="391" t="s">
        <v>1536</v>
      </c>
      <c r="Q31" s="391">
        <f>VLOOKUP(Tabela11[[#This Row],[Tag do Cabo]],BD!A:F,6,0)</f>
        <v>185</v>
      </c>
      <c r="R31" s="391">
        <f>SUMIF('Lançamento de Cabos'!AE:AE,Tabela11[[#This Row],[Tag do Cabo]],'Lançamento de Cabos'!AG:AG)</f>
        <v>18</v>
      </c>
      <c r="S31" s="28">
        <f>Tabela11[[#This Row],[Ligações Realizadas]]/Tabela11[[#This Row],[Qtde Ligações]]</f>
        <v>1</v>
      </c>
      <c r="T31" s="272">
        <f>IF(Tabela11[[#This Row],[Ligações Realizadas]]/Tabela11[[#This Row],[Qtde Ligações]]=0,0,IF(Tabela11[[#This Row],[Ligações Realizadas]]/Tabela11[[#This Row],[Qtde Ligações]]=1,ROUND(N31/2,0),"Ver Painel"))</f>
        <v>9</v>
      </c>
      <c r="U31" s="273">
        <f>IF(Tabela11[[#This Row],[Ligações Realizadas]]/Tabela11[[#This Row],[Qtde Ligações]]=0,0,IF(Tabela11[[#This Row],[Ligações Realizadas]]/Tabela11[[#This Row],[Qtde Ligações]]=1,ROUND(N31/2,0),"Ver Painel"))</f>
        <v>9</v>
      </c>
      <c r="V31" s="222"/>
    </row>
    <row r="32" spans="1:22" hidden="1" x14ac:dyDescent="0.25">
      <c r="A32" s="34" t="s">
        <v>1097</v>
      </c>
      <c r="B32" s="391" t="str">
        <f>VLOOKUP(Tabela11[[#This Row],[Tag do Cabo]],BD!A:AJ,2,0)</f>
        <v>Força</v>
      </c>
      <c r="C32" s="3" t="str">
        <f>VLOOKUP(Tabela11[[#This Row],[Tag do Cabo]],BD!A:AJ,5,0)</f>
        <v>1x2/C#4</v>
      </c>
      <c r="D32" s="391" t="s">
        <v>1533</v>
      </c>
      <c r="E32" s="391" t="str">
        <f>VLOOKUP(Tabela11[[#This Row],[Tag do Cabo]],BD!A:T,20,0)</f>
        <v>BK-SP54-0900A-LC-74-00001_00000</v>
      </c>
      <c r="F32" s="222" t="str">
        <f>IF(VLOOKUP(Tabela11[[#This Row],[Tag do Cabo]],BD!A:AJ,35,0)=0,"Pendente",VLOOKUP(Tabela11[[#This Row],[Tag do Cabo]],BD!A:AJ,35,0))</f>
        <v>BK-SP54-0900B-DI-74-00454</v>
      </c>
      <c r="G32" s="3" t="str">
        <f>IF(VLOOKUP(Tabela11[[#This Row],[Tag do Cabo]],BD!A:AJ,36,0)=0,"Pendente",VLOOKUP(Tabela11[[#This Row],[Tag do Cabo]],BD!A:AJ,36,0))</f>
        <v>1</v>
      </c>
      <c r="H32" s="391" t="str">
        <f>VLOOKUP(Tabela11[[#This Row],[Tag do Cabo]],BD!A:AJ,32,0)</f>
        <v>CCPxGA-9312/S</v>
      </c>
      <c r="I32" s="7" t="str">
        <f>VLOOKUP(Tabela11[[#This Row],[Tag do Cabo]],BD!A:AJ,11,0)</f>
        <v>PAINEL DE RESISTENCIA DE AQUECIMENTO</v>
      </c>
      <c r="J32" s="3" t="str">
        <f>VLOOKUP(Tabela11[[#This Row],[Tag do Cabo]],BD!A:AJ,12,0)</f>
        <v>MOTOR GAM-9312 (AQUECIMENTO)</v>
      </c>
      <c r="K32" s="391" t="s">
        <v>1545</v>
      </c>
      <c r="L32" s="391" t="s">
        <v>1546</v>
      </c>
      <c r="M32" s="3" t="str">
        <f>CONCATENATE(Tabela11[[#This Row],[Painel 1]]&amp;" "&amp;Tabela11[[#This Row],[Painel 2]])</f>
        <v>RES. AQUEC. CCP GA-9312</v>
      </c>
      <c r="N32" s="157">
        <v>4</v>
      </c>
      <c r="O32" s="391">
        <f>COUNTIF(Tabela12[Tag Cabo],Tabela11[[#This Row],[Tag do Cabo]])</f>
        <v>4</v>
      </c>
      <c r="P32" s="391" t="str">
        <f>IF(Tabela11[[#This Row],[Qtde Ligações]]&lt;&gt;Tabela11[[#This Row],[Qtde Anilhas]],"Ver","Ok")</f>
        <v>Ok</v>
      </c>
      <c r="Q32" s="391">
        <f>VLOOKUP(Tabela11[[#This Row],[Tag do Cabo]],BD!A:F,6,0)</f>
        <v>4</v>
      </c>
      <c r="R32" s="391">
        <f>SUMIF('Lançamento de Cabos'!AE:AE,Tabela11[[#This Row],[Tag do Cabo]],'Lançamento de Cabos'!AG:AG)</f>
        <v>0</v>
      </c>
      <c r="S32" s="28">
        <f>Tabela11[[#This Row],[Ligações Realizadas]]/Tabela11[[#This Row],[Qtde Ligações]]</f>
        <v>0</v>
      </c>
      <c r="T32" s="269">
        <f>IF(Tabela11[[#This Row],[Ligações Realizadas]]/Tabela11[[#This Row],[Qtde Ligações]]=0,0,IF(Tabela11[[#This Row],[Ligações Realizadas]]/Tabela11[[#This Row],[Qtde Ligações]]=1,ROUND(N32/2,0),"Ver Painel"))</f>
        <v>0</v>
      </c>
      <c r="U32" s="23">
        <f>IF(Tabela11[[#This Row],[Ligações Realizadas]]/Tabela11[[#This Row],[Qtde Ligações]]=0,0,IF(Tabela11[[#This Row],[Ligações Realizadas]]/Tabela11[[#This Row],[Qtde Ligações]]=1,ROUND(N32/2,0),"Ver Painel"))</f>
        <v>0</v>
      </c>
      <c r="V32" s="219"/>
    </row>
    <row r="33" spans="1:22" hidden="1" x14ac:dyDescent="0.25">
      <c r="A33" s="34" t="s">
        <v>1103</v>
      </c>
      <c r="B33" s="391" t="str">
        <f>VLOOKUP(Tabela11[[#This Row],[Tag do Cabo]],BD!A:AJ,2,0)</f>
        <v>Controle</v>
      </c>
      <c r="C33" s="3" t="str">
        <f>VLOOKUP(Tabela11[[#This Row],[Tag do Cabo]],BD!A:AJ,5,0)</f>
        <v>1x7/C#2,5</v>
      </c>
      <c r="D33" s="391" t="s">
        <v>1533</v>
      </c>
      <c r="E33" s="391" t="str">
        <f>VLOOKUP(Tabela11[[#This Row],[Tag do Cabo]],BD!A:T,20,0)</f>
        <v>BK-SP54-0900A-LC-74-00001_00000</v>
      </c>
      <c r="F33" s="222" t="str">
        <f>IF(VLOOKUP(Tabela11[[#This Row],[Tag do Cabo]],BD!A:AJ,35,0)=0,"Pendente",VLOOKUP(Tabela11[[#This Row],[Tag do Cabo]],BD!A:AJ,35,0))</f>
        <v>BK-SP54-0900B-DI-74-00454</v>
      </c>
      <c r="G33" s="3" t="str">
        <f>IF(VLOOKUP(Tabela11[[#This Row],[Tag do Cabo]],BD!A:AJ,36,0)=0,"Pendente",VLOOKUP(Tabela11[[#This Row],[Tag do Cabo]],BD!A:AJ,36,0))</f>
        <v>1</v>
      </c>
      <c r="H33" s="391" t="str">
        <f>VLOOKUP(Tabela11[[#This Row],[Tag do Cabo]],BD!A:AJ,32,0)</f>
        <v>CCPxGA-9312/S</v>
      </c>
      <c r="I33" s="7" t="str">
        <f>VLOOKUP(Tabela11[[#This Row],[Tag do Cabo]],BD!A:AJ,11,0)</f>
        <v xml:space="preserve">PAINEL 3LV </v>
      </c>
      <c r="J33" s="3" t="str">
        <f>VLOOKUP(Tabela11[[#This Row],[Tag do Cabo]],BD!A:AJ,12,0)</f>
        <v>MOTOR GAM-9312 (COMANDO)</v>
      </c>
      <c r="K33" s="391" t="s">
        <v>1109</v>
      </c>
      <c r="L33" s="391" t="s">
        <v>1546</v>
      </c>
      <c r="M33" s="3" t="str">
        <f>CONCATENATE(Tabela11[[#This Row],[Painel 1]]&amp;" "&amp;Tabela11[[#This Row],[Painel 2]])</f>
        <v>PAINEL 3LV GA-9312</v>
      </c>
      <c r="N33" s="157">
        <v>4</v>
      </c>
      <c r="O33" s="391">
        <f>COUNTIF(Tabela12[Tag Cabo],Tabela11[[#This Row],[Tag do Cabo]])</f>
        <v>4</v>
      </c>
      <c r="P33" s="391" t="str">
        <f>IF(Tabela11[[#This Row],[Qtde Ligações]]&lt;&gt;Tabela11[[#This Row],[Qtde Anilhas]],"Ver","Ok")</f>
        <v>Ok</v>
      </c>
      <c r="Q33" s="391">
        <f>VLOOKUP(Tabela11[[#This Row],[Tag do Cabo]],BD!A:F,6,0)</f>
        <v>2.5</v>
      </c>
      <c r="R33" s="391">
        <f>SUMIF('Lançamento de Cabos'!AE:AE,Tabela11[[#This Row],[Tag do Cabo]],'Lançamento de Cabos'!AG:AG)</f>
        <v>0</v>
      </c>
      <c r="S33" s="28">
        <f>Tabela11[[#This Row],[Ligações Realizadas]]/Tabela11[[#This Row],[Qtde Ligações]]</f>
        <v>0</v>
      </c>
      <c r="T33" s="269">
        <f>IF(Tabela11[[#This Row],[Ligações Realizadas]]/Tabela11[[#This Row],[Qtde Ligações]]=0,0,IF(Tabela11[[#This Row],[Ligações Realizadas]]/Tabela11[[#This Row],[Qtde Ligações]]=1,ROUND(N33/2,0),"Ver Painel"))</f>
        <v>0</v>
      </c>
      <c r="U33" s="23">
        <f>IF(Tabela11[[#This Row],[Ligações Realizadas]]/Tabela11[[#This Row],[Qtde Ligações]]=0,0,IF(Tabela11[[#This Row],[Ligações Realizadas]]/Tabela11[[#This Row],[Qtde Ligações]]=1,ROUND(N33/2,0),"Ver Painel"))</f>
        <v>0</v>
      </c>
      <c r="V33" s="219"/>
    </row>
    <row r="34" spans="1:22" hidden="1" x14ac:dyDescent="0.25">
      <c r="A34" s="34" t="s">
        <v>1107</v>
      </c>
      <c r="B34" s="391" t="str">
        <f>VLOOKUP(Tabela11[[#This Row],[Tag do Cabo]],BD!A:AJ,2,0)</f>
        <v>Força</v>
      </c>
      <c r="C34" s="3" t="str">
        <f>VLOOKUP(Tabela11[[#This Row],[Tag do Cabo]],BD!A:AJ,5,0)</f>
        <v>1x1x3/C#70</v>
      </c>
      <c r="D34" s="391" t="s">
        <v>1533</v>
      </c>
      <c r="E34" s="391" t="str">
        <f>VLOOKUP(Tabela11[[#This Row],[Tag do Cabo]],BD!A:T,20,0)</f>
        <v>BK-SP54-0900A-LC-74-00001_00000</v>
      </c>
      <c r="F34" s="222" t="str">
        <f>IF(VLOOKUP(Tabela11[[#This Row],[Tag do Cabo]],BD!A:AJ,35,0)=0,"Pendente",VLOOKUP(Tabela11[[#This Row],[Tag do Cabo]],BD!A:AJ,35,0))</f>
        <v>BK-SP54-0900B-DI-74-00454</v>
      </c>
      <c r="G34" s="3" t="str">
        <f>IF(VLOOKUP(Tabela11[[#This Row],[Tag do Cabo]],BD!A:AJ,36,0)=0,"Pendente",VLOOKUP(Tabela11[[#This Row],[Tag do Cabo]],BD!A:AJ,36,0))</f>
        <v>1</v>
      </c>
      <c r="H34" s="391" t="str">
        <f>VLOOKUP(Tabela11[[#This Row],[Tag do Cabo]],BD!A:AJ,32,0)</f>
        <v>CCPxGA-9312/S</v>
      </c>
      <c r="I34" s="7" t="str">
        <f>VLOOKUP(Tabela11[[#This Row],[Tag do Cabo]],BD!A:AJ,11,0)</f>
        <v>PAINEL 3LV</v>
      </c>
      <c r="J34" s="3" t="str">
        <f>VLOOKUP(Tabela11[[#This Row],[Tag do Cabo]],BD!A:AJ,12,0)</f>
        <v>MOTOR GAM-9312</v>
      </c>
      <c r="K34" s="391" t="s">
        <v>1109</v>
      </c>
      <c r="L34" s="391" t="s">
        <v>1546</v>
      </c>
      <c r="M34" s="3" t="str">
        <f>CONCATENATE(Tabela11[[#This Row],[Painel 1]]&amp;" "&amp;Tabela11[[#This Row],[Painel 2]])</f>
        <v>PAINEL 3LV GA-9312</v>
      </c>
      <c r="N34" s="157">
        <v>6</v>
      </c>
      <c r="O34" s="391" t="s">
        <v>92</v>
      </c>
      <c r="P34" s="391" t="s">
        <v>1536</v>
      </c>
      <c r="Q34" s="391">
        <f>VLOOKUP(Tabela11[[#This Row],[Tag do Cabo]],BD!A:F,6,0)</f>
        <v>70</v>
      </c>
      <c r="R34" s="391">
        <f>SUMIF('Lançamento de Cabos'!AE:AE,Tabela11[[#This Row],[Tag do Cabo]],'Lançamento de Cabos'!AG:AG)</f>
        <v>0</v>
      </c>
      <c r="S34" s="28">
        <f>Tabela11[[#This Row],[Ligações Realizadas]]/Tabela11[[#This Row],[Qtde Ligações]]</f>
        <v>0</v>
      </c>
      <c r="T34" s="269">
        <f>IF(Tabela11[[#This Row],[Ligações Realizadas]]/Tabela11[[#This Row],[Qtde Ligações]]=0,0,IF(Tabela11[[#This Row],[Ligações Realizadas]]/Tabela11[[#This Row],[Qtde Ligações]]=1,ROUND(N34/2,0),"Ver Painel"))</f>
        <v>0</v>
      </c>
      <c r="U34" s="23">
        <f>IF(Tabela11[[#This Row],[Ligações Realizadas]]/Tabela11[[#This Row],[Qtde Ligações]]=0,0,IF(Tabela11[[#This Row],[Ligações Realizadas]]/Tabela11[[#This Row],[Qtde Ligações]]=1,ROUND(N34/2,0),"Ver Painel"))</f>
        <v>0</v>
      </c>
      <c r="V34" s="219"/>
    </row>
    <row r="35" spans="1:22" hidden="1" x14ac:dyDescent="0.25">
      <c r="A35" s="34" t="s">
        <v>1112</v>
      </c>
      <c r="B35" s="391" t="str">
        <f>VLOOKUP(Tabela11[[#This Row],[Tag do Cabo]],BD!A:AJ,2,0)</f>
        <v>Força</v>
      </c>
      <c r="C35" s="3" t="str">
        <f>VLOOKUP(Tabela11[[#This Row],[Tag do Cabo]],BD!A:AJ,5,0)</f>
        <v>1x2/C#4</v>
      </c>
      <c r="D35" s="391" t="s">
        <v>1533</v>
      </c>
      <c r="E35" s="391" t="str">
        <f>VLOOKUP(Tabela11[[#This Row],[Tag do Cabo]],BD!A:T,20,0)</f>
        <v>BK-SP54-0900A-LC-74-00001_00000</v>
      </c>
      <c r="F35" s="222" t="str">
        <f>IF(VLOOKUP(Tabela11[[#This Row],[Tag do Cabo]],BD!A:AJ,35,0)=0,"Pendente",VLOOKUP(Tabela11[[#This Row],[Tag do Cabo]],BD!A:AJ,35,0))</f>
        <v>BK-SP54-0900B-DI-74-00454</v>
      </c>
      <c r="G35" s="3" t="str">
        <f>IF(VLOOKUP(Tabela11[[#This Row],[Tag do Cabo]],BD!A:AJ,36,0)=0,"Pendente",VLOOKUP(Tabela11[[#This Row],[Tag do Cabo]],BD!A:AJ,36,0))</f>
        <v>2</v>
      </c>
      <c r="H35" s="391" t="str">
        <f>VLOOKUP(Tabela11[[#This Row],[Tag do Cabo]],BD!A:AJ,32,0)</f>
        <v>CCPxGA-9312/S</v>
      </c>
      <c r="I35" s="7" t="str">
        <f>VLOOKUP(Tabela11[[#This Row],[Tag do Cabo]],BD!A:AJ,11,0)</f>
        <v>PAINEL DE RESISTENCIA DE AQUECIMENTO</v>
      </c>
      <c r="J35" s="3" t="str">
        <f>VLOOKUP(Tabela11[[#This Row],[Tag do Cabo]],BD!A:AJ,12,0)</f>
        <v>MOTOR GAM-9312S (AQUECIMENTO)</v>
      </c>
      <c r="K35" s="391" t="s">
        <v>1545</v>
      </c>
      <c r="L35" s="391" t="s">
        <v>1547</v>
      </c>
      <c r="M35" s="3" t="str">
        <f>CONCATENATE(Tabela11[[#This Row],[Painel 1]]&amp;" "&amp;Tabela11[[#This Row],[Painel 2]])</f>
        <v>RES. AQUEC. CCP GA-9312S</v>
      </c>
      <c r="N35" s="157">
        <v>4</v>
      </c>
      <c r="O35" s="391">
        <f>COUNTIF(Tabela12[Tag Cabo],Tabela11[[#This Row],[Tag do Cabo]])</f>
        <v>4</v>
      </c>
      <c r="P35" s="391" t="str">
        <f>IF(Tabela11[[#This Row],[Qtde Ligações]]&lt;&gt;Tabela11[[#This Row],[Qtde Anilhas]],"Ver","Ok")</f>
        <v>Ok</v>
      </c>
      <c r="Q35" s="391">
        <f>VLOOKUP(Tabela11[[#This Row],[Tag do Cabo]],BD!A:F,6,0)</f>
        <v>4</v>
      </c>
      <c r="R35" s="391">
        <f>SUMIF('Lançamento de Cabos'!AE:AE,Tabela11[[#This Row],[Tag do Cabo]],'Lançamento de Cabos'!AG:AG)</f>
        <v>0</v>
      </c>
      <c r="S35" s="28">
        <f>Tabela11[[#This Row],[Ligações Realizadas]]/Tabela11[[#This Row],[Qtde Ligações]]</f>
        <v>0</v>
      </c>
      <c r="T35" s="269">
        <f>IF(Tabela11[[#This Row],[Ligações Realizadas]]/Tabela11[[#This Row],[Qtde Ligações]]=0,0,IF(Tabela11[[#This Row],[Ligações Realizadas]]/Tabela11[[#This Row],[Qtde Ligações]]=1,ROUND(N35/2,0),"Ver Painel"))</f>
        <v>0</v>
      </c>
      <c r="U35" s="23">
        <f>IF(Tabela11[[#This Row],[Ligações Realizadas]]/Tabela11[[#This Row],[Qtde Ligações]]=0,0,IF(Tabela11[[#This Row],[Ligações Realizadas]]/Tabela11[[#This Row],[Qtde Ligações]]=1,ROUND(N35/2,0),"Ver Painel"))</f>
        <v>0</v>
      </c>
      <c r="V35" s="219"/>
    </row>
    <row r="36" spans="1:22" hidden="1" x14ac:dyDescent="0.25">
      <c r="A36" s="34" t="s">
        <v>1116</v>
      </c>
      <c r="B36" s="391" t="str">
        <f>VLOOKUP(Tabela11[[#This Row],[Tag do Cabo]],BD!A:AJ,2,0)</f>
        <v>Controle</v>
      </c>
      <c r="C36" s="3" t="str">
        <f>VLOOKUP(Tabela11[[#This Row],[Tag do Cabo]],BD!A:AJ,5,0)</f>
        <v>1x7/C#2,5</v>
      </c>
      <c r="D36" s="391" t="s">
        <v>1533</v>
      </c>
      <c r="E36" s="391" t="str">
        <f>VLOOKUP(Tabela11[[#This Row],[Tag do Cabo]],BD!A:T,20,0)</f>
        <v>BK-SP54-0900A-LC-74-00001_00000</v>
      </c>
      <c r="F36" s="222" t="str">
        <f>IF(VLOOKUP(Tabela11[[#This Row],[Tag do Cabo]],BD!A:AJ,35,0)=0,"Pendente",VLOOKUP(Tabela11[[#This Row],[Tag do Cabo]],BD!A:AJ,35,0))</f>
        <v>BK-SP54-0900B-DI-74-00454</v>
      </c>
      <c r="G36" s="3" t="str">
        <f>IF(VLOOKUP(Tabela11[[#This Row],[Tag do Cabo]],BD!A:AJ,36,0)=0,"Pendente",VLOOKUP(Tabela11[[#This Row],[Tag do Cabo]],BD!A:AJ,36,0))</f>
        <v>2</v>
      </c>
      <c r="H36" s="391" t="str">
        <f>VLOOKUP(Tabela11[[#This Row],[Tag do Cabo]],BD!A:AJ,32,0)</f>
        <v>CCPxGA-9312/S</v>
      </c>
      <c r="I36" s="7" t="str">
        <f>VLOOKUP(Tabela11[[#This Row],[Tag do Cabo]],BD!A:AJ,11,0)</f>
        <v>PAINEL 3LV</v>
      </c>
      <c r="J36" s="3" t="str">
        <f>VLOOKUP(Tabela11[[#This Row],[Tag do Cabo]],BD!A:AJ,12,0)</f>
        <v>MOTOR GAM-9312S (COMANDO)</v>
      </c>
      <c r="K36" s="391" t="s">
        <v>1109</v>
      </c>
      <c r="L36" s="391" t="s">
        <v>1547</v>
      </c>
      <c r="M36" s="3" t="str">
        <f>CONCATENATE(Tabela11[[#This Row],[Painel 1]]&amp;" "&amp;Tabela11[[#This Row],[Painel 2]])</f>
        <v>PAINEL 3LV GA-9312S</v>
      </c>
      <c r="N36" s="157">
        <v>4</v>
      </c>
      <c r="O36" s="391">
        <f>COUNTIF(Tabela12[Tag Cabo],Tabela11[[#This Row],[Tag do Cabo]])</f>
        <v>4</v>
      </c>
      <c r="P36" s="391" t="str">
        <f>IF(Tabela11[[#This Row],[Qtde Ligações]]&lt;&gt;Tabela11[[#This Row],[Qtde Anilhas]],"Ver","Ok")</f>
        <v>Ok</v>
      </c>
      <c r="Q36" s="391">
        <f>VLOOKUP(Tabela11[[#This Row],[Tag do Cabo]],BD!A:F,6,0)</f>
        <v>2.5</v>
      </c>
      <c r="R36" s="391">
        <f>SUMIF('Lançamento de Cabos'!AE:AE,Tabela11[[#This Row],[Tag do Cabo]],'Lançamento de Cabos'!AG:AG)</f>
        <v>0</v>
      </c>
      <c r="S36" s="28">
        <f>Tabela11[[#This Row],[Ligações Realizadas]]/Tabela11[[#This Row],[Qtde Ligações]]</f>
        <v>0</v>
      </c>
      <c r="T36" s="269">
        <f>IF(Tabela11[[#This Row],[Ligações Realizadas]]/Tabela11[[#This Row],[Qtde Ligações]]=0,0,IF(Tabela11[[#This Row],[Ligações Realizadas]]/Tabela11[[#This Row],[Qtde Ligações]]=1,ROUND(N36/2,0),"Ver Painel"))</f>
        <v>0</v>
      </c>
      <c r="U36" s="23">
        <f>IF(Tabela11[[#This Row],[Ligações Realizadas]]/Tabela11[[#This Row],[Qtde Ligações]]=0,0,IF(Tabela11[[#This Row],[Ligações Realizadas]]/Tabela11[[#This Row],[Qtde Ligações]]=1,ROUND(N36/2,0),"Ver Painel"))</f>
        <v>0</v>
      </c>
      <c r="V36" s="219"/>
    </row>
    <row r="37" spans="1:22" hidden="1" x14ac:dyDescent="0.25">
      <c r="A37" s="34" t="s">
        <v>1118</v>
      </c>
      <c r="B37" s="391" t="str">
        <f>VLOOKUP(Tabela11[[#This Row],[Tag do Cabo]],BD!A:AJ,2,0)</f>
        <v>Força</v>
      </c>
      <c r="C37" s="3" t="str">
        <f>VLOOKUP(Tabela11[[#This Row],[Tag do Cabo]],BD!A:AJ,5,0)</f>
        <v>1x1x3/C#70</v>
      </c>
      <c r="D37" s="391" t="s">
        <v>1533</v>
      </c>
      <c r="E37" s="391" t="str">
        <f>VLOOKUP(Tabela11[[#This Row],[Tag do Cabo]],BD!A:T,20,0)</f>
        <v>BK-SP54-0900A-LC-74-00001_00000</v>
      </c>
      <c r="F37" s="222" t="str">
        <f>IF(VLOOKUP(Tabela11[[#This Row],[Tag do Cabo]],BD!A:AJ,35,0)=0,"Pendente",VLOOKUP(Tabela11[[#This Row],[Tag do Cabo]],BD!A:AJ,35,0))</f>
        <v>BK-SP54-0900B-DI-74-00454</v>
      </c>
      <c r="G37" s="3" t="str">
        <f>IF(VLOOKUP(Tabela11[[#This Row],[Tag do Cabo]],BD!A:AJ,36,0)=0,"Pendente",VLOOKUP(Tabela11[[#This Row],[Tag do Cabo]],BD!A:AJ,36,0))</f>
        <v>2</v>
      </c>
      <c r="H37" s="391" t="str">
        <f>VLOOKUP(Tabela11[[#This Row],[Tag do Cabo]],BD!A:AJ,32,0)</f>
        <v>CCPxGA-9312/S</v>
      </c>
      <c r="I37" s="7" t="str">
        <f>VLOOKUP(Tabela11[[#This Row],[Tag do Cabo]],BD!A:AJ,11,0)</f>
        <v>PAINEL 3LV</v>
      </c>
      <c r="J37" s="3" t="str">
        <f>VLOOKUP(Tabela11[[#This Row],[Tag do Cabo]],BD!A:AJ,12,0)</f>
        <v>MOTOR GAM-9312S</v>
      </c>
      <c r="K37" s="391" t="s">
        <v>1109</v>
      </c>
      <c r="L37" s="391" t="s">
        <v>1547</v>
      </c>
      <c r="M37" s="3" t="str">
        <f>CONCATENATE(Tabela11[[#This Row],[Painel 1]]&amp;" "&amp;Tabela11[[#This Row],[Painel 2]])</f>
        <v>PAINEL 3LV GA-9312S</v>
      </c>
      <c r="N37" s="157">
        <v>6</v>
      </c>
      <c r="O37" s="391" t="s">
        <v>92</v>
      </c>
      <c r="P37" s="391" t="s">
        <v>1536</v>
      </c>
      <c r="Q37" s="391">
        <f>VLOOKUP(Tabela11[[#This Row],[Tag do Cabo]],BD!A:F,6,0)</f>
        <v>70</v>
      </c>
      <c r="R37" s="391">
        <f>SUMIF('Lançamento de Cabos'!AE:AE,Tabela11[[#This Row],[Tag do Cabo]],'Lançamento de Cabos'!AG:AG)</f>
        <v>0</v>
      </c>
      <c r="S37" s="28">
        <f>Tabela11[[#This Row],[Ligações Realizadas]]/Tabela11[[#This Row],[Qtde Ligações]]</f>
        <v>0</v>
      </c>
      <c r="T37" s="269">
        <f>IF(Tabela11[[#This Row],[Ligações Realizadas]]/Tabela11[[#This Row],[Qtde Ligações]]=0,0,IF(Tabela11[[#This Row],[Ligações Realizadas]]/Tabela11[[#This Row],[Qtde Ligações]]=1,ROUND(N37/2,0),"Ver Painel"))</f>
        <v>0</v>
      </c>
      <c r="U37" s="23">
        <f>IF(Tabela11[[#This Row],[Ligações Realizadas]]/Tabela11[[#This Row],[Qtde Ligações]]=0,0,IF(Tabela11[[#This Row],[Ligações Realizadas]]/Tabela11[[#This Row],[Qtde Ligações]]=1,ROUND(N37/2,0),"Ver Painel"))</f>
        <v>0</v>
      </c>
      <c r="V37" s="219"/>
    </row>
    <row r="38" spans="1:22" hidden="1" x14ac:dyDescent="0.25">
      <c r="A38" s="34" t="s">
        <v>400</v>
      </c>
      <c r="B38" s="391" t="str">
        <f>VLOOKUP(Tabela11[[#This Row],[Tag do Cabo]],BD!A:AJ,2,0)</f>
        <v>Controle</v>
      </c>
      <c r="C38" s="3" t="str">
        <f>VLOOKUP(Tabela11[[#This Row],[Tag do Cabo]],BD!A:AJ,5,0)</f>
        <v>1x1x3xC#1,5</v>
      </c>
      <c r="D38" s="391" t="s">
        <v>1542</v>
      </c>
      <c r="E38" s="391" t="str">
        <f>VLOOKUP(Tabela11[[#This Row],[Tag do Cabo]],BD!A:T,20,0)</f>
        <v>E5WP000490-C-001-LC004</v>
      </c>
      <c r="F38" s="3" t="str">
        <f>IF(VLOOKUP(Tabela11[[#This Row],[Tag do Cabo]],BD!A:AJ,35,0)=0,"Pendente",VLOOKUP(Tabela11[[#This Row],[Tag do Cabo]],BD!A:AJ,35,0))</f>
        <v>E5WP000490-C-002-DE004</v>
      </c>
      <c r="G38" s="3" t="str">
        <f>IF(VLOOKUP(Tabela11[[#This Row],[Tag do Cabo]],BD!A:AJ,36,0)=0,"Pendente",VLOOKUP(Tabela11[[#This Row],[Tag do Cabo]],BD!A:AJ,36,0))</f>
        <v>5</v>
      </c>
      <c r="H38" s="391" t="str">
        <f>VLOOKUP(Tabela11[[#This Row],[Tag do Cabo]],BD!A:AJ,32,0)</f>
        <v>7HV</v>
      </c>
      <c r="I38" s="7" t="str">
        <f>VLOOKUP(Tabela11[[#This Row],[Tag do Cabo]],BD!A:AJ,11,0)</f>
        <v>CELLAR AREA (7HV-FS-01)</v>
      </c>
      <c r="J38" s="3" t="str">
        <f>VLOOKUP(Tabela11[[#This Row],[Tag do Cabo]],BD!A:AJ,12,0)</f>
        <v>E-HOUSE (PA-7HV-COM)</v>
      </c>
      <c r="K38" s="391" t="s">
        <v>1548</v>
      </c>
      <c r="L38" s="391" t="s">
        <v>1549</v>
      </c>
      <c r="M38" s="3" t="str">
        <f>CONCATENATE(Tabela11[[#This Row],[Painel 1]]&amp;" "&amp;Tabela11[[#This Row],[Painel 2]])</f>
        <v>7HV-FS-01 PA-7HV-COM</v>
      </c>
      <c r="N38" s="218">
        <v>6</v>
      </c>
      <c r="O38" s="391" t="s">
        <v>92</v>
      </c>
      <c r="P38" s="391" t="s">
        <v>1550</v>
      </c>
      <c r="Q38" s="391">
        <f>VLOOKUP(Tabela11[[#This Row],[Tag do Cabo]],BD!A:F,6,0)</f>
        <v>1.5</v>
      </c>
      <c r="R38" s="391">
        <f>SUMIF('Lançamento de Cabos'!AE:AE,Tabela11[[#This Row],[Tag do Cabo]],'Lançamento de Cabos'!AG:AG)</f>
        <v>9</v>
      </c>
      <c r="S38" s="28">
        <f>Tabela11[[#This Row],[Ligações Realizadas]]/Tabela11[[#This Row],[Qtde Ligações]]</f>
        <v>1.5</v>
      </c>
      <c r="T38" s="272" t="str">
        <f>IF(Tabela11[[#This Row],[Ligações Realizadas]]/Tabela11[[#This Row],[Qtde Ligações]]=0,0,IF(Tabela11[[#This Row],[Ligações Realizadas]]/Tabela11[[#This Row],[Qtde Ligações]]=1,ROUND(N38/2,0),"Ver Painel"))</f>
        <v>Ver Painel</v>
      </c>
      <c r="U38" s="273">
        <v>4</v>
      </c>
      <c r="V38" s="219" t="s">
        <v>1551</v>
      </c>
    </row>
    <row r="39" spans="1:22" hidden="1" x14ac:dyDescent="0.25">
      <c r="A39" s="34" t="s">
        <v>409</v>
      </c>
      <c r="B39" s="391" t="str">
        <f>VLOOKUP(Tabela11[[#This Row],[Tag do Cabo]],BD!A:AJ,2,0)</f>
        <v>Controle</v>
      </c>
      <c r="C39" s="3" t="str">
        <f>VLOOKUP(Tabela11[[#This Row],[Tag do Cabo]],BD!A:AJ,5,0)</f>
        <v>1x1x3xC#1,5</v>
      </c>
      <c r="D39" s="391" t="s">
        <v>1542</v>
      </c>
      <c r="E39" s="391" t="str">
        <f>VLOOKUP(Tabela11[[#This Row],[Tag do Cabo]],BD!A:T,20,0)</f>
        <v>E5WP000490-C-001-LC004</v>
      </c>
      <c r="F39" s="219" t="str">
        <f>IF(VLOOKUP(Tabela11[[#This Row],[Tag do Cabo]],BD!A:AJ,35,0)=0,"Pendente",VLOOKUP(Tabela11[[#This Row],[Tag do Cabo]],BD!A:AJ,35,0))</f>
        <v>Não Localizado</v>
      </c>
      <c r="G39" s="3" t="str">
        <f>IF(VLOOKUP(Tabela11[[#This Row],[Tag do Cabo]],BD!A:AJ,36,0)=0,"Pendente",VLOOKUP(Tabela11[[#This Row],[Tag do Cabo]],BD!A:AJ,36,0))</f>
        <v>-</v>
      </c>
      <c r="H39" s="391" t="str">
        <f>VLOOKUP(Tabela11[[#This Row],[Tag do Cabo]],BD!A:AJ,32,0)</f>
        <v>7HV</v>
      </c>
      <c r="I39" s="7" t="str">
        <f>VLOOKUP(Tabela11[[#This Row],[Tag do Cabo]],BD!A:AJ,11,0)</f>
        <v>CELLAR AREA (7HV-FS-01)</v>
      </c>
      <c r="J39" s="3" t="str">
        <f>VLOOKUP(Tabela11[[#This Row],[Tag do Cabo]],BD!A:AJ,12,0)</f>
        <v>E-HOUSE (PA-7HV-COM)</v>
      </c>
      <c r="K39" s="391" t="s">
        <v>1548</v>
      </c>
      <c r="L39" s="391" t="s">
        <v>1549</v>
      </c>
      <c r="M39" s="3" t="str">
        <f>CONCATENATE(Tabela11[[#This Row],[Painel 1]]&amp;" "&amp;Tabela11[[#This Row],[Painel 2]])</f>
        <v>7HV-FS-01 PA-7HV-COM</v>
      </c>
      <c r="N39" s="218">
        <v>2</v>
      </c>
      <c r="O39" s="391">
        <f>COUNTIF(Tabela12[Tag Cabo],Tabela11[[#This Row],[Tag do Cabo]])</f>
        <v>0</v>
      </c>
      <c r="P39" s="391" t="str">
        <f>IF(Tabela11[[#This Row],[Qtde Ligações]]&lt;&gt;Tabela11[[#This Row],[Qtde Anilhas]],"Ver","Ok")</f>
        <v>Ver</v>
      </c>
      <c r="Q39" s="391">
        <f>VLOOKUP(Tabela11[[#This Row],[Tag do Cabo]],BD!A:F,6,0)</f>
        <v>1.5</v>
      </c>
      <c r="R39" s="391">
        <f>SUMIF('Lançamento de Cabos'!AE:AE,Tabela11[[#This Row],[Tag do Cabo]],'Lançamento de Cabos'!AG:AG)</f>
        <v>2</v>
      </c>
      <c r="S39" s="28">
        <f>Tabela11[[#This Row],[Ligações Realizadas]]/Tabela11[[#This Row],[Qtde Ligações]]</f>
        <v>1</v>
      </c>
      <c r="T39" s="272">
        <f>IF(Tabela11[[#This Row],[Ligações Realizadas]]/Tabela11[[#This Row],[Qtde Ligações]]=0,0,IF(Tabela11[[#This Row],[Ligações Realizadas]]/Tabela11[[#This Row],[Qtde Ligações]]=1,ROUND(N39/2,0),"Ver Painel"))</f>
        <v>1</v>
      </c>
      <c r="U39" s="273">
        <f>IF(Tabela11[[#This Row],[Ligações Realizadas]]/Tabela11[[#This Row],[Qtde Ligações]]=0,0,IF(Tabela11[[#This Row],[Ligações Realizadas]]/Tabela11[[#This Row],[Qtde Ligações]]=1,ROUND(N39/2,0),"Ver Painel"))</f>
        <v>1</v>
      </c>
      <c r="V39" s="219" t="s">
        <v>1552</v>
      </c>
    </row>
    <row r="40" spans="1:22" hidden="1" x14ac:dyDescent="0.25">
      <c r="A40" s="34" t="s">
        <v>580</v>
      </c>
      <c r="B40" s="391" t="str">
        <f>VLOOKUP(Tabela11[[#This Row],[Tag do Cabo]],BD!A:AJ,2,0)</f>
        <v>FO</v>
      </c>
      <c r="C40" s="3" t="str">
        <f>VLOOKUP(Tabela11[[#This Row],[Tag do Cabo]],BD!A:AJ,5,0)</f>
        <v>CABO ÓPTICO 4 VIAS</v>
      </c>
      <c r="D40" s="391" t="s">
        <v>1533</v>
      </c>
      <c r="E40" s="391" t="str">
        <f>VLOOKUP(Tabela11[[#This Row],[Tag do Cabo]],BD!A:T,20,0)</f>
        <v>BK-SP54-0900A-LC-74-00001_00000</v>
      </c>
      <c r="F40" s="222" t="str">
        <f>IF(VLOOKUP(Tabela11[[#This Row],[Tag do Cabo]],BD!A:AJ,35,0)=0,"Pendente",VLOOKUP(Tabela11[[#This Row],[Tag do Cabo]],BD!A:AJ,35,0))</f>
        <v>BK-SP54-0900B-DI-74-00450</v>
      </c>
      <c r="G40" s="3" t="str">
        <f>IF(VLOOKUP(Tabela11[[#This Row],[Tag do Cabo]],BD!A:AJ,36,0)=0,"Pendente",VLOOKUP(Tabela11[[#This Row],[Tag do Cabo]],BD!A:AJ,36,0))</f>
        <v>30</v>
      </c>
      <c r="H40" s="391" t="str">
        <f>VLOOKUP(Tabela11[[#This Row],[Tag do Cabo]],BD!A:AJ,32,0)</f>
        <v>7HVx1HV</v>
      </c>
      <c r="I40" s="7" t="str">
        <f>VLOOKUP(Tabela11[[#This Row],[Tag do Cabo]],BD!A:AJ,11,0)</f>
        <v>7HV</v>
      </c>
      <c r="J40" s="3" t="str">
        <f>VLOOKUP(Tabela11[[#This Row],[Tag do Cabo]],BD!A:AJ,12,0)</f>
        <v>REMOTA 1HV</v>
      </c>
      <c r="K40" s="391" t="s">
        <v>937</v>
      </c>
      <c r="L40" s="391" t="s">
        <v>582</v>
      </c>
      <c r="M40" s="3" t="str">
        <f>CONCATENATE(Tabela11[[#This Row],[Painel 1]]&amp;" "&amp;Tabela11[[#This Row],[Painel 2]])</f>
        <v>PAINEL 7HV REMOTA 1HV</v>
      </c>
      <c r="N40" s="218">
        <v>8</v>
      </c>
      <c r="O40" s="391" t="s">
        <v>92</v>
      </c>
      <c r="P40" s="391" t="s">
        <v>107</v>
      </c>
      <c r="Q40" s="391" t="str">
        <f>VLOOKUP(Tabela11[[#This Row],[Tag do Cabo]],BD!A:F,6,0)</f>
        <v>-</v>
      </c>
      <c r="R40" s="391">
        <f>SUMIF('Lançamento de Cabos'!AE:AE,Tabela11[[#This Row],[Tag do Cabo]],'Lançamento de Cabos'!AG:AG)</f>
        <v>0</v>
      </c>
      <c r="S40" s="28">
        <f>Tabela11[[#This Row],[Ligações Realizadas]]/Tabela11[[#This Row],[Qtde Ligações]]</f>
        <v>0</v>
      </c>
      <c r="T40" s="269">
        <f>IF(Tabela11[[#This Row],[Ligações Realizadas]]/Tabela11[[#This Row],[Qtde Ligações]]=0,0,IF(Tabela11[[#This Row],[Ligações Realizadas]]/Tabela11[[#This Row],[Qtde Ligações]]=1,ROUND(N40/2,0),"Ver Painel"))</f>
        <v>0</v>
      </c>
      <c r="U40" s="23">
        <f>IF(Tabela11[[#This Row],[Ligações Realizadas]]/Tabela11[[#This Row],[Qtde Ligações]]=0,0,IF(Tabela11[[#This Row],[Ligações Realizadas]]/Tabela11[[#This Row],[Qtde Ligações]]=1,ROUND(N40/2,0),"Ver Painel"))</f>
        <v>0</v>
      </c>
      <c r="V40" s="219"/>
    </row>
    <row r="41" spans="1:22" hidden="1" x14ac:dyDescent="0.25">
      <c r="A41" s="34" t="s">
        <v>410</v>
      </c>
      <c r="B41" s="391" t="str">
        <f>VLOOKUP(Tabela11[[#This Row],[Tag do Cabo]],BD!A:AJ,2,0)</f>
        <v>Força</v>
      </c>
      <c r="C41" s="3" t="str">
        <f>VLOOKUP(Tabela11[[#This Row],[Tag do Cabo]],BD!A:AJ,5,0)</f>
        <v>1x3x1/C#70</v>
      </c>
      <c r="D41" s="391" t="s">
        <v>1542</v>
      </c>
      <c r="E41" s="391" t="str">
        <f>VLOOKUP(Tabela11[[#This Row],[Tag do Cabo]],BD!A:T,20,0)</f>
        <v>E5WP000490-C-001-LC003</v>
      </c>
      <c r="F41" s="3" t="str">
        <f>IF(VLOOKUP(Tabela11[[#This Row],[Tag do Cabo]],BD!A:AJ,35,0)=0,"Pendente",VLOOKUP(Tabela11[[#This Row],[Tag do Cabo]],BD!A:AJ,35,0))</f>
        <v>E5WP000490-C-002-DE003</v>
      </c>
      <c r="G41" s="3" t="str">
        <f>IF(VLOOKUP(Tabela11[[#This Row],[Tag do Cabo]],BD!A:AJ,36,0)=0,"Pendente",VLOOKUP(Tabela11[[#This Row],[Tag do Cabo]],BD!A:AJ,36,0))</f>
        <v>2</v>
      </c>
      <c r="H41" s="391" t="str">
        <f>VLOOKUP(Tabela11[[#This Row],[Tag do Cabo]],BD!A:AJ,32,0)</f>
        <v>7HV</v>
      </c>
      <c r="I41" s="7" t="str">
        <f>VLOOKUP(Tabela11[[#This Row],[Tag do Cabo]],BD!A:AJ,11,0)</f>
        <v>E-HOUSE (7HV)</v>
      </c>
      <c r="J41" s="3" t="str">
        <f>VLOOKUP(Tabela11[[#This Row],[Tag do Cabo]],BD!A:AJ,12,0)</f>
        <v>CELLAR AREA (TR-09A)</v>
      </c>
      <c r="K41" s="391" t="s">
        <v>937</v>
      </c>
      <c r="L41" s="391" t="s">
        <v>1553</v>
      </c>
      <c r="M41" s="3" t="str">
        <f>CONCATENATE(Tabela11[[#This Row],[Painel 1]]&amp;" "&amp;Tabela11[[#This Row],[Painel 2]])</f>
        <v>PAINEL 7HV TR-09A</v>
      </c>
      <c r="N41" s="157">
        <v>6</v>
      </c>
      <c r="O41" s="391" t="s">
        <v>92</v>
      </c>
      <c r="P41" s="391" t="s">
        <v>1536</v>
      </c>
      <c r="Q41" s="391">
        <f>VLOOKUP(Tabela11[[#This Row],[Tag do Cabo]],BD!A:F,6,0)</f>
        <v>70</v>
      </c>
      <c r="R41" s="391">
        <f>SUMIF('Lançamento de Cabos'!AE:AE,Tabela11[[#This Row],[Tag do Cabo]],'Lançamento de Cabos'!AG:AG)</f>
        <v>6</v>
      </c>
      <c r="S41" s="28">
        <f>Tabela11[[#This Row],[Ligações Realizadas]]/Tabela11[[#This Row],[Qtde Ligações]]</f>
        <v>1</v>
      </c>
      <c r="T41" s="272">
        <f>IF(Tabela11[[#This Row],[Ligações Realizadas]]/Tabela11[[#This Row],[Qtde Ligações]]=0,0,IF(Tabela11[[#This Row],[Ligações Realizadas]]/Tabela11[[#This Row],[Qtde Ligações]]=1,ROUND(N41/2,0),"Ver Painel"))</f>
        <v>3</v>
      </c>
      <c r="U41" s="273">
        <f>IF(Tabela11[[#This Row],[Ligações Realizadas]]/Tabela11[[#This Row],[Qtde Ligações]]=0,0,IF(Tabela11[[#This Row],[Ligações Realizadas]]/Tabela11[[#This Row],[Qtde Ligações]]=1,ROUND(N41/2,0),"Ver Painel"))</f>
        <v>3</v>
      </c>
      <c r="V41" s="222"/>
    </row>
    <row r="42" spans="1:22" hidden="1" x14ac:dyDescent="0.25">
      <c r="A42" s="34" t="s">
        <v>417</v>
      </c>
      <c r="B42" s="391" t="str">
        <f>VLOOKUP(Tabela11[[#This Row],[Tag do Cabo]],BD!A:AJ,2,0)</f>
        <v>Força</v>
      </c>
      <c r="C42" s="3" t="str">
        <f>VLOOKUP(Tabela11[[#This Row],[Tag do Cabo]],BD!A:AJ,5,0)</f>
        <v>1x3x1/C#70</v>
      </c>
      <c r="D42" s="391" t="s">
        <v>1542</v>
      </c>
      <c r="E42" s="391" t="str">
        <f>VLOOKUP(Tabela11[[#This Row],[Tag do Cabo]],BD!A:T,20,0)</f>
        <v>E5WP000490-C-001-LC003</v>
      </c>
      <c r="F42" s="3" t="str">
        <f>IF(VLOOKUP(Tabela11[[#This Row],[Tag do Cabo]],BD!A:AJ,35,0)=0,"Pendente",VLOOKUP(Tabela11[[#This Row],[Tag do Cabo]],BD!A:AJ,35,0))</f>
        <v>E5WP000490-C-002-DE003</v>
      </c>
      <c r="G42" s="3" t="str">
        <f>IF(VLOOKUP(Tabela11[[#This Row],[Tag do Cabo]],BD!A:AJ,36,0)=0,"Pendente",VLOOKUP(Tabela11[[#This Row],[Tag do Cabo]],BD!A:AJ,36,0))</f>
        <v>2</v>
      </c>
      <c r="H42" s="391" t="str">
        <f>VLOOKUP(Tabela11[[#This Row],[Tag do Cabo]],BD!A:AJ,32,0)</f>
        <v>7HV</v>
      </c>
      <c r="I42" s="7" t="str">
        <f>VLOOKUP(Tabela11[[#This Row],[Tag do Cabo]],BD!A:AJ,11,0)</f>
        <v>E-HOUSE (7HV)</v>
      </c>
      <c r="J42" s="3" t="str">
        <f>VLOOKUP(Tabela11[[#This Row],[Tag do Cabo]],BD!A:AJ,12,0)</f>
        <v>CELLAR AREA (TR-09B)</v>
      </c>
      <c r="K42" s="391" t="s">
        <v>937</v>
      </c>
      <c r="L42" s="391" t="s">
        <v>1554</v>
      </c>
      <c r="M42" s="3" t="str">
        <f>CONCATENATE(Tabela11[[#This Row],[Painel 1]]&amp;" "&amp;Tabela11[[#This Row],[Painel 2]])</f>
        <v>PAINEL 7HV TR-09B</v>
      </c>
      <c r="N42" s="157">
        <v>6</v>
      </c>
      <c r="O42" s="391" t="s">
        <v>92</v>
      </c>
      <c r="P42" s="391" t="s">
        <v>1536</v>
      </c>
      <c r="Q42" s="391">
        <f>VLOOKUP(Tabela11[[#This Row],[Tag do Cabo]],BD!A:F,6,0)</f>
        <v>70</v>
      </c>
      <c r="R42" s="391">
        <f>SUMIF('Lançamento de Cabos'!AE:AE,Tabela11[[#This Row],[Tag do Cabo]],'Lançamento de Cabos'!AG:AG)</f>
        <v>6</v>
      </c>
      <c r="S42" s="28">
        <f>Tabela11[[#This Row],[Ligações Realizadas]]/Tabela11[[#This Row],[Qtde Ligações]]</f>
        <v>1</v>
      </c>
      <c r="T42" s="272">
        <f>IF(Tabela11[[#This Row],[Ligações Realizadas]]/Tabela11[[#This Row],[Qtde Ligações]]=0,0,IF(Tabela11[[#This Row],[Ligações Realizadas]]/Tabela11[[#This Row],[Qtde Ligações]]=1,ROUND(N42/2,0),"Ver Painel"))</f>
        <v>3</v>
      </c>
      <c r="U42" s="273">
        <f>IF(Tabela11[[#This Row],[Ligações Realizadas]]/Tabela11[[#This Row],[Qtde Ligações]]=0,0,IF(Tabela11[[#This Row],[Ligações Realizadas]]/Tabela11[[#This Row],[Qtde Ligações]]=1,ROUND(N42/2,0),"Ver Painel"))</f>
        <v>3</v>
      </c>
      <c r="V42" s="222"/>
    </row>
    <row r="43" spans="1:22" hidden="1" x14ac:dyDescent="0.25">
      <c r="A43" s="34" t="s">
        <v>419</v>
      </c>
      <c r="B43" s="391" t="str">
        <f>VLOOKUP(Tabela11[[#This Row],[Tag do Cabo]],BD!A:AJ,2,0)</f>
        <v>Força</v>
      </c>
      <c r="C43" s="3" t="str">
        <f>VLOOKUP(Tabela11[[#This Row],[Tag do Cabo]],BD!A:AJ,5,0)</f>
        <v>1x3x1/C#70</v>
      </c>
      <c r="D43" s="391" t="s">
        <v>1542</v>
      </c>
      <c r="E43" s="391" t="str">
        <f>VLOOKUP(Tabela11[[#This Row],[Tag do Cabo]],BD!A:T,20,0)</f>
        <v>E5WP000490-C-001-LC003</v>
      </c>
      <c r="F43" s="3" t="str">
        <f>IF(VLOOKUP(Tabela11[[#This Row],[Tag do Cabo]],BD!A:AJ,35,0)=0,"Pendente",VLOOKUP(Tabela11[[#This Row],[Tag do Cabo]],BD!A:AJ,35,0))</f>
        <v>E5WP000490-C-002-DE003</v>
      </c>
      <c r="G43" s="3" t="str">
        <f>IF(VLOOKUP(Tabela11[[#This Row],[Tag do Cabo]],BD!A:AJ,36,0)=0,"Pendente",VLOOKUP(Tabela11[[#This Row],[Tag do Cabo]],BD!A:AJ,36,0))</f>
        <v>2</v>
      </c>
      <c r="H43" s="391" t="str">
        <f>VLOOKUP(Tabela11[[#This Row],[Tag do Cabo]],BD!A:AJ,32,0)</f>
        <v>7HV</v>
      </c>
      <c r="I43" s="7" t="str">
        <f>VLOOKUP(Tabela11[[#This Row],[Tag do Cabo]],BD!A:AJ,11,0)</f>
        <v>E-HOUSE (7HV)</v>
      </c>
      <c r="J43" s="3" t="str">
        <f>VLOOKUP(Tabela11[[#This Row],[Tag do Cabo]],BD!A:AJ,12,0)</f>
        <v>CELLAR AREA (TR-27)</v>
      </c>
      <c r="K43" s="391" t="s">
        <v>937</v>
      </c>
      <c r="L43" s="391" t="s">
        <v>1555</v>
      </c>
      <c r="M43" s="3" t="str">
        <f>CONCATENATE(Tabela11[[#This Row],[Painel 1]]&amp;" "&amp;Tabela11[[#This Row],[Painel 2]])</f>
        <v>PAINEL 7HV TR-27</v>
      </c>
      <c r="N43" s="157">
        <v>6</v>
      </c>
      <c r="O43" s="391" t="s">
        <v>92</v>
      </c>
      <c r="P43" s="391" t="s">
        <v>1536</v>
      </c>
      <c r="Q43" s="391">
        <f>VLOOKUP(Tabela11[[#This Row],[Tag do Cabo]],BD!A:F,6,0)</f>
        <v>70</v>
      </c>
      <c r="R43" s="391">
        <f>SUMIF('Lançamento de Cabos'!AE:AE,Tabela11[[#This Row],[Tag do Cabo]],'Lançamento de Cabos'!AG:AG)</f>
        <v>6</v>
      </c>
      <c r="S43" s="28">
        <f>Tabela11[[#This Row],[Ligações Realizadas]]/Tabela11[[#This Row],[Qtde Ligações]]</f>
        <v>1</v>
      </c>
      <c r="T43" s="272">
        <f>IF(Tabela11[[#This Row],[Ligações Realizadas]]/Tabela11[[#This Row],[Qtde Ligações]]=0,0,IF(Tabela11[[#This Row],[Ligações Realizadas]]/Tabela11[[#This Row],[Qtde Ligações]]=1,ROUND(N43/2,0),"Ver Painel"))</f>
        <v>3</v>
      </c>
      <c r="U43" s="273">
        <f>IF(Tabela11[[#This Row],[Ligações Realizadas]]/Tabela11[[#This Row],[Qtde Ligações]]=0,0,IF(Tabela11[[#This Row],[Ligações Realizadas]]/Tabela11[[#This Row],[Qtde Ligações]]=1,ROUND(N43/2,0),"Ver Painel"))</f>
        <v>3</v>
      </c>
      <c r="V43" s="222"/>
    </row>
    <row r="44" spans="1:22" hidden="1" x14ac:dyDescent="0.25">
      <c r="A44" s="34" t="s">
        <v>421</v>
      </c>
      <c r="B44" s="391" t="str">
        <f>VLOOKUP(Tabela11[[#This Row],[Tag do Cabo]],BD!A:AJ,2,0)</f>
        <v>Força</v>
      </c>
      <c r="C44" s="3" t="str">
        <f>VLOOKUP(Tabela11[[#This Row],[Tag do Cabo]],BD!A:AJ,5,0)</f>
        <v>1x3x1/C#70</v>
      </c>
      <c r="D44" s="391" t="s">
        <v>1542</v>
      </c>
      <c r="E44" s="391" t="str">
        <f>VLOOKUP(Tabela11[[#This Row],[Tag do Cabo]],BD!A:T,20,0)</f>
        <v>E5WP000490-C-001-LC003</v>
      </c>
      <c r="F44" s="3" t="str">
        <f>IF(VLOOKUP(Tabela11[[#This Row],[Tag do Cabo]],BD!A:AJ,35,0)=0,"Pendente",VLOOKUP(Tabela11[[#This Row],[Tag do Cabo]],BD!A:AJ,35,0))</f>
        <v>E5WP000490-C-002-DE003</v>
      </c>
      <c r="G44" s="3" t="str">
        <f>IF(VLOOKUP(Tabela11[[#This Row],[Tag do Cabo]],BD!A:AJ,36,0)=0,"Pendente",VLOOKUP(Tabela11[[#This Row],[Tag do Cabo]],BD!A:AJ,36,0))</f>
        <v>2</v>
      </c>
      <c r="H44" s="391" t="str">
        <f>VLOOKUP(Tabela11[[#This Row],[Tag do Cabo]],BD!A:AJ,32,0)</f>
        <v>7HV</v>
      </c>
      <c r="I44" s="7" t="str">
        <f>VLOOKUP(Tabela11[[#This Row],[Tag do Cabo]],BD!A:AJ,11,0)</f>
        <v>E-HOUSE (7HV)</v>
      </c>
      <c r="J44" s="3" t="str">
        <f>VLOOKUP(Tabela11[[#This Row],[Tag do Cabo]],BD!A:AJ,12,0)</f>
        <v>CELLAR AREA (TR-08A/B)</v>
      </c>
      <c r="K44" s="391" t="s">
        <v>937</v>
      </c>
      <c r="L44" s="391" t="s">
        <v>1556</v>
      </c>
      <c r="M44" s="3" t="str">
        <f>CONCATENATE(Tabela11[[#This Row],[Painel 1]]&amp;" "&amp;Tabela11[[#This Row],[Painel 2]])</f>
        <v>PAINEL 7HV TR-08A/B</v>
      </c>
      <c r="N44" s="157">
        <v>6</v>
      </c>
      <c r="O44" s="391" t="s">
        <v>92</v>
      </c>
      <c r="P44" s="391" t="s">
        <v>1536</v>
      </c>
      <c r="Q44" s="391">
        <f>VLOOKUP(Tabela11[[#This Row],[Tag do Cabo]],BD!A:F,6,0)</f>
        <v>70</v>
      </c>
      <c r="R44" s="391">
        <f>SUMIF('Lançamento de Cabos'!AE:AE,Tabela11[[#This Row],[Tag do Cabo]],'Lançamento de Cabos'!AG:AG)</f>
        <v>6</v>
      </c>
      <c r="S44" s="28">
        <f>Tabela11[[#This Row],[Ligações Realizadas]]/Tabela11[[#This Row],[Qtde Ligações]]</f>
        <v>1</v>
      </c>
      <c r="T44" s="272">
        <f>IF(Tabela11[[#This Row],[Ligações Realizadas]]/Tabela11[[#This Row],[Qtde Ligações]]=0,0,IF(Tabela11[[#This Row],[Ligações Realizadas]]/Tabela11[[#This Row],[Qtde Ligações]]=1,ROUND(N44/2,0),"Ver Painel"))</f>
        <v>3</v>
      </c>
      <c r="U44" s="273">
        <f>IF(Tabela11[[#This Row],[Ligações Realizadas]]/Tabela11[[#This Row],[Qtde Ligações]]=0,0,IF(Tabela11[[#This Row],[Ligações Realizadas]]/Tabela11[[#This Row],[Qtde Ligações]]=1,ROUND(N44/2,0),"Ver Painel"))</f>
        <v>3</v>
      </c>
      <c r="V44" s="222"/>
    </row>
    <row r="45" spans="1:22" hidden="1" x14ac:dyDescent="0.25">
      <c r="A45" s="34" t="s">
        <v>423</v>
      </c>
      <c r="B45" s="391" t="str">
        <f>VLOOKUP(Tabela11[[#This Row],[Tag do Cabo]],BD!A:AJ,2,0)</f>
        <v>Força</v>
      </c>
      <c r="C45" s="3" t="str">
        <f>VLOOKUP(Tabela11[[#This Row],[Tag do Cabo]],BD!A:AJ,5,0)</f>
        <v>1x3x1/C#70</v>
      </c>
      <c r="D45" s="391" t="s">
        <v>1542</v>
      </c>
      <c r="E45" s="391" t="str">
        <f>VLOOKUP(Tabela11[[#This Row],[Tag do Cabo]],BD!A:T,20,0)</f>
        <v>E5WP000490-C-001-LC003</v>
      </c>
      <c r="F45" s="3" t="str">
        <f>IF(VLOOKUP(Tabela11[[#This Row],[Tag do Cabo]],BD!A:AJ,35,0)=0,"Pendente",VLOOKUP(Tabela11[[#This Row],[Tag do Cabo]],BD!A:AJ,35,0))</f>
        <v>E5WP000490-C-002-DE003</v>
      </c>
      <c r="G45" s="3" t="str">
        <f>IF(VLOOKUP(Tabela11[[#This Row],[Tag do Cabo]],BD!A:AJ,36,0)=0,"Pendente",VLOOKUP(Tabela11[[#This Row],[Tag do Cabo]],BD!A:AJ,36,0))</f>
        <v>2</v>
      </c>
      <c r="H45" s="391" t="str">
        <f>VLOOKUP(Tabela11[[#This Row],[Tag do Cabo]],BD!A:AJ,32,0)</f>
        <v>7HV</v>
      </c>
      <c r="I45" s="7" t="str">
        <f>VLOOKUP(Tabela11[[#This Row],[Tag do Cabo]],BD!A:AJ,11,0)</f>
        <v>E-HOUSE (7HV)</v>
      </c>
      <c r="J45" s="3" t="str">
        <f>VLOOKUP(Tabela11[[#This Row],[Tag do Cabo]],BD!A:AJ,12,0)</f>
        <v>CELLAR AREA (TR-24A)</v>
      </c>
      <c r="K45" s="391" t="s">
        <v>937</v>
      </c>
      <c r="L45" s="391" t="s">
        <v>1557</v>
      </c>
      <c r="M45" s="3" t="str">
        <f>CONCATENATE(Tabela11[[#This Row],[Painel 1]]&amp;" "&amp;Tabela11[[#This Row],[Painel 2]])</f>
        <v>PAINEL 7HV TR-24A</v>
      </c>
      <c r="N45" s="157">
        <v>6</v>
      </c>
      <c r="O45" s="391" t="s">
        <v>92</v>
      </c>
      <c r="P45" s="391" t="s">
        <v>1536</v>
      </c>
      <c r="Q45" s="391">
        <f>VLOOKUP(Tabela11[[#This Row],[Tag do Cabo]],BD!A:F,6,0)</f>
        <v>70</v>
      </c>
      <c r="R45" s="391">
        <f>SUMIF('Lançamento de Cabos'!AE:AE,Tabela11[[#This Row],[Tag do Cabo]],'Lançamento de Cabos'!AG:AG)</f>
        <v>6</v>
      </c>
      <c r="S45" s="28">
        <f>Tabela11[[#This Row],[Ligações Realizadas]]/Tabela11[[#This Row],[Qtde Ligações]]</f>
        <v>1</v>
      </c>
      <c r="T45" s="272">
        <f>IF(Tabela11[[#This Row],[Ligações Realizadas]]/Tabela11[[#This Row],[Qtde Ligações]]=0,0,IF(Tabela11[[#This Row],[Ligações Realizadas]]/Tabela11[[#This Row],[Qtde Ligações]]=1,ROUND(N45/2,0),"Ver Painel"))</f>
        <v>3</v>
      </c>
      <c r="U45" s="273">
        <f>IF(Tabela11[[#This Row],[Ligações Realizadas]]/Tabela11[[#This Row],[Qtde Ligações]]=0,0,IF(Tabela11[[#This Row],[Ligações Realizadas]]/Tabela11[[#This Row],[Qtde Ligações]]=1,ROUND(N45/2,0),"Ver Painel"))</f>
        <v>3</v>
      </c>
      <c r="V45" s="222"/>
    </row>
    <row r="46" spans="1:22" hidden="1" x14ac:dyDescent="0.25">
      <c r="A46" s="34" t="s">
        <v>425</v>
      </c>
      <c r="B46" s="391" t="str">
        <f>VLOOKUP(Tabela11[[#This Row],[Tag do Cabo]],BD!A:AJ,2,0)</f>
        <v>Força</v>
      </c>
      <c r="C46" s="3" t="str">
        <f>VLOOKUP(Tabela11[[#This Row],[Tag do Cabo]],BD!A:AJ,5,0)</f>
        <v>1x3x1/C#70</v>
      </c>
      <c r="D46" s="391" t="s">
        <v>1542</v>
      </c>
      <c r="E46" s="391" t="str">
        <f>VLOOKUP(Tabela11[[#This Row],[Tag do Cabo]],BD!A:T,20,0)</f>
        <v>E5WP000490-C-001-LC003</v>
      </c>
      <c r="F46" s="3" t="str">
        <f>IF(VLOOKUP(Tabela11[[#This Row],[Tag do Cabo]],BD!A:AJ,35,0)=0,"Pendente",VLOOKUP(Tabela11[[#This Row],[Tag do Cabo]],BD!A:AJ,35,0))</f>
        <v>E5WP000490-C-002-DE003</v>
      </c>
      <c r="G46" s="3" t="str">
        <f>IF(VLOOKUP(Tabela11[[#This Row],[Tag do Cabo]],BD!A:AJ,36,0)=0,"Pendente",VLOOKUP(Tabela11[[#This Row],[Tag do Cabo]],BD!A:AJ,36,0))</f>
        <v>2</v>
      </c>
      <c r="H46" s="391" t="str">
        <f>VLOOKUP(Tabela11[[#This Row],[Tag do Cabo]],BD!A:AJ,32,0)</f>
        <v>7HV</v>
      </c>
      <c r="I46" s="7" t="str">
        <f>VLOOKUP(Tabela11[[#This Row],[Tag do Cabo]],BD!A:AJ,11,0)</f>
        <v>E-HOUSE (7HV)</v>
      </c>
      <c r="J46" s="3" t="str">
        <f>VLOOKUP(Tabela11[[#This Row],[Tag do Cabo]],BD!A:AJ,12,0)</f>
        <v>CELLAR AREA (TR-24B)</v>
      </c>
      <c r="K46" s="391" t="s">
        <v>937</v>
      </c>
      <c r="L46" s="391" t="s">
        <v>1558</v>
      </c>
      <c r="M46" s="3" t="str">
        <f>CONCATENATE(Tabela11[[#This Row],[Painel 1]]&amp;" "&amp;Tabela11[[#This Row],[Painel 2]])</f>
        <v>PAINEL 7HV TR-24B</v>
      </c>
      <c r="N46" s="157">
        <v>6</v>
      </c>
      <c r="O46" s="391" t="s">
        <v>92</v>
      </c>
      <c r="P46" s="391" t="s">
        <v>1536</v>
      </c>
      <c r="Q46" s="391">
        <f>VLOOKUP(Tabela11[[#This Row],[Tag do Cabo]],BD!A:F,6,0)</f>
        <v>70</v>
      </c>
      <c r="R46" s="391">
        <f>SUMIF('Lançamento de Cabos'!AE:AE,Tabela11[[#This Row],[Tag do Cabo]],'Lançamento de Cabos'!AG:AG)</f>
        <v>6</v>
      </c>
      <c r="S46" s="28">
        <f>Tabela11[[#This Row],[Ligações Realizadas]]/Tabela11[[#This Row],[Qtde Ligações]]</f>
        <v>1</v>
      </c>
      <c r="T46" s="272">
        <f>IF(Tabela11[[#This Row],[Ligações Realizadas]]/Tabela11[[#This Row],[Qtde Ligações]]=0,0,IF(Tabela11[[#This Row],[Ligações Realizadas]]/Tabela11[[#This Row],[Qtde Ligações]]=1,ROUND(N46/2,0),"Ver Painel"))</f>
        <v>3</v>
      </c>
      <c r="U46" s="273">
        <f>IF(Tabela11[[#This Row],[Ligações Realizadas]]/Tabela11[[#This Row],[Qtde Ligações]]=0,0,IF(Tabela11[[#This Row],[Ligações Realizadas]]/Tabela11[[#This Row],[Qtde Ligações]]=1,ROUND(N46/2,0),"Ver Painel"))</f>
        <v>3</v>
      </c>
      <c r="V46" s="222"/>
    </row>
    <row r="47" spans="1:22" hidden="1" x14ac:dyDescent="0.25">
      <c r="A47" s="34" t="s">
        <v>427</v>
      </c>
      <c r="B47" s="391" t="str">
        <f>VLOOKUP(Tabela11[[#This Row],[Tag do Cabo]],BD!A:AJ,2,0)</f>
        <v>Força</v>
      </c>
      <c r="C47" s="3" t="str">
        <f>VLOOKUP(Tabela11[[#This Row],[Tag do Cabo]],BD!A:AJ,5,0)</f>
        <v>1x3x1/C#95</v>
      </c>
      <c r="D47" s="391" t="s">
        <v>1542</v>
      </c>
      <c r="E47" s="391" t="str">
        <f>VLOOKUP(Tabela11[[#This Row],[Tag do Cabo]],BD!A:T,20,0)</f>
        <v>E5WP000490-C-001-LC003</v>
      </c>
      <c r="F47" s="3" t="str">
        <f>IF(VLOOKUP(Tabela11[[#This Row],[Tag do Cabo]],BD!A:AJ,35,0)=0,"Pendente",VLOOKUP(Tabela11[[#This Row],[Tag do Cabo]],BD!A:AJ,35,0))</f>
        <v>E5WP000490-C-002-DE003</v>
      </c>
      <c r="G47" s="3" t="str">
        <f>IF(VLOOKUP(Tabela11[[#This Row],[Tag do Cabo]],BD!A:AJ,36,0)=0,"Pendente",VLOOKUP(Tabela11[[#This Row],[Tag do Cabo]],BD!A:AJ,36,0))</f>
        <v>2</v>
      </c>
      <c r="H47" s="391" t="str">
        <f>VLOOKUP(Tabela11[[#This Row],[Tag do Cabo]],BD!A:AJ,32,0)</f>
        <v>7HV</v>
      </c>
      <c r="I47" s="7" t="str">
        <f>VLOOKUP(Tabela11[[#This Row],[Tag do Cabo]],BD!A:AJ,11,0)</f>
        <v>E-HOUSE (7HV)</v>
      </c>
      <c r="J47" s="3" t="str">
        <f>VLOOKUP(Tabela11[[#This Row],[Tag do Cabo]],BD!A:AJ,12,0)</f>
        <v>CELLAR AREA (TR-26A)</v>
      </c>
      <c r="K47" s="391" t="s">
        <v>937</v>
      </c>
      <c r="L47" s="391" t="s">
        <v>1559</v>
      </c>
      <c r="M47" s="3" t="str">
        <f>CONCATENATE(Tabela11[[#This Row],[Painel 1]]&amp;" "&amp;Tabela11[[#This Row],[Painel 2]])</f>
        <v>PAINEL 7HV TR-26A</v>
      </c>
      <c r="N47" s="157">
        <v>6</v>
      </c>
      <c r="O47" s="391" t="s">
        <v>92</v>
      </c>
      <c r="P47" s="391" t="s">
        <v>1536</v>
      </c>
      <c r="Q47" s="391">
        <f>VLOOKUP(Tabela11[[#This Row],[Tag do Cabo]],BD!A:F,6,0)</f>
        <v>95</v>
      </c>
      <c r="R47" s="391">
        <f>SUMIF('Lançamento de Cabos'!AE:AE,Tabela11[[#This Row],[Tag do Cabo]],'Lançamento de Cabos'!AG:AG)</f>
        <v>6</v>
      </c>
      <c r="S47" s="28">
        <f>Tabela11[[#This Row],[Ligações Realizadas]]/Tabela11[[#This Row],[Qtde Ligações]]</f>
        <v>1</v>
      </c>
      <c r="T47" s="272">
        <f>IF(Tabela11[[#This Row],[Ligações Realizadas]]/Tabela11[[#This Row],[Qtde Ligações]]=0,0,IF(Tabela11[[#This Row],[Ligações Realizadas]]/Tabela11[[#This Row],[Qtde Ligações]]=1,ROUND(N47/2,0),"Ver Painel"))</f>
        <v>3</v>
      </c>
      <c r="U47" s="273">
        <f>IF(Tabela11[[#This Row],[Ligações Realizadas]]/Tabela11[[#This Row],[Qtde Ligações]]=0,0,IF(Tabela11[[#This Row],[Ligações Realizadas]]/Tabela11[[#This Row],[Qtde Ligações]]=1,ROUND(N47/2,0),"Ver Painel"))</f>
        <v>3</v>
      </c>
      <c r="V47" s="222"/>
    </row>
    <row r="48" spans="1:22" hidden="1" x14ac:dyDescent="0.25">
      <c r="A48" s="34" t="s">
        <v>430</v>
      </c>
      <c r="B48" s="391" t="str">
        <f>VLOOKUP(Tabela11[[#This Row],[Tag do Cabo]],BD!A:AJ,2,0)</f>
        <v>Força</v>
      </c>
      <c r="C48" s="3" t="str">
        <f>VLOOKUP(Tabela11[[#This Row],[Tag do Cabo]],BD!A:AJ,5,0)</f>
        <v>1x3x1/C#95</v>
      </c>
      <c r="D48" s="391" t="s">
        <v>1542</v>
      </c>
      <c r="E48" s="391" t="str">
        <f>VLOOKUP(Tabela11[[#This Row],[Tag do Cabo]],BD!A:T,20,0)</f>
        <v>E5WP000490-C-001-LC003</v>
      </c>
      <c r="F48" s="3" t="str">
        <f>IF(VLOOKUP(Tabela11[[#This Row],[Tag do Cabo]],BD!A:AJ,35,0)=0,"Pendente",VLOOKUP(Tabela11[[#This Row],[Tag do Cabo]],BD!A:AJ,35,0))</f>
        <v>E5WP000490-C-002-DE003</v>
      </c>
      <c r="G48" s="3" t="str">
        <f>IF(VLOOKUP(Tabela11[[#This Row],[Tag do Cabo]],BD!A:AJ,36,0)=0,"Pendente",VLOOKUP(Tabela11[[#This Row],[Tag do Cabo]],BD!A:AJ,36,0))</f>
        <v>2</v>
      </c>
      <c r="H48" s="391" t="str">
        <f>VLOOKUP(Tabela11[[#This Row],[Tag do Cabo]],BD!A:AJ,32,0)</f>
        <v>7HV</v>
      </c>
      <c r="I48" s="7" t="str">
        <f>VLOOKUP(Tabela11[[#This Row],[Tag do Cabo]],BD!A:AJ,11,0)</f>
        <v>E-HOUSE (7HV)</v>
      </c>
      <c r="J48" s="3" t="str">
        <f>VLOOKUP(Tabela11[[#This Row],[Tag do Cabo]],BD!A:AJ,12,0)</f>
        <v>CELLAR AREA (TR-26B)</v>
      </c>
      <c r="K48" s="391" t="s">
        <v>937</v>
      </c>
      <c r="L48" s="391" t="s">
        <v>1560</v>
      </c>
      <c r="M48" s="3" t="str">
        <f>CONCATENATE(Tabela11[[#This Row],[Painel 1]]&amp;" "&amp;Tabela11[[#This Row],[Painel 2]])</f>
        <v>PAINEL 7HV TR-26B</v>
      </c>
      <c r="N48" s="157">
        <v>6</v>
      </c>
      <c r="O48" s="391" t="s">
        <v>92</v>
      </c>
      <c r="P48" s="391" t="s">
        <v>1536</v>
      </c>
      <c r="Q48" s="391">
        <f>VLOOKUP(Tabela11[[#This Row],[Tag do Cabo]],BD!A:F,6,0)</f>
        <v>95</v>
      </c>
      <c r="R48" s="391">
        <f>SUMIF('Lançamento de Cabos'!AE:AE,Tabela11[[#This Row],[Tag do Cabo]],'Lançamento de Cabos'!AG:AG)</f>
        <v>6</v>
      </c>
      <c r="S48" s="28">
        <f>Tabela11[[#This Row],[Ligações Realizadas]]/Tabela11[[#This Row],[Qtde Ligações]]</f>
        <v>1</v>
      </c>
      <c r="T48" s="272">
        <f>IF(Tabela11[[#This Row],[Ligações Realizadas]]/Tabela11[[#This Row],[Qtde Ligações]]=0,0,IF(Tabela11[[#This Row],[Ligações Realizadas]]/Tabela11[[#This Row],[Qtde Ligações]]=1,ROUND(N48/2,0),"Ver Painel"))</f>
        <v>3</v>
      </c>
      <c r="U48" s="273">
        <f>IF(Tabela11[[#This Row],[Ligações Realizadas]]/Tabela11[[#This Row],[Qtde Ligações]]=0,0,IF(Tabela11[[#This Row],[Ligações Realizadas]]/Tabela11[[#This Row],[Qtde Ligações]]=1,ROUND(N48/2,0),"Ver Painel"))</f>
        <v>3</v>
      </c>
      <c r="V48" s="222"/>
    </row>
    <row r="49" spans="1:22" hidden="1" x14ac:dyDescent="0.25">
      <c r="A49" s="34" t="s">
        <v>904</v>
      </c>
      <c r="B49" s="391" t="str">
        <f>VLOOKUP(Tabela11[[#This Row],[Tag do Cabo]],BD!A:AJ,2,0)</f>
        <v>Controle</v>
      </c>
      <c r="C49" s="3" t="str">
        <f>VLOOKUP(Tabela11[[#This Row],[Tag do Cabo]],BD!A:AJ,5,0)</f>
        <v>1x12/C#2,5</v>
      </c>
      <c r="D49" s="391" t="s">
        <v>1533</v>
      </c>
      <c r="E49" s="391" t="str">
        <f>VLOOKUP(Tabela11[[#This Row],[Tag do Cabo]],BD!A:T,20,0)</f>
        <v>BK-SP54-0900A-LC-74-00001_00000</v>
      </c>
      <c r="F49" s="3" t="str">
        <f>IF(VLOOKUP(Tabela11[[#This Row],[Tag do Cabo]],BD!A:AJ,35,0)=0,"Pendente",VLOOKUP(Tabela11[[#This Row],[Tag do Cabo]],BD!A:AJ,35,0))</f>
        <v>BK-SP54-0900B-DI-70-00451</v>
      </c>
      <c r="G49" s="3" t="str">
        <f>IF(VLOOKUP(Tabela11[[#This Row],[Tag do Cabo]],BD!A:AJ,36,0)=0,"Pendente",VLOOKUP(Tabela11[[#This Row],[Tag do Cabo]],BD!A:AJ,36,0))</f>
        <v>2</v>
      </c>
      <c r="H49" s="391" t="str">
        <f>VLOOKUP(Tabela11[[#This Row],[Tag do Cabo]],BD!A:AJ,32,0)</f>
        <v>8HVx1HV</v>
      </c>
      <c r="I49" s="7" t="str">
        <f>VLOOKUP(Tabela11[[#This Row],[Tag do Cabo]],BD!A:AJ,11,0)</f>
        <v>PAINEL 8HV</v>
      </c>
      <c r="J49" s="3" t="str">
        <f>VLOOKUP(Tabela11[[#This Row],[Tag do Cabo]],BD!A:AJ,12,0)</f>
        <v>1HV-BUS1 (BLOQUEIO / TRIP)</v>
      </c>
      <c r="K49" s="391" t="s">
        <v>856</v>
      </c>
      <c r="L49" s="391" t="s">
        <v>911</v>
      </c>
      <c r="M49" s="3" t="str">
        <f>CONCATENATE(Tabela11[[#This Row],[Painel 1]]&amp;" "&amp;Tabela11[[#This Row],[Painel 2]])</f>
        <v>PAINEL 8HV 1HV-BUS1</v>
      </c>
      <c r="N49" s="157">
        <v>12</v>
      </c>
      <c r="O49" s="391">
        <f>COUNTIF(Tabela12[Tag Cabo],Tabela11[[#This Row],[Tag do Cabo]])</f>
        <v>12</v>
      </c>
      <c r="P49" s="391" t="str">
        <f>IF(Tabela11[[#This Row],[Qtde Ligações]]&lt;&gt;Tabela11[[#This Row],[Qtde Anilhas]],"Ver","Ok")</f>
        <v>Ok</v>
      </c>
      <c r="Q49" s="391">
        <f>VLOOKUP(Tabela11[[#This Row],[Tag do Cabo]],BD!A:F,6,0)</f>
        <v>2.5</v>
      </c>
      <c r="R49" s="391">
        <f>SUMIF('Lançamento de Cabos'!AE:AE,Tabela11[[#This Row],[Tag do Cabo]],'Lançamento de Cabos'!AG:AG)</f>
        <v>6</v>
      </c>
      <c r="S49" s="28">
        <f>Tabela11[[#This Row],[Ligações Realizadas]]/Tabela11[[#This Row],[Qtde Ligações]]</f>
        <v>0.5</v>
      </c>
      <c r="T49" s="270">
        <v>6</v>
      </c>
      <c r="U49" s="271">
        <v>0</v>
      </c>
      <c r="V49" s="222"/>
    </row>
    <row r="50" spans="1:22" hidden="1" x14ac:dyDescent="0.25">
      <c r="A50" s="34" t="s">
        <v>909</v>
      </c>
      <c r="B50" s="391" t="str">
        <f>VLOOKUP(Tabela11[[#This Row],[Tag do Cabo]],BD!A:AJ,2,0)</f>
        <v>Força</v>
      </c>
      <c r="C50" s="3" t="str">
        <f>VLOOKUP(Tabela11[[#This Row],[Tag do Cabo]],BD!A:AJ,5,0)</f>
        <v>5x3x1/c#185</v>
      </c>
      <c r="D50" s="391" t="s">
        <v>1533</v>
      </c>
      <c r="E50" s="391" t="str">
        <f>VLOOKUP(Tabela11[[#This Row],[Tag do Cabo]],BD!A:T,20,0)</f>
        <v>BK-SP54-0900A-LC-74-00001_00000</v>
      </c>
      <c r="F50" s="3" t="str">
        <f>IF(VLOOKUP(Tabela11[[#This Row],[Tag do Cabo]],BD!A:AJ,35,0)=0,"Pendente",VLOOKUP(Tabela11[[#This Row],[Tag do Cabo]],BD!A:AJ,35,0))</f>
        <v>BK-SP54-0900B-DI-70-00451</v>
      </c>
      <c r="G50" s="3" t="str">
        <f>IF(VLOOKUP(Tabela11[[#This Row],[Tag do Cabo]],BD!A:AJ,36,0)=0,"Pendente",VLOOKUP(Tabela11[[#This Row],[Tag do Cabo]],BD!A:AJ,36,0))</f>
        <v>2</v>
      </c>
      <c r="H50" s="391" t="str">
        <f>VLOOKUP(Tabela11[[#This Row],[Tag do Cabo]],BD!A:AJ,32,0)</f>
        <v>8HVx1HV</v>
      </c>
      <c r="I50" s="7" t="str">
        <f>VLOOKUP(Tabela11[[#This Row],[Tag do Cabo]],BD!A:AJ,11,0)</f>
        <v>PAINEL 8HV</v>
      </c>
      <c r="J50" s="3" t="str">
        <f>VLOOKUP(Tabela11[[#This Row],[Tag do Cabo]],BD!A:AJ,12,0)</f>
        <v>1HV-BUS1</v>
      </c>
      <c r="K50" s="391" t="s">
        <v>856</v>
      </c>
      <c r="L50" s="391" t="s">
        <v>911</v>
      </c>
      <c r="M50" s="3" t="str">
        <f>CONCATENATE(Tabela11[[#This Row],[Painel 1]]&amp;" "&amp;Tabela11[[#This Row],[Painel 2]])</f>
        <v>PAINEL 8HV 1HV-BUS1</v>
      </c>
      <c r="N50" s="157">
        <v>30</v>
      </c>
      <c r="O50" s="391" t="s">
        <v>92</v>
      </c>
      <c r="P50" s="391" t="s">
        <v>1536</v>
      </c>
      <c r="Q50" s="391">
        <f>VLOOKUP(Tabela11[[#This Row],[Tag do Cabo]],BD!A:F,6,0)</f>
        <v>185</v>
      </c>
      <c r="R50" s="391">
        <f>SUMIF('Lançamento de Cabos'!AE:AE,Tabela11[[#This Row],[Tag do Cabo]],'Lançamento de Cabos'!AG:AG)</f>
        <v>30</v>
      </c>
      <c r="S50" s="28">
        <f>Tabela11[[#This Row],[Ligações Realizadas]]/Tabela11[[#This Row],[Qtde Ligações]]</f>
        <v>1</v>
      </c>
      <c r="T50" s="272">
        <f>IF(Tabela11[[#This Row],[Ligações Realizadas]]/Tabela11[[#This Row],[Qtde Ligações]]=0,0,IF(Tabela11[[#This Row],[Ligações Realizadas]]/Tabela11[[#This Row],[Qtde Ligações]]=1,ROUND(N50/2,0),"Ver Painel"))</f>
        <v>15</v>
      </c>
      <c r="U50" s="273">
        <f>IF(Tabela11[[#This Row],[Ligações Realizadas]]/Tabela11[[#This Row],[Qtde Ligações]]=0,0,IF(Tabela11[[#This Row],[Ligações Realizadas]]/Tabela11[[#This Row],[Qtde Ligações]]=1,ROUND(N50/2,0),"Ver Painel"))</f>
        <v>15</v>
      </c>
      <c r="V50" s="222"/>
    </row>
    <row r="51" spans="1:22" hidden="1" x14ac:dyDescent="0.25">
      <c r="A51" s="34" t="s">
        <v>930</v>
      </c>
      <c r="B51" s="391" t="str">
        <f>VLOOKUP(Tabela11[[#This Row],[Tag do Cabo]],BD!A:AJ,2,0)</f>
        <v>Controle</v>
      </c>
      <c r="C51" s="3" t="str">
        <f>VLOOKUP(Tabela11[[#This Row],[Tag do Cabo]],BD!A:AJ,5,0)</f>
        <v>1x12/C#2,5</v>
      </c>
      <c r="D51" s="391" t="s">
        <v>1542</v>
      </c>
      <c r="E51" s="391" t="str">
        <f>VLOOKUP(Tabela11[[#This Row],[Tag do Cabo]],BD!A:T,20,0)</f>
        <v>BK-SP54-0900A-LC-74-00001_00000</v>
      </c>
      <c r="F51" s="3" t="str">
        <f>IF(VLOOKUP(Tabela11[[#This Row],[Tag do Cabo]],BD!A:AJ,35,0)=0,"Pendente",VLOOKUP(Tabela11[[#This Row],[Tag do Cabo]],BD!A:AJ,35,0))</f>
        <v>BK-SP54-0900B-DI-70-01014</v>
      </c>
      <c r="G51" s="3" t="str">
        <f>IF(VLOOKUP(Tabela11[[#This Row],[Tag do Cabo]],BD!A:AJ,36,0)=0,"Pendente",VLOOKUP(Tabela11[[#This Row],[Tag do Cabo]],BD!A:AJ,36,0))</f>
        <v>5</v>
      </c>
      <c r="H51" s="391" t="str">
        <f>VLOOKUP(Tabela11[[#This Row],[Tag do Cabo]],BD!A:AJ,32,0)</f>
        <v>8HVx7HV</v>
      </c>
      <c r="I51" s="7" t="str">
        <f>VLOOKUP(Tabela11[[#This Row],[Tag do Cabo]],BD!A:AJ,11,0)</f>
        <v>PAINEL 8HV</v>
      </c>
      <c r="J51" s="3" t="str">
        <f>VLOOKUP(Tabela11[[#This Row],[Tag do Cabo]],BD!A:AJ,12,0)</f>
        <v>PAINEL 7HV (BLOQUEIO / TRIP)</v>
      </c>
      <c r="K51" s="391" t="s">
        <v>856</v>
      </c>
      <c r="L51" s="391" t="s">
        <v>937</v>
      </c>
      <c r="M51" s="3" t="str">
        <f>CONCATENATE(Tabela11[[#This Row],[Painel 1]]&amp;" "&amp;Tabela11[[#This Row],[Painel 2]])</f>
        <v>PAINEL 8HV PAINEL 7HV</v>
      </c>
      <c r="N51" s="157">
        <v>8</v>
      </c>
      <c r="O51" s="391">
        <f>COUNTIF(Tabela12[Tag Cabo],Tabela11[[#This Row],[Tag do Cabo]])</f>
        <v>8</v>
      </c>
      <c r="P51" s="391" t="str">
        <f>IF(Tabela11[[#This Row],[Qtde Ligações]]&lt;&gt;Tabela11[[#This Row],[Qtde Anilhas]],"Ver","Ok")</f>
        <v>Ok</v>
      </c>
      <c r="Q51" s="391">
        <f>VLOOKUP(Tabela11[[#This Row],[Tag do Cabo]],BD!A:F,6,0)</f>
        <v>2.5</v>
      </c>
      <c r="R51" s="391">
        <f>SUMIF('Lançamento de Cabos'!AE:AE,Tabela11[[#This Row],[Tag do Cabo]],'Lançamento de Cabos'!AG:AG)</f>
        <v>4</v>
      </c>
      <c r="S51" s="28">
        <f>Tabela11[[#This Row],[Ligações Realizadas]]/Tabela11[[#This Row],[Qtde Ligações]]</f>
        <v>0.5</v>
      </c>
      <c r="T51" s="270">
        <v>4</v>
      </c>
      <c r="U51" s="271">
        <v>0</v>
      </c>
      <c r="V51" s="222"/>
    </row>
    <row r="52" spans="1:22" hidden="1" x14ac:dyDescent="0.25">
      <c r="A52" s="34" t="s">
        <v>936</v>
      </c>
      <c r="B52" s="391" t="str">
        <f>VLOOKUP(Tabela11[[#This Row],[Tag do Cabo]],BD!A:AJ,2,0)</f>
        <v>Força</v>
      </c>
      <c r="C52" s="3" t="str">
        <f>VLOOKUP(Tabela11[[#This Row],[Tag do Cabo]],BD!A:AJ,5,0)</f>
        <v>5x3x1/c#185</v>
      </c>
      <c r="D52" s="391" t="s">
        <v>1542</v>
      </c>
      <c r="E52" s="391" t="str">
        <f>VLOOKUP(Tabela11[[#This Row],[Tag do Cabo]],BD!A:T,20,0)</f>
        <v>BK-SP54-0900A-LC-74-00001_00000</v>
      </c>
      <c r="F52" s="3" t="str">
        <f>IF(VLOOKUP(Tabela11[[#This Row],[Tag do Cabo]],BD!A:AJ,35,0)=0,"Pendente",VLOOKUP(Tabela11[[#This Row],[Tag do Cabo]],BD!A:AJ,35,0))</f>
        <v>BK-SP54-0900B-DI-70-01014</v>
      </c>
      <c r="G52" s="3" t="str">
        <f>IF(VLOOKUP(Tabela11[[#This Row],[Tag do Cabo]],BD!A:AJ,36,0)=0,"Pendente",VLOOKUP(Tabela11[[#This Row],[Tag do Cabo]],BD!A:AJ,36,0))</f>
        <v>5</v>
      </c>
      <c r="H52" s="391" t="str">
        <f>VLOOKUP(Tabela11[[#This Row],[Tag do Cabo]],BD!A:AJ,32,0)</f>
        <v>8HVx7HV</v>
      </c>
      <c r="I52" s="7" t="str">
        <f>VLOOKUP(Tabela11[[#This Row],[Tag do Cabo]],BD!A:AJ,11,0)</f>
        <v>PAINEL 8HV</v>
      </c>
      <c r="J52" s="3" t="str">
        <f>VLOOKUP(Tabela11[[#This Row],[Tag do Cabo]],BD!A:AJ,12,0)</f>
        <v>PAINEL 7HV</v>
      </c>
      <c r="K52" s="391" t="s">
        <v>856</v>
      </c>
      <c r="L52" s="391" t="s">
        <v>937</v>
      </c>
      <c r="M52" s="3" t="str">
        <f>CONCATENATE(Tabela11[[#This Row],[Painel 1]]&amp;" "&amp;Tabela11[[#This Row],[Painel 2]])</f>
        <v>PAINEL 8HV PAINEL 7HV</v>
      </c>
      <c r="N52" s="157">
        <v>30</v>
      </c>
      <c r="O52" s="391" t="s">
        <v>92</v>
      </c>
      <c r="P52" s="391" t="s">
        <v>1536</v>
      </c>
      <c r="Q52" s="391">
        <f>VLOOKUP(Tabela11[[#This Row],[Tag do Cabo]],BD!A:F,6,0)</f>
        <v>185</v>
      </c>
      <c r="R52" s="391">
        <f>SUMIF('Lançamento de Cabos'!AE:AE,Tabela11[[#This Row],[Tag do Cabo]],'Lançamento de Cabos'!AG:AG)</f>
        <v>30</v>
      </c>
      <c r="S52" s="28">
        <f>Tabela11[[#This Row],[Ligações Realizadas]]/Tabela11[[#This Row],[Qtde Ligações]]</f>
        <v>1</v>
      </c>
      <c r="T52" s="272">
        <f>IF(Tabela11[[#This Row],[Ligações Realizadas]]/Tabela11[[#This Row],[Qtde Ligações]]=0,0,IF(Tabela11[[#This Row],[Ligações Realizadas]]/Tabela11[[#This Row],[Qtde Ligações]]=1,ROUND(N52/2,0),"Ver Painel"))</f>
        <v>15</v>
      </c>
      <c r="U52" s="273">
        <f>IF(Tabela11[[#This Row],[Ligações Realizadas]]/Tabela11[[#This Row],[Qtde Ligações]]=0,0,IF(Tabela11[[#This Row],[Ligações Realizadas]]/Tabela11[[#This Row],[Qtde Ligações]]=1,ROUND(N52/2,0),"Ver Painel"))</f>
        <v>15</v>
      </c>
      <c r="V52" s="222"/>
    </row>
    <row r="53" spans="1:22" hidden="1" x14ac:dyDescent="0.25">
      <c r="A53" s="34" t="s">
        <v>984</v>
      </c>
      <c r="B53" s="391" t="str">
        <f>VLOOKUP(Tabela11[[#This Row],[Tag do Cabo]],BD!A:AJ,2,0)</f>
        <v>Controle</v>
      </c>
      <c r="C53" s="3" t="str">
        <f>VLOOKUP(Tabela11[[#This Row],[Tag do Cabo]],BD!A:AJ,5,0)</f>
        <v>1x12/C#2,5</v>
      </c>
      <c r="D53" s="391" t="s">
        <v>1533</v>
      </c>
      <c r="E53" s="391" t="str">
        <f>VLOOKUP(Tabela11[[#This Row],[Tag do Cabo]],BD!A:T,20,0)</f>
        <v>BK-SP54-0900A-LC-74-00001_00000</v>
      </c>
      <c r="F53" s="3" t="str">
        <f>IF(VLOOKUP(Tabela11[[#This Row],[Tag do Cabo]],BD!A:AJ,35,0)=0,"Pendente",VLOOKUP(Tabela11[[#This Row],[Tag do Cabo]],BD!A:AJ,35,0))</f>
        <v>BK-SP54-0900B-DI-70-00451</v>
      </c>
      <c r="G53" s="3" t="str">
        <f>IF(VLOOKUP(Tabela11[[#This Row],[Tag do Cabo]],BD!A:AJ,36,0)=0,"Pendente",VLOOKUP(Tabela11[[#This Row],[Tag do Cabo]],BD!A:AJ,36,0))</f>
        <v>2</v>
      </c>
      <c r="H53" s="391" t="str">
        <f>VLOOKUP(Tabela11[[#This Row],[Tag do Cabo]],BD!A:AJ,32,0)</f>
        <v>8HVxCOG</v>
      </c>
      <c r="I53" s="7" t="str">
        <f>VLOOKUP(Tabela11[[#This Row],[Tag do Cabo]],BD!A:AJ,11,0)</f>
        <v>PAINEL 8HV</v>
      </c>
      <c r="J53" s="3" t="str">
        <f>VLOOKUP(Tabela11[[#This Row],[Tag do Cabo]],BD!A:AJ,12,0)</f>
        <v>PN-COGERAÇÃO (BLOQUEIO / TRIP)</v>
      </c>
      <c r="K53" s="391" t="s">
        <v>856</v>
      </c>
      <c r="L53" s="391" t="s">
        <v>1561</v>
      </c>
      <c r="M53" s="3" t="str">
        <f>CONCATENATE(Tabela11[[#This Row],[Painel 1]]&amp;" "&amp;Tabela11[[#This Row],[Painel 2]])</f>
        <v>PAINEL 8HV PN-COG</v>
      </c>
      <c r="N53" s="157">
        <v>12</v>
      </c>
      <c r="O53" s="391">
        <f>COUNTIF(Tabela12[Tag Cabo],Tabela11[[#This Row],[Tag do Cabo]])</f>
        <v>0</v>
      </c>
      <c r="P53" s="391" t="str">
        <f>IF(Tabela11[[#This Row],[Qtde Ligações]]&lt;&gt;Tabela11[[#This Row],[Qtde Anilhas]],"Ver","Ok")</f>
        <v>Ver</v>
      </c>
      <c r="Q53" s="391">
        <f>VLOOKUP(Tabela11[[#This Row],[Tag do Cabo]],BD!A:F,6,0)</f>
        <v>2.5</v>
      </c>
      <c r="R53" s="391">
        <f>SUMIF('Lançamento de Cabos'!AE:AE,Tabela11[[#This Row],[Tag do Cabo]],'Lançamento de Cabos'!AG:AG)</f>
        <v>6</v>
      </c>
      <c r="S53" s="28">
        <f>Tabela11[[#This Row],[Ligações Realizadas]]/Tabela11[[#This Row],[Qtde Ligações]]</f>
        <v>0.5</v>
      </c>
      <c r="T53" s="270">
        <v>6</v>
      </c>
      <c r="U53" s="271">
        <v>0</v>
      </c>
      <c r="V53" s="219" t="s">
        <v>1562</v>
      </c>
    </row>
    <row r="54" spans="1:22" hidden="1" x14ac:dyDescent="0.25">
      <c r="A54" s="169" t="s">
        <v>987</v>
      </c>
      <c r="B54" s="391" t="str">
        <f>VLOOKUP(Tabela11[[#This Row],[Tag do Cabo]],BD!A:AJ,2,0)</f>
        <v>Força</v>
      </c>
      <c r="C54" s="3" t="str">
        <f>VLOOKUP(Tabela11[[#This Row],[Tag do Cabo]],BD!A:AJ,5,0)</f>
        <v>6x3x1/c#240</v>
      </c>
      <c r="D54" s="391" t="s">
        <v>1533</v>
      </c>
      <c r="E54" s="391" t="str">
        <f>VLOOKUP(Tabela11[[#This Row],[Tag do Cabo]],BD!A:T,20,0)</f>
        <v>BK-SP54-0900A-LC-74-00001_00000</v>
      </c>
      <c r="F54" s="3" t="str">
        <f>IF(VLOOKUP(Tabela11[[#This Row],[Tag do Cabo]],BD!A:AJ,35,0)=0,"Pendente",VLOOKUP(Tabela11[[#This Row],[Tag do Cabo]],BD!A:AJ,35,0))</f>
        <v>BK-SP54-0900B-DI-70-00451</v>
      </c>
      <c r="G54" s="3" t="str">
        <f>IF(VLOOKUP(Tabela11[[#This Row],[Tag do Cabo]],BD!A:AJ,36,0)=0,"Pendente",VLOOKUP(Tabela11[[#This Row],[Tag do Cabo]],BD!A:AJ,36,0))</f>
        <v>2</v>
      </c>
      <c r="H54" s="391" t="str">
        <f>VLOOKUP(Tabela11[[#This Row],[Tag do Cabo]],BD!A:AJ,32,0)</f>
        <v>8HVxCOG</v>
      </c>
      <c r="I54" s="7" t="str">
        <f>VLOOKUP(Tabela11[[#This Row],[Tag do Cabo]],BD!A:AJ,11,0)</f>
        <v>PAINEL 8HV</v>
      </c>
      <c r="J54" s="3" t="str">
        <f>VLOOKUP(Tabela11[[#This Row],[Tag do Cabo]],BD!A:AJ,12,0)</f>
        <v>PN-COGERAÇÃO</v>
      </c>
      <c r="K54" s="391" t="s">
        <v>856</v>
      </c>
      <c r="L54" s="391" t="s">
        <v>1561</v>
      </c>
      <c r="M54" s="3" t="str">
        <f>CONCATENATE(Tabela11[[#This Row],[Painel 1]]&amp;" "&amp;Tabela11[[#This Row],[Painel 2]])</f>
        <v>PAINEL 8HV PN-COG</v>
      </c>
      <c r="N54" s="157">
        <v>36</v>
      </c>
      <c r="O54" s="391" t="s">
        <v>92</v>
      </c>
      <c r="P54" s="391" t="s">
        <v>1536</v>
      </c>
      <c r="Q54" s="391">
        <f>VLOOKUP(Tabela11[[#This Row],[Tag do Cabo]],BD!A:F,6,0)</f>
        <v>240</v>
      </c>
      <c r="R54" s="391">
        <f>SUMIF('Lançamento de Cabos'!AE:AE,Tabela11[[#This Row],[Tag do Cabo]],'Lançamento de Cabos'!AG:AG)</f>
        <v>36</v>
      </c>
      <c r="S54" s="28">
        <f>Tabela11[[#This Row],[Ligações Realizadas]]/Tabela11[[#This Row],[Qtde Ligações]]</f>
        <v>1</v>
      </c>
      <c r="T54" s="272">
        <f>IF(Tabela11[[#This Row],[Ligações Realizadas]]/Tabela11[[#This Row],[Qtde Ligações]]=0,0,IF(Tabela11[[#This Row],[Ligações Realizadas]]/Tabela11[[#This Row],[Qtde Ligações]]=1,ROUND(N54/2,0),"Ver Painel"))</f>
        <v>18</v>
      </c>
      <c r="U54" s="273">
        <f>IF(Tabela11[[#This Row],[Ligações Realizadas]]/Tabela11[[#This Row],[Qtde Ligações]]=0,0,IF(Tabela11[[#This Row],[Ligações Realizadas]]/Tabela11[[#This Row],[Qtde Ligações]]=1,ROUND(N54/2,0),"Ver Painel"))</f>
        <v>18</v>
      </c>
      <c r="V54" s="222"/>
    </row>
    <row r="55" spans="1:22" hidden="1" x14ac:dyDescent="0.25">
      <c r="A55" s="34" t="s">
        <v>990</v>
      </c>
      <c r="B55" s="391" t="str">
        <f>VLOOKUP(Tabela11[[#This Row],[Tag do Cabo]],BD!A:AJ,2,0)</f>
        <v>Controle</v>
      </c>
      <c r="C55" s="3" t="str">
        <f>VLOOKUP(Tabela11[[#This Row],[Tag do Cabo]],BD!A:AJ,5,0)</f>
        <v>1x12/C#2,5</v>
      </c>
      <c r="D55" s="391" t="s">
        <v>1533</v>
      </c>
      <c r="E55" s="391" t="str">
        <f>VLOOKUP(Tabela11[[#This Row],[Tag do Cabo]],BD!A:T,20,0)</f>
        <v>BK-SP54-0900A-LC-74-00001_00000</v>
      </c>
      <c r="F55" s="3" t="str">
        <f>IF(VLOOKUP(Tabela11[[#This Row],[Tag do Cabo]],BD!A:AJ,35,0)=0,"Pendente",VLOOKUP(Tabela11[[#This Row],[Tag do Cabo]],BD!A:AJ,35,0))</f>
        <v>BK-SP54-0900B-DI-70-00451</v>
      </c>
      <c r="G55" s="3" t="str">
        <f>IF(VLOOKUP(Tabela11[[#This Row],[Tag do Cabo]],BD!A:AJ,36,0)=0,"Pendente",VLOOKUP(Tabela11[[#This Row],[Tag do Cabo]],BD!A:AJ,36,0))</f>
        <v>2</v>
      </c>
      <c r="H55" s="391" t="str">
        <f>VLOOKUP(Tabela11[[#This Row],[Tag do Cabo]],BD!A:AJ,32,0)</f>
        <v>8HVxCOG</v>
      </c>
      <c r="I55" s="7" t="str">
        <f>VLOOKUP(Tabela11[[#This Row],[Tag do Cabo]],BD!A:AJ,11,0)</f>
        <v>PAINEL 8HV</v>
      </c>
      <c r="J55" s="3" t="str">
        <f>VLOOKUP(Tabela11[[#This Row],[Tag do Cabo]],BD!A:AJ,12,0)</f>
        <v>PN-COGERAÇÃO (protecao de arco)</v>
      </c>
      <c r="K55" s="391" t="s">
        <v>856</v>
      </c>
      <c r="L55" s="391" t="s">
        <v>1561</v>
      </c>
      <c r="M55" s="3" t="str">
        <f>CONCATENATE(Tabela11[[#This Row],[Painel 1]]&amp;" "&amp;Tabela11[[#This Row],[Painel 2]])</f>
        <v>PAINEL 8HV PN-COG</v>
      </c>
      <c r="N55" s="157">
        <v>8</v>
      </c>
      <c r="O55" s="391">
        <f>COUNTIF(Tabela12[Tag Cabo],Tabela11[[#This Row],[Tag do Cabo]])</f>
        <v>0</v>
      </c>
      <c r="P55" s="391" t="str">
        <f>IF(Tabela11[[#This Row],[Qtde Ligações]]&lt;&gt;Tabela11[[#This Row],[Qtde Anilhas]],"Ver","Ok")</f>
        <v>Ver</v>
      </c>
      <c r="Q55" s="391">
        <f>VLOOKUP(Tabela11[[#This Row],[Tag do Cabo]],BD!A:F,6,0)</f>
        <v>2.5</v>
      </c>
      <c r="R55" s="391">
        <f>SUMIF('Lançamento de Cabos'!AE:AE,Tabela11[[#This Row],[Tag do Cabo]],'Lançamento de Cabos'!AG:AG)</f>
        <v>4</v>
      </c>
      <c r="S55" s="28">
        <f>Tabela11[[#This Row],[Ligações Realizadas]]/Tabela11[[#This Row],[Qtde Ligações]]</f>
        <v>0.5</v>
      </c>
      <c r="T55" s="270">
        <v>4</v>
      </c>
      <c r="U55" s="271">
        <v>0</v>
      </c>
      <c r="V55" s="219" t="s">
        <v>1562</v>
      </c>
    </row>
    <row r="56" spans="1:22" hidden="1" x14ac:dyDescent="0.25">
      <c r="A56" s="34" t="s">
        <v>432</v>
      </c>
      <c r="B56" s="391" t="str">
        <f>VLOOKUP(Tabela11[[#This Row],[Tag do Cabo]],BD!A:AJ,2,0)</f>
        <v>Força</v>
      </c>
      <c r="C56" s="3" t="str">
        <f>VLOOKUP(Tabela11[[#This Row],[Tag do Cabo]],BD!A:AJ,5,0)</f>
        <v>1x1x4/C#10</v>
      </c>
      <c r="D56" s="391" t="s">
        <v>1542</v>
      </c>
      <c r="E56" s="391" t="str">
        <f>VLOOKUP(Tabela11[[#This Row],[Tag do Cabo]],BD!A:T,20,0)</f>
        <v>E5WP000490-C-001-LC003</v>
      </c>
      <c r="F56" s="3" t="str">
        <f>IF(VLOOKUP(Tabela11[[#This Row],[Tag do Cabo]],BD!A:AJ,35,0)=0,"Pendente",VLOOKUP(Tabela11[[#This Row],[Tag do Cabo]],BD!A:AJ,35,0))</f>
        <v>E5WP000490-C-002-DE003</v>
      </c>
      <c r="G56" s="3" t="str">
        <f>IF(VLOOKUP(Tabela11[[#This Row],[Tag do Cabo]],BD!A:AJ,36,0)=0,"Pendente",VLOOKUP(Tabela11[[#This Row],[Tag do Cabo]],BD!A:AJ,36,0))</f>
        <v>6</v>
      </c>
      <c r="H56" s="391" t="str">
        <f>VLOOKUP(Tabela11[[#This Row],[Tag do Cabo]],BD!A:AJ,32,0)</f>
        <v>7HV</v>
      </c>
      <c r="I56" s="7" t="str">
        <f>VLOOKUP(Tabela11[[#This Row],[Tag do Cabo]],BD!A:AJ,11,0)</f>
        <v>CELLAR AREA (BCH18-PO-02-7HV)</v>
      </c>
      <c r="J56" s="3" t="str">
        <f>VLOOKUP(Tabela11[[#This Row],[Tag do Cabo]],BD!A:AJ,12,0)</f>
        <v>E-HOUSE (BCH18-02-7HV)</v>
      </c>
      <c r="K56" s="391" t="s">
        <v>1563</v>
      </c>
      <c r="L56" s="391" t="s">
        <v>1563</v>
      </c>
      <c r="M56" s="3" t="str">
        <f>CONCATENATE(Tabela11[[#This Row],[Painel 1]]&amp;" "&amp;Tabela11[[#This Row],[Painel 2]])</f>
        <v>BCH-18 BCH-18</v>
      </c>
      <c r="N56" s="157">
        <v>6</v>
      </c>
      <c r="O56" s="391" t="s">
        <v>92</v>
      </c>
      <c r="P56" s="391" t="s">
        <v>1550</v>
      </c>
      <c r="Q56" s="391">
        <f>VLOOKUP(Tabela11[[#This Row],[Tag do Cabo]],BD!A:F,6,0)</f>
        <v>10</v>
      </c>
      <c r="R56" s="391">
        <f>SUMIF('Lançamento de Cabos'!AE:AE,Tabela11[[#This Row],[Tag do Cabo]],'Lançamento de Cabos'!AG:AG)</f>
        <v>6</v>
      </c>
      <c r="S56" s="28">
        <f>Tabela11[[#This Row],[Ligações Realizadas]]/Tabela11[[#This Row],[Qtde Ligações]]</f>
        <v>1</v>
      </c>
      <c r="T56" s="272">
        <f>IF(Tabela11[[#This Row],[Ligações Realizadas]]/Tabela11[[#This Row],[Qtde Ligações]]=0,0,IF(Tabela11[[#This Row],[Ligações Realizadas]]/Tabela11[[#This Row],[Qtde Ligações]]=1,ROUND(N56/2,0),"Ver Painel"))</f>
        <v>3</v>
      </c>
      <c r="U56" s="273">
        <f>IF(Tabela11[[#This Row],[Ligações Realizadas]]/Tabela11[[#This Row],[Qtde Ligações]]=0,0,IF(Tabela11[[#This Row],[Ligações Realizadas]]/Tabela11[[#This Row],[Qtde Ligações]]=1,ROUND(N56/2,0),"Ver Painel"))</f>
        <v>3</v>
      </c>
      <c r="V56" s="222"/>
    </row>
    <row r="57" spans="1:22" hidden="1" x14ac:dyDescent="0.25">
      <c r="A57" s="34" t="s">
        <v>436</v>
      </c>
      <c r="B57" s="391" t="str">
        <f>VLOOKUP(Tabela11[[#This Row],[Tag do Cabo]],BD!A:AJ,2,0)</f>
        <v>Força</v>
      </c>
      <c r="C57" s="3" t="str">
        <f>VLOOKUP(Tabela11[[#This Row],[Tag do Cabo]],BD!A:AJ,5,0)</f>
        <v>1x1x4/C#10</v>
      </c>
      <c r="D57" s="391" t="s">
        <v>1542</v>
      </c>
      <c r="E57" s="391" t="str">
        <f>VLOOKUP(Tabela11[[#This Row],[Tag do Cabo]],BD!A:T,20,0)</f>
        <v>E5WP000490-C-001-LC003</v>
      </c>
      <c r="F57" s="3" t="str">
        <f>IF(VLOOKUP(Tabela11[[#This Row],[Tag do Cabo]],BD!A:AJ,35,0)=0,"Pendente",VLOOKUP(Tabela11[[#This Row],[Tag do Cabo]],BD!A:AJ,35,0))</f>
        <v>E5WP000490-C-002-DE003</v>
      </c>
      <c r="G57" s="3" t="str">
        <f>IF(VLOOKUP(Tabela11[[#This Row],[Tag do Cabo]],BD!A:AJ,36,0)=0,"Pendente",VLOOKUP(Tabela11[[#This Row],[Tag do Cabo]],BD!A:AJ,36,0))</f>
        <v>6</v>
      </c>
      <c r="H57" s="391" t="str">
        <f>VLOOKUP(Tabela11[[#This Row],[Tag do Cabo]],BD!A:AJ,32,0)</f>
        <v>7HV</v>
      </c>
      <c r="I57" s="7" t="str">
        <f>VLOOKUP(Tabela11[[#This Row],[Tag do Cabo]],BD!A:AJ,11,0)</f>
        <v>CELLAR AREA (BCH18-BAT-02-7HV)</v>
      </c>
      <c r="J57" s="3" t="str">
        <f>VLOOKUP(Tabela11[[#This Row],[Tag do Cabo]],BD!A:AJ,12,0)</f>
        <v>CELLAR AREA (BCH18-PO-02-7HV)</v>
      </c>
      <c r="K57" s="391" t="s">
        <v>1563</v>
      </c>
      <c r="L57" s="391" t="s">
        <v>1563</v>
      </c>
      <c r="M57" s="3" t="str">
        <f>CONCATENATE(Tabela11[[#This Row],[Painel 1]]&amp;" "&amp;Tabela11[[#This Row],[Painel 2]])</f>
        <v>BCH-18 BCH-18</v>
      </c>
      <c r="N57" s="157">
        <v>6</v>
      </c>
      <c r="O57" s="391" t="s">
        <v>92</v>
      </c>
      <c r="P57" s="391" t="s">
        <v>1550</v>
      </c>
      <c r="Q57" s="391">
        <f>VLOOKUP(Tabela11[[#This Row],[Tag do Cabo]],BD!A:F,6,0)</f>
        <v>10</v>
      </c>
      <c r="R57" s="391">
        <f>SUMIF('Lançamento de Cabos'!AE:AE,Tabela11[[#This Row],[Tag do Cabo]],'Lançamento de Cabos'!AG:AG)</f>
        <v>6</v>
      </c>
      <c r="S57" s="28">
        <f>Tabela11[[#This Row],[Ligações Realizadas]]/Tabela11[[#This Row],[Qtde Ligações]]</f>
        <v>1</v>
      </c>
      <c r="T57" s="272">
        <f>IF(Tabela11[[#This Row],[Ligações Realizadas]]/Tabela11[[#This Row],[Qtde Ligações]]=0,0,IF(Tabela11[[#This Row],[Ligações Realizadas]]/Tabela11[[#This Row],[Qtde Ligações]]=1,ROUND(N57/2,0),"Ver Painel"))</f>
        <v>3</v>
      </c>
      <c r="U57" s="273">
        <f>IF(Tabela11[[#This Row],[Ligações Realizadas]]/Tabela11[[#This Row],[Qtde Ligações]]=0,0,IF(Tabela11[[#This Row],[Ligações Realizadas]]/Tabela11[[#This Row],[Qtde Ligações]]=1,ROUND(N57/2,0),"Ver Painel"))</f>
        <v>3</v>
      </c>
      <c r="V57" s="222"/>
    </row>
    <row r="58" spans="1:22" hidden="1" x14ac:dyDescent="0.25">
      <c r="A58" s="34" t="s">
        <v>438</v>
      </c>
      <c r="B58" s="391" t="str">
        <f>VLOOKUP(Tabela11[[#This Row],[Tag do Cabo]],BD!A:AJ,2,0)</f>
        <v>Força</v>
      </c>
      <c r="C58" s="3" t="str">
        <f>VLOOKUP(Tabela11[[#This Row],[Tag do Cabo]],BD!A:AJ,5,0)</f>
        <v>1x1x4/C#10</v>
      </c>
      <c r="D58" s="391" t="s">
        <v>1542</v>
      </c>
      <c r="E58" s="391" t="str">
        <f>VLOOKUP(Tabela11[[#This Row],[Tag do Cabo]],BD!A:T,20,0)</f>
        <v>E5WP000490-C-001-LC003</v>
      </c>
      <c r="F58" s="3" t="str">
        <f>IF(VLOOKUP(Tabela11[[#This Row],[Tag do Cabo]],BD!A:AJ,35,0)=0,"Pendente",VLOOKUP(Tabela11[[#This Row],[Tag do Cabo]],BD!A:AJ,35,0))</f>
        <v>E5WP000490-C-002-DE003</v>
      </c>
      <c r="G58" s="3" t="str">
        <f>IF(VLOOKUP(Tabela11[[#This Row],[Tag do Cabo]],BD!A:AJ,36,0)=0,"Pendente",VLOOKUP(Tabela11[[#This Row],[Tag do Cabo]],BD!A:AJ,36,0))</f>
        <v>6</v>
      </c>
      <c r="H58" s="391" t="str">
        <f>VLOOKUP(Tabela11[[#This Row],[Tag do Cabo]],BD!A:AJ,32,0)</f>
        <v>7HV</v>
      </c>
      <c r="I58" s="7" t="str">
        <f>VLOOKUP(Tabela11[[#This Row],[Tag do Cabo]],BD!A:AJ,11,0)</f>
        <v>CELLAR AREA (BCH18-BAT)</v>
      </c>
      <c r="J58" s="3" t="str">
        <f>VLOOKUP(Tabela11[[#This Row],[Tag do Cabo]],BD!A:AJ,12,0)</f>
        <v>CELLAR AREA (BCH18-POT)</v>
      </c>
      <c r="K58" s="391" t="s">
        <v>1563</v>
      </c>
      <c r="L58" s="391" t="s">
        <v>1563</v>
      </c>
      <c r="M58" s="3" t="str">
        <f>CONCATENATE(Tabela11[[#This Row],[Painel 1]]&amp;" "&amp;Tabela11[[#This Row],[Painel 2]])</f>
        <v>BCH-18 BCH-18</v>
      </c>
      <c r="N58" s="157">
        <v>6</v>
      </c>
      <c r="O58" s="391" t="s">
        <v>92</v>
      </c>
      <c r="P58" s="391" t="s">
        <v>1550</v>
      </c>
      <c r="Q58" s="391">
        <f>VLOOKUP(Tabela11[[#This Row],[Tag do Cabo]],BD!A:F,6,0)</f>
        <v>10</v>
      </c>
      <c r="R58" s="391">
        <f>SUMIF('Lançamento de Cabos'!AE:AE,Tabela11[[#This Row],[Tag do Cabo]],'Lançamento de Cabos'!AG:AG)</f>
        <v>6</v>
      </c>
      <c r="S58" s="28">
        <f>Tabela11[[#This Row],[Ligações Realizadas]]/Tabela11[[#This Row],[Qtde Ligações]]</f>
        <v>1</v>
      </c>
      <c r="T58" s="272">
        <f>IF(Tabela11[[#This Row],[Ligações Realizadas]]/Tabela11[[#This Row],[Qtde Ligações]]=0,0,IF(Tabela11[[#This Row],[Ligações Realizadas]]/Tabela11[[#This Row],[Qtde Ligações]]=1,ROUND(N58/2,0),"Ver Painel"))</f>
        <v>3</v>
      </c>
      <c r="U58" s="273">
        <f>IF(Tabela11[[#This Row],[Ligações Realizadas]]/Tabela11[[#This Row],[Qtde Ligações]]=0,0,IF(Tabela11[[#This Row],[Ligações Realizadas]]/Tabela11[[#This Row],[Qtde Ligações]]=1,ROUND(N58/2,0),"Ver Painel"))</f>
        <v>3</v>
      </c>
      <c r="V58" s="222"/>
    </row>
    <row r="59" spans="1:22" hidden="1" x14ac:dyDescent="0.25">
      <c r="A59" s="34" t="s">
        <v>441</v>
      </c>
      <c r="B59" s="391" t="str">
        <f>VLOOKUP(Tabela11[[#This Row],[Tag do Cabo]],BD!A:AJ,2,0)</f>
        <v>Força</v>
      </c>
      <c r="C59" s="3" t="str">
        <f>VLOOKUP(Tabela11[[#This Row],[Tag do Cabo]],BD!A:AJ,5,0)</f>
        <v>1x1x4/C#10</v>
      </c>
      <c r="D59" s="391" t="s">
        <v>1542</v>
      </c>
      <c r="E59" s="391" t="str">
        <f>VLOOKUP(Tabela11[[#This Row],[Tag do Cabo]],BD!A:T,20,0)</f>
        <v>E5WP000490-C-001-LC003</v>
      </c>
      <c r="F59" s="3" t="str">
        <f>IF(VLOOKUP(Tabela11[[#This Row],[Tag do Cabo]],BD!A:AJ,35,0)=0,"Pendente",VLOOKUP(Tabela11[[#This Row],[Tag do Cabo]],BD!A:AJ,35,0))</f>
        <v>E5WP000490-C-002-DE003</v>
      </c>
      <c r="G59" s="3" t="str">
        <f>IF(VLOOKUP(Tabela11[[#This Row],[Tag do Cabo]],BD!A:AJ,36,0)=0,"Pendente",VLOOKUP(Tabela11[[#This Row],[Tag do Cabo]],BD!A:AJ,36,0))</f>
        <v>6</v>
      </c>
      <c r="H59" s="391" t="str">
        <f>VLOOKUP(Tabela11[[#This Row],[Tag do Cabo]],BD!A:AJ,32,0)</f>
        <v>7HV</v>
      </c>
      <c r="I59" s="7" t="str">
        <f>VLOOKUP(Tabela11[[#This Row],[Tag do Cabo]],BD!A:AJ,11,0)</f>
        <v>CELLAR AREA (BCH18-POT)</v>
      </c>
      <c r="J59" s="3" t="str">
        <f>VLOOKUP(Tabela11[[#This Row],[Tag do Cabo]],BD!A:AJ,12,0)</f>
        <v>E-HOUSE (BCH18-7HV)</v>
      </c>
      <c r="K59" s="391" t="s">
        <v>1563</v>
      </c>
      <c r="L59" s="391" t="s">
        <v>1563</v>
      </c>
      <c r="M59" s="3" t="str">
        <f>CONCATENATE(Tabela11[[#This Row],[Painel 1]]&amp;" "&amp;Tabela11[[#This Row],[Painel 2]])</f>
        <v>BCH-18 BCH-18</v>
      </c>
      <c r="N59" s="157">
        <v>6</v>
      </c>
      <c r="O59" s="391" t="s">
        <v>92</v>
      </c>
      <c r="P59" s="391" t="s">
        <v>1550</v>
      </c>
      <c r="Q59" s="391">
        <f>VLOOKUP(Tabela11[[#This Row],[Tag do Cabo]],BD!A:F,6,0)</f>
        <v>10</v>
      </c>
      <c r="R59" s="391">
        <f>SUMIF('Lançamento de Cabos'!AE:AE,Tabela11[[#This Row],[Tag do Cabo]],'Lançamento de Cabos'!AG:AG)</f>
        <v>6</v>
      </c>
      <c r="S59" s="28">
        <f>Tabela11[[#This Row],[Ligações Realizadas]]/Tabela11[[#This Row],[Qtde Ligações]]</f>
        <v>1</v>
      </c>
      <c r="T59" s="272">
        <f>IF(Tabela11[[#This Row],[Ligações Realizadas]]/Tabela11[[#This Row],[Qtde Ligações]]=0,0,IF(Tabela11[[#This Row],[Ligações Realizadas]]/Tabela11[[#This Row],[Qtde Ligações]]=1,ROUND(N59/2,0),"Ver Painel"))</f>
        <v>3</v>
      </c>
      <c r="U59" s="273">
        <f>IF(Tabela11[[#This Row],[Ligações Realizadas]]/Tabela11[[#This Row],[Qtde Ligações]]=0,0,IF(Tabela11[[#This Row],[Ligações Realizadas]]/Tabela11[[#This Row],[Qtde Ligações]]=1,ROUND(N59/2,0),"Ver Painel"))</f>
        <v>3</v>
      </c>
      <c r="V59" s="222"/>
    </row>
    <row r="60" spans="1:22" hidden="1" x14ac:dyDescent="0.25">
      <c r="A60" s="169" t="s">
        <v>802</v>
      </c>
      <c r="B60" s="391" t="str">
        <f>VLOOKUP(Tabela11[[#This Row],[Tag do Cabo]],BD!A:AJ,2,0)</f>
        <v>Força</v>
      </c>
      <c r="C60" s="3" t="str">
        <f>VLOOKUP(Tabela11[[#This Row],[Tag do Cabo]],BD!A:AJ,5,0)</f>
        <v>2x2x1/C#120</v>
      </c>
      <c r="D60" s="391" t="s">
        <v>1533</v>
      </c>
      <c r="E60" s="391" t="str">
        <f>VLOOKUP(Tabela11[[#This Row],[Tag do Cabo]],BD!A:T,20,0)</f>
        <v>BK-SP54-0900A-LC-74-00001_00000</v>
      </c>
      <c r="F60" s="3" t="str">
        <f>IF(VLOOKUP(Tabela11[[#This Row],[Tag do Cabo]],BD!A:AJ,35,0)=0,"Pendente",VLOOKUP(Tabela11[[#This Row],[Tag do Cabo]],BD!A:AJ,35,0))</f>
        <v>BK-SP54-0900B-DI-70-00451</v>
      </c>
      <c r="G60" s="3" t="str">
        <f>IF(VLOOKUP(Tabela11[[#This Row],[Tag do Cabo]],BD!A:AJ,36,0)=0,"Pendente",VLOOKUP(Tabela11[[#This Row],[Tag do Cabo]],BD!A:AJ,36,0))</f>
        <v>6</v>
      </c>
      <c r="H60" s="391" t="str">
        <f>VLOOKUP(Tabela11[[#This Row],[Tag do Cabo]],BD!A:AJ,32,0)</f>
        <v>8HV</v>
      </c>
      <c r="I60" s="7" t="str">
        <f>VLOOKUP(Tabela11[[#This Row],[Tag do Cabo]],BD!A:AJ,11,0)</f>
        <v>BCH19-8HV - RETIFICADOR</v>
      </c>
      <c r="J60" s="3" t="str">
        <f>VLOOKUP(Tabela11[[#This Row],[Tag do Cabo]],BD!A:AJ,12,0)</f>
        <v>BCH19-POT-8HV - PAINEL DA BATERIA</v>
      </c>
      <c r="K60" s="391" t="s">
        <v>1564</v>
      </c>
      <c r="L60" s="391" t="s">
        <v>1564</v>
      </c>
      <c r="M60" s="3" t="str">
        <f>CONCATENATE(Tabela11[[#This Row],[Painel 1]]&amp;" "&amp;Tabela11[[#This Row],[Painel 2]])</f>
        <v>BCH-19 BCH-19</v>
      </c>
      <c r="N60" s="157">
        <v>8</v>
      </c>
      <c r="O60" s="391" t="s">
        <v>92</v>
      </c>
      <c r="P60" s="391" t="s">
        <v>107</v>
      </c>
      <c r="Q60" s="391">
        <f>VLOOKUP(Tabela11[[#This Row],[Tag do Cabo]],BD!A:F,6,0)</f>
        <v>120</v>
      </c>
      <c r="R60" s="391">
        <f>SUMIF('Lançamento de Cabos'!AE:AE,Tabela11[[#This Row],[Tag do Cabo]],'Lançamento de Cabos'!AG:AG)</f>
        <v>8</v>
      </c>
      <c r="S60" s="28">
        <f>Tabela11[[#This Row],[Ligações Realizadas]]/Tabela11[[#This Row],[Qtde Ligações]]</f>
        <v>1</v>
      </c>
      <c r="T60" s="272">
        <f>IF(Tabela11[[#This Row],[Ligações Realizadas]]/Tabela11[[#This Row],[Qtde Ligações]]=0,0,IF(Tabela11[[#This Row],[Ligações Realizadas]]/Tabela11[[#This Row],[Qtde Ligações]]=1,ROUND(N60/2,0),"Ver Painel"))</f>
        <v>4</v>
      </c>
      <c r="U60" s="273">
        <f>IF(Tabela11[[#This Row],[Ligações Realizadas]]/Tabela11[[#This Row],[Qtde Ligações]]=0,0,IF(Tabela11[[#This Row],[Ligações Realizadas]]/Tabela11[[#This Row],[Qtde Ligações]]=1,ROUND(N60/2,0),"Ver Painel"))</f>
        <v>4</v>
      </c>
      <c r="V60" s="222"/>
    </row>
    <row r="61" spans="1:22" hidden="1" x14ac:dyDescent="0.25">
      <c r="A61" s="34" t="s">
        <v>812</v>
      </c>
      <c r="B61" s="391" t="str">
        <f>VLOOKUP(Tabela11[[#This Row],[Tag do Cabo]],BD!A:AJ,2,0)</f>
        <v>Força</v>
      </c>
      <c r="C61" s="3" t="str">
        <f>VLOOKUP(Tabela11[[#This Row],[Tag do Cabo]],BD!A:AJ,5,0)</f>
        <v>1x2/C#50</v>
      </c>
      <c r="D61" s="391" t="s">
        <v>1533</v>
      </c>
      <c r="E61" s="391" t="str">
        <f>VLOOKUP(Tabela11[[#This Row],[Tag do Cabo]],BD!A:T,20,0)</f>
        <v>BK-SP54-0900A-LC-74-00001_00000</v>
      </c>
      <c r="F61" s="3" t="str">
        <f>IF(VLOOKUP(Tabela11[[#This Row],[Tag do Cabo]],BD!A:AJ,35,0)=0,"Pendente",VLOOKUP(Tabela11[[#This Row],[Tag do Cabo]],BD!A:AJ,35,0))</f>
        <v>BK-SP54-0900B-DI-70-00451</v>
      </c>
      <c r="G61" s="3" t="str">
        <f>IF(VLOOKUP(Tabela11[[#This Row],[Tag do Cabo]],BD!A:AJ,36,0)=0,"Pendente",VLOOKUP(Tabela11[[#This Row],[Tag do Cabo]],BD!A:AJ,36,0))</f>
        <v>4</v>
      </c>
      <c r="H61" s="391" t="str">
        <f>VLOOKUP(Tabela11[[#This Row],[Tag do Cabo]],BD!A:AJ,32,0)</f>
        <v>8HV</v>
      </c>
      <c r="I61" s="7" t="str">
        <f>VLOOKUP(Tabela11[[#This Row],[Tag do Cabo]],BD!A:AJ,11,0)</f>
        <v xml:space="preserve">BCH19-8HV - RETIFICADOR  </v>
      </c>
      <c r="J61" s="3" t="str">
        <f>VLOOKUP(Tabela11[[#This Row],[Tag do Cabo]],BD!A:AJ,12,0)</f>
        <v>TCC-34 - PAINEL 125Vcc</v>
      </c>
      <c r="K61" s="391" t="s">
        <v>1564</v>
      </c>
      <c r="L61" s="391" t="s">
        <v>1565</v>
      </c>
      <c r="M61" s="3" t="str">
        <f>CONCATENATE(Tabela11[[#This Row],[Painel 1]]&amp;" "&amp;Tabela11[[#This Row],[Painel 2]])</f>
        <v>BCH-19 TCC-34</v>
      </c>
      <c r="N61" s="157">
        <v>4</v>
      </c>
      <c r="O61" s="391" t="s">
        <v>92</v>
      </c>
      <c r="P61" s="391" t="s">
        <v>107</v>
      </c>
      <c r="Q61" s="391">
        <f>VLOOKUP(Tabela11[[#This Row],[Tag do Cabo]],BD!A:F,6,0)</f>
        <v>50</v>
      </c>
      <c r="R61" s="391">
        <f>SUMIF('Lançamento de Cabos'!AE:AE,Tabela11[[#This Row],[Tag do Cabo]],'Lançamento de Cabos'!AG:AG)</f>
        <v>4</v>
      </c>
      <c r="S61" s="28">
        <f>Tabela11[[#This Row],[Ligações Realizadas]]/Tabela11[[#This Row],[Qtde Ligações]]</f>
        <v>1</v>
      </c>
      <c r="T61" s="272">
        <f>IF(Tabela11[[#This Row],[Ligações Realizadas]]/Tabela11[[#This Row],[Qtde Ligações]]=0,0,IF(Tabela11[[#This Row],[Ligações Realizadas]]/Tabela11[[#This Row],[Qtde Ligações]]=1,ROUND(N61/2,0),"Ver Painel"))</f>
        <v>2</v>
      </c>
      <c r="U61" s="273">
        <f>IF(Tabela11[[#This Row],[Ligações Realizadas]]/Tabela11[[#This Row],[Qtde Ligações]]=0,0,IF(Tabela11[[#This Row],[Ligações Realizadas]]/Tabela11[[#This Row],[Qtde Ligações]]=1,ROUND(N61/2,0),"Ver Painel"))</f>
        <v>2</v>
      </c>
      <c r="V61" s="222"/>
    </row>
    <row r="62" spans="1:22" hidden="1" x14ac:dyDescent="0.25">
      <c r="A62" s="169" t="s">
        <v>992</v>
      </c>
      <c r="B62" s="391" t="str">
        <f>VLOOKUP(Tabela11[[#This Row],[Tag do Cabo]],BD!A:AJ,2,0)</f>
        <v>Força</v>
      </c>
      <c r="C62" s="3" t="str">
        <f>VLOOKUP(Tabela11[[#This Row],[Tag do Cabo]],BD!A:AJ,5,0)</f>
        <v>1x2x1/C#120</v>
      </c>
      <c r="D62" s="391" t="s">
        <v>1533</v>
      </c>
      <c r="E62" s="391" t="str">
        <f>VLOOKUP(Tabela11[[#This Row],[Tag do Cabo]],BD!A:T,20,0)</f>
        <v>BK-SP54-0900A-LC-74-00001_00000</v>
      </c>
      <c r="F62" s="3" t="str">
        <f>IF(VLOOKUP(Tabela11[[#This Row],[Tag do Cabo]],BD!A:AJ,35,0)=0,"Pendente",VLOOKUP(Tabela11[[#This Row],[Tag do Cabo]],BD!A:AJ,35,0))</f>
        <v>BK-SP54-0900B-DI-70-00451</v>
      </c>
      <c r="G62" s="3" t="str">
        <f>IF(VLOOKUP(Tabela11[[#This Row],[Tag do Cabo]],BD!A:AJ,36,0)=0,"Pendente",VLOOKUP(Tabela11[[#This Row],[Tag do Cabo]],BD!A:AJ,36,0))</f>
        <v>6</v>
      </c>
      <c r="H62" s="391" t="str">
        <f>VLOOKUP(Tabela11[[#This Row],[Tag do Cabo]],BD!A:AJ,32,0)</f>
        <v>8HVxCOG</v>
      </c>
      <c r="I62" s="7" t="str">
        <f>VLOOKUP(Tabela11[[#This Row],[Tag do Cabo]],BD!A:AJ,11,0)</f>
        <v>BCH19-POT-8HV - PAINEL DA BATERIA</v>
      </c>
      <c r="J62" s="3" t="str">
        <f>VLOOKUP(Tabela11[[#This Row],[Tag do Cabo]],BD!A:AJ,12,0)</f>
        <v xml:space="preserve">BCH19-BAT-8HV - BATERIAS 125VCC </v>
      </c>
      <c r="K62" s="391" t="s">
        <v>1564</v>
      </c>
      <c r="L62" s="391" t="s">
        <v>1564</v>
      </c>
      <c r="M62" s="3" t="str">
        <f>CONCATENATE(Tabela11[[#This Row],[Painel 1]]&amp;" "&amp;Tabela11[[#This Row],[Painel 2]])</f>
        <v>BCH-19 BCH-19</v>
      </c>
      <c r="N62" s="157">
        <v>4</v>
      </c>
      <c r="O62" s="391" t="s">
        <v>92</v>
      </c>
      <c r="P62" s="391" t="s">
        <v>107</v>
      </c>
      <c r="Q62" s="391">
        <f>VLOOKUP(Tabela11[[#This Row],[Tag do Cabo]],BD!A:F,6,0)</f>
        <v>120</v>
      </c>
      <c r="R62" s="391">
        <f>SUMIF('Lançamento de Cabos'!AE:AE,Tabela11[[#This Row],[Tag do Cabo]],'Lançamento de Cabos'!AG:AG)</f>
        <v>4</v>
      </c>
      <c r="S62" s="28">
        <f>Tabela11[[#This Row],[Ligações Realizadas]]/Tabela11[[#This Row],[Qtde Ligações]]</f>
        <v>1</v>
      </c>
      <c r="T62" s="272">
        <f>IF(Tabela11[[#This Row],[Ligações Realizadas]]/Tabela11[[#This Row],[Qtde Ligações]]=0,0,IF(Tabela11[[#This Row],[Ligações Realizadas]]/Tabela11[[#This Row],[Qtde Ligações]]=1,ROUND(N62/2,0),"Ver Painel"))</f>
        <v>2</v>
      </c>
      <c r="U62" s="273">
        <f>IF(Tabela11[[#This Row],[Ligações Realizadas]]/Tabela11[[#This Row],[Qtde Ligações]]=0,0,IF(Tabela11[[#This Row],[Ligações Realizadas]]/Tabela11[[#This Row],[Qtde Ligações]]=1,ROUND(N62/2,0),"Ver Painel"))</f>
        <v>2</v>
      </c>
      <c r="V62" s="222"/>
    </row>
    <row r="63" spans="1:22" hidden="1" x14ac:dyDescent="0.25">
      <c r="A63" s="34" t="s">
        <v>949</v>
      </c>
      <c r="B63" s="391" t="str">
        <f>VLOOKUP(Tabela11[[#This Row],[Tag do Cabo]],BD!A:AJ,2,0)</f>
        <v>FO</v>
      </c>
      <c r="C63" s="3" t="str">
        <f>VLOOKUP(Tabela11[[#This Row],[Tag do Cabo]],BD!A:AJ,5,0)</f>
        <v>CABO ÓPTICO 4 VIAS</v>
      </c>
      <c r="D63" s="391" t="s">
        <v>1533</v>
      </c>
      <c r="E63" s="391" t="str">
        <f>VLOOKUP(Tabela11[[#This Row],[Tag do Cabo]],BD!A:T,20,0)</f>
        <v>BK-SP54-0900A-LC-74-00001_00000</v>
      </c>
      <c r="F63" s="222" t="str">
        <f>IF(VLOOKUP(Tabela11[[#This Row],[Tag do Cabo]],BD!A:AJ,35,0)=0,"Pendente",VLOOKUP(Tabela11[[#This Row],[Tag do Cabo]],BD!A:AJ,35,0))</f>
        <v>BK-SP54-0900B-DI-74-00450</v>
      </c>
      <c r="G63" s="3" t="str">
        <f>IF(VLOOKUP(Tabela11[[#This Row],[Tag do Cabo]],BD!A:AJ,36,0)=0,"Pendente",VLOOKUP(Tabela11[[#This Row],[Tag do Cabo]],BD!A:AJ,36,0))</f>
        <v>13, 32</v>
      </c>
      <c r="H63" s="391" t="str">
        <f>VLOOKUP(Tabela11[[#This Row],[Tag do Cabo]],BD!A:AJ,32,0)</f>
        <v>8HVxCCO</v>
      </c>
      <c r="I63" s="7" t="str">
        <f>VLOOKUP(Tabela11[[#This Row],[Tag do Cabo]],BD!A:AJ,11,0)</f>
        <v>PSDC1-DIO1</v>
      </c>
      <c r="J63" s="3" t="str">
        <f>VLOOKUP(Tabela11[[#This Row],[Tag do Cabo]],BD!A:AJ,12,0)</f>
        <v>SALA SERVIDORES - CCO-DIO</v>
      </c>
      <c r="K63" s="391" t="s">
        <v>1566</v>
      </c>
      <c r="L63" s="391"/>
      <c r="M63" s="3" t="str">
        <f>CONCATENATE(Tabela11[[#This Row],[Painel 1]]&amp;" "&amp;Tabela11[[#This Row],[Painel 2]])</f>
        <v xml:space="preserve">PSDC1 </v>
      </c>
      <c r="N63" s="157">
        <v>8</v>
      </c>
      <c r="O63" s="391" t="s">
        <v>92</v>
      </c>
      <c r="P63" s="391" t="s">
        <v>107</v>
      </c>
      <c r="Q63" s="391" t="str">
        <f>VLOOKUP(Tabela11[[#This Row],[Tag do Cabo]],BD!A:F,6,0)</f>
        <v>-</v>
      </c>
      <c r="R63" s="391">
        <f>SUMIF('Lançamento de Cabos'!AE:AE,Tabela11[[#This Row],[Tag do Cabo]],'Lançamento de Cabos'!AG:AG)</f>
        <v>4</v>
      </c>
      <c r="S63" s="28">
        <f>Tabela11[[#This Row],[Ligações Realizadas]]/Tabela11[[#This Row],[Qtde Ligações]]</f>
        <v>0.5</v>
      </c>
      <c r="T63" s="269" t="str">
        <f>IF(Tabela11[[#This Row],[Ligações Realizadas]]/Tabela11[[#This Row],[Qtde Ligações]]=0,0,IF(Tabela11[[#This Row],[Ligações Realizadas]]/Tabela11[[#This Row],[Qtde Ligações]]=1,ROUND(N63/2,0),"Ver Painel"))</f>
        <v>Ver Painel</v>
      </c>
      <c r="U63" s="23" t="str">
        <f>IF(Tabela11[[#This Row],[Ligações Realizadas]]/Tabela11[[#This Row],[Qtde Ligações]]=0,0,IF(Tabela11[[#This Row],[Ligações Realizadas]]/Tabela11[[#This Row],[Qtde Ligações]]=1,ROUND(N63/2,0),"Ver Painel"))</f>
        <v>Ver Painel</v>
      </c>
      <c r="V63" s="222"/>
    </row>
    <row r="64" spans="1:22" hidden="1" x14ac:dyDescent="0.25">
      <c r="A64" s="34" t="s">
        <v>154</v>
      </c>
      <c r="B64" s="391" t="str">
        <f>VLOOKUP(Tabela11[[#This Row],[Tag do Cabo]],BD!A:AJ,2,0)</f>
        <v>FO</v>
      </c>
      <c r="C64" s="24" t="str">
        <f>VLOOKUP(Tabela11[[#This Row],[Tag do Cabo]],BD!A:AJ,5,0)</f>
        <v>CORDÃO ÓPTICO</v>
      </c>
      <c r="D64" s="391" t="s">
        <v>1533</v>
      </c>
      <c r="E64" s="391" t="str">
        <f>VLOOKUP(Tabela11[[#This Row],[Tag do Cabo]],BD!A:T,20,0)</f>
        <v>BK-SP54-0900A-LC-74-00001_00000</v>
      </c>
      <c r="F64" s="375" t="str">
        <f>IF(VLOOKUP(Tabela11[[#This Row],[Tag do Cabo]],BD!A:AJ,35,0)=0,"Pendente",VLOOKUP(Tabela11[[#This Row],[Tag do Cabo]],BD!A:AJ,35,0))</f>
        <v>BK-SP54-0900B-DI-74-00450</v>
      </c>
      <c r="G64" s="24" t="str">
        <f>IF(VLOOKUP(Tabela11[[#This Row],[Tag do Cabo]],BD!A:AJ,36,0)=0,"Pendente",VLOOKUP(Tabela11[[#This Row],[Tag do Cabo]],BD!A:AJ,36,0))</f>
        <v>30</v>
      </c>
      <c r="H64" s="391" t="str">
        <f>VLOOKUP(Tabela11[[#This Row],[Tag do Cabo]],BD!A:AJ,32,0)</f>
        <v>1HVx1MV</v>
      </c>
      <c r="I64" s="7" t="str">
        <f>VLOOKUP(Tabela11[[#This Row],[Tag do Cabo]],BD!A:AJ,11,0)</f>
        <v>ER-3</v>
      </c>
      <c r="J64" s="3" t="str">
        <f>VLOOKUP(Tabela11[[#This Row],[Tag do Cabo]],BD!A:AJ,12,0)</f>
        <v>ER-4</v>
      </c>
      <c r="K64" s="391" t="s">
        <v>105</v>
      </c>
      <c r="L64" s="391" t="s">
        <v>155</v>
      </c>
      <c r="M64" s="3" t="str">
        <f>CONCATENATE(Tabela11[[#This Row],[Painel 1]]&amp;" "&amp;Tabela11[[#This Row],[Painel 2]])</f>
        <v>ER-3 ER-4</v>
      </c>
      <c r="N64" s="218">
        <v>2</v>
      </c>
      <c r="O64" s="23">
        <f>COUNTIF(Tabela12[Tag Cabo],Tabela11[[#This Row],[Tag do Cabo]])</f>
        <v>0</v>
      </c>
      <c r="P64" s="23" t="str">
        <f>IF(Tabela11[[#This Row],[Qtde Ligações]]&lt;&gt;Tabela11[[#This Row],[Qtde Anilhas]],"Ver","Ok")</f>
        <v>Ver</v>
      </c>
      <c r="Q64" s="23" t="str">
        <f>VLOOKUP(Tabela11[[#This Row],[Tag do Cabo]],BD!A:F,6,0)</f>
        <v>-</v>
      </c>
      <c r="R64" s="23">
        <f>SUMIF('Lançamento de Cabos'!AE:AE,Tabela11[[#This Row],[Tag do Cabo]],'Lançamento de Cabos'!AG:AG)</f>
        <v>0</v>
      </c>
      <c r="S64" s="28">
        <f>Tabela11[[#This Row],[Ligações Realizadas]]/Tabela11[[#This Row],[Qtde Ligações]]</f>
        <v>0</v>
      </c>
      <c r="T64" s="269">
        <f>IF(Tabela11[[#This Row],[Ligações Realizadas]]/Tabela11[[#This Row],[Qtde Ligações]]=0,0,IF(Tabela11[[#This Row],[Ligações Realizadas]]/Tabela11[[#This Row],[Qtde Ligações]]=1,ROUND(N64/2,0),"Ver Painel"))</f>
        <v>0</v>
      </c>
      <c r="U64" s="23">
        <f>IF(Tabela11[[#This Row],[Ligações Realizadas]]/Tabela11[[#This Row],[Qtde Ligações]]=0,0,IF(Tabela11[[#This Row],[Ligações Realizadas]]/Tabela11[[#This Row],[Qtde Ligações]]=1,ROUND(N64/2,0),"Ver Painel"))</f>
        <v>0</v>
      </c>
      <c r="V64" s="219"/>
    </row>
    <row r="65" spans="1:22" hidden="1" x14ac:dyDescent="0.25">
      <c r="A65" s="34" t="s">
        <v>954</v>
      </c>
      <c r="B65" s="391" t="str">
        <f>VLOOKUP(Tabela11[[#This Row],[Tag do Cabo]],BD!A:AJ,2,0)</f>
        <v>FO</v>
      </c>
      <c r="C65" s="3" t="str">
        <f>VLOOKUP(Tabela11[[#This Row],[Tag do Cabo]],BD!A:AJ,5,0)</f>
        <v>CABO ÓPTICO 4 VIAS</v>
      </c>
      <c r="D65" s="391" t="s">
        <v>1533</v>
      </c>
      <c r="E65" s="391" t="str">
        <f>VLOOKUP(Tabela11[[#This Row],[Tag do Cabo]],BD!A:T,20,0)</f>
        <v>BK-SP54-0900A-LC-74-00001_00000</v>
      </c>
      <c r="F65" s="222" t="str">
        <f>IF(VLOOKUP(Tabela11[[#This Row],[Tag do Cabo]],BD!A:AJ,35,0)=0,"Pendente",VLOOKUP(Tabela11[[#This Row],[Tag do Cabo]],BD!A:AJ,35,0))</f>
        <v>BK-SP54-0900B-DI-74-00450</v>
      </c>
      <c r="G65" s="3" t="str">
        <f>IF(VLOOKUP(Tabela11[[#This Row],[Tag do Cabo]],BD!A:AJ,36,0)=0,"Pendente",VLOOKUP(Tabela11[[#This Row],[Tag do Cabo]],BD!A:AJ,36,0))</f>
        <v>13, 32</v>
      </c>
      <c r="H65" s="391" t="str">
        <f>VLOOKUP(Tabela11[[#This Row],[Tag do Cabo]],BD!A:AJ,32,0)</f>
        <v>8HVxCCO</v>
      </c>
      <c r="I65" s="7" t="str">
        <f>VLOOKUP(Tabela11[[#This Row],[Tag do Cabo]],BD!A:AJ,11,0)</f>
        <v>PSDC1-DIO1</v>
      </c>
      <c r="J65" s="3" t="str">
        <f>VLOOKUP(Tabela11[[#This Row],[Tag do Cabo]],BD!A:AJ,12,0)</f>
        <v>SALA SERVIDORES - CCO-DIO</v>
      </c>
      <c r="K65" s="391" t="s">
        <v>1566</v>
      </c>
      <c r="L65" s="391"/>
      <c r="M65" s="3" t="str">
        <f>CONCATENATE(Tabela11[[#This Row],[Painel 1]]&amp;" "&amp;Tabela11[[#This Row],[Painel 2]])</f>
        <v xml:space="preserve">PSDC1 </v>
      </c>
      <c r="N65" s="157">
        <v>8</v>
      </c>
      <c r="O65" s="391" t="s">
        <v>92</v>
      </c>
      <c r="P65" s="391" t="s">
        <v>107</v>
      </c>
      <c r="Q65" s="391" t="str">
        <f>VLOOKUP(Tabela11[[#This Row],[Tag do Cabo]],BD!A:F,6,0)</f>
        <v>-</v>
      </c>
      <c r="R65" s="391">
        <f>SUMIF('Lançamento de Cabos'!AE:AE,Tabela11[[#This Row],[Tag do Cabo]],'Lançamento de Cabos'!AG:AG)</f>
        <v>4</v>
      </c>
      <c r="S65" s="28">
        <f>Tabela11[[#This Row],[Ligações Realizadas]]/Tabela11[[#This Row],[Qtde Ligações]]</f>
        <v>0.5</v>
      </c>
      <c r="T65" s="269" t="str">
        <f>IF(Tabela11[[#This Row],[Ligações Realizadas]]/Tabela11[[#This Row],[Qtde Ligações]]=0,0,IF(Tabela11[[#This Row],[Ligações Realizadas]]/Tabela11[[#This Row],[Qtde Ligações]]=1,ROUND(N65/2,0),"Ver Painel"))</f>
        <v>Ver Painel</v>
      </c>
      <c r="U65" s="23" t="str">
        <f>IF(Tabela11[[#This Row],[Ligações Realizadas]]/Tabela11[[#This Row],[Qtde Ligações]]=0,0,IF(Tabela11[[#This Row],[Ligações Realizadas]]/Tabela11[[#This Row],[Qtde Ligações]]=1,ROUND(N65/2,0),"Ver Painel"))</f>
        <v>Ver Painel</v>
      </c>
      <c r="V65" s="222"/>
    </row>
    <row r="66" spans="1:22" hidden="1" x14ac:dyDescent="0.25">
      <c r="A66" s="34" t="s">
        <v>915</v>
      </c>
      <c r="B66" s="391" t="str">
        <f>VLOOKUP(Tabela11[[#This Row],[Tag do Cabo]],BD!A:AJ,2,0)</f>
        <v>FO</v>
      </c>
      <c r="C66" s="3" t="str">
        <f>VLOOKUP(Tabela11[[#This Row],[Tag do Cabo]],BD!A:AJ,5,0)</f>
        <v>CABO ÓPTICO 4 VIAS</v>
      </c>
      <c r="D66" s="391" t="s">
        <v>1533</v>
      </c>
      <c r="E66" s="391" t="str">
        <f>VLOOKUP(Tabela11[[#This Row],[Tag do Cabo]],BD!A:T,20,0)</f>
        <v>BK-SP54-0900A-LC-74-00001_00000</v>
      </c>
      <c r="F66" s="222" t="str">
        <f>IF(VLOOKUP(Tabela11[[#This Row],[Tag do Cabo]],BD!A:AJ,35,0)=0,"Pendente",VLOOKUP(Tabela11[[#This Row],[Tag do Cabo]],BD!A:AJ,35,0))</f>
        <v>BK-SP54-0900B-DI-74-00450</v>
      </c>
      <c r="G66" s="3" t="str">
        <f>IF(VLOOKUP(Tabela11[[#This Row],[Tag do Cabo]],BD!A:AJ,36,0)=0,"Pendente",VLOOKUP(Tabela11[[#This Row],[Tag do Cabo]],BD!A:AJ,36,0))</f>
        <v>13</v>
      </c>
      <c r="H66" s="391" t="str">
        <f>VLOOKUP(Tabela11[[#This Row],[Tag do Cabo]],BD!A:AJ,32,0)</f>
        <v>8HVx1HV</v>
      </c>
      <c r="I66" s="7" t="str">
        <f>VLOOKUP(Tabela11[[#This Row],[Tag do Cabo]],BD!A:AJ,11,0)</f>
        <v>PSDC1-DIO2</v>
      </c>
      <c r="J66" s="3" t="str">
        <f>VLOOKUP(Tabela11[[#This Row],[Tag do Cabo]],BD!A:AJ,12,0)</f>
        <v>PSDC2-DIO</v>
      </c>
      <c r="K66" s="391" t="s">
        <v>1566</v>
      </c>
      <c r="L66" s="391" t="s">
        <v>1535</v>
      </c>
      <c r="M66" s="3" t="str">
        <f>CONCATENATE(Tabela11[[#This Row],[Painel 1]]&amp;" "&amp;Tabela11[[#This Row],[Painel 2]])</f>
        <v>PSDC1 PSDC2</v>
      </c>
      <c r="N66" s="157">
        <v>8</v>
      </c>
      <c r="O66" s="391" t="s">
        <v>92</v>
      </c>
      <c r="P66" s="391" t="s">
        <v>107</v>
      </c>
      <c r="Q66" s="391" t="str">
        <f>VLOOKUP(Tabela11[[#This Row],[Tag do Cabo]],BD!A:F,6,0)</f>
        <v>-</v>
      </c>
      <c r="R66" s="391">
        <f>SUMIF('Lançamento de Cabos'!AE:AE,Tabela11[[#This Row],[Tag do Cabo]],'Lançamento de Cabos'!AG:AG)</f>
        <v>8</v>
      </c>
      <c r="S66" s="28">
        <f>Tabela11[[#This Row],[Ligações Realizadas]]/Tabela11[[#This Row],[Qtde Ligações]]</f>
        <v>1</v>
      </c>
      <c r="T66" s="269">
        <f>IF(Tabela11[[#This Row],[Ligações Realizadas]]/Tabela11[[#This Row],[Qtde Ligações]]=0,0,IF(Tabela11[[#This Row],[Ligações Realizadas]]/Tabela11[[#This Row],[Qtde Ligações]]=1,ROUND(N66/2,0),"Ver Painel"))</f>
        <v>4</v>
      </c>
      <c r="U66" s="23">
        <f>IF(Tabela11[[#This Row],[Ligações Realizadas]]/Tabela11[[#This Row],[Qtde Ligações]]=0,0,IF(Tabela11[[#This Row],[Ligações Realizadas]]/Tabela11[[#This Row],[Qtde Ligações]]=1,ROUND(N66/2,0),"Ver Painel"))</f>
        <v>4</v>
      </c>
      <c r="V66" s="222"/>
    </row>
    <row r="67" spans="1:22" hidden="1" x14ac:dyDescent="0.25">
      <c r="A67" s="34" t="s">
        <v>587</v>
      </c>
      <c r="B67" s="391" t="str">
        <f>VLOOKUP(Tabela11[[#This Row],[Tag do Cabo]],BD!A:AJ,2,0)</f>
        <v>FO</v>
      </c>
      <c r="C67" s="3" t="str">
        <f>VLOOKUP(Tabela11[[#This Row],[Tag do Cabo]],BD!A:AJ,5,0)</f>
        <v>CABO ÓPTICO 4 VIAS</v>
      </c>
      <c r="D67" s="391" t="s">
        <v>1533</v>
      </c>
      <c r="E67" s="391" t="str">
        <f>VLOOKUP(Tabela11[[#This Row],[Tag do Cabo]],BD!A:T,20,0)</f>
        <v>BK-SP54-0900A-LC-74-00001_00000</v>
      </c>
      <c r="F67" s="222" t="str">
        <f>IF(VLOOKUP(Tabela11[[#This Row],[Tag do Cabo]],BD!A:AJ,35,0)=0,"Pendente",VLOOKUP(Tabela11[[#This Row],[Tag do Cabo]],BD!A:AJ,35,0))</f>
        <v>BK-SP54-0900B-DI-74-00450</v>
      </c>
      <c r="G67" s="3" t="str">
        <f>IF(VLOOKUP(Tabela11[[#This Row],[Tag do Cabo]],BD!A:AJ,36,0)=0,"Pendente",VLOOKUP(Tabela11[[#This Row],[Tag do Cabo]],BD!A:AJ,36,0))</f>
        <v>29</v>
      </c>
      <c r="H67" s="391" t="str">
        <f>VLOOKUP(Tabela11[[#This Row],[Tag do Cabo]],BD!A:AJ,32,0)</f>
        <v>7HVx1HV</v>
      </c>
      <c r="I67" s="7" t="str">
        <f>VLOOKUP(Tabela11[[#This Row],[Tag do Cabo]],BD!A:AJ,11,0)</f>
        <v>PSDC2-DIO</v>
      </c>
      <c r="J67" s="3" t="str">
        <f>VLOOKUP(Tabela11[[#This Row],[Tag do Cabo]],BD!A:AJ,12,0)</f>
        <v>PSDC4-DIO1</v>
      </c>
      <c r="K67" s="391" t="s">
        <v>1535</v>
      </c>
      <c r="L67" s="391" t="s">
        <v>1567</v>
      </c>
      <c r="M67" s="3" t="str">
        <f>CONCATENATE(Tabela11[[#This Row],[Painel 1]]&amp;" "&amp;Tabela11[[#This Row],[Painel 2]])</f>
        <v>PSDC2 PSDC4</v>
      </c>
      <c r="N67" s="157">
        <v>8</v>
      </c>
      <c r="O67" s="391" t="s">
        <v>92</v>
      </c>
      <c r="P67" s="391" t="s">
        <v>107</v>
      </c>
      <c r="Q67" s="391" t="str">
        <f>VLOOKUP(Tabela11[[#This Row],[Tag do Cabo]],BD!A:F,6,0)</f>
        <v>-</v>
      </c>
      <c r="R67" s="391">
        <f>SUMIF('Lançamento de Cabos'!AE:AE,Tabela11[[#This Row],[Tag do Cabo]],'Lançamento de Cabos'!AG:AG)</f>
        <v>8</v>
      </c>
      <c r="S67" s="28">
        <f>Tabela11[[#This Row],[Ligações Realizadas]]/Tabela11[[#This Row],[Qtde Ligações]]</f>
        <v>1</v>
      </c>
      <c r="T67" s="269">
        <f>IF(Tabela11[[#This Row],[Ligações Realizadas]]/Tabela11[[#This Row],[Qtde Ligações]]=0,0,IF(Tabela11[[#This Row],[Ligações Realizadas]]/Tabela11[[#This Row],[Qtde Ligações]]=1,ROUND(N67/2,0),"Ver Painel"))</f>
        <v>4</v>
      </c>
      <c r="U67" s="23">
        <f>IF(Tabela11[[#This Row],[Ligações Realizadas]]/Tabela11[[#This Row],[Qtde Ligações]]=0,0,IF(Tabela11[[#This Row],[Ligações Realizadas]]/Tabela11[[#This Row],[Qtde Ligações]]=1,ROUND(N67/2,0),"Ver Painel"))</f>
        <v>4</v>
      </c>
      <c r="V67" s="222"/>
    </row>
    <row r="68" spans="1:22" hidden="1" x14ac:dyDescent="0.25">
      <c r="A68" s="34" t="s">
        <v>797</v>
      </c>
      <c r="B68" s="391" t="str">
        <f>VLOOKUP(Tabela11[[#This Row],[Tag do Cabo]],BD!A:AJ,2,0)</f>
        <v>FO</v>
      </c>
      <c r="C68" s="3" t="str">
        <f>VLOOKUP(Tabela11[[#This Row],[Tag do Cabo]],BD!A:AJ,5,0)</f>
        <v>CABO ÓPTICO 4 VIAS</v>
      </c>
      <c r="D68" s="391" t="s">
        <v>1533</v>
      </c>
      <c r="E68" s="391" t="str">
        <f>VLOOKUP(Tabela11[[#This Row],[Tag do Cabo]],BD!A:T,20,0)</f>
        <v>BK-SP54-0900A-LC-74-00001_00000</v>
      </c>
      <c r="F68" s="222" t="str">
        <f>IF(VLOOKUP(Tabela11[[#This Row],[Tag do Cabo]],BD!A:AJ,35,0)=0,"Pendente",VLOOKUP(Tabela11[[#This Row],[Tag do Cabo]],BD!A:AJ,35,0))</f>
        <v>BK-SP54-0900B-DI-74-00450</v>
      </c>
      <c r="G68" s="3" t="str">
        <f>IF(VLOOKUP(Tabela11[[#This Row],[Tag do Cabo]],BD!A:AJ,36,0)=0,"Pendente",VLOOKUP(Tabela11[[#This Row],[Tag do Cabo]],BD!A:AJ,36,0))</f>
        <v>4, 24</v>
      </c>
      <c r="H68" s="391" t="str">
        <f>VLOOKUP(Tabela11[[#This Row],[Tag do Cabo]],BD!A:AJ,32,0)</f>
        <v>7HVxQ3</v>
      </c>
      <c r="I68" s="7" t="str">
        <f>VLOOKUP(Tabela11[[#This Row],[Tag do Cabo]],BD!A:AJ,11,0)</f>
        <v>PSDC4 - DIO1</v>
      </c>
      <c r="J68" s="3" t="str">
        <f>VLOOKUP(Tabela11[[#This Row],[Tag do Cabo]],BD!A:AJ,12,0)</f>
        <v>PSINC1 - DOI 1</v>
      </c>
      <c r="K68" s="391" t="s">
        <v>1567</v>
      </c>
      <c r="L68" s="391" t="s">
        <v>1568</v>
      </c>
      <c r="M68" s="3" t="str">
        <f>CONCATENATE(Tabela11[[#This Row],[Painel 1]]&amp;" "&amp;Tabela11[[#This Row],[Painel 2]])</f>
        <v>PSDC4 PSINC1</v>
      </c>
      <c r="N68" s="157">
        <v>8</v>
      </c>
      <c r="O68" s="391" t="s">
        <v>92</v>
      </c>
      <c r="P68" s="391" t="s">
        <v>107</v>
      </c>
      <c r="Q68" s="391" t="str">
        <f>VLOOKUP(Tabela11[[#This Row],[Tag do Cabo]],BD!A:F,6,0)</f>
        <v>-</v>
      </c>
      <c r="R68" s="391">
        <f>SUMIF('Lançamento de Cabos'!AE:AE,Tabela11[[#This Row],[Tag do Cabo]],'Lançamento de Cabos'!AG:AG)</f>
        <v>8</v>
      </c>
      <c r="S68" s="28">
        <f>Tabela11[[#This Row],[Ligações Realizadas]]/Tabela11[[#This Row],[Qtde Ligações]]</f>
        <v>1</v>
      </c>
      <c r="T68" s="269">
        <f>IF(Tabela11[[#This Row],[Ligações Realizadas]]/Tabela11[[#This Row],[Qtde Ligações]]=0,0,IF(Tabela11[[#This Row],[Ligações Realizadas]]/Tabela11[[#This Row],[Qtde Ligações]]=1,ROUND(N68/2,0),"Ver Painel"))</f>
        <v>4</v>
      </c>
      <c r="U68" s="23">
        <f>IF(Tabela11[[#This Row],[Ligações Realizadas]]/Tabela11[[#This Row],[Qtde Ligações]]=0,0,IF(Tabela11[[#This Row],[Ligações Realizadas]]/Tabela11[[#This Row],[Qtde Ligações]]=1,ROUND(N68/2,0),"Ver Painel"))</f>
        <v>4</v>
      </c>
      <c r="V68" s="219" t="s">
        <v>1569</v>
      </c>
    </row>
    <row r="69" spans="1:22" hidden="1" x14ac:dyDescent="0.25">
      <c r="A69" s="34" t="s">
        <v>939</v>
      </c>
      <c r="B69" s="391" t="str">
        <f>VLOOKUP(Tabela11[[#This Row],[Tag do Cabo]],BD!A:AJ,2,0)</f>
        <v>FO</v>
      </c>
      <c r="C69" s="3" t="str">
        <f>VLOOKUP(Tabela11[[#This Row],[Tag do Cabo]],BD!A:AJ,5,0)</f>
        <v>CABO ÓPTICO 4 VIAS</v>
      </c>
      <c r="D69" s="391" t="s">
        <v>1533</v>
      </c>
      <c r="E69" s="391" t="str">
        <f>VLOOKUP(Tabela11[[#This Row],[Tag do Cabo]],BD!A:T,20,0)</f>
        <v>BK-SP54-0900A-LC-74-00001_00000</v>
      </c>
      <c r="F69" s="222" t="str">
        <f>IF(VLOOKUP(Tabela11[[#This Row],[Tag do Cabo]],BD!A:AJ,35,0)=0,"Pendente",VLOOKUP(Tabela11[[#This Row],[Tag do Cabo]],BD!A:AJ,35,0))</f>
        <v>BK-SP54-0900B-DI-74-00450</v>
      </c>
      <c r="G69" s="3" t="str">
        <f>IF(VLOOKUP(Tabela11[[#This Row],[Tag do Cabo]],BD!A:AJ,36,0)=0,"Pendente",VLOOKUP(Tabela11[[#This Row],[Tag do Cabo]],BD!A:AJ,36,0))</f>
        <v>24</v>
      </c>
      <c r="H69" s="391" t="str">
        <f>VLOOKUP(Tabela11[[#This Row],[Tag do Cabo]],BD!A:AJ,32,0)</f>
        <v>8HVx7HV</v>
      </c>
      <c r="I69" s="7" t="str">
        <f>VLOOKUP(Tabela11[[#This Row],[Tag do Cabo]],BD!A:AJ,11,0)</f>
        <v>PSDC4-DIO2</v>
      </c>
      <c r="J69" s="3" t="str">
        <f>VLOOKUP(Tabela11[[#This Row],[Tag do Cabo]],BD!A:AJ,12,0)</f>
        <v>8HV-DIO</v>
      </c>
      <c r="K69" s="391" t="s">
        <v>1567</v>
      </c>
      <c r="L69" s="391" t="s">
        <v>941</v>
      </c>
      <c r="M69" s="3" t="str">
        <f>CONCATENATE(Tabela11[[#This Row],[Painel 1]]&amp;" "&amp;Tabela11[[#This Row],[Painel 2]])</f>
        <v>PSDC4 8HV-DIO</v>
      </c>
      <c r="N69" s="157">
        <v>8</v>
      </c>
      <c r="O69" s="391" t="s">
        <v>92</v>
      </c>
      <c r="P69" s="391" t="s">
        <v>107</v>
      </c>
      <c r="Q69" s="391" t="str">
        <f>VLOOKUP(Tabela11[[#This Row],[Tag do Cabo]],BD!A:F,6,0)</f>
        <v>-</v>
      </c>
      <c r="R69" s="391">
        <f>SUMIF('Lançamento de Cabos'!AE:AE,Tabela11[[#This Row],[Tag do Cabo]],'Lançamento de Cabos'!AG:AG)</f>
        <v>4</v>
      </c>
      <c r="S69" s="28">
        <f>Tabela11[[#This Row],[Ligações Realizadas]]/Tabela11[[#This Row],[Qtde Ligações]]</f>
        <v>0.5</v>
      </c>
      <c r="T69" s="269" t="str">
        <f>IF(Tabela11[[#This Row],[Ligações Realizadas]]/Tabela11[[#This Row],[Qtde Ligações]]=0,0,IF(Tabela11[[#This Row],[Ligações Realizadas]]/Tabela11[[#This Row],[Qtde Ligações]]=1,ROUND(N69/2,0),"Ver Painel"))</f>
        <v>Ver Painel</v>
      </c>
      <c r="U69" s="23" t="str">
        <f>IF(Tabela11[[#This Row],[Ligações Realizadas]]/Tabela11[[#This Row],[Qtde Ligações]]=0,0,IF(Tabela11[[#This Row],[Ligações Realizadas]]/Tabela11[[#This Row],[Qtde Ligações]]=1,ROUND(N69/2,0),"Ver Painel"))</f>
        <v>Ver Painel</v>
      </c>
      <c r="V69" s="222"/>
    </row>
    <row r="70" spans="1:22" hidden="1" x14ac:dyDescent="0.25">
      <c r="A70" s="34" t="s">
        <v>946</v>
      </c>
      <c r="B70" s="391" t="str">
        <f>VLOOKUP(Tabela11[[#This Row],[Tag do Cabo]],BD!A:AJ,2,0)</f>
        <v>FO</v>
      </c>
      <c r="C70" s="3" t="str">
        <f>VLOOKUP(Tabela11[[#This Row],[Tag do Cabo]],BD!A:AJ,5,0)</f>
        <v>CABO ÓPTICO 4 VIAS</v>
      </c>
      <c r="D70" s="391" t="s">
        <v>1533</v>
      </c>
      <c r="E70" s="391" t="str">
        <f>VLOOKUP(Tabela11[[#This Row],[Tag do Cabo]],BD!A:T,20,0)</f>
        <v>BK-SP54-0900A-LC-74-00001_00000</v>
      </c>
      <c r="F70" s="219" t="str">
        <f>IF(VLOOKUP(Tabela11[[#This Row],[Tag do Cabo]],BD!A:AJ,35,0)=0,"Pendente",VLOOKUP(Tabela11[[#This Row],[Tag do Cabo]],BD!A:AJ,35,0))</f>
        <v>Não Localizado</v>
      </c>
      <c r="G70" s="3" t="str">
        <f>IF(VLOOKUP(Tabela11[[#This Row],[Tag do Cabo]],BD!A:AJ,36,0)=0,"Pendente",VLOOKUP(Tabela11[[#This Row],[Tag do Cabo]],BD!A:AJ,36,0))</f>
        <v>Pendente</v>
      </c>
      <c r="H70" s="391" t="str">
        <f>VLOOKUP(Tabela11[[#This Row],[Tag do Cabo]],BD!A:AJ,32,0)</f>
        <v>8HVx7HV</v>
      </c>
      <c r="I70" s="7" t="str">
        <f>VLOOKUP(Tabela11[[#This Row],[Tag do Cabo]],BD!A:AJ,11,0)</f>
        <v>8HV-DIO2</v>
      </c>
      <c r="J70" s="3" t="str">
        <f>VLOOKUP(Tabela11[[#This Row],[Tag do Cabo]],BD!A:AJ,12,0)</f>
        <v>PSDC4-DIO</v>
      </c>
      <c r="K70" s="391" t="s">
        <v>947</v>
      </c>
      <c r="L70" s="391" t="s">
        <v>1567</v>
      </c>
      <c r="M70" s="3" t="str">
        <f>CONCATENATE(Tabela11[[#This Row],[Painel 1]]&amp;" "&amp;Tabela11[[#This Row],[Painel 2]])</f>
        <v>8HV-DIO2 PSDC4</v>
      </c>
      <c r="N70" s="218">
        <v>8</v>
      </c>
      <c r="O70" s="391" t="s">
        <v>92</v>
      </c>
      <c r="P70" s="391" t="s">
        <v>107</v>
      </c>
      <c r="Q70" s="391" t="str">
        <f>VLOOKUP(Tabela11[[#This Row],[Tag do Cabo]],BD!A:F,6,0)</f>
        <v>-</v>
      </c>
      <c r="R70" s="391">
        <f>SUMIF('Lançamento de Cabos'!AE:AE,Tabela11[[#This Row],[Tag do Cabo]],'Lançamento de Cabos'!AG:AG)</f>
        <v>0</v>
      </c>
      <c r="S70" s="28">
        <f>Tabela11[[#This Row],[Ligações Realizadas]]/Tabela11[[#This Row],[Qtde Ligações]]</f>
        <v>0</v>
      </c>
      <c r="T70" s="269">
        <f>IF(Tabela11[[#This Row],[Ligações Realizadas]]/Tabela11[[#This Row],[Qtde Ligações]]=0,0,IF(Tabela11[[#This Row],[Ligações Realizadas]]/Tabela11[[#This Row],[Qtde Ligações]]=1,ROUND(N70/2,0),"Ver Painel"))</f>
        <v>0</v>
      </c>
      <c r="U70" s="23">
        <f>IF(Tabela11[[#This Row],[Ligações Realizadas]]/Tabela11[[#This Row],[Qtde Ligações]]=0,0,IF(Tabela11[[#This Row],[Ligações Realizadas]]/Tabela11[[#This Row],[Qtde Ligações]]=1,ROUND(N70/2,0),"Ver Painel"))</f>
        <v>0</v>
      </c>
      <c r="V70" s="219" t="s">
        <v>1552</v>
      </c>
    </row>
    <row r="71" spans="1:22" hidden="1" x14ac:dyDescent="0.25">
      <c r="A71" s="34" t="s">
        <v>1187</v>
      </c>
      <c r="B71" s="391" t="str">
        <f>VLOOKUP(Tabela11[[#This Row],[Tag do Cabo]],BD!A:AJ,2,0)</f>
        <v>FO</v>
      </c>
      <c r="C71" s="24" t="str">
        <f>VLOOKUP(Tabela11[[#This Row],[Tag do Cabo]],BD!A:AJ,5,0)</f>
        <v>CABO ÓPTICO 4 VIAS</v>
      </c>
      <c r="D71" s="391" t="s">
        <v>1533</v>
      </c>
      <c r="E71" s="391" t="str">
        <f>VLOOKUP(Tabela11[[#This Row],[Tag do Cabo]],BD!A:T,20,0)</f>
        <v>BK-SP54-0900A-LC-74-00001_00000</v>
      </c>
      <c r="F71" s="375" t="str">
        <f>IF(VLOOKUP(Tabela11[[#This Row],[Tag do Cabo]],BD!A:AJ,35,0)=0,"Pendente",VLOOKUP(Tabela11[[#This Row],[Tag do Cabo]],BD!A:AJ,35,0))</f>
        <v>BK-SP54-0900B-DI-74-00450</v>
      </c>
      <c r="G71" s="24" t="str">
        <f>IF(VLOOKUP(Tabela11[[#This Row],[Tag do Cabo]],BD!A:AJ,36,0)=0,"Pendente",VLOOKUP(Tabela11[[#This Row],[Tag do Cabo]],BD!A:AJ,36,0))</f>
        <v>8, 31</v>
      </c>
      <c r="H71" s="391" t="str">
        <f>VLOOKUP(Tabela11[[#This Row],[Tag do Cabo]],BD!A:AJ,32,0)</f>
        <v>CCSExQ3</v>
      </c>
      <c r="I71" s="7" t="str">
        <f>VLOOKUP(Tabela11[[#This Row],[Tag do Cabo]],BD!A:AJ,11,0)</f>
        <v>ER-8 - SUPERVISÓRIO EXIST.</v>
      </c>
      <c r="J71" s="3" t="str">
        <f>VLOOKUP(Tabela11[[#This Row],[Tag do Cabo]],BD!A:AJ,12,0)</f>
        <v>SALA SERVIDOR - CCSE</v>
      </c>
      <c r="K71" s="391" t="s">
        <v>1570</v>
      </c>
      <c r="L71" s="391" t="s">
        <v>1571</v>
      </c>
      <c r="M71" s="3" t="str">
        <f>CONCATENATE(Tabela11[[#This Row],[Painel 1]]&amp;" "&amp;Tabela11[[#This Row],[Painel 2]])</f>
        <v>ER-8 1CHA01</v>
      </c>
      <c r="N71" s="218">
        <v>8</v>
      </c>
      <c r="O71" s="23">
        <f>COUNTIF(Tabela12[Tag Cabo],Tabela11[[#This Row],[Tag do Cabo]])</f>
        <v>0</v>
      </c>
      <c r="P71" s="23" t="str">
        <f>IF(Tabela11[[#This Row],[Qtde Ligações]]&lt;&gt;Tabela11[[#This Row],[Qtde Anilhas]],"Ver","Ok")</f>
        <v>Ver</v>
      </c>
      <c r="Q71" s="23" t="str">
        <f>VLOOKUP(Tabela11[[#This Row],[Tag do Cabo]],BD!A:F,6,0)</f>
        <v>-</v>
      </c>
      <c r="R71" s="23">
        <f>SUMIF('Lançamento de Cabos'!AE:AE,Tabela11[[#This Row],[Tag do Cabo]],'Lançamento de Cabos'!AG:AG)</f>
        <v>0</v>
      </c>
      <c r="S71" s="28">
        <f>Tabela11[[#This Row],[Ligações Realizadas]]/Tabela11[[#This Row],[Qtde Ligações]]</f>
        <v>0</v>
      </c>
      <c r="T71" s="269">
        <f>IF(Tabela11[[#This Row],[Ligações Realizadas]]/Tabela11[[#This Row],[Qtde Ligações]]=0,0,IF(Tabela11[[#This Row],[Ligações Realizadas]]/Tabela11[[#This Row],[Qtde Ligações]]=1,ROUND(N71/2,0),"Ver Painel"))</f>
        <v>0</v>
      </c>
      <c r="U71" s="23">
        <f>IF(Tabela11[[#This Row],[Ligações Realizadas]]/Tabela11[[#This Row],[Qtde Ligações]]=0,0,IF(Tabela11[[#This Row],[Ligações Realizadas]]/Tabela11[[#This Row],[Qtde Ligações]]=1,ROUND(N71/2,0),"Ver Painel"))</f>
        <v>0</v>
      </c>
      <c r="V71" s="219"/>
    </row>
    <row r="72" spans="1:22" hidden="1" x14ac:dyDescent="0.25">
      <c r="A72" s="34" t="s">
        <v>1418</v>
      </c>
      <c r="B72" s="391" t="str">
        <f>VLOOKUP(Tabela11[[#This Row],[Tag do Cabo]],BD!A:AJ,2,0)</f>
        <v>FO</v>
      </c>
      <c r="C72" s="24" t="str">
        <f>VLOOKUP(Tabela11[[#This Row],[Tag do Cabo]],BD!A:AJ,5,0)</f>
        <v>CABO ÓPTICO 4 VIAS</v>
      </c>
      <c r="D72" s="391" t="s">
        <v>1533</v>
      </c>
      <c r="E72" s="391" t="str">
        <f>VLOOKUP(Tabela11[[#This Row],[Tag do Cabo]],BD!A:T,20,0)</f>
        <v>BK-SP54-0900A-LC-74-00001_00000</v>
      </c>
      <c r="F72" s="375" t="str">
        <f>IF(VLOOKUP(Tabela11[[#This Row],[Tag do Cabo]],BD!A:AJ,35,0)=0,"Pendente",VLOOKUP(Tabela11[[#This Row],[Tag do Cabo]],BD!A:AJ,35,0))</f>
        <v>BK-SP54-0900B-DI-74-00450</v>
      </c>
      <c r="G72" s="24" t="str">
        <f>IF(VLOOKUP(Tabela11[[#This Row],[Tag do Cabo]],BD!A:AJ,36,0)=0,"Pendente",VLOOKUP(Tabela11[[#This Row],[Tag do Cabo]],BD!A:AJ,36,0))</f>
        <v>31</v>
      </c>
      <c r="H72" s="391" t="str">
        <f>VLOOKUP(Tabela11[[#This Row],[Tag do Cabo]],BD!A:AJ,32,0)</f>
        <v>CCSExQ3</v>
      </c>
      <c r="I72" s="7" t="str">
        <f>VLOOKUP(Tabela11[[#This Row],[Tag do Cabo]],BD!A:AJ,11,0)</f>
        <v>ER-8 - SUPERVISÓRIO EXIST.</v>
      </c>
      <c r="J72" s="3" t="str">
        <f>VLOOKUP(Tabela11[[#This Row],[Tag do Cabo]],BD!A:AJ,12,0)</f>
        <v>SALA SERVIDOR - CCSE</v>
      </c>
      <c r="K72" s="391" t="s">
        <v>1570</v>
      </c>
      <c r="L72" s="391"/>
      <c r="M72" s="3" t="str">
        <f>CONCATENATE(Tabela11[[#This Row],[Painel 1]]&amp;" "&amp;Tabela11[[#This Row],[Painel 2]])</f>
        <v xml:space="preserve">ER-8 </v>
      </c>
      <c r="N72" s="218">
        <v>8</v>
      </c>
      <c r="O72" s="23">
        <f>COUNTIF(Tabela12[Tag Cabo],Tabela11[[#This Row],[Tag do Cabo]])</f>
        <v>0</v>
      </c>
      <c r="P72" s="23" t="str">
        <f>IF(Tabela11[[#This Row],[Qtde Ligações]]&lt;&gt;Tabela11[[#This Row],[Qtde Anilhas]],"Ver","Ok")</f>
        <v>Ver</v>
      </c>
      <c r="Q72" s="23" t="str">
        <f>VLOOKUP(Tabela11[[#This Row],[Tag do Cabo]],BD!A:F,6,0)</f>
        <v>-</v>
      </c>
      <c r="R72" s="23">
        <f>SUMIF('Lançamento de Cabos'!AE:AE,Tabela11[[#This Row],[Tag do Cabo]],'Lançamento de Cabos'!AG:AG)</f>
        <v>0</v>
      </c>
      <c r="S72" s="28">
        <f>Tabela11[[#This Row],[Ligações Realizadas]]/Tabela11[[#This Row],[Qtde Ligações]]</f>
        <v>0</v>
      </c>
      <c r="T72" s="269">
        <f>IF(Tabela11[[#This Row],[Ligações Realizadas]]/Tabela11[[#This Row],[Qtde Ligações]]=0,0,IF(Tabela11[[#This Row],[Ligações Realizadas]]/Tabela11[[#This Row],[Qtde Ligações]]=1,ROUND(N72/2,0),"Ver Painel"))</f>
        <v>0</v>
      </c>
      <c r="U72" s="23">
        <f>IF(Tabela11[[#This Row],[Ligações Realizadas]]/Tabela11[[#This Row],[Qtde Ligações]]=0,0,IF(Tabela11[[#This Row],[Ligações Realizadas]]/Tabela11[[#This Row],[Qtde Ligações]]=1,ROUND(N72/2,0),"Ver Painel"))</f>
        <v>0</v>
      </c>
      <c r="V72" s="219"/>
    </row>
    <row r="73" spans="1:22" hidden="1" x14ac:dyDescent="0.25">
      <c r="A73" s="34" t="s">
        <v>1183</v>
      </c>
      <c r="B73" s="391" t="str">
        <f>VLOOKUP(Tabela11[[#This Row],[Tag do Cabo]],BD!A:AJ,2,0)</f>
        <v>FO</v>
      </c>
      <c r="C73" s="3" t="str">
        <f>VLOOKUP(Tabela11[[#This Row],[Tag do Cabo]],BD!A:AJ,5,0)</f>
        <v>CABO ÓPTICO 4 VIAS</v>
      </c>
      <c r="D73" s="391" t="s">
        <v>1542</v>
      </c>
      <c r="E73" s="391" t="str">
        <f>VLOOKUP(Tabela11[[#This Row],[Tag do Cabo]],BD!A:T,20,0)</f>
        <v>BK-SP54-0900A-LC-74-00001_00000</v>
      </c>
      <c r="F73" s="3" t="str">
        <f>IF(VLOOKUP(Tabela11[[#This Row],[Tag do Cabo]],BD!A:AJ,35,0)=0,"Pendente",VLOOKUP(Tabela11[[#This Row],[Tag do Cabo]],BD!A:AJ,35,0))</f>
        <v>BK-SP54-0900B-DI-74-00450</v>
      </c>
      <c r="G73" s="3" t="str">
        <f>IF(VLOOKUP(Tabela11[[#This Row],[Tag do Cabo]],BD!A:AJ,36,0)=0,"Pendente",VLOOKUP(Tabela11[[#This Row],[Tag do Cabo]],BD!A:AJ,36,0))</f>
        <v>4, 31</v>
      </c>
      <c r="H73" s="391" t="str">
        <f>VLOOKUP(Tabela11[[#This Row],[Tag do Cabo]],BD!A:AJ,32,0)</f>
        <v>CCSExQ3</v>
      </c>
      <c r="I73" s="7" t="str">
        <f>VLOOKUP(Tabela11[[#This Row],[Tag do Cabo]],BD!A:AJ,11,0)</f>
        <v>CCSE/1CHA01</v>
      </c>
      <c r="J73" s="3" t="str">
        <f>VLOOKUP(Tabela11[[#This Row],[Tag do Cabo]],BD!A:AJ,12,0)</f>
        <v>PSINC1 - DIO 4</v>
      </c>
      <c r="K73" s="391" t="s">
        <v>1571</v>
      </c>
      <c r="L73" s="391" t="s">
        <v>1568</v>
      </c>
      <c r="M73" s="3" t="str">
        <f>CONCATENATE(Tabela11[[#This Row],[Painel 1]]&amp;" "&amp;Tabela11[[#This Row],[Painel 2]])</f>
        <v>1CHA01 PSINC1</v>
      </c>
      <c r="N73" s="157">
        <v>8</v>
      </c>
      <c r="O73" s="391" t="s">
        <v>92</v>
      </c>
      <c r="P73" s="391" t="s">
        <v>107</v>
      </c>
      <c r="Q73" s="391" t="str">
        <f>VLOOKUP(Tabela11[[#This Row],[Tag do Cabo]],BD!A:F,6,0)</f>
        <v>-</v>
      </c>
      <c r="R73" s="391">
        <f>SUMIF('Lançamento de Cabos'!AE:AE,Tabela11[[#This Row],[Tag do Cabo]],'Lançamento de Cabos'!AG:AG)</f>
        <v>0</v>
      </c>
      <c r="S73" s="28">
        <f>Tabela11[[#This Row],[Ligações Realizadas]]/Tabela11[[#This Row],[Qtde Ligações]]</f>
        <v>0</v>
      </c>
      <c r="T73" s="269">
        <f>IF(Tabela11[[#This Row],[Ligações Realizadas]]/Tabela11[[#This Row],[Qtde Ligações]]=0,0,IF(Tabela11[[#This Row],[Ligações Realizadas]]/Tabela11[[#This Row],[Qtde Ligações]]=1,ROUND(N73/2,0),"Ver Painel"))</f>
        <v>0</v>
      </c>
      <c r="U73" s="23">
        <f>IF(Tabela11[[#This Row],[Ligações Realizadas]]/Tabela11[[#This Row],[Qtde Ligações]]=0,0,IF(Tabela11[[#This Row],[Ligações Realizadas]]/Tabela11[[#This Row],[Qtde Ligações]]=1,ROUND(N73/2,0),"Ver Painel"))</f>
        <v>0</v>
      </c>
      <c r="V73" s="222"/>
    </row>
    <row r="74" spans="1:22" hidden="1" x14ac:dyDescent="0.25">
      <c r="A74" s="34" t="s">
        <v>1192</v>
      </c>
      <c r="B74" s="391" t="str">
        <f>VLOOKUP(Tabela11[[#This Row],[Tag do Cabo]],BD!A:AJ,2,0)</f>
        <v>FO</v>
      </c>
      <c r="C74" s="3" t="str">
        <f>VLOOKUP(Tabela11[[#This Row],[Tag do Cabo]],BD!A:AJ,5,0)</f>
        <v>CABO ÓPTICO 4 VIAS</v>
      </c>
      <c r="D74" s="391" t="s">
        <v>1533</v>
      </c>
      <c r="E74" s="391" t="str">
        <f>VLOOKUP(Tabela11[[#This Row],[Tag do Cabo]],BD!A:T,20,0)</f>
        <v>BK-SP54-0900A-LC-74-00001_00000</v>
      </c>
      <c r="F74" s="222" t="str">
        <f>IF(VLOOKUP(Tabela11[[#This Row],[Tag do Cabo]],BD!A:AJ,35,0)=0,"Pendente",VLOOKUP(Tabela11[[#This Row],[Tag do Cabo]],BD!A:AJ,35,0))</f>
        <v>BK-SP54-0900B-DI-74-00450</v>
      </c>
      <c r="G74" s="3" t="str">
        <f>IF(VLOOKUP(Tabela11[[#This Row],[Tag do Cabo]],BD!A:AJ,36,0)=0,"Pendente",VLOOKUP(Tabela11[[#This Row],[Tag do Cabo]],BD!A:AJ,36,0))</f>
        <v>4,31</v>
      </c>
      <c r="H74" s="391" t="str">
        <f>VLOOKUP(Tabela11[[#This Row],[Tag do Cabo]],BD!A:AJ,32,0)</f>
        <v>CCSExQ3</v>
      </c>
      <c r="I74" s="7" t="str">
        <f>VLOOKUP(Tabela11[[#This Row],[Tag do Cabo]],BD!A:AJ,11,0)</f>
        <v>CCSE/1CHA01</v>
      </c>
      <c r="J74" s="3" t="str">
        <f>VLOOKUP(Tabela11[[#This Row],[Tag do Cabo]],BD!A:AJ,12,0)</f>
        <v>PSINC1 - DIO 4</v>
      </c>
      <c r="K74" s="391" t="s">
        <v>1571</v>
      </c>
      <c r="L74" s="391" t="s">
        <v>1568</v>
      </c>
      <c r="M74" s="3" t="str">
        <f>CONCATENATE(Tabela11[[#This Row],[Painel 1]]&amp;" "&amp;Tabela11[[#This Row],[Painel 2]])</f>
        <v>1CHA01 PSINC1</v>
      </c>
      <c r="N74" s="157">
        <v>8</v>
      </c>
      <c r="O74" s="391" t="s">
        <v>92</v>
      </c>
      <c r="P74" s="391" t="s">
        <v>107</v>
      </c>
      <c r="Q74" s="391" t="str">
        <f>VLOOKUP(Tabela11[[#This Row],[Tag do Cabo]],BD!A:F,6,0)</f>
        <v>-</v>
      </c>
      <c r="R74" s="391">
        <f>SUMIF('Lançamento de Cabos'!AE:AE,Tabela11[[#This Row],[Tag do Cabo]],'Lançamento de Cabos'!AG:AG)</f>
        <v>0</v>
      </c>
      <c r="S74" s="28">
        <f>Tabela11[[#This Row],[Ligações Realizadas]]/Tabela11[[#This Row],[Qtde Ligações]]</f>
        <v>0</v>
      </c>
      <c r="T74" s="269">
        <f>IF(Tabela11[[#This Row],[Ligações Realizadas]]/Tabela11[[#This Row],[Qtde Ligações]]=0,0,IF(Tabela11[[#This Row],[Ligações Realizadas]]/Tabela11[[#This Row],[Qtde Ligações]]=1,ROUND(N74/2,0),"Ver Painel"))</f>
        <v>0</v>
      </c>
      <c r="U74" s="23">
        <f>IF(Tabela11[[#This Row],[Ligações Realizadas]]/Tabela11[[#This Row],[Qtde Ligações]]=0,0,IF(Tabela11[[#This Row],[Ligações Realizadas]]/Tabela11[[#This Row],[Qtde Ligações]]=1,ROUND(N74/2,0),"Ver Painel"))</f>
        <v>0</v>
      </c>
      <c r="V74" s="222"/>
    </row>
    <row r="75" spans="1:22" hidden="1" x14ac:dyDescent="0.25">
      <c r="A75" s="34" t="s">
        <v>1300</v>
      </c>
      <c r="B75" s="391" t="str">
        <f>VLOOKUP(Tabela11[[#This Row],[Tag do Cabo]],BD!A:AJ,2,0)</f>
        <v>Controle</v>
      </c>
      <c r="C75" s="3" t="str">
        <f>VLOOKUP(Tabela11[[#This Row],[Tag do Cabo]],BD!A:AJ,5,0)</f>
        <v>1P x 1,0mm² + Shield (N.I.S.)</v>
      </c>
      <c r="D75" s="391" t="s">
        <v>1533</v>
      </c>
      <c r="E75" s="391" t="str">
        <f>VLOOKUP(Tabela11[[#This Row],[Tag do Cabo]],BD!A:T,20,0)</f>
        <v>BK-SP54-0900A-LC-80-00188_00000</v>
      </c>
      <c r="F75" s="3" t="str">
        <f>IF(VLOOKUP(Tabela11[[#This Row],[Tag do Cabo]],BD!A:AJ,35,0)=0,"Pendente",VLOOKUP(Tabela11[[#This Row],[Tag do Cabo]],BD!A:AJ,35,0))</f>
        <v>BK-SP54-0900A-DI-70-00583/BK-SP54-0900A-DI-80-01589</v>
      </c>
      <c r="G75" s="3" t="str">
        <f>IF(VLOOKUP(Tabela11[[#This Row],[Tag do Cabo]],BD!A:AJ,36,0)=0,"Pendente",VLOOKUP(Tabela11[[#This Row],[Tag do Cabo]],BD!A:AJ,36,0))</f>
        <v>15/48/5</v>
      </c>
      <c r="H75" s="391" t="str">
        <f>VLOOKUP(Tabela11[[#This Row],[Tag do Cabo]],BD!A:AJ,32,0)</f>
        <v>COGxPERIF.IV</v>
      </c>
      <c r="I75" s="7" t="str">
        <f>VLOOKUP(Tabela11[[#This Row],[Tag do Cabo]],BD!A:AJ,11,0)</f>
        <v>COGERAÇÃO - GUASCOR</v>
      </c>
      <c r="J75" s="3" t="str">
        <f>VLOOKUP(Tabela11[[#This Row],[Tag do Cabo]],BD!A:AJ,12,0)</f>
        <v>PERIFÉRICOS IV</v>
      </c>
      <c r="K75" s="391" t="s">
        <v>1572</v>
      </c>
      <c r="L75" s="391" t="s">
        <v>1573</v>
      </c>
      <c r="M75" s="3" t="str">
        <f>CONCATENATE(Tabela11[[#This Row],[Painel 1]]&amp;" "&amp;Tabela11[[#This Row],[Painel 2]])</f>
        <v>JBAC-17007 DELTA IV</v>
      </c>
      <c r="N75" s="157">
        <v>4</v>
      </c>
      <c r="O75" s="391">
        <f>COUNTIF(Tabela12[Tag Cabo],Tabela11[[#This Row],[Tag do Cabo]])</f>
        <v>4</v>
      </c>
      <c r="P75" s="391" t="str">
        <f>IF(Tabela11[[#This Row],[Qtde Ligações]]&lt;&gt;Tabela11[[#This Row],[Qtde Anilhas]],"Ver","Ok")</f>
        <v>Ok</v>
      </c>
      <c r="Q75" s="391">
        <f>VLOOKUP(Tabela11[[#This Row],[Tag do Cabo]],BD!A:F,6,0)</f>
        <v>1</v>
      </c>
      <c r="R75" s="391">
        <f>SUMIF('Lançamento de Cabos'!AE:AE,Tabela11[[#This Row],[Tag do Cabo]],'Lançamento de Cabos'!AG:AG)</f>
        <v>0</v>
      </c>
      <c r="S75" s="28">
        <f>Tabela11[[#This Row],[Ligações Realizadas]]/Tabela11[[#This Row],[Qtde Ligações]]</f>
        <v>0</v>
      </c>
      <c r="T75" s="269">
        <f>IF(Tabela11[[#This Row],[Ligações Realizadas]]/Tabela11[[#This Row],[Qtde Ligações]]=0,0,IF(Tabela11[[#This Row],[Ligações Realizadas]]/Tabela11[[#This Row],[Qtde Ligações]]=1,ROUND(N75/2,0),"Ver Painel"))</f>
        <v>0</v>
      </c>
      <c r="U75" s="23">
        <f>IF(Tabela11[[#This Row],[Ligações Realizadas]]/Tabela11[[#This Row],[Qtde Ligações]]=0,0,IF(Tabela11[[#This Row],[Ligações Realizadas]]/Tabela11[[#This Row],[Qtde Ligações]]=1,ROUND(N75/2,0),"Ver Painel"))</f>
        <v>0</v>
      </c>
      <c r="V75" s="222"/>
    </row>
    <row r="76" spans="1:22" hidden="1" x14ac:dyDescent="0.25">
      <c r="A76" s="34" t="s">
        <v>1286</v>
      </c>
      <c r="B76" s="391" t="str">
        <f>VLOOKUP(Tabela11[[#This Row],[Tag do Cabo]],BD!A:AJ,2,0)</f>
        <v>Controle</v>
      </c>
      <c r="C76" s="3" t="str">
        <f>VLOOKUP(Tabela11[[#This Row],[Tag do Cabo]],BD!A:AJ,5,0)</f>
        <v>1P x 1,0mm² + Shield (N.I.S.)</v>
      </c>
      <c r="D76" s="391" t="s">
        <v>1533</v>
      </c>
      <c r="E76" s="391" t="str">
        <f>VLOOKUP(Tabela11[[#This Row],[Tag do Cabo]],BD!A:T,20,0)</f>
        <v>BK-SP54-0900A-LC-80-00188_00000</v>
      </c>
      <c r="F76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76" s="3" t="str">
        <f>IF(VLOOKUP(Tabela11[[#This Row],[Tag do Cabo]],BD!A:AJ,36,0)=0,"Pendente",VLOOKUP(Tabela11[[#This Row],[Tag do Cabo]],BD!A:AJ,36,0))</f>
        <v>14/49/6</v>
      </c>
      <c r="H76" s="391" t="str">
        <f>VLOOKUP(Tabela11[[#This Row],[Tag do Cabo]],BD!A:AJ,32,0)</f>
        <v>COGxPERIF.IV</v>
      </c>
      <c r="I76" s="7" t="str">
        <f>VLOOKUP(Tabela11[[#This Row],[Tag do Cabo]],BD!A:AJ,11,0)</f>
        <v>COGERAÇÃO - GUASCOR</v>
      </c>
      <c r="J76" s="3" t="str">
        <f>VLOOKUP(Tabela11[[#This Row],[Tag do Cabo]],BD!A:AJ,12,0)</f>
        <v>PERIFÉRICOS IV</v>
      </c>
      <c r="K76" s="391" t="s">
        <v>1572</v>
      </c>
      <c r="L76" s="391" t="s">
        <v>1573</v>
      </c>
      <c r="M76" s="3" t="str">
        <f>CONCATENATE(Tabela11[[#This Row],[Painel 1]]&amp;" "&amp;Tabela11[[#This Row],[Painel 2]])</f>
        <v>JBAC-17007 DELTA IV</v>
      </c>
      <c r="N76" s="157">
        <v>4</v>
      </c>
      <c r="O76" s="391">
        <f>COUNTIF(Tabela12[Tag Cabo],Tabela11[[#This Row],[Tag do Cabo]])</f>
        <v>4</v>
      </c>
      <c r="P76" s="391" t="str">
        <f>IF(Tabela11[[#This Row],[Qtde Ligações]]&lt;&gt;Tabela11[[#This Row],[Qtde Anilhas]],"Ver","Ok")</f>
        <v>Ok</v>
      </c>
      <c r="Q76" s="391">
        <f>VLOOKUP(Tabela11[[#This Row],[Tag do Cabo]],BD!A:F,6,0)</f>
        <v>1</v>
      </c>
      <c r="R76" s="391">
        <f>SUMIF('Lançamento de Cabos'!AE:AE,Tabela11[[#This Row],[Tag do Cabo]],'Lançamento de Cabos'!AG:AG)</f>
        <v>0</v>
      </c>
      <c r="S76" s="28">
        <f>Tabela11[[#This Row],[Ligações Realizadas]]/Tabela11[[#This Row],[Qtde Ligações]]</f>
        <v>0</v>
      </c>
      <c r="T76" s="269">
        <f>IF(Tabela11[[#This Row],[Ligações Realizadas]]/Tabela11[[#This Row],[Qtde Ligações]]=0,0,IF(Tabela11[[#This Row],[Ligações Realizadas]]/Tabela11[[#This Row],[Qtde Ligações]]=1,ROUND(N76/2,0),"Ver Painel"))</f>
        <v>0</v>
      </c>
      <c r="U76" s="23">
        <f>IF(Tabela11[[#This Row],[Ligações Realizadas]]/Tabela11[[#This Row],[Qtde Ligações]]=0,0,IF(Tabela11[[#This Row],[Ligações Realizadas]]/Tabela11[[#This Row],[Qtde Ligações]]=1,ROUND(N76/2,0),"Ver Painel"))</f>
        <v>0</v>
      </c>
      <c r="V76" s="222"/>
    </row>
    <row r="77" spans="1:22" hidden="1" x14ac:dyDescent="0.25">
      <c r="A77" s="34" t="s">
        <v>1295</v>
      </c>
      <c r="B77" s="391" t="str">
        <f>VLOOKUP(Tabela11[[#This Row],[Tag do Cabo]],BD!A:AJ,2,0)</f>
        <v>Controle</v>
      </c>
      <c r="C77" s="3" t="str">
        <f>VLOOKUP(Tabela11[[#This Row],[Tag do Cabo]],BD!A:AJ,5,0)</f>
        <v>1P x 1,0mm² + Shield (N.I.S.)</v>
      </c>
      <c r="D77" s="391" t="s">
        <v>1533</v>
      </c>
      <c r="E77" s="391" t="str">
        <f>VLOOKUP(Tabela11[[#This Row],[Tag do Cabo]],BD!A:T,20,0)</f>
        <v>BK-SP54-0900A-LC-80-00188_00000</v>
      </c>
      <c r="F77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77" s="3" t="str">
        <f>IF(VLOOKUP(Tabela11[[#This Row],[Tag do Cabo]],BD!A:AJ,36,0)=0,"Pendente",VLOOKUP(Tabela11[[#This Row],[Tag do Cabo]],BD!A:AJ,36,0))</f>
        <v>14/50/6</v>
      </c>
      <c r="H77" s="391" t="str">
        <f>VLOOKUP(Tabela11[[#This Row],[Tag do Cabo]],BD!A:AJ,32,0)</f>
        <v>COGxPERIF.IV</v>
      </c>
      <c r="I77" s="7" t="str">
        <f>VLOOKUP(Tabela11[[#This Row],[Tag do Cabo]],BD!A:AJ,11,0)</f>
        <v>COGERAÇÃO - GUASCOR</v>
      </c>
      <c r="J77" s="3" t="str">
        <f>VLOOKUP(Tabela11[[#This Row],[Tag do Cabo]],BD!A:AJ,12,0)</f>
        <v>PERIFÉRICOS IV</v>
      </c>
      <c r="K77" s="391" t="s">
        <v>1572</v>
      </c>
      <c r="L77" s="391" t="s">
        <v>1573</v>
      </c>
      <c r="M77" s="3" t="str">
        <f>CONCATENATE(Tabela11[[#This Row],[Painel 1]]&amp;" "&amp;Tabela11[[#This Row],[Painel 2]])</f>
        <v>JBAC-17007 DELTA IV</v>
      </c>
      <c r="N77" s="157">
        <v>4</v>
      </c>
      <c r="O77" s="391">
        <f>COUNTIF(Tabela12[Tag Cabo],Tabela11[[#This Row],[Tag do Cabo]])</f>
        <v>4</v>
      </c>
      <c r="P77" s="391" t="str">
        <f>IF(Tabela11[[#This Row],[Qtde Ligações]]&lt;&gt;Tabela11[[#This Row],[Qtde Anilhas]],"Ver","Ok")</f>
        <v>Ok</v>
      </c>
      <c r="Q77" s="391">
        <f>VLOOKUP(Tabela11[[#This Row],[Tag do Cabo]],BD!A:F,6,0)</f>
        <v>1</v>
      </c>
      <c r="R77" s="391">
        <f>SUMIF('Lançamento de Cabos'!AE:AE,Tabela11[[#This Row],[Tag do Cabo]],'Lançamento de Cabos'!AG:AG)</f>
        <v>0</v>
      </c>
      <c r="S77" s="28">
        <f>Tabela11[[#This Row],[Ligações Realizadas]]/Tabela11[[#This Row],[Qtde Ligações]]</f>
        <v>0</v>
      </c>
      <c r="T77" s="269">
        <f>IF(Tabela11[[#This Row],[Ligações Realizadas]]/Tabela11[[#This Row],[Qtde Ligações]]=0,0,IF(Tabela11[[#This Row],[Ligações Realizadas]]/Tabela11[[#This Row],[Qtde Ligações]]=1,ROUND(N77/2,0),"Ver Painel"))</f>
        <v>0</v>
      </c>
      <c r="U77" s="23">
        <f>IF(Tabela11[[#This Row],[Ligações Realizadas]]/Tabela11[[#This Row],[Qtde Ligações]]=0,0,IF(Tabela11[[#This Row],[Ligações Realizadas]]/Tabela11[[#This Row],[Qtde Ligações]]=1,ROUND(N77/2,0),"Ver Painel"))</f>
        <v>0</v>
      </c>
      <c r="V77" s="222"/>
    </row>
    <row r="78" spans="1:22" hidden="1" x14ac:dyDescent="0.25">
      <c r="A78" s="34" t="s">
        <v>1397</v>
      </c>
      <c r="B78" s="391" t="str">
        <f>VLOOKUP(Tabela11[[#This Row],[Tag do Cabo]],BD!A:AJ,2,0)</f>
        <v>Controle</v>
      </c>
      <c r="C78" s="3" t="str">
        <f>VLOOKUP(Tabela11[[#This Row],[Tag do Cabo]],BD!A:AJ,5,0)</f>
        <v>1P#1,0mm²+SHI</v>
      </c>
      <c r="D78" s="391" t="s">
        <v>1533</v>
      </c>
      <c r="E78" s="391" t="str">
        <f>VLOOKUP(Tabela11[[#This Row],[Tag do Cabo]],BD!A:T,20,0)</f>
        <v>BK-SP54-0900A-LC-80-00177_00000</v>
      </c>
      <c r="F78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78" s="3" t="str">
        <f>IF(VLOOKUP(Tabela11[[#This Row],[Tag do Cabo]],BD!A:AJ,36,0)=0,"Pendente",VLOOKUP(Tabela11[[#This Row],[Tag do Cabo]],BD!A:AJ,36,0))</f>
        <v>15/37/5</v>
      </c>
      <c r="H78" s="391" t="str">
        <f>VLOOKUP(Tabela11[[#This Row],[Tag do Cabo]],BD!A:AJ,32,0)</f>
        <v>Perif.IVxCCU</v>
      </c>
      <c r="I78" s="7" t="str">
        <f>VLOOKUP(Tabela11[[#This Row],[Tag do Cabo]],BD!A:AJ,11,0)</f>
        <v>PY-9227A (PERIFÉRICOS IV)</v>
      </c>
      <c r="J78" s="3" t="str">
        <f>VLOOKUP(Tabela11[[#This Row],[Tag do Cabo]],BD!A:AJ,12,0)</f>
        <v>GABINETE DELTA V - BF 900</v>
      </c>
      <c r="K78" s="391" t="s">
        <v>1574</v>
      </c>
      <c r="L78" s="391" t="s">
        <v>1575</v>
      </c>
      <c r="M78" s="3" t="str">
        <f>CONCATENATE(Tabela11[[#This Row],[Painel 1]]&amp;" "&amp;Tabela11[[#This Row],[Painel 2]])</f>
        <v>INSTRUMENTO DELTA V</v>
      </c>
      <c r="N78" s="157">
        <v>4</v>
      </c>
      <c r="O78" s="391">
        <f>COUNTIF(Tabela12[Tag Cabo],Tabela11[[#This Row],[Tag do Cabo]])</f>
        <v>4</v>
      </c>
      <c r="P78" s="391" t="str">
        <f>IF(Tabela11[[#This Row],[Qtde Ligações]]&lt;&gt;Tabela11[[#This Row],[Qtde Anilhas]],"Ver","Ok")</f>
        <v>Ok</v>
      </c>
      <c r="Q78" s="391">
        <f>VLOOKUP(Tabela11[[#This Row],[Tag do Cabo]],BD!A:F,6,0)</f>
        <v>1</v>
      </c>
      <c r="R78" s="391">
        <f>SUMIF('Lançamento de Cabos'!AE:AE,Tabela11[[#This Row],[Tag do Cabo]],'Lançamento de Cabos'!AG:AG)</f>
        <v>0</v>
      </c>
      <c r="S78" s="28">
        <f>Tabela11[[#This Row],[Ligações Realizadas]]/Tabela11[[#This Row],[Qtde Ligações]]</f>
        <v>0</v>
      </c>
      <c r="T78" s="269">
        <f>IF(Tabela11[[#This Row],[Ligações Realizadas]]/Tabela11[[#This Row],[Qtde Ligações]]=0,0,IF(Tabela11[[#This Row],[Ligações Realizadas]]/Tabela11[[#This Row],[Qtde Ligações]]=1,ROUND(N78/2,0),"Ver Painel"))</f>
        <v>0</v>
      </c>
      <c r="U78" s="23">
        <f>IF(Tabela11[[#This Row],[Ligações Realizadas]]/Tabela11[[#This Row],[Qtde Ligações]]=0,0,IF(Tabela11[[#This Row],[Ligações Realizadas]]/Tabela11[[#This Row],[Qtde Ligações]]=1,ROUND(N78/2,0),"Ver Painel"))</f>
        <v>0</v>
      </c>
      <c r="V78" s="222"/>
    </row>
    <row r="79" spans="1:22" hidden="1" x14ac:dyDescent="0.25">
      <c r="A79" s="34" t="s">
        <v>301</v>
      </c>
      <c r="B79" s="391" t="str">
        <f>VLOOKUP(Tabela11[[#This Row],[Tag do Cabo]],BD!A:AJ,2,0)</f>
        <v>FO</v>
      </c>
      <c r="C79" s="3" t="str">
        <f>VLOOKUP(Tabela11[[#This Row],[Tag do Cabo]],BD!A:AJ,5,0)</f>
        <v>CORDÃO ÓPTICO</v>
      </c>
      <c r="D79" s="391" t="s">
        <v>1533</v>
      </c>
      <c r="E79" s="391" t="str">
        <f>VLOOKUP(Tabela11[[#This Row],[Tag do Cabo]],BD!A:T,20,0)</f>
        <v>BK-SP54-0900A-LC-90-00004_00000</v>
      </c>
      <c r="F79" s="219" t="str">
        <f>IF(VLOOKUP(Tabela11[[#This Row],[Tag do Cabo]],BD!A:AJ,35,0)=0,"Pendente",VLOOKUP(Tabela11[[#This Row],[Tag do Cabo]],BD!A:AJ,35,0))</f>
        <v>Não Localizado</v>
      </c>
      <c r="G79" s="3" t="str">
        <f>IF(VLOOKUP(Tabela11[[#This Row],[Tag do Cabo]],BD!A:AJ,36,0)=0,"Pendente",VLOOKUP(Tabela11[[#This Row],[Tag do Cabo]],BD!A:AJ,36,0))</f>
        <v>Pendente</v>
      </c>
      <c r="H79" s="391" t="str">
        <f>VLOOKUP(Tabela11[[#This Row],[Tag do Cabo]],BD!A:AJ,32,0)</f>
        <v>30LV</v>
      </c>
      <c r="I79" s="7" t="str">
        <f>VLOOKUP(Tabela11[[#This Row],[Tag do Cabo]],BD!A:AJ,11,0)</f>
        <v>DIO-120-104 (30LV)</v>
      </c>
      <c r="J79" s="3" t="str">
        <f>VLOOKUP(Tabela11[[#This Row],[Tag do Cabo]],BD!A:AJ,12,0)</f>
        <v>SWT-120-105 (30LV)</v>
      </c>
      <c r="K79" s="391" t="s">
        <v>1576</v>
      </c>
      <c r="L79" s="391" t="s">
        <v>1577</v>
      </c>
      <c r="M79" s="3" t="str">
        <f>CONCATENATE(Tabela11[[#This Row],[Painel 1]]&amp;" "&amp;Tabela11[[#This Row],[Painel 2]])</f>
        <v>DIO-120-104 SWT-120-105</v>
      </c>
      <c r="N79" s="218">
        <v>2</v>
      </c>
      <c r="O79" s="391" t="s">
        <v>92</v>
      </c>
      <c r="P79" s="391" t="s">
        <v>107</v>
      </c>
      <c r="Q79" s="391" t="str">
        <f>VLOOKUP(Tabela11[[#This Row],[Tag do Cabo]],BD!A:F,6,0)</f>
        <v>-</v>
      </c>
      <c r="R79" s="391">
        <f>SUMIF('Lançamento de Cabos'!AE:AE,Tabela11[[#This Row],[Tag do Cabo]],'Lançamento de Cabos'!AG:AG)</f>
        <v>0</v>
      </c>
      <c r="S79" s="28">
        <f>Tabela11[[#This Row],[Ligações Realizadas]]/Tabela11[[#This Row],[Qtde Ligações]]</f>
        <v>0</v>
      </c>
      <c r="T79" s="269">
        <f>IF(Tabela11[[#This Row],[Ligações Realizadas]]/Tabela11[[#This Row],[Qtde Ligações]]=0,0,IF(Tabela11[[#This Row],[Ligações Realizadas]]/Tabela11[[#This Row],[Qtde Ligações]]=1,ROUND(N79/2,0),"Ver Painel"))</f>
        <v>0</v>
      </c>
      <c r="U79" s="23">
        <f>IF(Tabela11[[#This Row],[Ligações Realizadas]]/Tabela11[[#This Row],[Qtde Ligações]]=0,0,IF(Tabela11[[#This Row],[Ligações Realizadas]]/Tabela11[[#This Row],[Qtde Ligações]]=1,ROUND(N79/2,0),"Ver Painel"))</f>
        <v>0</v>
      </c>
      <c r="V79" s="219" t="s">
        <v>1552</v>
      </c>
    </row>
    <row r="80" spans="1:22" hidden="1" x14ac:dyDescent="0.25">
      <c r="A80" s="34" t="s">
        <v>900</v>
      </c>
      <c r="B80" s="391" t="str">
        <f>VLOOKUP(Tabela11[[#This Row],[Tag do Cabo]],BD!A:AJ,2,0)</f>
        <v>FO</v>
      </c>
      <c r="C80" s="3" t="str">
        <f>VLOOKUP(Tabela11[[#This Row],[Tag do Cabo]],BD!A:AJ,5,0)</f>
        <v>CORDÃO ÓPTICO</v>
      </c>
      <c r="D80" s="391" t="s">
        <v>1533</v>
      </c>
      <c r="E80" s="391" t="str">
        <f>VLOOKUP(Tabela11[[#This Row],[Tag do Cabo]],BD!A:T,20,0)</f>
        <v>BK-SP54-0900A-LC-74-00001_00000</v>
      </c>
      <c r="F80" s="222" t="str">
        <f>IF(VLOOKUP(Tabela11[[#This Row],[Tag do Cabo]],BD!A:AJ,35,0)=0,"Pendente",VLOOKUP(Tabela11[[#This Row],[Tag do Cabo]],BD!A:AJ,35,0))</f>
        <v>BK-SP54-0900B-DI-74-00450</v>
      </c>
      <c r="G80" s="3" t="str">
        <f>IF(VLOOKUP(Tabela11[[#This Row],[Tag do Cabo]],BD!A:AJ,36,0)=0,"Pendente",VLOOKUP(Tabela11[[#This Row],[Tag do Cabo]],BD!A:AJ,36,0))</f>
        <v>12</v>
      </c>
      <c r="H80" s="391" t="str">
        <f>VLOOKUP(Tabela11[[#This Row],[Tag do Cabo]],BD!A:AJ,32,0)</f>
        <v>8HV</v>
      </c>
      <c r="I80" s="7" t="str">
        <f>VLOOKUP(Tabela11[[#This Row],[Tag do Cabo]],BD!A:AJ,11,0)</f>
        <v>PSDC1-UDC1</v>
      </c>
      <c r="J80" s="3" t="str">
        <f>VLOOKUP(Tabela11[[#This Row],[Tag do Cabo]],BD!A:AJ,12,0)</f>
        <v>PSINC2-USINC2P</v>
      </c>
      <c r="K80" s="391" t="s">
        <v>1566</v>
      </c>
      <c r="L80" s="391" t="s">
        <v>1578</v>
      </c>
      <c r="M80" s="3" t="str">
        <f>CONCATENATE(Tabela11[[#This Row],[Painel 1]]&amp;" "&amp;Tabela11[[#This Row],[Painel 2]])</f>
        <v>PSDC1 PSINC2</v>
      </c>
      <c r="N80" s="218">
        <v>2</v>
      </c>
      <c r="O80" s="391" t="s">
        <v>92</v>
      </c>
      <c r="P80" s="391" t="s">
        <v>107</v>
      </c>
      <c r="Q80" s="391" t="str">
        <f>VLOOKUP(Tabela11[[#This Row],[Tag do Cabo]],BD!A:F,6,0)</f>
        <v>-</v>
      </c>
      <c r="R80" s="391">
        <f>SUMIF('Lançamento de Cabos'!AE:AE,Tabela11[[#This Row],[Tag do Cabo]],'Lançamento de Cabos'!AG:AG)</f>
        <v>0</v>
      </c>
      <c r="S80" s="28">
        <f>Tabela11[[#This Row],[Ligações Realizadas]]/Tabela11[[#This Row],[Qtde Ligações]]</f>
        <v>0</v>
      </c>
      <c r="T80" s="269">
        <f>IF(Tabela11[[#This Row],[Ligações Realizadas]]/Tabela11[[#This Row],[Qtde Ligações]]=0,0,IF(Tabela11[[#This Row],[Ligações Realizadas]]/Tabela11[[#This Row],[Qtde Ligações]]=1,ROUND(N80/2,0),"Ver Painel"))</f>
        <v>0</v>
      </c>
      <c r="U80" s="23">
        <f>IF(Tabela11[[#This Row],[Ligações Realizadas]]/Tabela11[[#This Row],[Qtde Ligações]]=0,0,IF(Tabela11[[#This Row],[Ligações Realizadas]]/Tabela11[[#This Row],[Qtde Ligações]]=1,ROUND(N80/2,0),"Ver Painel"))</f>
        <v>0</v>
      </c>
      <c r="V80" s="219"/>
    </row>
    <row r="81" spans="1:22" hidden="1" x14ac:dyDescent="0.25">
      <c r="A81" s="34" t="s">
        <v>1042</v>
      </c>
      <c r="B81" s="391" t="str">
        <f>VLOOKUP(Tabela11[[#This Row],[Tag do Cabo]],BD!A:AJ,2,0)</f>
        <v>Rede</v>
      </c>
      <c r="C81" s="3" t="str">
        <f>VLOOKUP(Tabela11[[#This Row],[Tag do Cabo]],BD!A:AJ,5,0)</f>
        <v>CABO ETHERNET</v>
      </c>
      <c r="D81" s="391" t="s">
        <v>1533</v>
      </c>
      <c r="E81" s="391" t="str">
        <f>VLOOKUP(Tabela11[[#This Row],[Tag do Cabo]],BD!A:T,20,0)</f>
        <v>BK-SP54-0900B-LC-90-00010_00000</v>
      </c>
      <c r="F81" s="341" t="str">
        <f>IF(VLOOKUP(Tabela11[[#This Row],[Tag do Cabo]],BD!A:AJ,35,0)=0,"Pendente",VLOOKUP(Tabela11[[#This Row],[Tag do Cabo]],BD!A:AJ,35,0))</f>
        <v>BK-SP54-0900B-DP-90-00039</v>
      </c>
      <c r="G81" s="3" t="str">
        <f>IF(VLOOKUP(Tabela11[[#This Row],[Tag do Cabo]],BD!A:AJ,36,0)=0,"Pendente",VLOOKUP(Tabela11[[#This Row],[Tag do Cabo]],BD!A:AJ,36,0))</f>
        <v>10</v>
      </c>
      <c r="H81" s="391" t="str">
        <f>VLOOKUP(Tabela11[[#This Row],[Tag do Cabo]],BD!A:AJ,32,0)</f>
        <v>CCO</v>
      </c>
      <c r="I81" s="7" t="str">
        <f>VLOOKUP(Tabela11[[#This Row],[Tag do Cabo]],BD!A:AJ,11,0)</f>
        <v>FRW-90-103 (RCK-90-101) / CCO</v>
      </c>
      <c r="J81" s="3" t="str">
        <f>VLOOKUP(Tabela11[[#This Row],[Tag do Cabo]],BD!A:AJ,12,0)</f>
        <v>SWT-90-102 (RCK-90-101) / CCO</v>
      </c>
      <c r="K81" s="391" t="s">
        <v>1579</v>
      </c>
      <c r="L81" s="391" t="s">
        <v>1579</v>
      </c>
      <c r="M81" s="3" t="str">
        <f>CONCATENATE(Tabela11[[#This Row],[Painel 1]]&amp;" "&amp;Tabela11[[#This Row],[Painel 2]])</f>
        <v>RCK-90-101 RCK-90-101</v>
      </c>
      <c r="N81" s="157">
        <v>2</v>
      </c>
      <c r="O81" s="391" t="s">
        <v>92</v>
      </c>
      <c r="P81" s="391" t="s">
        <v>107</v>
      </c>
      <c r="Q81" s="391" t="str">
        <f>VLOOKUP(Tabela11[[#This Row],[Tag do Cabo]],BD!A:F,6,0)</f>
        <v>-</v>
      </c>
      <c r="R81" s="391">
        <f>SUMIF('Lançamento de Cabos'!AE:AE,Tabela11[[#This Row],[Tag do Cabo]],'Lançamento de Cabos'!AG:AG)</f>
        <v>0</v>
      </c>
      <c r="S81" s="28">
        <f>Tabela11[[#This Row],[Ligações Realizadas]]/Tabela11[[#This Row],[Qtde Ligações]]</f>
        <v>0</v>
      </c>
      <c r="T81" s="269">
        <f>IF(Tabela11[[#This Row],[Ligações Realizadas]]/Tabela11[[#This Row],[Qtde Ligações]]=0,0,IF(Tabela11[[#This Row],[Ligações Realizadas]]/Tabela11[[#This Row],[Qtde Ligações]]=1,ROUND(N81/2,0),"Ver Painel"))</f>
        <v>0</v>
      </c>
      <c r="U81" s="23">
        <f>IF(Tabela11[[#This Row],[Ligações Realizadas]]/Tabela11[[#This Row],[Qtde Ligações]]=0,0,IF(Tabela11[[#This Row],[Ligações Realizadas]]/Tabela11[[#This Row],[Qtde Ligações]]=1,ROUND(N81/2,0),"Ver Painel"))</f>
        <v>0</v>
      </c>
      <c r="V81" s="219"/>
    </row>
    <row r="82" spans="1:22" hidden="1" x14ac:dyDescent="0.25">
      <c r="A82" s="34" t="s">
        <v>1044</v>
      </c>
      <c r="B82" s="391" t="str">
        <f>VLOOKUP(Tabela11[[#This Row],[Tag do Cabo]],BD!A:AJ,2,0)</f>
        <v>FO</v>
      </c>
      <c r="C82" s="3" t="str">
        <f>VLOOKUP(Tabela11[[#This Row],[Tag do Cabo]],BD!A:AJ,5,0)</f>
        <v>CORDÃO ÓPTICO</v>
      </c>
      <c r="D82" s="391" t="s">
        <v>1533</v>
      </c>
      <c r="E82" s="391" t="str">
        <f>VLOOKUP(Tabela11[[#This Row],[Tag do Cabo]],BD!A:T,20,0)</f>
        <v>BK-SP54-0900B-LC-90-00010_00000</v>
      </c>
      <c r="F82" s="219" t="str">
        <f>IF(VLOOKUP(Tabela11[[#This Row],[Tag do Cabo]],BD!A:AJ,35,0)=0,"Pendente",VLOOKUP(Tabela11[[#This Row],[Tag do Cabo]],BD!A:AJ,35,0))</f>
        <v>Não Localizado</v>
      </c>
      <c r="G82" s="3" t="str">
        <f>IF(VLOOKUP(Tabela11[[#This Row],[Tag do Cabo]],BD!A:AJ,36,0)=0,"Pendente",VLOOKUP(Tabela11[[#This Row],[Tag do Cabo]],BD!A:AJ,36,0))</f>
        <v>Pendente</v>
      </c>
      <c r="H82" s="391" t="str">
        <f>VLOOKUP(Tabela11[[#This Row],[Tag do Cabo]],BD!A:AJ,32,0)</f>
        <v>CCO</v>
      </c>
      <c r="I82" s="7" t="str">
        <f>VLOOKUP(Tabela11[[#This Row],[Tag do Cabo]],BD!A:AJ,11,0)</f>
        <v>FRW-90-102 (RCK-90-101) / CCO</v>
      </c>
      <c r="J82" s="3" t="str">
        <f>VLOOKUP(Tabela11[[#This Row],[Tag do Cabo]],BD!A:AJ,12,0)</f>
        <v>DIO-90-113 (RCK-90-101) / CCO</v>
      </c>
      <c r="K82" s="391" t="s">
        <v>1579</v>
      </c>
      <c r="L82" s="391" t="s">
        <v>1579</v>
      </c>
      <c r="M82" s="3" t="str">
        <f>CONCATENATE(Tabela11[[#This Row],[Painel 1]]&amp;" "&amp;Tabela11[[#This Row],[Painel 2]])</f>
        <v>RCK-90-101 RCK-90-101</v>
      </c>
      <c r="N82" s="218">
        <v>2</v>
      </c>
      <c r="O82" s="391" t="s">
        <v>92</v>
      </c>
      <c r="P82" s="391" t="s">
        <v>107</v>
      </c>
      <c r="Q82" s="391" t="str">
        <f>VLOOKUP(Tabela11[[#This Row],[Tag do Cabo]],BD!A:F,6,0)</f>
        <v>-</v>
      </c>
      <c r="R82" s="391">
        <f>SUMIF('Lançamento de Cabos'!AE:AE,Tabela11[[#This Row],[Tag do Cabo]],'Lançamento de Cabos'!AG:AG)</f>
        <v>0</v>
      </c>
      <c r="S82" s="28">
        <f>Tabela11[[#This Row],[Ligações Realizadas]]/Tabela11[[#This Row],[Qtde Ligações]]</f>
        <v>0</v>
      </c>
      <c r="T82" s="269">
        <f>IF(Tabela11[[#This Row],[Ligações Realizadas]]/Tabela11[[#This Row],[Qtde Ligações]]=0,0,IF(Tabela11[[#This Row],[Ligações Realizadas]]/Tabela11[[#This Row],[Qtde Ligações]]=1,ROUND(N82/2,0),"Ver Painel"))</f>
        <v>0</v>
      </c>
      <c r="U82" s="23">
        <f>IF(Tabela11[[#This Row],[Ligações Realizadas]]/Tabela11[[#This Row],[Qtde Ligações]]=0,0,IF(Tabela11[[#This Row],[Ligações Realizadas]]/Tabela11[[#This Row],[Qtde Ligações]]=1,ROUND(N82/2,0),"Ver Painel"))</f>
        <v>0</v>
      </c>
      <c r="V82" s="219" t="s">
        <v>1580</v>
      </c>
    </row>
    <row r="83" spans="1:22" hidden="1" x14ac:dyDescent="0.25">
      <c r="A83" s="34" t="s">
        <v>1048</v>
      </c>
      <c r="B83" s="391" t="str">
        <f>VLOOKUP(Tabela11[[#This Row],[Tag do Cabo]],BD!A:AJ,2,0)</f>
        <v>FO</v>
      </c>
      <c r="C83" s="3" t="str">
        <f>VLOOKUP(Tabela11[[#This Row],[Tag do Cabo]],BD!A:AJ,5,0)</f>
        <v>CORDÃO ÓPTICO</v>
      </c>
      <c r="D83" s="391" t="s">
        <v>1533</v>
      </c>
      <c r="E83" s="391" t="str">
        <f>VLOOKUP(Tabela11[[#This Row],[Tag do Cabo]],BD!A:T,20,0)</f>
        <v>BK-SP54-0900B-LC-90-00010_00000</v>
      </c>
      <c r="F83" s="219" t="str">
        <f>IF(VLOOKUP(Tabela11[[#This Row],[Tag do Cabo]],BD!A:AJ,35,0)=0,"Pendente",VLOOKUP(Tabela11[[#This Row],[Tag do Cabo]],BD!A:AJ,35,0))</f>
        <v>Não Localizado</v>
      </c>
      <c r="G83" s="3" t="str">
        <f>IF(VLOOKUP(Tabela11[[#This Row],[Tag do Cabo]],BD!A:AJ,36,0)=0,"Pendente",VLOOKUP(Tabela11[[#This Row],[Tag do Cabo]],BD!A:AJ,36,0))</f>
        <v>Pendente</v>
      </c>
      <c r="H83" s="391" t="str">
        <f>VLOOKUP(Tabela11[[#This Row],[Tag do Cabo]],BD!A:AJ,32,0)</f>
        <v>CCO</v>
      </c>
      <c r="I83" s="7" t="str">
        <f>VLOOKUP(Tabela11[[#This Row],[Tag do Cabo]],BD!A:AJ,11,0)</f>
        <v>FRW-90-103 (RCK-90-101) / CCO</v>
      </c>
      <c r="J83" s="3" t="str">
        <f>VLOOKUP(Tabela11[[#This Row],[Tag do Cabo]],BD!A:AJ,12,0)</f>
        <v>DIO-90-113 (RCK-90-101) / CCO</v>
      </c>
      <c r="K83" s="391" t="s">
        <v>1579</v>
      </c>
      <c r="L83" s="391" t="s">
        <v>1579</v>
      </c>
      <c r="M83" s="3" t="str">
        <f>CONCATENATE(Tabela11[[#This Row],[Painel 1]]&amp;" "&amp;Tabela11[[#This Row],[Painel 2]])</f>
        <v>RCK-90-101 RCK-90-101</v>
      </c>
      <c r="N83" s="218">
        <v>2</v>
      </c>
      <c r="O83" s="391" t="s">
        <v>92</v>
      </c>
      <c r="P83" s="391" t="s">
        <v>107</v>
      </c>
      <c r="Q83" s="391" t="str">
        <f>VLOOKUP(Tabela11[[#This Row],[Tag do Cabo]],BD!A:F,6,0)</f>
        <v>-</v>
      </c>
      <c r="R83" s="391">
        <f>SUMIF('Lançamento de Cabos'!AE:AE,Tabela11[[#This Row],[Tag do Cabo]],'Lançamento de Cabos'!AG:AG)</f>
        <v>0</v>
      </c>
      <c r="S83" s="28">
        <f>Tabela11[[#This Row],[Ligações Realizadas]]/Tabela11[[#This Row],[Qtde Ligações]]</f>
        <v>0</v>
      </c>
      <c r="T83" s="269">
        <f>IF(Tabela11[[#This Row],[Ligações Realizadas]]/Tabela11[[#This Row],[Qtde Ligações]]=0,0,IF(Tabela11[[#This Row],[Ligações Realizadas]]/Tabela11[[#This Row],[Qtde Ligações]]=1,ROUND(N83/2,0),"Ver Painel"))</f>
        <v>0</v>
      </c>
      <c r="U83" s="23">
        <f>IF(Tabela11[[#This Row],[Ligações Realizadas]]/Tabela11[[#This Row],[Qtde Ligações]]=0,0,IF(Tabela11[[#This Row],[Ligações Realizadas]]/Tabela11[[#This Row],[Qtde Ligações]]=1,ROUND(N83/2,0),"Ver Painel"))</f>
        <v>0</v>
      </c>
      <c r="V83" s="219" t="s">
        <v>1580</v>
      </c>
    </row>
    <row r="84" spans="1:22" hidden="1" x14ac:dyDescent="0.25">
      <c r="A84" s="34" t="s">
        <v>1049</v>
      </c>
      <c r="B84" s="391" t="str">
        <f>VLOOKUP(Tabela11[[#This Row],[Tag do Cabo]],BD!A:AJ,2,0)</f>
        <v>Rede</v>
      </c>
      <c r="C84" s="3" t="str">
        <f>VLOOKUP(Tabela11[[#This Row],[Tag do Cabo]],BD!A:AJ,5,0)</f>
        <v>CABO RS-485</v>
      </c>
      <c r="D84" s="391" t="s">
        <v>1533</v>
      </c>
      <c r="E84" s="391" t="str">
        <f>VLOOKUP(Tabela11[[#This Row],[Tag do Cabo]],BD!A:T,20,0)</f>
        <v>BK-SP54-0900A-LC-90-00004_00000</v>
      </c>
      <c r="F84" s="341" t="str">
        <f>IF(VLOOKUP(Tabela11[[#This Row],[Tag do Cabo]],BD!A:AJ,35,0)=0,"Pendente",VLOOKUP(Tabela11[[#This Row],[Tag do Cabo]],BD!A:AJ,35,0))</f>
        <v>BK-SP54-00000-DI-90-00025</v>
      </c>
      <c r="G84" s="3" t="str">
        <f>IF(VLOOKUP(Tabela11[[#This Row],[Tag do Cabo]],BD!A:AJ,36,0)=0,"Pendente",VLOOKUP(Tabela11[[#This Row],[Tag do Cabo]],BD!A:AJ,36,0))</f>
        <v>1</v>
      </c>
      <c r="H84" s="391" t="str">
        <f>VLOOKUP(Tabela11[[#This Row],[Tag do Cabo]],BD!A:AJ,32,0)</f>
        <v>CCP</v>
      </c>
      <c r="I84" s="7" t="str">
        <f>VLOOKUP(Tabela11[[#This Row],[Tag do Cabo]],BD!A:AJ,11,0)</f>
        <v>GTW-90104 (CCP)</v>
      </c>
      <c r="J84" s="3" t="str">
        <f>VLOOKUP(Tabela11[[#This Row],[Tag do Cabo]],BD!A:AJ,12,0)</f>
        <v>TMR-X</v>
      </c>
      <c r="K84" s="391" t="s">
        <v>1581</v>
      </c>
      <c r="L84" s="391"/>
      <c r="M84" s="3" t="str">
        <f>CONCATENATE(Tabela11[[#This Row],[Painel 1]]&amp;" "&amp;Tabela11[[#This Row],[Painel 2]])</f>
        <v xml:space="preserve">GTW-90104 </v>
      </c>
      <c r="N84" s="157">
        <v>2</v>
      </c>
      <c r="O84" s="391" t="s">
        <v>92</v>
      </c>
      <c r="P84" s="391" t="s">
        <v>107</v>
      </c>
      <c r="Q84" s="391" t="str">
        <f>VLOOKUP(Tabela11[[#This Row],[Tag do Cabo]],BD!A:F,6,0)</f>
        <v>-</v>
      </c>
      <c r="R84" s="391">
        <f>SUMIF('Lançamento de Cabos'!AE:AE,Tabela11[[#This Row],[Tag do Cabo]],'Lançamento de Cabos'!AG:AG)</f>
        <v>0</v>
      </c>
      <c r="S84" s="28">
        <f>Tabela11[[#This Row],[Ligações Realizadas]]/Tabela11[[#This Row],[Qtde Ligações]]</f>
        <v>0</v>
      </c>
      <c r="T84" s="269">
        <f>IF(Tabela11[[#This Row],[Ligações Realizadas]]/Tabela11[[#This Row],[Qtde Ligações]]=0,0,IF(Tabela11[[#This Row],[Ligações Realizadas]]/Tabela11[[#This Row],[Qtde Ligações]]=1,ROUND(N84/2,0),"Ver Painel"))</f>
        <v>0</v>
      </c>
      <c r="U84" s="23">
        <f>IF(Tabela11[[#This Row],[Ligações Realizadas]]/Tabela11[[#This Row],[Qtde Ligações]]=0,0,IF(Tabela11[[#This Row],[Ligações Realizadas]]/Tabela11[[#This Row],[Qtde Ligações]]=1,ROUND(N84/2,0),"Ver Painel"))</f>
        <v>0</v>
      </c>
      <c r="V84" s="219"/>
    </row>
    <row r="85" spans="1:22" hidden="1" x14ac:dyDescent="0.25">
      <c r="A85" s="34" t="s">
        <v>1381</v>
      </c>
      <c r="B85" s="391" t="str">
        <f>VLOOKUP(Tabela11[[#This Row],[Tag do Cabo]],BD!A:AJ,2,0)</f>
        <v>Controle</v>
      </c>
      <c r="C85" s="3" t="str">
        <f>VLOOKUP(Tabela11[[#This Row],[Tag do Cabo]],BD!A:AJ,5,0)</f>
        <v>1P#1,0mm²+SHI</v>
      </c>
      <c r="D85" s="391" t="s">
        <v>1533</v>
      </c>
      <c r="E85" s="391" t="str">
        <f>VLOOKUP(Tabela11[[#This Row],[Tag do Cabo]],BD!A:T,20,0)</f>
        <v>BK-SP54-0900A-LC-80-00178_00000</v>
      </c>
      <c r="F85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85" s="3" t="str">
        <f>IF(VLOOKUP(Tabela11[[#This Row],[Tag do Cabo]],BD!A:AJ,36,0)=0,"Pendente",VLOOKUP(Tabela11[[#This Row],[Tag do Cabo]],BD!A:AJ,36,0))</f>
        <v>15/38/5</v>
      </c>
      <c r="H85" s="391" t="str">
        <f>VLOOKUP(Tabela11[[#This Row],[Tag do Cabo]],BD!A:AJ,32,0)</f>
        <v>Perif.IVxCCU</v>
      </c>
      <c r="I85" s="7" t="str">
        <f>VLOOKUP(Tabela11[[#This Row],[Tag do Cabo]],BD!A:AJ,11,0)</f>
        <v>PY-9227B (PERIFÉRICOS IV)</v>
      </c>
      <c r="J85" s="3" t="str">
        <f>VLOOKUP(Tabela11[[#This Row],[Tag do Cabo]],BD!A:AJ,12,0)</f>
        <v>GABINETE DELTA V - BF 901</v>
      </c>
      <c r="K85" s="391" t="s">
        <v>1574</v>
      </c>
      <c r="L85" s="391" t="s">
        <v>1575</v>
      </c>
      <c r="M85" s="3" t="str">
        <f>CONCATENATE(Tabela11[[#This Row],[Painel 1]]&amp;" "&amp;Tabela11[[#This Row],[Painel 2]])</f>
        <v>INSTRUMENTO DELTA V</v>
      </c>
      <c r="N85" s="157">
        <v>4</v>
      </c>
      <c r="O85" s="391">
        <f>COUNTIF(Tabela12[Tag Cabo],Tabela11[[#This Row],[Tag do Cabo]])</f>
        <v>4</v>
      </c>
      <c r="P85" s="391" t="str">
        <f>IF(Tabela11[[#This Row],[Qtde Ligações]]&lt;&gt;Tabela11[[#This Row],[Qtde Anilhas]],"Ver","Ok")</f>
        <v>Ok</v>
      </c>
      <c r="Q85" s="391">
        <f>VLOOKUP(Tabela11[[#This Row],[Tag do Cabo]],BD!A:F,6,0)</f>
        <v>1</v>
      </c>
      <c r="R85" s="391">
        <f>SUMIF('Lançamento de Cabos'!AE:AE,Tabela11[[#This Row],[Tag do Cabo]],'Lançamento de Cabos'!AG:AG)</f>
        <v>0</v>
      </c>
      <c r="S85" s="28">
        <f>Tabela11[[#This Row],[Ligações Realizadas]]/Tabela11[[#This Row],[Qtde Ligações]]</f>
        <v>0</v>
      </c>
      <c r="T85" s="269">
        <f>IF(Tabela11[[#This Row],[Ligações Realizadas]]/Tabela11[[#This Row],[Qtde Ligações]]=0,0,IF(Tabela11[[#This Row],[Ligações Realizadas]]/Tabela11[[#This Row],[Qtde Ligações]]=1,ROUND(N85/2,0),"Ver Painel"))</f>
        <v>0</v>
      </c>
      <c r="U85" s="23">
        <f>IF(Tabela11[[#This Row],[Ligações Realizadas]]/Tabela11[[#This Row],[Qtde Ligações]]=0,0,IF(Tabela11[[#This Row],[Ligações Realizadas]]/Tabela11[[#This Row],[Qtde Ligações]]=1,ROUND(N85/2,0),"Ver Painel"))</f>
        <v>0</v>
      </c>
      <c r="V85" s="222"/>
    </row>
    <row r="86" spans="1:22" hidden="1" x14ac:dyDescent="0.25">
      <c r="A86" s="34" t="s">
        <v>312</v>
      </c>
      <c r="B86" s="391" t="str">
        <f>VLOOKUP(Tabela11[[#This Row],[Tag do Cabo]],BD!A:AJ,2,0)</f>
        <v>FO</v>
      </c>
      <c r="C86" s="3" t="str">
        <f>VLOOKUP(Tabela11[[#This Row],[Tag do Cabo]],BD!A:AJ,5,0)</f>
        <v>CORDÃO ÓPTICO</v>
      </c>
      <c r="D86" s="391" t="s">
        <v>1533</v>
      </c>
      <c r="E86" s="391" t="str">
        <f>VLOOKUP(Tabela11[[#This Row],[Tag do Cabo]],BD!A:T,20,0)</f>
        <v>BK-SP54-0900A-LC-90-00004_00000</v>
      </c>
      <c r="F86" s="341" t="str">
        <f>IF(VLOOKUP(Tabela11[[#This Row],[Tag do Cabo]],BD!A:AJ,35,0)=0,"Pendente",VLOOKUP(Tabela11[[#This Row],[Tag do Cabo]],BD!A:AJ,35,0))</f>
        <v>BK-SP54-00200-DP-90-00023</v>
      </c>
      <c r="G86" s="3" t="str">
        <f>IF(VLOOKUP(Tabela11[[#This Row],[Tag do Cabo]],BD!A:AJ,36,0)=0,"Pendente",VLOOKUP(Tabela11[[#This Row],[Tag do Cabo]],BD!A:AJ,36,0))</f>
        <v>1</v>
      </c>
      <c r="H86" s="391" t="str">
        <f>VLOOKUP(Tabela11[[#This Row],[Tag do Cabo]],BD!A:AJ,32,0)</f>
        <v>30LV</v>
      </c>
      <c r="I86" s="7" t="str">
        <f>VLOOKUP(Tabela11[[#This Row],[Tag do Cabo]],BD!A:AJ,11,0)</f>
        <v>PI-1205 (ACESSO REMOTO)</v>
      </c>
      <c r="J86" s="3" t="str">
        <f>VLOOKUP(Tabela11[[#This Row],[Tag do Cabo]],BD!A:AJ,12,0)</f>
        <v>SWT-120-105 (30LV)</v>
      </c>
      <c r="K86" s="391" t="s">
        <v>1582</v>
      </c>
      <c r="L86" s="391" t="s">
        <v>1577</v>
      </c>
      <c r="M86" s="3" t="str">
        <f>CONCATENATE(Tabela11[[#This Row],[Painel 1]]&amp;" "&amp;Tabela11[[#This Row],[Painel 2]])</f>
        <v>PI-1205 SWT-120-105</v>
      </c>
      <c r="N86" s="157">
        <v>2</v>
      </c>
      <c r="O86" s="391" t="s">
        <v>92</v>
      </c>
      <c r="P86" s="391" t="s">
        <v>107</v>
      </c>
      <c r="Q86" s="391" t="str">
        <f>VLOOKUP(Tabela11[[#This Row],[Tag do Cabo]],BD!A:F,6,0)</f>
        <v>-</v>
      </c>
      <c r="R86" s="391">
        <f>SUMIF('Lançamento de Cabos'!AE:AE,Tabela11[[#This Row],[Tag do Cabo]],'Lançamento de Cabos'!AG:AG)</f>
        <v>0</v>
      </c>
      <c r="S86" s="28">
        <f>Tabela11[[#This Row],[Ligações Realizadas]]/Tabela11[[#This Row],[Qtde Ligações]]</f>
        <v>0</v>
      </c>
      <c r="T86" s="269">
        <f>IF(Tabela11[[#This Row],[Ligações Realizadas]]/Tabela11[[#This Row],[Qtde Ligações]]=0,0,IF(Tabela11[[#This Row],[Ligações Realizadas]]/Tabela11[[#This Row],[Qtde Ligações]]=1,ROUND(N86/2,0),"Ver Painel"))</f>
        <v>0</v>
      </c>
      <c r="U86" s="23">
        <f>IF(Tabela11[[#This Row],[Ligações Realizadas]]/Tabela11[[#This Row],[Qtde Ligações]]=0,0,IF(Tabela11[[#This Row],[Ligações Realizadas]]/Tabela11[[#This Row],[Qtde Ligações]]=1,ROUND(N86/2,0),"Ver Painel"))</f>
        <v>0</v>
      </c>
      <c r="V86" s="219"/>
    </row>
    <row r="87" spans="1:22" hidden="1" x14ac:dyDescent="0.25">
      <c r="A87" s="34" t="s">
        <v>646</v>
      </c>
      <c r="B87" s="391" t="str">
        <f>VLOOKUP(Tabela11[[#This Row],[Tag do Cabo]],BD!A:AJ,2,0)</f>
        <v>FO</v>
      </c>
      <c r="C87" s="3" t="str">
        <f>VLOOKUP(Tabela11[[#This Row],[Tag do Cabo]],BD!A:AJ,5,0)</f>
        <v>FIBRA OPTICA SM 6 PARES</v>
      </c>
      <c r="D87" s="391" t="s">
        <v>1533</v>
      </c>
      <c r="E87" s="391" t="str">
        <f>VLOOKUP(Tabela11[[#This Row],[Tag do Cabo]],BD!A:T,20,0)</f>
        <v>BK-SP54-0900B-LC-90-00010_00000</v>
      </c>
      <c r="F87" s="341" t="str">
        <f>IF(VLOOKUP(Tabela11[[#This Row],[Tag do Cabo]],BD!A:AJ,35,0)=0,"Pendente",VLOOKUP(Tabela11[[#This Row],[Tag do Cabo]],BD!A:AJ,35,0))</f>
        <v>BK-SP54-0900B-DP-90-00038</v>
      </c>
      <c r="G87" s="3" t="str">
        <f>IF(VLOOKUP(Tabela11[[#This Row],[Tag do Cabo]],BD!A:AJ,36,0)=0,"Pendente",VLOOKUP(Tabela11[[#This Row],[Tag do Cabo]],BD!A:AJ,36,0))</f>
        <v>27</v>
      </c>
      <c r="H87" s="391" t="str">
        <f>VLOOKUP(Tabela11[[#This Row],[Tag do Cabo]],BD!A:AJ,32,0)</f>
        <v>7HVxCCP</v>
      </c>
      <c r="I87" s="7" t="str">
        <f>VLOOKUP(Tabela11[[#This Row],[Tag do Cabo]],BD!A:AJ,11,0)</f>
        <v>DIO-120-104 (RCK-120-102) / ELETROCENTRO MOTORIZAÇÃO</v>
      </c>
      <c r="J87" s="3" t="str">
        <f>VLOOKUP(Tabela11[[#This Row],[Tag do Cabo]],BD!A:AJ,12,0)</f>
        <v>DIO-CCP-104 (RCK-CCP-101) / CCP</v>
      </c>
      <c r="K87" s="391" t="s">
        <v>1583</v>
      </c>
      <c r="L87" s="391" t="s">
        <v>1584</v>
      </c>
      <c r="M87" s="3" t="str">
        <f>CONCATENATE(Tabela11[[#This Row],[Painel 1]]&amp;" "&amp;Tabela11[[#This Row],[Painel 2]])</f>
        <v>RCK-120-102 RCK-CCP-101</v>
      </c>
      <c r="N87" s="157">
        <v>12</v>
      </c>
      <c r="O87" s="391" t="s">
        <v>92</v>
      </c>
      <c r="P87" s="391" t="s">
        <v>107</v>
      </c>
      <c r="Q87" s="391" t="str">
        <f>VLOOKUP(Tabela11[[#This Row],[Tag do Cabo]],BD!A:F,6,0)</f>
        <v>-</v>
      </c>
      <c r="R87" s="391">
        <f>SUMIF('Lançamento de Cabos'!AE:AE,Tabela11[[#This Row],[Tag do Cabo]],'Lançamento de Cabos'!AG:AG)</f>
        <v>0</v>
      </c>
      <c r="S87" s="28">
        <f>Tabela11[[#This Row],[Ligações Realizadas]]/Tabela11[[#This Row],[Qtde Ligações]]</f>
        <v>0</v>
      </c>
      <c r="T87" s="269">
        <f>IF(Tabela11[[#This Row],[Ligações Realizadas]]/Tabela11[[#This Row],[Qtde Ligações]]=0,0,IF(Tabela11[[#This Row],[Ligações Realizadas]]/Tabela11[[#This Row],[Qtde Ligações]]=1,ROUND(N87/2,0),"Ver Painel"))</f>
        <v>0</v>
      </c>
      <c r="U87" s="23">
        <f>IF(Tabela11[[#This Row],[Ligações Realizadas]]/Tabela11[[#This Row],[Qtde Ligações]]=0,0,IF(Tabela11[[#This Row],[Ligações Realizadas]]/Tabela11[[#This Row],[Qtde Ligações]]=1,ROUND(N87/2,0),"Ver Painel"))</f>
        <v>0</v>
      </c>
      <c r="V87" s="219"/>
    </row>
    <row r="88" spans="1:22" hidden="1" x14ac:dyDescent="0.25">
      <c r="A88" s="34" t="s">
        <v>598</v>
      </c>
      <c r="B88" s="391" t="str">
        <f>VLOOKUP(Tabela11[[#This Row],[Tag do Cabo]],BD!A:AJ,2,0)</f>
        <v>FO</v>
      </c>
      <c r="C88" s="3" t="str">
        <f>VLOOKUP(Tabela11[[#This Row],[Tag do Cabo]],BD!A:AJ,5,0)</f>
        <v>FIBRA OPTICA SM 6 PARES</v>
      </c>
      <c r="D88" s="391" t="s">
        <v>1542</v>
      </c>
      <c r="E88" s="391" t="str">
        <f>VLOOKUP(Tabela11[[#This Row],[Tag do Cabo]],BD!A:T,20,0)</f>
        <v>BK-SP54-0900A-LC-90-00004_00000</v>
      </c>
      <c r="F88" s="3" t="str">
        <f>IF(VLOOKUP(Tabela11[[#This Row],[Tag do Cabo]],BD!A:AJ,35,0)=0,"Pendente",VLOOKUP(Tabela11[[#This Row],[Tag do Cabo]],BD!A:AJ,35,0))</f>
        <v>SOK0898310</v>
      </c>
      <c r="G88" s="3">
        <f>IF(VLOOKUP(Tabela11[[#This Row],[Tag do Cabo]],BD!A:AJ,36,0)=0,"Pendente",VLOOKUP(Tabela11[[#This Row],[Tag do Cabo]],BD!A:AJ,36,0))</f>
        <v>43</v>
      </c>
      <c r="H88" s="391" t="str">
        <f>VLOOKUP(Tabela11[[#This Row],[Tag do Cabo]],BD!A:AJ,32,0)</f>
        <v>7HVx30LV</v>
      </c>
      <c r="I88" s="7" t="str">
        <f>VLOOKUP(Tabela11[[#This Row],[Tag do Cabo]],BD!A:AJ,11,0)</f>
        <v>RACK 7HV - RCK-120-102</v>
      </c>
      <c r="J88" s="3" t="str">
        <f>VLOOKUP(Tabela11[[#This Row],[Tag do Cabo]],BD!A:AJ,12,0)</f>
        <v>RCK-120-103 - RACK 30LV</v>
      </c>
      <c r="K88" s="391" t="s">
        <v>1583</v>
      </c>
      <c r="L88" s="391" t="s">
        <v>1585</v>
      </c>
      <c r="M88" s="3" t="str">
        <f>CONCATENATE(Tabela11[[#This Row],[Painel 1]]&amp;" "&amp;Tabela11[[#This Row],[Painel 2]])</f>
        <v>RCK-120-102 RCK-120-103</v>
      </c>
      <c r="N88" s="157">
        <v>2</v>
      </c>
      <c r="O88" s="391" t="s">
        <v>92</v>
      </c>
      <c r="P88" s="391" t="s">
        <v>107</v>
      </c>
      <c r="Q88" s="391" t="str">
        <f>VLOOKUP(Tabela11[[#This Row],[Tag do Cabo]],BD!A:F,6,0)</f>
        <v>-</v>
      </c>
      <c r="R88" s="391">
        <f>SUMIF('Lançamento de Cabos'!AE:AE,Tabela11[[#This Row],[Tag do Cabo]],'Lançamento de Cabos'!AG:AG)</f>
        <v>0</v>
      </c>
      <c r="S88" s="28">
        <f>Tabela11[[#This Row],[Ligações Realizadas]]/Tabela11[[#This Row],[Qtde Ligações]]</f>
        <v>0</v>
      </c>
      <c r="T88" s="269">
        <f>IF(Tabela11[[#This Row],[Ligações Realizadas]]/Tabela11[[#This Row],[Qtde Ligações]]=0,0,IF(Tabela11[[#This Row],[Ligações Realizadas]]/Tabela11[[#This Row],[Qtde Ligações]]=1,ROUND(N88/2,0),"Ver Painel"))</f>
        <v>0</v>
      </c>
      <c r="U88" s="23">
        <f>IF(Tabela11[[#This Row],[Ligações Realizadas]]/Tabela11[[#This Row],[Qtde Ligações]]=0,0,IF(Tabela11[[#This Row],[Ligações Realizadas]]/Tabela11[[#This Row],[Qtde Ligações]]=1,ROUND(N88/2,0),"Ver Painel"))</f>
        <v>0</v>
      </c>
      <c r="V88" s="222"/>
    </row>
    <row r="89" spans="1:22" hidden="1" x14ac:dyDescent="0.25">
      <c r="A89" s="34" t="s">
        <v>652</v>
      </c>
      <c r="B89" s="391" t="str">
        <f>VLOOKUP(Tabela11[[#This Row],[Tag do Cabo]],BD!A:AJ,2,0)</f>
        <v>FO</v>
      </c>
      <c r="C89" s="3" t="str">
        <f>VLOOKUP(Tabela11[[#This Row],[Tag do Cabo]],BD!A:AJ,5,0)</f>
        <v>FIBRA OPTICA SM 6 PARES</v>
      </c>
      <c r="D89" s="391" t="s">
        <v>1533</v>
      </c>
      <c r="E89" s="391" t="str">
        <f>VLOOKUP(Tabela11[[#This Row],[Tag do Cabo]],BD!A:T,20,0)</f>
        <v>BK-SP54-0900A-LC-90-00004_00000</v>
      </c>
      <c r="F89" s="3" t="str">
        <f>IF(VLOOKUP(Tabela11[[#This Row],[Tag do Cabo]],BD!A:AJ,35,0)=0,"Pendente",VLOOKUP(Tabela11[[#This Row],[Tag do Cabo]],BD!A:AJ,35,0))</f>
        <v>SOK0898308</v>
      </c>
      <c r="G89" s="3" t="str">
        <f>IF(VLOOKUP(Tabela11[[#This Row],[Tag do Cabo]],BD!A:AJ,36,0)=0,"Pendente",VLOOKUP(Tabela11[[#This Row],[Tag do Cabo]],BD!A:AJ,36,0))</f>
        <v>44</v>
      </c>
      <c r="H89" s="391" t="str">
        <f>VLOOKUP(Tabela11[[#This Row],[Tag do Cabo]],BD!A:AJ,32,0)</f>
        <v>7HVxCCP</v>
      </c>
      <c r="I89" s="7" t="str">
        <f>VLOOKUP(Tabela11[[#This Row],[Tag do Cabo]],BD!A:AJ,11,0)</f>
        <v>RACK 7HV - RCK-120-102</v>
      </c>
      <c r="J89" s="3" t="str">
        <f>VLOOKUP(Tabela11[[#This Row],[Tag do Cabo]],BD!A:AJ,12,0)</f>
        <v>RACK CCP - RCK-90-105</v>
      </c>
      <c r="K89" s="391" t="s">
        <v>1583</v>
      </c>
      <c r="L89" s="391" t="s">
        <v>1586</v>
      </c>
      <c r="M89" s="3" t="str">
        <f>CONCATENATE(Tabela11[[#This Row],[Painel 1]]&amp;" "&amp;Tabela11[[#This Row],[Painel 2]])</f>
        <v>RCK-120-102 RCK-90-105</v>
      </c>
      <c r="N89" s="157">
        <v>12</v>
      </c>
      <c r="O89" s="391" t="s">
        <v>92</v>
      </c>
      <c r="P89" s="391" t="s">
        <v>107</v>
      </c>
      <c r="Q89" s="391" t="str">
        <f>VLOOKUP(Tabela11[[#This Row],[Tag do Cabo]],BD!A:F,6,0)</f>
        <v>-</v>
      </c>
      <c r="R89" s="391">
        <f>SUMIF('Lançamento de Cabos'!AE:AE,Tabela11[[#This Row],[Tag do Cabo]],'Lançamento de Cabos'!AG:AG)</f>
        <v>0</v>
      </c>
      <c r="S89" s="28">
        <f>Tabela11[[#This Row],[Ligações Realizadas]]/Tabela11[[#This Row],[Qtde Ligações]]</f>
        <v>0</v>
      </c>
      <c r="T89" s="269">
        <f>IF(Tabela11[[#This Row],[Ligações Realizadas]]/Tabela11[[#This Row],[Qtde Ligações]]=0,0,IF(Tabela11[[#This Row],[Ligações Realizadas]]/Tabela11[[#This Row],[Qtde Ligações]]=1,ROUND(N89/2,0),"Ver Painel"))</f>
        <v>0</v>
      </c>
      <c r="U89" s="23">
        <f>IF(Tabela11[[#This Row],[Ligações Realizadas]]/Tabela11[[#This Row],[Qtde Ligações]]=0,0,IF(Tabela11[[#This Row],[Ligações Realizadas]]/Tabela11[[#This Row],[Qtde Ligações]]=1,ROUND(N89/2,0),"Ver Painel"))</f>
        <v>0</v>
      </c>
      <c r="V89" s="222"/>
    </row>
    <row r="90" spans="1:22" hidden="1" x14ac:dyDescent="0.25">
      <c r="A90" s="34" t="s">
        <v>1075</v>
      </c>
      <c r="B90" s="391" t="str">
        <f>VLOOKUP(Tabela11[[#This Row],[Tag do Cabo]],BD!A:AJ,2,0)</f>
        <v>Rede</v>
      </c>
      <c r="C90" s="3" t="str">
        <f>VLOOKUP(Tabela11[[#This Row],[Tag do Cabo]],BD!A:AJ,5,0)</f>
        <v>CABO ETHERNET</v>
      </c>
      <c r="D90" s="391" t="s">
        <v>1533</v>
      </c>
      <c r="E90" s="391" t="str">
        <f>VLOOKUP(Tabela11[[#This Row],[Tag do Cabo]],BD!A:T,20,0)</f>
        <v>BK-SP54-0900B-LC-90-00010_00000</v>
      </c>
      <c r="F90" s="341" t="str">
        <f>IF(VLOOKUP(Tabela11[[#This Row],[Tag do Cabo]],BD!A:AJ,35,0)=0,"Pendente",VLOOKUP(Tabela11[[#This Row],[Tag do Cabo]],BD!A:AJ,35,0))</f>
        <v>BK-SP54-0900B-DP-90-00038</v>
      </c>
      <c r="G90" s="3" t="str">
        <f>IF(VLOOKUP(Tabela11[[#This Row],[Tag do Cabo]],BD!A:AJ,36,0)=0,"Pendente",VLOOKUP(Tabela11[[#This Row],[Tag do Cabo]],BD!A:AJ,36,0))</f>
        <v>7,26, 27</v>
      </c>
      <c r="H90" s="391" t="str">
        <f>VLOOKUP(Tabela11[[#This Row],[Tag do Cabo]],BD!A:AJ,32,0)</f>
        <v>CCP</v>
      </c>
      <c r="I90" s="7" t="str">
        <f>VLOOKUP(Tabela11[[#This Row],[Tag do Cabo]],BD!A:AJ,11,0)</f>
        <v>MCV-CCP-118 (RCK-CCP-101) / CCP</v>
      </c>
      <c r="J90" s="3" t="str">
        <f>VLOOKUP(Tabela11[[#This Row],[Tag do Cabo]],BD!A:AJ,12,0)</f>
        <v>SWT-CCP-101 (RCK-CCP-101) / CCP</v>
      </c>
      <c r="K90" s="391" t="s">
        <v>1584</v>
      </c>
      <c r="L90" s="391" t="s">
        <v>1584</v>
      </c>
      <c r="M90" s="3" t="str">
        <f>CONCATENATE(Tabela11[[#This Row],[Painel 1]]&amp;" "&amp;Tabela11[[#This Row],[Painel 2]])</f>
        <v>RCK-CCP-101 RCK-CCP-101</v>
      </c>
      <c r="N90" s="157">
        <v>2</v>
      </c>
      <c r="O90" s="391" t="s">
        <v>92</v>
      </c>
      <c r="P90" s="391" t="s">
        <v>107</v>
      </c>
      <c r="Q90" s="391" t="str">
        <f>VLOOKUP(Tabela11[[#This Row],[Tag do Cabo]],BD!A:F,6,0)</f>
        <v>-</v>
      </c>
      <c r="R90" s="391">
        <f>SUMIF('Lançamento de Cabos'!AE:AE,Tabela11[[#This Row],[Tag do Cabo]],'Lançamento de Cabos'!AG:AG)</f>
        <v>0</v>
      </c>
      <c r="S90" s="28">
        <f>Tabela11[[#This Row],[Ligações Realizadas]]/Tabela11[[#This Row],[Qtde Ligações]]</f>
        <v>0</v>
      </c>
      <c r="T90" s="269">
        <f>IF(Tabela11[[#This Row],[Ligações Realizadas]]/Tabela11[[#This Row],[Qtde Ligações]]=0,0,IF(Tabela11[[#This Row],[Ligações Realizadas]]/Tabela11[[#This Row],[Qtde Ligações]]=1,ROUND(N90/2,0),"Ver Painel"))</f>
        <v>0</v>
      </c>
      <c r="U90" s="23">
        <f>IF(Tabela11[[#This Row],[Ligações Realizadas]]/Tabela11[[#This Row],[Qtde Ligações]]=0,0,IF(Tabela11[[#This Row],[Ligações Realizadas]]/Tabela11[[#This Row],[Qtde Ligações]]=1,ROUND(N90/2,0),"Ver Painel"))</f>
        <v>0</v>
      </c>
      <c r="V90" s="219"/>
    </row>
    <row r="91" spans="1:22" hidden="1" x14ac:dyDescent="0.25">
      <c r="A91" s="34" t="s">
        <v>1081</v>
      </c>
      <c r="B91" s="391" t="str">
        <f>VLOOKUP(Tabela11[[#This Row],[Tag do Cabo]],BD!A:AJ,2,0)</f>
        <v>FO</v>
      </c>
      <c r="C91" s="3" t="str">
        <f>VLOOKUP(Tabela11[[#This Row],[Tag do Cabo]],BD!A:AJ,5,0)</f>
        <v>CORDÃO ÓPTICO</v>
      </c>
      <c r="D91" s="391" t="s">
        <v>1533</v>
      </c>
      <c r="E91" s="391" t="str">
        <f>VLOOKUP(Tabela11[[#This Row],[Tag do Cabo]],BD!A:T,20,0)</f>
        <v>BK-SP54-0900B-LC-90-00010_00000</v>
      </c>
      <c r="F91" s="219" t="str">
        <f>IF(VLOOKUP(Tabela11[[#This Row],[Tag do Cabo]],BD!A:AJ,35,0)=0,"Pendente",VLOOKUP(Tabela11[[#This Row],[Tag do Cabo]],BD!A:AJ,35,0))</f>
        <v>Não Localizado</v>
      </c>
      <c r="G91" s="3" t="str">
        <f>IF(VLOOKUP(Tabela11[[#This Row],[Tag do Cabo]],BD!A:AJ,36,0)=0,"Pendente",VLOOKUP(Tabela11[[#This Row],[Tag do Cabo]],BD!A:AJ,36,0))</f>
        <v>Pendente</v>
      </c>
      <c r="H91" s="391" t="str">
        <f>VLOOKUP(Tabela11[[#This Row],[Tag do Cabo]],BD!A:AJ,32,0)</f>
        <v>CCP</v>
      </c>
      <c r="I91" s="7" t="str">
        <f>VLOOKUP(Tabela11[[#This Row],[Tag do Cabo]],BD!A:AJ,11,0)</f>
        <v>MCV-CCP-118 (RCK-CCP-101) / CCP</v>
      </c>
      <c r="J91" s="3" t="str">
        <f>VLOOKUP(Tabela11[[#This Row],[Tag do Cabo]],BD!A:AJ,12,0)</f>
        <v>DIO-CCP-104 (RCK-CCP-101) / CCP</v>
      </c>
      <c r="K91" s="391" t="s">
        <v>1584</v>
      </c>
      <c r="L91" s="391" t="s">
        <v>1584</v>
      </c>
      <c r="M91" s="3" t="str">
        <f>CONCATENATE(Tabela11[[#This Row],[Painel 1]]&amp;" "&amp;Tabela11[[#This Row],[Painel 2]])</f>
        <v>RCK-CCP-101 RCK-CCP-101</v>
      </c>
      <c r="N91" s="218">
        <v>2</v>
      </c>
      <c r="O91" s="391" t="s">
        <v>92</v>
      </c>
      <c r="P91" s="391" t="s">
        <v>107</v>
      </c>
      <c r="Q91" s="391" t="str">
        <f>VLOOKUP(Tabela11[[#This Row],[Tag do Cabo]],BD!A:F,6,0)</f>
        <v>-</v>
      </c>
      <c r="R91" s="391">
        <f>SUMIF('Lançamento de Cabos'!AE:AE,Tabela11[[#This Row],[Tag do Cabo]],'Lançamento de Cabos'!AG:AG)</f>
        <v>0</v>
      </c>
      <c r="S91" s="28">
        <f>Tabela11[[#This Row],[Ligações Realizadas]]/Tabela11[[#This Row],[Qtde Ligações]]</f>
        <v>0</v>
      </c>
      <c r="T91" s="269">
        <f>IF(Tabela11[[#This Row],[Ligações Realizadas]]/Tabela11[[#This Row],[Qtde Ligações]]=0,0,IF(Tabela11[[#This Row],[Ligações Realizadas]]/Tabela11[[#This Row],[Qtde Ligações]]=1,ROUND(N91/2,0),"Ver Painel"))</f>
        <v>0</v>
      </c>
      <c r="U91" s="23">
        <f>IF(Tabela11[[#This Row],[Ligações Realizadas]]/Tabela11[[#This Row],[Qtde Ligações]]=0,0,IF(Tabela11[[#This Row],[Ligações Realizadas]]/Tabela11[[#This Row],[Qtde Ligações]]=1,ROUND(N91/2,0),"Ver Painel"))</f>
        <v>0</v>
      </c>
      <c r="V91" s="219" t="s">
        <v>1552</v>
      </c>
    </row>
    <row r="92" spans="1:22" hidden="1" x14ac:dyDescent="0.25">
      <c r="A92" s="34" t="s">
        <v>443</v>
      </c>
      <c r="B92" s="391" t="str">
        <f>VLOOKUP(Tabela11[[#This Row],[Tag do Cabo]],BD!A:AJ,2,0)</f>
        <v>Rede</v>
      </c>
      <c r="C92" s="3" t="str">
        <f>VLOOKUP(Tabela11[[#This Row],[Tag do Cabo]],BD!A:AJ,5,0)</f>
        <v>CABO ETHERNET</v>
      </c>
      <c r="D92" s="391" t="s">
        <v>1533</v>
      </c>
      <c r="E92" s="391" t="str">
        <f>VLOOKUP(Tabela11[[#This Row],[Tag do Cabo]],BD!A:T,20,0)</f>
        <v>BK-SP54-0900B-LC-90-00010_00000</v>
      </c>
      <c r="F92" s="341" t="str">
        <f>IF(VLOOKUP(Tabela11[[#This Row],[Tag do Cabo]],BD!A:AJ,35,0)=0,"Pendente",VLOOKUP(Tabela11[[#This Row],[Tag do Cabo]],BD!A:AJ,35,0))</f>
        <v>SOK0902199</v>
      </c>
      <c r="G92" s="3" t="str">
        <f>IF(VLOOKUP(Tabela11[[#This Row],[Tag do Cabo]],BD!A:AJ,36,0)=0,"Pendente",VLOOKUP(Tabela11[[#This Row],[Tag do Cabo]],BD!A:AJ,36,0))</f>
        <v>1</v>
      </c>
      <c r="H92" s="391" t="str">
        <f>VLOOKUP(Tabela11[[#This Row],[Tag do Cabo]],BD!A:AJ,32,0)</f>
        <v>7HV</v>
      </c>
      <c r="I92" s="7" t="str">
        <f>VLOOKUP(Tabela11[[#This Row],[Tag do Cabo]],BD!A:AJ,11,0)</f>
        <v>MCV-120-103 (RCK-120-102) / ELETROCENTRO MOTORIZAÇÃO</v>
      </c>
      <c r="J92" s="3" t="str">
        <f>VLOOKUP(Tabela11[[#This Row],[Tag do Cabo]],BD!A:AJ,12,0)</f>
        <v>PL-120-101 / ELETROCENTRO MOTORIZAÇÃO</v>
      </c>
      <c r="K92" s="391" t="s">
        <v>1583</v>
      </c>
      <c r="L92" s="391" t="s">
        <v>1587</v>
      </c>
      <c r="M92" s="3" t="str">
        <f>CONCATENATE(Tabela11[[#This Row],[Painel 1]]&amp;" "&amp;Tabela11[[#This Row],[Painel 2]])</f>
        <v>RCK-120-102 PL-120-101</v>
      </c>
      <c r="N92" s="157">
        <v>2</v>
      </c>
      <c r="O92" s="391" t="s">
        <v>92</v>
      </c>
      <c r="P92" s="391" t="s">
        <v>107</v>
      </c>
      <c r="Q92" s="391" t="str">
        <f>VLOOKUP(Tabela11[[#This Row],[Tag do Cabo]],BD!A:F,6,0)</f>
        <v>-</v>
      </c>
      <c r="R92" s="391">
        <f>SUMIF('Lançamento de Cabos'!AE:AE,Tabela11[[#This Row],[Tag do Cabo]],'Lançamento de Cabos'!AG:AG)</f>
        <v>0</v>
      </c>
      <c r="S92" s="28">
        <f>Tabela11[[#This Row],[Ligações Realizadas]]/Tabela11[[#This Row],[Qtde Ligações]]</f>
        <v>0</v>
      </c>
      <c r="T92" s="269">
        <f>IF(Tabela11[[#This Row],[Ligações Realizadas]]/Tabela11[[#This Row],[Qtde Ligações]]=0,0,IF(Tabela11[[#This Row],[Ligações Realizadas]]/Tabela11[[#This Row],[Qtde Ligações]]=1,ROUND(N92/2,0),"Ver Painel"))</f>
        <v>0</v>
      </c>
      <c r="U92" s="23">
        <f>IF(Tabela11[[#This Row],[Ligações Realizadas]]/Tabela11[[#This Row],[Qtde Ligações]]=0,0,IF(Tabela11[[#This Row],[Ligações Realizadas]]/Tabela11[[#This Row],[Qtde Ligações]]=1,ROUND(N92/2,0),"Ver Painel"))</f>
        <v>0</v>
      </c>
      <c r="V92" s="219"/>
    </row>
    <row r="93" spans="1:22" hidden="1" x14ac:dyDescent="0.25">
      <c r="A93" s="34" t="s">
        <v>450</v>
      </c>
      <c r="B93" s="391" t="str">
        <f>VLOOKUP(Tabela11[[#This Row],[Tag do Cabo]],BD!A:AJ,2,0)</f>
        <v>Rede</v>
      </c>
      <c r="C93" s="3" t="str">
        <f>VLOOKUP(Tabela11[[#This Row],[Tag do Cabo]],BD!A:AJ,5,0)</f>
        <v>CABO ETHERNET</v>
      </c>
      <c r="D93" s="391" t="s">
        <v>1533</v>
      </c>
      <c r="E93" s="391" t="str">
        <f>VLOOKUP(Tabela11[[#This Row],[Tag do Cabo]],BD!A:T,20,0)</f>
        <v>BK-SP54-0900A-LC-90-00004_00000</v>
      </c>
      <c r="F93" s="341" t="str">
        <f>IF(VLOOKUP(Tabela11[[#This Row],[Tag do Cabo]],BD!A:AJ,35,0)=0,"Pendente",VLOOKUP(Tabela11[[#This Row],[Tag do Cabo]],BD!A:AJ,35,0))</f>
        <v>BK-SP54-00000-DF-90-00064</v>
      </c>
      <c r="G93" s="3" t="str">
        <f>IF(VLOOKUP(Tabela11[[#This Row],[Tag do Cabo]],BD!A:AJ,36,0)=0,"Pendente",VLOOKUP(Tabela11[[#This Row],[Tag do Cabo]],BD!A:AJ,36,0))</f>
        <v>5</v>
      </c>
      <c r="H93" s="391" t="str">
        <f>VLOOKUP(Tabela11[[#This Row],[Tag do Cabo]],BD!A:AJ,32,0)</f>
        <v>7HV</v>
      </c>
      <c r="I93" s="7" t="str">
        <f>VLOOKUP(Tabela11[[#This Row],[Tag do Cabo]],BD!A:AJ,11,0)</f>
        <v>INVERSOR GB-1201
 (Eletrocentro da Motorização)</v>
      </c>
      <c r="J93" s="3" t="str">
        <f>VLOOKUP(Tabela11[[#This Row],[Tag do Cabo]],BD!A:AJ,12,0)</f>
        <v>RACK-120-102 - SWT-120-102</v>
      </c>
      <c r="K93" s="391" t="s">
        <v>1588</v>
      </c>
      <c r="L93" s="391" t="s">
        <v>1583</v>
      </c>
      <c r="M93" s="3" t="str">
        <f>CONCATENATE(Tabela11[[#This Row],[Painel 1]]&amp;" "&amp;Tabela11[[#This Row],[Painel 2]])</f>
        <v>GB-1201-INV RCK-120-102</v>
      </c>
      <c r="N93" s="157">
        <v>2</v>
      </c>
      <c r="O93" s="391" t="s">
        <v>92</v>
      </c>
      <c r="P93" s="391" t="s">
        <v>107</v>
      </c>
      <c r="Q93" s="391" t="str">
        <f>VLOOKUP(Tabela11[[#This Row],[Tag do Cabo]],BD!A:F,6,0)</f>
        <v>-</v>
      </c>
      <c r="R93" s="391">
        <f>SUMIF('Lançamento de Cabos'!AE:AE,Tabela11[[#This Row],[Tag do Cabo]],'Lançamento de Cabos'!AG:AG)</f>
        <v>0</v>
      </c>
      <c r="S93" s="28">
        <f>Tabela11[[#This Row],[Ligações Realizadas]]/Tabela11[[#This Row],[Qtde Ligações]]</f>
        <v>0</v>
      </c>
      <c r="T93" s="269">
        <f>IF(Tabela11[[#This Row],[Ligações Realizadas]]/Tabela11[[#This Row],[Qtde Ligações]]=0,0,IF(Tabela11[[#This Row],[Ligações Realizadas]]/Tabela11[[#This Row],[Qtde Ligações]]=1,ROUND(N93/2,0),"Ver Painel"))</f>
        <v>0</v>
      </c>
      <c r="U93" s="23">
        <f>IF(Tabela11[[#This Row],[Ligações Realizadas]]/Tabela11[[#This Row],[Qtde Ligações]]=0,0,IF(Tabela11[[#This Row],[Ligações Realizadas]]/Tabela11[[#This Row],[Qtde Ligações]]=1,ROUND(N93/2,0),"Ver Painel"))</f>
        <v>0</v>
      </c>
      <c r="V93" s="219"/>
    </row>
    <row r="94" spans="1:22" hidden="1" x14ac:dyDescent="0.25">
      <c r="A94" s="34" t="s">
        <v>455</v>
      </c>
      <c r="B94" s="391" t="str">
        <f>VLOOKUP(Tabela11[[#This Row],[Tag do Cabo]],BD!A:AJ,2,0)</f>
        <v>Rede</v>
      </c>
      <c r="C94" s="3" t="str">
        <f>VLOOKUP(Tabela11[[#This Row],[Tag do Cabo]],BD!A:AJ,5,0)</f>
        <v>CABO ETHERNET</v>
      </c>
      <c r="D94" s="391" t="s">
        <v>1533</v>
      </c>
      <c r="E94" s="391" t="str">
        <f>VLOOKUP(Tabela11[[#This Row],[Tag do Cabo]],BD!A:T,20,0)</f>
        <v>BK-SP54-0900A-LC-90-00004_00000</v>
      </c>
      <c r="F94" s="341" t="str">
        <f>IF(VLOOKUP(Tabela11[[#This Row],[Tag do Cabo]],BD!A:AJ,35,0)=0,"Pendente",VLOOKUP(Tabela11[[#This Row],[Tag do Cabo]],BD!A:AJ,35,0))</f>
        <v>BK-SP54-00000-DF-90-00064</v>
      </c>
      <c r="G94" s="3" t="str">
        <f>IF(VLOOKUP(Tabela11[[#This Row],[Tag do Cabo]],BD!A:AJ,36,0)=0,"Pendente",VLOOKUP(Tabela11[[#This Row],[Tag do Cabo]],BD!A:AJ,36,0))</f>
        <v>5</v>
      </c>
      <c r="H94" s="391" t="str">
        <f>VLOOKUP(Tabela11[[#This Row],[Tag do Cabo]],BD!A:AJ,32,0)</f>
        <v>7HV</v>
      </c>
      <c r="I94" s="7" t="str">
        <f>VLOOKUP(Tabela11[[#This Row],[Tag do Cabo]],BD!A:AJ,11,0)</f>
        <v>INVERSOR GB-1203
 (Eletrocentro da Motorização)</v>
      </c>
      <c r="J94" s="3" t="str">
        <f>VLOOKUP(Tabela11[[#This Row],[Tag do Cabo]],BD!A:AJ,12,0)</f>
        <v>RACK-120-102 - SWT-120-102</v>
      </c>
      <c r="K94" s="391" t="s">
        <v>1589</v>
      </c>
      <c r="L94" s="391" t="s">
        <v>1583</v>
      </c>
      <c r="M94" s="3" t="str">
        <f>CONCATENATE(Tabela11[[#This Row],[Painel 1]]&amp;" "&amp;Tabela11[[#This Row],[Painel 2]])</f>
        <v>GB-1203-INV RCK-120-102</v>
      </c>
      <c r="N94" s="157">
        <v>2</v>
      </c>
      <c r="O94" s="391" t="s">
        <v>92</v>
      </c>
      <c r="P94" s="391" t="s">
        <v>107</v>
      </c>
      <c r="Q94" s="391" t="str">
        <f>VLOOKUP(Tabela11[[#This Row],[Tag do Cabo]],BD!A:F,6,0)</f>
        <v>-</v>
      </c>
      <c r="R94" s="391">
        <f>SUMIF('Lançamento de Cabos'!AE:AE,Tabela11[[#This Row],[Tag do Cabo]],'Lançamento de Cabos'!AG:AG)</f>
        <v>0</v>
      </c>
      <c r="S94" s="28">
        <f>Tabela11[[#This Row],[Ligações Realizadas]]/Tabela11[[#This Row],[Qtde Ligações]]</f>
        <v>0</v>
      </c>
      <c r="T94" s="269">
        <f>IF(Tabela11[[#This Row],[Ligações Realizadas]]/Tabela11[[#This Row],[Qtde Ligações]]=0,0,IF(Tabela11[[#This Row],[Ligações Realizadas]]/Tabela11[[#This Row],[Qtde Ligações]]=1,ROUND(N94/2,0),"Ver Painel"))</f>
        <v>0</v>
      </c>
      <c r="U94" s="23">
        <f>IF(Tabela11[[#This Row],[Ligações Realizadas]]/Tabela11[[#This Row],[Qtde Ligações]]=0,0,IF(Tabela11[[#This Row],[Ligações Realizadas]]/Tabela11[[#This Row],[Qtde Ligações]]=1,ROUND(N94/2,0),"Ver Painel"))</f>
        <v>0</v>
      </c>
      <c r="V94" s="219"/>
    </row>
    <row r="95" spans="1:22" hidden="1" x14ac:dyDescent="0.25">
      <c r="A95" s="34" t="s">
        <v>317</v>
      </c>
      <c r="B95" s="391" t="str">
        <f>VLOOKUP(Tabela11[[#This Row],[Tag do Cabo]],BD!A:AJ,2,0)</f>
        <v>Rede</v>
      </c>
      <c r="C95" s="3" t="str">
        <f>VLOOKUP(Tabela11[[#This Row],[Tag do Cabo]],BD!A:AJ,5,0)</f>
        <v>CABO ETHERNET</v>
      </c>
      <c r="D95" s="391" t="s">
        <v>1533</v>
      </c>
      <c r="E95" s="391" t="str">
        <f>VLOOKUP(Tabela11[[#This Row],[Tag do Cabo]],BD!A:T,20,0)</f>
        <v>BK-SP54-0900A-LC-90-00004_00000</v>
      </c>
      <c r="F95" s="341" t="str">
        <f>IF(VLOOKUP(Tabela11[[#This Row],[Tag do Cabo]],BD!A:AJ,35,0)=0,"Pendente",VLOOKUP(Tabela11[[#This Row],[Tag do Cabo]],BD!A:AJ,35,0))</f>
        <v>BK-SP54-00200-DP-90-00023</v>
      </c>
      <c r="G95" s="3" t="str">
        <f>IF(VLOOKUP(Tabela11[[#This Row],[Tag do Cabo]],BD!A:AJ,36,0)=0,"Pendente",VLOOKUP(Tabela11[[#This Row],[Tag do Cabo]],BD!A:AJ,36,0))</f>
        <v>1</v>
      </c>
      <c r="H95" s="391" t="str">
        <f>VLOOKUP(Tabela11[[#This Row],[Tag do Cabo]],BD!A:AJ,32,0)</f>
        <v>30LV</v>
      </c>
      <c r="I95" s="7" t="str">
        <f>VLOOKUP(Tabela11[[#This Row],[Tag do Cabo]],BD!A:AJ,11,0)</f>
        <v>SWT-120-105 (30LV)</v>
      </c>
      <c r="J95" s="3" t="str">
        <f>VLOOKUP(Tabela11[[#This Row],[Tag do Cabo]],BD!A:AJ,12,0)</f>
        <v>PC TRISTATION P1</v>
      </c>
      <c r="K95" s="391" t="s">
        <v>1577</v>
      </c>
      <c r="L95" s="391"/>
      <c r="M95" s="3" t="str">
        <f>CONCATENATE(Tabela11[[#This Row],[Painel 1]]&amp;" "&amp;Tabela11[[#This Row],[Painel 2]])</f>
        <v xml:space="preserve">SWT-120-105 </v>
      </c>
      <c r="N95" s="157">
        <v>2</v>
      </c>
      <c r="O95" s="391" t="s">
        <v>92</v>
      </c>
      <c r="P95" s="391" t="s">
        <v>107</v>
      </c>
      <c r="Q95" s="391" t="str">
        <f>VLOOKUP(Tabela11[[#This Row],[Tag do Cabo]],BD!A:F,6,0)</f>
        <v>-</v>
      </c>
      <c r="R95" s="391">
        <f>SUMIF('Lançamento de Cabos'!AE:AE,Tabela11[[#This Row],[Tag do Cabo]],'Lançamento de Cabos'!AG:AG)</f>
        <v>0</v>
      </c>
      <c r="S95" s="28">
        <f>Tabela11[[#This Row],[Ligações Realizadas]]/Tabela11[[#This Row],[Qtde Ligações]]</f>
        <v>0</v>
      </c>
      <c r="T95" s="269">
        <f>IF(Tabela11[[#This Row],[Ligações Realizadas]]/Tabela11[[#This Row],[Qtde Ligações]]=0,0,IF(Tabela11[[#This Row],[Ligações Realizadas]]/Tabela11[[#This Row],[Qtde Ligações]]=1,ROUND(N95/2,0),"Ver Painel"))</f>
        <v>0</v>
      </c>
      <c r="U95" s="23">
        <f>IF(Tabela11[[#This Row],[Ligações Realizadas]]/Tabela11[[#This Row],[Qtde Ligações]]=0,0,IF(Tabela11[[#This Row],[Ligações Realizadas]]/Tabela11[[#This Row],[Qtde Ligações]]=1,ROUND(N95/2,0),"Ver Painel"))</f>
        <v>0</v>
      </c>
      <c r="V95" s="219"/>
    </row>
    <row r="96" spans="1:22" hidden="1" x14ac:dyDescent="0.25">
      <c r="A96" s="34" t="s">
        <v>323</v>
      </c>
      <c r="B96" s="391" t="str">
        <f>VLOOKUP(Tabela11[[#This Row],[Tag do Cabo]],BD!A:AJ,2,0)</f>
        <v>Rede</v>
      </c>
      <c r="C96" s="3" t="str">
        <f>VLOOKUP(Tabela11[[#This Row],[Tag do Cabo]],BD!A:AJ,5,0)</f>
        <v>CABO ETHERNET</v>
      </c>
      <c r="D96" s="391" t="s">
        <v>1533</v>
      </c>
      <c r="E96" s="391" t="str">
        <f>VLOOKUP(Tabela11[[#This Row],[Tag do Cabo]],BD!A:T,20,0)</f>
        <v>BK-SP54-0900A-LC-90-00004_00000</v>
      </c>
      <c r="F96" s="341" t="str">
        <f>IF(VLOOKUP(Tabela11[[#This Row],[Tag do Cabo]],BD!A:AJ,35,0)=0,"Pendente",VLOOKUP(Tabela11[[#This Row],[Tag do Cabo]],BD!A:AJ,35,0))</f>
        <v>BK-SP54-00200-DP-90-00023</v>
      </c>
      <c r="G96" s="3" t="str">
        <f>IF(VLOOKUP(Tabela11[[#This Row],[Tag do Cabo]],BD!A:AJ,36,0)=0,"Pendente",VLOOKUP(Tabela11[[#This Row],[Tag do Cabo]],BD!A:AJ,36,0))</f>
        <v>1</v>
      </c>
      <c r="H96" s="391" t="str">
        <f>VLOOKUP(Tabela11[[#This Row],[Tag do Cabo]],BD!A:AJ,32,0)</f>
        <v>30LV</v>
      </c>
      <c r="I96" s="7" t="str">
        <f>VLOOKUP(Tabela11[[#This Row],[Tag do Cabo]],BD!A:AJ,11,0)</f>
        <v>SWT-120-105 (30LV)</v>
      </c>
      <c r="J96" s="3" t="str">
        <f>VLOOKUP(Tabela11[[#This Row],[Tag do Cabo]],BD!A:AJ,12,0)</f>
        <v>NET 2 SWITCH</v>
      </c>
      <c r="K96" s="391" t="s">
        <v>1577</v>
      </c>
      <c r="L96" s="391" t="s">
        <v>324</v>
      </c>
      <c r="M96" s="3" t="str">
        <f>CONCATENATE(Tabela11[[#This Row],[Painel 1]]&amp;" "&amp;Tabela11[[#This Row],[Painel 2]])</f>
        <v>SWT-120-105 NET 2 SWITCH</v>
      </c>
      <c r="N96" s="157">
        <v>2</v>
      </c>
      <c r="O96" s="391" t="s">
        <v>92</v>
      </c>
      <c r="P96" s="391" t="s">
        <v>107</v>
      </c>
      <c r="Q96" s="391" t="str">
        <f>VLOOKUP(Tabela11[[#This Row],[Tag do Cabo]],BD!A:F,6,0)</f>
        <v>-</v>
      </c>
      <c r="R96" s="391">
        <f>SUMIF('Lançamento de Cabos'!AE:AE,Tabela11[[#This Row],[Tag do Cabo]],'Lançamento de Cabos'!AG:AG)</f>
        <v>0</v>
      </c>
      <c r="S96" s="28">
        <f>Tabela11[[#This Row],[Ligações Realizadas]]/Tabela11[[#This Row],[Qtde Ligações]]</f>
        <v>0</v>
      </c>
      <c r="T96" s="269">
        <f>IF(Tabela11[[#This Row],[Ligações Realizadas]]/Tabela11[[#This Row],[Qtde Ligações]]=0,0,IF(Tabela11[[#This Row],[Ligações Realizadas]]/Tabela11[[#This Row],[Qtde Ligações]]=1,ROUND(N96/2,0),"Ver Painel"))</f>
        <v>0</v>
      </c>
      <c r="U96" s="23">
        <f>IF(Tabela11[[#This Row],[Ligações Realizadas]]/Tabela11[[#This Row],[Qtde Ligações]]=0,0,IF(Tabela11[[#This Row],[Ligações Realizadas]]/Tabela11[[#This Row],[Qtde Ligações]]=1,ROUND(N96/2,0),"Ver Painel"))</f>
        <v>0</v>
      </c>
      <c r="V96" s="219"/>
    </row>
    <row r="97" spans="1:22" hidden="1" x14ac:dyDescent="0.25">
      <c r="A97" s="34" t="s">
        <v>325</v>
      </c>
      <c r="B97" s="391" t="str">
        <f>VLOOKUP(Tabela11[[#This Row],[Tag do Cabo]],BD!A:AJ,2,0)</f>
        <v>Rede</v>
      </c>
      <c r="C97" s="3" t="str">
        <f>VLOOKUP(Tabela11[[#This Row],[Tag do Cabo]],BD!A:AJ,5,0)</f>
        <v>CABO ETHERNET</v>
      </c>
      <c r="D97" s="391" t="s">
        <v>1533</v>
      </c>
      <c r="E97" s="391" t="str">
        <f>VLOOKUP(Tabela11[[#This Row],[Tag do Cabo]],BD!A:T,20,0)</f>
        <v>BK-SP54-0900A-LC-90-00004_00000</v>
      </c>
      <c r="F97" s="341" t="str">
        <f>IF(VLOOKUP(Tabela11[[#This Row],[Tag do Cabo]],BD!A:AJ,35,0)=0,"Pendente",VLOOKUP(Tabela11[[#This Row],[Tag do Cabo]],BD!A:AJ,35,0))</f>
        <v>BK-SP54-00200-DP-90-00023</v>
      </c>
      <c r="G97" s="3" t="str">
        <f>IF(VLOOKUP(Tabela11[[#This Row],[Tag do Cabo]],BD!A:AJ,36,0)=0,"Pendente",VLOOKUP(Tabela11[[#This Row],[Tag do Cabo]],BD!A:AJ,36,0))</f>
        <v>1</v>
      </c>
      <c r="H97" s="391" t="str">
        <f>VLOOKUP(Tabela11[[#This Row],[Tag do Cabo]],BD!A:AJ,32,0)</f>
        <v>30LV</v>
      </c>
      <c r="I97" s="7" t="str">
        <f>VLOOKUP(Tabela11[[#This Row],[Tag do Cabo]],BD!A:AJ,11,0)</f>
        <v>SWT-120-105 (30LV)</v>
      </c>
      <c r="J97" s="3" t="str">
        <f>VLOOKUP(Tabela11[[#This Row],[Tag do Cabo]],BD!A:AJ,12,0)</f>
        <v>NET 1 GB-1201</v>
      </c>
      <c r="K97" s="391" t="s">
        <v>1577</v>
      </c>
      <c r="L97" s="391" t="s">
        <v>326</v>
      </c>
      <c r="M97" s="3" t="str">
        <f>CONCATENATE(Tabela11[[#This Row],[Painel 1]]&amp;" "&amp;Tabela11[[#This Row],[Painel 2]])</f>
        <v>SWT-120-105 NET 1 GB-1201</v>
      </c>
      <c r="N97" s="157">
        <v>2</v>
      </c>
      <c r="O97" s="391" t="s">
        <v>92</v>
      </c>
      <c r="P97" s="391" t="s">
        <v>107</v>
      </c>
      <c r="Q97" s="391" t="str">
        <f>VLOOKUP(Tabela11[[#This Row],[Tag do Cabo]],BD!A:F,6,0)</f>
        <v>-</v>
      </c>
      <c r="R97" s="391">
        <f>SUMIF('Lançamento de Cabos'!AE:AE,Tabela11[[#This Row],[Tag do Cabo]],'Lançamento de Cabos'!AG:AG)</f>
        <v>0</v>
      </c>
      <c r="S97" s="28">
        <f>Tabela11[[#This Row],[Ligações Realizadas]]/Tabela11[[#This Row],[Qtde Ligações]]</f>
        <v>0</v>
      </c>
      <c r="T97" s="269">
        <f>IF(Tabela11[[#This Row],[Ligações Realizadas]]/Tabela11[[#This Row],[Qtde Ligações]]=0,0,IF(Tabela11[[#This Row],[Ligações Realizadas]]/Tabela11[[#This Row],[Qtde Ligações]]=1,ROUND(N97/2,0),"Ver Painel"))</f>
        <v>0</v>
      </c>
      <c r="U97" s="23">
        <f>IF(Tabela11[[#This Row],[Ligações Realizadas]]/Tabela11[[#This Row],[Qtde Ligações]]=0,0,IF(Tabela11[[#This Row],[Ligações Realizadas]]/Tabela11[[#This Row],[Qtde Ligações]]=1,ROUND(N97/2,0),"Ver Painel"))</f>
        <v>0</v>
      </c>
      <c r="V97" s="219"/>
    </row>
    <row r="98" spans="1:22" hidden="1" x14ac:dyDescent="0.25">
      <c r="A98" s="34" t="s">
        <v>328</v>
      </c>
      <c r="B98" s="391" t="str">
        <f>VLOOKUP(Tabela11[[#This Row],[Tag do Cabo]],BD!A:AJ,2,0)</f>
        <v>Rede</v>
      </c>
      <c r="C98" s="3" t="str">
        <f>VLOOKUP(Tabela11[[#This Row],[Tag do Cabo]],BD!A:AJ,5,0)</f>
        <v>CABO ETHERNET</v>
      </c>
      <c r="D98" s="391" t="s">
        <v>1533</v>
      </c>
      <c r="E98" s="391" t="str">
        <f>VLOOKUP(Tabela11[[#This Row],[Tag do Cabo]],BD!A:T,20,0)</f>
        <v>BK-SP54-0900A-LC-90-00004_00000</v>
      </c>
      <c r="F98" s="341" t="str">
        <f>IF(VLOOKUP(Tabela11[[#This Row],[Tag do Cabo]],BD!A:AJ,35,0)=0,"Pendente",VLOOKUP(Tabela11[[#This Row],[Tag do Cabo]],BD!A:AJ,35,0))</f>
        <v>BK-SP54-00200-DP-90-00023</v>
      </c>
      <c r="G98" s="3" t="str">
        <f>IF(VLOOKUP(Tabela11[[#This Row],[Tag do Cabo]],BD!A:AJ,36,0)=0,"Pendente",VLOOKUP(Tabela11[[#This Row],[Tag do Cabo]],BD!A:AJ,36,0))</f>
        <v>1</v>
      </c>
      <c r="H98" s="391" t="str">
        <f>VLOOKUP(Tabela11[[#This Row],[Tag do Cabo]],BD!A:AJ,32,0)</f>
        <v>30LV</v>
      </c>
      <c r="I98" s="7" t="str">
        <f>VLOOKUP(Tabela11[[#This Row],[Tag do Cabo]],BD!A:AJ,11,0)</f>
        <v>SWT-120-105 (30LV)</v>
      </c>
      <c r="J98" s="3" t="str">
        <f>VLOOKUP(Tabela11[[#This Row],[Tag do Cabo]],BD!A:AJ,12,0)</f>
        <v>NET 1 GB-1203</v>
      </c>
      <c r="K98" s="391" t="s">
        <v>1577</v>
      </c>
      <c r="L98" s="391" t="s">
        <v>329</v>
      </c>
      <c r="M98" s="3" t="str">
        <f>CONCATENATE(Tabela11[[#This Row],[Painel 1]]&amp;" "&amp;Tabela11[[#This Row],[Painel 2]])</f>
        <v>SWT-120-105 NET 1 GB-1203</v>
      </c>
      <c r="N98" s="157">
        <v>2</v>
      </c>
      <c r="O98" s="391" t="s">
        <v>92</v>
      </c>
      <c r="P98" s="391" t="s">
        <v>107</v>
      </c>
      <c r="Q98" s="391" t="str">
        <f>VLOOKUP(Tabela11[[#This Row],[Tag do Cabo]],BD!A:F,6,0)</f>
        <v>-</v>
      </c>
      <c r="R98" s="391">
        <f>SUMIF('Lançamento de Cabos'!AE:AE,Tabela11[[#This Row],[Tag do Cabo]],'Lançamento de Cabos'!AG:AG)</f>
        <v>0</v>
      </c>
      <c r="S98" s="28">
        <f>Tabela11[[#This Row],[Ligações Realizadas]]/Tabela11[[#This Row],[Qtde Ligações]]</f>
        <v>0</v>
      </c>
      <c r="T98" s="269">
        <f>IF(Tabela11[[#This Row],[Ligações Realizadas]]/Tabela11[[#This Row],[Qtde Ligações]]=0,0,IF(Tabela11[[#This Row],[Ligações Realizadas]]/Tabela11[[#This Row],[Qtde Ligações]]=1,ROUND(N98/2,0),"Ver Painel"))</f>
        <v>0</v>
      </c>
      <c r="U98" s="23">
        <f>IF(Tabela11[[#This Row],[Ligações Realizadas]]/Tabela11[[#This Row],[Qtde Ligações]]=0,0,IF(Tabela11[[#This Row],[Ligações Realizadas]]/Tabela11[[#This Row],[Qtde Ligações]]=1,ROUND(N98/2,0),"Ver Painel"))</f>
        <v>0</v>
      </c>
      <c r="V98" s="219"/>
    </row>
    <row r="99" spans="1:22" hidden="1" x14ac:dyDescent="0.25">
      <c r="A99" s="34" t="s">
        <v>330</v>
      </c>
      <c r="B99" s="391" t="str">
        <f>VLOOKUP(Tabela11[[#This Row],[Tag do Cabo]],BD!A:AJ,2,0)</f>
        <v>Rede</v>
      </c>
      <c r="C99" s="3" t="str">
        <f>VLOOKUP(Tabela11[[#This Row],[Tag do Cabo]],BD!A:AJ,5,0)</f>
        <v>CABO ETHERNET</v>
      </c>
      <c r="D99" s="391" t="s">
        <v>1533</v>
      </c>
      <c r="E99" s="391" t="str">
        <f>VLOOKUP(Tabela11[[#This Row],[Tag do Cabo]],BD!A:T,20,0)</f>
        <v>BK-SP54-0900A-LC-90-00004_00000</v>
      </c>
      <c r="F99" s="341" t="str">
        <f>IF(VLOOKUP(Tabela11[[#This Row],[Tag do Cabo]],BD!A:AJ,35,0)=0,"Pendente",VLOOKUP(Tabela11[[#This Row],[Tag do Cabo]],BD!A:AJ,35,0))</f>
        <v>BK-SP54-00200-DP-90-00023</v>
      </c>
      <c r="G99" s="3" t="str">
        <f>IF(VLOOKUP(Tabela11[[#This Row],[Tag do Cabo]],BD!A:AJ,36,0)=0,"Pendente",VLOOKUP(Tabela11[[#This Row],[Tag do Cabo]],BD!A:AJ,36,0))</f>
        <v>1</v>
      </c>
      <c r="H99" s="391" t="str">
        <f>VLOOKUP(Tabela11[[#This Row],[Tag do Cabo]],BD!A:AJ,32,0)</f>
        <v>30LV</v>
      </c>
      <c r="I99" s="7" t="str">
        <f>VLOOKUP(Tabela11[[#This Row],[Tag do Cabo]],BD!A:AJ,11,0)</f>
        <v>SWT-120-105 (30LV)</v>
      </c>
      <c r="J99" s="3" t="str">
        <f>VLOOKUP(Tabela11[[#This Row],[Tag do Cabo]],BD!A:AJ,12,0)</f>
        <v>NET 1 GB-1204</v>
      </c>
      <c r="K99" s="391" t="s">
        <v>1577</v>
      </c>
      <c r="L99" s="391" t="s">
        <v>331</v>
      </c>
      <c r="M99" s="3" t="str">
        <f>CONCATENATE(Tabela11[[#This Row],[Painel 1]]&amp;" "&amp;Tabela11[[#This Row],[Painel 2]])</f>
        <v>SWT-120-105 NET 1 GB-1204</v>
      </c>
      <c r="N99" s="157">
        <v>2</v>
      </c>
      <c r="O99" s="391" t="s">
        <v>92</v>
      </c>
      <c r="P99" s="391" t="s">
        <v>107</v>
      </c>
      <c r="Q99" s="391" t="str">
        <f>VLOOKUP(Tabela11[[#This Row],[Tag do Cabo]],BD!A:F,6,0)</f>
        <v>-</v>
      </c>
      <c r="R99" s="391">
        <f>SUMIF('Lançamento de Cabos'!AE:AE,Tabela11[[#This Row],[Tag do Cabo]],'Lançamento de Cabos'!AG:AG)</f>
        <v>0</v>
      </c>
      <c r="S99" s="28">
        <f>Tabela11[[#This Row],[Ligações Realizadas]]/Tabela11[[#This Row],[Qtde Ligações]]</f>
        <v>0</v>
      </c>
      <c r="T99" s="269">
        <f>IF(Tabela11[[#This Row],[Ligações Realizadas]]/Tabela11[[#This Row],[Qtde Ligações]]=0,0,IF(Tabela11[[#This Row],[Ligações Realizadas]]/Tabela11[[#This Row],[Qtde Ligações]]=1,ROUND(N99/2,0),"Ver Painel"))</f>
        <v>0</v>
      </c>
      <c r="U99" s="23">
        <f>IF(Tabela11[[#This Row],[Ligações Realizadas]]/Tabela11[[#This Row],[Qtde Ligações]]=0,0,IF(Tabela11[[#This Row],[Ligações Realizadas]]/Tabela11[[#This Row],[Qtde Ligações]]=1,ROUND(N99/2,0),"Ver Painel"))</f>
        <v>0</v>
      </c>
      <c r="V99" s="219"/>
    </row>
    <row r="100" spans="1:22" hidden="1" x14ac:dyDescent="0.25">
      <c r="A100" s="34" t="s">
        <v>332</v>
      </c>
      <c r="B100" s="391" t="str">
        <f>VLOOKUP(Tabela11[[#This Row],[Tag do Cabo]],BD!A:AJ,2,0)</f>
        <v>Rede</v>
      </c>
      <c r="C100" s="3" t="str">
        <f>VLOOKUP(Tabela11[[#This Row],[Tag do Cabo]],BD!A:AJ,5,0)</f>
        <v>CABO ETHERNET</v>
      </c>
      <c r="D100" s="391" t="s">
        <v>1533</v>
      </c>
      <c r="E100" s="391" t="str">
        <f>VLOOKUP(Tabela11[[#This Row],[Tag do Cabo]],BD!A:T,20,0)</f>
        <v>BK-SP54-0900A-LC-90-00004_00000</v>
      </c>
      <c r="F100" s="341" t="str">
        <f>IF(VLOOKUP(Tabela11[[#This Row],[Tag do Cabo]],BD!A:AJ,35,0)=0,"Pendente",VLOOKUP(Tabela11[[#This Row],[Tag do Cabo]],BD!A:AJ,35,0))</f>
        <v>BK-SP54-00200-DP-90-00023</v>
      </c>
      <c r="G100" s="3" t="str">
        <f>IF(VLOOKUP(Tabela11[[#This Row],[Tag do Cabo]],BD!A:AJ,36,0)=0,"Pendente",VLOOKUP(Tabela11[[#This Row],[Tag do Cabo]],BD!A:AJ,36,0))</f>
        <v>1</v>
      </c>
      <c r="H100" s="391" t="str">
        <f>VLOOKUP(Tabela11[[#This Row],[Tag do Cabo]],BD!A:AJ,32,0)</f>
        <v>30LV</v>
      </c>
      <c r="I100" s="7" t="str">
        <f>VLOOKUP(Tabela11[[#This Row],[Tag do Cabo]],BD!A:AJ,11,0)</f>
        <v>SWT-120-105 (30LV)</v>
      </c>
      <c r="J100" s="3" t="str">
        <f>VLOOKUP(Tabela11[[#This Row],[Tag do Cabo]],BD!A:AJ,12,0)</f>
        <v>PC TRILOGGER P1</v>
      </c>
      <c r="K100" s="391" t="s">
        <v>1577</v>
      </c>
      <c r="L100" s="391"/>
      <c r="M100" s="3" t="str">
        <f>CONCATENATE(Tabela11[[#This Row],[Painel 1]]&amp;" "&amp;Tabela11[[#This Row],[Painel 2]])</f>
        <v xml:space="preserve">SWT-120-105 </v>
      </c>
      <c r="N100" s="157">
        <v>2</v>
      </c>
      <c r="O100" s="391" t="s">
        <v>92</v>
      </c>
      <c r="P100" s="391" t="s">
        <v>107</v>
      </c>
      <c r="Q100" s="391" t="str">
        <f>VLOOKUP(Tabela11[[#This Row],[Tag do Cabo]],BD!A:F,6,0)</f>
        <v>-</v>
      </c>
      <c r="R100" s="391">
        <f>SUMIF('Lançamento de Cabos'!AE:AE,Tabela11[[#This Row],[Tag do Cabo]],'Lançamento de Cabos'!AG:AG)</f>
        <v>0</v>
      </c>
      <c r="S100" s="28">
        <f>Tabela11[[#This Row],[Ligações Realizadas]]/Tabela11[[#This Row],[Qtde Ligações]]</f>
        <v>0</v>
      </c>
      <c r="T100" s="269">
        <f>IF(Tabela11[[#This Row],[Ligações Realizadas]]/Tabela11[[#This Row],[Qtde Ligações]]=0,0,IF(Tabela11[[#This Row],[Ligações Realizadas]]/Tabela11[[#This Row],[Qtde Ligações]]=1,ROUND(N100/2,0),"Ver Painel"))</f>
        <v>0</v>
      </c>
      <c r="U100" s="23">
        <f>IF(Tabela11[[#This Row],[Ligações Realizadas]]/Tabela11[[#This Row],[Qtde Ligações]]=0,0,IF(Tabela11[[#This Row],[Ligações Realizadas]]/Tabela11[[#This Row],[Qtde Ligações]]=1,ROUND(N100/2,0),"Ver Painel"))</f>
        <v>0</v>
      </c>
      <c r="V100" s="219"/>
    </row>
    <row r="101" spans="1:22" hidden="1" x14ac:dyDescent="0.25">
      <c r="A101" s="34" t="s">
        <v>334</v>
      </c>
      <c r="B101" s="391" t="str">
        <f>VLOOKUP(Tabela11[[#This Row],[Tag do Cabo]],BD!A:AJ,2,0)</f>
        <v>Rede</v>
      </c>
      <c r="C101" s="3" t="str">
        <f>VLOOKUP(Tabela11[[#This Row],[Tag do Cabo]],BD!A:AJ,5,0)</f>
        <v>CABO ETHERNET</v>
      </c>
      <c r="D101" s="391" t="s">
        <v>1533</v>
      </c>
      <c r="E101" s="391" t="str">
        <f>VLOOKUP(Tabela11[[#This Row],[Tag do Cabo]],BD!A:T,20,0)</f>
        <v>BK-SP54-0900A-LC-90-00004_00000</v>
      </c>
      <c r="F101" s="341" t="str">
        <f>IF(VLOOKUP(Tabela11[[#This Row],[Tag do Cabo]],BD!A:AJ,35,0)=0,"Pendente",VLOOKUP(Tabela11[[#This Row],[Tag do Cabo]],BD!A:AJ,35,0))</f>
        <v>BK-SP54-00200-DP-90-00023</v>
      </c>
      <c r="G101" s="3" t="str">
        <f>IF(VLOOKUP(Tabela11[[#This Row],[Tag do Cabo]],BD!A:AJ,36,0)=0,"Pendente",VLOOKUP(Tabela11[[#This Row],[Tag do Cabo]],BD!A:AJ,36,0))</f>
        <v>1</v>
      </c>
      <c r="H101" s="391" t="str">
        <f>VLOOKUP(Tabela11[[#This Row],[Tag do Cabo]],BD!A:AJ,32,0)</f>
        <v>30LV</v>
      </c>
      <c r="I101" s="7" t="str">
        <f>VLOOKUP(Tabela11[[#This Row],[Tag do Cabo]],BD!A:AJ,11,0)</f>
        <v>SWT-120-105 (30LV)</v>
      </c>
      <c r="J101" s="3" t="str">
        <f>VLOOKUP(Tabela11[[#This Row],[Tag do Cabo]],BD!A:AJ,12,0)</f>
        <v>PC TRISTATION P2</v>
      </c>
      <c r="K101" s="391" t="s">
        <v>1577</v>
      </c>
      <c r="L101" s="391"/>
      <c r="M101" s="3" t="str">
        <f>CONCATENATE(Tabela11[[#This Row],[Painel 1]]&amp;" "&amp;Tabela11[[#This Row],[Painel 2]])</f>
        <v xml:space="preserve">SWT-120-105 </v>
      </c>
      <c r="N101" s="157">
        <v>2</v>
      </c>
      <c r="O101" s="391" t="s">
        <v>92</v>
      </c>
      <c r="P101" s="391" t="s">
        <v>107</v>
      </c>
      <c r="Q101" s="391" t="str">
        <f>VLOOKUP(Tabela11[[#This Row],[Tag do Cabo]],BD!A:F,6,0)</f>
        <v>-</v>
      </c>
      <c r="R101" s="391">
        <f>SUMIF('Lançamento de Cabos'!AE:AE,Tabela11[[#This Row],[Tag do Cabo]],'Lançamento de Cabos'!AG:AG)</f>
        <v>0</v>
      </c>
      <c r="S101" s="28">
        <f>Tabela11[[#This Row],[Ligações Realizadas]]/Tabela11[[#This Row],[Qtde Ligações]]</f>
        <v>0</v>
      </c>
      <c r="T101" s="269">
        <f>IF(Tabela11[[#This Row],[Ligações Realizadas]]/Tabela11[[#This Row],[Qtde Ligações]]=0,0,IF(Tabela11[[#This Row],[Ligações Realizadas]]/Tabela11[[#This Row],[Qtde Ligações]]=1,ROUND(N101/2,0),"Ver Painel"))</f>
        <v>0</v>
      </c>
      <c r="U101" s="23">
        <f>IF(Tabela11[[#This Row],[Ligações Realizadas]]/Tabela11[[#This Row],[Qtde Ligações]]=0,0,IF(Tabela11[[#This Row],[Ligações Realizadas]]/Tabela11[[#This Row],[Qtde Ligações]]=1,ROUND(N101/2,0),"Ver Painel"))</f>
        <v>0</v>
      </c>
      <c r="V101" s="219"/>
    </row>
    <row r="102" spans="1:22" hidden="1" x14ac:dyDescent="0.25">
      <c r="A102" s="34" t="s">
        <v>336</v>
      </c>
      <c r="B102" s="391" t="str">
        <f>VLOOKUP(Tabela11[[#This Row],[Tag do Cabo]],BD!A:AJ,2,0)</f>
        <v>Rede</v>
      </c>
      <c r="C102" s="3" t="str">
        <f>VLOOKUP(Tabela11[[#This Row],[Tag do Cabo]],BD!A:AJ,5,0)</f>
        <v>CABO ETHERNET</v>
      </c>
      <c r="D102" s="391" t="s">
        <v>1533</v>
      </c>
      <c r="E102" s="391" t="str">
        <f>VLOOKUP(Tabela11[[#This Row],[Tag do Cabo]],BD!A:T,20,0)</f>
        <v>BK-SP54-0900A-LC-90-00004_00000</v>
      </c>
      <c r="F102" s="341" t="str">
        <f>IF(VLOOKUP(Tabela11[[#This Row],[Tag do Cabo]],BD!A:AJ,35,0)=0,"Pendente",VLOOKUP(Tabela11[[#This Row],[Tag do Cabo]],BD!A:AJ,35,0))</f>
        <v>BK-SP54-00200-DP-90-00023</v>
      </c>
      <c r="G102" s="3" t="str">
        <f>IF(VLOOKUP(Tabela11[[#This Row],[Tag do Cabo]],BD!A:AJ,36,0)=0,"Pendente",VLOOKUP(Tabela11[[#This Row],[Tag do Cabo]],BD!A:AJ,36,0))</f>
        <v>1</v>
      </c>
      <c r="H102" s="391" t="str">
        <f>VLOOKUP(Tabela11[[#This Row],[Tag do Cabo]],BD!A:AJ,32,0)</f>
        <v>30LV</v>
      </c>
      <c r="I102" s="7" t="str">
        <f>VLOOKUP(Tabela11[[#This Row],[Tag do Cabo]],BD!A:AJ,11,0)</f>
        <v>SWT-120-105 (30LV)</v>
      </c>
      <c r="J102" s="3" t="str">
        <f>VLOOKUP(Tabela11[[#This Row],[Tag do Cabo]],BD!A:AJ,12,0)</f>
        <v>PC TRILOGGER P2</v>
      </c>
      <c r="K102" s="391" t="s">
        <v>1577</v>
      </c>
      <c r="L102" s="391"/>
      <c r="M102" s="3" t="str">
        <f>CONCATENATE(Tabela11[[#This Row],[Painel 1]]&amp;" "&amp;Tabela11[[#This Row],[Painel 2]])</f>
        <v xml:space="preserve">SWT-120-105 </v>
      </c>
      <c r="N102" s="157">
        <v>2</v>
      </c>
      <c r="O102" s="391" t="s">
        <v>92</v>
      </c>
      <c r="P102" s="391" t="s">
        <v>107</v>
      </c>
      <c r="Q102" s="391" t="str">
        <f>VLOOKUP(Tabela11[[#This Row],[Tag do Cabo]],BD!A:F,6,0)</f>
        <v>-</v>
      </c>
      <c r="R102" s="391">
        <f>SUMIF('Lançamento de Cabos'!AE:AE,Tabela11[[#This Row],[Tag do Cabo]],'Lançamento de Cabos'!AG:AG)</f>
        <v>0</v>
      </c>
      <c r="S102" s="28">
        <f>Tabela11[[#This Row],[Ligações Realizadas]]/Tabela11[[#This Row],[Qtde Ligações]]</f>
        <v>0</v>
      </c>
      <c r="T102" s="269">
        <f>IF(Tabela11[[#This Row],[Ligações Realizadas]]/Tabela11[[#This Row],[Qtde Ligações]]=0,0,IF(Tabela11[[#This Row],[Ligações Realizadas]]/Tabela11[[#This Row],[Qtde Ligações]]=1,ROUND(N102/2,0),"Ver Painel"))</f>
        <v>0</v>
      </c>
      <c r="U102" s="23">
        <f>IF(Tabela11[[#This Row],[Ligações Realizadas]]/Tabela11[[#This Row],[Qtde Ligações]]=0,0,IF(Tabela11[[#This Row],[Ligações Realizadas]]/Tabela11[[#This Row],[Qtde Ligações]]=1,ROUND(N102/2,0),"Ver Painel"))</f>
        <v>0</v>
      </c>
      <c r="V102" s="219"/>
    </row>
    <row r="103" spans="1:22" hidden="1" x14ac:dyDescent="0.25">
      <c r="A103" s="34" t="s">
        <v>1033</v>
      </c>
      <c r="B103" s="391" t="str">
        <f>VLOOKUP(Tabela11[[#This Row],[Tag do Cabo]],BD!A:AJ,2,0)</f>
        <v>FO</v>
      </c>
      <c r="C103" s="3" t="str">
        <f>VLOOKUP(Tabela11[[#This Row],[Tag do Cabo]],BD!A:AJ,5,0)</f>
        <v>CORDÃO ÓPTICO</v>
      </c>
      <c r="D103" s="391" t="s">
        <v>1533</v>
      </c>
      <c r="E103" s="391" t="str">
        <f>VLOOKUP(Tabela11[[#This Row],[Tag do Cabo]],BD!A:T,20,0)</f>
        <v>BK-SP54-0900A-LC-74-00001_00000</v>
      </c>
      <c r="F103" s="222" t="str">
        <f>IF(VLOOKUP(Tabela11[[#This Row],[Tag do Cabo]],BD!A:AJ,35,0)=0,"Pendente",VLOOKUP(Tabela11[[#This Row],[Tag do Cabo]],BD!A:AJ,35,0))</f>
        <v>BK-SP54-0900B-DI-74-00450</v>
      </c>
      <c r="G103" s="3" t="str">
        <f>IF(VLOOKUP(Tabela11[[#This Row],[Tag do Cabo]],BD!A:AJ,36,0)=0,"Pendente",VLOOKUP(Tabela11[[#This Row],[Tag do Cabo]],BD!A:AJ,36,0))</f>
        <v>32</v>
      </c>
      <c r="H103" s="391" t="str">
        <f>VLOOKUP(Tabela11[[#This Row],[Tag do Cabo]],BD!A:AJ,32,0)</f>
        <v>CCO</v>
      </c>
      <c r="I103" s="7" t="str">
        <f>VLOOKUP(Tabela11[[#This Row],[Tag do Cabo]],BD!A:AJ,11,0)</f>
        <v>SALA SERVIDORES-CONV1</v>
      </c>
      <c r="J103" s="3" t="str">
        <f>VLOOKUP(Tabela11[[#This Row],[Tag do Cabo]],BD!A:AJ,12,0)</f>
        <v>SALA SERVIDORES-DIO</v>
      </c>
      <c r="K103" s="391"/>
      <c r="L103" s="391"/>
      <c r="M103" s="3" t="str">
        <f>CONCATENATE(Tabela11[[#This Row],[Painel 1]]&amp;" "&amp;Tabela11[[#This Row],[Painel 2]])</f>
        <v xml:space="preserve"> </v>
      </c>
      <c r="N103" s="218">
        <v>2</v>
      </c>
      <c r="O103" s="391" t="s">
        <v>92</v>
      </c>
      <c r="P103" s="391" t="s">
        <v>107</v>
      </c>
      <c r="Q103" s="391" t="str">
        <f>VLOOKUP(Tabela11[[#This Row],[Tag do Cabo]],BD!A:F,6,0)</f>
        <v>-</v>
      </c>
      <c r="R103" s="391">
        <f>SUMIF('Lançamento de Cabos'!AE:AE,Tabela11[[#This Row],[Tag do Cabo]],'Lançamento de Cabos'!AG:AG)</f>
        <v>0</v>
      </c>
      <c r="S103" s="28">
        <f>Tabela11[[#This Row],[Ligações Realizadas]]/Tabela11[[#This Row],[Qtde Ligações]]</f>
        <v>0</v>
      </c>
      <c r="T103" s="269">
        <f>IF(Tabela11[[#This Row],[Ligações Realizadas]]/Tabela11[[#This Row],[Qtde Ligações]]=0,0,IF(Tabela11[[#This Row],[Ligações Realizadas]]/Tabela11[[#This Row],[Qtde Ligações]]=1,ROUND(N103/2,0),"Ver Painel"))</f>
        <v>0</v>
      </c>
      <c r="U103" s="23">
        <f>IF(Tabela11[[#This Row],[Ligações Realizadas]]/Tabela11[[#This Row],[Qtde Ligações]]=0,0,IF(Tabela11[[#This Row],[Ligações Realizadas]]/Tabela11[[#This Row],[Qtde Ligações]]=1,ROUND(N103/2,0),"Ver Painel"))</f>
        <v>0</v>
      </c>
      <c r="V103" s="219"/>
    </row>
    <row r="104" spans="1:22" hidden="1" x14ac:dyDescent="0.25">
      <c r="A104" s="34" t="s">
        <v>1036</v>
      </c>
      <c r="B104" s="391" t="str">
        <f>VLOOKUP(Tabela11[[#This Row],[Tag do Cabo]],BD!A:AJ,2,0)</f>
        <v>FO</v>
      </c>
      <c r="C104" s="3" t="str">
        <f>VLOOKUP(Tabela11[[#This Row],[Tag do Cabo]],BD!A:AJ,5,0)</f>
        <v>CORDÃO ÓPTICO</v>
      </c>
      <c r="D104" s="391" t="s">
        <v>1533</v>
      </c>
      <c r="E104" s="391" t="str">
        <f>VLOOKUP(Tabela11[[#This Row],[Tag do Cabo]],BD!A:T,20,0)</f>
        <v>BK-SP54-0900A-LC-74-00001_00000</v>
      </c>
      <c r="F104" s="222" t="str">
        <f>IF(VLOOKUP(Tabela11[[#This Row],[Tag do Cabo]],BD!A:AJ,35,0)=0,"Pendente",VLOOKUP(Tabela11[[#This Row],[Tag do Cabo]],BD!A:AJ,35,0))</f>
        <v>BK-SP54-0900B-DI-74-00450</v>
      </c>
      <c r="G104" s="3" t="str">
        <f>IF(VLOOKUP(Tabela11[[#This Row],[Tag do Cabo]],BD!A:AJ,36,0)=0,"Pendente",VLOOKUP(Tabela11[[#This Row],[Tag do Cabo]],BD!A:AJ,36,0))</f>
        <v>32</v>
      </c>
      <c r="H104" s="391" t="str">
        <f>VLOOKUP(Tabela11[[#This Row],[Tag do Cabo]],BD!A:AJ,32,0)</f>
        <v>CCO</v>
      </c>
      <c r="I104" s="7" t="str">
        <f>VLOOKUP(Tabela11[[#This Row],[Tag do Cabo]],BD!A:AJ,11,0)</f>
        <v>SALA SERVIDORES-CONV2</v>
      </c>
      <c r="J104" s="3" t="str">
        <f>VLOOKUP(Tabela11[[#This Row],[Tag do Cabo]],BD!A:AJ,12,0)</f>
        <v>SALA SERVIDORES-DIO</v>
      </c>
      <c r="K104" s="391"/>
      <c r="L104" s="391"/>
      <c r="M104" s="3" t="str">
        <f>CONCATENATE(Tabela11[[#This Row],[Painel 1]]&amp;" "&amp;Tabela11[[#This Row],[Painel 2]])</f>
        <v xml:space="preserve"> </v>
      </c>
      <c r="N104" s="218">
        <v>2</v>
      </c>
      <c r="O104" s="391" t="s">
        <v>92</v>
      </c>
      <c r="P104" s="391" t="s">
        <v>107</v>
      </c>
      <c r="Q104" s="391" t="str">
        <f>VLOOKUP(Tabela11[[#This Row],[Tag do Cabo]],BD!A:F,6,0)</f>
        <v>-</v>
      </c>
      <c r="R104" s="391">
        <f>SUMIF('Lançamento de Cabos'!AE:AE,Tabela11[[#This Row],[Tag do Cabo]],'Lançamento de Cabos'!AG:AG)</f>
        <v>0</v>
      </c>
      <c r="S104" s="28">
        <f>Tabela11[[#This Row],[Ligações Realizadas]]/Tabela11[[#This Row],[Qtde Ligações]]</f>
        <v>0</v>
      </c>
      <c r="T104" s="269">
        <f>IF(Tabela11[[#This Row],[Ligações Realizadas]]/Tabela11[[#This Row],[Qtde Ligações]]=0,0,IF(Tabela11[[#This Row],[Ligações Realizadas]]/Tabela11[[#This Row],[Qtde Ligações]]=1,ROUND(N104/2,0),"Ver Painel"))</f>
        <v>0</v>
      </c>
      <c r="U104" s="23">
        <f>IF(Tabela11[[#This Row],[Ligações Realizadas]]/Tabela11[[#This Row],[Qtde Ligações]]=0,0,IF(Tabela11[[#This Row],[Ligações Realizadas]]/Tabela11[[#This Row],[Qtde Ligações]]=1,ROUND(N104/2,0),"Ver Painel"))</f>
        <v>0</v>
      </c>
      <c r="V104" s="219"/>
    </row>
    <row r="105" spans="1:22" hidden="1" x14ac:dyDescent="0.25">
      <c r="A105" s="34" t="s">
        <v>1265</v>
      </c>
      <c r="B105" s="391" t="str">
        <f>VLOOKUP(Tabela11[[#This Row],[Tag do Cabo]],BD!A:AJ,2,0)</f>
        <v>FO</v>
      </c>
      <c r="C105" s="3" t="str">
        <f>VLOOKUP(Tabela11[[#This Row],[Tag do Cabo]],BD!A:AJ,5,0)</f>
        <v>FIBRA OPTICA MM 3 PARES</v>
      </c>
      <c r="D105" s="391" t="s">
        <v>1533</v>
      </c>
      <c r="E105" s="391" t="str">
        <f>VLOOKUP(Tabela11[[#This Row],[Tag do Cabo]],BD!A:T,20,0)</f>
        <v>BK-SP54-0900A-LC-90-00004_00000</v>
      </c>
      <c r="F105" s="222" t="str">
        <f>IF(VLOOKUP(Tabela11[[#This Row],[Tag do Cabo]],BD!A:AJ,35,0)=0,"Pendente",VLOOKUP(Tabela11[[#This Row],[Tag do Cabo]],BD!A:AJ,35,0))</f>
        <v>Pela Guascor</v>
      </c>
      <c r="G105" s="3" t="str">
        <f>IF(VLOOKUP(Tabela11[[#This Row],[Tag do Cabo]],BD!A:AJ,36,0)=0,"Pendente",VLOOKUP(Tabela11[[#This Row],[Tag do Cabo]],BD!A:AJ,36,0))</f>
        <v>-</v>
      </c>
      <c r="H105" s="391" t="str">
        <f>VLOOKUP(Tabela11[[#This Row],[Tag do Cabo]],BD!A:AJ,32,0)</f>
        <v>COGxCCO</v>
      </c>
      <c r="I105" s="7" t="str">
        <f>VLOOKUP(Tabela11[[#This Row],[Tag do Cabo]],BD!A:AJ,11,0)</f>
        <v>SUBESTAÇÃO-COGERAÇÃO</v>
      </c>
      <c r="J105" s="3" t="str">
        <f>VLOOKUP(Tabela11[[#This Row],[Tag do Cabo]],BD!A:AJ,12,0)</f>
        <v>KVM/THIN CLIENT - 
SUBSOLO CCO</v>
      </c>
      <c r="K105" s="391" t="s">
        <v>92</v>
      </c>
      <c r="L105" s="391" t="s">
        <v>92</v>
      </c>
      <c r="M105" s="3" t="str">
        <f>CONCATENATE(Tabela11[[#This Row],[Painel 1]]&amp;" "&amp;Tabela11[[#This Row],[Painel 2]])</f>
        <v>- -</v>
      </c>
      <c r="N105" s="157">
        <v>0</v>
      </c>
      <c r="O105" s="391" t="s">
        <v>92</v>
      </c>
      <c r="P105" s="391" t="s">
        <v>107</v>
      </c>
      <c r="Q105" s="391" t="str">
        <f>VLOOKUP(Tabela11[[#This Row],[Tag do Cabo]],BD!A:F,6,0)</f>
        <v>-</v>
      </c>
      <c r="R105" s="391">
        <f>SUMIF('Lançamento de Cabos'!AE:AE,Tabela11[[#This Row],[Tag do Cabo]],'Lançamento de Cabos'!AG:AG)</f>
        <v>0</v>
      </c>
      <c r="S105" s="28" t="s">
        <v>92</v>
      </c>
      <c r="T105" s="269" t="s">
        <v>92</v>
      </c>
      <c r="U105" s="23" t="s">
        <v>92</v>
      </c>
      <c r="V105" s="222" t="s">
        <v>1269</v>
      </c>
    </row>
    <row r="106" spans="1:22" hidden="1" x14ac:dyDescent="0.25">
      <c r="A106" s="34" t="s">
        <v>1270</v>
      </c>
      <c r="B106" s="391" t="str">
        <f>VLOOKUP(Tabela11[[#This Row],[Tag do Cabo]],BD!A:AJ,2,0)</f>
        <v>FO</v>
      </c>
      <c r="C106" s="3" t="str">
        <f>VLOOKUP(Tabela11[[#This Row],[Tag do Cabo]],BD!A:AJ,5,0)</f>
        <v>FIBRA OPTICA MM 3 PARES</v>
      </c>
      <c r="D106" s="391" t="s">
        <v>1533</v>
      </c>
      <c r="E106" s="391" t="str">
        <f>VLOOKUP(Tabela11[[#This Row],[Tag do Cabo]],BD!A:T,20,0)</f>
        <v>BK-SP54-0900A-LC-90-00004_00000</v>
      </c>
      <c r="F106" s="222" t="str">
        <f>IF(VLOOKUP(Tabela11[[#This Row],[Tag do Cabo]],BD!A:AJ,35,0)=0,"Pendente",VLOOKUP(Tabela11[[#This Row],[Tag do Cabo]],BD!A:AJ,35,0))</f>
        <v>Pela Guascor</v>
      </c>
      <c r="G106" s="3" t="str">
        <f>IF(VLOOKUP(Tabela11[[#This Row],[Tag do Cabo]],BD!A:AJ,36,0)=0,"Pendente",VLOOKUP(Tabela11[[#This Row],[Tag do Cabo]],BD!A:AJ,36,0))</f>
        <v>-</v>
      </c>
      <c r="H106" s="391" t="str">
        <f>VLOOKUP(Tabela11[[#This Row],[Tag do Cabo]],BD!A:AJ,32,0)</f>
        <v>COGxCCO</v>
      </c>
      <c r="I106" s="7" t="str">
        <f>VLOOKUP(Tabela11[[#This Row],[Tag do Cabo]],BD!A:AJ,11,0)</f>
        <v>SUBESTAÇÃO-COGERAÇÃO</v>
      </c>
      <c r="J106" s="3" t="str">
        <f>VLOOKUP(Tabela11[[#This Row],[Tag do Cabo]],BD!A:AJ,12,0)</f>
        <v>KVM/THIN CLIENT - 
SUBSOLO CCO</v>
      </c>
      <c r="K106" s="391" t="s">
        <v>92</v>
      </c>
      <c r="L106" s="391" t="s">
        <v>92</v>
      </c>
      <c r="M106" s="3" t="str">
        <f>CONCATENATE(Tabela11[[#This Row],[Painel 1]]&amp;" "&amp;Tabela11[[#This Row],[Painel 2]])</f>
        <v>- -</v>
      </c>
      <c r="N106" s="157">
        <v>0</v>
      </c>
      <c r="O106" s="391" t="s">
        <v>92</v>
      </c>
      <c r="P106" s="391" t="s">
        <v>107</v>
      </c>
      <c r="Q106" s="391" t="str">
        <f>VLOOKUP(Tabela11[[#This Row],[Tag do Cabo]],BD!A:F,6,0)</f>
        <v>-</v>
      </c>
      <c r="R106" s="391">
        <f>SUMIF('Lançamento de Cabos'!AE:AE,Tabela11[[#This Row],[Tag do Cabo]],'Lançamento de Cabos'!AG:AG)</f>
        <v>0</v>
      </c>
      <c r="S106" s="28" t="s">
        <v>92</v>
      </c>
      <c r="T106" s="269" t="s">
        <v>92</v>
      </c>
      <c r="U106" s="23" t="s">
        <v>92</v>
      </c>
      <c r="V106" s="222" t="s">
        <v>1269</v>
      </c>
    </row>
    <row r="107" spans="1:22" hidden="1" x14ac:dyDescent="0.25">
      <c r="A107" s="34" t="s">
        <v>1272</v>
      </c>
      <c r="B107" s="391" t="str">
        <f>VLOOKUP(Tabela11[[#This Row],[Tag do Cabo]],BD!A:AJ,2,0)</f>
        <v>FO</v>
      </c>
      <c r="C107" s="3" t="str">
        <f>VLOOKUP(Tabela11[[#This Row],[Tag do Cabo]],BD!A:AJ,5,0)</f>
        <v>FIBRA OPTICA MM 3 PARES</v>
      </c>
      <c r="D107" s="391" t="s">
        <v>1533</v>
      </c>
      <c r="E107" s="391" t="str">
        <f>VLOOKUP(Tabela11[[#This Row],[Tag do Cabo]],BD!A:T,20,0)</f>
        <v>BK-SP54-0900A-LC-90-00004_00000</v>
      </c>
      <c r="F107" s="222" t="str">
        <f>IF(VLOOKUP(Tabela11[[#This Row],[Tag do Cabo]],BD!A:AJ,35,0)=0,"Pendente",VLOOKUP(Tabela11[[#This Row],[Tag do Cabo]],BD!A:AJ,35,0))</f>
        <v>Pela Guascor</v>
      </c>
      <c r="G107" s="3" t="str">
        <f>IF(VLOOKUP(Tabela11[[#This Row],[Tag do Cabo]],BD!A:AJ,36,0)=0,"Pendente",VLOOKUP(Tabela11[[#This Row],[Tag do Cabo]],BD!A:AJ,36,0))</f>
        <v>-</v>
      </c>
      <c r="H107" s="391" t="str">
        <f>VLOOKUP(Tabela11[[#This Row],[Tag do Cabo]],BD!A:AJ,32,0)</f>
        <v>COGxCCO</v>
      </c>
      <c r="I107" s="7" t="str">
        <f>VLOOKUP(Tabela11[[#This Row],[Tag do Cabo]],BD!A:AJ,11,0)</f>
        <v>SUBESTAÇÃO-COGERAÇÃO</v>
      </c>
      <c r="J107" s="3" t="str">
        <f>VLOOKUP(Tabela11[[#This Row],[Tag do Cabo]],BD!A:AJ,12,0)</f>
        <v>KVM/THIN CLIENT - 
SUBSOLO CCO</v>
      </c>
      <c r="K107" s="391" t="s">
        <v>92</v>
      </c>
      <c r="L107" s="391" t="s">
        <v>92</v>
      </c>
      <c r="M107" s="3" t="str">
        <f>CONCATENATE(Tabela11[[#This Row],[Painel 1]]&amp;" "&amp;Tabela11[[#This Row],[Painel 2]])</f>
        <v>- -</v>
      </c>
      <c r="N107" s="157">
        <v>0</v>
      </c>
      <c r="O107" s="391" t="s">
        <v>92</v>
      </c>
      <c r="P107" s="391" t="s">
        <v>107</v>
      </c>
      <c r="Q107" s="391" t="str">
        <f>VLOOKUP(Tabela11[[#This Row],[Tag do Cabo]],BD!A:F,6,0)</f>
        <v>-</v>
      </c>
      <c r="R107" s="391">
        <f>SUMIF('Lançamento de Cabos'!AE:AE,Tabela11[[#This Row],[Tag do Cabo]],'Lançamento de Cabos'!AG:AG)</f>
        <v>0</v>
      </c>
      <c r="S107" s="28" t="s">
        <v>92</v>
      </c>
      <c r="T107" s="269" t="s">
        <v>92</v>
      </c>
      <c r="U107" s="23" t="s">
        <v>92</v>
      </c>
      <c r="V107" s="222" t="s">
        <v>1269</v>
      </c>
    </row>
    <row r="108" spans="1:22" hidden="1" x14ac:dyDescent="0.25">
      <c r="A108" s="34" t="s">
        <v>457</v>
      </c>
      <c r="B108" s="391" t="str">
        <f>VLOOKUP(Tabela11[[#This Row],[Tag do Cabo]],BD!A:AJ,2,0)</f>
        <v>Rede</v>
      </c>
      <c r="C108" s="3" t="str">
        <f>VLOOKUP(Tabela11[[#This Row],[Tag do Cabo]],BD!A:AJ,5,0)</f>
        <v>CABO ETHERNET</v>
      </c>
      <c r="D108" s="391" t="s">
        <v>1533</v>
      </c>
      <c r="E108" s="391" t="str">
        <f>VLOOKUP(Tabela11[[#This Row],[Tag do Cabo]],BD!A:T,20,0)</f>
        <v>BK-SP54-0900A-LC-90-00004_00000</v>
      </c>
      <c r="F108" s="341" t="str">
        <f>IF(VLOOKUP(Tabela11[[#This Row],[Tag do Cabo]],BD!A:AJ,35,0)=0,"Pendente",VLOOKUP(Tabela11[[#This Row],[Tag do Cabo]],BD!A:AJ,35,0))</f>
        <v>BK-SP54-00000-DF-90-00064</v>
      </c>
      <c r="G108" s="3" t="str">
        <f>IF(VLOOKUP(Tabela11[[#This Row],[Tag do Cabo]],BD!A:AJ,36,0)=0,"Pendente",VLOOKUP(Tabela11[[#This Row],[Tag do Cabo]],BD!A:AJ,36,0))</f>
        <v>5</v>
      </c>
      <c r="H108" s="391" t="str">
        <f>VLOOKUP(Tabela11[[#This Row],[Tag do Cabo]],BD!A:AJ,32,0)</f>
        <v>7HV</v>
      </c>
      <c r="I108" s="7" t="str">
        <f>VLOOKUP(Tabela11[[#This Row],[Tag do Cabo]],BD!A:AJ,11,0)</f>
        <v>INVERSOR GB-200 
(Eletrocentro da Motorização)</v>
      </c>
      <c r="J108" s="3" t="str">
        <f>VLOOKUP(Tabela11[[#This Row],[Tag do Cabo]],BD!A:AJ,12,0)</f>
        <v>RACK-120-102 - SWT-120-103</v>
      </c>
      <c r="K108" s="391" t="s">
        <v>1590</v>
      </c>
      <c r="L108" s="391" t="s">
        <v>1583</v>
      </c>
      <c r="M108" s="3" t="str">
        <f>CONCATENATE(Tabela11[[#This Row],[Painel 1]]&amp;" "&amp;Tabela11[[#This Row],[Painel 2]])</f>
        <v>GB-200-INV RCK-120-102</v>
      </c>
      <c r="N108" s="157">
        <v>2</v>
      </c>
      <c r="O108" s="391" t="s">
        <v>92</v>
      </c>
      <c r="P108" s="391" t="s">
        <v>107</v>
      </c>
      <c r="Q108" s="391" t="str">
        <f>VLOOKUP(Tabela11[[#This Row],[Tag do Cabo]],BD!A:F,6,0)</f>
        <v>-</v>
      </c>
      <c r="R108" s="391">
        <f>SUMIF('Lançamento de Cabos'!AE:AE,Tabela11[[#This Row],[Tag do Cabo]],'Lançamento de Cabos'!AG:AG)</f>
        <v>0</v>
      </c>
      <c r="S108" s="28">
        <f>Tabela11[[#This Row],[Ligações Realizadas]]/Tabela11[[#This Row],[Qtde Ligações]]</f>
        <v>0</v>
      </c>
      <c r="T108" s="269">
        <f>IF(Tabela11[[#This Row],[Ligações Realizadas]]/Tabela11[[#This Row],[Qtde Ligações]]=0,0,IF(Tabela11[[#This Row],[Ligações Realizadas]]/Tabela11[[#This Row],[Qtde Ligações]]=1,ROUND(N108/2,0),"Ver Painel"))</f>
        <v>0</v>
      </c>
      <c r="U108" s="23">
        <f>IF(Tabela11[[#This Row],[Ligações Realizadas]]/Tabela11[[#This Row],[Qtde Ligações]]=0,0,IF(Tabela11[[#This Row],[Ligações Realizadas]]/Tabela11[[#This Row],[Qtde Ligações]]=1,ROUND(N108/2,0),"Ver Painel"))</f>
        <v>0</v>
      </c>
      <c r="V108" s="219"/>
    </row>
    <row r="109" spans="1:22" hidden="1" x14ac:dyDescent="0.25">
      <c r="A109" s="34" t="s">
        <v>1056</v>
      </c>
      <c r="B109" s="391" t="str">
        <f>VLOOKUP(Tabela11[[#This Row],[Tag do Cabo]],BD!A:AJ,2,0)</f>
        <v>Rede</v>
      </c>
      <c r="C109" s="3" t="str">
        <f>VLOOKUP(Tabela11[[#This Row],[Tag do Cabo]],BD!A:AJ,5,0)</f>
        <v>CABO RS-485</v>
      </c>
      <c r="D109" s="391" t="s">
        <v>1533</v>
      </c>
      <c r="E109" s="391" t="str">
        <f>VLOOKUP(Tabela11[[#This Row],[Tag do Cabo]],BD!A:T,20,0)</f>
        <v>BK-SP54-0900A-LC-90-00004_00000</v>
      </c>
      <c r="F109" s="341" t="str">
        <f>IF(VLOOKUP(Tabela11[[#This Row],[Tag do Cabo]],BD!A:AJ,35,0)=0,"Pendente",VLOOKUP(Tabela11[[#This Row],[Tag do Cabo]],BD!A:AJ,35,0))</f>
        <v>BK-SP54-00000-DF-90-00063</v>
      </c>
      <c r="G109" s="3" t="str">
        <f>IF(VLOOKUP(Tabela11[[#This Row],[Tag do Cabo]],BD!A:AJ,36,0)=0,"Pendente",VLOOKUP(Tabela11[[#This Row],[Tag do Cabo]],BD!A:AJ,36,0))</f>
        <v>5</v>
      </c>
      <c r="H109" s="391" t="str">
        <f>VLOOKUP(Tabela11[[#This Row],[Tag do Cabo]],BD!A:AJ,32,0)</f>
        <v>CCP</v>
      </c>
      <c r="I109" s="7" t="str">
        <f>VLOOKUP(Tabela11[[#This Row],[Tag do Cabo]],BD!A:AJ,11,0)</f>
        <v>GTW-90103 (CCP)</v>
      </c>
      <c r="J109" s="3" t="str">
        <f>VLOOKUP(Tabela11[[#This Row],[Tag do Cabo]],BD!A:AJ,12,0)</f>
        <v>TMR-GB-200</v>
      </c>
      <c r="K109" s="391" t="s">
        <v>1591</v>
      </c>
      <c r="L109" s="391" t="s">
        <v>1058</v>
      </c>
      <c r="M109" s="3" t="str">
        <f>CONCATENATE(Tabela11[[#This Row],[Painel 1]]&amp;" "&amp;Tabela11[[#This Row],[Painel 2]])</f>
        <v>GTW-90103 TMR-GB-200</v>
      </c>
      <c r="N109" s="157">
        <v>2</v>
      </c>
      <c r="O109" s="391" t="s">
        <v>92</v>
      </c>
      <c r="P109" s="391" t="s">
        <v>107</v>
      </c>
      <c r="Q109" s="391" t="str">
        <f>VLOOKUP(Tabela11[[#This Row],[Tag do Cabo]],BD!A:F,6,0)</f>
        <v>-</v>
      </c>
      <c r="R109" s="391">
        <f>SUMIF('Lançamento de Cabos'!AE:AE,Tabela11[[#This Row],[Tag do Cabo]],'Lançamento de Cabos'!AG:AG)</f>
        <v>0</v>
      </c>
      <c r="S109" s="28">
        <f>Tabela11[[#This Row],[Ligações Realizadas]]/Tabela11[[#This Row],[Qtde Ligações]]</f>
        <v>0</v>
      </c>
      <c r="T109" s="269">
        <f>IF(Tabela11[[#This Row],[Ligações Realizadas]]/Tabela11[[#This Row],[Qtde Ligações]]=0,0,IF(Tabela11[[#This Row],[Ligações Realizadas]]/Tabela11[[#This Row],[Qtde Ligações]]=1,ROUND(N109/2,0),"Ver Painel"))</f>
        <v>0</v>
      </c>
      <c r="U109" s="23">
        <f>IF(Tabela11[[#This Row],[Ligações Realizadas]]/Tabela11[[#This Row],[Qtde Ligações]]=0,0,IF(Tabela11[[#This Row],[Ligações Realizadas]]/Tabela11[[#This Row],[Qtde Ligações]]=1,ROUND(N109/2,0),"Ver Painel"))</f>
        <v>0</v>
      </c>
      <c r="V109" s="219"/>
    </row>
    <row r="110" spans="1:22" hidden="1" x14ac:dyDescent="0.25">
      <c r="A110" s="34" t="s">
        <v>460</v>
      </c>
      <c r="B110" s="391" t="str">
        <f>VLOOKUP(Tabela11[[#This Row],[Tag do Cabo]],BD!A:AJ,2,0)</f>
        <v>Rede</v>
      </c>
      <c r="C110" s="3" t="str">
        <f>VLOOKUP(Tabela11[[#This Row],[Tag do Cabo]],BD!A:AJ,5,0)</f>
        <v>CABO ETHERNET</v>
      </c>
      <c r="D110" s="391" t="s">
        <v>1533</v>
      </c>
      <c r="E110" s="391" t="str">
        <f>VLOOKUP(Tabela11[[#This Row],[Tag do Cabo]],BD!A:T,20,0)</f>
        <v>BK-SP54-0900A-LC-90-00004_00000</v>
      </c>
      <c r="F110" s="341" t="str">
        <f>IF(VLOOKUP(Tabela11[[#This Row],[Tag do Cabo]],BD!A:AJ,35,0)=0,"Pendente",VLOOKUP(Tabela11[[#This Row],[Tag do Cabo]],BD!A:AJ,35,0))</f>
        <v>BK-SP54-00000-DF-90-00064</v>
      </c>
      <c r="G110" s="3" t="str">
        <f>IF(VLOOKUP(Tabela11[[#This Row],[Tag do Cabo]],BD!A:AJ,36,0)=0,"Pendente",VLOOKUP(Tabela11[[#This Row],[Tag do Cabo]],BD!A:AJ,36,0))</f>
        <v>5</v>
      </c>
      <c r="H110" s="391" t="str">
        <f>VLOOKUP(Tabela11[[#This Row],[Tag do Cabo]],BD!A:AJ,32,0)</f>
        <v>7HV</v>
      </c>
      <c r="I110" s="7" t="str">
        <f>VLOOKUP(Tabela11[[#This Row],[Tag do Cabo]],BD!A:AJ,11,0)</f>
        <v>INVERSOR GB-351 
(Eletrocentro da Motorização)</v>
      </c>
      <c r="J110" s="3" t="str">
        <f>VLOOKUP(Tabela11[[#This Row],[Tag do Cabo]],BD!A:AJ,12,0)</f>
        <v>RACK-120-102 - SWT-120-104</v>
      </c>
      <c r="K110" s="391" t="s">
        <v>687</v>
      </c>
      <c r="L110" s="391" t="s">
        <v>1583</v>
      </c>
      <c r="M110" s="3" t="str">
        <f>CONCATENATE(Tabela11[[#This Row],[Painel 1]]&amp;" "&amp;Tabela11[[#This Row],[Painel 2]])</f>
        <v>GB-351-INV RCK-120-102</v>
      </c>
      <c r="N110" s="157">
        <v>2</v>
      </c>
      <c r="O110" s="391" t="s">
        <v>92</v>
      </c>
      <c r="P110" s="391" t="s">
        <v>107</v>
      </c>
      <c r="Q110" s="391" t="str">
        <f>VLOOKUP(Tabela11[[#This Row],[Tag do Cabo]],BD!A:F,6,0)</f>
        <v>-</v>
      </c>
      <c r="R110" s="391">
        <f>SUMIF('Lançamento de Cabos'!AE:AE,Tabela11[[#This Row],[Tag do Cabo]],'Lançamento de Cabos'!AG:AG)</f>
        <v>0</v>
      </c>
      <c r="S110" s="28">
        <f>Tabela11[[#This Row],[Ligações Realizadas]]/Tabela11[[#This Row],[Qtde Ligações]]</f>
        <v>0</v>
      </c>
      <c r="T110" s="269">
        <f>IF(Tabela11[[#This Row],[Ligações Realizadas]]/Tabela11[[#This Row],[Qtde Ligações]]=0,0,IF(Tabela11[[#This Row],[Ligações Realizadas]]/Tabela11[[#This Row],[Qtde Ligações]]=1,ROUND(N110/2,0),"Ver Painel"))</f>
        <v>0</v>
      </c>
      <c r="U110" s="23">
        <f>IF(Tabela11[[#This Row],[Ligações Realizadas]]/Tabela11[[#This Row],[Qtde Ligações]]=0,0,IF(Tabela11[[#This Row],[Ligações Realizadas]]/Tabela11[[#This Row],[Qtde Ligações]]=1,ROUND(N110/2,0),"Ver Painel"))</f>
        <v>0</v>
      </c>
      <c r="V110" s="219"/>
    </row>
    <row r="111" spans="1:22" hidden="1" x14ac:dyDescent="0.25">
      <c r="A111" s="168" t="s">
        <v>1061</v>
      </c>
      <c r="B111" s="391" t="str">
        <f>VLOOKUP(Tabela11[[#This Row],[Tag do Cabo]],BD!A:AJ,2,0)</f>
        <v>Rede</v>
      </c>
      <c r="C111" s="3" t="str">
        <f>VLOOKUP(Tabela11[[#This Row],[Tag do Cabo]],BD!A:AJ,5,0)</f>
        <v>CABO RS-485</v>
      </c>
      <c r="D111" s="391" t="s">
        <v>1533</v>
      </c>
      <c r="E111" s="391" t="str">
        <f>VLOOKUP(Tabela11[[#This Row],[Tag do Cabo]],BD!A:T,20,0)</f>
        <v>BK-SP54-0900A-LC-90-00004_00000</v>
      </c>
      <c r="F111" s="341" t="str">
        <f>IF(VLOOKUP(Tabela11[[#This Row],[Tag do Cabo]],BD!A:AJ,35,0)=0,"Pendente",VLOOKUP(Tabela11[[#This Row],[Tag do Cabo]],BD!A:AJ,35,0))</f>
        <v>BK-SP54-00000-DI-90-00025</v>
      </c>
      <c r="G111" s="3" t="str">
        <f>IF(VLOOKUP(Tabela11[[#This Row],[Tag do Cabo]],BD!A:AJ,36,0)=0,"Pendente",VLOOKUP(Tabela11[[#This Row],[Tag do Cabo]],BD!A:AJ,36,0))</f>
        <v>1</v>
      </c>
      <c r="H111" s="391" t="str">
        <f>VLOOKUP(Tabela11[[#This Row],[Tag do Cabo]],BD!A:AJ,32,0)</f>
        <v>CCP</v>
      </c>
      <c r="I111" s="7" t="str">
        <f>VLOOKUP(Tabela11[[#This Row],[Tag do Cabo]],BD!A:AJ,11,0)</f>
        <v>PI-57 (CCP)</v>
      </c>
      <c r="J111" s="3" t="str">
        <f>VLOOKUP(Tabela11[[#This Row],[Tag do Cabo]],BD!A:AJ,12,0)</f>
        <v>SDCD A-350</v>
      </c>
      <c r="K111" s="391" t="s">
        <v>1592</v>
      </c>
      <c r="L111" s="391" t="s">
        <v>1063</v>
      </c>
      <c r="M111" s="3" t="str">
        <f>CONCATENATE(Tabela11[[#This Row],[Painel 1]]&amp;" "&amp;Tabela11[[#This Row],[Painel 2]])</f>
        <v>PI-57 SDCD A-350</v>
      </c>
      <c r="N111" s="157">
        <v>2</v>
      </c>
      <c r="O111" s="391" t="s">
        <v>92</v>
      </c>
      <c r="P111" s="391" t="s">
        <v>107</v>
      </c>
      <c r="Q111" s="391" t="str">
        <f>VLOOKUP(Tabela11[[#This Row],[Tag do Cabo]],BD!A:F,6,0)</f>
        <v>-</v>
      </c>
      <c r="R111" s="391">
        <f>SUMIF('Lançamento de Cabos'!AE:AE,Tabela11[[#This Row],[Tag do Cabo]],'Lançamento de Cabos'!AG:AG)</f>
        <v>0</v>
      </c>
      <c r="S111" s="28">
        <f>Tabela11[[#This Row],[Ligações Realizadas]]/Tabela11[[#This Row],[Qtde Ligações]]</f>
        <v>0</v>
      </c>
      <c r="T111" s="269">
        <f>IF(Tabela11[[#This Row],[Ligações Realizadas]]/Tabela11[[#This Row],[Qtde Ligações]]=0,0,IF(Tabela11[[#This Row],[Ligações Realizadas]]/Tabela11[[#This Row],[Qtde Ligações]]=1,ROUND(N111/2,0),"Ver Painel"))</f>
        <v>0</v>
      </c>
      <c r="U111" s="23">
        <f>IF(Tabela11[[#This Row],[Ligações Realizadas]]/Tabela11[[#This Row],[Qtde Ligações]]=0,0,IF(Tabela11[[#This Row],[Ligações Realizadas]]/Tabela11[[#This Row],[Qtde Ligações]]=1,ROUND(N111/2,0),"Ver Painel"))</f>
        <v>0</v>
      </c>
      <c r="V111" s="219"/>
    </row>
    <row r="112" spans="1:22" hidden="1" x14ac:dyDescent="0.25">
      <c r="A112" s="34" t="s">
        <v>1407</v>
      </c>
      <c r="B112" s="391" t="str">
        <f>VLOOKUP(Tabela11[[#This Row],[Tag do Cabo]],BD!A:AJ,2,0)</f>
        <v>FO</v>
      </c>
      <c r="C112" s="3" t="str">
        <f>VLOOKUP(Tabela11[[#This Row],[Tag do Cabo]],BD!A:AJ,5,0)</f>
        <v>FIBRA OPTICA MM 6 PARES</v>
      </c>
      <c r="D112" s="391" t="s">
        <v>1533</v>
      </c>
      <c r="E112" s="391" t="str">
        <f>VLOOKUP(Tabela11[[#This Row],[Tag do Cabo]],BD!A:T,20,0)</f>
        <v>BK-SP54-0900A-LC-90-00004_00000</v>
      </c>
      <c r="F112" s="222" t="str">
        <f>IF(VLOOKUP(Tabela11[[#This Row],[Tag do Cabo]],BD!A:AJ,35,0)=0,"Pendente",VLOOKUP(Tabela11[[#This Row],[Tag do Cabo]],BD!A:AJ,35,0))</f>
        <v>Pela Guascor</v>
      </c>
      <c r="G112" s="3" t="str">
        <f>IF(VLOOKUP(Tabela11[[#This Row],[Tag do Cabo]],BD!A:AJ,36,0)=0,"Pendente",VLOOKUP(Tabela11[[#This Row],[Tag do Cabo]],BD!A:AJ,36,0))</f>
        <v>-</v>
      </c>
      <c r="H112" s="391" t="str">
        <f>VLOOKUP(Tabela11[[#This Row],[Tag do Cabo]],BD!A:AJ,32,0)</f>
        <v>Predio VestaxCCO</v>
      </c>
      <c r="I112" s="7" t="str">
        <f>VLOOKUP(Tabela11[[#This Row],[Tag do Cabo]],BD!A:AJ,11,0)</f>
        <v>SUBSOLO CCO - RACK GUASCOR</v>
      </c>
      <c r="J112" s="3" t="str">
        <f>VLOOKUP(Tabela11[[#This Row],[Tag do Cabo]],BD!A:AJ,12,0)</f>
        <v>PRÉDIO VESTA (TI)</v>
      </c>
      <c r="K112" s="391" t="s">
        <v>92</v>
      </c>
      <c r="L112" s="391" t="s">
        <v>92</v>
      </c>
      <c r="M112" s="3" t="str">
        <f>CONCATENATE(Tabela11[[#This Row],[Painel 1]]&amp;" "&amp;Tabela11[[#This Row],[Painel 2]])</f>
        <v>- -</v>
      </c>
      <c r="N112" s="157">
        <v>0</v>
      </c>
      <c r="O112" s="391" t="s">
        <v>92</v>
      </c>
      <c r="P112" s="391" t="s">
        <v>107</v>
      </c>
      <c r="Q112" s="391" t="str">
        <f>VLOOKUP(Tabela11[[#This Row],[Tag do Cabo]],BD!A:F,6,0)</f>
        <v>-</v>
      </c>
      <c r="R112" s="391">
        <f>SUMIF('Lançamento de Cabos'!AE:AE,Tabela11[[#This Row],[Tag do Cabo]],'Lançamento de Cabos'!AG:AG)</f>
        <v>0</v>
      </c>
      <c r="S112" s="28" t="s">
        <v>92</v>
      </c>
      <c r="T112" s="269" t="s">
        <v>92</v>
      </c>
      <c r="U112" s="23" t="s">
        <v>92</v>
      </c>
      <c r="V112" s="222" t="s">
        <v>1269</v>
      </c>
    </row>
    <row r="113" spans="1:22" hidden="1" x14ac:dyDescent="0.25">
      <c r="A113" s="34" t="s">
        <v>1387</v>
      </c>
      <c r="B113" s="391" t="str">
        <f>VLOOKUP(Tabela11[[#This Row],[Tag do Cabo]],BD!A:AJ,2,0)</f>
        <v>Controle</v>
      </c>
      <c r="C113" s="3" t="str">
        <f>VLOOKUP(Tabela11[[#This Row],[Tag do Cabo]],BD!A:AJ,5,0)</f>
        <v>1P#1,0mm²+SHI</v>
      </c>
      <c r="D113" s="391" t="s">
        <v>1533</v>
      </c>
      <c r="E113" s="391" t="str">
        <f>VLOOKUP(Tabela11[[#This Row],[Tag do Cabo]],BD!A:T,20,0)</f>
        <v>BK-SP54-0900A-LC-80-00179_00000</v>
      </c>
      <c r="F113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113" s="3" t="str">
        <f>IF(VLOOKUP(Tabela11[[#This Row],[Tag do Cabo]],BD!A:AJ,36,0)=0,"Pendente",VLOOKUP(Tabela11[[#This Row],[Tag do Cabo]],BD!A:AJ,36,0))</f>
        <v>15/39/5</v>
      </c>
      <c r="H113" s="391" t="str">
        <f>VLOOKUP(Tabela11[[#This Row],[Tag do Cabo]],BD!A:AJ,32,0)</f>
        <v>Perif.IVxCCU</v>
      </c>
      <c r="I113" s="7" t="str">
        <f>VLOOKUP(Tabela11[[#This Row],[Tag do Cabo]],BD!A:AJ,11,0)</f>
        <v>PY-9227C (PERIFÉRICOS IV)</v>
      </c>
      <c r="J113" s="3" t="str">
        <f>VLOOKUP(Tabela11[[#This Row],[Tag do Cabo]],BD!A:AJ,12,0)</f>
        <v>GABINETE DELTA V - BF 902</v>
      </c>
      <c r="K113" s="391" t="s">
        <v>1574</v>
      </c>
      <c r="L113" s="391" t="s">
        <v>1575</v>
      </c>
      <c r="M113" s="3" t="str">
        <f>CONCATENATE(Tabela11[[#This Row],[Painel 1]]&amp;" "&amp;Tabela11[[#This Row],[Painel 2]])</f>
        <v>INSTRUMENTO DELTA V</v>
      </c>
      <c r="N113" s="157">
        <v>4</v>
      </c>
      <c r="O113" s="391">
        <f>COUNTIF(Tabela12[Tag Cabo],Tabela11[[#This Row],[Tag do Cabo]])</f>
        <v>4</v>
      </c>
      <c r="P113" s="391" t="str">
        <f>IF(Tabela11[[#This Row],[Qtde Ligações]]&lt;&gt;Tabela11[[#This Row],[Qtde Anilhas]],"Ver","Ok")</f>
        <v>Ok</v>
      </c>
      <c r="Q113" s="391">
        <f>VLOOKUP(Tabela11[[#This Row],[Tag do Cabo]],BD!A:F,6,0)</f>
        <v>1</v>
      </c>
      <c r="R113" s="391">
        <f>SUMIF('Lançamento de Cabos'!AE:AE,Tabela11[[#This Row],[Tag do Cabo]],'Lançamento de Cabos'!AG:AG)</f>
        <v>0</v>
      </c>
      <c r="S113" s="28">
        <f>Tabela11[[#This Row],[Ligações Realizadas]]/Tabela11[[#This Row],[Qtde Ligações]]</f>
        <v>0</v>
      </c>
      <c r="T113" s="269">
        <f>IF(Tabela11[[#This Row],[Ligações Realizadas]]/Tabela11[[#This Row],[Qtde Ligações]]=0,0,IF(Tabela11[[#This Row],[Ligações Realizadas]]/Tabela11[[#This Row],[Qtde Ligações]]=1,ROUND(N113/2,0),"Ver Painel"))</f>
        <v>0</v>
      </c>
      <c r="U113" s="23">
        <f>IF(Tabela11[[#This Row],[Ligações Realizadas]]/Tabela11[[#This Row],[Qtde Ligações]]=0,0,IF(Tabela11[[#This Row],[Ligações Realizadas]]/Tabela11[[#This Row],[Qtde Ligações]]=1,ROUND(N113/2,0),"Ver Painel"))</f>
        <v>0</v>
      </c>
      <c r="V113" s="222"/>
    </row>
    <row r="114" spans="1:22" hidden="1" x14ac:dyDescent="0.25">
      <c r="A114" s="34" t="s">
        <v>1392</v>
      </c>
      <c r="B114" s="391" t="str">
        <f>VLOOKUP(Tabela11[[#This Row],[Tag do Cabo]],BD!A:AJ,2,0)</f>
        <v>Controle</v>
      </c>
      <c r="C114" s="3" t="str">
        <f>VLOOKUP(Tabela11[[#This Row],[Tag do Cabo]],BD!A:AJ,5,0)</f>
        <v>1P#1,0mm²+SHI</v>
      </c>
      <c r="D114" s="391" t="s">
        <v>1533</v>
      </c>
      <c r="E114" s="391" t="str">
        <f>VLOOKUP(Tabela11[[#This Row],[Tag do Cabo]],BD!A:T,20,0)</f>
        <v>BK-SP54-0900A-LC-80-00180_00000</v>
      </c>
      <c r="F114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114" s="3" t="str">
        <f>IF(VLOOKUP(Tabela11[[#This Row],[Tag do Cabo]],BD!A:AJ,36,0)=0,"Pendente",VLOOKUP(Tabela11[[#This Row],[Tag do Cabo]],BD!A:AJ,36,0))</f>
        <v>15/40/5</v>
      </c>
      <c r="H114" s="391" t="str">
        <f>VLOOKUP(Tabela11[[#This Row],[Tag do Cabo]],BD!A:AJ,32,0)</f>
        <v>Perif.IVxCCU</v>
      </c>
      <c r="I114" s="7" t="str">
        <f>VLOOKUP(Tabela11[[#This Row],[Tag do Cabo]],BD!A:AJ,11,0)</f>
        <v>PY-9227D (PERIFÉRICOS IV)</v>
      </c>
      <c r="J114" s="3" t="str">
        <f>VLOOKUP(Tabela11[[#This Row],[Tag do Cabo]],BD!A:AJ,12,0)</f>
        <v>GABINETE DELTA V - BF 903</v>
      </c>
      <c r="K114" s="391" t="s">
        <v>1574</v>
      </c>
      <c r="L114" s="391" t="s">
        <v>1575</v>
      </c>
      <c r="M114" s="3" t="str">
        <f>CONCATENATE(Tabela11[[#This Row],[Painel 1]]&amp;" "&amp;Tabela11[[#This Row],[Painel 2]])</f>
        <v>INSTRUMENTO DELTA V</v>
      </c>
      <c r="N114" s="157">
        <v>4</v>
      </c>
      <c r="O114" s="391">
        <f>COUNTIF(Tabela12[Tag Cabo],Tabela11[[#This Row],[Tag do Cabo]])</f>
        <v>4</v>
      </c>
      <c r="P114" s="391" t="str">
        <f>IF(Tabela11[[#This Row],[Qtde Ligações]]&lt;&gt;Tabela11[[#This Row],[Qtde Anilhas]],"Ver","Ok")</f>
        <v>Ok</v>
      </c>
      <c r="Q114" s="391">
        <f>VLOOKUP(Tabela11[[#This Row],[Tag do Cabo]],BD!A:F,6,0)</f>
        <v>1</v>
      </c>
      <c r="R114" s="391">
        <f>SUMIF('Lançamento de Cabos'!AE:AE,Tabela11[[#This Row],[Tag do Cabo]],'Lançamento de Cabos'!AG:AG)</f>
        <v>0</v>
      </c>
      <c r="S114" s="28">
        <f>Tabela11[[#This Row],[Ligações Realizadas]]/Tabela11[[#This Row],[Qtde Ligações]]</f>
        <v>0</v>
      </c>
      <c r="T114" s="269">
        <f>IF(Tabela11[[#This Row],[Ligações Realizadas]]/Tabela11[[#This Row],[Qtde Ligações]]=0,0,IF(Tabela11[[#This Row],[Ligações Realizadas]]/Tabela11[[#This Row],[Qtde Ligações]]=1,ROUND(N114/2,0),"Ver Painel"))</f>
        <v>0</v>
      </c>
      <c r="U114" s="23">
        <f>IF(Tabela11[[#This Row],[Ligações Realizadas]]/Tabela11[[#This Row],[Qtde Ligações]]=0,0,IF(Tabela11[[#This Row],[Ligações Realizadas]]/Tabela11[[#This Row],[Qtde Ligações]]=1,ROUND(N114/2,0),"Ver Painel"))</f>
        <v>0</v>
      </c>
      <c r="V114" s="222"/>
    </row>
    <row r="115" spans="1:22" hidden="1" x14ac:dyDescent="0.25">
      <c r="A115" s="34" t="s">
        <v>463</v>
      </c>
      <c r="B115" s="391" t="str">
        <f>VLOOKUP(Tabela11[[#This Row],[Tag do Cabo]],BD!A:AJ,2,0)</f>
        <v>Controle</v>
      </c>
      <c r="C115" s="3" t="str">
        <f>VLOOKUP(Tabela11[[#This Row],[Tag do Cabo]],BD!A:AJ,5,0)</f>
        <v>1x1x25xC#1,5</v>
      </c>
      <c r="D115" s="391" t="s">
        <v>1542</v>
      </c>
      <c r="E115" s="391" t="str">
        <f>VLOOKUP(Tabela11[[#This Row],[Tag do Cabo]],BD!A:T,20,0)</f>
        <v>E5WP000490-C-001-LC004</v>
      </c>
      <c r="F115" s="3" t="str">
        <f>IF(VLOOKUP(Tabela11[[#This Row],[Tag do Cabo]],BD!A:AJ,35,0)=0,"Pendente",VLOOKUP(Tabela11[[#This Row],[Tag do Cabo]],BD!A:AJ,35,0))</f>
        <v>E5WP000490-C-002-DE004</v>
      </c>
      <c r="G115" s="3" t="str">
        <f>IF(VLOOKUP(Tabela11[[#This Row],[Tag do Cabo]],BD!A:AJ,36,0)=0,"Pendente",VLOOKUP(Tabela11[[#This Row],[Tag do Cabo]],BD!A:AJ,36,0))</f>
        <v>3</v>
      </c>
      <c r="H115" s="391" t="str">
        <f>VLOOKUP(Tabela11[[#This Row],[Tag do Cabo]],BD!A:AJ,32,0)</f>
        <v>7HV</v>
      </c>
      <c r="I115" s="7" t="str">
        <f>VLOOKUP(Tabela11[[#This Row],[Tag do Cabo]],BD!A:AJ,11,0)</f>
        <v>CELLAR AREA (CL-7HV)</v>
      </c>
      <c r="J115" s="3" t="str">
        <f>VLOOKUP(Tabela11[[#This Row],[Tag do Cabo]],BD!A:AJ,12,0)</f>
        <v>E-HOUSE (GB-1201-INV)</v>
      </c>
      <c r="K115" s="391" t="s">
        <v>1593</v>
      </c>
      <c r="L115" s="391" t="s">
        <v>1588</v>
      </c>
      <c r="M115" s="3" t="str">
        <f>CONCATENATE(Tabela11[[#This Row],[Painel 1]]&amp;" "&amp;Tabela11[[#This Row],[Painel 2]])</f>
        <v>CL-7HV GB-1201-INV</v>
      </c>
      <c r="N115" s="157">
        <v>48</v>
      </c>
      <c r="O115" s="391" t="s">
        <v>92</v>
      </c>
      <c r="P115" s="391" t="s">
        <v>1550</v>
      </c>
      <c r="Q115" s="391">
        <f>VLOOKUP(Tabela11[[#This Row],[Tag do Cabo]],BD!A:F,6,0)</f>
        <v>1.5</v>
      </c>
      <c r="R115" s="391">
        <f>SUMIF('Lançamento de Cabos'!AE:AE,Tabela11[[#This Row],[Tag do Cabo]],'Lançamento de Cabos'!AG:AG)</f>
        <v>48</v>
      </c>
      <c r="S115" s="28">
        <f>Tabela11[[#This Row],[Ligações Realizadas]]/Tabela11[[#This Row],[Qtde Ligações]]</f>
        <v>1</v>
      </c>
      <c r="T115" s="272">
        <f>IF(Tabela11[[#This Row],[Ligações Realizadas]]/Tabela11[[#This Row],[Qtde Ligações]]=0,0,IF(Tabela11[[#This Row],[Ligações Realizadas]]/Tabela11[[#This Row],[Qtde Ligações]]=1,ROUND(N115/2,0),"Ver Painel"))</f>
        <v>24</v>
      </c>
      <c r="U115" s="273">
        <f>IF(Tabela11[[#This Row],[Ligações Realizadas]]/Tabela11[[#This Row],[Qtde Ligações]]=0,0,IF(Tabela11[[#This Row],[Ligações Realizadas]]/Tabela11[[#This Row],[Qtde Ligações]]=1,ROUND(N115/2,0),"Ver Painel"))</f>
        <v>24</v>
      </c>
      <c r="V115" s="222"/>
    </row>
    <row r="116" spans="1:22" hidden="1" x14ac:dyDescent="0.25">
      <c r="A116" s="34" t="s">
        <v>467</v>
      </c>
      <c r="B116" s="391" t="str">
        <f>VLOOKUP(Tabela11[[#This Row],[Tag do Cabo]],BD!A:AJ,2,0)</f>
        <v>Controle</v>
      </c>
      <c r="C116" s="3" t="str">
        <f>VLOOKUP(Tabela11[[#This Row],[Tag do Cabo]],BD!A:AJ,5,0)</f>
        <v>1x1x9xC#1,5</v>
      </c>
      <c r="D116" s="391" t="s">
        <v>1542</v>
      </c>
      <c r="E116" s="391" t="str">
        <f>VLOOKUP(Tabela11[[#This Row],[Tag do Cabo]],BD!A:T,20,0)</f>
        <v>E5WP000490-C-001-LC004</v>
      </c>
      <c r="F116" s="219" t="str">
        <f>IF(VLOOKUP(Tabela11[[#This Row],[Tag do Cabo]],BD!A:AJ,35,0)=0,"Pendente",VLOOKUP(Tabela11[[#This Row],[Tag do Cabo]],BD!A:AJ,35,0))</f>
        <v>Não Localizado</v>
      </c>
      <c r="G116" s="3" t="str">
        <f>IF(VLOOKUP(Tabela11[[#This Row],[Tag do Cabo]],BD!A:AJ,36,0)=0,"Pendente",VLOOKUP(Tabela11[[#This Row],[Tag do Cabo]],BD!A:AJ,36,0))</f>
        <v>-</v>
      </c>
      <c r="H116" s="391" t="str">
        <f>VLOOKUP(Tabela11[[#This Row],[Tag do Cabo]],BD!A:AJ,32,0)</f>
        <v>7HV</v>
      </c>
      <c r="I116" s="7" t="str">
        <f>VLOOKUP(Tabela11[[#This Row],[Tag do Cabo]],BD!A:AJ,11,0)</f>
        <v>CELLAR AREA (CL-7HV)</v>
      </c>
      <c r="J116" s="3" t="str">
        <f>VLOOKUP(Tabela11[[#This Row],[Tag do Cabo]],BD!A:AJ,12,0)</f>
        <v>E-HOUSE (GB-1201-INV)</v>
      </c>
      <c r="K116" s="391" t="s">
        <v>1593</v>
      </c>
      <c r="L116" s="391" t="s">
        <v>1588</v>
      </c>
      <c r="M116" s="3" t="str">
        <f>CONCATENATE(Tabela11[[#This Row],[Painel 1]]&amp;" "&amp;Tabela11[[#This Row],[Painel 2]])</f>
        <v>CL-7HV GB-1201-INV</v>
      </c>
      <c r="N116" s="218">
        <v>2</v>
      </c>
      <c r="O116" s="391">
        <f>COUNTIF(Tabela12[Tag Cabo],Tabela11[[#This Row],[Tag do Cabo]])</f>
        <v>0</v>
      </c>
      <c r="P116" s="391" t="str">
        <f>IF(Tabela11[[#This Row],[Qtde Ligações]]&lt;&gt;Tabela11[[#This Row],[Qtde Anilhas]],"Ver","Ok")</f>
        <v>Ver</v>
      </c>
      <c r="Q116" s="391">
        <f>VLOOKUP(Tabela11[[#This Row],[Tag do Cabo]],BD!A:F,6,0)</f>
        <v>1.5</v>
      </c>
      <c r="R116" s="391">
        <f>SUMIF('Lançamento de Cabos'!AE:AE,Tabela11[[#This Row],[Tag do Cabo]],'Lançamento de Cabos'!AG:AG)</f>
        <v>2</v>
      </c>
      <c r="S116" s="28">
        <f>Tabela11[[#This Row],[Ligações Realizadas]]/Tabela11[[#This Row],[Qtde Ligações]]</f>
        <v>1</v>
      </c>
      <c r="T116" s="272">
        <f>IF(Tabela11[[#This Row],[Ligações Realizadas]]/Tabela11[[#This Row],[Qtde Ligações]]=0,0,IF(Tabela11[[#This Row],[Ligações Realizadas]]/Tabela11[[#This Row],[Qtde Ligações]]=1,ROUND(N116/2,0),"Ver Painel"))</f>
        <v>1</v>
      </c>
      <c r="U116" s="273">
        <f>IF(Tabela11[[#This Row],[Ligações Realizadas]]/Tabela11[[#This Row],[Qtde Ligações]]=0,0,IF(Tabela11[[#This Row],[Ligações Realizadas]]/Tabela11[[#This Row],[Qtde Ligações]]=1,ROUND(N116/2,0),"Ver Painel"))</f>
        <v>1</v>
      </c>
      <c r="V116" s="219" t="s">
        <v>1552</v>
      </c>
    </row>
    <row r="117" spans="1:22" hidden="1" x14ac:dyDescent="0.25">
      <c r="A117" s="34" t="s">
        <v>469</v>
      </c>
      <c r="B117" s="391" t="str">
        <f>VLOOKUP(Tabela11[[#This Row],[Tag do Cabo]],BD!A:AJ,2,0)</f>
        <v>Controle</v>
      </c>
      <c r="C117" s="3" t="str">
        <f>VLOOKUP(Tabela11[[#This Row],[Tag do Cabo]],BD!A:AJ,5,0)</f>
        <v>1x1x5xC#1,5</v>
      </c>
      <c r="D117" s="391" t="s">
        <v>1542</v>
      </c>
      <c r="E117" s="391" t="str">
        <f>VLOOKUP(Tabela11[[#This Row],[Tag do Cabo]],BD!A:T,20,0)</f>
        <v>E5WP000490-C-001-LC004</v>
      </c>
      <c r="F117" s="219" t="str">
        <f>IF(VLOOKUP(Tabela11[[#This Row],[Tag do Cabo]],BD!A:AJ,35,0)=0,"Pendente",VLOOKUP(Tabela11[[#This Row],[Tag do Cabo]],BD!A:AJ,35,0))</f>
        <v>Não Localizado</v>
      </c>
      <c r="G117" s="3" t="str">
        <f>IF(VLOOKUP(Tabela11[[#This Row],[Tag do Cabo]],BD!A:AJ,36,0)=0,"Pendente",VLOOKUP(Tabela11[[#This Row],[Tag do Cabo]],BD!A:AJ,36,0))</f>
        <v>-</v>
      </c>
      <c r="H117" s="391" t="str">
        <f>VLOOKUP(Tabela11[[#This Row],[Tag do Cabo]],BD!A:AJ,32,0)</f>
        <v>7HV</v>
      </c>
      <c r="I117" s="7" t="str">
        <f>VLOOKUP(Tabela11[[#This Row],[Tag do Cabo]],BD!A:AJ,11,0)</f>
        <v>CELLAR AREA (CL-7HV)</v>
      </c>
      <c r="J117" s="3" t="str">
        <f>VLOOKUP(Tabela11[[#This Row],[Tag do Cabo]],BD!A:AJ,12,0)</f>
        <v>E-HOUSE (GB-1201-INV)</v>
      </c>
      <c r="K117" s="391" t="s">
        <v>1593</v>
      </c>
      <c r="L117" s="391" t="s">
        <v>1588</v>
      </c>
      <c r="M117" s="3" t="str">
        <f>CONCATENATE(Tabela11[[#This Row],[Painel 1]]&amp;" "&amp;Tabela11[[#This Row],[Painel 2]])</f>
        <v>CL-7HV GB-1201-INV</v>
      </c>
      <c r="N117" s="218">
        <v>2</v>
      </c>
      <c r="O117" s="391">
        <f>COUNTIF(Tabela12[Tag Cabo],Tabela11[[#This Row],[Tag do Cabo]])</f>
        <v>0</v>
      </c>
      <c r="P117" s="391" t="str">
        <f>IF(Tabela11[[#This Row],[Qtde Ligações]]&lt;&gt;Tabela11[[#This Row],[Qtde Anilhas]],"Ver","Ok")</f>
        <v>Ver</v>
      </c>
      <c r="Q117" s="391">
        <f>VLOOKUP(Tabela11[[#This Row],[Tag do Cabo]],BD!A:F,6,0)</f>
        <v>1.5</v>
      </c>
      <c r="R117" s="391">
        <f>SUMIF('Lançamento de Cabos'!AE:AE,Tabela11[[#This Row],[Tag do Cabo]],'Lançamento de Cabos'!AG:AG)</f>
        <v>2</v>
      </c>
      <c r="S117" s="28">
        <f>Tabela11[[#This Row],[Ligações Realizadas]]/Tabela11[[#This Row],[Qtde Ligações]]</f>
        <v>1</v>
      </c>
      <c r="T117" s="272">
        <f>IF(Tabela11[[#This Row],[Ligações Realizadas]]/Tabela11[[#This Row],[Qtde Ligações]]=0,0,IF(Tabela11[[#This Row],[Ligações Realizadas]]/Tabela11[[#This Row],[Qtde Ligações]]=1,ROUND(N117/2,0),"Ver Painel"))</f>
        <v>1</v>
      </c>
      <c r="U117" s="273">
        <f>IF(Tabela11[[#This Row],[Ligações Realizadas]]/Tabela11[[#This Row],[Qtde Ligações]]=0,0,IF(Tabela11[[#This Row],[Ligações Realizadas]]/Tabela11[[#This Row],[Qtde Ligações]]=1,ROUND(N117/2,0),"Ver Painel"))</f>
        <v>1</v>
      </c>
      <c r="V117" s="219" t="s">
        <v>1552</v>
      </c>
    </row>
    <row r="118" spans="1:22" hidden="1" x14ac:dyDescent="0.25">
      <c r="A118" s="34" t="s">
        <v>471</v>
      </c>
      <c r="B118" s="391" t="str">
        <f>VLOOKUP(Tabela11[[#This Row],[Tag do Cabo]],BD!A:AJ,2,0)</f>
        <v>Controle</v>
      </c>
      <c r="C118" s="3" t="str">
        <f>VLOOKUP(Tabela11[[#This Row],[Tag do Cabo]],BD!A:AJ,5,0)</f>
        <v>1x1x25xC#1,5</v>
      </c>
      <c r="D118" s="391" t="s">
        <v>1542</v>
      </c>
      <c r="E118" s="391" t="str">
        <f>VLOOKUP(Tabela11[[#This Row],[Tag do Cabo]],BD!A:T,20,0)</f>
        <v>E5WP000490-C-001-LC004</v>
      </c>
      <c r="F118" s="3" t="str">
        <f>IF(VLOOKUP(Tabela11[[#This Row],[Tag do Cabo]],BD!A:AJ,35,0)=0,"Pendente",VLOOKUP(Tabela11[[#This Row],[Tag do Cabo]],BD!A:AJ,35,0))</f>
        <v>E5WP000490-C-002-DE004</v>
      </c>
      <c r="G118" s="3" t="str">
        <f>IF(VLOOKUP(Tabela11[[#This Row],[Tag do Cabo]],BD!A:AJ,36,0)=0,"Pendente",VLOOKUP(Tabela11[[#This Row],[Tag do Cabo]],BD!A:AJ,36,0))</f>
        <v>4</v>
      </c>
      <c r="H118" s="391" t="str">
        <f>VLOOKUP(Tabela11[[#This Row],[Tag do Cabo]],BD!A:AJ,32,0)</f>
        <v>7HV</v>
      </c>
      <c r="I118" s="7" t="str">
        <f>VLOOKUP(Tabela11[[#This Row],[Tag do Cabo]],BD!A:AJ,11,0)</f>
        <v>CELLAR AREA (CL-7HV)</v>
      </c>
      <c r="J118" s="3" t="str">
        <f>VLOOKUP(Tabela11[[#This Row],[Tag do Cabo]],BD!A:AJ,12,0)</f>
        <v>E-HOUSE (GB-351-INV)</v>
      </c>
      <c r="K118" s="391" t="s">
        <v>1593</v>
      </c>
      <c r="L118" s="391" t="s">
        <v>687</v>
      </c>
      <c r="M118" s="3" t="str">
        <f>CONCATENATE(Tabela11[[#This Row],[Painel 1]]&amp;" "&amp;Tabela11[[#This Row],[Painel 2]])</f>
        <v>CL-7HV GB-351-INV</v>
      </c>
      <c r="N118" s="157">
        <v>48</v>
      </c>
      <c r="O118" s="391" t="s">
        <v>92</v>
      </c>
      <c r="P118" s="391" t="s">
        <v>1550</v>
      </c>
      <c r="Q118" s="391">
        <f>VLOOKUP(Tabela11[[#This Row],[Tag do Cabo]],BD!A:F,6,0)</f>
        <v>1.5</v>
      </c>
      <c r="R118" s="391">
        <f>SUMIF('Lançamento de Cabos'!AE:AE,Tabela11[[#This Row],[Tag do Cabo]],'Lançamento de Cabos'!AG:AG)</f>
        <v>48</v>
      </c>
      <c r="S118" s="28">
        <f>Tabela11[[#This Row],[Ligações Realizadas]]/Tabela11[[#This Row],[Qtde Ligações]]</f>
        <v>1</v>
      </c>
      <c r="T118" s="272">
        <f>IF(Tabela11[[#This Row],[Ligações Realizadas]]/Tabela11[[#This Row],[Qtde Ligações]]=0,0,IF(Tabela11[[#This Row],[Ligações Realizadas]]/Tabela11[[#This Row],[Qtde Ligações]]=1,ROUND(N118/2,0),"Ver Painel"))</f>
        <v>24</v>
      </c>
      <c r="U118" s="273">
        <f>IF(Tabela11[[#This Row],[Ligações Realizadas]]/Tabela11[[#This Row],[Qtde Ligações]]=0,0,IF(Tabela11[[#This Row],[Ligações Realizadas]]/Tabela11[[#This Row],[Qtde Ligações]]=1,ROUND(N118/2,0),"Ver Painel"))</f>
        <v>24</v>
      </c>
      <c r="V118" s="222"/>
    </row>
    <row r="119" spans="1:22" hidden="1" x14ac:dyDescent="0.25">
      <c r="A119" s="34" t="s">
        <v>473</v>
      </c>
      <c r="B119" s="391" t="str">
        <f>VLOOKUP(Tabela11[[#This Row],[Tag do Cabo]],BD!A:AJ,2,0)</f>
        <v>Controle</v>
      </c>
      <c r="C119" s="3" t="str">
        <f>VLOOKUP(Tabela11[[#This Row],[Tag do Cabo]],BD!A:AJ,5,0)</f>
        <v>1x1x9xC#1,5</v>
      </c>
      <c r="D119" s="391" t="s">
        <v>1542</v>
      </c>
      <c r="E119" s="391" t="str">
        <f>VLOOKUP(Tabela11[[#This Row],[Tag do Cabo]],BD!A:T,20,0)</f>
        <v>E5WP000490-C-001-LC004</v>
      </c>
      <c r="F119" s="219" t="str">
        <f>IF(VLOOKUP(Tabela11[[#This Row],[Tag do Cabo]],BD!A:AJ,35,0)=0,"Pendente",VLOOKUP(Tabela11[[#This Row],[Tag do Cabo]],BD!A:AJ,35,0))</f>
        <v>Não Localizado</v>
      </c>
      <c r="G119" s="3" t="str">
        <f>IF(VLOOKUP(Tabela11[[#This Row],[Tag do Cabo]],BD!A:AJ,36,0)=0,"Pendente",VLOOKUP(Tabela11[[#This Row],[Tag do Cabo]],BD!A:AJ,36,0))</f>
        <v>-</v>
      </c>
      <c r="H119" s="391" t="str">
        <f>VLOOKUP(Tabela11[[#This Row],[Tag do Cabo]],BD!A:AJ,32,0)</f>
        <v>7HV</v>
      </c>
      <c r="I119" s="7" t="str">
        <f>VLOOKUP(Tabela11[[#This Row],[Tag do Cabo]],BD!A:AJ,11,0)</f>
        <v>CELLAR AREA (CL-7HV)</v>
      </c>
      <c r="J119" s="3" t="str">
        <f>VLOOKUP(Tabela11[[#This Row],[Tag do Cabo]],BD!A:AJ,12,0)</f>
        <v>E-HOUSE (GB-351-INV)</v>
      </c>
      <c r="K119" s="391" t="s">
        <v>1593</v>
      </c>
      <c r="L119" s="391" t="s">
        <v>687</v>
      </c>
      <c r="M119" s="3" t="str">
        <f>CONCATENATE(Tabela11[[#This Row],[Painel 1]]&amp;" "&amp;Tabela11[[#This Row],[Painel 2]])</f>
        <v>CL-7HV GB-351-INV</v>
      </c>
      <c r="N119" s="218">
        <v>2</v>
      </c>
      <c r="O119" s="391">
        <f>COUNTIF(Tabela12[Tag Cabo],Tabela11[[#This Row],[Tag do Cabo]])</f>
        <v>0</v>
      </c>
      <c r="P119" s="391" t="str">
        <f>IF(Tabela11[[#This Row],[Qtde Ligações]]&lt;&gt;Tabela11[[#This Row],[Qtde Anilhas]],"Ver","Ok")</f>
        <v>Ver</v>
      </c>
      <c r="Q119" s="391">
        <f>VLOOKUP(Tabela11[[#This Row],[Tag do Cabo]],BD!A:F,6,0)</f>
        <v>1.5</v>
      </c>
      <c r="R119" s="391">
        <f>SUMIF('Lançamento de Cabos'!AE:AE,Tabela11[[#This Row],[Tag do Cabo]],'Lançamento de Cabos'!AG:AG)</f>
        <v>2</v>
      </c>
      <c r="S119" s="28">
        <f>Tabela11[[#This Row],[Ligações Realizadas]]/Tabela11[[#This Row],[Qtde Ligações]]</f>
        <v>1</v>
      </c>
      <c r="T119" s="272">
        <f>IF(Tabela11[[#This Row],[Ligações Realizadas]]/Tabela11[[#This Row],[Qtde Ligações]]=0,0,IF(Tabela11[[#This Row],[Ligações Realizadas]]/Tabela11[[#This Row],[Qtde Ligações]]=1,ROUND(N119/2,0),"Ver Painel"))</f>
        <v>1</v>
      </c>
      <c r="U119" s="273">
        <f>IF(Tabela11[[#This Row],[Ligações Realizadas]]/Tabela11[[#This Row],[Qtde Ligações]]=0,0,IF(Tabela11[[#This Row],[Ligações Realizadas]]/Tabela11[[#This Row],[Qtde Ligações]]=1,ROUND(N119/2,0),"Ver Painel"))</f>
        <v>1</v>
      </c>
      <c r="V119" s="219" t="s">
        <v>1552</v>
      </c>
    </row>
    <row r="120" spans="1:22" hidden="1" x14ac:dyDescent="0.25">
      <c r="A120" s="34" t="s">
        <v>474</v>
      </c>
      <c r="B120" s="391" t="str">
        <f>VLOOKUP(Tabela11[[#This Row],[Tag do Cabo]],BD!A:AJ,2,0)</f>
        <v>Controle</v>
      </c>
      <c r="C120" s="3" t="str">
        <f>VLOOKUP(Tabela11[[#This Row],[Tag do Cabo]],BD!A:AJ,5,0)</f>
        <v>1x1x5xC#1,5</v>
      </c>
      <c r="D120" s="391" t="s">
        <v>1542</v>
      </c>
      <c r="E120" s="391" t="str">
        <f>VLOOKUP(Tabela11[[#This Row],[Tag do Cabo]],BD!A:T,20,0)</f>
        <v>E5WP000490-C-001-LC004</v>
      </c>
      <c r="F120" s="219" t="str">
        <f>IF(VLOOKUP(Tabela11[[#This Row],[Tag do Cabo]],BD!A:AJ,35,0)=0,"Pendente",VLOOKUP(Tabela11[[#This Row],[Tag do Cabo]],BD!A:AJ,35,0))</f>
        <v>Não Localizado</v>
      </c>
      <c r="G120" s="3" t="str">
        <f>IF(VLOOKUP(Tabela11[[#This Row],[Tag do Cabo]],BD!A:AJ,36,0)=0,"Pendente",VLOOKUP(Tabela11[[#This Row],[Tag do Cabo]],BD!A:AJ,36,0))</f>
        <v>-</v>
      </c>
      <c r="H120" s="391" t="str">
        <f>VLOOKUP(Tabela11[[#This Row],[Tag do Cabo]],BD!A:AJ,32,0)</f>
        <v>7HV</v>
      </c>
      <c r="I120" s="7" t="str">
        <f>VLOOKUP(Tabela11[[#This Row],[Tag do Cabo]],BD!A:AJ,11,0)</f>
        <v>CELLAR AREA (CL-7HV)</v>
      </c>
      <c r="J120" s="3" t="str">
        <f>VLOOKUP(Tabela11[[#This Row],[Tag do Cabo]],BD!A:AJ,12,0)</f>
        <v>E-HOUSE (GB-351-INV)</v>
      </c>
      <c r="K120" s="391" t="s">
        <v>1593</v>
      </c>
      <c r="L120" s="391" t="s">
        <v>687</v>
      </c>
      <c r="M120" s="3" t="str">
        <f>CONCATENATE(Tabela11[[#This Row],[Painel 1]]&amp;" "&amp;Tabela11[[#This Row],[Painel 2]])</f>
        <v>CL-7HV GB-351-INV</v>
      </c>
      <c r="N120" s="218">
        <v>2</v>
      </c>
      <c r="O120" s="391">
        <f>COUNTIF(Tabela12[Tag Cabo],Tabela11[[#This Row],[Tag do Cabo]])</f>
        <v>0</v>
      </c>
      <c r="P120" s="391" t="str">
        <f>IF(Tabela11[[#This Row],[Qtde Ligações]]&lt;&gt;Tabela11[[#This Row],[Qtde Anilhas]],"Ver","Ok")</f>
        <v>Ver</v>
      </c>
      <c r="Q120" s="391">
        <f>VLOOKUP(Tabela11[[#This Row],[Tag do Cabo]],BD!A:F,6,0)</f>
        <v>1.5</v>
      </c>
      <c r="R120" s="391">
        <f>SUMIF('Lançamento de Cabos'!AE:AE,Tabela11[[#This Row],[Tag do Cabo]],'Lançamento de Cabos'!AG:AG)</f>
        <v>2</v>
      </c>
      <c r="S120" s="28">
        <f>Tabela11[[#This Row],[Ligações Realizadas]]/Tabela11[[#This Row],[Qtde Ligações]]</f>
        <v>1</v>
      </c>
      <c r="T120" s="272">
        <f>IF(Tabela11[[#This Row],[Ligações Realizadas]]/Tabela11[[#This Row],[Qtde Ligações]]=0,0,IF(Tabela11[[#This Row],[Ligações Realizadas]]/Tabela11[[#This Row],[Qtde Ligações]]=1,ROUND(N120/2,0),"Ver Painel"))</f>
        <v>1</v>
      </c>
      <c r="U120" s="273">
        <f>IF(Tabela11[[#This Row],[Ligações Realizadas]]/Tabela11[[#This Row],[Qtde Ligações]]=0,0,IF(Tabela11[[#This Row],[Ligações Realizadas]]/Tabela11[[#This Row],[Qtde Ligações]]=1,ROUND(N120/2,0),"Ver Painel"))</f>
        <v>1</v>
      </c>
      <c r="V120" s="219" t="s">
        <v>1552</v>
      </c>
    </row>
    <row r="121" spans="1:22" hidden="1" x14ac:dyDescent="0.25">
      <c r="A121" s="34" t="s">
        <v>1170</v>
      </c>
      <c r="B121" s="391" t="str">
        <f>VLOOKUP(Tabela11[[#This Row],[Tag do Cabo]],BD!A:AJ,2,0)</f>
        <v>FO</v>
      </c>
      <c r="C121" s="3" t="str">
        <f>VLOOKUP(Tabela11[[#This Row],[Tag do Cabo]],BD!A:AJ,5,0)</f>
        <v>CORDÃO ÓPTICO</v>
      </c>
      <c r="D121" s="391" t="s">
        <v>1533</v>
      </c>
      <c r="E121" s="391" t="str">
        <f>VLOOKUP(Tabela11[[#This Row],[Tag do Cabo]],BD!A:T,20,0)</f>
        <v>BK-SP54-0900A-LC-74-00001_00000</v>
      </c>
      <c r="F121" s="222" t="str">
        <f>IF(VLOOKUP(Tabela11[[#This Row],[Tag do Cabo]],BD!A:AJ,35,0)=0,"Pendente",VLOOKUP(Tabela11[[#This Row],[Tag do Cabo]],BD!A:AJ,35,0))</f>
        <v>BK-SP54-0900B-DI-74-00450</v>
      </c>
      <c r="G121" s="3" t="str">
        <f>IF(VLOOKUP(Tabela11[[#This Row],[Tag do Cabo]],BD!A:AJ,36,0)=0,"Pendente",VLOOKUP(Tabela11[[#This Row],[Tag do Cabo]],BD!A:AJ,36,0))</f>
        <v>31</v>
      </c>
      <c r="H121" s="391" t="str">
        <f>VLOOKUP(Tabela11[[#This Row],[Tag do Cabo]],BD!A:AJ,32,0)</f>
        <v>CCSE</v>
      </c>
      <c r="I121" s="7" t="str">
        <f>VLOOKUP(Tabela11[[#This Row],[Tag do Cabo]],BD!A:AJ,11,0)</f>
        <v>CCSE/1CHA01</v>
      </c>
      <c r="J121" s="3" t="str">
        <f>VLOOKUP(Tabela11[[#This Row],[Tag do Cabo]],BD!A:AJ,12,0)</f>
        <v>TS1A</v>
      </c>
      <c r="K121" s="391" t="s">
        <v>1571</v>
      </c>
      <c r="L121" s="391"/>
      <c r="M121" s="3" t="str">
        <f>CONCATENATE(Tabela11[[#This Row],[Painel 1]]&amp;" "&amp;Tabela11[[#This Row],[Painel 2]])</f>
        <v xml:space="preserve">1CHA01 </v>
      </c>
      <c r="N121" s="218">
        <v>2</v>
      </c>
      <c r="O121" s="391" t="s">
        <v>92</v>
      </c>
      <c r="P121" s="391" t="s">
        <v>107</v>
      </c>
      <c r="Q121" s="391" t="str">
        <f>VLOOKUP(Tabela11[[#This Row],[Tag do Cabo]],BD!A:F,6,0)</f>
        <v>-</v>
      </c>
      <c r="R121" s="391">
        <f>SUMIF('Lançamento de Cabos'!AE:AE,Tabela11[[#This Row],[Tag do Cabo]],'Lançamento de Cabos'!AG:AG)</f>
        <v>0</v>
      </c>
      <c r="S121" s="28">
        <f>Tabela11[[#This Row],[Ligações Realizadas]]/Tabela11[[#This Row],[Qtde Ligações]]</f>
        <v>0</v>
      </c>
      <c r="T121" s="269">
        <f>IF(Tabela11[[#This Row],[Ligações Realizadas]]/Tabela11[[#This Row],[Qtde Ligações]]=0,0,IF(Tabela11[[#This Row],[Ligações Realizadas]]/Tabela11[[#This Row],[Qtde Ligações]]=1,ROUND(N121/2,0),"Ver Painel"))</f>
        <v>0</v>
      </c>
      <c r="U121" s="23">
        <f>IF(Tabela11[[#This Row],[Ligações Realizadas]]/Tabela11[[#This Row],[Qtde Ligações]]=0,0,IF(Tabela11[[#This Row],[Ligações Realizadas]]/Tabela11[[#This Row],[Qtde Ligações]]=1,ROUND(N121/2,0),"Ver Painel"))</f>
        <v>0</v>
      </c>
      <c r="V121" s="219"/>
    </row>
    <row r="122" spans="1:22" hidden="1" x14ac:dyDescent="0.25">
      <c r="A122" s="34" t="s">
        <v>1174</v>
      </c>
      <c r="B122" s="391" t="str">
        <f>VLOOKUP(Tabela11[[#This Row],[Tag do Cabo]],BD!A:AJ,2,0)</f>
        <v>FO</v>
      </c>
      <c r="C122" s="3" t="str">
        <f>VLOOKUP(Tabela11[[#This Row],[Tag do Cabo]],BD!A:AJ,5,0)</f>
        <v>CORDÃO ÓPTICO</v>
      </c>
      <c r="D122" s="391" t="s">
        <v>1533</v>
      </c>
      <c r="E122" s="391" t="str">
        <f>VLOOKUP(Tabela11[[#This Row],[Tag do Cabo]],BD!A:T,20,0)</f>
        <v>BK-SP54-0900A-LC-74-00001_00000</v>
      </c>
      <c r="F122" s="222" t="str">
        <f>IF(VLOOKUP(Tabela11[[#This Row],[Tag do Cabo]],BD!A:AJ,35,0)=0,"Pendente",VLOOKUP(Tabela11[[#This Row],[Tag do Cabo]],BD!A:AJ,35,0))</f>
        <v>BK-SP54-0900B-DI-74-00450</v>
      </c>
      <c r="G122" s="3" t="str">
        <f>IF(VLOOKUP(Tabela11[[#This Row],[Tag do Cabo]],BD!A:AJ,36,0)=0,"Pendente",VLOOKUP(Tabela11[[#This Row],[Tag do Cabo]],BD!A:AJ,36,0))</f>
        <v>31</v>
      </c>
      <c r="H122" s="391" t="str">
        <f>VLOOKUP(Tabela11[[#This Row],[Tag do Cabo]],BD!A:AJ,32,0)</f>
        <v>CCSE</v>
      </c>
      <c r="I122" s="7" t="str">
        <f>VLOOKUP(Tabela11[[#This Row],[Tag do Cabo]],BD!A:AJ,11,0)</f>
        <v>CCSE/1CHA01</v>
      </c>
      <c r="J122" s="3" t="str">
        <f>VLOOKUP(Tabela11[[#This Row],[Tag do Cabo]],BD!A:AJ,12,0)</f>
        <v>TS1P</v>
      </c>
      <c r="K122" s="391" t="s">
        <v>1571</v>
      </c>
      <c r="L122" s="391"/>
      <c r="M122" s="3" t="str">
        <f>CONCATENATE(Tabela11[[#This Row],[Painel 1]]&amp;" "&amp;Tabela11[[#This Row],[Painel 2]])</f>
        <v xml:space="preserve">1CHA01 </v>
      </c>
      <c r="N122" s="218">
        <v>2</v>
      </c>
      <c r="O122" s="391" t="s">
        <v>92</v>
      </c>
      <c r="P122" s="391" t="s">
        <v>107</v>
      </c>
      <c r="Q122" s="391" t="str">
        <f>VLOOKUP(Tabela11[[#This Row],[Tag do Cabo]],BD!A:F,6,0)</f>
        <v>-</v>
      </c>
      <c r="R122" s="391">
        <f>SUMIF('Lançamento de Cabos'!AE:AE,Tabela11[[#This Row],[Tag do Cabo]],'Lançamento de Cabos'!AG:AG)</f>
        <v>0</v>
      </c>
      <c r="S122" s="28">
        <f>Tabela11[[#This Row],[Ligações Realizadas]]/Tabela11[[#This Row],[Qtde Ligações]]</f>
        <v>0</v>
      </c>
      <c r="T122" s="269">
        <f>IF(Tabela11[[#This Row],[Ligações Realizadas]]/Tabela11[[#This Row],[Qtde Ligações]]=0,0,IF(Tabela11[[#This Row],[Ligações Realizadas]]/Tabela11[[#This Row],[Qtde Ligações]]=1,ROUND(N122/2,0),"Ver Painel"))</f>
        <v>0</v>
      </c>
      <c r="U122" s="23">
        <f>IF(Tabela11[[#This Row],[Ligações Realizadas]]/Tabela11[[#This Row],[Qtde Ligações]]=0,0,IF(Tabela11[[#This Row],[Ligações Realizadas]]/Tabela11[[#This Row],[Qtde Ligações]]=1,ROUND(N122/2,0),"Ver Painel"))</f>
        <v>0</v>
      </c>
      <c r="V122" s="219"/>
    </row>
    <row r="123" spans="1:22" hidden="1" x14ac:dyDescent="0.25">
      <c r="A123" s="34" t="s">
        <v>1038</v>
      </c>
      <c r="B123" s="391" t="str">
        <f>VLOOKUP(Tabela11[[#This Row],[Tag do Cabo]],BD!A:AJ,2,0)</f>
        <v>Rede</v>
      </c>
      <c r="C123" s="3" t="str">
        <f>VLOOKUP(Tabela11[[#This Row],[Tag do Cabo]],BD!A:AJ,5,0)</f>
        <v>CABO ETHERNET</v>
      </c>
      <c r="D123" s="391" t="s">
        <v>1533</v>
      </c>
      <c r="E123" s="391" t="str">
        <f>VLOOKUP(Tabela11[[#This Row],[Tag do Cabo]],BD!A:T,20,0)</f>
        <v>BK-SP54-0900A-LC-74-00001_00000</v>
      </c>
      <c r="F123" s="222" t="str">
        <f>IF(VLOOKUP(Tabela11[[#This Row],[Tag do Cabo]],BD!A:AJ,35,0)=0,"Pendente",VLOOKUP(Tabela11[[#This Row],[Tag do Cabo]],BD!A:AJ,35,0))</f>
        <v>BK-SP54-0900B-DI-74-00450</v>
      </c>
      <c r="G123" s="3" t="str">
        <f>IF(VLOOKUP(Tabela11[[#This Row],[Tag do Cabo]],BD!A:AJ,36,0)=0,"Pendente",VLOOKUP(Tabela11[[#This Row],[Tag do Cabo]],BD!A:AJ,36,0))</f>
        <v>32</v>
      </c>
      <c r="H123" s="391" t="str">
        <f>VLOOKUP(Tabela11[[#This Row],[Tag do Cabo]],BD!A:AJ,32,0)</f>
        <v>CCO</v>
      </c>
      <c r="I123" s="7" t="str">
        <f>VLOOKUP(Tabela11[[#This Row],[Tag do Cabo]],BD!A:AJ,11,0)</f>
        <v>SALA SERVIDORES-CONV1</v>
      </c>
      <c r="J123" s="3" t="str">
        <f>VLOOKUP(Tabela11[[#This Row],[Tag do Cabo]],BD!A:AJ,12,0)</f>
        <v>SALA SERVIDORES-SCC1 -SERVIDOR</v>
      </c>
      <c r="K123" s="391"/>
      <c r="L123" s="391"/>
      <c r="M123" s="3" t="str">
        <f>CONCATENATE(Tabela11[[#This Row],[Painel 1]]&amp;" "&amp;Tabela11[[#This Row],[Painel 2]])</f>
        <v xml:space="preserve"> </v>
      </c>
      <c r="N123" s="218">
        <v>2</v>
      </c>
      <c r="O123" s="391" t="s">
        <v>92</v>
      </c>
      <c r="P123" s="391" t="s">
        <v>107</v>
      </c>
      <c r="Q123" s="391" t="str">
        <f>VLOOKUP(Tabela11[[#This Row],[Tag do Cabo]],BD!A:F,6,0)</f>
        <v>-</v>
      </c>
      <c r="R123" s="391">
        <f>SUMIF('Lançamento de Cabos'!AE:AE,Tabela11[[#This Row],[Tag do Cabo]],'Lançamento de Cabos'!AG:AG)</f>
        <v>0</v>
      </c>
      <c r="S123" s="28">
        <f>Tabela11[[#This Row],[Ligações Realizadas]]/Tabela11[[#This Row],[Qtde Ligações]]</f>
        <v>0</v>
      </c>
      <c r="T123" s="269">
        <f>IF(Tabela11[[#This Row],[Ligações Realizadas]]/Tabela11[[#This Row],[Qtde Ligações]]=0,0,IF(Tabela11[[#This Row],[Ligações Realizadas]]/Tabela11[[#This Row],[Qtde Ligações]]=1,ROUND(N123/2,0),"Ver Painel"))</f>
        <v>0</v>
      </c>
      <c r="U123" s="23">
        <f>IF(Tabela11[[#This Row],[Ligações Realizadas]]/Tabela11[[#This Row],[Qtde Ligações]]=0,0,IF(Tabela11[[#This Row],[Ligações Realizadas]]/Tabela11[[#This Row],[Qtde Ligações]]=1,ROUND(N123/2,0),"Ver Painel"))</f>
        <v>0</v>
      </c>
      <c r="V123" s="219"/>
    </row>
    <row r="124" spans="1:22" hidden="1" x14ac:dyDescent="0.25">
      <c r="A124" s="34" t="s">
        <v>894</v>
      </c>
      <c r="B124" s="391" t="str">
        <f>VLOOKUP(Tabela11[[#This Row],[Tag do Cabo]],BD!A:AJ,2,0)</f>
        <v>FO</v>
      </c>
      <c r="C124" s="3" t="str">
        <f>VLOOKUP(Tabela11[[#This Row],[Tag do Cabo]],BD!A:AJ,5,0)</f>
        <v>CORDÃO ÓPTICO</v>
      </c>
      <c r="D124" s="391" t="s">
        <v>1533</v>
      </c>
      <c r="E124" s="391" t="str">
        <f>VLOOKUP(Tabela11[[#This Row],[Tag do Cabo]],BD!A:T,20,0)</f>
        <v>BK-SP54-0900A-LC-74-00001_00000</v>
      </c>
      <c r="F124" s="222" t="str">
        <f>IF(VLOOKUP(Tabela11[[#This Row],[Tag do Cabo]],BD!A:AJ,35,0)=0,"Pendente",VLOOKUP(Tabela11[[#This Row],[Tag do Cabo]],BD!A:AJ,35,0))</f>
        <v>BK-SP54-0900B-DI-74-00450</v>
      </c>
      <c r="G124" s="3" t="str">
        <f>IF(VLOOKUP(Tabela11[[#This Row],[Tag do Cabo]],BD!A:AJ,36,0)=0,"Pendente",VLOOKUP(Tabela11[[#This Row],[Tag do Cabo]],BD!A:AJ,36,0))</f>
        <v>13</v>
      </c>
      <c r="H124" s="391" t="str">
        <f>VLOOKUP(Tabela11[[#This Row],[Tag do Cabo]],BD!A:AJ,32,0)</f>
        <v>8HV</v>
      </c>
      <c r="I124" s="7" t="str">
        <f>VLOOKUP(Tabela11[[#This Row],[Tag do Cabo]],BD!A:AJ,11,0)</f>
        <v>PSDC1-DIO2</v>
      </c>
      <c r="J124" s="3" t="str">
        <f>VLOOKUP(Tabela11[[#This Row],[Tag do Cabo]],BD!A:AJ,12,0)</f>
        <v>PSINC2-USINC2A</v>
      </c>
      <c r="K124" s="391" t="s">
        <v>1566</v>
      </c>
      <c r="L124" s="391" t="s">
        <v>1578</v>
      </c>
      <c r="M124" s="3" t="str">
        <f>CONCATENATE(Tabela11[[#This Row],[Painel 1]]&amp;" "&amp;Tabela11[[#This Row],[Painel 2]])</f>
        <v>PSDC1 PSINC2</v>
      </c>
      <c r="N124" s="157">
        <v>2</v>
      </c>
      <c r="O124" s="391" t="s">
        <v>92</v>
      </c>
      <c r="P124" s="391" t="s">
        <v>107</v>
      </c>
      <c r="Q124" s="391" t="str">
        <f>VLOOKUP(Tabela11[[#This Row],[Tag do Cabo]],BD!A:F,6,0)</f>
        <v>-</v>
      </c>
      <c r="R124" s="391">
        <f>SUMIF('Lançamento de Cabos'!AE:AE,Tabela11[[#This Row],[Tag do Cabo]],'Lançamento de Cabos'!AG:AG)</f>
        <v>0</v>
      </c>
      <c r="S124" s="28">
        <f>Tabela11[[#This Row],[Ligações Realizadas]]/Tabela11[[#This Row],[Qtde Ligações]]</f>
        <v>0</v>
      </c>
      <c r="T124" s="269">
        <f>IF(Tabela11[[#This Row],[Ligações Realizadas]]/Tabela11[[#This Row],[Qtde Ligações]]=0,0,IF(Tabela11[[#This Row],[Ligações Realizadas]]/Tabela11[[#This Row],[Qtde Ligações]]=1,ROUND(N124/2,0),"Ver Painel"))</f>
        <v>0</v>
      </c>
      <c r="U124" s="23">
        <f>IF(Tabela11[[#This Row],[Ligações Realizadas]]/Tabela11[[#This Row],[Qtde Ligações]]=0,0,IF(Tabela11[[#This Row],[Ligações Realizadas]]/Tabela11[[#This Row],[Qtde Ligações]]=1,ROUND(N124/2,0),"Ver Painel"))</f>
        <v>0</v>
      </c>
      <c r="V124" s="222"/>
    </row>
    <row r="125" spans="1:22" hidden="1" x14ac:dyDescent="0.25">
      <c r="A125" s="34" t="s">
        <v>1039</v>
      </c>
      <c r="B125" s="391" t="str">
        <f>VLOOKUP(Tabela11[[#This Row],[Tag do Cabo]],BD!A:AJ,2,0)</f>
        <v>Rede</v>
      </c>
      <c r="C125" s="3" t="str">
        <f>VLOOKUP(Tabela11[[#This Row],[Tag do Cabo]],BD!A:AJ,5,0)</f>
        <v>CABO ETHERNET</v>
      </c>
      <c r="D125" s="391" t="s">
        <v>1533</v>
      </c>
      <c r="E125" s="391" t="str">
        <f>VLOOKUP(Tabela11[[#This Row],[Tag do Cabo]],BD!A:T,20,0)</f>
        <v>BK-SP54-0900A-LC-74-00001_00000</v>
      </c>
      <c r="F125" s="222" t="str">
        <f>IF(VLOOKUP(Tabela11[[#This Row],[Tag do Cabo]],BD!A:AJ,35,0)=0,"Pendente",VLOOKUP(Tabela11[[#This Row],[Tag do Cabo]],BD!A:AJ,35,0))</f>
        <v>BK-SP54-0900B-DI-74-00450</v>
      </c>
      <c r="G125" s="3" t="str">
        <f>IF(VLOOKUP(Tabela11[[#This Row],[Tag do Cabo]],BD!A:AJ,36,0)=0,"Pendente",VLOOKUP(Tabela11[[#This Row],[Tag do Cabo]],BD!A:AJ,36,0))</f>
        <v>32</v>
      </c>
      <c r="H125" s="391" t="str">
        <f>VLOOKUP(Tabela11[[#This Row],[Tag do Cabo]],BD!A:AJ,32,0)</f>
        <v>CCO</v>
      </c>
      <c r="I125" s="7" t="str">
        <f>VLOOKUP(Tabela11[[#This Row],[Tag do Cabo]],BD!A:AJ,11,0)</f>
        <v>SALA SERVIDORES-CONV2</v>
      </c>
      <c r="J125" s="3" t="str">
        <f>VLOOKUP(Tabela11[[#This Row],[Tag do Cabo]],BD!A:AJ,12,0)</f>
        <v>SALA SERVIDORES-SCC1 -SERVIDOR</v>
      </c>
      <c r="K125" s="391"/>
      <c r="L125" s="391"/>
      <c r="M125" s="3" t="str">
        <f>CONCATENATE(Tabela11[[#This Row],[Painel 1]]&amp;" "&amp;Tabela11[[#This Row],[Painel 2]])</f>
        <v xml:space="preserve"> </v>
      </c>
      <c r="N125" s="218">
        <v>2</v>
      </c>
      <c r="O125" s="391" t="s">
        <v>92</v>
      </c>
      <c r="P125" s="391" t="s">
        <v>107</v>
      </c>
      <c r="Q125" s="391" t="str">
        <f>VLOOKUP(Tabela11[[#This Row],[Tag do Cabo]],BD!A:F,6,0)</f>
        <v>-</v>
      </c>
      <c r="R125" s="391">
        <f>SUMIF('Lançamento de Cabos'!AE:AE,Tabela11[[#This Row],[Tag do Cabo]],'Lançamento de Cabos'!AG:AG)</f>
        <v>0</v>
      </c>
      <c r="S125" s="28">
        <f>Tabela11[[#This Row],[Ligações Realizadas]]/Tabela11[[#This Row],[Qtde Ligações]]</f>
        <v>0</v>
      </c>
      <c r="T125" s="269">
        <f>IF(Tabela11[[#This Row],[Ligações Realizadas]]/Tabela11[[#This Row],[Qtde Ligações]]=0,0,IF(Tabela11[[#This Row],[Ligações Realizadas]]/Tabela11[[#This Row],[Qtde Ligações]]=1,ROUND(N125/2,0),"Ver Painel"))</f>
        <v>0</v>
      </c>
      <c r="U125" s="23">
        <f>IF(Tabela11[[#This Row],[Ligações Realizadas]]/Tabela11[[#This Row],[Qtde Ligações]]=0,0,IF(Tabela11[[#This Row],[Ligações Realizadas]]/Tabela11[[#This Row],[Qtde Ligações]]=1,ROUND(N125/2,0),"Ver Painel"))</f>
        <v>0</v>
      </c>
      <c r="V125" s="219"/>
    </row>
    <row r="126" spans="1:22" hidden="1" x14ac:dyDescent="0.25">
      <c r="A126" s="34" t="s">
        <v>1027</v>
      </c>
      <c r="B126" s="391" t="str">
        <f>VLOOKUP(Tabela11[[#This Row],[Tag do Cabo]],BD!A:AJ,2,0)</f>
        <v>Rede</v>
      </c>
      <c r="C126" s="3" t="str">
        <f>VLOOKUP(Tabela11[[#This Row],[Tag do Cabo]],BD!A:AJ,5,0)</f>
        <v>CABO ETHERNET</v>
      </c>
      <c r="D126" s="391" t="s">
        <v>1533</v>
      </c>
      <c r="E126" s="391" t="str">
        <f>VLOOKUP(Tabela11[[#This Row],[Tag do Cabo]],BD!A:T,20,0)</f>
        <v>BK-SP54-0900A-LC-74-00001_00000</v>
      </c>
      <c r="F126" s="222" t="str">
        <f>IF(VLOOKUP(Tabela11[[#This Row],[Tag do Cabo]],BD!A:AJ,35,0)=0,"Pendente",VLOOKUP(Tabela11[[#This Row],[Tag do Cabo]],BD!A:AJ,35,0))</f>
        <v>BK-SP54-0900B-DI-74-00450</v>
      </c>
      <c r="G126" s="3" t="str">
        <f>IF(VLOOKUP(Tabela11[[#This Row],[Tag do Cabo]],BD!A:AJ,36,0)=0,"Pendente",VLOOKUP(Tabela11[[#This Row],[Tag do Cabo]],BD!A:AJ,36,0))</f>
        <v>32</v>
      </c>
      <c r="H126" s="391" t="str">
        <f>VLOOKUP(Tabela11[[#This Row],[Tag do Cabo]],BD!A:AJ,32,0)</f>
        <v>CCO</v>
      </c>
      <c r="I126" s="7" t="str">
        <f>VLOOKUP(Tabela11[[#This Row],[Tag do Cabo]],BD!A:AJ,11,0)</f>
        <v>MESA DE OPERAÇÃO-THIN CLIENT</v>
      </c>
      <c r="J126" s="3" t="str">
        <f>VLOOKUP(Tabela11[[#This Row],[Tag do Cabo]],BD!A:AJ,12,0)</f>
        <v>SALA SERVIDORES-SCC1 -SERVIDOR</v>
      </c>
      <c r="K126" s="391"/>
      <c r="L126" s="391"/>
      <c r="M126" s="3" t="str">
        <f>CONCATENATE(Tabela11[[#This Row],[Painel 1]]&amp;" "&amp;Tabela11[[#This Row],[Painel 2]])</f>
        <v xml:space="preserve"> </v>
      </c>
      <c r="N126" s="218">
        <v>2</v>
      </c>
      <c r="O126" s="391" t="s">
        <v>92</v>
      </c>
      <c r="P126" s="391" t="s">
        <v>107</v>
      </c>
      <c r="Q126" s="391" t="str">
        <f>VLOOKUP(Tabela11[[#This Row],[Tag do Cabo]],BD!A:F,6,0)</f>
        <v>-</v>
      </c>
      <c r="R126" s="391">
        <f>SUMIF('Lançamento de Cabos'!AE:AE,Tabela11[[#This Row],[Tag do Cabo]],'Lançamento de Cabos'!AG:AG)</f>
        <v>0</v>
      </c>
      <c r="S126" s="28">
        <f>Tabela11[[#This Row],[Ligações Realizadas]]/Tabela11[[#This Row],[Qtde Ligações]]</f>
        <v>0</v>
      </c>
      <c r="T126" s="269">
        <f>IF(Tabela11[[#This Row],[Ligações Realizadas]]/Tabela11[[#This Row],[Qtde Ligações]]=0,0,IF(Tabela11[[#This Row],[Ligações Realizadas]]/Tabela11[[#This Row],[Qtde Ligações]]=1,ROUND(N126/2,0),"Ver Painel"))</f>
        <v>0</v>
      </c>
      <c r="U126" s="23">
        <f>IF(Tabela11[[#This Row],[Ligações Realizadas]]/Tabela11[[#This Row],[Qtde Ligações]]=0,0,IF(Tabela11[[#This Row],[Ligações Realizadas]]/Tabela11[[#This Row],[Qtde Ligações]]=1,ROUND(N126/2,0),"Ver Painel"))</f>
        <v>0</v>
      </c>
      <c r="V126" s="219"/>
    </row>
    <row r="127" spans="1:22" hidden="1" x14ac:dyDescent="0.25">
      <c r="A127" s="34" t="s">
        <v>1176</v>
      </c>
      <c r="B127" s="391" t="str">
        <f>VLOOKUP(Tabela11[[#This Row],[Tag do Cabo]],BD!A:AJ,2,0)</f>
        <v>Rede</v>
      </c>
      <c r="C127" s="3" t="str">
        <f>VLOOKUP(Tabela11[[#This Row],[Tag do Cabo]],BD!A:AJ,5,0)</f>
        <v>CABO ETHERNET</v>
      </c>
      <c r="D127" s="391" t="s">
        <v>1533</v>
      </c>
      <c r="E127" s="391" t="str">
        <f>VLOOKUP(Tabela11[[#This Row],[Tag do Cabo]],BD!A:T,20,0)</f>
        <v>BK-SP54-0900A-LC-74-00001_00000</v>
      </c>
      <c r="F127" s="222" t="str">
        <f>IF(VLOOKUP(Tabela11[[#This Row],[Tag do Cabo]],BD!A:AJ,35,0)=0,"Pendente",VLOOKUP(Tabela11[[#This Row],[Tag do Cabo]],BD!A:AJ,35,0))</f>
        <v>BK-SP54-0900B-DI-74-00450</v>
      </c>
      <c r="G127" s="3" t="str">
        <f>IF(VLOOKUP(Tabela11[[#This Row],[Tag do Cabo]],BD!A:AJ,36,0)=0,"Pendente",VLOOKUP(Tabela11[[#This Row],[Tag do Cabo]],BD!A:AJ,36,0))</f>
        <v>29,31</v>
      </c>
      <c r="H127" s="391" t="str">
        <f>VLOOKUP(Tabela11[[#This Row],[Tag do Cabo]],BD!A:AJ,32,0)</f>
        <v>CCSEx1HV</v>
      </c>
      <c r="I127" s="7" t="str">
        <f>VLOOKUP(Tabela11[[#This Row],[Tag do Cabo]],BD!A:AJ,11,0)</f>
        <v>MESA DE OPERAÇÃO-SCC2 - SERVIDOR</v>
      </c>
      <c r="J127" s="3" t="str">
        <f>VLOOKUP(Tabela11[[#This Row],[Tag do Cabo]],BD!A:AJ,12,0)</f>
        <v>PSDC2-SW1</v>
      </c>
      <c r="K127" s="391"/>
      <c r="L127" s="391" t="s">
        <v>1535</v>
      </c>
      <c r="M127" s="3" t="str">
        <f>CONCATENATE(Tabela11[[#This Row],[Painel 1]]&amp;" "&amp;Tabela11[[#This Row],[Painel 2]])</f>
        <v xml:space="preserve"> PSDC2</v>
      </c>
      <c r="N127" s="218">
        <v>2</v>
      </c>
      <c r="O127" s="391" t="s">
        <v>92</v>
      </c>
      <c r="P127" s="391" t="s">
        <v>107</v>
      </c>
      <c r="Q127" s="391" t="str">
        <f>VLOOKUP(Tabela11[[#This Row],[Tag do Cabo]],BD!A:F,6,0)</f>
        <v>-</v>
      </c>
      <c r="R127" s="391">
        <f>SUMIF('Lançamento de Cabos'!AE:AE,Tabela11[[#This Row],[Tag do Cabo]],'Lançamento de Cabos'!AG:AG)</f>
        <v>0</v>
      </c>
      <c r="S127" s="28">
        <f>Tabela11[[#This Row],[Ligações Realizadas]]/Tabela11[[#This Row],[Qtde Ligações]]</f>
        <v>0</v>
      </c>
      <c r="T127" s="269">
        <f>IF(Tabela11[[#This Row],[Ligações Realizadas]]/Tabela11[[#This Row],[Qtde Ligações]]=0,0,IF(Tabela11[[#This Row],[Ligações Realizadas]]/Tabela11[[#This Row],[Qtde Ligações]]=1,ROUND(N127/2,0),"Ver Painel"))</f>
        <v>0</v>
      </c>
      <c r="U127" s="23">
        <f>IF(Tabela11[[#This Row],[Ligações Realizadas]]/Tabela11[[#This Row],[Qtde Ligações]]=0,0,IF(Tabela11[[#This Row],[Ligações Realizadas]]/Tabela11[[#This Row],[Qtde Ligações]]=1,ROUND(N127/2,0),"Ver Painel"))</f>
        <v>0</v>
      </c>
      <c r="V127" s="219"/>
    </row>
    <row r="128" spans="1:22" hidden="1" x14ac:dyDescent="0.25">
      <c r="A128" s="34" t="s">
        <v>1181</v>
      </c>
      <c r="B128" s="391" t="str">
        <f>VLOOKUP(Tabela11[[#This Row],[Tag do Cabo]],BD!A:AJ,2,0)</f>
        <v>Rede</v>
      </c>
      <c r="C128" s="3" t="str">
        <f>VLOOKUP(Tabela11[[#This Row],[Tag do Cabo]],BD!A:AJ,5,0)</f>
        <v>CABO ETHERNET</v>
      </c>
      <c r="D128" s="391" t="s">
        <v>1533</v>
      </c>
      <c r="E128" s="391" t="str">
        <f>VLOOKUP(Tabela11[[#This Row],[Tag do Cabo]],BD!A:T,20,0)</f>
        <v>BK-SP54-0900A-LC-74-00001_00000</v>
      </c>
      <c r="F128" s="222" t="str">
        <f>IF(VLOOKUP(Tabela11[[#This Row],[Tag do Cabo]],BD!A:AJ,35,0)=0,"Pendente",VLOOKUP(Tabela11[[#This Row],[Tag do Cabo]],BD!A:AJ,35,0))</f>
        <v>BK-SP54-0900B-DI-74-00450</v>
      </c>
      <c r="G128" s="3" t="str">
        <f>IF(VLOOKUP(Tabela11[[#This Row],[Tag do Cabo]],BD!A:AJ,36,0)=0,"Pendente",VLOOKUP(Tabela11[[#This Row],[Tag do Cabo]],BD!A:AJ,36,0))</f>
        <v>29,31</v>
      </c>
      <c r="H128" s="391" t="str">
        <f>VLOOKUP(Tabela11[[#This Row],[Tag do Cabo]],BD!A:AJ,32,0)</f>
        <v>CCSEx1HV</v>
      </c>
      <c r="I128" s="7" t="str">
        <f>VLOOKUP(Tabela11[[#This Row],[Tag do Cabo]],BD!A:AJ,11,0)</f>
        <v>MESA DE OPERAÇÃO-SCC2 - SERVIDOR</v>
      </c>
      <c r="J128" s="3" t="str">
        <f>VLOOKUP(Tabela11[[#This Row],[Tag do Cabo]],BD!A:AJ,12,0)</f>
        <v>PSDC2-SW2</v>
      </c>
      <c r="K128" s="391"/>
      <c r="L128" s="391" t="s">
        <v>1535</v>
      </c>
      <c r="M128" s="3" t="str">
        <f>CONCATENATE(Tabela11[[#This Row],[Painel 1]]&amp;" "&amp;Tabela11[[#This Row],[Painel 2]])</f>
        <v xml:space="preserve"> PSDC2</v>
      </c>
      <c r="N128" s="218">
        <v>2</v>
      </c>
      <c r="O128" s="391" t="s">
        <v>92</v>
      </c>
      <c r="P128" s="391" t="s">
        <v>107</v>
      </c>
      <c r="Q128" s="391" t="str">
        <f>VLOOKUP(Tabela11[[#This Row],[Tag do Cabo]],BD!A:F,6,0)</f>
        <v>-</v>
      </c>
      <c r="R128" s="391">
        <f>SUMIF('Lançamento de Cabos'!AE:AE,Tabela11[[#This Row],[Tag do Cabo]],'Lançamento de Cabos'!AG:AG)</f>
        <v>0</v>
      </c>
      <c r="S128" s="28">
        <f>Tabela11[[#This Row],[Ligações Realizadas]]/Tabela11[[#This Row],[Qtde Ligações]]</f>
        <v>0</v>
      </c>
      <c r="T128" s="269">
        <f>IF(Tabela11[[#This Row],[Ligações Realizadas]]/Tabela11[[#This Row],[Qtde Ligações]]=0,0,IF(Tabela11[[#This Row],[Ligações Realizadas]]/Tabela11[[#This Row],[Qtde Ligações]]=1,ROUND(N128/2,0),"Ver Painel"))</f>
        <v>0</v>
      </c>
      <c r="U128" s="23">
        <f>IF(Tabela11[[#This Row],[Ligações Realizadas]]/Tabela11[[#This Row],[Qtde Ligações]]=0,0,IF(Tabela11[[#This Row],[Ligações Realizadas]]/Tabela11[[#This Row],[Qtde Ligações]]=1,ROUND(N128/2,0),"Ver Painel"))</f>
        <v>0</v>
      </c>
      <c r="V128" s="219"/>
    </row>
    <row r="129" spans="1:22" hidden="1" x14ac:dyDescent="0.25">
      <c r="A129" s="34" t="s">
        <v>144</v>
      </c>
      <c r="B129" s="391" t="str">
        <f>VLOOKUP(Tabela11[[#This Row],[Tag do Cabo]],BD!A:AJ,2,0)</f>
        <v>Controle</v>
      </c>
      <c r="C129" s="3" t="str">
        <f>VLOOKUP(Tabela11[[#This Row],[Tag do Cabo]],BD!A:AJ,5,0)</f>
        <v>1x1x7/C#2,5</v>
      </c>
      <c r="D129" s="391" t="s">
        <v>1533</v>
      </c>
      <c r="E129" s="391" t="str">
        <f>VLOOKUP(Tabela11[[#This Row],[Tag do Cabo]],BD!A:T,20,0)</f>
        <v>BK-SP54-0900A-LC-74-00001_00000</v>
      </c>
      <c r="F129" s="222" t="str">
        <f>IF(VLOOKUP(Tabela11[[#This Row],[Tag do Cabo]],BD!A:AJ,35,0)=0,"Pendente",VLOOKUP(Tabela11[[#This Row],[Tag do Cabo]],BD!A:AJ,35,0))</f>
        <v>BK-SP54-0900B-DI-74-00450</v>
      </c>
      <c r="G129" s="3" t="str">
        <f>IF(VLOOKUP(Tabela11[[#This Row],[Tag do Cabo]],BD!A:AJ,36,0)=0,"Pendente",VLOOKUP(Tabela11[[#This Row],[Tag do Cabo]],BD!A:AJ,36,0))</f>
        <v>26</v>
      </c>
      <c r="H129" s="391" t="str">
        <f>VLOOKUP(Tabela11[[#This Row],[Tag do Cabo]],BD!A:AJ,32,0)</f>
        <v>1HV</v>
      </c>
      <c r="I129" s="7" t="str">
        <f>VLOOKUP(Tabela11[[#This Row],[Tag do Cabo]],BD!A:AJ,11,0)</f>
        <v>PSDC2 - PAINEL DE REJEICAO DE CARGAS 2 - regua BNC</v>
      </c>
      <c r="J129" s="3" t="str">
        <f>VLOOKUP(Tabela11[[#This Row],[Tag do Cabo]],BD!A:AJ,12,0)</f>
        <v>DJ. 1HV-24HV1</v>
      </c>
      <c r="K129" s="391" t="s">
        <v>1535</v>
      </c>
      <c r="L129" s="391" t="s">
        <v>147</v>
      </c>
      <c r="M129" s="3" t="str">
        <f>CONCATENATE(Tabela11[[#This Row],[Painel 1]]&amp;" "&amp;Tabela11[[#This Row],[Painel 2]])</f>
        <v>PSDC2 DJ. 1HV-24HV1</v>
      </c>
      <c r="N129" s="218">
        <v>14</v>
      </c>
      <c r="O129" s="391">
        <f>COUNTIF(Tabela12[Tag Cabo],Tabela11[[#This Row],[Tag do Cabo]])</f>
        <v>0</v>
      </c>
      <c r="P129" s="391" t="str">
        <f>IF(Tabela11[[#This Row],[Qtde Ligações]]&lt;&gt;Tabela11[[#This Row],[Qtde Anilhas]],"Ver","Ok")</f>
        <v>Ver</v>
      </c>
      <c r="Q129" s="391">
        <f>VLOOKUP(Tabela11[[#This Row],[Tag do Cabo]],BD!A:F,6,0)</f>
        <v>2.5</v>
      </c>
      <c r="R129" s="391">
        <f>SUMIF('Lançamento de Cabos'!AE:AE,Tabela11[[#This Row],[Tag do Cabo]],'Lançamento de Cabos'!AG:AG)</f>
        <v>0</v>
      </c>
      <c r="S129" s="28">
        <f>Tabela11[[#This Row],[Ligações Realizadas]]/Tabela11[[#This Row],[Qtde Ligações]]</f>
        <v>0</v>
      </c>
      <c r="T129" s="269">
        <f>IF(Tabela11[[#This Row],[Ligações Realizadas]]/Tabela11[[#This Row],[Qtde Ligações]]=0,0,IF(Tabela11[[#This Row],[Ligações Realizadas]]/Tabela11[[#This Row],[Qtde Ligações]]=1,ROUND(N129/2,0),"Ver Painel"))</f>
        <v>0</v>
      </c>
      <c r="U129" s="23">
        <f>IF(Tabela11[[#This Row],[Ligações Realizadas]]/Tabela11[[#This Row],[Qtde Ligações]]=0,0,IF(Tabela11[[#This Row],[Ligações Realizadas]]/Tabela11[[#This Row],[Qtde Ligações]]=1,ROUND(N129/2,0),"Ver Painel"))</f>
        <v>0</v>
      </c>
      <c r="V129" s="219"/>
    </row>
    <row r="130" spans="1:22" hidden="1" x14ac:dyDescent="0.25">
      <c r="A130" s="34" t="s">
        <v>996</v>
      </c>
      <c r="B130" s="391" t="str">
        <f>VLOOKUP(Tabela11[[#This Row],[Tag do Cabo]],BD!A:AJ,2,0)</f>
        <v>Rede</v>
      </c>
      <c r="C130" s="3" t="str">
        <f>VLOOKUP(Tabela11[[#This Row],[Tag do Cabo]],BD!A:AJ,5,0)</f>
        <v>CABO ETHERNET</v>
      </c>
      <c r="D130" s="391" t="s">
        <v>1533</v>
      </c>
      <c r="E130" s="391" t="str">
        <f>VLOOKUP(Tabela11[[#This Row],[Tag do Cabo]],BD!A:T,20,0)</f>
        <v>BK-SP54-0900A-LC-74-00001_00000</v>
      </c>
      <c r="F130" s="219" t="str">
        <f>IF(VLOOKUP(Tabela11[[#This Row],[Tag do Cabo]],BD!A:AJ,35,0)=0,"Pendente",VLOOKUP(Tabela11[[#This Row],[Tag do Cabo]],BD!A:AJ,35,0))</f>
        <v>Não Localizado</v>
      </c>
      <c r="G130" s="3" t="str">
        <f>IF(VLOOKUP(Tabela11[[#This Row],[Tag do Cabo]],BD!A:AJ,36,0)=0,"Pendente",VLOOKUP(Tabela11[[#This Row],[Tag do Cabo]],BD!A:AJ,36,0))</f>
        <v>Pendente</v>
      </c>
      <c r="H130" s="391" t="str">
        <f>VLOOKUP(Tabela11[[#This Row],[Tag do Cabo]],BD!A:AJ,32,0)</f>
        <v>8HVxCOG</v>
      </c>
      <c r="I130" s="7" t="str">
        <f>VLOOKUP(Tabela11[[#This Row],[Tag do Cabo]],BD!A:AJ,11,0)</f>
        <v>PSDC1-SW1</v>
      </c>
      <c r="J130" s="3" t="str">
        <f>VLOOKUP(Tabela11[[#This Row],[Tag do Cabo]],BD!A:AJ,12,0)</f>
        <v>10CKN15-B010.05</v>
      </c>
      <c r="K130" s="391" t="s">
        <v>1566</v>
      </c>
      <c r="L130" s="391"/>
      <c r="M130" s="3" t="str">
        <f>CONCATENATE(Tabela11[[#This Row],[Painel 1]]&amp;" "&amp;Tabela11[[#This Row],[Painel 2]])</f>
        <v xml:space="preserve">PSDC1 </v>
      </c>
      <c r="N130" s="218">
        <v>2</v>
      </c>
      <c r="O130" s="391" t="s">
        <v>92</v>
      </c>
      <c r="P130" s="391" t="s">
        <v>107</v>
      </c>
      <c r="Q130" s="391" t="str">
        <f>VLOOKUP(Tabela11[[#This Row],[Tag do Cabo]],BD!A:F,6,0)</f>
        <v>-</v>
      </c>
      <c r="R130" s="391">
        <f>SUMIF('Lançamento de Cabos'!AE:AE,Tabela11[[#This Row],[Tag do Cabo]],'Lançamento de Cabos'!AG:AG)</f>
        <v>0</v>
      </c>
      <c r="S130" s="28">
        <f>Tabela11[[#This Row],[Ligações Realizadas]]/Tabela11[[#This Row],[Qtde Ligações]]</f>
        <v>0</v>
      </c>
      <c r="T130" s="269">
        <f>IF(Tabela11[[#This Row],[Ligações Realizadas]]/Tabela11[[#This Row],[Qtde Ligações]]=0,0,IF(Tabela11[[#This Row],[Ligações Realizadas]]/Tabela11[[#This Row],[Qtde Ligações]]=1,ROUND(N130/2,0),"Ver Painel"))</f>
        <v>0</v>
      </c>
      <c r="U130" s="23">
        <f>IF(Tabela11[[#This Row],[Ligações Realizadas]]/Tabela11[[#This Row],[Qtde Ligações]]=0,0,IF(Tabela11[[#This Row],[Ligações Realizadas]]/Tabela11[[#This Row],[Qtde Ligações]]=1,ROUND(N130/2,0),"Ver Painel"))</f>
        <v>0</v>
      </c>
      <c r="V130" s="219" t="s">
        <v>1552</v>
      </c>
    </row>
    <row r="131" spans="1:22" hidden="1" x14ac:dyDescent="0.25">
      <c r="A131" s="34" t="s">
        <v>999</v>
      </c>
      <c r="B131" s="391" t="str">
        <f>VLOOKUP(Tabela11[[#This Row],[Tag do Cabo]],BD!A:AJ,2,0)</f>
        <v>Rede</v>
      </c>
      <c r="C131" s="3" t="str">
        <f>VLOOKUP(Tabela11[[#This Row],[Tag do Cabo]],BD!A:AJ,5,0)</f>
        <v>CABO ETHERNET</v>
      </c>
      <c r="D131" s="391" t="s">
        <v>1533</v>
      </c>
      <c r="E131" s="391" t="str">
        <f>VLOOKUP(Tabela11[[#This Row],[Tag do Cabo]],BD!A:T,20,0)</f>
        <v>BK-SP54-0900A-LC-74-00001_00000</v>
      </c>
      <c r="F131" s="219" t="str">
        <f>IF(VLOOKUP(Tabela11[[#This Row],[Tag do Cabo]],BD!A:AJ,35,0)=0,"Pendente",VLOOKUP(Tabela11[[#This Row],[Tag do Cabo]],BD!A:AJ,35,0))</f>
        <v>Não Localizado</v>
      </c>
      <c r="G131" s="3" t="str">
        <f>IF(VLOOKUP(Tabela11[[#This Row],[Tag do Cabo]],BD!A:AJ,36,0)=0,"Pendente",VLOOKUP(Tabela11[[#This Row],[Tag do Cabo]],BD!A:AJ,36,0))</f>
        <v>Pendente</v>
      </c>
      <c r="H131" s="391" t="str">
        <f>VLOOKUP(Tabela11[[#This Row],[Tag do Cabo]],BD!A:AJ,32,0)</f>
        <v>8HVxCOG</v>
      </c>
      <c r="I131" s="7" t="str">
        <f>VLOOKUP(Tabela11[[#This Row],[Tag do Cabo]],BD!A:AJ,11,0)</f>
        <v>RMC - PSDC1</v>
      </c>
      <c r="J131" s="3" t="str">
        <f>VLOOKUP(Tabela11[[#This Row],[Tag do Cabo]],BD!A:AJ,12,0)</f>
        <v>10CKN15-B010.06</v>
      </c>
      <c r="K131" s="391" t="s">
        <v>1566</v>
      </c>
      <c r="L131" s="391"/>
      <c r="M131" s="3" t="str">
        <f>CONCATENATE(Tabela11[[#This Row],[Painel 1]]&amp;" "&amp;Tabela11[[#This Row],[Painel 2]])</f>
        <v xml:space="preserve">PSDC1 </v>
      </c>
      <c r="N131" s="218">
        <v>2</v>
      </c>
      <c r="O131" s="391" t="s">
        <v>92</v>
      </c>
      <c r="P131" s="391" t="s">
        <v>107</v>
      </c>
      <c r="Q131" s="391" t="str">
        <f>VLOOKUP(Tabela11[[#This Row],[Tag do Cabo]],BD!A:F,6,0)</f>
        <v>-</v>
      </c>
      <c r="R131" s="391">
        <f>SUMIF('Lançamento de Cabos'!AE:AE,Tabela11[[#This Row],[Tag do Cabo]],'Lançamento de Cabos'!AG:AG)</f>
        <v>0</v>
      </c>
      <c r="S131" s="28">
        <f>Tabela11[[#This Row],[Ligações Realizadas]]/Tabela11[[#This Row],[Qtde Ligações]]</f>
        <v>0</v>
      </c>
      <c r="T131" s="269">
        <f>IF(Tabela11[[#This Row],[Ligações Realizadas]]/Tabela11[[#This Row],[Qtde Ligações]]=0,0,IF(Tabela11[[#This Row],[Ligações Realizadas]]/Tabela11[[#This Row],[Qtde Ligações]]=1,ROUND(N131/2,0),"Ver Painel"))</f>
        <v>0</v>
      </c>
      <c r="U131" s="23">
        <f>IF(Tabela11[[#This Row],[Ligações Realizadas]]/Tabela11[[#This Row],[Qtde Ligações]]=0,0,IF(Tabela11[[#This Row],[Ligações Realizadas]]/Tabela11[[#This Row],[Qtde Ligações]]=1,ROUND(N131/2,0),"Ver Painel"))</f>
        <v>0</v>
      </c>
      <c r="V131" s="219" t="s">
        <v>1552</v>
      </c>
    </row>
    <row r="132" spans="1:22" hidden="1" x14ac:dyDescent="0.25">
      <c r="A132" s="34" t="s">
        <v>150</v>
      </c>
      <c r="B132" s="391" t="str">
        <f>VLOOKUP(Tabela11[[#This Row],[Tag do Cabo]],BD!A:AJ,2,0)</f>
        <v>Controle</v>
      </c>
      <c r="C132" s="3" t="str">
        <f>VLOOKUP(Tabela11[[#This Row],[Tag do Cabo]],BD!A:AJ,5,0)</f>
        <v>1x1x7/C#2,5</v>
      </c>
      <c r="D132" s="391" t="s">
        <v>1533</v>
      </c>
      <c r="E132" s="391" t="str">
        <f>VLOOKUP(Tabela11[[#This Row],[Tag do Cabo]],BD!A:T,20,0)</f>
        <v>BK-SP54-0900A-LC-74-00001_00000</v>
      </c>
      <c r="F132" s="222" t="str">
        <f>IF(VLOOKUP(Tabela11[[#This Row],[Tag do Cabo]],BD!A:AJ,35,0)=0,"Pendente",VLOOKUP(Tabela11[[#This Row],[Tag do Cabo]],BD!A:AJ,35,0))</f>
        <v>BK-SP54-0900B-DI-74-00450</v>
      </c>
      <c r="G132" s="3" t="str">
        <f>IF(VLOOKUP(Tabela11[[#This Row],[Tag do Cabo]],BD!A:AJ,36,0)=0,"Pendente",VLOOKUP(Tabela11[[#This Row],[Tag do Cabo]],BD!A:AJ,36,0))</f>
        <v>26</v>
      </c>
      <c r="H132" s="391" t="str">
        <f>VLOOKUP(Tabela11[[#This Row],[Tag do Cabo]],BD!A:AJ,32,0)</f>
        <v>1HV</v>
      </c>
      <c r="I132" s="7" t="str">
        <f>VLOOKUP(Tabela11[[#This Row],[Tag do Cabo]],BD!A:AJ,11,0)</f>
        <v>PSDC2 - PAINEL DE REJEICAO DE CARGAS 2 - regua BNC</v>
      </c>
      <c r="J132" s="3" t="str">
        <f>VLOOKUP(Tabela11[[#This Row],[Tag do Cabo]],BD!A:AJ,12,0)</f>
        <v>DJ. 1HV-24HV2</v>
      </c>
      <c r="K132" s="391" t="s">
        <v>1535</v>
      </c>
      <c r="L132" s="391" t="s">
        <v>151</v>
      </c>
      <c r="M132" s="3" t="str">
        <f>CONCATENATE(Tabela11[[#This Row],[Painel 1]]&amp;" "&amp;Tabela11[[#This Row],[Painel 2]])</f>
        <v>PSDC2 DJ. 1HV-24HV2</v>
      </c>
      <c r="N132" s="218">
        <v>14</v>
      </c>
      <c r="O132" s="391">
        <f>COUNTIF(Tabela12[Tag Cabo],Tabela11[[#This Row],[Tag do Cabo]])</f>
        <v>0</v>
      </c>
      <c r="P132" s="391" t="str">
        <f>IF(Tabela11[[#This Row],[Qtde Ligações]]&lt;&gt;Tabela11[[#This Row],[Qtde Anilhas]],"Ver","Ok")</f>
        <v>Ver</v>
      </c>
      <c r="Q132" s="391">
        <f>VLOOKUP(Tabela11[[#This Row],[Tag do Cabo]],BD!A:F,6,0)</f>
        <v>2.5</v>
      </c>
      <c r="R132" s="391">
        <f>SUMIF('Lançamento de Cabos'!AE:AE,Tabela11[[#This Row],[Tag do Cabo]],'Lançamento de Cabos'!AG:AG)</f>
        <v>0</v>
      </c>
      <c r="S132" s="28">
        <f>Tabela11[[#This Row],[Ligações Realizadas]]/Tabela11[[#This Row],[Qtde Ligações]]</f>
        <v>0</v>
      </c>
      <c r="T132" s="269">
        <f>IF(Tabela11[[#This Row],[Ligações Realizadas]]/Tabela11[[#This Row],[Qtde Ligações]]=0,0,IF(Tabela11[[#This Row],[Ligações Realizadas]]/Tabela11[[#This Row],[Qtde Ligações]]=1,ROUND(N132/2,0),"Ver Painel"))</f>
        <v>0</v>
      </c>
      <c r="U132" s="23">
        <f>IF(Tabela11[[#This Row],[Ligações Realizadas]]/Tabela11[[#This Row],[Qtde Ligações]]=0,0,IF(Tabela11[[#This Row],[Ligações Realizadas]]/Tabela11[[#This Row],[Qtde Ligações]]=1,ROUND(N132/2,0),"Ver Painel"))</f>
        <v>0</v>
      </c>
      <c r="V132" s="219"/>
    </row>
    <row r="133" spans="1:22" hidden="1" x14ac:dyDescent="0.25">
      <c r="A133" s="34" t="s">
        <v>152</v>
      </c>
      <c r="B133" s="391" t="str">
        <f>VLOOKUP(Tabela11[[#This Row],[Tag do Cabo]],BD!A:AJ,2,0)</f>
        <v>Controle</v>
      </c>
      <c r="C133" s="3" t="str">
        <f>VLOOKUP(Tabela11[[#This Row],[Tag do Cabo]],BD!A:AJ,5,0)</f>
        <v>1x1x7/C#2,5</v>
      </c>
      <c r="D133" s="391" t="s">
        <v>1533</v>
      </c>
      <c r="E133" s="391" t="str">
        <f>VLOOKUP(Tabela11[[#This Row],[Tag do Cabo]],BD!A:T,20,0)</f>
        <v>BK-SP54-0900A-LC-74-00001_00000</v>
      </c>
      <c r="F133" s="222" t="str">
        <f>IF(VLOOKUP(Tabela11[[#This Row],[Tag do Cabo]],BD!A:AJ,35,0)=0,"Pendente",VLOOKUP(Tabela11[[#This Row],[Tag do Cabo]],BD!A:AJ,35,0))</f>
        <v>BK-SP54-0900B-DI-74-00450</v>
      </c>
      <c r="G133" s="3" t="str">
        <f>IF(VLOOKUP(Tabela11[[#This Row],[Tag do Cabo]],BD!A:AJ,36,0)=0,"Pendente",VLOOKUP(Tabela11[[#This Row],[Tag do Cabo]],BD!A:AJ,36,0))</f>
        <v>26</v>
      </c>
      <c r="H133" s="391" t="str">
        <f>VLOOKUP(Tabela11[[#This Row],[Tag do Cabo]],BD!A:AJ,32,0)</f>
        <v>1HV</v>
      </c>
      <c r="I133" s="7" t="str">
        <f>VLOOKUP(Tabela11[[#This Row],[Tag do Cabo]],BD!A:AJ,11,0)</f>
        <v>PSDC2 - PAINEL DE REJEICAO DE CARGAS 2 - regua BNC</v>
      </c>
      <c r="J133" s="3" t="str">
        <f>VLOOKUP(Tabela11[[#This Row],[Tag do Cabo]],BD!A:AJ,12,0)</f>
        <v>DJ. GE902</v>
      </c>
      <c r="K133" s="391" t="s">
        <v>1535</v>
      </c>
      <c r="L133" s="391" t="s">
        <v>153</v>
      </c>
      <c r="M133" s="3" t="str">
        <f>CONCATENATE(Tabela11[[#This Row],[Painel 1]]&amp;" "&amp;Tabela11[[#This Row],[Painel 2]])</f>
        <v>PSDC2 DJ. GE902</v>
      </c>
      <c r="N133" s="218">
        <v>14</v>
      </c>
      <c r="O133" s="391">
        <f>COUNTIF(Tabela12[Tag Cabo],Tabela11[[#This Row],[Tag do Cabo]])</f>
        <v>0</v>
      </c>
      <c r="P133" s="391" t="str">
        <f>IF(Tabela11[[#This Row],[Qtde Ligações]]&lt;&gt;Tabela11[[#This Row],[Qtde Anilhas]],"Ver","Ok")</f>
        <v>Ver</v>
      </c>
      <c r="Q133" s="391">
        <f>VLOOKUP(Tabela11[[#This Row],[Tag do Cabo]],BD!A:F,6,0)</f>
        <v>2.5</v>
      </c>
      <c r="R133" s="391">
        <f>SUMIF('Lançamento de Cabos'!AE:AE,Tabela11[[#This Row],[Tag do Cabo]],'Lançamento de Cabos'!AG:AG)</f>
        <v>0</v>
      </c>
      <c r="S133" s="28">
        <f>Tabela11[[#This Row],[Ligações Realizadas]]/Tabela11[[#This Row],[Qtde Ligações]]</f>
        <v>0</v>
      </c>
      <c r="T133" s="269">
        <f>IF(Tabela11[[#This Row],[Ligações Realizadas]]/Tabela11[[#This Row],[Qtde Ligações]]=0,0,IF(Tabela11[[#This Row],[Ligações Realizadas]]/Tabela11[[#This Row],[Qtde Ligações]]=1,ROUND(N133/2,0),"Ver Painel"))</f>
        <v>0</v>
      </c>
      <c r="U133" s="23">
        <f>IF(Tabela11[[#This Row],[Ligações Realizadas]]/Tabela11[[#This Row],[Qtde Ligações]]=0,0,IF(Tabela11[[#This Row],[Ligações Realizadas]]/Tabela11[[#This Row],[Qtde Ligações]]=1,ROUND(N133/2,0),"Ver Painel"))</f>
        <v>0</v>
      </c>
      <c r="V133" s="219"/>
    </row>
    <row r="134" spans="1:22" hidden="1" x14ac:dyDescent="0.25">
      <c r="A134" s="34" t="s">
        <v>1338</v>
      </c>
      <c r="B134" s="391" t="str">
        <f>VLOOKUP(Tabela11[[#This Row],[Tag do Cabo]],BD!A:AJ,2,0)</f>
        <v>Controle</v>
      </c>
      <c r="C134" s="3" t="str">
        <f>VLOOKUP(Tabela11[[#This Row],[Tag do Cabo]],BD!A:AJ,5,0)</f>
        <v>1Px18AWG+Shield</v>
      </c>
      <c r="D134" s="391" t="s">
        <v>1542</v>
      </c>
      <c r="E134" s="391" t="str">
        <f>VLOOKUP(Tabela11[[#This Row],[Tag do Cabo]],BD!A:T,20,0)</f>
        <v>BK-SP54-0900A-LC-80-00188_00000</v>
      </c>
      <c r="F134" s="3" t="str">
        <f>IF(VLOOKUP(Tabela11[[#This Row],[Tag do Cabo]],BD!A:AJ,35,0)=0,"Pendente",VLOOKUP(Tabela11[[#This Row],[Tag do Cabo]],BD!A:AJ,35,0))</f>
        <v>BK-SP54-0900A-DI-80-01589</v>
      </c>
      <c r="G134" s="3">
        <f>IF(VLOOKUP(Tabela11[[#This Row],[Tag do Cabo]],BD!A:AJ,36,0)=0,"Pendente",VLOOKUP(Tabela11[[#This Row],[Tag do Cabo]],BD!A:AJ,36,0))</f>
        <v>36</v>
      </c>
      <c r="H134" s="391" t="str">
        <f>VLOOKUP(Tabela11[[#This Row],[Tag do Cabo]],BD!A:AJ,32,0)</f>
        <v>GA-906E</v>
      </c>
      <c r="I134" s="7" t="str">
        <f>VLOOKUP(Tabela11[[#This Row],[Tag do Cabo]],BD!A:AJ,11,0)</f>
        <v>FT-90223</v>
      </c>
      <c r="J134" s="3" t="str">
        <f>VLOOKUP(Tabela11[[#This Row],[Tag do Cabo]],BD!A:AJ,12,0)</f>
        <v>JBFF-90-104</v>
      </c>
      <c r="K134" s="391" t="s">
        <v>1574</v>
      </c>
      <c r="L134" s="391" t="s">
        <v>1333</v>
      </c>
      <c r="M134" s="3" t="str">
        <f>CONCATENATE(Tabela11[[#This Row],[Painel 1]]&amp;" "&amp;Tabela11[[#This Row],[Painel 2]])</f>
        <v>INSTRUMENTO JBFF-90-104</v>
      </c>
      <c r="N134" s="157">
        <v>6</v>
      </c>
      <c r="O134" s="391">
        <f>COUNTIF(Tabela12[Tag Cabo],Tabela11[[#This Row],[Tag do Cabo]])</f>
        <v>6</v>
      </c>
      <c r="P134" s="391" t="str">
        <f>IF(Tabela11[[#This Row],[Qtde Ligações]]&lt;&gt;Tabela11[[#This Row],[Qtde Anilhas]],"Ver","Ok")</f>
        <v>Ok</v>
      </c>
      <c r="Q134" s="391" t="str">
        <f>VLOOKUP(Tabela11[[#This Row],[Tag do Cabo]],BD!A:F,6,0)</f>
        <v>18AWG</v>
      </c>
      <c r="R134" s="391">
        <f>SUMIF('Lançamento de Cabos'!AE:AE,Tabela11[[#This Row],[Tag do Cabo]],'Lançamento de Cabos'!AG:AG)</f>
        <v>0</v>
      </c>
      <c r="S134" s="28">
        <f>Tabela11[[#This Row],[Ligações Realizadas]]/Tabela11[[#This Row],[Qtde Ligações]]</f>
        <v>0</v>
      </c>
      <c r="T134" s="269">
        <f>IF(Tabela11[[#This Row],[Ligações Realizadas]]/Tabela11[[#This Row],[Qtde Ligações]]=0,0,IF(Tabela11[[#This Row],[Ligações Realizadas]]/Tabela11[[#This Row],[Qtde Ligações]]=1,ROUND(N134/2,0),"Ver Painel"))</f>
        <v>0</v>
      </c>
      <c r="U134" s="23">
        <f>IF(Tabela11[[#This Row],[Ligações Realizadas]]/Tabela11[[#This Row],[Qtde Ligações]]=0,0,IF(Tabela11[[#This Row],[Ligações Realizadas]]/Tabela11[[#This Row],[Qtde Ligações]]=1,ROUND(N134/2,0),"Ver Painel"))</f>
        <v>0</v>
      </c>
      <c r="V134" s="222"/>
    </row>
    <row r="135" spans="1:22" hidden="1" x14ac:dyDescent="0.25">
      <c r="A135" s="34" t="s">
        <v>1360</v>
      </c>
      <c r="B135" s="391" t="str">
        <f>VLOOKUP(Tabela11[[#This Row],[Tag do Cabo]],BD!A:AJ,2,0)</f>
        <v>Controle</v>
      </c>
      <c r="C135" s="3" t="str">
        <f>VLOOKUP(Tabela11[[#This Row],[Tag do Cabo]],BD!A:AJ,5,0)</f>
        <v>1Px18AWG+Shield</v>
      </c>
      <c r="D135" s="391" t="s">
        <v>1542</v>
      </c>
      <c r="E135" s="391" t="str">
        <f>VLOOKUP(Tabela11[[#This Row],[Tag do Cabo]],BD!A:T,20,0)</f>
        <v>BK-SP54-0900A-LC-80-00188_00000</v>
      </c>
      <c r="F135" s="3" t="str">
        <f>IF(VLOOKUP(Tabela11[[#This Row],[Tag do Cabo]],BD!A:AJ,35,0)=0,"Pendente",VLOOKUP(Tabela11[[#This Row],[Tag do Cabo]],BD!A:AJ,35,0))</f>
        <v>BK-SP54-0900A-DI-80-01589</v>
      </c>
      <c r="G135" s="3">
        <f>IF(VLOOKUP(Tabela11[[#This Row],[Tag do Cabo]],BD!A:AJ,36,0)=0,"Pendente",VLOOKUP(Tabela11[[#This Row],[Tag do Cabo]],BD!A:AJ,36,0))</f>
        <v>35</v>
      </c>
      <c r="H135" s="391" t="str">
        <f>VLOOKUP(Tabela11[[#This Row],[Tag do Cabo]],BD!A:AJ,32,0)</f>
        <v>GA-9312/S</v>
      </c>
      <c r="I135" s="7" t="str">
        <f>VLOOKUP(Tabela11[[#This Row],[Tag do Cabo]],BD!A:AJ,11,0)</f>
        <v>FT-90248</v>
      </c>
      <c r="J135" s="3" t="str">
        <f>VLOOKUP(Tabela11[[#This Row],[Tag do Cabo]],BD!A:AJ,12,0)</f>
        <v>JBFF-90-106</v>
      </c>
      <c r="K135" s="391" t="s">
        <v>1574</v>
      </c>
      <c r="L135" s="391" t="s">
        <v>1347</v>
      </c>
      <c r="M135" s="3" t="str">
        <f>CONCATENATE(Tabela11[[#This Row],[Painel 1]]&amp;" "&amp;Tabela11[[#This Row],[Painel 2]])</f>
        <v>INSTRUMENTO JBFF-90-106</v>
      </c>
      <c r="N135" s="157">
        <v>6</v>
      </c>
      <c r="O135" s="391">
        <f>COUNTIF(Tabela12[Tag Cabo],Tabela11[[#This Row],[Tag do Cabo]])</f>
        <v>6</v>
      </c>
      <c r="P135" s="391" t="str">
        <f>IF(Tabela11[[#This Row],[Qtde Ligações]]&lt;&gt;Tabela11[[#This Row],[Qtde Anilhas]],"Ver","Ok")</f>
        <v>Ok</v>
      </c>
      <c r="Q135" s="391" t="str">
        <f>VLOOKUP(Tabela11[[#This Row],[Tag do Cabo]],BD!A:F,6,0)</f>
        <v>18AWG</v>
      </c>
      <c r="R135" s="391">
        <f>SUMIF('Lançamento de Cabos'!AE:AE,Tabela11[[#This Row],[Tag do Cabo]],'Lançamento de Cabos'!AG:AG)</f>
        <v>0</v>
      </c>
      <c r="S135" s="28">
        <f>Tabela11[[#This Row],[Ligações Realizadas]]/Tabela11[[#This Row],[Qtde Ligações]]</f>
        <v>0</v>
      </c>
      <c r="T135" s="269">
        <f>IF(Tabela11[[#This Row],[Ligações Realizadas]]/Tabela11[[#This Row],[Qtde Ligações]]=0,0,IF(Tabela11[[#This Row],[Ligações Realizadas]]/Tabela11[[#This Row],[Qtde Ligações]]=1,ROUND(N135/2,0),"Ver Painel"))</f>
        <v>0</v>
      </c>
      <c r="U135" s="23">
        <f>IF(Tabela11[[#This Row],[Ligações Realizadas]]/Tabela11[[#This Row],[Qtde Ligações]]=0,0,IF(Tabela11[[#This Row],[Ligações Realizadas]]/Tabela11[[#This Row],[Qtde Ligações]]=1,ROUND(N135/2,0),"Ver Painel"))</f>
        <v>0</v>
      </c>
      <c r="V135" s="222"/>
    </row>
    <row r="136" spans="1:22" hidden="1" x14ac:dyDescent="0.25">
      <c r="A136" s="34" t="s">
        <v>1348</v>
      </c>
      <c r="B136" s="391" t="str">
        <f>VLOOKUP(Tabela11[[#This Row],[Tag do Cabo]],BD!A:AJ,2,0)</f>
        <v>Controle</v>
      </c>
      <c r="C136" s="3" t="str">
        <f>VLOOKUP(Tabela11[[#This Row],[Tag do Cabo]],BD!A:AJ,5,0)</f>
        <v>1Px18AWG+Shield</v>
      </c>
      <c r="D136" s="391" t="s">
        <v>1542</v>
      </c>
      <c r="E136" s="391" t="str">
        <f>VLOOKUP(Tabela11[[#This Row],[Tag do Cabo]],BD!A:T,20,0)</f>
        <v>BK-SP54-0900A-LC-80-00188_00000</v>
      </c>
      <c r="F136" s="3" t="str">
        <f>IF(VLOOKUP(Tabela11[[#This Row],[Tag do Cabo]],BD!A:AJ,35,0)=0,"Pendente",VLOOKUP(Tabela11[[#This Row],[Tag do Cabo]],BD!A:AJ,35,0))</f>
        <v>BK-SP54-0900A-DI-80-01589</v>
      </c>
      <c r="G136" s="3">
        <f>IF(VLOOKUP(Tabela11[[#This Row],[Tag do Cabo]],BD!A:AJ,36,0)=0,"Pendente",VLOOKUP(Tabela11[[#This Row],[Tag do Cabo]],BD!A:AJ,36,0))</f>
        <v>35</v>
      </c>
      <c r="H136" s="391" t="str">
        <f>VLOOKUP(Tabela11[[#This Row],[Tag do Cabo]],BD!A:AJ,32,0)</f>
        <v>GA-9312/S</v>
      </c>
      <c r="I136" s="7" t="str">
        <f>VLOOKUP(Tabela11[[#This Row],[Tag do Cabo]],BD!A:AJ,11,0)</f>
        <v>FT-90252</v>
      </c>
      <c r="J136" s="3" t="str">
        <f>VLOOKUP(Tabela11[[#This Row],[Tag do Cabo]],BD!A:AJ,12,0)</f>
        <v>JBFF-90-106</v>
      </c>
      <c r="K136" s="391" t="s">
        <v>1574</v>
      </c>
      <c r="L136" s="391" t="s">
        <v>1347</v>
      </c>
      <c r="M136" s="3" t="str">
        <f>CONCATENATE(Tabela11[[#This Row],[Painel 1]]&amp;" "&amp;Tabela11[[#This Row],[Painel 2]])</f>
        <v>INSTRUMENTO JBFF-90-106</v>
      </c>
      <c r="N136" s="157">
        <v>6</v>
      </c>
      <c r="O136" s="391">
        <f>COUNTIF(Tabela12[Tag Cabo],Tabela11[[#This Row],[Tag do Cabo]])</f>
        <v>6</v>
      </c>
      <c r="P136" s="391" t="str">
        <f>IF(Tabela11[[#This Row],[Qtde Ligações]]&lt;&gt;Tabela11[[#This Row],[Qtde Anilhas]],"Ver","Ok")</f>
        <v>Ok</v>
      </c>
      <c r="Q136" s="391" t="str">
        <f>VLOOKUP(Tabela11[[#This Row],[Tag do Cabo]],BD!A:F,6,0)</f>
        <v>18AWG</v>
      </c>
      <c r="R136" s="391">
        <f>SUMIF('Lançamento de Cabos'!AE:AE,Tabela11[[#This Row],[Tag do Cabo]],'Lançamento de Cabos'!AG:AG)</f>
        <v>0</v>
      </c>
      <c r="S136" s="28">
        <f>Tabela11[[#This Row],[Ligações Realizadas]]/Tabela11[[#This Row],[Qtde Ligações]]</f>
        <v>0</v>
      </c>
      <c r="T136" s="269">
        <f>IF(Tabela11[[#This Row],[Ligações Realizadas]]/Tabela11[[#This Row],[Qtde Ligações]]=0,0,IF(Tabela11[[#This Row],[Ligações Realizadas]]/Tabela11[[#This Row],[Qtde Ligações]]=1,ROUND(N136/2,0),"Ver Painel"))</f>
        <v>0</v>
      </c>
      <c r="U136" s="23">
        <f>IF(Tabela11[[#This Row],[Ligações Realizadas]]/Tabela11[[#This Row],[Qtde Ligações]]=0,0,IF(Tabela11[[#This Row],[Ligações Realizadas]]/Tabela11[[#This Row],[Qtde Ligações]]=1,ROUND(N136/2,0),"Ver Painel"))</f>
        <v>0</v>
      </c>
      <c r="V136" s="222"/>
    </row>
    <row r="137" spans="1:22" hidden="1" x14ac:dyDescent="0.25">
      <c r="A137" s="34" t="s">
        <v>1358</v>
      </c>
      <c r="B137" s="391" t="str">
        <f>VLOOKUP(Tabela11[[#This Row],[Tag do Cabo]],BD!A:AJ,2,0)</f>
        <v>Controle</v>
      </c>
      <c r="C137" s="3" t="str">
        <f>VLOOKUP(Tabela11[[#This Row],[Tag do Cabo]],BD!A:AJ,5,0)</f>
        <v xml:space="preserve">1P#1,0mm²+SHI </v>
      </c>
      <c r="D137" s="391" t="s">
        <v>1533</v>
      </c>
      <c r="E137" s="391" t="str">
        <f>VLOOKUP(Tabela11[[#This Row],[Tag do Cabo]],BD!A:T,20,0)</f>
        <v>BK-SP54-0900A-LC-80-00186_00000</v>
      </c>
      <c r="F137" s="3" t="str">
        <f>IF(VLOOKUP(Tabela11[[#This Row],[Tag do Cabo]],BD!A:AJ,35,0)=0,"Pendente",VLOOKUP(Tabela11[[#This Row],[Tag do Cabo]],BD!A:AJ,35,0))</f>
        <v>BK-SP54-0900A-DI-80-01647</v>
      </c>
      <c r="G137" s="3" t="str">
        <f>IF(VLOOKUP(Tabela11[[#This Row],[Tag do Cabo]],BD!A:AJ,36,0)=0,"Pendente",VLOOKUP(Tabela11[[#This Row],[Tag do Cabo]],BD!A:AJ,36,0))</f>
        <v>6</v>
      </c>
      <c r="H137" s="391" t="str">
        <f>VLOOKUP(Tabela11[[#This Row],[Tag do Cabo]],BD!A:AJ,32,0)</f>
        <v>GA-9312/S</v>
      </c>
      <c r="I137" s="7" t="str">
        <f>VLOOKUP(Tabela11[[#This Row],[Tag do Cabo]],BD!A:AJ,11,0)</f>
        <v>FT-90253</v>
      </c>
      <c r="J137" s="3" t="str">
        <f>VLOOKUP(Tabela11[[#This Row],[Tag do Cabo]],BD!A:AJ,12,0)</f>
        <v>JBAI-90-110</v>
      </c>
      <c r="K137" s="391" t="s">
        <v>1574</v>
      </c>
      <c r="L137" s="391" t="s">
        <v>1228</v>
      </c>
      <c r="M137" s="3" t="str">
        <f>CONCATENATE(Tabela11[[#This Row],[Painel 1]]&amp;" "&amp;Tabela11[[#This Row],[Painel 2]])</f>
        <v>INSTRUMENTO JBAI-90-110</v>
      </c>
      <c r="N137" s="157">
        <v>4</v>
      </c>
      <c r="O137" s="391">
        <f>COUNTIF(Tabela12[Tag Cabo],Tabela11[[#This Row],[Tag do Cabo]])</f>
        <v>4</v>
      </c>
      <c r="P137" s="391" t="str">
        <f>IF(Tabela11[[#This Row],[Qtde Ligações]]&lt;&gt;Tabela11[[#This Row],[Qtde Anilhas]],"Ver","Ok")</f>
        <v>Ok</v>
      </c>
      <c r="Q137" s="391">
        <f>VLOOKUP(Tabela11[[#This Row],[Tag do Cabo]],BD!A:F,6,0)</f>
        <v>1</v>
      </c>
      <c r="R137" s="391">
        <f>SUMIF('Lançamento de Cabos'!AE:AE,Tabela11[[#This Row],[Tag do Cabo]],'Lançamento de Cabos'!AG:AG)</f>
        <v>0</v>
      </c>
      <c r="S137" s="28">
        <f>Tabela11[[#This Row],[Ligações Realizadas]]/Tabela11[[#This Row],[Qtde Ligações]]</f>
        <v>0</v>
      </c>
      <c r="T137" s="269">
        <f>IF(Tabela11[[#This Row],[Ligações Realizadas]]/Tabela11[[#This Row],[Qtde Ligações]]=0,0,IF(Tabela11[[#This Row],[Ligações Realizadas]]/Tabela11[[#This Row],[Qtde Ligações]]=1,ROUND(N137/2,0),"Ver Painel"))</f>
        <v>0</v>
      </c>
      <c r="U137" s="23">
        <f>IF(Tabela11[[#This Row],[Ligações Realizadas]]/Tabela11[[#This Row],[Qtde Ligações]]=0,0,IF(Tabela11[[#This Row],[Ligações Realizadas]]/Tabela11[[#This Row],[Qtde Ligações]]=1,ROUND(N137/2,0),"Ver Painel"))</f>
        <v>0</v>
      </c>
      <c r="V137" s="222"/>
    </row>
    <row r="138" spans="1:22" hidden="1" x14ac:dyDescent="0.25">
      <c r="A138" s="34" t="s">
        <v>1332</v>
      </c>
      <c r="B138" s="391" t="str">
        <f>VLOOKUP(Tabela11[[#This Row],[Tag do Cabo]],BD!A:AJ,2,0)</f>
        <v>Controle</v>
      </c>
      <c r="C138" s="3" t="str">
        <f>VLOOKUP(Tabela11[[#This Row],[Tag do Cabo]],BD!A:AJ,5,0)</f>
        <v>1Px18AWG+Shield</v>
      </c>
      <c r="D138" s="391" t="s">
        <v>1542</v>
      </c>
      <c r="E138" s="391" t="str">
        <f>VLOOKUP(Tabela11[[#This Row],[Tag do Cabo]],BD!A:T,20,0)</f>
        <v>BK-SP54-0900A-LC-80-00188_00000</v>
      </c>
      <c r="F138" s="3" t="str">
        <f>IF(VLOOKUP(Tabela11[[#This Row],[Tag do Cabo]],BD!A:AJ,35,0)=0,"Pendente",VLOOKUP(Tabela11[[#This Row],[Tag do Cabo]],BD!A:AJ,35,0))</f>
        <v>BK-SP54-0900A-DI-80-01589</v>
      </c>
      <c r="G138" s="3">
        <f>IF(VLOOKUP(Tabela11[[#This Row],[Tag do Cabo]],BD!A:AJ,36,0)=0,"Pendente",VLOOKUP(Tabela11[[#This Row],[Tag do Cabo]],BD!A:AJ,36,0))</f>
        <v>36</v>
      </c>
      <c r="H138" s="391" t="str">
        <f>VLOOKUP(Tabela11[[#This Row],[Tag do Cabo]],BD!A:AJ,32,0)</f>
        <v>GA-906E</v>
      </c>
      <c r="I138" s="7" t="str">
        <f>VLOOKUP(Tabela11[[#This Row],[Tag do Cabo]],BD!A:AJ,11,0)</f>
        <v>FV-90223</v>
      </c>
      <c r="J138" s="3" t="str">
        <f>VLOOKUP(Tabela11[[#This Row],[Tag do Cabo]],BD!A:AJ,12,0)</f>
        <v>JBFF-90-104</v>
      </c>
      <c r="K138" s="391" t="s">
        <v>1574</v>
      </c>
      <c r="L138" s="391" t="s">
        <v>1333</v>
      </c>
      <c r="M138" s="3" t="str">
        <f>CONCATENATE(Tabela11[[#This Row],[Painel 1]]&amp;" "&amp;Tabela11[[#This Row],[Painel 2]])</f>
        <v>INSTRUMENTO JBFF-90-104</v>
      </c>
      <c r="N138" s="157">
        <v>6</v>
      </c>
      <c r="O138" s="391">
        <f>COUNTIF(Tabela12[Tag Cabo],Tabela11[[#This Row],[Tag do Cabo]])</f>
        <v>6</v>
      </c>
      <c r="P138" s="391" t="str">
        <f>IF(Tabela11[[#This Row],[Qtde Ligações]]&lt;&gt;Tabela11[[#This Row],[Qtde Anilhas]],"Ver","Ok")</f>
        <v>Ok</v>
      </c>
      <c r="Q138" s="391" t="str">
        <f>VLOOKUP(Tabela11[[#This Row],[Tag do Cabo]],BD!A:F,6,0)</f>
        <v>18AWG</v>
      </c>
      <c r="R138" s="391">
        <f>SUMIF('Lançamento de Cabos'!AE:AE,Tabela11[[#This Row],[Tag do Cabo]],'Lançamento de Cabos'!AG:AG)</f>
        <v>0</v>
      </c>
      <c r="S138" s="28">
        <f>Tabela11[[#This Row],[Ligações Realizadas]]/Tabela11[[#This Row],[Qtde Ligações]]</f>
        <v>0</v>
      </c>
      <c r="T138" s="269">
        <f>IF(Tabela11[[#This Row],[Ligações Realizadas]]/Tabela11[[#This Row],[Qtde Ligações]]=0,0,IF(Tabela11[[#This Row],[Ligações Realizadas]]/Tabela11[[#This Row],[Qtde Ligações]]=1,ROUND(N138/2,0),"Ver Painel"))</f>
        <v>0</v>
      </c>
      <c r="U138" s="23">
        <f>IF(Tabela11[[#This Row],[Ligações Realizadas]]/Tabela11[[#This Row],[Qtde Ligações]]=0,0,IF(Tabela11[[#This Row],[Ligações Realizadas]]/Tabela11[[#This Row],[Qtde Ligações]]=1,ROUND(N138/2,0),"Ver Painel"))</f>
        <v>0</v>
      </c>
      <c r="V138" s="222"/>
    </row>
    <row r="139" spans="1:22" hidden="1" x14ac:dyDescent="0.25">
      <c r="A139" s="34" t="s">
        <v>1354</v>
      </c>
      <c r="B139" s="391" t="str">
        <f>VLOOKUP(Tabela11[[#This Row],[Tag do Cabo]],BD!A:AJ,2,0)</f>
        <v>Controle</v>
      </c>
      <c r="C139" s="3" t="str">
        <f>VLOOKUP(Tabela11[[#This Row],[Tag do Cabo]],BD!A:AJ,5,0)</f>
        <v>1Px18AWG+Shield</v>
      </c>
      <c r="D139" s="391" t="s">
        <v>1542</v>
      </c>
      <c r="E139" s="391" t="str">
        <f>VLOOKUP(Tabela11[[#This Row],[Tag do Cabo]],BD!A:T,20,0)</f>
        <v>BK-SP54-0900A-LC-80-00188_00000</v>
      </c>
      <c r="F139" s="3" t="str">
        <f>IF(VLOOKUP(Tabela11[[#This Row],[Tag do Cabo]],BD!A:AJ,35,0)=0,"Pendente",VLOOKUP(Tabela11[[#This Row],[Tag do Cabo]],BD!A:AJ,35,0))</f>
        <v>BK-SP54-0900A-DI-80-01589</v>
      </c>
      <c r="G139" s="3">
        <f>IF(VLOOKUP(Tabela11[[#This Row],[Tag do Cabo]],BD!A:AJ,36,0)=0,"Pendente",VLOOKUP(Tabela11[[#This Row],[Tag do Cabo]],BD!A:AJ,36,0))</f>
        <v>35</v>
      </c>
      <c r="H139" s="391" t="str">
        <f>VLOOKUP(Tabela11[[#This Row],[Tag do Cabo]],BD!A:AJ,32,0)</f>
        <v>GA-9312/S</v>
      </c>
      <c r="I139" s="7" t="str">
        <f>VLOOKUP(Tabela11[[#This Row],[Tag do Cabo]],BD!A:AJ,11,0)</f>
        <v>FV-90248</v>
      </c>
      <c r="J139" s="3" t="str">
        <f>VLOOKUP(Tabela11[[#This Row],[Tag do Cabo]],BD!A:AJ,12,0)</f>
        <v>JBFF-90-106</v>
      </c>
      <c r="K139" s="391" t="s">
        <v>1574</v>
      </c>
      <c r="L139" s="391" t="s">
        <v>1347</v>
      </c>
      <c r="M139" s="3" t="str">
        <f>CONCATENATE(Tabela11[[#This Row],[Painel 1]]&amp;" "&amp;Tabela11[[#This Row],[Painel 2]])</f>
        <v>INSTRUMENTO JBFF-90-106</v>
      </c>
      <c r="N139" s="157">
        <v>6</v>
      </c>
      <c r="O139" s="391">
        <f>COUNTIF(Tabela12[Tag Cabo],Tabela11[[#This Row],[Tag do Cabo]])</f>
        <v>6</v>
      </c>
      <c r="P139" s="391" t="str">
        <f>IF(Tabela11[[#This Row],[Qtde Ligações]]&lt;&gt;Tabela11[[#This Row],[Qtde Anilhas]],"Ver","Ok")</f>
        <v>Ok</v>
      </c>
      <c r="Q139" s="391" t="str">
        <f>VLOOKUP(Tabela11[[#This Row],[Tag do Cabo]],BD!A:F,6,0)</f>
        <v>18AWG</v>
      </c>
      <c r="R139" s="391">
        <f>SUMIF('Lançamento de Cabos'!AE:AE,Tabela11[[#This Row],[Tag do Cabo]],'Lançamento de Cabos'!AG:AG)</f>
        <v>0</v>
      </c>
      <c r="S139" s="28">
        <f>Tabela11[[#This Row],[Ligações Realizadas]]/Tabela11[[#This Row],[Qtde Ligações]]</f>
        <v>0</v>
      </c>
      <c r="T139" s="269">
        <f>IF(Tabela11[[#This Row],[Ligações Realizadas]]/Tabela11[[#This Row],[Qtde Ligações]]=0,0,IF(Tabela11[[#This Row],[Ligações Realizadas]]/Tabela11[[#This Row],[Qtde Ligações]]=1,ROUND(N139/2,0),"Ver Painel"))</f>
        <v>0</v>
      </c>
      <c r="U139" s="23">
        <f>IF(Tabela11[[#This Row],[Ligações Realizadas]]/Tabela11[[#This Row],[Qtde Ligações]]=0,0,IF(Tabela11[[#This Row],[Ligações Realizadas]]/Tabela11[[#This Row],[Qtde Ligações]]=1,ROUND(N139/2,0),"Ver Painel"))</f>
        <v>0</v>
      </c>
      <c r="V139" s="222"/>
    </row>
    <row r="140" spans="1:22" hidden="1" x14ac:dyDescent="0.25">
      <c r="A140" s="34" t="s">
        <v>1346</v>
      </c>
      <c r="B140" s="391" t="str">
        <f>VLOOKUP(Tabela11[[#This Row],[Tag do Cabo]],BD!A:AJ,2,0)</f>
        <v>Controle</v>
      </c>
      <c r="C140" s="3" t="str">
        <f>VLOOKUP(Tabela11[[#This Row],[Tag do Cabo]],BD!A:AJ,5,0)</f>
        <v>1Px18AWG+Shield</v>
      </c>
      <c r="D140" s="391" t="s">
        <v>1542</v>
      </c>
      <c r="E140" s="391" t="str">
        <f>VLOOKUP(Tabela11[[#This Row],[Tag do Cabo]],BD!A:T,20,0)</f>
        <v>BK-SP54-0900A-LC-80-00188_00000</v>
      </c>
      <c r="F140" s="3" t="str">
        <f>IF(VLOOKUP(Tabela11[[#This Row],[Tag do Cabo]],BD!A:AJ,35,0)=0,"Pendente",VLOOKUP(Tabela11[[#This Row],[Tag do Cabo]],BD!A:AJ,35,0))</f>
        <v>BK-SP54-0900A-DI-80-01589</v>
      </c>
      <c r="G140" s="3">
        <f>IF(VLOOKUP(Tabela11[[#This Row],[Tag do Cabo]],BD!A:AJ,36,0)=0,"Pendente",VLOOKUP(Tabela11[[#This Row],[Tag do Cabo]],BD!A:AJ,36,0))</f>
        <v>35</v>
      </c>
      <c r="H140" s="391" t="str">
        <f>VLOOKUP(Tabela11[[#This Row],[Tag do Cabo]],BD!A:AJ,32,0)</f>
        <v>GA-9312/S</v>
      </c>
      <c r="I140" s="7" t="str">
        <f>VLOOKUP(Tabela11[[#This Row],[Tag do Cabo]],BD!A:AJ,11,0)</f>
        <v>FV-90252A</v>
      </c>
      <c r="J140" s="3" t="str">
        <f>VLOOKUP(Tabela11[[#This Row],[Tag do Cabo]],BD!A:AJ,12,0)</f>
        <v>JBFF-90-106</v>
      </c>
      <c r="K140" s="391" t="s">
        <v>1574</v>
      </c>
      <c r="L140" s="391" t="s">
        <v>1347</v>
      </c>
      <c r="M140" s="3" t="str">
        <f>CONCATENATE(Tabela11[[#This Row],[Painel 1]]&amp;" "&amp;Tabela11[[#This Row],[Painel 2]])</f>
        <v>INSTRUMENTO JBFF-90-106</v>
      </c>
      <c r="N140" s="157">
        <v>6</v>
      </c>
      <c r="O140" s="391">
        <f>COUNTIF(Tabela12[Tag Cabo],Tabela11[[#This Row],[Tag do Cabo]])</f>
        <v>6</v>
      </c>
      <c r="P140" s="391" t="str">
        <f>IF(Tabela11[[#This Row],[Qtde Ligações]]&lt;&gt;Tabela11[[#This Row],[Qtde Anilhas]],"Ver","Ok")</f>
        <v>Ok</v>
      </c>
      <c r="Q140" s="391" t="str">
        <f>VLOOKUP(Tabela11[[#This Row],[Tag do Cabo]],BD!A:F,6,0)</f>
        <v>18AWG</v>
      </c>
      <c r="R140" s="391">
        <f>SUMIF('Lançamento de Cabos'!AE:AE,Tabela11[[#This Row],[Tag do Cabo]],'Lançamento de Cabos'!AG:AG)</f>
        <v>0</v>
      </c>
      <c r="S140" s="28">
        <f>Tabela11[[#This Row],[Ligações Realizadas]]/Tabela11[[#This Row],[Qtde Ligações]]</f>
        <v>0</v>
      </c>
      <c r="T140" s="269">
        <f>IF(Tabela11[[#This Row],[Ligações Realizadas]]/Tabela11[[#This Row],[Qtde Ligações]]=0,0,IF(Tabela11[[#This Row],[Ligações Realizadas]]/Tabela11[[#This Row],[Qtde Ligações]]=1,ROUND(N140/2,0),"Ver Painel"))</f>
        <v>0</v>
      </c>
      <c r="U140" s="23">
        <f>IF(Tabela11[[#This Row],[Ligações Realizadas]]/Tabela11[[#This Row],[Qtde Ligações]]=0,0,IF(Tabela11[[#This Row],[Ligações Realizadas]]/Tabela11[[#This Row],[Qtde Ligações]]=1,ROUND(N140/2,0),"Ver Painel"))</f>
        <v>0</v>
      </c>
      <c r="V140" s="222"/>
    </row>
    <row r="141" spans="1:22" hidden="1" x14ac:dyDescent="0.25">
      <c r="A141" s="34" t="s">
        <v>1349</v>
      </c>
      <c r="B141" s="391" t="str">
        <f>VLOOKUP(Tabela11[[#This Row],[Tag do Cabo]],BD!A:AJ,2,0)</f>
        <v>Controle</v>
      </c>
      <c r="C141" s="3" t="str">
        <f>VLOOKUP(Tabela11[[#This Row],[Tag do Cabo]],BD!A:AJ,5,0)</f>
        <v>1Px18AWG+Shield</v>
      </c>
      <c r="D141" s="391" t="s">
        <v>1542</v>
      </c>
      <c r="E141" s="391" t="str">
        <f>VLOOKUP(Tabela11[[#This Row],[Tag do Cabo]],BD!A:T,20,0)</f>
        <v>BK-SP54-0900A-LC-80-00188_00000</v>
      </c>
      <c r="F141" s="3" t="str">
        <f>IF(VLOOKUP(Tabela11[[#This Row],[Tag do Cabo]],BD!A:AJ,35,0)=0,"Pendente",VLOOKUP(Tabela11[[#This Row],[Tag do Cabo]],BD!A:AJ,35,0))</f>
        <v>BK-SP54-0900A-DI-80-01589</v>
      </c>
      <c r="G141" s="3">
        <f>IF(VLOOKUP(Tabela11[[#This Row],[Tag do Cabo]],BD!A:AJ,36,0)=0,"Pendente",VLOOKUP(Tabela11[[#This Row],[Tag do Cabo]],BD!A:AJ,36,0))</f>
        <v>35</v>
      </c>
      <c r="H141" s="391" t="str">
        <f>VLOOKUP(Tabela11[[#This Row],[Tag do Cabo]],BD!A:AJ,32,0)</f>
        <v>GA-9312/S</v>
      </c>
      <c r="I141" s="7" t="str">
        <f>VLOOKUP(Tabela11[[#This Row],[Tag do Cabo]],BD!A:AJ,11,0)</f>
        <v>FV-90252B</v>
      </c>
      <c r="J141" s="3" t="str">
        <f>VLOOKUP(Tabela11[[#This Row],[Tag do Cabo]],BD!A:AJ,12,0)</f>
        <v>JBFF-90-106</v>
      </c>
      <c r="K141" s="391" t="s">
        <v>1574</v>
      </c>
      <c r="L141" s="391" t="s">
        <v>1347</v>
      </c>
      <c r="M141" s="3" t="str">
        <f>CONCATENATE(Tabela11[[#This Row],[Painel 1]]&amp;" "&amp;Tabela11[[#This Row],[Painel 2]])</f>
        <v>INSTRUMENTO JBFF-90-106</v>
      </c>
      <c r="N141" s="157">
        <v>6</v>
      </c>
      <c r="O141" s="391">
        <f>COUNTIF(Tabela12[Tag Cabo],Tabela11[[#This Row],[Tag do Cabo]])</f>
        <v>6</v>
      </c>
      <c r="P141" s="391" t="str">
        <f>IF(Tabela11[[#This Row],[Qtde Ligações]]&lt;&gt;Tabela11[[#This Row],[Qtde Anilhas]],"Ver","Ok")</f>
        <v>Ok</v>
      </c>
      <c r="Q141" s="391" t="str">
        <f>VLOOKUP(Tabela11[[#This Row],[Tag do Cabo]],BD!A:F,6,0)</f>
        <v>18AWG</v>
      </c>
      <c r="R141" s="391">
        <f>SUMIF('Lançamento de Cabos'!AE:AE,Tabela11[[#This Row],[Tag do Cabo]],'Lançamento de Cabos'!AG:AG)</f>
        <v>0</v>
      </c>
      <c r="S141" s="28">
        <f>Tabela11[[#This Row],[Ligações Realizadas]]/Tabela11[[#This Row],[Qtde Ligações]]</f>
        <v>0</v>
      </c>
      <c r="T141" s="269">
        <f>IF(Tabela11[[#This Row],[Ligações Realizadas]]/Tabela11[[#This Row],[Qtde Ligações]]=0,0,IF(Tabela11[[#This Row],[Ligações Realizadas]]/Tabela11[[#This Row],[Qtde Ligações]]=1,ROUND(N141/2,0),"Ver Painel"))</f>
        <v>0</v>
      </c>
      <c r="U141" s="23">
        <f>IF(Tabela11[[#This Row],[Ligações Realizadas]]/Tabela11[[#This Row],[Qtde Ligações]]=0,0,IF(Tabela11[[#This Row],[Ligações Realizadas]]/Tabela11[[#This Row],[Qtde Ligações]]=1,ROUND(N141/2,0),"Ver Painel"))</f>
        <v>0</v>
      </c>
      <c r="V141" s="222"/>
    </row>
    <row r="142" spans="1:22" hidden="1" x14ac:dyDescent="0.25">
      <c r="A142" s="34" t="s">
        <v>135</v>
      </c>
      <c r="B142" s="391" t="str">
        <f>VLOOKUP(Tabela11[[#This Row],[Tag do Cabo]],BD!A:AJ,2,0)</f>
        <v>Controle</v>
      </c>
      <c r="C142" s="3" t="str">
        <f>VLOOKUP(Tabela11[[#This Row],[Tag do Cabo]],BD!A:AJ,5,0)</f>
        <v>1x1x12/C#2,5</v>
      </c>
      <c r="D142" s="391" t="s">
        <v>1533</v>
      </c>
      <c r="E142" s="391" t="str">
        <f>VLOOKUP(Tabela11[[#This Row],[Tag do Cabo]],BD!A:T,20,0)</f>
        <v>BK-SP54-0900A-LC-74-00001_00000</v>
      </c>
      <c r="F142" s="222" t="str">
        <f>IF(VLOOKUP(Tabela11[[#This Row],[Tag do Cabo]],BD!A:AJ,35,0)=0,"Pendente",VLOOKUP(Tabela11[[#This Row],[Tag do Cabo]],BD!A:AJ,35,0))</f>
        <v>BK-SP54-0900B-DI-74-00452</v>
      </c>
      <c r="G142" s="3" t="str">
        <f>IF(VLOOKUP(Tabela11[[#This Row],[Tag do Cabo]],BD!A:AJ,36,0)=0,"Pendente",VLOOKUP(Tabela11[[#This Row],[Tag do Cabo]],BD!A:AJ,36,0))</f>
        <v>8</v>
      </c>
      <c r="H142" s="391" t="str">
        <f>VLOOKUP(Tabela11[[#This Row],[Tag do Cabo]],BD!A:AJ,32,0)</f>
        <v>1HV</v>
      </c>
      <c r="I142" s="7" t="str">
        <f>VLOOKUP(Tabela11[[#This Row],[Tag do Cabo]],BD!A:AJ,11,0)</f>
        <v>GAINE 2</v>
      </c>
      <c r="J142" s="3" t="str">
        <f>VLOOKUP(Tabela11[[#This Row],[Tag do Cabo]],BD!A:AJ,12,0)</f>
        <v>1HV-BUS3 - PAINEL 13,8kV - 52D1</v>
      </c>
      <c r="K142" s="391" t="s">
        <v>137</v>
      </c>
      <c r="L142" s="391" t="s">
        <v>104</v>
      </c>
      <c r="M142" s="3" t="str">
        <f>CONCATENATE(Tabela11[[#This Row],[Painel 1]]&amp;" "&amp;Tabela11[[#This Row],[Painel 2]])</f>
        <v>GAINE 2 1HV-BUS3</v>
      </c>
      <c r="N142" s="157">
        <v>24</v>
      </c>
      <c r="O142" s="391">
        <f>COUNTIF(Tabela12[Tag Cabo],Tabela11[[#This Row],[Tag do Cabo]])</f>
        <v>24</v>
      </c>
      <c r="P142" s="391" t="str">
        <f>IF(Tabela11[[#This Row],[Qtde Ligações]]&lt;&gt;Tabela11[[#This Row],[Qtde Anilhas]],"Ver","Ok")</f>
        <v>Ok</v>
      </c>
      <c r="Q142" s="391">
        <f>VLOOKUP(Tabela11[[#This Row],[Tag do Cabo]],BD!A:F,6,0)</f>
        <v>2.5</v>
      </c>
      <c r="R142" s="391">
        <f>SUMIF('Lançamento de Cabos'!AE:AE,Tabela11[[#This Row],[Tag do Cabo]],'Lançamento de Cabos'!AG:AG)</f>
        <v>0</v>
      </c>
      <c r="S142" s="28">
        <f>Tabela11[[#This Row],[Ligações Realizadas]]/Tabela11[[#This Row],[Qtde Ligações]]</f>
        <v>0</v>
      </c>
      <c r="T142" s="269">
        <f>IF(Tabela11[[#This Row],[Ligações Realizadas]]/Tabela11[[#This Row],[Qtde Ligações]]=0,0,IF(Tabela11[[#This Row],[Ligações Realizadas]]/Tabela11[[#This Row],[Qtde Ligações]]=1,ROUND(N142/2,0),"Ver Painel"))</f>
        <v>0</v>
      </c>
      <c r="U142" s="23">
        <f>IF(Tabela11[[#This Row],[Ligações Realizadas]]/Tabela11[[#This Row],[Qtde Ligações]]=0,0,IF(Tabela11[[#This Row],[Ligações Realizadas]]/Tabela11[[#This Row],[Qtde Ligações]]=1,ROUND(N142/2,0),"Ver Painel"))</f>
        <v>0</v>
      </c>
      <c r="V142" s="219"/>
    </row>
    <row r="143" spans="1:22" hidden="1" x14ac:dyDescent="0.25">
      <c r="A143" s="34" t="s">
        <v>142</v>
      </c>
      <c r="B143" s="391" t="str">
        <f>VLOOKUP(Tabela11[[#This Row],[Tag do Cabo]],BD!A:AJ,2,0)</f>
        <v>Controle</v>
      </c>
      <c r="C143" s="3" t="str">
        <f>VLOOKUP(Tabela11[[#This Row],[Tag do Cabo]],BD!A:AJ,5,0)</f>
        <v>1x1x12/C#2,5</v>
      </c>
      <c r="D143" s="391" t="s">
        <v>1533</v>
      </c>
      <c r="E143" s="391" t="str">
        <f>VLOOKUP(Tabela11[[#This Row],[Tag do Cabo]],BD!A:T,20,0)</f>
        <v>BK-SP54-0900A-LC-74-00001_00000</v>
      </c>
      <c r="F143" s="222" t="str">
        <f>IF(VLOOKUP(Tabela11[[#This Row],[Tag do Cabo]],BD!A:AJ,35,0)=0,"Pendente",VLOOKUP(Tabela11[[#This Row],[Tag do Cabo]],BD!A:AJ,35,0))</f>
        <v>BK-SP54-0900B-DI-74-00452</v>
      </c>
      <c r="G143" s="3" t="str">
        <f>IF(VLOOKUP(Tabela11[[#This Row],[Tag do Cabo]],BD!A:AJ,36,0)=0,"Pendente",VLOOKUP(Tabela11[[#This Row],[Tag do Cabo]],BD!A:AJ,36,0))</f>
        <v>8</v>
      </c>
      <c r="H143" s="391" t="str">
        <f>VLOOKUP(Tabela11[[#This Row],[Tag do Cabo]],BD!A:AJ,32,0)</f>
        <v>1HV</v>
      </c>
      <c r="I143" s="7" t="str">
        <f>VLOOKUP(Tabela11[[#This Row],[Tag do Cabo]],BD!A:AJ,11,0)</f>
        <v>GAINE 2</v>
      </c>
      <c r="J143" s="3" t="str">
        <f>VLOOKUP(Tabela11[[#This Row],[Tag do Cabo]],BD!A:AJ,12,0)</f>
        <v>1HV-BUS3 - PAINEL 13,8kV - 52D1</v>
      </c>
      <c r="K143" s="391" t="s">
        <v>137</v>
      </c>
      <c r="L143" s="391" t="s">
        <v>104</v>
      </c>
      <c r="M143" s="3" t="str">
        <f>CONCATENATE(Tabela11[[#This Row],[Painel 1]]&amp;" "&amp;Tabela11[[#This Row],[Painel 2]])</f>
        <v>GAINE 2 1HV-BUS3</v>
      </c>
      <c r="N143" s="157">
        <v>24</v>
      </c>
      <c r="O143" s="391">
        <f>COUNTIF(Tabela12[Tag Cabo],Tabela11[[#This Row],[Tag do Cabo]])</f>
        <v>24</v>
      </c>
      <c r="P143" s="391" t="str">
        <f>IF(Tabela11[[#This Row],[Qtde Ligações]]&lt;&gt;Tabela11[[#This Row],[Qtde Anilhas]],"Ver","Ok")</f>
        <v>Ok</v>
      </c>
      <c r="Q143" s="391">
        <f>VLOOKUP(Tabela11[[#This Row],[Tag do Cabo]],BD!A:F,6,0)</f>
        <v>2.5</v>
      </c>
      <c r="R143" s="391">
        <f>SUMIF('Lançamento de Cabos'!AE:AE,Tabela11[[#This Row],[Tag do Cabo]],'Lançamento de Cabos'!AG:AG)</f>
        <v>0</v>
      </c>
      <c r="S143" s="28">
        <f>Tabela11[[#This Row],[Ligações Realizadas]]/Tabela11[[#This Row],[Qtde Ligações]]</f>
        <v>0</v>
      </c>
      <c r="T143" s="269">
        <f>IF(Tabela11[[#This Row],[Ligações Realizadas]]/Tabela11[[#This Row],[Qtde Ligações]]=0,0,IF(Tabela11[[#This Row],[Ligações Realizadas]]/Tabela11[[#This Row],[Qtde Ligações]]=1,ROUND(N143/2,0),"Ver Painel"))</f>
        <v>0</v>
      </c>
      <c r="U143" s="23">
        <f>IF(Tabela11[[#This Row],[Ligações Realizadas]]/Tabela11[[#This Row],[Qtde Ligações]]=0,0,IF(Tabela11[[#This Row],[Ligações Realizadas]]/Tabela11[[#This Row],[Qtde Ligações]]=1,ROUND(N143/2,0),"Ver Painel"))</f>
        <v>0</v>
      </c>
      <c r="V143" s="219"/>
    </row>
    <row r="144" spans="1:22" hidden="1" x14ac:dyDescent="0.25">
      <c r="A144" s="34" t="s">
        <v>143</v>
      </c>
      <c r="B144" s="391" t="str">
        <f>VLOOKUP(Tabela11[[#This Row],[Tag do Cabo]],BD!A:AJ,2,0)</f>
        <v>Controle</v>
      </c>
      <c r="C144" s="3" t="str">
        <f>VLOOKUP(Tabela11[[#This Row],[Tag do Cabo]],BD!A:AJ,5,0)</f>
        <v>1x1x12/C#2,5</v>
      </c>
      <c r="D144" s="391" t="s">
        <v>1533</v>
      </c>
      <c r="E144" s="391" t="str">
        <f>VLOOKUP(Tabela11[[#This Row],[Tag do Cabo]],BD!A:T,20,0)</f>
        <v>BK-SP54-0900A-LC-74-00001_00000</v>
      </c>
      <c r="F144" s="222" t="str">
        <f>IF(VLOOKUP(Tabela11[[#This Row],[Tag do Cabo]],BD!A:AJ,35,0)=0,"Pendente",VLOOKUP(Tabela11[[#This Row],[Tag do Cabo]],BD!A:AJ,35,0))</f>
        <v>BK-SP54-0900B-DI-74-00452</v>
      </c>
      <c r="G144" s="3" t="str">
        <f>IF(VLOOKUP(Tabela11[[#This Row],[Tag do Cabo]],BD!A:AJ,36,0)=0,"Pendente",VLOOKUP(Tabela11[[#This Row],[Tag do Cabo]],BD!A:AJ,36,0))</f>
        <v>8</v>
      </c>
      <c r="H144" s="391" t="str">
        <f>VLOOKUP(Tabela11[[#This Row],[Tag do Cabo]],BD!A:AJ,32,0)</f>
        <v>1HV</v>
      </c>
      <c r="I144" s="7" t="str">
        <f>VLOOKUP(Tabela11[[#This Row],[Tag do Cabo]],BD!A:AJ,11,0)</f>
        <v>GAINE 2</v>
      </c>
      <c r="J144" s="3" t="str">
        <f>VLOOKUP(Tabela11[[#This Row],[Tag do Cabo]],BD!A:AJ,12,0)</f>
        <v>1HV-BUS3 - PAINEL 13,8kV - 52D1</v>
      </c>
      <c r="K144" s="391" t="s">
        <v>137</v>
      </c>
      <c r="L144" s="391" t="s">
        <v>104</v>
      </c>
      <c r="M144" s="3" t="str">
        <f>CONCATENATE(Tabela11[[#This Row],[Painel 1]]&amp;" "&amp;Tabela11[[#This Row],[Painel 2]])</f>
        <v>GAINE 2 1HV-BUS3</v>
      </c>
      <c r="N144" s="157">
        <v>24</v>
      </c>
      <c r="O144" s="391">
        <f>COUNTIF(Tabela12[Tag Cabo],Tabela11[[#This Row],[Tag do Cabo]])</f>
        <v>24</v>
      </c>
      <c r="P144" s="391" t="str">
        <f>IF(Tabela11[[#This Row],[Qtde Ligações]]&lt;&gt;Tabela11[[#This Row],[Qtde Anilhas]],"Ver","Ok")</f>
        <v>Ok</v>
      </c>
      <c r="Q144" s="391">
        <f>VLOOKUP(Tabela11[[#This Row],[Tag do Cabo]],BD!A:F,6,0)</f>
        <v>2.5</v>
      </c>
      <c r="R144" s="391">
        <f>SUMIF('Lançamento de Cabos'!AE:AE,Tabela11[[#This Row],[Tag do Cabo]],'Lançamento de Cabos'!AG:AG)</f>
        <v>0</v>
      </c>
      <c r="S144" s="28">
        <f>Tabela11[[#This Row],[Ligações Realizadas]]/Tabela11[[#This Row],[Qtde Ligações]]</f>
        <v>0</v>
      </c>
      <c r="T144" s="269">
        <f>IF(Tabela11[[#This Row],[Ligações Realizadas]]/Tabela11[[#This Row],[Qtde Ligações]]=0,0,IF(Tabela11[[#This Row],[Ligações Realizadas]]/Tabela11[[#This Row],[Qtde Ligações]]=1,ROUND(N144/2,0),"Ver Painel"))</f>
        <v>0</v>
      </c>
      <c r="U144" s="23">
        <f>IF(Tabela11[[#This Row],[Ligações Realizadas]]/Tabela11[[#This Row],[Qtde Ligações]]=0,0,IF(Tabela11[[#This Row],[Ligações Realizadas]]/Tabela11[[#This Row],[Qtde Ligações]]=1,ROUND(N144/2,0),"Ver Painel"))</f>
        <v>0</v>
      </c>
      <c r="V144" s="219"/>
    </row>
    <row r="145" spans="1:22" hidden="1" x14ac:dyDescent="0.25">
      <c r="A145" s="34" t="s">
        <v>475</v>
      </c>
      <c r="B145" s="391" t="str">
        <f>VLOOKUP(Tabela11[[#This Row],[Tag do Cabo]],BD!A:AJ,2,0)</f>
        <v>Controle</v>
      </c>
      <c r="C145" s="3" t="str">
        <f>VLOOKUP(Tabela11[[#This Row],[Tag do Cabo]],BD!A:AJ,5,0)</f>
        <v>1x1x15xC#1,5</v>
      </c>
      <c r="D145" s="391" t="s">
        <v>1542</v>
      </c>
      <c r="E145" s="391" t="str">
        <f>VLOOKUP(Tabela11[[#This Row],[Tag do Cabo]],BD!A:T,20,0)</f>
        <v>E5WP000490-C-001-LC004</v>
      </c>
      <c r="F145" s="3" t="str">
        <f>IF(VLOOKUP(Tabela11[[#This Row],[Tag do Cabo]],BD!A:AJ,35,0)=0,"Pendente",VLOOKUP(Tabela11[[#This Row],[Tag do Cabo]],BD!A:AJ,35,0))</f>
        <v>E5WP000490-C-002-DE004</v>
      </c>
      <c r="G145" s="3" t="str">
        <f>IF(VLOOKUP(Tabela11[[#This Row],[Tag do Cabo]],BD!A:AJ,36,0)=0,"Pendente",VLOOKUP(Tabela11[[#This Row],[Tag do Cabo]],BD!A:AJ,36,0))</f>
        <v>5</v>
      </c>
      <c r="H145" s="391" t="str">
        <f>VLOOKUP(Tabela11[[#This Row],[Tag do Cabo]],BD!A:AJ,32,0)</f>
        <v>7HV</v>
      </c>
      <c r="I145" s="7" t="str">
        <f>VLOOKUP(Tabela11[[#This Row],[Tag do Cabo]],BD!A:AJ,11,0)</f>
        <v>E-HOUSE (GB-1201-INV)</v>
      </c>
      <c r="J145" s="3" t="str">
        <f>VLOOKUP(Tabela11[[#This Row],[Tag do Cabo]],BD!A:AJ,12,0)</f>
        <v>CELLAR AREA (CL-7HV)</v>
      </c>
      <c r="K145" s="391" t="s">
        <v>1588</v>
      </c>
      <c r="L145" s="391" t="s">
        <v>1593</v>
      </c>
      <c r="M145" s="3" t="str">
        <f>CONCATENATE(Tabela11[[#This Row],[Painel 1]]&amp;" "&amp;Tabela11[[#This Row],[Painel 2]])</f>
        <v>GB-1201-INV CL-7HV</v>
      </c>
      <c r="N145" s="157">
        <v>24</v>
      </c>
      <c r="O145" s="391" t="s">
        <v>92</v>
      </c>
      <c r="P145" s="391" t="s">
        <v>1550</v>
      </c>
      <c r="Q145" s="391">
        <f>VLOOKUP(Tabela11[[#This Row],[Tag do Cabo]],BD!A:F,6,0)</f>
        <v>1.5</v>
      </c>
      <c r="R145" s="391">
        <f>SUMIF('Lançamento de Cabos'!AE:AE,Tabela11[[#This Row],[Tag do Cabo]],'Lançamento de Cabos'!AG:AG)</f>
        <v>24</v>
      </c>
      <c r="S145" s="28">
        <f>Tabela11[[#This Row],[Ligações Realizadas]]/Tabela11[[#This Row],[Qtde Ligações]]</f>
        <v>1</v>
      </c>
      <c r="T145" s="272">
        <f>IF(Tabela11[[#This Row],[Ligações Realizadas]]/Tabela11[[#This Row],[Qtde Ligações]]=0,0,IF(Tabela11[[#This Row],[Ligações Realizadas]]/Tabela11[[#This Row],[Qtde Ligações]]=1,ROUND(N145/2,0),"Ver Painel"))</f>
        <v>12</v>
      </c>
      <c r="U145" s="273">
        <f>IF(Tabela11[[#This Row],[Ligações Realizadas]]/Tabela11[[#This Row],[Qtde Ligações]]=0,0,IF(Tabela11[[#This Row],[Ligações Realizadas]]/Tabela11[[#This Row],[Qtde Ligações]]=1,ROUND(N145/2,0),"Ver Painel"))</f>
        <v>12</v>
      </c>
      <c r="V145" s="222"/>
    </row>
    <row r="146" spans="1:22" hidden="1" x14ac:dyDescent="0.25">
      <c r="A146" s="34" t="s">
        <v>477</v>
      </c>
      <c r="B146" s="391" t="str">
        <f>VLOOKUP(Tabela11[[#This Row],[Tag do Cabo]],BD!A:AJ,2,0)</f>
        <v>Controle</v>
      </c>
      <c r="C146" s="3" t="str">
        <f>VLOOKUP(Tabela11[[#This Row],[Tag do Cabo]],BD!A:AJ,5,0)</f>
        <v>1x1x15xC#1,5</v>
      </c>
      <c r="D146" s="391" t="s">
        <v>1542</v>
      </c>
      <c r="E146" s="391" t="str">
        <f>VLOOKUP(Tabela11[[#This Row],[Tag do Cabo]],BD!A:T,20,0)</f>
        <v>E5WP000490-C-001-LC004</v>
      </c>
      <c r="F146" s="3" t="str">
        <f>IF(VLOOKUP(Tabela11[[#This Row],[Tag do Cabo]],BD!A:AJ,35,0)=0,"Pendente",VLOOKUP(Tabela11[[#This Row],[Tag do Cabo]],BD!A:AJ,35,0))</f>
        <v>E5WP000490-C-002-DE004</v>
      </c>
      <c r="G146" s="3" t="str">
        <f>IF(VLOOKUP(Tabela11[[#This Row],[Tag do Cabo]],BD!A:AJ,36,0)=0,"Pendente",VLOOKUP(Tabela11[[#This Row],[Tag do Cabo]],BD!A:AJ,36,0))</f>
        <v>5</v>
      </c>
      <c r="H146" s="391" t="str">
        <f>VLOOKUP(Tabela11[[#This Row],[Tag do Cabo]],BD!A:AJ,32,0)</f>
        <v>7HV</v>
      </c>
      <c r="I146" s="7" t="str">
        <f>VLOOKUP(Tabela11[[#This Row],[Tag do Cabo]],BD!A:AJ,11,0)</f>
        <v>E-HOUSE (GB-351-INV)</v>
      </c>
      <c r="J146" s="3" t="str">
        <f>VLOOKUP(Tabela11[[#This Row],[Tag do Cabo]],BD!A:AJ,12,0)</f>
        <v>CELLAR AREA (CL-7HV)</v>
      </c>
      <c r="K146" s="391" t="s">
        <v>687</v>
      </c>
      <c r="L146" s="391" t="s">
        <v>1593</v>
      </c>
      <c r="M146" s="3" t="str">
        <f>CONCATENATE(Tabela11[[#This Row],[Painel 1]]&amp;" "&amp;Tabela11[[#This Row],[Painel 2]])</f>
        <v>GB-351-INV CL-7HV</v>
      </c>
      <c r="N146" s="157">
        <v>24</v>
      </c>
      <c r="O146" s="391" t="s">
        <v>92</v>
      </c>
      <c r="P146" s="391" t="s">
        <v>1550</v>
      </c>
      <c r="Q146" s="391">
        <f>VLOOKUP(Tabela11[[#This Row],[Tag do Cabo]],BD!A:F,6,0)</f>
        <v>1.5</v>
      </c>
      <c r="R146" s="391">
        <f>SUMIF('Lançamento de Cabos'!AE:AE,Tabela11[[#This Row],[Tag do Cabo]],'Lançamento de Cabos'!AG:AG)</f>
        <v>24</v>
      </c>
      <c r="S146" s="28">
        <f>Tabela11[[#This Row],[Ligações Realizadas]]/Tabela11[[#This Row],[Qtde Ligações]]</f>
        <v>1</v>
      </c>
      <c r="T146" s="272">
        <f>IF(Tabela11[[#This Row],[Ligações Realizadas]]/Tabela11[[#This Row],[Qtde Ligações]]=0,0,IF(Tabela11[[#This Row],[Ligações Realizadas]]/Tabela11[[#This Row],[Qtde Ligações]]=1,ROUND(N146/2,0),"Ver Painel"))</f>
        <v>12</v>
      </c>
      <c r="U146" s="273">
        <f>IF(Tabela11[[#This Row],[Ligações Realizadas]]/Tabela11[[#This Row],[Qtde Ligações]]=0,0,IF(Tabela11[[#This Row],[Ligações Realizadas]]/Tabela11[[#This Row],[Qtde Ligações]]=1,ROUND(N146/2,0),"Ver Painel"))</f>
        <v>12</v>
      </c>
      <c r="V146" s="222"/>
    </row>
    <row r="147" spans="1:22" hidden="1" x14ac:dyDescent="0.25">
      <c r="A147" s="34" t="s">
        <v>701</v>
      </c>
      <c r="B147" s="391" t="str">
        <f>VLOOKUP(Tabela11[[#This Row],[Tag do Cabo]],BD!A:AJ,2,0)</f>
        <v>Força</v>
      </c>
      <c r="C147" s="3" t="str">
        <f>VLOOKUP(Tabela11[[#This Row],[Tag do Cabo]],BD!A:AJ,5,0)</f>
        <v>2x3x1/c#240</v>
      </c>
      <c r="D147" s="391" t="s">
        <v>1542</v>
      </c>
      <c r="E147" s="391" t="str">
        <f>VLOOKUP(Tabela11[[#This Row],[Tag do Cabo]],BD!A:T,20,0)</f>
        <v>BK-SP54-0900B-LC-74-00004_00000</v>
      </c>
      <c r="F147" s="3" t="str">
        <f>IF(VLOOKUP(Tabela11[[#This Row],[Tag do Cabo]],BD!A:AJ,35,0)=0,"Pendente",VLOOKUP(Tabela11[[#This Row],[Tag do Cabo]],BD!A:AJ,35,0))</f>
        <v>BK-SP54-0900B-DI-70-01014</v>
      </c>
      <c r="G147" s="3" t="str">
        <f>IF(VLOOKUP(Tabela11[[#This Row],[Tag do Cabo]],BD!A:AJ,36,0)=0,"Pendente",VLOOKUP(Tabela11[[#This Row],[Tag do Cabo]],BD!A:AJ,36,0))</f>
        <v>3</v>
      </c>
      <c r="H147" s="391" t="str">
        <f>VLOOKUP(Tabela11[[#This Row],[Tag do Cabo]],BD!A:AJ,32,0)</f>
        <v>7HVxGB-1201</v>
      </c>
      <c r="I147" s="7" t="str">
        <f>VLOOKUP(Tabela11[[#This Row],[Tag do Cabo]],BD!A:AJ,11,0)</f>
        <v>GBM-1201-INV</v>
      </c>
      <c r="J147" s="3" t="str">
        <f>VLOOKUP(Tabela11[[#This Row],[Tag do Cabo]],BD!A:AJ,12,0)</f>
        <v>GBM-1201</v>
      </c>
      <c r="K147" s="391" t="s">
        <v>1588</v>
      </c>
      <c r="L147" s="391" t="s">
        <v>703</v>
      </c>
      <c r="M147" s="3" t="str">
        <f>CONCATENATE(Tabela11[[#This Row],[Painel 1]]&amp;" "&amp;Tabela11[[#This Row],[Painel 2]])</f>
        <v>GB-1201-INV GB-1201</v>
      </c>
      <c r="N147" s="157">
        <v>12</v>
      </c>
      <c r="O147" s="391" t="s">
        <v>92</v>
      </c>
      <c r="P147" s="391" t="s">
        <v>1536</v>
      </c>
      <c r="Q147" s="391">
        <f>VLOOKUP(Tabela11[[#This Row],[Tag do Cabo]],BD!A:F,6,0)</f>
        <v>240</v>
      </c>
      <c r="R147" s="391">
        <f>SUMIF('Lançamento de Cabos'!AE:AE,Tabela11[[#This Row],[Tag do Cabo]],'Lançamento de Cabos'!AG:AG)</f>
        <v>0</v>
      </c>
      <c r="S147" s="28">
        <f>Tabela11[[#This Row],[Ligações Realizadas]]/Tabela11[[#This Row],[Qtde Ligações]]</f>
        <v>0</v>
      </c>
      <c r="T147" s="269">
        <f>IF(Tabela11[[#This Row],[Ligações Realizadas]]/Tabela11[[#This Row],[Qtde Ligações]]=0,0,IF(Tabela11[[#This Row],[Ligações Realizadas]]/Tabela11[[#This Row],[Qtde Ligações]]=1,ROUND(N147/2,0),"Ver Painel"))</f>
        <v>0</v>
      </c>
      <c r="U147" s="23">
        <f>IF(Tabela11[[#This Row],[Ligações Realizadas]]/Tabela11[[#This Row],[Qtde Ligações]]=0,0,IF(Tabela11[[#This Row],[Ligações Realizadas]]/Tabela11[[#This Row],[Qtde Ligações]]=1,ROUND(N147/2,0),"Ver Painel"))</f>
        <v>0</v>
      </c>
      <c r="V147" s="222"/>
    </row>
    <row r="148" spans="1:22" hidden="1" x14ac:dyDescent="0.25">
      <c r="A148" s="34" t="s">
        <v>731</v>
      </c>
      <c r="B148" s="391" t="str">
        <f>VLOOKUP(Tabela11[[#This Row],[Tag do Cabo]],BD!A:AJ,2,0)</f>
        <v>Força</v>
      </c>
      <c r="C148" s="3" t="str">
        <f>VLOOKUP(Tabela11[[#This Row],[Tag do Cabo]],BD!A:AJ,5,0)</f>
        <v>4x3x1/c#240</v>
      </c>
      <c r="D148" s="391" t="s">
        <v>1542</v>
      </c>
      <c r="E148" s="391" t="str">
        <f>VLOOKUP(Tabela11[[#This Row],[Tag do Cabo]],BD!A:T,20,0)</f>
        <v>BK-SP54-0900B-LC-74-00004_00000</v>
      </c>
      <c r="F148" s="3" t="str">
        <f>IF(VLOOKUP(Tabela11[[#This Row],[Tag do Cabo]],BD!A:AJ,35,0)=0,"Pendente",VLOOKUP(Tabela11[[#This Row],[Tag do Cabo]],BD!A:AJ,35,0))</f>
        <v>BK-SP54-0900B-DI-70-01014</v>
      </c>
      <c r="G148" s="3" t="str">
        <f>IF(VLOOKUP(Tabela11[[#This Row],[Tag do Cabo]],BD!A:AJ,36,0)=0,"Pendente",VLOOKUP(Tabela11[[#This Row],[Tag do Cabo]],BD!A:AJ,36,0))</f>
        <v>4</v>
      </c>
      <c r="H148" s="391" t="str">
        <f>VLOOKUP(Tabela11[[#This Row],[Tag do Cabo]],BD!A:AJ,32,0)</f>
        <v>7HVxGB-1203</v>
      </c>
      <c r="I148" s="7" t="str">
        <f>VLOOKUP(Tabela11[[#This Row],[Tag do Cabo]],BD!A:AJ,11,0)</f>
        <v>GBM-1203-INV</v>
      </c>
      <c r="J148" s="3" t="str">
        <f>VLOOKUP(Tabela11[[#This Row],[Tag do Cabo]],BD!A:AJ,12,0)</f>
        <v>GBM-1203</v>
      </c>
      <c r="K148" s="391" t="s">
        <v>1589</v>
      </c>
      <c r="L148" s="391" t="s">
        <v>733</v>
      </c>
      <c r="M148" s="3" t="str">
        <f>CONCATENATE(Tabela11[[#This Row],[Painel 1]]&amp;" "&amp;Tabela11[[#This Row],[Painel 2]])</f>
        <v>GB-1203-INV GB-1203</v>
      </c>
      <c r="N148" s="157">
        <v>24</v>
      </c>
      <c r="O148" s="391" t="s">
        <v>92</v>
      </c>
      <c r="P148" s="391" t="s">
        <v>1536</v>
      </c>
      <c r="Q148" s="391">
        <f>VLOOKUP(Tabela11[[#This Row],[Tag do Cabo]],BD!A:F,6,0)</f>
        <v>240</v>
      </c>
      <c r="R148" s="391">
        <f>SUMIF('Lançamento de Cabos'!AE:AE,Tabela11[[#This Row],[Tag do Cabo]],'Lançamento de Cabos'!AG:AG)</f>
        <v>0</v>
      </c>
      <c r="S148" s="28">
        <f>Tabela11[[#This Row],[Ligações Realizadas]]/Tabela11[[#This Row],[Qtde Ligações]]</f>
        <v>0</v>
      </c>
      <c r="T148" s="269">
        <f>IF(Tabela11[[#This Row],[Ligações Realizadas]]/Tabela11[[#This Row],[Qtde Ligações]]=0,0,IF(Tabela11[[#This Row],[Ligações Realizadas]]/Tabela11[[#This Row],[Qtde Ligações]]=1,ROUND(N148/2,0),"Ver Painel"))</f>
        <v>0</v>
      </c>
      <c r="U148" s="23">
        <f>IF(Tabela11[[#This Row],[Ligações Realizadas]]/Tabela11[[#This Row],[Qtde Ligações]]=0,0,IF(Tabela11[[#This Row],[Ligações Realizadas]]/Tabela11[[#This Row],[Qtde Ligações]]=1,ROUND(N148/2,0),"Ver Painel"))</f>
        <v>0</v>
      </c>
      <c r="V148" s="222"/>
    </row>
    <row r="149" spans="1:22" hidden="1" x14ac:dyDescent="0.25">
      <c r="A149" s="34" t="s">
        <v>760</v>
      </c>
      <c r="B149" s="391" t="str">
        <f>VLOOKUP(Tabela11[[#This Row],[Tag do Cabo]],BD!A:AJ,2,0)</f>
        <v>Força</v>
      </c>
      <c r="C149" s="3" t="str">
        <f>VLOOKUP(Tabela11[[#This Row],[Tag do Cabo]],BD!A:AJ,5,0)</f>
        <v>4x3x1/C#240</v>
      </c>
      <c r="D149" s="391" t="s">
        <v>1542</v>
      </c>
      <c r="E149" s="391" t="str">
        <f>VLOOKUP(Tabela11[[#This Row],[Tag do Cabo]],BD!A:T,20,0)</f>
        <v>BK-SP54-0900B-LC-74-00004_00000</v>
      </c>
      <c r="F149" s="3" t="str">
        <f>IF(VLOOKUP(Tabela11[[#This Row],[Tag do Cabo]],BD!A:AJ,35,0)=0,"Pendente",VLOOKUP(Tabela11[[#This Row],[Tag do Cabo]],BD!A:AJ,35,0))</f>
        <v>BK-SP54-0900B-DI-70-01014</v>
      </c>
      <c r="G149" s="3" t="str">
        <f>IF(VLOOKUP(Tabela11[[#This Row],[Tag do Cabo]],BD!A:AJ,36,0)=0,"Pendente",VLOOKUP(Tabela11[[#This Row],[Tag do Cabo]],BD!A:AJ,36,0))</f>
        <v>1</v>
      </c>
      <c r="H149" s="391" t="str">
        <f>VLOOKUP(Tabela11[[#This Row],[Tag do Cabo]],BD!A:AJ,32,0)</f>
        <v>7HVxGB-200</v>
      </c>
      <c r="I149" s="7" t="str">
        <f>VLOOKUP(Tabela11[[#This Row],[Tag do Cabo]],BD!A:AJ,11,0)</f>
        <v>GBM-200-INV</v>
      </c>
      <c r="J149" s="3" t="str">
        <f>VLOOKUP(Tabela11[[#This Row],[Tag do Cabo]],BD!A:AJ,12,0)</f>
        <v>GBM-200</v>
      </c>
      <c r="K149" s="391" t="s">
        <v>1590</v>
      </c>
      <c r="L149" s="391" t="s">
        <v>762</v>
      </c>
      <c r="M149" s="3" t="str">
        <f>CONCATENATE(Tabela11[[#This Row],[Painel 1]]&amp;" "&amp;Tabela11[[#This Row],[Painel 2]])</f>
        <v>GB-200-INV GB-200</v>
      </c>
      <c r="N149" s="157">
        <v>24</v>
      </c>
      <c r="O149" s="391" t="s">
        <v>92</v>
      </c>
      <c r="P149" s="391" t="s">
        <v>1536</v>
      </c>
      <c r="Q149" s="391">
        <f>VLOOKUP(Tabela11[[#This Row],[Tag do Cabo]],BD!A:F,6,0)</f>
        <v>240</v>
      </c>
      <c r="R149" s="391">
        <f>SUMIF('Lançamento de Cabos'!AE:AE,Tabela11[[#This Row],[Tag do Cabo]],'Lançamento de Cabos'!AG:AG)</f>
        <v>0</v>
      </c>
      <c r="S149" s="28">
        <f>Tabela11[[#This Row],[Ligações Realizadas]]/Tabela11[[#This Row],[Qtde Ligações]]</f>
        <v>0</v>
      </c>
      <c r="T149" s="269">
        <f>IF(Tabela11[[#This Row],[Ligações Realizadas]]/Tabela11[[#This Row],[Qtde Ligações]]=0,0,IF(Tabela11[[#This Row],[Ligações Realizadas]]/Tabela11[[#This Row],[Qtde Ligações]]=1,ROUND(N149/2,0),"Ver Painel"))</f>
        <v>0</v>
      </c>
      <c r="U149" s="23">
        <f>IF(Tabela11[[#This Row],[Ligações Realizadas]]/Tabela11[[#This Row],[Qtde Ligações]]=0,0,IF(Tabela11[[#This Row],[Ligações Realizadas]]/Tabela11[[#This Row],[Qtde Ligações]]=1,ROUND(N149/2,0),"Ver Painel"))</f>
        <v>0</v>
      </c>
      <c r="V149" s="222"/>
    </row>
    <row r="150" spans="1:22" hidden="1" x14ac:dyDescent="0.25">
      <c r="A150" s="34" t="s">
        <v>785</v>
      </c>
      <c r="B150" s="391" t="str">
        <f>VLOOKUP(Tabela11[[#This Row],[Tag do Cabo]],BD!A:AJ,2,0)</f>
        <v>Força</v>
      </c>
      <c r="C150" s="3" t="str">
        <f>VLOOKUP(Tabela11[[#This Row],[Tag do Cabo]],BD!A:AJ,5,0)</f>
        <v>2x3x1/C#95</v>
      </c>
      <c r="D150" s="391" t="s">
        <v>1542</v>
      </c>
      <c r="E150" s="391" t="str">
        <f>VLOOKUP(Tabela11[[#This Row],[Tag do Cabo]],BD!A:T,20,0)</f>
        <v>BK-SP54-0900B-LC-74-00004_00000</v>
      </c>
      <c r="F150" s="3" t="str">
        <f>IF(VLOOKUP(Tabela11[[#This Row],[Tag do Cabo]],BD!A:AJ,35,0)=0,"Pendente",VLOOKUP(Tabela11[[#This Row],[Tag do Cabo]],BD!A:AJ,35,0))</f>
        <v>BK-SP54-0900B-DI-70-01014</v>
      </c>
      <c r="G150" s="3" t="str">
        <f>IF(VLOOKUP(Tabela11[[#This Row],[Tag do Cabo]],BD!A:AJ,36,0)=0,"Pendente",VLOOKUP(Tabela11[[#This Row],[Tag do Cabo]],BD!A:AJ,36,0))</f>
        <v>2</v>
      </c>
      <c r="H150" s="391" t="str">
        <f>VLOOKUP(Tabela11[[#This Row],[Tag do Cabo]],BD!A:AJ,32,0)</f>
        <v>7HVxGB-351</v>
      </c>
      <c r="I150" s="7" t="str">
        <f>VLOOKUP(Tabela11[[#This Row],[Tag do Cabo]],BD!A:AJ,11,0)</f>
        <v>GBM-351-INV</v>
      </c>
      <c r="J150" s="3" t="str">
        <f>VLOOKUP(Tabela11[[#This Row],[Tag do Cabo]],BD!A:AJ,12,0)</f>
        <v>GBM-351</v>
      </c>
      <c r="K150" s="391" t="s">
        <v>687</v>
      </c>
      <c r="L150" s="391" t="s">
        <v>787</v>
      </c>
      <c r="M150" s="3" t="str">
        <f>CONCATENATE(Tabela11[[#This Row],[Painel 1]]&amp;" "&amp;Tabela11[[#This Row],[Painel 2]])</f>
        <v>GB-351-INV GB-351</v>
      </c>
      <c r="N150" s="157">
        <v>12</v>
      </c>
      <c r="O150" s="391" t="s">
        <v>92</v>
      </c>
      <c r="P150" s="391" t="s">
        <v>1536</v>
      </c>
      <c r="Q150" s="391">
        <f>VLOOKUP(Tabela11[[#This Row],[Tag do Cabo]],BD!A:F,6,0)</f>
        <v>95</v>
      </c>
      <c r="R150" s="391">
        <f>SUMIF('Lançamento de Cabos'!AE:AE,Tabela11[[#This Row],[Tag do Cabo]],'Lançamento de Cabos'!AG:AG)</f>
        <v>0</v>
      </c>
      <c r="S150" s="28">
        <f>Tabela11[[#This Row],[Ligações Realizadas]]/Tabela11[[#This Row],[Qtde Ligações]]</f>
        <v>0</v>
      </c>
      <c r="T150" s="269">
        <f>IF(Tabela11[[#This Row],[Ligações Realizadas]]/Tabela11[[#This Row],[Qtde Ligações]]=0,0,IF(Tabela11[[#This Row],[Ligações Realizadas]]/Tabela11[[#This Row],[Qtde Ligações]]=1,ROUND(N150/2,0),"Ver Painel"))</f>
        <v>0</v>
      </c>
      <c r="U150" s="23">
        <f>IF(Tabela11[[#This Row],[Ligações Realizadas]]/Tabela11[[#This Row],[Qtde Ligações]]=0,0,IF(Tabela11[[#This Row],[Ligações Realizadas]]/Tabela11[[#This Row],[Qtde Ligações]]=1,ROUND(N150/2,0),"Ver Painel"))</f>
        <v>0</v>
      </c>
      <c r="V150" s="222"/>
    </row>
    <row r="151" spans="1:22" hidden="1" x14ac:dyDescent="0.25">
      <c r="A151" s="34" t="s">
        <v>1402</v>
      </c>
      <c r="B151" s="391" t="str">
        <f>VLOOKUP(Tabela11[[#This Row],[Tag do Cabo]],BD!A:AJ,2,0)</f>
        <v>Controle</v>
      </c>
      <c r="C151" s="3" t="str">
        <f>VLOOKUP(Tabela11[[#This Row],[Tag do Cabo]],BD!A:AJ,5,0)</f>
        <v>1P#1,0mm²+SHI</v>
      </c>
      <c r="D151" s="391" t="s">
        <v>1533</v>
      </c>
      <c r="E151" s="391" t="str">
        <f>VLOOKUP(Tabela11[[#This Row],[Tag do Cabo]],BD!A:T,20,0)</f>
        <v>BK-SP54-0900A-LC-80-00168_00000</v>
      </c>
      <c r="F151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151" s="3" t="str">
        <f>IF(VLOOKUP(Tabela11[[#This Row],[Tag do Cabo]],BD!A:AJ,36,0)=0,"Pendente",VLOOKUP(Tabela11[[#This Row],[Tag do Cabo]],BD!A:AJ,36,0))</f>
        <v>15/41/5</v>
      </c>
      <c r="H151" s="391" t="str">
        <f>VLOOKUP(Tabela11[[#This Row],[Tag do Cabo]],BD!A:AJ,32,0)</f>
        <v>Perif.IVxCCU</v>
      </c>
      <c r="I151" s="7" t="str">
        <f>VLOOKUP(Tabela11[[#This Row],[Tag do Cabo]],BD!A:AJ,11,0)</f>
        <v>PY-9227G (PERIFÉRICOS IV)</v>
      </c>
      <c r="J151" s="3" t="str">
        <f>VLOOKUP(Tabela11[[#This Row],[Tag do Cabo]],BD!A:AJ,12,0)</f>
        <v>GABINETE DELTA V - BF 905</v>
      </c>
      <c r="K151" s="391" t="s">
        <v>1574</v>
      </c>
      <c r="L151" s="391" t="s">
        <v>1575</v>
      </c>
      <c r="M151" s="3" t="str">
        <f>CONCATENATE(Tabela11[[#This Row],[Painel 1]]&amp;" "&amp;Tabela11[[#This Row],[Painel 2]])</f>
        <v>INSTRUMENTO DELTA V</v>
      </c>
      <c r="N151" s="157">
        <v>4</v>
      </c>
      <c r="O151" s="391">
        <f>COUNTIF(Tabela12[Tag Cabo],Tabela11[[#This Row],[Tag do Cabo]])</f>
        <v>4</v>
      </c>
      <c r="P151" s="391" t="str">
        <f>IF(Tabela11[[#This Row],[Qtde Ligações]]&lt;&gt;Tabela11[[#This Row],[Qtde Anilhas]],"Ver","Ok")</f>
        <v>Ok</v>
      </c>
      <c r="Q151" s="391">
        <f>VLOOKUP(Tabela11[[#This Row],[Tag do Cabo]],BD!A:F,6,0)</f>
        <v>1</v>
      </c>
      <c r="R151" s="391">
        <f>SUMIF('Lançamento de Cabos'!AE:AE,Tabela11[[#This Row],[Tag do Cabo]],'Lançamento de Cabos'!AG:AG)</f>
        <v>0</v>
      </c>
      <c r="S151" s="28">
        <f>Tabela11[[#This Row],[Ligações Realizadas]]/Tabela11[[#This Row],[Qtde Ligações]]</f>
        <v>0</v>
      </c>
      <c r="T151" s="269">
        <f>IF(Tabela11[[#This Row],[Ligações Realizadas]]/Tabela11[[#This Row],[Qtde Ligações]]=0,0,IF(Tabela11[[#This Row],[Ligações Realizadas]]/Tabela11[[#This Row],[Qtde Ligações]]=1,ROUND(N151/2,0),"Ver Painel"))</f>
        <v>0</v>
      </c>
      <c r="U151" s="23">
        <f>IF(Tabela11[[#This Row],[Ligações Realizadas]]/Tabela11[[#This Row],[Qtde Ligações]]=0,0,IF(Tabela11[[#This Row],[Ligações Realizadas]]/Tabela11[[#This Row],[Qtde Ligações]]=1,ROUND(N151/2,0),"Ver Painel"))</f>
        <v>0</v>
      </c>
      <c r="V151" s="222"/>
    </row>
    <row r="152" spans="1:22" hidden="1" x14ac:dyDescent="0.25">
      <c r="A152" s="34" t="s">
        <v>1303</v>
      </c>
      <c r="B152" s="391" t="str">
        <f>VLOOKUP(Tabela11[[#This Row],[Tag do Cabo]],BD!A:AJ,2,0)</f>
        <v>Controle</v>
      </c>
      <c r="C152" s="3" t="str">
        <f>VLOOKUP(Tabela11[[#This Row],[Tag do Cabo]],BD!A:AJ,5,0)</f>
        <v>1P x 1,0mm² + Shield (N.I.S.)</v>
      </c>
      <c r="D152" s="391" t="s">
        <v>1533</v>
      </c>
      <c r="E152" s="391" t="str">
        <f>VLOOKUP(Tabela11[[#This Row],[Tag do Cabo]],BD!A:T,20,0)</f>
        <v>BK-SP54-0900A-LC-80-00188_00000</v>
      </c>
      <c r="F152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152" s="3" t="str">
        <f>IF(VLOOKUP(Tabela11[[#This Row],[Tag do Cabo]],BD!A:AJ,36,0)=0,"Pendente",VLOOKUP(Tabela11[[#This Row],[Tag do Cabo]],BD!A:AJ,36,0))</f>
        <v>12/52/3</v>
      </c>
      <c r="H152" s="391" t="str">
        <f>VLOOKUP(Tabela11[[#This Row],[Tag do Cabo]],BD!A:AJ,32,0)</f>
        <v>COGxPERIF.IV</v>
      </c>
      <c r="I152" s="7" t="str">
        <f>VLOOKUP(Tabela11[[#This Row],[Tag do Cabo]],BD!A:AJ,11,0)</f>
        <v>COGERAÇÃO - GUASCOR</v>
      </c>
      <c r="J152" s="3" t="str">
        <f>VLOOKUP(Tabela11[[#This Row],[Tag do Cabo]],BD!A:AJ,12,0)</f>
        <v>PERIFÉRICOS IV</v>
      </c>
      <c r="K152" s="391" t="s">
        <v>1594</v>
      </c>
      <c r="L152" s="391" t="s">
        <v>1575</v>
      </c>
      <c r="M152" s="3" t="str">
        <f>CONCATENATE(Tabela11[[#This Row],[Painel 1]]&amp;" "&amp;Tabela11[[#This Row],[Painel 2]])</f>
        <v>JBDC-17005 DELTA V</v>
      </c>
      <c r="N152" s="157">
        <v>4</v>
      </c>
      <c r="O152" s="391">
        <f>COUNTIF(Tabela12[Tag Cabo],Tabela11[[#This Row],[Tag do Cabo]])</f>
        <v>4</v>
      </c>
      <c r="P152" s="391" t="str">
        <f>IF(Tabela11[[#This Row],[Qtde Ligações]]&lt;&gt;Tabela11[[#This Row],[Qtde Anilhas]],"Ver","Ok")</f>
        <v>Ok</v>
      </c>
      <c r="Q152" s="391">
        <f>VLOOKUP(Tabela11[[#This Row],[Tag do Cabo]],BD!A:F,6,0)</f>
        <v>1</v>
      </c>
      <c r="R152" s="391">
        <f>SUMIF('Lançamento de Cabos'!AE:AE,Tabela11[[#This Row],[Tag do Cabo]],'Lançamento de Cabos'!AG:AG)</f>
        <v>0</v>
      </c>
      <c r="S152" s="28">
        <f>Tabela11[[#This Row],[Ligações Realizadas]]/Tabela11[[#This Row],[Qtde Ligações]]</f>
        <v>0</v>
      </c>
      <c r="T152" s="269">
        <f>IF(Tabela11[[#This Row],[Ligações Realizadas]]/Tabela11[[#This Row],[Qtde Ligações]]=0,0,IF(Tabela11[[#This Row],[Ligações Realizadas]]/Tabela11[[#This Row],[Qtde Ligações]]=1,ROUND(N152/2,0),"Ver Painel"))</f>
        <v>0</v>
      </c>
      <c r="U152" s="23">
        <f>IF(Tabela11[[#This Row],[Ligações Realizadas]]/Tabela11[[#This Row],[Qtde Ligações]]=0,0,IF(Tabela11[[#This Row],[Ligações Realizadas]]/Tabela11[[#This Row],[Qtde Ligações]]=1,ROUND(N152/2,0),"Ver Painel"))</f>
        <v>0</v>
      </c>
      <c r="V152" s="222"/>
    </row>
    <row r="153" spans="1:22" hidden="1" x14ac:dyDescent="0.25">
      <c r="A153" s="34" t="s">
        <v>338</v>
      </c>
      <c r="B153" s="391" t="str">
        <f>VLOOKUP(Tabela11[[#This Row],[Tag do Cabo]],BD!A:AJ,2,0)</f>
        <v>Força</v>
      </c>
      <c r="C153" s="3" t="str">
        <f>VLOOKUP(Tabela11[[#This Row],[Tag do Cabo]],BD!A:AJ,5,0)</f>
        <v>1x1x3/C#4</v>
      </c>
      <c r="D153" s="391" t="s">
        <v>1533</v>
      </c>
      <c r="E153" s="391" t="str">
        <f>VLOOKUP(Tabela11[[#This Row],[Tag do Cabo]],BD!A:T,20,0)</f>
        <v>BK-SP54-0900A-LC-74-00001_00000</v>
      </c>
      <c r="F153" s="219" t="str">
        <f>IF(VLOOKUP(Tabela11[[#This Row],[Tag do Cabo]],BD!A:AJ,35,0)=0,"Pendente",VLOOKUP(Tabela11[[#This Row],[Tag do Cabo]],BD!A:AJ,35,0))</f>
        <v>Não Localizado</v>
      </c>
      <c r="G153" s="3" t="str">
        <f>IF(VLOOKUP(Tabela11[[#This Row],[Tag do Cabo]],BD!A:AJ,36,0)=0,"Pendente",VLOOKUP(Tabela11[[#This Row],[Tag do Cabo]],BD!A:AJ,36,0))</f>
        <v>Pendente</v>
      </c>
      <c r="H153" s="391" t="str">
        <f>VLOOKUP(Tabela11[[#This Row],[Tag do Cabo]],BD!A:AJ,32,0)</f>
        <v>30LV</v>
      </c>
      <c r="I153" s="7" t="str">
        <f>VLOOKUP(Tabela11[[#This Row],[Tag do Cabo]],BD!A:AJ,11,0)</f>
        <v>PI-1201</v>
      </c>
      <c r="J153" s="3" t="str">
        <f>VLOOKUP(Tabela11[[#This Row],[Tag do Cabo]],BD!A:AJ,12,0)</f>
        <v>ALIMENTAÇÃO RCK-120-103</v>
      </c>
      <c r="K153" s="391" t="s">
        <v>340</v>
      </c>
      <c r="L153" s="391" t="s">
        <v>1585</v>
      </c>
      <c r="M153" s="3" t="str">
        <f>CONCATENATE(Tabela11[[#This Row],[Painel 1]]&amp;" "&amp;Tabela11[[#This Row],[Painel 2]])</f>
        <v>PI-1201 RCK-120-103</v>
      </c>
      <c r="N153" s="218">
        <v>6</v>
      </c>
      <c r="O153" s="391">
        <f>COUNTIF(Tabela12[Tag Cabo],Tabela11[[#This Row],[Tag do Cabo]])</f>
        <v>0</v>
      </c>
      <c r="P153" s="391" t="str">
        <f>IF(Tabela11[[#This Row],[Qtde Ligações]]&lt;&gt;Tabela11[[#This Row],[Qtde Anilhas]],"Ver","Ok")</f>
        <v>Ver</v>
      </c>
      <c r="Q153" s="391">
        <f>VLOOKUP(Tabela11[[#This Row],[Tag do Cabo]],BD!A:F,6,0)</f>
        <v>4</v>
      </c>
      <c r="R153" s="391">
        <f>SUMIF('Lançamento de Cabos'!AE:AE,Tabela11[[#This Row],[Tag do Cabo]],'Lançamento de Cabos'!AG:AG)</f>
        <v>6</v>
      </c>
      <c r="S153" s="28">
        <f>Tabela11[[#This Row],[Ligações Realizadas]]/Tabela11[[#This Row],[Qtde Ligações]]</f>
        <v>1</v>
      </c>
      <c r="T153" s="272">
        <f>IF(Tabela11[[#This Row],[Ligações Realizadas]]/Tabela11[[#This Row],[Qtde Ligações]]=0,0,IF(Tabela11[[#This Row],[Ligações Realizadas]]/Tabela11[[#This Row],[Qtde Ligações]]=1,ROUND(N153/2,0),"Ver Painel"))</f>
        <v>3</v>
      </c>
      <c r="U153" s="273">
        <f>IF(Tabela11[[#This Row],[Ligações Realizadas]]/Tabela11[[#This Row],[Qtde Ligações]]=0,0,IF(Tabela11[[#This Row],[Ligações Realizadas]]/Tabela11[[#This Row],[Qtde Ligações]]=1,ROUND(N153/2,0),"Ver Painel"))</f>
        <v>3</v>
      </c>
      <c r="V153" s="219" t="s">
        <v>1552</v>
      </c>
    </row>
    <row r="154" spans="1:22" hidden="1" x14ac:dyDescent="0.25">
      <c r="A154" s="34" t="s">
        <v>344</v>
      </c>
      <c r="B154" s="391" t="str">
        <f>VLOOKUP(Tabela11[[#This Row],[Tag do Cabo]],BD!A:AJ,2,0)</f>
        <v>Força</v>
      </c>
      <c r="C154" s="3" t="str">
        <f>VLOOKUP(Tabela11[[#This Row],[Tag do Cabo]],BD!A:AJ,5,0)</f>
        <v>1x1x3/C#4</v>
      </c>
      <c r="D154" s="391" t="s">
        <v>1533</v>
      </c>
      <c r="E154" s="391" t="str">
        <f>VLOOKUP(Tabela11[[#This Row],[Tag do Cabo]],BD!A:T,20,0)</f>
        <v>BK-SP54-0900A-LC-74-00001_00000</v>
      </c>
      <c r="F154" s="219" t="str">
        <f>IF(VLOOKUP(Tabela11[[#This Row],[Tag do Cabo]],BD!A:AJ,35,0)=0,"Pendente",VLOOKUP(Tabela11[[#This Row],[Tag do Cabo]],BD!A:AJ,35,0))</f>
        <v>Não Localizado</v>
      </c>
      <c r="G154" s="3" t="str">
        <f>IF(VLOOKUP(Tabela11[[#This Row],[Tag do Cabo]],BD!A:AJ,36,0)=0,"Pendente",VLOOKUP(Tabela11[[#This Row],[Tag do Cabo]],BD!A:AJ,36,0))</f>
        <v>Pendente</v>
      </c>
      <c r="H154" s="391" t="str">
        <f>VLOOKUP(Tabela11[[#This Row],[Tag do Cabo]],BD!A:AJ,32,0)</f>
        <v>30LV</v>
      </c>
      <c r="I154" s="7" t="str">
        <f>VLOOKUP(Tabela11[[#This Row],[Tag do Cabo]],BD!A:AJ,11,0)</f>
        <v>PI-1203</v>
      </c>
      <c r="J154" s="3" t="str">
        <f>VLOOKUP(Tabela11[[#This Row],[Tag do Cabo]],BD!A:AJ,12,0)</f>
        <v>ALIMENTAÇÃO RCK-120-103</v>
      </c>
      <c r="K154" s="391" t="s">
        <v>345</v>
      </c>
      <c r="L154" s="391" t="s">
        <v>1585</v>
      </c>
      <c r="M154" s="3" t="str">
        <f>CONCATENATE(Tabela11[[#This Row],[Painel 1]]&amp;" "&amp;Tabela11[[#This Row],[Painel 2]])</f>
        <v>PI-1203 RCK-120-103</v>
      </c>
      <c r="N154" s="218">
        <v>6</v>
      </c>
      <c r="O154" s="391">
        <f>COUNTIF(Tabela12[Tag Cabo],Tabela11[[#This Row],[Tag do Cabo]])</f>
        <v>0</v>
      </c>
      <c r="P154" s="391" t="str">
        <f>IF(Tabela11[[#This Row],[Qtde Ligações]]&lt;&gt;Tabela11[[#This Row],[Qtde Anilhas]],"Ver","Ok")</f>
        <v>Ver</v>
      </c>
      <c r="Q154" s="391">
        <f>VLOOKUP(Tabela11[[#This Row],[Tag do Cabo]],BD!A:F,6,0)</f>
        <v>4</v>
      </c>
      <c r="R154" s="391">
        <f>SUMIF('Lançamento de Cabos'!AE:AE,Tabela11[[#This Row],[Tag do Cabo]],'Lançamento de Cabos'!AG:AG)</f>
        <v>6</v>
      </c>
      <c r="S154" s="28">
        <f>Tabela11[[#This Row],[Ligações Realizadas]]/Tabela11[[#This Row],[Qtde Ligações]]</f>
        <v>1</v>
      </c>
      <c r="T154" s="272">
        <f>IF(Tabela11[[#This Row],[Ligações Realizadas]]/Tabela11[[#This Row],[Qtde Ligações]]=0,0,IF(Tabela11[[#This Row],[Ligações Realizadas]]/Tabela11[[#This Row],[Qtde Ligações]]=1,ROUND(N154/2,0),"Ver Painel"))</f>
        <v>3</v>
      </c>
      <c r="U154" s="273">
        <f>IF(Tabela11[[#This Row],[Ligações Realizadas]]/Tabela11[[#This Row],[Qtde Ligações]]=0,0,IF(Tabela11[[#This Row],[Ligações Realizadas]]/Tabela11[[#This Row],[Qtde Ligações]]=1,ROUND(N154/2,0),"Ver Painel"))</f>
        <v>3</v>
      </c>
      <c r="V154" s="219" t="s">
        <v>1552</v>
      </c>
    </row>
    <row r="155" spans="1:22" hidden="1" x14ac:dyDescent="0.25">
      <c r="A155" s="34" t="s">
        <v>1064</v>
      </c>
      <c r="B155" s="391" t="str">
        <f>VLOOKUP(Tabela11[[#This Row],[Tag do Cabo]],BD!A:AJ,2,0)</f>
        <v>Força</v>
      </c>
      <c r="C155" s="3" t="str">
        <f>VLOOKUP(Tabela11[[#This Row],[Tag do Cabo]],BD!A:AJ,5,0)</f>
        <v>1x1x3/C#4</v>
      </c>
      <c r="D155" s="391" t="s">
        <v>1533</v>
      </c>
      <c r="E155" s="391" t="str">
        <f>VLOOKUP(Tabela11[[#This Row],[Tag do Cabo]],BD!A:T,20,0)</f>
        <v>BK-SP54-0900A-LC-74-00001_00000</v>
      </c>
      <c r="F155" s="222" t="str">
        <f>IF(VLOOKUP(Tabela11[[#This Row],[Tag do Cabo]],BD!A:AJ,35,0)=0,"Pendente",VLOOKUP(Tabela11[[#This Row],[Tag do Cabo]],BD!A:AJ,35,0))</f>
        <v>BK-SP54-0900B-DI-74-00454</v>
      </c>
      <c r="G155" s="3" t="str">
        <f>IF(VLOOKUP(Tabela11[[#This Row],[Tag do Cabo]],BD!A:AJ,36,0)=0,"Pendente",VLOOKUP(Tabela11[[#This Row],[Tag do Cabo]],BD!A:AJ,36,0))</f>
        <v>4</v>
      </c>
      <c r="H155" s="391" t="str">
        <f>VLOOKUP(Tabela11[[#This Row],[Tag do Cabo]],BD!A:AJ,32,0)</f>
        <v>CCP</v>
      </c>
      <c r="I155" s="7" t="str">
        <f>VLOOKUP(Tabela11[[#This Row],[Tag do Cabo]],BD!A:AJ,11,0)</f>
        <v>PI-42A</v>
      </c>
      <c r="J155" s="3" t="str">
        <f>VLOOKUP(Tabela11[[#This Row],[Tag do Cabo]],BD!A:AJ,12,0)</f>
        <v>ALIMENTAÇÃO RACK RCK-90-105</v>
      </c>
      <c r="K155" s="391" t="s">
        <v>1065</v>
      </c>
      <c r="L155" s="391" t="s">
        <v>1586</v>
      </c>
      <c r="M155" s="3" t="str">
        <f>CONCATENATE(Tabela11[[#This Row],[Painel 1]]&amp;" "&amp;Tabela11[[#This Row],[Painel 2]])</f>
        <v>PI-42A RCK-90-105</v>
      </c>
      <c r="N155" s="157">
        <v>6</v>
      </c>
      <c r="O155" s="391">
        <f>COUNTIF(Tabela12[Tag Cabo],Tabela11[[#This Row],[Tag do Cabo]])</f>
        <v>6</v>
      </c>
      <c r="P155" s="391" t="str">
        <f>IF(Tabela11[[#This Row],[Qtde Ligações]]&lt;&gt;Tabela11[[#This Row],[Qtde Anilhas]],"Ver","Ok")</f>
        <v>Ok</v>
      </c>
      <c r="Q155" s="391">
        <f>VLOOKUP(Tabela11[[#This Row],[Tag do Cabo]],BD!A:F,6,0)</f>
        <v>4</v>
      </c>
      <c r="R155" s="391">
        <f>SUMIF('Lançamento de Cabos'!AE:AE,Tabela11[[#This Row],[Tag do Cabo]],'Lançamento de Cabos'!AG:AG)</f>
        <v>0</v>
      </c>
      <c r="S155" s="28">
        <f>Tabela11[[#This Row],[Ligações Realizadas]]/Tabela11[[#This Row],[Qtde Ligações]]</f>
        <v>0</v>
      </c>
      <c r="T155" s="269">
        <f>IF(Tabela11[[#This Row],[Ligações Realizadas]]/Tabela11[[#This Row],[Qtde Ligações]]=0,0,IF(Tabela11[[#This Row],[Ligações Realizadas]]/Tabela11[[#This Row],[Qtde Ligações]]=1,ROUND(N155/2,0),"Ver Painel"))</f>
        <v>0</v>
      </c>
      <c r="U155" s="23">
        <f>IF(Tabela11[[#This Row],[Ligações Realizadas]]/Tabela11[[#This Row],[Qtde Ligações]]=0,0,IF(Tabela11[[#This Row],[Ligações Realizadas]]/Tabela11[[#This Row],[Qtde Ligações]]=1,ROUND(N155/2,0),"Ver Painel"))</f>
        <v>0</v>
      </c>
      <c r="V155" s="219"/>
    </row>
    <row r="156" spans="1:22" hidden="1" x14ac:dyDescent="0.25">
      <c r="A156" s="34" t="s">
        <v>1069</v>
      </c>
      <c r="B156" s="391" t="str">
        <f>VLOOKUP(Tabela11[[#This Row],[Tag do Cabo]],BD!A:AJ,2,0)</f>
        <v>Força</v>
      </c>
      <c r="C156" s="3" t="str">
        <f>VLOOKUP(Tabela11[[#This Row],[Tag do Cabo]],BD!A:AJ,5,0)</f>
        <v>1x1x3/C#4</v>
      </c>
      <c r="D156" s="391" t="s">
        <v>1533</v>
      </c>
      <c r="E156" s="391" t="str">
        <f>VLOOKUP(Tabela11[[#This Row],[Tag do Cabo]],BD!A:T,20,0)</f>
        <v>BK-SP54-0900A-LC-74-00001_00000</v>
      </c>
      <c r="F156" s="222" t="str">
        <f>IF(VLOOKUP(Tabela11[[#This Row],[Tag do Cabo]],BD!A:AJ,35,0)=0,"Pendente",VLOOKUP(Tabela11[[#This Row],[Tag do Cabo]],BD!A:AJ,35,0))</f>
        <v>BK-SP54-0900B-DI-74-00454</v>
      </c>
      <c r="G156" s="3" t="str">
        <f>IF(VLOOKUP(Tabela11[[#This Row],[Tag do Cabo]],BD!A:AJ,36,0)=0,"Pendente",VLOOKUP(Tabela11[[#This Row],[Tag do Cabo]],BD!A:AJ,36,0))</f>
        <v>4</v>
      </c>
      <c r="H156" s="391" t="str">
        <f>VLOOKUP(Tabela11[[#This Row],[Tag do Cabo]],BD!A:AJ,32,0)</f>
        <v>CCP</v>
      </c>
      <c r="I156" s="7" t="str">
        <f>VLOOKUP(Tabela11[[#This Row],[Tag do Cabo]],BD!A:AJ,11,0)</f>
        <v>PI-43A</v>
      </c>
      <c r="J156" s="3" t="str">
        <f>VLOOKUP(Tabela11[[#This Row],[Tag do Cabo]],BD!A:AJ,12,0)</f>
        <v>ALIMENTAÇÃO RACK RCK-90-105</v>
      </c>
      <c r="K156" s="391" t="s">
        <v>1070</v>
      </c>
      <c r="L156" s="391" t="s">
        <v>1586</v>
      </c>
      <c r="M156" s="3" t="str">
        <f>CONCATENATE(Tabela11[[#This Row],[Painel 1]]&amp;" "&amp;Tabela11[[#This Row],[Painel 2]])</f>
        <v>PI-43A RCK-90-105</v>
      </c>
      <c r="N156" s="157">
        <v>6</v>
      </c>
      <c r="O156" s="391">
        <f>COUNTIF(Tabela12[Tag Cabo],Tabela11[[#This Row],[Tag do Cabo]])</f>
        <v>6</v>
      </c>
      <c r="P156" s="391" t="str">
        <f>IF(Tabela11[[#This Row],[Qtde Ligações]]&lt;&gt;Tabela11[[#This Row],[Qtde Anilhas]],"Ver","Ok")</f>
        <v>Ok</v>
      </c>
      <c r="Q156" s="391">
        <f>VLOOKUP(Tabela11[[#This Row],[Tag do Cabo]],BD!A:F,6,0)</f>
        <v>4</v>
      </c>
      <c r="R156" s="391">
        <f>SUMIF('Lançamento de Cabos'!AE:AE,Tabela11[[#This Row],[Tag do Cabo]],'Lançamento de Cabos'!AG:AG)</f>
        <v>0</v>
      </c>
      <c r="S156" s="28">
        <f>Tabela11[[#This Row],[Ligações Realizadas]]/Tabela11[[#This Row],[Qtde Ligações]]</f>
        <v>0</v>
      </c>
      <c r="T156" s="269">
        <f>IF(Tabela11[[#This Row],[Ligações Realizadas]]/Tabela11[[#This Row],[Qtde Ligações]]=0,0,IF(Tabela11[[#This Row],[Ligações Realizadas]]/Tabela11[[#This Row],[Qtde Ligações]]=1,ROUND(N156/2,0),"Ver Painel"))</f>
        <v>0</v>
      </c>
      <c r="U156" s="23">
        <f>IF(Tabela11[[#This Row],[Ligações Realizadas]]/Tabela11[[#This Row],[Qtde Ligações]]=0,0,IF(Tabela11[[#This Row],[Ligações Realizadas]]/Tabela11[[#This Row],[Qtde Ligações]]=1,ROUND(N156/2,0),"Ver Painel"))</f>
        <v>0</v>
      </c>
      <c r="V156" s="219"/>
    </row>
    <row r="157" spans="1:22" hidden="1" x14ac:dyDescent="0.25">
      <c r="A157" s="169" t="s">
        <v>818</v>
      </c>
      <c r="B157" s="391" t="str">
        <f>VLOOKUP(Tabela11[[#This Row],[Tag do Cabo]],BD!A:AJ,2,0)</f>
        <v>Controle</v>
      </c>
      <c r="C157" s="3" t="str">
        <f>VLOOKUP(Tabela11[[#This Row],[Tag do Cabo]],BD!A:AJ,5,0)</f>
        <v>1x1x9/C#2,5</v>
      </c>
      <c r="D157" s="391" t="s">
        <v>1533</v>
      </c>
      <c r="E157" s="391" t="str">
        <f>VLOOKUP(Tabela11[[#This Row],[Tag do Cabo]],BD!A:T,20,0)</f>
        <v>BK-SP54-0900A-LC-74-00001_00000</v>
      </c>
      <c r="F157" s="222" t="str">
        <f>IF(VLOOKUP(Tabela11[[#This Row],[Tag do Cabo]],BD!A:AJ,35,0)=0,"Pendente",VLOOKUP(Tabela11[[#This Row],[Tag do Cabo]],BD!A:AJ,35,0))</f>
        <v>BK-SP54-0900B-DI-70-00450</v>
      </c>
      <c r="G157" s="3" t="str">
        <f>IF(VLOOKUP(Tabela11[[#This Row],[Tag do Cabo]],BD!A:AJ,36,0)=0,"Pendente",VLOOKUP(Tabela11[[#This Row],[Tag do Cabo]],BD!A:AJ,36,0))</f>
        <v>12</v>
      </c>
      <c r="H157" s="391" t="str">
        <f>VLOOKUP(Tabela11[[#This Row],[Tag do Cabo]],BD!A:AJ,32,0)</f>
        <v>8HV</v>
      </c>
      <c r="I157" s="7" t="str">
        <f>VLOOKUP(Tabela11[[#This Row],[Tag do Cabo]],BD!A:AJ,11,0)</f>
        <v>PSDC1 - PAINEL DE REJEICAO DE CARGAS 1</v>
      </c>
      <c r="J157" s="3" t="str">
        <f>VLOOKUP(Tabela11[[#This Row],[Tag do Cabo]],BD!A:AJ,12,0)</f>
        <v>DJ. 8HV-52D14</v>
      </c>
      <c r="K157" s="391" t="s">
        <v>1566</v>
      </c>
      <c r="L157" s="391" t="s">
        <v>821</v>
      </c>
      <c r="M157" s="3" t="str">
        <f>CONCATENATE(Tabela11[[#This Row],[Painel 1]]&amp;" "&amp;Tabela11[[#This Row],[Painel 2]])</f>
        <v>PSDC1 DJ. 8HV-52D14</v>
      </c>
      <c r="N157" s="157">
        <v>8</v>
      </c>
      <c r="O157" s="391">
        <f>COUNTIF(Tabela12[Tag Cabo],Tabela11[[#This Row],[Tag do Cabo]])</f>
        <v>8</v>
      </c>
      <c r="P157" s="391" t="str">
        <f>IF(Tabela11[[#This Row],[Qtde Ligações]]&lt;&gt;Tabela11[[#This Row],[Qtde Anilhas]],"Ver","Ok")</f>
        <v>Ok</v>
      </c>
      <c r="Q157" s="391">
        <f>VLOOKUP(Tabela11[[#This Row],[Tag do Cabo]],BD!A:F,6,0)</f>
        <v>2.5</v>
      </c>
      <c r="R157" s="391">
        <f>SUMIF('Lançamento de Cabos'!AE:AE,Tabela11[[#This Row],[Tag do Cabo]],'Lançamento de Cabos'!AG:AG)</f>
        <v>6</v>
      </c>
      <c r="S157" s="28">
        <f>Tabela11[[#This Row],[Ligações Realizadas]]/Tabela11[[#This Row],[Qtde Ligações]]</f>
        <v>0.75</v>
      </c>
      <c r="T157" s="269" t="str">
        <f>IF(Tabela11[[#This Row],[Ligações Realizadas]]/Tabela11[[#This Row],[Qtde Ligações]]=0,0,IF(Tabela11[[#This Row],[Ligações Realizadas]]/Tabela11[[#This Row],[Qtde Ligações]]=1,ROUND(N157/2,0),"Ver Painel"))</f>
        <v>Ver Painel</v>
      </c>
      <c r="U157" s="23" t="str">
        <f>IF(Tabela11[[#This Row],[Ligações Realizadas]]/Tabela11[[#This Row],[Qtde Ligações]]=0,0,IF(Tabela11[[#This Row],[Ligações Realizadas]]/Tabela11[[#This Row],[Qtde Ligações]]=1,ROUND(N157/2,0),"Ver Painel"))</f>
        <v>Ver Painel</v>
      </c>
      <c r="V157" s="219" t="s">
        <v>1595</v>
      </c>
    </row>
    <row r="158" spans="1:22" hidden="1" x14ac:dyDescent="0.25">
      <c r="A158" s="169" t="s">
        <v>1002</v>
      </c>
      <c r="B158" s="391" t="str">
        <f>VLOOKUP(Tabela11[[#This Row],[Tag do Cabo]],BD!A:AJ,2,0)</f>
        <v>Controle</v>
      </c>
      <c r="C158" s="3" t="str">
        <f>VLOOKUP(Tabela11[[#This Row],[Tag do Cabo]],BD!A:AJ,5,0)</f>
        <v>1x1x9/C#2,5</v>
      </c>
      <c r="D158" s="391" t="s">
        <v>1533</v>
      </c>
      <c r="E158" s="391" t="str">
        <f>VLOOKUP(Tabela11[[#This Row],[Tag do Cabo]],BD!A:T,20,0)</f>
        <v>BK-SP54-0900A-LC-74-00001_00000</v>
      </c>
      <c r="F158" s="222" t="str">
        <f>IF(VLOOKUP(Tabela11[[#This Row],[Tag do Cabo]],BD!A:AJ,35,0)=0,"Pendente",VLOOKUP(Tabela11[[#This Row],[Tag do Cabo]],BD!A:AJ,35,0))</f>
        <v>BK-SP54-0900B-DI-70-00450</v>
      </c>
      <c r="G158" s="3" t="str">
        <f>IF(VLOOKUP(Tabela11[[#This Row],[Tag do Cabo]],BD!A:AJ,36,0)=0,"Pendente",VLOOKUP(Tabela11[[#This Row],[Tag do Cabo]],BD!A:AJ,36,0))</f>
        <v>12</v>
      </c>
      <c r="H158" s="391" t="str">
        <f>VLOOKUP(Tabela11[[#This Row],[Tag do Cabo]],BD!A:AJ,32,0)</f>
        <v>8HVxCOG</v>
      </c>
      <c r="I158" s="7" t="str">
        <f>VLOOKUP(Tabela11[[#This Row],[Tag do Cabo]],BD!A:AJ,11,0)</f>
        <v>PSDC1 - PAINEL DE REJEICAO DE CARGAS 1</v>
      </c>
      <c r="J158" s="3" t="str">
        <f>VLOOKUP(Tabela11[[#This Row],[Tag do Cabo]],BD!A:AJ,12,0)</f>
        <v>DJ. TG1</v>
      </c>
      <c r="K158" s="391" t="s">
        <v>1566</v>
      </c>
      <c r="L158" s="391" t="s">
        <v>1003</v>
      </c>
      <c r="M158" s="3" t="str">
        <f>CONCATENATE(Tabela11[[#This Row],[Painel 1]]&amp;" "&amp;Tabela11[[#This Row],[Painel 2]])</f>
        <v>PSDC1 DJ. TG1</v>
      </c>
      <c r="N158" s="157">
        <v>12</v>
      </c>
      <c r="O158" s="391">
        <f>COUNTIF(Tabela12[Tag Cabo],Tabela11[[#This Row],[Tag do Cabo]])</f>
        <v>12</v>
      </c>
      <c r="P158" s="391" t="str">
        <f>IF(Tabela11[[#This Row],[Qtde Ligações]]&lt;&gt;Tabela11[[#This Row],[Qtde Anilhas]],"Ver","Ok")</f>
        <v>Ok</v>
      </c>
      <c r="Q158" s="391">
        <f>VLOOKUP(Tabela11[[#This Row],[Tag do Cabo]],BD!A:F,6,0)</f>
        <v>2.5</v>
      </c>
      <c r="R158" s="391">
        <f>SUMIF('Lançamento de Cabos'!AE:AE,Tabela11[[#This Row],[Tag do Cabo]],'Lançamento de Cabos'!AG:AG)</f>
        <v>0</v>
      </c>
      <c r="S158" s="28">
        <f>Tabela11[[#This Row],[Ligações Realizadas]]/Tabela11[[#This Row],[Qtde Ligações]]</f>
        <v>0</v>
      </c>
      <c r="T158" s="269">
        <f>IF(Tabela11[[#This Row],[Ligações Realizadas]]/Tabela11[[#This Row],[Qtde Ligações]]=0,0,IF(Tabela11[[#This Row],[Ligações Realizadas]]/Tabela11[[#This Row],[Qtde Ligações]]=1,ROUND(N158/2,0),"Ver Painel"))</f>
        <v>0</v>
      </c>
      <c r="U158" s="23">
        <f>IF(Tabela11[[#This Row],[Ligações Realizadas]]/Tabela11[[#This Row],[Qtde Ligações]]=0,0,IF(Tabela11[[#This Row],[Ligações Realizadas]]/Tabela11[[#This Row],[Qtde Ligações]]=1,ROUND(N158/2,0),"Ver Painel"))</f>
        <v>0</v>
      </c>
      <c r="V158" s="222"/>
    </row>
    <row r="159" spans="1:22" hidden="1" x14ac:dyDescent="0.25">
      <c r="A159" s="169" t="s">
        <v>1004</v>
      </c>
      <c r="B159" s="391" t="str">
        <f>VLOOKUP(Tabela11[[#This Row],[Tag do Cabo]],BD!A:AJ,2,0)</f>
        <v>Controle</v>
      </c>
      <c r="C159" s="3" t="str">
        <f>VLOOKUP(Tabela11[[#This Row],[Tag do Cabo]],BD!A:AJ,5,0)</f>
        <v>1x1x9/C#2,5</v>
      </c>
      <c r="D159" s="391" t="s">
        <v>1533</v>
      </c>
      <c r="E159" s="391" t="str">
        <f>VLOOKUP(Tabela11[[#This Row],[Tag do Cabo]],BD!A:T,20,0)</f>
        <v>BK-SP54-0900A-LC-74-00001_00000</v>
      </c>
      <c r="F159" s="222" t="str">
        <f>IF(VLOOKUP(Tabela11[[#This Row],[Tag do Cabo]],BD!A:AJ,35,0)=0,"Pendente",VLOOKUP(Tabela11[[#This Row],[Tag do Cabo]],BD!A:AJ,35,0))</f>
        <v>BK-SP54-0900B-DI-70-00450</v>
      </c>
      <c r="G159" s="3" t="str">
        <f>IF(VLOOKUP(Tabela11[[#This Row],[Tag do Cabo]],BD!A:AJ,36,0)=0,"Pendente",VLOOKUP(Tabela11[[#This Row],[Tag do Cabo]],BD!A:AJ,36,0))</f>
        <v>12</v>
      </c>
      <c r="H159" s="391" t="str">
        <f>VLOOKUP(Tabela11[[#This Row],[Tag do Cabo]],BD!A:AJ,32,0)</f>
        <v>8HVxCOG</v>
      </c>
      <c r="I159" s="7" t="str">
        <f>VLOOKUP(Tabela11[[#This Row],[Tag do Cabo]],BD!A:AJ,11,0)</f>
        <v>PSDC1 - PAINEL DE REJEICAO DE CARGAS 1</v>
      </c>
      <c r="J159" s="3" t="str">
        <f>VLOOKUP(Tabela11[[#This Row],[Tag do Cabo]],BD!A:AJ,12,0)</f>
        <v>DJ. TG2</v>
      </c>
      <c r="K159" s="391" t="s">
        <v>1566</v>
      </c>
      <c r="L159" s="391" t="s">
        <v>1005</v>
      </c>
      <c r="M159" s="3" t="str">
        <f>CONCATENATE(Tabela11[[#This Row],[Painel 1]]&amp;" "&amp;Tabela11[[#This Row],[Painel 2]])</f>
        <v>PSDC1 DJ. TG2</v>
      </c>
      <c r="N159" s="157">
        <v>12</v>
      </c>
      <c r="O159" s="391">
        <f>COUNTIF(Tabela12[Tag Cabo],Tabela11[[#This Row],[Tag do Cabo]])</f>
        <v>12</v>
      </c>
      <c r="P159" s="391" t="str">
        <f>IF(Tabela11[[#This Row],[Qtde Ligações]]&lt;&gt;Tabela11[[#This Row],[Qtde Anilhas]],"Ver","Ok")</f>
        <v>Ok</v>
      </c>
      <c r="Q159" s="391">
        <f>VLOOKUP(Tabela11[[#This Row],[Tag do Cabo]],BD!A:F,6,0)</f>
        <v>2.5</v>
      </c>
      <c r="R159" s="391">
        <f>SUMIF('Lançamento de Cabos'!AE:AE,Tabela11[[#This Row],[Tag do Cabo]],'Lançamento de Cabos'!AG:AG)</f>
        <v>0</v>
      </c>
      <c r="S159" s="28">
        <f>Tabela11[[#This Row],[Ligações Realizadas]]/Tabela11[[#This Row],[Qtde Ligações]]</f>
        <v>0</v>
      </c>
      <c r="T159" s="269">
        <f>IF(Tabela11[[#This Row],[Ligações Realizadas]]/Tabela11[[#This Row],[Qtde Ligações]]=0,0,IF(Tabela11[[#This Row],[Ligações Realizadas]]/Tabela11[[#This Row],[Qtde Ligações]]=1,ROUND(N159/2,0),"Ver Painel"))</f>
        <v>0</v>
      </c>
      <c r="U159" s="23">
        <f>IF(Tabela11[[#This Row],[Ligações Realizadas]]/Tabela11[[#This Row],[Qtde Ligações]]=0,0,IF(Tabela11[[#This Row],[Ligações Realizadas]]/Tabela11[[#This Row],[Qtde Ligações]]=1,ROUND(N159/2,0),"Ver Painel"))</f>
        <v>0</v>
      </c>
      <c r="V159" s="222"/>
    </row>
    <row r="160" spans="1:22" hidden="1" x14ac:dyDescent="0.25">
      <c r="A160" s="34" t="s">
        <v>157</v>
      </c>
      <c r="B160" s="391" t="str">
        <f>VLOOKUP(Tabela11[[#This Row],[Tag do Cabo]],BD!A:AJ,2,0)</f>
        <v>Controle</v>
      </c>
      <c r="C160" s="3" t="str">
        <f>VLOOKUP(Tabela11[[#This Row],[Tag do Cabo]],BD!A:AJ,5,0)</f>
        <v>1x1x7/C#2,5</v>
      </c>
      <c r="D160" s="391" t="s">
        <v>1533</v>
      </c>
      <c r="E160" s="391" t="str">
        <f>VLOOKUP(Tabela11[[#This Row],[Tag do Cabo]],BD!A:T,20,0)</f>
        <v>BK-SP54-0900A-LC-74-00001_00000</v>
      </c>
      <c r="F160" s="222" t="str">
        <f>IF(VLOOKUP(Tabela11[[#This Row],[Tag do Cabo]],BD!A:AJ,35,0)=0,"Pendente",VLOOKUP(Tabela11[[#This Row],[Tag do Cabo]],BD!A:AJ,35,0))</f>
        <v>BK-SP54-0900B-DI-74-00450</v>
      </c>
      <c r="G160" s="3" t="str">
        <f>IF(VLOOKUP(Tabela11[[#This Row],[Tag do Cabo]],BD!A:AJ,36,0)=0,"Pendente",VLOOKUP(Tabela11[[#This Row],[Tag do Cabo]],BD!A:AJ,36,0))</f>
        <v>27</v>
      </c>
      <c r="H160" s="391" t="str">
        <f>VLOOKUP(Tabela11[[#This Row],[Tag do Cabo]],BD!A:AJ,32,0)</f>
        <v>1HVx1MV</v>
      </c>
      <c r="I160" s="7" t="str">
        <f>VLOOKUP(Tabela11[[#This Row],[Tag do Cabo]],BD!A:AJ,11,0)</f>
        <v>PSDC2 - PAINEL DE REJEICAO DE CARGAS 2 - regua BNC</v>
      </c>
      <c r="J160" s="3" t="str">
        <f>VLOOKUP(Tabela11[[#This Row],[Tag do Cabo]],BD!A:AJ,12,0)</f>
        <v>DJ. 1MV-B1-GA-905C</v>
      </c>
      <c r="K160" s="391" t="s">
        <v>1535</v>
      </c>
      <c r="L160" s="391" t="s">
        <v>158</v>
      </c>
      <c r="M160" s="3" t="str">
        <f>CONCATENATE(Tabela11[[#This Row],[Painel 1]]&amp;" "&amp;Tabela11[[#This Row],[Painel 2]])</f>
        <v>PSDC2 DJ. 1MV-B1-GA-905C</v>
      </c>
      <c r="N160" s="218">
        <v>14</v>
      </c>
      <c r="O160" s="391">
        <f>COUNTIF(Tabela12[Tag Cabo],Tabela11[[#This Row],[Tag do Cabo]])</f>
        <v>0</v>
      </c>
      <c r="P160" s="391" t="str">
        <f>IF(Tabela11[[#This Row],[Qtde Ligações]]&lt;&gt;Tabela11[[#This Row],[Qtde Anilhas]],"Ver","Ok")</f>
        <v>Ver</v>
      </c>
      <c r="Q160" s="391">
        <f>VLOOKUP(Tabela11[[#This Row],[Tag do Cabo]],BD!A:F,6,0)</f>
        <v>2.5</v>
      </c>
      <c r="R160" s="391">
        <f>SUMIF('Lançamento de Cabos'!AE:AE,Tabela11[[#This Row],[Tag do Cabo]],'Lançamento de Cabos'!AG:AG)</f>
        <v>0</v>
      </c>
      <c r="S160" s="28">
        <f>Tabela11[[#This Row],[Ligações Realizadas]]/Tabela11[[#This Row],[Qtde Ligações]]</f>
        <v>0</v>
      </c>
      <c r="T160" s="269">
        <f>IF(Tabela11[[#This Row],[Ligações Realizadas]]/Tabela11[[#This Row],[Qtde Ligações]]=0,0,IF(Tabela11[[#This Row],[Ligações Realizadas]]/Tabela11[[#This Row],[Qtde Ligações]]=1,ROUND(N160/2,0),"Ver Painel"))</f>
        <v>0</v>
      </c>
      <c r="U160" s="23">
        <f>IF(Tabela11[[#This Row],[Ligações Realizadas]]/Tabela11[[#This Row],[Qtde Ligações]]=0,0,IF(Tabela11[[#This Row],[Ligações Realizadas]]/Tabela11[[#This Row],[Qtde Ligações]]=1,ROUND(N160/2,0),"Ver Painel"))</f>
        <v>0</v>
      </c>
      <c r="V160" s="219"/>
    </row>
    <row r="161" spans="1:22" hidden="1" x14ac:dyDescent="0.25">
      <c r="A161" s="34" t="s">
        <v>161</v>
      </c>
      <c r="B161" s="391" t="str">
        <f>VLOOKUP(Tabela11[[#This Row],[Tag do Cabo]],BD!A:AJ,2,0)</f>
        <v>Controle</v>
      </c>
      <c r="C161" s="3" t="str">
        <f>VLOOKUP(Tabela11[[#This Row],[Tag do Cabo]],BD!A:AJ,5,0)</f>
        <v>1x1x7/C#2,5</v>
      </c>
      <c r="D161" s="391" t="s">
        <v>1533</v>
      </c>
      <c r="E161" s="391" t="str">
        <f>VLOOKUP(Tabela11[[#This Row],[Tag do Cabo]],BD!A:T,20,0)</f>
        <v>BK-SP54-0900A-LC-74-00001_00000</v>
      </c>
      <c r="F161" s="222" t="str">
        <f>IF(VLOOKUP(Tabela11[[#This Row],[Tag do Cabo]],BD!A:AJ,35,0)=0,"Pendente",VLOOKUP(Tabela11[[#This Row],[Tag do Cabo]],BD!A:AJ,35,0))</f>
        <v>BK-SP54-0900B-DI-74-00450</v>
      </c>
      <c r="G161" s="3" t="str">
        <f>IF(VLOOKUP(Tabela11[[#This Row],[Tag do Cabo]],BD!A:AJ,36,0)=0,"Pendente",VLOOKUP(Tabela11[[#This Row],[Tag do Cabo]],BD!A:AJ,36,0))</f>
        <v>27</v>
      </c>
      <c r="H161" s="391" t="str">
        <f>VLOOKUP(Tabela11[[#This Row],[Tag do Cabo]],BD!A:AJ,32,0)</f>
        <v>1HVx1MV</v>
      </c>
      <c r="I161" s="7" t="str">
        <f>VLOOKUP(Tabela11[[#This Row],[Tag do Cabo]],BD!A:AJ,11,0)</f>
        <v>PSDC2 - PAINEL DE REJEICAO DE CARGAS 2 - regua BNC</v>
      </c>
      <c r="J161" s="3" t="str">
        <f>VLOOKUP(Tabela11[[#This Row],[Tag do Cabo]],BD!A:AJ,12,0)</f>
        <v>DJ. 1MV-B1-GA-902D</v>
      </c>
      <c r="K161" s="391" t="s">
        <v>1535</v>
      </c>
      <c r="L161" s="391" t="s">
        <v>162</v>
      </c>
      <c r="M161" s="3" t="str">
        <f>CONCATENATE(Tabela11[[#This Row],[Painel 1]]&amp;" "&amp;Tabela11[[#This Row],[Painel 2]])</f>
        <v>PSDC2 DJ. 1MV-B1-GA-902D</v>
      </c>
      <c r="N161" s="218">
        <v>14</v>
      </c>
      <c r="O161" s="391">
        <f>COUNTIF(Tabela12[Tag Cabo],Tabela11[[#This Row],[Tag do Cabo]])</f>
        <v>0</v>
      </c>
      <c r="P161" s="391" t="str">
        <f>IF(Tabela11[[#This Row],[Qtde Ligações]]&lt;&gt;Tabela11[[#This Row],[Qtde Anilhas]],"Ver","Ok")</f>
        <v>Ver</v>
      </c>
      <c r="Q161" s="391">
        <f>VLOOKUP(Tabela11[[#This Row],[Tag do Cabo]],BD!A:F,6,0)</f>
        <v>2.5</v>
      </c>
      <c r="R161" s="391">
        <f>SUMIF('Lançamento de Cabos'!AE:AE,Tabela11[[#This Row],[Tag do Cabo]],'Lançamento de Cabos'!AG:AG)</f>
        <v>0</v>
      </c>
      <c r="S161" s="28">
        <f>Tabela11[[#This Row],[Ligações Realizadas]]/Tabela11[[#This Row],[Qtde Ligações]]</f>
        <v>0</v>
      </c>
      <c r="T161" s="269">
        <f>IF(Tabela11[[#This Row],[Ligações Realizadas]]/Tabela11[[#This Row],[Qtde Ligações]]=0,0,IF(Tabela11[[#This Row],[Ligações Realizadas]]/Tabela11[[#This Row],[Qtde Ligações]]=1,ROUND(N161/2,0),"Ver Painel"))</f>
        <v>0</v>
      </c>
      <c r="U161" s="23">
        <f>IF(Tabela11[[#This Row],[Ligações Realizadas]]/Tabela11[[#This Row],[Qtde Ligações]]=0,0,IF(Tabela11[[#This Row],[Ligações Realizadas]]/Tabela11[[#This Row],[Qtde Ligações]]=1,ROUND(N161/2,0),"Ver Painel"))</f>
        <v>0</v>
      </c>
      <c r="V161" s="219"/>
    </row>
    <row r="162" spans="1:22" hidden="1" x14ac:dyDescent="0.25">
      <c r="A162" s="34" t="s">
        <v>163</v>
      </c>
      <c r="B162" s="391" t="str">
        <f>VLOOKUP(Tabela11[[#This Row],[Tag do Cabo]],BD!A:AJ,2,0)</f>
        <v>Controle</v>
      </c>
      <c r="C162" s="3" t="str">
        <f>VLOOKUP(Tabela11[[#This Row],[Tag do Cabo]],BD!A:AJ,5,0)</f>
        <v>1x1x7/C#2,5</v>
      </c>
      <c r="D162" s="391" t="s">
        <v>1533</v>
      </c>
      <c r="E162" s="391" t="str">
        <f>VLOOKUP(Tabela11[[#This Row],[Tag do Cabo]],BD!A:T,20,0)</f>
        <v>BK-SP54-0900A-LC-74-00001_00000</v>
      </c>
      <c r="F162" s="222" t="str">
        <f>IF(VLOOKUP(Tabela11[[#This Row],[Tag do Cabo]],BD!A:AJ,35,0)=0,"Pendente",VLOOKUP(Tabela11[[#This Row],[Tag do Cabo]],BD!A:AJ,35,0))</f>
        <v>BK-SP54-0900B-DI-74-00450</v>
      </c>
      <c r="G162" s="3" t="str">
        <f>IF(VLOOKUP(Tabela11[[#This Row],[Tag do Cabo]],BD!A:AJ,36,0)=0,"Pendente",VLOOKUP(Tabela11[[#This Row],[Tag do Cabo]],BD!A:AJ,36,0))</f>
        <v>27</v>
      </c>
      <c r="H162" s="391" t="str">
        <f>VLOOKUP(Tabela11[[#This Row],[Tag do Cabo]],BD!A:AJ,32,0)</f>
        <v>1HVx1MV</v>
      </c>
      <c r="I162" s="7" t="str">
        <f>VLOOKUP(Tabela11[[#This Row],[Tag do Cabo]],BD!A:AJ,11,0)</f>
        <v>PSDC2 - PAINEL DE REJEICAO DE CARGAS 2 - regua BNC</v>
      </c>
      <c r="J162" s="3" t="str">
        <f>VLOOKUP(Tabela11[[#This Row],[Tag do Cabo]],BD!A:AJ,12,0)</f>
        <v>DJ. 1MV-B1-GB-302</v>
      </c>
      <c r="K162" s="391" t="s">
        <v>1535</v>
      </c>
      <c r="L162" s="391" t="s">
        <v>164</v>
      </c>
      <c r="M162" s="3" t="str">
        <f>CONCATENATE(Tabela11[[#This Row],[Painel 1]]&amp;" "&amp;Tabela11[[#This Row],[Painel 2]])</f>
        <v>PSDC2 DJ. 1MV-B1-GB-302</v>
      </c>
      <c r="N162" s="218">
        <v>14</v>
      </c>
      <c r="O162" s="391">
        <f>COUNTIF(Tabela12[Tag Cabo],Tabela11[[#This Row],[Tag do Cabo]])</f>
        <v>0</v>
      </c>
      <c r="P162" s="391" t="str">
        <f>IF(Tabela11[[#This Row],[Qtde Ligações]]&lt;&gt;Tabela11[[#This Row],[Qtde Anilhas]],"Ver","Ok")</f>
        <v>Ver</v>
      </c>
      <c r="Q162" s="391">
        <f>VLOOKUP(Tabela11[[#This Row],[Tag do Cabo]],BD!A:F,6,0)</f>
        <v>2.5</v>
      </c>
      <c r="R162" s="391">
        <f>SUMIF('Lançamento de Cabos'!AE:AE,Tabela11[[#This Row],[Tag do Cabo]],'Lançamento de Cabos'!AG:AG)</f>
        <v>0</v>
      </c>
      <c r="S162" s="28">
        <f>Tabela11[[#This Row],[Ligações Realizadas]]/Tabela11[[#This Row],[Qtde Ligações]]</f>
        <v>0</v>
      </c>
      <c r="T162" s="269">
        <f>IF(Tabela11[[#This Row],[Ligações Realizadas]]/Tabela11[[#This Row],[Qtde Ligações]]=0,0,IF(Tabela11[[#This Row],[Ligações Realizadas]]/Tabela11[[#This Row],[Qtde Ligações]]=1,ROUND(N162/2,0),"Ver Painel"))</f>
        <v>0</v>
      </c>
      <c r="U162" s="23">
        <f>IF(Tabela11[[#This Row],[Ligações Realizadas]]/Tabela11[[#This Row],[Qtde Ligações]]=0,0,IF(Tabela11[[#This Row],[Ligações Realizadas]]/Tabela11[[#This Row],[Qtde Ligações]]=1,ROUND(N162/2,0),"Ver Painel"))</f>
        <v>0</v>
      </c>
      <c r="V162" s="219"/>
    </row>
    <row r="163" spans="1:22" hidden="1" x14ac:dyDescent="0.25">
      <c r="A163" s="34" t="s">
        <v>165</v>
      </c>
      <c r="B163" s="391" t="str">
        <f>VLOOKUP(Tabela11[[#This Row],[Tag do Cabo]],BD!A:AJ,2,0)</f>
        <v>Controle</v>
      </c>
      <c r="C163" s="3" t="str">
        <f>VLOOKUP(Tabela11[[#This Row],[Tag do Cabo]],BD!A:AJ,5,0)</f>
        <v>1x1x7/C#2,5</v>
      </c>
      <c r="D163" s="391" t="s">
        <v>1533</v>
      </c>
      <c r="E163" s="391" t="str">
        <f>VLOOKUP(Tabela11[[#This Row],[Tag do Cabo]],BD!A:T,20,0)</f>
        <v>BK-SP54-0900A-LC-74-00001_00000</v>
      </c>
      <c r="F163" s="222" t="str">
        <f>IF(VLOOKUP(Tabela11[[#This Row],[Tag do Cabo]],BD!A:AJ,35,0)=0,"Pendente",VLOOKUP(Tabela11[[#This Row],[Tag do Cabo]],BD!A:AJ,35,0))</f>
        <v>BK-SP54-0900B-DI-74-00450</v>
      </c>
      <c r="G163" s="3" t="str">
        <f>IF(VLOOKUP(Tabela11[[#This Row],[Tag do Cabo]],BD!A:AJ,36,0)=0,"Pendente",VLOOKUP(Tabela11[[#This Row],[Tag do Cabo]],BD!A:AJ,36,0))</f>
        <v>27</v>
      </c>
      <c r="H163" s="391" t="str">
        <f>VLOOKUP(Tabela11[[#This Row],[Tag do Cabo]],BD!A:AJ,32,0)</f>
        <v>1HVx1MV</v>
      </c>
      <c r="I163" s="7" t="str">
        <f>VLOOKUP(Tabela11[[#This Row],[Tag do Cabo]],BD!A:AJ,11,0)</f>
        <v>PSDC2 - PAINEL DE REJEICAO DE CARGAS 2 - regua BNC</v>
      </c>
      <c r="J163" s="3" t="str">
        <f>VLOOKUP(Tabela11[[#This Row],[Tag do Cabo]],BD!A:AJ,12,0)</f>
        <v>DJ. 1MV-B1-GA-208D</v>
      </c>
      <c r="K163" s="391" t="s">
        <v>1535</v>
      </c>
      <c r="L163" s="391" t="s">
        <v>166</v>
      </c>
      <c r="M163" s="3" t="str">
        <f>CONCATENATE(Tabela11[[#This Row],[Painel 1]]&amp;" "&amp;Tabela11[[#This Row],[Painel 2]])</f>
        <v>PSDC2 DJ. 1MV-B1-GA-208D</v>
      </c>
      <c r="N163" s="218">
        <v>14</v>
      </c>
      <c r="O163" s="391">
        <f>COUNTIF(Tabela12[Tag Cabo],Tabela11[[#This Row],[Tag do Cabo]])</f>
        <v>0</v>
      </c>
      <c r="P163" s="391" t="str">
        <f>IF(Tabela11[[#This Row],[Qtde Ligações]]&lt;&gt;Tabela11[[#This Row],[Qtde Anilhas]],"Ver","Ok")</f>
        <v>Ver</v>
      </c>
      <c r="Q163" s="391">
        <f>VLOOKUP(Tabela11[[#This Row],[Tag do Cabo]],BD!A:F,6,0)</f>
        <v>2.5</v>
      </c>
      <c r="R163" s="391">
        <f>SUMIF('Lançamento de Cabos'!AE:AE,Tabela11[[#This Row],[Tag do Cabo]],'Lançamento de Cabos'!AG:AG)</f>
        <v>0</v>
      </c>
      <c r="S163" s="28">
        <f>Tabela11[[#This Row],[Ligações Realizadas]]/Tabela11[[#This Row],[Qtde Ligações]]</f>
        <v>0</v>
      </c>
      <c r="T163" s="269">
        <f>IF(Tabela11[[#This Row],[Ligações Realizadas]]/Tabela11[[#This Row],[Qtde Ligações]]=0,0,IF(Tabela11[[#This Row],[Ligações Realizadas]]/Tabela11[[#This Row],[Qtde Ligações]]=1,ROUND(N163/2,0),"Ver Painel"))</f>
        <v>0</v>
      </c>
      <c r="U163" s="23">
        <f>IF(Tabela11[[#This Row],[Ligações Realizadas]]/Tabela11[[#This Row],[Qtde Ligações]]=0,0,IF(Tabela11[[#This Row],[Ligações Realizadas]]/Tabela11[[#This Row],[Qtde Ligações]]=1,ROUND(N163/2,0),"Ver Painel"))</f>
        <v>0</v>
      </c>
      <c r="V163" s="219"/>
    </row>
    <row r="164" spans="1:22" hidden="1" x14ac:dyDescent="0.25">
      <c r="A164" s="34" t="s">
        <v>167</v>
      </c>
      <c r="B164" s="391" t="str">
        <f>VLOOKUP(Tabela11[[#This Row],[Tag do Cabo]],BD!A:AJ,2,0)</f>
        <v>Controle</v>
      </c>
      <c r="C164" s="3" t="str">
        <f>VLOOKUP(Tabela11[[#This Row],[Tag do Cabo]],BD!A:AJ,5,0)</f>
        <v>1x1x7/C#2,5</v>
      </c>
      <c r="D164" s="391" t="s">
        <v>1533</v>
      </c>
      <c r="E164" s="391" t="str">
        <f>VLOOKUP(Tabela11[[#This Row],[Tag do Cabo]],BD!A:T,20,0)</f>
        <v>BK-SP54-0900A-LC-74-00001_00000</v>
      </c>
      <c r="F164" s="222" t="str">
        <f>IF(VLOOKUP(Tabela11[[#This Row],[Tag do Cabo]],BD!A:AJ,35,0)=0,"Pendente",VLOOKUP(Tabela11[[#This Row],[Tag do Cabo]],BD!A:AJ,35,0))</f>
        <v>BK-SP54-0900B-DI-74-00450</v>
      </c>
      <c r="G164" s="3" t="str">
        <f>IF(VLOOKUP(Tabela11[[#This Row],[Tag do Cabo]],BD!A:AJ,36,0)=0,"Pendente",VLOOKUP(Tabela11[[#This Row],[Tag do Cabo]],BD!A:AJ,36,0))</f>
        <v>27</v>
      </c>
      <c r="H164" s="391" t="str">
        <f>VLOOKUP(Tabela11[[#This Row],[Tag do Cabo]],BD!A:AJ,32,0)</f>
        <v>1HVx1MV</v>
      </c>
      <c r="I164" s="7" t="str">
        <f>VLOOKUP(Tabela11[[#This Row],[Tag do Cabo]],BD!A:AJ,11,0)</f>
        <v>PSDC2 - PAINEL DE REJEICAO DE CARGAS 2 - regua BNC</v>
      </c>
      <c r="J164" s="3" t="str">
        <f>VLOOKUP(Tabela11[[#This Row],[Tag do Cabo]],BD!A:AJ,12,0)</f>
        <v>DJ. 1MV-B1-GB-601/602</v>
      </c>
      <c r="K164" s="391" t="s">
        <v>1535</v>
      </c>
      <c r="L164" s="391" t="s">
        <v>168</v>
      </c>
      <c r="M164" s="3" t="str">
        <f>CONCATENATE(Tabela11[[#This Row],[Painel 1]]&amp;" "&amp;Tabela11[[#This Row],[Painel 2]])</f>
        <v>PSDC2 DJ. 1MV-B1-GB-601/602</v>
      </c>
      <c r="N164" s="218">
        <v>14</v>
      </c>
      <c r="O164" s="391">
        <f>COUNTIF(Tabela12[Tag Cabo],Tabela11[[#This Row],[Tag do Cabo]])</f>
        <v>0</v>
      </c>
      <c r="P164" s="391" t="str">
        <f>IF(Tabela11[[#This Row],[Qtde Ligações]]&lt;&gt;Tabela11[[#This Row],[Qtde Anilhas]],"Ver","Ok")</f>
        <v>Ver</v>
      </c>
      <c r="Q164" s="391">
        <f>VLOOKUP(Tabela11[[#This Row],[Tag do Cabo]],BD!A:F,6,0)</f>
        <v>2.5</v>
      </c>
      <c r="R164" s="391">
        <f>SUMIF('Lançamento de Cabos'!AE:AE,Tabela11[[#This Row],[Tag do Cabo]],'Lançamento de Cabos'!AG:AG)</f>
        <v>0</v>
      </c>
      <c r="S164" s="28">
        <f>Tabela11[[#This Row],[Ligações Realizadas]]/Tabela11[[#This Row],[Qtde Ligações]]</f>
        <v>0</v>
      </c>
      <c r="T164" s="269">
        <f>IF(Tabela11[[#This Row],[Ligações Realizadas]]/Tabela11[[#This Row],[Qtde Ligações]]=0,0,IF(Tabela11[[#This Row],[Ligações Realizadas]]/Tabela11[[#This Row],[Qtde Ligações]]=1,ROUND(N164/2,0),"Ver Painel"))</f>
        <v>0</v>
      </c>
      <c r="U164" s="23">
        <f>IF(Tabela11[[#This Row],[Ligações Realizadas]]/Tabela11[[#This Row],[Qtde Ligações]]=0,0,IF(Tabela11[[#This Row],[Ligações Realizadas]]/Tabela11[[#This Row],[Qtde Ligações]]=1,ROUND(N164/2,0),"Ver Painel"))</f>
        <v>0</v>
      </c>
      <c r="V164" s="219"/>
    </row>
    <row r="165" spans="1:22" hidden="1" x14ac:dyDescent="0.25">
      <c r="A165" s="34" t="s">
        <v>169</v>
      </c>
      <c r="B165" s="391" t="str">
        <f>VLOOKUP(Tabela11[[#This Row],[Tag do Cabo]],BD!A:AJ,2,0)</f>
        <v>Controle</v>
      </c>
      <c r="C165" s="3" t="str">
        <f>VLOOKUP(Tabela11[[#This Row],[Tag do Cabo]],BD!A:AJ,5,0)</f>
        <v>1x1x7/C#2,5</v>
      </c>
      <c r="D165" s="391" t="s">
        <v>1533</v>
      </c>
      <c r="E165" s="391" t="str">
        <f>VLOOKUP(Tabela11[[#This Row],[Tag do Cabo]],BD!A:T,20,0)</f>
        <v>BK-SP54-0900A-LC-74-00001_00000</v>
      </c>
      <c r="F165" s="222" t="str">
        <f>IF(VLOOKUP(Tabela11[[#This Row],[Tag do Cabo]],BD!A:AJ,35,0)=0,"Pendente",VLOOKUP(Tabela11[[#This Row],[Tag do Cabo]],BD!A:AJ,35,0))</f>
        <v>BK-SP54-0900B-DI-74-00450</v>
      </c>
      <c r="G165" s="3" t="str">
        <f>IF(VLOOKUP(Tabela11[[#This Row],[Tag do Cabo]],BD!A:AJ,36,0)=0,"Pendente",VLOOKUP(Tabela11[[#This Row],[Tag do Cabo]],BD!A:AJ,36,0))</f>
        <v>28</v>
      </c>
      <c r="H165" s="391" t="str">
        <f>VLOOKUP(Tabela11[[#This Row],[Tag do Cabo]],BD!A:AJ,32,0)</f>
        <v>1HVx1MV</v>
      </c>
      <c r="I165" s="7" t="str">
        <f>VLOOKUP(Tabela11[[#This Row],[Tag do Cabo]],BD!A:AJ,11,0)</f>
        <v>PSDC2 - PAINEL DE REJEICAO DE CARGAS 2 - regua BNC</v>
      </c>
      <c r="J165" s="3" t="str">
        <f>VLOOKUP(Tabela11[[#This Row],[Tag do Cabo]],BD!A:AJ,12,0)</f>
        <v>DJ. 1MV-B1-GB-966</v>
      </c>
      <c r="K165" s="391" t="s">
        <v>1535</v>
      </c>
      <c r="L165" s="391" t="s">
        <v>170</v>
      </c>
      <c r="M165" s="3" t="str">
        <f>CONCATENATE(Tabela11[[#This Row],[Painel 1]]&amp;" "&amp;Tabela11[[#This Row],[Painel 2]])</f>
        <v>PSDC2 DJ. 1MV-B1-GB-966</v>
      </c>
      <c r="N165" s="218">
        <v>14</v>
      </c>
      <c r="O165" s="391">
        <f>COUNTIF(Tabela12[Tag Cabo],Tabela11[[#This Row],[Tag do Cabo]])</f>
        <v>0</v>
      </c>
      <c r="P165" s="391" t="str">
        <f>IF(Tabela11[[#This Row],[Qtde Ligações]]&lt;&gt;Tabela11[[#This Row],[Qtde Anilhas]],"Ver","Ok")</f>
        <v>Ver</v>
      </c>
      <c r="Q165" s="391">
        <f>VLOOKUP(Tabela11[[#This Row],[Tag do Cabo]],BD!A:F,6,0)</f>
        <v>2.5</v>
      </c>
      <c r="R165" s="391">
        <f>SUMIF('Lançamento de Cabos'!AE:AE,Tabela11[[#This Row],[Tag do Cabo]],'Lançamento de Cabos'!AG:AG)</f>
        <v>0</v>
      </c>
      <c r="S165" s="28">
        <f>Tabela11[[#This Row],[Ligações Realizadas]]/Tabela11[[#This Row],[Qtde Ligações]]</f>
        <v>0</v>
      </c>
      <c r="T165" s="269">
        <f>IF(Tabela11[[#This Row],[Ligações Realizadas]]/Tabela11[[#This Row],[Qtde Ligações]]=0,0,IF(Tabela11[[#This Row],[Ligações Realizadas]]/Tabela11[[#This Row],[Qtde Ligações]]=1,ROUND(N165/2,0),"Ver Painel"))</f>
        <v>0</v>
      </c>
      <c r="U165" s="23">
        <f>IF(Tabela11[[#This Row],[Ligações Realizadas]]/Tabela11[[#This Row],[Qtde Ligações]]=0,0,IF(Tabela11[[#This Row],[Ligações Realizadas]]/Tabela11[[#This Row],[Qtde Ligações]]=1,ROUND(N165/2,0),"Ver Painel"))</f>
        <v>0</v>
      </c>
      <c r="V165" s="219"/>
    </row>
    <row r="166" spans="1:22" hidden="1" x14ac:dyDescent="0.25">
      <c r="A166" s="34" t="s">
        <v>172</v>
      </c>
      <c r="B166" s="391" t="str">
        <f>VLOOKUP(Tabela11[[#This Row],[Tag do Cabo]],BD!A:AJ,2,0)</f>
        <v>Controle</v>
      </c>
      <c r="C166" s="3" t="str">
        <f>VLOOKUP(Tabela11[[#This Row],[Tag do Cabo]],BD!A:AJ,5,0)</f>
        <v>1x1x7/C#2,5</v>
      </c>
      <c r="D166" s="391" t="s">
        <v>1533</v>
      </c>
      <c r="E166" s="391" t="str">
        <f>VLOOKUP(Tabela11[[#This Row],[Tag do Cabo]],BD!A:T,20,0)</f>
        <v>BK-SP54-0900A-LC-74-00001_00000</v>
      </c>
      <c r="F166" s="222" t="str">
        <f>IF(VLOOKUP(Tabela11[[#This Row],[Tag do Cabo]],BD!A:AJ,35,0)=0,"Pendente",VLOOKUP(Tabela11[[#This Row],[Tag do Cabo]],BD!A:AJ,35,0))</f>
        <v>BK-SP54-0900B-DI-74-00450</v>
      </c>
      <c r="G166" s="3" t="str">
        <f>IF(VLOOKUP(Tabela11[[#This Row],[Tag do Cabo]],BD!A:AJ,36,0)=0,"Pendente",VLOOKUP(Tabela11[[#This Row],[Tag do Cabo]],BD!A:AJ,36,0))</f>
        <v>28</v>
      </c>
      <c r="H166" s="391" t="str">
        <f>VLOOKUP(Tabela11[[#This Row],[Tag do Cabo]],BD!A:AJ,32,0)</f>
        <v>1HVx1MV</v>
      </c>
      <c r="I166" s="7" t="str">
        <f>VLOOKUP(Tabela11[[#This Row],[Tag do Cabo]],BD!A:AJ,11,0)</f>
        <v>PSDC2 - PAINEL DE REJEICAO DE CARGAS 2 - regua BNC</v>
      </c>
      <c r="J166" s="3" t="str">
        <f>VLOOKUP(Tabela11[[#This Row],[Tag do Cabo]],BD!A:AJ,12,0)</f>
        <v>DJ. 1MV-B1-GB-967A</v>
      </c>
      <c r="K166" s="391" t="s">
        <v>1535</v>
      </c>
      <c r="L166" s="391" t="s">
        <v>173</v>
      </c>
      <c r="M166" s="3" t="str">
        <f>CONCATENATE(Tabela11[[#This Row],[Painel 1]]&amp;" "&amp;Tabela11[[#This Row],[Painel 2]])</f>
        <v>PSDC2 DJ. 1MV-B1-GB-967A</v>
      </c>
      <c r="N166" s="218">
        <v>14</v>
      </c>
      <c r="O166" s="391">
        <f>COUNTIF(Tabela12[Tag Cabo],Tabela11[[#This Row],[Tag do Cabo]])</f>
        <v>0</v>
      </c>
      <c r="P166" s="391" t="str">
        <f>IF(Tabela11[[#This Row],[Qtde Ligações]]&lt;&gt;Tabela11[[#This Row],[Qtde Anilhas]],"Ver","Ok")</f>
        <v>Ver</v>
      </c>
      <c r="Q166" s="391">
        <f>VLOOKUP(Tabela11[[#This Row],[Tag do Cabo]],BD!A:F,6,0)</f>
        <v>2.5</v>
      </c>
      <c r="R166" s="391">
        <f>SUMIF('Lançamento de Cabos'!AE:AE,Tabela11[[#This Row],[Tag do Cabo]],'Lançamento de Cabos'!AG:AG)</f>
        <v>0</v>
      </c>
      <c r="S166" s="28">
        <f>Tabela11[[#This Row],[Ligações Realizadas]]/Tabela11[[#This Row],[Qtde Ligações]]</f>
        <v>0</v>
      </c>
      <c r="T166" s="269">
        <f>IF(Tabela11[[#This Row],[Ligações Realizadas]]/Tabela11[[#This Row],[Qtde Ligações]]=0,0,IF(Tabela11[[#This Row],[Ligações Realizadas]]/Tabela11[[#This Row],[Qtde Ligações]]=1,ROUND(N166/2,0),"Ver Painel"))</f>
        <v>0</v>
      </c>
      <c r="U166" s="23">
        <f>IF(Tabela11[[#This Row],[Ligações Realizadas]]/Tabela11[[#This Row],[Qtde Ligações]]=0,0,IF(Tabela11[[#This Row],[Ligações Realizadas]]/Tabela11[[#This Row],[Qtde Ligações]]=1,ROUND(N166/2,0),"Ver Painel"))</f>
        <v>0</v>
      </c>
      <c r="V166" s="219"/>
    </row>
    <row r="167" spans="1:22" hidden="1" x14ac:dyDescent="0.25">
      <c r="A167" s="34" t="s">
        <v>174</v>
      </c>
      <c r="B167" s="391" t="str">
        <f>VLOOKUP(Tabela11[[#This Row],[Tag do Cabo]],BD!A:AJ,2,0)</f>
        <v>Controle</v>
      </c>
      <c r="C167" s="3" t="str">
        <f>VLOOKUP(Tabela11[[#This Row],[Tag do Cabo]],BD!A:AJ,5,0)</f>
        <v>1x1x7/C#2,5</v>
      </c>
      <c r="D167" s="391" t="s">
        <v>1533</v>
      </c>
      <c r="E167" s="391" t="str">
        <f>VLOOKUP(Tabela11[[#This Row],[Tag do Cabo]],BD!A:T,20,0)</f>
        <v>BK-SP54-0900A-LC-74-00001_00000</v>
      </c>
      <c r="F167" s="222" t="str">
        <f>IF(VLOOKUP(Tabela11[[#This Row],[Tag do Cabo]],BD!A:AJ,35,0)=0,"Pendente",VLOOKUP(Tabela11[[#This Row],[Tag do Cabo]],BD!A:AJ,35,0))</f>
        <v>BK-SP54-0900B-DI-74-00450</v>
      </c>
      <c r="G167" s="3" t="str">
        <f>IF(VLOOKUP(Tabela11[[#This Row],[Tag do Cabo]],BD!A:AJ,36,0)=0,"Pendente",VLOOKUP(Tabela11[[#This Row],[Tag do Cabo]],BD!A:AJ,36,0))</f>
        <v>28</v>
      </c>
      <c r="H167" s="391" t="str">
        <f>VLOOKUP(Tabela11[[#This Row],[Tag do Cabo]],BD!A:AJ,32,0)</f>
        <v>1HVx1MV</v>
      </c>
      <c r="I167" s="7" t="str">
        <f>VLOOKUP(Tabela11[[#This Row],[Tag do Cabo]],BD!A:AJ,11,0)</f>
        <v>PSDC2 - PAINEL DE REJEICAO DE CARGAS 2 - regua BNC</v>
      </c>
      <c r="J167" s="3" t="str">
        <f>VLOOKUP(Tabela11[[#This Row],[Tag do Cabo]],BD!A:AJ,12,0)</f>
        <v>DJ. 1MV-B1-GB-967B</v>
      </c>
      <c r="K167" s="391" t="s">
        <v>1535</v>
      </c>
      <c r="L167" s="391" t="s">
        <v>175</v>
      </c>
      <c r="M167" s="3" t="str">
        <f>CONCATENATE(Tabela11[[#This Row],[Painel 1]]&amp;" "&amp;Tabela11[[#This Row],[Painel 2]])</f>
        <v>PSDC2 DJ. 1MV-B1-GB-967B</v>
      </c>
      <c r="N167" s="218">
        <v>14</v>
      </c>
      <c r="O167" s="391">
        <f>COUNTIF(Tabela12[Tag Cabo],Tabela11[[#This Row],[Tag do Cabo]])</f>
        <v>0</v>
      </c>
      <c r="P167" s="391" t="str">
        <f>IF(Tabela11[[#This Row],[Qtde Ligações]]&lt;&gt;Tabela11[[#This Row],[Qtde Anilhas]],"Ver","Ok")</f>
        <v>Ver</v>
      </c>
      <c r="Q167" s="391">
        <f>VLOOKUP(Tabela11[[#This Row],[Tag do Cabo]],BD!A:F,6,0)</f>
        <v>2.5</v>
      </c>
      <c r="R167" s="391">
        <f>SUMIF('Lançamento de Cabos'!AE:AE,Tabela11[[#This Row],[Tag do Cabo]],'Lançamento de Cabos'!AG:AG)</f>
        <v>0</v>
      </c>
      <c r="S167" s="28">
        <f>Tabela11[[#This Row],[Ligações Realizadas]]/Tabela11[[#This Row],[Qtde Ligações]]</f>
        <v>0</v>
      </c>
      <c r="T167" s="269">
        <f>IF(Tabela11[[#This Row],[Ligações Realizadas]]/Tabela11[[#This Row],[Qtde Ligações]]=0,0,IF(Tabela11[[#This Row],[Ligações Realizadas]]/Tabela11[[#This Row],[Qtde Ligações]]=1,ROUND(N167/2,0),"Ver Painel"))</f>
        <v>0</v>
      </c>
      <c r="U167" s="23">
        <f>IF(Tabela11[[#This Row],[Ligações Realizadas]]/Tabela11[[#This Row],[Qtde Ligações]]=0,0,IF(Tabela11[[#This Row],[Ligações Realizadas]]/Tabela11[[#This Row],[Qtde Ligações]]=1,ROUND(N167/2,0),"Ver Painel"))</f>
        <v>0</v>
      </c>
      <c r="V167" s="219"/>
    </row>
    <row r="168" spans="1:22" hidden="1" x14ac:dyDescent="0.25">
      <c r="A168" s="34" t="s">
        <v>176</v>
      </c>
      <c r="B168" s="391" t="str">
        <f>VLOOKUP(Tabela11[[#This Row],[Tag do Cabo]],BD!A:AJ,2,0)</f>
        <v>Controle</v>
      </c>
      <c r="C168" s="3" t="str">
        <f>VLOOKUP(Tabela11[[#This Row],[Tag do Cabo]],BD!A:AJ,5,0)</f>
        <v>1x1x7/C#2,5</v>
      </c>
      <c r="D168" s="391" t="s">
        <v>1533</v>
      </c>
      <c r="E168" s="391" t="str">
        <f>VLOOKUP(Tabela11[[#This Row],[Tag do Cabo]],BD!A:T,20,0)</f>
        <v>BK-SP54-0900A-LC-74-00001_00000</v>
      </c>
      <c r="F168" s="222" t="str">
        <f>IF(VLOOKUP(Tabela11[[#This Row],[Tag do Cabo]],BD!A:AJ,35,0)=0,"Pendente",VLOOKUP(Tabela11[[#This Row],[Tag do Cabo]],BD!A:AJ,35,0))</f>
        <v>BK-SP54-0900B-DI-74-00450</v>
      </c>
      <c r="G168" s="3" t="str">
        <f>IF(VLOOKUP(Tabela11[[#This Row],[Tag do Cabo]],BD!A:AJ,36,0)=0,"Pendente",VLOOKUP(Tabela11[[#This Row],[Tag do Cabo]],BD!A:AJ,36,0))</f>
        <v>28</v>
      </c>
      <c r="H168" s="391" t="str">
        <f>VLOOKUP(Tabela11[[#This Row],[Tag do Cabo]],BD!A:AJ,32,0)</f>
        <v>1HVx1MV</v>
      </c>
      <c r="I168" s="7" t="str">
        <f>VLOOKUP(Tabela11[[#This Row],[Tag do Cabo]],BD!A:AJ,11,0)</f>
        <v>PSDC2 - PAINEL DE REJEICAO DE CARGAS 2 - regua BNC</v>
      </c>
      <c r="J168" s="3" t="str">
        <f>VLOOKUP(Tabela11[[#This Row],[Tag do Cabo]],BD!A:AJ,12,0)</f>
        <v>DJ. 1MV-B1-GA-906E</v>
      </c>
      <c r="K168" s="391" t="s">
        <v>1535</v>
      </c>
      <c r="L168" s="391" t="s">
        <v>177</v>
      </c>
      <c r="M168" s="3" t="str">
        <f>CONCATENATE(Tabela11[[#This Row],[Painel 1]]&amp;" "&amp;Tabela11[[#This Row],[Painel 2]])</f>
        <v>PSDC2 DJ. 1MV-B1-GA-906E</v>
      </c>
      <c r="N168" s="218">
        <v>14</v>
      </c>
      <c r="O168" s="391">
        <f>COUNTIF(Tabela12[Tag Cabo],Tabela11[[#This Row],[Tag do Cabo]])</f>
        <v>0</v>
      </c>
      <c r="P168" s="391" t="str">
        <f>IF(Tabela11[[#This Row],[Qtde Ligações]]&lt;&gt;Tabela11[[#This Row],[Qtde Anilhas]],"Ver","Ok")</f>
        <v>Ver</v>
      </c>
      <c r="Q168" s="391">
        <f>VLOOKUP(Tabela11[[#This Row],[Tag do Cabo]],BD!A:F,6,0)</f>
        <v>2.5</v>
      </c>
      <c r="R168" s="391">
        <f>SUMIF('Lançamento de Cabos'!AE:AE,Tabela11[[#This Row],[Tag do Cabo]],'Lançamento de Cabos'!AG:AG)</f>
        <v>0</v>
      </c>
      <c r="S168" s="28">
        <f>Tabela11[[#This Row],[Ligações Realizadas]]/Tabela11[[#This Row],[Qtde Ligações]]</f>
        <v>0</v>
      </c>
      <c r="T168" s="269">
        <f>IF(Tabela11[[#This Row],[Ligações Realizadas]]/Tabela11[[#This Row],[Qtde Ligações]]=0,0,IF(Tabela11[[#This Row],[Ligações Realizadas]]/Tabela11[[#This Row],[Qtde Ligações]]=1,ROUND(N168/2,0),"Ver Painel"))</f>
        <v>0</v>
      </c>
      <c r="U168" s="23">
        <f>IF(Tabela11[[#This Row],[Ligações Realizadas]]/Tabela11[[#This Row],[Qtde Ligações]]=0,0,IF(Tabela11[[#This Row],[Ligações Realizadas]]/Tabela11[[#This Row],[Qtde Ligações]]=1,ROUND(N168/2,0),"Ver Painel"))</f>
        <v>0</v>
      </c>
      <c r="V168" s="219"/>
    </row>
    <row r="169" spans="1:22" hidden="1" x14ac:dyDescent="0.25">
      <c r="A169" s="34" t="s">
        <v>178</v>
      </c>
      <c r="B169" s="391" t="str">
        <f>VLOOKUP(Tabela11[[#This Row],[Tag do Cabo]],BD!A:AJ,2,0)</f>
        <v>Controle</v>
      </c>
      <c r="C169" s="3" t="str">
        <f>VLOOKUP(Tabela11[[#This Row],[Tag do Cabo]],BD!A:AJ,5,0)</f>
        <v>1x1x7/C#2,5</v>
      </c>
      <c r="D169" s="391" t="s">
        <v>1533</v>
      </c>
      <c r="E169" s="391" t="str">
        <f>VLOOKUP(Tabela11[[#This Row],[Tag do Cabo]],BD!A:T,20,0)</f>
        <v>BK-SP54-0900A-LC-74-00001_00000</v>
      </c>
      <c r="F169" s="222" t="str">
        <f>IF(VLOOKUP(Tabela11[[#This Row],[Tag do Cabo]],BD!A:AJ,35,0)=0,"Pendente",VLOOKUP(Tabela11[[#This Row],[Tag do Cabo]],BD!A:AJ,35,0))</f>
        <v>BK-SP54-0900B-DI-74-00450</v>
      </c>
      <c r="G169" s="3" t="str">
        <f>IF(VLOOKUP(Tabela11[[#This Row],[Tag do Cabo]],BD!A:AJ,36,0)=0,"Pendente",VLOOKUP(Tabela11[[#This Row],[Tag do Cabo]],BD!A:AJ,36,0))</f>
        <v>28</v>
      </c>
      <c r="H169" s="391" t="str">
        <f>VLOOKUP(Tabela11[[#This Row],[Tag do Cabo]],BD!A:AJ,32,0)</f>
        <v>1HVx1MV</v>
      </c>
      <c r="I169" s="7" t="str">
        <f>VLOOKUP(Tabela11[[#This Row],[Tag do Cabo]],BD!A:AJ,11,0)</f>
        <v>PSDC2 - PAINEL DE REJEICAO DE CARGAS 2 - regua BNC</v>
      </c>
      <c r="J169" s="3" t="str">
        <f>VLOOKUP(Tabela11[[#This Row],[Tag do Cabo]],BD!A:AJ,12,0)</f>
        <v>DJ. 1MV-B1-GA-203F</v>
      </c>
      <c r="K169" s="391" t="s">
        <v>1535</v>
      </c>
      <c r="L169" s="391" t="s">
        <v>179</v>
      </c>
      <c r="M169" s="3" t="str">
        <f>CONCATENATE(Tabela11[[#This Row],[Painel 1]]&amp;" "&amp;Tabela11[[#This Row],[Painel 2]])</f>
        <v>PSDC2 DJ. 1MV-B1-GA-203F</v>
      </c>
      <c r="N169" s="218">
        <v>14</v>
      </c>
      <c r="O169" s="391">
        <f>COUNTIF(Tabela12[Tag Cabo],Tabela11[[#This Row],[Tag do Cabo]])</f>
        <v>0</v>
      </c>
      <c r="P169" s="391" t="str">
        <f>IF(Tabela11[[#This Row],[Qtde Ligações]]&lt;&gt;Tabela11[[#This Row],[Qtde Anilhas]],"Ver","Ok")</f>
        <v>Ver</v>
      </c>
      <c r="Q169" s="391">
        <f>VLOOKUP(Tabela11[[#This Row],[Tag do Cabo]],BD!A:F,6,0)</f>
        <v>2.5</v>
      </c>
      <c r="R169" s="391">
        <f>SUMIF('Lançamento de Cabos'!AE:AE,Tabela11[[#This Row],[Tag do Cabo]],'Lançamento de Cabos'!AG:AG)</f>
        <v>0</v>
      </c>
      <c r="S169" s="28">
        <f>Tabela11[[#This Row],[Ligações Realizadas]]/Tabela11[[#This Row],[Qtde Ligações]]</f>
        <v>0</v>
      </c>
      <c r="T169" s="269">
        <f>IF(Tabela11[[#This Row],[Ligações Realizadas]]/Tabela11[[#This Row],[Qtde Ligações]]=0,0,IF(Tabela11[[#This Row],[Ligações Realizadas]]/Tabela11[[#This Row],[Qtde Ligações]]=1,ROUND(N169/2,0),"Ver Painel"))</f>
        <v>0</v>
      </c>
      <c r="U169" s="23">
        <f>IF(Tabela11[[#This Row],[Ligações Realizadas]]/Tabela11[[#This Row],[Qtde Ligações]]=0,0,IF(Tabela11[[#This Row],[Ligações Realizadas]]/Tabela11[[#This Row],[Qtde Ligações]]=1,ROUND(N169/2,0),"Ver Painel"))</f>
        <v>0</v>
      </c>
      <c r="V169" s="219"/>
    </row>
    <row r="170" spans="1:22" hidden="1" x14ac:dyDescent="0.25">
      <c r="A170" s="34" t="s">
        <v>884</v>
      </c>
      <c r="B170" s="391" t="str">
        <f>VLOOKUP(Tabela11[[#This Row],[Tag do Cabo]],BD!A:AJ,2,0)</f>
        <v>Força</v>
      </c>
      <c r="C170" s="24" t="str">
        <f>VLOOKUP(Tabela11[[#This Row],[Tag do Cabo]],BD!A:AJ,5,0)</f>
        <v>1x2/C#2,5</v>
      </c>
      <c r="D170" s="391" t="s">
        <v>1533</v>
      </c>
      <c r="E170" s="391" t="str">
        <f>VLOOKUP(Tabela11[[#This Row],[Tag do Cabo]],BD!A:T,20,0)</f>
        <v>BK-SP54-0900A-LC-74-00001_00000</v>
      </c>
      <c r="F170" s="375" t="str">
        <f>IF(VLOOKUP(Tabela11[[#This Row],[Tag do Cabo]],BD!A:AJ,35,0)=0,"Pendente",VLOOKUP(Tabela11[[#This Row],[Tag do Cabo]],BD!A:AJ,35,0))</f>
        <v>BK-SP54-0900B-DI-74-00450</v>
      </c>
      <c r="G170" s="24" t="str">
        <f>IF(VLOOKUP(Tabela11[[#This Row],[Tag do Cabo]],BD!A:AJ,36,0)=0,"Pendente",VLOOKUP(Tabela11[[#This Row],[Tag do Cabo]],BD!A:AJ,36,0))</f>
        <v>13</v>
      </c>
      <c r="H170" s="391" t="str">
        <f>VLOOKUP(Tabela11[[#This Row],[Tag do Cabo]],BD!A:AJ,32,0)</f>
        <v>8HV</v>
      </c>
      <c r="I170" s="7" t="str">
        <f>VLOOKUP(Tabela11[[#This Row],[Tag do Cabo]],BD!A:AJ,11,0)</f>
        <v>TCC-34 - PAINEL 125Vcc</v>
      </c>
      <c r="J170" s="3" t="str">
        <f>VLOOKUP(Tabela11[[#This Row],[Tag do Cabo]],BD!A:AJ,12,0)</f>
        <v>FIREWALL</v>
      </c>
      <c r="K170" s="391" t="s">
        <v>1565</v>
      </c>
      <c r="L170" s="391" t="s">
        <v>886</v>
      </c>
      <c r="M170" s="3" t="str">
        <f>CONCATENATE(Tabela11[[#This Row],[Painel 1]]&amp;" "&amp;Tabela11[[#This Row],[Painel 2]])</f>
        <v>TCC-34 FIREWALL</v>
      </c>
      <c r="N170" s="218">
        <v>4</v>
      </c>
      <c r="O170" s="23">
        <f>COUNTIF(Tabela12[Tag Cabo],Tabela11[[#This Row],[Tag do Cabo]])</f>
        <v>0</v>
      </c>
      <c r="P170" s="23" t="str">
        <f>IF(Tabela11[[#This Row],[Qtde Ligações]]&lt;&gt;Tabela11[[#This Row],[Qtde Anilhas]],"Ver","Ok")</f>
        <v>Ver</v>
      </c>
      <c r="Q170" s="23">
        <f>VLOOKUP(Tabela11[[#This Row],[Tag do Cabo]],BD!A:F,6,0)</f>
        <v>2.5</v>
      </c>
      <c r="R170" s="23">
        <f>SUMIF('Lançamento de Cabos'!AE:AE,Tabela11[[#This Row],[Tag do Cabo]],'Lançamento de Cabos'!AG:AG)</f>
        <v>0</v>
      </c>
      <c r="S170" s="28">
        <f>Tabela11[[#This Row],[Ligações Realizadas]]/Tabela11[[#This Row],[Qtde Ligações]]</f>
        <v>0</v>
      </c>
      <c r="T170" s="269">
        <f>IF(Tabela11[[#This Row],[Ligações Realizadas]]/Tabela11[[#This Row],[Qtde Ligações]]=0,0,IF(Tabela11[[#This Row],[Ligações Realizadas]]/Tabela11[[#This Row],[Qtde Ligações]]=1,ROUND(N170/2,0),"Ver Painel"))</f>
        <v>0</v>
      </c>
      <c r="U170" s="23">
        <f>IF(Tabela11[[#This Row],[Ligações Realizadas]]/Tabela11[[#This Row],[Qtde Ligações]]=0,0,IF(Tabela11[[#This Row],[Ligações Realizadas]]/Tabela11[[#This Row],[Qtde Ligações]]=1,ROUND(N170/2,0),"Ver Painel"))</f>
        <v>0</v>
      </c>
      <c r="V170" s="219"/>
    </row>
    <row r="171" spans="1:22" hidden="1" x14ac:dyDescent="0.25">
      <c r="A171" s="34" t="s">
        <v>888</v>
      </c>
      <c r="B171" s="391" t="str">
        <f>VLOOKUP(Tabela11[[#This Row],[Tag do Cabo]],BD!A:AJ,2,0)</f>
        <v>Força</v>
      </c>
      <c r="C171" s="24" t="str">
        <f>VLOOKUP(Tabela11[[#This Row],[Tag do Cabo]],BD!A:AJ,5,0)</f>
        <v>1x2/C#2,5</v>
      </c>
      <c r="D171" s="391" t="s">
        <v>1533</v>
      </c>
      <c r="E171" s="391" t="str">
        <f>VLOOKUP(Tabela11[[#This Row],[Tag do Cabo]],BD!A:T,20,0)</f>
        <v>BK-SP54-0900A-LC-74-00001_00000</v>
      </c>
      <c r="F171" s="375" t="str">
        <f>IF(VLOOKUP(Tabela11[[#This Row],[Tag do Cabo]],BD!A:AJ,35,0)=0,"Pendente",VLOOKUP(Tabela11[[#This Row],[Tag do Cabo]],BD!A:AJ,35,0))</f>
        <v>BK-SP54-0900B-DI-74-00450</v>
      </c>
      <c r="G171" s="24" t="str">
        <f>IF(VLOOKUP(Tabela11[[#This Row],[Tag do Cabo]],BD!A:AJ,36,0)=0,"Pendente",VLOOKUP(Tabela11[[#This Row],[Tag do Cabo]],BD!A:AJ,36,0))</f>
        <v>13</v>
      </c>
      <c r="H171" s="391" t="str">
        <f>VLOOKUP(Tabela11[[#This Row],[Tag do Cabo]],BD!A:AJ,32,0)</f>
        <v>8HV</v>
      </c>
      <c r="I171" s="7" t="str">
        <f>VLOOKUP(Tabela11[[#This Row],[Tag do Cabo]],BD!A:AJ,11,0)</f>
        <v>TCC-34 - PAINEL 125Vcc</v>
      </c>
      <c r="J171" s="3" t="str">
        <f>VLOOKUP(Tabela11[[#This Row],[Tag do Cabo]],BD!A:AJ,12,0)</f>
        <v>FIREWALL</v>
      </c>
      <c r="K171" s="391" t="s">
        <v>1565</v>
      </c>
      <c r="L171" s="391" t="s">
        <v>886</v>
      </c>
      <c r="M171" s="3" t="str">
        <f>CONCATENATE(Tabela11[[#This Row],[Painel 1]]&amp;" "&amp;Tabela11[[#This Row],[Painel 2]])</f>
        <v>TCC-34 FIREWALL</v>
      </c>
      <c r="N171" s="218">
        <v>4</v>
      </c>
      <c r="O171" s="23">
        <f>COUNTIF(Tabela12[Tag Cabo],Tabela11[[#This Row],[Tag do Cabo]])</f>
        <v>0</v>
      </c>
      <c r="P171" s="23" t="str">
        <f>IF(Tabela11[[#This Row],[Qtde Ligações]]&lt;&gt;Tabela11[[#This Row],[Qtde Anilhas]],"Ver","Ok")</f>
        <v>Ver</v>
      </c>
      <c r="Q171" s="23">
        <f>VLOOKUP(Tabela11[[#This Row],[Tag do Cabo]],BD!A:F,6,0)</f>
        <v>2.5</v>
      </c>
      <c r="R171" s="23">
        <f>SUMIF('Lançamento de Cabos'!AE:AE,Tabela11[[#This Row],[Tag do Cabo]],'Lançamento de Cabos'!AG:AG)</f>
        <v>0</v>
      </c>
      <c r="S171" s="28">
        <f>Tabela11[[#This Row],[Ligações Realizadas]]/Tabela11[[#This Row],[Qtde Ligações]]</f>
        <v>0</v>
      </c>
      <c r="T171" s="269">
        <f>IF(Tabela11[[#This Row],[Ligações Realizadas]]/Tabela11[[#This Row],[Qtde Ligações]]=0,0,IF(Tabela11[[#This Row],[Ligações Realizadas]]/Tabela11[[#This Row],[Qtde Ligações]]=1,ROUND(N171/2,0),"Ver Painel"))</f>
        <v>0</v>
      </c>
      <c r="U171" s="23">
        <f>IF(Tabela11[[#This Row],[Ligações Realizadas]]/Tabela11[[#This Row],[Qtde Ligações]]=0,0,IF(Tabela11[[#This Row],[Ligações Realizadas]]/Tabela11[[#This Row],[Qtde Ligações]]=1,ROUND(N171/2,0),"Ver Painel"))</f>
        <v>0</v>
      </c>
      <c r="V171" s="219"/>
    </row>
    <row r="172" spans="1:22" hidden="1" x14ac:dyDescent="0.25">
      <c r="A172" s="34" t="s">
        <v>1040</v>
      </c>
      <c r="B172" s="391" t="str">
        <f>VLOOKUP(Tabela11[[#This Row],[Tag do Cabo]],BD!A:AJ,2,0)</f>
        <v>Rede</v>
      </c>
      <c r="C172" s="3" t="str">
        <f>VLOOKUP(Tabela11[[#This Row],[Tag do Cabo]],BD!A:AJ,5,0)</f>
        <v>CABO ETHERNET</v>
      </c>
      <c r="D172" s="391" t="s">
        <v>1533</v>
      </c>
      <c r="E172" s="391" t="str">
        <f>VLOOKUP(Tabela11[[#This Row],[Tag do Cabo]],BD!A:T,20,0)</f>
        <v>BK-SP54-0900B-LC-90-00010_00000</v>
      </c>
      <c r="F172" s="341" t="str">
        <f>IF(VLOOKUP(Tabela11[[#This Row],[Tag do Cabo]],BD!A:AJ,35,0)=0,"Pendente",VLOOKUP(Tabela11[[#This Row],[Tag do Cabo]],BD!A:AJ,35,0))</f>
        <v>BK-SP54-0900B-DP-90-00039</v>
      </c>
      <c r="G172" s="3" t="str">
        <f>IF(VLOOKUP(Tabela11[[#This Row],[Tag do Cabo]],BD!A:AJ,36,0)=0,"Pendente",VLOOKUP(Tabela11[[#This Row],[Tag do Cabo]],BD!A:AJ,36,0))</f>
        <v>19</v>
      </c>
      <c r="H172" s="391" t="str">
        <f>VLOOKUP(Tabela11[[#This Row],[Tag do Cabo]],BD!A:AJ,32,0)</f>
        <v>CCO</v>
      </c>
      <c r="I172" s="7" t="str">
        <f>VLOOKUP(Tabela11[[#This Row],[Tag do Cabo]],BD!A:AJ,11,0)</f>
        <v>FRW-90-102 (RCK-90-101) / CCO</v>
      </c>
      <c r="J172" s="3" t="str">
        <f>VLOOKUP(Tabela11[[#This Row],[Tag do Cabo]],BD!A:AJ,12,0)</f>
        <v>SWT-90-101 (RCK-90-101) / CCO</v>
      </c>
      <c r="K172" s="391" t="s">
        <v>1579</v>
      </c>
      <c r="L172" s="391" t="s">
        <v>1579</v>
      </c>
      <c r="M172" s="3" t="str">
        <f>CONCATENATE(Tabela11[[#This Row],[Painel 1]]&amp;" "&amp;Tabela11[[#This Row],[Painel 2]])</f>
        <v>RCK-90-101 RCK-90-101</v>
      </c>
      <c r="N172" s="157">
        <v>2</v>
      </c>
      <c r="O172" s="391" t="s">
        <v>92</v>
      </c>
      <c r="P172" s="391" t="s">
        <v>107</v>
      </c>
      <c r="Q172" s="391" t="str">
        <f>VLOOKUP(Tabela11[[#This Row],[Tag do Cabo]],BD!A:F,6,0)</f>
        <v>-</v>
      </c>
      <c r="R172" s="391">
        <f>SUMIF('Lançamento de Cabos'!AE:AE,Tabela11[[#This Row],[Tag do Cabo]],'Lançamento de Cabos'!AG:AG)</f>
        <v>0</v>
      </c>
      <c r="S172" s="28">
        <f>Tabela11[[#This Row],[Ligações Realizadas]]/Tabela11[[#This Row],[Qtde Ligações]]</f>
        <v>0</v>
      </c>
      <c r="T172" s="269">
        <f>IF(Tabela11[[#This Row],[Ligações Realizadas]]/Tabela11[[#This Row],[Qtde Ligações]]=0,0,IF(Tabela11[[#This Row],[Ligações Realizadas]]/Tabela11[[#This Row],[Qtde Ligações]]=1,ROUND(N172/2,0),"Ver Painel"))</f>
        <v>0</v>
      </c>
      <c r="U172" s="23">
        <f>IF(Tabela11[[#This Row],[Ligações Realizadas]]/Tabela11[[#This Row],[Qtde Ligações]]=0,0,IF(Tabela11[[#This Row],[Ligações Realizadas]]/Tabela11[[#This Row],[Qtde Ligações]]=1,ROUND(N172/2,0),"Ver Painel"))</f>
        <v>0</v>
      </c>
      <c r="V172" s="219"/>
    </row>
    <row r="173" spans="1:22" hidden="1" x14ac:dyDescent="0.25">
      <c r="A173" s="169" t="s">
        <v>478</v>
      </c>
      <c r="B173" s="391" t="str">
        <f>VLOOKUP(Tabela11[[#This Row],[Tag do Cabo]],BD!A:AJ,2,0)</f>
        <v>Controle</v>
      </c>
      <c r="C173" s="3" t="str">
        <f>VLOOKUP(Tabela11[[#This Row],[Tag do Cabo]],BD!A:AJ,5,0)</f>
        <v>1x1x7/C#2,5</v>
      </c>
      <c r="D173" s="391" t="s">
        <v>1533</v>
      </c>
      <c r="E173" s="391" t="str">
        <f>VLOOKUP(Tabela11[[#This Row],[Tag do Cabo]],BD!A:T,20,0)</f>
        <v>BK-SP54-0900A-LC-74-00001_00000</v>
      </c>
      <c r="F173" s="222" t="str">
        <f>IF(VLOOKUP(Tabela11[[#This Row],[Tag do Cabo]],BD!A:AJ,35,0)=0,"Pendente",VLOOKUP(Tabela11[[#This Row],[Tag do Cabo]],BD!A:AJ,35,0))</f>
        <v>BK-SP54-0900B-DI-74-00450</v>
      </c>
      <c r="G173" s="3" t="str">
        <f>IF(VLOOKUP(Tabela11[[#This Row],[Tag do Cabo]],BD!A:AJ,36,0)=0,"Pendente",VLOOKUP(Tabela11[[#This Row],[Tag do Cabo]],BD!A:AJ,36,0))</f>
        <v>23</v>
      </c>
      <c r="H173" s="391" t="str">
        <f>VLOOKUP(Tabela11[[#This Row],[Tag do Cabo]],BD!A:AJ,32,0)</f>
        <v>7HV</v>
      </c>
      <c r="I173" s="7" t="str">
        <f>VLOOKUP(Tabela11[[#This Row],[Tag do Cabo]],BD!A:AJ,11,0)</f>
        <v>PSDC4 - PAINEL DE REJEICAO DE CARGAS 4 - regua BNC</v>
      </c>
      <c r="J173" s="3" t="str">
        <f>VLOOKUP(Tabela11[[#This Row],[Tag do Cabo]],BD!A:AJ,12,0)</f>
        <v>DJ. 7HV-GB-351</v>
      </c>
      <c r="K173" s="391" t="s">
        <v>1567</v>
      </c>
      <c r="L173" s="391" t="s">
        <v>480</v>
      </c>
      <c r="M173" s="3" t="str">
        <f>CONCATENATE(Tabela11[[#This Row],[Painel 1]]&amp;" "&amp;Tabela11[[#This Row],[Painel 2]])</f>
        <v>PSDC4 DJ. 7HV-GB-351</v>
      </c>
      <c r="N173" s="157">
        <v>8</v>
      </c>
      <c r="O173" s="391">
        <f>COUNTIF(Tabela12[Tag Cabo],Tabela11[[#This Row],[Tag do Cabo]])</f>
        <v>8</v>
      </c>
      <c r="P173" s="391" t="str">
        <f>IF(Tabela11[[#This Row],[Qtde Ligações]]&lt;&gt;Tabela11[[#This Row],[Qtde Anilhas]],"Ver","Ok")</f>
        <v>Ok</v>
      </c>
      <c r="Q173" s="391">
        <f>VLOOKUP(Tabela11[[#This Row],[Tag do Cabo]],BD!A:F,6,0)</f>
        <v>2.5</v>
      </c>
      <c r="R173" s="391">
        <f>SUMIF('Lançamento de Cabos'!AE:AE,Tabela11[[#This Row],[Tag do Cabo]],'Lançamento de Cabos'!AG:AG)</f>
        <v>0</v>
      </c>
      <c r="S173" s="28">
        <f>Tabela11[[#This Row],[Ligações Realizadas]]/Tabela11[[#This Row],[Qtde Ligações]]</f>
        <v>0</v>
      </c>
      <c r="T173" s="269">
        <f>IF(Tabela11[[#This Row],[Ligações Realizadas]]/Tabela11[[#This Row],[Qtde Ligações]]=0,0,IF(Tabela11[[#This Row],[Ligações Realizadas]]/Tabela11[[#This Row],[Qtde Ligações]]=1,ROUND(N173/2,0),"Ver Painel"))</f>
        <v>0</v>
      </c>
      <c r="U173" s="23">
        <f>IF(Tabela11[[#This Row],[Ligações Realizadas]]/Tabela11[[#This Row],[Qtde Ligações]]=0,0,IF(Tabela11[[#This Row],[Ligações Realizadas]]/Tabela11[[#This Row],[Qtde Ligações]]=1,ROUND(N173/2,0),"Ver Painel"))</f>
        <v>0</v>
      </c>
      <c r="V173" s="222"/>
    </row>
    <row r="174" spans="1:22" hidden="1" x14ac:dyDescent="0.25">
      <c r="A174" s="169" t="s">
        <v>484</v>
      </c>
      <c r="B174" s="391" t="str">
        <f>VLOOKUP(Tabela11[[#This Row],[Tag do Cabo]],BD!A:AJ,2,0)</f>
        <v>Controle</v>
      </c>
      <c r="C174" s="3" t="str">
        <f>VLOOKUP(Tabela11[[#This Row],[Tag do Cabo]],BD!A:AJ,5,0)</f>
        <v>1x1x7/C#2,5</v>
      </c>
      <c r="D174" s="391" t="s">
        <v>1533</v>
      </c>
      <c r="E174" s="391" t="str">
        <f>VLOOKUP(Tabela11[[#This Row],[Tag do Cabo]],BD!A:T,20,0)</f>
        <v>BK-SP54-0900A-LC-74-00001_00000</v>
      </c>
      <c r="F174" s="222" t="str">
        <f>IF(VLOOKUP(Tabela11[[#This Row],[Tag do Cabo]],BD!A:AJ,35,0)=0,"Pendente",VLOOKUP(Tabela11[[#This Row],[Tag do Cabo]],BD!A:AJ,35,0))</f>
        <v>BK-SP54-0900B-DI-74-00450</v>
      </c>
      <c r="G174" s="3" t="str">
        <f>IF(VLOOKUP(Tabela11[[#This Row],[Tag do Cabo]],BD!A:AJ,36,0)=0,"Pendente",VLOOKUP(Tabela11[[#This Row],[Tag do Cabo]],BD!A:AJ,36,0))</f>
        <v>23</v>
      </c>
      <c r="H174" s="391" t="str">
        <f>VLOOKUP(Tabela11[[#This Row],[Tag do Cabo]],BD!A:AJ,32,0)</f>
        <v>7HV</v>
      </c>
      <c r="I174" s="7" t="str">
        <f>VLOOKUP(Tabela11[[#This Row],[Tag do Cabo]],BD!A:AJ,11,0)</f>
        <v>PSDC4 - PAINEL DE REJEICAO DE CARGAS 4 - regua BNC</v>
      </c>
      <c r="J174" s="3" t="str">
        <f>VLOOKUP(Tabela11[[#This Row],[Tag do Cabo]],BD!A:AJ,12,0)</f>
        <v>DJ. 7HV-GB-1201</v>
      </c>
      <c r="K174" s="391" t="s">
        <v>1567</v>
      </c>
      <c r="L174" s="391" t="s">
        <v>485</v>
      </c>
      <c r="M174" s="3" t="str">
        <f>CONCATENATE(Tabela11[[#This Row],[Painel 1]]&amp;" "&amp;Tabela11[[#This Row],[Painel 2]])</f>
        <v>PSDC4 DJ. 7HV-GB-1201</v>
      </c>
      <c r="N174" s="157">
        <v>8</v>
      </c>
      <c r="O174" s="391">
        <f>COUNTIF(Tabela12[Tag Cabo],Tabela11[[#This Row],[Tag do Cabo]])</f>
        <v>8</v>
      </c>
      <c r="P174" s="391" t="str">
        <f>IF(Tabela11[[#This Row],[Qtde Ligações]]&lt;&gt;Tabela11[[#This Row],[Qtde Anilhas]],"Ver","Ok")</f>
        <v>Ok</v>
      </c>
      <c r="Q174" s="391">
        <f>VLOOKUP(Tabela11[[#This Row],[Tag do Cabo]],BD!A:F,6,0)</f>
        <v>2.5</v>
      </c>
      <c r="R174" s="391">
        <f>SUMIF('Lançamento de Cabos'!AE:AE,Tabela11[[#This Row],[Tag do Cabo]],'Lançamento de Cabos'!AG:AG)</f>
        <v>0</v>
      </c>
      <c r="S174" s="28">
        <f>Tabela11[[#This Row],[Ligações Realizadas]]/Tabela11[[#This Row],[Qtde Ligações]]</f>
        <v>0</v>
      </c>
      <c r="T174" s="269">
        <f>IF(Tabela11[[#This Row],[Ligações Realizadas]]/Tabela11[[#This Row],[Qtde Ligações]]=0,0,IF(Tabela11[[#This Row],[Ligações Realizadas]]/Tabela11[[#This Row],[Qtde Ligações]]=1,ROUND(N174/2,0),"Ver Painel"))</f>
        <v>0</v>
      </c>
      <c r="U174" s="23">
        <f>IF(Tabela11[[#This Row],[Ligações Realizadas]]/Tabela11[[#This Row],[Qtde Ligações]]=0,0,IF(Tabela11[[#This Row],[Ligações Realizadas]]/Tabela11[[#This Row],[Qtde Ligações]]=1,ROUND(N174/2,0),"Ver Painel"))</f>
        <v>0</v>
      </c>
      <c r="V174" s="222"/>
    </row>
    <row r="175" spans="1:22" hidden="1" x14ac:dyDescent="0.25">
      <c r="A175" s="169" t="s">
        <v>486</v>
      </c>
      <c r="B175" s="391" t="str">
        <f>VLOOKUP(Tabela11[[#This Row],[Tag do Cabo]],BD!A:AJ,2,0)</f>
        <v>Controle</v>
      </c>
      <c r="C175" s="3" t="str">
        <f>VLOOKUP(Tabela11[[#This Row],[Tag do Cabo]],BD!A:AJ,5,0)</f>
        <v>1x1x7/C#2,5</v>
      </c>
      <c r="D175" s="391" t="s">
        <v>1533</v>
      </c>
      <c r="E175" s="391" t="str">
        <f>VLOOKUP(Tabela11[[#This Row],[Tag do Cabo]],BD!A:T,20,0)</f>
        <v>BK-SP54-0900A-LC-74-00001_00000</v>
      </c>
      <c r="F175" s="222" t="str">
        <f>IF(VLOOKUP(Tabela11[[#This Row],[Tag do Cabo]],BD!A:AJ,35,0)=0,"Pendente",VLOOKUP(Tabela11[[#This Row],[Tag do Cabo]],BD!A:AJ,35,0))</f>
        <v>BK-SP54-0900B-DI-74-00450</v>
      </c>
      <c r="G175" s="3" t="str">
        <f>IF(VLOOKUP(Tabela11[[#This Row],[Tag do Cabo]],BD!A:AJ,36,0)=0,"Pendente",VLOOKUP(Tabela11[[#This Row],[Tag do Cabo]],BD!A:AJ,36,0))</f>
        <v>23</v>
      </c>
      <c r="H175" s="391" t="str">
        <f>VLOOKUP(Tabela11[[#This Row],[Tag do Cabo]],BD!A:AJ,32,0)</f>
        <v>7HV</v>
      </c>
      <c r="I175" s="7" t="str">
        <f>VLOOKUP(Tabela11[[#This Row],[Tag do Cabo]],BD!A:AJ,11,0)</f>
        <v>PSDC4 - PAINEL DE REJEICAO DE CARGAS 4 - regua BNC</v>
      </c>
      <c r="J175" s="3" t="str">
        <f>VLOOKUP(Tabela11[[#This Row],[Tag do Cabo]],BD!A:AJ,12,0)</f>
        <v>DJ. 7HV-GB-200</v>
      </c>
      <c r="K175" s="391" t="s">
        <v>1567</v>
      </c>
      <c r="L175" s="391" t="s">
        <v>487</v>
      </c>
      <c r="M175" s="3" t="str">
        <f>CONCATENATE(Tabela11[[#This Row],[Painel 1]]&amp;" "&amp;Tabela11[[#This Row],[Painel 2]])</f>
        <v>PSDC4 DJ. 7HV-GB-200</v>
      </c>
      <c r="N175" s="157">
        <v>8</v>
      </c>
      <c r="O175" s="391">
        <f>COUNTIF(Tabela12[Tag Cabo],Tabela11[[#This Row],[Tag do Cabo]])</f>
        <v>8</v>
      </c>
      <c r="P175" s="391" t="str">
        <f>IF(Tabela11[[#This Row],[Qtde Ligações]]&lt;&gt;Tabela11[[#This Row],[Qtde Anilhas]],"Ver","Ok")</f>
        <v>Ok</v>
      </c>
      <c r="Q175" s="391">
        <f>VLOOKUP(Tabela11[[#This Row],[Tag do Cabo]],BD!A:F,6,0)</f>
        <v>2.5</v>
      </c>
      <c r="R175" s="391">
        <f>SUMIF('Lançamento de Cabos'!AE:AE,Tabela11[[#This Row],[Tag do Cabo]],'Lançamento de Cabos'!AG:AG)</f>
        <v>0</v>
      </c>
      <c r="S175" s="28">
        <f>Tabela11[[#This Row],[Ligações Realizadas]]/Tabela11[[#This Row],[Qtde Ligações]]</f>
        <v>0</v>
      </c>
      <c r="T175" s="269">
        <f>IF(Tabela11[[#This Row],[Ligações Realizadas]]/Tabela11[[#This Row],[Qtde Ligações]]=0,0,IF(Tabela11[[#This Row],[Ligações Realizadas]]/Tabela11[[#This Row],[Qtde Ligações]]=1,ROUND(N175/2,0),"Ver Painel"))</f>
        <v>0</v>
      </c>
      <c r="U175" s="23">
        <f>IF(Tabela11[[#This Row],[Ligações Realizadas]]/Tabela11[[#This Row],[Qtde Ligações]]=0,0,IF(Tabela11[[#This Row],[Ligações Realizadas]]/Tabela11[[#This Row],[Qtde Ligações]]=1,ROUND(N175/2,0),"Ver Painel"))</f>
        <v>0</v>
      </c>
      <c r="V175" s="222"/>
    </row>
    <row r="176" spans="1:22" hidden="1" x14ac:dyDescent="0.25">
      <c r="A176" s="169" t="s">
        <v>488</v>
      </c>
      <c r="B176" s="391" t="str">
        <f>VLOOKUP(Tabela11[[#This Row],[Tag do Cabo]],BD!A:AJ,2,0)</f>
        <v>Controle</v>
      </c>
      <c r="C176" s="3" t="str">
        <f>VLOOKUP(Tabela11[[#This Row],[Tag do Cabo]],BD!A:AJ,5,0)</f>
        <v>1x1x12/C#2,5</v>
      </c>
      <c r="D176" s="391" t="s">
        <v>1533</v>
      </c>
      <c r="E176" s="391" t="str">
        <f>VLOOKUP(Tabela11[[#This Row],[Tag do Cabo]],BD!A:T,20,0)</f>
        <v>BK-SP54-0900A-LC-74-00001_00000</v>
      </c>
      <c r="F176" s="222" t="str">
        <f>IF(VLOOKUP(Tabela11[[#This Row],[Tag do Cabo]],BD!A:AJ,35,0)=0,"Pendente",VLOOKUP(Tabela11[[#This Row],[Tag do Cabo]],BD!A:AJ,35,0))</f>
        <v>BK-SP54-0900B-DI-74-00450</v>
      </c>
      <c r="G176" s="3" t="str">
        <f>IF(VLOOKUP(Tabela11[[#This Row],[Tag do Cabo]],BD!A:AJ,36,0)=0,"Pendente",VLOOKUP(Tabela11[[#This Row],[Tag do Cabo]],BD!A:AJ,36,0))</f>
        <v>23</v>
      </c>
      <c r="H176" s="391" t="str">
        <f>VLOOKUP(Tabela11[[#This Row],[Tag do Cabo]],BD!A:AJ,32,0)</f>
        <v>7HV</v>
      </c>
      <c r="I176" s="7" t="str">
        <f>VLOOKUP(Tabela11[[#This Row],[Tag do Cabo]],BD!A:AJ,11,0)</f>
        <v>PSDC4 - PAINEL DE REJEICAO DE CARGAS 4 - regua BNC</v>
      </c>
      <c r="J176" s="3" t="str">
        <f>VLOOKUP(Tabela11[[#This Row],[Tag do Cabo]],BD!A:AJ,12,0)</f>
        <v>DJ. 7HV-52HV7</v>
      </c>
      <c r="K176" s="391" t="s">
        <v>1567</v>
      </c>
      <c r="L176" s="391" t="s">
        <v>489</v>
      </c>
      <c r="M176" s="3" t="str">
        <f>CONCATENATE(Tabela11[[#This Row],[Painel 1]]&amp;" "&amp;Tabela11[[#This Row],[Painel 2]])</f>
        <v>PSDC4 DJ. 7HV-52HV7</v>
      </c>
      <c r="N176" s="157">
        <v>20</v>
      </c>
      <c r="O176" s="391">
        <f>COUNTIF(Tabela12[Tag Cabo],Tabela11[[#This Row],[Tag do Cabo]])</f>
        <v>20</v>
      </c>
      <c r="P176" s="391" t="str">
        <f>IF(Tabela11[[#This Row],[Qtde Ligações]]&lt;&gt;Tabela11[[#This Row],[Qtde Anilhas]],"Ver","Ok")</f>
        <v>Ok</v>
      </c>
      <c r="Q176" s="391">
        <f>VLOOKUP(Tabela11[[#This Row],[Tag do Cabo]],BD!A:F,6,0)</f>
        <v>2.5</v>
      </c>
      <c r="R176" s="391">
        <f>SUMIF('Lançamento de Cabos'!AE:AE,Tabela11[[#This Row],[Tag do Cabo]],'Lançamento de Cabos'!AG:AG)</f>
        <v>0</v>
      </c>
      <c r="S176" s="28">
        <f>Tabela11[[#This Row],[Ligações Realizadas]]/Tabela11[[#This Row],[Qtde Ligações]]</f>
        <v>0</v>
      </c>
      <c r="T176" s="269">
        <f>IF(Tabela11[[#This Row],[Ligações Realizadas]]/Tabela11[[#This Row],[Qtde Ligações]]=0,0,IF(Tabela11[[#This Row],[Ligações Realizadas]]/Tabela11[[#This Row],[Qtde Ligações]]=1,ROUND(N176/2,0),"Ver Painel"))</f>
        <v>0</v>
      </c>
      <c r="U176" s="23">
        <f>IF(Tabela11[[#This Row],[Ligações Realizadas]]/Tabela11[[#This Row],[Qtde Ligações]]=0,0,IF(Tabela11[[#This Row],[Ligações Realizadas]]/Tabela11[[#This Row],[Qtde Ligações]]=1,ROUND(N176/2,0),"Ver Painel"))</f>
        <v>0</v>
      </c>
      <c r="V176" s="222"/>
    </row>
    <row r="177" spans="1:22" hidden="1" x14ac:dyDescent="0.25">
      <c r="A177" s="169" t="s">
        <v>490</v>
      </c>
      <c r="B177" s="391" t="str">
        <f>VLOOKUP(Tabela11[[#This Row],[Tag do Cabo]],BD!A:AJ,2,0)</f>
        <v>Controle</v>
      </c>
      <c r="C177" s="3" t="str">
        <f>VLOOKUP(Tabela11[[#This Row],[Tag do Cabo]],BD!A:AJ,5,0)</f>
        <v>1x1x7/C#2,5</v>
      </c>
      <c r="D177" s="391" t="s">
        <v>1533</v>
      </c>
      <c r="E177" s="391" t="str">
        <f>VLOOKUP(Tabela11[[#This Row],[Tag do Cabo]],BD!A:T,20,0)</f>
        <v>BK-SP54-0900A-LC-74-00001_00000</v>
      </c>
      <c r="F177" s="222" t="str">
        <f>IF(VLOOKUP(Tabela11[[#This Row],[Tag do Cabo]],BD!A:AJ,35,0)=0,"Pendente",VLOOKUP(Tabela11[[#This Row],[Tag do Cabo]],BD!A:AJ,35,0))</f>
        <v>BK-SP54-0900B-DI-74-00450</v>
      </c>
      <c r="G177" s="3" t="str">
        <f>IF(VLOOKUP(Tabela11[[#This Row],[Tag do Cabo]],BD!A:AJ,36,0)=0,"Pendente",VLOOKUP(Tabela11[[#This Row],[Tag do Cabo]],BD!A:AJ,36,0))</f>
        <v>22</v>
      </c>
      <c r="H177" s="391" t="str">
        <f>VLOOKUP(Tabela11[[#This Row],[Tag do Cabo]],BD!A:AJ,32,0)</f>
        <v>7HV</v>
      </c>
      <c r="I177" s="7" t="str">
        <f>VLOOKUP(Tabela11[[#This Row],[Tag do Cabo]],BD!A:AJ,11,0)</f>
        <v>PSDC4 - PAINEL DE REJEICAO DE CARGAS 4 - regua BNI</v>
      </c>
      <c r="J177" s="3" t="str">
        <f>VLOOKUP(Tabela11[[#This Row],[Tag do Cabo]],BD!A:AJ,12,0)</f>
        <v>TC ENTRADA 7HV</v>
      </c>
      <c r="K177" s="391" t="s">
        <v>1567</v>
      </c>
      <c r="L177" s="391" t="s">
        <v>937</v>
      </c>
      <c r="M177" s="3" t="str">
        <f>CONCATENATE(Tabela11[[#This Row],[Painel 1]]&amp;" "&amp;Tabela11[[#This Row],[Painel 2]])</f>
        <v>PSDC4 PAINEL 7HV</v>
      </c>
      <c r="N177" s="157">
        <v>8</v>
      </c>
      <c r="O177" s="391">
        <f>COUNTIF(Tabela12[Tag Cabo],Tabela11[[#This Row],[Tag do Cabo]])</f>
        <v>0</v>
      </c>
      <c r="P177" s="391" t="str">
        <f>IF(Tabela11[[#This Row],[Qtde Ligações]]&lt;&gt;Tabela11[[#This Row],[Qtde Anilhas]],"Ver","Ok")</f>
        <v>Ver</v>
      </c>
      <c r="Q177" s="391">
        <f>VLOOKUP(Tabela11[[#This Row],[Tag do Cabo]],BD!A:F,6,0)</f>
        <v>2.5</v>
      </c>
      <c r="R177" s="391">
        <f>SUMIF('Lançamento de Cabos'!AE:AE,Tabela11[[#This Row],[Tag do Cabo]],'Lançamento de Cabos'!AG:AG)</f>
        <v>0</v>
      </c>
      <c r="S177" s="28">
        <f>Tabela11[[#This Row],[Ligações Realizadas]]/Tabela11[[#This Row],[Qtde Ligações]]</f>
        <v>0</v>
      </c>
      <c r="T177" s="269">
        <f>IF(Tabela11[[#This Row],[Ligações Realizadas]]/Tabela11[[#This Row],[Qtde Ligações]]=0,0,IF(Tabela11[[#This Row],[Ligações Realizadas]]/Tabela11[[#This Row],[Qtde Ligações]]=1,ROUND(N177/2,0),"Ver Painel"))</f>
        <v>0</v>
      </c>
      <c r="U177" s="23">
        <f>IF(Tabela11[[#This Row],[Ligações Realizadas]]/Tabela11[[#This Row],[Qtde Ligações]]=0,0,IF(Tabela11[[#This Row],[Ligações Realizadas]]/Tabela11[[#This Row],[Qtde Ligações]]=1,ROUND(N177/2,0),"Ver Painel"))</f>
        <v>0</v>
      </c>
      <c r="V177" s="219" t="s">
        <v>1596</v>
      </c>
    </row>
    <row r="178" spans="1:22" hidden="1" x14ac:dyDescent="0.25">
      <c r="A178" s="34" t="s">
        <v>917</v>
      </c>
      <c r="B178" s="391" t="str">
        <f>VLOOKUP(Tabela11[[#This Row],[Tag do Cabo]],BD!A:AJ,2,0)</f>
        <v>Controle</v>
      </c>
      <c r="C178" s="3" t="str">
        <f>VLOOKUP(Tabela11[[#This Row],[Tag do Cabo]],BD!A:AJ,5,0)</f>
        <v>1x1x9/C#4</v>
      </c>
      <c r="D178" s="391" t="s">
        <v>1533</v>
      </c>
      <c r="E178" s="391" t="str">
        <f>VLOOKUP(Tabela11[[#This Row],[Tag do Cabo]],BD!A:T,20,0)</f>
        <v>BK-SP54-0900A-LC-74-00001_00000</v>
      </c>
      <c r="F178" s="222" t="str">
        <f>IF(VLOOKUP(Tabela11[[#This Row],[Tag do Cabo]],BD!A:AJ,35,0)=0,"Pendente",VLOOKUP(Tabela11[[#This Row],[Tag do Cabo]],BD!A:AJ,35,0))</f>
        <v>BK-SP54-0900B-DI-74-00450</v>
      </c>
      <c r="G178" s="3" t="str">
        <f>IF(VLOOKUP(Tabela11[[#This Row],[Tag do Cabo]],BD!A:AJ,36,0)=0,"Pendente",VLOOKUP(Tabela11[[#This Row],[Tag do Cabo]],BD!A:AJ,36,0))</f>
        <v>18</v>
      </c>
      <c r="H178" s="391" t="str">
        <f>VLOOKUP(Tabela11[[#This Row],[Tag do Cabo]],BD!A:AJ,32,0)</f>
        <v>8HVx1HV</v>
      </c>
      <c r="I178" s="7" t="str">
        <f>VLOOKUP(Tabela11[[#This Row],[Tag do Cabo]],BD!A:AJ,11,0)</f>
        <v>PSINC2 - PAINEL DE SINCRONISMO - regua BNP</v>
      </c>
      <c r="J178" s="3" t="str">
        <f>VLOOKUP(Tabela11[[#This Row],[Tag do Cabo]],BD!A:AJ,12,0)</f>
        <v xml:space="preserve">24HV2 - 1HV </v>
      </c>
      <c r="K178" s="391" t="s">
        <v>1578</v>
      </c>
      <c r="L178" s="391" t="s">
        <v>1597</v>
      </c>
      <c r="M178" s="3" t="str">
        <f>CONCATENATE(Tabela11[[#This Row],[Painel 1]]&amp;" "&amp;Tabela11[[#This Row],[Painel 2]])</f>
        <v>PSINC2 24HV2</v>
      </c>
      <c r="N178" s="157">
        <v>12</v>
      </c>
      <c r="O178" s="391">
        <f>COUNTIF(Tabela12[Tag Cabo],Tabela11[[#This Row],[Tag do Cabo]])</f>
        <v>6</v>
      </c>
      <c r="P178" s="391" t="str">
        <f>IF(Tabela11[[#This Row],[Qtde Ligações]]&lt;&gt;Tabela11[[#This Row],[Qtde Anilhas]],"Ver","Ok")</f>
        <v>Ver</v>
      </c>
      <c r="Q178" s="391">
        <f>VLOOKUP(Tabela11[[#This Row],[Tag do Cabo]],BD!A:F,6,0)</f>
        <v>4</v>
      </c>
      <c r="R178" s="391">
        <f>SUMIF('Lançamento de Cabos'!AE:AE,Tabela11[[#This Row],[Tag do Cabo]],'Lançamento de Cabos'!AG:AG)</f>
        <v>6</v>
      </c>
      <c r="S178" s="28">
        <f>Tabela11[[#This Row],[Ligações Realizadas]]/Tabela11[[#This Row],[Qtde Ligações]]</f>
        <v>0.5</v>
      </c>
      <c r="T178" s="270">
        <v>6</v>
      </c>
      <c r="U178" s="271">
        <v>0</v>
      </c>
      <c r="V178" s="219" t="s">
        <v>1598</v>
      </c>
    </row>
    <row r="179" spans="1:22" hidden="1" x14ac:dyDescent="0.25">
      <c r="A179" s="169" t="s">
        <v>825</v>
      </c>
      <c r="B179" s="391" t="str">
        <f>VLOOKUP(Tabela11[[#This Row],[Tag do Cabo]],BD!A:AJ,2,0)</f>
        <v>Controle</v>
      </c>
      <c r="C179" s="3" t="str">
        <f>VLOOKUP(Tabela11[[#This Row],[Tag do Cabo]],BD!A:AJ,5,0)</f>
        <v>1x1x9/C#4</v>
      </c>
      <c r="D179" s="391" t="s">
        <v>1533</v>
      </c>
      <c r="E179" s="391" t="str">
        <f>VLOOKUP(Tabela11[[#This Row],[Tag do Cabo]],BD!A:T,20,0)</f>
        <v>BK-SP54-0900A-LC-74-00001_00000</v>
      </c>
      <c r="F179" s="219" t="str">
        <f>IF(VLOOKUP(Tabela11[[#This Row],[Tag do Cabo]],BD!A:AJ,35,0)=0,"Pendente",VLOOKUP(Tabela11[[#This Row],[Tag do Cabo]],BD!A:AJ,35,0))</f>
        <v>Não Localizado</v>
      </c>
      <c r="G179" s="3" t="str">
        <f>IF(VLOOKUP(Tabela11[[#This Row],[Tag do Cabo]],BD!A:AJ,36,0)=0,"Pendente",VLOOKUP(Tabela11[[#This Row],[Tag do Cabo]],BD!A:AJ,36,0))</f>
        <v>Pendente</v>
      </c>
      <c r="H179" s="391" t="str">
        <f>VLOOKUP(Tabela11[[#This Row],[Tag do Cabo]],BD!A:AJ,32,0)</f>
        <v>8HV</v>
      </c>
      <c r="I179" s="7" t="str">
        <f>VLOOKUP(Tabela11[[#This Row],[Tag do Cabo]],BD!A:AJ,11,0)</f>
        <v>PSINC2 - PAINEL DE SINCRONISMO - regua BNP</v>
      </c>
      <c r="J179" s="3" t="str">
        <f>VLOOKUP(Tabela11[[#This Row],[Tag do Cabo]],BD!A:AJ,12,0)</f>
        <v>24HV8-1 - 1HV</v>
      </c>
      <c r="K179" s="391" t="s">
        <v>1578</v>
      </c>
      <c r="L179" s="391" t="s">
        <v>1599</v>
      </c>
      <c r="M179" s="3" t="str">
        <f>CONCATENATE(Tabela11[[#This Row],[Painel 1]]&amp;" "&amp;Tabela11[[#This Row],[Painel 2]])</f>
        <v>PSINC2 24HV8</v>
      </c>
      <c r="N179" s="218">
        <v>18</v>
      </c>
      <c r="O179" s="391">
        <f>COUNTIF(Tabela12[Tag Cabo],Tabela11[[#This Row],[Tag do Cabo]])</f>
        <v>0</v>
      </c>
      <c r="P179" s="391" t="str">
        <f>IF(Tabela11[[#This Row],[Qtde Ligações]]&lt;&gt;Tabela11[[#This Row],[Qtde Anilhas]],"Ver","Ok")</f>
        <v>Ver</v>
      </c>
      <c r="Q179" s="391">
        <f>VLOOKUP(Tabela11[[#This Row],[Tag do Cabo]],BD!A:F,6,0)</f>
        <v>4</v>
      </c>
      <c r="R179" s="391">
        <f>SUMIF('Lançamento de Cabos'!AE:AE,Tabela11[[#This Row],[Tag do Cabo]],'Lançamento de Cabos'!AG:AG)</f>
        <v>0</v>
      </c>
      <c r="S179" s="28">
        <f>Tabela11[[#This Row],[Ligações Realizadas]]/Tabela11[[#This Row],[Qtde Ligações]]</f>
        <v>0</v>
      </c>
      <c r="T179" s="269">
        <f>IF(Tabela11[[#This Row],[Ligações Realizadas]]/Tabela11[[#This Row],[Qtde Ligações]]=0,0,IF(Tabela11[[#This Row],[Ligações Realizadas]]/Tabela11[[#This Row],[Qtde Ligações]]=1,ROUND(N179/2,0),"Ver Painel"))</f>
        <v>0</v>
      </c>
      <c r="U179" s="23">
        <f>IF(Tabela11[[#This Row],[Ligações Realizadas]]/Tabela11[[#This Row],[Qtde Ligações]]=0,0,IF(Tabela11[[#This Row],[Ligações Realizadas]]/Tabela11[[#This Row],[Qtde Ligações]]=1,ROUND(N179/2,0),"Ver Painel"))</f>
        <v>0</v>
      </c>
      <c r="V179" s="219" t="s">
        <v>1552</v>
      </c>
    </row>
    <row r="180" spans="1:22" hidden="1" x14ac:dyDescent="0.25">
      <c r="A180" s="169" t="s">
        <v>921</v>
      </c>
      <c r="B180" s="391" t="str">
        <f>VLOOKUP(Tabela11[[#This Row],[Tag do Cabo]],BD!A:AJ,2,0)</f>
        <v>Controle</v>
      </c>
      <c r="C180" s="3" t="str">
        <f>VLOOKUP(Tabela11[[#This Row],[Tag do Cabo]],BD!A:AJ,5,0)</f>
        <v>1x1x9/C#4</v>
      </c>
      <c r="D180" s="391" t="s">
        <v>1533</v>
      </c>
      <c r="E180" s="391" t="str">
        <f>VLOOKUP(Tabela11[[#This Row],[Tag do Cabo]],BD!A:T,20,0)</f>
        <v>BK-SP54-0900A-LC-74-00001_00000</v>
      </c>
      <c r="F180" s="222" t="str">
        <f>IF(VLOOKUP(Tabela11[[#This Row],[Tag do Cabo]],BD!A:AJ,35,0)=0,"Pendente",VLOOKUP(Tabela11[[#This Row],[Tag do Cabo]],BD!A:AJ,35,0))</f>
        <v>BK-SP54-0900B-DI-74-00450</v>
      </c>
      <c r="G180" s="3" t="str">
        <f>IF(VLOOKUP(Tabela11[[#This Row],[Tag do Cabo]],BD!A:AJ,36,0)=0,"Pendente",VLOOKUP(Tabela11[[#This Row],[Tag do Cabo]],BD!A:AJ,36,0))</f>
        <v>18</v>
      </c>
      <c r="H180" s="391" t="str">
        <f>VLOOKUP(Tabela11[[#This Row],[Tag do Cabo]],BD!A:AJ,32,0)</f>
        <v>8HVx1HV</v>
      </c>
      <c r="I180" s="7" t="str">
        <f>VLOOKUP(Tabela11[[#This Row],[Tag do Cabo]],BD!A:AJ,11,0)</f>
        <v>PSINC2 - PAINEL DE SINCRONISMO - regua BNC1</v>
      </c>
      <c r="J180" s="3" t="str">
        <f>VLOOKUP(Tabela11[[#This Row],[Tag do Cabo]],BD!A:AJ,12,0)</f>
        <v xml:space="preserve">24HV2 - 1HV </v>
      </c>
      <c r="K180" s="391" t="s">
        <v>1578</v>
      </c>
      <c r="L180" s="391" t="s">
        <v>1597</v>
      </c>
      <c r="M180" s="3" t="str">
        <f>CONCATENATE(Tabela11[[#This Row],[Painel 1]]&amp;" "&amp;Tabela11[[#This Row],[Painel 2]])</f>
        <v>PSINC2 24HV2</v>
      </c>
      <c r="N180" s="157">
        <v>6</v>
      </c>
      <c r="O180" s="391">
        <f>COUNTIF(Tabela12[Tag Cabo],Tabela11[[#This Row],[Tag do Cabo]])</f>
        <v>6</v>
      </c>
      <c r="P180" s="391" t="str">
        <f>IF(Tabela11[[#This Row],[Qtde Ligações]]&lt;&gt;Tabela11[[#This Row],[Qtde Anilhas]],"Ver","Ok")</f>
        <v>Ok</v>
      </c>
      <c r="Q180" s="391">
        <f>VLOOKUP(Tabela11[[#This Row],[Tag do Cabo]],BD!A:F,6,0)</f>
        <v>4</v>
      </c>
      <c r="R180" s="391">
        <f>SUMIF('Lançamento de Cabos'!AE:AE,Tabela11[[#This Row],[Tag do Cabo]],'Lançamento de Cabos'!AG:AG)</f>
        <v>3</v>
      </c>
      <c r="S180" s="28">
        <f>Tabela11[[#This Row],[Ligações Realizadas]]/Tabela11[[#This Row],[Qtde Ligações]]</f>
        <v>0.5</v>
      </c>
      <c r="T180" s="270">
        <v>3</v>
      </c>
      <c r="U180" s="271">
        <v>0</v>
      </c>
      <c r="V180" s="222"/>
    </row>
    <row r="181" spans="1:22" hidden="1" x14ac:dyDescent="0.25">
      <c r="A181" s="169" t="s">
        <v>830</v>
      </c>
      <c r="B181" s="391" t="str">
        <f>VLOOKUP(Tabela11[[#This Row],[Tag do Cabo]],BD!A:AJ,2,0)</f>
        <v>Controle</v>
      </c>
      <c r="C181" s="3" t="str">
        <f>VLOOKUP(Tabela11[[#This Row],[Tag do Cabo]],BD!A:AJ,5,0)</f>
        <v>1x1x9/C#4</v>
      </c>
      <c r="D181" s="391" t="s">
        <v>1533</v>
      </c>
      <c r="E181" s="391" t="str">
        <f>VLOOKUP(Tabela11[[#This Row],[Tag do Cabo]],BD!A:T,20,0)</f>
        <v>BK-SP54-0900A-LC-74-00001_00000</v>
      </c>
      <c r="F181" s="219" t="str">
        <f>IF(VLOOKUP(Tabela11[[#This Row],[Tag do Cabo]],BD!A:AJ,35,0)=0,"Pendente",VLOOKUP(Tabela11[[#This Row],[Tag do Cabo]],BD!A:AJ,35,0))</f>
        <v>Não Localizado</v>
      </c>
      <c r="G181" s="3" t="str">
        <f>IF(VLOOKUP(Tabela11[[#This Row],[Tag do Cabo]],BD!A:AJ,36,0)=0,"Pendente",VLOOKUP(Tabela11[[#This Row],[Tag do Cabo]],BD!A:AJ,36,0))</f>
        <v>Pendente</v>
      </c>
      <c r="H181" s="391" t="str">
        <f>VLOOKUP(Tabela11[[#This Row],[Tag do Cabo]],BD!A:AJ,32,0)</f>
        <v>8HV</v>
      </c>
      <c r="I181" s="7" t="str">
        <f>VLOOKUP(Tabela11[[#This Row],[Tag do Cabo]],BD!A:AJ,11,0)</f>
        <v>PSINC2 - PAINEL DE SINCRONISMO - regua BNC1</v>
      </c>
      <c r="J181" s="3" t="str">
        <f>VLOOKUP(Tabela11[[#This Row],[Tag do Cabo]],BD!A:AJ,12,0)</f>
        <v>24HV8-1 - 1HV</v>
      </c>
      <c r="K181" s="391" t="s">
        <v>1578</v>
      </c>
      <c r="L181" s="391" t="s">
        <v>1599</v>
      </c>
      <c r="M181" s="3" t="str">
        <f>CONCATENATE(Tabela11[[#This Row],[Painel 1]]&amp;" "&amp;Tabela11[[#This Row],[Painel 2]])</f>
        <v>PSINC2 24HV8</v>
      </c>
      <c r="N181" s="218">
        <v>18</v>
      </c>
      <c r="O181" s="391">
        <f>COUNTIF(Tabela12[Tag Cabo],Tabela11[[#This Row],[Tag do Cabo]])</f>
        <v>0</v>
      </c>
      <c r="P181" s="391" t="str">
        <f>IF(Tabela11[[#This Row],[Qtde Ligações]]&lt;&gt;Tabela11[[#This Row],[Qtde Anilhas]],"Ver","Ok")</f>
        <v>Ver</v>
      </c>
      <c r="Q181" s="391">
        <f>VLOOKUP(Tabela11[[#This Row],[Tag do Cabo]],BD!A:F,6,0)</f>
        <v>4</v>
      </c>
      <c r="R181" s="391">
        <f>SUMIF('Lançamento de Cabos'!AE:AE,Tabela11[[#This Row],[Tag do Cabo]],'Lançamento de Cabos'!AG:AG)</f>
        <v>0</v>
      </c>
      <c r="S181" s="28">
        <f>Tabela11[[#This Row],[Ligações Realizadas]]/Tabela11[[#This Row],[Qtde Ligações]]</f>
        <v>0</v>
      </c>
      <c r="T181" s="269">
        <f>IF(Tabela11[[#This Row],[Ligações Realizadas]]/Tabela11[[#This Row],[Qtde Ligações]]=0,0,IF(Tabela11[[#This Row],[Ligações Realizadas]]/Tabela11[[#This Row],[Qtde Ligações]]=1,ROUND(N181/2,0),"Ver Painel"))</f>
        <v>0</v>
      </c>
      <c r="U181" s="23">
        <f>IF(Tabela11[[#This Row],[Ligações Realizadas]]/Tabela11[[#This Row],[Qtde Ligações]]=0,0,IF(Tabela11[[#This Row],[Ligações Realizadas]]/Tabela11[[#This Row],[Qtde Ligações]]=1,ROUND(N181/2,0),"Ver Painel"))</f>
        <v>0</v>
      </c>
      <c r="V181" s="219" t="s">
        <v>1552</v>
      </c>
    </row>
    <row r="182" spans="1:22" hidden="1" x14ac:dyDescent="0.25">
      <c r="A182" s="169" t="s">
        <v>922</v>
      </c>
      <c r="B182" s="391" t="str">
        <f>VLOOKUP(Tabela11[[#This Row],[Tag do Cabo]],BD!A:AJ,2,0)</f>
        <v>Controle</v>
      </c>
      <c r="C182" s="3" t="str">
        <f>VLOOKUP(Tabela11[[#This Row],[Tag do Cabo]],BD!A:AJ,5,0)</f>
        <v>1x1x9/C#2,5</v>
      </c>
      <c r="D182" s="391" t="s">
        <v>1533</v>
      </c>
      <c r="E182" s="391" t="str">
        <f>VLOOKUP(Tabela11[[#This Row],[Tag do Cabo]],BD!A:T,20,0)</f>
        <v>BK-SP54-0900A-LC-74-00001_00000</v>
      </c>
      <c r="F182" s="219" t="str">
        <f>IF(VLOOKUP(Tabela11[[#This Row],[Tag do Cabo]],BD!A:AJ,35,0)=0,"Pendente",VLOOKUP(Tabela11[[#This Row],[Tag do Cabo]],BD!A:AJ,35,0))</f>
        <v>Não Localizado</v>
      </c>
      <c r="G182" s="3" t="str">
        <f>IF(VLOOKUP(Tabela11[[#This Row],[Tag do Cabo]],BD!A:AJ,36,0)=0,"Pendente",VLOOKUP(Tabela11[[#This Row],[Tag do Cabo]],BD!A:AJ,36,0))</f>
        <v>Pendente</v>
      </c>
      <c r="H182" s="391" t="str">
        <f>VLOOKUP(Tabela11[[#This Row],[Tag do Cabo]],BD!A:AJ,32,0)</f>
        <v>8HVx1HV</v>
      </c>
      <c r="I182" s="7" t="str">
        <f>VLOOKUP(Tabela11[[#This Row],[Tag do Cabo]],BD!A:AJ,11,0)</f>
        <v>PSINC2 - PAINEL DE SINCRONISMO - regua BNU</v>
      </c>
      <c r="J182" s="3" t="str">
        <f>VLOOKUP(Tabela11[[#This Row],[Tag do Cabo]],BD!A:AJ,12,0)</f>
        <v>1HV</v>
      </c>
      <c r="K182" s="391" t="s">
        <v>1578</v>
      </c>
      <c r="L182" s="391"/>
      <c r="M182" s="3" t="str">
        <f>CONCATENATE(Tabela11[[#This Row],[Painel 1]]&amp;" "&amp;Tabela11[[#This Row],[Painel 2]])</f>
        <v xml:space="preserve">PSINC2 </v>
      </c>
      <c r="N182" s="218">
        <v>18</v>
      </c>
      <c r="O182" s="391">
        <f>COUNTIF(Tabela12[Tag Cabo],Tabela11[[#This Row],[Tag do Cabo]])</f>
        <v>0</v>
      </c>
      <c r="P182" s="391" t="str">
        <f>IF(Tabela11[[#This Row],[Qtde Ligações]]&lt;&gt;Tabela11[[#This Row],[Qtde Anilhas]],"Ver","Ok")</f>
        <v>Ver</v>
      </c>
      <c r="Q182" s="391">
        <f>VLOOKUP(Tabela11[[#This Row],[Tag do Cabo]],BD!A:F,6,0)</f>
        <v>2.5</v>
      </c>
      <c r="R182" s="391">
        <f>SUMIF('Lançamento de Cabos'!AE:AE,Tabela11[[#This Row],[Tag do Cabo]],'Lançamento de Cabos'!AG:AG)</f>
        <v>0</v>
      </c>
      <c r="S182" s="28">
        <f>Tabela11[[#This Row],[Ligações Realizadas]]/Tabela11[[#This Row],[Qtde Ligações]]</f>
        <v>0</v>
      </c>
      <c r="T182" s="269">
        <f>IF(Tabela11[[#This Row],[Ligações Realizadas]]/Tabela11[[#This Row],[Qtde Ligações]]=0,0,IF(Tabela11[[#This Row],[Ligações Realizadas]]/Tabela11[[#This Row],[Qtde Ligações]]=1,ROUND(N182/2,0),"Ver Painel"))</f>
        <v>0</v>
      </c>
      <c r="U182" s="23">
        <f>IF(Tabela11[[#This Row],[Ligações Realizadas]]/Tabela11[[#This Row],[Qtde Ligações]]=0,0,IF(Tabela11[[#This Row],[Ligações Realizadas]]/Tabela11[[#This Row],[Qtde Ligações]]=1,ROUND(N182/2,0),"Ver Painel"))</f>
        <v>0</v>
      </c>
      <c r="V182" s="219" t="s">
        <v>1552</v>
      </c>
    </row>
    <row r="183" spans="1:22" hidden="1" x14ac:dyDescent="0.25">
      <c r="A183" s="169" t="s">
        <v>923</v>
      </c>
      <c r="B183" s="391" t="str">
        <f>VLOOKUP(Tabela11[[#This Row],[Tag do Cabo]],BD!A:AJ,2,0)</f>
        <v>Controle</v>
      </c>
      <c r="C183" s="3" t="str">
        <f>VLOOKUP(Tabela11[[#This Row],[Tag do Cabo]],BD!A:AJ,5,0)</f>
        <v>1x1x9/C#2,5</v>
      </c>
      <c r="D183" s="391" t="s">
        <v>1533</v>
      </c>
      <c r="E183" s="391" t="str">
        <f>VLOOKUP(Tabela11[[#This Row],[Tag do Cabo]],BD!A:T,20,0)</f>
        <v>BK-SP54-0900A-LC-74-00001_00000</v>
      </c>
      <c r="F183" s="222" t="str">
        <f>IF(VLOOKUP(Tabela11[[#This Row],[Tag do Cabo]],BD!A:AJ,35,0)=0,"Pendente",VLOOKUP(Tabela11[[#This Row],[Tag do Cabo]],BD!A:AJ,35,0))</f>
        <v>BK-SP54-0900B-DI-74-00450</v>
      </c>
      <c r="G183" s="3" t="str">
        <f>IF(VLOOKUP(Tabela11[[#This Row],[Tag do Cabo]],BD!A:AJ,36,0)=0,"Pendente",VLOOKUP(Tabela11[[#This Row],[Tag do Cabo]],BD!A:AJ,36,0))</f>
        <v>18</v>
      </c>
      <c r="H183" s="391" t="str">
        <f>VLOOKUP(Tabela11[[#This Row],[Tag do Cabo]],BD!A:AJ,32,0)</f>
        <v>8HVx1HV</v>
      </c>
      <c r="I183" s="7" t="str">
        <f>VLOOKUP(Tabela11[[#This Row],[Tag do Cabo]],BD!A:AJ,11,0)</f>
        <v>PSINC2 - PAINEL DE SINCRONISMO - regua BNC</v>
      </c>
      <c r="J183" s="3" t="str">
        <f>VLOOKUP(Tabela11[[#This Row],[Tag do Cabo]],BD!A:AJ,12,0)</f>
        <v>1HV / 24HV2</v>
      </c>
      <c r="K183" s="391" t="s">
        <v>1578</v>
      </c>
      <c r="L183" s="391" t="s">
        <v>1597</v>
      </c>
      <c r="M183" s="3" t="str">
        <f>CONCATENATE(Tabela11[[#This Row],[Painel 1]]&amp;" "&amp;Tabela11[[#This Row],[Painel 2]])</f>
        <v>PSINC2 24HV2</v>
      </c>
      <c r="N183" s="231">
        <v>12</v>
      </c>
      <c r="O183" s="391">
        <f>COUNTIF(Tabela12[Tag Cabo],Tabela11[[#This Row],[Tag do Cabo]])</f>
        <v>6</v>
      </c>
      <c r="P183" s="391" t="str">
        <f>IF(Tabela11[[#This Row],[Qtde Ligações]]&lt;&gt;Tabela11[[#This Row],[Qtde Anilhas]],"Ver","Ok")</f>
        <v>Ver</v>
      </c>
      <c r="Q183" s="391">
        <f>VLOOKUP(Tabela11[[#This Row],[Tag do Cabo]],BD!A:F,6,0)</f>
        <v>2.5</v>
      </c>
      <c r="R183" s="391">
        <f>SUMIF('Lançamento de Cabos'!AE:AE,Tabela11[[#This Row],[Tag do Cabo]],'Lançamento de Cabos'!AG:AG)</f>
        <v>6</v>
      </c>
      <c r="S183" s="28">
        <f>Tabela11[[#This Row],[Ligações Realizadas]]/Tabela11[[#This Row],[Qtde Ligações]]</f>
        <v>0.5</v>
      </c>
      <c r="T183" s="270">
        <v>6</v>
      </c>
      <c r="U183" s="271">
        <v>0</v>
      </c>
      <c r="V183" s="219" t="s">
        <v>1600</v>
      </c>
    </row>
    <row r="184" spans="1:22" hidden="1" x14ac:dyDescent="0.25">
      <c r="A184" s="34" t="s">
        <v>925</v>
      </c>
      <c r="B184" s="391" t="str">
        <f>VLOOKUP(Tabela11[[#This Row],[Tag do Cabo]],BD!A:AJ,2,0)</f>
        <v>Controle</v>
      </c>
      <c r="C184" s="3" t="str">
        <f>VLOOKUP(Tabela11[[#This Row],[Tag do Cabo]],BD!A:AJ,5,0)</f>
        <v>1x1x9/C#2,5</v>
      </c>
      <c r="D184" s="391" t="s">
        <v>1533</v>
      </c>
      <c r="E184" s="391" t="str">
        <f>VLOOKUP(Tabela11[[#This Row],[Tag do Cabo]],BD!A:T,20,0)</f>
        <v>BK-SP54-0900A-LC-74-00001_00000</v>
      </c>
      <c r="F184" s="222" t="str">
        <f>IF(VLOOKUP(Tabela11[[#This Row],[Tag do Cabo]],BD!A:AJ,35,0)=0,"Pendente",VLOOKUP(Tabela11[[#This Row],[Tag do Cabo]],BD!A:AJ,35,0))</f>
        <v>BK-SP54-0900B-DI-74-00450</v>
      </c>
      <c r="G184" s="3" t="str">
        <f>IF(VLOOKUP(Tabela11[[#This Row],[Tag do Cabo]],BD!A:AJ,36,0)=0,"Pendente",VLOOKUP(Tabela11[[#This Row],[Tag do Cabo]],BD!A:AJ,36,0))</f>
        <v>19</v>
      </c>
      <c r="H184" s="391" t="str">
        <f>VLOOKUP(Tabela11[[#This Row],[Tag do Cabo]],BD!A:AJ,32,0)</f>
        <v>8HVx1HV</v>
      </c>
      <c r="I184" s="7" t="str">
        <f>VLOOKUP(Tabela11[[#This Row],[Tag do Cabo]],BD!A:AJ,11,0)</f>
        <v>PSINC2 - PAINEL DE SINCRONISMO - regua BNU</v>
      </c>
      <c r="J184" s="3" t="str">
        <f>VLOOKUP(Tabela11[[#This Row],[Tag do Cabo]],BD!A:AJ,12,0)</f>
        <v>TP - 1HV-BUS1</v>
      </c>
      <c r="K184" s="391" t="s">
        <v>1578</v>
      </c>
      <c r="L184" s="391" t="s">
        <v>911</v>
      </c>
      <c r="M184" s="3" t="str">
        <f>CONCATENATE(Tabela11[[#This Row],[Painel 1]]&amp;" "&amp;Tabela11[[#This Row],[Painel 2]])</f>
        <v>PSINC2 1HV-BUS1</v>
      </c>
      <c r="N184" s="157">
        <v>12</v>
      </c>
      <c r="O184" s="391">
        <f>COUNTIF(Tabela12[Tag Cabo],Tabela11[[#This Row],[Tag do Cabo]])</f>
        <v>6</v>
      </c>
      <c r="P184" s="391" t="str">
        <f>IF(Tabela11[[#This Row],[Qtde Ligações]]&lt;&gt;Tabela11[[#This Row],[Qtde Anilhas]],"Ver","Ok")</f>
        <v>Ver</v>
      </c>
      <c r="Q184" s="391">
        <f>VLOOKUP(Tabela11[[#This Row],[Tag do Cabo]],BD!A:F,6,0)</f>
        <v>2.5</v>
      </c>
      <c r="R184" s="391">
        <f>SUMIF('Lançamento de Cabos'!AE:AE,Tabela11[[#This Row],[Tag do Cabo]],'Lançamento de Cabos'!AG:AG)</f>
        <v>6</v>
      </c>
      <c r="S184" s="28">
        <f>Tabela11[[#This Row],[Ligações Realizadas]]/Tabela11[[#This Row],[Qtde Ligações]]</f>
        <v>0.5</v>
      </c>
      <c r="T184" s="270">
        <v>6</v>
      </c>
      <c r="U184" s="271">
        <v>0</v>
      </c>
      <c r="V184" s="219" t="s">
        <v>1601</v>
      </c>
    </row>
    <row r="185" spans="1:22" hidden="1" x14ac:dyDescent="0.25">
      <c r="A185" s="34" t="s">
        <v>928</v>
      </c>
      <c r="B185" s="391" t="str">
        <f>VLOOKUP(Tabela11[[#This Row],[Tag do Cabo]],BD!A:AJ,2,0)</f>
        <v>Controle</v>
      </c>
      <c r="C185" s="3" t="str">
        <f>VLOOKUP(Tabela11[[#This Row],[Tag do Cabo]],BD!A:AJ,5,0)</f>
        <v>1x1x9/C#2,5</v>
      </c>
      <c r="D185" s="391" t="s">
        <v>1533</v>
      </c>
      <c r="E185" s="391" t="str">
        <f>VLOOKUP(Tabela11[[#This Row],[Tag do Cabo]],BD!A:T,20,0)</f>
        <v>BK-SP54-0900A-LC-74-00001_00000</v>
      </c>
      <c r="F185" s="222" t="str">
        <f>IF(VLOOKUP(Tabela11[[#This Row],[Tag do Cabo]],BD!A:AJ,35,0)=0,"Pendente",VLOOKUP(Tabela11[[#This Row],[Tag do Cabo]],BD!A:AJ,35,0))</f>
        <v>BK-SP54-0900B-DI-74-00450</v>
      </c>
      <c r="G185" s="3" t="str">
        <f>IF(VLOOKUP(Tabela11[[#This Row],[Tag do Cabo]],BD!A:AJ,36,0)=0,"Pendente",VLOOKUP(Tabela11[[#This Row],[Tag do Cabo]],BD!A:AJ,36,0))</f>
        <v>19</v>
      </c>
      <c r="H185" s="391" t="str">
        <f>VLOOKUP(Tabela11[[#This Row],[Tag do Cabo]],BD!A:AJ,32,0)</f>
        <v>8HVx1HV</v>
      </c>
      <c r="I185" s="7" t="str">
        <f>VLOOKUP(Tabela11[[#This Row],[Tag do Cabo]],BD!A:AJ,11,0)</f>
        <v>PSINC2 - PAINEL DE SINCRONISMO - regua BNU</v>
      </c>
      <c r="J185" s="3" t="str">
        <f>VLOOKUP(Tabela11[[#This Row],[Tag do Cabo]],BD!A:AJ,12,0)</f>
        <v>TP - 1HV-BUS3</v>
      </c>
      <c r="K185" s="391" t="s">
        <v>1578</v>
      </c>
      <c r="L185" s="391" t="s">
        <v>104</v>
      </c>
      <c r="M185" s="3" t="str">
        <f>CONCATENATE(Tabela11[[#This Row],[Painel 1]]&amp;" "&amp;Tabela11[[#This Row],[Painel 2]])</f>
        <v>PSINC2 1HV-BUS3</v>
      </c>
      <c r="N185" s="157">
        <v>12</v>
      </c>
      <c r="O185" s="391">
        <f>COUNTIF(Tabela12[Tag Cabo],Tabela11[[#This Row],[Tag do Cabo]])</f>
        <v>6</v>
      </c>
      <c r="P185" s="391" t="str">
        <f>IF(Tabela11[[#This Row],[Qtde Ligações]]&lt;&gt;Tabela11[[#This Row],[Qtde Anilhas]],"Ver","Ok")</f>
        <v>Ver</v>
      </c>
      <c r="Q185" s="391">
        <f>VLOOKUP(Tabela11[[#This Row],[Tag do Cabo]],BD!A:F,6,0)</f>
        <v>2.5</v>
      </c>
      <c r="R185" s="391">
        <f>SUMIF('Lançamento de Cabos'!AE:AE,Tabela11[[#This Row],[Tag do Cabo]],'Lançamento de Cabos'!AG:AG)</f>
        <v>6</v>
      </c>
      <c r="S185" s="28">
        <f>Tabela11[[#This Row],[Ligações Realizadas]]/Tabela11[[#This Row],[Qtde Ligações]]</f>
        <v>0.5</v>
      </c>
      <c r="T185" s="270">
        <v>6</v>
      </c>
      <c r="U185" s="271">
        <v>0</v>
      </c>
      <c r="V185" s="219" t="s">
        <v>1602</v>
      </c>
    </row>
    <row r="186" spans="1:22" hidden="1" x14ac:dyDescent="0.25">
      <c r="A186" s="34" t="s">
        <v>833</v>
      </c>
      <c r="B186" s="391" t="str">
        <f>VLOOKUP(Tabela11[[#This Row],[Tag do Cabo]],BD!A:AJ,2,0)</f>
        <v>Controle</v>
      </c>
      <c r="C186" s="3" t="str">
        <f>VLOOKUP(Tabela11[[#This Row],[Tag do Cabo]],BD!A:AJ,5,0)</f>
        <v>1x1x9/C#2,5</v>
      </c>
      <c r="D186" s="391" t="s">
        <v>1533</v>
      </c>
      <c r="E186" s="391" t="str">
        <f>VLOOKUP(Tabela11[[#This Row],[Tag do Cabo]],BD!A:T,20,0)</f>
        <v>BK-SP54-0900A-LC-74-00001_00000</v>
      </c>
      <c r="F186" s="222" t="str">
        <f>IF(VLOOKUP(Tabela11[[#This Row],[Tag do Cabo]],BD!A:AJ,35,0)=0,"Pendente",VLOOKUP(Tabela11[[#This Row],[Tag do Cabo]],BD!A:AJ,35,0))</f>
        <v>BK-SP54-0900B-DI-74-00450</v>
      </c>
      <c r="G186" s="3" t="str">
        <f>IF(VLOOKUP(Tabela11[[#This Row],[Tag do Cabo]],BD!A:AJ,36,0)=0,"Pendente",VLOOKUP(Tabela11[[#This Row],[Tag do Cabo]],BD!A:AJ,36,0))</f>
        <v>14</v>
      </c>
      <c r="H186" s="391" t="str">
        <f>VLOOKUP(Tabela11[[#This Row],[Tag do Cabo]],BD!A:AJ,32,0)</f>
        <v>8HV</v>
      </c>
      <c r="I186" s="7" t="str">
        <f>VLOOKUP(Tabela11[[#This Row],[Tag do Cabo]],BD!A:AJ,11,0)</f>
        <v>PSINC2 - PAINEL DE SINCRONISMO - regua BNU</v>
      </c>
      <c r="J186" s="3" t="str">
        <f>VLOOKUP(Tabela11[[#This Row],[Tag do Cabo]],BD!A:AJ,12,0)</f>
        <v>8HV / K05 (52D14)</v>
      </c>
      <c r="K186" s="391" t="s">
        <v>1578</v>
      </c>
      <c r="L186" s="391" t="s">
        <v>856</v>
      </c>
      <c r="M186" s="3" t="str">
        <f>CONCATENATE(Tabela11[[#This Row],[Painel 1]]&amp;" "&amp;Tabela11[[#This Row],[Painel 2]])</f>
        <v>PSINC2 PAINEL 8HV</v>
      </c>
      <c r="N186" s="157">
        <v>12</v>
      </c>
      <c r="O186" s="391">
        <f>COUNTIF(Tabela12[Tag Cabo],Tabela11[[#This Row],[Tag do Cabo]])</f>
        <v>12</v>
      </c>
      <c r="P186" s="391" t="str">
        <f>IF(Tabela11[[#This Row],[Qtde Ligações]]&lt;&gt;Tabela11[[#This Row],[Qtde Anilhas]],"Ver","Ok")</f>
        <v>Ok</v>
      </c>
      <c r="Q186" s="391">
        <f>VLOOKUP(Tabela11[[#This Row],[Tag do Cabo]],BD!A:F,6,0)</f>
        <v>2.5</v>
      </c>
      <c r="R186" s="391">
        <f>SUMIF('Lançamento de Cabos'!AE:AE,Tabela11[[#This Row],[Tag do Cabo]],'Lançamento de Cabos'!AG:AG)</f>
        <v>12</v>
      </c>
      <c r="S186" s="28">
        <f>Tabela11[[#This Row],[Ligações Realizadas]]/Tabela11[[#This Row],[Qtde Ligações]]</f>
        <v>1</v>
      </c>
      <c r="T186" s="272">
        <f>IF(Tabela11[[#This Row],[Ligações Realizadas]]/Tabela11[[#This Row],[Qtde Ligações]]=0,0,IF(Tabela11[[#This Row],[Ligações Realizadas]]/Tabela11[[#This Row],[Qtde Ligações]]=1,ROUND(N186/2,0),"Ver Painel"))</f>
        <v>6</v>
      </c>
      <c r="U186" s="273">
        <f>IF(Tabela11[[#This Row],[Ligações Realizadas]]/Tabela11[[#This Row],[Qtde Ligações]]=0,0,IF(Tabela11[[#This Row],[Ligações Realizadas]]/Tabela11[[#This Row],[Qtde Ligações]]=1,ROUND(N186/2,0),"Ver Painel"))</f>
        <v>6</v>
      </c>
      <c r="V186" s="222"/>
    </row>
    <row r="187" spans="1:22" hidden="1" x14ac:dyDescent="0.25">
      <c r="A187" s="34" t="s">
        <v>837</v>
      </c>
      <c r="B187" s="391" t="str">
        <f>VLOOKUP(Tabela11[[#This Row],[Tag do Cabo]],BD!A:AJ,2,0)</f>
        <v>Controle</v>
      </c>
      <c r="C187" s="3" t="str">
        <f>VLOOKUP(Tabela11[[#This Row],[Tag do Cabo]],BD!A:AJ,5,0)</f>
        <v>1x1x9/C#2,5</v>
      </c>
      <c r="D187" s="391" t="s">
        <v>1533</v>
      </c>
      <c r="E187" s="391" t="str">
        <f>VLOOKUP(Tabela11[[#This Row],[Tag do Cabo]],BD!A:T,20,0)</f>
        <v>BK-SP54-0900A-LC-74-00001_00000</v>
      </c>
      <c r="F187" s="222" t="str">
        <f>IF(VLOOKUP(Tabela11[[#This Row],[Tag do Cabo]],BD!A:AJ,35,0)=0,"Pendente",VLOOKUP(Tabela11[[#This Row],[Tag do Cabo]],BD!A:AJ,35,0))</f>
        <v>BK-SP54-0900B-DI-74-00450</v>
      </c>
      <c r="G187" s="3" t="str">
        <f>IF(VLOOKUP(Tabela11[[#This Row],[Tag do Cabo]],BD!A:AJ,36,0)=0,"Pendente",VLOOKUP(Tabela11[[#This Row],[Tag do Cabo]],BD!A:AJ,36,0))</f>
        <v>16</v>
      </c>
      <c r="H187" s="391" t="str">
        <f>VLOOKUP(Tabela11[[#This Row],[Tag do Cabo]],BD!A:AJ,32,0)</f>
        <v>8HV</v>
      </c>
      <c r="I187" s="7" t="str">
        <f>VLOOKUP(Tabela11[[#This Row],[Tag do Cabo]],BD!A:AJ,11,0)</f>
        <v>PSINC2 - PAINEL DE SINCRONISMO - regua BNC1</v>
      </c>
      <c r="J187" s="3" t="str">
        <f>VLOOKUP(Tabela11[[#This Row],[Tag do Cabo]],BD!A:AJ,12,0)</f>
        <v>8HV / K03 (24HV8)</v>
      </c>
      <c r="K187" s="391" t="s">
        <v>1578</v>
      </c>
      <c r="L187" s="391" t="s">
        <v>856</v>
      </c>
      <c r="M187" s="3" t="str">
        <f>CONCATENATE(Tabela11[[#This Row],[Painel 1]]&amp;" "&amp;Tabela11[[#This Row],[Painel 2]])</f>
        <v>PSINC2 PAINEL 8HV</v>
      </c>
      <c r="N187" s="157">
        <v>6</v>
      </c>
      <c r="O187" s="391">
        <f>COUNTIF(Tabela12[Tag Cabo],Tabela11[[#This Row],[Tag do Cabo]])</f>
        <v>6</v>
      </c>
      <c r="P187" s="391" t="str">
        <f>IF(Tabela11[[#This Row],[Qtde Ligações]]&lt;&gt;Tabela11[[#This Row],[Qtde Anilhas]],"Ver","Ok")</f>
        <v>Ok</v>
      </c>
      <c r="Q187" s="391">
        <f>VLOOKUP(Tabela11[[#This Row],[Tag do Cabo]],BD!A:F,6,0)</f>
        <v>2.5</v>
      </c>
      <c r="R187" s="391">
        <f>SUMIF('Lançamento de Cabos'!AE:AE,Tabela11[[#This Row],[Tag do Cabo]],'Lançamento de Cabos'!AG:AG)</f>
        <v>3</v>
      </c>
      <c r="S187" s="28">
        <f>Tabela11[[#This Row],[Ligações Realizadas]]/Tabela11[[#This Row],[Qtde Ligações]]</f>
        <v>0.5</v>
      </c>
      <c r="T187" s="272" t="str">
        <f>IF(Tabela11[[#This Row],[Ligações Realizadas]]/Tabela11[[#This Row],[Qtde Ligações]]=0,0,IF(Tabela11[[#This Row],[Ligações Realizadas]]/Tabela11[[#This Row],[Qtde Ligações]]=1,ROUND(N187/2,0),"Ver Painel"))</f>
        <v>Ver Painel</v>
      </c>
      <c r="U187" s="273" t="str">
        <f>IF(Tabela11[[#This Row],[Ligações Realizadas]]/Tabela11[[#This Row],[Qtde Ligações]]=0,0,IF(Tabela11[[#This Row],[Ligações Realizadas]]/Tabela11[[#This Row],[Qtde Ligações]]=1,ROUND(N187/2,0),"Ver Painel"))</f>
        <v>Ver Painel</v>
      </c>
      <c r="V187" s="219" t="s">
        <v>1603</v>
      </c>
    </row>
    <row r="188" spans="1:22" hidden="1" x14ac:dyDescent="0.25">
      <c r="A188" s="34" t="s">
        <v>840</v>
      </c>
      <c r="B188" s="391" t="str">
        <f>VLOOKUP(Tabela11[[#This Row],[Tag do Cabo]],BD!A:AJ,2,0)</f>
        <v>Controle</v>
      </c>
      <c r="C188" s="3" t="str">
        <f>VLOOKUP(Tabela11[[#This Row],[Tag do Cabo]],BD!A:AJ,5,0)</f>
        <v>1x1x9/C#2,5</v>
      </c>
      <c r="D188" s="391" t="s">
        <v>1533</v>
      </c>
      <c r="E188" s="391" t="str">
        <f>VLOOKUP(Tabela11[[#This Row],[Tag do Cabo]],BD!A:T,20,0)</f>
        <v>BK-SP54-0900A-LC-74-00001_00000</v>
      </c>
      <c r="F188" s="222" t="str">
        <f>IF(VLOOKUP(Tabela11[[#This Row],[Tag do Cabo]],BD!A:AJ,35,0)=0,"Pendente",VLOOKUP(Tabela11[[#This Row],[Tag do Cabo]],BD!A:AJ,35,0))</f>
        <v>BK-SP54-0900B-DI-74-00450</v>
      </c>
      <c r="G188" s="3" t="str">
        <f>IF(VLOOKUP(Tabela11[[#This Row],[Tag do Cabo]],BD!A:AJ,36,0)=0,"Pendente",VLOOKUP(Tabela11[[#This Row],[Tag do Cabo]],BD!A:AJ,36,0))</f>
        <v>17</v>
      </c>
      <c r="H188" s="391" t="str">
        <f>VLOOKUP(Tabela11[[#This Row],[Tag do Cabo]],BD!A:AJ,32,0)</f>
        <v>8HV</v>
      </c>
      <c r="I188" s="7" t="str">
        <f>VLOOKUP(Tabela11[[#This Row],[Tag do Cabo]],BD!A:AJ,11,0)</f>
        <v>PSINC2 - PAINEL DE SINCRONISMO - regua BNU</v>
      </c>
      <c r="J188" s="3" t="str">
        <f>VLOOKUP(Tabela11[[#This Row],[Tag do Cabo]],BD!A:AJ,12,0)</f>
        <v>8HV / K04 (T15)</v>
      </c>
      <c r="K188" s="391" t="s">
        <v>1578</v>
      </c>
      <c r="L188" s="391" t="s">
        <v>856</v>
      </c>
      <c r="M188" s="3" t="str">
        <f>CONCATENATE(Tabela11[[#This Row],[Painel 1]]&amp;" "&amp;Tabela11[[#This Row],[Painel 2]])</f>
        <v>PSINC2 PAINEL 8HV</v>
      </c>
      <c r="N188" s="157">
        <v>12</v>
      </c>
      <c r="O188" s="391">
        <f>COUNTIF(Tabela12[Tag Cabo],Tabela11[[#This Row],[Tag do Cabo]])</f>
        <v>12</v>
      </c>
      <c r="P188" s="391" t="str">
        <f>IF(Tabela11[[#This Row],[Qtde Ligações]]&lt;&gt;Tabela11[[#This Row],[Qtde Anilhas]],"Ver","Ok")</f>
        <v>Ok</v>
      </c>
      <c r="Q188" s="391">
        <f>VLOOKUP(Tabela11[[#This Row],[Tag do Cabo]],BD!A:F,6,0)</f>
        <v>2.5</v>
      </c>
      <c r="R188" s="391">
        <f>SUMIF('Lançamento de Cabos'!AE:AE,Tabela11[[#This Row],[Tag do Cabo]],'Lançamento de Cabos'!AG:AG)</f>
        <v>12</v>
      </c>
      <c r="S188" s="28">
        <f>Tabela11[[#This Row],[Ligações Realizadas]]/Tabela11[[#This Row],[Qtde Ligações]]</f>
        <v>1</v>
      </c>
      <c r="T188" s="272">
        <f>IF(Tabela11[[#This Row],[Ligações Realizadas]]/Tabela11[[#This Row],[Qtde Ligações]]=0,0,IF(Tabela11[[#This Row],[Ligações Realizadas]]/Tabela11[[#This Row],[Qtde Ligações]]=1,ROUND(N188/2,0),"Ver Painel"))</f>
        <v>6</v>
      </c>
      <c r="U188" s="273">
        <f>IF(Tabela11[[#This Row],[Ligações Realizadas]]/Tabela11[[#This Row],[Qtde Ligações]]=0,0,IF(Tabela11[[#This Row],[Ligações Realizadas]]/Tabela11[[#This Row],[Qtde Ligações]]=1,ROUND(N188/2,0),"Ver Painel"))</f>
        <v>6</v>
      </c>
      <c r="V188" s="222"/>
    </row>
    <row r="189" spans="1:22" hidden="1" x14ac:dyDescent="0.25">
      <c r="A189" s="34" t="s">
        <v>843</v>
      </c>
      <c r="B189" s="391" t="str">
        <f>VLOOKUP(Tabela11[[#This Row],[Tag do Cabo]],BD!A:AJ,2,0)</f>
        <v>Controle</v>
      </c>
      <c r="C189" s="3" t="str">
        <f>VLOOKUP(Tabela11[[#This Row],[Tag do Cabo]],BD!A:AJ,5,0)</f>
        <v>1x1x9/C#2,5</v>
      </c>
      <c r="D189" s="391" t="s">
        <v>1533</v>
      </c>
      <c r="E189" s="391" t="str">
        <f>VLOOKUP(Tabela11[[#This Row],[Tag do Cabo]],BD!A:T,20,0)</f>
        <v>BK-SP54-0900A-LC-74-00001_00000</v>
      </c>
      <c r="F189" s="222" t="str">
        <f>IF(VLOOKUP(Tabela11[[#This Row],[Tag do Cabo]],BD!A:AJ,35,0)=0,"Pendente",VLOOKUP(Tabela11[[#This Row],[Tag do Cabo]],BD!A:AJ,35,0))</f>
        <v>BK-SP54-0900B-DI-74-00450</v>
      </c>
      <c r="G189" s="3" t="str">
        <f>IF(VLOOKUP(Tabela11[[#This Row],[Tag do Cabo]],BD!A:AJ,36,0)=0,"Pendente",VLOOKUP(Tabela11[[#This Row],[Tag do Cabo]],BD!A:AJ,36,0))</f>
        <v>14</v>
      </c>
      <c r="H189" s="391" t="str">
        <f>VLOOKUP(Tabela11[[#This Row],[Tag do Cabo]],BD!A:AJ,32,0)</f>
        <v>8HV</v>
      </c>
      <c r="I189" s="7" t="str">
        <f>VLOOKUP(Tabela11[[#This Row],[Tag do Cabo]],BD!A:AJ,11,0)</f>
        <v>PSINC2 - PAINEL DE SINCRONISMO - regua BNP</v>
      </c>
      <c r="J189" s="3" t="str">
        <f>VLOOKUP(Tabela11[[#This Row],[Tag do Cabo]],BD!A:AJ,12,0)</f>
        <v>8HV / K05 (52D14)</v>
      </c>
      <c r="K189" s="391" t="s">
        <v>1578</v>
      </c>
      <c r="L189" s="391" t="s">
        <v>856</v>
      </c>
      <c r="M189" s="3" t="str">
        <f>CONCATENATE(Tabela11[[#This Row],[Painel 1]]&amp;" "&amp;Tabela11[[#This Row],[Painel 2]])</f>
        <v>PSINC2 PAINEL 8HV</v>
      </c>
      <c r="N189" s="157">
        <v>12</v>
      </c>
      <c r="O189" s="391">
        <f>COUNTIF(Tabela12[Tag Cabo],Tabela11[[#This Row],[Tag do Cabo]])</f>
        <v>6</v>
      </c>
      <c r="P189" s="391" t="str">
        <f>IF(Tabela11[[#This Row],[Qtde Ligações]]&lt;&gt;Tabela11[[#This Row],[Qtde Anilhas]],"Ver","Ok")</f>
        <v>Ver</v>
      </c>
      <c r="Q189" s="391">
        <f>VLOOKUP(Tabela11[[#This Row],[Tag do Cabo]],BD!A:F,6,0)</f>
        <v>2.5</v>
      </c>
      <c r="R189" s="391">
        <f>SUMIF('Lançamento de Cabos'!AE:AE,Tabela11[[#This Row],[Tag do Cabo]],'Lançamento de Cabos'!AG:AG)</f>
        <v>6</v>
      </c>
      <c r="S189" s="28">
        <f>Tabela11[[#This Row],[Ligações Realizadas]]/Tabela11[[#This Row],[Qtde Ligações]]</f>
        <v>0.5</v>
      </c>
      <c r="T189" s="270">
        <v>6</v>
      </c>
      <c r="U189" s="271">
        <v>0</v>
      </c>
      <c r="V189" s="219" t="s">
        <v>1604</v>
      </c>
    </row>
    <row r="190" spans="1:22" hidden="1" x14ac:dyDescent="0.25">
      <c r="A190" s="34" t="s">
        <v>844</v>
      </c>
      <c r="B190" s="391" t="str">
        <f>VLOOKUP(Tabela11[[#This Row],[Tag do Cabo]],BD!A:AJ,2,0)</f>
        <v>Controle</v>
      </c>
      <c r="C190" s="3" t="str">
        <f>VLOOKUP(Tabela11[[#This Row],[Tag do Cabo]],BD!A:AJ,5,0)</f>
        <v>1x1x9/C#2,5</v>
      </c>
      <c r="D190" s="391" t="s">
        <v>1533</v>
      </c>
      <c r="E190" s="391" t="str">
        <f>VLOOKUP(Tabela11[[#This Row],[Tag do Cabo]],BD!A:T,20,0)</f>
        <v>BK-SP54-0900A-LC-74-00001_00000</v>
      </c>
      <c r="F190" s="222" t="str">
        <f>IF(VLOOKUP(Tabela11[[#This Row],[Tag do Cabo]],BD!A:AJ,35,0)=0,"Pendente",VLOOKUP(Tabela11[[#This Row],[Tag do Cabo]],BD!A:AJ,35,0))</f>
        <v>BK-SP54-0900B-DI-74-00450</v>
      </c>
      <c r="G190" s="3" t="str">
        <f>IF(VLOOKUP(Tabela11[[#This Row],[Tag do Cabo]],BD!A:AJ,36,0)=0,"Pendente",VLOOKUP(Tabela11[[#This Row],[Tag do Cabo]],BD!A:AJ,36,0))</f>
        <v>16</v>
      </c>
      <c r="H190" s="391" t="str">
        <f>VLOOKUP(Tabela11[[#This Row],[Tag do Cabo]],BD!A:AJ,32,0)</f>
        <v>8HV</v>
      </c>
      <c r="I190" s="7" t="str">
        <f>VLOOKUP(Tabela11[[#This Row],[Tag do Cabo]],BD!A:AJ,11,0)</f>
        <v>PSINC2 - PAINEL DE SINCRONISMO - regua BNP</v>
      </c>
      <c r="J190" s="3" t="str">
        <f>VLOOKUP(Tabela11[[#This Row],[Tag do Cabo]],BD!A:AJ,12,0)</f>
        <v>8HV / K03 (24HV8)</v>
      </c>
      <c r="K190" s="391" t="s">
        <v>1578</v>
      </c>
      <c r="L190" s="391" t="s">
        <v>856</v>
      </c>
      <c r="M190" s="3" t="str">
        <f>CONCATENATE(Tabela11[[#This Row],[Painel 1]]&amp;" "&amp;Tabela11[[#This Row],[Painel 2]])</f>
        <v>PSINC2 PAINEL 8HV</v>
      </c>
      <c r="N190" s="157">
        <v>12</v>
      </c>
      <c r="O190" s="391">
        <f>COUNTIF(Tabela12[Tag Cabo],Tabela11[[#This Row],[Tag do Cabo]])</f>
        <v>6</v>
      </c>
      <c r="P190" s="391" t="str">
        <f>IF(Tabela11[[#This Row],[Qtde Ligações]]&lt;&gt;Tabela11[[#This Row],[Qtde Anilhas]],"Ver","Ok")</f>
        <v>Ver</v>
      </c>
      <c r="Q190" s="391">
        <f>VLOOKUP(Tabela11[[#This Row],[Tag do Cabo]],BD!A:F,6,0)</f>
        <v>2.5</v>
      </c>
      <c r="R190" s="391">
        <f>SUMIF('Lançamento de Cabos'!AE:AE,Tabela11[[#This Row],[Tag do Cabo]],'Lançamento de Cabos'!AG:AG)</f>
        <v>6</v>
      </c>
      <c r="S190" s="28">
        <f>Tabela11[[#This Row],[Ligações Realizadas]]/Tabela11[[#This Row],[Qtde Ligações]]</f>
        <v>0.5</v>
      </c>
      <c r="T190" s="270">
        <v>6</v>
      </c>
      <c r="U190" s="271">
        <v>0</v>
      </c>
      <c r="V190" s="219" t="s">
        <v>1605</v>
      </c>
    </row>
    <row r="191" spans="1:22" hidden="1" x14ac:dyDescent="0.25">
      <c r="A191" s="34" t="s">
        <v>845</v>
      </c>
      <c r="B191" s="391" t="str">
        <f>VLOOKUP(Tabela11[[#This Row],[Tag do Cabo]],BD!A:AJ,2,0)</f>
        <v>Controle</v>
      </c>
      <c r="C191" s="3" t="str">
        <f>VLOOKUP(Tabela11[[#This Row],[Tag do Cabo]],BD!A:AJ,5,0)</f>
        <v>1x1x9/C#2,5</v>
      </c>
      <c r="D191" s="391" t="s">
        <v>1533</v>
      </c>
      <c r="E191" s="391" t="str">
        <f>VLOOKUP(Tabela11[[#This Row],[Tag do Cabo]],BD!A:T,20,0)</f>
        <v>BK-SP54-0900A-LC-74-00001_00000</v>
      </c>
      <c r="F191" s="222" t="str">
        <f>IF(VLOOKUP(Tabela11[[#This Row],[Tag do Cabo]],BD!A:AJ,35,0)=0,"Pendente",VLOOKUP(Tabela11[[#This Row],[Tag do Cabo]],BD!A:AJ,35,0))</f>
        <v>BK-SP54-0900B-DI-74-00450</v>
      </c>
      <c r="G191" s="3" t="str">
        <f>IF(VLOOKUP(Tabela11[[#This Row],[Tag do Cabo]],BD!A:AJ,36,0)=0,"Pendente",VLOOKUP(Tabela11[[#This Row],[Tag do Cabo]],BD!A:AJ,36,0))</f>
        <v>14</v>
      </c>
      <c r="H191" s="391" t="str">
        <f>VLOOKUP(Tabela11[[#This Row],[Tag do Cabo]],BD!A:AJ,32,0)</f>
        <v>8HV</v>
      </c>
      <c r="I191" s="7" t="str">
        <f>VLOOKUP(Tabela11[[#This Row],[Tag do Cabo]],BD!A:AJ,11,0)</f>
        <v>PSINC2 - PAINEL DE SINCRONISMO - regua BNC1</v>
      </c>
      <c r="J191" s="3" t="str">
        <f>VLOOKUP(Tabela11[[#This Row],[Tag do Cabo]],BD!A:AJ,12,0)</f>
        <v>8HV / K05 (52D14)</v>
      </c>
      <c r="K191" s="391" t="s">
        <v>1578</v>
      </c>
      <c r="L191" s="391" t="s">
        <v>856</v>
      </c>
      <c r="M191" s="3" t="str">
        <f>CONCATENATE(Tabela11[[#This Row],[Painel 1]]&amp;" "&amp;Tabela11[[#This Row],[Painel 2]])</f>
        <v>PSINC2 PAINEL 8HV</v>
      </c>
      <c r="N191" s="157">
        <v>6</v>
      </c>
      <c r="O191" s="391">
        <f>COUNTIF(Tabela12[Tag Cabo],Tabela11[[#This Row],[Tag do Cabo]])</f>
        <v>6</v>
      </c>
      <c r="P191" s="391" t="str">
        <f>IF(Tabela11[[#This Row],[Qtde Ligações]]&lt;&gt;Tabela11[[#This Row],[Qtde Anilhas]],"Ver","Ok")</f>
        <v>Ok</v>
      </c>
      <c r="Q191" s="391">
        <f>VLOOKUP(Tabela11[[#This Row],[Tag do Cabo]],BD!A:F,6,0)</f>
        <v>2.5</v>
      </c>
      <c r="R191" s="391">
        <f>SUMIF('Lançamento de Cabos'!AE:AE,Tabela11[[#This Row],[Tag do Cabo]],'Lançamento de Cabos'!AG:AG)</f>
        <v>3</v>
      </c>
      <c r="S191" s="28">
        <f>Tabela11[[#This Row],[Ligações Realizadas]]/Tabela11[[#This Row],[Qtde Ligações]]</f>
        <v>0.5</v>
      </c>
      <c r="T191" s="270">
        <v>3</v>
      </c>
      <c r="U191" s="271">
        <v>0</v>
      </c>
      <c r="V191" s="219" t="s">
        <v>1603</v>
      </c>
    </row>
    <row r="192" spans="1:22" hidden="1" x14ac:dyDescent="0.25">
      <c r="A192" s="34" t="s">
        <v>846</v>
      </c>
      <c r="B192" s="391" t="str">
        <f>VLOOKUP(Tabela11[[#This Row],[Tag do Cabo]],BD!A:AJ,2,0)</f>
        <v>Controle</v>
      </c>
      <c r="C192" s="3" t="str">
        <f>VLOOKUP(Tabela11[[#This Row],[Tag do Cabo]],BD!A:AJ,5,0)</f>
        <v>1x1x9/C#2,5</v>
      </c>
      <c r="D192" s="391" t="s">
        <v>1533</v>
      </c>
      <c r="E192" s="391" t="str">
        <f>VLOOKUP(Tabela11[[#This Row],[Tag do Cabo]],BD!A:T,20,0)</f>
        <v>BK-SP54-0900A-LC-74-00001_00000</v>
      </c>
      <c r="F192" s="222" t="str">
        <f>IF(VLOOKUP(Tabela11[[#This Row],[Tag do Cabo]],BD!A:AJ,35,0)=0,"Pendente",VLOOKUP(Tabela11[[#This Row],[Tag do Cabo]],BD!A:AJ,35,0))</f>
        <v>BK-SP54-0900B-DI-74-00450</v>
      </c>
      <c r="G192" s="3" t="str">
        <f>IF(VLOOKUP(Tabela11[[#This Row],[Tag do Cabo]],BD!A:AJ,36,0)=0,"Pendente",VLOOKUP(Tabela11[[#This Row],[Tag do Cabo]],BD!A:AJ,36,0))</f>
        <v>14</v>
      </c>
      <c r="H192" s="391" t="str">
        <f>VLOOKUP(Tabela11[[#This Row],[Tag do Cabo]],BD!A:AJ,32,0)</f>
        <v>8HV</v>
      </c>
      <c r="I192" s="7" t="str">
        <f>VLOOKUP(Tabela11[[#This Row],[Tag do Cabo]],BD!A:AJ,11,0)</f>
        <v>PSINC2 - PAINEL DE SINCRONISMO - regua BNC</v>
      </c>
      <c r="J192" s="3" t="str">
        <f>VLOOKUP(Tabela11[[#This Row],[Tag do Cabo]],BD!A:AJ,12,0)</f>
        <v>8HV / K05 (52D14)</v>
      </c>
      <c r="K192" s="391" t="s">
        <v>1578</v>
      </c>
      <c r="L192" s="391" t="s">
        <v>856</v>
      </c>
      <c r="M192" s="3" t="str">
        <f>CONCATENATE(Tabela11[[#This Row],[Painel 1]]&amp;" "&amp;Tabela11[[#This Row],[Painel 2]])</f>
        <v>PSINC2 PAINEL 8HV</v>
      </c>
      <c r="N192" s="157">
        <v>18</v>
      </c>
      <c r="O192" s="391">
        <f>COUNTIF(Tabela12[Tag Cabo],Tabela11[[#This Row],[Tag do Cabo]])</f>
        <v>17</v>
      </c>
      <c r="P192" s="391" t="str">
        <f>IF(Tabela11[[#This Row],[Qtde Ligações]]&lt;&gt;Tabela11[[#This Row],[Qtde Anilhas]],"Ver","Ok")</f>
        <v>Ver</v>
      </c>
      <c r="Q192" s="391">
        <f>VLOOKUP(Tabela11[[#This Row],[Tag do Cabo]],BD!A:F,6,0)</f>
        <v>2.5</v>
      </c>
      <c r="R192" s="391">
        <f>SUMIF('Lançamento de Cabos'!AE:AE,Tabela11[[#This Row],[Tag do Cabo]],'Lançamento de Cabos'!AG:AG)</f>
        <v>18</v>
      </c>
      <c r="S192" s="28">
        <f>Tabela11[[#This Row],[Ligações Realizadas]]/Tabela11[[#This Row],[Qtde Ligações]]</f>
        <v>1</v>
      </c>
      <c r="T192" s="272">
        <f>IF(Tabela11[[#This Row],[Ligações Realizadas]]/Tabela11[[#This Row],[Qtde Ligações]]=0,0,IF(Tabela11[[#This Row],[Ligações Realizadas]]/Tabela11[[#This Row],[Qtde Ligações]]=1,ROUND(N192/2,0),"Ver Painel"))</f>
        <v>9</v>
      </c>
      <c r="U192" s="273">
        <f>IF(Tabela11[[#This Row],[Ligações Realizadas]]/Tabela11[[#This Row],[Qtde Ligações]]=0,0,IF(Tabela11[[#This Row],[Ligações Realizadas]]/Tabela11[[#This Row],[Qtde Ligações]]=1,ROUND(N192/2,0),"Ver Painel"))</f>
        <v>9</v>
      </c>
      <c r="V192" s="219" t="s">
        <v>1606</v>
      </c>
    </row>
    <row r="193" spans="1:22" hidden="1" x14ac:dyDescent="0.25">
      <c r="A193" s="34" t="s">
        <v>848</v>
      </c>
      <c r="B193" s="391" t="str">
        <f>VLOOKUP(Tabela11[[#This Row],[Tag do Cabo]],BD!A:AJ,2,0)</f>
        <v>Controle</v>
      </c>
      <c r="C193" s="3" t="str">
        <f>VLOOKUP(Tabela11[[#This Row],[Tag do Cabo]],BD!A:AJ,5,0)</f>
        <v>1x1x9/C#2,5</v>
      </c>
      <c r="D193" s="391" t="s">
        <v>1533</v>
      </c>
      <c r="E193" s="391" t="str">
        <f>VLOOKUP(Tabela11[[#This Row],[Tag do Cabo]],BD!A:T,20,0)</f>
        <v>BK-SP54-0900A-LC-74-00001_00000</v>
      </c>
      <c r="F193" s="222" t="str">
        <f>IF(VLOOKUP(Tabela11[[#This Row],[Tag do Cabo]],BD!A:AJ,35,0)=0,"Pendente",VLOOKUP(Tabela11[[#This Row],[Tag do Cabo]],BD!A:AJ,35,0))</f>
        <v>BK-SP54-0900B-DI-74-00450</v>
      </c>
      <c r="G193" s="3" t="str">
        <f>IF(VLOOKUP(Tabela11[[#This Row],[Tag do Cabo]],BD!A:AJ,36,0)=0,"Pendente",VLOOKUP(Tabela11[[#This Row],[Tag do Cabo]],BD!A:AJ,36,0))</f>
        <v>16</v>
      </c>
      <c r="H193" s="391" t="str">
        <f>VLOOKUP(Tabela11[[#This Row],[Tag do Cabo]],BD!A:AJ,32,0)</f>
        <v>8HV</v>
      </c>
      <c r="I193" s="7" t="str">
        <f>VLOOKUP(Tabela11[[#This Row],[Tag do Cabo]],BD!A:AJ,11,0)</f>
        <v>PSINC2 - PAINEL DE SINCRONISMO - regua BNC</v>
      </c>
      <c r="J193" s="3" t="str">
        <f>VLOOKUP(Tabela11[[#This Row],[Tag do Cabo]],BD!A:AJ,12,0)</f>
        <v>8HV / K03 (24HV8)</v>
      </c>
      <c r="K193" s="391" t="s">
        <v>1578</v>
      </c>
      <c r="L193" s="391" t="s">
        <v>856</v>
      </c>
      <c r="M193" s="3" t="str">
        <f>CONCATENATE(Tabela11[[#This Row],[Painel 1]]&amp;" "&amp;Tabela11[[#This Row],[Painel 2]])</f>
        <v>PSINC2 PAINEL 8HV</v>
      </c>
      <c r="N193" s="157">
        <v>16</v>
      </c>
      <c r="O193" s="391">
        <f>COUNTIF(Tabela12[Tag Cabo],Tabela11[[#This Row],[Tag do Cabo]])</f>
        <v>16</v>
      </c>
      <c r="P193" s="391" t="str">
        <f>IF(Tabela11[[#This Row],[Qtde Ligações]]&lt;&gt;Tabela11[[#This Row],[Qtde Anilhas]],"Ver","Ok")</f>
        <v>Ok</v>
      </c>
      <c r="Q193" s="391">
        <f>VLOOKUP(Tabela11[[#This Row],[Tag do Cabo]],BD!A:F,6,0)</f>
        <v>2.5</v>
      </c>
      <c r="R193" s="391">
        <f>SUMIF('Lançamento de Cabos'!AE:AE,Tabela11[[#This Row],[Tag do Cabo]],'Lançamento de Cabos'!AG:AG)</f>
        <v>16</v>
      </c>
      <c r="S193" s="28">
        <f>Tabela11[[#This Row],[Ligações Realizadas]]/Tabela11[[#This Row],[Qtde Ligações]]</f>
        <v>1</v>
      </c>
      <c r="T193" s="272">
        <f>IF(Tabela11[[#This Row],[Ligações Realizadas]]/Tabela11[[#This Row],[Qtde Ligações]]=0,0,IF(Tabela11[[#This Row],[Ligações Realizadas]]/Tabela11[[#This Row],[Qtde Ligações]]=1,ROUND(N193/2,0),"Ver Painel"))</f>
        <v>8</v>
      </c>
      <c r="U193" s="273">
        <f>IF(Tabela11[[#This Row],[Ligações Realizadas]]/Tabela11[[#This Row],[Qtde Ligações]]=0,0,IF(Tabela11[[#This Row],[Ligações Realizadas]]/Tabela11[[#This Row],[Qtde Ligações]]=1,ROUND(N193/2,0),"Ver Painel"))</f>
        <v>8</v>
      </c>
      <c r="V193" s="222"/>
    </row>
    <row r="194" spans="1:22" hidden="1" x14ac:dyDescent="0.25">
      <c r="A194" s="34" t="s">
        <v>849</v>
      </c>
      <c r="B194" s="391" t="str">
        <f>VLOOKUP(Tabela11[[#This Row],[Tag do Cabo]],BD!A:AJ,2,0)</f>
        <v>Controle</v>
      </c>
      <c r="C194" s="3" t="str">
        <f>VLOOKUP(Tabela11[[#This Row],[Tag do Cabo]],BD!A:AJ,5,0)</f>
        <v>1x1x12/C#2,5</v>
      </c>
      <c r="D194" s="391" t="s">
        <v>1533</v>
      </c>
      <c r="E194" s="391" t="str">
        <f>VLOOKUP(Tabela11[[#This Row],[Tag do Cabo]],BD!A:T,20,0)</f>
        <v>BK-SP54-0900A-LC-74-00001_00000</v>
      </c>
      <c r="F194" s="222" t="str">
        <f>IF(VLOOKUP(Tabela11[[#This Row],[Tag do Cabo]],BD!A:AJ,35,0)=0,"Pendente",VLOOKUP(Tabela11[[#This Row],[Tag do Cabo]],BD!A:AJ,35,0))</f>
        <v>BK-SP54-0900B-DI-74-00450</v>
      </c>
      <c r="G194" s="3" t="str">
        <f>IF(VLOOKUP(Tabela11[[#This Row],[Tag do Cabo]],BD!A:AJ,36,0)=0,"Pendente",VLOOKUP(Tabela11[[#This Row],[Tag do Cabo]],BD!A:AJ,36,0))</f>
        <v>15</v>
      </c>
      <c r="H194" s="391" t="str">
        <f>VLOOKUP(Tabela11[[#This Row],[Tag do Cabo]],BD!A:AJ,32,0)</f>
        <v>8HV</v>
      </c>
      <c r="I194" s="7" t="str">
        <f>VLOOKUP(Tabela11[[#This Row],[Tag do Cabo]],BD!A:AJ,11,0)</f>
        <v>PSINC2 - PAINEL DE SINCRONISMO - regua BNC e BNC1</v>
      </c>
      <c r="J194" s="3" t="str">
        <f>VLOOKUP(Tabela11[[#This Row],[Tag do Cabo]],BD!A:AJ,12,0)</f>
        <v>8HV (24HV8-1)</v>
      </c>
      <c r="K194" s="391" t="s">
        <v>1578</v>
      </c>
      <c r="L194" s="391" t="s">
        <v>1599</v>
      </c>
      <c r="M194" s="3" t="str">
        <f>CONCATENATE(Tabela11[[#This Row],[Painel 1]]&amp;" "&amp;Tabela11[[#This Row],[Painel 2]])</f>
        <v>PSINC2 24HV8</v>
      </c>
      <c r="N194" s="157">
        <v>22</v>
      </c>
      <c r="O194" s="391">
        <f>COUNTIF(Tabela12[Tag Cabo],Tabela11[[#This Row],[Tag do Cabo]])</f>
        <v>14</v>
      </c>
      <c r="P194" s="391" t="str">
        <f>IF(Tabela11[[#This Row],[Qtde Ligações]]&lt;&gt;Tabela11[[#This Row],[Qtde Anilhas]],"Ver","Ok")</f>
        <v>Ver</v>
      </c>
      <c r="Q194" s="391">
        <f>VLOOKUP(Tabela11[[#This Row],[Tag do Cabo]],BD!A:F,6,0)</f>
        <v>2.5</v>
      </c>
      <c r="R194" s="391">
        <f>SUMIF('Lançamento de Cabos'!AE:AE,Tabela11[[#This Row],[Tag do Cabo]],'Lançamento de Cabos'!AG:AG)</f>
        <v>11</v>
      </c>
      <c r="S194" s="28">
        <f>Tabela11[[#This Row],[Ligações Realizadas]]/Tabela11[[#This Row],[Qtde Ligações]]</f>
        <v>0.5</v>
      </c>
      <c r="T194" s="270">
        <v>11</v>
      </c>
      <c r="U194" s="271">
        <v>0</v>
      </c>
      <c r="V194" s="219" t="s">
        <v>1605</v>
      </c>
    </row>
    <row r="195" spans="1:22" hidden="1" x14ac:dyDescent="0.25">
      <c r="A195" s="34" t="s">
        <v>853</v>
      </c>
      <c r="B195" s="391" t="str">
        <f>VLOOKUP(Tabela11[[#This Row],[Tag do Cabo]],BD!A:AJ,2,0)</f>
        <v>Controle</v>
      </c>
      <c r="C195" s="3" t="str">
        <f>VLOOKUP(Tabela11[[#This Row],[Tag do Cabo]],BD!A:AJ,5,0)</f>
        <v>1x1x9/C#2,5</v>
      </c>
      <c r="D195" s="391" t="s">
        <v>1533</v>
      </c>
      <c r="E195" s="391" t="str">
        <f>VLOOKUP(Tabela11[[#This Row],[Tag do Cabo]],BD!A:T,20,0)</f>
        <v>BK-SP54-0900A-LC-74-00001_00000</v>
      </c>
      <c r="F195" s="222" t="str">
        <f>IF(VLOOKUP(Tabela11[[#This Row],[Tag do Cabo]],BD!A:AJ,35,0)=0,"Pendente",VLOOKUP(Tabela11[[#This Row],[Tag do Cabo]],BD!A:AJ,35,0))</f>
        <v>BK-SP54-0900B-DI-74-00450</v>
      </c>
      <c r="G195" s="3" t="str">
        <f>IF(VLOOKUP(Tabela11[[#This Row],[Tag do Cabo]],BD!A:AJ,36,0)=0,"Pendente",VLOOKUP(Tabela11[[#This Row],[Tag do Cabo]],BD!A:AJ,36,0))</f>
        <v>17</v>
      </c>
      <c r="H195" s="391" t="str">
        <f>VLOOKUP(Tabela11[[#This Row],[Tag do Cabo]],BD!A:AJ,32,0)</f>
        <v>8HV</v>
      </c>
      <c r="I195" s="7" t="str">
        <f>VLOOKUP(Tabela11[[#This Row],[Tag do Cabo]],BD!A:AJ,11,0)</f>
        <v>PSINC2 - PAINEL DE SINCRONISMO - regua BNC</v>
      </c>
      <c r="J195" s="3" t="str">
        <f>VLOOKUP(Tabela11[[#This Row],[Tag do Cabo]],BD!A:AJ,12,0)</f>
        <v>8HV / K04 (T15)</v>
      </c>
      <c r="K195" s="391" t="s">
        <v>1578</v>
      </c>
      <c r="L195" s="391" t="s">
        <v>856</v>
      </c>
      <c r="M195" s="3" t="str">
        <f>CONCATENATE(Tabela11[[#This Row],[Painel 1]]&amp;" "&amp;Tabela11[[#This Row],[Painel 2]])</f>
        <v>PSINC2 PAINEL 8HV</v>
      </c>
      <c r="N195" s="157">
        <v>4</v>
      </c>
      <c r="O195" s="391">
        <f>COUNTIF(Tabela12[Tag Cabo],Tabela11[[#This Row],[Tag do Cabo]])</f>
        <v>4</v>
      </c>
      <c r="P195" s="391" t="str">
        <f>IF(Tabela11[[#This Row],[Qtde Ligações]]&lt;&gt;Tabela11[[#This Row],[Qtde Anilhas]],"Ver","Ok")</f>
        <v>Ok</v>
      </c>
      <c r="Q195" s="391">
        <f>VLOOKUP(Tabela11[[#This Row],[Tag do Cabo]],BD!A:F,6,0)</f>
        <v>2.5</v>
      </c>
      <c r="R195" s="391">
        <f>SUMIF('Lançamento de Cabos'!AE:AE,Tabela11[[#This Row],[Tag do Cabo]],'Lançamento de Cabos'!AG:AG)</f>
        <v>4</v>
      </c>
      <c r="S195" s="28">
        <f>Tabela11[[#This Row],[Ligações Realizadas]]/Tabela11[[#This Row],[Qtde Ligações]]</f>
        <v>1</v>
      </c>
      <c r="T195" s="272">
        <f>IF(Tabela11[[#This Row],[Ligações Realizadas]]/Tabela11[[#This Row],[Qtde Ligações]]=0,0,IF(Tabela11[[#This Row],[Ligações Realizadas]]/Tabela11[[#This Row],[Qtde Ligações]]=1,ROUND(N195/2,0),"Ver Painel"))</f>
        <v>2</v>
      </c>
      <c r="U195" s="273">
        <f>IF(Tabela11[[#This Row],[Ligações Realizadas]]/Tabela11[[#This Row],[Qtde Ligações]]=0,0,IF(Tabela11[[#This Row],[Ligações Realizadas]]/Tabela11[[#This Row],[Qtde Ligações]]=1,ROUND(N195/2,0),"Ver Painel"))</f>
        <v>2</v>
      </c>
      <c r="V195" s="222"/>
    </row>
    <row r="196" spans="1:22" hidden="1" x14ac:dyDescent="0.25">
      <c r="A196" s="34" t="s">
        <v>979</v>
      </c>
      <c r="B196" s="391" t="str">
        <f>VLOOKUP(Tabela11[[#This Row],[Tag do Cabo]],BD!A:AJ,2,0)</f>
        <v>Controle</v>
      </c>
      <c r="C196" s="3" t="str">
        <f>VLOOKUP(Tabela11[[#This Row],[Tag do Cabo]],BD!A:AJ,5,0)</f>
        <v>1x1x12/C#4</v>
      </c>
      <c r="D196" s="391" t="s">
        <v>1533</v>
      </c>
      <c r="E196" s="391" t="str">
        <f>VLOOKUP(Tabela11[[#This Row],[Tag do Cabo]],BD!A:T,20,0)</f>
        <v>BK-SP54-0900A-LC-74-00001_00000</v>
      </c>
      <c r="F196" s="222" t="str">
        <f>IF(VLOOKUP(Tabela11[[#This Row],[Tag do Cabo]],BD!A:AJ,35,0)=0,"Pendente",VLOOKUP(Tabela11[[#This Row],[Tag do Cabo]],BD!A:AJ,35,0))</f>
        <v>BK-SP54-0900B-DI-74-00450</v>
      </c>
      <c r="G196" s="3" t="str">
        <f>IF(VLOOKUP(Tabela11[[#This Row],[Tag do Cabo]],BD!A:AJ,36,0)=0,"Pendente",VLOOKUP(Tabela11[[#This Row],[Tag do Cabo]],BD!A:AJ,36,0))</f>
        <v>20</v>
      </c>
      <c r="H196" s="391" t="str">
        <f>VLOOKUP(Tabela11[[#This Row],[Tag do Cabo]],BD!A:AJ,32,0)</f>
        <v>8HVxCCSE</v>
      </c>
      <c r="I196" s="7" t="str">
        <f>VLOOKUP(Tabela11[[#This Row],[Tag do Cabo]],BD!A:AJ,11,0)</f>
        <v>PSINC2 - PAINEL DE SINCRONISMO - regua BNC</v>
      </c>
      <c r="J196" s="3" t="str">
        <f>VLOOKUP(Tabela11[[#This Row],[Tag do Cabo]],BD!A:AJ,12,0)</f>
        <v>CCSE/1CHA01</v>
      </c>
      <c r="K196" s="391" t="s">
        <v>1578</v>
      </c>
      <c r="L196" s="391" t="s">
        <v>1571</v>
      </c>
      <c r="M196" s="3" t="str">
        <f>CONCATENATE(Tabela11[[#This Row],[Painel 1]]&amp;" "&amp;Tabela11[[#This Row],[Painel 2]])</f>
        <v>PSINC2 1CHA01</v>
      </c>
      <c r="N196" s="157">
        <v>22</v>
      </c>
      <c r="O196" s="391">
        <f>COUNTIF(Tabela12[Tag Cabo],Tabela11[[#This Row],[Tag do Cabo]])</f>
        <v>22</v>
      </c>
      <c r="P196" s="391" t="str">
        <f>IF(Tabela11[[#This Row],[Qtde Ligações]]&lt;&gt;Tabela11[[#This Row],[Qtde Anilhas]],"Ver","Ok")</f>
        <v>Ok</v>
      </c>
      <c r="Q196" s="391">
        <f>VLOOKUP(Tabela11[[#This Row],[Tag do Cabo]],BD!A:F,6,0)</f>
        <v>4</v>
      </c>
      <c r="R196" s="391">
        <f>SUMIF('Lançamento de Cabos'!AE:AE,Tabela11[[#This Row],[Tag do Cabo]],'Lançamento de Cabos'!AG:AG)</f>
        <v>0</v>
      </c>
      <c r="S196" s="28">
        <f>Tabela11[[#This Row],[Ligações Realizadas]]/Tabela11[[#This Row],[Qtde Ligações]]</f>
        <v>0</v>
      </c>
      <c r="T196" s="269">
        <f>IF(Tabela11[[#This Row],[Ligações Realizadas]]/Tabela11[[#This Row],[Qtde Ligações]]=0,0,IF(Tabela11[[#This Row],[Ligações Realizadas]]/Tabela11[[#This Row],[Qtde Ligações]]=1,ROUND(N196/2,0),"Ver Painel"))</f>
        <v>0</v>
      </c>
      <c r="U196" s="23">
        <f>IF(Tabela11[[#This Row],[Ligações Realizadas]]/Tabela11[[#This Row],[Qtde Ligações]]=0,0,IF(Tabela11[[#This Row],[Ligações Realizadas]]/Tabela11[[#This Row],[Qtde Ligações]]=1,ROUND(N196/2,0),"Ver Painel"))</f>
        <v>0</v>
      </c>
      <c r="V196" s="222"/>
    </row>
    <row r="197" spans="1:22" hidden="1" x14ac:dyDescent="0.25">
      <c r="A197" s="34" t="s">
        <v>980</v>
      </c>
      <c r="B197" s="391" t="str">
        <f>VLOOKUP(Tabela11[[#This Row],[Tag do Cabo]],BD!A:AJ,2,0)</f>
        <v>Controle</v>
      </c>
      <c r="C197" s="3" t="str">
        <f>VLOOKUP(Tabela11[[#This Row],[Tag do Cabo]],BD!A:AJ,5,0)</f>
        <v>1x1x12/C#4</v>
      </c>
      <c r="D197" s="391" t="s">
        <v>1533</v>
      </c>
      <c r="E197" s="391" t="str">
        <f>VLOOKUP(Tabela11[[#This Row],[Tag do Cabo]],BD!A:T,20,0)</f>
        <v>BK-SP54-0900A-LC-74-00001_00000</v>
      </c>
      <c r="F197" s="222" t="str">
        <f>IF(VLOOKUP(Tabela11[[#This Row],[Tag do Cabo]],BD!A:AJ,35,0)=0,"Pendente",VLOOKUP(Tabela11[[#This Row],[Tag do Cabo]],BD!A:AJ,35,0))</f>
        <v>BK-SP54-0900B-DI-74-00450</v>
      </c>
      <c r="G197" s="3" t="str">
        <f>IF(VLOOKUP(Tabela11[[#This Row],[Tag do Cabo]],BD!A:AJ,36,0)=0,"Pendente",VLOOKUP(Tabela11[[#This Row],[Tag do Cabo]],BD!A:AJ,36,0))</f>
        <v>20</v>
      </c>
      <c r="H197" s="391" t="str">
        <f>VLOOKUP(Tabela11[[#This Row],[Tag do Cabo]],BD!A:AJ,32,0)</f>
        <v>8HVxCCSE</v>
      </c>
      <c r="I197" s="7" t="str">
        <f>VLOOKUP(Tabela11[[#This Row],[Tag do Cabo]],BD!A:AJ,11,0)</f>
        <v>PSINC2 - PAINEL DE SINCRONISMO - regua BNC</v>
      </c>
      <c r="J197" s="3" t="str">
        <f>VLOOKUP(Tabela11[[#This Row],[Tag do Cabo]],BD!A:AJ,12,0)</f>
        <v>CCSE/1CHA01</v>
      </c>
      <c r="K197" s="391" t="s">
        <v>1578</v>
      </c>
      <c r="L197" s="391" t="s">
        <v>1571</v>
      </c>
      <c r="M197" s="3" t="str">
        <f>CONCATENATE(Tabela11[[#This Row],[Painel 1]]&amp;" "&amp;Tabela11[[#This Row],[Painel 2]])</f>
        <v>PSINC2 1CHA01</v>
      </c>
      <c r="N197" s="157">
        <v>22</v>
      </c>
      <c r="O197" s="391">
        <f>COUNTIF(Tabela12[Tag Cabo],Tabela11[[#This Row],[Tag do Cabo]])</f>
        <v>22</v>
      </c>
      <c r="P197" s="391" t="str">
        <f>IF(Tabela11[[#This Row],[Qtde Ligações]]&lt;&gt;Tabela11[[#This Row],[Qtde Anilhas]],"Ver","Ok")</f>
        <v>Ok</v>
      </c>
      <c r="Q197" s="391">
        <f>VLOOKUP(Tabela11[[#This Row],[Tag do Cabo]],BD!A:F,6,0)</f>
        <v>4</v>
      </c>
      <c r="R197" s="391">
        <f>SUMIF('Lançamento de Cabos'!AE:AE,Tabela11[[#This Row],[Tag do Cabo]],'Lançamento de Cabos'!AG:AG)</f>
        <v>0</v>
      </c>
      <c r="S197" s="28">
        <f>Tabela11[[#This Row],[Ligações Realizadas]]/Tabela11[[#This Row],[Qtde Ligações]]</f>
        <v>0</v>
      </c>
      <c r="T197" s="269">
        <f>IF(Tabela11[[#This Row],[Ligações Realizadas]]/Tabela11[[#This Row],[Qtde Ligações]]=0,0,IF(Tabela11[[#This Row],[Ligações Realizadas]]/Tabela11[[#This Row],[Qtde Ligações]]=1,ROUND(N197/2,0),"Ver Painel"))</f>
        <v>0</v>
      </c>
      <c r="U197" s="23">
        <f>IF(Tabela11[[#This Row],[Ligações Realizadas]]/Tabela11[[#This Row],[Qtde Ligações]]=0,0,IF(Tabela11[[#This Row],[Ligações Realizadas]]/Tabela11[[#This Row],[Qtde Ligações]]=1,ROUND(N197/2,0),"Ver Painel"))</f>
        <v>0</v>
      </c>
      <c r="V197" s="222"/>
    </row>
    <row r="198" spans="1:22" hidden="1" x14ac:dyDescent="0.25">
      <c r="A198" s="34" t="s">
        <v>969</v>
      </c>
      <c r="B198" s="391" t="str">
        <f>VLOOKUP(Tabela11[[#This Row],[Tag do Cabo]],BD!A:AJ,2,0)</f>
        <v>Controle</v>
      </c>
      <c r="C198" s="3" t="str">
        <f>VLOOKUP(Tabela11[[#This Row],[Tag do Cabo]],BD!A:AJ,5,0)</f>
        <v>1x1x12/C#4</v>
      </c>
      <c r="D198" s="391" t="s">
        <v>1533</v>
      </c>
      <c r="E198" s="391" t="str">
        <f>VLOOKUP(Tabela11[[#This Row],[Tag do Cabo]],BD!A:T,20,0)</f>
        <v>BK-SP54-0900A-LC-74-00001_00000</v>
      </c>
      <c r="F198" s="222" t="str">
        <f>IF(VLOOKUP(Tabela11[[#This Row],[Tag do Cabo]],BD!A:AJ,35,0)=0,"Pendente",VLOOKUP(Tabela11[[#This Row],[Tag do Cabo]],BD!A:AJ,35,0))</f>
        <v>BK-SP54-0900B-DI-74-00450</v>
      </c>
      <c r="G198" s="3" t="str">
        <f>IF(VLOOKUP(Tabela11[[#This Row],[Tag do Cabo]],BD!A:AJ,36,0)=0,"Pendente",VLOOKUP(Tabela11[[#This Row],[Tag do Cabo]],BD!A:AJ,36,0))</f>
        <v>20</v>
      </c>
      <c r="H198" s="391" t="str">
        <f>VLOOKUP(Tabela11[[#This Row],[Tag do Cabo]],BD!A:AJ,32,0)</f>
        <v>8HVxCCSE</v>
      </c>
      <c r="I198" s="7" t="str">
        <f>VLOOKUP(Tabela11[[#This Row],[Tag do Cabo]],BD!A:AJ,11,0)</f>
        <v>PSINC2 - PAINEL DE SINCRONISMO - regua BNC</v>
      </c>
      <c r="J198" s="3" t="str">
        <f>VLOOKUP(Tabela11[[#This Row],[Tag do Cabo]],BD!A:AJ,12,0)</f>
        <v>CCSE/1CHA01</v>
      </c>
      <c r="K198" s="391" t="s">
        <v>1578</v>
      </c>
      <c r="L198" s="391" t="s">
        <v>1571</v>
      </c>
      <c r="M198" s="3" t="str">
        <f>CONCATENATE(Tabela11[[#This Row],[Painel 1]]&amp;" "&amp;Tabela11[[#This Row],[Painel 2]])</f>
        <v>PSINC2 1CHA01</v>
      </c>
      <c r="N198" s="157">
        <v>24</v>
      </c>
      <c r="O198" s="391">
        <f>COUNTIF(Tabela12[Tag Cabo],Tabela11[[#This Row],[Tag do Cabo]])</f>
        <v>24</v>
      </c>
      <c r="P198" s="391" t="str">
        <f>IF(Tabela11[[#This Row],[Qtde Ligações]]&lt;&gt;Tabela11[[#This Row],[Qtde Anilhas]],"Ver","Ok")</f>
        <v>Ok</v>
      </c>
      <c r="Q198" s="391">
        <f>VLOOKUP(Tabela11[[#This Row],[Tag do Cabo]],BD!A:F,6,0)</f>
        <v>4</v>
      </c>
      <c r="R198" s="391">
        <f>SUMIF('Lançamento de Cabos'!AE:AE,Tabela11[[#This Row],[Tag do Cabo]],'Lançamento de Cabos'!AG:AG)</f>
        <v>0</v>
      </c>
      <c r="S198" s="28">
        <f>Tabela11[[#This Row],[Ligações Realizadas]]/Tabela11[[#This Row],[Qtde Ligações]]</f>
        <v>0</v>
      </c>
      <c r="T198" s="269">
        <f>IF(Tabela11[[#This Row],[Ligações Realizadas]]/Tabela11[[#This Row],[Qtde Ligações]]=0,0,IF(Tabela11[[#This Row],[Ligações Realizadas]]/Tabela11[[#This Row],[Qtde Ligações]]=1,ROUND(N198/2,0),"Ver Painel"))</f>
        <v>0</v>
      </c>
      <c r="U198" s="23">
        <f>IF(Tabela11[[#This Row],[Ligações Realizadas]]/Tabela11[[#This Row],[Qtde Ligações]]=0,0,IF(Tabela11[[#This Row],[Ligações Realizadas]]/Tabela11[[#This Row],[Qtde Ligações]]=1,ROUND(N198/2,0),"Ver Painel"))</f>
        <v>0</v>
      </c>
      <c r="V198" s="222"/>
    </row>
    <row r="199" spans="1:22" hidden="1" x14ac:dyDescent="0.25">
      <c r="A199" s="34" t="s">
        <v>977</v>
      </c>
      <c r="B199" s="391" t="str">
        <f>VLOOKUP(Tabela11[[#This Row],[Tag do Cabo]],BD!A:AJ,2,0)</f>
        <v>Controle</v>
      </c>
      <c r="C199" s="3" t="str">
        <f>VLOOKUP(Tabela11[[#This Row],[Tag do Cabo]],BD!A:AJ,5,0)</f>
        <v>1x1x12/C#4</v>
      </c>
      <c r="D199" s="391" t="s">
        <v>1533</v>
      </c>
      <c r="E199" s="391" t="str">
        <f>VLOOKUP(Tabela11[[#This Row],[Tag do Cabo]],BD!A:T,20,0)</f>
        <v>BK-SP54-0900A-LC-74-00001_00000</v>
      </c>
      <c r="F199" s="222" t="str">
        <f>IF(VLOOKUP(Tabela11[[#This Row],[Tag do Cabo]],BD!A:AJ,35,0)=0,"Pendente",VLOOKUP(Tabela11[[#This Row],[Tag do Cabo]],BD!A:AJ,35,0))</f>
        <v>BK-SP54-0900B-DI-74-00450</v>
      </c>
      <c r="G199" s="3" t="str">
        <f>IF(VLOOKUP(Tabela11[[#This Row],[Tag do Cabo]],BD!A:AJ,36,0)=0,"Pendente",VLOOKUP(Tabela11[[#This Row],[Tag do Cabo]],BD!A:AJ,36,0))</f>
        <v>20</v>
      </c>
      <c r="H199" s="391" t="str">
        <f>VLOOKUP(Tabela11[[#This Row],[Tag do Cabo]],BD!A:AJ,32,0)</f>
        <v>8HVxCCSE</v>
      </c>
      <c r="I199" s="7" t="str">
        <f>VLOOKUP(Tabela11[[#This Row],[Tag do Cabo]],BD!A:AJ,11,0)</f>
        <v>PSINC2 - PAINEL DE SINCRONISMO - regua BNC</v>
      </c>
      <c r="J199" s="3" t="str">
        <f>VLOOKUP(Tabela11[[#This Row],[Tag do Cabo]],BD!A:AJ,12,0)</f>
        <v>CCSE/1CHA01</v>
      </c>
      <c r="K199" s="391" t="s">
        <v>1578</v>
      </c>
      <c r="L199" s="391" t="s">
        <v>1571</v>
      </c>
      <c r="M199" s="3" t="str">
        <f>CONCATENATE(Tabela11[[#This Row],[Painel 1]]&amp;" "&amp;Tabela11[[#This Row],[Painel 2]])</f>
        <v>PSINC2 1CHA01</v>
      </c>
      <c r="N199" s="157">
        <v>16</v>
      </c>
      <c r="O199" s="391">
        <f>COUNTIF(Tabela12[Tag Cabo],Tabela11[[#This Row],[Tag do Cabo]])</f>
        <v>16</v>
      </c>
      <c r="P199" s="391" t="str">
        <f>IF(Tabela11[[#This Row],[Qtde Ligações]]&lt;&gt;Tabela11[[#This Row],[Qtde Anilhas]],"Ver","Ok")</f>
        <v>Ok</v>
      </c>
      <c r="Q199" s="391">
        <f>VLOOKUP(Tabela11[[#This Row],[Tag do Cabo]],BD!A:F,6,0)</f>
        <v>4</v>
      </c>
      <c r="R199" s="391">
        <f>SUMIF('Lançamento de Cabos'!AE:AE,Tabela11[[#This Row],[Tag do Cabo]],'Lançamento de Cabos'!AG:AG)</f>
        <v>0</v>
      </c>
      <c r="S199" s="28">
        <f>Tabela11[[#This Row],[Ligações Realizadas]]/Tabela11[[#This Row],[Qtde Ligações]]</f>
        <v>0</v>
      </c>
      <c r="T199" s="269">
        <f>IF(Tabela11[[#This Row],[Ligações Realizadas]]/Tabela11[[#This Row],[Qtde Ligações]]=0,0,IF(Tabela11[[#This Row],[Ligações Realizadas]]/Tabela11[[#This Row],[Qtde Ligações]]=1,ROUND(N199/2,0),"Ver Painel"))</f>
        <v>0</v>
      </c>
      <c r="U199" s="23">
        <f>IF(Tabela11[[#This Row],[Ligações Realizadas]]/Tabela11[[#This Row],[Qtde Ligações]]=0,0,IF(Tabela11[[#This Row],[Ligações Realizadas]]/Tabela11[[#This Row],[Qtde Ligações]]=1,ROUND(N199/2,0),"Ver Painel"))</f>
        <v>0</v>
      </c>
      <c r="V199" s="222"/>
    </row>
    <row r="200" spans="1:22" hidden="1" x14ac:dyDescent="0.25">
      <c r="A200" s="34" t="s">
        <v>981</v>
      </c>
      <c r="B200" s="391" t="str">
        <f>VLOOKUP(Tabela11[[#This Row],[Tag do Cabo]],BD!A:AJ,2,0)</f>
        <v>Controle</v>
      </c>
      <c r="C200" s="3" t="str">
        <f>VLOOKUP(Tabela11[[#This Row],[Tag do Cabo]],BD!A:AJ,5,0)</f>
        <v>1x1x12/C#4</v>
      </c>
      <c r="D200" s="391" t="s">
        <v>1533</v>
      </c>
      <c r="E200" s="391" t="str">
        <f>VLOOKUP(Tabela11[[#This Row],[Tag do Cabo]],BD!A:T,20,0)</f>
        <v>BK-SP54-0900A-LC-74-00001_00000</v>
      </c>
      <c r="F200" s="222" t="str">
        <f>IF(VLOOKUP(Tabela11[[#This Row],[Tag do Cabo]],BD!A:AJ,35,0)=0,"Pendente",VLOOKUP(Tabela11[[#This Row],[Tag do Cabo]],BD!A:AJ,35,0))</f>
        <v>BK-SP54-0900B-DI-74-00450</v>
      </c>
      <c r="G200" s="3" t="str">
        <f>IF(VLOOKUP(Tabela11[[#This Row],[Tag do Cabo]],BD!A:AJ,36,0)=0,"Pendente",VLOOKUP(Tabela11[[#This Row],[Tag do Cabo]],BD!A:AJ,36,0))</f>
        <v>20</v>
      </c>
      <c r="H200" s="391" t="str">
        <f>VLOOKUP(Tabela11[[#This Row],[Tag do Cabo]],BD!A:AJ,32,0)</f>
        <v>8HVxCCSE</v>
      </c>
      <c r="I200" s="7" t="str">
        <f>VLOOKUP(Tabela11[[#This Row],[Tag do Cabo]],BD!A:AJ,11,0)</f>
        <v>PSINC2 - PAINEL DE SINCRONISMO - regua BNC</v>
      </c>
      <c r="J200" s="3" t="str">
        <f>VLOOKUP(Tabela11[[#This Row],[Tag do Cabo]],BD!A:AJ,12,0)</f>
        <v>CCSE/1CHA01</v>
      </c>
      <c r="K200" s="391" t="s">
        <v>1578</v>
      </c>
      <c r="L200" s="391" t="s">
        <v>1571</v>
      </c>
      <c r="M200" s="3" t="str">
        <f>CONCATENATE(Tabela11[[#This Row],[Painel 1]]&amp;" "&amp;Tabela11[[#This Row],[Painel 2]])</f>
        <v>PSINC2 1CHA01</v>
      </c>
      <c r="N200" s="157">
        <v>12</v>
      </c>
      <c r="O200" s="391">
        <f>COUNTIF(Tabela12[Tag Cabo],Tabela11[[#This Row],[Tag do Cabo]])</f>
        <v>12</v>
      </c>
      <c r="P200" s="391" t="str">
        <f>IF(Tabela11[[#This Row],[Qtde Ligações]]&lt;&gt;Tabela11[[#This Row],[Qtde Anilhas]],"Ver","Ok")</f>
        <v>Ok</v>
      </c>
      <c r="Q200" s="391">
        <f>VLOOKUP(Tabela11[[#This Row],[Tag do Cabo]],BD!A:F,6,0)</f>
        <v>4</v>
      </c>
      <c r="R200" s="391">
        <f>SUMIF('Lançamento de Cabos'!AE:AE,Tabela11[[#This Row],[Tag do Cabo]],'Lançamento de Cabos'!AG:AG)</f>
        <v>0</v>
      </c>
      <c r="S200" s="28">
        <f>Tabela11[[#This Row],[Ligações Realizadas]]/Tabela11[[#This Row],[Qtde Ligações]]</f>
        <v>0</v>
      </c>
      <c r="T200" s="269">
        <f>IF(Tabela11[[#This Row],[Ligações Realizadas]]/Tabela11[[#This Row],[Qtde Ligações]]=0,0,IF(Tabela11[[#This Row],[Ligações Realizadas]]/Tabela11[[#This Row],[Qtde Ligações]]=1,ROUND(N200/2,0),"Ver Painel"))</f>
        <v>0</v>
      </c>
      <c r="U200" s="23">
        <f>IF(Tabela11[[#This Row],[Ligações Realizadas]]/Tabela11[[#This Row],[Qtde Ligações]]=0,0,IF(Tabela11[[#This Row],[Ligações Realizadas]]/Tabela11[[#This Row],[Qtde Ligações]]=1,ROUND(N200/2,0),"Ver Painel"))</f>
        <v>0</v>
      </c>
      <c r="V200" s="222"/>
    </row>
    <row r="201" spans="1:22" hidden="1" x14ac:dyDescent="0.25">
      <c r="A201" s="34" t="s">
        <v>982</v>
      </c>
      <c r="B201" s="391" t="str">
        <f>VLOOKUP(Tabela11[[#This Row],[Tag do Cabo]],BD!A:AJ,2,0)</f>
        <v>Controle</v>
      </c>
      <c r="C201" s="3" t="str">
        <f>VLOOKUP(Tabela11[[#This Row],[Tag do Cabo]],BD!A:AJ,5,0)</f>
        <v>1x1x12/C#4</v>
      </c>
      <c r="D201" s="391" t="s">
        <v>1533</v>
      </c>
      <c r="E201" s="391" t="str">
        <f>VLOOKUP(Tabela11[[#This Row],[Tag do Cabo]],BD!A:T,20,0)</f>
        <v>BK-SP54-0900A-LC-74-00001_00000</v>
      </c>
      <c r="F201" s="222" t="str">
        <f>IF(VLOOKUP(Tabela11[[#This Row],[Tag do Cabo]],BD!A:AJ,35,0)=0,"Pendente",VLOOKUP(Tabela11[[#This Row],[Tag do Cabo]],BD!A:AJ,35,0))</f>
        <v>BK-SP54-0900B-DI-74-00450</v>
      </c>
      <c r="G201" s="3" t="str">
        <f>IF(VLOOKUP(Tabela11[[#This Row],[Tag do Cabo]],BD!A:AJ,36,0)=0,"Pendente",VLOOKUP(Tabela11[[#This Row],[Tag do Cabo]],BD!A:AJ,36,0))</f>
        <v>20</v>
      </c>
      <c r="H201" s="391" t="str">
        <f>VLOOKUP(Tabela11[[#This Row],[Tag do Cabo]],BD!A:AJ,32,0)</f>
        <v>8HVxCCSE</v>
      </c>
      <c r="I201" s="7" t="str">
        <f>VLOOKUP(Tabela11[[#This Row],[Tag do Cabo]],BD!A:AJ,11,0)</f>
        <v>PSINC2 - PAINEL DE SINCRONISMO - regua BNO</v>
      </c>
      <c r="J201" s="3" t="str">
        <f>VLOOKUP(Tabela11[[#This Row],[Tag do Cabo]],BD!A:AJ,12,0)</f>
        <v>CCSE/1CHA01</v>
      </c>
      <c r="K201" s="391" t="s">
        <v>1578</v>
      </c>
      <c r="L201" s="391" t="s">
        <v>1571</v>
      </c>
      <c r="M201" s="3" t="str">
        <f>CONCATENATE(Tabela11[[#This Row],[Painel 1]]&amp;" "&amp;Tabela11[[#This Row],[Painel 2]])</f>
        <v>PSINC2 1CHA01</v>
      </c>
      <c r="N201" s="157">
        <v>24</v>
      </c>
      <c r="O201" s="391">
        <f>COUNTIF(Tabela12[Tag Cabo],Tabela11[[#This Row],[Tag do Cabo]])</f>
        <v>24</v>
      </c>
      <c r="P201" s="391" t="str">
        <f>IF(Tabela11[[#This Row],[Qtde Ligações]]&lt;&gt;Tabela11[[#This Row],[Qtde Anilhas]],"Ver","Ok")</f>
        <v>Ok</v>
      </c>
      <c r="Q201" s="391">
        <f>VLOOKUP(Tabela11[[#This Row],[Tag do Cabo]],BD!A:F,6,0)</f>
        <v>4</v>
      </c>
      <c r="R201" s="391">
        <f>SUMIF('Lançamento de Cabos'!AE:AE,Tabela11[[#This Row],[Tag do Cabo]],'Lançamento de Cabos'!AG:AG)</f>
        <v>0</v>
      </c>
      <c r="S201" s="28">
        <f>Tabela11[[#This Row],[Ligações Realizadas]]/Tabela11[[#This Row],[Qtde Ligações]]</f>
        <v>0</v>
      </c>
      <c r="T201" s="269">
        <f>IF(Tabela11[[#This Row],[Ligações Realizadas]]/Tabela11[[#This Row],[Qtde Ligações]]=0,0,IF(Tabela11[[#This Row],[Ligações Realizadas]]/Tabela11[[#This Row],[Qtde Ligações]]=1,ROUND(N201/2,0),"Ver Painel"))</f>
        <v>0</v>
      </c>
      <c r="U201" s="23">
        <f>IF(Tabela11[[#This Row],[Ligações Realizadas]]/Tabela11[[#This Row],[Qtde Ligações]]=0,0,IF(Tabela11[[#This Row],[Ligações Realizadas]]/Tabela11[[#This Row],[Qtde Ligações]]=1,ROUND(N201/2,0),"Ver Painel"))</f>
        <v>0</v>
      </c>
      <c r="V201" s="222"/>
    </row>
    <row r="202" spans="1:22" hidden="1" x14ac:dyDescent="0.25">
      <c r="A202" s="169" t="s">
        <v>1006</v>
      </c>
      <c r="B202" s="391" t="str">
        <f>VLOOKUP(Tabela11[[#This Row],[Tag do Cabo]],BD!A:AJ,2,0)</f>
        <v>Controle</v>
      </c>
      <c r="C202" s="3" t="str">
        <f>VLOOKUP(Tabela11[[#This Row],[Tag do Cabo]],BD!A:AJ,5,0)</f>
        <v>1x1x12/C#2,5</v>
      </c>
      <c r="D202" s="391" t="s">
        <v>1533</v>
      </c>
      <c r="E202" s="391" t="str">
        <f>VLOOKUP(Tabela11[[#This Row],[Tag do Cabo]],BD!A:T,20,0)</f>
        <v>BK-SP54-0900A-LC-74-00001_00000</v>
      </c>
      <c r="F202" s="222" t="str">
        <f>IF(VLOOKUP(Tabela11[[#This Row],[Tag do Cabo]],BD!A:AJ,35,0)=0,"Pendente",VLOOKUP(Tabela11[[#This Row],[Tag do Cabo]],BD!A:AJ,35,0))</f>
        <v>BK-SP54-0900B-DI-74-00450</v>
      </c>
      <c r="G202" s="3" t="str">
        <f>IF(VLOOKUP(Tabela11[[#This Row],[Tag do Cabo]],BD!A:AJ,36,0)=0,"Pendente",VLOOKUP(Tabela11[[#This Row],[Tag do Cabo]],BD!A:AJ,36,0))</f>
        <v>21</v>
      </c>
      <c r="H202" s="391" t="str">
        <f>VLOOKUP(Tabela11[[#This Row],[Tag do Cabo]],BD!A:AJ,32,0)</f>
        <v>8HVxCOG</v>
      </c>
      <c r="I202" s="7" t="str">
        <f>VLOOKUP(Tabela11[[#This Row],[Tag do Cabo]],BD!A:AJ,11,0)</f>
        <v>PSINC2 - PAINEL DE SINCRONISMO - regua BNC</v>
      </c>
      <c r="J202" s="3" t="str">
        <f>VLOOKUP(Tabela11[[#This Row],[Tag do Cabo]],BD!A:AJ,12,0)</f>
        <v>TG1 - COGERAÇÃO</v>
      </c>
      <c r="K202" s="391" t="s">
        <v>1578</v>
      </c>
      <c r="L202" s="391" t="s">
        <v>1607</v>
      </c>
      <c r="M202" s="3" t="str">
        <f>CONCATENATE(Tabela11[[#This Row],[Painel 1]]&amp;" "&amp;Tabela11[[#This Row],[Painel 2]])</f>
        <v>PSINC2 TG1</v>
      </c>
      <c r="N202" s="157">
        <v>20</v>
      </c>
      <c r="O202" s="391">
        <f>COUNTIF(Tabela12[Tag Cabo],Tabela11[[#This Row],[Tag do Cabo]])</f>
        <v>10</v>
      </c>
      <c r="P202" s="391" t="str">
        <f>IF(Tabela11[[#This Row],[Qtde Ligações]]&lt;&gt;Tabela11[[#This Row],[Qtde Anilhas]],"Ver","Ok")</f>
        <v>Ver</v>
      </c>
      <c r="Q202" s="391">
        <f>VLOOKUP(Tabela11[[#This Row],[Tag do Cabo]],BD!A:F,6,0)</f>
        <v>2.5</v>
      </c>
      <c r="R202" s="391">
        <f>SUMIF('Lançamento de Cabos'!AE:AE,Tabela11[[#This Row],[Tag do Cabo]],'Lançamento de Cabos'!AG:AG)</f>
        <v>10</v>
      </c>
      <c r="S202" s="28">
        <f>Tabela11[[#This Row],[Ligações Realizadas]]/Tabela11[[#This Row],[Qtde Ligações]]</f>
        <v>0.5</v>
      </c>
      <c r="T202" s="270">
        <v>10</v>
      </c>
      <c r="U202" s="271">
        <v>0</v>
      </c>
      <c r="V202" s="219" t="s">
        <v>1608</v>
      </c>
    </row>
    <row r="203" spans="1:22" hidden="1" x14ac:dyDescent="0.25">
      <c r="A203" s="169" t="s">
        <v>1009</v>
      </c>
      <c r="B203" s="391" t="str">
        <f>VLOOKUP(Tabela11[[#This Row],[Tag do Cabo]],BD!A:AJ,2,0)</f>
        <v>Controle</v>
      </c>
      <c r="C203" s="3" t="str">
        <f>VLOOKUP(Tabela11[[#This Row],[Tag do Cabo]],BD!A:AJ,5,0)</f>
        <v>1x1x12/C#2,5</v>
      </c>
      <c r="D203" s="391" t="s">
        <v>1533</v>
      </c>
      <c r="E203" s="391" t="str">
        <f>VLOOKUP(Tabela11[[#This Row],[Tag do Cabo]],BD!A:T,20,0)</f>
        <v>BK-SP54-0900A-LC-74-00001_00000</v>
      </c>
      <c r="F203" s="222" t="str">
        <f>IF(VLOOKUP(Tabela11[[#This Row],[Tag do Cabo]],BD!A:AJ,35,0)=0,"Pendente",VLOOKUP(Tabela11[[#This Row],[Tag do Cabo]],BD!A:AJ,35,0))</f>
        <v>BK-SP54-0900B-DI-74-00450</v>
      </c>
      <c r="G203" s="3" t="str">
        <f>IF(VLOOKUP(Tabela11[[#This Row],[Tag do Cabo]],BD!A:AJ,36,0)=0,"Pendente",VLOOKUP(Tabela11[[#This Row],[Tag do Cabo]],BD!A:AJ,36,0))</f>
        <v>21</v>
      </c>
      <c r="H203" s="391" t="str">
        <f>VLOOKUP(Tabela11[[#This Row],[Tag do Cabo]],BD!A:AJ,32,0)</f>
        <v>8HVxCOG</v>
      </c>
      <c r="I203" s="7" t="str">
        <f>VLOOKUP(Tabela11[[#This Row],[Tag do Cabo]],BD!A:AJ,11,0)</f>
        <v>PSINC2 - PAINEL DE SINCRONISMO - regua BNC</v>
      </c>
      <c r="J203" s="3" t="str">
        <f>VLOOKUP(Tabela11[[#This Row],[Tag do Cabo]],BD!A:AJ,12,0)</f>
        <v>TG2 - COGERAÇÃO</v>
      </c>
      <c r="K203" s="391" t="s">
        <v>1578</v>
      </c>
      <c r="L203" s="391" t="s">
        <v>1609</v>
      </c>
      <c r="M203" s="3" t="str">
        <f>CONCATENATE(Tabela11[[#This Row],[Painel 1]]&amp;" "&amp;Tabela11[[#This Row],[Painel 2]])</f>
        <v>PSINC2 TG2</v>
      </c>
      <c r="N203" s="157">
        <v>20</v>
      </c>
      <c r="O203" s="391">
        <f>COUNTIF(Tabela12[Tag Cabo],Tabela11[[#This Row],[Tag do Cabo]])</f>
        <v>10</v>
      </c>
      <c r="P203" s="391" t="str">
        <f>IF(Tabela11[[#This Row],[Qtde Ligações]]&lt;&gt;Tabela11[[#This Row],[Qtde Anilhas]],"Ver","Ok")</f>
        <v>Ver</v>
      </c>
      <c r="Q203" s="391">
        <f>VLOOKUP(Tabela11[[#This Row],[Tag do Cabo]],BD!A:F,6,0)</f>
        <v>2.5</v>
      </c>
      <c r="R203" s="391">
        <f>SUMIF('Lançamento de Cabos'!AE:AE,Tabela11[[#This Row],[Tag do Cabo]],'Lançamento de Cabos'!AG:AG)</f>
        <v>10</v>
      </c>
      <c r="S203" s="28">
        <f>Tabela11[[#This Row],[Ligações Realizadas]]/Tabela11[[#This Row],[Qtde Ligações]]</f>
        <v>0.5</v>
      </c>
      <c r="T203" s="270">
        <v>10</v>
      </c>
      <c r="U203" s="271">
        <v>0</v>
      </c>
      <c r="V203" s="219" t="s">
        <v>1610</v>
      </c>
    </row>
    <row r="204" spans="1:22" hidden="1" x14ac:dyDescent="0.25">
      <c r="A204" s="34" t="s">
        <v>1374</v>
      </c>
      <c r="B204" s="391" t="str">
        <f>VLOOKUP(Tabela11[[#This Row],[Tag do Cabo]],BD!A:AJ,2,0)</f>
        <v>Controle</v>
      </c>
      <c r="C204" s="3" t="str">
        <f>VLOOKUP(Tabela11[[#This Row],[Tag do Cabo]],BD!A:AJ,5,0)</f>
        <v>1P#1,0mm²+SHI</v>
      </c>
      <c r="D204" s="391" t="s">
        <v>1533</v>
      </c>
      <c r="E204" s="391" t="str">
        <f>VLOOKUP(Tabela11[[#This Row],[Tag do Cabo]],BD!A:T,20,0)</f>
        <v>BK-SP54-0900A-LC-80-00187_00000</v>
      </c>
      <c r="F204" s="3" t="str">
        <f>IF(VLOOKUP(Tabela11[[#This Row],[Tag do Cabo]],BD!A:AJ,35,0)=0,"Pendente",VLOOKUP(Tabela11[[#This Row],[Tag do Cabo]],BD!A:AJ,35,0))</f>
        <v>BK-SP54-0900A-DI-80-01645/BK-SP54-0900A-DI-80-01646</v>
      </c>
      <c r="G204" s="3" t="str">
        <f>IF(VLOOKUP(Tabela11[[#This Row],[Tag do Cabo]],BD!A:AJ,36,0)=0,"Pendente",VLOOKUP(Tabela11[[#This Row],[Tag do Cabo]],BD!A:AJ,36,0))</f>
        <v>7/45</v>
      </c>
      <c r="H204" s="391" t="str">
        <f>VLOOKUP(Tabela11[[#This Row],[Tag do Cabo]],BD!A:AJ,32,0)</f>
        <v>GB-967A/B</v>
      </c>
      <c r="I204" s="7" t="str">
        <f>VLOOKUP(Tabela11[[#This Row],[Tag do Cabo]],BD!A:AJ,11,0)</f>
        <v>PT-90523</v>
      </c>
      <c r="J204" s="3" t="str">
        <f>VLOOKUP(Tabela11[[#This Row],[Tag do Cabo]],BD!A:AJ,12,0)</f>
        <v>JBAI-90-111</v>
      </c>
      <c r="K204" s="391" t="s">
        <v>1574</v>
      </c>
      <c r="L204" s="391" t="s">
        <v>1253</v>
      </c>
      <c r="M204" s="3" t="str">
        <f>CONCATENATE(Tabela11[[#This Row],[Painel 1]]&amp;" "&amp;Tabela11[[#This Row],[Painel 2]])</f>
        <v>INSTRUMENTO JBAI-90-111</v>
      </c>
      <c r="N204" s="157">
        <v>4</v>
      </c>
      <c r="O204" s="391">
        <f>COUNTIF(Tabela12[Tag Cabo],Tabela11[[#This Row],[Tag do Cabo]])</f>
        <v>4</v>
      </c>
      <c r="P204" s="391" t="str">
        <f>IF(Tabela11[[#This Row],[Qtde Ligações]]&lt;&gt;Tabela11[[#This Row],[Qtde Anilhas]],"Ver","Ok")</f>
        <v>Ok</v>
      </c>
      <c r="Q204" s="391">
        <f>VLOOKUP(Tabela11[[#This Row],[Tag do Cabo]],BD!A:F,6,0)</f>
        <v>1</v>
      </c>
      <c r="R204" s="391">
        <f>SUMIF('Lançamento de Cabos'!AE:AE,Tabela11[[#This Row],[Tag do Cabo]],'Lançamento de Cabos'!AG:AG)</f>
        <v>0</v>
      </c>
      <c r="S204" s="28">
        <f>Tabela11[[#This Row],[Ligações Realizadas]]/Tabela11[[#This Row],[Qtde Ligações]]</f>
        <v>0</v>
      </c>
      <c r="T204" s="269">
        <f>IF(Tabela11[[#This Row],[Ligações Realizadas]]/Tabela11[[#This Row],[Qtde Ligações]]=0,0,IF(Tabela11[[#This Row],[Ligações Realizadas]]/Tabela11[[#This Row],[Qtde Ligações]]=1,ROUND(N204/2,0),"Ver Painel"))</f>
        <v>0</v>
      </c>
      <c r="U204" s="23">
        <f>IF(Tabela11[[#This Row],[Ligações Realizadas]]/Tabela11[[#This Row],[Qtde Ligações]]=0,0,IF(Tabela11[[#This Row],[Ligações Realizadas]]/Tabela11[[#This Row],[Qtde Ligações]]=1,ROUND(N204/2,0),"Ver Painel"))</f>
        <v>0</v>
      </c>
      <c r="V204" s="222"/>
    </row>
    <row r="205" spans="1:22" hidden="1" x14ac:dyDescent="0.25">
      <c r="A205" s="34" t="s">
        <v>1371</v>
      </c>
      <c r="B205" s="391" t="str">
        <f>VLOOKUP(Tabela11[[#This Row],[Tag do Cabo]],BD!A:AJ,2,0)</f>
        <v>Controle</v>
      </c>
      <c r="C205" s="3" t="str">
        <f>VLOOKUP(Tabela11[[#This Row],[Tag do Cabo]],BD!A:AJ,5,0)</f>
        <v>1P#1,0mm²+SHI</v>
      </c>
      <c r="D205" s="391" t="s">
        <v>1533</v>
      </c>
      <c r="E205" s="391" t="str">
        <f>VLOOKUP(Tabela11[[#This Row],[Tag do Cabo]],BD!A:T,20,0)</f>
        <v>BK-SP54-0900A-LC-80-00187_00000</v>
      </c>
      <c r="F205" s="3" t="str">
        <f>IF(VLOOKUP(Tabela11[[#This Row],[Tag do Cabo]],BD!A:AJ,35,0)=0,"Pendente",VLOOKUP(Tabela11[[#This Row],[Tag do Cabo]],BD!A:AJ,35,0))</f>
        <v>BK-SP54-0900A-DI-80-01645/BK-SP54-0900A-DI-80-01646</v>
      </c>
      <c r="G205" s="3" t="str">
        <f>IF(VLOOKUP(Tabela11[[#This Row],[Tag do Cabo]],BD!A:AJ,36,0)=0,"Pendente",VLOOKUP(Tabela11[[#This Row],[Tag do Cabo]],BD!A:AJ,36,0))</f>
        <v>8/46</v>
      </c>
      <c r="H205" s="391" t="str">
        <f>VLOOKUP(Tabela11[[#This Row],[Tag do Cabo]],BD!A:AJ,32,0)</f>
        <v>GB-967A/B</v>
      </c>
      <c r="I205" s="7" t="str">
        <f>VLOOKUP(Tabela11[[#This Row],[Tag do Cabo]],BD!A:AJ,11,0)</f>
        <v>PT-90524</v>
      </c>
      <c r="J205" s="3" t="str">
        <f>VLOOKUP(Tabela11[[#This Row],[Tag do Cabo]],BD!A:AJ,12,0)</f>
        <v>JBAI-90-112</v>
      </c>
      <c r="K205" s="391" t="s">
        <v>1574</v>
      </c>
      <c r="L205" s="391" t="s">
        <v>1242</v>
      </c>
      <c r="M205" s="3" t="str">
        <f>CONCATENATE(Tabela11[[#This Row],[Painel 1]]&amp;" "&amp;Tabela11[[#This Row],[Painel 2]])</f>
        <v>INSTRUMENTO JBAI-90-112</v>
      </c>
      <c r="N205" s="157">
        <v>4</v>
      </c>
      <c r="O205" s="391">
        <f>COUNTIF(Tabela12[Tag Cabo],Tabela11[[#This Row],[Tag do Cabo]])</f>
        <v>4</v>
      </c>
      <c r="P205" s="391" t="str">
        <f>IF(Tabela11[[#This Row],[Qtde Ligações]]&lt;&gt;Tabela11[[#This Row],[Qtde Anilhas]],"Ver","Ok")</f>
        <v>Ok</v>
      </c>
      <c r="Q205" s="391">
        <f>VLOOKUP(Tabela11[[#This Row],[Tag do Cabo]],BD!A:F,6,0)</f>
        <v>1</v>
      </c>
      <c r="R205" s="391">
        <f>SUMIF('Lançamento de Cabos'!AE:AE,Tabela11[[#This Row],[Tag do Cabo]],'Lançamento de Cabos'!AG:AG)</f>
        <v>0</v>
      </c>
      <c r="S205" s="28">
        <f>Tabela11[[#This Row],[Ligações Realizadas]]/Tabela11[[#This Row],[Qtde Ligações]]</f>
        <v>0</v>
      </c>
      <c r="T205" s="269">
        <f>IF(Tabela11[[#This Row],[Ligações Realizadas]]/Tabela11[[#This Row],[Qtde Ligações]]=0,0,IF(Tabela11[[#This Row],[Ligações Realizadas]]/Tabela11[[#This Row],[Qtde Ligações]]=1,ROUND(N205/2,0),"Ver Painel"))</f>
        <v>0</v>
      </c>
      <c r="U205" s="23">
        <f>IF(Tabela11[[#This Row],[Ligações Realizadas]]/Tabela11[[#This Row],[Qtde Ligações]]=0,0,IF(Tabela11[[#This Row],[Ligações Realizadas]]/Tabela11[[#This Row],[Qtde Ligações]]=1,ROUND(N205/2,0),"Ver Painel"))</f>
        <v>0</v>
      </c>
      <c r="V205" s="222"/>
    </row>
    <row r="206" spans="1:22" hidden="1" x14ac:dyDescent="0.25">
      <c r="A206" s="34" t="s">
        <v>1359</v>
      </c>
      <c r="B206" s="391" t="str">
        <f>VLOOKUP(Tabela11[[#This Row],[Tag do Cabo]],BD!A:AJ,2,0)</f>
        <v>Controle</v>
      </c>
      <c r="C206" s="3" t="str">
        <f>VLOOKUP(Tabela11[[#This Row],[Tag do Cabo]],BD!A:AJ,5,0)</f>
        <v xml:space="preserve">1P#1,0mm²+SHI </v>
      </c>
      <c r="D206" s="391" t="s">
        <v>1533</v>
      </c>
      <c r="E206" s="391" t="str">
        <f>VLOOKUP(Tabela11[[#This Row],[Tag do Cabo]],BD!A:T,20,0)</f>
        <v>BK-SP54-0900A-LC-80-00186_00000</v>
      </c>
      <c r="F206" s="3" t="str">
        <f>IF(VLOOKUP(Tabela11[[#This Row],[Tag do Cabo]],BD!A:AJ,35,0)=0,"Pendente",VLOOKUP(Tabela11[[#This Row],[Tag do Cabo]],BD!A:AJ,35,0))</f>
        <v>BK-SP54-0900A-DI-80-01647</v>
      </c>
      <c r="G206" s="3" t="str">
        <f>IF(VLOOKUP(Tabela11[[#This Row],[Tag do Cabo]],BD!A:AJ,36,0)=0,"Pendente",VLOOKUP(Tabela11[[#This Row],[Tag do Cabo]],BD!A:AJ,36,0))</f>
        <v>6</v>
      </c>
      <c r="H206" s="391" t="str">
        <f>VLOOKUP(Tabela11[[#This Row],[Tag do Cabo]],BD!A:AJ,32,0)</f>
        <v>GA-9312/S</v>
      </c>
      <c r="I206" s="7" t="str">
        <f>VLOOKUP(Tabela11[[#This Row],[Tag do Cabo]],BD!A:AJ,11,0)</f>
        <v>PT-90417</v>
      </c>
      <c r="J206" s="3" t="str">
        <f>VLOOKUP(Tabela11[[#This Row],[Tag do Cabo]],BD!A:AJ,12,0)</f>
        <v>JBAI-90-110</v>
      </c>
      <c r="K206" s="391" t="s">
        <v>1574</v>
      </c>
      <c r="L206" s="391" t="s">
        <v>1228</v>
      </c>
      <c r="M206" s="3" t="str">
        <f>CONCATENATE(Tabela11[[#This Row],[Painel 1]]&amp;" "&amp;Tabela11[[#This Row],[Painel 2]])</f>
        <v>INSTRUMENTO JBAI-90-110</v>
      </c>
      <c r="N206" s="157">
        <v>4</v>
      </c>
      <c r="O206" s="391">
        <f>COUNTIF(Tabela12[Tag Cabo],Tabela11[[#This Row],[Tag do Cabo]])</f>
        <v>4</v>
      </c>
      <c r="P206" s="391" t="str">
        <f>IF(Tabela11[[#This Row],[Qtde Ligações]]&lt;&gt;Tabela11[[#This Row],[Qtde Anilhas]],"Ver","Ok")</f>
        <v>Ok</v>
      </c>
      <c r="Q206" s="391">
        <f>VLOOKUP(Tabela11[[#This Row],[Tag do Cabo]],BD!A:F,6,0)</f>
        <v>1</v>
      </c>
      <c r="R206" s="391">
        <f>SUMIF('Lançamento de Cabos'!AE:AE,Tabela11[[#This Row],[Tag do Cabo]],'Lançamento de Cabos'!AG:AG)</f>
        <v>0</v>
      </c>
      <c r="S206" s="28">
        <f>Tabela11[[#This Row],[Ligações Realizadas]]/Tabela11[[#This Row],[Qtde Ligações]]</f>
        <v>0</v>
      </c>
      <c r="T206" s="269">
        <f>IF(Tabela11[[#This Row],[Ligações Realizadas]]/Tabela11[[#This Row],[Qtde Ligações]]=0,0,IF(Tabela11[[#This Row],[Ligações Realizadas]]/Tabela11[[#This Row],[Qtde Ligações]]=1,ROUND(N206/2,0),"Ver Painel"))</f>
        <v>0</v>
      </c>
      <c r="U206" s="23">
        <f>IF(Tabela11[[#This Row],[Ligações Realizadas]]/Tabela11[[#This Row],[Qtde Ligações]]=0,0,IF(Tabela11[[#This Row],[Ligações Realizadas]]/Tabela11[[#This Row],[Qtde Ligações]]=1,ROUND(N206/2,0),"Ver Painel"))</f>
        <v>0</v>
      </c>
      <c r="V206" s="222"/>
    </row>
    <row r="207" spans="1:22" hidden="1" x14ac:dyDescent="0.25">
      <c r="A207" s="34" t="s">
        <v>1330</v>
      </c>
      <c r="B207" s="391" t="str">
        <f>VLOOKUP(Tabela11[[#This Row],[Tag do Cabo]],BD!A:AJ,2,0)</f>
        <v>Controle</v>
      </c>
      <c r="C207" s="3" t="str">
        <f>VLOOKUP(Tabela11[[#This Row],[Tag do Cabo]],BD!A:AJ,5,0)</f>
        <v>1Px18AWG+Shield</v>
      </c>
      <c r="D207" s="391" t="s">
        <v>1542</v>
      </c>
      <c r="E207" s="391" t="str">
        <f>VLOOKUP(Tabela11[[#This Row],[Tag do Cabo]],BD!A:T,20,0)</f>
        <v>BK-SP54-0900A-LC-80-00188_00000</v>
      </c>
      <c r="F207" s="3" t="str">
        <f>IF(VLOOKUP(Tabela11[[#This Row],[Tag do Cabo]],BD!A:AJ,35,0)=0,"Pendente",VLOOKUP(Tabela11[[#This Row],[Tag do Cabo]],BD!A:AJ,35,0))</f>
        <v>BK-SP54-0900A-DI-80-01589</v>
      </c>
      <c r="G207" s="3">
        <f>IF(VLOOKUP(Tabela11[[#This Row],[Tag do Cabo]],BD!A:AJ,36,0)=0,"Pendente",VLOOKUP(Tabela11[[#This Row],[Tag do Cabo]],BD!A:AJ,36,0))</f>
        <v>45</v>
      </c>
      <c r="H207" s="391" t="str">
        <f>VLOOKUP(Tabela11[[#This Row],[Tag do Cabo]],BD!A:AJ,32,0)</f>
        <v>GA-906E</v>
      </c>
      <c r="I207" s="7" t="str">
        <f>VLOOKUP(Tabela11[[#This Row],[Tag do Cabo]],BD!A:AJ,11,0)</f>
        <v>PT-90465</v>
      </c>
      <c r="J207" s="3" t="str">
        <f>VLOOKUP(Tabela11[[#This Row],[Tag do Cabo]],BD!A:AJ,12,0)</f>
        <v>JBFF-90-105</v>
      </c>
      <c r="K207" s="391" t="s">
        <v>1574</v>
      </c>
      <c r="L207" s="391" t="s">
        <v>1327</v>
      </c>
      <c r="M207" s="3" t="str">
        <f>CONCATENATE(Tabela11[[#This Row],[Painel 1]]&amp;" "&amp;Tabela11[[#This Row],[Painel 2]])</f>
        <v>INSTRUMENTO JBFF-90-105</v>
      </c>
      <c r="N207" s="157">
        <v>6</v>
      </c>
      <c r="O207" s="391">
        <f>COUNTIF(Tabela12[Tag Cabo],Tabela11[[#This Row],[Tag do Cabo]])</f>
        <v>6</v>
      </c>
      <c r="P207" s="391" t="str">
        <f>IF(Tabela11[[#This Row],[Qtde Ligações]]&lt;&gt;Tabela11[[#This Row],[Qtde Anilhas]],"Ver","Ok")</f>
        <v>Ok</v>
      </c>
      <c r="Q207" s="391" t="str">
        <f>VLOOKUP(Tabela11[[#This Row],[Tag do Cabo]],BD!A:F,6,0)</f>
        <v>18AWG</v>
      </c>
      <c r="R207" s="391">
        <f>SUMIF('Lançamento de Cabos'!AE:AE,Tabela11[[#This Row],[Tag do Cabo]],'Lançamento de Cabos'!AG:AG)</f>
        <v>0</v>
      </c>
      <c r="S207" s="28">
        <f>Tabela11[[#This Row],[Ligações Realizadas]]/Tabela11[[#This Row],[Qtde Ligações]]</f>
        <v>0</v>
      </c>
      <c r="T207" s="269">
        <f>IF(Tabela11[[#This Row],[Ligações Realizadas]]/Tabela11[[#This Row],[Qtde Ligações]]=0,0,IF(Tabela11[[#This Row],[Ligações Realizadas]]/Tabela11[[#This Row],[Qtde Ligações]]=1,ROUND(N207/2,0),"Ver Painel"))</f>
        <v>0</v>
      </c>
      <c r="U207" s="23">
        <f>IF(Tabela11[[#This Row],[Ligações Realizadas]]/Tabela11[[#This Row],[Qtde Ligações]]=0,0,IF(Tabela11[[#This Row],[Ligações Realizadas]]/Tabela11[[#This Row],[Qtde Ligações]]=1,ROUND(N207/2,0),"Ver Painel"))</f>
        <v>0</v>
      </c>
      <c r="V207" s="222"/>
    </row>
    <row r="208" spans="1:22" hidden="1" x14ac:dyDescent="0.25">
      <c r="A208" s="34" t="s">
        <v>1350</v>
      </c>
      <c r="B208" s="391" t="str">
        <f>VLOOKUP(Tabela11[[#This Row],[Tag do Cabo]],BD!A:AJ,2,0)</f>
        <v>Controle</v>
      </c>
      <c r="C208" s="3" t="str">
        <f>VLOOKUP(Tabela11[[#This Row],[Tag do Cabo]],BD!A:AJ,5,0)</f>
        <v>1Px18AWG+Shield</v>
      </c>
      <c r="D208" s="391" t="s">
        <v>1533</v>
      </c>
      <c r="E208" s="391" t="str">
        <f>VLOOKUP(Tabela11[[#This Row],[Tag do Cabo]],BD!A:T,20,0)</f>
        <v>BK-SP54-0900A-LC-80-00188_00000</v>
      </c>
      <c r="F208" s="222" t="str">
        <f>IF(VLOOKUP(Tabela11[[#This Row],[Tag do Cabo]],BD!A:AJ,35,0)=0,"Pendente",VLOOKUP(Tabela11[[#This Row],[Tag do Cabo]],BD!A:AJ,35,0))</f>
        <v>BK-SP54-0900A-DI-80-01589</v>
      </c>
      <c r="G208" s="3" t="str">
        <f>IF(VLOOKUP(Tabela11[[#This Row],[Tag do Cabo]],BD!A:AJ,36,0)=0,"Pendente",VLOOKUP(Tabela11[[#This Row],[Tag do Cabo]],BD!A:AJ,36,0))</f>
        <v>34</v>
      </c>
      <c r="H208" s="391" t="str">
        <f>VLOOKUP(Tabela11[[#This Row],[Tag do Cabo]],BD!A:AJ,32,0)</f>
        <v>GA-9312/S</v>
      </c>
      <c r="I208" s="7" t="str">
        <f>VLOOKUP(Tabela11[[#This Row],[Tag do Cabo]],BD!A:AJ,11,0)</f>
        <v>PT-90467</v>
      </c>
      <c r="J208" s="3" t="str">
        <f>VLOOKUP(Tabela11[[#This Row],[Tag do Cabo]],BD!A:AJ,12,0)</f>
        <v>JBFF-90-103</v>
      </c>
      <c r="K208" s="391" t="s">
        <v>1574</v>
      </c>
      <c r="L208" s="391" t="s">
        <v>1340</v>
      </c>
      <c r="M208" s="3" t="str">
        <f>CONCATENATE(Tabela11[[#This Row],[Painel 1]]&amp;" "&amp;Tabela11[[#This Row],[Painel 2]])</f>
        <v>INSTRUMENTO JBFF-90-103</v>
      </c>
      <c r="N208" s="157">
        <v>6</v>
      </c>
      <c r="O208" s="391">
        <f>COUNTIF(Tabela12[Tag Cabo],Tabela11[[#This Row],[Tag do Cabo]])</f>
        <v>6</v>
      </c>
      <c r="P208" s="391" t="str">
        <f>IF(Tabela11[[#This Row],[Qtde Ligações]]&lt;&gt;Tabela11[[#This Row],[Qtde Anilhas]],"Ver","Ok")</f>
        <v>Ok</v>
      </c>
      <c r="Q208" s="391" t="str">
        <f>VLOOKUP(Tabela11[[#This Row],[Tag do Cabo]],BD!A:F,6,0)</f>
        <v>18AWG</v>
      </c>
      <c r="R208" s="391">
        <f>SUMIF('Lançamento de Cabos'!AE:AE,Tabela11[[#This Row],[Tag do Cabo]],'Lançamento de Cabos'!AG:AG)</f>
        <v>0</v>
      </c>
      <c r="S208" s="28">
        <f>Tabela11[[#This Row],[Ligações Realizadas]]/Tabela11[[#This Row],[Qtde Ligações]]</f>
        <v>0</v>
      </c>
      <c r="T208" s="269">
        <f>IF(Tabela11[[#This Row],[Ligações Realizadas]]/Tabela11[[#This Row],[Qtde Ligações]]=0,0,IF(Tabela11[[#This Row],[Ligações Realizadas]]/Tabela11[[#This Row],[Qtde Ligações]]=1,ROUND(N208/2,0),"Ver Painel"))</f>
        <v>0</v>
      </c>
      <c r="U208" s="23">
        <f>IF(Tabela11[[#This Row],[Ligações Realizadas]]/Tabela11[[#This Row],[Qtde Ligações]]=0,0,IF(Tabela11[[#This Row],[Ligações Realizadas]]/Tabela11[[#This Row],[Qtde Ligações]]=1,ROUND(N208/2,0),"Ver Painel"))</f>
        <v>0</v>
      </c>
      <c r="V208" s="261"/>
    </row>
    <row r="209" spans="1:22" hidden="1" x14ac:dyDescent="0.25">
      <c r="A209" s="34" t="s">
        <v>1355</v>
      </c>
      <c r="B209" s="391" t="str">
        <f>VLOOKUP(Tabela11[[#This Row],[Tag do Cabo]],BD!A:AJ,2,0)</f>
        <v>Controle</v>
      </c>
      <c r="C209" s="3" t="str">
        <f>VLOOKUP(Tabela11[[#This Row],[Tag do Cabo]],BD!A:AJ,5,0)</f>
        <v xml:space="preserve">1P#1,0mm²+SHI </v>
      </c>
      <c r="D209" s="391" t="s">
        <v>1533</v>
      </c>
      <c r="E209" s="391" t="str">
        <f>VLOOKUP(Tabela11[[#This Row],[Tag do Cabo]],BD!A:T,20,0)</f>
        <v>BK-SP54-0900A-LC-80-00186_00000</v>
      </c>
      <c r="F209" s="3" t="str">
        <f>IF(VLOOKUP(Tabela11[[#This Row],[Tag do Cabo]],BD!A:AJ,35,0)=0,"Pendente",VLOOKUP(Tabela11[[#This Row],[Tag do Cabo]],BD!A:AJ,35,0))</f>
        <v>BK-SP54-0900A-DI-80-01647</v>
      </c>
      <c r="G209" s="3" t="str">
        <f>IF(VLOOKUP(Tabela11[[#This Row],[Tag do Cabo]],BD!A:AJ,36,0)=0,"Pendente",VLOOKUP(Tabela11[[#This Row],[Tag do Cabo]],BD!A:AJ,36,0))</f>
        <v>6</v>
      </c>
      <c r="H209" s="391" t="str">
        <f>VLOOKUP(Tabela11[[#This Row],[Tag do Cabo]],BD!A:AJ,32,0)</f>
        <v>GA-9312/S</v>
      </c>
      <c r="I209" s="7" t="str">
        <f>VLOOKUP(Tabela11[[#This Row],[Tag do Cabo]],BD!A:AJ,11,0)</f>
        <v>PT-90521</v>
      </c>
      <c r="J209" s="3" t="str">
        <f>VLOOKUP(Tabela11[[#This Row],[Tag do Cabo]],BD!A:AJ,12,0)</f>
        <v>JBAI-90-110</v>
      </c>
      <c r="K209" s="391" t="s">
        <v>1574</v>
      </c>
      <c r="L209" s="391" t="s">
        <v>1228</v>
      </c>
      <c r="M209" s="3" t="str">
        <f>CONCATENATE(Tabela11[[#This Row],[Painel 1]]&amp;" "&amp;Tabela11[[#This Row],[Painel 2]])</f>
        <v>INSTRUMENTO JBAI-90-110</v>
      </c>
      <c r="N209" s="157">
        <v>4</v>
      </c>
      <c r="O209" s="391">
        <f>COUNTIF(Tabela12[Tag Cabo],Tabela11[[#This Row],[Tag do Cabo]])</f>
        <v>4</v>
      </c>
      <c r="P209" s="391" t="str">
        <f>IF(Tabela11[[#This Row],[Qtde Ligações]]&lt;&gt;Tabela11[[#This Row],[Qtde Anilhas]],"Ver","Ok")</f>
        <v>Ok</v>
      </c>
      <c r="Q209" s="391">
        <f>VLOOKUP(Tabela11[[#This Row],[Tag do Cabo]],BD!A:F,6,0)</f>
        <v>1</v>
      </c>
      <c r="R209" s="391">
        <f>SUMIF('Lançamento de Cabos'!AE:AE,Tabela11[[#This Row],[Tag do Cabo]],'Lançamento de Cabos'!AG:AG)</f>
        <v>0</v>
      </c>
      <c r="S209" s="28">
        <f>Tabela11[[#This Row],[Ligações Realizadas]]/Tabela11[[#This Row],[Qtde Ligações]]</f>
        <v>0</v>
      </c>
      <c r="T209" s="269">
        <f>IF(Tabela11[[#This Row],[Ligações Realizadas]]/Tabela11[[#This Row],[Qtde Ligações]]=0,0,IF(Tabela11[[#This Row],[Ligações Realizadas]]/Tabela11[[#This Row],[Qtde Ligações]]=1,ROUND(N209/2,0),"Ver Painel"))</f>
        <v>0</v>
      </c>
      <c r="U209" s="23">
        <f>IF(Tabela11[[#This Row],[Ligações Realizadas]]/Tabela11[[#This Row],[Qtde Ligações]]=0,0,IF(Tabela11[[#This Row],[Ligações Realizadas]]/Tabela11[[#This Row],[Qtde Ligações]]=1,ROUND(N209/2,0),"Ver Painel"))</f>
        <v>0</v>
      </c>
      <c r="V209" s="222"/>
    </row>
    <row r="210" spans="1:22" hidden="1" x14ac:dyDescent="0.25">
      <c r="A210" s="34" t="s">
        <v>1357</v>
      </c>
      <c r="B210" s="391" t="str">
        <f>VLOOKUP(Tabela11[[#This Row],[Tag do Cabo]],BD!A:AJ,2,0)</f>
        <v>Controle</v>
      </c>
      <c r="C210" s="3" t="str">
        <f>VLOOKUP(Tabela11[[#This Row],[Tag do Cabo]],BD!A:AJ,5,0)</f>
        <v xml:space="preserve">1P#1,0mm²+SHI </v>
      </c>
      <c r="D210" s="391" t="s">
        <v>1533</v>
      </c>
      <c r="E210" s="391" t="str">
        <f>VLOOKUP(Tabela11[[#This Row],[Tag do Cabo]],BD!A:T,20,0)</f>
        <v>BK-SP54-0900A-LC-80-00186_00000</v>
      </c>
      <c r="F210" s="3" t="str">
        <f>IF(VLOOKUP(Tabela11[[#This Row],[Tag do Cabo]],BD!A:AJ,35,0)=0,"Pendente",VLOOKUP(Tabela11[[#This Row],[Tag do Cabo]],BD!A:AJ,35,0))</f>
        <v>BK-SP54-0900A-DI-80-01647</v>
      </c>
      <c r="G210" s="3" t="str">
        <f>IF(VLOOKUP(Tabela11[[#This Row],[Tag do Cabo]],BD!A:AJ,36,0)=0,"Pendente",VLOOKUP(Tabela11[[#This Row],[Tag do Cabo]],BD!A:AJ,36,0))</f>
        <v>6</v>
      </c>
      <c r="H210" s="391" t="str">
        <f>VLOOKUP(Tabela11[[#This Row],[Tag do Cabo]],BD!A:AJ,32,0)</f>
        <v>GA-9312/S</v>
      </c>
      <c r="I210" s="7" t="str">
        <f>VLOOKUP(Tabela11[[#This Row],[Tag do Cabo]],BD!A:AJ,11,0)</f>
        <v>PT-90522</v>
      </c>
      <c r="J210" s="3" t="str">
        <f>VLOOKUP(Tabela11[[#This Row],[Tag do Cabo]],BD!A:AJ,12,0)</f>
        <v>JBAI-90-110</v>
      </c>
      <c r="K210" s="391" t="s">
        <v>1574</v>
      </c>
      <c r="L210" s="391" t="s">
        <v>1228</v>
      </c>
      <c r="M210" s="3" t="str">
        <f>CONCATENATE(Tabela11[[#This Row],[Painel 1]]&amp;" "&amp;Tabela11[[#This Row],[Painel 2]])</f>
        <v>INSTRUMENTO JBAI-90-110</v>
      </c>
      <c r="N210" s="157">
        <v>4</v>
      </c>
      <c r="O210" s="391">
        <f>COUNTIF(Tabela12[Tag Cabo],Tabela11[[#This Row],[Tag do Cabo]])</f>
        <v>4</v>
      </c>
      <c r="P210" s="391" t="str">
        <f>IF(Tabela11[[#This Row],[Qtde Ligações]]&lt;&gt;Tabela11[[#This Row],[Qtde Anilhas]],"Ver","Ok")</f>
        <v>Ok</v>
      </c>
      <c r="Q210" s="391">
        <f>VLOOKUP(Tabela11[[#This Row],[Tag do Cabo]],BD!A:F,6,0)</f>
        <v>1</v>
      </c>
      <c r="R210" s="391">
        <f>SUMIF('Lançamento de Cabos'!AE:AE,Tabela11[[#This Row],[Tag do Cabo]],'Lançamento de Cabos'!AG:AG)</f>
        <v>0</v>
      </c>
      <c r="S210" s="28">
        <f>Tabela11[[#This Row],[Ligações Realizadas]]/Tabela11[[#This Row],[Qtde Ligações]]</f>
        <v>0</v>
      </c>
      <c r="T210" s="269">
        <f>IF(Tabela11[[#This Row],[Ligações Realizadas]]/Tabela11[[#This Row],[Qtde Ligações]]=0,0,IF(Tabela11[[#This Row],[Ligações Realizadas]]/Tabela11[[#This Row],[Qtde Ligações]]=1,ROUND(N210/2,0),"Ver Painel"))</f>
        <v>0</v>
      </c>
      <c r="U210" s="23">
        <f>IF(Tabela11[[#This Row],[Ligações Realizadas]]/Tabela11[[#This Row],[Qtde Ligações]]=0,0,IF(Tabela11[[#This Row],[Ligações Realizadas]]/Tabela11[[#This Row],[Qtde Ligações]]=1,ROUND(N210/2,0),"Ver Painel"))</f>
        <v>0</v>
      </c>
      <c r="V210" s="222"/>
    </row>
    <row r="211" spans="1:22" hidden="1" x14ac:dyDescent="0.25">
      <c r="A211" s="34" t="s">
        <v>1329</v>
      </c>
      <c r="B211" s="391" t="str">
        <f>VLOOKUP(Tabela11[[#This Row],[Tag do Cabo]],BD!A:AJ,2,0)</f>
        <v>Controle</v>
      </c>
      <c r="C211" s="3" t="str">
        <f>VLOOKUP(Tabela11[[#This Row],[Tag do Cabo]],BD!A:AJ,5,0)</f>
        <v>1Px18AWG+Shield</v>
      </c>
      <c r="D211" s="391" t="s">
        <v>1542</v>
      </c>
      <c r="E211" s="391" t="str">
        <f>VLOOKUP(Tabela11[[#This Row],[Tag do Cabo]],BD!A:T,20,0)</f>
        <v>BK-SP54-0900A-LC-80-00188_00000</v>
      </c>
      <c r="F211" s="3" t="str">
        <f>IF(VLOOKUP(Tabela11[[#This Row],[Tag do Cabo]],BD!A:AJ,35,0)=0,"Pendente",VLOOKUP(Tabela11[[#This Row],[Tag do Cabo]],BD!A:AJ,35,0))</f>
        <v>BK-SP54-0900A-DI-80-01589</v>
      </c>
      <c r="G211" s="3">
        <f>IF(VLOOKUP(Tabela11[[#This Row],[Tag do Cabo]],BD!A:AJ,36,0)=0,"Pendente",VLOOKUP(Tabela11[[#This Row],[Tag do Cabo]],BD!A:AJ,36,0))</f>
        <v>44</v>
      </c>
      <c r="H211" s="391" t="str">
        <f>VLOOKUP(Tabela11[[#This Row],[Tag do Cabo]],BD!A:AJ,32,0)</f>
        <v>GA-906E</v>
      </c>
      <c r="I211" s="7" t="str">
        <f>VLOOKUP(Tabela11[[#This Row],[Tag do Cabo]],BD!A:AJ,11,0)</f>
        <v>PT-9261</v>
      </c>
      <c r="J211" s="3" t="str">
        <f>VLOOKUP(Tabela11[[#This Row],[Tag do Cabo]],BD!A:AJ,12,0)</f>
        <v>JBFF-90-105</v>
      </c>
      <c r="K211" s="391" t="s">
        <v>1574</v>
      </c>
      <c r="L211" s="391" t="s">
        <v>1327</v>
      </c>
      <c r="M211" s="3" t="str">
        <f>CONCATENATE(Tabela11[[#This Row],[Painel 1]]&amp;" "&amp;Tabela11[[#This Row],[Painel 2]])</f>
        <v>INSTRUMENTO JBFF-90-105</v>
      </c>
      <c r="N211" s="157">
        <v>6</v>
      </c>
      <c r="O211" s="391">
        <f>COUNTIF(Tabela12[Tag Cabo],Tabela11[[#This Row],[Tag do Cabo]])</f>
        <v>6</v>
      </c>
      <c r="P211" s="391" t="str">
        <f>IF(Tabela11[[#This Row],[Qtde Ligações]]&lt;&gt;Tabela11[[#This Row],[Qtde Anilhas]],"Ver","Ok")</f>
        <v>Ok</v>
      </c>
      <c r="Q211" s="391" t="str">
        <f>VLOOKUP(Tabela11[[#This Row],[Tag do Cabo]],BD!A:F,6,0)</f>
        <v>18AWG</v>
      </c>
      <c r="R211" s="391">
        <f>SUMIF('Lançamento de Cabos'!AE:AE,Tabela11[[#This Row],[Tag do Cabo]],'Lançamento de Cabos'!AG:AG)</f>
        <v>0</v>
      </c>
      <c r="S211" s="28">
        <f>Tabela11[[#This Row],[Ligações Realizadas]]/Tabela11[[#This Row],[Qtde Ligações]]</f>
        <v>0</v>
      </c>
      <c r="T211" s="269">
        <f>IF(Tabela11[[#This Row],[Ligações Realizadas]]/Tabela11[[#This Row],[Qtde Ligações]]=0,0,IF(Tabela11[[#This Row],[Ligações Realizadas]]/Tabela11[[#This Row],[Qtde Ligações]]=1,ROUND(N211/2,0),"Ver Painel"))</f>
        <v>0</v>
      </c>
      <c r="U211" s="23">
        <f>IF(Tabela11[[#This Row],[Ligações Realizadas]]/Tabela11[[#This Row],[Qtde Ligações]]=0,0,IF(Tabela11[[#This Row],[Ligações Realizadas]]/Tabela11[[#This Row],[Qtde Ligações]]=1,ROUND(N211/2,0),"Ver Painel"))</f>
        <v>0</v>
      </c>
      <c r="V211" s="222"/>
    </row>
    <row r="212" spans="1:22" hidden="1" x14ac:dyDescent="0.25">
      <c r="A212" s="34" t="s">
        <v>1326</v>
      </c>
      <c r="B212" s="391" t="str">
        <f>VLOOKUP(Tabela11[[#This Row],[Tag do Cabo]],BD!A:AJ,2,0)</f>
        <v>Controle</v>
      </c>
      <c r="C212" s="3" t="str">
        <f>VLOOKUP(Tabela11[[#This Row],[Tag do Cabo]],BD!A:AJ,5,0)</f>
        <v>1Px18AWG+Shield</v>
      </c>
      <c r="D212" s="391" t="s">
        <v>1542</v>
      </c>
      <c r="E212" s="391" t="str">
        <f>VLOOKUP(Tabela11[[#This Row],[Tag do Cabo]],BD!A:T,20,0)</f>
        <v>BK-SP54-0900A-LC-80-00188_00000</v>
      </c>
      <c r="F212" s="3" t="str">
        <f>IF(VLOOKUP(Tabela11[[#This Row],[Tag do Cabo]],BD!A:AJ,35,0)=0,"Pendente",VLOOKUP(Tabela11[[#This Row],[Tag do Cabo]],BD!A:AJ,35,0))</f>
        <v>BK-SP54-0900A-DI-80-01589</v>
      </c>
      <c r="G212" s="3">
        <f>IF(VLOOKUP(Tabela11[[#This Row],[Tag do Cabo]],BD!A:AJ,36,0)=0,"Pendente",VLOOKUP(Tabela11[[#This Row],[Tag do Cabo]],BD!A:AJ,36,0))</f>
        <v>44</v>
      </c>
      <c r="H212" s="391" t="str">
        <f>VLOOKUP(Tabela11[[#This Row],[Tag do Cabo]],BD!A:AJ,32,0)</f>
        <v>GA-906E</v>
      </c>
      <c r="I212" s="7" t="str">
        <f>VLOOKUP(Tabela11[[#This Row],[Tag do Cabo]],BD!A:AJ,11,0)</f>
        <v>PV-9261A</v>
      </c>
      <c r="J212" s="3" t="str">
        <f>VLOOKUP(Tabela11[[#This Row],[Tag do Cabo]],BD!A:AJ,12,0)</f>
        <v>JBFF-90-105</v>
      </c>
      <c r="K212" s="391" t="s">
        <v>1574</v>
      </c>
      <c r="L212" s="391" t="s">
        <v>1327</v>
      </c>
      <c r="M212" s="3" t="str">
        <f>CONCATENATE(Tabela11[[#This Row],[Painel 1]]&amp;" "&amp;Tabela11[[#This Row],[Painel 2]])</f>
        <v>INSTRUMENTO JBFF-90-105</v>
      </c>
      <c r="N212" s="157">
        <v>6</v>
      </c>
      <c r="O212" s="391">
        <f>COUNTIF(Tabela12[Tag Cabo],Tabela11[[#This Row],[Tag do Cabo]])</f>
        <v>6</v>
      </c>
      <c r="P212" s="391" t="str">
        <f>IF(Tabela11[[#This Row],[Qtde Ligações]]&lt;&gt;Tabela11[[#This Row],[Qtde Anilhas]],"Ver","Ok")</f>
        <v>Ok</v>
      </c>
      <c r="Q212" s="391" t="str">
        <f>VLOOKUP(Tabela11[[#This Row],[Tag do Cabo]],BD!A:F,6,0)</f>
        <v>18AWG</v>
      </c>
      <c r="R212" s="391">
        <f>SUMIF('Lançamento de Cabos'!AE:AE,Tabela11[[#This Row],[Tag do Cabo]],'Lançamento de Cabos'!AG:AG)</f>
        <v>0</v>
      </c>
      <c r="S212" s="28">
        <f>Tabela11[[#This Row],[Ligações Realizadas]]/Tabela11[[#This Row],[Qtde Ligações]]</f>
        <v>0</v>
      </c>
      <c r="T212" s="269">
        <f>IF(Tabela11[[#This Row],[Ligações Realizadas]]/Tabela11[[#This Row],[Qtde Ligações]]=0,0,IF(Tabela11[[#This Row],[Ligações Realizadas]]/Tabela11[[#This Row],[Qtde Ligações]]=1,ROUND(N212/2,0),"Ver Painel"))</f>
        <v>0</v>
      </c>
      <c r="U212" s="23">
        <f>IF(Tabela11[[#This Row],[Ligações Realizadas]]/Tabela11[[#This Row],[Qtde Ligações]]=0,0,IF(Tabela11[[#This Row],[Ligações Realizadas]]/Tabela11[[#This Row],[Qtde Ligações]]=1,ROUND(N212/2,0),"Ver Painel"))</f>
        <v>0</v>
      </c>
      <c r="V212" s="222"/>
    </row>
    <row r="213" spans="1:22" hidden="1" x14ac:dyDescent="0.25">
      <c r="A213" s="34" t="s">
        <v>1328</v>
      </c>
      <c r="B213" s="391" t="str">
        <f>VLOOKUP(Tabela11[[#This Row],[Tag do Cabo]],BD!A:AJ,2,0)</f>
        <v>Controle</v>
      </c>
      <c r="C213" s="3" t="str">
        <f>VLOOKUP(Tabela11[[#This Row],[Tag do Cabo]],BD!A:AJ,5,0)</f>
        <v>1Px18AWG+Shield</v>
      </c>
      <c r="D213" s="391" t="s">
        <v>1542</v>
      </c>
      <c r="E213" s="391" t="str">
        <f>VLOOKUP(Tabela11[[#This Row],[Tag do Cabo]],BD!A:T,20,0)</f>
        <v>BK-SP54-0900A-LC-80-00188_00000</v>
      </c>
      <c r="F213" s="3" t="str">
        <f>IF(VLOOKUP(Tabela11[[#This Row],[Tag do Cabo]],BD!A:AJ,35,0)=0,"Pendente",VLOOKUP(Tabela11[[#This Row],[Tag do Cabo]],BD!A:AJ,35,0))</f>
        <v>BK-SP54-0900A-DI-80-01589</v>
      </c>
      <c r="G213" s="3">
        <f>IF(VLOOKUP(Tabela11[[#This Row],[Tag do Cabo]],BD!A:AJ,36,0)=0,"Pendente",VLOOKUP(Tabela11[[#This Row],[Tag do Cabo]],BD!A:AJ,36,0))</f>
        <v>44</v>
      </c>
      <c r="H213" s="391" t="str">
        <f>VLOOKUP(Tabela11[[#This Row],[Tag do Cabo]],BD!A:AJ,32,0)</f>
        <v>GA-906E</v>
      </c>
      <c r="I213" s="7" t="str">
        <f>VLOOKUP(Tabela11[[#This Row],[Tag do Cabo]],BD!A:AJ,11,0)</f>
        <v>PV-9261B</v>
      </c>
      <c r="J213" s="3" t="str">
        <f>VLOOKUP(Tabela11[[#This Row],[Tag do Cabo]],BD!A:AJ,12,0)</f>
        <v>JBFF-90-105</v>
      </c>
      <c r="K213" s="391" t="s">
        <v>1574</v>
      </c>
      <c r="L213" s="391" t="s">
        <v>1327</v>
      </c>
      <c r="M213" s="3" t="str">
        <f>CONCATENATE(Tabela11[[#This Row],[Painel 1]]&amp;" "&amp;Tabela11[[#This Row],[Painel 2]])</f>
        <v>INSTRUMENTO JBFF-90-105</v>
      </c>
      <c r="N213" s="157">
        <v>6</v>
      </c>
      <c r="O213" s="391">
        <f>COUNTIF(Tabela12[Tag Cabo],Tabela11[[#This Row],[Tag do Cabo]])</f>
        <v>6</v>
      </c>
      <c r="P213" s="391" t="str">
        <f>IF(Tabela11[[#This Row],[Qtde Ligações]]&lt;&gt;Tabela11[[#This Row],[Qtde Anilhas]],"Ver","Ok")</f>
        <v>Ok</v>
      </c>
      <c r="Q213" s="391" t="str">
        <f>VLOOKUP(Tabela11[[#This Row],[Tag do Cabo]],BD!A:F,6,0)</f>
        <v>18AWG</v>
      </c>
      <c r="R213" s="391">
        <f>SUMIF('Lançamento de Cabos'!AE:AE,Tabela11[[#This Row],[Tag do Cabo]],'Lançamento de Cabos'!AG:AG)</f>
        <v>0</v>
      </c>
      <c r="S213" s="28">
        <f>Tabela11[[#This Row],[Ligações Realizadas]]/Tabela11[[#This Row],[Qtde Ligações]]</f>
        <v>0</v>
      </c>
      <c r="T213" s="269">
        <f>IF(Tabela11[[#This Row],[Ligações Realizadas]]/Tabela11[[#This Row],[Qtde Ligações]]=0,0,IF(Tabela11[[#This Row],[Ligações Realizadas]]/Tabela11[[#This Row],[Qtde Ligações]]=1,ROUND(N213/2,0),"Ver Painel"))</f>
        <v>0</v>
      </c>
      <c r="U213" s="23">
        <f>IF(Tabela11[[#This Row],[Ligações Realizadas]]/Tabela11[[#This Row],[Qtde Ligações]]=0,0,IF(Tabela11[[#This Row],[Ligações Realizadas]]/Tabela11[[#This Row],[Qtde Ligações]]=1,ROUND(N213/2,0),"Ver Painel"))</f>
        <v>0</v>
      </c>
      <c r="V213" s="222"/>
    </row>
    <row r="214" spans="1:22" hidden="1" x14ac:dyDescent="0.25">
      <c r="A214" s="34" t="s">
        <v>1306</v>
      </c>
      <c r="B214" s="391" t="str">
        <f>VLOOKUP(Tabela11[[#This Row],[Tag do Cabo]],BD!A:AJ,2,0)</f>
        <v>Controle</v>
      </c>
      <c r="C214" s="3" t="str">
        <f>VLOOKUP(Tabela11[[#This Row],[Tag do Cabo]],BD!A:AJ,5,0)</f>
        <v>1P x 1,0mm² + Shield (N.I.S.)</v>
      </c>
      <c r="D214" s="391" t="s">
        <v>1533</v>
      </c>
      <c r="E214" s="391" t="str">
        <f>VLOOKUP(Tabela11[[#This Row],[Tag do Cabo]],BD!A:T,20,0)</f>
        <v>BK-SP54-0900A-LC-80-00188_00000</v>
      </c>
      <c r="F214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14" s="3" t="str">
        <f>IF(VLOOKUP(Tabela11[[#This Row],[Tag do Cabo]],BD!A:AJ,36,0)=0,"Pendente",VLOOKUP(Tabela11[[#This Row],[Tag do Cabo]],BD!A:AJ,36,0))</f>
        <v>12/54/3</v>
      </c>
      <c r="H214" s="391" t="str">
        <f>VLOOKUP(Tabela11[[#This Row],[Tag do Cabo]],BD!A:AJ,32,0)</f>
        <v>COGxPERIF.IV</v>
      </c>
      <c r="I214" s="7" t="str">
        <f>VLOOKUP(Tabela11[[#This Row],[Tag do Cabo]],BD!A:AJ,11,0)</f>
        <v>COGERAÇÃO - GUASCOR</v>
      </c>
      <c r="J214" s="3" t="str">
        <f>VLOOKUP(Tabela11[[#This Row],[Tag do Cabo]],BD!A:AJ,12,0)</f>
        <v>PERIFÉRICOS IV</v>
      </c>
      <c r="K214" s="391" t="s">
        <v>1594</v>
      </c>
      <c r="L214" s="391" t="s">
        <v>1575</v>
      </c>
      <c r="M214" s="3" t="str">
        <f>CONCATENATE(Tabela11[[#This Row],[Painel 1]]&amp;" "&amp;Tabela11[[#This Row],[Painel 2]])</f>
        <v>JBDC-17005 DELTA V</v>
      </c>
      <c r="N214" s="157">
        <v>4</v>
      </c>
      <c r="O214" s="391">
        <f>COUNTIF(Tabela12[Tag Cabo],Tabela11[[#This Row],[Tag do Cabo]])</f>
        <v>4</v>
      </c>
      <c r="P214" s="391" t="str">
        <f>IF(Tabela11[[#This Row],[Qtde Ligações]]&lt;&gt;Tabela11[[#This Row],[Qtde Anilhas]],"Ver","Ok")</f>
        <v>Ok</v>
      </c>
      <c r="Q214" s="391">
        <f>VLOOKUP(Tabela11[[#This Row],[Tag do Cabo]],BD!A:F,6,0)</f>
        <v>1</v>
      </c>
      <c r="R214" s="391">
        <f>SUMIF('Lançamento de Cabos'!AE:AE,Tabela11[[#This Row],[Tag do Cabo]],'Lançamento de Cabos'!AG:AG)</f>
        <v>0</v>
      </c>
      <c r="S214" s="28">
        <f>Tabela11[[#This Row],[Ligações Realizadas]]/Tabela11[[#This Row],[Qtde Ligações]]</f>
        <v>0</v>
      </c>
      <c r="T214" s="269">
        <f>IF(Tabela11[[#This Row],[Ligações Realizadas]]/Tabela11[[#This Row],[Qtde Ligações]]=0,0,IF(Tabela11[[#This Row],[Ligações Realizadas]]/Tabela11[[#This Row],[Qtde Ligações]]=1,ROUND(N214/2,0),"Ver Painel"))</f>
        <v>0</v>
      </c>
      <c r="U214" s="23">
        <f>IF(Tabela11[[#This Row],[Ligações Realizadas]]/Tabela11[[#This Row],[Qtde Ligações]]=0,0,IF(Tabela11[[#This Row],[Ligações Realizadas]]/Tabela11[[#This Row],[Qtde Ligações]]=1,ROUND(N214/2,0),"Ver Painel"))</f>
        <v>0</v>
      </c>
      <c r="V214" s="222"/>
    </row>
    <row r="215" spans="1:22" hidden="1" x14ac:dyDescent="0.25">
      <c r="A215" s="34" t="s">
        <v>1308</v>
      </c>
      <c r="B215" s="391" t="str">
        <f>VLOOKUP(Tabela11[[#This Row],[Tag do Cabo]],BD!A:AJ,2,0)</f>
        <v>Controle</v>
      </c>
      <c r="C215" s="3" t="str">
        <f>VLOOKUP(Tabela11[[#This Row],[Tag do Cabo]],BD!A:AJ,5,0)</f>
        <v>1P x 1,0mm² + Shield (N.I.S.)</v>
      </c>
      <c r="D215" s="391" t="s">
        <v>1533</v>
      </c>
      <c r="E215" s="391" t="str">
        <f>VLOOKUP(Tabela11[[#This Row],[Tag do Cabo]],BD!A:T,20,0)</f>
        <v>BK-SP54-0900A-LC-80-00188_00000</v>
      </c>
      <c r="F215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15" s="3" t="str">
        <f>IF(VLOOKUP(Tabela11[[#This Row],[Tag do Cabo]],BD!A:AJ,36,0)=0,"Pendente",VLOOKUP(Tabela11[[#This Row],[Tag do Cabo]],BD!A:AJ,36,0))</f>
        <v>12/53/3</v>
      </c>
      <c r="H215" s="391" t="str">
        <f>VLOOKUP(Tabela11[[#This Row],[Tag do Cabo]],BD!A:AJ,32,0)</f>
        <v>COGxPERIF.IV</v>
      </c>
      <c r="I215" s="7" t="str">
        <f>VLOOKUP(Tabela11[[#This Row],[Tag do Cabo]],BD!A:AJ,11,0)</f>
        <v>COGERAÇÃO - GUASCOR</v>
      </c>
      <c r="J215" s="3" t="str">
        <f>VLOOKUP(Tabela11[[#This Row],[Tag do Cabo]],BD!A:AJ,12,0)</f>
        <v>PERIFÉRICOS IV</v>
      </c>
      <c r="K215" s="391" t="s">
        <v>1594</v>
      </c>
      <c r="L215" s="391" t="s">
        <v>1575</v>
      </c>
      <c r="M215" s="3" t="str">
        <f>CONCATENATE(Tabela11[[#This Row],[Painel 1]]&amp;" "&amp;Tabela11[[#This Row],[Painel 2]])</f>
        <v>JBDC-17005 DELTA V</v>
      </c>
      <c r="N215" s="157">
        <v>4</v>
      </c>
      <c r="O215" s="391">
        <f>COUNTIF(Tabela12[Tag Cabo],Tabela11[[#This Row],[Tag do Cabo]])</f>
        <v>4</v>
      </c>
      <c r="P215" s="391" t="str">
        <f>IF(Tabela11[[#This Row],[Qtde Ligações]]&lt;&gt;Tabela11[[#This Row],[Qtde Anilhas]],"Ver","Ok")</f>
        <v>Ok</v>
      </c>
      <c r="Q215" s="391">
        <f>VLOOKUP(Tabela11[[#This Row],[Tag do Cabo]],BD!A:F,6,0)</f>
        <v>1</v>
      </c>
      <c r="R215" s="391">
        <f>SUMIF('Lançamento de Cabos'!AE:AE,Tabela11[[#This Row],[Tag do Cabo]],'Lançamento de Cabos'!AG:AG)</f>
        <v>0</v>
      </c>
      <c r="S215" s="28">
        <f>Tabela11[[#This Row],[Ligações Realizadas]]/Tabela11[[#This Row],[Qtde Ligações]]</f>
        <v>0</v>
      </c>
      <c r="T215" s="269">
        <f>IF(Tabela11[[#This Row],[Ligações Realizadas]]/Tabela11[[#This Row],[Qtde Ligações]]=0,0,IF(Tabela11[[#This Row],[Ligações Realizadas]]/Tabela11[[#This Row],[Qtde Ligações]]=1,ROUND(N215/2,0),"Ver Painel"))</f>
        <v>0</v>
      </c>
      <c r="U215" s="23">
        <f>IF(Tabela11[[#This Row],[Ligações Realizadas]]/Tabela11[[#This Row],[Qtde Ligações]]=0,0,IF(Tabela11[[#This Row],[Ligações Realizadas]]/Tabela11[[#This Row],[Qtde Ligações]]=1,ROUND(N215/2,0),"Ver Painel"))</f>
        <v>0</v>
      </c>
      <c r="V215" s="222"/>
    </row>
    <row r="216" spans="1:22" hidden="1" x14ac:dyDescent="0.25">
      <c r="A216" s="34" t="s">
        <v>1310</v>
      </c>
      <c r="B216" s="391" t="str">
        <f>VLOOKUP(Tabela11[[#This Row],[Tag do Cabo]],BD!A:AJ,2,0)</f>
        <v>Controle</v>
      </c>
      <c r="C216" s="3" t="str">
        <f>VLOOKUP(Tabela11[[#This Row],[Tag do Cabo]],BD!A:AJ,5,0)</f>
        <v>1P x 1,0mm² + Shield (N.I.S.)</v>
      </c>
      <c r="D216" s="391" t="s">
        <v>1533</v>
      </c>
      <c r="E216" s="391" t="str">
        <f>VLOOKUP(Tabela11[[#This Row],[Tag do Cabo]],BD!A:T,20,0)</f>
        <v>BK-SP54-0900A-LC-80-00188_00000</v>
      </c>
      <c r="F216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16" s="3" t="str">
        <f>IF(VLOOKUP(Tabela11[[#This Row],[Tag do Cabo]],BD!A:AJ,36,0)=0,"Pendente",VLOOKUP(Tabela11[[#This Row],[Tag do Cabo]],BD!A:AJ,36,0))</f>
        <v>12/55/3</v>
      </c>
      <c r="H216" s="391" t="str">
        <f>VLOOKUP(Tabela11[[#This Row],[Tag do Cabo]],BD!A:AJ,32,0)</f>
        <v>COGxPERIF.IV</v>
      </c>
      <c r="I216" s="7" t="str">
        <f>VLOOKUP(Tabela11[[#This Row],[Tag do Cabo]],BD!A:AJ,11,0)</f>
        <v>COGERAÇÃO - GUASCOR</v>
      </c>
      <c r="J216" s="3" t="str">
        <f>VLOOKUP(Tabela11[[#This Row],[Tag do Cabo]],BD!A:AJ,12,0)</f>
        <v>PERIFÉRICOS IV</v>
      </c>
      <c r="K216" s="391" t="s">
        <v>1594</v>
      </c>
      <c r="L216" s="391" t="s">
        <v>1575</v>
      </c>
      <c r="M216" s="3" t="str">
        <f>CONCATENATE(Tabela11[[#This Row],[Painel 1]]&amp;" "&amp;Tabela11[[#This Row],[Painel 2]])</f>
        <v>JBDC-17005 DELTA V</v>
      </c>
      <c r="N216" s="157">
        <v>4</v>
      </c>
      <c r="O216" s="391">
        <f>COUNTIF(Tabela12[Tag Cabo],Tabela11[[#This Row],[Tag do Cabo]])</f>
        <v>4</v>
      </c>
      <c r="P216" s="391" t="str">
        <f>IF(Tabela11[[#This Row],[Qtde Ligações]]&lt;&gt;Tabela11[[#This Row],[Qtde Anilhas]],"Ver","Ok")</f>
        <v>Ok</v>
      </c>
      <c r="Q216" s="391">
        <f>VLOOKUP(Tabela11[[#This Row],[Tag do Cabo]],BD!A:F,6,0)</f>
        <v>1</v>
      </c>
      <c r="R216" s="391">
        <f>SUMIF('Lançamento de Cabos'!AE:AE,Tabela11[[#This Row],[Tag do Cabo]],'Lançamento de Cabos'!AG:AG)</f>
        <v>0</v>
      </c>
      <c r="S216" s="28">
        <f>Tabela11[[#This Row],[Ligações Realizadas]]/Tabela11[[#This Row],[Qtde Ligações]]</f>
        <v>0</v>
      </c>
      <c r="T216" s="269">
        <f>IF(Tabela11[[#This Row],[Ligações Realizadas]]/Tabela11[[#This Row],[Qtde Ligações]]=0,0,IF(Tabela11[[#This Row],[Ligações Realizadas]]/Tabela11[[#This Row],[Qtde Ligações]]=1,ROUND(N216/2,0),"Ver Painel"))</f>
        <v>0</v>
      </c>
      <c r="U216" s="23">
        <f>IF(Tabela11[[#This Row],[Ligações Realizadas]]/Tabela11[[#This Row],[Qtde Ligações]]=0,0,IF(Tabela11[[#This Row],[Ligações Realizadas]]/Tabela11[[#This Row],[Qtde Ligações]]=1,ROUND(N216/2,0),"Ver Painel"))</f>
        <v>0</v>
      </c>
      <c r="V216" s="222"/>
    </row>
    <row r="217" spans="1:22" hidden="1" x14ac:dyDescent="0.25">
      <c r="A217" s="34" t="s">
        <v>1312</v>
      </c>
      <c r="B217" s="391" t="str">
        <f>VLOOKUP(Tabela11[[#This Row],[Tag do Cabo]],BD!A:AJ,2,0)</f>
        <v>Controle</v>
      </c>
      <c r="C217" s="3" t="str">
        <f>VLOOKUP(Tabela11[[#This Row],[Tag do Cabo]],BD!A:AJ,5,0)</f>
        <v>1P x 1,0mm² + Shield (N.I.S.)</v>
      </c>
      <c r="D217" s="391" t="s">
        <v>1533</v>
      </c>
      <c r="E217" s="391" t="str">
        <f>VLOOKUP(Tabela11[[#This Row],[Tag do Cabo]],BD!A:T,20,0)</f>
        <v>BK-SP54-0900A-LC-80-00188_00000</v>
      </c>
      <c r="F217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17" s="3" t="str">
        <f>IF(VLOOKUP(Tabela11[[#This Row],[Tag do Cabo]],BD!A:AJ,36,0)=0,"Pendente",VLOOKUP(Tabela11[[#This Row],[Tag do Cabo]],BD!A:AJ,36,0))</f>
        <v>12/56/4</v>
      </c>
      <c r="H217" s="391" t="str">
        <f>VLOOKUP(Tabela11[[#This Row],[Tag do Cabo]],BD!A:AJ,32,0)</f>
        <v>COGxPERIF.IV</v>
      </c>
      <c r="I217" s="7" t="str">
        <f>VLOOKUP(Tabela11[[#This Row],[Tag do Cabo]],BD!A:AJ,11,0)</f>
        <v>COGERAÇÃO - GUASCOR</v>
      </c>
      <c r="J217" s="3" t="str">
        <f>VLOOKUP(Tabela11[[#This Row],[Tag do Cabo]],BD!A:AJ,12,0)</f>
        <v>PERIFÉRICOS IV</v>
      </c>
      <c r="K217" s="391" t="s">
        <v>1611</v>
      </c>
      <c r="L217" s="391" t="s">
        <v>1575</v>
      </c>
      <c r="M217" s="3" t="str">
        <f>CONCATENATE(Tabela11[[#This Row],[Painel 1]]&amp;" "&amp;Tabela11[[#This Row],[Painel 2]])</f>
        <v>JBDC-17007 DELTA V</v>
      </c>
      <c r="N217" s="157">
        <v>4</v>
      </c>
      <c r="O217" s="391">
        <f>COUNTIF(Tabela12[Tag Cabo],Tabela11[[#This Row],[Tag do Cabo]])</f>
        <v>4</v>
      </c>
      <c r="P217" s="391" t="str">
        <f>IF(Tabela11[[#This Row],[Qtde Ligações]]&lt;&gt;Tabela11[[#This Row],[Qtde Anilhas]],"Ver","Ok")</f>
        <v>Ok</v>
      </c>
      <c r="Q217" s="391">
        <f>VLOOKUP(Tabela11[[#This Row],[Tag do Cabo]],BD!A:F,6,0)</f>
        <v>1</v>
      </c>
      <c r="R217" s="391">
        <f>SUMIF('Lançamento de Cabos'!AE:AE,Tabela11[[#This Row],[Tag do Cabo]],'Lançamento de Cabos'!AG:AG)</f>
        <v>0</v>
      </c>
      <c r="S217" s="28">
        <f>Tabela11[[#This Row],[Ligações Realizadas]]/Tabela11[[#This Row],[Qtde Ligações]]</f>
        <v>0</v>
      </c>
      <c r="T217" s="269">
        <f>IF(Tabela11[[#This Row],[Ligações Realizadas]]/Tabela11[[#This Row],[Qtde Ligações]]=0,0,IF(Tabela11[[#This Row],[Ligações Realizadas]]/Tabela11[[#This Row],[Qtde Ligações]]=1,ROUND(N217/2,0),"Ver Painel"))</f>
        <v>0</v>
      </c>
      <c r="U217" s="23">
        <f>IF(Tabela11[[#This Row],[Ligações Realizadas]]/Tabela11[[#This Row],[Qtde Ligações]]=0,0,IF(Tabela11[[#This Row],[Ligações Realizadas]]/Tabela11[[#This Row],[Qtde Ligações]]=1,ROUND(N217/2,0),"Ver Painel"))</f>
        <v>0</v>
      </c>
      <c r="V217" s="222"/>
    </row>
    <row r="218" spans="1:22" hidden="1" x14ac:dyDescent="0.25">
      <c r="A218" s="34" t="s">
        <v>1314</v>
      </c>
      <c r="B218" s="391" t="str">
        <f>VLOOKUP(Tabela11[[#This Row],[Tag do Cabo]],BD!A:AJ,2,0)</f>
        <v>Controle</v>
      </c>
      <c r="C218" s="3" t="str">
        <f>VLOOKUP(Tabela11[[#This Row],[Tag do Cabo]],BD!A:AJ,5,0)</f>
        <v>1P x 1,0mm² + Shield (N.I.S.)</v>
      </c>
      <c r="D218" s="391" t="s">
        <v>1533</v>
      </c>
      <c r="E218" s="391" t="str">
        <f>VLOOKUP(Tabela11[[#This Row],[Tag do Cabo]],BD!A:T,20,0)</f>
        <v>BK-SP54-0900A-LC-80-00188_00000</v>
      </c>
      <c r="F218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18" s="3" t="str">
        <f>IF(VLOOKUP(Tabela11[[#This Row],[Tag do Cabo]],BD!A:AJ,36,0)=0,"Pendente",VLOOKUP(Tabela11[[#This Row],[Tag do Cabo]],BD!A:AJ,36,0))</f>
        <v>12/57/4</v>
      </c>
      <c r="H218" s="391" t="str">
        <f>VLOOKUP(Tabela11[[#This Row],[Tag do Cabo]],BD!A:AJ,32,0)</f>
        <v>COGxPERIF.IV</v>
      </c>
      <c r="I218" s="7" t="str">
        <f>VLOOKUP(Tabela11[[#This Row],[Tag do Cabo]],BD!A:AJ,11,0)</f>
        <v>COGERAÇÃO - GUASCOR</v>
      </c>
      <c r="J218" s="3" t="str">
        <f>VLOOKUP(Tabela11[[#This Row],[Tag do Cabo]],BD!A:AJ,12,0)</f>
        <v>PERIFÉRICOS IV</v>
      </c>
      <c r="K218" s="391" t="s">
        <v>1611</v>
      </c>
      <c r="L218" s="391" t="s">
        <v>1575</v>
      </c>
      <c r="M218" s="3" t="str">
        <f>CONCATENATE(Tabela11[[#This Row],[Painel 1]]&amp;" "&amp;Tabela11[[#This Row],[Painel 2]])</f>
        <v>JBDC-17007 DELTA V</v>
      </c>
      <c r="N218" s="157">
        <v>4</v>
      </c>
      <c r="O218" s="391">
        <f>COUNTIF(Tabela12[Tag Cabo],Tabela11[[#This Row],[Tag do Cabo]])</f>
        <v>4</v>
      </c>
      <c r="P218" s="391" t="str">
        <f>IF(Tabela11[[#This Row],[Qtde Ligações]]&lt;&gt;Tabela11[[#This Row],[Qtde Anilhas]],"Ver","Ok")</f>
        <v>Ok</v>
      </c>
      <c r="Q218" s="391">
        <f>VLOOKUP(Tabela11[[#This Row],[Tag do Cabo]],BD!A:F,6,0)</f>
        <v>1</v>
      </c>
      <c r="R218" s="391">
        <f>SUMIF('Lançamento de Cabos'!AE:AE,Tabela11[[#This Row],[Tag do Cabo]],'Lançamento de Cabos'!AG:AG)</f>
        <v>0</v>
      </c>
      <c r="S218" s="28">
        <f>Tabela11[[#This Row],[Ligações Realizadas]]/Tabela11[[#This Row],[Qtde Ligações]]</f>
        <v>0</v>
      </c>
      <c r="T218" s="269">
        <f>IF(Tabela11[[#This Row],[Ligações Realizadas]]/Tabela11[[#This Row],[Qtde Ligações]]=0,0,IF(Tabela11[[#This Row],[Ligações Realizadas]]/Tabela11[[#This Row],[Qtde Ligações]]=1,ROUND(N218/2,0),"Ver Painel"))</f>
        <v>0</v>
      </c>
      <c r="U218" s="23">
        <f>IF(Tabela11[[#This Row],[Ligações Realizadas]]/Tabela11[[#This Row],[Qtde Ligações]]=0,0,IF(Tabela11[[#This Row],[Ligações Realizadas]]/Tabela11[[#This Row],[Qtde Ligações]]=1,ROUND(N218/2,0),"Ver Painel"))</f>
        <v>0</v>
      </c>
      <c r="V218" s="222"/>
    </row>
    <row r="219" spans="1:22" hidden="1" x14ac:dyDescent="0.25">
      <c r="A219" s="34" t="s">
        <v>1316</v>
      </c>
      <c r="B219" s="391" t="str">
        <f>VLOOKUP(Tabela11[[#This Row],[Tag do Cabo]],BD!A:AJ,2,0)</f>
        <v>Controle</v>
      </c>
      <c r="C219" s="3" t="str">
        <f>VLOOKUP(Tabela11[[#This Row],[Tag do Cabo]],BD!A:AJ,5,0)</f>
        <v>1P x 1,0mm² + Shield (N.I.S.)</v>
      </c>
      <c r="D219" s="391" t="s">
        <v>1533</v>
      </c>
      <c r="E219" s="391" t="str">
        <f>VLOOKUP(Tabela11[[#This Row],[Tag do Cabo]],BD!A:T,20,0)</f>
        <v>BK-SP54-0900A-LC-80-00188_00000</v>
      </c>
      <c r="F219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19" s="3" t="str">
        <f>IF(VLOOKUP(Tabela11[[#This Row],[Tag do Cabo]],BD!A:AJ,36,0)=0,"Pendente",VLOOKUP(Tabela11[[#This Row],[Tag do Cabo]],BD!A:AJ,36,0))</f>
        <v>12/58/4</v>
      </c>
      <c r="H219" s="391" t="str">
        <f>VLOOKUP(Tabela11[[#This Row],[Tag do Cabo]],BD!A:AJ,32,0)</f>
        <v>COGxPERIF.IV</v>
      </c>
      <c r="I219" s="7" t="str">
        <f>VLOOKUP(Tabela11[[#This Row],[Tag do Cabo]],BD!A:AJ,11,0)</f>
        <v>COGERAÇÃO - GUASCOR</v>
      </c>
      <c r="J219" s="3" t="str">
        <f>VLOOKUP(Tabela11[[#This Row],[Tag do Cabo]],BD!A:AJ,12,0)</f>
        <v>PERIFÉRICOS IV</v>
      </c>
      <c r="K219" s="391" t="s">
        <v>1611</v>
      </c>
      <c r="L219" s="391" t="s">
        <v>1575</v>
      </c>
      <c r="M219" s="3" t="str">
        <f>CONCATENATE(Tabela11[[#This Row],[Painel 1]]&amp;" "&amp;Tabela11[[#This Row],[Painel 2]])</f>
        <v>JBDC-17007 DELTA V</v>
      </c>
      <c r="N219" s="157">
        <v>4</v>
      </c>
      <c r="O219" s="391">
        <f>COUNTIF(Tabela12[Tag Cabo],Tabela11[[#This Row],[Tag do Cabo]])</f>
        <v>4</v>
      </c>
      <c r="P219" s="391" t="str">
        <f>IF(Tabela11[[#This Row],[Qtde Ligações]]&lt;&gt;Tabela11[[#This Row],[Qtde Anilhas]],"Ver","Ok")</f>
        <v>Ok</v>
      </c>
      <c r="Q219" s="391">
        <f>VLOOKUP(Tabela11[[#This Row],[Tag do Cabo]],BD!A:F,6,0)</f>
        <v>1</v>
      </c>
      <c r="R219" s="391">
        <f>SUMIF('Lançamento de Cabos'!AE:AE,Tabela11[[#This Row],[Tag do Cabo]],'Lançamento de Cabos'!AG:AG)</f>
        <v>0</v>
      </c>
      <c r="S219" s="28">
        <f>Tabela11[[#This Row],[Ligações Realizadas]]/Tabela11[[#This Row],[Qtde Ligações]]</f>
        <v>0</v>
      </c>
      <c r="T219" s="269">
        <f>IF(Tabela11[[#This Row],[Ligações Realizadas]]/Tabela11[[#This Row],[Qtde Ligações]]=0,0,IF(Tabela11[[#This Row],[Ligações Realizadas]]/Tabela11[[#This Row],[Qtde Ligações]]=1,ROUND(N219/2,0),"Ver Painel"))</f>
        <v>0</v>
      </c>
      <c r="U219" s="23">
        <f>IF(Tabela11[[#This Row],[Ligações Realizadas]]/Tabela11[[#This Row],[Qtde Ligações]]=0,0,IF(Tabela11[[#This Row],[Ligações Realizadas]]/Tabela11[[#This Row],[Qtde Ligações]]=1,ROUND(N219/2,0),"Ver Painel"))</f>
        <v>0</v>
      </c>
      <c r="V219" s="222"/>
    </row>
    <row r="220" spans="1:22" hidden="1" x14ac:dyDescent="0.25">
      <c r="A220" s="34" t="s">
        <v>1318</v>
      </c>
      <c r="B220" s="391" t="str">
        <f>VLOOKUP(Tabela11[[#This Row],[Tag do Cabo]],BD!A:AJ,2,0)</f>
        <v>Controle</v>
      </c>
      <c r="C220" s="3" t="str">
        <f>VLOOKUP(Tabela11[[#This Row],[Tag do Cabo]],BD!A:AJ,5,0)</f>
        <v>1P x 1,0mm² + Shield (N.I.S.)</v>
      </c>
      <c r="D220" s="391" t="s">
        <v>1533</v>
      </c>
      <c r="E220" s="391" t="str">
        <f>VLOOKUP(Tabela11[[#This Row],[Tag do Cabo]],BD!A:T,20,0)</f>
        <v>BK-SP54-0900A-LC-80-00188_00000</v>
      </c>
      <c r="F220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20" s="3" t="str">
        <f>IF(VLOOKUP(Tabela11[[#This Row],[Tag do Cabo]],BD!A:AJ,36,0)=0,"Pendente",VLOOKUP(Tabela11[[#This Row],[Tag do Cabo]],BD!A:AJ,36,0))</f>
        <v>12/59/4</v>
      </c>
      <c r="H220" s="391" t="str">
        <f>VLOOKUP(Tabela11[[#This Row],[Tag do Cabo]],BD!A:AJ,32,0)</f>
        <v>COGxPERIF.IV</v>
      </c>
      <c r="I220" s="7" t="str">
        <f>VLOOKUP(Tabela11[[#This Row],[Tag do Cabo]],BD!A:AJ,11,0)</f>
        <v>COGERAÇÃO - GUASCOR</v>
      </c>
      <c r="J220" s="3" t="str">
        <f>VLOOKUP(Tabela11[[#This Row],[Tag do Cabo]],BD!A:AJ,12,0)</f>
        <v>PERIFÉRICOS IV</v>
      </c>
      <c r="K220" s="391" t="s">
        <v>1611</v>
      </c>
      <c r="L220" s="391" t="s">
        <v>1575</v>
      </c>
      <c r="M220" s="3" t="str">
        <f>CONCATENATE(Tabela11[[#This Row],[Painel 1]]&amp;" "&amp;Tabela11[[#This Row],[Painel 2]])</f>
        <v>JBDC-17007 DELTA V</v>
      </c>
      <c r="N220" s="157">
        <v>4</v>
      </c>
      <c r="O220" s="391">
        <f>COUNTIF(Tabela12[Tag Cabo],Tabela11[[#This Row],[Tag do Cabo]])</f>
        <v>4</v>
      </c>
      <c r="P220" s="391" t="str">
        <f>IF(Tabela11[[#This Row],[Qtde Ligações]]&lt;&gt;Tabela11[[#This Row],[Qtde Anilhas]],"Ver","Ok")</f>
        <v>Ok</v>
      </c>
      <c r="Q220" s="391">
        <f>VLOOKUP(Tabela11[[#This Row],[Tag do Cabo]],BD!A:F,6,0)</f>
        <v>1</v>
      </c>
      <c r="R220" s="391">
        <f>SUMIF('Lançamento de Cabos'!AE:AE,Tabela11[[#This Row],[Tag do Cabo]],'Lançamento de Cabos'!AG:AG)</f>
        <v>0</v>
      </c>
      <c r="S220" s="28">
        <f>Tabela11[[#This Row],[Ligações Realizadas]]/Tabela11[[#This Row],[Qtde Ligações]]</f>
        <v>0</v>
      </c>
      <c r="T220" s="269">
        <f>IF(Tabela11[[#This Row],[Ligações Realizadas]]/Tabela11[[#This Row],[Qtde Ligações]]=0,0,IF(Tabela11[[#This Row],[Ligações Realizadas]]/Tabela11[[#This Row],[Qtde Ligações]]=1,ROUND(N220/2,0),"Ver Painel"))</f>
        <v>0</v>
      </c>
      <c r="U220" s="23">
        <f>IF(Tabela11[[#This Row],[Ligações Realizadas]]/Tabela11[[#This Row],[Qtde Ligações]]=0,0,IF(Tabela11[[#This Row],[Ligações Realizadas]]/Tabela11[[#This Row],[Qtde Ligações]]=1,ROUND(N220/2,0),"Ver Painel"))</f>
        <v>0</v>
      </c>
      <c r="V220" s="222"/>
    </row>
    <row r="221" spans="1:22" hidden="1" x14ac:dyDescent="0.25">
      <c r="A221" s="34" t="s">
        <v>1320</v>
      </c>
      <c r="B221" s="391" t="str">
        <f>VLOOKUP(Tabela11[[#This Row],[Tag do Cabo]],BD!A:AJ,2,0)</f>
        <v>Controle</v>
      </c>
      <c r="C221" s="3" t="str">
        <f>VLOOKUP(Tabela11[[#This Row],[Tag do Cabo]],BD!A:AJ,5,0)</f>
        <v>1P x 1,0mm² + Shield (N.I.S.)</v>
      </c>
      <c r="D221" s="391" t="s">
        <v>1533</v>
      </c>
      <c r="E221" s="391" t="str">
        <f>VLOOKUP(Tabela11[[#This Row],[Tag do Cabo]],BD!A:T,20,0)</f>
        <v>BK-SP54-0900A-LC-80-00188_00000</v>
      </c>
      <c r="F221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21" s="3" t="str">
        <f>IF(VLOOKUP(Tabela11[[#This Row],[Tag do Cabo]],BD!A:AJ,36,0)=0,"Pendente",VLOOKUP(Tabela11[[#This Row],[Tag do Cabo]],BD!A:AJ,36,0))</f>
        <v>12/60/4</v>
      </c>
      <c r="H221" s="391" t="str">
        <f>VLOOKUP(Tabela11[[#This Row],[Tag do Cabo]],BD!A:AJ,32,0)</f>
        <v>COGxPERIF.IV</v>
      </c>
      <c r="I221" s="7" t="str">
        <f>VLOOKUP(Tabela11[[#This Row],[Tag do Cabo]],BD!A:AJ,11,0)</f>
        <v>COGERAÇÃO - GUASCOR</v>
      </c>
      <c r="J221" s="3" t="str">
        <f>VLOOKUP(Tabela11[[#This Row],[Tag do Cabo]],BD!A:AJ,12,0)</f>
        <v>PERIFÉRICOS IV</v>
      </c>
      <c r="K221" s="391" t="s">
        <v>1611</v>
      </c>
      <c r="L221" s="391" t="s">
        <v>1575</v>
      </c>
      <c r="M221" s="3" t="str">
        <f>CONCATENATE(Tabela11[[#This Row],[Painel 1]]&amp;" "&amp;Tabela11[[#This Row],[Painel 2]])</f>
        <v>JBDC-17007 DELTA V</v>
      </c>
      <c r="N221" s="157">
        <v>4</v>
      </c>
      <c r="O221" s="391">
        <f>COUNTIF(Tabela12[Tag Cabo],Tabela11[[#This Row],[Tag do Cabo]])</f>
        <v>4</v>
      </c>
      <c r="P221" s="391" t="str">
        <f>IF(Tabela11[[#This Row],[Qtde Ligações]]&lt;&gt;Tabela11[[#This Row],[Qtde Anilhas]],"Ver","Ok")</f>
        <v>Ok</v>
      </c>
      <c r="Q221" s="391">
        <f>VLOOKUP(Tabela11[[#This Row],[Tag do Cabo]],BD!A:F,6,0)</f>
        <v>1</v>
      </c>
      <c r="R221" s="391">
        <f>SUMIF('Lançamento de Cabos'!AE:AE,Tabela11[[#This Row],[Tag do Cabo]],'Lançamento de Cabos'!AG:AG)</f>
        <v>0</v>
      </c>
      <c r="S221" s="28">
        <f>Tabela11[[#This Row],[Ligações Realizadas]]/Tabela11[[#This Row],[Qtde Ligações]]</f>
        <v>0</v>
      </c>
      <c r="T221" s="269">
        <f>IF(Tabela11[[#This Row],[Ligações Realizadas]]/Tabela11[[#This Row],[Qtde Ligações]]=0,0,IF(Tabela11[[#This Row],[Ligações Realizadas]]/Tabela11[[#This Row],[Qtde Ligações]]=1,ROUND(N221/2,0),"Ver Painel"))</f>
        <v>0</v>
      </c>
      <c r="U221" s="23">
        <f>IF(Tabela11[[#This Row],[Ligações Realizadas]]/Tabela11[[#This Row],[Qtde Ligações]]=0,0,IF(Tabela11[[#This Row],[Ligações Realizadas]]/Tabela11[[#This Row],[Qtde Ligações]]=1,ROUND(N221/2,0),"Ver Painel"))</f>
        <v>0</v>
      </c>
      <c r="V221" s="222"/>
    </row>
    <row r="222" spans="1:22" hidden="1" x14ac:dyDescent="0.25">
      <c r="A222" s="34" t="s">
        <v>1322</v>
      </c>
      <c r="B222" s="391" t="str">
        <f>VLOOKUP(Tabela11[[#This Row],[Tag do Cabo]],BD!A:AJ,2,0)</f>
        <v>Controle</v>
      </c>
      <c r="C222" s="3" t="str">
        <f>VLOOKUP(Tabela11[[#This Row],[Tag do Cabo]],BD!A:AJ,5,0)</f>
        <v>1P x 1,0mm² + Shield (N.I.S.)</v>
      </c>
      <c r="D222" s="391" t="s">
        <v>1533</v>
      </c>
      <c r="E222" s="391" t="str">
        <f>VLOOKUP(Tabela11[[#This Row],[Tag do Cabo]],BD!A:T,20,0)</f>
        <v>BK-SP54-0900A-LC-80-00188_00000</v>
      </c>
      <c r="F222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222" s="3" t="str">
        <f>IF(VLOOKUP(Tabela11[[#This Row],[Tag do Cabo]],BD!A:AJ,36,0)=0,"Pendente",VLOOKUP(Tabela11[[#This Row],[Tag do Cabo]],BD!A:AJ,36,0))</f>
        <v>12/61/4</v>
      </c>
      <c r="H222" s="391" t="str">
        <f>VLOOKUP(Tabela11[[#This Row],[Tag do Cabo]],BD!A:AJ,32,0)</f>
        <v>COGxPERIF.IV</v>
      </c>
      <c r="I222" s="7" t="str">
        <f>VLOOKUP(Tabela11[[#This Row],[Tag do Cabo]],BD!A:AJ,11,0)</f>
        <v>COGERAÇÃO - GUASCOR</v>
      </c>
      <c r="J222" s="3" t="str">
        <f>VLOOKUP(Tabela11[[#This Row],[Tag do Cabo]],BD!A:AJ,12,0)</f>
        <v>PERIFÉRICOS IV</v>
      </c>
      <c r="K222" s="391" t="s">
        <v>1611</v>
      </c>
      <c r="L222" s="391" t="s">
        <v>1575</v>
      </c>
      <c r="M222" s="3" t="str">
        <f>CONCATENATE(Tabela11[[#This Row],[Painel 1]]&amp;" "&amp;Tabela11[[#This Row],[Painel 2]])</f>
        <v>JBDC-17007 DELTA V</v>
      </c>
      <c r="N222" s="157">
        <v>4</v>
      </c>
      <c r="O222" s="391">
        <f>COUNTIF(Tabela12[Tag Cabo],Tabela11[[#This Row],[Tag do Cabo]])</f>
        <v>4</v>
      </c>
      <c r="P222" s="391" t="str">
        <f>IF(Tabela11[[#This Row],[Qtde Ligações]]&lt;&gt;Tabela11[[#This Row],[Qtde Anilhas]],"Ver","Ok")</f>
        <v>Ok</v>
      </c>
      <c r="Q222" s="391">
        <f>VLOOKUP(Tabela11[[#This Row],[Tag do Cabo]],BD!A:F,6,0)</f>
        <v>1</v>
      </c>
      <c r="R222" s="391">
        <f>SUMIF('Lançamento de Cabos'!AE:AE,Tabela11[[#This Row],[Tag do Cabo]],'Lançamento de Cabos'!AG:AG)</f>
        <v>0</v>
      </c>
      <c r="S222" s="28">
        <f>Tabela11[[#This Row],[Ligações Realizadas]]/Tabela11[[#This Row],[Qtde Ligações]]</f>
        <v>0</v>
      </c>
      <c r="T222" s="269">
        <f>IF(Tabela11[[#This Row],[Ligações Realizadas]]/Tabela11[[#This Row],[Qtde Ligações]]=0,0,IF(Tabela11[[#This Row],[Ligações Realizadas]]/Tabela11[[#This Row],[Qtde Ligações]]=1,ROUND(N222/2,0),"Ver Painel"))</f>
        <v>0</v>
      </c>
      <c r="U222" s="23">
        <f>IF(Tabela11[[#This Row],[Ligações Realizadas]]/Tabela11[[#This Row],[Qtde Ligações]]=0,0,IF(Tabela11[[#This Row],[Ligações Realizadas]]/Tabela11[[#This Row],[Qtde Ligações]]=1,ROUND(N222/2,0),"Ver Painel"))</f>
        <v>0</v>
      </c>
      <c r="V222" s="222"/>
    </row>
    <row r="223" spans="1:22" hidden="1" x14ac:dyDescent="0.25">
      <c r="A223" s="34" t="s">
        <v>495</v>
      </c>
      <c r="B223" s="391" t="str">
        <f>VLOOKUP(Tabela11[[#This Row],[Tag do Cabo]],BD!A:AJ,2,0)</f>
        <v>Controle</v>
      </c>
      <c r="C223" s="3" t="str">
        <f>VLOOKUP(Tabela11[[#This Row],[Tag do Cabo]],BD!A:AJ,5,0)</f>
        <v>1x1x3xC#1,5</v>
      </c>
      <c r="D223" s="391" t="s">
        <v>1542</v>
      </c>
      <c r="E223" s="391" t="str">
        <f>VLOOKUP(Tabela11[[#This Row],[Tag do Cabo]],BD!A:T,20,0)</f>
        <v>E5WP000490-C-001-LC004</v>
      </c>
      <c r="F223" s="3" t="str">
        <f>IF(VLOOKUP(Tabela11[[#This Row],[Tag do Cabo]],BD!A:AJ,35,0)=0,"Pendente",VLOOKUP(Tabela11[[#This Row],[Tag do Cabo]],BD!A:AJ,35,0))</f>
        <v>E5WP000490-C-002-DE004</v>
      </c>
      <c r="G223" s="3" t="str">
        <f>IF(VLOOKUP(Tabela11[[#This Row],[Tag do Cabo]],BD!A:AJ,36,0)=0,"Pendente",VLOOKUP(Tabela11[[#This Row],[Tag do Cabo]],BD!A:AJ,36,0))</f>
        <v>5</v>
      </c>
      <c r="H223" s="391" t="str">
        <f>VLOOKUP(Tabela11[[#This Row],[Tag do Cabo]],BD!A:AJ,32,0)</f>
        <v>7HV</v>
      </c>
      <c r="I223" s="7" t="str">
        <f>VLOOKUP(Tabela11[[#This Row],[Tag do Cabo]],BD!A:AJ,11,0)</f>
        <v>CELLAR AREA (RS-TR-27)</v>
      </c>
      <c r="J223" s="3" t="str">
        <f>VLOOKUP(Tabela11[[#This Row],[Tag do Cabo]],BD!A:AJ,12,0)</f>
        <v>E-HOUSE (TCC-49)</v>
      </c>
      <c r="K223" s="391" t="s">
        <v>1612</v>
      </c>
      <c r="L223" s="391" t="s">
        <v>1543</v>
      </c>
      <c r="M223" s="3" t="str">
        <f>CONCATENATE(Tabela11[[#This Row],[Painel 1]]&amp;" "&amp;Tabela11[[#This Row],[Painel 2]])</f>
        <v>RS-TR-27 TCC-49</v>
      </c>
      <c r="N223" s="157">
        <v>4</v>
      </c>
      <c r="O223" s="391" t="s">
        <v>92</v>
      </c>
      <c r="P223" s="391" t="s">
        <v>1550</v>
      </c>
      <c r="Q223" s="391">
        <f>VLOOKUP(Tabela11[[#This Row],[Tag do Cabo]],BD!A:F,6,0)</f>
        <v>1.5</v>
      </c>
      <c r="R223" s="391">
        <f>SUMIF('Lançamento de Cabos'!AE:AE,Tabela11[[#This Row],[Tag do Cabo]],'Lançamento de Cabos'!AG:AG)</f>
        <v>4</v>
      </c>
      <c r="S223" s="28">
        <f>Tabela11[[#This Row],[Ligações Realizadas]]/Tabela11[[#This Row],[Qtde Ligações]]</f>
        <v>1</v>
      </c>
      <c r="T223" s="272">
        <f>IF(Tabela11[[#This Row],[Ligações Realizadas]]/Tabela11[[#This Row],[Qtde Ligações]]=0,0,IF(Tabela11[[#This Row],[Ligações Realizadas]]/Tabela11[[#This Row],[Qtde Ligações]]=1,ROUND(N223/2,0),"Ver Painel"))</f>
        <v>2</v>
      </c>
      <c r="U223" s="273">
        <f>IF(Tabela11[[#This Row],[Ligações Realizadas]]/Tabela11[[#This Row],[Qtde Ligações]]=0,0,IF(Tabela11[[#This Row],[Ligações Realizadas]]/Tabela11[[#This Row],[Qtde Ligações]]=1,ROUND(N223/2,0),"Ver Painel"))</f>
        <v>2</v>
      </c>
      <c r="V223" s="222"/>
    </row>
    <row r="224" spans="1:22" hidden="1" x14ac:dyDescent="0.25">
      <c r="A224" s="34" t="s">
        <v>498</v>
      </c>
      <c r="B224" s="391" t="str">
        <f>VLOOKUP(Tabela11[[#This Row],[Tag do Cabo]],BD!A:AJ,2,0)</f>
        <v>Força</v>
      </c>
      <c r="C224" s="3" t="str">
        <f>VLOOKUP(Tabela11[[#This Row],[Tag do Cabo]],BD!A:AJ,5,0)</f>
        <v>1x1x1/C#16</v>
      </c>
      <c r="D224" s="391" t="s">
        <v>1542</v>
      </c>
      <c r="E224" s="391" t="str">
        <f>VLOOKUP(Tabela11[[#This Row],[Tag do Cabo]],BD!A:T,20,0)</f>
        <v>E5WP000490-C-001-LC003</v>
      </c>
      <c r="F224" s="3" t="str">
        <f>IF(VLOOKUP(Tabela11[[#This Row],[Tag do Cabo]],BD!A:AJ,35,0)=0,"Pendente",VLOOKUP(Tabela11[[#This Row],[Tag do Cabo]],BD!A:AJ,35,0))</f>
        <v>E5WP000490-C-002-DE003</v>
      </c>
      <c r="G224" s="3" t="str">
        <f>IF(VLOOKUP(Tabela11[[#This Row],[Tag do Cabo]],BD!A:AJ,36,0)=0,"Pendente",VLOOKUP(Tabela11[[#This Row],[Tag do Cabo]],BD!A:AJ,36,0))</f>
        <v>3</v>
      </c>
      <c r="H224" s="391" t="str">
        <f>VLOOKUP(Tabela11[[#This Row],[Tag do Cabo]],BD!A:AJ,32,0)</f>
        <v>7HV</v>
      </c>
      <c r="I224" s="7" t="str">
        <f>VLOOKUP(Tabela11[[#This Row],[Tag do Cabo]],BD!A:AJ,11,0)</f>
        <v>CELLAR AREA (RS-TR-27)</v>
      </c>
      <c r="J224" s="3" t="str">
        <f>VLOOKUP(Tabela11[[#This Row],[Tag do Cabo]],BD!A:AJ,12,0)</f>
        <v>MALHA DE TERRA (-)</v>
      </c>
      <c r="K224" s="391" t="s">
        <v>1612</v>
      </c>
      <c r="L224" s="391" t="s">
        <v>1613</v>
      </c>
      <c r="M224" s="3" t="str">
        <f>CONCATENATE(Tabela11[[#This Row],[Painel 1]]&amp;" "&amp;Tabela11[[#This Row],[Painel 2]])</f>
        <v>RS-TR-27 MALHA DE TERRA 7HV</v>
      </c>
      <c r="N224" s="157">
        <v>2</v>
      </c>
      <c r="O224" s="391" t="s">
        <v>92</v>
      </c>
      <c r="P224" s="391" t="s">
        <v>107</v>
      </c>
      <c r="Q224" s="391">
        <f>VLOOKUP(Tabela11[[#This Row],[Tag do Cabo]],BD!A:F,6,0)</f>
        <v>16</v>
      </c>
      <c r="R224" s="391">
        <f>SUMIF('Lançamento de Cabos'!AE:AE,Tabela11[[#This Row],[Tag do Cabo]],'Lançamento de Cabos'!AG:AG)</f>
        <v>2</v>
      </c>
      <c r="S224" s="28">
        <f>Tabela11[[#This Row],[Ligações Realizadas]]/Tabela11[[#This Row],[Qtde Ligações]]</f>
        <v>1</v>
      </c>
      <c r="T224" s="272">
        <v>1</v>
      </c>
      <c r="U224" s="273">
        <v>1</v>
      </c>
      <c r="V224" s="222"/>
    </row>
    <row r="225" spans="1:22" hidden="1" x14ac:dyDescent="0.25">
      <c r="A225" s="34" t="s">
        <v>1362</v>
      </c>
      <c r="B225" s="391" t="str">
        <f>VLOOKUP(Tabela11[[#This Row],[Tag do Cabo]],BD!A:AJ,2,0)</f>
        <v>Controle</v>
      </c>
      <c r="C225" s="3" t="str">
        <f>VLOOKUP(Tabela11[[#This Row],[Tag do Cabo]],BD!A:AJ,5,0)</f>
        <v>1P x 1,0mm2 + Shield</v>
      </c>
      <c r="D225" s="391" t="s">
        <v>1542</v>
      </c>
      <c r="E225" s="391" t="str">
        <f>VLOOKUP(Tabela11[[#This Row],[Tag do Cabo]],BD!A:T,20,0)</f>
        <v>BK-SP54-00350-LC-80-00059_00000</v>
      </c>
      <c r="F225" s="3" t="str">
        <f>IF(VLOOKUP(Tabela11[[#This Row],[Tag do Cabo]],BD!A:AJ,35,0)=0,"Pendente",VLOOKUP(Tabela11[[#This Row],[Tag do Cabo]],BD!A:AJ,35,0))</f>
        <v>BK-SP54-00350-DI-80-00482</v>
      </c>
      <c r="G225" s="3">
        <f>IF(VLOOKUP(Tabela11[[#This Row],[Tag do Cabo]],BD!A:AJ,36,0)=0,"Pendente",VLOOKUP(Tabela11[[#This Row],[Tag do Cabo]],BD!A:AJ,36,0))</f>
        <v>1</v>
      </c>
      <c r="H225" s="391" t="str">
        <f>VLOOKUP(Tabela11[[#This Row],[Tag do Cabo]],BD!A:AJ,32,0)</f>
        <v>GB-351</v>
      </c>
      <c r="I225" s="7" t="str">
        <f>VLOOKUP(Tabela11[[#This Row],[Tag do Cabo]],BD!A:AJ,11,0)</f>
        <v>ROV-3801</v>
      </c>
      <c r="J225" s="3" t="str">
        <f>VLOOKUP(Tabela11[[#This Row],[Tag do Cabo]],BD!A:AJ,12,0)</f>
        <v>PAINEL PI-59 - SEÇÃO 3</v>
      </c>
      <c r="K225" s="391" t="s">
        <v>1574</v>
      </c>
      <c r="L225" s="391" t="s">
        <v>1614</v>
      </c>
      <c r="M225" s="3" t="str">
        <f>CONCATENATE(Tabela11[[#This Row],[Painel 1]]&amp;" "&amp;Tabela11[[#This Row],[Painel 2]])</f>
        <v>INSTRUMENTO PI-59</v>
      </c>
      <c r="N225" s="157">
        <v>4</v>
      </c>
      <c r="O225" s="391">
        <f>COUNTIF(Tabela12[Tag Cabo],Tabela11[[#This Row],[Tag do Cabo]])</f>
        <v>4</v>
      </c>
      <c r="P225" s="391" t="str">
        <f>IF(Tabela11[[#This Row],[Qtde Ligações]]&lt;&gt;Tabela11[[#This Row],[Qtde Anilhas]],"Ver","Ok")</f>
        <v>Ok</v>
      </c>
      <c r="Q225" s="391">
        <f>VLOOKUP(Tabela11[[#This Row],[Tag do Cabo]],BD!A:F,6,0)</f>
        <v>1</v>
      </c>
      <c r="R225" s="391">
        <f>SUMIF('Lançamento de Cabos'!AE:AE,Tabela11[[#This Row],[Tag do Cabo]],'Lançamento de Cabos'!AG:AG)</f>
        <v>0</v>
      </c>
      <c r="S225" s="28">
        <f>Tabela11[[#This Row],[Ligações Realizadas]]/Tabela11[[#This Row],[Qtde Ligações]]</f>
        <v>0</v>
      </c>
      <c r="T225" s="269">
        <f>IF(Tabela11[[#This Row],[Ligações Realizadas]]/Tabela11[[#This Row],[Qtde Ligações]]=0,0,IF(Tabela11[[#This Row],[Ligações Realizadas]]/Tabela11[[#This Row],[Qtde Ligações]]=1,ROUND(N225/2,0),"Ver Painel"))</f>
        <v>0</v>
      </c>
      <c r="U225" s="23">
        <f>IF(Tabela11[[#This Row],[Ligações Realizadas]]/Tabela11[[#This Row],[Qtde Ligações]]=0,0,IF(Tabela11[[#This Row],[Ligações Realizadas]]/Tabela11[[#This Row],[Qtde Ligações]]=1,ROUND(N225/2,0),"Ver Painel"))</f>
        <v>0</v>
      </c>
      <c r="V225" s="222"/>
    </row>
    <row r="226" spans="1:22" hidden="1" x14ac:dyDescent="0.25">
      <c r="A226" s="34" t="s">
        <v>1342</v>
      </c>
      <c r="B226" s="391" t="str">
        <f>VLOOKUP(Tabela11[[#This Row],[Tag do Cabo]],BD!A:AJ,2,0)</f>
        <v>Controle</v>
      </c>
      <c r="C226" s="3" t="str">
        <f>VLOOKUP(Tabela11[[#This Row],[Tag do Cabo]],BD!A:AJ,5,0)</f>
        <v xml:space="preserve">1P#1,5mm²+SHI </v>
      </c>
      <c r="D226" s="391" t="s">
        <v>1533</v>
      </c>
      <c r="E226" s="391" t="str">
        <f>VLOOKUP(Tabela11[[#This Row],[Tag do Cabo]],BD!A:T,20,0)</f>
        <v>BK-SP54-0900A-LC-80-00186_00000</v>
      </c>
      <c r="F226" s="3" t="str">
        <f>IF(VLOOKUP(Tabela11[[#This Row],[Tag do Cabo]],BD!A:AJ,35,0)=0,"Pendente",VLOOKUP(Tabela11[[#This Row],[Tag do Cabo]],BD!A:AJ,35,0))</f>
        <v>BK-SP54-0900A-DI-80-01647</v>
      </c>
      <c r="G226" s="3" t="str">
        <f>IF(VLOOKUP(Tabela11[[#This Row],[Tag do Cabo]],BD!A:AJ,36,0)=0,"Pendente",VLOOKUP(Tabela11[[#This Row],[Tag do Cabo]],BD!A:AJ,36,0))</f>
        <v>7</v>
      </c>
      <c r="H226" s="391" t="str">
        <f>VLOOKUP(Tabela11[[#This Row],[Tag do Cabo]],BD!A:AJ,32,0)</f>
        <v>GA-9312/S</v>
      </c>
      <c r="I226" s="7" t="str">
        <f>VLOOKUP(Tabela11[[#This Row],[Tag do Cabo]],BD!A:AJ,11,0)</f>
        <v>SOV-90176</v>
      </c>
      <c r="J226" s="3" t="str">
        <f>VLOOKUP(Tabela11[[#This Row],[Tag do Cabo]],BD!A:AJ,12,0)</f>
        <v>JBDI-90-111</v>
      </c>
      <c r="K226" s="391" t="s">
        <v>1574</v>
      </c>
      <c r="L226" s="391" t="s">
        <v>1233</v>
      </c>
      <c r="M226" s="3" t="str">
        <f>CONCATENATE(Tabela11[[#This Row],[Painel 1]]&amp;" "&amp;Tabela11[[#This Row],[Painel 2]])</f>
        <v>INSTRUMENTO JBDI-90-111</v>
      </c>
      <c r="N226" s="157">
        <v>4</v>
      </c>
      <c r="O226" s="391">
        <f>COUNTIF(Tabela12[Tag Cabo],Tabela11[[#This Row],[Tag do Cabo]])</f>
        <v>4</v>
      </c>
      <c r="P226" s="391" t="str">
        <f>IF(Tabela11[[#This Row],[Qtde Ligações]]&lt;&gt;Tabela11[[#This Row],[Qtde Anilhas]],"Ver","Ok")</f>
        <v>Ok</v>
      </c>
      <c r="Q226" s="391">
        <f>VLOOKUP(Tabela11[[#This Row],[Tag do Cabo]],BD!A:F,6,0)</f>
        <v>1.5</v>
      </c>
      <c r="R226" s="391">
        <f>SUMIF('Lançamento de Cabos'!AE:AE,Tabela11[[#This Row],[Tag do Cabo]],'Lançamento de Cabos'!AG:AG)</f>
        <v>0</v>
      </c>
      <c r="S226" s="28">
        <f>Tabela11[[#This Row],[Ligações Realizadas]]/Tabela11[[#This Row],[Qtde Ligações]]</f>
        <v>0</v>
      </c>
      <c r="T226" s="269">
        <f>IF(Tabela11[[#This Row],[Ligações Realizadas]]/Tabela11[[#This Row],[Qtde Ligações]]=0,0,IF(Tabela11[[#This Row],[Ligações Realizadas]]/Tabela11[[#This Row],[Qtde Ligações]]=1,ROUND(N226/2,0),"Ver Painel"))</f>
        <v>0</v>
      </c>
      <c r="U226" s="23">
        <f>IF(Tabela11[[#This Row],[Ligações Realizadas]]/Tabela11[[#This Row],[Qtde Ligações]]=0,0,IF(Tabela11[[#This Row],[Ligações Realizadas]]/Tabela11[[#This Row],[Qtde Ligações]]=1,ROUND(N226/2,0),"Ver Painel"))</f>
        <v>0</v>
      </c>
      <c r="V226" s="222"/>
    </row>
    <row r="227" spans="1:22" hidden="1" x14ac:dyDescent="0.25">
      <c r="A227" s="34" t="s">
        <v>502</v>
      </c>
      <c r="B227" s="391" t="str">
        <f>VLOOKUP(Tabela11[[#This Row],[Tag do Cabo]],BD!A:AJ,2,0)</f>
        <v>Força</v>
      </c>
      <c r="C227" s="3" t="str">
        <f>VLOOKUP(Tabela11[[#This Row],[Tag do Cabo]],BD!A:AJ,5,0)</f>
        <v>1x1x3/C#2,5</v>
      </c>
      <c r="D227" s="391" t="s">
        <v>1542</v>
      </c>
      <c r="E227" s="391" t="str">
        <f>VLOOKUP(Tabela11[[#This Row],[Tag do Cabo]],BD!A:T,20,0)</f>
        <v>E5WP000490-C-001-LC003</v>
      </c>
      <c r="F227" s="3" t="str">
        <f>IF(VLOOKUP(Tabela11[[#This Row],[Tag do Cabo]],BD!A:AJ,35,0)=0,"Pendente",VLOOKUP(Tabela11[[#This Row],[Tag do Cabo]],BD!A:AJ,35,0))</f>
        <v>E5WP000490-C-002-DE003</v>
      </c>
      <c r="G227" s="3" t="str">
        <f>IF(VLOOKUP(Tabela11[[#This Row],[Tag do Cabo]],BD!A:AJ,36,0)=0,"Pendente",VLOOKUP(Tabela11[[#This Row],[Tag do Cabo]],BD!A:AJ,36,0))</f>
        <v>6</v>
      </c>
      <c r="H227" s="391" t="str">
        <f>VLOOKUP(Tabela11[[#This Row],[Tag do Cabo]],BD!A:AJ,32,0)</f>
        <v>7HV</v>
      </c>
      <c r="I227" s="7" t="str">
        <f>VLOOKUP(Tabela11[[#This Row],[Tag do Cabo]],BD!A:AJ,11,0)</f>
        <v>CELLAR AREA (TR-05A)</v>
      </c>
      <c r="J227" s="3" t="str">
        <f>VLOOKUP(Tabela11[[#This Row],[Tag do Cabo]],BD!A:AJ,12,0)</f>
        <v>CELLAR AREA (TR-05B)</v>
      </c>
      <c r="K227" s="391" t="s">
        <v>1615</v>
      </c>
      <c r="L227" s="391" t="s">
        <v>1616</v>
      </c>
      <c r="M227" s="3" t="str">
        <f>CONCATENATE(Tabela11[[#This Row],[Painel 1]]&amp;" "&amp;Tabela11[[#This Row],[Painel 2]])</f>
        <v>TR-05A TR-05B</v>
      </c>
      <c r="N227" s="157">
        <v>6</v>
      </c>
      <c r="O227" s="391" t="s">
        <v>92</v>
      </c>
      <c r="P227" s="391" t="s">
        <v>1550</v>
      </c>
      <c r="Q227" s="391">
        <f>VLOOKUP(Tabela11[[#This Row],[Tag do Cabo]],BD!A:F,6,0)</f>
        <v>2.5</v>
      </c>
      <c r="R227" s="391">
        <f>SUMIF('Lançamento de Cabos'!AE:AE,Tabela11[[#This Row],[Tag do Cabo]],'Lançamento de Cabos'!AG:AG)</f>
        <v>6</v>
      </c>
      <c r="S227" s="28">
        <f>Tabela11[[#This Row],[Ligações Realizadas]]/Tabela11[[#This Row],[Qtde Ligações]]</f>
        <v>1</v>
      </c>
      <c r="T227" s="272">
        <f>IF(Tabela11[[#This Row],[Ligações Realizadas]]/Tabela11[[#This Row],[Qtde Ligações]]=0,0,IF(Tabela11[[#This Row],[Ligações Realizadas]]/Tabela11[[#This Row],[Qtde Ligações]]=1,ROUND(N227/2,0),"Ver Painel"))</f>
        <v>3</v>
      </c>
      <c r="U227" s="273">
        <f>IF(Tabela11[[#This Row],[Ligações Realizadas]]/Tabela11[[#This Row],[Qtde Ligações]]=0,0,IF(Tabela11[[#This Row],[Ligações Realizadas]]/Tabela11[[#This Row],[Qtde Ligações]]=1,ROUND(N227/2,0),"Ver Painel"))</f>
        <v>3</v>
      </c>
      <c r="V227" s="222"/>
    </row>
    <row r="228" spans="1:22" hidden="1" x14ac:dyDescent="0.25">
      <c r="A228" s="34" t="s">
        <v>506</v>
      </c>
      <c r="B228" s="391" t="str">
        <f>VLOOKUP(Tabela11[[#This Row],[Tag do Cabo]],BD!A:AJ,2,0)</f>
        <v>Força</v>
      </c>
      <c r="C228" s="3" t="str">
        <f>VLOOKUP(Tabela11[[#This Row],[Tag do Cabo]],BD!A:AJ,5,0)</f>
        <v>1x1x3/C#2,5</v>
      </c>
      <c r="D228" s="391" t="s">
        <v>1542</v>
      </c>
      <c r="E228" s="391" t="str">
        <f>VLOOKUP(Tabela11[[#This Row],[Tag do Cabo]],BD!A:T,20,0)</f>
        <v>E5WP000490-C-001-LC003</v>
      </c>
      <c r="F228" s="3" t="str">
        <f>IF(VLOOKUP(Tabela11[[#This Row],[Tag do Cabo]],BD!A:AJ,35,0)=0,"Pendente",VLOOKUP(Tabela11[[#This Row],[Tag do Cabo]],BD!A:AJ,35,0))</f>
        <v>E5WP000490-C-002-DE003</v>
      </c>
      <c r="G228" s="3" t="str">
        <f>IF(VLOOKUP(Tabela11[[#This Row],[Tag do Cabo]],BD!A:AJ,36,0)=0,"Pendente",VLOOKUP(Tabela11[[#This Row],[Tag do Cabo]],BD!A:AJ,36,0))</f>
        <v>6</v>
      </c>
      <c r="H228" s="391" t="str">
        <f>VLOOKUP(Tabela11[[#This Row],[Tag do Cabo]],BD!A:AJ,32,0)</f>
        <v>7HV</v>
      </c>
      <c r="I228" s="7" t="str">
        <f>VLOOKUP(Tabela11[[#This Row],[Tag do Cabo]],BD!A:AJ,11,0)</f>
        <v>CELLAR AREA (TR-09A)</v>
      </c>
      <c r="J228" s="3" t="str">
        <f>VLOOKUP(Tabela11[[#This Row],[Tag do Cabo]],BD!A:AJ,12,0)</f>
        <v>CELLAR AREA (TR-09B)</v>
      </c>
      <c r="K228" s="391" t="s">
        <v>1553</v>
      </c>
      <c r="L228" s="391" t="s">
        <v>1554</v>
      </c>
      <c r="M228" s="3" t="str">
        <f>CONCATENATE(Tabela11[[#This Row],[Painel 1]]&amp;" "&amp;Tabela11[[#This Row],[Painel 2]])</f>
        <v>TR-09A TR-09B</v>
      </c>
      <c r="N228" s="157">
        <v>6</v>
      </c>
      <c r="O228" s="391" t="s">
        <v>92</v>
      </c>
      <c r="P228" s="391" t="s">
        <v>1550</v>
      </c>
      <c r="Q228" s="391">
        <f>VLOOKUP(Tabela11[[#This Row],[Tag do Cabo]],BD!A:F,6,0)</f>
        <v>2.5</v>
      </c>
      <c r="R228" s="391">
        <f>SUMIF('Lançamento de Cabos'!AE:AE,Tabela11[[#This Row],[Tag do Cabo]],'Lançamento de Cabos'!AG:AG)</f>
        <v>6</v>
      </c>
      <c r="S228" s="28">
        <f>Tabela11[[#This Row],[Ligações Realizadas]]/Tabela11[[#This Row],[Qtde Ligações]]</f>
        <v>1</v>
      </c>
      <c r="T228" s="272">
        <f>IF(Tabela11[[#This Row],[Ligações Realizadas]]/Tabela11[[#This Row],[Qtde Ligações]]=0,0,IF(Tabela11[[#This Row],[Ligações Realizadas]]/Tabela11[[#This Row],[Qtde Ligações]]=1,ROUND(N228/2,0),"Ver Painel"))</f>
        <v>3</v>
      </c>
      <c r="U228" s="273">
        <f>IF(Tabela11[[#This Row],[Ligações Realizadas]]/Tabela11[[#This Row],[Qtde Ligações]]=0,0,IF(Tabela11[[#This Row],[Ligações Realizadas]]/Tabela11[[#This Row],[Qtde Ligações]]=1,ROUND(N228/2,0),"Ver Painel"))</f>
        <v>3</v>
      </c>
      <c r="V228" s="222"/>
    </row>
    <row r="229" spans="1:22" hidden="1" x14ac:dyDescent="0.25">
      <c r="A229" s="34" t="s">
        <v>507</v>
      </c>
      <c r="B229" s="391" t="str">
        <f>VLOOKUP(Tabela11[[#This Row],[Tag do Cabo]],BD!A:AJ,2,0)</f>
        <v>Força</v>
      </c>
      <c r="C229" s="3" t="str">
        <f>VLOOKUP(Tabela11[[#This Row],[Tag do Cabo]],BD!A:AJ,5,0)</f>
        <v>1x1x3/C#2,5</v>
      </c>
      <c r="D229" s="391" t="s">
        <v>1542</v>
      </c>
      <c r="E229" s="391" t="str">
        <f>VLOOKUP(Tabela11[[#This Row],[Tag do Cabo]],BD!A:T,20,0)</f>
        <v>E5WP000490-C-001-LC003</v>
      </c>
      <c r="F229" s="3" t="str">
        <f>IF(VLOOKUP(Tabela11[[#This Row],[Tag do Cabo]],BD!A:AJ,35,0)=0,"Pendente",VLOOKUP(Tabela11[[#This Row],[Tag do Cabo]],BD!A:AJ,35,0))</f>
        <v>E5WP000490-C-002-DE003</v>
      </c>
      <c r="G229" s="3" t="str">
        <f>IF(VLOOKUP(Tabela11[[#This Row],[Tag do Cabo]],BD!A:AJ,36,0)=0,"Pendente",VLOOKUP(Tabela11[[#This Row],[Tag do Cabo]],BD!A:AJ,36,0))</f>
        <v>7</v>
      </c>
      <c r="H229" s="391" t="str">
        <f>VLOOKUP(Tabela11[[#This Row],[Tag do Cabo]],BD!A:AJ,32,0)</f>
        <v>7HV</v>
      </c>
      <c r="I229" s="7" t="str">
        <f>VLOOKUP(Tabela11[[#This Row],[Tag do Cabo]],BD!A:AJ,11,0)</f>
        <v>CELLAR AREA (TR-24A)</v>
      </c>
      <c r="J229" s="3" t="str">
        <f>VLOOKUP(Tabela11[[#This Row],[Tag do Cabo]],BD!A:AJ,12,0)</f>
        <v>CELLAR AREA (TR-24B)</v>
      </c>
      <c r="K229" s="391" t="s">
        <v>1557</v>
      </c>
      <c r="L229" s="391" t="s">
        <v>1558</v>
      </c>
      <c r="M229" s="3" t="str">
        <f>CONCATENATE(Tabela11[[#This Row],[Painel 1]]&amp;" "&amp;Tabela11[[#This Row],[Painel 2]])</f>
        <v>TR-24A TR-24B</v>
      </c>
      <c r="N229" s="157">
        <v>6</v>
      </c>
      <c r="O229" s="391" t="s">
        <v>92</v>
      </c>
      <c r="P229" s="391" t="s">
        <v>1550</v>
      </c>
      <c r="Q229" s="391">
        <f>VLOOKUP(Tabela11[[#This Row],[Tag do Cabo]],BD!A:F,6,0)</f>
        <v>2.5</v>
      </c>
      <c r="R229" s="391">
        <f>SUMIF('Lançamento de Cabos'!AE:AE,Tabela11[[#This Row],[Tag do Cabo]],'Lançamento de Cabos'!AG:AG)</f>
        <v>6</v>
      </c>
      <c r="S229" s="28">
        <f>Tabela11[[#This Row],[Ligações Realizadas]]/Tabela11[[#This Row],[Qtde Ligações]]</f>
        <v>1</v>
      </c>
      <c r="T229" s="272">
        <f>IF(Tabela11[[#This Row],[Ligações Realizadas]]/Tabela11[[#This Row],[Qtde Ligações]]=0,0,IF(Tabela11[[#This Row],[Ligações Realizadas]]/Tabela11[[#This Row],[Qtde Ligações]]=1,ROUND(N229/2,0),"Ver Painel"))</f>
        <v>3</v>
      </c>
      <c r="U229" s="273">
        <f>IF(Tabela11[[#This Row],[Ligações Realizadas]]/Tabela11[[#This Row],[Qtde Ligações]]=0,0,IF(Tabela11[[#This Row],[Ligações Realizadas]]/Tabela11[[#This Row],[Qtde Ligações]]=1,ROUND(N229/2,0),"Ver Painel"))</f>
        <v>3</v>
      </c>
      <c r="V229" s="222"/>
    </row>
    <row r="230" spans="1:22" hidden="1" x14ac:dyDescent="0.25">
      <c r="A230" s="34" t="s">
        <v>508</v>
      </c>
      <c r="B230" s="391" t="str">
        <f>VLOOKUP(Tabela11[[#This Row],[Tag do Cabo]],BD!A:AJ,2,0)</f>
        <v>Força</v>
      </c>
      <c r="C230" s="3" t="str">
        <f>VLOOKUP(Tabela11[[#This Row],[Tag do Cabo]],BD!A:AJ,5,0)</f>
        <v>1x1x3/C#2,5</v>
      </c>
      <c r="D230" s="391" t="s">
        <v>1542</v>
      </c>
      <c r="E230" s="391" t="str">
        <f>VLOOKUP(Tabela11[[#This Row],[Tag do Cabo]],BD!A:T,20,0)</f>
        <v>E5WP000490-C-001-LC003</v>
      </c>
      <c r="F230" s="3" t="str">
        <f>IF(VLOOKUP(Tabela11[[#This Row],[Tag do Cabo]],BD!A:AJ,35,0)=0,"Pendente",VLOOKUP(Tabela11[[#This Row],[Tag do Cabo]],BD!A:AJ,35,0))</f>
        <v>E5WP000490-C-002-DE003</v>
      </c>
      <c r="G230" s="3" t="str">
        <f>IF(VLOOKUP(Tabela11[[#This Row],[Tag do Cabo]],BD!A:AJ,36,0)=0,"Pendente",VLOOKUP(Tabela11[[#This Row],[Tag do Cabo]],BD!A:AJ,36,0))</f>
        <v>7</v>
      </c>
      <c r="H230" s="391" t="str">
        <f>VLOOKUP(Tabela11[[#This Row],[Tag do Cabo]],BD!A:AJ,32,0)</f>
        <v>7HV</v>
      </c>
      <c r="I230" s="7" t="str">
        <f>VLOOKUP(Tabela11[[#This Row],[Tag do Cabo]],BD!A:AJ,11,0)</f>
        <v>CELLAR AREA (TR-26A)</v>
      </c>
      <c r="J230" s="3" t="str">
        <f>VLOOKUP(Tabela11[[#This Row],[Tag do Cabo]],BD!A:AJ,12,0)</f>
        <v>CELLAR AREA (TR-26B)</v>
      </c>
      <c r="K230" s="391" t="s">
        <v>1559</v>
      </c>
      <c r="L230" s="391" t="s">
        <v>1560</v>
      </c>
      <c r="M230" s="3" t="str">
        <f>CONCATENATE(Tabela11[[#This Row],[Painel 1]]&amp;" "&amp;Tabela11[[#This Row],[Painel 2]])</f>
        <v>TR-26A TR-26B</v>
      </c>
      <c r="N230" s="157">
        <v>6</v>
      </c>
      <c r="O230" s="391" t="s">
        <v>92</v>
      </c>
      <c r="P230" s="391" t="s">
        <v>1550</v>
      </c>
      <c r="Q230" s="391">
        <f>VLOOKUP(Tabela11[[#This Row],[Tag do Cabo]],BD!A:F,6,0)</f>
        <v>2.5</v>
      </c>
      <c r="R230" s="391">
        <f>SUMIF('Lançamento de Cabos'!AE:AE,Tabela11[[#This Row],[Tag do Cabo]],'Lançamento de Cabos'!AG:AG)</f>
        <v>6</v>
      </c>
      <c r="S230" s="28">
        <f>Tabela11[[#This Row],[Ligações Realizadas]]/Tabela11[[#This Row],[Qtde Ligações]]</f>
        <v>1</v>
      </c>
      <c r="T230" s="272">
        <f>IF(Tabela11[[#This Row],[Ligações Realizadas]]/Tabela11[[#This Row],[Qtde Ligações]]=0,0,IF(Tabela11[[#This Row],[Ligações Realizadas]]/Tabela11[[#This Row],[Qtde Ligações]]=1,ROUND(N230/2,0),"Ver Painel"))</f>
        <v>3</v>
      </c>
      <c r="U230" s="273">
        <f>IF(Tabela11[[#This Row],[Ligações Realizadas]]/Tabela11[[#This Row],[Qtde Ligações]]=0,0,IF(Tabela11[[#This Row],[Ligações Realizadas]]/Tabela11[[#This Row],[Qtde Ligações]]=1,ROUND(N230/2,0),"Ver Painel"))</f>
        <v>3</v>
      </c>
      <c r="V230" s="222"/>
    </row>
    <row r="231" spans="1:22" hidden="1" x14ac:dyDescent="0.25">
      <c r="A231" s="34" t="s">
        <v>854</v>
      </c>
      <c r="B231" s="391" t="str">
        <f>VLOOKUP(Tabela11[[#This Row],[Tag do Cabo]],BD!A:AJ,2,0)</f>
        <v>Força</v>
      </c>
      <c r="C231" s="3" t="str">
        <f>VLOOKUP(Tabela11[[#This Row],[Tag do Cabo]],BD!A:AJ,5,0)</f>
        <v>1x2/C#4</v>
      </c>
      <c r="D231" s="391" t="s">
        <v>1533</v>
      </c>
      <c r="E231" s="391" t="str">
        <f>VLOOKUP(Tabela11[[#This Row],[Tag do Cabo]],BD!A:T,20,0)</f>
        <v>BK-SP54-0900A-LC-74-00001_00000</v>
      </c>
      <c r="F231" s="222" t="str">
        <f>IF(VLOOKUP(Tabela11[[#This Row],[Tag do Cabo]],BD!A:AJ,35,0)=0,"Pendente",VLOOKUP(Tabela11[[#This Row],[Tag do Cabo]],BD!A:AJ,35,0))</f>
        <v>BK-SP54-0900B-DI-70-00451</v>
      </c>
      <c r="G231" s="3" t="str">
        <f>IF(VLOOKUP(Tabela11[[#This Row],[Tag do Cabo]],BD!A:AJ,36,0)=0,"Pendente",VLOOKUP(Tabela11[[#This Row],[Tag do Cabo]],BD!A:AJ,36,0))</f>
        <v>5</v>
      </c>
      <c r="H231" s="391" t="str">
        <f>VLOOKUP(Tabela11[[#This Row],[Tag do Cabo]],BD!A:AJ,32,0)</f>
        <v>8HV</v>
      </c>
      <c r="I231" s="7" t="str">
        <f>VLOOKUP(Tabela11[[#This Row],[Tag do Cabo]],BD!A:AJ,11,0)</f>
        <v>TCC-33 - PAINEL CA 220-127V</v>
      </c>
      <c r="J231" s="3" t="str">
        <f>VLOOKUP(Tabela11[[#This Row],[Tag do Cabo]],BD!A:AJ,12,0)</f>
        <v>PAINEL 8HV</v>
      </c>
      <c r="K231" s="391" t="s">
        <v>1617</v>
      </c>
      <c r="L231" s="391" t="s">
        <v>856</v>
      </c>
      <c r="M231" s="3" t="str">
        <f>CONCATENATE(Tabela11[[#This Row],[Painel 1]]&amp;" "&amp;Tabela11[[#This Row],[Painel 2]])</f>
        <v>TCC-33 PAINEL 8HV</v>
      </c>
      <c r="N231" s="157">
        <v>4</v>
      </c>
      <c r="O231" s="391">
        <f>COUNTIF(Tabela12[Tag Cabo],Tabela11[[#This Row],[Tag do Cabo]])</f>
        <v>4</v>
      </c>
      <c r="P231" s="391" t="str">
        <f>IF(Tabela11[[#This Row],[Qtde Ligações]]&lt;&gt;Tabela11[[#This Row],[Qtde Anilhas]],"Ver","Ok")</f>
        <v>Ok</v>
      </c>
      <c r="Q231" s="391">
        <f>VLOOKUP(Tabela11[[#This Row],[Tag do Cabo]],BD!A:F,6,0)</f>
        <v>4</v>
      </c>
      <c r="R231" s="391">
        <f>SUMIF('Lançamento de Cabos'!AE:AE,Tabela11[[#This Row],[Tag do Cabo]],'Lançamento de Cabos'!AG:AG)</f>
        <v>4</v>
      </c>
      <c r="S231" s="28">
        <f>Tabela11[[#This Row],[Ligações Realizadas]]/Tabela11[[#This Row],[Qtde Ligações]]</f>
        <v>1</v>
      </c>
      <c r="T231" s="272">
        <f>IF(Tabela11[[#This Row],[Ligações Realizadas]]/Tabela11[[#This Row],[Qtde Ligações]]=0,0,IF(Tabela11[[#This Row],[Ligações Realizadas]]/Tabela11[[#This Row],[Qtde Ligações]]=1,ROUND(N231/2,0),"Ver Painel"))</f>
        <v>2</v>
      </c>
      <c r="U231" s="273">
        <f>IF(Tabela11[[#This Row],[Ligações Realizadas]]/Tabela11[[#This Row],[Qtde Ligações]]=0,0,IF(Tabela11[[#This Row],[Ligações Realizadas]]/Tabela11[[#This Row],[Qtde Ligações]]=1,ROUND(N231/2,0),"Ver Painel"))</f>
        <v>2</v>
      </c>
      <c r="V231" s="222"/>
    </row>
    <row r="232" spans="1:22" hidden="1" x14ac:dyDescent="0.25">
      <c r="A232" s="34" t="s">
        <v>858</v>
      </c>
      <c r="B232" s="391" t="str">
        <f>VLOOKUP(Tabela11[[#This Row],[Tag do Cabo]],BD!A:AJ,2,0)</f>
        <v>Força</v>
      </c>
      <c r="C232" s="3" t="str">
        <f>VLOOKUP(Tabela11[[#This Row],[Tag do Cabo]],BD!A:AJ,5,0)</f>
        <v>1x2/C#4</v>
      </c>
      <c r="D232" s="391" t="s">
        <v>1533</v>
      </c>
      <c r="E232" s="391" t="str">
        <f>VLOOKUP(Tabela11[[#This Row],[Tag do Cabo]],BD!A:T,20,0)</f>
        <v>BK-SP54-0900A-LC-74-00001_00000</v>
      </c>
      <c r="F232" s="222" t="str">
        <f>IF(VLOOKUP(Tabela11[[#This Row],[Tag do Cabo]],BD!A:AJ,35,0)=0,"Pendente",VLOOKUP(Tabela11[[#This Row],[Tag do Cabo]],BD!A:AJ,35,0))</f>
        <v>BK-SP54-0900B-DI-70-00451</v>
      </c>
      <c r="G232" s="3" t="str">
        <f>IF(VLOOKUP(Tabela11[[#This Row],[Tag do Cabo]],BD!A:AJ,36,0)=0,"Pendente",VLOOKUP(Tabela11[[#This Row],[Tag do Cabo]],BD!A:AJ,36,0))</f>
        <v>5</v>
      </c>
      <c r="H232" s="391" t="str">
        <f>VLOOKUP(Tabela11[[#This Row],[Tag do Cabo]],BD!A:AJ,32,0)</f>
        <v>8HV</v>
      </c>
      <c r="I232" s="7" t="str">
        <f>VLOOKUP(Tabela11[[#This Row],[Tag do Cabo]],BD!A:AJ,11,0)</f>
        <v>TCC-33 - PAINEL CA 220-127V</v>
      </c>
      <c r="J232" s="3" t="str">
        <f>VLOOKUP(Tabela11[[#This Row],[Tag do Cabo]],BD!A:AJ,12,0)</f>
        <v>BCH19-8HV - RETIFICADOR</v>
      </c>
      <c r="K232" s="391" t="s">
        <v>1617</v>
      </c>
      <c r="L232" s="391" t="s">
        <v>1564</v>
      </c>
      <c r="M232" s="3" t="str">
        <f>CONCATENATE(Tabela11[[#This Row],[Painel 1]]&amp;" "&amp;Tabela11[[#This Row],[Painel 2]])</f>
        <v>TCC-33 BCH-19</v>
      </c>
      <c r="N232" s="157">
        <v>4</v>
      </c>
      <c r="O232" s="391">
        <f>COUNTIF(Tabela12[Tag Cabo],Tabela11[[#This Row],[Tag do Cabo]])</f>
        <v>4</v>
      </c>
      <c r="P232" s="391" t="str">
        <f>IF(Tabela11[[#This Row],[Qtde Ligações]]&lt;&gt;Tabela11[[#This Row],[Qtde Anilhas]],"Ver","Ok")</f>
        <v>Ok</v>
      </c>
      <c r="Q232" s="391">
        <f>VLOOKUP(Tabela11[[#This Row],[Tag do Cabo]],BD!A:F,6,0)</f>
        <v>4</v>
      </c>
      <c r="R232" s="391">
        <f>SUMIF('Lançamento de Cabos'!AE:AE,Tabela11[[#This Row],[Tag do Cabo]],'Lançamento de Cabos'!AG:AG)</f>
        <v>4</v>
      </c>
      <c r="S232" s="28">
        <f>Tabela11[[#This Row],[Ligações Realizadas]]/Tabela11[[#This Row],[Qtde Ligações]]</f>
        <v>1</v>
      </c>
      <c r="T232" s="272">
        <f>IF(Tabela11[[#This Row],[Ligações Realizadas]]/Tabela11[[#This Row],[Qtde Ligações]]=0,0,IF(Tabela11[[#This Row],[Ligações Realizadas]]/Tabela11[[#This Row],[Qtde Ligações]]=1,ROUND(N232/2,0),"Ver Painel"))</f>
        <v>2</v>
      </c>
      <c r="U232" s="273">
        <f>IF(Tabela11[[#This Row],[Ligações Realizadas]]/Tabela11[[#This Row],[Qtde Ligações]]=0,0,IF(Tabela11[[#This Row],[Ligações Realizadas]]/Tabela11[[#This Row],[Qtde Ligações]]=1,ROUND(N232/2,0),"Ver Painel"))</f>
        <v>2</v>
      </c>
      <c r="V232" s="222"/>
    </row>
    <row r="233" spans="1:22" hidden="1" x14ac:dyDescent="0.25">
      <c r="A233" s="169" t="s">
        <v>860</v>
      </c>
      <c r="B233" s="391" t="str">
        <f>VLOOKUP(Tabela11[[#This Row],[Tag do Cabo]],BD!A:AJ,2,0)</f>
        <v>Força</v>
      </c>
      <c r="C233" s="3" t="str">
        <f>VLOOKUP(Tabela11[[#This Row],[Tag do Cabo]],BD!A:AJ,5,0)</f>
        <v>1x2/C#4</v>
      </c>
      <c r="D233" s="391" t="s">
        <v>1533</v>
      </c>
      <c r="E233" s="391" t="str">
        <f>VLOOKUP(Tabela11[[#This Row],[Tag do Cabo]],BD!A:T,20,0)</f>
        <v>BK-SP54-0900A-LC-74-00001_00000</v>
      </c>
      <c r="F233" s="222" t="str">
        <f>IF(VLOOKUP(Tabela11[[#This Row],[Tag do Cabo]],BD!A:AJ,35,0)=0,"Pendente",VLOOKUP(Tabela11[[#This Row],[Tag do Cabo]],BD!A:AJ,35,0))</f>
        <v>BK-SP54-0900B-DI-70-00451</v>
      </c>
      <c r="G233" s="3" t="str">
        <f>IF(VLOOKUP(Tabela11[[#This Row],[Tag do Cabo]],BD!A:AJ,36,0)=0,"Pendente",VLOOKUP(Tabela11[[#This Row],[Tag do Cabo]],BD!A:AJ,36,0))</f>
        <v>5</v>
      </c>
      <c r="H233" s="391" t="str">
        <f>VLOOKUP(Tabela11[[#This Row],[Tag do Cabo]],BD!A:AJ,32,0)</f>
        <v>8HV</v>
      </c>
      <c r="I233" s="7" t="str">
        <f>VLOOKUP(Tabela11[[#This Row],[Tag do Cabo]],BD!A:AJ,11,0)</f>
        <v>TCC-33 - PAINEL CA 220-127V</v>
      </c>
      <c r="J233" s="3" t="str">
        <f>VLOOKUP(Tabela11[[#This Row],[Tag do Cabo]],BD!A:AJ,12,0)</f>
        <v>BCH18-POT-8HV - PAINEL DA BATERIA</v>
      </c>
      <c r="K233" s="391" t="s">
        <v>1617</v>
      </c>
      <c r="L233" s="391" t="s">
        <v>1564</v>
      </c>
      <c r="M233" s="3" t="str">
        <f>CONCATENATE(Tabela11[[#This Row],[Painel 1]]&amp;" "&amp;Tabela11[[#This Row],[Painel 2]])</f>
        <v>TCC-33 BCH-19</v>
      </c>
      <c r="N233" s="157">
        <v>4</v>
      </c>
      <c r="O233" s="391">
        <f>COUNTIF(Tabela12[Tag Cabo],Tabela11[[#This Row],[Tag do Cabo]])</f>
        <v>4</v>
      </c>
      <c r="P233" s="391" t="str">
        <f>IF(Tabela11[[#This Row],[Qtde Ligações]]&lt;&gt;Tabela11[[#This Row],[Qtde Anilhas]],"Ver","Ok")</f>
        <v>Ok</v>
      </c>
      <c r="Q233" s="391">
        <f>VLOOKUP(Tabela11[[#This Row],[Tag do Cabo]],BD!A:F,6,0)</f>
        <v>4</v>
      </c>
      <c r="R233" s="391">
        <f>SUMIF('Lançamento de Cabos'!AE:AE,Tabela11[[#This Row],[Tag do Cabo]],'Lançamento de Cabos'!AG:AG)</f>
        <v>4</v>
      </c>
      <c r="S233" s="28">
        <f>Tabela11[[#This Row],[Ligações Realizadas]]/Tabela11[[#This Row],[Qtde Ligações]]</f>
        <v>1</v>
      </c>
      <c r="T233" s="272">
        <f>IF(Tabela11[[#This Row],[Ligações Realizadas]]/Tabela11[[#This Row],[Qtde Ligações]]=0,0,IF(Tabela11[[#This Row],[Ligações Realizadas]]/Tabela11[[#This Row],[Qtde Ligações]]=1,ROUND(N233/2,0),"Ver Painel"))</f>
        <v>2</v>
      </c>
      <c r="U233" s="273">
        <f>IF(Tabela11[[#This Row],[Ligações Realizadas]]/Tabela11[[#This Row],[Qtde Ligações]]=0,0,IF(Tabela11[[#This Row],[Ligações Realizadas]]/Tabela11[[#This Row],[Qtde Ligações]]=1,ROUND(N233/2,0),"Ver Painel"))</f>
        <v>2</v>
      </c>
      <c r="V233" s="222"/>
    </row>
    <row r="234" spans="1:22" hidden="1" x14ac:dyDescent="0.25">
      <c r="A234" s="34" t="s">
        <v>862</v>
      </c>
      <c r="B234" s="391" t="str">
        <f>VLOOKUP(Tabela11[[#This Row],[Tag do Cabo]],BD!A:AJ,2,0)</f>
        <v>Força</v>
      </c>
      <c r="C234" s="3" t="str">
        <f>VLOOKUP(Tabela11[[#This Row],[Tag do Cabo]],BD!A:AJ,5,0)</f>
        <v>1x2/C#4</v>
      </c>
      <c r="D234" s="391" t="s">
        <v>1533</v>
      </c>
      <c r="E234" s="391" t="str">
        <f>VLOOKUP(Tabela11[[#This Row],[Tag do Cabo]],BD!A:T,20,0)</f>
        <v>BK-SP54-0900A-LC-74-00001_00000</v>
      </c>
      <c r="F234" s="222" t="str">
        <f>IF(VLOOKUP(Tabela11[[#This Row],[Tag do Cabo]],BD!A:AJ,35,0)=0,"Pendente",VLOOKUP(Tabela11[[#This Row],[Tag do Cabo]],BD!A:AJ,35,0))</f>
        <v>BK-SP54-0900B-DI-70-00451</v>
      </c>
      <c r="G234" s="3" t="str">
        <f>IF(VLOOKUP(Tabela11[[#This Row],[Tag do Cabo]],BD!A:AJ,36,0)=0,"Pendente",VLOOKUP(Tabela11[[#This Row],[Tag do Cabo]],BD!A:AJ,36,0))</f>
        <v>5</v>
      </c>
      <c r="H234" s="391" t="str">
        <f>VLOOKUP(Tabela11[[#This Row],[Tag do Cabo]],BD!A:AJ,32,0)</f>
        <v>8HV</v>
      </c>
      <c r="I234" s="7" t="str">
        <f>VLOOKUP(Tabela11[[#This Row],[Tag do Cabo]],BD!A:AJ,11,0)</f>
        <v>TCC-33 - PAINEL CA 220-127V</v>
      </c>
      <c r="J234" s="3" t="str">
        <f>VLOOKUP(Tabela11[[#This Row],[Tag do Cabo]],BD!A:AJ,12,0)</f>
        <v>PSDC1 - PAINEL DE REJEIÇÃO DE CARGAS</v>
      </c>
      <c r="K234" s="391" t="s">
        <v>1617</v>
      </c>
      <c r="L234" s="391" t="s">
        <v>1566</v>
      </c>
      <c r="M234" s="3" t="str">
        <f>CONCATENATE(Tabela11[[#This Row],[Painel 1]]&amp;" "&amp;Tabela11[[#This Row],[Painel 2]])</f>
        <v>TCC-33 PSDC1</v>
      </c>
      <c r="N234" s="157">
        <v>4</v>
      </c>
      <c r="O234" s="391">
        <f>COUNTIF(Tabela12[Tag Cabo],Tabela11[[#This Row],[Tag do Cabo]])</f>
        <v>4</v>
      </c>
      <c r="P234" s="391" t="str">
        <f>IF(Tabela11[[#This Row],[Qtde Ligações]]&lt;&gt;Tabela11[[#This Row],[Qtde Anilhas]],"Ver","Ok")</f>
        <v>Ok</v>
      </c>
      <c r="Q234" s="391">
        <f>VLOOKUP(Tabela11[[#This Row],[Tag do Cabo]],BD!A:F,6,0)</f>
        <v>4</v>
      </c>
      <c r="R234" s="391">
        <f>SUMIF('Lançamento de Cabos'!AE:AE,Tabela11[[#This Row],[Tag do Cabo]],'Lançamento de Cabos'!AG:AG)</f>
        <v>4</v>
      </c>
      <c r="S234" s="28">
        <f>Tabela11[[#This Row],[Ligações Realizadas]]/Tabela11[[#This Row],[Qtde Ligações]]</f>
        <v>1</v>
      </c>
      <c r="T234" s="272">
        <f>IF(Tabela11[[#This Row],[Ligações Realizadas]]/Tabela11[[#This Row],[Qtde Ligações]]=0,0,IF(Tabela11[[#This Row],[Ligações Realizadas]]/Tabela11[[#This Row],[Qtde Ligações]]=1,ROUND(N234/2,0),"Ver Painel"))</f>
        <v>2</v>
      </c>
      <c r="U234" s="273">
        <f>IF(Tabela11[[#This Row],[Ligações Realizadas]]/Tabela11[[#This Row],[Qtde Ligações]]=0,0,IF(Tabela11[[#This Row],[Ligações Realizadas]]/Tabela11[[#This Row],[Qtde Ligações]]=1,ROUND(N234/2,0),"Ver Painel"))</f>
        <v>2</v>
      </c>
      <c r="V234" s="222"/>
    </row>
    <row r="235" spans="1:22" hidden="1" x14ac:dyDescent="0.25">
      <c r="A235" s="34" t="s">
        <v>864</v>
      </c>
      <c r="B235" s="391" t="str">
        <f>VLOOKUP(Tabela11[[#This Row],[Tag do Cabo]],BD!A:AJ,2,0)</f>
        <v>Força</v>
      </c>
      <c r="C235" s="3" t="str">
        <f>VLOOKUP(Tabela11[[#This Row],[Tag do Cabo]],BD!A:AJ,5,0)</f>
        <v>1x2/C#4</v>
      </c>
      <c r="D235" s="391" t="s">
        <v>1533</v>
      </c>
      <c r="E235" s="391" t="str">
        <f>VLOOKUP(Tabela11[[#This Row],[Tag do Cabo]],BD!A:T,20,0)</f>
        <v>BK-SP54-0900A-LC-74-00001_00000</v>
      </c>
      <c r="F235" s="222" t="str">
        <f>IF(VLOOKUP(Tabela11[[#This Row],[Tag do Cabo]],BD!A:AJ,35,0)=0,"Pendente",VLOOKUP(Tabela11[[#This Row],[Tag do Cabo]],BD!A:AJ,35,0))</f>
        <v>BK-SP54-0900B-DI-70-00451</v>
      </c>
      <c r="G235" s="3" t="str">
        <f>IF(VLOOKUP(Tabela11[[#This Row],[Tag do Cabo]],BD!A:AJ,36,0)=0,"Pendente",VLOOKUP(Tabela11[[#This Row],[Tag do Cabo]],BD!A:AJ,36,0))</f>
        <v>5</v>
      </c>
      <c r="H235" s="391" t="str">
        <f>VLOOKUP(Tabela11[[#This Row],[Tag do Cabo]],BD!A:AJ,32,0)</f>
        <v>8HV</v>
      </c>
      <c r="I235" s="7" t="str">
        <f>VLOOKUP(Tabela11[[#This Row],[Tag do Cabo]],BD!A:AJ,11,0)</f>
        <v>TCC-33 - PAINEL CA 220-127V</v>
      </c>
      <c r="J235" s="3" t="str">
        <f>VLOOKUP(Tabela11[[#This Row],[Tag do Cabo]],BD!A:AJ,12,0)</f>
        <v>PSINC2 - PAINEL DE SINCRONISMO</v>
      </c>
      <c r="K235" s="391" t="s">
        <v>1617</v>
      </c>
      <c r="L235" s="391" t="s">
        <v>1578</v>
      </c>
      <c r="M235" s="3" t="str">
        <f>CONCATENATE(Tabela11[[#This Row],[Painel 1]]&amp;" "&amp;Tabela11[[#This Row],[Painel 2]])</f>
        <v>TCC-33 PSINC2</v>
      </c>
      <c r="N235" s="157">
        <v>4</v>
      </c>
      <c r="O235" s="391">
        <f>COUNTIF(Tabela12[Tag Cabo],Tabela11[[#This Row],[Tag do Cabo]])</f>
        <v>4</v>
      </c>
      <c r="P235" s="391" t="str">
        <f>IF(Tabela11[[#This Row],[Qtde Ligações]]&lt;&gt;Tabela11[[#This Row],[Qtde Anilhas]],"Ver","Ok")</f>
        <v>Ok</v>
      </c>
      <c r="Q235" s="391">
        <f>VLOOKUP(Tabela11[[#This Row],[Tag do Cabo]],BD!A:F,6,0)</f>
        <v>4</v>
      </c>
      <c r="R235" s="391">
        <f>SUMIF('Lançamento de Cabos'!AE:AE,Tabela11[[#This Row],[Tag do Cabo]],'Lançamento de Cabos'!AG:AG)</f>
        <v>4</v>
      </c>
      <c r="S235" s="28">
        <f>Tabela11[[#This Row],[Ligações Realizadas]]/Tabela11[[#This Row],[Qtde Ligações]]</f>
        <v>1</v>
      </c>
      <c r="T235" s="272">
        <f>IF(Tabela11[[#This Row],[Ligações Realizadas]]/Tabela11[[#This Row],[Qtde Ligações]]=0,0,IF(Tabela11[[#This Row],[Ligações Realizadas]]/Tabela11[[#This Row],[Qtde Ligações]]=1,ROUND(N235/2,0),"Ver Painel"))</f>
        <v>2</v>
      </c>
      <c r="U235" s="273">
        <f>IF(Tabela11[[#This Row],[Ligações Realizadas]]/Tabela11[[#This Row],[Qtde Ligações]]=0,0,IF(Tabela11[[#This Row],[Ligações Realizadas]]/Tabela11[[#This Row],[Qtde Ligações]]=1,ROUND(N235/2,0),"Ver Painel"))</f>
        <v>2</v>
      </c>
      <c r="V235" s="222"/>
    </row>
    <row r="236" spans="1:22" hidden="1" x14ac:dyDescent="0.25">
      <c r="A236" s="34" t="s">
        <v>866</v>
      </c>
      <c r="B236" s="391" t="str">
        <f>VLOOKUP(Tabela11[[#This Row],[Tag do Cabo]],BD!A:AJ,2,0)</f>
        <v>Força</v>
      </c>
      <c r="C236" s="3" t="str">
        <f>VLOOKUP(Tabela11[[#This Row],[Tag do Cabo]],BD!A:AJ,5,0)</f>
        <v>1x2/C#4</v>
      </c>
      <c r="D236" s="391" t="s">
        <v>1533</v>
      </c>
      <c r="E236" s="391" t="str">
        <f>VLOOKUP(Tabela11[[#This Row],[Tag do Cabo]],BD!A:T,20,0)</f>
        <v>BK-SP54-0900A-LC-74-00001_00000</v>
      </c>
      <c r="F236" s="222" t="str">
        <f>IF(VLOOKUP(Tabela11[[#This Row],[Tag do Cabo]],BD!A:AJ,35,0)=0,"Pendente",VLOOKUP(Tabela11[[#This Row],[Tag do Cabo]],BD!A:AJ,35,0))</f>
        <v>BK-SP54-0900B-DI-70-00451</v>
      </c>
      <c r="G236" s="3" t="str">
        <f>IF(VLOOKUP(Tabela11[[#This Row],[Tag do Cabo]],BD!A:AJ,36,0)=0,"Pendente",VLOOKUP(Tabela11[[#This Row],[Tag do Cabo]],BD!A:AJ,36,0))</f>
        <v>4</v>
      </c>
      <c r="H236" s="391" t="str">
        <f>VLOOKUP(Tabela11[[#This Row],[Tag do Cabo]],BD!A:AJ,32,0)</f>
        <v>8HV</v>
      </c>
      <c r="I236" s="7" t="str">
        <f>VLOOKUP(Tabela11[[#This Row],[Tag do Cabo]],BD!A:AJ,11,0)</f>
        <v>TCC-33 - PAINEL CA 220-127V</v>
      </c>
      <c r="J236" s="3" t="str">
        <f>VLOOKUP(Tabela11[[#This Row],[Tag do Cabo]],BD!A:AJ,12,0)</f>
        <v>TCC-34 - PAINEL 125Vcc</v>
      </c>
      <c r="K236" s="391" t="s">
        <v>1617</v>
      </c>
      <c r="L236" s="391" t="s">
        <v>1565</v>
      </c>
      <c r="M236" s="3" t="str">
        <f>CONCATENATE(Tabela11[[#This Row],[Painel 1]]&amp;" "&amp;Tabela11[[#This Row],[Painel 2]])</f>
        <v>TCC-33 TCC-34</v>
      </c>
      <c r="N236" s="157">
        <v>4</v>
      </c>
      <c r="O236" s="391">
        <f>COUNTIF(Tabela12[Tag Cabo],Tabela11[[#This Row],[Tag do Cabo]])</f>
        <v>4</v>
      </c>
      <c r="P236" s="391" t="str">
        <f>IF(Tabela11[[#This Row],[Qtde Ligações]]&lt;&gt;Tabela11[[#This Row],[Qtde Anilhas]],"Ver","Ok")</f>
        <v>Ok</v>
      </c>
      <c r="Q236" s="391">
        <f>VLOOKUP(Tabela11[[#This Row],[Tag do Cabo]],BD!A:F,6,0)</f>
        <v>4</v>
      </c>
      <c r="R236" s="391">
        <f>SUMIF('Lançamento de Cabos'!AE:AE,Tabela11[[#This Row],[Tag do Cabo]],'Lançamento de Cabos'!AG:AG)</f>
        <v>4</v>
      </c>
      <c r="S236" s="28">
        <f>Tabela11[[#This Row],[Ligações Realizadas]]/Tabela11[[#This Row],[Qtde Ligações]]</f>
        <v>1</v>
      </c>
      <c r="T236" s="272">
        <f>IF(Tabela11[[#This Row],[Ligações Realizadas]]/Tabela11[[#This Row],[Qtde Ligações]]=0,0,IF(Tabela11[[#This Row],[Ligações Realizadas]]/Tabela11[[#This Row],[Qtde Ligações]]=1,ROUND(N236/2,0),"Ver Painel"))</f>
        <v>2</v>
      </c>
      <c r="U236" s="273">
        <f>IF(Tabela11[[#This Row],[Ligações Realizadas]]/Tabela11[[#This Row],[Qtde Ligações]]=0,0,IF(Tabela11[[#This Row],[Ligações Realizadas]]/Tabela11[[#This Row],[Qtde Ligações]]=1,ROUND(N236/2,0),"Ver Painel"))</f>
        <v>2</v>
      </c>
      <c r="V236" s="222"/>
    </row>
    <row r="237" spans="1:22" hidden="1" x14ac:dyDescent="0.25">
      <c r="A237" s="34" t="s">
        <v>867</v>
      </c>
      <c r="B237" s="391" t="str">
        <f>VLOOKUP(Tabela11[[#This Row],[Tag do Cabo]],BD!A:AJ,2,0)</f>
        <v>Força</v>
      </c>
      <c r="C237" s="3" t="str">
        <f>VLOOKUP(Tabela11[[#This Row],[Tag do Cabo]],BD!A:AJ,5,0)</f>
        <v>1x2/C#4</v>
      </c>
      <c r="D237" s="391" t="s">
        <v>1533</v>
      </c>
      <c r="E237" s="391" t="str">
        <f>VLOOKUP(Tabela11[[#This Row],[Tag do Cabo]],BD!A:T,20,0)</f>
        <v>BK-SP54-0900A-LC-74-00001_00000</v>
      </c>
      <c r="F237" s="222" t="str">
        <f>IF(VLOOKUP(Tabela11[[#This Row],[Tag do Cabo]],BD!A:AJ,35,0)=0,"Pendente",VLOOKUP(Tabela11[[#This Row],[Tag do Cabo]],BD!A:AJ,35,0))</f>
        <v>BK-SP54-0900B-DI-70-00451</v>
      </c>
      <c r="G237" s="3" t="str">
        <f>IF(VLOOKUP(Tabela11[[#This Row],[Tag do Cabo]],BD!A:AJ,36,0)=0,"Pendente",VLOOKUP(Tabela11[[#This Row],[Tag do Cabo]],BD!A:AJ,36,0))</f>
        <v>3,5</v>
      </c>
      <c r="H237" s="391" t="str">
        <f>VLOOKUP(Tabela11[[#This Row],[Tag do Cabo]],BD!A:AJ,32,0)</f>
        <v>8HV</v>
      </c>
      <c r="I237" s="7" t="str">
        <f>VLOOKUP(Tabela11[[#This Row],[Tag do Cabo]],BD!A:AJ,11,0)</f>
        <v>TCC-33 - PAINEL CA 220-127V</v>
      </c>
      <c r="J237" s="3" t="str">
        <f>VLOOKUP(Tabela11[[#This Row],[Tag do Cabo]],BD!A:AJ,12,0)</f>
        <v>TCC-36 - 8HV (480V)</v>
      </c>
      <c r="K237" s="391" t="s">
        <v>1617</v>
      </c>
      <c r="L237" s="391" t="s">
        <v>1618</v>
      </c>
      <c r="M237" s="3" t="str">
        <f>CONCATENATE(Tabela11[[#This Row],[Painel 1]]&amp;" "&amp;Tabela11[[#This Row],[Painel 2]])</f>
        <v>TCC-33 TCC-36</v>
      </c>
      <c r="N237" s="157">
        <v>4</v>
      </c>
      <c r="O237" s="391">
        <f>COUNTIF(Tabela12[Tag Cabo],Tabela11[[#This Row],[Tag do Cabo]])</f>
        <v>4</v>
      </c>
      <c r="P237" s="391" t="str">
        <f>IF(Tabela11[[#This Row],[Qtde Ligações]]&lt;&gt;Tabela11[[#This Row],[Qtde Anilhas]],"Ver","Ok")</f>
        <v>Ok</v>
      </c>
      <c r="Q237" s="391">
        <f>VLOOKUP(Tabela11[[#This Row],[Tag do Cabo]],BD!A:F,6,0)</f>
        <v>4</v>
      </c>
      <c r="R237" s="391">
        <f>SUMIF('Lançamento de Cabos'!AE:AE,Tabela11[[#This Row],[Tag do Cabo]],'Lançamento de Cabos'!AG:AG)</f>
        <v>4</v>
      </c>
      <c r="S237" s="28">
        <f>Tabela11[[#This Row],[Ligações Realizadas]]/Tabela11[[#This Row],[Qtde Ligações]]</f>
        <v>1</v>
      </c>
      <c r="T237" s="272">
        <f>IF(Tabela11[[#This Row],[Ligações Realizadas]]/Tabela11[[#This Row],[Qtde Ligações]]=0,0,IF(Tabela11[[#This Row],[Ligações Realizadas]]/Tabela11[[#This Row],[Qtde Ligações]]=1,ROUND(N237/2,0),"Ver Painel"))</f>
        <v>2</v>
      </c>
      <c r="U237" s="273">
        <f>IF(Tabela11[[#This Row],[Ligações Realizadas]]/Tabela11[[#This Row],[Qtde Ligações]]=0,0,IF(Tabela11[[#This Row],[Ligações Realizadas]]/Tabela11[[#This Row],[Qtde Ligações]]=1,ROUND(N237/2,0),"Ver Painel"))</f>
        <v>2</v>
      </c>
      <c r="V237" s="222"/>
    </row>
    <row r="238" spans="1:22" hidden="1" x14ac:dyDescent="0.25">
      <c r="A238" s="34" t="s">
        <v>870</v>
      </c>
      <c r="B238" s="391" t="str">
        <f>VLOOKUP(Tabela11[[#This Row],[Tag do Cabo]],BD!A:AJ,2,0)</f>
        <v>Força</v>
      </c>
      <c r="C238" s="3" t="str">
        <f>VLOOKUP(Tabela11[[#This Row],[Tag do Cabo]],BD!A:AJ,5,0)</f>
        <v>1x2/C#4</v>
      </c>
      <c r="D238" s="391" t="s">
        <v>1533</v>
      </c>
      <c r="E238" s="391" t="str">
        <f>VLOOKUP(Tabela11[[#This Row],[Tag do Cabo]],BD!A:T,20,0)</f>
        <v>BK-SP54-0900A-LC-74-00001_00000</v>
      </c>
      <c r="F238" s="222" t="str">
        <f>IF(VLOOKUP(Tabela11[[#This Row],[Tag do Cabo]],BD!A:AJ,35,0)=0,"Pendente",VLOOKUP(Tabela11[[#This Row],[Tag do Cabo]],BD!A:AJ,35,0))</f>
        <v>BK-SP54-0900B-DI-70-00451</v>
      </c>
      <c r="G238" s="3" t="str">
        <f>IF(VLOOKUP(Tabela11[[#This Row],[Tag do Cabo]],BD!A:AJ,36,0)=0,"Pendente",VLOOKUP(Tabela11[[#This Row],[Tag do Cabo]],BD!A:AJ,36,0))</f>
        <v>4</v>
      </c>
      <c r="H238" s="391" t="str">
        <f>VLOOKUP(Tabela11[[#This Row],[Tag do Cabo]],BD!A:AJ,32,0)</f>
        <v>8HV</v>
      </c>
      <c r="I238" s="7" t="str">
        <f>VLOOKUP(Tabela11[[#This Row],[Tag do Cabo]],BD!A:AJ,11,0)</f>
        <v>TCC-34 - PAINEL 125Vcc</v>
      </c>
      <c r="J238" s="3" t="str">
        <f>VLOOKUP(Tabela11[[#This Row],[Tag do Cabo]],BD!A:AJ,12,0)</f>
        <v>PAINEL 8HV</v>
      </c>
      <c r="K238" s="391" t="s">
        <v>1565</v>
      </c>
      <c r="L238" s="391" t="s">
        <v>856</v>
      </c>
      <c r="M238" s="3" t="str">
        <f>CONCATENATE(Tabela11[[#This Row],[Painel 1]]&amp;" "&amp;Tabela11[[#This Row],[Painel 2]])</f>
        <v>TCC-34 PAINEL 8HV</v>
      </c>
      <c r="N238" s="157">
        <v>4</v>
      </c>
      <c r="O238" s="391">
        <f>COUNTIF(Tabela12[Tag Cabo],Tabela11[[#This Row],[Tag do Cabo]])</f>
        <v>4</v>
      </c>
      <c r="P238" s="391" t="str">
        <f>IF(Tabela11[[#This Row],[Qtde Ligações]]&lt;&gt;Tabela11[[#This Row],[Qtde Anilhas]],"Ver","Ok")</f>
        <v>Ok</v>
      </c>
      <c r="Q238" s="391">
        <f>VLOOKUP(Tabela11[[#This Row],[Tag do Cabo]],BD!A:F,6,0)</f>
        <v>4</v>
      </c>
      <c r="R238" s="391">
        <f>SUMIF('Lançamento de Cabos'!AE:AE,Tabela11[[#This Row],[Tag do Cabo]],'Lançamento de Cabos'!AG:AG)</f>
        <v>4</v>
      </c>
      <c r="S238" s="28">
        <f>Tabela11[[#This Row],[Ligações Realizadas]]/Tabela11[[#This Row],[Qtde Ligações]]</f>
        <v>1</v>
      </c>
      <c r="T238" s="272">
        <f>IF(Tabela11[[#This Row],[Ligações Realizadas]]/Tabela11[[#This Row],[Qtde Ligações]]=0,0,IF(Tabela11[[#This Row],[Ligações Realizadas]]/Tabela11[[#This Row],[Qtde Ligações]]=1,ROUND(N238/2,0),"Ver Painel"))</f>
        <v>2</v>
      </c>
      <c r="U238" s="273">
        <f>IF(Tabela11[[#This Row],[Ligações Realizadas]]/Tabela11[[#This Row],[Qtde Ligações]]=0,0,IF(Tabela11[[#This Row],[Ligações Realizadas]]/Tabela11[[#This Row],[Qtde Ligações]]=1,ROUND(N238/2,0),"Ver Painel"))</f>
        <v>2</v>
      </c>
      <c r="V238" s="222"/>
    </row>
    <row r="239" spans="1:22" hidden="1" x14ac:dyDescent="0.25">
      <c r="A239" s="34" t="s">
        <v>955</v>
      </c>
      <c r="B239" s="391" t="str">
        <f>VLOOKUP(Tabela11[[#This Row],[Tag do Cabo]],BD!A:AJ,2,0)</f>
        <v>FO</v>
      </c>
      <c r="C239" s="3" t="str">
        <f>VLOOKUP(Tabela11[[#This Row],[Tag do Cabo]],BD!A:AJ,5,0)</f>
        <v>FIBRA OPTICA MM 3 PARES</v>
      </c>
      <c r="D239" s="391" t="s">
        <v>1533</v>
      </c>
      <c r="E239" s="391" t="str">
        <f>VLOOKUP(Tabela11[[#This Row],[Tag do Cabo]],BD!A:T,20,0)</f>
        <v>BK-SP54-0900B-LC-90-00010_00000</v>
      </c>
      <c r="F239" s="341" t="str">
        <f>IF(VLOOKUP(Tabela11[[#This Row],[Tag do Cabo]],BD!A:AJ,35,0)=0,"Pendente",VLOOKUP(Tabela11[[#This Row],[Tag do Cabo]],BD!A:AJ,35,0))</f>
        <v>BK-SP54-0900B-DP-90-00039</v>
      </c>
      <c r="G239" s="3" t="str">
        <f>IF(VLOOKUP(Tabela11[[#This Row],[Tag do Cabo]],BD!A:AJ,36,0)=0,"Pendente",VLOOKUP(Tabela11[[#This Row],[Tag do Cabo]],BD!A:AJ,36,0))</f>
        <v>18</v>
      </c>
      <c r="H239" s="391" t="str">
        <f>VLOOKUP(Tabela11[[#This Row],[Tag do Cabo]],BD!A:AJ,32,0)</f>
        <v>8HVxCCO</v>
      </c>
      <c r="I239" s="7" t="str">
        <f>VLOOKUP(Tabela11[[#This Row],[Tag do Cabo]],BD!A:AJ,11,0)</f>
        <v>PDG-1701 / SUBESTAÇÃO VESTA</v>
      </c>
      <c r="J239" s="3" t="str">
        <f>VLOOKUP(Tabela11[[#This Row],[Tag do Cabo]],BD!A:AJ,12,0)</f>
        <v>FRW-90-102 (RCK-90-101) / CCO</v>
      </c>
      <c r="K239" s="391" t="s">
        <v>1619</v>
      </c>
      <c r="L239" s="391" t="s">
        <v>1579</v>
      </c>
      <c r="M239" s="3" t="str">
        <f>CONCATENATE(Tabela11[[#This Row],[Painel 1]]&amp;" "&amp;Tabela11[[#This Row],[Painel 2]])</f>
        <v>PDG-1701 RCK-90-101</v>
      </c>
      <c r="N239" s="157">
        <v>6</v>
      </c>
      <c r="O239" s="391" t="s">
        <v>92</v>
      </c>
      <c r="P239" s="391" t="s">
        <v>107</v>
      </c>
      <c r="Q239" s="391" t="str">
        <f>VLOOKUP(Tabela11[[#This Row],[Tag do Cabo]],BD!A:F,6,0)</f>
        <v>-</v>
      </c>
      <c r="R239" s="391">
        <f>SUMIF('Lançamento de Cabos'!AE:AE,Tabela11[[#This Row],[Tag do Cabo]],'Lançamento de Cabos'!AG:AG)</f>
        <v>0</v>
      </c>
      <c r="S239" s="28">
        <f>Tabela11[[#This Row],[Ligações Realizadas]]/Tabela11[[#This Row],[Qtde Ligações]]</f>
        <v>0</v>
      </c>
      <c r="T239" s="269">
        <f>IF(Tabela11[[#This Row],[Ligações Realizadas]]/Tabela11[[#This Row],[Qtde Ligações]]=0,0,IF(Tabela11[[#This Row],[Ligações Realizadas]]/Tabela11[[#This Row],[Qtde Ligações]]=1,ROUND(N239/2,0),"Ver Painel"))</f>
        <v>0</v>
      </c>
      <c r="U239" s="23">
        <f>IF(Tabela11[[#This Row],[Ligações Realizadas]]/Tabela11[[#This Row],[Qtde Ligações]]=0,0,IF(Tabela11[[#This Row],[Ligações Realizadas]]/Tabela11[[#This Row],[Qtde Ligações]]=1,ROUND(N239/2,0),"Ver Painel"))</f>
        <v>0</v>
      </c>
      <c r="V239" s="219"/>
    </row>
    <row r="240" spans="1:22" hidden="1" x14ac:dyDescent="0.25">
      <c r="A240" s="34" t="s">
        <v>961</v>
      </c>
      <c r="B240" s="391" t="str">
        <f>VLOOKUP(Tabela11[[#This Row],[Tag do Cabo]],BD!A:AJ,2,0)</f>
        <v>FO</v>
      </c>
      <c r="C240" s="3" t="str">
        <f>VLOOKUP(Tabela11[[#This Row],[Tag do Cabo]],BD!A:AJ,5,0)</f>
        <v>FIBRA OPTICA MM 3 PARES</v>
      </c>
      <c r="D240" s="391" t="s">
        <v>1533</v>
      </c>
      <c r="E240" s="391" t="str">
        <f>VLOOKUP(Tabela11[[#This Row],[Tag do Cabo]],BD!A:T,20,0)</f>
        <v>BK-SP54-0900B-LC-90-00010_00000</v>
      </c>
      <c r="F240" s="341" t="str">
        <f>IF(VLOOKUP(Tabela11[[#This Row],[Tag do Cabo]],BD!A:AJ,35,0)=0,"Pendente",VLOOKUP(Tabela11[[#This Row],[Tag do Cabo]],BD!A:AJ,35,0))</f>
        <v>BK-SP54-0900B-DP-90-00039</v>
      </c>
      <c r="G240" s="3" t="str">
        <f>IF(VLOOKUP(Tabela11[[#This Row],[Tag do Cabo]],BD!A:AJ,36,0)=0,"Pendente",VLOOKUP(Tabela11[[#This Row],[Tag do Cabo]],BD!A:AJ,36,0))</f>
        <v>18</v>
      </c>
      <c r="H240" s="391" t="str">
        <f>VLOOKUP(Tabela11[[#This Row],[Tag do Cabo]],BD!A:AJ,32,0)</f>
        <v>8HVxCCO</v>
      </c>
      <c r="I240" s="7" t="str">
        <f>VLOOKUP(Tabela11[[#This Row],[Tag do Cabo]],BD!A:AJ,11,0)</f>
        <v>PDG-1701 / SUBESTAÇÃO VESTA</v>
      </c>
      <c r="J240" s="3" t="str">
        <f>VLOOKUP(Tabela11[[#This Row],[Tag do Cabo]],BD!A:AJ,12,0)</f>
        <v>FRW-90-103 (RCK-90-101) / CCO</v>
      </c>
      <c r="K240" s="391" t="s">
        <v>1619</v>
      </c>
      <c r="L240" s="391" t="s">
        <v>1579</v>
      </c>
      <c r="M240" s="3" t="str">
        <f>CONCATENATE(Tabela11[[#This Row],[Painel 1]]&amp;" "&amp;Tabela11[[#This Row],[Painel 2]])</f>
        <v>PDG-1701 RCK-90-101</v>
      </c>
      <c r="N240" s="157">
        <v>6</v>
      </c>
      <c r="O240" s="391" t="s">
        <v>92</v>
      </c>
      <c r="P240" s="391" t="s">
        <v>107</v>
      </c>
      <c r="Q240" s="391" t="str">
        <f>VLOOKUP(Tabela11[[#This Row],[Tag do Cabo]],BD!A:F,6,0)</f>
        <v>-</v>
      </c>
      <c r="R240" s="391">
        <f>SUMIF('Lançamento de Cabos'!AE:AE,Tabela11[[#This Row],[Tag do Cabo]],'Lançamento de Cabos'!AG:AG)</f>
        <v>0</v>
      </c>
      <c r="S240" s="28">
        <f>Tabela11[[#This Row],[Ligações Realizadas]]/Tabela11[[#This Row],[Qtde Ligações]]</f>
        <v>0</v>
      </c>
      <c r="T240" s="269">
        <f>IF(Tabela11[[#This Row],[Ligações Realizadas]]/Tabela11[[#This Row],[Qtde Ligações]]=0,0,IF(Tabela11[[#This Row],[Ligações Realizadas]]/Tabela11[[#This Row],[Qtde Ligações]]=1,ROUND(N240/2,0),"Ver Painel"))</f>
        <v>0</v>
      </c>
      <c r="U240" s="23">
        <f>IF(Tabela11[[#This Row],[Ligações Realizadas]]/Tabela11[[#This Row],[Qtde Ligações]]=0,0,IF(Tabela11[[#This Row],[Ligações Realizadas]]/Tabela11[[#This Row],[Qtde Ligações]]=1,ROUND(N240/2,0),"Ver Painel"))</f>
        <v>0</v>
      </c>
      <c r="V240" s="219"/>
    </row>
    <row r="241" spans="1:22" hidden="1" x14ac:dyDescent="0.25">
      <c r="A241" s="34" t="s">
        <v>871</v>
      </c>
      <c r="B241" s="391" t="str">
        <f>VLOOKUP(Tabela11[[#This Row],[Tag do Cabo]],BD!A:AJ,2,0)</f>
        <v>Força</v>
      </c>
      <c r="C241" s="3" t="str">
        <f>VLOOKUP(Tabela11[[#This Row],[Tag do Cabo]],BD!A:AJ,5,0)</f>
        <v>1x2/C#4</v>
      </c>
      <c r="D241" s="391" t="s">
        <v>1533</v>
      </c>
      <c r="E241" s="391" t="str">
        <f>VLOOKUP(Tabela11[[#This Row],[Tag do Cabo]],BD!A:T,20,0)</f>
        <v>BK-SP54-0900A-LC-74-00001_00000</v>
      </c>
      <c r="F241" s="222" t="str">
        <f>IF(VLOOKUP(Tabela11[[#This Row],[Tag do Cabo]],BD!A:AJ,35,0)=0,"Pendente",VLOOKUP(Tabela11[[#This Row],[Tag do Cabo]],BD!A:AJ,35,0))</f>
        <v>BK-SP54-0900B-DI-70-00451</v>
      </c>
      <c r="G241" s="3" t="str">
        <f>IF(VLOOKUP(Tabela11[[#This Row],[Tag do Cabo]],BD!A:AJ,36,0)=0,"Pendente",VLOOKUP(Tabela11[[#This Row],[Tag do Cabo]],BD!A:AJ,36,0))</f>
        <v>4</v>
      </c>
      <c r="H241" s="391" t="str">
        <f>VLOOKUP(Tabela11[[#This Row],[Tag do Cabo]],BD!A:AJ,32,0)</f>
        <v>8HV</v>
      </c>
      <c r="I241" s="7" t="str">
        <f>VLOOKUP(Tabela11[[#This Row],[Tag do Cabo]],BD!A:AJ,11,0)</f>
        <v>TCC-34 - PAINEL 125Vcc</v>
      </c>
      <c r="J241" s="3" t="str">
        <f>VLOOKUP(Tabela11[[#This Row],[Tag do Cabo]],BD!A:AJ,12,0)</f>
        <v>PSDC1 - PAINEL DE REJEIÇÃO DE CARGAS</v>
      </c>
      <c r="K241" s="391" t="s">
        <v>1565</v>
      </c>
      <c r="L241" s="391" t="s">
        <v>1566</v>
      </c>
      <c r="M241" s="3" t="str">
        <f>CONCATENATE(Tabela11[[#This Row],[Painel 1]]&amp;" "&amp;Tabela11[[#This Row],[Painel 2]])</f>
        <v>TCC-34 PSDC1</v>
      </c>
      <c r="N241" s="157">
        <v>4</v>
      </c>
      <c r="O241" s="391">
        <f>COUNTIF(Tabela12[Tag Cabo],Tabela11[[#This Row],[Tag do Cabo]])</f>
        <v>4</v>
      </c>
      <c r="P241" s="391" t="str">
        <f>IF(Tabela11[[#This Row],[Qtde Ligações]]&lt;&gt;Tabela11[[#This Row],[Qtde Anilhas]],"Ver","Ok")</f>
        <v>Ok</v>
      </c>
      <c r="Q241" s="391">
        <f>VLOOKUP(Tabela11[[#This Row],[Tag do Cabo]],BD!A:F,6,0)</f>
        <v>4</v>
      </c>
      <c r="R241" s="391">
        <f>SUMIF('Lançamento de Cabos'!AE:AE,Tabela11[[#This Row],[Tag do Cabo]],'Lançamento de Cabos'!AG:AG)</f>
        <v>4</v>
      </c>
      <c r="S241" s="28">
        <f>Tabela11[[#This Row],[Ligações Realizadas]]/Tabela11[[#This Row],[Qtde Ligações]]</f>
        <v>1</v>
      </c>
      <c r="T241" s="272">
        <f>IF(Tabela11[[#This Row],[Ligações Realizadas]]/Tabela11[[#This Row],[Qtde Ligações]]=0,0,IF(Tabela11[[#This Row],[Ligações Realizadas]]/Tabela11[[#This Row],[Qtde Ligações]]=1,ROUND(N241/2,0),"Ver Painel"))</f>
        <v>2</v>
      </c>
      <c r="U241" s="273">
        <f>IF(Tabela11[[#This Row],[Ligações Realizadas]]/Tabela11[[#This Row],[Qtde Ligações]]=0,0,IF(Tabela11[[#This Row],[Ligações Realizadas]]/Tabela11[[#This Row],[Qtde Ligações]]=1,ROUND(N241/2,0),"Ver Painel"))</f>
        <v>2</v>
      </c>
      <c r="V241" s="222"/>
    </row>
    <row r="242" spans="1:22" hidden="1" x14ac:dyDescent="0.25">
      <c r="A242" s="34" t="s">
        <v>872</v>
      </c>
      <c r="B242" s="391" t="str">
        <f>VLOOKUP(Tabela11[[#This Row],[Tag do Cabo]],BD!A:AJ,2,0)</f>
        <v>Força</v>
      </c>
      <c r="C242" s="3" t="str">
        <f>VLOOKUP(Tabela11[[#This Row],[Tag do Cabo]],BD!A:AJ,5,0)</f>
        <v>1x2/C#4</v>
      </c>
      <c r="D242" s="391" t="s">
        <v>1533</v>
      </c>
      <c r="E242" s="391" t="str">
        <f>VLOOKUP(Tabela11[[#This Row],[Tag do Cabo]],BD!A:T,20,0)</f>
        <v>BK-SP54-0900A-LC-74-00001_00000</v>
      </c>
      <c r="F242" s="222" t="str">
        <f>IF(VLOOKUP(Tabela11[[#This Row],[Tag do Cabo]],BD!A:AJ,35,0)=0,"Pendente",VLOOKUP(Tabela11[[#This Row],[Tag do Cabo]],BD!A:AJ,35,0))</f>
        <v>BK-SP54-0900B-DI-70-00451</v>
      </c>
      <c r="G242" s="3" t="str">
        <f>IF(VLOOKUP(Tabela11[[#This Row],[Tag do Cabo]],BD!A:AJ,36,0)=0,"Pendente",VLOOKUP(Tabela11[[#This Row],[Tag do Cabo]],BD!A:AJ,36,0))</f>
        <v>4</v>
      </c>
      <c r="H242" s="391" t="str">
        <f>VLOOKUP(Tabela11[[#This Row],[Tag do Cabo]],BD!A:AJ,32,0)</f>
        <v>8HV</v>
      </c>
      <c r="I242" s="7" t="str">
        <f>VLOOKUP(Tabela11[[#This Row],[Tag do Cabo]],BD!A:AJ,11,0)</f>
        <v>TCC-34 - PAINEL 125Vcc</v>
      </c>
      <c r="J242" s="3" t="str">
        <f>VLOOKUP(Tabela11[[#This Row],[Tag do Cabo]],BD!A:AJ,12,0)</f>
        <v>PSYNC2 - PAINEL DE SINCRONISMO</v>
      </c>
      <c r="K242" s="391" t="s">
        <v>1565</v>
      </c>
      <c r="L242" s="391" t="s">
        <v>1578</v>
      </c>
      <c r="M242" s="3" t="str">
        <f>CONCATENATE(Tabela11[[#This Row],[Painel 1]]&amp;" "&amp;Tabela11[[#This Row],[Painel 2]])</f>
        <v>TCC-34 PSINC2</v>
      </c>
      <c r="N242" s="157">
        <v>4</v>
      </c>
      <c r="O242" s="391">
        <f>COUNTIF(Tabela12[Tag Cabo],Tabela11[[#This Row],[Tag do Cabo]])</f>
        <v>4</v>
      </c>
      <c r="P242" s="391" t="str">
        <f>IF(Tabela11[[#This Row],[Qtde Ligações]]&lt;&gt;Tabela11[[#This Row],[Qtde Anilhas]],"Ver","Ok")</f>
        <v>Ok</v>
      </c>
      <c r="Q242" s="391">
        <f>VLOOKUP(Tabela11[[#This Row],[Tag do Cabo]],BD!A:F,6,0)</f>
        <v>4</v>
      </c>
      <c r="R242" s="391">
        <f>SUMIF('Lançamento de Cabos'!AE:AE,Tabela11[[#This Row],[Tag do Cabo]],'Lançamento de Cabos'!AG:AG)</f>
        <v>4</v>
      </c>
      <c r="S242" s="28">
        <f>Tabela11[[#This Row],[Ligações Realizadas]]/Tabela11[[#This Row],[Qtde Ligações]]</f>
        <v>1</v>
      </c>
      <c r="T242" s="272">
        <f>IF(Tabela11[[#This Row],[Ligações Realizadas]]/Tabela11[[#This Row],[Qtde Ligações]]=0,0,IF(Tabela11[[#This Row],[Ligações Realizadas]]/Tabela11[[#This Row],[Qtde Ligações]]=1,ROUND(N242/2,0),"Ver Painel"))</f>
        <v>2</v>
      </c>
      <c r="U242" s="273">
        <f>IF(Tabela11[[#This Row],[Ligações Realizadas]]/Tabela11[[#This Row],[Qtde Ligações]]=0,0,IF(Tabela11[[#This Row],[Ligações Realizadas]]/Tabela11[[#This Row],[Qtde Ligações]]=1,ROUND(N242/2,0),"Ver Painel"))</f>
        <v>2</v>
      </c>
      <c r="V242" s="222"/>
    </row>
    <row r="243" spans="1:22" hidden="1" x14ac:dyDescent="0.25">
      <c r="A243" s="169" t="s">
        <v>874</v>
      </c>
      <c r="B243" s="391" t="str">
        <f>VLOOKUP(Tabela11[[#This Row],[Tag do Cabo]],BD!A:AJ,2,0)</f>
        <v>Força</v>
      </c>
      <c r="C243" s="3" t="str">
        <f>VLOOKUP(Tabela11[[#This Row],[Tag do Cabo]],BD!A:AJ,5,0)</f>
        <v>1x2/C#4</v>
      </c>
      <c r="D243" s="391" t="s">
        <v>1533</v>
      </c>
      <c r="E243" s="391" t="str">
        <f>VLOOKUP(Tabela11[[#This Row],[Tag do Cabo]],BD!A:T,20,0)</f>
        <v>BK-SP54-0900A-LC-74-00001_00000</v>
      </c>
      <c r="F243" s="222" t="str">
        <f>IF(VLOOKUP(Tabela11[[#This Row],[Tag do Cabo]],BD!A:AJ,35,0)=0,"Pendente",VLOOKUP(Tabela11[[#This Row],[Tag do Cabo]],BD!A:AJ,35,0))</f>
        <v>BK-SP54-0900B-DI-70-00451</v>
      </c>
      <c r="G243" s="3" t="str">
        <f>IF(VLOOKUP(Tabela11[[#This Row],[Tag do Cabo]],BD!A:AJ,36,0)=0,"Pendente",VLOOKUP(Tabela11[[#This Row],[Tag do Cabo]],BD!A:AJ,36,0))</f>
        <v>3,4</v>
      </c>
      <c r="H243" s="391" t="str">
        <f>VLOOKUP(Tabela11[[#This Row],[Tag do Cabo]],BD!A:AJ,32,0)</f>
        <v>8HV</v>
      </c>
      <c r="I243" s="7" t="str">
        <f>VLOOKUP(Tabela11[[#This Row],[Tag do Cabo]],BD!A:AJ,11,0)</f>
        <v>TCC-34 - PAINEL 125Vcc</v>
      </c>
      <c r="J243" s="3" t="str">
        <f>VLOOKUP(Tabela11[[#This Row],[Tag do Cabo]],BD!A:AJ,12,0)</f>
        <v>TCC-23 - 8HV (480V)</v>
      </c>
      <c r="K243" s="391" t="s">
        <v>1565</v>
      </c>
      <c r="L243" s="391" t="s">
        <v>1618</v>
      </c>
      <c r="M243" s="3" t="str">
        <f>CONCATENATE(Tabela11[[#This Row],[Painel 1]]&amp;" "&amp;Tabela11[[#This Row],[Painel 2]])</f>
        <v>TCC-34 TCC-36</v>
      </c>
      <c r="N243" s="157">
        <v>4</v>
      </c>
      <c r="O243" s="391">
        <f>COUNTIF(Tabela12[Tag Cabo],Tabela11[[#This Row],[Tag do Cabo]])</f>
        <v>4</v>
      </c>
      <c r="P243" s="391" t="str">
        <f>IF(Tabela11[[#This Row],[Qtde Ligações]]&lt;&gt;Tabela11[[#This Row],[Qtde Anilhas]],"Ver","Ok")</f>
        <v>Ok</v>
      </c>
      <c r="Q243" s="391">
        <f>VLOOKUP(Tabela11[[#This Row],[Tag do Cabo]],BD!A:F,6,0)</f>
        <v>4</v>
      </c>
      <c r="R243" s="391">
        <f>SUMIF('Lançamento de Cabos'!AE:AE,Tabela11[[#This Row],[Tag do Cabo]],'Lançamento de Cabos'!AG:AG)</f>
        <v>4</v>
      </c>
      <c r="S243" s="28">
        <f>Tabela11[[#This Row],[Ligações Realizadas]]/Tabela11[[#This Row],[Qtde Ligações]]</f>
        <v>1</v>
      </c>
      <c r="T243" s="272">
        <f>IF(Tabela11[[#This Row],[Ligações Realizadas]]/Tabela11[[#This Row],[Qtde Ligações]]=0,0,IF(Tabela11[[#This Row],[Ligações Realizadas]]/Tabela11[[#This Row],[Qtde Ligações]]=1,ROUND(N243/2,0),"Ver Painel"))</f>
        <v>2</v>
      </c>
      <c r="U243" s="273">
        <f>IF(Tabela11[[#This Row],[Ligações Realizadas]]/Tabela11[[#This Row],[Qtde Ligações]]=0,0,IF(Tabela11[[#This Row],[Ligações Realizadas]]/Tabela11[[#This Row],[Qtde Ligações]]=1,ROUND(N243/2,0),"Ver Painel"))</f>
        <v>2</v>
      </c>
      <c r="V243" s="222"/>
    </row>
    <row r="244" spans="1:22" hidden="1" x14ac:dyDescent="0.25">
      <c r="A244" s="169" t="s">
        <v>877</v>
      </c>
      <c r="B244" s="391" t="str">
        <f>VLOOKUP(Tabela11[[#This Row],[Tag do Cabo]],BD!A:AJ,2,0)</f>
        <v>Força</v>
      </c>
      <c r="C244" s="3" t="str">
        <f>VLOOKUP(Tabela11[[#This Row],[Tag do Cabo]],BD!A:AJ,5,0)</f>
        <v>1x3/C#25</v>
      </c>
      <c r="D244" s="391" t="s">
        <v>1533</v>
      </c>
      <c r="E244" s="391" t="str">
        <f>VLOOKUP(Tabela11[[#This Row],[Tag do Cabo]],BD!A:T,20,0)</f>
        <v>BK-SP54-0900A-LC-74-00001_00000</v>
      </c>
      <c r="F244" s="3" t="str">
        <f>IF(VLOOKUP(Tabela11[[#This Row],[Tag do Cabo]],BD!A:AJ,35,0)=0,"Pendente",VLOOKUP(Tabela11[[#This Row],[Tag do Cabo]],BD!A:AJ,35,0))</f>
        <v>BK-SP54-0900B-DI-70-00451</v>
      </c>
      <c r="G244" s="3" t="str">
        <f>IF(VLOOKUP(Tabela11[[#This Row],[Tag do Cabo]],BD!A:AJ,36,0)=0,"Pendente",VLOOKUP(Tabela11[[#This Row],[Tag do Cabo]],BD!A:AJ,36,0))</f>
        <v>3</v>
      </c>
      <c r="H244" s="391" t="str">
        <f>VLOOKUP(Tabela11[[#This Row],[Tag do Cabo]],BD!A:AJ,32,0)</f>
        <v>8HV</v>
      </c>
      <c r="I244" s="7" t="str">
        <f>VLOOKUP(Tabela11[[#This Row],[Tag do Cabo]],BD!A:AJ,11,0)</f>
        <v>TCC-36 - 8HV (480V)</v>
      </c>
      <c r="J244" s="3" t="str">
        <f>VLOOKUP(Tabela11[[#This Row],[Tag do Cabo]],BD!A:AJ,12,0)</f>
        <v>BCH19-8HV - RETIFICADOR</v>
      </c>
      <c r="K244" s="391" t="s">
        <v>1618</v>
      </c>
      <c r="L244" s="391" t="s">
        <v>1564</v>
      </c>
      <c r="M244" s="3" t="str">
        <f>CONCATENATE(Tabela11[[#This Row],[Painel 1]]&amp;" "&amp;Tabela11[[#This Row],[Painel 2]])</f>
        <v>TCC-36 BCH-19</v>
      </c>
      <c r="N244" s="157">
        <v>6</v>
      </c>
      <c r="O244" s="391" t="s">
        <v>92</v>
      </c>
      <c r="P244" s="391" t="s">
        <v>1536</v>
      </c>
      <c r="Q244" s="391">
        <f>VLOOKUP(Tabela11[[#This Row],[Tag do Cabo]],BD!A:F,6,0)</f>
        <v>25</v>
      </c>
      <c r="R244" s="391">
        <f>SUMIF('Lançamento de Cabos'!AE:AE,Tabela11[[#This Row],[Tag do Cabo]],'Lançamento de Cabos'!AG:AG)</f>
        <v>6</v>
      </c>
      <c r="S244" s="28">
        <f>Tabela11[[#This Row],[Ligações Realizadas]]/Tabela11[[#This Row],[Qtde Ligações]]</f>
        <v>1</v>
      </c>
      <c r="T244" s="272">
        <f>IF(Tabela11[[#This Row],[Ligações Realizadas]]/Tabela11[[#This Row],[Qtde Ligações]]=0,0,IF(Tabela11[[#This Row],[Ligações Realizadas]]/Tabela11[[#This Row],[Qtde Ligações]]=1,ROUND(N244/2,0),"Ver Painel"))</f>
        <v>3</v>
      </c>
      <c r="U244" s="273">
        <f>IF(Tabela11[[#This Row],[Ligações Realizadas]]/Tabela11[[#This Row],[Qtde Ligações]]=0,0,IF(Tabela11[[#This Row],[Ligações Realizadas]]/Tabela11[[#This Row],[Qtde Ligações]]=1,ROUND(N244/2,0),"Ver Painel"))</f>
        <v>3</v>
      </c>
      <c r="V244" s="222"/>
    </row>
    <row r="245" spans="1:22" hidden="1" x14ac:dyDescent="0.25">
      <c r="A245" s="34" t="s">
        <v>881</v>
      </c>
      <c r="B245" s="391" t="str">
        <f>VLOOKUP(Tabela11[[#This Row],[Tag do Cabo]],BD!A:AJ,2,0)</f>
        <v>Força</v>
      </c>
      <c r="C245" s="3" t="str">
        <f>VLOOKUP(Tabela11[[#This Row],[Tag do Cabo]],BD!A:AJ,5,0)</f>
        <v>1x1x3/C#10</v>
      </c>
      <c r="D245" s="391" t="s">
        <v>1533</v>
      </c>
      <c r="E245" s="391" t="str">
        <f>VLOOKUP(Tabela11[[#This Row],[Tag do Cabo]],BD!A:T,20,0)</f>
        <v>BK-SP54-0900A-LC-74-00001_00000</v>
      </c>
      <c r="F245" s="222" t="str">
        <f>IF(VLOOKUP(Tabela11[[#This Row],[Tag do Cabo]],BD!A:AJ,35,0)=0,"Pendente",VLOOKUP(Tabela11[[#This Row],[Tag do Cabo]],BD!A:AJ,35,0))</f>
        <v>BK-SP54-0900B-DI-70-00451</v>
      </c>
      <c r="G245" s="3" t="str">
        <f>IF(VLOOKUP(Tabela11[[#This Row],[Tag do Cabo]],BD!A:AJ,36,0)=0,"Pendente",VLOOKUP(Tabela11[[#This Row],[Tag do Cabo]],BD!A:AJ,36,0))</f>
        <v>3</v>
      </c>
      <c r="H245" s="391" t="str">
        <f>VLOOKUP(Tabela11[[#This Row],[Tag do Cabo]],BD!A:AJ,32,0)</f>
        <v>8HV</v>
      </c>
      <c r="I245" s="7" t="str">
        <f>VLOOKUP(Tabela11[[#This Row],[Tag do Cabo]],BD!A:AJ,11,0)</f>
        <v>TCC-36 - 8HV (480V)</v>
      </c>
      <c r="J245" s="3" t="str">
        <f>VLOOKUP(Tabela11[[#This Row],[Tag do Cabo]],BD!A:AJ,12,0)</f>
        <v>TRN-01 - 8HV</v>
      </c>
      <c r="K245" s="391" t="s">
        <v>1618</v>
      </c>
      <c r="L245" s="391" t="s">
        <v>1620</v>
      </c>
      <c r="M245" s="3" t="str">
        <f>CONCATENATE(Tabela11[[#This Row],[Painel 1]]&amp;" "&amp;Tabela11[[#This Row],[Painel 2]])</f>
        <v>TCC-36 TRN-01</v>
      </c>
      <c r="N245" s="231">
        <v>6</v>
      </c>
      <c r="O245" s="391" t="s">
        <v>92</v>
      </c>
      <c r="P245" s="391" t="s">
        <v>1536</v>
      </c>
      <c r="Q245" s="391">
        <f>VLOOKUP(Tabela11[[#This Row],[Tag do Cabo]],BD!A:F,6,0)</f>
        <v>10</v>
      </c>
      <c r="R245" s="391">
        <f>SUMIF('Lançamento de Cabos'!AE:AE,Tabela11[[#This Row],[Tag do Cabo]],'Lançamento de Cabos'!AG:AG)</f>
        <v>6</v>
      </c>
      <c r="S245" s="28">
        <f>Tabela11[[#This Row],[Ligações Realizadas]]/Tabela11[[#This Row],[Qtde Ligações]]</f>
        <v>1</v>
      </c>
      <c r="T245" s="272">
        <f>IF(Tabela11[[#This Row],[Ligações Realizadas]]/Tabela11[[#This Row],[Qtde Ligações]]=0,0,IF(Tabela11[[#This Row],[Ligações Realizadas]]/Tabela11[[#This Row],[Qtde Ligações]]=1,ROUND(N245/2,0),"Ver Painel"))</f>
        <v>3</v>
      </c>
      <c r="U245" s="273">
        <f>IF(Tabela11[[#This Row],[Ligações Realizadas]]/Tabela11[[#This Row],[Qtde Ligações]]=0,0,IF(Tabela11[[#This Row],[Ligações Realizadas]]/Tabela11[[#This Row],[Qtde Ligações]]=1,ROUND(N245/2,0),"Ver Painel"))</f>
        <v>3</v>
      </c>
      <c r="V245" s="222"/>
    </row>
    <row r="246" spans="1:22" hidden="1" x14ac:dyDescent="0.25">
      <c r="A246" s="34" t="s">
        <v>963</v>
      </c>
      <c r="B246" s="391" t="str">
        <f>VLOOKUP(Tabela11[[#This Row],[Tag do Cabo]],BD!A:AJ,2,0)</f>
        <v>Força</v>
      </c>
      <c r="C246" s="3" t="str">
        <f>VLOOKUP(Tabela11[[#This Row],[Tag do Cabo]],BD!A:AJ,5,0)</f>
        <v>4x3x1/C#185</v>
      </c>
      <c r="D246" s="391" t="s">
        <v>1533</v>
      </c>
      <c r="E246" s="391" t="str">
        <f>VLOOKUP(Tabela11[[#This Row],[Tag do Cabo]],BD!A:T,20,0)</f>
        <v>BK-SP54-0900A-LC-74-00001_00000</v>
      </c>
      <c r="F246" s="3" t="str">
        <f>IF(VLOOKUP(Tabela11[[#This Row],[Tag do Cabo]],BD!A:AJ,35,0)=0,"Pendente",VLOOKUP(Tabela11[[#This Row],[Tag do Cabo]],BD!A:AJ,35,0))</f>
        <v>BK-SP54-0900B-DI-70-00451</v>
      </c>
      <c r="G246" s="3" t="str">
        <f>IF(VLOOKUP(Tabela11[[#This Row],[Tag do Cabo]],BD!A:AJ,36,0)=0,"Pendente",VLOOKUP(Tabela11[[#This Row],[Tag do Cabo]],BD!A:AJ,36,0))</f>
        <v>3</v>
      </c>
      <c r="H246" s="391" t="str">
        <f>VLOOKUP(Tabela11[[#This Row],[Tag do Cabo]],BD!A:AJ,32,0)</f>
        <v>8HVxCCP</v>
      </c>
      <c r="I246" s="7" t="str">
        <f>VLOOKUP(Tabela11[[#This Row],[Tag do Cabo]],BD!A:AJ,11,0)</f>
        <v>MCC-TCC-3</v>
      </c>
      <c r="J246" s="3" t="str">
        <f>VLOOKUP(Tabela11[[#This Row],[Tag do Cabo]],BD!A:AJ,12,0)</f>
        <v>TCC-36 - 8HV</v>
      </c>
      <c r="K246" s="391" t="s">
        <v>1621</v>
      </c>
      <c r="L246" s="391" t="s">
        <v>1618</v>
      </c>
      <c r="M246" s="3" t="str">
        <f>CONCATENATE(Tabela11[[#This Row],[Painel 1]]&amp;" "&amp;Tabela11[[#This Row],[Painel 2]])</f>
        <v>TCC-3 TCC-36</v>
      </c>
      <c r="N246" s="157">
        <v>24</v>
      </c>
      <c r="O246" s="391" t="s">
        <v>92</v>
      </c>
      <c r="P246" s="391" t="s">
        <v>1536</v>
      </c>
      <c r="Q246" s="391">
        <f>VLOOKUP(Tabela11[[#This Row],[Tag do Cabo]],BD!A:F,6,0)</f>
        <v>185</v>
      </c>
      <c r="R246" s="391">
        <f>SUMIF('Lançamento de Cabos'!AE:AE,Tabela11[[#This Row],[Tag do Cabo]],'Lançamento de Cabos'!AG:AG)</f>
        <v>24</v>
      </c>
      <c r="S246" s="28">
        <f>Tabela11[[#This Row],[Ligações Realizadas]]/Tabela11[[#This Row],[Qtde Ligações]]</f>
        <v>1</v>
      </c>
      <c r="T246" s="272">
        <f>IF(Tabela11[[#This Row],[Ligações Realizadas]]/Tabela11[[#This Row],[Qtde Ligações]]=0,0,IF(Tabela11[[#This Row],[Ligações Realizadas]]/Tabela11[[#This Row],[Qtde Ligações]]=1,ROUND(N246/2,0),"Ver Painel"))</f>
        <v>12</v>
      </c>
      <c r="U246" s="273">
        <f>IF(Tabela11[[#This Row],[Ligações Realizadas]]/Tabela11[[#This Row],[Qtde Ligações]]=0,0,IF(Tabela11[[#This Row],[Ligações Realizadas]]/Tabela11[[#This Row],[Qtde Ligações]]=1,ROUND(N246/2,0),"Ver Painel"))</f>
        <v>12</v>
      </c>
      <c r="V246" s="222"/>
    </row>
    <row r="247" spans="1:22" hidden="1" x14ac:dyDescent="0.25">
      <c r="A247" s="34" t="s">
        <v>509</v>
      </c>
      <c r="B247" s="391" t="str">
        <f>VLOOKUP(Tabela11[[#This Row],[Tag do Cabo]],BD!A:AJ,2,0)</f>
        <v>Força</v>
      </c>
      <c r="C247" s="3" t="str">
        <f>VLOOKUP(Tabela11[[#This Row],[Tag do Cabo]],BD!A:AJ,5,0)</f>
        <v>1x1x4/C#6</v>
      </c>
      <c r="D247" s="391" t="s">
        <v>1542</v>
      </c>
      <c r="E247" s="391" t="str">
        <f>VLOOKUP(Tabela11[[#This Row],[Tag do Cabo]],BD!A:T,20,0)</f>
        <v>E5WP000490-C-001-LC003</v>
      </c>
      <c r="F247" s="3" t="str">
        <f>IF(VLOOKUP(Tabela11[[#This Row],[Tag do Cabo]],BD!A:AJ,35,0)=0,"Pendente",VLOOKUP(Tabela11[[#This Row],[Tag do Cabo]],BD!A:AJ,35,0))</f>
        <v>E5WP000490-C-002-DE003</v>
      </c>
      <c r="G247" s="3" t="str">
        <f>IF(VLOOKUP(Tabela11[[#This Row],[Tag do Cabo]],BD!A:AJ,36,0)=0,"Pendente",VLOOKUP(Tabela11[[#This Row],[Tag do Cabo]],BD!A:AJ,36,0))</f>
        <v>5</v>
      </c>
      <c r="H247" s="391" t="str">
        <f>VLOOKUP(Tabela11[[#This Row],[Tag do Cabo]],BD!A:AJ,32,0)</f>
        <v>7HV</v>
      </c>
      <c r="I247" s="7" t="str">
        <f>VLOOKUP(Tabela11[[#This Row],[Tag do Cabo]],BD!A:AJ,11,0)</f>
        <v>E-HOUSE (TCC-49)</v>
      </c>
      <c r="J247" s="3" t="str">
        <f>VLOOKUP(Tabela11[[#This Row],[Tag do Cabo]],BD!A:AJ,12,0)</f>
        <v>CELLAR AREA (TRN-04A)</v>
      </c>
      <c r="K247" s="391" t="s">
        <v>1543</v>
      </c>
      <c r="L247" s="391" t="s">
        <v>1622</v>
      </c>
      <c r="M247" s="3" t="str">
        <f>CONCATENATE(Tabela11[[#This Row],[Painel 1]]&amp;" "&amp;Tabela11[[#This Row],[Painel 2]])</f>
        <v>TCC-49 TRN-04A</v>
      </c>
      <c r="N247" s="157">
        <v>6</v>
      </c>
      <c r="O247" s="391" t="s">
        <v>92</v>
      </c>
      <c r="P247" s="391" t="s">
        <v>1550</v>
      </c>
      <c r="Q247" s="391">
        <f>VLOOKUP(Tabela11[[#This Row],[Tag do Cabo]],BD!A:F,6,0)</f>
        <v>6</v>
      </c>
      <c r="R247" s="391">
        <f>SUMIF('Lançamento de Cabos'!AE:AE,Tabela11[[#This Row],[Tag do Cabo]],'Lançamento de Cabos'!AG:AG)</f>
        <v>3</v>
      </c>
      <c r="S247" s="28">
        <f>Tabela11[[#This Row],[Ligações Realizadas]]/Tabela11[[#This Row],[Qtde Ligações]]</f>
        <v>0.5</v>
      </c>
      <c r="T247" s="270">
        <v>0</v>
      </c>
      <c r="U247" s="271">
        <v>3</v>
      </c>
      <c r="V247" s="222"/>
    </row>
    <row r="248" spans="1:22" hidden="1" x14ac:dyDescent="0.25">
      <c r="A248" s="34" t="s">
        <v>512</v>
      </c>
      <c r="B248" s="391" t="str">
        <f>VLOOKUP(Tabela11[[#This Row],[Tag do Cabo]],BD!A:AJ,2,0)</f>
        <v>Força</v>
      </c>
      <c r="C248" s="3" t="str">
        <f>VLOOKUP(Tabela11[[#This Row],[Tag do Cabo]],BD!A:AJ,5,0)</f>
        <v>1x1x4/C#6</v>
      </c>
      <c r="D248" s="391" t="s">
        <v>1542</v>
      </c>
      <c r="E248" s="391" t="str">
        <f>VLOOKUP(Tabela11[[#This Row],[Tag do Cabo]],BD!A:T,20,0)</f>
        <v>E5WP000490-C-001-LC003</v>
      </c>
      <c r="F248" s="3" t="str">
        <f>IF(VLOOKUP(Tabela11[[#This Row],[Tag do Cabo]],BD!A:AJ,35,0)=0,"Pendente",VLOOKUP(Tabela11[[#This Row],[Tag do Cabo]],BD!A:AJ,35,0))</f>
        <v>E5WP000490-C-002-DE003</v>
      </c>
      <c r="G248" s="3" t="str">
        <f>IF(VLOOKUP(Tabela11[[#This Row],[Tag do Cabo]],BD!A:AJ,36,0)=0,"Pendente",VLOOKUP(Tabela11[[#This Row],[Tag do Cabo]],BD!A:AJ,36,0))</f>
        <v>5</v>
      </c>
      <c r="H248" s="391" t="str">
        <f>VLOOKUP(Tabela11[[#This Row],[Tag do Cabo]],BD!A:AJ,32,0)</f>
        <v>7HV</v>
      </c>
      <c r="I248" s="7" t="str">
        <f>VLOOKUP(Tabela11[[#This Row],[Tag do Cabo]],BD!A:AJ,11,0)</f>
        <v>E-HOUSE (TCC-49)</v>
      </c>
      <c r="J248" s="3" t="str">
        <f>VLOOKUP(Tabela11[[#This Row],[Tag do Cabo]],BD!A:AJ,12,0)</f>
        <v>CELLAR AREA (TRN-03A)</v>
      </c>
      <c r="K248" s="391" t="s">
        <v>1543</v>
      </c>
      <c r="L248" s="391" t="s">
        <v>1623</v>
      </c>
      <c r="M248" s="3" t="str">
        <f>CONCATENATE(Tabela11[[#This Row],[Painel 1]]&amp;" "&amp;Tabela11[[#This Row],[Painel 2]])</f>
        <v>TCC-49 TRN-03A</v>
      </c>
      <c r="N248" s="157">
        <v>6</v>
      </c>
      <c r="O248" s="391" t="s">
        <v>92</v>
      </c>
      <c r="P248" s="391" t="s">
        <v>1550</v>
      </c>
      <c r="Q248" s="391">
        <f>VLOOKUP(Tabela11[[#This Row],[Tag do Cabo]],BD!A:F,6,0)</f>
        <v>6</v>
      </c>
      <c r="R248" s="391">
        <f>SUMIF('Lançamento de Cabos'!AE:AE,Tabela11[[#This Row],[Tag do Cabo]],'Lançamento de Cabos'!AG:AG)</f>
        <v>3</v>
      </c>
      <c r="S248" s="28">
        <f>Tabela11[[#This Row],[Ligações Realizadas]]/Tabela11[[#This Row],[Qtde Ligações]]</f>
        <v>0.5</v>
      </c>
      <c r="T248" s="270">
        <v>0</v>
      </c>
      <c r="U248" s="271">
        <v>3</v>
      </c>
      <c r="V248" s="222"/>
    </row>
    <row r="249" spans="1:22" hidden="1" x14ac:dyDescent="0.25">
      <c r="A249" s="34" t="s">
        <v>514</v>
      </c>
      <c r="B249" s="391" t="str">
        <f>VLOOKUP(Tabela11[[#This Row],[Tag do Cabo]],BD!A:AJ,2,0)</f>
        <v>Força</v>
      </c>
      <c r="C249" s="3" t="str">
        <f>VLOOKUP(Tabela11[[#This Row],[Tag do Cabo]],BD!A:AJ,5,0)</f>
        <v>1x1x1/C#2,5</v>
      </c>
      <c r="D249" s="391" t="s">
        <v>1542</v>
      </c>
      <c r="E249" s="391" t="str">
        <f>VLOOKUP(Tabela11[[#This Row],[Tag do Cabo]],BD!A:T,20,0)</f>
        <v>E5WP000490-C-001-LC003</v>
      </c>
      <c r="F249" s="3" t="str">
        <f>IF(VLOOKUP(Tabela11[[#This Row],[Tag do Cabo]],BD!A:AJ,35,0)=0,"Pendente",VLOOKUP(Tabela11[[#This Row],[Tag do Cabo]],BD!A:AJ,35,0))</f>
        <v>E5WP000490-C-002-DE003</v>
      </c>
      <c r="G249" s="3" t="str">
        <f>IF(VLOOKUP(Tabela11[[#This Row],[Tag do Cabo]],BD!A:AJ,36,0)=0,"Pendente",VLOOKUP(Tabela11[[#This Row],[Tag do Cabo]],BD!A:AJ,36,0))</f>
        <v>5</v>
      </c>
      <c r="H249" s="391" t="str">
        <f>VLOOKUP(Tabela11[[#This Row],[Tag do Cabo]],BD!A:AJ,32,0)</f>
        <v>7HV</v>
      </c>
      <c r="I249" s="7" t="str">
        <f>VLOOKUP(Tabela11[[#This Row],[Tag do Cabo]],BD!A:AJ,11,0)</f>
        <v>E-HOUSE (TCC-49)</v>
      </c>
      <c r="J249" s="3" t="str">
        <f>VLOOKUP(Tabela11[[#This Row],[Tag do Cabo]],BD!A:AJ,12,0)</f>
        <v>CELLAR AREA (RS-TR-27)</v>
      </c>
      <c r="K249" s="391" t="s">
        <v>1543</v>
      </c>
      <c r="L249" s="391" t="s">
        <v>1612</v>
      </c>
      <c r="M249" s="3" t="str">
        <f>CONCATENATE(Tabela11[[#This Row],[Painel 1]]&amp;" "&amp;Tabela11[[#This Row],[Painel 2]])</f>
        <v>TCC-49 RS-TR-27</v>
      </c>
      <c r="N249" s="157">
        <v>2</v>
      </c>
      <c r="O249" s="391" t="s">
        <v>92</v>
      </c>
      <c r="P249" s="391" t="s">
        <v>1550</v>
      </c>
      <c r="Q249" s="391">
        <f>VLOOKUP(Tabela11[[#This Row],[Tag do Cabo]],BD!A:F,6,0)</f>
        <v>2.5</v>
      </c>
      <c r="R249" s="391">
        <f>SUMIF('Lançamento de Cabos'!AE:AE,Tabela11[[#This Row],[Tag do Cabo]],'Lançamento de Cabos'!AG:AG)</f>
        <v>2</v>
      </c>
      <c r="S249" s="28">
        <f>Tabela11[[#This Row],[Ligações Realizadas]]/Tabela11[[#This Row],[Qtde Ligações]]</f>
        <v>1</v>
      </c>
      <c r="T249" s="272">
        <f>IF(Tabela11[[#This Row],[Ligações Realizadas]]/Tabela11[[#This Row],[Qtde Ligações]]=0,0,IF(Tabela11[[#This Row],[Ligações Realizadas]]/Tabela11[[#This Row],[Qtde Ligações]]=1,ROUND(N249/2,0),"Ver Painel"))</f>
        <v>1</v>
      </c>
      <c r="U249" s="273">
        <f>IF(Tabela11[[#This Row],[Ligações Realizadas]]/Tabela11[[#This Row],[Qtde Ligações]]=0,0,IF(Tabela11[[#This Row],[Ligações Realizadas]]/Tabela11[[#This Row],[Qtde Ligações]]=1,ROUND(N249/2,0),"Ver Painel"))</f>
        <v>1</v>
      </c>
      <c r="V249" s="222"/>
    </row>
    <row r="250" spans="1:22" hidden="1" x14ac:dyDescent="0.25">
      <c r="A250" s="34" t="s">
        <v>711</v>
      </c>
      <c r="B250" s="391" t="str">
        <f>VLOOKUP(Tabela11[[#This Row],[Tag do Cabo]],BD!A:AJ,2,0)</f>
        <v>Força</v>
      </c>
      <c r="C250" s="3" t="str">
        <f>VLOOKUP(Tabela11[[#This Row],[Tag do Cabo]],BD!A:AJ,5,0)</f>
        <v>1x1x3/C#50</v>
      </c>
      <c r="D250" s="391" t="s">
        <v>1542</v>
      </c>
      <c r="E250" s="391" t="str">
        <f>VLOOKUP(Tabela11[[#This Row],[Tag do Cabo]],BD!A:T,20,0)</f>
        <v>BK-SP54-0900B-LC-74-00004_00000</v>
      </c>
      <c r="F250" s="3" t="str">
        <f>IF(VLOOKUP(Tabela11[[#This Row],[Tag do Cabo]],BD!A:AJ,35,0)=0,"Pendente",VLOOKUP(Tabela11[[#This Row],[Tag do Cabo]],BD!A:AJ,35,0))</f>
        <v>BK-SP54-0900B-DI-70-01014</v>
      </c>
      <c r="G250" s="3" t="str">
        <f>IF(VLOOKUP(Tabela11[[#This Row],[Tag do Cabo]],BD!A:AJ,36,0)=0,"Pendente",VLOOKUP(Tabela11[[#This Row],[Tag do Cabo]],BD!A:AJ,36,0))</f>
        <v>3</v>
      </c>
      <c r="H250" s="391" t="str">
        <f>VLOOKUP(Tabela11[[#This Row],[Tag do Cabo]],BD!A:AJ,32,0)</f>
        <v>7HVxGB-1201</v>
      </c>
      <c r="I250" s="7" t="str">
        <f>VLOOKUP(Tabela11[[#This Row],[Tag do Cabo]],BD!A:AJ,11,0)</f>
        <v>PAINEL TCC-49 (7HV)</v>
      </c>
      <c r="J250" s="3" t="str">
        <f>VLOOKUP(Tabela11[[#This Row],[Tag do Cabo]],BD!A:AJ,12,0)</f>
        <v>GBM-1201 - FAN 1</v>
      </c>
      <c r="K250" s="391" t="s">
        <v>1543</v>
      </c>
      <c r="L250" s="391" t="s">
        <v>703</v>
      </c>
      <c r="M250" s="3" t="str">
        <f>CONCATENATE(Tabela11[[#This Row],[Painel 1]]&amp;" "&amp;Tabela11[[#This Row],[Painel 2]])</f>
        <v>TCC-49 GB-1201</v>
      </c>
      <c r="N250" s="157">
        <v>6</v>
      </c>
      <c r="O250" s="391" t="s">
        <v>92</v>
      </c>
      <c r="P250" s="391" t="s">
        <v>1536</v>
      </c>
      <c r="Q250" s="391">
        <f>VLOOKUP(Tabela11[[#This Row],[Tag do Cabo]],BD!A:F,6,0)</f>
        <v>50</v>
      </c>
      <c r="R250" s="391">
        <f>SUMIF('Lançamento de Cabos'!AE:AE,Tabela11[[#This Row],[Tag do Cabo]],'Lançamento de Cabos'!AG:AG)</f>
        <v>0</v>
      </c>
      <c r="S250" s="28">
        <f>Tabela11[[#This Row],[Ligações Realizadas]]/Tabela11[[#This Row],[Qtde Ligações]]</f>
        <v>0</v>
      </c>
      <c r="T250" s="269">
        <f>IF(Tabela11[[#This Row],[Ligações Realizadas]]/Tabela11[[#This Row],[Qtde Ligações]]=0,0,IF(Tabela11[[#This Row],[Ligações Realizadas]]/Tabela11[[#This Row],[Qtde Ligações]]=1,ROUND(N250/2,0),"Ver Painel"))</f>
        <v>0</v>
      </c>
      <c r="U250" s="23">
        <f>IF(Tabela11[[#This Row],[Ligações Realizadas]]/Tabela11[[#This Row],[Qtde Ligações]]=0,0,IF(Tabela11[[#This Row],[Ligações Realizadas]]/Tabela11[[#This Row],[Qtde Ligações]]=1,ROUND(N250/2,0),"Ver Painel"))</f>
        <v>0</v>
      </c>
      <c r="V250" s="222"/>
    </row>
    <row r="251" spans="1:22" hidden="1" x14ac:dyDescent="0.25">
      <c r="A251" s="34" t="s">
        <v>715</v>
      </c>
      <c r="B251" s="391" t="str">
        <f>VLOOKUP(Tabela11[[#This Row],[Tag do Cabo]],BD!A:AJ,2,0)</f>
        <v>Força</v>
      </c>
      <c r="C251" s="3" t="str">
        <f>VLOOKUP(Tabela11[[#This Row],[Tag do Cabo]],BD!A:AJ,5,0)</f>
        <v>1x1x3/C#50</v>
      </c>
      <c r="D251" s="391" t="s">
        <v>1542</v>
      </c>
      <c r="E251" s="391" t="str">
        <f>VLOOKUP(Tabela11[[#This Row],[Tag do Cabo]],BD!A:T,20,0)</f>
        <v>BK-SP54-0900B-LC-74-00004_00000</v>
      </c>
      <c r="F251" s="3" t="str">
        <f>IF(VLOOKUP(Tabela11[[#This Row],[Tag do Cabo]],BD!A:AJ,35,0)=0,"Pendente",VLOOKUP(Tabela11[[#This Row],[Tag do Cabo]],BD!A:AJ,35,0))</f>
        <v>BK-SP54-0900B-DI-70-01014</v>
      </c>
      <c r="G251" s="3" t="str">
        <f>IF(VLOOKUP(Tabela11[[#This Row],[Tag do Cabo]],BD!A:AJ,36,0)=0,"Pendente",VLOOKUP(Tabela11[[#This Row],[Tag do Cabo]],BD!A:AJ,36,0))</f>
        <v>3</v>
      </c>
      <c r="H251" s="391" t="str">
        <f>VLOOKUP(Tabela11[[#This Row],[Tag do Cabo]],BD!A:AJ,32,0)</f>
        <v>7HVxGB-1201</v>
      </c>
      <c r="I251" s="7" t="str">
        <f>VLOOKUP(Tabela11[[#This Row],[Tag do Cabo]],BD!A:AJ,11,0)</f>
        <v>PAINEL TCC-49 (7HV)</v>
      </c>
      <c r="J251" s="3" t="str">
        <f>VLOOKUP(Tabela11[[#This Row],[Tag do Cabo]],BD!A:AJ,12,0)</f>
        <v>GBM-1201 - FAN 2</v>
      </c>
      <c r="K251" s="391" t="s">
        <v>1543</v>
      </c>
      <c r="L251" s="391" t="s">
        <v>703</v>
      </c>
      <c r="M251" s="3" t="str">
        <f>CONCATENATE(Tabela11[[#This Row],[Painel 1]]&amp;" "&amp;Tabela11[[#This Row],[Painel 2]])</f>
        <v>TCC-49 GB-1201</v>
      </c>
      <c r="N251" s="157">
        <v>6</v>
      </c>
      <c r="O251" s="391" t="s">
        <v>92</v>
      </c>
      <c r="P251" s="391" t="s">
        <v>1536</v>
      </c>
      <c r="Q251" s="391">
        <f>VLOOKUP(Tabela11[[#This Row],[Tag do Cabo]],BD!A:F,6,0)</f>
        <v>50</v>
      </c>
      <c r="R251" s="391">
        <f>SUMIF('Lançamento de Cabos'!AE:AE,Tabela11[[#This Row],[Tag do Cabo]],'Lançamento de Cabos'!AG:AG)</f>
        <v>0</v>
      </c>
      <c r="S251" s="28">
        <f>Tabela11[[#This Row],[Ligações Realizadas]]/Tabela11[[#This Row],[Qtde Ligações]]</f>
        <v>0</v>
      </c>
      <c r="T251" s="269">
        <f>IF(Tabela11[[#This Row],[Ligações Realizadas]]/Tabela11[[#This Row],[Qtde Ligações]]=0,0,IF(Tabela11[[#This Row],[Ligações Realizadas]]/Tabela11[[#This Row],[Qtde Ligações]]=1,ROUND(N251/2,0),"Ver Painel"))</f>
        <v>0</v>
      </c>
      <c r="U251" s="23">
        <f>IF(Tabela11[[#This Row],[Ligações Realizadas]]/Tabela11[[#This Row],[Qtde Ligações]]=0,0,IF(Tabela11[[#This Row],[Ligações Realizadas]]/Tabela11[[#This Row],[Qtde Ligações]]=1,ROUND(N251/2,0),"Ver Painel"))</f>
        <v>0</v>
      </c>
      <c r="V251" s="222"/>
    </row>
    <row r="252" spans="1:22" hidden="1" x14ac:dyDescent="0.25">
      <c r="A252" s="34" t="s">
        <v>738</v>
      </c>
      <c r="B252" s="391" t="str">
        <f>VLOOKUP(Tabela11[[#This Row],[Tag do Cabo]],BD!A:AJ,2,0)</f>
        <v>Força</v>
      </c>
      <c r="C252" s="3" t="str">
        <f>VLOOKUP(Tabela11[[#This Row],[Tag do Cabo]],BD!A:AJ,5,0)</f>
        <v>1x1x3/C#50</v>
      </c>
      <c r="D252" s="391" t="s">
        <v>1542</v>
      </c>
      <c r="E252" s="391" t="str">
        <f>VLOOKUP(Tabela11[[#This Row],[Tag do Cabo]],BD!A:T,20,0)</f>
        <v>BK-SP54-0900B-LC-74-00004_00000</v>
      </c>
      <c r="F252" s="3" t="str">
        <f>IF(VLOOKUP(Tabela11[[#This Row],[Tag do Cabo]],BD!A:AJ,35,0)=0,"Pendente",VLOOKUP(Tabela11[[#This Row],[Tag do Cabo]],BD!A:AJ,35,0))</f>
        <v>BK-SP54-0900B-DI-70-01014</v>
      </c>
      <c r="G252" s="3" t="str">
        <f>IF(VLOOKUP(Tabela11[[#This Row],[Tag do Cabo]],BD!A:AJ,36,0)=0,"Pendente",VLOOKUP(Tabela11[[#This Row],[Tag do Cabo]],BD!A:AJ,36,0))</f>
        <v>4</v>
      </c>
      <c r="H252" s="391" t="str">
        <f>VLOOKUP(Tabela11[[#This Row],[Tag do Cabo]],BD!A:AJ,32,0)</f>
        <v>7HVxGB-1203</v>
      </c>
      <c r="I252" s="7" t="str">
        <f>VLOOKUP(Tabela11[[#This Row],[Tag do Cabo]],BD!A:AJ,11,0)</f>
        <v>PAINEL TCC-49 (7HV)</v>
      </c>
      <c r="J252" s="3" t="str">
        <f>VLOOKUP(Tabela11[[#This Row],[Tag do Cabo]],BD!A:AJ,12,0)</f>
        <v>GBM-1203 - FAN 1</v>
      </c>
      <c r="K252" s="391" t="s">
        <v>1543</v>
      </c>
      <c r="L252" s="391" t="s">
        <v>733</v>
      </c>
      <c r="M252" s="3" t="str">
        <f>CONCATENATE(Tabela11[[#This Row],[Painel 1]]&amp;" "&amp;Tabela11[[#This Row],[Painel 2]])</f>
        <v>TCC-49 GB-1203</v>
      </c>
      <c r="N252" s="157">
        <v>6</v>
      </c>
      <c r="O252" s="391" t="s">
        <v>92</v>
      </c>
      <c r="P252" s="391" t="s">
        <v>1536</v>
      </c>
      <c r="Q252" s="391">
        <f>VLOOKUP(Tabela11[[#This Row],[Tag do Cabo]],BD!A:F,6,0)</f>
        <v>50</v>
      </c>
      <c r="R252" s="391">
        <f>SUMIF('Lançamento de Cabos'!AE:AE,Tabela11[[#This Row],[Tag do Cabo]],'Lançamento de Cabos'!AG:AG)</f>
        <v>0</v>
      </c>
      <c r="S252" s="28">
        <f>Tabela11[[#This Row],[Ligações Realizadas]]/Tabela11[[#This Row],[Qtde Ligações]]</f>
        <v>0</v>
      </c>
      <c r="T252" s="269">
        <f>IF(Tabela11[[#This Row],[Ligações Realizadas]]/Tabela11[[#This Row],[Qtde Ligações]]=0,0,IF(Tabela11[[#This Row],[Ligações Realizadas]]/Tabela11[[#This Row],[Qtde Ligações]]=1,ROUND(N252/2,0),"Ver Painel"))</f>
        <v>0</v>
      </c>
      <c r="U252" s="23">
        <f>IF(Tabela11[[#This Row],[Ligações Realizadas]]/Tabela11[[#This Row],[Qtde Ligações]]=0,0,IF(Tabela11[[#This Row],[Ligações Realizadas]]/Tabela11[[#This Row],[Qtde Ligações]]=1,ROUND(N252/2,0),"Ver Painel"))</f>
        <v>0</v>
      </c>
      <c r="V252" s="222"/>
    </row>
    <row r="253" spans="1:22" hidden="1" x14ac:dyDescent="0.25">
      <c r="A253" s="34" t="s">
        <v>740</v>
      </c>
      <c r="B253" s="391" t="str">
        <f>VLOOKUP(Tabela11[[#This Row],[Tag do Cabo]],BD!A:AJ,2,0)</f>
        <v>Força</v>
      </c>
      <c r="C253" s="3" t="str">
        <f>VLOOKUP(Tabela11[[#This Row],[Tag do Cabo]],BD!A:AJ,5,0)</f>
        <v>1x1x3/C#50</v>
      </c>
      <c r="D253" s="391" t="s">
        <v>1542</v>
      </c>
      <c r="E253" s="391" t="str">
        <f>VLOOKUP(Tabela11[[#This Row],[Tag do Cabo]],BD!A:T,20,0)</f>
        <v>BK-SP54-0900B-LC-74-00004_00000</v>
      </c>
      <c r="F253" s="3" t="str">
        <f>IF(VLOOKUP(Tabela11[[#This Row],[Tag do Cabo]],BD!A:AJ,35,0)=0,"Pendente",VLOOKUP(Tabela11[[#This Row],[Tag do Cabo]],BD!A:AJ,35,0))</f>
        <v>BK-SP54-0900B-DI-70-01014</v>
      </c>
      <c r="G253" s="3" t="str">
        <f>IF(VLOOKUP(Tabela11[[#This Row],[Tag do Cabo]],BD!A:AJ,36,0)=0,"Pendente",VLOOKUP(Tabela11[[#This Row],[Tag do Cabo]],BD!A:AJ,36,0))</f>
        <v>4</v>
      </c>
      <c r="H253" s="391" t="str">
        <f>VLOOKUP(Tabela11[[#This Row],[Tag do Cabo]],BD!A:AJ,32,0)</f>
        <v>7HVxGB-1203</v>
      </c>
      <c r="I253" s="7" t="str">
        <f>VLOOKUP(Tabela11[[#This Row],[Tag do Cabo]],BD!A:AJ,11,0)</f>
        <v>PAINEL TCC-49 (7HV)</v>
      </c>
      <c r="J253" s="3" t="str">
        <f>VLOOKUP(Tabela11[[#This Row],[Tag do Cabo]],BD!A:AJ,12,0)</f>
        <v>GBM-1203 - FAN 2</v>
      </c>
      <c r="K253" s="391" t="s">
        <v>1543</v>
      </c>
      <c r="L253" s="391" t="s">
        <v>733</v>
      </c>
      <c r="M253" s="3" t="str">
        <f>CONCATENATE(Tabela11[[#This Row],[Painel 1]]&amp;" "&amp;Tabela11[[#This Row],[Painel 2]])</f>
        <v>TCC-49 GB-1203</v>
      </c>
      <c r="N253" s="157">
        <v>6</v>
      </c>
      <c r="O253" s="391" t="s">
        <v>92</v>
      </c>
      <c r="P253" s="391" t="s">
        <v>1536</v>
      </c>
      <c r="Q253" s="391">
        <f>VLOOKUP(Tabela11[[#This Row],[Tag do Cabo]],BD!A:F,6,0)</f>
        <v>50</v>
      </c>
      <c r="R253" s="391">
        <f>SUMIF('Lançamento de Cabos'!AE:AE,Tabela11[[#This Row],[Tag do Cabo]],'Lançamento de Cabos'!AG:AG)</f>
        <v>0</v>
      </c>
      <c r="S253" s="28">
        <f>Tabela11[[#This Row],[Ligações Realizadas]]/Tabela11[[#This Row],[Qtde Ligações]]</f>
        <v>0</v>
      </c>
      <c r="T253" s="269">
        <f>IF(Tabela11[[#This Row],[Ligações Realizadas]]/Tabela11[[#This Row],[Qtde Ligações]]=0,0,IF(Tabela11[[#This Row],[Ligações Realizadas]]/Tabela11[[#This Row],[Qtde Ligações]]=1,ROUND(N253/2,0),"Ver Painel"))</f>
        <v>0</v>
      </c>
      <c r="U253" s="23">
        <f>IF(Tabela11[[#This Row],[Ligações Realizadas]]/Tabela11[[#This Row],[Qtde Ligações]]=0,0,IF(Tabela11[[#This Row],[Ligações Realizadas]]/Tabela11[[#This Row],[Qtde Ligações]]=1,ROUND(N253/2,0),"Ver Painel"))</f>
        <v>0</v>
      </c>
      <c r="V253" s="222"/>
    </row>
    <row r="254" spans="1:22" hidden="1" x14ac:dyDescent="0.25">
      <c r="A254" s="34" t="s">
        <v>742</v>
      </c>
      <c r="B254" s="391" t="str">
        <f>VLOOKUP(Tabela11[[#This Row],[Tag do Cabo]],BD!A:AJ,2,0)</f>
        <v>Força</v>
      </c>
      <c r="C254" s="3" t="str">
        <f>VLOOKUP(Tabela11[[#This Row],[Tag do Cabo]],BD!A:AJ,5,0)</f>
        <v>1x1x3/C#50</v>
      </c>
      <c r="D254" s="391" t="s">
        <v>1542</v>
      </c>
      <c r="E254" s="391" t="str">
        <f>VLOOKUP(Tabela11[[#This Row],[Tag do Cabo]],BD!A:T,20,0)</f>
        <v>BK-SP54-0900B-LC-74-00004_00000</v>
      </c>
      <c r="F254" s="3" t="str">
        <f>IF(VLOOKUP(Tabela11[[#This Row],[Tag do Cabo]],BD!A:AJ,35,0)=0,"Pendente",VLOOKUP(Tabela11[[#This Row],[Tag do Cabo]],BD!A:AJ,35,0))</f>
        <v>BK-SP54-0900B-DI-70-01014</v>
      </c>
      <c r="G254" s="3" t="str">
        <f>IF(VLOOKUP(Tabela11[[#This Row],[Tag do Cabo]],BD!A:AJ,36,0)=0,"Pendente",VLOOKUP(Tabela11[[#This Row],[Tag do Cabo]],BD!A:AJ,36,0))</f>
        <v>4</v>
      </c>
      <c r="H254" s="391" t="str">
        <f>VLOOKUP(Tabela11[[#This Row],[Tag do Cabo]],BD!A:AJ,32,0)</f>
        <v>7HVxGB-1203</v>
      </c>
      <c r="I254" s="7" t="str">
        <f>VLOOKUP(Tabela11[[#This Row],[Tag do Cabo]],BD!A:AJ,11,0)</f>
        <v>PAINEL TCC-49 (7HV)</v>
      </c>
      <c r="J254" s="3" t="str">
        <f>VLOOKUP(Tabela11[[#This Row],[Tag do Cabo]],BD!A:AJ,12,0)</f>
        <v>GBM-1203 - FAN 3</v>
      </c>
      <c r="K254" s="391" t="s">
        <v>1543</v>
      </c>
      <c r="L254" s="391" t="s">
        <v>733</v>
      </c>
      <c r="M254" s="3" t="str">
        <f>CONCATENATE(Tabela11[[#This Row],[Painel 1]]&amp;" "&amp;Tabela11[[#This Row],[Painel 2]])</f>
        <v>TCC-49 GB-1203</v>
      </c>
      <c r="N254" s="157">
        <v>6</v>
      </c>
      <c r="O254" s="391" t="s">
        <v>92</v>
      </c>
      <c r="P254" s="391" t="s">
        <v>1536</v>
      </c>
      <c r="Q254" s="391">
        <f>VLOOKUP(Tabela11[[#This Row],[Tag do Cabo]],BD!A:F,6,0)</f>
        <v>50</v>
      </c>
      <c r="R254" s="391">
        <f>SUMIF('Lançamento de Cabos'!AE:AE,Tabela11[[#This Row],[Tag do Cabo]],'Lançamento de Cabos'!AG:AG)</f>
        <v>0</v>
      </c>
      <c r="S254" s="28">
        <f>Tabela11[[#This Row],[Ligações Realizadas]]/Tabela11[[#This Row],[Qtde Ligações]]</f>
        <v>0</v>
      </c>
      <c r="T254" s="269">
        <f>IF(Tabela11[[#This Row],[Ligações Realizadas]]/Tabela11[[#This Row],[Qtde Ligações]]=0,0,IF(Tabela11[[#This Row],[Ligações Realizadas]]/Tabela11[[#This Row],[Qtde Ligações]]=1,ROUND(N254/2,0),"Ver Painel"))</f>
        <v>0</v>
      </c>
      <c r="U254" s="23">
        <f>IF(Tabela11[[#This Row],[Ligações Realizadas]]/Tabela11[[#This Row],[Qtde Ligações]]=0,0,IF(Tabela11[[#This Row],[Ligações Realizadas]]/Tabela11[[#This Row],[Qtde Ligações]]=1,ROUND(N254/2,0),"Ver Painel"))</f>
        <v>0</v>
      </c>
      <c r="V254" s="222"/>
    </row>
    <row r="255" spans="1:22" hidden="1" x14ac:dyDescent="0.25">
      <c r="A255" s="34" t="s">
        <v>744</v>
      </c>
      <c r="B255" s="391" t="str">
        <f>VLOOKUP(Tabela11[[#This Row],[Tag do Cabo]],BD!A:AJ,2,0)</f>
        <v>Força</v>
      </c>
      <c r="C255" s="3" t="str">
        <f>VLOOKUP(Tabela11[[#This Row],[Tag do Cabo]],BD!A:AJ,5,0)</f>
        <v>1x1x3/C#50</v>
      </c>
      <c r="D255" s="391" t="s">
        <v>1542</v>
      </c>
      <c r="E255" s="391" t="str">
        <f>VLOOKUP(Tabela11[[#This Row],[Tag do Cabo]],BD!A:T,20,0)</f>
        <v>BK-SP54-0900B-LC-74-00004_00000</v>
      </c>
      <c r="F255" s="3" t="str">
        <f>IF(VLOOKUP(Tabela11[[#This Row],[Tag do Cabo]],BD!A:AJ,35,0)=0,"Pendente",VLOOKUP(Tabela11[[#This Row],[Tag do Cabo]],BD!A:AJ,35,0))</f>
        <v>BK-SP54-0900B-DI-70-01014</v>
      </c>
      <c r="G255" s="3" t="str">
        <f>IF(VLOOKUP(Tabela11[[#This Row],[Tag do Cabo]],BD!A:AJ,36,0)=0,"Pendente",VLOOKUP(Tabela11[[#This Row],[Tag do Cabo]],BD!A:AJ,36,0))</f>
        <v>4</v>
      </c>
      <c r="H255" s="391" t="str">
        <f>VLOOKUP(Tabela11[[#This Row],[Tag do Cabo]],BD!A:AJ,32,0)</f>
        <v>7HVxGB-1203</v>
      </c>
      <c r="I255" s="7" t="str">
        <f>VLOOKUP(Tabela11[[#This Row],[Tag do Cabo]],BD!A:AJ,11,0)</f>
        <v>PAINEL TCC-49 (7HV)</v>
      </c>
      <c r="J255" s="3" t="str">
        <f>VLOOKUP(Tabela11[[#This Row],[Tag do Cabo]],BD!A:AJ,12,0)</f>
        <v>GBM-1203 - FAN 4</v>
      </c>
      <c r="K255" s="391" t="s">
        <v>1543</v>
      </c>
      <c r="L255" s="391" t="s">
        <v>733</v>
      </c>
      <c r="M255" s="3" t="str">
        <f>CONCATENATE(Tabela11[[#This Row],[Painel 1]]&amp;" "&amp;Tabela11[[#This Row],[Painel 2]])</f>
        <v>TCC-49 GB-1203</v>
      </c>
      <c r="N255" s="157">
        <v>6</v>
      </c>
      <c r="O255" s="391" t="s">
        <v>92</v>
      </c>
      <c r="P255" s="391" t="s">
        <v>1536</v>
      </c>
      <c r="Q255" s="391">
        <f>VLOOKUP(Tabela11[[#This Row],[Tag do Cabo]],BD!A:F,6,0)</f>
        <v>50</v>
      </c>
      <c r="R255" s="391">
        <f>SUMIF('Lançamento de Cabos'!AE:AE,Tabela11[[#This Row],[Tag do Cabo]],'Lançamento de Cabos'!AG:AG)</f>
        <v>0</v>
      </c>
      <c r="S255" s="28">
        <f>Tabela11[[#This Row],[Ligações Realizadas]]/Tabela11[[#This Row],[Qtde Ligações]]</f>
        <v>0</v>
      </c>
      <c r="T255" s="269">
        <f>IF(Tabela11[[#This Row],[Ligações Realizadas]]/Tabela11[[#This Row],[Qtde Ligações]]=0,0,IF(Tabela11[[#This Row],[Ligações Realizadas]]/Tabela11[[#This Row],[Qtde Ligações]]=1,ROUND(N255/2,0),"Ver Painel"))</f>
        <v>0</v>
      </c>
      <c r="U255" s="23">
        <f>IF(Tabela11[[#This Row],[Ligações Realizadas]]/Tabela11[[#This Row],[Qtde Ligações]]=0,0,IF(Tabela11[[#This Row],[Ligações Realizadas]]/Tabela11[[#This Row],[Qtde Ligações]]=1,ROUND(N255/2,0),"Ver Painel"))</f>
        <v>0</v>
      </c>
      <c r="V255" s="222"/>
    </row>
    <row r="256" spans="1:22" hidden="1" x14ac:dyDescent="0.25">
      <c r="A256" s="34" t="s">
        <v>746</v>
      </c>
      <c r="B256" s="391" t="str">
        <f>VLOOKUP(Tabela11[[#This Row],[Tag do Cabo]],BD!A:AJ,2,0)</f>
        <v>Força</v>
      </c>
      <c r="C256" s="3" t="str">
        <f>VLOOKUP(Tabela11[[#This Row],[Tag do Cabo]],BD!A:AJ,5,0)</f>
        <v>1x1x3/C#4,0</v>
      </c>
      <c r="D256" s="391" t="s">
        <v>1542</v>
      </c>
      <c r="E256" s="391" t="str">
        <f>VLOOKUP(Tabela11[[#This Row],[Tag do Cabo]],BD!A:T,20,0)</f>
        <v>BK-SP54-0900B-LC-74-00004_00000</v>
      </c>
      <c r="F256" s="3" t="str">
        <f>IF(VLOOKUP(Tabela11[[#This Row],[Tag do Cabo]],BD!A:AJ,35,0)=0,"Pendente",VLOOKUP(Tabela11[[#This Row],[Tag do Cabo]],BD!A:AJ,35,0))</f>
        <v>BK-SP54-0900B-DI-70-01014</v>
      </c>
      <c r="G256" s="3" t="str">
        <f>IF(VLOOKUP(Tabela11[[#This Row],[Tag do Cabo]],BD!A:AJ,36,0)=0,"Pendente",VLOOKUP(Tabela11[[#This Row],[Tag do Cabo]],BD!A:AJ,36,0))</f>
        <v>4</v>
      </c>
      <c r="H256" s="391" t="str">
        <f>VLOOKUP(Tabela11[[#This Row],[Tag do Cabo]],BD!A:AJ,32,0)</f>
        <v>7HVxGB-1203</v>
      </c>
      <c r="I256" s="7" t="str">
        <f>VLOOKUP(Tabela11[[#This Row],[Tag do Cabo]],BD!A:AJ,11,0)</f>
        <v>PAINEL TCC-49 (7HV)</v>
      </c>
      <c r="J256" s="3" t="str">
        <f>VLOOKUP(Tabela11[[#This Row],[Tag do Cabo]],BD!A:AJ,12,0)</f>
        <v>GBM-1203 - JACKING OIL PUMP</v>
      </c>
      <c r="K256" s="391" t="s">
        <v>1543</v>
      </c>
      <c r="L256" s="391" t="s">
        <v>733</v>
      </c>
      <c r="M256" s="3" t="str">
        <f>CONCATENATE(Tabela11[[#This Row],[Painel 1]]&amp;" "&amp;Tabela11[[#This Row],[Painel 2]])</f>
        <v>TCC-49 GB-1203</v>
      </c>
      <c r="N256" s="157">
        <v>6</v>
      </c>
      <c r="O256" s="391" t="s">
        <v>92</v>
      </c>
      <c r="P256" s="391" t="s">
        <v>1536</v>
      </c>
      <c r="Q256" s="391">
        <f>VLOOKUP(Tabela11[[#This Row],[Tag do Cabo]],BD!A:F,6,0)</f>
        <v>4</v>
      </c>
      <c r="R256" s="391">
        <f>SUMIF('Lançamento de Cabos'!AE:AE,Tabela11[[#This Row],[Tag do Cabo]],'Lançamento de Cabos'!AG:AG)</f>
        <v>0</v>
      </c>
      <c r="S256" s="28">
        <f>Tabela11[[#This Row],[Ligações Realizadas]]/Tabela11[[#This Row],[Qtde Ligações]]</f>
        <v>0</v>
      </c>
      <c r="T256" s="269">
        <f>IF(Tabela11[[#This Row],[Ligações Realizadas]]/Tabela11[[#This Row],[Qtde Ligações]]=0,0,IF(Tabela11[[#This Row],[Ligações Realizadas]]/Tabela11[[#This Row],[Qtde Ligações]]=1,ROUND(N256/2,0),"Ver Painel"))</f>
        <v>0</v>
      </c>
      <c r="U256" s="23">
        <f>IF(Tabela11[[#This Row],[Ligações Realizadas]]/Tabela11[[#This Row],[Qtde Ligações]]=0,0,IF(Tabela11[[#This Row],[Ligações Realizadas]]/Tabela11[[#This Row],[Qtde Ligações]]=1,ROUND(N256/2,0),"Ver Painel"))</f>
        <v>0</v>
      </c>
      <c r="V256" s="222"/>
    </row>
    <row r="257" spans="1:22" hidden="1" x14ac:dyDescent="0.25">
      <c r="A257" s="34" t="s">
        <v>769</v>
      </c>
      <c r="B257" s="391" t="str">
        <f>VLOOKUP(Tabela11[[#This Row],[Tag do Cabo]],BD!A:AJ,2,0)</f>
        <v>Força</v>
      </c>
      <c r="C257" s="3" t="str">
        <f>VLOOKUP(Tabela11[[#This Row],[Tag do Cabo]],BD!A:AJ,5,0)</f>
        <v>1x1x3/C#95</v>
      </c>
      <c r="D257" s="391" t="s">
        <v>1542</v>
      </c>
      <c r="E257" s="391" t="str">
        <f>VLOOKUP(Tabela11[[#This Row],[Tag do Cabo]],BD!A:T,20,0)</f>
        <v>BK-SP54-0900B-LC-74-00004_00000</v>
      </c>
      <c r="F257" s="3" t="str">
        <f>IF(VLOOKUP(Tabela11[[#This Row],[Tag do Cabo]],BD!A:AJ,35,0)=0,"Pendente",VLOOKUP(Tabela11[[#This Row],[Tag do Cabo]],BD!A:AJ,35,0))</f>
        <v>BK-SP54-0900B-DI-70-01014</v>
      </c>
      <c r="G257" s="3" t="str">
        <f>IF(VLOOKUP(Tabela11[[#This Row],[Tag do Cabo]],BD!A:AJ,36,0)=0,"Pendente",VLOOKUP(Tabela11[[#This Row],[Tag do Cabo]],BD!A:AJ,36,0))</f>
        <v>1</v>
      </c>
      <c r="H257" s="391" t="str">
        <f>VLOOKUP(Tabela11[[#This Row],[Tag do Cabo]],BD!A:AJ,32,0)</f>
        <v>7HVxGB-200</v>
      </c>
      <c r="I257" s="7" t="str">
        <f>VLOOKUP(Tabela11[[#This Row],[Tag do Cabo]],BD!A:AJ,11,0)</f>
        <v>PAINEL TCC-49 (7HV)</v>
      </c>
      <c r="J257" s="3" t="str">
        <f>VLOOKUP(Tabela11[[#This Row],[Tag do Cabo]],BD!A:AJ,12,0)</f>
        <v>GBM-200 - FAN 1</v>
      </c>
      <c r="K257" s="391" t="s">
        <v>1543</v>
      </c>
      <c r="L257" s="391" t="s">
        <v>762</v>
      </c>
      <c r="M257" s="3" t="str">
        <f>CONCATENATE(Tabela11[[#This Row],[Painel 1]]&amp;" "&amp;Tabela11[[#This Row],[Painel 2]])</f>
        <v>TCC-49 GB-200</v>
      </c>
      <c r="N257" s="157">
        <v>6</v>
      </c>
      <c r="O257" s="391" t="s">
        <v>92</v>
      </c>
      <c r="P257" s="391" t="s">
        <v>1536</v>
      </c>
      <c r="Q257" s="391">
        <f>VLOOKUP(Tabela11[[#This Row],[Tag do Cabo]],BD!A:F,6,0)</f>
        <v>95</v>
      </c>
      <c r="R257" s="391">
        <f>SUMIF('Lançamento de Cabos'!AE:AE,Tabela11[[#This Row],[Tag do Cabo]],'Lançamento de Cabos'!AG:AG)</f>
        <v>0</v>
      </c>
      <c r="S257" s="28">
        <f>Tabela11[[#This Row],[Ligações Realizadas]]/Tabela11[[#This Row],[Qtde Ligações]]</f>
        <v>0</v>
      </c>
      <c r="T257" s="269">
        <f>IF(Tabela11[[#This Row],[Ligações Realizadas]]/Tabela11[[#This Row],[Qtde Ligações]]=0,0,IF(Tabela11[[#This Row],[Ligações Realizadas]]/Tabela11[[#This Row],[Qtde Ligações]]=1,ROUND(N257/2,0),"Ver Painel"))</f>
        <v>0</v>
      </c>
      <c r="U257" s="23">
        <f>IF(Tabela11[[#This Row],[Ligações Realizadas]]/Tabela11[[#This Row],[Qtde Ligações]]=0,0,IF(Tabela11[[#This Row],[Ligações Realizadas]]/Tabela11[[#This Row],[Qtde Ligações]]=1,ROUND(N257/2,0),"Ver Painel"))</f>
        <v>0</v>
      </c>
      <c r="V257" s="222"/>
    </row>
    <row r="258" spans="1:22" hidden="1" x14ac:dyDescent="0.25">
      <c r="A258" s="34" t="s">
        <v>772</v>
      </c>
      <c r="B258" s="391" t="str">
        <f>VLOOKUP(Tabela11[[#This Row],[Tag do Cabo]],BD!A:AJ,2,0)</f>
        <v>Força</v>
      </c>
      <c r="C258" s="3" t="str">
        <f>VLOOKUP(Tabela11[[#This Row],[Tag do Cabo]],BD!A:AJ,5,0)</f>
        <v>1x1x3/C#95</v>
      </c>
      <c r="D258" s="391" t="s">
        <v>1542</v>
      </c>
      <c r="E258" s="391" t="str">
        <f>VLOOKUP(Tabela11[[#This Row],[Tag do Cabo]],BD!A:T,20,0)</f>
        <v>BK-SP54-0900B-LC-74-00004_00000</v>
      </c>
      <c r="F258" s="3" t="str">
        <f>IF(VLOOKUP(Tabela11[[#This Row],[Tag do Cabo]],BD!A:AJ,35,0)=0,"Pendente",VLOOKUP(Tabela11[[#This Row],[Tag do Cabo]],BD!A:AJ,35,0))</f>
        <v>BK-SP54-0900B-DI-70-01014</v>
      </c>
      <c r="G258" s="3" t="str">
        <f>IF(VLOOKUP(Tabela11[[#This Row],[Tag do Cabo]],BD!A:AJ,36,0)=0,"Pendente",VLOOKUP(Tabela11[[#This Row],[Tag do Cabo]],BD!A:AJ,36,0))</f>
        <v>1</v>
      </c>
      <c r="H258" s="391" t="str">
        <f>VLOOKUP(Tabela11[[#This Row],[Tag do Cabo]],BD!A:AJ,32,0)</f>
        <v>7HVxGB-200</v>
      </c>
      <c r="I258" s="7" t="str">
        <f>VLOOKUP(Tabela11[[#This Row],[Tag do Cabo]],BD!A:AJ,11,0)</f>
        <v>PAINEL TCC-49 (7HV)</v>
      </c>
      <c r="J258" s="3" t="str">
        <f>VLOOKUP(Tabela11[[#This Row],[Tag do Cabo]],BD!A:AJ,12,0)</f>
        <v>GBM-200 - FAN 2</v>
      </c>
      <c r="K258" s="391" t="s">
        <v>1543</v>
      </c>
      <c r="L258" s="391" t="s">
        <v>762</v>
      </c>
      <c r="M258" s="3" t="str">
        <f>CONCATENATE(Tabela11[[#This Row],[Painel 1]]&amp;" "&amp;Tabela11[[#This Row],[Painel 2]])</f>
        <v>TCC-49 GB-200</v>
      </c>
      <c r="N258" s="157">
        <v>6</v>
      </c>
      <c r="O258" s="391" t="s">
        <v>92</v>
      </c>
      <c r="P258" s="391" t="s">
        <v>1536</v>
      </c>
      <c r="Q258" s="391">
        <f>VLOOKUP(Tabela11[[#This Row],[Tag do Cabo]],BD!A:F,6,0)</f>
        <v>95</v>
      </c>
      <c r="R258" s="391">
        <f>SUMIF('Lançamento de Cabos'!AE:AE,Tabela11[[#This Row],[Tag do Cabo]],'Lançamento de Cabos'!AG:AG)</f>
        <v>0</v>
      </c>
      <c r="S258" s="28">
        <f>Tabela11[[#This Row],[Ligações Realizadas]]/Tabela11[[#This Row],[Qtde Ligações]]</f>
        <v>0</v>
      </c>
      <c r="T258" s="269">
        <f>IF(Tabela11[[#This Row],[Ligações Realizadas]]/Tabela11[[#This Row],[Qtde Ligações]]=0,0,IF(Tabela11[[#This Row],[Ligações Realizadas]]/Tabela11[[#This Row],[Qtde Ligações]]=1,ROUND(N258/2,0),"Ver Painel"))</f>
        <v>0</v>
      </c>
      <c r="U258" s="23">
        <f>IF(Tabela11[[#This Row],[Ligações Realizadas]]/Tabela11[[#This Row],[Qtde Ligações]]=0,0,IF(Tabela11[[#This Row],[Ligações Realizadas]]/Tabela11[[#This Row],[Qtde Ligações]]=1,ROUND(N258/2,0),"Ver Painel"))</f>
        <v>0</v>
      </c>
      <c r="V258" s="222"/>
    </row>
    <row r="259" spans="1:22" hidden="1" x14ac:dyDescent="0.25">
      <c r="A259" s="34" t="s">
        <v>775</v>
      </c>
      <c r="B259" s="391" t="str">
        <f>VLOOKUP(Tabela11[[#This Row],[Tag do Cabo]],BD!A:AJ,2,0)</f>
        <v>Força</v>
      </c>
      <c r="C259" s="3" t="str">
        <f>VLOOKUP(Tabela11[[#This Row],[Tag do Cabo]],BD!A:AJ,5,0)</f>
        <v>1x1x3/C#4,0</v>
      </c>
      <c r="D259" s="391" t="s">
        <v>1542</v>
      </c>
      <c r="E259" s="391" t="str">
        <f>VLOOKUP(Tabela11[[#This Row],[Tag do Cabo]],BD!A:T,20,0)</f>
        <v>BK-SP54-0900B-LC-74-00004_00000</v>
      </c>
      <c r="F259" s="3" t="str">
        <f>IF(VLOOKUP(Tabela11[[#This Row],[Tag do Cabo]],BD!A:AJ,35,0)=0,"Pendente",VLOOKUP(Tabela11[[#This Row],[Tag do Cabo]],BD!A:AJ,35,0))</f>
        <v>BK-SP54-0900B-DI-70-01014</v>
      </c>
      <c r="G259" s="3" t="str">
        <f>IF(VLOOKUP(Tabela11[[#This Row],[Tag do Cabo]],BD!A:AJ,36,0)=0,"Pendente",VLOOKUP(Tabela11[[#This Row],[Tag do Cabo]],BD!A:AJ,36,0))</f>
        <v>1</v>
      </c>
      <c r="H259" s="391" t="str">
        <f>VLOOKUP(Tabela11[[#This Row],[Tag do Cabo]],BD!A:AJ,32,0)</f>
        <v>7HVxGB-200</v>
      </c>
      <c r="I259" s="7" t="str">
        <f>VLOOKUP(Tabela11[[#This Row],[Tag do Cabo]],BD!A:AJ,11,0)</f>
        <v>PAINEL TCC-49 (7HV)</v>
      </c>
      <c r="J259" s="3" t="str">
        <f>VLOOKUP(Tabela11[[#This Row],[Tag do Cabo]],BD!A:AJ,12,0)</f>
        <v>GBM-200 - JACKING OIL PUMP</v>
      </c>
      <c r="K259" s="391" t="s">
        <v>1543</v>
      </c>
      <c r="L259" s="391" t="s">
        <v>762</v>
      </c>
      <c r="M259" s="3" t="str">
        <f>CONCATENATE(Tabela11[[#This Row],[Painel 1]]&amp;" "&amp;Tabela11[[#This Row],[Painel 2]])</f>
        <v>TCC-49 GB-200</v>
      </c>
      <c r="N259" s="157">
        <v>6</v>
      </c>
      <c r="O259" s="391" t="s">
        <v>92</v>
      </c>
      <c r="P259" s="391" t="s">
        <v>1536</v>
      </c>
      <c r="Q259" s="391">
        <f>VLOOKUP(Tabela11[[#This Row],[Tag do Cabo]],BD!A:F,6,0)</f>
        <v>4</v>
      </c>
      <c r="R259" s="391">
        <f>SUMIF('Lançamento de Cabos'!AE:AE,Tabela11[[#This Row],[Tag do Cabo]],'Lançamento de Cabos'!AG:AG)</f>
        <v>0</v>
      </c>
      <c r="S259" s="28">
        <f>Tabela11[[#This Row],[Ligações Realizadas]]/Tabela11[[#This Row],[Qtde Ligações]]</f>
        <v>0</v>
      </c>
      <c r="T259" s="269">
        <f>IF(Tabela11[[#This Row],[Ligações Realizadas]]/Tabela11[[#This Row],[Qtde Ligações]]=0,0,IF(Tabela11[[#This Row],[Ligações Realizadas]]/Tabela11[[#This Row],[Qtde Ligações]]=1,ROUND(N259/2,0),"Ver Painel"))</f>
        <v>0</v>
      </c>
      <c r="U259" s="23">
        <f>IF(Tabela11[[#This Row],[Ligações Realizadas]]/Tabela11[[#This Row],[Qtde Ligações]]=0,0,IF(Tabela11[[#This Row],[Ligações Realizadas]]/Tabela11[[#This Row],[Qtde Ligações]]=1,ROUND(N259/2,0),"Ver Painel"))</f>
        <v>0</v>
      </c>
      <c r="V259" s="222"/>
    </row>
    <row r="260" spans="1:22" hidden="1" x14ac:dyDescent="0.25">
      <c r="A260" s="34" t="s">
        <v>516</v>
      </c>
      <c r="B260" s="391" t="str">
        <f>VLOOKUP(Tabela11[[#This Row],[Tag do Cabo]],BD!A:AJ,2,0)</f>
        <v>Força</v>
      </c>
      <c r="C260" s="3" t="str">
        <f>VLOOKUP(Tabela11[[#This Row],[Tag do Cabo]],BD!A:AJ,5,0)</f>
        <v>1x1x3/C#2,5</v>
      </c>
      <c r="D260" s="391" t="s">
        <v>1542</v>
      </c>
      <c r="E260" s="391" t="str">
        <f>VLOOKUP(Tabela11[[#This Row],[Tag do Cabo]],BD!A:T,20,0)</f>
        <v>E5WP000490-C-001-LC003</v>
      </c>
      <c r="F260" s="3" t="str">
        <f>IF(VLOOKUP(Tabela11[[#This Row],[Tag do Cabo]],BD!A:AJ,35,0)=0,"Pendente",VLOOKUP(Tabela11[[#This Row],[Tag do Cabo]],BD!A:AJ,35,0))</f>
        <v>E5WP000490-C-002-DE003</v>
      </c>
      <c r="G260" s="3" t="str">
        <f>IF(VLOOKUP(Tabela11[[#This Row],[Tag do Cabo]],BD!A:AJ,36,0)=0,"Pendente",VLOOKUP(Tabela11[[#This Row],[Tag do Cabo]],BD!A:AJ,36,0))</f>
        <v>6</v>
      </c>
      <c r="H260" s="391" t="str">
        <f>VLOOKUP(Tabela11[[#This Row],[Tag do Cabo]],BD!A:AJ,32,0)</f>
        <v>7HV</v>
      </c>
      <c r="I260" s="7" t="str">
        <f>VLOOKUP(Tabela11[[#This Row],[Tag do Cabo]],BD!A:AJ,11,0)</f>
        <v>E-HOUSE (TCC-50)</v>
      </c>
      <c r="J260" s="3" t="str">
        <f>VLOOKUP(Tabela11[[#This Row],[Tag do Cabo]],BD!A:AJ,12,0)</f>
        <v>CELLAR AREA (TR-08A)</v>
      </c>
      <c r="K260" s="391" t="s">
        <v>1624</v>
      </c>
      <c r="L260" s="391" t="s">
        <v>1625</v>
      </c>
      <c r="M260" s="3" t="str">
        <f>CONCATENATE(Tabela11[[#This Row],[Painel 1]]&amp;" "&amp;Tabela11[[#This Row],[Painel 2]])</f>
        <v>TCC-50 TR-08A</v>
      </c>
      <c r="N260" s="157">
        <v>6</v>
      </c>
      <c r="O260" s="391" t="s">
        <v>92</v>
      </c>
      <c r="P260" s="391" t="s">
        <v>1550</v>
      </c>
      <c r="Q260" s="391">
        <f>VLOOKUP(Tabela11[[#This Row],[Tag do Cabo]],BD!A:F,6,0)</f>
        <v>2.5</v>
      </c>
      <c r="R260" s="391">
        <f>SUMIF('Lançamento de Cabos'!AE:AE,Tabela11[[#This Row],[Tag do Cabo]],'Lançamento de Cabos'!AG:AG)</f>
        <v>6</v>
      </c>
      <c r="S260" s="28">
        <f>Tabela11[[#This Row],[Ligações Realizadas]]/Tabela11[[#This Row],[Qtde Ligações]]</f>
        <v>1</v>
      </c>
      <c r="T260" s="272">
        <f>IF(Tabela11[[#This Row],[Ligações Realizadas]]/Tabela11[[#This Row],[Qtde Ligações]]=0,0,IF(Tabela11[[#This Row],[Ligações Realizadas]]/Tabela11[[#This Row],[Qtde Ligações]]=1,ROUND(N260/2,0),"Ver Painel"))</f>
        <v>3</v>
      </c>
      <c r="U260" s="273">
        <f>IF(Tabela11[[#This Row],[Ligações Realizadas]]/Tabela11[[#This Row],[Qtde Ligações]]=0,0,IF(Tabela11[[#This Row],[Ligações Realizadas]]/Tabela11[[#This Row],[Qtde Ligações]]=1,ROUND(N260/2,0),"Ver Painel"))</f>
        <v>3</v>
      </c>
      <c r="V260" s="222"/>
    </row>
    <row r="261" spans="1:22" hidden="1" x14ac:dyDescent="0.25">
      <c r="A261" s="34" t="s">
        <v>519</v>
      </c>
      <c r="B261" s="391" t="str">
        <f>VLOOKUP(Tabela11[[#This Row],[Tag do Cabo]],BD!A:AJ,2,0)</f>
        <v>Força</v>
      </c>
      <c r="C261" s="3" t="str">
        <f>VLOOKUP(Tabela11[[#This Row],[Tag do Cabo]],BD!A:AJ,5,0)</f>
        <v>1x1x3/C#2,5</v>
      </c>
      <c r="D261" s="391" t="s">
        <v>1542</v>
      </c>
      <c r="E261" s="391" t="str">
        <f>VLOOKUP(Tabela11[[#This Row],[Tag do Cabo]],BD!A:T,20,0)</f>
        <v>E5WP000490-C-001-LC003</v>
      </c>
      <c r="F261" s="3" t="str">
        <f>IF(VLOOKUP(Tabela11[[#This Row],[Tag do Cabo]],BD!A:AJ,35,0)=0,"Pendente",VLOOKUP(Tabela11[[#This Row],[Tag do Cabo]],BD!A:AJ,35,0))</f>
        <v>E5WP000490-C-002-DE003</v>
      </c>
      <c r="G261" s="3" t="str">
        <f>IF(VLOOKUP(Tabela11[[#This Row],[Tag do Cabo]],BD!A:AJ,36,0)=0,"Pendente",VLOOKUP(Tabela11[[#This Row],[Tag do Cabo]],BD!A:AJ,36,0))</f>
        <v>6</v>
      </c>
      <c r="H261" s="391" t="str">
        <f>VLOOKUP(Tabela11[[#This Row],[Tag do Cabo]],BD!A:AJ,32,0)</f>
        <v>7HV</v>
      </c>
      <c r="I261" s="7" t="str">
        <f>VLOOKUP(Tabela11[[#This Row],[Tag do Cabo]],BD!A:AJ,11,0)</f>
        <v>E-HOUSE (TCC-50)</v>
      </c>
      <c r="J261" s="3" t="str">
        <f>VLOOKUP(Tabela11[[#This Row],[Tag do Cabo]],BD!A:AJ,12,0)</f>
        <v>CELLAR AREA (TR-09A)</v>
      </c>
      <c r="K261" s="391" t="s">
        <v>1624</v>
      </c>
      <c r="L261" s="391" t="s">
        <v>1553</v>
      </c>
      <c r="M261" s="3" t="str">
        <f>CONCATENATE(Tabela11[[#This Row],[Painel 1]]&amp;" "&amp;Tabela11[[#This Row],[Painel 2]])</f>
        <v>TCC-50 TR-09A</v>
      </c>
      <c r="N261" s="157">
        <v>6</v>
      </c>
      <c r="O261" s="391" t="s">
        <v>92</v>
      </c>
      <c r="P261" s="391" t="s">
        <v>1550</v>
      </c>
      <c r="Q261" s="391">
        <f>VLOOKUP(Tabela11[[#This Row],[Tag do Cabo]],BD!A:F,6,0)</f>
        <v>2.5</v>
      </c>
      <c r="R261" s="391">
        <f>SUMIF('Lançamento de Cabos'!AE:AE,Tabela11[[#This Row],[Tag do Cabo]],'Lançamento de Cabos'!AG:AG)</f>
        <v>6</v>
      </c>
      <c r="S261" s="28">
        <f>Tabela11[[#This Row],[Ligações Realizadas]]/Tabela11[[#This Row],[Qtde Ligações]]</f>
        <v>1</v>
      </c>
      <c r="T261" s="272">
        <f>IF(Tabela11[[#This Row],[Ligações Realizadas]]/Tabela11[[#This Row],[Qtde Ligações]]=0,0,IF(Tabela11[[#This Row],[Ligações Realizadas]]/Tabela11[[#This Row],[Qtde Ligações]]=1,ROUND(N261/2,0),"Ver Painel"))</f>
        <v>3</v>
      </c>
      <c r="U261" s="273">
        <f>IF(Tabela11[[#This Row],[Ligações Realizadas]]/Tabela11[[#This Row],[Qtde Ligações]]=0,0,IF(Tabela11[[#This Row],[Ligações Realizadas]]/Tabela11[[#This Row],[Qtde Ligações]]=1,ROUND(N261/2,0),"Ver Painel"))</f>
        <v>3</v>
      </c>
      <c r="V261" s="222"/>
    </row>
    <row r="262" spans="1:22" hidden="1" x14ac:dyDescent="0.25">
      <c r="A262" s="34" t="s">
        <v>520</v>
      </c>
      <c r="B262" s="391" t="str">
        <f>VLOOKUP(Tabela11[[#This Row],[Tag do Cabo]],BD!A:AJ,2,0)</f>
        <v>Força</v>
      </c>
      <c r="C262" s="3" t="str">
        <f>VLOOKUP(Tabela11[[#This Row],[Tag do Cabo]],BD!A:AJ,5,0)</f>
        <v>1x1x3/C#2,5</v>
      </c>
      <c r="D262" s="391" t="s">
        <v>1542</v>
      </c>
      <c r="E262" s="391" t="str">
        <f>VLOOKUP(Tabela11[[#This Row],[Tag do Cabo]],BD!A:T,20,0)</f>
        <v>E5WP000490-C-001-LC003</v>
      </c>
      <c r="F262" s="3" t="str">
        <f>IF(VLOOKUP(Tabela11[[#This Row],[Tag do Cabo]],BD!A:AJ,35,0)=0,"Pendente",VLOOKUP(Tabela11[[#This Row],[Tag do Cabo]],BD!A:AJ,35,0))</f>
        <v>E5WP000490-C-002-DE003</v>
      </c>
      <c r="G262" s="3" t="str">
        <f>IF(VLOOKUP(Tabela11[[#This Row],[Tag do Cabo]],BD!A:AJ,36,0)=0,"Pendente",VLOOKUP(Tabela11[[#This Row],[Tag do Cabo]],BD!A:AJ,36,0))</f>
        <v>6</v>
      </c>
      <c r="H262" s="391" t="str">
        <f>VLOOKUP(Tabela11[[#This Row],[Tag do Cabo]],BD!A:AJ,32,0)</f>
        <v>7HV</v>
      </c>
      <c r="I262" s="7" t="str">
        <f>VLOOKUP(Tabela11[[#This Row],[Tag do Cabo]],BD!A:AJ,11,0)</f>
        <v>E-HOUSE (TCC-50)</v>
      </c>
      <c r="J262" s="3" t="str">
        <f>VLOOKUP(Tabela11[[#This Row],[Tag do Cabo]],BD!A:AJ,12,0)</f>
        <v>CELLAR AREA (TR-24A)</v>
      </c>
      <c r="K262" s="391" t="s">
        <v>1624</v>
      </c>
      <c r="L262" s="391" t="s">
        <v>1557</v>
      </c>
      <c r="M262" s="3" t="str">
        <f>CONCATENATE(Tabela11[[#This Row],[Painel 1]]&amp;" "&amp;Tabela11[[#This Row],[Painel 2]])</f>
        <v>TCC-50 TR-24A</v>
      </c>
      <c r="N262" s="157">
        <v>6</v>
      </c>
      <c r="O262" s="391" t="s">
        <v>92</v>
      </c>
      <c r="P262" s="391" t="s">
        <v>1550</v>
      </c>
      <c r="Q262" s="391">
        <f>VLOOKUP(Tabela11[[#This Row],[Tag do Cabo]],BD!A:F,6,0)</f>
        <v>2.5</v>
      </c>
      <c r="R262" s="391">
        <f>SUMIF('Lançamento de Cabos'!AE:AE,Tabela11[[#This Row],[Tag do Cabo]],'Lançamento de Cabos'!AG:AG)</f>
        <v>6</v>
      </c>
      <c r="S262" s="28">
        <f>Tabela11[[#This Row],[Ligações Realizadas]]/Tabela11[[#This Row],[Qtde Ligações]]</f>
        <v>1</v>
      </c>
      <c r="T262" s="272">
        <f>IF(Tabela11[[#This Row],[Ligações Realizadas]]/Tabela11[[#This Row],[Qtde Ligações]]=0,0,IF(Tabela11[[#This Row],[Ligações Realizadas]]/Tabela11[[#This Row],[Qtde Ligações]]=1,ROUND(N262/2,0),"Ver Painel"))</f>
        <v>3</v>
      </c>
      <c r="U262" s="273">
        <f>IF(Tabela11[[#This Row],[Ligações Realizadas]]/Tabela11[[#This Row],[Qtde Ligações]]=0,0,IF(Tabela11[[#This Row],[Ligações Realizadas]]/Tabela11[[#This Row],[Qtde Ligações]]=1,ROUND(N262/2,0),"Ver Painel"))</f>
        <v>3</v>
      </c>
      <c r="V262" s="222"/>
    </row>
    <row r="263" spans="1:22" hidden="1" x14ac:dyDescent="0.25">
      <c r="A263" s="34" t="s">
        <v>521</v>
      </c>
      <c r="B263" s="391" t="str">
        <f>VLOOKUP(Tabela11[[#This Row],[Tag do Cabo]],BD!A:AJ,2,0)</f>
        <v>Força</v>
      </c>
      <c r="C263" s="3" t="str">
        <f>VLOOKUP(Tabela11[[#This Row],[Tag do Cabo]],BD!A:AJ,5,0)</f>
        <v>1x1x3/C#2,5</v>
      </c>
      <c r="D263" s="391" t="s">
        <v>1542</v>
      </c>
      <c r="E263" s="391" t="str">
        <f>VLOOKUP(Tabela11[[#This Row],[Tag do Cabo]],BD!A:T,20,0)</f>
        <v>E5WP000490-C-001-LC003</v>
      </c>
      <c r="F263" s="3" t="str">
        <f>IF(VLOOKUP(Tabela11[[#This Row],[Tag do Cabo]],BD!A:AJ,35,0)=0,"Pendente",VLOOKUP(Tabela11[[#This Row],[Tag do Cabo]],BD!A:AJ,35,0))</f>
        <v>E5WP000490-C-002-DE003</v>
      </c>
      <c r="G263" s="3" t="str">
        <f>IF(VLOOKUP(Tabela11[[#This Row],[Tag do Cabo]],BD!A:AJ,36,0)=0,"Pendente",VLOOKUP(Tabela11[[#This Row],[Tag do Cabo]],BD!A:AJ,36,0))</f>
        <v>6</v>
      </c>
      <c r="H263" s="391" t="str">
        <f>VLOOKUP(Tabela11[[#This Row],[Tag do Cabo]],BD!A:AJ,32,0)</f>
        <v>7HV</v>
      </c>
      <c r="I263" s="7" t="str">
        <f>VLOOKUP(Tabela11[[#This Row],[Tag do Cabo]],BD!A:AJ,11,0)</f>
        <v>E-HOUSE (TCC-50)</v>
      </c>
      <c r="J263" s="3" t="str">
        <f>VLOOKUP(Tabela11[[#This Row],[Tag do Cabo]],BD!A:AJ,12,0)</f>
        <v>CELLAR AREA (TR-26A)</v>
      </c>
      <c r="K263" s="391" t="s">
        <v>1624</v>
      </c>
      <c r="L263" s="391" t="s">
        <v>1559</v>
      </c>
      <c r="M263" s="3" t="str">
        <f>CONCATENATE(Tabela11[[#This Row],[Painel 1]]&amp;" "&amp;Tabela11[[#This Row],[Painel 2]])</f>
        <v>TCC-50 TR-26A</v>
      </c>
      <c r="N263" s="157">
        <v>6</v>
      </c>
      <c r="O263" s="391" t="s">
        <v>92</v>
      </c>
      <c r="P263" s="391" t="s">
        <v>1550</v>
      </c>
      <c r="Q263" s="391">
        <f>VLOOKUP(Tabela11[[#This Row],[Tag do Cabo]],BD!A:F,6,0)</f>
        <v>2.5</v>
      </c>
      <c r="R263" s="391">
        <f>SUMIF('Lançamento de Cabos'!AE:AE,Tabela11[[#This Row],[Tag do Cabo]],'Lançamento de Cabos'!AG:AG)</f>
        <v>6</v>
      </c>
      <c r="S263" s="28">
        <f>Tabela11[[#This Row],[Ligações Realizadas]]/Tabela11[[#This Row],[Qtde Ligações]]</f>
        <v>1</v>
      </c>
      <c r="T263" s="272">
        <f>IF(Tabela11[[#This Row],[Ligações Realizadas]]/Tabela11[[#This Row],[Qtde Ligações]]=0,0,IF(Tabela11[[#This Row],[Ligações Realizadas]]/Tabela11[[#This Row],[Qtde Ligações]]=1,ROUND(N263/2,0),"Ver Painel"))</f>
        <v>3</v>
      </c>
      <c r="U263" s="273">
        <f>IF(Tabela11[[#This Row],[Ligações Realizadas]]/Tabela11[[#This Row],[Qtde Ligações]]=0,0,IF(Tabela11[[#This Row],[Ligações Realizadas]]/Tabela11[[#This Row],[Qtde Ligações]]=1,ROUND(N263/2,0),"Ver Painel"))</f>
        <v>3</v>
      </c>
      <c r="V263" s="222"/>
    </row>
    <row r="264" spans="1:22" hidden="1" x14ac:dyDescent="0.25">
      <c r="A264" s="169" t="s">
        <v>522</v>
      </c>
      <c r="B264" s="391" t="str">
        <f>VLOOKUP(Tabela11[[#This Row],[Tag do Cabo]],BD!A:AJ,2,0)</f>
        <v>Força</v>
      </c>
      <c r="C264" s="3" t="str">
        <f>VLOOKUP(Tabela11[[#This Row],[Tag do Cabo]],BD!A:AJ,5,0)</f>
        <v>1x2/C#4</v>
      </c>
      <c r="D264" s="391" t="s">
        <v>1533</v>
      </c>
      <c r="E264" s="391" t="str">
        <f>VLOOKUP(Tabela11[[#This Row],[Tag do Cabo]],BD!A:T,20,0)</f>
        <v>BK-SP54-0900A-LC-74-00001_00000</v>
      </c>
      <c r="F264" s="222" t="str">
        <f>IF(VLOOKUP(Tabela11[[#This Row],[Tag do Cabo]],BD!A:AJ,35,0)=0,"Pendente",VLOOKUP(Tabela11[[#This Row],[Tag do Cabo]],BD!A:AJ,35,0))</f>
        <v>BK-SP54-0900B-DI-74-00450</v>
      </c>
      <c r="G264" s="3" t="str">
        <f>IF(VLOOKUP(Tabela11[[#This Row],[Tag do Cabo]],BD!A:AJ,36,0)=0,"Pendente",VLOOKUP(Tabela11[[#This Row],[Tag do Cabo]],BD!A:AJ,36,0))</f>
        <v>22</v>
      </c>
      <c r="H264" s="391" t="str">
        <f>VLOOKUP(Tabela11[[#This Row],[Tag do Cabo]],BD!A:AJ,32,0)</f>
        <v>7HV</v>
      </c>
      <c r="I264" s="7" t="str">
        <f>VLOOKUP(Tabela11[[#This Row],[Tag do Cabo]],BD!A:AJ,11,0)</f>
        <v>TCC-50 - PAINEL DE 220/127V</v>
      </c>
      <c r="J264" s="3" t="str">
        <f>VLOOKUP(Tabela11[[#This Row],[Tag do Cabo]],BD!A:AJ,12,0)</f>
        <v>PSDC4 - PAINEL DE REJEICAO DE CARGAS 4</v>
      </c>
      <c r="K264" s="391" t="s">
        <v>1624</v>
      </c>
      <c r="L264" s="391" t="s">
        <v>1567</v>
      </c>
      <c r="M264" s="3" t="str">
        <f>CONCATENATE(Tabela11[[#This Row],[Painel 1]]&amp;" "&amp;Tabela11[[#This Row],[Painel 2]])</f>
        <v>TCC-50 PSDC4</v>
      </c>
      <c r="N264" s="157">
        <v>4</v>
      </c>
      <c r="O264" s="391">
        <f>COUNTIF(Tabela12[Tag Cabo],Tabela11[[#This Row],[Tag do Cabo]])</f>
        <v>4</v>
      </c>
      <c r="P264" s="391" t="str">
        <f>IF(Tabela11[[#This Row],[Qtde Ligações]]&lt;&gt;Tabela11[[#This Row],[Qtde Anilhas]],"Ver","Ok")</f>
        <v>Ok</v>
      </c>
      <c r="Q264" s="391">
        <f>VLOOKUP(Tabela11[[#This Row],[Tag do Cabo]],BD!A:F,6,0)</f>
        <v>4</v>
      </c>
      <c r="R264" s="391">
        <f>SUMIF('Lançamento de Cabos'!AE:AE,Tabela11[[#This Row],[Tag do Cabo]],'Lançamento de Cabos'!AG:AG)</f>
        <v>0</v>
      </c>
      <c r="S264" s="28">
        <f>Tabela11[[#This Row],[Ligações Realizadas]]/Tabela11[[#This Row],[Qtde Ligações]]</f>
        <v>0</v>
      </c>
      <c r="T264" s="269">
        <f>IF(Tabela11[[#This Row],[Ligações Realizadas]]/Tabela11[[#This Row],[Qtde Ligações]]=0,0,IF(Tabela11[[#This Row],[Ligações Realizadas]]/Tabela11[[#This Row],[Qtde Ligações]]=1,ROUND(N264/2,0),"Ver Painel"))</f>
        <v>0</v>
      </c>
      <c r="U264" s="23">
        <f>IF(Tabela11[[#This Row],[Ligações Realizadas]]/Tabela11[[#This Row],[Qtde Ligações]]=0,0,IF(Tabela11[[#This Row],[Ligações Realizadas]]/Tabela11[[#This Row],[Qtde Ligações]]=1,ROUND(N264/2,0),"Ver Painel"))</f>
        <v>0</v>
      </c>
      <c r="V264" s="222"/>
    </row>
    <row r="265" spans="1:22" hidden="1" x14ac:dyDescent="0.25">
      <c r="A265" s="34" t="s">
        <v>717</v>
      </c>
      <c r="B265" s="391" t="str">
        <f>VLOOKUP(Tabela11[[#This Row],[Tag do Cabo]],BD!A:AJ,2,0)</f>
        <v>Força</v>
      </c>
      <c r="C265" s="3" t="str">
        <f>VLOOKUP(Tabela11[[#This Row],[Tag do Cabo]],BD!A:AJ,5,0)</f>
        <v>1x1x2/C#2,5</v>
      </c>
      <c r="D265" s="391" t="s">
        <v>1542</v>
      </c>
      <c r="E265" s="391" t="str">
        <f>VLOOKUP(Tabela11[[#This Row],[Tag do Cabo]],BD!A:T,20,0)</f>
        <v>BK-SP54-0900B-LC-74-00004_00000</v>
      </c>
      <c r="F265" s="3" t="str">
        <f>IF(VLOOKUP(Tabela11[[#This Row],[Tag do Cabo]],BD!A:AJ,35,0)=0,"Pendente",VLOOKUP(Tabela11[[#This Row],[Tag do Cabo]],BD!A:AJ,35,0))</f>
        <v>BK-SP54-0900B-DI-70-01014</v>
      </c>
      <c r="G265" s="3" t="str">
        <f>IF(VLOOKUP(Tabela11[[#This Row],[Tag do Cabo]],BD!A:AJ,36,0)=0,"Pendente",VLOOKUP(Tabela11[[#This Row],[Tag do Cabo]],BD!A:AJ,36,0))</f>
        <v>3</v>
      </c>
      <c r="H265" s="391" t="str">
        <f>VLOOKUP(Tabela11[[#This Row],[Tag do Cabo]],BD!A:AJ,32,0)</f>
        <v>7HVxGB-1201</v>
      </c>
      <c r="I265" s="7" t="str">
        <f>VLOOKUP(Tabela11[[#This Row],[Tag do Cabo]],BD!A:AJ,11,0)</f>
        <v>PAINEL TCC-51 (7HV)</v>
      </c>
      <c r="J265" s="3" t="str">
        <f>VLOOKUP(Tabela11[[#This Row],[Tag do Cabo]],BD!A:AJ,12,0)</f>
        <v>GBM-1201 - AQUECIMENTO 1</v>
      </c>
      <c r="K265" s="391" t="s">
        <v>1626</v>
      </c>
      <c r="L265" s="391" t="s">
        <v>703</v>
      </c>
      <c r="M265" s="3" t="str">
        <f>CONCATENATE(Tabela11[[#This Row],[Painel 1]]&amp;" "&amp;Tabela11[[#This Row],[Painel 2]])</f>
        <v>TCC-51 GB-1201</v>
      </c>
      <c r="N265" s="157">
        <v>4</v>
      </c>
      <c r="O265" s="391">
        <f>COUNTIF(Tabela12[Tag Cabo],Tabela11[[#This Row],[Tag do Cabo]])</f>
        <v>4</v>
      </c>
      <c r="P265" s="391" t="str">
        <f>IF(Tabela11[[#This Row],[Qtde Ligações]]&lt;&gt;Tabela11[[#This Row],[Qtde Anilhas]],"Ver","Ok")</f>
        <v>Ok</v>
      </c>
      <c r="Q265" s="391">
        <f>VLOOKUP(Tabela11[[#This Row],[Tag do Cabo]],BD!A:F,6,0)</f>
        <v>2.5</v>
      </c>
      <c r="R265" s="391">
        <f>SUMIF('Lançamento de Cabos'!AE:AE,Tabela11[[#This Row],[Tag do Cabo]],'Lançamento de Cabos'!AG:AG)</f>
        <v>0</v>
      </c>
      <c r="S265" s="28">
        <f>Tabela11[[#This Row],[Ligações Realizadas]]/Tabela11[[#This Row],[Qtde Ligações]]</f>
        <v>0</v>
      </c>
      <c r="T265" s="269">
        <f>IF(Tabela11[[#This Row],[Ligações Realizadas]]/Tabela11[[#This Row],[Qtde Ligações]]=0,0,IF(Tabela11[[#This Row],[Ligações Realizadas]]/Tabela11[[#This Row],[Qtde Ligações]]=1,ROUND(N265/2,0),"Ver Painel"))</f>
        <v>0</v>
      </c>
      <c r="U265" s="23">
        <f>IF(Tabela11[[#This Row],[Ligações Realizadas]]/Tabela11[[#This Row],[Qtde Ligações]]=0,0,IF(Tabela11[[#This Row],[Ligações Realizadas]]/Tabela11[[#This Row],[Qtde Ligações]]=1,ROUND(N265/2,0),"Ver Painel"))</f>
        <v>0</v>
      </c>
      <c r="V265" s="222"/>
    </row>
    <row r="266" spans="1:22" hidden="1" x14ac:dyDescent="0.25">
      <c r="A266" s="34" t="s">
        <v>723</v>
      </c>
      <c r="B266" s="391" t="str">
        <f>VLOOKUP(Tabela11[[#This Row],[Tag do Cabo]],BD!A:AJ,2,0)</f>
        <v>Força</v>
      </c>
      <c r="C266" s="3" t="str">
        <f>VLOOKUP(Tabela11[[#This Row],[Tag do Cabo]],BD!A:AJ,5,0)</f>
        <v>1x1x2/C#2,5</v>
      </c>
      <c r="D266" s="391" t="s">
        <v>1542</v>
      </c>
      <c r="E266" s="391" t="str">
        <f>VLOOKUP(Tabela11[[#This Row],[Tag do Cabo]],BD!A:T,20,0)</f>
        <v>BK-SP54-0900B-LC-74-00004_00000</v>
      </c>
      <c r="F266" s="3" t="str">
        <f>IF(VLOOKUP(Tabela11[[#This Row],[Tag do Cabo]],BD!A:AJ,35,0)=0,"Pendente",VLOOKUP(Tabela11[[#This Row],[Tag do Cabo]],BD!A:AJ,35,0))</f>
        <v>BK-SP54-0900B-DI-70-01014</v>
      </c>
      <c r="G266" s="3" t="str">
        <f>IF(VLOOKUP(Tabela11[[#This Row],[Tag do Cabo]],BD!A:AJ,36,0)=0,"Pendente",VLOOKUP(Tabela11[[#This Row],[Tag do Cabo]],BD!A:AJ,36,0))</f>
        <v>3</v>
      </c>
      <c r="H266" s="391" t="str">
        <f>VLOOKUP(Tabela11[[#This Row],[Tag do Cabo]],BD!A:AJ,32,0)</f>
        <v>7HVxGB-1201</v>
      </c>
      <c r="I266" s="7" t="str">
        <f>VLOOKUP(Tabela11[[#This Row],[Tag do Cabo]],BD!A:AJ,11,0)</f>
        <v>PAINEL TCC-51 (7HV)</v>
      </c>
      <c r="J266" s="3" t="str">
        <f>VLOOKUP(Tabela11[[#This Row],[Tag do Cabo]],BD!A:AJ,12,0)</f>
        <v>GBM-1201 - AQUECIMENTO 2</v>
      </c>
      <c r="K266" s="391" t="s">
        <v>1626</v>
      </c>
      <c r="L266" s="391" t="s">
        <v>703</v>
      </c>
      <c r="M266" s="3" t="str">
        <f>CONCATENATE(Tabela11[[#This Row],[Painel 1]]&amp;" "&amp;Tabela11[[#This Row],[Painel 2]])</f>
        <v>TCC-51 GB-1201</v>
      </c>
      <c r="N266" s="157">
        <v>4</v>
      </c>
      <c r="O266" s="391">
        <f>COUNTIF(Tabela12[Tag Cabo],Tabela11[[#This Row],[Tag do Cabo]])</f>
        <v>4</v>
      </c>
      <c r="P266" s="391" t="str">
        <f>IF(Tabela11[[#This Row],[Qtde Ligações]]&lt;&gt;Tabela11[[#This Row],[Qtde Anilhas]],"Ver","Ok")</f>
        <v>Ok</v>
      </c>
      <c r="Q266" s="391">
        <f>VLOOKUP(Tabela11[[#This Row],[Tag do Cabo]],BD!A:F,6,0)</f>
        <v>2.5</v>
      </c>
      <c r="R266" s="391">
        <f>SUMIF('Lançamento de Cabos'!AE:AE,Tabela11[[#This Row],[Tag do Cabo]],'Lançamento de Cabos'!AG:AG)</f>
        <v>0</v>
      </c>
      <c r="S266" s="28">
        <f>Tabela11[[#This Row],[Ligações Realizadas]]/Tabela11[[#This Row],[Qtde Ligações]]</f>
        <v>0</v>
      </c>
      <c r="T266" s="269">
        <f>IF(Tabela11[[#This Row],[Ligações Realizadas]]/Tabela11[[#This Row],[Qtde Ligações]]=0,0,IF(Tabela11[[#This Row],[Ligações Realizadas]]/Tabela11[[#This Row],[Qtde Ligações]]=1,ROUND(N266/2,0),"Ver Painel"))</f>
        <v>0</v>
      </c>
      <c r="U266" s="23">
        <f>IF(Tabela11[[#This Row],[Ligações Realizadas]]/Tabela11[[#This Row],[Qtde Ligações]]=0,0,IF(Tabela11[[#This Row],[Ligações Realizadas]]/Tabela11[[#This Row],[Qtde Ligações]]=1,ROUND(N266/2,0),"Ver Painel"))</f>
        <v>0</v>
      </c>
      <c r="V266" s="222"/>
    </row>
    <row r="267" spans="1:22" hidden="1" x14ac:dyDescent="0.25">
      <c r="A267" s="34" t="s">
        <v>725</v>
      </c>
      <c r="B267" s="391" t="str">
        <f>VLOOKUP(Tabela11[[#This Row],[Tag do Cabo]],BD!A:AJ,2,0)</f>
        <v>Força</v>
      </c>
      <c r="C267" s="3" t="str">
        <f>VLOOKUP(Tabela11[[#This Row],[Tag do Cabo]],BD!A:AJ,5,0)</f>
        <v>1x1x2/C#2,5</v>
      </c>
      <c r="D267" s="391" t="s">
        <v>1542</v>
      </c>
      <c r="E267" s="391" t="str">
        <f>VLOOKUP(Tabela11[[#This Row],[Tag do Cabo]],BD!A:T,20,0)</f>
        <v>BK-SP54-0900B-LC-74-00004_00000</v>
      </c>
      <c r="F267" s="3" t="str">
        <f>IF(VLOOKUP(Tabela11[[#This Row],[Tag do Cabo]],BD!A:AJ,35,0)=0,"Pendente",VLOOKUP(Tabela11[[#This Row],[Tag do Cabo]],BD!A:AJ,35,0))</f>
        <v>BK-SP54-0900B-DI-70-01014</v>
      </c>
      <c r="G267" s="3" t="str">
        <f>IF(VLOOKUP(Tabela11[[#This Row],[Tag do Cabo]],BD!A:AJ,36,0)=0,"Pendente",VLOOKUP(Tabela11[[#This Row],[Tag do Cabo]],BD!A:AJ,36,0))</f>
        <v>3</v>
      </c>
      <c r="H267" s="391" t="str">
        <f>VLOOKUP(Tabela11[[#This Row],[Tag do Cabo]],BD!A:AJ,32,0)</f>
        <v>7HVxGB-1201</v>
      </c>
      <c r="I267" s="7" t="str">
        <f>VLOOKUP(Tabela11[[#This Row],[Tag do Cabo]],BD!A:AJ,11,0)</f>
        <v>PAINEL TCC-51 (7HV)</v>
      </c>
      <c r="J267" s="3" t="str">
        <f>VLOOKUP(Tabela11[[#This Row],[Tag do Cabo]],BD!A:AJ,12,0)</f>
        <v>GBM-1201 - AQUECIMENTO 3</v>
      </c>
      <c r="K267" s="391" t="s">
        <v>1626</v>
      </c>
      <c r="L267" s="391" t="s">
        <v>703</v>
      </c>
      <c r="M267" s="3" t="str">
        <f>CONCATENATE(Tabela11[[#This Row],[Painel 1]]&amp;" "&amp;Tabela11[[#This Row],[Painel 2]])</f>
        <v>TCC-51 GB-1201</v>
      </c>
      <c r="N267" s="157">
        <v>4</v>
      </c>
      <c r="O267" s="391">
        <f>COUNTIF(Tabela12[Tag Cabo],Tabela11[[#This Row],[Tag do Cabo]])</f>
        <v>4</v>
      </c>
      <c r="P267" s="391" t="str">
        <f>IF(Tabela11[[#This Row],[Qtde Ligações]]&lt;&gt;Tabela11[[#This Row],[Qtde Anilhas]],"Ver","Ok")</f>
        <v>Ok</v>
      </c>
      <c r="Q267" s="391">
        <f>VLOOKUP(Tabela11[[#This Row],[Tag do Cabo]],BD!A:F,6,0)</f>
        <v>2.5</v>
      </c>
      <c r="R267" s="391">
        <f>SUMIF('Lançamento de Cabos'!AE:AE,Tabela11[[#This Row],[Tag do Cabo]],'Lançamento de Cabos'!AG:AG)</f>
        <v>0</v>
      </c>
      <c r="S267" s="28">
        <f>Tabela11[[#This Row],[Ligações Realizadas]]/Tabela11[[#This Row],[Qtde Ligações]]</f>
        <v>0</v>
      </c>
      <c r="T267" s="269">
        <f>IF(Tabela11[[#This Row],[Ligações Realizadas]]/Tabela11[[#This Row],[Qtde Ligações]]=0,0,IF(Tabela11[[#This Row],[Ligações Realizadas]]/Tabela11[[#This Row],[Qtde Ligações]]=1,ROUND(N267/2,0),"Ver Painel"))</f>
        <v>0</v>
      </c>
      <c r="U267" s="23">
        <f>IF(Tabela11[[#This Row],[Ligações Realizadas]]/Tabela11[[#This Row],[Qtde Ligações]]=0,0,IF(Tabela11[[#This Row],[Ligações Realizadas]]/Tabela11[[#This Row],[Qtde Ligações]]=1,ROUND(N267/2,0),"Ver Painel"))</f>
        <v>0</v>
      </c>
      <c r="V267" s="222"/>
    </row>
    <row r="268" spans="1:22" hidden="1" x14ac:dyDescent="0.25">
      <c r="A268" s="34" t="s">
        <v>750</v>
      </c>
      <c r="B268" s="391" t="str">
        <f>VLOOKUP(Tabela11[[#This Row],[Tag do Cabo]],BD!A:AJ,2,0)</f>
        <v>Força</v>
      </c>
      <c r="C268" s="3" t="str">
        <f>VLOOKUP(Tabela11[[#This Row],[Tag do Cabo]],BD!A:AJ,5,0)</f>
        <v>1x1x2/C#2,5</v>
      </c>
      <c r="D268" s="391" t="s">
        <v>1542</v>
      </c>
      <c r="E268" s="391" t="str">
        <f>VLOOKUP(Tabela11[[#This Row],[Tag do Cabo]],BD!A:T,20,0)</f>
        <v>BK-SP54-0900B-LC-74-00004_00000</v>
      </c>
      <c r="F268" s="3" t="str">
        <f>IF(VLOOKUP(Tabela11[[#This Row],[Tag do Cabo]],BD!A:AJ,35,0)=0,"Pendente",VLOOKUP(Tabela11[[#This Row],[Tag do Cabo]],BD!A:AJ,35,0))</f>
        <v>BK-SP54-0900B-DI-70-01014</v>
      </c>
      <c r="G268" s="3" t="str">
        <f>IF(VLOOKUP(Tabela11[[#This Row],[Tag do Cabo]],BD!A:AJ,36,0)=0,"Pendente",VLOOKUP(Tabela11[[#This Row],[Tag do Cabo]],BD!A:AJ,36,0))</f>
        <v>4</v>
      </c>
      <c r="H268" s="391" t="str">
        <f>VLOOKUP(Tabela11[[#This Row],[Tag do Cabo]],BD!A:AJ,32,0)</f>
        <v>7HVxGB-1203</v>
      </c>
      <c r="I268" s="7" t="str">
        <f>VLOOKUP(Tabela11[[#This Row],[Tag do Cabo]],BD!A:AJ,11,0)</f>
        <v>PAINEL TCC-51 (7HV)</v>
      </c>
      <c r="J268" s="3" t="str">
        <f>VLOOKUP(Tabela11[[#This Row],[Tag do Cabo]],BD!A:AJ,12,0)</f>
        <v>GBM-1203 - AQUECIMENTO 1</v>
      </c>
      <c r="K268" s="391" t="s">
        <v>1626</v>
      </c>
      <c r="L268" s="391" t="s">
        <v>733</v>
      </c>
      <c r="M268" s="3" t="str">
        <f>CONCATENATE(Tabela11[[#This Row],[Painel 1]]&amp;" "&amp;Tabela11[[#This Row],[Painel 2]])</f>
        <v>TCC-51 GB-1203</v>
      </c>
      <c r="N268" s="157">
        <v>4</v>
      </c>
      <c r="O268" s="391">
        <f>COUNTIF(Tabela12[Tag Cabo],Tabela11[[#This Row],[Tag do Cabo]])</f>
        <v>4</v>
      </c>
      <c r="P268" s="391" t="str">
        <f>IF(Tabela11[[#This Row],[Qtde Ligações]]&lt;&gt;Tabela11[[#This Row],[Qtde Anilhas]],"Ver","Ok")</f>
        <v>Ok</v>
      </c>
      <c r="Q268" s="391">
        <f>VLOOKUP(Tabela11[[#This Row],[Tag do Cabo]],BD!A:F,6,0)</f>
        <v>2.5</v>
      </c>
      <c r="R268" s="391">
        <f>SUMIF('Lançamento de Cabos'!AE:AE,Tabela11[[#This Row],[Tag do Cabo]],'Lançamento de Cabos'!AG:AG)</f>
        <v>0</v>
      </c>
      <c r="S268" s="28">
        <f>Tabela11[[#This Row],[Ligações Realizadas]]/Tabela11[[#This Row],[Qtde Ligações]]</f>
        <v>0</v>
      </c>
      <c r="T268" s="269">
        <f>IF(Tabela11[[#This Row],[Ligações Realizadas]]/Tabela11[[#This Row],[Qtde Ligações]]=0,0,IF(Tabela11[[#This Row],[Ligações Realizadas]]/Tabela11[[#This Row],[Qtde Ligações]]=1,ROUND(N268/2,0),"Ver Painel"))</f>
        <v>0</v>
      </c>
      <c r="U268" s="23">
        <f>IF(Tabela11[[#This Row],[Ligações Realizadas]]/Tabela11[[#This Row],[Qtde Ligações]]=0,0,IF(Tabela11[[#This Row],[Ligações Realizadas]]/Tabela11[[#This Row],[Qtde Ligações]]=1,ROUND(N268/2,0),"Ver Painel"))</f>
        <v>0</v>
      </c>
      <c r="V268" s="222"/>
    </row>
    <row r="269" spans="1:22" hidden="1" x14ac:dyDescent="0.25">
      <c r="A269" s="34" t="s">
        <v>752</v>
      </c>
      <c r="B269" s="391" t="str">
        <f>VLOOKUP(Tabela11[[#This Row],[Tag do Cabo]],BD!A:AJ,2,0)</f>
        <v>Força</v>
      </c>
      <c r="C269" s="3" t="str">
        <f>VLOOKUP(Tabela11[[#This Row],[Tag do Cabo]],BD!A:AJ,5,0)</f>
        <v>1x1x2/C#2,5</v>
      </c>
      <c r="D269" s="391" t="s">
        <v>1542</v>
      </c>
      <c r="E269" s="391" t="str">
        <f>VLOOKUP(Tabela11[[#This Row],[Tag do Cabo]],BD!A:T,20,0)</f>
        <v>BK-SP54-0900B-LC-74-00004_00000</v>
      </c>
      <c r="F269" s="3" t="str">
        <f>IF(VLOOKUP(Tabela11[[#This Row],[Tag do Cabo]],BD!A:AJ,35,0)=0,"Pendente",VLOOKUP(Tabela11[[#This Row],[Tag do Cabo]],BD!A:AJ,35,0))</f>
        <v>BK-SP54-0900B-DI-70-01014</v>
      </c>
      <c r="G269" s="3" t="str">
        <f>IF(VLOOKUP(Tabela11[[#This Row],[Tag do Cabo]],BD!A:AJ,36,0)=0,"Pendente",VLOOKUP(Tabela11[[#This Row],[Tag do Cabo]],BD!A:AJ,36,0))</f>
        <v>4</v>
      </c>
      <c r="H269" s="391" t="str">
        <f>VLOOKUP(Tabela11[[#This Row],[Tag do Cabo]],BD!A:AJ,32,0)</f>
        <v>7HVxGB-1203</v>
      </c>
      <c r="I269" s="7" t="str">
        <f>VLOOKUP(Tabela11[[#This Row],[Tag do Cabo]],BD!A:AJ,11,0)</f>
        <v>PAINEL TCC-51 (7HV)</v>
      </c>
      <c r="J269" s="3" t="str">
        <f>VLOOKUP(Tabela11[[#This Row],[Tag do Cabo]],BD!A:AJ,12,0)</f>
        <v>GBM-1203 - AQUECIMENTO 2</v>
      </c>
      <c r="K269" s="391" t="s">
        <v>1626</v>
      </c>
      <c r="L269" s="391" t="s">
        <v>733</v>
      </c>
      <c r="M269" s="3" t="str">
        <f>CONCATENATE(Tabela11[[#This Row],[Painel 1]]&amp;" "&amp;Tabela11[[#This Row],[Painel 2]])</f>
        <v>TCC-51 GB-1203</v>
      </c>
      <c r="N269" s="157">
        <v>4</v>
      </c>
      <c r="O269" s="391">
        <f>COUNTIF(Tabela12[Tag Cabo],Tabela11[[#This Row],[Tag do Cabo]])</f>
        <v>4</v>
      </c>
      <c r="P269" s="391" t="str">
        <f>IF(Tabela11[[#This Row],[Qtde Ligações]]&lt;&gt;Tabela11[[#This Row],[Qtde Anilhas]],"Ver","Ok")</f>
        <v>Ok</v>
      </c>
      <c r="Q269" s="391">
        <f>VLOOKUP(Tabela11[[#This Row],[Tag do Cabo]],BD!A:F,6,0)</f>
        <v>2.5</v>
      </c>
      <c r="R269" s="391">
        <f>SUMIF('Lançamento de Cabos'!AE:AE,Tabela11[[#This Row],[Tag do Cabo]],'Lançamento de Cabos'!AG:AG)</f>
        <v>0</v>
      </c>
      <c r="S269" s="28">
        <f>Tabela11[[#This Row],[Ligações Realizadas]]/Tabela11[[#This Row],[Qtde Ligações]]</f>
        <v>0</v>
      </c>
      <c r="T269" s="269">
        <f>IF(Tabela11[[#This Row],[Ligações Realizadas]]/Tabela11[[#This Row],[Qtde Ligações]]=0,0,IF(Tabela11[[#This Row],[Ligações Realizadas]]/Tabela11[[#This Row],[Qtde Ligações]]=1,ROUND(N269/2,0),"Ver Painel"))</f>
        <v>0</v>
      </c>
      <c r="U269" s="23">
        <f>IF(Tabela11[[#This Row],[Ligações Realizadas]]/Tabela11[[#This Row],[Qtde Ligações]]=0,0,IF(Tabela11[[#This Row],[Ligações Realizadas]]/Tabela11[[#This Row],[Qtde Ligações]]=1,ROUND(N269/2,0),"Ver Painel"))</f>
        <v>0</v>
      </c>
      <c r="V269" s="222"/>
    </row>
    <row r="270" spans="1:22" hidden="1" x14ac:dyDescent="0.25">
      <c r="A270" s="34" t="s">
        <v>754</v>
      </c>
      <c r="B270" s="391" t="str">
        <f>VLOOKUP(Tabela11[[#This Row],[Tag do Cabo]],BD!A:AJ,2,0)</f>
        <v>Força</v>
      </c>
      <c r="C270" s="3" t="str">
        <f>VLOOKUP(Tabela11[[#This Row],[Tag do Cabo]],BD!A:AJ,5,0)</f>
        <v>1x1x2/C#2,5</v>
      </c>
      <c r="D270" s="391" t="s">
        <v>1542</v>
      </c>
      <c r="E270" s="391" t="str">
        <f>VLOOKUP(Tabela11[[#This Row],[Tag do Cabo]],BD!A:T,20,0)</f>
        <v>BK-SP54-0900B-LC-74-00004_00000</v>
      </c>
      <c r="F270" s="3" t="str">
        <f>IF(VLOOKUP(Tabela11[[#This Row],[Tag do Cabo]],BD!A:AJ,35,0)=0,"Pendente",VLOOKUP(Tabela11[[#This Row],[Tag do Cabo]],BD!A:AJ,35,0))</f>
        <v>BK-SP54-0900B-DI-70-01014</v>
      </c>
      <c r="G270" s="3" t="str">
        <f>IF(VLOOKUP(Tabela11[[#This Row],[Tag do Cabo]],BD!A:AJ,36,0)=0,"Pendente",VLOOKUP(Tabela11[[#This Row],[Tag do Cabo]],BD!A:AJ,36,0))</f>
        <v>4</v>
      </c>
      <c r="H270" s="391" t="str">
        <f>VLOOKUP(Tabela11[[#This Row],[Tag do Cabo]],BD!A:AJ,32,0)</f>
        <v>7HVxGB-1203</v>
      </c>
      <c r="I270" s="7" t="str">
        <f>VLOOKUP(Tabela11[[#This Row],[Tag do Cabo]],BD!A:AJ,11,0)</f>
        <v>PAINEL TCC-51 (7HV)</v>
      </c>
      <c r="J270" s="3" t="str">
        <f>VLOOKUP(Tabela11[[#This Row],[Tag do Cabo]],BD!A:AJ,12,0)</f>
        <v>GBM-1203 - AQUECIMENTO 3</v>
      </c>
      <c r="K270" s="391" t="s">
        <v>1626</v>
      </c>
      <c r="L270" s="391" t="s">
        <v>733</v>
      </c>
      <c r="M270" s="3" t="str">
        <f>CONCATENATE(Tabela11[[#This Row],[Painel 1]]&amp;" "&amp;Tabela11[[#This Row],[Painel 2]])</f>
        <v>TCC-51 GB-1203</v>
      </c>
      <c r="N270" s="157">
        <v>4</v>
      </c>
      <c r="O270" s="391">
        <f>COUNTIF(Tabela12[Tag Cabo],Tabela11[[#This Row],[Tag do Cabo]])</f>
        <v>4</v>
      </c>
      <c r="P270" s="391" t="str">
        <f>IF(Tabela11[[#This Row],[Qtde Ligações]]&lt;&gt;Tabela11[[#This Row],[Qtde Anilhas]],"Ver","Ok")</f>
        <v>Ok</v>
      </c>
      <c r="Q270" s="391">
        <f>VLOOKUP(Tabela11[[#This Row],[Tag do Cabo]],BD!A:F,6,0)</f>
        <v>2.5</v>
      </c>
      <c r="R270" s="391">
        <f>SUMIF('Lançamento de Cabos'!AE:AE,Tabela11[[#This Row],[Tag do Cabo]],'Lançamento de Cabos'!AG:AG)</f>
        <v>0</v>
      </c>
      <c r="S270" s="28">
        <f>Tabela11[[#This Row],[Ligações Realizadas]]/Tabela11[[#This Row],[Qtde Ligações]]</f>
        <v>0</v>
      </c>
      <c r="T270" s="269">
        <f>IF(Tabela11[[#This Row],[Ligações Realizadas]]/Tabela11[[#This Row],[Qtde Ligações]]=0,0,IF(Tabela11[[#This Row],[Ligações Realizadas]]/Tabela11[[#This Row],[Qtde Ligações]]=1,ROUND(N270/2,0),"Ver Painel"))</f>
        <v>0</v>
      </c>
      <c r="U270" s="23">
        <f>IF(Tabela11[[#This Row],[Ligações Realizadas]]/Tabela11[[#This Row],[Qtde Ligações]]=0,0,IF(Tabela11[[#This Row],[Ligações Realizadas]]/Tabela11[[#This Row],[Qtde Ligações]]=1,ROUND(N270/2,0),"Ver Painel"))</f>
        <v>0</v>
      </c>
      <c r="V270" s="222"/>
    </row>
    <row r="271" spans="1:22" hidden="1" x14ac:dyDescent="0.25">
      <c r="A271" s="34" t="s">
        <v>756</v>
      </c>
      <c r="B271" s="391" t="str">
        <f>VLOOKUP(Tabela11[[#This Row],[Tag do Cabo]],BD!A:AJ,2,0)</f>
        <v>Força</v>
      </c>
      <c r="C271" s="3" t="str">
        <f>VLOOKUP(Tabela11[[#This Row],[Tag do Cabo]],BD!A:AJ,5,0)</f>
        <v>1x1x2/C#2,5</v>
      </c>
      <c r="D271" s="391" t="s">
        <v>1542</v>
      </c>
      <c r="E271" s="391" t="str">
        <f>VLOOKUP(Tabela11[[#This Row],[Tag do Cabo]],BD!A:T,20,0)</f>
        <v>BK-SP54-0900B-LC-74-00004_00000</v>
      </c>
      <c r="F271" s="3" t="str">
        <f>IF(VLOOKUP(Tabela11[[#This Row],[Tag do Cabo]],BD!A:AJ,35,0)=0,"Pendente",VLOOKUP(Tabela11[[#This Row],[Tag do Cabo]],BD!A:AJ,35,0))</f>
        <v>BK-SP54-0900B-DI-70-01014</v>
      </c>
      <c r="G271" s="3" t="str">
        <f>IF(VLOOKUP(Tabela11[[#This Row],[Tag do Cabo]],BD!A:AJ,36,0)=0,"Pendente",VLOOKUP(Tabela11[[#This Row],[Tag do Cabo]],BD!A:AJ,36,0))</f>
        <v>4</v>
      </c>
      <c r="H271" s="391" t="str">
        <f>VLOOKUP(Tabela11[[#This Row],[Tag do Cabo]],BD!A:AJ,32,0)</f>
        <v>7HVxGB-1203</v>
      </c>
      <c r="I271" s="7" t="str">
        <f>VLOOKUP(Tabela11[[#This Row],[Tag do Cabo]],BD!A:AJ,11,0)</f>
        <v>PAINEL TCC-51 (7HV)</v>
      </c>
      <c r="J271" s="3" t="str">
        <f>VLOOKUP(Tabela11[[#This Row],[Tag do Cabo]],BD!A:AJ,12,0)</f>
        <v>GBM-1203 - AQUECIMENTO 4</v>
      </c>
      <c r="K271" s="391" t="s">
        <v>1626</v>
      </c>
      <c r="L271" s="391" t="s">
        <v>733</v>
      </c>
      <c r="M271" s="3" t="str">
        <f>CONCATENATE(Tabela11[[#This Row],[Painel 1]]&amp;" "&amp;Tabela11[[#This Row],[Painel 2]])</f>
        <v>TCC-51 GB-1203</v>
      </c>
      <c r="N271" s="157">
        <v>4</v>
      </c>
      <c r="O271" s="391">
        <f>COUNTIF(Tabela12[Tag Cabo],Tabela11[[#This Row],[Tag do Cabo]])</f>
        <v>4</v>
      </c>
      <c r="P271" s="391" t="str">
        <f>IF(Tabela11[[#This Row],[Qtde Ligações]]&lt;&gt;Tabela11[[#This Row],[Qtde Anilhas]],"Ver","Ok")</f>
        <v>Ok</v>
      </c>
      <c r="Q271" s="391">
        <f>VLOOKUP(Tabela11[[#This Row],[Tag do Cabo]],BD!A:F,6,0)</f>
        <v>2.5</v>
      </c>
      <c r="R271" s="391">
        <f>SUMIF('Lançamento de Cabos'!AE:AE,Tabela11[[#This Row],[Tag do Cabo]],'Lançamento de Cabos'!AG:AG)</f>
        <v>0</v>
      </c>
      <c r="S271" s="28">
        <f>Tabela11[[#This Row],[Ligações Realizadas]]/Tabela11[[#This Row],[Qtde Ligações]]</f>
        <v>0</v>
      </c>
      <c r="T271" s="269">
        <f>IF(Tabela11[[#This Row],[Ligações Realizadas]]/Tabela11[[#This Row],[Qtde Ligações]]=0,0,IF(Tabela11[[#This Row],[Ligações Realizadas]]/Tabela11[[#This Row],[Qtde Ligações]]=1,ROUND(N271/2,0),"Ver Painel"))</f>
        <v>0</v>
      </c>
      <c r="U271" s="23">
        <f>IF(Tabela11[[#This Row],[Ligações Realizadas]]/Tabela11[[#This Row],[Qtde Ligações]]=0,0,IF(Tabela11[[#This Row],[Ligações Realizadas]]/Tabela11[[#This Row],[Qtde Ligações]]=1,ROUND(N271/2,0),"Ver Painel"))</f>
        <v>0</v>
      </c>
      <c r="V271" s="222"/>
    </row>
    <row r="272" spans="1:22" hidden="1" x14ac:dyDescent="0.25">
      <c r="A272" s="34" t="s">
        <v>758</v>
      </c>
      <c r="B272" s="391" t="str">
        <f>VLOOKUP(Tabela11[[#This Row],[Tag do Cabo]],BD!A:AJ,2,0)</f>
        <v>Força</v>
      </c>
      <c r="C272" s="3" t="str">
        <f>VLOOKUP(Tabela11[[#This Row],[Tag do Cabo]],BD!A:AJ,5,0)</f>
        <v>1x1x2/C#2,5</v>
      </c>
      <c r="D272" s="391" t="s">
        <v>1542</v>
      </c>
      <c r="E272" s="391" t="str">
        <f>VLOOKUP(Tabela11[[#This Row],[Tag do Cabo]],BD!A:T,20,0)</f>
        <v>BK-SP54-0900B-LC-74-00004_00000</v>
      </c>
      <c r="F272" s="3" t="str">
        <f>IF(VLOOKUP(Tabela11[[#This Row],[Tag do Cabo]],BD!A:AJ,35,0)=0,"Pendente",VLOOKUP(Tabela11[[#This Row],[Tag do Cabo]],BD!A:AJ,35,0))</f>
        <v>BK-SP54-0900B-DI-70-01014</v>
      </c>
      <c r="G272" s="3" t="str">
        <f>IF(VLOOKUP(Tabela11[[#This Row],[Tag do Cabo]],BD!A:AJ,36,0)=0,"Pendente",VLOOKUP(Tabela11[[#This Row],[Tag do Cabo]],BD!A:AJ,36,0))</f>
        <v>4</v>
      </c>
      <c r="H272" s="391" t="str">
        <f>VLOOKUP(Tabela11[[#This Row],[Tag do Cabo]],BD!A:AJ,32,0)</f>
        <v>7HVxGB-1203</v>
      </c>
      <c r="I272" s="7" t="str">
        <f>VLOOKUP(Tabela11[[#This Row],[Tag do Cabo]],BD!A:AJ,11,0)</f>
        <v>PAINEL TCC-51 (7HV)</v>
      </c>
      <c r="J272" s="3" t="str">
        <f>VLOOKUP(Tabela11[[#This Row],[Tag do Cabo]],BD!A:AJ,12,0)</f>
        <v>GBM-1203 - AQUECIMENTO 5</v>
      </c>
      <c r="K272" s="391" t="s">
        <v>1626</v>
      </c>
      <c r="L272" s="391" t="s">
        <v>733</v>
      </c>
      <c r="M272" s="3" t="str">
        <f>CONCATENATE(Tabela11[[#This Row],[Painel 1]]&amp;" "&amp;Tabela11[[#This Row],[Painel 2]])</f>
        <v>TCC-51 GB-1203</v>
      </c>
      <c r="N272" s="157">
        <v>4</v>
      </c>
      <c r="O272" s="391">
        <f>COUNTIF(Tabela12[Tag Cabo],Tabela11[[#This Row],[Tag do Cabo]])</f>
        <v>4</v>
      </c>
      <c r="P272" s="391" t="str">
        <f>IF(Tabela11[[#This Row],[Qtde Ligações]]&lt;&gt;Tabela11[[#This Row],[Qtde Anilhas]],"Ver","Ok")</f>
        <v>Ok</v>
      </c>
      <c r="Q272" s="391">
        <f>VLOOKUP(Tabela11[[#This Row],[Tag do Cabo]],BD!A:F,6,0)</f>
        <v>2.5</v>
      </c>
      <c r="R272" s="391">
        <f>SUMIF('Lançamento de Cabos'!AE:AE,Tabela11[[#This Row],[Tag do Cabo]],'Lançamento de Cabos'!AG:AG)</f>
        <v>0</v>
      </c>
      <c r="S272" s="28">
        <f>Tabela11[[#This Row],[Ligações Realizadas]]/Tabela11[[#This Row],[Qtde Ligações]]</f>
        <v>0</v>
      </c>
      <c r="T272" s="269">
        <f>IF(Tabela11[[#This Row],[Ligações Realizadas]]/Tabela11[[#This Row],[Qtde Ligações]]=0,0,IF(Tabela11[[#This Row],[Ligações Realizadas]]/Tabela11[[#This Row],[Qtde Ligações]]=1,ROUND(N272/2,0),"Ver Painel"))</f>
        <v>0</v>
      </c>
      <c r="U272" s="23">
        <f>IF(Tabela11[[#This Row],[Ligações Realizadas]]/Tabela11[[#This Row],[Qtde Ligações]]=0,0,IF(Tabela11[[#This Row],[Ligações Realizadas]]/Tabela11[[#This Row],[Qtde Ligações]]=1,ROUND(N272/2,0),"Ver Painel"))</f>
        <v>0</v>
      </c>
      <c r="V272" s="222"/>
    </row>
    <row r="273" spans="1:22" hidden="1" x14ac:dyDescent="0.25">
      <c r="A273" s="34" t="s">
        <v>777</v>
      </c>
      <c r="B273" s="391" t="str">
        <f>VLOOKUP(Tabela11[[#This Row],[Tag do Cabo]],BD!A:AJ,2,0)</f>
        <v>Força</v>
      </c>
      <c r="C273" s="3" t="str">
        <f>VLOOKUP(Tabela11[[#This Row],[Tag do Cabo]],BD!A:AJ,5,0)</f>
        <v>1x1x2/C#10</v>
      </c>
      <c r="D273" s="391" t="s">
        <v>1542</v>
      </c>
      <c r="E273" s="391" t="str">
        <f>VLOOKUP(Tabela11[[#This Row],[Tag do Cabo]],BD!A:T,20,0)</f>
        <v>BK-SP54-0900B-LC-74-00004_00000</v>
      </c>
      <c r="F273" s="3" t="str">
        <f>IF(VLOOKUP(Tabela11[[#This Row],[Tag do Cabo]],BD!A:AJ,35,0)=0,"Pendente",VLOOKUP(Tabela11[[#This Row],[Tag do Cabo]],BD!A:AJ,35,0))</f>
        <v>BK-SP54-0900B-DI-70-01014</v>
      </c>
      <c r="G273" s="3" t="str">
        <f>IF(VLOOKUP(Tabela11[[#This Row],[Tag do Cabo]],BD!A:AJ,36,0)=0,"Pendente",VLOOKUP(Tabela11[[#This Row],[Tag do Cabo]],BD!A:AJ,36,0))</f>
        <v>1</v>
      </c>
      <c r="H273" s="391" t="str">
        <f>VLOOKUP(Tabela11[[#This Row],[Tag do Cabo]],BD!A:AJ,32,0)</f>
        <v>7HVxGB-200</v>
      </c>
      <c r="I273" s="7" t="str">
        <f>VLOOKUP(Tabela11[[#This Row],[Tag do Cabo]],BD!A:AJ,11,0)</f>
        <v>PAINEL TCC-51 (7HV)</v>
      </c>
      <c r="J273" s="3" t="str">
        <f>VLOOKUP(Tabela11[[#This Row],[Tag do Cabo]],BD!A:AJ,12,0)</f>
        <v>GBM-200 - AQUECIMENTO 1</v>
      </c>
      <c r="K273" s="391" t="s">
        <v>1626</v>
      </c>
      <c r="L273" s="391" t="s">
        <v>762</v>
      </c>
      <c r="M273" s="3" t="str">
        <f>CONCATENATE(Tabela11[[#This Row],[Painel 1]]&amp;" "&amp;Tabela11[[#This Row],[Painel 2]])</f>
        <v>TCC-51 GB-200</v>
      </c>
      <c r="N273" s="157">
        <v>4</v>
      </c>
      <c r="O273" s="391">
        <f>COUNTIF(Tabela12[Tag Cabo],Tabela11[[#This Row],[Tag do Cabo]])</f>
        <v>4</v>
      </c>
      <c r="P273" s="391" t="str">
        <f>IF(Tabela11[[#This Row],[Qtde Ligações]]&lt;&gt;Tabela11[[#This Row],[Qtde Anilhas]],"Ver","Ok")</f>
        <v>Ok</v>
      </c>
      <c r="Q273" s="391">
        <f>VLOOKUP(Tabela11[[#This Row],[Tag do Cabo]],BD!A:F,6,0)</f>
        <v>10</v>
      </c>
      <c r="R273" s="391">
        <f>SUMIF('Lançamento de Cabos'!AE:AE,Tabela11[[#This Row],[Tag do Cabo]],'Lançamento de Cabos'!AG:AG)</f>
        <v>0</v>
      </c>
      <c r="S273" s="28">
        <f>Tabela11[[#This Row],[Ligações Realizadas]]/Tabela11[[#This Row],[Qtde Ligações]]</f>
        <v>0</v>
      </c>
      <c r="T273" s="269">
        <f>IF(Tabela11[[#This Row],[Ligações Realizadas]]/Tabela11[[#This Row],[Qtde Ligações]]=0,0,IF(Tabela11[[#This Row],[Ligações Realizadas]]/Tabela11[[#This Row],[Qtde Ligações]]=1,ROUND(N273/2,0),"Ver Painel"))</f>
        <v>0</v>
      </c>
      <c r="U273" s="23">
        <f>IF(Tabela11[[#This Row],[Ligações Realizadas]]/Tabela11[[#This Row],[Qtde Ligações]]=0,0,IF(Tabela11[[#This Row],[Ligações Realizadas]]/Tabela11[[#This Row],[Qtde Ligações]]=1,ROUND(N273/2,0),"Ver Painel"))</f>
        <v>0</v>
      </c>
      <c r="V273" s="222"/>
    </row>
    <row r="274" spans="1:22" hidden="1" x14ac:dyDescent="0.25">
      <c r="A274" s="34" t="s">
        <v>781</v>
      </c>
      <c r="B274" s="391" t="str">
        <f>VLOOKUP(Tabela11[[#This Row],[Tag do Cabo]],BD!A:AJ,2,0)</f>
        <v>Força</v>
      </c>
      <c r="C274" s="3" t="str">
        <f>VLOOKUP(Tabela11[[#This Row],[Tag do Cabo]],BD!A:AJ,5,0)</f>
        <v>1x1x2/C#10</v>
      </c>
      <c r="D274" s="391" t="s">
        <v>1542</v>
      </c>
      <c r="E274" s="391" t="str">
        <f>VLOOKUP(Tabela11[[#This Row],[Tag do Cabo]],BD!A:T,20,0)</f>
        <v>BK-SP54-0900B-LC-74-00004_00000</v>
      </c>
      <c r="F274" s="3" t="str">
        <f>IF(VLOOKUP(Tabela11[[#This Row],[Tag do Cabo]],BD!A:AJ,35,0)=0,"Pendente",VLOOKUP(Tabela11[[#This Row],[Tag do Cabo]],BD!A:AJ,35,0))</f>
        <v>BK-SP54-0900B-DI-70-01014</v>
      </c>
      <c r="G274" s="3" t="str">
        <f>IF(VLOOKUP(Tabela11[[#This Row],[Tag do Cabo]],BD!A:AJ,36,0)=0,"Pendente",VLOOKUP(Tabela11[[#This Row],[Tag do Cabo]],BD!A:AJ,36,0))</f>
        <v>1</v>
      </c>
      <c r="H274" s="391" t="str">
        <f>VLOOKUP(Tabela11[[#This Row],[Tag do Cabo]],BD!A:AJ,32,0)</f>
        <v>7HVxGB-200</v>
      </c>
      <c r="I274" s="7" t="str">
        <f>VLOOKUP(Tabela11[[#This Row],[Tag do Cabo]],BD!A:AJ,11,0)</f>
        <v>PAINEL TCC-51 (7HV)</v>
      </c>
      <c r="J274" s="3" t="str">
        <f>VLOOKUP(Tabela11[[#This Row],[Tag do Cabo]],BD!A:AJ,12,0)</f>
        <v>GBM-200 - AQUECIMENTO 2</v>
      </c>
      <c r="K274" s="391" t="s">
        <v>1626</v>
      </c>
      <c r="L274" s="391" t="s">
        <v>762</v>
      </c>
      <c r="M274" s="3" t="str">
        <f>CONCATENATE(Tabela11[[#This Row],[Painel 1]]&amp;" "&amp;Tabela11[[#This Row],[Painel 2]])</f>
        <v>TCC-51 GB-200</v>
      </c>
      <c r="N274" s="157">
        <v>4</v>
      </c>
      <c r="O274" s="391">
        <f>COUNTIF(Tabela12[Tag Cabo],Tabela11[[#This Row],[Tag do Cabo]])</f>
        <v>4</v>
      </c>
      <c r="P274" s="391" t="str">
        <f>IF(Tabela11[[#This Row],[Qtde Ligações]]&lt;&gt;Tabela11[[#This Row],[Qtde Anilhas]],"Ver","Ok")</f>
        <v>Ok</v>
      </c>
      <c r="Q274" s="391">
        <f>VLOOKUP(Tabela11[[#This Row],[Tag do Cabo]],BD!A:F,6,0)</f>
        <v>10</v>
      </c>
      <c r="R274" s="391">
        <f>SUMIF('Lançamento de Cabos'!AE:AE,Tabela11[[#This Row],[Tag do Cabo]],'Lançamento de Cabos'!AG:AG)</f>
        <v>0</v>
      </c>
      <c r="S274" s="28">
        <f>Tabela11[[#This Row],[Ligações Realizadas]]/Tabela11[[#This Row],[Qtde Ligações]]</f>
        <v>0</v>
      </c>
      <c r="T274" s="269">
        <f>IF(Tabela11[[#This Row],[Ligações Realizadas]]/Tabela11[[#This Row],[Qtde Ligações]]=0,0,IF(Tabela11[[#This Row],[Ligações Realizadas]]/Tabela11[[#This Row],[Qtde Ligações]]=1,ROUND(N274/2,0),"Ver Painel"))</f>
        <v>0</v>
      </c>
      <c r="U274" s="23">
        <f>IF(Tabela11[[#This Row],[Ligações Realizadas]]/Tabela11[[#This Row],[Qtde Ligações]]=0,0,IF(Tabela11[[#This Row],[Ligações Realizadas]]/Tabela11[[#This Row],[Qtde Ligações]]=1,ROUND(N274/2,0),"Ver Painel"))</f>
        <v>0</v>
      </c>
      <c r="V274" s="222"/>
    </row>
    <row r="275" spans="1:22" hidden="1" x14ac:dyDescent="0.25">
      <c r="A275" s="34" t="s">
        <v>783</v>
      </c>
      <c r="B275" s="391" t="str">
        <f>VLOOKUP(Tabela11[[#This Row],[Tag do Cabo]],BD!A:AJ,2,0)</f>
        <v>Força</v>
      </c>
      <c r="C275" s="3" t="str">
        <f>VLOOKUP(Tabela11[[#This Row],[Tag do Cabo]],BD!A:AJ,5,0)</f>
        <v>1x1x2/C#10</v>
      </c>
      <c r="D275" s="391" t="s">
        <v>1542</v>
      </c>
      <c r="E275" s="391" t="str">
        <f>VLOOKUP(Tabela11[[#This Row],[Tag do Cabo]],BD!A:T,20,0)</f>
        <v>BK-SP54-0900B-LC-74-00004_00000</v>
      </c>
      <c r="F275" s="3" t="str">
        <f>IF(VLOOKUP(Tabela11[[#This Row],[Tag do Cabo]],BD!A:AJ,35,0)=0,"Pendente",VLOOKUP(Tabela11[[#This Row],[Tag do Cabo]],BD!A:AJ,35,0))</f>
        <v>BK-SP54-0900B-DI-70-01014</v>
      </c>
      <c r="G275" s="3" t="str">
        <f>IF(VLOOKUP(Tabela11[[#This Row],[Tag do Cabo]],BD!A:AJ,36,0)=0,"Pendente",VLOOKUP(Tabela11[[#This Row],[Tag do Cabo]],BD!A:AJ,36,0))</f>
        <v>1</v>
      </c>
      <c r="H275" s="391" t="str">
        <f>VLOOKUP(Tabela11[[#This Row],[Tag do Cabo]],BD!A:AJ,32,0)</f>
        <v>7HVxGB-200</v>
      </c>
      <c r="I275" s="7" t="str">
        <f>VLOOKUP(Tabela11[[#This Row],[Tag do Cabo]],BD!A:AJ,11,0)</f>
        <v>PAINEL TCC-51 (7HV)</v>
      </c>
      <c r="J275" s="3" t="str">
        <f>VLOOKUP(Tabela11[[#This Row],[Tag do Cabo]],BD!A:AJ,12,0)</f>
        <v>GBM-200 - AQUECIMENTO 3</v>
      </c>
      <c r="K275" s="391" t="s">
        <v>1626</v>
      </c>
      <c r="L275" s="391" t="s">
        <v>762</v>
      </c>
      <c r="M275" s="3" t="str">
        <f>CONCATENATE(Tabela11[[#This Row],[Painel 1]]&amp;" "&amp;Tabela11[[#This Row],[Painel 2]])</f>
        <v>TCC-51 GB-200</v>
      </c>
      <c r="N275" s="157">
        <v>4</v>
      </c>
      <c r="O275" s="391">
        <f>COUNTIF(Tabela12[Tag Cabo],Tabela11[[#This Row],[Tag do Cabo]])</f>
        <v>4</v>
      </c>
      <c r="P275" s="391" t="str">
        <f>IF(Tabela11[[#This Row],[Qtde Ligações]]&lt;&gt;Tabela11[[#This Row],[Qtde Anilhas]],"Ver","Ok")</f>
        <v>Ok</v>
      </c>
      <c r="Q275" s="391">
        <f>VLOOKUP(Tabela11[[#This Row],[Tag do Cabo]],BD!A:F,6,0)</f>
        <v>10</v>
      </c>
      <c r="R275" s="391">
        <f>SUMIF('Lançamento de Cabos'!AE:AE,Tabela11[[#This Row],[Tag do Cabo]],'Lançamento de Cabos'!AG:AG)</f>
        <v>0</v>
      </c>
      <c r="S275" s="28">
        <f>Tabela11[[#This Row],[Ligações Realizadas]]/Tabela11[[#This Row],[Qtde Ligações]]</f>
        <v>0</v>
      </c>
      <c r="T275" s="269">
        <f>IF(Tabela11[[#This Row],[Ligações Realizadas]]/Tabela11[[#This Row],[Qtde Ligações]]=0,0,IF(Tabela11[[#This Row],[Ligações Realizadas]]/Tabela11[[#This Row],[Qtde Ligações]]=1,ROUND(N275/2,0),"Ver Painel"))</f>
        <v>0</v>
      </c>
      <c r="U275" s="23">
        <f>IF(Tabela11[[#This Row],[Ligações Realizadas]]/Tabela11[[#This Row],[Qtde Ligações]]=0,0,IF(Tabela11[[#This Row],[Ligações Realizadas]]/Tabela11[[#This Row],[Qtde Ligações]]=1,ROUND(N275/2,0),"Ver Painel"))</f>
        <v>0</v>
      </c>
      <c r="V275" s="222"/>
    </row>
    <row r="276" spans="1:22" hidden="1" x14ac:dyDescent="0.25">
      <c r="A276" s="34" t="s">
        <v>794</v>
      </c>
      <c r="B276" s="391" t="str">
        <f>VLOOKUP(Tabela11[[#This Row],[Tag do Cabo]],BD!A:AJ,2,0)</f>
        <v>Força</v>
      </c>
      <c r="C276" s="3" t="str">
        <f>VLOOKUP(Tabela11[[#This Row],[Tag do Cabo]],BD!A:AJ,5,0)</f>
        <v>1x1x2/C#10</v>
      </c>
      <c r="D276" s="391" t="s">
        <v>1542</v>
      </c>
      <c r="E276" s="391" t="str">
        <f>VLOOKUP(Tabela11[[#This Row],[Tag do Cabo]],BD!A:T,20,0)</f>
        <v>BK-SP54-0900B-LC-74-00004_00000</v>
      </c>
      <c r="F276" s="3" t="str">
        <f>IF(VLOOKUP(Tabela11[[#This Row],[Tag do Cabo]],BD!A:AJ,35,0)=0,"Pendente",VLOOKUP(Tabela11[[#This Row],[Tag do Cabo]],BD!A:AJ,35,0))</f>
        <v>BK-SP54-0900B-DI-70-01014</v>
      </c>
      <c r="G276" s="3" t="str">
        <f>IF(VLOOKUP(Tabela11[[#This Row],[Tag do Cabo]],BD!A:AJ,36,0)=0,"Pendente",VLOOKUP(Tabela11[[#This Row],[Tag do Cabo]],BD!A:AJ,36,0))</f>
        <v>2</v>
      </c>
      <c r="H276" s="391" t="str">
        <f>VLOOKUP(Tabela11[[#This Row],[Tag do Cabo]],BD!A:AJ,32,0)</f>
        <v>7HVxGB-351</v>
      </c>
      <c r="I276" s="7" t="str">
        <f>VLOOKUP(Tabela11[[#This Row],[Tag do Cabo]],BD!A:AJ,11,0)</f>
        <v>PAINEL TCC-51 (7HV)</v>
      </c>
      <c r="J276" s="3" t="str">
        <f>VLOOKUP(Tabela11[[#This Row],[Tag do Cabo]],BD!A:AJ,12,0)</f>
        <v>GBM-351 - AQUECIMENTO 1</v>
      </c>
      <c r="K276" s="391" t="s">
        <v>1626</v>
      </c>
      <c r="L276" s="391" t="s">
        <v>787</v>
      </c>
      <c r="M276" s="3" t="str">
        <f>CONCATENATE(Tabela11[[#This Row],[Painel 1]]&amp;" "&amp;Tabela11[[#This Row],[Painel 2]])</f>
        <v>TCC-51 GB-351</v>
      </c>
      <c r="N276" s="157">
        <v>4</v>
      </c>
      <c r="O276" s="391">
        <f>COUNTIF(Tabela12[Tag Cabo],Tabela11[[#This Row],[Tag do Cabo]])</f>
        <v>4</v>
      </c>
      <c r="P276" s="391" t="str">
        <f>IF(Tabela11[[#This Row],[Qtde Ligações]]&lt;&gt;Tabela11[[#This Row],[Qtde Anilhas]],"Ver","Ok")</f>
        <v>Ok</v>
      </c>
      <c r="Q276" s="391">
        <f>VLOOKUP(Tabela11[[#This Row],[Tag do Cabo]],BD!A:F,6,0)</f>
        <v>10</v>
      </c>
      <c r="R276" s="391">
        <f>SUMIF('Lançamento de Cabos'!AE:AE,Tabela11[[#This Row],[Tag do Cabo]],'Lançamento de Cabos'!AG:AG)</f>
        <v>0</v>
      </c>
      <c r="S276" s="28">
        <f>Tabela11[[#This Row],[Ligações Realizadas]]/Tabela11[[#This Row],[Qtde Ligações]]</f>
        <v>0</v>
      </c>
      <c r="T276" s="269">
        <f>IF(Tabela11[[#This Row],[Ligações Realizadas]]/Tabela11[[#This Row],[Qtde Ligações]]=0,0,IF(Tabela11[[#This Row],[Ligações Realizadas]]/Tabela11[[#This Row],[Qtde Ligações]]=1,ROUND(N276/2,0),"Ver Painel"))</f>
        <v>0</v>
      </c>
      <c r="U276" s="23">
        <f>IF(Tabela11[[#This Row],[Ligações Realizadas]]/Tabela11[[#This Row],[Qtde Ligações]]=0,0,IF(Tabela11[[#This Row],[Ligações Realizadas]]/Tabela11[[#This Row],[Qtde Ligações]]=1,ROUND(N276/2,0),"Ver Painel"))</f>
        <v>0</v>
      </c>
      <c r="V276" s="222"/>
    </row>
    <row r="277" spans="1:22" hidden="1" x14ac:dyDescent="0.25">
      <c r="A277" s="34" t="s">
        <v>525</v>
      </c>
      <c r="B277" s="391" t="str">
        <f>VLOOKUP(Tabela11[[#This Row],[Tag do Cabo]],BD!A:AJ,2,0)</f>
        <v>Força</v>
      </c>
      <c r="C277" s="3" t="str">
        <f>VLOOKUP(Tabela11[[#This Row],[Tag do Cabo]],BD!A:AJ,5,0)</f>
        <v>1x1x3/C#2,5</v>
      </c>
      <c r="D277" s="391" t="s">
        <v>1542</v>
      </c>
      <c r="E277" s="391" t="str">
        <f>VLOOKUP(Tabela11[[#This Row],[Tag do Cabo]],BD!A:T,20,0)</f>
        <v>E5WP000490-C-001-LC003</v>
      </c>
      <c r="F277" s="3" t="str">
        <f>IF(VLOOKUP(Tabela11[[#This Row],[Tag do Cabo]],BD!A:AJ,35,0)=0,"Pendente",VLOOKUP(Tabela11[[#This Row],[Tag do Cabo]],BD!A:AJ,35,0))</f>
        <v>E5WP000490-C-002-DE003</v>
      </c>
      <c r="G277" s="3" t="str">
        <f>IF(VLOOKUP(Tabela11[[#This Row],[Tag do Cabo]],BD!A:AJ,36,0)=0,"Pendente",VLOOKUP(Tabela11[[#This Row],[Tag do Cabo]],BD!A:AJ,36,0))</f>
        <v>7</v>
      </c>
      <c r="H277" s="391" t="str">
        <f>VLOOKUP(Tabela11[[#This Row],[Tag do Cabo]],BD!A:AJ,32,0)</f>
        <v>7HV</v>
      </c>
      <c r="I277" s="7" t="str">
        <f>VLOOKUP(Tabela11[[#This Row],[Tag do Cabo]],BD!A:AJ,11,0)</f>
        <v>E-HOUSE (TCC-52)</v>
      </c>
      <c r="J277" s="3" t="str">
        <f>VLOOKUP(Tabela11[[#This Row],[Tag do Cabo]],BD!A:AJ,12,0)</f>
        <v>CELLAR AREA (TR-27)</v>
      </c>
      <c r="K277" s="391" t="s">
        <v>1627</v>
      </c>
      <c r="L277" s="391" t="s">
        <v>1555</v>
      </c>
      <c r="M277" s="3" t="str">
        <f>CONCATENATE(Tabela11[[#This Row],[Painel 1]]&amp;" "&amp;Tabela11[[#This Row],[Painel 2]])</f>
        <v>TCC-52 TR-27</v>
      </c>
      <c r="N277" s="157">
        <v>6</v>
      </c>
      <c r="O277" s="391" t="s">
        <v>92</v>
      </c>
      <c r="P277" s="391" t="s">
        <v>1550</v>
      </c>
      <c r="Q277" s="391">
        <f>VLOOKUP(Tabela11[[#This Row],[Tag do Cabo]],BD!A:F,6,0)</f>
        <v>2.5</v>
      </c>
      <c r="R277" s="391">
        <f>SUMIF('Lançamento de Cabos'!AE:AE,Tabela11[[#This Row],[Tag do Cabo]],'Lançamento de Cabos'!AG:AG)</f>
        <v>6</v>
      </c>
      <c r="S277" s="28">
        <f>Tabela11[[#This Row],[Ligações Realizadas]]/Tabela11[[#This Row],[Qtde Ligações]]</f>
        <v>1</v>
      </c>
      <c r="T277" s="272">
        <f>IF(Tabela11[[#This Row],[Ligações Realizadas]]/Tabela11[[#This Row],[Qtde Ligações]]=0,0,IF(Tabela11[[#This Row],[Ligações Realizadas]]/Tabela11[[#This Row],[Qtde Ligações]]=1,ROUND(N277/2,0),"Ver Painel"))</f>
        <v>3</v>
      </c>
      <c r="U277" s="273">
        <f>IF(Tabela11[[#This Row],[Ligações Realizadas]]/Tabela11[[#This Row],[Qtde Ligações]]=0,0,IF(Tabela11[[#This Row],[Ligações Realizadas]]/Tabela11[[#This Row],[Qtde Ligações]]=1,ROUND(N277/2,0),"Ver Painel"))</f>
        <v>3</v>
      </c>
      <c r="V277" s="222"/>
    </row>
    <row r="278" spans="1:22" hidden="1" x14ac:dyDescent="0.25">
      <c r="A278" s="34" t="s">
        <v>527</v>
      </c>
      <c r="B278" s="391" t="str">
        <f>VLOOKUP(Tabela11[[#This Row],[Tag do Cabo]],BD!A:AJ,2,0)</f>
        <v>Força</v>
      </c>
      <c r="C278" s="3" t="str">
        <f>VLOOKUP(Tabela11[[#This Row],[Tag do Cabo]],BD!A:AJ,5,0)</f>
        <v>1x1x3/C#2,5</v>
      </c>
      <c r="D278" s="391" t="s">
        <v>1542</v>
      </c>
      <c r="E278" s="391" t="str">
        <f>VLOOKUP(Tabela11[[#This Row],[Tag do Cabo]],BD!A:T,20,0)</f>
        <v>E5WP000490-C-001-LC003</v>
      </c>
      <c r="F278" s="3" t="str">
        <f>IF(VLOOKUP(Tabela11[[#This Row],[Tag do Cabo]],BD!A:AJ,35,0)=0,"Pendente",VLOOKUP(Tabela11[[#This Row],[Tag do Cabo]],BD!A:AJ,35,0))</f>
        <v>E5WP000490-C-002-DE003</v>
      </c>
      <c r="G278" s="3" t="str">
        <f>IF(VLOOKUP(Tabela11[[#This Row],[Tag do Cabo]],BD!A:AJ,36,0)=0,"Pendente",VLOOKUP(Tabela11[[#This Row],[Tag do Cabo]],BD!A:AJ,36,0))</f>
        <v>7</v>
      </c>
      <c r="H278" s="391" t="str">
        <f>VLOOKUP(Tabela11[[#This Row],[Tag do Cabo]],BD!A:AJ,32,0)</f>
        <v>7HV</v>
      </c>
      <c r="I278" s="7" t="str">
        <f>VLOOKUP(Tabela11[[#This Row],[Tag do Cabo]],BD!A:AJ,11,0)</f>
        <v>E-HOUSE (TCC-52)</v>
      </c>
      <c r="J278" s="3" t="str">
        <f>VLOOKUP(Tabela11[[#This Row],[Tag do Cabo]],BD!A:AJ,12,0)</f>
        <v>CELLAR AREA (RS-TR-27)</v>
      </c>
      <c r="K278" s="391" t="s">
        <v>1627</v>
      </c>
      <c r="L278" s="391" t="s">
        <v>1612</v>
      </c>
      <c r="M278" s="3" t="str">
        <f>CONCATENATE(Tabela11[[#This Row],[Painel 1]]&amp;" "&amp;Tabela11[[#This Row],[Painel 2]])</f>
        <v>TCC-52 RS-TR-27</v>
      </c>
      <c r="N278" s="157">
        <v>6</v>
      </c>
      <c r="O278" s="391" t="s">
        <v>92</v>
      </c>
      <c r="P278" s="391" t="s">
        <v>1550</v>
      </c>
      <c r="Q278" s="391">
        <f>VLOOKUP(Tabela11[[#This Row],[Tag do Cabo]],BD!A:F,6,0)</f>
        <v>2.5</v>
      </c>
      <c r="R278" s="391">
        <f>SUMIF('Lançamento de Cabos'!AE:AE,Tabela11[[#This Row],[Tag do Cabo]],'Lançamento de Cabos'!AG:AG)</f>
        <v>6</v>
      </c>
      <c r="S278" s="28">
        <f>Tabela11[[#This Row],[Ligações Realizadas]]/Tabela11[[#This Row],[Qtde Ligações]]</f>
        <v>1</v>
      </c>
      <c r="T278" s="272">
        <f>IF(Tabela11[[#This Row],[Ligações Realizadas]]/Tabela11[[#This Row],[Qtde Ligações]]=0,0,IF(Tabela11[[#This Row],[Ligações Realizadas]]/Tabela11[[#This Row],[Qtde Ligações]]=1,ROUND(N278/2,0),"Ver Painel"))</f>
        <v>3</v>
      </c>
      <c r="U278" s="273">
        <f>IF(Tabela11[[#This Row],[Ligações Realizadas]]/Tabela11[[#This Row],[Qtde Ligações]]=0,0,IF(Tabela11[[#This Row],[Ligações Realizadas]]/Tabela11[[#This Row],[Qtde Ligações]]=1,ROUND(N278/2,0),"Ver Painel"))</f>
        <v>3</v>
      </c>
      <c r="V278" s="222"/>
    </row>
    <row r="279" spans="1:22" hidden="1" x14ac:dyDescent="0.25">
      <c r="A279" s="34" t="s">
        <v>528</v>
      </c>
      <c r="B279" s="391" t="str">
        <f>VLOOKUP(Tabela11[[#This Row],[Tag do Cabo]],BD!A:AJ,2,0)</f>
        <v>Força</v>
      </c>
      <c r="C279" s="3" t="str">
        <f>VLOOKUP(Tabela11[[#This Row],[Tag do Cabo]],BD!A:AJ,5,0)</f>
        <v>1x1x3/C#2,5</v>
      </c>
      <c r="D279" s="391" t="s">
        <v>1542</v>
      </c>
      <c r="E279" s="391" t="str">
        <f>VLOOKUP(Tabela11[[#This Row],[Tag do Cabo]],BD!A:T,20,0)</f>
        <v>E5WP000490-C-001-LC003</v>
      </c>
      <c r="F279" s="3" t="str">
        <f>IF(VLOOKUP(Tabela11[[#This Row],[Tag do Cabo]],BD!A:AJ,35,0)=0,"Pendente",VLOOKUP(Tabela11[[#This Row],[Tag do Cabo]],BD!A:AJ,35,0))</f>
        <v>E5WP000490-C-002-DE003</v>
      </c>
      <c r="G279" s="3" t="str">
        <f>IF(VLOOKUP(Tabela11[[#This Row],[Tag do Cabo]],BD!A:AJ,36,0)=0,"Pendente",VLOOKUP(Tabela11[[#This Row],[Tag do Cabo]],BD!A:AJ,36,0))</f>
        <v>7</v>
      </c>
      <c r="H279" s="391" t="str">
        <f>VLOOKUP(Tabela11[[#This Row],[Tag do Cabo]],BD!A:AJ,32,0)</f>
        <v>7HV</v>
      </c>
      <c r="I279" s="7" t="str">
        <f>VLOOKUP(Tabela11[[#This Row],[Tag do Cabo]],BD!A:AJ,11,0)</f>
        <v>E-HOUSE (TCC-52)</v>
      </c>
      <c r="J279" s="3" t="str">
        <f>VLOOKUP(Tabela11[[#This Row],[Tag do Cabo]],BD!A:AJ,12,0)</f>
        <v>CELLAR AREA (TR-26A)</v>
      </c>
      <c r="K279" s="391" t="s">
        <v>1627</v>
      </c>
      <c r="L279" s="391" t="s">
        <v>1559</v>
      </c>
      <c r="M279" s="3" t="str">
        <f>CONCATENATE(Tabela11[[#This Row],[Painel 1]]&amp;" "&amp;Tabela11[[#This Row],[Painel 2]])</f>
        <v>TCC-52 TR-26A</v>
      </c>
      <c r="N279" s="157">
        <v>6</v>
      </c>
      <c r="O279" s="391" t="s">
        <v>92</v>
      </c>
      <c r="P279" s="391" t="s">
        <v>1550</v>
      </c>
      <c r="Q279" s="391">
        <f>VLOOKUP(Tabela11[[#This Row],[Tag do Cabo]],BD!A:F,6,0)</f>
        <v>2.5</v>
      </c>
      <c r="R279" s="391">
        <f>SUMIF('Lançamento de Cabos'!AE:AE,Tabela11[[#This Row],[Tag do Cabo]],'Lançamento de Cabos'!AG:AG)</f>
        <v>6</v>
      </c>
      <c r="S279" s="28">
        <f>Tabela11[[#This Row],[Ligações Realizadas]]/Tabela11[[#This Row],[Qtde Ligações]]</f>
        <v>1</v>
      </c>
      <c r="T279" s="272">
        <f>IF(Tabela11[[#This Row],[Ligações Realizadas]]/Tabela11[[#This Row],[Qtde Ligações]]=0,0,IF(Tabela11[[#This Row],[Ligações Realizadas]]/Tabela11[[#This Row],[Qtde Ligações]]=1,ROUND(N279/2,0),"Ver Painel"))</f>
        <v>3</v>
      </c>
      <c r="U279" s="273">
        <f>IF(Tabela11[[#This Row],[Ligações Realizadas]]/Tabela11[[#This Row],[Qtde Ligações]]=0,0,IF(Tabela11[[#This Row],[Ligações Realizadas]]/Tabela11[[#This Row],[Qtde Ligações]]=1,ROUND(N279/2,0),"Ver Painel"))</f>
        <v>3</v>
      </c>
      <c r="V279" s="222"/>
    </row>
    <row r="280" spans="1:22" hidden="1" x14ac:dyDescent="0.25">
      <c r="A280" s="34" t="s">
        <v>529</v>
      </c>
      <c r="B280" s="391" t="str">
        <f>VLOOKUP(Tabela11[[#This Row],[Tag do Cabo]],BD!A:AJ,2,0)</f>
        <v>Força</v>
      </c>
      <c r="C280" s="3" t="str">
        <f>VLOOKUP(Tabela11[[#This Row],[Tag do Cabo]],BD!A:AJ,5,0)</f>
        <v>1x1x3/C#2,5</v>
      </c>
      <c r="D280" s="391" t="s">
        <v>1542</v>
      </c>
      <c r="E280" s="391" t="str">
        <f>VLOOKUP(Tabela11[[#This Row],[Tag do Cabo]],BD!A:T,20,0)</f>
        <v>E5WP000490-C-001-LC003</v>
      </c>
      <c r="F280" s="3" t="str">
        <f>IF(VLOOKUP(Tabela11[[#This Row],[Tag do Cabo]],BD!A:AJ,35,0)=0,"Pendente",VLOOKUP(Tabela11[[#This Row],[Tag do Cabo]],BD!A:AJ,35,0))</f>
        <v>E5WP000490-C-002-DE003</v>
      </c>
      <c r="G280" s="3" t="str">
        <f>IF(VLOOKUP(Tabela11[[#This Row],[Tag do Cabo]],BD!A:AJ,36,0)=0,"Pendente",VLOOKUP(Tabela11[[#This Row],[Tag do Cabo]],BD!A:AJ,36,0))</f>
        <v>7</v>
      </c>
      <c r="H280" s="391" t="str">
        <f>VLOOKUP(Tabela11[[#This Row],[Tag do Cabo]],BD!A:AJ,32,0)</f>
        <v>7HV</v>
      </c>
      <c r="I280" s="7" t="str">
        <f>VLOOKUP(Tabela11[[#This Row],[Tag do Cabo]],BD!A:AJ,11,0)</f>
        <v>E-HOUSE (TCC-52)</v>
      </c>
      <c r="J280" s="3" t="str">
        <f>VLOOKUP(Tabela11[[#This Row],[Tag do Cabo]],BD!A:AJ,12,0)</f>
        <v>CELLAR AREA (TR-09A)</v>
      </c>
      <c r="K280" s="391" t="s">
        <v>1627</v>
      </c>
      <c r="L280" s="391" t="s">
        <v>1553</v>
      </c>
      <c r="M280" s="3" t="str">
        <f>CONCATENATE(Tabela11[[#This Row],[Painel 1]]&amp;" "&amp;Tabela11[[#This Row],[Painel 2]])</f>
        <v>TCC-52 TR-09A</v>
      </c>
      <c r="N280" s="157">
        <v>6</v>
      </c>
      <c r="O280" s="391" t="s">
        <v>92</v>
      </c>
      <c r="P280" s="391" t="s">
        <v>1550</v>
      </c>
      <c r="Q280" s="391">
        <f>VLOOKUP(Tabela11[[#This Row],[Tag do Cabo]],BD!A:F,6,0)</f>
        <v>2.5</v>
      </c>
      <c r="R280" s="391">
        <f>SUMIF('Lançamento de Cabos'!AE:AE,Tabela11[[#This Row],[Tag do Cabo]],'Lançamento de Cabos'!AG:AG)</f>
        <v>6</v>
      </c>
      <c r="S280" s="28">
        <f>Tabela11[[#This Row],[Ligações Realizadas]]/Tabela11[[#This Row],[Qtde Ligações]]</f>
        <v>1</v>
      </c>
      <c r="T280" s="272">
        <f>IF(Tabela11[[#This Row],[Ligações Realizadas]]/Tabela11[[#This Row],[Qtde Ligações]]=0,0,IF(Tabela11[[#This Row],[Ligações Realizadas]]/Tabela11[[#This Row],[Qtde Ligações]]=1,ROUND(N280/2,0),"Ver Painel"))</f>
        <v>3</v>
      </c>
      <c r="U280" s="273">
        <f>IF(Tabela11[[#This Row],[Ligações Realizadas]]/Tabela11[[#This Row],[Qtde Ligações]]=0,0,IF(Tabela11[[#This Row],[Ligações Realizadas]]/Tabela11[[#This Row],[Qtde Ligações]]=1,ROUND(N280/2,0),"Ver Painel"))</f>
        <v>3</v>
      </c>
      <c r="V280" s="222"/>
    </row>
    <row r="281" spans="1:22" hidden="1" x14ac:dyDescent="0.25">
      <c r="A281" s="34" t="s">
        <v>530</v>
      </c>
      <c r="B281" s="391" t="str">
        <f>VLOOKUP(Tabela11[[#This Row],[Tag do Cabo]],BD!A:AJ,2,0)</f>
        <v>Força</v>
      </c>
      <c r="C281" s="3" t="str">
        <f>VLOOKUP(Tabela11[[#This Row],[Tag do Cabo]],BD!A:AJ,5,0)</f>
        <v>1x1x3/C#2,5</v>
      </c>
      <c r="D281" s="391" t="s">
        <v>1542</v>
      </c>
      <c r="E281" s="391" t="str">
        <f>VLOOKUP(Tabela11[[#This Row],[Tag do Cabo]],BD!A:T,20,0)</f>
        <v>E5WP000490-C-001-LC003</v>
      </c>
      <c r="F281" s="3" t="str">
        <f>IF(VLOOKUP(Tabela11[[#This Row],[Tag do Cabo]],BD!A:AJ,35,0)=0,"Pendente",VLOOKUP(Tabela11[[#This Row],[Tag do Cabo]],BD!A:AJ,35,0))</f>
        <v>E5WP000490-C-002-DE003</v>
      </c>
      <c r="G281" s="3" t="str">
        <f>IF(VLOOKUP(Tabela11[[#This Row],[Tag do Cabo]],BD!A:AJ,36,0)=0,"Pendente",VLOOKUP(Tabela11[[#This Row],[Tag do Cabo]],BD!A:AJ,36,0))</f>
        <v>7</v>
      </c>
      <c r="H281" s="391" t="str">
        <f>VLOOKUP(Tabela11[[#This Row],[Tag do Cabo]],BD!A:AJ,32,0)</f>
        <v>7HV</v>
      </c>
      <c r="I281" s="7" t="str">
        <f>VLOOKUP(Tabela11[[#This Row],[Tag do Cabo]],BD!A:AJ,11,0)</f>
        <v>E-HOUSE (TCC-52)</v>
      </c>
      <c r="J281" s="3" t="str">
        <f>VLOOKUP(Tabela11[[#This Row],[Tag do Cabo]],BD!A:AJ,12,0)</f>
        <v>CELLAR AREA (TR-24A)</v>
      </c>
      <c r="K281" s="391" t="s">
        <v>1627</v>
      </c>
      <c r="L281" s="391" t="s">
        <v>1557</v>
      </c>
      <c r="M281" s="3" t="str">
        <f>CONCATENATE(Tabela11[[#This Row],[Painel 1]]&amp;" "&amp;Tabela11[[#This Row],[Painel 2]])</f>
        <v>TCC-52 TR-24A</v>
      </c>
      <c r="N281" s="157">
        <v>6</v>
      </c>
      <c r="O281" s="391" t="s">
        <v>92</v>
      </c>
      <c r="P281" s="391" t="s">
        <v>1550</v>
      </c>
      <c r="Q281" s="391">
        <f>VLOOKUP(Tabela11[[#This Row],[Tag do Cabo]],BD!A:F,6,0)</f>
        <v>2.5</v>
      </c>
      <c r="R281" s="391">
        <f>SUMIF('Lançamento de Cabos'!AE:AE,Tabela11[[#This Row],[Tag do Cabo]],'Lançamento de Cabos'!AG:AG)</f>
        <v>6</v>
      </c>
      <c r="S281" s="28">
        <f>Tabela11[[#This Row],[Ligações Realizadas]]/Tabela11[[#This Row],[Qtde Ligações]]</f>
        <v>1</v>
      </c>
      <c r="T281" s="272">
        <f>IF(Tabela11[[#This Row],[Ligações Realizadas]]/Tabela11[[#This Row],[Qtde Ligações]]=0,0,IF(Tabela11[[#This Row],[Ligações Realizadas]]/Tabela11[[#This Row],[Qtde Ligações]]=1,ROUND(N281/2,0),"Ver Painel"))</f>
        <v>3</v>
      </c>
      <c r="U281" s="273">
        <f>IF(Tabela11[[#This Row],[Ligações Realizadas]]/Tabela11[[#This Row],[Qtde Ligações]]=0,0,IF(Tabela11[[#This Row],[Ligações Realizadas]]/Tabela11[[#This Row],[Qtde Ligações]]=1,ROUND(N281/2,0),"Ver Painel"))</f>
        <v>3</v>
      </c>
      <c r="V281" s="222"/>
    </row>
    <row r="282" spans="1:22" hidden="1" x14ac:dyDescent="0.25">
      <c r="A282" s="34" t="s">
        <v>531</v>
      </c>
      <c r="B282" s="391" t="str">
        <f>VLOOKUP(Tabela11[[#This Row],[Tag do Cabo]],BD!A:AJ,2,0)</f>
        <v>Força</v>
      </c>
      <c r="C282" s="3" t="str">
        <f>VLOOKUP(Tabela11[[#This Row],[Tag do Cabo]],BD!A:AJ,5,0)</f>
        <v>1x1x3/C#2,5</v>
      </c>
      <c r="D282" s="391" t="s">
        <v>1542</v>
      </c>
      <c r="E282" s="391" t="str">
        <f>VLOOKUP(Tabela11[[#This Row],[Tag do Cabo]],BD!A:T,20,0)</f>
        <v>E5WP000490-C-001-LC003</v>
      </c>
      <c r="F282" s="3" t="str">
        <f>IF(VLOOKUP(Tabela11[[#This Row],[Tag do Cabo]],BD!A:AJ,35,0)=0,"Pendente",VLOOKUP(Tabela11[[#This Row],[Tag do Cabo]],BD!A:AJ,35,0))</f>
        <v>E5WP000490-C-002-DE003</v>
      </c>
      <c r="G282" s="3" t="str">
        <f>IF(VLOOKUP(Tabela11[[#This Row],[Tag do Cabo]],BD!A:AJ,36,0)=0,"Pendente",VLOOKUP(Tabela11[[#This Row],[Tag do Cabo]],BD!A:AJ,36,0))</f>
        <v>7</v>
      </c>
      <c r="H282" s="391" t="str">
        <f>VLOOKUP(Tabela11[[#This Row],[Tag do Cabo]],BD!A:AJ,32,0)</f>
        <v>7HV</v>
      </c>
      <c r="I282" s="7" t="str">
        <f>VLOOKUP(Tabela11[[#This Row],[Tag do Cabo]],BD!A:AJ,11,0)</f>
        <v>E-HOUSE (TCC-52)</v>
      </c>
      <c r="J282" s="3" t="str">
        <f>VLOOKUP(Tabela11[[#This Row],[Tag do Cabo]],BD!A:AJ,12,0)</f>
        <v>CELLAR AREA (TR-08A)</v>
      </c>
      <c r="K282" s="391" t="s">
        <v>1627</v>
      </c>
      <c r="L282" s="391" t="s">
        <v>1625</v>
      </c>
      <c r="M282" s="3" t="str">
        <f>CONCATENATE(Tabela11[[#This Row],[Painel 1]]&amp;" "&amp;Tabela11[[#This Row],[Painel 2]])</f>
        <v>TCC-52 TR-08A</v>
      </c>
      <c r="N282" s="157">
        <v>6</v>
      </c>
      <c r="O282" s="391" t="s">
        <v>92</v>
      </c>
      <c r="P282" s="391" t="s">
        <v>1550</v>
      </c>
      <c r="Q282" s="391">
        <f>VLOOKUP(Tabela11[[#This Row],[Tag do Cabo]],BD!A:F,6,0)</f>
        <v>2.5</v>
      </c>
      <c r="R282" s="391">
        <f>SUMIF('Lançamento de Cabos'!AE:AE,Tabela11[[#This Row],[Tag do Cabo]],'Lançamento de Cabos'!AG:AG)</f>
        <v>6</v>
      </c>
      <c r="S282" s="28">
        <f>Tabela11[[#This Row],[Ligações Realizadas]]/Tabela11[[#This Row],[Qtde Ligações]]</f>
        <v>1</v>
      </c>
      <c r="T282" s="272">
        <f>IF(Tabela11[[#This Row],[Ligações Realizadas]]/Tabela11[[#This Row],[Qtde Ligações]]=0,0,IF(Tabela11[[#This Row],[Ligações Realizadas]]/Tabela11[[#This Row],[Qtde Ligações]]=1,ROUND(N282/2,0),"Ver Painel"))</f>
        <v>3</v>
      </c>
      <c r="U282" s="273">
        <f>IF(Tabela11[[#This Row],[Ligações Realizadas]]/Tabela11[[#This Row],[Qtde Ligações]]=0,0,IF(Tabela11[[#This Row],[Ligações Realizadas]]/Tabela11[[#This Row],[Qtde Ligações]]=1,ROUND(N282/2,0),"Ver Painel"))</f>
        <v>3</v>
      </c>
      <c r="V282" s="222"/>
    </row>
    <row r="283" spans="1:22" hidden="1" x14ac:dyDescent="0.25">
      <c r="A283" s="169" t="s">
        <v>532</v>
      </c>
      <c r="B283" s="391" t="str">
        <f>VLOOKUP(Tabela11[[#This Row],[Tag do Cabo]],BD!A:AJ,2,0)</f>
        <v>Força</v>
      </c>
      <c r="C283" s="3" t="str">
        <f>VLOOKUP(Tabela11[[#This Row],[Tag do Cabo]],BD!A:AJ,5,0)</f>
        <v>1x2/C#4</v>
      </c>
      <c r="D283" s="391" t="s">
        <v>1533</v>
      </c>
      <c r="E283" s="391" t="str">
        <f>VLOOKUP(Tabela11[[#This Row],[Tag do Cabo]],BD!A:T,20,0)</f>
        <v>BK-SP54-0900A-LC-74-00001_00000</v>
      </c>
      <c r="F283" s="222" t="str">
        <f>IF(VLOOKUP(Tabela11[[#This Row],[Tag do Cabo]],BD!A:AJ,35,0)=0,"Pendente",VLOOKUP(Tabela11[[#This Row],[Tag do Cabo]],BD!A:AJ,35,0))</f>
        <v>BK-SP54-0900B-DI-74-00450</v>
      </c>
      <c r="G283" s="3" t="str">
        <f>IF(VLOOKUP(Tabela11[[#This Row],[Tag do Cabo]],BD!A:AJ,36,0)=0,"Pendente",VLOOKUP(Tabela11[[#This Row],[Tag do Cabo]],BD!A:AJ,36,0))</f>
        <v>22</v>
      </c>
      <c r="H283" s="391" t="str">
        <f>VLOOKUP(Tabela11[[#This Row],[Tag do Cabo]],BD!A:AJ,32,0)</f>
        <v>7HV</v>
      </c>
      <c r="I283" s="7" t="str">
        <f>VLOOKUP(Tabela11[[#This Row],[Tag do Cabo]],BD!A:AJ,11,0)</f>
        <v>TCC-52 -PAINEL DE 125Vcc</v>
      </c>
      <c r="J283" s="3" t="str">
        <f>VLOOKUP(Tabela11[[#This Row],[Tag do Cabo]],BD!A:AJ,12,0)</f>
        <v>PSDC4 - PAINEL DE REJEICAO DE CARGAS 4</v>
      </c>
      <c r="K283" s="391" t="s">
        <v>1627</v>
      </c>
      <c r="L283" s="391" t="s">
        <v>1567</v>
      </c>
      <c r="M283" s="3" t="str">
        <f>CONCATENATE(Tabela11[[#This Row],[Painel 1]]&amp;" "&amp;Tabela11[[#This Row],[Painel 2]])</f>
        <v>TCC-52 PSDC4</v>
      </c>
      <c r="N283" s="157">
        <v>4</v>
      </c>
      <c r="O283" s="391">
        <f>COUNTIF(Tabela12[Tag Cabo],Tabela11[[#This Row],[Tag do Cabo]])</f>
        <v>4</v>
      </c>
      <c r="P283" s="391" t="str">
        <f>IF(Tabela11[[#This Row],[Qtde Ligações]]&lt;&gt;Tabela11[[#This Row],[Qtde Anilhas]],"Ver","Ok")</f>
        <v>Ok</v>
      </c>
      <c r="Q283" s="391">
        <f>VLOOKUP(Tabela11[[#This Row],[Tag do Cabo]],BD!A:F,6,0)</f>
        <v>4</v>
      </c>
      <c r="R283" s="391">
        <f>SUMIF('Lançamento de Cabos'!AE:AE,Tabela11[[#This Row],[Tag do Cabo]],'Lançamento de Cabos'!AG:AG)</f>
        <v>0</v>
      </c>
      <c r="S283" s="28">
        <f>Tabela11[[#This Row],[Ligações Realizadas]]/Tabela11[[#This Row],[Qtde Ligações]]</f>
        <v>0</v>
      </c>
      <c r="T283" s="269">
        <f>IF(Tabela11[[#This Row],[Ligações Realizadas]]/Tabela11[[#This Row],[Qtde Ligações]]=0,0,IF(Tabela11[[#This Row],[Ligações Realizadas]]/Tabela11[[#This Row],[Qtde Ligações]]=1,ROUND(N283/2,0),"Ver Painel"))</f>
        <v>0</v>
      </c>
      <c r="U283" s="23">
        <f>IF(Tabela11[[#This Row],[Ligações Realizadas]]/Tabela11[[#This Row],[Qtde Ligações]]=0,0,IF(Tabela11[[#This Row],[Ligações Realizadas]]/Tabela11[[#This Row],[Qtde Ligações]]=1,ROUND(N283/2,0),"Ver Painel"))</f>
        <v>0</v>
      </c>
      <c r="V283" s="222"/>
    </row>
    <row r="284" spans="1:22" hidden="1" x14ac:dyDescent="0.25">
      <c r="A284" s="34" t="s">
        <v>534</v>
      </c>
      <c r="B284" s="391" t="str">
        <f>VLOOKUP(Tabela11[[#This Row],[Tag do Cabo]],BD!A:AJ,2,0)</f>
        <v>Força</v>
      </c>
      <c r="C284" s="3" t="str">
        <f>VLOOKUP(Tabela11[[#This Row],[Tag do Cabo]],BD!A:AJ,5,0)</f>
        <v>1x1x3/C#4</v>
      </c>
      <c r="D284" s="391" t="s">
        <v>1542</v>
      </c>
      <c r="E284" s="391" t="str">
        <f>VLOOKUP(Tabela11[[#This Row],[Tag do Cabo]],BD!A:T,20,0)</f>
        <v>BK-SP54-0900A-LC-74-00001_00000</v>
      </c>
      <c r="F284" s="3" t="str">
        <f>IF(VLOOKUP(Tabela11[[#This Row],[Tag do Cabo]],BD!A:AJ,35,0)=0,"Pendente",VLOOKUP(Tabela11[[#This Row],[Tag do Cabo]],BD!A:AJ,35,0))</f>
        <v>BK-SP54-0900B-DI-70-01014</v>
      </c>
      <c r="G284" s="3" t="str">
        <f>IF(VLOOKUP(Tabela11[[#This Row],[Tag do Cabo]],BD!A:AJ,36,0)=0,"Pendente",VLOOKUP(Tabela11[[#This Row],[Tag do Cabo]],BD!A:AJ,36,0))</f>
        <v>6</v>
      </c>
      <c r="H284" s="391" t="str">
        <f>VLOOKUP(Tabela11[[#This Row],[Tag do Cabo]],BD!A:AJ,32,0)</f>
        <v>7HV</v>
      </c>
      <c r="I284" s="7" t="str">
        <f>VLOOKUP(Tabela11[[#This Row],[Tag do Cabo]],BD!A:AJ,11,0)</f>
        <v>TCC-52 -PAINEL DE 125Vcc</v>
      </c>
      <c r="J284" s="3" t="str">
        <f>VLOOKUP(Tabela11[[#This Row],[Tag do Cabo]],BD!A:AJ,12,0)</f>
        <v>RCK-120-102 - RACK DE INSTRUMENTAÇÃO</v>
      </c>
      <c r="K284" s="391" t="s">
        <v>1627</v>
      </c>
      <c r="L284" s="391" t="s">
        <v>1583</v>
      </c>
      <c r="M284" s="3" t="str">
        <f>CONCATENATE(Tabela11[[#This Row],[Painel 1]]&amp;" "&amp;Tabela11[[#This Row],[Painel 2]])</f>
        <v>TCC-52 RCK-120-102</v>
      </c>
      <c r="N284" s="157">
        <v>4</v>
      </c>
      <c r="O284" s="391">
        <f>COUNTIF(Tabela12[Tag Cabo],Tabela11[[#This Row],[Tag do Cabo]])</f>
        <v>4</v>
      </c>
      <c r="P284" s="391" t="str">
        <f>IF(Tabela11[[#This Row],[Qtde Ligações]]&lt;&gt;Tabela11[[#This Row],[Qtde Anilhas]],"Ver","Ok")</f>
        <v>Ok</v>
      </c>
      <c r="Q284" s="391">
        <f>VLOOKUP(Tabela11[[#This Row],[Tag do Cabo]],BD!A:F,6,0)</f>
        <v>4</v>
      </c>
      <c r="R284" s="391">
        <f>SUMIF('Lançamento de Cabos'!AE:AE,Tabela11[[#This Row],[Tag do Cabo]],'Lançamento de Cabos'!AG:AG)</f>
        <v>0</v>
      </c>
      <c r="S284" s="28">
        <f>Tabela11[[#This Row],[Ligações Realizadas]]/Tabela11[[#This Row],[Qtde Ligações]]</f>
        <v>0</v>
      </c>
      <c r="T284" s="269">
        <f>IF(Tabela11[[#This Row],[Ligações Realizadas]]/Tabela11[[#This Row],[Qtde Ligações]]=0,0,IF(Tabela11[[#This Row],[Ligações Realizadas]]/Tabela11[[#This Row],[Qtde Ligações]]=1,ROUND(N284/2,0),"Ver Painel"))</f>
        <v>0</v>
      </c>
      <c r="U284" s="23">
        <f>IF(Tabela11[[#This Row],[Ligações Realizadas]]/Tabela11[[#This Row],[Qtde Ligações]]=0,0,IF(Tabela11[[#This Row],[Ligações Realizadas]]/Tabela11[[#This Row],[Qtde Ligações]]=1,ROUND(N284/2,0),"Ver Painel"))</f>
        <v>0</v>
      </c>
      <c r="V284" s="222"/>
    </row>
    <row r="285" spans="1:22" hidden="1" x14ac:dyDescent="0.25">
      <c r="A285" s="34" t="s">
        <v>538</v>
      </c>
      <c r="B285" s="391" t="str">
        <f>VLOOKUP(Tabela11[[#This Row],[Tag do Cabo]],BD!A:AJ,2,0)</f>
        <v>Força</v>
      </c>
      <c r="C285" s="3" t="str">
        <f>VLOOKUP(Tabela11[[#This Row],[Tag do Cabo]],BD!A:AJ,5,0)</f>
        <v>1x1x3/C#4</v>
      </c>
      <c r="D285" s="391" t="s">
        <v>1542</v>
      </c>
      <c r="E285" s="391" t="str">
        <f>VLOOKUP(Tabela11[[#This Row],[Tag do Cabo]],BD!A:T,20,0)</f>
        <v>BK-SP54-0900A-LC-74-00001_00000</v>
      </c>
      <c r="F285" s="3" t="str">
        <f>IF(VLOOKUP(Tabela11[[#This Row],[Tag do Cabo]],BD!A:AJ,35,0)=0,"Pendente",VLOOKUP(Tabela11[[#This Row],[Tag do Cabo]],BD!A:AJ,35,0))</f>
        <v>BK-SP54-0900B-DI-70-01014</v>
      </c>
      <c r="G285" s="3" t="str">
        <f>IF(VLOOKUP(Tabela11[[#This Row],[Tag do Cabo]],BD!A:AJ,36,0)=0,"Pendente",VLOOKUP(Tabela11[[#This Row],[Tag do Cabo]],BD!A:AJ,36,0))</f>
        <v>6</v>
      </c>
      <c r="H285" s="391" t="str">
        <f>VLOOKUP(Tabela11[[#This Row],[Tag do Cabo]],BD!A:AJ,32,0)</f>
        <v>7HV</v>
      </c>
      <c r="I285" s="7" t="str">
        <f>VLOOKUP(Tabela11[[#This Row],[Tag do Cabo]],BD!A:AJ,11,0)</f>
        <v>TCC-52 -PAINEL DE 125Vcc</v>
      </c>
      <c r="J285" s="3" t="str">
        <f>VLOOKUP(Tabela11[[#This Row],[Tag do Cabo]],BD!A:AJ,12,0)</f>
        <v>RCK-120-102 - RACK DE INSTRUMENTAÇÃO</v>
      </c>
      <c r="K285" s="391" t="s">
        <v>1627</v>
      </c>
      <c r="L285" s="391" t="s">
        <v>1583</v>
      </c>
      <c r="M285" s="3" t="str">
        <f>CONCATENATE(Tabela11[[#This Row],[Painel 1]]&amp;" "&amp;Tabela11[[#This Row],[Painel 2]])</f>
        <v>TCC-52 RCK-120-102</v>
      </c>
      <c r="N285" s="157">
        <v>4</v>
      </c>
      <c r="O285" s="391">
        <f>COUNTIF(Tabela12[Tag Cabo],Tabela11[[#This Row],[Tag do Cabo]])</f>
        <v>4</v>
      </c>
      <c r="P285" s="391" t="str">
        <f>IF(Tabela11[[#This Row],[Qtde Ligações]]&lt;&gt;Tabela11[[#This Row],[Qtde Anilhas]],"Ver","Ok")</f>
        <v>Ok</v>
      </c>
      <c r="Q285" s="391">
        <f>VLOOKUP(Tabela11[[#This Row],[Tag do Cabo]],BD!A:F,6,0)</f>
        <v>4</v>
      </c>
      <c r="R285" s="391">
        <f>SUMIF('Lançamento de Cabos'!AE:AE,Tabela11[[#This Row],[Tag do Cabo]],'Lançamento de Cabos'!AG:AG)</f>
        <v>0</v>
      </c>
      <c r="S285" s="28">
        <f>Tabela11[[#This Row],[Ligações Realizadas]]/Tabela11[[#This Row],[Qtde Ligações]]</f>
        <v>0</v>
      </c>
      <c r="T285" s="269">
        <f>IF(Tabela11[[#This Row],[Ligações Realizadas]]/Tabela11[[#This Row],[Qtde Ligações]]=0,0,IF(Tabela11[[#This Row],[Ligações Realizadas]]/Tabela11[[#This Row],[Qtde Ligações]]=1,ROUND(N285/2,0),"Ver Painel"))</f>
        <v>0</v>
      </c>
      <c r="U285" s="23">
        <f>IF(Tabela11[[#This Row],[Ligações Realizadas]]/Tabela11[[#This Row],[Qtde Ligações]]=0,0,IF(Tabela11[[#This Row],[Ligações Realizadas]]/Tabela11[[#This Row],[Qtde Ligações]]=1,ROUND(N285/2,0),"Ver Painel"))</f>
        <v>0</v>
      </c>
      <c r="V285" s="222"/>
    </row>
    <row r="286" spans="1:22" hidden="1" x14ac:dyDescent="0.25">
      <c r="A286" s="34" t="s">
        <v>539</v>
      </c>
      <c r="B286" s="391" t="str">
        <f>VLOOKUP(Tabela11[[#This Row],[Tag do Cabo]],BD!A:AJ,2,0)</f>
        <v>Força</v>
      </c>
      <c r="C286" s="3" t="str">
        <f>VLOOKUP(Tabela11[[#This Row],[Tag do Cabo]],BD!A:AJ,5,0)</f>
        <v>1x1x3/C#2,5</v>
      </c>
      <c r="D286" s="391" t="s">
        <v>1542</v>
      </c>
      <c r="E286" s="391" t="str">
        <f>VLOOKUP(Tabela11[[#This Row],[Tag do Cabo]],BD!A:T,20,0)</f>
        <v>E5WP000490-C-001-LC003</v>
      </c>
      <c r="F286" s="3" t="str">
        <f>IF(VLOOKUP(Tabela11[[#This Row],[Tag do Cabo]],BD!A:AJ,35,0)=0,"Pendente",VLOOKUP(Tabela11[[#This Row],[Tag do Cabo]],BD!A:AJ,35,0))</f>
        <v>E5WP000490-C-002-DE003</v>
      </c>
      <c r="G286" s="3" t="str">
        <f>IF(VLOOKUP(Tabela11[[#This Row],[Tag do Cabo]],BD!A:AJ,36,0)=0,"Pendente",VLOOKUP(Tabela11[[#This Row],[Tag do Cabo]],BD!A:AJ,36,0))</f>
        <v>7</v>
      </c>
      <c r="H286" s="391" t="str">
        <f>VLOOKUP(Tabela11[[#This Row],[Tag do Cabo]],BD!A:AJ,32,0)</f>
        <v>7HV</v>
      </c>
      <c r="I286" s="7" t="str">
        <f>VLOOKUP(Tabela11[[#This Row],[Tag do Cabo]],BD!A:AJ,11,0)</f>
        <v>CELLAR AREA (TR-08A)</v>
      </c>
      <c r="J286" s="3" t="str">
        <f>VLOOKUP(Tabela11[[#This Row],[Tag do Cabo]],BD!A:AJ,12,0)</f>
        <v>CELLAR AREA (TR-08B)</v>
      </c>
      <c r="K286" s="391" t="s">
        <v>1625</v>
      </c>
      <c r="L286" s="391" t="s">
        <v>1628</v>
      </c>
      <c r="M286" s="3" t="str">
        <f>CONCATENATE(Tabela11[[#This Row],[Painel 1]]&amp;" "&amp;Tabela11[[#This Row],[Painel 2]])</f>
        <v>TR-08A TR-08B</v>
      </c>
      <c r="N286" s="157">
        <v>6</v>
      </c>
      <c r="O286" s="391" t="s">
        <v>92</v>
      </c>
      <c r="P286" s="391" t="s">
        <v>1550</v>
      </c>
      <c r="Q286" s="391">
        <f>VLOOKUP(Tabela11[[#This Row],[Tag do Cabo]],BD!A:F,6,0)</f>
        <v>2.5</v>
      </c>
      <c r="R286" s="391">
        <f>SUMIF('Lançamento de Cabos'!AE:AE,Tabela11[[#This Row],[Tag do Cabo]],'Lançamento de Cabos'!AG:AG)</f>
        <v>6</v>
      </c>
      <c r="S286" s="28">
        <f>Tabela11[[#This Row],[Ligações Realizadas]]/Tabela11[[#This Row],[Qtde Ligações]]</f>
        <v>1</v>
      </c>
      <c r="T286" s="272">
        <f>IF(Tabela11[[#This Row],[Ligações Realizadas]]/Tabela11[[#This Row],[Qtde Ligações]]=0,0,IF(Tabela11[[#This Row],[Ligações Realizadas]]/Tabela11[[#This Row],[Qtde Ligações]]=1,ROUND(N286/2,0),"Ver Painel"))</f>
        <v>3</v>
      </c>
      <c r="U286" s="273">
        <f>IF(Tabela11[[#This Row],[Ligações Realizadas]]/Tabela11[[#This Row],[Qtde Ligações]]=0,0,IF(Tabela11[[#This Row],[Ligações Realizadas]]/Tabela11[[#This Row],[Qtde Ligações]]=1,ROUND(N286/2,0),"Ver Painel"))</f>
        <v>3</v>
      </c>
      <c r="V286" s="222"/>
    </row>
    <row r="287" spans="1:22" hidden="1" x14ac:dyDescent="0.25">
      <c r="A287" s="34" t="s">
        <v>541</v>
      </c>
      <c r="B287" s="391" t="str">
        <f>VLOOKUP(Tabela11[[#This Row],[Tag do Cabo]],BD!A:AJ,2,0)</f>
        <v>Controle</v>
      </c>
      <c r="C287" s="3" t="str">
        <f>VLOOKUP(Tabela11[[#This Row],[Tag do Cabo]],BD!A:AJ,5,0)</f>
        <v>1x1x5xC#1,5</v>
      </c>
      <c r="D287" s="391" t="s">
        <v>1542</v>
      </c>
      <c r="E287" s="391" t="str">
        <f>VLOOKUP(Tabela11[[#This Row],[Tag do Cabo]],BD!A:T,20,0)</f>
        <v>E5WP000490-C-001-LC004</v>
      </c>
      <c r="F287" s="3" t="str">
        <f>IF(VLOOKUP(Tabela11[[#This Row],[Tag do Cabo]],BD!A:AJ,35,0)=0,"Pendente",VLOOKUP(Tabela11[[#This Row],[Tag do Cabo]],BD!A:AJ,35,0))</f>
        <v>E5WP000490-C-002-DE004</v>
      </c>
      <c r="G287" s="3" t="str">
        <f>IF(VLOOKUP(Tabela11[[#This Row],[Tag do Cabo]],BD!A:AJ,36,0)=0,"Pendente",VLOOKUP(Tabela11[[#This Row],[Tag do Cabo]],BD!A:AJ,36,0))</f>
        <v>2</v>
      </c>
      <c r="H287" s="391" t="str">
        <f>VLOOKUP(Tabela11[[#This Row],[Tag do Cabo]],BD!A:AJ,32,0)</f>
        <v>7HV</v>
      </c>
      <c r="I287" s="7" t="str">
        <f>VLOOKUP(Tabela11[[#This Row],[Tag do Cabo]],BD!A:AJ,11,0)</f>
        <v>CELLAR AREA (TR-08A)</v>
      </c>
      <c r="J287" s="3" t="str">
        <f>VLOOKUP(Tabela11[[#This Row],[Tag do Cabo]],BD!A:AJ,12,0)</f>
        <v>E-HOUSE (7HV)</v>
      </c>
      <c r="K287" s="391" t="s">
        <v>1625</v>
      </c>
      <c r="L287" s="391" t="s">
        <v>937</v>
      </c>
      <c r="M287" s="3" t="str">
        <f>CONCATENATE(Tabela11[[#This Row],[Painel 1]]&amp;" "&amp;Tabela11[[#This Row],[Painel 2]])</f>
        <v>TR-08A PAINEL 7HV</v>
      </c>
      <c r="N287" s="157">
        <v>8</v>
      </c>
      <c r="O287" s="391" t="s">
        <v>92</v>
      </c>
      <c r="P287" s="391" t="s">
        <v>1550</v>
      </c>
      <c r="Q287" s="391">
        <f>VLOOKUP(Tabela11[[#This Row],[Tag do Cabo]],BD!A:F,6,0)</f>
        <v>1.5</v>
      </c>
      <c r="R287" s="391">
        <f>SUMIF('Lançamento de Cabos'!AE:AE,Tabela11[[#This Row],[Tag do Cabo]],'Lançamento de Cabos'!AG:AG)</f>
        <v>4</v>
      </c>
      <c r="S287" s="28">
        <f>Tabela11[[#This Row],[Ligações Realizadas]]/Tabela11[[#This Row],[Qtde Ligações]]</f>
        <v>0.5</v>
      </c>
      <c r="T287" s="270">
        <v>4</v>
      </c>
      <c r="U287" s="271">
        <v>0</v>
      </c>
      <c r="V287" s="222"/>
    </row>
    <row r="288" spans="1:22" hidden="1" x14ac:dyDescent="0.25">
      <c r="A288" s="34" t="s">
        <v>542</v>
      </c>
      <c r="B288" s="391" t="str">
        <f>VLOOKUP(Tabela11[[#This Row],[Tag do Cabo]],BD!A:AJ,2,0)</f>
        <v>Força</v>
      </c>
      <c r="C288" s="222" t="str">
        <f>VLOOKUP(Tabela11[[#This Row],[Tag do Cabo]],BD!A:AJ,5,0)</f>
        <v>1x3x1/C#150</v>
      </c>
      <c r="D288" s="391" t="s">
        <v>1542</v>
      </c>
      <c r="E288" s="391" t="str">
        <f>VLOOKUP(Tabela11[[#This Row],[Tag do Cabo]],BD!A:T,20,0)</f>
        <v>E5WP000490-C-001-LC003</v>
      </c>
      <c r="F288" s="3" t="str">
        <f>IF(VLOOKUP(Tabela11[[#This Row],[Tag do Cabo]],BD!A:AJ,35,0)=0,"Pendente",VLOOKUP(Tabela11[[#This Row],[Tag do Cabo]],BD!A:AJ,35,0))</f>
        <v>E5WP000490-C-002-DE003</v>
      </c>
      <c r="G288" s="3" t="str">
        <f>IF(VLOOKUP(Tabela11[[#This Row],[Tag do Cabo]],BD!A:AJ,36,0)=0,"Pendente",VLOOKUP(Tabela11[[#This Row],[Tag do Cabo]],BD!A:AJ,36,0))</f>
        <v>4</v>
      </c>
      <c r="H288" s="391" t="str">
        <f>VLOOKUP(Tabela11[[#This Row],[Tag do Cabo]],BD!A:AJ,32,0)</f>
        <v>7HV</v>
      </c>
      <c r="I288" s="7" t="str">
        <f>VLOOKUP(Tabela11[[#This Row],[Tag do Cabo]],BD!A:AJ,11,0)</f>
        <v>CELLAR AREA (TR-08A)</v>
      </c>
      <c r="J288" s="3" t="str">
        <f>VLOOKUP(Tabela11[[#This Row],[Tag do Cabo]],BD!A:AJ,12,0)</f>
        <v>E-HOUSE (GB-351-INV)</v>
      </c>
      <c r="K288" s="391" t="s">
        <v>1625</v>
      </c>
      <c r="L288" s="391" t="s">
        <v>687</v>
      </c>
      <c r="M288" s="3" t="str">
        <f>CONCATENATE(Tabela11[[#This Row],[Painel 1]]&amp;" "&amp;Tabela11[[#This Row],[Painel 2]])</f>
        <v>TR-08A GB-351-INV</v>
      </c>
      <c r="N288" s="157">
        <v>6</v>
      </c>
      <c r="O288" s="391" t="s">
        <v>92</v>
      </c>
      <c r="P288" s="391" t="s">
        <v>1536</v>
      </c>
      <c r="Q288" s="391">
        <f>VLOOKUP(Tabela11[[#This Row],[Tag do Cabo]],BD!A:F,6,0)</f>
        <v>150</v>
      </c>
      <c r="R288" s="391">
        <f>SUMIF('Lançamento de Cabos'!AE:AE,Tabela11[[#This Row],[Tag do Cabo]],'Lançamento de Cabos'!AG:AG)</f>
        <v>6</v>
      </c>
      <c r="S288" s="28">
        <f>Tabela11[[#This Row],[Ligações Realizadas]]/Tabela11[[#This Row],[Qtde Ligações]]</f>
        <v>1</v>
      </c>
      <c r="T288" s="272">
        <f>IF(Tabela11[[#This Row],[Ligações Realizadas]]/Tabela11[[#This Row],[Qtde Ligações]]=0,0,IF(Tabela11[[#This Row],[Ligações Realizadas]]/Tabela11[[#This Row],[Qtde Ligações]]=1,ROUND(N288/2,0),"Ver Painel"))</f>
        <v>3</v>
      </c>
      <c r="U288" s="273">
        <f>IF(Tabela11[[#This Row],[Ligações Realizadas]]/Tabela11[[#This Row],[Qtde Ligações]]=0,0,IF(Tabela11[[#This Row],[Ligações Realizadas]]/Tabela11[[#This Row],[Qtde Ligações]]=1,ROUND(N288/2,0),"Ver Painel"))</f>
        <v>3</v>
      </c>
      <c r="V288" s="222"/>
    </row>
    <row r="289" spans="1:22" hidden="1" x14ac:dyDescent="0.25">
      <c r="A289" s="34" t="s">
        <v>544</v>
      </c>
      <c r="B289" s="391" t="str">
        <f>VLOOKUP(Tabela11[[#This Row],[Tag do Cabo]],BD!A:AJ,2,0)</f>
        <v>Força</v>
      </c>
      <c r="C289" s="222" t="str">
        <f>VLOOKUP(Tabela11[[#This Row],[Tag do Cabo]],BD!A:AJ,5,0)</f>
        <v>1x3x1/C#150</v>
      </c>
      <c r="D289" s="391" t="s">
        <v>1542</v>
      </c>
      <c r="E289" s="391" t="str">
        <f>VLOOKUP(Tabela11[[#This Row],[Tag do Cabo]],BD!A:T,20,0)</f>
        <v>E5WP000490-C-001-LC003</v>
      </c>
      <c r="F289" s="3" t="str">
        <f>IF(VLOOKUP(Tabela11[[#This Row],[Tag do Cabo]],BD!A:AJ,35,0)=0,"Pendente",VLOOKUP(Tabela11[[#This Row],[Tag do Cabo]],BD!A:AJ,35,0))</f>
        <v>E5WP000490-C-002-DE003</v>
      </c>
      <c r="G289" s="3" t="str">
        <f>IF(VLOOKUP(Tabela11[[#This Row],[Tag do Cabo]],BD!A:AJ,36,0)=0,"Pendente",VLOOKUP(Tabela11[[#This Row],[Tag do Cabo]],BD!A:AJ,36,0))</f>
        <v>4</v>
      </c>
      <c r="H289" s="391" t="str">
        <f>VLOOKUP(Tabela11[[#This Row],[Tag do Cabo]],BD!A:AJ,32,0)</f>
        <v>7HV</v>
      </c>
      <c r="I289" s="7" t="str">
        <f>VLOOKUP(Tabela11[[#This Row],[Tag do Cabo]],BD!A:AJ,11,0)</f>
        <v>CELLAR AREA (TR-08A)</v>
      </c>
      <c r="J289" s="3" t="str">
        <f>VLOOKUP(Tabela11[[#This Row],[Tag do Cabo]],BD!A:AJ,12,0)</f>
        <v>E-HOUSE (GB-351-INV)</v>
      </c>
      <c r="K289" s="391" t="s">
        <v>1625</v>
      </c>
      <c r="L289" s="391" t="s">
        <v>687</v>
      </c>
      <c r="M289" s="3" t="str">
        <f>CONCATENATE(Tabela11[[#This Row],[Painel 1]]&amp;" "&amp;Tabela11[[#This Row],[Painel 2]])</f>
        <v>TR-08A GB-351-INV</v>
      </c>
      <c r="N289" s="157">
        <v>6</v>
      </c>
      <c r="O289" s="391" t="s">
        <v>92</v>
      </c>
      <c r="P289" s="391" t="s">
        <v>1536</v>
      </c>
      <c r="Q289" s="391">
        <f>VLOOKUP(Tabela11[[#This Row],[Tag do Cabo]],BD!A:F,6,0)</f>
        <v>150</v>
      </c>
      <c r="R289" s="391">
        <f>SUMIF('Lançamento de Cabos'!AE:AE,Tabela11[[#This Row],[Tag do Cabo]],'Lançamento de Cabos'!AG:AG)</f>
        <v>6</v>
      </c>
      <c r="S289" s="28">
        <f>Tabela11[[#This Row],[Ligações Realizadas]]/Tabela11[[#This Row],[Qtde Ligações]]</f>
        <v>1</v>
      </c>
      <c r="T289" s="272">
        <f>IF(Tabela11[[#This Row],[Ligações Realizadas]]/Tabela11[[#This Row],[Qtde Ligações]]=0,0,IF(Tabela11[[#This Row],[Ligações Realizadas]]/Tabela11[[#This Row],[Qtde Ligações]]=1,ROUND(N289/2,0),"Ver Painel"))</f>
        <v>3</v>
      </c>
      <c r="U289" s="273">
        <f>IF(Tabela11[[#This Row],[Ligações Realizadas]]/Tabela11[[#This Row],[Qtde Ligações]]=0,0,IF(Tabela11[[#This Row],[Ligações Realizadas]]/Tabela11[[#This Row],[Qtde Ligações]]=1,ROUND(N289/2,0),"Ver Painel"))</f>
        <v>3</v>
      </c>
      <c r="V289" s="222"/>
    </row>
    <row r="290" spans="1:22" hidden="1" x14ac:dyDescent="0.25">
      <c r="A290" s="34" t="s">
        <v>545</v>
      </c>
      <c r="B290" s="391" t="str">
        <f>VLOOKUP(Tabela11[[#This Row],[Tag do Cabo]],BD!A:AJ,2,0)</f>
        <v>Força</v>
      </c>
      <c r="C290" s="222" t="str">
        <f>VLOOKUP(Tabela11[[#This Row],[Tag do Cabo]],BD!A:AJ,5,0)</f>
        <v>1x3x1/C#150</v>
      </c>
      <c r="D290" s="391" t="s">
        <v>1542</v>
      </c>
      <c r="E290" s="391" t="str">
        <f>VLOOKUP(Tabela11[[#This Row],[Tag do Cabo]],BD!A:T,20,0)</f>
        <v>E5WP000490-C-001-LC003</v>
      </c>
      <c r="F290" s="3" t="str">
        <f>IF(VLOOKUP(Tabela11[[#This Row],[Tag do Cabo]],BD!A:AJ,35,0)=0,"Pendente",VLOOKUP(Tabela11[[#This Row],[Tag do Cabo]],BD!A:AJ,35,0))</f>
        <v>E5WP000490-C-002-DE003</v>
      </c>
      <c r="G290" s="3" t="str">
        <f>IF(VLOOKUP(Tabela11[[#This Row],[Tag do Cabo]],BD!A:AJ,36,0)=0,"Pendente",VLOOKUP(Tabela11[[#This Row],[Tag do Cabo]],BD!A:AJ,36,0))</f>
        <v>4</v>
      </c>
      <c r="H290" s="391" t="str">
        <f>VLOOKUP(Tabela11[[#This Row],[Tag do Cabo]],BD!A:AJ,32,0)</f>
        <v>7HV</v>
      </c>
      <c r="I290" s="7" t="str">
        <f>VLOOKUP(Tabela11[[#This Row],[Tag do Cabo]],BD!A:AJ,11,0)</f>
        <v>CELLAR AREA (TR-08B)</v>
      </c>
      <c r="J290" s="3" t="str">
        <f>VLOOKUP(Tabela11[[#This Row],[Tag do Cabo]],BD!A:AJ,12,0)</f>
        <v>E-HOUSE (GB-351-INV)</v>
      </c>
      <c r="K290" s="391" t="s">
        <v>1628</v>
      </c>
      <c r="L290" s="391" t="s">
        <v>687</v>
      </c>
      <c r="M290" s="3" t="str">
        <f>CONCATENATE(Tabela11[[#This Row],[Painel 1]]&amp;" "&amp;Tabela11[[#This Row],[Painel 2]])</f>
        <v>TR-08B GB-351-INV</v>
      </c>
      <c r="N290" s="157">
        <v>6</v>
      </c>
      <c r="O290" s="391" t="s">
        <v>92</v>
      </c>
      <c r="P290" s="391" t="s">
        <v>1536</v>
      </c>
      <c r="Q290" s="391">
        <f>VLOOKUP(Tabela11[[#This Row],[Tag do Cabo]],BD!A:F,6,0)</f>
        <v>150</v>
      </c>
      <c r="R290" s="391">
        <f>SUMIF('Lançamento de Cabos'!AE:AE,Tabela11[[#This Row],[Tag do Cabo]],'Lançamento de Cabos'!AG:AG)</f>
        <v>6</v>
      </c>
      <c r="S290" s="28">
        <f>Tabela11[[#This Row],[Ligações Realizadas]]/Tabela11[[#This Row],[Qtde Ligações]]</f>
        <v>1</v>
      </c>
      <c r="T290" s="272">
        <f>IF(Tabela11[[#This Row],[Ligações Realizadas]]/Tabela11[[#This Row],[Qtde Ligações]]=0,0,IF(Tabela11[[#This Row],[Ligações Realizadas]]/Tabela11[[#This Row],[Qtde Ligações]]=1,ROUND(N290/2,0),"Ver Painel"))</f>
        <v>3</v>
      </c>
      <c r="U290" s="273">
        <f>IF(Tabela11[[#This Row],[Ligações Realizadas]]/Tabela11[[#This Row],[Qtde Ligações]]=0,0,IF(Tabela11[[#This Row],[Ligações Realizadas]]/Tabela11[[#This Row],[Qtde Ligações]]=1,ROUND(N290/2,0),"Ver Painel"))</f>
        <v>3</v>
      </c>
      <c r="V290" s="222"/>
    </row>
    <row r="291" spans="1:22" hidden="1" x14ac:dyDescent="0.25">
      <c r="A291" s="34" t="s">
        <v>546</v>
      </c>
      <c r="B291" s="391" t="str">
        <f>VLOOKUP(Tabela11[[#This Row],[Tag do Cabo]],BD!A:AJ,2,0)</f>
        <v>Força</v>
      </c>
      <c r="C291" s="222" t="str">
        <f>VLOOKUP(Tabela11[[#This Row],[Tag do Cabo]],BD!A:AJ,5,0)</f>
        <v>1x3x1/C#150</v>
      </c>
      <c r="D291" s="391" t="s">
        <v>1542</v>
      </c>
      <c r="E291" s="391" t="str">
        <f>VLOOKUP(Tabela11[[#This Row],[Tag do Cabo]],BD!A:T,20,0)</f>
        <v>E5WP000490-C-001-LC003</v>
      </c>
      <c r="F291" s="3" t="str">
        <f>IF(VLOOKUP(Tabela11[[#This Row],[Tag do Cabo]],BD!A:AJ,35,0)=0,"Pendente",VLOOKUP(Tabela11[[#This Row],[Tag do Cabo]],BD!A:AJ,35,0))</f>
        <v>E5WP000490-C-002-DE003</v>
      </c>
      <c r="G291" s="3" t="str">
        <f>IF(VLOOKUP(Tabela11[[#This Row],[Tag do Cabo]],BD!A:AJ,36,0)=0,"Pendente",VLOOKUP(Tabela11[[#This Row],[Tag do Cabo]],BD!A:AJ,36,0))</f>
        <v>4</v>
      </c>
      <c r="H291" s="391" t="str">
        <f>VLOOKUP(Tabela11[[#This Row],[Tag do Cabo]],BD!A:AJ,32,0)</f>
        <v>7HV</v>
      </c>
      <c r="I291" s="7" t="str">
        <f>VLOOKUP(Tabela11[[#This Row],[Tag do Cabo]],BD!A:AJ,11,0)</f>
        <v>CELLAR AREA (TR-08B)</v>
      </c>
      <c r="J291" s="3" t="str">
        <f>VLOOKUP(Tabela11[[#This Row],[Tag do Cabo]],BD!A:AJ,12,0)</f>
        <v>E-HOUSE (GB-351-INV)</v>
      </c>
      <c r="K291" s="391" t="s">
        <v>1628</v>
      </c>
      <c r="L291" s="391" t="s">
        <v>687</v>
      </c>
      <c r="M291" s="3" t="str">
        <f>CONCATENATE(Tabela11[[#This Row],[Painel 1]]&amp;" "&amp;Tabela11[[#This Row],[Painel 2]])</f>
        <v>TR-08B GB-351-INV</v>
      </c>
      <c r="N291" s="157">
        <v>6</v>
      </c>
      <c r="O291" s="391" t="s">
        <v>92</v>
      </c>
      <c r="P291" s="391" t="s">
        <v>1536</v>
      </c>
      <c r="Q291" s="391">
        <f>VLOOKUP(Tabela11[[#This Row],[Tag do Cabo]],BD!A:F,6,0)</f>
        <v>150</v>
      </c>
      <c r="R291" s="391">
        <f>SUMIF('Lançamento de Cabos'!AE:AE,Tabela11[[#This Row],[Tag do Cabo]],'Lançamento de Cabos'!AG:AG)</f>
        <v>6</v>
      </c>
      <c r="S291" s="28">
        <f>Tabela11[[#This Row],[Ligações Realizadas]]/Tabela11[[#This Row],[Qtde Ligações]]</f>
        <v>1</v>
      </c>
      <c r="T291" s="272">
        <f>IF(Tabela11[[#This Row],[Ligações Realizadas]]/Tabela11[[#This Row],[Qtde Ligações]]=0,0,IF(Tabela11[[#This Row],[Ligações Realizadas]]/Tabela11[[#This Row],[Qtde Ligações]]=1,ROUND(N291/2,0),"Ver Painel"))</f>
        <v>3</v>
      </c>
      <c r="U291" s="273">
        <f>IF(Tabela11[[#This Row],[Ligações Realizadas]]/Tabela11[[#This Row],[Qtde Ligações]]=0,0,IF(Tabela11[[#This Row],[Ligações Realizadas]]/Tabela11[[#This Row],[Qtde Ligações]]=1,ROUND(N291/2,0),"Ver Painel"))</f>
        <v>3</v>
      </c>
      <c r="V291" s="222"/>
    </row>
    <row r="292" spans="1:22" hidden="1" x14ac:dyDescent="0.25">
      <c r="A292" s="34" t="s">
        <v>547</v>
      </c>
      <c r="B292" s="391" t="str">
        <f>VLOOKUP(Tabela11[[#This Row],[Tag do Cabo]],BD!A:AJ,2,0)</f>
        <v>Força</v>
      </c>
      <c r="C292" s="3" t="str">
        <f>VLOOKUP(Tabela11[[#This Row],[Tag do Cabo]],BD!A:AJ,5,0)</f>
        <v>1x1x3/C#2,5</v>
      </c>
      <c r="D292" s="391" t="s">
        <v>1542</v>
      </c>
      <c r="E292" s="391" t="str">
        <f>VLOOKUP(Tabela11[[#This Row],[Tag do Cabo]],BD!A:T,20,0)</f>
        <v>E5WP000490-C-001-LC003</v>
      </c>
      <c r="F292" s="3" t="str">
        <f>IF(VLOOKUP(Tabela11[[#This Row],[Tag do Cabo]],BD!A:AJ,35,0)=0,"Pendente",VLOOKUP(Tabela11[[#This Row],[Tag do Cabo]],BD!A:AJ,35,0))</f>
        <v>E5WP000490-C-002-DE003</v>
      </c>
      <c r="G292" s="3" t="str">
        <f>IF(VLOOKUP(Tabela11[[#This Row],[Tag do Cabo]],BD!A:AJ,36,0)=0,"Pendente",VLOOKUP(Tabela11[[#This Row],[Tag do Cabo]],BD!A:AJ,36,0))</f>
        <v>7</v>
      </c>
      <c r="H292" s="391" t="str">
        <f>VLOOKUP(Tabela11[[#This Row],[Tag do Cabo]],BD!A:AJ,32,0)</f>
        <v>7HV</v>
      </c>
      <c r="I292" s="7" t="str">
        <f>VLOOKUP(Tabela11[[#This Row],[Tag do Cabo]],BD!A:AJ,11,0)</f>
        <v>CELLAR AREA (TR-09A)</v>
      </c>
      <c r="J292" s="3" t="str">
        <f>VLOOKUP(Tabela11[[#This Row],[Tag do Cabo]],BD!A:AJ,12,0)</f>
        <v>CELLAR AREA (TR-09B)</v>
      </c>
      <c r="K292" s="391" t="s">
        <v>1553</v>
      </c>
      <c r="L292" s="391" t="s">
        <v>1554</v>
      </c>
      <c r="M292" s="3" t="str">
        <f>CONCATENATE(Tabela11[[#This Row],[Painel 1]]&amp;" "&amp;Tabela11[[#This Row],[Painel 2]])</f>
        <v>TR-09A TR-09B</v>
      </c>
      <c r="N292" s="157">
        <v>6</v>
      </c>
      <c r="O292" s="391" t="s">
        <v>92</v>
      </c>
      <c r="P292" s="391" t="s">
        <v>1550</v>
      </c>
      <c r="Q292" s="391">
        <f>VLOOKUP(Tabela11[[#This Row],[Tag do Cabo]],BD!A:F,6,0)</f>
        <v>2.5</v>
      </c>
      <c r="R292" s="391">
        <f>SUMIF('Lançamento de Cabos'!AE:AE,Tabela11[[#This Row],[Tag do Cabo]],'Lançamento de Cabos'!AG:AG)</f>
        <v>6</v>
      </c>
      <c r="S292" s="28">
        <f>Tabela11[[#This Row],[Ligações Realizadas]]/Tabela11[[#This Row],[Qtde Ligações]]</f>
        <v>1</v>
      </c>
      <c r="T292" s="272">
        <f>IF(Tabela11[[#This Row],[Ligações Realizadas]]/Tabela11[[#This Row],[Qtde Ligações]]=0,0,IF(Tabela11[[#This Row],[Ligações Realizadas]]/Tabela11[[#This Row],[Qtde Ligações]]=1,ROUND(N292/2,0),"Ver Painel"))</f>
        <v>3</v>
      </c>
      <c r="U292" s="273">
        <f>IF(Tabela11[[#This Row],[Ligações Realizadas]]/Tabela11[[#This Row],[Qtde Ligações]]=0,0,IF(Tabela11[[#This Row],[Ligações Realizadas]]/Tabela11[[#This Row],[Qtde Ligações]]=1,ROUND(N292/2,0),"Ver Painel"))</f>
        <v>3</v>
      </c>
      <c r="V292" s="222"/>
    </row>
    <row r="293" spans="1:22" hidden="1" x14ac:dyDescent="0.25">
      <c r="A293" s="34" t="s">
        <v>548</v>
      </c>
      <c r="B293" s="391" t="str">
        <f>VLOOKUP(Tabela11[[#This Row],[Tag do Cabo]],BD!A:AJ,2,0)</f>
        <v>Controle</v>
      </c>
      <c r="C293" s="3" t="str">
        <f>VLOOKUP(Tabela11[[#This Row],[Tag do Cabo]],BD!A:AJ,5,0)</f>
        <v>1x1x5xC#1,5</v>
      </c>
      <c r="D293" s="391" t="s">
        <v>1542</v>
      </c>
      <c r="E293" s="391" t="str">
        <f>VLOOKUP(Tabela11[[#This Row],[Tag do Cabo]],BD!A:T,20,0)</f>
        <v>E5WP000490-C-001-LC004</v>
      </c>
      <c r="F293" s="3" t="str">
        <f>IF(VLOOKUP(Tabela11[[#This Row],[Tag do Cabo]],BD!A:AJ,35,0)=0,"Pendente",VLOOKUP(Tabela11[[#This Row],[Tag do Cabo]],BD!A:AJ,35,0))</f>
        <v>E5WP000490-C-002-DE004</v>
      </c>
      <c r="G293" s="3" t="str">
        <f>IF(VLOOKUP(Tabela11[[#This Row],[Tag do Cabo]],BD!A:AJ,36,0)=0,"Pendente",VLOOKUP(Tabela11[[#This Row],[Tag do Cabo]],BD!A:AJ,36,0))</f>
        <v>2</v>
      </c>
      <c r="H293" s="391" t="str">
        <f>VLOOKUP(Tabela11[[#This Row],[Tag do Cabo]],BD!A:AJ,32,0)</f>
        <v>7HV</v>
      </c>
      <c r="I293" s="7" t="str">
        <f>VLOOKUP(Tabela11[[#This Row],[Tag do Cabo]],BD!A:AJ,11,0)</f>
        <v>CELLAR AREA (TR-09A)</v>
      </c>
      <c r="J293" s="3" t="str">
        <f>VLOOKUP(Tabela11[[#This Row],[Tag do Cabo]],BD!A:AJ,12,0)</f>
        <v>E-HOUSE (7HV)</v>
      </c>
      <c r="K293" s="391" t="s">
        <v>1553</v>
      </c>
      <c r="L293" s="391" t="s">
        <v>937</v>
      </c>
      <c r="M293" s="3" t="str">
        <f>CONCATENATE(Tabela11[[#This Row],[Painel 1]]&amp;" "&amp;Tabela11[[#This Row],[Painel 2]])</f>
        <v>TR-09A PAINEL 7HV</v>
      </c>
      <c r="N293" s="157">
        <v>8</v>
      </c>
      <c r="O293" s="391" t="s">
        <v>92</v>
      </c>
      <c r="P293" s="391" t="s">
        <v>1550</v>
      </c>
      <c r="Q293" s="391">
        <f>VLOOKUP(Tabela11[[#This Row],[Tag do Cabo]],BD!A:F,6,0)</f>
        <v>1.5</v>
      </c>
      <c r="R293" s="391">
        <f>SUMIF('Lançamento de Cabos'!AE:AE,Tabela11[[#This Row],[Tag do Cabo]],'Lançamento de Cabos'!AG:AG)</f>
        <v>4</v>
      </c>
      <c r="S293" s="28">
        <f>Tabela11[[#This Row],[Ligações Realizadas]]/Tabela11[[#This Row],[Qtde Ligações]]</f>
        <v>0.5</v>
      </c>
      <c r="T293" s="270">
        <v>4</v>
      </c>
      <c r="U293" s="271">
        <v>0</v>
      </c>
      <c r="V293" s="222"/>
    </row>
    <row r="294" spans="1:22" hidden="1" x14ac:dyDescent="0.25">
      <c r="A294" s="34" t="s">
        <v>549</v>
      </c>
      <c r="B294" s="391" t="str">
        <f>VLOOKUP(Tabela11[[#This Row],[Tag do Cabo]],BD!A:AJ,2,0)</f>
        <v>Controle</v>
      </c>
      <c r="C294" s="3" t="str">
        <f>VLOOKUP(Tabela11[[#This Row],[Tag do Cabo]],BD!A:AJ,5,0)</f>
        <v>1x1x5xC#1,5</v>
      </c>
      <c r="D294" s="391" t="s">
        <v>1542</v>
      </c>
      <c r="E294" s="391" t="str">
        <f>VLOOKUP(Tabela11[[#This Row],[Tag do Cabo]],BD!A:T,20,0)</f>
        <v>E5WP000490-C-001-LC004</v>
      </c>
      <c r="F294" s="3" t="str">
        <f>IF(VLOOKUP(Tabela11[[#This Row],[Tag do Cabo]],BD!A:AJ,35,0)=0,"Pendente",VLOOKUP(Tabela11[[#This Row],[Tag do Cabo]],BD!A:AJ,35,0))</f>
        <v>E5WP000490-C-002-DE004</v>
      </c>
      <c r="G294" s="3" t="str">
        <f>IF(VLOOKUP(Tabela11[[#This Row],[Tag do Cabo]],BD!A:AJ,36,0)=0,"Pendente",VLOOKUP(Tabela11[[#This Row],[Tag do Cabo]],BD!A:AJ,36,0))</f>
        <v>2</v>
      </c>
      <c r="H294" s="391" t="str">
        <f>VLOOKUP(Tabela11[[#This Row],[Tag do Cabo]],BD!A:AJ,32,0)</f>
        <v>7HV</v>
      </c>
      <c r="I294" s="7" t="str">
        <f>VLOOKUP(Tabela11[[#This Row],[Tag do Cabo]],BD!A:AJ,11,0)</f>
        <v>CELLAR AREA (TR-09A)</v>
      </c>
      <c r="J294" s="3" t="str">
        <f>VLOOKUP(Tabela11[[#This Row],[Tag do Cabo]],BD!A:AJ,12,0)</f>
        <v>CELLAR AREA (TR-09B)</v>
      </c>
      <c r="K294" s="391" t="s">
        <v>1553</v>
      </c>
      <c r="L294" s="391" t="s">
        <v>1554</v>
      </c>
      <c r="M294" s="3" t="str">
        <f>CONCATENATE(Tabela11[[#This Row],[Painel 1]]&amp;" "&amp;Tabela11[[#This Row],[Painel 2]])</f>
        <v>TR-09A TR-09B</v>
      </c>
      <c r="N294" s="157">
        <v>8</v>
      </c>
      <c r="O294" s="391" t="s">
        <v>92</v>
      </c>
      <c r="P294" s="391" t="s">
        <v>1550</v>
      </c>
      <c r="Q294" s="391">
        <f>VLOOKUP(Tabela11[[#This Row],[Tag do Cabo]],BD!A:F,6,0)</f>
        <v>1.5</v>
      </c>
      <c r="R294" s="391">
        <f>SUMIF('Lançamento de Cabos'!AE:AE,Tabela11[[#This Row],[Tag do Cabo]],'Lançamento de Cabos'!AG:AG)</f>
        <v>8</v>
      </c>
      <c r="S294" s="28">
        <f>Tabela11[[#This Row],[Ligações Realizadas]]/Tabela11[[#This Row],[Qtde Ligações]]</f>
        <v>1</v>
      </c>
      <c r="T294" s="272">
        <f>IF(Tabela11[[#This Row],[Ligações Realizadas]]/Tabela11[[#This Row],[Qtde Ligações]]=0,0,IF(Tabela11[[#This Row],[Ligações Realizadas]]/Tabela11[[#This Row],[Qtde Ligações]]=1,ROUND(N294/2,0),"Ver Painel"))</f>
        <v>4</v>
      </c>
      <c r="U294" s="273">
        <f>IF(Tabela11[[#This Row],[Ligações Realizadas]]/Tabela11[[#This Row],[Qtde Ligações]]=0,0,IF(Tabela11[[#This Row],[Ligações Realizadas]]/Tabela11[[#This Row],[Qtde Ligações]]=1,ROUND(N294/2,0),"Ver Painel"))</f>
        <v>4</v>
      </c>
      <c r="V294" s="222"/>
    </row>
    <row r="295" spans="1:22" hidden="1" x14ac:dyDescent="0.25">
      <c r="A295" s="34" t="s">
        <v>550</v>
      </c>
      <c r="B295" s="391" t="str">
        <f>VLOOKUP(Tabela11[[#This Row],[Tag do Cabo]],BD!A:AJ,2,0)</f>
        <v>Força</v>
      </c>
      <c r="C295" s="222" t="str">
        <f>VLOOKUP(Tabela11[[#This Row],[Tag do Cabo]],BD!A:AJ,5,0)</f>
        <v>2x3x1/C#150</v>
      </c>
      <c r="D295" s="391" t="s">
        <v>1542</v>
      </c>
      <c r="E295" s="391" t="str">
        <f>VLOOKUP(Tabela11[[#This Row],[Tag do Cabo]],BD!A:T,20,0)</f>
        <v>E5WP000490-C-001-LC003</v>
      </c>
      <c r="F295" s="3" t="str">
        <f>IF(VLOOKUP(Tabela11[[#This Row],[Tag do Cabo]],BD!A:AJ,35,0)=0,"Pendente",VLOOKUP(Tabela11[[#This Row],[Tag do Cabo]],BD!A:AJ,35,0))</f>
        <v>E5WP000490-C-002-DE003</v>
      </c>
      <c r="G295" s="3" t="str">
        <f>IF(VLOOKUP(Tabela11[[#This Row],[Tag do Cabo]],BD!A:AJ,36,0)=0,"Pendente",VLOOKUP(Tabela11[[#This Row],[Tag do Cabo]],BD!A:AJ,36,0))</f>
        <v>3</v>
      </c>
      <c r="H295" s="391" t="str">
        <f>VLOOKUP(Tabela11[[#This Row],[Tag do Cabo]],BD!A:AJ,32,0)</f>
        <v>7HV</v>
      </c>
      <c r="I295" s="7" t="str">
        <f>VLOOKUP(Tabela11[[#This Row],[Tag do Cabo]],BD!A:AJ,11,0)</f>
        <v>CELLAR AREA (TR-09A)</v>
      </c>
      <c r="J295" s="3" t="str">
        <f>VLOOKUP(Tabela11[[#This Row],[Tag do Cabo]],BD!A:AJ,12,0)</f>
        <v>E-HOUSE (GB-200-INV)</v>
      </c>
      <c r="K295" s="391" t="s">
        <v>1553</v>
      </c>
      <c r="L295" s="391" t="s">
        <v>1590</v>
      </c>
      <c r="M295" s="3" t="str">
        <f>CONCATENATE(Tabela11[[#This Row],[Painel 1]]&amp;" "&amp;Tabela11[[#This Row],[Painel 2]])</f>
        <v>TR-09A GB-200-INV</v>
      </c>
      <c r="N295" s="157">
        <v>12</v>
      </c>
      <c r="O295" s="391" t="s">
        <v>92</v>
      </c>
      <c r="P295" s="391" t="s">
        <v>1536</v>
      </c>
      <c r="Q295" s="391">
        <f>VLOOKUP(Tabela11[[#This Row],[Tag do Cabo]],BD!A:F,6,0)</f>
        <v>150</v>
      </c>
      <c r="R295" s="391">
        <f>SUMIF('Lançamento de Cabos'!AE:AE,Tabela11[[#This Row],[Tag do Cabo]],'Lançamento de Cabos'!AG:AG)</f>
        <v>12</v>
      </c>
      <c r="S295" s="28">
        <f>Tabela11[[#This Row],[Ligações Realizadas]]/Tabela11[[#This Row],[Qtde Ligações]]</f>
        <v>1</v>
      </c>
      <c r="T295" s="270">
        <v>0</v>
      </c>
      <c r="U295" s="270">
        <v>6</v>
      </c>
      <c r="V295" s="222"/>
    </row>
    <row r="296" spans="1:22" hidden="1" x14ac:dyDescent="0.25">
      <c r="A296" s="34" t="s">
        <v>553</v>
      </c>
      <c r="B296" s="391" t="str">
        <f>VLOOKUP(Tabela11[[#This Row],[Tag do Cabo]],BD!A:AJ,2,0)</f>
        <v>Força</v>
      </c>
      <c r="C296" s="222" t="str">
        <f>VLOOKUP(Tabela11[[#This Row],[Tag do Cabo]],BD!A:AJ,5,0)</f>
        <v>2x3x1/C#150</v>
      </c>
      <c r="D296" s="391" t="s">
        <v>1542</v>
      </c>
      <c r="E296" s="391" t="str">
        <f>VLOOKUP(Tabela11[[#This Row],[Tag do Cabo]],BD!A:T,20,0)</f>
        <v>E5WP000490-C-001-LC003</v>
      </c>
      <c r="F296" s="3" t="str">
        <f>IF(VLOOKUP(Tabela11[[#This Row],[Tag do Cabo]],BD!A:AJ,35,0)=0,"Pendente",VLOOKUP(Tabela11[[#This Row],[Tag do Cabo]],BD!A:AJ,35,0))</f>
        <v>E5WP000490-C-002-DE003</v>
      </c>
      <c r="G296" s="3" t="str">
        <f>IF(VLOOKUP(Tabela11[[#This Row],[Tag do Cabo]],BD!A:AJ,36,0)=0,"Pendente",VLOOKUP(Tabela11[[#This Row],[Tag do Cabo]],BD!A:AJ,36,0))</f>
        <v>3</v>
      </c>
      <c r="H296" s="391" t="str">
        <f>VLOOKUP(Tabela11[[#This Row],[Tag do Cabo]],BD!A:AJ,32,0)</f>
        <v>7HV</v>
      </c>
      <c r="I296" s="7" t="str">
        <f>VLOOKUP(Tabela11[[#This Row],[Tag do Cabo]],BD!A:AJ,11,0)</f>
        <v>CELLAR AREA (TR-09A)</v>
      </c>
      <c r="J296" s="3" t="str">
        <f>VLOOKUP(Tabela11[[#This Row],[Tag do Cabo]],BD!A:AJ,12,0)</f>
        <v>E-HOUSE (GB-200-INV)</v>
      </c>
      <c r="K296" s="391" t="s">
        <v>1553</v>
      </c>
      <c r="L296" s="391" t="s">
        <v>1590</v>
      </c>
      <c r="M296" s="3" t="str">
        <f>CONCATENATE(Tabela11[[#This Row],[Painel 1]]&amp;" "&amp;Tabela11[[#This Row],[Painel 2]])</f>
        <v>TR-09A GB-200-INV</v>
      </c>
      <c r="N296" s="157">
        <v>12</v>
      </c>
      <c r="O296" s="391" t="s">
        <v>92</v>
      </c>
      <c r="P296" s="391" t="s">
        <v>1536</v>
      </c>
      <c r="Q296" s="391">
        <f>VLOOKUP(Tabela11[[#This Row],[Tag do Cabo]],BD!A:F,6,0)</f>
        <v>150</v>
      </c>
      <c r="R296" s="391">
        <f>SUMIF('Lançamento de Cabos'!AE:AE,Tabela11[[#This Row],[Tag do Cabo]],'Lançamento de Cabos'!AG:AG)</f>
        <v>12</v>
      </c>
      <c r="S296" s="28">
        <f>Tabela11[[#This Row],[Ligações Realizadas]]/Tabela11[[#This Row],[Qtde Ligações]]</f>
        <v>1</v>
      </c>
      <c r="T296" s="270">
        <v>0</v>
      </c>
      <c r="U296" s="270">
        <v>6</v>
      </c>
      <c r="V296" s="222"/>
    </row>
    <row r="297" spans="1:22" hidden="1" x14ac:dyDescent="0.25">
      <c r="A297" s="34" t="s">
        <v>554</v>
      </c>
      <c r="B297" s="391" t="str">
        <f>VLOOKUP(Tabela11[[#This Row],[Tag do Cabo]],BD!A:AJ,2,0)</f>
        <v>Força</v>
      </c>
      <c r="C297" s="222" t="str">
        <f>VLOOKUP(Tabela11[[#This Row],[Tag do Cabo]],BD!A:AJ,5,0)</f>
        <v>2x3x1/C#150</v>
      </c>
      <c r="D297" s="391" t="s">
        <v>1542</v>
      </c>
      <c r="E297" s="391" t="str">
        <f>VLOOKUP(Tabela11[[#This Row],[Tag do Cabo]],BD!A:T,20,0)</f>
        <v>E5WP000490-C-001-LC003</v>
      </c>
      <c r="F297" s="3" t="str">
        <f>IF(VLOOKUP(Tabela11[[#This Row],[Tag do Cabo]],BD!A:AJ,35,0)=0,"Pendente",VLOOKUP(Tabela11[[#This Row],[Tag do Cabo]],BD!A:AJ,35,0))</f>
        <v>E5WP000490-C-002-DE003</v>
      </c>
      <c r="G297" s="3" t="str">
        <f>IF(VLOOKUP(Tabela11[[#This Row],[Tag do Cabo]],BD!A:AJ,36,0)=0,"Pendente",VLOOKUP(Tabela11[[#This Row],[Tag do Cabo]],BD!A:AJ,36,0))</f>
        <v>3</v>
      </c>
      <c r="H297" s="391" t="str">
        <f>VLOOKUP(Tabela11[[#This Row],[Tag do Cabo]],BD!A:AJ,32,0)</f>
        <v>7HV</v>
      </c>
      <c r="I297" s="7" t="str">
        <f>VLOOKUP(Tabela11[[#This Row],[Tag do Cabo]],BD!A:AJ,11,0)</f>
        <v>CELLAR AREA (TR-09B)</v>
      </c>
      <c r="J297" s="3" t="str">
        <f>VLOOKUP(Tabela11[[#This Row],[Tag do Cabo]],BD!A:AJ,12,0)</f>
        <v>E-HOUSE (GB-200-INV)</v>
      </c>
      <c r="K297" s="391" t="s">
        <v>1554</v>
      </c>
      <c r="L297" s="391" t="s">
        <v>1590</v>
      </c>
      <c r="M297" s="3" t="str">
        <f>CONCATENATE(Tabela11[[#This Row],[Painel 1]]&amp;" "&amp;Tabela11[[#This Row],[Painel 2]])</f>
        <v>TR-09B GB-200-INV</v>
      </c>
      <c r="N297" s="157">
        <v>12</v>
      </c>
      <c r="O297" s="391" t="s">
        <v>92</v>
      </c>
      <c r="P297" s="391" t="s">
        <v>1536</v>
      </c>
      <c r="Q297" s="391">
        <f>VLOOKUP(Tabela11[[#This Row],[Tag do Cabo]],BD!A:F,6,0)</f>
        <v>150</v>
      </c>
      <c r="R297" s="391">
        <f>SUMIF('Lançamento de Cabos'!AE:AE,Tabela11[[#This Row],[Tag do Cabo]],'Lançamento de Cabos'!AG:AG)</f>
        <v>12</v>
      </c>
      <c r="S297" s="28">
        <f>Tabela11[[#This Row],[Ligações Realizadas]]/Tabela11[[#This Row],[Qtde Ligações]]</f>
        <v>1</v>
      </c>
      <c r="T297" s="270">
        <v>0</v>
      </c>
      <c r="U297" s="271">
        <v>6</v>
      </c>
      <c r="V297" s="222"/>
    </row>
    <row r="298" spans="1:22" hidden="1" x14ac:dyDescent="0.25">
      <c r="A298" s="34" t="s">
        <v>555</v>
      </c>
      <c r="B298" s="391" t="str">
        <f>VLOOKUP(Tabela11[[#This Row],[Tag do Cabo]],BD!A:AJ,2,0)</f>
        <v>Força</v>
      </c>
      <c r="C298" s="222" t="str">
        <f>VLOOKUP(Tabela11[[#This Row],[Tag do Cabo]],BD!A:AJ,5,0)</f>
        <v>2x3x1/C#150</v>
      </c>
      <c r="D298" s="391" t="s">
        <v>1542</v>
      </c>
      <c r="E298" s="391" t="str">
        <f>VLOOKUP(Tabela11[[#This Row],[Tag do Cabo]],BD!A:T,20,0)</f>
        <v>E5WP000490-C-001-LC003</v>
      </c>
      <c r="F298" s="3" t="str">
        <f>IF(VLOOKUP(Tabela11[[#This Row],[Tag do Cabo]],BD!A:AJ,35,0)=0,"Pendente",VLOOKUP(Tabela11[[#This Row],[Tag do Cabo]],BD!A:AJ,35,0))</f>
        <v>E5WP000490-C-002-DE003</v>
      </c>
      <c r="G298" s="3" t="str">
        <f>IF(VLOOKUP(Tabela11[[#This Row],[Tag do Cabo]],BD!A:AJ,36,0)=0,"Pendente",VLOOKUP(Tabela11[[#This Row],[Tag do Cabo]],BD!A:AJ,36,0))</f>
        <v>3</v>
      </c>
      <c r="H298" s="391" t="str">
        <f>VLOOKUP(Tabela11[[#This Row],[Tag do Cabo]],BD!A:AJ,32,0)</f>
        <v>7HV</v>
      </c>
      <c r="I298" s="7" t="str">
        <f>VLOOKUP(Tabela11[[#This Row],[Tag do Cabo]],BD!A:AJ,11,0)</f>
        <v>CELLAR AREA (TR-09B)</v>
      </c>
      <c r="J298" s="3" t="str">
        <f>VLOOKUP(Tabela11[[#This Row],[Tag do Cabo]],BD!A:AJ,12,0)</f>
        <v>E-HOUSE (GB-200-INV)</v>
      </c>
      <c r="K298" s="391" t="s">
        <v>1554</v>
      </c>
      <c r="L298" s="391" t="s">
        <v>1590</v>
      </c>
      <c r="M298" s="3" t="str">
        <f>CONCATENATE(Tabela11[[#This Row],[Painel 1]]&amp;" "&amp;Tabela11[[#This Row],[Painel 2]])</f>
        <v>TR-09B GB-200-INV</v>
      </c>
      <c r="N298" s="157">
        <v>12</v>
      </c>
      <c r="O298" s="391" t="s">
        <v>92</v>
      </c>
      <c r="P298" s="391" t="s">
        <v>1536</v>
      </c>
      <c r="Q298" s="391">
        <f>VLOOKUP(Tabela11[[#This Row],[Tag do Cabo]],BD!A:F,6,0)</f>
        <v>150</v>
      </c>
      <c r="R298" s="391">
        <f>SUMIF('Lançamento de Cabos'!AE:AE,Tabela11[[#This Row],[Tag do Cabo]],'Lançamento de Cabos'!AG:AG)</f>
        <v>12</v>
      </c>
      <c r="S298" s="28">
        <f>Tabela11[[#This Row],[Ligações Realizadas]]/Tabela11[[#This Row],[Qtde Ligações]]</f>
        <v>1</v>
      </c>
      <c r="T298" s="270">
        <v>0</v>
      </c>
      <c r="U298" s="271">
        <v>6</v>
      </c>
      <c r="V298" s="222"/>
    </row>
    <row r="299" spans="1:22" hidden="1" x14ac:dyDescent="0.25">
      <c r="A299" s="34" t="s">
        <v>1413</v>
      </c>
      <c r="B299" s="391" t="str">
        <f>VLOOKUP(Tabela11[[#This Row],[Tag do Cabo]],BD!A:AJ,2,0)</f>
        <v>Força</v>
      </c>
      <c r="C299" s="222" t="str">
        <f>VLOOKUP(Tabela11[[#This Row],[Tag do Cabo]],BD!A:AJ,5,0)</f>
        <v>6x3x1/C#150</v>
      </c>
      <c r="D299" s="391" t="s">
        <v>1533</v>
      </c>
      <c r="E299" s="391" t="str">
        <f>VLOOKUP(Tabela11[[#This Row],[Tag do Cabo]],BD!A:T,20,0)</f>
        <v>BK-SP54-0900A-LC-74-00001_00000</v>
      </c>
      <c r="F299" s="222" t="str">
        <f>IF(VLOOKUP(Tabela11[[#This Row],[Tag do Cabo]],BD!A:AJ,35,0)=0,"Pendente",VLOOKUP(Tabela11[[#This Row],[Tag do Cabo]],BD!A:AJ,35,0))</f>
        <v>BK-SP54-0900B-DI-74-00452</v>
      </c>
      <c r="G299" s="3" t="str">
        <f>IF(VLOOKUP(Tabela11[[#This Row],[Tag do Cabo]],BD!A:AJ,36,0)=0,"Pendente",VLOOKUP(Tabela11[[#This Row],[Tag do Cabo]],BD!A:AJ,36,0))</f>
        <v>6</v>
      </c>
      <c r="H299" s="391" t="str">
        <f>VLOOKUP(Tabela11[[#This Row],[Tag do Cabo]],BD!A:AJ,32,0)</f>
        <v>Q3</v>
      </c>
      <c r="I299" s="7" t="str">
        <f>VLOOKUP(Tabela11[[#This Row],[Tag do Cabo]],BD!A:AJ,11,0)</f>
        <v>CAIXA DE EMENDA PROXIMA À Q3</v>
      </c>
      <c r="J299" s="3" t="str">
        <f>VLOOKUP(Tabela11[[#This Row],[Tag do Cabo]],BD!A:AJ,12,0)</f>
        <v>TRAFO TR-2</v>
      </c>
      <c r="K299" s="391" t="s">
        <v>1629</v>
      </c>
      <c r="L299" s="391" t="s">
        <v>1630</v>
      </c>
      <c r="M299" s="3" t="str">
        <f>CONCATENATE(Tabela11[[#This Row],[Painel 1]]&amp;" "&amp;Tabela11[[#This Row],[Painel 2]])</f>
        <v>EMENDA Q3 TR-2</v>
      </c>
      <c r="N299" s="157">
        <v>36</v>
      </c>
      <c r="O299" s="391" t="s">
        <v>92</v>
      </c>
      <c r="P299" s="391" t="s">
        <v>1536</v>
      </c>
      <c r="Q299" s="391">
        <f>VLOOKUP(Tabela11[[#This Row],[Tag do Cabo]],BD!A:F,6,0)</f>
        <v>150</v>
      </c>
      <c r="R299" s="391">
        <f>SUMIF('Lançamento de Cabos'!AE:AE,Tabela11[[#This Row],[Tag do Cabo]],'Lançamento de Cabos'!AG:AG)</f>
        <v>0</v>
      </c>
      <c r="S299" s="28">
        <f>Tabela11[[#This Row],[Ligações Realizadas]]/Tabela11[[#This Row],[Qtde Ligações]]</f>
        <v>0</v>
      </c>
      <c r="T299" s="269">
        <f>IF(Tabela11[[#This Row],[Ligações Realizadas]]/Tabela11[[#This Row],[Qtde Ligações]]=0,0,IF(Tabela11[[#This Row],[Ligações Realizadas]]/Tabela11[[#This Row],[Qtde Ligações]]=1,ROUND(N299/2,0),"Ver Painel"))</f>
        <v>0</v>
      </c>
      <c r="U299" s="23">
        <f>IF(Tabela11[[#This Row],[Ligações Realizadas]]/Tabela11[[#This Row],[Qtde Ligações]]=0,0,IF(Tabela11[[#This Row],[Ligações Realizadas]]/Tabela11[[#This Row],[Qtde Ligações]]=1,ROUND(N299/2,0),"Ver Painel"))</f>
        <v>0</v>
      </c>
      <c r="V299" s="219"/>
    </row>
    <row r="300" spans="1:22" hidden="1" x14ac:dyDescent="0.25">
      <c r="A300" s="34" t="s">
        <v>119</v>
      </c>
      <c r="B300" s="391" t="str">
        <f>VLOOKUP(Tabela11[[#This Row],[Tag do Cabo]],BD!A:AJ,2,0)</f>
        <v>Força</v>
      </c>
      <c r="C300" s="222" t="str">
        <f>VLOOKUP(Tabela11[[#This Row],[Tag do Cabo]],BD!A:AJ,5,0)</f>
        <v>6x3x1/C#150</v>
      </c>
      <c r="D300" s="391" t="s">
        <v>1533</v>
      </c>
      <c r="E300" s="391" t="str">
        <f>VLOOKUP(Tabela11[[#This Row],[Tag do Cabo]],BD!A:T,20,0)</f>
        <v>BK-SP54-0900A-LC-74-00001_00000</v>
      </c>
      <c r="F300" s="222" t="str">
        <f>IF(VLOOKUP(Tabela11[[#This Row],[Tag do Cabo]],BD!A:AJ,35,0)=0,"Pendente",VLOOKUP(Tabela11[[#This Row],[Tag do Cabo]],BD!A:AJ,35,0))</f>
        <v>BK-SP54-0900B-DI-74-00452</v>
      </c>
      <c r="G300" s="3" t="str">
        <f>IF(VLOOKUP(Tabela11[[#This Row],[Tag do Cabo]],BD!A:AJ,36,0)=0,"Pendente",VLOOKUP(Tabela11[[#This Row],[Tag do Cabo]],BD!A:AJ,36,0))</f>
        <v>6</v>
      </c>
      <c r="H300" s="391" t="str">
        <f>VLOOKUP(Tabela11[[#This Row],[Tag do Cabo]],BD!A:AJ,32,0)</f>
        <v>1HV</v>
      </c>
      <c r="I300" s="7" t="str">
        <f>VLOOKUP(Tabela11[[#This Row],[Tag do Cabo]],BD!A:AJ,11,0)</f>
        <v>EMENDA NA 1HV - PORAO DE CABOS</v>
      </c>
      <c r="J300" s="3" t="str">
        <f>VLOOKUP(Tabela11[[#This Row],[Tag do Cabo]],BD!A:AJ,12,0)</f>
        <v>PAINEL 1HV-BUS3</v>
      </c>
      <c r="K300" s="391" t="s">
        <v>1631</v>
      </c>
      <c r="L300" s="391" t="s">
        <v>104</v>
      </c>
      <c r="M300" s="3" t="str">
        <f>CONCATENATE(Tabela11[[#This Row],[Painel 1]]&amp;" "&amp;Tabela11[[#This Row],[Painel 2]])</f>
        <v>EMENDA 1HV 1HV-BUS3</v>
      </c>
      <c r="N300" s="157">
        <v>36</v>
      </c>
      <c r="O300" s="391" t="s">
        <v>92</v>
      </c>
      <c r="P300" s="391" t="s">
        <v>1536</v>
      </c>
      <c r="Q300" s="391">
        <f>VLOOKUP(Tabela11[[#This Row],[Tag do Cabo]],BD!A:F,6,0)</f>
        <v>150</v>
      </c>
      <c r="R300" s="391">
        <f>SUMIF('Lançamento de Cabos'!AE:AE,Tabela11[[#This Row],[Tag do Cabo]],'Lançamento de Cabos'!AG:AG)</f>
        <v>0</v>
      </c>
      <c r="S300" s="28">
        <f>Tabela11[[#This Row],[Ligações Realizadas]]/Tabela11[[#This Row],[Qtde Ligações]]</f>
        <v>0</v>
      </c>
      <c r="T300" s="269">
        <f>IF(Tabela11[[#This Row],[Ligações Realizadas]]/Tabela11[[#This Row],[Qtde Ligações]]=0,0,IF(Tabela11[[#This Row],[Ligações Realizadas]]/Tabela11[[#This Row],[Qtde Ligações]]=1,ROUND(N300/2,0),"Ver Painel"))</f>
        <v>0</v>
      </c>
      <c r="U300" s="23">
        <f>IF(Tabela11[[#This Row],[Ligações Realizadas]]/Tabela11[[#This Row],[Qtde Ligações]]=0,0,IF(Tabela11[[#This Row],[Ligações Realizadas]]/Tabela11[[#This Row],[Qtde Ligações]]=1,ROUND(N300/2,0),"Ver Painel"))</f>
        <v>0</v>
      </c>
      <c r="V300" s="219"/>
    </row>
    <row r="301" spans="1:22" hidden="1" x14ac:dyDescent="0.25">
      <c r="A301" s="34" t="s">
        <v>556</v>
      </c>
      <c r="B301" s="391" t="str">
        <f>VLOOKUP(Tabela11[[#This Row],[Tag do Cabo]],BD!A:AJ,2,0)</f>
        <v>Força</v>
      </c>
      <c r="C301" s="3" t="str">
        <f>VLOOKUP(Tabela11[[#This Row],[Tag do Cabo]],BD!A:AJ,5,0)</f>
        <v>1x1x3/C#2,5</v>
      </c>
      <c r="D301" s="391" t="s">
        <v>1542</v>
      </c>
      <c r="E301" s="391" t="str">
        <f>VLOOKUP(Tabela11[[#This Row],[Tag do Cabo]],BD!A:T,20,0)</f>
        <v>E5WP000490-C-001-LC003</v>
      </c>
      <c r="F301" s="3" t="str">
        <f>IF(VLOOKUP(Tabela11[[#This Row],[Tag do Cabo]],BD!A:AJ,35,0)=0,"Pendente",VLOOKUP(Tabela11[[#This Row],[Tag do Cabo]],BD!A:AJ,35,0))</f>
        <v>E5WP000490-C-002-DE003</v>
      </c>
      <c r="G301" s="3" t="str">
        <f>IF(VLOOKUP(Tabela11[[#This Row],[Tag do Cabo]],BD!A:AJ,36,0)=0,"Pendente",VLOOKUP(Tabela11[[#This Row],[Tag do Cabo]],BD!A:AJ,36,0))</f>
        <v>7</v>
      </c>
      <c r="H301" s="391" t="str">
        <f>VLOOKUP(Tabela11[[#This Row],[Tag do Cabo]],BD!A:AJ,32,0)</f>
        <v>7HV</v>
      </c>
      <c r="I301" s="7" t="str">
        <f>VLOOKUP(Tabela11[[#This Row],[Tag do Cabo]],BD!A:AJ,11,0)</f>
        <v>CELLAR AREA (TR-24A)</v>
      </c>
      <c r="J301" s="3" t="str">
        <f>VLOOKUP(Tabela11[[#This Row],[Tag do Cabo]],BD!A:AJ,12,0)</f>
        <v>CELLAR AREA (TR-24B)</v>
      </c>
      <c r="K301" s="391" t="s">
        <v>1557</v>
      </c>
      <c r="L301" s="391" t="s">
        <v>1558</v>
      </c>
      <c r="M301" s="3" t="str">
        <f>CONCATENATE(Tabela11[[#This Row],[Painel 1]]&amp;" "&amp;Tabela11[[#This Row],[Painel 2]])</f>
        <v>TR-24A TR-24B</v>
      </c>
      <c r="N301" s="157">
        <v>6</v>
      </c>
      <c r="O301" s="391" t="s">
        <v>92</v>
      </c>
      <c r="P301" s="391" t="s">
        <v>1550</v>
      </c>
      <c r="Q301" s="391">
        <f>VLOOKUP(Tabela11[[#This Row],[Tag do Cabo]],BD!A:F,6,0)</f>
        <v>2.5</v>
      </c>
      <c r="R301" s="391">
        <f>SUMIF('Lançamento de Cabos'!AE:AE,Tabela11[[#This Row],[Tag do Cabo]],'Lançamento de Cabos'!AG:AG)</f>
        <v>6</v>
      </c>
      <c r="S301" s="28">
        <f>Tabela11[[#This Row],[Ligações Realizadas]]/Tabela11[[#This Row],[Qtde Ligações]]</f>
        <v>1</v>
      </c>
      <c r="T301" s="272">
        <f>IF(Tabela11[[#This Row],[Ligações Realizadas]]/Tabela11[[#This Row],[Qtde Ligações]]=0,0,IF(Tabela11[[#This Row],[Ligações Realizadas]]/Tabela11[[#This Row],[Qtde Ligações]]=1,ROUND(N301/2,0),"Ver Painel"))</f>
        <v>3</v>
      </c>
      <c r="U301" s="273">
        <f>IF(Tabela11[[#This Row],[Ligações Realizadas]]/Tabela11[[#This Row],[Qtde Ligações]]=0,0,IF(Tabela11[[#This Row],[Ligações Realizadas]]/Tabela11[[#This Row],[Qtde Ligações]]=1,ROUND(N301/2,0),"Ver Painel"))</f>
        <v>3</v>
      </c>
      <c r="V301" s="222"/>
    </row>
    <row r="302" spans="1:22" hidden="1" x14ac:dyDescent="0.25">
      <c r="A302" s="34" t="s">
        <v>557</v>
      </c>
      <c r="B302" s="391" t="str">
        <f>VLOOKUP(Tabela11[[#This Row],[Tag do Cabo]],BD!A:AJ,2,0)</f>
        <v>Controle</v>
      </c>
      <c r="C302" s="3" t="str">
        <f>VLOOKUP(Tabela11[[#This Row],[Tag do Cabo]],BD!A:AJ,5,0)</f>
        <v>1x1x5xC#1,5</v>
      </c>
      <c r="D302" s="391" t="s">
        <v>1542</v>
      </c>
      <c r="E302" s="391" t="str">
        <f>VLOOKUP(Tabela11[[#This Row],[Tag do Cabo]],BD!A:T,20,0)</f>
        <v>E5WP000490-C-001-LC004</v>
      </c>
      <c r="F302" s="3" t="str">
        <f>IF(VLOOKUP(Tabela11[[#This Row],[Tag do Cabo]],BD!A:AJ,35,0)=0,"Pendente",VLOOKUP(Tabela11[[#This Row],[Tag do Cabo]],BD!A:AJ,35,0))</f>
        <v>E5WP000490-C-002-DE004</v>
      </c>
      <c r="G302" s="3" t="str">
        <f>IF(VLOOKUP(Tabela11[[#This Row],[Tag do Cabo]],BD!A:AJ,36,0)=0,"Pendente",VLOOKUP(Tabela11[[#This Row],[Tag do Cabo]],BD!A:AJ,36,0))</f>
        <v>2</v>
      </c>
      <c r="H302" s="391" t="str">
        <f>VLOOKUP(Tabela11[[#This Row],[Tag do Cabo]],BD!A:AJ,32,0)</f>
        <v>7HV</v>
      </c>
      <c r="I302" s="7" t="str">
        <f>VLOOKUP(Tabela11[[#This Row],[Tag do Cabo]],BD!A:AJ,11,0)</f>
        <v>CELLAR AREA (TR-24A)</v>
      </c>
      <c r="J302" s="3" t="str">
        <f>VLOOKUP(Tabela11[[#This Row],[Tag do Cabo]],BD!A:AJ,12,0)</f>
        <v>E-HOUSE (7HV)</v>
      </c>
      <c r="K302" s="391" t="s">
        <v>1557</v>
      </c>
      <c r="L302" s="391" t="s">
        <v>937</v>
      </c>
      <c r="M302" s="3" t="str">
        <f>CONCATENATE(Tabela11[[#This Row],[Painel 1]]&amp;" "&amp;Tabela11[[#This Row],[Painel 2]])</f>
        <v>TR-24A PAINEL 7HV</v>
      </c>
      <c r="N302" s="157">
        <v>8</v>
      </c>
      <c r="O302" s="391" t="s">
        <v>92</v>
      </c>
      <c r="P302" s="391" t="s">
        <v>1550</v>
      </c>
      <c r="Q302" s="391">
        <f>VLOOKUP(Tabela11[[#This Row],[Tag do Cabo]],BD!A:F,6,0)</f>
        <v>1.5</v>
      </c>
      <c r="R302" s="391">
        <f>SUMIF('Lançamento de Cabos'!AE:AE,Tabela11[[#This Row],[Tag do Cabo]],'Lançamento de Cabos'!AG:AG)</f>
        <v>8</v>
      </c>
      <c r="S302" s="28">
        <f>Tabela11[[#This Row],[Ligações Realizadas]]/Tabela11[[#This Row],[Qtde Ligações]]</f>
        <v>1</v>
      </c>
      <c r="T302" s="272">
        <f>IF(Tabela11[[#This Row],[Ligações Realizadas]]/Tabela11[[#This Row],[Qtde Ligações]]=0,0,IF(Tabela11[[#This Row],[Ligações Realizadas]]/Tabela11[[#This Row],[Qtde Ligações]]=1,ROUND(N302/2,0),"Ver Painel"))</f>
        <v>4</v>
      </c>
      <c r="U302" s="273">
        <f>IF(Tabela11[[#This Row],[Ligações Realizadas]]/Tabela11[[#This Row],[Qtde Ligações]]=0,0,IF(Tabela11[[#This Row],[Ligações Realizadas]]/Tabela11[[#This Row],[Qtde Ligações]]=1,ROUND(N302/2,0),"Ver Painel"))</f>
        <v>4</v>
      </c>
      <c r="V302" s="222"/>
    </row>
    <row r="303" spans="1:22" hidden="1" x14ac:dyDescent="0.25">
      <c r="A303" s="34" t="s">
        <v>558</v>
      </c>
      <c r="B303" s="391" t="str">
        <f>VLOOKUP(Tabela11[[#This Row],[Tag do Cabo]],BD!A:AJ,2,0)</f>
        <v>Controle</v>
      </c>
      <c r="C303" s="3" t="str">
        <f>VLOOKUP(Tabela11[[#This Row],[Tag do Cabo]],BD!A:AJ,5,0)</f>
        <v>1x1x5xC#1,5</v>
      </c>
      <c r="D303" s="391" t="s">
        <v>1542</v>
      </c>
      <c r="E303" s="391" t="str">
        <f>VLOOKUP(Tabela11[[#This Row],[Tag do Cabo]],BD!A:T,20,0)</f>
        <v>E5WP000490-C-001-LC004</v>
      </c>
      <c r="F303" s="3" t="str">
        <f>IF(VLOOKUP(Tabela11[[#This Row],[Tag do Cabo]],BD!A:AJ,35,0)=0,"Pendente",VLOOKUP(Tabela11[[#This Row],[Tag do Cabo]],BD!A:AJ,35,0))</f>
        <v>E5WP000490-C-002-DE004</v>
      </c>
      <c r="G303" s="3" t="str">
        <f>IF(VLOOKUP(Tabela11[[#This Row],[Tag do Cabo]],BD!A:AJ,36,0)=0,"Pendente",VLOOKUP(Tabela11[[#This Row],[Tag do Cabo]],BD!A:AJ,36,0))</f>
        <v>2</v>
      </c>
      <c r="H303" s="391" t="str">
        <f>VLOOKUP(Tabela11[[#This Row],[Tag do Cabo]],BD!A:AJ,32,0)</f>
        <v>7HV</v>
      </c>
      <c r="I303" s="7" t="str">
        <f>VLOOKUP(Tabela11[[#This Row],[Tag do Cabo]],BD!A:AJ,11,0)</f>
        <v>CELLAR AREA (TR-24A)</v>
      </c>
      <c r="J303" s="3" t="str">
        <f>VLOOKUP(Tabela11[[#This Row],[Tag do Cabo]],BD!A:AJ,12,0)</f>
        <v>CELLAR AREA (TR-24B)</v>
      </c>
      <c r="K303" s="391" t="s">
        <v>1557</v>
      </c>
      <c r="L303" s="391" t="s">
        <v>1558</v>
      </c>
      <c r="M303" s="3" t="str">
        <f>CONCATENATE(Tabela11[[#This Row],[Painel 1]]&amp;" "&amp;Tabela11[[#This Row],[Painel 2]])</f>
        <v>TR-24A TR-24B</v>
      </c>
      <c r="N303" s="157">
        <v>8</v>
      </c>
      <c r="O303" s="391" t="s">
        <v>92</v>
      </c>
      <c r="P303" s="391" t="s">
        <v>1550</v>
      </c>
      <c r="Q303" s="391">
        <f>VLOOKUP(Tabela11[[#This Row],[Tag do Cabo]],BD!A:F,6,0)</f>
        <v>1.5</v>
      </c>
      <c r="R303" s="391">
        <f>SUMIF('Lançamento de Cabos'!AE:AE,Tabela11[[#This Row],[Tag do Cabo]],'Lançamento de Cabos'!AG:AG)</f>
        <v>8</v>
      </c>
      <c r="S303" s="28">
        <f>Tabela11[[#This Row],[Ligações Realizadas]]/Tabela11[[#This Row],[Qtde Ligações]]</f>
        <v>1</v>
      </c>
      <c r="T303" s="272">
        <f>IF(Tabela11[[#This Row],[Ligações Realizadas]]/Tabela11[[#This Row],[Qtde Ligações]]=0,0,IF(Tabela11[[#This Row],[Ligações Realizadas]]/Tabela11[[#This Row],[Qtde Ligações]]=1,ROUND(N303/2,0),"Ver Painel"))</f>
        <v>4</v>
      </c>
      <c r="U303" s="273">
        <f>IF(Tabela11[[#This Row],[Ligações Realizadas]]/Tabela11[[#This Row],[Qtde Ligações]]=0,0,IF(Tabela11[[#This Row],[Ligações Realizadas]]/Tabela11[[#This Row],[Qtde Ligações]]=1,ROUND(N303/2,0),"Ver Painel"))</f>
        <v>4</v>
      </c>
      <c r="V303" s="222"/>
    </row>
    <row r="304" spans="1:22" hidden="1" x14ac:dyDescent="0.25">
      <c r="A304" s="34" t="s">
        <v>559</v>
      </c>
      <c r="B304" s="391" t="str">
        <f>VLOOKUP(Tabela11[[#This Row],[Tag do Cabo]],BD!A:AJ,2,0)</f>
        <v>Força</v>
      </c>
      <c r="C304" s="222" t="str">
        <f>VLOOKUP(Tabela11[[#This Row],[Tag do Cabo]],BD!A:AJ,5,0)</f>
        <v>2x3x1/C#120</v>
      </c>
      <c r="D304" s="391" t="s">
        <v>1542</v>
      </c>
      <c r="E304" s="391" t="str">
        <f>VLOOKUP(Tabela11[[#This Row],[Tag do Cabo]],BD!A:T,20,0)</f>
        <v>E5WP000490-C-001-LC003</v>
      </c>
      <c r="F304" s="3" t="str">
        <f>IF(VLOOKUP(Tabela11[[#This Row],[Tag do Cabo]],BD!A:AJ,35,0)=0,"Pendente",VLOOKUP(Tabela11[[#This Row],[Tag do Cabo]],BD!A:AJ,35,0))</f>
        <v>E5WP000490-C-002-DE003</v>
      </c>
      <c r="G304" s="3" t="str">
        <f>IF(VLOOKUP(Tabela11[[#This Row],[Tag do Cabo]],BD!A:AJ,36,0)=0,"Pendente",VLOOKUP(Tabela11[[#This Row],[Tag do Cabo]],BD!A:AJ,36,0))</f>
        <v>4</v>
      </c>
      <c r="H304" s="391" t="str">
        <f>VLOOKUP(Tabela11[[#This Row],[Tag do Cabo]],BD!A:AJ,32,0)</f>
        <v>7HV</v>
      </c>
      <c r="I304" s="7" t="str">
        <f>VLOOKUP(Tabela11[[#This Row],[Tag do Cabo]],BD!A:AJ,11,0)</f>
        <v>CELLAR AREA (TR-24A)</v>
      </c>
      <c r="J304" s="3" t="str">
        <f>VLOOKUP(Tabela11[[#This Row],[Tag do Cabo]],BD!A:AJ,12,0)</f>
        <v>E-HOUSE (GB-1201-INV)</v>
      </c>
      <c r="K304" s="391" t="s">
        <v>1557</v>
      </c>
      <c r="L304" s="391" t="s">
        <v>1588</v>
      </c>
      <c r="M304" s="3" t="str">
        <f>CONCATENATE(Tabela11[[#This Row],[Painel 1]]&amp;" "&amp;Tabela11[[#This Row],[Painel 2]])</f>
        <v>TR-24A GB-1201-INV</v>
      </c>
      <c r="N304" s="157">
        <v>12</v>
      </c>
      <c r="O304" s="391" t="s">
        <v>92</v>
      </c>
      <c r="P304" s="391" t="s">
        <v>1536</v>
      </c>
      <c r="Q304" s="391">
        <f>VLOOKUP(Tabela11[[#This Row],[Tag do Cabo]],BD!A:F,6,0)</f>
        <v>120</v>
      </c>
      <c r="R304" s="391">
        <f>SUMIF('Lançamento de Cabos'!AE:AE,Tabela11[[#This Row],[Tag do Cabo]],'Lançamento de Cabos'!AG:AG)</f>
        <v>12</v>
      </c>
      <c r="S304" s="28">
        <f>Tabela11[[#This Row],[Ligações Realizadas]]/Tabela11[[#This Row],[Qtde Ligações]]</f>
        <v>1</v>
      </c>
      <c r="T304" s="272">
        <f>IF(Tabela11[[#This Row],[Ligações Realizadas]]/Tabela11[[#This Row],[Qtde Ligações]]=0,0,IF(Tabela11[[#This Row],[Ligações Realizadas]]/Tabela11[[#This Row],[Qtde Ligações]]=1,ROUND(N304/2,0),"Ver Painel"))</f>
        <v>6</v>
      </c>
      <c r="U304" s="273">
        <f>IF(Tabela11[[#This Row],[Ligações Realizadas]]/Tabela11[[#This Row],[Qtde Ligações]]=0,0,IF(Tabela11[[#This Row],[Ligações Realizadas]]/Tabela11[[#This Row],[Qtde Ligações]]=1,ROUND(N304/2,0),"Ver Painel"))</f>
        <v>6</v>
      </c>
      <c r="V304" s="222"/>
    </row>
    <row r="305" spans="1:22" hidden="1" x14ac:dyDescent="0.25">
      <c r="A305" s="34" t="s">
        <v>561</v>
      </c>
      <c r="B305" s="391" t="str">
        <f>VLOOKUP(Tabela11[[#This Row],[Tag do Cabo]],BD!A:AJ,2,0)</f>
        <v>Força</v>
      </c>
      <c r="C305" s="222" t="str">
        <f>VLOOKUP(Tabela11[[#This Row],[Tag do Cabo]],BD!A:AJ,5,0)</f>
        <v>2x3x1/C#120</v>
      </c>
      <c r="D305" s="391" t="s">
        <v>1542</v>
      </c>
      <c r="E305" s="391" t="str">
        <f>VLOOKUP(Tabela11[[#This Row],[Tag do Cabo]],BD!A:T,20,0)</f>
        <v>E5WP000490-C-001-LC003</v>
      </c>
      <c r="F305" s="3" t="str">
        <f>IF(VLOOKUP(Tabela11[[#This Row],[Tag do Cabo]],BD!A:AJ,35,0)=0,"Pendente",VLOOKUP(Tabela11[[#This Row],[Tag do Cabo]],BD!A:AJ,35,0))</f>
        <v>E5WP000490-C-002-DE003</v>
      </c>
      <c r="G305" s="3" t="str">
        <f>IF(VLOOKUP(Tabela11[[#This Row],[Tag do Cabo]],BD!A:AJ,36,0)=0,"Pendente",VLOOKUP(Tabela11[[#This Row],[Tag do Cabo]],BD!A:AJ,36,0))</f>
        <v>4</v>
      </c>
      <c r="H305" s="391" t="str">
        <f>VLOOKUP(Tabela11[[#This Row],[Tag do Cabo]],BD!A:AJ,32,0)</f>
        <v>7HV</v>
      </c>
      <c r="I305" s="7" t="str">
        <f>VLOOKUP(Tabela11[[#This Row],[Tag do Cabo]],BD!A:AJ,11,0)</f>
        <v>CELLAR AREA (TR-24A)</v>
      </c>
      <c r="J305" s="3" t="str">
        <f>VLOOKUP(Tabela11[[#This Row],[Tag do Cabo]],BD!A:AJ,12,0)</f>
        <v>E-HOUSE (GB-1201-INV)</v>
      </c>
      <c r="K305" s="391" t="s">
        <v>1557</v>
      </c>
      <c r="L305" s="391" t="s">
        <v>1588</v>
      </c>
      <c r="M305" s="3" t="str">
        <f>CONCATENATE(Tabela11[[#This Row],[Painel 1]]&amp;" "&amp;Tabela11[[#This Row],[Painel 2]])</f>
        <v>TR-24A GB-1201-INV</v>
      </c>
      <c r="N305" s="157">
        <v>12</v>
      </c>
      <c r="O305" s="391" t="s">
        <v>92</v>
      </c>
      <c r="P305" s="391" t="s">
        <v>1536</v>
      </c>
      <c r="Q305" s="391">
        <f>VLOOKUP(Tabela11[[#This Row],[Tag do Cabo]],BD!A:F,6,0)</f>
        <v>120</v>
      </c>
      <c r="R305" s="391">
        <f>SUMIF('Lançamento de Cabos'!AE:AE,Tabela11[[#This Row],[Tag do Cabo]],'Lançamento de Cabos'!AG:AG)</f>
        <v>12</v>
      </c>
      <c r="S305" s="28">
        <f>Tabela11[[#This Row],[Ligações Realizadas]]/Tabela11[[#This Row],[Qtde Ligações]]</f>
        <v>1</v>
      </c>
      <c r="T305" s="272">
        <f>IF(Tabela11[[#This Row],[Ligações Realizadas]]/Tabela11[[#This Row],[Qtde Ligações]]=0,0,IF(Tabela11[[#This Row],[Ligações Realizadas]]/Tabela11[[#This Row],[Qtde Ligações]]=1,ROUND(N305/2,0),"Ver Painel"))</f>
        <v>6</v>
      </c>
      <c r="U305" s="273">
        <f>IF(Tabela11[[#This Row],[Ligações Realizadas]]/Tabela11[[#This Row],[Qtde Ligações]]=0,0,IF(Tabela11[[#This Row],[Ligações Realizadas]]/Tabela11[[#This Row],[Qtde Ligações]]=1,ROUND(N305/2,0),"Ver Painel"))</f>
        <v>6</v>
      </c>
      <c r="V305" s="222"/>
    </row>
    <row r="306" spans="1:22" hidden="1" x14ac:dyDescent="0.25">
      <c r="A306" s="34" t="s">
        <v>562</v>
      </c>
      <c r="B306" s="391" t="str">
        <f>VLOOKUP(Tabela11[[#This Row],[Tag do Cabo]],BD!A:AJ,2,0)</f>
        <v>Força</v>
      </c>
      <c r="C306" s="222" t="str">
        <f>VLOOKUP(Tabela11[[#This Row],[Tag do Cabo]],BD!A:AJ,5,0)</f>
        <v>2x3x1/C#120</v>
      </c>
      <c r="D306" s="391" t="s">
        <v>1542</v>
      </c>
      <c r="E306" s="391" t="str">
        <f>VLOOKUP(Tabela11[[#This Row],[Tag do Cabo]],BD!A:T,20,0)</f>
        <v>E5WP000490-C-001-LC003</v>
      </c>
      <c r="F306" s="3" t="str">
        <f>IF(VLOOKUP(Tabela11[[#This Row],[Tag do Cabo]],BD!A:AJ,35,0)=0,"Pendente",VLOOKUP(Tabela11[[#This Row],[Tag do Cabo]],BD!A:AJ,35,0))</f>
        <v>E5WP000490-C-002-DE003</v>
      </c>
      <c r="G306" s="3" t="str">
        <f>IF(VLOOKUP(Tabela11[[#This Row],[Tag do Cabo]],BD!A:AJ,36,0)=0,"Pendente",VLOOKUP(Tabela11[[#This Row],[Tag do Cabo]],BD!A:AJ,36,0))</f>
        <v>4</v>
      </c>
      <c r="H306" s="391" t="str">
        <f>VLOOKUP(Tabela11[[#This Row],[Tag do Cabo]],BD!A:AJ,32,0)</f>
        <v>7HV</v>
      </c>
      <c r="I306" s="7" t="str">
        <f>VLOOKUP(Tabela11[[#This Row],[Tag do Cabo]],BD!A:AJ,11,0)</f>
        <v>CELLAR AREA (TR-24B)</v>
      </c>
      <c r="J306" s="3" t="str">
        <f>VLOOKUP(Tabela11[[#This Row],[Tag do Cabo]],BD!A:AJ,12,0)</f>
        <v>E-HOUSE (GB-1201-INV)</v>
      </c>
      <c r="K306" s="391" t="s">
        <v>1558</v>
      </c>
      <c r="L306" s="391" t="s">
        <v>1588</v>
      </c>
      <c r="M306" s="3" t="str">
        <f>CONCATENATE(Tabela11[[#This Row],[Painel 1]]&amp;" "&amp;Tabela11[[#This Row],[Painel 2]])</f>
        <v>TR-24B GB-1201-INV</v>
      </c>
      <c r="N306" s="157">
        <v>12</v>
      </c>
      <c r="O306" s="391" t="s">
        <v>92</v>
      </c>
      <c r="P306" s="391" t="s">
        <v>1536</v>
      </c>
      <c r="Q306" s="391">
        <f>VLOOKUP(Tabela11[[#This Row],[Tag do Cabo]],BD!A:F,6,0)</f>
        <v>120</v>
      </c>
      <c r="R306" s="391">
        <f>SUMIF('Lançamento de Cabos'!AE:AE,Tabela11[[#This Row],[Tag do Cabo]],'Lançamento de Cabos'!AG:AG)</f>
        <v>12</v>
      </c>
      <c r="S306" s="28">
        <f>Tabela11[[#This Row],[Ligações Realizadas]]/Tabela11[[#This Row],[Qtde Ligações]]</f>
        <v>1</v>
      </c>
      <c r="T306" s="272">
        <f>IF(Tabela11[[#This Row],[Ligações Realizadas]]/Tabela11[[#This Row],[Qtde Ligações]]=0,0,IF(Tabela11[[#This Row],[Ligações Realizadas]]/Tabela11[[#This Row],[Qtde Ligações]]=1,ROUND(N306/2,0),"Ver Painel"))</f>
        <v>6</v>
      </c>
      <c r="U306" s="273">
        <f>IF(Tabela11[[#This Row],[Ligações Realizadas]]/Tabela11[[#This Row],[Qtde Ligações]]=0,0,IF(Tabela11[[#This Row],[Ligações Realizadas]]/Tabela11[[#This Row],[Qtde Ligações]]=1,ROUND(N306/2,0),"Ver Painel"))</f>
        <v>6</v>
      </c>
      <c r="V306" s="222"/>
    </row>
    <row r="307" spans="1:22" hidden="1" x14ac:dyDescent="0.25">
      <c r="A307" s="34" t="s">
        <v>563</v>
      </c>
      <c r="B307" s="391" t="str">
        <f>VLOOKUP(Tabela11[[#This Row],[Tag do Cabo]],BD!A:AJ,2,0)</f>
        <v>Força</v>
      </c>
      <c r="C307" s="222" t="str">
        <f>VLOOKUP(Tabela11[[#This Row],[Tag do Cabo]],BD!A:AJ,5,0)</f>
        <v>2x3x1/C#120</v>
      </c>
      <c r="D307" s="391" t="s">
        <v>1542</v>
      </c>
      <c r="E307" s="391" t="str">
        <f>VLOOKUP(Tabela11[[#This Row],[Tag do Cabo]],BD!A:T,20,0)</f>
        <v>E5WP000490-C-001-LC003</v>
      </c>
      <c r="F307" s="3" t="str">
        <f>IF(VLOOKUP(Tabela11[[#This Row],[Tag do Cabo]],BD!A:AJ,35,0)=0,"Pendente",VLOOKUP(Tabela11[[#This Row],[Tag do Cabo]],BD!A:AJ,35,0))</f>
        <v>E5WP000490-C-002-DE003</v>
      </c>
      <c r="G307" s="3" t="str">
        <f>IF(VLOOKUP(Tabela11[[#This Row],[Tag do Cabo]],BD!A:AJ,36,0)=0,"Pendente",VLOOKUP(Tabela11[[#This Row],[Tag do Cabo]],BD!A:AJ,36,0))</f>
        <v>4</v>
      </c>
      <c r="H307" s="391" t="str">
        <f>VLOOKUP(Tabela11[[#This Row],[Tag do Cabo]],BD!A:AJ,32,0)</f>
        <v>7HV</v>
      </c>
      <c r="I307" s="7" t="str">
        <f>VLOOKUP(Tabela11[[#This Row],[Tag do Cabo]],BD!A:AJ,11,0)</f>
        <v>CELLAR AREA (TR-24B)</v>
      </c>
      <c r="J307" s="3" t="str">
        <f>VLOOKUP(Tabela11[[#This Row],[Tag do Cabo]],BD!A:AJ,12,0)</f>
        <v>E-HOUSE (GB-1201-INV)</v>
      </c>
      <c r="K307" s="391" t="s">
        <v>1558</v>
      </c>
      <c r="L307" s="391" t="s">
        <v>1588</v>
      </c>
      <c r="M307" s="3" t="str">
        <f>CONCATENATE(Tabela11[[#This Row],[Painel 1]]&amp;" "&amp;Tabela11[[#This Row],[Painel 2]])</f>
        <v>TR-24B GB-1201-INV</v>
      </c>
      <c r="N307" s="157">
        <v>12</v>
      </c>
      <c r="O307" s="391" t="s">
        <v>92</v>
      </c>
      <c r="P307" s="391" t="s">
        <v>1536</v>
      </c>
      <c r="Q307" s="391">
        <f>VLOOKUP(Tabela11[[#This Row],[Tag do Cabo]],BD!A:F,6,0)</f>
        <v>120</v>
      </c>
      <c r="R307" s="391">
        <f>SUMIF('Lançamento de Cabos'!AE:AE,Tabela11[[#This Row],[Tag do Cabo]],'Lançamento de Cabos'!AG:AG)</f>
        <v>12</v>
      </c>
      <c r="S307" s="28">
        <f>Tabela11[[#This Row],[Ligações Realizadas]]/Tabela11[[#This Row],[Qtde Ligações]]</f>
        <v>1</v>
      </c>
      <c r="T307" s="272">
        <f>IF(Tabela11[[#This Row],[Ligações Realizadas]]/Tabela11[[#This Row],[Qtde Ligações]]=0,0,IF(Tabela11[[#This Row],[Ligações Realizadas]]/Tabela11[[#This Row],[Qtde Ligações]]=1,ROUND(N307/2,0),"Ver Painel"))</f>
        <v>6</v>
      </c>
      <c r="U307" s="273">
        <f>IF(Tabela11[[#This Row],[Ligações Realizadas]]/Tabela11[[#This Row],[Qtde Ligações]]=0,0,IF(Tabela11[[#This Row],[Ligações Realizadas]]/Tabela11[[#This Row],[Qtde Ligações]]=1,ROUND(N307/2,0),"Ver Painel"))</f>
        <v>6</v>
      </c>
      <c r="V307" s="222"/>
    </row>
    <row r="308" spans="1:22" hidden="1" x14ac:dyDescent="0.25">
      <c r="A308" s="34" t="s">
        <v>564</v>
      </c>
      <c r="B308" s="391" t="str">
        <f>VLOOKUP(Tabela11[[#This Row],[Tag do Cabo]],BD!A:AJ,2,0)</f>
        <v>Força</v>
      </c>
      <c r="C308" s="3" t="str">
        <f>VLOOKUP(Tabela11[[#This Row],[Tag do Cabo]],BD!A:AJ,5,0)</f>
        <v>1x1x3/C#2,5</v>
      </c>
      <c r="D308" s="391" t="s">
        <v>1542</v>
      </c>
      <c r="E308" s="391" t="str">
        <f>VLOOKUP(Tabela11[[#This Row],[Tag do Cabo]],BD!A:T,20,0)</f>
        <v>E5WP000490-C-001-LC003</v>
      </c>
      <c r="F308" s="3" t="str">
        <f>IF(VLOOKUP(Tabela11[[#This Row],[Tag do Cabo]],BD!A:AJ,35,0)=0,"Pendente",VLOOKUP(Tabela11[[#This Row],[Tag do Cabo]],BD!A:AJ,35,0))</f>
        <v>E5WP000490-C-002-DE003</v>
      </c>
      <c r="G308" s="3" t="str">
        <f>IF(VLOOKUP(Tabela11[[#This Row],[Tag do Cabo]],BD!A:AJ,36,0)=0,"Pendente",VLOOKUP(Tabela11[[#This Row],[Tag do Cabo]],BD!A:AJ,36,0))</f>
        <v>7</v>
      </c>
      <c r="H308" s="391" t="str">
        <f>VLOOKUP(Tabela11[[#This Row],[Tag do Cabo]],BD!A:AJ,32,0)</f>
        <v>7HV</v>
      </c>
      <c r="I308" s="7" t="str">
        <f>VLOOKUP(Tabela11[[#This Row],[Tag do Cabo]],BD!A:AJ,11,0)</f>
        <v>CELLAR AREA (TR-26A)</v>
      </c>
      <c r="J308" s="3" t="str">
        <f>VLOOKUP(Tabela11[[#This Row],[Tag do Cabo]],BD!A:AJ,12,0)</f>
        <v>CELLAR AREA (TR-26B)</v>
      </c>
      <c r="K308" s="391" t="s">
        <v>1559</v>
      </c>
      <c r="L308" s="391" t="s">
        <v>1560</v>
      </c>
      <c r="M308" s="3" t="str">
        <f>CONCATENATE(Tabela11[[#This Row],[Painel 1]]&amp;" "&amp;Tabela11[[#This Row],[Painel 2]])</f>
        <v>TR-26A TR-26B</v>
      </c>
      <c r="N308" s="157">
        <v>6</v>
      </c>
      <c r="O308" s="391" t="s">
        <v>92</v>
      </c>
      <c r="P308" s="391" t="s">
        <v>1550</v>
      </c>
      <c r="Q308" s="391">
        <f>VLOOKUP(Tabela11[[#This Row],[Tag do Cabo]],BD!A:F,6,0)</f>
        <v>2.5</v>
      </c>
      <c r="R308" s="391">
        <f>SUMIF('Lançamento de Cabos'!AE:AE,Tabela11[[#This Row],[Tag do Cabo]],'Lançamento de Cabos'!AG:AG)</f>
        <v>6</v>
      </c>
      <c r="S308" s="28">
        <f>Tabela11[[#This Row],[Ligações Realizadas]]/Tabela11[[#This Row],[Qtde Ligações]]</f>
        <v>1</v>
      </c>
      <c r="T308" s="272">
        <f>IF(Tabela11[[#This Row],[Ligações Realizadas]]/Tabela11[[#This Row],[Qtde Ligações]]=0,0,IF(Tabela11[[#This Row],[Ligações Realizadas]]/Tabela11[[#This Row],[Qtde Ligações]]=1,ROUND(N308/2,0),"Ver Painel"))</f>
        <v>3</v>
      </c>
      <c r="U308" s="273">
        <f>IF(Tabela11[[#This Row],[Ligações Realizadas]]/Tabela11[[#This Row],[Qtde Ligações]]=0,0,IF(Tabela11[[#This Row],[Ligações Realizadas]]/Tabela11[[#This Row],[Qtde Ligações]]=1,ROUND(N308/2,0),"Ver Painel"))</f>
        <v>3</v>
      </c>
      <c r="V308" s="222"/>
    </row>
    <row r="309" spans="1:22" hidden="1" x14ac:dyDescent="0.25">
      <c r="A309" s="34" t="s">
        <v>565</v>
      </c>
      <c r="B309" s="391" t="str">
        <f>VLOOKUP(Tabela11[[#This Row],[Tag do Cabo]],BD!A:AJ,2,0)</f>
        <v>Controle</v>
      </c>
      <c r="C309" s="3" t="str">
        <f>VLOOKUP(Tabela11[[#This Row],[Tag do Cabo]],BD!A:AJ,5,0)</f>
        <v>1x1x5xC#1,5</v>
      </c>
      <c r="D309" s="391" t="s">
        <v>1542</v>
      </c>
      <c r="E309" s="391" t="str">
        <f>VLOOKUP(Tabela11[[#This Row],[Tag do Cabo]],BD!A:T,20,0)</f>
        <v>E5WP000490-C-001-LC004</v>
      </c>
      <c r="F309" s="3" t="str">
        <f>IF(VLOOKUP(Tabela11[[#This Row],[Tag do Cabo]],BD!A:AJ,35,0)=0,"Pendente",VLOOKUP(Tabela11[[#This Row],[Tag do Cabo]],BD!A:AJ,35,0))</f>
        <v>E5WP000490-C-002-DE004</v>
      </c>
      <c r="G309" s="3" t="str">
        <f>IF(VLOOKUP(Tabela11[[#This Row],[Tag do Cabo]],BD!A:AJ,36,0)=0,"Pendente",VLOOKUP(Tabela11[[#This Row],[Tag do Cabo]],BD!A:AJ,36,0))</f>
        <v>2</v>
      </c>
      <c r="H309" s="391" t="str">
        <f>VLOOKUP(Tabela11[[#This Row],[Tag do Cabo]],BD!A:AJ,32,0)</f>
        <v>7HV</v>
      </c>
      <c r="I309" s="7" t="str">
        <f>VLOOKUP(Tabela11[[#This Row],[Tag do Cabo]],BD!A:AJ,11,0)</f>
        <v>CELLAR AREA (TR-26A)</v>
      </c>
      <c r="J309" s="3" t="str">
        <f>VLOOKUP(Tabela11[[#This Row],[Tag do Cabo]],BD!A:AJ,12,0)</f>
        <v>E-HOUSE (7HV)</v>
      </c>
      <c r="K309" s="391" t="s">
        <v>1559</v>
      </c>
      <c r="L309" s="391" t="s">
        <v>937</v>
      </c>
      <c r="M309" s="3" t="str">
        <f>CONCATENATE(Tabela11[[#This Row],[Painel 1]]&amp;" "&amp;Tabela11[[#This Row],[Painel 2]])</f>
        <v>TR-26A PAINEL 7HV</v>
      </c>
      <c r="N309" s="157">
        <v>8</v>
      </c>
      <c r="O309" s="391" t="s">
        <v>92</v>
      </c>
      <c r="P309" s="391" t="s">
        <v>1550</v>
      </c>
      <c r="Q309" s="391">
        <f>VLOOKUP(Tabela11[[#This Row],[Tag do Cabo]],BD!A:F,6,0)</f>
        <v>1.5</v>
      </c>
      <c r="R309" s="391">
        <f>SUMIF('Lançamento de Cabos'!AE:AE,Tabela11[[#This Row],[Tag do Cabo]],'Lançamento de Cabos'!AG:AG)</f>
        <v>8</v>
      </c>
      <c r="S309" s="28">
        <f>Tabela11[[#This Row],[Ligações Realizadas]]/Tabela11[[#This Row],[Qtde Ligações]]</f>
        <v>1</v>
      </c>
      <c r="T309" s="272">
        <f>IF(Tabela11[[#This Row],[Ligações Realizadas]]/Tabela11[[#This Row],[Qtde Ligações]]=0,0,IF(Tabela11[[#This Row],[Ligações Realizadas]]/Tabela11[[#This Row],[Qtde Ligações]]=1,ROUND(N309/2,0),"Ver Painel"))</f>
        <v>4</v>
      </c>
      <c r="U309" s="273">
        <f>IF(Tabela11[[#This Row],[Ligações Realizadas]]/Tabela11[[#This Row],[Qtde Ligações]]=0,0,IF(Tabela11[[#This Row],[Ligações Realizadas]]/Tabela11[[#This Row],[Qtde Ligações]]=1,ROUND(N309/2,0),"Ver Painel"))</f>
        <v>4</v>
      </c>
      <c r="V309" s="222"/>
    </row>
    <row r="310" spans="1:22" hidden="1" x14ac:dyDescent="0.25">
      <c r="A310" s="34" t="s">
        <v>566</v>
      </c>
      <c r="B310" s="391" t="str">
        <f>VLOOKUP(Tabela11[[#This Row],[Tag do Cabo]],BD!A:AJ,2,0)</f>
        <v>Força</v>
      </c>
      <c r="C310" s="222" t="str">
        <f>VLOOKUP(Tabela11[[#This Row],[Tag do Cabo]],BD!A:AJ,5,0)</f>
        <v>3x3x1/C#150</v>
      </c>
      <c r="D310" s="391" t="s">
        <v>1542</v>
      </c>
      <c r="E310" s="391" t="str">
        <f>VLOOKUP(Tabela11[[#This Row],[Tag do Cabo]],BD!A:T,20,0)</f>
        <v>E5WP000490-C-001-LC003</v>
      </c>
      <c r="F310" s="3" t="str">
        <f>IF(VLOOKUP(Tabela11[[#This Row],[Tag do Cabo]],BD!A:AJ,35,0)=0,"Pendente",VLOOKUP(Tabela11[[#This Row],[Tag do Cabo]],BD!A:AJ,35,0))</f>
        <v>E5WP000490-C-002-DE003</v>
      </c>
      <c r="G310" s="3" t="str">
        <f>IF(VLOOKUP(Tabela11[[#This Row],[Tag do Cabo]],BD!A:AJ,36,0)=0,"Pendente",VLOOKUP(Tabela11[[#This Row],[Tag do Cabo]],BD!A:AJ,36,0))</f>
        <v>5</v>
      </c>
      <c r="H310" s="391" t="str">
        <f>VLOOKUP(Tabela11[[#This Row],[Tag do Cabo]],BD!A:AJ,32,0)</f>
        <v>7HV</v>
      </c>
      <c r="I310" s="7" t="str">
        <f>VLOOKUP(Tabela11[[#This Row],[Tag do Cabo]],BD!A:AJ,11,0)</f>
        <v>CELLAR AREA (TR-26A)</v>
      </c>
      <c r="J310" s="3" t="str">
        <f>VLOOKUP(Tabela11[[#This Row],[Tag do Cabo]],BD!A:AJ,12,0)</f>
        <v>E-HOUSE (GB-1203-INV)</v>
      </c>
      <c r="K310" s="391" t="s">
        <v>1559</v>
      </c>
      <c r="L310" s="391" t="s">
        <v>1589</v>
      </c>
      <c r="M310" s="3" t="str">
        <f>CONCATENATE(Tabela11[[#This Row],[Painel 1]]&amp;" "&amp;Tabela11[[#This Row],[Painel 2]])</f>
        <v>TR-26A GB-1203-INV</v>
      </c>
      <c r="N310" s="157">
        <v>18</v>
      </c>
      <c r="O310" s="391" t="s">
        <v>92</v>
      </c>
      <c r="P310" s="391" t="s">
        <v>1536</v>
      </c>
      <c r="Q310" s="391">
        <f>VLOOKUP(Tabela11[[#This Row],[Tag do Cabo]],BD!A:F,6,0)</f>
        <v>150</v>
      </c>
      <c r="R310" s="391">
        <f>SUMIF('Lançamento de Cabos'!AE:AE,Tabela11[[#This Row],[Tag do Cabo]],'Lançamento de Cabos'!AG:AG)</f>
        <v>18</v>
      </c>
      <c r="S310" s="28">
        <f>Tabela11[[#This Row],[Ligações Realizadas]]/Tabela11[[#This Row],[Qtde Ligações]]</f>
        <v>1</v>
      </c>
      <c r="T310" s="272">
        <f>IF(Tabela11[[#This Row],[Ligações Realizadas]]/Tabela11[[#This Row],[Qtde Ligações]]=0,0,IF(Tabela11[[#This Row],[Ligações Realizadas]]/Tabela11[[#This Row],[Qtde Ligações]]=1,ROUND(N310/2,0),"Ver Painel"))</f>
        <v>9</v>
      </c>
      <c r="U310" s="273">
        <f>IF(Tabela11[[#This Row],[Ligações Realizadas]]/Tabela11[[#This Row],[Qtde Ligações]]=0,0,IF(Tabela11[[#This Row],[Ligações Realizadas]]/Tabela11[[#This Row],[Qtde Ligações]]=1,ROUND(N310/2,0),"Ver Painel"))</f>
        <v>9</v>
      </c>
      <c r="V310" s="222"/>
    </row>
    <row r="311" spans="1:22" hidden="1" x14ac:dyDescent="0.25">
      <c r="A311" s="34" t="s">
        <v>569</v>
      </c>
      <c r="B311" s="391" t="str">
        <f>VLOOKUP(Tabela11[[#This Row],[Tag do Cabo]],BD!A:AJ,2,0)</f>
        <v>Força</v>
      </c>
      <c r="C311" s="222" t="str">
        <f>VLOOKUP(Tabela11[[#This Row],[Tag do Cabo]],BD!A:AJ,5,0)</f>
        <v>3x3x1/C#150</v>
      </c>
      <c r="D311" s="391" t="s">
        <v>1542</v>
      </c>
      <c r="E311" s="391" t="str">
        <f>VLOOKUP(Tabela11[[#This Row],[Tag do Cabo]],BD!A:T,20,0)</f>
        <v>E5WP000490-C-001-LC003</v>
      </c>
      <c r="F311" s="3" t="str">
        <f>IF(VLOOKUP(Tabela11[[#This Row],[Tag do Cabo]],BD!A:AJ,35,0)=0,"Pendente",VLOOKUP(Tabela11[[#This Row],[Tag do Cabo]],BD!A:AJ,35,0))</f>
        <v>E5WP000490-C-002-DE003</v>
      </c>
      <c r="G311" s="3" t="str">
        <f>IF(VLOOKUP(Tabela11[[#This Row],[Tag do Cabo]],BD!A:AJ,36,0)=0,"Pendente",VLOOKUP(Tabela11[[#This Row],[Tag do Cabo]],BD!A:AJ,36,0))</f>
        <v>5</v>
      </c>
      <c r="H311" s="391" t="str">
        <f>VLOOKUP(Tabela11[[#This Row],[Tag do Cabo]],BD!A:AJ,32,0)</f>
        <v>7HV</v>
      </c>
      <c r="I311" s="7" t="str">
        <f>VLOOKUP(Tabela11[[#This Row],[Tag do Cabo]],BD!A:AJ,11,0)</f>
        <v>CELLAR AREA (TR-26A)</v>
      </c>
      <c r="J311" s="3" t="str">
        <f>VLOOKUP(Tabela11[[#This Row],[Tag do Cabo]],BD!A:AJ,12,0)</f>
        <v>E-HOUSE (GB-1203-INV)</v>
      </c>
      <c r="K311" s="391" t="s">
        <v>1559</v>
      </c>
      <c r="L311" s="391" t="s">
        <v>1589</v>
      </c>
      <c r="M311" s="3" t="str">
        <f>CONCATENATE(Tabela11[[#This Row],[Painel 1]]&amp;" "&amp;Tabela11[[#This Row],[Painel 2]])</f>
        <v>TR-26A GB-1203-INV</v>
      </c>
      <c r="N311" s="157">
        <v>18</v>
      </c>
      <c r="O311" s="391" t="s">
        <v>92</v>
      </c>
      <c r="P311" s="391" t="s">
        <v>1536</v>
      </c>
      <c r="Q311" s="391">
        <f>VLOOKUP(Tabela11[[#This Row],[Tag do Cabo]],BD!A:F,6,0)</f>
        <v>150</v>
      </c>
      <c r="R311" s="391">
        <f>SUMIF('Lançamento de Cabos'!AE:AE,Tabela11[[#This Row],[Tag do Cabo]],'Lançamento de Cabos'!AG:AG)</f>
        <v>18</v>
      </c>
      <c r="S311" s="28">
        <f>Tabela11[[#This Row],[Ligações Realizadas]]/Tabela11[[#This Row],[Qtde Ligações]]</f>
        <v>1</v>
      </c>
      <c r="T311" s="270">
        <v>0</v>
      </c>
      <c r="U311" s="271">
        <v>6</v>
      </c>
      <c r="V311" s="222"/>
    </row>
    <row r="312" spans="1:22" hidden="1" x14ac:dyDescent="0.25">
      <c r="A312" s="34" t="s">
        <v>570</v>
      </c>
      <c r="B312" s="391" t="str">
        <f>VLOOKUP(Tabela11[[#This Row],[Tag do Cabo]],BD!A:AJ,2,0)</f>
        <v>Força</v>
      </c>
      <c r="C312" s="222" t="str">
        <f>VLOOKUP(Tabela11[[#This Row],[Tag do Cabo]],BD!A:AJ,5,0)</f>
        <v>3x3x1/C#150</v>
      </c>
      <c r="D312" s="391" t="s">
        <v>1542</v>
      </c>
      <c r="E312" s="391" t="str">
        <f>VLOOKUP(Tabela11[[#This Row],[Tag do Cabo]],BD!A:T,20,0)</f>
        <v>E5WP000490-C-001-LC003</v>
      </c>
      <c r="F312" s="3" t="str">
        <f>IF(VLOOKUP(Tabela11[[#This Row],[Tag do Cabo]],BD!A:AJ,35,0)=0,"Pendente",VLOOKUP(Tabela11[[#This Row],[Tag do Cabo]],BD!A:AJ,35,0))</f>
        <v>E5WP000490-C-002-DE003</v>
      </c>
      <c r="G312" s="3" t="str">
        <f>IF(VLOOKUP(Tabela11[[#This Row],[Tag do Cabo]],BD!A:AJ,36,0)=0,"Pendente",VLOOKUP(Tabela11[[#This Row],[Tag do Cabo]],BD!A:AJ,36,0))</f>
        <v>5</v>
      </c>
      <c r="H312" s="391" t="str">
        <f>VLOOKUP(Tabela11[[#This Row],[Tag do Cabo]],BD!A:AJ,32,0)</f>
        <v>7HV</v>
      </c>
      <c r="I312" s="7" t="str">
        <f>VLOOKUP(Tabela11[[#This Row],[Tag do Cabo]],BD!A:AJ,11,0)</f>
        <v>CELLAR AREA (TR-26B)</v>
      </c>
      <c r="J312" s="3" t="str">
        <f>VLOOKUP(Tabela11[[#This Row],[Tag do Cabo]],BD!A:AJ,12,0)</f>
        <v>E-HOUSE (GB-1203-INV)</v>
      </c>
      <c r="K312" s="391" t="s">
        <v>1560</v>
      </c>
      <c r="L312" s="391" t="s">
        <v>1589</v>
      </c>
      <c r="M312" s="3" t="str">
        <f>CONCATENATE(Tabela11[[#This Row],[Painel 1]]&amp;" "&amp;Tabela11[[#This Row],[Painel 2]])</f>
        <v>TR-26B GB-1203-INV</v>
      </c>
      <c r="N312" s="157">
        <v>18</v>
      </c>
      <c r="O312" s="391" t="s">
        <v>92</v>
      </c>
      <c r="P312" s="391" t="s">
        <v>1536</v>
      </c>
      <c r="Q312" s="391">
        <f>VLOOKUP(Tabela11[[#This Row],[Tag do Cabo]],BD!A:F,6,0)</f>
        <v>150</v>
      </c>
      <c r="R312" s="391">
        <f>SUMIF('Lançamento de Cabos'!AE:AE,Tabela11[[#This Row],[Tag do Cabo]],'Lançamento de Cabos'!AG:AG)</f>
        <v>18</v>
      </c>
      <c r="S312" s="28">
        <f>Tabela11[[#This Row],[Ligações Realizadas]]/Tabela11[[#This Row],[Qtde Ligações]]</f>
        <v>1</v>
      </c>
      <c r="T312" s="270">
        <v>0</v>
      </c>
      <c r="U312" s="271">
        <v>6</v>
      </c>
      <c r="V312" s="222"/>
    </row>
    <row r="313" spans="1:22" hidden="1" x14ac:dyDescent="0.25">
      <c r="A313" s="34" t="s">
        <v>571</v>
      </c>
      <c r="B313" s="391" t="str">
        <f>VLOOKUP(Tabela11[[#This Row],[Tag do Cabo]],BD!A:AJ,2,0)</f>
        <v>Força</v>
      </c>
      <c r="C313" s="222" t="str">
        <f>VLOOKUP(Tabela11[[#This Row],[Tag do Cabo]],BD!A:AJ,5,0)</f>
        <v>3x3x1/C#150</v>
      </c>
      <c r="D313" s="391" t="s">
        <v>1542</v>
      </c>
      <c r="E313" s="391" t="str">
        <f>VLOOKUP(Tabela11[[#This Row],[Tag do Cabo]],BD!A:T,20,0)</f>
        <v>E5WP000490-C-001-LC003</v>
      </c>
      <c r="F313" s="3" t="str">
        <f>IF(VLOOKUP(Tabela11[[#This Row],[Tag do Cabo]],BD!A:AJ,35,0)=0,"Pendente",VLOOKUP(Tabela11[[#This Row],[Tag do Cabo]],BD!A:AJ,35,0))</f>
        <v>E5WP000490-C-002-DE003</v>
      </c>
      <c r="G313" s="3" t="str">
        <f>IF(VLOOKUP(Tabela11[[#This Row],[Tag do Cabo]],BD!A:AJ,36,0)=0,"Pendente",VLOOKUP(Tabela11[[#This Row],[Tag do Cabo]],BD!A:AJ,36,0))</f>
        <v>5</v>
      </c>
      <c r="H313" s="391" t="str">
        <f>VLOOKUP(Tabela11[[#This Row],[Tag do Cabo]],BD!A:AJ,32,0)</f>
        <v>7HV</v>
      </c>
      <c r="I313" s="7" t="str">
        <f>VLOOKUP(Tabela11[[#This Row],[Tag do Cabo]],BD!A:AJ,11,0)</f>
        <v>CELLAR AREA (TR-26B)</v>
      </c>
      <c r="J313" s="3" t="str">
        <f>VLOOKUP(Tabela11[[#This Row],[Tag do Cabo]],BD!A:AJ,12,0)</f>
        <v>E-HOUSE (GB-1203-INV)</v>
      </c>
      <c r="K313" s="391" t="s">
        <v>1560</v>
      </c>
      <c r="L313" s="391" t="s">
        <v>1589</v>
      </c>
      <c r="M313" s="3" t="str">
        <f>CONCATENATE(Tabela11[[#This Row],[Painel 1]]&amp;" "&amp;Tabela11[[#This Row],[Painel 2]])</f>
        <v>TR-26B GB-1203-INV</v>
      </c>
      <c r="N313" s="157">
        <v>18</v>
      </c>
      <c r="O313" s="391" t="s">
        <v>92</v>
      </c>
      <c r="P313" s="391" t="s">
        <v>1536</v>
      </c>
      <c r="Q313" s="391">
        <f>VLOOKUP(Tabela11[[#This Row],[Tag do Cabo]],BD!A:F,6,0)</f>
        <v>150</v>
      </c>
      <c r="R313" s="391">
        <f>SUMIF('Lançamento de Cabos'!AE:AE,Tabela11[[#This Row],[Tag do Cabo]],'Lançamento de Cabos'!AG:AG)</f>
        <v>18</v>
      </c>
      <c r="S313" s="28">
        <f>Tabela11[[#This Row],[Ligações Realizadas]]/Tabela11[[#This Row],[Qtde Ligações]]</f>
        <v>1</v>
      </c>
      <c r="T313" s="270">
        <v>0</v>
      </c>
      <c r="U313" s="271">
        <v>6</v>
      </c>
      <c r="V313" s="222"/>
    </row>
    <row r="314" spans="1:22" hidden="1" x14ac:dyDescent="0.25">
      <c r="A314" s="169" t="s">
        <v>572</v>
      </c>
      <c r="B314" s="391" t="str">
        <f>VLOOKUP(Tabela11[[#This Row],[Tag do Cabo]],BD!A:AJ,2,0)</f>
        <v>Força</v>
      </c>
      <c r="C314" s="222" t="str">
        <f>VLOOKUP(Tabela11[[#This Row],[Tag do Cabo]],BD!A:AJ,5,0)</f>
        <v>2x3x1/C#150</v>
      </c>
      <c r="D314" s="391" t="s">
        <v>1542</v>
      </c>
      <c r="E314" s="391" t="str">
        <f>VLOOKUP(Tabela11[[#This Row],[Tag do Cabo]],BD!A:T,20,0)</f>
        <v>E5WP000490-C-001-LC003</v>
      </c>
      <c r="F314" s="3" t="str">
        <f>IF(VLOOKUP(Tabela11[[#This Row],[Tag do Cabo]],BD!A:AJ,35,0)=0,"Pendente",VLOOKUP(Tabela11[[#This Row],[Tag do Cabo]],BD!A:AJ,35,0))</f>
        <v>E5WP000490-C-002-DE003</v>
      </c>
      <c r="G314" s="3" t="str">
        <f>IF(VLOOKUP(Tabela11[[#This Row],[Tag do Cabo]],BD!A:AJ,36,0)=0,"Pendente",VLOOKUP(Tabela11[[#This Row],[Tag do Cabo]],BD!A:AJ,36,0))</f>
        <v>3</v>
      </c>
      <c r="H314" s="391" t="str">
        <f>VLOOKUP(Tabela11[[#This Row],[Tag do Cabo]],BD!A:AJ,32,0)</f>
        <v>7HV</v>
      </c>
      <c r="I314" s="7" t="str">
        <f>VLOOKUP(Tabela11[[#This Row],[Tag do Cabo]],BD!A:AJ,11,0)</f>
        <v>CELLAR AREA (TR-27)</v>
      </c>
      <c r="J314" s="3" t="str">
        <f>VLOOKUP(Tabela11[[#This Row],[Tag do Cabo]],BD!A:AJ,12,0)</f>
        <v>E-HOUSE (TCC-49)</v>
      </c>
      <c r="K314" s="391" t="s">
        <v>1555</v>
      </c>
      <c r="L314" s="391" t="s">
        <v>1543</v>
      </c>
      <c r="M314" s="3" t="str">
        <f>CONCATENATE(Tabela11[[#This Row],[Painel 1]]&amp;" "&amp;Tabela11[[#This Row],[Painel 2]])</f>
        <v>TR-27 TCC-49</v>
      </c>
      <c r="N314" s="157">
        <v>2</v>
      </c>
      <c r="O314" s="391" t="s">
        <v>92</v>
      </c>
      <c r="P314" s="391" t="s">
        <v>107</v>
      </c>
      <c r="Q314" s="391">
        <f>VLOOKUP(Tabela11[[#This Row],[Tag do Cabo]],BD!A:F,6,0)</f>
        <v>150</v>
      </c>
      <c r="R314" s="391">
        <f>SUMIF('Lançamento de Cabos'!AE:AE,Tabela11[[#This Row],[Tag do Cabo]],'Lançamento de Cabos'!AG:AG)</f>
        <v>2</v>
      </c>
      <c r="S314" s="28">
        <f>Tabela11[[#This Row],[Ligações Realizadas]]/Tabela11[[#This Row],[Qtde Ligações]]</f>
        <v>1</v>
      </c>
      <c r="T314" s="272">
        <f>IF(Tabela11[[#This Row],[Ligações Realizadas]]/Tabela11[[#This Row],[Qtde Ligações]]=0,0,IF(Tabela11[[#This Row],[Ligações Realizadas]]/Tabela11[[#This Row],[Qtde Ligações]]=1,ROUND(N314/2,0),"Ver Painel"))</f>
        <v>1</v>
      </c>
      <c r="U314" s="273">
        <f>IF(Tabela11[[#This Row],[Ligações Realizadas]]/Tabela11[[#This Row],[Qtde Ligações]]=0,0,IF(Tabela11[[#This Row],[Ligações Realizadas]]/Tabela11[[#This Row],[Qtde Ligações]]=1,ROUND(N314/2,0),"Ver Painel"))</f>
        <v>1</v>
      </c>
      <c r="V314" s="222"/>
    </row>
    <row r="315" spans="1:22" hidden="1" x14ac:dyDescent="0.25">
      <c r="A315" s="34" t="s">
        <v>573</v>
      </c>
      <c r="B315" s="391" t="str">
        <f>VLOOKUP(Tabela11[[#This Row],[Tag do Cabo]],BD!A:AJ,2,0)</f>
        <v>Força</v>
      </c>
      <c r="C315" s="3" t="str">
        <f>VLOOKUP(Tabela11[[#This Row],[Tag do Cabo]],BD!A:AJ,5,0)</f>
        <v>1x1x1/C#16</v>
      </c>
      <c r="D315" s="391" t="s">
        <v>1542</v>
      </c>
      <c r="E315" s="391" t="str">
        <f>VLOOKUP(Tabela11[[#This Row],[Tag do Cabo]],BD!A:T,20,0)</f>
        <v>E5WP000490-C-001-LC003</v>
      </c>
      <c r="F315" s="3" t="str">
        <f>IF(VLOOKUP(Tabela11[[#This Row],[Tag do Cabo]],BD!A:AJ,35,0)=0,"Pendente",VLOOKUP(Tabela11[[#This Row],[Tag do Cabo]],BD!A:AJ,35,0))</f>
        <v>E5WP000490-C-002-DE003</v>
      </c>
      <c r="G315" s="3" t="str">
        <f>IF(VLOOKUP(Tabela11[[#This Row],[Tag do Cabo]],BD!A:AJ,36,0)=0,"Pendente",VLOOKUP(Tabela11[[#This Row],[Tag do Cabo]],BD!A:AJ,36,0))</f>
        <v>3</v>
      </c>
      <c r="H315" s="391" t="str">
        <f>VLOOKUP(Tabela11[[#This Row],[Tag do Cabo]],BD!A:AJ,32,0)</f>
        <v>7HV</v>
      </c>
      <c r="I315" s="7" t="str">
        <f>VLOOKUP(Tabela11[[#This Row],[Tag do Cabo]],BD!A:AJ,11,0)</f>
        <v>CELLAR AREA (TR-27)</v>
      </c>
      <c r="J315" s="3" t="str">
        <f>VLOOKUP(Tabela11[[#This Row],[Tag do Cabo]],BD!A:AJ,12,0)</f>
        <v>CELLAR AREA (RS-TR-27)</v>
      </c>
      <c r="K315" s="391" t="s">
        <v>1555</v>
      </c>
      <c r="L315" s="391" t="s">
        <v>1612</v>
      </c>
      <c r="M315" s="3" t="str">
        <f>CONCATENATE(Tabela11[[#This Row],[Painel 1]]&amp;" "&amp;Tabela11[[#This Row],[Painel 2]])</f>
        <v>TR-27 RS-TR-27</v>
      </c>
      <c r="N315" s="157">
        <v>2</v>
      </c>
      <c r="O315" s="391" t="s">
        <v>92</v>
      </c>
      <c r="P315" s="391" t="s">
        <v>107</v>
      </c>
      <c r="Q315" s="391">
        <f>VLOOKUP(Tabela11[[#This Row],[Tag do Cabo]],BD!A:F,6,0)</f>
        <v>16</v>
      </c>
      <c r="R315" s="391">
        <f>SUMIF('Lançamento de Cabos'!AE:AE,Tabela11[[#This Row],[Tag do Cabo]],'Lançamento de Cabos'!AG:AG)</f>
        <v>2</v>
      </c>
      <c r="S315" s="28">
        <f>Tabela11[[#This Row],[Ligações Realizadas]]/Tabela11[[#This Row],[Qtde Ligações]]</f>
        <v>1</v>
      </c>
      <c r="T315" s="272">
        <f>IF(Tabela11[[#This Row],[Ligações Realizadas]]/Tabela11[[#This Row],[Qtde Ligações]]=0,0,IF(Tabela11[[#This Row],[Ligações Realizadas]]/Tabela11[[#This Row],[Qtde Ligações]]=1,ROUND(N315/2,0),"Ver Painel"))</f>
        <v>1</v>
      </c>
      <c r="U315" s="273">
        <f>IF(Tabela11[[#This Row],[Ligações Realizadas]]/Tabela11[[#This Row],[Qtde Ligações]]=0,0,IF(Tabela11[[#This Row],[Ligações Realizadas]]/Tabela11[[#This Row],[Qtde Ligações]]=1,ROUND(N315/2,0),"Ver Painel"))</f>
        <v>1</v>
      </c>
      <c r="V315" s="222"/>
    </row>
    <row r="316" spans="1:22" hidden="1" x14ac:dyDescent="0.25">
      <c r="A316" s="34" t="s">
        <v>574</v>
      </c>
      <c r="B316" s="391" t="str">
        <f>VLOOKUP(Tabela11[[#This Row],[Tag do Cabo]],BD!A:AJ,2,0)</f>
        <v>Controle</v>
      </c>
      <c r="C316" s="3" t="str">
        <f>VLOOKUP(Tabela11[[#This Row],[Tag do Cabo]],BD!A:AJ,5,0)</f>
        <v>1x1x5xC#1,5</v>
      </c>
      <c r="D316" s="391" t="s">
        <v>1542</v>
      </c>
      <c r="E316" s="391" t="str">
        <f>VLOOKUP(Tabela11[[#This Row],[Tag do Cabo]],BD!A:T,20,0)</f>
        <v>E5WP000490-C-001-LC004</v>
      </c>
      <c r="F316" s="3" t="str">
        <f>IF(VLOOKUP(Tabela11[[#This Row],[Tag do Cabo]],BD!A:AJ,35,0)=0,"Pendente",VLOOKUP(Tabela11[[#This Row],[Tag do Cabo]],BD!A:AJ,35,0))</f>
        <v>E5WP000490-C-002-DE004</v>
      </c>
      <c r="G316" s="3" t="str">
        <f>IF(VLOOKUP(Tabela11[[#This Row],[Tag do Cabo]],BD!A:AJ,36,0)=0,"Pendente",VLOOKUP(Tabela11[[#This Row],[Tag do Cabo]],BD!A:AJ,36,0))</f>
        <v>2</v>
      </c>
      <c r="H316" s="391" t="str">
        <f>VLOOKUP(Tabela11[[#This Row],[Tag do Cabo]],BD!A:AJ,32,0)</f>
        <v>7HV</v>
      </c>
      <c r="I316" s="7" t="str">
        <f>VLOOKUP(Tabela11[[#This Row],[Tag do Cabo]],BD!A:AJ,11,0)</f>
        <v>CELLAR AREA (TR-27)</v>
      </c>
      <c r="J316" s="3" t="str">
        <f>VLOOKUP(Tabela11[[#This Row],[Tag do Cabo]],BD!A:AJ,12,0)</f>
        <v>E-HOUSE (7HV)</v>
      </c>
      <c r="K316" s="391" t="s">
        <v>1555</v>
      </c>
      <c r="L316" s="391" t="s">
        <v>937</v>
      </c>
      <c r="M316" s="3" t="str">
        <f>CONCATENATE(Tabela11[[#This Row],[Painel 1]]&amp;" "&amp;Tabela11[[#This Row],[Painel 2]])</f>
        <v>TR-27 PAINEL 7HV</v>
      </c>
      <c r="N316" s="157">
        <v>8</v>
      </c>
      <c r="O316" s="391" t="s">
        <v>92</v>
      </c>
      <c r="P316" s="391" t="s">
        <v>1550</v>
      </c>
      <c r="Q316" s="391">
        <f>VLOOKUP(Tabela11[[#This Row],[Tag do Cabo]],BD!A:F,6,0)</f>
        <v>1.5</v>
      </c>
      <c r="R316" s="391">
        <f>SUMIF('Lançamento de Cabos'!AE:AE,Tabela11[[#This Row],[Tag do Cabo]],'Lançamento de Cabos'!AG:AG)</f>
        <v>8</v>
      </c>
      <c r="S316" s="28">
        <f>Tabela11[[#This Row],[Ligações Realizadas]]/Tabela11[[#This Row],[Qtde Ligações]]</f>
        <v>1</v>
      </c>
      <c r="T316" s="272">
        <f>IF(Tabela11[[#This Row],[Ligações Realizadas]]/Tabela11[[#This Row],[Qtde Ligações]]=0,0,IF(Tabela11[[#This Row],[Ligações Realizadas]]/Tabela11[[#This Row],[Qtde Ligações]]=1,ROUND(N316/2,0),"Ver Painel"))</f>
        <v>4</v>
      </c>
      <c r="U316" s="273">
        <f>IF(Tabela11[[#This Row],[Ligações Realizadas]]/Tabela11[[#This Row],[Qtde Ligações]]=0,0,IF(Tabela11[[#This Row],[Ligações Realizadas]]/Tabela11[[#This Row],[Qtde Ligações]]=1,ROUND(N316/2,0),"Ver Painel"))</f>
        <v>4</v>
      </c>
      <c r="V316" s="222"/>
    </row>
    <row r="317" spans="1:22" hidden="1" x14ac:dyDescent="0.25">
      <c r="A317" s="34" t="s">
        <v>127</v>
      </c>
      <c r="B317" s="391" t="str">
        <f>VLOOKUP(Tabela11[[#This Row],[Tag do Cabo]],BD!A:AJ,2,0)</f>
        <v>Força</v>
      </c>
      <c r="C317" s="222" t="str">
        <f>VLOOKUP(Tabela11[[#This Row],[Tag do Cabo]],BD!A:AJ,5,0)</f>
        <v>3x3x1/C#120</v>
      </c>
      <c r="D317" s="391" t="s">
        <v>1533</v>
      </c>
      <c r="E317" s="391" t="str">
        <f>VLOOKUP(Tabela11[[#This Row],[Tag do Cabo]],BD!A:T,20,0)</f>
        <v>BK-SP54-0900A-LC-74-00001_00000</v>
      </c>
      <c r="F317" s="222" t="str">
        <f>IF(VLOOKUP(Tabela11[[#This Row],[Tag do Cabo]],BD!A:AJ,35,0)=0,"Pendente",VLOOKUP(Tabela11[[#This Row],[Tag do Cabo]],BD!A:AJ,35,0))</f>
        <v>BK-SP54-0900B-DI-74-00452</v>
      </c>
      <c r="G317" s="3" t="str">
        <f>IF(VLOOKUP(Tabela11[[#This Row],[Tag do Cabo]],BD!A:AJ,36,0)=0,"Pendente",VLOOKUP(Tabela11[[#This Row],[Tag do Cabo]],BD!A:AJ,36,0))</f>
        <v>6</v>
      </c>
      <c r="H317" s="391" t="str">
        <f>VLOOKUP(Tabela11[[#This Row],[Tag do Cabo]],BD!A:AJ,32,0)</f>
        <v>1HV</v>
      </c>
      <c r="I317" s="7" t="str">
        <f>VLOOKUP(Tabela11[[#This Row],[Tag do Cabo]],BD!A:AJ,11,0)</f>
        <v>TR-6A</v>
      </c>
      <c r="J317" s="3" t="str">
        <f>VLOOKUP(Tabela11[[#This Row],[Tag do Cabo]],BD!A:AJ,12,0)</f>
        <v>CUBICULO TR-6A (1HV-BUS3)</v>
      </c>
      <c r="K317" s="391" t="s">
        <v>129</v>
      </c>
      <c r="L317" s="391" t="s">
        <v>104</v>
      </c>
      <c r="M317" s="3" t="str">
        <f>CONCATENATE(Tabela11[[#This Row],[Painel 1]]&amp;" "&amp;Tabela11[[#This Row],[Painel 2]])</f>
        <v>TR-6A 1HV-BUS3</v>
      </c>
      <c r="N317" s="157">
        <v>18</v>
      </c>
      <c r="O317" s="391" t="s">
        <v>92</v>
      </c>
      <c r="P317" s="391" t="s">
        <v>1536</v>
      </c>
      <c r="Q317" s="391">
        <f>VLOOKUP(Tabela11[[#This Row],[Tag do Cabo]],BD!A:F,6,0)</f>
        <v>120</v>
      </c>
      <c r="R317" s="391">
        <f>SUMIF('Lançamento de Cabos'!AE:AE,Tabela11[[#This Row],[Tag do Cabo]],'Lançamento de Cabos'!AG:AG)</f>
        <v>0</v>
      </c>
      <c r="S317" s="28">
        <f>Tabela11[[#This Row],[Ligações Realizadas]]/Tabela11[[#This Row],[Qtde Ligações]]</f>
        <v>0</v>
      </c>
      <c r="T317" s="269">
        <f>IF(Tabela11[[#This Row],[Ligações Realizadas]]/Tabela11[[#This Row],[Qtde Ligações]]=0,0,IF(Tabela11[[#This Row],[Ligações Realizadas]]/Tabela11[[#This Row],[Qtde Ligações]]=1,ROUND(N317/2,0),"Ver Painel"))</f>
        <v>0</v>
      </c>
      <c r="U317" s="23">
        <f>IF(Tabela11[[#This Row],[Ligações Realizadas]]/Tabela11[[#This Row],[Qtde Ligações]]=0,0,IF(Tabela11[[#This Row],[Ligações Realizadas]]/Tabela11[[#This Row],[Qtde Ligações]]=1,ROUND(N317/2,0),"Ver Painel"))</f>
        <v>0</v>
      </c>
      <c r="V317" s="219"/>
    </row>
    <row r="318" spans="1:22" hidden="1" x14ac:dyDescent="0.25">
      <c r="A318" s="34" t="s">
        <v>131</v>
      </c>
      <c r="B318" s="391" t="str">
        <f>VLOOKUP(Tabela11[[#This Row],[Tag do Cabo]],BD!A:AJ,2,0)</f>
        <v>Força</v>
      </c>
      <c r="C318" s="222" t="str">
        <f>VLOOKUP(Tabela11[[#This Row],[Tag do Cabo]],BD!A:AJ,5,0)</f>
        <v>1x3x1/C#120</v>
      </c>
      <c r="D318" s="391" t="s">
        <v>1533</v>
      </c>
      <c r="E318" s="391" t="str">
        <f>VLOOKUP(Tabela11[[#This Row],[Tag do Cabo]],BD!A:T,20,0)</f>
        <v>BK-SP54-0900A-LC-74-00001_00000</v>
      </c>
      <c r="F318" s="222" t="str">
        <f>IF(VLOOKUP(Tabela11[[#This Row],[Tag do Cabo]],BD!A:AJ,35,0)=0,"Pendente",VLOOKUP(Tabela11[[#This Row],[Tag do Cabo]],BD!A:AJ,35,0))</f>
        <v>BK-SP54-0900B-DI-74-00452</v>
      </c>
      <c r="G318" s="3" t="str">
        <f>IF(VLOOKUP(Tabela11[[#This Row],[Tag do Cabo]],BD!A:AJ,36,0)=0,"Pendente",VLOOKUP(Tabela11[[#This Row],[Tag do Cabo]],BD!A:AJ,36,0))</f>
        <v>6</v>
      </c>
      <c r="H318" s="391" t="str">
        <f>VLOOKUP(Tabela11[[#This Row],[Tag do Cabo]],BD!A:AJ,32,0)</f>
        <v>1HV</v>
      </c>
      <c r="I318" s="7" t="str">
        <f>VLOOKUP(Tabela11[[#This Row],[Tag do Cabo]],BD!A:AJ,11,0)</f>
        <v>EMENDA NA 1HV - PORÃO DE CABOS</v>
      </c>
      <c r="J318" s="3" t="str">
        <f>VLOOKUP(Tabela11[[#This Row],[Tag do Cabo]],BD!A:AJ,12,0)</f>
        <v>CUBICULO TR-8 (1HV-BUS1)</v>
      </c>
      <c r="K318" s="391" t="s">
        <v>1631</v>
      </c>
      <c r="L318" s="391" t="s">
        <v>911</v>
      </c>
      <c r="M318" s="3" t="str">
        <f>CONCATENATE(Tabela11[[#This Row],[Painel 1]]&amp;" "&amp;Tabela11[[#This Row],[Painel 2]])</f>
        <v>EMENDA 1HV 1HV-BUS1</v>
      </c>
      <c r="N318" s="157">
        <v>3</v>
      </c>
      <c r="O318" s="391" t="s">
        <v>92</v>
      </c>
      <c r="P318" s="391" t="s">
        <v>1536</v>
      </c>
      <c r="Q318" s="391">
        <f>VLOOKUP(Tabela11[[#This Row],[Tag do Cabo]],BD!A:F,6,0)</f>
        <v>120</v>
      </c>
      <c r="R318" s="391">
        <f>SUMIF('Lançamento de Cabos'!AE:AE,Tabela11[[#This Row],[Tag do Cabo]],'Lançamento de Cabos'!AG:AG)</f>
        <v>0</v>
      </c>
      <c r="S318" s="28">
        <f>Tabela11[[#This Row],[Ligações Realizadas]]/Tabela11[[#This Row],[Qtde Ligações]]</f>
        <v>0</v>
      </c>
      <c r="T318" s="269">
        <f>IF(Tabela11[[#This Row],[Ligações Realizadas]]/Tabela11[[#This Row],[Qtde Ligações]]=0,0,IF(Tabela11[[#This Row],[Ligações Realizadas]]/Tabela11[[#This Row],[Qtde Ligações]]=1,ROUND(N318/2,0),"Ver Painel"))</f>
        <v>0</v>
      </c>
      <c r="U318" s="23">
        <f>IF(Tabela11[[#This Row],[Ligações Realizadas]]/Tabela11[[#This Row],[Qtde Ligações]]=0,0,IF(Tabela11[[#This Row],[Ligações Realizadas]]/Tabela11[[#This Row],[Qtde Ligações]]=1,ROUND(N318/2,0),"Ver Painel"))</f>
        <v>0</v>
      </c>
      <c r="V318" s="219"/>
    </row>
    <row r="319" spans="1:22" hidden="1" x14ac:dyDescent="0.25">
      <c r="A319" s="169" t="s">
        <v>889</v>
      </c>
      <c r="B319" s="391" t="str">
        <f>VLOOKUP(Tabela11[[#This Row],[Tag do Cabo]],BD!A:AJ,2,0)</f>
        <v>Força</v>
      </c>
      <c r="C319" s="3" t="str">
        <f>VLOOKUP(Tabela11[[#This Row],[Tag do Cabo]],BD!A:AJ,5,0)</f>
        <v>1x1x4/C#16</v>
      </c>
      <c r="D319" s="391" t="s">
        <v>1533</v>
      </c>
      <c r="E319" s="391" t="str">
        <f>VLOOKUP(Tabela11[[#This Row],[Tag do Cabo]],BD!A:T,20,0)</f>
        <v>BK-SP54-0900A-LC-74-00001_00000</v>
      </c>
      <c r="F319" s="222" t="str">
        <f>IF(VLOOKUP(Tabela11[[#This Row],[Tag do Cabo]],BD!A:AJ,35,0)=0,"Pendente",VLOOKUP(Tabela11[[#This Row],[Tag do Cabo]],BD!A:AJ,35,0))</f>
        <v>BK-SP54-0900B-DI-70-00451</v>
      </c>
      <c r="G319" s="3" t="str">
        <f>IF(VLOOKUP(Tabela11[[#This Row],[Tag do Cabo]],BD!A:AJ,36,0)=0,"Pendente",VLOOKUP(Tabela11[[#This Row],[Tag do Cabo]],BD!A:AJ,36,0))</f>
        <v>5</v>
      </c>
      <c r="H319" s="391" t="str">
        <f>VLOOKUP(Tabela11[[#This Row],[Tag do Cabo]],BD!A:AJ,32,0)</f>
        <v>8HV</v>
      </c>
      <c r="I319" s="7" t="str">
        <f>VLOOKUP(Tabela11[[#This Row],[Tag do Cabo]],BD!A:AJ,11,0)</f>
        <v>TRN-01 - 8HV</v>
      </c>
      <c r="J319" s="3" t="str">
        <f>VLOOKUP(Tabela11[[#This Row],[Tag do Cabo]],BD!A:AJ,12,0)</f>
        <v>TCC-33 - PAINEL CA 220-127V</v>
      </c>
      <c r="K319" s="391" t="s">
        <v>1620</v>
      </c>
      <c r="L319" s="391" t="s">
        <v>1617</v>
      </c>
      <c r="M319" s="3" t="str">
        <f>CONCATENATE(Tabela11[[#This Row],[Painel 1]]&amp;" "&amp;Tabela11[[#This Row],[Painel 2]])</f>
        <v>TRN-01 TCC-33</v>
      </c>
      <c r="N319" s="157">
        <v>8</v>
      </c>
      <c r="O319" s="391">
        <f>COUNTIF(Tabela12[Tag Cabo],Tabela11[[#This Row],[Tag do Cabo]])</f>
        <v>8</v>
      </c>
      <c r="P319" s="391" t="str">
        <f>IF(Tabela11[[#This Row],[Qtde Ligações]]&lt;&gt;Tabela11[[#This Row],[Qtde Anilhas]],"Ver","Ok")</f>
        <v>Ok</v>
      </c>
      <c r="Q319" s="391">
        <f>VLOOKUP(Tabela11[[#This Row],[Tag do Cabo]],BD!A:F,6,0)</f>
        <v>16</v>
      </c>
      <c r="R319" s="391">
        <f>SUMIF('Lançamento de Cabos'!AE:AE,Tabela11[[#This Row],[Tag do Cabo]],'Lançamento de Cabos'!AG:AG)</f>
        <v>8</v>
      </c>
      <c r="S319" s="28">
        <f>Tabela11[[#This Row],[Ligações Realizadas]]/Tabela11[[#This Row],[Qtde Ligações]]</f>
        <v>1</v>
      </c>
      <c r="T319" s="272">
        <f>IF(Tabela11[[#This Row],[Ligações Realizadas]]/Tabela11[[#This Row],[Qtde Ligações]]=0,0,IF(Tabela11[[#This Row],[Ligações Realizadas]]/Tabela11[[#This Row],[Qtde Ligações]]=1,ROUND(N319/2,0),"Ver Painel"))</f>
        <v>4</v>
      </c>
      <c r="U319" s="273">
        <f>IF(Tabela11[[#This Row],[Ligações Realizadas]]/Tabela11[[#This Row],[Qtde Ligações]]=0,0,IF(Tabela11[[#This Row],[Ligações Realizadas]]/Tabela11[[#This Row],[Qtde Ligações]]=1,ROUND(N319/2,0),"Ver Painel"))</f>
        <v>4</v>
      </c>
      <c r="V319" s="222"/>
    </row>
    <row r="320" spans="1:22" hidden="1" x14ac:dyDescent="0.25">
      <c r="A320" s="169" t="s">
        <v>575</v>
      </c>
      <c r="B320" s="391" t="str">
        <f>VLOOKUP(Tabela11[[#This Row],[Tag do Cabo]],BD!A:AJ,2,0)</f>
        <v>Força</v>
      </c>
      <c r="C320" s="3" t="str">
        <f>VLOOKUP(Tabela11[[#This Row],[Tag do Cabo]],BD!A:AJ,5,0)</f>
        <v>1x1x4/C#25</v>
      </c>
      <c r="D320" s="391" t="s">
        <v>1542</v>
      </c>
      <c r="E320" s="391" t="str">
        <f>VLOOKUP(Tabela11[[#This Row],[Tag do Cabo]],BD!A:T,20,0)</f>
        <v>E5WP000490-C-001-LC003</v>
      </c>
      <c r="F320" s="3" t="str">
        <f>IF(VLOOKUP(Tabela11[[#This Row],[Tag do Cabo]],BD!A:AJ,35,0)=0,"Pendente",VLOOKUP(Tabela11[[#This Row],[Tag do Cabo]],BD!A:AJ,35,0))</f>
        <v>E5WP000490-C-002-DE003</v>
      </c>
      <c r="G320" s="3" t="str">
        <f>IF(VLOOKUP(Tabela11[[#This Row],[Tag do Cabo]],BD!A:AJ,36,0)=0,"Pendente",VLOOKUP(Tabela11[[#This Row],[Tag do Cabo]],BD!A:AJ,36,0))</f>
        <v>6</v>
      </c>
      <c r="H320" s="391" t="str">
        <f>VLOOKUP(Tabela11[[#This Row],[Tag do Cabo]],BD!A:AJ,32,0)</f>
        <v>7HV</v>
      </c>
      <c r="I320" s="7" t="str">
        <f>VLOOKUP(Tabela11[[#This Row],[Tag do Cabo]],BD!A:AJ,11,0)</f>
        <v>CELLAR AREA (TRN-03A)</v>
      </c>
      <c r="J320" s="3" t="str">
        <f>VLOOKUP(Tabela11[[#This Row],[Tag do Cabo]],BD!A:AJ,12,0)</f>
        <v>E-HOUSE (TCC-51)</v>
      </c>
      <c r="K320" s="391" t="s">
        <v>1623</v>
      </c>
      <c r="L320" s="391" t="s">
        <v>1626</v>
      </c>
      <c r="M320" s="3" t="str">
        <f>CONCATENATE(Tabela11[[#This Row],[Painel 1]]&amp;" "&amp;Tabela11[[#This Row],[Painel 2]])</f>
        <v>TRN-03A TCC-51</v>
      </c>
      <c r="N320" s="157">
        <v>6</v>
      </c>
      <c r="O320" s="391" t="s">
        <v>92</v>
      </c>
      <c r="P320" s="391" t="s">
        <v>107</v>
      </c>
      <c r="Q320" s="391">
        <f>VLOOKUP(Tabela11[[#This Row],[Tag do Cabo]],BD!A:F,6,0)</f>
        <v>25</v>
      </c>
      <c r="R320" s="391">
        <f>SUMIF('Lançamento de Cabos'!AE:AE,Tabela11[[#This Row],[Tag do Cabo]],'Lançamento de Cabos'!AG:AG)</f>
        <v>6</v>
      </c>
      <c r="S320" s="28">
        <f>Tabela11[[#This Row],[Ligações Realizadas]]/Tabela11[[#This Row],[Qtde Ligações]]</f>
        <v>1</v>
      </c>
      <c r="T320" s="272">
        <f>IF(Tabela11[[#This Row],[Ligações Realizadas]]/Tabela11[[#This Row],[Qtde Ligações]]=0,0,IF(Tabela11[[#This Row],[Ligações Realizadas]]/Tabela11[[#This Row],[Qtde Ligações]]=1,ROUND(N320/2,0),"Ver Painel"))</f>
        <v>3</v>
      </c>
      <c r="U320" s="273">
        <f>IF(Tabela11[[#This Row],[Ligações Realizadas]]/Tabela11[[#This Row],[Qtde Ligações]]=0,0,IF(Tabela11[[#This Row],[Ligações Realizadas]]/Tabela11[[#This Row],[Qtde Ligações]]=1,ROUND(N320/2,0),"Ver Painel"))</f>
        <v>3</v>
      </c>
      <c r="V320" s="222"/>
    </row>
    <row r="321" spans="1:22" hidden="1" x14ac:dyDescent="0.25">
      <c r="A321" s="169" t="s">
        <v>579</v>
      </c>
      <c r="B321" s="391" t="str">
        <f>VLOOKUP(Tabela11[[#This Row],[Tag do Cabo]],BD!A:AJ,2,0)</f>
        <v>Força</v>
      </c>
      <c r="C321" s="3" t="str">
        <f>VLOOKUP(Tabela11[[#This Row],[Tag do Cabo]],BD!A:AJ,5,0)</f>
        <v>1x1x4/C#25</v>
      </c>
      <c r="D321" s="391" t="s">
        <v>1542</v>
      </c>
      <c r="E321" s="391" t="str">
        <f>VLOOKUP(Tabela11[[#This Row],[Tag do Cabo]],BD!A:T,20,0)</f>
        <v>E5WP000490-C-001-LC003</v>
      </c>
      <c r="F321" s="3" t="str">
        <f>IF(VLOOKUP(Tabela11[[#This Row],[Tag do Cabo]],BD!A:AJ,35,0)=0,"Pendente",VLOOKUP(Tabela11[[#This Row],[Tag do Cabo]],BD!A:AJ,35,0))</f>
        <v>E5WP000490-C-002-DE003</v>
      </c>
      <c r="G321" s="3" t="str">
        <f>IF(VLOOKUP(Tabela11[[#This Row],[Tag do Cabo]],BD!A:AJ,36,0)=0,"Pendente",VLOOKUP(Tabela11[[#This Row],[Tag do Cabo]],BD!A:AJ,36,0))</f>
        <v>6</v>
      </c>
      <c r="H321" s="391" t="str">
        <f>VLOOKUP(Tabela11[[#This Row],[Tag do Cabo]],BD!A:AJ,32,0)</f>
        <v>7HV</v>
      </c>
      <c r="I321" s="7" t="str">
        <f>VLOOKUP(Tabela11[[#This Row],[Tag do Cabo]],BD!A:AJ,11,0)</f>
        <v>CELLAR AREA (TRN-04A)</v>
      </c>
      <c r="J321" s="3" t="str">
        <f>VLOOKUP(Tabela11[[#This Row],[Tag do Cabo]],BD!A:AJ,12,0)</f>
        <v>E-HOUSE (TCC-50)</v>
      </c>
      <c r="K321" s="391" t="s">
        <v>1622</v>
      </c>
      <c r="L321" s="391" t="s">
        <v>1624</v>
      </c>
      <c r="M321" s="3" t="str">
        <f>CONCATENATE(Tabela11[[#This Row],[Painel 1]]&amp;" "&amp;Tabela11[[#This Row],[Painel 2]])</f>
        <v>TRN-04A TCC-50</v>
      </c>
      <c r="N321" s="157">
        <v>6</v>
      </c>
      <c r="O321" s="391" t="s">
        <v>92</v>
      </c>
      <c r="P321" s="391" t="s">
        <v>107</v>
      </c>
      <c r="Q321" s="391">
        <f>VLOOKUP(Tabela11[[#This Row],[Tag do Cabo]],BD!A:F,6,0)</f>
        <v>25</v>
      </c>
      <c r="R321" s="391">
        <f>SUMIF('Lançamento de Cabos'!AE:AE,Tabela11[[#This Row],[Tag do Cabo]],'Lançamento de Cabos'!AG:AG)</f>
        <v>6</v>
      </c>
      <c r="S321" s="28">
        <f>Tabela11[[#This Row],[Ligações Realizadas]]/Tabela11[[#This Row],[Qtde Ligações]]</f>
        <v>1</v>
      </c>
      <c r="T321" s="272">
        <f>IF(Tabela11[[#This Row],[Ligações Realizadas]]/Tabela11[[#This Row],[Qtde Ligações]]=0,0,IF(Tabela11[[#This Row],[Ligações Realizadas]]/Tabela11[[#This Row],[Qtde Ligações]]=1,ROUND(N321/2,0),"Ver Painel"))</f>
        <v>3</v>
      </c>
      <c r="U321" s="273">
        <f>IF(Tabela11[[#This Row],[Ligações Realizadas]]/Tabela11[[#This Row],[Qtde Ligações]]=0,0,IF(Tabela11[[#This Row],[Ligações Realizadas]]/Tabela11[[#This Row],[Qtde Ligações]]=1,ROUND(N321/2,0),"Ver Painel"))</f>
        <v>3</v>
      </c>
      <c r="V321" s="222"/>
    </row>
    <row r="322" spans="1:22" hidden="1" x14ac:dyDescent="0.25">
      <c r="A322" s="34" t="s">
        <v>1361</v>
      </c>
      <c r="B322" s="391" t="str">
        <f>VLOOKUP(Tabela11[[#This Row],[Tag do Cabo]],BD!A:AJ,2,0)</f>
        <v>Controle</v>
      </c>
      <c r="C322" s="3" t="str">
        <f>VLOOKUP(Tabela11[[#This Row],[Tag do Cabo]],BD!A:AJ,5,0)</f>
        <v>1Px18AWG+Shield</v>
      </c>
      <c r="D322" s="391" t="s">
        <v>1533</v>
      </c>
      <c r="E322" s="391" t="str">
        <f>VLOOKUP(Tabela11[[#This Row],[Tag do Cabo]],BD!A:T,20,0)</f>
        <v>BK-SP54-0900A-LC-80-00188_00000</v>
      </c>
      <c r="F322" s="222" t="str">
        <f>IF(VLOOKUP(Tabela11[[#This Row],[Tag do Cabo]],BD!A:AJ,35,0)=0,"Pendente",VLOOKUP(Tabela11[[#This Row],[Tag do Cabo]],BD!A:AJ,35,0))</f>
        <v>BK-SP54-0900A-DI-80-01589</v>
      </c>
      <c r="G322" s="3" t="str">
        <f>IF(VLOOKUP(Tabela11[[#This Row],[Tag do Cabo]],BD!A:AJ,36,0)=0,"Pendente",VLOOKUP(Tabela11[[#This Row],[Tag do Cabo]],BD!A:AJ,36,0))</f>
        <v>32</v>
      </c>
      <c r="H322" s="391" t="str">
        <f>VLOOKUP(Tabela11[[#This Row],[Tag do Cabo]],BD!A:AJ,32,0)</f>
        <v>GA-9312/S</v>
      </c>
      <c r="I322" s="7" t="str">
        <f>VLOOKUP(Tabela11[[#This Row],[Tag do Cabo]],BD!A:AJ,11,0)</f>
        <v>TT-90228</v>
      </c>
      <c r="J322" s="3" t="str">
        <f>VLOOKUP(Tabela11[[#This Row],[Tag do Cabo]],BD!A:AJ,12,0)</f>
        <v>JBFF-90-103</v>
      </c>
      <c r="K322" s="391" t="s">
        <v>1574</v>
      </c>
      <c r="L322" s="391" t="s">
        <v>1340</v>
      </c>
      <c r="M322" s="3" t="str">
        <f>CONCATENATE(Tabela11[[#This Row],[Painel 1]]&amp;" "&amp;Tabela11[[#This Row],[Painel 2]])</f>
        <v>INSTRUMENTO JBFF-90-103</v>
      </c>
      <c r="N322" s="157">
        <v>6</v>
      </c>
      <c r="O322" s="391">
        <f>COUNTIF(Tabela12[Tag Cabo],Tabela11[[#This Row],[Tag do Cabo]])</f>
        <v>6</v>
      </c>
      <c r="P322" s="391" t="str">
        <f>IF(Tabela11[[#This Row],[Qtde Ligações]]&lt;&gt;Tabela11[[#This Row],[Qtde Anilhas]],"Ver","Ok")</f>
        <v>Ok</v>
      </c>
      <c r="Q322" s="391" t="str">
        <f>VLOOKUP(Tabela11[[#This Row],[Tag do Cabo]],BD!A:F,6,0)</f>
        <v>18AWG</v>
      </c>
      <c r="R322" s="391">
        <f>SUMIF('Lançamento de Cabos'!AE:AE,Tabela11[[#This Row],[Tag do Cabo]],'Lançamento de Cabos'!AG:AG)</f>
        <v>0</v>
      </c>
      <c r="S322" s="28">
        <f>Tabela11[[#This Row],[Ligações Realizadas]]/Tabela11[[#This Row],[Qtde Ligações]]</f>
        <v>0</v>
      </c>
      <c r="T322" s="269">
        <f>IF(Tabela11[[#This Row],[Ligações Realizadas]]/Tabela11[[#This Row],[Qtde Ligações]]=0,0,IF(Tabela11[[#This Row],[Ligações Realizadas]]/Tabela11[[#This Row],[Qtde Ligações]]=1,ROUND(N322/2,0),"Ver Painel"))</f>
        <v>0</v>
      </c>
      <c r="U322" s="23">
        <f>IF(Tabela11[[#This Row],[Ligações Realizadas]]/Tabela11[[#This Row],[Qtde Ligações]]=0,0,IF(Tabela11[[#This Row],[Ligações Realizadas]]/Tabela11[[#This Row],[Qtde Ligações]]=1,ROUND(N322/2,0),"Ver Painel"))</f>
        <v>0</v>
      </c>
      <c r="V322" s="261"/>
    </row>
    <row r="323" spans="1:22" hidden="1" x14ac:dyDescent="0.25">
      <c r="A323" s="34" t="s">
        <v>1331</v>
      </c>
      <c r="B323" s="391" t="str">
        <f>VLOOKUP(Tabela11[[#This Row],[Tag do Cabo]],BD!A:AJ,2,0)</f>
        <v>Controle</v>
      </c>
      <c r="C323" s="3" t="str">
        <f>VLOOKUP(Tabela11[[#This Row],[Tag do Cabo]],BD!A:AJ,5,0)</f>
        <v>1Px18AWG+Shield</v>
      </c>
      <c r="D323" s="391" t="s">
        <v>1542</v>
      </c>
      <c r="E323" s="391" t="str">
        <f>VLOOKUP(Tabela11[[#This Row],[Tag do Cabo]],BD!A:T,20,0)</f>
        <v>BK-SP54-0900A-LC-80-00188_00000</v>
      </c>
      <c r="F323" s="3" t="str">
        <f>IF(VLOOKUP(Tabela11[[#This Row],[Tag do Cabo]],BD!A:AJ,35,0)=0,"Pendente",VLOOKUP(Tabela11[[#This Row],[Tag do Cabo]],BD!A:AJ,35,0))</f>
        <v>BK-SP54-0900A-DI-80-01589</v>
      </c>
      <c r="G323" s="3">
        <f>IF(VLOOKUP(Tabela11[[#This Row],[Tag do Cabo]],BD!A:AJ,36,0)=0,"Pendente",VLOOKUP(Tabela11[[#This Row],[Tag do Cabo]],BD!A:AJ,36,0))</f>
        <v>46</v>
      </c>
      <c r="H323" s="391" t="str">
        <f>VLOOKUP(Tabela11[[#This Row],[Tag do Cabo]],BD!A:AJ,32,0)</f>
        <v>GA-906E</v>
      </c>
      <c r="I323" s="7" t="str">
        <f>VLOOKUP(Tabela11[[#This Row],[Tag do Cabo]],BD!A:AJ,11,0)</f>
        <v>TT-90236</v>
      </c>
      <c r="J323" s="3" t="str">
        <f>VLOOKUP(Tabela11[[#This Row],[Tag do Cabo]],BD!A:AJ,12,0)</f>
        <v>JBFF-90-105</v>
      </c>
      <c r="K323" s="391" t="s">
        <v>1574</v>
      </c>
      <c r="L323" s="391" t="s">
        <v>1327</v>
      </c>
      <c r="M323" s="3" t="str">
        <f>CONCATENATE(Tabela11[[#This Row],[Painel 1]]&amp;" "&amp;Tabela11[[#This Row],[Painel 2]])</f>
        <v>INSTRUMENTO JBFF-90-105</v>
      </c>
      <c r="N323" s="157">
        <v>6</v>
      </c>
      <c r="O323" s="391">
        <f>COUNTIF(Tabela12[Tag Cabo],Tabela11[[#This Row],[Tag do Cabo]])</f>
        <v>6</v>
      </c>
      <c r="P323" s="391" t="str">
        <f>IF(Tabela11[[#This Row],[Qtde Ligações]]&lt;&gt;Tabela11[[#This Row],[Qtde Anilhas]],"Ver","Ok")</f>
        <v>Ok</v>
      </c>
      <c r="Q323" s="391" t="str">
        <f>VLOOKUP(Tabela11[[#This Row],[Tag do Cabo]],BD!A:F,6,0)</f>
        <v>18AWG</v>
      </c>
      <c r="R323" s="391">
        <f>SUMIF('Lançamento de Cabos'!AE:AE,Tabela11[[#This Row],[Tag do Cabo]],'Lançamento de Cabos'!AG:AG)</f>
        <v>0</v>
      </c>
      <c r="S323" s="28">
        <f>Tabela11[[#This Row],[Ligações Realizadas]]/Tabela11[[#This Row],[Qtde Ligações]]</f>
        <v>0</v>
      </c>
      <c r="T323" s="269">
        <f>IF(Tabela11[[#This Row],[Ligações Realizadas]]/Tabela11[[#This Row],[Qtde Ligações]]=0,0,IF(Tabela11[[#This Row],[Ligações Realizadas]]/Tabela11[[#This Row],[Qtde Ligações]]=1,ROUND(N323/2,0),"Ver Painel"))</f>
        <v>0</v>
      </c>
      <c r="U323" s="23">
        <f>IF(Tabela11[[#This Row],[Ligações Realizadas]]/Tabela11[[#This Row],[Qtde Ligações]]=0,0,IF(Tabela11[[#This Row],[Ligações Realizadas]]/Tabela11[[#This Row],[Qtde Ligações]]=1,ROUND(N323/2,0),"Ver Painel"))</f>
        <v>0</v>
      </c>
      <c r="V323" s="222"/>
    </row>
    <row r="324" spans="1:22" hidden="1" x14ac:dyDescent="0.25">
      <c r="A324" s="34" t="s">
        <v>1352</v>
      </c>
      <c r="B324" s="391" t="str">
        <f>VLOOKUP(Tabela11[[#This Row],[Tag do Cabo]],BD!A:AJ,2,0)</f>
        <v>Controle</v>
      </c>
      <c r="C324" s="3" t="str">
        <f>VLOOKUP(Tabela11[[#This Row],[Tag do Cabo]],BD!A:AJ,5,0)</f>
        <v>1Px18AWG+Shield</v>
      </c>
      <c r="D324" s="391" t="s">
        <v>1533</v>
      </c>
      <c r="E324" s="391" t="str">
        <f>VLOOKUP(Tabela11[[#This Row],[Tag do Cabo]],BD!A:T,20,0)</f>
        <v>BK-SP54-0900A-LC-80-00188_00000</v>
      </c>
      <c r="F324" s="222" t="str">
        <f>IF(VLOOKUP(Tabela11[[#This Row],[Tag do Cabo]],BD!A:AJ,35,0)=0,"Pendente",VLOOKUP(Tabela11[[#This Row],[Tag do Cabo]],BD!A:AJ,35,0))</f>
        <v>BK-SP54-0900A-DI-80-01589</v>
      </c>
      <c r="G324" s="3" t="str">
        <f>IF(VLOOKUP(Tabela11[[#This Row],[Tag do Cabo]],BD!A:AJ,36,0)=0,"Pendente",VLOOKUP(Tabela11[[#This Row],[Tag do Cabo]],BD!A:AJ,36,0))</f>
        <v>33</v>
      </c>
      <c r="H324" s="391" t="str">
        <f>VLOOKUP(Tabela11[[#This Row],[Tag do Cabo]],BD!A:AJ,32,0)</f>
        <v>GA-9312/S</v>
      </c>
      <c r="I324" s="7" t="str">
        <f>VLOOKUP(Tabela11[[#This Row],[Tag do Cabo]],BD!A:AJ,11,0)</f>
        <v>TT-90239</v>
      </c>
      <c r="J324" s="3" t="str">
        <f>VLOOKUP(Tabela11[[#This Row],[Tag do Cabo]],BD!A:AJ,12,0)</f>
        <v>JBFF-90-103</v>
      </c>
      <c r="K324" s="391" t="s">
        <v>1574</v>
      </c>
      <c r="L324" s="391" t="s">
        <v>1340</v>
      </c>
      <c r="M324" s="3" t="str">
        <f>CONCATENATE(Tabela11[[#This Row],[Painel 1]]&amp;" "&amp;Tabela11[[#This Row],[Painel 2]])</f>
        <v>INSTRUMENTO JBFF-90-103</v>
      </c>
      <c r="N324" s="157">
        <v>6</v>
      </c>
      <c r="O324" s="391">
        <f>COUNTIF(Tabela12[Tag Cabo],Tabela11[[#This Row],[Tag do Cabo]])</f>
        <v>6</v>
      </c>
      <c r="P324" s="391" t="str">
        <f>IF(Tabela11[[#This Row],[Qtde Ligações]]&lt;&gt;Tabela11[[#This Row],[Qtde Anilhas]],"Ver","Ok")</f>
        <v>Ok</v>
      </c>
      <c r="Q324" s="391" t="str">
        <f>VLOOKUP(Tabela11[[#This Row],[Tag do Cabo]],BD!A:F,6,0)</f>
        <v>18AWG</v>
      </c>
      <c r="R324" s="391">
        <f>SUMIF('Lançamento de Cabos'!AE:AE,Tabela11[[#This Row],[Tag do Cabo]],'Lançamento de Cabos'!AG:AG)</f>
        <v>0</v>
      </c>
      <c r="S324" s="28">
        <f>Tabela11[[#This Row],[Ligações Realizadas]]/Tabela11[[#This Row],[Qtde Ligações]]</f>
        <v>0</v>
      </c>
      <c r="T324" s="269">
        <f>IF(Tabela11[[#This Row],[Ligações Realizadas]]/Tabela11[[#This Row],[Qtde Ligações]]=0,0,IF(Tabela11[[#This Row],[Ligações Realizadas]]/Tabela11[[#This Row],[Qtde Ligações]]=1,ROUND(N324/2,0),"Ver Painel"))</f>
        <v>0</v>
      </c>
      <c r="U324" s="23">
        <f>IF(Tabela11[[#This Row],[Ligações Realizadas]]/Tabela11[[#This Row],[Qtde Ligações]]=0,0,IF(Tabela11[[#This Row],[Ligações Realizadas]]/Tabela11[[#This Row],[Qtde Ligações]]=1,ROUND(N324/2,0),"Ver Painel"))</f>
        <v>0</v>
      </c>
      <c r="V324" s="261"/>
    </row>
    <row r="325" spans="1:22" hidden="1" x14ac:dyDescent="0.25">
      <c r="A325" s="34" t="s">
        <v>370</v>
      </c>
      <c r="B325" s="391" t="str">
        <f>VLOOKUP(Tabela11[[#This Row],[Tag do Cabo]],BD!A:AJ,2,0)</f>
        <v>Controle</v>
      </c>
      <c r="C325" s="3" t="str">
        <f>VLOOKUP(Tabela11[[#This Row],[Tag do Cabo]],BD!A:AJ,5,0)</f>
        <v>4P#1,0mm²+SHI+SHC (N.I.S.)</v>
      </c>
      <c r="D325" s="391" t="s">
        <v>1542</v>
      </c>
      <c r="E325" s="391" t="str">
        <f>VLOOKUP(Tabela11[[#This Row],[Tag do Cabo]],BD!A:T,20,0)</f>
        <v>BK-SP54-01200-LC-80-00004_00000</v>
      </c>
      <c r="F325" s="3" t="str">
        <f>IF(VLOOKUP(Tabela11[[#This Row],[Tag do Cabo]],BD!A:AJ,35,0)=0,"Pendente",VLOOKUP(Tabela11[[#This Row],[Tag do Cabo]],BD!A:AJ,35,0))</f>
        <v>SOK0898310/SOK0898307</v>
      </c>
      <c r="G325" s="3" t="str">
        <f>IF(VLOOKUP(Tabela11[[#This Row],[Tag do Cabo]],BD!A:AJ,36,0)=0,"Pendente",VLOOKUP(Tabela11[[#This Row],[Tag do Cabo]],BD!A:AJ,36,0))</f>
        <v>39/19</v>
      </c>
      <c r="H325" s="391" t="str">
        <f>VLOOKUP(Tabela11[[#This Row],[Tag do Cabo]],BD!A:AJ,32,0)</f>
        <v>30LVxGB-1203</v>
      </c>
      <c r="I325" s="7" t="str">
        <f>VLOOKUP(Tabela11[[#This Row],[Tag do Cabo]],BD!A:AJ,11,0)</f>
        <v>JBI-120-107X</v>
      </c>
      <c r="J325" s="3" t="str">
        <f>VLOOKUP(Tabela11[[#This Row],[Tag do Cabo]],BD!A:AJ,12,0)</f>
        <v>30LV/UCP LI-1203A</v>
      </c>
      <c r="K325" s="391" t="s">
        <v>371</v>
      </c>
      <c r="L325" s="391" t="s">
        <v>1632</v>
      </c>
      <c r="M325" s="3" t="str">
        <f>CONCATENATE(Tabela11[[#This Row],[Painel 1]]&amp;" "&amp;Tabela11[[#This Row],[Painel 2]])</f>
        <v>JBI-120-107X LI-1203A</v>
      </c>
      <c r="N325" s="157">
        <v>16</v>
      </c>
      <c r="O325" s="391">
        <f>COUNTIF(Tabela12[Tag Cabo],Tabela11[[#This Row],[Tag do Cabo]])</f>
        <v>16</v>
      </c>
      <c r="P325" s="391" t="str">
        <f>IF(Tabela11[[#This Row],[Qtde Ligações]]&lt;&gt;Tabela11[[#This Row],[Qtde Anilhas]],"Ver","Ok")</f>
        <v>Ok</v>
      </c>
      <c r="Q325" s="391">
        <f>VLOOKUP(Tabela11[[#This Row],[Tag do Cabo]],BD!A:F,6,0)</f>
        <v>1</v>
      </c>
      <c r="R325" s="391">
        <f>SUMIF('Lançamento de Cabos'!AE:AE,Tabela11[[#This Row],[Tag do Cabo]],'Lançamento de Cabos'!AG:AG)</f>
        <v>0</v>
      </c>
      <c r="S325" s="28">
        <f>Tabela11[[#This Row],[Ligações Realizadas]]/Tabela11[[#This Row],[Qtde Ligações]]</f>
        <v>0</v>
      </c>
      <c r="T325" s="269">
        <f>IF(Tabela11[[#This Row],[Ligações Realizadas]]/Tabela11[[#This Row],[Qtde Ligações]]=0,0,IF(Tabela11[[#This Row],[Ligações Realizadas]]/Tabela11[[#This Row],[Qtde Ligações]]=1,ROUND(N325/2,0),"Ver Painel"))</f>
        <v>0</v>
      </c>
      <c r="U325" s="23">
        <f>IF(Tabela11[[#This Row],[Ligações Realizadas]]/Tabela11[[#This Row],[Qtde Ligações]]=0,0,IF(Tabela11[[#This Row],[Ligações Realizadas]]/Tabela11[[#This Row],[Qtde Ligações]]=1,ROUND(N325/2,0),"Ver Painel"))</f>
        <v>0</v>
      </c>
      <c r="V325" s="222"/>
    </row>
    <row r="326" spans="1:22" hidden="1" x14ac:dyDescent="0.25">
      <c r="A326" s="34" t="s">
        <v>376</v>
      </c>
      <c r="B326" s="391" t="str">
        <f>VLOOKUP(Tabela11[[#This Row],[Tag do Cabo]],BD!A:AJ,2,0)</f>
        <v>Controle</v>
      </c>
      <c r="C326" s="3" t="str">
        <f>VLOOKUP(Tabela11[[#This Row],[Tag do Cabo]],BD!A:AJ,5,0)</f>
        <v>1P#1,0mm²+SHI (N.I.S.)</v>
      </c>
      <c r="D326" s="391" t="s">
        <v>1542</v>
      </c>
      <c r="E326" s="391" t="str">
        <f>VLOOKUP(Tabela11[[#This Row],[Tag do Cabo]],BD!A:T,20,0)</f>
        <v>BK-SP54-01200-LC-80-00004_00000</v>
      </c>
      <c r="F326" s="3" t="str">
        <f>IF(VLOOKUP(Tabela11[[#This Row],[Tag do Cabo]],BD!A:AJ,35,0)=0,"Pendente",VLOOKUP(Tabela11[[#This Row],[Tag do Cabo]],BD!A:AJ,35,0))</f>
        <v>SOK0898310</v>
      </c>
      <c r="G326" s="3">
        <f>IF(VLOOKUP(Tabela11[[#This Row],[Tag do Cabo]],BD!A:AJ,36,0)=0,"Pendente",VLOOKUP(Tabela11[[#This Row],[Tag do Cabo]],BD!A:AJ,36,0))</f>
        <v>39</v>
      </c>
      <c r="H326" s="391" t="str">
        <f>VLOOKUP(Tabela11[[#This Row],[Tag do Cabo]],BD!A:AJ,32,0)</f>
        <v>30LVxGB-1203</v>
      </c>
      <c r="I326" s="7" t="str">
        <f>VLOOKUP(Tabela11[[#This Row],[Tag do Cabo]],BD!A:AJ,11,0)</f>
        <v>JB LEAKAGE DETECTOR
(LSH-12005X)</v>
      </c>
      <c r="J326" s="3" t="str">
        <f>VLOOKUP(Tabela11[[#This Row],[Tag do Cabo]],BD!A:AJ,12,0)</f>
        <v>30LV/UCP LI-1203A</v>
      </c>
      <c r="K326" s="391" t="s">
        <v>1633</v>
      </c>
      <c r="L326" s="391" t="s">
        <v>1632</v>
      </c>
      <c r="M326" s="3" t="str">
        <f>CONCATENATE(Tabela11[[#This Row],[Painel 1]]&amp;" "&amp;Tabela11[[#This Row],[Painel 2]])</f>
        <v>JB LEAKAGE 1203 LI-1203A</v>
      </c>
      <c r="N326" s="157">
        <v>4</v>
      </c>
      <c r="O326" s="391">
        <f>COUNTIF(Tabela12[Tag Cabo],Tabela11[[#This Row],[Tag do Cabo]])</f>
        <v>4</v>
      </c>
      <c r="P326" s="391" t="str">
        <f>IF(Tabela11[[#This Row],[Qtde Ligações]]&lt;&gt;Tabela11[[#This Row],[Qtde Anilhas]],"Ver","Ok")</f>
        <v>Ok</v>
      </c>
      <c r="Q326" s="391">
        <f>VLOOKUP(Tabela11[[#This Row],[Tag do Cabo]],BD!A:F,6,0)</f>
        <v>1</v>
      </c>
      <c r="R326" s="391">
        <f>SUMIF('Lançamento de Cabos'!AE:AE,Tabela11[[#This Row],[Tag do Cabo]],'Lançamento de Cabos'!AG:AG)</f>
        <v>0</v>
      </c>
      <c r="S326" s="28">
        <f>Tabela11[[#This Row],[Ligações Realizadas]]/Tabela11[[#This Row],[Qtde Ligações]]</f>
        <v>0</v>
      </c>
      <c r="T326" s="269">
        <f>IF(Tabela11[[#This Row],[Ligações Realizadas]]/Tabela11[[#This Row],[Qtde Ligações]]=0,0,IF(Tabela11[[#This Row],[Ligações Realizadas]]/Tabela11[[#This Row],[Qtde Ligações]]=1,ROUND(N326/2,0),"Ver Painel"))</f>
        <v>0</v>
      </c>
      <c r="U326" s="23">
        <f>IF(Tabela11[[#This Row],[Ligações Realizadas]]/Tabela11[[#This Row],[Qtde Ligações]]=0,0,IF(Tabela11[[#This Row],[Ligações Realizadas]]/Tabela11[[#This Row],[Qtde Ligações]]=1,ROUND(N326/2,0),"Ver Painel"))</f>
        <v>0</v>
      </c>
      <c r="V326" s="222"/>
    </row>
    <row r="327" spans="1:22" hidden="1" x14ac:dyDescent="0.25">
      <c r="A327" s="34" t="s">
        <v>346</v>
      </c>
      <c r="B327" s="391" t="str">
        <f>VLOOKUP(Tabela11[[#This Row],[Tag do Cabo]],BD!A:AJ,2,0)</f>
        <v>Controle</v>
      </c>
      <c r="C327" s="3" t="str">
        <f>VLOOKUP(Tabela11[[#This Row],[Tag do Cabo]],BD!A:AJ,5,0)</f>
        <v>4P#1,0mm²+SHI+SHC (N.I.S.)</v>
      </c>
      <c r="D327" s="391" t="s">
        <v>1542</v>
      </c>
      <c r="E327" s="391" t="str">
        <f>VLOOKUP(Tabela11[[#This Row],[Tag do Cabo]],BD!A:T,20,0)</f>
        <v>BK-SP54-01200-LC-80-00004_00000</v>
      </c>
      <c r="F327" s="3" t="str">
        <f>IF(VLOOKUP(Tabela11[[#This Row],[Tag do Cabo]],BD!A:AJ,35,0)=0,"Pendente",VLOOKUP(Tabela11[[#This Row],[Tag do Cabo]],BD!A:AJ,35,0))</f>
        <v>SOK0898307</v>
      </c>
      <c r="G327" s="3">
        <f>IF(VLOOKUP(Tabela11[[#This Row],[Tag do Cabo]],BD!A:AJ,36,0)=0,"Pendente",VLOOKUP(Tabela11[[#This Row],[Tag do Cabo]],BD!A:AJ,36,0))</f>
        <v>20</v>
      </c>
      <c r="H327" s="391" t="str">
        <f>VLOOKUP(Tabela11[[#This Row],[Tag do Cabo]],BD!A:AJ,32,0)</f>
        <v>30LVxGB-1201</v>
      </c>
      <c r="I327" s="7" t="str">
        <f>VLOOKUP(Tabela11[[#This Row],[Tag do Cabo]],BD!A:AJ,11,0)</f>
        <v xml:space="preserve">JBI-120-102X </v>
      </c>
      <c r="J327" s="3" t="str">
        <f>VLOOKUP(Tabela11[[#This Row],[Tag do Cabo]],BD!A:AJ,12,0)</f>
        <v>30LV/UCP LI-1201A</v>
      </c>
      <c r="K327" s="391" t="s">
        <v>1634</v>
      </c>
      <c r="L327" s="391" t="s">
        <v>1635</v>
      </c>
      <c r="M327" s="3" t="str">
        <f>CONCATENATE(Tabela11[[#This Row],[Painel 1]]&amp;" "&amp;Tabela11[[#This Row],[Painel 2]])</f>
        <v>JBI-120-102X LI-1201A</v>
      </c>
      <c r="N327" s="157">
        <v>12</v>
      </c>
      <c r="O327" s="391">
        <f>COUNTIF(Tabela12[Tag Cabo],Tabela11[[#This Row],[Tag do Cabo]])</f>
        <v>12</v>
      </c>
      <c r="P327" s="391" t="str">
        <f>IF(Tabela11[[#This Row],[Qtde Ligações]]&lt;&gt;Tabela11[[#This Row],[Qtde Anilhas]],"Ver","Ok")</f>
        <v>Ok</v>
      </c>
      <c r="Q327" s="391">
        <f>VLOOKUP(Tabela11[[#This Row],[Tag do Cabo]],BD!A:F,6,0)</f>
        <v>1</v>
      </c>
      <c r="R327" s="391">
        <f>SUMIF('Lançamento de Cabos'!AE:AE,Tabela11[[#This Row],[Tag do Cabo]],'Lançamento de Cabos'!AG:AG)</f>
        <v>0</v>
      </c>
      <c r="S327" s="28">
        <f>Tabela11[[#This Row],[Ligações Realizadas]]/Tabela11[[#This Row],[Qtde Ligações]]</f>
        <v>0</v>
      </c>
      <c r="T327" s="269">
        <f>IF(Tabela11[[#This Row],[Ligações Realizadas]]/Tabela11[[#This Row],[Qtde Ligações]]=0,0,IF(Tabela11[[#This Row],[Ligações Realizadas]]/Tabela11[[#This Row],[Qtde Ligações]]=1,ROUND(N327/2,0),"Ver Painel"))</f>
        <v>0</v>
      </c>
      <c r="U327" s="23">
        <f>IF(Tabela11[[#This Row],[Ligações Realizadas]]/Tabela11[[#This Row],[Qtde Ligações]]=0,0,IF(Tabela11[[#This Row],[Ligações Realizadas]]/Tabela11[[#This Row],[Qtde Ligações]]=1,ROUND(N327/2,0),"Ver Painel"))</f>
        <v>0</v>
      </c>
      <c r="V327" s="222"/>
    </row>
    <row r="328" spans="1:22" hidden="1" x14ac:dyDescent="0.25">
      <c r="A328" s="34" t="s">
        <v>354</v>
      </c>
      <c r="B328" s="391" t="str">
        <f>VLOOKUP(Tabela11[[#This Row],[Tag do Cabo]],BD!A:AJ,2,0)</f>
        <v>Controle</v>
      </c>
      <c r="C328" s="3" t="str">
        <f>VLOOKUP(Tabela11[[#This Row],[Tag do Cabo]],BD!A:AJ,5,0)</f>
        <v>1P#1,0mm²+SHI (N.I.S.)</v>
      </c>
      <c r="D328" s="391" t="s">
        <v>1542</v>
      </c>
      <c r="E328" s="391" t="str">
        <f>VLOOKUP(Tabela11[[#This Row],[Tag do Cabo]],BD!A:T,20,0)</f>
        <v>BK-SP54-01200-LC-80-00004_00000</v>
      </c>
      <c r="F328" s="3" t="str">
        <f>IF(VLOOKUP(Tabela11[[#This Row],[Tag do Cabo]],BD!A:AJ,35,0)=0,"Pendente",VLOOKUP(Tabela11[[#This Row],[Tag do Cabo]],BD!A:AJ,35,0))</f>
        <v>SOK0898307</v>
      </c>
      <c r="G328" s="3">
        <f>IF(VLOOKUP(Tabela11[[#This Row],[Tag do Cabo]],BD!A:AJ,36,0)=0,"Pendente",VLOOKUP(Tabela11[[#This Row],[Tag do Cabo]],BD!A:AJ,36,0))</f>
        <v>20</v>
      </c>
      <c r="H328" s="391" t="str">
        <f>VLOOKUP(Tabela11[[#This Row],[Tag do Cabo]],BD!A:AJ,32,0)</f>
        <v>30LVxGB-1201</v>
      </c>
      <c r="I328" s="7" t="str">
        <f>VLOOKUP(Tabela11[[#This Row],[Tag do Cabo]],BD!A:AJ,11,0)</f>
        <v>JB LEAKAGE DETECTOR
(LSH-12008X)</v>
      </c>
      <c r="J328" s="3" t="str">
        <f>VLOOKUP(Tabela11[[#This Row],[Tag do Cabo]],BD!A:AJ,12,0)</f>
        <v>30LV/UCP LI-1201A</v>
      </c>
      <c r="K328" s="391" t="s">
        <v>1636</v>
      </c>
      <c r="L328" s="391" t="s">
        <v>1635</v>
      </c>
      <c r="M328" s="3" t="str">
        <f>CONCATENATE(Tabela11[[#This Row],[Painel 1]]&amp;" "&amp;Tabela11[[#This Row],[Painel 2]])</f>
        <v>JB LEAKAGE 1201 LI-1201A</v>
      </c>
      <c r="N328" s="157">
        <v>4</v>
      </c>
      <c r="O328" s="391">
        <f>COUNTIF(Tabela12[Tag Cabo],Tabela11[[#This Row],[Tag do Cabo]])</f>
        <v>4</v>
      </c>
      <c r="P328" s="391" t="str">
        <f>IF(Tabela11[[#This Row],[Qtde Ligações]]&lt;&gt;Tabela11[[#This Row],[Qtde Anilhas]],"Ver","Ok")</f>
        <v>Ok</v>
      </c>
      <c r="Q328" s="391">
        <f>VLOOKUP(Tabela11[[#This Row],[Tag do Cabo]],BD!A:F,6,0)</f>
        <v>1</v>
      </c>
      <c r="R328" s="391">
        <f>SUMIF('Lançamento de Cabos'!AE:AE,Tabela11[[#This Row],[Tag do Cabo]],'Lançamento de Cabos'!AG:AG)</f>
        <v>0</v>
      </c>
      <c r="S328" s="28">
        <f>Tabela11[[#This Row],[Ligações Realizadas]]/Tabela11[[#This Row],[Qtde Ligações]]</f>
        <v>0</v>
      </c>
      <c r="T328" s="269">
        <f>IF(Tabela11[[#This Row],[Ligações Realizadas]]/Tabela11[[#This Row],[Qtde Ligações]]=0,0,IF(Tabela11[[#This Row],[Ligações Realizadas]]/Tabela11[[#This Row],[Qtde Ligações]]=1,ROUND(N328/2,0),"Ver Painel"))</f>
        <v>0</v>
      </c>
      <c r="U328" s="23">
        <f>IF(Tabela11[[#This Row],[Ligações Realizadas]]/Tabela11[[#This Row],[Qtde Ligações]]=0,0,IF(Tabela11[[#This Row],[Ligações Realizadas]]/Tabela11[[#This Row],[Qtde Ligações]]=1,ROUND(N328/2,0),"Ver Painel"))</f>
        <v>0</v>
      </c>
      <c r="V328" s="222"/>
    </row>
    <row r="329" spans="1:22" hidden="1" x14ac:dyDescent="0.25">
      <c r="A329" s="34" t="s">
        <v>357</v>
      </c>
      <c r="B329" s="391" t="str">
        <f>VLOOKUP(Tabela11[[#This Row],[Tag do Cabo]],BD!A:AJ,2,0)</f>
        <v>Controle</v>
      </c>
      <c r="C329" s="3" t="str">
        <f>VLOOKUP(Tabela11[[#This Row],[Tag do Cabo]],BD!A:AJ,5,0)</f>
        <v>12P#1,0mm²+SHI+SHC (I.S.)</v>
      </c>
      <c r="D329" s="391" t="s">
        <v>1542</v>
      </c>
      <c r="E329" s="391" t="str">
        <f>VLOOKUP(Tabela11[[#This Row],[Tag do Cabo]],BD!A:T,20,0)</f>
        <v>BK-SP54-01200-LC-80-00004_00000</v>
      </c>
      <c r="F329" s="3" t="str">
        <f>IF(VLOOKUP(Tabela11[[#This Row],[Tag do Cabo]],BD!A:AJ,35,0)=0,"Pendente",VLOOKUP(Tabela11[[#This Row],[Tag do Cabo]],BD!A:AJ,35,0))</f>
        <v>SOK0898307</v>
      </c>
      <c r="G329" s="3">
        <f>IF(VLOOKUP(Tabela11[[#This Row],[Tag do Cabo]],BD!A:AJ,36,0)=0,"Pendente",VLOOKUP(Tabela11[[#This Row],[Tag do Cabo]],BD!A:AJ,36,0))</f>
        <v>13</v>
      </c>
      <c r="H329" s="391" t="str">
        <f>VLOOKUP(Tabela11[[#This Row],[Tag do Cabo]],BD!A:AJ,32,0)</f>
        <v>30LVxGB-1201</v>
      </c>
      <c r="I329" s="7" t="str">
        <f>VLOOKUP(Tabela11[[#This Row],[Tag do Cabo]],BD!A:AJ,11,0)</f>
        <v>EJB-12506X</v>
      </c>
      <c r="J329" s="3" t="str">
        <f>VLOOKUP(Tabela11[[#This Row],[Tag do Cabo]],BD!A:AJ,12,0)</f>
        <v>30LV/UCP LI-1201A</v>
      </c>
      <c r="K329" s="391" t="s">
        <v>359</v>
      </c>
      <c r="L329" s="391" t="s">
        <v>1635</v>
      </c>
      <c r="M329" s="3" t="str">
        <f>CONCATENATE(Tabela11[[#This Row],[Painel 1]]&amp;" "&amp;Tabela11[[#This Row],[Painel 2]])</f>
        <v>EJB-12506X LI-1201A</v>
      </c>
      <c r="N329" s="157">
        <v>28</v>
      </c>
      <c r="O329" s="391">
        <f>COUNTIF(Tabela12[Tag Cabo],Tabela11[[#This Row],[Tag do Cabo]])</f>
        <v>28</v>
      </c>
      <c r="P329" s="391" t="str">
        <f>IF(Tabela11[[#This Row],[Qtde Ligações]]&lt;&gt;Tabela11[[#This Row],[Qtde Anilhas]],"Ver","Ok")</f>
        <v>Ok</v>
      </c>
      <c r="Q329" s="391">
        <f>VLOOKUP(Tabela11[[#This Row],[Tag do Cabo]],BD!A:F,6,0)</f>
        <v>1</v>
      </c>
      <c r="R329" s="391">
        <f>SUMIF('Lançamento de Cabos'!AE:AE,Tabela11[[#This Row],[Tag do Cabo]],'Lançamento de Cabos'!AG:AG)</f>
        <v>0</v>
      </c>
      <c r="S329" s="28">
        <f>Tabela11[[#This Row],[Ligações Realizadas]]/Tabela11[[#This Row],[Qtde Ligações]]</f>
        <v>0</v>
      </c>
      <c r="T329" s="269">
        <f>IF(Tabela11[[#This Row],[Ligações Realizadas]]/Tabela11[[#This Row],[Qtde Ligações]]=0,0,IF(Tabela11[[#This Row],[Ligações Realizadas]]/Tabela11[[#This Row],[Qtde Ligações]]=1,ROUND(N329/2,0),"Ver Painel"))</f>
        <v>0</v>
      </c>
      <c r="U329" s="23">
        <f>IF(Tabela11[[#This Row],[Ligações Realizadas]]/Tabela11[[#This Row],[Qtde Ligações]]=0,0,IF(Tabela11[[#This Row],[Ligações Realizadas]]/Tabela11[[#This Row],[Qtde Ligações]]=1,ROUND(N329/2,0),"Ver Painel"))</f>
        <v>0</v>
      </c>
      <c r="V329" s="222"/>
    </row>
    <row r="330" spans="1:22" hidden="1" x14ac:dyDescent="0.25">
      <c r="A330" s="34" t="s">
        <v>602</v>
      </c>
      <c r="B330" s="391" t="str">
        <f>VLOOKUP(Tabela11[[#This Row],[Tag do Cabo]],BD!A:AJ,2,0)</f>
        <v>Controle</v>
      </c>
      <c r="C330" s="3" t="str">
        <f>VLOOKUP(Tabela11[[#This Row],[Tag do Cabo]],BD!A:AJ,5,0)</f>
        <v>4P#1,0mm²+SHI+SHC (N.I.S.)</v>
      </c>
      <c r="D330" s="391" t="s">
        <v>1542</v>
      </c>
      <c r="E330" s="391" t="str">
        <f>VLOOKUP(Tabela11[[#This Row],[Tag do Cabo]],BD!A:T,20,0)</f>
        <v>BK-SP54-01200-LC-80-00004_00000</v>
      </c>
      <c r="F330" s="3" t="str">
        <f>IF(VLOOKUP(Tabela11[[#This Row],[Tag do Cabo]],BD!A:AJ,35,0)=0,"Pendente",VLOOKUP(Tabela11[[#This Row],[Tag do Cabo]],BD!A:AJ,35,0))</f>
        <v>SOK0898310</v>
      </c>
      <c r="G330" s="3">
        <f>IF(VLOOKUP(Tabela11[[#This Row],[Tag do Cabo]],BD!A:AJ,36,0)=0,"Pendente",VLOOKUP(Tabela11[[#This Row],[Tag do Cabo]],BD!A:AJ,36,0))</f>
        <v>41</v>
      </c>
      <c r="H330" s="391" t="str">
        <f>VLOOKUP(Tabela11[[#This Row],[Tag do Cabo]],BD!A:AJ,32,0)</f>
        <v>7HVx30LV</v>
      </c>
      <c r="I330" s="7" t="str">
        <f>VLOOKUP(Tabela11[[#This Row],[Tag do Cabo]],BD!A:AJ,11,0)</f>
        <v>7HV/BNC</v>
      </c>
      <c r="J330" s="3" t="str">
        <f>VLOOKUP(Tabela11[[#This Row],[Tag do Cabo]],BD!A:AJ,12,0)</f>
        <v>30LV/UCP LI-1203A</v>
      </c>
      <c r="K330" s="391" t="s">
        <v>1637</v>
      </c>
      <c r="L330" s="391" t="s">
        <v>1632</v>
      </c>
      <c r="M330" s="3" t="str">
        <f>CONCATENATE(Tabela11[[#This Row],[Painel 1]]&amp;" "&amp;Tabela11[[#This Row],[Painel 2]])</f>
        <v>7HV-BNC LI-1203A</v>
      </c>
      <c r="N330" s="157">
        <v>16</v>
      </c>
      <c r="O330" s="391">
        <f>COUNTIF(Tabela12[Tag Cabo],Tabela11[[#This Row],[Tag do Cabo]])</f>
        <v>16</v>
      </c>
      <c r="P330" s="391" t="str">
        <f>IF(Tabela11[[#This Row],[Qtde Ligações]]&lt;&gt;Tabela11[[#This Row],[Qtde Anilhas]],"Ver","Ok")</f>
        <v>Ok</v>
      </c>
      <c r="Q330" s="391">
        <f>VLOOKUP(Tabela11[[#This Row],[Tag do Cabo]],BD!A:F,6,0)</f>
        <v>1</v>
      </c>
      <c r="R330" s="391">
        <f>SUMIF('Lançamento de Cabos'!AE:AE,Tabela11[[#This Row],[Tag do Cabo]],'Lançamento de Cabos'!AG:AG)</f>
        <v>0</v>
      </c>
      <c r="S330" s="28">
        <f>Tabela11[[#This Row],[Ligações Realizadas]]/Tabela11[[#This Row],[Qtde Ligações]]</f>
        <v>0</v>
      </c>
      <c r="T330" s="269">
        <f>IF(Tabela11[[#This Row],[Ligações Realizadas]]/Tabela11[[#This Row],[Qtde Ligações]]=0,0,IF(Tabela11[[#This Row],[Ligações Realizadas]]/Tabela11[[#This Row],[Qtde Ligações]]=1,ROUND(N330/2,0),"Ver Painel"))</f>
        <v>0</v>
      </c>
      <c r="U330" s="23">
        <f>IF(Tabela11[[#This Row],[Ligações Realizadas]]/Tabela11[[#This Row],[Qtde Ligações]]=0,0,IF(Tabela11[[#This Row],[Ligações Realizadas]]/Tabela11[[#This Row],[Qtde Ligações]]=1,ROUND(N330/2,0),"Ver Painel"))</f>
        <v>0</v>
      </c>
      <c r="V330" s="222"/>
    </row>
    <row r="331" spans="1:22" hidden="1" x14ac:dyDescent="0.25">
      <c r="A331" s="34" t="s">
        <v>604</v>
      </c>
      <c r="B331" s="391" t="str">
        <f>VLOOKUP(Tabela11[[#This Row],[Tag do Cabo]],BD!A:AJ,2,0)</f>
        <v>Controle</v>
      </c>
      <c r="C331" s="3" t="str">
        <f>VLOOKUP(Tabela11[[#This Row],[Tag do Cabo]],BD!A:AJ,5,0)</f>
        <v>1P#1,0mm²+SHI (N.I.S.)</v>
      </c>
      <c r="D331" s="391" t="s">
        <v>1542</v>
      </c>
      <c r="E331" s="391" t="str">
        <f>VLOOKUP(Tabela11[[#This Row],[Tag do Cabo]],BD!A:T,20,0)</f>
        <v>BK-SP54-01200-LC-80-00004_00000</v>
      </c>
      <c r="F331" s="3" t="str">
        <f>IF(VLOOKUP(Tabela11[[#This Row],[Tag do Cabo]],BD!A:AJ,35,0)=0,"Pendente",VLOOKUP(Tabela11[[#This Row],[Tag do Cabo]],BD!A:AJ,35,0))</f>
        <v>SOK0898310</v>
      </c>
      <c r="G331" s="3">
        <f>IF(VLOOKUP(Tabela11[[#This Row],[Tag do Cabo]],BD!A:AJ,36,0)=0,"Pendente",VLOOKUP(Tabela11[[#This Row],[Tag do Cabo]],BD!A:AJ,36,0))</f>
        <v>41</v>
      </c>
      <c r="H331" s="391" t="str">
        <f>VLOOKUP(Tabela11[[#This Row],[Tag do Cabo]],BD!A:AJ,32,0)</f>
        <v>7HVx30LV</v>
      </c>
      <c r="I331" s="7" t="str">
        <f>VLOOKUP(Tabela11[[#This Row],[Tag do Cabo]],BD!A:AJ,11,0)</f>
        <v>7HV/TR-26A</v>
      </c>
      <c r="J331" s="3" t="str">
        <f>VLOOKUP(Tabela11[[#This Row],[Tag do Cabo]],BD!A:AJ,12,0)</f>
        <v>30LV/UCP LI-1203A</v>
      </c>
      <c r="K331" s="391" t="s">
        <v>1559</v>
      </c>
      <c r="L331" s="391" t="s">
        <v>1632</v>
      </c>
      <c r="M331" s="3" t="str">
        <f>CONCATENATE(Tabela11[[#This Row],[Painel 1]]&amp;" "&amp;Tabela11[[#This Row],[Painel 2]])</f>
        <v>TR-26A LI-1203A</v>
      </c>
      <c r="N331" s="157">
        <v>4</v>
      </c>
      <c r="O331" s="391">
        <f>COUNTIF(Tabela12[Tag Cabo],Tabela11[[#This Row],[Tag do Cabo]])</f>
        <v>4</v>
      </c>
      <c r="P331" s="391" t="str">
        <f>IF(Tabela11[[#This Row],[Qtde Ligações]]&lt;&gt;Tabela11[[#This Row],[Qtde Anilhas]],"Ver","Ok")</f>
        <v>Ok</v>
      </c>
      <c r="Q331" s="391">
        <f>VLOOKUP(Tabela11[[#This Row],[Tag do Cabo]],BD!A:F,6,0)</f>
        <v>1</v>
      </c>
      <c r="R331" s="391">
        <f>SUMIF('Lançamento de Cabos'!AE:AE,Tabela11[[#This Row],[Tag do Cabo]],'Lançamento de Cabos'!AG:AG)</f>
        <v>0</v>
      </c>
      <c r="S331" s="28">
        <f>Tabela11[[#This Row],[Ligações Realizadas]]/Tabela11[[#This Row],[Qtde Ligações]]</f>
        <v>0</v>
      </c>
      <c r="T331" s="269">
        <f>IF(Tabela11[[#This Row],[Ligações Realizadas]]/Tabela11[[#This Row],[Qtde Ligações]]=0,0,IF(Tabela11[[#This Row],[Ligações Realizadas]]/Tabela11[[#This Row],[Qtde Ligações]]=1,ROUND(N331/2,0),"Ver Painel"))</f>
        <v>0</v>
      </c>
      <c r="U331" s="23">
        <f>IF(Tabela11[[#This Row],[Ligações Realizadas]]/Tabela11[[#This Row],[Qtde Ligações]]=0,0,IF(Tabela11[[#This Row],[Ligações Realizadas]]/Tabela11[[#This Row],[Qtde Ligações]]=1,ROUND(N331/2,0),"Ver Painel"))</f>
        <v>0</v>
      </c>
      <c r="V331" s="222"/>
    </row>
    <row r="332" spans="1:22" hidden="1" x14ac:dyDescent="0.25">
      <c r="A332" s="34" t="s">
        <v>606</v>
      </c>
      <c r="B332" s="391" t="str">
        <f>VLOOKUP(Tabela11[[#This Row],[Tag do Cabo]],BD!A:AJ,2,0)</f>
        <v>Controle</v>
      </c>
      <c r="C332" s="3" t="str">
        <f>VLOOKUP(Tabela11[[#This Row],[Tag do Cabo]],BD!A:AJ,5,0)</f>
        <v>1P#1,0mm²+SHI (N.I.S.)</v>
      </c>
      <c r="D332" s="391" t="s">
        <v>1542</v>
      </c>
      <c r="E332" s="391" t="str">
        <f>VLOOKUP(Tabela11[[#This Row],[Tag do Cabo]],BD!A:T,20,0)</f>
        <v>BK-SP54-01200-LC-80-00004_00000</v>
      </c>
      <c r="F332" s="3" t="str">
        <f>IF(VLOOKUP(Tabela11[[#This Row],[Tag do Cabo]],BD!A:AJ,35,0)=0,"Pendente",VLOOKUP(Tabela11[[#This Row],[Tag do Cabo]],BD!A:AJ,35,0))</f>
        <v>SOK0898310</v>
      </c>
      <c r="G332" s="3">
        <f>IF(VLOOKUP(Tabela11[[#This Row],[Tag do Cabo]],BD!A:AJ,36,0)=0,"Pendente",VLOOKUP(Tabela11[[#This Row],[Tag do Cabo]],BD!A:AJ,36,0))</f>
        <v>41</v>
      </c>
      <c r="H332" s="391" t="str">
        <f>VLOOKUP(Tabela11[[#This Row],[Tag do Cabo]],BD!A:AJ,32,0)</f>
        <v>7HVx30LV</v>
      </c>
      <c r="I332" s="7" t="str">
        <f>VLOOKUP(Tabela11[[#This Row],[Tag do Cabo]],BD!A:AJ,11,0)</f>
        <v>7HV/GBM-1203-INV</v>
      </c>
      <c r="J332" s="3" t="str">
        <f>VLOOKUP(Tabela11[[#This Row],[Tag do Cabo]],BD!A:AJ,12,0)</f>
        <v>30LV/UCP LI-1203A</v>
      </c>
      <c r="K332" s="391" t="s">
        <v>1560</v>
      </c>
      <c r="L332" s="391" t="s">
        <v>1632</v>
      </c>
      <c r="M332" s="3" t="str">
        <f>CONCATENATE(Tabela11[[#This Row],[Painel 1]]&amp;" "&amp;Tabela11[[#This Row],[Painel 2]])</f>
        <v>TR-26B LI-1203A</v>
      </c>
      <c r="N332" s="157">
        <v>4</v>
      </c>
      <c r="O332" s="391">
        <f>COUNTIF(Tabela12[Tag Cabo],Tabela11[[#This Row],[Tag do Cabo]])</f>
        <v>4</v>
      </c>
      <c r="P332" s="391" t="str">
        <f>IF(Tabela11[[#This Row],[Qtde Ligações]]&lt;&gt;Tabela11[[#This Row],[Qtde Anilhas]],"Ver","Ok")</f>
        <v>Ok</v>
      </c>
      <c r="Q332" s="391">
        <f>VLOOKUP(Tabela11[[#This Row],[Tag do Cabo]],BD!A:F,6,0)</f>
        <v>1</v>
      </c>
      <c r="R332" s="391">
        <f>SUMIF('Lançamento de Cabos'!AE:AE,Tabela11[[#This Row],[Tag do Cabo]],'Lançamento de Cabos'!AG:AG)</f>
        <v>0</v>
      </c>
      <c r="S332" s="28">
        <f>Tabela11[[#This Row],[Ligações Realizadas]]/Tabela11[[#This Row],[Qtde Ligações]]</f>
        <v>0</v>
      </c>
      <c r="T332" s="269">
        <f>IF(Tabela11[[#This Row],[Ligações Realizadas]]/Tabela11[[#This Row],[Qtde Ligações]]=0,0,IF(Tabela11[[#This Row],[Ligações Realizadas]]/Tabela11[[#This Row],[Qtde Ligações]]=1,ROUND(N332/2,0),"Ver Painel"))</f>
        <v>0</v>
      </c>
      <c r="U332" s="23">
        <f>IF(Tabela11[[#This Row],[Ligações Realizadas]]/Tabela11[[#This Row],[Qtde Ligações]]=0,0,IF(Tabela11[[#This Row],[Ligações Realizadas]]/Tabela11[[#This Row],[Qtde Ligações]]=1,ROUND(N332/2,0),"Ver Painel"))</f>
        <v>0</v>
      </c>
      <c r="V332" s="222"/>
    </row>
    <row r="333" spans="1:22" hidden="1" x14ac:dyDescent="0.25">
      <c r="A333" s="34" t="s">
        <v>607</v>
      </c>
      <c r="B333" s="391" t="str">
        <f>VLOOKUP(Tabela11[[#This Row],[Tag do Cabo]],BD!A:AJ,2,0)</f>
        <v>Controle</v>
      </c>
      <c r="C333" s="3" t="str">
        <f>VLOOKUP(Tabela11[[#This Row],[Tag do Cabo]],BD!A:AJ,5,0)</f>
        <v>8P#1,0mm²+SHI+SHC (N.I.S.)</v>
      </c>
      <c r="D333" s="391" t="s">
        <v>1542</v>
      </c>
      <c r="E333" s="391" t="str">
        <f>VLOOKUP(Tabela11[[#This Row],[Tag do Cabo]],BD!A:T,20,0)</f>
        <v>BK-SP54-01200-LC-80-00004_00000</v>
      </c>
      <c r="F333" s="3" t="str">
        <f>IF(VLOOKUP(Tabela11[[#This Row],[Tag do Cabo]],BD!A:AJ,35,0)=0,"Pendente",VLOOKUP(Tabela11[[#This Row],[Tag do Cabo]],BD!A:AJ,35,0))</f>
        <v>SOK0898307</v>
      </c>
      <c r="G333" s="3">
        <f>IF(VLOOKUP(Tabela11[[#This Row],[Tag do Cabo]],BD!A:AJ,36,0)=0,"Pendente",VLOOKUP(Tabela11[[#This Row],[Tag do Cabo]],BD!A:AJ,36,0))</f>
        <v>10</v>
      </c>
      <c r="H333" s="391" t="str">
        <f>VLOOKUP(Tabela11[[#This Row],[Tag do Cabo]],BD!A:AJ,32,0)</f>
        <v>7HVx30LV</v>
      </c>
      <c r="I333" s="7" t="str">
        <f>VLOOKUP(Tabela11[[#This Row],[Tag do Cabo]],BD!A:AJ,11,0)</f>
        <v>7HV/GBM-1201-INV</v>
      </c>
      <c r="J333" s="3" t="str">
        <f>VLOOKUP(Tabela11[[#This Row],[Tag do Cabo]],BD!A:AJ,12,0)</f>
        <v>30LV/UCP LI-1201A</v>
      </c>
      <c r="K333" s="391" t="s">
        <v>1588</v>
      </c>
      <c r="L333" s="391" t="s">
        <v>1635</v>
      </c>
      <c r="M333" s="3" t="str">
        <f>CONCATENATE(Tabela11[[#This Row],[Painel 1]]&amp;" "&amp;Tabela11[[#This Row],[Painel 2]])</f>
        <v>GB-1201-INV LI-1201A</v>
      </c>
      <c r="N333" s="157">
        <v>24</v>
      </c>
      <c r="O333" s="391">
        <f>COUNTIF(Tabela12[Tag Cabo],Tabela11[[#This Row],[Tag do Cabo]])</f>
        <v>24</v>
      </c>
      <c r="P333" s="391" t="str">
        <f>IF(Tabela11[[#This Row],[Qtde Ligações]]&lt;&gt;Tabela11[[#This Row],[Qtde Anilhas]],"Ver","Ok")</f>
        <v>Ok</v>
      </c>
      <c r="Q333" s="391">
        <f>VLOOKUP(Tabela11[[#This Row],[Tag do Cabo]],BD!A:F,6,0)</f>
        <v>1</v>
      </c>
      <c r="R333" s="391">
        <f>SUMIF('Lançamento de Cabos'!AE:AE,Tabela11[[#This Row],[Tag do Cabo]],'Lançamento de Cabos'!AG:AG)</f>
        <v>0</v>
      </c>
      <c r="S333" s="28">
        <f>Tabela11[[#This Row],[Ligações Realizadas]]/Tabela11[[#This Row],[Qtde Ligações]]</f>
        <v>0</v>
      </c>
      <c r="T333" s="269">
        <f>IF(Tabela11[[#This Row],[Ligações Realizadas]]/Tabela11[[#This Row],[Qtde Ligações]]=0,0,IF(Tabela11[[#This Row],[Ligações Realizadas]]/Tabela11[[#This Row],[Qtde Ligações]]=1,ROUND(N333/2,0),"Ver Painel"))</f>
        <v>0</v>
      </c>
      <c r="U333" s="23">
        <f>IF(Tabela11[[#This Row],[Ligações Realizadas]]/Tabela11[[#This Row],[Qtde Ligações]]=0,0,IF(Tabela11[[#This Row],[Ligações Realizadas]]/Tabela11[[#This Row],[Qtde Ligações]]=1,ROUND(N333/2,0),"Ver Painel"))</f>
        <v>0</v>
      </c>
      <c r="V333" s="222"/>
    </row>
    <row r="334" spans="1:22" hidden="1" x14ac:dyDescent="0.25">
      <c r="A334" s="34" t="s">
        <v>611</v>
      </c>
      <c r="B334" s="391" t="str">
        <f>VLOOKUP(Tabela11[[#This Row],[Tag do Cabo]],BD!A:AJ,2,0)</f>
        <v>Controle</v>
      </c>
      <c r="C334" s="3" t="str">
        <f>VLOOKUP(Tabela11[[#This Row],[Tag do Cabo]],BD!A:AJ,5,0)</f>
        <v>12P#1,0mm²+SHI+SHC (N.I.S.)</v>
      </c>
      <c r="D334" s="391" t="s">
        <v>1542</v>
      </c>
      <c r="E334" s="391" t="str">
        <f>VLOOKUP(Tabela11[[#This Row],[Tag do Cabo]],BD!A:T,20,0)</f>
        <v>BK-SP54-01200-LC-80-00004_00000</v>
      </c>
      <c r="F334" s="3" t="str">
        <f>IF(VLOOKUP(Tabela11[[#This Row],[Tag do Cabo]],BD!A:AJ,35,0)=0,"Pendente",VLOOKUP(Tabela11[[#This Row],[Tag do Cabo]],BD!A:AJ,35,0))</f>
        <v>SOK0898307</v>
      </c>
      <c r="G334" s="3">
        <f>IF(VLOOKUP(Tabela11[[#This Row],[Tag do Cabo]],BD!A:AJ,36,0)=0,"Pendente",VLOOKUP(Tabela11[[#This Row],[Tag do Cabo]],BD!A:AJ,36,0))</f>
        <v>39</v>
      </c>
      <c r="H334" s="391" t="str">
        <f>VLOOKUP(Tabela11[[#This Row],[Tag do Cabo]],BD!A:AJ,32,0)</f>
        <v>7HVx30LV</v>
      </c>
      <c r="I334" s="7" t="str">
        <f>VLOOKUP(Tabela11[[#This Row],[Tag do Cabo]],BD!A:AJ,11,0)</f>
        <v>7HV/GBM-1201-INV</v>
      </c>
      <c r="J334" s="3" t="str">
        <f>VLOOKUP(Tabela11[[#This Row],[Tag do Cabo]],BD!A:AJ,12,0)</f>
        <v>30LV/UCP LI-1201A</v>
      </c>
      <c r="K334" s="391" t="s">
        <v>1588</v>
      </c>
      <c r="L334" s="391" t="s">
        <v>1635</v>
      </c>
      <c r="M334" s="3" t="str">
        <f>CONCATENATE(Tabela11[[#This Row],[Painel 1]]&amp;" "&amp;Tabela11[[#This Row],[Painel 2]])</f>
        <v>GB-1201-INV LI-1201A</v>
      </c>
      <c r="N334" s="157">
        <v>32</v>
      </c>
      <c r="O334" s="391">
        <f>COUNTIF(Tabela12[Tag Cabo],Tabela11[[#This Row],[Tag do Cabo]])</f>
        <v>32</v>
      </c>
      <c r="P334" s="391" t="str">
        <f>IF(Tabela11[[#This Row],[Qtde Ligações]]&lt;&gt;Tabela11[[#This Row],[Qtde Anilhas]],"Ver","Ok")</f>
        <v>Ok</v>
      </c>
      <c r="Q334" s="391">
        <f>VLOOKUP(Tabela11[[#This Row],[Tag do Cabo]],BD!A:F,6,0)</f>
        <v>1</v>
      </c>
      <c r="R334" s="391">
        <f>SUMIF('Lançamento de Cabos'!AE:AE,Tabela11[[#This Row],[Tag do Cabo]],'Lançamento de Cabos'!AG:AG)</f>
        <v>0</v>
      </c>
      <c r="S334" s="28">
        <f>Tabela11[[#This Row],[Ligações Realizadas]]/Tabela11[[#This Row],[Qtde Ligações]]</f>
        <v>0</v>
      </c>
      <c r="T334" s="269">
        <f>IF(Tabela11[[#This Row],[Ligações Realizadas]]/Tabela11[[#This Row],[Qtde Ligações]]=0,0,IF(Tabela11[[#This Row],[Ligações Realizadas]]/Tabela11[[#This Row],[Qtde Ligações]]=1,ROUND(N334/2,0),"Ver Painel"))</f>
        <v>0</v>
      </c>
      <c r="U334" s="23">
        <f>IF(Tabela11[[#This Row],[Ligações Realizadas]]/Tabela11[[#This Row],[Qtde Ligações]]=0,0,IF(Tabela11[[#This Row],[Ligações Realizadas]]/Tabela11[[#This Row],[Qtde Ligações]]=1,ROUND(N334/2,0),"Ver Painel"))</f>
        <v>0</v>
      </c>
      <c r="V334" s="222"/>
    </row>
    <row r="335" spans="1:22" hidden="1" x14ac:dyDescent="0.25">
      <c r="A335" s="34" t="s">
        <v>613</v>
      </c>
      <c r="B335" s="391" t="str">
        <f>VLOOKUP(Tabela11[[#This Row],[Tag do Cabo]],BD!A:AJ,2,0)</f>
        <v>Controle</v>
      </c>
      <c r="C335" s="3" t="str">
        <f>VLOOKUP(Tabela11[[#This Row],[Tag do Cabo]],BD!A:AJ,5,0)</f>
        <v>12P#1,0mm²+SHI+SHC (N.I.S.)</v>
      </c>
      <c r="D335" s="391" t="s">
        <v>1542</v>
      </c>
      <c r="E335" s="391" t="str">
        <f>VLOOKUP(Tabela11[[#This Row],[Tag do Cabo]],BD!A:T,20,0)</f>
        <v>BK-SP54-01200-LC-80-00004_00000</v>
      </c>
      <c r="F335" s="3" t="str">
        <f>IF(VLOOKUP(Tabela11[[#This Row],[Tag do Cabo]],BD!A:AJ,35,0)=0,"Pendente",VLOOKUP(Tabela11[[#This Row],[Tag do Cabo]],BD!A:AJ,35,0))</f>
        <v>SOK0898307</v>
      </c>
      <c r="G335" s="3">
        <f>IF(VLOOKUP(Tabela11[[#This Row],[Tag do Cabo]],BD!A:AJ,36,0)=0,"Pendente",VLOOKUP(Tabela11[[#This Row],[Tag do Cabo]],BD!A:AJ,36,0))</f>
        <v>40</v>
      </c>
      <c r="H335" s="391" t="str">
        <f>VLOOKUP(Tabela11[[#This Row],[Tag do Cabo]],BD!A:AJ,32,0)</f>
        <v>7HVx30LV</v>
      </c>
      <c r="I335" s="7" t="str">
        <f>VLOOKUP(Tabela11[[#This Row],[Tag do Cabo]],BD!A:AJ,11,0)</f>
        <v xml:space="preserve">7HV/AMB-GB-1201 </v>
      </c>
      <c r="J335" s="3" t="str">
        <f>VLOOKUP(Tabela11[[#This Row],[Tag do Cabo]],BD!A:AJ,12,0)</f>
        <v>30LV/UCP LI-1201A</v>
      </c>
      <c r="K335" s="391" t="s">
        <v>730</v>
      </c>
      <c r="L335" s="391" t="s">
        <v>1635</v>
      </c>
      <c r="M335" s="3" t="str">
        <f>CONCATENATE(Tabela11[[#This Row],[Painel 1]]&amp;" "&amp;Tabela11[[#This Row],[Painel 2]])</f>
        <v>JBI-120-103X LI-1201A</v>
      </c>
      <c r="N335" s="157">
        <v>30</v>
      </c>
      <c r="O335" s="391">
        <f>COUNTIF(Tabela12[Tag Cabo],Tabela11[[#This Row],[Tag do Cabo]])</f>
        <v>30</v>
      </c>
      <c r="P335" s="391" t="str">
        <f>IF(Tabela11[[#This Row],[Qtde Ligações]]&lt;&gt;Tabela11[[#This Row],[Qtde Anilhas]],"Ver","Ok")</f>
        <v>Ok</v>
      </c>
      <c r="Q335" s="391">
        <f>VLOOKUP(Tabela11[[#This Row],[Tag do Cabo]],BD!A:F,6,0)</f>
        <v>1</v>
      </c>
      <c r="R335" s="391">
        <f>SUMIF('Lançamento de Cabos'!AE:AE,Tabela11[[#This Row],[Tag do Cabo]],'Lançamento de Cabos'!AG:AG)</f>
        <v>0</v>
      </c>
      <c r="S335" s="28">
        <f>Tabela11[[#This Row],[Ligações Realizadas]]/Tabela11[[#This Row],[Qtde Ligações]]</f>
        <v>0</v>
      </c>
      <c r="T335" s="269">
        <f>IF(Tabela11[[#This Row],[Ligações Realizadas]]/Tabela11[[#This Row],[Qtde Ligações]]=0,0,IF(Tabela11[[#This Row],[Ligações Realizadas]]/Tabela11[[#This Row],[Qtde Ligações]]=1,ROUND(N335/2,0),"Ver Painel"))</f>
        <v>0</v>
      </c>
      <c r="U335" s="23">
        <f>IF(Tabela11[[#This Row],[Ligações Realizadas]]/Tabela11[[#This Row],[Qtde Ligações]]=0,0,IF(Tabela11[[#This Row],[Ligações Realizadas]]/Tabela11[[#This Row],[Qtde Ligações]]=1,ROUND(N335/2,0),"Ver Painel"))</f>
        <v>0</v>
      </c>
      <c r="V335" s="219" t="s">
        <v>1638</v>
      </c>
    </row>
    <row r="336" spans="1:22" hidden="1" x14ac:dyDescent="0.25">
      <c r="A336" s="34" t="s">
        <v>615</v>
      </c>
      <c r="B336" s="391" t="str">
        <f>VLOOKUP(Tabela11[[#This Row],[Tag do Cabo]],BD!A:AJ,2,0)</f>
        <v>Controle</v>
      </c>
      <c r="C336" s="3" t="str">
        <f>VLOOKUP(Tabela11[[#This Row],[Tag do Cabo]],BD!A:AJ,5,0)</f>
        <v>4P#1,0mm²+SHI+SHC (N.I.S.)</v>
      </c>
      <c r="D336" s="391" t="s">
        <v>1542</v>
      </c>
      <c r="E336" s="391" t="str">
        <f>VLOOKUP(Tabela11[[#This Row],[Tag do Cabo]],BD!A:T,20,0)</f>
        <v>BK-SP54-01200-LC-80-00004_00000</v>
      </c>
      <c r="F336" s="3" t="str">
        <f>IF(VLOOKUP(Tabela11[[#This Row],[Tag do Cabo]],BD!A:AJ,35,0)=0,"Pendente",VLOOKUP(Tabela11[[#This Row],[Tag do Cabo]],BD!A:AJ,35,0))</f>
        <v>SOK0898307</v>
      </c>
      <c r="G336" s="3">
        <f>IF(VLOOKUP(Tabela11[[#This Row],[Tag do Cabo]],BD!A:AJ,36,0)=0,"Pendente",VLOOKUP(Tabela11[[#This Row],[Tag do Cabo]],BD!A:AJ,36,0))</f>
        <v>27</v>
      </c>
      <c r="H336" s="391" t="str">
        <f>VLOOKUP(Tabela11[[#This Row],[Tag do Cabo]],BD!A:AJ,32,0)</f>
        <v>7HVx30LV</v>
      </c>
      <c r="I336" s="7" t="str">
        <f>VLOOKUP(Tabela11[[#This Row],[Tag do Cabo]],BD!A:AJ,11,0)</f>
        <v>7HV/TCC-49</v>
      </c>
      <c r="J336" s="3" t="str">
        <f>VLOOKUP(Tabela11[[#This Row],[Tag do Cabo]],BD!A:AJ,12,0)</f>
        <v>30LV/UCP LI-1201A</v>
      </c>
      <c r="K336" s="391" t="s">
        <v>1543</v>
      </c>
      <c r="L336" s="391" t="s">
        <v>1635</v>
      </c>
      <c r="M336" s="3" t="str">
        <f>CONCATENATE(Tabela11[[#This Row],[Painel 1]]&amp;" "&amp;Tabela11[[#This Row],[Painel 2]])</f>
        <v>TCC-49 LI-1201A</v>
      </c>
      <c r="N336" s="157">
        <v>12</v>
      </c>
      <c r="O336" s="391">
        <f>COUNTIF(Tabela12[Tag Cabo],Tabela11[[#This Row],[Tag do Cabo]])</f>
        <v>12</v>
      </c>
      <c r="P336" s="391" t="str">
        <f>IF(Tabela11[[#This Row],[Qtde Ligações]]&lt;&gt;Tabela11[[#This Row],[Qtde Anilhas]],"Ver","Ok")</f>
        <v>Ok</v>
      </c>
      <c r="Q336" s="391">
        <f>VLOOKUP(Tabela11[[#This Row],[Tag do Cabo]],BD!A:F,6,0)</f>
        <v>1</v>
      </c>
      <c r="R336" s="391">
        <f>SUMIF('Lançamento de Cabos'!AE:AE,Tabela11[[#This Row],[Tag do Cabo]],'Lançamento de Cabos'!AG:AG)</f>
        <v>0</v>
      </c>
      <c r="S336" s="28">
        <f>Tabela11[[#This Row],[Ligações Realizadas]]/Tabela11[[#This Row],[Qtde Ligações]]</f>
        <v>0</v>
      </c>
      <c r="T336" s="269">
        <f>IF(Tabela11[[#This Row],[Ligações Realizadas]]/Tabela11[[#This Row],[Qtde Ligações]]=0,0,IF(Tabela11[[#This Row],[Ligações Realizadas]]/Tabela11[[#This Row],[Qtde Ligações]]=1,ROUND(N336/2,0),"Ver Painel"))</f>
        <v>0</v>
      </c>
      <c r="U336" s="23">
        <f>IF(Tabela11[[#This Row],[Ligações Realizadas]]/Tabela11[[#This Row],[Qtde Ligações]]=0,0,IF(Tabela11[[#This Row],[Ligações Realizadas]]/Tabela11[[#This Row],[Qtde Ligações]]=1,ROUND(N336/2,0),"Ver Painel"))</f>
        <v>0</v>
      </c>
      <c r="V336" s="222"/>
    </row>
    <row r="337" spans="1:22" hidden="1" x14ac:dyDescent="0.25">
      <c r="A337" s="34" t="s">
        <v>617</v>
      </c>
      <c r="B337" s="391" t="str">
        <f>VLOOKUP(Tabela11[[#This Row],[Tag do Cabo]],BD!A:AJ,2,0)</f>
        <v>Controle</v>
      </c>
      <c r="C337" s="3" t="str">
        <f>VLOOKUP(Tabela11[[#This Row],[Tag do Cabo]],BD!A:AJ,5,0)</f>
        <v>4P#1,0mm²+SHI+SHC (N.I.S.)</v>
      </c>
      <c r="D337" s="391" t="s">
        <v>1542</v>
      </c>
      <c r="E337" s="391" t="str">
        <f>VLOOKUP(Tabela11[[#This Row],[Tag do Cabo]],BD!A:T,20,0)</f>
        <v>BK-SP54-01200-LC-80-00004_00000</v>
      </c>
      <c r="F337" s="3" t="str">
        <f>IF(VLOOKUP(Tabela11[[#This Row],[Tag do Cabo]],BD!A:AJ,35,0)=0,"Pendente",VLOOKUP(Tabela11[[#This Row],[Tag do Cabo]],BD!A:AJ,35,0))</f>
        <v>SOK0898307</v>
      </c>
      <c r="G337" s="3">
        <f>IF(VLOOKUP(Tabela11[[#This Row],[Tag do Cabo]],BD!A:AJ,36,0)=0,"Pendente",VLOOKUP(Tabela11[[#This Row],[Tag do Cabo]],BD!A:AJ,36,0))</f>
        <v>27</v>
      </c>
      <c r="H337" s="391" t="str">
        <f>VLOOKUP(Tabela11[[#This Row],[Tag do Cabo]],BD!A:AJ,32,0)</f>
        <v>7HVx30LV</v>
      </c>
      <c r="I337" s="7" t="str">
        <f>VLOOKUP(Tabela11[[#This Row],[Tag do Cabo]],BD!A:AJ,11,0)</f>
        <v>7HV/TCC-49</v>
      </c>
      <c r="J337" s="3" t="str">
        <f>VLOOKUP(Tabela11[[#This Row],[Tag do Cabo]],BD!A:AJ,12,0)</f>
        <v>30LV/UCP LI-1201A</v>
      </c>
      <c r="K337" s="391" t="s">
        <v>1543</v>
      </c>
      <c r="L337" s="391" t="s">
        <v>1635</v>
      </c>
      <c r="M337" s="3" t="str">
        <f>CONCATENATE(Tabela11[[#This Row],[Painel 1]]&amp;" "&amp;Tabela11[[#This Row],[Painel 2]])</f>
        <v>TCC-49 LI-1201A</v>
      </c>
      <c r="N337" s="157">
        <v>12</v>
      </c>
      <c r="O337" s="391">
        <f>COUNTIF(Tabela12[Tag Cabo],Tabela11[[#This Row],[Tag do Cabo]])</f>
        <v>12</v>
      </c>
      <c r="P337" s="391" t="str">
        <f>IF(Tabela11[[#This Row],[Qtde Ligações]]&lt;&gt;Tabela11[[#This Row],[Qtde Anilhas]],"Ver","Ok")</f>
        <v>Ok</v>
      </c>
      <c r="Q337" s="391">
        <f>VLOOKUP(Tabela11[[#This Row],[Tag do Cabo]],BD!A:F,6,0)</f>
        <v>1</v>
      </c>
      <c r="R337" s="391">
        <f>SUMIF('Lançamento de Cabos'!AE:AE,Tabela11[[#This Row],[Tag do Cabo]],'Lançamento de Cabos'!AG:AG)</f>
        <v>0</v>
      </c>
      <c r="S337" s="28">
        <f>Tabela11[[#This Row],[Ligações Realizadas]]/Tabela11[[#This Row],[Qtde Ligações]]</f>
        <v>0</v>
      </c>
      <c r="T337" s="269">
        <f>IF(Tabela11[[#This Row],[Ligações Realizadas]]/Tabela11[[#This Row],[Qtde Ligações]]=0,0,IF(Tabela11[[#This Row],[Ligações Realizadas]]/Tabela11[[#This Row],[Qtde Ligações]]=1,ROUND(N337/2,0),"Ver Painel"))</f>
        <v>0</v>
      </c>
      <c r="U337" s="23">
        <f>IF(Tabela11[[#This Row],[Ligações Realizadas]]/Tabela11[[#This Row],[Qtde Ligações]]=0,0,IF(Tabela11[[#This Row],[Ligações Realizadas]]/Tabela11[[#This Row],[Qtde Ligações]]=1,ROUND(N337/2,0),"Ver Painel"))</f>
        <v>0</v>
      </c>
      <c r="V337" s="222"/>
    </row>
    <row r="338" spans="1:22" hidden="1" x14ac:dyDescent="0.25">
      <c r="A338" s="34" t="s">
        <v>618</v>
      </c>
      <c r="B338" s="391" t="str">
        <f>VLOOKUP(Tabela11[[#This Row],[Tag do Cabo]],BD!A:AJ,2,0)</f>
        <v>Controle</v>
      </c>
      <c r="C338" s="3" t="str">
        <f>VLOOKUP(Tabela11[[#This Row],[Tag do Cabo]],BD!A:AJ,5,0)</f>
        <v>2P#1,0mm²+SHI+SHC (N.I.S.)</v>
      </c>
      <c r="D338" s="391" t="s">
        <v>1542</v>
      </c>
      <c r="E338" s="391" t="str">
        <f>VLOOKUP(Tabela11[[#This Row],[Tag do Cabo]],BD!A:T,20,0)</f>
        <v>BK-SP54-01200-LC-80-00004_00000</v>
      </c>
      <c r="F338" s="3" t="str">
        <f>IF(VLOOKUP(Tabela11[[#This Row],[Tag do Cabo]],BD!A:AJ,35,0)=0,"Pendente",VLOOKUP(Tabela11[[#This Row],[Tag do Cabo]],BD!A:AJ,35,0))</f>
        <v>SOK0898307</v>
      </c>
      <c r="G338" s="3">
        <f>IF(VLOOKUP(Tabela11[[#This Row],[Tag do Cabo]],BD!A:AJ,36,0)=0,"Pendente",VLOOKUP(Tabela11[[#This Row],[Tag do Cabo]],BD!A:AJ,36,0))</f>
        <v>28</v>
      </c>
      <c r="H338" s="391" t="str">
        <f>VLOOKUP(Tabela11[[#This Row],[Tag do Cabo]],BD!A:AJ,32,0)</f>
        <v>7HVx30LV</v>
      </c>
      <c r="I338" s="7" t="str">
        <f>VLOOKUP(Tabela11[[#This Row],[Tag do Cabo]],BD!A:AJ,11,0)</f>
        <v>7HV/TCC-49</v>
      </c>
      <c r="J338" s="3" t="str">
        <f>VLOOKUP(Tabela11[[#This Row],[Tag do Cabo]],BD!A:AJ,12,0)</f>
        <v>30LV/UCP LI-1201A</v>
      </c>
      <c r="K338" s="391" t="s">
        <v>1543</v>
      </c>
      <c r="L338" s="391" t="s">
        <v>1635</v>
      </c>
      <c r="M338" s="3" t="str">
        <f>CONCATENATE(Tabela11[[#This Row],[Painel 1]]&amp;" "&amp;Tabela11[[#This Row],[Painel 2]])</f>
        <v>TCC-49 LI-1201A</v>
      </c>
      <c r="N338" s="157">
        <v>8</v>
      </c>
      <c r="O338" s="391">
        <f>COUNTIF(Tabela12[Tag Cabo],Tabela11[[#This Row],[Tag do Cabo]])</f>
        <v>8</v>
      </c>
      <c r="P338" s="391" t="str">
        <f>IF(Tabela11[[#This Row],[Qtde Ligações]]&lt;&gt;Tabela11[[#This Row],[Qtde Anilhas]],"Ver","Ok")</f>
        <v>Ok</v>
      </c>
      <c r="Q338" s="391">
        <f>VLOOKUP(Tabela11[[#This Row],[Tag do Cabo]],BD!A:F,6,0)</f>
        <v>1</v>
      </c>
      <c r="R338" s="391">
        <f>SUMIF('Lançamento de Cabos'!AE:AE,Tabela11[[#This Row],[Tag do Cabo]],'Lançamento de Cabos'!AG:AG)</f>
        <v>0</v>
      </c>
      <c r="S338" s="28">
        <f>Tabela11[[#This Row],[Ligações Realizadas]]/Tabela11[[#This Row],[Qtde Ligações]]</f>
        <v>0</v>
      </c>
      <c r="T338" s="269">
        <f>IF(Tabela11[[#This Row],[Ligações Realizadas]]/Tabela11[[#This Row],[Qtde Ligações]]=0,0,IF(Tabela11[[#This Row],[Ligações Realizadas]]/Tabela11[[#This Row],[Qtde Ligações]]=1,ROUND(N338/2,0),"Ver Painel"))</f>
        <v>0</v>
      </c>
      <c r="U338" s="23">
        <f>IF(Tabela11[[#This Row],[Ligações Realizadas]]/Tabela11[[#This Row],[Qtde Ligações]]=0,0,IF(Tabela11[[#This Row],[Ligações Realizadas]]/Tabela11[[#This Row],[Qtde Ligações]]=1,ROUND(N338/2,0),"Ver Painel"))</f>
        <v>0</v>
      </c>
      <c r="V338" s="222"/>
    </row>
    <row r="339" spans="1:22" hidden="1" x14ac:dyDescent="0.25">
      <c r="A339" s="34" t="s">
        <v>619</v>
      </c>
      <c r="B339" s="391" t="str">
        <f>VLOOKUP(Tabela11[[#This Row],[Tag do Cabo]],BD!A:AJ,2,0)</f>
        <v>Controle</v>
      </c>
      <c r="C339" s="3" t="str">
        <f>VLOOKUP(Tabela11[[#This Row],[Tag do Cabo]],BD!A:AJ,5,0)</f>
        <v>4P#1,0mm²+SHI+SHC (N.I.S.)</v>
      </c>
      <c r="D339" s="391" t="s">
        <v>1542</v>
      </c>
      <c r="E339" s="391" t="str">
        <f>VLOOKUP(Tabela11[[#This Row],[Tag do Cabo]],BD!A:T,20,0)</f>
        <v>BK-SP54-01200-LC-80-00004_00000</v>
      </c>
      <c r="F339" s="3" t="str">
        <f>IF(VLOOKUP(Tabela11[[#This Row],[Tag do Cabo]],BD!A:AJ,35,0)=0,"Pendente",VLOOKUP(Tabela11[[#This Row],[Tag do Cabo]],BD!A:AJ,35,0))</f>
        <v>SOK0898307</v>
      </c>
      <c r="G339" s="3">
        <f>IF(VLOOKUP(Tabela11[[#This Row],[Tag do Cabo]],BD!A:AJ,36,0)=0,"Pendente",VLOOKUP(Tabela11[[#This Row],[Tag do Cabo]],BD!A:AJ,36,0))</f>
        <v>28</v>
      </c>
      <c r="H339" s="391" t="str">
        <f>VLOOKUP(Tabela11[[#This Row],[Tag do Cabo]],BD!A:AJ,32,0)</f>
        <v>7HVx30LV</v>
      </c>
      <c r="I339" s="7" t="str">
        <f>VLOOKUP(Tabela11[[#This Row],[Tag do Cabo]],BD!A:AJ,11,0)</f>
        <v>7HV/TCC-49</v>
      </c>
      <c r="J339" s="3" t="str">
        <f>VLOOKUP(Tabela11[[#This Row],[Tag do Cabo]],BD!A:AJ,12,0)</f>
        <v>30LV/UCP LI-1201A</v>
      </c>
      <c r="K339" s="391" t="s">
        <v>1543</v>
      </c>
      <c r="L339" s="391" t="s">
        <v>1635</v>
      </c>
      <c r="M339" s="3" t="str">
        <f>CONCATENATE(Tabela11[[#This Row],[Painel 1]]&amp;" "&amp;Tabela11[[#This Row],[Painel 2]])</f>
        <v>TCC-49 LI-1201A</v>
      </c>
      <c r="N339" s="157">
        <v>8</v>
      </c>
      <c r="O339" s="391">
        <f>COUNTIF(Tabela12[Tag Cabo],Tabela11[[#This Row],[Tag do Cabo]])</f>
        <v>8</v>
      </c>
      <c r="P339" s="391" t="str">
        <f>IF(Tabela11[[#This Row],[Qtde Ligações]]&lt;&gt;Tabela11[[#This Row],[Qtde Anilhas]],"Ver","Ok")</f>
        <v>Ok</v>
      </c>
      <c r="Q339" s="391">
        <f>VLOOKUP(Tabela11[[#This Row],[Tag do Cabo]],BD!A:F,6,0)</f>
        <v>1</v>
      </c>
      <c r="R339" s="391">
        <f>SUMIF('Lançamento de Cabos'!AE:AE,Tabela11[[#This Row],[Tag do Cabo]],'Lançamento de Cabos'!AG:AG)</f>
        <v>0</v>
      </c>
      <c r="S339" s="28">
        <f>Tabela11[[#This Row],[Ligações Realizadas]]/Tabela11[[#This Row],[Qtde Ligações]]</f>
        <v>0</v>
      </c>
      <c r="T339" s="269">
        <f>IF(Tabela11[[#This Row],[Ligações Realizadas]]/Tabela11[[#This Row],[Qtde Ligações]]=0,0,IF(Tabela11[[#This Row],[Ligações Realizadas]]/Tabela11[[#This Row],[Qtde Ligações]]=1,ROUND(N339/2,0),"Ver Painel"))</f>
        <v>0</v>
      </c>
      <c r="U339" s="23">
        <f>IF(Tabela11[[#This Row],[Ligações Realizadas]]/Tabela11[[#This Row],[Qtde Ligações]]=0,0,IF(Tabela11[[#This Row],[Ligações Realizadas]]/Tabela11[[#This Row],[Qtde Ligações]]=1,ROUND(N339/2,0),"Ver Painel"))</f>
        <v>0</v>
      </c>
      <c r="V339" s="222"/>
    </row>
    <row r="340" spans="1:22" hidden="1" x14ac:dyDescent="0.25">
      <c r="A340" s="34" t="s">
        <v>621</v>
      </c>
      <c r="B340" s="391" t="str">
        <f>VLOOKUP(Tabela11[[#This Row],[Tag do Cabo]],BD!A:AJ,2,0)</f>
        <v>Controle</v>
      </c>
      <c r="C340" s="3" t="str">
        <f>VLOOKUP(Tabela11[[#This Row],[Tag do Cabo]],BD!A:AJ,5,0)</f>
        <v>8P#1,0mm²+SHI+SHC (N.I.S.)</v>
      </c>
      <c r="D340" s="391" t="s">
        <v>1542</v>
      </c>
      <c r="E340" s="391" t="str">
        <f>VLOOKUP(Tabela11[[#This Row],[Tag do Cabo]],BD!A:T,20,0)</f>
        <v>BK-SP54-01200-LC-80-00004_00000</v>
      </c>
      <c r="F340" s="3" t="str">
        <f>IF(VLOOKUP(Tabela11[[#This Row],[Tag do Cabo]],BD!A:AJ,35,0)=0,"Pendente",VLOOKUP(Tabela11[[#This Row],[Tag do Cabo]],BD!A:AJ,35,0))</f>
        <v>SOK0898307</v>
      </c>
      <c r="G340" s="3">
        <f>IF(VLOOKUP(Tabela11[[#This Row],[Tag do Cabo]],BD!A:AJ,36,0)=0,"Pendente",VLOOKUP(Tabela11[[#This Row],[Tag do Cabo]],BD!A:AJ,36,0))</f>
        <v>41</v>
      </c>
      <c r="H340" s="391" t="str">
        <f>VLOOKUP(Tabela11[[#This Row],[Tag do Cabo]],BD!A:AJ,32,0)</f>
        <v>7HVx30LV</v>
      </c>
      <c r="I340" s="7" t="str">
        <f>VLOOKUP(Tabela11[[#This Row],[Tag do Cabo]],BD!A:AJ,11,0)</f>
        <v>7HV/BNC</v>
      </c>
      <c r="J340" s="3" t="str">
        <f>VLOOKUP(Tabela11[[#This Row],[Tag do Cabo]],BD!A:AJ,12,0)</f>
        <v>30LV/UCP LI-1201A</v>
      </c>
      <c r="K340" s="391" t="s">
        <v>937</v>
      </c>
      <c r="L340" s="391" t="s">
        <v>1635</v>
      </c>
      <c r="M340" s="3" t="str">
        <f>CONCATENATE(Tabela11[[#This Row],[Painel 1]]&amp;" "&amp;Tabela11[[#This Row],[Painel 2]])</f>
        <v>PAINEL 7HV LI-1201A</v>
      </c>
      <c r="N340" s="157">
        <v>16</v>
      </c>
      <c r="O340" s="391">
        <f>COUNTIF(Tabela12[Tag Cabo],Tabela11[[#This Row],[Tag do Cabo]])</f>
        <v>16</v>
      </c>
      <c r="P340" s="391" t="str">
        <f>IF(Tabela11[[#This Row],[Qtde Ligações]]&lt;&gt;Tabela11[[#This Row],[Qtde Anilhas]],"Ver","Ok")</f>
        <v>Ok</v>
      </c>
      <c r="Q340" s="391">
        <f>VLOOKUP(Tabela11[[#This Row],[Tag do Cabo]],BD!A:F,6,0)</f>
        <v>1</v>
      </c>
      <c r="R340" s="391">
        <f>SUMIF('Lançamento de Cabos'!AE:AE,Tabela11[[#This Row],[Tag do Cabo]],'Lançamento de Cabos'!AG:AG)</f>
        <v>0</v>
      </c>
      <c r="S340" s="28">
        <f>Tabela11[[#This Row],[Ligações Realizadas]]/Tabela11[[#This Row],[Qtde Ligações]]</f>
        <v>0</v>
      </c>
      <c r="T340" s="269">
        <f>IF(Tabela11[[#This Row],[Ligações Realizadas]]/Tabela11[[#This Row],[Qtde Ligações]]=0,0,IF(Tabela11[[#This Row],[Ligações Realizadas]]/Tabela11[[#This Row],[Qtde Ligações]]=1,ROUND(N340/2,0),"Ver Painel"))</f>
        <v>0</v>
      </c>
      <c r="U340" s="23">
        <f>IF(Tabela11[[#This Row],[Ligações Realizadas]]/Tabela11[[#This Row],[Qtde Ligações]]=0,0,IF(Tabela11[[#This Row],[Ligações Realizadas]]/Tabela11[[#This Row],[Qtde Ligações]]=1,ROUND(N340/2,0),"Ver Painel"))</f>
        <v>0</v>
      </c>
      <c r="V340" s="219" t="s">
        <v>1639</v>
      </c>
    </row>
    <row r="341" spans="1:22" hidden="1" x14ac:dyDescent="0.25">
      <c r="A341" s="34" t="s">
        <v>361</v>
      </c>
      <c r="B341" s="391" t="str">
        <f>VLOOKUP(Tabela11[[#This Row],[Tag do Cabo]],BD!A:AJ,2,0)</f>
        <v>Controle</v>
      </c>
      <c r="C341" s="3" t="str">
        <f>VLOOKUP(Tabela11[[#This Row],[Tag do Cabo]],BD!A:AJ,5,0)</f>
        <v>1T#1,0mm²+SHI (I.S.)</v>
      </c>
      <c r="D341" s="391" t="s">
        <v>1542</v>
      </c>
      <c r="E341" s="391" t="str">
        <f>VLOOKUP(Tabela11[[#This Row],[Tag do Cabo]],BD!A:T,20,0)</f>
        <v>BK-SP54-01200-LC-80-00004_00000</v>
      </c>
      <c r="F341" s="3" t="str">
        <f>IF(VLOOKUP(Tabela11[[#This Row],[Tag do Cabo]],BD!A:AJ,35,0)=0,"Pendente",VLOOKUP(Tabela11[[#This Row],[Tag do Cabo]],BD!A:AJ,35,0))</f>
        <v>SOK0898307</v>
      </c>
      <c r="G341" s="3">
        <f>IF(VLOOKUP(Tabela11[[#This Row],[Tag do Cabo]],BD!A:AJ,36,0)=0,"Pendente",VLOOKUP(Tabela11[[#This Row],[Tag do Cabo]],BD!A:AJ,36,0))</f>
        <v>6</v>
      </c>
      <c r="H341" s="391" t="str">
        <f>VLOOKUP(Tabela11[[#This Row],[Tag do Cabo]],BD!A:AJ,32,0)</f>
        <v>30LVxGB-1201</v>
      </c>
      <c r="I341" s="7" t="str">
        <f>VLOOKUP(Tabela11[[#This Row],[Tag do Cabo]],BD!A:AJ,11,0)</f>
        <v xml:space="preserve">JBI-120-103X </v>
      </c>
      <c r="J341" s="3" t="str">
        <f>VLOOKUP(Tabela11[[#This Row],[Tag do Cabo]],BD!A:AJ,12,0)</f>
        <v>30LV/UCP LI-1201A</v>
      </c>
      <c r="K341" s="391" t="s">
        <v>730</v>
      </c>
      <c r="L341" s="391" t="s">
        <v>1635</v>
      </c>
      <c r="M341" s="3" t="str">
        <f>CONCATENATE(Tabela11[[#This Row],[Painel 1]]&amp;" "&amp;Tabela11[[#This Row],[Painel 2]])</f>
        <v>JBI-120-103X LI-1201A</v>
      </c>
      <c r="N341" s="157">
        <v>6</v>
      </c>
      <c r="O341" s="391">
        <f>COUNTIF(Tabela12[Tag Cabo],Tabela11[[#This Row],[Tag do Cabo]])</f>
        <v>5</v>
      </c>
      <c r="P341" s="391" t="str">
        <f>IF(Tabela11[[#This Row],[Qtde Ligações]]&lt;&gt;Tabela11[[#This Row],[Qtde Anilhas]],"Ver","Ok")</f>
        <v>Ver</v>
      </c>
      <c r="Q341" s="391">
        <f>VLOOKUP(Tabela11[[#This Row],[Tag do Cabo]],BD!A:F,6,0)</f>
        <v>1</v>
      </c>
      <c r="R341" s="391">
        <f>SUMIF('Lançamento de Cabos'!AE:AE,Tabela11[[#This Row],[Tag do Cabo]],'Lançamento de Cabos'!AG:AG)</f>
        <v>0</v>
      </c>
      <c r="S341" s="28">
        <f>Tabela11[[#This Row],[Ligações Realizadas]]/Tabela11[[#This Row],[Qtde Ligações]]</f>
        <v>0</v>
      </c>
      <c r="T341" s="269">
        <f>IF(Tabela11[[#This Row],[Ligações Realizadas]]/Tabela11[[#This Row],[Qtde Ligações]]=0,0,IF(Tabela11[[#This Row],[Ligações Realizadas]]/Tabela11[[#This Row],[Qtde Ligações]]=1,ROUND(N341/2,0),"Ver Painel"))</f>
        <v>0</v>
      </c>
      <c r="U341" s="23">
        <f>IF(Tabela11[[#This Row],[Ligações Realizadas]]/Tabela11[[#This Row],[Qtde Ligações]]=0,0,IF(Tabela11[[#This Row],[Ligações Realizadas]]/Tabela11[[#This Row],[Qtde Ligações]]=1,ROUND(N341/2,0),"Ver Painel"))</f>
        <v>0</v>
      </c>
      <c r="V341" s="219" t="s">
        <v>1640</v>
      </c>
    </row>
    <row r="342" spans="1:22" hidden="1" x14ac:dyDescent="0.25">
      <c r="A342" s="34" t="s">
        <v>365</v>
      </c>
      <c r="B342" s="391" t="str">
        <f>VLOOKUP(Tabela11[[#This Row],[Tag do Cabo]],BD!A:AJ,2,0)</f>
        <v>Controle</v>
      </c>
      <c r="C342" s="3" t="str">
        <f>VLOOKUP(Tabela11[[#This Row],[Tag do Cabo]],BD!A:AJ,5,0)</f>
        <v>8P#1,0mm²+SHI+SHC (I.S.)</v>
      </c>
      <c r="D342" s="391" t="s">
        <v>1542</v>
      </c>
      <c r="E342" s="391" t="str">
        <f>VLOOKUP(Tabela11[[#This Row],[Tag do Cabo]],BD!A:T,20,0)</f>
        <v>BK-SP54-01200-LC-80-00004_00000</v>
      </c>
      <c r="F342" s="3" t="str">
        <f>IF(VLOOKUP(Tabela11[[#This Row],[Tag do Cabo]],BD!A:AJ,35,0)=0,"Pendente",VLOOKUP(Tabela11[[#This Row],[Tag do Cabo]],BD!A:AJ,35,0))</f>
        <v>SOK0898307</v>
      </c>
      <c r="G342" s="3">
        <f>IF(VLOOKUP(Tabela11[[#This Row],[Tag do Cabo]],BD!A:AJ,36,0)=0,"Pendente",VLOOKUP(Tabela11[[#This Row],[Tag do Cabo]],BD!A:AJ,36,0))</f>
        <v>12</v>
      </c>
      <c r="H342" s="391" t="str">
        <f>VLOOKUP(Tabela11[[#This Row],[Tag do Cabo]],BD!A:AJ,32,0)</f>
        <v>30LVxGB-1201</v>
      </c>
      <c r="I342" s="7" t="str">
        <f>VLOOKUP(Tabela11[[#This Row],[Tag do Cabo]],BD!A:AJ,11,0)</f>
        <v>EJB-12505X</v>
      </c>
      <c r="J342" s="3" t="str">
        <f>VLOOKUP(Tabela11[[#This Row],[Tag do Cabo]],BD!A:AJ,12,0)</f>
        <v>30LV/UCP LI-1201A</v>
      </c>
      <c r="K342" s="391" t="s">
        <v>367</v>
      </c>
      <c r="L342" s="391" t="s">
        <v>1635</v>
      </c>
      <c r="M342" s="3" t="str">
        <f>CONCATENATE(Tabela11[[#This Row],[Painel 1]]&amp;" "&amp;Tabela11[[#This Row],[Painel 2]])</f>
        <v>EJB-12505X LI-1201A</v>
      </c>
      <c r="N342" s="157">
        <v>24</v>
      </c>
      <c r="O342" s="391">
        <f>COUNTIF(Tabela12[Tag Cabo],Tabela11[[#This Row],[Tag do Cabo]])</f>
        <v>24</v>
      </c>
      <c r="P342" s="391" t="str">
        <f>IF(Tabela11[[#This Row],[Qtde Ligações]]&lt;&gt;Tabela11[[#This Row],[Qtde Anilhas]],"Ver","Ok")</f>
        <v>Ok</v>
      </c>
      <c r="Q342" s="391">
        <f>VLOOKUP(Tabela11[[#This Row],[Tag do Cabo]],BD!A:F,6,0)</f>
        <v>1</v>
      </c>
      <c r="R342" s="391">
        <f>SUMIF('Lançamento de Cabos'!AE:AE,Tabela11[[#This Row],[Tag do Cabo]],'Lançamento de Cabos'!AG:AG)</f>
        <v>0</v>
      </c>
      <c r="S342" s="28">
        <f>Tabela11[[#This Row],[Ligações Realizadas]]/Tabela11[[#This Row],[Qtde Ligações]]</f>
        <v>0</v>
      </c>
      <c r="T342" s="269">
        <f>IF(Tabela11[[#This Row],[Ligações Realizadas]]/Tabela11[[#This Row],[Qtde Ligações]]=0,0,IF(Tabela11[[#This Row],[Ligações Realizadas]]/Tabela11[[#This Row],[Qtde Ligações]]=1,ROUND(N342/2,0),"Ver Painel"))</f>
        <v>0</v>
      </c>
      <c r="U342" s="23">
        <f>IF(Tabela11[[#This Row],[Ligações Realizadas]]/Tabela11[[#This Row],[Qtde Ligações]]=0,0,IF(Tabela11[[#This Row],[Ligações Realizadas]]/Tabela11[[#This Row],[Qtde Ligações]]=1,ROUND(N342/2,0),"Ver Painel"))</f>
        <v>0</v>
      </c>
      <c r="V342" s="222"/>
    </row>
    <row r="343" spans="1:22" hidden="1" x14ac:dyDescent="0.25">
      <c r="A343" s="34" t="s">
        <v>622</v>
      </c>
      <c r="B343" s="391" t="str">
        <f>VLOOKUP(Tabela11[[#This Row],[Tag do Cabo]],BD!A:AJ,2,0)</f>
        <v>Controle</v>
      </c>
      <c r="C343" s="3" t="str">
        <f>VLOOKUP(Tabela11[[#This Row],[Tag do Cabo]],BD!A:AJ,5,0)</f>
        <v>4P#1,0mm²+SHI+SHC (N.I.S.)</v>
      </c>
      <c r="D343" s="391" t="s">
        <v>1542</v>
      </c>
      <c r="E343" s="391" t="str">
        <f>VLOOKUP(Tabela11[[#This Row],[Tag do Cabo]],BD!A:T,20,0)</f>
        <v>BK-SP54-01200-LC-80-00004_00000</v>
      </c>
      <c r="F343" s="3" t="str">
        <f>IF(VLOOKUP(Tabela11[[#This Row],[Tag do Cabo]],BD!A:AJ,35,0)=0,"Pendente",VLOOKUP(Tabela11[[#This Row],[Tag do Cabo]],BD!A:AJ,35,0))</f>
        <v>SOK0898307</v>
      </c>
      <c r="G343" s="3">
        <f>IF(VLOOKUP(Tabela11[[#This Row],[Tag do Cabo]],BD!A:AJ,36,0)=0,"Pendente",VLOOKUP(Tabela11[[#This Row],[Tag do Cabo]],BD!A:AJ,36,0))</f>
        <v>11</v>
      </c>
      <c r="H343" s="391" t="str">
        <f>VLOOKUP(Tabela11[[#This Row],[Tag do Cabo]],BD!A:AJ,32,0)</f>
        <v>7HVx30LV</v>
      </c>
      <c r="I343" s="7" t="str">
        <f>VLOOKUP(Tabela11[[#This Row],[Tag do Cabo]],BD!A:AJ,11,0)</f>
        <v xml:space="preserve">7HV/AMB-GB-1201 </v>
      </c>
      <c r="J343" s="3" t="str">
        <f>VLOOKUP(Tabela11[[#This Row],[Tag do Cabo]],BD!A:AJ,12,0)</f>
        <v>30LV/UCP LI-1201A</v>
      </c>
      <c r="K343" s="391" t="s">
        <v>730</v>
      </c>
      <c r="L343" s="391" t="s">
        <v>1635</v>
      </c>
      <c r="M343" s="3" t="str">
        <f>CONCATENATE(Tabela11[[#This Row],[Painel 1]]&amp;" "&amp;Tabela11[[#This Row],[Painel 2]])</f>
        <v>JBI-120-103X LI-1201A</v>
      </c>
      <c r="N343" s="157">
        <v>4</v>
      </c>
      <c r="O343" s="391">
        <f>COUNTIF(Tabela12[Tag Cabo],Tabela11[[#This Row],[Tag do Cabo]])</f>
        <v>4</v>
      </c>
      <c r="P343" s="391" t="str">
        <f>IF(Tabela11[[#This Row],[Qtde Ligações]]&lt;&gt;Tabela11[[#This Row],[Qtde Anilhas]],"Ver","Ok")</f>
        <v>Ok</v>
      </c>
      <c r="Q343" s="391">
        <f>VLOOKUP(Tabela11[[#This Row],[Tag do Cabo]],BD!A:F,6,0)</f>
        <v>1</v>
      </c>
      <c r="R343" s="391">
        <f>SUMIF('Lançamento de Cabos'!AE:AE,Tabela11[[#This Row],[Tag do Cabo]],'Lançamento de Cabos'!AG:AG)</f>
        <v>0</v>
      </c>
      <c r="S343" s="28">
        <f>Tabela11[[#This Row],[Ligações Realizadas]]/Tabela11[[#This Row],[Qtde Ligações]]</f>
        <v>0</v>
      </c>
      <c r="T343" s="269">
        <f>IF(Tabela11[[#This Row],[Ligações Realizadas]]/Tabela11[[#This Row],[Qtde Ligações]]=0,0,IF(Tabela11[[#This Row],[Ligações Realizadas]]/Tabela11[[#This Row],[Qtde Ligações]]=1,ROUND(N343/2,0),"Ver Painel"))</f>
        <v>0</v>
      </c>
      <c r="U343" s="23">
        <f>IF(Tabela11[[#This Row],[Ligações Realizadas]]/Tabela11[[#This Row],[Qtde Ligações]]=0,0,IF(Tabela11[[#This Row],[Ligações Realizadas]]/Tabela11[[#This Row],[Qtde Ligações]]=1,ROUND(N343/2,0),"Ver Painel"))</f>
        <v>0</v>
      </c>
      <c r="V343" s="222"/>
    </row>
    <row r="344" spans="1:22" ht="14.25" hidden="1" customHeight="1" x14ac:dyDescent="0.25">
      <c r="A344" s="34" t="s">
        <v>624</v>
      </c>
      <c r="B344" s="391" t="str">
        <f>VLOOKUP(Tabela11[[#This Row],[Tag do Cabo]],BD!A:AJ,2,0)</f>
        <v>Controle</v>
      </c>
      <c r="C344" s="3" t="str">
        <f>VLOOKUP(Tabela11[[#This Row],[Tag do Cabo]],BD!A:AJ,5,0)</f>
        <v>4P#1,0mm²+SHI+SHC (N.I.S.)</v>
      </c>
      <c r="D344" s="391" t="s">
        <v>1542</v>
      </c>
      <c r="E344" s="391" t="str">
        <f>VLOOKUP(Tabela11[[#This Row],[Tag do Cabo]],BD!A:T,20,0)</f>
        <v>BK-SP54-01200-LC-80-00004_00000</v>
      </c>
      <c r="F344" s="3" t="str">
        <f>IF(VLOOKUP(Tabela11[[#This Row],[Tag do Cabo]],BD!A:AJ,35,0)=0,"Pendente",VLOOKUP(Tabela11[[#This Row],[Tag do Cabo]],BD!A:AJ,35,0))</f>
        <v>SOK0898307</v>
      </c>
      <c r="G344" s="3">
        <f>IF(VLOOKUP(Tabela11[[#This Row],[Tag do Cabo]],BD!A:AJ,36,0)=0,"Pendente",VLOOKUP(Tabela11[[#This Row],[Tag do Cabo]],BD!A:AJ,36,0))</f>
        <v>11</v>
      </c>
      <c r="H344" s="391" t="str">
        <f>VLOOKUP(Tabela11[[#This Row],[Tag do Cabo]],BD!A:AJ,32,0)</f>
        <v>7HVx30LV</v>
      </c>
      <c r="I344" s="7" t="str">
        <f>VLOOKUP(Tabela11[[#This Row],[Tag do Cabo]],BD!A:AJ,11,0)</f>
        <v>7HV/GBM-1201-INV</v>
      </c>
      <c r="J344" s="3" t="str">
        <f>VLOOKUP(Tabela11[[#This Row],[Tag do Cabo]],BD!A:AJ,12,0)</f>
        <v>30LV/UCP LI-1201A</v>
      </c>
      <c r="K344" s="391" t="s">
        <v>1588</v>
      </c>
      <c r="L344" s="391" t="s">
        <v>1635</v>
      </c>
      <c r="M344" s="3" t="str">
        <f>CONCATENATE(Tabela11[[#This Row],[Painel 1]]&amp;" "&amp;Tabela11[[#This Row],[Painel 2]])</f>
        <v>GB-1201-INV LI-1201A</v>
      </c>
      <c r="N344" s="157">
        <v>8</v>
      </c>
      <c r="O344" s="391">
        <f>COUNTIF(Tabela12[Tag Cabo],Tabela11[[#This Row],[Tag do Cabo]])</f>
        <v>8</v>
      </c>
      <c r="P344" s="391" t="str">
        <f>IF(Tabela11[[#This Row],[Qtde Ligações]]&lt;&gt;Tabela11[[#This Row],[Qtde Anilhas]],"Ver","Ok")</f>
        <v>Ok</v>
      </c>
      <c r="Q344" s="391">
        <f>VLOOKUP(Tabela11[[#This Row],[Tag do Cabo]],BD!A:F,6,0)</f>
        <v>1</v>
      </c>
      <c r="R344" s="391">
        <f>SUMIF('Lançamento de Cabos'!AE:AE,Tabela11[[#This Row],[Tag do Cabo]],'Lançamento de Cabos'!AG:AG)</f>
        <v>0</v>
      </c>
      <c r="S344" s="28">
        <f>Tabela11[[#This Row],[Ligações Realizadas]]/Tabela11[[#This Row],[Qtde Ligações]]</f>
        <v>0</v>
      </c>
      <c r="T344" s="269">
        <f>IF(Tabela11[[#This Row],[Ligações Realizadas]]/Tabela11[[#This Row],[Qtde Ligações]]=0,0,IF(Tabela11[[#This Row],[Ligações Realizadas]]/Tabela11[[#This Row],[Qtde Ligações]]=1,ROUND(N344/2,0),"Ver Painel"))</f>
        <v>0</v>
      </c>
      <c r="U344" s="23">
        <f>IF(Tabela11[[#This Row],[Ligações Realizadas]]/Tabela11[[#This Row],[Qtde Ligações]]=0,0,IF(Tabela11[[#This Row],[Ligações Realizadas]]/Tabela11[[#This Row],[Qtde Ligações]]=1,ROUND(N344/2,0),"Ver Painel"))</f>
        <v>0</v>
      </c>
      <c r="V344" s="222"/>
    </row>
    <row r="345" spans="1:22" hidden="1" x14ac:dyDescent="0.25">
      <c r="A345" s="34" t="s">
        <v>625</v>
      </c>
      <c r="B345" s="391" t="str">
        <f>VLOOKUP(Tabela11[[#This Row],[Tag do Cabo]],BD!A:AJ,2,0)</f>
        <v>Controle</v>
      </c>
      <c r="C345" s="3" t="str">
        <f>VLOOKUP(Tabela11[[#This Row],[Tag do Cabo]],BD!A:AJ,5,0)</f>
        <v>12P#1,0mm²+SHI+SHC (N.I.S.)</v>
      </c>
      <c r="D345" s="391" t="s">
        <v>1542</v>
      </c>
      <c r="E345" s="391" t="str">
        <f>VLOOKUP(Tabela11[[#This Row],[Tag do Cabo]],BD!A:T,20,0)</f>
        <v>BK-SP54-01200-LC-80-00004_00000</v>
      </c>
      <c r="F345" s="3" t="str">
        <f>IF(VLOOKUP(Tabela11[[#This Row],[Tag do Cabo]],BD!A:AJ,35,0)=0,"Pendente",VLOOKUP(Tabela11[[#This Row],[Tag do Cabo]],BD!A:AJ,35,0))</f>
        <v>SOK0898307</v>
      </c>
      <c r="G345" s="3">
        <f>IF(VLOOKUP(Tabela11[[#This Row],[Tag do Cabo]],BD!A:AJ,36,0)=0,"Pendente",VLOOKUP(Tabela11[[#This Row],[Tag do Cabo]],BD!A:AJ,36,0))</f>
        <v>37</v>
      </c>
      <c r="H345" s="391" t="str">
        <f>VLOOKUP(Tabela11[[#This Row],[Tag do Cabo]],BD!A:AJ,32,0)</f>
        <v>7HVx30LV</v>
      </c>
      <c r="I345" s="7" t="str">
        <f>VLOOKUP(Tabela11[[#This Row],[Tag do Cabo]],BD!A:AJ,11,0)</f>
        <v>7HV/GBM-1201-INV</v>
      </c>
      <c r="J345" s="3" t="str">
        <f>VLOOKUP(Tabela11[[#This Row],[Tag do Cabo]],BD!A:AJ,12,0)</f>
        <v>30LV/UCP LI-1201A</v>
      </c>
      <c r="K345" s="391" t="s">
        <v>1588</v>
      </c>
      <c r="L345" s="391" t="s">
        <v>1635</v>
      </c>
      <c r="M345" s="3" t="str">
        <f>CONCATENATE(Tabela11[[#This Row],[Painel 1]]&amp;" "&amp;Tabela11[[#This Row],[Painel 2]])</f>
        <v>GB-1201-INV LI-1201A</v>
      </c>
      <c r="N345" s="157">
        <v>40</v>
      </c>
      <c r="O345" s="391">
        <f>COUNTIF(Tabela12[Tag Cabo],Tabela11[[#This Row],[Tag do Cabo]])</f>
        <v>40</v>
      </c>
      <c r="P345" s="391" t="str">
        <f>IF(Tabela11[[#This Row],[Qtde Ligações]]&lt;&gt;Tabela11[[#This Row],[Qtde Anilhas]],"Ver","Ok")</f>
        <v>Ok</v>
      </c>
      <c r="Q345" s="391">
        <f>VLOOKUP(Tabela11[[#This Row],[Tag do Cabo]],BD!A:F,6,0)</f>
        <v>1</v>
      </c>
      <c r="R345" s="391">
        <f>SUMIF('Lançamento de Cabos'!AE:AE,Tabela11[[#This Row],[Tag do Cabo]],'Lançamento de Cabos'!AG:AG)</f>
        <v>0</v>
      </c>
      <c r="S345" s="28">
        <f>Tabela11[[#This Row],[Ligações Realizadas]]/Tabela11[[#This Row],[Qtde Ligações]]</f>
        <v>0</v>
      </c>
      <c r="T345" s="269">
        <f>IF(Tabela11[[#This Row],[Ligações Realizadas]]/Tabela11[[#This Row],[Qtde Ligações]]=0,0,IF(Tabela11[[#This Row],[Ligações Realizadas]]/Tabela11[[#This Row],[Qtde Ligações]]=1,ROUND(N345/2,0),"Ver Painel"))</f>
        <v>0</v>
      </c>
      <c r="U345" s="23">
        <f>IF(Tabela11[[#This Row],[Ligações Realizadas]]/Tabela11[[#This Row],[Qtde Ligações]]=0,0,IF(Tabela11[[#This Row],[Ligações Realizadas]]/Tabela11[[#This Row],[Qtde Ligações]]=1,ROUND(N345/2,0),"Ver Painel"))</f>
        <v>0</v>
      </c>
      <c r="V345" s="222"/>
    </row>
    <row r="346" spans="1:22" hidden="1" x14ac:dyDescent="0.25">
      <c r="A346" s="34" t="s">
        <v>626</v>
      </c>
      <c r="B346" s="391" t="str">
        <f>VLOOKUP(Tabela11[[#This Row],[Tag do Cabo]],BD!A:AJ,2,0)</f>
        <v>Controle</v>
      </c>
      <c r="C346" s="3" t="str">
        <f>VLOOKUP(Tabela11[[#This Row],[Tag do Cabo]],BD!A:AJ,5,0)</f>
        <v>12P#1,0mm²+SHI+SHC (N.I.S.)</v>
      </c>
      <c r="D346" s="391" t="s">
        <v>1542</v>
      </c>
      <c r="E346" s="391" t="str">
        <f>VLOOKUP(Tabela11[[#This Row],[Tag do Cabo]],BD!A:T,20,0)</f>
        <v>BK-SP54-01200-LC-80-00004_00000</v>
      </c>
      <c r="F346" s="3" t="str">
        <f>IF(VLOOKUP(Tabela11[[#This Row],[Tag do Cabo]],BD!A:AJ,35,0)=0,"Pendente",VLOOKUP(Tabela11[[#This Row],[Tag do Cabo]],BD!A:AJ,35,0))</f>
        <v>SOK0898307</v>
      </c>
      <c r="G346" s="3">
        <f>IF(VLOOKUP(Tabela11[[#This Row],[Tag do Cabo]],BD!A:AJ,36,0)=0,"Pendente",VLOOKUP(Tabela11[[#This Row],[Tag do Cabo]],BD!A:AJ,36,0))</f>
        <v>38</v>
      </c>
      <c r="H346" s="391" t="str">
        <f>VLOOKUP(Tabela11[[#This Row],[Tag do Cabo]],BD!A:AJ,32,0)</f>
        <v>7HVx30LV</v>
      </c>
      <c r="I346" s="7" t="str">
        <f>VLOOKUP(Tabela11[[#This Row],[Tag do Cabo]],BD!A:AJ,11,0)</f>
        <v xml:space="preserve">7HV/AMB-GB-1201 </v>
      </c>
      <c r="J346" s="3" t="str">
        <f>VLOOKUP(Tabela11[[#This Row],[Tag do Cabo]],BD!A:AJ,12,0)</f>
        <v>30LV/UCP LI-1201A</v>
      </c>
      <c r="K346" s="391" t="s">
        <v>730</v>
      </c>
      <c r="L346" s="391" t="s">
        <v>1635</v>
      </c>
      <c r="M346" s="3" t="str">
        <f>CONCATENATE(Tabela11[[#This Row],[Painel 1]]&amp;" "&amp;Tabela11[[#This Row],[Painel 2]])</f>
        <v>JBI-120-103X LI-1201A</v>
      </c>
      <c r="N346" s="157">
        <v>36</v>
      </c>
      <c r="O346" s="391">
        <f>COUNTIF(Tabela12[Tag Cabo],Tabela11[[#This Row],[Tag do Cabo]])</f>
        <v>36</v>
      </c>
      <c r="P346" s="391" t="str">
        <f>IF(Tabela11[[#This Row],[Qtde Ligações]]&lt;&gt;Tabela11[[#This Row],[Qtde Anilhas]],"Ver","Ok")</f>
        <v>Ok</v>
      </c>
      <c r="Q346" s="391">
        <f>VLOOKUP(Tabela11[[#This Row],[Tag do Cabo]],BD!A:F,6,0)</f>
        <v>1</v>
      </c>
      <c r="R346" s="391">
        <f>SUMIF('Lançamento de Cabos'!AE:AE,Tabela11[[#This Row],[Tag do Cabo]],'Lançamento de Cabos'!AG:AG)</f>
        <v>0</v>
      </c>
      <c r="S346" s="28">
        <f>Tabela11[[#This Row],[Ligações Realizadas]]/Tabela11[[#This Row],[Qtde Ligações]]</f>
        <v>0</v>
      </c>
      <c r="T346" s="269">
        <f>IF(Tabela11[[#This Row],[Ligações Realizadas]]/Tabela11[[#This Row],[Qtde Ligações]]=0,0,IF(Tabela11[[#This Row],[Ligações Realizadas]]/Tabela11[[#This Row],[Qtde Ligações]]=1,ROUND(N346/2,0),"Ver Painel"))</f>
        <v>0</v>
      </c>
      <c r="U346" s="23">
        <f>IF(Tabela11[[#This Row],[Ligações Realizadas]]/Tabela11[[#This Row],[Qtde Ligações]]=0,0,IF(Tabela11[[#This Row],[Ligações Realizadas]]/Tabela11[[#This Row],[Qtde Ligações]]=1,ROUND(N346/2,0),"Ver Painel"))</f>
        <v>0</v>
      </c>
      <c r="V346" s="222"/>
    </row>
    <row r="347" spans="1:22" hidden="1" x14ac:dyDescent="0.25">
      <c r="A347" s="34" t="s">
        <v>627</v>
      </c>
      <c r="B347" s="391" t="str">
        <f>VLOOKUP(Tabela11[[#This Row],[Tag do Cabo]],BD!A:AJ,2,0)</f>
        <v>Controle</v>
      </c>
      <c r="C347" s="3" t="str">
        <f>VLOOKUP(Tabela11[[#This Row],[Tag do Cabo]],BD!A:AJ,5,0)</f>
        <v>1P#1,0mm²+SHI (N.I.S.)</v>
      </c>
      <c r="D347" s="391" t="s">
        <v>1542</v>
      </c>
      <c r="E347" s="391" t="str">
        <f>VLOOKUP(Tabela11[[#This Row],[Tag do Cabo]],BD!A:T,20,0)</f>
        <v>BK-SP54-01200-LC-80-00004_00000</v>
      </c>
      <c r="F347" s="3" t="str">
        <f>IF(VLOOKUP(Tabela11[[#This Row],[Tag do Cabo]],BD!A:AJ,35,0)=0,"Pendente",VLOOKUP(Tabela11[[#This Row],[Tag do Cabo]],BD!A:AJ,35,0))</f>
        <v>SOK0898307</v>
      </c>
      <c r="G347" s="3">
        <f>IF(VLOOKUP(Tabela11[[#This Row],[Tag do Cabo]],BD!A:AJ,36,0)=0,"Pendente",VLOOKUP(Tabela11[[#This Row],[Tag do Cabo]],BD!A:AJ,36,0))</f>
        <v>41</v>
      </c>
      <c r="H347" s="391" t="str">
        <f>VLOOKUP(Tabela11[[#This Row],[Tag do Cabo]],BD!A:AJ,32,0)</f>
        <v>7HVx30LV</v>
      </c>
      <c r="I347" s="7" t="str">
        <f>VLOOKUP(Tabela11[[#This Row],[Tag do Cabo]],BD!A:AJ,11,0)</f>
        <v>7HV/TR-24A</v>
      </c>
      <c r="J347" s="3" t="str">
        <f>VLOOKUP(Tabela11[[#This Row],[Tag do Cabo]],BD!A:AJ,12,0)</f>
        <v>30LV/UCP LI-1201A</v>
      </c>
      <c r="K347" s="391" t="s">
        <v>1557</v>
      </c>
      <c r="L347" s="391" t="s">
        <v>1635</v>
      </c>
      <c r="M347" s="3" t="str">
        <f>CONCATENATE(Tabela11[[#This Row],[Painel 1]]&amp;" "&amp;Tabela11[[#This Row],[Painel 2]])</f>
        <v>TR-24A LI-1201A</v>
      </c>
      <c r="N347" s="157">
        <v>4</v>
      </c>
      <c r="O347" s="391">
        <f>COUNTIF(Tabela12[Tag Cabo],Tabela11[[#This Row],[Tag do Cabo]])</f>
        <v>4</v>
      </c>
      <c r="P347" s="391" t="str">
        <f>IF(Tabela11[[#This Row],[Qtde Ligações]]&lt;&gt;Tabela11[[#This Row],[Qtde Anilhas]],"Ver","Ok")</f>
        <v>Ok</v>
      </c>
      <c r="Q347" s="391">
        <f>VLOOKUP(Tabela11[[#This Row],[Tag do Cabo]],BD!A:F,6,0)</f>
        <v>1</v>
      </c>
      <c r="R347" s="391">
        <f>SUMIF('Lançamento de Cabos'!AE:AE,Tabela11[[#This Row],[Tag do Cabo]],'Lançamento de Cabos'!AG:AG)</f>
        <v>0</v>
      </c>
      <c r="S347" s="28">
        <f>Tabela11[[#This Row],[Ligações Realizadas]]/Tabela11[[#This Row],[Qtde Ligações]]</f>
        <v>0</v>
      </c>
      <c r="T347" s="269">
        <f>IF(Tabela11[[#This Row],[Ligações Realizadas]]/Tabela11[[#This Row],[Qtde Ligações]]=0,0,IF(Tabela11[[#This Row],[Ligações Realizadas]]/Tabela11[[#This Row],[Qtde Ligações]]=1,ROUND(N347/2,0),"Ver Painel"))</f>
        <v>0</v>
      </c>
      <c r="U347" s="23">
        <f>IF(Tabela11[[#This Row],[Ligações Realizadas]]/Tabela11[[#This Row],[Qtde Ligações]]=0,0,IF(Tabela11[[#This Row],[Ligações Realizadas]]/Tabela11[[#This Row],[Qtde Ligações]]=1,ROUND(N347/2,0),"Ver Painel"))</f>
        <v>0</v>
      </c>
      <c r="V347" s="222"/>
    </row>
    <row r="348" spans="1:22" hidden="1" x14ac:dyDescent="0.25">
      <c r="A348" s="34" t="s">
        <v>629</v>
      </c>
      <c r="B348" s="391" t="str">
        <f>VLOOKUP(Tabela11[[#This Row],[Tag do Cabo]],BD!A:AJ,2,0)</f>
        <v>Controle</v>
      </c>
      <c r="C348" s="3" t="str">
        <f>VLOOKUP(Tabela11[[#This Row],[Tag do Cabo]],BD!A:AJ,5,0)</f>
        <v>1P#1,0mm²+SHI (N.I.S.)</v>
      </c>
      <c r="D348" s="391" t="s">
        <v>1542</v>
      </c>
      <c r="E348" s="391" t="str">
        <f>VLOOKUP(Tabela11[[#This Row],[Tag do Cabo]],BD!A:T,20,0)</f>
        <v>BK-SP54-01200-LC-80-00004_00000</v>
      </c>
      <c r="F348" s="3" t="str">
        <f>IF(VLOOKUP(Tabela11[[#This Row],[Tag do Cabo]],BD!A:AJ,35,0)=0,"Pendente",VLOOKUP(Tabela11[[#This Row],[Tag do Cabo]],BD!A:AJ,35,0))</f>
        <v>SOK0898307</v>
      </c>
      <c r="G348" s="3">
        <f>IF(VLOOKUP(Tabela11[[#This Row],[Tag do Cabo]],BD!A:AJ,36,0)=0,"Pendente",VLOOKUP(Tabela11[[#This Row],[Tag do Cabo]],BD!A:AJ,36,0))</f>
        <v>41</v>
      </c>
      <c r="H348" s="391" t="str">
        <f>VLOOKUP(Tabela11[[#This Row],[Tag do Cabo]],BD!A:AJ,32,0)</f>
        <v>7HVx30LV</v>
      </c>
      <c r="I348" s="7" t="str">
        <f>VLOOKUP(Tabela11[[#This Row],[Tag do Cabo]],BD!A:AJ,11,0)</f>
        <v>7HV/TR-24B</v>
      </c>
      <c r="J348" s="3" t="str">
        <f>VLOOKUP(Tabela11[[#This Row],[Tag do Cabo]],BD!A:AJ,12,0)</f>
        <v>30LV/UCP LI-1201A</v>
      </c>
      <c r="K348" s="391" t="s">
        <v>1558</v>
      </c>
      <c r="L348" s="391" t="s">
        <v>1635</v>
      </c>
      <c r="M348" s="3" t="str">
        <f>CONCATENATE(Tabela11[[#This Row],[Painel 1]]&amp;" "&amp;Tabela11[[#This Row],[Painel 2]])</f>
        <v>TR-24B LI-1201A</v>
      </c>
      <c r="N348" s="157">
        <v>4</v>
      </c>
      <c r="O348" s="391">
        <f>COUNTIF(Tabela12[Tag Cabo],Tabela11[[#This Row],[Tag do Cabo]])</f>
        <v>4</v>
      </c>
      <c r="P348" s="391" t="str">
        <f>IF(Tabela11[[#This Row],[Qtde Ligações]]&lt;&gt;Tabela11[[#This Row],[Qtde Anilhas]],"Ver","Ok")</f>
        <v>Ok</v>
      </c>
      <c r="Q348" s="391">
        <f>VLOOKUP(Tabela11[[#This Row],[Tag do Cabo]],BD!A:F,6,0)</f>
        <v>1</v>
      </c>
      <c r="R348" s="391">
        <f>SUMIF('Lançamento de Cabos'!AE:AE,Tabela11[[#This Row],[Tag do Cabo]],'Lançamento de Cabos'!AG:AG)</f>
        <v>0</v>
      </c>
      <c r="S348" s="28">
        <f>Tabela11[[#This Row],[Ligações Realizadas]]/Tabela11[[#This Row],[Qtde Ligações]]</f>
        <v>0</v>
      </c>
      <c r="T348" s="269">
        <f>IF(Tabela11[[#This Row],[Ligações Realizadas]]/Tabela11[[#This Row],[Qtde Ligações]]=0,0,IF(Tabela11[[#This Row],[Ligações Realizadas]]/Tabela11[[#This Row],[Qtde Ligações]]=1,ROUND(N348/2,0),"Ver Painel"))</f>
        <v>0</v>
      </c>
      <c r="U348" s="23">
        <f>IF(Tabela11[[#This Row],[Ligações Realizadas]]/Tabela11[[#This Row],[Qtde Ligações]]=0,0,IF(Tabela11[[#This Row],[Ligações Realizadas]]/Tabela11[[#This Row],[Qtde Ligações]]=1,ROUND(N348/2,0),"Ver Painel"))</f>
        <v>0</v>
      </c>
      <c r="V348" s="222"/>
    </row>
    <row r="349" spans="1:22" hidden="1" x14ac:dyDescent="0.25">
      <c r="A349" s="34" t="s">
        <v>631</v>
      </c>
      <c r="B349" s="391" t="str">
        <f>VLOOKUP(Tabela11[[#This Row],[Tag do Cabo]],BD!A:AJ,2,0)</f>
        <v>Controle</v>
      </c>
      <c r="C349" s="3" t="str">
        <f>VLOOKUP(Tabela11[[#This Row],[Tag do Cabo]],BD!A:AJ,5,0)</f>
        <v>12P#1,5mm²+SHI+SHC (N.I.S.)</v>
      </c>
      <c r="D349" s="391" t="s">
        <v>1542</v>
      </c>
      <c r="E349" s="391" t="str">
        <f>VLOOKUP(Tabela11[[#This Row],[Tag do Cabo]],BD!A:T,20,0)</f>
        <v>BK-SP54-01200-LC-80-00004_00000</v>
      </c>
      <c r="F349" s="3" t="str">
        <f>IF(VLOOKUP(Tabela11[[#This Row],[Tag do Cabo]],BD!A:AJ,35,0)=0,"Pendente",VLOOKUP(Tabela11[[#This Row],[Tag do Cabo]],BD!A:AJ,35,0))</f>
        <v>SOK0898310</v>
      </c>
      <c r="G349" s="3">
        <f>IF(VLOOKUP(Tabela11[[#This Row],[Tag do Cabo]],BD!A:AJ,36,0)=0,"Pendente",VLOOKUP(Tabela11[[#This Row],[Tag do Cabo]],BD!A:AJ,36,0))</f>
        <v>37</v>
      </c>
      <c r="H349" s="391" t="str">
        <f>VLOOKUP(Tabela11[[#This Row],[Tag do Cabo]],BD!A:AJ,32,0)</f>
        <v>7HVx30LV</v>
      </c>
      <c r="I349" s="7" t="str">
        <f>VLOOKUP(Tabela11[[#This Row],[Tag do Cabo]],BD!A:AJ,11,0)</f>
        <v>7HV/GBM-1201-INV</v>
      </c>
      <c r="J349" s="3" t="str">
        <f>VLOOKUP(Tabela11[[#This Row],[Tag do Cabo]],BD!A:AJ,12,0)</f>
        <v>30LV/UCP LI-1203A</v>
      </c>
      <c r="K349" s="391" t="s">
        <v>1588</v>
      </c>
      <c r="L349" s="391" t="s">
        <v>1632</v>
      </c>
      <c r="M349" s="3" t="str">
        <f>CONCATENATE(Tabela11[[#This Row],[Painel 1]]&amp;" "&amp;Tabela11[[#This Row],[Painel 2]])</f>
        <v>GB-1201-INV LI-1203A</v>
      </c>
      <c r="N349" s="157">
        <v>44</v>
      </c>
      <c r="O349" s="391">
        <f>COUNTIF(Tabela12[Tag Cabo],Tabela11[[#This Row],[Tag do Cabo]])</f>
        <v>44</v>
      </c>
      <c r="P349" s="391" t="str">
        <f>IF(Tabela11[[#This Row],[Qtde Ligações]]&lt;&gt;Tabela11[[#This Row],[Qtde Anilhas]],"Ver","Ok")</f>
        <v>Ok</v>
      </c>
      <c r="Q349" s="391">
        <f>VLOOKUP(Tabela11[[#This Row],[Tag do Cabo]],BD!A:F,6,0)</f>
        <v>1.5</v>
      </c>
      <c r="R349" s="391">
        <f>SUMIF('Lançamento de Cabos'!AE:AE,Tabela11[[#This Row],[Tag do Cabo]],'Lançamento de Cabos'!AG:AG)</f>
        <v>0</v>
      </c>
      <c r="S349" s="28">
        <f>Tabela11[[#This Row],[Ligações Realizadas]]/Tabela11[[#This Row],[Qtde Ligações]]</f>
        <v>0</v>
      </c>
      <c r="T349" s="269">
        <f>IF(Tabela11[[#This Row],[Ligações Realizadas]]/Tabela11[[#This Row],[Qtde Ligações]]=0,0,IF(Tabela11[[#This Row],[Ligações Realizadas]]/Tabela11[[#This Row],[Qtde Ligações]]=1,ROUND(N349/2,0),"Ver Painel"))</f>
        <v>0</v>
      </c>
      <c r="U349" s="23">
        <f>IF(Tabela11[[#This Row],[Ligações Realizadas]]/Tabela11[[#This Row],[Qtde Ligações]]=0,0,IF(Tabela11[[#This Row],[Ligações Realizadas]]/Tabela11[[#This Row],[Qtde Ligações]]=1,ROUND(N349/2,0),"Ver Painel"))</f>
        <v>0</v>
      </c>
      <c r="V349" s="222" t="s">
        <v>1641</v>
      </c>
    </row>
    <row r="350" spans="1:22" hidden="1" x14ac:dyDescent="0.25">
      <c r="A350" s="34" t="s">
        <v>633</v>
      </c>
      <c r="B350" s="391" t="str">
        <f>VLOOKUP(Tabela11[[#This Row],[Tag do Cabo]],BD!A:AJ,2,0)</f>
        <v>Controle</v>
      </c>
      <c r="C350" s="3" t="str">
        <f>VLOOKUP(Tabela11[[#This Row],[Tag do Cabo]],BD!A:AJ,5,0)</f>
        <v>4P#1,0mm²+SHI+SHC (N.I.S.)</v>
      </c>
      <c r="D350" s="391" t="s">
        <v>1542</v>
      </c>
      <c r="E350" s="391" t="str">
        <f>VLOOKUP(Tabela11[[#This Row],[Tag do Cabo]],BD!A:T,20,0)</f>
        <v>BK-SP54-01200-LC-80-00004_00000</v>
      </c>
      <c r="F350" s="3" t="str">
        <f>IF(VLOOKUP(Tabela11[[#This Row],[Tag do Cabo]],BD!A:AJ,35,0)=0,"Pendente",VLOOKUP(Tabela11[[#This Row],[Tag do Cabo]],BD!A:AJ,35,0))</f>
        <v>SOK0898310</v>
      </c>
      <c r="G350" s="3">
        <f>IF(VLOOKUP(Tabela11[[#This Row],[Tag do Cabo]],BD!A:AJ,36,0)=0,"Pendente",VLOOKUP(Tabela11[[#This Row],[Tag do Cabo]],BD!A:AJ,36,0))</f>
        <v>10</v>
      </c>
      <c r="H350" s="391" t="str">
        <f>VLOOKUP(Tabela11[[#This Row],[Tag do Cabo]],BD!A:AJ,32,0)</f>
        <v>7HVx30LV</v>
      </c>
      <c r="I350" s="7" t="str">
        <f>VLOOKUP(Tabela11[[#This Row],[Tag do Cabo]],BD!A:AJ,11,0)</f>
        <v>7HV/GBM-1203-INV</v>
      </c>
      <c r="J350" s="3" t="str">
        <f>VLOOKUP(Tabela11[[#This Row],[Tag do Cabo]],BD!A:AJ,12,0)</f>
        <v>30LV/UCP LI-1203A</v>
      </c>
      <c r="K350" s="391" t="s">
        <v>1589</v>
      </c>
      <c r="L350" s="391" t="s">
        <v>1632</v>
      </c>
      <c r="M350" s="3" t="str">
        <f>CONCATENATE(Tabela11[[#This Row],[Painel 1]]&amp;" "&amp;Tabela11[[#This Row],[Painel 2]])</f>
        <v>GB-1203-INV LI-1203A</v>
      </c>
      <c r="N350" s="157">
        <v>8</v>
      </c>
      <c r="O350" s="391">
        <f>COUNTIF(Tabela12[Tag Cabo],Tabela11[[#This Row],[Tag do Cabo]])</f>
        <v>8</v>
      </c>
      <c r="P350" s="391" t="str">
        <f>IF(Tabela11[[#This Row],[Qtde Ligações]]&lt;&gt;Tabela11[[#This Row],[Qtde Anilhas]],"Ver","Ok")</f>
        <v>Ok</v>
      </c>
      <c r="Q350" s="391">
        <f>VLOOKUP(Tabela11[[#This Row],[Tag do Cabo]],BD!A:F,6,0)</f>
        <v>1</v>
      </c>
      <c r="R350" s="391">
        <f>SUMIF('Lançamento de Cabos'!AE:AE,Tabela11[[#This Row],[Tag do Cabo]],'Lançamento de Cabos'!AG:AG)</f>
        <v>0</v>
      </c>
      <c r="S350" s="28">
        <f>Tabela11[[#This Row],[Ligações Realizadas]]/Tabela11[[#This Row],[Qtde Ligações]]</f>
        <v>0</v>
      </c>
      <c r="T350" s="269">
        <f>IF(Tabela11[[#This Row],[Ligações Realizadas]]/Tabela11[[#This Row],[Qtde Ligações]]=0,0,IF(Tabela11[[#This Row],[Ligações Realizadas]]/Tabela11[[#This Row],[Qtde Ligações]]=1,ROUND(N350/2,0),"Ver Painel"))</f>
        <v>0</v>
      </c>
      <c r="U350" s="23">
        <f>IF(Tabela11[[#This Row],[Ligações Realizadas]]/Tabela11[[#This Row],[Qtde Ligações]]=0,0,IF(Tabela11[[#This Row],[Ligações Realizadas]]/Tabela11[[#This Row],[Qtde Ligações]]=1,ROUND(N350/2,0),"Ver Painel"))</f>
        <v>0</v>
      </c>
      <c r="V350" s="222"/>
    </row>
    <row r="351" spans="1:22" hidden="1" x14ac:dyDescent="0.25">
      <c r="A351" s="34" t="s">
        <v>379</v>
      </c>
      <c r="B351" s="391" t="str">
        <f>VLOOKUP(Tabela11[[#This Row],[Tag do Cabo]],BD!A:AJ,2,0)</f>
        <v>Controle</v>
      </c>
      <c r="C351" s="3" t="str">
        <f>VLOOKUP(Tabela11[[#This Row],[Tag do Cabo]],BD!A:AJ,5,0)</f>
        <v>12P#1,5mm²+SHI+SHC (I.S.)</v>
      </c>
      <c r="D351" s="391" t="s">
        <v>1542</v>
      </c>
      <c r="E351" s="391" t="str">
        <f>VLOOKUP(Tabela11[[#This Row],[Tag do Cabo]],BD!A:T,20,0)</f>
        <v>BK-SP54-01200-LC-80-00004_00000</v>
      </c>
      <c r="F351" s="3" t="str">
        <f>IF(VLOOKUP(Tabela11[[#This Row],[Tag do Cabo]],BD!A:AJ,35,0)=0,"Pendente",VLOOKUP(Tabela11[[#This Row],[Tag do Cabo]],BD!A:AJ,35,0))</f>
        <v>SOK0898310</v>
      </c>
      <c r="G351" s="3">
        <f>IF(VLOOKUP(Tabela11[[#This Row],[Tag do Cabo]],BD!A:AJ,36,0)=0,"Pendente",VLOOKUP(Tabela11[[#This Row],[Tag do Cabo]],BD!A:AJ,36,0))</f>
        <v>42</v>
      </c>
      <c r="H351" s="391" t="str">
        <f>VLOOKUP(Tabela11[[#This Row],[Tag do Cabo]],BD!A:AJ,32,0)</f>
        <v>30LVxGB-1203</v>
      </c>
      <c r="I351" s="7" t="str">
        <f>VLOOKUP(Tabela11[[#This Row],[Tag do Cabo]],BD!A:AJ,11,0)</f>
        <v>7HV/GBM-1203-INV</v>
      </c>
      <c r="J351" s="3" t="str">
        <f>VLOOKUP(Tabela11[[#This Row],[Tag do Cabo]],BD!A:AJ,12,0)</f>
        <v>30LV/UCP LI-1203A</v>
      </c>
      <c r="K351" s="391" t="s">
        <v>1589</v>
      </c>
      <c r="L351" s="391" t="s">
        <v>1632</v>
      </c>
      <c r="M351" s="3" t="str">
        <f>CONCATENATE(Tabela11[[#This Row],[Painel 1]]&amp;" "&amp;Tabela11[[#This Row],[Painel 2]])</f>
        <v>GB-1203-INV LI-1203A</v>
      </c>
      <c r="N351" s="157">
        <v>32</v>
      </c>
      <c r="O351" s="391">
        <f>COUNTIF(Tabela12[Tag Cabo],Tabela11[[#This Row],[Tag do Cabo]])</f>
        <v>32</v>
      </c>
      <c r="P351" s="391" t="str">
        <f>IF(Tabela11[[#This Row],[Qtde Ligações]]&lt;&gt;Tabela11[[#This Row],[Qtde Anilhas]],"Ver","Ok")</f>
        <v>Ok</v>
      </c>
      <c r="Q351" s="391">
        <f>VLOOKUP(Tabela11[[#This Row],[Tag do Cabo]],BD!A:F,6,0)</f>
        <v>1.5</v>
      </c>
      <c r="R351" s="391">
        <f>SUMIF('Lançamento de Cabos'!AE:AE,Tabela11[[#This Row],[Tag do Cabo]],'Lançamento de Cabos'!AG:AG)</f>
        <v>0</v>
      </c>
      <c r="S351" s="28">
        <f>Tabela11[[#This Row],[Ligações Realizadas]]/Tabela11[[#This Row],[Qtde Ligações]]</f>
        <v>0</v>
      </c>
      <c r="T351" s="269">
        <f>IF(Tabela11[[#This Row],[Ligações Realizadas]]/Tabela11[[#This Row],[Qtde Ligações]]=0,0,IF(Tabela11[[#This Row],[Ligações Realizadas]]/Tabela11[[#This Row],[Qtde Ligações]]=1,ROUND(N351/2,0),"Ver Painel"))</f>
        <v>0</v>
      </c>
      <c r="U351" s="23">
        <f>IF(Tabela11[[#This Row],[Ligações Realizadas]]/Tabela11[[#This Row],[Qtde Ligações]]=0,0,IF(Tabela11[[#This Row],[Ligações Realizadas]]/Tabela11[[#This Row],[Qtde Ligações]]=1,ROUND(N351/2,0),"Ver Painel"))</f>
        <v>0</v>
      </c>
      <c r="V351" s="222"/>
    </row>
    <row r="352" spans="1:22" hidden="1" x14ac:dyDescent="0.25">
      <c r="A352" s="34" t="s">
        <v>383</v>
      </c>
      <c r="B352" s="391" t="str">
        <f>VLOOKUP(Tabela11[[#This Row],[Tag do Cabo]],BD!A:AJ,2,0)</f>
        <v>Controle</v>
      </c>
      <c r="C352" s="3" t="str">
        <f>VLOOKUP(Tabela11[[#This Row],[Tag do Cabo]],BD!A:AJ,5,0)</f>
        <v>12P#1,0mm²+SHI+SHC (I.S.)</v>
      </c>
      <c r="D352" s="391" t="s">
        <v>1542</v>
      </c>
      <c r="E352" s="391" t="str">
        <f>VLOOKUP(Tabela11[[#This Row],[Tag do Cabo]],BD!A:T,20,0)</f>
        <v>BK-SP54-01200-LC-80-00004_00000</v>
      </c>
      <c r="F352" s="3" t="str">
        <f>IF(VLOOKUP(Tabela11[[#This Row],[Tag do Cabo]],BD!A:AJ,35,0)=0,"Pendente",VLOOKUP(Tabela11[[#This Row],[Tag do Cabo]],BD!A:AJ,35,0))</f>
        <v>SOK0898310</v>
      </c>
      <c r="G352" s="3">
        <f>IF(VLOOKUP(Tabela11[[#This Row],[Tag do Cabo]],BD!A:AJ,36,0)=0,"Pendente",VLOOKUP(Tabela11[[#This Row],[Tag do Cabo]],BD!A:AJ,36,0))</f>
        <v>15</v>
      </c>
      <c r="H352" s="391" t="str">
        <f>VLOOKUP(Tabela11[[#This Row],[Tag do Cabo]],BD!A:AJ,32,0)</f>
        <v>30LVxGB-1203</v>
      </c>
      <c r="I352" s="7" t="str">
        <f>VLOOKUP(Tabela11[[#This Row],[Tag do Cabo]],BD!A:AJ,11,0)</f>
        <v>EJB-12606X</v>
      </c>
      <c r="J352" s="3" t="str">
        <f>VLOOKUP(Tabela11[[#This Row],[Tag do Cabo]],BD!A:AJ,12,0)</f>
        <v>30LV/UCP LI-1203A</v>
      </c>
      <c r="K352" s="391" t="s">
        <v>384</v>
      </c>
      <c r="L352" s="391" t="s">
        <v>1632</v>
      </c>
      <c r="M352" s="3" t="str">
        <f>CONCATENATE(Tabela11[[#This Row],[Painel 1]]&amp;" "&amp;Tabela11[[#This Row],[Painel 2]])</f>
        <v>EJB-12606X LI-1203A</v>
      </c>
      <c r="N352" s="157">
        <v>36</v>
      </c>
      <c r="O352" s="391">
        <f>COUNTIF(Tabela12[Tag Cabo],Tabela11[[#This Row],[Tag do Cabo]])</f>
        <v>36</v>
      </c>
      <c r="P352" s="391" t="str">
        <f>IF(Tabela11[[#This Row],[Qtde Ligações]]&lt;&gt;Tabela11[[#This Row],[Qtde Anilhas]],"Ver","Ok")</f>
        <v>Ok</v>
      </c>
      <c r="Q352" s="391">
        <f>VLOOKUP(Tabela11[[#This Row],[Tag do Cabo]],BD!A:F,6,0)</f>
        <v>1</v>
      </c>
      <c r="R352" s="391">
        <f>SUMIF('Lançamento de Cabos'!AE:AE,Tabela11[[#This Row],[Tag do Cabo]],'Lançamento de Cabos'!AG:AG)</f>
        <v>0</v>
      </c>
      <c r="S352" s="28">
        <f>Tabela11[[#This Row],[Ligações Realizadas]]/Tabela11[[#This Row],[Qtde Ligações]]</f>
        <v>0</v>
      </c>
      <c r="T352" s="269">
        <f>IF(Tabela11[[#This Row],[Ligações Realizadas]]/Tabela11[[#This Row],[Qtde Ligações]]=0,0,IF(Tabela11[[#This Row],[Ligações Realizadas]]/Tabela11[[#This Row],[Qtde Ligações]]=1,ROUND(N352/2,0),"Ver Painel"))</f>
        <v>0</v>
      </c>
      <c r="U352" s="23">
        <f>IF(Tabela11[[#This Row],[Ligações Realizadas]]/Tabela11[[#This Row],[Qtde Ligações]]=0,0,IF(Tabela11[[#This Row],[Ligações Realizadas]]/Tabela11[[#This Row],[Qtde Ligações]]=1,ROUND(N352/2,0),"Ver Painel"))</f>
        <v>0</v>
      </c>
      <c r="V352" s="222"/>
    </row>
    <row r="353" spans="1:22" hidden="1" x14ac:dyDescent="0.25">
      <c r="A353" s="34" t="s">
        <v>635</v>
      </c>
      <c r="B353" s="391" t="str">
        <f>VLOOKUP(Tabela11[[#This Row],[Tag do Cabo]],BD!A:AJ,2,0)</f>
        <v>Controle</v>
      </c>
      <c r="C353" s="3" t="str">
        <f>VLOOKUP(Tabela11[[#This Row],[Tag do Cabo]],BD!A:AJ,5,0)</f>
        <v>2P#1,0mm²+SHI+SHC (N.I.S.)</v>
      </c>
      <c r="D353" s="391" t="s">
        <v>1542</v>
      </c>
      <c r="E353" s="391" t="str">
        <f>VLOOKUP(Tabela11[[#This Row],[Tag do Cabo]],BD!A:T,20,0)</f>
        <v>BK-SP54-01200-LC-80-00004_00000</v>
      </c>
      <c r="F353" s="3" t="str">
        <f>IF(VLOOKUP(Tabela11[[#This Row],[Tag do Cabo]],BD!A:AJ,35,0)=0,"Pendente",VLOOKUP(Tabela11[[#This Row],[Tag do Cabo]],BD!A:AJ,35,0))</f>
        <v>SOK0898310</v>
      </c>
      <c r="G353" s="3">
        <f>IF(VLOOKUP(Tabela11[[#This Row],[Tag do Cabo]],BD!A:AJ,36,0)=0,"Pendente",VLOOKUP(Tabela11[[#This Row],[Tag do Cabo]],BD!A:AJ,36,0))</f>
        <v>10</v>
      </c>
      <c r="H353" s="391" t="str">
        <f>VLOOKUP(Tabela11[[#This Row],[Tag do Cabo]],BD!A:AJ,32,0)</f>
        <v>7HVx30LV</v>
      </c>
      <c r="I353" s="7" t="str">
        <f>VLOOKUP(Tabela11[[#This Row],[Tag do Cabo]],BD!A:AJ,11,0)</f>
        <v>7HV/GBM-1203-INV</v>
      </c>
      <c r="J353" s="3" t="str">
        <f>VLOOKUP(Tabela11[[#This Row],[Tag do Cabo]],BD!A:AJ,12,0)</f>
        <v>30LV/UCP LI-1203A</v>
      </c>
      <c r="K353" s="391" t="s">
        <v>1589</v>
      </c>
      <c r="L353" s="391" t="s">
        <v>1632</v>
      </c>
      <c r="M353" s="3" t="str">
        <f>CONCATENATE(Tabela11[[#This Row],[Painel 1]]&amp;" "&amp;Tabela11[[#This Row],[Painel 2]])</f>
        <v>GB-1203-INV LI-1203A</v>
      </c>
      <c r="N353" s="157">
        <v>8</v>
      </c>
      <c r="O353" s="391">
        <f>COUNTIF(Tabela12[Tag Cabo],Tabela11[[#This Row],[Tag do Cabo]])</f>
        <v>8</v>
      </c>
      <c r="P353" s="391" t="str">
        <f>IF(Tabela11[[#This Row],[Qtde Ligações]]&lt;&gt;Tabela11[[#This Row],[Qtde Anilhas]],"Ver","Ok")</f>
        <v>Ok</v>
      </c>
      <c r="Q353" s="391">
        <f>VLOOKUP(Tabela11[[#This Row],[Tag do Cabo]],BD!A:F,6,0)</f>
        <v>1</v>
      </c>
      <c r="R353" s="391">
        <f>SUMIF('Lançamento de Cabos'!AE:AE,Tabela11[[#This Row],[Tag do Cabo]],'Lançamento de Cabos'!AG:AG)</f>
        <v>0</v>
      </c>
      <c r="S353" s="28">
        <f>Tabela11[[#This Row],[Ligações Realizadas]]/Tabela11[[#This Row],[Qtde Ligações]]</f>
        <v>0</v>
      </c>
      <c r="T353" s="269">
        <f>IF(Tabela11[[#This Row],[Ligações Realizadas]]/Tabela11[[#This Row],[Qtde Ligações]]=0,0,IF(Tabela11[[#This Row],[Ligações Realizadas]]/Tabela11[[#This Row],[Qtde Ligações]]=1,ROUND(N353/2,0),"Ver Painel"))</f>
        <v>0</v>
      </c>
      <c r="U353" s="23">
        <f>IF(Tabela11[[#This Row],[Ligações Realizadas]]/Tabela11[[#This Row],[Qtde Ligações]]=0,0,IF(Tabela11[[#This Row],[Ligações Realizadas]]/Tabela11[[#This Row],[Qtde Ligações]]=1,ROUND(N353/2,0),"Ver Painel"))</f>
        <v>0</v>
      </c>
      <c r="V353" s="222"/>
    </row>
    <row r="354" spans="1:22" hidden="1" x14ac:dyDescent="0.25">
      <c r="A354" s="34" t="s">
        <v>385</v>
      </c>
      <c r="B354" s="391" t="str">
        <f>VLOOKUP(Tabela11[[#This Row],[Tag do Cabo]],BD!A:AJ,2,0)</f>
        <v>Controle</v>
      </c>
      <c r="C354" s="3" t="str">
        <f>VLOOKUP(Tabela11[[#This Row],[Tag do Cabo]],BD!A:AJ,5,0)</f>
        <v>8T#1,0mm²+SHI+SHC (I.S.)</v>
      </c>
      <c r="D354" s="391" t="s">
        <v>1542</v>
      </c>
      <c r="E354" s="391" t="str">
        <f>VLOOKUP(Tabela11[[#This Row],[Tag do Cabo]],BD!A:T,20,0)</f>
        <v>BK-SP54-01200-LC-80-00004_00000</v>
      </c>
      <c r="F354" s="3" t="str">
        <f>IF(VLOOKUP(Tabela11[[#This Row],[Tag do Cabo]],BD!A:AJ,35,0)=0,"Pendente",VLOOKUP(Tabela11[[#This Row],[Tag do Cabo]],BD!A:AJ,35,0))</f>
        <v>SOK0898310</v>
      </c>
      <c r="G354" s="3">
        <f>IF(VLOOKUP(Tabela11[[#This Row],[Tag do Cabo]],BD!A:AJ,36,0)=0,"Pendente",VLOOKUP(Tabela11[[#This Row],[Tag do Cabo]],BD!A:AJ,36,0))</f>
        <v>6</v>
      </c>
      <c r="H354" s="391" t="str">
        <f>VLOOKUP(Tabela11[[#This Row],[Tag do Cabo]],BD!A:AJ,32,0)</f>
        <v>30LVxGB-1203</v>
      </c>
      <c r="I354" s="7" t="str">
        <f>VLOOKUP(Tabela11[[#This Row],[Tag do Cabo]],BD!A:AJ,11,0)</f>
        <v>JBI-120-105X</v>
      </c>
      <c r="J354" s="3" t="str">
        <f>VLOOKUP(Tabela11[[#This Row],[Tag do Cabo]],BD!A:AJ,12,0)</f>
        <v>30LV/UCP LI-1203A</v>
      </c>
      <c r="K354" s="391" t="s">
        <v>387</v>
      </c>
      <c r="L354" s="391" t="s">
        <v>1632</v>
      </c>
      <c r="M354" s="3" t="str">
        <f>CONCATENATE(Tabela11[[#This Row],[Painel 1]]&amp;" "&amp;Tabela11[[#This Row],[Painel 2]])</f>
        <v>JBI-120-105X LI-1203A</v>
      </c>
      <c r="N354" s="157">
        <v>42</v>
      </c>
      <c r="O354" s="391">
        <f>COUNTIF(Tabela12[Tag Cabo],Tabela11[[#This Row],[Tag do Cabo]])</f>
        <v>42</v>
      </c>
      <c r="P354" s="391" t="str">
        <f>IF(Tabela11[[#This Row],[Qtde Ligações]]&lt;&gt;Tabela11[[#This Row],[Qtde Anilhas]],"Ver","Ok")</f>
        <v>Ok</v>
      </c>
      <c r="Q354" s="391">
        <f>VLOOKUP(Tabela11[[#This Row],[Tag do Cabo]],BD!A:F,6,0)</f>
        <v>1</v>
      </c>
      <c r="R354" s="391">
        <f>SUMIF('Lançamento de Cabos'!AE:AE,Tabela11[[#This Row],[Tag do Cabo]],'Lançamento de Cabos'!AG:AG)</f>
        <v>0</v>
      </c>
      <c r="S354" s="28">
        <f>Tabela11[[#This Row],[Ligações Realizadas]]/Tabela11[[#This Row],[Qtde Ligações]]</f>
        <v>0</v>
      </c>
      <c r="T354" s="269">
        <f>IF(Tabela11[[#This Row],[Ligações Realizadas]]/Tabela11[[#This Row],[Qtde Ligações]]=0,0,IF(Tabela11[[#This Row],[Ligações Realizadas]]/Tabela11[[#This Row],[Qtde Ligações]]=1,ROUND(N354/2,0),"Ver Painel"))</f>
        <v>0</v>
      </c>
      <c r="U354" s="23">
        <f>IF(Tabela11[[#This Row],[Ligações Realizadas]]/Tabela11[[#This Row],[Qtde Ligações]]=0,0,IF(Tabela11[[#This Row],[Ligações Realizadas]]/Tabela11[[#This Row],[Qtde Ligações]]=1,ROUND(N354/2,0),"Ver Painel"))</f>
        <v>0</v>
      </c>
      <c r="V354" s="222"/>
    </row>
    <row r="355" spans="1:22" hidden="1" x14ac:dyDescent="0.25">
      <c r="A355" s="34" t="s">
        <v>636</v>
      </c>
      <c r="B355" s="391" t="str">
        <f>VLOOKUP(Tabela11[[#This Row],[Tag do Cabo]],BD!A:AJ,2,0)</f>
        <v>Controle</v>
      </c>
      <c r="C355" s="3" t="str">
        <f>VLOOKUP(Tabela11[[#This Row],[Tag do Cabo]],BD!A:AJ,5,0)</f>
        <v>4P#1,0mm²+SHI+SHC (N.I.S.)</v>
      </c>
      <c r="D355" s="391" t="s">
        <v>1542</v>
      </c>
      <c r="E355" s="391" t="str">
        <f>VLOOKUP(Tabela11[[#This Row],[Tag do Cabo]],BD!A:T,20,0)</f>
        <v>BK-SP54-01200-LC-80-00004_00000</v>
      </c>
      <c r="F355" s="3" t="str">
        <f>IF(VLOOKUP(Tabela11[[#This Row],[Tag do Cabo]],BD!A:AJ,35,0)=0,"Pendente",VLOOKUP(Tabela11[[#This Row],[Tag do Cabo]],BD!A:AJ,35,0))</f>
        <v>SOK0898310</v>
      </c>
      <c r="G355" s="3">
        <f>IF(VLOOKUP(Tabela11[[#This Row],[Tag do Cabo]],BD!A:AJ,36,0)=0,"Pendente",VLOOKUP(Tabela11[[#This Row],[Tag do Cabo]],BD!A:AJ,36,0))</f>
        <v>32</v>
      </c>
      <c r="H355" s="391" t="str">
        <f>VLOOKUP(Tabela11[[#This Row],[Tag do Cabo]],BD!A:AJ,32,0)</f>
        <v>7HVx30LV</v>
      </c>
      <c r="I355" s="7" t="str">
        <f>VLOOKUP(Tabela11[[#This Row],[Tag do Cabo]],BD!A:AJ,11,0)</f>
        <v>7HV/TCC-49</v>
      </c>
      <c r="J355" s="3" t="str">
        <f>VLOOKUP(Tabela11[[#This Row],[Tag do Cabo]],BD!A:AJ,12,0)</f>
        <v>30LV/UCP LI-1203A</v>
      </c>
      <c r="K355" s="391" t="s">
        <v>1543</v>
      </c>
      <c r="L355" s="391" t="s">
        <v>1632</v>
      </c>
      <c r="M355" s="3" t="str">
        <f>CONCATENATE(Tabela11[[#This Row],[Painel 1]]&amp;" "&amp;Tabela11[[#This Row],[Painel 2]])</f>
        <v>TCC-49 LI-1203A</v>
      </c>
      <c r="N355" s="157">
        <v>12</v>
      </c>
      <c r="O355" s="391">
        <f>COUNTIF(Tabela12[Tag Cabo],Tabela11[[#This Row],[Tag do Cabo]])</f>
        <v>12</v>
      </c>
      <c r="P355" s="391" t="str">
        <f>IF(Tabela11[[#This Row],[Qtde Ligações]]&lt;&gt;Tabela11[[#This Row],[Qtde Anilhas]],"Ver","Ok")</f>
        <v>Ok</v>
      </c>
      <c r="Q355" s="391">
        <f>VLOOKUP(Tabela11[[#This Row],[Tag do Cabo]],BD!A:F,6,0)</f>
        <v>1</v>
      </c>
      <c r="R355" s="391">
        <f>SUMIF('Lançamento de Cabos'!AE:AE,Tabela11[[#This Row],[Tag do Cabo]],'Lançamento de Cabos'!AG:AG)</f>
        <v>0</v>
      </c>
      <c r="S355" s="28">
        <f>Tabela11[[#This Row],[Ligações Realizadas]]/Tabela11[[#This Row],[Qtde Ligações]]</f>
        <v>0</v>
      </c>
      <c r="T355" s="269">
        <f>IF(Tabela11[[#This Row],[Ligações Realizadas]]/Tabela11[[#This Row],[Qtde Ligações]]=0,0,IF(Tabela11[[#This Row],[Ligações Realizadas]]/Tabela11[[#This Row],[Qtde Ligações]]=1,ROUND(N355/2,0),"Ver Painel"))</f>
        <v>0</v>
      </c>
      <c r="U355" s="23">
        <f>IF(Tabela11[[#This Row],[Ligações Realizadas]]/Tabela11[[#This Row],[Qtde Ligações]]=0,0,IF(Tabela11[[#This Row],[Ligações Realizadas]]/Tabela11[[#This Row],[Qtde Ligações]]=1,ROUND(N355/2,0),"Ver Painel"))</f>
        <v>0</v>
      </c>
      <c r="V355" s="222"/>
    </row>
    <row r="356" spans="1:22" hidden="1" x14ac:dyDescent="0.25">
      <c r="A356" s="34" t="s">
        <v>637</v>
      </c>
      <c r="B356" s="391" t="str">
        <f>VLOOKUP(Tabela11[[#This Row],[Tag do Cabo]],BD!A:AJ,2,0)</f>
        <v>Controle</v>
      </c>
      <c r="C356" s="3" t="str">
        <f>VLOOKUP(Tabela11[[#This Row],[Tag do Cabo]],BD!A:AJ,5,0)</f>
        <v>2P#1,0mm²+SHI+SHC (N.I.S.)</v>
      </c>
      <c r="D356" s="391" t="s">
        <v>1542</v>
      </c>
      <c r="E356" s="391" t="str">
        <f>VLOOKUP(Tabela11[[#This Row],[Tag do Cabo]],BD!A:T,20,0)</f>
        <v>BK-SP54-01200-LC-80-00004_00000</v>
      </c>
      <c r="F356" s="3" t="str">
        <f>IF(VLOOKUP(Tabela11[[#This Row],[Tag do Cabo]],BD!A:AJ,35,0)=0,"Pendente",VLOOKUP(Tabela11[[#This Row],[Tag do Cabo]],BD!A:AJ,35,0))</f>
        <v>SOK0898310</v>
      </c>
      <c r="G356" s="3">
        <f>IF(VLOOKUP(Tabela11[[#This Row],[Tag do Cabo]],BD!A:AJ,36,0)=0,"Pendente",VLOOKUP(Tabela11[[#This Row],[Tag do Cabo]],BD!A:AJ,36,0))</f>
        <v>32</v>
      </c>
      <c r="H356" s="391" t="str">
        <f>VLOOKUP(Tabela11[[#This Row],[Tag do Cabo]],BD!A:AJ,32,0)</f>
        <v>7HVx30LV</v>
      </c>
      <c r="I356" s="7" t="str">
        <f>VLOOKUP(Tabela11[[#This Row],[Tag do Cabo]],BD!A:AJ,11,0)</f>
        <v>7HV/TCC-49</v>
      </c>
      <c r="J356" s="3" t="str">
        <f>VLOOKUP(Tabela11[[#This Row],[Tag do Cabo]],BD!A:AJ,12,0)</f>
        <v>30LV/UCP LI-1203A</v>
      </c>
      <c r="K356" s="391" t="s">
        <v>1543</v>
      </c>
      <c r="L356" s="391" t="s">
        <v>1632</v>
      </c>
      <c r="M356" s="3" t="str">
        <f>CONCATENATE(Tabela11[[#This Row],[Painel 1]]&amp;" "&amp;Tabela11[[#This Row],[Painel 2]])</f>
        <v>TCC-49 LI-1203A</v>
      </c>
      <c r="N356" s="157">
        <v>8</v>
      </c>
      <c r="O356" s="391">
        <f>COUNTIF(Tabela12[Tag Cabo],Tabela11[[#This Row],[Tag do Cabo]])</f>
        <v>8</v>
      </c>
      <c r="P356" s="391" t="str">
        <f>IF(Tabela11[[#This Row],[Qtde Ligações]]&lt;&gt;Tabela11[[#This Row],[Qtde Anilhas]],"Ver","Ok")</f>
        <v>Ok</v>
      </c>
      <c r="Q356" s="391">
        <f>VLOOKUP(Tabela11[[#This Row],[Tag do Cabo]],BD!A:F,6,0)</f>
        <v>1</v>
      </c>
      <c r="R356" s="391">
        <f>SUMIF('Lançamento de Cabos'!AE:AE,Tabela11[[#This Row],[Tag do Cabo]],'Lançamento de Cabos'!AG:AG)</f>
        <v>0</v>
      </c>
      <c r="S356" s="28">
        <f>Tabela11[[#This Row],[Ligações Realizadas]]/Tabela11[[#This Row],[Qtde Ligações]]</f>
        <v>0</v>
      </c>
      <c r="T356" s="269">
        <f>IF(Tabela11[[#This Row],[Ligações Realizadas]]/Tabela11[[#This Row],[Qtde Ligações]]=0,0,IF(Tabela11[[#This Row],[Ligações Realizadas]]/Tabela11[[#This Row],[Qtde Ligações]]=1,ROUND(N356/2,0),"Ver Painel"))</f>
        <v>0</v>
      </c>
      <c r="U356" s="23">
        <f>IF(Tabela11[[#This Row],[Ligações Realizadas]]/Tabela11[[#This Row],[Qtde Ligações]]=0,0,IF(Tabela11[[#This Row],[Ligações Realizadas]]/Tabela11[[#This Row],[Qtde Ligações]]=1,ROUND(N356/2,0),"Ver Painel"))</f>
        <v>0</v>
      </c>
      <c r="V356" s="222"/>
    </row>
    <row r="357" spans="1:22" hidden="1" x14ac:dyDescent="0.25">
      <c r="A357" s="34" t="s">
        <v>638</v>
      </c>
      <c r="B357" s="391" t="str">
        <f>VLOOKUP(Tabela11[[#This Row],[Tag do Cabo]],BD!A:AJ,2,0)</f>
        <v>Controle</v>
      </c>
      <c r="C357" s="3" t="str">
        <f>VLOOKUP(Tabela11[[#This Row],[Tag do Cabo]],BD!A:AJ,5,0)</f>
        <v>2P#1,0mm²+SHI+SHC (N.I.S.)</v>
      </c>
      <c r="D357" s="391" t="s">
        <v>1542</v>
      </c>
      <c r="E357" s="391" t="str">
        <f>VLOOKUP(Tabela11[[#This Row],[Tag do Cabo]],BD!A:T,20,0)</f>
        <v>BK-SP54-01200-LC-80-00004_00000</v>
      </c>
      <c r="F357" s="3" t="str">
        <f>IF(VLOOKUP(Tabela11[[#This Row],[Tag do Cabo]],BD!A:AJ,35,0)=0,"Pendente",VLOOKUP(Tabela11[[#This Row],[Tag do Cabo]],BD!A:AJ,35,0))</f>
        <v>SOK0898310</v>
      </c>
      <c r="G357" s="3">
        <f>IF(VLOOKUP(Tabela11[[#This Row],[Tag do Cabo]],BD!A:AJ,36,0)=0,"Pendente",VLOOKUP(Tabela11[[#This Row],[Tag do Cabo]],BD!A:AJ,36,0))</f>
        <v>32</v>
      </c>
      <c r="H357" s="391" t="str">
        <f>VLOOKUP(Tabela11[[#This Row],[Tag do Cabo]],BD!A:AJ,32,0)</f>
        <v>7HVx30LV</v>
      </c>
      <c r="I357" s="7" t="str">
        <f>VLOOKUP(Tabela11[[#This Row],[Tag do Cabo]],BD!A:AJ,11,0)</f>
        <v>7HV/TCC-49</v>
      </c>
      <c r="J357" s="3" t="str">
        <f>VLOOKUP(Tabela11[[#This Row],[Tag do Cabo]],BD!A:AJ,12,0)</f>
        <v>30LV/UCP LI-1203A</v>
      </c>
      <c r="K357" s="391" t="s">
        <v>1543</v>
      </c>
      <c r="L357" s="391" t="s">
        <v>1632</v>
      </c>
      <c r="M357" s="3" t="str">
        <f>CONCATENATE(Tabela11[[#This Row],[Painel 1]]&amp;" "&amp;Tabela11[[#This Row],[Painel 2]])</f>
        <v>TCC-49 LI-1203A</v>
      </c>
      <c r="N357" s="157">
        <v>8</v>
      </c>
      <c r="O357" s="391">
        <f>COUNTIF(Tabela12[Tag Cabo],Tabela11[[#This Row],[Tag do Cabo]])</f>
        <v>8</v>
      </c>
      <c r="P357" s="391" t="str">
        <f>IF(Tabela11[[#This Row],[Qtde Ligações]]&lt;&gt;Tabela11[[#This Row],[Qtde Anilhas]],"Ver","Ok")</f>
        <v>Ok</v>
      </c>
      <c r="Q357" s="391">
        <f>VLOOKUP(Tabela11[[#This Row],[Tag do Cabo]],BD!A:F,6,0)</f>
        <v>1</v>
      </c>
      <c r="R357" s="391">
        <f>SUMIF('Lançamento de Cabos'!AE:AE,Tabela11[[#This Row],[Tag do Cabo]],'Lançamento de Cabos'!AG:AG)</f>
        <v>0</v>
      </c>
      <c r="S357" s="28">
        <f>Tabela11[[#This Row],[Ligações Realizadas]]/Tabela11[[#This Row],[Qtde Ligações]]</f>
        <v>0</v>
      </c>
      <c r="T357" s="269">
        <f>IF(Tabela11[[#This Row],[Ligações Realizadas]]/Tabela11[[#This Row],[Qtde Ligações]]=0,0,IF(Tabela11[[#This Row],[Ligações Realizadas]]/Tabela11[[#This Row],[Qtde Ligações]]=1,ROUND(N357/2,0),"Ver Painel"))</f>
        <v>0</v>
      </c>
      <c r="U357" s="23">
        <f>IF(Tabela11[[#This Row],[Ligações Realizadas]]/Tabela11[[#This Row],[Qtde Ligações]]=0,0,IF(Tabela11[[#This Row],[Ligações Realizadas]]/Tabela11[[#This Row],[Qtde Ligações]]=1,ROUND(N357/2,0),"Ver Painel"))</f>
        <v>0</v>
      </c>
      <c r="V357" s="222"/>
    </row>
    <row r="358" spans="1:22" hidden="1" x14ac:dyDescent="0.25">
      <c r="A358" s="34" t="s">
        <v>639</v>
      </c>
      <c r="B358" s="391" t="str">
        <f>VLOOKUP(Tabela11[[#This Row],[Tag do Cabo]],BD!A:AJ,2,0)</f>
        <v>Controle</v>
      </c>
      <c r="C358" s="3" t="str">
        <f>VLOOKUP(Tabela11[[#This Row],[Tag do Cabo]],BD!A:AJ,5,0)</f>
        <v>4P#1,0mm²+SHI+SHC (N.I.S.)</v>
      </c>
      <c r="D358" s="391" t="s">
        <v>1542</v>
      </c>
      <c r="E358" s="391" t="str">
        <f>VLOOKUP(Tabela11[[#This Row],[Tag do Cabo]],BD!A:T,20,0)</f>
        <v>BK-SP54-01200-LC-80-00004_00000</v>
      </c>
      <c r="F358" s="3" t="str">
        <f>IF(VLOOKUP(Tabela11[[#This Row],[Tag do Cabo]],BD!A:AJ,35,0)=0,"Pendente",VLOOKUP(Tabela11[[#This Row],[Tag do Cabo]],BD!A:AJ,35,0))</f>
        <v>SOK0898310</v>
      </c>
      <c r="G358" s="3">
        <f>IF(VLOOKUP(Tabela11[[#This Row],[Tag do Cabo]],BD!A:AJ,36,0)=0,"Pendente",VLOOKUP(Tabela11[[#This Row],[Tag do Cabo]],BD!A:AJ,36,0))</f>
        <v>31</v>
      </c>
      <c r="H358" s="391" t="str">
        <f>VLOOKUP(Tabela11[[#This Row],[Tag do Cabo]],BD!A:AJ,32,0)</f>
        <v>7HVx30LV</v>
      </c>
      <c r="I358" s="7" t="str">
        <f>VLOOKUP(Tabela11[[#This Row],[Tag do Cabo]],BD!A:AJ,11,0)</f>
        <v>7HV/TCC-49</v>
      </c>
      <c r="J358" s="3" t="str">
        <f>VLOOKUP(Tabela11[[#This Row],[Tag do Cabo]],BD!A:AJ,12,0)</f>
        <v>30LV/UCP LI-1203A</v>
      </c>
      <c r="K358" s="391" t="s">
        <v>1543</v>
      </c>
      <c r="L358" s="391" t="s">
        <v>1632</v>
      </c>
      <c r="M358" s="3" t="str">
        <f>CONCATENATE(Tabela11[[#This Row],[Painel 1]]&amp;" "&amp;Tabela11[[#This Row],[Painel 2]])</f>
        <v>TCC-49 LI-1203A</v>
      </c>
      <c r="N358" s="157">
        <v>12</v>
      </c>
      <c r="O358" s="391">
        <f>COUNTIF(Tabela12[Tag Cabo],Tabela11[[#This Row],[Tag do Cabo]])</f>
        <v>12</v>
      </c>
      <c r="P358" s="391" t="str">
        <f>IF(Tabela11[[#This Row],[Qtde Ligações]]&lt;&gt;Tabela11[[#This Row],[Qtde Anilhas]],"Ver","Ok")</f>
        <v>Ok</v>
      </c>
      <c r="Q358" s="391">
        <f>VLOOKUP(Tabela11[[#This Row],[Tag do Cabo]],BD!A:F,6,0)</f>
        <v>1</v>
      </c>
      <c r="R358" s="391">
        <f>SUMIF('Lançamento de Cabos'!AE:AE,Tabela11[[#This Row],[Tag do Cabo]],'Lançamento de Cabos'!AG:AG)</f>
        <v>0</v>
      </c>
      <c r="S358" s="28">
        <f>Tabela11[[#This Row],[Ligações Realizadas]]/Tabela11[[#This Row],[Qtde Ligações]]</f>
        <v>0</v>
      </c>
      <c r="T358" s="269">
        <f>IF(Tabela11[[#This Row],[Ligações Realizadas]]/Tabela11[[#This Row],[Qtde Ligações]]=0,0,IF(Tabela11[[#This Row],[Ligações Realizadas]]/Tabela11[[#This Row],[Qtde Ligações]]=1,ROUND(N358/2,0),"Ver Painel"))</f>
        <v>0</v>
      </c>
      <c r="U358" s="23">
        <f>IF(Tabela11[[#This Row],[Ligações Realizadas]]/Tabela11[[#This Row],[Qtde Ligações]]=0,0,IF(Tabela11[[#This Row],[Ligações Realizadas]]/Tabela11[[#This Row],[Qtde Ligações]]=1,ROUND(N358/2,0),"Ver Painel"))</f>
        <v>0</v>
      </c>
      <c r="V358" s="222"/>
    </row>
    <row r="359" spans="1:22" hidden="1" x14ac:dyDescent="0.25">
      <c r="A359" s="34" t="s">
        <v>640</v>
      </c>
      <c r="B359" s="391" t="str">
        <f>VLOOKUP(Tabela11[[#This Row],[Tag do Cabo]],BD!A:AJ,2,0)</f>
        <v>Controle</v>
      </c>
      <c r="C359" s="3" t="str">
        <f>VLOOKUP(Tabela11[[#This Row],[Tag do Cabo]],BD!A:AJ,5,0)</f>
        <v>2P#1,0mm²+SHI+SHC (N.I.S.)</v>
      </c>
      <c r="D359" s="391" t="s">
        <v>1542</v>
      </c>
      <c r="E359" s="391" t="str">
        <f>VLOOKUP(Tabela11[[#This Row],[Tag do Cabo]],BD!A:T,20,0)</f>
        <v>BK-SP54-01200-LC-80-00004_00000</v>
      </c>
      <c r="F359" s="3" t="str">
        <f>IF(VLOOKUP(Tabela11[[#This Row],[Tag do Cabo]],BD!A:AJ,35,0)=0,"Pendente",VLOOKUP(Tabela11[[#This Row],[Tag do Cabo]],BD!A:AJ,35,0))</f>
        <v>SOK0898310</v>
      </c>
      <c r="G359" s="3">
        <f>IF(VLOOKUP(Tabela11[[#This Row],[Tag do Cabo]],BD!A:AJ,36,0)=0,"Pendente",VLOOKUP(Tabela11[[#This Row],[Tag do Cabo]],BD!A:AJ,36,0))</f>
        <v>32</v>
      </c>
      <c r="H359" s="391" t="str">
        <f>VLOOKUP(Tabela11[[#This Row],[Tag do Cabo]],BD!A:AJ,32,0)</f>
        <v>7HVx30LV</v>
      </c>
      <c r="I359" s="7" t="str">
        <f>VLOOKUP(Tabela11[[#This Row],[Tag do Cabo]],BD!A:AJ,11,0)</f>
        <v>7HV/TCC-49</v>
      </c>
      <c r="J359" s="3" t="str">
        <f>VLOOKUP(Tabela11[[#This Row],[Tag do Cabo]],BD!A:AJ,12,0)</f>
        <v>30LV/UCP LI-1203A</v>
      </c>
      <c r="K359" s="391" t="s">
        <v>1543</v>
      </c>
      <c r="L359" s="391" t="s">
        <v>1632</v>
      </c>
      <c r="M359" s="3" t="str">
        <f>CONCATENATE(Tabela11[[#This Row],[Painel 1]]&amp;" "&amp;Tabela11[[#This Row],[Painel 2]])</f>
        <v>TCC-49 LI-1203A</v>
      </c>
      <c r="N359" s="157">
        <v>8</v>
      </c>
      <c r="O359" s="391">
        <f>COUNTIF(Tabela12[Tag Cabo],Tabela11[[#This Row],[Tag do Cabo]])</f>
        <v>8</v>
      </c>
      <c r="P359" s="391" t="str">
        <f>IF(Tabela11[[#This Row],[Qtde Ligações]]&lt;&gt;Tabela11[[#This Row],[Qtde Anilhas]],"Ver","Ok")</f>
        <v>Ok</v>
      </c>
      <c r="Q359" s="391">
        <f>VLOOKUP(Tabela11[[#This Row],[Tag do Cabo]],BD!A:F,6,0)</f>
        <v>1</v>
      </c>
      <c r="R359" s="391">
        <f>SUMIF('Lançamento de Cabos'!AE:AE,Tabela11[[#This Row],[Tag do Cabo]],'Lançamento de Cabos'!AG:AG)</f>
        <v>0</v>
      </c>
      <c r="S359" s="28">
        <f>Tabela11[[#This Row],[Ligações Realizadas]]/Tabela11[[#This Row],[Qtde Ligações]]</f>
        <v>0</v>
      </c>
      <c r="T359" s="269">
        <f>IF(Tabela11[[#This Row],[Ligações Realizadas]]/Tabela11[[#This Row],[Qtde Ligações]]=0,0,IF(Tabela11[[#This Row],[Ligações Realizadas]]/Tabela11[[#This Row],[Qtde Ligações]]=1,ROUND(N359/2,0),"Ver Painel"))</f>
        <v>0</v>
      </c>
      <c r="U359" s="23">
        <f>IF(Tabela11[[#This Row],[Ligações Realizadas]]/Tabela11[[#This Row],[Qtde Ligações]]=0,0,IF(Tabela11[[#This Row],[Ligações Realizadas]]/Tabela11[[#This Row],[Qtde Ligações]]=1,ROUND(N359/2,0),"Ver Painel"))</f>
        <v>0</v>
      </c>
      <c r="V359" s="222"/>
    </row>
    <row r="360" spans="1:22" hidden="1" x14ac:dyDescent="0.25">
      <c r="A360" s="34" t="s">
        <v>641</v>
      </c>
      <c r="B360" s="391" t="str">
        <f>VLOOKUP(Tabela11[[#This Row],[Tag do Cabo]],BD!A:AJ,2,0)</f>
        <v>Controle</v>
      </c>
      <c r="C360" s="3" t="str">
        <f>VLOOKUP(Tabela11[[#This Row],[Tag do Cabo]],BD!A:AJ,5,0)</f>
        <v>4P#1,0mm²+SHI+SHC (N.I.S.)</v>
      </c>
      <c r="D360" s="391" t="s">
        <v>1542</v>
      </c>
      <c r="E360" s="391" t="str">
        <f>VLOOKUP(Tabela11[[#This Row],[Tag do Cabo]],BD!A:T,20,0)</f>
        <v>BK-SP54-01200-LC-80-00004_00000</v>
      </c>
      <c r="F360" s="3" t="str">
        <f>IF(VLOOKUP(Tabela11[[#This Row],[Tag do Cabo]],BD!A:AJ,35,0)=0,"Pendente",VLOOKUP(Tabela11[[#This Row],[Tag do Cabo]],BD!A:AJ,35,0))</f>
        <v>SOK0898310</v>
      </c>
      <c r="G360" s="3">
        <f>IF(VLOOKUP(Tabela11[[#This Row],[Tag do Cabo]],BD!A:AJ,36,0)=0,"Pendente",VLOOKUP(Tabela11[[#This Row],[Tag do Cabo]],BD!A:AJ,36,0))</f>
        <v>31</v>
      </c>
      <c r="H360" s="391" t="str">
        <f>VLOOKUP(Tabela11[[#This Row],[Tag do Cabo]],BD!A:AJ,32,0)</f>
        <v>7HVx30LV</v>
      </c>
      <c r="I360" s="7" t="str">
        <f>VLOOKUP(Tabela11[[#This Row],[Tag do Cabo]],BD!A:AJ,11,0)</f>
        <v>7HV/TCC-49</v>
      </c>
      <c r="J360" s="3" t="str">
        <f>VLOOKUP(Tabela11[[#This Row],[Tag do Cabo]],BD!A:AJ,12,0)</f>
        <v>30LV/UCP LI-1203A</v>
      </c>
      <c r="K360" s="391" t="s">
        <v>1543</v>
      </c>
      <c r="L360" s="391" t="s">
        <v>1632</v>
      </c>
      <c r="M360" s="3" t="str">
        <f>CONCATENATE(Tabela11[[#This Row],[Painel 1]]&amp;" "&amp;Tabela11[[#This Row],[Painel 2]])</f>
        <v>TCC-49 LI-1203A</v>
      </c>
      <c r="N360" s="157">
        <v>12</v>
      </c>
      <c r="O360" s="391">
        <f>COUNTIF(Tabela12[Tag Cabo],Tabela11[[#This Row],[Tag do Cabo]])</f>
        <v>12</v>
      </c>
      <c r="P360" s="391" t="str">
        <f>IF(Tabela11[[#This Row],[Qtde Ligações]]&lt;&gt;Tabela11[[#This Row],[Qtde Anilhas]],"Ver","Ok")</f>
        <v>Ok</v>
      </c>
      <c r="Q360" s="391">
        <f>VLOOKUP(Tabela11[[#This Row],[Tag do Cabo]],BD!A:F,6,0)</f>
        <v>1</v>
      </c>
      <c r="R360" s="391">
        <f>SUMIF('Lançamento de Cabos'!AE:AE,Tabela11[[#This Row],[Tag do Cabo]],'Lançamento de Cabos'!AG:AG)</f>
        <v>0</v>
      </c>
      <c r="S360" s="28">
        <f>Tabela11[[#This Row],[Ligações Realizadas]]/Tabela11[[#This Row],[Qtde Ligações]]</f>
        <v>0</v>
      </c>
      <c r="T360" s="269">
        <f>IF(Tabela11[[#This Row],[Ligações Realizadas]]/Tabela11[[#This Row],[Qtde Ligações]]=0,0,IF(Tabela11[[#This Row],[Ligações Realizadas]]/Tabela11[[#This Row],[Qtde Ligações]]=1,ROUND(N360/2,0),"Ver Painel"))</f>
        <v>0</v>
      </c>
      <c r="U360" s="23">
        <f>IF(Tabela11[[#This Row],[Ligações Realizadas]]/Tabela11[[#This Row],[Qtde Ligações]]=0,0,IF(Tabela11[[#This Row],[Ligações Realizadas]]/Tabela11[[#This Row],[Qtde Ligações]]=1,ROUND(N360/2,0),"Ver Painel"))</f>
        <v>0</v>
      </c>
      <c r="V360" s="222"/>
    </row>
    <row r="361" spans="1:22" hidden="1" x14ac:dyDescent="0.25">
      <c r="A361" s="34" t="s">
        <v>642</v>
      </c>
      <c r="B361" s="391" t="str">
        <f>VLOOKUP(Tabela11[[#This Row],[Tag do Cabo]],BD!A:AJ,2,0)</f>
        <v>Controle</v>
      </c>
      <c r="C361" s="3" t="str">
        <f>VLOOKUP(Tabela11[[#This Row],[Tag do Cabo]],BD!A:AJ,5,0)</f>
        <v>2P#1,0mm²+SHI+SHC (N.I.S.)</v>
      </c>
      <c r="D361" s="391" t="s">
        <v>1542</v>
      </c>
      <c r="E361" s="391" t="str">
        <f>VLOOKUP(Tabela11[[#This Row],[Tag do Cabo]],BD!A:T,20,0)</f>
        <v>BK-SP54-01200-LC-80-00004_00000</v>
      </c>
      <c r="F361" s="3" t="str">
        <f>IF(VLOOKUP(Tabela11[[#This Row],[Tag do Cabo]],BD!A:AJ,35,0)=0,"Pendente",VLOOKUP(Tabela11[[#This Row],[Tag do Cabo]],BD!A:AJ,35,0))</f>
        <v>SOK0898310</v>
      </c>
      <c r="G361" s="3">
        <f>IF(VLOOKUP(Tabela11[[#This Row],[Tag do Cabo]],BD!A:AJ,36,0)=0,"Pendente",VLOOKUP(Tabela11[[#This Row],[Tag do Cabo]],BD!A:AJ,36,0))</f>
        <v>32</v>
      </c>
      <c r="H361" s="391" t="str">
        <f>VLOOKUP(Tabela11[[#This Row],[Tag do Cabo]],BD!A:AJ,32,0)</f>
        <v>7HVx30LV</v>
      </c>
      <c r="I361" s="7" t="str">
        <f>VLOOKUP(Tabela11[[#This Row],[Tag do Cabo]],BD!A:AJ,11,0)</f>
        <v>7HV/TCC-49</v>
      </c>
      <c r="J361" s="3" t="str">
        <f>VLOOKUP(Tabela11[[#This Row],[Tag do Cabo]],BD!A:AJ,12,0)</f>
        <v>30LV/UCP LI-1203A</v>
      </c>
      <c r="K361" s="391" t="s">
        <v>1543</v>
      </c>
      <c r="L361" s="391" t="s">
        <v>1632</v>
      </c>
      <c r="M361" s="3" t="str">
        <f>CONCATENATE(Tabela11[[#This Row],[Painel 1]]&amp;" "&amp;Tabela11[[#This Row],[Painel 2]])</f>
        <v>TCC-49 LI-1203A</v>
      </c>
      <c r="N361" s="157">
        <v>8</v>
      </c>
      <c r="O361" s="391">
        <f>COUNTIF(Tabela12[Tag Cabo],Tabela11[[#This Row],[Tag do Cabo]])</f>
        <v>8</v>
      </c>
      <c r="P361" s="391" t="str">
        <f>IF(Tabela11[[#This Row],[Qtde Ligações]]&lt;&gt;Tabela11[[#This Row],[Qtde Anilhas]],"Ver","Ok")</f>
        <v>Ok</v>
      </c>
      <c r="Q361" s="391">
        <f>VLOOKUP(Tabela11[[#This Row],[Tag do Cabo]],BD!A:F,6,0)</f>
        <v>1</v>
      </c>
      <c r="R361" s="391">
        <f>SUMIF('Lançamento de Cabos'!AE:AE,Tabela11[[#This Row],[Tag do Cabo]],'Lançamento de Cabos'!AG:AG)</f>
        <v>0</v>
      </c>
      <c r="S361" s="28">
        <f>Tabela11[[#This Row],[Ligações Realizadas]]/Tabela11[[#This Row],[Qtde Ligações]]</f>
        <v>0</v>
      </c>
      <c r="T361" s="269">
        <f>IF(Tabela11[[#This Row],[Ligações Realizadas]]/Tabela11[[#This Row],[Qtde Ligações]]=0,0,IF(Tabela11[[#This Row],[Ligações Realizadas]]/Tabela11[[#This Row],[Qtde Ligações]]=1,ROUND(N361/2,0),"Ver Painel"))</f>
        <v>0</v>
      </c>
      <c r="U361" s="23">
        <f>IF(Tabela11[[#This Row],[Ligações Realizadas]]/Tabela11[[#This Row],[Qtde Ligações]]=0,0,IF(Tabela11[[#This Row],[Ligações Realizadas]]/Tabela11[[#This Row],[Qtde Ligações]]=1,ROUND(N361/2,0),"Ver Painel"))</f>
        <v>0</v>
      </c>
      <c r="V361" s="222"/>
    </row>
    <row r="362" spans="1:22" hidden="1" x14ac:dyDescent="0.25">
      <c r="A362" s="34" t="s">
        <v>388</v>
      </c>
      <c r="B362" s="391" t="str">
        <f>VLOOKUP(Tabela11[[#This Row],[Tag do Cabo]],BD!A:AJ,2,0)</f>
        <v>Controle</v>
      </c>
      <c r="C362" s="3" t="str">
        <f>VLOOKUP(Tabela11[[#This Row],[Tag do Cabo]],BD!A:AJ,5,0)</f>
        <v>12P#1,0mm²+SHI+SHC (I.S.)</v>
      </c>
      <c r="D362" s="391" t="s">
        <v>1542</v>
      </c>
      <c r="E362" s="391" t="str">
        <f>VLOOKUP(Tabela11[[#This Row],[Tag do Cabo]],BD!A:T,20,0)</f>
        <v>BK-SP54-01200-LC-80-00004_00000</v>
      </c>
      <c r="F362" s="3" t="str">
        <f>IF(VLOOKUP(Tabela11[[#This Row],[Tag do Cabo]],BD!A:AJ,35,0)=0,"Pendente",VLOOKUP(Tabela11[[#This Row],[Tag do Cabo]],BD!A:AJ,35,0))</f>
        <v>SOK0898310</v>
      </c>
      <c r="G362" s="3" t="str">
        <f>IF(VLOOKUP(Tabela11[[#This Row],[Tag do Cabo]],BD!A:AJ,36,0)=0,"Pendente",VLOOKUP(Tabela11[[#This Row],[Tag do Cabo]],BD!A:AJ,36,0))</f>
        <v>21/22/24</v>
      </c>
      <c r="H362" s="391" t="str">
        <f>VLOOKUP(Tabela11[[#This Row],[Tag do Cabo]],BD!A:AJ,32,0)</f>
        <v>30LVxGB-1203</v>
      </c>
      <c r="I362" s="7" t="str">
        <f>VLOOKUP(Tabela11[[#This Row],[Tag do Cabo]],BD!A:AJ,11,0)</f>
        <v xml:space="preserve">JBI-120-104X </v>
      </c>
      <c r="J362" s="3" t="str">
        <f>VLOOKUP(Tabela11[[#This Row],[Tag do Cabo]],BD!A:AJ,12,0)</f>
        <v>30LV/UCP LI-1203A</v>
      </c>
      <c r="K362" s="391" t="s">
        <v>1642</v>
      </c>
      <c r="L362" s="391" t="s">
        <v>1632</v>
      </c>
      <c r="M362" s="3" t="str">
        <f>CONCATENATE(Tabela11[[#This Row],[Painel 1]]&amp;" "&amp;Tabela11[[#This Row],[Painel 2]])</f>
        <v>JBI-120-104X LI-1203A</v>
      </c>
      <c r="N362" s="157">
        <v>46</v>
      </c>
      <c r="O362" s="391">
        <f>COUNTIF(Tabela12[Tag Cabo],Tabela11[[#This Row],[Tag do Cabo]])</f>
        <v>46</v>
      </c>
      <c r="P362" s="391" t="str">
        <f>IF(Tabela11[[#This Row],[Qtde Ligações]]&lt;&gt;Tabela11[[#This Row],[Qtde Anilhas]],"Ver","Ok")</f>
        <v>Ok</v>
      </c>
      <c r="Q362" s="391">
        <f>VLOOKUP(Tabela11[[#This Row],[Tag do Cabo]],BD!A:F,6,0)</f>
        <v>1</v>
      </c>
      <c r="R362" s="391">
        <f>SUMIF('Lançamento de Cabos'!AE:AE,Tabela11[[#This Row],[Tag do Cabo]],'Lançamento de Cabos'!AG:AG)</f>
        <v>0</v>
      </c>
      <c r="S362" s="28">
        <f>Tabela11[[#This Row],[Ligações Realizadas]]/Tabela11[[#This Row],[Qtde Ligações]]</f>
        <v>0</v>
      </c>
      <c r="T362" s="269">
        <f>IF(Tabela11[[#This Row],[Ligações Realizadas]]/Tabela11[[#This Row],[Qtde Ligações]]=0,0,IF(Tabela11[[#This Row],[Ligações Realizadas]]/Tabela11[[#This Row],[Qtde Ligações]]=1,ROUND(N362/2,0),"Ver Painel"))</f>
        <v>0</v>
      </c>
      <c r="U362" s="23">
        <f>IF(Tabela11[[#This Row],[Ligações Realizadas]]/Tabela11[[#This Row],[Qtde Ligações]]=0,0,IF(Tabela11[[#This Row],[Ligações Realizadas]]/Tabela11[[#This Row],[Qtde Ligações]]=1,ROUND(N362/2,0),"Ver Painel"))</f>
        <v>0</v>
      </c>
      <c r="V362" s="222"/>
    </row>
    <row r="363" spans="1:22" hidden="1" x14ac:dyDescent="0.25">
      <c r="A363" s="34" t="s">
        <v>643</v>
      </c>
      <c r="B363" s="391" t="str">
        <f>VLOOKUP(Tabela11[[#This Row],[Tag do Cabo]],BD!A:AJ,2,0)</f>
        <v>Controle</v>
      </c>
      <c r="C363" s="3" t="str">
        <f>VLOOKUP(Tabela11[[#This Row],[Tag do Cabo]],BD!A:AJ,5,0)</f>
        <v>4P#1,0mm²+SHI+SHC (N.I.S.)</v>
      </c>
      <c r="D363" s="391" t="s">
        <v>1542</v>
      </c>
      <c r="E363" s="391" t="str">
        <f>VLOOKUP(Tabela11[[#This Row],[Tag do Cabo]],BD!A:T,20,0)</f>
        <v>BK-SP54-01200-LC-80-00004_00000</v>
      </c>
      <c r="F363" s="3" t="str">
        <f>IF(VLOOKUP(Tabela11[[#This Row],[Tag do Cabo]],BD!A:AJ,35,0)=0,"Pendente",VLOOKUP(Tabela11[[#This Row],[Tag do Cabo]],BD!A:AJ,35,0))</f>
        <v>SOK0898310</v>
      </c>
      <c r="G363" s="3">
        <f>IF(VLOOKUP(Tabela11[[#This Row],[Tag do Cabo]],BD!A:AJ,36,0)=0,"Pendente",VLOOKUP(Tabela11[[#This Row],[Tag do Cabo]],BD!A:AJ,36,0))</f>
        <v>31</v>
      </c>
      <c r="H363" s="391" t="str">
        <f>VLOOKUP(Tabela11[[#This Row],[Tag do Cabo]],BD!A:AJ,32,0)</f>
        <v>7HVx30LV</v>
      </c>
      <c r="I363" s="7" t="str">
        <f>VLOOKUP(Tabela11[[#This Row],[Tag do Cabo]],BD!A:AJ,11,0)</f>
        <v>7HV/TCC-49</v>
      </c>
      <c r="J363" s="3" t="str">
        <f>VLOOKUP(Tabela11[[#This Row],[Tag do Cabo]],BD!A:AJ,12,0)</f>
        <v>30LV/UCP LI-1203A</v>
      </c>
      <c r="K363" s="391" t="s">
        <v>1543</v>
      </c>
      <c r="L363" s="391" t="s">
        <v>1632</v>
      </c>
      <c r="M363" s="3" t="str">
        <f>CONCATENATE(Tabela11[[#This Row],[Painel 1]]&amp;" "&amp;Tabela11[[#This Row],[Painel 2]])</f>
        <v>TCC-49 LI-1203A</v>
      </c>
      <c r="N363" s="157">
        <v>12</v>
      </c>
      <c r="O363" s="391">
        <f>COUNTIF(Tabela12[Tag Cabo],Tabela11[[#This Row],[Tag do Cabo]])</f>
        <v>12</v>
      </c>
      <c r="P363" s="391" t="str">
        <f>IF(Tabela11[[#This Row],[Qtde Ligações]]&lt;&gt;Tabela11[[#This Row],[Qtde Anilhas]],"Ver","Ok")</f>
        <v>Ok</v>
      </c>
      <c r="Q363" s="391">
        <f>VLOOKUP(Tabela11[[#This Row],[Tag do Cabo]],BD!A:F,6,0)</f>
        <v>1</v>
      </c>
      <c r="R363" s="391">
        <f>SUMIF('Lançamento de Cabos'!AE:AE,Tabela11[[#This Row],[Tag do Cabo]],'Lançamento de Cabos'!AG:AG)</f>
        <v>0</v>
      </c>
      <c r="S363" s="28">
        <f>Tabela11[[#This Row],[Ligações Realizadas]]/Tabela11[[#This Row],[Qtde Ligações]]</f>
        <v>0</v>
      </c>
      <c r="T363" s="269">
        <f>IF(Tabela11[[#This Row],[Ligações Realizadas]]/Tabela11[[#This Row],[Qtde Ligações]]=0,0,IF(Tabela11[[#This Row],[Ligações Realizadas]]/Tabela11[[#This Row],[Qtde Ligações]]=1,ROUND(N363/2,0),"Ver Painel"))</f>
        <v>0</v>
      </c>
      <c r="U363" s="23">
        <f>IF(Tabela11[[#This Row],[Ligações Realizadas]]/Tabela11[[#This Row],[Qtde Ligações]]=0,0,IF(Tabela11[[#This Row],[Ligações Realizadas]]/Tabela11[[#This Row],[Qtde Ligações]]=1,ROUND(N363/2,0),"Ver Painel"))</f>
        <v>0</v>
      </c>
      <c r="V363" s="222"/>
    </row>
    <row r="364" spans="1:22" hidden="1" x14ac:dyDescent="0.25">
      <c r="A364" s="34" t="s">
        <v>644</v>
      </c>
      <c r="B364" s="391" t="str">
        <f>VLOOKUP(Tabela11[[#This Row],[Tag do Cabo]],BD!A:AJ,2,0)</f>
        <v>Controle</v>
      </c>
      <c r="C364" s="3" t="str">
        <f>VLOOKUP(Tabela11[[#This Row],[Tag do Cabo]],BD!A:AJ,5,0)</f>
        <v>2P#1,0mm²+SHI+SHC (N.I.S.)</v>
      </c>
      <c r="D364" s="391" t="s">
        <v>1542</v>
      </c>
      <c r="E364" s="391" t="str">
        <f>VLOOKUP(Tabela11[[#This Row],[Tag do Cabo]],BD!A:T,20,0)</f>
        <v>BK-SP54-01200-LC-80-00004_00000</v>
      </c>
      <c r="F364" s="3" t="str">
        <f>IF(VLOOKUP(Tabela11[[#This Row],[Tag do Cabo]],BD!A:AJ,35,0)=0,"Pendente",VLOOKUP(Tabela11[[#This Row],[Tag do Cabo]],BD!A:AJ,35,0))</f>
        <v>SOK0898310</v>
      </c>
      <c r="G364" s="3">
        <f>IF(VLOOKUP(Tabela11[[#This Row],[Tag do Cabo]],BD!A:AJ,36,0)=0,"Pendente",VLOOKUP(Tabela11[[#This Row],[Tag do Cabo]],BD!A:AJ,36,0))</f>
        <v>32</v>
      </c>
      <c r="H364" s="391" t="str">
        <f>VLOOKUP(Tabela11[[#This Row],[Tag do Cabo]],BD!A:AJ,32,0)</f>
        <v>7HVx30LV</v>
      </c>
      <c r="I364" s="7" t="str">
        <f>VLOOKUP(Tabela11[[#This Row],[Tag do Cabo]],BD!A:AJ,11,0)</f>
        <v>7HV/TCC-49</v>
      </c>
      <c r="J364" s="3" t="str">
        <f>VLOOKUP(Tabela11[[#This Row],[Tag do Cabo]],BD!A:AJ,12,0)</f>
        <v>30LV/UCP LI-1203A</v>
      </c>
      <c r="K364" s="391" t="s">
        <v>1543</v>
      </c>
      <c r="L364" s="391" t="s">
        <v>1632</v>
      </c>
      <c r="M364" s="3" t="str">
        <f>CONCATENATE(Tabela11[[#This Row],[Painel 1]]&amp;" "&amp;Tabela11[[#This Row],[Painel 2]])</f>
        <v>TCC-49 LI-1203A</v>
      </c>
      <c r="N364" s="157">
        <v>8</v>
      </c>
      <c r="O364" s="391">
        <f>COUNTIF(Tabela12[Tag Cabo],Tabela11[[#This Row],[Tag do Cabo]])</f>
        <v>8</v>
      </c>
      <c r="P364" s="391" t="str">
        <f>IF(Tabela11[[#This Row],[Qtde Ligações]]&lt;&gt;Tabela11[[#This Row],[Qtde Anilhas]],"Ver","Ok")</f>
        <v>Ok</v>
      </c>
      <c r="Q364" s="391">
        <f>VLOOKUP(Tabela11[[#This Row],[Tag do Cabo]],BD!A:F,6,0)</f>
        <v>1</v>
      </c>
      <c r="R364" s="391">
        <f>SUMIF('Lançamento de Cabos'!AE:AE,Tabela11[[#This Row],[Tag do Cabo]],'Lançamento de Cabos'!AG:AG)</f>
        <v>0</v>
      </c>
      <c r="S364" s="28">
        <f>Tabela11[[#This Row],[Ligações Realizadas]]/Tabela11[[#This Row],[Qtde Ligações]]</f>
        <v>0</v>
      </c>
      <c r="T364" s="269">
        <f>IF(Tabela11[[#This Row],[Ligações Realizadas]]/Tabela11[[#This Row],[Qtde Ligações]]=0,0,IF(Tabela11[[#This Row],[Ligações Realizadas]]/Tabela11[[#This Row],[Qtde Ligações]]=1,ROUND(N364/2,0),"Ver Painel"))</f>
        <v>0</v>
      </c>
      <c r="U364" s="23">
        <f>IF(Tabela11[[#This Row],[Ligações Realizadas]]/Tabela11[[#This Row],[Qtde Ligações]]=0,0,IF(Tabela11[[#This Row],[Ligações Realizadas]]/Tabela11[[#This Row],[Qtde Ligações]]=1,ROUND(N364/2,0),"Ver Painel"))</f>
        <v>0</v>
      </c>
      <c r="V364" s="222"/>
    </row>
    <row r="365" spans="1:22" hidden="1" x14ac:dyDescent="0.25">
      <c r="A365" s="34" t="s">
        <v>645</v>
      </c>
      <c r="B365" s="391" t="str">
        <f>VLOOKUP(Tabela11[[#This Row],[Tag do Cabo]],BD!A:AJ,2,0)</f>
        <v>Controle</v>
      </c>
      <c r="C365" s="3" t="str">
        <f>VLOOKUP(Tabela11[[#This Row],[Tag do Cabo]],BD!A:AJ,5,0)</f>
        <v>4P#1,0mm²+SHI+SHC (N.I.S.)</v>
      </c>
      <c r="D365" s="391" t="s">
        <v>1542</v>
      </c>
      <c r="E365" s="391" t="str">
        <f>VLOOKUP(Tabela11[[#This Row],[Tag do Cabo]],BD!A:T,20,0)</f>
        <v>BK-SP54-01200-LC-80-00004_00000</v>
      </c>
      <c r="F365" s="3" t="str">
        <f>IF(VLOOKUP(Tabela11[[#This Row],[Tag do Cabo]],BD!A:AJ,35,0)=0,"Pendente",VLOOKUP(Tabela11[[#This Row],[Tag do Cabo]],BD!A:AJ,35,0))</f>
        <v>SOK0898310</v>
      </c>
      <c r="G365" s="3">
        <f>IF(VLOOKUP(Tabela11[[#This Row],[Tag do Cabo]],BD!A:AJ,36,0)=0,"Pendente",VLOOKUP(Tabela11[[#This Row],[Tag do Cabo]],BD!A:AJ,36,0))</f>
        <v>31</v>
      </c>
      <c r="H365" s="391" t="str">
        <f>VLOOKUP(Tabela11[[#This Row],[Tag do Cabo]],BD!A:AJ,32,0)</f>
        <v>7HVx30LV</v>
      </c>
      <c r="I365" s="7" t="str">
        <f>VLOOKUP(Tabela11[[#This Row],[Tag do Cabo]],BD!A:AJ,11,0)</f>
        <v>7HV/TCC-49</v>
      </c>
      <c r="J365" s="3" t="str">
        <f>VLOOKUP(Tabela11[[#This Row],[Tag do Cabo]],BD!A:AJ,12,0)</f>
        <v>30LV/UCP LI-1203A</v>
      </c>
      <c r="K365" s="391" t="s">
        <v>1543</v>
      </c>
      <c r="L365" s="391" t="s">
        <v>1632</v>
      </c>
      <c r="M365" s="3" t="str">
        <f>CONCATENATE(Tabela11[[#This Row],[Painel 1]]&amp;" "&amp;Tabela11[[#This Row],[Painel 2]])</f>
        <v>TCC-49 LI-1203A</v>
      </c>
      <c r="N365" s="157">
        <v>12</v>
      </c>
      <c r="O365" s="391">
        <f>COUNTIF(Tabela12[Tag Cabo],Tabela11[[#This Row],[Tag do Cabo]])</f>
        <v>12</v>
      </c>
      <c r="P365" s="391" t="str">
        <f>IF(Tabela11[[#This Row],[Qtde Ligações]]&lt;&gt;Tabela11[[#This Row],[Qtde Anilhas]],"Ver","Ok")</f>
        <v>Ok</v>
      </c>
      <c r="Q365" s="391">
        <f>VLOOKUP(Tabela11[[#This Row],[Tag do Cabo]],BD!A:F,6,0)</f>
        <v>1</v>
      </c>
      <c r="R365" s="391">
        <f>SUMIF('Lançamento de Cabos'!AE:AE,Tabela11[[#This Row],[Tag do Cabo]],'Lançamento de Cabos'!AG:AG)</f>
        <v>0</v>
      </c>
      <c r="S365" s="28">
        <f>Tabela11[[#This Row],[Ligações Realizadas]]/Tabela11[[#This Row],[Qtde Ligações]]</f>
        <v>0</v>
      </c>
      <c r="T365" s="269">
        <f>IF(Tabela11[[#This Row],[Ligações Realizadas]]/Tabela11[[#This Row],[Qtde Ligações]]=0,0,IF(Tabela11[[#This Row],[Ligações Realizadas]]/Tabela11[[#This Row],[Qtde Ligações]]=1,ROUND(N365/2,0),"Ver Painel"))</f>
        <v>0</v>
      </c>
      <c r="U365" s="23">
        <f>IF(Tabela11[[#This Row],[Ligações Realizadas]]/Tabela11[[#This Row],[Qtde Ligações]]=0,0,IF(Tabela11[[#This Row],[Ligações Realizadas]]/Tabela11[[#This Row],[Qtde Ligações]]=1,ROUND(N365/2,0),"Ver Painel"))</f>
        <v>0</v>
      </c>
      <c r="V365" s="222"/>
    </row>
    <row r="366" spans="1:22" hidden="1" x14ac:dyDescent="0.25">
      <c r="A366" s="34" t="s">
        <v>391</v>
      </c>
      <c r="B366" s="391" t="str">
        <f>VLOOKUP(Tabela11[[#This Row],[Tag do Cabo]],BD!A:AJ,2,0)</f>
        <v>Controle</v>
      </c>
      <c r="C366" s="3" t="str">
        <f>VLOOKUP(Tabela11[[#This Row],[Tag do Cabo]],BD!A:AJ,5,0)</f>
        <v>4P#1,0mm²+SHI+SHC (I.S.)</v>
      </c>
      <c r="D366" s="391" t="s">
        <v>1542</v>
      </c>
      <c r="E366" s="391" t="str">
        <f>VLOOKUP(Tabela11[[#This Row],[Tag do Cabo]],BD!A:T,20,0)</f>
        <v>BK-SP54-01200-LC-80-00004_00000</v>
      </c>
      <c r="F366" s="3" t="str">
        <f>IF(VLOOKUP(Tabela11[[#This Row],[Tag do Cabo]],BD!A:AJ,35,0)=0,"Pendente",VLOOKUP(Tabela11[[#This Row],[Tag do Cabo]],BD!A:AJ,35,0))</f>
        <v>SOK0898310</v>
      </c>
      <c r="G366" s="3">
        <f>IF(VLOOKUP(Tabela11[[#This Row],[Tag do Cabo]],BD!A:AJ,36,0)=0,"Pendente",VLOOKUP(Tabela11[[#This Row],[Tag do Cabo]],BD!A:AJ,36,0))</f>
        <v>12</v>
      </c>
      <c r="H366" s="391" t="str">
        <f>VLOOKUP(Tabela11[[#This Row],[Tag do Cabo]],BD!A:AJ,32,0)</f>
        <v>30LVxGB-1203</v>
      </c>
      <c r="I366" s="7" t="str">
        <f>VLOOKUP(Tabela11[[#This Row],[Tag do Cabo]],BD!A:AJ,11,0)</f>
        <v>JBI-120-106X</v>
      </c>
      <c r="J366" s="3" t="str">
        <f>VLOOKUP(Tabela11[[#This Row],[Tag do Cabo]],BD!A:AJ,12,0)</f>
        <v>30LV/UCP LI-1203A</v>
      </c>
      <c r="K366" s="391" t="s">
        <v>393</v>
      </c>
      <c r="L366" s="391" t="s">
        <v>1632</v>
      </c>
      <c r="M366" s="3" t="str">
        <f>CONCATENATE(Tabela11[[#This Row],[Painel 1]]&amp;" "&amp;Tabela11[[#This Row],[Painel 2]])</f>
        <v>JBI-120-106X LI-1203A</v>
      </c>
      <c r="N366" s="157">
        <v>20</v>
      </c>
      <c r="O366" s="391">
        <f>COUNTIF(Tabela12[Tag Cabo],Tabela11[[#This Row],[Tag do Cabo]])</f>
        <v>20</v>
      </c>
      <c r="P366" s="391" t="str">
        <f>IF(Tabela11[[#This Row],[Qtde Ligações]]&lt;&gt;Tabela11[[#This Row],[Qtde Anilhas]],"Ver","Ok")</f>
        <v>Ok</v>
      </c>
      <c r="Q366" s="391">
        <f>VLOOKUP(Tabela11[[#This Row],[Tag do Cabo]],BD!A:F,6,0)</f>
        <v>1</v>
      </c>
      <c r="R366" s="391">
        <f>SUMIF('Lançamento de Cabos'!AE:AE,Tabela11[[#This Row],[Tag do Cabo]],'Lançamento de Cabos'!AG:AG)</f>
        <v>0</v>
      </c>
      <c r="S366" s="28">
        <f>Tabela11[[#This Row],[Ligações Realizadas]]/Tabela11[[#This Row],[Qtde Ligações]]</f>
        <v>0</v>
      </c>
      <c r="T366" s="269">
        <f>IF(Tabela11[[#This Row],[Ligações Realizadas]]/Tabela11[[#This Row],[Qtde Ligações]]=0,0,IF(Tabela11[[#This Row],[Ligações Realizadas]]/Tabela11[[#This Row],[Qtde Ligações]]=1,ROUND(N366/2,0),"Ver Painel"))</f>
        <v>0</v>
      </c>
      <c r="U366" s="23">
        <f>IF(Tabela11[[#This Row],[Ligações Realizadas]]/Tabela11[[#This Row],[Qtde Ligações]]=0,0,IF(Tabela11[[#This Row],[Ligações Realizadas]]/Tabela11[[#This Row],[Qtde Ligações]]=1,ROUND(N366/2,0),"Ver Painel"))</f>
        <v>0</v>
      </c>
      <c r="V366" s="222"/>
    </row>
    <row r="367" spans="1:22" hidden="1" x14ac:dyDescent="0.25">
      <c r="A367" s="34" t="s">
        <v>394</v>
      </c>
      <c r="B367" s="391" t="str">
        <f>VLOOKUP(Tabela11[[#This Row],[Tag do Cabo]],BD!A:AJ,2,0)</f>
        <v>Controle</v>
      </c>
      <c r="C367" s="3" t="str">
        <f>VLOOKUP(Tabela11[[#This Row],[Tag do Cabo]],BD!A:AJ,5,0)</f>
        <v>2P#1,0mm²+SHI+SHC (N.I.S.)</v>
      </c>
      <c r="D367" s="391" t="s">
        <v>1542</v>
      </c>
      <c r="E367" s="391" t="str">
        <f>VLOOKUP(Tabela11[[#This Row],[Tag do Cabo]],BD!A:T,20,0)</f>
        <v>BK-SP54-01200-LC-80-00004_00000</v>
      </c>
      <c r="F367" s="3" t="str">
        <f>IF(VLOOKUP(Tabela11[[#This Row],[Tag do Cabo]],BD!A:AJ,35,0)=0,"Pendente",VLOOKUP(Tabela11[[#This Row],[Tag do Cabo]],BD!A:AJ,35,0))</f>
        <v>SOK0898310</v>
      </c>
      <c r="G367" s="3" t="str">
        <f>IF(VLOOKUP(Tabela11[[#This Row],[Tag do Cabo]],BD!A:AJ,36,0)=0,"Pendente",VLOOKUP(Tabela11[[#This Row],[Tag do Cabo]],BD!A:AJ,36,0))</f>
        <v>8, 12</v>
      </c>
      <c r="H367" s="391" t="str">
        <f>VLOOKUP(Tabela11[[#This Row],[Tag do Cabo]],BD!A:AJ,32,0)</f>
        <v>30LVxGB-1203</v>
      </c>
      <c r="I367" s="7" t="str">
        <f>VLOOKUP(Tabela11[[#This Row],[Tag do Cabo]],BD!A:AJ,11,0)</f>
        <v xml:space="preserve">JBI-120-106X </v>
      </c>
      <c r="J367" s="3" t="str">
        <f>VLOOKUP(Tabela11[[#This Row],[Tag do Cabo]],BD!A:AJ,12,0)</f>
        <v>30LV/UCP LI-1203A</v>
      </c>
      <c r="K367" s="391" t="s">
        <v>393</v>
      </c>
      <c r="L367" s="391" t="s">
        <v>1632</v>
      </c>
      <c r="M367" s="3" t="str">
        <f>CONCATENATE(Tabela11[[#This Row],[Painel 1]]&amp;" "&amp;Tabela11[[#This Row],[Painel 2]])</f>
        <v>JBI-120-106X LI-1203A</v>
      </c>
      <c r="N367" s="157">
        <v>8</v>
      </c>
      <c r="O367" s="391">
        <f>COUNTIF(Tabela12[Tag Cabo],Tabela11[[#This Row],[Tag do Cabo]])</f>
        <v>8</v>
      </c>
      <c r="P367" s="391" t="str">
        <f>IF(Tabela11[[#This Row],[Qtde Ligações]]&lt;&gt;Tabela11[[#This Row],[Qtde Anilhas]],"Ver","Ok")</f>
        <v>Ok</v>
      </c>
      <c r="Q367" s="391">
        <f>VLOOKUP(Tabela11[[#This Row],[Tag do Cabo]],BD!A:F,6,0)</f>
        <v>1</v>
      </c>
      <c r="R367" s="391">
        <f>SUMIF('Lançamento de Cabos'!AE:AE,Tabela11[[#This Row],[Tag do Cabo]],'Lançamento de Cabos'!AG:AG)</f>
        <v>0</v>
      </c>
      <c r="S367" s="28">
        <f>Tabela11[[#This Row],[Ligações Realizadas]]/Tabela11[[#This Row],[Qtde Ligações]]</f>
        <v>0</v>
      </c>
      <c r="T367" s="269">
        <f>IF(Tabela11[[#This Row],[Ligações Realizadas]]/Tabela11[[#This Row],[Qtde Ligações]]=0,0,IF(Tabela11[[#This Row],[Ligações Realizadas]]/Tabela11[[#This Row],[Qtde Ligações]]=1,ROUND(N367/2,0),"Ver Painel"))</f>
        <v>0</v>
      </c>
      <c r="U367" s="23">
        <f>IF(Tabela11[[#This Row],[Ligações Realizadas]]/Tabela11[[#This Row],[Qtde Ligações]]=0,0,IF(Tabela11[[#This Row],[Ligações Realizadas]]/Tabela11[[#This Row],[Qtde Ligações]]=1,ROUND(N367/2,0),"Ver Painel"))</f>
        <v>0</v>
      </c>
      <c r="V367" s="222"/>
    </row>
    <row r="368" spans="1:22" hidden="1" x14ac:dyDescent="0.25">
      <c r="A368" s="34" t="s">
        <v>398</v>
      </c>
      <c r="B368" s="391" t="str">
        <f>VLOOKUP(Tabela11[[#This Row],[Tag do Cabo]],BD!A:AJ,2,0)</f>
        <v>Controle</v>
      </c>
      <c r="C368" s="3" t="str">
        <f>VLOOKUP(Tabela11[[#This Row],[Tag do Cabo]],BD!A:AJ,5,0)</f>
        <v>4T#1,0mm²+SHI+SHC (I.S.)</v>
      </c>
      <c r="D368" s="391" t="s">
        <v>1542</v>
      </c>
      <c r="E368" s="391" t="str">
        <f>VLOOKUP(Tabela11[[#This Row],[Tag do Cabo]],BD!A:T,20,0)</f>
        <v>BK-SP54-01200-LC-80-00004_00000</v>
      </c>
      <c r="F368" s="3" t="str">
        <f>IF(VLOOKUP(Tabela11[[#This Row],[Tag do Cabo]],BD!A:AJ,35,0)=0,"Pendente",VLOOKUP(Tabela11[[#This Row],[Tag do Cabo]],BD!A:AJ,35,0))</f>
        <v>SOK0898310</v>
      </c>
      <c r="G368" s="3">
        <f>IF(VLOOKUP(Tabela11[[#This Row],[Tag do Cabo]],BD!A:AJ,36,0)=0,"Pendente",VLOOKUP(Tabela11[[#This Row],[Tag do Cabo]],BD!A:AJ,36,0))</f>
        <v>5</v>
      </c>
      <c r="H368" s="391" t="str">
        <f>VLOOKUP(Tabela11[[#This Row],[Tag do Cabo]],BD!A:AJ,32,0)</f>
        <v>30LVxGB-1203</v>
      </c>
      <c r="I368" s="7" t="str">
        <f>VLOOKUP(Tabela11[[#This Row],[Tag do Cabo]],BD!A:AJ,11,0)</f>
        <v xml:space="preserve">JBI-120-104X </v>
      </c>
      <c r="J368" s="3" t="str">
        <f>VLOOKUP(Tabela11[[#This Row],[Tag do Cabo]],BD!A:AJ,12,0)</f>
        <v>30LV/UCP LI-1203A</v>
      </c>
      <c r="K368" s="391" t="s">
        <v>1642</v>
      </c>
      <c r="L368" s="391" t="s">
        <v>1632</v>
      </c>
      <c r="M368" s="3" t="str">
        <f>CONCATENATE(Tabela11[[#This Row],[Painel 1]]&amp;" "&amp;Tabela11[[#This Row],[Painel 2]])</f>
        <v>JBI-120-104X LI-1203A</v>
      </c>
      <c r="N368" s="157">
        <v>18</v>
      </c>
      <c r="O368" s="391">
        <f>COUNTIF(Tabela12[Tag Cabo],Tabela11[[#This Row],[Tag do Cabo]])</f>
        <v>18</v>
      </c>
      <c r="P368" s="391" t="str">
        <f>IF(Tabela11[[#This Row],[Qtde Ligações]]&lt;&gt;Tabela11[[#This Row],[Qtde Anilhas]],"Ver","Ok")</f>
        <v>Ok</v>
      </c>
      <c r="Q368" s="391">
        <f>VLOOKUP(Tabela11[[#This Row],[Tag do Cabo]],BD!A:F,6,0)</f>
        <v>1</v>
      </c>
      <c r="R368" s="391">
        <f>SUMIF('Lançamento de Cabos'!AE:AE,Tabela11[[#This Row],[Tag do Cabo]],'Lançamento de Cabos'!AG:AG)</f>
        <v>0</v>
      </c>
      <c r="S368" s="28">
        <f>Tabela11[[#This Row],[Ligações Realizadas]]/Tabela11[[#This Row],[Qtde Ligações]]</f>
        <v>0</v>
      </c>
      <c r="T368" s="269">
        <f>IF(Tabela11[[#This Row],[Ligações Realizadas]]/Tabela11[[#This Row],[Qtde Ligações]]=0,0,IF(Tabela11[[#This Row],[Ligações Realizadas]]/Tabela11[[#This Row],[Qtde Ligações]]=1,ROUND(N368/2,0),"Ver Painel"))</f>
        <v>0</v>
      </c>
      <c r="U368" s="23">
        <f>IF(Tabela11[[#This Row],[Ligações Realizadas]]/Tabela11[[#This Row],[Qtde Ligações]]=0,0,IF(Tabela11[[#This Row],[Ligações Realizadas]]/Tabela11[[#This Row],[Qtde Ligações]]=1,ROUND(N368/2,0),"Ver Painel"))</f>
        <v>0</v>
      </c>
      <c r="V368" s="222"/>
    </row>
    <row r="369" spans="1:22" hidden="1" x14ac:dyDescent="0.25">
      <c r="A369" s="34" t="s">
        <v>368</v>
      </c>
      <c r="B369" s="391" t="str">
        <f>VLOOKUP(Tabela11[[#This Row],[Tag do Cabo]],BD!A:AJ,2,0)</f>
        <v>Controle</v>
      </c>
      <c r="C369" s="3" t="str">
        <f>VLOOKUP(Tabela11[[#This Row],[Tag do Cabo]],BD!A:AJ,5,0)</f>
        <v>12P#1,0mm²+SHI+SHC (I.S.)</v>
      </c>
      <c r="D369" s="391" t="s">
        <v>1542</v>
      </c>
      <c r="E369" s="391" t="str">
        <f>VLOOKUP(Tabela11[[#This Row],[Tag do Cabo]],BD!A:T,20,0)</f>
        <v>BK-SP54-01200-LC-80-00004_00000</v>
      </c>
      <c r="F369" s="3" t="str">
        <f>IF(VLOOKUP(Tabela11[[#This Row],[Tag do Cabo]],BD!A:AJ,35,0)=0,"Pendente",VLOOKUP(Tabela11[[#This Row],[Tag do Cabo]],BD!A:AJ,35,0))</f>
        <v>SOK0898307</v>
      </c>
      <c r="G369" s="3">
        <f>IF(VLOOKUP(Tabela11[[#This Row],[Tag do Cabo]],BD!A:AJ,36,0)=0,"Pendente",VLOOKUP(Tabela11[[#This Row],[Tag do Cabo]],BD!A:AJ,36,0))</f>
        <v>36</v>
      </c>
      <c r="H369" s="391" t="str">
        <f>VLOOKUP(Tabela11[[#This Row],[Tag do Cabo]],BD!A:AJ,32,0)</f>
        <v>30LVxGB-1201</v>
      </c>
      <c r="I369" s="7" t="str">
        <f>VLOOKUP(Tabela11[[#This Row],[Tag do Cabo]],BD!A:AJ,11,0)</f>
        <v xml:space="preserve">JBI-120-101X </v>
      </c>
      <c r="J369" s="3" t="str">
        <f>VLOOKUP(Tabela11[[#This Row],[Tag do Cabo]],BD!A:AJ,12,0)</f>
        <v>30LV/UCP LI-1201A</v>
      </c>
      <c r="K369" s="391" t="s">
        <v>1643</v>
      </c>
      <c r="L369" s="391" t="s">
        <v>1635</v>
      </c>
      <c r="M369" s="3" t="str">
        <f>CONCATENATE(Tabela11[[#This Row],[Painel 1]]&amp;" "&amp;Tabela11[[#This Row],[Painel 2]])</f>
        <v>JBI-120-101X LI-1201A</v>
      </c>
      <c r="N369" s="157">
        <v>32</v>
      </c>
      <c r="O369" s="391">
        <f>COUNTIF(Tabela12[Tag Cabo],Tabela11[[#This Row],[Tag do Cabo]])</f>
        <v>32</v>
      </c>
      <c r="P369" s="391" t="str">
        <f>IF(Tabela11[[#This Row],[Qtde Ligações]]&lt;&gt;Tabela11[[#This Row],[Qtde Anilhas]],"Ver","Ok")</f>
        <v>Ok</v>
      </c>
      <c r="Q369" s="391">
        <f>VLOOKUP(Tabela11[[#This Row],[Tag do Cabo]],BD!A:F,6,0)</f>
        <v>1</v>
      </c>
      <c r="R369" s="391">
        <f>SUMIF('Lançamento de Cabos'!AE:AE,Tabela11[[#This Row],[Tag do Cabo]],'Lançamento de Cabos'!AG:AG)</f>
        <v>0</v>
      </c>
      <c r="S369" s="28">
        <f>Tabela11[[#This Row],[Ligações Realizadas]]/Tabela11[[#This Row],[Qtde Ligações]]</f>
        <v>0</v>
      </c>
      <c r="T369" s="269">
        <f>IF(Tabela11[[#This Row],[Ligações Realizadas]]/Tabela11[[#This Row],[Qtde Ligações]]=0,0,IF(Tabela11[[#This Row],[Ligações Realizadas]]/Tabela11[[#This Row],[Qtde Ligações]]=1,ROUND(N369/2,0),"Ver Painel"))</f>
        <v>0</v>
      </c>
      <c r="U369" s="23">
        <f>IF(Tabela11[[#This Row],[Ligações Realizadas]]/Tabela11[[#This Row],[Qtde Ligações]]=0,0,IF(Tabela11[[#This Row],[Ligações Realizadas]]/Tabela11[[#This Row],[Qtde Ligações]]=1,ROUND(N369/2,0),"Ver Painel"))</f>
        <v>0</v>
      </c>
      <c r="V369" s="222"/>
    </row>
    <row r="370" spans="1:22" hidden="1" x14ac:dyDescent="0.25">
      <c r="A370" s="34" t="s">
        <v>727</v>
      </c>
      <c r="B370" s="391" t="str">
        <f>VLOOKUP(Tabela11[[#This Row],[Tag do Cabo]],BD!A:AJ,2,0)</f>
        <v>Controle</v>
      </c>
      <c r="C370" s="3" t="str">
        <f>VLOOKUP(Tabela11[[#This Row],[Tag do Cabo]],BD!A:AJ,5,0)</f>
        <v>12P#1,0mm²+SHI+SHC (I.S.)</v>
      </c>
      <c r="D370" s="391" t="s">
        <v>1533</v>
      </c>
      <c r="E370" s="391" t="str">
        <f>VLOOKUP(Tabela11[[#This Row],[Tag do Cabo]],BD!A:T,20,0)</f>
        <v>BK-SP54-01200-LC-80-00004_00000</v>
      </c>
      <c r="F370" s="219" t="str">
        <f>IF(VLOOKUP(Tabela11[[#This Row],[Tag do Cabo]],BD!A:AJ,35,0)=0,"Pendente",VLOOKUP(Tabela11[[#This Row],[Tag do Cabo]],BD!A:AJ,35,0))</f>
        <v>Não Localizado</v>
      </c>
      <c r="G370" s="3" t="str">
        <f>IF(VLOOKUP(Tabela11[[#This Row],[Tag do Cabo]],BD!A:AJ,36,0)=0,"Pendente",VLOOKUP(Tabela11[[#This Row],[Tag do Cabo]],BD!A:AJ,36,0))</f>
        <v>Pendente</v>
      </c>
      <c r="H370" s="391" t="str">
        <f>VLOOKUP(Tabela11[[#This Row],[Tag do Cabo]],BD!A:AJ,32,0)</f>
        <v>7HVxGB-1201</v>
      </c>
      <c r="I370" s="7" t="str">
        <f>VLOOKUP(Tabela11[[#This Row],[Tag do Cabo]],BD!A:AJ,11,0)</f>
        <v xml:space="preserve">JBI-120-103X </v>
      </c>
      <c r="J370" s="3" t="str">
        <f>VLOOKUP(Tabela11[[#This Row],[Tag do Cabo]],BD!A:AJ,12,0)</f>
        <v>7HV/AMB-GB-1201</v>
      </c>
      <c r="K370" s="391" t="s">
        <v>730</v>
      </c>
      <c r="L370" s="391" t="s">
        <v>1644</v>
      </c>
      <c r="M370" s="3" t="str">
        <f>CONCATENATE(Tabela11[[#This Row],[Painel 1]]&amp;" "&amp;Tabela11[[#This Row],[Painel 2]])</f>
        <v>JBI-120-103X AMB-GB-1201</v>
      </c>
      <c r="N370" s="218">
        <v>48</v>
      </c>
      <c r="O370" s="391">
        <f>COUNTIF(Tabela12[Tag Cabo],Tabela11[[#This Row],[Tag do Cabo]])</f>
        <v>0</v>
      </c>
      <c r="P370" s="391" t="str">
        <f>IF(Tabela11[[#This Row],[Qtde Ligações]]&lt;&gt;Tabela11[[#This Row],[Qtde Anilhas]],"Ver","Ok")</f>
        <v>Ver</v>
      </c>
      <c r="Q370" s="391">
        <f>VLOOKUP(Tabela11[[#This Row],[Tag do Cabo]],BD!A:F,6,0)</f>
        <v>1</v>
      </c>
      <c r="R370" s="391">
        <f>SUMIF('Lançamento de Cabos'!AE:AE,Tabela11[[#This Row],[Tag do Cabo]],'Lançamento de Cabos'!AG:AG)</f>
        <v>0</v>
      </c>
      <c r="S370" s="28">
        <f>Tabela11[[#This Row],[Ligações Realizadas]]/Tabela11[[#This Row],[Qtde Ligações]]</f>
        <v>0</v>
      </c>
      <c r="T370" s="269">
        <f>IF(Tabela11[[#This Row],[Ligações Realizadas]]/Tabela11[[#This Row],[Qtde Ligações]]=0,0,IF(Tabela11[[#This Row],[Ligações Realizadas]]/Tabela11[[#This Row],[Qtde Ligações]]=1,ROUND(N370/2,0),"Ver Painel"))</f>
        <v>0</v>
      </c>
      <c r="U370" s="23">
        <f>IF(Tabela11[[#This Row],[Ligações Realizadas]]/Tabela11[[#This Row],[Qtde Ligações]]=0,0,IF(Tabela11[[#This Row],[Ligações Realizadas]]/Tabela11[[#This Row],[Qtde Ligações]]=1,ROUND(N370/2,0),"Ver Painel"))</f>
        <v>0</v>
      </c>
      <c r="V370" s="219" t="s">
        <v>1645</v>
      </c>
    </row>
    <row r="371" spans="1:22" hidden="1" x14ac:dyDescent="0.25">
      <c r="A371" s="34" t="s">
        <v>729</v>
      </c>
      <c r="B371" s="391" t="str">
        <f>VLOOKUP(Tabela11[[#This Row],[Tag do Cabo]],BD!A:AJ,2,0)</f>
        <v>Controle</v>
      </c>
      <c r="C371" s="3" t="str">
        <f>VLOOKUP(Tabela11[[#This Row],[Tag do Cabo]],BD!A:AJ,5,0)</f>
        <v>4P#1,0mm²+SHI+SHC (I.S.)</v>
      </c>
      <c r="D371" s="391" t="s">
        <v>1533</v>
      </c>
      <c r="E371" s="391" t="str">
        <f>VLOOKUP(Tabela11[[#This Row],[Tag do Cabo]],BD!A:T,20,0)</f>
        <v>BK-SP54-01200-LC-80-00004_00000</v>
      </c>
      <c r="F371" s="219" t="str">
        <f>IF(VLOOKUP(Tabela11[[#This Row],[Tag do Cabo]],BD!A:AJ,35,0)=0,"Pendente",VLOOKUP(Tabela11[[#This Row],[Tag do Cabo]],BD!A:AJ,35,0))</f>
        <v>Não Localizado</v>
      </c>
      <c r="G371" s="3" t="str">
        <f>IF(VLOOKUP(Tabela11[[#This Row],[Tag do Cabo]],BD!A:AJ,36,0)=0,"Pendente",VLOOKUP(Tabela11[[#This Row],[Tag do Cabo]],BD!A:AJ,36,0))</f>
        <v>Pendente</v>
      </c>
      <c r="H371" s="391" t="str">
        <f>VLOOKUP(Tabela11[[#This Row],[Tag do Cabo]],BD!A:AJ,32,0)</f>
        <v>7HVxGB-1201</v>
      </c>
      <c r="I371" s="7" t="str">
        <f>VLOOKUP(Tabela11[[#This Row],[Tag do Cabo]],BD!A:AJ,11,0)</f>
        <v>JBI-120-103X</v>
      </c>
      <c r="J371" s="3" t="str">
        <f>VLOOKUP(Tabela11[[#This Row],[Tag do Cabo]],BD!A:AJ,12,0)</f>
        <v>7HV/AMB-GB-1201</v>
      </c>
      <c r="K371" s="391" t="s">
        <v>730</v>
      </c>
      <c r="L371" s="391" t="s">
        <v>1644</v>
      </c>
      <c r="M371" s="3" t="str">
        <f>CONCATENATE(Tabela11[[#This Row],[Painel 1]]&amp;" "&amp;Tabela11[[#This Row],[Painel 2]])</f>
        <v>JBI-120-103X AMB-GB-1201</v>
      </c>
      <c r="N371" s="218">
        <v>16</v>
      </c>
      <c r="O371" s="391">
        <f>COUNTIF(Tabela12[Tag Cabo],Tabela11[[#This Row],[Tag do Cabo]])</f>
        <v>0</v>
      </c>
      <c r="P371" s="391" t="str">
        <f>IF(Tabela11[[#This Row],[Qtde Ligações]]&lt;&gt;Tabela11[[#This Row],[Qtde Anilhas]],"Ver","Ok")</f>
        <v>Ver</v>
      </c>
      <c r="Q371" s="391">
        <f>VLOOKUP(Tabela11[[#This Row],[Tag do Cabo]],BD!A:F,6,0)</f>
        <v>1</v>
      </c>
      <c r="R371" s="391">
        <f>SUMIF('Lançamento de Cabos'!AE:AE,Tabela11[[#This Row],[Tag do Cabo]],'Lançamento de Cabos'!AG:AG)</f>
        <v>0</v>
      </c>
      <c r="S371" s="28">
        <f>Tabela11[[#This Row],[Ligações Realizadas]]/Tabela11[[#This Row],[Qtde Ligações]]</f>
        <v>0</v>
      </c>
      <c r="T371" s="269">
        <f>IF(Tabela11[[#This Row],[Ligações Realizadas]]/Tabela11[[#This Row],[Qtde Ligações]]=0,0,IF(Tabela11[[#This Row],[Ligações Realizadas]]/Tabela11[[#This Row],[Qtde Ligações]]=1,ROUND(N371/2,0),"Ver Painel"))</f>
        <v>0</v>
      </c>
      <c r="U371" s="23">
        <f>IF(Tabela11[[#This Row],[Ligações Realizadas]]/Tabela11[[#This Row],[Qtde Ligações]]=0,0,IF(Tabela11[[#This Row],[Ligações Realizadas]]/Tabela11[[#This Row],[Qtde Ligações]]=1,ROUND(N371/2,0),"Ver Painel"))</f>
        <v>0</v>
      </c>
      <c r="V371" s="219" t="s">
        <v>1645</v>
      </c>
    </row>
    <row r="372" spans="1:22" hidden="1" x14ac:dyDescent="0.25">
      <c r="A372" s="34" t="s">
        <v>1274</v>
      </c>
      <c r="B372" s="391" t="str">
        <f>VLOOKUP(Tabela11[[#This Row],[Tag do Cabo]],BD!A:AJ,2,0)</f>
        <v>Controle</v>
      </c>
      <c r="C372" s="3" t="str">
        <f>VLOOKUP(Tabela11[[#This Row],[Tag do Cabo]],BD!A:AJ,5,0)</f>
        <v>12P#1,5mm²+SHI+
SHTotal</v>
      </c>
      <c r="D372" s="391" t="s">
        <v>1533</v>
      </c>
      <c r="E372" s="391" t="str">
        <f>VLOOKUP(Tabela11[[#This Row],[Tag do Cabo]],BD!A:T,20,0)</f>
        <v>BK-SP54-0900B-LC-80-00155_00000</v>
      </c>
      <c r="F372" s="222" t="str">
        <f>IF(VLOOKUP(Tabela11[[#This Row],[Tag do Cabo]],BD!A:AJ,35,0)=0,"Pendente",VLOOKUP(Tabela11[[#This Row],[Tag do Cabo]],BD!A:AJ,35,0))</f>
        <v>-</v>
      </c>
      <c r="G372" s="3" t="str">
        <f>IF(VLOOKUP(Tabela11[[#This Row],[Tag do Cabo]],BD!A:AJ,36,0)=0,"Pendente",VLOOKUP(Tabela11[[#This Row],[Tag do Cabo]],BD!A:AJ,36,0))</f>
        <v>-</v>
      </c>
      <c r="H372" s="391" t="str">
        <f>VLOOKUP(Tabela11[[#This Row],[Tag do Cabo]],BD!A:AJ,32,0)</f>
        <v>COGxCCO</v>
      </c>
      <c r="I372" s="7" t="str">
        <f>VLOOKUP(Tabela11[[#This Row],[Tag do Cabo]],BD!A:AJ,11,0)</f>
        <v>COGERAÇÃO - SL.ELETRICA 8HV</v>
      </c>
      <c r="J372" s="3" t="str">
        <f>VLOOKUP(Tabela11[[#This Row],[Tag do Cabo]],BD!A:AJ,12,0)</f>
        <v>CCO</v>
      </c>
      <c r="K372" s="391" t="s">
        <v>92</v>
      </c>
      <c r="L372" s="391" t="s">
        <v>92</v>
      </c>
      <c r="M372" s="3" t="str">
        <f>CONCATENATE(Tabela11[[#This Row],[Painel 1]]&amp;" "&amp;Tabela11[[#This Row],[Painel 2]])</f>
        <v>- -</v>
      </c>
      <c r="N372" s="157">
        <v>0</v>
      </c>
      <c r="O372" s="391">
        <f>COUNTIF(Tabela12[Tag Cabo],Tabela11[[#This Row],[Tag do Cabo]])</f>
        <v>0</v>
      </c>
      <c r="P372" s="391" t="s">
        <v>1646</v>
      </c>
      <c r="Q372" s="391">
        <f>VLOOKUP(Tabela11[[#This Row],[Tag do Cabo]],BD!A:F,6,0)</f>
        <v>1.5</v>
      </c>
      <c r="R372" s="391" t="s">
        <v>92</v>
      </c>
      <c r="S372" s="28" t="s">
        <v>92</v>
      </c>
      <c r="T372" s="269" t="s">
        <v>92</v>
      </c>
      <c r="U372" s="23" t="s">
        <v>92</v>
      </c>
      <c r="V372" s="222" t="s">
        <v>1647</v>
      </c>
    </row>
    <row r="373" spans="1:22" hidden="1" x14ac:dyDescent="0.25">
      <c r="A373" s="34" t="s">
        <v>1276</v>
      </c>
      <c r="B373" s="391" t="str">
        <f>VLOOKUP(Tabela11[[#This Row],[Tag do Cabo]],BD!A:AJ,2,0)</f>
        <v>Controle</v>
      </c>
      <c r="C373" s="3" t="str">
        <f>VLOOKUP(Tabela11[[#This Row],[Tag do Cabo]],BD!A:AJ,5,0)</f>
        <v>12P#1,5mm²+SHI+
SHTotal</v>
      </c>
      <c r="D373" s="391" t="s">
        <v>1533</v>
      </c>
      <c r="E373" s="391" t="str">
        <f>VLOOKUP(Tabela11[[#This Row],[Tag do Cabo]],BD!A:T,20,0)</f>
        <v>BK-SP54-0900B-LC-80-00155_00000</v>
      </c>
      <c r="F373" s="222" t="str">
        <f>IF(VLOOKUP(Tabela11[[#This Row],[Tag do Cabo]],BD!A:AJ,35,0)=0,"Pendente",VLOOKUP(Tabela11[[#This Row],[Tag do Cabo]],BD!A:AJ,35,0))</f>
        <v>-</v>
      </c>
      <c r="G373" s="3" t="str">
        <f>IF(VLOOKUP(Tabela11[[#This Row],[Tag do Cabo]],BD!A:AJ,36,0)=0,"Pendente",VLOOKUP(Tabela11[[#This Row],[Tag do Cabo]],BD!A:AJ,36,0))</f>
        <v>-</v>
      </c>
      <c r="H373" s="391" t="str">
        <f>VLOOKUP(Tabela11[[#This Row],[Tag do Cabo]],BD!A:AJ,32,0)</f>
        <v>COGxCCO</v>
      </c>
      <c r="I373" s="7" t="str">
        <f>VLOOKUP(Tabela11[[#This Row],[Tag do Cabo]],BD!A:AJ,11,0)</f>
        <v>COGERAÇÃO - SL.ELETRICA 8HV</v>
      </c>
      <c r="J373" s="3" t="str">
        <f>VLOOKUP(Tabela11[[#This Row],[Tag do Cabo]],BD!A:AJ,12,0)</f>
        <v>CCO</v>
      </c>
      <c r="K373" s="391" t="s">
        <v>92</v>
      </c>
      <c r="L373" s="391" t="s">
        <v>92</v>
      </c>
      <c r="M373" s="3" t="str">
        <f>CONCATENATE(Tabela11[[#This Row],[Painel 1]]&amp;" "&amp;Tabela11[[#This Row],[Painel 2]])</f>
        <v>- -</v>
      </c>
      <c r="N373" s="157">
        <v>0</v>
      </c>
      <c r="O373" s="391">
        <f>COUNTIF(Tabela12[Tag Cabo],Tabela11[[#This Row],[Tag do Cabo]])</f>
        <v>0</v>
      </c>
      <c r="P373" s="391" t="s">
        <v>1646</v>
      </c>
      <c r="Q373" s="391">
        <f>VLOOKUP(Tabela11[[#This Row],[Tag do Cabo]],BD!A:F,6,0)</f>
        <v>1.5</v>
      </c>
      <c r="R373" s="391" t="s">
        <v>92</v>
      </c>
      <c r="S373" s="28" t="s">
        <v>92</v>
      </c>
      <c r="T373" s="269" t="s">
        <v>92</v>
      </c>
      <c r="U373" s="23" t="s">
        <v>92</v>
      </c>
      <c r="V373" s="222" t="s">
        <v>1647</v>
      </c>
    </row>
    <row r="374" spans="1:22" hidden="1" x14ac:dyDescent="0.25">
      <c r="A374" s="34" t="s">
        <v>1258</v>
      </c>
      <c r="B374" s="391" t="str">
        <f>VLOOKUP(Tabela11[[#This Row],[Tag do Cabo]],BD!A:AJ,2,0)</f>
        <v>Controle</v>
      </c>
      <c r="C374" s="3" t="str">
        <f>VLOOKUP(Tabela11[[#This Row],[Tag do Cabo]],BD!A:AJ,5,0)</f>
        <v>12P#1,5mm²+SHI+
SHTotal</v>
      </c>
      <c r="D374" s="391" t="s">
        <v>1533</v>
      </c>
      <c r="E374" s="391" t="str">
        <f>VLOOKUP(Tabela11[[#This Row],[Tag do Cabo]],BD!A:T,20,0)</f>
        <v>BK-SP54-0900B-LC-80-00155_00000</v>
      </c>
      <c r="F374" s="222" t="str">
        <f>IF(VLOOKUP(Tabela11[[#This Row],[Tag do Cabo]],BD!A:AJ,35,0)=0,"Pendente",VLOOKUP(Tabela11[[#This Row],[Tag do Cabo]],BD!A:AJ,35,0))</f>
        <v>-</v>
      </c>
      <c r="G374" s="3" t="str">
        <f>IF(VLOOKUP(Tabela11[[#This Row],[Tag do Cabo]],BD!A:AJ,36,0)=0,"Pendente",VLOOKUP(Tabela11[[#This Row],[Tag do Cabo]],BD!A:AJ,36,0))</f>
        <v>-</v>
      </c>
      <c r="H374" s="391" t="str">
        <f>VLOOKUP(Tabela11[[#This Row],[Tag do Cabo]],BD!A:AJ,32,0)</f>
        <v>COGxCCO</v>
      </c>
      <c r="I374" s="7" t="str">
        <f>VLOOKUP(Tabela11[[#This Row],[Tag do Cabo]],BD!A:AJ,11,0)</f>
        <v>COGERAÇÃO - SL.ELETRICA 8HV</v>
      </c>
      <c r="J374" s="3" t="str">
        <f>VLOOKUP(Tabela11[[#This Row],[Tag do Cabo]],BD!A:AJ,12,0)</f>
        <v>CCO</v>
      </c>
      <c r="K374" s="391" t="s">
        <v>92</v>
      </c>
      <c r="L374" s="391" t="s">
        <v>92</v>
      </c>
      <c r="M374" s="3" t="str">
        <f>CONCATENATE(Tabela11[[#This Row],[Painel 1]]&amp;" "&amp;Tabela11[[#This Row],[Painel 2]])</f>
        <v>- -</v>
      </c>
      <c r="N374" s="157">
        <v>0</v>
      </c>
      <c r="O374" s="391">
        <f>COUNTIF(Tabela12[Tag Cabo],Tabela11[[#This Row],[Tag do Cabo]])</f>
        <v>0</v>
      </c>
      <c r="P374" s="391" t="s">
        <v>1646</v>
      </c>
      <c r="Q374" s="391">
        <f>VLOOKUP(Tabela11[[#This Row],[Tag do Cabo]],BD!A:F,6,0)</f>
        <v>1.5</v>
      </c>
      <c r="R374" s="391" t="s">
        <v>92</v>
      </c>
      <c r="S374" s="28" t="s">
        <v>92</v>
      </c>
      <c r="T374" s="269" t="s">
        <v>92</v>
      </c>
      <c r="U374" s="23" t="s">
        <v>92</v>
      </c>
      <c r="V374" s="222" t="s">
        <v>1647</v>
      </c>
    </row>
    <row r="375" spans="1:22" hidden="1" x14ac:dyDescent="0.25">
      <c r="A375" s="34" t="s">
        <v>1277</v>
      </c>
      <c r="B375" s="391" t="str">
        <f>VLOOKUP(Tabela11[[#This Row],[Tag do Cabo]],BD!A:AJ,2,0)</f>
        <v>Controle</v>
      </c>
      <c r="C375" s="3" t="str">
        <f>VLOOKUP(Tabela11[[#This Row],[Tag do Cabo]],BD!A:AJ,5,0)</f>
        <v>1P#1,5mm²+SHI</v>
      </c>
      <c r="D375" s="391" t="s">
        <v>1533</v>
      </c>
      <c r="E375" s="391" t="str">
        <f>VLOOKUP(Tabela11[[#This Row],[Tag do Cabo]],BD!A:T,20,0)</f>
        <v>BK-SP54-0900B-LC-80-00155_00000</v>
      </c>
      <c r="F375" s="222" t="str">
        <f>IF(VLOOKUP(Tabela11[[#This Row],[Tag do Cabo]],BD!A:AJ,35,0)=0,"Pendente",VLOOKUP(Tabela11[[#This Row],[Tag do Cabo]],BD!A:AJ,35,0))</f>
        <v>-</v>
      </c>
      <c r="G375" s="3" t="str">
        <f>IF(VLOOKUP(Tabela11[[#This Row],[Tag do Cabo]],BD!A:AJ,36,0)=0,"Pendente",VLOOKUP(Tabela11[[#This Row],[Tag do Cabo]],BD!A:AJ,36,0))</f>
        <v>-</v>
      </c>
      <c r="H375" s="391" t="str">
        <f>VLOOKUP(Tabela11[[#This Row],[Tag do Cabo]],BD!A:AJ,32,0)</f>
        <v>COGxCCO</v>
      </c>
      <c r="I375" s="7" t="str">
        <f>VLOOKUP(Tabela11[[#This Row],[Tag do Cabo]],BD!A:AJ,11,0)</f>
        <v>COGERAÇÃO - SL.ELETRICA 8HV</v>
      </c>
      <c r="J375" s="3" t="str">
        <f>VLOOKUP(Tabela11[[#This Row],[Tag do Cabo]],BD!A:AJ,12,0)</f>
        <v>CCO</v>
      </c>
      <c r="K375" s="391" t="s">
        <v>92</v>
      </c>
      <c r="L375" s="391" t="s">
        <v>92</v>
      </c>
      <c r="M375" s="3" t="str">
        <f>CONCATENATE(Tabela11[[#This Row],[Painel 1]]&amp;" "&amp;Tabela11[[#This Row],[Painel 2]])</f>
        <v>- -</v>
      </c>
      <c r="N375" s="157">
        <v>0</v>
      </c>
      <c r="O375" s="391">
        <f>COUNTIF(Tabela12[Tag Cabo],Tabela11[[#This Row],[Tag do Cabo]])</f>
        <v>0</v>
      </c>
      <c r="P375" s="391" t="s">
        <v>1646</v>
      </c>
      <c r="Q375" s="391">
        <f>VLOOKUP(Tabela11[[#This Row],[Tag do Cabo]],BD!A:F,6,0)</f>
        <v>1.5</v>
      </c>
      <c r="R375" s="391" t="s">
        <v>92</v>
      </c>
      <c r="S375" s="28" t="s">
        <v>92</v>
      </c>
      <c r="T375" s="269" t="s">
        <v>92</v>
      </c>
      <c r="U375" s="23" t="s">
        <v>92</v>
      </c>
      <c r="V375" s="222" t="s">
        <v>1647</v>
      </c>
    </row>
    <row r="376" spans="1:22" hidden="1" x14ac:dyDescent="0.25">
      <c r="A376" s="34" t="s">
        <v>1279</v>
      </c>
      <c r="B376" s="391" t="str">
        <f>VLOOKUP(Tabela11[[#This Row],[Tag do Cabo]],BD!A:AJ,2,0)</f>
        <v>Controle</v>
      </c>
      <c r="C376" s="3" t="str">
        <f>VLOOKUP(Tabela11[[#This Row],[Tag do Cabo]],BD!A:AJ,5,0)</f>
        <v>1P#1,5mm²+SHI</v>
      </c>
      <c r="D376" s="391" t="s">
        <v>1533</v>
      </c>
      <c r="E376" s="391" t="str">
        <f>VLOOKUP(Tabela11[[#This Row],[Tag do Cabo]],BD!A:T,20,0)</f>
        <v>BK-SP54-0900B-LC-80-00155_00000</v>
      </c>
      <c r="F376" s="222" t="str">
        <f>IF(VLOOKUP(Tabela11[[#This Row],[Tag do Cabo]],BD!A:AJ,35,0)=0,"Pendente",VLOOKUP(Tabela11[[#This Row],[Tag do Cabo]],BD!A:AJ,35,0))</f>
        <v>-</v>
      </c>
      <c r="G376" s="3" t="str">
        <f>IF(VLOOKUP(Tabela11[[#This Row],[Tag do Cabo]],BD!A:AJ,36,0)=0,"Pendente",VLOOKUP(Tabela11[[#This Row],[Tag do Cabo]],BD!A:AJ,36,0))</f>
        <v>-</v>
      </c>
      <c r="H376" s="391" t="str">
        <f>VLOOKUP(Tabela11[[#This Row],[Tag do Cabo]],BD!A:AJ,32,0)</f>
        <v>COGxCCO</v>
      </c>
      <c r="I376" s="7" t="str">
        <f>VLOOKUP(Tabela11[[#This Row],[Tag do Cabo]],BD!A:AJ,11,0)</f>
        <v>COGERAÇÃO - SL.ELETRICA 8HV</v>
      </c>
      <c r="J376" s="3" t="str">
        <f>VLOOKUP(Tabela11[[#This Row],[Tag do Cabo]],BD!A:AJ,12,0)</f>
        <v>CCO</v>
      </c>
      <c r="K376" s="391" t="s">
        <v>92</v>
      </c>
      <c r="L376" s="391" t="s">
        <v>92</v>
      </c>
      <c r="M376" s="3" t="str">
        <f>CONCATENATE(Tabela11[[#This Row],[Painel 1]]&amp;" "&amp;Tabela11[[#This Row],[Painel 2]])</f>
        <v>- -</v>
      </c>
      <c r="N376" s="157">
        <v>0</v>
      </c>
      <c r="O376" s="391">
        <f>COUNTIF(Tabela12[Tag Cabo],Tabela11[[#This Row],[Tag do Cabo]])</f>
        <v>0</v>
      </c>
      <c r="P376" s="391" t="s">
        <v>1646</v>
      </c>
      <c r="Q376" s="391">
        <f>VLOOKUP(Tabela11[[#This Row],[Tag do Cabo]],BD!A:F,6,0)</f>
        <v>1.5</v>
      </c>
      <c r="R376" s="391" t="s">
        <v>92</v>
      </c>
      <c r="S376" s="28" t="s">
        <v>92</v>
      </c>
      <c r="T376" s="269" t="s">
        <v>92</v>
      </c>
      <c r="U376" s="23" t="s">
        <v>92</v>
      </c>
      <c r="V376" s="222" t="s">
        <v>1647</v>
      </c>
    </row>
    <row r="377" spans="1:22" hidden="1" x14ac:dyDescent="0.25">
      <c r="A377" s="34" t="s">
        <v>1120</v>
      </c>
      <c r="B377" s="391" t="str">
        <f>VLOOKUP(Tabela11[[#This Row],[Tag do Cabo]],BD!A:AJ,2,0)</f>
        <v>Controle</v>
      </c>
      <c r="C377" s="3" t="str">
        <f>VLOOKUP(Tabela11[[#This Row],[Tag do Cabo]],BD!A:AJ,5,0)</f>
        <v>8P#1,0mm²+SHI+SHC (I.S.)</v>
      </c>
      <c r="D377" s="391" t="s">
        <v>1542</v>
      </c>
      <c r="E377" s="391" t="str">
        <f>VLOOKUP(Tabela11[[#This Row],[Tag do Cabo]],BD!A:T,20,0)</f>
        <v>BK-SP54-00200-LC-81-00001_00000</v>
      </c>
      <c r="F377" s="3" t="str">
        <f>IF(VLOOKUP(Tabela11[[#This Row],[Tag do Cabo]],BD!A:AJ,35,0)=0,"Pendente",VLOOKUP(Tabela11[[#This Row],[Tag do Cabo]],BD!A:AJ,35,0))</f>
        <v>SOK0898308</v>
      </c>
      <c r="G377" s="3">
        <f>IF(VLOOKUP(Tabela11[[#This Row],[Tag do Cabo]],BD!A:AJ,36,0)=0,"Pendente",VLOOKUP(Tabela11[[#This Row],[Tag do Cabo]],BD!A:AJ,36,0))</f>
        <v>5</v>
      </c>
      <c r="H377" s="391" t="str">
        <f>VLOOKUP(Tabela11[[#This Row],[Tag do Cabo]],BD!A:AJ,32,0)</f>
        <v>CCPxGB-200</v>
      </c>
      <c r="I377" s="7" t="str">
        <f>VLOOKUP(Tabela11[[#This Row],[Tag do Cabo]],BD!A:AJ,11,0)</f>
        <v>JBI-20-101X</v>
      </c>
      <c r="J377" s="3" t="str">
        <f>VLOOKUP(Tabela11[[#This Row],[Tag do Cabo]],BD!A:AJ,12,0)</f>
        <v>CCP/UCP LI-200A</v>
      </c>
      <c r="K377" s="391" t="s">
        <v>1121</v>
      </c>
      <c r="L377" s="391" t="s">
        <v>1648</v>
      </c>
      <c r="M377" s="3" t="str">
        <f>CONCATENATE(Tabela11[[#This Row],[Painel 1]]&amp;" "&amp;Tabela11[[#This Row],[Painel 2]])</f>
        <v>JBI-20-101X LI-200A</v>
      </c>
      <c r="N377" s="157">
        <v>22</v>
      </c>
      <c r="O377" s="391">
        <f>COUNTIF(Tabela12[Tag Cabo],Tabela11[[#This Row],[Tag do Cabo]])</f>
        <v>22</v>
      </c>
      <c r="P377" s="391" t="str">
        <f>IF(Tabela11[[#This Row],[Qtde Ligações]]&lt;&gt;Tabela11[[#This Row],[Qtde Anilhas]],"Ver","Ok")</f>
        <v>Ok</v>
      </c>
      <c r="Q377" s="391">
        <f>VLOOKUP(Tabela11[[#This Row],[Tag do Cabo]],BD!A:F,6,0)</f>
        <v>1</v>
      </c>
      <c r="R377" s="391">
        <f>SUMIF('Lançamento de Cabos'!AE:AE,Tabela11[[#This Row],[Tag do Cabo]],'Lançamento de Cabos'!AG:AG)</f>
        <v>0</v>
      </c>
      <c r="S377" s="28">
        <f>Tabela11[[#This Row],[Ligações Realizadas]]/Tabela11[[#This Row],[Qtde Ligações]]</f>
        <v>0</v>
      </c>
      <c r="T377" s="269">
        <f>IF(Tabela11[[#This Row],[Ligações Realizadas]]/Tabela11[[#This Row],[Qtde Ligações]]=0,0,IF(Tabela11[[#This Row],[Ligações Realizadas]]/Tabela11[[#This Row],[Qtde Ligações]]=1,ROUND(N377/2,0),"Ver Painel"))</f>
        <v>0</v>
      </c>
      <c r="U377" s="23">
        <f>IF(Tabela11[[#This Row],[Ligações Realizadas]]/Tabela11[[#This Row],[Qtde Ligações]]=0,0,IF(Tabela11[[#This Row],[Ligações Realizadas]]/Tabela11[[#This Row],[Qtde Ligações]]=1,ROUND(N377/2,0),"Ver Painel"))</f>
        <v>0</v>
      </c>
      <c r="V377" s="222"/>
    </row>
    <row r="378" spans="1:22" hidden="1" x14ac:dyDescent="0.25">
      <c r="A378" s="34" t="s">
        <v>1125</v>
      </c>
      <c r="B378" s="391" t="str">
        <f>VLOOKUP(Tabela11[[#This Row],[Tag do Cabo]],BD!A:AJ,2,0)</f>
        <v>Controle</v>
      </c>
      <c r="C378" s="3" t="str">
        <f>VLOOKUP(Tabela11[[#This Row],[Tag do Cabo]],BD!A:AJ,5,0)</f>
        <v>12T#1,0mm²+SHI+SHC (I.S.)</v>
      </c>
      <c r="D378" s="391" t="s">
        <v>1533</v>
      </c>
      <c r="E378" s="391" t="str">
        <f>VLOOKUP(Tabela11[[#This Row],[Tag do Cabo]],BD!A:T,20,0)</f>
        <v>BK-SP54-00200-LC-81-00001_00000</v>
      </c>
      <c r="F378" s="3" t="str">
        <f>IF(VLOOKUP(Tabela11[[#This Row],[Tag do Cabo]],BD!A:AJ,35,0)=0,"Pendente",VLOOKUP(Tabela11[[#This Row],[Tag do Cabo]],BD!A:AJ,35,0))</f>
        <v>SOK0898308</v>
      </c>
      <c r="G378" s="3" t="str">
        <f>IF(VLOOKUP(Tabela11[[#This Row],[Tag do Cabo]],BD!A:AJ,36,0)=0,"Pendente",VLOOKUP(Tabela11[[#This Row],[Tag do Cabo]],BD!A:AJ,36,0))</f>
        <v>6</v>
      </c>
      <c r="H378" s="391" t="str">
        <f>VLOOKUP(Tabela11[[#This Row],[Tag do Cabo]],BD!A:AJ,32,0)</f>
        <v>CCPxGB-200</v>
      </c>
      <c r="I378" s="7" t="str">
        <f>VLOOKUP(Tabela11[[#This Row],[Tag do Cabo]],BD!A:AJ,11,0)</f>
        <v>JBI-20-102X</v>
      </c>
      <c r="J378" s="3" t="str">
        <f>VLOOKUP(Tabela11[[#This Row],[Tag do Cabo]],BD!A:AJ,12,0)</f>
        <v>CCP/UCP LI-200A</v>
      </c>
      <c r="K378" s="391" t="s">
        <v>1127</v>
      </c>
      <c r="L378" s="391" t="s">
        <v>1648</v>
      </c>
      <c r="M378" s="3" t="str">
        <f>CONCATENATE(Tabela11[[#This Row],[Painel 1]]&amp;" "&amp;Tabela11[[#This Row],[Painel 2]])</f>
        <v>JBI-20-102X LI-200A</v>
      </c>
      <c r="N378" s="157">
        <v>60</v>
      </c>
      <c r="O378" s="391">
        <f>COUNTIF(Tabela12[Tag Cabo],Tabela11[[#This Row],[Tag do Cabo]])</f>
        <v>60</v>
      </c>
      <c r="P378" s="391" t="str">
        <f>IF(Tabela11[[#This Row],[Qtde Ligações]]&lt;&gt;Tabela11[[#This Row],[Qtde Anilhas]],"Ver","Ok")</f>
        <v>Ok</v>
      </c>
      <c r="Q378" s="391">
        <f>VLOOKUP(Tabela11[[#This Row],[Tag do Cabo]],BD!A:F,6,0)</f>
        <v>1</v>
      </c>
      <c r="R378" s="391">
        <f>SUMIF('Lançamento de Cabos'!AE:AE,Tabela11[[#This Row],[Tag do Cabo]],'Lançamento de Cabos'!AG:AG)</f>
        <v>0</v>
      </c>
      <c r="S378" s="28">
        <f>Tabela11[[#This Row],[Ligações Realizadas]]/Tabela11[[#This Row],[Qtde Ligações]]</f>
        <v>0</v>
      </c>
      <c r="T378" s="269">
        <f>IF(Tabela11[[#This Row],[Ligações Realizadas]]/Tabela11[[#This Row],[Qtde Ligações]]=0,0,IF(Tabela11[[#This Row],[Ligações Realizadas]]/Tabela11[[#This Row],[Qtde Ligações]]=1,ROUND(N378/2,0),"Ver Painel"))</f>
        <v>0</v>
      </c>
      <c r="U378" s="23">
        <f>IF(Tabela11[[#This Row],[Ligações Realizadas]]/Tabela11[[#This Row],[Qtde Ligações]]=0,0,IF(Tabela11[[#This Row],[Ligações Realizadas]]/Tabela11[[#This Row],[Qtde Ligações]]=1,ROUND(N378/2,0),"Ver Painel"))</f>
        <v>0</v>
      </c>
      <c r="V378" s="222"/>
    </row>
    <row r="379" spans="1:22" hidden="1" x14ac:dyDescent="0.25">
      <c r="A379" s="34" t="s">
        <v>1128</v>
      </c>
      <c r="B379" s="391" t="str">
        <f>VLOOKUP(Tabela11[[#This Row],[Tag do Cabo]],BD!A:AJ,2,0)</f>
        <v>Controle</v>
      </c>
      <c r="C379" s="3" t="str">
        <f>VLOOKUP(Tabela11[[#This Row],[Tag do Cabo]],BD!A:AJ,5,0)</f>
        <v>4P#1,0mm²+SHI+SHC (N.I.S.)</v>
      </c>
      <c r="D379" s="391" t="s">
        <v>1533</v>
      </c>
      <c r="E379" s="391" t="str">
        <f>VLOOKUP(Tabela11[[#This Row],[Tag do Cabo]],BD!A:T,20,0)</f>
        <v>BK-SP54-00200-LC-81-00001_00000</v>
      </c>
      <c r="F379" s="3" t="str">
        <f>IF(VLOOKUP(Tabela11[[#This Row],[Tag do Cabo]],BD!A:AJ,35,0)=0,"Pendente",VLOOKUP(Tabela11[[#This Row],[Tag do Cabo]],BD!A:AJ,35,0))</f>
        <v>SOK0898308</v>
      </c>
      <c r="G379" s="3" t="str">
        <f>IF(VLOOKUP(Tabela11[[#This Row],[Tag do Cabo]],BD!A:AJ,36,0)=0,"Pendente",VLOOKUP(Tabela11[[#This Row],[Tag do Cabo]],BD!A:AJ,36,0))</f>
        <v>8</v>
      </c>
      <c r="H379" s="391" t="str">
        <f>VLOOKUP(Tabela11[[#This Row],[Tag do Cabo]],BD!A:AJ,32,0)</f>
        <v>CCPxGB-200</v>
      </c>
      <c r="I379" s="7" t="str">
        <f>VLOOKUP(Tabela11[[#This Row],[Tag do Cabo]],BD!A:AJ,11,0)</f>
        <v>JBI-20-104X</v>
      </c>
      <c r="J379" s="3" t="str">
        <f>VLOOKUP(Tabela11[[#This Row],[Tag do Cabo]],BD!A:AJ,12,0)</f>
        <v>CCP/UCP LI-200A</v>
      </c>
      <c r="K379" s="391" t="s">
        <v>1129</v>
      </c>
      <c r="L379" s="391" t="s">
        <v>1648</v>
      </c>
      <c r="M379" s="3" t="str">
        <f>CONCATENATE(Tabela11[[#This Row],[Painel 1]]&amp;" "&amp;Tabela11[[#This Row],[Painel 2]])</f>
        <v>JBI-20-104X LI-200A</v>
      </c>
      <c r="N379" s="157">
        <v>12</v>
      </c>
      <c r="O379" s="391">
        <f>COUNTIF(Tabela12[Tag Cabo],Tabela11[[#This Row],[Tag do Cabo]])</f>
        <v>12</v>
      </c>
      <c r="P379" s="391" t="str">
        <f>IF(Tabela11[[#This Row],[Qtde Ligações]]&lt;&gt;Tabela11[[#This Row],[Qtde Anilhas]],"Ver","Ok")</f>
        <v>Ok</v>
      </c>
      <c r="Q379" s="391">
        <f>VLOOKUP(Tabela11[[#This Row],[Tag do Cabo]],BD!A:F,6,0)</f>
        <v>1</v>
      </c>
      <c r="R379" s="391">
        <f>SUMIF('Lançamento de Cabos'!AE:AE,Tabela11[[#This Row],[Tag do Cabo]],'Lançamento de Cabos'!AG:AG)</f>
        <v>0</v>
      </c>
      <c r="S379" s="28">
        <f>Tabela11[[#This Row],[Ligações Realizadas]]/Tabela11[[#This Row],[Qtde Ligações]]</f>
        <v>0</v>
      </c>
      <c r="T379" s="269">
        <f>IF(Tabela11[[#This Row],[Ligações Realizadas]]/Tabela11[[#This Row],[Qtde Ligações]]=0,0,IF(Tabela11[[#This Row],[Ligações Realizadas]]/Tabela11[[#This Row],[Qtde Ligações]]=1,ROUND(N379/2,0),"Ver Painel"))</f>
        <v>0</v>
      </c>
      <c r="U379" s="23">
        <f>IF(Tabela11[[#This Row],[Ligações Realizadas]]/Tabela11[[#This Row],[Qtde Ligações]]=0,0,IF(Tabela11[[#This Row],[Ligações Realizadas]]/Tabela11[[#This Row],[Qtde Ligações]]=1,ROUND(N379/2,0),"Ver Painel"))</f>
        <v>0</v>
      </c>
      <c r="V379" s="222"/>
    </row>
    <row r="380" spans="1:22" hidden="1" x14ac:dyDescent="0.25">
      <c r="A380" s="34" t="s">
        <v>1130</v>
      </c>
      <c r="B380" s="391" t="str">
        <f>VLOOKUP(Tabela11[[#This Row],[Tag do Cabo]],BD!A:AJ,2,0)</f>
        <v>Controle</v>
      </c>
      <c r="C380" s="3" t="str">
        <f>VLOOKUP(Tabela11[[#This Row],[Tag do Cabo]],BD!A:AJ,5,0)</f>
        <v>1P#1,0mm²+SHI (N.I.S.)</v>
      </c>
      <c r="D380" s="391" t="s">
        <v>1533</v>
      </c>
      <c r="E380" s="391" t="str">
        <f>VLOOKUP(Tabela11[[#This Row],[Tag do Cabo]],BD!A:T,20,0)</f>
        <v>BK-SP54-00200-LC-81-00001_00000</v>
      </c>
      <c r="F380" s="3" t="str">
        <f>IF(VLOOKUP(Tabela11[[#This Row],[Tag do Cabo]],BD!A:AJ,35,0)=0,"Pendente",VLOOKUP(Tabela11[[#This Row],[Tag do Cabo]],BD!A:AJ,35,0))</f>
        <v>SOK0898308</v>
      </c>
      <c r="G380" s="3" t="str">
        <f>IF(VLOOKUP(Tabela11[[#This Row],[Tag do Cabo]],BD!A:AJ,36,0)=0,"Pendente",VLOOKUP(Tabela11[[#This Row],[Tag do Cabo]],BD!A:AJ,36,0))</f>
        <v>8</v>
      </c>
      <c r="H380" s="391" t="str">
        <f>VLOOKUP(Tabela11[[#This Row],[Tag do Cabo]],BD!A:AJ,32,0)</f>
        <v>CCPxGB-200</v>
      </c>
      <c r="I380" s="7" t="str">
        <f>VLOOKUP(Tabela11[[#This Row],[Tag do Cabo]],BD!A:AJ,11,0)</f>
        <v>JBI-20-106X/LSH-20146X</v>
      </c>
      <c r="J380" s="3" t="str">
        <f>VLOOKUP(Tabela11[[#This Row],[Tag do Cabo]],BD!A:AJ,12,0)</f>
        <v>CCP/UCP LI-200A</v>
      </c>
      <c r="K380" s="391" t="s">
        <v>1649</v>
      </c>
      <c r="L380" s="391" t="s">
        <v>1648</v>
      </c>
      <c r="M380" s="3" t="str">
        <f>CONCATENATE(Tabela11[[#This Row],[Painel 1]]&amp;" "&amp;Tabela11[[#This Row],[Painel 2]])</f>
        <v>JBI-20-106X LI-200A</v>
      </c>
      <c r="N380" s="157">
        <v>4</v>
      </c>
      <c r="O380" s="391">
        <f>COUNTIF(Tabela12[Tag Cabo],Tabela11[[#This Row],[Tag do Cabo]])</f>
        <v>4</v>
      </c>
      <c r="P380" s="391" t="str">
        <f>IF(Tabela11[[#This Row],[Qtde Ligações]]&lt;&gt;Tabela11[[#This Row],[Qtde Anilhas]],"Ver","Ok")</f>
        <v>Ok</v>
      </c>
      <c r="Q380" s="391">
        <f>VLOOKUP(Tabela11[[#This Row],[Tag do Cabo]],BD!A:F,6,0)</f>
        <v>1</v>
      </c>
      <c r="R380" s="391">
        <f>SUMIF('Lançamento de Cabos'!AE:AE,Tabela11[[#This Row],[Tag do Cabo]],'Lançamento de Cabos'!AG:AG)</f>
        <v>0</v>
      </c>
      <c r="S380" s="28">
        <f>Tabela11[[#This Row],[Ligações Realizadas]]/Tabela11[[#This Row],[Qtde Ligações]]</f>
        <v>0</v>
      </c>
      <c r="T380" s="269">
        <f>IF(Tabela11[[#This Row],[Ligações Realizadas]]/Tabela11[[#This Row],[Qtde Ligações]]=0,0,IF(Tabela11[[#This Row],[Ligações Realizadas]]/Tabela11[[#This Row],[Qtde Ligações]]=1,ROUND(N380/2,0),"Ver Painel"))</f>
        <v>0</v>
      </c>
      <c r="U380" s="23">
        <f>IF(Tabela11[[#This Row],[Ligações Realizadas]]/Tabela11[[#This Row],[Qtde Ligações]]=0,0,IF(Tabela11[[#This Row],[Ligações Realizadas]]/Tabela11[[#This Row],[Qtde Ligações]]=1,ROUND(N380/2,0),"Ver Painel"))</f>
        <v>0</v>
      </c>
      <c r="V380" s="222"/>
    </row>
    <row r="381" spans="1:22" hidden="1" x14ac:dyDescent="0.25">
      <c r="A381" s="34" t="s">
        <v>656</v>
      </c>
      <c r="B381" s="391" t="str">
        <f>VLOOKUP(Tabela11[[#This Row],[Tag do Cabo]],BD!A:AJ,2,0)</f>
        <v>Controle</v>
      </c>
      <c r="C381" s="3" t="str">
        <f>VLOOKUP(Tabela11[[#This Row],[Tag do Cabo]],BD!A:AJ,5,0)</f>
        <v>12P#1,0mm²+SHI+SHC (N.I.S.)</v>
      </c>
      <c r="D381" s="391" t="s">
        <v>1533</v>
      </c>
      <c r="E381" s="391" t="str">
        <f>VLOOKUP(Tabela11[[#This Row],[Tag do Cabo]],BD!A:T,20,0)</f>
        <v>BK-SP54-00200-LC-81-00001_00000</v>
      </c>
      <c r="F381" s="3" t="str">
        <f>IF(VLOOKUP(Tabela11[[#This Row],[Tag do Cabo]],BD!A:AJ,35,0)=0,"Pendente",VLOOKUP(Tabela11[[#This Row],[Tag do Cabo]],BD!A:AJ,35,0))</f>
        <v>SOK0898308</v>
      </c>
      <c r="G381" s="3" t="str">
        <f>IF(VLOOKUP(Tabela11[[#This Row],[Tag do Cabo]],BD!A:AJ,36,0)=0,"Pendente",VLOOKUP(Tabela11[[#This Row],[Tag do Cabo]],BD!A:AJ,36,0))</f>
        <v>9</v>
      </c>
      <c r="H381" s="391" t="str">
        <f>VLOOKUP(Tabela11[[#This Row],[Tag do Cabo]],BD!A:AJ,32,0)</f>
        <v>7HVxCCP</v>
      </c>
      <c r="I381" s="7" t="str">
        <f>VLOOKUP(Tabela11[[#This Row],[Tag do Cabo]],BD!A:AJ,11,0)</f>
        <v>7HV/GBM-200-INV</v>
      </c>
      <c r="J381" s="3" t="str">
        <f>VLOOKUP(Tabela11[[#This Row],[Tag do Cabo]],BD!A:AJ,12,0)</f>
        <v>CCP/UCP LI-200A</v>
      </c>
      <c r="K381" s="391" t="s">
        <v>1590</v>
      </c>
      <c r="L381" s="391" t="s">
        <v>1648</v>
      </c>
      <c r="M381" s="3" t="str">
        <f>CONCATENATE(Tabela11[[#This Row],[Painel 1]]&amp;" "&amp;Tabela11[[#This Row],[Painel 2]])</f>
        <v>GB-200-INV LI-200A</v>
      </c>
      <c r="N381" s="157">
        <v>32</v>
      </c>
      <c r="O381" s="391">
        <f>COUNTIF(Tabela12[Tag Cabo],Tabela11[[#This Row],[Tag do Cabo]])</f>
        <v>32</v>
      </c>
      <c r="P381" s="391" t="str">
        <f>IF(Tabela11[[#This Row],[Qtde Ligações]]&lt;&gt;Tabela11[[#This Row],[Qtde Anilhas]],"Ver","Ok")</f>
        <v>Ok</v>
      </c>
      <c r="Q381" s="391">
        <f>VLOOKUP(Tabela11[[#This Row],[Tag do Cabo]],BD!A:F,6,0)</f>
        <v>1</v>
      </c>
      <c r="R381" s="391">
        <f>SUMIF('Lançamento de Cabos'!AE:AE,Tabela11[[#This Row],[Tag do Cabo]],'Lançamento de Cabos'!AG:AG)</f>
        <v>0</v>
      </c>
      <c r="S381" s="28">
        <f>Tabela11[[#This Row],[Ligações Realizadas]]/Tabela11[[#This Row],[Qtde Ligações]]</f>
        <v>0</v>
      </c>
      <c r="T381" s="269">
        <f>IF(Tabela11[[#This Row],[Ligações Realizadas]]/Tabela11[[#This Row],[Qtde Ligações]]=0,0,IF(Tabela11[[#This Row],[Ligações Realizadas]]/Tabela11[[#This Row],[Qtde Ligações]]=1,ROUND(N381/2,0),"Ver Painel"))</f>
        <v>0</v>
      </c>
      <c r="U381" s="23">
        <f>IF(Tabela11[[#This Row],[Ligações Realizadas]]/Tabela11[[#This Row],[Qtde Ligações]]=0,0,IF(Tabela11[[#This Row],[Ligações Realizadas]]/Tabela11[[#This Row],[Qtde Ligações]]=1,ROUND(N381/2,0),"Ver Painel"))</f>
        <v>0</v>
      </c>
      <c r="V381" s="222"/>
    </row>
    <row r="382" spans="1:22" hidden="1" x14ac:dyDescent="0.25">
      <c r="A382" s="34" t="s">
        <v>662</v>
      </c>
      <c r="B382" s="391" t="str">
        <f>VLOOKUP(Tabela11[[#This Row],[Tag do Cabo]],BD!A:AJ,2,0)</f>
        <v>Controle</v>
      </c>
      <c r="C382" s="3" t="str">
        <f>VLOOKUP(Tabela11[[#This Row],[Tag do Cabo]],BD!A:AJ,5,0)</f>
        <v>2P#1,0mm²+SHI+SHC (N.I.S.)</v>
      </c>
      <c r="D382" s="391" t="s">
        <v>1533</v>
      </c>
      <c r="E382" s="391" t="str">
        <f>VLOOKUP(Tabela11[[#This Row],[Tag do Cabo]],BD!A:T,20,0)</f>
        <v>BK-SP54-00200-LC-81-00001_00000</v>
      </c>
      <c r="F382" s="3" t="str">
        <f>IF(VLOOKUP(Tabela11[[#This Row],[Tag do Cabo]],BD!A:AJ,35,0)=0,"Pendente",VLOOKUP(Tabela11[[#This Row],[Tag do Cabo]],BD!A:AJ,35,0))</f>
        <v>SOK0898308</v>
      </c>
      <c r="G382" s="3" t="str">
        <f>IF(VLOOKUP(Tabela11[[#This Row],[Tag do Cabo]],BD!A:AJ,36,0)=0,"Pendente",VLOOKUP(Tabela11[[#This Row],[Tag do Cabo]],BD!A:AJ,36,0))</f>
        <v>10</v>
      </c>
      <c r="H382" s="391" t="str">
        <f>VLOOKUP(Tabela11[[#This Row],[Tag do Cabo]],BD!A:AJ,32,0)</f>
        <v>7HVxCCP</v>
      </c>
      <c r="I382" s="7" t="str">
        <f>VLOOKUP(Tabela11[[#This Row],[Tag do Cabo]],BD!A:AJ,11,0)</f>
        <v>7HV/GBM-200-INV</v>
      </c>
      <c r="J382" s="3" t="str">
        <f>VLOOKUP(Tabela11[[#This Row],[Tag do Cabo]],BD!A:AJ,12,0)</f>
        <v>CCP/UCP LI-200A</v>
      </c>
      <c r="K382" s="391" t="s">
        <v>1590</v>
      </c>
      <c r="L382" s="391" t="s">
        <v>1648</v>
      </c>
      <c r="M382" s="3" t="str">
        <f>CONCATENATE(Tabela11[[#This Row],[Painel 1]]&amp;" "&amp;Tabela11[[#This Row],[Painel 2]])</f>
        <v>GB-200-INV LI-200A</v>
      </c>
      <c r="N382" s="157">
        <v>8</v>
      </c>
      <c r="O382" s="391">
        <f>COUNTIF(Tabela12[Tag Cabo],Tabela11[[#This Row],[Tag do Cabo]])</f>
        <v>8</v>
      </c>
      <c r="P382" s="391" t="str">
        <f>IF(Tabela11[[#This Row],[Qtde Ligações]]&lt;&gt;Tabela11[[#This Row],[Qtde Anilhas]],"Ver","Ok")</f>
        <v>Ok</v>
      </c>
      <c r="Q382" s="391">
        <f>VLOOKUP(Tabela11[[#This Row],[Tag do Cabo]],BD!A:F,6,0)</f>
        <v>1</v>
      </c>
      <c r="R382" s="391">
        <f>SUMIF('Lançamento de Cabos'!AE:AE,Tabela11[[#This Row],[Tag do Cabo]],'Lançamento de Cabos'!AG:AG)</f>
        <v>0</v>
      </c>
      <c r="S382" s="28">
        <f>Tabela11[[#This Row],[Ligações Realizadas]]/Tabela11[[#This Row],[Qtde Ligações]]</f>
        <v>0</v>
      </c>
      <c r="T382" s="269">
        <f>IF(Tabela11[[#This Row],[Ligações Realizadas]]/Tabela11[[#This Row],[Qtde Ligações]]=0,0,IF(Tabela11[[#This Row],[Ligações Realizadas]]/Tabela11[[#This Row],[Qtde Ligações]]=1,ROUND(N382/2,0),"Ver Painel"))</f>
        <v>0</v>
      </c>
      <c r="U382" s="23">
        <f>IF(Tabela11[[#This Row],[Ligações Realizadas]]/Tabela11[[#This Row],[Qtde Ligações]]=0,0,IF(Tabela11[[#This Row],[Ligações Realizadas]]/Tabela11[[#This Row],[Qtde Ligações]]=1,ROUND(N382/2,0),"Ver Painel"))</f>
        <v>0</v>
      </c>
      <c r="V382" s="222"/>
    </row>
    <row r="383" spans="1:22" hidden="1" x14ac:dyDescent="0.25">
      <c r="A383" s="34" t="s">
        <v>664</v>
      </c>
      <c r="B383" s="391" t="str">
        <f>VLOOKUP(Tabela11[[#This Row],[Tag do Cabo]],BD!A:AJ,2,0)</f>
        <v>Controle</v>
      </c>
      <c r="C383" s="3" t="str">
        <f>VLOOKUP(Tabela11[[#This Row],[Tag do Cabo]],BD!A:AJ,5,0)</f>
        <v>2P#1,0mm²+SHI+SHC (N.I.S.)</v>
      </c>
      <c r="D383" s="391" t="s">
        <v>1533</v>
      </c>
      <c r="E383" s="391" t="str">
        <f>VLOOKUP(Tabela11[[#This Row],[Tag do Cabo]],BD!A:T,20,0)</f>
        <v>BK-SP54-00200-LC-81-00001_00000</v>
      </c>
      <c r="F383" s="3" t="str">
        <f>IF(VLOOKUP(Tabela11[[#This Row],[Tag do Cabo]],BD!A:AJ,35,0)=0,"Pendente",VLOOKUP(Tabela11[[#This Row],[Tag do Cabo]],BD!A:AJ,35,0))</f>
        <v>SOK0898308</v>
      </c>
      <c r="G383" s="3" t="str">
        <f>IF(VLOOKUP(Tabela11[[#This Row],[Tag do Cabo]],BD!A:AJ,36,0)=0,"Pendente",VLOOKUP(Tabela11[[#This Row],[Tag do Cabo]],BD!A:AJ,36,0))</f>
        <v>10</v>
      </c>
      <c r="H383" s="391" t="str">
        <f>VLOOKUP(Tabela11[[#This Row],[Tag do Cabo]],BD!A:AJ,32,0)</f>
        <v>7HVxCCP</v>
      </c>
      <c r="I383" s="7" t="str">
        <f>VLOOKUP(Tabela11[[#This Row],[Tag do Cabo]],BD!A:AJ,11,0)</f>
        <v>7HV/GBM-200-INV</v>
      </c>
      <c r="J383" s="3" t="str">
        <f>VLOOKUP(Tabela11[[#This Row],[Tag do Cabo]],BD!A:AJ,12,0)</f>
        <v>CCP/UCP LI-200A</v>
      </c>
      <c r="K383" s="391" t="s">
        <v>1590</v>
      </c>
      <c r="L383" s="391" t="s">
        <v>1648</v>
      </c>
      <c r="M383" s="3" t="str">
        <f>CONCATENATE(Tabela11[[#This Row],[Painel 1]]&amp;" "&amp;Tabela11[[#This Row],[Painel 2]])</f>
        <v>GB-200-INV LI-200A</v>
      </c>
      <c r="N383" s="157">
        <v>8</v>
      </c>
      <c r="O383" s="391">
        <f>COUNTIF(Tabela12[Tag Cabo],Tabela11[[#This Row],[Tag do Cabo]])</f>
        <v>8</v>
      </c>
      <c r="P383" s="391" t="str">
        <f>IF(Tabela11[[#This Row],[Qtde Ligações]]&lt;&gt;Tabela11[[#This Row],[Qtde Anilhas]],"Ver","Ok")</f>
        <v>Ok</v>
      </c>
      <c r="Q383" s="391">
        <f>VLOOKUP(Tabela11[[#This Row],[Tag do Cabo]],BD!A:F,6,0)</f>
        <v>1</v>
      </c>
      <c r="R383" s="391">
        <f>SUMIF('Lançamento de Cabos'!AE:AE,Tabela11[[#This Row],[Tag do Cabo]],'Lançamento de Cabos'!AG:AG)</f>
        <v>0</v>
      </c>
      <c r="S383" s="28">
        <f>Tabela11[[#This Row],[Ligações Realizadas]]/Tabela11[[#This Row],[Qtde Ligações]]</f>
        <v>0</v>
      </c>
      <c r="T383" s="269">
        <f>IF(Tabela11[[#This Row],[Ligações Realizadas]]/Tabela11[[#This Row],[Qtde Ligações]]=0,0,IF(Tabela11[[#This Row],[Ligações Realizadas]]/Tabela11[[#This Row],[Qtde Ligações]]=1,ROUND(N383/2,0),"Ver Painel"))</f>
        <v>0</v>
      </c>
      <c r="U383" s="23">
        <f>IF(Tabela11[[#This Row],[Ligações Realizadas]]/Tabela11[[#This Row],[Qtde Ligações]]=0,0,IF(Tabela11[[#This Row],[Ligações Realizadas]]/Tabela11[[#This Row],[Qtde Ligações]]=1,ROUND(N383/2,0),"Ver Painel"))</f>
        <v>0</v>
      </c>
      <c r="V383" s="222"/>
    </row>
    <row r="384" spans="1:22" hidden="1" x14ac:dyDescent="0.25">
      <c r="A384" s="34" t="s">
        <v>1132</v>
      </c>
      <c r="B384" s="391" t="str">
        <f>VLOOKUP(Tabela11[[#This Row],[Tag do Cabo]],BD!A:AJ,2,0)</f>
        <v>Controle</v>
      </c>
      <c r="C384" s="3" t="str">
        <f>VLOOKUP(Tabela11[[#This Row],[Tag do Cabo]],BD!A:AJ,5,0)</f>
        <v>12P#1,0mm²+SHI+SHC (I.S.)</v>
      </c>
      <c r="D384" s="391" t="s">
        <v>1533</v>
      </c>
      <c r="E384" s="391" t="str">
        <f>VLOOKUP(Tabela11[[#This Row],[Tag do Cabo]],BD!A:T,20,0)</f>
        <v>BK-SP54-00200-LC-81-00001_00000</v>
      </c>
      <c r="F384" s="3" t="str">
        <f>IF(VLOOKUP(Tabela11[[#This Row],[Tag do Cabo]],BD!A:AJ,35,0)=0,"Pendente",VLOOKUP(Tabela11[[#This Row],[Tag do Cabo]],BD!A:AJ,35,0))</f>
        <v>SOK0898308</v>
      </c>
      <c r="G384" s="3" t="str">
        <f>IF(VLOOKUP(Tabela11[[#This Row],[Tag do Cabo]],BD!A:AJ,36,0)=0,"Pendente",VLOOKUP(Tabela11[[#This Row],[Tag do Cabo]],BD!A:AJ,36,0))</f>
        <v>16</v>
      </c>
      <c r="H384" s="391" t="str">
        <f>VLOOKUP(Tabela11[[#This Row],[Tag do Cabo]],BD!A:AJ,32,0)</f>
        <v>CCPxGB-200</v>
      </c>
      <c r="I384" s="7" t="str">
        <f>VLOOKUP(Tabela11[[#This Row],[Tag do Cabo]],BD!A:AJ,11,0)</f>
        <v>JBI-20-101X</v>
      </c>
      <c r="J384" s="3" t="str">
        <f>VLOOKUP(Tabela11[[#This Row],[Tag do Cabo]],BD!A:AJ,12,0)</f>
        <v>CCP/UCP LI-200A</v>
      </c>
      <c r="K384" s="391" t="s">
        <v>1121</v>
      </c>
      <c r="L384" s="391" t="s">
        <v>1648</v>
      </c>
      <c r="M384" s="3" t="str">
        <f>CONCATENATE(Tabela11[[#This Row],[Painel 1]]&amp;" "&amp;Tabela11[[#This Row],[Painel 2]])</f>
        <v>JBI-20-101X LI-200A</v>
      </c>
      <c r="N384" s="157">
        <v>32</v>
      </c>
      <c r="O384" s="391">
        <f>COUNTIF(Tabela12[Tag Cabo],Tabela11[[#This Row],[Tag do Cabo]])</f>
        <v>32</v>
      </c>
      <c r="P384" s="391" t="str">
        <f>IF(Tabela11[[#This Row],[Qtde Ligações]]&lt;&gt;Tabela11[[#This Row],[Qtde Anilhas]],"Ver","Ok")</f>
        <v>Ok</v>
      </c>
      <c r="Q384" s="391">
        <f>VLOOKUP(Tabela11[[#This Row],[Tag do Cabo]],BD!A:F,6,0)</f>
        <v>1</v>
      </c>
      <c r="R384" s="391">
        <f>SUMIF('Lançamento de Cabos'!AE:AE,Tabela11[[#This Row],[Tag do Cabo]],'Lançamento de Cabos'!AG:AG)</f>
        <v>0</v>
      </c>
      <c r="S384" s="28">
        <f>Tabela11[[#This Row],[Ligações Realizadas]]/Tabela11[[#This Row],[Qtde Ligações]]</f>
        <v>0</v>
      </c>
      <c r="T384" s="269">
        <f>IF(Tabela11[[#This Row],[Ligações Realizadas]]/Tabela11[[#This Row],[Qtde Ligações]]=0,0,IF(Tabela11[[#This Row],[Ligações Realizadas]]/Tabela11[[#This Row],[Qtde Ligações]]=1,ROUND(N384/2,0),"Ver Painel"))</f>
        <v>0</v>
      </c>
      <c r="U384" s="23">
        <f>IF(Tabela11[[#This Row],[Ligações Realizadas]]/Tabela11[[#This Row],[Qtde Ligações]]=0,0,IF(Tabela11[[#This Row],[Ligações Realizadas]]/Tabela11[[#This Row],[Qtde Ligações]]=1,ROUND(N384/2,0),"Ver Painel"))</f>
        <v>0</v>
      </c>
      <c r="V384" s="222"/>
    </row>
    <row r="385" spans="1:22" hidden="1" x14ac:dyDescent="0.25">
      <c r="A385" s="34" t="s">
        <v>1134</v>
      </c>
      <c r="B385" s="391" t="str">
        <f>VLOOKUP(Tabela11[[#This Row],[Tag do Cabo]],BD!A:AJ,2,0)</f>
        <v>Controle</v>
      </c>
      <c r="C385" s="3" t="str">
        <f>VLOOKUP(Tabela11[[#This Row],[Tag do Cabo]],BD!A:AJ,5,0)</f>
        <v>4P#1,0mm²+SHI+SHC (I.S.)</v>
      </c>
      <c r="D385" s="391" t="s">
        <v>1533</v>
      </c>
      <c r="E385" s="391" t="str">
        <f>VLOOKUP(Tabela11[[#This Row],[Tag do Cabo]],BD!A:T,20,0)</f>
        <v>BK-SP54-00200-LC-81-00001_00000</v>
      </c>
      <c r="F385" s="3" t="str">
        <f>IF(VLOOKUP(Tabela11[[#This Row],[Tag do Cabo]],BD!A:AJ,35,0)=0,"Pendente",VLOOKUP(Tabela11[[#This Row],[Tag do Cabo]],BD!A:AJ,35,0))</f>
        <v>SOK0898308</v>
      </c>
      <c r="G385" s="3" t="str">
        <f>IF(VLOOKUP(Tabela11[[#This Row],[Tag do Cabo]],BD!A:AJ,36,0)=0,"Pendente",VLOOKUP(Tabela11[[#This Row],[Tag do Cabo]],BD!A:AJ,36,0))</f>
        <v>17</v>
      </c>
      <c r="H385" s="391" t="str">
        <f>VLOOKUP(Tabela11[[#This Row],[Tag do Cabo]],BD!A:AJ,32,0)</f>
        <v>CCPxGB-200</v>
      </c>
      <c r="I385" s="7" t="str">
        <f>VLOOKUP(Tabela11[[#This Row],[Tag do Cabo]],BD!A:AJ,11,0)</f>
        <v>JBI-20-103X</v>
      </c>
      <c r="J385" s="3" t="str">
        <f>VLOOKUP(Tabela11[[#This Row],[Tag do Cabo]],BD!A:AJ,12,0)</f>
        <v>CCP/UCP LI-200A</v>
      </c>
      <c r="K385" s="391" t="s">
        <v>1135</v>
      </c>
      <c r="L385" s="391" t="s">
        <v>1648</v>
      </c>
      <c r="M385" s="3" t="str">
        <f>CONCATENATE(Tabela11[[#This Row],[Painel 1]]&amp;" "&amp;Tabela11[[#This Row],[Painel 2]])</f>
        <v>JBI-20-103X LI-200A</v>
      </c>
      <c r="N385" s="157">
        <v>16</v>
      </c>
      <c r="O385" s="391">
        <f>COUNTIF(Tabela12[Tag Cabo],Tabela11[[#This Row],[Tag do Cabo]])</f>
        <v>16</v>
      </c>
      <c r="P385" s="391" t="str">
        <f>IF(Tabela11[[#This Row],[Qtde Ligações]]&lt;&gt;Tabela11[[#This Row],[Qtde Anilhas]],"Ver","Ok")</f>
        <v>Ok</v>
      </c>
      <c r="Q385" s="391">
        <f>VLOOKUP(Tabela11[[#This Row],[Tag do Cabo]],BD!A:F,6,0)</f>
        <v>1</v>
      </c>
      <c r="R385" s="391">
        <f>SUMIF('Lançamento de Cabos'!AE:AE,Tabela11[[#This Row],[Tag do Cabo]],'Lançamento de Cabos'!AG:AG)</f>
        <v>0</v>
      </c>
      <c r="S385" s="28">
        <f>Tabela11[[#This Row],[Ligações Realizadas]]/Tabela11[[#This Row],[Qtde Ligações]]</f>
        <v>0</v>
      </c>
      <c r="T385" s="269">
        <f>IF(Tabela11[[#This Row],[Ligações Realizadas]]/Tabela11[[#This Row],[Qtde Ligações]]=0,0,IF(Tabela11[[#This Row],[Ligações Realizadas]]/Tabela11[[#This Row],[Qtde Ligações]]=1,ROUND(N385/2,0),"Ver Painel"))</f>
        <v>0</v>
      </c>
      <c r="U385" s="23">
        <f>IF(Tabela11[[#This Row],[Ligações Realizadas]]/Tabela11[[#This Row],[Qtde Ligações]]=0,0,IF(Tabela11[[#This Row],[Ligações Realizadas]]/Tabela11[[#This Row],[Qtde Ligações]]=1,ROUND(N385/2,0),"Ver Painel"))</f>
        <v>0</v>
      </c>
      <c r="V385" s="222"/>
    </row>
    <row r="386" spans="1:22" hidden="1" x14ac:dyDescent="0.25">
      <c r="A386" s="34" t="s">
        <v>1136</v>
      </c>
      <c r="B386" s="391" t="str">
        <f>VLOOKUP(Tabela11[[#This Row],[Tag do Cabo]],BD!A:AJ,2,0)</f>
        <v>Controle</v>
      </c>
      <c r="C386" s="3" t="str">
        <f>VLOOKUP(Tabela11[[#This Row],[Tag do Cabo]],BD!A:AJ,5,0)</f>
        <v>2P#1,0mm²+SHI (N.I.S.)</v>
      </c>
      <c r="D386" s="391" t="s">
        <v>1533</v>
      </c>
      <c r="E386" s="391" t="str">
        <f>VLOOKUP(Tabela11[[#This Row],[Tag do Cabo]],BD!A:T,20,0)</f>
        <v>BK-SP54-00200-LC-81-00001_00000</v>
      </c>
      <c r="F386" s="3" t="str">
        <f>IF(VLOOKUP(Tabela11[[#This Row],[Tag do Cabo]],BD!A:AJ,35,0)=0,"Pendente",VLOOKUP(Tabela11[[#This Row],[Tag do Cabo]],BD!A:AJ,35,0))</f>
        <v>SOK0898308</v>
      </c>
      <c r="G386" s="3" t="str">
        <f>IF(VLOOKUP(Tabela11[[#This Row],[Tag do Cabo]],BD!A:AJ,36,0)=0,"Pendente",VLOOKUP(Tabela11[[#This Row],[Tag do Cabo]],BD!A:AJ,36,0))</f>
        <v>17, 28</v>
      </c>
      <c r="H386" s="391" t="str">
        <f>VLOOKUP(Tabela11[[#This Row],[Tag do Cabo]],BD!A:AJ,32,0)</f>
        <v>CCPxGB-200</v>
      </c>
      <c r="I386" s="7" t="str">
        <f>VLOOKUP(Tabela11[[#This Row],[Tag do Cabo]],BD!A:AJ,11,0)</f>
        <v>JBI-20-103X</v>
      </c>
      <c r="J386" s="3" t="str">
        <f>VLOOKUP(Tabela11[[#This Row],[Tag do Cabo]],BD!A:AJ,12,0)</f>
        <v>CCP/UCP LI-200A</v>
      </c>
      <c r="K386" s="391" t="s">
        <v>1135</v>
      </c>
      <c r="L386" s="391" t="s">
        <v>1648</v>
      </c>
      <c r="M386" s="3" t="str">
        <f>CONCATENATE(Tabela11[[#This Row],[Painel 1]]&amp;" "&amp;Tabela11[[#This Row],[Painel 2]])</f>
        <v>JBI-20-103X LI-200A</v>
      </c>
      <c r="N386" s="157">
        <v>8</v>
      </c>
      <c r="O386" s="391">
        <f>COUNTIF(Tabela12[Tag Cabo],Tabela11[[#This Row],[Tag do Cabo]])</f>
        <v>8</v>
      </c>
      <c r="P386" s="391" t="str">
        <f>IF(Tabela11[[#This Row],[Qtde Ligações]]&lt;&gt;Tabela11[[#This Row],[Qtde Anilhas]],"Ver","Ok")</f>
        <v>Ok</v>
      </c>
      <c r="Q386" s="391">
        <f>VLOOKUP(Tabela11[[#This Row],[Tag do Cabo]],BD!A:F,6,0)</f>
        <v>1</v>
      </c>
      <c r="R386" s="391">
        <f>SUMIF('Lançamento de Cabos'!AE:AE,Tabela11[[#This Row],[Tag do Cabo]],'Lançamento de Cabos'!AG:AG)</f>
        <v>0</v>
      </c>
      <c r="S386" s="28">
        <f>Tabela11[[#This Row],[Ligações Realizadas]]/Tabela11[[#This Row],[Qtde Ligações]]</f>
        <v>0</v>
      </c>
      <c r="T386" s="269">
        <f>IF(Tabela11[[#This Row],[Ligações Realizadas]]/Tabela11[[#This Row],[Qtde Ligações]]=0,0,IF(Tabela11[[#This Row],[Ligações Realizadas]]/Tabela11[[#This Row],[Qtde Ligações]]=1,ROUND(N386/2,0),"Ver Painel"))</f>
        <v>0</v>
      </c>
      <c r="U386" s="23">
        <f>IF(Tabela11[[#This Row],[Ligações Realizadas]]/Tabela11[[#This Row],[Qtde Ligações]]=0,0,IF(Tabela11[[#This Row],[Ligações Realizadas]]/Tabela11[[#This Row],[Qtde Ligações]]=1,ROUND(N386/2,0),"Ver Painel"))</f>
        <v>0</v>
      </c>
      <c r="V386" s="222"/>
    </row>
    <row r="387" spans="1:22" hidden="1" x14ac:dyDescent="0.25">
      <c r="A387" s="34" t="s">
        <v>665</v>
      </c>
      <c r="B387" s="391" t="str">
        <f>VLOOKUP(Tabela11[[#This Row],[Tag do Cabo]],BD!A:AJ,2,0)</f>
        <v>Controle</v>
      </c>
      <c r="C387" s="3" t="str">
        <f>VLOOKUP(Tabela11[[#This Row],[Tag do Cabo]],BD!A:AJ,5,0)</f>
        <v>4P#1,0mm²+SHI+SHC (N.I.S.)</v>
      </c>
      <c r="D387" s="391" t="s">
        <v>1533</v>
      </c>
      <c r="E387" s="391" t="str">
        <f>VLOOKUP(Tabela11[[#This Row],[Tag do Cabo]],BD!A:T,20,0)</f>
        <v>BK-SP54-00200-LC-81-00001_00000</v>
      </c>
      <c r="F387" s="3" t="str">
        <f>IF(VLOOKUP(Tabela11[[#This Row],[Tag do Cabo]],BD!A:AJ,35,0)=0,"Pendente",VLOOKUP(Tabela11[[#This Row],[Tag do Cabo]],BD!A:AJ,35,0))</f>
        <v>SOK0898308</v>
      </c>
      <c r="G387" s="3" t="str">
        <f>IF(VLOOKUP(Tabela11[[#This Row],[Tag do Cabo]],BD!A:AJ,36,0)=0,"Pendente",VLOOKUP(Tabela11[[#This Row],[Tag do Cabo]],BD!A:AJ,36,0))</f>
        <v>31</v>
      </c>
      <c r="H387" s="391" t="str">
        <f>VLOOKUP(Tabela11[[#This Row],[Tag do Cabo]],BD!A:AJ,32,0)</f>
        <v>7HVxCCP</v>
      </c>
      <c r="I387" s="7" t="str">
        <f>VLOOKUP(Tabela11[[#This Row],[Tag do Cabo]],BD!A:AJ,11,0)</f>
        <v>7HV/TCC-49</v>
      </c>
      <c r="J387" s="3" t="str">
        <f>VLOOKUP(Tabela11[[#This Row],[Tag do Cabo]],BD!A:AJ,12,0)</f>
        <v>CCP/UCP LI-200A</v>
      </c>
      <c r="K387" s="391" t="s">
        <v>1543</v>
      </c>
      <c r="L387" s="391" t="s">
        <v>1648</v>
      </c>
      <c r="M387" s="3" t="str">
        <f>CONCATENATE(Tabela11[[#This Row],[Painel 1]]&amp;" "&amp;Tabela11[[#This Row],[Painel 2]])</f>
        <v>TCC-49 LI-200A</v>
      </c>
      <c r="N387" s="157">
        <v>12</v>
      </c>
      <c r="O387" s="391">
        <f>COUNTIF(Tabela12[Tag Cabo],Tabela11[[#This Row],[Tag do Cabo]])</f>
        <v>12</v>
      </c>
      <c r="P387" s="391" t="str">
        <f>IF(Tabela11[[#This Row],[Qtde Ligações]]&lt;&gt;Tabela11[[#This Row],[Qtde Anilhas]],"Ver","Ok")</f>
        <v>Ok</v>
      </c>
      <c r="Q387" s="391">
        <f>VLOOKUP(Tabela11[[#This Row],[Tag do Cabo]],BD!A:F,6,0)</f>
        <v>1</v>
      </c>
      <c r="R387" s="391">
        <f>SUMIF('Lançamento de Cabos'!AE:AE,Tabela11[[#This Row],[Tag do Cabo]],'Lançamento de Cabos'!AG:AG)</f>
        <v>0</v>
      </c>
      <c r="S387" s="28">
        <f>Tabela11[[#This Row],[Ligações Realizadas]]/Tabela11[[#This Row],[Qtde Ligações]]</f>
        <v>0</v>
      </c>
      <c r="T387" s="269">
        <f>IF(Tabela11[[#This Row],[Ligações Realizadas]]/Tabela11[[#This Row],[Qtde Ligações]]=0,0,IF(Tabela11[[#This Row],[Ligações Realizadas]]/Tabela11[[#This Row],[Qtde Ligações]]=1,ROUND(N387/2,0),"Ver Painel"))</f>
        <v>0</v>
      </c>
      <c r="U387" s="23">
        <f>IF(Tabela11[[#This Row],[Ligações Realizadas]]/Tabela11[[#This Row],[Qtde Ligações]]=0,0,IF(Tabela11[[#This Row],[Ligações Realizadas]]/Tabela11[[#This Row],[Qtde Ligações]]=1,ROUND(N387/2,0),"Ver Painel"))</f>
        <v>0</v>
      </c>
      <c r="V387" s="222"/>
    </row>
    <row r="388" spans="1:22" hidden="1" x14ac:dyDescent="0.25">
      <c r="A388" s="34" t="s">
        <v>667</v>
      </c>
      <c r="B388" s="391" t="str">
        <f>VLOOKUP(Tabela11[[#This Row],[Tag do Cabo]],BD!A:AJ,2,0)</f>
        <v>Controle</v>
      </c>
      <c r="C388" s="3" t="str">
        <f>VLOOKUP(Tabela11[[#This Row],[Tag do Cabo]],BD!A:AJ,5,0)</f>
        <v>4P#1,0mm²+SHI+SHC (N.I.S.)</v>
      </c>
      <c r="D388" s="391" t="s">
        <v>1533</v>
      </c>
      <c r="E388" s="391" t="str">
        <f>VLOOKUP(Tabela11[[#This Row],[Tag do Cabo]],BD!A:T,20,0)</f>
        <v>BK-SP54-00200-LC-81-00001_00000</v>
      </c>
      <c r="F388" s="3" t="str">
        <f>IF(VLOOKUP(Tabela11[[#This Row],[Tag do Cabo]],BD!A:AJ,35,0)=0,"Pendente",VLOOKUP(Tabela11[[#This Row],[Tag do Cabo]],BD!A:AJ,35,0))</f>
        <v>SOK0898308</v>
      </c>
      <c r="G388" s="3" t="str">
        <f>IF(VLOOKUP(Tabela11[[#This Row],[Tag do Cabo]],BD!A:AJ,36,0)=0,"Pendente",VLOOKUP(Tabela11[[#This Row],[Tag do Cabo]],BD!A:AJ,36,0))</f>
        <v>31</v>
      </c>
      <c r="H388" s="391" t="str">
        <f>VLOOKUP(Tabela11[[#This Row],[Tag do Cabo]],BD!A:AJ,32,0)</f>
        <v>7HVxCCP</v>
      </c>
      <c r="I388" s="7" t="str">
        <f>VLOOKUP(Tabela11[[#This Row],[Tag do Cabo]],BD!A:AJ,11,0)</f>
        <v>7HV/TCC-49</v>
      </c>
      <c r="J388" s="3" t="str">
        <f>VLOOKUP(Tabela11[[#This Row],[Tag do Cabo]],BD!A:AJ,12,0)</f>
        <v>CCP/UCP LI-200A</v>
      </c>
      <c r="K388" s="391" t="s">
        <v>1543</v>
      </c>
      <c r="L388" s="391" t="s">
        <v>1648</v>
      </c>
      <c r="M388" s="3" t="str">
        <f>CONCATENATE(Tabela11[[#This Row],[Painel 1]]&amp;" "&amp;Tabela11[[#This Row],[Painel 2]])</f>
        <v>TCC-49 LI-200A</v>
      </c>
      <c r="N388" s="157">
        <v>12</v>
      </c>
      <c r="O388" s="391">
        <f>COUNTIF(Tabela12[Tag Cabo],Tabela11[[#This Row],[Tag do Cabo]])</f>
        <v>12</v>
      </c>
      <c r="P388" s="391" t="str">
        <f>IF(Tabela11[[#This Row],[Qtde Ligações]]&lt;&gt;Tabela11[[#This Row],[Qtde Anilhas]],"Ver","Ok")</f>
        <v>Ok</v>
      </c>
      <c r="Q388" s="391">
        <f>VLOOKUP(Tabela11[[#This Row],[Tag do Cabo]],BD!A:F,6,0)</f>
        <v>1</v>
      </c>
      <c r="R388" s="391">
        <f>SUMIF('Lançamento de Cabos'!AE:AE,Tabela11[[#This Row],[Tag do Cabo]],'Lançamento de Cabos'!AG:AG)</f>
        <v>0</v>
      </c>
      <c r="S388" s="28">
        <f>Tabela11[[#This Row],[Ligações Realizadas]]/Tabela11[[#This Row],[Qtde Ligações]]</f>
        <v>0</v>
      </c>
      <c r="T388" s="269">
        <f>IF(Tabela11[[#This Row],[Ligações Realizadas]]/Tabela11[[#This Row],[Qtde Ligações]]=0,0,IF(Tabela11[[#This Row],[Ligações Realizadas]]/Tabela11[[#This Row],[Qtde Ligações]]=1,ROUND(N388/2,0),"Ver Painel"))</f>
        <v>0</v>
      </c>
      <c r="U388" s="23">
        <f>IF(Tabela11[[#This Row],[Ligações Realizadas]]/Tabela11[[#This Row],[Qtde Ligações]]=0,0,IF(Tabela11[[#This Row],[Ligações Realizadas]]/Tabela11[[#This Row],[Qtde Ligações]]=1,ROUND(N388/2,0),"Ver Painel"))</f>
        <v>0</v>
      </c>
      <c r="V388" s="222"/>
    </row>
    <row r="389" spans="1:22" hidden="1" x14ac:dyDescent="0.25">
      <c r="A389" s="34" t="s">
        <v>668</v>
      </c>
      <c r="B389" s="391" t="str">
        <f>VLOOKUP(Tabela11[[#This Row],[Tag do Cabo]],BD!A:AJ,2,0)</f>
        <v>Controle</v>
      </c>
      <c r="C389" s="3" t="str">
        <f>VLOOKUP(Tabela11[[#This Row],[Tag do Cabo]],BD!A:AJ,5,0)</f>
        <v>4P#1,0mm²+SHI+SHC (N.I.S.)</v>
      </c>
      <c r="D389" s="391" t="s">
        <v>1533</v>
      </c>
      <c r="E389" s="391" t="str">
        <f>VLOOKUP(Tabela11[[#This Row],[Tag do Cabo]],BD!A:T,20,0)</f>
        <v>BK-SP54-00200-LC-81-00001_00000</v>
      </c>
      <c r="F389" s="3" t="str">
        <f>IF(VLOOKUP(Tabela11[[#This Row],[Tag do Cabo]],BD!A:AJ,35,0)=0,"Pendente",VLOOKUP(Tabela11[[#This Row],[Tag do Cabo]],BD!A:AJ,35,0))</f>
        <v>SOK0898308</v>
      </c>
      <c r="G389" s="3" t="str">
        <f>IF(VLOOKUP(Tabela11[[#This Row],[Tag do Cabo]],BD!A:AJ,36,0)=0,"Pendente",VLOOKUP(Tabela11[[#This Row],[Tag do Cabo]],BD!A:AJ,36,0))</f>
        <v>32</v>
      </c>
      <c r="H389" s="391" t="str">
        <f>VLOOKUP(Tabela11[[#This Row],[Tag do Cabo]],BD!A:AJ,32,0)</f>
        <v>7HVxCCP</v>
      </c>
      <c r="I389" s="7" t="str">
        <f>VLOOKUP(Tabela11[[#This Row],[Tag do Cabo]],BD!A:AJ,11,0)</f>
        <v>7HV/TCC-49</v>
      </c>
      <c r="J389" s="3" t="str">
        <f>VLOOKUP(Tabela11[[#This Row],[Tag do Cabo]],BD!A:AJ,12,0)</f>
        <v>CCP/UCP LI-200A</v>
      </c>
      <c r="K389" s="391" t="s">
        <v>1543</v>
      </c>
      <c r="L389" s="391" t="s">
        <v>1648</v>
      </c>
      <c r="M389" s="3" t="str">
        <f>CONCATENATE(Tabela11[[#This Row],[Painel 1]]&amp;" "&amp;Tabela11[[#This Row],[Painel 2]])</f>
        <v>TCC-49 LI-200A</v>
      </c>
      <c r="N389" s="157">
        <v>12</v>
      </c>
      <c r="O389" s="391">
        <f>COUNTIF(Tabela12[Tag Cabo],Tabela11[[#This Row],[Tag do Cabo]])</f>
        <v>12</v>
      </c>
      <c r="P389" s="391" t="str">
        <f>IF(Tabela11[[#This Row],[Qtde Ligações]]&lt;&gt;Tabela11[[#This Row],[Qtde Anilhas]],"Ver","Ok")</f>
        <v>Ok</v>
      </c>
      <c r="Q389" s="391">
        <f>VLOOKUP(Tabela11[[#This Row],[Tag do Cabo]],BD!A:F,6,0)</f>
        <v>1</v>
      </c>
      <c r="R389" s="391">
        <f>SUMIF('Lançamento de Cabos'!AE:AE,Tabela11[[#This Row],[Tag do Cabo]],'Lançamento de Cabos'!AG:AG)</f>
        <v>0</v>
      </c>
      <c r="S389" s="28">
        <f>Tabela11[[#This Row],[Ligações Realizadas]]/Tabela11[[#This Row],[Qtde Ligações]]</f>
        <v>0</v>
      </c>
      <c r="T389" s="269">
        <f>IF(Tabela11[[#This Row],[Ligações Realizadas]]/Tabela11[[#This Row],[Qtde Ligações]]=0,0,IF(Tabela11[[#This Row],[Ligações Realizadas]]/Tabela11[[#This Row],[Qtde Ligações]]=1,ROUND(N389/2,0),"Ver Painel"))</f>
        <v>0</v>
      </c>
      <c r="U389" s="23">
        <f>IF(Tabela11[[#This Row],[Ligações Realizadas]]/Tabela11[[#This Row],[Qtde Ligações]]=0,0,IF(Tabela11[[#This Row],[Ligações Realizadas]]/Tabela11[[#This Row],[Qtde Ligações]]=1,ROUND(N389/2,0),"Ver Painel"))</f>
        <v>0</v>
      </c>
      <c r="V389" s="222"/>
    </row>
    <row r="390" spans="1:22" hidden="1" x14ac:dyDescent="0.25">
      <c r="A390" s="34" t="s">
        <v>670</v>
      </c>
      <c r="B390" s="391" t="str">
        <f>VLOOKUP(Tabela11[[#This Row],[Tag do Cabo]],BD!A:AJ,2,0)</f>
        <v>Controle</v>
      </c>
      <c r="C390" s="3" t="str">
        <f>VLOOKUP(Tabela11[[#This Row],[Tag do Cabo]],BD!A:AJ,5,0)</f>
        <v>2P#1,0mm²+SHI+SHC (N.I.S.)</v>
      </c>
      <c r="D390" s="391" t="s">
        <v>1533</v>
      </c>
      <c r="E390" s="391" t="str">
        <f>VLOOKUP(Tabela11[[#This Row],[Tag do Cabo]],BD!A:T,20,0)</f>
        <v>BK-SP54-00200-LC-81-00001_00000</v>
      </c>
      <c r="F390" s="3" t="str">
        <f>IF(VLOOKUP(Tabela11[[#This Row],[Tag do Cabo]],BD!A:AJ,35,0)=0,"Pendente",VLOOKUP(Tabela11[[#This Row],[Tag do Cabo]],BD!A:AJ,35,0))</f>
        <v>SOK0898308</v>
      </c>
      <c r="G390" s="3" t="str">
        <f>IF(VLOOKUP(Tabela11[[#This Row],[Tag do Cabo]],BD!A:AJ,36,0)=0,"Pendente",VLOOKUP(Tabela11[[#This Row],[Tag do Cabo]],BD!A:AJ,36,0))</f>
        <v>33</v>
      </c>
      <c r="H390" s="391" t="str">
        <f>VLOOKUP(Tabela11[[#This Row],[Tag do Cabo]],BD!A:AJ,32,0)</f>
        <v>7HVxCCP</v>
      </c>
      <c r="I390" s="7" t="str">
        <f>VLOOKUP(Tabela11[[#This Row],[Tag do Cabo]],BD!A:AJ,11,0)</f>
        <v>7HV/TCC-49</v>
      </c>
      <c r="J390" s="3" t="str">
        <f>VLOOKUP(Tabela11[[#This Row],[Tag do Cabo]],BD!A:AJ,12,0)</f>
        <v>CCP/UCP LI-200A</v>
      </c>
      <c r="K390" s="391" t="s">
        <v>1543</v>
      </c>
      <c r="L390" s="391" t="s">
        <v>1648</v>
      </c>
      <c r="M390" s="3" t="str">
        <f>CONCATENATE(Tabela11[[#This Row],[Painel 1]]&amp;" "&amp;Tabela11[[#This Row],[Painel 2]])</f>
        <v>TCC-49 LI-200A</v>
      </c>
      <c r="N390" s="157">
        <v>8</v>
      </c>
      <c r="O390" s="391">
        <f>COUNTIF(Tabela12[Tag Cabo],Tabela11[[#This Row],[Tag do Cabo]])</f>
        <v>8</v>
      </c>
      <c r="P390" s="391" t="str">
        <f>IF(Tabela11[[#This Row],[Qtde Ligações]]&lt;&gt;Tabela11[[#This Row],[Qtde Anilhas]],"Ver","Ok")</f>
        <v>Ok</v>
      </c>
      <c r="Q390" s="391">
        <f>VLOOKUP(Tabela11[[#This Row],[Tag do Cabo]],BD!A:F,6,0)</f>
        <v>1</v>
      </c>
      <c r="R390" s="391">
        <f>SUMIF('Lançamento de Cabos'!AE:AE,Tabela11[[#This Row],[Tag do Cabo]],'Lançamento de Cabos'!AG:AG)</f>
        <v>0</v>
      </c>
      <c r="S390" s="28">
        <f>Tabela11[[#This Row],[Ligações Realizadas]]/Tabela11[[#This Row],[Qtde Ligações]]</f>
        <v>0</v>
      </c>
      <c r="T390" s="269">
        <f>IF(Tabela11[[#This Row],[Ligações Realizadas]]/Tabela11[[#This Row],[Qtde Ligações]]=0,0,IF(Tabela11[[#This Row],[Ligações Realizadas]]/Tabela11[[#This Row],[Qtde Ligações]]=1,ROUND(N390/2,0),"Ver Painel"))</f>
        <v>0</v>
      </c>
      <c r="U390" s="23">
        <f>IF(Tabela11[[#This Row],[Ligações Realizadas]]/Tabela11[[#This Row],[Qtde Ligações]]=0,0,IF(Tabela11[[#This Row],[Ligações Realizadas]]/Tabela11[[#This Row],[Qtde Ligações]]=1,ROUND(N390/2,0),"Ver Painel"))</f>
        <v>0</v>
      </c>
      <c r="V390" s="222"/>
    </row>
    <row r="391" spans="1:22" hidden="1" x14ac:dyDescent="0.25">
      <c r="A391" s="34" t="s">
        <v>672</v>
      </c>
      <c r="B391" s="391" t="str">
        <f>VLOOKUP(Tabela11[[#This Row],[Tag do Cabo]],BD!A:AJ,2,0)</f>
        <v>Controle</v>
      </c>
      <c r="C391" s="3" t="str">
        <f>VLOOKUP(Tabela11[[#This Row],[Tag do Cabo]],BD!A:AJ,5,0)</f>
        <v>2P#1,0mm²+SHI+SHC (N.I.S.)</v>
      </c>
      <c r="D391" s="391" t="s">
        <v>1533</v>
      </c>
      <c r="E391" s="391" t="str">
        <f>VLOOKUP(Tabela11[[#This Row],[Tag do Cabo]],BD!A:T,20,0)</f>
        <v>BK-SP54-00200-LC-81-00001_00000</v>
      </c>
      <c r="F391" s="3" t="str">
        <f>IF(VLOOKUP(Tabela11[[#This Row],[Tag do Cabo]],BD!A:AJ,35,0)=0,"Pendente",VLOOKUP(Tabela11[[#This Row],[Tag do Cabo]],BD!A:AJ,35,0))</f>
        <v>SOK0898308</v>
      </c>
      <c r="G391" s="3" t="str">
        <f>IF(VLOOKUP(Tabela11[[#This Row],[Tag do Cabo]],BD!A:AJ,36,0)=0,"Pendente",VLOOKUP(Tabela11[[#This Row],[Tag do Cabo]],BD!A:AJ,36,0))</f>
        <v>33</v>
      </c>
      <c r="H391" s="391" t="str">
        <f>VLOOKUP(Tabela11[[#This Row],[Tag do Cabo]],BD!A:AJ,32,0)</f>
        <v>7HVxCCP</v>
      </c>
      <c r="I391" s="7" t="str">
        <f>VLOOKUP(Tabela11[[#This Row],[Tag do Cabo]],BD!A:AJ,11,0)</f>
        <v>7HV/TCC-49</v>
      </c>
      <c r="J391" s="3" t="str">
        <f>VLOOKUP(Tabela11[[#This Row],[Tag do Cabo]],BD!A:AJ,12,0)</f>
        <v>CCP/UCP LI-200A</v>
      </c>
      <c r="K391" s="391" t="s">
        <v>1543</v>
      </c>
      <c r="L391" s="391" t="s">
        <v>1648</v>
      </c>
      <c r="M391" s="3" t="str">
        <f>CONCATENATE(Tabela11[[#This Row],[Painel 1]]&amp;" "&amp;Tabela11[[#This Row],[Painel 2]])</f>
        <v>TCC-49 LI-200A</v>
      </c>
      <c r="N391" s="157">
        <v>8</v>
      </c>
      <c r="O391" s="391">
        <f>COUNTIF(Tabela12[Tag Cabo],Tabela11[[#This Row],[Tag do Cabo]])</f>
        <v>8</v>
      </c>
      <c r="P391" s="391" t="str">
        <f>IF(Tabela11[[#This Row],[Qtde Ligações]]&lt;&gt;Tabela11[[#This Row],[Qtde Anilhas]],"Ver","Ok")</f>
        <v>Ok</v>
      </c>
      <c r="Q391" s="391">
        <f>VLOOKUP(Tabela11[[#This Row],[Tag do Cabo]],BD!A:F,6,0)</f>
        <v>1</v>
      </c>
      <c r="R391" s="391">
        <f>SUMIF('Lançamento de Cabos'!AE:AE,Tabela11[[#This Row],[Tag do Cabo]],'Lançamento de Cabos'!AG:AG)</f>
        <v>0</v>
      </c>
      <c r="S391" s="28">
        <f>Tabela11[[#This Row],[Ligações Realizadas]]/Tabela11[[#This Row],[Qtde Ligações]]</f>
        <v>0</v>
      </c>
      <c r="T391" s="269">
        <f>IF(Tabela11[[#This Row],[Ligações Realizadas]]/Tabela11[[#This Row],[Qtde Ligações]]=0,0,IF(Tabela11[[#This Row],[Ligações Realizadas]]/Tabela11[[#This Row],[Qtde Ligações]]=1,ROUND(N391/2,0),"Ver Painel"))</f>
        <v>0</v>
      </c>
      <c r="U391" s="23">
        <f>IF(Tabela11[[#This Row],[Ligações Realizadas]]/Tabela11[[#This Row],[Qtde Ligações]]=0,0,IF(Tabela11[[#This Row],[Ligações Realizadas]]/Tabela11[[#This Row],[Qtde Ligações]]=1,ROUND(N391/2,0),"Ver Painel"))</f>
        <v>0</v>
      </c>
      <c r="V391" s="222"/>
    </row>
    <row r="392" spans="1:22" hidden="1" x14ac:dyDescent="0.25">
      <c r="A392" s="34" t="s">
        <v>674</v>
      </c>
      <c r="B392" s="391" t="str">
        <f>VLOOKUP(Tabela11[[#This Row],[Tag do Cabo]],BD!A:AJ,2,0)</f>
        <v>Controle</v>
      </c>
      <c r="C392" s="3" t="str">
        <f>VLOOKUP(Tabela11[[#This Row],[Tag do Cabo]],BD!A:AJ,5,0)</f>
        <v>2P#1,0mm²+SHI+SHC (N.I.S.)</v>
      </c>
      <c r="D392" s="391" t="s">
        <v>1533</v>
      </c>
      <c r="E392" s="391" t="str">
        <f>VLOOKUP(Tabela11[[#This Row],[Tag do Cabo]],BD!A:T,20,0)</f>
        <v>BK-SP54-00200-LC-81-00001_00000</v>
      </c>
      <c r="F392" s="3" t="str">
        <f>IF(VLOOKUP(Tabela11[[#This Row],[Tag do Cabo]],BD!A:AJ,35,0)=0,"Pendente",VLOOKUP(Tabela11[[#This Row],[Tag do Cabo]],BD!A:AJ,35,0))</f>
        <v>SOK0898308</v>
      </c>
      <c r="G392" s="3" t="str">
        <f>IF(VLOOKUP(Tabela11[[#This Row],[Tag do Cabo]],BD!A:AJ,36,0)=0,"Pendente",VLOOKUP(Tabela11[[#This Row],[Tag do Cabo]],BD!A:AJ,36,0))</f>
        <v>33</v>
      </c>
      <c r="H392" s="391" t="str">
        <f>VLOOKUP(Tabela11[[#This Row],[Tag do Cabo]],BD!A:AJ,32,0)</f>
        <v>7HVxCCP</v>
      </c>
      <c r="I392" s="7" t="str">
        <f>VLOOKUP(Tabela11[[#This Row],[Tag do Cabo]],BD!A:AJ,11,0)</f>
        <v>7HV/TCC-49</v>
      </c>
      <c r="J392" s="3" t="str">
        <f>VLOOKUP(Tabela11[[#This Row],[Tag do Cabo]],BD!A:AJ,12,0)</f>
        <v>CCP/UCP LI-200A</v>
      </c>
      <c r="K392" s="391" t="s">
        <v>1543</v>
      </c>
      <c r="L392" s="391" t="s">
        <v>1648</v>
      </c>
      <c r="M392" s="3" t="str">
        <f>CONCATENATE(Tabela11[[#This Row],[Painel 1]]&amp;" "&amp;Tabela11[[#This Row],[Painel 2]])</f>
        <v>TCC-49 LI-200A</v>
      </c>
      <c r="N392" s="157">
        <v>8</v>
      </c>
      <c r="O392" s="391">
        <f>COUNTIF(Tabela12[Tag Cabo],Tabela11[[#This Row],[Tag do Cabo]])</f>
        <v>8</v>
      </c>
      <c r="P392" s="391" t="str">
        <f>IF(Tabela11[[#This Row],[Qtde Ligações]]&lt;&gt;Tabela11[[#This Row],[Qtde Anilhas]],"Ver","Ok")</f>
        <v>Ok</v>
      </c>
      <c r="Q392" s="391">
        <f>VLOOKUP(Tabela11[[#This Row],[Tag do Cabo]],BD!A:F,6,0)</f>
        <v>1</v>
      </c>
      <c r="R392" s="391">
        <f>SUMIF('Lançamento de Cabos'!AE:AE,Tabela11[[#This Row],[Tag do Cabo]],'Lançamento de Cabos'!AG:AG)</f>
        <v>0</v>
      </c>
      <c r="S392" s="28">
        <f>Tabela11[[#This Row],[Ligações Realizadas]]/Tabela11[[#This Row],[Qtde Ligações]]</f>
        <v>0</v>
      </c>
      <c r="T392" s="269">
        <f>IF(Tabela11[[#This Row],[Ligações Realizadas]]/Tabela11[[#This Row],[Qtde Ligações]]=0,0,IF(Tabela11[[#This Row],[Ligações Realizadas]]/Tabela11[[#This Row],[Qtde Ligações]]=1,ROUND(N392/2,0),"Ver Painel"))</f>
        <v>0</v>
      </c>
      <c r="U392" s="23">
        <f>IF(Tabela11[[#This Row],[Ligações Realizadas]]/Tabela11[[#This Row],[Qtde Ligações]]=0,0,IF(Tabela11[[#This Row],[Ligações Realizadas]]/Tabela11[[#This Row],[Qtde Ligações]]=1,ROUND(N392/2,0),"Ver Painel"))</f>
        <v>0</v>
      </c>
      <c r="V392" s="222"/>
    </row>
    <row r="393" spans="1:22" hidden="1" x14ac:dyDescent="0.25">
      <c r="A393" s="34" t="s">
        <v>675</v>
      </c>
      <c r="B393" s="391" t="str">
        <f>VLOOKUP(Tabela11[[#This Row],[Tag do Cabo]],BD!A:AJ,2,0)</f>
        <v>Controle</v>
      </c>
      <c r="C393" s="3" t="str">
        <f>VLOOKUP(Tabela11[[#This Row],[Tag do Cabo]],BD!A:AJ,5,0)</f>
        <v>12P#1,5mm²+SHI+SHC (N.I.S.)</v>
      </c>
      <c r="D393" s="391" t="s">
        <v>1533</v>
      </c>
      <c r="E393" s="391" t="str">
        <f>VLOOKUP(Tabela11[[#This Row],[Tag do Cabo]],BD!A:T,20,0)</f>
        <v>BK-SP54-00200-LC-81-00001_00000</v>
      </c>
      <c r="F393" s="3" t="str">
        <f>IF(VLOOKUP(Tabela11[[#This Row],[Tag do Cabo]],BD!A:AJ,35,0)=0,"Pendente",VLOOKUP(Tabela11[[#This Row],[Tag do Cabo]],BD!A:AJ,35,0))</f>
        <v>SOK0898308</v>
      </c>
      <c r="G393" s="3" t="str">
        <f>IF(VLOOKUP(Tabela11[[#This Row],[Tag do Cabo]],BD!A:AJ,36,0)=0,"Pendente",VLOOKUP(Tabela11[[#This Row],[Tag do Cabo]],BD!A:AJ,36,0))</f>
        <v>42</v>
      </c>
      <c r="H393" s="391" t="str">
        <f>VLOOKUP(Tabela11[[#This Row],[Tag do Cabo]],BD!A:AJ,32,0)</f>
        <v>7HVxCCP</v>
      </c>
      <c r="I393" s="7" t="str">
        <f>VLOOKUP(Tabela11[[#This Row],[Tag do Cabo]],BD!A:AJ,11,0)</f>
        <v>7HV/GBM-200-INV</v>
      </c>
      <c r="J393" s="3" t="str">
        <f>VLOOKUP(Tabela11[[#This Row],[Tag do Cabo]],BD!A:AJ,12,0)</f>
        <v>CCP/UCP LI-200A</v>
      </c>
      <c r="K393" s="391" t="s">
        <v>1590</v>
      </c>
      <c r="L393" s="391" t="s">
        <v>1648</v>
      </c>
      <c r="M393" s="3" t="str">
        <f>CONCATENATE(Tabela11[[#This Row],[Painel 1]]&amp;" "&amp;Tabela11[[#This Row],[Painel 2]])</f>
        <v>GB-200-INV LI-200A</v>
      </c>
      <c r="N393" s="157">
        <v>46</v>
      </c>
      <c r="O393" s="391">
        <f>COUNTIF(Tabela12[Tag Cabo],Tabela11[[#This Row],[Tag do Cabo]])</f>
        <v>46</v>
      </c>
      <c r="P393" s="391" t="str">
        <f>IF(Tabela11[[#This Row],[Qtde Ligações]]&lt;&gt;Tabela11[[#This Row],[Qtde Anilhas]],"Ver","Ok")</f>
        <v>Ok</v>
      </c>
      <c r="Q393" s="391">
        <f>VLOOKUP(Tabela11[[#This Row],[Tag do Cabo]],BD!A:F,6,0)</f>
        <v>1.5</v>
      </c>
      <c r="R393" s="391">
        <f>SUMIF('Lançamento de Cabos'!AE:AE,Tabela11[[#This Row],[Tag do Cabo]],'Lançamento de Cabos'!AG:AG)</f>
        <v>0</v>
      </c>
      <c r="S393" s="28">
        <f>Tabela11[[#This Row],[Ligações Realizadas]]/Tabela11[[#This Row],[Qtde Ligações]]</f>
        <v>0</v>
      </c>
      <c r="T393" s="269">
        <f>IF(Tabela11[[#This Row],[Ligações Realizadas]]/Tabela11[[#This Row],[Qtde Ligações]]=0,0,IF(Tabela11[[#This Row],[Ligações Realizadas]]/Tabela11[[#This Row],[Qtde Ligações]]=1,ROUND(N393/2,0),"Ver Painel"))</f>
        <v>0</v>
      </c>
      <c r="U393" s="23">
        <f>IF(Tabela11[[#This Row],[Ligações Realizadas]]/Tabela11[[#This Row],[Qtde Ligações]]=0,0,IF(Tabela11[[#This Row],[Ligações Realizadas]]/Tabela11[[#This Row],[Qtde Ligações]]=1,ROUND(N393/2,0),"Ver Painel"))</f>
        <v>0</v>
      </c>
      <c r="V393" s="222"/>
    </row>
    <row r="394" spans="1:22" hidden="1" x14ac:dyDescent="0.25">
      <c r="A394" s="34" t="s">
        <v>180</v>
      </c>
      <c r="B394" s="391" t="str">
        <f>VLOOKUP(Tabela11[[#This Row],[Tag do Cabo]],BD!A:AJ,2,0)</f>
        <v>Controle</v>
      </c>
      <c r="C394" s="3" t="str">
        <f>VLOOKUP(Tabela11[[#This Row],[Tag do Cabo]],BD!A:AJ,5,0)</f>
        <v>2P#1,0mm²+SHI+SHC</v>
      </c>
      <c r="D394" s="391" t="s">
        <v>1533</v>
      </c>
      <c r="E394" s="391" t="str">
        <f>VLOOKUP(Tabela11[[#This Row],[Tag do Cabo]],BD!A:T,20,0)</f>
        <v>BK-SP54-00200-LC-80-00699_00000</v>
      </c>
      <c r="F394" s="3" t="str">
        <f>IF(VLOOKUP(Tabela11[[#This Row],[Tag do Cabo]],BD!A:AJ,35,0)=0,"Pendente",VLOOKUP(Tabela11[[#This Row],[Tag do Cabo]],BD!A:AJ,35,0))</f>
        <v>BK-SP54-00200-DI-80-05653/BK-SP54-00200-DI-80-05659</v>
      </c>
      <c r="G394" s="3" t="str">
        <f>IF(VLOOKUP(Tabela11[[#This Row],[Tag do Cabo]],BD!A:AJ,36,0)=0,"Pendente",VLOOKUP(Tabela11[[#This Row],[Tag do Cabo]],BD!A:AJ,36,0))</f>
        <v>112/104</v>
      </c>
      <c r="H394" s="391" t="str">
        <f>VLOOKUP(Tabela11[[#This Row],[Tag do Cabo]],BD!A:AJ,32,0)</f>
        <v>1HVxCCP</v>
      </c>
      <c r="I394" s="7" t="str">
        <f>VLOOKUP(Tabela11[[#This Row],[Tag do Cabo]],BD!A:AJ,11,0)</f>
        <v>SUBESTAÇÃO 1HV/PAINEL 1MV</v>
      </c>
      <c r="J394" s="3" t="str">
        <f>VLOOKUP(Tabela11[[#This Row],[Tag do Cabo]],BD!A:AJ,12,0)</f>
        <v>CCP/SDCD AQUENTE2</v>
      </c>
      <c r="K394" s="391" t="s">
        <v>196</v>
      </c>
      <c r="L394" s="391" t="s">
        <v>1650</v>
      </c>
      <c r="M394" s="3" t="str">
        <f>CONCATENATE(Tabela11[[#This Row],[Painel 1]]&amp;" "&amp;Tabela11[[#This Row],[Painel 2]])</f>
        <v>PAINEL 1MV SDCD AQUENTE2</v>
      </c>
      <c r="N394" s="157">
        <v>8</v>
      </c>
      <c r="O394" s="391">
        <f>COUNTIF(Tabela12[Tag Cabo],Tabela11[[#This Row],[Tag do Cabo]])</f>
        <v>8</v>
      </c>
      <c r="P394" s="391" t="str">
        <f>IF(Tabela11[[#This Row],[Qtde Ligações]]&lt;&gt;Tabela11[[#This Row],[Qtde Anilhas]],"Ver","Ok")</f>
        <v>Ok</v>
      </c>
      <c r="Q394" s="391">
        <f>VLOOKUP(Tabela11[[#This Row],[Tag do Cabo]],BD!A:F,6,0)</f>
        <v>1</v>
      </c>
      <c r="R394" s="391">
        <f>SUMIF('Lançamento de Cabos'!AE:AE,Tabela11[[#This Row],[Tag do Cabo]],'Lançamento de Cabos'!AG:AG)</f>
        <v>0</v>
      </c>
      <c r="S394" s="28">
        <f>Tabela11[[#This Row],[Ligações Realizadas]]/Tabela11[[#This Row],[Qtde Ligações]]</f>
        <v>0</v>
      </c>
      <c r="T394" s="269">
        <f>IF(Tabela11[[#This Row],[Ligações Realizadas]]/Tabela11[[#This Row],[Qtde Ligações]]=0,0,IF(Tabela11[[#This Row],[Ligações Realizadas]]/Tabela11[[#This Row],[Qtde Ligações]]=1,ROUND(N394/2,0),"Ver Painel"))</f>
        <v>0</v>
      </c>
      <c r="U394" s="23">
        <f>IF(Tabela11[[#This Row],[Ligações Realizadas]]/Tabela11[[#This Row],[Qtde Ligações]]=0,0,IF(Tabela11[[#This Row],[Ligações Realizadas]]/Tabela11[[#This Row],[Qtde Ligações]]=1,ROUND(N394/2,0),"Ver Painel"))</f>
        <v>0</v>
      </c>
      <c r="V394" s="219" t="s">
        <v>1651</v>
      </c>
    </row>
    <row r="395" spans="1:22" hidden="1" x14ac:dyDescent="0.25">
      <c r="A395" s="34" t="s">
        <v>1139</v>
      </c>
      <c r="B395" s="391" t="str">
        <f>VLOOKUP(Tabela11[[#This Row],[Tag do Cabo]],BD!A:AJ,2,0)</f>
        <v>Controle</v>
      </c>
      <c r="C395" s="3" t="str">
        <f>VLOOKUP(Tabela11[[#This Row],[Tag do Cabo]],BD!A:AJ,5,0)</f>
        <v>8T#1,0mm²+SHI+SHC (N.I.S.)</v>
      </c>
      <c r="D395" s="391" t="s">
        <v>1542</v>
      </c>
      <c r="E395" s="391" t="str">
        <f>VLOOKUP(Tabela11[[#This Row],[Tag do Cabo]],BD!A:T,20,0)</f>
        <v>BK-SP54-00350-LC-80-00006_00000</v>
      </c>
      <c r="F395" s="3" t="str">
        <f>IF(VLOOKUP(Tabela11[[#This Row],[Tag do Cabo]],BD!A:AJ,35,0)=0,"Pendente",VLOOKUP(Tabela11[[#This Row],[Tag do Cabo]],BD!A:AJ,35,0))</f>
        <v>BK-SP54-00350-LC-80-00006_00000</v>
      </c>
      <c r="G395" s="3" t="str">
        <f>IF(VLOOKUP(Tabela11[[#This Row],[Tag do Cabo]],BD!A:AJ,36,0)=0,"Pendente",VLOOKUP(Tabela11[[#This Row],[Tag do Cabo]],BD!A:AJ,36,0))</f>
        <v>14</v>
      </c>
      <c r="H395" s="391" t="str">
        <f>VLOOKUP(Tabela11[[#This Row],[Tag do Cabo]],BD!A:AJ,32,0)</f>
        <v>CCPxGB-351</v>
      </c>
      <c r="I395" s="7" t="str">
        <f>VLOOKUP(Tabela11[[#This Row],[Tag do Cabo]],BD!A:AJ,11,0)</f>
        <v>JBI-35-104X</v>
      </c>
      <c r="J395" s="3" t="str">
        <f>VLOOKUP(Tabela11[[#This Row],[Tag do Cabo]],BD!A:AJ,12,0)</f>
        <v>PI-57 (SEÇÃO 3)</v>
      </c>
      <c r="K395" s="391" t="s">
        <v>1141</v>
      </c>
      <c r="L395" s="391" t="s">
        <v>1592</v>
      </c>
      <c r="M395" s="3" t="str">
        <f>CONCATENATE(Tabela11[[#This Row],[Painel 1]]&amp;" "&amp;Tabela11[[#This Row],[Painel 2]])</f>
        <v>JBI-35-104X PI-57</v>
      </c>
      <c r="N395" s="157">
        <v>22</v>
      </c>
      <c r="O395" s="391">
        <f>COUNTIF(Tabela12[Tag Cabo],Tabela11[[#This Row],[Tag do Cabo]])</f>
        <v>22</v>
      </c>
      <c r="P395" s="391" t="str">
        <f>IF(Tabela11[[#This Row],[Qtde Ligações]]&lt;&gt;Tabela11[[#This Row],[Qtde Anilhas]],"Ver","Ok")</f>
        <v>Ok</v>
      </c>
      <c r="Q395" s="391">
        <f>VLOOKUP(Tabela11[[#This Row],[Tag do Cabo]],BD!A:F,6,0)</f>
        <v>1</v>
      </c>
      <c r="R395" s="391">
        <f>SUMIF('Lançamento de Cabos'!AE:AE,Tabela11[[#This Row],[Tag do Cabo]],'Lançamento de Cabos'!AG:AG)</f>
        <v>0</v>
      </c>
      <c r="S395" s="28">
        <f>Tabela11[[#This Row],[Ligações Realizadas]]/Tabela11[[#This Row],[Qtde Ligações]]</f>
        <v>0</v>
      </c>
      <c r="T395" s="269">
        <f>IF(Tabela11[[#This Row],[Ligações Realizadas]]/Tabela11[[#This Row],[Qtde Ligações]]=0,0,IF(Tabela11[[#This Row],[Ligações Realizadas]]/Tabela11[[#This Row],[Qtde Ligações]]=1,ROUND(N395/2,0),"Ver Painel"))</f>
        <v>0</v>
      </c>
      <c r="U395" s="23">
        <f>IF(Tabela11[[#This Row],[Ligações Realizadas]]/Tabela11[[#This Row],[Qtde Ligações]]=0,0,IF(Tabela11[[#This Row],[Ligações Realizadas]]/Tabela11[[#This Row],[Qtde Ligações]]=1,ROUND(N395/2,0),"Ver Painel"))</f>
        <v>0</v>
      </c>
      <c r="V395" s="219"/>
    </row>
    <row r="396" spans="1:22" hidden="1" x14ac:dyDescent="0.25">
      <c r="A396" s="34" t="s">
        <v>1143</v>
      </c>
      <c r="B396" s="391" t="str">
        <f>VLOOKUP(Tabela11[[#This Row],[Tag do Cabo]],BD!A:AJ,2,0)</f>
        <v>Controle</v>
      </c>
      <c r="C396" s="3" t="str">
        <f>VLOOKUP(Tabela11[[#This Row],[Tag do Cabo]],BD!A:AJ,5,0)</f>
        <v>12T#1,0mm²+SHI+SHC (N.I.S.)</v>
      </c>
      <c r="D396" s="391" t="s">
        <v>1542</v>
      </c>
      <c r="E396" s="391" t="str">
        <f>VLOOKUP(Tabela11[[#This Row],[Tag do Cabo]],BD!A:T,20,0)</f>
        <v>BK-SP54-00350-LC-80-00006_00000</v>
      </c>
      <c r="F396" s="3" t="str">
        <f>IF(VLOOKUP(Tabela11[[#This Row],[Tag do Cabo]],BD!A:AJ,35,0)=0,"Pendente",VLOOKUP(Tabela11[[#This Row],[Tag do Cabo]],BD!A:AJ,35,0))</f>
        <v>BK-SP54-00350-LC-80-00006_00000</v>
      </c>
      <c r="G396" s="3" t="str">
        <f>IF(VLOOKUP(Tabela11[[#This Row],[Tag do Cabo]],BD!A:AJ,36,0)=0,"Pendente",VLOOKUP(Tabela11[[#This Row],[Tag do Cabo]],BD!A:AJ,36,0))</f>
        <v>19-20</v>
      </c>
      <c r="H396" s="391" t="str">
        <f>VLOOKUP(Tabela11[[#This Row],[Tag do Cabo]],BD!A:AJ,32,0)</f>
        <v>CCPxGB-351</v>
      </c>
      <c r="I396" s="7" t="str">
        <f>VLOOKUP(Tabela11[[#This Row],[Tag do Cabo]],BD!A:AJ,11,0)</f>
        <v>JBI-35-107X</v>
      </c>
      <c r="J396" s="3" t="str">
        <f>VLOOKUP(Tabela11[[#This Row],[Tag do Cabo]],BD!A:AJ,12,0)</f>
        <v>PI-57 (SEÇÃO 3)</v>
      </c>
      <c r="K396" s="391" t="s">
        <v>1145</v>
      </c>
      <c r="L396" s="391" t="s">
        <v>1592</v>
      </c>
      <c r="M396" s="3" t="str">
        <f>CONCATENATE(Tabela11[[#This Row],[Painel 1]]&amp;" "&amp;Tabela11[[#This Row],[Painel 2]])</f>
        <v>JBI-35-107X PI-57</v>
      </c>
      <c r="N396" s="157">
        <f>16*3</f>
        <v>48</v>
      </c>
      <c r="O396" s="391">
        <f>COUNTIF(Tabela12[Tag Cabo],Tabela11[[#This Row],[Tag do Cabo]])</f>
        <v>48</v>
      </c>
      <c r="P396" s="391" t="str">
        <f>IF(Tabela11[[#This Row],[Qtde Ligações]]&lt;&gt;Tabela11[[#This Row],[Qtde Anilhas]],"Ver","Ok")</f>
        <v>Ok</v>
      </c>
      <c r="Q396" s="391">
        <f>VLOOKUP(Tabela11[[#This Row],[Tag do Cabo]],BD!A:F,6,0)</f>
        <v>1</v>
      </c>
      <c r="R396" s="391">
        <f>SUMIF('Lançamento de Cabos'!AE:AE,Tabela11[[#This Row],[Tag do Cabo]],'Lançamento de Cabos'!AG:AG)</f>
        <v>0</v>
      </c>
      <c r="S396" s="28">
        <f>Tabela11[[#This Row],[Ligações Realizadas]]/Tabela11[[#This Row],[Qtde Ligações]]</f>
        <v>0</v>
      </c>
      <c r="T396" s="269">
        <f>IF(Tabela11[[#This Row],[Ligações Realizadas]]/Tabela11[[#This Row],[Qtde Ligações]]=0,0,IF(Tabela11[[#This Row],[Ligações Realizadas]]/Tabela11[[#This Row],[Qtde Ligações]]=1,ROUND(N396/2,0),"Ver Painel"))</f>
        <v>0</v>
      </c>
      <c r="U396" s="23">
        <f>IF(Tabela11[[#This Row],[Ligações Realizadas]]/Tabela11[[#This Row],[Qtde Ligações]]=0,0,IF(Tabela11[[#This Row],[Ligações Realizadas]]/Tabela11[[#This Row],[Qtde Ligações]]=1,ROUND(N396/2,0),"Ver Painel"))</f>
        <v>0</v>
      </c>
      <c r="V396" s="222"/>
    </row>
    <row r="397" spans="1:22" hidden="1" x14ac:dyDescent="0.25">
      <c r="A397" s="34" t="s">
        <v>1148</v>
      </c>
      <c r="B397" s="391" t="str">
        <f>VLOOKUP(Tabela11[[#This Row],[Tag do Cabo]],BD!A:AJ,2,0)</f>
        <v>Controle</v>
      </c>
      <c r="C397" s="3" t="str">
        <f>VLOOKUP(Tabela11[[#This Row],[Tag do Cabo]],BD!A:AJ,5,0)</f>
        <v>8T#1,0mm²+SHI+SHC (N.I.S.)</v>
      </c>
      <c r="D397" s="391" t="s">
        <v>1542</v>
      </c>
      <c r="E397" s="391" t="str">
        <f>VLOOKUP(Tabela11[[#This Row],[Tag do Cabo]],BD!A:T,20,0)</f>
        <v>BK-SP54-00350-LC-80-00006_00000</v>
      </c>
      <c r="F397" s="3" t="str">
        <f>IF(VLOOKUP(Tabela11[[#This Row],[Tag do Cabo]],BD!A:AJ,35,0)=0,"Pendente",VLOOKUP(Tabela11[[#This Row],[Tag do Cabo]],BD!A:AJ,35,0))</f>
        <v>BK-SP54-00350-LC-80-00006_00000</v>
      </c>
      <c r="G397" s="3" t="str">
        <f>IF(VLOOKUP(Tabela11[[#This Row],[Tag do Cabo]],BD!A:AJ,36,0)=0,"Pendente",VLOOKUP(Tabela11[[#This Row],[Tag do Cabo]],BD!A:AJ,36,0))</f>
        <v>20-21</v>
      </c>
      <c r="H397" s="391" t="str">
        <f>VLOOKUP(Tabela11[[#This Row],[Tag do Cabo]],BD!A:AJ,32,0)</f>
        <v>CCPxGB-351</v>
      </c>
      <c r="I397" s="7" t="str">
        <f>VLOOKUP(Tabela11[[#This Row],[Tag do Cabo]],BD!A:AJ,11,0)</f>
        <v>JBI-35-107X</v>
      </c>
      <c r="J397" s="3" t="str">
        <f>VLOOKUP(Tabela11[[#This Row],[Tag do Cabo]],BD!A:AJ,12,0)</f>
        <v>PI-57 (SEÇÃO 3)</v>
      </c>
      <c r="K397" s="391" t="s">
        <v>1145</v>
      </c>
      <c r="L397" s="391" t="s">
        <v>1592</v>
      </c>
      <c r="M397" s="3" t="str">
        <f>CONCATENATE(Tabela11[[#This Row],[Painel 1]]&amp;" "&amp;Tabela11[[#This Row],[Painel 2]])</f>
        <v>JBI-35-107X PI-57</v>
      </c>
      <c r="N397" s="157">
        <v>36</v>
      </c>
      <c r="O397" s="391">
        <f>COUNTIF(Tabela12[Tag Cabo],Tabela11[[#This Row],[Tag do Cabo]])</f>
        <v>36</v>
      </c>
      <c r="P397" s="391" t="str">
        <f>IF(Tabela11[[#This Row],[Qtde Ligações]]&lt;&gt;Tabela11[[#This Row],[Qtde Anilhas]],"Ver","Ok")</f>
        <v>Ok</v>
      </c>
      <c r="Q397" s="391">
        <f>VLOOKUP(Tabela11[[#This Row],[Tag do Cabo]],BD!A:F,6,0)</f>
        <v>1</v>
      </c>
      <c r="R397" s="391">
        <f>SUMIF('Lançamento de Cabos'!AE:AE,Tabela11[[#This Row],[Tag do Cabo]],'Lançamento de Cabos'!AG:AG)</f>
        <v>0</v>
      </c>
      <c r="S397" s="28">
        <f>Tabela11[[#This Row],[Ligações Realizadas]]/Tabela11[[#This Row],[Qtde Ligações]]</f>
        <v>0</v>
      </c>
      <c r="T397" s="269">
        <f>IF(Tabela11[[#This Row],[Ligações Realizadas]]/Tabela11[[#This Row],[Qtde Ligações]]=0,0,IF(Tabela11[[#This Row],[Ligações Realizadas]]/Tabela11[[#This Row],[Qtde Ligações]]=1,ROUND(N397/2,0),"Ver Painel"))</f>
        <v>0</v>
      </c>
      <c r="U397" s="23">
        <f>IF(Tabela11[[#This Row],[Ligações Realizadas]]/Tabela11[[#This Row],[Qtde Ligações]]=0,0,IF(Tabela11[[#This Row],[Ligações Realizadas]]/Tabela11[[#This Row],[Qtde Ligações]]=1,ROUND(N397/2,0),"Ver Painel"))</f>
        <v>0</v>
      </c>
      <c r="V397" s="222"/>
    </row>
    <row r="398" spans="1:22" hidden="1" x14ac:dyDescent="0.25">
      <c r="A398" s="34" t="s">
        <v>1150</v>
      </c>
      <c r="B398" s="391" t="str">
        <f>VLOOKUP(Tabela11[[#This Row],[Tag do Cabo]],BD!A:AJ,2,0)</f>
        <v>Controle</v>
      </c>
      <c r="C398" s="3" t="str">
        <f>VLOOKUP(Tabela11[[#This Row],[Tag do Cabo]],BD!A:AJ,5,0)</f>
        <v>12T#1,0mm²+SHI+SHC (N.I.S.)</v>
      </c>
      <c r="D398" s="391" t="s">
        <v>1542</v>
      </c>
      <c r="E398" s="391" t="str">
        <f>VLOOKUP(Tabela11[[#This Row],[Tag do Cabo]],BD!A:T,20,0)</f>
        <v>BK-SP54-00350-LC-80-00006_00000</v>
      </c>
      <c r="F398" s="3" t="str">
        <f>IF(VLOOKUP(Tabela11[[#This Row],[Tag do Cabo]],BD!A:AJ,35,0)=0,"Pendente",VLOOKUP(Tabela11[[#This Row],[Tag do Cabo]],BD!A:AJ,35,0))</f>
        <v>BK-SP54-00350-LC-80-00006_00000</v>
      </c>
      <c r="G398" s="3" t="str">
        <f>IF(VLOOKUP(Tabela11[[#This Row],[Tag do Cabo]],BD!A:AJ,36,0)=0,"Pendente",VLOOKUP(Tabela11[[#This Row],[Tag do Cabo]],BD!A:AJ,36,0))</f>
        <v>16-17</v>
      </c>
      <c r="H398" s="391" t="str">
        <f>VLOOKUP(Tabela11[[#This Row],[Tag do Cabo]],BD!A:AJ,32,0)</f>
        <v>CCPxGB-351</v>
      </c>
      <c r="I398" s="7" t="str">
        <f>VLOOKUP(Tabela11[[#This Row],[Tag do Cabo]],BD!A:AJ,11,0)</f>
        <v>JBI-35-106X</v>
      </c>
      <c r="J398" s="3" t="str">
        <f>VLOOKUP(Tabela11[[#This Row],[Tag do Cabo]],BD!A:AJ,12,0)</f>
        <v>PI-57 (SEÇÃO 3)</v>
      </c>
      <c r="K398" s="391" t="s">
        <v>1151</v>
      </c>
      <c r="L398" s="391" t="s">
        <v>1592</v>
      </c>
      <c r="M398" s="3" t="str">
        <f>CONCATENATE(Tabela11[[#This Row],[Painel 1]]&amp;" "&amp;Tabela11[[#This Row],[Painel 2]])</f>
        <v>JBI-35-106X PI-57</v>
      </c>
      <c r="N398" s="157">
        <v>36</v>
      </c>
      <c r="O398" s="391">
        <f>COUNTIF(Tabela12[Tag Cabo],Tabela11[[#This Row],[Tag do Cabo]])</f>
        <v>36</v>
      </c>
      <c r="P398" s="391" t="str">
        <f>IF(Tabela11[[#This Row],[Qtde Ligações]]&lt;&gt;Tabela11[[#This Row],[Qtde Anilhas]],"Ver","Ok")</f>
        <v>Ok</v>
      </c>
      <c r="Q398" s="391">
        <f>VLOOKUP(Tabela11[[#This Row],[Tag do Cabo]],BD!A:F,6,0)</f>
        <v>1</v>
      </c>
      <c r="R398" s="391">
        <f>SUMIF('Lançamento de Cabos'!AE:AE,Tabela11[[#This Row],[Tag do Cabo]],'Lançamento de Cabos'!AG:AG)</f>
        <v>0</v>
      </c>
      <c r="S398" s="28">
        <f>Tabela11[[#This Row],[Ligações Realizadas]]/Tabela11[[#This Row],[Qtde Ligações]]</f>
        <v>0</v>
      </c>
      <c r="T398" s="269">
        <f>IF(Tabela11[[#This Row],[Ligações Realizadas]]/Tabela11[[#This Row],[Qtde Ligações]]=0,0,IF(Tabela11[[#This Row],[Ligações Realizadas]]/Tabela11[[#This Row],[Qtde Ligações]]=1,ROUND(N398/2,0),"Ver Painel"))</f>
        <v>0</v>
      </c>
      <c r="U398" s="23">
        <f>IF(Tabela11[[#This Row],[Ligações Realizadas]]/Tabela11[[#This Row],[Qtde Ligações]]=0,0,IF(Tabela11[[#This Row],[Ligações Realizadas]]/Tabela11[[#This Row],[Qtde Ligações]]=1,ROUND(N398/2,0),"Ver Painel"))</f>
        <v>0</v>
      </c>
      <c r="V398" s="222"/>
    </row>
    <row r="399" spans="1:22" hidden="1" x14ac:dyDescent="0.25">
      <c r="A399" s="34" t="s">
        <v>1153</v>
      </c>
      <c r="B399" s="391" t="str">
        <f>VLOOKUP(Tabela11[[#This Row],[Tag do Cabo]],BD!A:AJ,2,0)</f>
        <v>Controle</v>
      </c>
      <c r="C399" s="3" t="str">
        <f>VLOOKUP(Tabela11[[#This Row],[Tag do Cabo]],BD!A:AJ,5,0)</f>
        <v>8T#1,0mm²+SHI+SHC (N.I.S.)</v>
      </c>
      <c r="D399" s="391" t="s">
        <v>1542</v>
      </c>
      <c r="E399" s="391" t="str">
        <f>VLOOKUP(Tabela11[[#This Row],[Tag do Cabo]],BD!A:T,20,0)</f>
        <v>BK-SP54-00350-LC-80-00006_00000</v>
      </c>
      <c r="F399" s="3" t="str">
        <f>IF(VLOOKUP(Tabela11[[#This Row],[Tag do Cabo]],BD!A:AJ,35,0)=0,"Pendente",VLOOKUP(Tabela11[[#This Row],[Tag do Cabo]],BD!A:AJ,35,0))</f>
        <v>BK-SP54-00350-LC-80-00006_00000</v>
      </c>
      <c r="G399" s="3" t="str">
        <f>IF(VLOOKUP(Tabela11[[#This Row],[Tag do Cabo]],BD!A:AJ,36,0)=0,"Pendente",VLOOKUP(Tabela11[[#This Row],[Tag do Cabo]],BD!A:AJ,36,0))</f>
        <v>15</v>
      </c>
      <c r="H399" s="391" t="str">
        <f>VLOOKUP(Tabela11[[#This Row],[Tag do Cabo]],BD!A:AJ,32,0)</f>
        <v>CCPxGB-351</v>
      </c>
      <c r="I399" s="7" t="str">
        <f>VLOOKUP(Tabela11[[#This Row],[Tag do Cabo]],BD!A:AJ,11,0)</f>
        <v>JBI-35-105X</v>
      </c>
      <c r="J399" s="3" t="str">
        <f>VLOOKUP(Tabela11[[#This Row],[Tag do Cabo]],BD!A:AJ,12,0)</f>
        <v>PI-57 (SEÇÃO 3)</v>
      </c>
      <c r="K399" s="391" t="s">
        <v>1154</v>
      </c>
      <c r="L399" s="391" t="s">
        <v>1592</v>
      </c>
      <c r="M399" s="3" t="str">
        <f>CONCATENATE(Tabela11[[#This Row],[Painel 1]]&amp;" "&amp;Tabela11[[#This Row],[Painel 2]])</f>
        <v>JBI-35-105X PI-57</v>
      </c>
      <c r="N399" s="157">
        <v>22</v>
      </c>
      <c r="O399" s="391">
        <f>COUNTIF(Tabela12[Tag Cabo],Tabela11[[#This Row],[Tag do Cabo]])</f>
        <v>22</v>
      </c>
      <c r="P399" s="391" t="str">
        <f>IF(Tabela11[[#This Row],[Qtde Ligações]]&lt;&gt;Tabela11[[#This Row],[Qtde Anilhas]],"Ver","Ok")</f>
        <v>Ok</v>
      </c>
      <c r="Q399" s="391">
        <f>VLOOKUP(Tabela11[[#This Row],[Tag do Cabo]],BD!A:F,6,0)</f>
        <v>1</v>
      </c>
      <c r="R399" s="391">
        <f>SUMIF('Lançamento de Cabos'!AE:AE,Tabela11[[#This Row],[Tag do Cabo]],'Lançamento de Cabos'!AG:AG)</f>
        <v>0</v>
      </c>
      <c r="S399" s="28">
        <f>Tabela11[[#This Row],[Ligações Realizadas]]/Tabela11[[#This Row],[Qtde Ligações]]</f>
        <v>0</v>
      </c>
      <c r="T399" s="269">
        <f>IF(Tabela11[[#This Row],[Ligações Realizadas]]/Tabela11[[#This Row],[Qtde Ligações]]=0,0,IF(Tabela11[[#This Row],[Ligações Realizadas]]/Tabela11[[#This Row],[Qtde Ligações]]=1,ROUND(N399/2,0),"Ver Painel"))</f>
        <v>0</v>
      </c>
      <c r="U399" s="23">
        <f>IF(Tabela11[[#This Row],[Ligações Realizadas]]/Tabela11[[#This Row],[Qtde Ligações]]=0,0,IF(Tabela11[[#This Row],[Ligações Realizadas]]/Tabela11[[#This Row],[Qtde Ligações]]=1,ROUND(N399/2,0),"Ver Painel"))</f>
        <v>0</v>
      </c>
      <c r="V399" s="222"/>
    </row>
    <row r="400" spans="1:22" hidden="1" x14ac:dyDescent="0.25">
      <c r="A400" s="34" t="s">
        <v>1155</v>
      </c>
      <c r="B400" s="391" t="str">
        <f>VLOOKUP(Tabela11[[#This Row],[Tag do Cabo]],BD!A:AJ,2,0)</f>
        <v>Controle</v>
      </c>
      <c r="C400" s="3" t="str">
        <f>VLOOKUP(Tabela11[[#This Row],[Tag do Cabo]],BD!A:AJ,5,0)</f>
        <v>8T#1,0mm²+SHI+SHC (N.I.S.)</v>
      </c>
      <c r="D400" s="391" t="s">
        <v>1542</v>
      </c>
      <c r="E400" s="391" t="str">
        <f>VLOOKUP(Tabela11[[#This Row],[Tag do Cabo]],BD!A:T,20,0)</f>
        <v>BK-SP54-00350-LC-80-00006_00000</v>
      </c>
      <c r="F400" s="3" t="str">
        <f>IF(VLOOKUP(Tabela11[[#This Row],[Tag do Cabo]],BD!A:AJ,35,0)=0,"Pendente",VLOOKUP(Tabela11[[#This Row],[Tag do Cabo]],BD!A:AJ,35,0))</f>
        <v>BK-SP54-00350-LC-80-00006_00000</v>
      </c>
      <c r="G400" s="3" t="str">
        <f>IF(VLOOKUP(Tabela11[[#This Row],[Tag do Cabo]],BD!A:AJ,36,0)=0,"Pendente",VLOOKUP(Tabela11[[#This Row],[Tag do Cabo]],BD!A:AJ,36,0))</f>
        <v>17-18</v>
      </c>
      <c r="H400" s="391" t="str">
        <f>VLOOKUP(Tabela11[[#This Row],[Tag do Cabo]],BD!A:AJ,32,0)</f>
        <v>CCPxGB-351</v>
      </c>
      <c r="I400" s="7" t="str">
        <f>VLOOKUP(Tabela11[[#This Row],[Tag do Cabo]],BD!A:AJ,11,0)</f>
        <v>JBI-35-106X</v>
      </c>
      <c r="J400" s="3" t="str">
        <f>VLOOKUP(Tabela11[[#This Row],[Tag do Cabo]],BD!A:AJ,12,0)</f>
        <v>PI-57 (SEÇÃO 3)</v>
      </c>
      <c r="K400" s="391" t="s">
        <v>1151</v>
      </c>
      <c r="L400" s="391" t="s">
        <v>1592</v>
      </c>
      <c r="M400" s="3" t="str">
        <f>CONCATENATE(Tabela11[[#This Row],[Painel 1]]&amp;" "&amp;Tabela11[[#This Row],[Painel 2]])</f>
        <v>JBI-35-106X PI-57</v>
      </c>
      <c r="N400" s="157">
        <v>36</v>
      </c>
      <c r="O400" s="391">
        <f>COUNTIF(Tabela12[Tag Cabo],Tabela11[[#This Row],[Tag do Cabo]])</f>
        <v>36</v>
      </c>
      <c r="P400" s="391" t="str">
        <f>IF(Tabela11[[#This Row],[Qtde Ligações]]&lt;&gt;Tabela11[[#This Row],[Qtde Anilhas]],"Ver","Ok")</f>
        <v>Ok</v>
      </c>
      <c r="Q400" s="391">
        <f>VLOOKUP(Tabela11[[#This Row],[Tag do Cabo]],BD!A:F,6,0)</f>
        <v>1</v>
      </c>
      <c r="R400" s="391">
        <f>SUMIF('Lançamento de Cabos'!AE:AE,Tabela11[[#This Row],[Tag do Cabo]],'Lançamento de Cabos'!AG:AG)</f>
        <v>0</v>
      </c>
      <c r="S400" s="28">
        <f>Tabela11[[#This Row],[Ligações Realizadas]]/Tabela11[[#This Row],[Qtde Ligações]]</f>
        <v>0</v>
      </c>
      <c r="T400" s="269">
        <f>IF(Tabela11[[#This Row],[Ligações Realizadas]]/Tabela11[[#This Row],[Qtde Ligações]]=0,0,IF(Tabela11[[#This Row],[Ligações Realizadas]]/Tabela11[[#This Row],[Qtde Ligações]]=1,ROUND(N400/2,0),"Ver Painel"))</f>
        <v>0</v>
      </c>
      <c r="U400" s="23">
        <f>IF(Tabela11[[#This Row],[Ligações Realizadas]]/Tabela11[[#This Row],[Qtde Ligações]]=0,0,IF(Tabela11[[#This Row],[Ligações Realizadas]]/Tabela11[[#This Row],[Qtde Ligações]]=1,ROUND(N400/2,0),"Ver Painel"))</f>
        <v>0</v>
      </c>
      <c r="V400" s="222"/>
    </row>
    <row r="401" spans="1:22" hidden="1" x14ac:dyDescent="0.25">
      <c r="A401" s="34" t="s">
        <v>1071</v>
      </c>
      <c r="B401" s="391" t="str">
        <f>VLOOKUP(Tabela11[[#This Row],[Tag do Cabo]],BD!A:AJ,2,0)</f>
        <v>Controle</v>
      </c>
      <c r="C401" s="3" t="str">
        <f>VLOOKUP(Tabela11[[#This Row],[Tag do Cabo]],BD!A:AJ,5,0)</f>
        <v>12P#1,0mm²+SHI+SHC (N.I.S.)</v>
      </c>
      <c r="D401" s="391" t="s">
        <v>1542</v>
      </c>
      <c r="E401" s="391" t="str">
        <f>VLOOKUP(Tabela11[[#This Row],[Tag do Cabo]],BD!A:T,20,0)</f>
        <v>BK-SP54-00350-LC-80-00006_00000</v>
      </c>
      <c r="F401" s="3" t="str">
        <f>IF(VLOOKUP(Tabela11[[#This Row],[Tag do Cabo]],BD!A:AJ,35,0)=0,"Pendente",VLOOKUP(Tabela11[[#This Row],[Tag do Cabo]],BD!A:AJ,35,0))</f>
        <v>BK-SP54-00350-LC-80-00006_00000</v>
      </c>
      <c r="G401" s="3" t="str">
        <f>IF(VLOOKUP(Tabela11[[#This Row],[Tag do Cabo]],BD!A:AJ,36,0)=0,"Pendente",VLOOKUP(Tabela11[[#This Row],[Tag do Cabo]],BD!A:AJ,36,0))</f>
        <v>39</v>
      </c>
      <c r="H401" s="391" t="str">
        <f>VLOOKUP(Tabela11[[#This Row],[Tag do Cabo]],BD!A:AJ,32,0)</f>
        <v>CCP</v>
      </c>
      <c r="I401" s="7" t="str">
        <f>VLOOKUP(Tabela11[[#This Row],[Tag do Cabo]],BD!A:AJ,11,0)</f>
        <v>PI-57 (SEÇÃO 3)</v>
      </c>
      <c r="J401" s="3" t="str">
        <f>VLOOKUP(Tabela11[[#This Row],[Tag do Cabo]],BD!A:AJ,12,0)</f>
        <v>SIS-CCP-103-B</v>
      </c>
      <c r="K401" s="391" t="s">
        <v>1592</v>
      </c>
      <c r="L401" s="391" t="s">
        <v>679</v>
      </c>
      <c r="M401" s="3" t="str">
        <f>CONCATENATE(Tabela11[[#This Row],[Painel 1]]&amp;" "&amp;Tabela11[[#This Row],[Painel 2]])</f>
        <v>PI-57 SIS-CCP-103-B</v>
      </c>
      <c r="N401" s="157">
        <v>44</v>
      </c>
      <c r="O401" s="391">
        <f>COUNTIF(Tabela12[Tag Cabo],Tabela11[[#This Row],[Tag do Cabo]])</f>
        <v>44</v>
      </c>
      <c r="P401" s="391" t="str">
        <f>IF(Tabela11[[#This Row],[Qtde Ligações]]&lt;&gt;Tabela11[[#This Row],[Qtde Anilhas]],"Ver","Ok")</f>
        <v>Ok</v>
      </c>
      <c r="Q401" s="391">
        <f>VLOOKUP(Tabela11[[#This Row],[Tag do Cabo]],BD!A:F,6,0)</f>
        <v>1</v>
      </c>
      <c r="R401" s="391">
        <f>SUMIF('Lançamento de Cabos'!AE:AE,Tabela11[[#This Row],[Tag do Cabo]],'Lançamento de Cabos'!AG:AG)</f>
        <v>0</v>
      </c>
      <c r="S401" s="28">
        <f>Tabela11[[#This Row],[Ligações Realizadas]]/Tabela11[[#This Row],[Qtde Ligações]]</f>
        <v>0</v>
      </c>
      <c r="T401" s="269">
        <f>IF(Tabela11[[#This Row],[Ligações Realizadas]]/Tabela11[[#This Row],[Qtde Ligações]]=0,0,IF(Tabela11[[#This Row],[Ligações Realizadas]]/Tabela11[[#This Row],[Qtde Ligações]]=1,ROUND(N401/2,0),"Ver Painel"))</f>
        <v>0</v>
      </c>
      <c r="U401" s="23">
        <f>IF(Tabela11[[#This Row],[Ligações Realizadas]]/Tabela11[[#This Row],[Qtde Ligações]]=0,0,IF(Tabela11[[#This Row],[Ligações Realizadas]]/Tabela11[[#This Row],[Qtde Ligações]]=1,ROUND(N401/2,0),"Ver Painel"))</f>
        <v>0</v>
      </c>
      <c r="V401" s="222"/>
    </row>
    <row r="402" spans="1:22" hidden="1" x14ac:dyDescent="0.25">
      <c r="A402" s="34" t="s">
        <v>678</v>
      </c>
      <c r="B402" s="391" t="str">
        <f>VLOOKUP(Tabela11[[#This Row],[Tag do Cabo]],BD!A:AJ,2,0)</f>
        <v>Controle</v>
      </c>
      <c r="C402" s="3" t="str">
        <f>VLOOKUP(Tabela11[[#This Row],[Tag do Cabo]],BD!A:AJ,5,0)</f>
        <v>2P#1,0mm²+SHI+SHC (N.I.S.)</v>
      </c>
      <c r="D402" s="391" t="s">
        <v>1542</v>
      </c>
      <c r="E402" s="391" t="str">
        <f>VLOOKUP(Tabela11[[#This Row],[Tag do Cabo]],BD!A:T,20,0)</f>
        <v>BK-SP54-00350-LC-80-00006_00000</v>
      </c>
      <c r="F402" s="3" t="str">
        <f>IF(VLOOKUP(Tabela11[[#This Row],[Tag do Cabo]],BD!A:AJ,35,0)=0,"Pendente",VLOOKUP(Tabela11[[#This Row],[Tag do Cabo]],BD!A:AJ,35,0))</f>
        <v>BK-SP54-00350-LC-80-00006_00000</v>
      </c>
      <c r="G402" s="3" t="str">
        <f>IF(VLOOKUP(Tabela11[[#This Row],[Tag do Cabo]],BD!A:AJ,36,0)=0,"Pendente",VLOOKUP(Tabela11[[#This Row],[Tag do Cabo]],BD!A:AJ,36,0))</f>
        <v>38</v>
      </c>
      <c r="H402" s="391" t="str">
        <f>VLOOKUP(Tabela11[[#This Row],[Tag do Cabo]],BD!A:AJ,32,0)</f>
        <v>7HVxCCP</v>
      </c>
      <c r="I402" s="7" t="str">
        <f>VLOOKUP(Tabela11[[#This Row],[Tag do Cabo]],BD!A:AJ,11,0)</f>
        <v>7HV</v>
      </c>
      <c r="J402" s="3" t="str">
        <f>VLOOKUP(Tabela11[[#This Row],[Tag do Cabo]],BD!A:AJ,12,0)</f>
        <v>SIS-CCP-103-B</v>
      </c>
      <c r="K402" s="391" t="s">
        <v>1625</v>
      </c>
      <c r="L402" s="391" t="s">
        <v>679</v>
      </c>
      <c r="M402" s="3" t="str">
        <f>CONCATENATE(Tabela11[[#This Row],[Painel 1]]&amp;" "&amp;Tabela11[[#This Row],[Painel 2]])</f>
        <v>TR-08A SIS-CCP-103-B</v>
      </c>
      <c r="N402" s="157">
        <v>4</v>
      </c>
      <c r="O402" s="391">
        <f>COUNTIF(Tabela12[Tag Cabo],Tabela11[[#This Row],[Tag do Cabo]])</f>
        <v>4</v>
      </c>
      <c r="P402" s="391" t="str">
        <f>IF(Tabela11[[#This Row],[Qtde Ligações]]&lt;&gt;Tabela11[[#This Row],[Qtde Anilhas]],"Ver","Ok")</f>
        <v>Ok</v>
      </c>
      <c r="Q402" s="391">
        <f>VLOOKUP(Tabela11[[#This Row],[Tag do Cabo]],BD!A:F,6,0)</f>
        <v>1</v>
      </c>
      <c r="R402" s="391">
        <f>SUMIF('Lançamento de Cabos'!AE:AE,Tabela11[[#This Row],[Tag do Cabo]],'Lançamento de Cabos'!AG:AG)</f>
        <v>0</v>
      </c>
      <c r="S402" s="28">
        <f>Tabela11[[#This Row],[Ligações Realizadas]]/Tabela11[[#This Row],[Qtde Ligações]]</f>
        <v>0</v>
      </c>
      <c r="T402" s="269">
        <f>IF(Tabela11[[#This Row],[Ligações Realizadas]]/Tabela11[[#This Row],[Qtde Ligações]]=0,0,IF(Tabela11[[#This Row],[Ligações Realizadas]]/Tabela11[[#This Row],[Qtde Ligações]]=1,ROUND(N402/2,0),"Ver Painel"))</f>
        <v>0</v>
      </c>
      <c r="U402" s="23">
        <f>IF(Tabela11[[#This Row],[Ligações Realizadas]]/Tabela11[[#This Row],[Qtde Ligações]]=0,0,IF(Tabela11[[#This Row],[Ligações Realizadas]]/Tabela11[[#This Row],[Qtde Ligações]]=1,ROUND(N402/2,0),"Ver Painel"))</f>
        <v>0</v>
      </c>
      <c r="V402" s="219" t="s">
        <v>1652</v>
      </c>
    </row>
    <row r="403" spans="1:22" hidden="1" x14ac:dyDescent="0.25">
      <c r="A403" s="34" t="s">
        <v>683</v>
      </c>
      <c r="B403" s="391" t="str">
        <f>VLOOKUP(Tabela11[[#This Row],[Tag do Cabo]],BD!A:AJ,2,0)</f>
        <v>Controle</v>
      </c>
      <c r="C403" s="3" t="str">
        <f>VLOOKUP(Tabela11[[#This Row],[Tag do Cabo]],BD!A:AJ,5,0)</f>
        <v>2P#1,0mm²+SHI+SHC (N.I.S.)</v>
      </c>
      <c r="D403" s="391" t="s">
        <v>1542</v>
      </c>
      <c r="E403" s="391" t="str">
        <f>VLOOKUP(Tabela11[[#This Row],[Tag do Cabo]],BD!A:T,20,0)</f>
        <v>BK-SP54-00350-LC-80-00006_00000</v>
      </c>
      <c r="F403" s="3" t="str">
        <f>IF(VLOOKUP(Tabela11[[#This Row],[Tag do Cabo]],BD!A:AJ,35,0)=0,"Pendente",VLOOKUP(Tabela11[[#This Row],[Tag do Cabo]],BD!A:AJ,35,0))</f>
        <v>BK-SP54-00350-LC-80-00006_00000</v>
      </c>
      <c r="G403" s="3" t="str">
        <f>IF(VLOOKUP(Tabela11[[#This Row],[Tag do Cabo]],BD!A:AJ,36,0)=0,"Pendente",VLOOKUP(Tabela11[[#This Row],[Tag do Cabo]],BD!A:AJ,36,0))</f>
        <v>38</v>
      </c>
      <c r="H403" s="391" t="str">
        <f>VLOOKUP(Tabela11[[#This Row],[Tag do Cabo]],BD!A:AJ,32,0)</f>
        <v>7HVxCCP</v>
      </c>
      <c r="I403" s="7" t="str">
        <f>VLOOKUP(Tabela11[[#This Row],[Tag do Cabo]],BD!A:AJ,11,0)</f>
        <v>7HV</v>
      </c>
      <c r="J403" s="3" t="str">
        <f>VLOOKUP(Tabela11[[#This Row],[Tag do Cabo]],BD!A:AJ,12,0)</f>
        <v>SIS-CCP-103-B</v>
      </c>
      <c r="K403" s="391" t="s">
        <v>1628</v>
      </c>
      <c r="L403" s="391" t="s">
        <v>679</v>
      </c>
      <c r="M403" s="3" t="str">
        <f>CONCATENATE(Tabela11[[#This Row],[Painel 1]]&amp;" "&amp;Tabela11[[#This Row],[Painel 2]])</f>
        <v>TR-08B SIS-CCP-103-B</v>
      </c>
      <c r="N403" s="157">
        <v>4</v>
      </c>
      <c r="O403" s="391">
        <f>COUNTIF(Tabela12[Tag Cabo],Tabela11[[#This Row],[Tag do Cabo]])</f>
        <v>4</v>
      </c>
      <c r="P403" s="391" t="str">
        <f>IF(Tabela11[[#This Row],[Qtde Ligações]]&lt;&gt;Tabela11[[#This Row],[Qtde Anilhas]],"Ver","Ok")</f>
        <v>Ok</v>
      </c>
      <c r="Q403" s="391">
        <f>VLOOKUP(Tabela11[[#This Row],[Tag do Cabo]],BD!A:F,6,0)</f>
        <v>1</v>
      </c>
      <c r="R403" s="391">
        <f>SUMIF('Lançamento de Cabos'!AE:AE,Tabela11[[#This Row],[Tag do Cabo]],'Lançamento de Cabos'!AG:AG)</f>
        <v>0</v>
      </c>
      <c r="S403" s="28">
        <f>Tabela11[[#This Row],[Ligações Realizadas]]/Tabela11[[#This Row],[Qtde Ligações]]</f>
        <v>0</v>
      </c>
      <c r="T403" s="269">
        <f>IF(Tabela11[[#This Row],[Ligações Realizadas]]/Tabela11[[#This Row],[Qtde Ligações]]=0,0,IF(Tabela11[[#This Row],[Ligações Realizadas]]/Tabela11[[#This Row],[Qtde Ligações]]=1,ROUND(N403/2,0),"Ver Painel"))</f>
        <v>0</v>
      </c>
      <c r="U403" s="23">
        <f>IF(Tabela11[[#This Row],[Ligações Realizadas]]/Tabela11[[#This Row],[Qtde Ligações]]=0,0,IF(Tabela11[[#This Row],[Ligações Realizadas]]/Tabela11[[#This Row],[Qtde Ligações]]=1,ROUND(N403/2,0),"Ver Painel"))</f>
        <v>0</v>
      </c>
      <c r="V403" s="219" t="s">
        <v>1653</v>
      </c>
    </row>
    <row r="404" spans="1:22" hidden="1" x14ac:dyDescent="0.25">
      <c r="A404" s="34" t="s">
        <v>1157</v>
      </c>
      <c r="B404" s="391" t="str">
        <f>VLOOKUP(Tabela11[[#This Row],[Tag do Cabo]],BD!A:AJ,2,0)</f>
        <v>Controle</v>
      </c>
      <c r="C404" s="3" t="str">
        <f>VLOOKUP(Tabela11[[#This Row],[Tag do Cabo]],BD!A:AJ,5,0)</f>
        <v>12P#1,0mm²+SHI+SHC (I.S.)</v>
      </c>
      <c r="D404" s="391" t="s">
        <v>1542</v>
      </c>
      <c r="E404" s="391" t="str">
        <f>VLOOKUP(Tabela11[[#This Row],[Tag do Cabo]],BD!A:T,20,0)</f>
        <v>BK-SP54-00350-LC-80-00006_00000</v>
      </c>
      <c r="F404" s="3" t="str">
        <f>IF(VLOOKUP(Tabela11[[#This Row],[Tag do Cabo]],BD!A:AJ,35,0)=0,"Pendente",VLOOKUP(Tabela11[[#This Row],[Tag do Cabo]],BD!A:AJ,35,0))</f>
        <v>BK-SP54-00350-LC-80-00006_00000</v>
      </c>
      <c r="G404" s="3" t="str">
        <f>IF(VLOOKUP(Tabela11[[#This Row],[Tag do Cabo]],BD!A:AJ,36,0)=0,"Pendente",VLOOKUP(Tabela11[[#This Row],[Tag do Cabo]],BD!A:AJ,36,0))</f>
        <v>28-29</v>
      </c>
      <c r="H404" s="391" t="str">
        <f>VLOOKUP(Tabela11[[#This Row],[Tag do Cabo]],BD!A:AJ,32,0)</f>
        <v>CCPxGB-351</v>
      </c>
      <c r="I404" s="7" t="str">
        <f>VLOOKUP(Tabela11[[#This Row],[Tag do Cabo]],BD!A:AJ,11,0)</f>
        <v>PI-59(RB4)</v>
      </c>
      <c r="J404" s="3" t="str">
        <f>VLOOKUP(Tabela11[[#This Row],[Tag do Cabo]],BD!A:AJ,12,0)</f>
        <v>SIS-CCP-104-E</v>
      </c>
      <c r="K404" s="391" t="s">
        <v>1614</v>
      </c>
      <c r="L404" s="391" t="s">
        <v>1159</v>
      </c>
      <c r="M404" s="3" t="str">
        <f>CONCATENATE(Tabela11[[#This Row],[Painel 1]]&amp;" "&amp;Tabela11[[#This Row],[Painel 2]])</f>
        <v>PI-59 SIS-CCP-104-E</v>
      </c>
      <c r="N404" s="157">
        <v>12</v>
      </c>
      <c r="O404" s="391">
        <f>COUNTIF(Tabela12[Tag Cabo],Tabela11[[#This Row],[Tag do Cabo]])</f>
        <v>12</v>
      </c>
      <c r="P404" s="391" t="str">
        <f>IF(Tabela11[[#This Row],[Qtde Ligações]]&lt;&gt;Tabela11[[#This Row],[Qtde Anilhas]],"Ver","Ok")</f>
        <v>Ok</v>
      </c>
      <c r="Q404" s="391">
        <f>VLOOKUP(Tabela11[[#This Row],[Tag do Cabo]],BD!A:F,6,0)</f>
        <v>1</v>
      </c>
      <c r="R404" s="391">
        <f>SUMIF('Lançamento de Cabos'!AE:AE,Tabela11[[#This Row],[Tag do Cabo]],'Lançamento de Cabos'!AG:AG)</f>
        <v>0</v>
      </c>
      <c r="S404" s="28">
        <f>Tabela11[[#This Row],[Ligações Realizadas]]/Tabela11[[#This Row],[Qtde Ligações]]</f>
        <v>0</v>
      </c>
      <c r="T404" s="269">
        <f>IF(Tabela11[[#This Row],[Ligações Realizadas]]/Tabela11[[#This Row],[Qtde Ligações]]=0,0,IF(Tabela11[[#This Row],[Ligações Realizadas]]/Tabela11[[#This Row],[Qtde Ligações]]=1,ROUND(N404/2,0),"Ver Painel"))</f>
        <v>0</v>
      </c>
      <c r="U404" s="23">
        <f>IF(Tabela11[[#This Row],[Ligações Realizadas]]/Tabela11[[#This Row],[Qtde Ligações]]=0,0,IF(Tabela11[[#This Row],[Ligações Realizadas]]/Tabela11[[#This Row],[Qtde Ligações]]=1,ROUND(N404/2,0),"Ver Painel"))</f>
        <v>0</v>
      </c>
      <c r="V404" s="222"/>
    </row>
    <row r="405" spans="1:22" hidden="1" x14ac:dyDescent="0.25">
      <c r="A405" s="34" t="s">
        <v>684</v>
      </c>
      <c r="B405" s="391" t="str">
        <f>VLOOKUP(Tabela11[[#This Row],[Tag do Cabo]],BD!A:AJ,2,0)</f>
        <v>Controle</v>
      </c>
      <c r="C405" s="3" t="str">
        <f>VLOOKUP(Tabela11[[#This Row],[Tag do Cabo]],BD!A:AJ,5,0)</f>
        <v>8P#1,0mm²+SHI+SHC (N.I.S.)</v>
      </c>
      <c r="D405" s="391" t="s">
        <v>1542</v>
      </c>
      <c r="E405" s="391" t="str">
        <f>VLOOKUP(Tabela11[[#This Row],[Tag do Cabo]],BD!A:T,20,0)</f>
        <v>BK-SP54-00350-LC-80-00006_00000</v>
      </c>
      <c r="F405" s="3" t="str">
        <f>IF(VLOOKUP(Tabela11[[#This Row],[Tag do Cabo]],BD!A:AJ,35,0)=0,"Pendente",VLOOKUP(Tabela11[[#This Row],[Tag do Cabo]],BD!A:AJ,35,0))</f>
        <v>BK-SP54-00350-LC-80-00006_00000</v>
      </c>
      <c r="G405" s="3" t="str">
        <f>IF(VLOOKUP(Tabela11[[#This Row],[Tag do Cabo]],BD!A:AJ,36,0)=0,"Pendente",VLOOKUP(Tabela11[[#This Row],[Tag do Cabo]],BD!A:AJ,36,0))</f>
        <v>37</v>
      </c>
      <c r="H405" s="391" t="str">
        <f>VLOOKUP(Tabela11[[#This Row],[Tag do Cabo]],BD!A:AJ,32,0)</f>
        <v>7HVxCCP</v>
      </c>
      <c r="I405" s="7" t="str">
        <f>VLOOKUP(Tabela11[[#This Row],[Tag do Cabo]],BD!A:AJ,11,0)</f>
        <v>7HV</v>
      </c>
      <c r="J405" s="3" t="str">
        <f>VLOOKUP(Tabela11[[#This Row],[Tag do Cabo]],BD!A:AJ,12,0)</f>
        <v>SIS-CCP-103-B</v>
      </c>
      <c r="K405" s="391" t="s">
        <v>937</v>
      </c>
      <c r="L405" s="391" t="s">
        <v>679</v>
      </c>
      <c r="M405" s="3" t="str">
        <f>CONCATENATE(Tabela11[[#This Row],[Painel 1]]&amp;" "&amp;Tabela11[[#This Row],[Painel 2]])</f>
        <v>PAINEL 7HV SIS-CCP-103-B</v>
      </c>
      <c r="N405" s="157">
        <v>16</v>
      </c>
      <c r="O405" s="391">
        <f>COUNTIF(Tabela12[Tag Cabo],Tabela11[[#This Row],[Tag do Cabo]])</f>
        <v>16</v>
      </c>
      <c r="P405" s="391" t="str">
        <f>IF(Tabela11[[#This Row],[Qtde Ligações]]&lt;&gt;Tabela11[[#This Row],[Qtde Anilhas]],"Ver","Ok")</f>
        <v>Ok</v>
      </c>
      <c r="Q405" s="391">
        <f>VLOOKUP(Tabela11[[#This Row],[Tag do Cabo]],BD!A:F,6,0)</f>
        <v>1</v>
      </c>
      <c r="R405" s="391">
        <f>SUMIF('Lançamento de Cabos'!AE:AE,Tabela11[[#This Row],[Tag do Cabo]],'Lançamento de Cabos'!AG:AG)</f>
        <v>0</v>
      </c>
      <c r="S405" s="28">
        <f>Tabela11[[#This Row],[Ligações Realizadas]]/Tabela11[[#This Row],[Qtde Ligações]]</f>
        <v>0</v>
      </c>
      <c r="T405" s="269">
        <f>IF(Tabela11[[#This Row],[Ligações Realizadas]]/Tabela11[[#This Row],[Qtde Ligações]]=0,0,IF(Tabela11[[#This Row],[Ligações Realizadas]]/Tabela11[[#This Row],[Qtde Ligações]]=1,ROUND(N405/2,0),"Ver Painel"))</f>
        <v>0</v>
      </c>
      <c r="U405" s="23">
        <f>IF(Tabela11[[#This Row],[Ligações Realizadas]]/Tabela11[[#This Row],[Qtde Ligações]]=0,0,IF(Tabela11[[#This Row],[Ligações Realizadas]]/Tabela11[[#This Row],[Qtde Ligações]]=1,ROUND(N405/2,0),"Ver Painel"))</f>
        <v>0</v>
      </c>
      <c r="V405" s="219" t="s">
        <v>1639</v>
      </c>
    </row>
    <row r="406" spans="1:22" hidden="1" x14ac:dyDescent="0.25">
      <c r="A406" s="34" t="s">
        <v>686</v>
      </c>
      <c r="B406" s="391" t="str">
        <f>VLOOKUP(Tabela11[[#This Row],[Tag do Cabo]],BD!A:AJ,2,0)</f>
        <v>Controle</v>
      </c>
      <c r="C406" s="3" t="str">
        <f>VLOOKUP(Tabela11[[#This Row],[Tag do Cabo]],BD!A:AJ,5,0)</f>
        <v>12P#1,0mm²+SHI+SHC (N.I.S.)</v>
      </c>
      <c r="D406" s="391" t="s">
        <v>1542</v>
      </c>
      <c r="E406" s="391" t="str">
        <f>VLOOKUP(Tabela11[[#This Row],[Tag do Cabo]],BD!A:T,20,0)</f>
        <v>BK-SP54-00350-LC-80-00006_00000</v>
      </c>
      <c r="F406" s="3" t="str">
        <f>IF(VLOOKUP(Tabela11[[#This Row],[Tag do Cabo]],BD!A:AJ,35,0)=0,"Pendente",VLOOKUP(Tabela11[[#This Row],[Tag do Cabo]],BD!A:AJ,35,0))</f>
        <v>BK-SP54-00350-LC-80-00006_00000</v>
      </c>
      <c r="G406" s="3" t="str">
        <f>IF(VLOOKUP(Tabela11[[#This Row],[Tag do Cabo]],BD!A:AJ,36,0)=0,"Pendente",VLOOKUP(Tabela11[[#This Row],[Tag do Cabo]],BD!A:AJ,36,0))</f>
        <v>33-34</v>
      </c>
      <c r="H406" s="391" t="str">
        <f>VLOOKUP(Tabela11[[#This Row],[Tag do Cabo]],BD!A:AJ,32,0)</f>
        <v>7HVxCCP</v>
      </c>
      <c r="I406" s="7" t="str">
        <f>VLOOKUP(Tabela11[[#This Row],[Tag do Cabo]],BD!A:AJ,11,0)</f>
        <v>GB-351-INV</v>
      </c>
      <c r="J406" s="3" t="str">
        <f>VLOOKUP(Tabela11[[#This Row],[Tag do Cabo]],BD!A:AJ,12,0)</f>
        <v>SIS-CCP-103-B</v>
      </c>
      <c r="K406" s="391" t="s">
        <v>687</v>
      </c>
      <c r="L406" s="391" t="s">
        <v>679</v>
      </c>
      <c r="M406" s="3" t="str">
        <f>CONCATENATE(Tabela11[[#This Row],[Painel 1]]&amp;" "&amp;Tabela11[[#This Row],[Painel 2]])</f>
        <v>GB-351-INV SIS-CCP-103-B</v>
      </c>
      <c r="N406" s="157">
        <v>48</v>
      </c>
      <c r="O406" s="391">
        <f>COUNTIF(Tabela12[Tag Cabo],Tabela11[[#This Row],[Tag do Cabo]])</f>
        <v>48</v>
      </c>
      <c r="P406" s="391" t="str">
        <f>IF(Tabela11[[#This Row],[Qtde Ligações]]&lt;&gt;Tabela11[[#This Row],[Qtde Anilhas]],"Ver","Ok")</f>
        <v>Ok</v>
      </c>
      <c r="Q406" s="391">
        <f>VLOOKUP(Tabela11[[#This Row],[Tag do Cabo]],BD!A:F,6,0)</f>
        <v>1</v>
      </c>
      <c r="R406" s="391">
        <f>SUMIF('Lançamento de Cabos'!AE:AE,Tabela11[[#This Row],[Tag do Cabo]],'Lançamento de Cabos'!AG:AG)</f>
        <v>0</v>
      </c>
      <c r="S406" s="28">
        <f>Tabela11[[#This Row],[Ligações Realizadas]]/Tabela11[[#This Row],[Qtde Ligações]]</f>
        <v>0</v>
      </c>
      <c r="T406" s="269">
        <f>IF(Tabela11[[#This Row],[Ligações Realizadas]]/Tabela11[[#This Row],[Qtde Ligações]]=0,0,IF(Tabela11[[#This Row],[Ligações Realizadas]]/Tabela11[[#This Row],[Qtde Ligações]]=1,ROUND(N406/2,0),"Ver Painel"))</f>
        <v>0</v>
      </c>
      <c r="U406" s="23">
        <f>IF(Tabela11[[#This Row],[Ligações Realizadas]]/Tabela11[[#This Row],[Qtde Ligações]]=0,0,IF(Tabela11[[#This Row],[Ligações Realizadas]]/Tabela11[[#This Row],[Qtde Ligações]]=1,ROUND(N406/2,0),"Ver Painel"))</f>
        <v>0</v>
      </c>
      <c r="V406" s="222"/>
    </row>
    <row r="407" spans="1:22" hidden="1" x14ac:dyDescent="0.25">
      <c r="A407" s="34" t="s">
        <v>689</v>
      </c>
      <c r="B407" s="391" t="str">
        <f>VLOOKUP(Tabela11[[#This Row],[Tag do Cabo]],BD!A:AJ,2,0)</f>
        <v>Controle</v>
      </c>
      <c r="C407" s="3" t="str">
        <f>VLOOKUP(Tabela11[[#This Row],[Tag do Cabo]],BD!A:AJ,5,0)</f>
        <v>12P#1,0mm²+SHI+SHC (N.I.S.)</v>
      </c>
      <c r="D407" s="391" t="s">
        <v>1542</v>
      </c>
      <c r="E407" s="391" t="str">
        <f>VLOOKUP(Tabela11[[#This Row],[Tag do Cabo]],BD!A:T,20,0)</f>
        <v>BK-SP54-00350-LC-80-00006_00000</v>
      </c>
      <c r="F407" s="3" t="str">
        <f>IF(VLOOKUP(Tabela11[[#This Row],[Tag do Cabo]],BD!A:AJ,35,0)=0,"Pendente",VLOOKUP(Tabela11[[#This Row],[Tag do Cabo]],BD!A:AJ,35,0))</f>
        <v>BK-SP54-00350-LC-80-00006_00000</v>
      </c>
      <c r="G407" s="3" t="str">
        <f>IF(VLOOKUP(Tabela11[[#This Row],[Tag do Cabo]],BD!A:AJ,36,0)=0,"Pendente",VLOOKUP(Tabela11[[#This Row],[Tag do Cabo]],BD!A:AJ,36,0))</f>
        <v>35-36</v>
      </c>
      <c r="H407" s="391" t="str">
        <f>VLOOKUP(Tabela11[[#This Row],[Tag do Cabo]],BD!A:AJ,32,0)</f>
        <v>7HVxCCP</v>
      </c>
      <c r="I407" s="7" t="str">
        <f>VLOOKUP(Tabela11[[#This Row],[Tag do Cabo]],BD!A:AJ,11,0)</f>
        <v>GB-351-INV</v>
      </c>
      <c r="J407" s="3" t="str">
        <f>VLOOKUP(Tabela11[[#This Row],[Tag do Cabo]],BD!A:AJ,12,0)</f>
        <v>SIS-CCP-103-C</v>
      </c>
      <c r="K407" s="391" t="s">
        <v>687</v>
      </c>
      <c r="L407" s="391" t="s">
        <v>690</v>
      </c>
      <c r="M407" s="3" t="str">
        <f>CONCATENATE(Tabela11[[#This Row],[Painel 1]]&amp;" "&amp;Tabela11[[#This Row],[Painel 2]])</f>
        <v>GB-351-INV SIS-CCP-103-C</v>
      </c>
      <c r="N407" s="157">
        <v>32</v>
      </c>
      <c r="O407" s="391">
        <f>COUNTIF(Tabela12[Tag Cabo],Tabela11[[#This Row],[Tag do Cabo]])</f>
        <v>32</v>
      </c>
      <c r="P407" s="391" t="str">
        <f>IF(Tabela11[[#This Row],[Qtde Ligações]]&lt;&gt;Tabela11[[#This Row],[Qtde Anilhas]],"Ver","Ok")</f>
        <v>Ok</v>
      </c>
      <c r="Q407" s="391">
        <f>VLOOKUP(Tabela11[[#This Row],[Tag do Cabo]],BD!A:F,6,0)</f>
        <v>1</v>
      </c>
      <c r="R407" s="391">
        <f>SUMIF('Lançamento de Cabos'!AE:AE,Tabela11[[#This Row],[Tag do Cabo]],'Lançamento de Cabos'!AG:AG)</f>
        <v>0</v>
      </c>
      <c r="S407" s="28">
        <f>Tabela11[[#This Row],[Ligações Realizadas]]/Tabela11[[#This Row],[Qtde Ligações]]</f>
        <v>0</v>
      </c>
      <c r="T407" s="269">
        <f>IF(Tabela11[[#This Row],[Ligações Realizadas]]/Tabela11[[#This Row],[Qtde Ligações]]=0,0,IF(Tabela11[[#This Row],[Ligações Realizadas]]/Tabela11[[#This Row],[Qtde Ligações]]=1,ROUND(N407/2,0),"Ver Painel"))</f>
        <v>0</v>
      </c>
      <c r="U407" s="23">
        <f>IF(Tabela11[[#This Row],[Ligações Realizadas]]/Tabela11[[#This Row],[Qtde Ligações]]=0,0,IF(Tabela11[[#This Row],[Ligações Realizadas]]/Tabela11[[#This Row],[Qtde Ligações]]=1,ROUND(N407/2,0),"Ver Painel"))</f>
        <v>0</v>
      </c>
      <c r="V407" s="219"/>
    </row>
    <row r="408" spans="1:22" hidden="1" x14ac:dyDescent="0.25">
      <c r="A408" s="34" t="s">
        <v>692</v>
      </c>
      <c r="B408" s="391" t="str">
        <f>VLOOKUP(Tabela11[[#This Row],[Tag do Cabo]],BD!A:AJ,2,0)</f>
        <v>Controle</v>
      </c>
      <c r="C408" s="3" t="str">
        <f>VLOOKUP(Tabela11[[#This Row],[Tag do Cabo]],BD!A:AJ,5,0)</f>
        <v>12P#1,0mm²+SHI+SHC (I.S.)</v>
      </c>
      <c r="D408" s="391" t="s">
        <v>1542</v>
      </c>
      <c r="E408" s="391" t="str">
        <f>VLOOKUP(Tabela11[[#This Row],[Tag do Cabo]],BD!A:T,20,0)</f>
        <v>BK-SP54-00350-LC-80-00006_00000</v>
      </c>
      <c r="F408" s="3" t="str">
        <f>IF(VLOOKUP(Tabela11[[#This Row],[Tag do Cabo]],BD!A:AJ,35,0)=0,"Pendente",VLOOKUP(Tabela11[[#This Row],[Tag do Cabo]],BD!A:AJ,35,0))</f>
        <v>BK-SP54-00350-LC-80-00006_00000</v>
      </c>
      <c r="G408" s="3" t="str">
        <f>IF(VLOOKUP(Tabela11[[#This Row],[Tag do Cabo]],BD!A:AJ,36,0)=0,"Pendente",VLOOKUP(Tabela11[[#This Row],[Tag do Cabo]],BD!A:AJ,36,0))</f>
        <v>30-31</v>
      </c>
      <c r="H408" s="391" t="str">
        <f>VLOOKUP(Tabela11[[#This Row],[Tag do Cabo]],BD!A:AJ,32,0)</f>
        <v>7HVxCCP</v>
      </c>
      <c r="I408" s="7" t="str">
        <f>VLOOKUP(Tabela11[[#This Row],[Tag do Cabo]],BD!A:AJ,11,0)</f>
        <v>GB-351-INV</v>
      </c>
      <c r="J408" s="3" t="str">
        <f>VLOOKUP(Tabela11[[#This Row],[Tag do Cabo]],BD!A:AJ,12,0)</f>
        <v>SIS-CCP-103-C</v>
      </c>
      <c r="K408" s="391" t="s">
        <v>687</v>
      </c>
      <c r="L408" s="391" t="s">
        <v>690</v>
      </c>
      <c r="M408" s="3" t="str">
        <f>CONCATENATE(Tabela11[[#This Row],[Painel 1]]&amp;" "&amp;Tabela11[[#This Row],[Painel 2]])</f>
        <v>GB-351-INV SIS-CCP-103-C</v>
      </c>
      <c r="N408" s="157">
        <v>16</v>
      </c>
      <c r="O408" s="391">
        <f>COUNTIF(Tabela12[Tag Cabo],Tabela11[[#This Row],[Tag do Cabo]])</f>
        <v>16</v>
      </c>
      <c r="P408" s="391" t="str">
        <f>IF(Tabela11[[#This Row],[Qtde Ligações]]&lt;&gt;Tabela11[[#This Row],[Qtde Anilhas]],"Ver","Ok")</f>
        <v>Ok</v>
      </c>
      <c r="Q408" s="391">
        <f>VLOOKUP(Tabela11[[#This Row],[Tag do Cabo]],BD!A:F,6,0)</f>
        <v>1</v>
      </c>
      <c r="R408" s="391">
        <f>SUMIF('Lançamento de Cabos'!AE:AE,Tabela11[[#This Row],[Tag do Cabo]],'Lançamento de Cabos'!AG:AG)</f>
        <v>0</v>
      </c>
      <c r="S408" s="28">
        <f>Tabela11[[#This Row],[Ligações Realizadas]]/Tabela11[[#This Row],[Qtde Ligações]]</f>
        <v>0</v>
      </c>
      <c r="T408" s="269">
        <f>IF(Tabela11[[#This Row],[Ligações Realizadas]]/Tabela11[[#This Row],[Qtde Ligações]]=0,0,IF(Tabela11[[#This Row],[Ligações Realizadas]]/Tabela11[[#This Row],[Qtde Ligações]]=1,ROUND(N408/2,0),"Ver Painel"))</f>
        <v>0</v>
      </c>
      <c r="U408" s="23">
        <f>IF(Tabela11[[#This Row],[Ligações Realizadas]]/Tabela11[[#This Row],[Qtde Ligações]]=0,0,IF(Tabela11[[#This Row],[Ligações Realizadas]]/Tabela11[[#This Row],[Qtde Ligações]]=1,ROUND(N408/2,0),"Ver Painel"))</f>
        <v>0</v>
      </c>
      <c r="V408" s="222"/>
    </row>
    <row r="409" spans="1:22" hidden="1" x14ac:dyDescent="0.25">
      <c r="A409" s="34" t="s">
        <v>694</v>
      </c>
      <c r="B409" s="391" t="str">
        <f>VLOOKUP(Tabela11[[#This Row],[Tag do Cabo]],BD!A:AJ,2,0)</f>
        <v>Controle</v>
      </c>
      <c r="C409" s="3" t="str">
        <f>VLOOKUP(Tabela11[[#This Row],[Tag do Cabo]],BD!A:AJ,5,0)</f>
        <v>4P#1,0mm²+SHI+SHC (N.I.S.)</v>
      </c>
      <c r="D409" s="391" t="s">
        <v>1542</v>
      </c>
      <c r="E409" s="391" t="str">
        <f>VLOOKUP(Tabela11[[#This Row],[Tag do Cabo]],BD!A:T,20,0)</f>
        <v>BK-SP54-00350-LC-80-00006_00000</v>
      </c>
      <c r="F409" s="3" t="str">
        <f>IF(VLOOKUP(Tabela11[[#This Row],[Tag do Cabo]],BD!A:AJ,35,0)=0,"Pendente",VLOOKUP(Tabela11[[#This Row],[Tag do Cabo]],BD!A:AJ,35,0))</f>
        <v>BK-SP54-00350-LC-80-00006_00000</v>
      </c>
      <c r="G409" s="3" t="str">
        <f>IF(VLOOKUP(Tabela11[[#This Row],[Tag do Cabo]],BD!A:AJ,36,0)=0,"Pendente",VLOOKUP(Tabela11[[#This Row],[Tag do Cabo]],BD!A:AJ,36,0))</f>
        <v>32</v>
      </c>
      <c r="H409" s="391" t="str">
        <f>VLOOKUP(Tabela11[[#This Row],[Tag do Cabo]],BD!A:AJ,32,0)</f>
        <v>7HVxCCP</v>
      </c>
      <c r="I409" s="7" t="str">
        <f>VLOOKUP(Tabela11[[#This Row],[Tag do Cabo]],BD!A:AJ,11,0)</f>
        <v>GB-351-INV</v>
      </c>
      <c r="J409" s="3" t="str">
        <f>VLOOKUP(Tabela11[[#This Row],[Tag do Cabo]],BD!A:AJ,12,0)</f>
        <v>SIS-CCP-103-C</v>
      </c>
      <c r="K409" s="391" t="s">
        <v>687</v>
      </c>
      <c r="L409" s="391" t="s">
        <v>690</v>
      </c>
      <c r="M409" s="3" t="str">
        <f>CONCATENATE(Tabela11[[#This Row],[Painel 1]]&amp;" "&amp;Tabela11[[#This Row],[Painel 2]])</f>
        <v>GB-351-INV SIS-CCP-103-C</v>
      </c>
      <c r="N409" s="157">
        <v>4</v>
      </c>
      <c r="O409" s="391">
        <f>COUNTIF(Tabela12[Tag Cabo],Tabela11[[#This Row],[Tag do Cabo]])</f>
        <v>4</v>
      </c>
      <c r="P409" s="391" t="str">
        <f>IF(Tabela11[[#This Row],[Qtde Ligações]]&lt;&gt;Tabela11[[#This Row],[Qtde Anilhas]],"Ver","Ok")</f>
        <v>Ok</v>
      </c>
      <c r="Q409" s="391">
        <f>VLOOKUP(Tabela11[[#This Row],[Tag do Cabo]],BD!A:F,6,0)</f>
        <v>1</v>
      </c>
      <c r="R409" s="391">
        <f>SUMIF('Lançamento de Cabos'!AE:AE,Tabela11[[#This Row],[Tag do Cabo]],'Lançamento de Cabos'!AG:AG)</f>
        <v>0</v>
      </c>
      <c r="S409" s="28">
        <f>Tabela11[[#This Row],[Ligações Realizadas]]/Tabela11[[#This Row],[Qtde Ligações]]</f>
        <v>0</v>
      </c>
      <c r="T409" s="269">
        <f>IF(Tabela11[[#This Row],[Ligações Realizadas]]/Tabela11[[#This Row],[Qtde Ligações]]=0,0,IF(Tabela11[[#This Row],[Ligações Realizadas]]/Tabela11[[#This Row],[Qtde Ligações]]=1,ROUND(N409/2,0),"Ver Painel"))</f>
        <v>0</v>
      </c>
      <c r="U409" s="23">
        <f>IF(Tabela11[[#This Row],[Ligações Realizadas]]/Tabela11[[#This Row],[Qtde Ligações]]=0,0,IF(Tabela11[[#This Row],[Ligações Realizadas]]/Tabela11[[#This Row],[Qtde Ligações]]=1,ROUND(N409/2,0),"Ver Painel"))</f>
        <v>0</v>
      </c>
      <c r="V409" s="222"/>
    </row>
    <row r="410" spans="1:22" hidden="1" x14ac:dyDescent="0.25">
      <c r="A410" s="34" t="s">
        <v>1161</v>
      </c>
      <c r="B410" s="391" t="str">
        <f>VLOOKUP(Tabela11[[#This Row],[Tag do Cabo]],BD!A:AJ,2,0)</f>
        <v>Controle</v>
      </c>
      <c r="C410" s="3" t="str">
        <f>VLOOKUP(Tabela11[[#This Row],[Tag do Cabo]],BD!A:AJ,5,0)</f>
        <v>8P#1,0mm²+SHI+SHC (I.S.)</v>
      </c>
      <c r="D410" s="391" t="s">
        <v>1542</v>
      </c>
      <c r="E410" s="391" t="str">
        <f>VLOOKUP(Tabela11[[#This Row],[Tag do Cabo]],BD!A:T,20,0)</f>
        <v>BK-SP54-00350-LC-80-00006_00000</v>
      </c>
      <c r="F410" s="3" t="str">
        <f>IF(VLOOKUP(Tabela11[[#This Row],[Tag do Cabo]],BD!A:AJ,35,0)=0,"Pendente",VLOOKUP(Tabela11[[#This Row],[Tag do Cabo]],BD!A:AJ,35,0))</f>
        <v>BK-SP54-00350-LC-80-00006_00000</v>
      </c>
      <c r="G410" s="3" t="str">
        <f>IF(VLOOKUP(Tabela11[[#This Row],[Tag do Cabo]],BD!A:AJ,36,0)=0,"Pendente",VLOOKUP(Tabela11[[#This Row],[Tag do Cabo]],BD!A:AJ,36,0))</f>
        <v>26</v>
      </c>
      <c r="H410" s="391" t="str">
        <f>VLOOKUP(Tabela11[[#This Row],[Tag do Cabo]],BD!A:AJ,32,0)</f>
        <v>CCPxGB-351</v>
      </c>
      <c r="I410" s="7" t="str">
        <f>VLOOKUP(Tabela11[[#This Row],[Tag do Cabo]],BD!A:AJ,11,0)</f>
        <v>JBAI-35-106</v>
      </c>
      <c r="J410" s="3" t="str">
        <f>VLOOKUP(Tabela11[[#This Row],[Tag do Cabo]],BD!A:AJ,12,0)</f>
        <v>PI-57 (SEÇÃO 2)</v>
      </c>
      <c r="K410" s="391" t="s">
        <v>1162</v>
      </c>
      <c r="L410" s="391" t="s">
        <v>1592</v>
      </c>
      <c r="M410" s="3" t="str">
        <f>CONCATENATE(Tabela11[[#This Row],[Painel 1]]&amp;" "&amp;Tabela11[[#This Row],[Painel 2]])</f>
        <v>JBAI-35-106 PI-57</v>
      </c>
      <c r="N410" s="157">
        <v>20</v>
      </c>
      <c r="O410" s="391">
        <f>COUNTIF(Tabela12[Tag Cabo],Tabela11[[#This Row],[Tag do Cabo]])</f>
        <v>20</v>
      </c>
      <c r="P410" s="391" t="str">
        <f>IF(Tabela11[[#This Row],[Qtde Ligações]]&lt;&gt;Tabela11[[#This Row],[Qtde Anilhas]],"Ver","Ok")</f>
        <v>Ok</v>
      </c>
      <c r="Q410" s="391">
        <f>VLOOKUP(Tabela11[[#This Row],[Tag do Cabo]],BD!A:F,6,0)</f>
        <v>1</v>
      </c>
      <c r="R410" s="391">
        <f>SUMIF('Lançamento de Cabos'!AE:AE,Tabela11[[#This Row],[Tag do Cabo]],'Lançamento de Cabos'!AG:AG)</f>
        <v>0</v>
      </c>
      <c r="S410" s="28">
        <f>Tabela11[[#This Row],[Ligações Realizadas]]/Tabela11[[#This Row],[Qtde Ligações]]</f>
        <v>0</v>
      </c>
      <c r="T410" s="269">
        <f>IF(Tabela11[[#This Row],[Ligações Realizadas]]/Tabela11[[#This Row],[Qtde Ligações]]=0,0,IF(Tabela11[[#This Row],[Ligações Realizadas]]/Tabela11[[#This Row],[Qtde Ligações]]=1,ROUND(N410/2,0),"Ver Painel"))</f>
        <v>0</v>
      </c>
      <c r="U410" s="23">
        <f>IF(Tabela11[[#This Row],[Ligações Realizadas]]/Tabela11[[#This Row],[Qtde Ligações]]=0,0,IF(Tabela11[[#This Row],[Ligações Realizadas]]/Tabela11[[#This Row],[Qtde Ligações]]=1,ROUND(N410/2,0),"Ver Painel"))</f>
        <v>0</v>
      </c>
      <c r="V410" s="222"/>
    </row>
    <row r="411" spans="1:22" hidden="1" x14ac:dyDescent="0.25">
      <c r="A411" s="34" t="s">
        <v>1163</v>
      </c>
      <c r="B411" s="391" t="str">
        <f>VLOOKUP(Tabela11[[#This Row],[Tag do Cabo]],BD!A:AJ,2,0)</f>
        <v>Controle</v>
      </c>
      <c r="C411" s="3" t="str">
        <f>VLOOKUP(Tabela11[[#This Row],[Tag do Cabo]],BD!A:AJ,5,0)</f>
        <v>12T#1,0mm²+SHI+SHC (N.I.S.)</v>
      </c>
      <c r="D411" s="391" t="s">
        <v>1542</v>
      </c>
      <c r="E411" s="391" t="str">
        <f>VLOOKUP(Tabela11[[#This Row],[Tag do Cabo]],BD!A:T,20,0)</f>
        <v>BK-SP54-00350-LC-80-00006_00000</v>
      </c>
      <c r="F411" s="3" t="str">
        <f>IF(VLOOKUP(Tabela11[[#This Row],[Tag do Cabo]],BD!A:AJ,35,0)=0,"Pendente",VLOOKUP(Tabela11[[#This Row],[Tag do Cabo]],BD!A:AJ,35,0))</f>
        <v>BK-SP54-00350-LC-80-00006_00000</v>
      </c>
      <c r="G411" s="3" t="str">
        <f>IF(VLOOKUP(Tabela11[[#This Row],[Tag do Cabo]],BD!A:AJ,36,0)=0,"Pendente",VLOOKUP(Tabela11[[#This Row],[Tag do Cabo]],BD!A:AJ,36,0))</f>
        <v>22-23</v>
      </c>
      <c r="H411" s="391" t="str">
        <f>VLOOKUP(Tabela11[[#This Row],[Tag do Cabo]],BD!A:AJ,32,0)</f>
        <v>CCPxGB-351</v>
      </c>
      <c r="I411" s="7" t="str">
        <f>VLOOKUP(Tabela11[[#This Row],[Tag do Cabo]],BD!A:AJ,11,0)</f>
        <v>JBAI-35-104</v>
      </c>
      <c r="J411" s="3" t="str">
        <f>VLOOKUP(Tabela11[[#This Row],[Tag do Cabo]],BD!A:AJ,12,0)</f>
        <v>PI-57 (SEÇÃO 3)</v>
      </c>
      <c r="K411" s="391" t="s">
        <v>1164</v>
      </c>
      <c r="L411" s="391" t="s">
        <v>1592</v>
      </c>
      <c r="M411" s="3" t="str">
        <f>CONCATENATE(Tabela11[[#This Row],[Painel 1]]&amp;" "&amp;Tabela11[[#This Row],[Painel 2]])</f>
        <v>JBAI-35-104 PI-57</v>
      </c>
      <c r="N411" s="157">
        <v>36</v>
      </c>
      <c r="O411" s="391">
        <f>COUNTIF(Tabela12[Tag Cabo],Tabela11[[#This Row],[Tag do Cabo]])</f>
        <v>36</v>
      </c>
      <c r="P411" s="391" t="str">
        <f>IF(Tabela11[[#This Row],[Qtde Ligações]]&lt;&gt;Tabela11[[#This Row],[Qtde Anilhas]],"Ver","Ok")</f>
        <v>Ok</v>
      </c>
      <c r="Q411" s="391">
        <f>VLOOKUP(Tabela11[[#This Row],[Tag do Cabo]],BD!A:F,6,0)</f>
        <v>1</v>
      </c>
      <c r="R411" s="391">
        <f>SUMIF('Lançamento de Cabos'!AE:AE,Tabela11[[#This Row],[Tag do Cabo]],'Lançamento de Cabos'!AG:AG)</f>
        <v>0</v>
      </c>
      <c r="S411" s="28">
        <f>Tabela11[[#This Row],[Ligações Realizadas]]/Tabela11[[#This Row],[Qtde Ligações]]</f>
        <v>0</v>
      </c>
      <c r="T411" s="269">
        <f>IF(Tabela11[[#This Row],[Ligações Realizadas]]/Tabela11[[#This Row],[Qtde Ligações]]=0,0,IF(Tabela11[[#This Row],[Ligações Realizadas]]/Tabela11[[#This Row],[Qtde Ligações]]=1,ROUND(N411/2,0),"Ver Painel"))</f>
        <v>0</v>
      </c>
      <c r="U411" s="23">
        <f>IF(Tabela11[[#This Row],[Ligações Realizadas]]/Tabela11[[#This Row],[Qtde Ligações]]=0,0,IF(Tabela11[[#This Row],[Ligações Realizadas]]/Tabela11[[#This Row],[Qtde Ligações]]=1,ROUND(N411/2,0),"Ver Painel"))</f>
        <v>0</v>
      </c>
      <c r="V411" s="222"/>
    </row>
    <row r="412" spans="1:22" hidden="1" x14ac:dyDescent="0.25">
      <c r="A412" s="34" t="s">
        <v>1166</v>
      </c>
      <c r="B412" s="391" t="str">
        <f>VLOOKUP(Tabela11[[#This Row],[Tag do Cabo]],BD!A:AJ,2,0)</f>
        <v>Controle</v>
      </c>
      <c r="C412" s="3" t="str">
        <f>VLOOKUP(Tabela11[[#This Row],[Tag do Cabo]],BD!A:AJ,5,0)</f>
        <v>12T#1,0mm²+SHI+SHC (N.I.S.)</v>
      </c>
      <c r="D412" s="391" t="s">
        <v>1542</v>
      </c>
      <c r="E412" s="391" t="str">
        <f>VLOOKUP(Tabela11[[#This Row],[Tag do Cabo]],BD!A:T,20,0)</f>
        <v>BK-SP54-00350-LC-80-00006_00000</v>
      </c>
      <c r="F412" s="3" t="str">
        <f>IF(VLOOKUP(Tabela11[[#This Row],[Tag do Cabo]],BD!A:AJ,35,0)=0,"Pendente",VLOOKUP(Tabela11[[#This Row],[Tag do Cabo]],BD!A:AJ,35,0))</f>
        <v>BK-SP54-00350-LC-80-00006_00000</v>
      </c>
      <c r="G412" s="3" t="str">
        <f>IF(VLOOKUP(Tabela11[[#This Row],[Tag do Cabo]],BD!A:AJ,36,0)=0,"Pendente",VLOOKUP(Tabela11[[#This Row],[Tag do Cabo]],BD!A:AJ,36,0))</f>
        <v>24-25</v>
      </c>
      <c r="H412" s="391" t="str">
        <f>VLOOKUP(Tabela11[[#This Row],[Tag do Cabo]],BD!A:AJ,32,0)</f>
        <v>CCPxGB-351</v>
      </c>
      <c r="I412" s="7" t="str">
        <f>VLOOKUP(Tabela11[[#This Row],[Tag do Cabo]],BD!A:AJ,11,0)</f>
        <v>JBAI-35-105</v>
      </c>
      <c r="J412" s="3" t="str">
        <f>VLOOKUP(Tabela11[[#This Row],[Tag do Cabo]],BD!A:AJ,12,0)</f>
        <v>PI-57 (SEÇÃO 3)</v>
      </c>
      <c r="K412" s="391" t="s">
        <v>1167</v>
      </c>
      <c r="L412" s="391" t="s">
        <v>1592</v>
      </c>
      <c r="M412" s="3" t="str">
        <f>CONCATENATE(Tabela11[[#This Row],[Painel 1]]&amp;" "&amp;Tabela11[[#This Row],[Painel 2]])</f>
        <v>JBAI-35-105 PI-57</v>
      </c>
      <c r="N412" s="157">
        <v>36</v>
      </c>
      <c r="O412" s="391">
        <f>COUNTIF(Tabela12[Tag Cabo],Tabela11[[#This Row],[Tag do Cabo]])</f>
        <v>36</v>
      </c>
      <c r="P412" s="391" t="str">
        <f>IF(Tabela11[[#This Row],[Qtde Ligações]]&lt;&gt;Tabela11[[#This Row],[Qtde Anilhas]],"Ver","Ok")</f>
        <v>Ok</v>
      </c>
      <c r="Q412" s="391">
        <f>VLOOKUP(Tabela11[[#This Row],[Tag do Cabo]],BD!A:F,6,0)</f>
        <v>1</v>
      </c>
      <c r="R412" s="391">
        <f>SUMIF('Lançamento de Cabos'!AE:AE,Tabela11[[#This Row],[Tag do Cabo]],'Lançamento de Cabos'!AG:AG)</f>
        <v>0</v>
      </c>
      <c r="S412" s="28">
        <f>Tabela11[[#This Row],[Ligações Realizadas]]/Tabela11[[#This Row],[Qtde Ligações]]</f>
        <v>0</v>
      </c>
      <c r="T412" s="269">
        <f>IF(Tabela11[[#This Row],[Ligações Realizadas]]/Tabela11[[#This Row],[Qtde Ligações]]=0,0,IF(Tabela11[[#This Row],[Ligações Realizadas]]/Tabela11[[#This Row],[Qtde Ligações]]=1,ROUND(N412/2,0),"Ver Painel"))</f>
        <v>0</v>
      </c>
      <c r="U412" s="23">
        <f>IF(Tabela11[[#This Row],[Ligações Realizadas]]/Tabela11[[#This Row],[Qtde Ligações]]=0,0,IF(Tabela11[[#This Row],[Ligações Realizadas]]/Tabela11[[#This Row],[Qtde Ligações]]=1,ROUND(N412/2,0),"Ver Painel"))</f>
        <v>0</v>
      </c>
      <c r="V412" s="222"/>
    </row>
    <row r="413" spans="1:22" hidden="1" x14ac:dyDescent="0.25">
      <c r="A413" s="34" t="s">
        <v>1370</v>
      </c>
      <c r="B413" s="391" t="str">
        <f>VLOOKUP(Tabela11[[#This Row],[Tag do Cabo]],BD!A:AJ,2,0)</f>
        <v>Controle</v>
      </c>
      <c r="C413" s="3" t="str">
        <f>VLOOKUP(Tabela11[[#This Row],[Tag do Cabo]],BD!A:AJ,5,0)</f>
        <v>8T#1,0mm²+SHI+SHC (N.I.S.)</v>
      </c>
      <c r="D413" s="391" t="s">
        <v>1542</v>
      </c>
      <c r="E413" s="391" t="str">
        <f>VLOOKUP(Tabela11[[#This Row],[Tag do Cabo]],BD!A:T,20,0)</f>
        <v>BK-SP54-00350-LC-80-00006_00000</v>
      </c>
      <c r="F413" s="3" t="str">
        <f>IF(VLOOKUP(Tabela11[[#This Row],[Tag do Cabo]],BD!A:AJ,35,0)=0,"Pendente",VLOOKUP(Tabela11[[#This Row],[Tag do Cabo]],BD!A:AJ,35,0))</f>
        <v>BK-SP54-00350-LC-80-00006_00000</v>
      </c>
      <c r="G413" s="3" t="str">
        <f>IF(VLOOKUP(Tabela11[[#This Row],[Tag do Cabo]],BD!A:AJ,36,0)=0,"Pendente",VLOOKUP(Tabela11[[#This Row],[Tag do Cabo]],BD!A:AJ,36,0))</f>
        <v>13</v>
      </c>
      <c r="H413" s="391" t="str">
        <f>VLOOKUP(Tabela11[[#This Row],[Tag do Cabo]],BD!A:AJ,32,0)</f>
        <v>GB-351</v>
      </c>
      <c r="I413" s="7" t="str">
        <f>VLOOKUP(Tabela11[[#This Row],[Tag do Cabo]],BD!A:AJ,11,0)</f>
        <v>JBI-35-104X</v>
      </c>
      <c r="J413" s="3" t="str">
        <f>VLOOKUP(Tabela11[[#This Row],[Tag do Cabo]],BD!A:AJ,12,0)</f>
        <v>JBAI-35-106</v>
      </c>
      <c r="K413" s="391" t="s">
        <v>1141</v>
      </c>
      <c r="L413" s="391" t="s">
        <v>1162</v>
      </c>
      <c r="M413" s="3" t="str">
        <f>CONCATENATE(Tabela11[[#This Row],[Painel 1]]&amp;" "&amp;Tabela11[[#This Row],[Painel 2]])</f>
        <v>JBI-35-104X JBAI-35-106</v>
      </c>
      <c r="N413" s="157">
        <v>30</v>
      </c>
      <c r="O413" s="391">
        <f>COUNTIF(Tabela12[Tag Cabo],Tabela11[[#This Row],[Tag do Cabo]])</f>
        <v>30</v>
      </c>
      <c r="P413" s="391" t="str">
        <f>IF(Tabela11[[#This Row],[Qtde Ligações]]&lt;&gt;Tabela11[[#This Row],[Qtde Anilhas]],"Ver","Ok")</f>
        <v>Ok</v>
      </c>
      <c r="Q413" s="391">
        <f>VLOOKUP(Tabela11[[#This Row],[Tag do Cabo]],BD!A:F,6,0)</f>
        <v>1</v>
      </c>
      <c r="R413" s="391">
        <f>SUMIF('Lançamento de Cabos'!AE:AE,Tabela11[[#This Row],[Tag do Cabo]],'Lançamento de Cabos'!AG:AG)</f>
        <v>0</v>
      </c>
      <c r="S413" s="28">
        <f>Tabela11[[#This Row],[Ligações Realizadas]]/Tabela11[[#This Row],[Qtde Ligações]]</f>
        <v>0</v>
      </c>
      <c r="T413" s="269">
        <f>IF(Tabela11[[#This Row],[Ligações Realizadas]]/Tabela11[[#This Row],[Qtde Ligações]]=0,0,IF(Tabela11[[#This Row],[Ligações Realizadas]]/Tabela11[[#This Row],[Qtde Ligações]]=1,ROUND(N413/2,0),"Ver Painel"))</f>
        <v>0</v>
      </c>
      <c r="U413" s="23">
        <f>IF(Tabela11[[#This Row],[Ligações Realizadas]]/Tabela11[[#This Row],[Qtde Ligações]]=0,0,IF(Tabela11[[#This Row],[Ligações Realizadas]]/Tabela11[[#This Row],[Qtde Ligações]]=1,ROUND(N413/2,0),"Ver Painel"))</f>
        <v>0</v>
      </c>
      <c r="V413" s="222"/>
    </row>
    <row r="414" spans="1:22" hidden="1" x14ac:dyDescent="0.25">
      <c r="A414" s="34" t="s">
        <v>1011</v>
      </c>
      <c r="B414" s="391" t="str">
        <f>VLOOKUP(Tabela11[[#This Row],[Tag do Cabo]],BD!A:AJ,2,0)</f>
        <v>Controle</v>
      </c>
      <c r="C414" s="3" t="str">
        <f>VLOOKUP(Tabela11[[#This Row],[Tag do Cabo]],BD!A:AJ,5,0)</f>
        <v>1Px18AWG+Shield</v>
      </c>
      <c r="D414" s="391" t="s">
        <v>1542</v>
      </c>
      <c r="E414" s="391" t="str">
        <f>VLOOKUP(Tabela11[[#This Row],[Tag do Cabo]],BD!A:T,20,0)</f>
        <v>BK-SP54-0900A-LC-80-00188_00000</v>
      </c>
      <c r="F414" s="3" t="str">
        <f>IF(VLOOKUP(Tabela11[[#This Row],[Tag do Cabo]],BD!A:AJ,35,0)=0,"Pendente",VLOOKUP(Tabela11[[#This Row],[Tag do Cabo]],BD!A:AJ,35,0))</f>
        <v>BK-SP54-0900A-DI-80-01589</v>
      </c>
      <c r="G414" s="3">
        <f>IF(VLOOKUP(Tabela11[[#This Row],[Tag do Cabo]],BD!A:AJ,36,0)=0,"Pendente",VLOOKUP(Tabela11[[#This Row],[Tag do Cabo]],BD!A:AJ,36,0))</f>
        <v>43</v>
      </c>
      <c r="H414" s="391" t="str">
        <f>VLOOKUP(Tabela11[[#This Row],[Tag do Cabo]],BD!A:AJ,32,0)</f>
        <v>BOMBAS</v>
      </c>
      <c r="I414" s="7" t="str">
        <f>VLOOKUP(Tabela11[[#This Row],[Tag do Cabo]],BD!A:AJ,11,0)</f>
        <v>EFJB-9042</v>
      </c>
      <c r="J414" s="3" t="str">
        <f>VLOOKUP(Tabela11[[#This Row],[Tag do Cabo]],BD!A:AJ,12,0)</f>
        <v>PERIFÉRICOS IV</v>
      </c>
      <c r="K414" s="391" t="s">
        <v>1015</v>
      </c>
      <c r="L414" s="391" t="s">
        <v>1575</v>
      </c>
      <c r="M414" s="3" t="str">
        <f>CONCATENATE(Tabela11[[#This Row],[Painel 1]]&amp;" "&amp;Tabela11[[#This Row],[Painel 2]])</f>
        <v>EFJB-9042 DELTA V</v>
      </c>
      <c r="N414" s="157">
        <v>4</v>
      </c>
      <c r="O414" s="391">
        <f>COUNTIF(Tabela12[Tag Cabo],Tabela11[[#This Row],[Tag do Cabo]])</f>
        <v>4</v>
      </c>
      <c r="P414" s="391" t="str">
        <f>IF(Tabela11[[#This Row],[Qtde Ligações]]&lt;&gt;Tabela11[[#This Row],[Qtde Anilhas]],"Ver","Ok")</f>
        <v>Ok</v>
      </c>
      <c r="Q414" s="391" t="str">
        <f>VLOOKUP(Tabela11[[#This Row],[Tag do Cabo]],BD!A:F,6,0)</f>
        <v>18AWG</v>
      </c>
      <c r="R414" s="391">
        <f>SUMIF('Lançamento de Cabos'!AE:AE,Tabela11[[#This Row],[Tag do Cabo]],'Lançamento de Cabos'!AG:AG)</f>
        <v>0</v>
      </c>
      <c r="S414" s="28">
        <f>Tabela11[[#This Row],[Ligações Realizadas]]/Tabela11[[#This Row],[Qtde Ligações]]</f>
        <v>0</v>
      </c>
      <c r="T414" s="269">
        <f>IF(Tabela11[[#This Row],[Ligações Realizadas]]/Tabela11[[#This Row],[Qtde Ligações]]=0,0,IF(Tabela11[[#This Row],[Ligações Realizadas]]/Tabela11[[#This Row],[Qtde Ligações]]=1,ROUND(N414/2,0),"Ver Painel"))</f>
        <v>0</v>
      </c>
      <c r="U414" s="23">
        <f>IF(Tabela11[[#This Row],[Ligações Realizadas]]/Tabela11[[#This Row],[Qtde Ligações]]=0,0,IF(Tabela11[[#This Row],[Ligações Realizadas]]/Tabela11[[#This Row],[Qtde Ligações]]=1,ROUND(N414/2,0),"Ver Painel"))</f>
        <v>0</v>
      </c>
      <c r="V414" s="222"/>
    </row>
    <row r="415" spans="1:22" hidden="1" x14ac:dyDescent="0.25">
      <c r="A415" s="34" t="s">
        <v>1023</v>
      </c>
      <c r="B415" s="391" t="str">
        <f>VLOOKUP(Tabela11[[#This Row],[Tag do Cabo]],BD!A:AJ,2,0)</f>
        <v>Controle</v>
      </c>
      <c r="C415" s="3" t="str">
        <f>VLOOKUP(Tabela11[[#This Row],[Tag do Cabo]],BD!A:AJ,5,0)</f>
        <v>1Px18AWG+Shield</v>
      </c>
      <c r="D415" s="391" t="s">
        <v>1542</v>
      </c>
      <c r="E415" s="391" t="str">
        <f>VLOOKUP(Tabela11[[#This Row],[Tag do Cabo]],BD!A:T,20,0)</f>
        <v>BK-SP54-0900A-LC-80-00188_00000</v>
      </c>
      <c r="F415" s="3" t="str">
        <f>IF(VLOOKUP(Tabela11[[#This Row],[Tag do Cabo]],BD!A:AJ,35,0)=0,"Pendente",VLOOKUP(Tabela11[[#This Row],[Tag do Cabo]],BD!A:AJ,35,0))</f>
        <v>BK-SP54-0900A-DI-80-01589</v>
      </c>
      <c r="G415" s="3">
        <f>IF(VLOOKUP(Tabela11[[#This Row],[Tag do Cabo]],BD!A:AJ,36,0)=0,"Pendente",VLOOKUP(Tabela11[[#This Row],[Tag do Cabo]],BD!A:AJ,36,0))</f>
        <v>43</v>
      </c>
      <c r="H415" s="391" t="str">
        <f>VLOOKUP(Tabela11[[#This Row],[Tag do Cabo]],BD!A:AJ,32,0)</f>
        <v>BOMBAS</v>
      </c>
      <c r="I415" s="7" t="str">
        <f>VLOOKUP(Tabela11[[#This Row],[Tag do Cabo]],BD!A:AJ,11,0)</f>
        <v>EFJB-9043</v>
      </c>
      <c r="J415" s="3" t="str">
        <f>VLOOKUP(Tabela11[[#This Row],[Tag do Cabo]],BD!A:AJ,12,0)</f>
        <v>PERIFÉRICOS IV</v>
      </c>
      <c r="K415" s="391" t="s">
        <v>1024</v>
      </c>
      <c r="L415" s="391" t="s">
        <v>1575</v>
      </c>
      <c r="M415" s="3" t="str">
        <f>CONCATENATE(Tabela11[[#This Row],[Painel 1]]&amp;" "&amp;Tabela11[[#This Row],[Painel 2]])</f>
        <v>EFJB-9043 DELTA V</v>
      </c>
      <c r="N415" s="157">
        <v>4</v>
      </c>
      <c r="O415" s="391">
        <f>COUNTIF(Tabela12[Tag Cabo],Tabela11[[#This Row],[Tag do Cabo]])</f>
        <v>4</v>
      </c>
      <c r="P415" s="391" t="str">
        <f>IF(Tabela11[[#This Row],[Qtde Ligações]]&lt;&gt;Tabela11[[#This Row],[Qtde Anilhas]],"Ver","Ok")</f>
        <v>Ok</v>
      </c>
      <c r="Q415" s="391" t="str">
        <f>VLOOKUP(Tabela11[[#This Row],[Tag do Cabo]],BD!A:F,6,0)</f>
        <v>18AWG</v>
      </c>
      <c r="R415" s="391">
        <f>SUMIF('Lançamento de Cabos'!AE:AE,Tabela11[[#This Row],[Tag do Cabo]],'Lançamento de Cabos'!AG:AG)</f>
        <v>0</v>
      </c>
      <c r="S415" s="28">
        <f>Tabela11[[#This Row],[Ligações Realizadas]]/Tabela11[[#This Row],[Qtde Ligações]]</f>
        <v>0</v>
      </c>
      <c r="T415" s="269">
        <f>IF(Tabela11[[#This Row],[Ligações Realizadas]]/Tabela11[[#This Row],[Qtde Ligações]]=0,0,IF(Tabela11[[#This Row],[Ligações Realizadas]]/Tabela11[[#This Row],[Qtde Ligações]]=1,ROUND(N415/2,0),"Ver Painel"))</f>
        <v>0</v>
      </c>
      <c r="U415" s="23">
        <f>IF(Tabela11[[#This Row],[Ligações Realizadas]]/Tabela11[[#This Row],[Qtde Ligações]]=0,0,IF(Tabela11[[#This Row],[Ligações Realizadas]]/Tabela11[[#This Row],[Qtde Ligações]]=1,ROUND(N415/2,0),"Ver Painel"))</f>
        <v>0</v>
      </c>
      <c r="V415" s="222"/>
    </row>
    <row r="416" spans="1:22" hidden="1" x14ac:dyDescent="0.25">
      <c r="A416" s="34" t="s">
        <v>1025</v>
      </c>
      <c r="B416" s="391" t="str">
        <f>VLOOKUP(Tabela11[[#This Row],[Tag do Cabo]],BD!A:AJ,2,0)</f>
        <v>Controle</v>
      </c>
      <c r="C416" s="3" t="str">
        <f>VLOOKUP(Tabela11[[#This Row],[Tag do Cabo]],BD!A:AJ,5,0)</f>
        <v>1Px18AWG+Shield</v>
      </c>
      <c r="D416" s="391" t="s">
        <v>1542</v>
      </c>
      <c r="E416" s="391" t="str">
        <f>VLOOKUP(Tabela11[[#This Row],[Tag do Cabo]],BD!A:T,20,0)</f>
        <v>BK-SP54-0900A-LC-80-00188_00000</v>
      </c>
      <c r="F416" s="3" t="str">
        <f>IF(VLOOKUP(Tabela11[[#This Row],[Tag do Cabo]],BD!A:AJ,35,0)=0,"Pendente",VLOOKUP(Tabela11[[#This Row],[Tag do Cabo]],BD!A:AJ,35,0))</f>
        <v>BK-SP54-0900A-DI-80-01589</v>
      </c>
      <c r="G416" s="3">
        <f>IF(VLOOKUP(Tabela11[[#This Row],[Tag do Cabo]],BD!A:AJ,36,0)=0,"Pendente",VLOOKUP(Tabela11[[#This Row],[Tag do Cabo]],BD!A:AJ,36,0))</f>
        <v>43</v>
      </c>
      <c r="H416" s="391" t="str">
        <f>VLOOKUP(Tabela11[[#This Row],[Tag do Cabo]],BD!A:AJ,32,0)</f>
        <v>BOMBAS</v>
      </c>
      <c r="I416" s="7" t="str">
        <f>VLOOKUP(Tabela11[[#This Row],[Tag do Cabo]],BD!A:AJ,11,0)</f>
        <v>EFBJ-9044</v>
      </c>
      <c r="J416" s="3" t="str">
        <f>VLOOKUP(Tabela11[[#This Row],[Tag do Cabo]],BD!A:AJ,12,0)</f>
        <v>PERIFÉRICOS IV</v>
      </c>
      <c r="K416" s="391" t="s">
        <v>1654</v>
      </c>
      <c r="L416" s="391" t="s">
        <v>1575</v>
      </c>
      <c r="M416" s="3" t="str">
        <f>CONCATENATE(Tabela11[[#This Row],[Painel 1]]&amp;" "&amp;Tabela11[[#This Row],[Painel 2]])</f>
        <v>EFJB-9044 DELTA V</v>
      </c>
      <c r="N416" s="157">
        <v>4</v>
      </c>
      <c r="O416" s="391">
        <f>COUNTIF(Tabela12[Tag Cabo],Tabela11[[#This Row],[Tag do Cabo]])</f>
        <v>4</v>
      </c>
      <c r="P416" s="391" t="str">
        <f>IF(Tabela11[[#This Row],[Qtde Ligações]]&lt;&gt;Tabela11[[#This Row],[Qtde Anilhas]],"Ver","Ok")</f>
        <v>Ok</v>
      </c>
      <c r="Q416" s="391" t="str">
        <f>VLOOKUP(Tabela11[[#This Row],[Tag do Cabo]],BD!A:F,6,0)</f>
        <v>18AWG</v>
      </c>
      <c r="R416" s="391">
        <f>SUMIF('Lançamento de Cabos'!AE:AE,Tabela11[[#This Row],[Tag do Cabo]],'Lançamento de Cabos'!AG:AG)</f>
        <v>0</v>
      </c>
      <c r="S416" s="28">
        <f>Tabela11[[#This Row],[Ligações Realizadas]]/Tabela11[[#This Row],[Qtde Ligações]]</f>
        <v>0</v>
      </c>
      <c r="T416" s="269">
        <f>IF(Tabela11[[#This Row],[Ligações Realizadas]]/Tabela11[[#This Row],[Qtde Ligações]]=0,0,IF(Tabela11[[#This Row],[Ligações Realizadas]]/Tabela11[[#This Row],[Qtde Ligações]]=1,ROUND(N416/2,0),"Ver Painel"))</f>
        <v>0</v>
      </c>
      <c r="U416" s="23">
        <f>IF(Tabela11[[#This Row],[Ligações Realizadas]]/Tabela11[[#This Row],[Qtde Ligações]]=0,0,IF(Tabela11[[#This Row],[Ligações Realizadas]]/Tabela11[[#This Row],[Qtde Ligações]]=1,ROUND(N416/2,0),"Ver Painel"))</f>
        <v>0</v>
      </c>
      <c r="V416" s="222"/>
    </row>
    <row r="417" spans="1:22" hidden="1" x14ac:dyDescent="0.25">
      <c r="A417" s="34" t="s">
        <v>1339</v>
      </c>
      <c r="B417" s="391" t="str">
        <f>VLOOKUP(Tabela11[[#This Row],[Tag do Cabo]],BD!A:AJ,2,0)</f>
        <v>Controle</v>
      </c>
      <c r="C417" s="3" t="str">
        <f>VLOOKUP(Tabela11[[#This Row],[Tag do Cabo]],BD!A:AJ,5,0)</f>
        <v>1Px18AWG+Shield</v>
      </c>
      <c r="D417" s="391" t="s">
        <v>1542</v>
      </c>
      <c r="E417" s="391" t="str">
        <f>VLOOKUP(Tabela11[[#This Row],[Tag do Cabo]],BD!A:T,20,0)</f>
        <v>BK-SP54-0900A-LC-80-00188_00000</v>
      </c>
      <c r="F417" s="3" t="str">
        <f>IF(VLOOKUP(Tabela11[[#This Row],[Tag do Cabo]],BD!A:AJ,35,0)=0,"Pendente",VLOOKUP(Tabela11[[#This Row],[Tag do Cabo]],BD!A:AJ,35,0))</f>
        <v>BK-SP54-0900A-DI-80-01589</v>
      </c>
      <c r="G417" s="3" t="str">
        <f>IF(VLOOKUP(Tabela11[[#This Row],[Tag do Cabo]],BD!A:AJ,36,0)=0,"Pendente",VLOOKUP(Tabela11[[#This Row],[Tag do Cabo]],BD!A:AJ,36,0))</f>
        <v>32-35</v>
      </c>
      <c r="H417" s="391" t="str">
        <f>VLOOKUP(Tabela11[[#This Row],[Tag do Cabo]],BD!A:AJ,32,0)</f>
        <v>GA-9312/S</v>
      </c>
      <c r="I417" s="7" t="str">
        <f>VLOOKUP(Tabela11[[#This Row],[Tag do Cabo]],BD!A:AJ,11,0)</f>
        <v>JBFF-90-103</v>
      </c>
      <c r="J417" s="3" t="str">
        <f>VLOOKUP(Tabela11[[#This Row],[Tag do Cabo]],BD!A:AJ,12,0)</f>
        <v>PERIFÉRICOS IV</v>
      </c>
      <c r="K417" s="391" t="s">
        <v>1340</v>
      </c>
      <c r="L417" s="391" t="s">
        <v>1575</v>
      </c>
      <c r="M417" s="3" t="str">
        <f>CONCATENATE(Tabela11[[#This Row],[Painel 1]]&amp;" "&amp;Tabela11[[#This Row],[Painel 2]])</f>
        <v>JBFF-90-103 DELTA V</v>
      </c>
      <c r="N417" s="157">
        <v>8</v>
      </c>
      <c r="O417" s="391">
        <f>COUNTIF(Tabela12[Tag Cabo],Tabela11[[#This Row],[Tag do Cabo]])</f>
        <v>8</v>
      </c>
      <c r="P417" s="391" t="str">
        <f>IF(Tabela11[[#This Row],[Qtde Ligações]]&lt;&gt;Tabela11[[#This Row],[Qtde Anilhas]],"Ver","Ok")</f>
        <v>Ok</v>
      </c>
      <c r="Q417" s="391" t="str">
        <f>VLOOKUP(Tabela11[[#This Row],[Tag do Cabo]],BD!A:F,6,0)</f>
        <v>18AWG</v>
      </c>
      <c r="R417" s="391">
        <f>SUMIF('Lançamento de Cabos'!AE:AE,Tabela11[[#This Row],[Tag do Cabo]],'Lançamento de Cabos'!AG:AG)</f>
        <v>0</v>
      </c>
      <c r="S417" s="28">
        <f>Tabela11[[#This Row],[Ligações Realizadas]]/Tabela11[[#This Row],[Qtde Ligações]]</f>
        <v>0</v>
      </c>
      <c r="T417" s="269">
        <f>IF(Tabela11[[#This Row],[Ligações Realizadas]]/Tabela11[[#This Row],[Qtde Ligações]]=0,0,IF(Tabela11[[#This Row],[Ligações Realizadas]]/Tabela11[[#This Row],[Qtde Ligações]]=1,ROUND(N417/2,0),"Ver Painel"))</f>
        <v>0</v>
      </c>
      <c r="U417" s="23">
        <f>IF(Tabela11[[#This Row],[Ligações Realizadas]]/Tabela11[[#This Row],[Qtde Ligações]]=0,0,IF(Tabela11[[#This Row],[Ligações Realizadas]]/Tabela11[[#This Row],[Qtde Ligações]]=1,ROUND(N417/2,0),"Ver Painel"))</f>
        <v>0</v>
      </c>
      <c r="V417" s="222"/>
    </row>
    <row r="418" spans="1:22" hidden="1" x14ac:dyDescent="0.25">
      <c r="A418" s="34" t="s">
        <v>1334</v>
      </c>
      <c r="B418" s="391" t="str">
        <f>VLOOKUP(Tabela11[[#This Row],[Tag do Cabo]],BD!A:AJ,2,0)</f>
        <v>Controle</v>
      </c>
      <c r="C418" s="3" t="str">
        <f>VLOOKUP(Tabela11[[#This Row],[Tag do Cabo]],BD!A:AJ,5,0)</f>
        <v>1Px18AWG+Shield</v>
      </c>
      <c r="D418" s="391" t="s">
        <v>1542</v>
      </c>
      <c r="E418" s="391" t="str">
        <f>VLOOKUP(Tabela11[[#This Row],[Tag do Cabo]],BD!A:T,20,0)</f>
        <v>BK-SP54-0900A-LC-80-00188_00000</v>
      </c>
      <c r="F418" s="3" t="str">
        <f>IF(VLOOKUP(Tabela11[[#This Row],[Tag do Cabo]],BD!A:AJ,35,0)=0,"Pendente",VLOOKUP(Tabela11[[#This Row],[Tag do Cabo]],BD!A:AJ,35,0))</f>
        <v>BK-SP54-0900A-DI-80-01589</v>
      </c>
      <c r="G418" s="3">
        <f>IF(VLOOKUP(Tabela11[[#This Row],[Tag do Cabo]],BD!A:AJ,36,0)=0,"Pendente",VLOOKUP(Tabela11[[#This Row],[Tag do Cabo]],BD!A:AJ,36,0))</f>
        <v>36</v>
      </c>
      <c r="H418" s="391" t="str">
        <f>VLOOKUP(Tabela11[[#This Row],[Tag do Cabo]],BD!A:AJ,32,0)</f>
        <v>GA-906E</v>
      </c>
      <c r="I418" s="7" t="str">
        <f>VLOOKUP(Tabela11[[#This Row],[Tag do Cabo]],BD!A:AJ,11,0)</f>
        <v>JBFF-90-104</v>
      </c>
      <c r="J418" s="3" t="str">
        <f>VLOOKUP(Tabela11[[#This Row],[Tag do Cabo]],BD!A:AJ,12,0)</f>
        <v>PERIFÉRICOS IV</v>
      </c>
      <c r="K418" s="391" t="s">
        <v>1333</v>
      </c>
      <c r="L418" s="391" t="s">
        <v>1575</v>
      </c>
      <c r="M418" s="3" t="str">
        <f>CONCATENATE(Tabela11[[#This Row],[Painel 1]]&amp;" "&amp;Tabela11[[#This Row],[Painel 2]])</f>
        <v>JBFF-90-104 DELTA V</v>
      </c>
      <c r="N418" s="157">
        <v>4</v>
      </c>
      <c r="O418" s="391">
        <f>COUNTIF(Tabela12[Tag Cabo],Tabela11[[#This Row],[Tag do Cabo]])</f>
        <v>4</v>
      </c>
      <c r="P418" s="391" t="str">
        <f>IF(Tabela11[[#This Row],[Qtde Ligações]]&lt;&gt;Tabela11[[#This Row],[Qtde Anilhas]],"Ver","Ok")</f>
        <v>Ok</v>
      </c>
      <c r="Q418" s="391" t="str">
        <f>VLOOKUP(Tabela11[[#This Row],[Tag do Cabo]],BD!A:F,6,0)</f>
        <v>18AWG</v>
      </c>
      <c r="R418" s="391">
        <f>SUMIF('Lançamento de Cabos'!AE:AE,Tabela11[[#This Row],[Tag do Cabo]],'Lançamento de Cabos'!AG:AG)</f>
        <v>0</v>
      </c>
      <c r="S418" s="28">
        <f>Tabela11[[#This Row],[Ligações Realizadas]]/Tabela11[[#This Row],[Qtde Ligações]]</f>
        <v>0</v>
      </c>
      <c r="T418" s="269">
        <f>IF(Tabela11[[#This Row],[Ligações Realizadas]]/Tabela11[[#This Row],[Qtde Ligações]]=0,0,IF(Tabela11[[#This Row],[Ligações Realizadas]]/Tabela11[[#This Row],[Qtde Ligações]]=1,ROUND(N418/2,0),"Ver Painel"))</f>
        <v>0</v>
      </c>
      <c r="U418" s="23">
        <f>IF(Tabela11[[#This Row],[Ligações Realizadas]]/Tabela11[[#This Row],[Qtde Ligações]]=0,0,IF(Tabela11[[#This Row],[Ligações Realizadas]]/Tabela11[[#This Row],[Qtde Ligações]]=1,ROUND(N418/2,0),"Ver Painel"))</f>
        <v>0</v>
      </c>
      <c r="V418" s="222"/>
    </row>
    <row r="419" spans="1:22" hidden="1" x14ac:dyDescent="0.25">
      <c r="A419" s="34" t="s">
        <v>1336</v>
      </c>
      <c r="B419" s="391" t="str">
        <f>VLOOKUP(Tabela11[[#This Row],[Tag do Cabo]],BD!A:AJ,2,0)</f>
        <v>Controle</v>
      </c>
      <c r="C419" s="3" t="str">
        <f>VLOOKUP(Tabela11[[#This Row],[Tag do Cabo]],BD!A:AJ,5,0)</f>
        <v>1Px18AWG+Shield</v>
      </c>
      <c r="D419" s="391" t="s">
        <v>1542</v>
      </c>
      <c r="E419" s="391" t="str">
        <f>VLOOKUP(Tabela11[[#This Row],[Tag do Cabo]],BD!A:T,20,0)</f>
        <v>BK-SP54-0900A-LC-80-00188_00000</v>
      </c>
      <c r="F419" s="3" t="str">
        <f>IF(VLOOKUP(Tabela11[[#This Row],[Tag do Cabo]],BD!A:AJ,35,0)=0,"Pendente",VLOOKUP(Tabela11[[#This Row],[Tag do Cabo]],BD!A:AJ,35,0))</f>
        <v>BK-SP54-0900A-DI-80-01589</v>
      </c>
      <c r="G419" s="3" t="str">
        <f>IF(VLOOKUP(Tabela11[[#This Row],[Tag do Cabo]],BD!A:AJ,36,0)=0,"Pendente",VLOOKUP(Tabela11[[#This Row],[Tag do Cabo]],BD!A:AJ,36,0))</f>
        <v>44-46</v>
      </c>
      <c r="H419" s="391" t="str">
        <f>VLOOKUP(Tabela11[[#This Row],[Tag do Cabo]],BD!A:AJ,32,0)</f>
        <v>GA-906E</v>
      </c>
      <c r="I419" s="7" t="str">
        <f>VLOOKUP(Tabela11[[#This Row],[Tag do Cabo]],BD!A:AJ,11,0)</f>
        <v>JBFF-90-105</v>
      </c>
      <c r="J419" s="3" t="str">
        <f>VLOOKUP(Tabela11[[#This Row],[Tag do Cabo]],BD!A:AJ,12,0)</f>
        <v>PERIFÉRICOS IV</v>
      </c>
      <c r="K419" s="391" t="s">
        <v>1327</v>
      </c>
      <c r="L419" s="391" t="s">
        <v>1575</v>
      </c>
      <c r="M419" s="3" t="str">
        <f>CONCATENATE(Tabela11[[#This Row],[Painel 1]]&amp;" "&amp;Tabela11[[#This Row],[Painel 2]])</f>
        <v>JBFF-90-105 DELTA V</v>
      </c>
      <c r="N419" s="157">
        <v>8</v>
      </c>
      <c r="O419" s="391">
        <f>COUNTIF(Tabela12[Tag Cabo],Tabela11[[#This Row],[Tag do Cabo]])</f>
        <v>8</v>
      </c>
      <c r="P419" s="391" t="str">
        <f>IF(Tabela11[[#This Row],[Qtde Ligações]]&lt;&gt;Tabela11[[#This Row],[Qtde Anilhas]],"Ver","Ok")</f>
        <v>Ok</v>
      </c>
      <c r="Q419" s="391" t="str">
        <f>VLOOKUP(Tabela11[[#This Row],[Tag do Cabo]],BD!A:F,6,0)</f>
        <v>18AWG</v>
      </c>
      <c r="R419" s="391">
        <f>SUMIF('Lançamento de Cabos'!AE:AE,Tabela11[[#This Row],[Tag do Cabo]],'Lançamento de Cabos'!AG:AG)</f>
        <v>0</v>
      </c>
      <c r="S419" s="28">
        <f>Tabela11[[#This Row],[Ligações Realizadas]]/Tabela11[[#This Row],[Qtde Ligações]]</f>
        <v>0</v>
      </c>
      <c r="T419" s="269">
        <f>IF(Tabela11[[#This Row],[Ligações Realizadas]]/Tabela11[[#This Row],[Qtde Ligações]]=0,0,IF(Tabela11[[#This Row],[Ligações Realizadas]]/Tabela11[[#This Row],[Qtde Ligações]]=1,ROUND(N419/2,0),"Ver Painel"))</f>
        <v>0</v>
      </c>
      <c r="U419" s="23">
        <f>IF(Tabela11[[#This Row],[Ligações Realizadas]]/Tabela11[[#This Row],[Qtde Ligações]]=0,0,IF(Tabela11[[#This Row],[Ligações Realizadas]]/Tabela11[[#This Row],[Qtde Ligações]]=1,ROUND(N419/2,0),"Ver Painel"))</f>
        <v>0</v>
      </c>
      <c r="V419" s="222"/>
    </row>
    <row r="420" spans="1:22" hidden="1" x14ac:dyDescent="0.25">
      <c r="A420" s="34" t="s">
        <v>1353</v>
      </c>
      <c r="B420" s="391" t="str">
        <f>VLOOKUP(Tabela11[[#This Row],[Tag do Cabo]],BD!A:AJ,2,0)</f>
        <v>Controle</v>
      </c>
      <c r="C420" s="3" t="str">
        <f>VLOOKUP(Tabela11[[#This Row],[Tag do Cabo]],BD!A:AJ,5,0)</f>
        <v>1Px18AWG+Shield</v>
      </c>
      <c r="D420" s="391" t="s">
        <v>1542</v>
      </c>
      <c r="E420" s="391" t="str">
        <f>VLOOKUP(Tabela11[[#This Row],[Tag do Cabo]],BD!A:T,20,0)</f>
        <v>BK-SP54-0900A-LC-80-00188_00000</v>
      </c>
      <c r="F420" s="3" t="str">
        <f>IF(VLOOKUP(Tabela11[[#This Row],[Tag do Cabo]],BD!A:AJ,35,0)=0,"Pendente",VLOOKUP(Tabela11[[#This Row],[Tag do Cabo]],BD!A:AJ,35,0))</f>
        <v>BK-SP54-0900A-DI-80-01589</v>
      </c>
      <c r="G420" s="3" t="str">
        <f>IF(VLOOKUP(Tabela11[[#This Row],[Tag do Cabo]],BD!A:AJ,36,0)=0,"Pendente",VLOOKUP(Tabela11[[#This Row],[Tag do Cabo]],BD!A:AJ,36,0))</f>
        <v>32-35</v>
      </c>
      <c r="H420" s="391" t="str">
        <f>VLOOKUP(Tabela11[[#This Row],[Tag do Cabo]],BD!A:AJ,32,0)</f>
        <v>GA-9312/S</v>
      </c>
      <c r="I420" s="7" t="str">
        <f>VLOOKUP(Tabela11[[#This Row],[Tag do Cabo]],BD!A:AJ,11,0)</f>
        <v>JBFF-90-106</v>
      </c>
      <c r="J420" s="3" t="str">
        <f>VLOOKUP(Tabela11[[#This Row],[Tag do Cabo]],BD!A:AJ,12,0)</f>
        <v>JBFF-90-103</v>
      </c>
      <c r="K420" s="391" t="s">
        <v>1347</v>
      </c>
      <c r="L420" s="391" t="s">
        <v>1340</v>
      </c>
      <c r="M420" s="3" t="str">
        <f>CONCATENATE(Tabela11[[#This Row],[Painel 1]]&amp;" "&amp;Tabela11[[#This Row],[Painel 2]])</f>
        <v>JBFF-90-106 JBFF-90-103</v>
      </c>
      <c r="N420" s="157">
        <v>6</v>
      </c>
      <c r="O420" s="391">
        <f>COUNTIF(Tabela12[Tag Cabo],Tabela11[[#This Row],[Tag do Cabo]])</f>
        <v>6</v>
      </c>
      <c r="P420" s="391" t="str">
        <f>IF(Tabela11[[#This Row],[Qtde Ligações]]&lt;&gt;Tabela11[[#This Row],[Qtde Anilhas]],"Ver","Ok")</f>
        <v>Ok</v>
      </c>
      <c r="Q420" s="391" t="str">
        <f>VLOOKUP(Tabela11[[#This Row],[Tag do Cabo]],BD!A:F,6,0)</f>
        <v>18AWG</v>
      </c>
      <c r="R420" s="391">
        <f>SUMIF('Lançamento de Cabos'!AE:AE,Tabela11[[#This Row],[Tag do Cabo]],'Lançamento de Cabos'!AG:AG)</f>
        <v>0</v>
      </c>
      <c r="S420" s="28">
        <f>Tabela11[[#This Row],[Ligações Realizadas]]/Tabela11[[#This Row],[Qtde Ligações]]</f>
        <v>0</v>
      </c>
      <c r="T420" s="269">
        <f>IF(Tabela11[[#This Row],[Ligações Realizadas]]/Tabela11[[#This Row],[Qtde Ligações]]=0,0,IF(Tabela11[[#This Row],[Ligações Realizadas]]/Tabela11[[#This Row],[Qtde Ligações]]=1,ROUND(N420/2,0),"Ver Painel"))</f>
        <v>0</v>
      </c>
      <c r="U420" s="23">
        <f>IF(Tabela11[[#This Row],[Ligações Realizadas]]/Tabela11[[#This Row],[Qtde Ligações]]=0,0,IF(Tabela11[[#This Row],[Ligações Realizadas]]/Tabela11[[#This Row],[Qtde Ligações]]=1,ROUND(N420/2,0),"Ver Painel"))</f>
        <v>0</v>
      </c>
      <c r="V420" s="222"/>
    </row>
    <row r="421" spans="1:22" hidden="1" x14ac:dyDescent="0.25">
      <c r="A421" s="34" t="s">
        <v>1324</v>
      </c>
      <c r="B421" s="391" t="str">
        <f>VLOOKUP(Tabela11[[#This Row],[Tag do Cabo]],BD!A:AJ,2,0)</f>
        <v>Controle</v>
      </c>
      <c r="C421" s="3" t="str">
        <f>VLOOKUP(Tabela11[[#This Row],[Tag do Cabo]],BD!A:AJ,5,0)</f>
        <v>1P x 1,0mm² + Shield (N.I.S.)</v>
      </c>
      <c r="D421" s="391" t="s">
        <v>1533</v>
      </c>
      <c r="E421" s="391" t="str">
        <f>VLOOKUP(Tabela11[[#This Row],[Tag do Cabo]],BD!A:T,20,0)</f>
        <v>BK-SP54-0900A-LC-80-00188_00000</v>
      </c>
      <c r="F421" s="3" t="str">
        <f>IF(VLOOKUP(Tabela11[[#This Row],[Tag do Cabo]],BD!A:AJ,35,0)=0,"Pendente",VLOOKUP(Tabela11[[#This Row],[Tag do Cabo]],BD!A:AJ,35,0))</f>
        <v>BK-SP54-0900A-DI-70-00583/BK-SP54-0900A-DI-80-01589/BK-SP54-0900A-DI-80-01644_00000</v>
      </c>
      <c r="G421" s="3" t="str">
        <f>IF(VLOOKUP(Tabela11[[#This Row],[Tag do Cabo]],BD!A:AJ,36,0)=0,"Pendente",VLOOKUP(Tabela11[[#This Row],[Tag do Cabo]],BD!A:AJ,36,0))</f>
        <v>13/51/1</v>
      </c>
      <c r="H421" s="391" t="str">
        <f>VLOOKUP(Tabela11[[#This Row],[Tag do Cabo]],BD!A:AJ,32,0)</f>
        <v>COGxPERIF.IV</v>
      </c>
      <c r="I421" s="7" t="str">
        <f>VLOOKUP(Tabela11[[#This Row],[Tag do Cabo]],BD!A:AJ,11,0)</f>
        <v>COGERAÇÃO - GUASCOR</v>
      </c>
      <c r="J421" s="3" t="str">
        <f>VLOOKUP(Tabela11[[#This Row],[Tag do Cabo]],BD!A:AJ,12,0)</f>
        <v>PERIFÉRICOS IV</v>
      </c>
      <c r="K421" s="391" t="s">
        <v>1594</v>
      </c>
      <c r="L421" s="391" t="s">
        <v>1575</v>
      </c>
      <c r="M421" s="3" t="str">
        <f>CONCATENATE(Tabela11[[#This Row],[Painel 1]]&amp;" "&amp;Tabela11[[#This Row],[Painel 2]])</f>
        <v>JBDC-17005 DELTA V</v>
      </c>
      <c r="N421" s="157">
        <v>4</v>
      </c>
      <c r="O421" s="391">
        <f>COUNTIF(Tabela12[Tag Cabo],Tabela11[[#This Row],[Tag do Cabo]])</f>
        <v>4</v>
      </c>
      <c r="P421" s="391" t="str">
        <f>IF(Tabela11[[#This Row],[Qtde Ligações]]&lt;&gt;Tabela11[[#This Row],[Qtde Anilhas]],"Ver","Ok")</f>
        <v>Ok</v>
      </c>
      <c r="Q421" s="391">
        <f>VLOOKUP(Tabela11[[#This Row],[Tag do Cabo]],BD!A:F,6,0)</f>
        <v>1</v>
      </c>
      <c r="R421" s="391">
        <f>SUMIF('Lançamento de Cabos'!AE:AE,Tabela11[[#This Row],[Tag do Cabo]],'Lançamento de Cabos'!AG:AG)</f>
        <v>0</v>
      </c>
      <c r="S421" s="28">
        <f>Tabela11[[#This Row],[Ligações Realizadas]]/Tabela11[[#This Row],[Qtde Ligações]]</f>
        <v>0</v>
      </c>
      <c r="T421" s="269">
        <f>IF(Tabela11[[#This Row],[Ligações Realizadas]]/Tabela11[[#This Row],[Qtde Ligações]]=0,0,IF(Tabela11[[#This Row],[Ligações Realizadas]]/Tabela11[[#This Row],[Qtde Ligações]]=1,ROUND(N421/2,0),"Ver Painel"))</f>
        <v>0</v>
      </c>
      <c r="U421" s="23">
        <f>IF(Tabela11[[#This Row],[Ligações Realizadas]]/Tabela11[[#This Row],[Qtde Ligações]]=0,0,IF(Tabela11[[#This Row],[Ligações Realizadas]]/Tabela11[[#This Row],[Qtde Ligações]]=1,ROUND(N421/2,0),"Ver Painel"))</f>
        <v>0</v>
      </c>
      <c r="V421" s="222"/>
    </row>
    <row r="422" spans="1:22" hidden="1" x14ac:dyDescent="0.25">
      <c r="A422" s="34" t="s">
        <v>1297</v>
      </c>
      <c r="B422" s="391" t="str">
        <f>VLOOKUP(Tabela11[[#This Row],[Tag do Cabo]],BD!A:AJ,2,0)</f>
        <v>Controle</v>
      </c>
      <c r="C422" s="3" t="str">
        <f>VLOOKUP(Tabela11[[#This Row],[Tag do Cabo]],BD!A:AJ,5,0)</f>
        <v>1P x 1,0mm² + Shield (N.I.S.)</v>
      </c>
      <c r="D422" s="391" t="s">
        <v>1533</v>
      </c>
      <c r="E422" s="391" t="str">
        <f>VLOOKUP(Tabela11[[#This Row],[Tag do Cabo]],BD!A:T,20,0)</f>
        <v>BK-SP54-0900A-LC-80-00188_00000</v>
      </c>
      <c r="F422" s="3" t="str">
        <f>IF(VLOOKUP(Tabela11[[#This Row],[Tag do Cabo]],BD!A:AJ,35,0)=0,"Pendente",VLOOKUP(Tabela11[[#This Row],[Tag do Cabo]],BD!A:AJ,35,0))</f>
        <v>BK-SP54-0900A-DI-70-00583/BK-SP54-0900A-DI-80-01644_00000</v>
      </c>
      <c r="G422" s="3" t="str">
        <f>IF(VLOOKUP(Tabela11[[#This Row],[Tag do Cabo]],BD!A:AJ,36,0)=0,"Pendente",VLOOKUP(Tabela11[[#This Row],[Tag do Cabo]],BD!A:AJ,36,0))</f>
        <v>15/05</v>
      </c>
      <c r="H422" s="391" t="str">
        <f>VLOOKUP(Tabela11[[#This Row],[Tag do Cabo]],BD!A:AJ,32,0)</f>
        <v>COGxPERIF.IV</v>
      </c>
      <c r="I422" s="7" t="str">
        <f>VLOOKUP(Tabela11[[#This Row],[Tag do Cabo]],BD!A:AJ,11,0)</f>
        <v>COGERAÇÃO - GUASCOR</v>
      </c>
      <c r="J422" s="3" t="str">
        <f>VLOOKUP(Tabela11[[#This Row],[Tag do Cabo]],BD!A:AJ,12,0)</f>
        <v>PERIFÉRICOS IV</v>
      </c>
      <c r="K422" s="391" t="s">
        <v>1574</v>
      </c>
      <c r="L422" s="391" t="s">
        <v>1575</v>
      </c>
      <c r="M422" s="3" t="str">
        <f>CONCATENATE(Tabela11[[#This Row],[Painel 1]]&amp;" "&amp;Tabela11[[#This Row],[Painel 2]])</f>
        <v>INSTRUMENTO DELTA V</v>
      </c>
      <c r="N422" s="157">
        <v>4</v>
      </c>
      <c r="O422" s="391">
        <f>COUNTIF(Tabela12[Tag Cabo],Tabela11[[#This Row],[Tag do Cabo]])</f>
        <v>4</v>
      </c>
      <c r="P422" s="391" t="str">
        <f>IF(Tabela11[[#This Row],[Qtde Ligações]]&lt;&gt;Tabela11[[#This Row],[Qtde Anilhas]],"Ver","Ok")</f>
        <v>Ok</v>
      </c>
      <c r="Q422" s="391">
        <f>VLOOKUP(Tabela11[[#This Row],[Tag do Cabo]],BD!A:F,6,0)</f>
        <v>1</v>
      </c>
      <c r="R422" s="391">
        <f>SUMIF('Lançamento de Cabos'!AE:AE,Tabela11[[#This Row],[Tag do Cabo]],'Lançamento de Cabos'!AG:AG)</f>
        <v>0</v>
      </c>
      <c r="S422" s="28">
        <f>Tabela11[[#This Row],[Ligações Realizadas]]/Tabela11[[#This Row],[Qtde Ligações]]</f>
        <v>0</v>
      </c>
      <c r="T422" s="269">
        <f>IF(Tabela11[[#This Row],[Ligações Realizadas]]/Tabela11[[#This Row],[Qtde Ligações]]=0,0,IF(Tabela11[[#This Row],[Ligações Realizadas]]/Tabela11[[#This Row],[Qtde Ligações]]=1,ROUND(N422/2,0),"Ver Painel"))</f>
        <v>0</v>
      </c>
      <c r="U422" s="23">
        <f>IF(Tabela11[[#This Row],[Ligações Realizadas]]/Tabela11[[#This Row],[Qtde Ligações]]=0,0,IF(Tabela11[[#This Row],[Ligações Realizadas]]/Tabela11[[#This Row],[Qtde Ligações]]=1,ROUND(N422/2,0),"Ver Painel"))</f>
        <v>0</v>
      </c>
      <c r="V422" s="222"/>
    </row>
    <row r="423" spans="1:22" hidden="1" x14ac:dyDescent="0.25">
      <c r="A423" s="34" t="s">
        <v>1252</v>
      </c>
      <c r="B423" s="391" t="str">
        <f>VLOOKUP(Tabela11[[#This Row],[Tag do Cabo]],BD!A:AJ,2,0)</f>
        <v>Controle</v>
      </c>
      <c r="C423" s="3" t="str">
        <f>VLOOKUP(Tabela11[[#This Row],[Tag do Cabo]],BD!A:AJ,5,0)</f>
        <v>4P#1,0mm²+SHI+SHC</v>
      </c>
      <c r="D423" s="391" t="s">
        <v>1533</v>
      </c>
      <c r="E423" s="391" t="str">
        <f>VLOOKUP(Tabela11[[#This Row],[Tag do Cabo]],BD!A:T,20,0)</f>
        <v>BK-SP54-0900A-LC-80-00187_00000</v>
      </c>
      <c r="F423" s="3" t="str">
        <f>IF(VLOOKUP(Tabela11[[#This Row],[Tag do Cabo]],BD!A:AJ,35,0)=0,"Pendente",VLOOKUP(Tabela11[[#This Row],[Tag do Cabo]],BD!A:AJ,35,0))</f>
        <v>BK-SP54-0900A-DI-80-01645/BK-SP54-0900A-DI-80-01646</v>
      </c>
      <c r="G423" s="3" t="str">
        <f>IF(VLOOKUP(Tabela11[[#This Row],[Tag do Cabo]],BD!A:AJ,36,0)=0,"Pendente",VLOOKUP(Tabela11[[#This Row],[Tag do Cabo]],BD!A:AJ,36,0))</f>
        <v>7/45</v>
      </c>
      <c r="H423" s="391" t="str">
        <f>VLOOKUP(Tabela11[[#This Row],[Tag do Cabo]],BD!A:AJ,32,0)</f>
        <v>CCUxGB-967A/B</v>
      </c>
      <c r="I423" s="7" t="str">
        <f>VLOOKUP(Tabela11[[#This Row],[Tag do Cabo]],BD!A:AJ,11,0)</f>
        <v>JBAI-90-111</v>
      </c>
      <c r="J423" s="3" t="str">
        <f>VLOOKUP(Tabela11[[#This Row],[Tag do Cabo]],BD!A:AJ,12,0)</f>
        <v>SIS - TMR-XVIII</v>
      </c>
      <c r="K423" s="391" t="s">
        <v>1253</v>
      </c>
      <c r="L423" s="391" t="s">
        <v>1655</v>
      </c>
      <c r="M423" s="3" t="str">
        <f>CONCATENATE(Tabela11[[#This Row],[Painel 1]]&amp;" "&amp;Tabela11[[#This Row],[Painel 2]])</f>
        <v>JBAI-90-111 SIS-TMR-XVIII</v>
      </c>
      <c r="N423" s="157">
        <v>10</v>
      </c>
      <c r="O423" s="391">
        <f>COUNTIF(Tabela12[Tag Cabo],Tabela11[[#This Row],[Tag do Cabo]])</f>
        <v>10</v>
      </c>
      <c r="P423" s="391" t="str">
        <f>IF(Tabela11[[#This Row],[Qtde Ligações]]&lt;&gt;Tabela11[[#This Row],[Qtde Anilhas]],"Ver","Ok")</f>
        <v>Ok</v>
      </c>
      <c r="Q423" s="391">
        <f>VLOOKUP(Tabela11[[#This Row],[Tag do Cabo]],BD!A:F,6,0)</f>
        <v>1</v>
      </c>
      <c r="R423" s="391">
        <f>SUMIF('Lançamento de Cabos'!AE:AE,Tabela11[[#This Row],[Tag do Cabo]],'Lançamento de Cabos'!AG:AG)</f>
        <v>0</v>
      </c>
      <c r="S423" s="28">
        <f>Tabela11[[#This Row],[Ligações Realizadas]]/Tabela11[[#This Row],[Qtde Ligações]]</f>
        <v>0</v>
      </c>
      <c r="T423" s="269">
        <f>IF(Tabela11[[#This Row],[Ligações Realizadas]]/Tabela11[[#This Row],[Qtde Ligações]]=0,0,IF(Tabela11[[#This Row],[Ligações Realizadas]]/Tabela11[[#This Row],[Qtde Ligações]]=1,ROUND(N423/2,0),"Ver Painel"))</f>
        <v>0</v>
      </c>
      <c r="U423" s="23">
        <f>IF(Tabela11[[#This Row],[Ligações Realizadas]]/Tabela11[[#This Row],[Qtde Ligações]]=0,0,IF(Tabela11[[#This Row],[Ligações Realizadas]]/Tabela11[[#This Row],[Qtde Ligações]]=1,ROUND(N423/2,0),"Ver Painel"))</f>
        <v>0</v>
      </c>
      <c r="V423" s="222"/>
    </row>
    <row r="424" spans="1:22" hidden="1" x14ac:dyDescent="0.25">
      <c r="A424" s="34" t="s">
        <v>1255</v>
      </c>
      <c r="B424" s="391" t="str">
        <f>VLOOKUP(Tabela11[[#This Row],[Tag do Cabo]],BD!A:AJ,2,0)</f>
        <v>Controle</v>
      </c>
      <c r="C424" s="3" t="str">
        <f>VLOOKUP(Tabela11[[#This Row],[Tag do Cabo]],BD!A:AJ,5,0)</f>
        <v>12P#1,0mm²+SHI+SHC</v>
      </c>
      <c r="D424" s="391" t="s">
        <v>1533</v>
      </c>
      <c r="E424" s="391" t="str">
        <f>VLOOKUP(Tabela11[[#This Row],[Tag do Cabo]],BD!A:T,20,0)</f>
        <v>BK-SP54-0900A-LC-80-00187_00000</v>
      </c>
      <c r="F424" s="3" t="str">
        <f>IF(VLOOKUP(Tabela11[[#This Row],[Tag do Cabo]],BD!A:AJ,35,0)=0,"Pendente",VLOOKUP(Tabela11[[#This Row],[Tag do Cabo]],BD!A:AJ,35,0))</f>
        <v>BK-SP54-0900A-DI-80-01645/BK-SP54-0900A-DI-80-01646</v>
      </c>
      <c r="G424" s="3" t="str">
        <f>IF(VLOOKUP(Tabela11[[#This Row],[Tag do Cabo]],BD!A:AJ,36,0)=0,"Pendente",VLOOKUP(Tabela11[[#This Row],[Tag do Cabo]],BD!A:AJ,36,0))</f>
        <v>5/32</v>
      </c>
      <c r="H424" s="391" t="str">
        <f>VLOOKUP(Tabela11[[#This Row],[Tag do Cabo]],BD!A:AJ,32,0)</f>
        <v>CCUxGB-967A/B</v>
      </c>
      <c r="I424" s="7" t="str">
        <f>VLOOKUP(Tabela11[[#This Row],[Tag do Cabo]],BD!A:AJ,11,0)</f>
        <v>JBDI-90-113</v>
      </c>
      <c r="J424" s="3" t="str">
        <f>VLOOKUP(Tabela11[[#This Row],[Tag do Cabo]],BD!A:AJ,12,0)</f>
        <v>SIS - TMR-XVIII</v>
      </c>
      <c r="K424" s="391" t="s">
        <v>1256</v>
      </c>
      <c r="L424" s="391" t="s">
        <v>1655</v>
      </c>
      <c r="M424" s="3" t="str">
        <f>CONCATENATE(Tabela11[[#This Row],[Painel 1]]&amp;" "&amp;Tabela11[[#This Row],[Painel 2]])</f>
        <v>JBDI-90-113 SIS-TMR-XVIII</v>
      </c>
      <c r="N424" s="157">
        <v>26</v>
      </c>
      <c r="O424" s="391">
        <f>COUNTIF(Tabela12[Tag Cabo],Tabela11[[#This Row],[Tag do Cabo]])</f>
        <v>26</v>
      </c>
      <c r="P424" s="391" t="str">
        <f>IF(Tabela11[[#This Row],[Qtde Ligações]]&lt;&gt;Tabela11[[#This Row],[Qtde Anilhas]],"Ver","Ok")</f>
        <v>Ok</v>
      </c>
      <c r="Q424" s="391">
        <f>VLOOKUP(Tabela11[[#This Row],[Tag do Cabo]],BD!A:F,6,0)</f>
        <v>1</v>
      </c>
      <c r="R424" s="391">
        <f>SUMIF('Lançamento de Cabos'!AE:AE,Tabela11[[#This Row],[Tag do Cabo]],'Lançamento de Cabos'!AG:AG)</f>
        <v>0</v>
      </c>
      <c r="S424" s="28">
        <f>Tabela11[[#This Row],[Ligações Realizadas]]/Tabela11[[#This Row],[Qtde Ligações]]</f>
        <v>0</v>
      </c>
      <c r="T424" s="269">
        <f>IF(Tabela11[[#This Row],[Ligações Realizadas]]/Tabela11[[#This Row],[Qtde Ligações]]=0,0,IF(Tabela11[[#This Row],[Ligações Realizadas]]/Tabela11[[#This Row],[Qtde Ligações]]=1,ROUND(N424/2,0),"Ver Painel"))</f>
        <v>0</v>
      </c>
      <c r="U424" s="23">
        <f>IF(Tabela11[[#This Row],[Ligações Realizadas]]/Tabela11[[#This Row],[Qtde Ligações]]=0,0,IF(Tabela11[[#This Row],[Ligações Realizadas]]/Tabela11[[#This Row],[Qtde Ligações]]=1,ROUND(N424/2,0),"Ver Painel"))</f>
        <v>0</v>
      </c>
      <c r="V424" s="222"/>
    </row>
    <row r="425" spans="1:22" hidden="1" x14ac:dyDescent="0.25">
      <c r="A425" s="34" t="s">
        <v>1240</v>
      </c>
      <c r="B425" s="391" t="str">
        <f>VLOOKUP(Tabela11[[#This Row],[Tag do Cabo]],BD!A:AJ,2,0)</f>
        <v>Controle</v>
      </c>
      <c r="C425" s="3" t="str">
        <f>VLOOKUP(Tabela11[[#This Row],[Tag do Cabo]],BD!A:AJ,5,0)</f>
        <v>4P#1,0mm²+SHI+SHC</v>
      </c>
      <c r="D425" s="391" t="s">
        <v>1533</v>
      </c>
      <c r="E425" s="391" t="str">
        <f>VLOOKUP(Tabela11[[#This Row],[Tag do Cabo]],BD!A:T,20,0)</f>
        <v>BK-SP54-0900A-LC-80-00187_00000</v>
      </c>
      <c r="F425" s="3" t="str">
        <f>IF(VLOOKUP(Tabela11[[#This Row],[Tag do Cabo]],BD!A:AJ,35,0)=0,"Pendente",VLOOKUP(Tabela11[[#This Row],[Tag do Cabo]],BD!A:AJ,35,0))</f>
        <v>BK-SP54-0900A-DI-80-01645/BK-SP54-0900A-DI-80-01646</v>
      </c>
      <c r="G425" s="3" t="str">
        <f>IF(VLOOKUP(Tabela11[[#This Row],[Tag do Cabo]],BD!A:AJ,36,0)=0,"Pendente",VLOOKUP(Tabela11[[#This Row],[Tag do Cabo]],BD!A:AJ,36,0))</f>
        <v>8/46</v>
      </c>
      <c r="H425" s="391" t="str">
        <f>VLOOKUP(Tabela11[[#This Row],[Tag do Cabo]],BD!A:AJ,32,0)</f>
        <v>CCUxGB-967A/B</v>
      </c>
      <c r="I425" s="7" t="str">
        <f>VLOOKUP(Tabela11[[#This Row],[Tag do Cabo]],BD!A:AJ,11,0)</f>
        <v>JBAI-90-112</v>
      </c>
      <c r="J425" s="3" t="str">
        <f>VLOOKUP(Tabela11[[#This Row],[Tag do Cabo]],BD!A:AJ,12,0)</f>
        <v>SIS - TMR-XVIII</v>
      </c>
      <c r="K425" s="391" t="s">
        <v>1242</v>
      </c>
      <c r="L425" s="391" t="s">
        <v>1655</v>
      </c>
      <c r="M425" s="3" t="str">
        <f>CONCATENATE(Tabela11[[#This Row],[Painel 1]]&amp;" "&amp;Tabela11[[#This Row],[Painel 2]])</f>
        <v>JBAI-90-112 SIS-TMR-XVIII</v>
      </c>
      <c r="N425" s="157">
        <v>10</v>
      </c>
      <c r="O425" s="391">
        <f>COUNTIF(Tabela12[Tag Cabo],Tabela11[[#This Row],[Tag do Cabo]])</f>
        <v>10</v>
      </c>
      <c r="P425" s="391" t="str">
        <f>IF(Tabela11[[#This Row],[Qtde Ligações]]&lt;&gt;Tabela11[[#This Row],[Qtde Anilhas]],"Ver","Ok")</f>
        <v>Ok</v>
      </c>
      <c r="Q425" s="391">
        <f>VLOOKUP(Tabela11[[#This Row],[Tag do Cabo]],BD!A:F,6,0)</f>
        <v>1</v>
      </c>
      <c r="R425" s="391">
        <f>SUMIF('Lançamento de Cabos'!AE:AE,Tabela11[[#This Row],[Tag do Cabo]],'Lançamento de Cabos'!AG:AG)</f>
        <v>0</v>
      </c>
      <c r="S425" s="28">
        <f>Tabela11[[#This Row],[Ligações Realizadas]]/Tabela11[[#This Row],[Qtde Ligações]]</f>
        <v>0</v>
      </c>
      <c r="T425" s="269">
        <f>IF(Tabela11[[#This Row],[Ligações Realizadas]]/Tabela11[[#This Row],[Qtde Ligações]]=0,0,IF(Tabela11[[#This Row],[Ligações Realizadas]]/Tabela11[[#This Row],[Qtde Ligações]]=1,ROUND(N425/2,0),"Ver Painel"))</f>
        <v>0</v>
      </c>
      <c r="U425" s="23">
        <f>IF(Tabela11[[#This Row],[Ligações Realizadas]]/Tabela11[[#This Row],[Qtde Ligações]]=0,0,IF(Tabela11[[#This Row],[Ligações Realizadas]]/Tabela11[[#This Row],[Qtde Ligações]]=1,ROUND(N425/2,0),"Ver Painel"))</f>
        <v>0</v>
      </c>
      <c r="V425" s="222"/>
    </row>
    <row r="426" spans="1:22" hidden="1" x14ac:dyDescent="0.25">
      <c r="A426" s="34" t="s">
        <v>1247</v>
      </c>
      <c r="B426" s="391" t="str">
        <f>VLOOKUP(Tabela11[[#This Row],[Tag do Cabo]],BD!A:AJ,2,0)</f>
        <v>Controle</v>
      </c>
      <c r="C426" s="3" t="str">
        <f>VLOOKUP(Tabela11[[#This Row],[Tag do Cabo]],BD!A:AJ,5,0)</f>
        <v>12P#1,0mm²+SHI+SHC</v>
      </c>
      <c r="D426" s="391" t="s">
        <v>1533</v>
      </c>
      <c r="E426" s="391" t="str">
        <f>VLOOKUP(Tabela11[[#This Row],[Tag do Cabo]],BD!A:T,20,0)</f>
        <v>BK-SP54-0900A-LC-80-00187_00000</v>
      </c>
      <c r="F426" s="3" t="str">
        <f>IF(VLOOKUP(Tabela11[[#This Row],[Tag do Cabo]],BD!A:AJ,35,0)=0,"Pendente",VLOOKUP(Tabela11[[#This Row],[Tag do Cabo]],BD!A:AJ,35,0))</f>
        <v>BK-SP54-0900A-DI-80-01645/BK-SP54-0900A-DI-80-01646</v>
      </c>
      <c r="G426" s="3" t="str">
        <f>IF(VLOOKUP(Tabela11[[#This Row],[Tag do Cabo]],BD!A:AJ,36,0)=0,"Pendente",VLOOKUP(Tabela11[[#This Row],[Tag do Cabo]],BD!A:AJ,36,0))</f>
        <v>6/39</v>
      </c>
      <c r="H426" s="391" t="str">
        <f>VLOOKUP(Tabela11[[#This Row],[Tag do Cabo]],BD!A:AJ,32,0)</f>
        <v>CCUxGB-967A/B</v>
      </c>
      <c r="I426" s="7" t="str">
        <f>VLOOKUP(Tabela11[[#This Row],[Tag do Cabo]],BD!A:AJ,11,0)</f>
        <v>JBDI-90-115</v>
      </c>
      <c r="J426" s="3" t="str">
        <f>VLOOKUP(Tabela11[[#This Row],[Tag do Cabo]],BD!A:AJ,12,0)</f>
        <v>SIS - TMR-XVIII</v>
      </c>
      <c r="K426" s="391" t="s">
        <v>1249</v>
      </c>
      <c r="L426" s="391" t="s">
        <v>1655</v>
      </c>
      <c r="M426" s="3" t="str">
        <f>CONCATENATE(Tabela11[[#This Row],[Painel 1]]&amp;" "&amp;Tabela11[[#This Row],[Painel 2]])</f>
        <v>JBDI-90-115 SIS-TMR-XVIII</v>
      </c>
      <c r="N426" s="157">
        <v>26</v>
      </c>
      <c r="O426" s="391">
        <f>COUNTIF(Tabela12[Tag Cabo],Tabela11[[#This Row],[Tag do Cabo]])</f>
        <v>26</v>
      </c>
      <c r="P426" s="391" t="str">
        <f>IF(Tabela11[[#This Row],[Qtde Ligações]]&lt;&gt;Tabela11[[#This Row],[Qtde Anilhas]],"Ver","Ok")</f>
        <v>Ok</v>
      </c>
      <c r="Q426" s="391">
        <f>VLOOKUP(Tabela11[[#This Row],[Tag do Cabo]],BD!A:F,6,0)</f>
        <v>1</v>
      </c>
      <c r="R426" s="391">
        <f>SUMIF('Lançamento de Cabos'!AE:AE,Tabela11[[#This Row],[Tag do Cabo]],'Lançamento de Cabos'!AG:AG)</f>
        <v>0</v>
      </c>
      <c r="S426" s="28">
        <f>Tabela11[[#This Row],[Ligações Realizadas]]/Tabela11[[#This Row],[Qtde Ligações]]</f>
        <v>0</v>
      </c>
      <c r="T426" s="269">
        <f>IF(Tabela11[[#This Row],[Ligações Realizadas]]/Tabela11[[#This Row],[Qtde Ligações]]=0,0,IF(Tabela11[[#This Row],[Ligações Realizadas]]/Tabela11[[#This Row],[Qtde Ligações]]=1,ROUND(N426/2,0),"Ver Painel"))</f>
        <v>0</v>
      </c>
      <c r="U426" s="23">
        <f>IF(Tabela11[[#This Row],[Ligações Realizadas]]/Tabela11[[#This Row],[Qtde Ligações]]=0,0,IF(Tabela11[[#This Row],[Ligações Realizadas]]/Tabela11[[#This Row],[Qtde Ligações]]=1,ROUND(N426/2,0),"Ver Painel"))</f>
        <v>0</v>
      </c>
      <c r="V426" s="222"/>
    </row>
    <row r="427" spans="1:22" hidden="1" x14ac:dyDescent="0.25">
      <c r="A427" s="34" t="s">
        <v>213</v>
      </c>
      <c r="B427" s="391" t="str">
        <f>VLOOKUP(Tabela11[[#This Row],[Tag do Cabo]],BD!A:AJ,2,0)</f>
        <v>Controle</v>
      </c>
      <c r="C427" s="3" t="str">
        <f>VLOOKUP(Tabela11[[#This Row],[Tag do Cabo]],BD!A:AJ,5,0)</f>
        <v>1P#1,5mm²+SHI</v>
      </c>
      <c r="D427" s="391" t="s">
        <v>1533</v>
      </c>
      <c r="E427" s="391" t="str">
        <f>VLOOKUP(Tabela11[[#This Row],[Tag do Cabo]],BD!A:T,20,0)</f>
        <v>BK-SP54-0900A-LC-80-00187_00000</v>
      </c>
      <c r="F427" s="3" t="str">
        <f>IF(VLOOKUP(Tabela11[[#This Row],[Tag do Cabo]],BD!A:AJ,35,0)=0,"Pendente",VLOOKUP(Tabela11[[#This Row],[Tag do Cabo]],BD!A:AJ,35,0))</f>
        <v>BK-SP54-0900A-DI-80-01645/BK-SP54-0900A-DI-80-01646</v>
      </c>
      <c r="G427" s="3" t="str">
        <f>IF(VLOOKUP(Tabela11[[#This Row],[Tag do Cabo]],BD!A:AJ,36,0)=0,"Pendente",VLOOKUP(Tabela11[[#This Row],[Tag do Cabo]],BD!A:AJ,36,0))</f>
        <v>1/37</v>
      </c>
      <c r="H427" s="391" t="str">
        <f>VLOOKUP(Tabela11[[#This Row],[Tag do Cabo]],BD!A:AJ,32,0)</f>
        <v>1MVxCCU</v>
      </c>
      <c r="I427" s="7" t="str">
        <f>VLOOKUP(Tabela11[[#This Row],[Tag do Cabo]],BD!A:AJ,11,0)</f>
        <v>SALA EL. 1MV (CCM - GBM-967A)</v>
      </c>
      <c r="J427" s="3" t="str">
        <f>VLOOKUP(Tabela11[[#This Row],[Tag do Cabo]],BD!A:AJ,12,0)</f>
        <v>SIS - TMR-XVIII</v>
      </c>
      <c r="K427" s="391" t="s">
        <v>1656</v>
      </c>
      <c r="L427" s="391" t="s">
        <v>1655</v>
      </c>
      <c r="M427" s="3" t="str">
        <f>CONCATENATE(Tabela11[[#This Row],[Painel 1]]&amp;" "&amp;Tabela11[[#This Row],[Painel 2]])</f>
        <v>CCM-GBM-967A SIS-TMR-XVIII</v>
      </c>
      <c r="N427" s="157">
        <v>4</v>
      </c>
      <c r="O427" s="391">
        <f>COUNTIF(Tabela12[Tag Cabo],Tabela11[[#This Row],[Tag do Cabo]])</f>
        <v>4</v>
      </c>
      <c r="P427" s="391" t="str">
        <f>IF(Tabela11[[#This Row],[Qtde Ligações]]&lt;&gt;Tabela11[[#This Row],[Qtde Anilhas]],"Ver","Ok")</f>
        <v>Ok</v>
      </c>
      <c r="Q427" s="391">
        <f>VLOOKUP(Tabela11[[#This Row],[Tag do Cabo]],BD!A:F,6,0)</f>
        <v>1.5</v>
      </c>
      <c r="R427" s="391">
        <f>SUMIF('Lançamento de Cabos'!AE:AE,Tabela11[[#This Row],[Tag do Cabo]],'Lançamento de Cabos'!AG:AG)</f>
        <v>0</v>
      </c>
      <c r="S427" s="28">
        <f>Tabela11[[#This Row],[Ligações Realizadas]]/Tabela11[[#This Row],[Qtde Ligações]]</f>
        <v>0</v>
      </c>
      <c r="T427" s="269">
        <f>IF(Tabela11[[#This Row],[Ligações Realizadas]]/Tabela11[[#This Row],[Qtde Ligações]]=0,0,IF(Tabela11[[#This Row],[Ligações Realizadas]]/Tabela11[[#This Row],[Qtde Ligações]]=1,ROUND(N427/2,0),"Ver Painel"))</f>
        <v>0</v>
      </c>
      <c r="U427" s="23">
        <f>IF(Tabela11[[#This Row],[Ligações Realizadas]]/Tabela11[[#This Row],[Qtde Ligações]]=0,0,IF(Tabela11[[#This Row],[Ligações Realizadas]]/Tabela11[[#This Row],[Qtde Ligações]]=1,ROUND(N427/2,0),"Ver Painel"))</f>
        <v>0</v>
      </c>
      <c r="V427" s="222"/>
    </row>
    <row r="428" spans="1:22" hidden="1" x14ac:dyDescent="0.25">
      <c r="A428" s="34" t="s">
        <v>225</v>
      </c>
      <c r="B428" s="391" t="str">
        <f>VLOOKUP(Tabela11[[#This Row],[Tag do Cabo]],BD!A:AJ,2,0)</f>
        <v>Controle</v>
      </c>
      <c r="C428" s="3" t="str">
        <f>VLOOKUP(Tabela11[[#This Row],[Tag do Cabo]],BD!A:AJ,5,0)</f>
        <v>2P#1,0mm²+SHI+SHC</v>
      </c>
      <c r="D428" s="391" t="s">
        <v>1533</v>
      </c>
      <c r="E428" s="391" t="str">
        <f>VLOOKUP(Tabela11[[#This Row],[Tag do Cabo]],BD!A:T,20,0)</f>
        <v>BK-SP54-0900A-LC-80-00187_00000</v>
      </c>
      <c r="F428" s="3" t="str">
        <f>IF(VLOOKUP(Tabela11[[#This Row],[Tag do Cabo]],BD!A:AJ,35,0)=0,"Pendente",VLOOKUP(Tabela11[[#This Row],[Tag do Cabo]],BD!A:AJ,35,0))</f>
        <v>BK-SP54-0900A-DI-80-01645/BK-SP54-0900A-DI-80-01646</v>
      </c>
      <c r="G428" s="3" t="str">
        <f>IF(VLOOKUP(Tabela11[[#This Row],[Tag do Cabo]],BD!A:AJ,36,0)=0,"Pendente",VLOOKUP(Tabela11[[#This Row],[Tag do Cabo]],BD!A:AJ,36,0))</f>
        <v>1/1, 47</v>
      </c>
      <c r="H428" s="391" t="str">
        <f>VLOOKUP(Tabela11[[#This Row],[Tag do Cabo]],BD!A:AJ,32,0)</f>
        <v>1MVxCCU</v>
      </c>
      <c r="I428" s="7" t="str">
        <f>VLOOKUP(Tabela11[[#This Row],[Tag do Cabo]],BD!A:AJ,11,0)</f>
        <v>SALA EL. 1MV (CCM - GBM-967A)</v>
      </c>
      <c r="J428" s="3" t="str">
        <f>VLOOKUP(Tabela11[[#This Row],[Tag do Cabo]],BD!A:AJ,12,0)</f>
        <v>SIS - TMR-XVIII</v>
      </c>
      <c r="K428" s="391" t="s">
        <v>1656</v>
      </c>
      <c r="L428" s="391" t="s">
        <v>1655</v>
      </c>
      <c r="M428" s="3" t="str">
        <f>CONCATENATE(Tabela11[[#This Row],[Painel 1]]&amp;" "&amp;Tabela11[[#This Row],[Painel 2]])</f>
        <v>CCM-GBM-967A SIS-TMR-XVIII</v>
      </c>
      <c r="N428" s="157">
        <v>8</v>
      </c>
      <c r="O428" s="391">
        <f>COUNTIF(Tabela12[Tag Cabo],Tabela11[[#This Row],[Tag do Cabo]])</f>
        <v>8</v>
      </c>
      <c r="P428" s="391" t="str">
        <f>IF(Tabela11[[#This Row],[Qtde Ligações]]&lt;&gt;Tabela11[[#This Row],[Qtde Anilhas]],"Ver","Ok")</f>
        <v>Ok</v>
      </c>
      <c r="Q428" s="391">
        <f>VLOOKUP(Tabela11[[#This Row],[Tag do Cabo]],BD!A:F,6,0)</f>
        <v>1</v>
      </c>
      <c r="R428" s="391">
        <f>SUMIF('Lançamento de Cabos'!AE:AE,Tabela11[[#This Row],[Tag do Cabo]],'Lançamento de Cabos'!AG:AG)</f>
        <v>0</v>
      </c>
      <c r="S428" s="28">
        <f>Tabela11[[#This Row],[Ligações Realizadas]]/Tabela11[[#This Row],[Qtde Ligações]]</f>
        <v>0</v>
      </c>
      <c r="T428" s="269">
        <f>IF(Tabela11[[#This Row],[Ligações Realizadas]]/Tabela11[[#This Row],[Qtde Ligações]]=0,0,IF(Tabela11[[#This Row],[Ligações Realizadas]]/Tabela11[[#This Row],[Qtde Ligações]]=1,ROUND(N428/2,0),"Ver Painel"))</f>
        <v>0</v>
      </c>
      <c r="U428" s="23">
        <f>IF(Tabela11[[#This Row],[Ligações Realizadas]]/Tabela11[[#This Row],[Qtde Ligações]]=0,0,IF(Tabela11[[#This Row],[Ligações Realizadas]]/Tabela11[[#This Row],[Qtde Ligações]]=1,ROUND(N428/2,0),"Ver Painel"))</f>
        <v>0</v>
      </c>
      <c r="V428" s="222"/>
    </row>
    <row r="429" spans="1:22" hidden="1" x14ac:dyDescent="0.25">
      <c r="A429" s="34" t="s">
        <v>227</v>
      </c>
      <c r="B429" s="391" t="str">
        <f>VLOOKUP(Tabela11[[#This Row],[Tag do Cabo]],BD!A:AJ,2,0)</f>
        <v>Controle</v>
      </c>
      <c r="C429" s="3" t="str">
        <f>VLOOKUP(Tabela11[[#This Row],[Tag do Cabo]],BD!A:AJ,5,0)</f>
        <v>1P#1,0mm²+SHI</v>
      </c>
      <c r="D429" s="391" t="s">
        <v>1533</v>
      </c>
      <c r="E429" s="391" t="str">
        <f>VLOOKUP(Tabela11[[#This Row],[Tag do Cabo]],BD!A:T,20,0)</f>
        <v>BK-SP54-0900A-LC-80-00187_00000</v>
      </c>
      <c r="F429" s="3" t="str">
        <f>IF(VLOOKUP(Tabela11[[#This Row],[Tag do Cabo]],BD!A:AJ,35,0)=0,"Pendente",VLOOKUP(Tabela11[[#This Row],[Tag do Cabo]],BD!A:AJ,35,0))</f>
        <v>BK-SP54-0900A-DI-80-01645/BK-SP54-0900A-DI-80-01646</v>
      </c>
      <c r="G429" s="3" t="str">
        <f>IF(VLOOKUP(Tabela11[[#This Row],[Tag do Cabo]],BD!A:AJ,36,0)=0,"Pendente",VLOOKUP(Tabela11[[#This Row],[Tag do Cabo]],BD!A:AJ,36,0))</f>
        <v>3/44</v>
      </c>
      <c r="H429" s="391" t="str">
        <f>VLOOKUP(Tabela11[[#This Row],[Tag do Cabo]],BD!A:AJ,32,0)</f>
        <v>1MVxCCU</v>
      </c>
      <c r="I429" s="7" t="str">
        <f>VLOOKUP(Tabela11[[#This Row],[Tag do Cabo]],BD!A:AJ,11,0)</f>
        <v>SALA EL. 1MV (CCM - GBM-967B)</v>
      </c>
      <c r="J429" s="3" t="str">
        <f>VLOOKUP(Tabela11[[#This Row],[Tag do Cabo]],BD!A:AJ,12,0)</f>
        <v>SIS - TMR-XVIII</v>
      </c>
      <c r="K429" s="391" t="s">
        <v>1656</v>
      </c>
      <c r="L429" s="391" t="s">
        <v>1655</v>
      </c>
      <c r="M429" s="3" t="str">
        <f>CONCATENATE(Tabela11[[#This Row],[Painel 1]]&amp;" "&amp;Tabela11[[#This Row],[Painel 2]])</f>
        <v>CCM-GBM-967A SIS-TMR-XVIII</v>
      </c>
      <c r="N429" s="157">
        <v>4</v>
      </c>
      <c r="O429" s="391">
        <f>COUNTIF(Tabela12[Tag Cabo],Tabela11[[#This Row],[Tag do Cabo]])</f>
        <v>4</v>
      </c>
      <c r="P429" s="391" t="str">
        <f>IF(Tabela11[[#This Row],[Qtde Ligações]]&lt;&gt;Tabela11[[#This Row],[Qtde Anilhas]],"Ver","Ok")</f>
        <v>Ok</v>
      </c>
      <c r="Q429" s="391">
        <f>VLOOKUP(Tabela11[[#This Row],[Tag do Cabo]],BD!A:F,6,0)</f>
        <v>1</v>
      </c>
      <c r="R429" s="391">
        <f>SUMIF('Lançamento de Cabos'!AE:AE,Tabela11[[#This Row],[Tag do Cabo]],'Lançamento de Cabos'!AG:AG)</f>
        <v>0</v>
      </c>
      <c r="S429" s="28">
        <f>Tabela11[[#This Row],[Ligações Realizadas]]/Tabela11[[#This Row],[Qtde Ligações]]</f>
        <v>0</v>
      </c>
      <c r="T429" s="269">
        <f>IF(Tabela11[[#This Row],[Ligações Realizadas]]/Tabela11[[#This Row],[Qtde Ligações]]=0,0,IF(Tabela11[[#This Row],[Ligações Realizadas]]/Tabela11[[#This Row],[Qtde Ligações]]=1,ROUND(N429/2,0),"Ver Painel"))</f>
        <v>0</v>
      </c>
      <c r="U429" s="23">
        <f>IF(Tabela11[[#This Row],[Ligações Realizadas]]/Tabela11[[#This Row],[Qtde Ligações]]=0,0,IF(Tabela11[[#This Row],[Ligações Realizadas]]/Tabela11[[#This Row],[Qtde Ligações]]=1,ROUND(N429/2,0),"Ver Painel"))</f>
        <v>0</v>
      </c>
      <c r="V429" s="222"/>
    </row>
    <row r="430" spans="1:22" hidden="1" x14ac:dyDescent="0.25">
      <c r="A430" s="34" t="s">
        <v>254</v>
      </c>
      <c r="B430" s="391" t="str">
        <f>VLOOKUP(Tabela11[[#This Row],[Tag do Cabo]],BD!A:AJ,2,0)</f>
        <v>Controle</v>
      </c>
      <c r="C430" s="3" t="str">
        <f>VLOOKUP(Tabela11[[#This Row],[Tag do Cabo]],BD!A:AJ,5,0)</f>
        <v xml:space="preserve">4P#1,0mm²+SHI+SHC </v>
      </c>
      <c r="D430" s="391" t="s">
        <v>1533</v>
      </c>
      <c r="E430" s="391" t="str">
        <f>VLOOKUP(Tabela11[[#This Row],[Tag do Cabo]],BD!A:T,20,0)</f>
        <v>BK-SP54-0900A-LC-80-00185_00000</v>
      </c>
      <c r="F430" s="3" t="str">
        <f>IF(VLOOKUP(Tabela11[[#This Row],[Tag do Cabo]],BD!A:AJ,35,0)=0,"Pendente",VLOOKUP(Tabela11[[#This Row],[Tag do Cabo]],BD!A:AJ,35,0))</f>
        <v>BK-SP54-0900A-DI-80-01647</v>
      </c>
      <c r="G430" s="3" t="str">
        <f>IF(VLOOKUP(Tabela11[[#This Row],[Tag do Cabo]],BD!A:AJ,36,0)=0,"Pendente",VLOOKUP(Tabela11[[#This Row],[Tag do Cabo]],BD!A:AJ,36,0))</f>
        <v>2</v>
      </c>
      <c r="H430" s="391" t="str">
        <f>VLOOKUP(Tabela11[[#This Row],[Tag do Cabo]],BD!A:AJ,32,0)</f>
        <v>1MVxGA-906E</v>
      </c>
      <c r="I430" s="7" t="str">
        <f>VLOOKUP(Tabela11[[#This Row],[Tag do Cabo]],BD!A:AJ,11,0)</f>
        <v>SUBESTAÇÃO 1HV/PAINEL 1MV</v>
      </c>
      <c r="J430" s="3" t="str">
        <f>VLOOKUP(Tabela11[[#This Row],[Tag do Cabo]],BD!A:AJ,12,0)</f>
        <v>PL-90-127X - GA-906E</v>
      </c>
      <c r="K430" s="391" t="s">
        <v>1538</v>
      </c>
      <c r="L430" s="391" t="s">
        <v>1657</v>
      </c>
      <c r="M430" s="3" t="str">
        <f>CONCATENATE(Tabela11[[#This Row],[Painel 1]]&amp;" "&amp;Tabela11[[#This Row],[Painel 2]])</f>
        <v>GAINE IV PL-90-127X</v>
      </c>
      <c r="N430" s="157">
        <v>8</v>
      </c>
      <c r="O430" s="391">
        <f>COUNTIF(Tabela12[Tag Cabo],Tabela11[[#This Row],[Tag do Cabo]])</f>
        <v>8</v>
      </c>
      <c r="P430" s="391" t="str">
        <f>IF(Tabela11[[#This Row],[Qtde Ligações]]&lt;&gt;Tabela11[[#This Row],[Qtde Anilhas]],"Ver","Ok")</f>
        <v>Ok</v>
      </c>
      <c r="Q430" s="391">
        <f>VLOOKUP(Tabela11[[#This Row],[Tag do Cabo]],BD!A:F,6,0)</f>
        <v>1</v>
      </c>
      <c r="R430" s="391">
        <f>SUMIF('Lançamento de Cabos'!AE:AE,Tabela11[[#This Row],[Tag do Cabo]],'Lançamento de Cabos'!AG:AG)</f>
        <v>0</v>
      </c>
      <c r="S430" s="28">
        <f>Tabela11[[#This Row],[Ligações Realizadas]]/Tabela11[[#This Row],[Qtde Ligações]]</f>
        <v>0</v>
      </c>
      <c r="T430" s="269">
        <f>IF(Tabela11[[#This Row],[Ligações Realizadas]]/Tabela11[[#This Row],[Qtde Ligações]]=0,0,IF(Tabela11[[#This Row],[Ligações Realizadas]]/Tabela11[[#This Row],[Qtde Ligações]]=1,ROUND(N430/2,0),"Ver Painel"))</f>
        <v>0</v>
      </c>
      <c r="U430" s="23">
        <f>IF(Tabela11[[#This Row],[Ligações Realizadas]]/Tabela11[[#This Row],[Qtde Ligações]]=0,0,IF(Tabela11[[#This Row],[Ligações Realizadas]]/Tabela11[[#This Row],[Qtde Ligações]]=1,ROUND(N430/2,0),"Ver Painel"))</f>
        <v>0</v>
      </c>
      <c r="V430" s="222"/>
    </row>
    <row r="431" spans="1:22" hidden="1" x14ac:dyDescent="0.25">
      <c r="A431" s="34" t="s">
        <v>260</v>
      </c>
      <c r="B431" s="391" t="str">
        <f>VLOOKUP(Tabela11[[#This Row],[Tag do Cabo]],BD!A:AJ,2,0)</f>
        <v>Controle</v>
      </c>
      <c r="C431" s="3" t="str">
        <f>VLOOKUP(Tabela11[[#This Row],[Tag do Cabo]],BD!A:AJ,5,0)</f>
        <v xml:space="preserve">4P#1,0mm²+SHI+SHC </v>
      </c>
      <c r="D431" s="391" t="s">
        <v>1533</v>
      </c>
      <c r="E431" s="391" t="str">
        <f>VLOOKUP(Tabela11[[#This Row],[Tag do Cabo]],BD!A:T,20,0)</f>
        <v>BK-SP54-0900A-LC-80-00185_00000</v>
      </c>
      <c r="F431" s="3" t="str">
        <f>IF(VLOOKUP(Tabela11[[#This Row],[Tag do Cabo]],BD!A:AJ,35,0)=0,"Pendente",VLOOKUP(Tabela11[[#This Row],[Tag do Cabo]],BD!A:AJ,35,0))</f>
        <v>BK-SP54-0900A-DI-80-01647</v>
      </c>
      <c r="G431" s="3" t="str">
        <f>IF(VLOOKUP(Tabela11[[#This Row],[Tag do Cabo]],BD!A:AJ,36,0)=0,"Pendente",VLOOKUP(Tabela11[[#This Row],[Tag do Cabo]],BD!A:AJ,36,0))</f>
        <v>3</v>
      </c>
      <c r="H431" s="391" t="str">
        <f>VLOOKUP(Tabela11[[#This Row],[Tag do Cabo]],BD!A:AJ,32,0)</f>
        <v>1MVxGA-906E</v>
      </c>
      <c r="I431" s="7" t="str">
        <f>VLOOKUP(Tabela11[[#This Row],[Tag do Cabo]],BD!A:AJ,11,0)</f>
        <v>SUBESTAÇÃO 1HV/PAINEL 1MV</v>
      </c>
      <c r="J431" s="3" t="str">
        <f>VLOOKUP(Tabela11[[#This Row],[Tag do Cabo]],BD!A:AJ,12,0)</f>
        <v>PL-90-127X - GA-906E</v>
      </c>
      <c r="K431" s="391" t="s">
        <v>1538</v>
      </c>
      <c r="L431" s="391" t="s">
        <v>1657</v>
      </c>
      <c r="M431" s="3" t="str">
        <f>CONCATENATE(Tabela11[[#This Row],[Painel 1]]&amp;" "&amp;Tabela11[[#This Row],[Painel 2]])</f>
        <v>GAINE IV PL-90-127X</v>
      </c>
      <c r="N431" s="157">
        <v>8</v>
      </c>
      <c r="O431" s="391">
        <f>COUNTIF(Tabela12[Tag Cabo],Tabela11[[#This Row],[Tag do Cabo]])</f>
        <v>8</v>
      </c>
      <c r="P431" s="391" t="str">
        <f>IF(Tabela11[[#This Row],[Qtde Ligações]]&lt;&gt;Tabela11[[#This Row],[Qtde Anilhas]],"Ver","Ok")</f>
        <v>Ok</v>
      </c>
      <c r="Q431" s="391">
        <f>VLOOKUP(Tabela11[[#This Row],[Tag do Cabo]],BD!A:F,6,0)</f>
        <v>1</v>
      </c>
      <c r="R431" s="391">
        <f>SUMIF('Lançamento de Cabos'!AE:AE,Tabela11[[#This Row],[Tag do Cabo]],'Lançamento de Cabos'!AG:AG)</f>
        <v>0</v>
      </c>
      <c r="S431" s="28">
        <f>Tabela11[[#This Row],[Ligações Realizadas]]/Tabela11[[#This Row],[Qtde Ligações]]</f>
        <v>0</v>
      </c>
      <c r="T431" s="269">
        <f>IF(Tabela11[[#This Row],[Ligações Realizadas]]/Tabela11[[#This Row],[Qtde Ligações]]=0,0,IF(Tabela11[[#This Row],[Ligações Realizadas]]/Tabela11[[#This Row],[Qtde Ligações]]=1,ROUND(N431/2,0),"Ver Painel"))</f>
        <v>0</v>
      </c>
      <c r="U431" s="23">
        <f>IF(Tabela11[[#This Row],[Ligações Realizadas]]/Tabela11[[#This Row],[Qtde Ligações]]=0,0,IF(Tabela11[[#This Row],[Ligações Realizadas]]/Tabela11[[#This Row],[Qtde Ligações]]=1,ROUND(N431/2,0),"Ver Painel"))</f>
        <v>0</v>
      </c>
      <c r="V431" s="222"/>
    </row>
    <row r="432" spans="1:22" hidden="1" x14ac:dyDescent="0.25">
      <c r="A432" s="34" t="s">
        <v>231</v>
      </c>
      <c r="B432" s="391" t="str">
        <f>VLOOKUP(Tabela11[[#This Row],[Tag do Cabo]],BD!A:AJ,2,0)</f>
        <v>Controle</v>
      </c>
      <c r="C432" s="3" t="str">
        <f>VLOOKUP(Tabela11[[#This Row],[Tag do Cabo]],BD!A:AJ,5,0)</f>
        <v>2P#1,0mm²+SHI+SHC</v>
      </c>
      <c r="D432" s="391" t="s">
        <v>1533</v>
      </c>
      <c r="E432" s="391" t="str">
        <f>VLOOKUP(Tabela11[[#This Row],[Tag do Cabo]],BD!A:T,20,0)</f>
        <v>BK-SP54-0900A-LC-80-00187_00000</v>
      </c>
      <c r="F432" s="3" t="str">
        <f>IF(VLOOKUP(Tabela11[[#This Row],[Tag do Cabo]],BD!A:AJ,35,0)=0,"Pendente",VLOOKUP(Tabela11[[#This Row],[Tag do Cabo]],BD!A:AJ,35,0))</f>
        <v>BK-SP54-0900A-DI-80-01645/BK-SP54-0900A-DI-80-01646</v>
      </c>
      <c r="G432" s="3" t="str">
        <f>IF(VLOOKUP(Tabela11[[#This Row],[Tag do Cabo]],BD!A:AJ,36,0)=0,"Pendente",VLOOKUP(Tabela11[[#This Row],[Tag do Cabo]],BD!A:AJ,36,0))</f>
        <v>3/16, 48</v>
      </c>
      <c r="H432" s="391" t="str">
        <f>VLOOKUP(Tabela11[[#This Row],[Tag do Cabo]],BD!A:AJ,32,0)</f>
        <v>1MVxCCU</v>
      </c>
      <c r="I432" s="7" t="str">
        <f>VLOOKUP(Tabela11[[#This Row],[Tag do Cabo]],BD!A:AJ,11,0)</f>
        <v>SALA EL. 1MV (CCM - GBM-967B)</v>
      </c>
      <c r="J432" s="3" t="str">
        <f>VLOOKUP(Tabela11[[#This Row],[Tag do Cabo]],BD!A:AJ,12,0)</f>
        <v>SIS - TMR-XVIII</v>
      </c>
      <c r="K432" s="391" t="s">
        <v>1656</v>
      </c>
      <c r="L432" s="391" t="s">
        <v>1655</v>
      </c>
      <c r="M432" s="3" t="str">
        <f>CONCATENATE(Tabela11[[#This Row],[Painel 1]]&amp;" "&amp;Tabela11[[#This Row],[Painel 2]])</f>
        <v>CCM-GBM-967A SIS-TMR-XVIII</v>
      </c>
      <c r="N432" s="157">
        <v>8</v>
      </c>
      <c r="O432" s="391">
        <f>COUNTIF(Tabela12[Tag Cabo],Tabela11[[#This Row],[Tag do Cabo]])</f>
        <v>8</v>
      </c>
      <c r="P432" s="391" t="str">
        <f>IF(Tabela11[[#This Row],[Qtde Ligações]]&lt;&gt;Tabela11[[#This Row],[Qtde Anilhas]],"Ver","Ok")</f>
        <v>Ok</v>
      </c>
      <c r="Q432" s="391">
        <f>VLOOKUP(Tabela11[[#This Row],[Tag do Cabo]],BD!A:F,6,0)</f>
        <v>1</v>
      </c>
      <c r="R432" s="391">
        <f>SUMIF('Lançamento de Cabos'!AE:AE,Tabela11[[#This Row],[Tag do Cabo]],'Lançamento de Cabos'!AG:AG)</f>
        <v>0</v>
      </c>
      <c r="S432" s="28">
        <f>Tabela11[[#This Row],[Ligações Realizadas]]/Tabela11[[#This Row],[Qtde Ligações]]</f>
        <v>0</v>
      </c>
      <c r="T432" s="269">
        <f>IF(Tabela11[[#This Row],[Ligações Realizadas]]/Tabela11[[#This Row],[Qtde Ligações]]=0,0,IF(Tabela11[[#This Row],[Ligações Realizadas]]/Tabela11[[#This Row],[Qtde Ligações]]=1,ROUND(N432/2,0),"Ver Painel"))</f>
        <v>0</v>
      </c>
      <c r="U432" s="23">
        <f>IF(Tabela11[[#This Row],[Ligações Realizadas]]/Tabela11[[#This Row],[Qtde Ligações]]=0,0,IF(Tabela11[[#This Row],[Ligações Realizadas]]/Tabela11[[#This Row],[Qtde Ligações]]=1,ROUND(N432/2,0),"Ver Painel"))</f>
        <v>0</v>
      </c>
      <c r="V432" s="222"/>
    </row>
    <row r="433" spans="1:22" hidden="1" x14ac:dyDescent="0.25">
      <c r="A433" s="34" t="s">
        <v>1226</v>
      </c>
      <c r="B433" s="391" t="str">
        <f>VLOOKUP(Tabela11[[#This Row],[Tag do Cabo]],BD!A:AJ,2,0)</f>
        <v>Controle</v>
      </c>
      <c r="C433" s="3" t="str">
        <f>VLOOKUP(Tabela11[[#This Row],[Tag do Cabo]],BD!A:AJ,5,0)</f>
        <v xml:space="preserve">8P#1,0mm²+SHI+SHC </v>
      </c>
      <c r="D433" s="391" t="s">
        <v>1533</v>
      </c>
      <c r="E433" s="391" t="str">
        <f>VLOOKUP(Tabela11[[#This Row],[Tag do Cabo]],BD!A:T,20,0)</f>
        <v>BK-SP54-0900A-LC-80-00186_00000</v>
      </c>
      <c r="F433" s="3" t="str">
        <f>IF(VLOOKUP(Tabela11[[#This Row],[Tag do Cabo]],BD!A:AJ,35,0)=0,"Pendente",VLOOKUP(Tabela11[[#This Row],[Tag do Cabo]],BD!A:AJ,35,0))</f>
        <v>BK-SP54-0900A-DI-80-01647</v>
      </c>
      <c r="G433" s="3" t="str">
        <f>IF(VLOOKUP(Tabela11[[#This Row],[Tag do Cabo]],BD!A:AJ,36,0)=0,"Pendente",VLOOKUP(Tabela11[[#This Row],[Tag do Cabo]],BD!A:AJ,36,0))</f>
        <v>6</v>
      </c>
      <c r="H433" s="391" t="str">
        <f>VLOOKUP(Tabela11[[#This Row],[Tag do Cabo]],BD!A:AJ,32,0)</f>
        <v>CCUxGA-9312/S</v>
      </c>
      <c r="I433" s="7" t="str">
        <f>VLOOKUP(Tabela11[[#This Row],[Tag do Cabo]],BD!A:AJ,11,0)</f>
        <v>JBAI-90-110</v>
      </c>
      <c r="J433" s="3" t="str">
        <f>VLOOKUP(Tabela11[[#This Row],[Tag do Cabo]],BD!A:AJ,12,0)</f>
        <v>CCU/SIS PLC-74</v>
      </c>
      <c r="K433" s="391" t="s">
        <v>1228</v>
      </c>
      <c r="L433" s="391" t="s">
        <v>1658</v>
      </c>
      <c r="M433" s="3" t="str">
        <f>CONCATENATE(Tabela11[[#This Row],[Painel 1]]&amp;" "&amp;Tabela11[[#This Row],[Painel 2]])</f>
        <v>JBAI-90-110 SIS-CCU-102-B</v>
      </c>
      <c r="N433" s="157">
        <v>24</v>
      </c>
      <c r="O433" s="391">
        <f>COUNTIF(Tabela12[Tag Cabo],Tabela11[[#This Row],[Tag do Cabo]])</f>
        <v>24</v>
      </c>
      <c r="P433" s="391" t="str">
        <f>IF(Tabela11[[#This Row],[Qtde Ligações]]&lt;&gt;Tabela11[[#This Row],[Qtde Anilhas]],"Ver","Ok")</f>
        <v>Ok</v>
      </c>
      <c r="Q433" s="391">
        <f>VLOOKUP(Tabela11[[#This Row],[Tag do Cabo]],BD!A:F,6,0)</f>
        <v>1</v>
      </c>
      <c r="R433" s="391">
        <f>SUMIF('Lançamento de Cabos'!AE:AE,Tabela11[[#This Row],[Tag do Cabo]],'Lançamento de Cabos'!AG:AG)</f>
        <v>0</v>
      </c>
      <c r="S433" s="28">
        <f>Tabela11[[#This Row],[Ligações Realizadas]]/Tabela11[[#This Row],[Qtde Ligações]]</f>
        <v>0</v>
      </c>
      <c r="T433" s="269">
        <f>IF(Tabela11[[#This Row],[Ligações Realizadas]]/Tabela11[[#This Row],[Qtde Ligações]]=0,0,IF(Tabela11[[#This Row],[Ligações Realizadas]]/Tabela11[[#This Row],[Qtde Ligações]]=1,ROUND(N433/2,0),"Ver Painel"))</f>
        <v>0</v>
      </c>
      <c r="U433" s="23">
        <f>IF(Tabela11[[#This Row],[Ligações Realizadas]]/Tabela11[[#This Row],[Qtde Ligações]]=0,0,IF(Tabela11[[#This Row],[Ligações Realizadas]]/Tabela11[[#This Row],[Qtde Ligações]]=1,ROUND(N433/2,0),"Ver Painel"))</f>
        <v>0</v>
      </c>
      <c r="V433" s="222"/>
    </row>
    <row r="434" spans="1:22" hidden="1" x14ac:dyDescent="0.25">
      <c r="A434" s="34" t="s">
        <v>1231</v>
      </c>
      <c r="B434" s="391" t="str">
        <f>VLOOKUP(Tabela11[[#This Row],[Tag do Cabo]],BD!A:AJ,2,0)</f>
        <v>Controle</v>
      </c>
      <c r="C434" s="3" t="str">
        <f>VLOOKUP(Tabela11[[#This Row],[Tag do Cabo]],BD!A:AJ,5,0)</f>
        <v>8P#1,0mm²+SHI+SHC</v>
      </c>
      <c r="D434" s="391" t="s">
        <v>1533</v>
      </c>
      <c r="E434" s="391" t="str">
        <f>VLOOKUP(Tabela11[[#This Row],[Tag do Cabo]],BD!A:T,20,0)</f>
        <v>BK-SP54-0900A-LC-80-00186_00000</v>
      </c>
      <c r="F434" s="3" t="str">
        <f>IF(VLOOKUP(Tabela11[[#This Row],[Tag do Cabo]],BD!A:AJ,35,0)=0,"Pendente",VLOOKUP(Tabela11[[#This Row],[Tag do Cabo]],BD!A:AJ,35,0))</f>
        <v>BK-SP54-0900A-DI-80-01647</v>
      </c>
      <c r="G434" s="3" t="str">
        <f>IF(VLOOKUP(Tabela11[[#This Row],[Tag do Cabo]],BD!A:AJ,36,0)=0,"Pendente",VLOOKUP(Tabela11[[#This Row],[Tag do Cabo]],BD!A:AJ,36,0))</f>
        <v>7</v>
      </c>
      <c r="H434" s="391" t="str">
        <f>VLOOKUP(Tabela11[[#This Row],[Tag do Cabo]],BD!A:AJ,32,0)</f>
        <v>CCUxGA-9312/S</v>
      </c>
      <c r="I434" s="7" t="str">
        <f>VLOOKUP(Tabela11[[#This Row],[Tag do Cabo]],BD!A:AJ,11,0)</f>
        <v>JBDI-90-111</v>
      </c>
      <c r="J434" s="3" t="str">
        <f>VLOOKUP(Tabela11[[#This Row],[Tag do Cabo]],BD!A:AJ,12,0)</f>
        <v>CCU/SIS PLC-74</v>
      </c>
      <c r="K434" s="391" t="s">
        <v>1233</v>
      </c>
      <c r="L434" s="391" t="s">
        <v>1659</v>
      </c>
      <c r="M434" s="3" t="str">
        <f>CONCATENATE(Tabela11[[#This Row],[Painel 1]]&amp;" "&amp;Tabela11[[#This Row],[Painel 2]])</f>
        <v>JBDI-90-111 SIS-CCU-102-C</v>
      </c>
      <c r="N434" s="157">
        <v>18</v>
      </c>
      <c r="O434" s="391">
        <f>COUNTIF(Tabela12[Tag Cabo],Tabela11[[#This Row],[Tag do Cabo]])</f>
        <v>18</v>
      </c>
      <c r="P434" s="391" t="str">
        <f>IF(Tabela11[[#This Row],[Qtde Ligações]]&lt;&gt;Tabela11[[#This Row],[Qtde Anilhas]],"Ver","Ok")</f>
        <v>Ok</v>
      </c>
      <c r="Q434" s="391">
        <f>VLOOKUP(Tabela11[[#This Row],[Tag do Cabo]],BD!A:F,6,0)</f>
        <v>1</v>
      </c>
      <c r="R434" s="391">
        <f>SUMIF('Lançamento de Cabos'!AE:AE,Tabela11[[#This Row],[Tag do Cabo]],'Lançamento de Cabos'!AG:AG)</f>
        <v>0</v>
      </c>
      <c r="S434" s="28">
        <f>Tabela11[[#This Row],[Ligações Realizadas]]/Tabela11[[#This Row],[Qtde Ligações]]</f>
        <v>0</v>
      </c>
      <c r="T434" s="269">
        <f>IF(Tabela11[[#This Row],[Ligações Realizadas]]/Tabela11[[#This Row],[Qtde Ligações]]=0,0,IF(Tabela11[[#This Row],[Ligações Realizadas]]/Tabela11[[#This Row],[Qtde Ligações]]=1,ROUND(N434/2,0),"Ver Painel"))</f>
        <v>0</v>
      </c>
      <c r="U434" s="23">
        <f>IF(Tabela11[[#This Row],[Ligações Realizadas]]/Tabela11[[#This Row],[Qtde Ligações]]=0,0,IF(Tabela11[[#This Row],[Ligações Realizadas]]/Tabela11[[#This Row],[Qtde Ligações]]=1,ROUND(N434/2,0),"Ver Painel"))</f>
        <v>0</v>
      </c>
      <c r="V434" s="222"/>
    </row>
    <row r="435" spans="1:22" hidden="1" x14ac:dyDescent="0.25">
      <c r="A435" s="34" t="s">
        <v>1084</v>
      </c>
      <c r="B435" s="391" t="str">
        <f>VLOOKUP(Tabela11[[#This Row],[Tag do Cabo]],BD!A:AJ,2,0)</f>
        <v>Controle</v>
      </c>
      <c r="C435" s="3" t="str">
        <f>VLOOKUP(Tabela11[[#This Row],[Tag do Cabo]],BD!A:AJ,5,0)</f>
        <v xml:space="preserve">4P#1,0mm²+SHI+SHC </v>
      </c>
      <c r="D435" s="391" t="s">
        <v>1533</v>
      </c>
      <c r="E435" s="391" t="str">
        <f>VLOOKUP(Tabela11[[#This Row],[Tag do Cabo]],BD!A:T,20,0)</f>
        <v>BK-SP54-0900A-LC-80-00186_00000</v>
      </c>
      <c r="F435" s="3" t="str">
        <f>IF(VLOOKUP(Tabela11[[#This Row],[Tag do Cabo]],BD!A:AJ,35,0)=0,"Pendente",VLOOKUP(Tabela11[[#This Row],[Tag do Cabo]],BD!A:AJ,35,0))</f>
        <v>BK-SP54-0900A-DI-80-01647</v>
      </c>
      <c r="G435" s="3" t="str">
        <f>IF(VLOOKUP(Tabela11[[#This Row],[Tag do Cabo]],BD!A:AJ,36,0)=0,"Pendente",VLOOKUP(Tabela11[[#This Row],[Tag do Cabo]],BD!A:AJ,36,0))</f>
        <v>9</v>
      </c>
      <c r="H435" s="391" t="str">
        <f>VLOOKUP(Tabela11[[#This Row],[Tag do Cabo]],BD!A:AJ,32,0)</f>
        <v>CCPxCCU</v>
      </c>
      <c r="I435" s="7" t="str">
        <f>VLOOKUP(Tabela11[[#This Row],[Tag do Cabo]],BD!A:AJ,11,0)</f>
        <v>CCP/3LV (GA-9312)</v>
      </c>
      <c r="J435" s="3" t="str">
        <f>VLOOKUP(Tabela11[[#This Row],[Tag do Cabo]],BD!A:AJ,12,0)</f>
        <v>CCU/SIS PLC-74</v>
      </c>
      <c r="K435" s="391" t="s">
        <v>1109</v>
      </c>
      <c r="L435" s="391" t="s">
        <v>1658</v>
      </c>
      <c r="M435" s="3" t="str">
        <f>CONCATENATE(Tabela11[[#This Row],[Painel 1]]&amp;" "&amp;Tabela11[[#This Row],[Painel 2]])</f>
        <v>PAINEL 3LV SIS-CCU-102-B</v>
      </c>
      <c r="N435" s="157">
        <v>8</v>
      </c>
      <c r="O435" s="391">
        <f>COUNTIF(Tabela12[Tag Cabo],Tabela11[[#This Row],[Tag do Cabo]])</f>
        <v>8</v>
      </c>
      <c r="P435" s="391" t="str">
        <f>IF(Tabela11[[#This Row],[Qtde Ligações]]&lt;&gt;Tabela11[[#This Row],[Qtde Anilhas]],"Ver","Ok")</f>
        <v>Ok</v>
      </c>
      <c r="Q435" s="391">
        <f>VLOOKUP(Tabela11[[#This Row],[Tag do Cabo]],BD!A:F,6,0)</f>
        <v>1</v>
      </c>
      <c r="R435" s="391">
        <f>SUMIF('Lançamento de Cabos'!AE:AE,Tabela11[[#This Row],[Tag do Cabo]],'Lançamento de Cabos'!AG:AG)</f>
        <v>0</v>
      </c>
      <c r="S435" s="28">
        <f>Tabela11[[#This Row],[Ligações Realizadas]]/Tabela11[[#This Row],[Qtde Ligações]]</f>
        <v>0</v>
      </c>
      <c r="T435" s="269">
        <f>IF(Tabela11[[#This Row],[Ligações Realizadas]]/Tabela11[[#This Row],[Qtde Ligações]]=0,0,IF(Tabela11[[#This Row],[Ligações Realizadas]]/Tabela11[[#This Row],[Qtde Ligações]]=1,ROUND(N435/2,0),"Ver Painel"))</f>
        <v>0</v>
      </c>
      <c r="U435" s="23">
        <f>IF(Tabela11[[#This Row],[Ligações Realizadas]]/Tabela11[[#This Row],[Qtde Ligações]]=0,0,IF(Tabela11[[#This Row],[Ligações Realizadas]]/Tabela11[[#This Row],[Qtde Ligações]]=1,ROUND(N435/2,0),"Ver Painel"))</f>
        <v>0</v>
      </c>
      <c r="V435" s="222"/>
    </row>
    <row r="436" spans="1:22" hidden="1" x14ac:dyDescent="0.25">
      <c r="A436" s="34" t="s">
        <v>1234</v>
      </c>
      <c r="B436" s="391" t="str">
        <f>VLOOKUP(Tabela11[[#This Row],[Tag do Cabo]],BD!A:AJ,2,0)</f>
        <v>Controle</v>
      </c>
      <c r="C436" s="3" t="str">
        <f>VLOOKUP(Tabela11[[#This Row],[Tag do Cabo]],BD!A:AJ,5,0)</f>
        <v xml:space="preserve">8P#1,0mm²+SHI+SHC </v>
      </c>
      <c r="D436" s="391" t="s">
        <v>1533</v>
      </c>
      <c r="E436" s="391" t="str">
        <f>VLOOKUP(Tabela11[[#This Row],[Tag do Cabo]],BD!A:T,20,0)</f>
        <v>BK-SP54-0900A-LC-80-00186_00000</v>
      </c>
      <c r="F436" s="3" t="str">
        <f>IF(VLOOKUP(Tabela11[[#This Row],[Tag do Cabo]],BD!A:AJ,35,0)=0,"Pendente",VLOOKUP(Tabela11[[#This Row],[Tag do Cabo]],BD!A:AJ,35,0))</f>
        <v>BK-SP54-0900A-DI-80-01647</v>
      </c>
      <c r="G436" s="3" t="str">
        <f>IF(VLOOKUP(Tabela11[[#This Row],[Tag do Cabo]],BD!A:AJ,36,0)=0,"Pendente",VLOOKUP(Tabela11[[#This Row],[Tag do Cabo]],BD!A:AJ,36,0))</f>
        <v>10</v>
      </c>
      <c r="H436" s="391" t="str">
        <f>VLOOKUP(Tabela11[[#This Row],[Tag do Cabo]],BD!A:AJ,32,0)</f>
        <v>CCUxGA-9312/S</v>
      </c>
      <c r="I436" s="7" t="str">
        <f>VLOOKUP(Tabela11[[#This Row],[Tag do Cabo]],BD!A:AJ,11,0)</f>
        <v>CAMPO (GA-9312)</v>
      </c>
      <c r="J436" s="3" t="str">
        <f>VLOOKUP(Tabela11[[#This Row],[Tag do Cabo]],BD!A:AJ,12,0)</f>
        <v>CCU/SIS PLC-74</v>
      </c>
      <c r="K436" s="391" t="s">
        <v>1546</v>
      </c>
      <c r="L436" s="391" t="s">
        <v>1658</v>
      </c>
      <c r="M436" s="3" t="str">
        <f>CONCATENATE(Tabela11[[#This Row],[Painel 1]]&amp;" "&amp;Tabela11[[#This Row],[Painel 2]])</f>
        <v>GA-9312 SIS-CCU-102-B</v>
      </c>
      <c r="N436" s="157">
        <v>24</v>
      </c>
      <c r="O436" s="391">
        <f>COUNTIF(Tabela12[Tag Cabo],Tabela11[[#This Row],[Tag do Cabo]])</f>
        <v>24</v>
      </c>
      <c r="P436" s="391" t="str">
        <f>IF(Tabela11[[#This Row],[Qtde Ligações]]&lt;&gt;Tabela11[[#This Row],[Qtde Anilhas]],"Ver","Ok")</f>
        <v>Ok</v>
      </c>
      <c r="Q436" s="391">
        <f>VLOOKUP(Tabela11[[#This Row],[Tag do Cabo]],BD!A:F,6,0)</f>
        <v>1</v>
      </c>
      <c r="R436" s="391">
        <f>SUMIF('Lançamento de Cabos'!AE:AE,Tabela11[[#This Row],[Tag do Cabo]],'Lançamento de Cabos'!AG:AG)</f>
        <v>0</v>
      </c>
      <c r="S436" s="28">
        <f>Tabela11[[#This Row],[Ligações Realizadas]]/Tabela11[[#This Row],[Qtde Ligações]]</f>
        <v>0</v>
      </c>
      <c r="T436" s="269">
        <f>IF(Tabela11[[#This Row],[Ligações Realizadas]]/Tabela11[[#This Row],[Qtde Ligações]]=0,0,IF(Tabela11[[#This Row],[Ligações Realizadas]]/Tabela11[[#This Row],[Qtde Ligações]]=1,ROUND(N436/2,0),"Ver Painel"))</f>
        <v>0</v>
      </c>
      <c r="U436" s="23">
        <f>IF(Tabela11[[#This Row],[Ligações Realizadas]]/Tabela11[[#This Row],[Qtde Ligações]]=0,0,IF(Tabela11[[#This Row],[Ligações Realizadas]]/Tabela11[[#This Row],[Qtde Ligações]]=1,ROUND(N436/2,0),"Ver Painel"))</f>
        <v>0</v>
      </c>
      <c r="V436" s="222"/>
    </row>
    <row r="437" spans="1:22" hidden="1" x14ac:dyDescent="0.25">
      <c r="A437" s="34" t="s">
        <v>1091</v>
      </c>
      <c r="B437" s="391" t="str">
        <f>VLOOKUP(Tabela11[[#This Row],[Tag do Cabo]],BD!A:AJ,2,0)</f>
        <v>Controle</v>
      </c>
      <c r="C437" s="3" t="str">
        <f>VLOOKUP(Tabela11[[#This Row],[Tag do Cabo]],BD!A:AJ,5,0)</f>
        <v xml:space="preserve">4P#1,0mm²+SHI+SHC </v>
      </c>
      <c r="D437" s="391" t="s">
        <v>1533</v>
      </c>
      <c r="E437" s="391" t="str">
        <f>VLOOKUP(Tabela11[[#This Row],[Tag do Cabo]],BD!A:T,20,0)</f>
        <v>BK-SP54-0900A-LC-80-00186_00000</v>
      </c>
      <c r="F437" s="3" t="str">
        <f>IF(VLOOKUP(Tabela11[[#This Row],[Tag do Cabo]],BD!A:AJ,35,0)=0,"Pendente",VLOOKUP(Tabela11[[#This Row],[Tag do Cabo]],BD!A:AJ,35,0))</f>
        <v>BK-SP54-0900A-DI-80-01647</v>
      </c>
      <c r="G437" s="3" t="str">
        <f>IF(VLOOKUP(Tabela11[[#This Row],[Tag do Cabo]],BD!A:AJ,36,0)=0,"Pendente",VLOOKUP(Tabela11[[#This Row],[Tag do Cabo]],BD!A:AJ,36,0))</f>
        <v>11</v>
      </c>
      <c r="H437" s="391" t="str">
        <f>VLOOKUP(Tabela11[[#This Row],[Tag do Cabo]],BD!A:AJ,32,0)</f>
        <v>CCPxCCU</v>
      </c>
      <c r="I437" s="7" t="str">
        <f>VLOOKUP(Tabela11[[#This Row],[Tag do Cabo]],BD!A:AJ,11,0)</f>
        <v>CCP/3LV (GA-9312)</v>
      </c>
      <c r="J437" s="3" t="str">
        <f>VLOOKUP(Tabela11[[#This Row],[Tag do Cabo]],BD!A:AJ,12,0)</f>
        <v>CCU/SIS PLC-74</v>
      </c>
      <c r="K437" s="391" t="s">
        <v>1109</v>
      </c>
      <c r="L437" s="391" t="s">
        <v>1659</v>
      </c>
      <c r="M437" s="3" t="str">
        <f>CONCATENATE(Tabela11[[#This Row],[Painel 1]]&amp;" "&amp;Tabela11[[#This Row],[Painel 2]])</f>
        <v>PAINEL 3LV SIS-CCU-102-C</v>
      </c>
      <c r="N437" s="157">
        <v>8</v>
      </c>
      <c r="O437" s="391">
        <f>COUNTIF(Tabela12[Tag Cabo],Tabela11[[#This Row],[Tag do Cabo]])</f>
        <v>8</v>
      </c>
      <c r="P437" s="391" t="str">
        <f>IF(Tabela11[[#This Row],[Qtde Ligações]]&lt;&gt;Tabela11[[#This Row],[Qtde Anilhas]],"Ver","Ok")</f>
        <v>Ok</v>
      </c>
      <c r="Q437" s="391">
        <f>VLOOKUP(Tabela11[[#This Row],[Tag do Cabo]],BD!A:F,6,0)</f>
        <v>1</v>
      </c>
      <c r="R437" s="391">
        <f>SUMIF('Lançamento de Cabos'!AE:AE,Tabela11[[#This Row],[Tag do Cabo]],'Lançamento de Cabos'!AG:AG)</f>
        <v>0</v>
      </c>
      <c r="S437" s="28">
        <f>Tabela11[[#This Row],[Ligações Realizadas]]/Tabela11[[#This Row],[Qtde Ligações]]</f>
        <v>0</v>
      </c>
      <c r="T437" s="269">
        <f>IF(Tabela11[[#This Row],[Ligações Realizadas]]/Tabela11[[#This Row],[Qtde Ligações]]=0,0,IF(Tabela11[[#This Row],[Ligações Realizadas]]/Tabela11[[#This Row],[Qtde Ligações]]=1,ROUND(N437/2,0),"Ver Painel"))</f>
        <v>0</v>
      </c>
      <c r="U437" s="23">
        <f>IF(Tabela11[[#This Row],[Ligações Realizadas]]/Tabela11[[#This Row],[Qtde Ligações]]=0,0,IF(Tabela11[[#This Row],[Ligações Realizadas]]/Tabela11[[#This Row],[Qtde Ligações]]=1,ROUND(N437/2,0),"Ver Painel"))</f>
        <v>0</v>
      </c>
      <c r="V437" s="222"/>
    </row>
    <row r="438" spans="1:22" hidden="1" x14ac:dyDescent="0.25">
      <c r="A438" s="34" t="s">
        <v>1093</v>
      </c>
      <c r="B438" s="391" t="str">
        <f>VLOOKUP(Tabela11[[#This Row],[Tag do Cabo]],BD!A:AJ,2,0)</f>
        <v>Controle</v>
      </c>
      <c r="C438" s="3" t="str">
        <f>VLOOKUP(Tabela11[[#This Row],[Tag do Cabo]],BD!A:AJ,5,0)</f>
        <v>4P#1,0mm²+SHI+SHC (N.I.S.)</v>
      </c>
      <c r="D438" s="391" t="s">
        <v>1533</v>
      </c>
      <c r="E438" s="391" t="str">
        <f>VLOOKUP(Tabela11[[#This Row],[Tag do Cabo]],BD!A:T,20,0)</f>
        <v>BK-SP54-0900A-LC-80-00186_00000</v>
      </c>
      <c r="F438" s="3" t="str">
        <f>IF(VLOOKUP(Tabela11[[#This Row],[Tag do Cabo]],BD!A:AJ,35,0)=0,"Pendente",VLOOKUP(Tabela11[[#This Row],[Tag do Cabo]],BD!A:AJ,35,0))</f>
        <v>BK-SP54-0900A-DI-80-01647</v>
      </c>
      <c r="G438" s="3" t="str">
        <f>IF(VLOOKUP(Tabela11[[#This Row],[Tag do Cabo]],BD!A:AJ,36,0)=0,"Pendente",VLOOKUP(Tabela11[[#This Row],[Tag do Cabo]],BD!A:AJ,36,0))</f>
        <v>12</v>
      </c>
      <c r="H438" s="391" t="str">
        <f>VLOOKUP(Tabela11[[#This Row],[Tag do Cabo]],BD!A:AJ,32,0)</f>
        <v>CCPxCCU</v>
      </c>
      <c r="I438" s="7" t="str">
        <f>VLOOKUP(Tabela11[[#This Row],[Tag do Cabo]],BD!A:AJ,11,0)</f>
        <v>CCP/3LV (GA-9312S)</v>
      </c>
      <c r="J438" s="3" t="str">
        <f>VLOOKUP(Tabela11[[#This Row],[Tag do Cabo]],BD!A:AJ,12,0)</f>
        <v>CCU/SIS PLC-74</v>
      </c>
      <c r="K438" s="391" t="s">
        <v>1109</v>
      </c>
      <c r="L438" s="391" t="s">
        <v>1658</v>
      </c>
      <c r="M438" s="3" t="str">
        <f>CONCATENATE(Tabela11[[#This Row],[Painel 1]]&amp;" "&amp;Tabela11[[#This Row],[Painel 2]])</f>
        <v>PAINEL 3LV SIS-CCU-102-B</v>
      </c>
      <c r="N438" s="157">
        <v>8</v>
      </c>
      <c r="O438" s="391">
        <f>COUNTIF(Tabela12[Tag Cabo],Tabela11[[#This Row],[Tag do Cabo]])</f>
        <v>8</v>
      </c>
      <c r="P438" s="391" t="str">
        <f>IF(Tabela11[[#This Row],[Qtde Ligações]]&lt;&gt;Tabela11[[#This Row],[Qtde Anilhas]],"Ver","Ok")</f>
        <v>Ok</v>
      </c>
      <c r="Q438" s="391">
        <f>VLOOKUP(Tabela11[[#This Row],[Tag do Cabo]],BD!A:F,6,0)</f>
        <v>1</v>
      </c>
      <c r="R438" s="391">
        <f>SUMIF('Lançamento de Cabos'!AE:AE,Tabela11[[#This Row],[Tag do Cabo]],'Lançamento de Cabos'!AG:AG)</f>
        <v>0</v>
      </c>
      <c r="S438" s="28">
        <f>Tabela11[[#This Row],[Ligações Realizadas]]/Tabela11[[#This Row],[Qtde Ligações]]</f>
        <v>0</v>
      </c>
      <c r="T438" s="269">
        <f>IF(Tabela11[[#This Row],[Ligações Realizadas]]/Tabela11[[#This Row],[Qtde Ligações]]=0,0,IF(Tabela11[[#This Row],[Ligações Realizadas]]/Tabela11[[#This Row],[Qtde Ligações]]=1,ROUND(N438/2,0),"Ver Painel"))</f>
        <v>0</v>
      </c>
      <c r="U438" s="23">
        <f>IF(Tabela11[[#This Row],[Ligações Realizadas]]/Tabela11[[#This Row],[Qtde Ligações]]=0,0,IF(Tabela11[[#This Row],[Ligações Realizadas]]/Tabela11[[#This Row],[Qtde Ligações]]=1,ROUND(N438/2,0),"Ver Painel"))</f>
        <v>0</v>
      </c>
      <c r="V438" s="222"/>
    </row>
    <row r="439" spans="1:22" hidden="1" x14ac:dyDescent="0.25">
      <c r="A439" s="34" t="s">
        <v>1236</v>
      </c>
      <c r="B439" s="391" t="str">
        <f>VLOOKUP(Tabela11[[#This Row],[Tag do Cabo]],BD!A:AJ,2,0)</f>
        <v>Controle</v>
      </c>
      <c r="C439" s="3" t="str">
        <f>VLOOKUP(Tabela11[[#This Row],[Tag do Cabo]],BD!A:AJ,5,0)</f>
        <v xml:space="preserve">8P#1,0mm²+SHI+SHC </v>
      </c>
      <c r="D439" s="391" t="s">
        <v>1533</v>
      </c>
      <c r="E439" s="391" t="str">
        <f>VLOOKUP(Tabela11[[#This Row],[Tag do Cabo]],BD!A:T,20,0)</f>
        <v>BK-SP54-0900A-LC-80-00186_00000</v>
      </c>
      <c r="F439" s="3" t="str">
        <f>IF(VLOOKUP(Tabela11[[#This Row],[Tag do Cabo]],BD!A:AJ,35,0)=0,"Pendente",VLOOKUP(Tabela11[[#This Row],[Tag do Cabo]],BD!A:AJ,35,0))</f>
        <v>BK-SP54-0900A-DI-80-01647</v>
      </c>
      <c r="G439" s="3" t="str">
        <f>IF(VLOOKUP(Tabela11[[#This Row],[Tag do Cabo]],BD!A:AJ,36,0)=0,"Pendente",VLOOKUP(Tabela11[[#This Row],[Tag do Cabo]],BD!A:AJ,36,0))</f>
        <v>13</v>
      </c>
      <c r="H439" s="391" t="str">
        <f>VLOOKUP(Tabela11[[#This Row],[Tag do Cabo]],BD!A:AJ,32,0)</f>
        <v>CCUxGA-9312/S</v>
      </c>
      <c r="I439" s="7" t="str">
        <f>VLOOKUP(Tabela11[[#This Row],[Tag do Cabo]],BD!A:AJ,11,0)</f>
        <v>CAMPO (GA-9312S)</v>
      </c>
      <c r="J439" s="3" t="str">
        <f>VLOOKUP(Tabela11[[#This Row],[Tag do Cabo]],BD!A:AJ,12,0)</f>
        <v>CCU/SIS PLC-74</v>
      </c>
      <c r="K439" s="391" t="s">
        <v>1547</v>
      </c>
      <c r="L439" s="391" t="s">
        <v>1658</v>
      </c>
      <c r="M439" s="3" t="str">
        <f>CONCATENATE(Tabela11[[#This Row],[Painel 1]]&amp;" "&amp;Tabela11[[#This Row],[Painel 2]])</f>
        <v>GA-9312S SIS-CCU-102-B</v>
      </c>
      <c r="N439" s="157">
        <v>24</v>
      </c>
      <c r="O439" s="391">
        <f>COUNTIF(Tabela12[Tag Cabo],Tabela11[[#This Row],[Tag do Cabo]])</f>
        <v>24</v>
      </c>
      <c r="P439" s="391" t="str">
        <f>IF(Tabela11[[#This Row],[Qtde Ligações]]&lt;&gt;Tabela11[[#This Row],[Qtde Anilhas]],"Ver","Ok")</f>
        <v>Ok</v>
      </c>
      <c r="Q439" s="391">
        <f>VLOOKUP(Tabela11[[#This Row],[Tag do Cabo]],BD!A:F,6,0)</f>
        <v>1</v>
      </c>
      <c r="R439" s="391">
        <f>SUMIF('Lançamento de Cabos'!AE:AE,Tabela11[[#This Row],[Tag do Cabo]],'Lançamento de Cabos'!AG:AG)</f>
        <v>0</v>
      </c>
      <c r="S439" s="28">
        <f>Tabela11[[#This Row],[Ligações Realizadas]]/Tabela11[[#This Row],[Qtde Ligações]]</f>
        <v>0</v>
      </c>
      <c r="T439" s="269">
        <f>IF(Tabela11[[#This Row],[Ligações Realizadas]]/Tabela11[[#This Row],[Qtde Ligações]]=0,0,IF(Tabela11[[#This Row],[Ligações Realizadas]]/Tabela11[[#This Row],[Qtde Ligações]]=1,ROUND(N439/2,0),"Ver Painel"))</f>
        <v>0</v>
      </c>
      <c r="U439" s="23">
        <f>IF(Tabela11[[#This Row],[Ligações Realizadas]]/Tabela11[[#This Row],[Qtde Ligações]]=0,0,IF(Tabela11[[#This Row],[Ligações Realizadas]]/Tabela11[[#This Row],[Qtde Ligações]]=1,ROUND(N439/2,0),"Ver Painel"))</f>
        <v>0</v>
      </c>
      <c r="V439" s="222"/>
    </row>
    <row r="440" spans="1:22" hidden="1" x14ac:dyDescent="0.25">
      <c r="A440" s="34" t="s">
        <v>1095</v>
      </c>
      <c r="B440" s="391" t="str">
        <f>VLOOKUP(Tabela11[[#This Row],[Tag do Cabo]],BD!A:AJ,2,0)</f>
        <v>Controle</v>
      </c>
      <c r="C440" s="3" t="str">
        <f>VLOOKUP(Tabela11[[#This Row],[Tag do Cabo]],BD!A:AJ,5,0)</f>
        <v xml:space="preserve">4P#1,0mm²+SHI+SHC </v>
      </c>
      <c r="D440" s="391" t="s">
        <v>1533</v>
      </c>
      <c r="E440" s="391" t="str">
        <f>VLOOKUP(Tabela11[[#This Row],[Tag do Cabo]],BD!A:T,20,0)</f>
        <v>BK-SP54-0900A-LC-80-00186_00000</v>
      </c>
      <c r="F440" s="3" t="str">
        <f>IF(VLOOKUP(Tabela11[[#This Row],[Tag do Cabo]],BD!A:AJ,35,0)=0,"Pendente",VLOOKUP(Tabela11[[#This Row],[Tag do Cabo]],BD!A:AJ,35,0))</f>
        <v>BK-SP54-0900A-DI-80-01647</v>
      </c>
      <c r="G440" s="3" t="str">
        <f>IF(VLOOKUP(Tabela11[[#This Row],[Tag do Cabo]],BD!A:AJ,36,0)=0,"Pendente",VLOOKUP(Tabela11[[#This Row],[Tag do Cabo]],BD!A:AJ,36,0))</f>
        <v>14</v>
      </c>
      <c r="H440" s="391" t="str">
        <f>VLOOKUP(Tabela11[[#This Row],[Tag do Cabo]],BD!A:AJ,32,0)</f>
        <v>CCPxCCU</v>
      </c>
      <c r="I440" s="7" t="str">
        <f>VLOOKUP(Tabela11[[#This Row],[Tag do Cabo]],BD!A:AJ,11,0)</f>
        <v>CCP/3LV (GA-9312S)</v>
      </c>
      <c r="J440" s="3" t="str">
        <f>VLOOKUP(Tabela11[[#This Row],[Tag do Cabo]],BD!A:AJ,12,0)</f>
        <v>CCU/SIS PLC-74</v>
      </c>
      <c r="K440" s="391" t="s">
        <v>1109</v>
      </c>
      <c r="L440" s="391" t="s">
        <v>1659</v>
      </c>
      <c r="M440" s="3" t="str">
        <f>CONCATENATE(Tabela11[[#This Row],[Painel 1]]&amp;" "&amp;Tabela11[[#This Row],[Painel 2]])</f>
        <v>PAINEL 3LV SIS-CCU-102-C</v>
      </c>
      <c r="N440" s="157">
        <v>8</v>
      </c>
      <c r="O440" s="391">
        <f>COUNTIF(Tabela12[Tag Cabo],Tabela11[[#This Row],[Tag do Cabo]])</f>
        <v>8</v>
      </c>
      <c r="P440" s="391" t="str">
        <f>IF(Tabela11[[#This Row],[Qtde Ligações]]&lt;&gt;Tabela11[[#This Row],[Qtde Anilhas]],"Ver","Ok")</f>
        <v>Ok</v>
      </c>
      <c r="Q440" s="391">
        <f>VLOOKUP(Tabela11[[#This Row],[Tag do Cabo]],BD!A:F,6,0)</f>
        <v>1</v>
      </c>
      <c r="R440" s="391">
        <f>SUMIF('Lançamento de Cabos'!AE:AE,Tabela11[[#This Row],[Tag do Cabo]],'Lançamento de Cabos'!AG:AG)</f>
        <v>0</v>
      </c>
      <c r="S440" s="28">
        <f>Tabela11[[#This Row],[Ligações Realizadas]]/Tabela11[[#This Row],[Qtde Ligações]]</f>
        <v>0</v>
      </c>
      <c r="T440" s="269">
        <f>IF(Tabela11[[#This Row],[Ligações Realizadas]]/Tabela11[[#This Row],[Qtde Ligações]]=0,0,IF(Tabela11[[#This Row],[Ligações Realizadas]]/Tabela11[[#This Row],[Qtde Ligações]]=1,ROUND(N440/2,0),"Ver Painel"))</f>
        <v>0</v>
      </c>
      <c r="U440" s="23">
        <f>IF(Tabela11[[#This Row],[Ligações Realizadas]]/Tabela11[[#This Row],[Qtde Ligações]]=0,0,IF(Tabela11[[#This Row],[Ligações Realizadas]]/Tabela11[[#This Row],[Qtde Ligações]]=1,ROUND(N440/2,0),"Ver Painel"))</f>
        <v>0</v>
      </c>
      <c r="V440" s="222"/>
    </row>
    <row r="441" spans="1:22" x14ac:dyDescent="0.25">
      <c r="A441" s="34" t="s">
        <v>1221</v>
      </c>
      <c r="B441" s="391" t="str">
        <f>VLOOKUP(Tabela11[[#This Row],[Tag do Cabo]],BD!A:AJ,2,0)</f>
        <v>Controle</v>
      </c>
      <c r="C441" s="3" t="str">
        <f>VLOOKUP(Tabela11[[#This Row],[Tag do Cabo]],BD!A:AJ,5,0)</f>
        <v xml:space="preserve">4P#1,0mm²+SHI+SHC </v>
      </c>
      <c r="D441" s="391" t="s">
        <v>1533</v>
      </c>
      <c r="E441" s="391" t="str">
        <f>VLOOKUP(Tabela11[[#This Row],[Tag do Cabo]],BD!A:T,20,0)</f>
        <v>BK-SP54-0900A-LC-80-00185_00000</v>
      </c>
      <c r="F441" s="3" t="str">
        <f>IF(VLOOKUP(Tabela11[[#This Row],[Tag do Cabo]],BD!A:AJ,35,0)=0,"Pendente",VLOOKUP(Tabela11[[#This Row],[Tag do Cabo]],BD!A:AJ,35,0))</f>
        <v>BK-SP54-0900A-DI-80-01647</v>
      </c>
      <c r="G441" s="3" t="str">
        <f>IF(VLOOKUP(Tabela11[[#This Row],[Tag do Cabo]],BD!A:AJ,36,0)=0,"Pendente",VLOOKUP(Tabela11[[#This Row],[Tag do Cabo]],BD!A:AJ,36,0))</f>
        <v>1</v>
      </c>
      <c r="H441" s="391" t="str">
        <f>VLOOKUP(Tabela11[[#This Row],[Tag do Cabo]],BD!A:AJ,32,0)</f>
        <v>CCUxGA-906E</v>
      </c>
      <c r="I441" s="7" t="str">
        <f>VLOOKUP(Tabela11[[#This Row],[Tag do Cabo]],BD!A:AJ,11,0)</f>
        <v>CCU/SIS PLC-73</v>
      </c>
      <c r="J441" s="3" t="str">
        <f>VLOOKUP(Tabela11[[#This Row],[Tag do Cabo]],BD!A:AJ,12,0)</f>
        <v>PL-90-127X - GA-906E</v>
      </c>
      <c r="K441" s="391" t="s">
        <v>1660</v>
      </c>
      <c r="L441" s="391" t="s">
        <v>1657</v>
      </c>
      <c r="M441" s="3" t="str">
        <f>CONCATENATE(Tabela11[[#This Row],[Painel 1]]&amp;" "&amp;Tabela11[[#This Row],[Painel 2]])</f>
        <v>SIS-CCU-101-B PL-90-127X</v>
      </c>
      <c r="N441" s="157">
        <v>8</v>
      </c>
      <c r="O441" s="391">
        <f>COUNTIF(Tabela12[Tag Cabo],Tabela11[[#This Row],[Tag do Cabo]])</f>
        <v>8</v>
      </c>
      <c r="P441" s="391" t="str">
        <f>IF(Tabela11[[#This Row],[Qtde Ligações]]&lt;&gt;Tabela11[[#This Row],[Qtde Anilhas]],"Ver","Ok")</f>
        <v>Ok</v>
      </c>
      <c r="Q441" s="391">
        <f>VLOOKUP(Tabela11[[#This Row],[Tag do Cabo]],BD!A:F,6,0)</f>
        <v>1</v>
      </c>
      <c r="R441" s="391">
        <f>SUMIF('Lançamento de Cabos'!AE:AE,Tabela11[[#This Row],[Tag do Cabo]],'Lançamento de Cabos'!AG:AG)</f>
        <v>0</v>
      </c>
      <c r="S441" s="28">
        <f>Tabela11[[#This Row],[Ligações Realizadas]]/Tabela11[[#This Row],[Qtde Ligações]]</f>
        <v>0</v>
      </c>
      <c r="T441" s="269">
        <f>IF(Tabela11[[#This Row],[Ligações Realizadas]]/Tabela11[[#This Row],[Qtde Ligações]]=0,0,IF(Tabela11[[#This Row],[Ligações Realizadas]]/Tabela11[[#This Row],[Qtde Ligações]]=1,ROUND(N441/2,0),"Ver Painel"))</f>
        <v>0</v>
      </c>
      <c r="U441" s="23">
        <f>IF(Tabela11[[#This Row],[Ligações Realizadas]]/Tabela11[[#This Row],[Qtde Ligações]]=0,0,IF(Tabela11[[#This Row],[Ligações Realizadas]]/Tabela11[[#This Row],[Qtde Ligações]]=1,ROUND(N441/2,0),"Ver Painel"))</f>
        <v>0</v>
      </c>
      <c r="V441" s="222"/>
    </row>
    <row r="442" spans="1:22" x14ac:dyDescent="0.25">
      <c r="A442" s="34" t="s">
        <v>1223</v>
      </c>
      <c r="B442" s="391" t="str">
        <f>VLOOKUP(Tabela11[[#This Row],[Tag do Cabo]],BD!A:AJ,2,0)</f>
        <v>Controle</v>
      </c>
      <c r="C442" s="3" t="str">
        <f>VLOOKUP(Tabela11[[#This Row],[Tag do Cabo]],BD!A:AJ,5,0)</f>
        <v xml:space="preserve">4P#1,0mm²+SHI+SHC </v>
      </c>
      <c r="D442" s="391" t="s">
        <v>1533</v>
      </c>
      <c r="E442" s="391" t="str">
        <f>VLOOKUP(Tabela11[[#This Row],[Tag do Cabo]],BD!A:T,20,0)</f>
        <v>BK-SP54-0900A-LC-80-00185_00000</v>
      </c>
      <c r="F442" s="3" t="str">
        <f>IF(VLOOKUP(Tabela11[[#This Row],[Tag do Cabo]],BD!A:AJ,35,0)=0,"Pendente",VLOOKUP(Tabela11[[#This Row],[Tag do Cabo]],BD!A:AJ,35,0))</f>
        <v>BK-SP54-0900A-DI-80-01647</v>
      </c>
      <c r="G442" s="3" t="str">
        <f>IF(VLOOKUP(Tabela11[[#This Row],[Tag do Cabo]],BD!A:AJ,36,0)=0,"Pendente",VLOOKUP(Tabela11[[#This Row],[Tag do Cabo]],BD!A:AJ,36,0))</f>
        <v>4</v>
      </c>
      <c r="H442" s="391" t="str">
        <f>VLOOKUP(Tabela11[[#This Row],[Tag do Cabo]],BD!A:AJ,32,0)</f>
        <v>CCUxGA-906E</v>
      </c>
      <c r="I442" s="7" t="str">
        <f>VLOOKUP(Tabela11[[#This Row],[Tag do Cabo]],BD!A:AJ,11,0)</f>
        <v>CCU/SIS PLC-73</v>
      </c>
      <c r="J442" s="3" t="str">
        <f>VLOOKUP(Tabela11[[#This Row],[Tag do Cabo]],BD!A:AJ,12,0)</f>
        <v>PL-90-127X - GA-906E</v>
      </c>
      <c r="K442" s="391" t="s">
        <v>1660</v>
      </c>
      <c r="L442" s="391" t="s">
        <v>1657</v>
      </c>
      <c r="M442" s="3" t="str">
        <f>CONCATENATE(Tabela11[[#This Row],[Painel 1]]&amp;" "&amp;Tabela11[[#This Row],[Painel 2]])</f>
        <v>SIS-CCU-101-B PL-90-127X</v>
      </c>
      <c r="N442" s="157">
        <v>4</v>
      </c>
      <c r="O442" s="391">
        <f>COUNTIF(Tabela12[Tag Cabo],Tabela11[[#This Row],[Tag do Cabo]])</f>
        <v>4</v>
      </c>
      <c r="P442" s="391" t="str">
        <f>IF(Tabela11[[#This Row],[Qtde Ligações]]&lt;&gt;Tabela11[[#This Row],[Qtde Anilhas]],"Ver","Ok")</f>
        <v>Ok</v>
      </c>
      <c r="Q442" s="391">
        <f>VLOOKUP(Tabela11[[#This Row],[Tag do Cabo]],BD!A:F,6,0)</f>
        <v>1</v>
      </c>
      <c r="R442" s="391">
        <f>SUMIF('Lançamento de Cabos'!AE:AE,Tabela11[[#This Row],[Tag do Cabo]],'Lançamento de Cabos'!AG:AG)</f>
        <v>0</v>
      </c>
      <c r="S442" s="28">
        <f>Tabela11[[#This Row],[Ligações Realizadas]]/Tabela11[[#This Row],[Qtde Ligações]]</f>
        <v>0</v>
      </c>
      <c r="T442" s="269">
        <f>IF(Tabela11[[#This Row],[Ligações Realizadas]]/Tabela11[[#This Row],[Qtde Ligações]]=0,0,IF(Tabela11[[#This Row],[Ligações Realizadas]]/Tabela11[[#This Row],[Qtde Ligações]]=1,ROUND(N442/2,0),"Ver Painel"))</f>
        <v>0</v>
      </c>
      <c r="U442" s="23">
        <f>IF(Tabela11[[#This Row],[Ligações Realizadas]]/Tabela11[[#This Row],[Qtde Ligações]]=0,0,IF(Tabela11[[#This Row],[Ligações Realizadas]]/Tabela11[[#This Row],[Qtde Ligações]]=1,ROUND(N442/2,0),"Ver Painel"))</f>
        <v>0</v>
      </c>
      <c r="V442" s="222"/>
    </row>
    <row r="443" spans="1:22" hidden="1" x14ac:dyDescent="0.25">
      <c r="A443" s="34" t="s">
        <v>1079</v>
      </c>
      <c r="B443" s="391" t="str">
        <f>VLOOKUP(Tabela11[[#This Row],[Tag do Cabo]],BD!A:AJ,2,0)</f>
        <v>Controle</v>
      </c>
      <c r="C443" s="3" t="str">
        <f>VLOOKUP(Tabela11[[#This Row],[Tag do Cabo]],BD!A:AJ,5,0)</f>
        <v>8P#1,0mm²+SHI+SHC (N.I.S.)</v>
      </c>
      <c r="D443" s="391" t="s">
        <v>1542</v>
      </c>
      <c r="E443" s="391" t="str">
        <f>VLOOKUP(Tabela11[[#This Row],[Tag do Cabo]],BD!A:T,20,0)</f>
        <v>BK-SP54-00350-LC-80-00006_00000</v>
      </c>
      <c r="F443" s="3" t="str">
        <f>IF(VLOOKUP(Tabela11[[#This Row],[Tag do Cabo]],BD!A:AJ,35,0)=0,"Pendente",VLOOKUP(Tabela11[[#This Row],[Tag do Cabo]],BD!A:AJ,35,0))</f>
        <v>BK-SP54-00350-LC-80-00006_00000</v>
      </c>
      <c r="G443" s="3" t="str">
        <f>IF(VLOOKUP(Tabela11[[#This Row],[Tag do Cabo]],BD!A:AJ,36,0)=0,"Pendente",VLOOKUP(Tabela11[[#This Row],[Tag do Cabo]],BD!A:AJ,36,0))</f>
        <v>27</v>
      </c>
      <c r="H443" s="391" t="str">
        <f>VLOOKUP(Tabela11[[#This Row],[Tag do Cabo]],BD!A:AJ,32,0)</f>
        <v>CCP</v>
      </c>
      <c r="I443" s="7" t="str">
        <f>VLOOKUP(Tabela11[[#This Row],[Tag do Cabo]],BD!A:AJ,11,0)</f>
        <v>PI-57 (SEÇÃO 2)</v>
      </c>
      <c r="J443" s="3" t="str">
        <f>VLOOKUP(Tabela11[[#This Row],[Tag do Cabo]],BD!A:AJ,12,0)</f>
        <v>SIS-CCP-103-B</v>
      </c>
      <c r="K443" s="391" t="s">
        <v>1592</v>
      </c>
      <c r="L443" s="391" t="s">
        <v>679</v>
      </c>
      <c r="M443" s="3" t="str">
        <f>CONCATENATE(Tabela11[[#This Row],[Painel 1]]&amp;" "&amp;Tabela11[[#This Row],[Painel 2]])</f>
        <v>PI-57 SIS-CCP-103-B</v>
      </c>
      <c r="N443" s="157">
        <v>20</v>
      </c>
      <c r="O443" s="391">
        <f>COUNTIF(Tabela12[Tag Cabo],Tabela11[[#This Row],[Tag do Cabo]])</f>
        <v>20</v>
      </c>
      <c r="P443" s="391" t="str">
        <f>IF(Tabela11[[#This Row],[Qtde Ligações]]&lt;&gt;Tabela11[[#This Row],[Qtde Anilhas]],"Ver","Ok")</f>
        <v>Ok</v>
      </c>
      <c r="Q443" s="391">
        <f>VLOOKUP(Tabela11[[#This Row],[Tag do Cabo]],BD!A:F,6,0)</f>
        <v>1</v>
      </c>
      <c r="R443" s="391">
        <f>SUMIF('Lançamento de Cabos'!AE:AE,Tabela11[[#This Row],[Tag do Cabo]],'Lançamento de Cabos'!AG:AG)</f>
        <v>0</v>
      </c>
      <c r="S443" s="28">
        <f>Tabela11[[#This Row],[Ligações Realizadas]]/Tabela11[[#This Row],[Qtde Ligações]]</f>
        <v>0</v>
      </c>
      <c r="T443" s="269">
        <f>IF(Tabela11[[#This Row],[Ligações Realizadas]]/Tabela11[[#This Row],[Qtde Ligações]]=0,0,IF(Tabela11[[#This Row],[Ligações Realizadas]]/Tabela11[[#This Row],[Qtde Ligações]]=1,ROUND(N443/2,0),"Ver Painel"))</f>
        <v>0</v>
      </c>
      <c r="U443" s="23">
        <f>IF(Tabela11[[#This Row],[Ligações Realizadas]]/Tabela11[[#This Row],[Qtde Ligações]]=0,0,IF(Tabela11[[#This Row],[Ligações Realizadas]]/Tabela11[[#This Row],[Qtde Ligações]]=1,ROUND(N443/2,0),"Ver Painel"))</f>
        <v>0</v>
      </c>
      <c r="V443" s="222"/>
    </row>
    <row r="444" spans="1:22" x14ac:dyDescent="0.25">
      <c r="A444" s="34" t="s">
        <v>1224</v>
      </c>
      <c r="B444" s="391" t="str">
        <f>VLOOKUP(Tabela11[[#This Row],[Tag do Cabo]],BD!A:AJ,2,0)</f>
        <v>Controle</v>
      </c>
      <c r="C444" s="3" t="str">
        <f>VLOOKUP(Tabela11[[#This Row],[Tag do Cabo]],BD!A:AJ,5,0)</f>
        <v xml:space="preserve">4P#1,0mm²+SHI+SHC </v>
      </c>
      <c r="D444" s="391" t="s">
        <v>1533</v>
      </c>
      <c r="E444" s="391" t="str">
        <f>VLOOKUP(Tabela11[[#This Row],[Tag do Cabo]],BD!A:T,20,0)</f>
        <v>BK-SP54-0900A-LC-80-00185_00000</v>
      </c>
      <c r="F444" s="3" t="str">
        <f>IF(VLOOKUP(Tabela11[[#This Row],[Tag do Cabo]],BD!A:AJ,35,0)=0,"Pendente",VLOOKUP(Tabela11[[#This Row],[Tag do Cabo]],BD!A:AJ,35,0))</f>
        <v>BK-SP54-0900A-DI-80-01647</v>
      </c>
      <c r="G444" s="3" t="str">
        <f>IF(VLOOKUP(Tabela11[[#This Row],[Tag do Cabo]],BD!A:AJ,36,0)=0,"Pendente",VLOOKUP(Tabela11[[#This Row],[Tag do Cabo]],BD!A:AJ,36,0))</f>
        <v>5</v>
      </c>
      <c r="H444" s="391" t="str">
        <f>VLOOKUP(Tabela11[[#This Row],[Tag do Cabo]],BD!A:AJ,32,0)</f>
        <v>CCUxGA-906E</v>
      </c>
      <c r="I444" s="7" t="str">
        <f>VLOOKUP(Tabela11[[#This Row],[Tag do Cabo]],BD!A:AJ,11,0)</f>
        <v>CCU/SIS PLC-73</v>
      </c>
      <c r="J444" s="3" t="str">
        <f>VLOOKUP(Tabela11[[#This Row],[Tag do Cabo]],BD!A:AJ,12,0)</f>
        <v>PL-90-127X - GA-906E</v>
      </c>
      <c r="K444" s="391" t="s">
        <v>1660</v>
      </c>
      <c r="L444" s="391" t="s">
        <v>1657</v>
      </c>
      <c r="M444" s="3" t="str">
        <f>CONCATENATE(Tabela11[[#This Row],[Painel 1]]&amp;" "&amp;Tabela11[[#This Row],[Painel 2]])</f>
        <v>SIS-CCU-101-B PL-90-127X</v>
      </c>
      <c r="N444" s="157">
        <v>4</v>
      </c>
      <c r="O444" s="391">
        <f>COUNTIF(Tabela12[Tag Cabo],Tabela11[[#This Row],[Tag do Cabo]])</f>
        <v>4</v>
      </c>
      <c r="P444" s="391" t="str">
        <f>IF(Tabela11[[#This Row],[Qtde Ligações]]&lt;&gt;Tabela11[[#This Row],[Qtde Anilhas]],"Ver","Ok")</f>
        <v>Ok</v>
      </c>
      <c r="Q444" s="391">
        <f>VLOOKUP(Tabela11[[#This Row],[Tag do Cabo]],BD!A:F,6,0)</f>
        <v>1</v>
      </c>
      <c r="R444" s="391">
        <f>SUMIF('Lançamento de Cabos'!AE:AE,Tabela11[[#This Row],[Tag do Cabo]],'Lançamento de Cabos'!AG:AG)</f>
        <v>0</v>
      </c>
      <c r="S444" s="28">
        <f>Tabela11[[#This Row],[Ligações Realizadas]]/Tabela11[[#This Row],[Qtde Ligações]]</f>
        <v>0</v>
      </c>
      <c r="T444" s="269">
        <f>IF(Tabela11[[#This Row],[Ligações Realizadas]]/Tabela11[[#This Row],[Qtde Ligações]]=0,0,IF(Tabela11[[#This Row],[Ligações Realizadas]]/Tabela11[[#This Row],[Qtde Ligações]]=1,ROUND(N444/2,0),"Ver Painel"))</f>
        <v>0</v>
      </c>
      <c r="U444" s="23">
        <f>IF(Tabela11[[#This Row],[Ligações Realizadas]]/Tabela11[[#This Row],[Qtde Ligações]]=0,0,IF(Tabela11[[#This Row],[Ligações Realizadas]]/Tabela11[[#This Row],[Qtde Ligações]]=1,ROUND(N444/2,0),"Ver Painel"))</f>
        <v>0</v>
      </c>
      <c r="V444" s="222"/>
    </row>
    <row r="445" spans="1:22" hidden="1" x14ac:dyDescent="0.25">
      <c r="A445" s="34" t="s">
        <v>1238</v>
      </c>
      <c r="B445" s="391" t="str">
        <f>VLOOKUP(Tabela11[[#This Row],[Tag do Cabo]],BD!A:AJ,2,0)</f>
        <v>Controle</v>
      </c>
      <c r="C445" s="3" t="str">
        <f>VLOOKUP(Tabela11[[#This Row],[Tag do Cabo]],BD!A:AJ,5,0)</f>
        <v>8P#1,0mm²+SHI+SHC</v>
      </c>
      <c r="D445" s="391" t="s">
        <v>1533</v>
      </c>
      <c r="E445" s="391" t="str">
        <f>VLOOKUP(Tabela11[[#This Row],[Tag do Cabo]],BD!A:T,20,0)</f>
        <v>BK-SP54-0900A-LC-80-00186_00000</v>
      </c>
      <c r="F445" s="3" t="str">
        <f>IF(VLOOKUP(Tabela11[[#This Row],[Tag do Cabo]],BD!A:AJ,35,0)=0,"Pendente",VLOOKUP(Tabela11[[#This Row],[Tag do Cabo]],BD!A:AJ,35,0))</f>
        <v>BK-SP54-0900A-DI-80-01647</v>
      </c>
      <c r="G445" s="3" t="str">
        <f>IF(VLOOKUP(Tabela11[[#This Row],[Tag do Cabo]],BD!A:AJ,36,0)=0,"Pendente",VLOOKUP(Tabela11[[#This Row],[Tag do Cabo]],BD!A:AJ,36,0))</f>
        <v>8</v>
      </c>
      <c r="H445" s="391" t="str">
        <f>VLOOKUP(Tabela11[[#This Row],[Tag do Cabo]],BD!A:AJ,32,0)</f>
        <v>CCUxGA-9312/S</v>
      </c>
      <c r="I445" s="7" t="str">
        <f>VLOOKUP(Tabela11[[#This Row],[Tag do Cabo]],BD!A:AJ,11,0)</f>
        <v>JBDI-90-111</v>
      </c>
      <c r="J445" s="3" t="str">
        <f>VLOOKUP(Tabela11[[#This Row],[Tag do Cabo]],BD!A:AJ,12,0)</f>
        <v>CCU/SIS PLC-74</v>
      </c>
      <c r="K445" s="391" t="s">
        <v>1233</v>
      </c>
      <c r="L445" s="391" t="s">
        <v>1658</v>
      </c>
      <c r="M445" s="3" t="str">
        <f>CONCATENATE(Tabela11[[#This Row],[Painel 1]]&amp;" "&amp;Tabela11[[#This Row],[Painel 2]])</f>
        <v>JBDI-90-111 SIS-CCU-102-B</v>
      </c>
      <c r="N445" s="157">
        <v>20</v>
      </c>
      <c r="O445" s="391">
        <f>COUNTIF(Tabela12[Tag Cabo],Tabela11[[#This Row],[Tag do Cabo]])</f>
        <v>20</v>
      </c>
      <c r="P445" s="391" t="str">
        <f>IF(Tabela11[[#This Row],[Qtde Ligações]]&lt;&gt;Tabela11[[#This Row],[Qtde Anilhas]],"Ver","Ok")</f>
        <v>Ok</v>
      </c>
      <c r="Q445" s="391">
        <f>VLOOKUP(Tabela11[[#This Row],[Tag do Cabo]],BD!A:F,6,0)</f>
        <v>1</v>
      </c>
      <c r="R445" s="391">
        <f>SUMIF('Lançamento de Cabos'!AE:AE,Tabela11[[#This Row],[Tag do Cabo]],'Lançamento de Cabos'!AG:AG)</f>
        <v>0</v>
      </c>
      <c r="S445" s="28">
        <f>Tabela11[[#This Row],[Ligações Realizadas]]/Tabela11[[#This Row],[Qtde Ligações]]</f>
        <v>0</v>
      </c>
      <c r="T445" s="269">
        <f>IF(Tabela11[[#This Row],[Ligações Realizadas]]/Tabela11[[#This Row],[Qtde Ligações]]=0,0,IF(Tabela11[[#This Row],[Ligações Realizadas]]/Tabela11[[#This Row],[Qtde Ligações]]=1,ROUND(N445/2,0),"Ver Painel"))</f>
        <v>0</v>
      </c>
      <c r="U445" s="23">
        <f>IF(Tabela11[[#This Row],[Ligações Realizadas]]/Tabela11[[#This Row],[Qtde Ligações]]=0,0,IF(Tabela11[[#This Row],[Ligações Realizadas]]/Tabela11[[#This Row],[Qtde Ligações]]=1,ROUND(N445/2,0),"Ver Painel"))</f>
        <v>0</v>
      </c>
      <c r="V445" s="222"/>
    </row>
    <row r="446" spans="1:22" hidden="1" x14ac:dyDescent="0.25">
      <c r="A446" s="34" t="s">
        <v>1216</v>
      </c>
      <c r="B446" s="391" t="str">
        <f>VLOOKUP(Tabela11[[#This Row],[Tag do Cabo]],BD!A:AJ,2,0)</f>
        <v>FO</v>
      </c>
      <c r="C446" s="3" t="str">
        <f>VLOOKUP(Tabela11[[#This Row],[Tag do Cabo]],BD!A:AJ,5,0)</f>
        <v>FIBRA OPTICA MM 3 PARES</v>
      </c>
      <c r="D446" s="391" t="s">
        <v>1533</v>
      </c>
      <c r="E446" s="391" t="str">
        <f>VLOOKUP(Tabela11[[#This Row],[Tag do Cabo]],BD!A:T,20,0)</f>
        <v>BK-SP54-0900A-LC-90-00004_00000</v>
      </c>
      <c r="F446" s="3" t="str">
        <f>IF(VLOOKUP(Tabela11[[#This Row],[Tag do Cabo]],BD!A:AJ,35,0)=0,"Pendente",VLOOKUP(Tabela11[[#This Row],[Tag do Cabo]],BD!A:AJ,35,0))</f>
        <v>BK-SP54-0900A-DI-90-00024</v>
      </c>
      <c r="G446" s="3" t="str">
        <f>IF(VLOOKUP(Tabela11[[#This Row],[Tag do Cabo]],BD!A:AJ,36,0)=0,"Pendente",VLOOKUP(Tabela11[[#This Row],[Tag do Cabo]],BD!A:AJ,36,0))</f>
        <v>6</v>
      </c>
      <c r="H446" s="391" t="str">
        <f>VLOOKUP(Tabela11[[#This Row],[Tag do Cabo]],BD!A:AJ,32,0)</f>
        <v>CCUxGA-906E</v>
      </c>
      <c r="I446" s="7" t="str">
        <f>VLOOKUP(Tabela11[[#This Row],[Tag do Cabo]],BD!A:AJ,11,0)</f>
        <v>CAMPO - GA-906E (PL-90-127)</v>
      </c>
      <c r="J446" s="3" t="str">
        <f>VLOOKUP(Tabela11[[#This Row],[Tag do Cabo]],BD!A:AJ,12,0)</f>
        <v>CCU - DELTA V - PI-95</v>
      </c>
      <c r="K446" s="391" t="s">
        <v>235</v>
      </c>
      <c r="L446" s="391" t="s">
        <v>1661</v>
      </c>
      <c r="M446" s="3" t="str">
        <f>CONCATENATE(Tabela11[[#This Row],[Painel 1]]&amp;" "&amp;Tabela11[[#This Row],[Painel 2]])</f>
        <v>GA-906E PI-95</v>
      </c>
      <c r="N446" s="157">
        <v>6</v>
      </c>
      <c r="O446" s="391" t="s">
        <v>92</v>
      </c>
      <c r="P446" s="391" t="s">
        <v>107</v>
      </c>
      <c r="Q446" s="391" t="str">
        <f>VLOOKUP(Tabela11[[#This Row],[Tag do Cabo]],BD!A:F,6,0)</f>
        <v>-</v>
      </c>
      <c r="R446" s="391">
        <f>SUMIF('Lançamento de Cabos'!AE:AE,Tabela11[[#This Row],[Tag do Cabo]],'Lançamento de Cabos'!AG:AG)</f>
        <v>0</v>
      </c>
      <c r="S446" s="28">
        <f>Tabela11[[#This Row],[Ligações Realizadas]]/Tabela11[[#This Row],[Qtde Ligações]]</f>
        <v>0</v>
      </c>
      <c r="T446" s="269">
        <f>IF(Tabela11[[#This Row],[Ligações Realizadas]]/Tabela11[[#This Row],[Qtde Ligações]]=0,0,IF(Tabela11[[#This Row],[Ligações Realizadas]]/Tabela11[[#This Row],[Qtde Ligações]]=1,ROUND(N446/2,0),"Ver Painel"))</f>
        <v>0</v>
      </c>
      <c r="U446" s="23">
        <f>IF(Tabela11[[#This Row],[Ligações Realizadas]]/Tabela11[[#This Row],[Qtde Ligações]]=0,0,IF(Tabela11[[#This Row],[Ligações Realizadas]]/Tabela11[[#This Row],[Qtde Ligações]]=1,ROUND(N446/2,0),"Ver Painel"))</f>
        <v>0</v>
      </c>
      <c r="V446" s="222"/>
    </row>
    <row r="447" spans="1:22" hidden="1" x14ac:dyDescent="0.25">
      <c r="A447" s="34" t="s">
        <v>1280</v>
      </c>
      <c r="B447" s="391" t="str">
        <f>VLOOKUP(Tabela11[[#This Row],[Tag do Cabo]],BD!A:AJ,2,0)</f>
        <v>FO</v>
      </c>
      <c r="C447" s="3" t="str">
        <f>VLOOKUP(Tabela11[[#This Row],[Tag do Cabo]],BD!A:AJ,5,0)</f>
        <v>FIBRA OPTICA MM 3 PARES</v>
      </c>
      <c r="D447" s="391" t="s">
        <v>1533</v>
      </c>
      <c r="E447" s="391" t="str">
        <f>VLOOKUP(Tabela11[[#This Row],[Tag do Cabo]],BD!A:T,20,0)</f>
        <v>BK-SP54-0900A-LC-90-00004_00000</v>
      </c>
      <c r="F447" s="3" t="str">
        <f>IF(VLOOKUP(Tabela11[[#This Row],[Tag do Cabo]],BD!A:AJ,35,0)=0,"Pendente",VLOOKUP(Tabela11[[#This Row],[Tag do Cabo]],BD!A:AJ,35,0))</f>
        <v>BK-SP54-0900A-DI-90-00024</v>
      </c>
      <c r="G447" s="3" t="str">
        <f>IF(VLOOKUP(Tabela11[[#This Row],[Tag do Cabo]],BD!A:AJ,36,0)=0,"Pendente",VLOOKUP(Tabela11[[#This Row],[Tag do Cabo]],BD!A:AJ,36,0))</f>
        <v>6</v>
      </c>
      <c r="H447" s="391" t="str">
        <f>VLOOKUP(Tabela11[[#This Row],[Tag do Cabo]],BD!A:AJ,32,0)</f>
        <v>COGxCCU</v>
      </c>
      <c r="I447" s="7" t="str">
        <f>VLOOKUP(Tabela11[[#This Row],[Tag do Cabo]],BD!A:AJ,11,0)</f>
        <v>SUBESTAÇÃO-COGERAÇÃO</v>
      </c>
      <c r="J447" s="3" t="str">
        <f>VLOOKUP(Tabela11[[#This Row],[Tag do Cabo]],BD!A:AJ,12,0)</f>
        <v>CCU - DELTA V - EIOC - PI-95</v>
      </c>
      <c r="K447" s="391"/>
      <c r="L447" s="391" t="s">
        <v>1661</v>
      </c>
      <c r="M447" s="3" t="str">
        <f>CONCATENATE(Tabela11[[#This Row],[Painel 1]]&amp;" "&amp;Tabela11[[#This Row],[Painel 2]])</f>
        <v xml:space="preserve"> PI-95</v>
      </c>
      <c r="N447" s="157">
        <v>6</v>
      </c>
      <c r="O447" s="391" t="s">
        <v>92</v>
      </c>
      <c r="P447" s="391" t="s">
        <v>107</v>
      </c>
      <c r="Q447" s="391" t="str">
        <f>VLOOKUP(Tabela11[[#This Row],[Tag do Cabo]],BD!A:F,6,0)</f>
        <v>-</v>
      </c>
      <c r="R447" s="391">
        <f>SUMIF('Lançamento de Cabos'!AE:AE,Tabela11[[#This Row],[Tag do Cabo]],'Lançamento de Cabos'!AG:AG)</f>
        <v>0</v>
      </c>
      <c r="S447" s="28">
        <f>Tabela11[[#This Row],[Ligações Realizadas]]/Tabela11[[#This Row],[Qtde Ligações]]</f>
        <v>0</v>
      </c>
      <c r="T447" s="269">
        <f>IF(Tabela11[[#This Row],[Ligações Realizadas]]/Tabela11[[#This Row],[Qtde Ligações]]=0,0,IF(Tabela11[[#This Row],[Ligações Realizadas]]/Tabela11[[#This Row],[Qtde Ligações]]=1,ROUND(N447/2,0),"Ver Painel"))</f>
        <v>0</v>
      </c>
      <c r="U447" s="23">
        <f>IF(Tabela11[[#This Row],[Ligações Realizadas]]/Tabela11[[#This Row],[Qtde Ligações]]=0,0,IF(Tabela11[[#This Row],[Ligações Realizadas]]/Tabela11[[#This Row],[Qtde Ligações]]=1,ROUND(N447/2,0),"Ver Painel"))</f>
        <v>0</v>
      </c>
      <c r="V447" s="222"/>
    </row>
    <row r="448" spans="1:22" hidden="1" x14ac:dyDescent="0.25">
      <c r="A448" s="34" t="s">
        <v>1285</v>
      </c>
      <c r="B448" s="391" t="str">
        <f>VLOOKUP(Tabela11[[#This Row],[Tag do Cabo]],BD!A:AJ,2,0)</f>
        <v>FO</v>
      </c>
      <c r="C448" s="3" t="str">
        <f>VLOOKUP(Tabela11[[#This Row],[Tag do Cabo]],BD!A:AJ,5,0)</f>
        <v>FIBRA OPTICA MM 3 PARES</v>
      </c>
      <c r="D448" s="391" t="s">
        <v>1533</v>
      </c>
      <c r="E448" s="391" t="str">
        <f>VLOOKUP(Tabela11[[#This Row],[Tag do Cabo]],BD!A:T,20,0)</f>
        <v>BK-SP54-0900A-LC-90-00004_00000</v>
      </c>
      <c r="F448" s="3" t="str">
        <f>IF(VLOOKUP(Tabela11[[#This Row],[Tag do Cabo]],BD!A:AJ,35,0)=0,"Pendente",VLOOKUP(Tabela11[[#This Row],[Tag do Cabo]],BD!A:AJ,35,0))</f>
        <v>BK-SP54-0900A-DI-90-00024</v>
      </c>
      <c r="G448" s="3" t="str">
        <f>IF(VLOOKUP(Tabela11[[#This Row],[Tag do Cabo]],BD!A:AJ,36,0)=0,"Pendente",VLOOKUP(Tabela11[[#This Row],[Tag do Cabo]],BD!A:AJ,36,0))</f>
        <v>6</v>
      </c>
      <c r="H448" s="391" t="str">
        <f>VLOOKUP(Tabela11[[#This Row],[Tag do Cabo]],BD!A:AJ,32,0)</f>
        <v>COGxCCU</v>
      </c>
      <c r="I448" s="7" t="str">
        <f>VLOOKUP(Tabela11[[#This Row],[Tag do Cabo]],BD!A:AJ,11,0)</f>
        <v>SUBESTAÇÃO-COGERAÇÃO</v>
      </c>
      <c r="J448" s="3" t="str">
        <f>VLOOKUP(Tabela11[[#This Row],[Tag do Cabo]],BD!A:AJ,12,0)</f>
        <v>CCU - DELTA V - EIOC - PI-95</v>
      </c>
      <c r="K448" s="391"/>
      <c r="L448" s="391" t="s">
        <v>1661</v>
      </c>
      <c r="M448" s="3" t="str">
        <f>CONCATENATE(Tabela11[[#This Row],[Painel 1]]&amp;" "&amp;Tabela11[[#This Row],[Painel 2]])</f>
        <v xml:space="preserve"> PI-95</v>
      </c>
      <c r="N448" s="157">
        <v>6</v>
      </c>
      <c r="O448" s="391" t="s">
        <v>92</v>
      </c>
      <c r="P448" s="391" t="s">
        <v>107</v>
      </c>
      <c r="Q448" s="391" t="str">
        <f>VLOOKUP(Tabela11[[#This Row],[Tag do Cabo]],BD!A:F,6,0)</f>
        <v>-</v>
      </c>
      <c r="R448" s="391">
        <f>SUMIF('Lançamento de Cabos'!AE:AE,Tabela11[[#This Row],[Tag do Cabo]],'Lançamento de Cabos'!AG:AG)</f>
        <v>0</v>
      </c>
      <c r="S448" s="28">
        <f>Tabela11[[#This Row],[Ligações Realizadas]]/Tabela11[[#This Row],[Qtde Ligações]]</f>
        <v>0</v>
      </c>
      <c r="T448" s="269">
        <f>IF(Tabela11[[#This Row],[Ligações Realizadas]]/Tabela11[[#This Row],[Qtde Ligações]]=0,0,IF(Tabela11[[#This Row],[Ligações Realizadas]]/Tabela11[[#This Row],[Qtde Ligações]]=1,ROUND(N448/2,0),"Ver Painel"))</f>
        <v>0</v>
      </c>
      <c r="U448" s="23">
        <f>IF(Tabela11[[#This Row],[Ligações Realizadas]]/Tabela11[[#This Row],[Qtde Ligações]]=0,0,IF(Tabela11[[#This Row],[Ligações Realizadas]]/Tabela11[[#This Row],[Qtde Ligações]]=1,ROUND(N448/2,0),"Ver Painel"))</f>
        <v>0</v>
      </c>
      <c r="V448" s="222"/>
    </row>
    <row r="449" spans="1:22" hidden="1" x14ac:dyDescent="0.25">
      <c r="A449" s="34" t="s">
        <v>1201</v>
      </c>
      <c r="B449" s="391" t="str">
        <f>VLOOKUP(Tabela11[[#This Row],[Tag do Cabo]],BD!A:AJ,2,0)</f>
        <v>Força</v>
      </c>
      <c r="C449" s="3" t="str">
        <f>VLOOKUP(Tabela11[[#This Row],[Tag do Cabo]],BD!A:AJ,5,0)</f>
        <v>1x1x3/C#4</v>
      </c>
      <c r="D449" s="391" t="s">
        <v>1533</v>
      </c>
      <c r="E449" s="391" t="str">
        <f>VLOOKUP(Tabela11[[#This Row],[Tag do Cabo]],BD!A:T,20,0)</f>
        <v>BK-SP54-0900A-LC-74-00001_00000</v>
      </c>
      <c r="F449" s="3" t="str">
        <f>IF(VLOOKUP(Tabela11[[#This Row],[Tag do Cabo]],BD!A:AJ,35,0)=0,"Pendente",VLOOKUP(Tabela11[[#This Row],[Tag do Cabo]],BD!A:AJ,35,0))</f>
        <v>BK-SP54-0900A-DI-90-00024</v>
      </c>
      <c r="G449" s="3" t="str">
        <f>IF(VLOOKUP(Tabela11[[#This Row],[Tag do Cabo]],BD!A:AJ,36,0)=0,"Pendente",VLOOKUP(Tabela11[[#This Row],[Tag do Cabo]],BD!A:AJ,36,0))</f>
        <v>5</v>
      </c>
      <c r="H449" s="391" t="str">
        <f>VLOOKUP(Tabela11[[#This Row],[Tag do Cabo]],BD!A:AJ,32,0)</f>
        <v>CCU</v>
      </c>
      <c r="I449" s="7" t="str">
        <f>VLOOKUP(Tabela11[[#This Row],[Tag do Cabo]],BD!A:AJ,11,0)</f>
        <v>PI-101</v>
      </c>
      <c r="J449" s="3" t="str">
        <f>VLOOKUP(Tabela11[[#This Row],[Tag do Cabo]],BD!A:AJ,12,0)</f>
        <v>ALIMENTAÇÃO PI-95</v>
      </c>
      <c r="K449" s="391" t="s">
        <v>1202</v>
      </c>
      <c r="L449" s="391" t="s">
        <v>1661</v>
      </c>
      <c r="M449" s="3" t="str">
        <f>CONCATENATE(Tabela11[[#This Row],[Painel 1]]&amp;" "&amp;Tabela11[[#This Row],[Painel 2]])</f>
        <v>PI-101 PI-95</v>
      </c>
      <c r="N449" s="157">
        <v>6</v>
      </c>
      <c r="O449" s="391">
        <f>COUNTIF(Tabela12[Tag Cabo],Tabela11[[#This Row],[Tag do Cabo]])</f>
        <v>0</v>
      </c>
      <c r="P449" s="391" t="str">
        <f>IF(Tabela11[[#This Row],[Qtde Ligações]]&lt;&gt;Tabela11[[#This Row],[Qtde Anilhas]],"Ver","Ok")</f>
        <v>Ver</v>
      </c>
      <c r="Q449" s="391">
        <f>VLOOKUP(Tabela11[[#This Row],[Tag do Cabo]],BD!A:F,6,0)</f>
        <v>4</v>
      </c>
      <c r="R449" s="391">
        <f>SUMIF('Lançamento de Cabos'!AE:AE,Tabela11[[#This Row],[Tag do Cabo]],'Lançamento de Cabos'!AG:AG)</f>
        <v>0</v>
      </c>
      <c r="S449" s="28">
        <f>Tabela11[[#This Row],[Ligações Realizadas]]/Tabela11[[#This Row],[Qtde Ligações]]</f>
        <v>0</v>
      </c>
      <c r="T449" s="269">
        <f>IF(Tabela11[[#This Row],[Ligações Realizadas]]/Tabela11[[#This Row],[Qtde Ligações]]=0,0,IF(Tabela11[[#This Row],[Ligações Realizadas]]/Tabela11[[#This Row],[Qtde Ligações]]=1,ROUND(N449/2,0),"Ver Painel"))</f>
        <v>0</v>
      </c>
      <c r="U449" s="23">
        <f>IF(Tabela11[[#This Row],[Ligações Realizadas]]/Tabela11[[#This Row],[Qtde Ligações]]=0,0,IF(Tabela11[[#This Row],[Ligações Realizadas]]/Tabela11[[#This Row],[Qtde Ligações]]=1,ROUND(N449/2,0),"Ver Painel"))</f>
        <v>0</v>
      </c>
      <c r="V449" s="219" t="s">
        <v>1662</v>
      </c>
    </row>
    <row r="450" spans="1:22" hidden="1" x14ac:dyDescent="0.25">
      <c r="A450" s="34" t="s">
        <v>1204</v>
      </c>
      <c r="B450" s="391" t="str">
        <f>VLOOKUP(Tabela11[[#This Row],[Tag do Cabo]],BD!A:AJ,2,0)</f>
        <v>Força</v>
      </c>
      <c r="C450" s="3" t="str">
        <f>VLOOKUP(Tabela11[[#This Row],[Tag do Cabo]],BD!A:AJ,5,0)</f>
        <v>1x1x3/C#4</v>
      </c>
      <c r="D450" s="391" t="s">
        <v>1533</v>
      </c>
      <c r="E450" s="391" t="str">
        <f>VLOOKUP(Tabela11[[#This Row],[Tag do Cabo]],BD!A:T,20,0)</f>
        <v>BK-SP54-0900A-LC-74-00001_00000</v>
      </c>
      <c r="F450" s="3" t="str">
        <f>IF(VLOOKUP(Tabela11[[#This Row],[Tag do Cabo]],BD!A:AJ,35,0)=0,"Pendente",VLOOKUP(Tabela11[[#This Row],[Tag do Cabo]],BD!A:AJ,35,0))</f>
        <v>BK-SP54-0900A-DI-90-00024</v>
      </c>
      <c r="G450" s="3" t="str">
        <f>IF(VLOOKUP(Tabela11[[#This Row],[Tag do Cabo]],BD!A:AJ,36,0)=0,"Pendente",VLOOKUP(Tabela11[[#This Row],[Tag do Cabo]],BD!A:AJ,36,0))</f>
        <v>5</v>
      </c>
      <c r="H450" s="391" t="str">
        <f>VLOOKUP(Tabela11[[#This Row],[Tag do Cabo]],BD!A:AJ,32,0)</f>
        <v>CCU</v>
      </c>
      <c r="I450" s="7" t="str">
        <f>VLOOKUP(Tabela11[[#This Row],[Tag do Cabo]],BD!A:AJ,11,0)</f>
        <v>PI-103</v>
      </c>
      <c r="J450" s="3" t="str">
        <f>VLOOKUP(Tabela11[[#This Row],[Tag do Cabo]],BD!A:AJ,12,0)</f>
        <v>ALIMENTAÇÃO PI-95</v>
      </c>
      <c r="K450" s="391" t="s">
        <v>1205</v>
      </c>
      <c r="L450" s="391" t="s">
        <v>1661</v>
      </c>
      <c r="M450" s="3" t="str">
        <f>CONCATENATE(Tabela11[[#This Row],[Painel 1]]&amp;" "&amp;Tabela11[[#This Row],[Painel 2]])</f>
        <v>PI-103 PI-95</v>
      </c>
      <c r="N450" s="157">
        <v>6</v>
      </c>
      <c r="O450" s="391">
        <f>COUNTIF(Tabela12[Tag Cabo],Tabela11[[#This Row],[Tag do Cabo]])</f>
        <v>0</v>
      </c>
      <c r="P450" s="391" t="str">
        <f>IF(Tabela11[[#This Row],[Qtde Ligações]]&lt;&gt;Tabela11[[#This Row],[Qtde Anilhas]],"Ver","Ok")</f>
        <v>Ver</v>
      </c>
      <c r="Q450" s="391">
        <f>VLOOKUP(Tabela11[[#This Row],[Tag do Cabo]],BD!A:F,6,0)</f>
        <v>4</v>
      </c>
      <c r="R450" s="391">
        <f>SUMIF('Lançamento de Cabos'!AE:AE,Tabela11[[#This Row],[Tag do Cabo]],'Lançamento de Cabos'!AG:AG)</f>
        <v>0</v>
      </c>
      <c r="S450" s="28">
        <f>Tabela11[[#This Row],[Ligações Realizadas]]/Tabela11[[#This Row],[Qtde Ligações]]</f>
        <v>0</v>
      </c>
      <c r="T450" s="269">
        <f>IF(Tabela11[[#This Row],[Ligações Realizadas]]/Tabela11[[#This Row],[Qtde Ligações]]=0,0,IF(Tabela11[[#This Row],[Ligações Realizadas]]/Tabela11[[#This Row],[Qtde Ligações]]=1,ROUND(N450/2,0),"Ver Painel"))</f>
        <v>0</v>
      </c>
      <c r="U450" s="23">
        <f>IF(Tabela11[[#This Row],[Ligações Realizadas]]/Tabela11[[#This Row],[Qtde Ligações]]=0,0,IF(Tabela11[[#This Row],[Ligações Realizadas]]/Tabela11[[#This Row],[Qtde Ligações]]=1,ROUND(N450/2,0),"Ver Painel"))</f>
        <v>0</v>
      </c>
      <c r="V450" s="219" t="s">
        <v>1663</v>
      </c>
    </row>
    <row r="451" spans="1:22" hidden="1" x14ac:dyDescent="0.25">
      <c r="A451" s="34" t="s">
        <v>1206</v>
      </c>
      <c r="B451" s="391" t="str">
        <f>VLOOKUP(Tabela11[[#This Row],[Tag do Cabo]],BD!A:AJ,2,0)</f>
        <v>Força</v>
      </c>
      <c r="C451" s="3" t="str">
        <f>VLOOKUP(Tabela11[[#This Row],[Tag do Cabo]],BD!A:AJ,5,0)</f>
        <v>1x1x2/C#16</v>
      </c>
      <c r="D451" s="391" t="s">
        <v>1533</v>
      </c>
      <c r="E451" s="391" t="str">
        <f>VLOOKUP(Tabela11[[#This Row],[Tag do Cabo]],BD!A:T,20,0)</f>
        <v>BK-SP54-0900A-LC-74-00001_00000</v>
      </c>
      <c r="F451" s="222" t="str">
        <f>IF(VLOOKUP(Tabela11[[#This Row],[Tag do Cabo]],BD!A:AJ,35,0)=0,"Pendente",VLOOKUP(Tabela11[[#This Row],[Tag do Cabo]],BD!A:AJ,35,0))</f>
        <v>BK-SP54-0900B-DI-74-00452</v>
      </c>
      <c r="G451" s="3" t="str">
        <f>IF(VLOOKUP(Tabela11[[#This Row],[Tag do Cabo]],BD!A:AJ,36,0)=0,"Pendente",VLOOKUP(Tabela11[[#This Row],[Tag do Cabo]],BD!A:AJ,36,0))</f>
        <v>3</v>
      </c>
      <c r="H451" s="391" t="str">
        <f>VLOOKUP(Tabela11[[#This Row],[Tag do Cabo]],BD!A:AJ,32,0)</f>
        <v>CCUxGA-906E</v>
      </c>
      <c r="I451" s="7" t="str">
        <f>VLOOKUP(Tabela11[[#This Row],[Tag do Cabo]],BD!A:AJ,11,0)</f>
        <v>CCU - PI-101</v>
      </c>
      <c r="J451" s="3" t="str">
        <f>VLOOKUP(Tabela11[[#This Row],[Tag do Cabo]],BD!A:AJ,12,0)</f>
        <v>PNL. CONTROL. MOTOR GAM-906E</v>
      </c>
      <c r="K451" s="391" t="s">
        <v>1202</v>
      </c>
      <c r="L451" s="391" t="s">
        <v>235</v>
      </c>
      <c r="M451" s="3" t="str">
        <f>CONCATENATE(Tabela11[[#This Row],[Painel 1]]&amp;" "&amp;Tabela11[[#This Row],[Painel 2]])</f>
        <v>PI-101 GA-906E</v>
      </c>
      <c r="N451" s="157">
        <v>4</v>
      </c>
      <c r="O451" s="391" t="s">
        <v>92</v>
      </c>
      <c r="P451" s="391" t="s">
        <v>107</v>
      </c>
      <c r="Q451" s="391">
        <f>VLOOKUP(Tabela11[[#This Row],[Tag do Cabo]],BD!A:F,6,0)</f>
        <v>16</v>
      </c>
      <c r="R451" s="391">
        <f>SUMIF('Lançamento de Cabos'!AE:AE,Tabela11[[#This Row],[Tag do Cabo]],'Lançamento de Cabos'!AG:AG)</f>
        <v>0</v>
      </c>
      <c r="S451" s="28">
        <f>Tabela11[[#This Row],[Ligações Realizadas]]/Tabela11[[#This Row],[Qtde Ligações]]</f>
        <v>0</v>
      </c>
      <c r="T451" s="269">
        <f>IF(Tabela11[[#This Row],[Ligações Realizadas]]/Tabela11[[#This Row],[Qtde Ligações]]=0,0,IF(Tabela11[[#This Row],[Ligações Realizadas]]/Tabela11[[#This Row],[Qtde Ligações]]=1,ROUND(N451/2,0),"Ver Painel"))</f>
        <v>0</v>
      </c>
      <c r="U451" s="23">
        <f>IF(Tabela11[[#This Row],[Ligações Realizadas]]/Tabela11[[#This Row],[Qtde Ligações]]=0,0,IF(Tabela11[[#This Row],[Ligações Realizadas]]/Tabela11[[#This Row],[Qtde Ligações]]=1,ROUND(N451/2,0),"Ver Painel"))</f>
        <v>0</v>
      </c>
      <c r="V451" s="261"/>
    </row>
    <row r="452" spans="1:22" hidden="1" x14ac:dyDescent="0.25">
      <c r="A452" s="34" t="s">
        <v>1212</v>
      </c>
      <c r="B452" s="391" t="str">
        <f>VLOOKUP(Tabela11[[#This Row],[Tag do Cabo]],BD!A:AJ,2,0)</f>
        <v>Força</v>
      </c>
      <c r="C452" s="3" t="str">
        <f>VLOOKUP(Tabela11[[#This Row],[Tag do Cabo]],BD!A:AJ,5,0)</f>
        <v>1x1x2/C#16</v>
      </c>
      <c r="D452" s="391" t="s">
        <v>1533</v>
      </c>
      <c r="E452" s="391" t="str">
        <f>VLOOKUP(Tabela11[[#This Row],[Tag do Cabo]],BD!A:T,20,0)</f>
        <v>BK-SP54-0900A-LC-74-00001_00000</v>
      </c>
      <c r="F452" s="222" t="str">
        <f>IF(VLOOKUP(Tabela11[[#This Row],[Tag do Cabo]],BD!A:AJ,35,0)=0,"Pendente",VLOOKUP(Tabela11[[#This Row],[Tag do Cabo]],BD!A:AJ,35,0))</f>
        <v>BK-SP54-0900B-DI-74-00452</v>
      </c>
      <c r="G452" s="3" t="str">
        <f>IF(VLOOKUP(Tabela11[[#This Row],[Tag do Cabo]],BD!A:AJ,36,0)=0,"Pendente",VLOOKUP(Tabela11[[#This Row],[Tag do Cabo]],BD!A:AJ,36,0))</f>
        <v>3</v>
      </c>
      <c r="H452" s="391" t="str">
        <f>VLOOKUP(Tabela11[[#This Row],[Tag do Cabo]],BD!A:AJ,32,0)</f>
        <v>CCUxGA-906E</v>
      </c>
      <c r="I452" s="7" t="str">
        <f>VLOOKUP(Tabela11[[#This Row],[Tag do Cabo]],BD!A:AJ,11,0)</f>
        <v>CCU - PI-103</v>
      </c>
      <c r="J452" s="3" t="str">
        <f>VLOOKUP(Tabela11[[#This Row],[Tag do Cabo]],BD!A:AJ,12,0)</f>
        <v>PNL. CONTROL. MOTOR GAM-906E</v>
      </c>
      <c r="K452" s="391" t="s">
        <v>1205</v>
      </c>
      <c r="L452" s="391" t="s">
        <v>235</v>
      </c>
      <c r="M452" s="3" t="str">
        <f>CONCATENATE(Tabela11[[#This Row],[Painel 1]]&amp;" "&amp;Tabela11[[#This Row],[Painel 2]])</f>
        <v>PI-103 GA-906E</v>
      </c>
      <c r="N452" s="157">
        <v>4</v>
      </c>
      <c r="O452" s="391" t="s">
        <v>92</v>
      </c>
      <c r="P452" s="391" t="s">
        <v>107</v>
      </c>
      <c r="Q452" s="391">
        <f>VLOOKUP(Tabela11[[#This Row],[Tag do Cabo]],BD!A:F,6,0)</f>
        <v>16</v>
      </c>
      <c r="R452" s="391">
        <f>SUMIF('Lançamento de Cabos'!AE:AE,Tabela11[[#This Row],[Tag do Cabo]],'Lançamento de Cabos'!AG:AG)</f>
        <v>0</v>
      </c>
      <c r="S452" s="28">
        <f>Tabela11[[#This Row],[Ligações Realizadas]]/Tabela11[[#This Row],[Qtde Ligações]]</f>
        <v>0</v>
      </c>
      <c r="T452" s="269">
        <f>IF(Tabela11[[#This Row],[Ligações Realizadas]]/Tabela11[[#This Row],[Qtde Ligações]]=0,0,IF(Tabela11[[#This Row],[Ligações Realizadas]]/Tabela11[[#This Row],[Qtde Ligações]]=1,ROUND(N452/2,0),"Ver Painel"))</f>
        <v>0</v>
      </c>
      <c r="U452" s="23">
        <f>IF(Tabela11[[#This Row],[Ligações Realizadas]]/Tabela11[[#This Row],[Qtde Ligações]]=0,0,IF(Tabela11[[#This Row],[Ligações Realizadas]]/Tabela11[[#This Row],[Qtde Ligações]]=1,ROUND(N452/2,0),"Ver Painel"))</f>
        <v>0</v>
      </c>
      <c r="V452" s="261"/>
    </row>
    <row r="453" spans="1:22" hidden="1" x14ac:dyDescent="0.25">
      <c r="A453" s="34" t="s">
        <v>1214</v>
      </c>
      <c r="B453" s="391" t="str">
        <f>VLOOKUP(Tabela11[[#This Row],[Tag do Cabo]],BD!A:AJ,2,0)</f>
        <v>Força</v>
      </c>
      <c r="C453" s="3" t="str">
        <f>VLOOKUP(Tabela11[[#This Row],[Tag do Cabo]],BD!A:AJ,5,0)</f>
        <v>1x1x2/C#16</v>
      </c>
      <c r="D453" s="391" t="s">
        <v>1533</v>
      </c>
      <c r="E453" s="391" t="str">
        <f>VLOOKUP(Tabela11[[#This Row],[Tag do Cabo]],BD!A:T,20,0)</f>
        <v>BK-SP54-0900A-LC-74-00001_00000</v>
      </c>
      <c r="F453" s="222" t="str">
        <f>IF(VLOOKUP(Tabela11[[#This Row],[Tag do Cabo]],BD!A:AJ,35,0)=0,"Pendente",VLOOKUP(Tabela11[[#This Row],[Tag do Cabo]],BD!A:AJ,35,0))</f>
        <v>BK-SP54-0900B-DI-74-00452</v>
      </c>
      <c r="G453" s="3" t="str">
        <f>IF(VLOOKUP(Tabela11[[#This Row],[Tag do Cabo]],BD!A:AJ,36,0)=0,"Pendente",VLOOKUP(Tabela11[[#This Row],[Tag do Cabo]],BD!A:AJ,36,0))</f>
        <v>3</v>
      </c>
      <c r="H453" s="391" t="str">
        <f>VLOOKUP(Tabela11[[#This Row],[Tag do Cabo]],BD!A:AJ,32,0)</f>
        <v>CCUxGA-906E</v>
      </c>
      <c r="I453" s="7" t="str">
        <f>VLOOKUP(Tabela11[[#This Row],[Tag do Cabo]],BD!A:AJ,11,0)</f>
        <v>CCU - PI-102</v>
      </c>
      <c r="J453" s="3" t="str">
        <f>VLOOKUP(Tabela11[[#This Row],[Tag do Cabo]],BD!A:AJ,12,0)</f>
        <v>PNL. CONTROL. MOTOR GAM-906E</v>
      </c>
      <c r="K453" s="391" t="s">
        <v>1664</v>
      </c>
      <c r="L453" s="391" t="s">
        <v>235</v>
      </c>
      <c r="M453" s="3" t="str">
        <f>CONCATENATE(Tabela11[[#This Row],[Painel 1]]&amp;" "&amp;Tabela11[[#This Row],[Painel 2]])</f>
        <v>PI-102 GA-906E</v>
      </c>
      <c r="N453" s="157">
        <v>4</v>
      </c>
      <c r="O453" s="391" t="s">
        <v>92</v>
      </c>
      <c r="P453" s="391" t="s">
        <v>107</v>
      </c>
      <c r="Q453" s="391">
        <f>VLOOKUP(Tabela11[[#This Row],[Tag do Cabo]],BD!A:F,6,0)</f>
        <v>16</v>
      </c>
      <c r="R453" s="391">
        <f>SUMIF('Lançamento de Cabos'!AE:AE,Tabela11[[#This Row],[Tag do Cabo]],'Lançamento de Cabos'!AG:AG)</f>
        <v>0</v>
      </c>
      <c r="S453" s="28">
        <f>Tabela11[[#This Row],[Ligações Realizadas]]/Tabela11[[#This Row],[Qtde Ligações]]</f>
        <v>0</v>
      </c>
      <c r="T453" s="269">
        <f>IF(Tabela11[[#This Row],[Ligações Realizadas]]/Tabela11[[#This Row],[Qtde Ligações]]=0,0,IF(Tabela11[[#This Row],[Ligações Realizadas]]/Tabela11[[#This Row],[Qtde Ligações]]=1,ROUND(N453/2,0),"Ver Painel"))</f>
        <v>0</v>
      </c>
      <c r="U453" s="23">
        <f>IF(Tabela11[[#This Row],[Ligações Realizadas]]/Tabela11[[#This Row],[Qtde Ligações]]=0,0,IF(Tabela11[[#This Row],[Ligações Realizadas]]/Tabela11[[#This Row],[Qtde Ligações]]=1,ROUND(N453/2,0),"Ver Painel"))</f>
        <v>0</v>
      </c>
      <c r="V453" s="261"/>
    </row>
    <row r="454" spans="1:22" hidden="1" x14ac:dyDescent="0.25">
      <c r="A454" s="34" t="s">
        <v>695</v>
      </c>
      <c r="B454" s="391" t="str">
        <f>VLOOKUP(Tabela11[[#This Row],[Tag do Cabo]],BD!A:AJ,2,0)</f>
        <v>Controle</v>
      </c>
      <c r="C454" s="3" t="str">
        <f>VLOOKUP(Tabela11[[#This Row],[Tag do Cabo]],BD!A:AJ,5,0)</f>
        <v>1P#1,0mm²+SHI (N.I.S.)</v>
      </c>
      <c r="D454" s="391" t="s">
        <v>1533</v>
      </c>
      <c r="E454" s="391" t="str">
        <f>VLOOKUP(Tabela11[[#This Row],[Tag do Cabo]],BD!A:T,20,0)</f>
        <v>BK-SP54-00200-LC-81-00001_00000</v>
      </c>
      <c r="F454" s="3" t="str">
        <f>IF(VLOOKUP(Tabela11[[#This Row],[Tag do Cabo]],BD!A:AJ,35,0)=0,"Pendente",VLOOKUP(Tabela11[[#This Row],[Tag do Cabo]],BD!A:AJ,35,0))</f>
        <v>SOK0898308</v>
      </c>
      <c r="G454" s="3" t="str">
        <f>IF(VLOOKUP(Tabela11[[#This Row],[Tag do Cabo]],BD!A:AJ,36,0)=0,"Pendente",VLOOKUP(Tabela11[[#This Row],[Tag do Cabo]],BD!A:AJ,36,0))</f>
        <v>43</v>
      </c>
      <c r="H454" s="391" t="str">
        <f>VLOOKUP(Tabela11[[#This Row],[Tag do Cabo]],BD!A:AJ,32,0)</f>
        <v>7HVxCCP</v>
      </c>
      <c r="I454" s="7" t="str">
        <f>VLOOKUP(Tabela11[[#This Row],[Tag do Cabo]],BD!A:AJ,11,0)</f>
        <v>7HV/TR-09A</v>
      </c>
      <c r="J454" s="3" t="str">
        <f>VLOOKUP(Tabela11[[#This Row],[Tag do Cabo]],BD!A:AJ,12,0)</f>
        <v>CCP/UCP LI-200A</v>
      </c>
      <c r="K454" s="391" t="s">
        <v>1553</v>
      </c>
      <c r="L454" s="391" t="s">
        <v>1648</v>
      </c>
      <c r="M454" s="3" t="str">
        <f>CONCATENATE(Tabela11[[#This Row],[Painel 1]]&amp;" "&amp;Tabela11[[#This Row],[Painel 2]])</f>
        <v>TR-09A LI-200A</v>
      </c>
      <c r="N454" s="157">
        <v>4</v>
      </c>
      <c r="O454" s="391">
        <f>COUNTIF(Tabela12[Tag Cabo],Tabela11[[#This Row],[Tag do Cabo]])</f>
        <v>4</v>
      </c>
      <c r="P454" s="391" t="str">
        <f>IF(Tabela11[[#This Row],[Qtde Ligações]]&lt;&gt;Tabela11[[#This Row],[Qtde Anilhas]],"Ver","Ok")</f>
        <v>Ok</v>
      </c>
      <c r="Q454" s="391">
        <f>VLOOKUP(Tabela11[[#This Row],[Tag do Cabo]],BD!A:F,6,0)</f>
        <v>1</v>
      </c>
      <c r="R454" s="391">
        <f>SUMIF('Lançamento de Cabos'!AE:AE,Tabela11[[#This Row],[Tag do Cabo]],'Lançamento de Cabos'!AG:AG)</f>
        <v>0</v>
      </c>
      <c r="S454" s="28">
        <f>Tabela11[[#This Row],[Ligações Realizadas]]/Tabela11[[#This Row],[Qtde Ligações]]</f>
        <v>0</v>
      </c>
      <c r="T454" s="269">
        <f>IF(Tabela11[[#This Row],[Ligações Realizadas]]/Tabela11[[#This Row],[Qtde Ligações]]=0,0,IF(Tabela11[[#This Row],[Ligações Realizadas]]/Tabela11[[#This Row],[Qtde Ligações]]=1,ROUND(N454/2,0),"Ver Painel"))</f>
        <v>0</v>
      </c>
      <c r="U454" s="23">
        <f>IF(Tabela11[[#This Row],[Ligações Realizadas]]/Tabela11[[#This Row],[Qtde Ligações]]=0,0,IF(Tabela11[[#This Row],[Ligações Realizadas]]/Tabela11[[#This Row],[Qtde Ligações]]=1,ROUND(N454/2,0),"Ver Painel"))</f>
        <v>0</v>
      </c>
      <c r="V454" s="222"/>
    </row>
    <row r="455" spans="1:22" hidden="1" x14ac:dyDescent="0.25">
      <c r="A455" s="34" t="s">
        <v>698</v>
      </c>
      <c r="B455" s="391" t="str">
        <f>VLOOKUP(Tabela11[[#This Row],[Tag do Cabo]],BD!A:AJ,2,0)</f>
        <v>Controle</v>
      </c>
      <c r="C455" s="3" t="str">
        <f>VLOOKUP(Tabela11[[#This Row],[Tag do Cabo]],BD!A:AJ,5,0)</f>
        <v>1P#1,0mm²+SHI (N.I.S.)</v>
      </c>
      <c r="D455" s="391" t="s">
        <v>1533</v>
      </c>
      <c r="E455" s="391" t="str">
        <f>VLOOKUP(Tabela11[[#This Row],[Tag do Cabo]],BD!A:T,20,0)</f>
        <v>BK-SP54-00200-LC-81-00001_00000</v>
      </c>
      <c r="F455" s="3" t="str">
        <f>IF(VLOOKUP(Tabela11[[#This Row],[Tag do Cabo]],BD!A:AJ,35,0)=0,"Pendente",VLOOKUP(Tabela11[[#This Row],[Tag do Cabo]],BD!A:AJ,35,0))</f>
        <v>SOK0898308</v>
      </c>
      <c r="G455" s="3" t="str">
        <f>IF(VLOOKUP(Tabela11[[#This Row],[Tag do Cabo]],BD!A:AJ,36,0)=0,"Pendente",VLOOKUP(Tabela11[[#This Row],[Tag do Cabo]],BD!A:AJ,36,0))</f>
        <v>43</v>
      </c>
      <c r="H455" s="391" t="str">
        <f>VLOOKUP(Tabela11[[#This Row],[Tag do Cabo]],BD!A:AJ,32,0)</f>
        <v>7HVxCCP</v>
      </c>
      <c r="I455" s="7" t="str">
        <f>VLOOKUP(Tabela11[[#This Row],[Tag do Cabo]],BD!A:AJ,11,0)</f>
        <v>7HV/TR-09B</v>
      </c>
      <c r="J455" s="3" t="str">
        <f>VLOOKUP(Tabela11[[#This Row],[Tag do Cabo]],BD!A:AJ,12,0)</f>
        <v>CCP/UCP LI-200A</v>
      </c>
      <c r="K455" s="391" t="s">
        <v>1554</v>
      </c>
      <c r="L455" s="391" t="s">
        <v>1648</v>
      </c>
      <c r="M455" s="3" t="str">
        <f>CONCATENATE(Tabela11[[#This Row],[Painel 1]]&amp;" "&amp;Tabela11[[#This Row],[Painel 2]])</f>
        <v>TR-09B LI-200A</v>
      </c>
      <c r="N455" s="157">
        <v>4</v>
      </c>
      <c r="O455" s="391">
        <f>COUNTIF(Tabela12[Tag Cabo],Tabela11[[#This Row],[Tag do Cabo]])</f>
        <v>4</v>
      </c>
      <c r="P455" s="391" t="str">
        <f>IF(Tabela11[[#This Row],[Qtde Ligações]]&lt;&gt;Tabela11[[#This Row],[Qtde Anilhas]],"Ver","Ok")</f>
        <v>Ok</v>
      </c>
      <c r="Q455" s="391">
        <f>VLOOKUP(Tabela11[[#This Row],[Tag do Cabo]],BD!A:F,6,0)</f>
        <v>1</v>
      </c>
      <c r="R455" s="391">
        <f>SUMIF('Lançamento de Cabos'!AE:AE,Tabela11[[#This Row],[Tag do Cabo]],'Lançamento de Cabos'!AG:AG)</f>
        <v>0</v>
      </c>
      <c r="S455" s="28">
        <f>Tabela11[[#This Row],[Ligações Realizadas]]/Tabela11[[#This Row],[Qtde Ligações]]</f>
        <v>0</v>
      </c>
      <c r="T455" s="269">
        <f>IF(Tabela11[[#This Row],[Ligações Realizadas]]/Tabela11[[#This Row],[Qtde Ligações]]=0,0,IF(Tabela11[[#This Row],[Ligações Realizadas]]/Tabela11[[#This Row],[Qtde Ligações]]=1,ROUND(N455/2,0),"Ver Painel"))</f>
        <v>0</v>
      </c>
      <c r="U455" s="23">
        <f>IF(Tabela11[[#This Row],[Ligações Realizadas]]/Tabela11[[#This Row],[Qtde Ligações]]=0,0,IF(Tabela11[[#This Row],[Ligações Realizadas]]/Tabela11[[#This Row],[Qtde Ligações]]=1,ROUND(N455/2,0),"Ver Painel"))</f>
        <v>0</v>
      </c>
      <c r="V455" s="222"/>
    </row>
    <row r="456" spans="1:22" hidden="1" x14ac:dyDescent="0.25">
      <c r="A456" s="34" t="s">
        <v>700</v>
      </c>
      <c r="B456" s="391" t="str">
        <f>VLOOKUP(Tabela11[[#This Row],[Tag do Cabo]],BD!A:AJ,2,0)</f>
        <v>Controle</v>
      </c>
      <c r="C456" s="3" t="str">
        <f>VLOOKUP(Tabela11[[#This Row],[Tag do Cabo]],BD!A:AJ,5,0)</f>
        <v>8P#1,0mm²+SHI+SHC (N.I.S.)</v>
      </c>
      <c r="D456" s="391" t="s">
        <v>1533</v>
      </c>
      <c r="E456" s="391" t="str">
        <f>VLOOKUP(Tabela11[[#This Row],[Tag do Cabo]],BD!A:T,20,0)</f>
        <v>BK-SP54-00200-LC-81-00001_00000</v>
      </c>
      <c r="F456" s="3" t="str">
        <f>IF(VLOOKUP(Tabela11[[#This Row],[Tag do Cabo]],BD!A:AJ,35,0)=0,"Pendente",VLOOKUP(Tabela11[[#This Row],[Tag do Cabo]],BD!A:AJ,35,0))</f>
        <v>SOK0898308</v>
      </c>
      <c r="G456" s="3" t="str">
        <f>IF(VLOOKUP(Tabela11[[#This Row],[Tag do Cabo]],BD!A:AJ,36,0)=0,"Pendente",VLOOKUP(Tabela11[[#This Row],[Tag do Cabo]],BD!A:AJ,36,0))</f>
        <v>43</v>
      </c>
      <c r="H456" s="391" t="str">
        <f>VLOOKUP(Tabela11[[#This Row],[Tag do Cabo]],BD!A:AJ,32,0)</f>
        <v>7HVxCCP</v>
      </c>
      <c r="I456" s="7" t="str">
        <f>VLOOKUP(Tabela11[[#This Row],[Tag do Cabo]],BD!A:AJ,11,0)</f>
        <v>7HV/BNC</v>
      </c>
      <c r="J456" s="3" t="str">
        <f>VLOOKUP(Tabela11[[#This Row],[Tag do Cabo]],BD!A:AJ,12,0)</f>
        <v>CCP/UCP LI-200A</v>
      </c>
      <c r="K456" s="391" t="s">
        <v>1637</v>
      </c>
      <c r="L456" s="391" t="s">
        <v>1648</v>
      </c>
      <c r="M456" s="3" t="str">
        <f>CONCATENATE(Tabela11[[#This Row],[Painel 1]]&amp;" "&amp;Tabela11[[#This Row],[Painel 2]])</f>
        <v>7HV-BNC LI-200A</v>
      </c>
      <c r="N456" s="157">
        <v>16</v>
      </c>
      <c r="O456" s="391">
        <f>COUNTIF(Tabela12[Tag Cabo],Tabela11[[#This Row],[Tag do Cabo]])</f>
        <v>16</v>
      </c>
      <c r="P456" s="391" t="str">
        <f>IF(Tabela11[[#This Row],[Qtde Ligações]]&lt;&gt;Tabela11[[#This Row],[Qtde Anilhas]],"Ver","Ok")</f>
        <v>Ok</v>
      </c>
      <c r="Q456" s="391">
        <f>VLOOKUP(Tabela11[[#This Row],[Tag do Cabo]],BD!A:F,6,0)</f>
        <v>1</v>
      </c>
      <c r="R456" s="391">
        <f>SUMIF('Lançamento de Cabos'!AE:AE,Tabela11[[#This Row],[Tag do Cabo]],'Lançamento de Cabos'!AG:AG)</f>
        <v>0</v>
      </c>
      <c r="S456" s="28">
        <f>Tabela11[[#This Row],[Ligações Realizadas]]/Tabela11[[#This Row],[Qtde Ligações]]</f>
        <v>0</v>
      </c>
      <c r="T456" s="269">
        <f>IF(Tabela11[[#This Row],[Ligações Realizadas]]/Tabela11[[#This Row],[Qtde Ligações]]=0,0,IF(Tabela11[[#This Row],[Ligações Realizadas]]/Tabela11[[#This Row],[Qtde Ligações]]=1,ROUND(N456/2,0),"Ver Painel"))</f>
        <v>0</v>
      </c>
      <c r="U456" s="23">
        <f>IF(Tabela11[[#This Row],[Ligações Realizadas]]/Tabela11[[#This Row],[Qtde Ligações]]=0,0,IF(Tabela11[[#This Row],[Ligações Realizadas]]/Tabela11[[#This Row],[Qtde Ligações]]=1,ROUND(N456/2,0),"Ver Painel"))</f>
        <v>0</v>
      </c>
      <c r="V456" s="222"/>
    </row>
    <row r="457" spans="1:22" hidden="1" x14ac:dyDescent="0.25">
      <c r="A457" s="34" t="s">
        <v>1195</v>
      </c>
      <c r="B457" s="391" t="str">
        <f>VLOOKUP(Tabela11[[#This Row],[Tag do Cabo]],BD!A:AJ,2,0)</f>
        <v>Rede</v>
      </c>
      <c r="C457" s="3" t="str">
        <f>VLOOKUP(Tabela11[[#This Row],[Tag do Cabo]],BD!A:AJ,5,0)</f>
        <v>CABO RS-485</v>
      </c>
      <c r="D457" s="391" t="s">
        <v>1533</v>
      </c>
      <c r="E457" s="391" t="str">
        <f>VLOOKUP(Tabela11[[#This Row],[Tag do Cabo]],BD!A:T,20,0)</f>
        <v>BK-SP54-0900A-LC-90-00004_00000</v>
      </c>
      <c r="F457" s="340" t="str">
        <f>IF(VLOOKUP(Tabela11[[#This Row],[Tag do Cabo]],BD!A:AJ,35,0)=0,"Pendente",VLOOKUP(Tabela11[[#This Row],[Tag do Cabo]],BD!A:AJ,35,0))</f>
        <v>BK-SP54-0900A-DI-90-00024</v>
      </c>
      <c r="G457" s="3" t="str">
        <f>IF(VLOOKUP(Tabela11[[#This Row],[Tag do Cabo]],BD!A:AJ,36,0)=0,"Pendente",VLOOKUP(Tabela11[[#This Row],[Tag do Cabo]],BD!A:AJ,36,0))</f>
        <v>6</v>
      </c>
      <c r="H457" s="391" t="str">
        <f>VLOOKUP(Tabela11[[#This Row],[Tag do Cabo]],BD!A:AJ,32,0)</f>
        <v>CCU</v>
      </c>
      <c r="I457" s="7" t="str">
        <f>VLOOKUP(Tabela11[[#This Row],[Tag do Cabo]],BD!A:AJ,11,0)</f>
        <v>PI-95 (CCU)</v>
      </c>
      <c r="J457" s="3" t="str">
        <f>VLOOKUP(Tabela11[[#This Row],[Tag do Cabo]],BD!A:AJ,12,0)</f>
        <v>BF-901</v>
      </c>
      <c r="K457" s="391" t="s">
        <v>1661</v>
      </c>
      <c r="L457" s="391" t="s">
        <v>1574</v>
      </c>
      <c r="M457" s="3" t="str">
        <f>CONCATENATE(Tabela11[[#This Row],[Painel 1]]&amp;" "&amp;Tabela11[[#This Row],[Painel 2]])</f>
        <v>PI-95 INSTRUMENTO</v>
      </c>
      <c r="N457" s="157">
        <v>2</v>
      </c>
      <c r="O457" s="391" t="s">
        <v>92</v>
      </c>
      <c r="P457" s="391" t="s">
        <v>107</v>
      </c>
      <c r="Q457" s="391" t="str">
        <f>VLOOKUP(Tabela11[[#This Row],[Tag do Cabo]],BD!A:F,6,0)</f>
        <v>-</v>
      </c>
      <c r="R457" s="391">
        <f>SUMIF('Lançamento de Cabos'!AE:AE,Tabela11[[#This Row],[Tag do Cabo]],'Lançamento de Cabos'!AG:AG)</f>
        <v>0</v>
      </c>
      <c r="S457" s="28">
        <f>Tabela11[[#This Row],[Ligações Realizadas]]/Tabela11[[#This Row],[Qtde Ligações]]</f>
        <v>0</v>
      </c>
      <c r="T457" s="269">
        <f>IF(Tabela11[[#This Row],[Ligações Realizadas]]/Tabela11[[#This Row],[Qtde Ligações]]=0,0,IF(Tabela11[[#This Row],[Ligações Realizadas]]/Tabela11[[#This Row],[Qtde Ligações]]=1,ROUND(N457/2,0),"Ver Painel"))</f>
        <v>0</v>
      </c>
      <c r="U457" s="23">
        <f>IF(Tabela11[[#This Row],[Ligações Realizadas]]/Tabela11[[#This Row],[Qtde Ligações]]=0,0,IF(Tabela11[[#This Row],[Ligações Realizadas]]/Tabela11[[#This Row],[Qtde Ligações]]=1,ROUND(N457/2,0),"Ver Painel"))</f>
        <v>0</v>
      </c>
      <c r="V457" s="219"/>
    </row>
    <row r="458" spans="1:22" hidden="1" x14ac:dyDescent="0.25">
      <c r="A458" s="34" t="s">
        <v>1377</v>
      </c>
      <c r="B458" s="391" t="str">
        <f>VLOOKUP(Tabela11[[#This Row],[Tag do Cabo]],BD!A:AJ,2,0)</f>
        <v>Controle</v>
      </c>
      <c r="C458" s="3" t="str">
        <f>VLOOKUP(Tabela11[[#This Row],[Tag do Cabo]],BD!A:AJ,5,0)</f>
        <v>1P#1,0mm²+SHI</v>
      </c>
      <c r="D458" s="391" t="s">
        <v>1533</v>
      </c>
      <c r="E458" s="391" t="str">
        <f>VLOOKUP(Tabela11[[#This Row],[Tag do Cabo]],BD!A:T,20,0)</f>
        <v>BK-SP54-0900A-LC-80-00187_00000</v>
      </c>
      <c r="F458" s="3" t="str">
        <f>IF(VLOOKUP(Tabela11[[#This Row],[Tag do Cabo]],BD!A:AJ,35,0)=0,"Pendente",VLOOKUP(Tabela11[[#This Row],[Tag do Cabo]],BD!A:AJ,35,0))</f>
        <v>BK-SP54-0900A-DI-80-01645/BK-SP54-0900A-DI-80-01646</v>
      </c>
      <c r="G458" s="3" t="str">
        <f>IF(VLOOKUP(Tabela11[[#This Row],[Tag do Cabo]],BD!A:AJ,36,0)=0,"Pendente",VLOOKUP(Tabela11[[#This Row],[Tag do Cabo]],BD!A:AJ,36,0))</f>
        <v>5/32</v>
      </c>
      <c r="H458" s="391" t="str">
        <f>VLOOKUP(Tabela11[[#This Row],[Tag do Cabo]],BD!A:AJ,32,0)</f>
        <v>GB-967A/B</v>
      </c>
      <c r="I458" s="7" t="str">
        <f>VLOOKUP(Tabela11[[#This Row],[Tag do Cabo]],BD!A:AJ,11,0)</f>
        <v>PI-110 (PEAK 150)</v>
      </c>
      <c r="J458" s="3" t="str">
        <f>VLOOKUP(Tabela11[[#This Row],[Tag do Cabo]],BD!A:AJ,12,0)</f>
        <v>JBDI-90-113</v>
      </c>
      <c r="K458" s="391" t="s">
        <v>1665</v>
      </c>
      <c r="L458" s="391" t="s">
        <v>1256</v>
      </c>
      <c r="M458" s="3" t="str">
        <f>CONCATENATE(Tabela11[[#This Row],[Painel 1]]&amp;" "&amp;Tabela11[[#This Row],[Painel 2]])</f>
        <v>PI-110 JBDI-90-113</v>
      </c>
      <c r="N458" s="157">
        <v>4</v>
      </c>
      <c r="O458" s="391">
        <f>COUNTIF(Tabela12[Tag Cabo],Tabela11[[#This Row],[Tag do Cabo]])</f>
        <v>4</v>
      </c>
      <c r="P458" s="391" t="str">
        <f>IF(Tabela11[[#This Row],[Qtde Ligações]]&lt;&gt;Tabela11[[#This Row],[Qtde Anilhas]],"Ver","Ok")</f>
        <v>Ok</v>
      </c>
      <c r="Q458" s="391">
        <f>VLOOKUP(Tabela11[[#This Row],[Tag do Cabo]],BD!A:F,6,0)</f>
        <v>1</v>
      </c>
      <c r="R458" s="391">
        <f>SUMIF('Lançamento de Cabos'!AE:AE,Tabela11[[#This Row],[Tag do Cabo]],'Lançamento de Cabos'!AG:AG)</f>
        <v>0</v>
      </c>
      <c r="S458" s="28">
        <f>Tabela11[[#This Row],[Ligações Realizadas]]/Tabela11[[#This Row],[Qtde Ligações]]</f>
        <v>0</v>
      </c>
      <c r="T458" s="269">
        <f>IF(Tabela11[[#This Row],[Ligações Realizadas]]/Tabela11[[#This Row],[Qtde Ligações]]=0,0,IF(Tabela11[[#This Row],[Ligações Realizadas]]/Tabela11[[#This Row],[Qtde Ligações]]=1,ROUND(N458/2,0),"Ver Painel"))</f>
        <v>0</v>
      </c>
      <c r="U458" s="23">
        <f>IF(Tabela11[[#This Row],[Ligações Realizadas]]/Tabela11[[#This Row],[Qtde Ligações]]=0,0,IF(Tabela11[[#This Row],[Ligações Realizadas]]/Tabela11[[#This Row],[Qtde Ligações]]=1,ROUND(N458/2,0),"Ver Painel"))</f>
        <v>0</v>
      </c>
      <c r="V458" s="222"/>
    </row>
    <row r="459" spans="1:22" hidden="1" x14ac:dyDescent="0.25">
      <c r="A459" s="34" t="s">
        <v>1380</v>
      </c>
      <c r="B459" s="391" t="str">
        <f>VLOOKUP(Tabela11[[#This Row],[Tag do Cabo]],BD!A:AJ,2,0)</f>
        <v>Controle</v>
      </c>
      <c r="C459" s="3" t="str">
        <f>VLOOKUP(Tabela11[[#This Row],[Tag do Cabo]],BD!A:AJ,5,0)</f>
        <v>1P#1,0mm²+SHI</v>
      </c>
      <c r="D459" s="391" t="s">
        <v>1533</v>
      </c>
      <c r="E459" s="391" t="str">
        <f>VLOOKUP(Tabela11[[#This Row],[Tag do Cabo]],BD!A:T,20,0)</f>
        <v>BK-SP54-0900A-LC-80-00187_00000</v>
      </c>
      <c r="F459" s="3" t="str">
        <f>IF(VLOOKUP(Tabela11[[#This Row],[Tag do Cabo]],BD!A:AJ,35,0)=0,"Pendente",VLOOKUP(Tabela11[[#This Row],[Tag do Cabo]],BD!A:AJ,35,0))</f>
        <v>BK-SP54-0900A-DI-80-01645/BK-SP54-0900A-DI-80-01646</v>
      </c>
      <c r="G459" s="3" t="str">
        <f>IF(VLOOKUP(Tabela11[[#This Row],[Tag do Cabo]],BD!A:AJ,36,0)=0,"Pendente",VLOOKUP(Tabela11[[#This Row],[Tag do Cabo]],BD!A:AJ,36,0))</f>
        <v>6/39</v>
      </c>
      <c r="H459" s="391" t="str">
        <f>VLOOKUP(Tabela11[[#This Row],[Tag do Cabo]],BD!A:AJ,32,0)</f>
        <v>GB-967A/B</v>
      </c>
      <c r="I459" s="7" t="str">
        <f>VLOOKUP(Tabela11[[#This Row],[Tag do Cabo]],BD!A:AJ,11,0)</f>
        <v>PI-110 (PEAK 150)</v>
      </c>
      <c r="J459" s="3" t="str">
        <f>VLOOKUP(Tabela11[[#This Row],[Tag do Cabo]],BD!A:AJ,12,0)</f>
        <v>JBDI-90-115</v>
      </c>
      <c r="K459" s="391" t="s">
        <v>1665</v>
      </c>
      <c r="L459" s="391" t="s">
        <v>1249</v>
      </c>
      <c r="M459" s="3" t="str">
        <f>CONCATENATE(Tabela11[[#This Row],[Painel 1]]&amp;" "&amp;Tabela11[[#This Row],[Painel 2]])</f>
        <v>PI-110 JBDI-90-115</v>
      </c>
      <c r="N459" s="157">
        <v>4</v>
      </c>
      <c r="O459" s="391">
        <f>COUNTIF(Tabela12[Tag Cabo],Tabela11[[#This Row],[Tag do Cabo]])</f>
        <v>4</v>
      </c>
      <c r="P459" s="391" t="str">
        <f>IF(Tabela11[[#This Row],[Qtde Ligações]]&lt;&gt;Tabela11[[#This Row],[Qtde Anilhas]],"Ver","Ok")</f>
        <v>Ok</v>
      </c>
      <c r="Q459" s="391">
        <f>VLOOKUP(Tabela11[[#This Row],[Tag do Cabo]],BD!A:F,6,0)</f>
        <v>1</v>
      </c>
      <c r="R459" s="391">
        <f>SUMIF('Lançamento de Cabos'!AE:AE,Tabela11[[#This Row],[Tag do Cabo]],'Lançamento de Cabos'!AG:AG)</f>
        <v>0</v>
      </c>
      <c r="S459" s="28">
        <f>Tabela11[[#This Row],[Ligações Realizadas]]/Tabela11[[#This Row],[Qtde Ligações]]</f>
        <v>0</v>
      </c>
      <c r="T459" s="269">
        <f>IF(Tabela11[[#This Row],[Ligações Realizadas]]/Tabela11[[#This Row],[Qtde Ligações]]=0,0,IF(Tabela11[[#This Row],[Ligações Realizadas]]/Tabela11[[#This Row],[Qtde Ligações]]=1,ROUND(N459/2,0),"Ver Painel"))</f>
        <v>0</v>
      </c>
      <c r="U459" s="23">
        <f>IF(Tabela11[[#This Row],[Ligações Realizadas]]/Tabela11[[#This Row],[Qtde Ligações]]=0,0,IF(Tabela11[[#This Row],[Ligações Realizadas]]/Tabela11[[#This Row],[Qtde Ligações]]=1,ROUND(N459/2,0),"Ver Painel"))</f>
        <v>0</v>
      </c>
      <c r="V459" s="222"/>
    </row>
    <row r="460" spans="1:22" hidden="1" x14ac:dyDescent="0.25">
      <c r="A460" s="34" t="s">
        <v>1344</v>
      </c>
      <c r="B460" s="391" t="str">
        <f>VLOOKUP(Tabela11[[#This Row],[Tag do Cabo]],BD!A:AJ,2,0)</f>
        <v>Controle</v>
      </c>
      <c r="C460" s="3" t="str">
        <f>VLOOKUP(Tabela11[[#This Row],[Tag do Cabo]],BD!A:AJ,5,0)</f>
        <v xml:space="preserve">1P#1,5mm²+SHI </v>
      </c>
      <c r="D460" s="391" t="s">
        <v>1533</v>
      </c>
      <c r="E460" s="391" t="str">
        <f>VLOOKUP(Tabela11[[#This Row],[Tag do Cabo]],BD!A:T,20,0)</f>
        <v>BK-SP54-0900A-LC-80-00186_00000</v>
      </c>
      <c r="F460" s="3" t="str">
        <f>IF(VLOOKUP(Tabela11[[#This Row],[Tag do Cabo]],BD!A:AJ,35,0)=0,"Pendente",VLOOKUP(Tabela11[[#This Row],[Tag do Cabo]],BD!A:AJ,35,0))</f>
        <v>BK-SP54-0900A-DI-80-01647</v>
      </c>
      <c r="G460" s="3" t="str">
        <f>IF(VLOOKUP(Tabela11[[#This Row],[Tag do Cabo]],BD!A:AJ,36,0)=0,"Pendente",VLOOKUP(Tabela11[[#This Row],[Tag do Cabo]],BD!A:AJ,36,0))</f>
        <v>8</v>
      </c>
      <c r="H460" s="391" t="str">
        <f>VLOOKUP(Tabela11[[#This Row],[Tag do Cabo]],BD!A:AJ,32,0)</f>
        <v>GA-9312/S</v>
      </c>
      <c r="I460" s="7" t="str">
        <f>VLOOKUP(Tabela11[[#This Row],[Tag do Cabo]],BD!A:AJ,11,0)</f>
        <v>ZSH-90240</v>
      </c>
      <c r="J460" s="3" t="str">
        <f>VLOOKUP(Tabela11[[#This Row],[Tag do Cabo]],BD!A:AJ,12,0)</f>
        <v>JBDI-90-111</v>
      </c>
      <c r="K460" s="391" t="s">
        <v>1574</v>
      </c>
      <c r="L460" s="391" t="s">
        <v>1233</v>
      </c>
      <c r="M460" s="3" t="str">
        <f>CONCATENATE(Tabela11[[#This Row],[Painel 1]]&amp;" "&amp;Tabela11[[#This Row],[Painel 2]])</f>
        <v>INSTRUMENTO JBDI-90-111</v>
      </c>
      <c r="N460" s="157">
        <v>4</v>
      </c>
      <c r="O460" s="391">
        <f>COUNTIF(Tabela12[Tag Cabo],Tabela11[[#This Row],[Tag do Cabo]])</f>
        <v>4</v>
      </c>
      <c r="P460" s="391" t="str">
        <f>IF(Tabela11[[#This Row],[Qtde Ligações]]&lt;&gt;Tabela11[[#This Row],[Qtde Anilhas]],"Ver","Ok")</f>
        <v>Ok</v>
      </c>
      <c r="Q460" s="391">
        <f>VLOOKUP(Tabela11[[#This Row],[Tag do Cabo]],BD!A:F,6,0)</f>
        <v>1.5</v>
      </c>
      <c r="R460" s="391">
        <f>SUMIF('Lançamento de Cabos'!AE:AE,Tabela11[[#This Row],[Tag do Cabo]],'Lançamento de Cabos'!AG:AG)</f>
        <v>0</v>
      </c>
      <c r="S460" s="28">
        <f>Tabela11[[#This Row],[Ligações Realizadas]]/Tabela11[[#This Row],[Qtde Ligações]]</f>
        <v>0</v>
      </c>
      <c r="T460" s="269">
        <f>IF(Tabela11[[#This Row],[Ligações Realizadas]]/Tabela11[[#This Row],[Qtde Ligações]]=0,0,IF(Tabela11[[#This Row],[Ligações Realizadas]]/Tabela11[[#This Row],[Qtde Ligações]]=1,ROUND(N460/2,0),"Ver Painel"))</f>
        <v>0</v>
      </c>
      <c r="U460" s="23">
        <f>IF(Tabela11[[#This Row],[Ligações Realizadas]]/Tabela11[[#This Row],[Qtde Ligações]]=0,0,IF(Tabela11[[#This Row],[Ligações Realizadas]]/Tabela11[[#This Row],[Qtde Ligações]]=1,ROUND(N460/2,0),"Ver Painel"))</f>
        <v>0</v>
      </c>
      <c r="V460" s="222"/>
    </row>
    <row r="461" spans="1:22" hidden="1" x14ac:dyDescent="0.25">
      <c r="A461" s="34" t="s">
        <v>1345</v>
      </c>
      <c r="B461" s="391" t="str">
        <f>VLOOKUP(Tabela11[[#This Row],[Tag do Cabo]],BD!A:AJ,2,0)</f>
        <v>Controle</v>
      </c>
      <c r="C461" s="3" t="str">
        <f>VLOOKUP(Tabela11[[#This Row],[Tag do Cabo]],BD!A:AJ,5,0)</f>
        <v xml:space="preserve">1P#1,5mm²+SHI </v>
      </c>
      <c r="D461" s="391" t="s">
        <v>1533</v>
      </c>
      <c r="E461" s="391" t="str">
        <f>VLOOKUP(Tabela11[[#This Row],[Tag do Cabo]],BD!A:T,20,0)</f>
        <v>BK-SP54-0900A-LC-80-00186_00000</v>
      </c>
      <c r="F461" s="3" t="str">
        <f>IF(VLOOKUP(Tabela11[[#This Row],[Tag do Cabo]],BD!A:AJ,35,0)=0,"Pendente",VLOOKUP(Tabela11[[#This Row],[Tag do Cabo]],BD!A:AJ,35,0))</f>
        <v>BK-SP54-0900A-DI-80-01647</v>
      </c>
      <c r="G461" s="3" t="str">
        <f>IF(VLOOKUP(Tabela11[[#This Row],[Tag do Cabo]],BD!A:AJ,36,0)=0,"Pendente",VLOOKUP(Tabela11[[#This Row],[Tag do Cabo]],BD!A:AJ,36,0))</f>
        <v>8</v>
      </c>
      <c r="H461" s="391" t="str">
        <f>VLOOKUP(Tabela11[[#This Row],[Tag do Cabo]],BD!A:AJ,32,0)</f>
        <v>GA-9312/S</v>
      </c>
      <c r="I461" s="7" t="str">
        <f>VLOOKUP(Tabela11[[#This Row],[Tag do Cabo]],BD!A:AJ,11,0)</f>
        <v>ZSL-90240</v>
      </c>
      <c r="J461" s="3" t="str">
        <f>VLOOKUP(Tabela11[[#This Row],[Tag do Cabo]],BD!A:AJ,12,0)</f>
        <v>JBDI-90-111</v>
      </c>
      <c r="K461" s="391" t="s">
        <v>1574</v>
      </c>
      <c r="L461" s="391" t="s">
        <v>1233</v>
      </c>
      <c r="M461" s="3" t="str">
        <f>CONCATENATE(Tabela11[[#This Row],[Painel 1]]&amp;" "&amp;Tabela11[[#This Row],[Painel 2]])</f>
        <v>INSTRUMENTO JBDI-90-111</v>
      </c>
      <c r="N461" s="157">
        <v>4</v>
      </c>
      <c r="O461" s="391">
        <f>COUNTIF(Tabela12[Tag Cabo],Tabela11[[#This Row],[Tag do Cabo]])</f>
        <v>4</v>
      </c>
      <c r="P461" s="391" t="str">
        <f>IF(Tabela11[[#This Row],[Qtde Ligações]]&lt;&gt;Tabela11[[#This Row],[Qtde Anilhas]],"Ver","Ok")</f>
        <v>Ok</v>
      </c>
      <c r="Q461" s="391">
        <f>VLOOKUP(Tabela11[[#This Row],[Tag do Cabo]],BD!A:F,6,0)</f>
        <v>1.5</v>
      </c>
      <c r="R461" s="391">
        <f>SUMIF('Lançamento de Cabos'!AE:AE,Tabela11[[#This Row],[Tag do Cabo]],'Lançamento de Cabos'!AG:AG)</f>
        <v>0</v>
      </c>
      <c r="S461" s="28">
        <f>Tabela11[[#This Row],[Ligações Realizadas]]/Tabela11[[#This Row],[Qtde Ligações]]</f>
        <v>0</v>
      </c>
      <c r="T461" s="269">
        <f>IF(Tabela11[[#This Row],[Ligações Realizadas]]/Tabela11[[#This Row],[Qtde Ligações]]=0,0,IF(Tabela11[[#This Row],[Ligações Realizadas]]/Tabela11[[#This Row],[Qtde Ligações]]=1,ROUND(N461/2,0),"Ver Painel"))</f>
        <v>0</v>
      </c>
      <c r="U461" s="23">
        <f>IF(Tabela11[[#This Row],[Ligações Realizadas]]/Tabela11[[#This Row],[Qtde Ligações]]=0,0,IF(Tabela11[[#This Row],[Ligações Realizadas]]/Tabela11[[#This Row],[Qtde Ligações]]=1,ROUND(N461/2,0),"Ver Painel"))</f>
        <v>0</v>
      </c>
      <c r="V461" s="222"/>
    </row>
    <row r="462" spans="1:22" hidden="1" x14ac:dyDescent="0.25">
      <c r="A462" s="168" t="s">
        <v>1420</v>
      </c>
      <c r="B462" s="391" t="str">
        <f>VLOOKUP(Tabela11[[#This Row],[Tag do Cabo]],BD!A:AJ,2,0)</f>
        <v>Força</v>
      </c>
      <c r="C462" s="24" t="str">
        <f>VLOOKUP(Tabela11[[#This Row],[Tag do Cabo]],BD!A:AJ,5,0)</f>
        <v>1x2/C#10</v>
      </c>
      <c r="D462" s="3"/>
      <c r="E462" s="23" t="str">
        <f>VLOOKUP(Tabela11[[#This Row],[Tag do Cabo]],BD!A:T,20,0)</f>
        <v>BK-SP54-0900A-LC-74-00001_00000</v>
      </c>
      <c r="F462" s="233" t="str">
        <f>IF(VLOOKUP(Tabela11[[#This Row],[Tag do Cabo]],BD!A:AJ,35,0)=0,"Pendente",VLOOKUP(Tabela11[[#This Row],[Tag do Cabo]],BD!A:AJ,35,0))</f>
        <v>Procurar diagrama</v>
      </c>
      <c r="G462" s="24" t="str">
        <f>IF(VLOOKUP(Tabela11[[#This Row],[Tag do Cabo]],BD!A:AJ,36,0)=0,"Pendente",VLOOKUP(Tabela11[[#This Row],[Tag do Cabo]],BD!A:AJ,36,0))</f>
        <v>Pendente</v>
      </c>
      <c r="H462" s="391" t="str">
        <f>VLOOKUP(Tabela11[[#This Row],[Tag do Cabo]],BD!A:AJ,32,0)</f>
        <v>1HVx1MV</v>
      </c>
      <c r="I462" s="7" t="str">
        <f>VLOOKUP(Tabela11[[#This Row],[Tag do Cabo]],BD!A:AJ,11,0)</f>
        <v>PAINEL 1MV</v>
      </c>
      <c r="J462" s="3" t="str">
        <f>VLOOKUP(Tabela11[[#This Row],[Tag do Cabo]],BD!A:AJ,12,0)</f>
        <v>1MV-GAINE IV</v>
      </c>
      <c r="K462" s="391" t="s">
        <v>196</v>
      </c>
      <c r="L462" s="391" t="s">
        <v>1538</v>
      </c>
      <c r="M462" s="3" t="str">
        <f>CONCATENATE(Tabela11[[#This Row],[Painel 1]]&amp;" "&amp;Tabela11[[#This Row],[Painel 2]])</f>
        <v>PAINEL 1MV GAINE IV</v>
      </c>
      <c r="N462" s="218">
        <v>4</v>
      </c>
      <c r="O462" s="23">
        <f>COUNTIF(Tabela12[Tag Cabo],Tabela11[[#This Row],[Tag do Cabo]])</f>
        <v>0</v>
      </c>
      <c r="P462" s="23" t="str">
        <f>IF(Tabela11[[#This Row],[Qtde Ligações]]&lt;&gt;Tabela11[[#This Row],[Qtde Anilhas]],"Ver","Ok")</f>
        <v>Ver</v>
      </c>
      <c r="Q462" s="23">
        <f>VLOOKUP(Tabela11[[#This Row],[Tag do Cabo]],BD!A:F,6,0)</f>
        <v>10</v>
      </c>
      <c r="R462" s="23">
        <f>SUMIF('Lançamento de Cabos'!AE:AE,Tabela11[[#This Row],[Tag do Cabo]],'Lançamento de Cabos'!AG:AG)</f>
        <v>0</v>
      </c>
      <c r="S462" s="28">
        <f>Tabela11[[#This Row],[Ligações Realizadas]]/Tabela11[[#This Row],[Qtde Ligações]]</f>
        <v>0</v>
      </c>
      <c r="T462" s="269">
        <f>IF(Tabela11[[#This Row],[Ligações Realizadas]]/Tabela11[[#This Row],[Qtde Ligações]]=0,0,IF(Tabela11[[#This Row],[Ligações Realizadas]]/Tabela11[[#This Row],[Qtde Ligações]]=1,ROUND(N462/2,0),"Ver Painel"))</f>
        <v>0</v>
      </c>
      <c r="U462" s="23">
        <f>IF(Tabela11[[#This Row],[Ligações Realizadas]]/Tabela11[[#This Row],[Qtde Ligações]]=0,0,IF(Tabela11[[#This Row],[Ligações Realizadas]]/Tabela11[[#This Row],[Qtde Ligações]]=1,ROUND(N462/2,0),"Ver Painel"))</f>
        <v>0</v>
      </c>
      <c r="V462" s="219" t="s">
        <v>1666</v>
      </c>
    </row>
    <row r="463" spans="1:22" hidden="1" x14ac:dyDescent="0.25">
      <c r="A463" s="168" t="s">
        <v>1423</v>
      </c>
      <c r="B463" s="391" t="str">
        <f>VLOOKUP(Tabela11[[#This Row],[Tag do Cabo]],BD!A:AJ,2,0)</f>
        <v>Força</v>
      </c>
      <c r="C463" s="24" t="str">
        <f>VLOOKUP(Tabela11[[#This Row],[Tag do Cabo]],BD!A:AJ,5,0)</f>
        <v>1x2/C#10</v>
      </c>
      <c r="D463" s="3"/>
      <c r="E463" s="23" t="str">
        <f>VLOOKUP(Tabela11[[#This Row],[Tag do Cabo]],BD!A:T,20,0)</f>
        <v>BK-SP54-0900A-LC-74-00001_00000</v>
      </c>
      <c r="F463" s="233" t="str">
        <f>IF(VLOOKUP(Tabela11[[#This Row],[Tag do Cabo]],BD!A:AJ,35,0)=0,"Pendente",VLOOKUP(Tabela11[[#This Row],[Tag do Cabo]],BD!A:AJ,35,0))</f>
        <v>Procurar diagrama</v>
      </c>
      <c r="G463" s="24" t="str">
        <f>IF(VLOOKUP(Tabela11[[#This Row],[Tag do Cabo]],BD!A:AJ,36,0)=0,"Pendente",VLOOKUP(Tabela11[[#This Row],[Tag do Cabo]],BD!A:AJ,36,0))</f>
        <v>Pendente</v>
      </c>
      <c r="H463" s="391" t="str">
        <f>VLOOKUP(Tabela11[[#This Row],[Tag do Cabo]],BD!A:AJ,32,0)</f>
        <v>1HVxGB-967B</v>
      </c>
      <c r="I463" s="7" t="str">
        <f>VLOOKUP(Tabela11[[#This Row],[Tag do Cabo]],BD!A:AJ,11,0)</f>
        <v>1MV-GAINE IV</v>
      </c>
      <c r="J463" s="3" t="str">
        <f>VLOOKUP(Tabela11[[#This Row],[Tag do Cabo]],BD!A:AJ,12,0)</f>
        <v>MOTOR GBM-967B (AQUECIMENTO)</v>
      </c>
      <c r="K463" s="391" t="s">
        <v>1538</v>
      </c>
      <c r="L463" s="391" t="s">
        <v>1539</v>
      </c>
      <c r="M463" s="3" t="str">
        <f>CONCATENATE(Tabela11[[#This Row],[Painel 1]]&amp;" "&amp;Tabela11[[#This Row],[Painel 2]])</f>
        <v>GAINE IV GB-967A</v>
      </c>
      <c r="N463" s="218">
        <v>4</v>
      </c>
      <c r="O463" s="23">
        <f>COUNTIF(Tabela12[Tag Cabo],Tabela11[[#This Row],[Tag do Cabo]])</f>
        <v>0</v>
      </c>
      <c r="P463" s="23" t="str">
        <f>IF(Tabela11[[#This Row],[Qtde Ligações]]&lt;&gt;Tabela11[[#This Row],[Qtde Anilhas]],"Ver","Ok")</f>
        <v>Ver</v>
      </c>
      <c r="Q463" s="23">
        <f>VLOOKUP(Tabela11[[#This Row],[Tag do Cabo]],BD!A:F,6,0)</f>
        <v>10</v>
      </c>
      <c r="R463" s="23">
        <f>SUMIF('Lançamento de Cabos'!AE:AE,Tabela11[[#This Row],[Tag do Cabo]],'Lançamento de Cabos'!AG:AG)</f>
        <v>0</v>
      </c>
      <c r="S463" s="28">
        <f>Tabela11[[#This Row],[Ligações Realizadas]]/Tabela11[[#This Row],[Qtde Ligações]]</f>
        <v>0</v>
      </c>
      <c r="T463" s="269">
        <f>IF(Tabela11[[#This Row],[Ligações Realizadas]]/Tabela11[[#This Row],[Qtde Ligações]]=0,0,IF(Tabela11[[#This Row],[Ligações Realizadas]]/Tabela11[[#This Row],[Qtde Ligações]]=1,ROUND(N463/2,0),"Ver Painel"))</f>
        <v>0</v>
      </c>
      <c r="U463" s="23">
        <f>IF(Tabela11[[#This Row],[Ligações Realizadas]]/Tabela11[[#This Row],[Qtde Ligações]]=0,0,IF(Tabela11[[#This Row],[Ligações Realizadas]]/Tabela11[[#This Row],[Qtde Ligações]]=1,ROUND(N463/2,0),"Ver Painel"))</f>
        <v>0</v>
      </c>
      <c r="V463" s="219" t="s">
        <v>1666</v>
      </c>
    </row>
    <row r="464" spans="1:22" hidden="1" x14ac:dyDescent="0.25">
      <c r="A464" s="168" t="s">
        <v>1425</v>
      </c>
      <c r="B464" s="391" t="str">
        <f>VLOOKUP(Tabela11[[#This Row],[Tag do Cabo]],BD!A:AJ,2,0)</f>
        <v>Força</v>
      </c>
      <c r="C464" s="24" t="str">
        <f>VLOOKUP(Tabela11[[#This Row],[Tag do Cabo]],BD!A:AJ,5,0)</f>
        <v>1x2/C#4</v>
      </c>
      <c r="D464" s="3"/>
      <c r="E464" s="23" t="str">
        <f>VLOOKUP(Tabela11[[#This Row],[Tag do Cabo]],BD!A:T,20,0)</f>
        <v>BK-SP54-0900A-LC-74-00001_00000</v>
      </c>
      <c r="F464" s="233" t="str">
        <f>IF(VLOOKUP(Tabela11[[#This Row],[Tag do Cabo]],BD!A:AJ,35,0)=0,"Pendente",VLOOKUP(Tabela11[[#This Row],[Tag do Cabo]],BD!A:AJ,35,0))</f>
        <v>Procurar diagrama</v>
      </c>
      <c r="G464" s="24" t="str">
        <f>IF(VLOOKUP(Tabela11[[#This Row],[Tag do Cabo]],BD!A:AJ,36,0)=0,"Pendente",VLOOKUP(Tabela11[[#This Row],[Tag do Cabo]],BD!A:AJ,36,0))</f>
        <v>Pendente</v>
      </c>
      <c r="H464" s="391" t="str">
        <f>VLOOKUP(Tabela11[[#This Row],[Tag do Cabo]],BD!A:AJ,32,0)</f>
        <v>1HVx1MV</v>
      </c>
      <c r="I464" s="7" t="str">
        <f>VLOOKUP(Tabela11[[#This Row],[Tag do Cabo]],BD!A:AJ,11,0)</f>
        <v>PAINEL 1MV</v>
      </c>
      <c r="J464" s="3" t="str">
        <f>VLOOKUP(Tabela11[[#This Row],[Tag do Cabo]],BD!A:AJ,12,0)</f>
        <v>1MV-GAINE IV</v>
      </c>
      <c r="K464" s="391" t="s">
        <v>196</v>
      </c>
      <c r="L464" s="391" t="s">
        <v>1538</v>
      </c>
      <c r="M464" s="3" t="str">
        <f>CONCATENATE(Tabela11[[#This Row],[Painel 1]]&amp;" "&amp;Tabela11[[#This Row],[Painel 2]])</f>
        <v>PAINEL 1MV GAINE IV</v>
      </c>
      <c r="N464" s="218">
        <v>4</v>
      </c>
      <c r="O464" s="23">
        <f>COUNTIF(Tabela12[Tag Cabo],Tabela11[[#This Row],[Tag do Cabo]])</f>
        <v>0</v>
      </c>
      <c r="P464" s="23" t="str">
        <f>IF(Tabela11[[#This Row],[Qtde Ligações]]&lt;&gt;Tabela11[[#This Row],[Qtde Anilhas]],"Ver","Ok")</f>
        <v>Ver</v>
      </c>
      <c r="Q464" s="23">
        <f>VLOOKUP(Tabela11[[#This Row],[Tag do Cabo]],BD!A:F,6,0)</f>
        <v>4</v>
      </c>
      <c r="R464" s="23">
        <f>SUMIF('Lançamento de Cabos'!AE:AE,Tabela11[[#This Row],[Tag do Cabo]],'Lançamento de Cabos'!AG:AG)</f>
        <v>0</v>
      </c>
      <c r="S464" s="28">
        <f>Tabela11[[#This Row],[Ligações Realizadas]]/Tabela11[[#This Row],[Qtde Ligações]]</f>
        <v>0</v>
      </c>
      <c r="T464" s="269">
        <f>IF(Tabela11[[#This Row],[Ligações Realizadas]]/Tabela11[[#This Row],[Qtde Ligações]]=0,0,IF(Tabela11[[#This Row],[Ligações Realizadas]]/Tabela11[[#This Row],[Qtde Ligações]]=1,ROUND(N464/2,0),"Ver Painel"))</f>
        <v>0</v>
      </c>
      <c r="U464" s="23">
        <f>IF(Tabela11[[#This Row],[Ligações Realizadas]]/Tabela11[[#This Row],[Qtde Ligações]]=0,0,IF(Tabela11[[#This Row],[Ligações Realizadas]]/Tabela11[[#This Row],[Qtde Ligações]]=1,ROUND(N464/2,0),"Ver Painel"))</f>
        <v>0</v>
      </c>
      <c r="V464" s="219" t="s">
        <v>1666</v>
      </c>
    </row>
    <row r="465" spans="1:22" hidden="1" x14ac:dyDescent="0.25">
      <c r="A465" s="168" t="s">
        <v>1426</v>
      </c>
      <c r="B465" s="391" t="str">
        <f>VLOOKUP(Tabela11[[#This Row],[Tag do Cabo]],BD!A:AJ,2,0)</f>
        <v>Força</v>
      </c>
      <c r="C465" s="24" t="str">
        <f>VLOOKUP(Tabela11[[#This Row],[Tag do Cabo]],BD!A:AJ,5,0)</f>
        <v>1x2/C#4</v>
      </c>
      <c r="D465" s="3"/>
      <c r="E465" s="23" t="str">
        <f>VLOOKUP(Tabela11[[#This Row],[Tag do Cabo]],BD!A:T,20,0)</f>
        <v>BK-SP54-0900A-LC-74-00001_00000</v>
      </c>
      <c r="F465" s="233" t="str">
        <f>IF(VLOOKUP(Tabela11[[#This Row],[Tag do Cabo]],BD!A:AJ,35,0)=0,"Pendente",VLOOKUP(Tabela11[[#This Row],[Tag do Cabo]],BD!A:AJ,35,0))</f>
        <v>Procurar diagrama</v>
      </c>
      <c r="G465" s="24" t="str">
        <f>IF(VLOOKUP(Tabela11[[#This Row],[Tag do Cabo]],BD!A:AJ,36,0)=0,"Pendente",VLOOKUP(Tabela11[[#This Row],[Tag do Cabo]],BD!A:AJ,36,0))</f>
        <v>Pendente</v>
      </c>
      <c r="H465" s="391" t="str">
        <f>VLOOKUP(Tabela11[[#This Row],[Tag do Cabo]],BD!A:AJ,32,0)</f>
        <v>1HVxGA-906E</v>
      </c>
      <c r="I465" s="7" t="str">
        <f>VLOOKUP(Tabela11[[#This Row],[Tag do Cabo]],BD!A:AJ,11,0)</f>
        <v>1MV-GAINE IV</v>
      </c>
      <c r="J465" s="3" t="str">
        <f>VLOOKUP(Tabela11[[#This Row],[Tag do Cabo]],BD!A:AJ,12,0)</f>
        <v>MOTOR GAM-906E (AQUECIMENTO)</v>
      </c>
      <c r="K465" s="391" t="s">
        <v>1538</v>
      </c>
      <c r="L465" s="391" t="s">
        <v>235</v>
      </c>
      <c r="M465" s="3" t="str">
        <f>CONCATENATE(Tabela11[[#This Row],[Painel 1]]&amp;" "&amp;Tabela11[[#This Row],[Painel 2]])</f>
        <v>GAINE IV GA-906E</v>
      </c>
      <c r="N465" s="218">
        <v>4</v>
      </c>
      <c r="O465" s="23">
        <f>COUNTIF(Tabela12[Tag Cabo],Tabela11[[#This Row],[Tag do Cabo]])</f>
        <v>0</v>
      </c>
      <c r="P465" s="23" t="str">
        <f>IF(Tabela11[[#This Row],[Qtde Ligações]]&lt;&gt;Tabela11[[#This Row],[Qtde Anilhas]],"Ver","Ok")</f>
        <v>Ver</v>
      </c>
      <c r="Q465" s="23">
        <f>VLOOKUP(Tabela11[[#This Row],[Tag do Cabo]],BD!A:F,6,0)</f>
        <v>4</v>
      </c>
      <c r="R465" s="23">
        <f>SUMIF('Lançamento de Cabos'!AE:AE,Tabela11[[#This Row],[Tag do Cabo]],'Lançamento de Cabos'!AG:AG)</f>
        <v>0</v>
      </c>
      <c r="S465" s="28">
        <f>Tabela11[[#This Row],[Ligações Realizadas]]/Tabela11[[#This Row],[Qtde Ligações]]</f>
        <v>0</v>
      </c>
      <c r="T465" s="269">
        <f>IF(Tabela11[[#This Row],[Ligações Realizadas]]/Tabela11[[#This Row],[Qtde Ligações]]=0,0,IF(Tabela11[[#This Row],[Ligações Realizadas]]/Tabela11[[#This Row],[Qtde Ligações]]=1,ROUND(N465/2,0),"Ver Painel"))</f>
        <v>0</v>
      </c>
      <c r="U465" s="23">
        <f>IF(Tabela11[[#This Row],[Ligações Realizadas]]/Tabela11[[#This Row],[Qtde Ligações]]=0,0,IF(Tabela11[[#This Row],[Ligações Realizadas]]/Tabela11[[#This Row],[Qtde Ligações]]=1,ROUND(N465/2,0),"Ver Painel"))</f>
        <v>0</v>
      </c>
      <c r="V465" s="219" t="s">
        <v>1666</v>
      </c>
    </row>
    <row r="466" spans="1:22" hidden="1" x14ac:dyDescent="0.25">
      <c r="A466" s="168" t="s">
        <v>1428</v>
      </c>
      <c r="B466" s="391" t="str">
        <f>VLOOKUP(Tabela11[[#This Row],[Tag do Cabo]],BD!A:AJ,2,0)</f>
        <v>Força</v>
      </c>
      <c r="C466" s="24" t="str">
        <f>VLOOKUP(Tabela11[[#This Row],[Tag do Cabo]],BD!A:AJ,5,0)</f>
        <v>1x2/C#10</v>
      </c>
      <c r="D466" s="3"/>
      <c r="E466" s="23" t="str">
        <f>VLOOKUP(Tabela11[[#This Row],[Tag do Cabo]],BD!A:T,20,0)</f>
        <v>BK-SP54-0900A-LC-74-00001_00000</v>
      </c>
      <c r="F466" s="233" t="str">
        <f>IF(VLOOKUP(Tabela11[[#This Row],[Tag do Cabo]],BD!A:AJ,35,0)=0,"Pendente",VLOOKUP(Tabela11[[#This Row],[Tag do Cabo]],BD!A:AJ,35,0))</f>
        <v>Procurar diagrama</v>
      </c>
      <c r="G466" s="24" t="str">
        <f>IF(VLOOKUP(Tabela11[[#This Row],[Tag do Cabo]],BD!A:AJ,36,0)=0,"Pendente",VLOOKUP(Tabela11[[#This Row],[Tag do Cabo]],BD!A:AJ,36,0))</f>
        <v>Pendente</v>
      </c>
      <c r="H466" s="391" t="str">
        <f>VLOOKUP(Tabela11[[#This Row],[Tag do Cabo]],BD!A:AJ,32,0)</f>
        <v>1HVx1MV</v>
      </c>
      <c r="I466" s="7" t="str">
        <f>VLOOKUP(Tabela11[[#This Row],[Tag do Cabo]],BD!A:AJ,11,0)</f>
        <v>PAINEL 1MV</v>
      </c>
      <c r="J466" s="3" t="str">
        <f>VLOOKUP(Tabela11[[#This Row],[Tag do Cabo]],BD!A:AJ,12,0)</f>
        <v>1MV-GAINE IV</v>
      </c>
      <c r="K466" s="391" t="s">
        <v>196</v>
      </c>
      <c r="L466" s="391" t="s">
        <v>1538</v>
      </c>
      <c r="M466" s="3" t="str">
        <f>CONCATENATE(Tabela11[[#This Row],[Painel 1]]&amp;" "&amp;Tabela11[[#This Row],[Painel 2]])</f>
        <v>PAINEL 1MV GAINE IV</v>
      </c>
      <c r="N466" s="218">
        <v>4</v>
      </c>
      <c r="O466" s="23">
        <f>COUNTIF(Tabela12[Tag Cabo],Tabela11[[#This Row],[Tag do Cabo]])</f>
        <v>0</v>
      </c>
      <c r="P466" s="23" t="str">
        <f>IF(Tabela11[[#This Row],[Qtde Ligações]]&lt;&gt;Tabela11[[#This Row],[Qtde Anilhas]],"Ver","Ok")</f>
        <v>Ver</v>
      </c>
      <c r="Q466" s="23">
        <f>VLOOKUP(Tabela11[[#This Row],[Tag do Cabo]],BD!A:F,6,0)</f>
        <v>10</v>
      </c>
      <c r="R466" s="23">
        <f>SUMIF('Lançamento de Cabos'!AE:AE,Tabela11[[#This Row],[Tag do Cabo]],'Lançamento de Cabos'!AG:AG)</f>
        <v>0</v>
      </c>
      <c r="S466" s="28">
        <f>Tabela11[[#This Row],[Ligações Realizadas]]/Tabela11[[#This Row],[Qtde Ligações]]</f>
        <v>0</v>
      </c>
      <c r="T466" s="269">
        <f>IF(Tabela11[[#This Row],[Ligações Realizadas]]/Tabela11[[#This Row],[Qtde Ligações]]=0,0,IF(Tabela11[[#This Row],[Ligações Realizadas]]/Tabela11[[#This Row],[Qtde Ligações]]=1,ROUND(N466/2,0),"Ver Painel"))</f>
        <v>0</v>
      </c>
      <c r="U466" s="23">
        <f>IF(Tabela11[[#This Row],[Ligações Realizadas]]/Tabela11[[#This Row],[Qtde Ligações]]=0,0,IF(Tabela11[[#This Row],[Ligações Realizadas]]/Tabela11[[#This Row],[Qtde Ligações]]=1,ROUND(N466/2,0),"Ver Painel"))</f>
        <v>0</v>
      </c>
      <c r="V466" s="219" t="s">
        <v>1666</v>
      </c>
    </row>
    <row r="467" spans="1:22" hidden="1" x14ac:dyDescent="0.25">
      <c r="A467" s="168" t="s">
        <v>1429</v>
      </c>
      <c r="B467" s="391" t="str">
        <f>VLOOKUP(Tabela11[[#This Row],[Tag do Cabo]],BD!A:AJ,2,0)</f>
        <v>Força</v>
      </c>
      <c r="C467" s="24" t="str">
        <f>VLOOKUP(Tabela11[[#This Row],[Tag do Cabo]],BD!A:AJ,5,0)</f>
        <v>1x2/C#10</v>
      </c>
      <c r="D467" s="3"/>
      <c r="E467" s="23" t="str">
        <f>VLOOKUP(Tabela11[[#This Row],[Tag do Cabo]],BD!A:T,20,0)</f>
        <v>BK-SP54-0900A-LC-74-00001_00000</v>
      </c>
      <c r="F467" s="233" t="str">
        <f>IF(VLOOKUP(Tabela11[[#This Row],[Tag do Cabo]],BD!A:AJ,35,0)=0,"Pendente",VLOOKUP(Tabela11[[#This Row],[Tag do Cabo]],BD!A:AJ,35,0))</f>
        <v>Procurar diagrama</v>
      </c>
      <c r="G467" s="24" t="str">
        <f>IF(VLOOKUP(Tabela11[[#This Row],[Tag do Cabo]],BD!A:AJ,36,0)=0,"Pendente",VLOOKUP(Tabela11[[#This Row],[Tag do Cabo]],BD!A:AJ,36,0))</f>
        <v>Pendente</v>
      </c>
      <c r="H467" s="391" t="str">
        <f>VLOOKUP(Tabela11[[#This Row],[Tag do Cabo]],BD!A:AJ,32,0)</f>
        <v>1HVxGB-967A</v>
      </c>
      <c r="I467" s="7" t="str">
        <f>VLOOKUP(Tabela11[[#This Row],[Tag do Cabo]],BD!A:AJ,11,0)</f>
        <v>1MV-GAINE IV</v>
      </c>
      <c r="J467" s="3" t="str">
        <f>VLOOKUP(Tabela11[[#This Row],[Tag do Cabo]],BD!A:AJ,12,0)</f>
        <v>MOTOR GBM-967A (AQUECIMENTO)</v>
      </c>
      <c r="K467" s="391" t="s">
        <v>1538</v>
      </c>
      <c r="L467" s="391" t="s">
        <v>1667</v>
      </c>
      <c r="M467" s="3" t="str">
        <f>CONCATENATE(Tabela11[[#This Row],[Painel 1]]&amp;" "&amp;Tabela11[[#This Row],[Painel 2]])</f>
        <v>GAINE IV GA-967A</v>
      </c>
      <c r="N467" s="218">
        <v>4</v>
      </c>
      <c r="O467" s="23">
        <f>COUNTIF(Tabela12[Tag Cabo],Tabela11[[#This Row],[Tag do Cabo]])</f>
        <v>0</v>
      </c>
      <c r="P467" s="23" t="str">
        <f>IF(Tabela11[[#This Row],[Qtde Ligações]]&lt;&gt;Tabela11[[#This Row],[Qtde Anilhas]],"Ver","Ok")</f>
        <v>Ver</v>
      </c>
      <c r="Q467" s="23">
        <f>VLOOKUP(Tabela11[[#This Row],[Tag do Cabo]],BD!A:F,6,0)</f>
        <v>10</v>
      </c>
      <c r="R467" s="23">
        <f>SUMIF('Lançamento de Cabos'!AE:AE,Tabela11[[#This Row],[Tag do Cabo]],'Lançamento de Cabos'!AG:AG)</f>
        <v>0</v>
      </c>
      <c r="S467" s="28">
        <f>Tabela11[[#This Row],[Ligações Realizadas]]/Tabela11[[#This Row],[Qtde Ligações]]</f>
        <v>0</v>
      </c>
      <c r="T467" s="269">
        <f>IF(Tabela11[[#This Row],[Ligações Realizadas]]/Tabela11[[#This Row],[Qtde Ligações]]=0,0,IF(Tabela11[[#This Row],[Ligações Realizadas]]/Tabela11[[#This Row],[Qtde Ligações]]=1,ROUND(N467/2,0),"Ver Painel"))</f>
        <v>0</v>
      </c>
      <c r="U467" s="23">
        <f>IF(Tabela11[[#This Row],[Ligações Realizadas]]/Tabela11[[#This Row],[Qtde Ligações]]=0,0,IF(Tabela11[[#This Row],[Ligações Realizadas]]/Tabela11[[#This Row],[Qtde Ligações]]=1,ROUND(N467/2,0),"Ver Painel"))</f>
        <v>0</v>
      </c>
      <c r="V467" s="219" t="s">
        <v>1666</v>
      </c>
    </row>
    <row r="468" spans="1:22" hidden="1" x14ac:dyDescent="0.25">
      <c r="A468" s="168" t="s">
        <v>1431</v>
      </c>
      <c r="B468" s="391" t="str">
        <f>VLOOKUP(Tabela11[[#This Row],[Tag do Cabo]],BD!A:AJ,2,0)</f>
        <v>Força</v>
      </c>
      <c r="C468" s="24" t="str">
        <f>VLOOKUP(Tabela11[[#This Row],[Tag do Cabo]],BD!A:AJ,5,0)</f>
        <v>1x2/C#6</v>
      </c>
      <c r="D468" s="3"/>
      <c r="E468" s="23" t="str">
        <f>VLOOKUP(Tabela11[[#This Row],[Tag do Cabo]],BD!A:T,20,0)</f>
        <v>BK-SP54-0900A-LC-74-00001_00000</v>
      </c>
      <c r="F468" s="233" t="str">
        <f>IF(VLOOKUP(Tabela11[[#This Row],[Tag do Cabo]],BD!A:AJ,35,0)=0,"Pendente",VLOOKUP(Tabela11[[#This Row],[Tag do Cabo]],BD!A:AJ,35,0))</f>
        <v>Procurar diagrama</v>
      </c>
      <c r="G468" s="24" t="str">
        <f>IF(VLOOKUP(Tabela11[[#This Row],[Tag do Cabo]],BD!A:AJ,36,0)=0,"Pendente",VLOOKUP(Tabela11[[#This Row],[Tag do Cabo]],BD!A:AJ,36,0))</f>
        <v>Pendente</v>
      </c>
      <c r="H468" s="391" t="str">
        <f>VLOOKUP(Tabela11[[#This Row],[Tag do Cabo]],BD!A:AJ,32,0)</f>
        <v>1HVx1MV</v>
      </c>
      <c r="I468" s="7" t="str">
        <f>VLOOKUP(Tabela11[[#This Row],[Tag do Cabo]],BD!A:AJ,11,0)</f>
        <v>PAINEL 1MV</v>
      </c>
      <c r="J468" s="3" t="str">
        <f>VLOOKUP(Tabela11[[#This Row],[Tag do Cabo]],BD!A:AJ,12,0)</f>
        <v>1MV-GAINE IV</v>
      </c>
      <c r="K468" s="391" t="s">
        <v>196</v>
      </c>
      <c r="L468" s="391" t="s">
        <v>1538</v>
      </c>
      <c r="M468" s="3" t="str">
        <f>CONCATENATE(Tabela11[[#This Row],[Painel 1]]&amp;" "&amp;Tabela11[[#This Row],[Painel 2]])</f>
        <v>PAINEL 1MV GAINE IV</v>
      </c>
      <c r="N468" s="218">
        <v>4</v>
      </c>
      <c r="O468" s="23">
        <f>COUNTIF(Tabela12[Tag Cabo],Tabela11[[#This Row],[Tag do Cabo]])</f>
        <v>0</v>
      </c>
      <c r="P468" s="23" t="str">
        <f>IF(Tabela11[[#This Row],[Qtde Ligações]]&lt;&gt;Tabela11[[#This Row],[Qtde Anilhas]],"Ver","Ok")</f>
        <v>Ver</v>
      </c>
      <c r="Q468" s="23">
        <f>VLOOKUP(Tabela11[[#This Row],[Tag do Cabo]],BD!A:F,6,0)</f>
        <v>6</v>
      </c>
      <c r="R468" s="23">
        <f>SUMIF('Lançamento de Cabos'!AE:AE,Tabela11[[#This Row],[Tag do Cabo]],'Lançamento de Cabos'!AG:AG)</f>
        <v>0</v>
      </c>
      <c r="S468" s="28">
        <f>Tabela11[[#This Row],[Ligações Realizadas]]/Tabela11[[#This Row],[Qtde Ligações]]</f>
        <v>0</v>
      </c>
      <c r="T468" s="269">
        <f>IF(Tabela11[[#This Row],[Ligações Realizadas]]/Tabela11[[#This Row],[Qtde Ligações]]=0,0,IF(Tabela11[[#This Row],[Ligações Realizadas]]/Tabela11[[#This Row],[Qtde Ligações]]=1,ROUND(N468/2,0),"Ver Painel"))</f>
        <v>0</v>
      </c>
      <c r="U468" s="23">
        <f>IF(Tabela11[[#This Row],[Ligações Realizadas]]/Tabela11[[#This Row],[Qtde Ligações]]=0,0,IF(Tabela11[[#This Row],[Ligações Realizadas]]/Tabela11[[#This Row],[Qtde Ligações]]=1,ROUND(N468/2,0),"Ver Painel"))</f>
        <v>0</v>
      </c>
      <c r="V468" s="219" t="s">
        <v>1666</v>
      </c>
    </row>
    <row r="469" spans="1:22" hidden="1" x14ac:dyDescent="0.25">
      <c r="A469" s="168" t="s">
        <v>1432</v>
      </c>
      <c r="B469" s="391" t="str">
        <f>VLOOKUP(Tabela11[[#This Row],[Tag do Cabo]],BD!A:AJ,2,0)</f>
        <v>Força</v>
      </c>
      <c r="C469" s="24" t="str">
        <f>VLOOKUP(Tabela11[[#This Row],[Tag do Cabo]],BD!A:AJ,5,0)</f>
        <v>1x2/C#6</v>
      </c>
      <c r="D469" s="3"/>
      <c r="E469" s="23" t="str">
        <f>VLOOKUP(Tabela11[[#This Row],[Tag do Cabo]],BD!A:T,20,0)</f>
        <v>BK-SP54-0900A-LC-74-00001_00000</v>
      </c>
      <c r="F469" s="233" t="str">
        <f>IF(VLOOKUP(Tabela11[[#This Row],[Tag do Cabo]],BD!A:AJ,35,0)=0,"Pendente",VLOOKUP(Tabela11[[#This Row],[Tag do Cabo]],BD!A:AJ,35,0))</f>
        <v>Procurar diagrama</v>
      </c>
      <c r="G469" s="24" t="str">
        <f>IF(VLOOKUP(Tabela11[[#This Row],[Tag do Cabo]],BD!A:AJ,36,0)=0,"Pendente",VLOOKUP(Tabela11[[#This Row],[Tag do Cabo]],BD!A:AJ,36,0))</f>
        <v>Pendente</v>
      </c>
      <c r="H469" s="391" t="str">
        <f>VLOOKUP(Tabela11[[#This Row],[Tag do Cabo]],BD!A:AJ,32,0)</f>
        <v>1HVxGB-208A</v>
      </c>
      <c r="I469" s="7" t="str">
        <f>VLOOKUP(Tabela11[[#This Row],[Tag do Cabo]],BD!A:AJ,11,0)</f>
        <v>1MV-GAINE IV</v>
      </c>
      <c r="J469" s="3" t="str">
        <f>VLOOKUP(Tabela11[[#This Row],[Tag do Cabo]],BD!A:AJ,12,0)</f>
        <v>MOTOR GAM-208A (AQUECIMENTO)</v>
      </c>
      <c r="K469" s="391" t="s">
        <v>1538</v>
      </c>
      <c r="L469" s="391" t="s">
        <v>1668</v>
      </c>
      <c r="M469" s="3" t="str">
        <f>CONCATENATE(Tabela11[[#This Row],[Painel 1]]&amp;" "&amp;Tabela11[[#This Row],[Painel 2]])</f>
        <v>GAINE IV GA-208A</v>
      </c>
      <c r="N469" s="218">
        <v>4</v>
      </c>
      <c r="O469" s="23">
        <f>COUNTIF(Tabela12[Tag Cabo],Tabela11[[#This Row],[Tag do Cabo]])</f>
        <v>0</v>
      </c>
      <c r="P469" s="23" t="str">
        <f>IF(Tabela11[[#This Row],[Qtde Ligações]]&lt;&gt;Tabela11[[#This Row],[Qtde Anilhas]],"Ver","Ok")</f>
        <v>Ver</v>
      </c>
      <c r="Q469" s="23">
        <f>VLOOKUP(Tabela11[[#This Row],[Tag do Cabo]],BD!A:F,6,0)</f>
        <v>6</v>
      </c>
      <c r="R469" s="23">
        <f>SUMIF('Lançamento de Cabos'!AE:AE,Tabela11[[#This Row],[Tag do Cabo]],'Lançamento de Cabos'!AG:AG)</f>
        <v>0</v>
      </c>
      <c r="S469" s="28">
        <f>Tabela11[[#This Row],[Ligações Realizadas]]/Tabela11[[#This Row],[Qtde Ligações]]</f>
        <v>0</v>
      </c>
      <c r="T469" s="269">
        <f>IF(Tabela11[[#This Row],[Ligações Realizadas]]/Tabela11[[#This Row],[Qtde Ligações]]=0,0,IF(Tabela11[[#This Row],[Ligações Realizadas]]/Tabela11[[#This Row],[Qtde Ligações]]=1,ROUND(N469/2,0),"Ver Painel"))</f>
        <v>0</v>
      </c>
      <c r="U469" s="23">
        <f>IF(Tabela11[[#This Row],[Ligações Realizadas]]/Tabela11[[#This Row],[Qtde Ligações]]=0,0,IF(Tabela11[[#This Row],[Ligações Realizadas]]/Tabela11[[#This Row],[Qtde Ligações]]=1,ROUND(N469/2,0),"Ver Painel"))</f>
        <v>0</v>
      </c>
      <c r="V469" s="219" t="s">
        <v>1666</v>
      </c>
    </row>
    <row r="470" spans="1:22" hidden="1" x14ac:dyDescent="0.25">
      <c r="A470" s="34" t="s">
        <v>1434</v>
      </c>
      <c r="B470" s="391" t="str">
        <f>VLOOKUP(Tabela11[[#This Row],[Tag do Cabo]],BD!A:AJ,2,0)</f>
        <v>Força</v>
      </c>
      <c r="C470" s="24" t="str">
        <f>VLOOKUP(Tabela11[[#This Row],[Tag do Cabo]],BD!A:AJ,5,0)</f>
        <v>1x2/C#4</v>
      </c>
      <c r="D470" s="3"/>
      <c r="E470" s="23" t="str">
        <f>VLOOKUP(Tabela11[[#This Row],[Tag do Cabo]],BD!A:T,20,0)</f>
        <v>BK-SP54-0900A-LC-74-00001_00000</v>
      </c>
      <c r="F470" s="233" t="str">
        <f>IF(VLOOKUP(Tabela11[[#This Row],[Tag do Cabo]],BD!A:AJ,35,0)=0,"Pendente",VLOOKUP(Tabela11[[#This Row],[Tag do Cabo]],BD!A:AJ,35,0))</f>
        <v>Procurar diagrama</v>
      </c>
      <c r="G470" s="24" t="str">
        <f>IF(VLOOKUP(Tabela11[[#This Row],[Tag do Cabo]],BD!A:AJ,36,0)=0,"Pendente",VLOOKUP(Tabela11[[#This Row],[Tag do Cabo]],BD!A:AJ,36,0))</f>
        <v>Pendente</v>
      </c>
      <c r="H470" s="391" t="str">
        <f>VLOOKUP(Tabela11[[#This Row],[Tag do Cabo]],BD!A:AJ,32,0)</f>
        <v>1HVx1MV</v>
      </c>
      <c r="I470" s="7" t="str">
        <f>VLOOKUP(Tabela11[[#This Row],[Tag do Cabo]],BD!A:AJ,11,0)</f>
        <v>PAINEL DE 125Vcc</v>
      </c>
      <c r="J470" s="3" t="str">
        <f>VLOOKUP(Tabela11[[#This Row],[Tag do Cabo]],BD!A:AJ,12,0)</f>
        <v>1HV-BUS3 - PAINEL 13,8kV - ALIM 2</v>
      </c>
      <c r="K470" s="391" t="s">
        <v>1534</v>
      </c>
      <c r="L470" s="391" t="s">
        <v>104</v>
      </c>
      <c r="M470" s="3" t="str">
        <f>CONCATENATE(Tabela11[[#This Row],[Painel 1]]&amp;" "&amp;Tabela11[[#This Row],[Painel 2]])</f>
        <v>PAINEL 125VCC 1HV-BUS3</v>
      </c>
      <c r="N470" s="218">
        <v>4</v>
      </c>
      <c r="O470" s="23">
        <f>COUNTIF(Tabela12[Tag Cabo],Tabela11[[#This Row],[Tag do Cabo]])</f>
        <v>0</v>
      </c>
      <c r="P470" s="23" t="str">
        <f>IF(Tabela11[[#This Row],[Qtde Ligações]]&lt;&gt;Tabela11[[#This Row],[Qtde Anilhas]],"Ver","Ok")</f>
        <v>Ver</v>
      </c>
      <c r="Q470" s="23">
        <f>VLOOKUP(Tabela11[[#This Row],[Tag do Cabo]],BD!A:F,6,0)</f>
        <v>4</v>
      </c>
      <c r="R470" s="23">
        <f>SUMIF('Lançamento de Cabos'!AE:AE,Tabela11[[#This Row],[Tag do Cabo]],'Lançamento de Cabos'!AG:AG)</f>
        <v>0</v>
      </c>
      <c r="S470" s="28">
        <f>Tabela11[[#This Row],[Ligações Realizadas]]/Tabela11[[#This Row],[Qtde Ligações]]</f>
        <v>0</v>
      </c>
      <c r="T470" s="269">
        <f>IF(Tabela11[[#This Row],[Ligações Realizadas]]/Tabela11[[#This Row],[Qtde Ligações]]=0,0,IF(Tabela11[[#This Row],[Ligações Realizadas]]/Tabela11[[#This Row],[Qtde Ligações]]=1,ROUND(N470/2,0),"Ver Painel"))</f>
        <v>0</v>
      </c>
      <c r="U470" s="23">
        <f>IF(Tabela11[[#This Row],[Ligações Realizadas]]/Tabela11[[#This Row],[Qtde Ligações]]=0,0,IF(Tabela11[[#This Row],[Ligações Realizadas]]/Tabela11[[#This Row],[Qtde Ligações]]=1,ROUND(N470/2,0),"Ver Painel"))</f>
        <v>0</v>
      </c>
      <c r="V470" s="219" t="s">
        <v>1666</v>
      </c>
    </row>
    <row r="471" spans="1:22" hidden="1" x14ac:dyDescent="0.25">
      <c r="A471" s="34" t="s">
        <v>1437</v>
      </c>
      <c r="B471" s="391" t="str">
        <f>VLOOKUP(Tabela11[[#This Row],[Tag do Cabo]],BD!A:AJ,2,0)</f>
        <v>FO</v>
      </c>
      <c r="C471" s="24" t="str">
        <f>VLOOKUP(Tabela11[[#This Row],[Tag do Cabo]],BD!A:AJ,5,0)</f>
        <v>CORDÃO ÓPTICO</v>
      </c>
      <c r="D471" s="3"/>
      <c r="E471" s="23" t="str">
        <f>VLOOKUP(Tabela11[[#This Row],[Tag do Cabo]],BD!A:T,20,0)</f>
        <v>BK-SP54-0900A-LC-74-00001_00000</v>
      </c>
      <c r="F471" s="233" t="str">
        <f>IF(VLOOKUP(Tabela11[[#This Row],[Tag do Cabo]],BD!A:AJ,35,0)=0,"Pendente",VLOOKUP(Tabela11[[#This Row],[Tag do Cabo]],BD!A:AJ,35,0))</f>
        <v>BK-SP54-0900B-DI-74-00450</v>
      </c>
      <c r="G471" s="24" t="str">
        <f>IF(VLOOKUP(Tabela11[[#This Row],[Tag do Cabo]],BD!A:AJ,36,0)=0,"Pendente",VLOOKUP(Tabela11[[#This Row],[Tag do Cabo]],BD!A:AJ,36,0))</f>
        <v>30</v>
      </c>
      <c r="H471" s="391" t="str">
        <f>VLOOKUP(Tabela11[[#This Row],[Tag do Cabo]],BD!A:AJ,32,0)</f>
        <v>1HVx1HV</v>
      </c>
      <c r="I471" s="7" t="str">
        <f>VLOOKUP(Tabela11[[#This Row],[Tag do Cabo]],BD!A:AJ,11,0)</f>
        <v>ER-3</v>
      </c>
      <c r="J471" s="3" t="str">
        <f>VLOOKUP(Tabela11[[#This Row],[Tag do Cabo]],BD!A:AJ,12,0)</f>
        <v>ER-4</v>
      </c>
      <c r="K471" s="391" t="s">
        <v>105</v>
      </c>
      <c r="L471" s="391" t="s">
        <v>155</v>
      </c>
      <c r="M471" s="3" t="str">
        <f>CONCATENATE(Tabela11[[#This Row],[Painel 1]]&amp;" "&amp;Tabela11[[#This Row],[Painel 2]])</f>
        <v>ER-3 ER-4</v>
      </c>
      <c r="N471" s="218">
        <v>2</v>
      </c>
      <c r="O471" s="23">
        <f>COUNTIF(Tabela12[Tag Cabo],Tabela11[[#This Row],[Tag do Cabo]])</f>
        <v>0</v>
      </c>
      <c r="P471" s="23" t="str">
        <f>IF(Tabela11[[#This Row],[Qtde Ligações]]&lt;&gt;Tabela11[[#This Row],[Qtde Anilhas]],"Ver","Ok")</f>
        <v>Ver</v>
      </c>
      <c r="Q471" s="23" t="str">
        <f>VLOOKUP(Tabela11[[#This Row],[Tag do Cabo]],BD!A:F,6,0)</f>
        <v>-</v>
      </c>
      <c r="R471" s="23">
        <f>SUMIF('Lançamento de Cabos'!AE:AE,Tabela11[[#This Row],[Tag do Cabo]],'Lançamento de Cabos'!AG:AG)</f>
        <v>0</v>
      </c>
      <c r="S471" s="28">
        <f>Tabela11[[#This Row],[Ligações Realizadas]]/Tabela11[[#This Row],[Qtde Ligações]]</f>
        <v>0</v>
      </c>
      <c r="T471" s="269">
        <f>IF(Tabela11[[#This Row],[Ligações Realizadas]]/Tabela11[[#This Row],[Qtde Ligações]]=0,0,IF(Tabela11[[#This Row],[Ligações Realizadas]]/Tabela11[[#This Row],[Qtde Ligações]]=1,ROUND(N471/2,0),"Ver Painel"))</f>
        <v>0</v>
      </c>
      <c r="U471" s="23">
        <f>IF(Tabela11[[#This Row],[Ligações Realizadas]]/Tabela11[[#This Row],[Qtde Ligações]]=0,0,IF(Tabela11[[#This Row],[Ligações Realizadas]]/Tabela11[[#This Row],[Qtde Ligações]]=1,ROUND(N471/2,0),"Ver Painel"))</f>
        <v>0</v>
      </c>
      <c r="V471" s="219" t="s">
        <v>1666</v>
      </c>
    </row>
    <row r="472" spans="1:22" hidden="1" x14ac:dyDescent="0.25">
      <c r="A472" s="34" t="s">
        <v>1439</v>
      </c>
      <c r="B472" s="391" t="str">
        <f>VLOOKUP(Tabela11[[#This Row],[Tag do Cabo]],BD!A:AJ,2,0)</f>
        <v>FO</v>
      </c>
      <c r="C472" s="24" t="str">
        <f>VLOOKUP(Tabela11[[#This Row],[Tag do Cabo]],BD!A:AJ,5,0)</f>
        <v>CABO ÓPTICO 4 VIAS</v>
      </c>
      <c r="D472" s="3"/>
      <c r="E472" s="23" t="str">
        <f>VLOOKUP(Tabela11[[#This Row],[Tag do Cabo]],BD!A:T,20,0)</f>
        <v>BK-SP54-0900A-LC-74-00001_00000</v>
      </c>
      <c r="F472" s="233" t="str">
        <f>IF(VLOOKUP(Tabela11[[#This Row],[Tag do Cabo]],BD!A:AJ,35,0)=0,"Pendente",VLOOKUP(Tabela11[[#This Row],[Tag do Cabo]],BD!A:AJ,35,0))</f>
        <v>BK-SP54-0900B-DI-74-00450</v>
      </c>
      <c r="G472" s="24" t="str">
        <f>IF(VLOOKUP(Tabela11[[#This Row],[Tag do Cabo]],BD!A:AJ,36,0)=0,"Pendente",VLOOKUP(Tabela11[[#This Row],[Tag do Cabo]],BD!A:AJ,36,0))</f>
        <v>29</v>
      </c>
      <c r="H472" s="391" t="str">
        <f>VLOOKUP(Tabela11[[#This Row],[Tag do Cabo]],BD!A:AJ,32,0)</f>
        <v>CCSEx1HV</v>
      </c>
      <c r="I472" s="7" t="str">
        <f>VLOOKUP(Tabela11[[#This Row],[Tag do Cabo]],BD!A:AJ,11,0)</f>
        <v>MESA DE OPERAÇÃO</v>
      </c>
      <c r="J472" s="3" t="str">
        <f>VLOOKUP(Tabela11[[#This Row],[Tag do Cabo]],BD!A:AJ,12,0)</f>
        <v>ER-3</v>
      </c>
      <c r="K472" s="391"/>
      <c r="L472" s="391" t="s">
        <v>105</v>
      </c>
      <c r="M472" s="3" t="str">
        <f>CONCATENATE(Tabela11[[#This Row],[Painel 1]]&amp;" "&amp;Tabela11[[#This Row],[Painel 2]])</f>
        <v xml:space="preserve"> ER-3</v>
      </c>
      <c r="N472" s="218">
        <v>8</v>
      </c>
      <c r="O472" s="23">
        <f>COUNTIF(Tabela12[Tag Cabo],Tabela11[[#This Row],[Tag do Cabo]])</f>
        <v>0</v>
      </c>
      <c r="P472" s="23" t="str">
        <f>IF(Tabela11[[#This Row],[Qtde Ligações]]&lt;&gt;Tabela11[[#This Row],[Qtde Anilhas]],"Ver","Ok")</f>
        <v>Ver</v>
      </c>
      <c r="Q472" s="23" t="str">
        <f>VLOOKUP(Tabela11[[#This Row],[Tag do Cabo]],BD!A:F,6,0)</f>
        <v>-</v>
      </c>
      <c r="R472" s="23">
        <f>SUMIF('Lançamento de Cabos'!AE:AE,Tabela11[[#This Row],[Tag do Cabo]],'Lançamento de Cabos'!AG:AG)</f>
        <v>0</v>
      </c>
      <c r="S472" s="28">
        <f>Tabela11[[#This Row],[Ligações Realizadas]]/Tabela11[[#This Row],[Qtde Ligações]]</f>
        <v>0</v>
      </c>
      <c r="T472" s="269">
        <f>IF(Tabela11[[#This Row],[Ligações Realizadas]]/Tabela11[[#This Row],[Qtde Ligações]]=0,0,IF(Tabela11[[#This Row],[Ligações Realizadas]]/Tabela11[[#This Row],[Qtde Ligações]]=1,ROUND(N472/2,0),"Ver Painel"))</f>
        <v>0</v>
      </c>
      <c r="U472" s="23">
        <f>IF(Tabela11[[#This Row],[Ligações Realizadas]]/Tabela11[[#This Row],[Qtde Ligações]]=0,0,IF(Tabela11[[#This Row],[Ligações Realizadas]]/Tabela11[[#This Row],[Qtde Ligações]]=1,ROUND(N472/2,0),"Ver Painel"))</f>
        <v>0</v>
      </c>
      <c r="V472" s="219" t="s">
        <v>1666</v>
      </c>
    </row>
    <row r="473" spans="1:22" hidden="1" x14ac:dyDescent="0.25">
      <c r="A473" s="34" t="s">
        <v>1441</v>
      </c>
      <c r="B473" s="391" t="str">
        <f>VLOOKUP(Tabela11[[#This Row],[Tag do Cabo]],BD!A:AJ,2,0)</f>
        <v>FO</v>
      </c>
      <c r="C473" s="24" t="str">
        <f>VLOOKUP(Tabela11[[#This Row],[Tag do Cabo]],BD!A:AJ,5,0)</f>
        <v>CABO ÓPTICO 4 VIAS</v>
      </c>
      <c r="D473" s="3"/>
      <c r="E473" s="23" t="str">
        <f>VLOOKUP(Tabela11[[#This Row],[Tag do Cabo]],BD!A:T,20,0)</f>
        <v>BK-SP54-0900A-LC-74-00001_00000</v>
      </c>
      <c r="F473" s="233" t="str">
        <f>IF(VLOOKUP(Tabela11[[#This Row],[Tag do Cabo]],BD!A:AJ,35,0)=0,"Pendente",VLOOKUP(Tabela11[[#This Row],[Tag do Cabo]],BD!A:AJ,35,0))</f>
        <v>BK-SP54-0900B-DI-74-00450</v>
      </c>
      <c r="G473" s="24" t="str">
        <f>IF(VLOOKUP(Tabela11[[#This Row],[Tag do Cabo]],BD!A:AJ,36,0)=0,"Pendente",VLOOKUP(Tabela11[[#This Row],[Tag do Cabo]],BD!A:AJ,36,0))</f>
        <v>29</v>
      </c>
      <c r="H473" s="391" t="str">
        <f>VLOOKUP(Tabela11[[#This Row],[Tag do Cabo]],BD!A:AJ,32,0)</f>
        <v>CCSEx1HV</v>
      </c>
      <c r="I473" s="7" t="str">
        <f>VLOOKUP(Tabela11[[#This Row],[Tag do Cabo]],BD!A:AJ,11,0)</f>
        <v>MESA DE OPERAÇÃO</v>
      </c>
      <c r="J473" s="3" t="str">
        <f>VLOOKUP(Tabela11[[#This Row],[Tag do Cabo]],BD!A:AJ,12,0)</f>
        <v>ER-3</v>
      </c>
      <c r="K473" s="391"/>
      <c r="L473" s="391" t="s">
        <v>105</v>
      </c>
      <c r="M473" s="3" t="str">
        <f>CONCATENATE(Tabela11[[#This Row],[Painel 1]]&amp;" "&amp;Tabela11[[#This Row],[Painel 2]])</f>
        <v xml:space="preserve"> ER-3</v>
      </c>
      <c r="N473" s="218">
        <v>8</v>
      </c>
      <c r="O473" s="23">
        <f>COUNTIF(Tabela12[Tag Cabo],Tabela11[[#This Row],[Tag do Cabo]])</f>
        <v>0</v>
      </c>
      <c r="P473" s="23" t="str">
        <f>IF(Tabela11[[#This Row],[Qtde Ligações]]&lt;&gt;Tabela11[[#This Row],[Qtde Anilhas]],"Ver","Ok")</f>
        <v>Ver</v>
      </c>
      <c r="Q473" s="23" t="str">
        <f>VLOOKUP(Tabela11[[#This Row],[Tag do Cabo]],BD!A:F,6,0)</f>
        <v>-</v>
      </c>
      <c r="R473" s="23">
        <f>SUMIF('Lançamento de Cabos'!AE:AE,Tabela11[[#This Row],[Tag do Cabo]],'Lançamento de Cabos'!AG:AG)</f>
        <v>0</v>
      </c>
      <c r="S473" s="28">
        <f>Tabela11[[#This Row],[Ligações Realizadas]]/Tabela11[[#This Row],[Qtde Ligações]]</f>
        <v>0</v>
      </c>
      <c r="T473" s="269">
        <f>IF(Tabela11[[#This Row],[Ligações Realizadas]]/Tabela11[[#This Row],[Qtde Ligações]]=0,0,IF(Tabela11[[#This Row],[Ligações Realizadas]]/Tabela11[[#This Row],[Qtde Ligações]]=1,ROUND(N473/2,0),"Ver Painel"))</f>
        <v>0</v>
      </c>
      <c r="U473" s="23">
        <f>IF(Tabela11[[#This Row],[Ligações Realizadas]]/Tabela11[[#This Row],[Qtde Ligações]]=0,0,IF(Tabela11[[#This Row],[Ligações Realizadas]]/Tabela11[[#This Row],[Qtde Ligações]]=1,ROUND(N473/2,0),"Ver Painel"))</f>
        <v>0</v>
      </c>
      <c r="V473" s="219" t="s">
        <v>1666</v>
      </c>
    </row>
    <row r="474" spans="1:22" hidden="1" x14ac:dyDescent="0.25">
      <c r="A474" s="34" t="s">
        <v>1442</v>
      </c>
      <c r="B474" s="391" t="str">
        <f>VLOOKUP(Tabela11[[#This Row],[Tag do Cabo]],BD!A:AJ,2,0)</f>
        <v>FO</v>
      </c>
      <c r="C474" s="24" t="str">
        <f>VLOOKUP(Tabela11[[#This Row],[Tag do Cabo]],BD!A:AJ,5,0)</f>
        <v>CORDÃO ÓPTICO</v>
      </c>
      <c r="D474" s="3"/>
      <c r="E474" s="23" t="str">
        <f>VLOOKUP(Tabela11[[#This Row],[Tag do Cabo]],BD!A:T,20,0)</f>
        <v>BK-SP54-0900A-LC-74-00001_00000</v>
      </c>
      <c r="F474" s="233" t="str">
        <f>IF(VLOOKUP(Tabela11[[#This Row],[Tag do Cabo]],BD!A:AJ,35,0)=0,"Pendente",VLOOKUP(Tabela11[[#This Row],[Tag do Cabo]],BD!A:AJ,35,0))</f>
        <v>BK-SP54-0900B-DI-74-00450</v>
      </c>
      <c r="G474" s="24" t="str">
        <f>IF(VLOOKUP(Tabela11[[#This Row],[Tag do Cabo]],BD!A:AJ,36,0)=0,"Pendente",VLOOKUP(Tabela11[[#This Row],[Tag do Cabo]],BD!A:AJ,36,0))</f>
        <v>30</v>
      </c>
      <c r="H474" s="391" t="str">
        <f>VLOOKUP(Tabela11[[#This Row],[Tag do Cabo]],BD!A:AJ,32,0)</f>
        <v>1HV</v>
      </c>
      <c r="I474" s="7" t="str">
        <f>VLOOKUP(Tabela11[[#This Row],[Tag do Cabo]],BD!A:AJ,11,0)</f>
        <v>1HV-BUS1</v>
      </c>
      <c r="J474" s="3" t="str">
        <f>VLOOKUP(Tabela11[[#This Row],[Tag do Cabo]],BD!A:AJ,12,0)</f>
        <v>ER-3</v>
      </c>
      <c r="K474" s="391" t="s">
        <v>911</v>
      </c>
      <c r="L474" s="391" t="s">
        <v>105</v>
      </c>
      <c r="M474" s="3" t="str">
        <f>CONCATENATE(Tabela11[[#This Row],[Painel 1]]&amp;" "&amp;Tabela11[[#This Row],[Painel 2]])</f>
        <v>1HV-BUS1 ER-3</v>
      </c>
      <c r="N474" s="218">
        <v>2</v>
      </c>
      <c r="O474" s="23">
        <f>COUNTIF(Tabela12[Tag Cabo],Tabela11[[#This Row],[Tag do Cabo]])</f>
        <v>0</v>
      </c>
      <c r="P474" s="23" t="str">
        <f>IF(Tabela11[[#This Row],[Qtde Ligações]]&lt;&gt;Tabela11[[#This Row],[Qtde Anilhas]],"Ver","Ok")</f>
        <v>Ver</v>
      </c>
      <c r="Q474" s="23" t="str">
        <f>VLOOKUP(Tabela11[[#This Row],[Tag do Cabo]],BD!A:F,6,0)</f>
        <v>-</v>
      </c>
      <c r="R474" s="23">
        <f>SUMIF('Lançamento de Cabos'!AE:AE,Tabela11[[#This Row],[Tag do Cabo]],'Lançamento de Cabos'!AG:AG)</f>
        <v>0</v>
      </c>
      <c r="S474" s="28">
        <f>Tabela11[[#This Row],[Ligações Realizadas]]/Tabela11[[#This Row],[Qtde Ligações]]</f>
        <v>0</v>
      </c>
      <c r="T474" s="269">
        <f>IF(Tabela11[[#This Row],[Ligações Realizadas]]/Tabela11[[#This Row],[Qtde Ligações]]=0,0,IF(Tabela11[[#This Row],[Ligações Realizadas]]/Tabela11[[#This Row],[Qtde Ligações]]=1,ROUND(N474/2,0),"Ver Painel"))</f>
        <v>0</v>
      </c>
      <c r="U474" s="23">
        <f>IF(Tabela11[[#This Row],[Ligações Realizadas]]/Tabela11[[#This Row],[Qtde Ligações]]=0,0,IF(Tabela11[[#This Row],[Ligações Realizadas]]/Tabela11[[#This Row],[Qtde Ligações]]=1,ROUND(N474/2,0),"Ver Painel"))</f>
        <v>0</v>
      </c>
      <c r="V474" s="219" t="s">
        <v>1666</v>
      </c>
    </row>
    <row r="475" spans="1:22" hidden="1" x14ac:dyDescent="0.25">
      <c r="A475" s="34" t="s">
        <v>1443</v>
      </c>
      <c r="B475" s="391" t="str">
        <f>VLOOKUP(Tabela11[[#This Row],[Tag do Cabo]],BD!A:AJ,2,0)</f>
        <v>FO</v>
      </c>
      <c r="C475" s="24" t="str">
        <f>VLOOKUP(Tabela11[[#This Row],[Tag do Cabo]],BD!A:AJ,5,0)</f>
        <v>CORDÃO ÓPTICO</v>
      </c>
      <c r="D475" s="3"/>
      <c r="E475" s="23" t="str">
        <f>VLOOKUP(Tabela11[[#This Row],[Tag do Cabo]],BD!A:T,20,0)</f>
        <v>BK-SP54-0900A-LC-74-00001_00000</v>
      </c>
      <c r="F475" s="233" t="str">
        <f>IF(VLOOKUP(Tabela11[[#This Row],[Tag do Cabo]],BD!A:AJ,35,0)=0,"Pendente",VLOOKUP(Tabela11[[#This Row],[Tag do Cabo]],BD!A:AJ,35,0))</f>
        <v>BK-SP54-0900B-DI-74-00450</v>
      </c>
      <c r="G475" s="24" t="str">
        <f>IF(VLOOKUP(Tabela11[[#This Row],[Tag do Cabo]],BD!A:AJ,36,0)=0,"Pendente",VLOOKUP(Tabela11[[#This Row],[Tag do Cabo]],BD!A:AJ,36,0))</f>
        <v>30</v>
      </c>
      <c r="H475" s="391" t="str">
        <f>VLOOKUP(Tabela11[[#This Row],[Tag do Cabo]],BD!A:AJ,32,0)</f>
        <v>1HV</v>
      </c>
      <c r="I475" s="7" t="str">
        <f>VLOOKUP(Tabela11[[#This Row],[Tag do Cabo]],BD!A:AJ,11,0)</f>
        <v>1HV-BUS1</v>
      </c>
      <c r="J475" s="3" t="str">
        <f>VLOOKUP(Tabela11[[#This Row],[Tag do Cabo]],BD!A:AJ,12,0)</f>
        <v>ER-3</v>
      </c>
      <c r="K475" s="391" t="s">
        <v>911</v>
      </c>
      <c r="L475" s="391" t="s">
        <v>105</v>
      </c>
      <c r="M475" s="3" t="str">
        <f>CONCATENATE(Tabela11[[#This Row],[Painel 1]]&amp;" "&amp;Tabela11[[#This Row],[Painel 2]])</f>
        <v>1HV-BUS1 ER-3</v>
      </c>
      <c r="N475" s="218">
        <v>2</v>
      </c>
      <c r="O475" s="23">
        <f>COUNTIF(Tabela12[Tag Cabo],Tabela11[[#This Row],[Tag do Cabo]])</f>
        <v>0</v>
      </c>
      <c r="P475" s="23" t="str">
        <f>IF(Tabela11[[#This Row],[Qtde Ligações]]&lt;&gt;Tabela11[[#This Row],[Qtde Anilhas]],"Ver","Ok")</f>
        <v>Ver</v>
      </c>
      <c r="Q475" s="23" t="str">
        <f>VLOOKUP(Tabela11[[#This Row],[Tag do Cabo]],BD!A:F,6,0)</f>
        <v>-</v>
      </c>
      <c r="R475" s="23">
        <f>SUMIF('Lançamento de Cabos'!AE:AE,Tabela11[[#This Row],[Tag do Cabo]],'Lançamento de Cabos'!AG:AG)</f>
        <v>0</v>
      </c>
      <c r="S475" s="28">
        <f>Tabela11[[#This Row],[Ligações Realizadas]]/Tabela11[[#This Row],[Qtde Ligações]]</f>
        <v>0</v>
      </c>
      <c r="T475" s="269">
        <f>IF(Tabela11[[#This Row],[Ligações Realizadas]]/Tabela11[[#This Row],[Qtde Ligações]]=0,0,IF(Tabela11[[#This Row],[Ligações Realizadas]]/Tabela11[[#This Row],[Qtde Ligações]]=1,ROUND(N475/2,0),"Ver Painel"))</f>
        <v>0</v>
      </c>
      <c r="U475" s="23">
        <f>IF(Tabela11[[#This Row],[Ligações Realizadas]]/Tabela11[[#This Row],[Qtde Ligações]]=0,0,IF(Tabela11[[#This Row],[Ligações Realizadas]]/Tabela11[[#This Row],[Qtde Ligações]]=1,ROUND(N475/2,0),"Ver Painel"))</f>
        <v>0</v>
      </c>
      <c r="V475" s="219" t="s">
        <v>1666</v>
      </c>
    </row>
    <row r="476" spans="1:22" hidden="1" x14ac:dyDescent="0.25">
      <c r="A476" s="34" t="s">
        <v>1444</v>
      </c>
      <c r="B476" s="391" t="str">
        <f>VLOOKUP(Tabela11[[#This Row],[Tag do Cabo]],BD!A:AJ,2,0)</f>
        <v>FO</v>
      </c>
      <c r="C476" s="24" t="str">
        <f>VLOOKUP(Tabela11[[#This Row],[Tag do Cabo]],BD!A:AJ,5,0)</f>
        <v>CORDÃO ÓPTICO</v>
      </c>
      <c r="D476" s="3"/>
      <c r="E476" s="23" t="str">
        <f>VLOOKUP(Tabela11[[#This Row],[Tag do Cabo]],BD!A:T,20,0)</f>
        <v>BK-SP54-0900A-LC-74-00001_00000</v>
      </c>
      <c r="F476" s="233" t="str">
        <f>IF(VLOOKUP(Tabela11[[#This Row],[Tag do Cabo]],BD!A:AJ,35,0)=0,"Pendente",VLOOKUP(Tabela11[[#This Row],[Tag do Cabo]],BD!A:AJ,35,0))</f>
        <v>BK-SP54-0900B-DI-74-00450</v>
      </c>
      <c r="G476" s="24" t="str">
        <f>IF(VLOOKUP(Tabela11[[#This Row],[Tag do Cabo]],BD!A:AJ,36,0)=0,"Pendente",VLOOKUP(Tabela11[[#This Row],[Tag do Cabo]],BD!A:AJ,36,0))</f>
        <v>30</v>
      </c>
      <c r="H476" s="391" t="str">
        <f>VLOOKUP(Tabela11[[#This Row],[Tag do Cabo]],BD!A:AJ,32,0)</f>
        <v>1HV</v>
      </c>
      <c r="I476" s="7" t="str">
        <f>VLOOKUP(Tabela11[[#This Row],[Tag do Cabo]],BD!A:AJ,11,0)</f>
        <v>1HV-BUS1</v>
      </c>
      <c r="J476" s="3" t="str">
        <f>VLOOKUP(Tabela11[[#This Row],[Tag do Cabo]],BD!A:AJ,12,0)</f>
        <v>ER-3</v>
      </c>
      <c r="K476" s="391" t="s">
        <v>911</v>
      </c>
      <c r="L476" s="391" t="s">
        <v>105</v>
      </c>
      <c r="M476" s="3" t="str">
        <f>CONCATENATE(Tabela11[[#This Row],[Painel 1]]&amp;" "&amp;Tabela11[[#This Row],[Painel 2]])</f>
        <v>1HV-BUS1 ER-3</v>
      </c>
      <c r="N476" s="218">
        <v>2</v>
      </c>
      <c r="O476" s="23">
        <f>COUNTIF(Tabela12[Tag Cabo],Tabela11[[#This Row],[Tag do Cabo]])</f>
        <v>0</v>
      </c>
      <c r="P476" s="23" t="str">
        <f>IF(Tabela11[[#This Row],[Qtde Ligações]]&lt;&gt;Tabela11[[#This Row],[Qtde Anilhas]],"Ver","Ok")</f>
        <v>Ver</v>
      </c>
      <c r="Q476" s="23" t="str">
        <f>VLOOKUP(Tabela11[[#This Row],[Tag do Cabo]],BD!A:F,6,0)</f>
        <v>-</v>
      </c>
      <c r="R476" s="23">
        <f>SUMIF('Lançamento de Cabos'!AE:AE,Tabela11[[#This Row],[Tag do Cabo]],'Lançamento de Cabos'!AG:AG)</f>
        <v>0</v>
      </c>
      <c r="S476" s="28">
        <f>Tabela11[[#This Row],[Ligações Realizadas]]/Tabela11[[#This Row],[Qtde Ligações]]</f>
        <v>0</v>
      </c>
      <c r="T476" s="269">
        <f>IF(Tabela11[[#This Row],[Ligações Realizadas]]/Tabela11[[#This Row],[Qtde Ligações]]=0,0,IF(Tabela11[[#This Row],[Ligações Realizadas]]/Tabela11[[#This Row],[Qtde Ligações]]=1,ROUND(N476/2,0),"Ver Painel"))</f>
        <v>0</v>
      </c>
      <c r="U476" s="23">
        <f>IF(Tabela11[[#This Row],[Ligações Realizadas]]/Tabela11[[#This Row],[Qtde Ligações]]=0,0,IF(Tabela11[[#This Row],[Ligações Realizadas]]/Tabela11[[#This Row],[Qtde Ligações]]=1,ROUND(N476/2,0),"Ver Painel"))</f>
        <v>0</v>
      </c>
      <c r="V476" s="219" t="s">
        <v>1666</v>
      </c>
    </row>
    <row r="477" spans="1:22" hidden="1" x14ac:dyDescent="0.25">
      <c r="A477" s="34" t="s">
        <v>1445</v>
      </c>
      <c r="B477" s="391" t="str">
        <f>VLOOKUP(Tabela11[[#This Row],[Tag do Cabo]],BD!A:AJ,2,0)</f>
        <v>FO</v>
      </c>
      <c r="C477" s="24" t="str">
        <f>VLOOKUP(Tabela11[[#This Row],[Tag do Cabo]],BD!A:AJ,5,0)</f>
        <v>CABO ÓPTICO 4 VIAS</v>
      </c>
      <c r="D477" s="3"/>
      <c r="E477" s="23" t="str">
        <f>VLOOKUP(Tabela11[[#This Row],[Tag do Cabo]],BD!A:T,20,0)</f>
        <v>BK-SP54-0900A-LC-74-00001_00000</v>
      </c>
      <c r="F477" s="233" t="str">
        <f>IF(VLOOKUP(Tabela11[[#This Row],[Tag do Cabo]],BD!A:AJ,35,0)=0,"Pendente",VLOOKUP(Tabela11[[#This Row],[Tag do Cabo]],BD!A:AJ,35,0))</f>
        <v>BK-SP54-0900B-DI-74-00450</v>
      </c>
      <c r="G477" s="24" t="str">
        <f>IF(VLOOKUP(Tabela11[[#This Row],[Tag do Cabo]],BD!A:AJ,36,0)=0,"Pendente",VLOOKUP(Tabela11[[#This Row],[Tag do Cabo]],BD!A:AJ,36,0))</f>
        <v>30</v>
      </c>
      <c r="H477" s="391" t="str">
        <f>VLOOKUP(Tabela11[[#This Row],[Tag do Cabo]],BD!A:AJ,32,0)</f>
        <v>7HVx1HV</v>
      </c>
      <c r="I477" s="7" t="str">
        <f>VLOOKUP(Tabela11[[#This Row],[Tag do Cabo]],BD!A:AJ,11,0)</f>
        <v>PN-7HV - (SWITCH HOLD)</v>
      </c>
      <c r="J477" s="3" t="str">
        <f>VLOOKUP(Tabela11[[#This Row],[Tag do Cabo]],BD!A:AJ,12,0)</f>
        <v>REMOTA 1HV</v>
      </c>
      <c r="K477" s="391" t="s">
        <v>937</v>
      </c>
      <c r="L477" s="391" t="s">
        <v>937</v>
      </c>
      <c r="M477" s="3" t="str">
        <f>CONCATENATE(Tabela11[[#This Row],[Painel 1]]&amp;" "&amp;Tabela11[[#This Row],[Painel 2]])</f>
        <v>PAINEL 7HV PAINEL 7HV</v>
      </c>
      <c r="N477" s="218">
        <v>8</v>
      </c>
      <c r="O477" s="23">
        <f>COUNTIF(Tabela12[Tag Cabo],Tabela11[[#This Row],[Tag do Cabo]])</f>
        <v>0</v>
      </c>
      <c r="P477" s="23" t="str">
        <f>IF(Tabela11[[#This Row],[Qtde Ligações]]&lt;&gt;Tabela11[[#This Row],[Qtde Anilhas]],"Ver","Ok")</f>
        <v>Ver</v>
      </c>
      <c r="Q477" s="23" t="str">
        <f>VLOOKUP(Tabela11[[#This Row],[Tag do Cabo]],BD!A:F,6,0)</f>
        <v>-</v>
      </c>
      <c r="R477" s="23">
        <f>SUMIF('Lançamento de Cabos'!AE:AE,Tabela11[[#This Row],[Tag do Cabo]],'Lançamento de Cabos'!AG:AG)</f>
        <v>0</v>
      </c>
      <c r="S477" s="28">
        <f>Tabela11[[#This Row],[Ligações Realizadas]]/Tabela11[[#This Row],[Qtde Ligações]]</f>
        <v>0</v>
      </c>
      <c r="T477" s="269">
        <f>IF(Tabela11[[#This Row],[Ligações Realizadas]]/Tabela11[[#This Row],[Qtde Ligações]]=0,0,IF(Tabela11[[#This Row],[Ligações Realizadas]]/Tabela11[[#This Row],[Qtde Ligações]]=1,ROUND(N477/2,0),"Ver Painel"))</f>
        <v>0</v>
      </c>
      <c r="U477" s="23">
        <f>IF(Tabela11[[#This Row],[Ligações Realizadas]]/Tabela11[[#This Row],[Qtde Ligações]]=0,0,IF(Tabela11[[#This Row],[Ligações Realizadas]]/Tabela11[[#This Row],[Qtde Ligações]]=1,ROUND(N477/2,0),"Ver Painel"))</f>
        <v>0</v>
      </c>
      <c r="V477" s="219" t="s">
        <v>1666</v>
      </c>
    </row>
    <row r="478" spans="1:22" hidden="1" x14ac:dyDescent="0.25">
      <c r="A478" s="34" t="s">
        <v>1447</v>
      </c>
      <c r="B478" s="391" t="str">
        <f>VLOOKUP(Tabela11[[#This Row],[Tag do Cabo]],BD!A:AJ,2,0)</f>
        <v>Controle</v>
      </c>
      <c r="C478" s="24" t="str">
        <f>VLOOKUP(Tabela11[[#This Row],[Tag do Cabo]],BD!A:AJ,5,0)</f>
        <v>1x1x12/C#2,5</v>
      </c>
      <c r="D478" s="3"/>
      <c r="E478" s="23" t="str">
        <f>VLOOKUP(Tabela11[[#This Row],[Tag do Cabo]],BD!A:T,20,0)</f>
        <v>BK-SP54-0900A-LC-74-00001_00000</v>
      </c>
      <c r="F478" s="375" t="str">
        <f>IF(VLOOKUP(Tabela11[[#This Row],[Tag do Cabo]],BD!A:AJ,35,0)=0,"Pendente",VLOOKUP(Tabela11[[#This Row],[Tag do Cabo]],BD!A:AJ,35,0))</f>
        <v>BK-SP54-0900B-DI-74-00452</v>
      </c>
      <c r="G478" s="24" t="str">
        <f>IF(VLOOKUP(Tabela11[[#This Row],[Tag do Cabo]],BD!A:AJ,36,0)=0,"Pendente",VLOOKUP(Tabela11[[#This Row],[Tag do Cabo]],BD!A:AJ,36,0))</f>
        <v>8</v>
      </c>
      <c r="H478" s="391" t="str">
        <f>VLOOKUP(Tabela11[[#This Row],[Tag do Cabo]],BD!A:AJ,32,0)</f>
        <v>1HV</v>
      </c>
      <c r="I478" s="7" t="str">
        <f>VLOOKUP(Tabela11[[#This Row],[Tag do Cabo]],BD!A:AJ,11,0)</f>
        <v>GAINE 2</v>
      </c>
      <c r="J478" s="3" t="str">
        <f>VLOOKUP(Tabela11[[#This Row],[Tag do Cabo]],BD!A:AJ,12,0)</f>
        <v>1HV-BUS3 - PAINEL 13,8kV - 52D1</v>
      </c>
      <c r="K478" s="391" t="s">
        <v>137</v>
      </c>
      <c r="L478" s="391" t="s">
        <v>104</v>
      </c>
      <c r="M478" s="3" t="str">
        <f>CONCATENATE(Tabela11[[#This Row],[Painel 1]]&amp;" "&amp;Tabela11[[#This Row],[Painel 2]])</f>
        <v>GAINE 2 1HV-BUS3</v>
      </c>
      <c r="N478" s="157">
        <v>22</v>
      </c>
      <c r="O478" s="23">
        <f>COUNTIF(Tabela12[Tag Cabo],Tabela11[[#This Row],[Tag do Cabo]])</f>
        <v>0</v>
      </c>
      <c r="P478" s="23" t="str">
        <f>IF(Tabela11[[#This Row],[Qtde Ligações]]&lt;&gt;Tabela11[[#This Row],[Qtde Anilhas]],"Ver","Ok")</f>
        <v>Ver</v>
      </c>
      <c r="Q478" s="23">
        <f>VLOOKUP(Tabela11[[#This Row],[Tag do Cabo]],BD!A:F,6,0)</f>
        <v>2.5</v>
      </c>
      <c r="R478" s="23">
        <f>SUMIF('Lançamento de Cabos'!AE:AE,Tabela11[[#This Row],[Tag do Cabo]],'Lançamento de Cabos'!AG:AG)</f>
        <v>0</v>
      </c>
      <c r="S478" s="28">
        <f>Tabela11[[#This Row],[Ligações Realizadas]]/Tabela11[[#This Row],[Qtde Ligações]]</f>
        <v>0</v>
      </c>
      <c r="T478" s="269">
        <f>IF(Tabela11[[#This Row],[Ligações Realizadas]]/Tabela11[[#This Row],[Qtde Ligações]]=0,0,IF(Tabela11[[#This Row],[Ligações Realizadas]]/Tabela11[[#This Row],[Qtde Ligações]]=1,ROUND(N478/2,0),"Ver Painel"))</f>
        <v>0</v>
      </c>
      <c r="U478" s="23">
        <f>IF(Tabela11[[#This Row],[Ligações Realizadas]]/Tabela11[[#This Row],[Qtde Ligações]]=0,0,IF(Tabela11[[#This Row],[Ligações Realizadas]]/Tabela11[[#This Row],[Qtde Ligações]]=1,ROUND(N478/2,0),"Ver Painel"))</f>
        <v>0</v>
      </c>
      <c r="V478" s="219" t="s">
        <v>1669</v>
      </c>
    </row>
    <row r="479" spans="1:22" hidden="1" x14ac:dyDescent="0.25">
      <c r="A479" s="34" t="s">
        <v>1449</v>
      </c>
      <c r="B479" s="391" t="str">
        <f>VLOOKUP(Tabela11[[#This Row],[Tag do Cabo]],BD!A:AJ,2,0)</f>
        <v>Controle</v>
      </c>
      <c r="C479" s="24" t="str">
        <f>VLOOKUP(Tabela11[[#This Row],[Tag do Cabo]],BD!A:AJ,5,0)</f>
        <v>1x1x12/C#2,5</v>
      </c>
      <c r="D479" s="3"/>
      <c r="E479" s="23" t="str">
        <f>VLOOKUP(Tabela11[[#This Row],[Tag do Cabo]],BD!A:T,20,0)</f>
        <v>BK-SP54-0900A-LC-74-00001_00000</v>
      </c>
      <c r="F479" s="233" t="str">
        <f>IF(VLOOKUP(Tabela11[[#This Row],[Tag do Cabo]],BD!A:AJ,35,0)=0,"Pendente",VLOOKUP(Tabela11[[#This Row],[Tag do Cabo]],BD!A:AJ,35,0))</f>
        <v>Procurar diagrama</v>
      </c>
      <c r="G479" s="24" t="str">
        <f>IF(VLOOKUP(Tabela11[[#This Row],[Tag do Cabo]],BD!A:AJ,36,0)=0,"Pendente",VLOOKUP(Tabela11[[#This Row],[Tag do Cabo]],BD!A:AJ,36,0))</f>
        <v>Pendente</v>
      </c>
      <c r="H479" s="391" t="str">
        <f>VLOOKUP(Tabela11[[#This Row],[Tag do Cabo]],BD!A:AJ,32,0)</f>
        <v>1HV</v>
      </c>
      <c r="I479" s="7" t="str">
        <f>VLOOKUP(Tabela11[[#This Row],[Tag do Cabo]],BD!A:AJ,11,0)</f>
        <v>GAINE 2</v>
      </c>
      <c r="J479" s="3" t="str">
        <f>VLOOKUP(Tabela11[[#This Row],[Tag do Cabo]],BD!A:AJ,12,0)</f>
        <v>1HV-BUS3 - PAINEL 13,8kV - 52D2</v>
      </c>
      <c r="K479" s="391" t="s">
        <v>137</v>
      </c>
      <c r="L479" s="391" t="s">
        <v>104</v>
      </c>
      <c r="M479" s="3" t="str">
        <f>CONCATENATE(Tabela11[[#This Row],[Painel 1]]&amp;" "&amp;Tabela11[[#This Row],[Painel 2]])</f>
        <v>GAINE 2 1HV-BUS3</v>
      </c>
      <c r="N479" s="218">
        <v>24</v>
      </c>
      <c r="O479" s="23">
        <f>COUNTIF(Tabela12[Tag Cabo],Tabela11[[#This Row],[Tag do Cabo]])</f>
        <v>0</v>
      </c>
      <c r="P479" s="23" t="str">
        <f>IF(Tabela11[[#This Row],[Qtde Ligações]]&lt;&gt;Tabela11[[#This Row],[Qtde Anilhas]],"Ver","Ok")</f>
        <v>Ver</v>
      </c>
      <c r="Q479" s="23">
        <f>VLOOKUP(Tabela11[[#This Row],[Tag do Cabo]],BD!A:F,6,0)</f>
        <v>2.5</v>
      </c>
      <c r="R479" s="23">
        <f>SUMIF('Lançamento de Cabos'!AE:AE,Tabela11[[#This Row],[Tag do Cabo]],'Lançamento de Cabos'!AG:AG)</f>
        <v>0</v>
      </c>
      <c r="S479" s="28">
        <f>Tabela11[[#This Row],[Ligações Realizadas]]/Tabela11[[#This Row],[Qtde Ligações]]</f>
        <v>0</v>
      </c>
      <c r="T479" s="269">
        <f>IF(Tabela11[[#This Row],[Ligações Realizadas]]/Tabela11[[#This Row],[Qtde Ligações]]=0,0,IF(Tabela11[[#This Row],[Ligações Realizadas]]/Tabela11[[#This Row],[Qtde Ligações]]=1,ROUND(N479/2,0),"Ver Painel"))</f>
        <v>0</v>
      </c>
      <c r="U479" s="23">
        <f>IF(Tabela11[[#This Row],[Ligações Realizadas]]/Tabela11[[#This Row],[Qtde Ligações]]=0,0,IF(Tabela11[[#This Row],[Ligações Realizadas]]/Tabela11[[#This Row],[Qtde Ligações]]=1,ROUND(N479/2,0),"Ver Painel"))</f>
        <v>0</v>
      </c>
      <c r="V479" s="219" t="s">
        <v>1666</v>
      </c>
    </row>
    <row r="480" spans="1:22" hidden="1" x14ac:dyDescent="0.25">
      <c r="A480" s="34" t="s">
        <v>1451</v>
      </c>
      <c r="B480" s="391" t="str">
        <f>VLOOKUP(Tabela11[[#This Row],[Tag do Cabo]],BD!A:AJ,2,0)</f>
        <v>Controle</v>
      </c>
      <c r="C480" s="24" t="str">
        <f>VLOOKUP(Tabela11[[#This Row],[Tag do Cabo]],BD!A:AJ,5,0)</f>
        <v>1x1x12/C#2,5</v>
      </c>
      <c r="D480" s="3"/>
      <c r="E480" s="23" t="str">
        <f>VLOOKUP(Tabela11[[#This Row],[Tag do Cabo]],BD!A:T,20,0)</f>
        <v>BK-SP54-0900A-LC-74-00001_00000</v>
      </c>
      <c r="F480" s="233" t="str">
        <f>IF(VLOOKUP(Tabela11[[#This Row],[Tag do Cabo]],BD!A:AJ,35,0)=0,"Pendente",VLOOKUP(Tabela11[[#This Row],[Tag do Cabo]],BD!A:AJ,35,0))</f>
        <v>Procurar diagrama</v>
      </c>
      <c r="G480" s="24" t="str">
        <f>IF(VLOOKUP(Tabela11[[#This Row],[Tag do Cabo]],BD!A:AJ,36,0)=0,"Pendente",VLOOKUP(Tabela11[[#This Row],[Tag do Cabo]],BD!A:AJ,36,0))</f>
        <v>Pendente</v>
      </c>
      <c r="H480" s="391" t="str">
        <f>VLOOKUP(Tabela11[[#This Row],[Tag do Cabo]],BD!A:AJ,32,0)</f>
        <v>1HV</v>
      </c>
      <c r="I480" s="7" t="str">
        <f>VLOOKUP(Tabela11[[#This Row],[Tag do Cabo]],BD!A:AJ,11,0)</f>
        <v>GAINE 2</v>
      </c>
      <c r="J480" s="3" t="str">
        <f>VLOOKUP(Tabela11[[#This Row],[Tag do Cabo]],BD!A:AJ,12,0)</f>
        <v>1HV-BUS3 - PAINEL 13,8kV - 52D2</v>
      </c>
      <c r="K480" s="391" t="s">
        <v>137</v>
      </c>
      <c r="L480" s="391" t="s">
        <v>104</v>
      </c>
      <c r="M480" s="3" t="str">
        <f>CONCATENATE(Tabela11[[#This Row],[Painel 1]]&amp;" "&amp;Tabela11[[#This Row],[Painel 2]])</f>
        <v>GAINE 2 1HV-BUS3</v>
      </c>
      <c r="N480" s="218">
        <v>24</v>
      </c>
      <c r="O480" s="23">
        <f>COUNTIF(Tabela12[Tag Cabo],Tabela11[[#This Row],[Tag do Cabo]])</f>
        <v>0</v>
      </c>
      <c r="P480" s="23" t="str">
        <f>IF(Tabela11[[#This Row],[Qtde Ligações]]&lt;&gt;Tabela11[[#This Row],[Qtde Anilhas]],"Ver","Ok")</f>
        <v>Ver</v>
      </c>
      <c r="Q480" s="23">
        <f>VLOOKUP(Tabela11[[#This Row],[Tag do Cabo]],BD!A:F,6,0)</f>
        <v>2.5</v>
      </c>
      <c r="R480" s="23">
        <f>SUMIF('Lançamento de Cabos'!AE:AE,Tabela11[[#This Row],[Tag do Cabo]],'Lançamento de Cabos'!AG:AG)</f>
        <v>0</v>
      </c>
      <c r="S480" s="28">
        <f>Tabela11[[#This Row],[Ligações Realizadas]]/Tabela11[[#This Row],[Qtde Ligações]]</f>
        <v>0</v>
      </c>
      <c r="T480" s="269">
        <f>IF(Tabela11[[#This Row],[Ligações Realizadas]]/Tabela11[[#This Row],[Qtde Ligações]]=0,0,IF(Tabela11[[#This Row],[Ligações Realizadas]]/Tabela11[[#This Row],[Qtde Ligações]]=1,ROUND(N480/2,0),"Ver Painel"))</f>
        <v>0</v>
      </c>
      <c r="U480" s="23">
        <f>IF(Tabela11[[#This Row],[Ligações Realizadas]]/Tabela11[[#This Row],[Qtde Ligações]]=0,0,IF(Tabela11[[#This Row],[Ligações Realizadas]]/Tabela11[[#This Row],[Qtde Ligações]]=1,ROUND(N480/2,0),"Ver Painel"))</f>
        <v>0</v>
      </c>
      <c r="V480" s="219" t="s">
        <v>1666</v>
      </c>
    </row>
    <row r="481" spans="1:22" hidden="1" x14ac:dyDescent="0.25">
      <c r="A481" s="34" t="s">
        <v>1452</v>
      </c>
      <c r="B481" s="391" t="str">
        <f>VLOOKUP(Tabela11[[#This Row],[Tag do Cabo]],BD!A:AJ,2,0)</f>
        <v>Controle</v>
      </c>
      <c r="C481" s="24" t="str">
        <f>VLOOKUP(Tabela11[[#This Row],[Tag do Cabo]],BD!A:AJ,5,0)</f>
        <v>1x1x12/C#2,5</v>
      </c>
      <c r="D481" s="3"/>
      <c r="E481" s="23" t="str">
        <f>VLOOKUP(Tabela11[[#This Row],[Tag do Cabo]],BD!A:T,20,0)</f>
        <v>BK-SP54-0900A-LC-74-00001_00000</v>
      </c>
      <c r="F481" s="233" t="str">
        <f>IF(VLOOKUP(Tabela11[[#This Row],[Tag do Cabo]],BD!A:AJ,35,0)=0,"Pendente",VLOOKUP(Tabela11[[#This Row],[Tag do Cabo]],BD!A:AJ,35,0))</f>
        <v>Procurar diagrama</v>
      </c>
      <c r="G481" s="24" t="str">
        <f>IF(VLOOKUP(Tabela11[[#This Row],[Tag do Cabo]],BD!A:AJ,36,0)=0,"Pendente",VLOOKUP(Tabela11[[#This Row],[Tag do Cabo]],BD!A:AJ,36,0))</f>
        <v>Pendente</v>
      </c>
      <c r="H481" s="391" t="str">
        <f>VLOOKUP(Tabela11[[#This Row],[Tag do Cabo]],BD!A:AJ,32,0)</f>
        <v>1HV</v>
      </c>
      <c r="I481" s="7" t="str">
        <f>VLOOKUP(Tabela11[[#This Row],[Tag do Cabo]],BD!A:AJ,11,0)</f>
        <v>GAINE 2</v>
      </c>
      <c r="J481" s="3" t="str">
        <f>VLOOKUP(Tabela11[[#This Row],[Tag do Cabo]],BD!A:AJ,12,0)</f>
        <v>1HV-BUS3 - PAINEL 13,8kV - 52D2</v>
      </c>
      <c r="K481" s="391" t="s">
        <v>137</v>
      </c>
      <c r="L481" s="391" t="s">
        <v>104</v>
      </c>
      <c r="M481" s="3" t="str">
        <f>CONCATENATE(Tabela11[[#This Row],[Painel 1]]&amp;" "&amp;Tabela11[[#This Row],[Painel 2]])</f>
        <v>GAINE 2 1HV-BUS3</v>
      </c>
      <c r="N481" s="218">
        <v>24</v>
      </c>
      <c r="O481" s="23">
        <f>COUNTIF(Tabela12[Tag Cabo],Tabela11[[#This Row],[Tag do Cabo]])</f>
        <v>0</v>
      </c>
      <c r="P481" s="23" t="str">
        <f>IF(Tabela11[[#This Row],[Qtde Ligações]]&lt;&gt;Tabela11[[#This Row],[Qtde Anilhas]],"Ver","Ok")</f>
        <v>Ver</v>
      </c>
      <c r="Q481" s="23">
        <f>VLOOKUP(Tabela11[[#This Row],[Tag do Cabo]],BD!A:F,6,0)</f>
        <v>2.5</v>
      </c>
      <c r="R481" s="23">
        <f>SUMIF('Lançamento de Cabos'!AE:AE,Tabela11[[#This Row],[Tag do Cabo]],'Lançamento de Cabos'!AG:AG)</f>
        <v>0</v>
      </c>
      <c r="S481" s="28">
        <f>Tabela11[[#This Row],[Ligações Realizadas]]/Tabela11[[#This Row],[Qtde Ligações]]</f>
        <v>0</v>
      </c>
      <c r="T481" s="269">
        <f>IF(Tabela11[[#This Row],[Ligações Realizadas]]/Tabela11[[#This Row],[Qtde Ligações]]=0,0,IF(Tabela11[[#This Row],[Ligações Realizadas]]/Tabela11[[#This Row],[Qtde Ligações]]=1,ROUND(N481/2,0),"Ver Painel"))</f>
        <v>0</v>
      </c>
      <c r="U481" s="23">
        <f>IF(Tabela11[[#This Row],[Ligações Realizadas]]/Tabela11[[#This Row],[Qtde Ligações]]=0,0,IF(Tabela11[[#This Row],[Ligações Realizadas]]/Tabela11[[#This Row],[Qtde Ligações]]=1,ROUND(N481/2,0),"Ver Painel"))</f>
        <v>0</v>
      </c>
      <c r="V481" s="219" t="s">
        <v>1666</v>
      </c>
    </row>
    <row r="482" spans="1:22" hidden="1" x14ac:dyDescent="0.25">
      <c r="A482" s="34" t="s">
        <v>1453</v>
      </c>
      <c r="B482" s="391" t="str">
        <f>VLOOKUP(Tabela11[[#This Row],[Tag do Cabo]],BD!A:AJ,2,0)</f>
        <v>Controle</v>
      </c>
      <c r="C482" s="24" t="str">
        <f>VLOOKUP(Tabela11[[#This Row],[Tag do Cabo]],BD!A:AJ,5,0)</f>
        <v>1x1x12/C#2,5</v>
      </c>
      <c r="D482" s="3"/>
      <c r="E482" s="23" t="str">
        <f>VLOOKUP(Tabela11[[#This Row],[Tag do Cabo]],BD!A:T,20,0)</f>
        <v>BK-SP54-0900A-LC-74-00001_00000</v>
      </c>
      <c r="F482" s="233" t="str">
        <f>IF(VLOOKUP(Tabela11[[#This Row],[Tag do Cabo]],BD!A:AJ,35,0)=0,"Pendente",VLOOKUP(Tabela11[[#This Row],[Tag do Cabo]],BD!A:AJ,35,0))</f>
        <v>Procurar diagrama</v>
      </c>
      <c r="G482" s="24" t="str">
        <f>IF(VLOOKUP(Tabela11[[#This Row],[Tag do Cabo]],BD!A:AJ,36,0)=0,"Pendente",VLOOKUP(Tabela11[[#This Row],[Tag do Cabo]],BD!A:AJ,36,0))</f>
        <v>Pendente</v>
      </c>
      <c r="H482" s="391" t="str">
        <f>VLOOKUP(Tabela11[[#This Row],[Tag do Cabo]],BD!A:AJ,32,0)</f>
        <v>1HV</v>
      </c>
      <c r="I482" s="7" t="str">
        <f>VLOOKUP(Tabela11[[#This Row],[Tag do Cabo]],BD!A:AJ,11,0)</f>
        <v>GAINE 2</v>
      </c>
      <c r="J482" s="3" t="str">
        <f>VLOOKUP(Tabela11[[#This Row],[Tag do Cabo]],BD!A:AJ,12,0)</f>
        <v>1HV-BUS3 - PAINEL 13,8kV - 52D2</v>
      </c>
      <c r="K482" s="391" t="s">
        <v>137</v>
      </c>
      <c r="L482" s="391" t="s">
        <v>104</v>
      </c>
      <c r="M482" s="3" t="str">
        <f>CONCATENATE(Tabela11[[#This Row],[Painel 1]]&amp;" "&amp;Tabela11[[#This Row],[Painel 2]])</f>
        <v>GAINE 2 1HV-BUS3</v>
      </c>
      <c r="N482" s="218">
        <v>24</v>
      </c>
      <c r="O482" s="23">
        <f>COUNTIF(Tabela12[Tag Cabo],Tabela11[[#This Row],[Tag do Cabo]])</f>
        <v>0</v>
      </c>
      <c r="P482" s="23" t="str">
        <f>IF(Tabela11[[#This Row],[Qtde Ligações]]&lt;&gt;Tabela11[[#This Row],[Qtde Anilhas]],"Ver","Ok")</f>
        <v>Ver</v>
      </c>
      <c r="Q482" s="23">
        <f>VLOOKUP(Tabela11[[#This Row],[Tag do Cabo]],BD!A:F,6,0)</f>
        <v>2.5</v>
      </c>
      <c r="R482" s="23">
        <f>SUMIF('Lançamento de Cabos'!AE:AE,Tabela11[[#This Row],[Tag do Cabo]],'Lançamento de Cabos'!AG:AG)</f>
        <v>0</v>
      </c>
      <c r="S482" s="28">
        <f>Tabela11[[#This Row],[Ligações Realizadas]]/Tabela11[[#This Row],[Qtde Ligações]]</f>
        <v>0</v>
      </c>
      <c r="T482" s="269">
        <f>IF(Tabela11[[#This Row],[Ligações Realizadas]]/Tabela11[[#This Row],[Qtde Ligações]]=0,0,IF(Tabela11[[#This Row],[Ligações Realizadas]]/Tabela11[[#This Row],[Qtde Ligações]]=1,ROUND(N482/2,0),"Ver Painel"))</f>
        <v>0</v>
      </c>
      <c r="U482" s="23">
        <f>IF(Tabela11[[#This Row],[Ligações Realizadas]]/Tabela11[[#This Row],[Qtde Ligações]]=0,0,IF(Tabela11[[#This Row],[Ligações Realizadas]]/Tabela11[[#This Row],[Qtde Ligações]]=1,ROUND(N482/2,0),"Ver Painel"))</f>
        <v>0</v>
      </c>
      <c r="V482" s="219" t="s">
        <v>1666</v>
      </c>
    </row>
    <row r="483" spans="1:22" hidden="1" x14ac:dyDescent="0.25">
      <c r="A483" s="34" t="s">
        <v>1454</v>
      </c>
      <c r="B483" s="391" t="str">
        <f>VLOOKUP(Tabela11[[#This Row],[Tag do Cabo]],BD!A:AJ,2,0)</f>
        <v>Controle</v>
      </c>
      <c r="C483" s="24" t="str">
        <f>VLOOKUP(Tabela11[[#This Row],[Tag do Cabo]],BD!A:AJ,5,0)</f>
        <v>1x1x12/C#2,5</v>
      </c>
      <c r="D483" s="3"/>
      <c r="E483" s="23" t="str">
        <f>VLOOKUP(Tabela11[[#This Row],[Tag do Cabo]],BD!A:T,20,0)</f>
        <v>BK-SP54-0900A-LC-74-00001_00000</v>
      </c>
      <c r="F483" s="233" t="str">
        <f>IF(VLOOKUP(Tabela11[[#This Row],[Tag do Cabo]],BD!A:AJ,35,0)=0,"Pendente",VLOOKUP(Tabela11[[#This Row],[Tag do Cabo]],BD!A:AJ,35,0))</f>
        <v>Procurar diagrama</v>
      </c>
      <c r="G483" s="24" t="str">
        <f>IF(VLOOKUP(Tabela11[[#This Row],[Tag do Cabo]],BD!A:AJ,36,0)=0,"Pendente",VLOOKUP(Tabela11[[#This Row],[Tag do Cabo]],BD!A:AJ,36,0))</f>
        <v>Pendente</v>
      </c>
      <c r="H483" s="391" t="str">
        <f>VLOOKUP(Tabela11[[#This Row],[Tag do Cabo]],BD!A:AJ,32,0)</f>
        <v>1HV</v>
      </c>
      <c r="I483" s="7" t="str">
        <f>VLOOKUP(Tabela11[[#This Row],[Tag do Cabo]],BD!A:AJ,11,0)</f>
        <v>GAINE SS</v>
      </c>
      <c r="J483" s="3" t="str">
        <f>VLOOKUP(Tabela11[[#This Row],[Tag do Cabo]],BD!A:AJ,12,0)</f>
        <v>1HV-BUS3 - PAINEL 13,8kV - 52D2</v>
      </c>
      <c r="K483" s="391" t="s">
        <v>1455</v>
      </c>
      <c r="L483" s="391" t="s">
        <v>104</v>
      </c>
      <c r="M483" s="3" t="str">
        <f>CONCATENATE(Tabela11[[#This Row],[Painel 1]]&amp;" "&amp;Tabela11[[#This Row],[Painel 2]])</f>
        <v>GAINE SS 1HV-BUS3</v>
      </c>
      <c r="N483" s="218">
        <v>24</v>
      </c>
      <c r="O483" s="23">
        <f>COUNTIF(Tabela12[Tag Cabo],Tabela11[[#This Row],[Tag do Cabo]])</f>
        <v>0</v>
      </c>
      <c r="P483" s="23" t="str">
        <f>IF(Tabela11[[#This Row],[Qtde Ligações]]&lt;&gt;Tabela11[[#This Row],[Qtde Anilhas]],"Ver","Ok")</f>
        <v>Ver</v>
      </c>
      <c r="Q483" s="23">
        <f>VLOOKUP(Tabela11[[#This Row],[Tag do Cabo]],BD!A:F,6,0)</f>
        <v>2.5</v>
      </c>
      <c r="R483" s="23">
        <f>SUMIF('Lançamento de Cabos'!AE:AE,Tabela11[[#This Row],[Tag do Cabo]],'Lançamento de Cabos'!AG:AG)</f>
        <v>0</v>
      </c>
      <c r="S483" s="28">
        <f>Tabela11[[#This Row],[Ligações Realizadas]]/Tabela11[[#This Row],[Qtde Ligações]]</f>
        <v>0</v>
      </c>
      <c r="T483" s="269">
        <f>IF(Tabela11[[#This Row],[Ligações Realizadas]]/Tabela11[[#This Row],[Qtde Ligações]]=0,0,IF(Tabela11[[#This Row],[Ligações Realizadas]]/Tabela11[[#This Row],[Qtde Ligações]]=1,ROUND(N483/2,0),"Ver Painel"))</f>
        <v>0</v>
      </c>
      <c r="U483" s="23">
        <f>IF(Tabela11[[#This Row],[Ligações Realizadas]]/Tabela11[[#This Row],[Qtde Ligações]]=0,0,IF(Tabela11[[#This Row],[Ligações Realizadas]]/Tabela11[[#This Row],[Qtde Ligações]]=1,ROUND(N483/2,0),"Ver Painel"))</f>
        <v>0</v>
      </c>
      <c r="V483" s="219" t="s">
        <v>1666</v>
      </c>
    </row>
    <row r="484" spans="1:22" hidden="1" x14ac:dyDescent="0.25">
      <c r="A484" s="34" t="s">
        <v>1456</v>
      </c>
      <c r="B484" s="391" t="str">
        <f>VLOOKUP(Tabela11[[#This Row],[Tag do Cabo]],BD!A:AJ,2,0)</f>
        <v>Controle</v>
      </c>
      <c r="C484" s="24" t="str">
        <f>VLOOKUP(Tabela11[[#This Row],[Tag do Cabo]],BD!A:AJ,5,0)</f>
        <v>1x1x12/C#2,5</v>
      </c>
      <c r="D484" s="3"/>
      <c r="E484" s="23" t="str">
        <f>VLOOKUP(Tabela11[[#This Row],[Tag do Cabo]],BD!A:T,20,0)</f>
        <v>BK-SP54-0900A-LC-74-00001_00000</v>
      </c>
      <c r="F484" s="233" t="str">
        <f>IF(VLOOKUP(Tabela11[[#This Row],[Tag do Cabo]],BD!A:AJ,35,0)=0,"Pendente",VLOOKUP(Tabela11[[#This Row],[Tag do Cabo]],BD!A:AJ,35,0))</f>
        <v>Procurar diagrama</v>
      </c>
      <c r="G484" s="24" t="str">
        <f>IF(VLOOKUP(Tabela11[[#This Row],[Tag do Cabo]],BD!A:AJ,36,0)=0,"Pendente",VLOOKUP(Tabela11[[#This Row],[Tag do Cabo]],BD!A:AJ,36,0))</f>
        <v>Pendente</v>
      </c>
      <c r="H484" s="391" t="str">
        <f>VLOOKUP(Tabela11[[#This Row],[Tag do Cabo]],BD!A:AJ,32,0)</f>
        <v>1HV</v>
      </c>
      <c r="I484" s="7" t="str">
        <f>VLOOKUP(Tabela11[[#This Row],[Tag do Cabo]],BD!A:AJ,11,0)</f>
        <v>GAINE 22A</v>
      </c>
      <c r="J484" s="3" t="str">
        <f>VLOOKUP(Tabela11[[#This Row],[Tag do Cabo]],BD!A:AJ,12,0)</f>
        <v>GAINE SS</v>
      </c>
      <c r="K484" s="391" t="s">
        <v>1457</v>
      </c>
      <c r="L484" s="391" t="s">
        <v>1455</v>
      </c>
      <c r="M484" s="3" t="str">
        <f>CONCATENATE(Tabela11[[#This Row],[Painel 1]]&amp;" "&amp;Tabela11[[#This Row],[Painel 2]])</f>
        <v>GAINE 22A GAINE SS</v>
      </c>
      <c r="N484" s="218">
        <v>24</v>
      </c>
      <c r="O484" s="23">
        <f>COUNTIF(Tabela12[Tag Cabo],Tabela11[[#This Row],[Tag do Cabo]])</f>
        <v>0</v>
      </c>
      <c r="P484" s="23" t="str">
        <f>IF(Tabela11[[#This Row],[Qtde Ligações]]&lt;&gt;Tabela11[[#This Row],[Qtde Anilhas]],"Ver","Ok")</f>
        <v>Ver</v>
      </c>
      <c r="Q484" s="23">
        <f>VLOOKUP(Tabela11[[#This Row],[Tag do Cabo]],BD!A:F,6,0)</f>
        <v>2.5</v>
      </c>
      <c r="R484" s="23">
        <f>SUMIF('Lançamento de Cabos'!AE:AE,Tabela11[[#This Row],[Tag do Cabo]],'Lançamento de Cabos'!AG:AG)</f>
        <v>0</v>
      </c>
      <c r="S484" s="28">
        <f>Tabela11[[#This Row],[Ligações Realizadas]]/Tabela11[[#This Row],[Qtde Ligações]]</f>
        <v>0</v>
      </c>
      <c r="T484" s="269">
        <f>IF(Tabela11[[#This Row],[Ligações Realizadas]]/Tabela11[[#This Row],[Qtde Ligações]]=0,0,IF(Tabela11[[#This Row],[Ligações Realizadas]]/Tabela11[[#This Row],[Qtde Ligações]]=1,ROUND(N484/2,0),"Ver Painel"))</f>
        <v>0</v>
      </c>
      <c r="U484" s="23">
        <f>IF(Tabela11[[#This Row],[Ligações Realizadas]]/Tabela11[[#This Row],[Qtde Ligações]]=0,0,IF(Tabela11[[#This Row],[Ligações Realizadas]]/Tabela11[[#This Row],[Qtde Ligações]]=1,ROUND(N484/2,0),"Ver Painel"))</f>
        <v>0</v>
      </c>
      <c r="V484" s="219" t="s">
        <v>1666</v>
      </c>
    </row>
    <row r="485" spans="1:22" hidden="1" x14ac:dyDescent="0.25">
      <c r="A485" s="34" t="s">
        <v>1458</v>
      </c>
      <c r="B485" s="391" t="str">
        <f>VLOOKUP(Tabela11[[#This Row],[Tag do Cabo]],BD!A:AJ,2,0)</f>
        <v>Controle</v>
      </c>
      <c r="C485" s="24" t="str">
        <f>VLOOKUP(Tabela11[[#This Row],[Tag do Cabo]],BD!A:AJ,5,0)</f>
        <v>1x1x12/C#2,5</v>
      </c>
      <c r="D485" s="3"/>
      <c r="E485" s="23" t="str">
        <f>VLOOKUP(Tabela11[[#This Row],[Tag do Cabo]],BD!A:T,20,0)</f>
        <v>BK-SP54-0900A-LC-74-00001_00000</v>
      </c>
      <c r="F485" s="233" t="str">
        <f>IF(VLOOKUP(Tabela11[[#This Row],[Tag do Cabo]],BD!A:AJ,35,0)=0,"Pendente",VLOOKUP(Tabela11[[#This Row],[Tag do Cabo]],BD!A:AJ,35,0))</f>
        <v>Procurar diagrama</v>
      </c>
      <c r="G485" s="24" t="str">
        <f>IF(VLOOKUP(Tabela11[[#This Row],[Tag do Cabo]],BD!A:AJ,36,0)=0,"Pendente",VLOOKUP(Tabela11[[#This Row],[Tag do Cabo]],BD!A:AJ,36,0))</f>
        <v>Pendente</v>
      </c>
      <c r="H485" s="391" t="str">
        <f>VLOOKUP(Tabela11[[#This Row],[Tag do Cabo]],BD!A:AJ,32,0)</f>
        <v>1HV</v>
      </c>
      <c r="I485" s="7" t="str">
        <f>VLOOKUP(Tabela11[[#This Row],[Tag do Cabo]],BD!A:AJ,11,0)</f>
        <v>GAINE 2</v>
      </c>
      <c r="J485" s="3" t="str">
        <f>VLOOKUP(Tabela11[[#This Row],[Tag do Cabo]],BD!A:AJ,12,0)</f>
        <v>1HV-BUS3 - PAINEL 13,8kV - 24HV1-4</v>
      </c>
      <c r="K485" s="391" t="s">
        <v>137</v>
      </c>
      <c r="L485" s="391" t="s">
        <v>104</v>
      </c>
      <c r="M485" s="3" t="str">
        <f>CONCATENATE(Tabela11[[#This Row],[Painel 1]]&amp;" "&amp;Tabela11[[#This Row],[Painel 2]])</f>
        <v>GAINE 2 1HV-BUS3</v>
      </c>
      <c r="N485" s="218">
        <v>24</v>
      </c>
      <c r="O485" s="23">
        <f>COUNTIF(Tabela12[Tag Cabo],Tabela11[[#This Row],[Tag do Cabo]])</f>
        <v>0</v>
      </c>
      <c r="P485" s="23" t="str">
        <f>IF(Tabela11[[#This Row],[Qtde Ligações]]&lt;&gt;Tabela11[[#This Row],[Qtde Anilhas]],"Ver","Ok")</f>
        <v>Ver</v>
      </c>
      <c r="Q485" s="23">
        <f>VLOOKUP(Tabela11[[#This Row],[Tag do Cabo]],BD!A:F,6,0)</f>
        <v>2.5</v>
      </c>
      <c r="R485" s="23">
        <f>SUMIF('Lançamento de Cabos'!AE:AE,Tabela11[[#This Row],[Tag do Cabo]],'Lançamento de Cabos'!AG:AG)</f>
        <v>0</v>
      </c>
      <c r="S485" s="28">
        <f>Tabela11[[#This Row],[Ligações Realizadas]]/Tabela11[[#This Row],[Qtde Ligações]]</f>
        <v>0</v>
      </c>
      <c r="T485" s="269">
        <f>IF(Tabela11[[#This Row],[Ligações Realizadas]]/Tabela11[[#This Row],[Qtde Ligações]]=0,0,IF(Tabela11[[#This Row],[Ligações Realizadas]]/Tabela11[[#This Row],[Qtde Ligações]]=1,ROUND(N485/2,0),"Ver Painel"))</f>
        <v>0</v>
      </c>
      <c r="U485" s="23">
        <f>IF(Tabela11[[#This Row],[Ligações Realizadas]]/Tabela11[[#This Row],[Qtde Ligações]]=0,0,IF(Tabela11[[#This Row],[Ligações Realizadas]]/Tabela11[[#This Row],[Qtde Ligações]]=1,ROUND(N485/2,0),"Ver Painel"))</f>
        <v>0</v>
      </c>
      <c r="V485" s="219" t="s">
        <v>1666</v>
      </c>
    </row>
    <row r="486" spans="1:22" hidden="1" x14ac:dyDescent="0.25">
      <c r="A486" s="34" t="s">
        <v>1460</v>
      </c>
      <c r="B486" s="391" t="str">
        <f>VLOOKUP(Tabela11[[#This Row],[Tag do Cabo]],BD!A:AJ,2,0)</f>
        <v>Controle</v>
      </c>
      <c r="C486" s="24" t="str">
        <f>VLOOKUP(Tabela11[[#This Row],[Tag do Cabo]],BD!A:AJ,5,0)</f>
        <v>1x1x12/C#2,5</v>
      </c>
      <c r="D486" s="3"/>
      <c r="E486" s="23" t="str">
        <f>VLOOKUP(Tabela11[[#This Row],[Tag do Cabo]],BD!A:T,20,0)</f>
        <v>BK-SP54-0900A-LC-74-00001_00000</v>
      </c>
      <c r="F486" s="233" t="str">
        <f>IF(VLOOKUP(Tabela11[[#This Row],[Tag do Cabo]],BD!A:AJ,35,0)=0,"Pendente",VLOOKUP(Tabela11[[#This Row],[Tag do Cabo]],BD!A:AJ,35,0))</f>
        <v>Procurar diagrama</v>
      </c>
      <c r="G486" s="24" t="str">
        <f>IF(VLOOKUP(Tabela11[[#This Row],[Tag do Cabo]],BD!A:AJ,36,0)=0,"Pendente",VLOOKUP(Tabela11[[#This Row],[Tag do Cabo]],BD!A:AJ,36,0))</f>
        <v>Pendente</v>
      </c>
      <c r="H486" s="391" t="str">
        <f>VLOOKUP(Tabela11[[#This Row],[Tag do Cabo]],BD!A:AJ,32,0)</f>
        <v>1HV</v>
      </c>
      <c r="I486" s="7" t="str">
        <f>VLOOKUP(Tabela11[[#This Row],[Tag do Cabo]],BD!A:AJ,11,0)</f>
        <v>GAINE 2</v>
      </c>
      <c r="J486" s="3" t="str">
        <f>VLOOKUP(Tabela11[[#This Row],[Tag do Cabo]],BD!A:AJ,12,0)</f>
        <v>1HV-BUS3 - PAINEL 13,8kV - 24HV1-4</v>
      </c>
      <c r="K486" s="391" t="s">
        <v>137</v>
      </c>
      <c r="L486" s="391" t="s">
        <v>104</v>
      </c>
      <c r="M486" s="3" t="str">
        <f>CONCATENATE(Tabela11[[#This Row],[Painel 1]]&amp;" "&amp;Tabela11[[#This Row],[Painel 2]])</f>
        <v>GAINE 2 1HV-BUS3</v>
      </c>
      <c r="N486" s="218">
        <v>24</v>
      </c>
      <c r="O486" s="23">
        <f>COUNTIF(Tabela12[Tag Cabo],Tabela11[[#This Row],[Tag do Cabo]])</f>
        <v>0</v>
      </c>
      <c r="P486" s="23" t="str">
        <f>IF(Tabela11[[#This Row],[Qtde Ligações]]&lt;&gt;Tabela11[[#This Row],[Qtde Anilhas]],"Ver","Ok")</f>
        <v>Ver</v>
      </c>
      <c r="Q486" s="23">
        <f>VLOOKUP(Tabela11[[#This Row],[Tag do Cabo]],BD!A:F,6,0)</f>
        <v>2.5</v>
      </c>
      <c r="R486" s="23">
        <f>SUMIF('Lançamento de Cabos'!AE:AE,Tabela11[[#This Row],[Tag do Cabo]],'Lançamento de Cabos'!AG:AG)</f>
        <v>0</v>
      </c>
      <c r="S486" s="28">
        <f>Tabela11[[#This Row],[Ligações Realizadas]]/Tabela11[[#This Row],[Qtde Ligações]]</f>
        <v>0</v>
      </c>
      <c r="T486" s="269">
        <f>IF(Tabela11[[#This Row],[Ligações Realizadas]]/Tabela11[[#This Row],[Qtde Ligações]]=0,0,IF(Tabela11[[#This Row],[Ligações Realizadas]]/Tabela11[[#This Row],[Qtde Ligações]]=1,ROUND(N486/2,0),"Ver Painel"))</f>
        <v>0</v>
      </c>
      <c r="U486" s="23">
        <f>IF(Tabela11[[#This Row],[Ligações Realizadas]]/Tabela11[[#This Row],[Qtde Ligações]]=0,0,IF(Tabela11[[#This Row],[Ligações Realizadas]]/Tabela11[[#This Row],[Qtde Ligações]]=1,ROUND(N486/2,0),"Ver Painel"))</f>
        <v>0</v>
      </c>
      <c r="V486" s="219" t="s">
        <v>1666</v>
      </c>
    </row>
    <row r="487" spans="1:22" hidden="1" x14ac:dyDescent="0.25">
      <c r="A487" s="34" t="s">
        <v>1461</v>
      </c>
      <c r="B487" s="391" t="str">
        <f>VLOOKUP(Tabela11[[#This Row],[Tag do Cabo]],BD!A:AJ,2,0)</f>
        <v>Controle</v>
      </c>
      <c r="C487" s="24" t="str">
        <f>VLOOKUP(Tabela11[[#This Row],[Tag do Cabo]],BD!A:AJ,5,0)</f>
        <v>1x1x12/C#2,5</v>
      </c>
      <c r="D487" s="3"/>
      <c r="E487" s="23" t="str">
        <f>VLOOKUP(Tabela11[[#This Row],[Tag do Cabo]],BD!A:T,20,0)</f>
        <v>BK-SP54-0900A-LC-74-00001_00000</v>
      </c>
      <c r="F487" s="233" t="str">
        <f>IF(VLOOKUP(Tabela11[[#This Row],[Tag do Cabo]],BD!A:AJ,35,0)=0,"Pendente",VLOOKUP(Tabela11[[#This Row],[Tag do Cabo]],BD!A:AJ,35,0))</f>
        <v>Procurar diagrama</v>
      </c>
      <c r="G487" s="24" t="str">
        <f>IF(VLOOKUP(Tabela11[[#This Row],[Tag do Cabo]],BD!A:AJ,36,0)=0,"Pendente",VLOOKUP(Tabela11[[#This Row],[Tag do Cabo]],BD!A:AJ,36,0))</f>
        <v>Pendente</v>
      </c>
      <c r="H487" s="391" t="str">
        <f>VLOOKUP(Tabela11[[#This Row],[Tag do Cabo]],BD!A:AJ,32,0)</f>
        <v>1HV</v>
      </c>
      <c r="I487" s="7" t="str">
        <f>VLOOKUP(Tabela11[[#This Row],[Tag do Cabo]],BD!A:AJ,11,0)</f>
        <v>GAINE 2</v>
      </c>
      <c r="J487" s="3" t="str">
        <f>VLOOKUP(Tabela11[[#This Row],[Tag do Cabo]],BD!A:AJ,12,0)</f>
        <v>1HV-BUS3 - PAINEL 13,8kV - 24HV1-4</v>
      </c>
      <c r="K487" s="391" t="s">
        <v>137</v>
      </c>
      <c r="L487" s="391" t="s">
        <v>104</v>
      </c>
      <c r="M487" s="3" t="str">
        <f>CONCATENATE(Tabela11[[#This Row],[Painel 1]]&amp;" "&amp;Tabela11[[#This Row],[Painel 2]])</f>
        <v>GAINE 2 1HV-BUS3</v>
      </c>
      <c r="N487" s="218">
        <v>24</v>
      </c>
      <c r="O487" s="23">
        <f>COUNTIF(Tabela12[Tag Cabo],Tabela11[[#This Row],[Tag do Cabo]])</f>
        <v>0</v>
      </c>
      <c r="P487" s="23" t="str">
        <f>IF(Tabela11[[#This Row],[Qtde Ligações]]&lt;&gt;Tabela11[[#This Row],[Qtde Anilhas]],"Ver","Ok")</f>
        <v>Ver</v>
      </c>
      <c r="Q487" s="23">
        <f>VLOOKUP(Tabela11[[#This Row],[Tag do Cabo]],BD!A:F,6,0)</f>
        <v>2.5</v>
      </c>
      <c r="R487" s="23">
        <f>SUMIF('Lançamento de Cabos'!AE:AE,Tabela11[[#This Row],[Tag do Cabo]],'Lançamento de Cabos'!AG:AG)</f>
        <v>0</v>
      </c>
      <c r="S487" s="28">
        <f>Tabela11[[#This Row],[Ligações Realizadas]]/Tabela11[[#This Row],[Qtde Ligações]]</f>
        <v>0</v>
      </c>
      <c r="T487" s="269">
        <f>IF(Tabela11[[#This Row],[Ligações Realizadas]]/Tabela11[[#This Row],[Qtde Ligações]]=0,0,IF(Tabela11[[#This Row],[Ligações Realizadas]]/Tabela11[[#This Row],[Qtde Ligações]]=1,ROUND(N487/2,0),"Ver Painel"))</f>
        <v>0</v>
      </c>
      <c r="U487" s="23">
        <f>IF(Tabela11[[#This Row],[Ligações Realizadas]]/Tabela11[[#This Row],[Qtde Ligações]]=0,0,IF(Tabela11[[#This Row],[Ligações Realizadas]]/Tabela11[[#This Row],[Qtde Ligações]]=1,ROUND(N487/2,0),"Ver Painel"))</f>
        <v>0</v>
      </c>
      <c r="V487" s="219" t="s">
        <v>1666</v>
      </c>
    </row>
    <row r="488" spans="1:22" hidden="1" x14ac:dyDescent="0.25">
      <c r="A488" s="34" t="s">
        <v>1462</v>
      </c>
      <c r="B488" s="391" t="str">
        <f>VLOOKUP(Tabela11[[#This Row],[Tag do Cabo]],BD!A:AJ,2,0)</f>
        <v>Controle</v>
      </c>
      <c r="C488" s="24" t="str">
        <f>VLOOKUP(Tabela11[[#This Row],[Tag do Cabo]],BD!A:AJ,5,0)</f>
        <v>1x1x12/C#2,5</v>
      </c>
      <c r="D488" s="3"/>
      <c r="E488" s="23" t="str">
        <f>VLOOKUP(Tabela11[[#This Row],[Tag do Cabo]],BD!A:T,20,0)</f>
        <v>BK-SP54-0900A-LC-74-00001_00000</v>
      </c>
      <c r="F488" s="233" t="str">
        <f>IF(VLOOKUP(Tabela11[[#This Row],[Tag do Cabo]],BD!A:AJ,35,0)=0,"Pendente",VLOOKUP(Tabela11[[#This Row],[Tag do Cabo]],BD!A:AJ,35,0))</f>
        <v>Procurar diagrama</v>
      </c>
      <c r="G488" s="24" t="str">
        <f>IF(VLOOKUP(Tabela11[[#This Row],[Tag do Cabo]],BD!A:AJ,36,0)=0,"Pendente",VLOOKUP(Tabela11[[#This Row],[Tag do Cabo]],BD!A:AJ,36,0))</f>
        <v>Pendente</v>
      </c>
      <c r="H488" s="391" t="str">
        <f>VLOOKUP(Tabela11[[#This Row],[Tag do Cabo]],BD!A:AJ,32,0)</f>
        <v>1HV</v>
      </c>
      <c r="I488" s="7" t="str">
        <f>VLOOKUP(Tabela11[[#This Row],[Tag do Cabo]],BD!A:AJ,11,0)</f>
        <v>GAINE 2</v>
      </c>
      <c r="J488" s="3" t="str">
        <f>VLOOKUP(Tabela11[[#This Row],[Tag do Cabo]],BD!A:AJ,12,0)</f>
        <v>1HV-BUS3 - PAINEL 13,8kV - 24HV1-4</v>
      </c>
      <c r="K488" s="391" t="s">
        <v>137</v>
      </c>
      <c r="L488" s="391" t="s">
        <v>104</v>
      </c>
      <c r="M488" s="3" t="str">
        <f>CONCATENATE(Tabela11[[#This Row],[Painel 1]]&amp;" "&amp;Tabela11[[#This Row],[Painel 2]])</f>
        <v>GAINE 2 1HV-BUS3</v>
      </c>
      <c r="N488" s="218">
        <v>24</v>
      </c>
      <c r="O488" s="23">
        <f>COUNTIF(Tabela12[Tag Cabo],Tabela11[[#This Row],[Tag do Cabo]])</f>
        <v>0</v>
      </c>
      <c r="P488" s="23" t="str">
        <f>IF(Tabela11[[#This Row],[Qtde Ligações]]&lt;&gt;Tabela11[[#This Row],[Qtde Anilhas]],"Ver","Ok")</f>
        <v>Ver</v>
      </c>
      <c r="Q488" s="23">
        <f>VLOOKUP(Tabela11[[#This Row],[Tag do Cabo]],BD!A:F,6,0)</f>
        <v>2.5</v>
      </c>
      <c r="R488" s="23">
        <f>SUMIF('Lançamento de Cabos'!AE:AE,Tabela11[[#This Row],[Tag do Cabo]],'Lançamento de Cabos'!AG:AG)</f>
        <v>0</v>
      </c>
      <c r="S488" s="28">
        <f>Tabela11[[#This Row],[Ligações Realizadas]]/Tabela11[[#This Row],[Qtde Ligações]]</f>
        <v>0</v>
      </c>
      <c r="T488" s="269">
        <f>IF(Tabela11[[#This Row],[Ligações Realizadas]]/Tabela11[[#This Row],[Qtde Ligações]]=0,0,IF(Tabela11[[#This Row],[Ligações Realizadas]]/Tabela11[[#This Row],[Qtde Ligações]]=1,ROUND(N488/2,0),"Ver Painel"))</f>
        <v>0</v>
      </c>
      <c r="U488" s="23">
        <f>IF(Tabela11[[#This Row],[Ligações Realizadas]]/Tabela11[[#This Row],[Qtde Ligações]]=0,0,IF(Tabela11[[#This Row],[Ligações Realizadas]]/Tabela11[[#This Row],[Qtde Ligações]]=1,ROUND(N488/2,0),"Ver Painel"))</f>
        <v>0</v>
      </c>
      <c r="V488" s="219" t="s">
        <v>1666</v>
      </c>
    </row>
    <row r="489" spans="1:22" hidden="1" x14ac:dyDescent="0.25">
      <c r="A489" s="34" t="s">
        <v>1463</v>
      </c>
      <c r="B489" s="391" t="str">
        <f>VLOOKUP(Tabela11[[#This Row],[Tag do Cabo]],BD!A:AJ,2,0)</f>
        <v>Controle</v>
      </c>
      <c r="C489" s="24" t="str">
        <f>VLOOKUP(Tabela11[[#This Row],[Tag do Cabo]],BD!A:AJ,5,0)</f>
        <v>1x1x12/C#2,5</v>
      </c>
      <c r="D489" s="3"/>
      <c r="E489" s="23" t="str">
        <f>VLOOKUP(Tabela11[[#This Row],[Tag do Cabo]],BD!A:T,20,0)</f>
        <v>BK-SP54-0900A-LC-74-00001_00000</v>
      </c>
      <c r="F489" s="233" t="str">
        <f>IF(VLOOKUP(Tabela11[[#This Row],[Tag do Cabo]],BD!A:AJ,35,0)=0,"Pendente",VLOOKUP(Tabela11[[#This Row],[Tag do Cabo]],BD!A:AJ,35,0))</f>
        <v>Procurar diagrama</v>
      </c>
      <c r="G489" s="24" t="str">
        <f>IF(VLOOKUP(Tabela11[[#This Row],[Tag do Cabo]],BD!A:AJ,36,0)=0,"Pendente",VLOOKUP(Tabela11[[#This Row],[Tag do Cabo]],BD!A:AJ,36,0))</f>
        <v>Pendente</v>
      </c>
      <c r="H489" s="391" t="str">
        <f>VLOOKUP(Tabela11[[#This Row],[Tag do Cabo]],BD!A:AJ,32,0)</f>
        <v>1HV</v>
      </c>
      <c r="I489" s="7" t="str">
        <f>VLOOKUP(Tabela11[[#This Row],[Tag do Cabo]],BD!A:AJ,11,0)</f>
        <v>GAINE 2</v>
      </c>
      <c r="J489" s="3" t="str">
        <f>VLOOKUP(Tabela11[[#This Row],[Tag do Cabo]],BD!A:AJ,12,0)</f>
        <v>1HV-BUS3 - PAINEL 13,8kV - 24HV1-4</v>
      </c>
      <c r="K489" s="391" t="s">
        <v>137</v>
      </c>
      <c r="L489" s="391" t="s">
        <v>104</v>
      </c>
      <c r="M489" s="3" t="str">
        <f>CONCATENATE(Tabela11[[#This Row],[Painel 1]]&amp;" "&amp;Tabela11[[#This Row],[Painel 2]])</f>
        <v>GAINE 2 1HV-BUS3</v>
      </c>
      <c r="N489" s="218">
        <v>24</v>
      </c>
      <c r="O489" s="23">
        <f>COUNTIF(Tabela12[Tag Cabo],Tabela11[[#This Row],[Tag do Cabo]])</f>
        <v>0</v>
      </c>
      <c r="P489" s="23" t="str">
        <f>IF(Tabela11[[#This Row],[Qtde Ligações]]&lt;&gt;Tabela11[[#This Row],[Qtde Anilhas]],"Ver","Ok")</f>
        <v>Ver</v>
      </c>
      <c r="Q489" s="23">
        <f>VLOOKUP(Tabela11[[#This Row],[Tag do Cabo]],BD!A:F,6,0)</f>
        <v>2.5</v>
      </c>
      <c r="R489" s="23">
        <f>SUMIF('Lançamento de Cabos'!AE:AE,Tabela11[[#This Row],[Tag do Cabo]],'Lançamento de Cabos'!AG:AG)</f>
        <v>0</v>
      </c>
      <c r="S489" s="28">
        <f>Tabela11[[#This Row],[Ligações Realizadas]]/Tabela11[[#This Row],[Qtde Ligações]]</f>
        <v>0</v>
      </c>
      <c r="T489" s="269">
        <f>IF(Tabela11[[#This Row],[Ligações Realizadas]]/Tabela11[[#This Row],[Qtde Ligações]]=0,0,IF(Tabela11[[#This Row],[Ligações Realizadas]]/Tabela11[[#This Row],[Qtde Ligações]]=1,ROUND(N489/2,0),"Ver Painel"))</f>
        <v>0</v>
      </c>
      <c r="U489" s="23">
        <f>IF(Tabela11[[#This Row],[Ligações Realizadas]]/Tabela11[[#This Row],[Qtde Ligações]]=0,0,IF(Tabela11[[#This Row],[Ligações Realizadas]]/Tabela11[[#This Row],[Qtde Ligações]]=1,ROUND(N489/2,0),"Ver Painel"))</f>
        <v>0</v>
      </c>
      <c r="V489" s="219" t="s">
        <v>1666</v>
      </c>
    </row>
    <row r="490" spans="1:22" hidden="1" x14ac:dyDescent="0.25">
      <c r="A490" s="34" t="s">
        <v>1464</v>
      </c>
      <c r="B490" s="391" t="str">
        <f>VLOOKUP(Tabela11[[#This Row],[Tag do Cabo]],BD!A:AJ,2,0)</f>
        <v>Controle</v>
      </c>
      <c r="C490" s="24" t="str">
        <f>VLOOKUP(Tabela11[[#This Row],[Tag do Cabo]],BD!A:AJ,5,0)</f>
        <v>1x1x12/C#2,5</v>
      </c>
      <c r="D490" s="3"/>
      <c r="E490" s="23" t="str">
        <f>VLOOKUP(Tabela11[[#This Row],[Tag do Cabo]],BD!A:T,20,0)</f>
        <v>BK-SP54-0900A-LC-74-00001_00000</v>
      </c>
      <c r="F490" s="233" t="str">
        <f>IF(VLOOKUP(Tabela11[[#This Row],[Tag do Cabo]],BD!A:AJ,35,0)=0,"Pendente",VLOOKUP(Tabela11[[#This Row],[Tag do Cabo]],BD!A:AJ,35,0))</f>
        <v>Procurar diagrama</v>
      </c>
      <c r="G490" s="24" t="str">
        <f>IF(VLOOKUP(Tabela11[[#This Row],[Tag do Cabo]],BD!A:AJ,36,0)=0,"Pendente",VLOOKUP(Tabela11[[#This Row],[Tag do Cabo]],BD!A:AJ,36,0))</f>
        <v>Pendente</v>
      </c>
      <c r="H490" s="391" t="str">
        <f>VLOOKUP(Tabela11[[#This Row],[Tag do Cabo]],BD!A:AJ,32,0)</f>
        <v>1HV</v>
      </c>
      <c r="I490" s="7" t="str">
        <f>VLOOKUP(Tabela11[[#This Row],[Tag do Cabo]],BD!A:AJ,11,0)</f>
        <v>GAINE SS</v>
      </c>
      <c r="J490" s="3" t="str">
        <f>VLOOKUP(Tabela11[[#This Row],[Tag do Cabo]],BD!A:AJ,12,0)</f>
        <v>1HV-BUS3 - PAINEL 13,8kV - 24HV1-4</v>
      </c>
      <c r="K490" s="391" t="s">
        <v>1455</v>
      </c>
      <c r="L490" s="391" t="s">
        <v>104</v>
      </c>
      <c r="M490" s="3" t="str">
        <f>CONCATENATE(Tabela11[[#This Row],[Painel 1]]&amp;" "&amp;Tabela11[[#This Row],[Painel 2]])</f>
        <v>GAINE SS 1HV-BUS3</v>
      </c>
      <c r="N490" s="218">
        <v>24</v>
      </c>
      <c r="O490" s="23">
        <f>COUNTIF(Tabela12[Tag Cabo],Tabela11[[#This Row],[Tag do Cabo]])</f>
        <v>0</v>
      </c>
      <c r="P490" s="23" t="str">
        <f>IF(Tabela11[[#This Row],[Qtde Ligações]]&lt;&gt;Tabela11[[#This Row],[Qtde Anilhas]],"Ver","Ok")</f>
        <v>Ver</v>
      </c>
      <c r="Q490" s="23">
        <f>VLOOKUP(Tabela11[[#This Row],[Tag do Cabo]],BD!A:F,6,0)</f>
        <v>2.5</v>
      </c>
      <c r="R490" s="23">
        <f>SUMIF('Lançamento de Cabos'!AE:AE,Tabela11[[#This Row],[Tag do Cabo]],'Lançamento de Cabos'!AG:AG)</f>
        <v>0</v>
      </c>
      <c r="S490" s="28">
        <f>Tabela11[[#This Row],[Ligações Realizadas]]/Tabela11[[#This Row],[Qtde Ligações]]</f>
        <v>0</v>
      </c>
      <c r="T490" s="269">
        <f>IF(Tabela11[[#This Row],[Ligações Realizadas]]/Tabela11[[#This Row],[Qtde Ligações]]=0,0,IF(Tabela11[[#This Row],[Ligações Realizadas]]/Tabela11[[#This Row],[Qtde Ligações]]=1,ROUND(N490/2,0),"Ver Painel"))</f>
        <v>0</v>
      </c>
      <c r="U490" s="23">
        <f>IF(Tabela11[[#This Row],[Ligações Realizadas]]/Tabela11[[#This Row],[Qtde Ligações]]=0,0,IF(Tabela11[[#This Row],[Ligações Realizadas]]/Tabela11[[#This Row],[Qtde Ligações]]=1,ROUND(N490/2,0),"Ver Painel"))</f>
        <v>0</v>
      </c>
      <c r="V490" s="219" t="s">
        <v>1666</v>
      </c>
    </row>
    <row r="491" spans="1:22" hidden="1" x14ac:dyDescent="0.25">
      <c r="A491" s="34" t="s">
        <v>1465</v>
      </c>
      <c r="B491" s="391" t="str">
        <f>VLOOKUP(Tabela11[[#This Row],[Tag do Cabo]],BD!A:AJ,2,0)</f>
        <v>Controle</v>
      </c>
      <c r="C491" s="24" t="str">
        <f>VLOOKUP(Tabela11[[#This Row],[Tag do Cabo]],BD!A:AJ,5,0)</f>
        <v>1x1x12/C#2,5</v>
      </c>
      <c r="D491" s="3"/>
      <c r="E491" s="23" t="str">
        <f>VLOOKUP(Tabela11[[#This Row],[Tag do Cabo]],BD!A:T,20,0)</f>
        <v>BK-SP54-0900A-LC-74-00001_00000</v>
      </c>
      <c r="F491" s="233" t="str">
        <f>IF(VLOOKUP(Tabela11[[#This Row],[Tag do Cabo]],BD!A:AJ,35,0)=0,"Pendente",VLOOKUP(Tabela11[[#This Row],[Tag do Cabo]],BD!A:AJ,35,0))</f>
        <v>Procurar diagrama</v>
      </c>
      <c r="G491" s="24" t="str">
        <f>IF(VLOOKUP(Tabela11[[#This Row],[Tag do Cabo]],BD!A:AJ,36,0)=0,"Pendente",VLOOKUP(Tabela11[[#This Row],[Tag do Cabo]],BD!A:AJ,36,0))</f>
        <v>Pendente</v>
      </c>
      <c r="H491" s="391" t="str">
        <f>VLOOKUP(Tabela11[[#This Row],[Tag do Cabo]],BD!A:AJ,32,0)</f>
        <v>1HV</v>
      </c>
      <c r="I491" s="7" t="str">
        <f>VLOOKUP(Tabela11[[#This Row],[Tag do Cabo]],BD!A:AJ,11,0)</f>
        <v>GAINE 2</v>
      </c>
      <c r="J491" s="3" t="str">
        <f>VLOOKUP(Tabela11[[#This Row],[Tag do Cabo]],BD!A:AJ,12,0)</f>
        <v>GAINE SS</v>
      </c>
      <c r="K491" s="391" t="s">
        <v>137</v>
      </c>
      <c r="L491" s="391" t="s">
        <v>1455</v>
      </c>
      <c r="M491" s="3" t="str">
        <f>CONCATENATE(Tabela11[[#This Row],[Painel 1]]&amp;" "&amp;Tabela11[[#This Row],[Painel 2]])</f>
        <v>GAINE 2 GAINE SS</v>
      </c>
      <c r="N491" s="218">
        <v>24</v>
      </c>
      <c r="O491" s="23">
        <f>COUNTIF(Tabela12[Tag Cabo],Tabela11[[#This Row],[Tag do Cabo]])</f>
        <v>0</v>
      </c>
      <c r="P491" s="23" t="str">
        <f>IF(Tabela11[[#This Row],[Qtde Ligações]]&lt;&gt;Tabela11[[#This Row],[Qtde Anilhas]],"Ver","Ok")</f>
        <v>Ver</v>
      </c>
      <c r="Q491" s="23">
        <f>VLOOKUP(Tabela11[[#This Row],[Tag do Cabo]],BD!A:F,6,0)</f>
        <v>2.5</v>
      </c>
      <c r="R491" s="23">
        <f>SUMIF('Lançamento de Cabos'!AE:AE,Tabela11[[#This Row],[Tag do Cabo]],'Lançamento de Cabos'!AG:AG)</f>
        <v>0</v>
      </c>
      <c r="S491" s="28">
        <f>Tabela11[[#This Row],[Ligações Realizadas]]/Tabela11[[#This Row],[Qtde Ligações]]</f>
        <v>0</v>
      </c>
      <c r="T491" s="269">
        <f>IF(Tabela11[[#This Row],[Ligações Realizadas]]/Tabela11[[#This Row],[Qtde Ligações]]=0,0,IF(Tabela11[[#This Row],[Ligações Realizadas]]/Tabela11[[#This Row],[Qtde Ligações]]=1,ROUND(N491/2,0),"Ver Painel"))</f>
        <v>0</v>
      </c>
      <c r="U491" s="23">
        <f>IF(Tabela11[[#This Row],[Ligações Realizadas]]/Tabela11[[#This Row],[Qtde Ligações]]=0,0,IF(Tabela11[[#This Row],[Ligações Realizadas]]/Tabela11[[#This Row],[Qtde Ligações]]=1,ROUND(N491/2,0),"Ver Painel"))</f>
        <v>0</v>
      </c>
      <c r="V491" s="219" t="s">
        <v>1666</v>
      </c>
    </row>
    <row r="492" spans="1:22" hidden="1" x14ac:dyDescent="0.25">
      <c r="A492" s="34" t="s">
        <v>1466</v>
      </c>
      <c r="B492" s="391" t="str">
        <f>VLOOKUP(Tabela11[[#This Row],[Tag do Cabo]],BD!A:AJ,2,0)</f>
        <v>Controle</v>
      </c>
      <c r="C492" s="24" t="str">
        <f>VLOOKUP(Tabela11[[#This Row],[Tag do Cabo]],BD!A:AJ,5,0)</f>
        <v>1x1x12/C#2,5</v>
      </c>
      <c r="D492" s="3"/>
      <c r="E492" s="23" t="str">
        <f>VLOOKUP(Tabela11[[#This Row],[Tag do Cabo]],BD!A:T,20,0)</f>
        <v>BK-SP54-0900A-LC-74-00001_00000</v>
      </c>
      <c r="F492" s="233" t="str">
        <f>IF(VLOOKUP(Tabela11[[#This Row],[Tag do Cabo]],BD!A:AJ,35,0)=0,"Pendente",VLOOKUP(Tabela11[[#This Row],[Tag do Cabo]],BD!A:AJ,35,0))</f>
        <v>Procurar diagrama</v>
      </c>
      <c r="G492" s="24" t="str">
        <f>IF(VLOOKUP(Tabela11[[#This Row],[Tag do Cabo]],BD!A:AJ,36,0)=0,"Pendente",VLOOKUP(Tabela11[[#This Row],[Tag do Cabo]],BD!A:AJ,36,0))</f>
        <v>Pendente</v>
      </c>
      <c r="H492" s="391" t="str">
        <f>VLOOKUP(Tabela11[[#This Row],[Tag do Cabo]],BD!A:AJ,32,0)</f>
        <v>1HV</v>
      </c>
      <c r="I492" s="7" t="str">
        <f>VLOOKUP(Tabela11[[#This Row],[Tag do Cabo]],BD!A:AJ,11,0)</f>
        <v>GAINE 2</v>
      </c>
      <c r="J492" s="3" t="str">
        <f>VLOOKUP(Tabela11[[#This Row],[Tag do Cabo]],BD!A:AJ,12,0)</f>
        <v>1HV-BUS3 - PAINEL 13,8kV - TR-6A</v>
      </c>
      <c r="K492" s="391" t="s">
        <v>137</v>
      </c>
      <c r="L492" s="391" t="s">
        <v>104</v>
      </c>
      <c r="M492" s="3" t="str">
        <f>CONCATENATE(Tabela11[[#This Row],[Painel 1]]&amp;" "&amp;Tabela11[[#This Row],[Painel 2]])</f>
        <v>GAINE 2 1HV-BUS3</v>
      </c>
      <c r="N492" s="218">
        <v>24</v>
      </c>
      <c r="O492" s="23">
        <f>COUNTIF(Tabela12[Tag Cabo],Tabela11[[#This Row],[Tag do Cabo]])</f>
        <v>0</v>
      </c>
      <c r="P492" s="23" t="str">
        <f>IF(Tabela11[[#This Row],[Qtde Ligações]]&lt;&gt;Tabela11[[#This Row],[Qtde Anilhas]],"Ver","Ok")</f>
        <v>Ver</v>
      </c>
      <c r="Q492" s="23">
        <f>VLOOKUP(Tabela11[[#This Row],[Tag do Cabo]],BD!A:F,6,0)</f>
        <v>2.5</v>
      </c>
      <c r="R492" s="23">
        <f>SUMIF('Lançamento de Cabos'!AE:AE,Tabela11[[#This Row],[Tag do Cabo]],'Lançamento de Cabos'!AG:AG)</f>
        <v>0</v>
      </c>
      <c r="S492" s="28">
        <f>Tabela11[[#This Row],[Ligações Realizadas]]/Tabela11[[#This Row],[Qtde Ligações]]</f>
        <v>0</v>
      </c>
      <c r="T492" s="269">
        <f>IF(Tabela11[[#This Row],[Ligações Realizadas]]/Tabela11[[#This Row],[Qtde Ligações]]=0,0,IF(Tabela11[[#This Row],[Ligações Realizadas]]/Tabela11[[#This Row],[Qtde Ligações]]=1,ROUND(N492/2,0),"Ver Painel"))</f>
        <v>0</v>
      </c>
      <c r="U492" s="23">
        <f>IF(Tabela11[[#This Row],[Ligações Realizadas]]/Tabela11[[#This Row],[Qtde Ligações]]=0,0,IF(Tabela11[[#This Row],[Ligações Realizadas]]/Tabela11[[#This Row],[Qtde Ligações]]=1,ROUND(N492/2,0),"Ver Painel"))</f>
        <v>0</v>
      </c>
      <c r="V492" s="219" t="s">
        <v>1666</v>
      </c>
    </row>
    <row r="493" spans="1:22" hidden="1" x14ac:dyDescent="0.25">
      <c r="A493" s="34" t="s">
        <v>1468</v>
      </c>
      <c r="B493" s="391" t="str">
        <f>VLOOKUP(Tabela11[[#This Row],[Tag do Cabo]],BD!A:AJ,2,0)</f>
        <v>Controle</v>
      </c>
      <c r="C493" s="24" t="str">
        <f>VLOOKUP(Tabela11[[#This Row],[Tag do Cabo]],BD!A:AJ,5,0)</f>
        <v>1x1x12/C#2,5</v>
      </c>
      <c r="D493" s="3"/>
      <c r="E493" s="23" t="str">
        <f>VLOOKUP(Tabela11[[#This Row],[Tag do Cabo]],BD!A:T,20,0)</f>
        <v>BK-SP54-0900A-LC-74-00001_00000</v>
      </c>
      <c r="F493" s="233" t="str">
        <f>IF(VLOOKUP(Tabela11[[#This Row],[Tag do Cabo]],BD!A:AJ,35,0)=0,"Pendente",VLOOKUP(Tabela11[[#This Row],[Tag do Cabo]],BD!A:AJ,35,0))</f>
        <v>Procurar diagrama</v>
      </c>
      <c r="G493" s="24" t="str">
        <f>IF(VLOOKUP(Tabela11[[#This Row],[Tag do Cabo]],BD!A:AJ,36,0)=0,"Pendente",VLOOKUP(Tabela11[[#This Row],[Tag do Cabo]],BD!A:AJ,36,0))</f>
        <v>Pendente</v>
      </c>
      <c r="H493" s="391" t="str">
        <f>VLOOKUP(Tabela11[[#This Row],[Tag do Cabo]],BD!A:AJ,32,0)</f>
        <v>1HV</v>
      </c>
      <c r="I493" s="7" t="str">
        <f>VLOOKUP(Tabela11[[#This Row],[Tag do Cabo]],BD!A:AJ,11,0)</f>
        <v>GAINE 2</v>
      </c>
      <c r="J493" s="3" t="str">
        <f>VLOOKUP(Tabela11[[#This Row],[Tag do Cabo]],BD!A:AJ,12,0)</f>
        <v>1HV-BUS3 - PAINEL 13,8kV - TR-6A</v>
      </c>
      <c r="K493" s="391" t="s">
        <v>137</v>
      </c>
      <c r="L493" s="391" t="s">
        <v>104</v>
      </c>
      <c r="M493" s="3" t="str">
        <f>CONCATENATE(Tabela11[[#This Row],[Painel 1]]&amp;" "&amp;Tabela11[[#This Row],[Painel 2]])</f>
        <v>GAINE 2 1HV-BUS3</v>
      </c>
      <c r="N493" s="218">
        <v>24</v>
      </c>
      <c r="O493" s="23">
        <f>COUNTIF(Tabela12[Tag Cabo],Tabela11[[#This Row],[Tag do Cabo]])</f>
        <v>0</v>
      </c>
      <c r="P493" s="23" t="str">
        <f>IF(Tabela11[[#This Row],[Qtde Ligações]]&lt;&gt;Tabela11[[#This Row],[Qtde Anilhas]],"Ver","Ok")</f>
        <v>Ver</v>
      </c>
      <c r="Q493" s="23">
        <f>VLOOKUP(Tabela11[[#This Row],[Tag do Cabo]],BD!A:F,6,0)</f>
        <v>2.5</v>
      </c>
      <c r="R493" s="23">
        <f>SUMIF('Lançamento de Cabos'!AE:AE,Tabela11[[#This Row],[Tag do Cabo]],'Lançamento de Cabos'!AG:AG)</f>
        <v>0</v>
      </c>
      <c r="S493" s="28">
        <f>Tabela11[[#This Row],[Ligações Realizadas]]/Tabela11[[#This Row],[Qtde Ligações]]</f>
        <v>0</v>
      </c>
      <c r="T493" s="269">
        <f>IF(Tabela11[[#This Row],[Ligações Realizadas]]/Tabela11[[#This Row],[Qtde Ligações]]=0,0,IF(Tabela11[[#This Row],[Ligações Realizadas]]/Tabela11[[#This Row],[Qtde Ligações]]=1,ROUND(N493/2,0),"Ver Painel"))</f>
        <v>0</v>
      </c>
      <c r="U493" s="23">
        <f>IF(Tabela11[[#This Row],[Ligações Realizadas]]/Tabela11[[#This Row],[Qtde Ligações]]=0,0,IF(Tabela11[[#This Row],[Ligações Realizadas]]/Tabela11[[#This Row],[Qtde Ligações]]=1,ROUND(N493/2,0),"Ver Painel"))</f>
        <v>0</v>
      </c>
      <c r="V493" s="219" t="s">
        <v>1666</v>
      </c>
    </row>
    <row r="494" spans="1:22" hidden="1" x14ac:dyDescent="0.25">
      <c r="A494" s="34" t="s">
        <v>1469</v>
      </c>
      <c r="B494" s="391" t="str">
        <f>VLOOKUP(Tabela11[[#This Row],[Tag do Cabo]],BD!A:AJ,2,0)</f>
        <v>Controle</v>
      </c>
      <c r="C494" s="24" t="str">
        <f>VLOOKUP(Tabela11[[#This Row],[Tag do Cabo]],BD!A:AJ,5,0)</f>
        <v>1x1x12/C#2,5</v>
      </c>
      <c r="D494" s="3"/>
      <c r="E494" s="23" t="str">
        <f>VLOOKUP(Tabela11[[#This Row],[Tag do Cabo]],BD!A:T,20,0)</f>
        <v>BK-SP54-0900A-LC-74-00001_00000</v>
      </c>
      <c r="F494" s="233" t="str">
        <f>IF(VLOOKUP(Tabela11[[#This Row],[Tag do Cabo]],BD!A:AJ,35,0)=0,"Pendente",VLOOKUP(Tabela11[[#This Row],[Tag do Cabo]],BD!A:AJ,35,0))</f>
        <v>Procurar diagrama</v>
      </c>
      <c r="G494" s="24" t="str">
        <f>IF(VLOOKUP(Tabela11[[#This Row],[Tag do Cabo]],BD!A:AJ,36,0)=0,"Pendente",VLOOKUP(Tabela11[[#This Row],[Tag do Cabo]],BD!A:AJ,36,0))</f>
        <v>Pendente</v>
      </c>
      <c r="H494" s="391" t="str">
        <f>VLOOKUP(Tabela11[[#This Row],[Tag do Cabo]],BD!A:AJ,32,0)</f>
        <v>1HV</v>
      </c>
      <c r="I494" s="7" t="str">
        <f>VLOOKUP(Tabela11[[#This Row],[Tag do Cabo]],BD!A:AJ,11,0)</f>
        <v>GAINE 22A</v>
      </c>
      <c r="J494" s="3" t="str">
        <f>VLOOKUP(Tabela11[[#This Row],[Tag do Cabo]],BD!A:AJ,12,0)</f>
        <v>1HV-BUS3 - PAINEL 13,8kV - TR-6A</v>
      </c>
      <c r="K494" s="391" t="s">
        <v>1457</v>
      </c>
      <c r="L494" s="391" t="s">
        <v>104</v>
      </c>
      <c r="M494" s="3" t="str">
        <f>CONCATENATE(Tabela11[[#This Row],[Painel 1]]&amp;" "&amp;Tabela11[[#This Row],[Painel 2]])</f>
        <v>GAINE 22A 1HV-BUS3</v>
      </c>
      <c r="N494" s="218">
        <v>24</v>
      </c>
      <c r="O494" s="23">
        <f>COUNTIF(Tabela12[Tag Cabo],Tabela11[[#This Row],[Tag do Cabo]])</f>
        <v>0</v>
      </c>
      <c r="P494" s="23" t="str">
        <f>IF(Tabela11[[#This Row],[Qtde Ligações]]&lt;&gt;Tabela11[[#This Row],[Qtde Anilhas]],"Ver","Ok")</f>
        <v>Ver</v>
      </c>
      <c r="Q494" s="23">
        <f>VLOOKUP(Tabela11[[#This Row],[Tag do Cabo]],BD!A:F,6,0)</f>
        <v>2.5</v>
      </c>
      <c r="R494" s="23">
        <f>SUMIF('Lançamento de Cabos'!AE:AE,Tabela11[[#This Row],[Tag do Cabo]],'Lançamento de Cabos'!AG:AG)</f>
        <v>0</v>
      </c>
      <c r="S494" s="28">
        <f>Tabela11[[#This Row],[Ligações Realizadas]]/Tabela11[[#This Row],[Qtde Ligações]]</f>
        <v>0</v>
      </c>
      <c r="T494" s="269">
        <f>IF(Tabela11[[#This Row],[Ligações Realizadas]]/Tabela11[[#This Row],[Qtde Ligações]]=0,0,IF(Tabela11[[#This Row],[Ligações Realizadas]]/Tabela11[[#This Row],[Qtde Ligações]]=1,ROUND(N494/2,0),"Ver Painel"))</f>
        <v>0</v>
      </c>
      <c r="U494" s="23">
        <f>IF(Tabela11[[#This Row],[Ligações Realizadas]]/Tabela11[[#This Row],[Qtde Ligações]]=0,0,IF(Tabela11[[#This Row],[Ligações Realizadas]]/Tabela11[[#This Row],[Qtde Ligações]]=1,ROUND(N494/2,0),"Ver Painel"))</f>
        <v>0</v>
      </c>
      <c r="V494" s="219" t="s">
        <v>1666</v>
      </c>
    </row>
    <row r="495" spans="1:22" hidden="1" x14ac:dyDescent="0.25">
      <c r="A495" s="34" t="s">
        <v>1470</v>
      </c>
      <c r="B495" s="391" t="str">
        <f>VLOOKUP(Tabela11[[#This Row],[Tag do Cabo]],BD!A:AJ,2,0)</f>
        <v>Controle</v>
      </c>
      <c r="C495" s="24" t="str">
        <f>VLOOKUP(Tabela11[[#This Row],[Tag do Cabo]],BD!A:AJ,5,0)</f>
        <v>1x1x12/C#2,5</v>
      </c>
      <c r="D495" s="3"/>
      <c r="E495" s="23" t="str">
        <f>VLOOKUP(Tabela11[[#This Row],[Tag do Cabo]],BD!A:T,20,0)</f>
        <v>BK-SP54-0900A-LC-74-00001_00000</v>
      </c>
      <c r="F495" s="233" t="str">
        <f>IF(VLOOKUP(Tabela11[[#This Row],[Tag do Cabo]],BD!A:AJ,35,0)=0,"Pendente",VLOOKUP(Tabela11[[#This Row],[Tag do Cabo]],BD!A:AJ,35,0))</f>
        <v>Procurar diagrama</v>
      </c>
      <c r="G495" s="24" t="str">
        <f>IF(VLOOKUP(Tabela11[[#This Row],[Tag do Cabo]],BD!A:AJ,36,0)=0,"Pendente",VLOOKUP(Tabela11[[#This Row],[Tag do Cabo]],BD!A:AJ,36,0))</f>
        <v>Pendente</v>
      </c>
      <c r="H495" s="391" t="str">
        <f>VLOOKUP(Tabela11[[#This Row],[Tag do Cabo]],BD!A:AJ,32,0)</f>
        <v>1HV</v>
      </c>
      <c r="I495" s="7" t="str">
        <f>VLOOKUP(Tabela11[[#This Row],[Tag do Cabo]],BD!A:AJ,11,0)</f>
        <v>GAINE SS</v>
      </c>
      <c r="J495" s="3" t="str">
        <f>VLOOKUP(Tabela11[[#This Row],[Tag do Cabo]],BD!A:AJ,12,0)</f>
        <v>1HV-BUS3 - PAINEL 13,8kV - TR-6A</v>
      </c>
      <c r="K495" s="391" t="s">
        <v>1455</v>
      </c>
      <c r="L495" s="391" t="s">
        <v>104</v>
      </c>
      <c r="M495" s="3" t="str">
        <f>CONCATENATE(Tabela11[[#This Row],[Painel 1]]&amp;" "&amp;Tabela11[[#This Row],[Painel 2]])</f>
        <v>GAINE SS 1HV-BUS3</v>
      </c>
      <c r="N495" s="218">
        <v>24</v>
      </c>
      <c r="O495" s="23">
        <f>COUNTIF(Tabela12[Tag Cabo],Tabela11[[#This Row],[Tag do Cabo]])</f>
        <v>0</v>
      </c>
      <c r="P495" s="23" t="str">
        <f>IF(Tabela11[[#This Row],[Qtde Ligações]]&lt;&gt;Tabela11[[#This Row],[Qtde Anilhas]],"Ver","Ok")</f>
        <v>Ver</v>
      </c>
      <c r="Q495" s="23">
        <f>VLOOKUP(Tabela11[[#This Row],[Tag do Cabo]],BD!A:F,6,0)</f>
        <v>2.5</v>
      </c>
      <c r="R495" s="23">
        <f>SUMIF('Lançamento de Cabos'!AE:AE,Tabela11[[#This Row],[Tag do Cabo]],'Lançamento de Cabos'!AG:AG)</f>
        <v>0</v>
      </c>
      <c r="S495" s="28">
        <f>Tabela11[[#This Row],[Ligações Realizadas]]/Tabela11[[#This Row],[Qtde Ligações]]</f>
        <v>0</v>
      </c>
      <c r="T495" s="269">
        <f>IF(Tabela11[[#This Row],[Ligações Realizadas]]/Tabela11[[#This Row],[Qtde Ligações]]=0,0,IF(Tabela11[[#This Row],[Ligações Realizadas]]/Tabela11[[#This Row],[Qtde Ligações]]=1,ROUND(N495/2,0),"Ver Painel"))</f>
        <v>0</v>
      </c>
      <c r="U495" s="23">
        <f>IF(Tabela11[[#This Row],[Ligações Realizadas]]/Tabela11[[#This Row],[Qtde Ligações]]=0,0,IF(Tabela11[[#This Row],[Ligações Realizadas]]/Tabela11[[#This Row],[Qtde Ligações]]=1,ROUND(N495/2,0),"Ver Painel"))</f>
        <v>0</v>
      </c>
      <c r="V495" s="219" t="s">
        <v>1666</v>
      </c>
    </row>
    <row r="496" spans="1:22" hidden="1" x14ac:dyDescent="0.25">
      <c r="A496" s="34" t="s">
        <v>1471</v>
      </c>
      <c r="B496" s="391" t="str">
        <f>VLOOKUP(Tabela11[[#This Row],[Tag do Cabo]],BD!A:AJ,2,0)</f>
        <v>Controle</v>
      </c>
      <c r="C496" s="24" t="str">
        <f>VLOOKUP(Tabela11[[#This Row],[Tag do Cabo]],BD!A:AJ,5,0)</f>
        <v>1x1x12/C#2,5</v>
      </c>
      <c r="D496" s="3"/>
      <c r="E496" s="23" t="str">
        <f>VLOOKUP(Tabela11[[#This Row],[Tag do Cabo]],BD!A:T,20,0)</f>
        <v>BK-SP54-0900A-LC-74-00001_00000</v>
      </c>
      <c r="F496" s="233" t="str">
        <f>IF(VLOOKUP(Tabela11[[#This Row],[Tag do Cabo]],BD!A:AJ,35,0)=0,"Pendente",VLOOKUP(Tabela11[[#This Row],[Tag do Cabo]],BD!A:AJ,35,0))</f>
        <v>Procurar diagrama</v>
      </c>
      <c r="G496" s="24" t="str">
        <f>IF(VLOOKUP(Tabela11[[#This Row],[Tag do Cabo]],BD!A:AJ,36,0)=0,"Pendente",VLOOKUP(Tabela11[[#This Row],[Tag do Cabo]],BD!A:AJ,36,0))</f>
        <v>Pendente</v>
      </c>
      <c r="H496" s="391" t="str">
        <f>VLOOKUP(Tabela11[[#This Row],[Tag do Cabo]],BD!A:AJ,32,0)</f>
        <v>1HV</v>
      </c>
      <c r="I496" s="7" t="str">
        <f>VLOOKUP(Tabela11[[#This Row],[Tag do Cabo]],BD!A:AJ,11,0)</f>
        <v>GAINE 22A</v>
      </c>
      <c r="J496" s="3" t="str">
        <f>VLOOKUP(Tabela11[[#This Row],[Tag do Cabo]],BD!A:AJ,12,0)</f>
        <v>GAINE SS</v>
      </c>
      <c r="K496" s="391" t="s">
        <v>1457</v>
      </c>
      <c r="L496" s="391" t="s">
        <v>1455</v>
      </c>
      <c r="M496" s="3" t="str">
        <f>CONCATENATE(Tabela11[[#This Row],[Painel 1]]&amp;" "&amp;Tabela11[[#This Row],[Painel 2]])</f>
        <v>GAINE 22A GAINE SS</v>
      </c>
      <c r="N496" s="218">
        <v>24</v>
      </c>
      <c r="O496" s="23">
        <f>COUNTIF(Tabela12[Tag Cabo],Tabela11[[#This Row],[Tag do Cabo]])</f>
        <v>0</v>
      </c>
      <c r="P496" s="23" t="str">
        <f>IF(Tabela11[[#This Row],[Qtde Ligações]]&lt;&gt;Tabela11[[#This Row],[Qtde Anilhas]],"Ver","Ok")</f>
        <v>Ver</v>
      </c>
      <c r="Q496" s="23">
        <f>VLOOKUP(Tabela11[[#This Row],[Tag do Cabo]],BD!A:F,6,0)</f>
        <v>2.5</v>
      </c>
      <c r="R496" s="23">
        <f>SUMIF('Lançamento de Cabos'!AE:AE,Tabela11[[#This Row],[Tag do Cabo]],'Lançamento de Cabos'!AG:AG)</f>
        <v>0</v>
      </c>
      <c r="S496" s="28">
        <f>Tabela11[[#This Row],[Ligações Realizadas]]/Tabela11[[#This Row],[Qtde Ligações]]</f>
        <v>0</v>
      </c>
      <c r="T496" s="269">
        <f>IF(Tabela11[[#This Row],[Ligações Realizadas]]/Tabela11[[#This Row],[Qtde Ligações]]=0,0,IF(Tabela11[[#This Row],[Ligações Realizadas]]/Tabela11[[#This Row],[Qtde Ligações]]=1,ROUND(N496/2,0),"Ver Painel"))</f>
        <v>0</v>
      </c>
      <c r="U496" s="23">
        <f>IF(Tabela11[[#This Row],[Ligações Realizadas]]/Tabela11[[#This Row],[Qtde Ligações]]=0,0,IF(Tabela11[[#This Row],[Ligações Realizadas]]/Tabela11[[#This Row],[Qtde Ligações]]=1,ROUND(N496/2,0),"Ver Painel"))</f>
        <v>0</v>
      </c>
      <c r="V496" s="219" t="s">
        <v>1666</v>
      </c>
    </row>
    <row r="497" spans="1:22" hidden="1" x14ac:dyDescent="0.25">
      <c r="A497" s="34" t="s">
        <v>1472</v>
      </c>
      <c r="B497" s="391" t="str">
        <f>VLOOKUP(Tabela11[[#This Row],[Tag do Cabo]],BD!A:AJ,2,0)</f>
        <v>Controle</v>
      </c>
      <c r="C497" s="24" t="str">
        <f>VLOOKUP(Tabela11[[#This Row],[Tag do Cabo]],BD!A:AJ,5,0)</f>
        <v>1x1x12/C#2,5</v>
      </c>
      <c r="D497" s="3"/>
      <c r="E497" s="23" t="str">
        <f>VLOOKUP(Tabela11[[#This Row],[Tag do Cabo]],BD!A:T,20,0)</f>
        <v>BK-SP54-0900A-LC-74-00001_00000</v>
      </c>
      <c r="F497" s="233" t="str">
        <f>IF(VLOOKUP(Tabela11[[#This Row],[Tag do Cabo]],BD!A:AJ,35,0)=0,"Pendente",VLOOKUP(Tabela11[[#This Row],[Tag do Cabo]],BD!A:AJ,35,0))</f>
        <v>Procurar diagrama</v>
      </c>
      <c r="G497" s="24" t="str">
        <f>IF(VLOOKUP(Tabela11[[#This Row],[Tag do Cabo]],BD!A:AJ,36,0)=0,"Pendente",VLOOKUP(Tabela11[[#This Row],[Tag do Cabo]],BD!A:AJ,36,0))</f>
        <v>Pendente</v>
      </c>
      <c r="H497" s="391" t="str">
        <f>VLOOKUP(Tabela11[[#This Row],[Tag do Cabo]],BD!A:AJ,32,0)</f>
        <v>1HV</v>
      </c>
      <c r="I497" s="7" t="str">
        <f>VLOOKUP(Tabela11[[#This Row],[Tag do Cabo]],BD!A:AJ,11,0)</f>
        <v>GAINE 2</v>
      </c>
      <c r="J497" s="3" t="str">
        <f>VLOOKUP(Tabela11[[#This Row],[Tag do Cabo]],BD!A:AJ,12,0)</f>
        <v>1HV-BUS3 - PAINEL 13,8kV - K06</v>
      </c>
      <c r="K497" s="391" t="s">
        <v>137</v>
      </c>
      <c r="L497" s="391" t="s">
        <v>104</v>
      </c>
      <c r="M497" s="3" t="str">
        <f>CONCATENATE(Tabela11[[#This Row],[Painel 1]]&amp;" "&amp;Tabela11[[#This Row],[Painel 2]])</f>
        <v>GAINE 2 1HV-BUS3</v>
      </c>
      <c r="N497" s="218">
        <v>24</v>
      </c>
      <c r="O497" s="23">
        <f>COUNTIF(Tabela12[Tag Cabo],Tabela11[[#This Row],[Tag do Cabo]])</f>
        <v>0</v>
      </c>
      <c r="P497" s="23" t="str">
        <f>IF(Tabela11[[#This Row],[Qtde Ligações]]&lt;&gt;Tabela11[[#This Row],[Qtde Anilhas]],"Ver","Ok")</f>
        <v>Ver</v>
      </c>
      <c r="Q497" s="23">
        <f>VLOOKUP(Tabela11[[#This Row],[Tag do Cabo]],BD!A:F,6,0)</f>
        <v>2.5</v>
      </c>
      <c r="R497" s="23">
        <f>SUMIF('Lançamento de Cabos'!AE:AE,Tabela11[[#This Row],[Tag do Cabo]],'Lançamento de Cabos'!AG:AG)</f>
        <v>0</v>
      </c>
      <c r="S497" s="28">
        <f>Tabela11[[#This Row],[Ligações Realizadas]]/Tabela11[[#This Row],[Qtde Ligações]]</f>
        <v>0</v>
      </c>
      <c r="T497" s="269">
        <f>IF(Tabela11[[#This Row],[Ligações Realizadas]]/Tabela11[[#This Row],[Qtde Ligações]]=0,0,IF(Tabela11[[#This Row],[Ligações Realizadas]]/Tabela11[[#This Row],[Qtde Ligações]]=1,ROUND(N497/2,0),"Ver Painel"))</f>
        <v>0</v>
      </c>
      <c r="U497" s="23">
        <f>IF(Tabela11[[#This Row],[Ligações Realizadas]]/Tabela11[[#This Row],[Qtde Ligações]]=0,0,IF(Tabela11[[#This Row],[Ligações Realizadas]]/Tabela11[[#This Row],[Qtde Ligações]]=1,ROUND(N497/2,0),"Ver Painel"))</f>
        <v>0</v>
      </c>
      <c r="V497" s="219" t="s">
        <v>1666</v>
      </c>
    </row>
    <row r="498" spans="1:22" hidden="1" x14ac:dyDescent="0.25">
      <c r="A498" s="34" t="s">
        <v>1474</v>
      </c>
      <c r="B498" s="391" t="str">
        <f>VLOOKUP(Tabela11[[#This Row],[Tag do Cabo]],BD!A:AJ,2,0)</f>
        <v>Controle</v>
      </c>
      <c r="C498" s="24" t="str">
        <f>VLOOKUP(Tabela11[[#This Row],[Tag do Cabo]],BD!A:AJ,5,0)</f>
        <v>1x1x12/C#2,5</v>
      </c>
      <c r="D498" s="3"/>
      <c r="E498" s="23" t="str">
        <f>VLOOKUP(Tabela11[[#This Row],[Tag do Cabo]],BD!A:T,20,0)</f>
        <v>BK-SP54-0900A-LC-74-00001_00000</v>
      </c>
      <c r="F498" s="233" t="str">
        <f>IF(VLOOKUP(Tabela11[[#This Row],[Tag do Cabo]],BD!A:AJ,35,0)=0,"Pendente",VLOOKUP(Tabela11[[#This Row],[Tag do Cabo]],BD!A:AJ,35,0))</f>
        <v>Procurar diagrama</v>
      </c>
      <c r="G498" s="24" t="str">
        <f>IF(VLOOKUP(Tabela11[[#This Row],[Tag do Cabo]],BD!A:AJ,36,0)=0,"Pendente",VLOOKUP(Tabela11[[#This Row],[Tag do Cabo]],BD!A:AJ,36,0))</f>
        <v>Pendente</v>
      </c>
      <c r="H498" s="391" t="str">
        <f>VLOOKUP(Tabela11[[#This Row],[Tag do Cabo]],BD!A:AJ,32,0)</f>
        <v>1HV</v>
      </c>
      <c r="I498" s="7" t="str">
        <f>VLOOKUP(Tabela11[[#This Row],[Tag do Cabo]],BD!A:AJ,11,0)</f>
        <v>GAINE 3</v>
      </c>
      <c r="J498" s="3" t="str">
        <f>VLOOKUP(Tabela11[[#This Row],[Tag do Cabo]],BD!A:AJ,12,0)</f>
        <v>1HV-BUS3 - PAINEL 13,8kV - TR-8</v>
      </c>
      <c r="K498" s="391" t="s">
        <v>1475</v>
      </c>
      <c r="L498" s="391" t="s">
        <v>104</v>
      </c>
      <c r="M498" s="3" t="str">
        <f>CONCATENATE(Tabela11[[#This Row],[Painel 1]]&amp;" "&amp;Tabela11[[#This Row],[Painel 2]])</f>
        <v>GAINE 3 1HV-BUS3</v>
      </c>
      <c r="N498" s="218">
        <v>24</v>
      </c>
      <c r="O498" s="23">
        <f>COUNTIF(Tabela12[Tag Cabo],Tabela11[[#This Row],[Tag do Cabo]])</f>
        <v>0</v>
      </c>
      <c r="P498" s="23" t="str">
        <f>IF(Tabela11[[#This Row],[Qtde Ligações]]&lt;&gt;Tabela11[[#This Row],[Qtde Anilhas]],"Ver","Ok")</f>
        <v>Ver</v>
      </c>
      <c r="Q498" s="23">
        <f>VLOOKUP(Tabela11[[#This Row],[Tag do Cabo]],BD!A:F,6,0)</f>
        <v>2.5</v>
      </c>
      <c r="R498" s="23">
        <f>SUMIF('Lançamento de Cabos'!AE:AE,Tabela11[[#This Row],[Tag do Cabo]],'Lançamento de Cabos'!AG:AG)</f>
        <v>0</v>
      </c>
      <c r="S498" s="28">
        <f>Tabela11[[#This Row],[Ligações Realizadas]]/Tabela11[[#This Row],[Qtde Ligações]]</f>
        <v>0</v>
      </c>
      <c r="T498" s="269">
        <f>IF(Tabela11[[#This Row],[Ligações Realizadas]]/Tabela11[[#This Row],[Qtde Ligações]]=0,0,IF(Tabela11[[#This Row],[Ligações Realizadas]]/Tabela11[[#This Row],[Qtde Ligações]]=1,ROUND(N498/2,0),"Ver Painel"))</f>
        <v>0</v>
      </c>
      <c r="U498" s="23">
        <f>IF(Tabela11[[#This Row],[Ligações Realizadas]]/Tabela11[[#This Row],[Qtde Ligações]]=0,0,IF(Tabela11[[#This Row],[Ligações Realizadas]]/Tabela11[[#This Row],[Qtde Ligações]]=1,ROUND(N498/2,0),"Ver Painel"))</f>
        <v>0</v>
      </c>
      <c r="V498" s="219" t="s">
        <v>1666</v>
      </c>
    </row>
    <row r="499" spans="1:22" hidden="1" x14ac:dyDescent="0.25">
      <c r="A499" s="34" t="s">
        <v>1477</v>
      </c>
      <c r="B499" s="391" t="str">
        <f>VLOOKUP(Tabela11[[#This Row],[Tag do Cabo]],BD!A:AJ,2,0)</f>
        <v>Controle</v>
      </c>
      <c r="C499" s="24" t="str">
        <f>VLOOKUP(Tabela11[[#This Row],[Tag do Cabo]],BD!A:AJ,5,0)</f>
        <v>1x1x12/C#2,5</v>
      </c>
      <c r="D499" s="3"/>
      <c r="E499" s="23" t="str">
        <f>VLOOKUP(Tabela11[[#This Row],[Tag do Cabo]],BD!A:T,20,0)</f>
        <v>BK-SP54-0900A-LC-74-00001_00000</v>
      </c>
      <c r="F499" s="233" t="str">
        <f>IF(VLOOKUP(Tabela11[[#This Row],[Tag do Cabo]],BD!A:AJ,35,0)=0,"Pendente",VLOOKUP(Tabela11[[#This Row],[Tag do Cabo]],BD!A:AJ,35,0))</f>
        <v>Procurar diagrama</v>
      </c>
      <c r="G499" s="24" t="str">
        <f>IF(VLOOKUP(Tabela11[[#This Row],[Tag do Cabo]],BD!A:AJ,36,0)=0,"Pendente",VLOOKUP(Tabela11[[#This Row],[Tag do Cabo]],BD!A:AJ,36,0))</f>
        <v>Pendente</v>
      </c>
      <c r="H499" s="391" t="str">
        <f>VLOOKUP(Tabela11[[#This Row],[Tag do Cabo]],BD!A:AJ,32,0)</f>
        <v>1HV</v>
      </c>
      <c r="I499" s="7" t="str">
        <f>VLOOKUP(Tabela11[[#This Row],[Tag do Cabo]],BD!A:AJ,11,0)</f>
        <v>GAINE 22B</v>
      </c>
      <c r="J499" s="3" t="str">
        <f>VLOOKUP(Tabela11[[#This Row],[Tag do Cabo]],BD!A:AJ,12,0)</f>
        <v>1HV-BUS3 - PAINEL 13,8kV - TR-8</v>
      </c>
      <c r="K499" s="391" t="s">
        <v>1478</v>
      </c>
      <c r="L499" s="391" t="s">
        <v>104</v>
      </c>
      <c r="M499" s="3" t="str">
        <f>CONCATENATE(Tabela11[[#This Row],[Painel 1]]&amp;" "&amp;Tabela11[[#This Row],[Painel 2]])</f>
        <v>GAINE 22B 1HV-BUS3</v>
      </c>
      <c r="N499" s="218">
        <v>24</v>
      </c>
      <c r="O499" s="23">
        <f>COUNTIF(Tabela12[Tag Cabo],Tabela11[[#This Row],[Tag do Cabo]])</f>
        <v>0</v>
      </c>
      <c r="P499" s="23" t="str">
        <f>IF(Tabela11[[#This Row],[Qtde Ligações]]&lt;&gt;Tabela11[[#This Row],[Qtde Anilhas]],"Ver","Ok")</f>
        <v>Ver</v>
      </c>
      <c r="Q499" s="23">
        <f>VLOOKUP(Tabela11[[#This Row],[Tag do Cabo]],BD!A:F,6,0)</f>
        <v>2.5</v>
      </c>
      <c r="R499" s="23">
        <f>SUMIF('Lançamento de Cabos'!AE:AE,Tabela11[[#This Row],[Tag do Cabo]],'Lançamento de Cabos'!AG:AG)</f>
        <v>0</v>
      </c>
      <c r="S499" s="28">
        <f>Tabela11[[#This Row],[Ligações Realizadas]]/Tabela11[[#This Row],[Qtde Ligações]]</f>
        <v>0</v>
      </c>
      <c r="T499" s="269">
        <f>IF(Tabela11[[#This Row],[Ligações Realizadas]]/Tabela11[[#This Row],[Qtde Ligações]]=0,0,IF(Tabela11[[#This Row],[Ligações Realizadas]]/Tabela11[[#This Row],[Qtde Ligações]]=1,ROUND(N499/2,0),"Ver Painel"))</f>
        <v>0</v>
      </c>
      <c r="U499" s="23">
        <f>IF(Tabela11[[#This Row],[Ligações Realizadas]]/Tabela11[[#This Row],[Qtde Ligações]]=0,0,IF(Tabela11[[#This Row],[Ligações Realizadas]]/Tabela11[[#This Row],[Qtde Ligações]]=1,ROUND(N499/2,0),"Ver Painel"))</f>
        <v>0</v>
      </c>
      <c r="V499" s="219" t="s">
        <v>1666</v>
      </c>
    </row>
    <row r="500" spans="1:22" hidden="1" x14ac:dyDescent="0.25">
      <c r="A500" s="34" t="s">
        <v>1479</v>
      </c>
      <c r="B500" s="391" t="str">
        <f>VLOOKUP(Tabela11[[#This Row],[Tag do Cabo]],BD!A:AJ,2,0)</f>
        <v>Rede</v>
      </c>
      <c r="C500" s="24" t="str">
        <f>VLOOKUP(Tabela11[[#This Row],[Tag do Cabo]],BD!A:AJ,5,0)</f>
        <v>CABO ETHERNET</v>
      </c>
      <c r="D500" s="3"/>
      <c r="E500" s="23" t="str">
        <f>VLOOKUP(Tabela11[[#This Row],[Tag do Cabo]],BD!A:T,20,0)</f>
        <v>BK-SP54-0900A-LC-74-00001_00000</v>
      </c>
      <c r="F500" s="233" t="str">
        <f>IF(VLOOKUP(Tabela11[[#This Row],[Tag do Cabo]],BD!A:AJ,35,0)=0,"Pendente",VLOOKUP(Tabela11[[#This Row],[Tag do Cabo]],BD!A:AJ,35,0))</f>
        <v>BK-SP54-0900B-DI-74-00450</v>
      </c>
      <c r="G500" s="24" t="str">
        <f>IF(VLOOKUP(Tabela11[[#This Row],[Tag do Cabo]],BD!A:AJ,36,0)=0,"Pendente",VLOOKUP(Tabela11[[#This Row],[Tag do Cabo]],BD!A:AJ,36,0))</f>
        <v>30</v>
      </c>
      <c r="H500" s="391" t="str">
        <f>VLOOKUP(Tabela11[[#This Row],[Tag do Cabo]],BD!A:AJ,32,0)</f>
        <v>1MV</v>
      </c>
      <c r="I500" s="7" t="str">
        <f>VLOOKUP(Tabela11[[#This Row],[Tag do Cabo]],BD!A:AJ,11,0)</f>
        <v>GATEWAY - 1MV BUS 4</v>
      </c>
      <c r="J500" s="3" t="str">
        <f>VLOOKUP(Tabela11[[#This Row],[Tag do Cabo]],BD!A:AJ,12,0)</f>
        <v>ER-4</v>
      </c>
      <c r="K500" s="391" t="s">
        <v>1670</v>
      </c>
      <c r="L500" s="391" t="s">
        <v>155</v>
      </c>
      <c r="M500" s="3" t="str">
        <f>CONCATENATE(Tabela11[[#This Row],[Painel 1]]&amp;" "&amp;Tabela11[[#This Row],[Painel 2]])</f>
        <v>1MV-BUS4 ER-4</v>
      </c>
      <c r="N500" s="218">
        <v>2</v>
      </c>
      <c r="O500" s="23">
        <f>COUNTIF(Tabela12[Tag Cabo],Tabela11[[#This Row],[Tag do Cabo]])</f>
        <v>0</v>
      </c>
      <c r="P500" s="23" t="str">
        <f>IF(Tabela11[[#This Row],[Qtde Ligações]]&lt;&gt;Tabela11[[#This Row],[Qtde Anilhas]],"Ver","Ok")</f>
        <v>Ver</v>
      </c>
      <c r="Q500" s="23" t="str">
        <f>VLOOKUP(Tabela11[[#This Row],[Tag do Cabo]],BD!A:F,6,0)</f>
        <v>-</v>
      </c>
      <c r="R500" s="23">
        <f>SUMIF('Lançamento de Cabos'!AE:AE,Tabela11[[#This Row],[Tag do Cabo]],'Lançamento de Cabos'!AG:AG)</f>
        <v>0</v>
      </c>
      <c r="S500" s="28">
        <f>Tabela11[[#This Row],[Ligações Realizadas]]/Tabela11[[#This Row],[Qtde Ligações]]</f>
        <v>0</v>
      </c>
      <c r="T500" s="269">
        <f>IF(Tabela11[[#This Row],[Ligações Realizadas]]/Tabela11[[#This Row],[Qtde Ligações]]=0,0,IF(Tabela11[[#This Row],[Ligações Realizadas]]/Tabela11[[#This Row],[Qtde Ligações]]=1,ROUND(N500/2,0),"Ver Painel"))</f>
        <v>0</v>
      </c>
      <c r="U500" s="23">
        <f>IF(Tabela11[[#This Row],[Ligações Realizadas]]/Tabela11[[#This Row],[Qtde Ligações]]=0,0,IF(Tabela11[[#This Row],[Ligações Realizadas]]/Tabela11[[#This Row],[Qtde Ligações]]=1,ROUND(N500/2,0),"Ver Painel"))</f>
        <v>0</v>
      </c>
      <c r="V500" s="219" t="s">
        <v>1666</v>
      </c>
    </row>
    <row r="501" spans="1:22" hidden="1" x14ac:dyDescent="0.25">
      <c r="A501" s="34" t="s">
        <v>1481</v>
      </c>
      <c r="B501" s="391" t="str">
        <f>VLOOKUP(Tabela11[[#This Row],[Tag do Cabo]],BD!A:AJ,2,0)</f>
        <v>Rede</v>
      </c>
      <c r="C501" s="24" t="str">
        <f>VLOOKUP(Tabela11[[#This Row],[Tag do Cabo]],BD!A:AJ,5,0)</f>
        <v>CABO ETHERNET</v>
      </c>
      <c r="D501" s="3"/>
      <c r="E501" s="23" t="str">
        <f>VLOOKUP(Tabela11[[#This Row],[Tag do Cabo]],BD!A:T,20,0)</f>
        <v>BK-SP54-0900A-LC-74-00001_00000</v>
      </c>
      <c r="F501" s="233" t="str">
        <f>IF(VLOOKUP(Tabela11[[#This Row],[Tag do Cabo]],BD!A:AJ,35,0)=0,"Pendente",VLOOKUP(Tabela11[[#This Row],[Tag do Cabo]],BD!A:AJ,35,0))</f>
        <v>BK-SP54-0900B-DI-74-00450</v>
      </c>
      <c r="G501" s="24" t="str">
        <f>IF(VLOOKUP(Tabela11[[#This Row],[Tag do Cabo]],BD!A:AJ,36,0)=0,"Pendente",VLOOKUP(Tabela11[[#This Row],[Tag do Cabo]],BD!A:AJ,36,0))</f>
        <v>30</v>
      </c>
      <c r="H501" s="391" t="str">
        <f>VLOOKUP(Tabela11[[#This Row],[Tag do Cabo]],BD!A:AJ,32,0)</f>
        <v>1MV</v>
      </c>
      <c r="I501" s="7" t="str">
        <f>VLOOKUP(Tabela11[[#This Row],[Tag do Cabo]],BD!A:AJ,11,0)</f>
        <v>GATEWAY - 1MV BUS 2</v>
      </c>
      <c r="J501" s="3" t="str">
        <f>VLOOKUP(Tabela11[[#This Row],[Tag do Cabo]],BD!A:AJ,12,0)</f>
        <v>ER-4</v>
      </c>
      <c r="K501" s="391" t="s">
        <v>1671</v>
      </c>
      <c r="L501" s="391" t="s">
        <v>155</v>
      </c>
      <c r="M501" s="3" t="str">
        <f>CONCATENATE(Tabela11[[#This Row],[Painel 1]]&amp;" "&amp;Tabela11[[#This Row],[Painel 2]])</f>
        <v>1MV-BUS2 ER-4</v>
      </c>
      <c r="N501" s="218">
        <v>2</v>
      </c>
      <c r="O501" s="23">
        <f>COUNTIF(Tabela12[Tag Cabo],Tabela11[[#This Row],[Tag do Cabo]])</f>
        <v>0</v>
      </c>
      <c r="P501" s="23" t="str">
        <f>IF(Tabela11[[#This Row],[Qtde Ligações]]&lt;&gt;Tabela11[[#This Row],[Qtde Anilhas]],"Ver","Ok")</f>
        <v>Ver</v>
      </c>
      <c r="Q501" s="23" t="str">
        <f>VLOOKUP(Tabela11[[#This Row],[Tag do Cabo]],BD!A:F,6,0)</f>
        <v>-</v>
      </c>
      <c r="R501" s="23">
        <f>SUMIF('Lançamento de Cabos'!AE:AE,Tabela11[[#This Row],[Tag do Cabo]],'Lançamento de Cabos'!AG:AG)</f>
        <v>0</v>
      </c>
      <c r="S501" s="28">
        <f>Tabela11[[#This Row],[Ligações Realizadas]]/Tabela11[[#This Row],[Qtde Ligações]]</f>
        <v>0</v>
      </c>
      <c r="T501" s="269">
        <f>IF(Tabela11[[#This Row],[Ligações Realizadas]]/Tabela11[[#This Row],[Qtde Ligações]]=0,0,IF(Tabela11[[#This Row],[Ligações Realizadas]]/Tabela11[[#This Row],[Qtde Ligações]]=1,ROUND(N501/2,0),"Ver Painel"))</f>
        <v>0</v>
      </c>
      <c r="U501" s="23">
        <f>IF(Tabela11[[#This Row],[Ligações Realizadas]]/Tabela11[[#This Row],[Qtde Ligações]]=0,0,IF(Tabela11[[#This Row],[Ligações Realizadas]]/Tabela11[[#This Row],[Qtde Ligações]]=1,ROUND(N501/2,0),"Ver Painel"))</f>
        <v>0</v>
      </c>
      <c r="V501" s="219" t="s">
        <v>1666</v>
      </c>
    </row>
  </sheetData>
  <conditionalFormatting sqref="A448">
    <cfRule type="duplicateValues" dxfId="146" priority="7"/>
  </conditionalFormatting>
  <conditionalFormatting sqref="A457:A461">
    <cfRule type="duplicateValues" dxfId="145" priority="6"/>
  </conditionalFormatting>
  <conditionalFormatting sqref="A2:A501">
    <cfRule type="duplicateValues" dxfId="144" priority="102"/>
  </conditionalFormatting>
  <conditionalFormatting sqref="A462:A469">
    <cfRule type="duplicateValues" dxfId="143" priority="5"/>
  </conditionalFormatting>
  <conditionalFormatting sqref="A464:A465">
    <cfRule type="duplicateValues" dxfId="142" priority="4"/>
  </conditionalFormatting>
  <conditionalFormatting sqref="A466:A467">
    <cfRule type="duplicateValues" dxfId="141" priority="3"/>
  </conditionalFormatting>
  <conditionalFormatting sqref="A468:A469">
    <cfRule type="duplicateValues" dxfId="140" priority="2"/>
  </conditionalFormatting>
  <conditionalFormatting sqref="A468:A469">
    <cfRule type="duplicateValues" dxfId="139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9"/>
  <sheetViews>
    <sheetView workbookViewId="0">
      <selection activeCell="I10" sqref="I10"/>
    </sheetView>
  </sheetViews>
  <sheetFormatPr defaultRowHeight="15" x14ac:dyDescent="0.25"/>
  <cols>
    <col min="1" max="1" width="25.28515625" customWidth="1"/>
    <col min="4" max="4" width="9.140625" style="158"/>
    <col min="5" max="10" width="19" customWidth="1"/>
    <col min="11" max="11" width="35" customWidth="1"/>
  </cols>
  <sheetData>
    <row r="1" spans="1:11" x14ac:dyDescent="0.25">
      <c r="A1" s="380" t="s">
        <v>960</v>
      </c>
      <c r="E1" s="381" t="s">
        <v>101</v>
      </c>
      <c r="F1" s="382" t="s">
        <v>102</v>
      </c>
      <c r="G1" s="382" t="s">
        <v>305</v>
      </c>
      <c r="H1" s="383" t="s">
        <v>311</v>
      </c>
      <c r="I1" s="382" t="s">
        <v>958</v>
      </c>
      <c r="J1" s="382" t="s">
        <v>1041</v>
      </c>
      <c r="K1" s="380" t="s">
        <v>960</v>
      </c>
    </row>
    <row r="2" spans="1:11" x14ac:dyDescent="0.25">
      <c r="A2" s="380" t="s">
        <v>1672</v>
      </c>
      <c r="E2" s="384" t="s">
        <v>40</v>
      </c>
      <c r="F2" s="385" t="s">
        <v>318</v>
      </c>
      <c r="G2" s="385" t="s">
        <v>446</v>
      </c>
      <c r="H2" s="386" t="s">
        <v>311</v>
      </c>
      <c r="I2" s="385" t="s">
        <v>962</v>
      </c>
      <c r="J2" s="385" t="s">
        <v>1043</v>
      </c>
      <c r="K2" s="380" t="s">
        <v>960</v>
      </c>
    </row>
    <row r="3" spans="1:11" x14ac:dyDescent="0.25">
      <c r="A3" s="380" t="s">
        <v>1200</v>
      </c>
      <c r="E3" s="381" t="s">
        <v>40</v>
      </c>
      <c r="F3" s="382" t="s">
        <v>318</v>
      </c>
      <c r="G3" s="382" t="s">
        <v>446</v>
      </c>
      <c r="H3" s="383" t="s">
        <v>311</v>
      </c>
      <c r="I3" s="382" t="s">
        <v>958</v>
      </c>
      <c r="J3" s="382" t="s">
        <v>1045</v>
      </c>
      <c r="K3" s="380" t="s">
        <v>960</v>
      </c>
    </row>
    <row r="4" spans="1:11" x14ac:dyDescent="0.25">
      <c r="A4" s="380" t="s">
        <v>316</v>
      </c>
      <c r="E4" s="384" t="s">
        <v>101</v>
      </c>
      <c r="F4" s="385" t="s">
        <v>102</v>
      </c>
      <c r="G4" s="385" t="s">
        <v>446</v>
      </c>
      <c r="H4" s="386" t="s">
        <v>311</v>
      </c>
      <c r="I4" s="385" t="s">
        <v>962</v>
      </c>
      <c r="J4" s="385" t="s">
        <v>1045</v>
      </c>
      <c r="K4" s="380" t="s">
        <v>960</v>
      </c>
    </row>
    <row r="5" spans="1:11" x14ac:dyDescent="0.25">
      <c r="A5" s="380" t="s">
        <v>651</v>
      </c>
      <c r="E5" s="381" t="s">
        <v>101</v>
      </c>
      <c r="F5" s="382" t="s">
        <v>102</v>
      </c>
      <c r="G5" s="382" t="s">
        <v>446</v>
      </c>
      <c r="H5" s="383" t="s">
        <v>311</v>
      </c>
      <c r="I5" s="382" t="s">
        <v>1051</v>
      </c>
      <c r="J5" s="382" t="s">
        <v>1052</v>
      </c>
      <c r="K5" s="380" t="s">
        <v>1672</v>
      </c>
    </row>
    <row r="6" spans="1:11" x14ac:dyDescent="0.25">
      <c r="A6" s="380" t="s">
        <v>449</v>
      </c>
      <c r="E6" s="384" t="s">
        <v>40</v>
      </c>
      <c r="F6" s="385" t="s">
        <v>1050</v>
      </c>
      <c r="G6" s="385" t="s">
        <v>305</v>
      </c>
      <c r="H6" s="386" t="s">
        <v>311</v>
      </c>
      <c r="I6" s="385" t="s">
        <v>1196</v>
      </c>
      <c r="J6" s="385" t="s">
        <v>1197</v>
      </c>
      <c r="K6" s="380" t="s">
        <v>1200</v>
      </c>
    </row>
    <row r="7" spans="1:11" x14ac:dyDescent="0.25">
      <c r="A7" s="342" t="s">
        <v>1673</v>
      </c>
      <c r="E7" s="381" t="s">
        <v>40</v>
      </c>
      <c r="F7" s="382" t="s">
        <v>1050</v>
      </c>
      <c r="G7" s="382" t="s">
        <v>305</v>
      </c>
      <c r="H7" s="383" t="s">
        <v>311</v>
      </c>
      <c r="I7" s="382" t="s">
        <v>313</v>
      </c>
      <c r="J7" s="382" t="s">
        <v>303</v>
      </c>
      <c r="K7" s="380" t="s">
        <v>316</v>
      </c>
    </row>
    <row r="8" spans="1:11" ht="22.5" x14ac:dyDescent="0.25">
      <c r="A8" s="339" t="s">
        <v>1674</v>
      </c>
      <c r="E8" s="384" t="s">
        <v>101</v>
      </c>
      <c r="F8" s="385" t="s">
        <v>102</v>
      </c>
      <c r="G8" s="385" t="s">
        <v>305</v>
      </c>
      <c r="H8" s="386" t="s">
        <v>311</v>
      </c>
      <c r="I8" s="385" t="s">
        <v>647</v>
      </c>
      <c r="J8" s="385" t="s">
        <v>648</v>
      </c>
      <c r="K8" s="380" t="s">
        <v>1675</v>
      </c>
    </row>
    <row r="9" spans="1:11" x14ac:dyDescent="0.25">
      <c r="A9" s="339" t="s">
        <v>1676</v>
      </c>
      <c r="E9" s="381" t="s">
        <v>101</v>
      </c>
      <c r="F9" s="382" t="s">
        <v>599</v>
      </c>
      <c r="G9" s="382" t="s">
        <v>446</v>
      </c>
      <c r="H9" s="383" t="s">
        <v>311</v>
      </c>
      <c r="I9" s="382" t="s">
        <v>1076</v>
      </c>
      <c r="J9" s="382" t="s">
        <v>1077</v>
      </c>
      <c r="K9" s="380" t="s">
        <v>1677</v>
      </c>
    </row>
    <row r="10" spans="1:11" x14ac:dyDescent="0.25">
      <c r="A10" s="339" t="s">
        <v>1678</v>
      </c>
      <c r="E10" s="384" t="s">
        <v>40</v>
      </c>
      <c r="F10" s="385" t="s">
        <v>318</v>
      </c>
      <c r="G10" s="385" t="s">
        <v>446</v>
      </c>
      <c r="H10" s="386" t="s">
        <v>311</v>
      </c>
      <c r="I10" s="385" t="s">
        <v>1076</v>
      </c>
      <c r="J10" s="385" t="s">
        <v>648</v>
      </c>
      <c r="K10" s="380" t="s">
        <v>651</v>
      </c>
    </row>
    <row r="11" spans="1:11" ht="22.5" x14ac:dyDescent="0.25">
      <c r="A11" s="342" t="s">
        <v>1679</v>
      </c>
      <c r="E11" s="381" t="s">
        <v>101</v>
      </c>
      <c r="F11" s="382" t="s">
        <v>102</v>
      </c>
      <c r="G11" s="382" t="s">
        <v>446</v>
      </c>
      <c r="H11" s="383" t="s">
        <v>311</v>
      </c>
      <c r="I11" s="382" t="s">
        <v>444</v>
      </c>
      <c r="J11" s="382" t="s">
        <v>445</v>
      </c>
      <c r="K11" s="380" t="s">
        <v>1680</v>
      </c>
    </row>
    <row r="12" spans="1:11" x14ac:dyDescent="0.25">
      <c r="A12" s="342" t="s">
        <v>454</v>
      </c>
      <c r="E12" s="552" t="s">
        <v>40</v>
      </c>
      <c r="F12" s="553" t="s">
        <v>318</v>
      </c>
      <c r="G12" s="553" t="s">
        <v>446</v>
      </c>
      <c r="H12" s="554" t="s">
        <v>311</v>
      </c>
      <c r="I12" s="385" t="s">
        <v>1681</v>
      </c>
      <c r="J12" s="553" t="s">
        <v>452</v>
      </c>
      <c r="K12" s="551" t="s">
        <v>1682</v>
      </c>
    </row>
    <row r="13" spans="1:11" x14ac:dyDescent="0.25">
      <c r="A13" s="342" t="s">
        <v>1060</v>
      </c>
      <c r="E13" s="552"/>
      <c r="F13" s="553"/>
      <c r="G13" s="553"/>
      <c r="H13" s="554"/>
      <c r="I13" s="385" t="s">
        <v>1683</v>
      </c>
      <c r="J13" s="553"/>
      <c r="K13" s="551"/>
    </row>
    <row r="14" spans="1:11" ht="45" customHeight="1" x14ac:dyDescent="0.25">
      <c r="E14" s="556" t="s">
        <v>40</v>
      </c>
      <c r="F14" s="557" t="s">
        <v>318</v>
      </c>
      <c r="G14" s="557" t="s">
        <v>305</v>
      </c>
      <c r="H14" s="558" t="s">
        <v>311</v>
      </c>
      <c r="I14" s="382" t="s">
        <v>1684</v>
      </c>
      <c r="J14" s="557" t="s">
        <v>452</v>
      </c>
      <c r="K14" s="551" t="s">
        <v>1685</v>
      </c>
    </row>
    <row r="15" spans="1:11" x14ac:dyDescent="0.25">
      <c r="E15" s="556"/>
      <c r="F15" s="557"/>
      <c r="G15" s="557"/>
      <c r="H15" s="558"/>
      <c r="I15" s="382" t="s">
        <v>1683</v>
      </c>
      <c r="J15" s="557"/>
      <c r="K15" s="551"/>
    </row>
    <row r="16" spans="1:11" x14ac:dyDescent="0.25">
      <c r="E16" s="384" t="s">
        <v>40</v>
      </c>
      <c r="F16" s="385" t="s">
        <v>318</v>
      </c>
      <c r="G16" s="385" t="s">
        <v>305</v>
      </c>
      <c r="H16" s="386" t="s">
        <v>311</v>
      </c>
      <c r="I16" s="385" t="s">
        <v>303</v>
      </c>
      <c r="J16" s="385" t="s">
        <v>320</v>
      </c>
      <c r="K16" s="380" t="s">
        <v>316</v>
      </c>
    </row>
    <row r="17" spans="5:11" x14ac:dyDescent="0.25">
      <c r="E17" s="381" t="s">
        <v>40</v>
      </c>
      <c r="F17" s="382" t="s">
        <v>318</v>
      </c>
      <c r="G17" s="382" t="s">
        <v>305</v>
      </c>
      <c r="H17" s="383" t="s">
        <v>311</v>
      </c>
      <c r="I17" s="382" t="s">
        <v>303</v>
      </c>
      <c r="J17" s="382" t="s">
        <v>324</v>
      </c>
      <c r="K17" s="380" t="s">
        <v>316</v>
      </c>
    </row>
    <row r="18" spans="5:11" x14ac:dyDescent="0.25">
      <c r="E18" s="384" t="s">
        <v>40</v>
      </c>
      <c r="F18" s="385" t="s">
        <v>318</v>
      </c>
      <c r="G18" s="385" t="s">
        <v>305</v>
      </c>
      <c r="H18" s="386" t="s">
        <v>311</v>
      </c>
      <c r="I18" s="385" t="s">
        <v>303</v>
      </c>
      <c r="J18" s="385" t="s">
        <v>326</v>
      </c>
      <c r="K18" s="380" t="s">
        <v>316</v>
      </c>
    </row>
    <row r="19" spans="5:11" x14ac:dyDescent="0.25">
      <c r="E19" s="381" t="s">
        <v>40</v>
      </c>
      <c r="F19" s="382" t="s">
        <v>318</v>
      </c>
      <c r="G19" s="382" t="s">
        <v>305</v>
      </c>
      <c r="H19" s="383" t="s">
        <v>311</v>
      </c>
      <c r="I19" s="382" t="s">
        <v>303</v>
      </c>
      <c r="J19" s="382" t="s">
        <v>329</v>
      </c>
      <c r="K19" s="380" t="s">
        <v>316</v>
      </c>
    </row>
    <row r="20" spans="5:11" x14ac:dyDescent="0.25">
      <c r="E20" s="384" t="s">
        <v>40</v>
      </c>
      <c r="F20" s="385" t="s">
        <v>318</v>
      </c>
      <c r="G20" s="385" t="s">
        <v>305</v>
      </c>
      <c r="H20" s="386" t="s">
        <v>311</v>
      </c>
      <c r="I20" s="385" t="s">
        <v>303</v>
      </c>
      <c r="J20" s="385" t="s">
        <v>331</v>
      </c>
      <c r="K20" s="380" t="s">
        <v>316</v>
      </c>
    </row>
    <row r="21" spans="5:11" x14ac:dyDescent="0.25">
      <c r="E21" s="381" t="s">
        <v>40</v>
      </c>
      <c r="F21" s="382" t="s">
        <v>318</v>
      </c>
      <c r="G21" s="382" t="s">
        <v>305</v>
      </c>
      <c r="H21" s="383" t="s">
        <v>311</v>
      </c>
      <c r="I21" s="382" t="s">
        <v>303</v>
      </c>
      <c r="J21" s="382" t="s">
        <v>333</v>
      </c>
      <c r="K21" s="380" t="s">
        <v>316</v>
      </c>
    </row>
    <row r="22" spans="5:11" x14ac:dyDescent="0.25">
      <c r="E22" s="384" t="s">
        <v>40</v>
      </c>
      <c r="F22" s="385" t="s">
        <v>318</v>
      </c>
      <c r="G22" s="385" t="s">
        <v>305</v>
      </c>
      <c r="H22" s="386" t="s">
        <v>311</v>
      </c>
      <c r="I22" s="385" t="s">
        <v>303</v>
      </c>
      <c r="J22" s="385" t="s">
        <v>335</v>
      </c>
      <c r="K22" s="380" t="s">
        <v>316</v>
      </c>
    </row>
    <row r="23" spans="5:11" x14ac:dyDescent="0.25">
      <c r="E23" s="381" t="s">
        <v>40</v>
      </c>
      <c r="F23" s="382" t="s">
        <v>318</v>
      </c>
      <c r="G23" s="382" t="s">
        <v>305</v>
      </c>
      <c r="H23" s="383" t="s">
        <v>311</v>
      </c>
      <c r="I23" s="382" t="s">
        <v>303</v>
      </c>
      <c r="J23" s="382" t="s">
        <v>337</v>
      </c>
      <c r="K23" s="380" t="s">
        <v>316</v>
      </c>
    </row>
    <row r="24" spans="5:11" x14ac:dyDescent="0.25">
      <c r="E24" s="384" t="s">
        <v>40</v>
      </c>
      <c r="F24" s="385" t="s">
        <v>318</v>
      </c>
      <c r="G24" s="385" t="s">
        <v>305</v>
      </c>
      <c r="H24" s="386" t="s">
        <v>311</v>
      </c>
      <c r="I24" s="385" t="s">
        <v>957</v>
      </c>
      <c r="J24" s="385" t="s">
        <v>958</v>
      </c>
      <c r="K24" s="342" t="s">
        <v>960</v>
      </c>
    </row>
    <row r="25" spans="5:11" x14ac:dyDescent="0.25">
      <c r="E25" s="381" t="s">
        <v>101</v>
      </c>
      <c r="F25" s="382" t="s">
        <v>956</v>
      </c>
      <c r="G25" s="382" t="s">
        <v>446</v>
      </c>
      <c r="H25" s="383" t="s">
        <v>311</v>
      </c>
      <c r="I25" s="382" t="s">
        <v>957</v>
      </c>
      <c r="J25" s="382" t="s">
        <v>962</v>
      </c>
      <c r="K25" s="339" t="s">
        <v>960</v>
      </c>
    </row>
    <row r="26" spans="5:11" x14ac:dyDescent="0.25">
      <c r="E26" s="552" t="s">
        <v>101</v>
      </c>
      <c r="F26" s="553" t="s">
        <v>956</v>
      </c>
      <c r="G26" s="553" t="s">
        <v>446</v>
      </c>
      <c r="H26" s="554" t="s">
        <v>311</v>
      </c>
      <c r="I26" s="553" t="s">
        <v>1266</v>
      </c>
      <c r="J26" s="385" t="s">
        <v>1686</v>
      </c>
      <c r="K26" s="555" t="s">
        <v>1687</v>
      </c>
    </row>
    <row r="27" spans="5:11" x14ac:dyDescent="0.25">
      <c r="E27" s="552"/>
      <c r="F27" s="553"/>
      <c r="G27" s="553"/>
      <c r="H27" s="554"/>
      <c r="I27" s="553"/>
      <c r="J27" s="385" t="s">
        <v>1688</v>
      </c>
      <c r="K27" s="555"/>
    </row>
    <row r="28" spans="5:11" x14ac:dyDescent="0.25">
      <c r="E28" s="556" t="s">
        <v>101</v>
      </c>
      <c r="F28" s="557" t="s">
        <v>956</v>
      </c>
      <c r="G28" s="557" t="s">
        <v>305</v>
      </c>
      <c r="H28" s="558" t="s">
        <v>311</v>
      </c>
      <c r="I28" s="557" t="s">
        <v>1266</v>
      </c>
      <c r="J28" s="382" t="s">
        <v>1686</v>
      </c>
      <c r="K28" s="559" t="s">
        <v>1687</v>
      </c>
    </row>
    <row r="29" spans="5:11" x14ac:dyDescent="0.25">
      <c r="E29" s="556"/>
      <c r="F29" s="557"/>
      <c r="G29" s="557"/>
      <c r="H29" s="558"/>
      <c r="I29" s="557"/>
      <c r="J29" s="382" t="s">
        <v>1688</v>
      </c>
      <c r="K29" s="559"/>
    </row>
    <row r="30" spans="5:11" x14ac:dyDescent="0.25">
      <c r="E30" s="552" t="s">
        <v>101</v>
      </c>
      <c r="F30" s="553" t="s">
        <v>956</v>
      </c>
      <c r="G30" s="553" t="s">
        <v>305</v>
      </c>
      <c r="H30" s="554" t="s">
        <v>311</v>
      </c>
      <c r="I30" s="553" t="s">
        <v>1266</v>
      </c>
      <c r="J30" s="385" t="s">
        <v>1686</v>
      </c>
      <c r="K30" s="555" t="s">
        <v>1689</v>
      </c>
    </row>
    <row r="31" spans="5:11" x14ac:dyDescent="0.25">
      <c r="E31" s="552"/>
      <c r="F31" s="553"/>
      <c r="G31" s="553"/>
      <c r="H31" s="554"/>
      <c r="I31" s="553"/>
      <c r="J31" s="385" t="s">
        <v>1688</v>
      </c>
      <c r="K31" s="555"/>
    </row>
    <row r="32" spans="5:11" ht="63.75" customHeight="1" x14ac:dyDescent="0.25">
      <c r="E32" s="556" t="s">
        <v>101</v>
      </c>
      <c r="F32" s="557" t="s">
        <v>956</v>
      </c>
      <c r="G32" s="557" t="s">
        <v>305</v>
      </c>
      <c r="H32" s="558" t="s">
        <v>311</v>
      </c>
      <c r="I32" s="382" t="s">
        <v>1690</v>
      </c>
      <c r="J32" s="557" t="s">
        <v>459</v>
      </c>
      <c r="K32" s="551" t="s">
        <v>1691</v>
      </c>
    </row>
    <row r="33" spans="5:11" x14ac:dyDescent="0.25">
      <c r="E33" s="556"/>
      <c r="F33" s="557"/>
      <c r="G33" s="557"/>
      <c r="H33" s="558"/>
      <c r="I33" s="382" t="s">
        <v>1683</v>
      </c>
      <c r="J33" s="557"/>
      <c r="K33" s="551"/>
    </row>
    <row r="34" spans="5:11" ht="22.5" x14ac:dyDescent="0.25">
      <c r="E34" s="384" t="s">
        <v>40</v>
      </c>
      <c r="F34" s="385" t="s">
        <v>318</v>
      </c>
      <c r="G34" s="385" t="s">
        <v>305</v>
      </c>
      <c r="H34" s="386" t="s">
        <v>311</v>
      </c>
      <c r="I34" s="385" t="s">
        <v>1057</v>
      </c>
      <c r="J34" s="385" t="s">
        <v>1058</v>
      </c>
      <c r="K34" s="342" t="s">
        <v>1692</v>
      </c>
    </row>
    <row r="35" spans="5:11" ht="63.75" customHeight="1" x14ac:dyDescent="0.25">
      <c r="E35" s="556" t="s">
        <v>40</v>
      </c>
      <c r="F35" s="557" t="s">
        <v>1050</v>
      </c>
      <c r="G35" s="557" t="s">
        <v>305</v>
      </c>
      <c r="H35" s="558" t="s">
        <v>311</v>
      </c>
      <c r="I35" s="382" t="s">
        <v>1693</v>
      </c>
      <c r="J35" s="557" t="s">
        <v>462</v>
      </c>
      <c r="K35" s="551" t="s">
        <v>1694</v>
      </c>
    </row>
    <row r="36" spans="5:11" x14ac:dyDescent="0.25">
      <c r="E36" s="556"/>
      <c r="F36" s="557"/>
      <c r="G36" s="557"/>
      <c r="H36" s="558"/>
      <c r="I36" s="382" t="s">
        <v>1683</v>
      </c>
      <c r="J36" s="557"/>
      <c r="K36" s="551"/>
    </row>
    <row r="37" spans="5:11" ht="22.5" x14ac:dyDescent="0.25">
      <c r="E37" s="384" t="s">
        <v>40</v>
      </c>
      <c r="F37" s="385" t="s">
        <v>318</v>
      </c>
      <c r="G37" s="385" t="s">
        <v>305</v>
      </c>
      <c r="H37" s="386" t="s">
        <v>311</v>
      </c>
      <c r="I37" s="385" t="s">
        <v>1062</v>
      </c>
      <c r="J37" s="385" t="s">
        <v>1063</v>
      </c>
      <c r="K37" s="342" t="s">
        <v>1695</v>
      </c>
    </row>
    <row r="38" spans="5:11" x14ac:dyDescent="0.25">
      <c r="E38" s="381" t="s">
        <v>40</v>
      </c>
      <c r="F38" s="382" t="s">
        <v>1050</v>
      </c>
      <c r="G38" s="382" t="s">
        <v>305</v>
      </c>
      <c r="H38" s="383" t="s">
        <v>311</v>
      </c>
      <c r="I38" s="382" t="s">
        <v>1409</v>
      </c>
      <c r="J38" s="382" t="s">
        <v>1410</v>
      </c>
      <c r="K38" s="339" t="s">
        <v>1689</v>
      </c>
    </row>
    <row r="39" spans="5:11" ht="22.5" x14ac:dyDescent="0.25">
      <c r="E39" s="384" t="s">
        <v>101</v>
      </c>
      <c r="F39" s="385" t="s">
        <v>1408</v>
      </c>
      <c r="G39" s="385" t="s">
        <v>305</v>
      </c>
      <c r="H39" s="386" t="s">
        <v>311</v>
      </c>
      <c r="I39" s="385" t="s">
        <v>465</v>
      </c>
      <c r="J39" s="385" t="s">
        <v>466</v>
      </c>
      <c r="K39" s="342" t="s">
        <v>1696</v>
      </c>
    </row>
  </sheetData>
  <mergeCells count="42">
    <mergeCell ref="K35:K36"/>
    <mergeCell ref="E32:E33"/>
    <mergeCell ref="F32:F33"/>
    <mergeCell ref="G32:G33"/>
    <mergeCell ref="H32:H33"/>
    <mergeCell ref="J32:J33"/>
    <mergeCell ref="K32:K33"/>
    <mergeCell ref="E35:E36"/>
    <mergeCell ref="F35:F36"/>
    <mergeCell ref="G35:G36"/>
    <mergeCell ref="H35:H36"/>
    <mergeCell ref="J35:J36"/>
    <mergeCell ref="K30:K31"/>
    <mergeCell ref="E28:E29"/>
    <mergeCell ref="F28:F29"/>
    <mergeCell ref="G28:G29"/>
    <mergeCell ref="H28:H29"/>
    <mergeCell ref="I28:I29"/>
    <mergeCell ref="K28:K29"/>
    <mergeCell ref="E30:E31"/>
    <mergeCell ref="F30:F31"/>
    <mergeCell ref="G30:G31"/>
    <mergeCell ref="H30:H31"/>
    <mergeCell ref="I30:I31"/>
    <mergeCell ref="K26:K27"/>
    <mergeCell ref="E14:E15"/>
    <mergeCell ref="F14:F15"/>
    <mergeCell ref="G14:G15"/>
    <mergeCell ref="H14:H15"/>
    <mergeCell ref="J14:J15"/>
    <mergeCell ref="K14:K15"/>
    <mergeCell ref="E26:E27"/>
    <mergeCell ref="F26:F27"/>
    <mergeCell ref="G26:G27"/>
    <mergeCell ref="H26:H27"/>
    <mergeCell ref="I26:I27"/>
    <mergeCell ref="K12:K13"/>
    <mergeCell ref="E12:E13"/>
    <mergeCell ref="F12:F13"/>
    <mergeCell ref="G12:G13"/>
    <mergeCell ref="H12:H13"/>
    <mergeCell ref="J12:J1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7">
    <tabColor theme="9"/>
  </sheetPr>
  <dimension ref="A1:N2995"/>
  <sheetViews>
    <sheetView topLeftCell="A2987" zoomScale="115" zoomScaleNormal="115" workbookViewId="0">
      <selection activeCell="C429" sqref="C429"/>
    </sheetView>
  </sheetViews>
  <sheetFormatPr defaultRowHeight="15" x14ac:dyDescent="0.25"/>
  <cols>
    <col min="1" max="1" width="25.28515625" style="7" customWidth="1"/>
    <col min="2" max="2" width="12.7109375" style="7" customWidth="1"/>
    <col min="3" max="3" width="12.28515625" style="7" customWidth="1"/>
    <col min="4" max="4" width="10.28515625" style="7" bestFit="1" customWidth="1"/>
    <col min="5" max="5" width="8.85546875" style="7" bestFit="1" customWidth="1"/>
    <col min="6" max="6" width="14.140625" style="7" bestFit="1" customWidth="1"/>
    <col min="7" max="7" width="8.7109375" bestFit="1" customWidth="1"/>
    <col min="8" max="8" width="9.85546875" customWidth="1"/>
    <col min="9" max="9" width="21.42578125" bestFit="1" customWidth="1"/>
    <col min="12" max="12" width="27" bestFit="1" customWidth="1"/>
    <col min="14" max="14" width="11.7109375" bestFit="1" customWidth="1"/>
  </cols>
  <sheetData>
    <row r="1" spans="1:14" x14ac:dyDescent="0.25">
      <c r="A1" s="21" t="s">
        <v>1697</v>
      </c>
      <c r="B1" s="21" t="s">
        <v>0</v>
      </c>
      <c r="C1" s="21" t="s">
        <v>1698</v>
      </c>
      <c r="D1" s="21" t="s">
        <v>1699</v>
      </c>
      <c r="E1" s="21" t="s">
        <v>1501</v>
      </c>
      <c r="F1" s="21" t="s">
        <v>1700</v>
      </c>
      <c r="G1" s="21" t="s">
        <v>1701</v>
      </c>
      <c r="H1" s="21" t="s">
        <v>56</v>
      </c>
      <c r="I1" s="21" t="s">
        <v>1702</v>
      </c>
      <c r="J1" s="21" t="s">
        <v>1498</v>
      </c>
      <c r="L1" s="16" t="s">
        <v>1700</v>
      </c>
      <c r="M1" s="16" t="s">
        <v>1703</v>
      </c>
    </row>
    <row r="2" spans="1:14" x14ac:dyDescent="0.25">
      <c r="A2" s="21" t="s">
        <v>678</v>
      </c>
      <c r="B2" s="391" t="str">
        <f>VLOOKUP(Tabela12[[#This Row],[Painel]],Tabela13[],2,0)</f>
        <v>7HV</v>
      </c>
      <c r="C2" s="391" t="s">
        <v>1625</v>
      </c>
      <c r="D2" s="21" t="s">
        <v>1704</v>
      </c>
      <c r="E2" s="21">
        <v>30</v>
      </c>
      <c r="F2" s="21" t="str">
        <f>Tabela12[[#This Row],[Régua]]&amp;" ("&amp;Tabela12[[#This Row],[Born]]&amp;")"</f>
        <v>X1 (30)</v>
      </c>
      <c r="G2" s="21">
        <f>LEN(Tabela12[[#This Row],[Anilha]])</f>
        <v>7</v>
      </c>
      <c r="H2" s="21">
        <f>VLOOKUP(Tabela12[[#This Row],[Tag Cabo]],BD!A:F,6,0)</f>
        <v>1</v>
      </c>
      <c r="I2" s="27" t="s">
        <v>1705</v>
      </c>
      <c r="J2" s="27" t="s">
        <v>1706</v>
      </c>
      <c r="L2" s="259" t="s">
        <v>1705</v>
      </c>
      <c r="M2" s="257">
        <f>COUNTIF(I:I,L2)</f>
        <v>2141</v>
      </c>
    </row>
    <row r="3" spans="1:14" x14ac:dyDescent="0.25">
      <c r="A3" s="21" t="s">
        <v>678</v>
      </c>
      <c r="B3" s="391" t="str">
        <f>VLOOKUP(Tabela12[[#This Row],[Painel]],Tabela13[],2,0)</f>
        <v>7HV</v>
      </c>
      <c r="C3" s="391" t="s">
        <v>1625</v>
      </c>
      <c r="D3" s="21" t="s">
        <v>1704</v>
      </c>
      <c r="E3" s="21">
        <v>28</v>
      </c>
      <c r="F3" s="21" t="str">
        <f>Tabela12[[#This Row],[Régua]]&amp;" ("&amp;Tabela12[[#This Row],[Born]]&amp;")"</f>
        <v>X1 (28)</v>
      </c>
      <c r="G3" s="21">
        <f>LEN(Tabela12[[#This Row],[Anilha]])</f>
        <v>7</v>
      </c>
      <c r="H3" s="21">
        <f>VLOOKUP(Tabela12[[#This Row],[Tag Cabo]],BD!A:F,6,0)</f>
        <v>1</v>
      </c>
      <c r="I3" s="27" t="s">
        <v>1705</v>
      </c>
      <c r="J3" s="27" t="s">
        <v>1706</v>
      </c>
      <c r="L3" s="259" t="s">
        <v>1707</v>
      </c>
      <c r="M3" s="257">
        <f>COUNTIF(I:I,L3)</f>
        <v>545</v>
      </c>
    </row>
    <row r="4" spans="1:14" x14ac:dyDescent="0.25">
      <c r="A4" s="21" t="s">
        <v>678</v>
      </c>
      <c r="B4" s="391" t="str">
        <f>VLOOKUP(Tabela12[[#This Row],[Painel]],Tabela13[],2,0)</f>
        <v>CCP</v>
      </c>
      <c r="C4" s="391" t="s">
        <v>679</v>
      </c>
      <c r="D4" s="21" t="s">
        <v>1708</v>
      </c>
      <c r="E4" s="21">
        <v>19</v>
      </c>
      <c r="F4" s="21" t="str">
        <f>Tabela12[[#This Row],[Régua]]&amp;" ("&amp;Tabela12[[#This Row],[Born]]&amp;")"</f>
        <v>T8801C (19)</v>
      </c>
      <c r="G4" s="21">
        <f>LEN(Tabela12[[#This Row],[Anilha]])</f>
        <v>11</v>
      </c>
      <c r="H4" s="21">
        <f>VLOOKUP(Tabela12[[#This Row],[Tag Cabo]],BD!A:F,6,0)</f>
        <v>1</v>
      </c>
      <c r="I4" s="27" t="s">
        <v>1705</v>
      </c>
      <c r="J4" s="27" t="s">
        <v>1706</v>
      </c>
      <c r="L4" s="259" t="s">
        <v>1709</v>
      </c>
      <c r="M4" s="257">
        <f>COUNTIF(I:I,L4)</f>
        <v>8</v>
      </c>
      <c r="N4" s="258" t="s">
        <v>1710</v>
      </c>
    </row>
    <row r="5" spans="1:14" x14ac:dyDescent="0.25">
      <c r="A5" s="21" t="s">
        <v>678</v>
      </c>
      <c r="B5" s="391" t="str">
        <f>VLOOKUP(Tabela12[[#This Row],[Painel]],Tabela13[],2,0)</f>
        <v>CCP</v>
      </c>
      <c r="C5" s="391" t="s">
        <v>679</v>
      </c>
      <c r="D5" s="21" t="s">
        <v>1708</v>
      </c>
      <c r="E5" s="21">
        <v>20</v>
      </c>
      <c r="F5" s="21" t="str">
        <f>Tabela12[[#This Row],[Régua]]&amp;" ("&amp;Tabela12[[#This Row],[Born]]&amp;")"</f>
        <v>T8801C (20)</v>
      </c>
      <c r="G5" s="21">
        <f>LEN(Tabela12[[#This Row],[Anilha]])</f>
        <v>11</v>
      </c>
      <c r="H5" s="21">
        <f>VLOOKUP(Tabela12[[#This Row],[Tag Cabo]],BD!A:F,6,0)</f>
        <v>1</v>
      </c>
      <c r="I5" s="27" t="s">
        <v>1705</v>
      </c>
      <c r="J5" s="27" t="s">
        <v>1706</v>
      </c>
    </row>
    <row r="6" spans="1:14" x14ac:dyDescent="0.25">
      <c r="A6" s="216" t="s">
        <v>683</v>
      </c>
      <c r="B6" s="45" t="str">
        <f>VLOOKUP(Tabela12[[#This Row],[Painel]],Tabela13[],2,0)</f>
        <v>7HV</v>
      </c>
      <c r="C6" s="391" t="s">
        <v>1628</v>
      </c>
      <c r="D6" s="21" t="s">
        <v>1704</v>
      </c>
      <c r="E6" s="21">
        <v>30</v>
      </c>
      <c r="F6" s="27" t="str">
        <f>Tabela12[[#This Row],[Régua]]&amp;" ("&amp;Tabela12[[#This Row],[Born]]&amp;")"</f>
        <v>X1 (30)</v>
      </c>
      <c r="G6" s="27">
        <f>LEN(Tabela12[[#This Row],[Anilha]])</f>
        <v>7</v>
      </c>
      <c r="H6" s="21">
        <f>VLOOKUP(Tabela12[[#This Row],[Tag Cabo]],BD!A:F,6,0)</f>
        <v>1</v>
      </c>
      <c r="I6" s="27" t="s">
        <v>1705</v>
      </c>
      <c r="J6" s="27" t="s">
        <v>1706</v>
      </c>
    </row>
    <row r="7" spans="1:14" x14ac:dyDescent="0.25">
      <c r="A7" s="216" t="s">
        <v>683</v>
      </c>
      <c r="B7" s="45" t="str">
        <f>VLOOKUP(Tabela12[[#This Row],[Painel]],Tabela13[],2,0)</f>
        <v>7HV</v>
      </c>
      <c r="C7" s="391" t="s">
        <v>1628</v>
      </c>
      <c r="D7" s="21" t="s">
        <v>1704</v>
      </c>
      <c r="E7" s="21">
        <v>28</v>
      </c>
      <c r="F7" s="27" t="str">
        <f>Tabela12[[#This Row],[Régua]]&amp;" ("&amp;Tabela12[[#This Row],[Born]]&amp;")"</f>
        <v>X1 (28)</v>
      </c>
      <c r="G7" s="27">
        <f>LEN(Tabela12[[#This Row],[Anilha]])</f>
        <v>7</v>
      </c>
      <c r="H7" s="21">
        <f>VLOOKUP(Tabela12[[#This Row],[Tag Cabo]],BD!A:F,6,0)</f>
        <v>1</v>
      </c>
      <c r="I7" s="27" t="s">
        <v>1705</v>
      </c>
      <c r="J7" s="27" t="s">
        <v>1706</v>
      </c>
    </row>
    <row r="8" spans="1:14" x14ac:dyDescent="0.25">
      <c r="A8" s="216" t="s">
        <v>683</v>
      </c>
      <c r="B8" s="45" t="str">
        <f>VLOOKUP(Tabela12[[#This Row],[Painel]],Tabela13[],2,0)</f>
        <v>CCP</v>
      </c>
      <c r="C8" s="45" t="s">
        <v>679</v>
      </c>
      <c r="D8" s="216" t="s">
        <v>1711</v>
      </c>
      <c r="E8" s="21">
        <v>21</v>
      </c>
      <c r="F8" s="27" t="str">
        <f>Tabela12[[#This Row],[Régua]]&amp;" ("&amp;Tabela12[[#This Row],[Born]]&amp;")"</f>
        <v>T881C (21)</v>
      </c>
      <c r="G8" s="27">
        <f>LEN(Tabela12[[#This Row],[Anilha]])</f>
        <v>10</v>
      </c>
      <c r="H8" s="21">
        <f>VLOOKUP(Tabela12[[#This Row],[Tag Cabo]],BD!A:F,6,0)</f>
        <v>1</v>
      </c>
      <c r="I8" s="27" t="s">
        <v>1705</v>
      </c>
      <c r="J8" s="27" t="s">
        <v>1706</v>
      </c>
    </row>
    <row r="9" spans="1:14" x14ac:dyDescent="0.25">
      <c r="A9" s="216" t="s">
        <v>683</v>
      </c>
      <c r="B9" s="45" t="str">
        <f>VLOOKUP(Tabela12[[#This Row],[Painel]],Tabela13[],2,0)</f>
        <v>CCP</v>
      </c>
      <c r="C9" s="45" t="s">
        <v>679</v>
      </c>
      <c r="D9" s="216" t="s">
        <v>1711</v>
      </c>
      <c r="E9" s="21">
        <v>22</v>
      </c>
      <c r="F9" s="27" t="str">
        <f>Tabela12[[#This Row],[Régua]]&amp;" ("&amp;Tabela12[[#This Row],[Born]]&amp;")"</f>
        <v>T881C (22)</v>
      </c>
      <c r="G9" s="27">
        <f>LEN(Tabela12[[#This Row],[Anilha]])</f>
        <v>10</v>
      </c>
      <c r="H9" s="21">
        <f>VLOOKUP(Tabela12[[#This Row],[Tag Cabo]],BD!A:F,6,0)</f>
        <v>1</v>
      </c>
      <c r="I9" s="27" t="s">
        <v>1705</v>
      </c>
      <c r="J9" s="27" t="s">
        <v>1706</v>
      </c>
    </row>
    <row r="10" spans="1:14" x14ac:dyDescent="0.25">
      <c r="A10" s="216" t="s">
        <v>1157</v>
      </c>
      <c r="B10" s="45" t="str">
        <f>VLOOKUP(Tabela12[[#This Row],[Painel]],Tabela13[],2,0)</f>
        <v>CCP</v>
      </c>
      <c r="C10" s="45" t="s">
        <v>1614</v>
      </c>
      <c r="D10" s="21" t="s">
        <v>1712</v>
      </c>
      <c r="E10" s="21">
        <v>1</v>
      </c>
      <c r="F10" s="27" t="str">
        <f>Tabela12[[#This Row],[Régua]]&amp;" ("&amp;Tabela12[[#This Row],[Born]]&amp;")"</f>
        <v>RB4 (1)</v>
      </c>
      <c r="G10" s="27">
        <f>LEN(Tabela12[[#This Row],[Anilha]])</f>
        <v>7</v>
      </c>
      <c r="H10" s="21">
        <f>VLOOKUP(Tabela12[[#This Row],[Tag Cabo]],BD!A:F,6,0)</f>
        <v>1</v>
      </c>
      <c r="I10" s="27" t="s">
        <v>1705</v>
      </c>
      <c r="J10" s="27" t="s">
        <v>1706</v>
      </c>
    </row>
    <row r="11" spans="1:14" x14ac:dyDescent="0.25">
      <c r="A11" s="216" t="s">
        <v>1157</v>
      </c>
      <c r="B11" s="45" t="str">
        <f>VLOOKUP(Tabela12[[#This Row],[Painel]],Tabela13[],2,0)</f>
        <v>CCP</v>
      </c>
      <c r="C11" s="45" t="s">
        <v>1614</v>
      </c>
      <c r="D11" s="21" t="s">
        <v>1712</v>
      </c>
      <c r="E11" s="21">
        <v>2</v>
      </c>
      <c r="F11" s="27" t="str">
        <f>Tabela12[[#This Row],[Régua]]&amp;" ("&amp;Tabela12[[#This Row],[Born]]&amp;")"</f>
        <v>RB4 (2)</v>
      </c>
      <c r="G11" s="27">
        <f>LEN(Tabela12[[#This Row],[Anilha]])</f>
        <v>7</v>
      </c>
      <c r="H11" s="21">
        <f>VLOOKUP(Tabela12[[#This Row],[Tag Cabo]],BD!A:F,6,0)</f>
        <v>1</v>
      </c>
      <c r="I11" s="27" t="s">
        <v>1705</v>
      </c>
      <c r="J11" s="27" t="s">
        <v>1706</v>
      </c>
    </row>
    <row r="12" spans="1:14" x14ac:dyDescent="0.25">
      <c r="A12" s="216" t="s">
        <v>1157</v>
      </c>
      <c r="B12" s="45" t="str">
        <f>VLOOKUP(Tabela12[[#This Row],[Painel]],Tabela13[],2,0)</f>
        <v>CCP</v>
      </c>
      <c r="C12" s="45" t="s">
        <v>1159</v>
      </c>
      <c r="D12" s="21" t="s">
        <v>1713</v>
      </c>
      <c r="E12" s="21">
        <v>7</v>
      </c>
      <c r="F12" s="27" t="str">
        <f>Tabela12[[#This Row],[Régua]]&amp;" ("&amp;Tabela12[[#This Row],[Born]]&amp;")"</f>
        <v>BED-43 (7)</v>
      </c>
      <c r="G12" s="27">
        <f>LEN(Tabela12[[#This Row],[Anilha]])</f>
        <v>10</v>
      </c>
      <c r="H12" s="21">
        <f>VLOOKUP(Tabela12[[#This Row],[Tag Cabo]],BD!A:F,6,0)</f>
        <v>1</v>
      </c>
      <c r="I12" s="27" t="s">
        <v>1705</v>
      </c>
      <c r="J12" s="27" t="s">
        <v>1706</v>
      </c>
    </row>
    <row r="13" spans="1:14" x14ac:dyDescent="0.25">
      <c r="A13" s="216" t="s">
        <v>1157</v>
      </c>
      <c r="B13" s="45" t="str">
        <f>VLOOKUP(Tabela12[[#This Row],[Painel]],Tabela13[],2,0)</f>
        <v>CCP</v>
      </c>
      <c r="C13" s="45" t="s">
        <v>1159</v>
      </c>
      <c r="D13" s="21" t="s">
        <v>1713</v>
      </c>
      <c r="E13" s="21">
        <v>8</v>
      </c>
      <c r="F13" s="27" t="str">
        <f>Tabela12[[#This Row],[Régua]]&amp;" ("&amp;Tabela12[[#This Row],[Born]]&amp;")"</f>
        <v>BED-43 (8)</v>
      </c>
      <c r="G13" s="27">
        <f>LEN(Tabela12[[#This Row],[Anilha]])</f>
        <v>10</v>
      </c>
      <c r="H13" s="21">
        <f>VLOOKUP(Tabela12[[#This Row],[Tag Cabo]],BD!A:F,6,0)</f>
        <v>1</v>
      </c>
      <c r="I13" s="27" t="s">
        <v>1705</v>
      </c>
      <c r="J13" s="27" t="s">
        <v>1706</v>
      </c>
    </row>
    <row r="14" spans="1:14" x14ac:dyDescent="0.25">
      <c r="A14" s="216" t="s">
        <v>1157</v>
      </c>
      <c r="B14" s="45" t="str">
        <f>VLOOKUP(Tabela12[[#This Row],[Painel]],Tabela13[],2,0)</f>
        <v>CCP</v>
      </c>
      <c r="C14" s="45" t="s">
        <v>1614</v>
      </c>
      <c r="D14" s="21" t="s">
        <v>1712</v>
      </c>
      <c r="E14" s="21">
        <v>3</v>
      </c>
      <c r="F14" s="27" t="str">
        <f>Tabela12[[#This Row],[Régua]]&amp;" ("&amp;Tabela12[[#This Row],[Born]]&amp;")"</f>
        <v>RB4 (3)</v>
      </c>
      <c r="G14" s="27">
        <f>LEN(Tabela12[[#This Row],[Anilha]])</f>
        <v>7</v>
      </c>
      <c r="H14" s="21">
        <f>VLOOKUP(Tabela12[[#This Row],[Tag Cabo]],BD!A:F,6,0)</f>
        <v>1</v>
      </c>
      <c r="I14" s="27" t="s">
        <v>1705</v>
      </c>
      <c r="J14" s="27" t="s">
        <v>1706</v>
      </c>
    </row>
    <row r="15" spans="1:14" x14ac:dyDescent="0.25">
      <c r="A15" s="216" t="s">
        <v>1157</v>
      </c>
      <c r="B15" s="45" t="str">
        <f>VLOOKUP(Tabela12[[#This Row],[Painel]],Tabela13[],2,0)</f>
        <v>CCP</v>
      </c>
      <c r="C15" s="45" t="s">
        <v>1614</v>
      </c>
      <c r="D15" s="21" t="s">
        <v>1712</v>
      </c>
      <c r="E15" s="21">
        <v>4</v>
      </c>
      <c r="F15" s="27" t="str">
        <f>Tabela12[[#This Row],[Régua]]&amp;" ("&amp;Tabela12[[#This Row],[Born]]&amp;")"</f>
        <v>RB4 (4)</v>
      </c>
      <c r="G15" s="27">
        <f>LEN(Tabela12[[#This Row],[Anilha]])</f>
        <v>7</v>
      </c>
      <c r="H15" s="21">
        <f>VLOOKUP(Tabela12[[#This Row],[Tag Cabo]],BD!A:F,6,0)</f>
        <v>1</v>
      </c>
      <c r="I15" s="27" t="s">
        <v>1705</v>
      </c>
      <c r="J15" s="27" t="s">
        <v>1706</v>
      </c>
    </row>
    <row r="16" spans="1:14" x14ac:dyDescent="0.25">
      <c r="A16" s="216" t="s">
        <v>1157</v>
      </c>
      <c r="B16" s="45" t="str">
        <f>VLOOKUP(Tabela12[[#This Row],[Painel]],Tabela13[],2,0)</f>
        <v>CCP</v>
      </c>
      <c r="C16" s="45" t="s">
        <v>1159</v>
      </c>
      <c r="D16" s="21" t="s">
        <v>1714</v>
      </c>
      <c r="E16" s="21">
        <v>1</v>
      </c>
      <c r="F16" s="27" t="str">
        <f>Tabela12[[#This Row],[Régua]]&amp;" ("&amp;Tabela12[[#This Row],[Born]]&amp;")"</f>
        <v>BED-41 (1)</v>
      </c>
      <c r="G16" s="27">
        <f>LEN(Tabela12[[#This Row],[Anilha]])</f>
        <v>10</v>
      </c>
      <c r="H16" s="21">
        <f>VLOOKUP(Tabela12[[#This Row],[Tag Cabo]],BD!A:F,6,0)</f>
        <v>1</v>
      </c>
      <c r="I16" s="27" t="s">
        <v>1705</v>
      </c>
      <c r="J16" s="27" t="s">
        <v>1706</v>
      </c>
    </row>
    <row r="17" spans="1:10" x14ac:dyDescent="0.25">
      <c r="A17" s="216" t="s">
        <v>1157</v>
      </c>
      <c r="B17" s="45" t="str">
        <f>VLOOKUP(Tabela12[[#This Row],[Painel]],Tabela13[],2,0)</f>
        <v>CCP</v>
      </c>
      <c r="C17" s="45" t="s">
        <v>1159</v>
      </c>
      <c r="D17" s="21" t="s">
        <v>1714</v>
      </c>
      <c r="E17" s="21">
        <v>2</v>
      </c>
      <c r="F17" s="27" t="str">
        <f>Tabela12[[#This Row],[Régua]]&amp;" ("&amp;Tabela12[[#This Row],[Born]]&amp;")"</f>
        <v>BED-41 (2)</v>
      </c>
      <c r="G17" s="27">
        <f>LEN(Tabela12[[#This Row],[Anilha]])</f>
        <v>10</v>
      </c>
      <c r="H17" s="21">
        <f>VLOOKUP(Tabela12[[#This Row],[Tag Cabo]],BD!A:F,6,0)</f>
        <v>1</v>
      </c>
      <c r="I17" s="27" t="s">
        <v>1705</v>
      </c>
      <c r="J17" s="27" t="s">
        <v>1706</v>
      </c>
    </row>
    <row r="18" spans="1:10" x14ac:dyDescent="0.25">
      <c r="A18" s="216" t="s">
        <v>1157</v>
      </c>
      <c r="B18" s="45" t="str">
        <f>VLOOKUP(Tabela12[[#This Row],[Painel]],Tabela13[],2,0)</f>
        <v>CCP</v>
      </c>
      <c r="C18" s="45" t="s">
        <v>1614</v>
      </c>
      <c r="D18" s="21" t="s">
        <v>1712</v>
      </c>
      <c r="E18" s="21">
        <v>5</v>
      </c>
      <c r="F18" s="27" t="str">
        <f>Tabela12[[#This Row],[Régua]]&amp;" ("&amp;Tabela12[[#This Row],[Born]]&amp;")"</f>
        <v>RB4 (5)</v>
      </c>
      <c r="G18" s="27">
        <f>LEN(Tabela12[[#This Row],[Anilha]])</f>
        <v>7</v>
      </c>
      <c r="H18" s="27">
        <f>VLOOKUP(Tabela12[[#This Row],[Tag Cabo]],BD!A:F,6,0)</f>
        <v>1</v>
      </c>
      <c r="I18" s="27" t="s">
        <v>1705</v>
      </c>
      <c r="J18" s="27" t="s">
        <v>1706</v>
      </c>
    </row>
    <row r="19" spans="1:10" x14ac:dyDescent="0.25">
      <c r="A19" s="216" t="s">
        <v>1157</v>
      </c>
      <c r="B19" s="45" t="str">
        <f>VLOOKUP(Tabela12[[#This Row],[Painel]],Tabela13[],2,0)</f>
        <v>CCP</v>
      </c>
      <c r="C19" s="45" t="s">
        <v>1614</v>
      </c>
      <c r="D19" s="21" t="s">
        <v>1712</v>
      </c>
      <c r="E19" s="21">
        <v>6</v>
      </c>
      <c r="F19" s="27" t="str">
        <f>Tabela12[[#This Row],[Régua]]&amp;" ("&amp;Tabela12[[#This Row],[Born]]&amp;")"</f>
        <v>RB4 (6)</v>
      </c>
      <c r="G19" s="27">
        <f>LEN(Tabela12[[#This Row],[Anilha]])</f>
        <v>7</v>
      </c>
      <c r="H19" s="27">
        <f>VLOOKUP(Tabela12[[#This Row],[Tag Cabo]],BD!A:F,6,0)</f>
        <v>1</v>
      </c>
      <c r="I19" s="27" t="s">
        <v>1705</v>
      </c>
      <c r="J19" s="27" t="s">
        <v>1706</v>
      </c>
    </row>
    <row r="20" spans="1:10" x14ac:dyDescent="0.25">
      <c r="A20" s="216" t="s">
        <v>1157</v>
      </c>
      <c r="B20" s="45" t="str">
        <f>VLOOKUP(Tabela12[[#This Row],[Painel]],Tabela13[],2,0)</f>
        <v>CCP</v>
      </c>
      <c r="C20" s="45" t="s">
        <v>1159</v>
      </c>
      <c r="D20" s="21" t="s">
        <v>1715</v>
      </c>
      <c r="E20" s="21">
        <v>7</v>
      </c>
      <c r="F20" s="27" t="str">
        <f>Tabela12[[#This Row],[Régua]]&amp;" ("&amp;Tabela12[[#This Row],[Born]]&amp;")"</f>
        <v>BED-42 (7)</v>
      </c>
      <c r="G20" s="27">
        <f>LEN(Tabela12[[#This Row],[Anilha]])</f>
        <v>10</v>
      </c>
      <c r="H20" s="27">
        <f>VLOOKUP(Tabela12[[#This Row],[Tag Cabo]],BD!A:F,6,0)</f>
        <v>1</v>
      </c>
      <c r="I20" s="27" t="s">
        <v>1705</v>
      </c>
      <c r="J20" s="27" t="s">
        <v>1706</v>
      </c>
    </row>
    <row r="21" spans="1:10" x14ac:dyDescent="0.25">
      <c r="A21" s="216" t="s">
        <v>1157</v>
      </c>
      <c r="B21" s="45" t="str">
        <f>VLOOKUP(Tabela12[[#This Row],[Painel]],Tabela13[],2,0)</f>
        <v>CCP</v>
      </c>
      <c r="C21" s="45" t="s">
        <v>1159</v>
      </c>
      <c r="D21" s="21" t="s">
        <v>1715</v>
      </c>
      <c r="E21" s="21">
        <v>8</v>
      </c>
      <c r="F21" s="27" t="str">
        <f>Tabela12[[#This Row],[Régua]]&amp;" ("&amp;Tabela12[[#This Row],[Born]]&amp;")"</f>
        <v>BED-42 (8)</v>
      </c>
      <c r="G21" s="27">
        <f>LEN(Tabela12[[#This Row],[Anilha]])</f>
        <v>10</v>
      </c>
      <c r="H21" s="27">
        <f>VLOOKUP(Tabela12[[#This Row],[Tag Cabo]],BD!A:F,6,0)</f>
        <v>1</v>
      </c>
      <c r="I21" s="27" t="s">
        <v>1705</v>
      </c>
      <c r="J21" s="27" t="s">
        <v>1706</v>
      </c>
    </row>
    <row r="22" spans="1:10" x14ac:dyDescent="0.25">
      <c r="A22" s="216" t="s">
        <v>684</v>
      </c>
      <c r="B22" s="45" t="str">
        <f>VLOOKUP(Tabela12[[#This Row],[Painel]],Tabela13[],2,0)</f>
        <v>7HV</v>
      </c>
      <c r="C22" s="45" t="s">
        <v>937</v>
      </c>
      <c r="D22" s="21" t="s">
        <v>1716</v>
      </c>
      <c r="E22" s="21">
        <v>39</v>
      </c>
      <c r="F22" s="27" t="str">
        <f>Tabela12[[#This Row],[Régua]]&amp;" ("&amp;Tabela12[[#This Row],[Born]]&amp;")"</f>
        <v>BNC (39)</v>
      </c>
      <c r="G22" s="27">
        <f>LEN(Tabela12[[#This Row],[Anilha]])</f>
        <v>8</v>
      </c>
      <c r="H22" s="21">
        <f>VLOOKUP(Tabela12[[#This Row],[Tag Cabo]],BD!A:F,6,0)</f>
        <v>1</v>
      </c>
      <c r="I22" s="27" t="s">
        <v>1705</v>
      </c>
      <c r="J22" s="27" t="s">
        <v>1706</v>
      </c>
    </row>
    <row r="23" spans="1:10" x14ac:dyDescent="0.25">
      <c r="A23" s="216" t="s">
        <v>684</v>
      </c>
      <c r="B23" s="45" t="str">
        <f>VLOOKUP(Tabela12[[#This Row],[Painel]],Tabela13[],2,0)</f>
        <v>7HV</v>
      </c>
      <c r="C23" s="45" t="s">
        <v>937</v>
      </c>
      <c r="D23" s="21" t="s">
        <v>1716</v>
      </c>
      <c r="E23" s="21">
        <v>40</v>
      </c>
      <c r="F23" s="27" t="str">
        <f>Tabela12[[#This Row],[Régua]]&amp;" ("&amp;Tabela12[[#This Row],[Born]]&amp;")"</f>
        <v>BNC (40)</v>
      </c>
      <c r="G23" s="27">
        <f>LEN(Tabela12[[#This Row],[Anilha]])</f>
        <v>8</v>
      </c>
      <c r="H23" s="21">
        <f>VLOOKUP(Tabela12[[#This Row],[Tag Cabo]],BD!A:F,6,0)</f>
        <v>1</v>
      </c>
      <c r="I23" s="27" t="s">
        <v>1705</v>
      </c>
      <c r="J23" s="27" t="s">
        <v>1706</v>
      </c>
    </row>
    <row r="24" spans="1:10" x14ac:dyDescent="0.25">
      <c r="A24" s="216" t="s">
        <v>684</v>
      </c>
      <c r="B24" s="45" t="str">
        <f>VLOOKUP(Tabela12[[#This Row],[Painel]],Tabela13[],2,0)</f>
        <v>7HV</v>
      </c>
      <c r="C24" s="45" t="s">
        <v>937</v>
      </c>
      <c r="D24" s="21" t="s">
        <v>1716</v>
      </c>
      <c r="E24" s="21">
        <v>41</v>
      </c>
      <c r="F24" s="27" t="str">
        <f>Tabela12[[#This Row],[Régua]]&amp;" ("&amp;Tabela12[[#This Row],[Born]]&amp;")"</f>
        <v>BNC (41)</v>
      </c>
      <c r="G24" s="27">
        <f>LEN(Tabela12[[#This Row],[Anilha]])</f>
        <v>8</v>
      </c>
      <c r="H24" s="21">
        <f>VLOOKUP(Tabela12[[#This Row],[Tag Cabo]],BD!A:F,6,0)</f>
        <v>1</v>
      </c>
      <c r="I24" s="27" t="s">
        <v>1705</v>
      </c>
      <c r="J24" s="27" t="s">
        <v>1706</v>
      </c>
    </row>
    <row r="25" spans="1:10" x14ac:dyDescent="0.25">
      <c r="A25" s="216" t="s">
        <v>684</v>
      </c>
      <c r="B25" s="45" t="str">
        <f>VLOOKUP(Tabela12[[#This Row],[Painel]],Tabela13[],2,0)</f>
        <v>7HV</v>
      </c>
      <c r="C25" s="45" t="s">
        <v>937</v>
      </c>
      <c r="D25" s="21" t="s">
        <v>1716</v>
      </c>
      <c r="E25" s="21">
        <v>42</v>
      </c>
      <c r="F25" s="27" t="str">
        <f>Tabela12[[#This Row],[Régua]]&amp;" ("&amp;Tabela12[[#This Row],[Born]]&amp;")"</f>
        <v>BNC (42)</v>
      </c>
      <c r="G25" s="27">
        <f>LEN(Tabela12[[#This Row],[Anilha]])</f>
        <v>8</v>
      </c>
      <c r="H25" s="21">
        <f>VLOOKUP(Tabela12[[#This Row],[Tag Cabo]],BD!A:F,6,0)</f>
        <v>1</v>
      </c>
      <c r="I25" s="27" t="s">
        <v>1705</v>
      </c>
      <c r="J25" s="27" t="s">
        <v>1706</v>
      </c>
    </row>
    <row r="26" spans="1:10" x14ac:dyDescent="0.25">
      <c r="A26" s="216" t="s">
        <v>684</v>
      </c>
      <c r="B26" s="45" t="str">
        <f>VLOOKUP(Tabela12[[#This Row],[Painel]],Tabela13[],2,0)</f>
        <v>7HV</v>
      </c>
      <c r="C26" s="45" t="s">
        <v>937</v>
      </c>
      <c r="D26" s="21" t="s">
        <v>1716</v>
      </c>
      <c r="E26" s="21">
        <v>43</v>
      </c>
      <c r="F26" s="27" t="str">
        <f>Tabela12[[#This Row],[Régua]]&amp;" ("&amp;Tabela12[[#This Row],[Born]]&amp;")"</f>
        <v>BNC (43)</v>
      </c>
      <c r="G26" s="27">
        <f>LEN(Tabela12[[#This Row],[Anilha]])</f>
        <v>8</v>
      </c>
      <c r="H26" s="21">
        <f>VLOOKUP(Tabela12[[#This Row],[Tag Cabo]],BD!A:F,6,0)</f>
        <v>1</v>
      </c>
      <c r="I26" s="27" t="s">
        <v>1705</v>
      </c>
      <c r="J26" s="27" t="s">
        <v>1706</v>
      </c>
    </row>
    <row r="27" spans="1:10" x14ac:dyDescent="0.25">
      <c r="A27" s="216" t="s">
        <v>684</v>
      </c>
      <c r="B27" s="45" t="str">
        <f>VLOOKUP(Tabela12[[#This Row],[Painel]],Tabela13[],2,0)</f>
        <v>7HV</v>
      </c>
      <c r="C27" s="45" t="s">
        <v>937</v>
      </c>
      <c r="D27" s="21" t="s">
        <v>1716</v>
      </c>
      <c r="E27" s="21">
        <v>44</v>
      </c>
      <c r="F27" s="27" t="str">
        <f>Tabela12[[#This Row],[Régua]]&amp;" ("&amp;Tabela12[[#This Row],[Born]]&amp;")"</f>
        <v>BNC (44)</v>
      </c>
      <c r="G27" s="27">
        <f>LEN(Tabela12[[#This Row],[Anilha]])</f>
        <v>8</v>
      </c>
      <c r="H27" s="21">
        <f>VLOOKUP(Tabela12[[#This Row],[Tag Cabo]],BD!A:F,6,0)</f>
        <v>1</v>
      </c>
      <c r="I27" s="27" t="s">
        <v>1705</v>
      </c>
      <c r="J27" s="27" t="s">
        <v>1706</v>
      </c>
    </row>
    <row r="28" spans="1:10" x14ac:dyDescent="0.25">
      <c r="A28" s="216" t="s">
        <v>684</v>
      </c>
      <c r="B28" s="45" t="str">
        <f>VLOOKUP(Tabela12[[#This Row],[Painel]],Tabela13[],2,0)</f>
        <v>7HV</v>
      </c>
      <c r="C28" s="45" t="s">
        <v>937</v>
      </c>
      <c r="D28" s="21" t="s">
        <v>1716</v>
      </c>
      <c r="E28" s="21">
        <v>37</v>
      </c>
      <c r="F28" s="27" t="str">
        <f>Tabela12[[#This Row],[Régua]]&amp;" ("&amp;Tabela12[[#This Row],[Born]]&amp;")"</f>
        <v>BNC (37)</v>
      </c>
      <c r="G28" s="27">
        <f>LEN(Tabela12[[#This Row],[Anilha]])</f>
        <v>8</v>
      </c>
      <c r="H28" s="21">
        <f>VLOOKUP(Tabela12[[#This Row],[Tag Cabo]],BD!A:F,6,0)</f>
        <v>1</v>
      </c>
      <c r="I28" s="27" t="s">
        <v>1705</v>
      </c>
      <c r="J28" s="27" t="s">
        <v>1706</v>
      </c>
    </row>
    <row r="29" spans="1:10" x14ac:dyDescent="0.25">
      <c r="A29" s="216" t="s">
        <v>684</v>
      </c>
      <c r="B29" s="45" t="str">
        <f>VLOOKUP(Tabela12[[#This Row],[Painel]],Tabela13[],2,0)</f>
        <v>7HV</v>
      </c>
      <c r="C29" s="45" t="s">
        <v>937</v>
      </c>
      <c r="D29" s="21" t="s">
        <v>1716</v>
      </c>
      <c r="E29" s="21">
        <v>38</v>
      </c>
      <c r="F29" s="27" t="str">
        <f>Tabela12[[#This Row],[Régua]]&amp;" ("&amp;Tabela12[[#This Row],[Born]]&amp;")"</f>
        <v>BNC (38)</v>
      </c>
      <c r="G29" s="27">
        <f>LEN(Tabela12[[#This Row],[Anilha]])</f>
        <v>8</v>
      </c>
      <c r="H29" s="21">
        <f>VLOOKUP(Tabela12[[#This Row],[Tag Cabo]],BD!A:F,6,0)</f>
        <v>1</v>
      </c>
      <c r="I29" s="27" t="s">
        <v>1705</v>
      </c>
      <c r="J29" s="27" t="s">
        <v>1706</v>
      </c>
    </row>
    <row r="30" spans="1:10" x14ac:dyDescent="0.25">
      <c r="A30" s="216" t="s">
        <v>684</v>
      </c>
      <c r="B30" s="45" t="str">
        <f>VLOOKUP(Tabela12[[#This Row],[Painel]],Tabela13[],2,0)</f>
        <v>CCP</v>
      </c>
      <c r="C30" s="45" t="s">
        <v>679</v>
      </c>
      <c r="D30" s="21" t="s">
        <v>1708</v>
      </c>
      <c r="E30" s="21">
        <v>23</v>
      </c>
      <c r="F30" s="27" t="str">
        <f>Tabela12[[#This Row],[Régua]]&amp;" ("&amp;Tabela12[[#This Row],[Born]]&amp;")"</f>
        <v>T8801C (23)</v>
      </c>
      <c r="G30" s="27">
        <f>LEN(Tabela12[[#This Row],[Anilha]])</f>
        <v>11</v>
      </c>
      <c r="H30" s="27">
        <f>VLOOKUP(Tabela12[[#This Row],[Tag Cabo]],BD!A:F,6,0)</f>
        <v>1</v>
      </c>
      <c r="I30" s="27" t="s">
        <v>1705</v>
      </c>
      <c r="J30" s="27" t="s">
        <v>1706</v>
      </c>
    </row>
    <row r="31" spans="1:10" x14ac:dyDescent="0.25">
      <c r="A31" s="216" t="s">
        <v>684</v>
      </c>
      <c r="B31" s="45" t="str">
        <f>VLOOKUP(Tabela12[[#This Row],[Painel]],Tabela13[],2,0)</f>
        <v>CCP</v>
      </c>
      <c r="C31" s="45" t="s">
        <v>679</v>
      </c>
      <c r="D31" s="21" t="s">
        <v>1708</v>
      </c>
      <c r="E31" s="21">
        <v>24</v>
      </c>
      <c r="F31" s="27" t="str">
        <f>Tabela12[[#This Row],[Régua]]&amp;" ("&amp;Tabela12[[#This Row],[Born]]&amp;")"</f>
        <v>T8801C (24)</v>
      </c>
      <c r="G31" s="27">
        <f>LEN(Tabela12[[#This Row],[Anilha]])</f>
        <v>11</v>
      </c>
      <c r="H31" s="27">
        <f>VLOOKUP(Tabela12[[#This Row],[Tag Cabo]],BD!A:F,6,0)</f>
        <v>1</v>
      </c>
      <c r="I31" s="27" t="s">
        <v>1705</v>
      </c>
      <c r="J31" s="27" t="s">
        <v>1706</v>
      </c>
    </row>
    <row r="32" spans="1:10" x14ac:dyDescent="0.25">
      <c r="A32" s="216" t="s">
        <v>684</v>
      </c>
      <c r="B32" s="45" t="str">
        <f>VLOOKUP(Tabela12[[#This Row],[Painel]],Tabela13[],2,0)</f>
        <v>CCP</v>
      </c>
      <c r="C32" s="45" t="s">
        <v>679</v>
      </c>
      <c r="D32" s="21" t="s">
        <v>1708</v>
      </c>
      <c r="E32" s="21">
        <v>25</v>
      </c>
      <c r="F32" s="27" t="str">
        <f>Tabela12[[#This Row],[Régua]]&amp;" ("&amp;Tabela12[[#This Row],[Born]]&amp;")"</f>
        <v>T8801C (25)</v>
      </c>
      <c r="G32" s="27">
        <f>LEN(Tabela12[[#This Row],[Anilha]])</f>
        <v>11</v>
      </c>
      <c r="H32" s="27">
        <f>VLOOKUP(Tabela12[[#This Row],[Tag Cabo]],BD!A:F,6,0)</f>
        <v>1</v>
      </c>
      <c r="I32" s="27" t="s">
        <v>1705</v>
      </c>
      <c r="J32" s="27" t="s">
        <v>1706</v>
      </c>
    </row>
    <row r="33" spans="1:10" x14ac:dyDescent="0.25">
      <c r="A33" s="216" t="s">
        <v>684</v>
      </c>
      <c r="B33" s="45" t="str">
        <f>VLOOKUP(Tabela12[[#This Row],[Painel]],Tabela13[],2,0)</f>
        <v>CCP</v>
      </c>
      <c r="C33" s="45" t="s">
        <v>679</v>
      </c>
      <c r="D33" s="21" t="s">
        <v>1708</v>
      </c>
      <c r="E33" s="21">
        <v>26</v>
      </c>
      <c r="F33" s="27" t="str">
        <f>Tabela12[[#This Row],[Régua]]&amp;" ("&amp;Tabela12[[#This Row],[Born]]&amp;")"</f>
        <v>T8801C (26)</v>
      </c>
      <c r="G33" s="27">
        <f>LEN(Tabela12[[#This Row],[Anilha]])</f>
        <v>11</v>
      </c>
      <c r="H33" s="27">
        <f>VLOOKUP(Tabela12[[#This Row],[Tag Cabo]],BD!A:F,6,0)</f>
        <v>1</v>
      </c>
      <c r="I33" s="27" t="s">
        <v>1705</v>
      </c>
      <c r="J33" s="27" t="s">
        <v>1706</v>
      </c>
    </row>
    <row r="34" spans="1:10" x14ac:dyDescent="0.25">
      <c r="A34" s="216" t="s">
        <v>684</v>
      </c>
      <c r="B34" s="45" t="str">
        <f>VLOOKUP(Tabela12[[#This Row],[Painel]],Tabela13[],2,0)</f>
        <v>CCP</v>
      </c>
      <c r="C34" s="45" t="s">
        <v>679</v>
      </c>
      <c r="D34" s="21" t="s">
        <v>1708</v>
      </c>
      <c r="E34" s="21">
        <v>27</v>
      </c>
      <c r="F34" s="27" t="str">
        <f>Tabela12[[#This Row],[Régua]]&amp;" ("&amp;Tabela12[[#This Row],[Born]]&amp;")"</f>
        <v>T8801C (27)</v>
      </c>
      <c r="G34" s="27">
        <f>LEN(Tabela12[[#This Row],[Anilha]])</f>
        <v>11</v>
      </c>
      <c r="H34" s="27">
        <f>VLOOKUP(Tabela12[[#This Row],[Tag Cabo]],BD!A:F,6,0)</f>
        <v>1</v>
      </c>
      <c r="I34" s="27" t="s">
        <v>1705</v>
      </c>
      <c r="J34" s="27" t="s">
        <v>1706</v>
      </c>
    </row>
    <row r="35" spans="1:10" x14ac:dyDescent="0.25">
      <c r="A35" s="216" t="s">
        <v>684</v>
      </c>
      <c r="B35" s="45" t="str">
        <f>VLOOKUP(Tabela12[[#This Row],[Painel]],Tabela13[],2,0)</f>
        <v>CCP</v>
      </c>
      <c r="C35" s="45" t="s">
        <v>679</v>
      </c>
      <c r="D35" s="21" t="s">
        <v>1708</v>
      </c>
      <c r="E35" s="21">
        <v>28</v>
      </c>
      <c r="F35" s="27" t="str">
        <f>Tabela12[[#This Row],[Régua]]&amp;" ("&amp;Tabela12[[#This Row],[Born]]&amp;")"</f>
        <v>T8801C (28)</v>
      </c>
      <c r="G35" s="27">
        <f>LEN(Tabela12[[#This Row],[Anilha]])</f>
        <v>11</v>
      </c>
      <c r="H35" s="27">
        <f>VLOOKUP(Tabela12[[#This Row],[Tag Cabo]],BD!A:F,6,0)</f>
        <v>1</v>
      </c>
      <c r="I35" s="27" t="s">
        <v>1705</v>
      </c>
      <c r="J35" s="27" t="s">
        <v>1706</v>
      </c>
    </row>
    <row r="36" spans="1:10" x14ac:dyDescent="0.25">
      <c r="A36" s="216" t="s">
        <v>684</v>
      </c>
      <c r="B36" s="45" t="str">
        <f>VLOOKUP(Tabela12[[#This Row],[Painel]],Tabela13[],2,0)</f>
        <v>CCP</v>
      </c>
      <c r="C36" s="45" t="s">
        <v>679</v>
      </c>
      <c r="D36" s="21" t="s">
        <v>1708</v>
      </c>
      <c r="E36" s="21">
        <v>29</v>
      </c>
      <c r="F36" s="27" t="str">
        <f>Tabela12[[#This Row],[Régua]]&amp;" ("&amp;Tabela12[[#This Row],[Born]]&amp;")"</f>
        <v>T8801C (29)</v>
      </c>
      <c r="G36" s="27">
        <f>LEN(Tabela12[[#This Row],[Anilha]])</f>
        <v>11</v>
      </c>
      <c r="H36" s="27">
        <f>VLOOKUP(Tabela12[[#This Row],[Tag Cabo]],BD!A:F,6,0)</f>
        <v>1</v>
      </c>
      <c r="I36" s="27" t="s">
        <v>1705</v>
      </c>
      <c r="J36" s="27" t="s">
        <v>1706</v>
      </c>
    </row>
    <row r="37" spans="1:10" x14ac:dyDescent="0.25">
      <c r="A37" s="216" t="s">
        <v>684</v>
      </c>
      <c r="B37" s="45" t="str">
        <f>VLOOKUP(Tabela12[[#This Row],[Painel]],Tabela13[],2,0)</f>
        <v>CCP</v>
      </c>
      <c r="C37" s="45" t="s">
        <v>679</v>
      </c>
      <c r="D37" s="21" t="s">
        <v>1708</v>
      </c>
      <c r="E37" s="21">
        <v>30</v>
      </c>
      <c r="F37" s="27" t="str">
        <f>Tabela12[[#This Row],[Régua]]&amp;" ("&amp;Tabela12[[#This Row],[Born]]&amp;")"</f>
        <v>T8801C (30)</v>
      </c>
      <c r="G37" s="27">
        <f>LEN(Tabela12[[#This Row],[Anilha]])</f>
        <v>11</v>
      </c>
      <c r="H37" s="27">
        <f>VLOOKUP(Tabela12[[#This Row],[Tag Cabo]],BD!A:F,6,0)</f>
        <v>1</v>
      </c>
      <c r="I37" s="27" t="s">
        <v>1705</v>
      </c>
      <c r="J37" s="27" t="s">
        <v>1706</v>
      </c>
    </row>
    <row r="38" spans="1:10" x14ac:dyDescent="0.25">
      <c r="A38" s="216" t="s">
        <v>686</v>
      </c>
      <c r="B38" s="45" t="str">
        <f>VLOOKUP(Tabela12[[#This Row],[Painel]],Tabela13[],2,0)</f>
        <v>7HV</v>
      </c>
      <c r="C38" s="45" t="s">
        <v>687</v>
      </c>
      <c r="D38" s="21" t="s">
        <v>1717</v>
      </c>
      <c r="E38" s="21">
        <v>84</v>
      </c>
      <c r="F38" s="27" t="str">
        <f>Tabela12[[#This Row],[Régua]]&amp;" ("&amp;Tabela12[[#This Row],[Born]]&amp;")"</f>
        <v>XE (84)</v>
      </c>
      <c r="G38" s="27">
        <f>LEN(Tabela12[[#This Row],[Anilha]])</f>
        <v>7</v>
      </c>
      <c r="H38" s="21">
        <f>VLOOKUP(Tabela12[[#This Row],[Tag Cabo]],BD!A:F,6,0)</f>
        <v>1</v>
      </c>
      <c r="I38" s="27" t="s">
        <v>1705</v>
      </c>
      <c r="J38" s="27" t="s">
        <v>1706</v>
      </c>
    </row>
    <row r="39" spans="1:10" x14ac:dyDescent="0.25">
      <c r="A39" s="216" t="s">
        <v>686</v>
      </c>
      <c r="B39" s="45" t="str">
        <f>VLOOKUP(Tabela12[[#This Row],[Painel]],Tabela13[],2,0)</f>
        <v>7HV</v>
      </c>
      <c r="C39" s="45" t="s">
        <v>687</v>
      </c>
      <c r="D39" s="21" t="s">
        <v>1717</v>
      </c>
      <c r="E39" s="21">
        <v>85</v>
      </c>
      <c r="F39" s="27" t="str">
        <f>Tabela12[[#This Row],[Régua]]&amp;" ("&amp;Tabela12[[#This Row],[Born]]&amp;")"</f>
        <v>XE (85)</v>
      </c>
      <c r="G39" s="27">
        <f>LEN(Tabela12[[#This Row],[Anilha]])</f>
        <v>7</v>
      </c>
      <c r="H39" s="21">
        <f>VLOOKUP(Tabela12[[#This Row],[Tag Cabo]],BD!A:F,6,0)</f>
        <v>1</v>
      </c>
      <c r="I39" s="27" t="s">
        <v>1705</v>
      </c>
      <c r="J39" s="27" t="s">
        <v>1706</v>
      </c>
    </row>
    <row r="40" spans="1:10" x14ac:dyDescent="0.25">
      <c r="A40" s="216" t="s">
        <v>686</v>
      </c>
      <c r="B40" s="45" t="str">
        <f>VLOOKUP(Tabela12[[#This Row],[Painel]],Tabela13[],2,0)</f>
        <v>CCP</v>
      </c>
      <c r="C40" s="45" t="s">
        <v>679</v>
      </c>
      <c r="D40" s="21" t="s">
        <v>1708</v>
      </c>
      <c r="E40" s="21">
        <v>25</v>
      </c>
      <c r="F40" s="27" t="str">
        <f>Tabela12[[#This Row],[Régua]]&amp;" ("&amp;Tabela12[[#This Row],[Born]]&amp;")"</f>
        <v>T8801C (25)</v>
      </c>
      <c r="G40" s="27">
        <f>LEN(Tabela12[[#This Row],[Anilha]])</f>
        <v>11</v>
      </c>
      <c r="H40" s="21">
        <f>VLOOKUP(Tabela12[[#This Row],[Tag Cabo]],BD!A:F,6,0)</f>
        <v>1</v>
      </c>
      <c r="I40" s="27" t="s">
        <v>1705</v>
      </c>
      <c r="J40" s="27" t="s">
        <v>1706</v>
      </c>
    </row>
    <row r="41" spans="1:10" x14ac:dyDescent="0.25">
      <c r="A41" s="216" t="s">
        <v>686</v>
      </c>
      <c r="B41" s="45" t="str">
        <f>VLOOKUP(Tabela12[[#This Row],[Painel]],Tabela13[],2,0)</f>
        <v>CCP</v>
      </c>
      <c r="C41" s="45" t="s">
        <v>679</v>
      </c>
      <c r="D41" s="21" t="s">
        <v>1708</v>
      </c>
      <c r="E41" s="21">
        <v>26</v>
      </c>
      <c r="F41" s="27" t="str">
        <f>Tabela12[[#This Row],[Régua]]&amp;" ("&amp;Tabela12[[#This Row],[Born]]&amp;")"</f>
        <v>T8801C (26)</v>
      </c>
      <c r="G41" s="27">
        <f>LEN(Tabela12[[#This Row],[Anilha]])</f>
        <v>11</v>
      </c>
      <c r="H41" s="21">
        <f>VLOOKUP(Tabela12[[#This Row],[Tag Cabo]],BD!A:F,6,0)</f>
        <v>1</v>
      </c>
      <c r="I41" s="27" t="s">
        <v>1705</v>
      </c>
      <c r="J41" s="27" t="s">
        <v>1706</v>
      </c>
    </row>
    <row r="42" spans="1:10" x14ac:dyDescent="0.25">
      <c r="A42" s="216" t="s">
        <v>686</v>
      </c>
      <c r="B42" s="45" t="str">
        <f>VLOOKUP(Tabela12[[#This Row],[Painel]],Tabela13[],2,0)</f>
        <v>7HV</v>
      </c>
      <c r="C42" s="45" t="s">
        <v>687</v>
      </c>
      <c r="D42" s="21" t="s">
        <v>1717</v>
      </c>
      <c r="E42" s="21">
        <v>92</v>
      </c>
      <c r="F42" s="27" t="str">
        <f>Tabela12[[#This Row],[Régua]]&amp;" ("&amp;Tabela12[[#This Row],[Born]]&amp;")"</f>
        <v>XE (92)</v>
      </c>
      <c r="G42" s="27">
        <f>LEN(Tabela12[[#This Row],[Anilha]])</f>
        <v>7</v>
      </c>
      <c r="H42" s="21">
        <f>VLOOKUP(Tabela12[[#This Row],[Tag Cabo]],BD!A:F,6,0)</f>
        <v>1</v>
      </c>
      <c r="I42" s="27" t="s">
        <v>1705</v>
      </c>
      <c r="J42" s="27" t="s">
        <v>1706</v>
      </c>
    </row>
    <row r="43" spans="1:10" x14ac:dyDescent="0.25">
      <c r="A43" s="216" t="s">
        <v>686</v>
      </c>
      <c r="B43" s="45" t="str">
        <f>VLOOKUP(Tabela12[[#This Row],[Painel]],Tabela13[],2,0)</f>
        <v>7HV</v>
      </c>
      <c r="C43" s="45" t="s">
        <v>687</v>
      </c>
      <c r="D43" s="21" t="s">
        <v>1717</v>
      </c>
      <c r="E43" s="21">
        <v>93</v>
      </c>
      <c r="F43" s="27" t="str">
        <f>Tabela12[[#This Row],[Régua]]&amp;" ("&amp;Tabela12[[#This Row],[Born]]&amp;")"</f>
        <v>XE (93)</v>
      </c>
      <c r="G43" s="27">
        <f>LEN(Tabela12[[#This Row],[Anilha]])</f>
        <v>7</v>
      </c>
      <c r="H43" s="21">
        <f>VLOOKUP(Tabela12[[#This Row],[Tag Cabo]],BD!A:F,6,0)</f>
        <v>1</v>
      </c>
      <c r="I43" s="27" t="s">
        <v>1705</v>
      </c>
      <c r="J43" s="27" t="s">
        <v>1706</v>
      </c>
    </row>
    <row r="44" spans="1:10" x14ac:dyDescent="0.25">
      <c r="A44" s="216" t="s">
        <v>686</v>
      </c>
      <c r="B44" s="45" t="str">
        <f>VLOOKUP(Tabela12[[#This Row],[Painel]],Tabela13[],2,0)</f>
        <v>CCP</v>
      </c>
      <c r="C44" s="45" t="s">
        <v>679</v>
      </c>
      <c r="D44" s="21" t="s">
        <v>1708</v>
      </c>
      <c r="E44" s="21">
        <v>33</v>
      </c>
      <c r="F44" s="27" t="str">
        <f>Tabela12[[#This Row],[Régua]]&amp;" ("&amp;Tabela12[[#This Row],[Born]]&amp;")"</f>
        <v>T8801C (33)</v>
      </c>
      <c r="G44" s="27">
        <f>LEN(Tabela12[[#This Row],[Anilha]])</f>
        <v>11</v>
      </c>
      <c r="H44" s="21">
        <f>VLOOKUP(Tabela12[[#This Row],[Tag Cabo]],BD!A:F,6,0)</f>
        <v>1</v>
      </c>
      <c r="I44" s="27" t="s">
        <v>1705</v>
      </c>
      <c r="J44" s="27" t="s">
        <v>1706</v>
      </c>
    </row>
    <row r="45" spans="1:10" x14ac:dyDescent="0.25">
      <c r="A45" s="216" t="s">
        <v>686</v>
      </c>
      <c r="B45" s="45" t="str">
        <f>VLOOKUP(Tabela12[[#This Row],[Painel]],Tabela13[],2,0)</f>
        <v>CCP</v>
      </c>
      <c r="C45" s="45" t="s">
        <v>679</v>
      </c>
      <c r="D45" s="21" t="s">
        <v>1708</v>
      </c>
      <c r="E45" s="21">
        <v>34</v>
      </c>
      <c r="F45" s="27" t="str">
        <f>Tabela12[[#This Row],[Régua]]&amp;" ("&amp;Tabela12[[#This Row],[Born]]&amp;")"</f>
        <v>T8801C (34)</v>
      </c>
      <c r="G45" s="27">
        <f>LEN(Tabela12[[#This Row],[Anilha]])</f>
        <v>11</v>
      </c>
      <c r="H45" s="21">
        <f>VLOOKUP(Tabela12[[#This Row],[Tag Cabo]],BD!A:F,6,0)</f>
        <v>1</v>
      </c>
      <c r="I45" s="27" t="s">
        <v>1705</v>
      </c>
      <c r="J45" s="27" t="s">
        <v>1706</v>
      </c>
    </row>
    <row r="46" spans="1:10" x14ac:dyDescent="0.25">
      <c r="A46" s="216" t="s">
        <v>686</v>
      </c>
      <c r="B46" s="45" t="str">
        <f>VLOOKUP(Tabela12[[#This Row],[Painel]],Tabela13[],2,0)</f>
        <v>7HV</v>
      </c>
      <c r="C46" s="45" t="s">
        <v>687</v>
      </c>
      <c r="D46" s="21" t="s">
        <v>1717</v>
      </c>
      <c r="E46" s="21">
        <v>82</v>
      </c>
      <c r="F46" s="27" t="str">
        <f>Tabela12[[#This Row],[Régua]]&amp;" ("&amp;Tabela12[[#This Row],[Born]]&amp;")"</f>
        <v>XE (82)</v>
      </c>
      <c r="G46" s="27">
        <f>LEN(Tabela12[[#This Row],[Anilha]])</f>
        <v>7</v>
      </c>
      <c r="H46" s="21">
        <f>VLOOKUP(Tabela12[[#This Row],[Tag Cabo]],BD!A:F,6,0)</f>
        <v>1</v>
      </c>
      <c r="I46" s="27" t="s">
        <v>1705</v>
      </c>
      <c r="J46" s="27" t="s">
        <v>1706</v>
      </c>
    </row>
    <row r="47" spans="1:10" x14ac:dyDescent="0.25">
      <c r="A47" s="216" t="s">
        <v>686</v>
      </c>
      <c r="B47" s="45" t="str">
        <f>VLOOKUP(Tabela12[[#This Row],[Painel]],Tabela13[],2,0)</f>
        <v>7HV</v>
      </c>
      <c r="C47" s="45" t="s">
        <v>687</v>
      </c>
      <c r="D47" s="21" t="s">
        <v>1717</v>
      </c>
      <c r="E47" s="21">
        <v>83</v>
      </c>
      <c r="F47" s="27" t="str">
        <f>Tabela12[[#This Row],[Régua]]&amp;" ("&amp;Tabela12[[#This Row],[Born]]&amp;")"</f>
        <v>XE (83)</v>
      </c>
      <c r="G47" s="27">
        <f>LEN(Tabela12[[#This Row],[Anilha]])</f>
        <v>7</v>
      </c>
      <c r="H47" s="21">
        <f>VLOOKUP(Tabela12[[#This Row],[Tag Cabo]],BD!A:F,6,0)</f>
        <v>1</v>
      </c>
      <c r="I47" s="27" t="s">
        <v>1705</v>
      </c>
      <c r="J47" s="27" t="s">
        <v>1706</v>
      </c>
    </row>
    <row r="48" spans="1:10" x14ac:dyDescent="0.25">
      <c r="A48" s="216" t="s">
        <v>686</v>
      </c>
      <c r="B48" s="45" t="str">
        <f>VLOOKUP(Tabela12[[#This Row],[Painel]],Tabela13[],2,0)</f>
        <v>CCP</v>
      </c>
      <c r="C48" s="45" t="s">
        <v>679</v>
      </c>
      <c r="D48" s="21" t="s">
        <v>1708</v>
      </c>
      <c r="E48" s="21">
        <v>31</v>
      </c>
      <c r="F48" s="27" t="str">
        <f>Tabela12[[#This Row],[Régua]]&amp;" ("&amp;Tabela12[[#This Row],[Born]]&amp;")"</f>
        <v>T8801C (31)</v>
      </c>
      <c r="G48" s="27">
        <f>LEN(Tabela12[[#This Row],[Anilha]])</f>
        <v>11</v>
      </c>
      <c r="H48" s="21">
        <f>VLOOKUP(Tabela12[[#This Row],[Tag Cabo]],BD!A:F,6,0)</f>
        <v>1</v>
      </c>
      <c r="I48" s="27" t="s">
        <v>1705</v>
      </c>
      <c r="J48" s="27" t="s">
        <v>1706</v>
      </c>
    </row>
    <row r="49" spans="1:10" x14ac:dyDescent="0.25">
      <c r="A49" s="216" t="s">
        <v>686</v>
      </c>
      <c r="B49" s="45" t="str">
        <f>VLOOKUP(Tabela12[[#This Row],[Painel]],Tabela13[],2,0)</f>
        <v>CCP</v>
      </c>
      <c r="C49" s="45" t="s">
        <v>679</v>
      </c>
      <c r="D49" s="21" t="s">
        <v>1708</v>
      </c>
      <c r="E49" s="21">
        <v>32</v>
      </c>
      <c r="F49" s="27" t="str">
        <f>Tabela12[[#This Row],[Régua]]&amp;" ("&amp;Tabela12[[#This Row],[Born]]&amp;")"</f>
        <v>T8801C (32)</v>
      </c>
      <c r="G49" s="27">
        <f>LEN(Tabela12[[#This Row],[Anilha]])</f>
        <v>11</v>
      </c>
      <c r="H49" s="21">
        <f>VLOOKUP(Tabela12[[#This Row],[Tag Cabo]],BD!A:F,6,0)</f>
        <v>1</v>
      </c>
      <c r="I49" s="27" t="s">
        <v>1705</v>
      </c>
      <c r="J49" s="27" t="s">
        <v>1706</v>
      </c>
    </row>
    <row r="50" spans="1:10" x14ac:dyDescent="0.25">
      <c r="A50" s="216" t="s">
        <v>686</v>
      </c>
      <c r="B50" s="45" t="str">
        <f>VLOOKUP(Tabela12[[#This Row],[Painel]],Tabela13[],2,0)</f>
        <v>7HV</v>
      </c>
      <c r="C50" s="45" t="s">
        <v>687</v>
      </c>
      <c r="D50" s="21" t="s">
        <v>1717</v>
      </c>
      <c r="E50" s="21">
        <v>84</v>
      </c>
      <c r="F50" s="27" t="str">
        <f>Tabela12[[#This Row],[Régua]]&amp;" ("&amp;Tabela12[[#This Row],[Born]]&amp;")"</f>
        <v>XE (84)</v>
      </c>
      <c r="G50" s="27">
        <f>LEN(Tabela12[[#This Row],[Anilha]])</f>
        <v>7</v>
      </c>
      <c r="H50" s="27">
        <f>VLOOKUP(Tabela12[[#This Row],[Tag Cabo]],BD!A:F,6,0)</f>
        <v>1</v>
      </c>
      <c r="I50" s="27" t="s">
        <v>1705</v>
      </c>
      <c r="J50" s="27" t="s">
        <v>1706</v>
      </c>
    </row>
    <row r="51" spans="1:10" x14ac:dyDescent="0.25">
      <c r="A51" s="216" t="s">
        <v>686</v>
      </c>
      <c r="B51" s="45" t="str">
        <f>VLOOKUP(Tabela12[[#This Row],[Painel]],Tabela13[],2,0)</f>
        <v>7HV</v>
      </c>
      <c r="C51" s="45" t="s">
        <v>687</v>
      </c>
      <c r="D51" s="21" t="s">
        <v>1717</v>
      </c>
      <c r="E51" s="21">
        <v>85</v>
      </c>
      <c r="F51" s="27" t="str">
        <f>Tabela12[[#This Row],[Régua]]&amp;" ("&amp;Tabela12[[#This Row],[Born]]&amp;")"</f>
        <v>XE (85)</v>
      </c>
      <c r="G51" s="27">
        <f>LEN(Tabela12[[#This Row],[Anilha]])</f>
        <v>7</v>
      </c>
      <c r="H51" s="27">
        <f>VLOOKUP(Tabela12[[#This Row],[Tag Cabo]],BD!A:F,6,0)</f>
        <v>1</v>
      </c>
      <c r="I51" s="27" t="s">
        <v>1705</v>
      </c>
      <c r="J51" s="27" t="s">
        <v>1706</v>
      </c>
    </row>
    <row r="52" spans="1:10" x14ac:dyDescent="0.25">
      <c r="A52" s="216" t="s">
        <v>686</v>
      </c>
      <c r="B52" s="45" t="str">
        <f>VLOOKUP(Tabela12[[#This Row],[Painel]],Tabela13[],2,0)</f>
        <v>CCP</v>
      </c>
      <c r="C52" s="45" t="s">
        <v>679</v>
      </c>
      <c r="D52" s="21" t="s">
        <v>1708</v>
      </c>
      <c r="E52" s="21">
        <v>33</v>
      </c>
      <c r="F52" s="27" t="str">
        <f>Tabela12[[#This Row],[Régua]]&amp;" ("&amp;Tabela12[[#This Row],[Born]]&amp;")"</f>
        <v>T8801C (33)</v>
      </c>
      <c r="G52" s="27">
        <f>LEN(Tabela12[[#This Row],[Anilha]])</f>
        <v>11</v>
      </c>
      <c r="H52" s="27">
        <f>VLOOKUP(Tabela12[[#This Row],[Tag Cabo]],BD!A:F,6,0)</f>
        <v>1</v>
      </c>
      <c r="I52" s="27" t="s">
        <v>1705</v>
      </c>
      <c r="J52" s="27" t="s">
        <v>1706</v>
      </c>
    </row>
    <row r="53" spans="1:10" x14ac:dyDescent="0.25">
      <c r="A53" s="216" t="s">
        <v>686</v>
      </c>
      <c r="B53" s="45" t="str">
        <f>VLOOKUP(Tabela12[[#This Row],[Painel]],Tabela13[],2,0)</f>
        <v>CCP</v>
      </c>
      <c r="C53" s="45" t="s">
        <v>679</v>
      </c>
      <c r="D53" s="21" t="s">
        <v>1708</v>
      </c>
      <c r="E53" s="21">
        <v>34</v>
      </c>
      <c r="F53" s="27" t="str">
        <f>Tabela12[[#This Row],[Régua]]&amp;" ("&amp;Tabela12[[#This Row],[Born]]&amp;")"</f>
        <v>T8801C (34)</v>
      </c>
      <c r="G53" s="27">
        <f>LEN(Tabela12[[#This Row],[Anilha]])</f>
        <v>11</v>
      </c>
      <c r="H53" s="27">
        <f>VLOOKUP(Tabela12[[#This Row],[Tag Cabo]],BD!A:F,6,0)</f>
        <v>1</v>
      </c>
      <c r="I53" s="27" t="s">
        <v>1705</v>
      </c>
      <c r="J53" s="27" t="s">
        <v>1706</v>
      </c>
    </row>
    <row r="54" spans="1:10" x14ac:dyDescent="0.25">
      <c r="A54" s="216" t="s">
        <v>686</v>
      </c>
      <c r="B54" s="45" t="str">
        <f>VLOOKUP(Tabela12[[#This Row],[Painel]],Tabela13[],2,0)</f>
        <v>7HV</v>
      </c>
      <c r="C54" s="45" t="s">
        <v>687</v>
      </c>
      <c r="D54" s="21" t="s">
        <v>1717</v>
      </c>
      <c r="E54" s="21">
        <v>86</v>
      </c>
      <c r="F54" s="27" t="str">
        <f>Tabela12[[#This Row],[Régua]]&amp;" ("&amp;Tabela12[[#This Row],[Born]]&amp;")"</f>
        <v>XE (86)</v>
      </c>
      <c r="G54" s="27">
        <f>LEN(Tabela12[[#This Row],[Anilha]])</f>
        <v>7</v>
      </c>
      <c r="H54" s="27">
        <f>VLOOKUP(Tabela12[[#This Row],[Tag Cabo]],BD!A:F,6,0)</f>
        <v>1</v>
      </c>
      <c r="I54" s="27" t="s">
        <v>1705</v>
      </c>
      <c r="J54" s="27" t="s">
        <v>1706</v>
      </c>
    </row>
    <row r="55" spans="1:10" x14ac:dyDescent="0.25">
      <c r="A55" s="216" t="s">
        <v>686</v>
      </c>
      <c r="B55" s="45" t="str">
        <f>VLOOKUP(Tabela12[[#This Row],[Painel]],Tabela13[],2,0)</f>
        <v>7HV</v>
      </c>
      <c r="C55" s="45" t="s">
        <v>687</v>
      </c>
      <c r="D55" s="21" t="s">
        <v>1717</v>
      </c>
      <c r="E55" s="21">
        <v>87</v>
      </c>
      <c r="F55" s="27" t="str">
        <f>Tabela12[[#This Row],[Régua]]&amp;" ("&amp;Tabela12[[#This Row],[Born]]&amp;")"</f>
        <v>XE (87)</v>
      </c>
      <c r="G55" s="27">
        <f>LEN(Tabela12[[#This Row],[Anilha]])</f>
        <v>7</v>
      </c>
      <c r="H55" s="27">
        <f>VLOOKUP(Tabela12[[#This Row],[Tag Cabo]],BD!A:F,6,0)</f>
        <v>1</v>
      </c>
      <c r="I55" s="27" t="s">
        <v>1705</v>
      </c>
      <c r="J55" s="27" t="s">
        <v>1706</v>
      </c>
    </row>
    <row r="56" spans="1:10" x14ac:dyDescent="0.25">
      <c r="A56" s="216" t="s">
        <v>686</v>
      </c>
      <c r="B56" s="45" t="str">
        <f>VLOOKUP(Tabela12[[#This Row],[Painel]],Tabela13[],2,0)</f>
        <v>CCP</v>
      </c>
      <c r="C56" s="45" t="s">
        <v>679</v>
      </c>
      <c r="D56" s="21" t="s">
        <v>1708</v>
      </c>
      <c r="E56" s="21">
        <v>35</v>
      </c>
      <c r="F56" s="27" t="str">
        <f>Tabela12[[#This Row],[Régua]]&amp;" ("&amp;Tabela12[[#This Row],[Born]]&amp;")"</f>
        <v>T8801C (35)</v>
      </c>
      <c r="G56" s="27">
        <f>LEN(Tabela12[[#This Row],[Anilha]])</f>
        <v>11</v>
      </c>
      <c r="H56" s="27">
        <f>VLOOKUP(Tabela12[[#This Row],[Tag Cabo]],BD!A:F,6,0)</f>
        <v>1</v>
      </c>
      <c r="I56" s="27" t="s">
        <v>1705</v>
      </c>
      <c r="J56" s="27" t="s">
        <v>1706</v>
      </c>
    </row>
    <row r="57" spans="1:10" x14ac:dyDescent="0.25">
      <c r="A57" s="216" t="s">
        <v>686</v>
      </c>
      <c r="B57" s="45" t="str">
        <f>VLOOKUP(Tabela12[[#This Row],[Painel]],Tabela13[],2,0)</f>
        <v>CCP</v>
      </c>
      <c r="C57" s="45" t="s">
        <v>679</v>
      </c>
      <c r="D57" s="21" t="s">
        <v>1708</v>
      </c>
      <c r="E57" s="21">
        <v>36</v>
      </c>
      <c r="F57" s="27" t="str">
        <f>Tabela12[[#This Row],[Régua]]&amp;" ("&amp;Tabela12[[#This Row],[Born]]&amp;")"</f>
        <v>T8801C (36)</v>
      </c>
      <c r="G57" s="27">
        <f>LEN(Tabela12[[#This Row],[Anilha]])</f>
        <v>11</v>
      </c>
      <c r="H57" s="27">
        <f>VLOOKUP(Tabela12[[#This Row],[Tag Cabo]],BD!A:F,6,0)</f>
        <v>1</v>
      </c>
      <c r="I57" s="27" t="s">
        <v>1705</v>
      </c>
      <c r="J57" s="27" t="s">
        <v>1706</v>
      </c>
    </row>
    <row r="58" spans="1:10" x14ac:dyDescent="0.25">
      <c r="A58" s="216" t="s">
        <v>686</v>
      </c>
      <c r="B58" s="45" t="str">
        <f>VLOOKUP(Tabela12[[#This Row],[Painel]],Tabela13[],2,0)</f>
        <v>7HV</v>
      </c>
      <c r="C58" s="45" t="s">
        <v>687</v>
      </c>
      <c r="D58" s="21" t="s">
        <v>1717</v>
      </c>
      <c r="E58" s="21">
        <v>88</v>
      </c>
      <c r="F58" s="27" t="str">
        <f>Tabela12[[#This Row],[Régua]]&amp;" ("&amp;Tabela12[[#This Row],[Born]]&amp;")"</f>
        <v>XE (88)</v>
      </c>
      <c r="G58" s="27">
        <f>LEN(Tabela12[[#This Row],[Anilha]])</f>
        <v>7</v>
      </c>
      <c r="H58" s="27">
        <f>VLOOKUP(Tabela12[[#This Row],[Tag Cabo]],BD!A:F,6,0)</f>
        <v>1</v>
      </c>
      <c r="I58" s="27" t="s">
        <v>1705</v>
      </c>
      <c r="J58" s="27" t="s">
        <v>1706</v>
      </c>
    </row>
    <row r="59" spans="1:10" x14ac:dyDescent="0.25">
      <c r="A59" s="216" t="s">
        <v>686</v>
      </c>
      <c r="B59" s="45" t="str">
        <f>VLOOKUP(Tabela12[[#This Row],[Painel]],Tabela13[],2,0)</f>
        <v>7HV</v>
      </c>
      <c r="C59" s="45" t="s">
        <v>687</v>
      </c>
      <c r="D59" s="21" t="s">
        <v>1717</v>
      </c>
      <c r="E59" s="21">
        <v>89</v>
      </c>
      <c r="F59" s="27" t="str">
        <f>Tabela12[[#This Row],[Régua]]&amp;" ("&amp;Tabela12[[#This Row],[Born]]&amp;")"</f>
        <v>XE (89)</v>
      </c>
      <c r="G59" s="27">
        <f>LEN(Tabela12[[#This Row],[Anilha]])</f>
        <v>7</v>
      </c>
      <c r="H59" s="27">
        <f>VLOOKUP(Tabela12[[#This Row],[Tag Cabo]],BD!A:F,6,0)</f>
        <v>1</v>
      </c>
      <c r="I59" s="27" t="s">
        <v>1705</v>
      </c>
      <c r="J59" s="27" t="s">
        <v>1706</v>
      </c>
    </row>
    <row r="60" spans="1:10" x14ac:dyDescent="0.25">
      <c r="A60" s="216" t="s">
        <v>686</v>
      </c>
      <c r="B60" s="45" t="str">
        <f>VLOOKUP(Tabela12[[#This Row],[Painel]],Tabela13[],2,0)</f>
        <v>CCP</v>
      </c>
      <c r="C60" s="45" t="s">
        <v>679</v>
      </c>
      <c r="D60" s="21" t="s">
        <v>1708</v>
      </c>
      <c r="E60" s="21">
        <v>37</v>
      </c>
      <c r="F60" s="27" t="str">
        <f>Tabela12[[#This Row],[Régua]]&amp;" ("&amp;Tabela12[[#This Row],[Born]]&amp;")"</f>
        <v>T8801C (37)</v>
      </c>
      <c r="G60" s="27">
        <f>LEN(Tabela12[[#This Row],[Anilha]])</f>
        <v>11</v>
      </c>
      <c r="H60" s="27">
        <f>VLOOKUP(Tabela12[[#This Row],[Tag Cabo]],BD!A:F,6,0)</f>
        <v>1</v>
      </c>
      <c r="I60" s="27" t="s">
        <v>1705</v>
      </c>
      <c r="J60" s="27" t="s">
        <v>1706</v>
      </c>
    </row>
    <row r="61" spans="1:10" x14ac:dyDescent="0.25">
      <c r="A61" s="216" t="s">
        <v>686</v>
      </c>
      <c r="B61" s="45" t="str">
        <f>VLOOKUP(Tabela12[[#This Row],[Painel]],Tabela13[],2,0)</f>
        <v>CCP</v>
      </c>
      <c r="C61" s="45" t="s">
        <v>679</v>
      </c>
      <c r="D61" s="21" t="s">
        <v>1708</v>
      </c>
      <c r="E61" s="21">
        <v>38</v>
      </c>
      <c r="F61" s="27" t="str">
        <f>Tabela12[[#This Row],[Régua]]&amp;" ("&amp;Tabela12[[#This Row],[Born]]&amp;")"</f>
        <v>T8801C (38)</v>
      </c>
      <c r="G61" s="27">
        <f>LEN(Tabela12[[#This Row],[Anilha]])</f>
        <v>11</v>
      </c>
      <c r="H61" s="27">
        <f>VLOOKUP(Tabela12[[#This Row],[Tag Cabo]],BD!A:F,6,0)</f>
        <v>1</v>
      </c>
      <c r="I61" s="27" t="s">
        <v>1705</v>
      </c>
      <c r="J61" s="27" t="s">
        <v>1706</v>
      </c>
    </row>
    <row r="62" spans="1:10" x14ac:dyDescent="0.25">
      <c r="A62" s="216" t="s">
        <v>686</v>
      </c>
      <c r="B62" s="45" t="str">
        <f>VLOOKUP(Tabela12[[#This Row],[Painel]],Tabela13[],2,0)</f>
        <v>7HV</v>
      </c>
      <c r="C62" s="45" t="s">
        <v>687</v>
      </c>
      <c r="D62" s="21" t="s">
        <v>1717</v>
      </c>
      <c r="E62" s="21">
        <v>90</v>
      </c>
      <c r="F62" s="27" t="str">
        <f>Tabela12[[#This Row],[Régua]]&amp;" ("&amp;Tabela12[[#This Row],[Born]]&amp;")"</f>
        <v>XE (90)</v>
      </c>
      <c r="G62" s="27">
        <f>LEN(Tabela12[[#This Row],[Anilha]])</f>
        <v>7</v>
      </c>
      <c r="H62" s="27">
        <f>VLOOKUP(Tabela12[[#This Row],[Tag Cabo]],BD!A:F,6,0)</f>
        <v>1</v>
      </c>
      <c r="I62" s="27" t="s">
        <v>1705</v>
      </c>
      <c r="J62" s="27" t="s">
        <v>1706</v>
      </c>
    </row>
    <row r="63" spans="1:10" x14ac:dyDescent="0.25">
      <c r="A63" s="216" t="s">
        <v>686</v>
      </c>
      <c r="B63" s="45" t="str">
        <f>VLOOKUP(Tabela12[[#This Row],[Painel]],Tabela13[],2,0)</f>
        <v>7HV</v>
      </c>
      <c r="C63" s="45" t="s">
        <v>687</v>
      </c>
      <c r="D63" s="21" t="s">
        <v>1717</v>
      </c>
      <c r="E63" s="21">
        <v>91</v>
      </c>
      <c r="F63" s="27" t="str">
        <f>Tabela12[[#This Row],[Régua]]&amp;" ("&amp;Tabela12[[#This Row],[Born]]&amp;")"</f>
        <v>XE (91)</v>
      </c>
      <c r="G63" s="27">
        <f>LEN(Tabela12[[#This Row],[Anilha]])</f>
        <v>7</v>
      </c>
      <c r="H63" s="27">
        <f>VLOOKUP(Tabela12[[#This Row],[Tag Cabo]],BD!A:F,6,0)</f>
        <v>1</v>
      </c>
      <c r="I63" s="27" t="s">
        <v>1705</v>
      </c>
      <c r="J63" s="27" t="s">
        <v>1706</v>
      </c>
    </row>
    <row r="64" spans="1:10" x14ac:dyDescent="0.25">
      <c r="A64" s="216" t="s">
        <v>686</v>
      </c>
      <c r="B64" s="45" t="str">
        <f>VLOOKUP(Tabela12[[#This Row],[Painel]],Tabela13[],2,0)</f>
        <v>CCP</v>
      </c>
      <c r="C64" s="45" t="s">
        <v>679</v>
      </c>
      <c r="D64" s="21" t="s">
        <v>1708</v>
      </c>
      <c r="E64" s="21">
        <v>39</v>
      </c>
      <c r="F64" s="27" t="str">
        <f>Tabela12[[#This Row],[Régua]]&amp;" ("&amp;Tabela12[[#This Row],[Born]]&amp;")"</f>
        <v>T8801C (39)</v>
      </c>
      <c r="G64" s="27">
        <f>LEN(Tabela12[[#This Row],[Anilha]])</f>
        <v>11</v>
      </c>
      <c r="H64" s="27">
        <f>VLOOKUP(Tabela12[[#This Row],[Tag Cabo]],BD!A:F,6,0)</f>
        <v>1</v>
      </c>
      <c r="I64" s="27" t="s">
        <v>1705</v>
      </c>
      <c r="J64" s="27" t="s">
        <v>1706</v>
      </c>
    </row>
    <row r="65" spans="1:10" x14ac:dyDescent="0.25">
      <c r="A65" s="216" t="s">
        <v>686</v>
      </c>
      <c r="B65" s="45" t="str">
        <f>VLOOKUP(Tabela12[[#This Row],[Painel]],Tabela13[],2,0)</f>
        <v>CCP</v>
      </c>
      <c r="C65" s="45" t="s">
        <v>679</v>
      </c>
      <c r="D65" s="21" t="s">
        <v>1708</v>
      </c>
      <c r="E65" s="21">
        <v>40</v>
      </c>
      <c r="F65" s="27" t="str">
        <f>Tabela12[[#This Row],[Régua]]&amp;" ("&amp;Tabela12[[#This Row],[Born]]&amp;")"</f>
        <v>T8801C (40)</v>
      </c>
      <c r="G65" s="27">
        <f>LEN(Tabela12[[#This Row],[Anilha]])</f>
        <v>11</v>
      </c>
      <c r="H65" s="27">
        <f>VLOOKUP(Tabela12[[#This Row],[Tag Cabo]],BD!A:F,6,0)</f>
        <v>1</v>
      </c>
      <c r="I65" s="27" t="s">
        <v>1705</v>
      </c>
      <c r="J65" s="27" t="s">
        <v>1706</v>
      </c>
    </row>
    <row r="66" spans="1:10" x14ac:dyDescent="0.25">
      <c r="A66" s="216" t="s">
        <v>686</v>
      </c>
      <c r="B66" s="45" t="str">
        <f>VLOOKUP(Tabela12[[#This Row],[Painel]],Tabela13[],2,0)</f>
        <v>7HV</v>
      </c>
      <c r="C66" s="45" t="s">
        <v>687</v>
      </c>
      <c r="D66" s="21" t="s">
        <v>1717</v>
      </c>
      <c r="E66" s="21">
        <v>92</v>
      </c>
      <c r="F66" s="27" t="str">
        <f>Tabela12[[#This Row],[Régua]]&amp;" ("&amp;Tabela12[[#This Row],[Born]]&amp;")"</f>
        <v>XE (92)</v>
      </c>
      <c r="G66" s="27">
        <f>LEN(Tabela12[[#This Row],[Anilha]])</f>
        <v>7</v>
      </c>
      <c r="H66" s="27">
        <f>VLOOKUP(Tabela12[[#This Row],[Tag Cabo]],BD!A:F,6,0)</f>
        <v>1</v>
      </c>
      <c r="I66" s="27" t="s">
        <v>1705</v>
      </c>
      <c r="J66" s="27" t="s">
        <v>1706</v>
      </c>
    </row>
    <row r="67" spans="1:10" x14ac:dyDescent="0.25">
      <c r="A67" s="216" t="s">
        <v>686</v>
      </c>
      <c r="B67" s="45" t="str">
        <f>VLOOKUP(Tabela12[[#This Row],[Painel]],Tabela13[],2,0)</f>
        <v>7HV</v>
      </c>
      <c r="C67" s="45" t="s">
        <v>687</v>
      </c>
      <c r="D67" s="21" t="s">
        <v>1717</v>
      </c>
      <c r="E67" s="21">
        <v>93</v>
      </c>
      <c r="F67" s="27" t="str">
        <f>Tabela12[[#This Row],[Régua]]&amp;" ("&amp;Tabela12[[#This Row],[Born]]&amp;")"</f>
        <v>XE (93)</v>
      </c>
      <c r="G67" s="27">
        <f>LEN(Tabela12[[#This Row],[Anilha]])</f>
        <v>7</v>
      </c>
      <c r="H67" s="27">
        <f>VLOOKUP(Tabela12[[#This Row],[Tag Cabo]],BD!A:F,6,0)</f>
        <v>1</v>
      </c>
      <c r="I67" s="27" t="s">
        <v>1705</v>
      </c>
      <c r="J67" s="27" t="s">
        <v>1706</v>
      </c>
    </row>
    <row r="68" spans="1:10" x14ac:dyDescent="0.25">
      <c r="A68" s="216" t="s">
        <v>686</v>
      </c>
      <c r="B68" s="45" t="str">
        <f>VLOOKUP(Tabela12[[#This Row],[Painel]],Tabela13[],2,0)</f>
        <v>CCP</v>
      </c>
      <c r="C68" s="45" t="s">
        <v>679</v>
      </c>
      <c r="D68" s="21" t="s">
        <v>1708</v>
      </c>
      <c r="E68" s="21">
        <v>41</v>
      </c>
      <c r="F68" s="27" t="str">
        <f>Tabela12[[#This Row],[Régua]]&amp;" ("&amp;Tabela12[[#This Row],[Born]]&amp;")"</f>
        <v>T8801C (41)</v>
      </c>
      <c r="G68" s="27">
        <f>LEN(Tabela12[[#This Row],[Anilha]])</f>
        <v>11</v>
      </c>
      <c r="H68" s="27">
        <f>VLOOKUP(Tabela12[[#This Row],[Tag Cabo]],BD!A:F,6,0)</f>
        <v>1</v>
      </c>
      <c r="I68" s="27" t="s">
        <v>1705</v>
      </c>
      <c r="J68" s="27" t="s">
        <v>1706</v>
      </c>
    </row>
    <row r="69" spans="1:10" x14ac:dyDescent="0.25">
      <c r="A69" s="216" t="s">
        <v>686</v>
      </c>
      <c r="B69" s="45" t="str">
        <f>VLOOKUP(Tabela12[[#This Row],[Painel]],Tabela13[],2,0)</f>
        <v>CCP</v>
      </c>
      <c r="C69" s="45" t="s">
        <v>679</v>
      </c>
      <c r="D69" s="21" t="s">
        <v>1708</v>
      </c>
      <c r="E69" s="21">
        <v>42</v>
      </c>
      <c r="F69" s="27" t="str">
        <f>Tabela12[[#This Row],[Régua]]&amp;" ("&amp;Tabela12[[#This Row],[Born]]&amp;")"</f>
        <v>T8801C (42)</v>
      </c>
      <c r="G69" s="27">
        <f>LEN(Tabela12[[#This Row],[Anilha]])</f>
        <v>11</v>
      </c>
      <c r="H69" s="27">
        <f>VLOOKUP(Tabela12[[#This Row],[Tag Cabo]],BD!A:F,6,0)</f>
        <v>1</v>
      </c>
      <c r="I69" s="27" t="s">
        <v>1705</v>
      </c>
      <c r="J69" s="27" t="s">
        <v>1706</v>
      </c>
    </row>
    <row r="70" spans="1:10" x14ac:dyDescent="0.25">
      <c r="A70" s="216" t="s">
        <v>686</v>
      </c>
      <c r="B70" s="45" t="str">
        <f>VLOOKUP(Tabela12[[#This Row],[Painel]],Tabela13[],2,0)</f>
        <v>7HV</v>
      </c>
      <c r="C70" s="45" t="s">
        <v>687</v>
      </c>
      <c r="D70" s="21" t="s">
        <v>1717</v>
      </c>
      <c r="E70" s="21">
        <v>94</v>
      </c>
      <c r="F70" s="27" t="str">
        <f>Tabela12[[#This Row],[Régua]]&amp;" ("&amp;Tabela12[[#This Row],[Born]]&amp;")"</f>
        <v>XE (94)</v>
      </c>
      <c r="G70" s="27">
        <f>LEN(Tabela12[[#This Row],[Anilha]])</f>
        <v>7</v>
      </c>
      <c r="H70" s="27">
        <f>VLOOKUP(Tabela12[[#This Row],[Tag Cabo]],BD!A:F,6,0)</f>
        <v>1</v>
      </c>
      <c r="I70" s="27" t="s">
        <v>1705</v>
      </c>
      <c r="J70" s="27" t="s">
        <v>1706</v>
      </c>
    </row>
    <row r="71" spans="1:10" x14ac:dyDescent="0.25">
      <c r="A71" s="216" t="s">
        <v>686</v>
      </c>
      <c r="B71" s="45" t="str">
        <f>VLOOKUP(Tabela12[[#This Row],[Painel]],Tabela13[],2,0)</f>
        <v>7HV</v>
      </c>
      <c r="C71" s="45" t="s">
        <v>687</v>
      </c>
      <c r="D71" s="21" t="s">
        <v>1717</v>
      </c>
      <c r="E71" s="21">
        <v>95</v>
      </c>
      <c r="F71" s="27" t="str">
        <f>Tabela12[[#This Row],[Régua]]&amp;" ("&amp;Tabela12[[#This Row],[Born]]&amp;")"</f>
        <v>XE (95)</v>
      </c>
      <c r="G71" s="27">
        <f>LEN(Tabela12[[#This Row],[Anilha]])</f>
        <v>7</v>
      </c>
      <c r="H71" s="27">
        <f>VLOOKUP(Tabela12[[#This Row],[Tag Cabo]],BD!A:F,6,0)</f>
        <v>1</v>
      </c>
      <c r="I71" s="27" t="s">
        <v>1705</v>
      </c>
      <c r="J71" s="27" t="s">
        <v>1706</v>
      </c>
    </row>
    <row r="72" spans="1:10" x14ac:dyDescent="0.25">
      <c r="A72" s="216" t="s">
        <v>686</v>
      </c>
      <c r="B72" s="45" t="str">
        <f>VLOOKUP(Tabela12[[#This Row],[Painel]],Tabela13[],2,0)</f>
        <v>CCP</v>
      </c>
      <c r="C72" s="45" t="s">
        <v>679</v>
      </c>
      <c r="D72" s="21" t="s">
        <v>1708</v>
      </c>
      <c r="E72" s="21">
        <v>43</v>
      </c>
      <c r="F72" s="27" t="str">
        <f>Tabela12[[#This Row],[Régua]]&amp;" ("&amp;Tabela12[[#This Row],[Born]]&amp;")"</f>
        <v>T8801C (43)</v>
      </c>
      <c r="G72" s="27">
        <f>LEN(Tabela12[[#This Row],[Anilha]])</f>
        <v>11</v>
      </c>
      <c r="H72" s="27">
        <f>VLOOKUP(Tabela12[[#This Row],[Tag Cabo]],BD!A:F,6,0)</f>
        <v>1</v>
      </c>
      <c r="I72" s="27" t="s">
        <v>1705</v>
      </c>
      <c r="J72" s="27" t="s">
        <v>1706</v>
      </c>
    </row>
    <row r="73" spans="1:10" x14ac:dyDescent="0.25">
      <c r="A73" s="216" t="s">
        <v>686</v>
      </c>
      <c r="B73" s="45" t="str">
        <f>VLOOKUP(Tabela12[[#This Row],[Painel]],Tabela13[],2,0)</f>
        <v>CCP</v>
      </c>
      <c r="C73" s="45" t="s">
        <v>679</v>
      </c>
      <c r="D73" s="21" t="s">
        <v>1708</v>
      </c>
      <c r="E73" s="21">
        <v>44</v>
      </c>
      <c r="F73" s="27" t="str">
        <f>Tabela12[[#This Row],[Régua]]&amp;" ("&amp;Tabela12[[#This Row],[Born]]&amp;")"</f>
        <v>T8801C (44)</v>
      </c>
      <c r="G73" s="27">
        <f>LEN(Tabela12[[#This Row],[Anilha]])</f>
        <v>11</v>
      </c>
      <c r="H73" s="27">
        <f>VLOOKUP(Tabela12[[#This Row],[Tag Cabo]],BD!A:F,6,0)</f>
        <v>1</v>
      </c>
      <c r="I73" s="27" t="s">
        <v>1705</v>
      </c>
      <c r="J73" s="27" t="s">
        <v>1706</v>
      </c>
    </row>
    <row r="74" spans="1:10" x14ac:dyDescent="0.25">
      <c r="A74" s="216" t="s">
        <v>686</v>
      </c>
      <c r="B74" s="45" t="str">
        <f>VLOOKUP(Tabela12[[#This Row],[Painel]],Tabela13[],2,0)</f>
        <v>7HV</v>
      </c>
      <c r="C74" s="45" t="s">
        <v>687</v>
      </c>
      <c r="D74" s="21" t="s">
        <v>1717</v>
      </c>
      <c r="E74" s="21">
        <v>98</v>
      </c>
      <c r="F74" s="27" t="str">
        <f>Tabela12[[#This Row],[Régua]]&amp;" ("&amp;Tabela12[[#This Row],[Born]]&amp;")"</f>
        <v>XE (98)</v>
      </c>
      <c r="G74" s="27">
        <f>LEN(Tabela12[[#This Row],[Anilha]])</f>
        <v>7</v>
      </c>
      <c r="H74" s="27">
        <f>VLOOKUP(Tabela12[[#This Row],[Tag Cabo]],BD!A:F,6,0)</f>
        <v>1</v>
      </c>
      <c r="I74" s="27" t="s">
        <v>1705</v>
      </c>
      <c r="J74" s="27" t="s">
        <v>1706</v>
      </c>
    </row>
    <row r="75" spans="1:10" x14ac:dyDescent="0.25">
      <c r="A75" s="216" t="s">
        <v>686</v>
      </c>
      <c r="B75" s="45" t="str">
        <f>VLOOKUP(Tabela12[[#This Row],[Painel]],Tabela13[],2,0)</f>
        <v>7HV</v>
      </c>
      <c r="C75" s="45" t="s">
        <v>687</v>
      </c>
      <c r="D75" s="21" t="s">
        <v>1717</v>
      </c>
      <c r="E75" s="21">
        <v>99</v>
      </c>
      <c r="F75" s="27" t="str">
        <f>Tabela12[[#This Row],[Régua]]&amp;" ("&amp;Tabela12[[#This Row],[Born]]&amp;")"</f>
        <v>XE (99)</v>
      </c>
      <c r="G75" s="27">
        <f>LEN(Tabela12[[#This Row],[Anilha]])</f>
        <v>7</v>
      </c>
      <c r="H75" s="27">
        <f>VLOOKUP(Tabela12[[#This Row],[Tag Cabo]],BD!A:F,6,0)</f>
        <v>1</v>
      </c>
      <c r="I75" s="27" t="s">
        <v>1705</v>
      </c>
      <c r="J75" s="27" t="s">
        <v>1706</v>
      </c>
    </row>
    <row r="76" spans="1:10" x14ac:dyDescent="0.25">
      <c r="A76" s="216" t="s">
        <v>686</v>
      </c>
      <c r="B76" s="45" t="str">
        <f>VLOOKUP(Tabela12[[#This Row],[Painel]],Tabela13[],2,0)</f>
        <v>CCP</v>
      </c>
      <c r="C76" s="45" t="s">
        <v>679</v>
      </c>
      <c r="D76" s="21" t="s">
        <v>1708</v>
      </c>
      <c r="E76" s="21">
        <v>45</v>
      </c>
      <c r="F76" s="27" t="str">
        <f>Tabela12[[#This Row],[Régua]]&amp;" ("&amp;Tabela12[[#This Row],[Born]]&amp;")"</f>
        <v>T8801C (45)</v>
      </c>
      <c r="G76" s="27">
        <f>LEN(Tabela12[[#This Row],[Anilha]])</f>
        <v>11</v>
      </c>
      <c r="H76" s="27">
        <f>VLOOKUP(Tabela12[[#This Row],[Tag Cabo]],BD!A:F,6,0)</f>
        <v>1</v>
      </c>
      <c r="I76" s="27" t="s">
        <v>1705</v>
      </c>
      <c r="J76" s="27" t="s">
        <v>1706</v>
      </c>
    </row>
    <row r="77" spans="1:10" x14ac:dyDescent="0.25">
      <c r="A77" s="216" t="s">
        <v>686</v>
      </c>
      <c r="B77" s="45" t="str">
        <f>VLOOKUP(Tabela12[[#This Row],[Painel]],Tabela13[],2,0)</f>
        <v>CCP</v>
      </c>
      <c r="C77" s="45" t="s">
        <v>679</v>
      </c>
      <c r="D77" s="21" t="s">
        <v>1708</v>
      </c>
      <c r="E77" s="21">
        <v>46</v>
      </c>
      <c r="F77" s="27" t="str">
        <f>Tabela12[[#This Row],[Régua]]&amp;" ("&amp;Tabela12[[#This Row],[Born]]&amp;")"</f>
        <v>T8801C (46)</v>
      </c>
      <c r="G77" s="27">
        <f>LEN(Tabela12[[#This Row],[Anilha]])</f>
        <v>11</v>
      </c>
      <c r="H77" s="27">
        <f>VLOOKUP(Tabela12[[#This Row],[Tag Cabo]],BD!A:F,6,0)</f>
        <v>1</v>
      </c>
      <c r="I77" s="27" t="s">
        <v>1705</v>
      </c>
      <c r="J77" s="27" t="s">
        <v>1706</v>
      </c>
    </row>
    <row r="78" spans="1:10" x14ac:dyDescent="0.25">
      <c r="A78" s="216" t="s">
        <v>686</v>
      </c>
      <c r="B78" s="45" t="str">
        <f>VLOOKUP(Tabela12[[#This Row],[Painel]],Tabela13[],2,0)</f>
        <v>7HV</v>
      </c>
      <c r="C78" s="45" t="s">
        <v>687</v>
      </c>
      <c r="D78" s="21" t="s">
        <v>1717</v>
      </c>
      <c r="E78" s="21">
        <v>104</v>
      </c>
      <c r="F78" s="27" t="str">
        <f>Tabela12[[#This Row],[Régua]]&amp;" ("&amp;Tabela12[[#This Row],[Born]]&amp;")"</f>
        <v>XE (104)</v>
      </c>
      <c r="G78" s="27">
        <f>LEN(Tabela12[[#This Row],[Anilha]])</f>
        <v>8</v>
      </c>
      <c r="H78" s="21">
        <f>VLOOKUP(Tabela12[[#This Row],[Tag Cabo]],BD!A:F,6,0)</f>
        <v>1</v>
      </c>
      <c r="I78" s="27" t="s">
        <v>1705</v>
      </c>
      <c r="J78" s="27" t="s">
        <v>1706</v>
      </c>
    </row>
    <row r="79" spans="1:10" x14ac:dyDescent="0.25">
      <c r="A79" s="216" t="s">
        <v>686</v>
      </c>
      <c r="B79" s="45" t="str">
        <f>VLOOKUP(Tabela12[[#This Row],[Painel]],Tabela13[],2,0)</f>
        <v>7HV</v>
      </c>
      <c r="C79" s="45" t="s">
        <v>687</v>
      </c>
      <c r="D79" s="21" t="s">
        <v>1717</v>
      </c>
      <c r="E79" s="21">
        <v>105</v>
      </c>
      <c r="F79" s="27" t="str">
        <f>Tabela12[[#This Row],[Régua]]&amp;" ("&amp;Tabela12[[#This Row],[Born]]&amp;")"</f>
        <v>XE (105)</v>
      </c>
      <c r="G79" s="27">
        <f>LEN(Tabela12[[#This Row],[Anilha]])</f>
        <v>8</v>
      </c>
      <c r="H79" s="21">
        <f>VLOOKUP(Tabela12[[#This Row],[Tag Cabo]],BD!A:F,6,0)</f>
        <v>1</v>
      </c>
      <c r="I79" s="27" t="s">
        <v>1705</v>
      </c>
      <c r="J79" s="27" t="s">
        <v>1706</v>
      </c>
    </row>
    <row r="80" spans="1:10" x14ac:dyDescent="0.25">
      <c r="A80" s="216" t="s">
        <v>686</v>
      </c>
      <c r="B80" s="45" t="str">
        <f>VLOOKUP(Tabela12[[#This Row],[Painel]],Tabela13[],2,0)</f>
        <v>CCP</v>
      </c>
      <c r="C80" s="45" t="s">
        <v>679</v>
      </c>
      <c r="D80" s="21" t="s">
        <v>1708</v>
      </c>
      <c r="E80" s="21">
        <v>49</v>
      </c>
      <c r="F80" s="27" t="str">
        <f>Tabela12[[#This Row],[Régua]]&amp;" ("&amp;Tabela12[[#This Row],[Born]]&amp;")"</f>
        <v>T8801C (49)</v>
      </c>
      <c r="G80" s="27">
        <f>LEN(Tabela12[[#This Row],[Anilha]])</f>
        <v>11</v>
      </c>
      <c r="H80" s="21">
        <f>VLOOKUP(Tabela12[[#This Row],[Tag Cabo]],BD!A:F,6,0)</f>
        <v>1</v>
      </c>
      <c r="I80" s="27" t="s">
        <v>1705</v>
      </c>
      <c r="J80" s="27" t="s">
        <v>1706</v>
      </c>
    </row>
    <row r="81" spans="1:10" x14ac:dyDescent="0.25">
      <c r="A81" s="216" t="s">
        <v>686</v>
      </c>
      <c r="B81" s="45" t="str">
        <f>VLOOKUP(Tabela12[[#This Row],[Painel]],Tabela13[],2,0)</f>
        <v>CCP</v>
      </c>
      <c r="C81" s="45" t="s">
        <v>679</v>
      </c>
      <c r="D81" s="21" t="s">
        <v>1708</v>
      </c>
      <c r="E81" s="21">
        <v>50</v>
      </c>
      <c r="F81" s="27" t="str">
        <f>Tabela12[[#This Row],[Régua]]&amp;" ("&amp;Tabela12[[#This Row],[Born]]&amp;")"</f>
        <v>T8801C (50)</v>
      </c>
      <c r="G81" s="27">
        <f>LEN(Tabela12[[#This Row],[Anilha]])</f>
        <v>11</v>
      </c>
      <c r="H81" s="21">
        <f>VLOOKUP(Tabela12[[#This Row],[Tag Cabo]],BD!A:F,6,0)</f>
        <v>1</v>
      </c>
      <c r="I81" s="27" t="s">
        <v>1705</v>
      </c>
      <c r="J81" s="27" t="s">
        <v>1706</v>
      </c>
    </row>
    <row r="82" spans="1:10" x14ac:dyDescent="0.25">
      <c r="A82" s="216" t="s">
        <v>686</v>
      </c>
      <c r="B82" s="45" t="str">
        <f>VLOOKUP(Tabela12[[#This Row],[Painel]],Tabela13[],2,0)</f>
        <v>7HV</v>
      </c>
      <c r="C82" s="45" t="s">
        <v>687</v>
      </c>
      <c r="D82" s="21" t="s">
        <v>1717</v>
      </c>
      <c r="E82" s="21">
        <v>100</v>
      </c>
      <c r="F82" s="27" t="str">
        <f>Tabela12[[#This Row],[Régua]]&amp;" ("&amp;Tabela12[[#This Row],[Born]]&amp;")"</f>
        <v>XE (100)</v>
      </c>
      <c r="G82" s="27">
        <f>LEN(Tabela12[[#This Row],[Anilha]])</f>
        <v>8</v>
      </c>
      <c r="H82" s="21">
        <f>VLOOKUP(Tabela12[[#This Row],[Tag Cabo]],BD!A:F,6,0)</f>
        <v>1</v>
      </c>
      <c r="I82" s="27" t="s">
        <v>1705</v>
      </c>
      <c r="J82" s="27" t="s">
        <v>1706</v>
      </c>
    </row>
    <row r="83" spans="1:10" x14ac:dyDescent="0.25">
      <c r="A83" s="216" t="s">
        <v>686</v>
      </c>
      <c r="B83" s="45" t="str">
        <f>VLOOKUP(Tabela12[[#This Row],[Painel]],Tabela13[],2,0)</f>
        <v>7HV</v>
      </c>
      <c r="C83" s="45" t="s">
        <v>687</v>
      </c>
      <c r="D83" s="21" t="s">
        <v>1717</v>
      </c>
      <c r="E83" s="21">
        <v>101</v>
      </c>
      <c r="F83" s="27" t="str">
        <f>Tabela12[[#This Row],[Régua]]&amp;" ("&amp;Tabela12[[#This Row],[Born]]&amp;")"</f>
        <v>XE (101)</v>
      </c>
      <c r="G83" s="27">
        <f>LEN(Tabela12[[#This Row],[Anilha]])</f>
        <v>8</v>
      </c>
      <c r="H83" s="21">
        <f>VLOOKUP(Tabela12[[#This Row],[Tag Cabo]],BD!A:F,6,0)</f>
        <v>1</v>
      </c>
      <c r="I83" s="27" t="s">
        <v>1705</v>
      </c>
      <c r="J83" s="27" t="s">
        <v>1706</v>
      </c>
    </row>
    <row r="84" spans="1:10" x14ac:dyDescent="0.25">
      <c r="A84" s="216" t="s">
        <v>686</v>
      </c>
      <c r="B84" s="45" t="str">
        <f>VLOOKUP(Tabela12[[#This Row],[Painel]],Tabela13[],2,0)</f>
        <v>CCP</v>
      </c>
      <c r="C84" s="45" t="s">
        <v>679</v>
      </c>
      <c r="D84" s="21" t="s">
        <v>1708</v>
      </c>
      <c r="E84" s="21">
        <v>47</v>
      </c>
      <c r="F84" s="27" t="str">
        <f>Tabela12[[#This Row],[Régua]]&amp;" ("&amp;Tabela12[[#This Row],[Born]]&amp;")"</f>
        <v>T8801C (47)</v>
      </c>
      <c r="G84" s="27">
        <f>LEN(Tabela12[[#This Row],[Anilha]])</f>
        <v>11</v>
      </c>
      <c r="H84" s="21">
        <f>VLOOKUP(Tabela12[[#This Row],[Tag Cabo]],BD!A:F,6,0)</f>
        <v>1</v>
      </c>
      <c r="I84" s="27" t="s">
        <v>1705</v>
      </c>
      <c r="J84" s="27" t="s">
        <v>1706</v>
      </c>
    </row>
    <row r="85" spans="1:10" x14ac:dyDescent="0.25">
      <c r="A85" s="216" t="s">
        <v>686</v>
      </c>
      <c r="B85" s="45" t="str">
        <f>VLOOKUP(Tabela12[[#This Row],[Painel]],Tabela13[],2,0)</f>
        <v>CCP</v>
      </c>
      <c r="C85" s="45" t="s">
        <v>679</v>
      </c>
      <c r="D85" s="21" t="s">
        <v>1708</v>
      </c>
      <c r="E85" s="21">
        <v>48</v>
      </c>
      <c r="F85" s="27" t="str">
        <f>Tabela12[[#This Row],[Régua]]&amp;" ("&amp;Tabela12[[#This Row],[Born]]&amp;")"</f>
        <v>T8801C (48)</v>
      </c>
      <c r="G85" s="27">
        <f>LEN(Tabela12[[#This Row],[Anilha]])</f>
        <v>11</v>
      </c>
      <c r="H85" s="21">
        <f>VLOOKUP(Tabela12[[#This Row],[Tag Cabo]],BD!A:F,6,0)</f>
        <v>1</v>
      </c>
      <c r="I85" s="27" t="s">
        <v>1705</v>
      </c>
      <c r="J85" s="27" t="s">
        <v>1706</v>
      </c>
    </row>
    <row r="86" spans="1:10" x14ac:dyDescent="0.25">
      <c r="A86" s="216" t="s">
        <v>689</v>
      </c>
      <c r="B86" s="45" t="str">
        <f>VLOOKUP(Tabela12[[#This Row],[Painel]],Tabela13[],2,0)</f>
        <v>7HV</v>
      </c>
      <c r="C86" s="334" t="s">
        <v>687</v>
      </c>
      <c r="D86" s="335" t="s">
        <v>1717</v>
      </c>
      <c r="E86" s="335">
        <v>64</v>
      </c>
      <c r="F86" s="336" t="str">
        <f>Tabela12[[#This Row],[Régua]]&amp;" ("&amp;Tabela12[[#This Row],[Born]]&amp;")"</f>
        <v>XE (64)</v>
      </c>
      <c r="G86" s="27">
        <f>LEN(Tabela12[[#This Row],[Anilha]])</f>
        <v>7</v>
      </c>
      <c r="H86" s="21">
        <f>VLOOKUP(Tabela12[[#This Row],[Tag Cabo]],BD!A:F,6,0)</f>
        <v>1</v>
      </c>
      <c r="I86" s="27" t="s">
        <v>1705</v>
      </c>
      <c r="J86" s="27" t="s">
        <v>1706</v>
      </c>
    </row>
    <row r="87" spans="1:10" x14ac:dyDescent="0.25">
      <c r="A87" s="216" t="s">
        <v>689</v>
      </c>
      <c r="B87" s="45" t="str">
        <f>VLOOKUP(Tabela12[[#This Row],[Painel]],Tabela13[],2,0)</f>
        <v>7HV</v>
      </c>
      <c r="C87" s="334" t="s">
        <v>687</v>
      </c>
      <c r="D87" s="335" t="s">
        <v>1717</v>
      </c>
      <c r="E87" s="335">
        <v>65</v>
      </c>
      <c r="F87" s="336" t="str">
        <f>Tabela12[[#This Row],[Régua]]&amp;" ("&amp;Tabela12[[#This Row],[Born]]&amp;")"</f>
        <v>XE (65)</v>
      </c>
      <c r="G87" s="27">
        <f>LEN(Tabela12[[#This Row],[Anilha]])</f>
        <v>7</v>
      </c>
      <c r="H87" s="21">
        <f>VLOOKUP(Tabela12[[#This Row],[Tag Cabo]],BD!A:F,6,0)</f>
        <v>1</v>
      </c>
      <c r="I87" s="27" t="s">
        <v>1705</v>
      </c>
      <c r="J87" s="27" t="s">
        <v>1706</v>
      </c>
    </row>
    <row r="88" spans="1:10" x14ac:dyDescent="0.25">
      <c r="A88" s="216" t="s">
        <v>689</v>
      </c>
      <c r="B88" s="45" t="str">
        <f>VLOOKUP(Tabela12[[#This Row],[Painel]],Tabela13[],2,0)</f>
        <v>CCP</v>
      </c>
      <c r="C88" s="334" t="s">
        <v>690</v>
      </c>
      <c r="D88" s="335" t="s">
        <v>1718</v>
      </c>
      <c r="E88" s="335">
        <v>11</v>
      </c>
      <c r="F88" s="336" t="str">
        <f>Tabela12[[#This Row],[Régua]]&amp;" ("&amp;Tabela12[[#This Row],[Born]]&amp;")"</f>
        <v>BR-01 (11)</v>
      </c>
      <c r="G88" s="27">
        <f>LEN(Tabela12[[#This Row],[Anilha]])</f>
        <v>10</v>
      </c>
      <c r="H88" s="21">
        <f>VLOOKUP(Tabela12[[#This Row],[Tag Cabo]],BD!A:F,6,0)</f>
        <v>1</v>
      </c>
      <c r="I88" s="27" t="s">
        <v>1705</v>
      </c>
      <c r="J88" s="27" t="s">
        <v>1706</v>
      </c>
    </row>
    <row r="89" spans="1:10" x14ac:dyDescent="0.25">
      <c r="A89" s="216" t="s">
        <v>689</v>
      </c>
      <c r="B89" s="45" t="str">
        <f>VLOOKUP(Tabela12[[#This Row],[Painel]],Tabela13[],2,0)</f>
        <v>CCP</v>
      </c>
      <c r="C89" s="334" t="s">
        <v>690</v>
      </c>
      <c r="D89" s="335" t="s">
        <v>1718</v>
      </c>
      <c r="E89" s="335">
        <v>14</v>
      </c>
      <c r="F89" s="336" t="str">
        <f>Tabela12[[#This Row],[Régua]]&amp;" ("&amp;Tabela12[[#This Row],[Born]]&amp;")"</f>
        <v>BR-01 (14)</v>
      </c>
      <c r="G89" s="27">
        <f>LEN(Tabela12[[#This Row],[Anilha]])</f>
        <v>10</v>
      </c>
      <c r="H89" s="21">
        <f>VLOOKUP(Tabela12[[#This Row],[Tag Cabo]],BD!A:F,6,0)</f>
        <v>1</v>
      </c>
      <c r="I89" s="27" t="s">
        <v>1705</v>
      </c>
      <c r="J89" s="27" t="s">
        <v>1706</v>
      </c>
    </row>
    <row r="90" spans="1:10" x14ac:dyDescent="0.25">
      <c r="A90" s="216" t="s">
        <v>689</v>
      </c>
      <c r="B90" s="45" t="str">
        <f>VLOOKUP(Tabela12[[#This Row],[Painel]],Tabela13[],2,0)</f>
        <v>7HV</v>
      </c>
      <c r="C90" s="334" t="s">
        <v>687</v>
      </c>
      <c r="D90" s="335" t="s">
        <v>1717</v>
      </c>
      <c r="E90" s="335">
        <v>70</v>
      </c>
      <c r="F90" s="336" t="str">
        <f>Tabela12[[#This Row],[Régua]]&amp;" ("&amp;Tabela12[[#This Row],[Born]]&amp;")"</f>
        <v>XE (70)</v>
      </c>
      <c r="G90" s="27">
        <f>LEN(Tabela12[[#This Row],[Anilha]])</f>
        <v>7</v>
      </c>
      <c r="H90" s="21">
        <f>VLOOKUP(Tabela12[[#This Row],[Tag Cabo]],BD!A:F,6,0)</f>
        <v>1</v>
      </c>
      <c r="I90" s="27" t="s">
        <v>1705</v>
      </c>
      <c r="J90" s="27" t="s">
        <v>1706</v>
      </c>
    </row>
    <row r="91" spans="1:10" x14ac:dyDescent="0.25">
      <c r="A91" s="216" t="s">
        <v>689</v>
      </c>
      <c r="B91" s="45" t="str">
        <f>VLOOKUP(Tabela12[[#This Row],[Painel]],Tabela13[],2,0)</f>
        <v>7HV</v>
      </c>
      <c r="C91" s="334" t="s">
        <v>687</v>
      </c>
      <c r="D91" s="335" t="s">
        <v>1717</v>
      </c>
      <c r="E91" s="335">
        <v>71</v>
      </c>
      <c r="F91" s="336" t="str">
        <f>Tabela12[[#This Row],[Régua]]&amp;" ("&amp;Tabela12[[#This Row],[Born]]&amp;")"</f>
        <v>XE (71)</v>
      </c>
      <c r="G91" s="27">
        <f>LEN(Tabela12[[#This Row],[Anilha]])</f>
        <v>7</v>
      </c>
      <c r="H91" s="21">
        <f>VLOOKUP(Tabela12[[#This Row],[Tag Cabo]],BD!A:F,6,0)</f>
        <v>1</v>
      </c>
      <c r="I91" s="27" t="s">
        <v>1705</v>
      </c>
      <c r="J91" s="27" t="s">
        <v>1706</v>
      </c>
    </row>
    <row r="92" spans="1:10" x14ac:dyDescent="0.25">
      <c r="A92" s="216" t="s">
        <v>689</v>
      </c>
      <c r="B92" s="45" t="str">
        <f>VLOOKUP(Tabela12[[#This Row],[Painel]],Tabela13[],2,0)</f>
        <v>CCP</v>
      </c>
      <c r="C92" s="334" t="s">
        <v>690</v>
      </c>
      <c r="D92" s="335" t="s">
        <v>1719</v>
      </c>
      <c r="E92" s="335">
        <v>11</v>
      </c>
      <c r="F92" s="336" t="str">
        <f>Tabela12[[#This Row],[Régua]]&amp;" ("&amp;Tabela12[[#This Row],[Born]]&amp;")"</f>
        <v>BR-04 (11)</v>
      </c>
      <c r="G92" s="27">
        <f>LEN(Tabela12[[#This Row],[Anilha]])</f>
        <v>10</v>
      </c>
      <c r="H92" s="21">
        <f>VLOOKUP(Tabela12[[#This Row],[Tag Cabo]],BD!A:F,6,0)</f>
        <v>1</v>
      </c>
      <c r="I92" s="27" t="s">
        <v>1705</v>
      </c>
      <c r="J92" s="27" t="s">
        <v>1706</v>
      </c>
    </row>
    <row r="93" spans="1:10" x14ac:dyDescent="0.25">
      <c r="A93" s="216" t="s">
        <v>689</v>
      </c>
      <c r="B93" s="45" t="str">
        <f>VLOOKUP(Tabela12[[#This Row],[Painel]],Tabela13[],2,0)</f>
        <v>CCP</v>
      </c>
      <c r="C93" s="334" t="s">
        <v>690</v>
      </c>
      <c r="D93" s="335" t="s">
        <v>1719</v>
      </c>
      <c r="E93" s="335">
        <v>14</v>
      </c>
      <c r="F93" s="336" t="str">
        <f>Tabela12[[#This Row],[Régua]]&amp;" ("&amp;Tabela12[[#This Row],[Born]]&amp;")"</f>
        <v>BR-04 (14)</v>
      </c>
      <c r="G93" s="27">
        <f>LEN(Tabela12[[#This Row],[Anilha]])</f>
        <v>10</v>
      </c>
      <c r="H93" s="21">
        <f>VLOOKUP(Tabela12[[#This Row],[Tag Cabo]],BD!A:F,6,0)</f>
        <v>1</v>
      </c>
      <c r="I93" s="27" t="s">
        <v>1705</v>
      </c>
      <c r="J93" s="27" t="s">
        <v>1706</v>
      </c>
    </row>
    <row r="94" spans="1:10" x14ac:dyDescent="0.25">
      <c r="A94" s="216" t="s">
        <v>689</v>
      </c>
      <c r="B94" s="45" t="str">
        <f>VLOOKUP(Tabela12[[#This Row],[Painel]],Tabela13[],2,0)</f>
        <v>7HV</v>
      </c>
      <c r="C94" s="334" t="s">
        <v>687</v>
      </c>
      <c r="D94" s="335" t="s">
        <v>1717</v>
      </c>
      <c r="E94" s="335">
        <v>66</v>
      </c>
      <c r="F94" s="336" t="str">
        <f>Tabela12[[#This Row],[Régua]]&amp;" ("&amp;Tabela12[[#This Row],[Born]]&amp;")"</f>
        <v>XE (66)</v>
      </c>
      <c r="G94" s="27">
        <f>LEN(Tabela12[[#This Row],[Anilha]])</f>
        <v>7</v>
      </c>
      <c r="H94" s="21">
        <f>VLOOKUP(Tabela12[[#This Row],[Tag Cabo]],BD!A:F,6,0)</f>
        <v>1</v>
      </c>
      <c r="I94" s="27" t="s">
        <v>1705</v>
      </c>
      <c r="J94" s="27" t="s">
        <v>1720</v>
      </c>
    </row>
    <row r="95" spans="1:10" x14ac:dyDescent="0.25">
      <c r="A95" s="216" t="s">
        <v>689</v>
      </c>
      <c r="B95" s="45" t="str">
        <f>VLOOKUP(Tabela12[[#This Row],[Painel]],Tabela13[],2,0)</f>
        <v>7HV</v>
      </c>
      <c r="C95" s="334" t="s">
        <v>687</v>
      </c>
      <c r="D95" s="335" t="s">
        <v>1717</v>
      </c>
      <c r="E95" s="335">
        <v>67</v>
      </c>
      <c r="F95" s="336" t="str">
        <f>Tabela12[[#This Row],[Régua]]&amp;" ("&amp;Tabela12[[#This Row],[Born]]&amp;")"</f>
        <v>XE (67)</v>
      </c>
      <c r="G95" s="27">
        <f>LEN(Tabela12[[#This Row],[Anilha]])</f>
        <v>7</v>
      </c>
      <c r="H95" s="21">
        <f>VLOOKUP(Tabela12[[#This Row],[Tag Cabo]],BD!A:F,6,0)</f>
        <v>1</v>
      </c>
      <c r="I95" s="27" t="s">
        <v>1705</v>
      </c>
      <c r="J95" s="27" t="s">
        <v>1720</v>
      </c>
    </row>
    <row r="96" spans="1:10" x14ac:dyDescent="0.25">
      <c r="A96" s="216" t="s">
        <v>689</v>
      </c>
      <c r="B96" s="45" t="str">
        <f>VLOOKUP(Tabela12[[#This Row],[Painel]],Tabela13[],2,0)</f>
        <v>CCP</v>
      </c>
      <c r="C96" s="334" t="s">
        <v>690</v>
      </c>
      <c r="D96" s="335" t="s">
        <v>1721</v>
      </c>
      <c r="E96" s="335">
        <v>11</v>
      </c>
      <c r="F96" s="336" t="str">
        <f>Tabela12[[#This Row],[Régua]]&amp;" ("&amp;Tabela12[[#This Row],[Born]]&amp;")"</f>
        <v>BR-02 (11)</v>
      </c>
      <c r="G96" s="27">
        <f>LEN(Tabela12[[#This Row],[Anilha]])</f>
        <v>10</v>
      </c>
      <c r="H96" s="21">
        <f>VLOOKUP(Tabela12[[#This Row],[Tag Cabo]],BD!A:F,6,0)</f>
        <v>1</v>
      </c>
      <c r="I96" s="27" t="s">
        <v>1705</v>
      </c>
      <c r="J96" s="27" t="s">
        <v>1706</v>
      </c>
    </row>
    <row r="97" spans="1:10" x14ac:dyDescent="0.25">
      <c r="A97" s="216" t="s">
        <v>689</v>
      </c>
      <c r="B97" s="45" t="str">
        <f>VLOOKUP(Tabela12[[#This Row],[Painel]],Tabela13[],2,0)</f>
        <v>CCP</v>
      </c>
      <c r="C97" s="334" t="s">
        <v>690</v>
      </c>
      <c r="D97" s="335" t="s">
        <v>1721</v>
      </c>
      <c r="E97" s="335">
        <v>14</v>
      </c>
      <c r="F97" s="336" t="str">
        <f>Tabela12[[#This Row],[Régua]]&amp;" ("&amp;Tabela12[[#This Row],[Born]]&amp;")"</f>
        <v>BR-02 (14)</v>
      </c>
      <c r="G97" s="27">
        <f>LEN(Tabela12[[#This Row],[Anilha]])</f>
        <v>10</v>
      </c>
      <c r="H97" s="21">
        <f>VLOOKUP(Tabela12[[#This Row],[Tag Cabo]],BD!A:F,6,0)</f>
        <v>1</v>
      </c>
      <c r="I97" s="27" t="s">
        <v>1705</v>
      </c>
      <c r="J97" s="27" t="s">
        <v>1706</v>
      </c>
    </row>
    <row r="98" spans="1:10" x14ac:dyDescent="0.25">
      <c r="A98" s="216" t="s">
        <v>689</v>
      </c>
      <c r="B98" s="322" t="str">
        <f>VLOOKUP(Tabela12[[#This Row],[Painel]],Tabela13[],2,0)</f>
        <v>7HV</v>
      </c>
      <c r="C98" s="334" t="s">
        <v>687</v>
      </c>
      <c r="D98" s="335" t="s">
        <v>1717</v>
      </c>
      <c r="E98" s="335">
        <v>68</v>
      </c>
      <c r="F98" s="336" t="str">
        <f>Tabela12[[#This Row],[Régua]]&amp;" ("&amp;Tabela12[[#This Row],[Born]]&amp;")"</f>
        <v>XE (68)</v>
      </c>
      <c r="G98" s="27">
        <f>LEN(Tabela12[[#This Row],[Anilha]])</f>
        <v>7</v>
      </c>
      <c r="H98" s="27">
        <f>VLOOKUP(Tabela12[[#This Row],[Tag Cabo]],BD!A:F,6,0)</f>
        <v>1</v>
      </c>
      <c r="I98" s="27" t="s">
        <v>1705</v>
      </c>
      <c r="J98" s="27" t="s">
        <v>1722</v>
      </c>
    </row>
    <row r="99" spans="1:10" x14ac:dyDescent="0.25">
      <c r="A99" s="216" t="s">
        <v>689</v>
      </c>
      <c r="B99" s="322" t="str">
        <f>VLOOKUP(Tabela12[[#This Row],[Painel]],Tabela13[],2,0)</f>
        <v>7HV</v>
      </c>
      <c r="C99" s="334" t="s">
        <v>687</v>
      </c>
      <c r="D99" s="335" t="s">
        <v>1717</v>
      </c>
      <c r="E99" s="335">
        <v>69</v>
      </c>
      <c r="F99" s="336" t="str">
        <f>Tabela12[[#This Row],[Régua]]&amp;" ("&amp;Tabela12[[#This Row],[Born]]&amp;")"</f>
        <v>XE (69)</v>
      </c>
      <c r="G99" s="27">
        <f>LEN(Tabela12[[#This Row],[Anilha]])</f>
        <v>7</v>
      </c>
      <c r="H99" s="27">
        <f>VLOOKUP(Tabela12[[#This Row],[Tag Cabo]],BD!A:F,6,0)</f>
        <v>1</v>
      </c>
      <c r="I99" s="27" t="s">
        <v>1705</v>
      </c>
      <c r="J99" s="27" t="s">
        <v>1722</v>
      </c>
    </row>
    <row r="100" spans="1:10" x14ac:dyDescent="0.25">
      <c r="A100" s="216" t="s">
        <v>689</v>
      </c>
      <c r="B100" s="322" t="str">
        <f>VLOOKUP(Tabela12[[#This Row],[Painel]],Tabela13[],2,0)</f>
        <v>CCP</v>
      </c>
      <c r="C100" s="334" t="s">
        <v>690</v>
      </c>
      <c r="D100" s="335" t="s">
        <v>1723</v>
      </c>
      <c r="E100" s="335">
        <v>11</v>
      </c>
      <c r="F100" s="336" t="str">
        <f>Tabela12[[#This Row],[Régua]]&amp;" ("&amp;Tabela12[[#This Row],[Born]]&amp;")"</f>
        <v>BR-03 (11)</v>
      </c>
      <c r="G100" s="27">
        <f>LEN(Tabela12[[#This Row],[Anilha]])</f>
        <v>10</v>
      </c>
      <c r="H100" s="27">
        <f>VLOOKUP(Tabela12[[#This Row],[Tag Cabo]],BD!A:F,6,0)</f>
        <v>1</v>
      </c>
      <c r="I100" s="27" t="s">
        <v>1705</v>
      </c>
      <c r="J100" s="27" t="s">
        <v>1722</v>
      </c>
    </row>
    <row r="101" spans="1:10" x14ac:dyDescent="0.25">
      <c r="A101" s="216" t="s">
        <v>689</v>
      </c>
      <c r="B101" s="322" t="str">
        <f>VLOOKUP(Tabela12[[#This Row],[Painel]],Tabela13[],2,0)</f>
        <v>CCP</v>
      </c>
      <c r="C101" s="334" t="s">
        <v>690</v>
      </c>
      <c r="D101" s="335" t="s">
        <v>1723</v>
      </c>
      <c r="E101" s="335">
        <v>14</v>
      </c>
      <c r="F101" s="336" t="str">
        <f>Tabela12[[#This Row],[Régua]]&amp;" ("&amp;Tabela12[[#This Row],[Born]]&amp;")"</f>
        <v>BR-03 (14)</v>
      </c>
      <c r="G101" s="27">
        <f>LEN(Tabela12[[#This Row],[Anilha]])</f>
        <v>10</v>
      </c>
      <c r="H101" s="27">
        <f>VLOOKUP(Tabela12[[#This Row],[Tag Cabo]],BD!A:F,6,0)</f>
        <v>1</v>
      </c>
      <c r="I101" s="27" t="s">
        <v>1705</v>
      </c>
      <c r="J101" s="27" t="s">
        <v>1722</v>
      </c>
    </row>
    <row r="102" spans="1:10" x14ac:dyDescent="0.25">
      <c r="A102" s="216" t="s">
        <v>689</v>
      </c>
      <c r="B102" s="322" t="str">
        <f>VLOOKUP(Tabela12[[#This Row],[Painel]],Tabela13[],2,0)</f>
        <v>7HV</v>
      </c>
      <c r="C102" s="334" t="s">
        <v>687</v>
      </c>
      <c r="D102" s="335" t="s">
        <v>1717</v>
      </c>
      <c r="E102" s="335">
        <v>72</v>
      </c>
      <c r="F102" s="336" t="str">
        <f>Tabela12[[#This Row],[Régua]]&amp;" ("&amp;Tabela12[[#This Row],[Born]]&amp;")"</f>
        <v>XE (72)</v>
      </c>
      <c r="G102" s="27">
        <f>LEN(Tabela12[[#This Row],[Anilha]])</f>
        <v>7</v>
      </c>
      <c r="H102" s="27">
        <f>VLOOKUP(Tabela12[[#This Row],[Tag Cabo]],BD!A:F,6,0)</f>
        <v>1</v>
      </c>
      <c r="I102" s="27" t="s">
        <v>1705</v>
      </c>
      <c r="J102" s="27" t="s">
        <v>1722</v>
      </c>
    </row>
    <row r="103" spans="1:10" x14ac:dyDescent="0.25">
      <c r="A103" s="216" t="s">
        <v>689</v>
      </c>
      <c r="B103" s="322" t="str">
        <f>VLOOKUP(Tabela12[[#This Row],[Painel]],Tabela13[],2,0)</f>
        <v>7HV</v>
      </c>
      <c r="C103" s="334" t="s">
        <v>687</v>
      </c>
      <c r="D103" s="335" t="s">
        <v>1717</v>
      </c>
      <c r="E103" s="335">
        <v>73</v>
      </c>
      <c r="F103" s="336" t="str">
        <f>Tabela12[[#This Row],[Régua]]&amp;" ("&amp;Tabela12[[#This Row],[Born]]&amp;")"</f>
        <v>XE (73)</v>
      </c>
      <c r="G103" s="27">
        <f>LEN(Tabela12[[#This Row],[Anilha]])</f>
        <v>7</v>
      </c>
      <c r="H103" s="27">
        <f>VLOOKUP(Tabela12[[#This Row],[Tag Cabo]],BD!A:F,6,0)</f>
        <v>1</v>
      </c>
      <c r="I103" s="27" t="s">
        <v>1705</v>
      </c>
      <c r="J103" s="27" t="s">
        <v>1722</v>
      </c>
    </row>
    <row r="104" spans="1:10" x14ac:dyDescent="0.25">
      <c r="A104" s="216" t="s">
        <v>689</v>
      </c>
      <c r="B104" s="322" t="str">
        <f>VLOOKUP(Tabela12[[#This Row],[Painel]],Tabela13[],2,0)</f>
        <v>CCP</v>
      </c>
      <c r="C104" s="334" t="s">
        <v>690</v>
      </c>
      <c r="D104" s="335" t="s">
        <v>1724</v>
      </c>
      <c r="E104" s="335">
        <v>11</v>
      </c>
      <c r="F104" s="336" t="str">
        <f>Tabela12[[#This Row],[Régua]]&amp;" ("&amp;Tabela12[[#This Row],[Born]]&amp;")"</f>
        <v>BR-05 (11)</v>
      </c>
      <c r="G104" s="27">
        <f>LEN(Tabela12[[#This Row],[Anilha]])</f>
        <v>10</v>
      </c>
      <c r="H104" s="27">
        <f>VLOOKUP(Tabela12[[#This Row],[Tag Cabo]],BD!A:F,6,0)</f>
        <v>1</v>
      </c>
      <c r="I104" s="27" t="s">
        <v>1705</v>
      </c>
      <c r="J104" s="27" t="s">
        <v>1722</v>
      </c>
    </row>
    <row r="105" spans="1:10" x14ac:dyDescent="0.25">
      <c r="A105" s="216" t="s">
        <v>689</v>
      </c>
      <c r="B105" s="322" t="str">
        <f>VLOOKUP(Tabela12[[#This Row],[Painel]],Tabela13[],2,0)</f>
        <v>CCP</v>
      </c>
      <c r="C105" s="334" t="s">
        <v>690</v>
      </c>
      <c r="D105" s="335" t="s">
        <v>1724</v>
      </c>
      <c r="E105" s="335">
        <v>14</v>
      </c>
      <c r="F105" s="336" t="str">
        <f>Tabela12[[#This Row],[Régua]]&amp;" ("&amp;Tabela12[[#This Row],[Born]]&amp;")"</f>
        <v>BR-05 (14)</v>
      </c>
      <c r="G105" s="27">
        <f>LEN(Tabela12[[#This Row],[Anilha]])</f>
        <v>10</v>
      </c>
      <c r="H105" s="27">
        <f>VLOOKUP(Tabela12[[#This Row],[Tag Cabo]],BD!A:F,6,0)</f>
        <v>1</v>
      </c>
      <c r="I105" s="27" t="s">
        <v>1705</v>
      </c>
      <c r="J105" s="27" t="s">
        <v>1722</v>
      </c>
    </row>
    <row r="106" spans="1:10" x14ac:dyDescent="0.25">
      <c r="A106" s="216" t="s">
        <v>689</v>
      </c>
      <c r="B106" s="322" t="str">
        <f>VLOOKUP(Tabela12[[#This Row],[Painel]],Tabela13[],2,0)</f>
        <v>7HV</v>
      </c>
      <c r="C106" s="334" t="s">
        <v>687</v>
      </c>
      <c r="D106" s="335" t="s">
        <v>1717</v>
      </c>
      <c r="E106" s="335">
        <v>1</v>
      </c>
      <c r="F106" s="336" t="str">
        <f>Tabela12[[#This Row],[Régua]]&amp;" ("&amp;Tabela12[[#This Row],[Born]]&amp;")"</f>
        <v>XE (1)</v>
      </c>
      <c r="G106" s="27">
        <f>LEN(Tabela12[[#This Row],[Anilha]])</f>
        <v>6</v>
      </c>
      <c r="H106" s="27">
        <f>VLOOKUP(Tabela12[[#This Row],[Tag Cabo]],BD!A:F,6,0)</f>
        <v>1</v>
      </c>
      <c r="I106" s="27" t="s">
        <v>1705</v>
      </c>
      <c r="J106" s="27" t="s">
        <v>1722</v>
      </c>
    </row>
    <row r="107" spans="1:10" x14ac:dyDescent="0.25">
      <c r="A107" s="216" t="s">
        <v>689</v>
      </c>
      <c r="B107" s="322" t="str">
        <f>VLOOKUP(Tabela12[[#This Row],[Painel]],Tabela13[],2,0)</f>
        <v>7HV</v>
      </c>
      <c r="C107" s="334" t="s">
        <v>687</v>
      </c>
      <c r="D107" s="335" t="s">
        <v>1717</v>
      </c>
      <c r="E107" s="335">
        <v>2</v>
      </c>
      <c r="F107" s="336" t="str">
        <f>Tabela12[[#This Row],[Régua]]&amp;" ("&amp;Tabela12[[#This Row],[Born]]&amp;")"</f>
        <v>XE (2)</v>
      </c>
      <c r="G107" s="27">
        <f>LEN(Tabela12[[#This Row],[Anilha]])</f>
        <v>6</v>
      </c>
      <c r="H107" s="27">
        <f>VLOOKUP(Tabela12[[#This Row],[Tag Cabo]],BD!A:F,6,0)</f>
        <v>1</v>
      </c>
      <c r="I107" s="27" t="s">
        <v>1705</v>
      </c>
      <c r="J107" s="27" t="s">
        <v>1722</v>
      </c>
    </row>
    <row r="108" spans="1:10" x14ac:dyDescent="0.25">
      <c r="A108" s="216" t="s">
        <v>689</v>
      </c>
      <c r="B108" s="45" t="str">
        <f>VLOOKUP(Tabela12[[#This Row],[Painel]],Tabela13[],2,0)</f>
        <v>CCP</v>
      </c>
      <c r="C108" s="334" t="s">
        <v>690</v>
      </c>
      <c r="D108" s="335" t="s">
        <v>1725</v>
      </c>
      <c r="E108" s="335">
        <v>13</v>
      </c>
      <c r="F108" s="336" t="str">
        <f>Tabela12[[#This Row],[Régua]]&amp;" ("&amp;Tabela12[[#This Row],[Born]]&amp;")"</f>
        <v>RS-01 (13)</v>
      </c>
      <c r="G108" s="27">
        <f>LEN(Tabela12[[#This Row],[Anilha]])</f>
        <v>10</v>
      </c>
      <c r="H108" s="21">
        <f>VLOOKUP(Tabela12[[#This Row],[Tag Cabo]],BD!A:F,6,0)</f>
        <v>1</v>
      </c>
      <c r="I108" s="27" t="s">
        <v>1705</v>
      </c>
      <c r="J108" s="27" t="s">
        <v>1706</v>
      </c>
    </row>
    <row r="109" spans="1:10" x14ac:dyDescent="0.25">
      <c r="A109" s="216" t="s">
        <v>689</v>
      </c>
      <c r="B109" s="45" t="str">
        <f>VLOOKUP(Tabela12[[#This Row],[Painel]],Tabela13[],2,0)</f>
        <v>CCP</v>
      </c>
      <c r="C109" s="334" t="s">
        <v>690</v>
      </c>
      <c r="D109" s="335" t="s">
        <v>1725</v>
      </c>
      <c r="E109" s="335">
        <v>14</v>
      </c>
      <c r="F109" s="336" t="str">
        <f>Tabela12[[#This Row],[Régua]]&amp;" ("&amp;Tabela12[[#This Row],[Born]]&amp;")"</f>
        <v>RS-01 (14)</v>
      </c>
      <c r="G109" s="27">
        <f>LEN(Tabela12[[#This Row],[Anilha]])</f>
        <v>10</v>
      </c>
      <c r="H109" s="21">
        <f>VLOOKUP(Tabela12[[#This Row],[Tag Cabo]],BD!A:F,6,0)</f>
        <v>1</v>
      </c>
      <c r="I109" s="27" t="s">
        <v>1705</v>
      </c>
      <c r="J109" s="27" t="s">
        <v>1706</v>
      </c>
    </row>
    <row r="110" spans="1:10" x14ac:dyDescent="0.25">
      <c r="A110" s="216" t="s">
        <v>689</v>
      </c>
      <c r="B110" s="322" t="str">
        <f>VLOOKUP(Tabela12[[#This Row],[Painel]],Tabela13[],2,0)</f>
        <v>7HV</v>
      </c>
      <c r="C110" s="334" t="s">
        <v>687</v>
      </c>
      <c r="D110" s="335" t="s">
        <v>1717</v>
      </c>
      <c r="E110" s="335">
        <v>142</v>
      </c>
      <c r="F110" s="336" t="str">
        <f>Tabela12[[#This Row],[Régua]]&amp;" ("&amp;Tabela12[[#This Row],[Born]]&amp;")"</f>
        <v>XE (142)</v>
      </c>
      <c r="G110" s="27">
        <f>LEN(Tabela12[[#This Row],[Anilha]])</f>
        <v>8</v>
      </c>
      <c r="H110" s="27">
        <f>VLOOKUP(Tabela12[[#This Row],[Tag Cabo]],BD!A:F,6,0)</f>
        <v>1</v>
      </c>
      <c r="I110" s="27" t="s">
        <v>1705</v>
      </c>
      <c r="J110" s="27" t="s">
        <v>1722</v>
      </c>
    </row>
    <row r="111" spans="1:10" x14ac:dyDescent="0.25">
      <c r="A111" s="216" t="s">
        <v>689</v>
      </c>
      <c r="B111" s="322" t="str">
        <f>VLOOKUP(Tabela12[[#This Row],[Painel]],Tabela13[],2,0)</f>
        <v>7HV</v>
      </c>
      <c r="C111" s="334" t="s">
        <v>687</v>
      </c>
      <c r="D111" s="335" t="s">
        <v>1717</v>
      </c>
      <c r="E111" s="335">
        <v>145</v>
      </c>
      <c r="F111" s="336" t="str">
        <f>Tabela12[[#This Row],[Régua]]&amp;" ("&amp;Tabela12[[#This Row],[Born]]&amp;")"</f>
        <v>XE (145)</v>
      </c>
      <c r="G111" s="27">
        <f>LEN(Tabela12[[#This Row],[Anilha]])</f>
        <v>8</v>
      </c>
      <c r="H111" s="27">
        <f>VLOOKUP(Tabela12[[#This Row],[Tag Cabo]],BD!A:F,6,0)</f>
        <v>1</v>
      </c>
      <c r="I111" s="27" t="s">
        <v>1705</v>
      </c>
      <c r="J111" s="27" t="s">
        <v>1722</v>
      </c>
    </row>
    <row r="112" spans="1:10" x14ac:dyDescent="0.25">
      <c r="A112" s="216" t="s">
        <v>689</v>
      </c>
      <c r="B112" s="45" t="str">
        <f>VLOOKUP(Tabela12[[#This Row],[Painel]],Tabela13[],2,0)</f>
        <v>CCP</v>
      </c>
      <c r="C112" s="334" t="s">
        <v>690</v>
      </c>
      <c r="D112" s="335" t="s">
        <v>1726</v>
      </c>
      <c r="E112" s="335">
        <v>13</v>
      </c>
      <c r="F112" s="336" t="str">
        <f>Tabela12[[#This Row],[Régua]]&amp;" ("&amp;Tabela12[[#This Row],[Born]]&amp;")"</f>
        <v>RS-02 (13)</v>
      </c>
      <c r="G112" s="27">
        <f>LEN(Tabela12[[#This Row],[Anilha]])</f>
        <v>10</v>
      </c>
      <c r="H112" s="21">
        <f>VLOOKUP(Tabela12[[#This Row],[Tag Cabo]],BD!A:F,6,0)</f>
        <v>1</v>
      </c>
      <c r="I112" s="27" t="s">
        <v>1705</v>
      </c>
      <c r="J112" s="27" t="s">
        <v>1706</v>
      </c>
    </row>
    <row r="113" spans="1:10" x14ac:dyDescent="0.25">
      <c r="A113" s="216" t="s">
        <v>689</v>
      </c>
      <c r="B113" s="45" t="str">
        <f>VLOOKUP(Tabela12[[#This Row],[Painel]],Tabela13[],2,0)</f>
        <v>CCP</v>
      </c>
      <c r="C113" s="334" t="s">
        <v>690</v>
      </c>
      <c r="D113" s="335" t="s">
        <v>1726</v>
      </c>
      <c r="E113" s="335">
        <v>14</v>
      </c>
      <c r="F113" s="336" t="str">
        <f>Tabela12[[#This Row],[Régua]]&amp;" ("&amp;Tabela12[[#This Row],[Born]]&amp;")"</f>
        <v>RS-02 (14)</v>
      </c>
      <c r="G113" s="27">
        <f>LEN(Tabela12[[#This Row],[Anilha]])</f>
        <v>10</v>
      </c>
      <c r="H113" s="21">
        <f>VLOOKUP(Tabela12[[#This Row],[Tag Cabo]],BD!A:F,6,0)</f>
        <v>1</v>
      </c>
      <c r="I113" s="27" t="s">
        <v>1705</v>
      </c>
      <c r="J113" s="27" t="s">
        <v>1706</v>
      </c>
    </row>
    <row r="114" spans="1:10" x14ac:dyDescent="0.25">
      <c r="A114" s="216" t="s">
        <v>689</v>
      </c>
      <c r="B114" s="322" t="str">
        <f>VLOOKUP(Tabela12[[#This Row],[Painel]],Tabela13[],2,0)</f>
        <v>7HV</v>
      </c>
      <c r="C114" s="334" t="s">
        <v>687</v>
      </c>
      <c r="D114" s="335" t="s">
        <v>1717</v>
      </c>
      <c r="E114" s="335">
        <v>78</v>
      </c>
      <c r="F114" s="336" t="str">
        <f>Tabela12[[#This Row],[Régua]]&amp;" ("&amp;Tabela12[[#This Row],[Born]]&amp;")"</f>
        <v>XE (78)</v>
      </c>
      <c r="G114" s="27">
        <f>LEN(Tabela12[[#This Row],[Anilha]])</f>
        <v>7</v>
      </c>
      <c r="H114" s="27">
        <f>VLOOKUP(Tabela12[[#This Row],[Tag Cabo]],BD!A:F,6,0)</f>
        <v>1</v>
      </c>
      <c r="I114" s="27" t="s">
        <v>1705</v>
      </c>
      <c r="J114" s="27" t="s">
        <v>1722</v>
      </c>
    </row>
    <row r="115" spans="1:10" x14ac:dyDescent="0.25">
      <c r="A115" s="216" t="s">
        <v>689</v>
      </c>
      <c r="B115" s="322" t="str">
        <f>VLOOKUP(Tabela12[[#This Row],[Painel]],Tabela13[],2,0)</f>
        <v>7HV</v>
      </c>
      <c r="C115" s="334" t="s">
        <v>687</v>
      </c>
      <c r="D115" s="335" t="s">
        <v>1717</v>
      </c>
      <c r="E115" s="335">
        <v>79</v>
      </c>
      <c r="F115" s="336" t="str">
        <f>Tabela12[[#This Row],[Régua]]&amp;" ("&amp;Tabela12[[#This Row],[Born]]&amp;")"</f>
        <v>XE (79)</v>
      </c>
      <c r="G115" s="27">
        <f>LEN(Tabela12[[#This Row],[Anilha]])</f>
        <v>7</v>
      </c>
      <c r="H115" s="27">
        <f>VLOOKUP(Tabela12[[#This Row],[Tag Cabo]],BD!A:F,6,0)</f>
        <v>1</v>
      </c>
      <c r="I115" s="27" t="s">
        <v>1705</v>
      </c>
      <c r="J115" s="27" t="s">
        <v>1722</v>
      </c>
    </row>
    <row r="116" spans="1:10" x14ac:dyDescent="0.25">
      <c r="A116" s="216" t="s">
        <v>689</v>
      </c>
      <c r="B116" s="322" t="str">
        <f>VLOOKUP(Tabela12[[#This Row],[Painel]],Tabela13[],2,0)</f>
        <v>CCP</v>
      </c>
      <c r="C116" s="334" t="s">
        <v>690</v>
      </c>
      <c r="D116" s="335" t="s">
        <v>1727</v>
      </c>
      <c r="E116" s="335">
        <v>11</v>
      </c>
      <c r="F116" s="336" t="str">
        <f>Tabela12[[#This Row],[Régua]]&amp;" ("&amp;Tabela12[[#This Row],[Born]]&amp;")"</f>
        <v>BR-06 (11)</v>
      </c>
      <c r="G116" s="27">
        <f>LEN(Tabela12[[#This Row],[Anilha]])</f>
        <v>10</v>
      </c>
      <c r="H116" s="27">
        <f>VLOOKUP(Tabela12[[#This Row],[Tag Cabo]],BD!A:F,6,0)</f>
        <v>1</v>
      </c>
      <c r="I116" s="27" t="s">
        <v>1705</v>
      </c>
      <c r="J116" s="27" t="s">
        <v>1722</v>
      </c>
    </row>
    <row r="117" spans="1:10" x14ac:dyDescent="0.25">
      <c r="A117" s="216" t="s">
        <v>689</v>
      </c>
      <c r="B117" s="322" t="str">
        <f>VLOOKUP(Tabela12[[#This Row],[Painel]],Tabela13[],2,0)</f>
        <v>CCP</v>
      </c>
      <c r="C117" s="334" t="s">
        <v>690</v>
      </c>
      <c r="D117" s="335" t="s">
        <v>1727</v>
      </c>
      <c r="E117" s="335">
        <v>14</v>
      </c>
      <c r="F117" s="336" t="str">
        <f>Tabela12[[#This Row],[Régua]]&amp;" ("&amp;Tabela12[[#This Row],[Born]]&amp;")"</f>
        <v>BR-06 (14)</v>
      </c>
      <c r="G117" s="27">
        <f>LEN(Tabela12[[#This Row],[Anilha]])</f>
        <v>10</v>
      </c>
      <c r="H117" s="27">
        <f>VLOOKUP(Tabela12[[#This Row],[Tag Cabo]],BD!A:F,6,0)</f>
        <v>1</v>
      </c>
      <c r="I117" s="27" t="s">
        <v>1705</v>
      </c>
      <c r="J117" s="27" t="s">
        <v>1722</v>
      </c>
    </row>
    <row r="118" spans="1:10" x14ac:dyDescent="0.25">
      <c r="A118" s="216" t="s">
        <v>692</v>
      </c>
      <c r="B118" s="45" t="str">
        <f>VLOOKUP(Tabela12[[#This Row],[Painel]],Tabela13[],2,0)</f>
        <v>7HV</v>
      </c>
      <c r="C118" s="45" t="s">
        <v>687</v>
      </c>
      <c r="D118" s="21" t="s">
        <v>1717</v>
      </c>
      <c r="E118" s="21">
        <v>126</v>
      </c>
      <c r="F118" s="27" t="str">
        <f>Tabela12[[#This Row],[Régua]]&amp;" ("&amp;Tabela12[[#This Row],[Born]]&amp;")"</f>
        <v>XE (126)</v>
      </c>
      <c r="G118" s="27">
        <f>LEN(Tabela12[[#This Row],[Anilha]])</f>
        <v>8</v>
      </c>
      <c r="H118" s="21">
        <f>VLOOKUP(Tabela12[[#This Row],[Tag Cabo]],BD!A:F,6,0)</f>
        <v>1</v>
      </c>
      <c r="I118" s="27" t="s">
        <v>1705</v>
      </c>
      <c r="J118" s="27" t="s">
        <v>1706</v>
      </c>
    </row>
    <row r="119" spans="1:10" x14ac:dyDescent="0.25">
      <c r="A119" s="216" t="s">
        <v>692</v>
      </c>
      <c r="B119" s="45" t="str">
        <f>VLOOKUP(Tabela12[[#This Row],[Painel]],Tabela13[],2,0)</f>
        <v>7HV</v>
      </c>
      <c r="C119" s="45" t="s">
        <v>687</v>
      </c>
      <c r="D119" s="21" t="s">
        <v>1717</v>
      </c>
      <c r="E119" s="21">
        <v>127</v>
      </c>
      <c r="F119" s="27" t="str">
        <f>Tabela12[[#This Row],[Régua]]&amp;" ("&amp;Tabela12[[#This Row],[Born]]&amp;")"</f>
        <v>XE (127)</v>
      </c>
      <c r="G119" s="27">
        <f>LEN(Tabela12[[#This Row],[Anilha]])</f>
        <v>8</v>
      </c>
      <c r="H119" s="21">
        <f>VLOOKUP(Tabela12[[#This Row],[Tag Cabo]],BD!A:F,6,0)</f>
        <v>1</v>
      </c>
      <c r="I119" s="27" t="s">
        <v>1705</v>
      </c>
      <c r="J119" s="27" t="s">
        <v>1706</v>
      </c>
    </row>
    <row r="120" spans="1:10" x14ac:dyDescent="0.25">
      <c r="A120" s="216" t="s">
        <v>692</v>
      </c>
      <c r="B120" s="45" t="str">
        <f>VLOOKUP(Tabela12[[#This Row],[Painel]],Tabela13[],2,0)</f>
        <v>CCP</v>
      </c>
      <c r="C120" s="45" t="s">
        <v>690</v>
      </c>
      <c r="D120" s="21" t="s">
        <v>1728</v>
      </c>
      <c r="E120" s="21" t="s">
        <v>1729</v>
      </c>
      <c r="F120" s="27" t="str">
        <f>Tabela12[[#This Row],[Régua]]&amp;" ("&amp;Tabela12[[#This Row],[Born]]&amp;")"</f>
        <v>IG-03 (3+)</v>
      </c>
      <c r="G120" s="27">
        <f>LEN(Tabela12[[#This Row],[Anilha]])</f>
        <v>10</v>
      </c>
      <c r="H120" s="21">
        <f>VLOOKUP(Tabela12[[#This Row],[Tag Cabo]],BD!A:F,6,0)</f>
        <v>1</v>
      </c>
      <c r="I120" s="27" t="s">
        <v>1705</v>
      </c>
      <c r="J120" s="27" t="s">
        <v>1706</v>
      </c>
    </row>
    <row r="121" spans="1:10" x14ac:dyDescent="0.25">
      <c r="A121" s="216" t="s">
        <v>692</v>
      </c>
      <c r="B121" s="45" t="str">
        <f>VLOOKUP(Tabela12[[#This Row],[Painel]],Tabela13[],2,0)</f>
        <v>CCP</v>
      </c>
      <c r="C121" s="45" t="s">
        <v>690</v>
      </c>
      <c r="D121" s="21" t="s">
        <v>1728</v>
      </c>
      <c r="E121" s="21" t="s">
        <v>1730</v>
      </c>
      <c r="F121" s="27" t="str">
        <f>Tabela12[[#This Row],[Régua]]&amp;" ("&amp;Tabela12[[#This Row],[Born]]&amp;")"</f>
        <v>IG-03 (2-)</v>
      </c>
      <c r="G121" s="27">
        <f>LEN(Tabela12[[#This Row],[Anilha]])</f>
        <v>10</v>
      </c>
      <c r="H121" s="21">
        <f>VLOOKUP(Tabela12[[#This Row],[Tag Cabo]],BD!A:F,6,0)</f>
        <v>1</v>
      </c>
      <c r="I121" s="27" t="s">
        <v>1705</v>
      </c>
      <c r="J121" s="27" t="s">
        <v>1706</v>
      </c>
    </row>
    <row r="122" spans="1:10" x14ac:dyDescent="0.25">
      <c r="A122" s="216" t="s">
        <v>692</v>
      </c>
      <c r="B122" s="45" t="str">
        <f>VLOOKUP(Tabela12[[#This Row],[Painel]],Tabela13[],2,0)</f>
        <v>7HV</v>
      </c>
      <c r="C122" s="45" t="s">
        <v>687</v>
      </c>
      <c r="D122" s="21" t="s">
        <v>1717</v>
      </c>
      <c r="E122" s="21">
        <v>130</v>
      </c>
      <c r="F122" s="27" t="str">
        <f>Tabela12[[#This Row],[Régua]]&amp;" ("&amp;Tabela12[[#This Row],[Born]]&amp;")"</f>
        <v>XE (130)</v>
      </c>
      <c r="G122" s="27">
        <f>LEN(Tabela12[[#This Row],[Anilha]])</f>
        <v>8</v>
      </c>
      <c r="H122" s="21">
        <f>VLOOKUP(Tabela12[[#This Row],[Tag Cabo]],BD!A:F,6,0)</f>
        <v>1</v>
      </c>
      <c r="I122" s="27" t="s">
        <v>1705</v>
      </c>
      <c r="J122" s="27" t="s">
        <v>1706</v>
      </c>
    </row>
    <row r="123" spans="1:10" x14ac:dyDescent="0.25">
      <c r="A123" s="216" t="s">
        <v>692</v>
      </c>
      <c r="B123" s="45" t="str">
        <f>VLOOKUP(Tabela12[[#This Row],[Painel]],Tabela13[],2,0)</f>
        <v>7HV</v>
      </c>
      <c r="C123" s="45" t="s">
        <v>687</v>
      </c>
      <c r="D123" s="21" t="s">
        <v>1717</v>
      </c>
      <c r="E123" s="21">
        <v>131</v>
      </c>
      <c r="F123" s="27" t="str">
        <f>Tabela12[[#This Row],[Régua]]&amp;" ("&amp;Tabela12[[#This Row],[Born]]&amp;")"</f>
        <v>XE (131)</v>
      </c>
      <c r="G123" s="27">
        <f>LEN(Tabela12[[#This Row],[Anilha]])</f>
        <v>8</v>
      </c>
      <c r="H123" s="21">
        <f>VLOOKUP(Tabela12[[#This Row],[Tag Cabo]],BD!A:F,6,0)</f>
        <v>1</v>
      </c>
      <c r="I123" s="27" t="s">
        <v>1705</v>
      </c>
      <c r="J123" s="27" t="s">
        <v>1706</v>
      </c>
    </row>
    <row r="124" spans="1:10" x14ac:dyDescent="0.25">
      <c r="A124" s="216" t="s">
        <v>692</v>
      </c>
      <c r="B124" s="45" t="str">
        <f>VLOOKUP(Tabela12[[#This Row],[Painel]],Tabela13[],2,0)</f>
        <v>CCP</v>
      </c>
      <c r="C124" s="45" t="s">
        <v>690</v>
      </c>
      <c r="D124" s="21" t="s">
        <v>1731</v>
      </c>
      <c r="E124" s="21" t="s">
        <v>1732</v>
      </c>
      <c r="F124" s="27" t="str">
        <f>Tabela12[[#This Row],[Régua]]&amp;" ("&amp;Tabela12[[#This Row],[Born]]&amp;")"</f>
        <v>IG-04 (8+)</v>
      </c>
      <c r="G124" s="27">
        <f>LEN(Tabela12[[#This Row],[Anilha]])</f>
        <v>10</v>
      </c>
      <c r="H124" s="21">
        <f>VLOOKUP(Tabela12[[#This Row],[Tag Cabo]],BD!A:F,6,0)</f>
        <v>1</v>
      </c>
      <c r="I124" s="27" t="s">
        <v>1705</v>
      </c>
      <c r="J124" s="27" t="s">
        <v>1706</v>
      </c>
    </row>
    <row r="125" spans="1:10" x14ac:dyDescent="0.25">
      <c r="A125" s="216" t="s">
        <v>692</v>
      </c>
      <c r="B125" s="45" t="str">
        <f>VLOOKUP(Tabela12[[#This Row],[Painel]],Tabela13[],2,0)</f>
        <v>CCP</v>
      </c>
      <c r="C125" s="45" t="s">
        <v>690</v>
      </c>
      <c r="D125" s="21" t="s">
        <v>1731</v>
      </c>
      <c r="E125" s="21" t="s">
        <v>1733</v>
      </c>
      <c r="F125" s="27" t="str">
        <f>Tabela12[[#This Row],[Régua]]&amp;" ("&amp;Tabela12[[#This Row],[Born]]&amp;")"</f>
        <v>IG-04 (8-)</v>
      </c>
      <c r="G125" s="27">
        <f>LEN(Tabela12[[#This Row],[Anilha]])</f>
        <v>10</v>
      </c>
      <c r="H125" s="21">
        <f>VLOOKUP(Tabela12[[#This Row],[Tag Cabo]],BD!A:F,6,0)</f>
        <v>1</v>
      </c>
      <c r="I125" s="27" t="s">
        <v>1705</v>
      </c>
      <c r="J125" s="27" t="s">
        <v>1706</v>
      </c>
    </row>
    <row r="126" spans="1:10" x14ac:dyDescent="0.25">
      <c r="A126" s="216" t="s">
        <v>692</v>
      </c>
      <c r="B126" s="45" t="str">
        <f>VLOOKUP(Tabela12[[#This Row],[Painel]],Tabela13[],2,0)</f>
        <v>7HV</v>
      </c>
      <c r="C126" s="45" t="s">
        <v>687</v>
      </c>
      <c r="D126" s="21" t="s">
        <v>1717</v>
      </c>
      <c r="E126" s="21">
        <v>118</v>
      </c>
      <c r="F126" s="27" t="str">
        <f>Tabela12[[#This Row],[Régua]]&amp;" ("&amp;Tabela12[[#This Row],[Born]]&amp;")"</f>
        <v>XE (118)</v>
      </c>
      <c r="G126" s="27">
        <f>LEN(Tabela12[[#This Row],[Anilha]])</f>
        <v>8</v>
      </c>
      <c r="H126" s="21">
        <f>VLOOKUP(Tabela12[[#This Row],[Tag Cabo]],BD!A:F,6,0)</f>
        <v>1</v>
      </c>
      <c r="I126" s="27" t="s">
        <v>1705</v>
      </c>
      <c r="J126" s="27" t="s">
        <v>1706</v>
      </c>
    </row>
    <row r="127" spans="1:10" x14ac:dyDescent="0.25">
      <c r="A127" s="216" t="s">
        <v>692</v>
      </c>
      <c r="B127" s="45" t="str">
        <f>VLOOKUP(Tabela12[[#This Row],[Painel]],Tabela13[],2,0)</f>
        <v>7HV</v>
      </c>
      <c r="C127" s="45" t="s">
        <v>687</v>
      </c>
      <c r="D127" s="21" t="s">
        <v>1717</v>
      </c>
      <c r="E127" s="21">
        <v>119</v>
      </c>
      <c r="F127" s="27" t="str">
        <f>Tabela12[[#This Row],[Régua]]&amp;" ("&amp;Tabela12[[#This Row],[Born]]&amp;")"</f>
        <v>XE (119)</v>
      </c>
      <c r="G127" s="27">
        <f>LEN(Tabela12[[#This Row],[Anilha]])</f>
        <v>8</v>
      </c>
      <c r="H127" s="21">
        <f>VLOOKUP(Tabela12[[#This Row],[Tag Cabo]],BD!A:F,6,0)</f>
        <v>1</v>
      </c>
      <c r="I127" s="27" t="s">
        <v>1705</v>
      </c>
      <c r="J127" s="27" t="s">
        <v>1706</v>
      </c>
    </row>
    <row r="128" spans="1:10" x14ac:dyDescent="0.25">
      <c r="A128" s="216" t="s">
        <v>692</v>
      </c>
      <c r="B128" s="45" t="str">
        <f>VLOOKUP(Tabela12[[#This Row],[Painel]],Tabela13[],2,0)</f>
        <v>CCP</v>
      </c>
      <c r="C128" s="45" t="s">
        <v>690</v>
      </c>
      <c r="D128" s="21" t="s">
        <v>1734</v>
      </c>
      <c r="E128" s="21" t="s">
        <v>1729</v>
      </c>
      <c r="F128" s="27" t="str">
        <f>Tabela12[[#This Row],[Régua]]&amp;" ("&amp;Tabela12[[#This Row],[Born]]&amp;")"</f>
        <v>IG-01 (3+)</v>
      </c>
      <c r="G128" s="27">
        <f>LEN(Tabela12[[#This Row],[Anilha]])</f>
        <v>10</v>
      </c>
      <c r="H128" s="21">
        <f>VLOOKUP(Tabela12[[#This Row],[Tag Cabo]],BD!A:F,6,0)</f>
        <v>1</v>
      </c>
      <c r="I128" s="27" t="s">
        <v>1705</v>
      </c>
      <c r="J128" s="27" t="s">
        <v>1706</v>
      </c>
    </row>
    <row r="129" spans="1:10" x14ac:dyDescent="0.25">
      <c r="A129" s="216" t="s">
        <v>692</v>
      </c>
      <c r="B129" s="45" t="str">
        <f>VLOOKUP(Tabela12[[#This Row],[Painel]],Tabela13[],2,0)</f>
        <v>CCP</v>
      </c>
      <c r="C129" s="45" t="s">
        <v>690</v>
      </c>
      <c r="D129" s="21" t="s">
        <v>1734</v>
      </c>
      <c r="E129" s="21" t="s">
        <v>1730</v>
      </c>
      <c r="F129" s="27" t="str">
        <f>Tabela12[[#This Row],[Régua]]&amp;" ("&amp;Tabela12[[#This Row],[Born]]&amp;")"</f>
        <v>IG-01 (2-)</v>
      </c>
      <c r="G129" s="27">
        <f>LEN(Tabela12[[#This Row],[Anilha]])</f>
        <v>10</v>
      </c>
      <c r="H129" s="21">
        <f>VLOOKUP(Tabela12[[#This Row],[Tag Cabo]],BD!A:F,6,0)</f>
        <v>1</v>
      </c>
      <c r="I129" s="27" t="s">
        <v>1705</v>
      </c>
      <c r="J129" s="27" t="s">
        <v>1706</v>
      </c>
    </row>
    <row r="130" spans="1:10" x14ac:dyDescent="0.25">
      <c r="A130" s="216" t="s">
        <v>692</v>
      </c>
      <c r="B130" s="45" t="str">
        <f>VLOOKUP(Tabela12[[#This Row],[Painel]],Tabela13[],2,0)</f>
        <v>7HV</v>
      </c>
      <c r="C130" s="45" t="s">
        <v>687</v>
      </c>
      <c r="D130" s="21" t="s">
        <v>1717</v>
      </c>
      <c r="E130" s="21">
        <v>122</v>
      </c>
      <c r="F130" s="27" t="str">
        <f>Tabela12[[#This Row],[Régua]]&amp;" ("&amp;Tabela12[[#This Row],[Born]]&amp;")"</f>
        <v>XE (122)</v>
      </c>
      <c r="G130" s="27">
        <f>LEN(Tabela12[[#This Row],[Anilha]])</f>
        <v>8</v>
      </c>
      <c r="H130" s="21">
        <f>VLOOKUP(Tabela12[[#This Row],[Tag Cabo]],BD!A:F,6,0)</f>
        <v>1</v>
      </c>
      <c r="I130" s="27" t="s">
        <v>1705</v>
      </c>
      <c r="J130" s="27" t="s">
        <v>1706</v>
      </c>
    </row>
    <row r="131" spans="1:10" x14ac:dyDescent="0.25">
      <c r="A131" s="216" t="s">
        <v>692</v>
      </c>
      <c r="B131" s="45" t="str">
        <f>VLOOKUP(Tabela12[[#This Row],[Painel]],Tabela13[],2,0)</f>
        <v>7HV</v>
      </c>
      <c r="C131" s="45" t="s">
        <v>687</v>
      </c>
      <c r="D131" s="21" t="s">
        <v>1717</v>
      </c>
      <c r="E131" s="21">
        <v>123</v>
      </c>
      <c r="F131" s="27" t="str">
        <f>Tabela12[[#This Row],[Régua]]&amp;" ("&amp;Tabela12[[#This Row],[Born]]&amp;")"</f>
        <v>XE (123)</v>
      </c>
      <c r="G131" s="27">
        <f>LEN(Tabela12[[#This Row],[Anilha]])</f>
        <v>8</v>
      </c>
      <c r="H131" s="21">
        <f>VLOOKUP(Tabela12[[#This Row],[Tag Cabo]],BD!A:F,6,0)</f>
        <v>1</v>
      </c>
      <c r="I131" s="27" t="s">
        <v>1705</v>
      </c>
      <c r="J131" s="27" t="s">
        <v>1706</v>
      </c>
    </row>
    <row r="132" spans="1:10" x14ac:dyDescent="0.25">
      <c r="A132" s="216" t="s">
        <v>692</v>
      </c>
      <c r="B132" s="45" t="str">
        <f>VLOOKUP(Tabela12[[#This Row],[Painel]],Tabela13[],2,0)</f>
        <v>CCP</v>
      </c>
      <c r="C132" s="45" t="s">
        <v>690</v>
      </c>
      <c r="D132" s="21" t="s">
        <v>1735</v>
      </c>
      <c r="E132" s="21" t="s">
        <v>1729</v>
      </c>
      <c r="F132" s="27" t="str">
        <f>Tabela12[[#This Row],[Régua]]&amp;" ("&amp;Tabela12[[#This Row],[Born]]&amp;")"</f>
        <v>IG-02 (3+)</v>
      </c>
      <c r="G132" s="27">
        <f>LEN(Tabela12[[#This Row],[Anilha]])</f>
        <v>10</v>
      </c>
      <c r="H132" s="21">
        <f>VLOOKUP(Tabela12[[#This Row],[Tag Cabo]],BD!A:F,6,0)</f>
        <v>1</v>
      </c>
      <c r="I132" s="27" t="s">
        <v>1705</v>
      </c>
      <c r="J132" s="27" t="s">
        <v>1706</v>
      </c>
    </row>
    <row r="133" spans="1:10" x14ac:dyDescent="0.25">
      <c r="A133" s="216" t="s">
        <v>692</v>
      </c>
      <c r="B133" s="45" t="str">
        <f>VLOOKUP(Tabela12[[#This Row],[Painel]],Tabela13[],2,0)</f>
        <v>CCP</v>
      </c>
      <c r="C133" s="45" t="s">
        <v>690</v>
      </c>
      <c r="D133" s="21" t="s">
        <v>1735</v>
      </c>
      <c r="E133" s="21" t="s">
        <v>1730</v>
      </c>
      <c r="F133" s="27" t="str">
        <f>Tabela12[[#This Row],[Régua]]&amp;" ("&amp;Tabela12[[#This Row],[Born]]&amp;")"</f>
        <v>IG-02 (2-)</v>
      </c>
      <c r="G133" s="27">
        <f>LEN(Tabela12[[#This Row],[Anilha]])</f>
        <v>10</v>
      </c>
      <c r="H133" s="21">
        <f>VLOOKUP(Tabela12[[#This Row],[Tag Cabo]],BD!A:F,6,0)</f>
        <v>1</v>
      </c>
      <c r="I133" s="27" t="s">
        <v>1705</v>
      </c>
      <c r="J133" s="27" t="s">
        <v>1706</v>
      </c>
    </row>
    <row r="134" spans="1:10" x14ac:dyDescent="0.25">
      <c r="A134" s="216" t="s">
        <v>694</v>
      </c>
      <c r="B134" s="45" t="str">
        <f>VLOOKUP(Tabela12[[#This Row],[Painel]],Tabela13[],2,0)</f>
        <v>7HV</v>
      </c>
      <c r="C134" s="45" t="s">
        <v>687</v>
      </c>
      <c r="D134" s="21" t="s">
        <v>1717</v>
      </c>
      <c r="E134" s="21">
        <v>114</v>
      </c>
      <c r="F134" s="27" t="str">
        <f>Tabela12[[#This Row],[Régua]]&amp;" ("&amp;Tabela12[[#This Row],[Born]]&amp;")"</f>
        <v>XE (114)</v>
      </c>
      <c r="G134" s="27">
        <f>LEN(Tabela12[[#This Row],[Anilha]])</f>
        <v>8</v>
      </c>
      <c r="H134" s="21">
        <f>VLOOKUP(Tabela12[[#This Row],[Tag Cabo]],BD!A:F,6,0)</f>
        <v>1</v>
      </c>
      <c r="I134" s="27" t="s">
        <v>1705</v>
      </c>
      <c r="J134" s="27" t="s">
        <v>1706</v>
      </c>
    </row>
    <row r="135" spans="1:10" x14ac:dyDescent="0.25">
      <c r="A135" s="216" t="s">
        <v>694</v>
      </c>
      <c r="B135" s="45" t="str">
        <f>VLOOKUP(Tabela12[[#This Row],[Painel]],Tabela13[],2,0)</f>
        <v>7HV</v>
      </c>
      <c r="C135" s="45" t="s">
        <v>687</v>
      </c>
      <c r="D135" s="21" t="s">
        <v>1717</v>
      </c>
      <c r="E135" s="21">
        <v>115</v>
      </c>
      <c r="F135" s="27" t="str">
        <f>Tabela12[[#This Row],[Régua]]&amp;" ("&amp;Tabela12[[#This Row],[Born]]&amp;")"</f>
        <v>XE (115)</v>
      </c>
      <c r="G135" s="27">
        <f>LEN(Tabela12[[#This Row],[Anilha]])</f>
        <v>8</v>
      </c>
      <c r="H135" s="21">
        <f>VLOOKUP(Tabela12[[#This Row],[Tag Cabo]],BD!A:F,6,0)</f>
        <v>1</v>
      </c>
      <c r="I135" s="27" t="s">
        <v>1705</v>
      </c>
      <c r="J135" s="27" t="s">
        <v>1706</v>
      </c>
    </row>
    <row r="136" spans="1:10" x14ac:dyDescent="0.25">
      <c r="A136" s="216" t="s">
        <v>694</v>
      </c>
      <c r="B136" s="45" t="str">
        <f>VLOOKUP(Tabela12[[#This Row],[Painel]],Tabela13[],2,0)</f>
        <v>CCP</v>
      </c>
      <c r="C136" s="45" t="s">
        <v>690</v>
      </c>
      <c r="D136" s="21" t="s">
        <v>1736</v>
      </c>
      <c r="E136" s="21" t="s">
        <v>1729</v>
      </c>
      <c r="F136" s="27" t="str">
        <f>Tabela12[[#This Row],[Régua]]&amp;" ("&amp;Tabela12[[#This Row],[Born]]&amp;")"</f>
        <v>IG-11 (3+)</v>
      </c>
      <c r="G136" s="27">
        <f>LEN(Tabela12[[#This Row],[Anilha]])</f>
        <v>10</v>
      </c>
      <c r="H136" s="21">
        <f>VLOOKUP(Tabela12[[#This Row],[Tag Cabo]],BD!A:F,6,0)</f>
        <v>1</v>
      </c>
      <c r="I136" s="27" t="s">
        <v>1705</v>
      </c>
      <c r="J136" s="27" t="s">
        <v>1706</v>
      </c>
    </row>
    <row r="137" spans="1:10" x14ac:dyDescent="0.25">
      <c r="A137" s="216" t="s">
        <v>694</v>
      </c>
      <c r="B137" s="45" t="str">
        <f>VLOOKUP(Tabela12[[#This Row],[Painel]],Tabela13[],2,0)</f>
        <v>CCP</v>
      </c>
      <c r="C137" s="45" t="s">
        <v>690</v>
      </c>
      <c r="D137" s="21" t="s">
        <v>1736</v>
      </c>
      <c r="E137" s="21" t="s">
        <v>1730</v>
      </c>
      <c r="F137" s="27" t="str">
        <f>Tabela12[[#This Row],[Régua]]&amp;" ("&amp;Tabela12[[#This Row],[Born]]&amp;")"</f>
        <v>IG-11 (2-)</v>
      </c>
      <c r="G137" s="27">
        <f>LEN(Tabela12[[#This Row],[Anilha]])</f>
        <v>10</v>
      </c>
      <c r="H137" s="21">
        <f>VLOOKUP(Tabela12[[#This Row],[Tag Cabo]],BD!A:F,6,0)</f>
        <v>1</v>
      </c>
      <c r="I137" s="27" t="s">
        <v>1705</v>
      </c>
      <c r="J137" s="27" t="s">
        <v>1706</v>
      </c>
    </row>
    <row r="138" spans="1:10" x14ac:dyDescent="0.25">
      <c r="A138" s="216" t="s">
        <v>1161</v>
      </c>
      <c r="B138" s="45" t="str">
        <f>VLOOKUP(Tabela12[[#This Row],[Painel]],Tabela13[],2,0)</f>
        <v>GB-351</v>
      </c>
      <c r="C138" s="45" t="s">
        <v>1162</v>
      </c>
      <c r="D138" s="21" t="s">
        <v>1737</v>
      </c>
      <c r="E138" s="21">
        <v>1</v>
      </c>
      <c r="F138" s="27" t="str">
        <f>Tabela12[[#This Row],[Régua]]&amp;" ("&amp;Tabela12[[#This Row],[Born]]&amp;")"</f>
        <v>TB2 (1)</v>
      </c>
      <c r="G138" s="27">
        <f>LEN(Tabela12[[#This Row],[Anilha]])</f>
        <v>7</v>
      </c>
      <c r="H138" s="21">
        <f>VLOOKUP(Tabela12[[#This Row],[Tag Cabo]],BD!A:F,6,0)</f>
        <v>1</v>
      </c>
      <c r="I138" s="27" t="s">
        <v>1705</v>
      </c>
      <c r="J138" s="27" t="s">
        <v>1706</v>
      </c>
    </row>
    <row r="139" spans="1:10" x14ac:dyDescent="0.25">
      <c r="A139" s="216" t="s">
        <v>1161</v>
      </c>
      <c r="B139" s="45" t="str">
        <f>VLOOKUP(Tabela12[[#This Row],[Painel]],Tabela13[],2,0)</f>
        <v>GB-351</v>
      </c>
      <c r="C139" s="45" t="s">
        <v>1162</v>
      </c>
      <c r="D139" s="21" t="s">
        <v>1737</v>
      </c>
      <c r="E139" s="21">
        <v>2</v>
      </c>
      <c r="F139" s="27" t="str">
        <f>Tabela12[[#This Row],[Régua]]&amp;" ("&amp;Tabela12[[#This Row],[Born]]&amp;")"</f>
        <v>TB2 (2)</v>
      </c>
      <c r="G139" s="27">
        <f>LEN(Tabela12[[#This Row],[Anilha]])</f>
        <v>7</v>
      </c>
      <c r="H139" s="21">
        <f>VLOOKUP(Tabela12[[#This Row],[Tag Cabo]],BD!A:F,6,0)</f>
        <v>1</v>
      </c>
      <c r="I139" s="27" t="s">
        <v>1705</v>
      </c>
      <c r="J139" s="27" t="s">
        <v>1706</v>
      </c>
    </row>
    <row r="140" spans="1:10" x14ac:dyDescent="0.25">
      <c r="A140" s="216" t="s">
        <v>1161</v>
      </c>
      <c r="B140" s="45" t="str">
        <f>VLOOKUP(Tabela12[[#This Row],[Painel]],Tabela13[],2,0)</f>
        <v>CCP</v>
      </c>
      <c r="C140" s="45" t="s">
        <v>1592</v>
      </c>
      <c r="D140" s="21" t="s">
        <v>1738</v>
      </c>
      <c r="E140" s="21">
        <v>1</v>
      </c>
      <c r="F140" s="27" t="str">
        <f>Tabela12[[#This Row],[Régua]]&amp;" ("&amp;Tabela12[[#This Row],[Born]]&amp;")"</f>
        <v>RBI-SI-7 (1)</v>
      </c>
      <c r="G140" s="27">
        <f>LEN(Tabela12[[#This Row],[Anilha]])</f>
        <v>12</v>
      </c>
      <c r="H140" s="21">
        <f>VLOOKUP(Tabela12[[#This Row],[Tag Cabo]],BD!A:F,6,0)</f>
        <v>1</v>
      </c>
      <c r="I140" s="27" t="s">
        <v>1705</v>
      </c>
      <c r="J140" s="27" t="s">
        <v>1706</v>
      </c>
    </row>
    <row r="141" spans="1:10" x14ac:dyDescent="0.25">
      <c r="A141" s="216" t="s">
        <v>1161</v>
      </c>
      <c r="B141" s="45" t="str">
        <f>VLOOKUP(Tabela12[[#This Row],[Painel]],Tabela13[],2,0)</f>
        <v>CCP</v>
      </c>
      <c r="C141" s="45" t="s">
        <v>1592</v>
      </c>
      <c r="D141" s="21" t="s">
        <v>1738</v>
      </c>
      <c r="E141" s="21">
        <v>2</v>
      </c>
      <c r="F141" s="27" t="str">
        <f>Tabela12[[#This Row],[Régua]]&amp;" ("&amp;Tabela12[[#This Row],[Born]]&amp;")"</f>
        <v>RBI-SI-7 (2)</v>
      </c>
      <c r="G141" s="27">
        <f>LEN(Tabela12[[#This Row],[Anilha]])</f>
        <v>12</v>
      </c>
      <c r="H141" s="21">
        <f>VLOOKUP(Tabela12[[#This Row],[Tag Cabo]],BD!A:F,6,0)</f>
        <v>1</v>
      </c>
      <c r="I141" s="27" t="s">
        <v>1705</v>
      </c>
      <c r="J141" s="27" t="s">
        <v>1706</v>
      </c>
    </row>
    <row r="142" spans="1:10" x14ac:dyDescent="0.25">
      <c r="A142" s="216" t="s">
        <v>1161</v>
      </c>
      <c r="B142" s="45" t="str">
        <f>VLOOKUP(Tabela12[[#This Row],[Painel]],Tabela13[],2,0)</f>
        <v>GB-351</v>
      </c>
      <c r="C142" s="45" t="s">
        <v>1162</v>
      </c>
      <c r="D142" s="21" t="s">
        <v>1737</v>
      </c>
      <c r="E142" s="21">
        <v>5</v>
      </c>
      <c r="F142" s="27" t="str">
        <f>Tabela12[[#This Row],[Régua]]&amp;" ("&amp;Tabela12[[#This Row],[Born]]&amp;")"</f>
        <v>TB2 (5)</v>
      </c>
      <c r="G142" s="27">
        <f>LEN(Tabela12[[#This Row],[Anilha]])</f>
        <v>7</v>
      </c>
      <c r="H142" s="21">
        <f>VLOOKUP(Tabela12[[#This Row],[Tag Cabo]],BD!A:F,6,0)</f>
        <v>1</v>
      </c>
      <c r="I142" s="27" t="s">
        <v>1705</v>
      </c>
      <c r="J142" s="27" t="s">
        <v>1706</v>
      </c>
    </row>
    <row r="143" spans="1:10" x14ac:dyDescent="0.25">
      <c r="A143" s="216" t="s">
        <v>1161</v>
      </c>
      <c r="B143" s="45" t="str">
        <f>VLOOKUP(Tabela12[[#This Row],[Painel]],Tabela13[],2,0)</f>
        <v>GB-351</v>
      </c>
      <c r="C143" s="45" t="s">
        <v>1162</v>
      </c>
      <c r="D143" s="21" t="s">
        <v>1737</v>
      </c>
      <c r="E143" s="21">
        <v>6</v>
      </c>
      <c r="F143" s="27" t="str">
        <f>Tabela12[[#This Row],[Régua]]&amp;" ("&amp;Tabela12[[#This Row],[Born]]&amp;")"</f>
        <v>TB2 (6)</v>
      </c>
      <c r="G143" s="27">
        <f>LEN(Tabela12[[#This Row],[Anilha]])</f>
        <v>7</v>
      </c>
      <c r="H143" s="21">
        <f>VLOOKUP(Tabela12[[#This Row],[Tag Cabo]],BD!A:F,6,0)</f>
        <v>1</v>
      </c>
      <c r="I143" s="27" t="s">
        <v>1705</v>
      </c>
      <c r="J143" s="27" t="s">
        <v>1706</v>
      </c>
    </row>
    <row r="144" spans="1:10" x14ac:dyDescent="0.25">
      <c r="A144" s="216" t="s">
        <v>1161</v>
      </c>
      <c r="B144" s="45" t="str">
        <f>VLOOKUP(Tabela12[[#This Row],[Painel]],Tabela13[],2,0)</f>
        <v>CCP</v>
      </c>
      <c r="C144" s="45" t="s">
        <v>1592</v>
      </c>
      <c r="D144" s="21" t="s">
        <v>1738</v>
      </c>
      <c r="E144" s="21">
        <v>5</v>
      </c>
      <c r="F144" s="27" t="str">
        <f>Tabela12[[#This Row],[Régua]]&amp;" ("&amp;Tabela12[[#This Row],[Born]]&amp;")"</f>
        <v>RBI-SI-7 (5)</v>
      </c>
      <c r="G144" s="27">
        <f>LEN(Tabela12[[#This Row],[Anilha]])</f>
        <v>12</v>
      </c>
      <c r="H144" s="21">
        <f>VLOOKUP(Tabela12[[#This Row],[Tag Cabo]],BD!A:F,6,0)</f>
        <v>1</v>
      </c>
      <c r="I144" s="27" t="s">
        <v>1705</v>
      </c>
      <c r="J144" s="27" t="s">
        <v>1706</v>
      </c>
    </row>
    <row r="145" spans="1:10" x14ac:dyDescent="0.25">
      <c r="A145" s="216" t="s">
        <v>1161</v>
      </c>
      <c r="B145" s="45" t="str">
        <f>VLOOKUP(Tabela12[[#This Row],[Painel]],Tabela13[],2,0)</f>
        <v>CCP</v>
      </c>
      <c r="C145" s="45" t="s">
        <v>1592</v>
      </c>
      <c r="D145" s="21" t="s">
        <v>1738</v>
      </c>
      <c r="E145" s="21">
        <v>6</v>
      </c>
      <c r="F145" s="27" t="str">
        <f>Tabela12[[#This Row],[Régua]]&amp;" ("&amp;Tabela12[[#This Row],[Born]]&amp;")"</f>
        <v>RBI-SI-7 (6)</v>
      </c>
      <c r="G145" s="27">
        <f>LEN(Tabela12[[#This Row],[Anilha]])</f>
        <v>12</v>
      </c>
      <c r="H145" s="21">
        <f>VLOOKUP(Tabela12[[#This Row],[Tag Cabo]],BD!A:F,6,0)</f>
        <v>1</v>
      </c>
      <c r="I145" s="27" t="s">
        <v>1705</v>
      </c>
      <c r="J145" s="27" t="s">
        <v>1706</v>
      </c>
    </row>
    <row r="146" spans="1:10" x14ac:dyDescent="0.25">
      <c r="A146" s="216" t="s">
        <v>1161</v>
      </c>
      <c r="B146" s="45" t="str">
        <f>VLOOKUP(Tabela12[[#This Row],[Painel]],Tabela13[],2,0)</f>
        <v>GB-351</v>
      </c>
      <c r="C146" s="45" t="s">
        <v>1162</v>
      </c>
      <c r="D146" s="21" t="s">
        <v>1737</v>
      </c>
      <c r="E146" s="21">
        <v>9</v>
      </c>
      <c r="F146" s="27" t="str">
        <f>Tabela12[[#This Row],[Régua]]&amp;" ("&amp;Tabela12[[#This Row],[Born]]&amp;")"</f>
        <v>TB2 (9)</v>
      </c>
      <c r="G146" s="27">
        <f>LEN(Tabela12[[#This Row],[Anilha]])</f>
        <v>7</v>
      </c>
      <c r="H146" s="21">
        <f>VLOOKUP(Tabela12[[#This Row],[Tag Cabo]],BD!A:F,6,0)</f>
        <v>1</v>
      </c>
      <c r="I146" s="27" t="s">
        <v>1705</v>
      </c>
      <c r="J146" s="27" t="s">
        <v>1706</v>
      </c>
    </row>
    <row r="147" spans="1:10" x14ac:dyDescent="0.25">
      <c r="A147" s="216" t="s">
        <v>1161</v>
      </c>
      <c r="B147" s="45" t="str">
        <f>VLOOKUP(Tabela12[[#This Row],[Painel]],Tabela13[],2,0)</f>
        <v>GB-351</v>
      </c>
      <c r="C147" s="45" t="s">
        <v>1162</v>
      </c>
      <c r="D147" s="21" t="s">
        <v>1737</v>
      </c>
      <c r="E147" s="21">
        <v>10</v>
      </c>
      <c r="F147" s="27" t="str">
        <f>Tabela12[[#This Row],[Régua]]&amp;" ("&amp;Tabela12[[#This Row],[Born]]&amp;")"</f>
        <v>TB2 (10)</v>
      </c>
      <c r="G147" s="27">
        <f>LEN(Tabela12[[#This Row],[Anilha]])</f>
        <v>8</v>
      </c>
      <c r="H147" s="21">
        <f>VLOOKUP(Tabela12[[#This Row],[Tag Cabo]],BD!A:F,6,0)</f>
        <v>1</v>
      </c>
      <c r="I147" s="27" t="s">
        <v>1705</v>
      </c>
      <c r="J147" s="27" t="s">
        <v>1706</v>
      </c>
    </row>
    <row r="148" spans="1:10" x14ac:dyDescent="0.25">
      <c r="A148" s="216" t="s">
        <v>1161</v>
      </c>
      <c r="B148" s="45" t="str">
        <f>VLOOKUP(Tabela12[[#This Row],[Painel]],Tabela13[],2,0)</f>
        <v>CCP</v>
      </c>
      <c r="C148" s="45" t="s">
        <v>1592</v>
      </c>
      <c r="D148" s="21" t="s">
        <v>1738</v>
      </c>
      <c r="E148" s="21">
        <v>9</v>
      </c>
      <c r="F148" s="27" t="str">
        <f>Tabela12[[#This Row],[Régua]]&amp;" ("&amp;Tabela12[[#This Row],[Born]]&amp;")"</f>
        <v>RBI-SI-7 (9)</v>
      </c>
      <c r="G148" s="27">
        <f>LEN(Tabela12[[#This Row],[Anilha]])</f>
        <v>12</v>
      </c>
      <c r="H148" s="21">
        <f>VLOOKUP(Tabela12[[#This Row],[Tag Cabo]],BD!A:F,6,0)</f>
        <v>1</v>
      </c>
      <c r="I148" s="27" t="s">
        <v>1705</v>
      </c>
      <c r="J148" s="27" t="s">
        <v>1706</v>
      </c>
    </row>
    <row r="149" spans="1:10" x14ac:dyDescent="0.25">
      <c r="A149" s="216" t="s">
        <v>1161</v>
      </c>
      <c r="B149" s="45" t="str">
        <f>VLOOKUP(Tabela12[[#This Row],[Painel]],Tabela13[],2,0)</f>
        <v>CCP</v>
      </c>
      <c r="C149" s="45" t="s">
        <v>1592</v>
      </c>
      <c r="D149" s="21" t="s">
        <v>1738</v>
      </c>
      <c r="E149" s="21">
        <v>10</v>
      </c>
      <c r="F149" s="27" t="str">
        <f>Tabela12[[#This Row],[Régua]]&amp;" ("&amp;Tabela12[[#This Row],[Born]]&amp;")"</f>
        <v>RBI-SI-7 (10)</v>
      </c>
      <c r="G149" s="27">
        <f>LEN(Tabela12[[#This Row],[Anilha]])</f>
        <v>13</v>
      </c>
      <c r="H149" s="21">
        <f>VLOOKUP(Tabela12[[#This Row],[Tag Cabo]],BD!A:F,6,0)</f>
        <v>1</v>
      </c>
      <c r="I149" s="27" t="s">
        <v>1705</v>
      </c>
      <c r="J149" s="27" t="s">
        <v>1706</v>
      </c>
    </row>
    <row r="150" spans="1:10" x14ac:dyDescent="0.25">
      <c r="A150" s="216" t="s">
        <v>1161</v>
      </c>
      <c r="B150" s="45" t="str">
        <f>VLOOKUP(Tabela12[[#This Row],[Painel]],Tabela13[],2,0)</f>
        <v>GB-351</v>
      </c>
      <c r="C150" s="45" t="s">
        <v>1162</v>
      </c>
      <c r="D150" s="21" t="s">
        <v>1737</v>
      </c>
      <c r="E150" s="21">
        <v>11</v>
      </c>
      <c r="F150" s="27" t="str">
        <f>Tabela12[[#This Row],[Régua]]&amp;" ("&amp;Tabela12[[#This Row],[Born]]&amp;")"</f>
        <v>TB2 (11)</v>
      </c>
      <c r="G150" s="27">
        <f>LEN(Tabela12[[#This Row],[Anilha]])</f>
        <v>8</v>
      </c>
      <c r="H150" s="21">
        <f>VLOOKUP(Tabela12[[#This Row],[Tag Cabo]],BD!A:F,6,0)</f>
        <v>1</v>
      </c>
      <c r="I150" s="27" t="s">
        <v>1705</v>
      </c>
      <c r="J150" s="27" t="s">
        <v>1706</v>
      </c>
    </row>
    <row r="151" spans="1:10" x14ac:dyDescent="0.25">
      <c r="A151" s="216" t="s">
        <v>1161</v>
      </c>
      <c r="B151" s="45" t="str">
        <f>VLOOKUP(Tabela12[[#This Row],[Painel]],Tabela13[],2,0)</f>
        <v>GB-351</v>
      </c>
      <c r="C151" s="45" t="s">
        <v>1162</v>
      </c>
      <c r="D151" s="21" t="s">
        <v>1737</v>
      </c>
      <c r="E151" s="21">
        <v>12</v>
      </c>
      <c r="F151" s="27" t="str">
        <f>Tabela12[[#This Row],[Régua]]&amp;" ("&amp;Tabela12[[#This Row],[Born]]&amp;")"</f>
        <v>TB2 (12)</v>
      </c>
      <c r="G151" s="27">
        <f>LEN(Tabela12[[#This Row],[Anilha]])</f>
        <v>8</v>
      </c>
      <c r="H151" s="21">
        <f>VLOOKUP(Tabela12[[#This Row],[Tag Cabo]],BD!A:F,6,0)</f>
        <v>1</v>
      </c>
      <c r="I151" s="27" t="s">
        <v>1705</v>
      </c>
      <c r="J151" s="27" t="s">
        <v>1706</v>
      </c>
    </row>
    <row r="152" spans="1:10" x14ac:dyDescent="0.25">
      <c r="A152" s="216" t="s">
        <v>1161</v>
      </c>
      <c r="B152" s="45" t="str">
        <f>VLOOKUP(Tabela12[[#This Row],[Painel]],Tabela13[],2,0)</f>
        <v>CCP</v>
      </c>
      <c r="C152" s="45" t="s">
        <v>1592</v>
      </c>
      <c r="D152" s="21" t="s">
        <v>1738</v>
      </c>
      <c r="E152" s="21">
        <v>11</v>
      </c>
      <c r="F152" s="27" t="str">
        <f>Tabela12[[#This Row],[Régua]]&amp;" ("&amp;Tabela12[[#This Row],[Born]]&amp;")"</f>
        <v>RBI-SI-7 (11)</v>
      </c>
      <c r="G152" s="27">
        <f>LEN(Tabela12[[#This Row],[Anilha]])</f>
        <v>13</v>
      </c>
      <c r="H152" s="21">
        <f>VLOOKUP(Tabela12[[#This Row],[Tag Cabo]],BD!A:F,6,0)</f>
        <v>1</v>
      </c>
      <c r="I152" s="27" t="s">
        <v>1705</v>
      </c>
      <c r="J152" s="27" t="s">
        <v>1706</v>
      </c>
    </row>
    <row r="153" spans="1:10" x14ac:dyDescent="0.25">
      <c r="A153" s="216" t="s">
        <v>1161</v>
      </c>
      <c r="B153" s="45" t="str">
        <f>VLOOKUP(Tabela12[[#This Row],[Painel]],Tabela13[],2,0)</f>
        <v>CCP</v>
      </c>
      <c r="C153" s="45" t="s">
        <v>1592</v>
      </c>
      <c r="D153" s="21" t="s">
        <v>1738</v>
      </c>
      <c r="E153" s="21">
        <v>12</v>
      </c>
      <c r="F153" s="27" t="str">
        <f>Tabela12[[#This Row],[Régua]]&amp;" ("&amp;Tabela12[[#This Row],[Born]]&amp;")"</f>
        <v>RBI-SI-7 (12)</v>
      </c>
      <c r="G153" s="27">
        <f>LEN(Tabela12[[#This Row],[Anilha]])</f>
        <v>13</v>
      </c>
      <c r="H153" s="21">
        <f>VLOOKUP(Tabela12[[#This Row],[Tag Cabo]],BD!A:F,6,0)</f>
        <v>1</v>
      </c>
      <c r="I153" s="27" t="s">
        <v>1705</v>
      </c>
      <c r="J153" s="27" t="s">
        <v>1706</v>
      </c>
    </row>
    <row r="154" spans="1:10" x14ac:dyDescent="0.25">
      <c r="A154" s="216" t="s">
        <v>1161</v>
      </c>
      <c r="B154" s="45" t="str">
        <f>VLOOKUP(Tabela12[[#This Row],[Painel]],Tabela13[],2,0)</f>
        <v>GB-351</v>
      </c>
      <c r="C154" s="45" t="s">
        <v>1162</v>
      </c>
      <c r="D154" s="21" t="s">
        <v>1737</v>
      </c>
      <c r="E154" s="21">
        <v>3</v>
      </c>
      <c r="F154" s="27" t="str">
        <f>Tabela12[[#This Row],[Régua]]&amp;" ("&amp;Tabela12[[#This Row],[Born]]&amp;")"</f>
        <v>TB2 (3)</v>
      </c>
      <c r="G154" s="27">
        <f>LEN(Tabela12[[#This Row],[Anilha]])</f>
        <v>7</v>
      </c>
      <c r="H154" s="21">
        <f>VLOOKUP(Tabela12[[#This Row],[Tag Cabo]],BD!A:F,6,0)</f>
        <v>1</v>
      </c>
      <c r="I154" s="27" t="s">
        <v>1705</v>
      </c>
      <c r="J154" s="27" t="s">
        <v>1706</v>
      </c>
    </row>
    <row r="155" spans="1:10" x14ac:dyDescent="0.25">
      <c r="A155" s="216" t="s">
        <v>1161</v>
      </c>
      <c r="B155" s="45" t="str">
        <f>VLOOKUP(Tabela12[[#This Row],[Painel]],Tabela13[],2,0)</f>
        <v>GB-351</v>
      </c>
      <c r="C155" s="45" t="s">
        <v>1162</v>
      </c>
      <c r="D155" s="21" t="s">
        <v>1737</v>
      </c>
      <c r="E155" s="21">
        <v>4</v>
      </c>
      <c r="F155" s="27" t="str">
        <f>Tabela12[[#This Row],[Régua]]&amp;" ("&amp;Tabela12[[#This Row],[Born]]&amp;")"</f>
        <v>TB2 (4)</v>
      </c>
      <c r="G155" s="27">
        <f>LEN(Tabela12[[#This Row],[Anilha]])</f>
        <v>7</v>
      </c>
      <c r="H155" s="21">
        <f>VLOOKUP(Tabela12[[#This Row],[Tag Cabo]],BD!A:F,6,0)</f>
        <v>1</v>
      </c>
      <c r="I155" s="27" t="s">
        <v>1705</v>
      </c>
      <c r="J155" s="27" t="s">
        <v>1706</v>
      </c>
    </row>
    <row r="156" spans="1:10" x14ac:dyDescent="0.25">
      <c r="A156" s="216" t="s">
        <v>1161</v>
      </c>
      <c r="B156" s="45" t="str">
        <f>VLOOKUP(Tabela12[[#This Row],[Painel]],Tabela13[],2,0)</f>
        <v>CCP</v>
      </c>
      <c r="C156" s="45" t="s">
        <v>1592</v>
      </c>
      <c r="D156" s="21" t="s">
        <v>1738</v>
      </c>
      <c r="E156" s="21">
        <v>3</v>
      </c>
      <c r="F156" s="27" t="str">
        <f>Tabela12[[#This Row],[Régua]]&amp;" ("&amp;Tabela12[[#This Row],[Born]]&amp;")"</f>
        <v>RBI-SI-7 (3)</v>
      </c>
      <c r="G156" s="27">
        <f>LEN(Tabela12[[#This Row],[Anilha]])</f>
        <v>12</v>
      </c>
      <c r="H156" s="21">
        <f>VLOOKUP(Tabela12[[#This Row],[Tag Cabo]],BD!A:F,6,0)</f>
        <v>1</v>
      </c>
      <c r="I156" s="27" t="s">
        <v>1705</v>
      </c>
      <c r="J156" s="27" t="s">
        <v>1706</v>
      </c>
    </row>
    <row r="157" spans="1:10" x14ac:dyDescent="0.25">
      <c r="A157" s="216" t="s">
        <v>1161</v>
      </c>
      <c r="B157" s="45" t="str">
        <f>VLOOKUP(Tabela12[[#This Row],[Painel]],Tabela13[],2,0)</f>
        <v>CCP</v>
      </c>
      <c r="C157" s="45" t="s">
        <v>1592</v>
      </c>
      <c r="D157" s="21" t="s">
        <v>1738</v>
      </c>
      <c r="E157" s="21">
        <v>4</v>
      </c>
      <c r="F157" s="27" t="str">
        <f>Tabela12[[#This Row],[Régua]]&amp;" ("&amp;Tabela12[[#This Row],[Born]]&amp;")"</f>
        <v>RBI-SI-7 (4)</v>
      </c>
      <c r="G157" s="27">
        <f>LEN(Tabela12[[#This Row],[Anilha]])</f>
        <v>12</v>
      </c>
      <c r="H157" s="21">
        <f>VLOOKUP(Tabela12[[#This Row],[Tag Cabo]],BD!A:F,6,0)</f>
        <v>1</v>
      </c>
      <c r="I157" s="27" t="s">
        <v>1705</v>
      </c>
      <c r="J157" s="27" t="s">
        <v>1706</v>
      </c>
    </row>
    <row r="158" spans="1:10" x14ac:dyDescent="0.25">
      <c r="A158" s="216" t="s">
        <v>1079</v>
      </c>
      <c r="B158" s="45" t="str">
        <f>VLOOKUP(Tabela12[[#This Row],[Painel]],Tabela13[],2,0)</f>
        <v>CCP</v>
      </c>
      <c r="C158" s="45" t="s">
        <v>1592</v>
      </c>
      <c r="D158" s="21" t="s">
        <v>1739</v>
      </c>
      <c r="E158" s="21">
        <v>1</v>
      </c>
      <c r="F158" s="27" t="str">
        <f>Tabela12[[#This Row],[Régua]]&amp;" ("&amp;Tabela12[[#This Row],[Born]]&amp;")"</f>
        <v>RB-NSI-7 (1)</v>
      </c>
      <c r="G158" s="27">
        <f>LEN(Tabela12[[#This Row],[Anilha]])</f>
        <v>12</v>
      </c>
      <c r="H158" s="21">
        <f>VLOOKUP(Tabela12[[#This Row],[Tag Cabo]],BD!A:F,6,0)</f>
        <v>1</v>
      </c>
      <c r="I158" s="27" t="s">
        <v>1705</v>
      </c>
      <c r="J158" s="27" t="s">
        <v>1706</v>
      </c>
    </row>
    <row r="159" spans="1:10" x14ac:dyDescent="0.25">
      <c r="A159" s="216" t="s">
        <v>1079</v>
      </c>
      <c r="B159" s="45" t="str">
        <f>VLOOKUP(Tabela12[[#This Row],[Painel]],Tabela13[],2,0)</f>
        <v>CCP</v>
      </c>
      <c r="C159" s="45" t="s">
        <v>1592</v>
      </c>
      <c r="D159" s="21" t="s">
        <v>1739</v>
      </c>
      <c r="E159" s="21">
        <v>2</v>
      </c>
      <c r="F159" s="27" t="str">
        <f>Tabela12[[#This Row],[Régua]]&amp;" ("&amp;Tabela12[[#This Row],[Born]]&amp;")"</f>
        <v>RB-NSI-7 (2)</v>
      </c>
      <c r="G159" s="27">
        <f>LEN(Tabela12[[#This Row],[Anilha]])</f>
        <v>12</v>
      </c>
      <c r="H159" s="21">
        <f>VLOOKUP(Tabela12[[#This Row],[Tag Cabo]],BD!A:F,6,0)</f>
        <v>1</v>
      </c>
      <c r="I159" s="27" t="s">
        <v>1705</v>
      </c>
      <c r="J159" s="27" t="s">
        <v>1706</v>
      </c>
    </row>
    <row r="160" spans="1:10" x14ac:dyDescent="0.25">
      <c r="A160" s="216" t="s">
        <v>1079</v>
      </c>
      <c r="B160" s="45" t="str">
        <f>VLOOKUP(Tabela12[[#This Row],[Painel]],Tabela13[],2,0)</f>
        <v>CCP</v>
      </c>
      <c r="C160" s="45" t="s">
        <v>679</v>
      </c>
      <c r="D160" s="21" t="s">
        <v>1704</v>
      </c>
      <c r="E160" s="21" t="s">
        <v>1740</v>
      </c>
      <c r="F160" s="27" t="str">
        <f>Tabela12[[#This Row],[Régua]]&amp;" ("&amp;Tabela12[[#This Row],[Born]]&amp;")"</f>
        <v>X1 (31+)</v>
      </c>
      <c r="G160" s="27">
        <f>LEN(Tabela12[[#This Row],[Anilha]])</f>
        <v>8</v>
      </c>
      <c r="H160" s="21">
        <f>VLOOKUP(Tabela12[[#This Row],[Tag Cabo]],BD!A:F,6,0)</f>
        <v>1</v>
      </c>
      <c r="I160" s="27" t="s">
        <v>1705</v>
      </c>
      <c r="J160" s="27" t="s">
        <v>1706</v>
      </c>
    </row>
    <row r="161" spans="1:10" x14ac:dyDescent="0.25">
      <c r="A161" s="216" t="s">
        <v>1079</v>
      </c>
      <c r="B161" s="45" t="str">
        <f>VLOOKUP(Tabela12[[#This Row],[Painel]],Tabela13[],2,0)</f>
        <v>CCP</v>
      </c>
      <c r="C161" s="45" t="s">
        <v>679</v>
      </c>
      <c r="D161" s="21" t="s">
        <v>1704</v>
      </c>
      <c r="E161" s="21" t="s">
        <v>1741</v>
      </c>
      <c r="F161" s="27" t="str">
        <f>Tabela12[[#This Row],[Régua]]&amp;" ("&amp;Tabela12[[#This Row],[Born]]&amp;")"</f>
        <v>X1 (31-)</v>
      </c>
      <c r="G161" s="27">
        <f>LEN(Tabela12[[#This Row],[Anilha]])</f>
        <v>8</v>
      </c>
      <c r="H161" s="21">
        <f>VLOOKUP(Tabela12[[#This Row],[Tag Cabo]],BD!A:F,6,0)</f>
        <v>1</v>
      </c>
      <c r="I161" s="27" t="s">
        <v>1705</v>
      </c>
      <c r="J161" s="27" t="s">
        <v>1706</v>
      </c>
    </row>
    <row r="162" spans="1:10" x14ac:dyDescent="0.25">
      <c r="A162" s="216" t="s">
        <v>1079</v>
      </c>
      <c r="B162" s="45" t="str">
        <f>VLOOKUP(Tabela12[[#This Row],[Painel]],Tabela13[],2,0)</f>
        <v>CCP</v>
      </c>
      <c r="C162" s="45" t="s">
        <v>1592</v>
      </c>
      <c r="D162" s="21" t="s">
        <v>1739</v>
      </c>
      <c r="E162" s="21">
        <v>5</v>
      </c>
      <c r="F162" s="27" t="str">
        <f>Tabela12[[#This Row],[Régua]]&amp;" ("&amp;Tabela12[[#This Row],[Born]]&amp;")"</f>
        <v>RB-NSI-7 (5)</v>
      </c>
      <c r="G162" s="27">
        <f>LEN(Tabela12[[#This Row],[Anilha]])</f>
        <v>12</v>
      </c>
      <c r="H162" s="21">
        <f>VLOOKUP(Tabela12[[#This Row],[Tag Cabo]],BD!A:F,6,0)</f>
        <v>1</v>
      </c>
      <c r="I162" s="27" t="s">
        <v>1705</v>
      </c>
      <c r="J162" s="27" t="s">
        <v>1706</v>
      </c>
    </row>
    <row r="163" spans="1:10" x14ac:dyDescent="0.25">
      <c r="A163" s="216" t="s">
        <v>1079</v>
      </c>
      <c r="B163" s="45" t="str">
        <f>VLOOKUP(Tabela12[[#This Row],[Painel]],Tabela13[],2,0)</f>
        <v>CCP</v>
      </c>
      <c r="C163" s="45" t="s">
        <v>1592</v>
      </c>
      <c r="D163" s="21" t="s">
        <v>1739</v>
      </c>
      <c r="E163" s="21">
        <v>6</v>
      </c>
      <c r="F163" s="27" t="str">
        <f>Tabela12[[#This Row],[Régua]]&amp;" ("&amp;Tabela12[[#This Row],[Born]]&amp;")"</f>
        <v>RB-NSI-7 (6)</v>
      </c>
      <c r="G163" s="27">
        <f>LEN(Tabela12[[#This Row],[Anilha]])</f>
        <v>12</v>
      </c>
      <c r="H163" s="21">
        <f>VLOOKUP(Tabela12[[#This Row],[Tag Cabo]],BD!A:F,6,0)</f>
        <v>1</v>
      </c>
      <c r="I163" s="27" t="s">
        <v>1705</v>
      </c>
      <c r="J163" s="27" t="s">
        <v>1706</v>
      </c>
    </row>
    <row r="164" spans="1:10" x14ac:dyDescent="0.25">
      <c r="A164" s="216" t="s">
        <v>1079</v>
      </c>
      <c r="B164" s="45" t="str">
        <f>VLOOKUP(Tabela12[[#This Row],[Painel]],Tabela13[],2,0)</f>
        <v>CCP</v>
      </c>
      <c r="C164" s="45" t="s">
        <v>679</v>
      </c>
      <c r="D164" s="21" t="s">
        <v>1704</v>
      </c>
      <c r="E164" s="21" t="s">
        <v>1742</v>
      </c>
      <c r="F164" s="27" t="str">
        <f>Tabela12[[#This Row],[Régua]]&amp;" ("&amp;Tabela12[[#This Row],[Born]]&amp;")"</f>
        <v>X1 (1+)</v>
      </c>
      <c r="G164" s="27">
        <f>LEN(Tabela12[[#This Row],[Anilha]])</f>
        <v>7</v>
      </c>
      <c r="H164" s="21">
        <f>VLOOKUP(Tabela12[[#This Row],[Tag Cabo]],BD!A:F,6,0)</f>
        <v>1</v>
      </c>
      <c r="I164" s="27" t="s">
        <v>1705</v>
      </c>
      <c r="J164" s="27" t="s">
        <v>1706</v>
      </c>
    </row>
    <row r="165" spans="1:10" x14ac:dyDescent="0.25">
      <c r="A165" s="216" t="s">
        <v>1079</v>
      </c>
      <c r="B165" s="45" t="str">
        <f>VLOOKUP(Tabela12[[#This Row],[Painel]],Tabela13[],2,0)</f>
        <v>CCP</v>
      </c>
      <c r="C165" s="45" t="s">
        <v>679</v>
      </c>
      <c r="D165" s="21" t="s">
        <v>1704</v>
      </c>
      <c r="E165" s="21" t="s">
        <v>1743</v>
      </c>
      <c r="F165" s="27" t="str">
        <f>Tabela12[[#This Row],[Régua]]&amp;" ("&amp;Tabela12[[#This Row],[Born]]&amp;")"</f>
        <v>X1 (1-)</v>
      </c>
      <c r="G165" s="27">
        <f>LEN(Tabela12[[#This Row],[Anilha]])</f>
        <v>7</v>
      </c>
      <c r="H165" s="21">
        <f>VLOOKUP(Tabela12[[#This Row],[Tag Cabo]],BD!A:F,6,0)</f>
        <v>1</v>
      </c>
      <c r="I165" s="27" t="s">
        <v>1705</v>
      </c>
      <c r="J165" s="27" t="s">
        <v>1706</v>
      </c>
    </row>
    <row r="166" spans="1:10" x14ac:dyDescent="0.25">
      <c r="A166" s="216" t="s">
        <v>1079</v>
      </c>
      <c r="B166" s="45" t="str">
        <f>VLOOKUP(Tabela12[[#This Row],[Painel]],Tabela13[],2,0)</f>
        <v>CCP</v>
      </c>
      <c r="C166" s="45" t="s">
        <v>1592</v>
      </c>
      <c r="D166" s="21" t="s">
        <v>1739</v>
      </c>
      <c r="E166" s="21">
        <v>9</v>
      </c>
      <c r="F166" s="27" t="str">
        <f>Tabela12[[#This Row],[Régua]]&amp;" ("&amp;Tabela12[[#This Row],[Born]]&amp;")"</f>
        <v>RB-NSI-7 (9)</v>
      </c>
      <c r="G166" s="27">
        <f>LEN(Tabela12[[#This Row],[Anilha]])</f>
        <v>12</v>
      </c>
      <c r="H166" s="21">
        <f>VLOOKUP(Tabela12[[#This Row],[Tag Cabo]],BD!A:F,6,0)</f>
        <v>1</v>
      </c>
      <c r="I166" s="27" t="s">
        <v>1705</v>
      </c>
      <c r="J166" s="27" t="s">
        <v>1706</v>
      </c>
    </row>
    <row r="167" spans="1:10" x14ac:dyDescent="0.25">
      <c r="A167" s="216" t="s">
        <v>1079</v>
      </c>
      <c r="B167" s="45" t="str">
        <f>VLOOKUP(Tabela12[[#This Row],[Painel]],Tabela13[],2,0)</f>
        <v>CCP</v>
      </c>
      <c r="C167" s="45" t="s">
        <v>1592</v>
      </c>
      <c r="D167" s="21" t="s">
        <v>1739</v>
      </c>
      <c r="E167" s="21">
        <v>10</v>
      </c>
      <c r="F167" s="27" t="str">
        <f>Tabela12[[#This Row],[Régua]]&amp;" ("&amp;Tabela12[[#This Row],[Born]]&amp;")"</f>
        <v>RB-NSI-7 (10)</v>
      </c>
      <c r="G167" s="27">
        <f>LEN(Tabela12[[#This Row],[Anilha]])</f>
        <v>13</v>
      </c>
      <c r="H167" s="21">
        <f>VLOOKUP(Tabela12[[#This Row],[Tag Cabo]],BD!A:F,6,0)</f>
        <v>1</v>
      </c>
      <c r="I167" s="27" t="s">
        <v>1705</v>
      </c>
      <c r="J167" s="27" t="s">
        <v>1706</v>
      </c>
    </row>
    <row r="168" spans="1:10" x14ac:dyDescent="0.25">
      <c r="A168" s="216" t="s">
        <v>1079</v>
      </c>
      <c r="B168" s="45" t="str">
        <f>VLOOKUP(Tabela12[[#This Row],[Painel]],Tabela13[],2,0)</f>
        <v>CCP</v>
      </c>
      <c r="C168" s="45" t="s">
        <v>679</v>
      </c>
      <c r="D168" s="21" t="s">
        <v>1704</v>
      </c>
      <c r="E168" s="21" t="s">
        <v>1729</v>
      </c>
      <c r="F168" s="27" t="str">
        <f>Tabela12[[#This Row],[Régua]]&amp;" ("&amp;Tabela12[[#This Row],[Born]]&amp;")"</f>
        <v>X1 (3+)</v>
      </c>
      <c r="G168" s="27">
        <f>LEN(Tabela12[[#This Row],[Anilha]])</f>
        <v>7</v>
      </c>
      <c r="H168" s="21">
        <f>VLOOKUP(Tabela12[[#This Row],[Tag Cabo]],BD!A:F,6,0)</f>
        <v>1</v>
      </c>
      <c r="I168" s="27" t="s">
        <v>1705</v>
      </c>
      <c r="J168" s="27" t="s">
        <v>1706</v>
      </c>
    </row>
    <row r="169" spans="1:10" x14ac:dyDescent="0.25">
      <c r="A169" s="216" t="s">
        <v>1079</v>
      </c>
      <c r="B169" s="45" t="str">
        <f>VLOOKUP(Tabela12[[#This Row],[Painel]],Tabela13[],2,0)</f>
        <v>CCP</v>
      </c>
      <c r="C169" s="45" t="s">
        <v>679</v>
      </c>
      <c r="D169" s="21" t="s">
        <v>1704</v>
      </c>
      <c r="E169" s="21" t="s">
        <v>1744</v>
      </c>
      <c r="F169" s="27" t="str">
        <f>Tabela12[[#This Row],[Régua]]&amp;" ("&amp;Tabela12[[#This Row],[Born]]&amp;")"</f>
        <v>X1 (4-)</v>
      </c>
      <c r="G169" s="27">
        <f>LEN(Tabela12[[#This Row],[Anilha]])</f>
        <v>7</v>
      </c>
      <c r="H169" s="21">
        <f>VLOOKUP(Tabela12[[#This Row],[Tag Cabo]],BD!A:F,6,0)</f>
        <v>1</v>
      </c>
      <c r="I169" s="27" t="s">
        <v>1705</v>
      </c>
      <c r="J169" s="27" t="s">
        <v>1706</v>
      </c>
    </row>
    <row r="170" spans="1:10" x14ac:dyDescent="0.25">
      <c r="A170" s="216" t="s">
        <v>1079</v>
      </c>
      <c r="B170" s="45" t="str">
        <f>VLOOKUP(Tabela12[[#This Row],[Painel]],Tabela13[],2,0)</f>
        <v>CCP</v>
      </c>
      <c r="C170" s="45" t="s">
        <v>1592</v>
      </c>
      <c r="D170" s="21" t="s">
        <v>1739</v>
      </c>
      <c r="E170" s="21">
        <v>11</v>
      </c>
      <c r="F170" s="27" t="str">
        <f>Tabela12[[#This Row],[Régua]]&amp;" ("&amp;Tabela12[[#This Row],[Born]]&amp;")"</f>
        <v>RB-NSI-7 (11)</v>
      </c>
      <c r="G170" s="27">
        <f>LEN(Tabela12[[#This Row],[Anilha]])</f>
        <v>13</v>
      </c>
      <c r="H170" s="21">
        <f>VLOOKUP(Tabela12[[#This Row],[Tag Cabo]],BD!A:F,6,0)</f>
        <v>1</v>
      </c>
      <c r="I170" s="27" t="s">
        <v>1705</v>
      </c>
      <c r="J170" s="27" t="s">
        <v>1706</v>
      </c>
    </row>
    <row r="171" spans="1:10" x14ac:dyDescent="0.25">
      <c r="A171" s="216" t="s">
        <v>1079</v>
      </c>
      <c r="B171" s="45" t="str">
        <f>VLOOKUP(Tabela12[[#This Row],[Painel]],Tabela13[],2,0)</f>
        <v>CCP</v>
      </c>
      <c r="C171" s="45" t="s">
        <v>1592</v>
      </c>
      <c r="D171" s="21" t="s">
        <v>1739</v>
      </c>
      <c r="E171" s="21">
        <v>12</v>
      </c>
      <c r="F171" s="27" t="str">
        <f>Tabela12[[#This Row],[Régua]]&amp;" ("&amp;Tabela12[[#This Row],[Born]]&amp;")"</f>
        <v>RB-NSI-7 (12)</v>
      </c>
      <c r="G171" s="27">
        <f>LEN(Tabela12[[#This Row],[Anilha]])</f>
        <v>13</v>
      </c>
      <c r="H171" s="21">
        <f>VLOOKUP(Tabela12[[#This Row],[Tag Cabo]],BD!A:F,6,0)</f>
        <v>1</v>
      </c>
      <c r="I171" s="27" t="s">
        <v>1705</v>
      </c>
      <c r="J171" s="27" t="s">
        <v>1706</v>
      </c>
    </row>
    <row r="172" spans="1:10" x14ac:dyDescent="0.25">
      <c r="A172" s="216" t="s">
        <v>1079</v>
      </c>
      <c r="B172" s="45" t="str">
        <f>VLOOKUP(Tabela12[[#This Row],[Painel]],Tabela13[],2,0)</f>
        <v>CCP</v>
      </c>
      <c r="C172" s="45" t="s">
        <v>679</v>
      </c>
      <c r="D172" s="21" t="s">
        <v>1704</v>
      </c>
      <c r="E172" s="21" t="s">
        <v>1729</v>
      </c>
      <c r="F172" s="27" t="str">
        <f>Tabela12[[#This Row],[Régua]]&amp;" ("&amp;Tabela12[[#This Row],[Born]]&amp;")"</f>
        <v>X1 (3+)</v>
      </c>
      <c r="G172" s="27">
        <f>LEN(Tabela12[[#This Row],[Anilha]])</f>
        <v>7</v>
      </c>
      <c r="H172" s="21">
        <f>VLOOKUP(Tabela12[[#This Row],[Tag Cabo]],BD!A:F,6,0)</f>
        <v>1</v>
      </c>
      <c r="I172" s="27" t="s">
        <v>1705</v>
      </c>
      <c r="J172" s="27" t="s">
        <v>1706</v>
      </c>
    </row>
    <row r="173" spans="1:10" x14ac:dyDescent="0.25">
      <c r="A173" s="216" t="s">
        <v>1079</v>
      </c>
      <c r="B173" s="45" t="str">
        <f>VLOOKUP(Tabela12[[#This Row],[Painel]],Tabela13[],2,0)</f>
        <v>CCP</v>
      </c>
      <c r="C173" s="45" t="s">
        <v>679</v>
      </c>
      <c r="D173" s="21" t="s">
        <v>1704</v>
      </c>
      <c r="E173" s="21" t="s">
        <v>1744</v>
      </c>
      <c r="F173" s="27" t="str">
        <f>Tabela12[[#This Row],[Régua]]&amp;" ("&amp;Tabela12[[#This Row],[Born]]&amp;")"</f>
        <v>X1 (4-)</v>
      </c>
      <c r="G173" s="27">
        <f>LEN(Tabela12[[#This Row],[Anilha]])</f>
        <v>7</v>
      </c>
      <c r="H173" s="21">
        <f>VLOOKUP(Tabela12[[#This Row],[Tag Cabo]],BD!A:F,6,0)</f>
        <v>1</v>
      </c>
      <c r="I173" s="27" t="s">
        <v>1705</v>
      </c>
      <c r="J173" s="27" t="s">
        <v>1706</v>
      </c>
    </row>
    <row r="174" spans="1:10" x14ac:dyDescent="0.25">
      <c r="A174" s="216" t="s">
        <v>1079</v>
      </c>
      <c r="B174" s="45" t="str">
        <f>VLOOKUP(Tabela12[[#This Row],[Painel]],Tabela13[],2,0)</f>
        <v>CCP</v>
      </c>
      <c r="C174" s="45" t="s">
        <v>1592</v>
      </c>
      <c r="D174" s="21" t="s">
        <v>1739</v>
      </c>
      <c r="E174" s="21">
        <v>3</v>
      </c>
      <c r="F174" s="27" t="str">
        <f>Tabela12[[#This Row],[Régua]]&amp;" ("&amp;Tabela12[[#This Row],[Born]]&amp;")"</f>
        <v>RB-NSI-7 (3)</v>
      </c>
      <c r="G174" s="27">
        <f>LEN(Tabela12[[#This Row],[Anilha]])</f>
        <v>12</v>
      </c>
      <c r="H174" s="21">
        <f>VLOOKUP(Tabela12[[#This Row],[Tag Cabo]],BD!A:F,6,0)</f>
        <v>1</v>
      </c>
      <c r="I174" s="27" t="s">
        <v>1705</v>
      </c>
      <c r="J174" s="27" t="s">
        <v>1706</v>
      </c>
    </row>
    <row r="175" spans="1:10" x14ac:dyDescent="0.25">
      <c r="A175" s="216" t="s">
        <v>1079</v>
      </c>
      <c r="B175" s="45" t="str">
        <f>VLOOKUP(Tabela12[[#This Row],[Painel]],Tabela13[],2,0)</f>
        <v>CCP</v>
      </c>
      <c r="C175" s="45" t="s">
        <v>1592</v>
      </c>
      <c r="D175" s="21" t="s">
        <v>1739</v>
      </c>
      <c r="E175" s="21">
        <v>4</v>
      </c>
      <c r="F175" s="27" t="str">
        <f>Tabela12[[#This Row],[Régua]]&amp;" ("&amp;Tabela12[[#This Row],[Born]]&amp;")"</f>
        <v>RB-NSI-7 (4)</v>
      </c>
      <c r="G175" s="27">
        <f>LEN(Tabela12[[#This Row],[Anilha]])</f>
        <v>12</v>
      </c>
      <c r="H175" s="21">
        <f>VLOOKUP(Tabela12[[#This Row],[Tag Cabo]],BD!A:F,6,0)</f>
        <v>1</v>
      </c>
      <c r="I175" s="27" t="s">
        <v>1705</v>
      </c>
      <c r="J175" s="27" t="s">
        <v>1706</v>
      </c>
    </row>
    <row r="176" spans="1:10" x14ac:dyDescent="0.25">
      <c r="A176" s="216" t="s">
        <v>1079</v>
      </c>
      <c r="B176" s="45" t="str">
        <f>VLOOKUP(Tabela12[[#This Row],[Painel]],Tabela13[],2,0)</f>
        <v>CCP</v>
      </c>
      <c r="C176" s="45" t="s">
        <v>679</v>
      </c>
      <c r="D176" s="21" t="s">
        <v>1704</v>
      </c>
      <c r="E176" s="21" t="s">
        <v>1740</v>
      </c>
      <c r="F176" s="27" t="str">
        <f>Tabela12[[#This Row],[Régua]]&amp;" ("&amp;Tabela12[[#This Row],[Born]]&amp;")"</f>
        <v>X1 (31+)</v>
      </c>
      <c r="G176" s="27">
        <f>LEN(Tabela12[[#This Row],[Anilha]])</f>
        <v>8</v>
      </c>
      <c r="H176" s="21">
        <f>VLOOKUP(Tabela12[[#This Row],[Tag Cabo]],BD!A:F,6,0)</f>
        <v>1</v>
      </c>
      <c r="I176" s="27" t="s">
        <v>1705</v>
      </c>
      <c r="J176" s="27" t="s">
        <v>1706</v>
      </c>
    </row>
    <row r="177" spans="1:10" x14ac:dyDescent="0.25">
      <c r="A177" s="216" t="s">
        <v>1079</v>
      </c>
      <c r="B177" s="45" t="str">
        <f>VLOOKUP(Tabela12[[#This Row],[Painel]],Tabela13[],2,0)</f>
        <v>CCP</v>
      </c>
      <c r="C177" s="45" t="s">
        <v>679</v>
      </c>
      <c r="D177" s="21" t="s">
        <v>1704</v>
      </c>
      <c r="E177" s="21" t="s">
        <v>1745</v>
      </c>
      <c r="F177" s="27" t="str">
        <f>Tabela12[[#This Row],[Régua]]&amp;" ("&amp;Tabela12[[#This Row],[Born]]&amp;")"</f>
        <v>X1 (32-)</v>
      </c>
      <c r="G177" s="27">
        <f>LEN(Tabela12[[#This Row],[Anilha]])</f>
        <v>8</v>
      </c>
      <c r="H177" s="21">
        <f>VLOOKUP(Tabela12[[#This Row],[Tag Cabo]],BD!A:F,6,0)</f>
        <v>1</v>
      </c>
      <c r="I177" s="27" t="s">
        <v>1705</v>
      </c>
      <c r="J177" s="27" t="s">
        <v>1706</v>
      </c>
    </row>
    <row r="178" spans="1:10" x14ac:dyDescent="0.25">
      <c r="A178" s="216" t="s">
        <v>1071</v>
      </c>
      <c r="B178" s="45" t="str">
        <f>VLOOKUP(Tabela12[[#This Row],[Painel]],Tabela13[],2,0)</f>
        <v>CCP</v>
      </c>
      <c r="C178" s="45" t="s">
        <v>1592</v>
      </c>
      <c r="D178" s="21" t="s">
        <v>1746</v>
      </c>
      <c r="E178" s="21" t="s">
        <v>1747</v>
      </c>
      <c r="F178" s="27" t="str">
        <f>Tabela12[[#This Row],[Régua]]&amp;" ("&amp;Tabela12[[#This Row],[Born]]&amp;")"</f>
        <v>ES-35105X (COM)</v>
      </c>
      <c r="G178" s="27">
        <f>LEN(Tabela12[[#This Row],[Anilha]])</f>
        <v>15</v>
      </c>
      <c r="H178" s="21">
        <f>VLOOKUP(Tabela12[[#This Row],[Tag Cabo]],BD!A:F,6,0)</f>
        <v>1</v>
      </c>
      <c r="I178" s="27" t="s">
        <v>1705</v>
      </c>
      <c r="J178" s="27" t="s">
        <v>1706</v>
      </c>
    </row>
    <row r="179" spans="1:10" x14ac:dyDescent="0.25">
      <c r="A179" s="216" t="s">
        <v>1071</v>
      </c>
      <c r="B179" s="45" t="str">
        <f>VLOOKUP(Tabela12[[#This Row],[Painel]],Tabela13[],2,0)</f>
        <v>CCP</v>
      </c>
      <c r="C179" s="45" t="s">
        <v>1592</v>
      </c>
      <c r="D179" s="21" t="s">
        <v>1746</v>
      </c>
      <c r="E179" s="21" t="s">
        <v>1748</v>
      </c>
      <c r="F179" s="27" t="str">
        <f>Tabela12[[#This Row],[Régua]]&amp;" ("&amp;Tabela12[[#This Row],[Born]]&amp;")"</f>
        <v>ES-35105X (TM)</v>
      </c>
      <c r="G179" s="27">
        <f>LEN(Tabela12[[#This Row],[Anilha]])</f>
        <v>14</v>
      </c>
      <c r="H179" s="21">
        <f>VLOOKUP(Tabela12[[#This Row],[Tag Cabo]],BD!A:F,6,0)</f>
        <v>1</v>
      </c>
      <c r="I179" s="27" t="s">
        <v>1705</v>
      </c>
      <c r="J179" s="27" t="s">
        <v>1706</v>
      </c>
    </row>
    <row r="180" spans="1:10" x14ac:dyDescent="0.25">
      <c r="A180" s="216" t="s">
        <v>1071</v>
      </c>
      <c r="B180" s="45" t="str">
        <f>VLOOKUP(Tabela12[[#This Row],[Painel]],Tabela13[],2,0)</f>
        <v>CCP</v>
      </c>
      <c r="C180" s="45" t="s">
        <v>679</v>
      </c>
      <c r="D180" s="21" t="s">
        <v>1749</v>
      </c>
      <c r="E180" s="21">
        <v>11</v>
      </c>
      <c r="F180" s="27" t="str">
        <f>Tabela12[[#This Row],[Régua]]&amp;" ("&amp;Tabela12[[#This Row],[Born]]&amp;")"</f>
        <v>BR-07 (11)</v>
      </c>
      <c r="G180" s="27">
        <f>LEN(Tabela12[[#This Row],[Anilha]])</f>
        <v>10</v>
      </c>
      <c r="H180" s="21">
        <f>VLOOKUP(Tabela12[[#This Row],[Tag Cabo]],BD!A:F,6,0)</f>
        <v>1</v>
      </c>
      <c r="I180" s="27" t="s">
        <v>1705</v>
      </c>
      <c r="J180" s="27" t="s">
        <v>1706</v>
      </c>
    </row>
    <row r="181" spans="1:10" x14ac:dyDescent="0.25">
      <c r="A181" s="216" t="s">
        <v>1071</v>
      </c>
      <c r="B181" s="45" t="str">
        <f>VLOOKUP(Tabela12[[#This Row],[Painel]],Tabela13[],2,0)</f>
        <v>CCP</v>
      </c>
      <c r="C181" s="45" t="s">
        <v>679</v>
      </c>
      <c r="D181" s="21" t="s">
        <v>1749</v>
      </c>
      <c r="E181" s="21">
        <v>14</v>
      </c>
      <c r="F181" s="27" t="str">
        <f>Tabela12[[#This Row],[Régua]]&amp;" ("&amp;Tabela12[[#This Row],[Born]]&amp;")"</f>
        <v>BR-07 (14)</v>
      </c>
      <c r="G181" s="27">
        <f>LEN(Tabela12[[#This Row],[Anilha]])</f>
        <v>10</v>
      </c>
      <c r="H181" s="21">
        <f>VLOOKUP(Tabela12[[#This Row],[Tag Cabo]],BD!A:F,6,0)</f>
        <v>1</v>
      </c>
      <c r="I181" s="27" t="s">
        <v>1705</v>
      </c>
      <c r="J181" s="27" t="s">
        <v>1706</v>
      </c>
    </row>
    <row r="182" spans="1:10" x14ac:dyDescent="0.25">
      <c r="A182" s="216" t="s">
        <v>1071</v>
      </c>
      <c r="B182" s="45" t="str">
        <f>VLOOKUP(Tabela12[[#This Row],[Painel]],Tabela13[],2,0)</f>
        <v>CCP</v>
      </c>
      <c r="C182" s="45" t="s">
        <v>1592</v>
      </c>
      <c r="D182" s="21" t="s">
        <v>1750</v>
      </c>
      <c r="E182" s="21">
        <v>1</v>
      </c>
      <c r="F182" s="27" t="str">
        <f>Tabela12[[#This Row],[Régua]]&amp;" ("&amp;Tabela12[[#This Row],[Born]]&amp;")"</f>
        <v>RB-SD1 (1)</v>
      </c>
      <c r="G182" s="27">
        <f>LEN(Tabela12[[#This Row],[Anilha]])</f>
        <v>10</v>
      </c>
      <c r="H182" s="21">
        <f>VLOOKUP(Tabela12[[#This Row],[Tag Cabo]],BD!A:F,6,0)</f>
        <v>1</v>
      </c>
      <c r="I182" s="27" t="s">
        <v>1705</v>
      </c>
      <c r="J182" s="27" t="s">
        <v>1706</v>
      </c>
    </row>
    <row r="183" spans="1:10" x14ac:dyDescent="0.25">
      <c r="A183" s="216" t="s">
        <v>1071</v>
      </c>
      <c r="B183" s="45" t="str">
        <f>VLOOKUP(Tabela12[[#This Row],[Painel]],Tabela13[],2,0)</f>
        <v>CCP</v>
      </c>
      <c r="C183" s="45" t="s">
        <v>1592</v>
      </c>
      <c r="D183" s="21" t="s">
        <v>1750</v>
      </c>
      <c r="E183" s="21">
        <v>2</v>
      </c>
      <c r="F183" s="27" t="str">
        <f>Tabela12[[#This Row],[Régua]]&amp;" ("&amp;Tabela12[[#This Row],[Born]]&amp;")"</f>
        <v>RB-SD1 (2)</v>
      </c>
      <c r="G183" s="27">
        <f>LEN(Tabela12[[#This Row],[Anilha]])</f>
        <v>10</v>
      </c>
      <c r="H183" s="21">
        <f>VLOOKUP(Tabela12[[#This Row],[Tag Cabo]],BD!A:F,6,0)</f>
        <v>1</v>
      </c>
      <c r="I183" s="27" t="s">
        <v>1705</v>
      </c>
      <c r="J183" s="27" t="s">
        <v>1706</v>
      </c>
    </row>
    <row r="184" spans="1:10" x14ac:dyDescent="0.25">
      <c r="A184" s="216" t="s">
        <v>1071</v>
      </c>
      <c r="B184" s="45" t="str">
        <f>VLOOKUP(Tabela12[[#This Row],[Painel]],Tabela13[],2,0)</f>
        <v>CCP</v>
      </c>
      <c r="C184" s="45" t="s">
        <v>679</v>
      </c>
      <c r="D184" s="21" t="s">
        <v>1751</v>
      </c>
      <c r="E184" s="21">
        <v>9</v>
      </c>
      <c r="F184" s="27" t="str">
        <f>Tabela12[[#This Row],[Régua]]&amp;" ("&amp;Tabela12[[#This Row],[Born]]&amp;")"</f>
        <v>T8801 (9)</v>
      </c>
      <c r="G184" s="27">
        <f>LEN(Tabela12[[#This Row],[Anilha]])</f>
        <v>9</v>
      </c>
      <c r="H184" s="21">
        <f>VLOOKUP(Tabela12[[#This Row],[Tag Cabo]],BD!A:F,6,0)</f>
        <v>1</v>
      </c>
      <c r="I184" s="27" t="s">
        <v>1705</v>
      </c>
      <c r="J184" s="27" t="s">
        <v>1706</v>
      </c>
    </row>
    <row r="185" spans="1:10" x14ac:dyDescent="0.25">
      <c r="A185" s="216" t="s">
        <v>1071</v>
      </c>
      <c r="B185" s="45" t="str">
        <f>VLOOKUP(Tabela12[[#This Row],[Painel]],Tabela13[],2,0)</f>
        <v>CCP</v>
      </c>
      <c r="C185" s="45" t="s">
        <v>679</v>
      </c>
      <c r="D185" s="21" t="s">
        <v>1751</v>
      </c>
      <c r="E185" s="21">
        <v>10</v>
      </c>
      <c r="F185" s="27" t="str">
        <f>Tabela12[[#This Row],[Régua]]&amp;" ("&amp;Tabela12[[#This Row],[Born]]&amp;")"</f>
        <v>T8801 (10)</v>
      </c>
      <c r="G185" s="27">
        <f>LEN(Tabela12[[#This Row],[Anilha]])</f>
        <v>10</v>
      </c>
      <c r="H185" s="21">
        <f>VLOOKUP(Tabela12[[#This Row],[Tag Cabo]],BD!A:F,6,0)</f>
        <v>1</v>
      </c>
      <c r="I185" s="27" t="s">
        <v>1705</v>
      </c>
      <c r="J185" s="27" t="s">
        <v>1706</v>
      </c>
    </row>
    <row r="186" spans="1:10" x14ac:dyDescent="0.25">
      <c r="A186" s="216" t="s">
        <v>1071</v>
      </c>
      <c r="B186" s="45" t="str">
        <f>VLOOKUP(Tabela12[[#This Row],[Painel]],Tabela13[],2,0)</f>
        <v>CCP</v>
      </c>
      <c r="C186" s="45" t="s">
        <v>1592</v>
      </c>
      <c r="D186" s="21" t="s">
        <v>1752</v>
      </c>
      <c r="E186" s="21">
        <v>10</v>
      </c>
      <c r="F186" s="27" t="str">
        <f>Tabela12[[#This Row],[Régua]]&amp;" ("&amp;Tabela12[[#This Row],[Born]]&amp;")"</f>
        <v>RB-SD2 (10)</v>
      </c>
      <c r="G186" s="27">
        <f>LEN(Tabela12[[#This Row],[Anilha]])</f>
        <v>11</v>
      </c>
      <c r="H186" s="21">
        <f>VLOOKUP(Tabela12[[#This Row],[Tag Cabo]],BD!A:F,6,0)</f>
        <v>1</v>
      </c>
      <c r="I186" s="27" t="s">
        <v>1705</v>
      </c>
      <c r="J186" s="27" t="s">
        <v>1706</v>
      </c>
    </row>
    <row r="187" spans="1:10" x14ac:dyDescent="0.25">
      <c r="A187" s="216" t="s">
        <v>1071</v>
      </c>
      <c r="B187" s="45" t="str">
        <f>VLOOKUP(Tabela12[[#This Row],[Painel]],Tabela13[],2,0)</f>
        <v>CCP</v>
      </c>
      <c r="C187" s="45" t="s">
        <v>1592</v>
      </c>
      <c r="D187" s="21" t="s">
        <v>1752</v>
      </c>
      <c r="E187" s="21">
        <v>11</v>
      </c>
      <c r="F187" s="27" t="str">
        <f>Tabela12[[#This Row],[Régua]]&amp;" ("&amp;Tabela12[[#This Row],[Born]]&amp;")"</f>
        <v>RB-SD2 (11)</v>
      </c>
      <c r="G187" s="27">
        <f>LEN(Tabela12[[#This Row],[Anilha]])</f>
        <v>11</v>
      </c>
      <c r="H187" s="21">
        <f>VLOOKUP(Tabela12[[#This Row],[Tag Cabo]],BD!A:F,6,0)</f>
        <v>1</v>
      </c>
      <c r="I187" s="27" t="s">
        <v>1705</v>
      </c>
      <c r="J187" s="27" t="s">
        <v>1706</v>
      </c>
    </row>
    <row r="188" spans="1:10" x14ac:dyDescent="0.25">
      <c r="A188" s="216" t="s">
        <v>1071</v>
      </c>
      <c r="B188" s="45" t="str">
        <f>VLOOKUP(Tabela12[[#This Row],[Painel]],Tabela13[],2,0)</f>
        <v>CCP</v>
      </c>
      <c r="C188" s="45" t="s">
        <v>679</v>
      </c>
      <c r="D188" s="21" t="s">
        <v>1708</v>
      </c>
      <c r="E188" s="21">
        <v>17</v>
      </c>
      <c r="F188" s="27" t="str">
        <f>Tabela12[[#This Row],[Régua]]&amp;" ("&amp;Tabela12[[#This Row],[Born]]&amp;")"</f>
        <v>T8801C (17)</v>
      </c>
      <c r="G188" s="27">
        <f>LEN(Tabela12[[#This Row],[Anilha]])</f>
        <v>11</v>
      </c>
      <c r="H188" s="21">
        <f>VLOOKUP(Tabela12[[#This Row],[Tag Cabo]],BD!A:F,6,0)</f>
        <v>1</v>
      </c>
      <c r="I188" s="27" t="s">
        <v>1705</v>
      </c>
      <c r="J188" s="27" t="s">
        <v>1706</v>
      </c>
    </row>
    <row r="189" spans="1:10" x14ac:dyDescent="0.25">
      <c r="A189" s="216" t="s">
        <v>1071</v>
      </c>
      <c r="B189" s="45" t="str">
        <f>VLOOKUP(Tabela12[[#This Row],[Painel]],Tabela13[],2,0)</f>
        <v>CCP</v>
      </c>
      <c r="C189" s="45" t="s">
        <v>679</v>
      </c>
      <c r="D189" s="21" t="s">
        <v>1708</v>
      </c>
      <c r="E189" s="21">
        <v>18</v>
      </c>
      <c r="F189" s="27" t="str">
        <f>Tabela12[[#This Row],[Régua]]&amp;" ("&amp;Tabela12[[#This Row],[Born]]&amp;")"</f>
        <v>T8801C (18)</v>
      </c>
      <c r="G189" s="27">
        <f>LEN(Tabela12[[#This Row],[Anilha]])</f>
        <v>11</v>
      </c>
      <c r="H189" s="21">
        <f>VLOOKUP(Tabela12[[#This Row],[Tag Cabo]],BD!A:F,6,0)</f>
        <v>1</v>
      </c>
      <c r="I189" s="27" t="s">
        <v>1705</v>
      </c>
      <c r="J189" s="27" t="s">
        <v>1706</v>
      </c>
    </row>
    <row r="190" spans="1:10" x14ac:dyDescent="0.25">
      <c r="A190" s="216" t="s">
        <v>1071</v>
      </c>
      <c r="B190" s="45" t="str">
        <f>VLOOKUP(Tabela12[[#This Row],[Painel]],Tabela13[],2,0)</f>
        <v>CCP</v>
      </c>
      <c r="C190" s="45" t="s">
        <v>1592</v>
      </c>
      <c r="D190" s="21" t="s">
        <v>1752</v>
      </c>
      <c r="E190" s="21">
        <v>1</v>
      </c>
      <c r="F190" s="27" t="str">
        <f>Tabela12[[#This Row],[Régua]]&amp;" ("&amp;Tabela12[[#This Row],[Born]]&amp;")"</f>
        <v>RB-SD2 (1)</v>
      </c>
      <c r="G190" s="27">
        <f>LEN(Tabela12[[#This Row],[Anilha]])</f>
        <v>10</v>
      </c>
      <c r="H190" s="21">
        <f>VLOOKUP(Tabela12[[#This Row],[Tag Cabo]],BD!A:F,6,0)</f>
        <v>1</v>
      </c>
      <c r="I190" s="27" t="s">
        <v>1705</v>
      </c>
      <c r="J190" s="27" t="s">
        <v>1706</v>
      </c>
    </row>
    <row r="191" spans="1:10" x14ac:dyDescent="0.25">
      <c r="A191" s="216" t="s">
        <v>1071</v>
      </c>
      <c r="B191" s="45" t="str">
        <f>VLOOKUP(Tabela12[[#This Row],[Painel]],Tabela13[],2,0)</f>
        <v>CCP</v>
      </c>
      <c r="C191" s="45" t="s">
        <v>1592</v>
      </c>
      <c r="D191" s="21" t="s">
        <v>1752</v>
      </c>
      <c r="E191" s="21">
        <v>2</v>
      </c>
      <c r="F191" s="27" t="str">
        <f>Tabela12[[#This Row],[Régua]]&amp;" ("&amp;Tabela12[[#This Row],[Born]]&amp;")"</f>
        <v>RB-SD2 (2)</v>
      </c>
      <c r="G191" s="27">
        <f>LEN(Tabela12[[#This Row],[Anilha]])</f>
        <v>10</v>
      </c>
      <c r="H191" s="21">
        <f>VLOOKUP(Tabela12[[#This Row],[Tag Cabo]],BD!A:F,6,0)</f>
        <v>1</v>
      </c>
      <c r="I191" s="27" t="s">
        <v>1705</v>
      </c>
      <c r="J191" s="27" t="s">
        <v>1706</v>
      </c>
    </row>
    <row r="192" spans="1:10" x14ac:dyDescent="0.25">
      <c r="A192" s="216" t="s">
        <v>1071</v>
      </c>
      <c r="B192" s="45" t="str">
        <f>VLOOKUP(Tabela12[[#This Row],[Painel]],Tabela13[],2,0)</f>
        <v>CCP</v>
      </c>
      <c r="C192" s="45" t="s">
        <v>679</v>
      </c>
      <c r="D192" s="21" t="s">
        <v>1708</v>
      </c>
      <c r="E192" s="21">
        <v>49</v>
      </c>
      <c r="F192" s="27" t="str">
        <f>Tabela12[[#This Row],[Régua]]&amp;" ("&amp;Tabela12[[#This Row],[Born]]&amp;")"</f>
        <v>T8801C (49)</v>
      </c>
      <c r="G192" s="27">
        <f>LEN(Tabela12[[#This Row],[Anilha]])</f>
        <v>11</v>
      </c>
      <c r="H192" s="21">
        <f>VLOOKUP(Tabela12[[#This Row],[Tag Cabo]],BD!A:F,6,0)</f>
        <v>1</v>
      </c>
      <c r="I192" s="27" t="s">
        <v>1705</v>
      </c>
      <c r="J192" s="27" t="s">
        <v>1706</v>
      </c>
    </row>
    <row r="193" spans="1:10" x14ac:dyDescent="0.25">
      <c r="A193" s="216" t="s">
        <v>1071</v>
      </c>
      <c r="B193" s="45" t="str">
        <f>VLOOKUP(Tabela12[[#This Row],[Painel]],Tabela13[],2,0)</f>
        <v>CCP</v>
      </c>
      <c r="C193" s="45" t="s">
        <v>679</v>
      </c>
      <c r="D193" s="21" t="s">
        <v>1708</v>
      </c>
      <c r="E193" s="21">
        <v>50</v>
      </c>
      <c r="F193" s="27" t="str">
        <f>Tabela12[[#This Row],[Régua]]&amp;" ("&amp;Tabela12[[#This Row],[Born]]&amp;")"</f>
        <v>T8801C (50)</v>
      </c>
      <c r="G193" s="27">
        <f>LEN(Tabela12[[#This Row],[Anilha]])</f>
        <v>11</v>
      </c>
      <c r="H193" s="21">
        <f>VLOOKUP(Tabela12[[#This Row],[Tag Cabo]],BD!A:F,6,0)</f>
        <v>1</v>
      </c>
      <c r="I193" s="27" t="s">
        <v>1705</v>
      </c>
      <c r="J193" s="27" t="s">
        <v>1706</v>
      </c>
    </row>
    <row r="194" spans="1:10" x14ac:dyDescent="0.25">
      <c r="A194" s="216" t="s">
        <v>1071</v>
      </c>
      <c r="B194" s="45" t="str">
        <f>VLOOKUP(Tabela12[[#This Row],[Painel]],Tabela13[],2,0)</f>
        <v>CCP</v>
      </c>
      <c r="C194" s="45" t="s">
        <v>1592</v>
      </c>
      <c r="D194" s="21" t="s">
        <v>1753</v>
      </c>
      <c r="E194" s="21">
        <v>1</v>
      </c>
      <c r="F194" s="27" t="str">
        <f>Tabela12[[#This Row],[Régua]]&amp;" ("&amp;Tabela12[[#This Row],[Born]]&amp;")"</f>
        <v>RB-SD3 (1)</v>
      </c>
      <c r="G194" s="27">
        <f>LEN(Tabela12[[#This Row],[Anilha]])</f>
        <v>10</v>
      </c>
      <c r="H194" s="21">
        <f>VLOOKUP(Tabela12[[#This Row],[Tag Cabo]],BD!A:F,6,0)</f>
        <v>1</v>
      </c>
      <c r="I194" s="27" t="s">
        <v>1705</v>
      </c>
      <c r="J194" s="27" t="s">
        <v>1706</v>
      </c>
    </row>
    <row r="195" spans="1:10" x14ac:dyDescent="0.25">
      <c r="A195" s="216" t="s">
        <v>1071</v>
      </c>
      <c r="B195" s="45" t="str">
        <f>VLOOKUP(Tabela12[[#This Row],[Painel]],Tabela13[],2,0)</f>
        <v>CCP</v>
      </c>
      <c r="C195" s="45" t="s">
        <v>1592</v>
      </c>
      <c r="D195" s="21" t="s">
        <v>1753</v>
      </c>
      <c r="E195" s="21">
        <v>2</v>
      </c>
      <c r="F195" s="27" t="str">
        <f>Tabela12[[#This Row],[Régua]]&amp;" ("&amp;Tabela12[[#This Row],[Born]]&amp;")"</f>
        <v>RB-SD3 (2)</v>
      </c>
      <c r="G195" s="27">
        <f>LEN(Tabela12[[#This Row],[Anilha]])</f>
        <v>10</v>
      </c>
      <c r="H195" s="21">
        <f>VLOOKUP(Tabela12[[#This Row],[Tag Cabo]],BD!A:F,6,0)</f>
        <v>1</v>
      </c>
      <c r="I195" s="27" t="s">
        <v>1705</v>
      </c>
      <c r="J195" s="27" t="s">
        <v>1706</v>
      </c>
    </row>
    <row r="196" spans="1:10" x14ac:dyDescent="0.25">
      <c r="A196" s="216" t="s">
        <v>1071</v>
      </c>
      <c r="B196" s="45" t="str">
        <f>VLOOKUP(Tabela12[[#This Row],[Painel]],Tabela13[],2,0)</f>
        <v>CCP</v>
      </c>
      <c r="C196" s="45" t="s">
        <v>679</v>
      </c>
      <c r="D196" s="21" t="s">
        <v>1708</v>
      </c>
      <c r="E196" s="21">
        <v>7</v>
      </c>
      <c r="F196" s="27" t="str">
        <f>Tabela12[[#This Row],[Régua]]&amp;" ("&amp;Tabela12[[#This Row],[Born]]&amp;")"</f>
        <v>T8801C (7)</v>
      </c>
      <c r="G196" s="27">
        <f>LEN(Tabela12[[#This Row],[Anilha]])</f>
        <v>10</v>
      </c>
      <c r="H196" s="21">
        <f>VLOOKUP(Tabela12[[#This Row],[Tag Cabo]],BD!A:F,6,0)</f>
        <v>1</v>
      </c>
      <c r="I196" s="27" t="s">
        <v>1705</v>
      </c>
      <c r="J196" s="27" t="s">
        <v>1706</v>
      </c>
    </row>
    <row r="197" spans="1:10" x14ac:dyDescent="0.25">
      <c r="A197" s="216" t="s">
        <v>1071</v>
      </c>
      <c r="B197" s="45" t="str">
        <f>VLOOKUP(Tabela12[[#This Row],[Painel]],Tabela13[],2,0)</f>
        <v>CCP</v>
      </c>
      <c r="C197" s="45" t="s">
        <v>679</v>
      </c>
      <c r="D197" s="21" t="s">
        <v>1708</v>
      </c>
      <c r="E197" s="21">
        <v>8</v>
      </c>
      <c r="F197" s="27" t="str">
        <f>Tabela12[[#This Row],[Régua]]&amp;" ("&amp;Tabela12[[#This Row],[Born]]&amp;")"</f>
        <v>T8801C (8)</v>
      </c>
      <c r="G197" s="27">
        <f>LEN(Tabela12[[#This Row],[Anilha]])</f>
        <v>10</v>
      </c>
      <c r="H197" s="21">
        <f>VLOOKUP(Tabela12[[#This Row],[Tag Cabo]],BD!A:F,6,0)</f>
        <v>1</v>
      </c>
      <c r="I197" s="27" t="s">
        <v>1705</v>
      </c>
      <c r="J197" s="27" t="s">
        <v>1706</v>
      </c>
    </row>
    <row r="198" spans="1:10" x14ac:dyDescent="0.25">
      <c r="A198" s="216" t="s">
        <v>1071</v>
      </c>
      <c r="B198" s="45" t="str">
        <f>VLOOKUP(Tabela12[[#This Row],[Painel]],Tabela13[],2,0)</f>
        <v>CCP</v>
      </c>
      <c r="C198" s="45" t="s">
        <v>1592</v>
      </c>
      <c r="D198" s="21" t="s">
        <v>1750</v>
      </c>
      <c r="E198" s="21">
        <v>4</v>
      </c>
      <c r="F198" s="27" t="str">
        <f>Tabela12[[#This Row],[Régua]]&amp;" ("&amp;Tabela12[[#This Row],[Born]]&amp;")"</f>
        <v>RB-SD1 (4)</v>
      </c>
      <c r="G198" s="27">
        <f>LEN(Tabela12[[#This Row],[Anilha]])</f>
        <v>10</v>
      </c>
      <c r="H198" s="21">
        <f>VLOOKUP(Tabela12[[#This Row],[Tag Cabo]],BD!A:F,6,0)</f>
        <v>1</v>
      </c>
      <c r="I198" s="27" t="s">
        <v>1705</v>
      </c>
      <c r="J198" s="27" t="s">
        <v>1706</v>
      </c>
    </row>
    <row r="199" spans="1:10" x14ac:dyDescent="0.25">
      <c r="A199" s="216" t="s">
        <v>1071</v>
      </c>
      <c r="B199" s="45" t="str">
        <f>VLOOKUP(Tabela12[[#This Row],[Painel]],Tabela13[],2,0)</f>
        <v>CCP</v>
      </c>
      <c r="C199" s="45" t="s">
        <v>1592</v>
      </c>
      <c r="D199" s="21" t="s">
        <v>1750</v>
      </c>
      <c r="E199" s="21">
        <v>5</v>
      </c>
      <c r="F199" s="27" t="str">
        <f>Tabela12[[#This Row],[Régua]]&amp;" ("&amp;Tabela12[[#This Row],[Born]]&amp;")"</f>
        <v>RB-SD1 (5)</v>
      </c>
      <c r="G199" s="27">
        <f>LEN(Tabela12[[#This Row],[Anilha]])</f>
        <v>10</v>
      </c>
      <c r="H199" s="21">
        <f>VLOOKUP(Tabela12[[#This Row],[Tag Cabo]],BD!A:F,6,0)</f>
        <v>1</v>
      </c>
      <c r="I199" s="27" t="s">
        <v>1705</v>
      </c>
      <c r="J199" s="27" t="s">
        <v>1706</v>
      </c>
    </row>
    <row r="200" spans="1:10" x14ac:dyDescent="0.25">
      <c r="A200" s="216" t="s">
        <v>1071</v>
      </c>
      <c r="B200" s="45" t="str">
        <f>VLOOKUP(Tabela12[[#This Row],[Painel]],Tabela13[],2,0)</f>
        <v>CCP</v>
      </c>
      <c r="C200" s="45" t="s">
        <v>679</v>
      </c>
      <c r="D200" s="21" t="s">
        <v>1708</v>
      </c>
      <c r="E200" s="21">
        <v>13</v>
      </c>
      <c r="F200" s="27" t="str">
        <f>Tabela12[[#This Row],[Régua]]&amp;" ("&amp;Tabela12[[#This Row],[Born]]&amp;")"</f>
        <v>T8801C (13)</v>
      </c>
      <c r="G200" s="27">
        <f>LEN(Tabela12[[#This Row],[Anilha]])</f>
        <v>11</v>
      </c>
      <c r="H200" s="21">
        <f>VLOOKUP(Tabela12[[#This Row],[Tag Cabo]],BD!A:F,6,0)</f>
        <v>1</v>
      </c>
      <c r="I200" s="27" t="s">
        <v>1705</v>
      </c>
      <c r="J200" s="27" t="s">
        <v>1706</v>
      </c>
    </row>
    <row r="201" spans="1:10" x14ac:dyDescent="0.25">
      <c r="A201" s="216" t="s">
        <v>1071</v>
      </c>
      <c r="B201" s="45" t="str">
        <f>VLOOKUP(Tabela12[[#This Row],[Painel]],Tabela13[],2,0)</f>
        <v>CCP</v>
      </c>
      <c r="C201" s="45" t="s">
        <v>679</v>
      </c>
      <c r="D201" s="21" t="s">
        <v>1708</v>
      </c>
      <c r="E201" s="21">
        <v>14</v>
      </c>
      <c r="F201" s="27" t="str">
        <f>Tabela12[[#This Row],[Régua]]&amp;" ("&amp;Tabela12[[#This Row],[Born]]&amp;")"</f>
        <v>T8801C (14)</v>
      </c>
      <c r="G201" s="27">
        <f>LEN(Tabela12[[#This Row],[Anilha]])</f>
        <v>11</v>
      </c>
      <c r="H201" s="21">
        <f>VLOOKUP(Tabela12[[#This Row],[Tag Cabo]],BD!A:F,6,0)</f>
        <v>1</v>
      </c>
      <c r="I201" s="27" t="s">
        <v>1705</v>
      </c>
      <c r="J201" s="27" t="s">
        <v>1706</v>
      </c>
    </row>
    <row r="202" spans="1:10" x14ac:dyDescent="0.25">
      <c r="A202" s="216" t="s">
        <v>1071</v>
      </c>
      <c r="B202" s="45" t="str">
        <f>VLOOKUP(Tabela12[[#This Row],[Painel]],Tabela13[],2,0)</f>
        <v>CCP</v>
      </c>
      <c r="C202" s="45" t="s">
        <v>1592</v>
      </c>
      <c r="D202" s="21" t="s">
        <v>1752</v>
      </c>
      <c r="E202" s="21">
        <v>4</v>
      </c>
      <c r="F202" s="27" t="str">
        <f>Tabela12[[#This Row],[Régua]]&amp;" ("&amp;Tabela12[[#This Row],[Born]]&amp;")"</f>
        <v>RB-SD2 (4)</v>
      </c>
      <c r="G202" s="27">
        <f>LEN(Tabela12[[#This Row],[Anilha]])</f>
        <v>10</v>
      </c>
      <c r="H202" s="21">
        <f>VLOOKUP(Tabela12[[#This Row],[Tag Cabo]],BD!A:F,6,0)</f>
        <v>1</v>
      </c>
      <c r="I202" s="27" t="s">
        <v>1705</v>
      </c>
      <c r="J202" s="27" t="s">
        <v>1706</v>
      </c>
    </row>
    <row r="203" spans="1:10" x14ac:dyDescent="0.25">
      <c r="A203" s="216" t="s">
        <v>1071</v>
      </c>
      <c r="B203" s="45" t="str">
        <f>VLOOKUP(Tabela12[[#This Row],[Painel]],Tabela13[],2,0)</f>
        <v>CCP</v>
      </c>
      <c r="C203" s="45" t="s">
        <v>1592</v>
      </c>
      <c r="D203" s="21" t="s">
        <v>1752</v>
      </c>
      <c r="E203" s="21">
        <v>5</v>
      </c>
      <c r="F203" s="27" t="str">
        <f>Tabela12[[#This Row],[Régua]]&amp;" ("&amp;Tabela12[[#This Row],[Born]]&amp;")"</f>
        <v>RB-SD2 (5)</v>
      </c>
      <c r="G203" s="27">
        <f>LEN(Tabela12[[#This Row],[Anilha]])</f>
        <v>10</v>
      </c>
      <c r="H203" s="21">
        <f>VLOOKUP(Tabela12[[#This Row],[Tag Cabo]],BD!A:F,6,0)</f>
        <v>1</v>
      </c>
      <c r="I203" s="27" t="s">
        <v>1705</v>
      </c>
      <c r="J203" s="27" t="s">
        <v>1706</v>
      </c>
    </row>
    <row r="204" spans="1:10" x14ac:dyDescent="0.25">
      <c r="A204" s="216" t="s">
        <v>1071</v>
      </c>
      <c r="B204" s="45" t="str">
        <f>VLOOKUP(Tabela12[[#This Row],[Painel]],Tabela13[],2,0)</f>
        <v>CCP</v>
      </c>
      <c r="C204" s="45" t="s">
        <v>679</v>
      </c>
      <c r="D204" s="21" t="s">
        <v>1708</v>
      </c>
      <c r="E204" s="21">
        <v>51</v>
      </c>
      <c r="F204" s="27" t="str">
        <f>Tabela12[[#This Row],[Régua]]&amp;" ("&amp;Tabela12[[#This Row],[Born]]&amp;")"</f>
        <v>T8801C (51)</v>
      </c>
      <c r="G204" s="27">
        <f>LEN(Tabela12[[#This Row],[Anilha]])</f>
        <v>11</v>
      </c>
      <c r="H204" s="21">
        <f>VLOOKUP(Tabela12[[#This Row],[Tag Cabo]],BD!A:F,6,0)</f>
        <v>1</v>
      </c>
      <c r="I204" s="27" t="s">
        <v>1705</v>
      </c>
      <c r="J204" s="27" t="s">
        <v>1706</v>
      </c>
    </row>
    <row r="205" spans="1:10" x14ac:dyDescent="0.25">
      <c r="A205" s="216" t="s">
        <v>1071</v>
      </c>
      <c r="B205" s="45" t="str">
        <f>VLOOKUP(Tabela12[[#This Row],[Painel]],Tabela13[],2,0)</f>
        <v>CCP</v>
      </c>
      <c r="C205" s="45" t="s">
        <v>679</v>
      </c>
      <c r="D205" s="21" t="s">
        <v>1708</v>
      </c>
      <c r="E205" s="21">
        <v>52</v>
      </c>
      <c r="F205" s="27" t="str">
        <f>Tabela12[[#This Row],[Régua]]&amp;" ("&amp;Tabela12[[#This Row],[Born]]&amp;")"</f>
        <v>T8801C (52)</v>
      </c>
      <c r="G205" s="27">
        <f>LEN(Tabela12[[#This Row],[Anilha]])</f>
        <v>11</v>
      </c>
      <c r="H205" s="21">
        <f>VLOOKUP(Tabela12[[#This Row],[Tag Cabo]],BD!A:F,6,0)</f>
        <v>1</v>
      </c>
      <c r="I205" s="27" t="s">
        <v>1705</v>
      </c>
      <c r="J205" s="27" t="s">
        <v>1706</v>
      </c>
    </row>
    <row r="206" spans="1:10" x14ac:dyDescent="0.25">
      <c r="A206" s="216" t="s">
        <v>1071</v>
      </c>
      <c r="B206" s="45" t="str">
        <f>VLOOKUP(Tabela12[[#This Row],[Painel]],Tabela13[],2,0)</f>
        <v>CCP</v>
      </c>
      <c r="C206" s="45" t="s">
        <v>1592</v>
      </c>
      <c r="D206" s="21" t="s">
        <v>1753</v>
      </c>
      <c r="E206" s="21">
        <v>4</v>
      </c>
      <c r="F206" s="27" t="str">
        <f>Tabela12[[#This Row],[Régua]]&amp;" ("&amp;Tabela12[[#This Row],[Born]]&amp;")"</f>
        <v>RB-SD3 (4)</v>
      </c>
      <c r="G206" s="27">
        <f>LEN(Tabela12[[#This Row],[Anilha]])</f>
        <v>10</v>
      </c>
      <c r="H206" s="21">
        <f>VLOOKUP(Tabela12[[#This Row],[Tag Cabo]],BD!A:F,6,0)</f>
        <v>1</v>
      </c>
      <c r="I206" s="27" t="s">
        <v>1705</v>
      </c>
      <c r="J206" s="27" t="s">
        <v>1706</v>
      </c>
    </row>
    <row r="207" spans="1:10" x14ac:dyDescent="0.25">
      <c r="A207" s="216" t="s">
        <v>1071</v>
      </c>
      <c r="B207" s="45" t="str">
        <f>VLOOKUP(Tabela12[[#This Row],[Painel]],Tabela13[],2,0)</f>
        <v>CCP</v>
      </c>
      <c r="C207" s="45" t="s">
        <v>1592</v>
      </c>
      <c r="D207" s="21" t="s">
        <v>1753</v>
      </c>
      <c r="E207" s="21">
        <v>5</v>
      </c>
      <c r="F207" s="27" t="str">
        <f>Tabela12[[#This Row],[Régua]]&amp;" ("&amp;Tabela12[[#This Row],[Born]]&amp;")"</f>
        <v>RB-SD3 (5)</v>
      </c>
      <c r="G207" s="27">
        <f>LEN(Tabela12[[#This Row],[Anilha]])</f>
        <v>10</v>
      </c>
      <c r="H207" s="21">
        <f>VLOOKUP(Tabela12[[#This Row],[Tag Cabo]],BD!A:F,6,0)</f>
        <v>1</v>
      </c>
      <c r="I207" s="27" t="s">
        <v>1705</v>
      </c>
      <c r="J207" s="27" t="s">
        <v>1706</v>
      </c>
    </row>
    <row r="208" spans="1:10" x14ac:dyDescent="0.25">
      <c r="A208" s="216" t="s">
        <v>1071</v>
      </c>
      <c r="B208" s="45" t="str">
        <f>VLOOKUP(Tabela12[[#This Row],[Painel]],Tabela13[],2,0)</f>
        <v>CCP</v>
      </c>
      <c r="C208" s="45" t="s">
        <v>679</v>
      </c>
      <c r="D208" s="21" t="s">
        <v>1708</v>
      </c>
      <c r="E208" s="21">
        <v>9</v>
      </c>
      <c r="F208" s="27" t="str">
        <f>Tabela12[[#This Row],[Régua]]&amp;" ("&amp;Tabela12[[#This Row],[Born]]&amp;")"</f>
        <v>T8801C (9)</v>
      </c>
      <c r="G208" s="27">
        <f>LEN(Tabela12[[#This Row],[Anilha]])</f>
        <v>10</v>
      </c>
      <c r="H208" s="21">
        <f>VLOOKUP(Tabela12[[#This Row],[Tag Cabo]],BD!A:F,6,0)</f>
        <v>1</v>
      </c>
      <c r="I208" s="27" t="s">
        <v>1705</v>
      </c>
      <c r="J208" s="27" t="s">
        <v>1706</v>
      </c>
    </row>
    <row r="209" spans="1:10" x14ac:dyDescent="0.25">
      <c r="A209" s="216" t="s">
        <v>1071</v>
      </c>
      <c r="B209" s="45" t="str">
        <f>VLOOKUP(Tabela12[[#This Row],[Painel]],Tabela13[],2,0)</f>
        <v>CCP</v>
      </c>
      <c r="C209" s="45" t="s">
        <v>679</v>
      </c>
      <c r="D209" s="21" t="s">
        <v>1708</v>
      </c>
      <c r="E209" s="21">
        <v>10</v>
      </c>
      <c r="F209" s="27" t="str">
        <f>Tabela12[[#This Row],[Régua]]&amp;" ("&amp;Tabela12[[#This Row],[Born]]&amp;")"</f>
        <v>T8801C (10)</v>
      </c>
      <c r="G209" s="27">
        <f>LEN(Tabela12[[#This Row],[Anilha]])</f>
        <v>11</v>
      </c>
      <c r="H209" s="21">
        <f>VLOOKUP(Tabela12[[#This Row],[Tag Cabo]],BD!A:F,6,0)</f>
        <v>1</v>
      </c>
      <c r="I209" s="27" t="s">
        <v>1705</v>
      </c>
      <c r="J209" s="27" t="s">
        <v>1706</v>
      </c>
    </row>
    <row r="210" spans="1:10" x14ac:dyDescent="0.25">
      <c r="A210" s="216" t="s">
        <v>1071</v>
      </c>
      <c r="B210" s="45" t="str">
        <f>VLOOKUP(Tabela12[[#This Row],[Painel]],Tabela13[],2,0)</f>
        <v>CCP</v>
      </c>
      <c r="C210" s="45" t="s">
        <v>1592</v>
      </c>
      <c r="D210" s="21" t="s">
        <v>1750</v>
      </c>
      <c r="E210" s="21">
        <v>7</v>
      </c>
      <c r="F210" s="27" t="str">
        <f>Tabela12[[#This Row],[Régua]]&amp;" ("&amp;Tabela12[[#This Row],[Born]]&amp;")"</f>
        <v>RB-SD1 (7)</v>
      </c>
      <c r="G210" s="27">
        <f>LEN(Tabela12[[#This Row],[Anilha]])</f>
        <v>10</v>
      </c>
      <c r="H210" s="21">
        <f>VLOOKUP(Tabela12[[#This Row],[Tag Cabo]],BD!A:F,6,0)</f>
        <v>1</v>
      </c>
      <c r="I210" s="27" t="s">
        <v>1705</v>
      </c>
      <c r="J210" s="27" t="s">
        <v>1706</v>
      </c>
    </row>
    <row r="211" spans="1:10" x14ac:dyDescent="0.25">
      <c r="A211" s="216" t="s">
        <v>1071</v>
      </c>
      <c r="B211" s="45" t="str">
        <f>VLOOKUP(Tabela12[[#This Row],[Painel]],Tabela13[],2,0)</f>
        <v>CCP</v>
      </c>
      <c r="C211" s="45" t="s">
        <v>1592</v>
      </c>
      <c r="D211" s="21" t="s">
        <v>1750</v>
      </c>
      <c r="E211" s="21">
        <v>8</v>
      </c>
      <c r="F211" s="27" t="str">
        <f>Tabela12[[#This Row],[Régua]]&amp;" ("&amp;Tabela12[[#This Row],[Born]]&amp;")"</f>
        <v>RB-SD1 (8)</v>
      </c>
      <c r="G211" s="27">
        <f>LEN(Tabela12[[#This Row],[Anilha]])</f>
        <v>10</v>
      </c>
      <c r="H211" s="21">
        <f>VLOOKUP(Tabela12[[#This Row],[Tag Cabo]],BD!A:F,6,0)</f>
        <v>1</v>
      </c>
      <c r="I211" s="27" t="s">
        <v>1705</v>
      </c>
      <c r="J211" s="27" t="s">
        <v>1706</v>
      </c>
    </row>
    <row r="212" spans="1:10" x14ac:dyDescent="0.25">
      <c r="A212" s="216" t="s">
        <v>1071</v>
      </c>
      <c r="B212" s="45" t="str">
        <f>VLOOKUP(Tabela12[[#This Row],[Painel]],Tabela13[],2,0)</f>
        <v>CCP</v>
      </c>
      <c r="C212" s="45" t="s">
        <v>679</v>
      </c>
      <c r="D212" s="21" t="s">
        <v>1708</v>
      </c>
      <c r="E212" s="21">
        <v>11</v>
      </c>
      <c r="F212" s="27" t="str">
        <f>Tabela12[[#This Row],[Régua]]&amp;" ("&amp;Tabela12[[#This Row],[Born]]&amp;")"</f>
        <v>T8801C (11)</v>
      </c>
      <c r="G212" s="27">
        <f>LEN(Tabela12[[#This Row],[Anilha]])</f>
        <v>11</v>
      </c>
      <c r="H212" s="21">
        <f>VLOOKUP(Tabela12[[#This Row],[Tag Cabo]],BD!A:F,6,0)</f>
        <v>1</v>
      </c>
      <c r="I212" s="27" t="s">
        <v>1705</v>
      </c>
      <c r="J212" s="27" t="s">
        <v>1706</v>
      </c>
    </row>
    <row r="213" spans="1:10" x14ac:dyDescent="0.25">
      <c r="A213" s="216" t="s">
        <v>1071</v>
      </c>
      <c r="B213" s="45" t="str">
        <f>VLOOKUP(Tabela12[[#This Row],[Painel]],Tabela13[],2,0)</f>
        <v>CCP</v>
      </c>
      <c r="C213" s="45" t="s">
        <v>679</v>
      </c>
      <c r="D213" s="21" t="s">
        <v>1708</v>
      </c>
      <c r="E213" s="21">
        <v>12</v>
      </c>
      <c r="F213" s="27" t="str">
        <f>Tabela12[[#This Row],[Régua]]&amp;" ("&amp;Tabela12[[#This Row],[Born]]&amp;")"</f>
        <v>T8801C (12)</v>
      </c>
      <c r="G213" s="27">
        <f>LEN(Tabela12[[#This Row],[Anilha]])</f>
        <v>11</v>
      </c>
      <c r="H213" s="21">
        <f>VLOOKUP(Tabela12[[#This Row],[Tag Cabo]],BD!A:F,6,0)</f>
        <v>1</v>
      </c>
      <c r="I213" s="27" t="s">
        <v>1705</v>
      </c>
      <c r="J213" s="27" t="s">
        <v>1706</v>
      </c>
    </row>
    <row r="214" spans="1:10" x14ac:dyDescent="0.25">
      <c r="A214" s="216" t="s">
        <v>1071</v>
      </c>
      <c r="B214" s="45" t="str">
        <f>VLOOKUP(Tabela12[[#This Row],[Painel]],Tabela13[],2,0)</f>
        <v>CCP</v>
      </c>
      <c r="C214" s="45" t="s">
        <v>1592</v>
      </c>
      <c r="D214" s="21" t="s">
        <v>1750</v>
      </c>
      <c r="E214" s="21">
        <v>10</v>
      </c>
      <c r="F214" s="27" t="str">
        <f>Tabela12[[#This Row],[Régua]]&amp;" ("&amp;Tabela12[[#This Row],[Born]]&amp;")"</f>
        <v>RB-SD1 (10)</v>
      </c>
      <c r="G214" s="27">
        <f>LEN(Tabela12[[#This Row],[Anilha]])</f>
        <v>11</v>
      </c>
      <c r="H214" s="21">
        <f>VLOOKUP(Tabela12[[#This Row],[Tag Cabo]],BD!A:F,6,0)</f>
        <v>1</v>
      </c>
      <c r="I214" s="27" t="s">
        <v>1705</v>
      </c>
      <c r="J214" s="27" t="s">
        <v>1706</v>
      </c>
    </row>
    <row r="215" spans="1:10" x14ac:dyDescent="0.25">
      <c r="A215" s="216" t="s">
        <v>1071</v>
      </c>
      <c r="B215" s="45" t="str">
        <f>VLOOKUP(Tabela12[[#This Row],[Painel]],Tabela13[],2,0)</f>
        <v>CCP</v>
      </c>
      <c r="C215" s="45" t="s">
        <v>1592</v>
      </c>
      <c r="D215" s="21" t="s">
        <v>1750</v>
      </c>
      <c r="E215" s="21">
        <v>11</v>
      </c>
      <c r="F215" s="27" t="str">
        <f>Tabela12[[#This Row],[Régua]]&amp;" ("&amp;Tabela12[[#This Row],[Born]]&amp;")"</f>
        <v>RB-SD1 (11)</v>
      </c>
      <c r="G215" s="27">
        <f>LEN(Tabela12[[#This Row],[Anilha]])</f>
        <v>11</v>
      </c>
      <c r="H215" s="21">
        <f>VLOOKUP(Tabela12[[#This Row],[Tag Cabo]],BD!A:F,6,0)</f>
        <v>1</v>
      </c>
      <c r="I215" s="27" t="s">
        <v>1705</v>
      </c>
      <c r="J215" s="27" t="s">
        <v>1706</v>
      </c>
    </row>
    <row r="216" spans="1:10" x14ac:dyDescent="0.25">
      <c r="A216" s="216" t="s">
        <v>1071</v>
      </c>
      <c r="B216" s="45" t="str">
        <f>VLOOKUP(Tabela12[[#This Row],[Painel]],Tabela13[],2,0)</f>
        <v>CCP</v>
      </c>
      <c r="C216" s="45" t="s">
        <v>679</v>
      </c>
      <c r="D216" s="21" t="s">
        <v>1708</v>
      </c>
      <c r="E216" s="21">
        <v>13</v>
      </c>
      <c r="F216" s="27" t="str">
        <f>Tabela12[[#This Row],[Régua]]&amp;" ("&amp;Tabela12[[#This Row],[Born]]&amp;")"</f>
        <v>T8801C (13)</v>
      </c>
      <c r="G216" s="27">
        <f>LEN(Tabela12[[#This Row],[Anilha]])</f>
        <v>11</v>
      </c>
      <c r="H216" s="21">
        <f>VLOOKUP(Tabela12[[#This Row],[Tag Cabo]],BD!A:F,6,0)</f>
        <v>1</v>
      </c>
      <c r="I216" s="27" t="s">
        <v>1705</v>
      </c>
      <c r="J216" s="27" t="s">
        <v>1706</v>
      </c>
    </row>
    <row r="217" spans="1:10" x14ac:dyDescent="0.25">
      <c r="A217" s="216" t="s">
        <v>1071</v>
      </c>
      <c r="B217" s="45" t="str">
        <f>VLOOKUP(Tabela12[[#This Row],[Painel]],Tabela13[],2,0)</f>
        <v>CCP</v>
      </c>
      <c r="C217" s="45" t="s">
        <v>679</v>
      </c>
      <c r="D217" s="21" t="s">
        <v>1708</v>
      </c>
      <c r="E217" s="21">
        <v>14</v>
      </c>
      <c r="F217" s="27" t="str">
        <f>Tabela12[[#This Row],[Régua]]&amp;" ("&amp;Tabela12[[#This Row],[Born]]&amp;")"</f>
        <v>T8801C (14)</v>
      </c>
      <c r="G217" s="27">
        <f>LEN(Tabela12[[#This Row],[Anilha]])</f>
        <v>11</v>
      </c>
      <c r="H217" s="21">
        <f>VLOOKUP(Tabela12[[#This Row],[Tag Cabo]],BD!A:F,6,0)</f>
        <v>1</v>
      </c>
      <c r="I217" s="27" t="s">
        <v>1705</v>
      </c>
      <c r="J217" s="27" t="s">
        <v>1706</v>
      </c>
    </row>
    <row r="218" spans="1:10" x14ac:dyDescent="0.25">
      <c r="A218" s="216" t="s">
        <v>1071</v>
      </c>
      <c r="B218" s="45" t="str">
        <f>VLOOKUP(Tabela12[[#This Row],[Painel]],Tabela13[],2,0)</f>
        <v>CCP</v>
      </c>
      <c r="C218" s="45" t="s">
        <v>1592</v>
      </c>
      <c r="D218" s="21" t="s">
        <v>1752</v>
      </c>
      <c r="E218" s="21">
        <v>7</v>
      </c>
      <c r="F218" s="27" t="str">
        <f>Tabela12[[#This Row],[Régua]]&amp;" ("&amp;Tabela12[[#This Row],[Born]]&amp;")"</f>
        <v>RB-SD2 (7)</v>
      </c>
      <c r="G218" s="27">
        <f>LEN(Tabela12[[#This Row],[Anilha]])</f>
        <v>10</v>
      </c>
      <c r="H218" s="21">
        <f>VLOOKUP(Tabela12[[#This Row],[Tag Cabo]],BD!A:F,6,0)</f>
        <v>1</v>
      </c>
      <c r="I218" s="27" t="s">
        <v>1705</v>
      </c>
      <c r="J218" s="27" t="s">
        <v>1706</v>
      </c>
    </row>
    <row r="219" spans="1:10" x14ac:dyDescent="0.25">
      <c r="A219" s="216" t="s">
        <v>1071</v>
      </c>
      <c r="B219" s="45" t="str">
        <f>VLOOKUP(Tabela12[[#This Row],[Painel]],Tabela13[],2,0)</f>
        <v>CCP</v>
      </c>
      <c r="C219" s="45" t="s">
        <v>1592</v>
      </c>
      <c r="D219" s="21" t="s">
        <v>1752</v>
      </c>
      <c r="E219" s="21">
        <v>8</v>
      </c>
      <c r="F219" s="27" t="str">
        <f>Tabela12[[#This Row],[Régua]]&amp;" ("&amp;Tabela12[[#This Row],[Born]]&amp;")"</f>
        <v>RB-SD2 (8)</v>
      </c>
      <c r="G219" s="27">
        <f>LEN(Tabela12[[#This Row],[Anilha]])</f>
        <v>10</v>
      </c>
      <c r="H219" s="21">
        <f>VLOOKUP(Tabela12[[#This Row],[Tag Cabo]],BD!A:F,6,0)</f>
        <v>1</v>
      </c>
      <c r="I219" s="27" t="s">
        <v>1705</v>
      </c>
      <c r="J219" s="27" t="s">
        <v>1706</v>
      </c>
    </row>
    <row r="220" spans="1:10" x14ac:dyDescent="0.25">
      <c r="A220" s="216" t="s">
        <v>1071</v>
      </c>
      <c r="B220" s="45" t="str">
        <f>VLOOKUP(Tabela12[[#This Row],[Painel]],Tabela13[],2,0)</f>
        <v>CCP</v>
      </c>
      <c r="C220" s="45" t="s">
        <v>679</v>
      </c>
      <c r="D220" s="21" t="s">
        <v>1708</v>
      </c>
      <c r="E220" s="21">
        <v>15</v>
      </c>
      <c r="F220" s="27" t="str">
        <f>Tabela12[[#This Row],[Régua]]&amp;" ("&amp;Tabela12[[#This Row],[Born]]&amp;")"</f>
        <v>T8801C (15)</v>
      </c>
      <c r="G220" s="27">
        <f>LEN(Tabela12[[#This Row],[Anilha]])</f>
        <v>11</v>
      </c>
      <c r="H220" s="21">
        <f>VLOOKUP(Tabela12[[#This Row],[Tag Cabo]],BD!A:F,6,0)</f>
        <v>1</v>
      </c>
      <c r="I220" s="27" t="s">
        <v>1705</v>
      </c>
      <c r="J220" s="27" t="s">
        <v>1706</v>
      </c>
    </row>
    <row r="221" spans="1:10" x14ac:dyDescent="0.25">
      <c r="A221" s="216" t="s">
        <v>1071</v>
      </c>
      <c r="B221" s="45" t="str">
        <f>VLOOKUP(Tabela12[[#This Row],[Painel]],Tabela13[],2,0)</f>
        <v>CCP</v>
      </c>
      <c r="C221" s="45" t="s">
        <v>679</v>
      </c>
      <c r="D221" s="21" t="s">
        <v>1708</v>
      </c>
      <c r="E221" s="21">
        <v>16</v>
      </c>
      <c r="F221" s="27" t="str">
        <f>Tabela12[[#This Row],[Régua]]&amp;" ("&amp;Tabela12[[#This Row],[Born]]&amp;")"</f>
        <v>T8801C (16)</v>
      </c>
      <c r="G221" s="27">
        <f>LEN(Tabela12[[#This Row],[Anilha]])</f>
        <v>11</v>
      </c>
      <c r="H221" s="21">
        <f>VLOOKUP(Tabela12[[#This Row],[Tag Cabo]],BD!A:F,6,0)</f>
        <v>1</v>
      </c>
      <c r="I221" s="27" t="s">
        <v>1705</v>
      </c>
      <c r="J221" s="27" t="s">
        <v>1706</v>
      </c>
    </row>
    <row r="222" spans="1:10" x14ac:dyDescent="0.25">
      <c r="A222" s="21" t="s">
        <v>1370</v>
      </c>
      <c r="B222" s="391" t="str">
        <f>VLOOKUP(Tabela12[[#This Row],[Painel]],Tabela13[],2,0)</f>
        <v>GB-351</v>
      </c>
      <c r="C222" s="391" t="s">
        <v>1141</v>
      </c>
      <c r="D222" s="21" t="s">
        <v>1754</v>
      </c>
      <c r="E222" s="21">
        <v>1</v>
      </c>
      <c r="F222" s="27" t="str">
        <f>Tabela12[[#This Row],[Régua]]&amp;" ("&amp;Tabela12[[#This Row],[Born]]&amp;")"</f>
        <v>TS1 (1)</v>
      </c>
      <c r="G222" s="27">
        <f>LEN(Tabela12[[#This Row],[Anilha]])</f>
        <v>7</v>
      </c>
      <c r="H222" s="21">
        <f>VLOOKUP(Tabela12[[#This Row],[Tag Cabo]],BD!A:F,6,0)</f>
        <v>1</v>
      </c>
      <c r="I222" s="27" t="s">
        <v>1705</v>
      </c>
      <c r="J222" s="27" t="s">
        <v>1706</v>
      </c>
    </row>
    <row r="223" spans="1:10" x14ac:dyDescent="0.25">
      <c r="A223" s="21" t="s">
        <v>1370</v>
      </c>
      <c r="B223" s="391" t="str">
        <f>VLOOKUP(Tabela12[[#This Row],[Painel]],Tabela13[],2,0)</f>
        <v>GB-351</v>
      </c>
      <c r="C223" s="391" t="s">
        <v>1141</v>
      </c>
      <c r="D223" s="21" t="s">
        <v>1754</v>
      </c>
      <c r="E223" s="21">
        <v>2</v>
      </c>
      <c r="F223" s="27" t="str">
        <f>Tabela12[[#This Row],[Régua]]&amp;" ("&amp;Tabela12[[#This Row],[Born]]&amp;")"</f>
        <v>TS1 (2)</v>
      </c>
      <c r="G223" s="27">
        <f>LEN(Tabela12[[#This Row],[Anilha]])</f>
        <v>7</v>
      </c>
      <c r="H223" s="21">
        <f>VLOOKUP(Tabela12[[#This Row],[Tag Cabo]],BD!A:F,6,0)</f>
        <v>1</v>
      </c>
      <c r="I223" s="27" t="s">
        <v>1705</v>
      </c>
      <c r="J223" s="27" t="s">
        <v>1706</v>
      </c>
    </row>
    <row r="224" spans="1:10" x14ac:dyDescent="0.25">
      <c r="A224" s="21" t="s">
        <v>1370</v>
      </c>
      <c r="B224" s="391" t="str">
        <f>VLOOKUP(Tabela12[[#This Row],[Painel]],Tabela13[],2,0)</f>
        <v>GB-351</v>
      </c>
      <c r="C224" s="391" t="s">
        <v>1141</v>
      </c>
      <c r="D224" s="21" t="s">
        <v>1754</v>
      </c>
      <c r="E224" s="21">
        <v>3</v>
      </c>
      <c r="F224" s="27" t="str">
        <f>Tabela12[[#This Row],[Régua]]&amp;" ("&amp;Tabela12[[#This Row],[Born]]&amp;")"</f>
        <v>TS1 (3)</v>
      </c>
      <c r="G224" s="27">
        <f>LEN(Tabela12[[#This Row],[Anilha]])</f>
        <v>7</v>
      </c>
      <c r="H224" s="21">
        <f>VLOOKUP(Tabela12[[#This Row],[Tag Cabo]],BD!A:F,6,0)</f>
        <v>1</v>
      </c>
      <c r="I224" s="27" t="s">
        <v>1705</v>
      </c>
      <c r="J224" s="27" t="s">
        <v>1706</v>
      </c>
    </row>
    <row r="225" spans="1:10" x14ac:dyDescent="0.25">
      <c r="A225" s="21" t="s">
        <v>1370</v>
      </c>
      <c r="B225" s="391" t="str">
        <f>VLOOKUP(Tabela12[[#This Row],[Painel]],Tabela13[],2,0)</f>
        <v>GB-351</v>
      </c>
      <c r="C225" s="391" t="s">
        <v>1162</v>
      </c>
      <c r="D225" s="21" t="s">
        <v>1755</v>
      </c>
      <c r="E225" s="21">
        <v>1</v>
      </c>
      <c r="F225" s="27" t="str">
        <f>Tabela12[[#This Row],[Régua]]&amp;" ("&amp;Tabela12[[#This Row],[Born]]&amp;")"</f>
        <v>TTU1 (1)</v>
      </c>
      <c r="G225" s="27">
        <f>LEN(Tabela12[[#This Row],[Anilha]])</f>
        <v>8</v>
      </c>
      <c r="H225" s="21">
        <f>VLOOKUP(Tabela12[[#This Row],[Tag Cabo]],BD!A:F,6,0)</f>
        <v>1</v>
      </c>
      <c r="I225" s="27" t="s">
        <v>1705</v>
      </c>
      <c r="J225" s="27" t="s">
        <v>1706</v>
      </c>
    </row>
    <row r="226" spans="1:10" x14ac:dyDescent="0.25">
      <c r="A226" s="21" t="s">
        <v>1370</v>
      </c>
      <c r="B226" s="391" t="str">
        <f>VLOOKUP(Tabela12[[#This Row],[Painel]],Tabela13[],2,0)</f>
        <v>GB-351</v>
      </c>
      <c r="C226" s="391" t="s">
        <v>1162</v>
      </c>
      <c r="D226" s="21" t="s">
        <v>1755</v>
      </c>
      <c r="E226" s="21">
        <v>2</v>
      </c>
      <c r="F226" s="27" t="str">
        <f>Tabela12[[#This Row],[Régua]]&amp;" ("&amp;Tabela12[[#This Row],[Born]]&amp;")"</f>
        <v>TTU1 (2)</v>
      </c>
      <c r="G226" s="27">
        <f>LEN(Tabela12[[#This Row],[Anilha]])</f>
        <v>8</v>
      </c>
      <c r="H226" s="21">
        <f>VLOOKUP(Tabela12[[#This Row],[Tag Cabo]],BD!A:F,6,0)</f>
        <v>1</v>
      </c>
      <c r="I226" s="27" t="s">
        <v>1705</v>
      </c>
      <c r="J226" s="27" t="s">
        <v>1706</v>
      </c>
    </row>
    <row r="227" spans="1:10" x14ac:dyDescent="0.25">
      <c r="A227" s="21" t="s">
        <v>1370</v>
      </c>
      <c r="B227" s="391" t="str">
        <f>VLOOKUP(Tabela12[[#This Row],[Painel]],Tabela13[],2,0)</f>
        <v>GB-351</v>
      </c>
      <c r="C227" s="391" t="s">
        <v>1162</v>
      </c>
      <c r="D227" s="21" t="s">
        <v>1755</v>
      </c>
      <c r="E227" s="21">
        <v>3</v>
      </c>
      <c r="F227" s="27" t="str">
        <f>Tabela12[[#This Row],[Régua]]&amp;" ("&amp;Tabela12[[#This Row],[Born]]&amp;")"</f>
        <v>TTU1 (3)</v>
      </c>
      <c r="G227" s="27">
        <f>LEN(Tabela12[[#This Row],[Anilha]])</f>
        <v>8</v>
      </c>
      <c r="H227" s="21">
        <f>VLOOKUP(Tabela12[[#This Row],[Tag Cabo]],BD!A:F,6,0)</f>
        <v>1</v>
      </c>
      <c r="I227" s="27" t="s">
        <v>1705</v>
      </c>
      <c r="J227" s="27" t="s">
        <v>1706</v>
      </c>
    </row>
    <row r="228" spans="1:10" x14ac:dyDescent="0.25">
      <c r="A228" s="21" t="s">
        <v>1370</v>
      </c>
      <c r="B228" s="391" t="str">
        <f>VLOOKUP(Tabela12[[#This Row],[Painel]],Tabela13[],2,0)</f>
        <v>GB-351</v>
      </c>
      <c r="C228" s="391" t="s">
        <v>1141</v>
      </c>
      <c r="D228" s="21" t="s">
        <v>1754</v>
      </c>
      <c r="E228" s="21">
        <v>5</v>
      </c>
      <c r="F228" s="27" t="str">
        <f>Tabela12[[#This Row],[Régua]]&amp;" ("&amp;Tabela12[[#This Row],[Born]]&amp;")"</f>
        <v>TS1 (5)</v>
      </c>
      <c r="G228" s="27">
        <f>LEN(Tabela12[[#This Row],[Anilha]])</f>
        <v>7</v>
      </c>
      <c r="H228" s="21">
        <f>VLOOKUP(Tabela12[[#This Row],[Tag Cabo]],BD!A:F,6,0)</f>
        <v>1</v>
      </c>
      <c r="I228" s="27" t="s">
        <v>1705</v>
      </c>
      <c r="J228" s="27" t="s">
        <v>1706</v>
      </c>
    </row>
    <row r="229" spans="1:10" x14ac:dyDescent="0.25">
      <c r="A229" s="21" t="s">
        <v>1370</v>
      </c>
      <c r="B229" s="391" t="str">
        <f>VLOOKUP(Tabela12[[#This Row],[Painel]],Tabela13[],2,0)</f>
        <v>GB-351</v>
      </c>
      <c r="C229" s="391" t="s">
        <v>1141</v>
      </c>
      <c r="D229" s="21" t="s">
        <v>1754</v>
      </c>
      <c r="E229" s="21">
        <v>6</v>
      </c>
      <c r="F229" s="27" t="str">
        <f>Tabela12[[#This Row],[Régua]]&amp;" ("&amp;Tabela12[[#This Row],[Born]]&amp;")"</f>
        <v>TS1 (6)</v>
      </c>
      <c r="G229" s="27">
        <f>LEN(Tabela12[[#This Row],[Anilha]])</f>
        <v>7</v>
      </c>
      <c r="H229" s="21">
        <f>VLOOKUP(Tabela12[[#This Row],[Tag Cabo]],BD!A:F,6,0)</f>
        <v>1</v>
      </c>
      <c r="I229" s="27" t="s">
        <v>1705</v>
      </c>
      <c r="J229" s="27" t="s">
        <v>1706</v>
      </c>
    </row>
    <row r="230" spans="1:10" x14ac:dyDescent="0.25">
      <c r="A230" s="21" t="s">
        <v>1370</v>
      </c>
      <c r="B230" s="391" t="str">
        <f>VLOOKUP(Tabela12[[#This Row],[Painel]],Tabela13[],2,0)</f>
        <v>GB-351</v>
      </c>
      <c r="C230" s="391" t="s">
        <v>1141</v>
      </c>
      <c r="D230" s="21" t="s">
        <v>1754</v>
      </c>
      <c r="E230" s="21">
        <v>7</v>
      </c>
      <c r="F230" s="27" t="str">
        <f>Tabela12[[#This Row],[Régua]]&amp;" ("&amp;Tabela12[[#This Row],[Born]]&amp;")"</f>
        <v>TS1 (7)</v>
      </c>
      <c r="G230" s="27">
        <f>LEN(Tabela12[[#This Row],[Anilha]])</f>
        <v>7</v>
      </c>
      <c r="H230" s="21">
        <f>VLOOKUP(Tabela12[[#This Row],[Tag Cabo]],BD!A:F,6,0)</f>
        <v>1</v>
      </c>
      <c r="I230" s="27" t="s">
        <v>1705</v>
      </c>
      <c r="J230" s="27" t="s">
        <v>1706</v>
      </c>
    </row>
    <row r="231" spans="1:10" x14ac:dyDescent="0.25">
      <c r="A231" s="21" t="s">
        <v>1370</v>
      </c>
      <c r="B231" s="391" t="str">
        <f>VLOOKUP(Tabela12[[#This Row],[Painel]],Tabela13[],2,0)</f>
        <v>GB-351</v>
      </c>
      <c r="C231" s="391" t="s">
        <v>1162</v>
      </c>
      <c r="D231" s="21" t="s">
        <v>1756</v>
      </c>
      <c r="E231" s="21">
        <v>1</v>
      </c>
      <c r="F231" s="27" t="str">
        <f>Tabela12[[#This Row],[Régua]]&amp;" ("&amp;Tabela12[[#This Row],[Born]]&amp;")"</f>
        <v>TTU2 (1)</v>
      </c>
      <c r="G231" s="27">
        <f>LEN(Tabela12[[#This Row],[Anilha]])</f>
        <v>8</v>
      </c>
      <c r="H231" s="21">
        <f>VLOOKUP(Tabela12[[#This Row],[Tag Cabo]],BD!A:F,6,0)</f>
        <v>1</v>
      </c>
      <c r="I231" s="27" t="s">
        <v>1705</v>
      </c>
      <c r="J231" s="27" t="s">
        <v>1706</v>
      </c>
    </row>
    <row r="232" spans="1:10" x14ac:dyDescent="0.25">
      <c r="A232" s="21" t="s">
        <v>1370</v>
      </c>
      <c r="B232" s="391" t="str">
        <f>VLOOKUP(Tabela12[[#This Row],[Painel]],Tabela13[],2,0)</f>
        <v>GB-351</v>
      </c>
      <c r="C232" s="391" t="s">
        <v>1162</v>
      </c>
      <c r="D232" s="21" t="s">
        <v>1756</v>
      </c>
      <c r="E232" s="21">
        <v>2</v>
      </c>
      <c r="F232" s="27" t="str">
        <f>Tabela12[[#This Row],[Régua]]&amp;" ("&amp;Tabela12[[#This Row],[Born]]&amp;")"</f>
        <v>TTU2 (2)</v>
      </c>
      <c r="G232" s="27">
        <f>LEN(Tabela12[[#This Row],[Anilha]])</f>
        <v>8</v>
      </c>
      <c r="H232" s="21">
        <f>VLOOKUP(Tabela12[[#This Row],[Tag Cabo]],BD!A:F,6,0)</f>
        <v>1</v>
      </c>
      <c r="I232" s="27" t="s">
        <v>1705</v>
      </c>
      <c r="J232" s="27" t="s">
        <v>1706</v>
      </c>
    </row>
    <row r="233" spans="1:10" x14ac:dyDescent="0.25">
      <c r="A233" s="21" t="s">
        <v>1370</v>
      </c>
      <c r="B233" s="391" t="str">
        <f>VLOOKUP(Tabela12[[#This Row],[Painel]],Tabela13[],2,0)</f>
        <v>GB-351</v>
      </c>
      <c r="C233" s="391" t="s">
        <v>1162</v>
      </c>
      <c r="D233" s="21" t="s">
        <v>1756</v>
      </c>
      <c r="E233" s="21">
        <v>3</v>
      </c>
      <c r="F233" s="27" t="str">
        <f>Tabela12[[#This Row],[Régua]]&amp;" ("&amp;Tabela12[[#This Row],[Born]]&amp;")"</f>
        <v>TTU2 (3)</v>
      </c>
      <c r="G233" s="27">
        <f>LEN(Tabela12[[#This Row],[Anilha]])</f>
        <v>8</v>
      </c>
      <c r="H233" s="21">
        <f>VLOOKUP(Tabela12[[#This Row],[Tag Cabo]],BD!A:F,6,0)</f>
        <v>1</v>
      </c>
      <c r="I233" s="27" t="s">
        <v>1705</v>
      </c>
      <c r="J233" s="27" t="s">
        <v>1706</v>
      </c>
    </row>
    <row r="234" spans="1:10" x14ac:dyDescent="0.25">
      <c r="A234" s="21" t="s">
        <v>1370</v>
      </c>
      <c r="B234" s="391" t="str">
        <f>VLOOKUP(Tabela12[[#This Row],[Painel]],Tabela13[],2,0)</f>
        <v>GB-351</v>
      </c>
      <c r="C234" s="391" t="s">
        <v>1141</v>
      </c>
      <c r="D234" s="21" t="s">
        <v>1754</v>
      </c>
      <c r="E234" s="21">
        <v>9</v>
      </c>
      <c r="F234" s="27" t="str">
        <f>Tabela12[[#This Row],[Régua]]&amp;" ("&amp;Tabela12[[#This Row],[Born]]&amp;")"</f>
        <v>TS1 (9)</v>
      </c>
      <c r="G234" s="27">
        <f>LEN(Tabela12[[#This Row],[Anilha]])</f>
        <v>7</v>
      </c>
      <c r="H234" s="27">
        <f>VLOOKUP(Tabela12[[#This Row],[Tag Cabo]],BD!A:F,6,0)</f>
        <v>1</v>
      </c>
      <c r="I234" s="27" t="s">
        <v>1705</v>
      </c>
      <c r="J234" s="27" t="s">
        <v>1706</v>
      </c>
    </row>
    <row r="235" spans="1:10" x14ac:dyDescent="0.25">
      <c r="A235" s="21" t="s">
        <v>1370</v>
      </c>
      <c r="B235" s="391" t="str">
        <f>VLOOKUP(Tabela12[[#This Row],[Painel]],Tabela13[],2,0)</f>
        <v>GB-351</v>
      </c>
      <c r="C235" s="391" t="s">
        <v>1141</v>
      </c>
      <c r="D235" s="21" t="s">
        <v>1754</v>
      </c>
      <c r="E235" s="21">
        <v>10</v>
      </c>
      <c r="F235" s="27" t="str">
        <f>Tabela12[[#This Row],[Régua]]&amp;" ("&amp;Tabela12[[#This Row],[Born]]&amp;")"</f>
        <v>TS1 (10)</v>
      </c>
      <c r="G235" s="27">
        <f>LEN(Tabela12[[#This Row],[Anilha]])</f>
        <v>8</v>
      </c>
      <c r="H235" s="27">
        <f>VLOOKUP(Tabela12[[#This Row],[Tag Cabo]],BD!A:F,6,0)</f>
        <v>1</v>
      </c>
      <c r="I235" s="27" t="s">
        <v>1705</v>
      </c>
      <c r="J235" s="27" t="s">
        <v>1706</v>
      </c>
    </row>
    <row r="236" spans="1:10" x14ac:dyDescent="0.25">
      <c r="A236" s="21" t="s">
        <v>1370</v>
      </c>
      <c r="B236" s="391" t="str">
        <f>VLOOKUP(Tabela12[[#This Row],[Painel]],Tabela13[],2,0)</f>
        <v>GB-351</v>
      </c>
      <c r="C236" s="391" t="s">
        <v>1141</v>
      </c>
      <c r="D236" s="21" t="s">
        <v>1754</v>
      </c>
      <c r="E236" s="21">
        <v>11</v>
      </c>
      <c r="F236" s="27" t="str">
        <f>Tabela12[[#This Row],[Régua]]&amp;" ("&amp;Tabela12[[#This Row],[Born]]&amp;")"</f>
        <v>TS1 (11)</v>
      </c>
      <c r="G236" s="27">
        <f>LEN(Tabela12[[#This Row],[Anilha]])</f>
        <v>8</v>
      </c>
      <c r="H236" s="27">
        <f>VLOOKUP(Tabela12[[#This Row],[Tag Cabo]],BD!A:F,6,0)</f>
        <v>1</v>
      </c>
      <c r="I236" s="27" t="s">
        <v>1705</v>
      </c>
      <c r="J236" s="27" t="s">
        <v>1706</v>
      </c>
    </row>
    <row r="237" spans="1:10" x14ac:dyDescent="0.25">
      <c r="A237" s="21" t="s">
        <v>1370</v>
      </c>
      <c r="B237" s="391" t="str">
        <f>VLOOKUP(Tabela12[[#This Row],[Painel]],Tabela13[],2,0)</f>
        <v>GB-351</v>
      </c>
      <c r="C237" s="391" t="s">
        <v>1162</v>
      </c>
      <c r="D237" s="21" t="s">
        <v>1757</v>
      </c>
      <c r="E237" s="21">
        <v>1</v>
      </c>
      <c r="F237" s="27" t="str">
        <f>Tabela12[[#This Row],[Régua]]&amp;" ("&amp;Tabela12[[#This Row],[Born]]&amp;")"</f>
        <v>TTV1 (1)</v>
      </c>
      <c r="G237" s="27">
        <f>LEN(Tabela12[[#This Row],[Anilha]])</f>
        <v>8</v>
      </c>
      <c r="H237" s="27">
        <f>VLOOKUP(Tabela12[[#This Row],[Tag Cabo]],BD!A:F,6,0)</f>
        <v>1</v>
      </c>
      <c r="I237" s="27" t="s">
        <v>1705</v>
      </c>
      <c r="J237" s="27" t="s">
        <v>1706</v>
      </c>
    </row>
    <row r="238" spans="1:10" x14ac:dyDescent="0.25">
      <c r="A238" s="21" t="s">
        <v>1370</v>
      </c>
      <c r="B238" s="391" t="str">
        <f>VLOOKUP(Tabela12[[#This Row],[Painel]],Tabela13[],2,0)</f>
        <v>GB-351</v>
      </c>
      <c r="C238" s="391" t="s">
        <v>1162</v>
      </c>
      <c r="D238" s="21" t="s">
        <v>1757</v>
      </c>
      <c r="E238" s="21">
        <v>2</v>
      </c>
      <c r="F238" s="27" t="str">
        <f>Tabela12[[#This Row],[Régua]]&amp;" ("&amp;Tabela12[[#This Row],[Born]]&amp;")"</f>
        <v>TTV1 (2)</v>
      </c>
      <c r="G238" s="27">
        <f>LEN(Tabela12[[#This Row],[Anilha]])</f>
        <v>8</v>
      </c>
      <c r="H238" s="27">
        <f>VLOOKUP(Tabela12[[#This Row],[Tag Cabo]],BD!A:F,6,0)</f>
        <v>1</v>
      </c>
      <c r="I238" s="27" t="s">
        <v>1705</v>
      </c>
      <c r="J238" s="27" t="s">
        <v>1706</v>
      </c>
    </row>
    <row r="239" spans="1:10" x14ac:dyDescent="0.25">
      <c r="A239" s="21" t="s">
        <v>1370</v>
      </c>
      <c r="B239" s="391" t="str">
        <f>VLOOKUP(Tabela12[[#This Row],[Painel]],Tabela13[],2,0)</f>
        <v>GB-351</v>
      </c>
      <c r="C239" s="391" t="s">
        <v>1162</v>
      </c>
      <c r="D239" s="21" t="s">
        <v>1757</v>
      </c>
      <c r="E239" s="21">
        <v>3</v>
      </c>
      <c r="F239" s="27" t="str">
        <f>Tabela12[[#This Row],[Régua]]&amp;" ("&amp;Tabela12[[#This Row],[Born]]&amp;")"</f>
        <v>TTV1 (3)</v>
      </c>
      <c r="G239" s="27">
        <f>LEN(Tabela12[[#This Row],[Anilha]])</f>
        <v>8</v>
      </c>
      <c r="H239" s="27">
        <f>VLOOKUP(Tabela12[[#This Row],[Tag Cabo]],BD!A:F,6,0)</f>
        <v>1</v>
      </c>
      <c r="I239" s="27" t="s">
        <v>1705</v>
      </c>
      <c r="J239" s="27" t="s">
        <v>1706</v>
      </c>
    </row>
    <row r="240" spans="1:10" x14ac:dyDescent="0.25">
      <c r="A240" s="21" t="s">
        <v>1370</v>
      </c>
      <c r="B240" s="391" t="str">
        <f>VLOOKUP(Tabela12[[#This Row],[Painel]],Tabela13[],2,0)</f>
        <v>GB-351</v>
      </c>
      <c r="C240" s="391" t="s">
        <v>1141</v>
      </c>
      <c r="D240" s="21" t="s">
        <v>1754</v>
      </c>
      <c r="E240" s="21">
        <v>17</v>
      </c>
      <c r="F240" s="27" t="str">
        <f>Tabela12[[#This Row],[Régua]]&amp;" ("&amp;Tabela12[[#This Row],[Born]]&amp;")"</f>
        <v>TS1 (17)</v>
      </c>
      <c r="G240" s="27">
        <f>LEN(Tabela12[[#This Row],[Anilha]])</f>
        <v>8</v>
      </c>
      <c r="H240" s="21">
        <f>VLOOKUP(Tabela12[[#This Row],[Tag Cabo]],BD!A:F,6,0)</f>
        <v>1</v>
      </c>
      <c r="I240" s="27" t="s">
        <v>1705</v>
      </c>
      <c r="J240" s="27" t="s">
        <v>1706</v>
      </c>
    </row>
    <row r="241" spans="1:10" x14ac:dyDescent="0.25">
      <c r="A241" s="21" t="s">
        <v>1370</v>
      </c>
      <c r="B241" s="391" t="str">
        <f>VLOOKUP(Tabela12[[#This Row],[Painel]],Tabela13[],2,0)</f>
        <v>GB-351</v>
      </c>
      <c r="C241" s="391" t="s">
        <v>1141</v>
      </c>
      <c r="D241" s="21" t="s">
        <v>1754</v>
      </c>
      <c r="E241" s="21">
        <v>18</v>
      </c>
      <c r="F241" s="27" t="str">
        <f>Tabela12[[#This Row],[Régua]]&amp;" ("&amp;Tabela12[[#This Row],[Born]]&amp;")"</f>
        <v>TS1 (18)</v>
      </c>
      <c r="G241" s="27">
        <f>LEN(Tabela12[[#This Row],[Anilha]])</f>
        <v>8</v>
      </c>
      <c r="H241" s="21">
        <f>VLOOKUP(Tabela12[[#This Row],[Tag Cabo]],BD!A:F,6,0)</f>
        <v>1</v>
      </c>
      <c r="I241" s="27" t="s">
        <v>1705</v>
      </c>
      <c r="J241" s="27" t="s">
        <v>1706</v>
      </c>
    </row>
    <row r="242" spans="1:10" x14ac:dyDescent="0.25">
      <c r="A242" s="21" t="s">
        <v>1370</v>
      </c>
      <c r="B242" s="391" t="str">
        <f>VLOOKUP(Tabela12[[#This Row],[Painel]],Tabela13[],2,0)</f>
        <v>GB-351</v>
      </c>
      <c r="C242" s="391" t="s">
        <v>1141</v>
      </c>
      <c r="D242" s="21" t="s">
        <v>1754</v>
      </c>
      <c r="E242" s="21">
        <v>19</v>
      </c>
      <c r="F242" s="27" t="str">
        <f>Tabela12[[#This Row],[Régua]]&amp;" ("&amp;Tabela12[[#This Row],[Born]]&amp;")"</f>
        <v>TS1 (19)</v>
      </c>
      <c r="G242" s="27">
        <f>LEN(Tabela12[[#This Row],[Anilha]])</f>
        <v>8</v>
      </c>
      <c r="H242" s="21">
        <f>VLOOKUP(Tabela12[[#This Row],[Tag Cabo]],BD!A:F,6,0)</f>
        <v>1</v>
      </c>
      <c r="I242" s="27" t="s">
        <v>1705</v>
      </c>
      <c r="J242" s="27" t="s">
        <v>1706</v>
      </c>
    </row>
    <row r="243" spans="1:10" x14ac:dyDescent="0.25">
      <c r="A243" s="21" t="s">
        <v>1370</v>
      </c>
      <c r="B243" s="391" t="str">
        <f>VLOOKUP(Tabela12[[#This Row],[Painel]],Tabela13[],2,0)</f>
        <v>GB-351</v>
      </c>
      <c r="C243" s="391" t="s">
        <v>1162</v>
      </c>
      <c r="D243" s="21" t="s">
        <v>1758</v>
      </c>
      <c r="E243" s="21">
        <v>1</v>
      </c>
      <c r="F243" s="27" t="str">
        <f>Tabela12[[#This Row],[Régua]]&amp;" ("&amp;Tabela12[[#This Row],[Born]]&amp;")"</f>
        <v>TTW1 (1)</v>
      </c>
      <c r="G243" s="27">
        <f>LEN(Tabela12[[#This Row],[Anilha]])</f>
        <v>8</v>
      </c>
      <c r="H243" s="21">
        <f>VLOOKUP(Tabela12[[#This Row],[Tag Cabo]],BD!A:F,6,0)</f>
        <v>1</v>
      </c>
      <c r="I243" s="27" t="s">
        <v>1705</v>
      </c>
      <c r="J243" s="27" t="s">
        <v>1706</v>
      </c>
    </row>
    <row r="244" spans="1:10" x14ac:dyDescent="0.25">
      <c r="A244" s="21" t="s">
        <v>1370</v>
      </c>
      <c r="B244" s="391" t="str">
        <f>VLOOKUP(Tabela12[[#This Row],[Painel]],Tabela13[],2,0)</f>
        <v>GB-351</v>
      </c>
      <c r="C244" s="391" t="s">
        <v>1162</v>
      </c>
      <c r="D244" s="21" t="s">
        <v>1758</v>
      </c>
      <c r="E244" s="21">
        <v>2</v>
      </c>
      <c r="F244" s="27" t="str">
        <f>Tabela12[[#This Row],[Régua]]&amp;" ("&amp;Tabela12[[#This Row],[Born]]&amp;")"</f>
        <v>TTW1 (2)</v>
      </c>
      <c r="G244" s="27">
        <f>LEN(Tabela12[[#This Row],[Anilha]])</f>
        <v>8</v>
      </c>
      <c r="H244" s="21">
        <f>VLOOKUP(Tabela12[[#This Row],[Tag Cabo]],BD!A:F,6,0)</f>
        <v>1</v>
      </c>
      <c r="I244" s="27" t="s">
        <v>1705</v>
      </c>
      <c r="J244" s="27" t="s">
        <v>1706</v>
      </c>
    </row>
    <row r="245" spans="1:10" x14ac:dyDescent="0.25">
      <c r="A245" s="21" t="s">
        <v>1370</v>
      </c>
      <c r="B245" s="391" t="str">
        <f>VLOOKUP(Tabela12[[#This Row],[Painel]],Tabela13[],2,0)</f>
        <v>GB-351</v>
      </c>
      <c r="C245" s="391" t="s">
        <v>1162</v>
      </c>
      <c r="D245" s="21" t="s">
        <v>1758</v>
      </c>
      <c r="E245" s="21">
        <v>3</v>
      </c>
      <c r="F245" s="27" t="str">
        <f>Tabela12[[#This Row],[Régua]]&amp;" ("&amp;Tabela12[[#This Row],[Born]]&amp;")"</f>
        <v>TTW1 (3)</v>
      </c>
      <c r="G245" s="27">
        <f>LEN(Tabela12[[#This Row],[Anilha]])</f>
        <v>8</v>
      </c>
      <c r="H245" s="21">
        <f>VLOOKUP(Tabela12[[#This Row],[Tag Cabo]],BD!A:F,6,0)</f>
        <v>1</v>
      </c>
      <c r="I245" s="27" t="s">
        <v>1705</v>
      </c>
      <c r="J245" s="27" t="s">
        <v>1706</v>
      </c>
    </row>
    <row r="246" spans="1:10" x14ac:dyDescent="0.25">
      <c r="A246" s="21" t="s">
        <v>1370</v>
      </c>
      <c r="B246" s="391" t="str">
        <f>VLOOKUP(Tabela12[[#This Row],[Painel]],Tabela13[],2,0)</f>
        <v>GB-351</v>
      </c>
      <c r="C246" s="391" t="s">
        <v>1141</v>
      </c>
      <c r="D246" s="21" t="s">
        <v>1754</v>
      </c>
      <c r="E246" s="21">
        <v>21</v>
      </c>
      <c r="F246" s="27" t="str">
        <f>Tabela12[[#This Row],[Régua]]&amp;" ("&amp;Tabela12[[#This Row],[Born]]&amp;")"</f>
        <v>TS1 (21)</v>
      </c>
      <c r="G246" s="27">
        <f>LEN(Tabela12[[#This Row],[Anilha]])</f>
        <v>8</v>
      </c>
      <c r="H246" s="21">
        <f>VLOOKUP(Tabela12[[#This Row],[Tag Cabo]],BD!A:F,6,0)</f>
        <v>1</v>
      </c>
      <c r="I246" s="27" t="s">
        <v>1705</v>
      </c>
      <c r="J246" s="27" t="s">
        <v>1706</v>
      </c>
    </row>
    <row r="247" spans="1:10" x14ac:dyDescent="0.25">
      <c r="A247" s="21" t="s">
        <v>1370</v>
      </c>
      <c r="B247" s="391" t="str">
        <f>VLOOKUP(Tabela12[[#This Row],[Painel]],Tabela13[],2,0)</f>
        <v>GB-351</v>
      </c>
      <c r="C247" s="391" t="s">
        <v>1141</v>
      </c>
      <c r="D247" s="21" t="s">
        <v>1754</v>
      </c>
      <c r="E247" s="21">
        <v>22</v>
      </c>
      <c r="F247" s="27" t="str">
        <f>Tabela12[[#This Row],[Régua]]&amp;" ("&amp;Tabela12[[#This Row],[Born]]&amp;")"</f>
        <v>TS1 (22)</v>
      </c>
      <c r="G247" s="27">
        <f>LEN(Tabela12[[#This Row],[Anilha]])</f>
        <v>8</v>
      </c>
      <c r="H247" s="21">
        <f>VLOOKUP(Tabela12[[#This Row],[Tag Cabo]],BD!A:F,6,0)</f>
        <v>1</v>
      </c>
      <c r="I247" s="27" t="s">
        <v>1705</v>
      </c>
      <c r="J247" s="27" t="s">
        <v>1706</v>
      </c>
    </row>
    <row r="248" spans="1:10" x14ac:dyDescent="0.25">
      <c r="A248" s="21" t="s">
        <v>1370</v>
      </c>
      <c r="B248" s="391" t="str">
        <f>VLOOKUP(Tabela12[[#This Row],[Painel]],Tabela13[],2,0)</f>
        <v>GB-351</v>
      </c>
      <c r="C248" s="391" t="s">
        <v>1141</v>
      </c>
      <c r="D248" s="21" t="s">
        <v>1754</v>
      </c>
      <c r="E248" s="21">
        <v>23</v>
      </c>
      <c r="F248" s="27" t="str">
        <f>Tabela12[[#This Row],[Régua]]&amp;" ("&amp;Tabela12[[#This Row],[Born]]&amp;")"</f>
        <v>TS1 (23)</v>
      </c>
      <c r="G248" s="27">
        <f>LEN(Tabela12[[#This Row],[Anilha]])</f>
        <v>8</v>
      </c>
      <c r="H248" s="21">
        <f>VLOOKUP(Tabela12[[#This Row],[Tag Cabo]],BD!A:F,6,0)</f>
        <v>1</v>
      </c>
      <c r="I248" s="27" t="s">
        <v>1705</v>
      </c>
      <c r="J248" s="27" t="s">
        <v>1706</v>
      </c>
    </row>
    <row r="249" spans="1:10" x14ac:dyDescent="0.25">
      <c r="A249" s="21" t="s">
        <v>1370</v>
      </c>
      <c r="B249" s="391" t="str">
        <f>VLOOKUP(Tabela12[[#This Row],[Painel]],Tabela13[],2,0)</f>
        <v>GB-351</v>
      </c>
      <c r="C249" s="391" t="s">
        <v>1162</v>
      </c>
      <c r="D249" s="21" t="s">
        <v>1759</v>
      </c>
      <c r="E249" s="21">
        <v>1</v>
      </c>
      <c r="F249" s="27" t="str">
        <f>Tabela12[[#This Row],[Régua]]&amp;" ("&amp;Tabela12[[#This Row],[Born]]&amp;")"</f>
        <v>TTW2 (1)</v>
      </c>
      <c r="G249" s="27">
        <f>LEN(Tabela12[[#This Row],[Anilha]])</f>
        <v>8</v>
      </c>
      <c r="H249" s="21">
        <f>VLOOKUP(Tabela12[[#This Row],[Tag Cabo]],BD!A:F,6,0)</f>
        <v>1</v>
      </c>
      <c r="I249" s="27" t="s">
        <v>1705</v>
      </c>
      <c r="J249" s="27" t="s">
        <v>1706</v>
      </c>
    </row>
    <row r="250" spans="1:10" x14ac:dyDescent="0.25">
      <c r="A250" s="21" t="s">
        <v>1370</v>
      </c>
      <c r="B250" s="391" t="str">
        <f>VLOOKUP(Tabela12[[#This Row],[Painel]],Tabela13[],2,0)</f>
        <v>GB-351</v>
      </c>
      <c r="C250" s="391" t="s">
        <v>1162</v>
      </c>
      <c r="D250" s="21" t="s">
        <v>1759</v>
      </c>
      <c r="E250" s="21">
        <v>2</v>
      </c>
      <c r="F250" s="27" t="str">
        <f>Tabela12[[#This Row],[Régua]]&amp;" ("&amp;Tabela12[[#This Row],[Born]]&amp;")"</f>
        <v>TTW2 (2)</v>
      </c>
      <c r="G250" s="27">
        <f>LEN(Tabela12[[#This Row],[Anilha]])</f>
        <v>8</v>
      </c>
      <c r="H250" s="21">
        <f>VLOOKUP(Tabela12[[#This Row],[Tag Cabo]],BD!A:F,6,0)</f>
        <v>1</v>
      </c>
      <c r="I250" s="27" t="s">
        <v>1705</v>
      </c>
      <c r="J250" s="27" t="s">
        <v>1706</v>
      </c>
    </row>
    <row r="251" spans="1:10" x14ac:dyDescent="0.25">
      <c r="A251" s="21" t="s">
        <v>1370</v>
      </c>
      <c r="B251" s="391" t="str">
        <f>VLOOKUP(Tabela12[[#This Row],[Painel]],Tabela13[],2,0)</f>
        <v>GB-351</v>
      </c>
      <c r="C251" s="391" t="s">
        <v>1162</v>
      </c>
      <c r="D251" s="21" t="s">
        <v>1759</v>
      </c>
      <c r="E251" s="21">
        <v>3</v>
      </c>
      <c r="F251" s="27" t="str">
        <f>Tabela12[[#This Row],[Régua]]&amp;" ("&amp;Tabela12[[#This Row],[Born]]&amp;")"</f>
        <v>TTW2 (3)</v>
      </c>
      <c r="G251" s="27">
        <f>LEN(Tabela12[[#This Row],[Anilha]])</f>
        <v>8</v>
      </c>
      <c r="H251" s="21">
        <f>VLOOKUP(Tabela12[[#This Row],[Tag Cabo]],BD!A:F,6,0)</f>
        <v>1</v>
      </c>
      <c r="I251" s="27" t="s">
        <v>1705</v>
      </c>
      <c r="J251" s="27" t="s">
        <v>1706</v>
      </c>
    </row>
    <row r="252" spans="1:10" x14ac:dyDescent="0.25">
      <c r="A252" s="21" t="s">
        <v>1358</v>
      </c>
      <c r="B252" s="391" t="str">
        <f>VLOOKUP(Tabela12[[#This Row],[Painel]],Tabela13[],2,0)</f>
        <v>Vários</v>
      </c>
      <c r="C252" s="391" t="s">
        <v>1574</v>
      </c>
      <c r="D252" s="21" t="s">
        <v>1358</v>
      </c>
      <c r="E252" s="21" t="s">
        <v>1760</v>
      </c>
      <c r="F252" s="21" t="str">
        <f>Tabela12[[#This Row],[Régua]]&amp;" ("&amp;Tabela12[[#This Row],[Born]]&amp;")"</f>
        <v>FT-90253 (+)</v>
      </c>
      <c r="G252" s="21">
        <f>LEN(Tabela12[[#This Row],[Anilha]])</f>
        <v>12</v>
      </c>
      <c r="H252" s="21">
        <f>VLOOKUP(Tabela12[[#This Row],[Tag Cabo]],BD!A:F,6,0)</f>
        <v>1</v>
      </c>
      <c r="I252" s="27" t="s">
        <v>1705</v>
      </c>
      <c r="J252" s="27" t="s">
        <v>1706</v>
      </c>
    </row>
    <row r="253" spans="1:10" x14ac:dyDescent="0.25">
      <c r="A253" s="21" t="s">
        <v>1358</v>
      </c>
      <c r="B253" s="391" t="str">
        <f>VLOOKUP(Tabela12[[#This Row],[Painel]],Tabela13[],2,0)</f>
        <v>Vários</v>
      </c>
      <c r="C253" s="391" t="s">
        <v>1574</v>
      </c>
      <c r="D253" s="21" t="s">
        <v>1358</v>
      </c>
      <c r="E253" s="21" t="s">
        <v>92</v>
      </c>
      <c r="F253" s="21" t="str">
        <f>Tabela12[[#This Row],[Régua]]&amp;" ("&amp;Tabela12[[#This Row],[Born]]&amp;")"</f>
        <v>FT-90253 (-)</v>
      </c>
      <c r="G253" s="21">
        <f>LEN(Tabela12[[#This Row],[Anilha]])</f>
        <v>12</v>
      </c>
      <c r="H253" s="21">
        <f>VLOOKUP(Tabela12[[#This Row],[Tag Cabo]],BD!A:F,6,0)</f>
        <v>1</v>
      </c>
      <c r="I253" s="27" t="s">
        <v>1705</v>
      </c>
      <c r="J253" s="27" t="s">
        <v>1706</v>
      </c>
    </row>
    <row r="254" spans="1:10" x14ac:dyDescent="0.25">
      <c r="A254" s="21" t="s">
        <v>1358</v>
      </c>
      <c r="B254" s="391" t="str">
        <f>VLOOKUP(Tabela12[[#This Row],[Painel]],Tabela13[],2,0)</f>
        <v>GA-9312/S</v>
      </c>
      <c r="C254" s="391" t="s">
        <v>1228</v>
      </c>
      <c r="D254" s="21" t="s">
        <v>1761</v>
      </c>
      <c r="E254" s="21" t="s">
        <v>1762</v>
      </c>
      <c r="F254" s="21" t="str">
        <f>Tabela12[[#This Row],[Régua]]&amp;" ("&amp;Tabela12[[#This Row],[Born]]&amp;")"</f>
        <v>TS-001 (4+)</v>
      </c>
      <c r="G254" s="21">
        <f>LEN(Tabela12[[#This Row],[Anilha]])</f>
        <v>11</v>
      </c>
      <c r="H254" s="21">
        <f>VLOOKUP(Tabela12[[#This Row],[Tag Cabo]],BD!A:F,6,0)</f>
        <v>1</v>
      </c>
      <c r="I254" s="27" t="s">
        <v>1705</v>
      </c>
      <c r="J254" s="27" t="s">
        <v>1706</v>
      </c>
    </row>
    <row r="255" spans="1:10" x14ac:dyDescent="0.25">
      <c r="A255" s="21" t="s">
        <v>1358</v>
      </c>
      <c r="B255" s="391" t="str">
        <f>VLOOKUP(Tabela12[[#This Row],[Painel]],Tabela13[],2,0)</f>
        <v>GA-9312/S</v>
      </c>
      <c r="C255" s="391" t="s">
        <v>1228</v>
      </c>
      <c r="D255" s="21" t="s">
        <v>1761</v>
      </c>
      <c r="E255" s="21" t="s">
        <v>1744</v>
      </c>
      <c r="F255" s="21" t="str">
        <f>Tabela12[[#This Row],[Régua]]&amp;" ("&amp;Tabela12[[#This Row],[Born]]&amp;")"</f>
        <v>TS-001 (4-)</v>
      </c>
      <c r="G255" s="21">
        <f>LEN(Tabela12[[#This Row],[Anilha]])</f>
        <v>11</v>
      </c>
      <c r="H255" s="21">
        <f>VLOOKUP(Tabela12[[#This Row],[Tag Cabo]],BD!A:F,6,0)</f>
        <v>1</v>
      </c>
      <c r="I255" s="27" t="s">
        <v>1705</v>
      </c>
      <c r="J255" s="27" t="s">
        <v>1706</v>
      </c>
    </row>
    <row r="256" spans="1:10" x14ac:dyDescent="0.25">
      <c r="A256" s="21" t="s">
        <v>1359</v>
      </c>
      <c r="B256" s="391" t="str">
        <f>VLOOKUP(Tabela12[[#This Row],[Painel]],Tabela13[],2,0)</f>
        <v>Vários</v>
      </c>
      <c r="C256" s="391" t="s">
        <v>1574</v>
      </c>
      <c r="D256" s="21" t="s">
        <v>1359</v>
      </c>
      <c r="E256" s="21" t="s">
        <v>1760</v>
      </c>
      <c r="F256" s="21" t="str">
        <f>Tabela12[[#This Row],[Régua]]&amp;" ("&amp;Tabela12[[#This Row],[Born]]&amp;")"</f>
        <v>PT-90417 (+)</v>
      </c>
      <c r="G256" s="21">
        <f>LEN(Tabela12[[#This Row],[Anilha]])</f>
        <v>12</v>
      </c>
      <c r="H256" s="21">
        <f>VLOOKUP(Tabela12[[#This Row],[Tag Cabo]],BD!A:F,6,0)</f>
        <v>1</v>
      </c>
      <c r="I256" s="27" t="s">
        <v>1705</v>
      </c>
      <c r="J256" s="27" t="s">
        <v>1706</v>
      </c>
    </row>
    <row r="257" spans="1:10" x14ac:dyDescent="0.25">
      <c r="A257" s="21" t="s">
        <v>1359</v>
      </c>
      <c r="B257" s="391" t="str">
        <f>VLOOKUP(Tabela12[[#This Row],[Painel]],Tabela13[],2,0)</f>
        <v>Vários</v>
      </c>
      <c r="C257" s="391" t="s">
        <v>1574</v>
      </c>
      <c r="D257" s="21" t="s">
        <v>1359</v>
      </c>
      <c r="E257" s="21" t="s">
        <v>92</v>
      </c>
      <c r="F257" s="21" t="str">
        <f>Tabela12[[#This Row],[Régua]]&amp;" ("&amp;Tabela12[[#This Row],[Born]]&amp;")"</f>
        <v>PT-90417 (-)</v>
      </c>
      <c r="G257" s="21">
        <f>LEN(Tabela12[[#This Row],[Anilha]])</f>
        <v>12</v>
      </c>
      <c r="H257" s="21">
        <f>VLOOKUP(Tabela12[[#This Row],[Tag Cabo]],BD!A:F,6,0)</f>
        <v>1</v>
      </c>
      <c r="I257" s="27" t="s">
        <v>1705</v>
      </c>
      <c r="J257" s="27" t="s">
        <v>1706</v>
      </c>
    </row>
    <row r="258" spans="1:10" x14ac:dyDescent="0.25">
      <c r="A258" s="21" t="s">
        <v>1359</v>
      </c>
      <c r="B258" s="391" t="str">
        <f>VLOOKUP(Tabela12[[#This Row],[Painel]],Tabela13[],2,0)</f>
        <v>GA-9312/S</v>
      </c>
      <c r="C258" s="391" t="s">
        <v>1228</v>
      </c>
      <c r="D258" s="21" t="s">
        <v>1761</v>
      </c>
      <c r="E258" s="21" t="s">
        <v>1742</v>
      </c>
      <c r="F258" s="21" t="str">
        <f>Tabela12[[#This Row],[Régua]]&amp;" ("&amp;Tabela12[[#This Row],[Born]]&amp;")"</f>
        <v>TS-001 (1+)</v>
      </c>
      <c r="G258" s="21">
        <f>LEN(Tabela12[[#This Row],[Anilha]])</f>
        <v>11</v>
      </c>
      <c r="H258" s="21">
        <f>VLOOKUP(Tabela12[[#This Row],[Tag Cabo]],BD!A:F,6,0)</f>
        <v>1</v>
      </c>
      <c r="I258" s="27" t="s">
        <v>1705</v>
      </c>
      <c r="J258" s="27" t="s">
        <v>1706</v>
      </c>
    </row>
    <row r="259" spans="1:10" x14ac:dyDescent="0.25">
      <c r="A259" s="21" t="s">
        <v>1359</v>
      </c>
      <c r="B259" s="391" t="str">
        <f>VLOOKUP(Tabela12[[#This Row],[Painel]],Tabela13[],2,0)</f>
        <v>GA-9312/S</v>
      </c>
      <c r="C259" s="391" t="s">
        <v>1228</v>
      </c>
      <c r="D259" s="21" t="s">
        <v>1761</v>
      </c>
      <c r="E259" s="21" t="s">
        <v>1743</v>
      </c>
      <c r="F259" s="21" t="str">
        <f>Tabela12[[#This Row],[Régua]]&amp;" ("&amp;Tabela12[[#This Row],[Born]]&amp;")"</f>
        <v>TS-001 (1-)</v>
      </c>
      <c r="G259" s="21">
        <f>LEN(Tabela12[[#This Row],[Anilha]])</f>
        <v>11</v>
      </c>
      <c r="H259" s="21">
        <f>VLOOKUP(Tabela12[[#This Row],[Tag Cabo]],BD!A:F,6,0)</f>
        <v>1</v>
      </c>
      <c r="I259" s="27" t="s">
        <v>1705</v>
      </c>
      <c r="J259" s="27" t="s">
        <v>1706</v>
      </c>
    </row>
    <row r="260" spans="1:10" x14ac:dyDescent="0.25">
      <c r="A260" s="21" t="s">
        <v>1355</v>
      </c>
      <c r="B260" s="391" t="str">
        <f>VLOOKUP(Tabela12[[#This Row],[Painel]],Tabela13[],2,0)</f>
        <v>Vários</v>
      </c>
      <c r="C260" s="391" t="s">
        <v>1574</v>
      </c>
      <c r="D260" s="21" t="s">
        <v>1355</v>
      </c>
      <c r="E260" s="21" t="s">
        <v>1760</v>
      </c>
      <c r="F260" s="21" t="str">
        <f>Tabela12[[#This Row],[Régua]]&amp;" ("&amp;Tabela12[[#This Row],[Born]]&amp;")"</f>
        <v>PT-90521 (+)</v>
      </c>
      <c r="G260" s="21">
        <f>LEN(Tabela12[[#This Row],[Anilha]])</f>
        <v>12</v>
      </c>
      <c r="H260" s="21">
        <f>VLOOKUP(Tabela12[[#This Row],[Tag Cabo]],BD!A:F,6,0)</f>
        <v>1</v>
      </c>
      <c r="I260" s="27" t="s">
        <v>1705</v>
      </c>
      <c r="J260" s="27" t="s">
        <v>1706</v>
      </c>
    </row>
    <row r="261" spans="1:10" x14ac:dyDescent="0.25">
      <c r="A261" s="21" t="s">
        <v>1355</v>
      </c>
      <c r="B261" s="391" t="str">
        <f>VLOOKUP(Tabela12[[#This Row],[Painel]],Tabela13[],2,0)</f>
        <v>Vários</v>
      </c>
      <c r="C261" s="391" t="s">
        <v>1574</v>
      </c>
      <c r="D261" s="21" t="s">
        <v>1355</v>
      </c>
      <c r="E261" s="21" t="s">
        <v>92</v>
      </c>
      <c r="F261" s="21" t="str">
        <f>Tabela12[[#This Row],[Régua]]&amp;" ("&amp;Tabela12[[#This Row],[Born]]&amp;")"</f>
        <v>PT-90521 (-)</v>
      </c>
      <c r="G261" s="21">
        <f>LEN(Tabela12[[#This Row],[Anilha]])</f>
        <v>12</v>
      </c>
      <c r="H261" s="21">
        <f>VLOOKUP(Tabela12[[#This Row],[Tag Cabo]],BD!A:F,6,0)</f>
        <v>1</v>
      </c>
      <c r="I261" s="27" t="s">
        <v>1705</v>
      </c>
      <c r="J261" s="27" t="s">
        <v>1706</v>
      </c>
    </row>
    <row r="262" spans="1:10" x14ac:dyDescent="0.25">
      <c r="A262" s="21" t="s">
        <v>1355</v>
      </c>
      <c r="B262" s="391" t="str">
        <f>VLOOKUP(Tabela12[[#This Row],[Painel]],Tabela13[],2,0)</f>
        <v>GA-9312/S</v>
      </c>
      <c r="C262" s="391" t="s">
        <v>1228</v>
      </c>
      <c r="D262" s="21" t="s">
        <v>1761</v>
      </c>
      <c r="E262" s="21" t="s">
        <v>1763</v>
      </c>
      <c r="F262" s="21" t="str">
        <f>Tabela12[[#This Row],[Régua]]&amp;" ("&amp;Tabela12[[#This Row],[Born]]&amp;")"</f>
        <v>TS-001 (2+)</v>
      </c>
      <c r="G262" s="21">
        <f>LEN(Tabela12[[#This Row],[Anilha]])</f>
        <v>11</v>
      </c>
      <c r="H262" s="21">
        <f>VLOOKUP(Tabela12[[#This Row],[Tag Cabo]],BD!A:F,6,0)</f>
        <v>1</v>
      </c>
      <c r="I262" s="27" t="s">
        <v>1705</v>
      </c>
      <c r="J262" s="27" t="s">
        <v>1706</v>
      </c>
    </row>
    <row r="263" spans="1:10" x14ac:dyDescent="0.25">
      <c r="A263" s="21" t="s">
        <v>1355</v>
      </c>
      <c r="B263" s="391" t="str">
        <f>VLOOKUP(Tabela12[[#This Row],[Painel]],Tabela13[],2,0)</f>
        <v>GA-9312/S</v>
      </c>
      <c r="C263" s="391" t="s">
        <v>1228</v>
      </c>
      <c r="D263" s="21" t="s">
        <v>1761</v>
      </c>
      <c r="E263" s="21" t="s">
        <v>1730</v>
      </c>
      <c r="F263" s="21" t="str">
        <f>Tabela12[[#This Row],[Régua]]&amp;" ("&amp;Tabela12[[#This Row],[Born]]&amp;")"</f>
        <v>TS-001 (2-)</v>
      </c>
      <c r="G263" s="21">
        <f>LEN(Tabela12[[#This Row],[Anilha]])</f>
        <v>11</v>
      </c>
      <c r="H263" s="21">
        <f>VLOOKUP(Tabela12[[#This Row],[Tag Cabo]],BD!A:F,6,0)</f>
        <v>1</v>
      </c>
      <c r="I263" s="27" t="s">
        <v>1705</v>
      </c>
      <c r="J263" s="27" t="s">
        <v>1706</v>
      </c>
    </row>
    <row r="264" spans="1:10" x14ac:dyDescent="0.25">
      <c r="A264" s="21" t="s">
        <v>1357</v>
      </c>
      <c r="B264" s="391" t="str">
        <f>VLOOKUP(Tabela12[[#This Row],[Painel]],Tabela13[],2,0)</f>
        <v>Vários</v>
      </c>
      <c r="C264" s="391" t="s">
        <v>1574</v>
      </c>
      <c r="D264" s="21" t="s">
        <v>1357</v>
      </c>
      <c r="E264" s="21" t="s">
        <v>1760</v>
      </c>
      <c r="F264" s="21" t="str">
        <f>Tabela12[[#This Row],[Régua]]&amp;" ("&amp;Tabela12[[#This Row],[Born]]&amp;")"</f>
        <v>PT-90522 (+)</v>
      </c>
      <c r="G264" s="21">
        <f>LEN(Tabela12[[#This Row],[Anilha]])</f>
        <v>12</v>
      </c>
      <c r="H264" s="21">
        <f>VLOOKUP(Tabela12[[#This Row],[Tag Cabo]],BD!A:F,6,0)</f>
        <v>1</v>
      </c>
      <c r="I264" s="27" t="s">
        <v>1705</v>
      </c>
      <c r="J264" s="27" t="s">
        <v>1706</v>
      </c>
    </row>
    <row r="265" spans="1:10" x14ac:dyDescent="0.25">
      <c r="A265" s="21" t="s">
        <v>1357</v>
      </c>
      <c r="B265" s="391" t="str">
        <f>VLOOKUP(Tabela12[[#This Row],[Painel]],Tabela13[],2,0)</f>
        <v>Vários</v>
      </c>
      <c r="C265" s="391" t="s">
        <v>1574</v>
      </c>
      <c r="D265" s="21" t="s">
        <v>1357</v>
      </c>
      <c r="E265" s="21" t="s">
        <v>92</v>
      </c>
      <c r="F265" s="21" t="str">
        <f>Tabela12[[#This Row],[Régua]]&amp;" ("&amp;Tabela12[[#This Row],[Born]]&amp;")"</f>
        <v>PT-90522 (-)</v>
      </c>
      <c r="G265" s="21">
        <f>LEN(Tabela12[[#This Row],[Anilha]])</f>
        <v>12</v>
      </c>
      <c r="H265" s="21">
        <f>VLOOKUP(Tabela12[[#This Row],[Tag Cabo]],BD!A:F,6,0)</f>
        <v>1</v>
      </c>
      <c r="I265" s="27" t="s">
        <v>1705</v>
      </c>
      <c r="J265" s="27" t="s">
        <v>1706</v>
      </c>
    </row>
    <row r="266" spans="1:10" x14ac:dyDescent="0.25">
      <c r="A266" s="21" t="s">
        <v>1357</v>
      </c>
      <c r="B266" s="391" t="str">
        <f>VLOOKUP(Tabela12[[#This Row],[Painel]],Tabela13[],2,0)</f>
        <v>GA-9312/S</v>
      </c>
      <c r="C266" s="391" t="s">
        <v>1228</v>
      </c>
      <c r="D266" s="21" t="s">
        <v>1761</v>
      </c>
      <c r="E266" s="21" t="s">
        <v>1729</v>
      </c>
      <c r="F266" s="21" t="str">
        <f>Tabela12[[#This Row],[Régua]]&amp;" ("&amp;Tabela12[[#This Row],[Born]]&amp;")"</f>
        <v>TS-001 (3+)</v>
      </c>
      <c r="G266" s="21">
        <f>LEN(Tabela12[[#This Row],[Anilha]])</f>
        <v>11</v>
      </c>
      <c r="H266" s="21">
        <f>VLOOKUP(Tabela12[[#This Row],[Tag Cabo]],BD!A:F,6,0)</f>
        <v>1</v>
      </c>
      <c r="I266" s="27" t="s">
        <v>1705</v>
      </c>
      <c r="J266" s="27" t="s">
        <v>1706</v>
      </c>
    </row>
    <row r="267" spans="1:10" x14ac:dyDescent="0.25">
      <c r="A267" s="21" t="s">
        <v>1357</v>
      </c>
      <c r="B267" s="391" t="str">
        <f>VLOOKUP(Tabela12[[#This Row],[Painel]],Tabela13[],2,0)</f>
        <v>GA-9312/S</v>
      </c>
      <c r="C267" s="391" t="s">
        <v>1228</v>
      </c>
      <c r="D267" s="21" t="s">
        <v>1761</v>
      </c>
      <c r="E267" s="21" t="s">
        <v>1764</v>
      </c>
      <c r="F267" s="21" t="str">
        <f>Tabela12[[#This Row],[Régua]]&amp;" ("&amp;Tabela12[[#This Row],[Born]]&amp;")"</f>
        <v>TS-001 (3-)</v>
      </c>
      <c r="G267" s="21">
        <f>LEN(Tabela12[[#This Row],[Anilha]])</f>
        <v>11</v>
      </c>
      <c r="H267" s="21">
        <f>VLOOKUP(Tabela12[[#This Row],[Tag Cabo]],BD!A:F,6,0)</f>
        <v>1</v>
      </c>
      <c r="I267" s="27" t="s">
        <v>1705</v>
      </c>
      <c r="J267" s="27" t="s">
        <v>1706</v>
      </c>
    </row>
    <row r="268" spans="1:10" x14ac:dyDescent="0.25">
      <c r="A268" s="21" t="s">
        <v>1342</v>
      </c>
      <c r="B268" s="391" t="str">
        <f>VLOOKUP(Tabela12[[#This Row],[Painel]],Tabela13[],2,0)</f>
        <v>Vários</v>
      </c>
      <c r="C268" s="391" t="s">
        <v>1574</v>
      </c>
      <c r="D268" s="21" t="s">
        <v>1342</v>
      </c>
      <c r="E268" s="21">
        <v>7</v>
      </c>
      <c r="F268" s="21" t="str">
        <f>Tabela12[[#This Row],[Régua]]&amp;" ("&amp;Tabela12[[#This Row],[Born]]&amp;")"</f>
        <v>SOV-90176 (7)</v>
      </c>
      <c r="G268" s="21">
        <f>LEN(Tabela12[[#This Row],[Anilha]])</f>
        <v>13</v>
      </c>
      <c r="H268" s="21">
        <f>VLOOKUP(Tabela12[[#This Row],[Tag Cabo]],BD!A:F,6,0)</f>
        <v>1.5</v>
      </c>
      <c r="I268" s="27" t="s">
        <v>1705</v>
      </c>
      <c r="J268" s="27" t="s">
        <v>1706</v>
      </c>
    </row>
    <row r="269" spans="1:10" x14ac:dyDescent="0.25">
      <c r="A269" s="21" t="s">
        <v>1342</v>
      </c>
      <c r="B269" s="391" t="str">
        <f>VLOOKUP(Tabela12[[#This Row],[Painel]],Tabela13[],2,0)</f>
        <v>Vários</v>
      </c>
      <c r="C269" s="391" t="s">
        <v>1574</v>
      </c>
      <c r="D269" s="21" t="s">
        <v>1342</v>
      </c>
      <c r="E269" s="21">
        <v>8</v>
      </c>
      <c r="F269" s="21" t="str">
        <f>Tabela12[[#This Row],[Régua]]&amp;" ("&amp;Tabela12[[#This Row],[Born]]&amp;")"</f>
        <v>SOV-90176 (8)</v>
      </c>
      <c r="G269" s="21">
        <f>LEN(Tabela12[[#This Row],[Anilha]])</f>
        <v>13</v>
      </c>
      <c r="H269" s="21">
        <f>VLOOKUP(Tabela12[[#This Row],[Tag Cabo]],BD!A:F,6,0)</f>
        <v>1.5</v>
      </c>
      <c r="I269" s="27" t="s">
        <v>1705</v>
      </c>
      <c r="J269" s="27" t="s">
        <v>1706</v>
      </c>
    </row>
    <row r="270" spans="1:10" x14ac:dyDescent="0.25">
      <c r="A270" s="21" t="s">
        <v>1342</v>
      </c>
      <c r="B270" s="391" t="str">
        <f>VLOOKUP(Tabela12[[#This Row],[Painel]],Tabela13[],2,0)</f>
        <v>GB-967A/B</v>
      </c>
      <c r="C270" s="391" t="s">
        <v>1233</v>
      </c>
      <c r="D270" s="21" t="s">
        <v>1761</v>
      </c>
      <c r="E270" s="21">
        <v>1</v>
      </c>
      <c r="F270" s="21" t="str">
        <f>Tabela12[[#This Row],[Régua]]&amp;" ("&amp;Tabela12[[#This Row],[Born]]&amp;")"</f>
        <v>TS-001 (1)</v>
      </c>
      <c r="G270" s="21">
        <f>LEN(Tabela12[[#This Row],[Anilha]])</f>
        <v>10</v>
      </c>
      <c r="H270" s="21">
        <f>VLOOKUP(Tabela12[[#This Row],[Tag Cabo]],BD!A:F,6,0)</f>
        <v>1.5</v>
      </c>
      <c r="I270" s="27" t="s">
        <v>1705</v>
      </c>
      <c r="J270" s="27" t="s">
        <v>1706</v>
      </c>
    </row>
    <row r="271" spans="1:10" x14ac:dyDescent="0.25">
      <c r="A271" s="21" t="s">
        <v>1342</v>
      </c>
      <c r="B271" s="391" t="str">
        <f>VLOOKUP(Tabela12[[#This Row],[Painel]],Tabela13[],2,0)</f>
        <v>GB-967A/B</v>
      </c>
      <c r="C271" s="391" t="s">
        <v>1233</v>
      </c>
      <c r="D271" s="21" t="s">
        <v>1761</v>
      </c>
      <c r="E271" s="21">
        <v>2</v>
      </c>
      <c r="F271" s="21" t="str">
        <f>Tabela12[[#This Row],[Régua]]&amp;" ("&amp;Tabela12[[#This Row],[Born]]&amp;")"</f>
        <v>TS-001 (2)</v>
      </c>
      <c r="G271" s="21">
        <f>LEN(Tabela12[[#This Row],[Anilha]])</f>
        <v>10</v>
      </c>
      <c r="H271" s="21">
        <f>VLOOKUP(Tabela12[[#This Row],[Tag Cabo]],BD!A:F,6,0)</f>
        <v>1.5</v>
      </c>
      <c r="I271" s="27" t="s">
        <v>1705</v>
      </c>
      <c r="J271" s="27" t="s">
        <v>1706</v>
      </c>
    </row>
    <row r="272" spans="1:10" x14ac:dyDescent="0.25">
      <c r="A272" s="21" t="s">
        <v>1226</v>
      </c>
      <c r="B272" s="391" t="str">
        <f>VLOOKUP(Tabela12[[#This Row],[Painel]],Tabela13[],2,0)</f>
        <v>GA-9312/S</v>
      </c>
      <c r="C272" s="391" t="s">
        <v>1228</v>
      </c>
      <c r="D272" s="21" t="s">
        <v>1761</v>
      </c>
      <c r="E272" s="21" t="s">
        <v>1742</v>
      </c>
      <c r="F272" s="21" t="str">
        <f>Tabela12[[#This Row],[Régua]]&amp;" ("&amp;Tabela12[[#This Row],[Born]]&amp;")"</f>
        <v>TS-001 (1+)</v>
      </c>
      <c r="G272" s="21">
        <f>LEN(Tabela12[[#This Row],[Anilha]])</f>
        <v>11</v>
      </c>
      <c r="H272" s="21">
        <f>VLOOKUP(Tabela12[[#This Row],[Tag Cabo]],BD!A:F,6,0)</f>
        <v>1</v>
      </c>
      <c r="I272" s="27" t="s">
        <v>1705</v>
      </c>
      <c r="J272" s="27" t="s">
        <v>1706</v>
      </c>
    </row>
    <row r="273" spans="1:10" x14ac:dyDescent="0.25">
      <c r="A273" s="21" t="s">
        <v>1226</v>
      </c>
      <c r="B273" s="391" t="str">
        <f>VLOOKUP(Tabela12[[#This Row],[Painel]],Tabela13[],2,0)</f>
        <v>GA-9312/S</v>
      </c>
      <c r="C273" s="391" t="s">
        <v>1228</v>
      </c>
      <c r="D273" s="21" t="s">
        <v>1761</v>
      </c>
      <c r="E273" s="21" t="s">
        <v>1743</v>
      </c>
      <c r="F273" s="21" t="str">
        <f>Tabela12[[#This Row],[Régua]]&amp;" ("&amp;Tabela12[[#This Row],[Born]]&amp;")"</f>
        <v>TS-001 (1-)</v>
      </c>
      <c r="G273" s="21">
        <f>LEN(Tabela12[[#This Row],[Anilha]])</f>
        <v>11</v>
      </c>
      <c r="H273" s="21">
        <f>VLOOKUP(Tabela12[[#This Row],[Tag Cabo]],BD!A:F,6,0)</f>
        <v>1</v>
      </c>
      <c r="I273" s="27" t="s">
        <v>1705</v>
      </c>
      <c r="J273" s="27" t="s">
        <v>1706</v>
      </c>
    </row>
    <row r="274" spans="1:10" x14ac:dyDescent="0.25">
      <c r="A274" s="21" t="s">
        <v>1226</v>
      </c>
      <c r="B274" s="391" t="str">
        <f>VLOOKUP(Tabela12[[#This Row],[Painel]],Tabela13[],2,0)</f>
        <v>GA-9312/S</v>
      </c>
      <c r="C274" s="391" t="s">
        <v>1228</v>
      </c>
      <c r="D274" s="21" t="s">
        <v>1761</v>
      </c>
      <c r="E274" s="21" t="s">
        <v>1763</v>
      </c>
      <c r="F274" s="21" t="str">
        <f>Tabela12[[#This Row],[Régua]]&amp;" ("&amp;Tabela12[[#This Row],[Born]]&amp;")"</f>
        <v>TS-001 (2+)</v>
      </c>
      <c r="G274" s="21">
        <f>LEN(Tabela12[[#This Row],[Anilha]])</f>
        <v>11</v>
      </c>
      <c r="H274" s="21">
        <f>VLOOKUP(Tabela12[[#This Row],[Tag Cabo]],BD!A:F,6,0)</f>
        <v>1</v>
      </c>
      <c r="I274" s="27" t="s">
        <v>1705</v>
      </c>
      <c r="J274" s="27" t="s">
        <v>1706</v>
      </c>
    </row>
    <row r="275" spans="1:10" x14ac:dyDescent="0.25">
      <c r="A275" s="21" t="s">
        <v>1226</v>
      </c>
      <c r="B275" s="391" t="str">
        <f>VLOOKUP(Tabela12[[#This Row],[Painel]],Tabela13[],2,0)</f>
        <v>GA-9312/S</v>
      </c>
      <c r="C275" s="391" t="s">
        <v>1228</v>
      </c>
      <c r="D275" s="21" t="s">
        <v>1761</v>
      </c>
      <c r="E275" s="21" t="s">
        <v>1730</v>
      </c>
      <c r="F275" s="21" t="str">
        <f>Tabela12[[#This Row],[Régua]]&amp;" ("&amp;Tabela12[[#This Row],[Born]]&amp;")"</f>
        <v>TS-001 (2-)</v>
      </c>
      <c r="G275" s="21">
        <f>LEN(Tabela12[[#This Row],[Anilha]])</f>
        <v>11</v>
      </c>
      <c r="H275" s="21">
        <f>VLOOKUP(Tabela12[[#This Row],[Tag Cabo]],BD!A:F,6,0)</f>
        <v>1</v>
      </c>
      <c r="I275" s="27" t="s">
        <v>1705</v>
      </c>
      <c r="J275" s="27" t="s">
        <v>1706</v>
      </c>
    </row>
    <row r="276" spans="1:10" x14ac:dyDescent="0.25">
      <c r="A276" s="21" t="s">
        <v>1226</v>
      </c>
      <c r="B276" s="391" t="str">
        <f>VLOOKUP(Tabela12[[#This Row],[Painel]],Tabela13[],2,0)</f>
        <v>GA-9312/S</v>
      </c>
      <c r="C276" s="391" t="s">
        <v>1228</v>
      </c>
      <c r="D276" s="21" t="s">
        <v>1761</v>
      </c>
      <c r="E276" s="21" t="s">
        <v>1729</v>
      </c>
      <c r="F276" s="21" t="str">
        <f>Tabela12[[#This Row],[Régua]]&amp;" ("&amp;Tabela12[[#This Row],[Born]]&amp;")"</f>
        <v>TS-001 (3+)</v>
      </c>
      <c r="G276" s="21">
        <f>LEN(Tabela12[[#This Row],[Anilha]])</f>
        <v>11</v>
      </c>
      <c r="H276" s="21">
        <f>VLOOKUP(Tabela12[[#This Row],[Tag Cabo]],BD!A:F,6,0)</f>
        <v>1</v>
      </c>
      <c r="I276" s="27" t="s">
        <v>1705</v>
      </c>
      <c r="J276" s="27" t="s">
        <v>1706</v>
      </c>
    </row>
    <row r="277" spans="1:10" x14ac:dyDescent="0.25">
      <c r="A277" s="21" t="s">
        <v>1226</v>
      </c>
      <c r="B277" s="391" t="str">
        <f>VLOOKUP(Tabela12[[#This Row],[Painel]],Tabela13[],2,0)</f>
        <v>GA-9312/S</v>
      </c>
      <c r="C277" s="391" t="s">
        <v>1228</v>
      </c>
      <c r="D277" s="21" t="s">
        <v>1761</v>
      </c>
      <c r="E277" s="21" t="s">
        <v>1764</v>
      </c>
      <c r="F277" s="21" t="str">
        <f>Tabela12[[#This Row],[Régua]]&amp;" ("&amp;Tabela12[[#This Row],[Born]]&amp;")"</f>
        <v>TS-001 (3-)</v>
      </c>
      <c r="G277" s="21">
        <f>LEN(Tabela12[[#This Row],[Anilha]])</f>
        <v>11</v>
      </c>
      <c r="H277" s="21">
        <f>VLOOKUP(Tabela12[[#This Row],[Tag Cabo]],BD!A:F,6,0)</f>
        <v>1</v>
      </c>
      <c r="I277" s="27" t="s">
        <v>1705</v>
      </c>
      <c r="J277" s="27" t="s">
        <v>1706</v>
      </c>
    </row>
    <row r="278" spans="1:10" x14ac:dyDescent="0.25">
      <c r="A278" s="21" t="s">
        <v>1226</v>
      </c>
      <c r="B278" s="391" t="str">
        <f>VLOOKUP(Tabela12[[#This Row],[Painel]],Tabela13[],2,0)</f>
        <v>GA-9312/S</v>
      </c>
      <c r="C278" s="391" t="s">
        <v>1228</v>
      </c>
      <c r="D278" s="21" t="s">
        <v>1761</v>
      </c>
      <c r="E278" s="21" t="s">
        <v>1762</v>
      </c>
      <c r="F278" s="21" t="str">
        <f>Tabela12[[#This Row],[Régua]]&amp;" ("&amp;Tabela12[[#This Row],[Born]]&amp;")"</f>
        <v>TS-001 (4+)</v>
      </c>
      <c r="G278" s="21">
        <f>LEN(Tabela12[[#This Row],[Anilha]])</f>
        <v>11</v>
      </c>
      <c r="H278" s="21">
        <f>VLOOKUP(Tabela12[[#This Row],[Tag Cabo]],BD!A:F,6,0)</f>
        <v>1</v>
      </c>
      <c r="I278" s="27" t="s">
        <v>1705</v>
      </c>
      <c r="J278" s="27" t="s">
        <v>1706</v>
      </c>
    </row>
    <row r="279" spans="1:10" x14ac:dyDescent="0.25">
      <c r="A279" s="21" t="s">
        <v>1226</v>
      </c>
      <c r="B279" s="391" t="str">
        <f>VLOOKUP(Tabela12[[#This Row],[Painel]],Tabela13[],2,0)</f>
        <v>GA-9312/S</v>
      </c>
      <c r="C279" s="391" t="s">
        <v>1228</v>
      </c>
      <c r="D279" s="21" t="s">
        <v>1761</v>
      </c>
      <c r="E279" s="21" t="s">
        <v>1744</v>
      </c>
      <c r="F279" s="21" t="str">
        <f>Tabela12[[#This Row],[Régua]]&amp;" ("&amp;Tabela12[[#This Row],[Born]]&amp;")"</f>
        <v>TS-001 (4-)</v>
      </c>
      <c r="G279" s="21">
        <f>LEN(Tabela12[[#This Row],[Anilha]])</f>
        <v>11</v>
      </c>
      <c r="H279" s="21">
        <f>VLOOKUP(Tabela12[[#This Row],[Tag Cabo]],BD!A:F,6,0)</f>
        <v>1</v>
      </c>
      <c r="I279" s="27" t="s">
        <v>1705</v>
      </c>
      <c r="J279" s="27" t="s">
        <v>1706</v>
      </c>
    </row>
    <row r="280" spans="1:10" x14ac:dyDescent="0.25">
      <c r="A280" s="21" t="s">
        <v>1226</v>
      </c>
      <c r="B280" s="391" t="str">
        <f>VLOOKUP(Tabela12[[#This Row],[Painel]],Tabela13[],2,0)</f>
        <v>GA-9312/S</v>
      </c>
      <c r="C280" s="391" t="s">
        <v>1228</v>
      </c>
      <c r="D280" s="21" t="s">
        <v>1761</v>
      </c>
      <c r="E280" s="21" t="s">
        <v>1765</v>
      </c>
      <c r="F280" s="21" t="str">
        <f>Tabela12[[#This Row],[Régua]]&amp;" ("&amp;Tabela12[[#This Row],[Born]]&amp;")"</f>
        <v>TS-001 (5+)</v>
      </c>
      <c r="G280" s="21">
        <f>LEN(Tabela12[[#This Row],[Anilha]])</f>
        <v>11</v>
      </c>
      <c r="H280" s="21">
        <f>VLOOKUP(Tabela12[[#This Row],[Tag Cabo]],BD!A:F,6,0)</f>
        <v>1</v>
      </c>
      <c r="I280" s="27" t="s">
        <v>1705</v>
      </c>
      <c r="J280" s="27" t="s">
        <v>1706</v>
      </c>
    </row>
    <row r="281" spans="1:10" x14ac:dyDescent="0.25">
      <c r="A281" s="21" t="s">
        <v>1226</v>
      </c>
      <c r="B281" s="391" t="str">
        <f>VLOOKUP(Tabela12[[#This Row],[Painel]],Tabela13[],2,0)</f>
        <v>GA-9312/S</v>
      </c>
      <c r="C281" s="391" t="s">
        <v>1228</v>
      </c>
      <c r="D281" s="21" t="s">
        <v>1761</v>
      </c>
      <c r="E281" s="21" t="s">
        <v>1766</v>
      </c>
      <c r="F281" s="21" t="str">
        <f>Tabela12[[#This Row],[Régua]]&amp;" ("&amp;Tabela12[[#This Row],[Born]]&amp;")"</f>
        <v>TS-001 (5-)</v>
      </c>
      <c r="G281" s="21">
        <f>LEN(Tabela12[[#This Row],[Anilha]])</f>
        <v>11</v>
      </c>
      <c r="H281" s="21">
        <f>VLOOKUP(Tabela12[[#This Row],[Tag Cabo]],BD!A:F,6,0)</f>
        <v>1</v>
      </c>
      <c r="I281" s="27" t="s">
        <v>1705</v>
      </c>
      <c r="J281" s="27" t="s">
        <v>1706</v>
      </c>
    </row>
    <row r="282" spans="1:10" x14ac:dyDescent="0.25">
      <c r="A282" s="21" t="s">
        <v>1226</v>
      </c>
      <c r="B282" s="391" t="str">
        <f>VLOOKUP(Tabela12[[#This Row],[Painel]],Tabela13[],2,0)</f>
        <v>GA-9312/S</v>
      </c>
      <c r="C282" s="391" t="s">
        <v>1228</v>
      </c>
      <c r="D282" s="21" t="s">
        <v>1761</v>
      </c>
      <c r="E282" s="21" t="s">
        <v>1767</v>
      </c>
      <c r="F282" s="21" t="str">
        <f>Tabela12[[#This Row],[Régua]]&amp;" ("&amp;Tabela12[[#This Row],[Born]]&amp;")"</f>
        <v>TS-001 (6+)</v>
      </c>
      <c r="G282" s="21">
        <f>LEN(Tabela12[[#This Row],[Anilha]])</f>
        <v>11</v>
      </c>
      <c r="H282" s="21">
        <f>VLOOKUP(Tabela12[[#This Row],[Tag Cabo]],BD!A:F,6,0)</f>
        <v>1</v>
      </c>
      <c r="I282" s="27" t="s">
        <v>1705</v>
      </c>
      <c r="J282" s="27" t="s">
        <v>1706</v>
      </c>
    </row>
    <row r="283" spans="1:10" x14ac:dyDescent="0.25">
      <c r="A283" s="21" t="s">
        <v>1226</v>
      </c>
      <c r="B283" s="391" t="str">
        <f>VLOOKUP(Tabela12[[#This Row],[Painel]],Tabela13[],2,0)</f>
        <v>GA-9312/S</v>
      </c>
      <c r="C283" s="391" t="s">
        <v>1228</v>
      </c>
      <c r="D283" s="21" t="s">
        <v>1761</v>
      </c>
      <c r="E283" s="21" t="s">
        <v>1768</v>
      </c>
      <c r="F283" s="21" t="str">
        <f>Tabela12[[#This Row],[Régua]]&amp;" ("&amp;Tabela12[[#This Row],[Born]]&amp;")"</f>
        <v>TS-001 (6-)</v>
      </c>
      <c r="G283" s="21">
        <f>LEN(Tabela12[[#This Row],[Anilha]])</f>
        <v>11</v>
      </c>
      <c r="H283" s="21">
        <f>VLOOKUP(Tabela12[[#This Row],[Tag Cabo]],BD!A:F,6,0)</f>
        <v>1</v>
      </c>
      <c r="I283" s="27" t="s">
        <v>1705</v>
      </c>
      <c r="J283" s="27" t="s">
        <v>1706</v>
      </c>
    </row>
    <row r="284" spans="1:10" x14ac:dyDescent="0.25">
      <c r="A284" s="21" t="s">
        <v>1226</v>
      </c>
      <c r="B284" s="391" t="str">
        <f>VLOOKUP(Tabela12[[#This Row],[Painel]],Tabela13[],2,0)</f>
        <v>GA-9312/S</v>
      </c>
      <c r="C284" s="391" t="s">
        <v>1228</v>
      </c>
      <c r="D284" s="21" t="s">
        <v>1761</v>
      </c>
      <c r="E284" s="21" t="s">
        <v>1769</v>
      </c>
      <c r="F284" s="21" t="str">
        <f>Tabela12[[#This Row],[Régua]]&amp;" ("&amp;Tabela12[[#This Row],[Born]]&amp;")"</f>
        <v>TS-001 (7+)</v>
      </c>
      <c r="G284" s="21">
        <f>LEN(Tabela12[[#This Row],[Anilha]])</f>
        <v>11</v>
      </c>
      <c r="H284" s="21">
        <f>VLOOKUP(Tabela12[[#This Row],[Tag Cabo]],BD!A:F,6,0)</f>
        <v>1</v>
      </c>
      <c r="I284" s="27" t="s">
        <v>1705</v>
      </c>
      <c r="J284" s="27" t="s">
        <v>1706</v>
      </c>
    </row>
    <row r="285" spans="1:10" x14ac:dyDescent="0.25">
      <c r="A285" s="21" t="s">
        <v>1226</v>
      </c>
      <c r="B285" s="391" t="str">
        <f>VLOOKUP(Tabela12[[#This Row],[Painel]],Tabela13[],2,0)</f>
        <v>GA-9312/S</v>
      </c>
      <c r="C285" s="391" t="s">
        <v>1228</v>
      </c>
      <c r="D285" s="21" t="s">
        <v>1761</v>
      </c>
      <c r="E285" s="21" t="s">
        <v>1770</v>
      </c>
      <c r="F285" s="21" t="str">
        <f>Tabela12[[#This Row],[Régua]]&amp;" ("&amp;Tabela12[[#This Row],[Born]]&amp;")"</f>
        <v>TS-001 (7-)</v>
      </c>
      <c r="G285" s="21">
        <f>LEN(Tabela12[[#This Row],[Anilha]])</f>
        <v>11</v>
      </c>
      <c r="H285" s="21">
        <f>VLOOKUP(Tabela12[[#This Row],[Tag Cabo]],BD!A:F,6,0)</f>
        <v>1</v>
      </c>
      <c r="I285" s="27" t="s">
        <v>1705</v>
      </c>
      <c r="J285" s="27" t="s">
        <v>1706</v>
      </c>
    </row>
    <row r="286" spans="1:10" x14ac:dyDescent="0.25">
      <c r="A286" s="21" t="s">
        <v>1226</v>
      </c>
      <c r="B286" s="391" t="str">
        <f>VLOOKUP(Tabela12[[#This Row],[Painel]],Tabela13[],2,0)</f>
        <v>GA-9312/S</v>
      </c>
      <c r="C286" s="391" t="s">
        <v>1228</v>
      </c>
      <c r="D286" s="21" t="s">
        <v>1761</v>
      </c>
      <c r="E286" s="21" t="s">
        <v>1732</v>
      </c>
      <c r="F286" s="21" t="str">
        <f>Tabela12[[#This Row],[Régua]]&amp;" ("&amp;Tabela12[[#This Row],[Born]]&amp;")"</f>
        <v>TS-001 (8+)</v>
      </c>
      <c r="G286" s="21">
        <f>LEN(Tabela12[[#This Row],[Anilha]])</f>
        <v>11</v>
      </c>
      <c r="H286" s="21">
        <f>VLOOKUP(Tabela12[[#This Row],[Tag Cabo]],BD!A:F,6,0)</f>
        <v>1</v>
      </c>
      <c r="I286" s="27" t="s">
        <v>1705</v>
      </c>
      <c r="J286" s="27" t="s">
        <v>1706</v>
      </c>
    </row>
    <row r="287" spans="1:10" x14ac:dyDescent="0.25">
      <c r="A287" s="21" t="s">
        <v>1226</v>
      </c>
      <c r="B287" s="391" t="str">
        <f>VLOOKUP(Tabela12[[#This Row],[Painel]],Tabela13[],2,0)</f>
        <v>GA-9312/S</v>
      </c>
      <c r="C287" s="391" t="s">
        <v>1228</v>
      </c>
      <c r="D287" s="21" t="s">
        <v>1761</v>
      </c>
      <c r="E287" s="21" t="s">
        <v>1733</v>
      </c>
      <c r="F287" s="21" t="str">
        <f>Tabela12[[#This Row],[Régua]]&amp;" ("&amp;Tabela12[[#This Row],[Born]]&amp;")"</f>
        <v>TS-001 (8-)</v>
      </c>
      <c r="G287" s="21">
        <f>LEN(Tabela12[[#This Row],[Anilha]])</f>
        <v>11</v>
      </c>
      <c r="H287" s="21">
        <f>VLOOKUP(Tabela12[[#This Row],[Tag Cabo]],BD!A:F,6,0)</f>
        <v>1</v>
      </c>
      <c r="I287" s="27" t="s">
        <v>1705</v>
      </c>
      <c r="J287" s="27" t="s">
        <v>1706</v>
      </c>
    </row>
    <row r="288" spans="1:10" x14ac:dyDescent="0.25">
      <c r="A288" s="21" t="s">
        <v>1226</v>
      </c>
      <c r="B288" s="391" t="str">
        <f>VLOOKUP(Tabela12[[#This Row],[Painel]],Tabela13[],2,0)</f>
        <v>CCU</v>
      </c>
      <c r="C288" s="391" t="s">
        <v>1658</v>
      </c>
      <c r="D288" s="21" t="s">
        <v>1771</v>
      </c>
      <c r="E288" s="21">
        <v>57</v>
      </c>
      <c r="F288" s="21" t="str">
        <f>Tabela12[[#This Row],[Régua]]&amp;" ("&amp;Tabela12[[#This Row],[Born]]&amp;")"</f>
        <v>EA 02.7-1 (57)</v>
      </c>
      <c r="G288" s="21">
        <f>LEN(Tabela12[[#This Row],[Anilha]])</f>
        <v>14</v>
      </c>
      <c r="H288" s="21">
        <f>VLOOKUP(Tabela12[[#This Row],[Tag Cabo]],BD!A:F,6,0)</f>
        <v>1</v>
      </c>
      <c r="I288" s="27" t="s">
        <v>1705</v>
      </c>
      <c r="J288" s="27" t="s">
        <v>1706</v>
      </c>
    </row>
    <row r="289" spans="1:10" x14ac:dyDescent="0.25">
      <c r="A289" s="21" t="s">
        <v>1226</v>
      </c>
      <c r="B289" s="391" t="str">
        <f>VLOOKUP(Tabela12[[#This Row],[Painel]],Tabela13[],2,0)</f>
        <v>CCU</v>
      </c>
      <c r="C289" s="391" t="s">
        <v>1658</v>
      </c>
      <c r="D289" s="21" t="s">
        <v>1771</v>
      </c>
      <c r="E289" s="21">
        <v>58</v>
      </c>
      <c r="F289" s="21" t="str">
        <f>Tabela12[[#This Row],[Régua]]&amp;" ("&amp;Tabela12[[#This Row],[Born]]&amp;")"</f>
        <v>EA 02.7-1 (58)</v>
      </c>
      <c r="G289" s="21">
        <f>LEN(Tabela12[[#This Row],[Anilha]])</f>
        <v>14</v>
      </c>
      <c r="H289" s="21">
        <f>VLOOKUP(Tabela12[[#This Row],[Tag Cabo]],BD!A:F,6,0)</f>
        <v>1</v>
      </c>
      <c r="I289" s="27" t="s">
        <v>1705</v>
      </c>
      <c r="J289" s="27" t="s">
        <v>1706</v>
      </c>
    </row>
    <row r="290" spans="1:10" x14ac:dyDescent="0.25">
      <c r="A290" s="21" t="s">
        <v>1226</v>
      </c>
      <c r="B290" s="391" t="str">
        <f>VLOOKUP(Tabela12[[#This Row],[Painel]],Tabela13[],2,0)</f>
        <v>CCU</v>
      </c>
      <c r="C290" s="391" t="s">
        <v>1658</v>
      </c>
      <c r="D290" s="21" t="s">
        <v>1771</v>
      </c>
      <c r="E290" s="21">
        <v>59</v>
      </c>
      <c r="F290" s="21" t="str">
        <f>Tabela12[[#This Row],[Régua]]&amp;" ("&amp;Tabela12[[#This Row],[Born]]&amp;")"</f>
        <v>EA 02.7-1 (59)</v>
      </c>
      <c r="G290" s="21">
        <f>LEN(Tabela12[[#This Row],[Anilha]])</f>
        <v>14</v>
      </c>
      <c r="H290" s="21">
        <f>VLOOKUP(Tabela12[[#This Row],[Tag Cabo]],BD!A:F,6,0)</f>
        <v>1</v>
      </c>
      <c r="I290" s="27" t="s">
        <v>1705</v>
      </c>
      <c r="J290" s="27" t="s">
        <v>1706</v>
      </c>
    </row>
    <row r="291" spans="1:10" x14ac:dyDescent="0.25">
      <c r="A291" s="21" t="s">
        <v>1226</v>
      </c>
      <c r="B291" s="391" t="str">
        <f>VLOOKUP(Tabela12[[#This Row],[Painel]],Tabela13[],2,0)</f>
        <v>CCU</v>
      </c>
      <c r="C291" s="391" t="s">
        <v>1658</v>
      </c>
      <c r="D291" s="21" t="s">
        <v>1771</v>
      </c>
      <c r="E291" s="21">
        <v>60</v>
      </c>
      <c r="F291" s="21" t="str">
        <f>Tabela12[[#This Row],[Régua]]&amp;" ("&amp;Tabela12[[#This Row],[Born]]&amp;")"</f>
        <v>EA 02.7-1 (60)</v>
      </c>
      <c r="G291" s="21">
        <f>LEN(Tabela12[[#This Row],[Anilha]])</f>
        <v>14</v>
      </c>
      <c r="H291" s="21">
        <f>VLOOKUP(Tabela12[[#This Row],[Tag Cabo]],BD!A:F,6,0)</f>
        <v>1</v>
      </c>
      <c r="I291" s="27" t="s">
        <v>1705</v>
      </c>
      <c r="J291" s="27" t="s">
        <v>1706</v>
      </c>
    </row>
    <row r="292" spans="1:10" x14ac:dyDescent="0.25">
      <c r="A292" s="21" t="s">
        <v>1226</v>
      </c>
      <c r="B292" s="391" t="str">
        <f>VLOOKUP(Tabela12[[#This Row],[Painel]],Tabela13[],2,0)</f>
        <v>CCU</v>
      </c>
      <c r="C292" s="391" t="s">
        <v>1658</v>
      </c>
      <c r="D292" s="21" t="s">
        <v>1771</v>
      </c>
      <c r="E292" s="21">
        <v>61</v>
      </c>
      <c r="F292" s="21" t="str">
        <f>Tabela12[[#This Row],[Régua]]&amp;" ("&amp;Tabela12[[#This Row],[Born]]&amp;")"</f>
        <v>EA 02.7-1 (61)</v>
      </c>
      <c r="G292" s="21">
        <f>LEN(Tabela12[[#This Row],[Anilha]])</f>
        <v>14</v>
      </c>
      <c r="H292" s="21">
        <f>VLOOKUP(Tabela12[[#This Row],[Tag Cabo]],BD!A:F,6,0)</f>
        <v>1</v>
      </c>
      <c r="I292" s="27" t="s">
        <v>1705</v>
      </c>
      <c r="J292" s="27" t="s">
        <v>1706</v>
      </c>
    </row>
    <row r="293" spans="1:10" x14ac:dyDescent="0.25">
      <c r="A293" s="21" t="s">
        <v>1226</v>
      </c>
      <c r="B293" s="391" t="str">
        <f>VLOOKUP(Tabela12[[#This Row],[Painel]],Tabela13[],2,0)</f>
        <v>CCU</v>
      </c>
      <c r="C293" s="391" t="s">
        <v>1658</v>
      </c>
      <c r="D293" s="21" t="s">
        <v>1771</v>
      </c>
      <c r="E293" s="21">
        <v>62</v>
      </c>
      <c r="F293" s="21" t="str">
        <f>Tabela12[[#This Row],[Régua]]&amp;" ("&amp;Tabela12[[#This Row],[Born]]&amp;")"</f>
        <v>EA 02.7-1 (62)</v>
      </c>
      <c r="G293" s="21">
        <f>LEN(Tabela12[[#This Row],[Anilha]])</f>
        <v>14</v>
      </c>
      <c r="H293" s="21">
        <f>VLOOKUP(Tabela12[[#This Row],[Tag Cabo]],BD!A:F,6,0)</f>
        <v>1</v>
      </c>
      <c r="I293" s="27" t="s">
        <v>1705</v>
      </c>
      <c r="J293" s="27" t="s">
        <v>1706</v>
      </c>
    </row>
    <row r="294" spans="1:10" x14ac:dyDescent="0.25">
      <c r="A294" s="21" t="s">
        <v>1226</v>
      </c>
      <c r="B294" s="391" t="str">
        <f>VLOOKUP(Tabela12[[#This Row],[Painel]],Tabela13[],2,0)</f>
        <v>CCU</v>
      </c>
      <c r="C294" s="391" t="s">
        <v>1658</v>
      </c>
      <c r="D294" s="21" t="s">
        <v>1771</v>
      </c>
      <c r="E294" s="21">
        <v>63</v>
      </c>
      <c r="F294" s="21" t="str">
        <f>Tabela12[[#This Row],[Régua]]&amp;" ("&amp;Tabela12[[#This Row],[Born]]&amp;")"</f>
        <v>EA 02.7-1 (63)</v>
      </c>
      <c r="G294" s="21">
        <f>LEN(Tabela12[[#This Row],[Anilha]])</f>
        <v>14</v>
      </c>
      <c r="H294" s="21">
        <f>VLOOKUP(Tabela12[[#This Row],[Tag Cabo]],BD!A:F,6,0)</f>
        <v>1</v>
      </c>
      <c r="I294" s="27" t="s">
        <v>1705</v>
      </c>
      <c r="J294" s="27" t="s">
        <v>1706</v>
      </c>
    </row>
    <row r="295" spans="1:10" x14ac:dyDescent="0.25">
      <c r="A295" s="21" t="s">
        <v>1226</v>
      </c>
      <c r="B295" s="391" t="str">
        <f>VLOOKUP(Tabela12[[#This Row],[Painel]],Tabela13[],2,0)</f>
        <v>CCU</v>
      </c>
      <c r="C295" s="391" t="s">
        <v>1658</v>
      </c>
      <c r="D295" s="21" t="s">
        <v>1771</v>
      </c>
      <c r="E295" s="21">
        <v>64</v>
      </c>
      <c r="F295" s="21" t="str">
        <f>Tabela12[[#This Row],[Régua]]&amp;" ("&amp;Tabela12[[#This Row],[Born]]&amp;")"</f>
        <v>EA 02.7-1 (64)</v>
      </c>
      <c r="G295" s="21">
        <f>LEN(Tabela12[[#This Row],[Anilha]])</f>
        <v>14</v>
      </c>
      <c r="H295" s="21">
        <f>VLOOKUP(Tabela12[[#This Row],[Tag Cabo]],BD!A:F,6,0)</f>
        <v>1</v>
      </c>
      <c r="I295" s="27" t="s">
        <v>1705</v>
      </c>
      <c r="J295" s="27" t="s">
        <v>1706</v>
      </c>
    </row>
    <row r="296" spans="1:10" x14ac:dyDescent="0.25">
      <c r="A296" s="21" t="s">
        <v>1231</v>
      </c>
      <c r="B296" s="391" t="str">
        <f>VLOOKUP(Tabela12[[#This Row],[Painel]],Tabela13[],2,0)</f>
        <v>GB-967A/B</v>
      </c>
      <c r="C296" s="391" t="s">
        <v>1233</v>
      </c>
      <c r="D296" s="21" t="s">
        <v>1761</v>
      </c>
      <c r="E296" s="21">
        <v>1</v>
      </c>
      <c r="F296" s="21" t="str">
        <f>Tabela12[[#This Row],[Régua]]&amp;" ("&amp;Tabela12[[#This Row],[Born]]&amp;")"</f>
        <v>TS-001 (1)</v>
      </c>
      <c r="G296" s="21">
        <f>LEN(Tabela12[[#This Row],[Anilha]])</f>
        <v>10</v>
      </c>
      <c r="H296" s="21">
        <f>VLOOKUP(Tabela12[[#This Row],[Tag Cabo]],BD!A:F,6,0)</f>
        <v>1</v>
      </c>
      <c r="I296" s="27" t="s">
        <v>1705</v>
      </c>
      <c r="J296" s="27" t="s">
        <v>1706</v>
      </c>
    </row>
    <row r="297" spans="1:10" x14ac:dyDescent="0.25">
      <c r="A297" s="21" t="s">
        <v>1231</v>
      </c>
      <c r="B297" s="391" t="str">
        <f>VLOOKUP(Tabela12[[#This Row],[Painel]],Tabela13[],2,0)</f>
        <v>GB-967A/B</v>
      </c>
      <c r="C297" s="391" t="s">
        <v>1233</v>
      </c>
      <c r="D297" s="21" t="s">
        <v>1761</v>
      </c>
      <c r="E297" s="21">
        <v>2</v>
      </c>
      <c r="F297" s="21" t="str">
        <f>Tabela12[[#This Row],[Régua]]&amp;" ("&amp;Tabela12[[#This Row],[Born]]&amp;")"</f>
        <v>TS-001 (2)</v>
      </c>
      <c r="G297" s="21">
        <f>LEN(Tabela12[[#This Row],[Anilha]])</f>
        <v>10</v>
      </c>
      <c r="H297" s="21">
        <f>VLOOKUP(Tabela12[[#This Row],[Tag Cabo]],BD!A:F,6,0)</f>
        <v>1</v>
      </c>
      <c r="I297" s="27" t="s">
        <v>1705</v>
      </c>
      <c r="J297" s="27" t="s">
        <v>1706</v>
      </c>
    </row>
    <row r="298" spans="1:10" x14ac:dyDescent="0.25">
      <c r="A298" s="21" t="s">
        <v>1231</v>
      </c>
      <c r="B298" s="391" t="str">
        <f>VLOOKUP(Tabela12[[#This Row],[Painel]],Tabela13[],2,0)</f>
        <v>GB-967A/B</v>
      </c>
      <c r="C298" s="391" t="s">
        <v>1233</v>
      </c>
      <c r="D298" s="21" t="s">
        <v>1761</v>
      </c>
      <c r="E298" s="21">
        <v>3</v>
      </c>
      <c r="F298" s="21" t="str">
        <f>Tabela12[[#This Row],[Régua]]&amp;" ("&amp;Tabela12[[#This Row],[Born]]&amp;")"</f>
        <v>TS-001 (3)</v>
      </c>
      <c r="G298" s="21">
        <f>LEN(Tabela12[[#This Row],[Anilha]])</f>
        <v>10</v>
      </c>
      <c r="H298" s="21">
        <f>VLOOKUP(Tabela12[[#This Row],[Tag Cabo]],BD!A:F,6,0)</f>
        <v>1</v>
      </c>
      <c r="I298" s="27" t="s">
        <v>1705</v>
      </c>
      <c r="J298" s="27" t="s">
        <v>1706</v>
      </c>
    </row>
    <row r="299" spans="1:10" x14ac:dyDescent="0.25">
      <c r="A299" s="21" t="s">
        <v>1231</v>
      </c>
      <c r="B299" s="391" t="str">
        <f>VLOOKUP(Tabela12[[#This Row],[Painel]],Tabela13[],2,0)</f>
        <v>GB-967A/B</v>
      </c>
      <c r="C299" s="391" t="s">
        <v>1233</v>
      </c>
      <c r="D299" s="21" t="s">
        <v>1761</v>
      </c>
      <c r="E299" s="21">
        <v>4</v>
      </c>
      <c r="F299" s="21" t="str">
        <f>Tabela12[[#This Row],[Régua]]&amp;" ("&amp;Tabela12[[#This Row],[Born]]&amp;")"</f>
        <v>TS-001 (4)</v>
      </c>
      <c r="G299" s="21">
        <f>LEN(Tabela12[[#This Row],[Anilha]])</f>
        <v>10</v>
      </c>
      <c r="H299" s="21">
        <f>VLOOKUP(Tabela12[[#This Row],[Tag Cabo]],BD!A:F,6,0)</f>
        <v>1</v>
      </c>
      <c r="I299" s="27" t="s">
        <v>1705</v>
      </c>
      <c r="J299" s="27" t="s">
        <v>1706</v>
      </c>
    </row>
    <row r="300" spans="1:10" x14ac:dyDescent="0.25">
      <c r="A300" s="21" t="s">
        <v>1231</v>
      </c>
      <c r="B300" s="391" t="str">
        <f>VLOOKUP(Tabela12[[#This Row],[Painel]],Tabela13[],2,0)</f>
        <v>GB-967A/B</v>
      </c>
      <c r="C300" s="391" t="s">
        <v>1233</v>
      </c>
      <c r="D300" s="21" t="s">
        <v>1761</v>
      </c>
      <c r="E300" s="21">
        <v>5</v>
      </c>
      <c r="F300" s="21" t="str">
        <f>Tabela12[[#This Row],[Régua]]&amp;" ("&amp;Tabela12[[#This Row],[Born]]&amp;")"</f>
        <v>TS-001 (5)</v>
      </c>
      <c r="G300" s="21">
        <f>LEN(Tabela12[[#This Row],[Anilha]])</f>
        <v>10</v>
      </c>
      <c r="H300" s="21">
        <f>VLOOKUP(Tabela12[[#This Row],[Tag Cabo]],BD!A:F,6,0)</f>
        <v>1</v>
      </c>
      <c r="I300" s="27" t="s">
        <v>1705</v>
      </c>
      <c r="J300" s="27" t="s">
        <v>1706</v>
      </c>
    </row>
    <row r="301" spans="1:10" x14ac:dyDescent="0.25">
      <c r="A301" s="21" t="s">
        <v>1231</v>
      </c>
      <c r="B301" s="391" t="str">
        <f>VLOOKUP(Tabela12[[#This Row],[Painel]],Tabela13[],2,0)</f>
        <v>GB-967A/B</v>
      </c>
      <c r="C301" s="391" t="s">
        <v>1233</v>
      </c>
      <c r="D301" s="21" t="s">
        <v>1761</v>
      </c>
      <c r="E301" s="21">
        <v>6</v>
      </c>
      <c r="F301" s="21" t="str">
        <f>Tabela12[[#This Row],[Régua]]&amp;" ("&amp;Tabela12[[#This Row],[Born]]&amp;")"</f>
        <v>TS-001 (6)</v>
      </c>
      <c r="G301" s="21">
        <f>LEN(Tabela12[[#This Row],[Anilha]])</f>
        <v>10</v>
      </c>
      <c r="H301" s="21">
        <f>VLOOKUP(Tabela12[[#This Row],[Tag Cabo]],BD!A:F,6,0)</f>
        <v>1</v>
      </c>
      <c r="I301" s="27" t="s">
        <v>1705</v>
      </c>
      <c r="J301" s="27" t="s">
        <v>1706</v>
      </c>
    </row>
    <row r="302" spans="1:10" x14ac:dyDescent="0.25">
      <c r="A302" s="21" t="s">
        <v>1231</v>
      </c>
      <c r="B302" s="391" t="str">
        <f>VLOOKUP(Tabela12[[#This Row],[Painel]],Tabela13[],2,0)</f>
        <v>GB-967A/B</v>
      </c>
      <c r="C302" s="391" t="s">
        <v>1233</v>
      </c>
      <c r="D302" s="21" t="s">
        <v>1761</v>
      </c>
      <c r="E302" s="21">
        <v>7</v>
      </c>
      <c r="F302" s="21" t="str">
        <f>Tabela12[[#This Row],[Régua]]&amp;" ("&amp;Tabela12[[#This Row],[Born]]&amp;")"</f>
        <v>TS-001 (7)</v>
      </c>
      <c r="G302" s="21">
        <f>LEN(Tabela12[[#This Row],[Anilha]])</f>
        <v>10</v>
      </c>
      <c r="H302" s="21">
        <f>VLOOKUP(Tabela12[[#This Row],[Tag Cabo]],BD!A:F,6,0)</f>
        <v>1</v>
      </c>
      <c r="I302" s="27" t="s">
        <v>1705</v>
      </c>
      <c r="J302" s="27" t="s">
        <v>1706</v>
      </c>
    </row>
    <row r="303" spans="1:10" x14ac:dyDescent="0.25">
      <c r="A303" s="21" t="s">
        <v>1231</v>
      </c>
      <c r="B303" s="391" t="str">
        <f>VLOOKUP(Tabela12[[#This Row],[Painel]],Tabela13[],2,0)</f>
        <v>GB-967A/B</v>
      </c>
      <c r="C303" s="391" t="s">
        <v>1233</v>
      </c>
      <c r="D303" s="21" t="s">
        <v>1761</v>
      </c>
      <c r="E303" s="21">
        <v>8</v>
      </c>
      <c r="F303" s="21" t="str">
        <f>Tabela12[[#This Row],[Régua]]&amp;" ("&amp;Tabela12[[#This Row],[Born]]&amp;")"</f>
        <v>TS-001 (8)</v>
      </c>
      <c r="G303" s="21">
        <f>LEN(Tabela12[[#This Row],[Anilha]])</f>
        <v>10</v>
      </c>
      <c r="H303" s="21">
        <f>VLOOKUP(Tabela12[[#This Row],[Tag Cabo]],BD!A:F,6,0)</f>
        <v>1</v>
      </c>
      <c r="I303" s="27" t="s">
        <v>1705</v>
      </c>
      <c r="J303" s="27" t="s">
        <v>1706</v>
      </c>
    </row>
    <row r="304" spans="1:10" x14ac:dyDescent="0.25">
      <c r="A304" s="21" t="s">
        <v>1231</v>
      </c>
      <c r="B304" s="391" t="str">
        <f>VLOOKUP(Tabela12[[#This Row],[Painel]],Tabela13[],2,0)</f>
        <v>GB-967A/B</v>
      </c>
      <c r="C304" s="391" t="s">
        <v>1233</v>
      </c>
      <c r="D304" s="21" t="s">
        <v>1761</v>
      </c>
      <c r="E304" s="21">
        <v>9</v>
      </c>
      <c r="F304" s="21" t="str">
        <f>Tabela12[[#This Row],[Régua]]&amp;" ("&amp;Tabela12[[#This Row],[Born]]&amp;")"</f>
        <v>TS-001 (9)</v>
      </c>
      <c r="G304" s="21">
        <f>LEN(Tabela12[[#This Row],[Anilha]])</f>
        <v>10</v>
      </c>
      <c r="H304" s="21">
        <f>VLOOKUP(Tabela12[[#This Row],[Tag Cabo]],BD!A:F,6,0)</f>
        <v>1</v>
      </c>
      <c r="I304" s="27" t="s">
        <v>1705</v>
      </c>
      <c r="J304" s="27" t="s">
        <v>1706</v>
      </c>
    </row>
    <row r="305" spans="1:10" x14ac:dyDescent="0.25">
      <c r="A305" s="21" t="s">
        <v>1231</v>
      </c>
      <c r="B305" s="391" t="str">
        <f>VLOOKUP(Tabela12[[#This Row],[Painel]],Tabela13[],2,0)</f>
        <v>GB-967A/B</v>
      </c>
      <c r="C305" s="391" t="s">
        <v>1233</v>
      </c>
      <c r="D305" s="21" t="s">
        <v>1761</v>
      </c>
      <c r="E305" s="21">
        <v>10</v>
      </c>
      <c r="F305" s="21" t="str">
        <f>Tabela12[[#This Row],[Régua]]&amp;" ("&amp;Tabela12[[#This Row],[Born]]&amp;")"</f>
        <v>TS-001 (10)</v>
      </c>
      <c r="G305" s="21">
        <f>LEN(Tabela12[[#This Row],[Anilha]])</f>
        <v>11</v>
      </c>
      <c r="H305" s="21">
        <f>VLOOKUP(Tabela12[[#This Row],[Tag Cabo]],BD!A:F,6,0)</f>
        <v>1</v>
      </c>
      <c r="I305" s="27" t="s">
        <v>1705</v>
      </c>
      <c r="J305" s="27" t="s">
        <v>1706</v>
      </c>
    </row>
    <row r="306" spans="1:10" x14ac:dyDescent="0.25">
      <c r="A306" s="21" t="s">
        <v>1231</v>
      </c>
      <c r="B306" s="391" t="str">
        <f>VLOOKUP(Tabela12[[#This Row],[Painel]],Tabela13[],2,0)</f>
        <v>GB-967A/B</v>
      </c>
      <c r="C306" s="391" t="s">
        <v>1233</v>
      </c>
      <c r="D306" s="21" t="s">
        <v>1761</v>
      </c>
      <c r="E306" s="21">
        <v>11</v>
      </c>
      <c r="F306" s="21" t="str">
        <f>Tabela12[[#This Row],[Régua]]&amp;" ("&amp;Tabela12[[#This Row],[Born]]&amp;")"</f>
        <v>TS-001 (11)</v>
      </c>
      <c r="G306" s="21">
        <f>LEN(Tabela12[[#This Row],[Anilha]])</f>
        <v>11</v>
      </c>
      <c r="H306" s="21">
        <f>VLOOKUP(Tabela12[[#This Row],[Tag Cabo]],BD!A:F,6,0)</f>
        <v>1</v>
      </c>
      <c r="I306" s="27" t="s">
        <v>1705</v>
      </c>
      <c r="J306" s="27" t="s">
        <v>1706</v>
      </c>
    </row>
    <row r="307" spans="1:10" x14ac:dyDescent="0.25">
      <c r="A307" s="21" t="s">
        <v>1231</v>
      </c>
      <c r="B307" s="391" t="str">
        <f>VLOOKUP(Tabela12[[#This Row],[Painel]],Tabela13[],2,0)</f>
        <v>GB-967A/B</v>
      </c>
      <c r="C307" s="391" t="s">
        <v>1233</v>
      </c>
      <c r="D307" s="21" t="s">
        <v>1761</v>
      </c>
      <c r="E307" s="21">
        <v>12</v>
      </c>
      <c r="F307" s="21" t="str">
        <f>Tabela12[[#This Row],[Régua]]&amp;" ("&amp;Tabela12[[#This Row],[Born]]&amp;")"</f>
        <v>TS-001 (12)</v>
      </c>
      <c r="G307" s="21">
        <f>LEN(Tabela12[[#This Row],[Anilha]])</f>
        <v>11</v>
      </c>
      <c r="H307" s="21">
        <f>VLOOKUP(Tabela12[[#This Row],[Tag Cabo]],BD!A:F,6,0)</f>
        <v>1</v>
      </c>
      <c r="I307" s="27" t="s">
        <v>1705</v>
      </c>
      <c r="J307" s="27" t="s">
        <v>1706</v>
      </c>
    </row>
    <row r="308" spans="1:10" x14ac:dyDescent="0.25">
      <c r="A308" s="21" t="s">
        <v>1231</v>
      </c>
      <c r="B308" s="391" t="str">
        <f>VLOOKUP(Tabela12[[#This Row],[Painel]],Tabela13[],2,0)</f>
        <v>GB-967A/B</v>
      </c>
      <c r="C308" s="391" t="s">
        <v>1233</v>
      </c>
      <c r="D308" s="21" t="s">
        <v>1761</v>
      </c>
      <c r="E308" s="21">
        <v>13</v>
      </c>
      <c r="F308" s="21" t="str">
        <f>Tabela12[[#This Row],[Régua]]&amp;" ("&amp;Tabela12[[#This Row],[Born]]&amp;")"</f>
        <v>TS-001 (13)</v>
      </c>
      <c r="G308" s="21">
        <f>LEN(Tabela12[[#This Row],[Anilha]])</f>
        <v>11</v>
      </c>
      <c r="H308" s="21">
        <f>VLOOKUP(Tabela12[[#This Row],[Tag Cabo]],BD!A:F,6,0)</f>
        <v>1</v>
      </c>
      <c r="I308" s="27" t="s">
        <v>1705</v>
      </c>
      <c r="J308" s="27" t="s">
        <v>1706</v>
      </c>
    </row>
    <row r="309" spans="1:10" x14ac:dyDescent="0.25">
      <c r="A309" s="21" t="s">
        <v>1231</v>
      </c>
      <c r="B309" s="391" t="str">
        <f>VLOOKUP(Tabela12[[#This Row],[Painel]],Tabela13[],2,0)</f>
        <v>GB-967A/B</v>
      </c>
      <c r="C309" s="391" t="s">
        <v>1233</v>
      </c>
      <c r="D309" s="21" t="s">
        <v>1761</v>
      </c>
      <c r="E309" s="21">
        <v>14</v>
      </c>
      <c r="F309" s="21" t="str">
        <f>Tabela12[[#This Row],[Régua]]&amp;" ("&amp;Tabela12[[#This Row],[Born]]&amp;")"</f>
        <v>TS-001 (14)</v>
      </c>
      <c r="G309" s="21">
        <f>LEN(Tabela12[[#This Row],[Anilha]])</f>
        <v>11</v>
      </c>
      <c r="H309" s="21">
        <f>VLOOKUP(Tabela12[[#This Row],[Tag Cabo]],BD!A:F,6,0)</f>
        <v>1</v>
      </c>
      <c r="I309" s="27" t="s">
        <v>1705</v>
      </c>
      <c r="J309" s="27" t="s">
        <v>1706</v>
      </c>
    </row>
    <row r="310" spans="1:10" x14ac:dyDescent="0.25">
      <c r="A310" s="21" t="s">
        <v>1231</v>
      </c>
      <c r="B310" s="391" t="str">
        <f>VLOOKUP(Tabela12[[#This Row],[Painel]],Tabela13[],2,0)</f>
        <v>GB-967A/B</v>
      </c>
      <c r="C310" s="391" t="s">
        <v>1233</v>
      </c>
      <c r="D310" s="21" t="s">
        <v>1761</v>
      </c>
      <c r="E310" s="21">
        <v>15</v>
      </c>
      <c r="F310" s="21" t="str">
        <f>Tabela12[[#This Row],[Régua]]&amp;" ("&amp;Tabela12[[#This Row],[Born]]&amp;")"</f>
        <v>TS-001 (15)</v>
      </c>
      <c r="G310" s="21">
        <f>LEN(Tabela12[[#This Row],[Anilha]])</f>
        <v>11</v>
      </c>
      <c r="H310" s="21">
        <f>VLOOKUP(Tabela12[[#This Row],[Tag Cabo]],BD!A:F,6,0)</f>
        <v>1</v>
      </c>
      <c r="I310" s="27" t="s">
        <v>1705</v>
      </c>
      <c r="J310" s="27" t="s">
        <v>1706</v>
      </c>
    </row>
    <row r="311" spans="1:10" x14ac:dyDescent="0.25">
      <c r="A311" s="21" t="s">
        <v>1231</v>
      </c>
      <c r="B311" s="391" t="str">
        <f>VLOOKUP(Tabela12[[#This Row],[Painel]],Tabela13[],2,0)</f>
        <v>GB-967A/B</v>
      </c>
      <c r="C311" s="391" t="s">
        <v>1233</v>
      </c>
      <c r="D311" s="21" t="s">
        <v>1761</v>
      </c>
      <c r="E311" s="21">
        <v>16</v>
      </c>
      <c r="F311" s="21" t="str">
        <f>Tabela12[[#This Row],[Régua]]&amp;" ("&amp;Tabela12[[#This Row],[Born]]&amp;")"</f>
        <v>TS-001 (16)</v>
      </c>
      <c r="G311" s="21">
        <f>LEN(Tabela12[[#This Row],[Anilha]])</f>
        <v>11</v>
      </c>
      <c r="H311" s="21">
        <f>VLOOKUP(Tabela12[[#This Row],[Tag Cabo]],BD!A:F,6,0)</f>
        <v>1</v>
      </c>
      <c r="I311" s="27" t="s">
        <v>1705</v>
      </c>
      <c r="J311" s="27" t="s">
        <v>1706</v>
      </c>
    </row>
    <row r="312" spans="1:10" x14ac:dyDescent="0.25">
      <c r="A312" s="21" t="s">
        <v>1231</v>
      </c>
      <c r="B312" s="391" t="str">
        <f>VLOOKUP(Tabela12[[#This Row],[Painel]],Tabela13[],2,0)</f>
        <v>CCU</v>
      </c>
      <c r="C312" s="391" t="s">
        <v>1659</v>
      </c>
      <c r="D312" s="21" t="s">
        <v>1772</v>
      </c>
      <c r="E312" s="214" t="s">
        <v>1773</v>
      </c>
      <c r="F312" s="21" t="str">
        <f>Tabela12[[#This Row],[Régua]]&amp;" ("&amp;Tabela12[[#This Row],[Born]]&amp;")"</f>
        <v>SD 03.4-1 (05)</v>
      </c>
      <c r="G312" s="21">
        <f>LEN(Tabela12[[#This Row],[Anilha]])</f>
        <v>14</v>
      </c>
      <c r="H312" s="21">
        <f>VLOOKUP(Tabela12[[#This Row],[Tag Cabo]],BD!A:F,6,0)</f>
        <v>1</v>
      </c>
      <c r="I312" s="27" t="s">
        <v>1705</v>
      </c>
      <c r="J312" s="27" t="s">
        <v>1706</v>
      </c>
    </row>
    <row r="313" spans="1:10" x14ac:dyDescent="0.25">
      <c r="A313" s="21" t="s">
        <v>1231</v>
      </c>
      <c r="B313" s="391" t="str">
        <f>VLOOKUP(Tabela12[[#This Row],[Painel]],Tabela13[],2,0)</f>
        <v>CCU</v>
      </c>
      <c r="C313" s="391" t="s">
        <v>1659</v>
      </c>
      <c r="D313" s="21" t="s">
        <v>1772</v>
      </c>
      <c r="E313" s="214" t="s">
        <v>1774</v>
      </c>
      <c r="F313" s="21" t="str">
        <f>Tabela12[[#This Row],[Régua]]&amp;" ("&amp;Tabela12[[#This Row],[Born]]&amp;")"</f>
        <v>SD 03.4-1 (06)</v>
      </c>
      <c r="G313" s="21">
        <f>LEN(Tabela12[[#This Row],[Anilha]])</f>
        <v>14</v>
      </c>
      <c r="H313" s="21">
        <f>VLOOKUP(Tabela12[[#This Row],[Tag Cabo]],BD!A:F,6,0)</f>
        <v>1</v>
      </c>
      <c r="I313" s="27" t="s">
        <v>1705</v>
      </c>
      <c r="J313" s="27" t="s">
        <v>1706</v>
      </c>
    </row>
    <row r="314" spans="1:10" x14ac:dyDescent="0.25">
      <c r="A314" s="21" t="s">
        <v>1084</v>
      </c>
      <c r="B314" s="391" t="str">
        <f>VLOOKUP(Tabela12[[#This Row],[Painel]],Tabela13[],2,0)</f>
        <v>CCP</v>
      </c>
      <c r="C314" s="391" t="s">
        <v>1109</v>
      </c>
      <c r="D314" s="21" t="s">
        <v>1717</v>
      </c>
      <c r="E314" s="21">
        <v>2</v>
      </c>
      <c r="F314" s="21" t="str">
        <f>Tabela12[[#This Row],[Régua]]&amp;" ("&amp;Tabela12[[#This Row],[Born]]&amp;")"</f>
        <v>XE (2)</v>
      </c>
      <c r="G314" s="21">
        <f>LEN(Tabela12[[#This Row],[Anilha]])</f>
        <v>6</v>
      </c>
      <c r="H314" s="21">
        <f>VLOOKUP(Tabela12[[#This Row],[Tag Cabo]],BD!A:F,6,0)</f>
        <v>1</v>
      </c>
      <c r="I314" s="27" t="s">
        <v>1705</v>
      </c>
      <c r="J314" s="27" t="s">
        <v>1706</v>
      </c>
    </row>
    <row r="315" spans="1:10" x14ac:dyDescent="0.25">
      <c r="A315" s="21" t="s">
        <v>1084</v>
      </c>
      <c r="B315" s="391" t="str">
        <f>VLOOKUP(Tabela12[[#This Row],[Painel]],Tabela13[],2,0)</f>
        <v>CCP</v>
      </c>
      <c r="C315" s="391" t="s">
        <v>1109</v>
      </c>
      <c r="D315" s="21" t="s">
        <v>1717</v>
      </c>
      <c r="E315" s="21">
        <v>3</v>
      </c>
      <c r="F315" s="21" t="str">
        <f>Tabela12[[#This Row],[Régua]]&amp;" ("&amp;Tabela12[[#This Row],[Born]]&amp;")"</f>
        <v>XE (3)</v>
      </c>
      <c r="G315" s="21">
        <f>LEN(Tabela12[[#This Row],[Anilha]])</f>
        <v>6</v>
      </c>
      <c r="H315" s="21">
        <f>VLOOKUP(Tabela12[[#This Row],[Tag Cabo]],BD!A:F,6,0)</f>
        <v>1</v>
      </c>
      <c r="I315" s="27" t="s">
        <v>1705</v>
      </c>
      <c r="J315" s="27" t="s">
        <v>1706</v>
      </c>
    </row>
    <row r="316" spans="1:10" x14ac:dyDescent="0.25">
      <c r="A316" s="21" t="s">
        <v>1084</v>
      </c>
      <c r="B316" s="391" t="str">
        <f>VLOOKUP(Tabela12[[#This Row],[Painel]],Tabela13[],2,0)</f>
        <v>CCP</v>
      </c>
      <c r="C316" s="391" t="s">
        <v>1109</v>
      </c>
      <c r="D316" s="21" t="s">
        <v>1717</v>
      </c>
      <c r="E316" s="21">
        <v>7</v>
      </c>
      <c r="F316" s="21" t="str">
        <f>Tabela12[[#This Row],[Régua]]&amp;" ("&amp;Tabela12[[#This Row],[Born]]&amp;")"</f>
        <v>XE (7)</v>
      </c>
      <c r="G316" s="21">
        <f>LEN(Tabela12[[#This Row],[Anilha]])</f>
        <v>6</v>
      </c>
      <c r="H316" s="21">
        <f>VLOOKUP(Tabela12[[#This Row],[Tag Cabo]],BD!A:F,6,0)</f>
        <v>1</v>
      </c>
      <c r="I316" s="27" t="s">
        <v>1705</v>
      </c>
      <c r="J316" s="27" t="s">
        <v>1706</v>
      </c>
    </row>
    <row r="317" spans="1:10" x14ac:dyDescent="0.25">
      <c r="A317" s="21" t="s">
        <v>1084</v>
      </c>
      <c r="B317" s="391" t="str">
        <f>VLOOKUP(Tabela12[[#This Row],[Painel]],Tabela13[],2,0)</f>
        <v>CCP</v>
      </c>
      <c r="C317" s="391" t="s">
        <v>1109</v>
      </c>
      <c r="D317" s="21" t="s">
        <v>1717</v>
      </c>
      <c r="E317" s="21">
        <v>8</v>
      </c>
      <c r="F317" s="21" t="str">
        <f>Tabela12[[#This Row],[Régua]]&amp;" ("&amp;Tabela12[[#This Row],[Born]]&amp;")"</f>
        <v>XE (8)</v>
      </c>
      <c r="G317" s="21">
        <f>LEN(Tabela12[[#This Row],[Anilha]])</f>
        <v>6</v>
      </c>
      <c r="H317" s="21">
        <f>VLOOKUP(Tabela12[[#This Row],[Tag Cabo]],BD!A:F,6,0)</f>
        <v>1</v>
      </c>
      <c r="I317" s="27" t="s">
        <v>1705</v>
      </c>
      <c r="J317" s="27" t="s">
        <v>1706</v>
      </c>
    </row>
    <row r="318" spans="1:10" x14ac:dyDescent="0.25">
      <c r="A318" s="21" t="s">
        <v>1084</v>
      </c>
      <c r="B318" s="391" t="str">
        <f>VLOOKUP(Tabela12[[#This Row],[Painel]],Tabela13[],2,0)</f>
        <v>CCU</v>
      </c>
      <c r="C318" s="391" t="s">
        <v>1658</v>
      </c>
      <c r="D318" s="21" t="s">
        <v>1775</v>
      </c>
      <c r="E318" s="214" t="s">
        <v>1773</v>
      </c>
      <c r="F318" s="21" t="str">
        <f>Tabela12[[#This Row],[Régua]]&amp;" ("&amp;Tabela12[[#This Row],[Born]]&amp;")"</f>
        <v>ED 03.1-1 (05)</v>
      </c>
      <c r="G318" s="21">
        <f>LEN(Tabela12[[#This Row],[Anilha]])</f>
        <v>14</v>
      </c>
      <c r="H318" s="21">
        <f>VLOOKUP(Tabela12[[#This Row],[Tag Cabo]],BD!A:F,6,0)</f>
        <v>1</v>
      </c>
      <c r="I318" s="27" t="s">
        <v>1705</v>
      </c>
      <c r="J318" s="27" t="s">
        <v>1706</v>
      </c>
    </row>
    <row r="319" spans="1:10" x14ac:dyDescent="0.25">
      <c r="A319" s="21" t="s">
        <v>1084</v>
      </c>
      <c r="B319" s="391" t="str">
        <f>VLOOKUP(Tabela12[[#This Row],[Painel]],Tabela13[],2,0)</f>
        <v>CCU</v>
      </c>
      <c r="C319" s="391" t="s">
        <v>1658</v>
      </c>
      <c r="D319" s="21" t="s">
        <v>1775</v>
      </c>
      <c r="E319" s="214" t="s">
        <v>1774</v>
      </c>
      <c r="F319" s="21" t="str">
        <f>Tabela12[[#This Row],[Régua]]&amp;" ("&amp;Tabela12[[#This Row],[Born]]&amp;")"</f>
        <v>ED 03.1-1 (06)</v>
      </c>
      <c r="G319" s="21">
        <f>LEN(Tabela12[[#This Row],[Anilha]])</f>
        <v>14</v>
      </c>
      <c r="H319" s="21">
        <f>VLOOKUP(Tabela12[[#This Row],[Tag Cabo]],BD!A:F,6,0)</f>
        <v>1</v>
      </c>
      <c r="I319" s="27" t="s">
        <v>1705</v>
      </c>
      <c r="J319" s="27" t="s">
        <v>1706</v>
      </c>
    </row>
    <row r="320" spans="1:10" x14ac:dyDescent="0.25">
      <c r="A320" s="21" t="s">
        <v>1084</v>
      </c>
      <c r="B320" s="391" t="str">
        <f>VLOOKUP(Tabela12[[#This Row],[Painel]],Tabela13[],2,0)</f>
        <v>CCU</v>
      </c>
      <c r="C320" s="391" t="s">
        <v>1658</v>
      </c>
      <c r="D320" s="21" t="s">
        <v>1775</v>
      </c>
      <c r="E320" s="214" t="s">
        <v>1776</v>
      </c>
      <c r="F320" s="21" t="str">
        <f>Tabela12[[#This Row],[Régua]]&amp;" ("&amp;Tabela12[[#This Row],[Born]]&amp;")"</f>
        <v>ED 03.1-1 (07)</v>
      </c>
      <c r="G320" s="21">
        <f>LEN(Tabela12[[#This Row],[Anilha]])</f>
        <v>14</v>
      </c>
      <c r="H320" s="21">
        <f>VLOOKUP(Tabela12[[#This Row],[Tag Cabo]],BD!A:F,6,0)</f>
        <v>1</v>
      </c>
      <c r="I320" s="27" t="s">
        <v>1705</v>
      </c>
      <c r="J320" s="27" t="s">
        <v>1706</v>
      </c>
    </row>
    <row r="321" spans="1:10" x14ac:dyDescent="0.25">
      <c r="A321" s="21" t="s">
        <v>1084</v>
      </c>
      <c r="B321" s="391" t="str">
        <f>VLOOKUP(Tabela12[[#This Row],[Painel]],Tabela13[],2,0)</f>
        <v>CCU</v>
      </c>
      <c r="C321" s="391" t="s">
        <v>1658</v>
      </c>
      <c r="D321" s="21" t="s">
        <v>1775</v>
      </c>
      <c r="E321" s="214" t="s">
        <v>1777</v>
      </c>
      <c r="F321" s="21" t="str">
        <f>Tabela12[[#This Row],[Régua]]&amp;" ("&amp;Tabela12[[#This Row],[Born]]&amp;")"</f>
        <v>ED 03.1-1 (08)</v>
      </c>
      <c r="G321" s="21">
        <f>LEN(Tabela12[[#This Row],[Anilha]])</f>
        <v>14</v>
      </c>
      <c r="H321" s="21">
        <f>VLOOKUP(Tabela12[[#This Row],[Tag Cabo]],BD!A:F,6,0)</f>
        <v>1</v>
      </c>
      <c r="I321" s="27" t="s">
        <v>1705</v>
      </c>
      <c r="J321" s="27" t="s">
        <v>1706</v>
      </c>
    </row>
    <row r="322" spans="1:10" x14ac:dyDescent="0.25">
      <c r="A322" s="21" t="s">
        <v>1234</v>
      </c>
      <c r="B322" s="391" t="str">
        <f>VLOOKUP(Tabela12[[#This Row],[Painel]],Tabela13[],2,0)</f>
        <v>GA-9312/S</v>
      </c>
      <c r="C322" s="391" t="s">
        <v>1546</v>
      </c>
      <c r="D322" s="21" t="s">
        <v>1778</v>
      </c>
      <c r="E322" s="21" t="s">
        <v>1747</v>
      </c>
      <c r="F322" s="21" t="str">
        <f>Tabela12[[#This Row],[Régua]]&amp;" ("&amp;Tabela12[[#This Row],[Born]]&amp;")"</f>
        <v>HS-90187A (COM)</v>
      </c>
      <c r="G322" s="21">
        <f>LEN(Tabela12[[#This Row],[Anilha]])</f>
        <v>15</v>
      </c>
      <c r="H322" s="21">
        <f>VLOOKUP(Tabela12[[#This Row],[Tag Cabo]],BD!A:F,6,0)</f>
        <v>1</v>
      </c>
      <c r="I322" s="27" t="s">
        <v>1705</v>
      </c>
      <c r="J322" s="27" t="s">
        <v>1706</v>
      </c>
    </row>
    <row r="323" spans="1:10" x14ac:dyDescent="0.25">
      <c r="A323" s="21" t="s">
        <v>1234</v>
      </c>
      <c r="B323" s="391" t="str">
        <f>VLOOKUP(Tabela12[[#This Row],[Painel]],Tabela13[],2,0)</f>
        <v>GA-9312/S</v>
      </c>
      <c r="C323" s="391" t="s">
        <v>1546</v>
      </c>
      <c r="D323" s="21" t="s">
        <v>1778</v>
      </c>
      <c r="E323" s="21" t="s">
        <v>1779</v>
      </c>
      <c r="F323" s="21" t="str">
        <f>Tabela12[[#This Row],[Régua]]&amp;" ("&amp;Tabela12[[#This Row],[Born]]&amp;")"</f>
        <v>HS-90187A (NA)</v>
      </c>
      <c r="G323" s="21">
        <f>LEN(Tabela12[[#This Row],[Anilha]])</f>
        <v>14</v>
      </c>
      <c r="H323" s="21">
        <f>VLOOKUP(Tabela12[[#This Row],[Tag Cabo]],BD!A:F,6,0)</f>
        <v>1</v>
      </c>
      <c r="I323" s="27" t="s">
        <v>1705</v>
      </c>
      <c r="J323" s="27" t="s">
        <v>1706</v>
      </c>
    </row>
    <row r="324" spans="1:10" x14ac:dyDescent="0.25">
      <c r="A324" s="21" t="s">
        <v>1234</v>
      </c>
      <c r="B324" s="391" t="str">
        <f>VLOOKUP(Tabela12[[#This Row],[Painel]],Tabela13[],2,0)</f>
        <v>GA-9312/S</v>
      </c>
      <c r="C324" s="391" t="s">
        <v>1546</v>
      </c>
      <c r="D324" s="21" t="s">
        <v>1780</v>
      </c>
      <c r="E324" s="21" t="s">
        <v>1747</v>
      </c>
      <c r="F324" s="21" t="str">
        <f>Tabela12[[#This Row],[Régua]]&amp;" ("&amp;Tabela12[[#This Row],[Born]]&amp;")"</f>
        <v>HS-90187B (COM)</v>
      </c>
      <c r="G324" s="21">
        <f>LEN(Tabela12[[#This Row],[Anilha]])</f>
        <v>15</v>
      </c>
      <c r="H324" s="21">
        <f>VLOOKUP(Tabela12[[#This Row],[Tag Cabo]],BD!A:F,6,0)</f>
        <v>1</v>
      </c>
      <c r="I324" s="27" t="s">
        <v>1705</v>
      </c>
      <c r="J324" s="27" t="s">
        <v>1706</v>
      </c>
    </row>
    <row r="325" spans="1:10" x14ac:dyDescent="0.25">
      <c r="A325" s="21" t="s">
        <v>1234</v>
      </c>
      <c r="B325" s="391" t="str">
        <f>VLOOKUP(Tabela12[[#This Row],[Painel]],Tabela13[],2,0)</f>
        <v>GA-9312/S</v>
      </c>
      <c r="C325" s="391" t="s">
        <v>1546</v>
      </c>
      <c r="D325" s="21" t="s">
        <v>1780</v>
      </c>
      <c r="E325" s="21" t="s">
        <v>1779</v>
      </c>
      <c r="F325" s="21" t="str">
        <f>Tabela12[[#This Row],[Régua]]&amp;" ("&amp;Tabela12[[#This Row],[Born]]&amp;")"</f>
        <v>HS-90187B (NA)</v>
      </c>
      <c r="G325" s="21">
        <f>LEN(Tabela12[[#This Row],[Anilha]])</f>
        <v>14</v>
      </c>
      <c r="H325" s="21">
        <f>VLOOKUP(Tabela12[[#This Row],[Tag Cabo]],BD!A:F,6,0)</f>
        <v>1</v>
      </c>
      <c r="I325" s="27" t="s">
        <v>1705</v>
      </c>
      <c r="J325" s="27" t="s">
        <v>1706</v>
      </c>
    </row>
    <row r="326" spans="1:10" x14ac:dyDescent="0.25">
      <c r="A326" s="21" t="s">
        <v>1234</v>
      </c>
      <c r="B326" s="391" t="str">
        <f>VLOOKUP(Tabela12[[#This Row],[Painel]],Tabela13[],2,0)</f>
        <v>GA-9312/S</v>
      </c>
      <c r="C326" s="391" t="s">
        <v>1546</v>
      </c>
      <c r="D326" s="21" t="s">
        <v>1781</v>
      </c>
      <c r="E326" s="21" t="s">
        <v>1747</v>
      </c>
      <c r="F326" s="21" t="str">
        <f>Tabela12[[#This Row],[Régua]]&amp;" ("&amp;Tabela12[[#This Row],[Born]]&amp;")"</f>
        <v>HS-90187C (COM)</v>
      </c>
      <c r="G326" s="21">
        <f>LEN(Tabela12[[#This Row],[Anilha]])</f>
        <v>15</v>
      </c>
      <c r="H326" s="21">
        <f>VLOOKUP(Tabela12[[#This Row],[Tag Cabo]],BD!A:F,6,0)</f>
        <v>1</v>
      </c>
      <c r="I326" s="27" t="s">
        <v>1705</v>
      </c>
      <c r="J326" s="27" t="s">
        <v>1706</v>
      </c>
    </row>
    <row r="327" spans="1:10" x14ac:dyDescent="0.25">
      <c r="A327" s="21" t="s">
        <v>1234</v>
      </c>
      <c r="B327" s="391" t="str">
        <f>VLOOKUP(Tabela12[[#This Row],[Painel]],Tabela13[],2,0)</f>
        <v>GA-9312/S</v>
      </c>
      <c r="C327" s="391" t="s">
        <v>1546</v>
      </c>
      <c r="D327" s="21" t="s">
        <v>1781</v>
      </c>
      <c r="E327" s="21" t="s">
        <v>1779</v>
      </c>
      <c r="F327" s="21" t="str">
        <f>Tabela12[[#This Row],[Régua]]&amp;" ("&amp;Tabela12[[#This Row],[Born]]&amp;")"</f>
        <v>HS-90187C (NA)</v>
      </c>
      <c r="G327" s="21">
        <f>LEN(Tabela12[[#This Row],[Anilha]])</f>
        <v>14</v>
      </c>
      <c r="H327" s="21">
        <f>VLOOKUP(Tabela12[[#This Row],[Tag Cabo]],BD!A:F,6,0)</f>
        <v>1</v>
      </c>
      <c r="I327" s="27" t="s">
        <v>1705</v>
      </c>
      <c r="J327" s="27" t="s">
        <v>1706</v>
      </c>
    </row>
    <row r="328" spans="1:10" x14ac:dyDescent="0.25">
      <c r="A328" s="21" t="s">
        <v>1234</v>
      </c>
      <c r="B328" s="391" t="str">
        <f>VLOOKUP(Tabela12[[#This Row],[Painel]],Tabela13[],2,0)</f>
        <v>GA-9312/S</v>
      </c>
      <c r="C328" s="391" t="s">
        <v>1546</v>
      </c>
      <c r="D328" s="21" t="s">
        <v>1782</v>
      </c>
      <c r="E328" s="21" t="s">
        <v>1747</v>
      </c>
      <c r="F328" s="21" t="str">
        <f>Tabela12[[#This Row],[Régua]]&amp;" ("&amp;Tabela12[[#This Row],[Born]]&amp;")"</f>
        <v>HS-90187D (COM)</v>
      </c>
      <c r="G328" s="21">
        <f>LEN(Tabela12[[#This Row],[Anilha]])</f>
        <v>15</v>
      </c>
      <c r="H328" s="21">
        <f>VLOOKUP(Tabela12[[#This Row],[Tag Cabo]],BD!A:F,6,0)</f>
        <v>1</v>
      </c>
      <c r="I328" s="27" t="s">
        <v>1705</v>
      </c>
      <c r="J328" s="27" t="s">
        <v>1706</v>
      </c>
    </row>
    <row r="329" spans="1:10" x14ac:dyDescent="0.25">
      <c r="A329" s="21" t="s">
        <v>1234</v>
      </c>
      <c r="B329" s="391" t="str">
        <f>VLOOKUP(Tabela12[[#This Row],[Painel]],Tabela13[],2,0)</f>
        <v>GA-9312/S</v>
      </c>
      <c r="C329" s="391" t="s">
        <v>1546</v>
      </c>
      <c r="D329" s="21" t="s">
        <v>1782</v>
      </c>
      <c r="E329" s="21" t="s">
        <v>1779</v>
      </c>
      <c r="F329" s="21" t="str">
        <f>Tabela12[[#This Row],[Régua]]&amp;" ("&amp;Tabela12[[#This Row],[Born]]&amp;")"</f>
        <v>HS-90187D (NA)</v>
      </c>
      <c r="G329" s="21">
        <f>LEN(Tabela12[[#This Row],[Anilha]])</f>
        <v>14</v>
      </c>
      <c r="H329" s="21">
        <f>VLOOKUP(Tabela12[[#This Row],[Tag Cabo]],BD!A:F,6,0)</f>
        <v>1</v>
      </c>
      <c r="I329" s="27" t="s">
        <v>1705</v>
      </c>
      <c r="J329" s="27" t="s">
        <v>1706</v>
      </c>
    </row>
    <row r="330" spans="1:10" x14ac:dyDescent="0.25">
      <c r="A330" s="21" t="s">
        <v>1234</v>
      </c>
      <c r="B330" s="391" t="str">
        <f>VLOOKUP(Tabela12[[#This Row],[Painel]],Tabela13[],2,0)</f>
        <v>GA-9312/S</v>
      </c>
      <c r="C330" s="391" t="s">
        <v>1546</v>
      </c>
      <c r="D330" s="21" t="s">
        <v>1783</v>
      </c>
      <c r="E330" s="21" t="s">
        <v>1747</v>
      </c>
      <c r="F330" s="21" t="str">
        <f>Tabela12[[#This Row],[Régua]]&amp;" ("&amp;Tabela12[[#This Row],[Born]]&amp;")"</f>
        <v>PB-90103 (COM)</v>
      </c>
      <c r="G330" s="21">
        <f>LEN(Tabela12[[#This Row],[Anilha]])</f>
        <v>14</v>
      </c>
      <c r="H330" s="21">
        <f>VLOOKUP(Tabela12[[#This Row],[Tag Cabo]],BD!A:F,6,0)</f>
        <v>1</v>
      </c>
      <c r="I330" s="27" t="s">
        <v>1705</v>
      </c>
      <c r="J330" s="27" t="s">
        <v>1706</v>
      </c>
    </row>
    <row r="331" spans="1:10" x14ac:dyDescent="0.25">
      <c r="A331" s="21" t="s">
        <v>1234</v>
      </c>
      <c r="B331" s="391" t="str">
        <f>VLOOKUP(Tabela12[[#This Row],[Painel]],Tabela13[],2,0)</f>
        <v>GA-9312/S</v>
      </c>
      <c r="C331" s="391" t="s">
        <v>1546</v>
      </c>
      <c r="D331" s="21" t="s">
        <v>1783</v>
      </c>
      <c r="E331" s="21" t="s">
        <v>1779</v>
      </c>
      <c r="F331" s="21" t="str">
        <f>Tabela12[[#This Row],[Régua]]&amp;" ("&amp;Tabela12[[#This Row],[Born]]&amp;")"</f>
        <v>PB-90103 (NA)</v>
      </c>
      <c r="G331" s="21">
        <f>LEN(Tabela12[[#This Row],[Anilha]])</f>
        <v>13</v>
      </c>
      <c r="H331" s="21">
        <f>VLOOKUP(Tabela12[[#This Row],[Tag Cabo]],BD!A:F,6,0)</f>
        <v>1</v>
      </c>
      <c r="I331" s="27" t="s">
        <v>1705</v>
      </c>
      <c r="J331" s="27" t="s">
        <v>1706</v>
      </c>
    </row>
    <row r="332" spans="1:10" x14ac:dyDescent="0.25">
      <c r="A332" s="21" t="s">
        <v>1234</v>
      </c>
      <c r="B332" s="391" t="str">
        <f>VLOOKUP(Tabela12[[#This Row],[Painel]],Tabela13[],2,0)</f>
        <v>GA-9312/S</v>
      </c>
      <c r="C332" s="391" t="s">
        <v>1546</v>
      </c>
      <c r="D332" s="21" t="s">
        <v>1784</v>
      </c>
      <c r="E332" s="21" t="s">
        <v>1747</v>
      </c>
      <c r="F332" s="21" t="str">
        <f>Tabela12[[#This Row],[Régua]]&amp;" ("&amp;Tabela12[[#This Row],[Born]]&amp;")"</f>
        <v>PB-90104 (COM)</v>
      </c>
      <c r="G332" s="21">
        <f>LEN(Tabela12[[#This Row],[Anilha]])</f>
        <v>14</v>
      </c>
      <c r="H332" s="21">
        <f>VLOOKUP(Tabela12[[#This Row],[Tag Cabo]],BD!A:F,6,0)</f>
        <v>1</v>
      </c>
      <c r="I332" s="27" t="s">
        <v>1705</v>
      </c>
      <c r="J332" s="27" t="s">
        <v>1706</v>
      </c>
    </row>
    <row r="333" spans="1:10" x14ac:dyDescent="0.25">
      <c r="A333" s="21" t="s">
        <v>1234</v>
      </c>
      <c r="B333" s="391" t="str">
        <f>VLOOKUP(Tabela12[[#This Row],[Painel]],Tabela13[],2,0)</f>
        <v>GA-9312/S</v>
      </c>
      <c r="C333" s="391" t="s">
        <v>1546</v>
      </c>
      <c r="D333" s="21" t="s">
        <v>1784</v>
      </c>
      <c r="E333" s="21" t="s">
        <v>1785</v>
      </c>
      <c r="F333" s="21" t="str">
        <f>Tabela12[[#This Row],[Régua]]&amp;" ("&amp;Tabela12[[#This Row],[Born]]&amp;")"</f>
        <v>PB-90104 (NF)</v>
      </c>
      <c r="G333" s="21">
        <f>LEN(Tabela12[[#This Row],[Anilha]])</f>
        <v>13</v>
      </c>
      <c r="H333" s="21">
        <f>VLOOKUP(Tabela12[[#This Row],[Tag Cabo]],BD!A:F,6,0)</f>
        <v>1</v>
      </c>
      <c r="I333" s="27" t="s">
        <v>1705</v>
      </c>
      <c r="J333" s="27" t="s">
        <v>1706</v>
      </c>
    </row>
    <row r="334" spans="1:10" x14ac:dyDescent="0.25">
      <c r="A334" s="21" t="s">
        <v>1234</v>
      </c>
      <c r="B334" s="391" t="str">
        <f>VLOOKUP(Tabela12[[#This Row],[Painel]],Tabela13[],2,0)</f>
        <v>GA-9312/S</v>
      </c>
      <c r="C334" s="391" t="s">
        <v>1546</v>
      </c>
      <c r="D334" s="21" t="s">
        <v>1775</v>
      </c>
      <c r="E334" s="214" t="s">
        <v>1786</v>
      </c>
      <c r="F334" s="21" t="str">
        <f>Tabela12[[#This Row],[Régua]]&amp;" ("&amp;Tabela12[[#This Row],[Born]]&amp;")"</f>
        <v>ED 03.1-1 (09)</v>
      </c>
      <c r="G334" s="21">
        <f>LEN(Tabela12[[#This Row],[Anilha]])</f>
        <v>14</v>
      </c>
      <c r="H334" s="21">
        <f>VLOOKUP(Tabela12[[#This Row],[Tag Cabo]],BD!A:F,6,0)</f>
        <v>1</v>
      </c>
      <c r="I334" s="27" t="s">
        <v>1705</v>
      </c>
      <c r="J334" s="27" t="s">
        <v>1706</v>
      </c>
    </row>
    <row r="335" spans="1:10" x14ac:dyDescent="0.25">
      <c r="A335" s="21" t="s">
        <v>1234</v>
      </c>
      <c r="B335" s="391" t="str">
        <f>VLOOKUP(Tabela12[[#This Row],[Painel]],Tabela13[],2,0)</f>
        <v>GA-9312/S</v>
      </c>
      <c r="C335" s="391" t="s">
        <v>1546</v>
      </c>
      <c r="D335" s="21" t="s">
        <v>1775</v>
      </c>
      <c r="E335" s="21">
        <v>10</v>
      </c>
      <c r="F335" s="21" t="str">
        <f>Tabela12[[#This Row],[Régua]]&amp;" ("&amp;Tabela12[[#This Row],[Born]]&amp;")"</f>
        <v>ED 03.1-1 (10)</v>
      </c>
      <c r="G335" s="21">
        <f>LEN(Tabela12[[#This Row],[Anilha]])</f>
        <v>14</v>
      </c>
      <c r="H335" s="21">
        <f>VLOOKUP(Tabela12[[#This Row],[Tag Cabo]],BD!A:F,6,0)</f>
        <v>1</v>
      </c>
      <c r="I335" s="27" t="s">
        <v>1705</v>
      </c>
      <c r="J335" s="27" t="s">
        <v>1706</v>
      </c>
    </row>
    <row r="336" spans="1:10" x14ac:dyDescent="0.25">
      <c r="A336" s="21" t="s">
        <v>1234</v>
      </c>
      <c r="B336" s="391" t="str">
        <f>VLOOKUP(Tabela12[[#This Row],[Painel]],Tabela13[],2,0)</f>
        <v>GA-9312/S</v>
      </c>
      <c r="C336" s="391" t="s">
        <v>1546</v>
      </c>
      <c r="D336" s="21" t="s">
        <v>1775</v>
      </c>
      <c r="E336" s="21">
        <v>11</v>
      </c>
      <c r="F336" s="21" t="str">
        <f>Tabela12[[#This Row],[Régua]]&amp;" ("&amp;Tabela12[[#This Row],[Born]]&amp;")"</f>
        <v>ED 03.1-1 (11)</v>
      </c>
      <c r="G336" s="21">
        <f>LEN(Tabela12[[#This Row],[Anilha]])</f>
        <v>14</v>
      </c>
      <c r="H336" s="21">
        <f>VLOOKUP(Tabela12[[#This Row],[Tag Cabo]],BD!A:F,6,0)</f>
        <v>1</v>
      </c>
      <c r="I336" s="27" t="s">
        <v>1705</v>
      </c>
      <c r="J336" s="27" t="s">
        <v>1706</v>
      </c>
    </row>
    <row r="337" spans="1:10" x14ac:dyDescent="0.25">
      <c r="A337" s="21" t="s">
        <v>1234</v>
      </c>
      <c r="B337" s="391" t="str">
        <f>VLOOKUP(Tabela12[[#This Row],[Painel]],Tabela13[],2,0)</f>
        <v>GA-9312/S</v>
      </c>
      <c r="C337" s="391" t="s">
        <v>1546</v>
      </c>
      <c r="D337" s="21" t="s">
        <v>1775</v>
      </c>
      <c r="E337" s="21">
        <v>12</v>
      </c>
      <c r="F337" s="21" t="str">
        <f>Tabela12[[#This Row],[Régua]]&amp;" ("&amp;Tabela12[[#This Row],[Born]]&amp;")"</f>
        <v>ED 03.1-1 (12)</v>
      </c>
      <c r="G337" s="21">
        <f>LEN(Tabela12[[#This Row],[Anilha]])</f>
        <v>14</v>
      </c>
      <c r="H337" s="21">
        <f>VLOOKUP(Tabela12[[#This Row],[Tag Cabo]],BD!A:F,6,0)</f>
        <v>1</v>
      </c>
      <c r="I337" s="27" t="s">
        <v>1705</v>
      </c>
      <c r="J337" s="27" t="s">
        <v>1706</v>
      </c>
    </row>
    <row r="338" spans="1:10" x14ac:dyDescent="0.25">
      <c r="A338" s="21" t="s">
        <v>1234</v>
      </c>
      <c r="B338" s="391" t="str">
        <f>VLOOKUP(Tabela12[[#This Row],[Painel]],Tabela13[],2,0)</f>
        <v>GA-9312/S</v>
      </c>
      <c r="C338" s="391" t="s">
        <v>1546</v>
      </c>
      <c r="D338" s="21" t="s">
        <v>1775</v>
      </c>
      <c r="E338" s="21">
        <v>13</v>
      </c>
      <c r="F338" s="21" t="str">
        <f>Tabela12[[#This Row],[Régua]]&amp;" ("&amp;Tabela12[[#This Row],[Born]]&amp;")"</f>
        <v>ED 03.1-1 (13)</v>
      </c>
      <c r="G338" s="21">
        <f>LEN(Tabela12[[#This Row],[Anilha]])</f>
        <v>14</v>
      </c>
      <c r="H338" s="21">
        <f>VLOOKUP(Tabela12[[#This Row],[Tag Cabo]],BD!A:F,6,0)</f>
        <v>1</v>
      </c>
      <c r="I338" s="27" t="s">
        <v>1705</v>
      </c>
      <c r="J338" s="27" t="s">
        <v>1706</v>
      </c>
    </row>
    <row r="339" spans="1:10" x14ac:dyDescent="0.25">
      <c r="A339" s="21" t="s">
        <v>1234</v>
      </c>
      <c r="B339" s="391" t="str">
        <f>VLOOKUP(Tabela12[[#This Row],[Painel]],Tabela13[],2,0)</f>
        <v>GA-9312/S</v>
      </c>
      <c r="C339" s="391" t="s">
        <v>1546</v>
      </c>
      <c r="D339" s="21" t="s">
        <v>1775</v>
      </c>
      <c r="E339" s="21">
        <v>14</v>
      </c>
      <c r="F339" s="21" t="str">
        <f>Tabela12[[#This Row],[Régua]]&amp;" ("&amp;Tabela12[[#This Row],[Born]]&amp;")"</f>
        <v>ED 03.1-1 (14)</v>
      </c>
      <c r="G339" s="21">
        <f>LEN(Tabela12[[#This Row],[Anilha]])</f>
        <v>14</v>
      </c>
      <c r="H339" s="21">
        <f>VLOOKUP(Tabela12[[#This Row],[Tag Cabo]],BD!A:F,6,0)</f>
        <v>1</v>
      </c>
      <c r="I339" s="27" t="s">
        <v>1705</v>
      </c>
      <c r="J339" s="27" t="s">
        <v>1706</v>
      </c>
    </row>
    <row r="340" spans="1:10" x14ac:dyDescent="0.25">
      <c r="A340" s="21" t="s">
        <v>1234</v>
      </c>
      <c r="B340" s="391" t="str">
        <f>VLOOKUP(Tabela12[[#This Row],[Painel]],Tabela13[],2,0)</f>
        <v>GA-9312/S</v>
      </c>
      <c r="C340" s="391" t="s">
        <v>1546</v>
      </c>
      <c r="D340" s="21" t="s">
        <v>1775</v>
      </c>
      <c r="E340" s="21">
        <v>15</v>
      </c>
      <c r="F340" s="21" t="str">
        <f>Tabela12[[#This Row],[Régua]]&amp;" ("&amp;Tabela12[[#This Row],[Born]]&amp;")"</f>
        <v>ED 03.1-1 (15)</v>
      </c>
      <c r="G340" s="21">
        <f>LEN(Tabela12[[#This Row],[Anilha]])</f>
        <v>14</v>
      </c>
      <c r="H340" s="21">
        <f>VLOOKUP(Tabela12[[#This Row],[Tag Cabo]],BD!A:F,6,0)</f>
        <v>1</v>
      </c>
      <c r="I340" s="27" t="s">
        <v>1705</v>
      </c>
      <c r="J340" s="27" t="s">
        <v>1706</v>
      </c>
    </row>
    <row r="341" spans="1:10" x14ac:dyDescent="0.25">
      <c r="A341" s="21" t="s">
        <v>1234</v>
      </c>
      <c r="B341" s="391" t="str">
        <f>VLOOKUP(Tabela12[[#This Row],[Painel]],Tabela13[],2,0)</f>
        <v>GA-9312/S</v>
      </c>
      <c r="C341" s="391" t="s">
        <v>1546</v>
      </c>
      <c r="D341" s="21" t="s">
        <v>1775</v>
      </c>
      <c r="E341" s="21">
        <v>16</v>
      </c>
      <c r="F341" s="21" t="str">
        <f>Tabela12[[#This Row],[Régua]]&amp;" ("&amp;Tabela12[[#This Row],[Born]]&amp;")"</f>
        <v>ED 03.1-1 (16)</v>
      </c>
      <c r="G341" s="21">
        <f>LEN(Tabela12[[#This Row],[Anilha]])</f>
        <v>14</v>
      </c>
      <c r="H341" s="21">
        <f>VLOOKUP(Tabela12[[#This Row],[Tag Cabo]],BD!A:F,6,0)</f>
        <v>1</v>
      </c>
      <c r="I341" s="27" t="s">
        <v>1705</v>
      </c>
      <c r="J341" s="27" t="s">
        <v>1706</v>
      </c>
    </row>
    <row r="342" spans="1:10" x14ac:dyDescent="0.25">
      <c r="A342" s="21" t="s">
        <v>1234</v>
      </c>
      <c r="B342" s="391" t="str">
        <f>VLOOKUP(Tabela12[[#This Row],[Painel]],Tabela13[],2,0)</f>
        <v>GA-9312/S</v>
      </c>
      <c r="C342" s="391" t="s">
        <v>1546</v>
      </c>
      <c r="D342" s="21" t="s">
        <v>1775</v>
      </c>
      <c r="E342" s="21">
        <v>17</v>
      </c>
      <c r="F342" s="21" t="str">
        <f>Tabela12[[#This Row],[Régua]]&amp;" ("&amp;Tabela12[[#This Row],[Born]]&amp;")"</f>
        <v>ED 03.1-1 (17)</v>
      </c>
      <c r="G342" s="21">
        <f>LEN(Tabela12[[#This Row],[Anilha]])</f>
        <v>14</v>
      </c>
      <c r="H342" s="21">
        <f>VLOOKUP(Tabela12[[#This Row],[Tag Cabo]],BD!A:F,6,0)</f>
        <v>1</v>
      </c>
      <c r="I342" s="27" t="s">
        <v>1705</v>
      </c>
      <c r="J342" s="27" t="s">
        <v>1706</v>
      </c>
    </row>
    <row r="343" spans="1:10" x14ac:dyDescent="0.25">
      <c r="A343" s="21" t="s">
        <v>1234</v>
      </c>
      <c r="B343" s="391" t="str">
        <f>VLOOKUP(Tabela12[[#This Row],[Painel]],Tabela13[],2,0)</f>
        <v>GA-9312/S</v>
      </c>
      <c r="C343" s="391" t="s">
        <v>1546</v>
      </c>
      <c r="D343" s="21" t="s">
        <v>1775</v>
      </c>
      <c r="E343" s="21">
        <v>18</v>
      </c>
      <c r="F343" s="21" t="str">
        <f>Tabela12[[#This Row],[Régua]]&amp;" ("&amp;Tabela12[[#This Row],[Born]]&amp;")"</f>
        <v>ED 03.1-1 (18)</v>
      </c>
      <c r="G343" s="21">
        <f>LEN(Tabela12[[#This Row],[Anilha]])</f>
        <v>14</v>
      </c>
      <c r="H343" s="21">
        <f>VLOOKUP(Tabela12[[#This Row],[Tag Cabo]],BD!A:F,6,0)</f>
        <v>1</v>
      </c>
      <c r="I343" s="27" t="s">
        <v>1705</v>
      </c>
      <c r="J343" s="27" t="s">
        <v>1706</v>
      </c>
    </row>
    <row r="344" spans="1:10" x14ac:dyDescent="0.25">
      <c r="A344" s="21" t="s">
        <v>1234</v>
      </c>
      <c r="B344" s="391" t="str">
        <f>VLOOKUP(Tabela12[[#This Row],[Painel]],Tabela13[],2,0)</f>
        <v>GA-9312/S</v>
      </c>
      <c r="C344" s="391" t="s">
        <v>1546</v>
      </c>
      <c r="D344" s="21" t="s">
        <v>1775</v>
      </c>
      <c r="E344" s="21">
        <v>19</v>
      </c>
      <c r="F344" s="21" t="str">
        <f>Tabela12[[#This Row],[Régua]]&amp;" ("&amp;Tabela12[[#This Row],[Born]]&amp;")"</f>
        <v>ED 03.1-1 (19)</v>
      </c>
      <c r="G344" s="21">
        <f>LEN(Tabela12[[#This Row],[Anilha]])</f>
        <v>14</v>
      </c>
      <c r="H344" s="21">
        <f>VLOOKUP(Tabela12[[#This Row],[Tag Cabo]],BD!A:F,6,0)</f>
        <v>1</v>
      </c>
      <c r="I344" s="27" t="s">
        <v>1705</v>
      </c>
      <c r="J344" s="27" t="s">
        <v>1706</v>
      </c>
    </row>
    <row r="345" spans="1:10" x14ac:dyDescent="0.25">
      <c r="A345" s="21" t="s">
        <v>1234</v>
      </c>
      <c r="B345" s="391" t="str">
        <f>VLOOKUP(Tabela12[[#This Row],[Painel]],Tabela13[],2,0)</f>
        <v>GA-9312/S</v>
      </c>
      <c r="C345" s="391" t="s">
        <v>1546</v>
      </c>
      <c r="D345" s="21" t="s">
        <v>1775</v>
      </c>
      <c r="E345" s="21">
        <v>20</v>
      </c>
      <c r="F345" s="21" t="str">
        <f>Tabela12[[#This Row],[Régua]]&amp;" ("&amp;Tabela12[[#This Row],[Born]]&amp;")"</f>
        <v>ED 03.1-1 (20)</v>
      </c>
      <c r="G345" s="21">
        <f>LEN(Tabela12[[#This Row],[Anilha]])</f>
        <v>14</v>
      </c>
      <c r="H345" s="21">
        <f>VLOOKUP(Tabela12[[#This Row],[Tag Cabo]],BD!A:F,6,0)</f>
        <v>1</v>
      </c>
      <c r="I345" s="27" t="s">
        <v>1705</v>
      </c>
      <c r="J345" s="27" t="s">
        <v>1706</v>
      </c>
    </row>
    <row r="346" spans="1:10" x14ac:dyDescent="0.25">
      <c r="A346" s="21" t="s">
        <v>1091</v>
      </c>
      <c r="B346" s="391" t="str">
        <f>VLOOKUP(Tabela12[[#This Row],[Painel]],Tabela13[],2,0)</f>
        <v>CCP</v>
      </c>
      <c r="C346" s="391" t="s">
        <v>1109</v>
      </c>
      <c r="D346" s="21" t="s">
        <v>1717</v>
      </c>
      <c r="E346" s="21">
        <v>10</v>
      </c>
      <c r="F346" s="21" t="str">
        <f>Tabela12[[#This Row],[Régua]]&amp;" ("&amp;Tabela12[[#This Row],[Born]]&amp;")"</f>
        <v>XE (10)</v>
      </c>
      <c r="G346" s="21">
        <f>LEN(Tabela12[[#This Row],[Anilha]])</f>
        <v>7</v>
      </c>
      <c r="H346" s="21">
        <f>VLOOKUP(Tabela12[[#This Row],[Tag Cabo]],BD!A:F,6,0)</f>
        <v>1</v>
      </c>
      <c r="I346" s="27" t="s">
        <v>1705</v>
      </c>
      <c r="J346" s="27" t="s">
        <v>1706</v>
      </c>
    </row>
    <row r="347" spans="1:10" x14ac:dyDescent="0.25">
      <c r="A347" s="21" t="s">
        <v>1091</v>
      </c>
      <c r="B347" s="391" t="str">
        <f>VLOOKUP(Tabela12[[#This Row],[Painel]],Tabela13[],2,0)</f>
        <v>CCP</v>
      </c>
      <c r="C347" s="391" t="s">
        <v>1109</v>
      </c>
      <c r="D347" s="21" t="s">
        <v>1717</v>
      </c>
      <c r="E347" s="21">
        <v>11</v>
      </c>
      <c r="F347" s="21" t="str">
        <f>Tabela12[[#This Row],[Régua]]&amp;" ("&amp;Tabela12[[#This Row],[Born]]&amp;")"</f>
        <v>XE (11)</v>
      </c>
      <c r="G347" s="21">
        <f>LEN(Tabela12[[#This Row],[Anilha]])</f>
        <v>7</v>
      </c>
      <c r="H347" s="21">
        <f>VLOOKUP(Tabela12[[#This Row],[Tag Cabo]],BD!A:F,6,0)</f>
        <v>1</v>
      </c>
      <c r="I347" s="27" t="s">
        <v>1705</v>
      </c>
      <c r="J347" s="27" t="s">
        <v>1706</v>
      </c>
    </row>
    <row r="348" spans="1:10" x14ac:dyDescent="0.25">
      <c r="A348" s="21" t="s">
        <v>1091</v>
      </c>
      <c r="B348" s="391" t="str">
        <f>VLOOKUP(Tabela12[[#This Row],[Painel]],Tabela13[],2,0)</f>
        <v>CCP</v>
      </c>
      <c r="C348" s="391" t="s">
        <v>1109</v>
      </c>
      <c r="D348" s="21" t="s">
        <v>1717</v>
      </c>
      <c r="E348" s="21">
        <v>12</v>
      </c>
      <c r="F348" s="21" t="str">
        <f>Tabela12[[#This Row],[Régua]]&amp;" ("&amp;Tabela12[[#This Row],[Born]]&amp;")"</f>
        <v>XE (12)</v>
      </c>
      <c r="G348" s="27">
        <f>LEN(Tabela12[[#This Row],[Anilha]])</f>
        <v>7</v>
      </c>
      <c r="H348" s="21">
        <f>VLOOKUP(Tabela12[[#This Row],[Tag Cabo]],BD!A:F,6,0)</f>
        <v>1</v>
      </c>
      <c r="I348" s="27" t="s">
        <v>1705</v>
      </c>
      <c r="J348" s="27" t="s">
        <v>1706</v>
      </c>
    </row>
    <row r="349" spans="1:10" x14ac:dyDescent="0.25">
      <c r="A349" s="21" t="s">
        <v>1091</v>
      </c>
      <c r="B349" s="391" t="str">
        <f>VLOOKUP(Tabela12[[#This Row],[Painel]],Tabela13[],2,0)</f>
        <v>CCP</v>
      </c>
      <c r="C349" s="391" t="s">
        <v>1109</v>
      </c>
      <c r="D349" s="21" t="s">
        <v>1717</v>
      </c>
      <c r="E349" s="21">
        <v>13</v>
      </c>
      <c r="F349" s="21" t="str">
        <f>Tabela12[[#This Row],[Régua]]&amp;" ("&amp;Tabela12[[#This Row],[Born]]&amp;")"</f>
        <v>XE (13)</v>
      </c>
      <c r="G349" s="27">
        <f>LEN(Tabela12[[#This Row],[Anilha]])</f>
        <v>7</v>
      </c>
      <c r="H349" s="21">
        <f>VLOOKUP(Tabela12[[#This Row],[Tag Cabo]],BD!A:F,6,0)</f>
        <v>1</v>
      </c>
      <c r="I349" s="27" t="s">
        <v>1705</v>
      </c>
      <c r="J349" s="27" t="s">
        <v>1706</v>
      </c>
    </row>
    <row r="350" spans="1:10" x14ac:dyDescent="0.25">
      <c r="A350" s="21" t="s">
        <v>1091</v>
      </c>
      <c r="B350" s="391" t="str">
        <f>VLOOKUP(Tabela12[[#This Row],[Painel]],Tabela13[],2,0)</f>
        <v>CCU</v>
      </c>
      <c r="C350" s="391" t="s">
        <v>1659</v>
      </c>
      <c r="D350" s="21" t="s">
        <v>1787</v>
      </c>
      <c r="E350" s="214" t="s">
        <v>1788</v>
      </c>
      <c r="F350" s="21" t="str">
        <f>Tabela12[[#This Row],[Régua]]&amp;" ("&amp;Tabela12[[#This Row],[Born]]&amp;")"</f>
        <v>SD 02.3-1 (01)</v>
      </c>
      <c r="G350" s="27">
        <f>LEN(Tabela12[[#This Row],[Anilha]])</f>
        <v>14</v>
      </c>
      <c r="H350" s="21">
        <f>VLOOKUP(Tabela12[[#This Row],[Tag Cabo]],BD!A:F,6,0)</f>
        <v>1</v>
      </c>
      <c r="I350" s="27" t="s">
        <v>1705</v>
      </c>
      <c r="J350" s="27" t="s">
        <v>1706</v>
      </c>
    </row>
    <row r="351" spans="1:10" x14ac:dyDescent="0.25">
      <c r="A351" s="21" t="s">
        <v>1091</v>
      </c>
      <c r="B351" s="391" t="str">
        <f>VLOOKUP(Tabela12[[#This Row],[Painel]],Tabela13[],2,0)</f>
        <v>CCU</v>
      </c>
      <c r="C351" s="391" t="s">
        <v>1659</v>
      </c>
      <c r="D351" s="21" t="s">
        <v>1787</v>
      </c>
      <c r="E351" s="214" t="s">
        <v>1789</v>
      </c>
      <c r="F351" s="21" t="str">
        <f>Tabela12[[#This Row],[Régua]]&amp;" ("&amp;Tabela12[[#This Row],[Born]]&amp;")"</f>
        <v>SD 02.3-1 (02)</v>
      </c>
      <c r="G351" s="27">
        <f>LEN(Tabela12[[#This Row],[Anilha]])</f>
        <v>14</v>
      </c>
      <c r="H351" s="21">
        <f>VLOOKUP(Tabela12[[#This Row],[Tag Cabo]],BD!A:F,6,0)</f>
        <v>1</v>
      </c>
      <c r="I351" s="27" t="s">
        <v>1705</v>
      </c>
      <c r="J351" s="27" t="s">
        <v>1706</v>
      </c>
    </row>
    <row r="352" spans="1:10" x14ac:dyDescent="0.25">
      <c r="A352" s="21" t="s">
        <v>1091</v>
      </c>
      <c r="B352" s="391" t="str">
        <f>VLOOKUP(Tabela12[[#This Row],[Painel]],Tabela13[],2,0)</f>
        <v>CCU</v>
      </c>
      <c r="C352" s="391" t="s">
        <v>1659</v>
      </c>
      <c r="D352" s="21" t="s">
        <v>1787</v>
      </c>
      <c r="E352" s="214" t="s">
        <v>1790</v>
      </c>
      <c r="F352" s="21" t="str">
        <f>Tabela12[[#This Row],[Régua]]&amp;" ("&amp;Tabela12[[#This Row],[Born]]&amp;")"</f>
        <v>SD 02.3-1 (03)</v>
      </c>
      <c r="G352" s="27">
        <f>LEN(Tabela12[[#This Row],[Anilha]])</f>
        <v>14</v>
      </c>
      <c r="H352" s="21">
        <f>VLOOKUP(Tabela12[[#This Row],[Tag Cabo]],BD!A:F,6,0)</f>
        <v>1</v>
      </c>
      <c r="I352" s="27" t="s">
        <v>1705</v>
      </c>
      <c r="J352" s="27" t="s">
        <v>1706</v>
      </c>
    </row>
    <row r="353" spans="1:10" x14ac:dyDescent="0.25">
      <c r="A353" s="21" t="s">
        <v>1091</v>
      </c>
      <c r="B353" s="391" t="str">
        <f>VLOOKUP(Tabela12[[#This Row],[Painel]],Tabela13[],2,0)</f>
        <v>CCU</v>
      </c>
      <c r="C353" s="391" t="s">
        <v>1659</v>
      </c>
      <c r="D353" s="21" t="s">
        <v>1787</v>
      </c>
      <c r="E353" s="214" t="s">
        <v>1791</v>
      </c>
      <c r="F353" s="21" t="str">
        <f>Tabela12[[#This Row],[Régua]]&amp;" ("&amp;Tabela12[[#This Row],[Born]]&amp;")"</f>
        <v>SD 02.3-1 (04)</v>
      </c>
      <c r="G353" s="27">
        <f>LEN(Tabela12[[#This Row],[Anilha]])</f>
        <v>14</v>
      </c>
      <c r="H353" s="21">
        <f>VLOOKUP(Tabela12[[#This Row],[Tag Cabo]],BD!A:F,6,0)</f>
        <v>1</v>
      </c>
      <c r="I353" s="27" t="s">
        <v>1705</v>
      </c>
      <c r="J353" s="27" t="s">
        <v>1706</v>
      </c>
    </row>
    <row r="354" spans="1:10" x14ac:dyDescent="0.25">
      <c r="A354" s="21" t="s">
        <v>1093</v>
      </c>
      <c r="B354" s="391" t="str">
        <f>VLOOKUP(Tabela12[[#This Row],[Painel]],Tabela13[],2,0)</f>
        <v>CCP</v>
      </c>
      <c r="C354" s="391" t="s">
        <v>1109</v>
      </c>
      <c r="D354" s="21" t="s">
        <v>1717</v>
      </c>
      <c r="E354" s="21">
        <v>2</v>
      </c>
      <c r="F354" s="21" t="str">
        <f>Tabela12[[#This Row],[Régua]]&amp;" ("&amp;Tabela12[[#This Row],[Born]]&amp;")"</f>
        <v>XE (2)</v>
      </c>
      <c r="G354" s="27">
        <f>LEN(Tabela12[[#This Row],[Anilha]])</f>
        <v>6</v>
      </c>
      <c r="H354" s="21">
        <f>VLOOKUP(Tabela12[[#This Row],[Tag Cabo]],BD!A:F,6,0)</f>
        <v>1</v>
      </c>
      <c r="I354" s="27" t="s">
        <v>1705</v>
      </c>
      <c r="J354" s="27" t="s">
        <v>1706</v>
      </c>
    </row>
    <row r="355" spans="1:10" x14ac:dyDescent="0.25">
      <c r="A355" s="21" t="s">
        <v>1093</v>
      </c>
      <c r="B355" s="391" t="str">
        <f>VLOOKUP(Tabela12[[#This Row],[Painel]],Tabela13[],2,0)</f>
        <v>CCP</v>
      </c>
      <c r="C355" s="391" t="s">
        <v>1109</v>
      </c>
      <c r="D355" s="21" t="s">
        <v>1717</v>
      </c>
      <c r="E355" s="21">
        <v>3</v>
      </c>
      <c r="F355" s="21" t="str">
        <f>Tabela12[[#This Row],[Régua]]&amp;" ("&amp;Tabela12[[#This Row],[Born]]&amp;")"</f>
        <v>XE (3)</v>
      </c>
      <c r="G355" s="27">
        <f>LEN(Tabela12[[#This Row],[Anilha]])</f>
        <v>6</v>
      </c>
      <c r="H355" s="21">
        <f>VLOOKUP(Tabela12[[#This Row],[Tag Cabo]],BD!A:F,6,0)</f>
        <v>1</v>
      </c>
      <c r="I355" s="27" t="s">
        <v>1705</v>
      </c>
      <c r="J355" s="27" t="s">
        <v>1706</v>
      </c>
    </row>
    <row r="356" spans="1:10" x14ac:dyDescent="0.25">
      <c r="A356" s="21" t="s">
        <v>1093</v>
      </c>
      <c r="B356" s="391" t="str">
        <f>VLOOKUP(Tabela12[[#This Row],[Painel]],Tabela13[],2,0)</f>
        <v>CCP</v>
      </c>
      <c r="C356" s="391" t="s">
        <v>1109</v>
      </c>
      <c r="D356" s="21" t="s">
        <v>1717</v>
      </c>
      <c r="E356" s="21">
        <v>7</v>
      </c>
      <c r="F356" s="21" t="str">
        <f>Tabela12[[#This Row],[Régua]]&amp;" ("&amp;Tabela12[[#This Row],[Born]]&amp;")"</f>
        <v>XE (7)</v>
      </c>
      <c r="G356" s="27">
        <f>LEN(Tabela12[[#This Row],[Anilha]])</f>
        <v>6</v>
      </c>
      <c r="H356" s="21">
        <f>VLOOKUP(Tabela12[[#This Row],[Tag Cabo]],BD!A:F,6,0)</f>
        <v>1</v>
      </c>
      <c r="I356" s="27" t="s">
        <v>1705</v>
      </c>
      <c r="J356" s="27" t="s">
        <v>1706</v>
      </c>
    </row>
    <row r="357" spans="1:10" x14ac:dyDescent="0.25">
      <c r="A357" s="21" t="s">
        <v>1093</v>
      </c>
      <c r="B357" s="391" t="str">
        <f>VLOOKUP(Tabela12[[#This Row],[Painel]],Tabela13[],2,0)</f>
        <v>CCP</v>
      </c>
      <c r="C357" s="391" t="s">
        <v>1109</v>
      </c>
      <c r="D357" s="21" t="s">
        <v>1717</v>
      </c>
      <c r="E357" s="21">
        <v>8</v>
      </c>
      <c r="F357" s="21" t="str">
        <f>Tabela12[[#This Row],[Régua]]&amp;" ("&amp;Tabela12[[#This Row],[Born]]&amp;")"</f>
        <v>XE (8)</v>
      </c>
      <c r="G357" s="27">
        <f>LEN(Tabela12[[#This Row],[Anilha]])</f>
        <v>6</v>
      </c>
      <c r="H357" s="21">
        <f>VLOOKUP(Tabela12[[#This Row],[Tag Cabo]],BD!A:F,6,0)</f>
        <v>1</v>
      </c>
      <c r="I357" s="27" t="s">
        <v>1705</v>
      </c>
      <c r="J357" s="27" t="s">
        <v>1706</v>
      </c>
    </row>
    <row r="358" spans="1:10" x14ac:dyDescent="0.25">
      <c r="A358" s="21" t="s">
        <v>1093</v>
      </c>
      <c r="B358" s="391" t="str">
        <f>VLOOKUP(Tabela12[[#This Row],[Painel]],Tabela13[],2,0)</f>
        <v>CCU</v>
      </c>
      <c r="C358" s="391" t="s">
        <v>1658</v>
      </c>
      <c r="D358" s="21" t="s">
        <v>1792</v>
      </c>
      <c r="E358" s="214" t="s">
        <v>1788</v>
      </c>
      <c r="F358" s="21" t="str">
        <f>Tabela12[[#This Row],[Régua]]&amp;" ("&amp;Tabela12[[#This Row],[Born]]&amp;")"</f>
        <v>ED 03.2-1 (01)</v>
      </c>
      <c r="G358" s="27">
        <f>LEN(Tabela12[[#This Row],[Anilha]])</f>
        <v>14</v>
      </c>
      <c r="H358" s="21">
        <f>VLOOKUP(Tabela12[[#This Row],[Tag Cabo]],BD!A:F,6,0)</f>
        <v>1</v>
      </c>
      <c r="I358" s="27" t="s">
        <v>1705</v>
      </c>
      <c r="J358" s="27" t="s">
        <v>1706</v>
      </c>
    </row>
    <row r="359" spans="1:10" x14ac:dyDescent="0.25">
      <c r="A359" s="21" t="s">
        <v>1093</v>
      </c>
      <c r="B359" s="391" t="str">
        <f>VLOOKUP(Tabela12[[#This Row],[Painel]],Tabela13[],2,0)</f>
        <v>CCU</v>
      </c>
      <c r="C359" s="391" t="s">
        <v>1658</v>
      </c>
      <c r="D359" s="21" t="s">
        <v>1792</v>
      </c>
      <c r="E359" s="214" t="s">
        <v>1789</v>
      </c>
      <c r="F359" s="21" t="str">
        <f>Tabela12[[#This Row],[Régua]]&amp;" ("&amp;Tabela12[[#This Row],[Born]]&amp;")"</f>
        <v>ED 03.2-1 (02)</v>
      </c>
      <c r="G359" s="27">
        <f>LEN(Tabela12[[#This Row],[Anilha]])</f>
        <v>14</v>
      </c>
      <c r="H359" s="21">
        <f>VLOOKUP(Tabela12[[#This Row],[Tag Cabo]],BD!A:F,6,0)</f>
        <v>1</v>
      </c>
      <c r="I359" s="27" t="s">
        <v>1705</v>
      </c>
      <c r="J359" s="27" t="s">
        <v>1706</v>
      </c>
    </row>
    <row r="360" spans="1:10" x14ac:dyDescent="0.25">
      <c r="A360" s="21" t="s">
        <v>1093</v>
      </c>
      <c r="B360" s="391" t="str">
        <f>VLOOKUP(Tabela12[[#This Row],[Painel]],Tabela13[],2,0)</f>
        <v>CCU</v>
      </c>
      <c r="C360" s="391" t="s">
        <v>1658</v>
      </c>
      <c r="D360" s="21" t="s">
        <v>1792</v>
      </c>
      <c r="E360" s="214" t="s">
        <v>1790</v>
      </c>
      <c r="F360" s="21" t="str">
        <f>Tabela12[[#This Row],[Régua]]&amp;" ("&amp;Tabela12[[#This Row],[Born]]&amp;")"</f>
        <v>ED 03.2-1 (03)</v>
      </c>
      <c r="G360" s="27">
        <f>LEN(Tabela12[[#This Row],[Anilha]])</f>
        <v>14</v>
      </c>
      <c r="H360" s="21">
        <f>VLOOKUP(Tabela12[[#This Row],[Tag Cabo]],BD!A:F,6,0)</f>
        <v>1</v>
      </c>
      <c r="I360" s="27" t="s">
        <v>1705</v>
      </c>
      <c r="J360" s="27" t="s">
        <v>1706</v>
      </c>
    </row>
    <row r="361" spans="1:10" x14ac:dyDescent="0.25">
      <c r="A361" s="21" t="s">
        <v>1093</v>
      </c>
      <c r="B361" s="391" t="str">
        <f>VLOOKUP(Tabela12[[#This Row],[Painel]],Tabela13[],2,0)</f>
        <v>CCU</v>
      </c>
      <c r="C361" s="391" t="s">
        <v>1658</v>
      </c>
      <c r="D361" s="21" t="s">
        <v>1792</v>
      </c>
      <c r="E361" s="214" t="s">
        <v>1791</v>
      </c>
      <c r="F361" s="21" t="str">
        <f>Tabela12[[#This Row],[Régua]]&amp;" ("&amp;Tabela12[[#This Row],[Born]]&amp;")"</f>
        <v>ED 03.2-1 (04)</v>
      </c>
      <c r="G361" s="27">
        <f>LEN(Tabela12[[#This Row],[Anilha]])</f>
        <v>14</v>
      </c>
      <c r="H361" s="21">
        <f>VLOOKUP(Tabela12[[#This Row],[Tag Cabo]],BD!A:F,6,0)</f>
        <v>1</v>
      </c>
      <c r="I361" s="27" t="s">
        <v>1705</v>
      </c>
      <c r="J361" s="27" t="s">
        <v>1706</v>
      </c>
    </row>
    <row r="362" spans="1:10" x14ac:dyDescent="0.25">
      <c r="A362" s="21" t="s">
        <v>1236</v>
      </c>
      <c r="B362" s="391" t="str">
        <f>VLOOKUP(Tabela12[[#This Row],[Painel]],Tabela13[],2,0)</f>
        <v>GA-9312/S</v>
      </c>
      <c r="C362" s="391" t="s">
        <v>1547</v>
      </c>
      <c r="D362" s="21" t="s">
        <v>1793</v>
      </c>
      <c r="E362" s="21" t="s">
        <v>1747</v>
      </c>
      <c r="F362" s="21" t="str">
        <f>Tabela12[[#This Row],[Régua]]&amp;" ("&amp;Tabela12[[#This Row],[Born]]&amp;")"</f>
        <v>HS-90188A (COM)</v>
      </c>
      <c r="G362" s="27">
        <f>LEN(Tabela12[[#This Row],[Anilha]])</f>
        <v>15</v>
      </c>
      <c r="H362" s="21">
        <f>VLOOKUP(Tabela12[[#This Row],[Tag Cabo]],BD!A:F,6,0)</f>
        <v>1</v>
      </c>
      <c r="I362" s="27" t="s">
        <v>1705</v>
      </c>
      <c r="J362" s="27" t="s">
        <v>1706</v>
      </c>
    </row>
    <row r="363" spans="1:10" x14ac:dyDescent="0.25">
      <c r="A363" s="21" t="s">
        <v>1236</v>
      </c>
      <c r="B363" s="391" t="str">
        <f>VLOOKUP(Tabela12[[#This Row],[Painel]],Tabela13[],2,0)</f>
        <v>GA-9312/S</v>
      </c>
      <c r="C363" s="391" t="s">
        <v>1547</v>
      </c>
      <c r="D363" s="21" t="s">
        <v>1793</v>
      </c>
      <c r="E363" s="21" t="s">
        <v>1779</v>
      </c>
      <c r="F363" s="21" t="str">
        <f>Tabela12[[#This Row],[Régua]]&amp;" ("&amp;Tabela12[[#This Row],[Born]]&amp;")"</f>
        <v>HS-90188A (NA)</v>
      </c>
      <c r="G363" s="27">
        <f>LEN(Tabela12[[#This Row],[Anilha]])</f>
        <v>14</v>
      </c>
      <c r="H363" s="21">
        <f>VLOOKUP(Tabela12[[#This Row],[Tag Cabo]],BD!A:F,6,0)</f>
        <v>1</v>
      </c>
      <c r="I363" s="27" t="s">
        <v>1705</v>
      </c>
      <c r="J363" s="27" t="s">
        <v>1706</v>
      </c>
    </row>
    <row r="364" spans="1:10" x14ac:dyDescent="0.25">
      <c r="A364" s="21" t="s">
        <v>1236</v>
      </c>
      <c r="B364" s="391" t="str">
        <f>VLOOKUP(Tabela12[[#This Row],[Painel]],Tabela13[],2,0)</f>
        <v>GA-9312/S</v>
      </c>
      <c r="C364" s="391" t="s">
        <v>1547</v>
      </c>
      <c r="D364" s="21" t="s">
        <v>1794</v>
      </c>
      <c r="E364" s="21" t="s">
        <v>1747</v>
      </c>
      <c r="F364" s="21" t="str">
        <f>Tabela12[[#This Row],[Régua]]&amp;" ("&amp;Tabela12[[#This Row],[Born]]&amp;")"</f>
        <v>HS-90188B (COM)</v>
      </c>
      <c r="G364" s="27">
        <f>LEN(Tabela12[[#This Row],[Anilha]])</f>
        <v>15</v>
      </c>
      <c r="H364" s="21">
        <f>VLOOKUP(Tabela12[[#This Row],[Tag Cabo]],BD!A:F,6,0)</f>
        <v>1</v>
      </c>
      <c r="I364" s="27" t="s">
        <v>1705</v>
      </c>
      <c r="J364" s="27" t="s">
        <v>1706</v>
      </c>
    </row>
    <row r="365" spans="1:10" x14ac:dyDescent="0.25">
      <c r="A365" s="21" t="s">
        <v>1236</v>
      </c>
      <c r="B365" s="391" t="str">
        <f>VLOOKUP(Tabela12[[#This Row],[Painel]],Tabela13[],2,0)</f>
        <v>GA-9312/S</v>
      </c>
      <c r="C365" s="391" t="s">
        <v>1547</v>
      </c>
      <c r="D365" s="21" t="s">
        <v>1794</v>
      </c>
      <c r="E365" s="21" t="s">
        <v>1779</v>
      </c>
      <c r="F365" s="21" t="str">
        <f>Tabela12[[#This Row],[Régua]]&amp;" ("&amp;Tabela12[[#This Row],[Born]]&amp;")"</f>
        <v>HS-90188B (NA)</v>
      </c>
      <c r="G365" s="27">
        <f>LEN(Tabela12[[#This Row],[Anilha]])</f>
        <v>14</v>
      </c>
      <c r="H365" s="21">
        <f>VLOOKUP(Tabela12[[#This Row],[Tag Cabo]],BD!A:F,6,0)</f>
        <v>1</v>
      </c>
      <c r="I365" s="27" t="s">
        <v>1705</v>
      </c>
      <c r="J365" s="27" t="s">
        <v>1706</v>
      </c>
    </row>
    <row r="366" spans="1:10" x14ac:dyDescent="0.25">
      <c r="A366" s="21" t="s">
        <v>1236</v>
      </c>
      <c r="B366" s="391" t="str">
        <f>VLOOKUP(Tabela12[[#This Row],[Painel]],Tabela13[],2,0)</f>
        <v>GA-9312/S</v>
      </c>
      <c r="C366" s="391" t="s">
        <v>1547</v>
      </c>
      <c r="D366" s="21" t="s">
        <v>1795</v>
      </c>
      <c r="E366" s="21" t="s">
        <v>1747</v>
      </c>
      <c r="F366" s="21" t="str">
        <f>Tabela12[[#This Row],[Régua]]&amp;" ("&amp;Tabela12[[#This Row],[Born]]&amp;")"</f>
        <v>HS-90188C (COM)</v>
      </c>
      <c r="G366" s="27">
        <f>LEN(Tabela12[[#This Row],[Anilha]])</f>
        <v>15</v>
      </c>
      <c r="H366" s="21">
        <f>VLOOKUP(Tabela12[[#This Row],[Tag Cabo]],BD!A:F,6,0)</f>
        <v>1</v>
      </c>
      <c r="I366" s="27" t="s">
        <v>1705</v>
      </c>
      <c r="J366" s="27" t="s">
        <v>1706</v>
      </c>
    </row>
    <row r="367" spans="1:10" x14ac:dyDescent="0.25">
      <c r="A367" s="21" t="s">
        <v>1236</v>
      </c>
      <c r="B367" s="391" t="str">
        <f>VLOOKUP(Tabela12[[#This Row],[Painel]],Tabela13[],2,0)</f>
        <v>GA-9312/S</v>
      </c>
      <c r="C367" s="391" t="s">
        <v>1547</v>
      </c>
      <c r="D367" s="21" t="s">
        <v>1795</v>
      </c>
      <c r="E367" s="21" t="s">
        <v>1779</v>
      </c>
      <c r="F367" s="21" t="str">
        <f>Tabela12[[#This Row],[Régua]]&amp;" ("&amp;Tabela12[[#This Row],[Born]]&amp;")"</f>
        <v>HS-90188C (NA)</v>
      </c>
      <c r="G367" s="27">
        <f>LEN(Tabela12[[#This Row],[Anilha]])</f>
        <v>14</v>
      </c>
      <c r="H367" s="21">
        <f>VLOOKUP(Tabela12[[#This Row],[Tag Cabo]],BD!A:F,6,0)</f>
        <v>1</v>
      </c>
      <c r="I367" s="27" t="s">
        <v>1705</v>
      </c>
      <c r="J367" s="27" t="s">
        <v>1706</v>
      </c>
    </row>
    <row r="368" spans="1:10" x14ac:dyDescent="0.25">
      <c r="A368" s="21" t="s">
        <v>1236</v>
      </c>
      <c r="B368" s="391" t="str">
        <f>VLOOKUP(Tabela12[[#This Row],[Painel]],Tabela13[],2,0)</f>
        <v>GA-9312/S</v>
      </c>
      <c r="C368" s="391" t="s">
        <v>1547</v>
      </c>
      <c r="D368" s="21" t="s">
        <v>1796</v>
      </c>
      <c r="E368" s="21" t="s">
        <v>1747</v>
      </c>
      <c r="F368" s="21" t="str">
        <f>Tabela12[[#This Row],[Régua]]&amp;" ("&amp;Tabela12[[#This Row],[Born]]&amp;")"</f>
        <v>HS-90188D (COM)</v>
      </c>
      <c r="G368" s="27">
        <f>LEN(Tabela12[[#This Row],[Anilha]])</f>
        <v>15</v>
      </c>
      <c r="H368" s="21">
        <f>VLOOKUP(Tabela12[[#This Row],[Tag Cabo]],BD!A:F,6,0)</f>
        <v>1</v>
      </c>
      <c r="I368" s="27" t="s">
        <v>1705</v>
      </c>
      <c r="J368" s="27" t="s">
        <v>1706</v>
      </c>
    </row>
    <row r="369" spans="1:10" x14ac:dyDescent="0.25">
      <c r="A369" s="21" t="s">
        <v>1236</v>
      </c>
      <c r="B369" s="391" t="str">
        <f>VLOOKUP(Tabela12[[#This Row],[Painel]],Tabela13[],2,0)</f>
        <v>GA-9312/S</v>
      </c>
      <c r="C369" s="391" t="s">
        <v>1547</v>
      </c>
      <c r="D369" s="21" t="s">
        <v>1796</v>
      </c>
      <c r="E369" s="21" t="s">
        <v>1779</v>
      </c>
      <c r="F369" s="21" t="str">
        <f>Tabela12[[#This Row],[Régua]]&amp;" ("&amp;Tabela12[[#This Row],[Born]]&amp;")"</f>
        <v>HS-90188D (NA)</v>
      </c>
      <c r="G369" s="27">
        <f>LEN(Tabela12[[#This Row],[Anilha]])</f>
        <v>14</v>
      </c>
      <c r="H369" s="21">
        <f>VLOOKUP(Tabela12[[#This Row],[Tag Cabo]],BD!A:F,6,0)</f>
        <v>1</v>
      </c>
      <c r="I369" s="27" t="s">
        <v>1705</v>
      </c>
      <c r="J369" s="27" t="s">
        <v>1706</v>
      </c>
    </row>
    <row r="370" spans="1:10" x14ac:dyDescent="0.25">
      <c r="A370" s="21" t="s">
        <v>1236</v>
      </c>
      <c r="B370" s="391" t="str">
        <f>VLOOKUP(Tabela12[[#This Row],[Painel]],Tabela13[],2,0)</f>
        <v>GA-9312/S</v>
      </c>
      <c r="C370" s="391" t="s">
        <v>1547</v>
      </c>
      <c r="D370" s="21" t="s">
        <v>1797</v>
      </c>
      <c r="E370" s="21" t="s">
        <v>1747</v>
      </c>
      <c r="F370" s="21" t="str">
        <f>Tabela12[[#This Row],[Régua]]&amp;" ("&amp;Tabela12[[#This Row],[Born]]&amp;")"</f>
        <v>PB-90106 (COM)</v>
      </c>
      <c r="G370" s="27">
        <f>LEN(Tabela12[[#This Row],[Anilha]])</f>
        <v>14</v>
      </c>
      <c r="H370" s="21">
        <f>VLOOKUP(Tabela12[[#This Row],[Tag Cabo]],BD!A:F,6,0)</f>
        <v>1</v>
      </c>
      <c r="I370" s="27" t="s">
        <v>1705</v>
      </c>
      <c r="J370" s="27" t="s">
        <v>1706</v>
      </c>
    </row>
    <row r="371" spans="1:10" x14ac:dyDescent="0.25">
      <c r="A371" s="21" t="s">
        <v>1236</v>
      </c>
      <c r="B371" s="391" t="str">
        <f>VLOOKUP(Tabela12[[#This Row],[Painel]],Tabela13[],2,0)</f>
        <v>GA-9312/S</v>
      </c>
      <c r="C371" s="391" t="s">
        <v>1547</v>
      </c>
      <c r="D371" s="21" t="s">
        <v>1797</v>
      </c>
      <c r="E371" s="21" t="s">
        <v>1779</v>
      </c>
      <c r="F371" s="21" t="str">
        <f>Tabela12[[#This Row],[Régua]]&amp;" ("&amp;Tabela12[[#This Row],[Born]]&amp;")"</f>
        <v>PB-90106 (NA)</v>
      </c>
      <c r="G371" s="27">
        <f>LEN(Tabela12[[#This Row],[Anilha]])</f>
        <v>13</v>
      </c>
      <c r="H371" s="21">
        <f>VLOOKUP(Tabela12[[#This Row],[Tag Cabo]],BD!A:F,6,0)</f>
        <v>1</v>
      </c>
      <c r="I371" s="27" t="s">
        <v>1705</v>
      </c>
      <c r="J371" s="27" t="s">
        <v>1706</v>
      </c>
    </row>
    <row r="372" spans="1:10" x14ac:dyDescent="0.25">
      <c r="A372" s="21" t="s">
        <v>1236</v>
      </c>
      <c r="B372" s="391" t="str">
        <f>VLOOKUP(Tabela12[[#This Row],[Painel]],Tabela13[],2,0)</f>
        <v>GA-9312/S</v>
      </c>
      <c r="C372" s="391" t="s">
        <v>1547</v>
      </c>
      <c r="D372" s="21" t="s">
        <v>1798</v>
      </c>
      <c r="E372" s="21" t="s">
        <v>1747</v>
      </c>
      <c r="F372" s="21" t="str">
        <f>Tabela12[[#This Row],[Régua]]&amp;" ("&amp;Tabela12[[#This Row],[Born]]&amp;")"</f>
        <v>PB-90107 (COM)</v>
      </c>
      <c r="G372" s="27">
        <f>LEN(Tabela12[[#This Row],[Anilha]])</f>
        <v>14</v>
      </c>
      <c r="H372" s="21">
        <f>VLOOKUP(Tabela12[[#This Row],[Tag Cabo]],BD!A:F,6,0)</f>
        <v>1</v>
      </c>
      <c r="I372" s="27" t="s">
        <v>1705</v>
      </c>
      <c r="J372" s="27" t="s">
        <v>1706</v>
      </c>
    </row>
    <row r="373" spans="1:10" x14ac:dyDescent="0.25">
      <c r="A373" s="21" t="s">
        <v>1236</v>
      </c>
      <c r="B373" s="391" t="str">
        <f>VLOOKUP(Tabela12[[#This Row],[Painel]],Tabela13[],2,0)</f>
        <v>GA-9312/S</v>
      </c>
      <c r="C373" s="391" t="s">
        <v>1547</v>
      </c>
      <c r="D373" s="21" t="s">
        <v>1798</v>
      </c>
      <c r="E373" s="21" t="s">
        <v>1785</v>
      </c>
      <c r="F373" s="21" t="str">
        <f>Tabela12[[#This Row],[Régua]]&amp;" ("&amp;Tabela12[[#This Row],[Born]]&amp;")"</f>
        <v>PB-90107 (NF)</v>
      </c>
      <c r="G373" s="27">
        <f>LEN(Tabela12[[#This Row],[Anilha]])</f>
        <v>13</v>
      </c>
      <c r="H373" s="21">
        <f>VLOOKUP(Tabela12[[#This Row],[Tag Cabo]],BD!A:F,6,0)</f>
        <v>1</v>
      </c>
      <c r="I373" s="27" t="s">
        <v>1705</v>
      </c>
      <c r="J373" s="27" t="s">
        <v>1706</v>
      </c>
    </row>
    <row r="374" spans="1:10" x14ac:dyDescent="0.25">
      <c r="A374" s="21" t="s">
        <v>1236</v>
      </c>
      <c r="B374" s="391" t="str">
        <f>VLOOKUP(Tabela12[[#This Row],[Painel]],Tabela13[],2,0)</f>
        <v>CCU</v>
      </c>
      <c r="C374" s="391" t="s">
        <v>1658</v>
      </c>
      <c r="D374" s="21" t="s">
        <v>1792</v>
      </c>
      <c r="E374" s="214" t="s">
        <v>1773</v>
      </c>
      <c r="F374" s="21" t="str">
        <f>Tabela12[[#This Row],[Régua]]&amp;" ("&amp;Tabela12[[#This Row],[Born]]&amp;")"</f>
        <v>ED 03.2-1 (05)</v>
      </c>
      <c r="G374" s="27">
        <f>LEN(Tabela12[[#This Row],[Anilha]])</f>
        <v>14</v>
      </c>
      <c r="H374" s="21">
        <f>VLOOKUP(Tabela12[[#This Row],[Tag Cabo]],BD!A:F,6,0)</f>
        <v>1</v>
      </c>
      <c r="I374" s="27" t="s">
        <v>1705</v>
      </c>
      <c r="J374" s="27" t="s">
        <v>1706</v>
      </c>
    </row>
    <row r="375" spans="1:10" x14ac:dyDescent="0.25">
      <c r="A375" s="21" t="s">
        <v>1236</v>
      </c>
      <c r="B375" s="391" t="str">
        <f>VLOOKUP(Tabela12[[#This Row],[Painel]],Tabela13[],2,0)</f>
        <v>CCU</v>
      </c>
      <c r="C375" s="391" t="s">
        <v>1658</v>
      </c>
      <c r="D375" s="21" t="s">
        <v>1792</v>
      </c>
      <c r="E375" s="214" t="s">
        <v>1774</v>
      </c>
      <c r="F375" s="21" t="str">
        <f>Tabela12[[#This Row],[Régua]]&amp;" ("&amp;Tabela12[[#This Row],[Born]]&amp;")"</f>
        <v>ED 03.2-1 (06)</v>
      </c>
      <c r="G375" s="27">
        <f>LEN(Tabela12[[#This Row],[Anilha]])</f>
        <v>14</v>
      </c>
      <c r="H375" s="21">
        <f>VLOOKUP(Tabela12[[#This Row],[Tag Cabo]],BD!A:F,6,0)</f>
        <v>1</v>
      </c>
      <c r="I375" s="27" t="s">
        <v>1705</v>
      </c>
      <c r="J375" s="27" t="s">
        <v>1706</v>
      </c>
    </row>
    <row r="376" spans="1:10" x14ac:dyDescent="0.25">
      <c r="A376" s="21" t="s">
        <v>1236</v>
      </c>
      <c r="B376" s="391" t="str">
        <f>VLOOKUP(Tabela12[[#This Row],[Painel]],Tabela13[],2,0)</f>
        <v>CCU</v>
      </c>
      <c r="C376" s="391" t="s">
        <v>1658</v>
      </c>
      <c r="D376" s="21" t="s">
        <v>1792</v>
      </c>
      <c r="E376" s="214" t="s">
        <v>1776</v>
      </c>
      <c r="F376" s="21" t="str">
        <f>Tabela12[[#This Row],[Régua]]&amp;" ("&amp;Tabela12[[#This Row],[Born]]&amp;")"</f>
        <v>ED 03.2-1 (07)</v>
      </c>
      <c r="G376" s="27">
        <f>LEN(Tabela12[[#This Row],[Anilha]])</f>
        <v>14</v>
      </c>
      <c r="H376" s="21">
        <f>VLOOKUP(Tabela12[[#This Row],[Tag Cabo]],BD!A:F,6,0)</f>
        <v>1</v>
      </c>
      <c r="I376" s="27" t="s">
        <v>1705</v>
      </c>
      <c r="J376" s="27" t="s">
        <v>1706</v>
      </c>
    </row>
    <row r="377" spans="1:10" x14ac:dyDescent="0.25">
      <c r="A377" s="21" t="s">
        <v>1236</v>
      </c>
      <c r="B377" s="391" t="str">
        <f>VLOOKUP(Tabela12[[#This Row],[Painel]],Tabela13[],2,0)</f>
        <v>CCU</v>
      </c>
      <c r="C377" s="391" t="s">
        <v>1658</v>
      </c>
      <c r="D377" s="21" t="s">
        <v>1792</v>
      </c>
      <c r="E377" s="214" t="s">
        <v>1777</v>
      </c>
      <c r="F377" s="21" t="str">
        <f>Tabela12[[#This Row],[Régua]]&amp;" ("&amp;Tabela12[[#This Row],[Born]]&amp;")"</f>
        <v>ED 03.2-1 (08)</v>
      </c>
      <c r="G377" s="27">
        <f>LEN(Tabela12[[#This Row],[Anilha]])</f>
        <v>14</v>
      </c>
      <c r="H377" s="21">
        <f>VLOOKUP(Tabela12[[#This Row],[Tag Cabo]],BD!A:F,6,0)</f>
        <v>1</v>
      </c>
      <c r="I377" s="27" t="s">
        <v>1705</v>
      </c>
      <c r="J377" s="27" t="s">
        <v>1706</v>
      </c>
    </row>
    <row r="378" spans="1:10" x14ac:dyDescent="0.25">
      <c r="A378" s="21" t="s">
        <v>1236</v>
      </c>
      <c r="B378" s="391" t="str">
        <f>VLOOKUP(Tabela12[[#This Row],[Painel]],Tabela13[],2,0)</f>
        <v>CCU</v>
      </c>
      <c r="C378" s="391" t="s">
        <v>1658</v>
      </c>
      <c r="D378" s="21" t="s">
        <v>1792</v>
      </c>
      <c r="E378" s="214" t="s">
        <v>1786</v>
      </c>
      <c r="F378" s="21" t="str">
        <f>Tabela12[[#This Row],[Régua]]&amp;" ("&amp;Tabela12[[#This Row],[Born]]&amp;")"</f>
        <v>ED 03.2-1 (09)</v>
      </c>
      <c r="G378" s="27">
        <f>LEN(Tabela12[[#This Row],[Anilha]])</f>
        <v>14</v>
      </c>
      <c r="H378" s="21">
        <f>VLOOKUP(Tabela12[[#This Row],[Tag Cabo]],BD!A:F,6,0)</f>
        <v>1</v>
      </c>
      <c r="I378" s="27" t="s">
        <v>1705</v>
      </c>
      <c r="J378" s="27" t="s">
        <v>1706</v>
      </c>
    </row>
    <row r="379" spans="1:10" x14ac:dyDescent="0.25">
      <c r="A379" s="21" t="s">
        <v>1236</v>
      </c>
      <c r="B379" s="391" t="str">
        <f>VLOOKUP(Tabela12[[#This Row],[Painel]],Tabela13[],2,0)</f>
        <v>CCU</v>
      </c>
      <c r="C379" s="391" t="s">
        <v>1658</v>
      </c>
      <c r="D379" s="21" t="s">
        <v>1792</v>
      </c>
      <c r="E379" s="21">
        <v>10</v>
      </c>
      <c r="F379" s="21" t="str">
        <f>Tabela12[[#This Row],[Régua]]&amp;" ("&amp;Tabela12[[#This Row],[Born]]&amp;")"</f>
        <v>ED 03.2-1 (10)</v>
      </c>
      <c r="G379" s="27">
        <f>LEN(Tabela12[[#This Row],[Anilha]])</f>
        <v>14</v>
      </c>
      <c r="H379" s="21">
        <f>VLOOKUP(Tabela12[[#This Row],[Tag Cabo]],BD!A:F,6,0)</f>
        <v>1</v>
      </c>
      <c r="I379" s="27" t="s">
        <v>1705</v>
      </c>
      <c r="J379" s="27" t="s">
        <v>1706</v>
      </c>
    </row>
    <row r="380" spans="1:10" x14ac:dyDescent="0.25">
      <c r="A380" s="21" t="s">
        <v>1236</v>
      </c>
      <c r="B380" s="391" t="str">
        <f>VLOOKUP(Tabela12[[#This Row],[Painel]],Tabela13[],2,0)</f>
        <v>CCU</v>
      </c>
      <c r="C380" s="391" t="s">
        <v>1658</v>
      </c>
      <c r="D380" s="21" t="s">
        <v>1792</v>
      </c>
      <c r="E380" s="21">
        <v>11</v>
      </c>
      <c r="F380" s="21" t="str">
        <f>Tabela12[[#This Row],[Régua]]&amp;" ("&amp;Tabela12[[#This Row],[Born]]&amp;")"</f>
        <v>ED 03.2-1 (11)</v>
      </c>
      <c r="G380" s="27">
        <f>LEN(Tabela12[[#This Row],[Anilha]])</f>
        <v>14</v>
      </c>
      <c r="H380" s="21">
        <f>VLOOKUP(Tabela12[[#This Row],[Tag Cabo]],BD!A:F,6,0)</f>
        <v>1</v>
      </c>
      <c r="I380" s="27" t="s">
        <v>1705</v>
      </c>
      <c r="J380" s="27" t="s">
        <v>1706</v>
      </c>
    </row>
    <row r="381" spans="1:10" x14ac:dyDescent="0.25">
      <c r="A381" s="21" t="s">
        <v>1236</v>
      </c>
      <c r="B381" s="391" t="str">
        <f>VLOOKUP(Tabela12[[#This Row],[Painel]],Tabela13[],2,0)</f>
        <v>CCU</v>
      </c>
      <c r="C381" s="391" t="s">
        <v>1658</v>
      </c>
      <c r="D381" s="21" t="s">
        <v>1792</v>
      </c>
      <c r="E381" s="21">
        <v>12</v>
      </c>
      <c r="F381" s="21" t="str">
        <f>Tabela12[[#This Row],[Régua]]&amp;" ("&amp;Tabela12[[#This Row],[Born]]&amp;")"</f>
        <v>ED 03.2-1 (12)</v>
      </c>
      <c r="G381" s="27">
        <f>LEN(Tabela12[[#This Row],[Anilha]])</f>
        <v>14</v>
      </c>
      <c r="H381" s="21">
        <f>VLOOKUP(Tabela12[[#This Row],[Tag Cabo]],BD!A:F,6,0)</f>
        <v>1</v>
      </c>
      <c r="I381" s="27" t="s">
        <v>1705</v>
      </c>
      <c r="J381" s="27" t="s">
        <v>1706</v>
      </c>
    </row>
    <row r="382" spans="1:10" x14ac:dyDescent="0.25">
      <c r="A382" s="21" t="s">
        <v>1236</v>
      </c>
      <c r="B382" s="391" t="str">
        <f>VLOOKUP(Tabela12[[#This Row],[Painel]],Tabela13[],2,0)</f>
        <v>CCU</v>
      </c>
      <c r="C382" s="391" t="s">
        <v>1658</v>
      </c>
      <c r="D382" s="21" t="s">
        <v>1792</v>
      </c>
      <c r="E382" s="21">
        <v>13</v>
      </c>
      <c r="F382" s="21" t="str">
        <f>Tabela12[[#This Row],[Régua]]&amp;" ("&amp;Tabela12[[#This Row],[Born]]&amp;")"</f>
        <v>ED 03.2-1 (13)</v>
      </c>
      <c r="G382" s="27">
        <f>LEN(Tabela12[[#This Row],[Anilha]])</f>
        <v>14</v>
      </c>
      <c r="H382" s="21">
        <f>VLOOKUP(Tabela12[[#This Row],[Tag Cabo]],BD!A:F,6,0)</f>
        <v>1</v>
      </c>
      <c r="I382" s="27" t="s">
        <v>1705</v>
      </c>
      <c r="J382" s="27" t="s">
        <v>1706</v>
      </c>
    </row>
    <row r="383" spans="1:10" x14ac:dyDescent="0.25">
      <c r="A383" s="21" t="s">
        <v>1236</v>
      </c>
      <c r="B383" s="391" t="str">
        <f>VLOOKUP(Tabela12[[#This Row],[Painel]],Tabela13[],2,0)</f>
        <v>CCU</v>
      </c>
      <c r="C383" s="391" t="s">
        <v>1658</v>
      </c>
      <c r="D383" s="21" t="s">
        <v>1792</v>
      </c>
      <c r="E383" s="21">
        <v>14</v>
      </c>
      <c r="F383" s="21" t="str">
        <f>Tabela12[[#This Row],[Régua]]&amp;" ("&amp;Tabela12[[#This Row],[Born]]&amp;")"</f>
        <v>ED 03.2-1 (14)</v>
      </c>
      <c r="G383" s="27">
        <f>LEN(Tabela12[[#This Row],[Anilha]])</f>
        <v>14</v>
      </c>
      <c r="H383" s="21">
        <f>VLOOKUP(Tabela12[[#This Row],[Tag Cabo]],BD!A:F,6,0)</f>
        <v>1</v>
      </c>
      <c r="I383" s="27" t="s">
        <v>1705</v>
      </c>
      <c r="J383" s="27" t="s">
        <v>1706</v>
      </c>
    </row>
    <row r="384" spans="1:10" x14ac:dyDescent="0.25">
      <c r="A384" s="21" t="s">
        <v>1236</v>
      </c>
      <c r="B384" s="391" t="str">
        <f>VLOOKUP(Tabela12[[#This Row],[Painel]],Tabela13[],2,0)</f>
        <v>CCU</v>
      </c>
      <c r="C384" s="391" t="s">
        <v>1658</v>
      </c>
      <c r="D384" s="21" t="s">
        <v>1792</v>
      </c>
      <c r="E384" s="21">
        <v>15</v>
      </c>
      <c r="F384" s="21" t="str">
        <f>Tabela12[[#This Row],[Régua]]&amp;" ("&amp;Tabela12[[#This Row],[Born]]&amp;")"</f>
        <v>ED 03.2-1 (15)</v>
      </c>
      <c r="G384" s="27">
        <f>LEN(Tabela12[[#This Row],[Anilha]])</f>
        <v>14</v>
      </c>
      <c r="H384" s="21">
        <f>VLOOKUP(Tabela12[[#This Row],[Tag Cabo]],BD!A:F,6,0)</f>
        <v>1</v>
      </c>
      <c r="I384" s="27" t="s">
        <v>1705</v>
      </c>
      <c r="J384" s="27" t="s">
        <v>1706</v>
      </c>
    </row>
    <row r="385" spans="1:10" x14ac:dyDescent="0.25">
      <c r="A385" s="21" t="s">
        <v>1236</v>
      </c>
      <c r="B385" s="391" t="str">
        <f>VLOOKUP(Tabela12[[#This Row],[Painel]],Tabela13[],2,0)</f>
        <v>CCU</v>
      </c>
      <c r="C385" s="391" t="s">
        <v>1658</v>
      </c>
      <c r="D385" s="21" t="s">
        <v>1792</v>
      </c>
      <c r="E385" s="21">
        <v>16</v>
      </c>
      <c r="F385" s="21" t="str">
        <f>Tabela12[[#This Row],[Régua]]&amp;" ("&amp;Tabela12[[#This Row],[Born]]&amp;")"</f>
        <v>ED 03.2-1 (16)</v>
      </c>
      <c r="G385" s="27">
        <f>LEN(Tabela12[[#This Row],[Anilha]])</f>
        <v>14</v>
      </c>
      <c r="H385" s="21">
        <f>VLOOKUP(Tabela12[[#This Row],[Tag Cabo]],BD!A:F,6,0)</f>
        <v>1</v>
      </c>
      <c r="I385" s="27" t="s">
        <v>1705</v>
      </c>
      <c r="J385" s="27" t="s">
        <v>1706</v>
      </c>
    </row>
    <row r="386" spans="1:10" x14ac:dyDescent="0.25">
      <c r="A386" s="21" t="s">
        <v>1095</v>
      </c>
      <c r="B386" s="391" t="str">
        <f>VLOOKUP(Tabela12[[#This Row],[Painel]],Tabela13[],2,0)</f>
        <v>CCP</v>
      </c>
      <c r="C386" s="391" t="s">
        <v>1109</v>
      </c>
      <c r="D386" s="21" t="s">
        <v>1717</v>
      </c>
      <c r="E386" s="21">
        <v>10</v>
      </c>
      <c r="F386" s="21" t="str">
        <f>Tabela12[[#This Row],[Régua]]&amp;" ("&amp;Tabela12[[#This Row],[Born]]&amp;")"</f>
        <v>XE (10)</v>
      </c>
      <c r="G386" s="27">
        <f>LEN(Tabela12[[#This Row],[Anilha]])</f>
        <v>7</v>
      </c>
      <c r="H386" s="21">
        <f>VLOOKUP(Tabela12[[#This Row],[Tag Cabo]],BD!A:F,6,0)</f>
        <v>1</v>
      </c>
      <c r="I386" s="27" t="s">
        <v>1705</v>
      </c>
      <c r="J386" s="27" t="s">
        <v>1706</v>
      </c>
    </row>
    <row r="387" spans="1:10" x14ac:dyDescent="0.25">
      <c r="A387" s="21" t="s">
        <v>1095</v>
      </c>
      <c r="B387" s="391" t="str">
        <f>VLOOKUP(Tabela12[[#This Row],[Painel]],Tabela13[],2,0)</f>
        <v>CCP</v>
      </c>
      <c r="C387" s="391" t="s">
        <v>1109</v>
      </c>
      <c r="D387" s="21" t="s">
        <v>1717</v>
      </c>
      <c r="E387" s="21">
        <v>11</v>
      </c>
      <c r="F387" s="21" t="str">
        <f>Tabela12[[#This Row],[Régua]]&amp;" ("&amp;Tabela12[[#This Row],[Born]]&amp;")"</f>
        <v>XE (11)</v>
      </c>
      <c r="G387" s="27">
        <f>LEN(Tabela12[[#This Row],[Anilha]])</f>
        <v>7</v>
      </c>
      <c r="H387" s="21">
        <f>VLOOKUP(Tabela12[[#This Row],[Tag Cabo]],BD!A:F,6,0)</f>
        <v>1</v>
      </c>
      <c r="I387" s="27" t="s">
        <v>1705</v>
      </c>
      <c r="J387" s="27" t="s">
        <v>1706</v>
      </c>
    </row>
    <row r="388" spans="1:10" x14ac:dyDescent="0.25">
      <c r="A388" s="21" t="s">
        <v>1095</v>
      </c>
      <c r="B388" s="391" t="str">
        <f>VLOOKUP(Tabela12[[#This Row],[Painel]],Tabela13[],2,0)</f>
        <v>CCP</v>
      </c>
      <c r="C388" s="391" t="s">
        <v>1109</v>
      </c>
      <c r="D388" s="21" t="s">
        <v>1717</v>
      </c>
      <c r="E388" s="21">
        <v>12</v>
      </c>
      <c r="F388" s="21" t="str">
        <f>Tabela12[[#This Row],[Régua]]&amp;" ("&amp;Tabela12[[#This Row],[Born]]&amp;")"</f>
        <v>XE (12)</v>
      </c>
      <c r="G388" s="27">
        <f>LEN(Tabela12[[#This Row],[Anilha]])</f>
        <v>7</v>
      </c>
      <c r="H388" s="21">
        <f>VLOOKUP(Tabela12[[#This Row],[Tag Cabo]],BD!A:F,6,0)</f>
        <v>1</v>
      </c>
      <c r="I388" s="27" t="s">
        <v>1705</v>
      </c>
      <c r="J388" s="27" t="s">
        <v>1706</v>
      </c>
    </row>
    <row r="389" spans="1:10" x14ac:dyDescent="0.25">
      <c r="A389" s="21" t="s">
        <v>1095</v>
      </c>
      <c r="B389" s="391" t="str">
        <f>VLOOKUP(Tabela12[[#This Row],[Painel]],Tabela13[],2,0)</f>
        <v>CCP</v>
      </c>
      <c r="C389" s="391" t="s">
        <v>1109</v>
      </c>
      <c r="D389" s="21" t="s">
        <v>1717</v>
      </c>
      <c r="E389" s="21">
        <v>13</v>
      </c>
      <c r="F389" s="21" t="str">
        <f>Tabela12[[#This Row],[Régua]]&amp;" ("&amp;Tabela12[[#This Row],[Born]]&amp;")"</f>
        <v>XE (13)</v>
      </c>
      <c r="G389" s="27">
        <f>LEN(Tabela12[[#This Row],[Anilha]])</f>
        <v>7</v>
      </c>
      <c r="H389" s="21">
        <f>VLOOKUP(Tabela12[[#This Row],[Tag Cabo]],BD!A:F,6,0)</f>
        <v>1</v>
      </c>
      <c r="I389" s="27" t="s">
        <v>1705</v>
      </c>
      <c r="J389" s="27" t="s">
        <v>1706</v>
      </c>
    </row>
    <row r="390" spans="1:10" x14ac:dyDescent="0.25">
      <c r="A390" s="21" t="s">
        <v>1095</v>
      </c>
      <c r="B390" s="391" t="str">
        <f>VLOOKUP(Tabela12[[#This Row],[Painel]],Tabela13[],2,0)</f>
        <v>CCU</v>
      </c>
      <c r="C390" s="391" t="s">
        <v>1659</v>
      </c>
      <c r="D390" s="21" t="s">
        <v>1772</v>
      </c>
      <c r="E390" s="214" t="s">
        <v>1776</v>
      </c>
      <c r="F390" s="21" t="str">
        <f>Tabela12[[#This Row],[Régua]]&amp;" ("&amp;Tabela12[[#This Row],[Born]]&amp;")"</f>
        <v>SD 03.4-1 (07)</v>
      </c>
      <c r="G390" s="27">
        <f>LEN(Tabela12[[#This Row],[Anilha]])</f>
        <v>14</v>
      </c>
      <c r="H390" s="21">
        <f>VLOOKUP(Tabela12[[#This Row],[Tag Cabo]],BD!A:F,6,0)</f>
        <v>1</v>
      </c>
      <c r="I390" s="27" t="s">
        <v>1705</v>
      </c>
      <c r="J390" s="27" t="s">
        <v>1706</v>
      </c>
    </row>
    <row r="391" spans="1:10" x14ac:dyDescent="0.25">
      <c r="A391" s="21" t="s">
        <v>1095</v>
      </c>
      <c r="B391" s="391" t="str">
        <f>VLOOKUP(Tabela12[[#This Row],[Painel]],Tabela13[],2,0)</f>
        <v>CCU</v>
      </c>
      <c r="C391" s="391" t="s">
        <v>1659</v>
      </c>
      <c r="D391" s="21" t="s">
        <v>1772</v>
      </c>
      <c r="E391" s="214" t="s">
        <v>1777</v>
      </c>
      <c r="F391" s="21" t="str">
        <f>Tabela12[[#This Row],[Régua]]&amp;" ("&amp;Tabela12[[#This Row],[Born]]&amp;")"</f>
        <v>SD 03.4-1 (08)</v>
      </c>
      <c r="G391" s="27">
        <f>LEN(Tabela12[[#This Row],[Anilha]])</f>
        <v>14</v>
      </c>
      <c r="H391" s="21">
        <f>VLOOKUP(Tabela12[[#This Row],[Tag Cabo]],BD!A:F,6,0)</f>
        <v>1</v>
      </c>
      <c r="I391" s="27" t="s">
        <v>1705</v>
      </c>
      <c r="J391" s="27" t="s">
        <v>1706</v>
      </c>
    </row>
    <row r="392" spans="1:10" x14ac:dyDescent="0.25">
      <c r="A392" s="21" t="s">
        <v>1095</v>
      </c>
      <c r="B392" s="391" t="str">
        <f>VLOOKUP(Tabela12[[#This Row],[Painel]],Tabela13[],2,0)</f>
        <v>CCU</v>
      </c>
      <c r="C392" s="391" t="s">
        <v>1659</v>
      </c>
      <c r="D392" s="21" t="s">
        <v>1772</v>
      </c>
      <c r="E392" s="214" t="s">
        <v>1786</v>
      </c>
      <c r="F392" s="21" t="str">
        <f>Tabela12[[#This Row],[Régua]]&amp;" ("&amp;Tabela12[[#This Row],[Born]]&amp;")"</f>
        <v>SD 03.4-1 (09)</v>
      </c>
      <c r="G392" s="27">
        <f>LEN(Tabela12[[#This Row],[Anilha]])</f>
        <v>14</v>
      </c>
      <c r="H392" s="21">
        <f>VLOOKUP(Tabela12[[#This Row],[Tag Cabo]],BD!A:F,6,0)</f>
        <v>1</v>
      </c>
      <c r="I392" s="27" t="s">
        <v>1705</v>
      </c>
      <c r="J392" s="27" t="s">
        <v>1706</v>
      </c>
    </row>
    <row r="393" spans="1:10" x14ac:dyDescent="0.25">
      <c r="A393" s="21" t="s">
        <v>1095</v>
      </c>
      <c r="B393" s="391" t="str">
        <f>VLOOKUP(Tabela12[[#This Row],[Painel]],Tabela13[],2,0)</f>
        <v>CCU</v>
      </c>
      <c r="C393" s="391" t="s">
        <v>1659</v>
      </c>
      <c r="D393" s="21" t="s">
        <v>1772</v>
      </c>
      <c r="E393" s="21">
        <v>10</v>
      </c>
      <c r="F393" s="21" t="str">
        <f>Tabela12[[#This Row],[Régua]]&amp;" ("&amp;Tabela12[[#This Row],[Born]]&amp;")"</f>
        <v>SD 03.4-1 (10)</v>
      </c>
      <c r="G393" s="27">
        <f>LEN(Tabela12[[#This Row],[Anilha]])</f>
        <v>14</v>
      </c>
      <c r="H393" s="21">
        <f>VLOOKUP(Tabela12[[#This Row],[Tag Cabo]],BD!A:F,6,0)</f>
        <v>1</v>
      </c>
      <c r="I393" s="27" t="s">
        <v>1705</v>
      </c>
      <c r="J393" s="27" t="s">
        <v>1706</v>
      </c>
    </row>
    <row r="394" spans="1:10" x14ac:dyDescent="0.25">
      <c r="A394" s="21" t="s">
        <v>1221</v>
      </c>
      <c r="B394" s="391" t="str">
        <f>VLOOKUP(Tabela12[[#This Row],[Painel]],Tabela13[],2,0)</f>
        <v>GA-906E</v>
      </c>
      <c r="C394" s="391" t="s">
        <v>1657</v>
      </c>
      <c r="D394" s="21" t="s">
        <v>1799</v>
      </c>
      <c r="E394" s="214" t="s">
        <v>1776</v>
      </c>
      <c r="F394" s="21" t="str">
        <f>Tabela12[[#This Row],[Régua]]&amp;" ("&amp;Tabela12[[#This Row],[Born]]&amp;")"</f>
        <v>RB-ED (07)</v>
      </c>
      <c r="G394" s="27">
        <f>LEN(Tabela12[[#This Row],[Anilha]])</f>
        <v>10</v>
      </c>
      <c r="H394" s="21">
        <f>VLOOKUP(Tabela12[[#This Row],[Tag Cabo]],BD!A:F,6,0)</f>
        <v>1</v>
      </c>
      <c r="I394" s="27" t="s">
        <v>1705</v>
      </c>
      <c r="J394" s="27" t="s">
        <v>1706</v>
      </c>
    </row>
    <row r="395" spans="1:10" x14ac:dyDescent="0.25">
      <c r="A395" s="21" t="s">
        <v>1221</v>
      </c>
      <c r="B395" s="391" t="str">
        <f>VLOOKUP(Tabela12[[#This Row],[Painel]],Tabela13[],2,0)</f>
        <v>GA-906E</v>
      </c>
      <c r="C395" s="391" t="s">
        <v>1657</v>
      </c>
      <c r="D395" s="21" t="s">
        <v>1799</v>
      </c>
      <c r="E395" s="214" t="s">
        <v>1777</v>
      </c>
      <c r="F395" s="21" t="str">
        <f>Tabela12[[#This Row],[Régua]]&amp;" ("&amp;Tabela12[[#This Row],[Born]]&amp;")"</f>
        <v>RB-ED (08)</v>
      </c>
      <c r="G395" s="27">
        <f>LEN(Tabela12[[#This Row],[Anilha]])</f>
        <v>10</v>
      </c>
      <c r="H395" s="21">
        <f>VLOOKUP(Tabela12[[#This Row],[Tag Cabo]],BD!A:F,6,0)</f>
        <v>1</v>
      </c>
      <c r="I395" s="27" t="s">
        <v>1705</v>
      </c>
      <c r="J395" s="27" t="s">
        <v>1706</v>
      </c>
    </row>
    <row r="396" spans="1:10" x14ac:dyDescent="0.25">
      <c r="A396" s="21" t="s">
        <v>1221</v>
      </c>
      <c r="B396" s="391" t="str">
        <f>VLOOKUP(Tabela12[[#This Row],[Painel]],Tabela13[],2,0)</f>
        <v>GA-906E</v>
      </c>
      <c r="C396" s="391" t="s">
        <v>1657</v>
      </c>
      <c r="D396" s="21" t="s">
        <v>1799</v>
      </c>
      <c r="E396" s="214" t="s">
        <v>1786</v>
      </c>
      <c r="F396" s="21" t="str">
        <f>Tabela12[[#This Row],[Régua]]&amp;" ("&amp;Tabela12[[#This Row],[Born]]&amp;")"</f>
        <v>RB-ED (09)</v>
      </c>
      <c r="G396" s="27">
        <f>LEN(Tabela12[[#This Row],[Anilha]])</f>
        <v>10</v>
      </c>
      <c r="H396" s="21">
        <f>VLOOKUP(Tabela12[[#This Row],[Tag Cabo]],BD!A:F,6,0)</f>
        <v>1</v>
      </c>
      <c r="I396" s="27" t="s">
        <v>1705</v>
      </c>
      <c r="J396" s="27" t="s">
        <v>1706</v>
      </c>
    </row>
    <row r="397" spans="1:10" x14ac:dyDescent="0.25">
      <c r="A397" s="21" t="s">
        <v>1221</v>
      </c>
      <c r="B397" s="391" t="str">
        <f>VLOOKUP(Tabela12[[#This Row],[Painel]],Tabela13[],2,0)</f>
        <v>GA-906E</v>
      </c>
      <c r="C397" s="391" t="s">
        <v>1657</v>
      </c>
      <c r="D397" s="21" t="s">
        <v>1799</v>
      </c>
      <c r="E397" s="21">
        <v>10</v>
      </c>
      <c r="F397" s="21" t="str">
        <f>Tabela12[[#This Row],[Régua]]&amp;" ("&amp;Tabela12[[#This Row],[Born]]&amp;")"</f>
        <v>RB-ED (10)</v>
      </c>
      <c r="G397" s="27">
        <f>LEN(Tabela12[[#This Row],[Anilha]])</f>
        <v>10</v>
      </c>
      <c r="H397" s="21">
        <f>VLOOKUP(Tabela12[[#This Row],[Tag Cabo]],BD!A:F,6,0)</f>
        <v>1</v>
      </c>
      <c r="I397" s="27" t="s">
        <v>1705</v>
      </c>
      <c r="J397" s="27" t="s">
        <v>1706</v>
      </c>
    </row>
    <row r="398" spans="1:10" x14ac:dyDescent="0.25">
      <c r="A398" s="21" t="s">
        <v>1221</v>
      </c>
      <c r="B398" s="391" t="str">
        <f>VLOOKUP(Tabela12[[#This Row],[Painel]],Tabela13[],2,0)</f>
        <v>CCU</v>
      </c>
      <c r="C398" s="391" t="s">
        <v>1660</v>
      </c>
      <c r="D398" s="21" t="s">
        <v>1800</v>
      </c>
      <c r="E398" s="214" t="s">
        <v>1773</v>
      </c>
      <c r="F398" s="21" t="str">
        <f>Tabela12[[#This Row],[Régua]]&amp;" ("&amp;Tabela12[[#This Row],[Born]]&amp;")"</f>
        <v>SD 02.5-1 (05)</v>
      </c>
      <c r="G398" s="27">
        <f>LEN(Tabela12[[#This Row],[Anilha]])</f>
        <v>14</v>
      </c>
      <c r="H398" s="21">
        <f>VLOOKUP(Tabela12[[#This Row],[Tag Cabo]],BD!A:F,6,0)</f>
        <v>1</v>
      </c>
      <c r="I398" s="27" t="s">
        <v>1705</v>
      </c>
      <c r="J398" s="27" t="s">
        <v>1706</v>
      </c>
    </row>
    <row r="399" spans="1:10" x14ac:dyDescent="0.25">
      <c r="A399" s="21" t="s">
        <v>1221</v>
      </c>
      <c r="B399" s="391" t="str">
        <f>VLOOKUP(Tabela12[[#This Row],[Painel]],Tabela13[],2,0)</f>
        <v>CCU</v>
      </c>
      <c r="C399" s="391" t="s">
        <v>1660</v>
      </c>
      <c r="D399" s="21" t="s">
        <v>1800</v>
      </c>
      <c r="E399" s="214" t="s">
        <v>1774</v>
      </c>
      <c r="F399" s="21" t="str">
        <f>Tabela12[[#This Row],[Régua]]&amp;" ("&amp;Tabela12[[#This Row],[Born]]&amp;")"</f>
        <v>SD 02.5-1 (06)</v>
      </c>
      <c r="G399" s="27">
        <f>LEN(Tabela12[[#This Row],[Anilha]])</f>
        <v>14</v>
      </c>
      <c r="H399" s="21">
        <f>VLOOKUP(Tabela12[[#This Row],[Tag Cabo]],BD!A:F,6,0)</f>
        <v>1</v>
      </c>
      <c r="I399" s="27" t="s">
        <v>1705</v>
      </c>
      <c r="J399" s="27" t="s">
        <v>1706</v>
      </c>
    </row>
    <row r="400" spans="1:10" x14ac:dyDescent="0.25">
      <c r="A400" s="21" t="s">
        <v>1221</v>
      </c>
      <c r="B400" s="391" t="str">
        <f>VLOOKUP(Tabela12[[#This Row],[Painel]],Tabela13[],2,0)</f>
        <v>CCU</v>
      </c>
      <c r="C400" s="391" t="s">
        <v>1660</v>
      </c>
      <c r="D400" s="21" t="s">
        <v>1800</v>
      </c>
      <c r="E400" s="214" t="s">
        <v>1776</v>
      </c>
      <c r="F400" s="21" t="str">
        <f>Tabela12[[#This Row],[Régua]]&amp;" ("&amp;Tabela12[[#This Row],[Born]]&amp;")"</f>
        <v>SD 02.5-1 (07)</v>
      </c>
      <c r="G400" s="27">
        <f>LEN(Tabela12[[#This Row],[Anilha]])</f>
        <v>14</v>
      </c>
      <c r="H400" s="21">
        <f>VLOOKUP(Tabela12[[#This Row],[Tag Cabo]],BD!A:F,6,0)</f>
        <v>1</v>
      </c>
      <c r="I400" s="27" t="s">
        <v>1705</v>
      </c>
      <c r="J400" s="27" t="s">
        <v>1706</v>
      </c>
    </row>
    <row r="401" spans="1:10" x14ac:dyDescent="0.25">
      <c r="A401" s="21" t="s">
        <v>1221</v>
      </c>
      <c r="B401" s="391" t="str">
        <f>VLOOKUP(Tabela12[[#This Row],[Painel]],Tabela13[],2,0)</f>
        <v>CCU</v>
      </c>
      <c r="C401" s="391" t="s">
        <v>1660</v>
      </c>
      <c r="D401" s="21" t="s">
        <v>1800</v>
      </c>
      <c r="E401" s="214" t="s">
        <v>1777</v>
      </c>
      <c r="F401" s="21" t="str">
        <f>Tabela12[[#This Row],[Régua]]&amp;" ("&amp;Tabela12[[#This Row],[Born]]&amp;")"</f>
        <v>SD 02.5-1 (08)</v>
      </c>
      <c r="G401" s="27">
        <f>LEN(Tabela12[[#This Row],[Anilha]])</f>
        <v>14</v>
      </c>
      <c r="H401" s="21">
        <f>VLOOKUP(Tabela12[[#This Row],[Tag Cabo]],BD!A:F,6,0)</f>
        <v>1</v>
      </c>
      <c r="I401" s="27" t="s">
        <v>1705</v>
      </c>
      <c r="J401" s="27" t="s">
        <v>1706</v>
      </c>
    </row>
    <row r="402" spans="1:10" x14ac:dyDescent="0.25">
      <c r="A402" s="21" t="s">
        <v>1223</v>
      </c>
      <c r="B402" s="391" t="str">
        <f>VLOOKUP(Tabela12[[#This Row],[Painel]],Tabela13[],2,0)</f>
        <v>GA-906E</v>
      </c>
      <c r="C402" s="391" t="s">
        <v>1657</v>
      </c>
      <c r="D402" s="21" t="s">
        <v>1799</v>
      </c>
      <c r="E402" s="21">
        <v>11</v>
      </c>
      <c r="F402" s="21" t="str">
        <f>Tabela12[[#This Row],[Régua]]&amp;" ("&amp;Tabela12[[#This Row],[Born]]&amp;")"</f>
        <v>RB-ED (11)</v>
      </c>
      <c r="G402" s="27">
        <f>LEN(Tabela12[[#This Row],[Anilha]])</f>
        <v>10</v>
      </c>
      <c r="H402" s="21">
        <f>VLOOKUP(Tabela12[[#This Row],[Tag Cabo]],BD!A:F,6,0)</f>
        <v>1</v>
      </c>
      <c r="I402" s="27" t="s">
        <v>1705</v>
      </c>
      <c r="J402" s="27" t="s">
        <v>1706</v>
      </c>
    </row>
    <row r="403" spans="1:10" x14ac:dyDescent="0.25">
      <c r="A403" s="21" t="s">
        <v>1223</v>
      </c>
      <c r="B403" s="391" t="str">
        <f>VLOOKUP(Tabela12[[#This Row],[Painel]],Tabela13[],2,0)</f>
        <v>GA-906E</v>
      </c>
      <c r="C403" s="391" t="s">
        <v>1657</v>
      </c>
      <c r="D403" s="21" t="s">
        <v>1799</v>
      </c>
      <c r="E403" s="21">
        <v>12</v>
      </c>
      <c r="F403" s="21" t="str">
        <f>Tabela12[[#This Row],[Régua]]&amp;" ("&amp;Tabela12[[#This Row],[Born]]&amp;")"</f>
        <v>RB-ED (12)</v>
      </c>
      <c r="G403" s="27">
        <f>LEN(Tabela12[[#This Row],[Anilha]])</f>
        <v>10</v>
      </c>
      <c r="H403" s="21">
        <f>VLOOKUP(Tabela12[[#This Row],[Tag Cabo]],BD!A:F,6,0)</f>
        <v>1</v>
      </c>
      <c r="I403" s="27" t="s">
        <v>1705</v>
      </c>
      <c r="J403" s="27" t="s">
        <v>1706</v>
      </c>
    </row>
    <row r="404" spans="1:10" x14ac:dyDescent="0.25">
      <c r="A404" s="21" t="s">
        <v>1223</v>
      </c>
      <c r="B404" s="391" t="str">
        <f>VLOOKUP(Tabela12[[#This Row],[Painel]],Tabela13[],2,0)</f>
        <v>CCU</v>
      </c>
      <c r="C404" s="391" t="s">
        <v>1660</v>
      </c>
      <c r="D404" s="21" t="s">
        <v>1800</v>
      </c>
      <c r="E404" s="214" t="s">
        <v>1786</v>
      </c>
      <c r="F404" s="21" t="str">
        <f>Tabela12[[#This Row],[Régua]]&amp;" ("&amp;Tabela12[[#This Row],[Born]]&amp;")"</f>
        <v>SD 02.5-1 (09)</v>
      </c>
      <c r="G404" s="27">
        <f>LEN(Tabela12[[#This Row],[Anilha]])</f>
        <v>14</v>
      </c>
      <c r="H404" s="21">
        <f>VLOOKUP(Tabela12[[#This Row],[Tag Cabo]],BD!A:F,6,0)</f>
        <v>1</v>
      </c>
      <c r="I404" s="27" t="s">
        <v>1705</v>
      </c>
      <c r="J404" s="27" t="s">
        <v>1706</v>
      </c>
    </row>
    <row r="405" spans="1:10" x14ac:dyDescent="0.25">
      <c r="A405" s="21" t="s">
        <v>1223</v>
      </c>
      <c r="B405" s="391" t="str">
        <f>VLOOKUP(Tabela12[[#This Row],[Painel]],Tabela13[],2,0)</f>
        <v>CCU</v>
      </c>
      <c r="C405" s="391" t="s">
        <v>1660</v>
      </c>
      <c r="D405" s="21" t="s">
        <v>1800</v>
      </c>
      <c r="E405" s="21">
        <v>10</v>
      </c>
      <c r="F405" s="21" t="str">
        <f>Tabela12[[#This Row],[Régua]]&amp;" ("&amp;Tabela12[[#This Row],[Born]]&amp;")"</f>
        <v>SD 02.5-1 (10)</v>
      </c>
      <c r="G405" s="27">
        <f>LEN(Tabela12[[#This Row],[Anilha]])</f>
        <v>14</v>
      </c>
      <c r="H405" s="21">
        <f>VLOOKUP(Tabela12[[#This Row],[Tag Cabo]],BD!A:F,6,0)</f>
        <v>1</v>
      </c>
      <c r="I405" s="27" t="s">
        <v>1705</v>
      </c>
      <c r="J405" s="27" t="s">
        <v>1706</v>
      </c>
    </row>
    <row r="406" spans="1:10" x14ac:dyDescent="0.25">
      <c r="A406" s="21" t="s">
        <v>1224</v>
      </c>
      <c r="B406" s="391" t="str">
        <f>VLOOKUP(Tabela12[[#This Row],[Painel]],Tabela13[],2,0)</f>
        <v>GA-906E</v>
      </c>
      <c r="C406" s="391" t="s">
        <v>1657</v>
      </c>
      <c r="D406" s="21" t="s">
        <v>1801</v>
      </c>
      <c r="E406" s="214" t="s">
        <v>1773</v>
      </c>
      <c r="F406" s="21" t="str">
        <f>Tabela12[[#This Row],[Régua]]&amp;" ("&amp;Tabela12[[#This Row],[Born]]&amp;")"</f>
        <v>RB-SD (05)</v>
      </c>
      <c r="G406" s="27">
        <f>LEN(Tabela12[[#This Row],[Anilha]])</f>
        <v>10</v>
      </c>
      <c r="H406" s="21">
        <f>VLOOKUP(Tabela12[[#This Row],[Tag Cabo]],BD!A:F,6,0)</f>
        <v>1</v>
      </c>
      <c r="I406" s="27" t="s">
        <v>1705</v>
      </c>
      <c r="J406" s="27" t="s">
        <v>1706</v>
      </c>
    </row>
    <row r="407" spans="1:10" x14ac:dyDescent="0.25">
      <c r="A407" s="21" t="s">
        <v>1224</v>
      </c>
      <c r="B407" s="391" t="str">
        <f>VLOOKUP(Tabela12[[#This Row],[Painel]],Tabela13[],2,0)</f>
        <v>GA-906E</v>
      </c>
      <c r="C407" s="391" t="s">
        <v>1657</v>
      </c>
      <c r="D407" s="21" t="s">
        <v>1801</v>
      </c>
      <c r="E407" s="214" t="s">
        <v>1774</v>
      </c>
      <c r="F407" s="21" t="str">
        <f>Tabela12[[#This Row],[Régua]]&amp;" ("&amp;Tabela12[[#This Row],[Born]]&amp;")"</f>
        <v>RB-SD (06)</v>
      </c>
      <c r="G407" s="27">
        <f>LEN(Tabela12[[#This Row],[Anilha]])</f>
        <v>10</v>
      </c>
      <c r="H407" s="21">
        <f>VLOOKUP(Tabela12[[#This Row],[Tag Cabo]],BD!A:F,6,0)</f>
        <v>1</v>
      </c>
      <c r="I407" s="27" t="s">
        <v>1705</v>
      </c>
      <c r="J407" s="27" t="s">
        <v>1706</v>
      </c>
    </row>
    <row r="408" spans="1:10" x14ac:dyDescent="0.25">
      <c r="A408" s="21" t="s">
        <v>1224</v>
      </c>
      <c r="B408" s="391" t="str">
        <f>VLOOKUP(Tabela12[[#This Row],[Painel]],Tabela13[],2,0)</f>
        <v>CCU</v>
      </c>
      <c r="C408" s="391" t="s">
        <v>1660</v>
      </c>
      <c r="D408" s="21" t="s">
        <v>1802</v>
      </c>
      <c r="E408" s="21">
        <v>11</v>
      </c>
      <c r="F408" s="21" t="str">
        <f>Tabela12[[#This Row],[Régua]]&amp;" ("&amp;Tabela12[[#This Row],[Born]]&amp;")"</f>
        <v>ED 01.5-1 (11)</v>
      </c>
      <c r="G408" s="27">
        <f>LEN(Tabela12[[#This Row],[Anilha]])</f>
        <v>14</v>
      </c>
      <c r="H408" s="21">
        <f>VLOOKUP(Tabela12[[#This Row],[Tag Cabo]],BD!A:F,6,0)</f>
        <v>1</v>
      </c>
      <c r="I408" s="27" t="s">
        <v>1705</v>
      </c>
      <c r="J408" s="27" t="s">
        <v>1706</v>
      </c>
    </row>
    <row r="409" spans="1:10" x14ac:dyDescent="0.25">
      <c r="A409" s="21" t="s">
        <v>1224</v>
      </c>
      <c r="B409" s="391" t="str">
        <f>VLOOKUP(Tabela12[[#This Row],[Painel]],Tabela13[],2,0)</f>
        <v>CCU</v>
      </c>
      <c r="C409" s="391" t="s">
        <v>1660</v>
      </c>
      <c r="D409" s="21" t="s">
        <v>1802</v>
      </c>
      <c r="E409" s="21">
        <v>12</v>
      </c>
      <c r="F409" s="21" t="str">
        <f>Tabela12[[#This Row],[Régua]]&amp;" ("&amp;Tabela12[[#This Row],[Born]]&amp;")"</f>
        <v>ED 01.5-1 (12)</v>
      </c>
      <c r="G409" s="27">
        <f>LEN(Tabela12[[#This Row],[Anilha]])</f>
        <v>14</v>
      </c>
      <c r="H409" s="21">
        <f>VLOOKUP(Tabela12[[#This Row],[Tag Cabo]],BD!A:F,6,0)</f>
        <v>1</v>
      </c>
      <c r="I409" s="27" t="s">
        <v>1705</v>
      </c>
      <c r="J409" s="27" t="s">
        <v>1706</v>
      </c>
    </row>
    <row r="410" spans="1:10" x14ac:dyDescent="0.25">
      <c r="A410" s="21" t="s">
        <v>1238</v>
      </c>
      <c r="B410" s="391" t="str">
        <f>VLOOKUP(Tabela12[[#This Row],[Painel]],Tabela13[],2,0)</f>
        <v>GB-967A/B</v>
      </c>
      <c r="C410" s="391" t="s">
        <v>1233</v>
      </c>
      <c r="D410" s="21" t="s">
        <v>1803</v>
      </c>
      <c r="E410" s="21">
        <v>1</v>
      </c>
      <c r="F410" s="21" t="str">
        <f>Tabela12[[#This Row],[Régua]]&amp;" ("&amp;Tabela12[[#This Row],[Born]]&amp;")"</f>
        <v>TS-002 (1)</v>
      </c>
      <c r="G410" s="27">
        <f>LEN(Tabela12[[#This Row],[Anilha]])</f>
        <v>10</v>
      </c>
      <c r="H410" s="21">
        <f>VLOOKUP(Tabela12[[#This Row],[Tag Cabo]],BD!A:F,6,0)</f>
        <v>1</v>
      </c>
      <c r="I410" s="27" t="s">
        <v>1705</v>
      </c>
      <c r="J410" s="27" t="s">
        <v>1706</v>
      </c>
    </row>
    <row r="411" spans="1:10" x14ac:dyDescent="0.25">
      <c r="A411" s="21" t="s">
        <v>1238</v>
      </c>
      <c r="B411" s="391" t="str">
        <f>VLOOKUP(Tabela12[[#This Row],[Painel]],Tabela13[],2,0)</f>
        <v>GB-967A/B</v>
      </c>
      <c r="C411" s="391" t="s">
        <v>1233</v>
      </c>
      <c r="D411" s="21" t="s">
        <v>1803</v>
      </c>
      <c r="E411" s="21">
        <v>2</v>
      </c>
      <c r="F411" s="21" t="str">
        <f>Tabela12[[#This Row],[Régua]]&amp;" ("&amp;Tabela12[[#This Row],[Born]]&amp;")"</f>
        <v>TS-002 (2)</v>
      </c>
      <c r="G411" s="27">
        <f>LEN(Tabela12[[#This Row],[Anilha]])</f>
        <v>10</v>
      </c>
      <c r="H411" s="21">
        <f>VLOOKUP(Tabela12[[#This Row],[Tag Cabo]],BD!A:F,6,0)</f>
        <v>1</v>
      </c>
      <c r="I411" s="27" t="s">
        <v>1705</v>
      </c>
      <c r="J411" s="27" t="s">
        <v>1706</v>
      </c>
    </row>
    <row r="412" spans="1:10" x14ac:dyDescent="0.25">
      <c r="A412" s="21" t="s">
        <v>1238</v>
      </c>
      <c r="B412" s="391" t="str">
        <f>VLOOKUP(Tabela12[[#This Row],[Painel]],Tabela13[],2,0)</f>
        <v>GB-967A/B</v>
      </c>
      <c r="C412" s="391" t="s">
        <v>1233</v>
      </c>
      <c r="D412" s="21" t="s">
        <v>1803</v>
      </c>
      <c r="E412" s="21">
        <v>3</v>
      </c>
      <c r="F412" s="21" t="str">
        <f>Tabela12[[#This Row],[Régua]]&amp;" ("&amp;Tabela12[[#This Row],[Born]]&amp;")"</f>
        <v>TS-002 (3)</v>
      </c>
      <c r="G412" s="27">
        <f>LEN(Tabela12[[#This Row],[Anilha]])</f>
        <v>10</v>
      </c>
      <c r="H412" s="21">
        <f>VLOOKUP(Tabela12[[#This Row],[Tag Cabo]],BD!A:F,6,0)</f>
        <v>1</v>
      </c>
      <c r="I412" s="27" t="s">
        <v>1705</v>
      </c>
      <c r="J412" s="27" t="s">
        <v>1706</v>
      </c>
    </row>
    <row r="413" spans="1:10" x14ac:dyDescent="0.25">
      <c r="A413" s="21" t="s">
        <v>1238</v>
      </c>
      <c r="B413" s="391" t="str">
        <f>VLOOKUP(Tabela12[[#This Row],[Painel]],Tabela13[],2,0)</f>
        <v>GB-967A/B</v>
      </c>
      <c r="C413" s="391" t="s">
        <v>1233</v>
      </c>
      <c r="D413" s="21" t="s">
        <v>1803</v>
      </c>
      <c r="E413" s="21">
        <v>4</v>
      </c>
      <c r="F413" s="21" t="str">
        <f>Tabela12[[#This Row],[Régua]]&amp;" ("&amp;Tabela12[[#This Row],[Born]]&amp;")"</f>
        <v>TS-002 (4)</v>
      </c>
      <c r="G413" s="27">
        <f>LEN(Tabela12[[#This Row],[Anilha]])</f>
        <v>10</v>
      </c>
      <c r="H413" s="21">
        <f>VLOOKUP(Tabela12[[#This Row],[Tag Cabo]],BD!A:F,6,0)</f>
        <v>1</v>
      </c>
      <c r="I413" s="27" t="s">
        <v>1705</v>
      </c>
      <c r="J413" s="27" t="s">
        <v>1706</v>
      </c>
    </row>
    <row r="414" spans="1:10" x14ac:dyDescent="0.25">
      <c r="A414" s="21" t="s">
        <v>1238</v>
      </c>
      <c r="B414" s="391" t="str">
        <f>VLOOKUP(Tabela12[[#This Row],[Painel]],Tabela13[],2,0)</f>
        <v>GB-967A/B</v>
      </c>
      <c r="C414" s="391" t="s">
        <v>1233</v>
      </c>
      <c r="D414" s="21" t="s">
        <v>1803</v>
      </c>
      <c r="E414" s="21">
        <v>5</v>
      </c>
      <c r="F414" s="21" t="str">
        <f>Tabela12[[#This Row],[Régua]]&amp;" ("&amp;Tabela12[[#This Row],[Born]]&amp;")"</f>
        <v>TS-002 (5)</v>
      </c>
      <c r="G414" s="27">
        <f>LEN(Tabela12[[#This Row],[Anilha]])</f>
        <v>10</v>
      </c>
      <c r="H414" s="21">
        <f>VLOOKUP(Tabela12[[#This Row],[Tag Cabo]],BD!A:F,6,0)</f>
        <v>1</v>
      </c>
      <c r="I414" s="27" t="s">
        <v>1705</v>
      </c>
      <c r="J414" s="27" t="s">
        <v>1706</v>
      </c>
    </row>
    <row r="415" spans="1:10" x14ac:dyDescent="0.25">
      <c r="A415" s="21" t="s">
        <v>1238</v>
      </c>
      <c r="B415" s="391" t="str">
        <f>VLOOKUP(Tabela12[[#This Row],[Painel]],Tabela13[],2,0)</f>
        <v>GB-967A/B</v>
      </c>
      <c r="C415" s="391" t="s">
        <v>1233</v>
      </c>
      <c r="D415" s="21" t="s">
        <v>1803</v>
      </c>
      <c r="E415" s="21">
        <v>6</v>
      </c>
      <c r="F415" s="21" t="str">
        <f>Tabela12[[#This Row],[Régua]]&amp;" ("&amp;Tabela12[[#This Row],[Born]]&amp;")"</f>
        <v>TS-002 (6)</v>
      </c>
      <c r="G415" s="27">
        <f>LEN(Tabela12[[#This Row],[Anilha]])</f>
        <v>10</v>
      </c>
      <c r="H415" s="21">
        <f>VLOOKUP(Tabela12[[#This Row],[Tag Cabo]],BD!A:F,6,0)</f>
        <v>1</v>
      </c>
      <c r="I415" s="27" t="s">
        <v>1705</v>
      </c>
      <c r="J415" s="27" t="s">
        <v>1706</v>
      </c>
    </row>
    <row r="416" spans="1:10" x14ac:dyDescent="0.25">
      <c r="A416" s="21" t="s">
        <v>1238</v>
      </c>
      <c r="B416" s="391" t="str">
        <f>VLOOKUP(Tabela12[[#This Row],[Painel]],Tabela13[],2,0)</f>
        <v>GB-967A/B</v>
      </c>
      <c r="C416" s="391" t="s">
        <v>1233</v>
      </c>
      <c r="D416" s="21" t="s">
        <v>1803</v>
      </c>
      <c r="E416" s="21">
        <v>7</v>
      </c>
      <c r="F416" s="21" t="str">
        <f>Tabela12[[#This Row],[Régua]]&amp;" ("&amp;Tabela12[[#This Row],[Born]]&amp;")"</f>
        <v>TS-002 (7)</v>
      </c>
      <c r="G416" s="27">
        <f>LEN(Tabela12[[#This Row],[Anilha]])</f>
        <v>10</v>
      </c>
      <c r="H416" s="21">
        <f>VLOOKUP(Tabela12[[#This Row],[Tag Cabo]],BD!A:F,6,0)</f>
        <v>1</v>
      </c>
      <c r="I416" s="27" t="s">
        <v>1705</v>
      </c>
      <c r="J416" s="27" t="s">
        <v>1706</v>
      </c>
    </row>
    <row r="417" spans="1:10" x14ac:dyDescent="0.25">
      <c r="A417" s="21" t="s">
        <v>1238</v>
      </c>
      <c r="B417" s="391" t="str">
        <f>VLOOKUP(Tabela12[[#This Row],[Painel]],Tabela13[],2,0)</f>
        <v>GB-967A/B</v>
      </c>
      <c r="C417" s="391" t="s">
        <v>1233</v>
      </c>
      <c r="D417" s="21" t="s">
        <v>1803</v>
      </c>
      <c r="E417" s="21">
        <v>8</v>
      </c>
      <c r="F417" s="21" t="str">
        <f>Tabela12[[#This Row],[Régua]]&amp;" ("&amp;Tabela12[[#This Row],[Born]]&amp;")"</f>
        <v>TS-002 (8)</v>
      </c>
      <c r="G417" s="27">
        <f>LEN(Tabela12[[#This Row],[Anilha]])</f>
        <v>10</v>
      </c>
      <c r="H417" s="21">
        <f>VLOOKUP(Tabela12[[#This Row],[Tag Cabo]],BD!A:F,6,0)</f>
        <v>1</v>
      </c>
      <c r="I417" s="27" t="s">
        <v>1705</v>
      </c>
      <c r="J417" s="27" t="s">
        <v>1706</v>
      </c>
    </row>
    <row r="418" spans="1:10" x14ac:dyDescent="0.25">
      <c r="A418" s="21" t="s">
        <v>1238</v>
      </c>
      <c r="B418" s="391" t="str">
        <f>VLOOKUP(Tabela12[[#This Row],[Painel]],Tabela13[],2,0)</f>
        <v>GB-967A/B</v>
      </c>
      <c r="C418" s="391" t="s">
        <v>1233</v>
      </c>
      <c r="D418" s="21" t="s">
        <v>1803</v>
      </c>
      <c r="E418" s="21">
        <v>9</v>
      </c>
      <c r="F418" s="21" t="str">
        <f>Tabela12[[#This Row],[Régua]]&amp;" ("&amp;Tabela12[[#This Row],[Born]]&amp;")"</f>
        <v>TS-002 (9)</v>
      </c>
      <c r="G418" s="27">
        <f>LEN(Tabela12[[#This Row],[Anilha]])</f>
        <v>10</v>
      </c>
      <c r="H418" s="21">
        <f>VLOOKUP(Tabela12[[#This Row],[Tag Cabo]],BD!A:F,6,0)</f>
        <v>1</v>
      </c>
      <c r="I418" s="27" t="s">
        <v>1705</v>
      </c>
      <c r="J418" s="27" t="s">
        <v>1706</v>
      </c>
    </row>
    <row r="419" spans="1:10" x14ac:dyDescent="0.25">
      <c r="A419" s="21" t="s">
        <v>1238</v>
      </c>
      <c r="B419" s="391" t="str">
        <f>VLOOKUP(Tabela12[[#This Row],[Painel]],Tabela13[],2,0)</f>
        <v>GB-967A/B</v>
      </c>
      <c r="C419" s="391" t="s">
        <v>1233</v>
      </c>
      <c r="D419" s="21" t="s">
        <v>1803</v>
      </c>
      <c r="E419" s="21">
        <v>10</v>
      </c>
      <c r="F419" s="21" t="str">
        <f>Tabela12[[#This Row],[Régua]]&amp;" ("&amp;Tabela12[[#This Row],[Born]]&amp;")"</f>
        <v>TS-002 (10)</v>
      </c>
      <c r="G419" s="27">
        <f>LEN(Tabela12[[#This Row],[Anilha]])</f>
        <v>11</v>
      </c>
      <c r="H419" s="21">
        <f>VLOOKUP(Tabela12[[#This Row],[Tag Cabo]],BD!A:F,6,0)</f>
        <v>1</v>
      </c>
      <c r="I419" s="27" t="s">
        <v>1705</v>
      </c>
      <c r="J419" s="27" t="s">
        <v>1706</v>
      </c>
    </row>
    <row r="420" spans="1:10" x14ac:dyDescent="0.25">
      <c r="A420" s="21" t="s">
        <v>1238</v>
      </c>
      <c r="B420" s="391" t="str">
        <f>VLOOKUP(Tabela12[[#This Row],[Painel]],Tabela13[],2,0)</f>
        <v>GB-967A/B</v>
      </c>
      <c r="C420" s="391" t="s">
        <v>1233</v>
      </c>
      <c r="D420" s="21" t="s">
        <v>1803</v>
      </c>
      <c r="E420" s="21">
        <v>11</v>
      </c>
      <c r="F420" s="21" t="str">
        <f>Tabela12[[#This Row],[Régua]]&amp;" ("&amp;Tabela12[[#This Row],[Born]]&amp;")"</f>
        <v>TS-002 (11)</v>
      </c>
      <c r="G420" s="27">
        <f>LEN(Tabela12[[#This Row],[Anilha]])</f>
        <v>11</v>
      </c>
      <c r="H420" s="21">
        <f>VLOOKUP(Tabela12[[#This Row],[Tag Cabo]],BD!A:F,6,0)</f>
        <v>1</v>
      </c>
      <c r="I420" s="27" t="s">
        <v>1705</v>
      </c>
      <c r="J420" s="27" t="s">
        <v>1706</v>
      </c>
    </row>
    <row r="421" spans="1:10" x14ac:dyDescent="0.25">
      <c r="A421" s="21" t="s">
        <v>1238</v>
      </c>
      <c r="B421" s="391" t="str">
        <f>VLOOKUP(Tabela12[[#This Row],[Painel]],Tabela13[],2,0)</f>
        <v>GB-967A/B</v>
      </c>
      <c r="C421" s="391" t="s">
        <v>1233</v>
      </c>
      <c r="D421" s="21" t="s">
        <v>1803</v>
      </c>
      <c r="E421" s="21">
        <v>12</v>
      </c>
      <c r="F421" s="21" t="str">
        <f>Tabela12[[#This Row],[Régua]]&amp;" ("&amp;Tabela12[[#This Row],[Born]]&amp;")"</f>
        <v>TS-002 (12)</v>
      </c>
      <c r="G421" s="27">
        <f>LEN(Tabela12[[#This Row],[Anilha]])</f>
        <v>11</v>
      </c>
      <c r="H421" s="21">
        <f>VLOOKUP(Tabela12[[#This Row],[Tag Cabo]],BD!A:F,6,0)</f>
        <v>1</v>
      </c>
      <c r="I421" s="27" t="s">
        <v>1705</v>
      </c>
      <c r="J421" s="27" t="s">
        <v>1706</v>
      </c>
    </row>
    <row r="422" spans="1:10" x14ac:dyDescent="0.25">
      <c r="A422" s="21" t="s">
        <v>1238</v>
      </c>
      <c r="B422" s="391" t="str">
        <f>VLOOKUP(Tabela12[[#This Row],[Painel]],Tabela13[],2,0)</f>
        <v>GB-967A/B</v>
      </c>
      <c r="C422" s="391" t="s">
        <v>1233</v>
      </c>
      <c r="D422" s="21" t="s">
        <v>1803</v>
      </c>
      <c r="E422" s="21">
        <v>13</v>
      </c>
      <c r="F422" s="21" t="str">
        <f>Tabela12[[#This Row],[Régua]]&amp;" ("&amp;Tabela12[[#This Row],[Born]]&amp;")"</f>
        <v>TS-002 (13)</v>
      </c>
      <c r="G422" s="27">
        <f>LEN(Tabela12[[#This Row],[Anilha]])</f>
        <v>11</v>
      </c>
      <c r="H422" s="21">
        <f>VLOOKUP(Tabela12[[#This Row],[Tag Cabo]],BD!A:F,6,0)</f>
        <v>1</v>
      </c>
      <c r="I422" s="27" t="s">
        <v>1705</v>
      </c>
      <c r="J422" s="27" t="s">
        <v>1706</v>
      </c>
    </row>
    <row r="423" spans="1:10" x14ac:dyDescent="0.25">
      <c r="A423" s="21" t="s">
        <v>1238</v>
      </c>
      <c r="B423" s="391" t="str">
        <f>VLOOKUP(Tabela12[[#This Row],[Painel]],Tabela13[],2,0)</f>
        <v>GB-967A/B</v>
      </c>
      <c r="C423" s="391" t="s">
        <v>1233</v>
      </c>
      <c r="D423" s="21" t="s">
        <v>1803</v>
      </c>
      <c r="E423" s="21">
        <v>14</v>
      </c>
      <c r="F423" s="21" t="str">
        <f>Tabela12[[#This Row],[Régua]]&amp;" ("&amp;Tabela12[[#This Row],[Born]]&amp;")"</f>
        <v>TS-002 (14)</v>
      </c>
      <c r="G423" s="27">
        <f>LEN(Tabela12[[#This Row],[Anilha]])</f>
        <v>11</v>
      </c>
      <c r="H423" s="21">
        <f>VLOOKUP(Tabela12[[#This Row],[Tag Cabo]],BD!A:F,6,0)</f>
        <v>1</v>
      </c>
      <c r="I423" s="27" t="s">
        <v>1705</v>
      </c>
      <c r="J423" s="27" t="s">
        <v>1706</v>
      </c>
    </row>
    <row r="424" spans="1:10" x14ac:dyDescent="0.25">
      <c r="A424" s="21" t="s">
        <v>1238</v>
      </c>
      <c r="B424" s="391" t="str">
        <f>VLOOKUP(Tabela12[[#This Row],[Painel]],Tabela13[],2,0)</f>
        <v>GB-967A/B</v>
      </c>
      <c r="C424" s="391" t="s">
        <v>1233</v>
      </c>
      <c r="D424" s="21" t="s">
        <v>1803</v>
      </c>
      <c r="E424" s="21">
        <v>15</v>
      </c>
      <c r="F424" s="21" t="str">
        <f>Tabela12[[#This Row],[Régua]]&amp;" ("&amp;Tabela12[[#This Row],[Born]]&amp;")"</f>
        <v>TS-002 (15)</v>
      </c>
      <c r="G424" s="27">
        <f>LEN(Tabela12[[#This Row],[Anilha]])</f>
        <v>11</v>
      </c>
      <c r="H424" s="21">
        <f>VLOOKUP(Tabela12[[#This Row],[Tag Cabo]],BD!A:F,6,0)</f>
        <v>1</v>
      </c>
      <c r="I424" s="27" t="s">
        <v>1705</v>
      </c>
      <c r="J424" s="27" t="s">
        <v>1706</v>
      </c>
    </row>
    <row r="425" spans="1:10" x14ac:dyDescent="0.25">
      <c r="A425" s="21" t="s">
        <v>1238</v>
      </c>
      <c r="B425" s="391" t="str">
        <f>VLOOKUP(Tabela12[[#This Row],[Painel]],Tabela13[],2,0)</f>
        <v>GB-967A/B</v>
      </c>
      <c r="C425" s="391" t="s">
        <v>1233</v>
      </c>
      <c r="D425" s="21" t="s">
        <v>1803</v>
      </c>
      <c r="E425" s="21">
        <v>16</v>
      </c>
      <c r="F425" s="21" t="str">
        <f>Tabela12[[#This Row],[Régua]]&amp;" ("&amp;Tabela12[[#This Row],[Born]]&amp;")"</f>
        <v>TS-002 (16)</v>
      </c>
      <c r="G425" s="27">
        <f>LEN(Tabela12[[#This Row],[Anilha]])</f>
        <v>11</v>
      </c>
      <c r="H425" s="21">
        <f>VLOOKUP(Tabela12[[#This Row],[Tag Cabo]],BD!A:F,6,0)</f>
        <v>1</v>
      </c>
      <c r="I425" s="27" t="s">
        <v>1705</v>
      </c>
      <c r="J425" s="27" t="s">
        <v>1706</v>
      </c>
    </row>
    <row r="426" spans="1:10" x14ac:dyDescent="0.25">
      <c r="A426" s="21" t="s">
        <v>1238</v>
      </c>
      <c r="B426" s="391" t="str">
        <f>VLOOKUP(Tabela12[[#This Row],[Painel]],Tabela13[],2,0)</f>
        <v>CCU</v>
      </c>
      <c r="C426" s="391" t="s">
        <v>1658</v>
      </c>
      <c r="D426" s="21" t="s">
        <v>1804</v>
      </c>
      <c r="E426" s="21">
        <v>15</v>
      </c>
      <c r="F426" s="21" t="str">
        <f>Tabela12[[#This Row],[Régua]]&amp;" ("&amp;Tabela12[[#This Row],[Born]]&amp;")"</f>
        <v>ED 01.6-2 (15)</v>
      </c>
      <c r="G426" s="27">
        <f>LEN(Tabela12[[#This Row],[Anilha]])</f>
        <v>14</v>
      </c>
      <c r="H426" s="21">
        <f>VLOOKUP(Tabela12[[#This Row],[Tag Cabo]],BD!A:F,6,0)</f>
        <v>1</v>
      </c>
      <c r="I426" s="27" t="s">
        <v>1705</v>
      </c>
      <c r="J426" s="27" t="s">
        <v>1706</v>
      </c>
    </row>
    <row r="427" spans="1:10" x14ac:dyDescent="0.25">
      <c r="A427" s="21" t="s">
        <v>1238</v>
      </c>
      <c r="B427" s="391" t="str">
        <f>VLOOKUP(Tabela12[[#This Row],[Painel]],Tabela13[],2,0)</f>
        <v>CCU</v>
      </c>
      <c r="C427" s="391" t="s">
        <v>1658</v>
      </c>
      <c r="D427" s="21" t="s">
        <v>1804</v>
      </c>
      <c r="E427" s="21">
        <v>16</v>
      </c>
      <c r="F427" s="21" t="str">
        <f>Tabela12[[#This Row],[Régua]]&amp;" ("&amp;Tabela12[[#This Row],[Born]]&amp;")"</f>
        <v>ED 01.6-2 (16)</v>
      </c>
      <c r="G427" s="27">
        <f>LEN(Tabela12[[#This Row],[Anilha]])</f>
        <v>14</v>
      </c>
      <c r="H427" s="21">
        <f>VLOOKUP(Tabela12[[#This Row],[Tag Cabo]],BD!A:F,6,0)</f>
        <v>1</v>
      </c>
      <c r="I427" s="27" t="s">
        <v>1705</v>
      </c>
      <c r="J427" s="27" t="s">
        <v>1706</v>
      </c>
    </row>
    <row r="428" spans="1:10" x14ac:dyDescent="0.25">
      <c r="A428" s="21" t="s">
        <v>1238</v>
      </c>
      <c r="B428" s="391" t="str">
        <f>VLOOKUP(Tabela12[[#This Row],[Painel]],Tabela13[],2,0)</f>
        <v>CCU</v>
      </c>
      <c r="C428" s="391" t="s">
        <v>1658</v>
      </c>
      <c r="D428" s="21" t="s">
        <v>1804</v>
      </c>
      <c r="E428" s="21">
        <v>17</v>
      </c>
      <c r="F428" s="21" t="str">
        <f>Tabela12[[#This Row],[Régua]]&amp;" ("&amp;Tabela12[[#This Row],[Born]]&amp;")"</f>
        <v>ED 01.6-2 (17)</v>
      </c>
      <c r="G428" s="27">
        <f>LEN(Tabela12[[#This Row],[Anilha]])</f>
        <v>14</v>
      </c>
      <c r="H428" s="21">
        <f>VLOOKUP(Tabela12[[#This Row],[Tag Cabo]],BD!A:F,6,0)</f>
        <v>1</v>
      </c>
      <c r="I428" s="27" t="s">
        <v>1705</v>
      </c>
      <c r="J428" s="27" t="s">
        <v>1706</v>
      </c>
    </row>
    <row r="429" spans="1:10" x14ac:dyDescent="0.25">
      <c r="A429" s="21" t="s">
        <v>1238</v>
      </c>
      <c r="B429" s="391" t="str">
        <f>VLOOKUP(Tabela12[[#This Row],[Painel]],Tabela13[],2,0)</f>
        <v>CCU</v>
      </c>
      <c r="C429" s="391" t="s">
        <v>1658</v>
      </c>
      <c r="D429" s="21" t="s">
        <v>1804</v>
      </c>
      <c r="E429" s="21">
        <v>18</v>
      </c>
      <c r="F429" s="21" t="str">
        <f>Tabela12[[#This Row],[Régua]]&amp;" ("&amp;Tabela12[[#This Row],[Born]]&amp;")"</f>
        <v>ED 01.6-2 (18)</v>
      </c>
      <c r="G429" s="27">
        <f>LEN(Tabela12[[#This Row],[Anilha]])</f>
        <v>14</v>
      </c>
      <c r="H429" s="21">
        <f>VLOOKUP(Tabela12[[#This Row],[Tag Cabo]],BD!A:F,6,0)</f>
        <v>1</v>
      </c>
      <c r="I429" s="27" t="s">
        <v>1705</v>
      </c>
      <c r="J429" s="27" t="s">
        <v>1706</v>
      </c>
    </row>
    <row r="430" spans="1:10" x14ac:dyDescent="0.25">
      <c r="A430" s="21" t="s">
        <v>1344</v>
      </c>
      <c r="B430" s="391" t="str">
        <f>VLOOKUP(Tabela12[[#This Row],[Painel]],Tabela13[],2,0)</f>
        <v>Vários</v>
      </c>
      <c r="C430" s="391" t="s">
        <v>1574</v>
      </c>
      <c r="D430" s="21" t="s">
        <v>1344</v>
      </c>
      <c r="E430" s="21" t="s">
        <v>1747</v>
      </c>
      <c r="F430" s="21" t="str">
        <f>Tabela12[[#This Row],[Régua]]&amp;" ("&amp;Tabela12[[#This Row],[Born]]&amp;")"</f>
        <v>ZSH-90240 (COM)</v>
      </c>
      <c r="G430" s="27">
        <f>LEN(Tabela12[[#This Row],[Anilha]])</f>
        <v>15</v>
      </c>
      <c r="H430" s="21">
        <f>VLOOKUP(Tabela12[[#This Row],[Tag Cabo]],BD!A:F,6,0)</f>
        <v>1.5</v>
      </c>
      <c r="I430" s="27" t="s">
        <v>1705</v>
      </c>
      <c r="J430" s="27" t="s">
        <v>1706</v>
      </c>
    </row>
    <row r="431" spans="1:10" x14ac:dyDescent="0.25">
      <c r="A431" s="21" t="s">
        <v>1344</v>
      </c>
      <c r="B431" s="391" t="str">
        <f>VLOOKUP(Tabela12[[#This Row],[Painel]],Tabela13[],2,0)</f>
        <v>Vários</v>
      </c>
      <c r="C431" s="391" t="s">
        <v>1574</v>
      </c>
      <c r="D431" s="21" t="s">
        <v>1344</v>
      </c>
      <c r="E431" s="21" t="s">
        <v>1805</v>
      </c>
      <c r="F431" s="21" t="str">
        <f>Tabela12[[#This Row],[Régua]]&amp;" ("&amp;Tabela12[[#This Row],[Born]]&amp;")"</f>
        <v>ZSH-90240 (NC)</v>
      </c>
      <c r="G431" s="27">
        <f>LEN(Tabela12[[#This Row],[Anilha]])</f>
        <v>14</v>
      </c>
      <c r="H431" s="21">
        <f>VLOOKUP(Tabela12[[#This Row],[Tag Cabo]],BD!A:F,6,0)</f>
        <v>1.5</v>
      </c>
      <c r="I431" s="27" t="s">
        <v>1705</v>
      </c>
      <c r="J431" s="27" t="s">
        <v>1706</v>
      </c>
    </row>
    <row r="432" spans="1:10" x14ac:dyDescent="0.25">
      <c r="A432" s="21" t="s">
        <v>1344</v>
      </c>
      <c r="B432" s="391" t="str">
        <f>VLOOKUP(Tabela12[[#This Row],[Painel]],Tabela13[],2,0)</f>
        <v>GB-967A/B</v>
      </c>
      <c r="C432" s="391" t="s">
        <v>1233</v>
      </c>
      <c r="D432" s="21" t="s">
        <v>1803</v>
      </c>
      <c r="E432" s="21">
        <v>1</v>
      </c>
      <c r="F432" s="21" t="str">
        <f>Tabela12[[#This Row],[Régua]]&amp;" ("&amp;Tabela12[[#This Row],[Born]]&amp;")"</f>
        <v>TS-002 (1)</v>
      </c>
      <c r="G432" s="27">
        <f>LEN(Tabela12[[#This Row],[Anilha]])</f>
        <v>10</v>
      </c>
      <c r="H432" s="21">
        <f>VLOOKUP(Tabela12[[#This Row],[Tag Cabo]],BD!A:F,6,0)</f>
        <v>1.5</v>
      </c>
      <c r="I432" s="27" t="s">
        <v>1705</v>
      </c>
      <c r="J432" s="27" t="s">
        <v>1706</v>
      </c>
    </row>
    <row r="433" spans="1:10" x14ac:dyDescent="0.25">
      <c r="A433" s="21" t="s">
        <v>1344</v>
      </c>
      <c r="B433" s="391" t="str">
        <f>VLOOKUP(Tabela12[[#This Row],[Painel]],Tabela13[],2,0)</f>
        <v>GB-967A/B</v>
      </c>
      <c r="C433" s="391" t="s">
        <v>1233</v>
      </c>
      <c r="D433" s="21" t="s">
        <v>1803</v>
      </c>
      <c r="E433" s="21">
        <v>2</v>
      </c>
      <c r="F433" s="21" t="str">
        <f>Tabela12[[#This Row],[Régua]]&amp;" ("&amp;Tabela12[[#This Row],[Born]]&amp;")"</f>
        <v>TS-002 (2)</v>
      </c>
      <c r="G433" s="27">
        <f>LEN(Tabela12[[#This Row],[Anilha]])</f>
        <v>10</v>
      </c>
      <c r="H433" s="21">
        <f>VLOOKUP(Tabela12[[#This Row],[Tag Cabo]],BD!A:F,6,0)</f>
        <v>1.5</v>
      </c>
      <c r="I433" s="27" t="s">
        <v>1705</v>
      </c>
      <c r="J433" s="27" t="s">
        <v>1706</v>
      </c>
    </row>
    <row r="434" spans="1:10" x14ac:dyDescent="0.25">
      <c r="A434" s="21" t="s">
        <v>1345</v>
      </c>
      <c r="B434" s="391" t="str">
        <f>VLOOKUP(Tabela12[[#This Row],[Painel]],Tabela13[],2,0)</f>
        <v>Vários</v>
      </c>
      <c r="C434" s="391" t="s">
        <v>1574</v>
      </c>
      <c r="D434" s="21" t="s">
        <v>1345</v>
      </c>
      <c r="E434" s="21" t="s">
        <v>1747</v>
      </c>
      <c r="F434" s="21" t="str">
        <f>Tabela12[[#This Row],[Régua]]&amp;" ("&amp;Tabela12[[#This Row],[Born]]&amp;")"</f>
        <v>ZSL-90240 (COM)</v>
      </c>
      <c r="G434" s="27">
        <f>LEN(Tabela12[[#This Row],[Anilha]])</f>
        <v>15</v>
      </c>
      <c r="H434" s="21">
        <f>VLOOKUP(Tabela12[[#This Row],[Tag Cabo]],BD!A:F,6,0)</f>
        <v>1.5</v>
      </c>
      <c r="I434" s="27" t="s">
        <v>1705</v>
      </c>
      <c r="J434" s="27" t="s">
        <v>1706</v>
      </c>
    </row>
    <row r="435" spans="1:10" x14ac:dyDescent="0.25">
      <c r="A435" s="21" t="s">
        <v>1345</v>
      </c>
      <c r="B435" s="391" t="str">
        <f>VLOOKUP(Tabela12[[#This Row],[Painel]],Tabela13[],2,0)</f>
        <v>Vários</v>
      </c>
      <c r="C435" s="391" t="s">
        <v>1574</v>
      </c>
      <c r="D435" s="21" t="s">
        <v>1345</v>
      </c>
      <c r="E435" s="21" t="s">
        <v>1805</v>
      </c>
      <c r="F435" s="21" t="str">
        <f>Tabela12[[#This Row],[Régua]]&amp;" ("&amp;Tabela12[[#This Row],[Born]]&amp;")"</f>
        <v>ZSL-90240 (NC)</v>
      </c>
      <c r="G435" s="27">
        <f>LEN(Tabela12[[#This Row],[Anilha]])</f>
        <v>14</v>
      </c>
      <c r="H435" s="21">
        <f>VLOOKUP(Tabela12[[#This Row],[Tag Cabo]],BD!A:F,6,0)</f>
        <v>1.5</v>
      </c>
      <c r="I435" s="27" t="s">
        <v>1705</v>
      </c>
      <c r="J435" s="27" t="s">
        <v>1706</v>
      </c>
    </row>
    <row r="436" spans="1:10" x14ac:dyDescent="0.25">
      <c r="A436" s="21" t="s">
        <v>1345</v>
      </c>
      <c r="B436" s="391" t="str">
        <f>VLOOKUP(Tabela12[[#This Row],[Painel]],Tabela13[],2,0)</f>
        <v>GB-967A/B</v>
      </c>
      <c r="C436" s="391" t="s">
        <v>1233</v>
      </c>
      <c r="D436" s="21" t="s">
        <v>1803</v>
      </c>
      <c r="E436" s="21">
        <v>3</v>
      </c>
      <c r="F436" s="21" t="str">
        <f>Tabela12[[#This Row],[Régua]]&amp;" ("&amp;Tabela12[[#This Row],[Born]]&amp;")"</f>
        <v>TS-002 (3)</v>
      </c>
      <c r="G436" s="27">
        <f>LEN(Tabela12[[#This Row],[Anilha]])</f>
        <v>10</v>
      </c>
      <c r="H436" s="21">
        <f>VLOOKUP(Tabela12[[#This Row],[Tag Cabo]],BD!A:F,6,0)</f>
        <v>1.5</v>
      </c>
      <c r="I436" s="27" t="s">
        <v>1705</v>
      </c>
      <c r="J436" s="27" t="s">
        <v>1706</v>
      </c>
    </row>
    <row r="437" spans="1:10" x14ac:dyDescent="0.25">
      <c r="A437" s="21" t="s">
        <v>1345</v>
      </c>
      <c r="B437" s="391" t="str">
        <f>VLOOKUP(Tabela12[[#This Row],[Painel]],Tabela13[],2,0)</f>
        <v>GB-967A/B</v>
      </c>
      <c r="C437" s="391" t="s">
        <v>1233</v>
      </c>
      <c r="D437" s="21" t="s">
        <v>1803</v>
      </c>
      <c r="E437" s="21">
        <v>4</v>
      </c>
      <c r="F437" s="21" t="str">
        <f>Tabela12[[#This Row],[Régua]]&amp;" ("&amp;Tabela12[[#This Row],[Born]]&amp;")"</f>
        <v>TS-002 (4)</v>
      </c>
      <c r="G437" s="27">
        <f>LEN(Tabela12[[#This Row],[Anilha]])</f>
        <v>10</v>
      </c>
      <c r="H437" s="21">
        <f>VLOOKUP(Tabela12[[#This Row],[Tag Cabo]],BD!A:F,6,0)</f>
        <v>1.5</v>
      </c>
      <c r="I437" s="27" t="s">
        <v>1705</v>
      </c>
      <c r="J437" s="27" t="s">
        <v>1706</v>
      </c>
    </row>
    <row r="438" spans="1:10" x14ac:dyDescent="0.25">
      <c r="A438" s="21" t="s">
        <v>180</v>
      </c>
      <c r="B438" s="391" t="str">
        <f>VLOOKUP(Tabela12[[#This Row],[Painel]],Tabela13[],2,0)</f>
        <v>CCP</v>
      </c>
      <c r="C438" s="391" t="s">
        <v>1650</v>
      </c>
      <c r="D438" s="21" t="s">
        <v>1806</v>
      </c>
      <c r="E438" s="21">
        <v>47</v>
      </c>
      <c r="F438" s="21" t="str">
        <f>Tabela12[[#This Row],[Régua]]&amp;" ("&amp;Tabela12[[#This Row],[Born]]&amp;")"</f>
        <v>RB-DI-24 (47)</v>
      </c>
      <c r="G438" s="27">
        <f>LEN(Tabela12[[#This Row],[Anilha]])</f>
        <v>13</v>
      </c>
      <c r="H438" s="21">
        <f>VLOOKUP(Tabela12[[#This Row],[Tag Cabo]],BD!A:F,6,0)</f>
        <v>1</v>
      </c>
      <c r="I438" s="27" t="s">
        <v>1705</v>
      </c>
      <c r="J438" s="27" t="s">
        <v>1706</v>
      </c>
    </row>
    <row r="439" spans="1:10" x14ac:dyDescent="0.25">
      <c r="A439" s="21" t="s">
        <v>180</v>
      </c>
      <c r="B439" s="391" t="str">
        <f>VLOOKUP(Tabela12[[#This Row],[Painel]],Tabela13[],2,0)</f>
        <v>CCP</v>
      </c>
      <c r="C439" s="391" t="s">
        <v>1650</v>
      </c>
      <c r="D439" s="21" t="s">
        <v>1806</v>
      </c>
      <c r="E439" s="21">
        <v>48</v>
      </c>
      <c r="F439" s="21" t="str">
        <f>Tabela12[[#This Row],[Régua]]&amp;" ("&amp;Tabela12[[#This Row],[Born]]&amp;")"</f>
        <v>RB-DI-24 (48)</v>
      </c>
      <c r="G439" s="27">
        <f>LEN(Tabela12[[#This Row],[Anilha]])</f>
        <v>13</v>
      </c>
      <c r="H439" s="21">
        <f>VLOOKUP(Tabela12[[#This Row],[Tag Cabo]],BD!A:F,6,0)</f>
        <v>1</v>
      </c>
      <c r="I439" s="27" t="s">
        <v>1705</v>
      </c>
      <c r="J439" s="27" t="s">
        <v>1706</v>
      </c>
    </row>
    <row r="440" spans="1:10" x14ac:dyDescent="0.25">
      <c r="A440" s="21" t="s">
        <v>180</v>
      </c>
      <c r="B440" s="391" t="str">
        <f>VLOOKUP(Tabela12[[#This Row],[Painel]],Tabela13[],2,0)</f>
        <v>1MV</v>
      </c>
      <c r="C440" s="391" t="s">
        <v>196</v>
      </c>
      <c r="D440" s="21" t="s">
        <v>1807</v>
      </c>
      <c r="E440" s="21">
        <v>9</v>
      </c>
      <c r="F440" s="21" t="str">
        <f>Tabela12[[#This Row],[Régua]]&amp;" ("&amp;Tabela12[[#This Row],[Born]]&amp;")"</f>
        <v>XE16 (9)</v>
      </c>
      <c r="G440" s="27">
        <f>LEN(Tabela12[[#This Row],[Anilha]])</f>
        <v>8</v>
      </c>
      <c r="H440" s="21">
        <f>VLOOKUP(Tabela12[[#This Row],[Tag Cabo]],BD!A:F,6,0)</f>
        <v>1</v>
      </c>
      <c r="I440" s="27" t="s">
        <v>1705</v>
      </c>
      <c r="J440" s="27" t="s">
        <v>1706</v>
      </c>
    </row>
    <row r="441" spans="1:10" x14ac:dyDescent="0.25">
      <c r="A441" s="21" t="s">
        <v>180</v>
      </c>
      <c r="B441" s="391" t="str">
        <f>VLOOKUP(Tabela12[[#This Row],[Painel]],Tabela13[],2,0)</f>
        <v>1MV</v>
      </c>
      <c r="C441" s="391" t="s">
        <v>196</v>
      </c>
      <c r="D441" s="21" t="s">
        <v>1807</v>
      </c>
      <c r="E441" s="21">
        <v>10</v>
      </c>
      <c r="F441" s="21" t="str">
        <f>Tabela12[[#This Row],[Régua]]&amp;" ("&amp;Tabela12[[#This Row],[Born]]&amp;")"</f>
        <v>XE16 (10)</v>
      </c>
      <c r="G441" s="27">
        <f>LEN(Tabela12[[#This Row],[Anilha]])</f>
        <v>9</v>
      </c>
      <c r="H441" s="21">
        <f>VLOOKUP(Tabela12[[#This Row],[Tag Cabo]],BD!A:F,6,0)</f>
        <v>1</v>
      </c>
      <c r="I441" s="27" t="s">
        <v>1705</v>
      </c>
      <c r="J441" s="27" t="s">
        <v>1706</v>
      </c>
    </row>
    <row r="442" spans="1:10" x14ac:dyDescent="0.25">
      <c r="A442" s="21" t="s">
        <v>180</v>
      </c>
      <c r="B442" s="391" t="str">
        <f>VLOOKUP(Tabela12[[#This Row],[Painel]],Tabela13[],2,0)</f>
        <v>1MV</v>
      </c>
      <c r="C442" s="391" t="s">
        <v>196</v>
      </c>
      <c r="D442" s="21" t="s">
        <v>1808</v>
      </c>
      <c r="E442" s="21">
        <v>1</v>
      </c>
      <c r="F442" s="21" t="str">
        <f>Tabela12[[#This Row],[Régua]]&amp;" ("&amp;Tabela12[[#This Row],[Born]]&amp;")"</f>
        <v>RB-HOLD (1)</v>
      </c>
      <c r="G442" s="27">
        <f>LEN(Tabela12[[#This Row],[Anilha]])</f>
        <v>11</v>
      </c>
      <c r="H442" s="21">
        <f>VLOOKUP(Tabela12[[#This Row],[Tag Cabo]],BD!A:F,6,0)</f>
        <v>1</v>
      </c>
      <c r="I442" s="27" t="s">
        <v>1705</v>
      </c>
      <c r="J442" s="27" t="s">
        <v>1706</v>
      </c>
    </row>
    <row r="443" spans="1:10" x14ac:dyDescent="0.25">
      <c r="A443" s="21" t="s">
        <v>180</v>
      </c>
      <c r="B443" s="391" t="str">
        <f>VLOOKUP(Tabela12[[#This Row],[Painel]],Tabela13[],2,0)</f>
        <v>1MV</v>
      </c>
      <c r="C443" s="391" t="s">
        <v>196</v>
      </c>
      <c r="D443" s="21" t="s">
        <v>1808</v>
      </c>
      <c r="E443" s="21">
        <v>2</v>
      </c>
      <c r="F443" s="21" t="str">
        <f>Tabela12[[#This Row],[Régua]]&amp;" ("&amp;Tabela12[[#This Row],[Born]]&amp;")"</f>
        <v>RB-HOLD (2)</v>
      </c>
      <c r="G443" s="27">
        <f>LEN(Tabela12[[#This Row],[Anilha]])</f>
        <v>11</v>
      </c>
      <c r="H443" s="21">
        <f>VLOOKUP(Tabela12[[#This Row],[Tag Cabo]],BD!A:F,6,0)</f>
        <v>1</v>
      </c>
      <c r="I443" s="27" t="s">
        <v>1705</v>
      </c>
      <c r="J443" s="27" t="s">
        <v>1706</v>
      </c>
    </row>
    <row r="444" spans="1:10" x14ac:dyDescent="0.25">
      <c r="A444" s="21" t="s">
        <v>180</v>
      </c>
      <c r="B444" s="391" t="str">
        <f>VLOOKUP(Tabela12[[#This Row],[Painel]],Tabela13[],2,0)</f>
        <v>CCP</v>
      </c>
      <c r="C444" s="391" t="s">
        <v>1650</v>
      </c>
      <c r="D444" s="21" t="s">
        <v>1809</v>
      </c>
      <c r="E444" s="214" t="s">
        <v>1790</v>
      </c>
      <c r="F444" s="21" t="str">
        <f>Tabela12[[#This Row],[Régua]]&amp;" ("&amp;Tabela12[[#This Row],[Born]]&amp;")"</f>
        <v>RB-DI-30 (03)</v>
      </c>
      <c r="G444" s="27">
        <f>LEN(Tabela12[[#This Row],[Anilha]])</f>
        <v>13</v>
      </c>
      <c r="H444" s="21">
        <f>VLOOKUP(Tabela12[[#This Row],[Tag Cabo]],BD!A:F,6,0)</f>
        <v>1</v>
      </c>
      <c r="I444" s="27" t="s">
        <v>1705</v>
      </c>
      <c r="J444" s="27" t="s">
        <v>1706</v>
      </c>
    </row>
    <row r="445" spans="1:10" x14ac:dyDescent="0.25">
      <c r="A445" s="21" t="s">
        <v>180</v>
      </c>
      <c r="B445" s="391" t="str">
        <f>VLOOKUP(Tabela12[[#This Row],[Painel]],Tabela13[],2,0)</f>
        <v>CCP</v>
      </c>
      <c r="C445" s="391" t="s">
        <v>1650</v>
      </c>
      <c r="D445" s="21" t="s">
        <v>1809</v>
      </c>
      <c r="E445" s="214" t="s">
        <v>1791</v>
      </c>
      <c r="F445" s="21" t="str">
        <f>Tabela12[[#This Row],[Régua]]&amp;" ("&amp;Tabela12[[#This Row],[Born]]&amp;")"</f>
        <v>RB-DI-30 (04)</v>
      </c>
      <c r="G445" s="27">
        <f>LEN(Tabela12[[#This Row],[Anilha]])</f>
        <v>13</v>
      </c>
      <c r="H445" s="21">
        <f>VLOOKUP(Tabela12[[#This Row],[Tag Cabo]],BD!A:F,6,0)</f>
        <v>1</v>
      </c>
      <c r="I445" s="27" t="s">
        <v>1705</v>
      </c>
      <c r="J445" s="27" t="s">
        <v>1706</v>
      </c>
    </row>
    <row r="446" spans="1:10" x14ac:dyDescent="0.25">
      <c r="A446" s="216" t="s">
        <v>1362</v>
      </c>
      <c r="B446" s="45" t="str">
        <f>VLOOKUP(Tabela12[[#This Row],[Painel]],Tabela13[],2,0)</f>
        <v>Vários</v>
      </c>
      <c r="C446" s="45" t="s">
        <v>1574</v>
      </c>
      <c r="D446" s="21" t="s">
        <v>1362</v>
      </c>
      <c r="E446" s="21" t="s">
        <v>1760</v>
      </c>
      <c r="F446" s="27" t="str">
        <f>Tabela12[[#This Row],[Régua]]&amp;" ("&amp;Tabela12[[#This Row],[Born]]&amp;")"</f>
        <v>SOV-3801 (+)</v>
      </c>
      <c r="G446" s="27">
        <f>LEN(Tabela12[[#This Row],[Anilha]])</f>
        <v>12</v>
      </c>
      <c r="H446" s="21">
        <f>VLOOKUP(Tabela12[[#This Row],[Tag Cabo]],BD!A:F,6,0)</f>
        <v>1</v>
      </c>
      <c r="I446" s="27" t="s">
        <v>1705</v>
      </c>
      <c r="J446" s="27" t="s">
        <v>1706</v>
      </c>
    </row>
    <row r="447" spans="1:10" x14ac:dyDescent="0.25">
      <c r="A447" s="216" t="s">
        <v>1362</v>
      </c>
      <c r="B447" s="45" t="str">
        <f>VLOOKUP(Tabela12[[#This Row],[Painel]],Tabela13[],2,0)</f>
        <v>Vários</v>
      </c>
      <c r="C447" s="45" t="s">
        <v>1574</v>
      </c>
      <c r="D447" s="216" t="s">
        <v>1362</v>
      </c>
      <c r="E447" s="21" t="s">
        <v>92</v>
      </c>
      <c r="F447" s="27" t="str">
        <f>Tabela12[[#This Row],[Régua]]&amp;" ("&amp;Tabela12[[#This Row],[Born]]&amp;")"</f>
        <v>SOV-3801 (-)</v>
      </c>
      <c r="G447" s="27">
        <f>LEN(Tabela12[[#This Row],[Anilha]])</f>
        <v>12</v>
      </c>
      <c r="H447" s="21">
        <f>VLOOKUP(Tabela12[[#This Row],[Tag Cabo]],BD!A:F,6,0)</f>
        <v>1</v>
      </c>
      <c r="I447" s="27" t="s">
        <v>1705</v>
      </c>
      <c r="J447" s="27" t="s">
        <v>1706</v>
      </c>
    </row>
    <row r="448" spans="1:10" x14ac:dyDescent="0.25">
      <c r="A448" s="216" t="s">
        <v>1362</v>
      </c>
      <c r="B448" s="45" t="str">
        <f>VLOOKUP(Tabela12[[#This Row],[Painel]],Tabela13[],2,0)</f>
        <v>CCP</v>
      </c>
      <c r="C448" s="45" t="s">
        <v>1614</v>
      </c>
      <c r="D448" s="21" t="s">
        <v>1810</v>
      </c>
      <c r="E448" s="21" t="s">
        <v>1811</v>
      </c>
      <c r="F448" s="27" t="str">
        <f>Tabela12[[#This Row],[Régua]]&amp;" ("&amp;Tabela12[[#This Row],[Born]]&amp;")"</f>
        <v>RB3 (29+)</v>
      </c>
      <c r="G448" s="27">
        <f>LEN(Tabela12[[#This Row],[Anilha]])</f>
        <v>9</v>
      </c>
      <c r="H448" s="21">
        <f>VLOOKUP(Tabela12[[#This Row],[Tag Cabo]],BD!A:F,6,0)</f>
        <v>1</v>
      </c>
      <c r="I448" s="27" t="s">
        <v>1705</v>
      </c>
      <c r="J448" s="27" t="s">
        <v>1706</v>
      </c>
    </row>
    <row r="449" spans="1:10" x14ac:dyDescent="0.25">
      <c r="A449" s="216" t="s">
        <v>1362</v>
      </c>
      <c r="B449" s="45" t="str">
        <f>VLOOKUP(Tabela12[[#This Row],[Painel]],Tabela13[],2,0)</f>
        <v>CCP</v>
      </c>
      <c r="C449" s="45" t="s">
        <v>1614</v>
      </c>
      <c r="D449" s="21" t="s">
        <v>1810</v>
      </c>
      <c r="E449" s="21" t="s">
        <v>1812</v>
      </c>
      <c r="F449" s="27" t="str">
        <f>Tabela12[[#This Row],[Régua]]&amp;" ("&amp;Tabela12[[#This Row],[Born]]&amp;")"</f>
        <v>RB3 (30-)</v>
      </c>
      <c r="G449" s="27">
        <f>LEN(Tabela12[[#This Row],[Anilha]])</f>
        <v>9</v>
      </c>
      <c r="H449" s="21">
        <f>VLOOKUP(Tabela12[[#This Row],[Tag Cabo]],BD!A:F,6,0)</f>
        <v>1</v>
      </c>
      <c r="I449" s="27" t="s">
        <v>1705</v>
      </c>
      <c r="J449" s="27" t="s">
        <v>1706</v>
      </c>
    </row>
    <row r="450" spans="1:10" x14ac:dyDescent="0.25">
      <c r="A450" s="216" t="s">
        <v>1813</v>
      </c>
      <c r="B450" s="45" t="str">
        <f>VLOOKUP(Tabela12[[#This Row],[Painel]],Tabela13[],2,0)</f>
        <v>Vários</v>
      </c>
      <c r="C450" s="45" t="s">
        <v>1574</v>
      </c>
      <c r="D450" s="216" t="s">
        <v>1813</v>
      </c>
      <c r="E450" s="21" t="s">
        <v>1760</v>
      </c>
      <c r="F450" s="27" t="str">
        <f>Tabela12[[#This Row],[Régua]]&amp;" ("&amp;Tabela12[[#This Row],[Born]]&amp;")"</f>
        <v>TIFON (+)</v>
      </c>
      <c r="G450" s="27">
        <f>LEN(Tabela12[[#This Row],[Anilha]])</f>
        <v>9</v>
      </c>
      <c r="H450" s="21" t="e">
        <f>VLOOKUP(Tabela12[[#This Row],[Tag Cabo]],BD!A:F,6,0)</f>
        <v>#N/A</v>
      </c>
      <c r="I450" s="27" t="s">
        <v>1705</v>
      </c>
      <c r="J450" s="27" t="s">
        <v>1706</v>
      </c>
    </row>
    <row r="451" spans="1:10" x14ac:dyDescent="0.25">
      <c r="A451" s="216" t="s">
        <v>1813</v>
      </c>
      <c r="B451" s="45" t="str">
        <f>VLOOKUP(Tabela12[[#This Row],[Painel]],Tabela13[],2,0)</f>
        <v>Vários</v>
      </c>
      <c r="C451" s="45" t="s">
        <v>1574</v>
      </c>
      <c r="D451" s="216" t="s">
        <v>1813</v>
      </c>
      <c r="E451" s="21" t="s">
        <v>92</v>
      </c>
      <c r="F451" s="27" t="str">
        <f>Tabela12[[#This Row],[Régua]]&amp;" ("&amp;Tabela12[[#This Row],[Born]]&amp;")"</f>
        <v>TIFON (-)</v>
      </c>
      <c r="G451" s="27">
        <f>LEN(Tabela12[[#This Row],[Anilha]])</f>
        <v>9</v>
      </c>
      <c r="H451" s="21" t="e">
        <f>VLOOKUP(Tabela12[[#This Row],[Tag Cabo]],BD!A:F,6,0)</f>
        <v>#N/A</v>
      </c>
      <c r="I451" s="27" t="s">
        <v>1705</v>
      </c>
      <c r="J451" s="27" t="s">
        <v>1706</v>
      </c>
    </row>
    <row r="452" spans="1:10" x14ac:dyDescent="0.25">
      <c r="A452" s="216" t="s">
        <v>1813</v>
      </c>
      <c r="B452" s="45" t="str">
        <f>VLOOKUP(Tabela12[[#This Row],[Painel]],Tabela13[],2,0)</f>
        <v>CCP</v>
      </c>
      <c r="C452" s="45" t="s">
        <v>1614</v>
      </c>
      <c r="D452" s="21" t="s">
        <v>1808</v>
      </c>
      <c r="E452" s="21" t="s">
        <v>1814</v>
      </c>
      <c r="F452" s="27" t="str">
        <f>Tabela12[[#This Row],[Régua]]&amp;" ("&amp;Tabela12[[#This Row],[Born]]&amp;")"</f>
        <v>RB-HOLD (XX+)</v>
      </c>
      <c r="G452" s="27">
        <f>LEN(Tabela12[[#This Row],[Anilha]])</f>
        <v>13</v>
      </c>
      <c r="H452" s="21" t="e">
        <f>VLOOKUP(Tabela12[[#This Row],[Tag Cabo]],BD!A:F,6,0)</f>
        <v>#N/A</v>
      </c>
      <c r="I452" s="27" t="s">
        <v>1705</v>
      </c>
      <c r="J452" s="27" t="s">
        <v>1706</v>
      </c>
    </row>
    <row r="453" spans="1:10" x14ac:dyDescent="0.25">
      <c r="A453" s="216" t="s">
        <v>1813</v>
      </c>
      <c r="B453" s="45" t="str">
        <f>VLOOKUP(Tabela12[[#This Row],[Painel]],Tabela13[],2,0)</f>
        <v>CCP</v>
      </c>
      <c r="C453" s="45" t="s">
        <v>1614</v>
      </c>
      <c r="D453" s="21" t="s">
        <v>1808</v>
      </c>
      <c r="E453" s="21" t="s">
        <v>1815</v>
      </c>
      <c r="F453" s="27" t="str">
        <f>Tabela12[[#This Row],[Régua]]&amp;" ("&amp;Tabela12[[#This Row],[Born]]&amp;")"</f>
        <v>RB-HOLD (XX-)</v>
      </c>
      <c r="G453" s="27">
        <f>LEN(Tabela12[[#This Row],[Anilha]])</f>
        <v>13</v>
      </c>
      <c r="H453" s="21" t="e">
        <f>VLOOKUP(Tabela12[[#This Row],[Tag Cabo]],BD!A:F,6,0)</f>
        <v>#N/A</v>
      </c>
      <c r="I453" s="27" t="s">
        <v>1705</v>
      </c>
      <c r="J453" s="27" t="s">
        <v>1706</v>
      </c>
    </row>
    <row r="454" spans="1:10" x14ac:dyDescent="0.25">
      <c r="A454" s="21" t="s">
        <v>1139</v>
      </c>
      <c r="B454" s="391" t="str">
        <f>VLOOKUP(Tabela12[[#This Row],[Painel]],Tabela13[],2,0)</f>
        <v>GB-351</v>
      </c>
      <c r="C454" s="391" t="s">
        <v>1141</v>
      </c>
      <c r="D454" s="21" t="s">
        <v>1816</v>
      </c>
      <c r="E454" s="21">
        <v>1</v>
      </c>
      <c r="F454" s="27" t="str">
        <f>Tabela12[[#This Row],[Régua]]&amp;" ("&amp;Tabela12[[#This Row],[Born]]&amp;")"</f>
        <v>TS2 (1)</v>
      </c>
      <c r="G454" s="27">
        <f>LEN(Tabela12[[#This Row],[Anilha]])</f>
        <v>7</v>
      </c>
      <c r="H454" s="21">
        <f>VLOOKUP(Tabela12[[#This Row],[Tag Cabo]],BD!A:F,6,0)</f>
        <v>1</v>
      </c>
      <c r="I454" s="27" t="s">
        <v>1705</v>
      </c>
      <c r="J454" s="27" t="s">
        <v>1706</v>
      </c>
    </row>
    <row r="455" spans="1:10" x14ac:dyDescent="0.25">
      <c r="A455" s="21" t="s">
        <v>1139</v>
      </c>
      <c r="B455" s="391" t="str">
        <f>VLOOKUP(Tabela12[[#This Row],[Painel]],Tabela13[],2,0)</f>
        <v>GB-351</v>
      </c>
      <c r="C455" s="391" t="s">
        <v>1141</v>
      </c>
      <c r="D455" s="21" t="s">
        <v>1816</v>
      </c>
      <c r="E455" s="21">
        <v>2</v>
      </c>
      <c r="F455" s="27" t="str">
        <f>Tabela12[[#This Row],[Régua]]&amp;" ("&amp;Tabela12[[#This Row],[Born]]&amp;")"</f>
        <v>TS2 (2)</v>
      </c>
      <c r="G455" s="27">
        <f>LEN(Tabela12[[#This Row],[Anilha]])</f>
        <v>7</v>
      </c>
      <c r="H455" s="21">
        <f>VLOOKUP(Tabela12[[#This Row],[Tag Cabo]],BD!A:F,6,0)</f>
        <v>1</v>
      </c>
      <c r="I455" s="27" t="s">
        <v>1705</v>
      </c>
      <c r="J455" s="27" t="s">
        <v>1706</v>
      </c>
    </row>
    <row r="456" spans="1:10" x14ac:dyDescent="0.25">
      <c r="A456" s="21" t="s">
        <v>1139</v>
      </c>
      <c r="B456" s="391" t="str">
        <f>VLOOKUP(Tabela12[[#This Row],[Painel]],Tabela13[],2,0)</f>
        <v>GB-351</v>
      </c>
      <c r="C456" s="391" t="s">
        <v>1141</v>
      </c>
      <c r="D456" s="21" t="s">
        <v>1816</v>
      </c>
      <c r="E456" s="21">
        <v>3</v>
      </c>
      <c r="F456" s="27" t="str">
        <f>Tabela12[[#This Row],[Régua]]&amp;" ("&amp;Tabela12[[#This Row],[Born]]&amp;")"</f>
        <v>TS2 (3)</v>
      </c>
      <c r="G456" s="27">
        <f>LEN(Tabela12[[#This Row],[Anilha]])</f>
        <v>7</v>
      </c>
      <c r="H456" s="21">
        <f>VLOOKUP(Tabela12[[#This Row],[Tag Cabo]],BD!A:F,6,0)</f>
        <v>1</v>
      </c>
      <c r="I456" s="27" t="s">
        <v>1705</v>
      </c>
      <c r="J456" s="27" t="s">
        <v>1706</v>
      </c>
    </row>
    <row r="457" spans="1:10" x14ac:dyDescent="0.25">
      <c r="A457" s="21" t="s">
        <v>1139</v>
      </c>
      <c r="B457" s="391" t="str">
        <f>VLOOKUP(Tabela12[[#This Row],[Painel]],Tabela13[],2,0)</f>
        <v>GB-351</v>
      </c>
      <c r="C457" s="391" t="s">
        <v>1141</v>
      </c>
      <c r="D457" s="21" t="s">
        <v>1816</v>
      </c>
      <c r="E457" s="21">
        <v>4</v>
      </c>
      <c r="F457" s="27" t="str">
        <f>Tabela12[[#This Row],[Régua]]&amp;" ("&amp;Tabela12[[#This Row],[Born]]&amp;")"</f>
        <v>TS2 (4)</v>
      </c>
      <c r="G457" s="27">
        <f>LEN(Tabela12[[#This Row],[Anilha]])</f>
        <v>7</v>
      </c>
      <c r="H457" s="21">
        <f>VLOOKUP(Tabela12[[#This Row],[Tag Cabo]],BD!A:F,6,0)</f>
        <v>1</v>
      </c>
      <c r="I457" s="27" t="s">
        <v>1705</v>
      </c>
      <c r="J457" s="27" t="s">
        <v>1706</v>
      </c>
    </row>
    <row r="458" spans="1:10" x14ac:dyDescent="0.25">
      <c r="A458" s="21" t="s">
        <v>1139</v>
      </c>
      <c r="B458" s="391" t="str">
        <f>VLOOKUP(Tabela12[[#This Row],[Painel]],Tabela13[],2,0)</f>
        <v>GB-351</v>
      </c>
      <c r="C458" s="391" t="s">
        <v>1141</v>
      </c>
      <c r="D458" s="21" t="s">
        <v>1816</v>
      </c>
      <c r="E458" s="21">
        <v>5</v>
      </c>
      <c r="F458" s="27" t="str">
        <f>Tabela12[[#This Row],[Régua]]&amp;" ("&amp;Tabela12[[#This Row],[Born]]&amp;")"</f>
        <v>TS2 (5)</v>
      </c>
      <c r="G458" s="27">
        <f>LEN(Tabela12[[#This Row],[Anilha]])</f>
        <v>7</v>
      </c>
      <c r="H458" s="21">
        <f>VLOOKUP(Tabela12[[#This Row],[Tag Cabo]],BD!A:F,6,0)</f>
        <v>1</v>
      </c>
      <c r="I458" s="27" t="s">
        <v>1705</v>
      </c>
      <c r="J458" s="27" t="s">
        <v>1706</v>
      </c>
    </row>
    <row r="459" spans="1:10" x14ac:dyDescent="0.25">
      <c r="A459" s="21" t="s">
        <v>1139</v>
      </c>
      <c r="B459" s="391" t="str">
        <f>VLOOKUP(Tabela12[[#This Row],[Painel]],Tabela13[],2,0)</f>
        <v>GB-351</v>
      </c>
      <c r="C459" s="391" t="s">
        <v>1141</v>
      </c>
      <c r="D459" s="21" t="s">
        <v>1816</v>
      </c>
      <c r="E459" s="21">
        <v>6</v>
      </c>
      <c r="F459" s="27" t="str">
        <f>Tabela12[[#This Row],[Régua]]&amp;" ("&amp;Tabela12[[#This Row],[Born]]&amp;")"</f>
        <v>TS2 (6)</v>
      </c>
      <c r="G459" s="27">
        <f>LEN(Tabela12[[#This Row],[Anilha]])</f>
        <v>7</v>
      </c>
      <c r="H459" s="21">
        <f>VLOOKUP(Tabela12[[#This Row],[Tag Cabo]],BD!A:F,6,0)</f>
        <v>1</v>
      </c>
      <c r="I459" s="27" t="s">
        <v>1705</v>
      </c>
      <c r="J459" s="27" t="s">
        <v>1706</v>
      </c>
    </row>
    <row r="460" spans="1:10" x14ac:dyDescent="0.25">
      <c r="A460" s="21" t="s">
        <v>1139</v>
      </c>
      <c r="B460" s="391" t="str">
        <f>VLOOKUP(Tabela12[[#This Row],[Painel]],Tabela13[],2,0)</f>
        <v>GB-351</v>
      </c>
      <c r="C460" s="391" t="s">
        <v>1141</v>
      </c>
      <c r="D460" s="21" t="s">
        <v>1816</v>
      </c>
      <c r="E460" s="21">
        <v>7</v>
      </c>
      <c r="F460" s="27" t="str">
        <f>Tabela12[[#This Row],[Régua]]&amp;" ("&amp;Tabela12[[#This Row],[Born]]&amp;")"</f>
        <v>TS2 (7)</v>
      </c>
      <c r="G460" s="27">
        <f>LEN(Tabela12[[#This Row],[Anilha]])</f>
        <v>7</v>
      </c>
      <c r="H460" s="21">
        <f>VLOOKUP(Tabela12[[#This Row],[Tag Cabo]],BD!A:F,6,0)</f>
        <v>1</v>
      </c>
      <c r="I460" s="27" t="s">
        <v>1705</v>
      </c>
      <c r="J460" s="27" t="s">
        <v>1706</v>
      </c>
    </row>
    <row r="461" spans="1:10" x14ac:dyDescent="0.25">
      <c r="A461" s="21" t="s">
        <v>1139</v>
      </c>
      <c r="B461" s="391" t="str">
        <f>VLOOKUP(Tabela12[[#This Row],[Painel]],Tabela13[],2,0)</f>
        <v>GB-351</v>
      </c>
      <c r="C461" s="391" t="s">
        <v>1141</v>
      </c>
      <c r="D461" s="21" t="s">
        <v>1816</v>
      </c>
      <c r="E461" s="21">
        <v>8</v>
      </c>
      <c r="F461" s="27" t="str">
        <f>Tabela12[[#This Row],[Régua]]&amp;" ("&amp;Tabela12[[#This Row],[Born]]&amp;")"</f>
        <v>TS2 (8)</v>
      </c>
      <c r="G461" s="27">
        <f>LEN(Tabela12[[#This Row],[Anilha]])</f>
        <v>7</v>
      </c>
      <c r="H461" s="21">
        <f>VLOOKUP(Tabela12[[#This Row],[Tag Cabo]],BD!A:F,6,0)</f>
        <v>1</v>
      </c>
      <c r="I461" s="27" t="s">
        <v>1705</v>
      </c>
      <c r="J461" s="27" t="s">
        <v>1706</v>
      </c>
    </row>
    <row r="462" spans="1:10" x14ac:dyDescent="0.25">
      <c r="A462" s="21" t="s">
        <v>1139</v>
      </c>
      <c r="B462" s="391" t="str">
        <f>VLOOKUP(Tabela12[[#This Row],[Painel]],Tabela13[],2,0)</f>
        <v>GB-351</v>
      </c>
      <c r="C462" s="391" t="s">
        <v>1141</v>
      </c>
      <c r="D462" s="21" t="s">
        <v>1816</v>
      </c>
      <c r="E462" s="21">
        <v>9</v>
      </c>
      <c r="F462" s="27" t="str">
        <f>Tabela12[[#This Row],[Régua]]&amp;" ("&amp;Tabela12[[#This Row],[Born]]&amp;")"</f>
        <v>TS2 (9)</v>
      </c>
      <c r="G462" s="27">
        <f>LEN(Tabela12[[#This Row],[Anilha]])</f>
        <v>7</v>
      </c>
      <c r="H462" s="21">
        <f>VLOOKUP(Tabela12[[#This Row],[Tag Cabo]],BD!A:F,6,0)</f>
        <v>1</v>
      </c>
      <c r="I462" s="27" t="s">
        <v>1705</v>
      </c>
      <c r="J462" s="27" t="s">
        <v>1706</v>
      </c>
    </row>
    <row r="463" spans="1:10" x14ac:dyDescent="0.25">
      <c r="A463" s="21" t="s">
        <v>1139</v>
      </c>
      <c r="B463" s="391" t="str">
        <f>VLOOKUP(Tabela12[[#This Row],[Painel]],Tabela13[],2,0)</f>
        <v>GB-351</v>
      </c>
      <c r="C463" s="391" t="s">
        <v>1141</v>
      </c>
      <c r="D463" s="21" t="s">
        <v>1816</v>
      </c>
      <c r="E463" s="21">
        <v>10</v>
      </c>
      <c r="F463" s="27" t="str">
        <f>Tabela12[[#This Row],[Régua]]&amp;" ("&amp;Tabela12[[#This Row],[Born]]&amp;")"</f>
        <v>TS2 (10)</v>
      </c>
      <c r="G463" s="27">
        <f>LEN(Tabela12[[#This Row],[Anilha]])</f>
        <v>8</v>
      </c>
      <c r="H463" s="21">
        <f>VLOOKUP(Tabela12[[#This Row],[Tag Cabo]],BD!A:F,6,0)</f>
        <v>1</v>
      </c>
      <c r="I463" s="27" t="s">
        <v>1705</v>
      </c>
      <c r="J463" s="27" t="s">
        <v>1706</v>
      </c>
    </row>
    <row r="464" spans="1:10" x14ac:dyDescent="0.25">
      <c r="A464" s="21" t="s">
        <v>1139</v>
      </c>
      <c r="B464" s="391" t="str">
        <f>VLOOKUP(Tabela12[[#This Row],[Painel]],Tabela13[],2,0)</f>
        <v>GB-351</v>
      </c>
      <c r="C464" s="391" t="s">
        <v>1141</v>
      </c>
      <c r="D464" s="21" t="s">
        <v>1816</v>
      </c>
      <c r="E464" s="21">
        <v>11</v>
      </c>
      <c r="F464" s="27" t="str">
        <f>Tabela12[[#This Row],[Régua]]&amp;" ("&amp;Tabela12[[#This Row],[Born]]&amp;")"</f>
        <v>TS2 (11)</v>
      </c>
      <c r="G464" s="27">
        <f>LEN(Tabela12[[#This Row],[Anilha]])</f>
        <v>8</v>
      </c>
      <c r="H464" s="21">
        <f>VLOOKUP(Tabela12[[#This Row],[Tag Cabo]],BD!A:F,6,0)</f>
        <v>1</v>
      </c>
      <c r="I464" s="27" t="s">
        <v>1705</v>
      </c>
      <c r="J464" s="27" t="s">
        <v>1706</v>
      </c>
    </row>
    <row r="465" spans="1:10" x14ac:dyDescent="0.25">
      <c r="A465" s="21" t="s">
        <v>1139</v>
      </c>
      <c r="B465" s="391" t="str">
        <f>VLOOKUP(Tabela12[[#This Row],[Painel]],Tabela13[],2,0)</f>
        <v>GB-351</v>
      </c>
      <c r="C465" s="391" t="s">
        <v>1141</v>
      </c>
      <c r="D465" s="21" t="s">
        <v>1816</v>
      </c>
      <c r="E465" s="21">
        <v>12</v>
      </c>
      <c r="F465" s="27" t="str">
        <f>Tabela12[[#This Row],[Régua]]&amp;" ("&amp;Tabela12[[#This Row],[Born]]&amp;")"</f>
        <v>TS2 (12)</v>
      </c>
      <c r="G465" s="27">
        <f>LEN(Tabela12[[#This Row],[Anilha]])</f>
        <v>8</v>
      </c>
      <c r="H465" s="21">
        <f>VLOOKUP(Tabela12[[#This Row],[Tag Cabo]],BD!A:F,6,0)</f>
        <v>1</v>
      </c>
      <c r="I465" s="27" t="s">
        <v>1705</v>
      </c>
      <c r="J465" s="27" t="s">
        <v>1706</v>
      </c>
    </row>
    <row r="466" spans="1:10" x14ac:dyDescent="0.25">
      <c r="A466" s="21" t="s">
        <v>1139</v>
      </c>
      <c r="B466" s="391" t="str">
        <f>VLOOKUP(Tabela12[[#This Row],[Painel]],Tabela13[],2,0)</f>
        <v>GB-351</v>
      </c>
      <c r="C466" s="391" t="s">
        <v>1141</v>
      </c>
      <c r="D466" s="21" t="s">
        <v>1816</v>
      </c>
      <c r="E466" s="21">
        <v>13</v>
      </c>
      <c r="F466" s="27" t="str">
        <f>Tabela12[[#This Row],[Régua]]&amp;" ("&amp;Tabela12[[#This Row],[Born]]&amp;")"</f>
        <v>TS2 (13)</v>
      </c>
      <c r="G466" s="27">
        <f>LEN(Tabela12[[#This Row],[Anilha]])</f>
        <v>8</v>
      </c>
      <c r="H466" s="21">
        <f>VLOOKUP(Tabela12[[#This Row],[Tag Cabo]],BD!A:F,6,0)</f>
        <v>1</v>
      </c>
      <c r="I466" s="27" t="s">
        <v>1705</v>
      </c>
      <c r="J466" s="27" t="s">
        <v>1706</v>
      </c>
    </row>
    <row r="467" spans="1:10" x14ac:dyDescent="0.25">
      <c r="A467" s="21" t="s">
        <v>1139</v>
      </c>
      <c r="B467" s="391" t="str">
        <f>VLOOKUP(Tabela12[[#This Row],[Painel]],Tabela13[],2,0)</f>
        <v>GB-351</v>
      </c>
      <c r="C467" s="391" t="s">
        <v>1141</v>
      </c>
      <c r="D467" s="21" t="s">
        <v>1816</v>
      </c>
      <c r="E467" s="21">
        <v>14</v>
      </c>
      <c r="F467" s="27" t="str">
        <f>Tabela12[[#This Row],[Régua]]&amp;" ("&amp;Tabela12[[#This Row],[Born]]&amp;")"</f>
        <v>TS2 (14)</v>
      </c>
      <c r="G467" s="27">
        <f>LEN(Tabela12[[#This Row],[Anilha]])</f>
        <v>8</v>
      </c>
      <c r="H467" s="21">
        <f>VLOOKUP(Tabela12[[#This Row],[Tag Cabo]],BD!A:F,6,0)</f>
        <v>1</v>
      </c>
      <c r="I467" s="27" t="s">
        <v>1705</v>
      </c>
      <c r="J467" s="27" t="s">
        <v>1706</v>
      </c>
    </row>
    <row r="468" spans="1:10" x14ac:dyDescent="0.25">
      <c r="A468" s="21" t="s">
        <v>1139</v>
      </c>
      <c r="B468" s="391" t="str">
        <f>VLOOKUP(Tabela12[[#This Row],[Painel]],Tabela13[],2,0)</f>
        <v>CCP</v>
      </c>
      <c r="C468" s="391" t="s">
        <v>1592</v>
      </c>
      <c r="D468" s="21" t="s">
        <v>1817</v>
      </c>
      <c r="E468" s="21">
        <v>1</v>
      </c>
      <c r="F468" s="27" t="str">
        <f>Tabela12[[#This Row],[Régua]]&amp;" ("&amp;Tabela12[[#This Row],[Born]]&amp;")"</f>
        <v>RB-EA10 (1)</v>
      </c>
      <c r="G468" s="27">
        <f>LEN(Tabela12[[#This Row],[Anilha]])</f>
        <v>11</v>
      </c>
      <c r="H468" s="21">
        <f>VLOOKUP(Tabela12[[#This Row],[Tag Cabo]],BD!A:F,6,0)</f>
        <v>1</v>
      </c>
      <c r="I468" s="27" t="s">
        <v>1705</v>
      </c>
      <c r="J468" s="27" t="s">
        <v>1706</v>
      </c>
    </row>
    <row r="469" spans="1:10" x14ac:dyDescent="0.25">
      <c r="A469" s="21" t="s">
        <v>1139</v>
      </c>
      <c r="B469" s="391" t="str">
        <f>VLOOKUP(Tabela12[[#This Row],[Painel]],Tabela13[],2,0)</f>
        <v>CCP</v>
      </c>
      <c r="C469" s="391" t="s">
        <v>1592</v>
      </c>
      <c r="D469" s="21" t="s">
        <v>1817</v>
      </c>
      <c r="E469" s="21">
        <v>2</v>
      </c>
      <c r="F469" s="27" t="str">
        <f>Tabela12[[#This Row],[Régua]]&amp;" ("&amp;Tabela12[[#This Row],[Born]]&amp;")"</f>
        <v>RB-EA10 (2)</v>
      </c>
      <c r="G469" s="27">
        <f>LEN(Tabela12[[#This Row],[Anilha]])</f>
        <v>11</v>
      </c>
      <c r="H469" s="21">
        <f>VLOOKUP(Tabela12[[#This Row],[Tag Cabo]],BD!A:F,6,0)</f>
        <v>1</v>
      </c>
      <c r="I469" s="27" t="s">
        <v>1705</v>
      </c>
      <c r="J469" s="27" t="s">
        <v>1706</v>
      </c>
    </row>
    <row r="470" spans="1:10" x14ac:dyDescent="0.25">
      <c r="A470" s="21" t="s">
        <v>1139</v>
      </c>
      <c r="B470" s="391" t="str">
        <f>VLOOKUP(Tabela12[[#This Row],[Painel]],Tabela13[],2,0)</f>
        <v>CCP</v>
      </c>
      <c r="C470" s="391" t="s">
        <v>1592</v>
      </c>
      <c r="D470" s="21" t="s">
        <v>1817</v>
      </c>
      <c r="E470" s="21">
        <v>3</v>
      </c>
      <c r="F470" s="27" t="str">
        <f>Tabela12[[#This Row],[Régua]]&amp;" ("&amp;Tabela12[[#This Row],[Born]]&amp;")"</f>
        <v>RB-EA10 (3)</v>
      </c>
      <c r="G470" s="27">
        <f>LEN(Tabela12[[#This Row],[Anilha]])</f>
        <v>11</v>
      </c>
      <c r="H470" s="21">
        <f>VLOOKUP(Tabela12[[#This Row],[Tag Cabo]],BD!A:F,6,0)</f>
        <v>1</v>
      </c>
      <c r="I470" s="27" t="s">
        <v>1705</v>
      </c>
      <c r="J470" s="27" t="s">
        <v>1706</v>
      </c>
    </row>
    <row r="471" spans="1:10" x14ac:dyDescent="0.25">
      <c r="A471" s="21" t="s">
        <v>1139</v>
      </c>
      <c r="B471" s="391" t="str">
        <f>VLOOKUP(Tabela12[[#This Row],[Painel]],Tabela13[],2,0)</f>
        <v>CCP</v>
      </c>
      <c r="C471" s="391" t="s">
        <v>1592</v>
      </c>
      <c r="D471" s="21" t="s">
        <v>1817</v>
      </c>
      <c r="E471" s="21">
        <v>4</v>
      </c>
      <c r="F471" s="27" t="str">
        <f>Tabela12[[#This Row],[Régua]]&amp;" ("&amp;Tabela12[[#This Row],[Born]]&amp;")"</f>
        <v>RB-EA10 (4)</v>
      </c>
      <c r="G471" s="27">
        <f>LEN(Tabela12[[#This Row],[Anilha]])</f>
        <v>11</v>
      </c>
      <c r="H471" s="21">
        <f>VLOOKUP(Tabela12[[#This Row],[Tag Cabo]],BD!A:F,6,0)</f>
        <v>1</v>
      </c>
      <c r="I471" s="27" t="s">
        <v>1705</v>
      </c>
      <c r="J471" s="27" t="s">
        <v>1706</v>
      </c>
    </row>
    <row r="472" spans="1:10" x14ac:dyDescent="0.25">
      <c r="A472" s="21" t="s">
        <v>1139</v>
      </c>
      <c r="B472" s="391" t="str">
        <f>VLOOKUP(Tabela12[[#This Row],[Painel]],Tabela13[],2,0)</f>
        <v>CCP</v>
      </c>
      <c r="C472" s="391" t="s">
        <v>1592</v>
      </c>
      <c r="D472" s="21" t="s">
        <v>1817</v>
      </c>
      <c r="E472" s="21">
        <v>5</v>
      </c>
      <c r="F472" s="27" t="str">
        <f>Tabela12[[#This Row],[Régua]]&amp;" ("&amp;Tabela12[[#This Row],[Born]]&amp;")"</f>
        <v>RB-EA10 (5)</v>
      </c>
      <c r="G472" s="27">
        <f>LEN(Tabela12[[#This Row],[Anilha]])</f>
        <v>11</v>
      </c>
      <c r="H472" s="21">
        <f>VLOOKUP(Tabela12[[#This Row],[Tag Cabo]],BD!A:F,6,0)</f>
        <v>1</v>
      </c>
      <c r="I472" s="27" t="s">
        <v>1705</v>
      </c>
      <c r="J472" s="27" t="s">
        <v>1706</v>
      </c>
    </row>
    <row r="473" spans="1:10" x14ac:dyDescent="0.25">
      <c r="A473" s="21" t="s">
        <v>1139</v>
      </c>
      <c r="B473" s="391" t="str">
        <f>VLOOKUP(Tabela12[[#This Row],[Painel]],Tabela13[],2,0)</f>
        <v>CCP</v>
      </c>
      <c r="C473" s="391" t="s">
        <v>1592</v>
      </c>
      <c r="D473" s="21" t="s">
        <v>1817</v>
      </c>
      <c r="E473" s="21">
        <v>6</v>
      </c>
      <c r="F473" s="27" t="str">
        <f>Tabela12[[#This Row],[Régua]]&amp;" ("&amp;Tabela12[[#This Row],[Born]]&amp;")"</f>
        <v>RB-EA10 (6)</v>
      </c>
      <c r="G473" s="27">
        <f>LEN(Tabela12[[#This Row],[Anilha]])</f>
        <v>11</v>
      </c>
      <c r="H473" s="21">
        <f>VLOOKUP(Tabela12[[#This Row],[Tag Cabo]],BD!A:F,6,0)</f>
        <v>1</v>
      </c>
      <c r="I473" s="27" t="s">
        <v>1705</v>
      </c>
      <c r="J473" s="27" t="s">
        <v>1706</v>
      </c>
    </row>
    <row r="474" spans="1:10" x14ac:dyDescent="0.25">
      <c r="A474" s="21" t="s">
        <v>1139</v>
      </c>
      <c r="B474" s="391" t="str">
        <f>VLOOKUP(Tabela12[[#This Row],[Painel]],Tabela13[],2,0)</f>
        <v>CCP</v>
      </c>
      <c r="C474" s="391" t="s">
        <v>1592</v>
      </c>
      <c r="D474" s="21" t="s">
        <v>1817</v>
      </c>
      <c r="E474" s="21">
        <v>7</v>
      </c>
      <c r="F474" s="27" t="str">
        <f>Tabela12[[#This Row],[Régua]]&amp;" ("&amp;Tabela12[[#This Row],[Born]]&amp;")"</f>
        <v>RB-EA10 (7)</v>
      </c>
      <c r="G474" s="27">
        <f>LEN(Tabela12[[#This Row],[Anilha]])</f>
        <v>11</v>
      </c>
      <c r="H474" s="21">
        <f>VLOOKUP(Tabela12[[#This Row],[Tag Cabo]],BD!A:F,6,0)</f>
        <v>1</v>
      </c>
      <c r="I474" s="27" t="s">
        <v>1705</v>
      </c>
      <c r="J474" s="27" t="s">
        <v>1706</v>
      </c>
    </row>
    <row r="475" spans="1:10" x14ac:dyDescent="0.25">
      <c r="A475" s="21" t="s">
        <v>1139</v>
      </c>
      <c r="B475" s="391" t="str">
        <f>VLOOKUP(Tabela12[[#This Row],[Painel]],Tabela13[],2,0)</f>
        <v>CCP</v>
      </c>
      <c r="C475" s="391" t="s">
        <v>1592</v>
      </c>
      <c r="D475" s="21" t="s">
        <v>1817</v>
      </c>
      <c r="E475" s="21">
        <v>8</v>
      </c>
      <c r="F475" s="27" t="str">
        <f>Tabela12[[#This Row],[Régua]]&amp;" ("&amp;Tabela12[[#This Row],[Born]]&amp;")"</f>
        <v>RB-EA10 (8)</v>
      </c>
      <c r="G475" s="27">
        <f>LEN(Tabela12[[#This Row],[Anilha]])</f>
        <v>11</v>
      </c>
      <c r="H475" s="21">
        <f>VLOOKUP(Tabela12[[#This Row],[Tag Cabo]],BD!A:F,6,0)</f>
        <v>1</v>
      </c>
      <c r="I475" s="27" t="s">
        <v>1705</v>
      </c>
      <c r="J475" s="27" t="s">
        <v>1706</v>
      </c>
    </row>
    <row r="476" spans="1:10" x14ac:dyDescent="0.25">
      <c r="A476" s="216" t="s">
        <v>1143</v>
      </c>
      <c r="B476" s="45" t="str">
        <f>VLOOKUP(Tabela12[[#This Row],[Painel]],Tabela13[],2,0)</f>
        <v>GB-351</v>
      </c>
      <c r="C476" s="45" t="s">
        <v>1145</v>
      </c>
      <c r="D476" s="21" t="s">
        <v>1818</v>
      </c>
      <c r="E476" s="21" t="s">
        <v>1819</v>
      </c>
      <c r="F476" s="27" t="str">
        <f>Tabela12[[#This Row],[Régua]]&amp;"-"&amp;Tabela12[[#This Row],[Born]]</f>
        <v>XT-3853X-24V0C</v>
      </c>
      <c r="G476" s="27">
        <f>LEN(Tabela12[[#This Row],[Anilha]])</f>
        <v>14</v>
      </c>
      <c r="H476" s="21">
        <f>VLOOKUP(Tabela12[[#This Row],[Tag Cabo]],BD!A:F,6,0)</f>
        <v>1</v>
      </c>
      <c r="I476" s="27" t="s">
        <v>1705</v>
      </c>
      <c r="J476" s="27" t="s">
        <v>1706</v>
      </c>
    </row>
    <row r="477" spans="1:10" x14ac:dyDescent="0.25">
      <c r="A477" s="216" t="s">
        <v>1143</v>
      </c>
      <c r="B477" s="45" t="str">
        <f>VLOOKUP(Tabela12[[#This Row],[Painel]],Tabela13[],2,0)</f>
        <v>GB-351</v>
      </c>
      <c r="C477" s="45" t="s">
        <v>1145</v>
      </c>
      <c r="D477" s="21" t="s">
        <v>1818</v>
      </c>
      <c r="E477" s="21" t="s">
        <v>1747</v>
      </c>
      <c r="F477" s="27" t="str">
        <f>Tabela12[[#This Row],[Régua]]&amp;" ("&amp;Tabela12[[#This Row],[Born]]&amp;")"</f>
        <v>XT-3853X (COM)</v>
      </c>
      <c r="G477" s="27">
        <f>LEN(Tabela12[[#This Row],[Anilha]])</f>
        <v>14</v>
      </c>
      <c r="H477" s="21">
        <f>VLOOKUP(Tabela12[[#This Row],[Tag Cabo]],BD!A:F,6,0)</f>
        <v>1</v>
      </c>
      <c r="I477" s="27" t="s">
        <v>1705</v>
      </c>
      <c r="J477" s="27" t="s">
        <v>1706</v>
      </c>
    </row>
    <row r="478" spans="1:10" x14ac:dyDescent="0.25">
      <c r="A478" s="216" t="s">
        <v>1143</v>
      </c>
      <c r="B478" s="45" t="str">
        <f>VLOOKUP(Tabela12[[#This Row],[Painel]],Tabela13[],2,0)</f>
        <v>GB-351</v>
      </c>
      <c r="C478" s="45" t="s">
        <v>1145</v>
      </c>
      <c r="D478" s="21" t="s">
        <v>1818</v>
      </c>
      <c r="E478" s="21" t="s">
        <v>1820</v>
      </c>
      <c r="F478" s="27" t="str">
        <f>Tabela12[[#This Row],[Régua]]&amp;" ("&amp;Tabela12[[#This Row],[Born]]&amp;")"</f>
        <v>XT-3853X (OUT)</v>
      </c>
      <c r="G478" s="27">
        <f>LEN(Tabela12[[#This Row],[Anilha]])</f>
        <v>14</v>
      </c>
      <c r="H478" s="21">
        <f>VLOOKUP(Tabela12[[#This Row],[Tag Cabo]],BD!A:F,6,0)</f>
        <v>1</v>
      </c>
      <c r="I478" s="27" t="s">
        <v>1705</v>
      </c>
      <c r="J478" s="27" t="s">
        <v>1706</v>
      </c>
    </row>
    <row r="479" spans="1:10" x14ac:dyDescent="0.25">
      <c r="A479" s="216" t="s">
        <v>1143</v>
      </c>
      <c r="B479" s="45" t="str">
        <f>VLOOKUP(Tabela12[[#This Row],[Painel]],Tabela13[],2,0)</f>
        <v>GB-351</v>
      </c>
      <c r="C479" s="45" t="s">
        <v>1145</v>
      </c>
      <c r="D479" s="21" t="s">
        <v>1821</v>
      </c>
      <c r="E479" s="21" t="s">
        <v>1819</v>
      </c>
      <c r="F479" s="27" t="str">
        <f>Tabela12[[#This Row],[Régua]]&amp;"-"&amp;Tabela12[[#This Row],[Born]]</f>
        <v>XT-3853Y-24V0C</v>
      </c>
      <c r="G479" s="27">
        <f>LEN(Tabela12[[#This Row],[Anilha]])</f>
        <v>14</v>
      </c>
      <c r="H479" s="21">
        <f>VLOOKUP(Tabela12[[#This Row],[Tag Cabo]],BD!A:F,6,0)</f>
        <v>1</v>
      </c>
      <c r="I479" s="27" t="s">
        <v>1705</v>
      </c>
      <c r="J479" s="27" t="s">
        <v>1706</v>
      </c>
    </row>
    <row r="480" spans="1:10" x14ac:dyDescent="0.25">
      <c r="A480" s="216" t="s">
        <v>1143</v>
      </c>
      <c r="B480" s="45" t="str">
        <f>VLOOKUP(Tabela12[[#This Row],[Painel]],Tabela13[],2,0)</f>
        <v>GB-351</v>
      </c>
      <c r="C480" s="45" t="s">
        <v>1145</v>
      </c>
      <c r="D480" s="21" t="s">
        <v>1821</v>
      </c>
      <c r="E480" s="21" t="s">
        <v>1747</v>
      </c>
      <c r="F480" s="27" t="str">
        <f>Tabela12[[#This Row],[Régua]]&amp;" ("&amp;Tabela12[[#This Row],[Born]]&amp;")"</f>
        <v>XT-3853Y (COM)</v>
      </c>
      <c r="G480" s="27">
        <f>LEN(Tabela12[[#This Row],[Anilha]])</f>
        <v>14</v>
      </c>
      <c r="H480" s="21">
        <f>VLOOKUP(Tabela12[[#This Row],[Tag Cabo]],BD!A:F,6,0)</f>
        <v>1</v>
      </c>
      <c r="I480" s="27" t="s">
        <v>1705</v>
      </c>
      <c r="J480" s="27" t="s">
        <v>1706</v>
      </c>
    </row>
    <row r="481" spans="1:10" x14ac:dyDescent="0.25">
      <c r="A481" s="216" t="s">
        <v>1143</v>
      </c>
      <c r="B481" s="45" t="str">
        <f>VLOOKUP(Tabela12[[#This Row],[Painel]],Tabela13[],2,0)</f>
        <v>GB-351</v>
      </c>
      <c r="C481" s="45" t="s">
        <v>1145</v>
      </c>
      <c r="D481" s="21" t="s">
        <v>1821</v>
      </c>
      <c r="E481" s="21" t="s">
        <v>1820</v>
      </c>
      <c r="F481" s="27" t="str">
        <f>Tabela12[[#This Row],[Régua]]&amp;" ("&amp;Tabela12[[#This Row],[Born]]&amp;")"</f>
        <v>XT-3853Y (OUT)</v>
      </c>
      <c r="G481" s="27">
        <f>LEN(Tabela12[[#This Row],[Anilha]])</f>
        <v>14</v>
      </c>
      <c r="H481" s="21">
        <f>VLOOKUP(Tabela12[[#This Row],[Tag Cabo]],BD!A:F,6,0)</f>
        <v>1</v>
      </c>
      <c r="I481" s="27" t="s">
        <v>1705</v>
      </c>
      <c r="J481" s="27" t="s">
        <v>1706</v>
      </c>
    </row>
    <row r="482" spans="1:10" x14ac:dyDescent="0.25">
      <c r="A482" s="216" t="s">
        <v>1143</v>
      </c>
      <c r="B482" s="45" t="str">
        <f>VLOOKUP(Tabela12[[#This Row],[Painel]],Tabela13[],2,0)</f>
        <v>GB-351</v>
      </c>
      <c r="C482" s="45" t="s">
        <v>1145</v>
      </c>
      <c r="D482" s="21" t="s">
        <v>1822</v>
      </c>
      <c r="E482" s="21" t="s">
        <v>1819</v>
      </c>
      <c r="F482" s="27" t="str">
        <f>Tabela12[[#This Row],[Régua]]&amp;"-"&amp;Tabela12[[#This Row],[Born]]</f>
        <v>XT-3851X-24V0C</v>
      </c>
      <c r="G482" s="27">
        <f>LEN(Tabela12[[#This Row],[Anilha]])</f>
        <v>14</v>
      </c>
      <c r="H482" s="21">
        <f>VLOOKUP(Tabela12[[#This Row],[Tag Cabo]],BD!A:F,6,0)</f>
        <v>1</v>
      </c>
      <c r="I482" s="27" t="s">
        <v>1705</v>
      </c>
      <c r="J482" s="27" t="s">
        <v>1706</v>
      </c>
    </row>
    <row r="483" spans="1:10" x14ac:dyDescent="0.25">
      <c r="A483" s="216" t="s">
        <v>1143</v>
      </c>
      <c r="B483" s="45" t="str">
        <f>VLOOKUP(Tabela12[[#This Row],[Painel]],Tabela13[],2,0)</f>
        <v>GB-351</v>
      </c>
      <c r="C483" s="45" t="s">
        <v>1145</v>
      </c>
      <c r="D483" s="21" t="s">
        <v>1822</v>
      </c>
      <c r="E483" s="21" t="s">
        <v>1747</v>
      </c>
      <c r="F483" s="27" t="str">
        <f>Tabela12[[#This Row],[Régua]]&amp;" ("&amp;Tabela12[[#This Row],[Born]]&amp;")"</f>
        <v>XT-3851X (COM)</v>
      </c>
      <c r="G483" s="27">
        <f>LEN(Tabela12[[#This Row],[Anilha]])</f>
        <v>14</v>
      </c>
      <c r="H483" s="21">
        <f>VLOOKUP(Tabela12[[#This Row],[Tag Cabo]],BD!A:F,6,0)</f>
        <v>1</v>
      </c>
      <c r="I483" s="27" t="s">
        <v>1705</v>
      </c>
      <c r="J483" s="27" t="s">
        <v>1706</v>
      </c>
    </row>
    <row r="484" spans="1:10" x14ac:dyDescent="0.25">
      <c r="A484" s="216" t="s">
        <v>1143</v>
      </c>
      <c r="B484" s="45" t="str">
        <f>VLOOKUP(Tabela12[[#This Row],[Painel]],Tabela13[],2,0)</f>
        <v>GB-351</v>
      </c>
      <c r="C484" s="45" t="s">
        <v>1145</v>
      </c>
      <c r="D484" s="21" t="s">
        <v>1822</v>
      </c>
      <c r="E484" s="21" t="s">
        <v>1820</v>
      </c>
      <c r="F484" s="27" t="str">
        <f>Tabela12[[#This Row],[Régua]]&amp;" ("&amp;Tabela12[[#This Row],[Born]]&amp;")"</f>
        <v>XT-3851X (OUT)</v>
      </c>
      <c r="G484" s="27">
        <f>LEN(Tabela12[[#This Row],[Anilha]])</f>
        <v>14</v>
      </c>
      <c r="H484" s="21">
        <f>VLOOKUP(Tabela12[[#This Row],[Tag Cabo]],BD!A:F,6,0)</f>
        <v>1</v>
      </c>
      <c r="I484" s="27" t="s">
        <v>1705</v>
      </c>
      <c r="J484" s="27" t="s">
        <v>1706</v>
      </c>
    </row>
    <row r="485" spans="1:10" x14ac:dyDescent="0.25">
      <c r="A485" s="216" t="s">
        <v>1143</v>
      </c>
      <c r="B485" s="45" t="str">
        <f>VLOOKUP(Tabela12[[#This Row],[Painel]],Tabela13[],2,0)</f>
        <v>GB-351</v>
      </c>
      <c r="C485" s="45" t="s">
        <v>1145</v>
      </c>
      <c r="D485" s="21" t="s">
        <v>1823</v>
      </c>
      <c r="E485" s="21" t="s">
        <v>1819</v>
      </c>
      <c r="F485" s="27" t="str">
        <f>Tabela12[[#This Row],[Régua]]&amp;"-"&amp;Tabela12[[#This Row],[Born]]</f>
        <v>XT-3851Y-24V0C</v>
      </c>
      <c r="G485" s="27">
        <f>LEN(Tabela12[[#This Row],[Anilha]])</f>
        <v>14</v>
      </c>
      <c r="H485" s="21">
        <f>VLOOKUP(Tabela12[[#This Row],[Tag Cabo]],BD!A:F,6,0)</f>
        <v>1</v>
      </c>
      <c r="I485" s="27" t="s">
        <v>1705</v>
      </c>
      <c r="J485" s="27" t="s">
        <v>1706</v>
      </c>
    </row>
    <row r="486" spans="1:10" x14ac:dyDescent="0.25">
      <c r="A486" s="216" t="s">
        <v>1143</v>
      </c>
      <c r="B486" s="45" t="str">
        <f>VLOOKUP(Tabela12[[#This Row],[Painel]],Tabela13[],2,0)</f>
        <v>GB-351</v>
      </c>
      <c r="C486" s="45" t="s">
        <v>1145</v>
      </c>
      <c r="D486" s="21" t="s">
        <v>1823</v>
      </c>
      <c r="E486" s="21" t="s">
        <v>1747</v>
      </c>
      <c r="F486" s="27" t="str">
        <f>Tabela12[[#This Row],[Régua]]&amp;" ("&amp;Tabela12[[#This Row],[Born]]&amp;")"</f>
        <v>XT-3851Y (COM)</v>
      </c>
      <c r="G486" s="27">
        <f>LEN(Tabela12[[#This Row],[Anilha]])</f>
        <v>14</v>
      </c>
      <c r="H486" s="21">
        <f>VLOOKUP(Tabela12[[#This Row],[Tag Cabo]],BD!A:F,6,0)</f>
        <v>1</v>
      </c>
      <c r="I486" s="27" t="s">
        <v>1705</v>
      </c>
      <c r="J486" s="27" t="s">
        <v>1706</v>
      </c>
    </row>
    <row r="487" spans="1:10" x14ac:dyDescent="0.25">
      <c r="A487" s="216" t="s">
        <v>1143</v>
      </c>
      <c r="B487" s="45" t="str">
        <f>VLOOKUP(Tabela12[[#This Row],[Painel]],Tabela13[],2,0)</f>
        <v>GB-351</v>
      </c>
      <c r="C487" s="45" t="s">
        <v>1145</v>
      </c>
      <c r="D487" s="21" t="s">
        <v>1823</v>
      </c>
      <c r="E487" s="21" t="s">
        <v>1820</v>
      </c>
      <c r="F487" s="27" t="str">
        <f>Tabela12[[#This Row],[Régua]]&amp;" ("&amp;Tabela12[[#This Row],[Born]]&amp;")"</f>
        <v>XT-3851Y (OUT)</v>
      </c>
      <c r="G487" s="27">
        <f>LEN(Tabela12[[#This Row],[Anilha]])</f>
        <v>14</v>
      </c>
      <c r="H487" s="21">
        <f>VLOOKUP(Tabela12[[#This Row],[Tag Cabo]],BD!A:F,6,0)</f>
        <v>1</v>
      </c>
      <c r="I487" s="27" t="s">
        <v>1705</v>
      </c>
      <c r="J487" s="27" t="s">
        <v>1706</v>
      </c>
    </row>
    <row r="488" spans="1:10" x14ac:dyDescent="0.25">
      <c r="A488" s="216" t="s">
        <v>1143</v>
      </c>
      <c r="B488" s="45" t="str">
        <f>VLOOKUP(Tabela12[[#This Row],[Painel]],Tabela13[],2,0)</f>
        <v>GB-351</v>
      </c>
      <c r="C488" s="45" t="s">
        <v>1145</v>
      </c>
      <c r="D488" s="21" t="s">
        <v>1824</v>
      </c>
      <c r="E488" s="21" t="s">
        <v>1819</v>
      </c>
      <c r="F488" s="27" t="str">
        <f>Tabela12[[#This Row],[Régua]]&amp;" ("&amp;Tabela12[[#This Row],[Born]]&amp;")"</f>
        <v>KT-3852 (24V0C)</v>
      </c>
      <c r="G488" s="27">
        <f>LEN(Tabela12[[#This Row],[Anilha]])</f>
        <v>15</v>
      </c>
      <c r="H488" s="21">
        <f>VLOOKUP(Tabela12[[#This Row],[Tag Cabo]],BD!A:F,6,0)</f>
        <v>1</v>
      </c>
      <c r="I488" s="27" t="s">
        <v>1705</v>
      </c>
      <c r="J488" s="27" t="s">
        <v>1706</v>
      </c>
    </row>
    <row r="489" spans="1:10" x14ac:dyDescent="0.25">
      <c r="A489" s="216" t="s">
        <v>1143</v>
      </c>
      <c r="B489" s="45" t="str">
        <f>VLOOKUP(Tabela12[[#This Row],[Painel]],Tabela13[],2,0)</f>
        <v>GB-351</v>
      </c>
      <c r="C489" s="45" t="s">
        <v>1145</v>
      </c>
      <c r="D489" s="21" t="s">
        <v>1824</v>
      </c>
      <c r="E489" s="21" t="s">
        <v>1747</v>
      </c>
      <c r="F489" s="27" t="str">
        <f>Tabela12[[#This Row],[Régua]]&amp;" ("&amp;Tabela12[[#This Row],[Born]]&amp;")"</f>
        <v>KT-3852 (COM)</v>
      </c>
      <c r="G489" s="27">
        <f>LEN(Tabela12[[#This Row],[Anilha]])</f>
        <v>13</v>
      </c>
      <c r="H489" s="21">
        <f>VLOOKUP(Tabela12[[#This Row],[Tag Cabo]],BD!A:F,6,0)</f>
        <v>1</v>
      </c>
      <c r="I489" s="27" t="s">
        <v>1705</v>
      </c>
      <c r="J489" s="27" t="s">
        <v>1706</v>
      </c>
    </row>
    <row r="490" spans="1:10" x14ac:dyDescent="0.25">
      <c r="A490" s="216" t="s">
        <v>1143</v>
      </c>
      <c r="B490" s="45" t="str">
        <f>VLOOKUP(Tabela12[[#This Row],[Painel]],Tabela13[],2,0)</f>
        <v>GB-351</v>
      </c>
      <c r="C490" s="45" t="s">
        <v>1145</v>
      </c>
      <c r="D490" s="21" t="s">
        <v>1824</v>
      </c>
      <c r="E490" s="21" t="s">
        <v>1820</v>
      </c>
      <c r="F490" s="27" t="str">
        <f>Tabela12[[#This Row],[Régua]]&amp;" ("&amp;Tabela12[[#This Row],[Born]]&amp;")"</f>
        <v>KT-3852 (OUT)</v>
      </c>
      <c r="G490" s="27">
        <f>LEN(Tabela12[[#This Row],[Anilha]])</f>
        <v>13</v>
      </c>
      <c r="H490" s="21">
        <f>VLOOKUP(Tabela12[[#This Row],[Tag Cabo]],BD!A:F,6,0)</f>
        <v>1</v>
      </c>
      <c r="I490" s="27" t="s">
        <v>1705</v>
      </c>
      <c r="J490" s="27" t="s">
        <v>1706</v>
      </c>
    </row>
    <row r="491" spans="1:10" x14ac:dyDescent="0.25">
      <c r="A491" s="216" t="s">
        <v>1143</v>
      </c>
      <c r="B491" s="45" t="str">
        <f>VLOOKUP(Tabela12[[#This Row],[Painel]],Tabela13[],2,0)</f>
        <v>GB-351</v>
      </c>
      <c r="C491" s="45" t="s">
        <v>1145</v>
      </c>
      <c r="D491" s="21" t="s">
        <v>1825</v>
      </c>
      <c r="E491" s="21" t="s">
        <v>1819</v>
      </c>
      <c r="F491" s="27" t="str">
        <f>Tabela12[[#This Row],[Régua]]&amp;"-"&amp;Tabela12[[#This Row],[Born]]</f>
        <v>ZT-3851A-24V0C</v>
      </c>
      <c r="G491" s="27">
        <f>LEN(Tabela12[[#This Row],[Anilha]])</f>
        <v>14</v>
      </c>
      <c r="H491" s="21">
        <f>VLOOKUP(Tabela12[[#This Row],[Tag Cabo]],BD!A:F,6,0)</f>
        <v>1</v>
      </c>
      <c r="I491" s="27" t="s">
        <v>1705</v>
      </c>
      <c r="J491" s="27" t="s">
        <v>1706</v>
      </c>
    </row>
    <row r="492" spans="1:10" x14ac:dyDescent="0.25">
      <c r="A492" s="216" t="s">
        <v>1143</v>
      </c>
      <c r="B492" s="45" t="str">
        <f>VLOOKUP(Tabela12[[#This Row],[Painel]],Tabela13[],2,0)</f>
        <v>GB-351</v>
      </c>
      <c r="C492" s="45" t="s">
        <v>1145</v>
      </c>
      <c r="D492" s="21" t="s">
        <v>1825</v>
      </c>
      <c r="E492" s="21" t="s">
        <v>1747</v>
      </c>
      <c r="F492" s="27" t="str">
        <f>Tabela12[[#This Row],[Régua]]&amp;" ("&amp;Tabela12[[#This Row],[Born]]&amp;")"</f>
        <v>ZT-3851A (COM)</v>
      </c>
      <c r="G492" s="27">
        <f>LEN(Tabela12[[#This Row],[Anilha]])</f>
        <v>14</v>
      </c>
      <c r="H492" s="21">
        <f>VLOOKUP(Tabela12[[#This Row],[Tag Cabo]],BD!A:F,6,0)</f>
        <v>1</v>
      </c>
      <c r="I492" s="27" t="s">
        <v>1705</v>
      </c>
      <c r="J492" s="27" t="s">
        <v>1706</v>
      </c>
    </row>
    <row r="493" spans="1:10" x14ac:dyDescent="0.25">
      <c r="A493" s="216" t="s">
        <v>1143</v>
      </c>
      <c r="B493" s="45" t="str">
        <f>VLOOKUP(Tabela12[[#This Row],[Painel]],Tabela13[],2,0)</f>
        <v>GB-351</v>
      </c>
      <c r="C493" s="45" t="s">
        <v>1145</v>
      </c>
      <c r="D493" s="21" t="s">
        <v>1825</v>
      </c>
      <c r="E493" s="21" t="s">
        <v>1820</v>
      </c>
      <c r="F493" s="27" t="str">
        <f>Tabela12[[#This Row],[Régua]]&amp;" ("&amp;Tabela12[[#This Row],[Born]]&amp;")"</f>
        <v>ZT-3851A (OUT)</v>
      </c>
      <c r="G493" s="27">
        <f>LEN(Tabela12[[#This Row],[Anilha]])</f>
        <v>14</v>
      </c>
      <c r="H493" s="21">
        <f>VLOOKUP(Tabela12[[#This Row],[Tag Cabo]],BD!A:F,6,0)</f>
        <v>1</v>
      </c>
      <c r="I493" s="27" t="s">
        <v>1705</v>
      </c>
      <c r="J493" s="27" t="s">
        <v>1706</v>
      </c>
    </row>
    <row r="494" spans="1:10" x14ac:dyDescent="0.25">
      <c r="A494" s="216" t="s">
        <v>1143</v>
      </c>
      <c r="B494" s="45" t="str">
        <f>VLOOKUP(Tabela12[[#This Row],[Painel]],Tabela13[],2,0)</f>
        <v>GB-351</v>
      </c>
      <c r="C494" s="45" t="s">
        <v>1145</v>
      </c>
      <c r="D494" s="21" t="s">
        <v>1826</v>
      </c>
      <c r="E494" s="21" t="s">
        <v>1819</v>
      </c>
      <c r="F494" s="27" t="str">
        <f>Tabela12[[#This Row],[Régua]]&amp;"-"&amp;Tabela12[[#This Row],[Born]]</f>
        <v>ZT-3851B-24V0C</v>
      </c>
      <c r="G494" s="27">
        <f>LEN(Tabela12[[#This Row],[Anilha]])</f>
        <v>14</v>
      </c>
      <c r="H494" s="21">
        <f>VLOOKUP(Tabela12[[#This Row],[Tag Cabo]],BD!A:F,6,0)</f>
        <v>1</v>
      </c>
      <c r="I494" s="27" t="s">
        <v>1705</v>
      </c>
      <c r="J494" s="27" t="s">
        <v>1706</v>
      </c>
    </row>
    <row r="495" spans="1:10" x14ac:dyDescent="0.25">
      <c r="A495" s="216" t="s">
        <v>1143</v>
      </c>
      <c r="B495" s="45" t="str">
        <f>VLOOKUP(Tabela12[[#This Row],[Painel]],Tabela13[],2,0)</f>
        <v>GB-351</v>
      </c>
      <c r="C495" s="45" t="s">
        <v>1145</v>
      </c>
      <c r="D495" s="21" t="s">
        <v>1826</v>
      </c>
      <c r="E495" s="21" t="s">
        <v>1747</v>
      </c>
      <c r="F495" s="27" t="str">
        <f>Tabela12[[#This Row],[Régua]]&amp;" ("&amp;Tabela12[[#This Row],[Born]]&amp;")"</f>
        <v>ZT-3851B (COM)</v>
      </c>
      <c r="G495" s="27">
        <f>LEN(Tabela12[[#This Row],[Anilha]])</f>
        <v>14</v>
      </c>
      <c r="H495" s="21">
        <f>VLOOKUP(Tabela12[[#This Row],[Tag Cabo]],BD!A:F,6,0)</f>
        <v>1</v>
      </c>
      <c r="I495" s="27" t="s">
        <v>1705</v>
      </c>
      <c r="J495" s="27" t="s">
        <v>1706</v>
      </c>
    </row>
    <row r="496" spans="1:10" x14ac:dyDescent="0.25">
      <c r="A496" s="216" t="s">
        <v>1143</v>
      </c>
      <c r="B496" s="45" t="str">
        <f>VLOOKUP(Tabela12[[#This Row],[Painel]],Tabela13[],2,0)</f>
        <v>GB-351</v>
      </c>
      <c r="C496" s="45" t="s">
        <v>1145</v>
      </c>
      <c r="D496" s="21" t="s">
        <v>1826</v>
      </c>
      <c r="E496" s="21" t="s">
        <v>1820</v>
      </c>
      <c r="F496" s="27" t="str">
        <f>Tabela12[[#This Row],[Régua]]&amp;" ("&amp;Tabela12[[#This Row],[Born]]&amp;")"</f>
        <v>ZT-3851B (OUT)</v>
      </c>
      <c r="G496" s="27">
        <f>LEN(Tabela12[[#This Row],[Anilha]])</f>
        <v>14</v>
      </c>
      <c r="H496" s="21">
        <f>VLOOKUP(Tabela12[[#This Row],[Tag Cabo]],BD!A:F,6,0)</f>
        <v>1</v>
      </c>
      <c r="I496" s="27" t="s">
        <v>1705</v>
      </c>
      <c r="J496" s="27" t="s">
        <v>1706</v>
      </c>
    </row>
    <row r="497" spans="1:10" x14ac:dyDescent="0.25">
      <c r="A497" s="216" t="s">
        <v>1143</v>
      </c>
      <c r="B497" s="45" t="str">
        <f>VLOOKUP(Tabela12[[#This Row],[Painel]],Tabela13[],2,0)</f>
        <v>GB-351</v>
      </c>
      <c r="C497" s="45" t="s">
        <v>1145</v>
      </c>
      <c r="D497" s="21" t="s">
        <v>1827</v>
      </c>
      <c r="E497" s="21">
        <v>6</v>
      </c>
      <c r="F497" s="27" t="str">
        <f>Tabela12[[#This Row],[Régua]]&amp;" ("&amp;Tabela12[[#This Row],[Born]]&amp;")"</f>
        <v>VE-3852 (6)</v>
      </c>
      <c r="G497" s="27">
        <f>LEN(Tabela12[[#This Row],[Anilha]])</f>
        <v>11</v>
      </c>
      <c r="H497" s="21">
        <f>VLOOKUP(Tabela12[[#This Row],[Tag Cabo]],BD!A:F,6,0)</f>
        <v>1</v>
      </c>
      <c r="I497" s="27" t="s">
        <v>1705</v>
      </c>
      <c r="J497" s="27" t="s">
        <v>1706</v>
      </c>
    </row>
    <row r="498" spans="1:10" x14ac:dyDescent="0.25">
      <c r="A498" s="216" t="s">
        <v>1143</v>
      </c>
      <c r="B498" s="45" t="str">
        <f>VLOOKUP(Tabela12[[#This Row],[Painel]],Tabela13[],2,0)</f>
        <v>GB-351</v>
      </c>
      <c r="C498" s="45" t="s">
        <v>1145</v>
      </c>
      <c r="D498" s="21" t="s">
        <v>1827</v>
      </c>
      <c r="E498" s="21">
        <v>7</v>
      </c>
      <c r="F498" s="27" t="str">
        <f>Tabela12[[#This Row],[Régua]]&amp;" ("&amp;Tabela12[[#This Row],[Born]]&amp;")"</f>
        <v>VE-3852 (7)</v>
      </c>
      <c r="G498" s="27">
        <f>LEN(Tabela12[[#This Row],[Anilha]])</f>
        <v>11</v>
      </c>
      <c r="H498" s="21">
        <f>VLOOKUP(Tabela12[[#This Row],[Tag Cabo]],BD!A:F,6,0)</f>
        <v>1</v>
      </c>
      <c r="I498" s="27" t="s">
        <v>1705</v>
      </c>
      <c r="J498" s="27" t="s">
        <v>1706</v>
      </c>
    </row>
    <row r="499" spans="1:10" x14ac:dyDescent="0.25">
      <c r="A499" s="216" t="s">
        <v>1143</v>
      </c>
      <c r="B499" s="45" t="str">
        <f>VLOOKUP(Tabela12[[#This Row],[Painel]],Tabela13[],2,0)</f>
        <v>GB-351</v>
      </c>
      <c r="C499" s="45" t="s">
        <v>1145</v>
      </c>
      <c r="D499" s="21" t="s">
        <v>1827</v>
      </c>
      <c r="E499" s="21">
        <v>8</v>
      </c>
      <c r="F499" s="27" t="str">
        <f>Tabela12[[#This Row],[Régua]]&amp;" ("&amp;Tabela12[[#This Row],[Born]]&amp;")"</f>
        <v>VE-3852 (8)</v>
      </c>
      <c r="G499" s="27">
        <f>LEN(Tabela12[[#This Row],[Anilha]])</f>
        <v>11</v>
      </c>
      <c r="H499" s="21">
        <f>VLOOKUP(Tabela12[[#This Row],[Tag Cabo]],BD!A:F,6,0)</f>
        <v>1</v>
      </c>
      <c r="I499" s="27" t="s">
        <v>1705</v>
      </c>
      <c r="J499" s="27" t="s">
        <v>1706</v>
      </c>
    </row>
    <row r="500" spans="1:10" x14ac:dyDescent="0.25">
      <c r="A500" s="216" t="s">
        <v>1143</v>
      </c>
      <c r="B500" s="45" t="str">
        <f>VLOOKUP(Tabela12[[#This Row],[Painel]],Tabela13[],2,0)</f>
        <v>CCP</v>
      </c>
      <c r="C500" s="45" t="s">
        <v>1592</v>
      </c>
      <c r="D500" s="21" t="s">
        <v>1828</v>
      </c>
      <c r="E500" s="21">
        <v>5</v>
      </c>
      <c r="F500" s="27" t="str">
        <f>Tabela12[[#This Row],[Régua]]&amp;" ("&amp;Tabela12[[#This Row],[Born]]&amp;")"</f>
        <v>RB-EA1 (5)</v>
      </c>
      <c r="G500" s="27">
        <f>LEN(Tabela12[[#This Row],[Anilha]])</f>
        <v>10</v>
      </c>
      <c r="H500" s="21">
        <f>VLOOKUP(Tabela12[[#This Row],[Tag Cabo]],BD!A:F,6,0)</f>
        <v>1</v>
      </c>
      <c r="I500" s="27" t="s">
        <v>1705</v>
      </c>
      <c r="J500" s="27" t="s">
        <v>1706</v>
      </c>
    </row>
    <row r="501" spans="1:10" x14ac:dyDescent="0.25">
      <c r="A501" s="216" t="s">
        <v>1143</v>
      </c>
      <c r="B501" s="45" t="str">
        <f>VLOOKUP(Tabela12[[#This Row],[Painel]],Tabela13[],2,0)</f>
        <v>CCP</v>
      </c>
      <c r="C501" s="45" t="s">
        <v>1592</v>
      </c>
      <c r="D501" s="21" t="s">
        <v>1828</v>
      </c>
      <c r="E501" s="21">
        <v>6</v>
      </c>
      <c r="F501" s="27" t="str">
        <f>Tabela12[[#This Row],[Régua]]&amp;" ("&amp;Tabela12[[#This Row],[Born]]&amp;")"</f>
        <v>RB-EA1 (6)</v>
      </c>
      <c r="G501" s="27">
        <f>LEN(Tabela12[[#This Row],[Anilha]])</f>
        <v>10</v>
      </c>
      <c r="H501" s="21">
        <f>VLOOKUP(Tabela12[[#This Row],[Tag Cabo]],BD!A:F,6,0)</f>
        <v>1</v>
      </c>
      <c r="I501" s="27" t="s">
        <v>1705</v>
      </c>
      <c r="J501" s="27" t="s">
        <v>1706</v>
      </c>
    </row>
    <row r="502" spans="1:10" x14ac:dyDescent="0.25">
      <c r="A502" s="216" t="s">
        <v>1143</v>
      </c>
      <c r="B502" s="45" t="str">
        <f>VLOOKUP(Tabela12[[#This Row],[Painel]],Tabela13[],2,0)</f>
        <v>CCP</v>
      </c>
      <c r="C502" s="45" t="s">
        <v>1592</v>
      </c>
      <c r="D502" s="21" t="s">
        <v>1828</v>
      </c>
      <c r="E502" s="21">
        <v>7</v>
      </c>
      <c r="F502" s="27" t="str">
        <f>Tabela12[[#This Row],[Régua]]&amp;" ("&amp;Tabela12[[#This Row],[Born]]&amp;")"</f>
        <v>RB-EA1 (7)</v>
      </c>
      <c r="G502" s="27">
        <f>LEN(Tabela12[[#This Row],[Anilha]])</f>
        <v>10</v>
      </c>
      <c r="H502" s="21">
        <f>VLOOKUP(Tabela12[[#This Row],[Tag Cabo]],BD!A:F,6,0)</f>
        <v>1</v>
      </c>
      <c r="I502" s="27" t="s">
        <v>1705</v>
      </c>
      <c r="J502" s="27" t="s">
        <v>1706</v>
      </c>
    </row>
    <row r="503" spans="1:10" x14ac:dyDescent="0.25">
      <c r="A503" s="216" t="s">
        <v>1143</v>
      </c>
      <c r="B503" s="45" t="str">
        <f>VLOOKUP(Tabela12[[#This Row],[Painel]],Tabela13[],2,0)</f>
        <v>CCP</v>
      </c>
      <c r="C503" s="45" t="s">
        <v>1592</v>
      </c>
      <c r="D503" s="21" t="s">
        <v>1829</v>
      </c>
      <c r="E503" s="21">
        <v>5</v>
      </c>
      <c r="F503" s="27" t="str">
        <f>Tabela12[[#This Row],[Régua]]&amp;" ("&amp;Tabela12[[#This Row],[Born]]&amp;")"</f>
        <v>RB-EA3 (5)</v>
      </c>
      <c r="G503" s="27">
        <f>LEN(Tabela12[[#This Row],[Anilha]])</f>
        <v>10</v>
      </c>
      <c r="H503" s="21">
        <f>VLOOKUP(Tabela12[[#This Row],[Tag Cabo]],BD!A:F,6,0)</f>
        <v>1</v>
      </c>
      <c r="I503" s="27" t="s">
        <v>1705</v>
      </c>
      <c r="J503" s="27" t="s">
        <v>1706</v>
      </c>
    </row>
    <row r="504" spans="1:10" x14ac:dyDescent="0.25">
      <c r="A504" s="216" t="s">
        <v>1143</v>
      </c>
      <c r="B504" s="45" t="str">
        <f>VLOOKUP(Tabela12[[#This Row],[Painel]],Tabela13[],2,0)</f>
        <v>CCP</v>
      </c>
      <c r="C504" s="45" t="s">
        <v>1592</v>
      </c>
      <c r="D504" s="21" t="s">
        <v>1829</v>
      </c>
      <c r="E504" s="21">
        <v>6</v>
      </c>
      <c r="F504" s="27" t="str">
        <f>Tabela12[[#This Row],[Régua]]&amp;" ("&amp;Tabela12[[#This Row],[Born]]&amp;")"</f>
        <v>RB-EA3 (6)</v>
      </c>
      <c r="G504" s="27">
        <f>LEN(Tabela12[[#This Row],[Anilha]])</f>
        <v>10</v>
      </c>
      <c r="H504" s="21">
        <f>VLOOKUP(Tabela12[[#This Row],[Tag Cabo]],BD!A:F,6,0)</f>
        <v>1</v>
      </c>
      <c r="I504" s="27" t="s">
        <v>1705</v>
      </c>
      <c r="J504" s="27" t="s">
        <v>1706</v>
      </c>
    </row>
    <row r="505" spans="1:10" x14ac:dyDescent="0.25">
      <c r="A505" s="216" t="s">
        <v>1143</v>
      </c>
      <c r="B505" s="45" t="str">
        <f>VLOOKUP(Tabela12[[#This Row],[Painel]],Tabela13[],2,0)</f>
        <v>CCP</v>
      </c>
      <c r="C505" s="45" t="s">
        <v>1592</v>
      </c>
      <c r="D505" s="21" t="s">
        <v>1829</v>
      </c>
      <c r="E505" s="21">
        <v>7</v>
      </c>
      <c r="F505" s="27" t="str">
        <f>Tabela12[[#This Row],[Régua]]&amp;" ("&amp;Tabela12[[#This Row],[Born]]&amp;")"</f>
        <v>RB-EA3 (7)</v>
      </c>
      <c r="G505" s="27">
        <f>LEN(Tabela12[[#This Row],[Anilha]])</f>
        <v>10</v>
      </c>
      <c r="H505" s="21">
        <f>VLOOKUP(Tabela12[[#This Row],[Tag Cabo]],BD!A:F,6,0)</f>
        <v>1</v>
      </c>
      <c r="I505" s="27" t="s">
        <v>1705</v>
      </c>
      <c r="J505" s="27" t="s">
        <v>1706</v>
      </c>
    </row>
    <row r="506" spans="1:10" x14ac:dyDescent="0.25">
      <c r="A506" s="216" t="s">
        <v>1143</v>
      </c>
      <c r="B506" s="45" t="str">
        <f>VLOOKUP(Tabela12[[#This Row],[Painel]],Tabela13[],2,0)</f>
        <v>CCP</v>
      </c>
      <c r="C506" s="45" t="s">
        <v>1592</v>
      </c>
      <c r="D506" s="21" t="s">
        <v>1829</v>
      </c>
      <c r="E506" s="21">
        <v>13</v>
      </c>
      <c r="F506" s="27" t="str">
        <f>Tabela12[[#This Row],[Régua]]&amp;" ("&amp;Tabela12[[#This Row],[Born]]&amp;")"</f>
        <v>RB-EA3 (13)</v>
      </c>
      <c r="G506" s="27">
        <f>LEN(Tabela12[[#This Row],[Anilha]])</f>
        <v>11</v>
      </c>
      <c r="H506" s="21">
        <f>VLOOKUP(Tabela12[[#This Row],[Tag Cabo]],BD!A:F,6,0)</f>
        <v>1</v>
      </c>
      <c r="I506" s="27" t="s">
        <v>1705</v>
      </c>
      <c r="J506" s="27" t="s">
        <v>1706</v>
      </c>
    </row>
    <row r="507" spans="1:10" x14ac:dyDescent="0.25">
      <c r="A507" s="216" t="s">
        <v>1143</v>
      </c>
      <c r="B507" s="45" t="str">
        <f>VLOOKUP(Tabela12[[#This Row],[Painel]],Tabela13[],2,0)</f>
        <v>CCP</v>
      </c>
      <c r="C507" s="45" t="s">
        <v>1592</v>
      </c>
      <c r="D507" s="21" t="s">
        <v>1829</v>
      </c>
      <c r="E507" s="21">
        <v>14</v>
      </c>
      <c r="F507" s="27" t="str">
        <f>Tabela12[[#This Row],[Régua]]&amp;" ("&amp;Tabela12[[#This Row],[Born]]&amp;")"</f>
        <v>RB-EA3 (14)</v>
      </c>
      <c r="G507" s="27">
        <f>LEN(Tabela12[[#This Row],[Anilha]])</f>
        <v>11</v>
      </c>
      <c r="H507" s="21">
        <f>VLOOKUP(Tabela12[[#This Row],[Tag Cabo]],BD!A:F,6,0)</f>
        <v>1</v>
      </c>
      <c r="I507" s="27" t="s">
        <v>1705</v>
      </c>
      <c r="J507" s="27" t="s">
        <v>1706</v>
      </c>
    </row>
    <row r="508" spans="1:10" x14ac:dyDescent="0.25">
      <c r="A508" s="216" t="s">
        <v>1143</v>
      </c>
      <c r="B508" s="45" t="str">
        <f>VLOOKUP(Tabela12[[#This Row],[Painel]],Tabela13[],2,0)</f>
        <v>CCP</v>
      </c>
      <c r="C508" s="45" t="s">
        <v>1592</v>
      </c>
      <c r="D508" s="21" t="s">
        <v>1829</v>
      </c>
      <c r="E508" s="21">
        <v>15</v>
      </c>
      <c r="F508" s="27" t="str">
        <f>Tabela12[[#This Row],[Régua]]&amp;" ("&amp;Tabela12[[#This Row],[Born]]&amp;")"</f>
        <v>RB-EA3 (15)</v>
      </c>
      <c r="G508" s="27">
        <f>LEN(Tabela12[[#This Row],[Anilha]])</f>
        <v>11</v>
      </c>
      <c r="H508" s="21">
        <f>VLOOKUP(Tabela12[[#This Row],[Tag Cabo]],BD!A:F,6,0)</f>
        <v>1</v>
      </c>
      <c r="I508" s="27" t="s">
        <v>1705</v>
      </c>
      <c r="J508" s="27" t="s">
        <v>1706</v>
      </c>
    </row>
    <row r="509" spans="1:10" x14ac:dyDescent="0.25">
      <c r="A509" s="216" t="s">
        <v>1143</v>
      </c>
      <c r="B509" s="45" t="str">
        <f>VLOOKUP(Tabela12[[#This Row],[Painel]],Tabela13[],2,0)</f>
        <v>CCP</v>
      </c>
      <c r="C509" s="45" t="s">
        <v>1592</v>
      </c>
      <c r="D509" s="21" t="s">
        <v>1830</v>
      </c>
      <c r="E509" s="21">
        <v>5</v>
      </c>
      <c r="F509" s="27" t="str">
        <f>Tabela12[[#This Row],[Régua]]&amp;" ("&amp;Tabela12[[#This Row],[Born]]&amp;")"</f>
        <v>RB-EA4 (5)</v>
      </c>
      <c r="G509" s="27">
        <f>LEN(Tabela12[[#This Row],[Anilha]])</f>
        <v>10</v>
      </c>
      <c r="H509" s="21">
        <f>VLOOKUP(Tabela12[[#This Row],[Tag Cabo]],BD!A:F,6,0)</f>
        <v>1</v>
      </c>
      <c r="I509" s="27" t="s">
        <v>1705</v>
      </c>
      <c r="J509" s="27" t="s">
        <v>1706</v>
      </c>
    </row>
    <row r="510" spans="1:10" x14ac:dyDescent="0.25">
      <c r="A510" s="216" t="s">
        <v>1143</v>
      </c>
      <c r="B510" s="45" t="str">
        <f>VLOOKUP(Tabela12[[#This Row],[Painel]],Tabela13[],2,0)</f>
        <v>CCP</v>
      </c>
      <c r="C510" s="45" t="s">
        <v>1592</v>
      </c>
      <c r="D510" s="21" t="s">
        <v>1830</v>
      </c>
      <c r="E510" s="21">
        <v>6</v>
      </c>
      <c r="F510" s="27" t="str">
        <f>Tabela12[[#This Row],[Régua]]&amp;" ("&amp;Tabela12[[#This Row],[Born]]&amp;")"</f>
        <v>RB-EA4 (6)</v>
      </c>
      <c r="G510" s="27">
        <f>LEN(Tabela12[[#This Row],[Anilha]])</f>
        <v>10</v>
      </c>
      <c r="H510" s="21">
        <f>VLOOKUP(Tabela12[[#This Row],[Tag Cabo]],BD!A:F,6,0)</f>
        <v>1</v>
      </c>
      <c r="I510" s="27" t="s">
        <v>1705</v>
      </c>
      <c r="J510" s="27" t="s">
        <v>1706</v>
      </c>
    </row>
    <row r="511" spans="1:10" x14ac:dyDescent="0.25">
      <c r="A511" s="216" t="s">
        <v>1143</v>
      </c>
      <c r="B511" s="45" t="str">
        <f>VLOOKUP(Tabela12[[#This Row],[Painel]],Tabela13[],2,0)</f>
        <v>CCP</v>
      </c>
      <c r="C511" s="45" t="s">
        <v>1592</v>
      </c>
      <c r="D511" s="21" t="s">
        <v>1830</v>
      </c>
      <c r="E511" s="21">
        <v>7</v>
      </c>
      <c r="F511" s="27" t="str">
        <f>Tabela12[[#This Row],[Régua]]&amp;" ("&amp;Tabela12[[#This Row],[Born]]&amp;")"</f>
        <v>RB-EA4 (7)</v>
      </c>
      <c r="G511" s="27">
        <f>LEN(Tabela12[[#This Row],[Anilha]])</f>
        <v>10</v>
      </c>
      <c r="H511" s="21">
        <f>VLOOKUP(Tabela12[[#This Row],[Tag Cabo]],BD!A:F,6,0)</f>
        <v>1</v>
      </c>
      <c r="I511" s="27" t="s">
        <v>1705</v>
      </c>
      <c r="J511" s="27" t="s">
        <v>1706</v>
      </c>
    </row>
    <row r="512" spans="1:10" x14ac:dyDescent="0.25">
      <c r="A512" s="216" t="s">
        <v>1143</v>
      </c>
      <c r="B512" s="45" t="str">
        <f>VLOOKUP(Tabela12[[#This Row],[Painel]],Tabela13[],2,0)</f>
        <v>CCP</v>
      </c>
      <c r="C512" s="45" t="s">
        <v>1592</v>
      </c>
      <c r="D512" s="21" t="s">
        <v>1831</v>
      </c>
      <c r="E512" s="21">
        <v>9</v>
      </c>
      <c r="F512" s="27" t="str">
        <f>Tabela12[[#This Row],[Régua]]&amp;" ("&amp;Tabela12[[#This Row],[Born]]&amp;")"</f>
        <v>RB-EA5 (9)</v>
      </c>
      <c r="G512" s="27">
        <f>LEN(Tabela12[[#This Row],[Anilha]])</f>
        <v>10</v>
      </c>
      <c r="H512" s="21">
        <f>VLOOKUP(Tabela12[[#This Row],[Tag Cabo]],BD!A:F,6,0)</f>
        <v>1</v>
      </c>
      <c r="I512" s="27" t="s">
        <v>1705</v>
      </c>
      <c r="J512" s="27" t="s">
        <v>1706</v>
      </c>
    </row>
    <row r="513" spans="1:10" x14ac:dyDescent="0.25">
      <c r="A513" s="216" t="s">
        <v>1143</v>
      </c>
      <c r="B513" s="45" t="str">
        <f>VLOOKUP(Tabela12[[#This Row],[Painel]],Tabela13[],2,0)</f>
        <v>CCP</v>
      </c>
      <c r="C513" s="45" t="s">
        <v>1592</v>
      </c>
      <c r="D513" s="21" t="s">
        <v>1831</v>
      </c>
      <c r="E513" s="21">
        <v>10</v>
      </c>
      <c r="F513" s="27" t="str">
        <f>Tabela12[[#This Row],[Régua]]&amp;" ("&amp;Tabela12[[#This Row],[Born]]&amp;")"</f>
        <v>RB-EA5 (10)</v>
      </c>
      <c r="G513" s="27">
        <f>LEN(Tabela12[[#This Row],[Anilha]])</f>
        <v>11</v>
      </c>
      <c r="H513" s="21">
        <f>VLOOKUP(Tabela12[[#This Row],[Tag Cabo]],BD!A:F,6,0)</f>
        <v>1</v>
      </c>
      <c r="I513" s="27" t="s">
        <v>1705</v>
      </c>
      <c r="J513" s="27" t="s">
        <v>1706</v>
      </c>
    </row>
    <row r="514" spans="1:10" x14ac:dyDescent="0.25">
      <c r="A514" s="216" t="s">
        <v>1143</v>
      </c>
      <c r="B514" s="45" t="str">
        <f>VLOOKUP(Tabela12[[#This Row],[Painel]],Tabela13[],2,0)</f>
        <v>CCP</v>
      </c>
      <c r="C514" s="45" t="s">
        <v>1592</v>
      </c>
      <c r="D514" s="21" t="s">
        <v>1831</v>
      </c>
      <c r="E514" s="21">
        <v>11</v>
      </c>
      <c r="F514" s="27" t="str">
        <f>Tabela12[[#This Row],[Régua]]&amp;" ("&amp;Tabela12[[#This Row],[Born]]&amp;")"</f>
        <v>RB-EA5 (11)</v>
      </c>
      <c r="G514" s="27">
        <f>LEN(Tabela12[[#This Row],[Anilha]])</f>
        <v>11</v>
      </c>
      <c r="H514" s="21">
        <f>VLOOKUP(Tabela12[[#This Row],[Tag Cabo]],BD!A:F,6,0)</f>
        <v>1</v>
      </c>
      <c r="I514" s="27" t="s">
        <v>1705</v>
      </c>
      <c r="J514" s="27" t="s">
        <v>1706</v>
      </c>
    </row>
    <row r="515" spans="1:10" x14ac:dyDescent="0.25">
      <c r="A515" s="216" t="s">
        <v>1143</v>
      </c>
      <c r="B515" s="45" t="str">
        <f>VLOOKUP(Tabela12[[#This Row],[Painel]],Tabela13[],2,0)</f>
        <v>CCP</v>
      </c>
      <c r="C515" s="45" t="s">
        <v>1592</v>
      </c>
      <c r="D515" s="21" t="s">
        <v>1832</v>
      </c>
      <c r="E515" s="21">
        <v>9</v>
      </c>
      <c r="F515" s="27" t="str">
        <f>Tabela12[[#This Row],[Régua]]&amp;" ("&amp;Tabela12[[#This Row],[Born]]&amp;")"</f>
        <v>RB-EA6 (9)</v>
      </c>
      <c r="G515" s="27">
        <f>LEN(Tabela12[[#This Row],[Anilha]])</f>
        <v>10</v>
      </c>
      <c r="H515" s="21">
        <f>VLOOKUP(Tabela12[[#This Row],[Tag Cabo]],BD!A:F,6,0)</f>
        <v>1</v>
      </c>
      <c r="I515" s="27" t="s">
        <v>1705</v>
      </c>
      <c r="J515" s="27" t="s">
        <v>1706</v>
      </c>
    </row>
    <row r="516" spans="1:10" x14ac:dyDescent="0.25">
      <c r="A516" s="216" t="s">
        <v>1143</v>
      </c>
      <c r="B516" s="45" t="str">
        <f>VLOOKUP(Tabela12[[#This Row],[Painel]],Tabela13[],2,0)</f>
        <v>CCP</v>
      </c>
      <c r="C516" s="45" t="s">
        <v>1592</v>
      </c>
      <c r="D516" s="21" t="s">
        <v>1832</v>
      </c>
      <c r="E516" s="21">
        <v>10</v>
      </c>
      <c r="F516" s="27" t="str">
        <f>Tabela12[[#This Row],[Régua]]&amp;" ("&amp;Tabela12[[#This Row],[Born]]&amp;")"</f>
        <v>RB-EA6 (10)</v>
      </c>
      <c r="G516" s="27">
        <f>LEN(Tabela12[[#This Row],[Anilha]])</f>
        <v>11</v>
      </c>
      <c r="H516" s="21">
        <f>VLOOKUP(Tabela12[[#This Row],[Tag Cabo]],BD!A:F,6,0)</f>
        <v>1</v>
      </c>
      <c r="I516" s="27" t="s">
        <v>1705</v>
      </c>
      <c r="J516" s="27" t="s">
        <v>1706</v>
      </c>
    </row>
    <row r="517" spans="1:10" x14ac:dyDescent="0.25">
      <c r="A517" s="216" t="s">
        <v>1143</v>
      </c>
      <c r="B517" s="45" t="str">
        <f>VLOOKUP(Tabela12[[#This Row],[Painel]],Tabela13[],2,0)</f>
        <v>CCP</v>
      </c>
      <c r="C517" s="45" t="s">
        <v>1592</v>
      </c>
      <c r="D517" s="21" t="s">
        <v>1832</v>
      </c>
      <c r="E517" s="21">
        <v>11</v>
      </c>
      <c r="F517" s="27" t="str">
        <f>Tabela12[[#This Row],[Régua]]&amp;" ("&amp;Tabela12[[#This Row],[Born]]&amp;")"</f>
        <v>RB-EA6 (11)</v>
      </c>
      <c r="G517" s="27">
        <f>LEN(Tabela12[[#This Row],[Anilha]])</f>
        <v>11</v>
      </c>
      <c r="H517" s="21">
        <f>VLOOKUP(Tabela12[[#This Row],[Tag Cabo]],BD!A:F,6,0)</f>
        <v>1</v>
      </c>
      <c r="I517" s="27" t="s">
        <v>1705</v>
      </c>
      <c r="J517" s="27" t="s">
        <v>1706</v>
      </c>
    </row>
    <row r="518" spans="1:10" x14ac:dyDescent="0.25">
      <c r="A518" s="216" t="s">
        <v>1143</v>
      </c>
      <c r="B518" s="45" t="str">
        <f>VLOOKUP(Tabela12[[#This Row],[Painel]],Tabela13[],2,0)</f>
        <v>CCP</v>
      </c>
      <c r="C518" s="45" t="s">
        <v>1592</v>
      </c>
      <c r="D518" s="21" t="s">
        <v>1833</v>
      </c>
      <c r="E518" s="21">
        <v>1</v>
      </c>
      <c r="F518" s="27" t="str">
        <f>Tabela12[[#This Row],[Régua]]&amp;" ("&amp;Tabela12[[#This Row],[Born]]&amp;")"</f>
        <v>RB-EA7 (1)</v>
      </c>
      <c r="G518" s="27">
        <f>LEN(Tabela12[[#This Row],[Anilha]])</f>
        <v>10</v>
      </c>
      <c r="H518" s="21">
        <f>VLOOKUP(Tabela12[[#This Row],[Tag Cabo]],BD!A:F,6,0)</f>
        <v>1</v>
      </c>
      <c r="I518" s="27" t="s">
        <v>1705</v>
      </c>
      <c r="J518" s="27" t="s">
        <v>1706</v>
      </c>
    </row>
    <row r="519" spans="1:10" x14ac:dyDescent="0.25">
      <c r="A519" s="216" t="s">
        <v>1143</v>
      </c>
      <c r="B519" s="45" t="str">
        <f>VLOOKUP(Tabela12[[#This Row],[Painel]],Tabela13[],2,0)</f>
        <v>CCP</v>
      </c>
      <c r="C519" s="45" t="s">
        <v>1592</v>
      </c>
      <c r="D519" s="21" t="s">
        <v>1833</v>
      </c>
      <c r="E519" s="21">
        <v>2</v>
      </c>
      <c r="F519" s="27" t="str">
        <f>Tabela12[[#This Row],[Régua]]&amp;" ("&amp;Tabela12[[#This Row],[Born]]&amp;")"</f>
        <v>RB-EA7 (2)</v>
      </c>
      <c r="G519" s="27">
        <f>LEN(Tabela12[[#This Row],[Anilha]])</f>
        <v>10</v>
      </c>
      <c r="H519" s="21">
        <f>VLOOKUP(Tabela12[[#This Row],[Tag Cabo]],BD!A:F,6,0)</f>
        <v>1</v>
      </c>
      <c r="I519" s="27" t="s">
        <v>1705</v>
      </c>
      <c r="J519" s="27" t="s">
        <v>1706</v>
      </c>
    </row>
    <row r="520" spans="1:10" x14ac:dyDescent="0.25">
      <c r="A520" s="216" t="s">
        <v>1143</v>
      </c>
      <c r="B520" s="45" t="str">
        <f>VLOOKUP(Tabela12[[#This Row],[Painel]],Tabela13[],2,0)</f>
        <v>CCP</v>
      </c>
      <c r="C520" s="45" t="s">
        <v>1592</v>
      </c>
      <c r="D520" s="21" t="s">
        <v>1833</v>
      </c>
      <c r="E520" s="21">
        <v>3</v>
      </c>
      <c r="F520" s="27" t="str">
        <f>Tabela12[[#This Row],[Régua]]&amp;" ("&amp;Tabela12[[#This Row],[Born]]&amp;")"</f>
        <v>RB-EA7 (3)</v>
      </c>
      <c r="G520" s="27">
        <f>LEN(Tabela12[[#This Row],[Anilha]])</f>
        <v>10</v>
      </c>
      <c r="H520" s="21">
        <f>VLOOKUP(Tabela12[[#This Row],[Tag Cabo]],BD!A:F,6,0)</f>
        <v>1</v>
      </c>
      <c r="I520" s="27" t="s">
        <v>1705</v>
      </c>
      <c r="J520" s="27" t="s">
        <v>1706</v>
      </c>
    </row>
    <row r="521" spans="1:10" x14ac:dyDescent="0.25">
      <c r="A521" s="216" t="s">
        <v>1143</v>
      </c>
      <c r="B521" s="45" t="str">
        <f>VLOOKUP(Tabela12[[#This Row],[Painel]],Tabela13[],2,0)</f>
        <v>CCP</v>
      </c>
      <c r="C521" s="45" t="s">
        <v>1592</v>
      </c>
      <c r="D521" s="21" t="s">
        <v>1834</v>
      </c>
      <c r="E521" s="21">
        <v>1</v>
      </c>
      <c r="F521" s="27" t="str">
        <f>Tabela12[[#This Row],[Régua]]&amp;" ("&amp;Tabela12[[#This Row],[Born]]&amp;")"</f>
        <v>RB-EA8 (1)</v>
      </c>
      <c r="G521" s="27">
        <f>LEN(Tabela12[[#This Row],[Anilha]])</f>
        <v>10</v>
      </c>
      <c r="H521" s="21">
        <f>VLOOKUP(Tabela12[[#This Row],[Tag Cabo]],BD!A:F,6,0)</f>
        <v>1</v>
      </c>
      <c r="I521" s="27" t="s">
        <v>1705</v>
      </c>
      <c r="J521" s="27" t="s">
        <v>1706</v>
      </c>
    </row>
    <row r="522" spans="1:10" x14ac:dyDescent="0.25">
      <c r="A522" s="216" t="s">
        <v>1143</v>
      </c>
      <c r="B522" s="45" t="str">
        <f>VLOOKUP(Tabela12[[#This Row],[Painel]],Tabela13[],2,0)</f>
        <v>CCP</v>
      </c>
      <c r="C522" s="45" t="s">
        <v>1592</v>
      </c>
      <c r="D522" s="21" t="s">
        <v>1834</v>
      </c>
      <c r="E522" s="21">
        <v>2</v>
      </c>
      <c r="F522" s="27" t="str">
        <f>Tabela12[[#This Row],[Régua]]&amp;" ("&amp;Tabela12[[#This Row],[Born]]&amp;")"</f>
        <v>RB-EA8 (2)</v>
      </c>
      <c r="G522" s="27">
        <f>LEN(Tabela12[[#This Row],[Anilha]])</f>
        <v>10</v>
      </c>
      <c r="H522" s="21">
        <f>VLOOKUP(Tabela12[[#This Row],[Tag Cabo]],BD!A:F,6,0)</f>
        <v>1</v>
      </c>
      <c r="I522" s="27" t="s">
        <v>1705</v>
      </c>
      <c r="J522" s="27" t="s">
        <v>1706</v>
      </c>
    </row>
    <row r="523" spans="1:10" x14ac:dyDescent="0.25">
      <c r="A523" s="216" t="s">
        <v>1143</v>
      </c>
      <c r="B523" s="45" t="str">
        <f>VLOOKUP(Tabela12[[#This Row],[Painel]],Tabela13[],2,0)</f>
        <v>CCP</v>
      </c>
      <c r="C523" s="45" t="s">
        <v>1592</v>
      </c>
      <c r="D523" s="21" t="s">
        <v>1834</v>
      </c>
      <c r="E523" s="21">
        <v>3</v>
      </c>
      <c r="F523" s="27" t="str">
        <f>Tabela12[[#This Row],[Régua]]&amp;" ("&amp;Tabela12[[#This Row],[Born]]&amp;")"</f>
        <v>RB-EA8 (3)</v>
      </c>
      <c r="G523" s="27">
        <f>LEN(Tabela12[[#This Row],[Anilha]])</f>
        <v>10</v>
      </c>
      <c r="H523" s="21">
        <f>VLOOKUP(Tabela12[[#This Row],[Tag Cabo]],BD!A:F,6,0)</f>
        <v>1</v>
      </c>
      <c r="I523" s="27" t="s">
        <v>1705</v>
      </c>
      <c r="J523" s="27" t="s">
        <v>1706</v>
      </c>
    </row>
    <row r="524" spans="1:10" x14ac:dyDescent="0.25">
      <c r="A524" s="21" t="s">
        <v>1148</v>
      </c>
      <c r="B524" s="391" t="str">
        <f>VLOOKUP(Tabela12[[#This Row],[Painel]],Tabela13[],2,0)</f>
        <v>GB-351</v>
      </c>
      <c r="C524" s="391" t="s">
        <v>1145</v>
      </c>
      <c r="D524" s="21" t="s">
        <v>1835</v>
      </c>
      <c r="E524" s="21" t="s">
        <v>1819</v>
      </c>
      <c r="F524" s="27" t="str">
        <f>Tabela12[[#This Row],[Régua]]&amp;"-"&amp;Tabela12[[#This Row],[Born]]</f>
        <v>XT-3854X-24V0C</v>
      </c>
      <c r="G524" s="27">
        <f>LEN(Tabela12[[#This Row],[Anilha]])</f>
        <v>14</v>
      </c>
      <c r="H524" s="21">
        <f>VLOOKUP(Tabela12[[#This Row],[Tag Cabo]],BD!A:F,6,0)</f>
        <v>1</v>
      </c>
      <c r="I524" s="27" t="s">
        <v>1705</v>
      </c>
      <c r="J524" s="27" t="s">
        <v>1706</v>
      </c>
    </row>
    <row r="525" spans="1:10" x14ac:dyDescent="0.25">
      <c r="A525" s="21" t="s">
        <v>1148</v>
      </c>
      <c r="B525" s="391" t="str">
        <f>VLOOKUP(Tabela12[[#This Row],[Painel]],Tabela13[],2,0)</f>
        <v>GB-351</v>
      </c>
      <c r="C525" s="391" t="s">
        <v>1145</v>
      </c>
      <c r="D525" s="21" t="s">
        <v>1835</v>
      </c>
      <c r="E525" s="21" t="s">
        <v>1747</v>
      </c>
      <c r="F525" s="27" t="str">
        <f>Tabela12[[#This Row],[Régua]]&amp;" ("&amp;Tabela12[[#This Row],[Born]]&amp;")"</f>
        <v>XT-3854X (COM)</v>
      </c>
      <c r="G525" s="27">
        <f>LEN(Tabela12[[#This Row],[Anilha]])</f>
        <v>14</v>
      </c>
      <c r="H525" s="21">
        <f>VLOOKUP(Tabela12[[#This Row],[Tag Cabo]],BD!A:F,6,0)</f>
        <v>1</v>
      </c>
      <c r="I525" s="27" t="s">
        <v>1705</v>
      </c>
      <c r="J525" s="27" t="s">
        <v>1706</v>
      </c>
    </row>
    <row r="526" spans="1:10" x14ac:dyDescent="0.25">
      <c r="A526" s="21" t="s">
        <v>1148</v>
      </c>
      <c r="B526" s="391" t="str">
        <f>VLOOKUP(Tabela12[[#This Row],[Painel]],Tabela13[],2,0)</f>
        <v>GB-351</v>
      </c>
      <c r="C526" s="391" t="s">
        <v>1145</v>
      </c>
      <c r="D526" s="21" t="s">
        <v>1835</v>
      </c>
      <c r="E526" s="21" t="s">
        <v>1820</v>
      </c>
      <c r="F526" s="27" t="str">
        <f>Tabela12[[#This Row],[Régua]]&amp;" ("&amp;Tabela12[[#This Row],[Born]]&amp;")"</f>
        <v>XT-3854X (OUT)</v>
      </c>
      <c r="G526" s="27">
        <f>LEN(Tabela12[[#This Row],[Anilha]])</f>
        <v>14</v>
      </c>
      <c r="H526" s="27">
        <f>VLOOKUP(Tabela12[[#This Row],[Tag Cabo]],BD!A:F,6,0)</f>
        <v>1</v>
      </c>
      <c r="I526" s="27" t="s">
        <v>1705</v>
      </c>
      <c r="J526" s="27" t="s">
        <v>1706</v>
      </c>
    </row>
    <row r="527" spans="1:10" x14ac:dyDescent="0.25">
      <c r="A527" s="21" t="s">
        <v>1148</v>
      </c>
      <c r="B527" s="391" t="str">
        <f>VLOOKUP(Tabela12[[#This Row],[Painel]],Tabela13[],2,0)</f>
        <v>GB-351</v>
      </c>
      <c r="C527" s="391" t="s">
        <v>1145</v>
      </c>
      <c r="D527" s="21" t="s">
        <v>1836</v>
      </c>
      <c r="E527" s="21" t="s">
        <v>1819</v>
      </c>
      <c r="F527" s="27" t="str">
        <f>Tabela12[[#This Row],[Régua]]&amp;"-"&amp;Tabela12[[#This Row],[Born]]</f>
        <v>XT-3854Y-24V0C</v>
      </c>
      <c r="G527" s="27">
        <f>LEN(Tabela12[[#This Row],[Anilha]])</f>
        <v>14</v>
      </c>
      <c r="H527" s="21">
        <f>VLOOKUP(Tabela12[[#This Row],[Tag Cabo]],BD!A:F,6,0)</f>
        <v>1</v>
      </c>
      <c r="I527" s="27" t="s">
        <v>1705</v>
      </c>
      <c r="J527" s="27" t="s">
        <v>1706</v>
      </c>
    </row>
    <row r="528" spans="1:10" x14ac:dyDescent="0.25">
      <c r="A528" s="21" t="s">
        <v>1148</v>
      </c>
      <c r="B528" s="391" t="str">
        <f>VLOOKUP(Tabela12[[#This Row],[Painel]],Tabela13[],2,0)</f>
        <v>GB-351</v>
      </c>
      <c r="C528" s="391" t="s">
        <v>1145</v>
      </c>
      <c r="D528" s="21" t="s">
        <v>1836</v>
      </c>
      <c r="E528" s="21" t="s">
        <v>1747</v>
      </c>
      <c r="F528" s="27" t="str">
        <f>Tabela12[[#This Row],[Régua]]&amp;" ("&amp;Tabela12[[#This Row],[Born]]&amp;")"</f>
        <v>XT-3854Y (COM)</v>
      </c>
      <c r="G528" s="27">
        <f>LEN(Tabela12[[#This Row],[Anilha]])</f>
        <v>14</v>
      </c>
      <c r="H528" s="21">
        <f>VLOOKUP(Tabela12[[#This Row],[Tag Cabo]],BD!A:F,6,0)</f>
        <v>1</v>
      </c>
      <c r="I528" s="27" t="s">
        <v>1705</v>
      </c>
      <c r="J528" s="27" t="s">
        <v>1706</v>
      </c>
    </row>
    <row r="529" spans="1:10" x14ac:dyDescent="0.25">
      <c r="A529" s="21" t="s">
        <v>1148</v>
      </c>
      <c r="B529" s="391" t="str">
        <f>VLOOKUP(Tabela12[[#This Row],[Painel]],Tabela13[],2,0)</f>
        <v>GB-351</v>
      </c>
      <c r="C529" s="391" t="s">
        <v>1145</v>
      </c>
      <c r="D529" s="21" t="s">
        <v>1836</v>
      </c>
      <c r="E529" s="21" t="s">
        <v>1820</v>
      </c>
      <c r="F529" s="27" t="str">
        <f>Tabela12[[#This Row],[Régua]]&amp;" ("&amp;Tabela12[[#This Row],[Born]]&amp;")"</f>
        <v>XT-3854Y (OUT)</v>
      </c>
      <c r="G529" s="27">
        <f>LEN(Tabela12[[#This Row],[Anilha]])</f>
        <v>14</v>
      </c>
      <c r="H529" s="27">
        <f>VLOOKUP(Tabela12[[#This Row],[Tag Cabo]],BD!A:F,6,0)</f>
        <v>1</v>
      </c>
      <c r="I529" s="27" t="s">
        <v>1705</v>
      </c>
      <c r="J529" s="27" t="s">
        <v>1706</v>
      </c>
    </row>
    <row r="530" spans="1:10" x14ac:dyDescent="0.25">
      <c r="A530" s="21" t="s">
        <v>1148</v>
      </c>
      <c r="B530" s="391" t="str">
        <f>VLOOKUP(Tabela12[[#This Row],[Painel]],Tabela13[],2,0)</f>
        <v>GB-351</v>
      </c>
      <c r="C530" s="391" t="s">
        <v>1145</v>
      </c>
      <c r="D530" s="21" t="s">
        <v>1837</v>
      </c>
      <c r="E530" s="21" t="s">
        <v>1819</v>
      </c>
      <c r="F530" s="27" t="str">
        <f>Tabela12[[#This Row],[Régua]]&amp;"-"&amp;Tabela12[[#This Row],[Born]]</f>
        <v>XT-3852X-24V0C</v>
      </c>
      <c r="G530" s="27">
        <f>LEN(Tabela12[[#This Row],[Anilha]])</f>
        <v>14</v>
      </c>
      <c r="H530" s="21">
        <f>VLOOKUP(Tabela12[[#This Row],[Tag Cabo]],BD!A:F,6,0)</f>
        <v>1</v>
      </c>
      <c r="I530" s="27" t="s">
        <v>1705</v>
      </c>
      <c r="J530" s="27" t="s">
        <v>1706</v>
      </c>
    </row>
    <row r="531" spans="1:10" x14ac:dyDescent="0.25">
      <c r="A531" s="21" t="s">
        <v>1148</v>
      </c>
      <c r="B531" s="391" t="str">
        <f>VLOOKUP(Tabela12[[#This Row],[Painel]],Tabela13[],2,0)</f>
        <v>GB-351</v>
      </c>
      <c r="C531" s="391" t="s">
        <v>1145</v>
      </c>
      <c r="D531" s="21" t="s">
        <v>1837</v>
      </c>
      <c r="E531" s="21" t="s">
        <v>1747</v>
      </c>
      <c r="F531" s="27" t="str">
        <f>Tabela12[[#This Row],[Régua]]&amp;" ("&amp;Tabela12[[#This Row],[Born]]&amp;")"</f>
        <v>XT-3852X (COM)</v>
      </c>
      <c r="G531" s="27">
        <f>LEN(Tabela12[[#This Row],[Anilha]])</f>
        <v>14</v>
      </c>
      <c r="H531" s="21">
        <f>VLOOKUP(Tabela12[[#This Row],[Tag Cabo]],BD!A:F,6,0)</f>
        <v>1</v>
      </c>
      <c r="I531" s="27" t="s">
        <v>1705</v>
      </c>
      <c r="J531" s="27" t="s">
        <v>1706</v>
      </c>
    </row>
    <row r="532" spans="1:10" x14ac:dyDescent="0.25">
      <c r="A532" s="21" t="s">
        <v>1148</v>
      </c>
      <c r="B532" s="391" t="str">
        <f>VLOOKUP(Tabela12[[#This Row],[Painel]],Tabela13[],2,0)</f>
        <v>GB-351</v>
      </c>
      <c r="C532" s="391" t="s">
        <v>1145</v>
      </c>
      <c r="D532" s="21" t="s">
        <v>1837</v>
      </c>
      <c r="E532" s="21" t="s">
        <v>1820</v>
      </c>
      <c r="F532" s="27" t="str">
        <f>Tabela12[[#This Row],[Régua]]&amp;" ("&amp;Tabela12[[#This Row],[Born]]&amp;")"</f>
        <v>XT-3852X (OUT)</v>
      </c>
      <c r="G532" s="27">
        <f>LEN(Tabela12[[#This Row],[Anilha]])</f>
        <v>14</v>
      </c>
      <c r="H532" s="27">
        <f>VLOOKUP(Tabela12[[#This Row],[Tag Cabo]],BD!A:F,6,0)</f>
        <v>1</v>
      </c>
      <c r="I532" s="27" t="s">
        <v>1705</v>
      </c>
      <c r="J532" s="27" t="s">
        <v>1706</v>
      </c>
    </row>
    <row r="533" spans="1:10" x14ac:dyDescent="0.25">
      <c r="A533" s="21" t="s">
        <v>1148</v>
      </c>
      <c r="B533" s="391" t="str">
        <f>VLOOKUP(Tabela12[[#This Row],[Painel]],Tabela13[],2,0)</f>
        <v>GB-351</v>
      </c>
      <c r="C533" s="391" t="s">
        <v>1145</v>
      </c>
      <c r="D533" s="21" t="s">
        <v>1838</v>
      </c>
      <c r="E533" s="21" t="s">
        <v>1819</v>
      </c>
      <c r="F533" s="27" t="str">
        <f>Tabela12[[#This Row],[Régua]]&amp;"-"&amp;Tabela12[[#This Row],[Born]]</f>
        <v>XT-3852Y-24V0C</v>
      </c>
      <c r="G533" s="27">
        <f>LEN(Tabela12[[#This Row],[Anilha]])</f>
        <v>14</v>
      </c>
      <c r="H533" s="21">
        <f>VLOOKUP(Tabela12[[#This Row],[Tag Cabo]],BD!A:F,6,0)</f>
        <v>1</v>
      </c>
      <c r="I533" s="27" t="s">
        <v>1705</v>
      </c>
      <c r="J533" s="27" t="s">
        <v>1706</v>
      </c>
    </row>
    <row r="534" spans="1:10" x14ac:dyDescent="0.25">
      <c r="A534" s="21" t="s">
        <v>1148</v>
      </c>
      <c r="B534" s="391" t="str">
        <f>VLOOKUP(Tabela12[[#This Row],[Painel]],Tabela13[],2,0)</f>
        <v>GB-351</v>
      </c>
      <c r="C534" s="391" t="s">
        <v>1145</v>
      </c>
      <c r="D534" s="21" t="s">
        <v>1838</v>
      </c>
      <c r="E534" s="21" t="s">
        <v>1747</v>
      </c>
      <c r="F534" s="27" t="str">
        <f>Tabela12[[#This Row],[Régua]]&amp;" ("&amp;Tabela12[[#This Row],[Born]]&amp;")"</f>
        <v>XT-3852Y (COM)</v>
      </c>
      <c r="G534" s="27">
        <f>LEN(Tabela12[[#This Row],[Anilha]])</f>
        <v>14</v>
      </c>
      <c r="H534" s="21">
        <f>VLOOKUP(Tabela12[[#This Row],[Tag Cabo]],BD!A:F,6,0)</f>
        <v>1</v>
      </c>
      <c r="I534" s="27" t="s">
        <v>1705</v>
      </c>
      <c r="J534" s="27" t="s">
        <v>1706</v>
      </c>
    </row>
    <row r="535" spans="1:10" x14ac:dyDescent="0.25">
      <c r="A535" s="21" t="s">
        <v>1148</v>
      </c>
      <c r="B535" s="391" t="str">
        <f>VLOOKUP(Tabela12[[#This Row],[Painel]],Tabela13[],2,0)</f>
        <v>GB-351</v>
      </c>
      <c r="C535" s="391" t="s">
        <v>1145</v>
      </c>
      <c r="D535" s="21" t="s">
        <v>1838</v>
      </c>
      <c r="E535" s="21" t="s">
        <v>1820</v>
      </c>
      <c r="F535" s="27" t="str">
        <f>Tabela12[[#This Row],[Régua]]&amp;" ("&amp;Tabela12[[#This Row],[Born]]&amp;")"</f>
        <v>XT-3852Y (OUT)</v>
      </c>
      <c r="G535" s="27">
        <f>LEN(Tabela12[[#This Row],[Anilha]])</f>
        <v>14</v>
      </c>
      <c r="H535" s="27">
        <f>VLOOKUP(Tabela12[[#This Row],[Tag Cabo]],BD!A:F,6,0)</f>
        <v>1</v>
      </c>
      <c r="I535" s="27" t="s">
        <v>1705</v>
      </c>
      <c r="J535" s="27" t="s">
        <v>1706</v>
      </c>
    </row>
    <row r="536" spans="1:10" x14ac:dyDescent="0.25">
      <c r="A536" s="21" t="s">
        <v>1148</v>
      </c>
      <c r="B536" s="391" t="str">
        <f>VLOOKUP(Tabela12[[#This Row],[Painel]],Tabela13[],2,0)</f>
        <v>GB-351</v>
      </c>
      <c r="C536" s="391" t="s">
        <v>1145</v>
      </c>
      <c r="D536" s="21" t="s">
        <v>1839</v>
      </c>
      <c r="E536" s="21" t="s">
        <v>1819</v>
      </c>
      <c r="F536" s="27" t="str">
        <f>Tabela12[[#This Row],[Régua]]&amp;" ("&amp;Tabela12[[#This Row],[Born]]&amp;")"</f>
        <v>KT-3851 (24V0C)</v>
      </c>
      <c r="G536" s="27">
        <f>LEN(Tabela12[[#This Row],[Anilha]])</f>
        <v>15</v>
      </c>
      <c r="H536" s="21">
        <f>VLOOKUP(Tabela12[[#This Row],[Tag Cabo]],BD!A:F,6,0)</f>
        <v>1</v>
      </c>
      <c r="I536" s="27" t="s">
        <v>1705</v>
      </c>
      <c r="J536" s="27" t="s">
        <v>1706</v>
      </c>
    </row>
    <row r="537" spans="1:10" x14ac:dyDescent="0.25">
      <c r="A537" s="21" t="s">
        <v>1148</v>
      </c>
      <c r="B537" s="391" t="str">
        <f>VLOOKUP(Tabela12[[#This Row],[Painel]],Tabela13[],2,0)</f>
        <v>GB-351</v>
      </c>
      <c r="C537" s="391" t="s">
        <v>1145</v>
      </c>
      <c r="D537" s="21" t="s">
        <v>1839</v>
      </c>
      <c r="E537" s="21" t="s">
        <v>1747</v>
      </c>
      <c r="F537" s="27" t="str">
        <f>Tabela12[[#This Row],[Régua]]&amp;" ("&amp;Tabela12[[#This Row],[Born]]&amp;")"</f>
        <v>KT-3851 (COM)</v>
      </c>
      <c r="G537" s="27">
        <f>LEN(Tabela12[[#This Row],[Anilha]])</f>
        <v>13</v>
      </c>
      <c r="H537" s="21">
        <f>VLOOKUP(Tabela12[[#This Row],[Tag Cabo]],BD!A:F,6,0)</f>
        <v>1</v>
      </c>
      <c r="I537" s="27" t="s">
        <v>1705</v>
      </c>
      <c r="J537" s="27" t="s">
        <v>1706</v>
      </c>
    </row>
    <row r="538" spans="1:10" x14ac:dyDescent="0.25">
      <c r="A538" s="21" t="s">
        <v>1148</v>
      </c>
      <c r="B538" s="391" t="str">
        <f>VLOOKUP(Tabela12[[#This Row],[Painel]],Tabela13[],2,0)</f>
        <v>GB-351</v>
      </c>
      <c r="C538" s="391" t="s">
        <v>1145</v>
      </c>
      <c r="D538" s="21" t="s">
        <v>1839</v>
      </c>
      <c r="E538" s="21" t="s">
        <v>1820</v>
      </c>
      <c r="F538" s="27" t="str">
        <f>Tabela12[[#This Row],[Régua]]&amp;" ("&amp;Tabela12[[#This Row],[Born]]&amp;")"</f>
        <v>KT-3851 (OUT)</v>
      </c>
      <c r="G538" s="27">
        <f>LEN(Tabela12[[#This Row],[Anilha]])</f>
        <v>13</v>
      </c>
      <c r="H538" s="27">
        <f>VLOOKUP(Tabela12[[#This Row],[Tag Cabo]],BD!A:F,6,0)</f>
        <v>1</v>
      </c>
      <c r="I538" s="27" t="s">
        <v>1705</v>
      </c>
      <c r="J538" s="27" t="s">
        <v>1706</v>
      </c>
    </row>
    <row r="539" spans="1:10" x14ac:dyDescent="0.25">
      <c r="A539" s="21" t="s">
        <v>1148</v>
      </c>
      <c r="B539" s="391" t="str">
        <f>VLOOKUP(Tabela12[[#This Row],[Painel]],Tabela13[],2,0)</f>
        <v>GB-351</v>
      </c>
      <c r="C539" s="391" t="s">
        <v>1145</v>
      </c>
      <c r="D539" s="21" t="s">
        <v>1840</v>
      </c>
      <c r="E539" s="21">
        <v>1</v>
      </c>
      <c r="F539" s="27" t="str">
        <f>Tabela12[[#This Row],[Régua]]&amp;" ("&amp;Tabela12[[#This Row],[Born]]&amp;")"</f>
        <v>VE-3851 (1)</v>
      </c>
      <c r="G539" s="27">
        <f>LEN(Tabela12[[#This Row],[Anilha]])</f>
        <v>11</v>
      </c>
      <c r="H539" s="21">
        <f>VLOOKUP(Tabela12[[#This Row],[Tag Cabo]],BD!A:F,6,0)</f>
        <v>1</v>
      </c>
      <c r="I539" s="27" t="s">
        <v>1705</v>
      </c>
      <c r="J539" s="27" t="s">
        <v>1706</v>
      </c>
    </row>
    <row r="540" spans="1:10" x14ac:dyDescent="0.25">
      <c r="A540" s="21" t="s">
        <v>1148</v>
      </c>
      <c r="B540" s="391" t="str">
        <f>VLOOKUP(Tabela12[[#This Row],[Painel]],Tabela13[],2,0)</f>
        <v>GB-351</v>
      </c>
      <c r="C540" s="391" t="s">
        <v>1145</v>
      </c>
      <c r="D540" s="21" t="s">
        <v>1840</v>
      </c>
      <c r="E540" s="21">
        <v>2</v>
      </c>
      <c r="F540" s="27" t="str">
        <f>Tabela12[[#This Row],[Régua]]&amp;" ("&amp;Tabela12[[#This Row],[Born]]&amp;")"</f>
        <v>VE-3851 (2)</v>
      </c>
      <c r="G540" s="27">
        <f>LEN(Tabela12[[#This Row],[Anilha]])</f>
        <v>11</v>
      </c>
      <c r="H540" s="21">
        <f>VLOOKUP(Tabela12[[#This Row],[Tag Cabo]],BD!A:F,6,0)</f>
        <v>1</v>
      </c>
      <c r="I540" s="27" t="s">
        <v>1705</v>
      </c>
      <c r="J540" s="27" t="s">
        <v>1706</v>
      </c>
    </row>
    <row r="541" spans="1:10" x14ac:dyDescent="0.25">
      <c r="A541" s="21" t="s">
        <v>1148</v>
      </c>
      <c r="B541" s="391" t="str">
        <f>VLOOKUP(Tabela12[[#This Row],[Painel]],Tabela13[],2,0)</f>
        <v>GB-351</v>
      </c>
      <c r="C541" s="391" t="s">
        <v>1145</v>
      </c>
      <c r="D541" s="21" t="s">
        <v>1840</v>
      </c>
      <c r="E541" s="21">
        <v>3</v>
      </c>
      <c r="F541" s="27" t="str">
        <f>Tabela12[[#This Row],[Régua]]&amp;" ("&amp;Tabela12[[#This Row],[Born]]&amp;")"</f>
        <v>VE-3851 (3)</v>
      </c>
      <c r="G541" s="27">
        <f>LEN(Tabela12[[#This Row],[Anilha]])</f>
        <v>11</v>
      </c>
      <c r="H541" s="27">
        <f>VLOOKUP(Tabela12[[#This Row],[Tag Cabo]],BD!A:F,6,0)</f>
        <v>1</v>
      </c>
      <c r="I541" s="27" t="s">
        <v>1705</v>
      </c>
      <c r="J541" s="27" t="s">
        <v>1706</v>
      </c>
    </row>
    <row r="542" spans="1:10" x14ac:dyDescent="0.25">
      <c r="A542" s="21" t="s">
        <v>1148</v>
      </c>
      <c r="B542" s="391" t="str">
        <f>VLOOKUP(Tabela12[[#This Row],[Painel]],Tabela13[],2,0)</f>
        <v>CCP</v>
      </c>
      <c r="C542" s="391" t="s">
        <v>1592</v>
      </c>
      <c r="D542" s="21" t="s">
        <v>1828</v>
      </c>
      <c r="E542" s="21">
        <v>1</v>
      </c>
      <c r="F542" s="27" t="str">
        <f>Tabela12[[#This Row],[Régua]]&amp;" ("&amp;Tabela12[[#This Row],[Born]]&amp;")"</f>
        <v>RB-EA1 (1)</v>
      </c>
      <c r="G542" s="27">
        <f>LEN(Tabela12[[#This Row],[Anilha]])</f>
        <v>10</v>
      </c>
      <c r="H542" s="21">
        <f>VLOOKUP(Tabela12[[#This Row],[Tag Cabo]],BD!A:F,6,0)</f>
        <v>1</v>
      </c>
      <c r="I542" s="27" t="s">
        <v>1705</v>
      </c>
      <c r="J542" s="27" t="s">
        <v>1706</v>
      </c>
    </row>
    <row r="543" spans="1:10" x14ac:dyDescent="0.25">
      <c r="A543" s="21" t="s">
        <v>1148</v>
      </c>
      <c r="B543" s="391" t="str">
        <f>VLOOKUP(Tabela12[[#This Row],[Painel]],Tabela13[],2,0)</f>
        <v>CCP</v>
      </c>
      <c r="C543" s="391" t="s">
        <v>1592</v>
      </c>
      <c r="D543" s="21" t="s">
        <v>1828</v>
      </c>
      <c r="E543" s="21">
        <v>2</v>
      </c>
      <c r="F543" s="27" t="str">
        <f>Tabela12[[#This Row],[Régua]]&amp;" ("&amp;Tabela12[[#This Row],[Born]]&amp;")"</f>
        <v>RB-EA1 (2)</v>
      </c>
      <c r="G543" s="27">
        <f>LEN(Tabela12[[#This Row],[Anilha]])</f>
        <v>10</v>
      </c>
      <c r="H543" s="21">
        <f>VLOOKUP(Tabela12[[#This Row],[Tag Cabo]],BD!A:F,6,0)</f>
        <v>1</v>
      </c>
      <c r="I543" s="27" t="s">
        <v>1705</v>
      </c>
      <c r="J543" s="27" t="s">
        <v>1706</v>
      </c>
    </row>
    <row r="544" spans="1:10" x14ac:dyDescent="0.25">
      <c r="A544" s="21" t="s">
        <v>1148</v>
      </c>
      <c r="B544" s="391" t="str">
        <f>VLOOKUP(Tabela12[[#This Row],[Painel]],Tabela13[],2,0)</f>
        <v>CCP</v>
      </c>
      <c r="C544" s="391" t="s">
        <v>1592</v>
      </c>
      <c r="D544" s="21" t="s">
        <v>1828</v>
      </c>
      <c r="E544" s="21">
        <v>3</v>
      </c>
      <c r="F544" s="27" t="str">
        <f>Tabela12[[#This Row],[Régua]]&amp;" ("&amp;Tabela12[[#This Row],[Born]]&amp;")"</f>
        <v>RB-EA1 (3)</v>
      </c>
      <c r="G544" s="27">
        <f>LEN(Tabela12[[#This Row],[Anilha]])</f>
        <v>10</v>
      </c>
      <c r="H544" s="21">
        <f>VLOOKUP(Tabela12[[#This Row],[Tag Cabo]],BD!A:F,6,0)</f>
        <v>1</v>
      </c>
      <c r="I544" s="27" t="s">
        <v>1705</v>
      </c>
      <c r="J544" s="27" t="s">
        <v>1706</v>
      </c>
    </row>
    <row r="545" spans="1:10" x14ac:dyDescent="0.25">
      <c r="A545" s="21" t="s">
        <v>1148</v>
      </c>
      <c r="B545" s="391" t="str">
        <f>VLOOKUP(Tabela12[[#This Row],[Painel]],Tabela13[],2,0)</f>
        <v>CCP</v>
      </c>
      <c r="C545" s="391" t="s">
        <v>1592</v>
      </c>
      <c r="D545" s="21" t="s">
        <v>1829</v>
      </c>
      <c r="E545" s="21">
        <v>9</v>
      </c>
      <c r="F545" s="27" t="str">
        <f>Tabela12[[#This Row],[Régua]]&amp;" ("&amp;Tabela12[[#This Row],[Born]]&amp;")"</f>
        <v>RB-EA3 (9)</v>
      </c>
      <c r="G545" s="27">
        <f>LEN(Tabela12[[#This Row],[Anilha]])</f>
        <v>10</v>
      </c>
      <c r="H545" s="21">
        <f>VLOOKUP(Tabela12[[#This Row],[Tag Cabo]],BD!A:F,6,0)</f>
        <v>1</v>
      </c>
      <c r="I545" s="27" t="s">
        <v>1705</v>
      </c>
      <c r="J545" s="27" t="s">
        <v>1706</v>
      </c>
    </row>
    <row r="546" spans="1:10" x14ac:dyDescent="0.25">
      <c r="A546" s="21" t="s">
        <v>1148</v>
      </c>
      <c r="B546" s="391" t="str">
        <f>VLOOKUP(Tabela12[[#This Row],[Painel]],Tabela13[],2,0)</f>
        <v>CCP</v>
      </c>
      <c r="C546" s="391" t="s">
        <v>1592</v>
      </c>
      <c r="D546" s="21" t="s">
        <v>1829</v>
      </c>
      <c r="E546" s="21">
        <v>10</v>
      </c>
      <c r="F546" s="27" t="str">
        <f>Tabela12[[#This Row],[Régua]]&amp;" ("&amp;Tabela12[[#This Row],[Born]]&amp;")"</f>
        <v>RB-EA3 (10)</v>
      </c>
      <c r="G546" s="27">
        <f>LEN(Tabela12[[#This Row],[Anilha]])</f>
        <v>11</v>
      </c>
      <c r="H546" s="21">
        <f>VLOOKUP(Tabela12[[#This Row],[Tag Cabo]],BD!A:F,6,0)</f>
        <v>1</v>
      </c>
      <c r="I546" s="27" t="s">
        <v>1705</v>
      </c>
      <c r="J546" s="27" t="s">
        <v>1706</v>
      </c>
    </row>
    <row r="547" spans="1:10" x14ac:dyDescent="0.25">
      <c r="A547" s="21" t="s">
        <v>1148</v>
      </c>
      <c r="B547" s="391" t="str">
        <f>VLOOKUP(Tabela12[[#This Row],[Painel]],Tabela13[],2,0)</f>
        <v>CCP</v>
      </c>
      <c r="C547" s="391" t="s">
        <v>1592</v>
      </c>
      <c r="D547" s="21" t="s">
        <v>1829</v>
      </c>
      <c r="E547" s="21">
        <v>11</v>
      </c>
      <c r="F547" s="27" t="str">
        <f>Tabela12[[#This Row],[Régua]]&amp;" ("&amp;Tabela12[[#This Row],[Born]]&amp;")"</f>
        <v>RB-EA3 (11)</v>
      </c>
      <c r="G547" s="27">
        <f>LEN(Tabela12[[#This Row],[Anilha]])</f>
        <v>11</v>
      </c>
      <c r="H547" s="21">
        <f>VLOOKUP(Tabela12[[#This Row],[Tag Cabo]],BD!A:F,6,0)</f>
        <v>1</v>
      </c>
      <c r="I547" s="27" t="s">
        <v>1705</v>
      </c>
      <c r="J547" s="27" t="s">
        <v>1706</v>
      </c>
    </row>
    <row r="548" spans="1:10" x14ac:dyDescent="0.25">
      <c r="A548" s="21" t="s">
        <v>1148</v>
      </c>
      <c r="B548" s="391" t="str">
        <f>VLOOKUP(Tabela12[[#This Row],[Painel]],Tabela13[],2,0)</f>
        <v>CCP</v>
      </c>
      <c r="C548" s="391" t="s">
        <v>1592</v>
      </c>
      <c r="D548" s="21" t="s">
        <v>1831</v>
      </c>
      <c r="E548" s="21">
        <v>13</v>
      </c>
      <c r="F548" s="27" t="str">
        <f>Tabela12[[#This Row],[Régua]]&amp;" ("&amp;Tabela12[[#This Row],[Born]]&amp;")"</f>
        <v>RB-EA5 (13)</v>
      </c>
      <c r="G548" s="27">
        <f>LEN(Tabela12[[#This Row],[Anilha]])</f>
        <v>11</v>
      </c>
      <c r="H548" s="21">
        <f>VLOOKUP(Tabela12[[#This Row],[Tag Cabo]],BD!A:F,6,0)</f>
        <v>1</v>
      </c>
      <c r="I548" s="27" t="s">
        <v>1705</v>
      </c>
      <c r="J548" s="27" t="s">
        <v>1706</v>
      </c>
    </row>
    <row r="549" spans="1:10" x14ac:dyDescent="0.25">
      <c r="A549" s="21" t="s">
        <v>1148</v>
      </c>
      <c r="B549" s="391" t="str">
        <f>VLOOKUP(Tabela12[[#This Row],[Painel]],Tabela13[],2,0)</f>
        <v>CCP</v>
      </c>
      <c r="C549" s="391" t="s">
        <v>1592</v>
      </c>
      <c r="D549" s="21" t="s">
        <v>1831</v>
      </c>
      <c r="E549" s="21">
        <v>14</v>
      </c>
      <c r="F549" s="27" t="str">
        <f>Tabela12[[#This Row],[Régua]]&amp;" ("&amp;Tabela12[[#This Row],[Born]]&amp;")"</f>
        <v>RB-EA5 (14)</v>
      </c>
      <c r="G549" s="27">
        <f>LEN(Tabela12[[#This Row],[Anilha]])</f>
        <v>11</v>
      </c>
      <c r="H549" s="21">
        <f>VLOOKUP(Tabela12[[#This Row],[Tag Cabo]],BD!A:F,6,0)</f>
        <v>1</v>
      </c>
      <c r="I549" s="27" t="s">
        <v>1705</v>
      </c>
      <c r="J549" s="27" t="s">
        <v>1706</v>
      </c>
    </row>
    <row r="550" spans="1:10" x14ac:dyDescent="0.25">
      <c r="A550" s="21" t="s">
        <v>1148</v>
      </c>
      <c r="B550" s="391" t="str">
        <f>VLOOKUP(Tabela12[[#This Row],[Painel]],Tabela13[],2,0)</f>
        <v>CCP</v>
      </c>
      <c r="C550" s="391" t="s">
        <v>1592</v>
      </c>
      <c r="D550" s="21" t="s">
        <v>1831</v>
      </c>
      <c r="E550" s="21">
        <v>15</v>
      </c>
      <c r="F550" s="27" t="str">
        <f>Tabela12[[#This Row],[Régua]]&amp;" ("&amp;Tabela12[[#This Row],[Born]]&amp;")"</f>
        <v>RB-EA5 (15)</v>
      </c>
      <c r="G550" s="27">
        <f>LEN(Tabela12[[#This Row],[Anilha]])</f>
        <v>11</v>
      </c>
      <c r="H550" s="21">
        <f>VLOOKUP(Tabela12[[#This Row],[Tag Cabo]],BD!A:F,6,0)</f>
        <v>1</v>
      </c>
      <c r="I550" s="27" t="s">
        <v>1705</v>
      </c>
      <c r="J550" s="27" t="s">
        <v>1706</v>
      </c>
    </row>
    <row r="551" spans="1:10" x14ac:dyDescent="0.25">
      <c r="A551" s="21" t="s">
        <v>1148</v>
      </c>
      <c r="B551" s="391" t="str">
        <f>VLOOKUP(Tabela12[[#This Row],[Painel]],Tabela13[],2,0)</f>
        <v>CCP</v>
      </c>
      <c r="C551" s="391" t="s">
        <v>1592</v>
      </c>
      <c r="D551" s="21" t="s">
        <v>1832</v>
      </c>
      <c r="E551" s="21">
        <v>13</v>
      </c>
      <c r="F551" s="27" t="str">
        <f>Tabela12[[#This Row],[Régua]]&amp;" ("&amp;Tabela12[[#This Row],[Born]]&amp;")"</f>
        <v>RB-EA6 (13)</v>
      </c>
      <c r="G551" s="27">
        <f>LEN(Tabela12[[#This Row],[Anilha]])</f>
        <v>11</v>
      </c>
      <c r="H551" s="21">
        <f>VLOOKUP(Tabela12[[#This Row],[Tag Cabo]],BD!A:F,6,0)</f>
        <v>1</v>
      </c>
      <c r="I551" s="27" t="s">
        <v>1705</v>
      </c>
      <c r="J551" s="27" t="s">
        <v>1706</v>
      </c>
    </row>
    <row r="552" spans="1:10" x14ac:dyDescent="0.25">
      <c r="A552" s="21" t="s">
        <v>1148</v>
      </c>
      <c r="B552" s="391" t="str">
        <f>VLOOKUP(Tabela12[[#This Row],[Painel]],Tabela13[],2,0)</f>
        <v>CCP</v>
      </c>
      <c r="C552" s="391" t="s">
        <v>1592</v>
      </c>
      <c r="D552" s="21" t="s">
        <v>1832</v>
      </c>
      <c r="E552" s="21">
        <v>14</v>
      </c>
      <c r="F552" s="27" t="str">
        <f>Tabela12[[#This Row],[Régua]]&amp;" ("&amp;Tabela12[[#This Row],[Born]]&amp;")"</f>
        <v>RB-EA6 (14)</v>
      </c>
      <c r="G552" s="27">
        <f>LEN(Tabela12[[#This Row],[Anilha]])</f>
        <v>11</v>
      </c>
      <c r="H552" s="21">
        <f>VLOOKUP(Tabela12[[#This Row],[Tag Cabo]],BD!A:F,6,0)</f>
        <v>1</v>
      </c>
      <c r="I552" s="27" t="s">
        <v>1705</v>
      </c>
      <c r="J552" s="27" t="s">
        <v>1706</v>
      </c>
    </row>
    <row r="553" spans="1:10" x14ac:dyDescent="0.25">
      <c r="A553" s="21" t="s">
        <v>1148</v>
      </c>
      <c r="B553" s="391" t="str">
        <f>VLOOKUP(Tabela12[[#This Row],[Painel]],Tabela13[],2,0)</f>
        <v>CCP</v>
      </c>
      <c r="C553" s="391" t="s">
        <v>1592</v>
      </c>
      <c r="D553" s="21" t="s">
        <v>1832</v>
      </c>
      <c r="E553" s="21">
        <v>15</v>
      </c>
      <c r="F553" s="27" t="str">
        <f>Tabela12[[#This Row],[Régua]]&amp;" ("&amp;Tabela12[[#This Row],[Born]]&amp;")"</f>
        <v>RB-EA6 (15)</v>
      </c>
      <c r="G553" s="27">
        <f>LEN(Tabela12[[#This Row],[Anilha]])</f>
        <v>11</v>
      </c>
      <c r="H553" s="21">
        <f>VLOOKUP(Tabela12[[#This Row],[Tag Cabo]],BD!A:F,6,0)</f>
        <v>1</v>
      </c>
      <c r="I553" s="27" t="s">
        <v>1705</v>
      </c>
      <c r="J553" s="27" t="s">
        <v>1706</v>
      </c>
    </row>
    <row r="554" spans="1:10" x14ac:dyDescent="0.25">
      <c r="A554" s="21" t="s">
        <v>1148</v>
      </c>
      <c r="B554" s="391" t="str">
        <f>VLOOKUP(Tabela12[[#This Row],[Painel]],Tabela13[],2,0)</f>
        <v>CCP</v>
      </c>
      <c r="C554" s="391" t="s">
        <v>1592</v>
      </c>
      <c r="D554" s="21" t="s">
        <v>1833</v>
      </c>
      <c r="E554" s="21">
        <v>5</v>
      </c>
      <c r="F554" s="27" t="str">
        <f>Tabela12[[#This Row],[Régua]]&amp;" ("&amp;Tabela12[[#This Row],[Born]]&amp;")"</f>
        <v>RB-EA7 (5)</v>
      </c>
      <c r="G554" s="27">
        <f>LEN(Tabela12[[#This Row],[Anilha]])</f>
        <v>10</v>
      </c>
      <c r="H554" s="21">
        <f>VLOOKUP(Tabela12[[#This Row],[Tag Cabo]],BD!A:F,6,0)</f>
        <v>1</v>
      </c>
      <c r="I554" s="27" t="s">
        <v>1705</v>
      </c>
      <c r="J554" s="27" t="s">
        <v>1706</v>
      </c>
    </row>
    <row r="555" spans="1:10" x14ac:dyDescent="0.25">
      <c r="A555" s="21" t="s">
        <v>1148</v>
      </c>
      <c r="B555" s="391" t="str">
        <f>VLOOKUP(Tabela12[[#This Row],[Painel]],Tabela13[],2,0)</f>
        <v>CCP</v>
      </c>
      <c r="C555" s="391" t="s">
        <v>1592</v>
      </c>
      <c r="D555" s="21" t="s">
        <v>1833</v>
      </c>
      <c r="E555" s="21">
        <v>6</v>
      </c>
      <c r="F555" s="27" t="str">
        <f>Tabela12[[#This Row],[Régua]]&amp;" ("&amp;Tabela12[[#This Row],[Born]]&amp;")"</f>
        <v>RB-EA7 (6)</v>
      </c>
      <c r="G555" s="27">
        <f>LEN(Tabela12[[#This Row],[Anilha]])</f>
        <v>10</v>
      </c>
      <c r="H555" s="21">
        <f>VLOOKUP(Tabela12[[#This Row],[Tag Cabo]],BD!A:F,6,0)</f>
        <v>1</v>
      </c>
      <c r="I555" s="27" t="s">
        <v>1705</v>
      </c>
      <c r="J555" s="27" t="s">
        <v>1706</v>
      </c>
    </row>
    <row r="556" spans="1:10" x14ac:dyDescent="0.25">
      <c r="A556" s="21" t="s">
        <v>1148</v>
      </c>
      <c r="B556" s="391" t="str">
        <f>VLOOKUP(Tabela12[[#This Row],[Painel]],Tabela13[],2,0)</f>
        <v>CCP</v>
      </c>
      <c r="C556" s="391" t="s">
        <v>1592</v>
      </c>
      <c r="D556" s="21" t="s">
        <v>1833</v>
      </c>
      <c r="E556" s="21">
        <v>7</v>
      </c>
      <c r="F556" s="27" t="str">
        <f>Tabela12[[#This Row],[Régua]]&amp;" ("&amp;Tabela12[[#This Row],[Born]]&amp;")"</f>
        <v>RB-EA7 (7)</v>
      </c>
      <c r="G556" s="27">
        <f>LEN(Tabela12[[#This Row],[Anilha]])</f>
        <v>10</v>
      </c>
      <c r="H556" s="21">
        <f>VLOOKUP(Tabela12[[#This Row],[Tag Cabo]],BD!A:F,6,0)</f>
        <v>1</v>
      </c>
      <c r="I556" s="27" t="s">
        <v>1705</v>
      </c>
      <c r="J556" s="27" t="s">
        <v>1706</v>
      </c>
    </row>
    <row r="557" spans="1:10" x14ac:dyDescent="0.25">
      <c r="A557" s="21" t="s">
        <v>1148</v>
      </c>
      <c r="B557" s="391" t="str">
        <f>VLOOKUP(Tabela12[[#This Row],[Painel]],Tabela13[],2,0)</f>
        <v>CCP</v>
      </c>
      <c r="C557" s="391" t="s">
        <v>1592</v>
      </c>
      <c r="D557" s="21" t="s">
        <v>1834</v>
      </c>
      <c r="E557" s="21">
        <v>5</v>
      </c>
      <c r="F557" s="27" t="str">
        <f>Tabela12[[#This Row],[Régua]]&amp;" ("&amp;Tabela12[[#This Row],[Born]]&amp;")"</f>
        <v>RB-EA8 (5)</v>
      </c>
      <c r="G557" s="27">
        <f>LEN(Tabela12[[#This Row],[Anilha]])</f>
        <v>10</v>
      </c>
      <c r="H557" s="21">
        <f>VLOOKUP(Tabela12[[#This Row],[Tag Cabo]],BD!A:F,6,0)</f>
        <v>1</v>
      </c>
      <c r="I557" s="27" t="s">
        <v>1705</v>
      </c>
      <c r="J557" s="27" t="s">
        <v>1706</v>
      </c>
    </row>
    <row r="558" spans="1:10" x14ac:dyDescent="0.25">
      <c r="A558" s="21" t="s">
        <v>1148</v>
      </c>
      <c r="B558" s="391" t="str">
        <f>VLOOKUP(Tabela12[[#This Row],[Painel]],Tabela13[],2,0)</f>
        <v>CCP</v>
      </c>
      <c r="C558" s="391" t="s">
        <v>1592</v>
      </c>
      <c r="D558" s="21" t="s">
        <v>1834</v>
      </c>
      <c r="E558" s="21">
        <v>6</v>
      </c>
      <c r="F558" s="27" t="str">
        <f>Tabela12[[#This Row],[Régua]]&amp;" ("&amp;Tabela12[[#This Row],[Born]]&amp;")"</f>
        <v>RB-EA8 (6)</v>
      </c>
      <c r="G558" s="27">
        <f>LEN(Tabela12[[#This Row],[Anilha]])</f>
        <v>10</v>
      </c>
      <c r="H558" s="21">
        <f>VLOOKUP(Tabela12[[#This Row],[Tag Cabo]],BD!A:F,6,0)</f>
        <v>1</v>
      </c>
      <c r="I558" s="27" t="s">
        <v>1705</v>
      </c>
      <c r="J558" s="27" t="s">
        <v>1706</v>
      </c>
    </row>
    <row r="559" spans="1:10" x14ac:dyDescent="0.25">
      <c r="A559" s="21" t="s">
        <v>1148</v>
      </c>
      <c r="B559" s="391" t="str">
        <f>VLOOKUP(Tabela12[[#This Row],[Painel]],Tabela13[],2,0)</f>
        <v>CCP</v>
      </c>
      <c r="C559" s="391" t="s">
        <v>1592</v>
      </c>
      <c r="D559" s="21" t="s">
        <v>1834</v>
      </c>
      <c r="E559" s="21">
        <v>7</v>
      </c>
      <c r="F559" s="27" t="str">
        <f>Tabela12[[#This Row],[Régua]]&amp;" ("&amp;Tabela12[[#This Row],[Born]]&amp;")"</f>
        <v>RB-EA8 (7)</v>
      </c>
      <c r="G559" s="27">
        <f>LEN(Tabela12[[#This Row],[Anilha]])</f>
        <v>10</v>
      </c>
      <c r="H559" s="21">
        <f>VLOOKUP(Tabela12[[#This Row],[Tag Cabo]],BD!A:F,6,0)</f>
        <v>1</v>
      </c>
      <c r="I559" s="27" t="s">
        <v>1705</v>
      </c>
      <c r="J559" s="27" t="s">
        <v>1706</v>
      </c>
    </row>
    <row r="560" spans="1:10" x14ac:dyDescent="0.25">
      <c r="A560" s="216" t="s">
        <v>1150</v>
      </c>
      <c r="B560" s="45" t="str">
        <f>VLOOKUP(Tabela12[[#This Row],[Painel]],Tabela13[],2,0)</f>
        <v>GB-351</v>
      </c>
      <c r="C560" s="45" t="s">
        <v>1151</v>
      </c>
      <c r="D560" s="21" t="s">
        <v>1151</v>
      </c>
      <c r="E560" s="21">
        <v>1</v>
      </c>
      <c r="F560" s="27" t="str">
        <f>Tabela12[[#This Row],[Régua]]&amp;" ("&amp;Tabela12[[#This Row],[Born]]&amp;")"</f>
        <v>JBI-35-106X (1)</v>
      </c>
      <c r="G560" s="27">
        <f>LEN(Tabela12[[#This Row],[Anilha]])</f>
        <v>15</v>
      </c>
      <c r="H560" s="21">
        <f>VLOOKUP(Tabela12[[#This Row],[Tag Cabo]],BD!A:F,6,0)</f>
        <v>1</v>
      </c>
      <c r="I560" s="27" t="s">
        <v>1705</v>
      </c>
      <c r="J560" s="27" t="s">
        <v>1706</v>
      </c>
    </row>
    <row r="561" spans="1:10" x14ac:dyDescent="0.25">
      <c r="A561" s="216" t="s">
        <v>1150</v>
      </c>
      <c r="B561" s="45" t="str">
        <f>VLOOKUP(Tabela12[[#This Row],[Painel]],Tabela13[],2,0)</f>
        <v>GB-351</v>
      </c>
      <c r="C561" s="45" t="s">
        <v>1151</v>
      </c>
      <c r="D561" s="21" t="s">
        <v>1151</v>
      </c>
      <c r="E561" s="21">
        <v>2</v>
      </c>
      <c r="F561" s="27" t="str">
        <f>Tabela12[[#This Row],[Régua]]&amp;" ("&amp;Tabela12[[#This Row],[Born]]&amp;")"</f>
        <v>JBI-35-106X (2)</v>
      </c>
      <c r="G561" s="27">
        <f>LEN(Tabela12[[#This Row],[Anilha]])</f>
        <v>15</v>
      </c>
      <c r="H561" s="21">
        <f>VLOOKUP(Tabela12[[#This Row],[Tag Cabo]],BD!A:F,6,0)</f>
        <v>1</v>
      </c>
      <c r="I561" s="27" t="s">
        <v>1705</v>
      </c>
      <c r="J561" s="27" t="s">
        <v>1706</v>
      </c>
    </row>
    <row r="562" spans="1:10" x14ac:dyDescent="0.25">
      <c r="A562" s="216" t="s">
        <v>1150</v>
      </c>
      <c r="B562" s="45" t="str">
        <f>VLOOKUP(Tabela12[[#This Row],[Painel]],Tabela13[],2,0)</f>
        <v>GB-351</v>
      </c>
      <c r="C562" s="45" t="s">
        <v>1151</v>
      </c>
      <c r="D562" s="21" t="s">
        <v>1151</v>
      </c>
      <c r="E562" s="21">
        <v>3</v>
      </c>
      <c r="F562" s="27" t="str">
        <f>Tabela12[[#This Row],[Régua]]&amp;" ("&amp;Tabela12[[#This Row],[Born]]&amp;")"</f>
        <v>JBI-35-106X (3)</v>
      </c>
      <c r="G562" s="27">
        <f>LEN(Tabela12[[#This Row],[Anilha]])</f>
        <v>15</v>
      </c>
      <c r="H562" s="21">
        <f>VLOOKUP(Tabela12[[#This Row],[Tag Cabo]],BD!A:F,6,0)</f>
        <v>1</v>
      </c>
      <c r="I562" s="27" t="s">
        <v>1705</v>
      </c>
      <c r="J562" s="27" t="s">
        <v>1706</v>
      </c>
    </row>
    <row r="563" spans="1:10" x14ac:dyDescent="0.25">
      <c r="A563" s="216" t="s">
        <v>1150</v>
      </c>
      <c r="B563" s="45" t="str">
        <f>VLOOKUP(Tabela12[[#This Row],[Painel]],Tabela13[],2,0)</f>
        <v>GB-351</v>
      </c>
      <c r="C563" s="45" t="s">
        <v>1151</v>
      </c>
      <c r="D563" s="21" t="s">
        <v>1151</v>
      </c>
      <c r="E563" s="21">
        <v>5</v>
      </c>
      <c r="F563" s="27" t="str">
        <f>Tabela12[[#This Row],[Régua]]&amp;" ("&amp;Tabela12[[#This Row],[Born]]&amp;")"</f>
        <v>JBI-35-106X (5)</v>
      </c>
      <c r="G563" s="27">
        <f>LEN(Tabela12[[#This Row],[Anilha]])</f>
        <v>15</v>
      </c>
      <c r="H563" s="21">
        <f>VLOOKUP(Tabela12[[#This Row],[Tag Cabo]],BD!A:F,6,0)</f>
        <v>1</v>
      </c>
      <c r="I563" s="27" t="s">
        <v>1705</v>
      </c>
      <c r="J563" s="27" t="s">
        <v>1706</v>
      </c>
    </row>
    <row r="564" spans="1:10" x14ac:dyDescent="0.25">
      <c r="A564" s="216" t="s">
        <v>1150</v>
      </c>
      <c r="B564" s="45" t="str">
        <f>VLOOKUP(Tabela12[[#This Row],[Painel]],Tabela13[],2,0)</f>
        <v>GB-351</v>
      </c>
      <c r="C564" s="45" t="s">
        <v>1151</v>
      </c>
      <c r="D564" s="21" t="s">
        <v>1151</v>
      </c>
      <c r="E564" s="21">
        <v>6</v>
      </c>
      <c r="F564" s="27" t="str">
        <f>Tabela12[[#This Row],[Régua]]&amp;" ("&amp;Tabela12[[#This Row],[Born]]&amp;")"</f>
        <v>JBI-35-106X (6)</v>
      </c>
      <c r="G564" s="27">
        <f>LEN(Tabela12[[#This Row],[Anilha]])</f>
        <v>15</v>
      </c>
      <c r="H564" s="21">
        <f>VLOOKUP(Tabela12[[#This Row],[Tag Cabo]],BD!A:F,6,0)</f>
        <v>1</v>
      </c>
      <c r="I564" s="27" t="s">
        <v>1705</v>
      </c>
      <c r="J564" s="27" t="s">
        <v>1706</v>
      </c>
    </row>
    <row r="565" spans="1:10" x14ac:dyDescent="0.25">
      <c r="A565" s="216" t="s">
        <v>1150</v>
      </c>
      <c r="B565" s="45" t="str">
        <f>VLOOKUP(Tabela12[[#This Row],[Painel]],Tabela13[],2,0)</f>
        <v>GB-351</v>
      </c>
      <c r="C565" s="45" t="s">
        <v>1151</v>
      </c>
      <c r="D565" s="21" t="s">
        <v>1151</v>
      </c>
      <c r="E565" s="21">
        <v>7</v>
      </c>
      <c r="F565" s="27" t="str">
        <f>Tabela12[[#This Row],[Régua]]&amp;" ("&amp;Tabela12[[#This Row],[Born]]&amp;")"</f>
        <v>JBI-35-106X (7)</v>
      </c>
      <c r="G565" s="27">
        <f>LEN(Tabela12[[#This Row],[Anilha]])</f>
        <v>15</v>
      </c>
      <c r="H565" s="21">
        <f>VLOOKUP(Tabela12[[#This Row],[Tag Cabo]],BD!A:F,6,0)</f>
        <v>1</v>
      </c>
      <c r="I565" s="27" t="s">
        <v>1705</v>
      </c>
      <c r="J565" s="27" t="s">
        <v>1706</v>
      </c>
    </row>
    <row r="566" spans="1:10" x14ac:dyDescent="0.25">
      <c r="A566" s="216" t="s">
        <v>1150</v>
      </c>
      <c r="B566" s="45" t="str">
        <f>VLOOKUP(Tabela12[[#This Row],[Painel]],Tabela13[],2,0)</f>
        <v>GB-351</v>
      </c>
      <c r="C566" s="45" t="s">
        <v>1151</v>
      </c>
      <c r="D566" s="21" t="s">
        <v>1151</v>
      </c>
      <c r="E566" s="21">
        <v>9</v>
      </c>
      <c r="F566" s="27" t="str">
        <f>Tabela12[[#This Row],[Régua]]&amp;" ("&amp;Tabela12[[#This Row],[Born]]&amp;")"</f>
        <v>JBI-35-106X (9)</v>
      </c>
      <c r="G566" s="27">
        <f>LEN(Tabela12[[#This Row],[Anilha]])</f>
        <v>15</v>
      </c>
      <c r="H566" s="21">
        <f>VLOOKUP(Tabela12[[#This Row],[Tag Cabo]],BD!A:F,6,0)</f>
        <v>1</v>
      </c>
      <c r="I566" s="27" t="s">
        <v>1705</v>
      </c>
      <c r="J566" s="27" t="s">
        <v>1706</v>
      </c>
    </row>
    <row r="567" spans="1:10" x14ac:dyDescent="0.25">
      <c r="A567" s="216" t="s">
        <v>1150</v>
      </c>
      <c r="B567" s="45" t="str">
        <f>VLOOKUP(Tabela12[[#This Row],[Painel]],Tabela13[],2,0)</f>
        <v>GB-351</v>
      </c>
      <c r="C567" s="45" t="s">
        <v>1151</v>
      </c>
      <c r="D567" s="21" t="s">
        <v>1151</v>
      </c>
      <c r="E567" s="21">
        <v>10</v>
      </c>
      <c r="F567" s="27" t="str">
        <f>Tabela12[[#This Row],[Régua]]&amp;"-"&amp;Tabela12[[#This Row],[Born]]</f>
        <v>JBI-35-106X-10</v>
      </c>
      <c r="G567" s="27">
        <f>LEN(Tabela12[[#This Row],[Anilha]])</f>
        <v>14</v>
      </c>
      <c r="H567" s="21">
        <f>VLOOKUP(Tabela12[[#This Row],[Tag Cabo]],BD!A:F,6,0)</f>
        <v>1</v>
      </c>
      <c r="I567" s="27" t="s">
        <v>1705</v>
      </c>
      <c r="J567" s="27" t="s">
        <v>1706</v>
      </c>
    </row>
    <row r="568" spans="1:10" x14ac:dyDescent="0.25">
      <c r="A568" s="216" t="s">
        <v>1150</v>
      </c>
      <c r="B568" s="45" t="str">
        <f>VLOOKUP(Tabela12[[#This Row],[Painel]],Tabela13[],2,0)</f>
        <v>GB-351</v>
      </c>
      <c r="C568" s="45" t="s">
        <v>1151</v>
      </c>
      <c r="D568" s="21" t="s">
        <v>1151</v>
      </c>
      <c r="E568" s="21">
        <v>11</v>
      </c>
      <c r="F568" s="27" t="str">
        <f>Tabela12[[#This Row],[Régua]]&amp;"-"&amp;Tabela12[[#This Row],[Born]]</f>
        <v>JBI-35-106X-11</v>
      </c>
      <c r="G568" s="27">
        <f>LEN(Tabela12[[#This Row],[Anilha]])</f>
        <v>14</v>
      </c>
      <c r="H568" s="21">
        <f>VLOOKUP(Tabela12[[#This Row],[Tag Cabo]],BD!A:F,6,0)</f>
        <v>1</v>
      </c>
      <c r="I568" s="27" t="s">
        <v>1705</v>
      </c>
      <c r="J568" s="27" t="s">
        <v>1706</v>
      </c>
    </row>
    <row r="569" spans="1:10" x14ac:dyDescent="0.25">
      <c r="A569" s="216" t="s">
        <v>1150</v>
      </c>
      <c r="B569" s="45" t="str">
        <f>VLOOKUP(Tabela12[[#This Row],[Painel]],Tabela13[],2,0)</f>
        <v>GB-351</v>
      </c>
      <c r="C569" s="45" t="s">
        <v>1151</v>
      </c>
      <c r="D569" s="21" t="s">
        <v>1151</v>
      </c>
      <c r="E569" s="21">
        <v>13</v>
      </c>
      <c r="F569" s="27" t="str">
        <f>Tabela12[[#This Row],[Régua]]&amp;"-"&amp;Tabela12[[#This Row],[Born]]</f>
        <v>JBI-35-106X-13</v>
      </c>
      <c r="G569" s="27">
        <f>LEN(Tabela12[[#This Row],[Anilha]])</f>
        <v>14</v>
      </c>
      <c r="H569" s="21">
        <f>VLOOKUP(Tabela12[[#This Row],[Tag Cabo]],BD!A:F,6,0)</f>
        <v>1</v>
      </c>
      <c r="I569" s="27" t="s">
        <v>1705</v>
      </c>
      <c r="J569" s="27" t="s">
        <v>1706</v>
      </c>
    </row>
    <row r="570" spans="1:10" x14ac:dyDescent="0.25">
      <c r="A570" s="216" t="s">
        <v>1150</v>
      </c>
      <c r="B570" s="45" t="str">
        <f>VLOOKUP(Tabela12[[#This Row],[Painel]],Tabela13[],2,0)</f>
        <v>GB-351</v>
      </c>
      <c r="C570" s="45" t="s">
        <v>1151</v>
      </c>
      <c r="D570" s="21" t="s">
        <v>1151</v>
      </c>
      <c r="E570" s="21">
        <v>14</v>
      </c>
      <c r="F570" s="27" t="str">
        <f>Tabela12[[#This Row],[Régua]]&amp;"-"&amp;Tabela12[[#This Row],[Born]]</f>
        <v>JBI-35-106X-14</v>
      </c>
      <c r="G570" s="27">
        <f>LEN(Tabela12[[#This Row],[Anilha]])</f>
        <v>14</v>
      </c>
      <c r="H570" s="21">
        <f>VLOOKUP(Tabela12[[#This Row],[Tag Cabo]],BD!A:F,6,0)</f>
        <v>1</v>
      </c>
      <c r="I570" s="27" t="s">
        <v>1705</v>
      </c>
      <c r="J570" s="27" t="s">
        <v>1706</v>
      </c>
    </row>
    <row r="571" spans="1:10" x14ac:dyDescent="0.25">
      <c r="A571" s="216" t="s">
        <v>1150</v>
      </c>
      <c r="B571" s="45" t="str">
        <f>VLOOKUP(Tabela12[[#This Row],[Painel]],Tabela13[],2,0)</f>
        <v>GB-351</v>
      </c>
      <c r="C571" s="45" t="s">
        <v>1151</v>
      </c>
      <c r="D571" s="21" t="s">
        <v>1151</v>
      </c>
      <c r="E571" s="21">
        <v>15</v>
      </c>
      <c r="F571" s="27" t="str">
        <f>Tabela12[[#This Row],[Régua]]&amp;"-"&amp;Tabela12[[#This Row],[Born]]</f>
        <v>JBI-35-106X-15</v>
      </c>
      <c r="G571" s="27">
        <f>LEN(Tabela12[[#This Row],[Anilha]])</f>
        <v>14</v>
      </c>
      <c r="H571" s="21">
        <f>VLOOKUP(Tabela12[[#This Row],[Tag Cabo]],BD!A:F,6,0)</f>
        <v>1</v>
      </c>
      <c r="I571" s="27" t="s">
        <v>1705</v>
      </c>
      <c r="J571" s="27" t="s">
        <v>1706</v>
      </c>
    </row>
    <row r="572" spans="1:10" x14ac:dyDescent="0.25">
      <c r="A572" s="216" t="s">
        <v>1150</v>
      </c>
      <c r="B572" s="45" t="str">
        <f>VLOOKUP(Tabela12[[#This Row],[Painel]],Tabela13[],2,0)</f>
        <v>GB-351</v>
      </c>
      <c r="C572" s="45" t="s">
        <v>1151</v>
      </c>
      <c r="D572" s="21" t="s">
        <v>1151</v>
      </c>
      <c r="E572" s="21">
        <v>17</v>
      </c>
      <c r="F572" s="27" t="str">
        <f>Tabela12[[#This Row],[Régua]]&amp;"-"&amp;Tabela12[[#This Row],[Born]]</f>
        <v>JBI-35-106X-17</v>
      </c>
      <c r="G572" s="27">
        <f>LEN(Tabela12[[#This Row],[Anilha]])</f>
        <v>14</v>
      </c>
      <c r="H572" s="21">
        <f>VLOOKUP(Tabela12[[#This Row],[Tag Cabo]],BD!A:F,6,0)</f>
        <v>1</v>
      </c>
      <c r="I572" s="27" t="s">
        <v>1705</v>
      </c>
      <c r="J572" s="27" t="s">
        <v>1706</v>
      </c>
    </row>
    <row r="573" spans="1:10" x14ac:dyDescent="0.25">
      <c r="A573" s="216" t="s">
        <v>1150</v>
      </c>
      <c r="B573" s="45" t="str">
        <f>VLOOKUP(Tabela12[[#This Row],[Painel]],Tabela13[],2,0)</f>
        <v>GB-351</v>
      </c>
      <c r="C573" s="45" t="s">
        <v>1151</v>
      </c>
      <c r="D573" s="21" t="s">
        <v>1151</v>
      </c>
      <c r="E573" s="21">
        <v>18</v>
      </c>
      <c r="F573" s="27" t="str">
        <f>Tabela12[[#This Row],[Régua]]&amp;"-"&amp;Tabela12[[#This Row],[Born]]</f>
        <v>JBI-35-106X-18</v>
      </c>
      <c r="G573" s="27">
        <f>LEN(Tabela12[[#This Row],[Anilha]])</f>
        <v>14</v>
      </c>
      <c r="H573" s="21">
        <f>VLOOKUP(Tabela12[[#This Row],[Tag Cabo]],BD!A:F,6,0)</f>
        <v>1</v>
      </c>
      <c r="I573" s="27" t="s">
        <v>1705</v>
      </c>
      <c r="J573" s="27" t="s">
        <v>1706</v>
      </c>
    </row>
    <row r="574" spans="1:10" x14ac:dyDescent="0.25">
      <c r="A574" s="216" t="s">
        <v>1150</v>
      </c>
      <c r="B574" s="45" t="str">
        <f>VLOOKUP(Tabela12[[#This Row],[Painel]],Tabela13[],2,0)</f>
        <v>GB-351</v>
      </c>
      <c r="C574" s="45" t="s">
        <v>1151</v>
      </c>
      <c r="D574" s="21" t="s">
        <v>1151</v>
      </c>
      <c r="E574" s="21">
        <v>19</v>
      </c>
      <c r="F574" s="27" t="str">
        <f>Tabela12[[#This Row],[Régua]]&amp;"-"&amp;Tabela12[[#This Row],[Born]]</f>
        <v>JBI-35-106X-19</v>
      </c>
      <c r="G574" s="27">
        <f>LEN(Tabela12[[#This Row],[Anilha]])</f>
        <v>14</v>
      </c>
      <c r="H574" s="21">
        <f>VLOOKUP(Tabela12[[#This Row],[Tag Cabo]],BD!A:F,6,0)</f>
        <v>1</v>
      </c>
      <c r="I574" s="27" t="s">
        <v>1705</v>
      </c>
      <c r="J574" s="27" t="s">
        <v>1706</v>
      </c>
    </row>
    <row r="575" spans="1:10" x14ac:dyDescent="0.25">
      <c r="A575" s="216" t="s">
        <v>1150</v>
      </c>
      <c r="B575" s="45" t="str">
        <f>VLOOKUP(Tabela12[[#This Row],[Painel]],Tabela13[],2,0)</f>
        <v>GB-351</v>
      </c>
      <c r="C575" s="45" t="s">
        <v>1151</v>
      </c>
      <c r="D575" s="21" t="s">
        <v>1151</v>
      </c>
      <c r="E575" s="21">
        <v>21</v>
      </c>
      <c r="F575" s="27" t="str">
        <f>Tabela12[[#This Row],[Régua]]&amp;"-"&amp;Tabela12[[#This Row],[Born]]</f>
        <v>JBI-35-106X-21</v>
      </c>
      <c r="G575" s="27">
        <f>LEN(Tabela12[[#This Row],[Anilha]])</f>
        <v>14</v>
      </c>
      <c r="H575" s="21">
        <f>VLOOKUP(Tabela12[[#This Row],[Tag Cabo]],BD!A:F,6,0)</f>
        <v>1</v>
      </c>
      <c r="I575" s="27" t="s">
        <v>1705</v>
      </c>
      <c r="J575" s="27" t="s">
        <v>1706</v>
      </c>
    </row>
    <row r="576" spans="1:10" x14ac:dyDescent="0.25">
      <c r="A576" s="216" t="s">
        <v>1150</v>
      </c>
      <c r="B576" s="45" t="str">
        <f>VLOOKUP(Tabela12[[#This Row],[Painel]],Tabela13[],2,0)</f>
        <v>GB-351</v>
      </c>
      <c r="C576" s="45" t="s">
        <v>1151</v>
      </c>
      <c r="D576" s="21" t="s">
        <v>1151</v>
      </c>
      <c r="E576" s="21">
        <v>22</v>
      </c>
      <c r="F576" s="27" t="str">
        <f>Tabela12[[#This Row],[Régua]]&amp;"-"&amp;Tabela12[[#This Row],[Born]]</f>
        <v>JBI-35-106X-22</v>
      </c>
      <c r="G576" s="27">
        <f>LEN(Tabela12[[#This Row],[Anilha]])</f>
        <v>14</v>
      </c>
      <c r="H576" s="21">
        <f>VLOOKUP(Tabela12[[#This Row],[Tag Cabo]],BD!A:F,6,0)</f>
        <v>1</v>
      </c>
      <c r="I576" s="27" t="s">
        <v>1705</v>
      </c>
      <c r="J576" s="27" t="s">
        <v>1706</v>
      </c>
    </row>
    <row r="577" spans="1:10" x14ac:dyDescent="0.25">
      <c r="A577" s="216" t="s">
        <v>1150</v>
      </c>
      <c r="B577" s="45" t="str">
        <f>VLOOKUP(Tabela12[[#This Row],[Painel]],Tabela13[],2,0)</f>
        <v>GB-351</v>
      </c>
      <c r="C577" s="45" t="s">
        <v>1151</v>
      </c>
      <c r="D577" s="21" t="s">
        <v>1151</v>
      </c>
      <c r="E577" s="21">
        <v>23</v>
      </c>
      <c r="F577" s="27" t="str">
        <f>Tabela12[[#This Row],[Régua]]&amp;"-"&amp;Tabela12[[#This Row],[Born]]</f>
        <v>JBI-35-106X-23</v>
      </c>
      <c r="G577" s="27">
        <f>LEN(Tabela12[[#This Row],[Anilha]])</f>
        <v>14</v>
      </c>
      <c r="H577" s="21">
        <f>VLOOKUP(Tabela12[[#This Row],[Tag Cabo]],BD!A:F,6,0)</f>
        <v>1</v>
      </c>
      <c r="I577" s="27" t="s">
        <v>1705</v>
      </c>
      <c r="J577" s="27" t="s">
        <v>1706</v>
      </c>
    </row>
    <row r="578" spans="1:10" x14ac:dyDescent="0.25">
      <c r="A578" s="216" t="s">
        <v>1150</v>
      </c>
      <c r="B578" s="45" t="str">
        <f>VLOOKUP(Tabela12[[#This Row],[Painel]],Tabela13[],2,0)</f>
        <v>CCP</v>
      </c>
      <c r="C578" s="45" t="s">
        <v>1592</v>
      </c>
      <c r="D578" s="21" t="s">
        <v>1817</v>
      </c>
      <c r="E578" s="21">
        <v>9</v>
      </c>
      <c r="F578" s="27" t="str">
        <f>Tabela12[[#This Row],[Régua]]&amp;" ("&amp;Tabela12[[#This Row],[Born]]&amp;")"</f>
        <v>RB-EA10 (9)</v>
      </c>
      <c r="G578" s="27">
        <f>LEN(Tabela12[[#This Row],[Anilha]])</f>
        <v>11</v>
      </c>
      <c r="H578" s="21">
        <f>VLOOKUP(Tabela12[[#This Row],[Tag Cabo]],BD!A:F,6,0)</f>
        <v>1</v>
      </c>
      <c r="I578" s="27" t="s">
        <v>1705</v>
      </c>
      <c r="J578" s="27" t="s">
        <v>1706</v>
      </c>
    </row>
    <row r="579" spans="1:10" x14ac:dyDescent="0.25">
      <c r="A579" s="216" t="s">
        <v>1150</v>
      </c>
      <c r="B579" s="45" t="str">
        <f>VLOOKUP(Tabela12[[#This Row],[Painel]],Tabela13[],2,0)</f>
        <v>CCP</v>
      </c>
      <c r="C579" s="45" t="s">
        <v>1592</v>
      </c>
      <c r="D579" s="21" t="s">
        <v>1817</v>
      </c>
      <c r="E579" s="21">
        <v>10</v>
      </c>
      <c r="F579" s="27" t="str">
        <f>Tabela12[[#This Row],[Régua]]&amp;" ("&amp;Tabela12[[#This Row],[Born]]&amp;")"</f>
        <v>RB-EA10 (10)</v>
      </c>
      <c r="G579" s="27">
        <f>LEN(Tabela12[[#This Row],[Anilha]])</f>
        <v>12</v>
      </c>
      <c r="H579" s="21">
        <f>VLOOKUP(Tabela12[[#This Row],[Tag Cabo]],BD!A:F,6,0)</f>
        <v>1</v>
      </c>
      <c r="I579" s="27" t="s">
        <v>1705</v>
      </c>
      <c r="J579" s="27" t="s">
        <v>1706</v>
      </c>
    </row>
    <row r="580" spans="1:10" x14ac:dyDescent="0.25">
      <c r="A580" s="216" t="s">
        <v>1150</v>
      </c>
      <c r="B580" s="45" t="str">
        <f>VLOOKUP(Tabela12[[#This Row],[Painel]],Tabela13[],2,0)</f>
        <v>CCP</v>
      </c>
      <c r="C580" s="45" t="s">
        <v>1592</v>
      </c>
      <c r="D580" s="21" t="s">
        <v>1817</v>
      </c>
      <c r="E580" s="21">
        <v>11</v>
      </c>
      <c r="F580" s="27" t="str">
        <f>Tabela12[[#This Row],[Régua]]&amp;" ("&amp;Tabela12[[#This Row],[Born]]&amp;")"</f>
        <v>RB-EA10 (11)</v>
      </c>
      <c r="G580" s="27">
        <f>LEN(Tabela12[[#This Row],[Anilha]])</f>
        <v>12</v>
      </c>
      <c r="H580" s="21">
        <f>VLOOKUP(Tabela12[[#This Row],[Tag Cabo]],BD!A:F,6,0)</f>
        <v>1</v>
      </c>
      <c r="I580" s="27" t="s">
        <v>1705</v>
      </c>
      <c r="J580" s="27" t="s">
        <v>1706</v>
      </c>
    </row>
    <row r="581" spans="1:10" x14ac:dyDescent="0.25">
      <c r="A581" s="216" t="s">
        <v>1150</v>
      </c>
      <c r="B581" s="45" t="str">
        <f>VLOOKUP(Tabela12[[#This Row],[Painel]],Tabela13[],2,0)</f>
        <v>CCP</v>
      </c>
      <c r="C581" s="45" t="s">
        <v>1592</v>
      </c>
      <c r="D581" s="21" t="s">
        <v>1817</v>
      </c>
      <c r="E581" s="21">
        <v>13</v>
      </c>
      <c r="F581" s="27" t="str">
        <f>Tabela12[[#This Row],[Régua]]&amp;" ("&amp;Tabela12[[#This Row],[Born]]&amp;")"</f>
        <v>RB-EA10 (13)</v>
      </c>
      <c r="G581" s="27">
        <f>LEN(Tabela12[[#This Row],[Anilha]])</f>
        <v>12</v>
      </c>
      <c r="H581" s="21">
        <f>VLOOKUP(Tabela12[[#This Row],[Tag Cabo]],BD!A:F,6,0)</f>
        <v>1</v>
      </c>
      <c r="I581" s="27" t="s">
        <v>1705</v>
      </c>
      <c r="J581" s="27" t="s">
        <v>1706</v>
      </c>
    </row>
    <row r="582" spans="1:10" x14ac:dyDescent="0.25">
      <c r="A582" s="216" t="s">
        <v>1150</v>
      </c>
      <c r="B582" s="45" t="str">
        <f>VLOOKUP(Tabela12[[#This Row],[Painel]],Tabela13[],2,0)</f>
        <v>CCP</v>
      </c>
      <c r="C582" s="45" t="s">
        <v>1592</v>
      </c>
      <c r="D582" s="21" t="s">
        <v>1817</v>
      </c>
      <c r="E582" s="21">
        <v>14</v>
      </c>
      <c r="F582" s="27" t="str">
        <f>Tabela12[[#This Row],[Régua]]&amp;" ("&amp;Tabela12[[#This Row],[Born]]&amp;")"</f>
        <v>RB-EA10 (14)</v>
      </c>
      <c r="G582" s="27">
        <f>LEN(Tabela12[[#This Row],[Anilha]])</f>
        <v>12</v>
      </c>
      <c r="H582" s="21">
        <f>VLOOKUP(Tabela12[[#This Row],[Tag Cabo]],BD!A:F,6,0)</f>
        <v>1</v>
      </c>
      <c r="I582" s="27" t="s">
        <v>1705</v>
      </c>
      <c r="J582" s="27" t="s">
        <v>1706</v>
      </c>
    </row>
    <row r="583" spans="1:10" x14ac:dyDescent="0.25">
      <c r="A583" s="216" t="s">
        <v>1150</v>
      </c>
      <c r="B583" s="45" t="str">
        <f>VLOOKUP(Tabela12[[#This Row],[Painel]],Tabela13[],2,0)</f>
        <v>CCP</v>
      </c>
      <c r="C583" s="45" t="s">
        <v>1592</v>
      </c>
      <c r="D583" s="21" t="s">
        <v>1817</v>
      </c>
      <c r="E583" s="21">
        <v>15</v>
      </c>
      <c r="F583" s="27" t="str">
        <f>Tabela12[[#This Row],[Régua]]&amp;" ("&amp;Tabela12[[#This Row],[Born]]&amp;")"</f>
        <v>RB-EA10 (15)</v>
      </c>
      <c r="G583" s="27">
        <f>LEN(Tabela12[[#This Row],[Anilha]])</f>
        <v>12</v>
      </c>
      <c r="H583" s="21">
        <f>VLOOKUP(Tabela12[[#This Row],[Tag Cabo]],BD!A:F,6,0)</f>
        <v>1</v>
      </c>
      <c r="I583" s="27" t="s">
        <v>1705</v>
      </c>
      <c r="J583" s="27" t="s">
        <v>1706</v>
      </c>
    </row>
    <row r="584" spans="1:10" x14ac:dyDescent="0.25">
      <c r="A584" s="216" t="s">
        <v>1150</v>
      </c>
      <c r="B584" s="45" t="str">
        <f>VLOOKUP(Tabela12[[#This Row],[Painel]],Tabela13[],2,0)</f>
        <v>CCP</v>
      </c>
      <c r="C584" s="45" t="s">
        <v>1592</v>
      </c>
      <c r="D584" s="21" t="s">
        <v>1817</v>
      </c>
      <c r="E584" s="21">
        <v>25</v>
      </c>
      <c r="F584" s="27" t="str">
        <f>Tabela12[[#This Row],[Régua]]&amp;" ("&amp;Tabela12[[#This Row],[Born]]&amp;")"</f>
        <v>RB-EA10 (25)</v>
      </c>
      <c r="G584" s="27">
        <f>LEN(Tabela12[[#This Row],[Anilha]])</f>
        <v>12</v>
      </c>
      <c r="H584" s="21">
        <f>VLOOKUP(Tabela12[[#This Row],[Tag Cabo]],BD!A:F,6,0)</f>
        <v>1</v>
      </c>
      <c r="I584" s="27" t="s">
        <v>1705</v>
      </c>
      <c r="J584" s="27" t="s">
        <v>1706</v>
      </c>
    </row>
    <row r="585" spans="1:10" x14ac:dyDescent="0.25">
      <c r="A585" s="216" t="s">
        <v>1150</v>
      </c>
      <c r="B585" s="45" t="str">
        <f>VLOOKUP(Tabela12[[#This Row],[Painel]],Tabela13[],2,0)</f>
        <v>CCP</v>
      </c>
      <c r="C585" s="45" t="s">
        <v>1592</v>
      </c>
      <c r="D585" s="21" t="s">
        <v>1817</v>
      </c>
      <c r="E585" s="21">
        <v>26</v>
      </c>
      <c r="F585" s="27" t="str">
        <f>Tabela12[[#This Row],[Régua]]&amp;" ("&amp;Tabela12[[#This Row],[Born]]&amp;")"</f>
        <v>RB-EA10 (26)</v>
      </c>
      <c r="G585" s="27">
        <f>LEN(Tabela12[[#This Row],[Anilha]])</f>
        <v>12</v>
      </c>
      <c r="H585" s="21">
        <f>VLOOKUP(Tabela12[[#This Row],[Tag Cabo]],BD!A:F,6,0)</f>
        <v>1</v>
      </c>
      <c r="I585" s="27" t="s">
        <v>1705</v>
      </c>
      <c r="J585" s="27" t="s">
        <v>1706</v>
      </c>
    </row>
    <row r="586" spans="1:10" x14ac:dyDescent="0.25">
      <c r="A586" s="216" t="s">
        <v>1150</v>
      </c>
      <c r="B586" s="45" t="str">
        <f>VLOOKUP(Tabela12[[#This Row],[Painel]],Tabela13[],2,0)</f>
        <v>CCP</v>
      </c>
      <c r="C586" s="45" t="s">
        <v>1592</v>
      </c>
      <c r="D586" s="21" t="s">
        <v>1817</v>
      </c>
      <c r="E586" s="21">
        <v>27</v>
      </c>
      <c r="F586" s="27" t="str">
        <f>Tabela12[[#This Row],[Régua]]&amp;" ("&amp;Tabela12[[#This Row],[Born]]&amp;")"</f>
        <v>RB-EA10 (27)</v>
      </c>
      <c r="G586" s="27">
        <f>LEN(Tabela12[[#This Row],[Anilha]])</f>
        <v>12</v>
      </c>
      <c r="H586" s="21">
        <f>VLOOKUP(Tabela12[[#This Row],[Tag Cabo]],BD!A:F,6,0)</f>
        <v>1</v>
      </c>
      <c r="I586" s="27" t="s">
        <v>1705</v>
      </c>
      <c r="J586" s="27" t="s">
        <v>1706</v>
      </c>
    </row>
    <row r="587" spans="1:10" x14ac:dyDescent="0.25">
      <c r="A587" s="216" t="s">
        <v>1150</v>
      </c>
      <c r="B587" s="45" t="str">
        <f>VLOOKUP(Tabela12[[#This Row],[Painel]],Tabela13[],2,0)</f>
        <v>CCP</v>
      </c>
      <c r="C587" s="45" t="s">
        <v>1592</v>
      </c>
      <c r="D587" s="21" t="s">
        <v>1817</v>
      </c>
      <c r="E587" s="21">
        <v>29</v>
      </c>
      <c r="F587" s="27" t="str">
        <f>Tabela12[[#This Row],[Régua]]&amp;" ("&amp;Tabela12[[#This Row],[Born]]&amp;")"</f>
        <v>RB-EA10 (29)</v>
      </c>
      <c r="G587" s="27">
        <f>LEN(Tabela12[[#This Row],[Anilha]])</f>
        <v>12</v>
      </c>
      <c r="H587" s="21">
        <f>VLOOKUP(Tabela12[[#This Row],[Tag Cabo]],BD!A:F,6,0)</f>
        <v>1</v>
      </c>
      <c r="I587" s="27" t="s">
        <v>1705</v>
      </c>
      <c r="J587" s="27" t="s">
        <v>1706</v>
      </c>
    </row>
    <row r="588" spans="1:10" x14ac:dyDescent="0.25">
      <c r="A588" s="216" t="s">
        <v>1150</v>
      </c>
      <c r="B588" s="45" t="str">
        <f>VLOOKUP(Tabela12[[#This Row],[Painel]],Tabela13[],2,0)</f>
        <v>CCP</v>
      </c>
      <c r="C588" s="45" t="s">
        <v>1592</v>
      </c>
      <c r="D588" s="21" t="s">
        <v>1817</v>
      </c>
      <c r="E588" s="21">
        <v>30</v>
      </c>
      <c r="F588" s="27" t="str">
        <f>Tabela12[[#This Row],[Régua]]&amp;" ("&amp;Tabela12[[#This Row],[Born]]&amp;")"</f>
        <v>RB-EA10 (30)</v>
      </c>
      <c r="G588" s="27">
        <f>LEN(Tabela12[[#This Row],[Anilha]])</f>
        <v>12</v>
      </c>
      <c r="H588" s="21">
        <f>VLOOKUP(Tabela12[[#This Row],[Tag Cabo]],BD!A:F,6,0)</f>
        <v>1</v>
      </c>
      <c r="I588" s="27" t="s">
        <v>1705</v>
      </c>
      <c r="J588" s="27" t="s">
        <v>1706</v>
      </c>
    </row>
    <row r="589" spans="1:10" x14ac:dyDescent="0.25">
      <c r="A589" s="216" t="s">
        <v>1150</v>
      </c>
      <c r="B589" s="45" t="str">
        <f>VLOOKUP(Tabela12[[#This Row],[Painel]],Tabela13[],2,0)</f>
        <v>CCP</v>
      </c>
      <c r="C589" s="45" t="s">
        <v>1592</v>
      </c>
      <c r="D589" s="21" t="s">
        <v>1817</v>
      </c>
      <c r="E589" s="21">
        <v>31</v>
      </c>
      <c r="F589" s="27" t="str">
        <f>Tabela12[[#This Row],[Régua]]&amp;" ("&amp;Tabela12[[#This Row],[Born]]&amp;")"</f>
        <v>RB-EA10 (31)</v>
      </c>
      <c r="G589" s="27">
        <f>LEN(Tabela12[[#This Row],[Anilha]])</f>
        <v>12</v>
      </c>
      <c r="H589" s="21">
        <f>VLOOKUP(Tabela12[[#This Row],[Tag Cabo]],BD!A:F,6,0)</f>
        <v>1</v>
      </c>
      <c r="I589" s="27" t="s">
        <v>1705</v>
      </c>
      <c r="J589" s="27" t="s">
        <v>1706</v>
      </c>
    </row>
    <row r="590" spans="1:10" x14ac:dyDescent="0.25">
      <c r="A590" s="216" t="s">
        <v>1150</v>
      </c>
      <c r="B590" s="45" t="str">
        <f>VLOOKUP(Tabela12[[#This Row],[Painel]],Tabela13[],2,0)</f>
        <v>CCP</v>
      </c>
      <c r="C590" s="45" t="s">
        <v>1592</v>
      </c>
      <c r="D590" s="21" t="s">
        <v>1817</v>
      </c>
      <c r="E590" s="21">
        <v>49</v>
      </c>
      <c r="F590" s="27" t="str">
        <f>Tabela12[[#This Row],[Régua]]&amp;" ("&amp;Tabela12[[#This Row],[Born]]&amp;")"</f>
        <v>RB-EA10 (49)</v>
      </c>
      <c r="G590" s="27">
        <f>LEN(Tabela12[[#This Row],[Anilha]])</f>
        <v>12</v>
      </c>
      <c r="H590" s="21">
        <f>VLOOKUP(Tabela12[[#This Row],[Tag Cabo]],BD!A:F,6,0)</f>
        <v>1</v>
      </c>
      <c r="I590" s="27" t="s">
        <v>1705</v>
      </c>
      <c r="J590" s="27" t="s">
        <v>1706</v>
      </c>
    </row>
    <row r="591" spans="1:10" x14ac:dyDescent="0.25">
      <c r="A591" s="216" t="s">
        <v>1150</v>
      </c>
      <c r="B591" s="45" t="str">
        <f>VLOOKUP(Tabela12[[#This Row],[Painel]],Tabela13[],2,0)</f>
        <v>CCP</v>
      </c>
      <c r="C591" s="45" t="s">
        <v>1592</v>
      </c>
      <c r="D591" s="21" t="s">
        <v>1817</v>
      </c>
      <c r="E591" s="21">
        <v>50</v>
      </c>
      <c r="F591" s="27" t="str">
        <f>Tabela12[[#This Row],[Régua]]&amp;" ("&amp;Tabela12[[#This Row],[Born]]&amp;")"</f>
        <v>RB-EA10 (50)</v>
      </c>
      <c r="G591" s="27">
        <f>LEN(Tabela12[[#This Row],[Anilha]])</f>
        <v>12</v>
      </c>
      <c r="H591" s="21">
        <f>VLOOKUP(Tabela12[[#This Row],[Tag Cabo]],BD!A:F,6,0)</f>
        <v>1</v>
      </c>
      <c r="I591" s="27" t="s">
        <v>1705</v>
      </c>
      <c r="J591" s="27" t="s">
        <v>1706</v>
      </c>
    </row>
    <row r="592" spans="1:10" x14ac:dyDescent="0.25">
      <c r="A592" s="216" t="s">
        <v>1150</v>
      </c>
      <c r="B592" s="45" t="str">
        <f>VLOOKUP(Tabela12[[#This Row],[Painel]],Tabela13[],2,0)</f>
        <v>CCP</v>
      </c>
      <c r="C592" s="45" t="s">
        <v>1592</v>
      </c>
      <c r="D592" s="21" t="s">
        <v>1817</v>
      </c>
      <c r="E592" s="21">
        <v>51</v>
      </c>
      <c r="F592" s="27" t="str">
        <f>Tabela12[[#This Row],[Régua]]&amp;" ("&amp;Tabela12[[#This Row],[Born]]&amp;")"</f>
        <v>RB-EA10 (51)</v>
      </c>
      <c r="G592" s="27">
        <f>LEN(Tabela12[[#This Row],[Anilha]])</f>
        <v>12</v>
      </c>
      <c r="H592" s="21">
        <f>VLOOKUP(Tabela12[[#This Row],[Tag Cabo]],BD!A:F,6,0)</f>
        <v>1</v>
      </c>
      <c r="I592" s="27" t="s">
        <v>1705</v>
      </c>
      <c r="J592" s="27" t="s">
        <v>1706</v>
      </c>
    </row>
    <row r="593" spans="1:10" x14ac:dyDescent="0.25">
      <c r="A593" s="216" t="s">
        <v>1150</v>
      </c>
      <c r="B593" s="45" t="str">
        <f>VLOOKUP(Tabela12[[#This Row],[Painel]],Tabela13[],2,0)</f>
        <v>CCP</v>
      </c>
      <c r="C593" s="45" t="s">
        <v>1592</v>
      </c>
      <c r="D593" s="21" t="s">
        <v>1817</v>
      </c>
      <c r="E593" s="21">
        <v>53</v>
      </c>
      <c r="F593" s="27" t="str">
        <f>Tabela12[[#This Row],[Régua]]&amp;" ("&amp;Tabela12[[#This Row],[Born]]&amp;")"</f>
        <v>RB-EA10 (53)</v>
      </c>
      <c r="G593" s="27">
        <f>LEN(Tabela12[[#This Row],[Anilha]])</f>
        <v>12</v>
      </c>
      <c r="H593" s="21">
        <f>VLOOKUP(Tabela12[[#This Row],[Tag Cabo]],BD!A:F,6,0)</f>
        <v>1</v>
      </c>
      <c r="I593" s="27" t="s">
        <v>1705</v>
      </c>
      <c r="J593" s="27" t="s">
        <v>1706</v>
      </c>
    </row>
    <row r="594" spans="1:10" x14ac:dyDescent="0.25">
      <c r="A594" s="216" t="s">
        <v>1150</v>
      </c>
      <c r="B594" s="45" t="str">
        <f>VLOOKUP(Tabela12[[#This Row],[Painel]],Tabela13[],2,0)</f>
        <v>CCP</v>
      </c>
      <c r="C594" s="45" t="s">
        <v>1592</v>
      </c>
      <c r="D594" s="21" t="s">
        <v>1817</v>
      </c>
      <c r="E594" s="21">
        <v>54</v>
      </c>
      <c r="F594" s="27" t="str">
        <f>Tabela12[[#This Row],[Régua]]&amp;" ("&amp;Tabela12[[#This Row],[Born]]&amp;")"</f>
        <v>RB-EA10 (54)</v>
      </c>
      <c r="G594" s="27">
        <f>LEN(Tabela12[[#This Row],[Anilha]])</f>
        <v>12</v>
      </c>
      <c r="H594" s="21">
        <f>VLOOKUP(Tabela12[[#This Row],[Tag Cabo]],BD!A:F,6,0)</f>
        <v>1</v>
      </c>
      <c r="I594" s="27" t="s">
        <v>1705</v>
      </c>
      <c r="J594" s="27" t="s">
        <v>1706</v>
      </c>
    </row>
    <row r="595" spans="1:10" x14ac:dyDescent="0.25">
      <c r="A595" s="216" t="s">
        <v>1150</v>
      </c>
      <c r="B595" s="45" t="str">
        <f>VLOOKUP(Tabela12[[#This Row],[Painel]],Tabela13[],2,0)</f>
        <v>CCP</v>
      </c>
      <c r="C595" s="45" t="s">
        <v>1592</v>
      </c>
      <c r="D595" s="21" t="s">
        <v>1817</v>
      </c>
      <c r="E595" s="21">
        <v>55</v>
      </c>
      <c r="F595" s="27" t="str">
        <f>Tabela12[[#This Row],[Régua]]&amp;" ("&amp;Tabela12[[#This Row],[Born]]&amp;")"</f>
        <v>RB-EA10 (55)</v>
      </c>
      <c r="G595" s="27">
        <f>LEN(Tabela12[[#This Row],[Anilha]])</f>
        <v>12</v>
      </c>
      <c r="H595" s="21">
        <f>VLOOKUP(Tabela12[[#This Row],[Tag Cabo]],BD!A:F,6,0)</f>
        <v>1</v>
      </c>
      <c r="I595" s="27" t="s">
        <v>1705</v>
      </c>
      <c r="J595" s="27" t="s">
        <v>1706</v>
      </c>
    </row>
    <row r="596" spans="1:10" x14ac:dyDescent="0.25">
      <c r="A596" s="216" t="s">
        <v>1153</v>
      </c>
      <c r="B596" s="45" t="str">
        <f>VLOOKUP(Tabela12[[#This Row],[Painel]],Tabela13[],2,0)</f>
        <v>GB-351</v>
      </c>
      <c r="C596" s="45" t="s">
        <v>1154</v>
      </c>
      <c r="D596" s="21" t="s">
        <v>1841</v>
      </c>
      <c r="E596" s="21" t="s">
        <v>1820</v>
      </c>
      <c r="F596" s="27" t="str">
        <f>Tabela12[[#This Row],[Régua]]&amp;" ("&amp;Tabela12[[#This Row],[Born]]&amp;")"</f>
        <v>XT35116AX (OUT)</v>
      </c>
      <c r="G596" s="27">
        <f>LEN(Tabela12[[#This Row],[Anilha]])</f>
        <v>15</v>
      </c>
      <c r="H596" s="21">
        <f>VLOOKUP(Tabela12[[#This Row],[Tag Cabo]],BD!A:F,6,0)</f>
        <v>1</v>
      </c>
      <c r="I596" s="27" t="s">
        <v>1705</v>
      </c>
      <c r="J596" s="27" t="s">
        <v>1706</v>
      </c>
    </row>
    <row r="597" spans="1:10" x14ac:dyDescent="0.25">
      <c r="A597" s="216" t="s">
        <v>1153</v>
      </c>
      <c r="B597" s="45" t="str">
        <f>VLOOKUP(Tabela12[[#This Row],[Painel]],Tabela13[],2,0)</f>
        <v>GB-351</v>
      </c>
      <c r="C597" s="45" t="s">
        <v>1154</v>
      </c>
      <c r="D597" s="21" t="s">
        <v>1841</v>
      </c>
      <c r="E597" s="21" t="s">
        <v>1747</v>
      </c>
      <c r="F597" s="27" t="str">
        <f>Tabela12[[#This Row],[Régua]]&amp;" ("&amp;Tabela12[[#This Row],[Born]]&amp;")"</f>
        <v>XT35116AX (COM)</v>
      </c>
      <c r="G597" s="27">
        <f>LEN(Tabela12[[#This Row],[Anilha]])</f>
        <v>15</v>
      </c>
      <c r="H597" s="21">
        <f>VLOOKUP(Tabela12[[#This Row],[Tag Cabo]],BD!A:F,6,0)</f>
        <v>1</v>
      </c>
      <c r="I597" s="27" t="s">
        <v>1705</v>
      </c>
      <c r="J597" s="27" t="s">
        <v>1706</v>
      </c>
    </row>
    <row r="598" spans="1:10" x14ac:dyDescent="0.25">
      <c r="A598" s="216" t="s">
        <v>1153</v>
      </c>
      <c r="B598" s="45" t="str">
        <f>VLOOKUP(Tabela12[[#This Row],[Painel]],Tabela13[],2,0)</f>
        <v>GB-351</v>
      </c>
      <c r="C598" s="45" t="s">
        <v>1154</v>
      </c>
      <c r="D598" s="21" t="s">
        <v>1842</v>
      </c>
      <c r="E598" s="21" t="s">
        <v>1820</v>
      </c>
      <c r="F598" s="27" t="str">
        <f>Tabela12[[#This Row],[Régua]]&amp;" ("&amp;Tabela12[[#This Row],[Born]]&amp;")"</f>
        <v>XT35116BX (OUT)</v>
      </c>
      <c r="G598" s="27">
        <f>LEN(Tabela12[[#This Row],[Anilha]])</f>
        <v>15</v>
      </c>
      <c r="H598" s="21">
        <f>VLOOKUP(Tabela12[[#This Row],[Tag Cabo]],BD!A:F,6,0)</f>
        <v>1</v>
      </c>
      <c r="I598" s="27" t="s">
        <v>1705</v>
      </c>
      <c r="J598" s="27" t="s">
        <v>1706</v>
      </c>
    </row>
    <row r="599" spans="1:10" x14ac:dyDescent="0.25">
      <c r="A599" s="216" t="s">
        <v>1153</v>
      </c>
      <c r="B599" s="45" t="str">
        <f>VLOOKUP(Tabela12[[#This Row],[Painel]],Tabela13[],2,0)</f>
        <v>GB-351</v>
      </c>
      <c r="C599" s="45" t="s">
        <v>1154</v>
      </c>
      <c r="D599" s="21" t="s">
        <v>1842</v>
      </c>
      <c r="E599" s="21" t="s">
        <v>1747</v>
      </c>
      <c r="F599" s="27" t="str">
        <f>Tabela12[[#This Row],[Régua]]&amp;" ("&amp;Tabela12[[#This Row],[Born]]&amp;")"</f>
        <v>XT35116BX (COM)</v>
      </c>
      <c r="G599" s="27">
        <f>LEN(Tabela12[[#This Row],[Anilha]])</f>
        <v>15</v>
      </c>
      <c r="H599" s="21">
        <f>VLOOKUP(Tabela12[[#This Row],[Tag Cabo]],BD!A:F,6,0)</f>
        <v>1</v>
      </c>
      <c r="I599" s="27" t="s">
        <v>1705</v>
      </c>
      <c r="J599" s="27" t="s">
        <v>1706</v>
      </c>
    </row>
    <row r="600" spans="1:10" x14ac:dyDescent="0.25">
      <c r="A600" s="216" t="s">
        <v>1153</v>
      </c>
      <c r="B600" s="45" t="str">
        <f>VLOOKUP(Tabela12[[#This Row],[Painel]],Tabela13[],2,0)</f>
        <v>GB-351</v>
      </c>
      <c r="C600" s="45" t="s">
        <v>1154</v>
      </c>
      <c r="D600" s="21" t="s">
        <v>1843</v>
      </c>
      <c r="E600" s="21" t="s">
        <v>1820</v>
      </c>
      <c r="F600" s="27" t="str">
        <f>Tabela12[[#This Row],[Régua]]&amp;" ("&amp;Tabela12[[#This Row],[Born]]&amp;")"</f>
        <v>XT35117AX (OUT)</v>
      </c>
      <c r="G600" s="27">
        <f>LEN(Tabela12[[#This Row],[Anilha]])</f>
        <v>15</v>
      </c>
      <c r="H600" s="21">
        <f>VLOOKUP(Tabela12[[#This Row],[Tag Cabo]],BD!A:F,6,0)</f>
        <v>1</v>
      </c>
      <c r="I600" s="27" t="s">
        <v>1705</v>
      </c>
      <c r="J600" s="27" t="s">
        <v>1706</v>
      </c>
    </row>
    <row r="601" spans="1:10" x14ac:dyDescent="0.25">
      <c r="A601" s="216" t="s">
        <v>1153</v>
      </c>
      <c r="B601" s="45" t="str">
        <f>VLOOKUP(Tabela12[[#This Row],[Painel]],Tabela13[],2,0)</f>
        <v>GB-351</v>
      </c>
      <c r="C601" s="45" t="s">
        <v>1154</v>
      </c>
      <c r="D601" s="21" t="s">
        <v>1843</v>
      </c>
      <c r="E601" s="21" t="s">
        <v>1747</v>
      </c>
      <c r="F601" s="27" t="str">
        <f>Tabela12[[#This Row],[Régua]]&amp;" ("&amp;Tabela12[[#This Row],[Born]]&amp;")"</f>
        <v>XT35117AX (COM)</v>
      </c>
      <c r="G601" s="27">
        <f>LEN(Tabela12[[#This Row],[Anilha]])</f>
        <v>15</v>
      </c>
      <c r="H601" s="21">
        <f>VLOOKUP(Tabela12[[#This Row],[Tag Cabo]],BD!A:F,6,0)</f>
        <v>1</v>
      </c>
      <c r="I601" s="27" t="s">
        <v>1705</v>
      </c>
      <c r="J601" s="27" t="s">
        <v>1706</v>
      </c>
    </row>
    <row r="602" spans="1:10" x14ac:dyDescent="0.25">
      <c r="A602" s="216" t="s">
        <v>1153</v>
      </c>
      <c r="B602" s="45" t="str">
        <f>VLOOKUP(Tabela12[[#This Row],[Painel]],Tabela13[],2,0)</f>
        <v>GB-351</v>
      </c>
      <c r="C602" s="45" t="s">
        <v>1154</v>
      </c>
      <c r="D602" s="21" t="s">
        <v>1844</v>
      </c>
      <c r="E602" s="21" t="s">
        <v>1820</v>
      </c>
      <c r="F602" s="27" t="str">
        <f>Tabela12[[#This Row],[Régua]]&amp;" ("&amp;Tabela12[[#This Row],[Born]]&amp;")"</f>
        <v>XT35117BX (OUT)</v>
      </c>
      <c r="G602" s="27">
        <f>LEN(Tabela12[[#This Row],[Anilha]])</f>
        <v>15</v>
      </c>
      <c r="H602" s="21">
        <f>VLOOKUP(Tabela12[[#This Row],[Tag Cabo]],BD!A:F,6,0)</f>
        <v>1</v>
      </c>
      <c r="I602" s="27" t="s">
        <v>1705</v>
      </c>
      <c r="J602" s="27" t="s">
        <v>1706</v>
      </c>
    </row>
    <row r="603" spans="1:10" x14ac:dyDescent="0.25">
      <c r="A603" s="216" t="s">
        <v>1153</v>
      </c>
      <c r="B603" s="45" t="str">
        <f>VLOOKUP(Tabela12[[#This Row],[Painel]],Tabela13[],2,0)</f>
        <v>GB-351</v>
      </c>
      <c r="C603" s="45" t="s">
        <v>1154</v>
      </c>
      <c r="D603" s="21" t="s">
        <v>1844</v>
      </c>
      <c r="E603" s="21" t="s">
        <v>1747</v>
      </c>
      <c r="F603" s="27" t="str">
        <f>Tabela12[[#This Row],[Régua]]&amp;" ("&amp;Tabela12[[#This Row],[Born]]&amp;")"</f>
        <v>XT35117BX (COM)</v>
      </c>
      <c r="G603" s="27">
        <f>LEN(Tabela12[[#This Row],[Anilha]])</f>
        <v>15</v>
      </c>
      <c r="H603" s="21">
        <f>VLOOKUP(Tabela12[[#This Row],[Tag Cabo]],BD!A:F,6,0)</f>
        <v>1</v>
      </c>
      <c r="I603" s="27" t="s">
        <v>1705</v>
      </c>
      <c r="J603" s="27" t="s">
        <v>1706</v>
      </c>
    </row>
    <row r="604" spans="1:10" x14ac:dyDescent="0.25">
      <c r="A604" s="216" t="s">
        <v>1153</v>
      </c>
      <c r="B604" s="45" t="str">
        <f>VLOOKUP(Tabela12[[#This Row],[Painel]],Tabela13[],2,0)</f>
        <v>CCP</v>
      </c>
      <c r="C604" s="45" t="s">
        <v>1592</v>
      </c>
      <c r="D604" s="21" t="s">
        <v>1831</v>
      </c>
      <c r="E604" s="21">
        <v>1</v>
      </c>
      <c r="F604" s="27" t="str">
        <f>Tabela12[[#This Row],[Régua]]&amp;" ("&amp;Tabela12[[#This Row],[Born]]&amp;")"</f>
        <v>RB-EA5 (1)</v>
      </c>
      <c r="G604" s="27">
        <f>LEN(Tabela12[[#This Row],[Anilha]])</f>
        <v>10</v>
      </c>
      <c r="H604" s="21">
        <f>VLOOKUP(Tabela12[[#This Row],[Tag Cabo]],BD!A:F,6,0)</f>
        <v>1</v>
      </c>
      <c r="I604" s="27" t="s">
        <v>1705</v>
      </c>
      <c r="J604" s="27" t="s">
        <v>1706</v>
      </c>
    </row>
    <row r="605" spans="1:10" x14ac:dyDescent="0.25">
      <c r="A605" s="216" t="s">
        <v>1153</v>
      </c>
      <c r="B605" s="45" t="str">
        <f>VLOOKUP(Tabela12[[#This Row],[Painel]],Tabela13[],2,0)</f>
        <v>CCP</v>
      </c>
      <c r="C605" s="45" t="s">
        <v>1592</v>
      </c>
      <c r="D605" s="21" t="s">
        <v>1831</v>
      </c>
      <c r="E605" s="21">
        <v>2</v>
      </c>
      <c r="F605" s="27" t="str">
        <f>Tabela12[[#This Row],[Régua]]&amp;" ("&amp;Tabela12[[#This Row],[Born]]&amp;")"</f>
        <v>RB-EA5 (2)</v>
      </c>
      <c r="G605" s="27">
        <f>LEN(Tabela12[[#This Row],[Anilha]])</f>
        <v>10</v>
      </c>
      <c r="H605" s="21">
        <f>VLOOKUP(Tabela12[[#This Row],[Tag Cabo]],BD!A:F,6,0)</f>
        <v>1</v>
      </c>
      <c r="I605" s="27" t="s">
        <v>1705</v>
      </c>
      <c r="J605" s="27" t="s">
        <v>1706</v>
      </c>
    </row>
    <row r="606" spans="1:10" x14ac:dyDescent="0.25">
      <c r="A606" s="216" t="s">
        <v>1153</v>
      </c>
      <c r="B606" s="45" t="str">
        <f>VLOOKUP(Tabela12[[#This Row],[Painel]],Tabela13[],2,0)</f>
        <v>CCP</v>
      </c>
      <c r="C606" s="45" t="s">
        <v>1592</v>
      </c>
      <c r="D606" s="21" t="s">
        <v>1831</v>
      </c>
      <c r="E606" s="21">
        <v>3</v>
      </c>
      <c r="F606" s="27" t="str">
        <f>Tabela12[[#This Row],[Régua]]&amp;" ("&amp;Tabela12[[#This Row],[Born]]&amp;")"</f>
        <v>RB-EA5 (3)</v>
      </c>
      <c r="G606" s="27">
        <f>LEN(Tabela12[[#This Row],[Anilha]])</f>
        <v>10</v>
      </c>
      <c r="H606" s="21">
        <f>VLOOKUP(Tabela12[[#This Row],[Tag Cabo]],BD!A:F,6,0)</f>
        <v>1</v>
      </c>
      <c r="I606" s="27" t="s">
        <v>1705</v>
      </c>
      <c r="J606" s="27" t="s">
        <v>1706</v>
      </c>
    </row>
    <row r="607" spans="1:10" x14ac:dyDescent="0.25">
      <c r="A607" s="216" t="s">
        <v>1153</v>
      </c>
      <c r="B607" s="45" t="str">
        <f>VLOOKUP(Tabela12[[#This Row],[Painel]],Tabela13[],2,0)</f>
        <v>CCP</v>
      </c>
      <c r="C607" s="45" t="s">
        <v>1592</v>
      </c>
      <c r="D607" s="21" t="s">
        <v>1831</v>
      </c>
      <c r="E607" s="21">
        <v>4</v>
      </c>
      <c r="F607" s="27" t="str">
        <f>Tabela12[[#This Row],[Régua]]&amp;" ("&amp;Tabela12[[#This Row],[Born]]&amp;")"</f>
        <v>RB-EA5 (4)</v>
      </c>
      <c r="G607" s="27">
        <f>LEN(Tabela12[[#This Row],[Anilha]])</f>
        <v>10</v>
      </c>
      <c r="H607" s="21">
        <f>VLOOKUP(Tabela12[[#This Row],[Tag Cabo]],BD!A:F,6,0)</f>
        <v>1</v>
      </c>
      <c r="I607" s="27" t="s">
        <v>1705</v>
      </c>
      <c r="J607" s="27" t="s">
        <v>1706</v>
      </c>
    </row>
    <row r="608" spans="1:10" x14ac:dyDescent="0.25">
      <c r="A608" s="216" t="s">
        <v>1153</v>
      </c>
      <c r="B608" s="45" t="str">
        <f>VLOOKUP(Tabela12[[#This Row],[Painel]],Tabela13[],2,0)</f>
        <v>CCP</v>
      </c>
      <c r="C608" s="45" t="s">
        <v>1592</v>
      </c>
      <c r="D608" s="21" t="s">
        <v>1831</v>
      </c>
      <c r="E608" s="21">
        <v>5</v>
      </c>
      <c r="F608" s="27" t="str">
        <f>Tabela12[[#This Row],[Régua]]&amp;" ("&amp;Tabela12[[#This Row],[Born]]&amp;")"</f>
        <v>RB-EA5 (5)</v>
      </c>
      <c r="G608" s="27">
        <f>LEN(Tabela12[[#This Row],[Anilha]])</f>
        <v>10</v>
      </c>
      <c r="H608" s="21">
        <f>VLOOKUP(Tabela12[[#This Row],[Tag Cabo]],BD!A:F,6,0)</f>
        <v>1</v>
      </c>
      <c r="I608" s="27" t="s">
        <v>1705</v>
      </c>
      <c r="J608" s="27" t="s">
        <v>1706</v>
      </c>
    </row>
    <row r="609" spans="1:10" x14ac:dyDescent="0.25">
      <c r="A609" s="216" t="s">
        <v>1153</v>
      </c>
      <c r="B609" s="45" t="str">
        <f>VLOOKUP(Tabela12[[#This Row],[Painel]],Tabela13[],2,0)</f>
        <v>CCP</v>
      </c>
      <c r="C609" s="45" t="s">
        <v>1592</v>
      </c>
      <c r="D609" s="21" t="s">
        <v>1831</v>
      </c>
      <c r="E609" s="21">
        <v>6</v>
      </c>
      <c r="F609" s="27" t="str">
        <f>Tabela12[[#This Row],[Régua]]&amp;" ("&amp;Tabela12[[#This Row],[Born]]&amp;")"</f>
        <v>RB-EA5 (6)</v>
      </c>
      <c r="G609" s="27">
        <f>LEN(Tabela12[[#This Row],[Anilha]])</f>
        <v>10</v>
      </c>
      <c r="H609" s="21">
        <f>VLOOKUP(Tabela12[[#This Row],[Tag Cabo]],BD!A:F,6,0)</f>
        <v>1</v>
      </c>
      <c r="I609" s="27" t="s">
        <v>1705</v>
      </c>
      <c r="J609" s="27" t="s">
        <v>1706</v>
      </c>
    </row>
    <row r="610" spans="1:10" x14ac:dyDescent="0.25">
      <c r="A610" s="216" t="s">
        <v>1153</v>
      </c>
      <c r="B610" s="45" t="str">
        <f>VLOOKUP(Tabela12[[#This Row],[Painel]],Tabela13[],2,0)</f>
        <v>CCP</v>
      </c>
      <c r="C610" s="45" t="s">
        <v>1592</v>
      </c>
      <c r="D610" s="21" t="s">
        <v>1831</v>
      </c>
      <c r="E610" s="21">
        <v>7</v>
      </c>
      <c r="F610" s="27" t="str">
        <f>Tabela12[[#This Row],[Régua]]&amp;" ("&amp;Tabela12[[#This Row],[Born]]&amp;")"</f>
        <v>RB-EA5 (7)</v>
      </c>
      <c r="G610" s="27">
        <f>LEN(Tabela12[[#This Row],[Anilha]])</f>
        <v>10</v>
      </c>
      <c r="H610" s="21">
        <f>VLOOKUP(Tabela12[[#This Row],[Tag Cabo]],BD!A:F,6,0)</f>
        <v>1</v>
      </c>
      <c r="I610" s="27" t="s">
        <v>1705</v>
      </c>
      <c r="J610" s="27" t="s">
        <v>1706</v>
      </c>
    </row>
    <row r="611" spans="1:10" x14ac:dyDescent="0.25">
      <c r="A611" s="216" t="s">
        <v>1153</v>
      </c>
      <c r="B611" s="45" t="str">
        <f>VLOOKUP(Tabela12[[#This Row],[Painel]],Tabela13[],2,0)</f>
        <v>CCP</v>
      </c>
      <c r="C611" s="45" t="s">
        <v>1592</v>
      </c>
      <c r="D611" s="21" t="s">
        <v>1832</v>
      </c>
      <c r="E611" s="21">
        <v>1</v>
      </c>
      <c r="F611" s="27" t="str">
        <f>Tabela12[[#This Row],[Régua]]&amp;" ("&amp;Tabela12[[#This Row],[Born]]&amp;")"</f>
        <v>RB-EA6 (1)</v>
      </c>
      <c r="G611" s="27">
        <f>LEN(Tabela12[[#This Row],[Anilha]])</f>
        <v>10</v>
      </c>
      <c r="H611" s="21">
        <f>VLOOKUP(Tabela12[[#This Row],[Tag Cabo]],BD!A:F,6,0)</f>
        <v>1</v>
      </c>
      <c r="I611" s="27" t="s">
        <v>1705</v>
      </c>
      <c r="J611" s="27" t="s">
        <v>1706</v>
      </c>
    </row>
    <row r="612" spans="1:10" x14ac:dyDescent="0.25">
      <c r="A612" s="216" t="s">
        <v>1153</v>
      </c>
      <c r="B612" s="45" t="str">
        <f>VLOOKUP(Tabela12[[#This Row],[Painel]],Tabela13[],2,0)</f>
        <v>CCP</v>
      </c>
      <c r="C612" s="45" t="s">
        <v>1592</v>
      </c>
      <c r="D612" s="21" t="s">
        <v>1832</v>
      </c>
      <c r="E612" s="21">
        <v>2</v>
      </c>
      <c r="F612" s="27" t="str">
        <f>Tabela12[[#This Row],[Régua]]&amp;" ("&amp;Tabela12[[#This Row],[Born]]&amp;")"</f>
        <v>RB-EA6 (2)</v>
      </c>
      <c r="G612" s="27">
        <f>LEN(Tabela12[[#This Row],[Anilha]])</f>
        <v>10</v>
      </c>
      <c r="H612" s="21">
        <f>VLOOKUP(Tabela12[[#This Row],[Tag Cabo]],BD!A:F,6,0)</f>
        <v>1</v>
      </c>
      <c r="I612" s="27" t="s">
        <v>1705</v>
      </c>
      <c r="J612" s="27" t="s">
        <v>1706</v>
      </c>
    </row>
    <row r="613" spans="1:10" x14ac:dyDescent="0.25">
      <c r="A613" s="216" t="s">
        <v>1153</v>
      </c>
      <c r="B613" s="45" t="str">
        <f>VLOOKUP(Tabela12[[#This Row],[Painel]],Tabela13[],2,0)</f>
        <v>CCP</v>
      </c>
      <c r="C613" s="45" t="s">
        <v>1592</v>
      </c>
      <c r="D613" s="21" t="s">
        <v>1832</v>
      </c>
      <c r="E613" s="21">
        <v>3</v>
      </c>
      <c r="F613" s="27" t="str">
        <f>Tabela12[[#This Row],[Régua]]&amp;" ("&amp;Tabela12[[#This Row],[Born]]&amp;")"</f>
        <v>RB-EA6 (3)</v>
      </c>
      <c r="G613" s="27">
        <f>LEN(Tabela12[[#This Row],[Anilha]])</f>
        <v>10</v>
      </c>
      <c r="H613" s="21">
        <f>VLOOKUP(Tabela12[[#This Row],[Tag Cabo]],BD!A:F,6,0)</f>
        <v>1</v>
      </c>
      <c r="I613" s="27" t="s">
        <v>1705</v>
      </c>
      <c r="J613" s="27" t="s">
        <v>1706</v>
      </c>
    </row>
    <row r="614" spans="1:10" x14ac:dyDescent="0.25">
      <c r="A614" s="216" t="s">
        <v>1153</v>
      </c>
      <c r="B614" s="45" t="str">
        <f>VLOOKUP(Tabela12[[#This Row],[Painel]],Tabela13[],2,0)</f>
        <v>CCP</v>
      </c>
      <c r="C614" s="45" t="s">
        <v>1592</v>
      </c>
      <c r="D614" s="21" t="s">
        <v>1832</v>
      </c>
      <c r="E614" s="21">
        <v>4</v>
      </c>
      <c r="F614" s="27" t="str">
        <f>Tabela12[[#This Row],[Régua]]&amp;" ("&amp;Tabela12[[#This Row],[Born]]&amp;")"</f>
        <v>RB-EA6 (4)</v>
      </c>
      <c r="G614" s="27">
        <f>LEN(Tabela12[[#This Row],[Anilha]])</f>
        <v>10</v>
      </c>
      <c r="H614" s="21">
        <f>VLOOKUP(Tabela12[[#This Row],[Tag Cabo]],BD!A:F,6,0)</f>
        <v>1</v>
      </c>
      <c r="I614" s="27" t="s">
        <v>1705</v>
      </c>
      <c r="J614" s="27" t="s">
        <v>1706</v>
      </c>
    </row>
    <row r="615" spans="1:10" x14ac:dyDescent="0.25">
      <c r="A615" s="216" t="s">
        <v>1153</v>
      </c>
      <c r="B615" s="45" t="str">
        <f>VLOOKUP(Tabela12[[#This Row],[Painel]],Tabela13[],2,0)</f>
        <v>CCP</v>
      </c>
      <c r="C615" s="45" t="s">
        <v>1592</v>
      </c>
      <c r="D615" s="21" t="s">
        <v>1832</v>
      </c>
      <c r="E615" s="21">
        <v>5</v>
      </c>
      <c r="F615" s="27" t="str">
        <f>Tabela12[[#This Row],[Régua]]&amp;" ("&amp;Tabela12[[#This Row],[Born]]&amp;")"</f>
        <v>RB-EA6 (5)</v>
      </c>
      <c r="G615" s="27">
        <f>LEN(Tabela12[[#This Row],[Anilha]])</f>
        <v>10</v>
      </c>
      <c r="H615" s="21">
        <f>VLOOKUP(Tabela12[[#This Row],[Tag Cabo]],BD!A:F,6,0)</f>
        <v>1</v>
      </c>
      <c r="I615" s="27" t="s">
        <v>1705</v>
      </c>
      <c r="J615" s="27" t="s">
        <v>1706</v>
      </c>
    </row>
    <row r="616" spans="1:10" x14ac:dyDescent="0.25">
      <c r="A616" s="216" t="s">
        <v>1153</v>
      </c>
      <c r="B616" s="45" t="str">
        <f>VLOOKUP(Tabela12[[#This Row],[Painel]],Tabela13[],2,0)</f>
        <v>CCP</v>
      </c>
      <c r="C616" s="45" t="s">
        <v>1592</v>
      </c>
      <c r="D616" s="21" t="s">
        <v>1832</v>
      </c>
      <c r="E616" s="21">
        <v>6</v>
      </c>
      <c r="F616" s="27" t="str">
        <f>Tabela12[[#This Row],[Régua]]&amp;" ("&amp;Tabela12[[#This Row],[Born]]&amp;")"</f>
        <v>RB-EA6 (6)</v>
      </c>
      <c r="G616" s="27">
        <f>LEN(Tabela12[[#This Row],[Anilha]])</f>
        <v>10</v>
      </c>
      <c r="H616" s="21">
        <f>VLOOKUP(Tabela12[[#This Row],[Tag Cabo]],BD!A:F,6,0)</f>
        <v>1</v>
      </c>
      <c r="I616" s="27" t="s">
        <v>1705</v>
      </c>
      <c r="J616" s="27" t="s">
        <v>1706</v>
      </c>
    </row>
    <row r="617" spans="1:10" x14ac:dyDescent="0.25">
      <c r="A617" s="216" t="s">
        <v>1153</v>
      </c>
      <c r="B617" s="45" t="str">
        <f>VLOOKUP(Tabela12[[#This Row],[Painel]],Tabela13[],2,0)</f>
        <v>CCP</v>
      </c>
      <c r="C617" s="45" t="s">
        <v>1592</v>
      </c>
      <c r="D617" s="21" t="s">
        <v>1832</v>
      </c>
      <c r="E617" s="21">
        <v>7</v>
      </c>
      <c r="F617" s="27" t="str">
        <f>Tabela12[[#This Row],[Régua]]&amp;" ("&amp;Tabela12[[#This Row],[Born]]&amp;")"</f>
        <v>RB-EA6 (7)</v>
      </c>
      <c r="G617" s="27">
        <f>LEN(Tabela12[[#This Row],[Anilha]])</f>
        <v>10</v>
      </c>
      <c r="H617" s="21">
        <f>VLOOKUP(Tabela12[[#This Row],[Tag Cabo]],BD!A:F,6,0)</f>
        <v>1</v>
      </c>
      <c r="I617" s="27" t="s">
        <v>1705</v>
      </c>
      <c r="J617" s="27" t="s">
        <v>1706</v>
      </c>
    </row>
    <row r="618" spans="1:10" x14ac:dyDescent="0.25">
      <c r="A618" s="216" t="s">
        <v>1155</v>
      </c>
      <c r="B618" s="45" t="str">
        <f>VLOOKUP(Tabela12[[#This Row],[Painel]],Tabela13[],2,0)</f>
        <v>GB-351</v>
      </c>
      <c r="C618" s="45" t="s">
        <v>1151</v>
      </c>
      <c r="D618" s="21" t="s">
        <v>1151</v>
      </c>
      <c r="E618" s="21">
        <v>41</v>
      </c>
      <c r="F618" s="27" t="str">
        <f>Tabela12[[#This Row],[Régua]]&amp;"-"&amp;Tabela12[[#This Row],[Born]]</f>
        <v>JBI-35-106X-41</v>
      </c>
      <c r="G618" s="27">
        <f>LEN(Tabela12[[#This Row],[Anilha]])</f>
        <v>14</v>
      </c>
      <c r="H618" s="21">
        <f>VLOOKUP(Tabela12[[#This Row],[Tag Cabo]],BD!A:F,6,0)</f>
        <v>1</v>
      </c>
      <c r="I618" s="27" t="s">
        <v>1705</v>
      </c>
      <c r="J618" s="27" t="s">
        <v>1706</v>
      </c>
    </row>
    <row r="619" spans="1:10" x14ac:dyDescent="0.25">
      <c r="A619" s="216" t="s">
        <v>1155</v>
      </c>
      <c r="B619" s="45" t="str">
        <f>VLOOKUP(Tabela12[[#This Row],[Painel]],Tabela13[],2,0)</f>
        <v>GB-351</v>
      </c>
      <c r="C619" s="45" t="s">
        <v>1151</v>
      </c>
      <c r="D619" s="21" t="s">
        <v>1151</v>
      </c>
      <c r="E619" s="21">
        <v>42</v>
      </c>
      <c r="F619" s="27" t="str">
        <f>Tabela12[[#This Row],[Régua]]&amp;"-"&amp;Tabela12[[#This Row],[Born]]</f>
        <v>JBI-35-106X-42</v>
      </c>
      <c r="G619" s="27">
        <f>LEN(Tabela12[[#This Row],[Anilha]])</f>
        <v>14</v>
      </c>
      <c r="H619" s="21">
        <f>VLOOKUP(Tabela12[[#This Row],[Tag Cabo]],BD!A:F,6,0)</f>
        <v>1</v>
      </c>
      <c r="I619" s="27" t="s">
        <v>1705</v>
      </c>
      <c r="J619" s="27" t="s">
        <v>1706</v>
      </c>
    </row>
    <row r="620" spans="1:10" x14ac:dyDescent="0.25">
      <c r="A620" s="216" t="s">
        <v>1155</v>
      </c>
      <c r="B620" s="45" t="str">
        <f>VLOOKUP(Tabela12[[#This Row],[Painel]],Tabela13[],2,0)</f>
        <v>GB-351</v>
      </c>
      <c r="C620" s="45" t="s">
        <v>1151</v>
      </c>
      <c r="D620" s="21" t="s">
        <v>1151</v>
      </c>
      <c r="E620" s="21">
        <v>43</v>
      </c>
      <c r="F620" s="27" t="str">
        <f>Tabela12[[#This Row],[Régua]]&amp;"-"&amp;Tabela12[[#This Row],[Born]]</f>
        <v>JBI-35-106X-43</v>
      </c>
      <c r="G620" s="27">
        <f>LEN(Tabela12[[#This Row],[Anilha]])</f>
        <v>14</v>
      </c>
      <c r="H620" s="21">
        <f>VLOOKUP(Tabela12[[#This Row],[Tag Cabo]],BD!A:F,6,0)</f>
        <v>1</v>
      </c>
      <c r="I620" s="27" t="s">
        <v>1705</v>
      </c>
      <c r="J620" s="27" t="s">
        <v>1706</v>
      </c>
    </row>
    <row r="621" spans="1:10" x14ac:dyDescent="0.25">
      <c r="A621" s="216" t="s">
        <v>1155</v>
      </c>
      <c r="B621" s="45" t="str">
        <f>VLOOKUP(Tabela12[[#This Row],[Painel]],Tabela13[],2,0)</f>
        <v>GB-351</v>
      </c>
      <c r="C621" s="45" t="s">
        <v>1151</v>
      </c>
      <c r="D621" s="21" t="s">
        <v>1151</v>
      </c>
      <c r="E621" s="21">
        <v>45</v>
      </c>
      <c r="F621" s="27" t="str">
        <f>Tabela12[[#This Row],[Régua]]&amp;"-"&amp;Tabela12[[#This Row],[Born]]</f>
        <v>JBI-35-106X-45</v>
      </c>
      <c r="G621" s="27">
        <f>LEN(Tabela12[[#This Row],[Anilha]])</f>
        <v>14</v>
      </c>
      <c r="H621" s="21">
        <f>VLOOKUP(Tabela12[[#This Row],[Tag Cabo]],BD!A:F,6,0)</f>
        <v>1</v>
      </c>
      <c r="I621" s="27" t="s">
        <v>1705</v>
      </c>
      <c r="J621" s="27" t="s">
        <v>1706</v>
      </c>
    </row>
    <row r="622" spans="1:10" x14ac:dyDescent="0.25">
      <c r="A622" s="216" t="s">
        <v>1155</v>
      </c>
      <c r="B622" s="45" t="str">
        <f>VLOOKUP(Tabela12[[#This Row],[Painel]],Tabela13[],2,0)</f>
        <v>GB-351</v>
      </c>
      <c r="C622" s="45" t="s">
        <v>1151</v>
      </c>
      <c r="D622" s="21" t="s">
        <v>1151</v>
      </c>
      <c r="E622" s="21">
        <v>46</v>
      </c>
      <c r="F622" s="27" t="str">
        <f>Tabela12[[#This Row],[Régua]]&amp;"-"&amp;Tabela12[[#This Row],[Born]]</f>
        <v>JBI-35-106X-46</v>
      </c>
      <c r="G622" s="27">
        <f>LEN(Tabela12[[#This Row],[Anilha]])</f>
        <v>14</v>
      </c>
      <c r="H622" s="21">
        <f>VLOOKUP(Tabela12[[#This Row],[Tag Cabo]],BD!A:F,6,0)</f>
        <v>1</v>
      </c>
      <c r="I622" s="27" t="s">
        <v>1705</v>
      </c>
      <c r="J622" s="27" t="s">
        <v>1706</v>
      </c>
    </row>
    <row r="623" spans="1:10" x14ac:dyDescent="0.25">
      <c r="A623" s="216" t="s">
        <v>1155</v>
      </c>
      <c r="B623" s="45" t="str">
        <f>VLOOKUP(Tabela12[[#This Row],[Painel]],Tabela13[],2,0)</f>
        <v>GB-351</v>
      </c>
      <c r="C623" s="45" t="s">
        <v>1151</v>
      </c>
      <c r="D623" s="21" t="s">
        <v>1151</v>
      </c>
      <c r="E623" s="21">
        <v>47</v>
      </c>
      <c r="F623" s="27" t="str">
        <f>Tabela12[[#This Row],[Régua]]&amp;"-"&amp;Tabela12[[#This Row],[Born]]</f>
        <v>JBI-35-106X-47</v>
      </c>
      <c r="G623" s="27">
        <f>LEN(Tabela12[[#This Row],[Anilha]])</f>
        <v>14</v>
      </c>
      <c r="H623" s="21">
        <f>VLOOKUP(Tabela12[[#This Row],[Tag Cabo]],BD!A:F,6,0)</f>
        <v>1</v>
      </c>
      <c r="I623" s="27" t="s">
        <v>1705</v>
      </c>
      <c r="J623" s="27" t="s">
        <v>1706</v>
      </c>
    </row>
    <row r="624" spans="1:10" x14ac:dyDescent="0.25">
      <c r="A624" s="216" t="s">
        <v>1155</v>
      </c>
      <c r="B624" s="45" t="str">
        <f>VLOOKUP(Tabela12[[#This Row],[Painel]],Tabela13[],2,0)</f>
        <v>GB-351</v>
      </c>
      <c r="C624" s="45" t="s">
        <v>1151</v>
      </c>
      <c r="D624" s="21" t="s">
        <v>1151</v>
      </c>
      <c r="E624" s="21">
        <v>49</v>
      </c>
      <c r="F624" s="27" t="str">
        <f>Tabela12[[#This Row],[Régua]]&amp;"-"&amp;Tabela12[[#This Row],[Born]]</f>
        <v>JBI-35-106X-49</v>
      </c>
      <c r="G624" s="27">
        <f>LEN(Tabela12[[#This Row],[Anilha]])</f>
        <v>14</v>
      </c>
      <c r="H624" s="21">
        <f>VLOOKUP(Tabela12[[#This Row],[Tag Cabo]],BD!A:F,6,0)</f>
        <v>1</v>
      </c>
      <c r="I624" s="27" t="s">
        <v>1705</v>
      </c>
      <c r="J624" s="27" t="s">
        <v>1706</v>
      </c>
    </row>
    <row r="625" spans="1:10" x14ac:dyDescent="0.25">
      <c r="A625" s="216" t="s">
        <v>1155</v>
      </c>
      <c r="B625" s="45" t="str">
        <f>VLOOKUP(Tabela12[[#This Row],[Painel]],Tabela13[],2,0)</f>
        <v>GB-351</v>
      </c>
      <c r="C625" s="45" t="s">
        <v>1151</v>
      </c>
      <c r="D625" s="21" t="s">
        <v>1151</v>
      </c>
      <c r="E625" s="21">
        <v>50</v>
      </c>
      <c r="F625" s="27" t="str">
        <f>Tabela12[[#This Row],[Régua]]&amp;"-"&amp;Tabela12[[#This Row],[Born]]</f>
        <v>JBI-35-106X-50</v>
      </c>
      <c r="G625" s="27">
        <f>LEN(Tabela12[[#This Row],[Anilha]])</f>
        <v>14</v>
      </c>
      <c r="H625" s="21">
        <f>VLOOKUP(Tabela12[[#This Row],[Tag Cabo]],BD!A:F,6,0)</f>
        <v>1</v>
      </c>
      <c r="I625" s="27" t="s">
        <v>1705</v>
      </c>
      <c r="J625" s="27" t="s">
        <v>1706</v>
      </c>
    </row>
    <row r="626" spans="1:10" x14ac:dyDescent="0.25">
      <c r="A626" s="216" t="s">
        <v>1155</v>
      </c>
      <c r="B626" s="45" t="str">
        <f>VLOOKUP(Tabela12[[#This Row],[Painel]],Tabela13[],2,0)</f>
        <v>GB-351</v>
      </c>
      <c r="C626" s="45" t="s">
        <v>1151</v>
      </c>
      <c r="D626" s="21" t="s">
        <v>1151</v>
      </c>
      <c r="E626" s="21">
        <v>51</v>
      </c>
      <c r="F626" s="27" t="str">
        <f>Tabela12[[#This Row],[Régua]]&amp;"-"&amp;Tabela12[[#This Row],[Born]]</f>
        <v>JBI-35-106X-51</v>
      </c>
      <c r="G626" s="27">
        <f>LEN(Tabela12[[#This Row],[Anilha]])</f>
        <v>14</v>
      </c>
      <c r="H626" s="21">
        <f>VLOOKUP(Tabela12[[#This Row],[Tag Cabo]],BD!A:F,6,0)</f>
        <v>1</v>
      </c>
      <c r="I626" s="27" t="s">
        <v>1705</v>
      </c>
      <c r="J626" s="27" t="s">
        <v>1706</v>
      </c>
    </row>
    <row r="627" spans="1:10" x14ac:dyDescent="0.25">
      <c r="A627" s="216" t="s">
        <v>1155</v>
      </c>
      <c r="B627" s="45" t="str">
        <f>VLOOKUP(Tabela12[[#This Row],[Painel]],Tabela13[],2,0)</f>
        <v>GB-351</v>
      </c>
      <c r="C627" s="45" t="s">
        <v>1151</v>
      </c>
      <c r="D627" s="21" t="s">
        <v>1151</v>
      </c>
      <c r="E627" s="21">
        <v>53</v>
      </c>
      <c r="F627" s="27" t="str">
        <f>Tabela12[[#This Row],[Régua]]&amp;"-"&amp;Tabela12[[#This Row],[Born]]</f>
        <v>JBI-35-106X-53</v>
      </c>
      <c r="G627" s="27">
        <f>LEN(Tabela12[[#This Row],[Anilha]])</f>
        <v>14</v>
      </c>
      <c r="H627" s="21">
        <f>VLOOKUP(Tabela12[[#This Row],[Tag Cabo]],BD!A:F,6,0)</f>
        <v>1</v>
      </c>
      <c r="I627" s="27" t="s">
        <v>1705</v>
      </c>
      <c r="J627" s="27" t="s">
        <v>1706</v>
      </c>
    </row>
    <row r="628" spans="1:10" x14ac:dyDescent="0.25">
      <c r="A628" s="216" t="s">
        <v>1155</v>
      </c>
      <c r="B628" s="45" t="str">
        <f>VLOOKUP(Tabela12[[#This Row],[Painel]],Tabela13[],2,0)</f>
        <v>GB-351</v>
      </c>
      <c r="C628" s="45" t="s">
        <v>1151</v>
      </c>
      <c r="D628" s="21" t="s">
        <v>1151</v>
      </c>
      <c r="E628" s="21">
        <v>54</v>
      </c>
      <c r="F628" s="27" t="str">
        <f>Tabela12[[#This Row],[Régua]]&amp;"-"&amp;Tabela12[[#This Row],[Born]]</f>
        <v>JBI-35-106X-54</v>
      </c>
      <c r="G628" s="27">
        <f>LEN(Tabela12[[#This Row],[Anilha]])</f>
        <v>14</v>
      </c>
      <c r="H628" s="21">
        <f>VLOOKUP(Tabela12[[#This Row],[Tag Cabo]],BD!A:F,6,0)</f>
        <v>1</v>
      </c>
      <c r="I628" s="27" t="s">
        <v>1705</v>
      </c>
      <c r="J628" s="27" t="s">
        <v>1706</v>
      </c>
    </row>
    <row r="629" spans="1:10" x14ac:dyDescent="0.25">
      <c r="A629" s="216" t="s">
        <v>1155</v>
      </c>
      <c r="B629" s="45" t="str">
        <f>VLOOKUP(Tabela12[[#This Row],[Painel]],Tabela13[],2,0)</f>
        <v>GB-351</v>
      </c>
      <c r="C629" s="45" t="s">
        <v>1151</v>
      </c>
      <c r="D629" s="21" t="s">
        <v>1151</v>
      </c>
      <c r="E629" s="21">
        <v>55</v>
      </c>
      <c r="F629" s="27" t="str">
        <f>Tabela12[[#This Row],[Régua]]&amp;"-"&amp;Tabela12[[#This Row],[Born]]</f>
        <v>JBI-35-106X-55</v>
      </c>
      <c r="G629" s="27">
        <f>LEN(Tabela12[[#This Row],[Anilha]])</f>
        <v>14</v>
      </c>
      <c r="H629" s="21">
        <f>VLOOKUP(Tabela12[[#This Row],[Tag Cabo]],BD!A:F,6,0)</f>
        <v>1</v>
      </c>
      <c r="I629" s="27" t="s">
        <v>1705</v>
      </c>
      <c r="J629" s="27" t="s">
        <v>1706</v>
      </c>
    </row>
    <row r="630" spans="1:10" x14ac:dyDescent="0.25">
      <c r="A630" s="216" t="s">
        <v>1155</v>
      </c>
      <c r="B630" s="45" t="str">
        <f>VLOOKUP(Tabela12[[#This Row],[Painel]],Tabela13[],2,0)</f>
        <v>GB-351</v>
      </c>
      <c r="C630" s="45" t="s">
        <v>1151</v>
      </c>
      <c r="D630" s="21" t="s">
        <v>1151</v>
      </c>
      <c r="E630" s="21">
        <v>57</v>
      </c>
      <c r="F630" s="27" t="str">
        <f>Tabela12[[#This Row],[Régua]]&amp;"-"&amp;Tabela12[[#This Row],[Born]]</f>
        <v>JBI-35-106X-57</v>
      </c>
      <c r="G630" s="27">
        <f>LEN(Tabela12[[#This Row],[Anilha]])</f>
        <v>14</v>
      </c>
      <c r="H630" s="21">
        <f>VLOOKUP(Tabela12[[#This Row],[Tag Cabo]],BD!A:F,6,0)</f>
        <v>1</v>
      </c>
      <c r="I630" s="27" t="s">
        <v>1705</v>
      </c>
      <c r="J630" s="27" t="s">
        <v>1706</v>
      </c>
    </row>
    <row r="631" spans="1:10" x14ac:dyDescent="0.25">
      <c r="A631" s="216" t="s">
        <v>1155</v>
      </c>
      <c r="B631" s="45" t="str">
        <f>VLOOKUP(Tabela12[[#This Row],[Painel]],Tabela13[],2,0)</f>
        <v>GB-351</v>
      </c>
      <c r="C631" s="45" t="s">
        <v>1151</v>
      </c>
      <c r="D631" s="21" t="s">
        <v>1151</v>
      </c>
      <c r="E631" s="21">
        <v>58</v>
      </c>
      <c r="F631" s="27" t="str">
        <f>Tabela12[[#This Row],[Régua]]&amp;"-"&amp;Tabela12[[#This Row],[Born]]</f>
        <v>JBI-35-106X-58</v>
      </c>
      <c r="G631" s="27">
        <f>LEN(Tabela12[[#This Row],[Anilha]])</f>
        <v>14</v>
      </c>
      <c r="H631" s="21">
        <f>VLOOKUP(Tabela12[[#This Row],[Tag Cabo]],BD!A:F,6,0)</f>
        <v>1</v>
      </c>
      <c r="I631" s="27" t="s">
        <v>1705</v>
      </c>
      <c r="J631" s="27" t="s">
        <v>1706</v>
      </c>
    </row>
    <row r="632" spans="1:10" x14ac:dyDescent="0.25">
      <c r="A632" s="216" t="s">
        <v>1155</v>
      </c>
      <c r="B632" s="45" t="str">
        <f>VLOOKUP(Tabela12[[#This Row],[Painel]],Tabela13[],2,0)</f>
        <v>GB-351</v>
      </c>
      <c r="C632" s="45" t="s">
        <v>1151</v>
      </c>
      <c r="D632" s="21" t="s">
        <v>1151</v>
      </c>
      <c r="E632" s="21">
        <v>59</v>
      </c>
      <c r="F632" s="27" t="str">
        <f>Tabela12[[#This Row],[Régua]]&amp;"-"&amp;Tabela12[[#This Row],[Born]]</f>
        <v>JBI-35-106X-59</v>
      </c>
      <c r="G632" s="27">
        <f>LEN(Tabela12[[#This Row],[Anilha]])</f>
        <v>14</v>
      </c>
      <c r="H632" s="21">
        <f>VLOOKUP(Tabela12[[#This Row],[Tag Cabo]],BD!A:F,6,0)</f>
        <v>1</v>
      </c>
      <c r="I632" s="27" t="s">
        <v>1705</v>
      </c>
      <c r="J632" s="27" t="s">
        <v>1706</v>
      </c>
    </row>
    <row r="633" spans="1:10" x14ac:dyDescent="0.25">
      <c r="A633" s="216" t="s">
        <v>1155</v>
      </c>
      <c r="B633" s="45" t="str">
        <f>VLOOKUP(Tabela12[[#This Row],[Painel]],Tabela13[],2,0)</f>
        <v>GB-351</v>
      </c>
      <c r="C633" s="45" t="s">
        <v>1151</v>
      </c>
      <c r="D633" s="21" t="s">
        <v>1151</v>
      </c>
      <c r="E633" s="21">
        <v>61</v>
      </c>
      <c r="F633" s="27" t="str">
        <f>Tabela12[[#This Row],[Régua]]&amp;"-"&amp;Tabela12[[#This Row],[Born]]</f>
        <v>JBI-35-106X-61</v>
      </c>
      <c r="G633" s="27">
        <f>LEN(Tabela12[[#This Row],[Anilha]])</f>
        <v>14</v>
      </c>
      <c r="H633" s="21">
        <f>VLOOKUP(Tabela12[[#This Row],[Tag Cabo]],BD!A:F,6,0)</f>
        <v>1</v>
      </c>
      <c r="I633" s="27" t="s">
        <v>1705</v>
      </c>
      <c r="J633" s="27" t="s">
        <v>1706</v>
      </c>
    </row>
    <row r="634" spans="1:10" x14ac:dyDescent="0.25">
      <c r="A634" s="216" t="s">
        <v>1155</v>
      </c>
      <c r="B634" s="45" t="str">
        <f>VLOOKUP(Tabela12[[#This Row],[Painel]],Tabela13[],2,0)</f>
        <v>GB-351</v>
      </c>
      <c r="C634" s="45" t="s">
        <v>1151</v>
      </c>
      <c r="D634" s="21" t="s">
        <v>1151</v>
      </c>
      <c r="E634" s="21">
        <v>62</v>
      </c>
      <c r="F634" s="27" t="str">
        <f>Tabela12[[#This Row],[Régua]]&amp;"-"&amp;Tabela12[[#This Row],[Born]]</f>
        <v>JBI-35-106X-62</v>
      </c>
      <c r="G634" s="27">
        <f>LEN(Tabela12[[#This Row],[Anilha]])</f>
        <v>14</v>
      </c>
      <c r="H634" s="21">
        <f>VLOOKUP(Tabela12[[#This Row],[Tag Cabo]],BD!A:F,6,0)</f>
        <v>1</v>
      </c>
      <c r="I634" s="27" t="s">
        <v>1705</v>
      </c>
      <c r="J634" s="27" t="s">
        <v>1706</v>
      </c>
    </row>
    <row r="635" spans="1:10" x14ac:dyDescent="0.25">
      <c r="A635" s="216" t="s">
        <v>1155</v>
      </c>
      <c r="B635" s="45" t="str">
        <f>VLOOKUP(Tabela12[[#This Row],[Painel]],Tabela13[],2,0)</f>
        <v>GB-351</v>
      </c>
      <c r="C635" s="45" t="s">
        <v>1151</v>
      </c>
      <c r="D635" s="21" t="s">
        <v>1151</v>
      </c>
      <c r="E635" s="21">
        <v>63</v>
      </c>
      <c r="F635" s="27" t="str">
        <f>Tabela12[[#This Row],[Régua]]&amp;"-"&amp;Tabela12[[#This Row],[Born]]</f>
        <v>JBI-35-106X-63</v>
      </c>
      <c r="G635" s="27">
        <f>LEN(Tabela12[[#This Row],[Anilha]])</f>
        <v>14</v>
      </c>
      <c r="H635" s="21">
        <f>VLOOKUP(Tabela12[[#This Row],[Tag Cabo]],BD!A:F,6,0)</f>
        <v>1</v>
      </c>
      <c r="I635" s="27" t="s">
        <v>1705</v>
      </c>
      <c r="J635" s="27" t="s">
        <v>1706</v>
      </c>
    </row>
    <row r="636" spans="1:10" x14ac:dyDescent="0.25">
      <c r="A636" s="216" t="s">
        <v>1155</v>
      </c>
      <c r="B636" s="45" t="str">
        <f>VLOOKUP(Tabela12[[#This Row],[Painel]],Tabela13[],2,0)</f>
        <v>CCP</v>
      </c>
      <c r="C636" s="45" t="s">
        <v>1592</v>
      </c>
      <c r="D636" s="21" t="s">
        <v>1817</v>
      </c>
      <c r="E636" s="21">
        <v>17</v>
      </c>
      <c r="F636" s="27" t="str">
        <f>Tabela12[[#This Row],[Régua]]&amp;" ("&amp;Tabela12[[#This Row],[Born]]&amp;")"</f>
        <v>RB-EA10 (17)</v>
      </c>
      <c r="G636" s="27">
        <f>LEN(Tabela12[[#This Row],[Anilha]])</f>
        <v>12</v>
      </c>
      <c r="H636" s="21">
        <f>VLOOKUP(Tabela12[[#This Row],[Tag Cabo]],BD!A:F,6,0)</f>
        <v>1</v>
      </c>
      <c r="I636" s="27" t="s">
        <v>1705</v>
      </c>
      <c r="J636" s="27" t="s">
        <v>1706</v>
      </c>
    </row>
    <row r="637" spans="1:10" x14ac:dyDescent="0.25">
      <c r="A637" s="216" t="s">
        <v>1155</v>
      </c>
      <c r="B637" s="45" t="str">
        <f>VLOOKUP(Tabela12[[#This Row],[Painel]],Tabela13[],2,0)</f>
        <v>CCP</v>
      </c>
      <c r="C637" s="45" t="s">
        <v>1592</v>
      </c>
      <c r="D637" s="21" t="s">
        <v>1817</v>
      </c>
      <c r="E637" s="21">
        <v>18</v>
      </c>
      <c r="F637" s="27" t="str">
        <f>Tabela12[[#This Row],[Régua]]&amp;" ("&amp;Tabela12[[#This Row],[Born]]&amp;")"</f>
        <v>RB-EA10 (18)</v>
      </c>
      <c r="G637" s="27">
        <f>LEN(Tabela12[[#This Row],[Anilha]])</f>
        <v>12</v>
      </c>
      <c r="H637" s="21">
        <f>VLOOKUP(Tabela12[[#This Row],[Tag Cabo]],BD!A:F,6,0)</f>
        <v>1</v>
      </c>
      <c r="I637" s="27" t="s">
        <v>1705</v>
      </c>
      <c r="J637" s="27" t="s">
        <v>1706</v>
      </c>
    </row>
    <row r="638" spans="1:10" x14ac:dyDescent="0.25">
      <c r="A638" s="216" t="s">
        <v>1155</v>
      </c>
      <c r="B638" s="45" t="str">
        <f>VLOOKUP(Tabela12[[#This Row],[Painel]],Tabela13[],2,0)</f>
        <v>CCP</v>
      </c>
      <c r="C638" s="45" t="s">
        <v>1592</v>
      </c>
      <c r="D638" s="21" t="s">
        <v>1817</v>
      </c>
      <c r="E638" s="21">
        <v>19</v>
      </c>
      <c r="F638" s="27" t="str">
        <f>Tabela12[[#This Row],[Régua]]&amp;" ("&amp;Tabela12[[#This Row],[Born]]&amp;")"</f>
        <v>RB-EA10 (19)</v>
      </c>
      <c r="G638" s="27">
        <f>LEN(Tabela12[[#This Row],[Anilha]])</f>
        <v>12</v>
      </c>
      <c r="H638" s="21">
        <f>VLOOKUP(Tabela12[[#This Row],[Tag Cabo]],BD!A:F,6,0)</f>
        <v>1</v>
      </c>
      <c r="I638" s="27" t="s">
        <v>1705</v>
      </c>
      <c r="J638" s="27" t="s">
        <v>1706</v>
      </c>
    </row>
    <row r="639" spans="1:10" x14ac:dyDescent="0.25">
      <c r="A639" s="216" t="s">
        <v>1155</v>
      </c>
      <c r="B639" s="45" t="str">
        <f>VLOOKUP(Tabela12[[#This Row],[Painel]],Tabela13[],2,0)</f>
        <v>CCP</v>
      </c>
      <c r="C639" s="45" t="s">
        <v>1592</v>
      </c>
      <c r="D639" s="21" t="s">
        <v>1817</v>
      </c>
      <c r="E639" s="21">
        <v>21</v>
      </c>
      <c r="F639" s="27" t="str">
        <f>Tabela12[[#This Row],[Régua]]&amp;" ("&amp;Tabela12[[#This Row],[Born]]&amp;")"</f>
        <v>RB-EA10 (21)</v>
      </c>
      <c r="G639" s="27">
        <f>LEN(Tabela12[[#This Row],[Anilha]])</f>
        <v>12</v>
      </c>
      <c r="H639" s="21">
        <f>VLOOKUP(Tabela12[[#This Row],[Tag Cabo]],BD!A:F,6,0)</f>
        <v>1</v>
      </c>
      <c r="I639" s="27" t="s">
        <v>1705</v>
      </c>
      <c r="J639" s="27" t="s">
        <v>1706</v>
      </c>
    </row>
    <row r="640" spans="1:10" x14ac:dyDescent="0.25">
      <c r="A640" s="216" t="s">
        <v>1155</v>
      </c>
      <c r="B640" s="45" t="str">
        <f>VLOOKUP(Tabela12[[#This Row],[Painel]],Tabela13[],2,0)</f>
        <v>CCP</v>
      </c>
      <c r="C640" s="45" t="s">
        <v>1592</v>
      </c>
      <c r="D640" s="21" t="s">
        <v>1817</v>
      </c>
      <c r="E640" s="21">
        <v>22</v>
      </c>
      <c r="F640" s="27" t="str">
        <f>Tabela12[[#This Row],[Régua]]&amp;" ("&amp;Tabela12[[#This Row],[Born]]&amp;")"</f>
        <v>RB-EA10 (22)</v>
      </c>
      <c r="G640" s="27">
        <f>LEN(Tabela12[[#This Row],[Anilha]])</f>
        <v>12</v>
      </c>
      <c r="H640" s="21">
        <f>VLOOKUP(Tabela12[[#This Row],[Tag Cabo]],BD!A:F,6,0)</f>
        <v>1</v>
      </c>
      <c r="I640" s="27" t="s">
        <v>1705</v>
      </c>
      <c r="J640" s="27" t="s">
        <v>1706</v>
      </c>
    </row>
    <row r="641" spans="1:10" x14ac:dyDescent="0.25">
      <c r="A641" s="216" t="s">
        <v>1155</v>
      </c>
      <c r="B641" s="45" t="str">
        <f>VLOOKUP(Tabela12[[#This Row],[Painel]],Tabela13[],2,0)</f>
        <v>CCP</v>
      </c>
      <c r="C641" s="45" t="s">
        <v>1592</v>
      </c>
      <c r="D641" s="21" t="s">
        <v>1817</v>
      </c>
      <c r="E641" s="21">
        <v>23</v>
      </c>
      <c r="F641" s="27" t="str">
        <f>Tabela12[[#This Row],[Régua]]&amp;" ("&amp;Tabela12[[#This Row],[Born]]&amp;")"</f>
        <v>RB-EA10 (23)</v>
      </c>
      <c r="G641" s="27">
        <f>LEN(Tabela12[[#This Row],[Anilha]])</f>
        <v>12</v>
      </c>
      <c r="H641" s="21">
        <f>VLOOKUP(Tabela12[[#This Row],[Tag Cabo]],BD!A:F,6,0)</f>
        <v>1</v>
      </c>
      <c r="I641" s="27" t="s">
        <v>1705</v>
      </c>
      <c r="J641" s="27" t="s">
        <v>1706</v>
      </c>
    </row>
    <row r="642" spans="1:10" x14ac:dyDescent="0.25">
      <c r="A642" s="216" t="s">
        <v>1155</v>
      </c>
      <c r="B642" s="45" t="str">
        <f>VLOOKUP(Tabela12[[#This Row],[Painel]],Tabela13[],2,0)</f>
        <v>CCP</v>
      </c>
      <c r="C642" s="45" t="s">
        <v>1592</v>
      </c>
      <c r="D642" s="21" t="s">
        <v>1817</v>
      </c>
      <c r="E642" s="21">
        <v>33</v>
      </c>
      <c r="F642" s="27" t="str">
        <f>Tabela12[[#This Row],[Régua]]&amp;" ("&amp;Tabela12[[#This Row],[Born]]&amp;")"</f>
        <v>RB-EA10 (33)</v>
      </c>
      <c r="G642" s="27">
        <f>LEN(Tabela12[[#This Row],[Anilha]])</f>
        <v>12</v>
      </c>
      <c r="H642" s="21">
        <f>VLOOKUP(Tabela12[[#This Row],[Tag Cabo]],BD!A:F,6,0)</f>
        <v>1</v>
      </c>
      <c r="I642" s="27" t="s">
        <v>1705</v>
      </c>
      <c r="J642" s="27" t="s">
        <v>1706</v>
      </c>
    </row>
    <row r="643" spans="1:10" x14ac:dyDescent="0.25">
      <c r="A643" s="216" t="s">
        <v>1155</v>
      </c>
      <c r="B643" s="45" t="str">
        <f>VLOOKUP(Tabela12[[#This Row],[Painel]],Tabela13[],2,0)</f>
        <v>CCP</v>
      </c>
      <c r="C643" s="45" t="s">
        <v>1592</v>
      </c>
      <c r="D643" s="21" t="s">
        <v>1817</v>
      </c>
      <c r="E643" s="21">
        <v>34</v>
      </c>
      <c r="F643" s="27" t="str">
        <f>Tabela12[[#This Row],[Régua]]&amp;" ("&amp;Tabela12[[#This Row],[Born]]&amp;")"</f>
        <v>RB-EA10 (34)</v>
      </c>
      <c r="G643" s="27">
        <f>LEN(Tabela12[[#This Row],[Anilha]])</f>
        <v>12</v>
      </c>
      <c r="H643" s="21">
        <f>VLOOKUP(Tabela12[[#This Row],[Tag Cabo]],BD!A:F,6,0)</f>
        <v>1</v>
      </c>
      <c r="I643" s="27" t="s">
        <v>1705</v>
      </c>
      <c r="J643" s="27" t="s">
        <v>1706</v>
      </c>
    </row>
    <row r="644" spans="1:10" x14ac:dyDescent="0.25">
      <c r="A644" s="216" t="s">
        <v>1155</v>
      </c>
      <c r="B644" s="45" t="str">
        <f>VLOOKUP(Tabela12[[#This Row],[Painel]],Tabela13[],2,0)</f>
        <v>CCP</v>
      </c>
      <c r="C644" s="45" t="s">
        <v>1592</v>
      </c>
      <c r="D644" s="21" t="s">
        <v>1817</v>
      </c>
      <c r="E644" s="21">
        <v>35</v>
      </c>
      <c r="F644" s="27" t="str">
        <f>Tabela12[[#This Row],[Régua]]&amp;" ("&amp;Tabela12[[#This Row],[Born]]&amp;")"</f>
        <v>RB-EA10 (35)</v>
      </c>
      <c r="G644" s="27">
        <f>LEN(Tabela12[[#This Row],[Anilha]])</f>
        <v>12</v>
      </c>
      <c r="H644" s="21">
        <f>VLOOKUP(Tabela12[[#This Row],[Tag Cabo]],BD!A:F,6,0)</f>
        <v>1</v>
      </c>
      <c r="I644" s="27" t="s">
        <v>1705</v>
      </c>
      <c r="J644" s="27" t="s">
        <v>1706</v>
      </c>
    </row>
    <row r="645" spans="1:10" x14ac:dyDescent="0.25">
      <c r="A645" s="216" t="s">
        <v>1155</v>
      </c>
      <c r="B645" s="45" t="str">
        <f>VLOOKUP(Tabela12[[#This Row],[Painel]],Tabela13[],2,0)</f>
        <v>CCP</v>
      </c>
      <c r="C645" s="45" t="s">
        <v>1592</v>
      </c>
      <c r="D645" s="21" t="s">
        <v>1817</v>
      </c>
      <c r="E645" s="21">
        <v>37</v>
      </c>
      <c r="F645" s="27" t="str">
        <f>Tabela12[[#This Row],[Régua]]&amp;" ("&amp;Tabela12[[#This Row],[Born]]&amp;")"</f>
        <v>RB-EA10 (37)</v>
      </c>
      <c r="G645" s="27">
        <f>LEN(Tabela12[[#This Row],[Anilha]])</f>
        <v>12</v>
      </c>
      <c r="H645" s="21">
        <f>VLOOKUP(Tabela12[[#This Row],[Tag Cabo]],BD!A:F,6,0)</f>
        <v>1</v>
      </c>
      <c r="I645" s="27" t="s">
        <v>1705</v>
      </c>
      <c r="J645" s="27" t="s">
        <v>1706</v>
      </c>
    </row>
    <row r="646" spans="1:10" x14ac:dyDescent="0.25">
      <c r="A646" s="216" t="s">
        <v>1155</v>
      </c>
      <c r="B646" s="45" t="str">
        <f>VLOOKUP(Tabela12[[#This Row],[Painel]],Tabela13[],2,0)</f>
        <v>CCP</v>
      </c>
      <c r="C646" s="45" t="s">
        <v>1592</v>
      </c>
      <c r="D646" s="21" t="s">
        <v>1817</v>
      </c>
      <c r="E646" s="21">
        <v>38</v>
      </c>
      <c r="F646" s="27" t="str">
        <f>Tabela12[[#This Row],[Régua]]&amp;" ("&amp;Tabela12[[#This Row],[Born]]&amp;")"</f>
        <v>RB-EA10 (38)</v>
      </c>
      <c r="G646" s="27">
        <f>LEN(Tabela12[[#This Row],[Anilha]])</f>
        <v>12</v>
      </c>
      <c r="H646" s="21">
        <f>VLOOKUP(Tabela12[[#This Row],[Tag Cabo]],BD!A:F,6,0)</f>
        <v>1</v>
      </c>
      <c r="I646" s="27" t="s">
        <v>1705</v>
      </c>
      <c r="J646" s="27" t="s">
        <v>1706</v>
      </c>
    </row>
    <row r="647" spans="1:10" x14ac:dyDescent="0.25">
      <c r="A647" s="216" t="s">
        <v>1155</v>
      </c>
      <c r="B647" s="45" t="str">
        <f>VLOOKUP(Tabela12[[#This Row],[Painel]],Tabela13[],2,0)</f>
        <v>CCP</v>
      </c>
      <c r="C647" s="45" t="s">
        <v>1592</v>
      </c>
      <c r="D647" s="21" t="s">
        <v>1817</v>
      </c>
      <c r="E647" s="21">
        <v>39</v>
      </c>
      <c r="F647" s="27" t="str">
        <f>Tabela12[[#This Row],[Régua]]&amp;" ("&amp;Tabela12[[#This Row],[Born]]&amp;")"</f>
        <v>RB-EA10 (39)</v>
      </c>
      <c r="G647" s="27">
        <f>LEN(Tabela12[[#This Row],[Anilha]])</f>
        <v>12</v>
      </c>
      <c r="H647" s="21">
        <f>VLOOKUP(Tabela12[[#This Row],[Tag Cabo]],BD!A:F,6,0)</f>
        <v>1</v>
      </c>
      <c r="I647" s="27" t="s">
        <v>1705</v>
      </c>
      <c r="J647" s="27" t="s">
        <v>1706</v>
      </c>
    </row>
    <row r="648" spans="1:10" x14ac:dyDescent="0.25">
      <c r="A648" s="216" t="s">
        <v>1155</v>
      </c>
      <c r="B648" s="45" t="str">
        <f>VLOOKUP(Tabela12[[#This Row],[Painel]],Tabela13[],2,0)</f>
        <v>CCP</v>
      </c>
      <c r="C648" s="45" t="s">
        <v>1592</v>
      </c>
      <c r="D648" s="21" t="s">
        <v>1817</v>
      </c>
      <c r="E648" s="21">
        <v>41</v>
      </c>
      <c r="F648" s="27" t="str">
        <f>Tabela12[[#This Row],[Régua]]&amp;" ("&amp;Tabela12[[#This Row],[Born]]&amp;")"</f>
        <v>RB-EA10 (41)</v>
      </c>
      <c r="G648" s="27">
        <f>LEN(Tabela12[[#This Row],[Anilha]])</f>
        <v>12</v>
      </c>
      <c r="H648" s="21">
        <f>VLOOKUP(Tabela12[[#This Row],[Tag Cabo]],BD!A:F,6,0)</f>
        <v>1</v>
      </c>
      <c r="I648" s="27" t="s">
        <v>1705</v>
      </c>
      <c r="J648" s="27" t="s">
        <v>1706</v>
      </c>
    </row>
    <row r="649" spans="1:10" x14ac:dyDescent="0.25">
      <c r="A649" s="216" t="s">
        <v>1155</v>
      </c>
      <c r="B649" s="45" t="str">
        <f>VLOOKUP(Tabela12[[#This Row],[Painel]],Tabela13[],2,0)</f>
        <v>CCP</v>
      </c>
      <c r="C649" s="45" t="s">
        <v>1592</v>
      </c>
      <c r="D649" s="21" t="s">
        <v>1817</v>
      </c>
      <c r="E649" s="21">
        <v>42</v>
      </c>
      <c r="F649" s="27" t="str">
        <f>Tabela12[[#This Row],[Régua]]&amp;" ("&amp;Tabela12[[#This Row],[Born]]&amp;")"</f>
        <v>RB-EA10 (42)</v>
      </c>
      <c r="G649" s="27">
        <f>LEN(Tabela12[[#This Row],[Anilha]])</f>
        <v>12</v>
      </c>
      <c r="H649" s="21">
        <f>VLOOKUP(Tabela12[[#This Row],[Tag Cabo]],BD!A:F,6,0)</f>
        <v>1</v>
      </c>
      <c r="I649" s="27" t="s">
        <v>1705</v>
      </c>
      <c r="J649" s="27" t="s">
        <v>1706</v>
      </c>
    </row>
    <row r="650" spans="1:10" x14ac:dyDescent="0.25">
      <c r="A650" s="216" t="s">
        <v>1155</v>
      </c>
      <c r="B650" s="45" t="str">
        <f>VLOOKUP(Tabela12[[#This Row],[Painel]],Tabela13[],2,0)</f>
        <v>CCP</v>
      </c>
      <c r="C650" s="45" t="s">
        <v>1592</v>
      </c>
      <c r="D650" s="21" t="s">
        <v>1817</v>
      </c>
      <c r="E650" s="21">
        <v>43</v>
      </c>
      <c r="F650" s="27" t="str">
        <f>Tabela12[[#This Row],[Régua]]&amp;" ("&amp;Tabela12[[#This Row],[Born]]&amp;")"</f>
        <v>RB-EA10 (43)</v>
      </c>
      <c r="G650" s="27">
        <f>LEN(Tabela12[[#This Row],[Anilha]])</f>
        <v>12</v>
      </c>
      <c r="H650" s="21">
        <f>VLOOKUP(Tabela12[[#This Row],[Tag Cabo]],BD!A:F,6,0)</f>
        <v>1</v>
      </c>
      <c r="I650" s="27" t="s">
        <v>1705</v>
      </c>
      <c r="J650" s="27" t="s">
        <v>1706</v>
      </c>
    </row>
    <row r="651" spans="1:10" x14ac:dyDescent="0.25">
      <c r="A651" s="216" t="s">
        <v>1155</v>
      </c>
      <c r="B651" s="45" t="str">
        <f>VLOOKUP(Tabela12[[#This Row],[Painel]],Tabela13[],2,0)</f>
        <v>CCP</v>
      </c>
      <c r="C651" s="45" t="s">
        <v>1592</v>
      </c>
      <c r="D651" s="21" t="s">
        <v>1817</v>
      </c>
      <c r="E651" s="21">
        <v>45</v>
      </c>
      <c r="F651" s="27" t="str">
        <f>Tabela12[[#This Row],[Régua]]&amp;" ("&amp;Tabela12[[#This Row],[Born]]&amp;")"</f>
        <v>RB-EA10 (45)</v>
      </c>
      <c r="G651" s="27">
        <f>LEN(Tabela12[[#This Row],[Anilha]])</f>
        <v>12</v>
      </c>
      <c r="H651" s="21">
        <f>VLOOKUP(Tabela12[[#This Row],[Tag Cabo]],BD!A:F,6,0)</f>
        <v>1</v>
      </c>
      <c r="I651" s="27" t="s">
        <v>1705</v>
      </c>
      <c r="J651" s="27" t="s">
        <v>1706</v>
      </c>
    </row>
    <row r="652" spans="1:10" x14ac:dyDescent="0.25">
      <c r="A652" s="216" t="s">
        <v>1155</v>
      </c>
      <c r="B652" s="45" t="str">
        <f>VLOOKUP(Tabela12[[#This Row],[Painel]],Tabela13[],2,0)</f>
        <v>CCP</v>
      </c>
      <c r="C652" s="45" t="s">
        <v>1592</v>
      </c>
      <c r="D652" s="21" t="s">
        <v>1817</v>
      </c>
      <c r="E652" s="21">
        <v>46</v>
      </c>
      <c r="F652" s="27" t="str">
        <f>Tabela12[[#This Row],[Régua]]&amp;" ("&amp;Tabela12[[#This Row],[Born]]&amp;")"</f>
        <v>RB-EA10 (46)</v>
      </c>
      <c r="G652" s="27">
        <f>LEN(Tabela12[[#This Row],[Anilha]])</f>
        <v>12</v>
      </c>
      <c r="H652" s="21">
        <f>VLOOKUP(Tabela12[[#This Row],[Tag Cabo]],BD!A:F,6,0)</f>
        <v>1</v>
      </c>
      <c r="I652" s="27" t="s">
        <v>1705</v>
      </c>
      <c r="J652" s="27" t="s">
        <v>1706</v>
      </c>
    </row>
    <row r="653" spans="1:10" x14ac:dyDescent="0.25">
      <c r="A653" s="216" t="s">
        <v>1155</v>
      </c>
      <c r="B653" s="45" t="str">
        <f>VLOOKUP(Tabela12[[#This Row],[Painel]],Tabela13[],2,0)</f>
        <v>CCP</v>
      </c>
      <c r="C653" s="45" t="s">
        <v>1592</v>
      </c>
      <c r="D653" s="21" t="s">
        <v>1817</v>
      </c>
      <c r="E653" s="21">
        <v>47</v>
      </c>
      <c r="F653" s="27" t="str">
        <f>Tabela12[[#This Row],[Régua]]&amp;" ("&amp;Tabela12[[#This Row],[Born]]&amp;")"</f>
        <v>RB-EA10 (47)</v>
      </c>
      <c r="G653" s="27">
        <f>LEN(Tabela12[[#This Row],[Anilha]])</f>
        <v>12</v>
      </c>
      <c r="H653" s="21">
        <f>VLOOKUP(Tabela12[[#This Row],[Tag Cabo]],BD!A:F,6,0)</f>
        <v>1</v>
      </c>
      <c r="I653" s="27" t="s">
        <v>1705</v>
      </c>
      <c r="J653" s="27" t="s">
        <v>1706</v>
      </c>
    </row>
    <row r="654" spans="1:10" x14ac:dyDescent="0.25">
      <c r="A654" s="216" t="s">
        <v>1163</v>
      </c>
      <c r="B654" s="45" t="str">
        <f>VLOOKUP(Tabela12[[#This Row],[Painel]],Tabela13[],2,0)</f>
        <v>GB-351</v>
      </c>
      <c r="C654" s="45" t="s">
        <v>1164</v>
      </c>
      <c r="D654" s="21" t="s">
        <v>1845</v>
      </c>
      <c r="E654" s="21">
        <v>1</v>
      </c>
      <c r="F654" s="27" t="str">
        <f>Tabela12[[#This Row],[Régua]]&amp;" ("&amp;Tabela12[[#This Row],[Born]]&amp;")"</f>
        <v>TS-01 (1)</v>
      </c>
      <c r="G654" s="27">
        <f>LEN(Tabela12[[#This Row],[Anilha]])</f>
        <v>9</v>
      </c>
      <c r="H654" s="21">
        <f>VLOOKUP(Tabela12[[#This Row],[Tag Cabo]],BD!A:F,6,0)</f>
        <v>1</v>
      </c>
      <c r="I654" s="27" t="s">
        <v>1705</v>
      </c>
      <c r="J654" s="27" t="s">
        <v>1706</v>
      </c>
    </row>
    <row r="655" spans="1:10" x14ac:dyDescent="0.25">
      <c r="A655" s="216" t="s">
        <v>1163</v>
      </c>
      <c r="B655" s="45" t="str">
        <f>VLOOKUP(Tabela12[[#This Row],[Painel]],Tabela13[],2,0)</f>
        <v>GB-351</v>
      </c>
      <c r="C655" s="45" t="s">
        <v>1164</v>
      </c>
      <c r="D655" s="21" t="s">
        <v>1845</v>
      </c>
      <c r="E655" s="21">
        <v>2</v>
      </c>
      <c r="F655" s="27" t="str">
        <f>Tabela12[[#This Row],[Régua]]&amp;" ("&amp;Tabela12[[#This Row],[Born]]&amp;")"</f>
        <v>TS-01 (2)</v>
      </c>
      <c r="G655" s="27">
        <f>LEN(Tabela12[[#This Row],[Anilha]])</f>
        <v>9</v>
      </c>
      <c r="H655" s="21">
        <f>VLOOKUP(Tabela12[[#This Row],[Tag Cabo]],BD!A:F,6,0)</f>
        <v>1</v>
      </c>
      <c r="I655" s="27" t="s">
        <v>1705</v>
      </c>
      <c r="J655" s="27" t="s">
        <v>1706</v>
      </c>
    </row>
    <row r="656" spans="1:10" x14ac:dyDescent="0.25">
      <c r="A656" s="216" t="s">
        <v>1163</v>
      </c>
      <c r="B656" s="45" t="str">
        <f>VLOOKUP(Tabela12[[#This Row],[Painel]],Tabela13[],2,0)</f>
        <v>GB-351</v>
      </c>
      <c r="C656" s="45" t="s">
        <v>1164</v>
      </c>
      <c r="D656" s="21" t="s">
        <v>1845</v>
      </c>
      <c r="E656" s="21">
        <v>3</v>
      </c>
      <c r="F656" s="27" t="str">
        <f>Tabela12[[#This Row],[Régua]]&amp;" ("&amp;Tabela12[[#This Row],[Born]]&amp;")"</f>
        <v>TS-01 (3)</v>
      </c>
      <c r="G656" s="27">
        <f>LEN(Tabela12[[#This Row],[Anilha]])</f>
        <v>9</v>
      </c>
      <c r="H656" s="21">
        <f>VLOOKUP(Tabela12[[#This Row],[Tag Cabo]],BD!A:F,6,0)</f>
        <v>1</v>
      </c>
      <c r="I656" s="27" t="s">
        <v>1705</v>
      </c>
      <c r="J656" s="27" t="s">
        <v>1706</v>
      </c>
    </row>
    <row r="657" spans="1:10" x14ac:dyDescent="0.25">
      <c r="A657" s="216" t="s">
        <v>1163</v>
      </c>
      <c r="B657" s="45" t="str">
        <f>VLOOKUP(Tabela12[[#This Row],[Painel]],Tabela13[],2,0)</f>
        <v>GB-351</v>
      </c>
      <c r="C657" s="45" t="s">
        <v>1164</v>
      </c>
      <c r="D657" s="21" t="s">
        <v>1845</v>
      </c>
      <c r="E657" s="21">
        <v>4</v>
      </c>
      <c r="F657" s="27" t="str">
        <f>Tabela12[[#This Row],[Régua]]&amp;" ("&amp;Tabela12[[#This Row],[Born]]&amp;")"</f>
        <v>TS-01 (4)</v>
      </c>
      <c r="G657" s="27">
        <f>LEN(Tabela12[[#This Row],[Anilha]])</f>
        <v>9</v>
      </c>
      <c r="H657" s="21">
        <f>VLOOKUP(Tabela12[[#This Row],[Tag Cabo]],BD!A:F,6,0)</f>
        <v>1</v>
      </c>
      <c r="I657" s="27" t="s">
        <v>1705</v>
      </c>
      <c r="J657" s="27" t="s">
        <v>1706</v>
      </c>
    </row>
    <row r="658" spans="1:10" x14ac:dyDescent="0.25">
      <c r="A658" s="216" t="s">
        <v>1163</v>
      </c>
      <c r="B658" s="45" t="str">
        <f>VLOOKUP(Tabela12[[#This Row],[Painel]],Tabela13[],2,0)</f>
        <v>GB-351</v>
      </c>
      <c r="C658" s="45" t="s">
        <v>1164</v>
      </c>
      <c r="D658" s="21" t="s">
        <v>1845</v>
      </c>
      <c r="E658" s="21">
        <v>5</v>
      </c>
      <c r="F658" s="27" t="str">
        <f>Tabela12[[#This Row],[Régua]]&amp;" ("&amp;Tabela12[[#This Row],[Born]]&amp;")"</f>
        <v>TS-01 (5)</v>
      </c>
      <c r="G658" s="27">
        <f>LEN(Tabela12[[#This Row],[Anilha]])</f>
        <v>9</v>
      </c>
      <c r="H658" s="21">
        <f>VLOOKUP(Tabela12[[#This Row],[Tag Cabo]],BD!A:F,6,0)</f>
        <v>1</v>
      </c>
      <c r="I658" s="27" t="s">
        <v>1705</v>
      </c>
      <c r="J658" s="27" t="s">
        <v>1706</v>
      </c>
    </row>
    <row r="659" spans="1:10" x14ac:dyDescent="0.25">
      <c r="A659" s="216" t="s">
        <v>1163</v>
      </c>
      <c r="B659" s="45" t="str">
        <f>VLOOKUP(Tabela12[[#This Row],[Painel]],Tabela13[],2,0)</f>
        <v>GB-351</v>
      </c>
      <c r="C659" s="45" t="s">
        <v>1164</v>
      </c>
      <c r="D659" s="21" t="s">
        <v>1845</v>
      </c>
      <c r="E659" s="21">
        <v>6</v>
      </c>
      <c r="F659" s="27" t="str">
        <f>Tabela12[[#This Row],[Régua]]&amp;" ("&amp;Tabela12[[#This Row],[Born]]&amp;")"</f>
        <v>TS-01 (6)</v>
      </c>
      <c r="G659" s="27">
        <f>LEN(Tabela12[[#This Row],[Anilha]])</f>
        <v>9</v>
      </c>
      <c r="H659" s="21">
        <f>VLOOKUP(Tabela12[[#This Row],[Tag Cabo]],BD!A:F,6,0)</f>
        <v>1</v>
      </c>
      <c r="I659" s="27" t="s">
        <v>1705</v>
      </c>
      <c r="J659" s="27" t="s">
        <v>1706</v>
      </c>
    </row>
    <row r="660" spans="1:10" x14ac:dyDescent="0.25">
      <c r="A660" s="216" t="s">
        <v>1163</v>
      </c>
      <c r="B660" s="45" t="str">
        <f>VLOOKUP(Tabela12[[#This Row],[Painel]],Tabela13[],2,0)</f>
        <v>GB-351</v>
      </c>
      <c r="C660" s="45" t="s">
        <v>1164</v>
      </c>
      <c r="D660" s="21" t="s">
        <v>1845</v>
      </c>
      <c r="E660" s="21">
        <v>7</v>
      </c>
      <c r="F660" s="27" t="str">
        <f>Tabela12[[#This Row],[Régua]]&amp;" ("&amp;Tabela12[[#This Row],[Born]]&amp;")"</f>
        <v>TS-01 (7)</v>
      </c>
      <c r="G660" s="27">
        <f>LEN(Tabela12[[#This Row],[Anilha]])</f>
        <v>9</v>
      </c>
      <c r="H660" s="21">
        <f>VLOOKUP(Tabela12[[#This Row],[Tag Cabo]],BD!A:F,6,0)</f>
        <v>1</v>
      </c>
      <c r="I660" s="27" t="s">
        <v>1705</v>
      </c>
      <c r="J660" s="27" t="s">
        <v>1706</v>
      </c>
    </row>
    <row r="661" spans="1:10" x14ac:dyDescent="0.25">
      <c r="A661" s="216" t="s">
        <v>1163</v>
      </c>
      <c r="B661" s="45" t="str">
        <f>VLOOKUP(Tabela12[[#This Row],[Painel]],Tabela13[],2,0)</f>
        <v>GB-351</v>
      </c>
      <c r="C661" s="45" t="s">
        <v>1164</v>
      </c>
      <c r="D661" s="21" t="s">
        <v>1845</v>
      </c>
      <c r="E661" s="21">
        <v>8</v>
      </c>
      <c r="F661" s="27" t="str">
        <f>Tabela12[[#This Row],[Régua]]&amp;" ("&amp;Tabela12[[#This Row],[Born]]&amp;")"</f>
        <v>TS-01 (8)</v>
      </c>
      <c r="G661" s="27">
        <f>LEN(Tabela12[[#This Row],[Anilha]])</f>
        <v>9</v>
      </c>
      <c r="H661" s="21">
        <f>VLOOKUP(Tabela12[[#This Row],[Tag Cabo]],BD!A:F,6,0)</f>
        <v>1</v>
      </c>
      <c r="I661" s="27" t="s">
        <v>1705</v>
      </c>
      <c r="J661" s="27" t="s">
        <v>1706</v>
      </c>
    </row>
    <row r="662" spans="1:10" x14ac:dyDescent="0.25">
      <c r="A662" s="216" t="s">
        <v>1163</v>
      </c>
      <c r="B662" s="45" t="str">
        <f>VLOOKUP(Tabela12[[#This Row],[Painel]],Tabela13[],2,0)</f>
        <v>GB-351</v>
      </c>
      <c r="C662" s="45" t="s">
        <v>1164</v>
      </c>
      <c r="D662" s="21" t="s">
        <v>1845</v>
      </c>
      <c r="E662" s="21">
        <v>9</v>
      </c>
      <c r="F662" s="27" t="str">
        <f>Tabela12[[#This Row],[Régua]]&amp;" ("&amp;Tabela12[[#This Row],[Born]]&amp;")"</f>
        <v>TS-01 (9)</v>
      </c>
      <c r="G662" s="27">
        <f>LEN(Tabela12[[#This Row],[Anilha]])</f>
        <v>9</v>
      </c>
      <c r="H662" s="21">
        <f>VLOOKUP(Tabela12[[#This Row],[Tag Cabo]],BD!A:F,6,0)</f>
        <v>1</v>
      </c>
      <c r="I662" s="27" t="s">
        <v>1705</v>
      </c>
      <c r="J662" s="27" t="s">
        <v>1706</v>
      </c>
    </row>
    <row r="663" spans="1:10" x14ac:dyDescent="0.25">
      <c r="A663" s="216" t="s">
        <v>1163</v>
      </c>
      <c r="B663" s="45" t="str">
        <f>VLOOKUP(Tabela12[[#This Row],[Painel]],Tabela13[],2,0)</f>
        <v>GB-351</v>
      </c>
      <c r="C663" s="45" t="s">
        <v>1164</v>
      </c>
      <c r="D663" s="21" t="s">
        <v>1845</v>
      </c>
      <c r="E663" s="21">
        <v>10</v>
      </c>
      <c r="F663" s="27" t="str">
        <f>Tabela12[[#This Row],[Régua]]&amp;" ("&amp;Tabela12[[#This Row],[Born]]&amp;")"</f>
        <v>TS-01 (10)</v>
      </c>
      <c r="G663" s="27">
        <f>LEN(Tabela12[[#This Row],[Anilha]])</f>
        <v>10</v>
      </c>
      <c r="H663" s="21">
        <f>VLOOKUP(Tabela12[[#This Row],[Tag Cabo]],BD!A:F,6,0)</f>
        <v>1</v>
      </c>
      <c r="I663" s="27" t="s">
        <v>1705</v>
      </c>
      <c r="J663" s="27" t="s">
        <v>1706</v>
      </c>
    </row>
    <row r="664" spans="1:10" x14ac:dyDescent="0.25">
      <c r="A664" s="216" t="s">
        <v>1163</v>
      </c>
      <c r="B664" s="45" t="str">
        <f>VLOOKUP(Tabela12[[#This Row],[Painel]],Tabela13[],2,0)</f>
        <v>GB-351</v>
      </c>
      <c r="C664" s="45" t="s">
        <v>1164</v>
      </c>
      <c r="D664" s="21" t="s">
        <v>1845</v>
      </c>
      <c r="E664" s="21">
        <v>11</v>
      </c>
      <c r="F664" s="27" t="str">
        <f>Tabela12[[#This Row],[Régua]]&amp;" ("&amp;Tabela12[[#This Row],[Born]]&amp;")"</f>
        <v>TS-01 (11)</v>
      </c>
      <c r="G664" s="27">
        <f>LEN(Tabela12[[#This Row],[Anilha]])</f>
        <v>10</v>
      </c>
      <c r="H664" s="21">
        <f>VLOOKUP(Tabela12[[#This Row],[Tag Cabo]],BD!A:F,6,0)</f>
        <v>1</v>
      </c>
      <c r="I664" s="27" t="s">
        <v>1705</v>
      </c>
      <c r="J664" s="27" t="s">
        <v>1706</v>
      </c>
    </row>
    <row r="665" spans="1:10" x14ac:dyDescent="0.25">
      <c r="A665" s="216" t="s">
        <v>1163</v>
      </c>
      <c r="B665" s="45" t="str">
        <f>VLOOKUP(Tabela12[[#This Row],[Painel]],Tabela13[],2,0)</f>
        <v>GB-351</v>
      </c>
      <c r="C665" s="45" t="s">
        <v>1164</v>
      </c>
      <c r="D665" s="21" t="s">
        <v>1845</v>
      </c>
      <c r="E665" s="21">
        <v>12</v>
      </c>
      <c r="F665" s="27" t="str">
        <f>Tabela12[[#This Row],[Régua]]&amp;" ("&amp;Tabela12[[#This Row],[Born]]&amp;")"</f>
        <v>TS-01 (12)</v>
      </c>
      <c r="G665" s="27">
        <f>LEN(Tabela12[[#This Row],[Anilha]])</f>
        <v>10</v>
      </c>
      <c r="H665" s="21">
        <f>VLOOKUP(Tabela12[[#This Row],[Tag Cabo]],BD!A:F,6,0)</f>
        <v>1</v>
      </c>
      <c r="I665" s="27" t="s">
        <v>1705</v>
      </c>
      <c r="J665" s="27" t="s">
        <v>1706</v>
      </c>
    </row>
    <row r="666" spans="1:10" x14ac:dyDescent="0.25">
      <c r="A666" s="216" t="s">
        <v>1163</v>
      </c>
      <c r="B666" s="45" t="str">
        <f>VLOOKUP(Tabela12[[#This Row],[Painel]],Tabela13[],2,0)</f>
        <v>GB-351</v>
      </c>
      <c r="C666" s="45" t="s">
        <v>1164</v>
      </c>
      <c r="D666" s="21" t="s">
        <v>1845</v>
      </c>
      <c r="E666" s="21">
        <v>13</v>
      </c>
      <c r="F666" s="27" t="str">
        <f>Tabela12[[#This Row],[Régua]]&amp;" ("&amp;Tabela12[[#This Row],[Born]]&amp;")"</f>
        <v>TS-01 (13)</v>
      </c>
      <c r="G666" s="27">
        <f>LEN(Tabela12[[#This Row],[Anilha]])</f>
        <v>10</v>
      </c>
      <c r="H666" s="21">
        <f>VLOOKUP(Tabela12[[#This Row],[Tag Cabo]],BD!A:F,6,0)</f>
        <v>1</v>
      </c>
      <c r="I666" s="27" t="s">
        <v>1705</v>
      </c>
      <c r="J666" s="27" t="s">
        <v>1706</v>
      </c>
    </row>
    <row r="667" spans="1:10" x14ac:dyDescent="0.25">
      <c r="A667" s="216" t="s">
        <v>1163</v>
      </c>
      <c r="B667" s="45" t="str">
        <f>VLOOKUP(Tabela12[[#This Row],[Painel]],Tabela13[],2,0)</f>
        <v>GB-351</v>
      </c>
      <c r="C667" s="45" t="s">
        <v>1164</v>
      </c>
      <c r="D667" s="21" t="s">
        <v>1845</v>
      </c>
      <c r="E667" s="21">
        <v>14</v>
      </c>
      <c r="F667" s="27" t="str">
        <f>Tabela12[[#This Row],[Régua]]&amp;" ("&amp;Tabela12[[#This Row],[Born]]&amp;")"</f>
        <v>TS-01 (14)</v>
      </c>
      <c r="G667" s="27">
        <f>LEN(Tabela12[[#This Row],[Anilha]])</f>
        <v>10</v>
      </c>
      <c r="H667" s="21">
        <f>VLOOKUP(Tabela12[[#This Row],[Tag Cabo]],BD!A:F,6,0)</f>
        <v>1</v>
      </c>
      <c r="I667" s="27" t="s">
        <v>1705</v>
      </c>
      <c r="J667" s="27" t="s">
        <v>1706</v>
      </c>
    </row>
    <row r="668" spans="1:10" x14ac:dyDescent="0.25">
      <c r="A668" s="216" t="s">
        <v>1163</v>
      </c>
      <c r="B668" s="45" t="str">
        <f>VLOOKUP(Tabela12[[#This Row],[Painel]],Tabela13[],2,0)</f>
        <v>GB-351</v>
      </c>
      <c r="C668" s="45" t="s">
        <v>1164</v>
      </c>
      <c r="D668" s="21" t="s">
        <v>1845</v>
      </c>
      <c r="E668" s="21">
        <v>15</v>
      </c>
      <c r="F668" s="27" t="str">
        <f>Tabela12[[#This Row],[Régua]]&amp;" ("&amp;Tabela12[[#This Row],[Born]]&amp;")"</f>
        <v>TS-01 (15)</v>
      </c>
      <c r="G668" s="27">
        <f>LEN(Tabela12[[#This Row],[Anilha]])</f>
        <v>10</v>
      </c>
      <c r="H668" s="21">
        <f>VLOOKUP(Tabela12[[#This Row],[Tag Cabo]],BD!A:F,6,0)</f>
        <v>1</v>
      </c>
      <c r="I668" s="27" t="s">
        <v>1705</v>
      </c>
      <c r="J668" s="27" t="s">
        <v>1706</v>
      </c>
    </row>
    <row r="669" spans="1:10" x14ac:dyDescent="0.25">
      <c r="A669" s="216" t="s">
        <v>1163</v>
      </c>
      <c r="B669" s="45" t="str">
        <f>VLOOKUP(Tabela12[[#This Row],[Painel]],Tabela13[],2,0)</f>
        <v>GB-351</v>
      </c>
      <c r="C669" s="45" t="s">
        <v>1164</v>
      </c>
      <c r="D669" s="21" t="s">
        <v>1845</v>
      </c>
      <c r="E669" s="21">
        <v>16</v>
      </c>
      <c r="F669" s="27" t="str">
        <f>Tabela12[[#This Row],[Régua]]&amp;" ("&amp;Tabela12[[#This Row],[Born]]&amp;")"</f>
        <v>TS-01 (16)</v>
      </c>
      <c r="G669" s="27">
        <f>LEN(Tabela12[[#This Row],[Anilha]])</f>
        <v>10</v>
      </c>
      <c r="H669" s="21">
        <f>VLOOKUP(Tabela12[[#This Row],[Tag Cabo]],BD!A:F,6,0)</f>
        <v>1</v>
      </c>
      <c r="I669" s="27" t="s">
        <v>1705</v>
      </c>
      <c r="J669" s="27" t="s">
        <v>1706</v>
      </c>
    </row>
    <row r="670" spans="1:10" x14ac:dyDescent="0.25">
      <c r="A670" s="216" t="s">
        <v>1163</v>
      </c>
      <c r="B670" s="45" t="str">
        <f>VLOOKUP(Tabela12[[#This Row],[Painel]],Tabela13[],2,0)</f>
        <v>GB-351</v>
      </c>
      <c r="C670" s="45" t="s">
        <v>1164</v>
      </c>
      <c r="D670" s="21" t="s">
        <v>1845</v>
      </c>
      <c r="E670" s="21">
        <v>17</v>
      </c>
      <c r="F670" s="27" t="str">
        <f>Tabela12[[#This Row],[Régua]]&amp;" ("&amp;Tabela12[[#This Row],[Born]]&amp;")"</f>
        <v>TS-01 (17)</v>
      </c>
      <c r="G670" s="27">
        <f>LEN(Tabela12[[#This Row],[Anilha]])</f>
        <v>10</v>
      </c>
      <c r="H670" s="21">
        <f>VLOOKUP(Tabela12[[#This Row],[Tag Cabo]],BD!A:F,6,0)</f>
        <v>1</v>
      </c>
      <c r="I670" s="27" t="s">
        <v>1705</v>
      </c>
      <c r="J670" s="27" t="s">
        <v>1706</v>
      </c>
    </row>
    <row r="671" spans="1:10" x14ac:dyDescent="0.25">
      <c r="A671" s="216" t="s">
        <v>1163</v>
      </c>
      <c r="B671" s="45" t="str">
        <f>VLOOKUP(Tabela12[[#This Row],[Painel]],Tabela13[],2,0)</f>
        <v>GB-351</v>
      </c>
      <c r="C671" s="45" t="s">
        <v>1164</v>
      </c>
      <c r="D671" s="21" t="s">
        <v>1845</v>
      </c>
      <c r="E671" s="21">
        <v>18</v>
      </c>
      <c r="F671" s="27" t="str">
        <f>Tabela12[[#This Row],[Régua]]&amp;" ("&amp;Tabela12[[#This Row],[Born]]&amp;")"</f>
        <v>TS-01 (18)</v>
      </c>
      <c r="G671" s="27">
        <f>LEN(Tabela12[[#This Row],[Anilha]])</f>
        <v>10</v>
      </c>
      <c r="H671" s="21">
        <f>VLOOKUP(Tabela12[[#This Row],[Tag Cabo]],BD!A:F,6,0)</f>
        <v>1</v>
      </c>
      <c r="I671" s="27" t="s">
        <v>1705</v>
      </c>
      <c r="J671" s="27" t="s">
        <v>1706</v>
      </c>
    </row>
    <row r="672" spans="1:10" x14ac:dyDescent="0.25">
      <c r="A672" s="216" t="s">
        <v>1163</v>
      </c>
      <c r="B672" s="45" t="str">
        <f>VLOOKUP(Tabela12[[#This Row],[Painel]],Tabela13[],2,0)</f>
        <v>CCP</v>
      </c>
      <c r="C672" s="45" t="s">
        <v>1592</v>
      </c>
      <c r="D672" s="21" t="s">
        <v>1846</v>
      </c>
      <c r="E672" s="21">
        <v>1</v>
      </c>
      <c r="F672" s="27" t="str">
        <f>Tabela12[[#This Row],[Régua]]&amp;" ("&amp;Tabela12[[#This Row],[Born]]&amp;")"</f>
        <v>RB-EA12 (1)</v>
      </c>
      <c r="G672" s="27">
        <f>LEN(Tabela12[[#This Row],[Anilha]])</f>
        <v>11</v>
      </c>
      <c r="H672" s="21">
        <f>VLOOKUP(Tabela12[[#This Row],[Tag Cabo]],BD!A:F,6,0)</f>
        <v>1</v>
      </c>
      <c r="I672" s="27" t="s">
        <v>1705</v>
      </c>
      <c r="J672" s="27" t="s">
        <v>1706</v>
      </c>
    </row>
    <row r="673" spans="1:10" x14ac:dyDescent="0.25">
      <c r="A673" s="216" t="s">
        <v>1163</v>
      </c>
      <c r="B673" s="45" t="str">
        <f>VLOOKUP(Tabela12[[#This Row],[Painel]],Tabela13[],2,0)</f>
        <v>CCP</v>
      </c>
      <c r="C673" s="45" t="s">
        <v>1592</v>
      </c>
      <c r="D673" s="21" t="s">
        <v>1846</v>
      </c>
      <c r="E673" s="21">
        <v>2</v>
      </c>
      <c r="F673" s="27" t="str">
        <f>Tabela12[[#This Row],[Régua]]&amp;" ("&amp;Tabela12[[#This Row],[Born]]&amp;")"</f>
        <v>RB-EA12 (2)</v>
      </c>
      <c r="G673" s="27">
        <f>LEN(Tabela12[[#This Row],[Anilha]])</f>
        <v>11</v>
      </c>
      <c r="H673" s="21">
        <f>VLOOKUP(Tabela12[[#This Row],[Tag Cabo]],BD!A:F,6,0)</f>
        <v>1</v>
      </c>
      <c r="I673" s="27" t="s">
        <v>1705</v>
      </c>
      <c r="J673" s="27" t="s">
        <v>1706</v>
      </c>
    </row>
    <row r="674" spans="1:10" x14ac:dyDescent="0.25">
      <c r="A674" s="216" t="s">
        <v>1163</v>
      </c>
      <c r="B674" s="45" t="str">
        <f>VLOOKUP(Tabela12[[#This Row],[Painel]],Tabela13[],2,0)</f>
        <v>CCP</v>
      </c>
      <c r="C674" s="45" t="s">
        <v>1592</v>
      </c>
      <c r="D674" s="21" t="s">
        <v>1846</v>
      </c>
      <c r="E674" s="21">
        <v>3</v>
      </c>
      <c r="F674" s="27" t="str">
        <f>Tabela12[[#This Row],[Régua]]&amp;" ("&amp;Tabela12[[#This Row],[Born]]&amp;")"</f>
        <v>RB-EA12 (3)</v>
      </c>
      <c r="G674" s="27">
        <f>LEN(Tabela12[[#This Row],[Anilha]])</f>
        <v>11</v>
      </c>
      <c r="H674" s="21">
        <f>VLOOKUP(Tabela12[[#This Row],[Tag Cabo]],BD!A:F,6,0)</f>
        <v>1</v>
      </c>
      <c r="I674" s="27" t="s">
        <v>1705</v>
      </c>
      <c r="J674" s="27" t="s">
        <v>1706</v>
      </c>
    </row>
    <row r="675" spans="1:10" x14ac:dyDescent="0.25">
      <c r="A675" s="216" t="s">
        <v>1163</v>
      </c>
      <c r="B675" s="45" t="str">
        <f>VLOOKUP(Tabela12[[#This Row],[Painel]],Tabela13[],2,0)</f>
        <v>CCP</v>
      </c>
      <c r="C675" s="45" t="s">
        <v>1592</v>
      </c>
      <c r="D675" s="21" t="s">
        <v>1846</v>
      </c>
      <c r="E675" s="21">
        <v>5</v>
      </c>
      <c r="F675" s="27" t="str">
        <f>Tabela12[[#This Row],[Régua]]&amp;" ("&amp;Tabela12[[#This Row],[Born]]&amp;")"</f>
        <v>RB-EA12 (5)</v>
      </c>
      <c r="G675" s="27">
        <f>LEN(Tabela12[[#This Row],[Anilha]])</f>
        <v>11</v>
      </c>
      <c r="H675" s="21">
        <f>VLOOKUP(Tabela12[[#This Row],[Tag Cabo]],BD!A:F,6,0)</f>
        <v>1</v>
      </c>
      <c r="I675" s="27" t="s">
        <v>1705</v>
      </c>
      <c r="J675" s="27" t="s">
        <v>1706</v>
      </c>
    </row>
    <row r="676" spans="1:10" x14ac:dyDescent="0.25">
      <c r="A676" s="216" t="s">
        <v>1163</v>
      </c>
      <c r="B676" s="45" t="str">
        <f>VLOOKUP(Tabela12[[#This Row],[Painel]],Tabela13[],2,0)</f>
        <v>CCP</v>
      </c>
      <c r="C676" s="45" t="s">
        <v>1592</v>
      </c>
      <c r="D676" s="21" t="s">
        <v>1846</v>
      </c>
      <c r="E676" s="21">
        <v>6</v>
      </c>
      <c r="F676" s="27" t="str">
        <f>Tabela12[[#This Row],[Régua]]&amp;" ("&amp;Tabela12[[#This Row],[Born]]&amp;")"</f>
        <v>RB-EA12 (6)</v>
      </c>
      <c r="G676" s="27">
        <f>LEN(Tabela12[[#This Row],[Anilha]])</f>
        <v>11</v>
      </c>
      <c r="H676" s="21">
        <f>VLOOKUP(Tabela12[[#This Row],[Tag Cabo]],BD!A:F,6,0)</f>
        <v>1</v>
      </c>
      <c r="I676" s="27" t="s">
        <v>1705</v>
      </c>
      <c r="J676" s="27" t="s">
        <v>1706</v>
      </c>
    </row>
    <row r="677" spans="1:10" x14ac:dyDescent="0.25">
      <c r="A677" s="216" t="s">
        <v>1163</v>
      </c>
      <c r="B677" s="45" t="str">
        <f>VLOOKUP(Tabela12[[#This Row],[Painel]],Tabela13[],2,0)</f>
        <v>CCP</v>
      </c>
      <c r="C677" s="45" t="s">
        <v>1592</v>
      </c>
      <c r="D677" s="21" t="s">
        <v>1846</v>
      </c>
      <c r="E677" s="21">
        <v>7</v>
      </c>
      <c r="F677" s="27" t="str">
        <f>Tabela12[[#This Row],[Régua]]&amp;" ("&amp;Tabela12[[#This Row],[Born]]&amp;")"</f>
        <v>RB-EA12 (7)</v>
      </c>
      <c r="G677" s="27">
        <f>LEN(Tabela12[[#This Row],[Anilha]])</f>
        <v>11</v>
      </c>
      <c r="H677" s="21">
        <f>VLOOKUP(Tabela12[[#This Row],[Tag Cabo]],BD!A:F,6,0)</f>
        <v>1</v>
      </c>
      <c r="I677" s="27" t="s">
        <v>1705</v>
      </c>
      <c r="J677" s="27" t="s">
        <v>1706</v>
      </c>
    </row>
    <row r="678" spans="1:10" x14ac:dyDescent="0.25">
      <c r="A678" s="216" t="s">
        <v>1163</v>
      </c>
      <c r="B678" s="45" t="str">
        <f>VLOOKUP(Tabela12[[#This Row],[Painel]],Tabela13[],2,0)</f>
        <v>CCP</v>
      </c>
      <c r="C678" s="45" t="s">
        <v>1592</v>
      </c>
      <c r="D678" s="21" t="s">
        <v>1846</v>
      </c>
      <c r="E678" s="21">
        <v>9</v>
      </c>
      <c r="F678" s="27" t="str">
        <f>Tabela12[[#This Row],[Régua]]&amp;" ("&amp;Tabela12[[#This Row],[Born]]&amp;")"</f>
        <v>RB-EA12 (9)</v>
      </c>
      <c r="G678" s="27">
        <f>LEN(Tabela12[[#This Row],[Anilha]])</f>
        <v>11</v>
      </c>
      <c r="H678" s="21">
        <f>VLOOKUP(Tabela12[[#This Row],[Tag Cabo]],BD!A:F,6,0)</f>
        <v>1</v>
      </c>
      <c r="I678" s="27" t="s">
        <v>1705</v>
      </c>
      <c r="J678" s="27" t="s">
        <v>1706</v>
      </c>
    </row>
    <row r="679" spans="1:10" x14ac:dyDescent="0.25">
      <c r="A679" s="216" t="s">
        <v>1163</v>
      </c>
      <c r="B679" s="45" t="str">
        <f>VLOOKUP(Tabela12[[#This Row],[Painel]],Tabela13[],2,0)</f>
        <v>CCP</v>
      </c>
      <c r="C679" s="45" t="s">
        <v>1592</v>
      </c>
      <c r="D679" s="21" t="s">
        <v>1846</v>
      </c>
      <c r="E679" s="21">
        <v>10</v>
      </c>
      <c r="F679" s="27" t="str">
        <f>Tabela12[[#This Row],[Régua]]&amp;" ("&amp;Tabela12[[#This Row],[Born]]&amp;")"</f>
        <v>RB-EA12 (10)</v>
      </c>
      <c r="G679" s="27">
        <f>LEN(Tabela12[[#This Row],[Anilha]])</f>
        <v>12</v>
      </c>
      <c r="H679" s="21">
        <f>VLOOKUP(Tabela12[[#This Row],[Tag Cabo]],BD!A:F,6,0)</f>
        <v>1</v>
      </c>
      <c r="I679" s="27" t="s">
        <v>1705</v>
      </c>
      <c r="J679" s="27" t="s">
        <v>1706</v>
      </c>
    </row>
    <row r="680" spans="1:10" x14ac:dyDescent="0.25">
      <c r="A680" s="216" t="s">
        <v>1163</v>
      </c>
      <c r="B680" s="45" t="str">
        <f>VLOOKUP(Tabela12[[#This Row],[Painel]],Tabela13[],2,0)</f>
        <v>CCP</v>
      </c>
      <c r="C680" s="45" t="s">
        <v>1592</v>
      </c>
      <c r="D680" s="21" t="s">
        <v>1846</v>
      </c>
      <c r="E680" s="21">
        <v>11</v>
      </c>
      <c r="F680" s="27" t="str">
        <f>Tabela12[[#This Row],[Régua]]&amp;" ("&amp;Tabela12[[#This Row],[Born]]&amp;")"</f>
        <v>RB-EA12 (11)</v>
      </c>
      <c r="G680" s="27">
        <f>LEN(Tabela12[[#This Row],[Anilha]])</f>
        <v>12</v>
      </c>
      <c r="H680" s="21">
        <f>VLOOKUP(Tabela12[[#This Row],[Tag Cabo]],BD!A:F,6,0)</f>
        <v>1</v>
      </c>
      <c r="I680" s="27" t="s">
        <v>1705</v>
      </c>
      <c r="J680" s="27" t="s">
        <v>1706</v>
      </c>
    </row>
    <row r="681" spans="1:10" x14ac:dyDescent="0.25">
      <c r="A681" s="216" t="s">
        <v>1163</v>
      </c>
      <c r="B681" s="45" t="str">
        <f>VLOOKUP(Tabela12[[#This Row],[Painel]],Tabela13[],2,0)</f>
        <v>CCP</v>
      </c>
      <c r="C681" s="45" t="s">
        <v>1592</v>
      </c>
      <c r="D681" s="21" t="s">
        <v>1846</v>
      </c>
      <c r="E681" s="21">
        <v>13</v>
      </c>
      <c r="F681" s="27" t="str">
        <f>Tabela12[[#This Row],[Régua]]&amp;" ("&amp;Tabela12[[#This Row],[Born]]&amp;")"</f>
        <v>RB-EA12 (13)</v>
      </c>
      <c r="G681" s="27">
        <f>LEN(Tabela12[[#This Row],[Anilha]])</f>
        <v>12</v>
      </c>
      <c r="H681" s="21">
        <f>VLOOKUP(Tabela12[[#This Row],[Tag Cabo]],BD!A:F,6,0)</f>
        <v>1</v>
      </c>
      <c r="I681" s="27" t="s">
        <v>1705</v>
      </c>
      <c r="J681" s="27" t="s">
        <v>1706</v>
      </c>
    </row>
    <row r="682" spans="1:10" x14ac:dyDescent="0.25">
      <c r="A682" s="216" t="s">
        <v>1163</v>
      </c>
      <c r="B682" s="45" t="str">
        <f>VLOOKUP(Tabela12[[#This Row],[Painel]],Tabela13[],2,0)</f>
        <v>CCP</v>
      </c>
      <c r="C682" s="45" t="s">
        <v>1592</v>
      </c>
      <c r="D682" s="21" t="s">
        <v>1846</v>
      </c>
      <c r="E682" s="21">
        <v>14</v>
      </c>
      <c r="F682" s="27" t="str">
        <f>Tabela12[[#This Row],[Régua]]&amp;" ("&amp;Tabela12[[#This Row],[Born]]&amp;")"</f>
        <v>RB-EA12 (14)</v>
      </c>
      <c r="G682" s="27">
        <f>LEN(Tabela12[[#This Row],[Anilha]])</f>
        <v>12</v>
      </c>
      <c r="H682" s="21">
        <f>VLOOKUP(Tabela12[[#This Row],[Tag Cabo]],BD!A:F,6,0)</f>
        <v>1</v>
      </c>
      <c r="I682" s="27" t="s">
        <v>1705</v>
      </c>
      <c r="J682" s="27" t="s">
        <v>1706</v>
      </c>
    </row>
    <row r="683" spans="1:10" x14ac:dyDescent="0.25">
      <c r="A683" s="216" t="s">
        <v>1163</v>
      </c>
      <c r="B683" s="45" t="str">
        <f>VLOOKUP(Tabela12[[#This Row],[Painel]],Tabela13[],2,0)</f>
        <v>CCP</v>
      </c>
      <c r="C683" s="45" t="s">
        <v>1592</v>
      </c>
      <c r="D683" s="21" t="s">
        <v>1846</v>
      </c>
      <c r="E683" s="21">
        <v>15</v>
      </c>
      <c r="F683" s="27" t="str">
        <f>Tabela12[[#This Row],[Régua]]&amp;" ("&amp;Tabela12[[#This Row],[Born]]&amp;")"</f>
        <v>RB-EA12 (15)</v>
      </c>
      <c r="G683" s="27">
        <f>LEN(Tabela12[[#This Row],[Anilha]])</f>
        <v>12</v>
      </c>
      <c r="H683" s="21">
        <f>VLOOKUP(Tabela12[[#This Row],[Tag Cabo]],BD!A:F,6,0)</f>
        <v>1</v>
      </c>
      <c r="I683" s="27" t="s">
        <v>1705</v>
      </c>
      <c r="J683" s="27" t="s">
        <v>1706</v>
      </c>
    </row>
    <row r="684" spans="1:10" x14ac:dyDescent="0.25">
      <c r="A684" s="216" t="s">
        <v>1163</v>
      </c>
      <c r="B684" s="45" t="str">
        <f>VLOOKUP(Tabela12[[#This Row],[Painel]],Tabela13[],2,0)</f>
        <v>CCP</v>
      </c>
      <c r="C684" s="45" t="s">
        <v>1592</v>
      </c>
      <c r="D684" s="21" t="s">
        <v>1846</v>
      </c>
      <c r="E684" s="21">
        <v>17</v>
      </c>
      <c r="F684" s="27" t="str">
        <f>Tabela12[[#This Row],[Régua]]&amp;" ("&amp;Tabela12[[#This Row],[Born]]&amp;")"</f>
        <v>RB-EA12 (17)</v>
      </c>
      <c r="G684" s="27">
        <f>LEN(Tabela12[[#This Row],[Anilha]])</f>
        <v>12</v>
      </c>
      <c r="H684" s="21">
        <f>VLOOKUP(Tabela12[[#This Row],[Tag Cabo]],BD!A:F,6,0)</f>
        <v>1</v>
      </c>
      <c r="I684" s="27" t="s">
        <v>1705</v>
      </c>
      <c r="J684" s="27" t="s">
        <v>1706</v>
      </c>
    </row>
    <row r="685" spans="1:10" x14ac:dyDescent="0.25">
      <c r="A685" s="216" t="s">
        <v>1163</v>
      </c>
      <c r="B685" s="45" t="str">
        <f>VLOOKUP(Tabela12[[#This Row],[Painel]],Tabela13[],2,0)</f>
        <v>CCP</v>
      </c>
      <c r="C685" s="45" t="s">
        <v>1592</v>
      </c>
      <c r="D685" s="21" t="s">
        <v>1846</v>
      </c>
      <c r="E685" s="21">
        <v>18</v>
      </c>
      <c r="F685" s="27" t="str">
        <f>Tabela12[[#This Row],[Régua]]&amp;" ("&amp;Tabela12[[#This Row],[Born]]&amp;")"</f>
        <v>RB-EA12 (18)</v>
      </c>
      <c r="G685" s="27">
        <f>LEN(Tabela12[[#This Row],[Anilha]])</f>
        <v>12</v>
      </c>
      <c r="H685" s="21">
        <f>VLOOKUP(Tabela12[[#This Row],[Tag Cabo]],BD!A:F,6,0)</f>
        <v>1</v>
      </c>
      <c r="I685" s="27" t="s">
        <v>1705</v>
      </c>
      <c r="J685" s="27" t="s">
        <v>1706</v>
      </c>
    </row>
    <row r="686" spans="1:10" x14ac:dyDescent="0.25">
      <c r="A686" s="216" t="s">
        <v>1163</v>
      </c>
      <c r="B686" s="45" t="str">
        <f>VLOOKUP(Tabela12[[#This Row],[Painel]],Tabela13[],2,0)</f>
        <v>CCP</v>
      </c>
      <c r="C686" s="45" t="s">
        <v>1592</v>
      </c>
      <c r="D686" s="21" t="s">
        <v>1846</v>
      </c>
      <c r="E686" s="21">
        <v>19</v>
      </c>
      <c r="F686" s="27" t="str">
        <f>Tabela12[[#This Row],[Régua]]&amp;" ("&amp;Tabela12[[#This Row],[Born]]&amp;")"</f>
        <v>RB-EA12 (19)</v>
      </c>
      <c r="G686" s="27">
        <f>LEN(Tabela12[[#This Row],[Anilha]])</f>
        <v>12</v>
      </c>
      <c r="H686" s="21">
        <f>VLOOKUP(Tabela12[[#This Row],[Tag Cabo]],BD!A:F,6,0)</f>
        <v>1</v>
      </c>
      <c r="I686" s="27" t="s">
        <v>1705</v>
      </c>
      <c r="J686" s="27" t="s">
        <v>1706</v>
      </c>
    </row>
    <row r="687" spans="1:10" x14ac:dyDescent="0.25">
      <c r="A687" s="216" t="s">
        <v>1163</v>
      </c>
      <c r="B687" s="45" t="str">
        <f>VLOOKUP(Tabela12[[#This Row],[Painel]],Tabela13[],2,0)</f>
        <v>CCP</v>
      </c>
      <c r="C687" s="45" t="s">
        <v>1592</v>
      </c>
      <c r="D687" s="21" t="s">
        <v>1846</v>
      </c>
      <c r="E687" s="21">
        <v>21</v>
      </c>
      <c r="F687" s="27" t="str">
        <f>Tabela12[[#This Row],[Régua]]&amp;" ("&amp;Tabela12[[#This Row],[Born]]&amp;")"</f>
        <v>RB-EA12 (21)</v>
      </c>
      <c r="G687" s="27">
        <f>LEN(Tabela12[[#This Row],[Anilha]])</f>
        <v>12</v>
      </c>
      <c r="H687" s="21">
        <f>VLOOKUP(Tabela12[[#This Row],[Tag Cabo]],BD!A:F,6,0)</f>
        <v>1</v>
      </c>
      <c r="I687" s="27" t="s">
        <v>1705</v>
      </c>
      <c r="J687" s="27" t="s">
        <v>1706</v>
      </c>
    </row>
    <row r="688" spans="1:10" x14ac:dyDescent="0.25">
      <c r="A688" s="216" t="s">
        <v>1163</v>
      </c>
      <c r="B688" s="45" t="str">
        <f>VLOOKUP(Tabela12[[#This Row],[Painel]],Tabela13[],2,0)</f>
        <v>CCP</v>
      </c>
      <c r="C688" s="45" t="s">
        <v>1592</v>
      </c>
      <c r="D688" s="21" t="s">
        <v>1846</v>
      </c>
      <c r="E688" s="21">
        <v>22</v>
      </c>
      <c r="F688" s="27" t="str">
        <f>Tabela12[[#This Row],[Régua]]&amp;" ("&amp;Tabela12[[#This Row],[Born]]&amp;")"</f>
        <v>RB-EA12 (22)</v>
      </c>
      <c r="G688" s="27">
        <f>LEN(Tabela12[[#This Row],[Anilha]])</f>
        <v>12</v>
      </c>
      <c r="H688" s="21">
        <f>VLOOKUP(Tabela12[[#This Row],[Tag Cabo]],BD!A:F,6,0)</f>
        <v>1</v>
      </c>
      <c r="I688" s="27" t="s">
        <v>1705</v>
      </c>
      <c r="J688" s="27" t="s">
        <v>1706</v>
      </c>
    </row>
    <row r="689" spans="1:10" x14ac:dyDescent="0.25">
      <c r="A689" s="216" t="s">
        <v>1163</v>
      </c>
      <c r="B689" s="45" t="str">
        <f>VLOOKUP(Tabela12[[#This Row],[Painel]],Tabela13[],2,0)</f>
        <v>CCP</v>
      </c>
      <c r="C689" s="45" t="s">
        <v>1592</v>
      </c>
      <c r="D689" s="21" t="s">
        <v>1846</v>
      </c>
      <c r="E689" s="21">
        <v>23</v>
      </c>
      <c r="F689" s="27" t="str">
        <f>Tabela12[[#This Row],[Régua]]&amp;" ("&amp;Tabela12[[#This Row],[Born]]&amp;")"</f>
        <v>RB-EA12 (23)</v>
      </c>
      <c r="G689" s="27">
        <f>LEN(Tabela12[[#This Row],[Anilha]])</f>
        <v>12</v>
      </c>
      <c r="H689" s="21">
        <f>VLOOKUP(Tabela12[[#This Row],[Tag Cabo]],BD!A:F,6,0)</f>
        <v>1</v>
      </c>
      <c r="I689" s="27" t="s">
        <v>1705</v>
      </c>
      <c r="J689" s="27" t="s">
        <v>1706</v>
      </c>
    </row>
    <row r="690" spans="1:10" x14ac:dyDescent="0.25">
      <c r="A690" s="216" t="s">
        <v>1166</v>
      </c>
      <c r="B690" s="45" t="str">
        <f>VLOOKUP(Tabela12[[#This Row],[Painel]],Tabela13[],2,0)</f>
        <v>GB-351</v>
      </c>
      <c r="C690" s="45" t="s">
        <v>1167</v>
      </c>
      <c r="D690" s="21" t="s">
        <v>1845</v>
      </c>
      <c r="E690" s="21">
        <v>1</v>
      </c>
      <c r="F690" s="27" t="str">
        <f>Tabela12[[#This Row],[Régua]]&amp;" ("&amp;Tabela12[[#This Row],[Born]]&amp;")"</f>
        <v>TS-01 (1)</v>
      </c>
      <c r="G690" s="27">
        <f>LEN(Tabela12[[#This Row],[Anilha]])</f>
        <v>9</v>
      </c>
      <c r="H690" s="21">
        <f>VLOOKUP(Tabela12[[#This Row],[Tag Cabo]],BD!A:F,6,0)</f>
        <v>1</v>
      </c>
      <c r="I690" s="27" t="s">
        <v>1705</v>
      </c>
      <c r="J690" s="27" t="s">
        <v>1706</v>
      </c>
    </row>
    <row r="691" spans="1:10" x14ac:dyDescent="0.25">
      <c r="A691" s="216" t="s">
        <v>1166</v>
      </c>
      <c r="B691" s="45" t="str">
        <f>VLOOKUP(Tabela12[[#This Row],[Painel]],Tabela13[],2,0)</f>
        <v>GB-351</v>
      </c>
      <c r="C691" s="45" t="s">
        <v>1167</v>
      </c>
      <c r="D691" s="21" t="s">
        <v>1845</v>
      </c>
      <c r="E691" s="21">
        <v>2</v>
      </c>
      <c r="F691" s="27" t="str">
        <f>Tabela12[[#This Row],[Régua]]&amp;" ("&amp;Tabela12[[#This Row],[Born]]&amp;")"</f>
        <v>TS-01 (2)</v>
      </c>
      <c r="G691" s="27">
        <f>LEN(Tabela12[[#This Row],[Anilha]])</f>
        <v>9</v>
      </c>
      <c r="H691" s="21">
        <f>VLOOKUP(Tabela12[[#This Row],[Tag Cabo]],BD!A:F,6,0)</f>
        <v>1</v>
      </c>
      <c r="I691" s="27" t="s">
        <v>1705</v>
      </c>
      <c r="J691" s="27" t="s">
        <v>1706</v>
      </c>
    </row>
    <row r="692" spans="1:10" x14ac:dyDescent="0.25">
      <c r="A692" s="216" t="s">
        <v>1166</v>
      </c>
      <c r="B692" s="45" t="str">
        <f>VLOOKUP(Tabela12[[#This Row],[Painel]],Tabela13[],2,0)</f>
        <v>GB-351</v>
      </c>
      <c r="C692" s="45" t="s">
        <v>1167</v>
      </c>
      <c r="D692" s="21" t="s">
        <v>1845</v>
      </c>
      <c r="E692" s="21">
        <v>3</v>
      </c>
      <c r="F692" s="27" t="str">
        <f>Tabela12[[#This Row],[Régua]]&amp;" ("&amp;Tabela12[[#This Row],[Born]]&amp;")"</f>
        <v>TS-01 (3)</v>
      </c>
      <c r="G692" s="27">
        <f>LEN(Tabela12[[#This Row],[Anilha]])</f>
        <v>9</v>
      </c>
      <c r="H692" s="21">
        <f>VLOOKUP(Tabela12[[#This Row],[Tag Cabo]],BD!A:F,6,0)</f>
        <v>1</v>
      </c>
      <c r="I692" s="27" t="s">
        <v>1705</v>
      </c>
      <c r="J692" s="27" t="s">
        <v>1706</v>
      </c>
    </row>
    <row r="693" spans="1:10" x14ac:dyDescent="0.25">
      <c r="A693" s="216" t="s">
        <v>1166</v>
      </c>
      <c r="B693" s="45" t="str">
        <f>VLOOKUP(Tabela12[[#This Row],[Painel]],Tabela13[],2,0)</f>
        <v>GB-351</v>
      </c>
      <c r="C693" s="45" t="s">
        <v>1167</v>
      </c>
      <c r="D693" s="21" t="s">
        <v>1845</v>
      </c>
      <c r="E693" s="21">
        <v>4</v>
      </c>
      <c r="F693" s="27" t="str">
        <f>Tabela12[[#This Row],[Régua]]&amp;" ("&amp;Tabela12[[#This Row],[Born]]&amp;")"</f>
        <v>TS-01 (4)</v>
      </c>
      <c r="G693" s="27">
        <f>LEN(Tabela12[[#This Row],[Anilha]])</f>
        <v>9</v>
      </c>
      <c r="H693" s="21">
        <f>VLOOKUP(Tabela12[[#This Row],[Tag Cabo]],BD!A:F,6,0)</f>
        <v>1</v>
      </c>
      <c r="I693" s="27" t="s">
        <v>1705</v>
      </c>
      <c r="J693" s="27" t="s">
        <v>1706</v>
      </c>
    </row>
    <row r="694" spans="1:10" x14ac:dyDescent="0.25">
      <c r="A694" s="216" t="s">
        <v>1166</v>
      </c>
      <c r="B694" s="45" t="str">
        <f>VLOOKUP(Tabela12[[#This Row],[Painel]],Tabela13[],2,0)</f>
        <v>GB-351</v>
      </c>
      <c r="C694" s="45" t="s">
        <v>1167</v>
      </c>
      <c r="D694" s="21" t="s">
        <v>1845</v>
      </c>
      <c r="E694" s="21">
        <v>5</v>
      </c>
      <c r="F694" s="27" t="str">
        <f>Tabela12[[#This Row],[Régua]]&amp;" ("&amp;Tabela12[[#This Row],[Born]]&amp;")"</f>
        <v>TS-01 (5)</v>
      </c>
      <c r="G694" s="27">
        <f>LEN(Tabela12[[#This Row],[Anilha]])</f>
        <v>9</v>
      </c>
      <c r="H694" s="21">
        <f>VLOOKUP(Tabela12[[#This Row],[Tag Cabo]],BD!A:F,6,0)</f>
        <v>1</v>
      </c>
      <c r="I694" s="27" t="s">
        <v>1705</v>
      </c>
      <c r="J694" s="27" t="s">
        <v>1706</v>
      </c>
    </row>
    <row r="695" spans="1:10" x14ac:dyDescent="0.25">
      <c r="A695" s="216" t="s">
        <v>1166</v>
      </c>
      <c r="B695" s="45" t="str">
        <f>VLOOKUP(Tabela12[[#This Row],[Painel]],Tabela13[],2,0)</f>
        <v>GB-351</v>
      </c>
      <c r="C695" s="45" t="s">
        <v>1167</v>
      </c>
      <c r="D695" s="21" t="s">
        <v>1845</v>
      </c>
      <c r="E695" s="21">
        <v>6</v>
      </c>
      <c r="F695" s="27" t="str">
        <f>Tabela12[[#This Row],[Régua]]&amp;" ("&amp;Tabela12[[#This Row],[Born]]&amp;")"</f>
        <v>TS-01 (6)</v>
      </c>
      <c r="G695" s="27">
        <f>LEN(Tabela12[[#This Row],[Anilha]])</f>
        <v>9</v>
      </c>
      <c r="H695" s="21">
        <f>VLOOKUP(Tabela12[[#This Row],[Tag Cabo]],BD!A:F,6,0)</f>
        <v>1</v>
      </c>
      <c r="I695" s="27" t="s">
        <v>1705</v>
      </c>
      <c r="J695" s="27" t="s">
        <v>1706</v>
      </c>
    </row>
    <row r="696" spans="1:10" x14ac:dyDescent="0.25">
      <c r="A696" s="216" t="s">
        <v>1166</v>
      </c>
      <c r="B696" s="45" t="str">
        <f>VLOOKUP(Tabela12[[#This Row],[Painel]],Tabela13[],2,0)</f>
        <v>GB-351</v>
      </c>
      <c r="C696" s="45" t="s">
        <v>1167</v>
      </c>
      <c r="D696" s="21" t="s">
        <v>1845</v>
      </c>
      <c r="E696" s="21">
        <v>7</v>
      </c>
      <c r="F696" s="27" t="str">
        <f>Tabela12[[#This Row],[Régua]]&amp;" ("&amp;Tabela12[[#This Row],[Born]]&amp;")"</f>
        <v>TS-01 (7)</v>
      </c>
      <c r="G696" s="27">
        <f>LEN(Tabela12[[#This Row],[Anilha]])</f>
        <v>9</v>
      </c>
      <c r="H696" s="21">
        <f>VLOOKUP(Tabela12[[#This Row],[Tag Cabo]],BD!A:F,6,0)</f>
        <v>1</v>
      </c>
      <c r="I696" s="27" t="s">
        <v>1705</v>
      </c>
      <c r="J696" s="27" t="s">
        <v>1706</v>
      </c>
    </row>
    <row r="697" spans="1:10" x14ac:dyDescent="0.25">
      <c r="A697" s="216" t="s">
        <v>1166</v>
      </c>
      <c r="B697" s="45" t="str">
        <f>VLOOKUP(Tabela12[[#This Row],[Painel]],Tabela13[],2,0)</f>
        <v>GB-351</v>
      </c>
      <c r="C697" s="45" t="s">
        <v>1167</v>
      </c>
      <c r="D697" s="21" t="s">
        <v>1845</v>
      </c>
      <c r="E697" s="21">
        <v>8</v>
      </c>
      <c r="F697" s="27" t="str">
        <f>Tabela12[[#This Row],[Régua]]&amp;" ("&amp;Tabela12[[#This Row],[Born]]&amp;")"</f>
        <v>TS-01 (8)</v>
      </c>
      <c r="G697" s="27">
        <f>LEN(Tabela12[[#This Row],[Anilha]])</f>
        <v>9</v>
      </c>
      <c r="H697" s="21">
        <f>VLOOKUP(Tabela12[[#This Row],[Tag Cabo]],BD!A:F,6,0)</f>
        <v>1</v>
      </c>
      <c r="I697" s="27" t="s">
        <v>1705</v>
      </c>
      <c r="J697" s="27" t="s">
        <v>1706</v>
      </c>
    </row>
    <row r="698" spans="1:10" x14ac:dyDescent="0.25">
      <c r="A698" s="216" t="s">
        <v>1166</v>
      </c>
      <c r="B698" s="45" t="str">
        <f>VLOOKUP(Tabela12[[#This Row],[Painel]],Tabela13[],2,0)</f>
        <v>GB-351</v>
      </c>
      <c r="C698" s="45" t="s">
        <v>1167</v>
      </c>
      <c r="D698" s="21" t="s">
        <v>1845</v>
      </c>
      <c r="E698" s="21">
        <v>9</v>
      </c>
      <c r="F698" s="27" t="str">
        <f>Tabela12[[#This Row],[Régua]]&amp;" ("&amp;Tabela12[[#This Row],[Born]]&amp;")"</f>
        <v>TS-01 (9)</v>
      </c>
      <c r="G698" s="27">
        <f>LEN(Tabela12[[#This Row],[Anilha]])</f>
        <v>9</v>
      </c>
      <c r="H698" s="21">
        <f>VLOOKUP(Tabela12[[#This Row],[Tag Cabo]],BD!A:F,6,0)</f>
        <v>1</v>
      </c>
      <c r="I698" s="27" t="s">
        <v>1705</v>
      </c>
      <c r="J698" s="27" t="s">
        <v>1706</v>
      </c>
    </row>
    <row r="699" spans="1:10" x14ac:dyDescent="0.25">
      <c r="A699" s="216" t="s">
        <v>1166</v>
      </c>
      <c r="B699" s="45" t="str">
        <f>VLOOKUP(Tabela12[[#This Row],[Painel]],Tabela13[],2,0)</f>
        <v>GB-351</v>
      </c>
      <c r="C699" s="45" t="s">
        <v>1167</v>
      </c>
      <c r="D699" s="21" t="s">
        <v>1845</v>
      </c>
      <c r="E699" s="21">
        <v>10</v>
      </c>
      <c r="F699" s="27" t="str">
        <f>Tabela12[[#This Row],[Régua]]&amp;" ("&amp;Tabela12[[#This Row],[Born]]&amp;")"</f>
        <v>TS-01 (10)</v>
      </c>
      <c r="G699" s="27">
        <f>LEN(Tabela12[[#This Row],[Anilha]])</f>
        <v>10</v>
      </c>
      <c r="H699" s="21">
        <f>VLOOKUP(Tabela12[[#This Row],[Tag Cabo]],BD!A:F,6,0)</f>
        <v>1</v>
      </c>
      <c r="I699" s="27" t="s">
        <v>1705</v>
      </c>
      <c r="J699" s="27" t="s">
        <v>1706</v>
      </c>
    </row>
    <row r="700" spans="1:10" x14ac:dyDescent="0.25">
      <c r="A700" s="216" t="s">
        <v>1166</v>
      </c>
      <c r="B700" s="45" t="str">
        <f>VLOOKUP(Tabela12[[#This Row],[Painel]],Tabela13[],2,0)</f>
        <v>GB-351</v>
      </c>
      <c r="C700" s="45" t="s">
        <v>1167</v>
      </c>
      <c r="D700" s="21" t="s">
        <v>1845</v>
      </c>
      <c r="E700" s="21">
        <v>11</v>
      </c>
      <c r="F700" s="27" t="str">
        <f>Tabela12[[#This Row],[Régua]]&amp;" ("&amp;Tabela12[[#This Row],[Born]]&amp;")"</f>
        <v>TS-01 (11)</v>
      </c>
      <c r="G700" s="27">
        <f>LEN(Tabela12[[#This Row],[Anilha]])</f>
        <v>10</v>
      </c>
      <c r="H700" s="21">
        <f>VLOOKUP(Tabela12[[#This Row],[Tag Cabo]],BD!A:F,6,0)</f>
        <v>1</v>
      </c>
      <c r="I700" s="27" t="s">
        <v>1705</v>
      </c>
      <c r="J700" s="27" t="s">
        <v>1706</v>
      </c>
    </row>
    <row r="701" spans="1:10" x14ac:dyDescent="0.25">
      <c r="A701" s="216" t="s">
        <v>1166</v>
      </c>
      <c r="B701" s="45" t="str">
        <f>VLOOKUP(Tabela12[[#This Row],[Painel]],Tabela13[],2,0)</f>
        <v>GB-351</v>
      </c>
      <c r="C701" s="45" t="s">
        <v>1167</v>
      </c>
      <c r="D701" s="21" t="s">
        <v>1845</v>
      </c>
      <c r="E701" s="21">
        <v>12</v>
      </c>
      <c r="F701" s="27" t="str">
        <f>Tabela12[[#This Row],[Régua]]&amp;" ("&amp;Tabela12[[#This Row],[Born]]&amp;")"</f>
        <v>TS-01 (12)</v>
      </c>
      <c r="G701" s="27">
        <f>LEN(Tabela12[[#This Row],[Anilha]])</f>
        <v>10</v>
      </c>
      <c r="H701" s="21">
        <f>VLOOKUP(Tabela12[[#This Row],[Tag Cabo]],BD!A:F,6,0)</f>
        <v>1</v>
      </c>
      <c r="I701" s="27" t="s">
        <v>1705</v>
      </c>
      <c r="J701" s="27" t="s">
        <v>1706</v>
      </c>
    </row>
    <row r="702" spans="1:10" x14ac:dyDescent="0.25">
      <c r="A702" s="216" t="s">
        <v>1166</v>
      </c>
      <c r="B702" s="45" t="str">
        <f>VLOOKUP(Tabela12[[#This Row],[Painel]],Tabela13[],2,0)</f>
        <v>GB-351</v>
      </c>
      <c r="C702" s="45" t="s">
        <v>1167</v>
      </c>
      <c r="D702" s="21" t="s">
        <v>1845</v>
      </c>
      <c r="E702" s="21">
        <v>13</v>
      </c>
      <c r="F702" s="27" t="str">
        <f>Tabela12[[#This Row],[Régua]]&amp;" ("&amp;Tabela12[[#This Row],[Born]]&amp;")"</f>
        <v>TS-01 (13)</v>
      </c>
      <c r="G702" s="27">
        <f>LEN(Tabela12[[#This Row],[Anilha]])</f>
        <v>10</v>
      </c>
      <c r="H702" s="21">
        <f>VLOOKUP(Tabela12[[#This Row],[Tag Cabo]],BD!A:F,6,0)</f>
        <v>1</v>
      </c>
      <c r="I702" s="27" t="s">
        <v>1705</v>
      </c>
      <c r="J702" s="27" t="s">
        <v>1706</v>
      </c>
    </row>
    <row r="703" spans="1:10" x14ac:dyDescent="0.25">
      <c r="A703" s="216" t="s">
        <v>1166</v>
      </c>
      <c r="B703" s="45" t="str">
        <f>VLOOKUP(Tabela12[[#This Row],[Painel]],Tabela13[],2,0)</f>
        <v>GB-351</v>
      </c>
      <c r="C703" s="45" t="s">
        <v>1167</v>
      </c>
      <c r="D703" s="21" t="s">
        <v>1845</v>
      </c>
      <c r="E703" s="21">
        <v>14</v>
      </c>
      <c r="F703" s="27" t="str">
        <f>Tabela12[[#This Row],[Régua]]&amp;" ("&amp;Tabela12[[#This Row],[Born]]&amp;")"</f>
        <v>TS-01 (14)</v>
      </c>
      <c r="G703" s="27">
        <f>LEN(Tabela12[[#This Row],[Anilha]])</f>
        <v>10</v>
      </c>
      <c r="H703" s="21">
        <f>VLOOKUP(Tabela12[[#This Row],[Tag Cabo]],BD!A:F,6,0)</f>
        <v>1</v>
      </c>
      <c r="I703" s="27" t="s">
        <v>1705</v>
      </c>
      <c r="J703" s="27" t="s">
        <v>1706</v>
      </c>
    </row>
    <row r="704" spans="1:10" x14ac:dyDescent="0.25">
      <c r="A704" s="216" t="s">
        <v>1166</v>
      </c>
      <c r="B704" s="45" t="str">
        <f>VLOOKUP(Tabela12[[#This Row],[Painel]],Tabela13[],2,0)</f>
        <v>GB-351</v>
      </c>
      <c r="C704" s="45" t="s">
        <v>1167</v>
      </c>
      <c r="D704" s="21" t="s">
        <v>1845</v>
      </c>
      <c r="E704" s="21">
        <v>15</v>
      </c>
      <c r="F704" s="27" t="str">
        <f>Tabela12[[#This Row],[Régua]]&amp;" ("&amp;Tabela12[[#This Row],[Born]]&amp;")"</f>
        <v>TS-01 (15)</v>
      </c>
      <c r="G704" s="27">
        <f>LEN(Tabela12[[#This Row],[Anilha]])</f>
        <v>10</v>
      </c>
      <c r="H704" s="21">
        <f>VLOOKUP(Tabela12[[#This Row],[Tag Cabo]],BD!A:F,6,0)</f>
        <v>1</v>
      </c>
      <c r="I704" s="27" t="s">
        <v>1705</v>
      </c>
      <c r="J704" s="27" t="s">
        <v>1706</v>
      </c>
    </row>
    <row r="705" spans="1:10" x14ac:dyDescent="0.25">
      <c r="A705" s="216" t="s">
        <v>1166</v>
      </c>
      <c r="B705" s="45" t="str">
        <f>VLOOKUP(Tabela12[[#This Row],[Painel]],Tabela13[],2,0)</f>
        <v>GB-351</v>
      </c>
      <c r="C705" s="45" t="s">
        <v>1167</v>
      </c>
      <c r="D705" s="21" t="s">
        <v>1845</v>
      </c>
      <c r="E705" s="21">
        <v>16</v>
      </c>
      <c r="F705" s="27" t="str">
        <f>Tabela12[[#This Row],[Régua]]&amp;" ("&amp;Tabela12[[#This Row],[Born]]&amp;")"</f>
        <v>TS-01 (16)</v>
      </c>
      <c r="G705" s="27">
        <f>LEN(Tabela12[[#This Row],[Anilha]])</f>
        <v>10</v>
      </c>
      <c r="H705" s="21">
        <f>VLOOKUP(Tabela12[[#This Row],[Tag Cabo]],BD!A:F,6,0)</f>
        <v>1</v>
      </c>
      <c r="I705" s="27" t="s">
        <v>1705</v>
      </c>
      <c r="J705" s="27" t="s">
        <v>1706</v>
      </c>
    </row>
    <row r="706" spans="1:10" x14ac:dyDescent="0.25">
      <c r="A706" s="216" t="s">
        <v>1166</v>
      </c>
      <c r="B706" s="45" t="str">
        <f>VLOOKUP(Tabela12[[#This Row],[Painel]],Tabela13[],2,0)</f>
        <v>GB-351</v>
      </c>
      <c r="C706" s="45" t="s">
        <v>1167</v>
      </c>
      <c r="D706" s="21" t="s">
        <v>1845</v>
      </c>
      <c r="E706" s="21">
        <v>17</v>
      </c>
      <c r="F706" s="27" t="str">
        <f>Tabela12[[#This Row],[Régua]]&amp;" ("&amp;Tabela12[[#This Row],[Born]]&amp;")"</f>
        <v>TS-01 (17)</v>
      </c>
      <c r="G706" s="27">
        <f>LEN(Tabela12[[#This Row],[Anilha]])</f>
        <v>10</v>
      </c>
      <c r="H706" s="21">
        <f>VLOOKUP(Tabela12[[#This Row],[Tag Cabo]],BD!A:F,6,0)</f>
        <v>1</v>
      </c>
      <c r="I706" s="27" t="s">
        <v>1705</v>
      </c>
      <c r="J706" s="27" t="s">
        <v>1706</v>
      </c>
    </row>
    <row r="707" spans="1:10" x14ac:dyDescent="0.25">
      <c r="A707" s="216" t="s">
        <v>1166</v>
      </c>
      <c r="B707" s="45" t="str">
        <f>VLOOKUP(Tabela12[[#This Row],[Painel]],Tabela13[],2,0)</f>
        <v>GB-351</v>
      </c>
      <c r="C707" s="45" t="s">
        <v>1167</v>
      </c>
      <c r="D707" s="21" t="s">
        <v>1845</v>
      </c>
      <c r="E707" s="21">
        <v>18</v>
      </c>
      <c r="F707" s="27" t="str">
        <f>Tabela12[[#This Row],[Régua]]&amp;" ("&amp;Tabela12[[#This Row],[Born]]&amp;")"</f>
        <v>TS-01 (18)</v>
      </c>
      <c r="G707" s="27">
        <f>LEN(Tabela12[[#This Row],[Anilha]])</f>
        <v>10</v>
      </c>
      <c r="H707" s="21">
        <f>VLOOKUP(Tabela12[[#This Row],[Tag Cabo]],BD!A:F,6,0)</f>
        <v>1</v>
      </c>
      <c r="I707" s="27" t="s">
        <v>1705</v>
      </c>
      <c r="J707" s="27" t="s">
        <v>1706</v>
      </c>
    </row>
    <row r="708" spans="1:10" x14ac:dyDescent="0.25">
      <c r="A708" s="216" t="s">
        <v>1166</v>
      </c>
      <c r="B708" s="45" t="str">
        <f>VLOOKUP(Tabela12[[#This Row],[Painel]],Tabela13[],2,0)</f>
        <v>CCP</v>
      </c>
      <c r="C708" s="45" t="s">
        <v>1592</v>
      </c>
      <c r="D708" s="21" t="s">
        <v>1829</v>
      </c>
      <c r="E708" s="21">
        <v>1</v>
      </c>
      <c r="F708" s="27" t="str">
        <f>Tabela12[[#This Row],[Régua]]&amp;" ("&amp;Tabela12[[#This Row],[Born]]&amp;")"</f>
        <v>RB-EA3 (1)</v>
      </c>
      <c r="G708" s="27">
        <f>LEN(Tabela12[[#This Row],[Anilha]])</f>
        <v>10</v>
      </c>
      <c r="H708" s="21">
        <f>VLOOKUP(Tabela12[[#This Row],[Tag Cabo]],BD!A:F,6,0)</f>
        <v>1</v>
      </c>
      <c r="I708" s="27" t="s">
        <v>1705</v>
      </c>
      <c r="J708" s="27" t="s">
        <v>1706</v>
      </c>
    </row>
    <row r="709" spans="1:10" x14ac:dyDescent="0.25">
      <c r="A709" s="216" t="s">
        <v>1166</v>
      </c>
      <c r="B709" s="45" t="str">
        <f>VLOOKUP(Tabela12[[#This Row],[Painel]],Tabela13[],2,0)</f>
        <v>CCP</v>
      </c>
      <c r="C709" s="45" t="s">
        <v>1592</v>
      </c>
      <c r="D709" s="21" t="s">
        <v>1829</v>
      </c>
      <c r="E709" s="21">
        <v>2</v>
      </c>
      <c r="F709" s="27" t="str">
        <f>Tabela12[[#This Row],[Régua]]&amp;" ("&amp;Tabela12[[#This Row],[Born]]&amp;")"</f>
        <v>RB-EA3 (2)</v>
      </c>
      <c r="G709" s="27">
        <f>LEN(Tabela12[[#This Row],[Anilha]])</f>
        <v>10</v>
      </c>
      <c r="H709" s="21">
        <f>VLOOKUP(Tabela12[[#This Row],[Tag Cabo]],BD!A:F,6,0)</f>
        <v>1</v>
      </c>
      <c r="I709" s="27" t="s">
        <v>1705</v>
      </c>
      <c r="J709" s="27" t="s">
        <v>1706</v>
      </c>
    </row>
    <row r="710" spans="1:10" x14ac:dyDescent="0.25">
      <c r="A710" s="216" t="s">
        <v>1166</v>
      </c>
      <c r="B710" s="45" t="str">
        <f>VLOOKUP(Tabela12[[#This Row],[Painel]],Tabela13[],2,0)</f>
        <v>CCP</v>
      </c>
      <c r="C710" s="45" t="s">
        <v>1592</v>
      </c>
      <c r="D710" s="21" t="s">
        <v>1829</v>
      </c>
      <c r="E710" s="21">
        <v>3</v>
      </c>
      <c r="F710" s="27" t="str">
        <f>Tabela12[[#This Row],[Régua]]&amp;" ("&amp;Tabela12[[#This Row],[Born]]&amp;")"</f>
        <v>RB-EA3 (3)</v>
      </c>
      <c r="G710" s="27">
        <f>LEN(Tabela12[[#This Row],[Anilha]])</f>
        <v>10</v>
      </c>
      <c r="H710" s="21">
        <f>VLOOKUP(Tabela12[[#This Row],[Tag Cabo]],BD!A:F,6,0)</f>
        <v>1</v>
      </c>
      <c r="I710" s="27" t="s">
        <v>1705</v>
      </c>
      <c r="J710" s="27" t="s">
        <v>1706</v>
      </c>
    </row>
    <row r="711" spans="1:10" x14ac:dyDescent="0.25">
      <c r="A711" s="216" t="s">
        <v>1166</v>
      </c>
      <c r="B711" s="45" t="str">
        <f>VLOOKUP(Tabela12[[#This Row],[Painel]],Tabela13[],2,0)</f>
        <v>CCP</v>
      </c>
      <c r="C711" s="45" t="s">
        <v>1592</v>
      </c>
      <c r="D711" s="21" t="s">
        <v>1830</v>
      </c>
      <c r="E711" s="21">
        <v>1</v>
      </c>
      <c r="F711" s="27" t="str">
        <f>Tabela12[[#This Row],[Régua]]&amp;" ("&amp;Tabela12[[#This Row],[Born]]&amp;")"</f>
        <v>RB-EA4 (1)</v>
      </c>
      <c r="G711" s="27">
        <f>LEN(Tabela12[[#This Row],[Anilha]])</f>
        <v>10</v>
      </c>
      <c r="H711" s="21">
        <f>VLOOKUP(Tabela12[[#This Row],[Tag Cabo]],BD!A:F,6,0)</f>
        <v>1</v>
      </c>
      <c r="I711" s="27" t="s">
        <v>1705</v>
      </c>
      <c r="J711" s="27" t="s">
        <v>1706</v>
      </c>
    </row>
    <row r="712" spans="1:10" x14ac:dyDescent="0.25">
      <c r="A712" s="216" t="s">
        <v>1166</v>
      </c>
      <c r="B712" s="45" t="str">
        <f>VLOOKUP(Tabela12[[#This Row],[Painel]],Tabela13[],2,0)</f>
        <v>CCP</v>
      </c>
      <c r="C712" s="45" t="s">
        <v>1592</v>
      </c>
      <c r="D712" s="21" t="s">
        <v>1830</v>
      </c>
      <c r="E712" s="21">
        <v>2</v>
      </c>
      <c r="F712" s="27" t="str">
        <f>Tabela12[[#This Row],[Régua]]&amp;" ("&amp;Tabela12[[#This Row],[Born]]&amp;")"</f>
        <v>RB-EA4 (2)</v>
      </c>
      <c r="G712" s="27">
        <f>LEN(Tabela12[[#This Row],[Anilha]])</f>
        <v>10</v>
      </c>
      <c r="H712" s="21">
        <f>VLOOKUP(Tabela12[[#This Row],[Tag Cabo]],BD!A:F,6,0)</f>
        <v>1</v>
      </c>
      <c r="I712" s="27" t="s">
        <v>1705</v>
      </c>
      <c r="J712" s="27" t="s">
        <v>1706</v>
      </c>
    </row>
    <row r="713" spans="1:10" x14ac:dyDescent="0.25">
      <c r="A713" s="216" t="s">
        <v>1166</v>
      </c>
      <c r="B713" s="45" t="str">
        <f>VLOOKUP(Tabela12[[#This Row],[Painel]],Tabela13[],2,0)</f>
        <v>CCP</v>
      </c>
      <c r="C713" s="45" t="s">
        <v>1592</v>
      </c>
      <c r="D713" s="21" t="s">
        <v>1830</v>
      </c>
      <c r="E713" s="21">
        <v>3</v>
      </c>
      <c r="F713" s="27" t="str">
        <f>Tabela12[[#This Row],[Régua]]&amp;" ("&amp;Tabela12[[#This Row],[Born]]&amp;")"</f>
        <v>RB-EA4 (3)</v>
      </c>
      <c r="G713" s="27">
        <f>LEN(Tabela12[[#This Row],[Anilha]])</f>
        <v>10</v>
      </c>
      <c r="H713" s="21">
        <f>VLOOKUP(Tabela12[[#This Row],[Tag Cabo]],BD!A:F,6,0)</f>
        <v>1</v>
      </c>
      <c r="I713" s="27" t="s">
        <v>1705</v>
      </c>
      <c r="J713" s="27" t="s">
        <v>1706</v>
      </c>
    </row>
    <row r="714" spans="1:10" x14ac:dyDescent="0.25">
      <c r="A714" s="216" t="s">
        <v>1166</v>
      </c>
      <c r="B714" s="45" t="str">
        <f>VLOOKUP(Tabela12[[#This Row],[Painel]],Tabela13[],2,0)</f>
        <v>CCP</v>
      </c>
      <c r="C714" s="45" t="s">
        <v>1592</v>
      </c>
      <c r="D714" s="21" t="s">
        <v>1833</v>
      </c>
      <c r="E714" s="21">
        <v>9</v>
      </c>
      <c r="F714" s="27" t="str">
        <f>Tabela12[[#This Row],[Régua]]&amp;" ("&amp;Tabela12[[#This Row],[Born]]&amp;")"</f>
        <v>RB-EA7 (9)</v>
      </c>
      <c r="G714" s="27">
        <f>LEN(Tabela12[[#This Row],[Anilha]])</f>
        <v>10</v>
      </c>
      <c r="H714" s="21">
        <f>VLOOKUP(Tabela12[[#This Row],[Tag Cabo]],BD!A:F,6,0)</f>
        <v>1</v>
      </c>
      <c r="I714" s="27" t="s">
        <v>1705</v>
      </c>
      <c r="J714" s="27" t="s">
        <v>1706</v>
      </c>
    </row>
    <row r="715" spans="1:10" x14ac:dyDescent="0.25">
      <c r="A715" s="216" t="s">
        <v>1166</v>
      </c>
      <c r="B715" s="45" t="str">
        <f>VLOOKUP(Tabela12[[#This Row],[Painel]],Tabela13[],2,0)</f>
        <v>CCP</v>
      </c>
      <c r="C715" s="45" t="s">
        <v>1592</v>
      </c>
      <c r="D715" s="21" t="s">
        <v>1833</v>
      </c>
      <c r="E715" s="21">
        <v>10</v>
      </c>
      <c r="F715" s="27" t="str">
        <f>Tabela12[[#This Row],[Régua]]&amp;" ("&amp;Tabela12[[#This Row],[Born]]&amp;")"</f>
        <v>RB-EA7 (10)</v>
      </c>
      <c r="G715" s="27">
        <f>LEN(Tabela12[[#This Row],[Anilha]])</f>
        <v>11</v>
      </c>
      <c r="H715" s="21">
        <f>VLOOKUP(Tabela12[[#This Row],[Tag Cabo]],BD!A:F,6,0)</f>
        <v>1</v>
      </c>
      <c r="I715" s="27" t="s">
        <v>1705</v>
      </c>
      <c r="J715" s="27" t="s">
        <v>1706</v>
      </c>
    </row>
    <row r="716" spans="1:10" x14ac:dyDescent="0.25">
      <c r="A716" s="216" t="s">
        <v>1166</v>
      </c>
      <c r="B716" s="45" t="str">
        <f>VLOOKUP(Tabela12[[#This Row],[Painel]],Tabela13[],2,0)</f>
        <v>CCP</v>
      </c>
      <c r="C716" s="45" t="s">
        <v>1592</v>
      </c>
      <c r="D716" s="21" t="s">
        <v>1833</v>
      </c>
      <c r="E716" s="21">
        <v>11</v>
      </c>
      <c r="F716" s="27" t="str">
        <f>Tabela12[[#This Row],[Régua]]&amp;" ("&amp;Tabela12[[#This Row],[Born]]&amp;")"</f>
        <v>RB-EA7 (11)</v>
      </c>
      <c r="G716" s="27">
        <f>LEN(Tabela12[[#This Row],[Anilha]])</f>
        <v>11</v>
      </c>
      <c r="H716" s="21">
        <f>VLOOKUP(Tabela12[[#This Row],[Tag Cabo]],BD!A:F,6,0)</f>
        <v>1</v>
      </c>
      <c r="I716" s="27" t="s">
        <v>1705</v>
      </c>
      <c r="J716" s="27" t="s">
        <v>1706</v>
      </c>
    </row>
    <row r="717" spans="1:10" x14ac:dyDescent="0.25">
      <c r="A717" s="216" t="s">
        <v>1166</v>
      </c>
      <c r="B717" s="45" t="str">
        <f>VLOOKUP(Tabela12[[#This Row],[Painel]],Tabela13[],2,0)</f>
        <v>CCP</v>
      </c>
      <c r="C717" s="45" t="s">
        <v>1592</v>
      </c>
      <c r="D717" s="21" t="s">
        <v>1833</v>
      </c>
      <c r="E717" s="21">
        <v>13</v>
      </c>
      <c r="F717" s="27" t="str">
        <f>Tabela12[[#This Row],[Régua]]&amp;" ("&amp;Tabela12[[#This Row],[Born]]&amp;")"</f>
        <v>RB-EA7 (13)</v>
      </c>
      <c r="G717" s="27">
        <f>LEN(Tabela12[[#This Row],[Anilha]])</f>
        <v>11</v>
      </c>
      <c r="H717" s="21">
        <f>VLOOKUP(Tabela12[[#This Row],[Tag Cabo]],BD!A:F,6,0)</f>
        <v>1</v>
      </c>
      <c r="I717" s="27" t="s">
        <v>1705</v>
      </c>
      <c r="J717" s="27" t="s">
        <v>1706</v>
      </c>
    </row>
    <row r="718" spans="1:10" x14ac:dyDescent="0.25">
      <c r="A718" s="216" t="s">
        <v>1166</v>
      </c>
      <c r="B718" s="45" t="str">
        <f>VLOOKUP(Tabela12[[#This Row],[Painel]],Tabela13[],2,0)</f>
        <v>CCP</v>
      </c>
      <c r="C718" s="45" t="s">
        <v>1592</v>
      </c>
      <c r="D718" s="21" t="s">
        <v>1833</v>
      </c>
      <c r="E718" s="21">
        <v>14</v>
      </c>
      <c r="F718" s="27" t="str">
        <f>Tabela12[[#This Row],[Régua]]&amp;" ("&amp;Tabela12[[#This Row],[Born]]&amp;")"</f>
        <v>RB-EA7 (14)</v>
      </c>
      <c r="G718" s="27">
        <f>LEN(Tabela12[[#This Row],[Anilha]])</f>
        <v>11</v>
      </c>
      <c r="H718" s="21">
        <f>VLOOKUP(Tabela12[[#This Row],[Tag Cabo]],BD!A:F,6,0)</f>
        <v>1</v>
      </c>
      <c r="I718" s="27" t="s">
        <v>1705</v>
      </c>
      <c r="J718" s="27" t="s">
        <v>1706</v>
      </c>
    </row>
    <row r="719" spans="1:10" x14ac:dyDescent="0.25">
      <c r="A719" s="216" t="s">
        <v>1166</v>
      </c>
      <c r="B719" s="45" t="str">
        <f>VLOOKUP(Tabela12[[#This Row],[Painel]],Tabela13[],2,0)</f>
        <v>CCP</v>
      </c>
      <c r="C719" s="45" t="s">
        <v>1592</v>
      </c>
      <c r="D719" s="21" t="s">
        <v>1833</v>
      </c>
      <c r="E719" s="21">
        <v>15</v>
      </c>
      <c r="F719" s="27" t="str">
        <f>Tabela12[[#This Row],[Régua]]&amp;" ("&amp;Tabela12[[#This Row],[Born]]&amp;")"</f>
        <v>RB-EA7 (15)</v>
      </c>
      <c r="G719" s="27">
        <f>LEN(Tabela12[[#This Row],[Anilha]])</f>
        <v>11</v>
      </c>
      <c r="H719" s="21">
        <f>VLOOKUP(Tabela12[[#This Row],[Tag Cabo]],BD!A:F,6,0)</f>
        <v>1</v>
      </c>
      <c r="I719" s="27" t="s">
        <v>1705</v>
      </c>
      <c r="J719" s="27" t="s">
        <v>1706</v>
      </c>
    </row>
    <row r="720" spans="1:10" x14ac:dyDescent="0.25">
      <c r="A720" s="216" t="s">
        <v>1166</v>
      </c>
      <c r="B720" s="45" t="str">
        <f>VLOOKUP(Tabela12[[#This Row],[Painel]],Tabela13[],2,0)</f>
        <v>CCP</v>
      </c>
      <c r="C720" s="45" t="s">
        <v>1592</v>
      </c>
      <c r="D720" s="21" t="s">
        <v>1834</v>
      </c>
      <c r="E720" s="21">
        <v>9</v>
      </c>
      <c r="F720" s="27" t="str">
        <f>Tabela12[[#This Row],[Régua]]&amp;" ("&amp;Tabela12[[#This Row],[Born]]&amp;")"</f>
        <v>RB-EA8 (9)</v>
      </c>
      <c r="G720" s="27">
        <f>LEN(Tabela12[[#This Row],[Anilha]])</f>
        <v>10</v>
      </c>
      <c r="H720" s="21">
        <f>VLOOKUP(Tabela12[[#This Row],[Tag Cabo]],BD!A:F,6,0)</f>
        <v>1</v>
      </c>
      <c r="I720" s="27" t="s">
        <v>1705</v>
      </c>
      <c r="J720" s="27" t="s">
        <v>1706</v>
      </c>
    </row>
    <row r="721" spans="1:10" x14ac:dyDescent="0.25">
      <c r="A721" s="216" t="s">
        <v>1166</v>
      </c>
      <c r="B721" s="45" t="str">
        <f>VLOOKUP(Tabela12[[#This Row],[Painel]],Tabela13[],2,0)</f>
        <v>CCP</v>
      </c>
      <c r="C721" s="45" t="s">
        <v>1592</v>
      </c>
      <c r="D721" s="21" t="s">
        <v>1834</v>
      </c>
      <c r="E721" s="21">
        <v>10</v>
      </c>
      <c r="F721" s="27" t="str">
        <f>Tabela12[[#This Row],[Régua]]&amp;" ("&amp;Tabela12[[#This Row],[Born]]&amp;")"</f>
        <v>RB-EA8 (10)</v>
      </c>
      <c r="G721" s="27">
        <f>LEN(Tabela12[[#This Row],[Anilha]])</f>
        <v>11</v>
      </c>
      <c r="H721" s="21">
        <f>VLOOKUP(Tabela12[[#This Row],[Tag Cabo]],BD!A:F,6,0)</f>
        <v>1</v>
      </c>
      <c r="I721" s="27" t="s">
        <v>1705</v>
      </c>
      <c r="J721" s="27" t="s">
        <v>1706</v>
      </c>
    </row>
    <row r="722" spans="1:10" x14ac:dyDescent="0.25">
      <c r="A722" s="216" t="s">
        <v>1166</v>
      </c>
      <c r="B722" s="45" t="str">
        <f>VLOOKUP(Tabela12[[#This Row],[Painel]],Tabela13[],2,0)</f>
        <v>CCP</v>
      </c>
      <c r="C722" s="45" t="s">
        <v>1592</v>
      </c>
      <c r="D722" s="21" t="s">
        <v>1834</v>
      </c>
      <c r="E722" s="21">
        <v>11</v>
      </c>
      <c r="F722" s="27" t="str">
        <f>Tabela12[[#This Row],[Régua]]&amp;" ("&amp;Tabela12[[#This Row],[Born]]&amp;")"</f>
        <v>RB-EA8 (11)</v>
      </c>
      <c r="G722" s="27">
        <f>LEN(Tabela12[[#This Row],[Anilha]])</f>
        <v>11</v>
      </c>
      <c r="H722" s="21">
        <f>VLOOKUP(Tabela12[[#This Row],[Tag Cabo]],BD!A:F,6,0)</f>
        <v>1</v>
      </c>
      <c r="I722" s="27" t="s">
        <v>1705</v>
      </c>
      <c r="J722" s="27" t="s">
        <v>1706</v>
      </c>
    </row>
    <row r="723" spans="1:10" x14ac:dyDescent="0.25">
      <c r="A723" s="216" t="s">
        <v>1166</v>
      </c>
      <c r="B723" s="45" t="str">
        <f>VLOOKUP(Tabela12[[#This Row],[Painel]],Tabela13[],2,0)</f>
        <v>CCP</v>
      </c>
      <c r="C723" s="45" t="s">
        <v>1592</v>
      </c>
      <c r="D723" s="21" t="s">
        <v>1834</v>
      </c>
      <c r="E723" s="21">
        <v>13</v>
      </c>
      <c r="F723" s="27" t="str">
        <f>Tabela12[[#This Row],[Régua]]&amp;" ("&amp;Tabela12[[#This Row],[Born]]&amp;")"</f>
        <v>RB-EA8 (13)</v>
      </c>
      <c r="G723" s="27">
        <f>LEN(Tabela12[[#This Row],[Anilha]])</f>
        <v>11</v>
      </c>
      <c r="H723" s="21">
        <f>VLOOKUP(Tabela12[[#This Row],[Tag Cabo]],BD!A:F,6,0)</f>
        <v>1</v>
      </c>
      <c r="I723" s="27" t="s">
        <v>1705</v>
      </c>
      <c r="J723" s="27" t="s">
        <v>1706</v>
      </c>
    </row>
    <row r="724" spans="1:10" x14ac:dyDescent="0.25">
      <c r="A724" s="216" t="s">
        <v>1166</v>
      </c>
      <c r="B724" s="45" t="str">
        <f>VLOOKUP(Tabela12[[#This Row],[Painel]],Tabela13[],2,0)</f>
        <v>CCP</v>
      </c>
      <c r="C724" s="45" t="s">
        <v>1592</v>
      </c>
      <c r="D724" s="21" t="s">
        <v>1834</v>
      </c>
      <c r="E724" s="21">
        <v>14</v>
      </c>
      <c r="F724" s="27" t="str">
        <f>Tabela12[[#This Row],[Régua]]&amp;" ("&amp;Tabela12[[#This Row],[Born]]&amp;")"</f>
        <v>RB-EA8 (14)</v>
      </c>
      <c r="G724" s="27">
        <f>LEN(Tabela12[[#This Row],[Anilha]])</f>
        <v>11</v>
      </c>
      <c r="H724" s="21">
        <f>VLOOKUP(Tabela12[[#This Row],[Tag Cabo]],BD!A:F,6,0)</f>
        <v>1</v>
      </c>
      <c r="I724" s="27" t="s">
        <v>1705</v>
      </c>
      <c r="J724" s="27" t="s">
        <v>1706</v>
      </c>
    </row>
    <row r="725" spans="1:10" x14ac:dyDescent="0.25">
      <c r="A725" s="216" t="s">
        <v>1166</v>
      </c>
      <c r="B725" s="45" t="str">
        <f>VLOOKUP(Tabela12[[#This Row],[Painel]],Tabela13[],2,0)</f>
        <v>CCP</v>
      </c>
      <c r="C725" s="45" t="s">
        <v>1592</v>
      </c>
      <c r="D725" s="21" t="s">
        <v>1834</v>
      </c>
      <c r="E725" s="21">
        <v>15</v>
      </c>
      <c r="F725" s="27" t="str">
        <f>Tabela12[[#This Row],[Régua]]&amp;" ("&amp;Tabela12[[#This Row],[Born]]&amp;")"</f>
        <v>RB-EA8 (15)</v>
      </c>
      <c r="G725" s="27">
        <f>LEN(Tabela12[[#This Row],[Anilha]])</f>
        <v>11</v>
      </c>
      <c r="H725" s="21">
        <f>VLOOKUP(Tabela12[[#This Row],[Tag Cabo]],BD!A:F,6,0)</f>
        <v>1</v>
      </c>
      <c r="I725" s="27" t="s">
        <v>1705</v>
      </c>
      <c r="J725" s="27" t="s">
        <v>1706</v>
      </c>
    </row>
    <row r="726" spans="1:10" x14ac:dyDescent="0.25">
      <c r="A726" s="21" t="s">
        <v>1300</v>
      </c>
      <c r="B726" s="391" t="str">
        <f>VLOOKUP(Tabela12[[#This Row],[Painel]],Tabela13[],2,0)</f>
        <v>PERIF. IV</v>
      </c>
      <c r="C726" s="391" t="s">
        <v>1573</v>
      </c>
      <c r="D726" s="21" t="s">
        <v>1847</v>
      </c>
      <c r="E726" s="21">
        <v>15</v>
      </c>
      <c r="F726" s="21" t="str">
        <f>Tabela12[[#This Row],[Régua]]&amp;" ("&amp;Tabela12[[#This Row],[Born]]&amp;")"</f>
        <v>RB-A0-19 (15)</v>
      </c>
      <c r="G726" s="27">
        <f>LEN(Tabela12[[#This Row],[Anilha]])</f>
        <v>13</v>
      </c>
      <c r="H726" s="21">
        <f>VLOOKUP(Tabela12[[#This Row],[Tag Cabo]],BD!A:F,6,0)</f>
        <v>1</v>
      </c>
      <c r="I726" s="27" t="s">
        <v>1705</v>
      </c>
      <c r="J726" s="27" t="s">
        <v>1706</v>
      </c>
    </row>
    <row r="727" spans="1:10" x14ac:dyDescent="0.25">
      <c r="A727" s="21" t="s">
        <v>1300</v>
      </c>
      <c r="B727" s="391" t="str">
        <f>VLOOKUP(Tabela12[[#This Row],[Painel]],Tabela13[],2,0)</f>
        <v>PERIF. IV</v>
      </c>
      <c r="C727" s="391" t="s">
        <v>1573</v>
      </c>
      <c r="D727" s="21" t="s">
        <v>1847</v>
      </c>
      <c r="E727" s="21">
        <v>16</v>
      </c>
      <c r="F727" s="21" t="str">
        <f>Tabela12[[#This Row],[Régua]]&amp;" ("&amp;Tabela12[[#This Row],[Born]]&amp;")"</f>
        <v>RB-A0-19 (16)</v>
      </c>
      <c r="G727" s="27">
        <f>LEN(Tabela12[[#This Row],[Anilha]])</f>
        <v>13</v>
      </c>
      <c r="H727" s="21">
        <f>VLOOKUP(Tabela12[[#This Row],[Tag Cabo]],BD!A:F,6,0)</f>
        <v>1</v>
      </c>
      <c r="I727" s="27" t="s">
        <v>1705</v>
      </c>
      <c r="J727" s="27" t="s">
        <v>1706</v>
      </c>
    </row>
    <row r="728" spans="1:10" x14ac:dyDescent="0.25">
      <c r="A728" s="21" t="s">
        <v>1300</v>
      </c>
      <c r="B728" s="391" t="str">
        <f>VLOOKUP(Tabela12[[#This Row],[Painel]],Tabela13[],2,0)</f>
        <v>COG</v>
      </c>
      <c r="C728" s="391" t="s">
        <v>1572</v>
      </c>
      <c r="D728" s="21" t="s">
        <v>1848</v>
      </c>
      <c r="E728" s="21">
        <v>3</v>
      </c>
      <c r="F728" s="21" t="str">
        <f>Tabela12[[#This Row],[Régua]]&amp;" ("&amp;Tabela12[[#This Row],[Born]]&amp;")"</f>
        <v>TBAC01 (3)</v>
      </c>
      <c r="G728" s="27">
        <f>LEN(Tabela12[[#This Row],[Anilha]])</f>
        <v>10</v>
      </c>
      <c r="H728" s="21">
        <f>VLOOKUP(Tabela12[[#This Row],[Tag Cabo]],BD!A:F,6,0)</f>
        <v>1</v>
      </c>
      <c r="I728" s="27" t="s">
        <v>1705</v>
      </c>
      <c r="J728" s="27" t="s">
        <v>1706</v>
      </c>
    </row>
    <row r="729" spans="1:10" x14ac:dyDescent="0.25">
      <c r="A729" s="21" t="s">
        <v>1300</v>
      </c>
      <c r="B729" s="391" t="str">
        <f>VLOOKUP(Tabela12[[#This Row],[Painel]],Tabela13[],2,0)</f>
        <v>COG</v>
      </c>
      <c r="C729" s="391" t="s">
        <v>1572</v>
      </c>
      <c r="D729" s="21" t="s">
        <v>1848</v>
      </c>
      <c r="E729" s="21">
        <v>4</v>
      </c>
      <c r="F729" s="21" t="str">
        <f>Tabela12[[#This Row],[Régua]]&amp;" ("&amp;Tabela12[[#This Row],[Born]]&amp;")"</f>
        <v>TBAC01 (4)</v>
      </c>
      <c r="G729" s="27">
        <f>LEN(Tabela12[[#This Row],[Anilha]])</f>
        <v>10</v>
      </c>
      <c r="H729" s="21">
        <f>VLOOKUP(Tabela12[[#This Row],[Tag Cabo]],BD!A:F,6,0)</f>
        <v>1</v>
      </c>
      <c r="I729" s="27" t="s">
        <v>1705</v>
      </c>
      <c r="J729" s="27" t="s">
        <v>1706</v>
      </c>
    </row>
    <row r="730" spans="1:10" x14ac:dyDescent="0.25">
      <c r="A730" s="21" t="s">
        <v>1286</v>
      </c>
      <c r="B730" s="391" t="str">
        <f>VLOOKUP(Tabela12[[#This Row],[Painel]],Tabela13[],2,0)</f>
        <v>PERIF. IV</v>
      </c>
      <c r="C730" s="391" t="s">
        <v>1573</v>
      </c>
      <c r="D730" s="21" t="s">
        <v>1849</v>
      </c>
      <c r="E730" s="214" t="s">
        <v>1788</v>
      </c>
      <c r="F730" s="21" t="str">
        <f>Tabela12[[#This Row],[Régua]]&amp;" ("&amp;Tabela12[[#This Row],[Born]]&amp;")"</f>
        <v>RB-AI-17 (01)</v>
      </c>
      <c r="G730" s="27">
        <f>LEN(Tabela12[[#This Row],[Anilha]])</f>
        <v>13</v>
      </c>
      <c r="H730" s="21">
        <f>VLOOKUP(Tabela12[[#This Row],[Tag Cabo]],BD!A:F,6,0)</f>
        <v>1</v>
      </c>
      <c r="I730" s="27" t="s">
        <v>1705</v>
      </c>
      <c r="J730" s="27" t="s">
        <v>1706</v>
      </c>
    </row>
    <row r="731" spans="1:10" x14ac:dyDescent="0.25">
      <c r="A731" s="21" t="s">
        <v>1286</v>
      </c>
      <c r="B731" s="391" t="str">
        <f>VLOOKUP(Tabela12[[#This Row],[Painel]],Tabela13[],2,0)</f>
        <v>PERIF. IV</v>
      </c>
      <c r="C731" s="391" t="s">
        <v>1573</v>
      </c>
      <c r="D731" s="21" t="s">
        <v>1849</v>
      </c>
      <c r="E731" s="214" t="s">
        <v>1789</v>
      </c>
      <c r="F731" s="21" t="str">
        <f>Tabela12[[#This Row],[Régua]]&amp;" ("&amp;Tabela12[[#This Row],[Born]]&amp;")"</f>
        <v>RB-AI-17 (02)</v>
      </c>
      <c r="G731" s="27">
        <f>LEN(Tabela12[[#This Row],[Anilha]])</f>
        <v>13</v>
      </c>
      <c r="H731" s="21">
        <f>VLOOKUP(Tabela12[[#This Row],[Tag Cabo]],BD!A:F,6,0)</f>
        <v>1</v>
      </c>
      <c r="I731" s="27" t="s">
        <v>1705</v>
      </c>
      <c r="J731" s="27" t="s">
        <v>1706</v>
      </c>
    </row>
    <row r="732" spans="1:10" x14ac:dyDescent="0.25">
      <c r="A732" s="21" t="s">
        <v>1286</v>
      </c>
      <c r="B732" s="391" t="str">
        <f>VLOOKUP(Tabela12[[#This Row],[Painel]],Tabela13[],2,0)</f>
        <v>COG</v>
      </c>
      <c r="C732" s="391" t="s">
        <v>1572</v>
      </c>
      <c r="D732" s="21" t="s">
        <v>1850</v>
      </c>
      <c r="E732" s="21">
        <v>1</v>
      </c>
      <c r="F732" s="21" t="str">
        <f>Tabela12[[#This Row],[Régua]]&amp;" ("&amp;Tabela12[[#This Row],[Born]]&amp;")"</f>
        <v>TBAC02 (1)</v>
      </c>
      <c r="G732" s="27">
        <f>LEN(Tabela12[[#This Row],[Anilha]])</f>
        <v>10</v>
      </c>
      <c r="H732" s="21">
        <f>VLOOKUP(Tabela12[[#This Row],[Tag Cabo]],BD!A:F,6,0)</f>
        <v>1</v>
      </c>
      <c r="I732" s="27" t="s">
        <v>1705</v>
      </c>
      <c r="J732" s="27" t="s">
        <v>1706</v>
      </c>
    </row>
    <row r="733" spans="1:10" x14ac:dyDescent="0.25">
      <c r="A733" s="21" t="s">
        <v>1286</v>
      </c>
      <c r="B733" s="391" t="str">
        <f>VLOOKUP(Tabela12[[#This Row],[Painel]],Tabela13[],2,0)</f>
        <v>COG</v>
      </c>
      <c r="C733" s="391" t="s">
        <v>1572</v>
      </c>
      <c r="D733" s="21" t="s">
        <v>1850</v>
      </c>
      <c r="E733" s="21">
        <v>2</v>
      </c>
      <c r="F733" s="21" t="str">
        <f>Tabela12[[#This Row],[Régua]]&amp;" ("&amp;Tabela12[[#This Row],[Born]]&amp;")"</f>
        <v>TBAC02 (2)</v>
      </c>
      <c r="G733" s="27">
        <f>LEN(Tabela12[[#This Row],[Anilha]])</f>
        <v>10</v>
      </c>
      <c r="H733" s="21">
        <f>VLOOKUP(Tabela12[[#This Row],[Tag Cabo]],BD!A:F,6,0)</f>
        <v>1</v>
      </c>
      <c r="I733" s="27" t="s">
        <v>1705</v>
      </c>
      <c r="J733" s="27" t="s">
        <v>1706</v>
      </c>
    </row>
    <row r="734" spans="1:10" x14ac:dyDescent="0.25">
      <c r="A734" s="21" t="s">
        <v>1295</v>
      </c>
      <c r="B734" s="391" t="str">
        <f>VLOOKUP(Tabela12[[#This Row],[Painel]],Tabela13[],2,0)</f>
        <v>PERIF. IV</v>
      </c>
      <c r="C734" s="391" t="s">
        <v>1573</v>
      </c>
      <c r="D734" s="21" t="s">
        <v>1849</v>
      </c>
      <c r="E734" s="214" t="s">
        <v>1790</v>
      </c>
      <c r="F734" s="21" t="str">
        <f>Tabela12[[#This Row],[Régua]]&amp;" ("&amp;Tabela12[[#This Row],[Born]]&amp;")"</f>
        <v>RB-AI-17 (03)</v>
      </c>
      <c r="G734" s="27">
        <f>LEN(Tabela12[[#This Row],[Anilha]])</f>
        <v>13</v>
      </c>
      <c r="H734" s="21">
        <f>VLOOKUP(Tabela12[[#This Row],[Tag Cabo]],BD!A:F,6,0)</f>
        <v>1</v>
      </c>
      <c r="I734" s="27" t="s">
        <v>1705</v>
      </c>
      <c r="J734" s="27" t="s">
        <v>1706</v>
      </c>
    </row>
    <row r="735" spans="1:10" x14ac:dyDescent="0.25">
      <c r="A735" s="21" t="s">
        <v>1295</v>
      </c>
      <c r="B735" s="391" t="str">
        <f>VLOOKUP(Tabela12[[#This Row],[Painel]],Tabela13[],2,0)</f>
        <v>PERIF. IV</v>
      </c>
      <c r="C735" s="391" t="s">
        <v>1573</v>
      </c>
      <c r="D735" s="21" t="s">
        <v>1849</v>
      </c>
      <c r="E735" s="214" t="s">
        <v>1791</v>
      </c>
      <c r="F735" s="21" t="str">
        <f>Tabela12[[#This Row],[Régua]]&amp;" ("&amp;Tabela12[[#This Row],[Born]]&amp;")"</f>
        <v>RB-AI-17 (04)</v>
      </c>
      <c r="G735" s="27">
        <f>LEN(Tabela12[[#This Row],[Anilha]])</f>
        <v>13</v>
      </c>
      <c r="H735" s="21">
        <f>VLOOKUP(Tabela12[[#This Row],[Tag Cabo]],BD!A:F,6,0)</f>
        <v>1</v>
      </c>
      <c r="I735" s="27" t="s">
        <v>1705</v>
      </c>
      <c r="J735" s="27" t="s">
        <v>1706</v>
      </c>
    </row>
    <row r="736" spans="1:10" x14ac:dyDescent="0.25">
      <c r="A736" s="21" t="s">
        <v>1295</v>
      </c>
      <c r="B736" s="391" t="str">
        <f>VLOOKUP(Tabela12[[#This Row],[Painel]],Tabela13[],2,0)</f>
        <v>COG</v>
      </c>
      <c r="C736" s="391" t="s">
        <v>1572</v>
      </c>
      <c r="D736" s="21" t="s">
        <v>1850</v>
      </c>
      <c r="E736" s="21">
        <v>7</v>
      </c>
      <c r="F736" s="21" t="str">
        <f>Tabela12[[#This Row],[Régua]]&amp;" ("&amp;Tabela12[[#This Row],[Born]]&amp;")"</f>
        <v>TBAC02 (7)</v>
      </c>
      <c r="G736" s="27">
        <f>LEN(Tabela12[[#This Row],[Anilha]])</f>
        <v>10</v>
      </c>
      <c r="H736" s="21">
        <f>VLOOKUP(Tabela12[[#This Row],[Tag Cabo]],BD!A:F,6,0)</f>
        <v>1</v>
      </c>
      <c r="I736" s="27" t="s">
        <v>1705</v>
      </c>
      <c r="J736" s="27" t="s">
        <v>1706</v>
      </c>
    </row>
    <row r="737" spans="1:10" x14ac:dyDescent="0.25">
      <c r="A737" s="21" t="s">
        <v>1295</v>
      </c>
      <c r="B737" s="391" t="str">
        <f>VLOOKUP(Tabela12[[#This Row],[Painel]],Tabela13[],2,0)</f>
        <v>COG</v>
      </c>
      <c r="C737" s="391" t="s">
        <v>1572</v>
      </c>
      <c r="D737" s="21" t="s">
        <v>1850</v>
      </c>
      <c r="E737" s="21">
        <v>8</v>
      </c>
      <c r="F737" s="21" t="str">
        <f>Tabela12[[#This Row],[Régua]]&amp;" ("&amp;Tabela12[[#This Row],[Born]]&amp;")"</f>
        <v>TBAC02 (8)</v>
      </c>
      <c r="G737" s="27">
        <f>LEN(Tabela12[[#This Row],[Anilha]])</f>
        <v>10</v>
      </c>
      <c r="H737" s="21">
        <f>VLOOKUP(Tabela12[[#This Row],[Tag Cabo]],BD!A:F,6,0)</f>
        <v>1</v>
      </c>
      <c r="I737" s="27" t="s">
        <v>1705</v>
      </c>
      <c r="J737" s="27" t="s">
        <v>1706</v>
      </c>
    </row>
    <row r="738" spans="1:10" x14ac:dyDescent="0.25">
      <c r="A738" s="21" t="s">
        <v>1397</v>
      </c>
      <c r="B738" s="391" t="str">
        <f>VLOOKUP(Tabela12[[#This Row],[Painel]],Tabela13[],2,0)</f>
        <v>PERIF. IV</v>
      </c>
      <c r="C738" s="391" t="s">
        <v>1575</v>
      </c>
      <c r="D738" s="21" t="s">
        <v>1847</v>
      </c>
      <c r="E738" s="214" t="s">
        <v>1788</v>
      </c>
      <c r="F738" s="21" t="str">
        <f>Tabela12[[#This Row],[Régua]]&amp;" ("&amp;Tabela12[[#This Row],[Born]]&amp;")"</f>
        <v>RB-A0-19 (01)</v>
      </c>
      <c r="G738" s="27">
        <f>LEN(Tabela12[[#This Row],[Anilha]])</f>
        <v>13</v>
      </c>
      <c r="H738" s="21">
        <f>VLOOKUP(Tabela12[[#This Row],[Tag Cabo]],BD!A:F,6,0)</f>
        <v>1</v>
      </c>
      <c r="I738" s="27" t="s">
        <v>1705</v>
      </c>
      <c r="J738" s="27" t="s">
        <v>1706</v>
      </c>
    </row>
    <row r="739" spans="1:10" x14ac:dyDescent="0.25">
      <c r="A739" s="21" t="s">
        <v>1397</v>
      </c>
      <c r="B739" s="391" t="str">
        <f>VLOOKUP(Tabela12[[#This Row],[Painel]],Tabela13[],2,0)</f>
        <v>PERIF. IV</v>
      </c>
      <c r="C739" s="391" t="s">
        <v>1575</v>
      </c>
      <c r="D739" s="21" t="s">
        <v>1847</v>
      </c>
      <c r="E739" s="214" t="s">
        <v>1789</v>
      </c>
      <c r="F739" s="21" t="str">
        <f>Tabela12[[#This Row],[Régua]]&amp;" ("&amp;Tabela12[[#This Row],[Born]]&amp;")"</f>
        <v>RB-A0-19 (02)</v>
      </c>
      <c r="G739" s="27">
        <f>LEN(Tabela12[[#This Row],[Anilha]])</f>
        <v>13</v>
      </c>
      <c r="H739" s="21">
        <f>VLOOKUP(Tabela12[[#This Row],[Tag Cabo]],BD!A:F,6,0)</f>
        <v>1</v>
      </c>
      <c r="I739" s="27" t="s">
        <v>1705</v>
      </c>
      <c r="J739" s="27" t="s">
        <v>1706</v>
      </c>
    </row>
    <row r="740" spans="1:10" x14ac:dyDescent="0.25">
      <c r="A740" s="21" t="s">
        <v>1397</v>
      </c>
      <c r="B740" s="391" t="str">
        <f>VLOOKUP(Tabela12[[#This Row],[Painel]],Tabela13[],2,0)</f>
        <v>Vários</v>
      </c>
      <c r="C740" s="391" t="s">
        <v>1574</v>
      </c>
      <c r="D740" s="21" t="s">
        <v>1851</v>
      </c>
      <c r="E740" s="21" t="s">
        <v>1742</v>
      </c>
      <c r="F740" s="21" t="str">
        <f>Tabela12[[#This Row],[Régua]]&amp;" ("&amp;Tabela12[[#This Row],[Born]]&amp;")"</f>
        <v>IF-302 (1+)</v>
      </c>
      <c r="G740" s="27">
        <f>LEN(Tabela12[[#This Row],[Anilha]])</f>
        <v>11</v>
      </c>
      <c r="H740" s="21">
        <f>VLOOKUP(Tabela12[[#This Row],[Tag Cabo]],BD!A:F,6,0)</f>
        <v>1</v>
      </c>
      <c r="I740" s="27" t="s">
        <v>1705</v>
      </c>
      <c r="J740" s="27" t="s">
        <v>1706</v>
      </c>
    </row>
    <row r="741" spans="1:10" x14ac:dyDescent="0.25">
      <c r="A741" s="21" t="s">
        <v>1397</v>
      </c>
      <c r="B741" s="391" t="str">
        <f>VLOOKUP(Tabela12[[#This Row],[Painel]],Tabela13[],2,0)</f>
        <v>Vários</v>
      </c>
      <c r="C741" s="391" t="s">
        <v>1574</v>
      </c>
      <c r="D741" s="21" t="s">
        <v>1851</v>
      </c>
      <c r="E741" s="21" t="s">
        <v>1744</v>
      </c>
      <c r="F741" s="21" t="str">
        <f>Tabela12[[#This Row],[Régua]]&amp;" ("&amp;Tabela12[[#This Row],[Born]]&amp;")"</f>
        <v>IF-302 (4-)</v>
      </c>
      <c r="G741" s="27">
        <f>LEN(Tabela12[[#This Row],[Anilha]])</f>
        <v>11</v>
      </c>
      <c r="H741" s="21">
        <f>VLOOKUP(Tabela12[[#This Row],[Tag Cabo]],BD!A:F,6,0)</f>
        <v>1</v>
      </c>
      <c r="I741" s="27" t="s">
        <v>1705</v>
      </c>
      <c r="J741" s="27" t="s">
        <v>1706</v>
      </c>
    </row>
    <row r="742" spans="1:10" x14ac:dyDescent="0.25">
      <c r="A742" s="21" t="s">
        <v>1381</v>
      </c>
      <c r="B742" s="391" t="str">
        <f>VLOOKUP(Tabela12[[#This Row],[Painel]],Tabela13[],2,0)</f>
        <v>PERIF. IV</v>
      </c>
      <c r="C742" s="391" t="s">
        <v>1575</v>
      </c>
      <c r="D742" s="21" t="s">
        <v>1847</v>
      </c>
      <c r="E742" s="214" t="s">
        <v>1790</v>
      </c>
      <c r="F742" s="21" t="str">
        <f>Tabela12[[#This Row],[Régua]]&amp;" ("&amp;Tabela12[[#This Row],[Born]]&amp;")"</f>
        <v>RB-A0-19 (03)</v>
      </c>
      <c r="G742" s="27">
        <f>LEN(Tabela12[[#This Row],[Anilha]])</f>
        <v>13</v>
      </c>
      <c r="H742" s="21">
        <f>VLOOKUP(Tabela12[[#This Row],[Tag Cabo]],BD!A:F,6,0)</f>
        <v>1</v>
      </c>
      <c r="I742" s="27" t="s">
        <v>1705</v>
      </c>
      <c r="J742" s="27" t="s">
        <v>1706</v>
      </c>
    </row>
    <row r="743" spans="1:10" x14ac:dyDescent="0.25">
      <c r="A743" s="21" t="s">
        <v>1381</v>
      </c>
      <c r="B743" s="391" t="str">
        <f>VLOOKUP(Tabela12[[#This Row],[Painel]],Tabela13[],2,0)</f>
        <v>PERIF. IV</v>
      </c>
      <c r="C743" s="391" t="s">
        <v>1575</v>
      </c>
      <c r="D743" s="21" t="s">
        <v>1847</v>
      </c>
      <c r="E743" s="214" t="s">
        <v>1791</v>
      </c>
      <c r="F743" s="21" t="str">
        <f>Tabela12[[#This Row],[Régua]]&amp;" ("&amp;Tabela12[[#This Row],[Born]]&amp;")"</f>
        <v>RB-A0-19 (04)</v>
      </c>
      <c r="G743" s="27">
        <f>LEN(Tabela12[[#This Row],[Anilha]])</f>
        <v>13</v>
      </c>
      <c r="H743" s="21">
        <f>VLOOKUP(Tabela12[[#This Row],[Tag Cabo]],BD!A:F,6,0)</f>
        <v>1</v>
      </c>
      <c r="I743" s="27" t="s">
        <v>1705</v>
      </c>
      <c r="J743" s="27" t="s">
        <v>1706</v>
      </c>
    </row>
    <row r="744" spans="1:10" x14ac:dyDescent="0.25">
      <c r="A744" s="21" t="s">
        <v>1381</v>
      </c>
      <c r="B744" s="391" t="str">
        <f>VLOOKUP(Tabela12[[#This Row],[Painel]],Tabela13[],2,0)</f>
        <v>Vários</v>
      </c>
      <c r="C744" s="391" t="s">
        <v>1574</v>
      </c>
      <c r="D744" s="21" t="s">
        <v>1851</v>
      </c>
      <c r="E744" s="21" t="s">
        <v>1742</v>
      </c>
      <c r="F744" s="21" t="str">
        <f>Tabela12[[#This Row],[Régua]]&amp;" ("&amp;Tabela12[[#This Row],[Born]]&amp;")"</f>
        <v>IF-302 (1+)</v>
      </c>
      <c r="G744" s="27">
        <f>LEN(Tabela12[[#This Row],[Anilha]])</f>
        <v>11</v>
      </c>
      <c r="H744" s="21">
        <f>VLOOKUP(Tabela12[[#This Row],[Tag Cabo]],BD!A:F,6,0)</f>
        <v>1</v>
      </c>
      <c r="I744" s="27" t="s">
        <v>1705</v>
      </c>
      <c r="J744" s="27" t="s">
        <v>1706</v>
      </c>
    </row>
    <row r="745" spans="1:10" x14ac:dyDescent="0.25">
      <c r="A745" s="21" t="s">
        <v>1381</v>
      </c>
      <c r="B745" s="391" t="str">
        <f>VLOOKUP(Tabela12[[#This Row],[Painel]],Tabela13[],2,0)</f>
        <v>Vários</v>
      </c>
      <c r="C745" s="391" t="s">
        <v>1574</v>
      </c>
      <c r="D745" s="21" t="s">
        <v>1851</v>
      </c>
      <c r="E745" s="21" t="s">
        <v>1744</v>
      </c>
      <c r="F745" s="21" t="str">
        <f>Tabela12[[#This Row],[Régua]]&amp;" ("&amp;Tabela12[[#This Row],[Born]]&amp;")"</f>
        <v>IF-302 (4-)</v>
      </c>
      <c r="G745" s="27">
        <f>LEN(Tabela12[[#This Row],[Anilha]])</f>
        <v>11</v>
      </c>
      <c r="H745" s="21">
        <f>VLOOKUP(Tabela12[[#This Row],[Tag Cabo]],BD!A:F,6,0)</f>
        <v>1</v>
      </c>
      <c r="I745" s="27" t="s">
        <v>1705</v>
      </c>
      <c r="J745" s="27" t="s">
        <v>1706</v>
      </c>
    </row>
    <row r="746" spans="1:10" x14ac:dyDescent="0.25">
      <c r="A746" s="21" t="s">
        <v>1387</v>
      </c>
      <c r="B746" s="391" t="str">
        <f>VLOOKUP(Tabela12[[#This Row],[Painel]],Tabela13[],2,0)</f>
        <v>PERIF. IV</v>
      </c>
      <c r="C746" s="391" t="s">
        <v>1575</v>
      </c>
      <c r="D746" s="21" t="s">
        <v>1847</v>
      </c>
      <c r="E746" s="214" t="s">
        <v>1773</v>
      </c>
      <c r="F746" s="21" t="str">
        <f>Tabela12[[#This Row],[Régua]]&amp;" ("&amp;Tabela12[[#This Row],[Born]]&amp;")"</f>
        <v>RB-A0-19 (05)</v>
      </c>
      <c r="G746" s="27">
        <f>LEN(Tabela12[[#This Row],[Anilha]])</f>
        <v>13</v>
      </c>
      <c r="H746" s="21">
        <f>VLOOKUP(Tabela12[[#This Row],[Tag Cabo]],BD!A:F,6,0)</f>
        <v>1</v>
      </c>
      <c r="I746" s="27" t="s">
        <v>1705</v>
      </c>
      <c r="J746" s="27" t="s">
        <v>1706</v>
      </c>
    </row>
    <row r="747" spans="1:10" x14ac:dyDescent="0.25">
      <c r="A747" s="21" t="s">
        <v>1387</v>
      </c>
      <c r="B747" s="391" t="str">
        <f>VLOOKUP(Tabela12[[#This Row],[Painel]],Tabela13[],2,0)</f>
        <v>PERIF. IV</v>
      </c>
      <c r="C747" s="391" t="s">
        <v>1575</v>
      </c>
      <c r="D747" s="21" t="s">
        <v>1847</v>
      </c>
      <c r="E747" s="214" t="s">
        <v>1774</v>
      </c>
      <c r="F747" s="21" t="str">
        <f>Tabela12[[#This Row],[Régua]]&amp;" ("&amp;Tabela12[[#This Row],[Born]]&amp;")"</f>
        <v>RB-A0-19 (06)</v>
      </c>
      <c r="G747" s="27">
        <f>LEN(Tabela12[[#This Row],[Anilha]])</f>
        <v>13</v>
      </c>
      <c r="H747" s="21">
        <f>VLOOKUP(Tabela12[[#This Row],[Tag Cabo]],BD!A:F,6,0)</f>
        <v>1</v>
      </c>
      <c r="I747" s="27" t="s">
        <v>1705</v>
      </c>
      <c r="J747" s="27" t="s">
        <v>1706</v>
      </c>
    </row>
    <row r="748" spans="1:10" x14ac:dyDescent="0.25">
      <c r="A748" s="21" t="s">
        <v>1387</v>
      </c>
      <c r="B748" s="391" t="str">
        <f>VLOOKUP(Tabela12[[#This Row],[Painel]],Tabela13[],2,0)</f>
        <v>Vários</v>
      </c>
      <c r="C748" s="391" t="s">
        <v>1574</v>
      </c>
      <c r="D748" s="21" t="s">
        <v>1851</v>
      </c>
      <c r="E748" s="21" t="s">
        <v>1742</v>
      </c>
      <c r="F748" s="21" t="str">
        <f>Tabela12[[#This Row],[Régua]]&amp;" ("&amp;Tabela12[[#This Row],[Born]]&amp;")"</f>
        <v>IF-302 (1+)</v>
      </c>
      <c r="G748" s="27">
        <f>LEN(Tabela12[[#This Row],[Anilha]])</f>
        <v>11</v>
      </c>
      <c r="H748" s="21">
        <f>VLOOKUP(Tabela12[[#This Row],[Tag Cabo]],BD!A:F,6,0)</f>
        <v>1</v>
      </c>
      <c r="I748" s="27" t="s">
        <v>1705</v>
      </c>
      <c r="J748" s="27" t="s">
        <v>1706</v>
      </c>
    </row>
    <row r="749" spans="1:10" x14ac:dyDescent="0.25">
      <c r="A749" s="21" t="s">
        <v>1387</v>
      </c>
      <c r="B749" s="391" t="str">
        <f>VLOOKUP(Tabela12[[#This Row],[Painel]],Tabela13[],2,0)</f>
        <v>Vários</v>
      </c>
      <c r="C749" s="391" t="s">
        <v>1574</v>
      </c>
      <c r="D749" s="21" t="s">
        <v>1851</v>
      </c>
      <c r="E749" s="21" t="s">
        <v>1744</v>
      </c>
      <c r="F749" s="21" t="str">
        <f>Tabela12[[#This Row],[Régua]]&amp;" ("&amp;Tabela12[[#This Row],[Born]]&amp;")"</f>
        <v>IF-302 (4-)</v>
      </c>
      <c r="G749" s="27">
        <f>LEN(Tabela12[[#This Row],[Anilha]])</f>
        <v>11</v>
      </c>
      <c r="H749" s="21">
        <f>VLOOKUP(Tabela12[[#This Row],[Tag Cabo]],BD!A:F,6,0)</f>
        <v>1</v>
      </c>
      <c r="I749" s="27" t="s">
        <v>1705</v>
      </c>
      <c r="J749" s="27" t="s">
        <v>1706</v>
      </c>
    </row>
    <row r="750" spans="1:10" x14ac:dyDescent="0.25">
      <c r="A750" s="21" t="s">
        <v>1392</v>
      </c>
      <c r="B750" s="391" t="str">
        <f>VLOOKUP(Tabela12[[#This Row],[Painel]],Tabela13[],2,0)</f>
        <v>PERIF. IV</v>
      </c>
      <c r="C750" s="391" t="s">
        <v>1575</v>
      </c>
      <c r="D750" s="21" t="s">
        <v>1847</v>
      </c>
      <c r="E750" s="214" t="s">
        <v>1776</v>
      </c>
      <c r="F750" s="21" t="str">
        <f>Tabela12[[#This Row],[Régua]]&amp;" ("&amp;Tabela12[[#This Row],[Born]]&amp;")"</f>
        <v>RB-A0-19 (07)</v>
      </c>
      <c r="G750" s="27">
        <f>LEN(Tabela12[[#This Row],[Anilha]])</f>
        <v>13</v>
      </c>
      <c r="H750" s="21">
        <f>VLOOKUP(Tabela12[[#This Row],[Tag Cabo]],BD!A:F,6,0)</f>
        <v>1</v>
      </c>
      <c r="I750" s="27" t="s">
        <v>1705</v>
      </c>
      <c r="J750" s="27" t="s">
        <v>1706</v>
      </c>
    </row>
    <row r="751" spans="1:10" x14ac:dyDescent="0.25">
      <c r="A751" s="21" t="s">
        <v>1392</v>
      </c>
      <c r="B751" s="391" t="str">
        <f>VLOOKUP(Tabela12[[#This Row],[Painel]],Tabela13[],2,0)</f>
        <v>PERIF. IV</v>
      </c>
      <c r="C751" s="391" t="s">
        <v>1575</v>
      </c>
      <c r="D751" s="21" t="s">
        <v>1847</v>
      </c>
      <c r="E751" s="214" t="s">
        <v>1777</v>
      </c>
      <c r="F751" s="21" t="str">
        <f>Tabela12[[#This Row],[Régua]]&amp;" ("&amp;Tabela12[[#This Row],[Born]]&amp;")"</f>
        <v>RB-A0-19 (08)</v>
      </c>
      <c r="G751" s="27">
        <f>LEN(Tabela12[[#This Row],[Anilha]])</f>
        <v>13</v>
      </c>
      <c r="H751" s="21">
        <f>VLOOKUP(Tabela12[[#This Row],[Tag Cabo]],BD!A:F,6,0)</f>
        <v>1</v>
      </c>
      <c r="I751" s="27" t="s">
        <v>1705</v>
      </c>
      <c r="J751" s="27" t="s">
        <v>1706</v>
      </c>
    </row>
    <row r="752" spans="1:10" x14ac:dyDescent="0.25">
      <c r="A752" s="21" t="s">
        <v>1392</v>
      </c>
      <c r="B752" s="391" t="str">
        <f>VLOOKUP(Tabela12[[#This Row],[Painel]],Tabela13[],2,0)</f>
        <v>Vários</v>
      </c>
      <c r="C752" s="391" t="s">
        <v>1574</v>
      </c>
      <c r="D752" s="21" t="s">
        <v>1851</v>
      </c>
      <c r="E752" s="21" t="s">
        <v>1742</v>
      </c>
      <c r="F752" s="21" t="str">
        <f>Tabela12[[#This Row],[Régua]]&amp;" ("&amp;Tabela12[[#This Row],[Born]]&amp;")"</f>
        <v>IF-302 (1+)</v>
      </c>
      <c r="G752" s="27">
        <f>LEN(Tabela12[[#This Row],[Anilha]])</f>
        <v>11</v>
      </c>
      <c r="H752" s="21">
        <f>VLOOKUP(Tabela12[[#This Row],[Tag Cabo]],BD!A:F,6,0)</f>
        <v>1</v>
      </c>
      <c r="I752" s="27" t="s">
        <v>1705</v>
      </c>
      <c r="J752" s="27" t="s">
        <v>1706</v>
      </c>
    </row>
    <row r="753" spans="1:10" x14ac:dyDescent="0.25">
      <c r="A753" s="21" t="s">
        <v>1392</v>
      </c>
      <c r="B753" s="391" t="str">
        <f>VLOOKUP(Tabela12[[#This Row],[Painel]],Tabela13[],2,0)</f>
        <v>Vários</v>
      </c>
      <c r="C753" s="391" t="s">
        <v>1574</v>
      </c>
      <c r="D753" s="21" t="s">
        <v>1851</v>
      </c>
      <c r="E753" s="21" t="s">
        <v>1744</v>
      </c>
      <c r="F753" s="21" t="str">
        <f>Tabela12[[#This Row],[Régua]]&amp;" ("&amp;Tabela12[[#This Row],[Born]]&amp;")"</f>
        <v>IF-302 (4-)</v>
      </c>
      <c r="G753" s="27">
        <f>LEN(Tabela12[[#This Row],[Anilha]])</f>
        <v>11</v>
      </c>
      <c r="H753" s="21">
        <f>VLOOKUP(Tabela12[[#This Row],[Tag Cabo]],BD!A:F,6,0)</f>
        <v>1</v>
      </c>
      <c r="I753" s="27" t="s">
        <v>1705</v>
      </c>
      <c r="J753" s="27" t="s">
        <v>1706</v>
      </c>
    </row>
    <row r="754" spans="1:10" x14ac:dyDescent="0.25">
      <c r="A754" s="21" t="s">
        <v>1402</v>
      </c>
      <c r="B754" s="391" t="str">
        <f>VLOOKUP(Tabela12[[#This Row],[Painel]],Tabela13[],2,0)</f>
        <v>PERIF. IV</v>
      </c>
      <c r="C754" s="391" t="s">
        <v>1575</v>
      </c>
      <c r="D754" s="21" t="s">
        <v>1847</v>
      </c>
      <c r="E754" s="21">
        <v>13</v>
      </c>
      <c r="F754" s="21" t="str">
        <f>Tabela12[[#This Row],[Régua]]&amp;" ("&amp;Tabela12[[#This Row],[Born]]&amp;")"</f>
        <v>RB-A0-19 (13)</v>
      </c>
      <c r="G754" s="27">
        <f>LEN(Tabela12[[#This Row],[Anilha]])</f>
        <v>13</v>
      </c>
      <c r="H754" s="21">
        <f>VLOOKUP(Tabela12[[#This Row],[Tag Cabo]],BD!A:F,6,0)</f>
        <v>1</v>
      </c>
      <c r="I754" s="27" t="s">
        <v>1705</v>
      </c>
      <c r="J754" s="27" t="s">
        <v>1706</v>
      </c>
    </row>
    <row r="755" spans="1:10" x14ac:dyDescent="0.25">
      <c r="A755" s="21" t="s">
        <v>1402</v>
      </c>
      <c r="B755" s="391" t="str">
        <f>VLOOKUP(Tabela12[[#This Row],[Painel]],Tabela13[],2,0)</f>
        <v>PERIF. IV</v>
      </c>
      <c r="C755" s="391" t="s">
        <v>1575</v>
      </c>
      <c r="D755" s="21" t="s">
        <v>1847</v>
      </c>
      <c r="E755" s="21">
        <v>14</v>
      </c>
      <c r="F755" s="21" t="str">
        <f>Tabela12[[#This Row],[Régua]]&amp;" ("&amp;Tabela12[[#This Row],[Born]]&amp;")"</f>
        <v>RB-A0-19 (14)</v>
      </c>
      <c r="G755" s="27">
        <f>LEN(Tabela12[[#This Row],[Anilha]])</f>
        <v>13</v>
      </c>
      <c r="H755" s="21">
        <f>VLOOKUP(Tabela12[[#This Row],[Tag Cabo]],BD!A:F,6,0)</f>
        <v>1</v>
      </c>
      <c r="I755" s="27" t="s">
        <v>1705</v>
      </c>
      <c r="J755" s="27" t="s">
        <v>1706</v>
      </c>
    </row>
    <row r="756" spans="1:10" x14ac:dyDescent="0.25">
      <c r="A756" s="21" t="s">
        <v>1402</v>
      </c>
      <c r="B756" s="391" t="str">
        <f>VLOOKUP(Tabela12[[#This Row],[Painel]],Tabela13[],2,0)</f>
        <v>Vários</v>
      </c>
      <c r="C756" s="391" t="s">
        <v>1574</v>
      </c>
      <c r="D756" s="21" t="s">
        <v>1402</v>
      </c>
      <c r="E756" s="21">
        <v>1</v>
      </c>
      <c r="F756" s="21" t="str">
        <f>Tabela12[[#This Row],[Régua]]&amp;" ("&amp;Tabela12[[#This Row],[Born]]&amp;")"</f>
        <v>PY-9227G (1)</v>
      </c>
      <c r="G756" s="27">
        <f>LEN(Tabela12[[#This Row],[Anilha]])</f>
        <v>12</v>
      </c>
      <c r="H756" s="21">
        <f>VLOOKUP(Tabela12[[#This Row],[Tag Cabo]],BD!A:F,6,0)</f>
        <v>1</v>
      </c>
      <c r="I756" s="27" t="s">
        <v>1705</v>
      </c>
      <c r="J756" s="27" t="s">
        <v>1706</v>
      </c>
    </row>
    <row r="757" spans="1:10" x14ac:dyDescent="0.25">
      <c r="A757" s="21" t="s">
        <v>1402</v>
      </c>
      <c r="B757" s="391" t="str">
        <f>VLOOKUP(Tabela12[[#This Row],[Painel]],Tabela13[],2,0)</f>
        <v>Vários</v>
      </c>
      <c r="C757" s="391" t="s">
        <v>1574</v>
      </c>
      <c r="D757" s="21" t="s">
        <v>1402</v>
      </c>
      <c r="E757" s="21" t="s">
        <v>1747</v>
      </c>
      <c r="F757" s="21" t="str">
        <f>Tabela12[[#This Row],[Régua]]&amp;" ("&amp;Tabela12[[#This Row],[Born]]&amp;")"</f>
        <v>PY-9227G (COM)</v>
      </c>
      <c r="G757" s="27">
        <f>LEN(Tabela12[[#This Row],[Anilha]])</f>
        <v>14</v>
      </c>
      <c r="H757" s="21">
        <f>VLOOKUP(Tabela12[[#This Row],[Tag Cabo]],BD!A:F,6,0)</f>
        <v>1</v>
      </c>
      <c r="I757" s="27" t="s">
        <v>1705</v>
      </c>
      <c r="J757" s="27" t="s">
        <v>1706</v>
      </c>
    </row>
    <row r="758" spans="1:10" x14ac:dyDescent="0.25">
      <c r="A758" s="21" t="s">
        <v>1303</v>
      </c>
      <c r="B758" s="391" t="str">
        <f>VLOOKUP(Tabela12[[#This Row],[Painel]],Tabela13[],2,0)</f>
        <v>PERIF. IV</v>
      </c>
      <c r="C758" s="391" t="s">
        <v>1575</v>
      </c>
      <c r="D758" s="21" t="s">
        <v>1852</v>
      </c>
      <c r="E758" s="214" t="s">
        <v>1786</v>
      </c>
      <c r="F758" s="21" t="str">
        <f>Tabela12[[#This Row],[Régua]]&amp;" ("&amp;Tabela12[[#This Row],[Born]]&amp;")"</f>
        <v>RB-DI-32 (09)</v>
      </c>
      <c r="G758" s="27">
        <f>LEN(Tabela12[[#This Row],[Anilha]])</f>
        <v>13</v>
      </c>
      <c r="H758" s="21">
        <f>VLOOKUP(Tabela12[[#This Row],[Tag Cabo]],BD!A:F,6,0)</f>
        <v>1</v>
      </c>
      <c r="I758" s="27" t="s">
        <v>1705</v>
      </c>
      <c r="J758" s="27" t="s">
        <v>1706</v>
      </c>
    </row>
    <row r="759" spans="1:10" x14ac:dyDescent="0.25">
      <c r="A759" s="21" t="s">
        <v>1303</v>
      </c>
      <c r="B759" s="391" t="str">
        <f>VLOOKUP(Tabela12[[#This Row],[Painel]],Tabela13[],2,0)</f>
        <v>PERIF. IV</v>
      </c>
      <c r="C759" s="391" t="s">
        <v>1575</v>
      </c>
      <c r="D759" s="21" t="s">
        <v>1853</v>
      </c>
      <c r="E759" s="214" t="s">
        <v>1786</v>
      </c>
      <c r="F759" s="21" t="str">
        <f>Tabela12[[#This Row],[Régua]]&amp;" ("&amp;Tabela12[[#This Row],[Born]]&amp;")"</f>
        <v>BN-SC (09)</v>
      </c>
      <c r="G759" s="27">
        <f>LEN(Tabela12[[#This Row],[Anilha]])</f>
        <v>10</v>
      </c>
      <c r="H759" s="21">
        <f>VLOOKUP(Tabela12[[#This Row],[Tag Cabo]],BD!A:F,6,0)</f>
        <v>1</v>
      </c>
      <c r="I759" s="27" t="s">
        <v>1705</v>
      </c>
      <c r="J759" s="27" t="s">
        <v>1706</v>
      </c>
    </row>
    <row r="760" spans="1:10" x14ac:dyDescent="0.25">
      <c r="A760" s="21" t="s">
        <v>1303</v>
      </c>
      <c r="B760" s="391" t="str">
        <f>VLOOKUP(Tabela12[[#This Row],[Painel]],Tabela13[],2,0)</f>
        <v>COG</v>
      </c>
      <c r="C760" s="391" t="s">
        <v>1594</v>
      </c>
      <c r="D760" s="21" t="s">
        <v>1854</v>
      </c>
      <c r="E760" s="21">
        <v>1</v>
      </c>
      <c r="F760" s="21" t="str">
        <f>Tabela12[[#This Row],[Régua]]&amp;" ("&amp;Tabela12[[#This Row],[Born]]&amp;")"</f>
        <v>TBDC02 (1)</v>
      </c>
      <c r="G760" s="27">
        <f>LEN(Tabela12[[#This Row],[Anilha]])</f>
        <v>10</v>
      </c>
      <c r="H760" s="21">
        <f>VLOOKUP(Tabela12[[#This Row],[Tag Cabo]],BD!A:F,6,0)</f>
        <v>1</v>
      </c>
      <c r="I760" s="27" t="s">
        <v>1705</v>
      </c>
      <c r="J760" s="27" t="s">
        <v>1706</v>
      </c>
    </row>
    <row r="761" spans="1:10" x14ac:dyDescent="0.25">
      <c r="A761" s="21" t="s">
        <v>1303</v>
      </c>
      <c r="B761" s="391" t="str">
        <f>VLOOKUP(Tabela12[[#This Row],[Painel]],Tabela13[],2,0)</f>
        <v>COG</v>
      </c>
      <c r="C761" s="391" t="s">
        <v>1594</v>
      </c>
      <c r="D761" s="21" t="s">
        <v>1854</v>
      </c>
      <c r="E761" s="21">
        <v>2</v>
      </c>
      <c r="F761" s="21" t="str">
        <f>Tabela12[[#This Row],[Régua]]&amp;" ("&amp;Tabela12[[#This Row],[Born]]&amp;")"</f>
        <v>TBDC02 (2)</v>
      </c>
      <c r="G761" s="27">
        <f>LEN(Tabela12[[#This Row],[Anilha]])</f>
        <v>10</v>
      </c>
      <c r="H761" s="21">
        <f>VLOOKUP(Tabela12[[#This Row],[Tag Cabo]],BD!A:F,6,0)</f>
        <v>1</v>
      </c>
      <c r="I761" s="27" t="s">
        <v>1705</v>
      </c>
      <c r="J761" s="27" t="s">
        <v>1706</v>
      </c>
    </row>
    <row r="762" spans="1:10" x14ac:dyDescent="0.25">
      <c r="A762" s="21" t="s">
        <v>1306</v>
      </c>
      <c r="B762" s="391" t="str">
        <f>VLOOKUP(Tabela12[[#This Row],[Painel]],Tabela13[],2,0)</f>
        <v>PERIF. IV</v>
      </c>
      <c r="C762" s="391" t="s">
        <v>1575</v>
      </c>
      <c r="D762" s="21" t="s">
        <v>1852</v>
      </c>
      <c r="E762" s="21">
        <v>17</v>
      </c>
      <c r="F762" s="21" t="str">
        <f>Tabela12[[#This Row],[Régua]]&amp;" ("&amp;Tabela12[[#This Row],[Born]]&amp;")"</f>
        <v>RB-DI-32 (17)</v>
      </c>
      <c r="G762" s="27">
        <f>LEN(Tabela12[[#This Row],[Anilha]])</f>
        <v>13</v>
      </c>
      <c r="H762" s="21">
        <f>VLOOKUP(Tabela12[[#This Row],[Tag Cabo]],BD!A:F,6,0)</f>
        <v>1</v>
      </c>
      <c r="I762" s="27" t="s">
        <v>1705</v>
      </c>
      <c r="J762" s="27" t="s">
        <v>1706</v>
      </c>
    </row>
    <row r="763" spans="1:10" x14ac:dyDescent="0.25">
      <c r="A763" s="21" t="s">
        <v>1306</v>
      </c>
      <c r="B763" s="391" t="str">
        <f>VLOOKUP(Tabela12[[#This Row],[Painel]],Tabela13[],2,0)</f>
        <v>PERIF. IV</v>
      </c>
      <c r="C763" s="391" t="s">
        <v>1575</v>
      </c>
      <c r="D763" s="21" t="s">
        <v>1853</v>
      </c>
      <c r="E763" s="21">
        <v>17</v>
      </c>
      <c r="F763" s="21" t="str">
        <f>Tabela12[[#This Row],[Régua]]&amp;" ("&amp;Tabela12[[#This Row],[Born]]&amp;")"</f>
        <v>BN-SC (17)</v>
      </c>
      <c r="G763" s="27">
        <f>LEN(Tabela12[[#This Row],[Anilha]])</f>
        <v>10</v>
      </c>
      <c r="H763" s="21">
        <f>VLOOKUP(Tabela12[[#This Row],[Tag Cabo]],BD!A:F,6,0)</f>
        <v>1</v>
      </c>
      <c r="I763" s="27" t="s">
        <v>1705</v>
      </c>
      <c r="J763" s="27" t="s">
        <v>1706</v>
      </c>
    </row>
    <row r="764" spans="1:10" x14ac:dyDescent="0.25">
      <c r="A764" s="21" t="s">
        <v>1306</v>
      </c>
      <c r="B764" s="391" t="str">
        <f>VLOOKUP(Tabela12[[#This Row],[Painel]],Tabela13[],2,0)</f>
        <v>COG</v>
      </c>
      <c r="C764" s="391" t="s">
        <v>1594</v>
      </c>
      <c r="D764" s="21" t="s">
        <v>1854</v>
      </c>
      <c r="E764" s="21">
        <v>13</v>
      </c>
      <c r="F764" s="21" t="str">
        <f>Tabela12[[#This Row],[Régua]]&amp;" ("&amp;Tabela12[[#This Row],[Born]]&amp;")"</f>
        <v>TBDC02 (13)</v>
      </c>
      <c r="G764" s="27">
        <f>LEN(Tabela12[[#This Row],[Anilha]])</f>
        <v>11</v>
      </c>
      <c r="H764" s="21">
        <f>VLOOKUP(Tabela12[[#This Row],[Tag Cabo]],BD!A:F,6,0)</f>
        <v>1</v>
      </c>
      <c r="I764" s="27" t="s">
        <v>1705</v>
      </c>
      <c r="J764" s="27" t="s">
        <v>1706</v>
      </c>
    </row>
    <row r="765" spans="1:10" x14ac:dyDescent="0.25">
      <c r="A765" s="21" t="s">
        <v>1306</v>
      </c>
      <c r="B765" s="391" t="str">
        <f>VLOOKUP(Tabela12[[#This Row],[Painel]],Tabela13[],2,0)</f>
        <v>COG</v>
      </c>
      <c r="C765" s="391" t="s">
        <v>1594</v>
      </c>
      <c r="D765" s="21" t="s">
        <v>1854</v>
      </c>
      <c r="E765" s="21">
        <v>14</v>
      </c>
      <c r="F765" s="21" t="str">
        <f>Tabela12[[#This Row],[Régua]]&amp;" ("&amp;Tabela12[[#This Row],[Born]]&amp;")"</f>
        <v>TBDC02 (14)</v>
      </c>
      <c r="G765" s="27">
        <f>LEN(Tabela12[[#This Row],[Anilha]])</f>
        <v>11</v>
      </c>
      <c r="H765" s="21">
        <f>VLOOKUP(Tabela12[[#This Row],[Tag Cabo]],BD!A:F,6,0)</f>
        <v>1</v>
      </c>
      <c r="I765" s="27" t="s">
        <v>1705</v>
      </c>
      <c r="J765" s="27" t="s">
        <v>1706</v>
      </c>
    </row>
    <row r="766" spans="1:10" x14ac:dyDescent="0.25">
      <c r="A766" s="21" t="s">
        <v>1308</v>
      </c>
      <c r="B766" s="391" t="str">
        <f>VLOOKUP(Tabela12[[#This Row],[Painel]],Tabela13[],2,0)</f>
        <v>PERIF. IV</v>
      </c>
      <c r="C766" s="391" t="s">
        <v>1575</v>
      </c>
      <c r="D766" s="21" t="s">
        <v>1852</v>
      </c>
      <c r="E766" s="21">
        <v>12</v>
      </c>
      <c r="F766" s="21" t="str">
        <f>Tabela12[[#This Row],[Régua]]&amp;" ("&amp;Tabela12[[#This Row],[Born]]&amp;")"</f>
        <v>RB-DI-32 (12)</v>
      </c>
      <c r="G766" s="27">
        <f>LEN(Tabela12[[#This Row],[Anilha]])</f>
        <v>13</v>
      </c>
      <c r="H766" s="21">
        <f>VLOOKUP(Tabela12[[#This Row],[Tag Cabo]],BD!A:F,6,0)</f>
        <v>1</v>
      </c>
      <c r="I766" s="27" t="s">
        <v>1705</v>
      </c>
      <c r="J766" s="27" t="s">
        <v>1706</v>
      </c>
    </row>
    <row r="767" spans="1:10" x14ac:dyDescent="0.25">
      <c r="A767" s="21" t="s">
        <v>1308</v>
      </c>
      <c r="B767" s="391" t="str">
        <f>VLOOKUP(Tabela12[[#This Row],[Painel]],Tabela13[],2,0)</f>
        <v>PERIF. IV</v>
      </c>
      <c r="C767" s="391" t="s">
        <v>1575</v>
      </c>
      <c r="D767" s="21" t="s">
        <v>1853</v>
      </c>
      <c r="E767" s="21">
        <v>12</v>
      </c>
      <c r="F767" s="21" t="str">
        <f>Tabela12[[#This Row],[Régua]]&amp;" ("&amp;Tabela12[[#This Row],[Born]]&amp;")"</f>
        <v>BN-SC (12)</v>
      </c>
      <c r="G767" s="27">
        <f>LEN(Tabela12[[#This Row],[Anilha]])</f>
        <v>10</v>
      </c>
      <c r="H767" s="21">
        <f>VLOOKUP(Tabela12[[#This Row],[Tag Cabo]],BD!A:F,6,0)</f>
        <v>1</v>
      </c>
      <c r="I767" s="27" t="s">
        <v>1705</v>
      </c>
      <c r="J767" s="27" t="s">
        <v>1706</v>
      </c>
    </row>
    <row r="768" spans="1:10" x14ac:dyDescent="0.25">
      <c r="A768" s="21" t="s">
        <v>1308</v>
      </c>
      <c r="B768" s="391" t="str">
        <f>VLOOKUP(Tabela12[[#This Row],[Painel]],Tabela13[],2,0)</f>
        <v>COG</v>
      </c>
      <c r="C768" s="391" t="s">
        <v>1594</v>
      </c>
      <c r="D768" s="21" t="s">
        <v>1854</v>
      </c>
      <c r="E768" s="21">
        <v>7</v>
      </c>
      <c r="F768" s="21" t="str">
        <f>Tabela12[[#This Row],[Régua]]&amp;" ("&amp;Tabela12[[#This Row],[Born]]&amp;")"</f>
        <v>TBDC02 (7)</v>
      </c>
      <c r="G768" s="27">
        <f>LEN(Tabela12[[#This Row],[Anilha]])</f>
        <v>10</v>
      </c>
      <c r="H768" s="21">
        <f>VLOOKUP(Tabela12[[#This Row],[Tag Cabo]],BD!A:F,6,0)</f>
        <v>1</v>
      </c>
      <c r="I768" s="27" t="s">
        <v>1705</v>
      </c>
      <c r="J768" s="27" t="s">
        <v>1706</v>
      </c>
    </row>
    <row r="769" spans="1:10" x14ac:dyDescent="0.25">
      <c r="A769" s="21" t="s">
        <v>1308</v>
      </c>
      <c r="B769" s="391" t="str">
        <f>VLOOKUP(Tabela12[[#This Row],[Painel]],Tabela13[],2,0)</f>
        <v>COG</v>
      </c>
      <c r="C769" s="391" t="s">
        <v>1594</v>
      </c>
      <c r="D769" s="21" t="s">
        <v>1854</v>
      </c>
      <c r="E769" s="21">
        <v>8</v>
      </c>
      <c r="F769" s="21" t="str">
        <f>Tabela12[[#This Row],[Régua]]&amp;" ("&amp;Tabela12[[#This Row],[Born]]&amp;")"</f>
        <v>TBDC02 (8)</v>
      </c>
      <c r="G769" s="27">
        <f>LEN(Tabela12[[#This Row],[Anilha]])</f>
        <v>10</v>
      </c>
      <c r="H769" s="21">
        <f>VLOOKUP(Tabela12[[#This Row],[Tag Cabo]],BD!A:F,6,0)</f>
        <v>1</v>
      </c>
      <c r="I769" s="27" t="s">
        <v>1705</v>
      </c>
      <c r="J769" s="27" t="s">
        <v>1706</v>
      </c>
    </row>
    <row r="770" spans="1:10" x14ac:dyDescent="0.25">
      <c r="A770" s="21" t="s">
        <v>1310</v>
      </c>
      <c r="B770" s="391" t="str">
        <f>VLOOKUP(Tabela12[[#This Row],[Painel]],Tabela13[],2,0)</f>
        <v>PERIF. IV</v>
      </c>
      <c r="C770" s="391" t="s">
        <v>1575</v>
      </c>
      <c r="D770" s="21" t="s">
        <v>1852</v>
      </c>
      <c r="E770" s="21">
        <v>20</v>
      </c>
      <c r="F770" s="21" t="str">
        <f>Tabela12[[#This Row],[Régua]]&amp;" ("&amp;Tabela12[[#This Row],[Born]]&amp;")"</f>
        <v>RB-DI-32 (20)</v>
      </c>
      <c r="G770" s="27">
        <f>LEN(Tabela12[[#This Row],[Anilha]])</f>
        <v>13</v>
      </c>
      <c r="H770" s="21">
        <f>VLOOKUP(Tabela12[[#This Row],[Tag Cabo]],BD!A:F,6,0)</f>
        <v>1</v>
      </c>
      <c r="I770" s="27" t="s">
        <v>1705</v>
      </c>
      <c r="J770" s="27" t="s">
        <v>1706</v>
      </c>
    </row>
    <row r="771" spans="1:10" x14ac:dyDescent="0.25">
      <c r="A771" s="21" t="s">
        <v>1310</v>
      </c>
      <c r="B771" s="391" t="str">
        <f>VLOOKUP(Tabela12[[#This Row],[Painel]],Tabela13[],2,0)</f>
        <v>PERIF. IV</v>
      </c>
      <c r="C771" s="391" t="s">
        <v>1575</v>
      </c>
      <c r="D771" s="21" t="s">
        <v>1853</v>
      </c>
      <c r="E771" s="21">
        <v>20</v>
      </c>
      <c r="F771" s="21" t="str">
        <f>Tabela12[[#This Row],[Régua]]&amp;" ("&amp;Tabela12[[#This Row],[Born]]&amp;")"</f>
        <v>BN-SC (20)</v>
      </c>
      <c r="G771" s="27">
        <f>LEN(Tabela12[[#This Row],[Anilha]])</f>
        <v>10</v>
      </c>
      <c r="H771" s="21">
        <f>VLOOKUP(Tabela12[[#This Row],[Tag Cabo]],BD!A:F,6,0)</f>
        <v>1</v>
      </c>
      <c r="I771" s="27" t="s">
        <v>1705</v>
      </c>
      <c r="J771" s="27" t="s">
        <v>1706</v>
      </c>
    </row>
    <row r="772" spans="1:10" x14ac:dyDescent="0.25">
      <c r="A772" s="21" t="s">
        <v>1310</v>
      </c>
      <c r="B772" s="391" t="str">
        <f>VLOOKUP(Tabela12[[#This Row],[Painel]],Tabela13[],2,0)</f>
        <v>COG</v>
      </c>
      <c r="C772" s="391" t="s">
        <v>1594</v>
      </c>
      <c r="D772" s="21" t="s">
        <v>1854</v>
      </c>
      <c r="E772" s="21">
        <v>19</v>
      </c>
      <c r="F772" s="21" t="str">
        <f>Tabela12[[#This Row],[Régua]]&amp;" ("&amp;Tabela12[[#This Row],[Born]]&amp;")"</f>
        <v>TBDC02 (19)</v>
      </c>
      <c r="G772" s="27">
        <f>LEN(Tabela12[[#This Row],[Anilha]])</f>
        <v>11</v>
      </c>
      <c r="H772" s="21">
        <f>VLOOKUP(Tabela12[[#This Row],[Tag Cabo]],BD!A:F,6,0)</f>
        <v>1</v>
      </c>
      <c r="I772" s="27" t="s">
        <v>1705</v>
      </c>
      <c r="J772" s="27" t="s">
        <v>1706</v>
      </c>
    </row>
    <row r="773" spans="1:10" x14ac:dyDescent="0.25">
      <c r="A773" s="21" t="s">
        <v>1310</v>
      </c>
      <c r="B773" s="391" t="str">
        <f>VLOOKUP(Tabela12[[#This Row],[Painel]],Tabela13[],2,0)</f>
        <v>COG</v>
      </c>
      <c r="C773" s="391" t="s">
        <v>1594</v>
      </c>
      <c r="D773" s="21" t="s">
        <v>1854</v>
      </c>
      <c r="E773" s="21">
        <v>20</v>
      </c>
      <c r="F773" s="21" t="str">
        <f>Tabela12[[#This Row],[Régua]]&amp;" ("&amp;Tabela12[[#This Row],[Born]]&amp;")"</f>
        <v>TBDC02 (20)</v>
      </c>
      <c r="G773" s="27">
        <f>LEN(Tabela12[[#This Row],[Anilha]])</f>
        <v>11</v>
      </c>
      <c r="H773" s="21">
        <f>VLOOKUP(Tabela12[[#This Row],[Tag Cabo]],BD!A:F,6,0)</f>
        <v>1</v>
      </c>
      <c r="I773" s="27" t="s">
        <v>1705</v>
      </c>
      <c r="J773" s="27" t="s">
        <v>1706</v>
      </c>
    </row>
    <row r="774" spans="1:10" x14ac:dyDescent="0.25">
      <c r="A774" s="21" t="s">
        <v>1312</v>
      </c>
      <c r="B774" s="391" t="str">
        <f>VLOOKUP(Tabela12[[#This Row],[Painel]],Tabela13[],2,0)</f>
        <v>PERIF. IV</v>
      </c>
      <c r="C774" s="391" t="s">
        <v>1575</v>
      </c>
      <c r="D774" s="21" t="s">
        <v>1852</v>
      </c>
      <c r="E774" s="21">
        <v>25</v>
      </c>
      <c r="F774" s="21" t="str">
        <f>Tabela12[[#This Row],[Régua]]&amp;" ("&amp;Tabela12[[#This Row],[Born]]&amp;")"</f>
        <v>RB-DI-32 (25)</v>
      </c>
      <c r="G774" s="27">
        <f>LEN(Tabela12[[#This Row],[Anilha]])</f>
        <v>13</v>
      </c>
      <c r="H774" s="21">
        <f>VLOOKUP(Tabela12[[#This Row],[Tag Cabo]],BD!A:F,6,0)</f>
        <v>1</v>
      </c>
      <c r="I774" s="27" t="s">
        <v>1705</v>
      </c>
      <c r="J774" s="27" t="s">
        <v>1706</v>
      </c>
    </row>
    <row r="775" spans="1:10" x14ac:dyDescent="0.25">
      <c r="A775" s="21" t="s">
        <v>1312</v>
      </c>
      <c r="B775" s="391" t="str">
        <f>VLOOKUP(Tabela12[[#This Row],[Painel]],Tabela13[],2,0)</f>
        <v>PERIF. IV</v>
      </c>
      <c r="C775" s="391" t="s">
        <v>1575</v>
      </c>
      <c r="D775" s="21" t="s">
        <v>1852</v>
      </c>
      <c r="E775" s="21">
        <v>25</v>
      </c>
      <c r="F775" s="21" t="str">
        <f>Tabela12[[#This Row],[Régua]]&amp;" ("&amp;Tabela12[[#This Row],[Born]]&amp;")"</f>
        <v>RB-DI-32 (25)</v>
      </c>
      <c r="G775" s="27">
        <f>LEN(Tabela12[[#This Row],[Anilha]])</f>
        <v>13</v>
      </c>
      <c r="H775" s="21">
        <f>VLOOKUP(Tabela12[[#This Row],[Tag Cabo]],BD!A:F,6,0)</f>
        <v>1</v>
      </c>
      <c r="I775" s="27" t="s">
        <v>1705</v>
      </c>
      <c r="J775" s="27" t="s">
        <v>1706</v>
      </c>
    </row>
    <row r="776" spans="1:10" x14ac:dyDescent="0.25">
      <c r="A776" s="21" t="s">
        <v>1312</v>
      </c>
      <c r="B776" s="391" t="str">
        <f>VLOOKUP(Tabela12[[#This Row],[Painel]],Tabela13[],2,0)</f>
        <v>COG</v>
      </c>
      <c r="C776" s="391" t="s">
        <v>1611</v>
      </c>
      <c r="D776" s="21" t="s">
        <v>1855</v>
      </c>
      <c r="E776" s="21">
        <v>1</v>
      </c>
      <c r="F776" s="21" t="str">
        <f>Tabela12[[#This Row],[Régua]]&amp;" ("&amp;Tabela12[[#This Row],[Born]]&amp;")"</f>
        <v>TBDC01 (1)</v>
      </c>
      <c r="G776" s="27">
        <f>LEN(Tabela12[[#This Row],[Anilha]])</f>
        <v>10</v>
      </c>
      <c r="H776" s="21">
        <f>VLOOKUP(Tabela12[[#This Row],[Tag Cabo]],BD!A:F,6,0)</f>
        <v>1</v>
      </c>
      <c r="I776" s="27" t="s">
        <v>1705</v>
      </c>
      <c r="J776" s="27" t="s">
        <v>1706</v>
      </c>
    </row>
    <row r="777" spans="1:10" x14ac:dyDescent="0.25">
      <c r="A777" s="21" t="s">
        <v>1312</v>
      </c>
      <c r="B777" s="391" t="str">
        <f>VLOOKUP(Tabela12[[#This Row],[Painel]],Tabela13[],2,0)</f>
        <v>COG</v>
      </c>
      <c r="C777" s="391" t="s">
        <v>1611</v>
      </c>
      <c r="D777" s="21" t="s">
        <v>1855</v>
      </c>
      <c r="E777" s="21">
        <v>2</v>
      </c>
      <c r="F777" s="21" t="str">
        <f>Tabela12[[#This Row],[Régua]]&amp;" ("&amp;Tabela12[[#This Row],[Born]]&amp;")"</f>
        <v>TBDC01 (2)</v>
      </c>
      <c r="G777" s="27">
        <f>LEN(Tabela12[[#This Row],[Anilha]])</f>
        <v>10</v>
      </c>
      <c r="H777" s="21">
        <f>VLOOKUP(Tabela12[[#This Row],[Tag Cabo]],BD!A:F,6,0)</f>
        <v>1</v>
      </c>
      <c r="I777" s="27" t="s">
        <v>1705</v>
      </c>
      <c r="J777" s="27" t="s">
        <v>1706</v>
      </c>
    </row>
    <row r="778" spans="1:10" x14ac:dyDescent="0.25">
      <c r="A778" s="21" t="s">
        <v>1314</v>
      </c>
      <c r="B778" s="391" t="str">
        <f>VLOOKUP(Tabela12[[#This Row],[Painel]],Tabela13[],2,0)</f>
        <v>PERIF. IV</v>
      </c>
      <c r="C778" s="391" t="s">
        <v>1575</v>
      </c>
      <c r="D778" s="21" t="s">
        <v>1852</v>
      </c>
      <c r="E778" s="21">
        <v>26</v>
      </c>
      <c r="F778" s="21" t="str">
        <f>Tabela12[[#This Row],[Régua]]&amp;" ("&amp;Tabela12[[#This Row],[Born]]&amp;")"</f>
        <v>RB-DI-32 (26)</v>
      </c>
      <c r="G778" s="27">
        <f>LEN(Tabela12[[#This Row],[Anilha]])</f>
        <v>13</v>
      </c>
      <c r="H778" s="21">
        <f>VLOOKUP(Tabela12[[#This Row],[Tag Cabo]],BD!A:F,6,0)</f>
        <v>1</v>
      </c>
      <c r="I778" s="27" t="s">
        <v>1705</v>
      </c>
      <c r="J778" s="27" t="s">
        <v>1706</v>
      </c>
    </row>
    <row r="779" spans="1:10" x14ac:dyDescent="0.25">
      <c r="A779" s="21" t="s">
        <v>1314</v>
      </c>
      <c r="B779" s="391" t="str">
        <f>VLOOKUP(Tabela12[[#This Row],[Painel]],Tabela13[],2,0)</f>
        <v>PERIF. IV</v>
      </c>
      <c r="C779" s="391" t="s">
        <v>1575</v>
      </c>
      <c r="D779" s="21" t="s">
        <v>1852</v>
      </c>
      <c r="E779" s="21">
        <v>26</v>
      </c>
      <c r="F779" s="21" t="str">
        <f>Tabela12[[#This Row],[Régua]]&amp;" ("&amp;Tabela12[[#This Row],[Born]]&amp;")"</f>
        <v>RB-DI-32 (26)</v>
      </c>
      <c r="G779" s="27">
        <f>LEN(Tabela12[[#This Row],[Anilha]])</f>
        <v>13</v>
      </c>
      <c r="H779" s="21">
        <f>VLOOKUP(Tabela12[[#This Row],[Tag Cabo]],BD!A:F,6,0)</f>
        <v>1</v>
      </c>
      <c r="I779" s="27" t="s">
        <v>1705</v>
      </c>
      <c r="J779" s="27" t="s">
        <v>1706</v>
      </c>
    </row>
    <row r="780" spans="1:10" x14ac:dyDescent="0.25">
      <c r="A780" s="21" t="s">
        <v>1314</v>
      </c>
      <c r="B780" s="391" t="str">
        <f>VLOOKUP(Tabela12[[#This Row],[Painel]],Tabela13[],2,0)</f>
        <v>COG</v>
      </c>
      <c r="C780" s="391" t="s">
        <v>1611</v>
      </c>
      <c r="D780" s="21" t="s">
        <v>1855</v>
      </c>
      <c r="E780" s="21">
        <v>3</v>
      </c>
      <c r="F780" s="21" t="str">
        <f>Tabela12[[#This Row],[Régua]]&amp;" ("&amp;Tabela12[[#This Row],[Born]]&amp;")"</f>
        <v>TBDC01 (3)</v>
      </c>
      <c r="G780" s="27">
        <f>LEN(Tabela12[[#This Row],[Anilha]])</f>
        <v>10</v>
      </c>
      <c r="H780" s="21">
        <f>VLOOKUP(Tabela12[[#This Row],[Tag Cabo]],BD!A:F,6,0)</f>
        <v>1</v>
      </c>
      <c r="I780" s="27" t="s">
        <v>1705</v>
      </c>
      <c r="J780" s="27" t="s">
        <v>1706</v>
      </c>
    </row>
    <row r="781" spans="1:10" x14ac:dyDescent="0.25">
      <c r="A781" s="21" t="s">
        <v>1314</v>
      </c>
      <c r="B781" s="391" t="str">
        <f>VLOOKUP(Tabela12[[#This Row],[Painel]],Tabela13[],2,0)</f>
        <v>COG</v>
      </c>
      <c r="C781" s="391" t="s">
        <v>1611</v>
      </c>
      <c r="D781" s="21" t="s">
        <v>1855</v>
      </c>
      <c r="E781" s="21">
        <v>4</v>
      </c>
      <c r="F781" s="21" t="str">
        <f>Tabela12[[#This Row],[Régua]]&amp;" ("&amp;Tabela12[[#This Row],[Born]]&amp;")"</f>
        <v>TBDC01 (4)</v>
      </c>
      <c r="G781" s="27">
        <f>LEN(Tabela12[[#This Row],[Anilha]])</f>
        <v>10</v>
      </c>
      <c r="H781" s="21">
        <f>VLOOKUP(Tabela12[[#This Row],[Tag Cabo]],BD!A:F,6,0)</f>
        <v>1</v>
      </c>
      <c r="I781" s="27" t="s">
        <v>1705</v>
      </c>
      <c r="J781" s="27" t="s">
        <v>1706</v>
      </c>
    </row>
    <row r="782" spans="1:10" x14ac:dyDescent="0.25">
      <c r="A782" s="21" t="s">
        <v>1316</v>
      </c>
      <c r="B782" s="391" t="str">
        <f>VLOOKUP(Tabela12[[#This Row],[Painel]],Tabela13[],2,0)</f>
        <v>PERIF. IV</v>
      </c>
      <c r="C782" s="391" t="s">
        <v>1575</v>
      </c>
      <c r="D782" s="21" t="s">
        <v>1852</v>
      </c>
      <c r="E782" s="21">
        <v>27</v>
      </c>
      <c r="F782" s="21" t="str">
        <f>Tabela12[[#This Row],[Régua]]&amp;" ("&amp;Tabela12[[#This Row],[Born]]&amp;")"</f>
        <v>RB-DI-32 (27)</v>
      </c>
      <c r="G782" s="27">
        <f>LEN(Tabela12[[#This Row],[Anilha]])</f>
        <v>13</v>
      </c>
      <c r="H782" s="21">
        <f>VLOOKUP(Tabela12[[#This Row],[Tag Cabo]],BD!A:F,6,0)</f>
        <v>1</v>
      </c>
      <c r="I782" s="27" t="s">
        <v>1705</v>
      </c>
      <c r="J782" s="27" t="s">
        <v>1706</v>
      </c>
    </row>
    <row r="783" spans="1:10" x14ac:dyDescent="0.25">
      <c r="A783" s="21" t="s">
        <v>1316</v>
      </c>
      <c r="B783" s="391" t="str">
        <f>VLOOKUP(Tabela12[[#This Row],[Painel]],Tabela13[],2,0)</f>
        <v>PERIF. IV</v>
      </c>
      <c r="C783" s="391" t="s">
        <v>1575</v>
      </c>
      <c r="D783" s="21" t="s">
        <v>1852</v>
      </c>
      <c r="E783" s="21">
        <v>27</v>
      </c>
      <c r="F783" s="21" t="str">
        <f>Tabela12[[#This Row],[Régua]]&amp;" ("&amp;Tabela12[[#This Row],[Born]]&amp;")"</f>
        <v>RB-DI-32 (27)</v>
      </c>
      <c r="G783" s="27">
        <f>LEN(Tabela12[[#This Row],[Anilha]])</f>
        <v>13</v>
      </c>
      <c r="H783" s="21">
        <f>VLOOKUP(Tabela12[[#This Row],[Tag Cabo]],BD!A:F,6,0)</f>
        <v>1</v>
      </c>
      <c r="I783" s="27" t="s">
        <v>1705</v>
      </c>
      <c r="J783" s="27" t="s">
        <v>1706</v>
      </c>
    </row>
    <row r="784" spans="1:10" x14ac:dyDescent="0.25">
      <c r="A784" s="21" t="s">
        <v>1316</v>
      </c>
      <c r="B784" s="391" t="str">
        <f>VLOOKUP(Tabela12[[#This Row],[Painel]],Tabela13[],2,0)</f>
        <v>COG</v>
      </c>
      <c r="C784" s="391" t="s">
        <v>1611</v>
      </c>
      <c r="D784" s="21" t="s">
        <v>1855</v>
      </c>
      <c r="E784" s="21">
        <v>5</v>
      </c>
      <c r="F784" s="21" t="str">
        <f>Tabela12[[#This Row],[Régua]]&amp;" ("&amp;Tabela12[[#This Row],[Born]]&amp;")"</f>
        <v>TBDC01 (5)</v>
      </c>
      <c r="G784" s="27">
        <f>LEN(Tabela12[[#This Row],[Anilha]])</f>
        <v>10</v>
      </c>
      <c r="H784" s="21">
        <f>VLOOKUP(Tabela12[[#This Row],[Tag Cabo]],BD!A:F,6,0)</f>
        <v>1</v>
      </c>
      <c r="I784" s="27" t="s">
        <v>1705</v>
      </c>
      <c r="J784" s="27" t="s">
        <v>1706</v>
      </c>
    </row>
    <row r="785" spans="1:10" x14ac:dyDescent="0.25">
      <c r="A785" s="21" t="s">
        <v>1316</v>
      </c>
      <c r="B785" s="391" t="str">
        <f>VLOOKUP(Tabela12[[#This Row],[Painel]],Tabela13[],2,0)</f>
        <v>COG</v>
      </c>
      <c r="C785" s="391" t="s">
        <v>1611</v>
      </c>
      <c r="D785" s="21" t="s">
        <v>1855</v>
      </c>
      <c r="E785" s="21">
        <v>6</v>
      </c>
      <c r="F785" s="21" t="str">
        <f>Tabela12[[#This Row],[Régua]]&amp;" ("&amp;Tabela12[[#This Row],[Born]]&amp;")"</f>
        <v>TBDC01 (6)</v>
      </c>
      <c r="G785" s="27">
        <f>LEN(Tabela12[[#This Row],[Anilha]])</f>
        <v>10</v>
      </c>
      <c r="H785" s="21">
        <f>VLOOKUP(Tabela12[[#This Row],[Tag Cabo]],BD!A:F,6,0)</f>
        <v>1</v>
      </c>
      <c r="I785" s="27" t="s">
        <v>1705</v>
      </c>
      <c r="J785" s="27" t="s">
        <v>1706</v>
      </c>
    </row>
    <row r="786" spans="1:10" x14ac:dyDescent="0.25">
      <c r="A786" s="21" t="s">
        <v>1318</v>
      </c>
      <c r="B786" s="391" t="str">
        <f>VLOOKUP(Tabela12[[#This Row],[Painel]],Tabela13[],2,0)</f>
        <v>PERIF. IV</v>
      </c>
      <c r="C786" s="391" t="s">
        <v>1575</v>
      </c>
      <c r="D786" s="21" t="s">
        <v>1852</v>
      </c>
      <c r="E786" s="21">
        <v>28</v>
      </c>
      <c r="F786" s="21" t="str">
        <f>Tabela12[[#This Row],[Régua]]&amp;" ("&amp;Tabela12[[#This Row],[Born]]&amp;")"</f>
        <v>RB-DI-32 (28)</v>
      </c>
      <c r="G786" s="27">
        <f>LEN(Tabela12[[#This Row],[Anilha]])</f>
        <v>13</v>
      </c>
      <c r="H786" s="21">
        <f>VLOOKUP(Tabela12[[#This Row],[Tag Cabo]],BD!A:F,6,0)</f>
        <v>1</v>
      </c>
      <c r="I786" s="27" t="s">
        <v>1705</v>
      </c>
      <c r="J786" s="27" t="s">
        <v>1706</v>
      </c>
    </row>
    <row r="787" spans="1:10" x14ac:dyDescent="0.25">
      <c r="A787" s="21" t="s">
        <v>1318</v>
      </c>
      <c r="B787" s="391" t="str">
        <f>VLOOKUP(Tabela12[[#This Row],[Painel]],Tabela13[],2,0)</f>
        <v>PERIF. IV</v>
      </c>
      <c r="C787" s="391" t="s">
        <v>1575</v>
      </c>
      <c r="D787" s="21" t="s">
        <v>1852</v>
      </c>
      <c r="E787" s="21">
        <v>28</v>
      </c>
      <c r="F787" s="21" t="str">
        <f>Tabela12[[#This Row],[Régua]]&amp;" ("&amp;Tabela12[[#This Row],[Born]]&amp;")"</f>
        <v>RB-DI-32 (28)</v>
      </c>
      <c r="G787" s="27">
        <f>LEN(Tabela12[[#This Row],[Anilha]])</f>
        <v>13</v>
      </c>
      <c r="H787" s="21">
        <f>VLOOKUP(Tabela12[[#This Row],[Tag Cabo]],BD!A:F,6,0)</f>
        <v>1</v>
      </c>
      <c r="I787" s="27" t="s">
        <v>1705</v>
      </c>
      <c r="J787" s="27" t="s">
        <v>1706</v>
      </c>
    </row>
    <row r="788" spans="1:10" x14ac:dyDescent="0.25">
      <c r="A788" s="21" t="s">
        <v>1318</v>
      </c>
      <c r="B788" s="391" t="str">
        <f>VLOOKUP(Tabela12[[#This Row],[Painel]],Tabela13[],2,0)</f>
        <v>COG</v>
      </c>
      <c r="C788" s="391" t="s">
        <v>1611</v>
      </c>
      <c r="D788" s="21" t="s">
        <v>1855</v>
      </c>
      <c r="E788" s="21">
        <v>7</v>
      </c>
      <c r="F788" s="21" t="str">
        <f>Tabela12[[#This Row],[Régua]]&amp;" ("&amp;Tabela12[[#This Row],[Born]]&amp;")"</f>
        <v>TBDC01 (7)</v>
      </c>
      <c r="G788" s="27">
        <f>LEN(Tabela12[[#This Row],[Anilha]])</f>
        <v>10</v>
      </c>
      <c r="H788" s="21">
        <f>VLOOKUP(Tabela12[[#This Row],[Tag Cabo]],BD!A:F,6,0)</f>
        <v>1</v>
      </c>
      <c r="I788" s="27" t="s">
        <v>1705</v>
      </c>
      <c r="J788" s="27" t="s">
        <v>1706</v>
      </c>
    </row>
    <row r="789" spans="1:10" x14ac:dyDescent="0.25">
      <c r="A789" s="21" t="s">
        <v>1318</v>
      </c>
      <c r="B789" s="391" t="str">
        <f>VLOOKUP(Tabela12[[#This Row],[Painel]],Tabela13[],2,0)</f>
        <v>COG</v>
      </c>
      <c r="C789" s="391" t="s">
        <v>1611</v>
      </c>
      <c r="D789" s="21" t="s">
        <v>1855</v>
      </c>
      <c r="E789" s="21">
        <v>8</v>
      </c>
      <c r="F789" s="21" t="str">
        <f>Tabela12[[#This Row],[Régua]]&amp;" ("&amp;Tabela12[[#This Row],[Born]]&amp;")"</f>
        <v>TBDC01 (8)</v>
      </c>
      <c r="G789" s="27">
        <f>LEN(Tabela12[[#This Row],[Anilha]])</f>
        <v>10</v>
      </c>
      <c r="H789" s="21">
        <f>VLOOKUP(Tabela12[[#This Row],[Tag Cabo]],BD!A:F,6,0)</f>
        <v>1</v>
      </c>
      <c r="I789" s="27" t="s">
        <v>1705</v>
      </c>
      <c r="J789" s="27" t="s">
        <v>1706</v>
      </c>
    </row>
    <row r="790" spans="1:10" x14ac:dyDescent="0.25">
      <c r="A790" s="21" t="s">
        <v>1320</v>
      </c>
      <c r="B790" s="391" t="str">
        <f>VLOOKUP(Tabela12[[#This Row],[Painel]],Tabela13[],2,0)</f>
        <v>PERIF. IV</v>
      </c>
      <c r="C790" s="391" t="s">
        <v>1575</v>
      </c>
      <c r="D790" s="21" t="s">
        <v>1852</v>
      </c>
      <c r="E790" s="21">
        <v>29</v>
      </c>
      <c r="F790" s="21" t="str">
        <f>Tabela12[[#This Row],[Régua]]&amp;" ("&amp;Tabela12[[#This Row],[Born]]&amp;")"</f>
        <v>RB-DI-32 (29)</v>
      </c>
      <c r="G790" s="27">
        <f>LEN(Tabela12[[#This Row],[Anilha]])</f>
        <v>13</v>
      </c>
      <c r="H790" s="21">
        <f>VLOOKUP(Tabela12[[#This Row],[Tag Cabo]],BD!A:F,6,0)</f>
        <v>1</v>
      </c>
      <c r="I790" s="27" t="s">
        <v>1705</v>
      </c>
      <c r="J790" s="27" t="s">
        <v>1706</v>
      </c>
    </row>
    <row r="791" spans="1:10" x14ac:dyDescent="0.25">
      <c r="A791" s="21" t="s">
        <v>1320</v>
      </c>
      <c r="B791" s="391" t="str">
        <f>VLOOKUP(Tabela12[[#This Row],[Painel]],Tabela13[],2,0)</f>
        <v>PERIF. IV</v>
      </c>
      <c r="C791" s="391" t="s">
        <v>1575</v>
      </c>
      <c r="D791" s="21" t="s">
        <v>1852</v>
      </c>
      <c r="E791" s="21">
        <v>29</v>
      </c>
      <c r="F791" s="21" t="str">
        <f>Tabela12[[#This Row],[Régua]]&amp;" ("&amp;Tabela12[[#This Row],[Born]]&amp;")"</f>
        <v>RB-DI-32 (29)</v>
      </c>
      <c r="G791" s="27">
        <f>LEN(Tabela12[[#This Row],[Anilha]])</f>
        <v>13</v>
      </c>
      <c r="H791" s="21">
        <f>VLOOKUP(Tabela12[[#This Row],[Tag Cabo]],BD!A:F,6,0)</f>
        <v>1</v>
      </c>
      <c r="I791" s="27" t="s">
        <v>1705</v>
      </c>
      <c r="J791" s="27" t="s">
        <v>1706</v>
      </c>
    </row>
    <row r="792" spans="1:10" x14ac:dyDescent="0.25">
      <c r="A792" s="21" t="s">
        <v>1320</v>
      </c>
      <c r="B792" s="391" t="str">
        <f>VLOOKUP(Tabela12[[#This Row],[Painel]],Tabela13[],2,0)</f>
        <v>COG</v>
      </c>
      <c r="C792" s="391" t="s">
        <v>1611</v>
      </c>
      <c r="D792" s="21" t="s">
        <v>1855</v>
      </c>
      <c r="E792" s="21">
        <v>9</v>
      </c>
      <c r="F792" s="21" t="str">
        <f>Tabela12[[#This Row],[Régua]]&amp;" ("&amp;Tabela12[[#This Row],[Born]]&amp;")"</f>
        <v>TBDC01 (9)</v>
      </c>
      <c r="G792" s="27">
        <f>LEN(Tabela12[[#This Row],[Anilha]])</f>
        <v>10</v>
      </c>
      <c r="H792" s="21">
        <f>VLOOKUP(Tabela12[[#This Row],[Tag Cabo]],BD!A:F,6,0)</f>
        <v>1</v>
      </c>
      <c r="I792" s="27" t="s">
        <v>1705</v>
      </c>
      <c r="J792" s="27" t="s">
        <v>1706</v>
      </c>
    </row>
    <row r="793" spans="1:10" x14ac:dyDescent="0.25">
      <c r="A793" s="21" t="s">
        <v>1320</v>
      </c>
      <c r="B793" s="391" t="str">
        <f>VLOOKUP(Tabela12[[#This Row],[Painel]],Tabela13[],2,0)</f>
        <v>COG</v>
      </c>
      <c r="C793" s="391" t="s">
        <v>1611</v>
      </c>
      <c r="D793" s="21" t="s">
        <v>1855</v>
      </c>
      <c r="E793" s="21">
        <v>10</v>
      </c>
      <c r="F793" s="21" t="str">
        <f>Tabela12[[#This Row],[Régua]]&amp;" ("&amp;Tabela12[[#This Row],[Born]]&amp;")"</f>
        <v>TBDC01 (10)</v>
      </c>
      <c r="G793" s="27">
        <f>LEN(Tabela12[[#This Row],[Anilha]])</f>
        <v>11</v>
      </c>
      <c r="H793" s="21">
        <f>VLOOKUP(Tabela12[[#This Row],[Tag Cabo]],BD!A:F,6,0)</f>
        <v>1</v>
      </c>
      <c r="I793" s="27" t="s">
        <v>1705</v>
      </c>
      <c r="J793" s="27" t="s">
        <v>1706</v>
      </c>
    </row>
    <row r="794" spans="1:10" x14ac:dyDescent="0.25">
      <c r="A794" s="21" t="s">
        <v>1322</v>
      </c>
      <c r="B794" s="391" t="str">
        <f>VLOOKUP(Tabela12[[#This Row],[Painel]],Tabela13[],2,0)</f>
        <v>PERIF. IV</v>
      </c>
      <c r="C794" s="391" t="s">
        <v>1575</v>
      </c>
      <c r="D794" s="21" t="s">
        <v>1852</v>
      </c>
      <c r="E794" s="21">
        <v>30</v>
      </c>
      <c r="F794" s="21" t="str">
        <f>Tabela12[[#This Row],[Régua]]&amp;" ("&amp;Tabela12[[#This Row],[Born]]&amp;")"</f>
        <v>RB-DI-32 (30)</v>
      </c>
      <c r="G794" s="27">
        <f>LEN(Tabela12[[#This Row],[Anilha]])</f>
        <v>13</v>
      </c>
      <c r="H794" s="21">
        <f>VLOOKUP(Tabela12[[#This Row],[Tag Cabo]],BD!A:F,6,0)</f>
        <v>1</v>
      </c>
      <c r="I794" s="27" t="s">
        <v>1705</v>
      </c>
      <c r="J794" s="27" t="s">
        <v>1706</v>
      </c>
    </row>
    <row r="795" spans="1:10" x14ac:dyDescent="0.25">
      <c r="A795" s="21" t="s">
        <v>1322</v>
      </c>
      <c r="B795" s="391" t="str">
        <f>VLOOKUP(Tabela12[[#This Row],[Painel]],Tabela13[],2,0)</f>
        <v>PERIF. IV</v>
      </c>
      <c r="C795" s="391" t="s">
        <v>1575</v>
      </c>
      <c r="D795" s="21" t="s">
        <v>1852</v>
      </c>
      <c r="E795" s="21">
        <v>30</v>
      </c>
      <c r="F795" s="21" t="str">
        <f>Tabela12[[#This Row],[Régua]]&amp;" ("&amp;Tabela12[[#This Row],[Born]]&amp;")"</f>
        <v>RB-DI-32 (30)</v>
      </c>
      <c r="G795" s="27">
        <f>LEN(Tabela12[[#This Row],[Anilha]])</f>
        <v>13</v>
      </c>
      <c r="H795" s="21">
        <f>VLOOKUP(Tabela12[[#This Row],[Tag Cabo]],BD!A:F,6,0)</f>
        <v>1</v>
      </c>
      <c r="I795" s="27" t="s">
        <v>1705</v>
      </c>
      <c r="J795" s="27" t="s">
        <v>1706</v>
      </c>
    </row>
    <row r="796" spans="1:10" x14ac:dyDescent="0.25">
      <c r="A796" s="21" t="s">
        <v>1322</v>
      </c>
      <c r="B796" s="391" t="str">
        <f>VLOOKUP(Tabela12[[#This Row],[Painel]],Tabela13[],2,0)</f>
        <v>COG</v>
      </c>
      <c r="C796" s="391" t="s">
        <v>1611</v>
      </c>
      <c r="D796" s="21" t="s">
        <v>1855</v>
      </c>
      <c r="E796" s="21">
        <v>11</v>
      </c>
      <c r="F796" s="21" t="str">
        <f>Tabela12[[#This Row],[Régua]]&amp;" ("&amp;Tabela12[[#This Row],[Born]]&amp;")"</f>
        <v>TBDC01 (11)</v>
      </c>
      <c r="G796" s="27">
        <f>LEN(Tabela12[[#This Row],[Anilha]])</f>
        <v>11</v>
      </c>
      <c r="H796" s="21">
        <f>VLOOKUP(Tabela12[[#This Row],[Tag Cabo]],BD!A:F,6,0)</f>
        <v>1</v>
      </c>
      <c r="I796" s="27" t="s">
        <v>1705</v>
      </c>
      <c r="J796" s="27" t="s">
        <v>1706</v>
      </c>
    </row>
    <row r="797" spans="1:10" x14ac:dyDescent="0.25">
      <c r="A797" s="21" t="s">
        <v>1322</v>
      </c>
      <c r="B797" s="391" t="str">
        <f>VLOOKUP(Tabela12[[#This Row],[Painel]],Tabela13[],2,0)</f>
        <v>COG</v>
      </c>
      <c r="C797" s="391" t="s">
        <v>1611</v>
      </c>
      <c r="D797" s="21" t="s">
        <v>1855</v>
      </c>
      <c r="E797" s="21">
        <v>12</v>
      </c>
      <c r="F797" s="21" t="str">
        <f>Tabela12[[#This Row],[Régua]]&amp;" ("&amp;Tabela12[[#This Row],[Born]]&amp;")"</f>
        <v>TBDC01 (12)</v>
      </c>
      <c r="G797" s="27">
        <f>LEN(Tabela12[[#This Row],[Anilha]])</f>
        <v>11</v>
      </c>
      <c r="H797" s="21">
        <f>VLOOKUP(Tabela12[[#This Row],[Tag Cabo]],BD!A:F,6,0)</f>
        <v>1</v>
      </c>
      <c r="I797" s="27" t="s">
        <v>1705</v>
      </c>
      <c r="J797" s="27" t="s">
        <v>1706</v>
      </c>
    </row>
    <row r="798" spans="1:10" x14ac:dyDescent="0.25">
      <c r="A798" s="21" t="s">
        <v>1324</v>
      </c>
      <c r="B798" s="391" t="str">
        <f>VLOOKUP(Tabela12[[#This Row],[Painel]],Tabela13[],2,0)</f>
        <v>PERIF. IV</v>
      </c>
      <c r="C798" s="391" t="s">
        <v>1575</v>
      </c>
      <c r="D798" s="21" t="s">
        <v>1856</v>
      </c>
      <c r="E798" s="214" t="s">
        <v>1788</v>
      </c>
      <c r="F798" s="21" t="str">
        <f>Tabela12[[#This Row],[Régua]]&amp;" ("&amp;Tabela12[[#This Row],[Born]]&amp;")"</f>
        <v>RB-DO-31 (01)</v>
      </c>
      <c r="G798" s="27">
        <f>LEN(Tabela12[[#This Row],[Anilha]])</f>
        <v>13</v>
      </c>
      <c r="H798" s="21">
        <f>VLOOKUP(Tabela12[[#This Row],[Tag Cabo]],BD!A:F,6,0)</f>
        <v>1</v>
      </c>
      <c r="I798" s="27" t="s">
        <v>1705</v>
      </c>
      <c r="J798" s="27" t="s">
        <v>1706</v>
      </c>
    </row>
    <row r="799" spans="1:10" x14ac:dyDescent="0.25">
      <c r="A799" s="21" t="s">
        <v>1324</v>
      </c>
      <c r="B799" s="391" t="str">
        <f>VLOOKUP(Tabela12[[#This Row],[Painel]],Tabela13[],2,0)</f>
        <v>PERIF. IV</v>
      </c>
      <c r="C799" s="391" t="s">
        <v>1575</v>
      </c>
      <c r="D799" s="21" t="s">
        <v>1856</v>
      </c>
      <c r="E799" s="214" t="s">
        <v>1789</v>
      </c>
      <c r="F799" s="21" t="str">
        <f>Tabela12[[#This Row],[Régua]]&amp;" ("&amp;Tabela12[[#This Row],[Born]]&amp;")"</f>
        <v>RB-DO-31 (02)</v>
      </c>
      <c r="G799" s="27">
        <f>LEN(Tabela12[[#This Row],[Anilha]])</f>
        <v>13</v>
      </c>
      <c r="H799" s="21">
        <f>VLOOKUP(Tabela12[[#This Row],[Tag Cabo]],BD!A:F,6,0)</f>
        <v>1</v>
      </c>
      <c r="I799" s="27" t="s">
        <v>1705</v>
      </c>
      <c r="J799" s="27" t="s">
        <v>1706</v>
      </c>
    </row>
    <row r="800" spans="1:10" x14ac:dyDescent="0.25">
      <c r="A800" s="21" t="s">
        <v>1324</v>
      </c>
      <c r="B800" s="391" t="str">
        <f>VLOOKUP(Tabela12[[#This Row],[Painel]],Tabela13[],2,0)</f>
        <v>COG</v>
      </c>
      <c r="C800" s="391" t="s">
        <v>1594</v>
      </c>
      <c r="D800" s="21" t="s">
        <v>1857</v>
      </c>
      <c r="E800" s="21">
        <v>1</v>
      </c>
      <c r="F800" s="21" t="str">
        <f>Tabela12[[#This Row],[Régua]]&amp;" ("&amp;Tabela12[[#This Row],[Born]]&amp;")"</f>
        <v>TBCD01 (1)</v>
      </c>
      <c r="G800" s="27">
        <f>LEN(Tabela12[[#This Row],[Anilha]])</f>
        <v>10</v>
      </c>
      <c r="H800" s="21">
        <f>VLOOKUP(Tabela12[[#This Row],[Tag Cabo]],BD!A:F,6,0)</f>
        <v>1</v>
      </c>
      <c r="I800" s="27" t="s">
        <v>1705</v>
      </c>
      <c r="J800" s="27" t="s">
        <v>1706</v>
      </c>
    </row>
    <row r="801" spans="1:10" x14ac:dyDescent="0.25">
      <c r="A801" s="21" t="s">
        <v>1324</v>
      </c>
      <c r="B801" s="391" t="str">
        <f>VLOOKUP(Tabela12[[#This Row],[Painel]],Tabela13[],2,0)</f>
        <v>COG</v>
      </c>
      <c r="C801" s="391" t="s">
        <v>1594</v>
      </c>
      <c r="D801" s="21" t="s">
        <v>1857</v>
      </c>
      <c r="E801" s="21">
        <v>2</v>
      </c>
      <c r="F801" s="21" t="str">
        <f>Tabela12[[#This Row],[Régua]]&amp;" ("&amp;Tabela12[[#This Row],[Born]]&amp;")"</f>
        <v>TBCD01 (2)</v>
      </c>
      <c r="G801" s="27">
        <f>LEN(Tabela12[[#This Row],[Anilha]])</f>
        <v>10</v>
      </c>
      <c r="H801" s="21">
        <f>VLOOKUP(Tabela12[[#This Row],[Tag Cabo]],BD!A:F,6,0)</f>
        <v>1</v>
      </c>
      <c r="I801" s="27" t="s">
        <v>1705</v>
      </c>
      <c r="J801" s="27" t="s">
        <v>1706</v>
      </c>
    </row>
    <row r="802" spans="1:10" x14ac:dyDescent="0.25">
      <c r="A802" s="21" t="s">
        <v>1297</v>
      </c>
      <c r="B802" s="391" t="str">
        <f>VLOOKUP(Tabela12[[#This Row],[Painel]],Tabela13[],2,0)</f>
        <v>PERIF. IV</v>
      </c>
      <c r="C802" s="391" t="s">
        <v>1575</v>
      </c>
      <c r="D802" s="21" t="s">
        <v>1847</v>
      </c>
      <c r="E802" s="21">
        <v>11</v>
      </c>
      <c r="F802" s="21" t="str">
        <f>Tabela12[[#This Row],[Régua]]&amp;" ("&amp;Tabela12[[#This Row],[Born]]&amp;")"</f>
        <v>RB-A0-19 (11)</v>
      </c>
      <c r="G802" s="27">
        <f>LEN(Tabela12[[#This Row],[Anilha]])</f>
        <v>13</v>
      </c>
      <c r="H802" s="21">
        <f>VLOOKUP(Tabela12[[#This Row],[Tag Cabo]],BD!A:F,6,0)</f>
        <v>1</v>
      </c>
      <c r="I802" s="27" t="s">
        <v>1705</v>
      </c>
      <c r="J802" s="27" t="s">
        <v>1706</v>
      </c>
    </row>
    <row r="803" spans="1:10" x14ac:dyDescent="0.25">
      <c r="A803" s="21" t="s">
        <v>1297</v>
      </c>
      <c r="B803" s="391" t="str">
        <f>VLOOKUP(Tabela12[[#This Row],[Painel]],Tabela13[],2,0)</f>
        <v>PERIF. IV</v>
      </c>
      <c r="C803" s="391" t="s">
        <v>1575</v>
      </c>
      <c r="D803" s="21" t="s">
        <v>1847</v>
      </c>
      <c r="E803" s="21">
        <v>12</v>
      </c>
      <c r="F803" s="21" t="str">
        <f>Tabela12[[#This Row],[Régua]]&amp;" ("&amp;Tabela12[[#This Row],[Born]]&amp;")"</f>
        <v>RB-A0-19 (12)</v>
      </c>
      <c r="G803" s="27">
        <f>LEN(Tabela12[[#This Row],[Anilha]])</f>
        <v>13</v>
      </c>
      <c r="H803" s="21">
        <f>VLOOKUP(Tabela12[[#This Row],[Tag Cabo]],BD!A:F,6,0)</f>
        <v>1</v>
      </c>
      <c r="I803" s="27" t="s">
        <v>1705</v>
      </c>
      <c r="J803" s="27" t="s">
        <v>1706</v>
      </c>
    </row>
    <row r="804" spans="1:10" x14ac:dyDescent="0.25">
      <c r="A804" s="21" t="s">
        <v>1297</v>
      </c>
      <c r="B804" s="391" t="str">
        <f>VLOOKUP(Tabela12[[#This Row],[Painel]],Tabela13[],2,0)</f>
        <v>Vários</v>
      </c>
      <c r="C804" s="391" t="s">
        <v>1574</v>
      </c>
      <c r="D804" s="21" t="s">
        <v>1848</v>
      </c>
      <c r="E804" s="21">
        <v>1</v>
      </c>
      <c r="F804" s="21" t="str">
        <f>Tabela12[[#This Row],[Régua]]&amp;" ("&amp;Tabela12[[#This Row],[Born]]&amp;")"</f>
        <v>TBAC01 (1)</v>
      </c>
      <c r="G804" s="27">
        <f>LEN(Tabela12[[#This Row],[Anilha]])</f>
        <v>10</v>
      </c>
      <c r="H804" s="21">
        <f>VLOOKUP(Tabela12[[#This Row],[Tag Cabo]],BD!A:F,6,0)</f>
        <v>1</v>
      </c>
      <c r="I804" s="27" t="s">
        <v>1705</v>
      </c>
      <c r="J804" s="27" t="s">
        <v>1706</v>
      </c>
    </row>
    <row r="805" spans="1:10" x14ac:dyDescent="0.25">
      <c r="A805" s="21" t="s">
        <v>1297</v>
      </c>
      <c r="B805" s="391" t="str">
        <f>VLOOKUP(Tabela12[[#This Row],[Painel]],Tabela13[],2,0)</f>
        <v>Vários</v>
      </c>
      <c r="C805" s="391" t="s">
        <v>1574</v>
      </c>
      <c r="D805" s="21" t="s">
        <v>1848</v>
      </c>
      <c r="E805" s="21">
        <v>2</v>
      </c>
      <c r="F805" s="21" t="str">
        <f>Tabela12[[#This Row],[Régua]]&amp;" ("&amp;Tabela12[[#This Row],[Born]]&amp;")"</f>
        <v>TBAC01 (2)</v>
      </c>
      <c r="G805" s="27">
        <f>LEN(Tabela12[[#This Row],[Anilha]])</f>
        <v>10</v>
      </c>
      <c r="H805" s="21">
        <f>VLOOKUP(Tabela12[[#This Row],[Tag Cabo]],BD!A:F,6,0)</f>
        <v>1</v>
      </c>
      <c r="I805" s="27" t="s">
        <v>1705</v>
      </c>
      <c r="J805" s="27" t="s">
        <v>1706</v>
      </c>
    </row>
    <row r="806" spans="1:10" x14ac:dyDescent="0.25">
      <c r="A806" s="216" t="s">
        <v>1338</v>
      </c>
      <c r="B806" s="45" t="str">
        <f>VLOOKUP(Tabela12[[#This Row],[Painel]],Tabela13[],2,0)</f>
        <v>GA-906E</v>
      </c>
      <c r="C806" s="45" t="s">
        <v>1333</v>
      </c>
      <c r="D806" s="21" t="s">
        <v>1858</v>
      </c>
      <c r="E806" s="21">
        <v>1</v>
      </c>
      <c r="F806" s="27" t="str">
        <f>Tabela12[[#This Row],[Régua]]&amp;" ("&amp;Tabela12[[#This Row],[Born]]&amp;")"</f>
        <v>S1 (1)</v>
      </c>
      <c r="G806" s="27">
        <f>LEN(Tabela12[[#This Row],[Anilha]])</f>
        <v>6</v>
      </c>
      <c r="H806" s="21" t="str">
        <f>VLOOKUP(Tabela12[[#This Row],[Tag Cabo]],BD!A:F,6,0)</f>
        <v>18AWG</v>
      </c>
      <c r="I806" s="27" t="s">
        <v>1705</v>
      </c>
      <c r="J806" s="27" t="s">
        <v>1706</v>
      </c>
    </row>
    <row r="807" spans="1:10" x14ac:dyDescent="0.25">
      <c r="A807" s="216" t="s">
        <v>1338</v>
      </c>
      <c r="B807" s="45" t="str">
        <f>VLOOKUP(Tabela12[[#This Row],[Painel]],Tabela13[],2,0)</f>
        <v>GA-906E</v>
      </c>
      <c r="C807" s="45" t="s">
        <v>1333</v>
      </c>
      <c r="D807" s="21" t="s">
        <v>1858</v>
      </c>
      <c r="E807" s="21">
        <v>2</v>
      </c>
      <c r="F807" s="27" t="str">
        <f>Tabela12[[#This Row],[Régua]]&amp;" ("&amp;Tabela12[[#This Row],[Born]]&amp;")"</f>
        <v>S1 (2)</v>
      </c>
      <c r="G807" s="27">
        <f>LEN(Tabela12[[#This Row],[Anilha]])</f>
        <v>6</v>
      </c>
      <c r="H807" s="21" t="str">
        <f>VLOOKUP(Tabela12[[#This Row],[Tag Cabo]],BD!A:F,6,0)</f>
        <v>18AWG</v>
      </c>
      <c r="I807" s="27" t="s">
        <v>1705</v>
      </c>
      <c r="J807" s="27" t="s">
        <v>1706</v>
      </c>
    </row>
    <row r="808" spans="1:10" x14ac:dyDescent="0.25">
      <c r="A808" s="216" t="s">
        <v>1338</v>
      </c>
      <c r="B808" s="45" t="str">
        <f>VLOOKUP(Tabela12[[#This Row],[Painel]],Tabela13[],2,0)</f>
        <v>GA-906E</v>
      </c>
      <c r="C808" s="45" t="s">
        <v>1333</v>
      </c>
      <c r="D808" s="21" t="s">
        <v>1858</v>
      </c>
      <c r="E808" s="21">
        <v>4</v>
      </c>
      <c r="F808" s="27" t="str">
        <f>Tabela12[[#This Row],[Régua]]&amp;" ("&amp;Tabela12[[#This Row],[Born]]&amp;")"</f>
        <v>S1 (4)</v>
      </c>
      <c r="G808" s="27">
        <f>LEN(Tabela12[[#This Row],[Anilha]])</f>
        <v>6</v>
      </c>
      <c r="H808" s="27" t="str">
        <f>VLOOKUP(Tabela12[[#This Row],[Tag Cabo]],BD!A:F,6,0)</f>
        <v>18AWG</v>
      </c>
      <c r="I808" s="27" t="s">
        <v>1705</v>
      </c>
      <c r="J808" s="27" t="s">
        <v>1706</v>
      </c>
    </row>
    <row r="809" spans="1:10" x14ac:dyDescent="0.25">
      <c r="A809" s="216" t="s">
        <v>1338</v>
      </c>
      <c r="B809" s="45" t="str">
        <f>VLOOKUP(Tabela12[[#This Row],[Painel]],Tabela13[],2,0)</f>
        <v>Vários</v>
      </c>
      <c r="C809" s="45" t="s">
        <v>1574</v>
      </c>
      <c r="D809" s="21" t="s">
        <v>1338</v>
      </c>
      <c r="E809" s="21" t="s">
        <v>1859</v>
      </c>
      <c r="F809" s="27" t="str">
        <f>Tabela12[[#This Row],[Régua]]&amp;" ("&amp;Tabela12[[#This Row],[Born]]&amp;")"</f>
        <v>FT-90223 (T)</v>
      </c>
      <c r="G809" s="27">
        <f>LEN(Tabela12[[#This Row],[Anilha]])</f>
        <v>12</v>
      </c>
      <c r="H809" s="27" t="str">
        <f>VLOOKUP(Tabela12[[#This Row],[Tag Cabo]],BD!A:F,6,0)</f>
        <v>18AWG</v>
      </c>
      <c r="I809" s="27" t="s">
        <v>1705</v>
      </c>
      <c r="J809" s="27" t="s">
        <v>1706</v>
      </c>
    </row>
    <row r="810" spans="1:10" x14ac:dyDescent="0.25">
      <c r="A810" s="216" t="s">
        <v>1338</v>
      </c>
      <c r="B810" s="45" t="str">
        <f>VLOOKUP(Tabela12[[#This Row],[Painel]],Tabela13[],2,0)</f>
        <v>Vários</v>
      </c>
      <c r="C810" s="45" t="s">
        <v>1574</v>
      </c>
      <c r="D810" s="21" t="s">
        <v>1338</v>
      </c>
      <c r="E810" s="21" t="s">
        <v>1760</v>
      </c>
      <c r="F810" s="27" t="str">
        <f>Tabela12[[#This Row],[Régua]]&amp;" ("&amp;Tabela12[[#This Row],[Born]]&amp;")"</f>
        <v>FT-90223 (+)</v>
      </c>
      <c r="G810" s="27">
        <f>LEN(Tabela12[[#This Row],[Anilha]])</f>
        <v>12</v>
      </c>
      <c r="H810" s="21" t="str">
        <f>VLOOKUP(Tabela12[[#This Row],[Tag Cabo]],BD!A:F,6,0)</f>
        <v>18AWG</v>
      </c>
      <c r="I810" s="27" t="s">
        <v>1705</v>
      </c>
      <c r="J810" s="27" t="s">
        <v>1706</v>
      </c>
    </row>
    <row r="811" spans="1:10" x14ac:dyDescent="0.25">
      <c r="A811" s="216" t="s">
        <v>1338</v>
      </c>
      <c r="B811" s="45" t="str">
        <f>VLOOKUP(Tabela12[[#This Row],[Painel]],Tabela13[],2,0)</f>
        <v>Vários</v>
      </c>
      <c r="C811" s="45" t="s">
        <v>1574</v>
      </c>
      <c r="D811" s="21" t="s">
        <v>1338</v>
      </c>
      <c r="E811" s="21" t="s">
        <v>92</v>
      </c>
      <c r="F811" s="27" t="str">
        <f>Tabela12[[#This Row],[Régua]]&amp;" ("&amp;Tabela12[[#This Row],[Born]]&amp;")"</f>
        <v>FT-90223 (-)</v>
      </c>
      <c r="G811" s="27">
        <f>LEN(Tabela12[[#This Row],[Anilha]])</f>
        <v>12</v>
      </c>
      <c r="H811" s="21" t="str">
        <f>VLOOKUP(Tabela12[[#This Row],[Tag Cabo]],BD!A:F,6,0)</f>
        <v>18AWG</v>
      </c>
      <c r="I811" s="27" t="s">
        <v>1705</v>
      </c>
      <c r="J811" s="27" t="s">
        <v>1706</v>
      </c>
    </row>
    <row r="812" spans="1:10" x14ac:dyDescent="0.25">
      <c r="A812" s="216" t="s">
        <v>1360</v>
      </c>
      <c r="B812" s="45" t="str">
        <f>VLOOKUP(Tabela12[[#This Row],[Painel]],Tabela13[],2,0)</f>
        <v>GA-9312/S</v>
      </c>
      <c r="C812" s="45" t="s">
        <v>1347</v>
      </c>
      <c r="D812" s="21" t="s">
        <v>1858</v>
      </c>
      <c r="E812" s="21">
        <v>1</v>
      </c>
      <c r="F812" s="27" t="str">
        <f>Tabela12[[#This Row],[Régua]]&amp;" ("&amp;Tabela12[[#This Row],[Born]]&amp;")"</f>
        <v>S1 (1)</v>
      </c>
      <c r="G812" s="27">
        <f>LEN(Tabela12[[#This Row],[Anilha]])</f>
        <v>6</v>
      </c>
      <c r="H812" s="21" t="str">
        <f>VLOOKUP(Tabela12[[#This Row],[Tag Cabo]],BD!A:F,6,0)</f>
        <v>18AWG</v>
      </c>
      <c r="I812" s="27" t="s">
        <v>1705</v>
      </c>
      <c r="J812" s="27" t="s">
        <v>1706</v>
      </c>
    </row>
    <row r="813" spans="1:10" x14ac:dyDescent="0.25">
      <c r="A813" s="216" t="s">
        <v>1360</v>
      </c>
      <c r="B813" s="45" t="str">
        <f>VLOOKUP(Tabela12[[#This Row],[Painel]],Tabela13[],2,0)</f>
        <v>GA-9312/S</v>
      </c>
      <c r="C813" s="45" t="s">
        <v>1347</v>
      </c>
      <c r="D813" s="21" t="s">
        <v>1858</v>
      </c>
      <c r="E813" s="21">
        <v>2</v>
      </c>
      <c r="F813" s="27" t="str">
        <f>Tabela12[[#This Row],[Régua]]&amp;" ("&amp;Tabela12[[#This Row],[Born]]&amp;")"</f>
        <v>S1 (2)</v>
      </c>
      <c r="G813" s="27">
        <f>LEN(Tabela12[[#This Row],[Anilha]])</f>
        <v>6</v>
      </c>
      <c r="H813" s="21" t="str">
        <f>VLOOKUP(Tabela12[[#This Row],[Tag Cabo]],BD!A:F,6,0)</f>
        <v>18AWG</v>
      </c>
      <c r="I813" s="27" t="s">
        <v>1705</v>
      </c>
      <c r="J813" s="27" t="s">
        <v>1706</v>
      </c>
    </row>
    <row r="814" spans="1:10" x14ac:dyDescent="0.25">
      <c r="A814" s="216" t="s">
        <v>1360</v>
      </c>
      <c r="B814" s="45" t="str">
        <f>VLOOKUP(Tabela12[[#This Row],[Painel]],Tabela13[],2,0)</f>
        <v>GA-9312/S</v>
      </c>
      <c r="C814" s="45" t="s">
        <v>1347</v>
      </c>
      <c r="D814" s="21" t="s">
        <v>1858</v>
      </c>
      <c r="E814" s="21">
        <v>3</v>
      </c>
      <c r="F814" s="27" t="str">
        <f>Tabela12[[#This Row],[Régua]]&amp;" ("&amp;Tabela12[[#This Row],[Born]]&amp;")"</f>
        <v>S1 (3)</v>
      </c>
      <c r="G814" s="27">
        <f>LEN(Tabela12[[#This Row],[Anilha]])</f>
        <v>6</v>
      </c>
      <c r="H814" s="21" t="str">
        <f>VLOOKUP(Tabela12[[#This Row],[Tag Cabo]],BD!A:F,6,0)</f>
        <v>18AWG</v>
      </c>
      <c r="I814" s="27" t="s">
        <v>1705</v>
      </c>
      <c r="J814" s="27" t="s">
        <v>1706</v>
      </c>
    </row>
    <row r="815" spans="1:10" x14ac:dyDescent="0.25">
      <c r="A815" s="216" t="s">
        <v>1360</v>
      </c>
      <c r="B815" s="45" t="str">
        <f>VLOOKUP(Tabela12[[#This Row],[Painel]],Tabela13[],2,0)</f>
        <v>Vários</v>
      </c>
      <c r="C815" s="45" t="s">
        <v>1574</v>
      </c>
      <c r="D815" s="21" t="s">
        <v>1360</v>
      </c>
      <c r="E815" s="21" t="s">
        <v>1760</v>
      </c>
      <c r="F815" s="27" t="str">
        <f>Tabela12[[#This Row],[Régua]]&amp;" ("&amp;Tabela12[[#This Row],[Born]]&amp;")"</f>
        <v>FT-90248 (+)</v>
      </c>
      <c r="G815" s="27">
        <f>LEN(Tabela12[[#This Row],[Anilha]])</f>
        <v>12</v>
      </c>
      <c r="H815" s="21" t="str">
        <f>VLOOKUP(Tabela12[[#This Row],[Tag Cabo]],BD!A:F,6,0)</f>
        <v>18AWG</v>
      </c>
      <c r="I815" s="27" t="s">
        <v>1705</v>
      </c>
      <c r="J815" s="27" t="s">
        <v>1706</v>
      </c>
    </row>
    <row r="816" spans="1:10" x14ac:dyDescent="0.25">
      <c r="A816" s="216" t="s">
        <v>1360</v>
      </c>
      <c r="B816" s="45" t="str">
        <f>VLOOKUP(Tabela12[[#This Row],[Painel]],Tabela13[],2,0)</f>
        <v>Vários</v>
      </c>
      <c r="C816" s="45" t="s">
        <v>1574</v>
      </c>
      <c r="D816" s="21" t="s">
        <v>1360</v>
      </c>
      <c r="E816" s="21" t="s">
        <v>92</v>
      </c>
      <c r="F816" s="27" t="str">
        <f>Tabela12[[#This Row],[Régua]]&amp;" ("&amp;Tabela12[[#This Row],[Born]]&amp;")"</f>
        <v>FT-90248 (-)</v>
      </c>
      <c r="G816" s="27">
        <f>LEN(Tabela12[[#This Row],[Anilha]])</f>
        <v>12</v>
      </c>
      <c r="H816" s="21" t="str">
        <f>VLOOKUP(Tabela12[[#This Row],[Tag Cabo]],BD!A:F,6,0)</f>
        <v>18AWG</v>
      </c>
      <c r="I816" s="27" t="s">
        <v>1705</v>
      </c>
      <c r="J816" s="27" t="s">
        <v>1706</v>
      </c>
    </row>
    <row r="817" spans="1:10" x14ac:dyDescent="0.25">
      <c r="A817" s="216" t="s">
        <v>1360</v>
      </c>
      <c r="B817" s="45" t="str">
        <f>VLOOKUP(Tabela12[[#This Row],[Painel]],Tabela13[],2,0)</f>
        <v>Vários</v>
      </c>
      <c r="C817" s="45" t="s">
        <v>1574</v>
      </c>
      <c r="D817" s="21" t="s">
        <v>1360</v>
      </c>
      <c r="E817" s="21" t="s">
        <v>1859</v>
      </c>
      <c r="F817" s="27" t="str">
        <f>Tabela12[[#This Row],[Régua]]&amp;" ("&amp;Tabela12[[#This Row],[Born]]&amp;")"</f>
        <v>FT-90248 (T)</v>
      </c>
      <c r="G817" s="27">
        <f>LEN(Tabela12[[#This Row],[Anilha]])</f>
        <v>12</v>
      </c>
      <c r="H817" s="21" t="str">
        <f>VLOOKUP(Tabela12[[#This Row],[Tag Cabo]],BD!A:F,6,0)</f>
        <v>18AWG</v>
      </c>
      <c r="I817" s="27" t="s">
        <v>1705</v>
      </c>
      <c r="J817" s="27" t="s">
        <v>1706</v>
      </c>
    </row>
    <row r="818" spans="1:10" x14ac:dyDescent="0.25">
      <c r="A818" s="216" t="s">
        <v>1348</v>
      </c>
      <c r="B818" s="45" t="str">
        <f>VLOOKUP(Tabela12[[#This Row],[Painel]],Tabela13[],2,0)</f>
        <v>GA-9312/S</v>
      </c>
      <c r="C818" s="45" t="s">
        <v>1347</v>
      </c>
      <c r="D818" s="21" t="s">
        <v>1860</v>
      </c>
      <c r="E818" s="21">
        <v>1</v>
      </c>
      <c r="F818" s="27" t="str">
        <f>Tabela12[[#This Row],[Régua]]&amp;" ("&amp;Tabela12[[#This Row],[Born]]&amp;")"</f>
        <v>S5 (1)</v>
      </c>
      <c r="G818" s="27">
        <f>LEN(Tabela12[[#This Row],[Anilha]])</f>
        <v>6</v>
      </c>
      <c r="H818" s="21" t="str">
        <f>VLOOKUP(Tabela12[[#This Row],[Tag Cabo]],BD!A:F,6,0)</f>
        <v>18AWG</v>
      </c>
      <c r="I818" s="27" t="s">
        <v>1705</v>
      </c>
      <c r="J818" s="27" t="s">
        <v>1706</v>
      </c>
    </row>
    <row r="819" spans="1:10" x14ac:dyDescent="0.25">
      <c r="A819" s="216" t="s">
        <v>1348</v>
      </c>
      <c r="B819" s="45" t="str">
        <f>VLOOKUP(Tabela12[[#This Row],[Painel]],Tabela13[],2,0)</f>
        <v>GA-9312/S</v>
      </c>
      <c r="C819" s="45" t="s">
        <v>1347</v>
      </c>
      <c r="D819" s="21" t="s">
        <v>1860</v>
      </c>
      <c r="E819" s="21">
        <v>2</v>
      </c>
      <c r="F819" s="27" t="str">
        <f>Tabela12[[#This Row],[Régua]]&amp;" ("&amp;Tabela12[[#This Row],[Born]]&amp;")"</f>
        <v>S5 (2)</v>
      </c>
      <c r="G819" s="27">
        <f>LEN(Tabela12[[#This Row],[Anilha]])</f>
        <v>6</v>
      </c>
      <c r="H819" s="21" t="str">
        <f>VLOOKUP(Tabela12[[#This Row],[Tag Cabo]],BD!A:F,6,0)</f>
        <v>18AWG</v>
      </c>
      <c r="I819" s="27" t="s">
        <v>1705</v>
      </c>
      <c r="J819" s="27" t="s">
        <v>1706</v>
      </c>
    </row>
    <row r="820" spans="1:10" x14ac:dyDescent="0.25">
      <c r="A820" s="216" t="s">
        <v>1348</v>
      </c>
      <c r="B820" s="45" t="str">
        <f>VLOOKUP(Tabela12[[#This Row],[Painel]],Tabela13[],2,0)</f>
        <v>GA-9312/S</v>
      </c>
      <c r="C820" s="45" t="s">
        <v>1347</v>
      </c>
      <c r="D820" s="21" t="s">
        <v>1860</v>
      </c>
      <c r="E820" s="21">
        <v>3</v>
      </c>
      <c r="F820" s="27" t="str">
        <f>Tabela12[[#This Row],[Régua]]&amp;" ("&amp;Tabela12[[#This Row],[Born]]&amp;")"</f>
        <v>S5 (3)</v>
      </c>
      <c r="G820" s="27">
        <f>LEN(Tabela12[[#This Row],[Anilha]])</f>
        <v>6</v>
      </c>
      <c r="H820" s="21" t="str">
        <f>VLOOKUP(Tabela12[[#This Row],[Tag Cabo]],BD!A:F,6,0)</f>
        <v>18AWG</v>
      </c>
      <c r="I820" s="27" t="s">
        <v>1705</v>
      </c>
      <c r="J820" s="27" t="s">
        <v>1706</v>
      </c>
    </row>
    <row r="821" spans="1:10" x14ac:dyDescent="0.25">
      <c r="A821" s="216" t="s">
        <v>1348</v>
      </c>
      <c r="B821" s="45" t="str">
        <f>VLOOKUP(Tabela12[[#This Row],[Painel]],Tabela13[],2,0)</f>
        <v>Vários</v>
      </c>
      <c r="C821" s="45" t="s">
        <v>1574</v>
      </c>
      <c r="D821" s="216" t="s">
        <v>1348</v>
      </c>
      <c r="E821" s="21" t="s">
        <v>1760</v>
      </c>
      <c r="F821" s="27" t="str">
        <f>Tabela12[[#This Row],[Régua]]&amp;" ("&amp;Tabela12[[#This Row],[Born]]&amp;")"</f>
        <v>FT-90252 (+)</v>
      </c>
      <c r="G821" s="27">
        <f>LEN(Tabela12[[#This Row],[Anilha]])</f>
        <v>12</v>
      </c>
      <c r="H821" s="21" t="str">
        <f>VLOOKUP(Tabela12[[#This Row],[Tag Cabo]],BD!A:F,6,0)</f>
        <v>18AWG</v>
      </c>
      <c r="I821" s="27" t="s">
        <v>1705</v>
      </c>
      <c r="J821" s="27" t="s">
        <v>1706</v>
      </c>
    </row>
    <row r="822" spans="1:10" x14ac:dyDescent="0.25">
      <c r="A822" s="216" t="s">
        <v>1348</v>
      </c>
      <c r="B822" s="45" t="str">
        <f>VLOOKUP(Tabela12[[#This Row],[Painel]],Tabela13[],2,0)</f>
        <v>Vários</v>
      </c>
      <c r="C822" s="45" t="s">
        <v>1574</v>
      </c>
      <c r="D822" s="216" t="s">
        <v>1348</v>
      </c>
      <c r="E822" s="21" t="s">
        <v>92</v>
      </c>
      <c r="F822" s="27" t="str">
        <f>Tabela12[[#This Row],[Régua]]&amp;" ("&amp;Tabela12[[#This Row],[Born]]&amp;")"</f>
        <v>FT-90252 (-)</v>
      </c>
      <c r="G822" s="27">
        <f>LEN(Tabela12[[#This Row],[Anilha]])</f>
        <v>12</v>
      </c>
      <c r="H822" s="21" t="str">
        <f>VLOOKUP(Tabela12[[#This Row],[Tag Cabo]],BD!A:F,6,0)</f>
        <v>18AWG</v>
      </c>
      <c r="I822" s="27" t="s">
        <v>1705</v>
      </c>
      <c r="J822" s="27" t="s">
        <v>1706</v>
      </c>
    </row>
    <row r="823" spans="1:10" x14ac:dyDescent="0.25">
      <c r="A823" s="216" t="s">
        <v>1348</v>
      </c>
      <c r="B823" s="45" t="str">
        <f>VLOOKUP(Tabela12[[#This Row],[Painel]],Tabela13[],2,0)</f>
        <v>Vários</v>
      </c>
      <c r="C823" s="45" t="s">
        <v>1574</v>
      </c>
      <c r="D823" s="216" t="s">
        <v>1348</v>
      </c>
      <c r="E823" s="21" t="s">
        <v>1859</v>
      </c>
      <c r="F823" s="27" t="str">
        <f>Tabela12[[#This Row],[Régua]]&amp;" ("&amp;Tabela12[[#This Row],[Born]]&amp;")"</f>
        <v>FT-90252 (T)</v>
      </c>
      <c r="G823" s="27">
        <f>LEN(Tabela12[[#This Row],[Anilha]])</f>
        <v>12</v>
      </c>
      <c r="H823" s="21" t="str">
        <f>VLOOKUP(Tabela12[[#This Row],[Tag Cabo]],BD!A:F,6,0)</f>
        <v>18AWG</v>
      </c>
      <c r="I823" s="27" t="s">
        <v>1705</v>
      </c>
      <c r="J823" s="27" t="s">
        <v>1706</v>
      </c>
    </row>
    <row r="824" spans="1:10" x14ac:dyDescent="0.25">
      <c r="A824" s="216" t="s">
        <v>1332</v>
      </c>
      <c r="B824" s="45" t="str">
        <f>VLOOKUP(Tabela12[[#This Row],[Painel]],Tabela13[],2,0)</f>
        <v>GA-906E</v>
      </c>
      <c r="C824" s="45" t="s">
        <v>1333</v>
      </c>
      <c r="D824" s="21" t="s">
        <v>1858</v>
      </c>
      <c r="E824" s="21">
        <v>1</v>
      </c>
      <c r="F824" s="27" t="str">
        <f>Tabela12[[#This Row],[Régua]]&amp;" ("&amp;Tabela12[[#This Row],[Born]]&amp;")"</f>
        <v>S1 (1)</v>
      </c>
      <c r="G824" s="27">
        <f>LEN(Tabela12[[#This Row],[Anilha]])</f>
        <v>6</v>
      </c>
      <c r="H824" s="21" t="str">
        <f>VLOOKUP(Tabela12[[#This Row],[Tag Cabo]],BD!A:F,6,0)</f>
        <v>18AWG</v>
      </c>
      <c r="I824" s="27" t="s">
        <v>1705</v>
      </c>
      <c r="J824" s="27" t="s">
        <v>1706</v>
      </c>
    </row>
    <row r="825" spans="1:10" x14ac:dyDescent="0.25">
      <c r="A825" s="216" t="s">
        <v>1332</v>
      </c>
      <c r="B825" s="45" t="str">
        <f>VLOOKUP(Tabela12[[#This Row],[Painel]],Tabela13[],2,0)</f>
        <v>GA-906E</v>
      </c>
      <c r="C825" s="45" t="s">
        <v>1333</v>
      </c>
      <c r="D825" s="21" t="s">
        <v>1858</v>
      </c>
      <c r="E825" s="21">
        <v>2</v>
      </c>
      <c r="F825" s="27" t="str">
        <f>Tabela12[[#This Row],[Régua]]&amp;" ("&amp;Tabela12[[#This Row],[Born]]&amp;")"</f>
        <v>S1 (2)</v>
      </c>
      <c r="G825" s="27">
        <f>LEN(Tabela12[[#This Row],[Anilha]])</f>
        <v>6</v>
      </c>
      <c r="H825" s="21" t="str">
        <f>VLOOKUP(Tabela12[[#This Row],[Tag Cabo]],BD!A:F,6,0)</f>
        <v>18AWG</v>
      </c>
      <c r="I825" s="27" t="s">
        <v>1705</v>
      </c>
      <c r="J825" s="27" t="s">
        <v>1706</v>
      </c>
    </row>
    <row r="826" spans="1:10" x14ac:dyDescent="0.25">
      <c r="A826" s="216" t="s">
        <v>1332</v>
      </c>
      <c r="B826" s="45" t="str">
        <f>VLOOKUP(Tabela12[[#This Row],[Painel]],Tabela13[],2,0)</f>
        <v>GA-906E</v>
      </c>
      <c r="C826" s="45" t="s">
        <v>1333</v>
      </c>
      <c r="D826" s="21" t="s">
        <v>1858</v>
      </c>
      <c r="E826" s="21">
        <v>3</v>
      </c>
      <c r="F826" s="27" t="str">
        <f>Tabela12[[#This Row],[Régua]]&amp;" ("&amp;Tabela12[[#This Row],[Born]]&amp;")"</f>
        <v>S1 (3)</v>
      </c>
      <c r="G826" s="27">
        <f>LEN(Tabela12[[#This Row],[Anilha]])</f>
        <v>6</v>
      </c>
      <c r="H826" s="21" t="str">
        <f>VLOOKUP(Tabela12[[#This Row],[Tag Cabo]],BD!A:F,6,0)</f>
        <v>18AWG</v>
      </c>
      <c r="I826" s="27" t="s">
        <v>1705</v>
      </c>
      <c r="J826" s="27" t="s">
        <v>1706</v>
      </c>
    </row>
    <row r="827" spans="1:10" x14ac:dyDescent="0.25">
      <c r="A827" s="216" t="s">
        <v>1332</v>
      </c>
      <c r="B827" s="45" t="str">
        <f>VLOOKUP(Tabela12[[#This Row],[Painel]],Tabela13[],2,0)</f>
        <v>Vários</v>
      </c>
      <c r="C827" s="45" t="s">
        <v>1574</v>
      </c>
      <c r="D827" s="216" t="s">
        <v>1332</v>
      </c>
      <c r="E827" s="21" t="s">
        <v>1760</v>
      </c>
      <c r="F827" s="27" t="str">
        <f>Tabela12[[#This Row],[Régua]]&amp;" ("&amp;Tabela12[[#This Row],[Born]]&amp;")"</f>
        <v>FV-90223 (+)</v>
      </c>
      <c r="G827" s="27">
        <f>LEN(Tabela12[[#This Row],[Anilha]])</f>
        <v>12</v>
      </c>
      <c r="H827" s="21" t="str">
        <f>VLOOKUP(Tabela12[[#This Row],[Tag Cabo]],BD!A:F,6,0)</f>
        <v>18AWG</v>
      </c>
      <c r="I827" s="27" t="s">
        <v>1705</v>
      </c>
      <c r="J827" s="27" t="s">
        <v>1706</v>
      </c>
    </row>
    <row r="828" spans="1:10" x14ac:dyDescent="0.25">
      <c r="A828" s="216" t="s">
        <v>1332</v>
      </c>
      <c r="B828" s="45" t="str">
        <f>VLOOKUP(Tabela12[[#This Row],[Painel]],Tabela13[],2,0)</f>
        <v>Vários</v>
      </c>
      <c r="C828" s="45" t="s">
        <v>1574</v>
      </c>
      <c r="D828" s="216" t="s">
        <v>1332</v>
      </c>
      <c r="E828" s="21" t="s">
        <v>92</v>
      </c>
      <c r="F828" s="27" t="str">
        <f>Tabela12[[#This Row],[Régua]]&amp;" ("&amp;Tabela12[[#This Row],[Born]]&amp;")"</f>
        <v>FV-90223 (-)</v>
      </c>
      <c r="G828" s="27">
        <f>LEN(Tabela12[[#This Row],[Anilha]])</f>
        <v>12</v>
      </c>
      <c r="H828" s="21" t="str">
        <f>VLOOKUP(Tabela12[[#This Row],[Tag Cabo]],BD!A:F,6,0)</f>
        <v>18AWG</v>
      </c>
      <c r="I828" s="27" t="s">
        <v>1705</v>
      </c>
      <c r="J828" s="27" t="s">
        <v>1706</v>
      </c>
    </row>
    <row r="829" spans="1:10" x14ac:dyDescent="0.25">
      <c r="A829" s="216" t="s">
        <v>1332</v>
      </c>
      <c r="B829" s="45" t="str">
        <f>VLOOKUP(Tabela12[[#This Row],[Painel]],Tabela13[],2,0)</f>
        <v>Vários</v>
      </c>
      <c r="C829" s="45" t="s">
        <v>1574</v>
      </c>
      <c r="D829" s="216" t="s">
        <v>1332</v>
      </c>
      <c r="E829" s="21" t="s">
        <v>1859</v>
      </c>
      <c r="F829" s="27" t="str">
        <f>Tabela12[[#This Row],[Régua]]&amp;" ("&amp;Tabela12[[#This Row],[Born]]&amp;")"</f>
        <v>FV-90223 (T)</v>
      </c>
      <c r="G829" s="27">
        <f>LEN(Tabela12[[#This Row],[Anilha]])</f>
        <v>12</v>
      </c>
      <c r="H829" s="21" t="str">
        <f>VLOOKUP(Tabela12[[#This Row],[Tag Cabo]],BD!A:F,6,0)</f>
        <v>18AWG</v>
      </c>
      <c r="I829" s="27" t="s">
        <v>1705</v>
      </c>
      <c r="J829" s="27" t="s">
        <v>1706</v>
      </c>
    </row>
    <row r="830" spans="1:10" x14ac:dyDescent="0.25">
      <c r="A830" s="216" t="s">
        <v>1354</v>
      </c>
      <c r="B830" s="45" t="str">
        <f>VLOOKUP(Tabela12[[#This Row],[Painel]],Tabela13[],2,0)</f>
        <v>GA-9312/S</v>
      </c>
      <c r="C830" s="45" t="s">
        <v>1347</v>
      </c>
      <c r="D830" s="21" t="s">
        <v>1858</v>
      </c>
      <c r="E830" s="21">
        <v>1</v>
      </c>
      <c r="F830" s="27" t="str">
        <f>Tabela12[[#This Row],[Régua]]&amp;" ("&amp;Tabela12[[#This Row],[Born]]&amp;")"</f>
        <v>S1 (1)</v>
      </c>
      <c r="G830" s="27">
        <f>LEN(Tabela12[[#This Row],[Anilha]])</f>
        <v>6</v>
      </c>
      <c r="H830" s="21" t="str">
        <f>VLOOKUP(Tabela12[[#This Row],[Tag Cabo]],BD!A:F,6,0)</f>
        <v>18AWG</v>
      </c>
      <c r="I830" s="27" t="s">
        <v>1705</v>
      </c>
      <c r="J830" s="27" t="s">
        <v>1706</v>
      </c>
    </row>
    <row r="831" spans="1:10" x14ac:dyDescent="0.25">
      <c r="A831" s="216" t="s">
        <v>1354</v>
      </c>
      <c r="B831" s="45" t="str">
        <f>VLOOKUP(Tabela12[[#This Row],[Painel]],Tabela13[],2,0)</f>
        <v>GA-9312/S</v>
      </c>
      <c r="C831" s="45" t="s">
        <v>1347</v>
      </c>
      <c r="D831" s="21" t="s">
        <v>1858</v>
      </c>
      <c r="E831" s="21">
        <v>2</v>
      </c>
      <c r="F831" s="27" t="str">
        <f>Tabela12[[#This Row],[Régua]]&amp;" ("&amp;Tabela12[[#This Row],[Born]]&amp;")"</f>
        <v>S1 (2)</v>
      </c>
      <c r="G831" s="27">
        <f>LEN(Tabela12[[#This Row],[Anilha]])</f>
        <v>6</v>
      </c>
      <c r="H831" s="21" t="str">
        <f>VLOOKUP(Tabela12[[#This Row],[Tag Cabo]],BD!A:F,6,0)</f>
        <v>18AWG</v>
      </c>
      <c r="I831" s="27" t="s">
        <v>1705</v>
      </c>
      <c r="J831" s="27" t="s">
        <v>1706</v>
      </c>
    </row>
    <row r="832" spans="1:10" x14ac:dyDescent="0.25">
      <c r="A832" s="216" t="s">
        <v>1354</v>
      </c>
      <c r="B832" s="45" t="str">
        <f>VLOOKUP(Tabela12[[#This Row],[Painel]],Tabela13[],2,0)</f>
        <v>GA-9312/S</v>
      </c>
      <c r="C832" s="45" t="s">
        <v>1347</v>
      </c>
      <c r="D832" s="21" t="s">
        <v>1858</v>
      </c>
      <c r="E832" s="21">
        <v>3</v>
      </c>
      <c r="F832" s="27" t="str">
        <f>Tabela12[[#This Row],[Régua]]&amp;" ("&amp;Tabela12[[#This Row],[Born]]&amp;")"</f>
        <v>S1 (3)</v>
      </c>
      <c r="G832" s="27">
        <f>LEN(Tabela12[[#This Row],[Anilha]])</f>
        <v>6</v>
      </c>
      <c r="H832" s="21" t="str">
        <f>VLOOKUP(Tabela12[[#This Row],[Tag Cabo]],BD!A:F,6,0)</f>
        <v>18AWG</v>
      </c>
      <c r="I832" s="27" t="s">
        <v>1705</v>
      </c>
      <c r="J832" s="27" t="s">
        <v>1706</v>
      </c>
    </row>
    <row r="833" spans="1:10" x14ac:dyDescent="0.25">
      <c r="A833" s="216" t="s">
        <v>1354</v>
      </c>
      <c r="B833" s="45" t="str">
        <f>VLOOKUP(Tabela12[[#This Row],[Painel]],Tabela13[],2,0)</f>
        <v>Vários</v>
      </c>
      <c r="C833" s="45" t="s">
        <v>1574</v>
      </c>
      <c r="D833" s="216" t="s">
        <v>1354</v>
      </c>
      <c r="E833" s="21" t="s">
        <v>1760</v>
      </c>
      <c r="F833" s="27" t="str">
        <f>Tabela12[[#This Row],[Régua]]&amp;" ("&amp;Tabela12[[#This Row],[Born]]&amp;")"</f>
        <v>FV-90248 (+)</v>
      </c>
      <c r="G833" s="27">
        <f>LEN(Tabela12[[#This Row],[Anilha]])</f>
        <v>12</v>
      </c>
      <c r="H833" s="21" t="str">
        <f>VLOOKUP(Tabela12[[#This Row],[Tag Cabo]],BD!A:F,6,0)</f>
        <v>18AWG</v>
      </c>
      <c r="I833" s="27" t="s">
        <v>1705</v>
      </c>
      <c r="J833" s="27" t="s">
        <v>1706</v>
      </c>
    </row>
    <row r="834" spans="1:10" x14ac:dyDescent="0.25">
      <c r="A834" s="216" t="s">
        <v>1354</v>
      </c>
      <c r="B834" s="45" t="str">
        <f>VLOOKUP(Tabela12[[#This Row],[Painel]],Tabela13[],2,0)</f>
        <v>Vários</v>
      </c>
      <c r="C834" s="45" t="s">
        <v>1574</v>
      </c>
      <c r="D834" s="216" t="s">
        <v>1354</v>
      </c>
      <c r="E834" s="21" t="s">
        <v>92</v>
      </c>
      <c r="F834" s="27" t="str">
        <f>Tabela12[[#This Row],[Régua]]&amp;" ("&amp;Tabela12[[#This Row],[Born]]&amp;")"</f>
        <v>FV-90248 (-)</v>
      </c>
      <c r="G834" s="27">
        <f>LEN(Tabela12[[#This Row],[Anilha]])</f>
        <v>12</v>
      </c>
      <c r="H834" s="21" t="str">
        <f>VLOOKUP(Tabela12[[#This Row],[Tag Cabo]],BD!A:F,6,0)</f>
        <v>18AWG</v>
      </c>
      <c r="I834" s="27" t="s">
        <v>1705</v>
      </c>
      <c r="J834" s="27" t="s">
        <v>1706</v>
      </c>
    </row>
    <row r="835" spans="1:10" x14ac:dyDescent="0.25">
      <c r="A835" s="216" t="s">
        <v>1354</v>
      </c>
      <c r="B835" s="45" t="str">
        <f>VLOOKUP(Tabela12[[#This Row],[Painel]],Tabela13[],2,0)</f>
        <v>Vários</v>
      </c>
      <c r="C835" s="45" t="s">
        <v>1574</v>
      </c>
      <c r="D835" s="216" t="s">
        <v>1354</v>
      </c>
      <c r="E835" s="21" t="s">
        <v>1859</v>
      </c>
      <c r="F835" s="27" t="str">
        <f>Tabela12[[#This Row],[Régua]]&amp;" ("&amp;Tabela12[[#This Row],[Born]]&amp;")"</f>
        <v>FV-90248 (T)</v>
      </c>
      <c r="G835" s="27">
        <f>LEN(Tabela12[[#This Row],[Anilha]])</f>
        <v>12</v>
      </c>
      <c r="H835" s="21" t="str">
        <f>VLOOKUP(Tabela12[[#This Row],[Tag Cabo]],BD!A:F,6,0)</f>
        <v>18AWG</v>
      </c>
      <c r="I835" s="27" t="s">
        <v>1705</v>
      </c>
      <c r="J835" s="27" t="s">
        <v>1706</v>
      </c>
    </row>
    <row r="836" spans="1:10" x14ac:dyDescent="0.25">
      <c r="A836" s="216" t="s">
        <v>1346</v>
      </c>
      <c r="B836" s="45" t="str">
        <f>VLOOKUP(Tabela12[[#This Row],[Painel]],Tabela13[],2,0)</f>
        <v>GA-9312/S</v>
      </c>
      <c r="C836" s="45" t="s">
        <v>1347</v>
      </c>
      <c r="D836" s="21" t="s">
        <v>1861</v>
      </c>
      <c r="E836" s="21">
        <v>1</v>
      </c>
      <c r="F836" s="27" t="str">
        <f>Tabela12[[#This Row],[Régua]]&amp;" ("&amp;Tabela12[[#This Row],[Born]]&amp;")"</f>
        <v>S4 (1)</v>
      </c>
      <c r="G836" s="27">
        <f>LEN(Tabela12[[#This Row],[Anilha]])</f>
        <v>6</v>
      </c>
      <c r="H836" s="21" t="str">
        <f>VLOOKUP(Tabela12[[#This Row],[Tag Cabo]],BD!A:F,6,0)</f>
        <v>18AWG</v>
      </c>
      <c r="I836" s="27" t="s">
        <v>1705</v>
      </c>
      <c r="J836" s="27" t="s">
        <v>1706</v>
      </c>
    </row>
    <row r="837" spans="1:10" x14ac:dyDescent="0.25">
      <c r="A837" s="216" t="s">
        <v>1346</v>
      </c>
      <c r="B837" s="45" t="str">
        <f>VLOOKUP(Tabela12[[#This Row],[Painel]],Tabela13[],2,0)</f>
        <v>GA-9312/S</v>
      </c>
      <c r="C837" s="45" t="s">
        <v>1347</v>
      </c>
      <c r="D837" s="21" t="s">
        <v>1861</v>
      </c>
      <c r="E837" s="21">
        <v>2</v>
      </c>
      <c r="F837" s="27" t="str">
        <f>Tabela12[[#This Row],[Régua]]&amp;" ("&amp;Tabela12[[#This Row],[Born]]&amp;")"</f>
        <v>S4 (2)</v>
      </c>
      <c r="G837" s="27">
        <f>LEN(Tabela12[[#This Row],[Anilha]])</f>
        <v>6</v>
      </c>
      <c r="H837" s="21" t="str">
        <f>VLOOKUP(Tabela12[[#This Row],[Tag Cabo]],BD!A:F,6,0)</f>
        <v>18AWG</v>
      </c>
      <c r="I837" s="27" t="s">
        <v>1705</v>
      </c>
      <c r="J837" s="27" t="s">
        <v>1706</v>
      </c>
    </row>
    <row r="838" spans="1:10" x14ac:dyDescent="0.25">
      <c r="A838" s="216" t="s">
        <v>1346</v>
      </c>
      <c r="B838" s="45" t="str">
        <f>VLOOKUP(Tabela12[[#This Row],[Painel]],Tabela13[],2,0)</f>
        <v>GA-9312/S</v>
      </c>
      <c r="C838" s="45" t="s">
        <v>1347</v>
      </c>
      <c r="D838" s="21" t="s">
        <v>1861</v>
      </c>
      <c r="E838" s="21">
        <v>3</v>
      </c>
      <c r="F838" s="27" t="str">
        <f>Tabela12[[#This Row],[Régua]]&amp;" ("&amp;Tabela12[[#This Row],[Born]]&amp;")"</f>
        <v>S4 (3)</v>
      </c>
      <c r="G838" s="27">
        <f>LEN(Tabela12[[#This Row],[Anilha]])</f>
        <v>6</v>
      </c>
      <c r="H838" s="21" t="str">
        <f>VLOOKUP(Tabela12[[#This Row],[Tag Cabo]],BD!A:F,6,0)</f>
        <v>18AWG</v>
      </c>
      <c r="I838" s="27" t="s">
        <v>1705</v>
      </c>
      <c r="J838" s="27" t="s">
        <v>1706</v>
      </c>
    </row>
    <row r="839" spans="1:10" x14ac:dyDescent="0.25">
      <c r="A839" s="216" t="s">
        <v>1346</v>
      </c>
      <c r="B839" s="45" t="str">
        <f>VLOOKUP(Tabela12[[#This Row],[Painel]],Tabela13[],2,0)</f>
        <v>Vários</v>
      </c>
      <c r="C839" s="45" t="s">
        <v>1574</v>
      </c>
      <c r="D839" s="216" t="s">
        <v>1346</v>
      </c>
      <c r="E839" s="21" t="s">
        <v>1760</v>
      </c>
      <c r="F839" s="27" t="str">
        <f>Tabela12[[#This Row],[Régua]]&amp;" ("&amp;Tabela12[[#This Row],[Born]]&amp;")"</f>
        <v>FV-90252A (+)</v>
      </c>
      <c r="G839" s="27">
        <f>LEN(Tabela12[[#This Row],[Anilha]])</f>
        <v>13</v>
      </c>
      <c r="H839" s="21" t="str">
        <f>VLOOKUP(Tabela12[[#This Row],[Tag Cabo]],BD!A:F,6,0)</f>
        <v>18AWG</v>
      </c>
      <c r="I839" s="27" t="s">
        <v>1705</v>
      </c>
      <c r="J839" s="27" t="s">
        <v>1706</v>
      </c>
    </row>
    <row r="840" spans="1:10" x14ac:dyDescent="0.25">
      <c r="A840" s="216" t="s">
        <v>1346</v>
      </c>
      <c r="B840" s="45" t="str">
        <f>VLOOKUP(Tabela12[[#This Row],[Painel]],Tabela13[],2,0)</f>
        <v>Vários</v>
      </c>
      <c r="C840" s="45" t="s">
        <v>1574</v>
      </c>
      <c r="D840" s="216" t="s">
        <v>1346</v>
      </c>
      <c r="E840" s="21" t="s">
        <v>92</v>
      </c>
      <c r="F840" s="27" t="str">
        <f>Tabela12[[#This Row],[Régua]]&amp;" ("&amp;Tabela12[[#This Row],[Born]]&amp;")"</f>
        <v>FV-90252A (-)</v>
      </c>
      <c r="G840" s="27">
        <f>LEN(Tabela12[[#This Row],[Anilha]])</f>
        <v>13</v>
      </c>
      <c r="H840" s="21" t="str">
        <f>VLOOKUP(Tabela12[[#This Row],[Tag Cabo]],BD!A:F,6,0)</f>
        <v>18AWG</v>
      </c>
      <c r="I840" s="27" t="s">
        <v>1705</v>
      </c>
      <c r="J840" s="27" t="s">
        <v>1706</v>
      </c>
    </row>
    <row r="841" spans="1:10" x14ac:dyDescent="0.25">
      <c r="A841" s="216" t="s">
        <v>1346</v>
      </c>
      <c r="B841" s="45" t="str">
        <f>VLOOKUP(Tabela12[[#This Row],[Painel]],Tabela13[],2,0)</f>
        <v>Vários</v>
      </c>
      <c r="C841" s="45" t="s">
        <v>1574</v>
      </c>
      <c r="D841" s="216" t="s">
        <v>1346</v>
      </c>
      <c r="E841" s="21" t="s">
        <v>1859</v>
      </c>
      <c r="F841" s="27" t="str">
        <f>Tabela12[[#This Row],[Régua]]&amp;" ("&amp;Tabela12[[#This Row],[Born]]&amp;")"</f>
        <v>FV-90252A (T)</v>
      </c>
      <c r="G841" s="27">
        <f>LEN(Tabela12[[#This Row],[Anilha]])</f>
        <v>13</v>
      </c>
      <c r="H841" s="21" t="str">
        <f>VLOOKUP(Tabela12[[#This Row],[Tag Cabo]],BD!A:F,6,0)</f>
        <v>18AWG</v>
      </c>
      <c r="I841" s="27" t="s">
        <v>1705</v>
      </c>
      <c r="J841" s="27" t="s">
        <v>1706</v>
      </c>
    </row>
    <row r="842" spans="1:10" x14ac:dyDescent="0.25">
      <c r="A842" s="216" t="s">
        <v>1349</v>
      </c>
      <c r="B842" s="45" t="str">
        <f>VLOOKUP(Tabela12[[#This Row],[Painel]],Tabela13[],2,0)</f>
        <v>GA-9312/S</v>
      </c>
      <c r="C842" s="45" t="s">
        <v>1347</v>
      </c>
      <c r="D842" s="21" t="s">
        <v>1860</v>
      </c>
      <c r="E842" s="21">
        <v>1</v>
      </c>
      <c r="F842" s="27" t="str">
        <f>Tabela12[[#This Row],[Régua]]&amp;" ("&amp;Tabela12[[#This Row],[Born]]&amp;")"</f>
        <v>S5 (1)</v>
      </c>
      <c r="G842" s="27">
        <f>LEN(Tabela12[[#This Row],[Anilha]])</f>
        <v>6</v>
      </c>
      <c r="H842" s="21" t="str">
        <f>VLOOKUP(Tabela12[[#This Row],[Tag Cabo]],BD!A:F,6,0)</f>
        <v>18AWG</v>
      </c>
      <c r="I842" s="27" t="s">
        <v>1705</v>
      </c>
      <c r="J842" s="27" t="s">
        <v>1706</v>
      </c>
    </row>
    <row r="843" spans="1:10" x14ac:dyDescent="0.25">
      <c r="A843" s="216" t="s">
        <v>1349</v>
      </c>
      <c r="B843" s="45" t="str">
        <f>VLOOKUP(Tabela12[[#This Row],[Painel]],Tabela13[],2,0)</f>
        <v>GA-9312/S</v>
      </c>
      <c r="C843" s="45" t="s">
        <v>1347</v>
      </c>
      <c r="D843" s="21" t="s">
        <v>1860</v>
      </c>
      <c r="E843" s="21">
        <v>2</v>
      </c>
      <c r="F843" s="27" t="str">
        <f>Tabela12[[#This Row],[Régua]]&amp;" ("&amp;Tabela12[[#This Row],[Born]]&amp;")"</f>
        <v>S5 (2)</v>
      </c>
      <c r="G843" s="27">
        <f>LEN(Tabela12[[#This Row],[Anilha]])</f>
        <v>6</v>
      </c>
      <c r="H843" s="21" t="str">
        <f>VLOOKUP(Tabela12[[#This Row],[Tag Cabo]],BD!A:F,6,0)</f>
        <v>18AWG</v>
      </c>
      <c r="I843" s="27" t="s">
        <v>1705</v>
      </c>
      <c r="J843" s="27" t="s">
        <v>1706</v>
      </c>
    </row>
    <row r="844" spans="1:10" x14ac:dyDescent="0.25">
      <c r="A844" s="216" t="s">
        <v>1349</v>
      </c>
      <c r="B844" s="45" t="str">
        <f>VLOOKUP(Tabela12[[#This Row],[Painel]],Tabela13[],2,0)</f>
        <v>GA-9312/S</v>
      </c>
      <c r="C844" s="45" t="s">
        <v>1347</v>
      </c>
      <c r="D844" s="21" t="s">
        <v>1860</v>
      </c>
      <c r="E844" s="21">
        <v>3</v>
      </c>
      <c r="F844" s="27" t="str">
        <f>Tabela12[[#This Row],[Régua]]&amp;" ("&amp;Tabela12[[#This Row],[Born]]&amp;")"</f>
        <v>S5 (3)</v>
      </c>
      <c r="G844" s="27">
        <f>LEN(Tabela12[[#This Row],[Anilha]])</f>
        <v>6</v>
      </c>
      <c r="H844" s="21" t="str">
        <f>VLOOKUP(Tabela12[[#This Row],[Tag Cabo]],BD!A:F,6,0)</f>
        <v>18AWG</v>
      </c>
      <c r="I844" s="27" t="s">
        <v>1705</v>
      </c>
      <c r="J844" s="27" t="s">
        <v>1706</v>
      </c>
    </row>
    <row r="845" spans="1:10" x14ac:dyDescent="0.25">
      <c r="A845" s="216" t="s">
        <v>1349</v>
      </c>
      <c r="B845" s="45" t="str">
        <f>VLOOKUP(Tabela12[[#This Row],[Painel]],Tabela13[],2,0)</f>
        <v>Vários</v>
      </c>
      <c r="C845" s="45" t="s">
        <v>1574</v>
      </c>
      <c r="D845" s="216" t="s">
        <v>1349</v>
      </c>
      <c r="E845" s="21" t="s">
        <v>1760</v>
      </c>
      <c r="F845" s="27" t="str">
        <f>Tabela12[[#This Row],[Régua]]&amp;" ("&amp;Tabela12[[#This Row],[Born]]&amp;")"</f>
        <v>FV-90252B (+)</v>
      </c>
      <c r="G845" s="27">
        <f>LEN(Tabela12[[#This Row],[Anilha]])</f>
        <v>13</v>
      </c>
      <c r="H845" s="21" t="str">
        <f>VLOOKUP(Tabela12[[#This Row],[Tag Cabo]],BD!A:F,6,0)</f>
        <v>18AWG</v>
      </c>
      <c r="I845" s="27" t="s">
        <v>1705</v>
      </c>
      <c r="J845" s="27" t="s">
        <v>1706</v>
      </c>
    </row>
    <row r="846" spans="1:10" x14ac:dyDescent="0.25">
      <c r="A846" s="216" t="s">
        <v>1349</v>
      </c>
      <c r="B846" s="45" t="str">
        <f>VLOOKUP(Tabela12[[#This Row],[Painel]],Tabela13[],2,0)</f>
        <v>Vários</v>
      </c>
      <c r="C846" s="45" t="s">
        <v>1574</v>
      </c>
      <c r="D846" s="216" t="s">
        <v>1349</v>
      </c>
      <c r="E846" s="21" t="s">
        <v>92</v>
      </c>
      <c r="F846" s="27" t="str">
        <f>Tabela12[[#This Row],[Régua]]&amp;" ("&amp;Tabela12[[#This Row],[Born]]&amp;")"</f>
        <v>FV-90252B (-)</v>
      </c>
      <c r="G846" s="27">
        <f>LEN(Tabela12[[#This Row],[Anilha]])</f>
        <v>13</v>
      </c>
      <c r="H846" s="21" t="str">
        <f>VLOOKUP(Tabela12[[#This Row],[Tag Cabo]],BD!A:F,6,0)</f>
        <v>18AWG</v>
      </c>
      <c r="I846" s="27" t="s">
        <v>1705</v>
      </c>
      <c r="J846" s="27" t="s">
        <v>1706</v>
      </c>
    </row>
    <row r="847" spans="1:10" x14ac:dyDescent="0.25">
      <c r="A847" s="216" t="s">
        <v>1349</v>
      </c>
      <c r="B847" s="45" t="str">
        <f>VLOOKUP(Tabela12[[#This Row],[Painel]],Tabela13[],2,0)</f>
        <v>Vários</v>
      </c>
      <c r="C847" s="45" t="s">
        <v>1574</v>
      </c>
      <c r="D847" s="216" t="s">
        <v>1349</v>
      </c>
      <c r="E847" s="21" t="s">
        <v>1859</v>
      </c>
      <c r="F847" s="27" t="str">
        <f>Tabela12[[#This Row],[Régua]]&amp;" ("&amp;Tabela12[[#This Row],[Born]]&amp;")"</f>
        <v>FV-90252B (T)</v>
      </c>
      <c r="G847" s="27">
        <f>LEN(Tabela12[[#This Row],[Anilha]])</f>
        <v>13</v>
      </c>
      <c r="H847" s="21" t="str">
        <f>VLOOKUP(Tabela12[[#This Row],[Tag Cabo]],BD!A:F,6,0)</f>
        <v>18AWG</v>
      </c>
      <c r="I847" s="27" t="s">
        <v>1705</v>
      </c>
      <c r="J847" s="27" t="s">
        <v>1706</v>
      </c>
    </row>
    <row r="848" spans="1:10" x14ac:dyDescent="0.25">
      <c r="A848" s="216" t="s">
        <v>1330</v>
      </c>
      <c r="B848" s="45" t="str">
        <f>VLOOKUP(Tabela12[[#This Row],[Painel]],Tabela13[],2,0)</f>
        <v>GA-906E</v>
      </c>
      <c r="C848" s="45" t="s">
        <v>1327</v>
      </c>
      <c r="D848" s="21" t="s">
        <v>1858</v>
      </c>
      <c r="E848" s="21">
        <v>1</v>
      </c>
      <c r="F848" s="27" t="str">
        <f>Tabela12[[#This Row],[Régua]]&amp;" ("&amp;Tabela12[[#This Row],[Born]]&amp;")"</f>
        <v>S1 (1)</v>
      </c>
      <c r="G848" s="27">
        <f>LEN(Tabela12[[#This Row],[Anilha]])</f>
        <v>6</v>
      </c>
      <c r="H848" s="21" t="str">
        <f>VLOOKUP(Tabela12[[#This Row],[Tag Cabo]],BD!A:F,6,0)</f>
        <v>18AWG</v>
      </c>
      <c r="I848" s="27" t="s">
        <v>1705</v>
      </c>
      <c r="J848" s="27" t="s">
        <v>1706</v>
      </c>
    </row>
    <row r="849" spans="1:10" x14ac:dyDescent="0.25">
      <c r="A849" s="216" t="s">
        <v>1330</v>
      </c>
      <c r="B849" s="45" t="str">
        <f>VLOOKUP(Tabela12[[#This Row],[Painel]],Tabela13[],2,0)</f>
        <v>GA-906E</v>
      </c>
      <c r="C849" s="45" t="s">
        <v>1327</v>
      </c>
      <c r="D849" s="21" t="s">
        <v>1858</v>
      </c>
      <c r="E849" s="21">
        <v>2</v>
      </c>
      <c r="F849" s="27" t="str">
        <f>Tabela12[[#This Row],[Régua]]&amp;" ("&amp;Tabela12[[#This Row],[Born]]&amp;")"</f>
        <v>S1 (2)</v>
      </c>
      <c r="G849" s="27">
        <f>LEN(Tabela12[[#This Row],[Anilha]])</f>
        <v>6</v>
      </c>
      <c r="H849" s="21" t="str">
        <f>VLOOKUP(Tabela12[[#This Row],[Tag Cabo]],BD!A:F,6,0)</f>
        <v>18AWG</v>
      </c>
      <c r="I849" s="27" t="s">
        <v>1705</v>
      </c>
      <c r="J849" s="27" t="s">
        <v>1706</v>
      </c>
    </row>
    <row r="850" spans="1:10" x14ac:dyDescent="0.25">
      <c r="A850" s="216" t="s">
        <v>1330</v>
      </c>
      <c r="B850" s="45" t="str">
        <f>VLOOKUP(Tabela12[[#This Row],[Painel]],Tabela13[],2,0)</f>
        <v>GA-906E</v>
      </c>
      <c r="C850" s="45" t="s">
        <v>1327</v>
      </c>
      <c r="D850" s="21" t="s">
        <v>1858</v>
      </c>
      <c r="E850" s="21">
        <v>3</v>
      </c>
      <c r="F850" s="27" t="str">
        <f>Tabela12[[#This Row],[Régua]]&amp;" ("&amp;Tabela12[[#This Row],[Born]]&amp;")"</f>
        <v>S1 (3)</v>
      </c>
      <c r="G850" s="27">
        <f>LEN(Tabela12[[#This Row],[Anilha]])</f>
        <v>6</v>
      </c>
      <c r="H850" s="21" t="str">
        <f>VLOOKUP(Tabela12[[#This Row],[Tag Cabo]],BD!A:F,6,0)</f>
        <v>18AWG</v>
      </c>
      <c r="I850" s="27" t="s">
        <v>1705</v>
      </c>
      <c r="J850" s="27" t="s">
        <v>1706</v>
      </c>
    </row>
    <row r="851" spans="1:10" x14ac:dyDescent="0.25">
      <c r="A851" s="216" t="s">
        <v>1330</v>
      </c>
      <c r="B851" s="45" t="str">
        <f>VLOOKUP(Tabela12[[#This Row],[Painel]],Tabela13[],2,0)</f>
        <v>Vários</v>
      </c>
      <c r="C851" s="45" t="s">
        <v>1574</v>
      </c>
      <c r="D851" s="216" t="s">
        <v>1330</v>
      </c>
      <c r="E851" s="21" t="s">
        <v>1760</v>
      </c>
      <c r="F851" s="27" t="str">
        <f>Tabela12[[#This Row],[Régua]]&amp;" ("&amp;Tabela12[[#This Row],[Born]]&amp;")"</f>
        <v>PT-90465 (+)</v>
      </c>
      <c r="G851" s="27">
        <f>LEN(Tabela12[[#This Row],[Anilha]])</f>
        <v>12</v>
      </c>
      <c r="H851" s="21" t="str">
        <f>VLOOKUP(Tabela12[[#This Row],[Tag Cabo]],BD!A:F,6,0)</f>
        <v>18AWG</v>
      </c>
      <c r="I851" s="27" t="s">
        <v>1705</v>
      </c>
      <c r="J851" s="27" t="s">
        <v>1706</v>
      </c>
    </row>
    <row r="852" spans="1:10" x14ac:dyDescent="0.25">
      <c r="A852" s="216" t="s">
        <v>1330</v>
      </c>
      <c r="B852" s="45" t="str">
        <f>VLOOKUP(Tabela12[[#This Row],[Painel]],Tabela13[],2,0)</f>
        <v>Vários</v>
      </c>
      <c r="C852" s="45" t="s">
        <v>1574</v>
      </c>
      <c r="D852" s="216" t="s">
        <v>1330</v>
      </c>
      <c r="E852" s="21" t="s">
        <v>92</v>
      </c>
      <c r="F852" s="27" t="str">
        <f>Tabela12[[#This Row],[Régua]]&amp;" ("&amp;Tabela12[[#This Row],[Born]]&amp;")"</f>
        <v>PT-90465 (-)</v>
      </c>
      <c r="G852" s="27">
        <f>LEN(Tabela12[[#This Row],[Anilha]])</f>
        <v>12</v>
      </c>
      <c r="H852" s="21" t="str">
        <f>VLOOKUP(Tabela12[[#This Row],[Tag Cabo]],BD!A:F,6,0)</f>
        <v>18AWG</v>
      </c>
      <c r="I852" s="27" t="s">
        <v>1705</v>
      </c>
      <c r="J852" s="27" t="s">
        <v>1706</v>
      </c>
    </row>
    <row r="853" spans="1:10" x14ac:dyDescent="0.25">
      <c r="A853" s="216" t="s">
        <v>1330</v>
      </c>
      <c r="B853" s="45" t="str">
        <f>VLOOKUP(Tabela12[[#This Row],[Painel]],Tabela13[],2,0)</f>
        <v>Vários</v>
      </c>
      <c r="C853" s="45" t="s">
        <v>1574</v>
      </c>
      <c r="D853" s="216" t="s">
        <v>1330</v>
      </c>
      <c r="E853" s="21" t="s">
        <v>1859</v>
      </c>
      <c r="F853" s="27" t="str">
        <f>Tabela12[[#This Row],[Régua]]&amp;" ("&amp;Tabela12[[#This Row],[Born]]&amp;")"</f>
        <v>PT-90465 (T)</v>
      </c>
      <c r="G853" s="27">
        <f>LEN(Tabela12[[#This Row],[Anilha]])</f>
        <v>12</v>
      </c>
      <c r="H853" s="21" t="str">
        <f>VLOOKUP(Tabela12[[#This Row],[Tag Cabo]],BD!A:F,6,0)</f>
        <v>18AWG</v>
      </c>
      <c r="I853" s="27" t="s">
        <v>1705</v>
      </c>
      <c r="J853" s="27" t="s">
        <v>1706</v>
      </c>
    </row>
    <row r="854" spans="1:10" x14ac:dyDescent="0.25">
      <c r="A854" s="21" t="s">
        <v>1350</v>
      </c>
      <c r="B854" s="391" t="str">
        <f>VLOOKUP(Tabela12[[#This Row],[Painel]],Tabela13[],2,0)</f>
        <v>GA-9312/S</v>
      </c>
      <c r="C854" s="391" t="s">
        <v>1340</v>
      </c>
      <c r="D854" s="21" t="s">
        <v>1862</v>
      </c>
      <c r="E854" s="21">
        <v>1</v>
      </c>
      <c r="F854" s="27" t="str">
        <f>Tabela12[[#This Row],[Régua]]&amp;" ("&amp;Tabela12[[#This Row],[Born]]&amp;")"</f>
        <v>S3 (1)</v>
      </c>
      <c r="G854" s="27">
        <f>LEN(Tabela12[[#This Row],[Anilha]])</f>
        <v>6</v>
      </c>
      <c r="H854" s="21" t="str">
        <f>VLOOKUP(Tabela12[[#This Row],[Tag Cabo]],BD!A:F,6,0)</f>
        <v>18AWG</v>
      </c>
      <c r="I854" s="27" t="s">
        <v>1705</v>
      </c>
      <c r="J854" s="27" t="s">
        <v>1706</v>
      </c>
    </row>
    <row r="855" spans="1:10" x14ac:dyDescent="0.25">
      <c r="A855" s="21" t="s">
        <v>1350</v>
      </c>
      <c r="B855" s="391" t="str">
        <f>VLOOKUP(Tabela12[[#This Row],[Painel]],Tabela13[],2,0)</f>
        <v>GA-9312/S</v>
      </c>
      <c r="C855" s="391" t="s">
        <v>1340</v>
      </c>
      <c r="D855" s="21" t="s">
        <v>1862</v>
      </c>
      <c r="E855" s="21">
        <v>2</v>
      </c>
      <c r="F855" s="27" t="str">
        <f>Tabela12[[#This Row],[Régua]]&amp;" ("&amp;Tabela12[[#This Row],[Born]]&amp;")"</f>
        <v>S3 (2)</v>
      </c>
      <c r="G855" s="27">
        <f>LEN(Tabela12[[#This Row],[Anilha]])</f>
        <v>6</v>
      </c>
      <c r="H855" s="21" t="str">
        <f>VLOOKUP(Tabela12[[#This Row],[Tag Cabo]],BD!A:F,6,0)</f>
        <v>18AWG</v>
      </c>
      <c r="I855" s="27" t="s">
        <v>1705</v>
      </c>
      <c r="J855" s="27" t="s">
        <v>1706</v>
      </c>
    </row>
    <row r="856" spans="1:10" x14ac:dyDescent="0.25">
      <c r="A856" s="21" t="s">
        <v>1350</v>
      </c>
      <c r="B856" s="391" t="str">
        <f>VLOOKUP(Tabela12[[#This Row],[Painel]],Tabela13[],2,0)</f>
        <v>GA-9312/S</v>
      </c>
      <c r="C856" s="391" t="s">
        <v>1340</v>
      </c>
      <c r="D856" s="21" t="s">
        <v>1862</v>
      </c>
      <c r="E856" s="21">
        <v>4</v>
      </c>
      <c r="F856" s="27" t="str">
        <f>Tabela12[[#This Row],[Régua]]&amp;" ("&amp;Tabela12[[#This Row],[Born]]&amp;")"</f>
        <v>S3 (4)</v>
      </c>
      <c r="G856" s="27">
        <f>LEN(Tabela12[[#This Row],[Anilha]])</f>
        <v>6</v>
      </c>
      <c r="H856" s="21" t="str">
        <f>VLOOKUP(Tabela12[[#This Row],[Tag Cabo]],BD!A:F,6,0)</f>
        <v>18AWG</v>
      </c>
      <c r="I856" s="27" t="s">
        <v>1705</v>
      </c>
      <c r="J856" s="27" t="s">
        <v>1706</v>
      </c>
    </row>
    <row r="857" spans="1:10" x14ac:dyDescent="0.25">
      <c r="A857" s="21" t="s">
        <v>1350</v>
      </c>
      <c r="B857" s="391" t="str">
        <f>VLOOKUP(Tabela12[[#This Row],[Painel]],Tabela13[],2,0)</f>
        <v>Vários</v>
      </c>
      <c r="C857" s="391" t="s">
        <v>1574</v>
      </c>
      <c r="D857" s="21" t="s">
        <v>1350</v>
      </c>
      <c r="E857" s="21" t="s">
        <v>1760</v>
      </c>
      <c r="F857" s="27" t="str">
        <f>Tabela12[[#This Row],[Régua]]&amp;" ("&amp;Tabela12[[#This Row],[Born]]&amp;")"</f>
        <v>PT-90467 (+)</v>
      </c>
      <c r="G857" s="27">
        <f>LEN(Tabela12[[#This Row],[Anilha]])</f>
        <v>12</v>
      </c>
      <c r="H857" s="21" t="str">
        <f>VLOOKUP(Tabela12[[#This Row],[Tag Cabo]],BD!A:F,6,0)</f>
        <v>18AWG</v>
      </c>
      <c r="I857" s="27" t="s">
        <v>1705</v>
      </c>
      <c r="J857" s="27" t="s">
        <v>1706</v>
      </c>
    </row>
    <row r="858" spans="1:10" x14ac:dyDescent="0.25">
      <c r="A858" s="21" t="s">
        <v>1350</v>
      </c>
      <c r="B858" s="391" t="str">
        <f>VLOOKUP(Tabela12[[#This Row],[Painel]],Tabela13[],2,0)</f>
        <v>Vários</v>
      </c>
      <c r="C858" s="391" t="s">
        <v>1574</v>
      </c>
      <c r="D858" s="21" t="s">
        <v>1350</v>
      </c>
      <c r="E858" s="21" t="s">
        <v>92</v>
      </c>
      <c r="F858" s="27" t="str">
        <f>Tabela12[[#This Row],[Régua]]&amp;" ("&amp;Tabela12[[#This Row],[Born]]&amp;")"</f>
        <v>PT-90467 (-)</v>
      </c>
      <c r="G858" s="27">
        <f>LEN(Tabela12[[#This Row],[Anilha]])</f>
        <v>12</v>
      </c>
      <c r="H858" s="21" t="str">
        <f>VLOOKUP(Tabela12[[#This Row],[Tag Cabo]],BD!A:F,6,0)</f>
        <v>18AWG</v>
      </c>
      <c r="I858" s="27" t="s">
        <v>1705</v>
      </c>
      <c r="J858" s="27" t="s">
        <v>1706</v>
      </c>
    </row>
    <row r="859" spans="1:10" x14ac:dyDescent="0.25">
      <c r="A859" s="21" t="s">
        <v>1350</v>
      </c>
      <c r="B859" s="391" t="str">
        <f>VLOOKUP(Tabela12[[#This Row],[Painel]],Tabela13[],2,0)</f>
        <v>Vários</v>
      </c>
      <c r="C859" s="391" t="s">
        <v>1574</v>
      </c>
      <c r="D859" s="21" t="s">
        <v>1350</v>
      </c>
      <c r="E859" s="21" t="s">
        <v>1859</v>
      </c>
      <c r="F859" s="27" t="str">
        <f>Tabela12[[#This Row],[Régua]]&amp;" ("&amp;Tabela12[[#This Row],[Born]]&amp;")"</f>
        <v>PT-90467 (T)</v>
      </c>
      <c r="G859" s="27">
        <f>LEN(Tabela12[[#This Row],[Anilha]])</f>
        <v>12</v>
      </c>
      <c r="H859" s="21" t="str">
        <f>VLOOKUP(Tabela12[[#This Row],[Tag Cabo]],BD!A:F,6,0)</f>
        <v>18AWG</v>
      </c>
      <c r="I859" s="27" t="s">
        <v>1705</v>
      </c>
      <c r="J859" s="27" t="s">
        <v>1706</v>
      </c>
    </row>
    <row r="860" spans="1:10" x14ac:dyDescent="0.25">
      <c r="A860" s="216" t="s">
        <v>1329</v>
      </c>
      <c r="B860" s="45" t="str">
        <f>VLOOKUP(Tabela12[[#This Row],[Painel]],Tabela13[],2,0)</f>
        <v>GA-906E</v>
      </c>
      <c r="C860" s="45" t="s">
        <v>1327</v>
      </c>
      <c r="D860" s="21" t="s">
        <v>1862</v>
      </c>
      <c r="E860" s="21">
        <v>1</v>
      </c>
      <c r="F860" s="27" t="str">
        <f>Tabela12[[#This Row],[Régua]]&amp;" ("&amp;Tabela12[[#This Row],[Born]]&amp;")"</f>
        <v>S3 (1)</v>
      </c>
      <c r="G860" s="27">
        <f>LEN(Tabela12[[#This Row],[Anilha]])</f>
        <v>6</v>
      </c>
      <c r="H860" s="21" t="str">
        <f>VLOOKUP(Tabela12[[#This Row],[Tag Cabo]],BD!A:F,6,0)</f>
        <v>18AWG</v>
      </c>
      <c r="I860" s="27" t="s">
        <v>1705</v>
      </c>
      <c r="J860" s="27" t="s">
        <v>1706</v>
      </c>
    </row>
    <row r="861" spans="1:10" x14ac:dyDescent="0.25">
      <c r="A861" s="216" t="s">
        <v>1329</v>
      </c>
      <c r="B861" s="45" t="str">
        <f>VLOOKUP(Tabela12[[#This Row],[Painel]],Tabela13[],2,0)</f>
        <v>GA-906E</v>
      </c>
      <c r="C861" s="45" t="s">
        <v>1327</v>
      </c>
      <c r="D861" s="21" t="s">
        <v>1862</v>
      </c>
      <c r="E861" s="21">
        <v>2</v>
      </c>
      <c r="F861" s="27" t="str">
        <f>Tabela12[[#This Row],[Régua]]&amp;" ("&amp;Tabela12[[#This Row],[Born]]&amp;")"</f>
        <v>S3 (2)</v>
      </c>
      <c r="G861" s="27">
        <f>LEN(Tabela12[[#This Row],[Anilha]])</f>
        <v>6</v>
      </c>
      <c r="H861" s="21" t="str">
        <f>VLOOKUP(Tabela12[[#This Row],[Tag Cabo]],BD!A:F,6,0)</f>
        <v>18AWG</v>
      </c>
      <c r="I861" s="27" t="s">
        <v>1705</v>
      </c>
      <c r="J861" s="27" t="s">
        <v>1706</v>
      </c>
    </row>
    <row r="862" spans="1:10" x14ac:dyDescent="0.25">
      <c r="A862" s="216" t="s">
        <v>1329</v>
      </c>
      <c r="B862" s="45" t="str">
        <f>VLOOKUP(Tabela12[[#This Row],[Painel]],Tabela13[],2,0)</f>
        <v>GA-906E</v>
      </c>
      <c r="C862" s="45" t="s">
        <v>1327</v>
      </c>
      <c r="D862" s="21" t="s">
        <v>1862</v>
      </c>
      <c r="E862" s="21">
        <v>3</v>
      </c>
      <c r="F862" s="27" t="str">
        <f>Tabela12[[#This Row],[Régua]]&amp;" ("&amp;Tabela12[[#This Row],[Born]]&amp;")"</f>
        <v>S3 (3)</v>
      </c>
      <c r="G862" s="27">
        <f>LEN(Tabela12[[#This Row],[Anilha]])</f>
        <v>6</v>
      </c>
      <c r="H862" s="21" t="str">
        <f>VLOOKUP(Tabela12[[#This Row],[Tag Cabo]],BD!A:F,6,0)</f>
        <v>18AWG</v>
      </c>
      <c r="I862" s="27" t="s">
        <v>1705</v>
      </c>
      <c r="J862" s="27" t="s">
        <v>1706</v>
      </c>
    </row>
    <row r="863" spans="1:10" x14ac:dyDescent="0.25">
      <c r="A863" s="216" t="s">
        <v>1329</v>
      </c>
      <c r="B863" s="45" t="str">
        <f>VLOOKUP(Tabela12[[#This Row],[Painel]],Tabela13[],2,0)</f>
        <v>Vários</v>
      </c>
      <c r="C863" s="45" t="s">
        <v>1574</v>
      </c>
      <c r="D863" s="216" t="s">
        <v>1329</v>
      </c>
      <c r="E863" s="21" t="s">
        <v>1760</v>
      </c>
      <c r="F863" s="27" t="str">
        <f>Tabela12[[#This Row],[Régua]]&amp;" ("&amp;Tabela12[[#This Row],[Born]]&amp;")"</f>
        <v>PT-9261 (+)</v>
      </c>
      <c r="G863" s="27">
        <f>LEN(Tabela12[[#This Row],[Anilha]])</f>
        <v>11</v>
      </c>
      <c r="H863" s="21" t="str">
        <f>VLOOKUP(Tabela12[[#This Row],[Tag Cabo]],BD!A:F,6,0)</f>
        <v>18AWG</v>
      </c>
      <c r="I863" s="27" t="s">
        <v>1705</v>
      </c>
      <c r="J863" s="27" t="s">
        <v>1706</v>
      </c>
    </row>
    <row r="864" spans="1:10" x14ac:dyDescent="0.25">
      <c r="A864" s="216" t="s">
        <v>1329</v>
      </c>
      <c r="B864" s="45" t="str">
        <f>VLOOKUP(Tabela12[[#This Row],[Painel]],Tabela13[],2,0)</f>
        <v>Vários</v>
      </c>
      <c r="C864" s="45" t="s">
        <v>1574</v>
      </c>
      <c r="D864" s="216" t="s">
        <v>1329</v>
      </c>
      <c r="E864" s="21" t="s">
        <v>92</v>
      </c>
      <c r="F864" s="27" t="str">
        <f>Tabela12[[#This Row],[Régua]]&amp;" ("&amp;Tabela12[[#This Row],[Born]]&amp;")"</f>
        <v>PT-9261 (-)</v>
      </c>
      <c r="G864" s="27">
        <f>LEN(Tabela12[[#This Row],[Anilha]])</f>
        <v>11</v>
      </c>
      <c r="H864" s="21" t="str">
        <f>VLOOKUP(Tabela12[[#This Row],[Tag Cabo]],BD!A:F,6,0)</f>
        <v>18AWG</v>
      </c>
      <c r="I864" s="27" t="s">
        <v>1705</v>
      </c>
      <c r="J864" s="27" t="s">
        <v>1706</v>
      </c>
    </row>
    <row r="865" spans="1:10" x14ac:dyDescent="0.25">
      <c r="A865" s="216" t="s">
        <v>1329</v>
      </c>
      <c r="B865" s="45" t="str">
        <f>VLOOKUP(Tabela12[[#This Row],[Painel]],Tabela13[],2,0)</f>
        <v>Vários</v>
      </c>
      <c r="C865" s="45" t="s">
        <v>1574</v>
      </c>
      <c r="D865" s="216" t="s">
        <v>1329</v>
      </c>
      <c r="E865" s="21" t="s">
        <v>1859</v>
      </c>
      <c r="F865" s="27" t="str">
        <f>Tabela12[[#This Row],[Régua]]&amp;" ("&amp;Tabela12[[#This Row],[Born]]&amp;")"</f>
        <v>PT-9261 (T)</v>
      </c>
      <c r="G865" s="27">
        <f>LEN(Tabela12[[#This Row],[Anilha]])</f>
        <v>11</v>
      </c>
      <c r="H865" s="21" t="str">
        <f>VLOOKUP(Tabela12[[#This Row],[Tag Cabo]],BD!A:F,6,0)</f>
        <v>18AWG</v>
      </c>
      <c r="I865" s="27" t="s">
        <v>1705</v>
      </c>
      <c r="J865" s="27" t="s">
        <v>1706</v>
      </c>
    </row>
    <row r="866" spans="1:10" x14ac:dyDescent="0.25">
      <c r="A866" s="216" t="s">
        <v>1326</v>
      </c>
      <c r="B866" s="45" t="str">
        <f>VLOOKUP(Tabela12[[#This Row],[Painel]],Tabela13[],2,0)</f>
        <v>GA-906E</v>
      </c>
      <c r="C866" s="45" t="s">
        <v>1327</v>
      </c>
      <c r="D866" s="21" t="s">
        <v>1861</v>
      </c>
      <c r="E866" s="21">
        <v>1</v>
      </c>
      <c r="F866" s="27" t="str">
        <f>Tabela12[[#This Row],[Régua]]&amp;" ("&amp;Tabela12[[#This Row],[Born]]&amp;")"</f>
        <v>S4 (1)</v>
      </c>
      <c r="G866" s="27">
        <f>LEN(Tabela12[[#This Row],[Anilha]])</f>
        <v>6</v>
      </c>
      <c r="H866" s="21" t="str">
        <f>VLOOKUP(Tabela12[[#This Row],[Tag Cabo]],BD!A:F,6,0)</f>
        <v>18AWG</v>
      </c>
      <c r="I866" s="27" t="s">
        <v>1705</v>
      </c>
      <c r="J866" s="27" t="s">
        <v>1706</v>
      </c>
    </row>
    <row r="867" spans="1:10" x14ac:dyDescent="0.25">
      <c r="A867" s="216" t="s">
        <v>1326</v>
      </c>
      <c r="B867" s="45" t="str">
        <f>VLOOKUP(Tabela12[[#This Row],[Painel]],Tabela13[],2,0)</f>
        <v>GA-906E</v>
      </c>
      <c r="C867" s="45" t="s">
        <v>1327</v>
      </c>
      <c r="D867" s="21" t="s">
        <v>1861</v>
      </c>
      <c r="E867" s="21">
        <v>2</v>
      </c>
      <c r="F867" s="27" t="str">
        <f>Tabela12[[#This Row],[Régua]]&amp;" ("&amp;Tabela12[[#This Row],[Born]]&amp;")"</f>
        <v>S4 (2)</v>
      </c>
      <c r="G867" s="27">
        <f>LEN(Tabela12[[#This Row],[Anilha]])</f>
        <v>6</v>
      </c>
      <c r="H867" s="21" t="str">
        <f>VLOOKUP(Tabela12[[#This Row],[Tag Cabo]],BD!A:F,6,0)</f>
        <v>18AWG</v>
      </c>
      <c r="I867" s="27" t="s">
        <v>1705</v>
      </c>
      <c r="J867" s="27" t="s">
        <v>1706</v>
      </c>
    </row>
    <row r="868" spans="1:10" x14ac:dyDescent="0.25">
      <c r="A868" s="216" t="s">
        <v>1326</v>
      </c>
      <c r="B868" s="45" t="str">
        <f>VLOOKUP(Tabela12[[#This Row],[Painel]],Tabela13[],2,0)</f>
        <v>GA-906E</v>
      </c>
      <c r="C868" s="45" t="s">
        <v>1327</v>
      </c>
      <c r="D868" s="21" t="s">
        <v>1861</v>
      </c>
      <c r="E868" s="21">
        <v>3</v>
      </c>
      <c r="F868" s="27" t="str">
        <f>Tabela12[[#This Row],[Régua]]&amp;" ("&amp;Tabela12[[#This Row],[Born]]&amp;")"</f>
        <v>S4 (3)</v>
      </c>
      <c r="G868" s="27">
        <f>LEN(Tabela12[[#This Row],[Anilha]])</f>
        <v>6</v>
      </c>
      <c r="H868" s="21" t="str">
        <f>VLOOKUP(Tabela12[[#This Row],[Tag Cabo]],BD!A:F,6,0)</f>
        <v>18AWG</v>
      </c>
      <c r="I868" s="27" t="s">
        <v>1705</v>
      </c>
      <c r="J868" s="27" t="s">
        <v>1706</v>
      </c>
    </row>
    <row r="869" spans="1:10" x14ac:dyDescent="0.25">
      <c r="A869" s="216" t="s">
        <v>1326</v>
      </c>
      <c r="B869" s="45" t="str">
        <f>VLOOKUP(Tabela12[[#This Row],[Painel]],Tabela13[],2,0)</f>
        <v>Vários</v>
      </c>
      <c r="C869" s="45" t="s">
        <v>1574</v>
      </c>
      <c r="D869" s="216" t="s">
        <v>1326</v>
      </c>
      <c r="E869" s="21" t="s">
        <v>1760</v>
      </c>
      <c r="F869" s="27" t="str">
        <f>Tabela12[[#This Row],[Régua]]&amp;" ("&amp;Tabela12[[#This Row],[Born]]&amp;")"</f>
        <v>PV-9261A (+)</v>
      </c>
      <c r="G869" s="27">
        <f>LEN(Tabela12[[#This Row],[Anilha]])</f>
        <v>12</v>
      </c>
      <c r="H869" s="21" t="str">
        <f>VLOOKUP(Tabela12[[#This Row],[Tag Cabo]],BD!A:F,6,0)</f>
        <v>18AWG</v>
      </c>
      <c r="I869" s="27" t="s">
        <v>1705</v>
      </c>
      <c r="J869" s="27" t="s">
        <v>1706</v>
      </c>
    </row>
    <row r="870" spans="1:10" x14ac:dyDescent="0.25">
      <c r="A870" s="216" t="s">
        <v>1326</v>
      </c>
      <c r="B870" s="45" t="str">
        <f>VLOOKUP(Tabela12[[#This Row],[Painel]],Tabela13[],2,0)</f>
        <v>Vários</v>
      </c>
      <c r="C870" s="45" t="s">
        <v>1574</v>
      </c>
      <c r="D870" s="216" t="s">
        <v>1326</v>
      </c>
      <c r="E870" s="21" t="s">
        <v>92</v>
      </c>
      <c r="F870" s="27" t="str">
        <f>Tabela12[[#This Row],[Régua]]&amp;" ("&amp;Tabela12[[#This Row],[Born]]&amp;")"</f>
        <v>PV-9261A (-)</v>
      </c>
      <c r="G870" s="27">
        <f>LEN(Tabela12[[#This Row],[Anilha]])</f>
        <v>12</v>
      </c>
      <c r="H870" s="21" t="str">
        <f>VLOOKUP(Tabela12[[#This Row],[Tag Cabo]],BD!A:F,6,0)</f>
        <v>18AWG</v>
      </c>
      <c r="I870" s="27" t="s">
        <v>1705</v>
      </c>
      <c r="J870" s="27" t="s">
        <v>1706</v>
      </c>
    </row>
    <row r="871" spans="1:10" x14ac:dyDescent="0.25">
      <c r="A871" s="216" t="s">
        <v>1326</v>
      </c>
      <c r="B871" s="45" t="str">
        <f>VLOOKUP(Tabela12[[#This Row],[Painel]],Tabela13[],2,0)</f>
        <v>Vários</v>
      </c>
      <c r="C871" s="45" t="s">
        <v>1574</v>
      </c>
      <c r="D871" s="216" t="s">
        <v>1326</v>
      </c>
      <c r="E871" s="21" t="s">
        <v>1859</v>
      </c>
      <c r="F871" s="27" t="str">
        <f>Tabela12[[#This Row],[Régua]]&amp;" ("&amp;Tabela12[[#This Row],[Born]]&amp;")"</f>
        <v>PV-9261A (T)</v>
      </c>
      <c r="G871" s="27">
        <f>LEN(Tabela12[[#This Row],[Anilha]])</f>
        <v>12</v>
      </c>
      <c r="H871" s="21" t="str">
        <f>VLOOKUP(Tabela12[[#This Row],[Tag Cabo]],BD!A:F,6,0)</f>
        <v>18AWG</v>
      </c>
      <c r="I871" s="27" t="s">
        <v>1705</v>
      </c>
      <c r="J871" s="27" t="s">
        <v>1706</v>
      </c>
    </row>
    <row r="872" spans="1:10" x14ac:dyDescent="0.25">
      <c r="A872" s="216" t="s">
        <v>1328</v>
      </c>
      <c r="B872" s="45" t="str">
        <f>VLOOKUP(Tabela12[[#This Row],[Painel]],Tabela13[],2,0)</f>
        <v>GA-906E</v>
      </c>
      <c r="C872" s="45" t="s">
        <v>1327</v>
      </c>
      <c r="D872" s="21" t="s">
        <v>1860</v>
      </c>
      <c r="E872" s="21">
        <v>1</v>
      </c>
      <c r="F872" s="27" t="str">
        <f>Tabela12[[#This Row],[Régua]]&amp;" ("&amp;Tabela12[[#This Row],[Born]]&amp;")"</f>
        <v>S5 (1)</v>
      </c>
      <c r="G872" s="27">
        <f>LEN(Tabela12[[#This Row],[Anilha]])</f>
        <v>6</v>
      </c>
      <c r="H872" s="21" t="str">
        <f>VLOOKUP(Tabela12[[#This Row],[Tag Cabo]],BD!A:F,6,0)</f>
        <v>18AWG</v>
      </c>
      <c r="I872" s="27" t="s">
        <v>1705</v>
      </c>
      <c r="J872" s="27" t="s">
        <v>1706</v>
      </c>
    </row>
    <row r="873" spans="1:10" x14ac:dyDescent="0.25">
      <c r="A873" s="216" t="s">
        <v>1328</v>
      </c>
      <c r="B873" s="45" t="str">
        <f>VLOOKUP(Tabela12[[#This Row],[Painel]],Tabela13[],2,0)</f>
        <v>GA-906E</v>
      </c>
      <c r="C873" s="45" t="s">
        <v>1327</v>
      </c>
      <c r="D873" s="21" t="s">
        <v>1860</v>
      </c>
      <c r="E873" s="21">
        <v>2</v>
      </c>
      <c r="F873" s="27" t="str">
        <f>Tabela12[[#This Row],[Régua]]&amp;" ("&amp;Tabela12[[#This Row],[Born]]&amp;")"</f>
        <v>S5 (2)</v>
      </c>
      <c r="G873" s="27">
        <f>LEN(Tabela12[[#This Row],[Anilha]])</f>
        <v>6</v>
      </c>
      <c r="H873" s="21" t="str">
        <f>VLOOKUP(Tabela12[[#This Row],[Tag Cabo]],BD!A:F,6,0)</f>
        <v>18AWG</v>
      </c>
      <c r="I873" s="27" t="s">
        <v>1705</v>
      </c>
      <c r="J873" s="27" t="s">
        <v>1706</v>
      </c>
    </row>
    <row r="874" spans="1:10" x14ac:dyDescent="0.25">
      <c r="A874" s="216" t="s">
        <v>1328</v>
      </c>
      <c r="B874" s="45" t="str">
        <f>VLOOKUP(Tabela12[[#This Row],[Painel]],Tabela13[],2,0)</f>
        <v>GA-906E</v>
      </c>
      <c r="C874" s="45" t="s">
        <v>1327</v>
      </c>
      <c r="D874" s="21" t="s">
        <v>1860</v>
      </c>
      <c r="E874" s="21">
        <v>3</v>
      </c>
      <c r="F874" s="27" t="str">
        <f>Tabela12[[#This Row],[Régua]]&amp;" ("&amp;Tabela12[[#This Row],[Born]]&amp;")"</f>
        <v>S5 (3)</v>
      </c>
      <c r="G874" s="27">
        <f>LEN(Tabela12[[#This Row],[Anilha]])</f>
        <v>6</v>
      </c>
      <c r="H874" s="21" t="str">
        <f>VLOOKUP(Tabela12[[#This Row],[Tag Cabo]],BD!A:F,6,0)</f>
        <v>18AWG</v>
      </c>
      <c r="I874" s="27" t="s">
        <v>1705</v>
      </c>
      <c r="J874" s="27" t="s">
        <v>1706</v>
      </c>
    </row>
    <row r="875" spans="1:10" x14ac:dyDescent="0.25">
      <c r="A875" s="216" t="s">
        <v>1328</v>
      </c>
      <c r="B875" s="45" t="str">
        <f>VLOOKUP(Tabela12[[#This Row],[Painel]],Tabela13[],2,0)</f>
        <v>Vários</v>
      </c>
      <c r="C875" s="45" t="s">
        <v>1574</v>
      </c>
      <c r="D875" s="216" t="s">
        <v>1328</v>
      </c>
      <c r="E875" s="21" t="s">
        <v>1760</v>
      </c>
      <c r="F875" s="27" t="str">
        <f>Tabela12[[#This Row],[Régua]]&amp;" ("&amp;Tabela12[[#This Row],[Born]]&amp;")"</f>
        <v>PV-9261B (+)</v>
      </c>
      <c r="G875" s="27">
        <f>LEN(Tabela12[[#This Row],[Anilha]])</f>
        <v>12</v>
      </c>
      <c r="H875" s="21" t="str">
        <f>VLOOKUP(Tabela12[[#This Row],[Tag Cabo]],BD!A:F,6,0)</f>
        <v>18AWG</v>
      </c>
      <c r="I875" s="27" t="s">
        <v>1705</v>
      </c>
      <c r="J875" s="27" t="s">
        <v>1706</v>
      </c>
    </row>
    <row r="876" spans="1:10" x14ac:dyDescent="0.25">
      <c r="A876" s="216" t="s">
        <v>1328</v>
      </c>
      <c r="B876" s="45" t="str">
        <f>VLOOKUP(Tabela12[[#This Row],[Painel]],Tabela13[],2,0)</f>
        <v>Vários</v>
      </c>
      <c r="C876" s="45" t="s">
        <v>1574</v>
      </c>
      <c r="D876" s="216" t="s">
        <v>1328</v>
      </c>
      <c r="E876" s="21" t="s">
        <v>92</v>
      </c>
      <c r="F876" s="27" t="str">
        <f>Tabela12[[#This Row],[Régua]]&amp;" ("&amp;Tabela12[[#This Row],[Born]]&amp;")"</f>
        <v>PV-9261B (-)</v>
      </c>
      <c r="G876" s="27">
        <f>LEN(Tabela12[[#This Row],[Anilha]])</f>
        <v>12</v>
      </c>
      <c r="H876" s="21" t="str">
        <f>VLOOKUP(Tabela12[[#This Row],[Tag Cabo]],BD!A:F,6,0)</f>
        <v>18AWG</v>
      </c>
      <c r="I876" s="27" t="s">
        <v>1705</v>
      </c>
      <c r="J876" s="27" t="s">
        <v>1706</v>
      </c>
    </row>
    <row r="877" spans="1:10" x14ac:dyDescent="0.25">
      <c r="A877" s="216" t="s">
        <v>1328</v>
      </c>
      <c r="B877" s="45" t="str">
        <f>VLOOKUP(Tabela12[[#This Row],[Painel]],Tabela13[],2,0)</f>
        <v>Vários</v>
      </c>
      <c r="C877" s="45" t="s">
        <v>1574</v>
      </c>
      <c r="D877" s="216" t="s">
        <v>1328</v>
      </c>
      <c r="E877" s="21" t="s">
        <v>1859</v>
      </c>
      <c r="F877" s="27" t="str">
        <f>Tabela12[[#This Row],[Régua]]&amp;" ("&amp;Tabela12[[#This Row],[Born]]&amp;")"</f>
        <v>PV-9261B (T)</v>
      </c>
      <c r="G877" s="27">
        <f>LEN(Tabela12[[#This Row],[Anilha]])</f>
        <v>12</v>
      </c>
      <c r="H877" s="21" t="str">
        <f>VLOOKUP(Tabela12[[#This Row],[Tag Cabo]],BD!A:F,6,0)</f>
        <v>18AWG</v>
      </c>
      <c r="I877" s="27" t="s">
        <v>1705</v>
      </c>
      <c r="J877" s="27" t="s">
        <v>1706</v>
      </c>
    </row>
    <row r="878" spans="1:10" x14ac:dyDescent="0.25">
      <c r="A878" s="21" t="s">
        <v>1361</v>
      </c>
      <c r="B878" s="391" t="str">
        <f>VLOOKUP(Tabela12[[#This Row],[Painel]],Tabela13[],2,0)</f>
        <v>GA-9312/S</v>
      </c>
      <c r="C878" s="391" t="s">
        <v>1340</v>
      </c>
      <c r="D878" s="21" t="s">
        <v>1858</v>
      </c>
      <c r="E878" s="21">
        <v>1</v>
      </c>
      <c r="F878" s="27" t="str">
        <f>Tabela12[[#This Row],[Régua]]&amp;" ("&amp;Tabela12[[#This Row],[Born]]&amp;")"</f>
        <v>S1 (1)</v>
      </c>
      <c r="G878" s="27">
        <f>LEN(Tabela12[[#This Row],[Anilha]])</f>
        <v>6</v>
      </c>
      <c r="H878" s="21" t="str">
        <f>VLOOKUP(Tabela12[[#This Row],[Tag Cabo]],BD!A:F,6,0)</f>
        <v>18AWG</v>
      </c>
      <c r="I878" s="27" t="s">
        <v>1705</v>
      </c>
      <c r="J878" s="27" t="s">
        <v>1706</v>
      </c>
    </row>
    <row r="879" spans="1:10" x14ac:dyDescent="0.25">
      <c r="A879" s="21" t="s">
        <v>1361</v>
      </c>
      <c r="B879" s="391" t="str">
        <f>VLOOKUP(Tabela12[[#This Row],[Painel]],Tabela13[],2,0)</f>
        <v>GA-9312/S</v>
      </c>
      <c r="C879" s="391" t="s">
        <v>1340</v>
      </c>
      <c r="D879" s="21" t="s">
        <v>1858</v>
      </c>
      <c r="E879" s="21">
        <v>2</v>
      </c>
      <c r="F879" s="27" t="str">
        <f>Tabela12[[#This Row],[Régua]]&amp;" ("&amp;Tabela12[[#This Row],[Born]]&amp;")"</f>
        <v>S1 (2)</v>
      </c>
      <c r="G879" s="27">
        <f>LEN(Tabela12[[#This Row],[Anilha]])</f>
        <v>6</v>
      </c>
      <c r="H879" s="21" t="str">
        <f>VLOOKUP(Tabela12[[#This Row],[Tag Cabo]],BD!A:F,6,0)</f>
        <v>18AWG</v>
      </c>
      <c r="I879" s="27" t="s">
        <v>1705</v>
      </c>
      <c r="J879" s="27" t="s">
        <v>1706</v>
      </c>
    </row>
    <row r="880" spans="1:10" x14ac:dyDescent="0.25">
      <c r="A880" s="21" t="s">
        <v>1361</v>
      </c>
      <c r="B880" s="391" t="str">
        <f>VLOOKUP(Tabela12[[#This Row],[Painel]],Tabela13[],2,0)</f>
        <v>GA-9312/S</v>
      </c>
      <c r="C880" s="391" t="s">
        <v>1340</v>
      </c>
      <c r="D880" s="21" t="s">
        <v>1858</v>
      </c>
      <c r="E880" s="21">
        <v>4</v>
      </c>
      <c r="F880" s="27" t="str">
        <f>Tabela12[[#This Row],[Régua]]&amp;" ("&amp;Tabela12[[#This Row],[Born]]&amp;")"</f>
        <v>S1 (4)</v>
      </c>
      <c r="G880" s="27">
        <f>LEN(Tabela12[[#This Row],[Anilha]])</f>
        <v>6</v>
      </c>
      <c r="H880" s="21" t="str">
        <f>VLOOKUP(Tabela12[[#This Row],[Tag Cabo]],BD!A:F,6,0)</f>
        <v>18AWG</v>
      </c>
      <c r="I880" s="27" t="s">
        <v>1705</v>
      </c>
      <c r="J880" s="27" t="s">
        <v>1706</v>
      </c>
    </row>
    <row r="881" spans="1:10" x14ac:dyDescent="0.25">
      <c r="A881" s="21" t="s">
        <v>1361</v>
      </c>
      <c r="B881" s="391" t="str">
        <f>VLOOKUP(Tabela12[[#This Row],[Painel]],Tabela13[],2,0)</f>
        <v>Vários</v>
      </c>
      <c r="C881" s="391" t="s">
        <v>1574</v>
      </c>
      <c r="D881" s="21" t="s">
        <v>1361</v>
      </c>
      <c r="E881" s="21" t="s">
        <v>1760</v>
      </c>
      <c r="F881" s="27" t="str">
        <f>Tabela12[[#This Row],[Régua]]&amp;" ("&amp;Tabela12[[#This Row],[Born]]&amp;")"</f>
        <v>TT-90228 (+)</v>
      </c>
      <c r="G881" s="27">
        <f>LEN(Tabela12[[#This Row],[Anilha]])</f>
        <v>12</v>
      </c>
      <c r="H881" s="21" t="str">
        <f>VLOOKUP(Tabela12[[#This Row],[Tag Cabo]],BD!A:F,6,0)</f>
        <v>18AWG</v>
      </c>
      <c r="I881" s="27" t="s">
        <v>1705</v>
      </c>
      <c r="J881" s="27" t="s">
        <v>1706</v>
      </c>
    </row>
    <row r="882" spans="1:10" x14ac:dyDescent="0.25">
      <c r="A882" s="21" t="s">
        <v>1361</v>
      </c>
      <c r="B882" s="391" t="str">
        <f>VLOOKUP(Tabela12[[#This Row],[Painel]],Tabela13[],2,0)</f>
        <v>Vários</v>
      </c>
      <c r="C882" s="391" t="s">
        <v>1574</v>
      </c>
      <c r="D882" s="21" t="s">
        <v>1361</v>
      </c>
      <c r="E882" s="21" t="s">
        <v>92</v>
      </c>
      <c r="F882" s="27" t="str">
        <f>Tabela12[[#This Row],[Régua]]&amp;" ("&amp;Tabela12[[#This Row],[Born]]&amp;")"</f>
        <v>TT-90228 (-)</v>
      </c>
      <c r="G882" s="27">
        <f>LEN(Tabela12[[#This Row],[Anilha]])</f>
        <v>12</v>
      </c>
      <c r="H882" s="21" t="str">
        <f>VLOOKUP(Tabela12[[#This Row],[Tag Cabo]],BD!A:F,6,0)</f>
        <v>18AWG</v>
      </c>
      <c r="I882" s="27" t="s">
        <v>1705</v>
      </c>
      <c r="J882" s="27" t="s">
        <v>1706</v>
      </c>
    </row>
    <row r="883" spans="1:10" x14ac:dyDescent="0.25">
      <c r="A883" s="21" t="s">
        <v>1361</v>
      </c>
      <c r="B883" s="391" t="str">
        <f>VLOOKUP(Tabela12[[#This Row],[Painel]],Tabela13[],2,0)</f>
        <v>Vários</v>
      </c>
      <c r="C883" s="391" t="s">
        <v>1574</v>
      </c>
      <c r="D883" s="21" t="s">
        <v>1361</v>
      </c>
      <c r="E883" s="21" t="s">
        <v>1859</v>
      </c>
      <c r="F883" s="27" t="str">
        <f>Tabela12[[#This Row],[Régua]]&amp;" ("&amp;Tabela12[[#This Row],[Born]]&amp;")"</f>
        <v>TT-90228 (T)</v>
      </c>
      <c r="G883" s="27">
        <f>LEN(Tabela12[[#This Row],[Anilha]])</f>
        <v>12</v>
      </c>
      <c r="H883" s="21" t="str">
        <f>VLOOKUP(Tabela12[[#This Row],[Tag Cabo]],BD!A:F,6,0)</f>
        <v>18AWG</v>
      </c>
      <c r="I883" s="27" t="s">
        <v>1705</v>
      </c>
      <c r="J883" s="27" t="s">
        <v>1706</v>
      </c>
    </row>
    <row r="884" spans="1:10" x14ac:dyDescent="0.25">
      <c r="A884" s="216" t="s">
        <v>1331</v>
      </c>
      <c r="B884" s="45" t="str">
        <f>VLOOKUP(Tabela12[[#This Row],[Painel]],Tabela13[],2,0)</f>
        <v>GA-906E</v>
      </c>
      <c r="C884" s="45" t="s">
        <v>1327</v>
      </c>
      <c r="D884" s="21" t="s">
        <v>1863</v>
      </c>
      <c r="E884" s="21">
        <v>1</v>
      </c>
      <c r="F884" s="27" t="str">
        <f>Tabela12[[#This Row],[Régua]]&amp;" ("&amp;Tabela12[[#This Row],[Born]]&amp;")"</f>
        <v>S2 (1)</v>
      </c>
      <c r="G884" s="27">
        <f>LEN(Tabela12[[#This Row],[Anilha]])</f>
        <v>6</v>
      </c>
      <c r="H884" s="21" t="str">
        <f>VLOOKUP(Tabela12[[#This Row],[Tag Cabo]],BD!A:F,6,0)</f>
        <v>18AWG</v>
      </c>
      <c r="I884" s="27" t="s">
        <v>1705</v>
      </c>
      <c r="J884" s="27" t="s">
        <v>1706</v>
      </c>
    </row>
    <row r="885" spans="1:10" x14ac:dyDescent="0.25">
      <c r="A885" s="216" t="s">
        <v>1331</v>
      </c>
      <c r="B885" s="45" t="str">
        <f>VLOOKUP(Tabela12[[#This Row],[Painel]],Tabela13[],2,0)</f>
        <v>GA-906E</v>
      </c>
      <c r="C885" s="45" t="s">
        <v>1327</v>
      </c>
      <c r="D885" s="21" t="s">
        <v>1863</v>
      </c>
      <c r="E885" s="21">
        <v>2</v>
      </c>
      <c r="F885" s="27" t="str">
        <f>Tabela12[[#This Row],[Régua]]&amp;" ("&amp;Tabela12[[#This Row],[Born]]&amp;")"</f>
        <v>S2 (2)</v>
      </c>
      <c r="G885" s="27">
        <f>LEN(Tabela12[[#This Row],[Anilha]])</f>
        <v>6</v>
      </c>
      <c r="H885" s="21" t="str">
        <f>VLOOKUP(Tabela12[[#This Row],[Tag Cabo]],BD!A:F,6,0)</f>
        <v>18AWG</v>
      </c>
      <c r="I885" s="27" t="s">
        <v>1705</v>
      </c>
      <c r="J885" s="27" t="s">
        <v>1706</v>
      </c>
    </row>
    <row r="886" spans="1:10" x14ac:dyDescent="0.25">
      <c r="A886" s="216" t="s">
        <v>1331</v>
      </c>
      <c r="B886" s="45" t="str">
        <f>VLOOKUP(Tabela12[[#This Row],[Painel]],Tabela13[],2,0)</f>
        <v>GA-906E</v>
      </c>
      <c r="C886" s="45" t="s">
        <v>1327</v>
      </c>
      <c r="D886" s="21" t="s">
        <v>1863</v>
      </c>
      <c r="E886" s="21">
        <v>4</v>
      </c>
      <c r="F886" s="27" t="str">
        <f>Tabela12[[#This Row],[Régua]]&amp;" ("&amp;Tabela12[[#This Row],[Born]]&amp;")"</f>
        <v>S2 (4)</v>
      </c>
      <c r="G886" s="27">
        <f>LEN(Tabela12[[#This Row],[Anilha]])</f>
        <v>6</v>
      </c>
      <c r="H886" s="21" t="str">
        <f>VLOOKUP(Tabela12[[#This Row],[Tag Cabo]],BD!A:F,6,0)</f>
        <v>18AWG</v>
      </c>
      <c r="I886" s="27" t="s">
        <v>1705</v>
      </c>
      <c r="J886" s="27" t="s">
        <v>1706</v>
      </c>
    </row>
    <row r="887" spans="1:10" x14ac:dyDescent="0.25">
      <c r="A887" s="216" t="s">
        <v>1331</v>
      </c>
      <c r="B887" s="45" t="str">
        <f>VLOOKUP(Tabela12[[#This Row],[Painel]],Tabela13[],2,0)</f>
        <v>Vários</v>
      </c>
      <c r="C887" s="45" t="s">
        <v>1574</v>
      </c>
      <c r="D887" s="216" t="s">
        <v>1331</v>
      </c>
      <c r="E887" s="21" t="s">
        <v>1760</v>
      </c>
      <c r="F887" s="27" t="str">
        <f>Tabela12[[#This Row],[Régua]]&amp;" ("&amp;Tabela12[[#This Row],[Born]]&amp;")"</f>
        <v>TT-90236 (+)</v>
      </c>
      <c r="G887" s="27">
        <f>LEN(Tabela12[[#This Row],[Anilha]])</f>
        <v>12</v>
      </c>
      <c r="H887" s="21" t="str">
        <f>VLOOKUP(Tabela12[[#This Row],[Tag Cabo]],BD!A:F,6,0)</f>
        <v>18AWG</v>
      </c>
      <c r="I887" s="27" t="s">
        <v>1705</v>
      </c>
      <c r="J887" s="27" t="s">
        <v>1706</v>
      </c>
    </row>
    <row r="888" spans="1:10" x14ac:dyDescent="0.25">
      <c r="A888" s="216" t="s">
        <v>1331</v>
      </c>
      <c r="B888" s="45" t="str">
        <f>VLOOKUP(Tabela12[[#This Row],[Painel]],Tabela13[],2,0)</f>
        <v>Vários</v>
      </c>
      <c r="C888" s="45" t="s">
        <v>1574</v>
      </c>
      <c r="D888" s="216" t="s">
        <v>1331</v>
      </c>
      <c r="E888" s="21" t="s">
        <v>92</v>
      </c>
      <c r="F888" s="27" t="str">
        <f>Tabela12[[#This Row],[Régua]]&amp;" ("&amp;Tabela12[[#This Row],[Born]]&amp;")"</f>
        <v>TT-90236 (-)</v>
      </c>
      <c r="G888" s="27">
        <f>LEN(Tabela12[[#This Row],[Anilha]])</f>
        <v>12</v>
      </c>
      <c r="H888" s="21" t="str">
        <f>VLOOKUP(Tabela12[[#This Row],[Tag Cabo]],BD!A:F,6,0)</f>
        <v>18AWG</v>
      </c>
      <c r="I888" s="27" t="s">
        <v>1705</v>
      </c>
      <c r="J888" s="27" t="s">
        <v>1706</v>
      </c>
    </row>
    <row r="889" spans="1:10" x14ac:dyDescent="0.25">
      <c r="A889" s="216" t="s">
        <v>1331</v>
      </c>
      <c r="B889" s="45" t="str">
        <f>VLOOKUP(Tabela12[[#This Row],[Painel]],Tabela13[],2,0)</f>
        <v>Vários</v>
      </c>
      <c r="C889" s="45" t="s">
        <v>1574</v>
      </c>
      <c r="D889" s="216" t="s">
        <v>1331</v>
      </c>
      <c r="E889" s="21" t="s">
        <v>1859</v>
      </c>
      <c r="F889" s="27" t="str">
        <f>Tabela12[[#This Row],[Régua]]&amp;" ("&amp;Tabela12[[#This Row],[Born]]&amp;")"</f>
        <v>TT-90236 (T)</v>
      </c>
      <c r="G889" s="27">
        <f>LEN(Tabela12[[#This Row],[Anilha]])</f>
        <v>12</v>
      </c>
      <c r="H889" s="21" t="str">
        <f>VLOOKUP(Tabela12[[#This Row],[Tag Cabo]],BD!A:F,6,0)</f>
        <v>18AWG</v>
      </c>
      <c r="I889" s="27" t="s">
        <v>1705</v>
      </c>
      <c r="J889" s="27" t="s">
        <v>1706</v>
      </c>
    </row>
    <row r="890" spans="1:10" x14ac:dyDescent="0.25">
      <c r="A890" s="21" t="s">
        <v>1352</v>
      </c>
      <c r="B890" s="391" t="str">
        <f>VLOOKUP(Tabela12[[#This Row],[Painel]],Tabela13[],2,0)</f>
        <v>GA-9312/S</v>
      </c>
      <c r="C890" s="391" t="s">
        <v>1340</v>
      </c>
      <c r="D890" s="21" t="s">
        <v>1863</v>
      </c>
      <c r="E890" s="21">
        <v>1</v>
      </c>
      <c r="F890" s="27" t="str">
        <f>Tabela12[[#This Row],[Régua]]&amp;" ("&amp;Tabela12[[#This Row],[Born]]&amp;")"</f>
        <v>S2 (1)</v>
      </c>
      <c r="G890" s="27">
        <f>LEN(Tabela12[[#This Row],[Anilha]])</f>
        <v>6</v>
      </c>
      <c r="H890" s="21" t="str">
        <f>VLOOKUP(Tabela12[[#This Row],[Tag Cabo]],BD!A:F,6,0)</f>
        <v>18AWG</v>
      </c>
      <c r="I890" s="27" t="s">
        <v>1705</v>
      </c>
      <c r="J890" s="27" t="s">
        <v>1706</v>
      </c>
    </row>
    <row r="891" spans="1:10" x14ac:dyDescent="0.25">
      <c r="A891" s="21" t="s">
        <v>1352</v>
      </c>
      <c r="B891" s="391" t="str">
        <f>VLOOKUP(Tabela12[[#This Row],[Painel]],Tabela13[],2,0)</f>
        <v>GA-9312/S</v>
      </c>
      <c r="C891" s="391" t="s">
        <v>1340</v>
      </c>
      <c r="D891" s="21" t="s">
        <v>1863</v>
      </c>
      <c r="E891" s="21">
        <v>2</v>
      </c>
      <c r="F891" s="27" t="str">
        <f>Tabela12[[#This Row],[Régua]]&amp;" ("&amp;Tabela12[[#This Row],[Born]]&amp;")"</f>
        <v>S2 (2)</v>
      </c>
      <c r="G891" s="27">
        <f>LEN(Tabela12[[#This Row],[Anilha]])</f>
        <v>6</v>
      </c>
      <c r="H891" s="21" t="str">
        <f>VLOOKUP(Tabela12[[#This Row],[Tag Cabo]],BD!A:F,6,0)</f>
        <v>18AWG</v>
      </c>
      <c r="I891" s="27" t="s">
        <v>1705</v>
      </c>
      <c r="J891" s="27" t="s">
        <v>1706</v>
      </c>
    </row>
    <row r="892" spans="1:10" x14ac:dyDescent="0.25">
      <c r="A892" s="21" t="s">
        <v>1352</v>
      </c>
      <c r="B892" s="391" t="str">
        <f>VLOOKUP(Tabela12[[#This Row],[Painel]],Tabela13[],2,0)</f>
        <v>GA-9312/S</v>
      </c>
      <c r="C892" s="391" t="s">
        <v>1340</v>
      </c>
      <c r="D892" s="21" t="s">
        <v>1863</v>
      </c>
      <c r="E892" s="21">
        <v>4</v>
      </c>
      <c r="F892" s="27" t="str">
        <f>Tabela12[[#This Row],[Régua]]&amp;" ("&amp;Tabela12[[#This Row],[Born]]&amp;")"</f>
        <v>S2 (4)</v>
      </c>
      <c r="G892" s="27">
        <f>LEN(Tabela12[[#This Row],[Anilha]])</f>
        <v>6</v>
      </c>
      <c r="H892" s="21" t="str">
        <f>VLOOKUP(Tabela12[[#This Row],[Tag Cabo]],BD!A:F,6,0)</f>
        <v>18AWG</v>
      </c>
      <c r="I892" s="27" t="s">
        <v>1705</v>
      </c>
      <c r="J892" s="27" t="s">
        <v>1706</v>
      </c>
    </row>
    <row r="893" spans="1:10" x14ac:dyDescent="0.25">
      <c r="A893" s="21" t="s">
        <v>1352</v>
      </c>
      <c r="B893" s="391" t="str">
        <f>VLOOKUP(Tabela12[[#This Row],[Painel]],Tabela13[],2,0)</f>
        <v>Vários</v>
      </c>
      <c r="C893" s="391" t="s">
        <v>1574</v>
      </c>
      <c r="D893" s="21" t="s">
        <v>1352</v>
      </c>
      <c r="E893" s="21" t="s">
        <v>1760</v>
      </c>
      <c r="F893" s="27" t="str">
        <f>Tabela12[[#This Row],[Régua]]&amp;" ("&amp;Tabela12[[#This Row],[Born]]&amp;")"</f>
        <v>TT-90239 (+)</v>
      </c>
      <c r="G893" s="27">
        <f>LEN(Tabela12[[#This Row],[Anilha]])</f>
        <v>12</v>
      </c>
      <c r="H893" s="21" t="str">
        <f>VLOOKUP(Tabela12[[#This Row],[Tag Cabo]],BD!A:F,6,0)</f>
        <v>18AWG</v>
      </c>
      <c r="I893" s="27" t="s">
        <v>1705</v>
      </c>
      <c r="J893" s="27" t="s">
        <v>1706</v>
      </c>
    </row>
    <row r="894" spans="1:10" x14ac:dyDescent="0.25">
      <c r="A894" s="21" t="s">
        <v>1352</v>
      </c>
      <c r="B894" s="391" t="str">
        <f>VLOOKUP(Tabela12[[#This Row],[Painel]],Tabela13[],2,0)</f>
        <v>Vários</v>
      </c>
      <c r="C894" s="391" t="s">
        <v>1574</v>
      </c>
      <c r="D894" s="21" t="s">
        <v>1352</v>
      </c>
      <c r="E894" s="21" t="s">
        <v>92</v>
      </c>
      <c r="F894" s="27" t="str">
        <f>Tabela12[[#This Row],[Régua]]&amp;" ("&amp;Tabela12[[#This Row],[Born]]&amp;")"</f>
        <v>TT-90239 (-)</v>
      </c>
      <c r="G894" s="27">
        <f>LEN(Tabela12[[#This Row],[Anilha]])</f>
        <v>12</v>
      </c>
      <c r="H894" s="21" t="str">
        <f>VLOOKUP(Tabela12[[#This Row],[Tag Cabo]],BD!A:F,6,0)</f>
        <v>18AWG</v>
      </c>
      <c r="I894" s="27" t="s">
        <v>1705</v>
      </c>
      <c r="J894" s="27" t="s">
        <v>1706</v>
      </c>
    </row>
    <row r="895" spans="1:10" x14ac:dyDescent="0.25">
      <c r="A895" s="21" t="s">
        <v>1352</v>
      </c>
      <c r="B895" s="391" t="str">
        <f>VLOOKUP(Tabela12[[#This Row],[Painel]],Tabela13[],2,0)</f>
        <v>Vários</v>
      </c>
      <c r="C895" s="391" t="s">
        <v>1574</v>
      </c>
      <c r="D895" s="21" t="s">
        <v>1352</v>
      </c>
      <c r="E895" s="21" t="s">
        <v>1859</v>
      </c>
      <c r="F895" s="27" t="str">
        <f>Tabela12[[#This Row],[Régua]]&amp;" ("&amp;Tabela12[[#This Row],[Born]]&amp;")"</f>
        <v>TT-90239 (T)</v>
      </c>
      <c r="G895" s="27">
        <f>LEN(Tabela12[[#This Row],[Anilha]])</f>
        <v>12</v>
      </c>
      <c r="H895" s="21" t="str">
        <f>VLOOKUP(Tabela12[[#This Row],[Tag Cabo]],BD!A:F,6,0)</f>
        <v>18AWG</v>
      </c>
      <c r="I895" s="27" t="s">
        <v>1705</v>
      </c>
      <c r="J895" s="27" t="s">
        <v>1706</v>
      </c>
    </row>
    <row r="896" spans="1:10" x14ac:dyDescent="0.25">
      <c r="A896" s="216" t="s">
        <v>1011</v>
      </c>
      <c r="B896" s="45" t="str">
        <f>VLOOKUP(Tabela12[[#This Row],[Painel]],Tabela13[],2,0)</f>
        <v>PERIF. IV</v>
      </c>
      <c r="C896" s="45" t="s">
        <v>1015</v>
      </c>
      <c r="D896" s="21" t="s">
        <v>1864</v>
      </c>
      <c r="E896" s="21">
        <v>1</v>
      </c>
      <c r="F896" s="27" t="str">
        <f>Tabela12[[#This Row],[Régua]]&amp;" ("&amp;Tabela12[[#This Row],[Born]]&amp;")"</f>
        <v>P1 (1)</v>
      </c>
      <c r="G896" s="27">
        <f>LEN(Tabela12[[#This Row],[Anilha]])</f>
        <v>6</v>
      </c>
      <c r="H896" s="21" t="str">
        <f>VLOOKUP(Tabela12[[#This Row],[Tag Cabo]],BD!A:F,6,0)</f>
        <v>18AWG</v>
      </c>
      <c r="I896" s="27" t="s">
        <v>1705</v>
      </c>
      <c r="J896" s="27" t="s">
        <v>1706</v>
      </c>
    </row>
    <row r="897" spans="1:10" x14ac:dyDescent="0.25">
      <c r="A897" s="216" t="s">
        <v>1011</v>
      </c>
      <c r="B897" s="45" t="str">
        <f>VLOOKUP(Tabela12[[#This Row],[Painel]],Tabela13[],2,0)</f>
        <v>PERIF. IV</v>
      </c>
      <c r="C897" s="45" t="s">
        <v>1015</v>
      </c>
      <c r="D897" s="21" t="s">
        <v>1864</v>
      </c>
      <c r="E897" s="21">
        <v>2</v>
      </c>
      <c r="F897" s="27" t="str">
        <f>Tabela12[[#This Row],[Régua]]&amp;" ("&amp;Tabela12[[#This Row],[Born]]&amp;")"</f>
        <v>P1 (2)</v>
      </c>
      <c r="G897" s="27">
        <f>LEN(Tabela12[[#This Row],[Anilha]])</f>
        <v>6</v>
      </c>
      <c r="H897" s="21" t="str">
        <f>VLOOKUP(Tabela12[[#This Row],[Tag Cabo]],BD!A:F,6,0)</f>
        <v>18AWG</v>
      </c>
      <c r="I897" s="27" t="s">
        <v>1705</v>
      </c>
      <c r="J897" s="27" t="s">
        <v>1706</v>
      </c>
    </row>
    <row r="898" spans="1:10" x14ac:dyDescent="0.25">
      <c r="A898" s="216" t="s">
        <v>1011</v>
      </c>
      <c r="B898" s="45" t="str">
        <f>VLOOKUP(Tabela12[[#This Row],[Painel]],Tabela13[],2,0)</f>
        <v>PERIF. IV</v>
      </c>
      <c r="C898" s="45" t="s">
        <v>1575</v>
      </c>
      <c r="D898" s="21" t="s">
        <v>1865</v>
      </c>
      <c r="E898" s="21" t="s">
        <v>1760</v>
      </c>
      <c r="F898" s="27" t="str">
        <f>Tabela12[[#This Row],[Régua]]&amp;" ("&amp;Tabela12[[#This Row],[Born]]&amp;")"</f>
        <v>FPS-01 (+)</v>
      </c>
      <c r="G898" s="27">
        <f>LEN(Tabela12[[#This Row],[Anilha]])</f>
        <v>10</v>
      </c>
      <c r="H898" s="21" t="str">
        <f>VLOOKUP(Tabela12[[#This Row],[Tag Cabo]],BD!A:F,6,0)</f>
        <v>18AWG</v>
      </c>
      <c r="I898" s="27" t="s">
        <v>1705</v>
      </c>
      <c r="J898" s="27" t="s">
        <v>1706</v>
      </c>
    </row>
    <row r="899" spans="1:10" x14ac:dyDescent="0.25">
      <c r="A899" s="216" t="s">
        <v>1011</v>
      </c>
      <c r="B899" s="45" t="str">
        <f>VLOOKUP(Tabela12[[#This Row],[Painel]],Tabela13[],2,0)</f>
        <v>PERIF. IV</v>
      </c>
      <c r="C899" s="45" t="s">
        <v>1575</v>
      </c>
      <c r="D899" s="21" t="s">
        <v>1865</v>
      </c>
      <c r="E899" s="21" t="s">
        <v>92</v>
      </c>
      <c r="F899" s="27" t="str">
        <f>Tabela12[[#This Row],[Régua]]&amp;" ("&amp;Tabela12[[#This Row],[Born]]&amp;")"</f>
        <v>FPS-01 (-)</v>
      </c>
      <c r="G899" s="27">
        <f>LEN(Tabela12[[#This Row],[Anilha]])</f>
        <v>10</v>
      </c>
      <c r="H899" s="21" t="str">
        <f>VLOOKUP(Tabela12[[#This Row],[Tag Cabo]],BD!A:F,6,0)</f>
        <v>18AWG</v>
      </c>
      <c r="I899" s="27" t="s">
        <v>1705</v>
      </c>
      <c r="J899" s="27" t="s">
        <v>1706</v>
      </c>
    </row>
    <row r="900" spans="1:10" x14ac:dyDescent="0.25">
      <c r="A900" s="216" t="s">
        <v>1023</v>
      </c>
      <c r="B900" s="45" t="str">
        <f>VLOOKUP(Tabela12[[#This Row],[Painel]],Tabela13[],2,0)</f>
        <v>PERIF. IV</v>
      </c>
      <c r="C900" s="45" t="s">
        <v>1024</v>
      </c>
      <c r="D900" s="21" t="s">
        <v>1864</v>
      </c>
      <c r="E900" s="21">
        <v>1</v>
      </c>
      <c r="F900" s="27" t="str">
        <f>Tabela12[[#This Row],[Régua]]&amp;" ("&amp;Tabela12[[#This Row],[Born]]&amp;")"</f>
        <v>P1 (1)</v>
      </c>
      <c r="G900" s="27">
        <f>LEN(Tabela12[[#This Row],[Anilha]])</f>
        <v>6</v>
      </c>
      <c r="H900" s="21" t="str">
        <f>VLOOKUP(Tabela12[[#This Row],[Tag Cabo]],BD!A:F,6,0)</f>
        <v>18AWG</v>
      </c>
      <c r="I900" s="27" t="s">
        <v>1705</v>
      </c>
      <c r="J900" s="27" t="s">
        <v>1706</v>
      </c>
    </row>
    <row r="901" spans="1:10" x14ac:dyDescent="0.25">
      <c r="A901" s="216" t="s">
        <v>1023</v>
      </c>
      <c r="B901" s="45" t="str">
        <f>VLOOKUP(Tabela12[[#This Row],[Painel]],Tabela13[],2,0)</f>
        <v>PERIF. IV</v>
      </c>
      <c r="C901" s="45" t="s">
        <v>1024</v>
      </c>
      <c r="D901" s="21" t="s">
        <v>1864</v>
      </c>
      <c r="E901" s="21">
        <v>2</v>
      </c>
      <c r="F901" s="27" t="str">
        <f>Tabela12[[#This Row],[Régua]]&amp;" ("&amp;Tabela12[[#This Row],[Born]]&amp;")"</f>
        <v>P1 (2)</v>
      </c>
      <c r="G901" s="27">
        <f>LEN(Tabela12[[#This Row],[Anilha]])</f>
        <v>6</v>
      </c>
      <c r="H901" s="21" t="str">
        <f>VLOOKUP(Tabela12[[#This Row],[Tag Cabo]],BD!A:F,6,0)</f>
        <v>18AWG</v>
      </c>
      <c r="I901" s="27" t="s">
        <v>1705</v>
      </c>
      <c r="J901" s="27" t="s">
        <v>1706</v>
      </c>
    </row>
    <row r="902" spans="1:10" x14ac:dyDescent="0.25">
      <c r="A902" s="216" t="s">
        <v>1023</v>
      </c>
      <c r="B902" s="45" t="str">
        <f>VLOOKUP(Tabela12[[#This Row],[Painel]],Tabela13[],2,0)</f>
        <v>PERIF. IV</v>
      </c>
      <c r="C902" s="45" t="s">
        <v>1575</v>
      </c>
      <c r="D902" s="21" t="s">
        <v>1865</v>
      </c>
      <c r="E902" s="21" t="s">
        <v>1760</v>
      </c>
      <c r="F902" s="27" t="str">
        <f>Tabela12[[#This Row],[Régua]]&amp;" ("&amp;Tabela12[[#This Row],[Born]]&amp;")"</f>
        <v>FPS-01 (+)</v>
      </c>
      <c r="G902" s="27">
        <f>LEN(Tabela12[[#This Row],[Anilha]])</f>
        <v>10</v>
      </c>
      <c r="H902" s="21" t="str">
        <f>VLOOKUP(Tabela12[[#This Row],[Tag Cabo]],BD!A:F,6,0)</f>
        <v>18AWG</v>
      </c>
      <c r="I902" s="27" t="s">
        <v>1705</v>
      </c>
      <c r="J902" s="27" t="s">
        <v>1706</v>
      </c>
    </row>
    <row r="903" spans="1:10" x14ac:dyDescent="0.25">
      <c r="A903" s="216" t="s">
        <v>1023</v>
      </c>
      <c r="B903" s="45" t="str">
        <f>VLOOKUP(Tabela12[[#This Row],[Painel]],Tabela13[],2,0)</f>
        <v>PERIF. IV</v>
      </c>
      <c r="C903" s="45" t="s">
        <v>1575</v>
      </c>
      <c r="D903" s="21" t="s">
        <v>1865</v>
      </c>
      <c r="E903" s="21" t="s">
        <v>92</v>
      </c>
      <c r="F903" s="27" t="str">
        <f>Tabela12[[#This Row],[Régua]]&amp;" ("&amp;Tabela12[[#This Row],[Born]]&amp;")"</f>
        <v>FPS-01 (-)</v>
      </c>
      <c r="G903" s="27">
        <f>LEN(Tabela12[[#This Row],[Anilha]])</f>
        <v>10</v>
      </c>
      <c r="H903" s="21" t="str">
        <f>VLOOKUP(Tabela12[[#This Row],[Tag Cabo]],BD!A:F,6,0)</f>
        <v>18AWG</v>
      </c>
      <c r="I903" s="27" t="s">
        <v>1705</v>
      </c>
      <c r="J903" s="27" t="s">
        <v>1706</v>
      </c>
    </row>
    <row r="904" spans="1:10" x14ac:dyDescent="0.25">
      <c r="A904" s="216" t="s">
        <v>1025</v>
      </c>
      <c r="B904" s="45" t="str">
        <f>VLOOKUP(Tabela12[[#This Row],[Painel]],Tabela13[],2,0)</f>
        <v>PERIF. IV</v>
      </c>
      <c r="C904" s="45" t="s">
        <v>1654</v>
      </c>
      <c r="D904" s="21" t="s">
        <v>1864</v>
      </c>
      <c r="E904" s="21">
        <v>1</v>
      </c>
      <c r="F904" s="27" t="str">
        <f>Tabela12[[#This Row],[Régua]]&amp;" ("&amp;Tabela12[[#This Row],[Born]]&amp;")"</f>
        <v>P1 (1)</v>
      </c>
      <c r="G904" s="27">
        <f>LEN(Tabela12[[#This Row],[Anilha]])</f>
        <v>6</v>
      </c>
      <c r="H904" s="21" t="str">
        <f>VLOOKUP(Tabela12[[#This Row],[Tag Cabo]],BD!A:F,6,0)</f>
        <v>18AWG</v>
      </c>
      <c r="I904" s="27" t="s">
        <v>1705</v>
      </c>
      <c r="J904" s="27" t="s">
        <v>1706</v>
      </c>
    </row>
    <row r="905" spans="1:10" x14ac:dyDescent="0.25">
      <c r="A905" s="216" t="s">
        <v>1025</v>
      </c>
      <c r="B905" s="45" t="str">
        <f>VLOOKUP(Tabela12[[#This Row],[Painel]],Tabela13[],2,0)</f>
        <v>PERIF. IV</v>
      </c>
      <c r="C905" s="45" t="s">
        <v>1654</v>
      </c>
      <c r="D905" s="21" t="s">
        <v>1864</v>
      </c>
      <c r="E905" s="21">
        <v>2</v>
      </c>
      <c r="F905" s="27" t="str">
        <f>Tabela12[[#This Row],[Régua]]&amp;" ("&amp;Tabela12[[#This Row],[Born]]&amp;")"</f>
        <v>P1 (2)</v>
      </c>
      <c r="G905" s="27">
        <f>LEN(Tabela12[[#This Row],[Anilha]])</f>
        <v>6</v>
      </c>
      <c r="H905" s="21" t="str">
        <f>VLOOKUP(Tabela12[[#This Row],[Tag Cabo]],BD!A:F,6,0)</f>
        <v>18AWG</v>
      </c>
      <c r="I905" s="27" t="s">
        <v>1705</v>
      </c>
      <c r="J905" s="27" t="s">
        <v>1706</v>
      </c>
    </row>
    <row r="906" spans="1:10" x14ac:dyDescent="0.25">
      <c r="A906" s="216" t="s">
        <v>1025</v>
      </c>
      <c r="B906" s="45" t="str">
        <f>VLOOKUP(Tabela12[[#This Row],[Painel]],Tabela13[],2,0)</f>
        <v>PERIF. IV</v>
      </c>
      <c r="C906" s="45" t="s">
        <v>1575</v>
      </c>
      <c r="D906" s="21" t="s">
        <v>1865</v>
      </c>
      <c r="E906" s="21" t="s">
        <v>1760</v>
      </c>
      <c r="F906" s="27" t="str">
        <f>Tabela12[[#This Row],[Régua]]&amp;" ("&amp;Tabela12[[#This Row],[Born]]&amp;")"</f>
        <v>FPS-01 (+)</v>
      </c>
      <c r="G906" s="27">
        <f>LEN(Tabela12[[#This Row],[Anilha]])</f>
        <v>10</v>
      </c>
      <c r="H906" s="21" t="str">
        <f>VLOOKUP(Tabela12[[#This Row],[Tag Cabo]],BD!A:F,6,0)</f>
        <v>18AWG</v>
      </c>
      <c r="I906" s="27" t="s">
        <v>1705</v>
      </c>
      <c r="J906" s="27" t="s">
        <v>1706</v>
      </c>
    </row>
    <row r="907" spans="1:10" x14ac:dyDescent="0.25">
      <c r="A907" s="216" t="s">
        <v>1025</v>
      </c>
      <c r="B907" s="45" t="str">
        <f>VLOOKUP(Tabela12[[#This Row],[Painel]],Tabela13[],2,0)</f>
        <v>PERIF. IV</v>
      </c>
      <c r="C907" s="45" t="s">
        <v>1575</v>
      </c>
      <c r="D907" s="21" t="s">
        <v>1865</v>
      </c>
      <c r="E907" s="21" t="s">
        <v>92</v>
      </c>
      <c r="F907" s="27" t="str">
        <f>Tabela12[[#This Row],[Régua]]&amp;" ("&amp;Tabela12[[#This Row],[Born]]&amp;")"</f>
        <v>FPS-01 (-)</v>
      </c>
      <c r="G907" s="27">
        <f>LEN(Tabela12[[#This Row],[Anilha]])</f>
        <v>10</v>
      </c>
      <c r="H907" s="21" t="str">
        <f>VLOOKUP(Tabela12[[#This Row],[Tag Cabo]],BD!A:F,6,0)</f>
        <v>18AWG</v>
      </c>
      <c r="I907" s="27" t="s">
        <v>1705</v>
      </c>
      <c r="J907" s="27" t="s">
        <v>1706</v>
      </c>
    </row>
    <row r="908" spans="1:10" x14ac:dyDescent="0.25">
      <c r="A908" s="216" t="s">
        <v>1339</v>
      </c>
      <c r="B908" s="45" t="str">
        <f>VLOOKUP(Tabela12[[#This Row],[Painel]],Tabela13[],2,0)</f>
        <v>GA-9312/S</v>
      </c>
      <c r="C908" s="45" t="s">
        <v>1340</v>
      </c>
      <c r="D908" s="21" t="s">
        <v>1864</v>
      </c>
      <c r="E908" s="21">
        <v>1</v>
      </c>
      <c r="F908" s="27" t="str">
        <f>Tabela12[[#This Row],[Régua]]&amp;" ("&amp;Tabela12[[#This Row],[Born]]&amp;")"</f>
        <v>P1 (1)</v>
      </c>
      <c r="G908" s="27">
        <f>LEN(Tabela12[[#This Row],[Anilha]])</f>
        <v>6</v>
      </c>
      <c r="H908" s="21" t="str">
        <f>VLOOKUP(Tabela12[[#This Row],[Tag Cabo]],BD!A:F,6,0)</f>
        <v>18AWG</v>
      </c>
      <c r="I908" s="27" t="s">
        <v>1705</v>
      </c>
      <c r="J908" s="27" t="s">
        <v>1706</v>
      </c>
    </row>
    <row r="909" spans="1:10" x14ac:dyDescent="0.25">
      <c r="A909" s="216" t="s">
        <v>1339</v>
      </c>
      <c r="B909" s="45" t="str">
        <f>VLOOKUP(Tabela12[[#This Row],[Painel]],Tabela13[],2,0)</f>
        <v>GA-9312/S</v>
      </c>
      <c r="C909" s="45" t="s">
        <v>1340</v>
      </c>
      <c r="D909" s="21" t="s">
        <v>1864</v>
      </c>
      <c r="E909" s="21">
        <v>2</v>
      </c>
      <c r="F909" s="27" t="str">
        <f>Tabela12[[#This Row],[Régua]]&amp;" ("&amp;Tabela12[[#This Row],[Born]]&amp;")"</f>
        <v>P1 (2)</v>
      </c>
      <c r="G909" s="27">
        <f>LEN(Tabela12[[#This Row],[Anilha]])</f>
        <v>6</v>
      </c>
      <c r="H909" s="21" t="str">
        <f>VLOOKUP(Tabela12[[#This Row],[Tag Cabo]],BD!A:F,6,0)</f>
        <v>18AWG</v>
      </c>
      <c r="I909" s="27" t="s">
        <v>1705</v>
      </c>
      <c r="J909" s="27" t="s">
        <v>1706</v>
      </c>
    </row>
    <row r="910" spans="1:10" x14ac:dyDescent="0.25">
      <c r="A910" s="216" t="s">
        <v>1339</v>
      </c>
      <c r="B910" s="45" t="str">
        <f>VLOOKUP(Tabela12[[#This Row],[Painel]],Tabela13[],2,0)</f>
        <v>PERIF. IV</v>
      </c>
      <c r="C910" s="45" t="s">
        <v>1575</v>
      </c>
      <c r="D910" s="21" t="s">
        <v>1865</v>
      </c>
      <c r="E910" s="21" t="s">
        <v>1760</v>
      </c>
      <c r="F910" s="27" t="str">
        <f>Tabela12[[#This Row],[Régua]]&amp;" ("&amp;Tabela12[[#This Row],[Born]]&amp;")"</f>
        <v>FPS-01 (+)</v>
      </c>
      <c r="G910" s="27">
        <f>LEN(Tabela12[[#This Row],[Anilha]])</f>
        <v>10</v>
      </c>
      <c r="H910" s="21" t="str">
        <f>VLOOKUP(Tabela12[[#This Row],[Tag Cabo]],BD!A:F,6,0)</f>
        <v>18AWG</v>
      </c>
      <c r="I910" s="27" t="s">
        <v>1705</v>
      </c>
      <c r="J910" s="27" t="s">
        <v>1706</v>
      </c>
    </row>
    <row r="911" spans="1:10" x14ac:dyDescent="0.25">
      <c r="A911" s="216" t="s">
        <v>1339</v>
      </c>
      <c r="B911" s="45" t="str">
        <f>VLOOKUP(Tabela12[[#This Row],[Painel]],Tabela13[],2,0)</f>
        <v>PERIF. IV</v>
      </c>
      <c r="C911" s="45" t="s">
        <v>1575</v>
      </c>
      <c r="D911" s="21" t="s">
        <v>1865</v>
      </c>
      <c r="E911" s="21" t="s">
        <v>92</v>
      </c>
      <c r="F911" s="27" t="str">
        <f>Tabela12[[#This Row],[Régua]]&amp;" ("&amp;Tabela12[[#This Row],[Born]]&amp;")"</f>
        <v>FPS-01 (-)</v>
      </c>
      <c r="G911" s="27">
        <f>LEN(Tabela12[[#This Row],[Anilha]])</f>
        <v>10</v>
      </c>
      <c r="H911" s="21" t="str">
        <f>VLOOKUP(Tabela12[[#This Row],[Tag Cabo]],BD!A:F,6,0)</f>
        <v>18AWG</v>
      </c>
      <c r="I911" s="27" t="s">
        <v>1705</v>
      </c>
      <c r="J911" s="27" t="s">
        <v>1706</v>
      </c>
    </row>
    <row r="912" spans="1:10" x14ac:dyDescent="0.25">
      <c r="A912" s="216" t="s">
        <v>1339</v>
      </c>
      <c r="B912" s="45" t="str">
        <f>VLOOKUP(Tabela12[[#This Row],[Painel]],Tabela13[],2,0)</f>
        <v>GA-9312/S</v>
      </c>
      <c r="C912" s="45" t="s">
        <v>1340</v>
      </c>
      <c r="D912" s="21" t="s">
        <v>1864</v>
      </c>
      <c r="E912" s="21">
        <v>1</v>
      </c>
      <c r="F912" s="27" t="str">
        <f>Tabela12[[#This Row],[Régua]]&amp;" ("&amp;Tabela12[[#This Row],[Born]]&amp;")"</f>
        <v>P1 (1)</v>
      </c>
      <c r="G912" s="27">
        <f>LEN(Tabela12[[#This Row],[Anilha]])</f>
        <v>6</v>
      </c>
      <c r="H912" s="21" t="str">
        <f>VLOOKUP(Tabela12[[#This Row],[Tag Cabo]],BD!A:F,6,0)</f>
        <v>18AWG</v>
      </c>
      <c r="I912" s="27" t="s">
        <v>1705</v>
      </c>
      <c r="J912" s="27" t="s">
        <v>1706</v>
      </c>
    </row>
    <row r="913" spans="1:10" x14ac:dyDescent="0.25">
      <c r="A913" s="216" t="s">
        <v>1339</v>
      </c>
      <c r="B913" s="45" t="str">
        <f>VLOOKUP(Tabela12[[#This Row],[Painel]],Tabela13[],2,0)</f>
        <v>GA-9312/S</v>
      </c>
      <c r="C913" s="45" t="s">
        <v>1340</v>
      </c>
      <c r="D913" s="21" t="s">
        <v>1864</v>
      </c>
      <c r="E913" s="21">
        <v>2</v>
      </c>
      <c r="F913" s="27" t="str">
        <f>Tabela12[[#This Row],[Régua]]&amp;" ("&amp;Tabela12[[#This Row],[Born]]&amp;")"</f>
        <v>P1 (2)</v>
      </c>
      <c r="G913" s="27">
        <f>LEN(Tabela12[[#This Row],[Anilha]])</f>
        <v>6</v>
      </c>
      <c r="H913" s="21" t="str">
        <f>VLOOKUP(Tabela12[[#This Row],[Tag Cabo]],BD!A:F,6,0)</f>
        <v>18AWG</v>
      </c>
      <c r="I913" s="27" t="s">
        <v>1705</v>
      </c>
      <c r="J913" s="27" t="s">
        <v>1706</v>
      </c>
    </row>
    <row r="914" spans="1:10" x14ac:dyDescent="0.25">
      <c r="A914" s="216" t="s">
        <v>1339</v>
      </c>
      <c r="B914" s="45" t="str">
        <f>VLOOKUP(Tabela12[[#This Row],[Painel]],Tabela13[],2,0)</f>
        <v>PERIF. IV</v>
      </c>
      <c r="C914" s="45" t="s">
        <v>1575</v>
      </c>
      <c r="D914" s="21" t="s">
        <v>1865</v>
      </c>
      <c r="E914" s="21" t="s">
        <v>1760</v>
      </c>
      <c r="F914" s="27" t="str">
        <f>Tabela12[[#This Row],[Régua]]&amp;" ("&amp;Tabela12[[#This Row],[Born]]&amp;")"</f>
        <v>FPS-01 (+)</v>
      </c>
      <c r="G914" s="27">
        <f>LEN(Tabela12[[#This Row],[Anilha]])</f>
        <v>10</v>
      </c>
      <c r="H914" s="21" t="str">
        <f>VLOOKUP(Tabela12[[#This Row],[Tag Cabo]],BD!A:F,6,0)</f>
        <v>18AWG</v>
      </c>
      <c r="I914" s="27" t="s">
        <v>1705</v>
      </c>
      <c r="J914" s="27" t="s">
        <v>1706</v>
      </c>
    </row>
    <row r="915" spans="1:10" x14ac:dyDescent="0.25">
      <c r="A915" s="216" t="s">
        <v>1339</v>
      </c>
      <c r="B915" s="45" t="str">
        <f>VLOOKUP(Tabela12[[#This Row],[Painel]],Tabela13[],2,0)</f>
        <v>PERIF. IV</v>
      </c>
      <c r="C915" s="45" t="s">
        <v>1575</v>
      </c>
      <c r="D915" s="21" t="s">
        <v>1865</v>
      </c>
      <c r="E915" s="21" t="s">
        <v>92</v>
      </c>
      <c r="F915" s="27" t="str">
        <f>Tabela12[[#This Row],[Régua]]&amp;" ("&amp;Tabela12[[#This Row],[Born]]&amp;")"</f>
        <v>FPS-01 (-)</v>
      </c>
      <c r="G915" s="27">
        <f>LEN(Tabela12[[#This Row],[Anilha]])</f>
        <v>10</v>
      </c>
      <c r="H915" s="21" t="str">
        <f>VLOOKUP(Tabela12[[#This Row],[Tag Cabo]],BD!A:F,6,0)</f>
        <v>18AWG</v>
      </c>
      <c r="I915" s="27" t="s">
        <v>1705</v>
      </c>
      <c r="J915" s="27" t="s">
        <v>1706</v>
      </c>
    </row>
    <row r="916" spans="1:10" x14ac:dyDescent="0.25">
      <c r="A916" s="216" t="s">
        <v>1334</v>
      </c>
      <c r="B916" s="45" t="str">
        <f>VLOOKUP(Tabela12[[#This Row],[Painel]],Tabela13[],2,0)</f>
        <v>GA-906E</v>
      </c>
      <c r="C916" s="45" t="s">
        <v>1333</v>
      </c>
      <c r="D916" s="21" t="s">
        <v>1864</v>
      </c>
      <c r="E916" s="21">
        <v>1</v>
      </c>
      <c r="F916" s="27" t="str">
        <f>Tabela12[[#This Row],[Régua]]&amp;" ("&amp;Tabela12[[#This Row],[Born]]&amp;")"</f>
        <v>P1 (1)</v>
      </c>
      <c r="G916" s="27">
        <f>LEN(Tabela12[[#This Row],[Anilha]])</f>
        <v>6</v>
      </c>
      <c r="H916" s="21" t="str">
        <f>VLOOKUP(Tabela12[[#This Row],[Tag Cabo]],BD!A:F,6,0)</f>
        <v>18AWG</v>
      </c>
      <c r="I916" s="27" t="s">
        <v>1705</v>
      </c>
      <c r="J916" s="27" t="s">
        <v>1706</v>
      </c>
    </row>
    <row r="917" spans="1:10" x14ac:dyDescent="0.25">
      <c r="A917" s="216" t="s">
        <v>1334</v>
      </c>
      <c r="B917" s="45" t="str">
        <f>VLOOKUP(Tabela12[[#This Row],[Painel]],Tabela13[],2,0)</f>
        <v>GA-906E</v>
      </c>
      <c r="C917" s="45" t="s">
        <v>1333</v>
      </c>
      <c r="D917" s="21" t="s">
        <v>1864</v>
      </c>
      <c r="E917" s="21">
        <v>2</v>
      </c>
      <c r="F917" s="27" t="str">
        <f>Tabela12[[#This Row],[Régua]]&amp;" ("&amp;Tabela12[[#This Row],[Born]]&amp;")"</f>
        <v>P1 (2)</v>
      </c>
      <c r="G917" s="27">
        <f>LEN(Tabela12[[#This Row],[Anilha]])</f>
        <v>6</v>
      </c>
      <c r="H917" s="21" t="str">
        <f>VLOOKUP(Tabela12[[#This Row],[Tag Cabo]],BD!A:F,6,0)</f>
        <v>18AWG</v>
      </c>
      <c r="I917" s="27" t="s">
        <v>1705</v>
      </c>
      <c r="J917" s="27" t="s">
        <v>1706</v>
      </c>
    </row>
    <row r="918" spans="1:10" x14ac:dyDescent="0.25">
      <c r="A918" s="216" t="s">
        <v>1334</v>
      </c>
      <c r="B918" s="45" t="str">
        <f>VLOOKUP(Tabela12[[#This Row],[Painel]],Tabela13[],2,0)</f>
        <v>PERIF. IV</v>
      </c>
      <c r="C918" s="45" t="s">
        <v>1575</v>
      </c>
      <c r="D918" s="21" t="s">
        <v>1865</v>
      </c>
      <c r="E918" s="21" t="s">
        <v>1760</v>
      </c>
      <c r="F918" s="27" t="str">
        <f>Tabela12[[#This Row],[Régua]]&amp;" ("&amp;Tabela12[[#This Row],[Born]]&amp;")"</f>
        <v>FPS-01 (+)</v>
      </c>
      <c r="G918" s="27">
        <f>LEN(Tabela12[[#This Row],[Anilha]])</f>
        <v>10</v>
      </c>
      <c r="H918" s="21" t="str">
        <f>VLOOKUP(Tabela12[[#This Row],[Tag Cabo]],BD!A:F,6,0)</f>
        <v>18AWG</v>
      </c>
      <c r="I918" s="27" t="s">
        <v>1705</v>
      </c>
      <c r="J918" s="27" t="s">
        <v>1706</v>
      </c>
    </row>
    <row r="919" spans="1:10" x14ac:dyDescent="0.25">
      <c r="A919" s="216" t="s">
        <v>1334</v>
      </c>
      <c r="B919" s="45" t="str">
        <f>VLOOKUP(Tabela12[[#This Row],[Painel]],Tabela13[],2,0)</f>
        <v>PERIF. IV</v>
      </c>
      <c r="C919" s="45" t="s">
        <v>1575</v>
      </c>
      <c r="D919" s="21" t="s">
        <v>1865</v>
      </c>
      <c r="E919" s="21" t="s">
        <v>92</v>
      </c>
      <c r="F919" s="27" t="str">
        <f>Tabela12[[#This Row],[Régua]]&amp;" ("&amp;Tabela12[[#This Row],[Born]]&amp;")"</f>
        <v>FPS-01 (-)</v>
      </c>
      <c r="G919" s="27">
        <f>LEN(Tabela12[[#This Row],[Anilha]])</f>
        <v>10</v>
      </c>
      <c r="H919" s="21" t="str">
        <f>VLOOKUP(Tabela12[[#This Row],[Tag Cabo]],BD!A:F,6,0)</f>
        <v>18AWG</v>
      </c>
      <c r="I919" s="27" t="s">
        <v>1705</v>
      </c>
      <c r="J919" s="27" t="s">
        <v>1706</v>
      </c>
    </row>
    <row r="920" spans="1:10" x14ac:dyDescent="0.25">
      <c r="A920" s="216" t="s">
        <v>1336</v>
      </c>
      <c r="B920" s="45" t="str">
        <f>VLOOKUP(Tabela12[[#This Row],[Painel]],Tabela13[],2,0)</f>
        <v>GA-906E</v>
      </c>
      <c r="C920" s="45" t="s">
        <v>1327</v>
      </c>
      <c r="D920" s="21" t="s">
        <v>1864</v>
      </c>
      <c r="E920" s="21">
        <v>1</v>
      </c>
      <c r="F920" s="27" t="str">
        <f>Tabela12[[#This Row],[Régua]]&amp;" ("&amp;Tabela12[[#This Row],[Born]]&amp;")"</f>
        <v>P1 (1)</v>
      </c>
      <c r="G920" s="27">
        <f>LEN(Tabela12[[#This Row],[Anilha]])</f>
        <v>6</v>
      </c>
      <c r="H920" s="21" t="str">
        <f>VLOOKUP(Tabela12[[#This Row],[Tag Cabo]],BD!A:F,6,0)</f>
        <v>18AWG</v>
      </c>
      <c r="I920" s="27" t="s">
        <v>1705</v>
      </c>
      <c r="J920" s="27" t="s">
        <v>1706</v>
      </c>
    </row>
    <row r="921" spans="1:10" x14ac:dyDescent="0.25">
      <c r="A921" s="216" t="s">
        <v>1336</v>
      </c>
      <c r="B921" s="45" t="str">
        <f>VLOOKUP(Tabela12[[#This Row],[Painel]],Tabela13[],2,0)</f>
        <v>GA-906E</v>
      </c>
      <c r="C921" s="45" t="s">
        <v>1327</v>
      </c>
      <c r="D921" s="21" t="s">
        <v>1864</v>
      </c>
      <c r="E921" s="21">
        <v>2</v>
      </c>
      <c r="F921" s="27" t="str">
        <f>Tabela12[[#This Row],[Régua]]&amp;" ("&amp;Tabela12[[#This Row],[Born]]&amp;")"</f>
        <v>P1 (2)</v>
      </c>
      <c r="G921" s="27">
        <f>LEN(Tabela12[[#This Row],[Anilha]])</f>
        <v>6</v>
      </c>
      <c r="H921" s="21" t="str">
        <f>VLOOKUP(Tabela12[[#This Row],[Tag Cabo]],BD!A:F,6,0)</f>
        <v>18AWG</v>
      </c>
      <c r="I921" s="27" t="s">
        <v>1705</v>
      </c>
      <c r="J921" s="27" t="s">
        <v>1706</v>
      </c>
    </row>
    <row r="922" spans="1:10" x14ac:dyDescent="0.25">
      <c r="A922" s="216" t="s">
        <v>1336</v>
      </c>
      <c r="B922" s="45" t="str">
        <f>VLOOKUP(Tabela12[[#This Row],[Painel]],Tabela13[],2,0)</f>
        <v>PERIF. IV</v>
      </c>
      <c r="C922" s="45" t="s">
        <v>1575</v>
      </c>
      <c r="D922" s="21" t="s">
        <v>1866</v>
      </c>
      <c r="E922" s="21" t="s">
        <v>1760</v>
      </c>
      <c r="F922" s="27" t="str">
        <f>Tabela12[[#This Row],[Régua]]&amp;" ("&amp;Tabela12[[#This Row],[Born]]&amp;")"</f>
        <v>FPS-02 (+)</v>
      </c>
      <c r="G922" s="27">
        <f>LEN(Tabela12[[#This Row],[Anilha]])</f>
        <v>10</v>
      </c>
      <c r="H922" s="21" t="str">
        <f>VLOOKUP(Tabela12[[#This Row],[Tag Cabo]],BD!A:F,6,0)</f>
        <v>18AWG</v>
      </c>
      <c r="I922" s="27" t="s">
        <v>1705</v>
      </c>
      <c r="J922" s="27" t="s">
        <v>1706</v>
      </c>
    </row>
    <row r="923" spans="1:10" x14ac:dyDescent="0.25">
      <c r="A923" s="216" t="s">
        <v>1336</v>
      </c>
      <c r="B923" s="45" t="str">
        <f>VLOOKUP(Tabela12[[#This Row],[Painel]],Tabela13[],2,0)</f>
        <v>PERIF. IV</v>
      </c>
      <c r="C923" s="45" t="s">
        <v>1575</v>
      </c>
      <c r="D923" s="21" t="s">
        <v>1866</v>
      </c>
      <c r="E923" s="21" t="s">
        <v>92</v>
      </c>
      <c r="F923" s="27" t="str">
        <f>Tabela12[[#This Row],[Régua]]&amp;" ("&amp;Tabela12[[#This Row],[Born]]&amp;")"</f>
        <v>FPS-02 (-)</v>
      </c>
      <c r="G923" s="27">
        <f>LEN(Tabela12[[#This Row],[Anilha]])</f>
        <v>10</v>
      </c>
      <c r="H923" s="21" t="str">
        <f>VLOOKUP(Tabela12[[#This Row],[Tag Cabo]],BD!A:F,6,0)</f>
        <v>18AWG</v>
      </c>
      <c r="I923" s="27" t="s">
        <v>1705</v>
      </c>
      <c r="J923" s="27" t="s">
        <v>1706</v>
      </c>
    </row>
    <row r="924" spans="1:10" x14ac:dyDescent="0.25">
      <c r="A924" s="216" t="s">
        <v>1336</v>
      </c>
      <c r="B924" s="45" t="str">
        <f>VLOOKUP(Tabela12[[#This Row],[Painel]],Tabela13[],2,0)</f>
        <v>GA-906E</v>
      </c>
      <c r="C924" s="45" t="s">
        <v>1327</v>
      </c>
      <c r="D924" s="21" t="s">
        <v>1864</v>
      </c>
      <c r="E924" s="21">
        <v>1</v>
      </c>
      <c r="F924" s="27" t="str">
        <f>Tabela12[[#This Row],[Régua]]&amp;" ("&amp;Tabela12[[#This Row],[Born]]&amp;")"</f>
        <v>P1 (1)</v>
      </c>
      <c r="G924" s="27">
        <f>LEN(Tabela12[[#This Row],[Anilha]])</f>
        <v>6</v>
      </c>
      <c r="H924" s="21" t="str">
        <f>VLOOKUP(Tabela12[[#This Row],[Tag Cabo]],BD!A:F,6,0)</f>
        <v>18AWG</v>
      </c>
      <c r="I924" s="27" t="s">
        <v>1705</v>
      </c>
      <c r="J924" s="27" t="s">
        <v>1706</v>
      </c>
    </row>
    <row r="925" spans="1:10" x14ac:dyDescent="0.25">
      <c r="A925" s="216" t="s">
        <v>1336</v>
      </c>
      <c r="B925" s="45" t="str">
        <f>VLOOKUP(Tabela12[[#This Row],[Painel]],Tabela13[],2,0)</f>
        <v>GA-906E</v>
      </c>
      <c r="C925" s="45" t="s">
        <v>1327</v>
      </c>
      <c r="D925" s="21" t="s">
        <v>1864</v>
      </c>
      <c r="E925" s="21">
        <v>2</v>
      </c>
      <c r="F925" s="27" t="str">
        <f>Tabela12[[#This Row],[Régua]]&amp;" ("&amp;Tabela12[[#This Row],[Born]]&amp;")"</f>
        <v>P1 (2)</v>
      </c>
      <c r="G925" s="27">
        <f>LEN(Tabela12[[#This Row],[Anilha]])</f>
        <v>6</v>
      </c>
      <c r="H925" s="21" t="str">
        <f>VLOOKUP(Tabela12[[#This Row],[Tag Cabo]],BD!A:F,6,0)</f>
        <v>18AWG</v>
      </c>
      <c r="I925" s="27" t="s">
        <v>1705</v>
      </c>
      <c r="J925" s="27" t="s">
        <v>1706</v>
      </c>
    </row>
    <row r="926" spans="1:10" x14ac:dyDescent="0.25">
      <c r="A926" s="216" t="s">
        <v>1336</v>
      </c>
      <c r="B926" s="45" t="str">
        <f>VLOOKUP(Tabela12[[#This Row],[Painel]],Tabela13[],2,0)</f>
        <v>PERIF. IV</v>
      </c>
      <c r="C926" s="45" t="s">
        <v>1575</v>
      </c>
      <c r="D926" s="21" t="s">
        <v>1866</v>
      </c>
      <c r="E926" s="21" t="s">
        <v>1760</v>
      </c>
      <c r="F926" s="27" t="str">
        <f>Tabela12[[#This Row],[Régua]]&amp;" ("&amp;Tabela12[[#This Row],[Born]]&amp;")"</f>
        <v>FPS-02 (+)</v>
      </c>
      <c r="G926" s="27">
        <f>LEN(Tabela12[[#This Row],[Anilha]])</f>
        <v>10</v>
      </c>
      <c r="H926" s="21" t="str">
        <f>VLOOKUP(Tabela12[[#This Row],[Tag Cabo]],BD!A:F,6,0)</f>
        <v>18AWG</v>
      </c>
      <c r="I926" s="27" t="s">
        <v>1705</v>
      </c>
      <c r="J926" s="27" t="s">
        <v>1706</v>
      </c>
    </row>
    <row r="927" spans="1:10" x14ac:dyDescent="0.25">
      <c r="A927" s="216" t="s">
        <v>1336</v>
      </c>
      <c r="B927" s="45" t="str">
        <f>VLOOKUP(Tabela12[[#This Row],[Painel]],Tabela13[],2,0)</f>
        <v>PERIF. IV</v>
      </c>
      <c r="C927" s="45" t="s">
        <v>1575</v>
      </c>
      <c r="D927" s="21" t="s">
        <v>1866</v>
      </c>
      <c r="E927" s="21" t="s">
        <v>92</v>
      </c>
      <c r="F927" s="27" t="str">
        <f>Tabela12[[#This Row],[Régua]]&amp;" ("&amp;Tabela12[[#This Row],[Born]]&amp;")"</f>
        <v>FPS-02 (-)</v>
      </c>
      <c r="G927" s="27">
        <f>LEN(Tabela12[[#This Row],[Anilha]])</f>
        <v>10</v>
      </c>
      <c r="H927" s="21" t="str">
        <f>VLOOKUP(Tabela12[[#This Row],[Tag Cabo]],BD!A:F,6,0)</f>
        <v>18AWG</v>
      </c>
      <c r="I927" s="27" t="s">
        <v>1705</v>
      </c>
      <c r="J927" s="27" t="s">
        <v>1706</v>
      </c>
    </row>
    <row r="928" spans="1:10" x14ac:dyDescent="0.25">
      <c r="A928" s="216" t="s">
        <v>1353</v>
      </c>
      <c r="B928" s="45" t="str">
        <f>VLOOKUP(Tabela12[[#This Row],[Painel]],Tabela13[],2,0)</f>
        <v>GA-9312/S</v>
      </c>
      <c r="C928" s="45" t="s">
        <v>1340</v>
      </c>
      <c r="D928" s="21" t="s">
        <v>1867</v>
      </c>
      <c r="E928" s="21">
        <v>1</v>
      </c>
      <c r="F928" s="27" t="str">
        <f>Tabela12[[#This Row],[Régua]]&amp;" ("&amp;Tabela12[[#This Row],[Born]]&amp;")"</f>
        <v>SO (1)</v>
      </c>
      <c r="G928" s="27">
        <f>LEN(Tabela12[[#This Row],[Anilha]])</f>
        <v>6</v>
      </c>
      <c r="H928" s="21" t="str">
        <f>VLOOKUP(Tabela12[[#This Row],[Tag Cabo]],BD!A:F,6,0)</f>
        <v>18AWG</v>
      </c>
      <c r="I928" s="27" t="s">
        <v>1705</v>
      </c>
      <c r="J928" s="27" t="s">
        <v>1706</v>
      </c>
    </row>
    <row r="929" spans="1:10" x14ac:dyDescent="0.25">
      <c r="A929" s="216" t="s">
        <v>1353</v>
      </c>
      <c r="B929" s="45" t="str">
        <f>VLOOKUP(Tabela12[[#This Row],[Painel]],Tabela13[],2,0)</f>
        <v>GA-9312/S</v>
      </c>
      <c r="C929" s="45" t="s">
        <v>1340</v>
      </c>
      <c r="D929" s="21" t="s">
        <v>1867</v>
      </c>
      <c r="E929" s="21">
        <v>2</v>
      </c>
      <c r="F929" s="27" t="str">
        <f>Tabela12[[#This Row],[Régua]]&amp;" ("&amp;Tabela12[[#This Row],[Born]]&amp;")"</f>
        <v>SO (2)</v>
      </c>
      <c r="G929" s="27">
        <f>LEN(Tabela12[[#This Row],[Anilha]])</f>
        <v>6</v>
      </c>
      <c r="H929" s="21" t="str">
        <f>VLOOKUP(Tabela12[[#This Row],[Tag Cabo]],BD!A:F,6,0)</f>
        <v>18AWG</v>
      </c>
      <c r="I929" s="27" t="s">
        <v>1705</v>
      </c>
      <c r="J929" s="27" t="s">
        <v>1706</v>
      </c>
    </row>
    <row r="930" spans="1:10" x14ac:dyDescent="0.25">
      <c r="A930" s="216" t="s">
        <v>1353</v>
      </c>
      <c r="B930" s="45" t="str">
        <f>VLOOKUP(Tabela12[[#This Row],[Painel]],Tabela13[],2,0)</f>
        <v>GA-9312/S</v>
      </c>
      <c r="C930" s="45" t="s">
        <v>1340</v>
      </c>
      <c r="D930" s="21" t="s">
        <v>1867</v>
      </c>
      <c r="E930" s="21">
        <v>1</v>
      </c>
      <c r="F930" s="27" t="str">
        <f>Tabela12[[#This Row],[Régua]]&amp;" ("&amp;Tabela12[[#This Row],[Born]]&amp;")"</f>
        <v>SO (1)</v>
      </c>
      <c r="G930" s="27">
        <f>LEN(Tabela12[[#This Row],[Anilha]])</f>
        <v>6</v>
      </c>
      <c r="H930" s="21" t="str">
        <f>VLOOKUP(Tabela12[[#This Row],[Tag Cabo]],BD!A:F,6,0)</f>
        <v>18AWG</v>
      </c>
      <c r="I930" s="27" t="s">
        <v>1705</v>
      </c>
      <c r="J930" s="27" t="s">
        <v>1706</v>
      </c>
    </row>
    <row r="931" spans="1:10" x14ac:dyDescent="0.25">
      <c r="A931" s="216" t="s">
        <v>1353</v>
      </c>
      <c r="B931" s="45" t="str">
        <f>VLOOKUP(Tabela12[[#This Row],[Painel]],Tabela13[],2,0)</f>
        <v>GA-9312/S</v>
      </c>
      <c r="C931" s="45" t="s">
        <v>1340</v>
      </c>
      <c r="D931" s="21" t="s">
        <v>1867</v>
      </c>
      <c r="E931" s="21">
        <v>2</v>
      </c>
      <c r="F931" s="27" t="str">
        <f>Tabela12[[#This Row],[Régua]]&amp;" ("&amp;Tabela12[[#This Row],[Born]]&amp;")"</f>
        <v>SO (2)</v>
      </c>
      <c r="G931" s="27">
        <f>LEN(Tabela12[[#This Row],[Anilha]])</f>
        <v>6</v>
      </c>
      <c r="H931" s="21" t="str">
        <f>VLOOKUP(Tabela12[[#This Row],[Tag Cabo]],BD!A:F,6,0)</f>
        <v>18AWG</v>
      </c>
      <c r="I931" s="27" t="s">
        <v>1705</v>
      </c>
      <c r="J931" s="27" t="s">
        <v>1706</v>
      </c>
    </row>
    <row r="932" spans="1:10" x14ac:dyDescent="0.25">
      <c r="A932" s="216" t="s">
        <v>1353</v>
      </c>
      <c r="B932" s="45" t="str">
        <f>VLOOKUP(Tabela12[[#This Row],[Painel]],Tabela13[],2,0)</f>
        <v>GA-9312/S</v>
      </c>
      <c r="C932" s="45" t="s">
        <v>1347</v>
      </c>
      <c r="D932" s="21" t="s">
        <v>1864</v>
      </c>
      <c r="E932" s="21">
        <v>1</v>
      </c>
      <c r="F932" s="27" t="str">
        <f>Tabela12[[#This Row],[Régua]]&amp;" ("&amp;Tabela12[[#This Row],[Born]]&amp;")"</f>
        <v>P1 (1)</v>
      </c>
      <c r="G932" s="27">
        <f>LEN(Tabela12[[#This Row],[Anilha]])</f>
        <v>6</v>
      </c>
      <c r="H932" s="21" t="str">
        <f>VLOOKUP(Tabela12[[#This Row],[Tag Cabo]],BD!A:F,6,0)</f>
        <v>18AWG</v>
      </c>
      <c r="I932" s="27" t="s">
        <v>1705</v>
      </c>
      <c r="J932" s="27" t="s">
        <v>1706</v>
      </c>
    </row>
    <row r="933" spans="1:10" x14ac:dyDescent="0.25">
      <c r="A933" s="216" t="s">
        <v>1353</v>
      </c>
      <c r="B933" s="45" t="str">
        <f>VLOOKUP(Tabela12[[#This Row],[Painel]],Tabela13[],2,0)</f>
        <v>GA-9312/S</v>
      </c>
      <c r="C933" s="45" t="s">
        <v>1347</v>
      </c>
      <c r="D933" s="21" t="s">
        <v>1864</v>
      </c>
      <c r="E933" s="21">
        <v>2</v>
      </c>
      <c r="F933" s="27" t="str">
        <f>Tabela12[[#This Row],[Régua]]&amp;" ("&amp;Tabela12[[#This Row],[Born]]&amp;")"</f>
        <v>P1 (2)</v>
      </c>
      <c r="G933" s="27">
        <f>LEN(Tabela12[[#This Row],[Anilha]])</f>
        <v>6</v>
      </c>
      <c r="H933" s="21" t="str">
        <f>VLOOKUP(Tabela12[[#This Row],[Tag Cabo]],BD!A:F,6,0)</f>
        <v>18AWG</v>
      </c>
      <c r="I933" s="27" t="s">
        <v>1705</v>
      </c>
      <c r="J933" s="27" t="s">
        <v>1706</v>
      </c>
    </row>
    <row r="934" spans="1:10" x14ac:dyDescent="0.25">
      <c r="A934" s="21" t="s">
        <v>1374</v>
      </c>
      <c r="B934" s="391" t="str">
        <f>VLOOKUP(Tabela12[[#This Row],[Painel]],Tabela13[],2,0)</f>
        <v>GB-967A/B</v>
      </c>
      <c r="C934" s="391" t="s">
        <v>1253</v>
      </c>
      <c r="D934" s="21" t="s">
        <v>1761</v>
      </c>
      <c r="E934" s="21" t="s">
        <v>1742</v>
      </c>
      <c r="F934" s="21" t="str">
        <f>Tabela12[[#This Row],[Régua]]&amp;" ("&amp;Tabela12[[#This Row],[Born]]&amp;")"</f>
        <v>TS-001 (1+)</v>
      </c>
      <c r="G934" s="27">
        <f>LEN(Tabela12[[#This Row],[Anilha]])</f>
        <v>11</v>
      </c>
      <c r="H934" s="21">
        <f>VLOOKUP(Tabela12[[#This Row],[Tag Cabo]],BD!A:F,6,0)</f>
        <v>1</v>
      </c>
      <c r="I934" s="27" t="s">
        <v>1705</v>
      </c>
      <c r="J934" s="27" t="s">
        <v>1706</v>
      </c>
    </row>
    <row r="935" spans="1:10" x14ac:dyDescent="0.25">
      <c r="A935" s="21" t="s">
        <v>1374</v>
      </c>
      <c r="B935" s="391" t="str">
        <f>VLOOKUP(Tabela12[[#This Row],[Painel]],Tabela13[],2,0)</f>
        <v>GB-967A/B</v>
      </c>
      <c r="C935" s="391" t="s">
        <v>1253</v>
      </c>
      <c r="D935" s="21" t="s">
        <v>1761</v>
      </c>
      <c r="E935" s="21" t="s">
        <v>1743</v>
      </c>
      <c r="F935" s="21" t="str">
        <f>Tabela12[[#This Row],[Régua]]&amp;" ("&amp;Tabela12[[#This Row],[Born]]&amp;")"</f>
        <v>TS-001 (1-)</v>
      </c>
      <c r="G935" s="27">
        <f>LEN(Tabela12[[#This Row],[Anilha]])</f>
        <v>11</v>
      </c>
      <c r="H935" s="21">
        <f>VLOOKUP(Tabela12[[#This Row],[Tag Cabo]],BD!A:F,6,0)</f>
        <v>1</v>
      </c>
      <c r="I935" s="27" t="s">
        <v>1705</v>
      </c>
      <c r="J935" s="27" t="s">
        <v>1706</v>
      </c>
    </row>
    <row r="936" spans="1:10" x14ac:dyDescent="0.25">
      <c r="A936" s="21" t="s">
        <v>1374</v>
      </c>
      <c r="B936" s="391" t="str">
        <f>VLOOKUP(Tabela12[[#This Row],[Painel]],Tabela13[],2,0)</f>
        <v>Vários</v>
      </c>
      <c r="C936" s="391" t="s">
        <v>1574</v>
      </c>
      <c r="D936" s="21" t="s">
        <v>1374</v>
      </c>
      <c r="E936" s="21" t="s">
        <v>1760</v>
      </c>
      <c r="F936" s="21" t="str">
        <f>Tabela12[[#This Row],[Régua]]&amp;" ("&amp;Tabela12[[#This Row],[Born]]&amp;")"</f>
        <v>PT-90253 (+)</v>
      </c>
      <c r="G936" s="27">
        <f>LEN(Tabela12[[#This Row],[Anilha]])</f>
        <v>12</v>
      </c>
      <c r="H936" s="21">
        <f>VLOOKUP(Tabela12[[#This Row],[Tag Cabo]],BD!A:F,6,0)</f>
        <v>1</v>
      </c>
      <c r="I936" s="27" t="s">
        <v>1705</v>
      </c>
      <c r="J936" s="27" t="s">
        <v>1706</v>
      </c>
    </row>
    <row r="937" spans="1:10" x14ac:dyDescent="0.25">
      <c r="A937" s="21" t="s">
        <v>1374</v>
      </c>
      <c r="B937" s="391" t="str">
        <f>VLOOKUP(Tabela12[[#This Row],[Painel]],Tabela13[],2,0)</f>
        <v>Vários</v>
      </c>
      <c r="C937" s="391" t="s">
        <v>1574</v>
      </c>
      <c r="D937" s="21" t="s">
        <v>1374</v>
      </c>
      <c r="E937" s="21" t="s">
        <v>92</v>
      </c>
      <c r="F937" s="21" t="str">
        <f>Tabela12[[#This Row],[Régua]]&amp;" ("&amp;Tabela12[[#This Row],[Born]]&amp;")"</f>
        <v>PT-90253 (-)</v>
      </c>
      <c r="G937" s="27">
        <f>LEN(Tabela12[[#This Row],[Anilha]])</f>
        <v>12</v>
      </c>
      <c r="H937" s="21">
        <f>VLOOKUP(Tabela12[[#This Row],[Tag Cabo]],BD!A:F,6,0)</f>
        <v>1</v>
      </c>
      <c r="I937" s="27" t="s">
        <v>1705</v>
      </c>
      <c r="J937" s="27" t="s">
        <v>1706</v>
      </c>
    </row>
    <row r="938" spans="1:10" x14ac:dyDescent="0.25">
      <c r="A938" s="21" t="s">
        <v>1371</v>
      </c>
      <c r="B938" s="391" t="str">
        <f>VLOOKUP(Tabela12[[#This Row],[Painel]],Tabela13[],2,0)</f>
        <v>GB-967A/B</v>
      </c>
      <c r="C938" s="391" t="s">
        <v>1242</v>
      </c>
      <c r="D938" s="21" t="s">
        <v>1761</v>
      </c>
      <c r="E938" s="21" t="s">
        <v>1742</v>
      </c>
      <c r="F938" s="21" t="str">
        <f>Tabela12[[#This Row],[Régua]]&amp;" ("&amp;Tabela12[[#This Row],[Born]]&amp;")"</f>
        <v>TS-001 (1+)</v>
      </c>
      <c r="G938" s="27">
        <f>LEN(Tabela12[[#This Row],[Anilha]])</f>
        <v>11</v>
      </c>
      <c r="H938" s="21">
        <f>VLOOKUP(Tabela12[[#This Row],[Tag Cabo]],BD!A:F,6,0)</f>
        <v>1</v>
      </c>
      <c r="I938" s="27" t="s">
        <v>1705</v>
      </c>
      <c r="J938" s="27" t="s">
        <v>1706</v>
      </c>
    </row>
    <row r="939" spans="1:10" x14ac:dyDescent="0.25">
      <c r="A939" s="21" t="s">
        <v>1371</v>
      </c>
      <c r="B939" s="391" t="str">
        <f>VLOOKUP(Tabela12[[#This Row],[Painel]],Tabela13[],2,0)</f>
        <v>GB-967A/B</v>
      </c>
      <c r="C939" s="391" t="s">
        <v>1242</v>
      </c>
      <c r="D939" s="21" t="s">
        <v>1761</v>
      </c>
      <c r="E939" s="21" t="s">
        <v>1743</v>
      </c>
      <c r="F939" s="21" t="str">
        <f>Tabela12[[#This Row],[Régua]]&amp;" ("&amp;Tabela12[[#This Row],[Born]]&amp;")"</f>
        <v>TS-001 (1-)</v>
      </c>
      <c r="G939" s="27">
        <f>LEN(Tabela12[[#This Row],[Anilha]])</f>
        <v>11</v>
      </c>
      <c r="H939" s="21">
        <f>VLOOKUP(Tabela12[[#This Row],[Tag Cabo]],BD!A:F,6,0)</f>
        <v>1</v>
      </c>
      <c r="I939" s="27" t="s">
        <v>1705</v>
      </c>
      <c r="J939" s="27" t="s">
        <v>1706</v>
      </c>
    </row>
    <row r="940" spans="1:10" x14ac:dyDescent="0.25">
      <c r="A940" s="21" t="s">
        <v>1371</v>
      </c>
      <c r="B940" s="391" t="str">
        <f>VLOOKUP(Tabela12[[#This Row],[Painel]],Tabela13[],2,0)</f>
        <v>Vários</v>
      </c>
      <c r="C940" s="391" t="s">
        <v>1574</v>
      </c>
      <c r="D940" s="21" t="s">
        <v>1371</v>
      </c>
      <c r="E940" s="21" t="s">
        <v>1760</v>
      </c>
      <c r="F940" s="21" t="str">
        <f>Tabela12[[#This Row],[Régua]]&amp;" ("&amp;Tabela12[[#This Row],[Born]]&amp;")"</f>
        <v>PT-90254 (+)</v>
      </c>
      <c r="G940" s="27">
        <f>LEN(Tabela12[[#This Row],[Anilha]])</f>
        <v>12</v>
      </c>
      <c r="H940" s="21">
        <f>VLOOKUP(Tabela12[[#This Row],[Tag Cabo]],BD!A:F,6,0)</f>
        <v>1</v>
      </c>
      <c r="I940" s="27" t="s">
        <v>1705</v>
      </c>
      <c r="J940" s="27" t="s">
        <v>1706</v>
      </c>
    </row>
    <row r="941" spans="1:10" x14ac:dyDescent="0.25">
      <c r="A941" s="21" t="s">
        <v>1371</v>
      </c>
      <c r="B941" s="391" t="str">
        <f>VLOOKUP(Tabela12[[#This Row],[Painel]],Tabela13[],2,0)</f>
        <v>Vários</v>
      </c>
      <c r="C941" s="391" t="s">
        <v>1574</v>
      </c>
      <c r="D941" s="21" t="s">
        <v>1371</v>
      </c>
      <c r="E941" s="21" t="s">
        <v>92</v>
      </c>
      <c r="F941" s="21" t="str">
        <f>Tabela12[[#This Row],[Régua]]&amp;" ("&amp;Tabela12[[#This Row],[Born]]&amp;")"</f>
        <v>PT-90254 (-)</v>
      </c>
      <c r="G941" s="27">
        <f>LEN(Tabela12[[#This Row],[Anilha]])</f>
        <v>12</v>
      </c>
      <c r="H941" s="21">
        <f>VLOOKUP(Tabela12[[#This Row],[Tag Cabo]],BD!A:F,6,0)</f>
        <v>1</v>
      </c>
      <c r="I941" s="27" t="s">
        <v>1705</v>
      </c>
      <c r="J941" s="27" t="s">
        <v>1706</v>
      </c>
    </row>
    <row r="942" spans="1:10" x14ac:dyDescent="0.25">
      <c r="A942" s="21" t="s">
        <v>1252</v>
      </c>
      <c r="B942" s="391" t="str">
        <f>VLOOKUP(Tabela12[[#This Row],[Painel]],Tabela13[],2,0)</f>
        <v>GB-967A/B</v>
      </c>
      <c r="C942" s="391" t="s">
        <v>1253</v>
      </c>
      <c r="D942" s="21" t="s">
        <v>1761</v>
      </c>
      <c r="E942" s="21" t="s">
        <v>1742</v>
      </c>
      <c r="F942" s="27" t="str">
        <f>Tabela12[[#This Row],[Régua]]&amp;" ("&amp;Tabela12[[#This Row],[Born]]&amp;")"</f>
        <v>TS-001 (1+)</v>
      </c>
      <c r="G942" s="27">
        <f>LEN(Tabela12[[#This Row],[Anilha]])</f>
        <v>11</v>
      </c>
      <c r="H942" s="21">
        <f>VLOOKUP(Tabela12[[#This Row],[Tag Cabo]],BD!A:F,6,0)</f>
        <v>1</v>
      </c>
      <c r="I942" s="27" t="s">
        <v>1705</v>
      </c>
      <c r="J942" s="27" t="s">
        <v>1706</v>
      </c>
    </row>
    <row r="943" spans="1:10" x14ac:dyDescent="0.25">
      <c r="A943" s="21" t="s">
        <v>1252</v>
      </c>
      <c r="B943" s="391" t="str">
        <f>VLOOKUP(Tabela12[[#This Row],[Painel]],Tabela13[],2,0)</f>
        <v>GB-967A/B</v>
      </c>
      <c r="C943" s="391" t="s">
        <v>1253</v>
      </c>
      <c r="D943" s="21" t="s">
        <v>1761</v>
      </c>
      <c r="E943" s="21" t="s">
        <v>1743</v>
      </c>
      <c r="F943" s="27" t="str">
        <f>Tabela12[[#This Row],[Régua]]&amp;" ("&amp;Tabela12[[#This Row],[Born]]&amp;")"</f>
        <v>TS-001 (1-)</v>
      </c>
      <c r="G943" s="27">
        <f>LEN(Tabela12[[#This Row],[Anilha]])</f>
        <v>11</v>
      </c>
      <c r="H943" s="21">
        <f>VLOOKUP(Tabela12[[#This Row],[Tag Cabo]],BD!A:F,6,0)</f>
        <v>1</v>
      </c>
      <c r="I943" s="27" t="s">
        <v>1705</v>
      </c>
      <c r="J943" s="27" t="s">
        <v>1706</v>
      </c>
    </row>
    <row r="944" spans="1:10" x14ac:dyDescent="0.25">
      <c r="A944" s="21" t="s">
        <v>1252</v>
      </c>
      <c r="B944" s="391" t="str">
        <f>VLOOKUP(Tabela12[[#This Row],[Painel]],Tabela13[],2,0)</f>
        <v>GB-967A/B</v>
      </c>
      <c r="C944" s="391" t="s">
        <v>1253</v>
      </c>
      <c r="D944" s="21" t="s">
        <v>1761</v>
      </c>
      <c r="E944" s="21" t="s">
        <v>1763</v>
      </c>
      <c r="F944" s="27" t="str">
        <f>Tabela12[[#This Row],[Régua]]&amp;" ("&amp;Tabela12[[#This Row],[Born]]&amp;")"</f>
        <v>TS-001 (2+)</v>
      </c>
      <c r="G944" s="27">
        <f>LEN(Tabela12[[#This Row],[Anilha]])</f>
        <v>11</v>
      </c>
      <c r="H944" s="21">
        <f>VLOOKUP(Tabela12[[#This Row],[Tag Cabo]],BD!A:F,6,0)</f>
        <v>1</v>
      </c>
      <c r="I944" s="27" t="s">
        <v>1705</v>
      </c>
      <c r="J944" s="27" t="s">
        <v>1706</v>
      </c>
    </row>
    <row r="945" spans="1:10" x14ac:dyDescent="0.25">
      <c r="A945" s="21" t="s">
        <v>1252</v>
      </c>
      <c r="B945" s="391" t="str">
        <f>VLOOKUP(Tabela12[[#This Row],[Painel]],Tabela13[],2,0)</f>
        <v>GB-967A/B</v>
      </c>
      <c r="C945" s="391" t="s">
        <v>1253</v>
      </c>
      <c r="D945" s="21" t="s">
        <v>1761</v>
      </c>
      <c r="E945" s="21" t="s">
        <v>1730</v>
      </c>
      <c r="F945" s="27" t="str">
        <f>Tabela12[[#This Row],[Régua]]&amp;" ("&amp;Tabela12[[#This Row],[Born]]&amp;")"</f>
        <v>TS-001 (2-)</v>
      </c>
      <c r="G945" s="27">
        <f>LEN(Tabela12[[#This Row],[Anilha]])</f>
        <v>11</v>
      </c>
      <c r="H945" s="21">
        <f>VLOOKUP(Tabela12[[#This Row],[Tag Cabo]],BD!A:F,6,0)</f>
        <v>1</v>
      </c>
      <c r="I945" s="27" t="s">
        <v>1705</v>
      </c>
      <c r="J945" s="27" t="s">
        <v>1706</v>
      </c>
    </row>
    <row r="946" spans="1:10" x14ac:dyDescent="0.25">
      <c r="A946" s="21" t="s">
        <v>1252</v>
      </c>
      <c r="B946" s="391" t="str">
        <f>VLOOKUP(Tabela12[[#This Row],[Painel]],Tabela13[],2,0)</f>
        <v>GB-967A/B</v>
      </c>
      <c r="C946" s="391" t="s">
        <v>1253</v>
      </c>
      <c r="D946" s="21" t="s">
        <v>1761</v>
      </c>
      <c r="E946" s="21" t="s">
        <v>1729</v>
      </c>
      <c r="F946" s="27" t="str">
        <f>Tabela12[[#This Row],[Régua]]&amp;" ("&amp;Tabela12[[#This Row],[Born]]&amp;")"</f>
        <v>TS-001 (3+)</v>
      </c>
      <c r="G946" s="27">
        <f>LEN(Tabela12[[#This Row],[Anilha]])</f>
        <v>11</v>
      </c>
      <c r="H946" s="21">
        <f>VLOOKUP(Tabela12[[#This Row],[Tag Cabo]],BD!A:F,6,0)</f>
        <v>1</v>
      </c>
      <c r="I946" s="27" t="s">
        <v>1705</v>
      </c>
      <c r="J946" s="27" t="s">
        <v>1706</v>
      </c>
    </row>
    <row r="947" spans="1:10" x14ac:dyDescent="0.25">
      <c r="A947" s="21" t="s">
        <v>1252</v>
      </c>
      <c r="B947" s="391" t="str">
        <f>VLOOKUP(Tabela12[[#This Row],[Painel]],Tabela13[],2,0)</f>
        <v>GB-967A/B</v>
      </c>
      <c r="C947" s="391" t="s">
        <v>1253</v>
      </c>
      <c r="D947" s="21" t="s">
        <v>1761</v>
      </c>
      <c r="E947" s="21" t="s">
        <v>1764</v>
      </c>
      <c r="F947" s="27" t="str">
        <f>Tabela12[[#This Row],[Régua]]&amp;" ("&amp;Tabela12[[#This Row],[Born]]&amp;")"</f>
        <v>TS-001 (3-)</v>
      </c>
      <c r="G947" s="27">
        <f>LEN(Tabela12[[#This Row],[Anilha]])</f>
        <v>11</v>
      </c>
      <c r="H947" s="21">
        <f>VLOOKUP(Tabela12[[#This Row],[Tag Cabo]],BD!A:F,6,0)</f>
        <v>1</v>
      </c>
      <c r="I947" s="27" t="s">
        <v>1705</v>
      </c>
      <c r="J947" s="27" t="s">
        <v>1706</v>
      </c>
    </row>
    <row r="948" spans="1:10" x14ac:dyDescent="0.25">
      <c r="A948" s="21" t="s">
        <v>1252</v>
      </c>
      <c r="B948" s="391" t="str">
        <f>VLOOKUP(Tabela12[[#This Row],[Painel]],Tabela13[],2,0)</f>
        <v>GB-967A/B</v>
      </c>
      <c r="C948" s="391" t="s">
        <v>1253</v>
      </c>
      <c r="D948" s="21" t="s">
        <v>1761</v>
      </c>
      <c r="E948" s="21" t="s">
        <v>1762</v>
      </c>
      <c r="F948" s="27" t="str">
        <f>Tabela12[[#This Row],[Régua]]&amp;" ("&amp;Tabela12[[#This Row],[Born]]&amp;")"</f>
        <v>TS-001 (4+)</v>
      </c>
      <c r="G948" s="27">
        <f>LEN(Tabela12[[#This Row],[Anilha]])</f>
        <v>11</v>
      </c>
      <c r="H948" s="21">
        <f>VLOOKUP(Tabela12[[#This Row],[Tag Cabo]],BD!A:F,6,0)</f>
        <v>1</v>
      </c>
      <c r="I948" s="27" t="s">
        <v>1705</v>
      </c>
      <c r="J948" s="27" t="s">
        <v>1706</v>
      </c>
    </row>
    <row r="949" spans="1:10" x14ac:dyDescent="0.25">
      <c r="A949" s="21" t="s">
        <v>1252</v>
      </c>
      <c r="B949" s="391" t="str">
        <f>VLOOKUP(Tabela12[[#This Row],[Painel]],Tabela13[],2,0)</f>
        <v>GB-967A/B</v>
      </c>
      <c r="C949" s="391" t="s">
        <v>1253</v>
      </c>
      <c r="D949" s="21" t="s">
        <v>1761</v>
      </c>
      <c r="E949" s="21" t="s">
        <v>1744</v>
      </c>
      <c r="F949" s="27" t="str">
        <f>Tabela12[[#This Row],[Régua]]&amp;" ("&amp;Tabela12[[#This Row],[Born]]&amp;")"</f>
        <v>TS-001 (4-)</v>
      </c>
      <c r="G949" s="27">
        <f>LEN(Tabela12[[#This Row],[Anilha]])</f>
        <v>11</v>
      </c>
      <c r="H949" s="21">
        <f>VLOOKUP(Tabela12[[#This Row],[Tag Cabo]],BD!A:F,6,0)</f>
        <v>1</v>
      </c>
      <c r="I949" s="27" t="s">
        <v>1705</v>
      </c>
      <c r="J949" s="27" t="s">
        <v>1706</v>
      </c>
    </row>
    <row r="950" spans="1:10" x14ac:dyDescent="0.25">
      <c r="A950" s="21" t="s">
        <v>1252</v>
      </c>
      <c r="B950" s="391" t="str">
        <f>VLOOKUP(Tabela12[[#This Row],[Painel]],Tabela13[],2,0)</f>
        <v>CCU</v>
      </c>
      <c r="C950" s="391" t="s">
        <v>1655</v>
      </c>
      <c r="D950" s="21" t="s">
        <v>1737</v>
      </c>
      <c r="E950" s="21">
        <v>1</v>
      </c>
      <c r="F950" s="27" t="str">
        <f>Tabela12[[#This Row],[Régua]]&amp;" ("&amp;Tabela12[[#This Row],[Born]]&amp;")"</f>
        <v>TB2 (1)</v>
      </c>
      <c r="G950" s="27">
        <f>LEN(Tabela12[[#This Row],[Anilha]])</f>
        <v>7</v>
      </c>
      <c r="H950" s="21">
        <f>VLOOKUP(Tabela12[[#This Row],[Tag Cabo]],BD!A:F,6,0)</f>
        <v>1</v>
      </c>
      <c r="I950" s="27" t="s">
        <v>1705</v>
      </c>
      <c r="J950" s="27" t="s">
        <v>1706</v>
      </c>
    </row>
    <row r="951" spans="1:10" x14ac:dyDescent="0.25">
      <c r="A951" s="21" t="s">
        <v>1252</v>
      </c>
      <c r="B951" s="391" t="str">
        <f>VLOOKUP(Tabela12[[#This Row],[Painel]],Tabela13[],2,0)</f>
        <v>CCU</v>
      </c>
      <c r="C951" s="391" t="s">
        <v>1655</v>
      </c>
      <c r="D951" s="21" t="s">
        <v>1737</v>
      </c>
      <c r="E951" s="21">
        <v>2</v>
      </c>
      <c r="F951" s="27" t="str">
        <f>Tabela12[[#This Row],[Régua]]&amp;" ("&amp;Tabela12[[#This Row],[Born]]&amp;")"</f>
        <v>TB2 (2)</v>
      </c>
      <c r="G951" s="27">
        <f>LEN(Tabela12[[#This Row],[Anilha]])</f>
        <v>7</v>
      </c>
      <c r="H951" s="21">
        <f>VLOOKUP(Tabela12[[#This Row],[Tag Cabo]],BD!A:F,6,0)</f>
        <v>1</v>
      </c>
      <c r="I951" s="27" t="s">
        <v>1705</v>
      </c>
      <c r="J951" s="27" t="s">
        <v>1706</v>
      </c>
    </row>
    <row r="952" spans="1:10" x14ac:dyDescent="0.25">
      <c r="A952" s="21" t="s">
        <v>1255</v>
      </c>
      <c r="B952" s="391" t="str">
        <f>VLOOKUP(Tabela12[[#This Row],[Painel]],Tabela13[],2,0)</f>
        <v>GB-967A/B</v>
      </c>
      <c r="C952" s="391" t="s">
        <v>1256</v>
      </c>
      <c r="D952" s="21" t="s">
        <v>1761</v>
      </c>
      <c r="E952" s="21">
        <v>1</v>
      </c>
      <c r="F952" s="27" t="str">
        <f>Tabela12[[#This Row],[Régua]]&amp;" ("&amp;Tabela12[[#This Row],[Born]]&amp;")"</f>
        <v>TS-001 (1)</v>
      </c>
      <c r="G952" s="27">
        <f>LEN(Tabela12[[#This Row],[Anilha]])</f>
        <v>10</v>
      </c>
      <c r="H952" s="21">
        <f>VLOOKUP(Tabela12[[#This Row],[Tag Cabo]],BD!A:F,6,0)</f>
        <v>1</v>
      </c>
      <c r="I952" s="27" t="s">
        <v>1705</v>
      </c>
      <c r="J952" s="27" t="s">
        <v>1706</v>
      </c>
    </row>
    <row r="953" spans="1:10" x14ac:dyDescent="0.25">
      <c r="A953" s="21" t="s">
        <v>1255</v>
      </c>
      <c r="B953" s="391" t="str">
        <f>VLOOKUP(Tabela12[[#This Row],[Painel]],Tabela13[],2,0)</f>
        <v>GB-967A/B</v>
      </c>
      <c r="C953" s="391" t="s">
        <v>1256</v>
      </c>
      <c r="D953" s="21" t="s">
        <v>1761</v>
      </c>
      <c r="E953" s="21">
        <v>2</v>
      </c>
      <c r="F953" s="27" t="str">
        <f>Tabela12[[#This Row],[Régua]]&amp;" ("&amp;Tabela12[[#This Row],[Born]]&amp;")"</f>
        <v>TS-001 (2)</v>
      </c>
      <c r="G953" s="27">
        <f>LEN(Tabela12[[#This Row],[Anilha]])</f>
        <v>10</v>
      </c>
      <c r="H953" s="21">
        <f>VLOOKUP(Tabela12[[#This Row],[Tag Cabo]],BD!A:F,6,0)</f>
        <v>1</v>
      </c>
      <c r="I953" s="27" t="s">
        <v>1705</v>
      </c>
      <c r="J953" s="27" t="s">
        <v>1706</v>
      </c>
    </row>
    <row r="954" spans="1:10" x14ac:dyDescent="0.25">
      <c r="A954" s="21" t="s">
        <v>1255</v>
      </c>
      <c r="B954" s="391" t="str">
        <f>VLOOKUP(Tabela12[[#This Row],[Painel]],Tabela13[],2,0)</f>
        <v>GB-967A/B</v>
      </c>
      <c r="C954" s="391" t="s">
        <v>1256</v>
      </c>
      <c r="D954" s="21" t="s">
        <v>1761</v>
      </c>
      <c r="E954" s="21">
        <v>3</v>
      </c>
      <c r="F954" s="27" t="str">
        <f>Tabela12[[#This Row],[Régua]]&amp;" ("&amp;Tabela12[[#This Row],[Born]]&amp;")"</f>
        <v>TS-001 (3)</v>
      </c>
      <c r="G954" s="27">
        <f>LEN(Tabela12[[#This Row],[Anilha]])</f>
        <v>10</v>
      </c>
      <c r="H954" s="21">
        <f>VLOOKUP(Tabela12[[#This Row],[Tag Cabo]],BD!A:F,6,0)</f>
        <v>1</v>
      </c>
      <c r="I954" s="27" t="s">
        <v>1705</v>
      </c>
      <c r="J954" s="27" t="s">
        <v>1706</v>
      </c>
    </row>
    <row r="955" spans="1:10" x14ac:dyDescent="0.25">
      <c r="A955" s="21" t="s">
        <v>1255</v>
      </c>
      <c r="B955" s="391" t="str">
        <f>VLOOKUP(Tabela12[[#This Row],[Painel]],Tabela13[],2,0)</f>
        <v>GB-967A/B</v>
      </c>
      <c r="C955" s="391" t="s">
        <v>1256</v>
      </c>
      <c r="D955" s="21" t="s">
        <v>1761</v>
      </c>
      <c r="E955" s="21">
        <v>4</v>
      </c>
      <c r="F955" s="27" t="str">
        <f>Tabela12[[#This Row],[Régua]]&amp;" ("&amp;Tabela12[[#This Row],[Born]]&amp;")"</f>
        <v>TS-001 (4)</v>
      </c>
      <c r="G955" s="27">
        <f>LEN(Tabela12[[#This Row],[Anilha]])</f>
        <v>10</v>
      </c>
      <c r="H955" s="21">
        <f>VLOOKUP(Tabela12[[#This Row],[Tag Cabo]],BD!A:F,6,0)</f>
        <v>1</v>
      </c>
      <c r="I955" s="27" t="s">
        <v>1705</v>
      </c>
      <c r="J955" s="27" t="s">
        <v>1706</v>
      </c>
    </row>
    <row r="956" spans="1:10" x14ac:dyDescent="0.25">
      <c r="A956" s="21" t="s">
        <v>1255</v>
      </c>
      <c r="B956" s="391" t="str">
        <f>VLOOKUP(Tabela12[[#This Row],[Painel]],Tabela13[],2,0)</f>
        <v>GB-967A/B</v>
      </c>
      <c r="C956" s="391" t="s">
        <v>1256</v>
      </c>
      <c r="D956" s="21" t="s">
        <v>1761</v>
      </c>
      <c r="E956" s="21">
        <v>5</v>
      </c>
      <c r="F956" s="27" t="str">
        <f>Tabela12[[#This Row],[Régua]]&amp;" ("&amp;Tabela12[[#This Row],[Born]]&amp;")"</f>
        <v>TS-001 (5)</v>
      </c>
      <c r="G956" s="27">
        <f>LEN(Tabela12[[#This Row],[Anilha]])</f>
        <v>10</v>
      </c>
      <c r="H956" s="21">
        <f>VLOOKUP(Tabela12[[#This Row],[Tag Cabo]],BD!A:F,6,0)</f>
        <v>1</v>
      </c>
      <c r="I956" s="27" t="s">
        <v>1705</v>
      </c>
      <c r="J956" s="27" t="s">
        <v>1706</v>
      </c>
    </row>
    <row r="957" spans="1:10" x14ac:dyDescent="0.25">
      <c r="A957" s="21" t="s">
        <v>1255</v>
      </c>
      <c r="B957" s="391" t="str">
        <f>VLOOKUP(Tabela12[[#This Row],[Painel]],Tabela13[],2,0)</f>
        <v>GB-967A/B</v>
      </c>
      <c r="C957" s="391" t="s">
        <v>1256</v>
      </c>
      <c r="D957" s="21" t="s">
        <v>1761</v>
      </c>
      <c r="E957" s="21">
        <v>6</v>
      </c>
      <c r="F957" s="27" t="str">
        <f>Tabela12[[#This Row],[Régua]]&amp;" ("&amp;Tabela12[[#This Row],[Born]]&amp;")"</f>
        <v>TS-001 (6)</v>
      </c>
      <c r="G957" s="27">
        <f>LEN(Tabela12[[#This Row],[Anilha]])</f>
        <v>10</v>
      </c>
      <c r="H957" s="21">
        <f>VLOOKUP(Tabela12[[#This Row],[Tag Cabo]],BD!A:F,6,0)</f>
        <v>1</v>
      </c>
      <c r="I957" s="27" t="s">
        <v>1705</v>
      </c>
      <c r="J957" s="27" t="s">
        <v>1706</v>
      </c>
    </row>
    <row r="958" spans="1:10" x14ac:dyDescent="0.25">
      <c r="A958" s="21" t="s">
        <v>1255</v>
      </c>
      <c r="B958" s="391" t="str">
        <f>VLOOKUP(Tabela12[[#This Row],[Painel]],Tabela13[],2,0)</f>
        <v>GB-967A/B</v>
      </c>
      <c r="C958" s="391" t="s">
        <v>1256</v>
      </c>
      <c r="D958" s="21" t="s">
        <v>1761</v>
      </c>
      <c r="E958" s="21">
        <v>7</v>
      </c>
      <c r="F958" s="27" t="str">
        <f>Tabela12[[#This Row],[Régua]]&amp;" ("&amp;Tabela12[[#This Row],[Born]]&amp;")"</f>
        <v>TS-001 (7)</v>
      </c>
      <c r="G958" s="27">
        <f>LEN(Tabela12[[#This Row],[Anilha]])</f>
        <v>10</v>
      </c>
      <c r="H958" s="21">
        <f>VLOOKUP(Tabela12[[#This Row],[Tag Cabo]],BD!A:F,6,0)</f>
        <v>1</v>
      </c>
      <c r="I958" s="27" t="s">
        <v>1705</v>
      </c>
      <c r="J958" s="27" t="s">
        <v>1706</v>
      </c>
    </row>
    <row r="959" spans="1:10" x14ac:dyDescent="0.25">
      <c r="A959" s="21" t="s">
        <v>1255</v>
      </c>
      <c r="B959" s="391" t="str">
        <f>VLOOKUP(Tabela12[[#This Row],[Painel]],Tabela13[],2,0)</f>
        <v>GB-967A/B</v>
      </c>
      <c r="C959" s="391" t="s">
        <v>1256</v>
      </c>
      <c r="D959" s="21" t="s">
        <v>1761</v>
      </c>
      <c r="E959" s="21">
        <v>8</v>
      </c>
      <c r="F959" s="27" t="str">
        <f>Tabela12[[#This Row],[Régua]]&amp;" ("&amp;Tabela12[[#This Row],[Born]]&amp;")"</f>
        <v>TS-001 (8)</v>
      </c>
      <c r="G959" s="27">
        <f>LEN(Tabela12[[#This Row],[Anilha]])</f>
        <v>10</v>
      </c>
      <c r="H959" s="21">
        <f>VLOOKUP(Tabela12[[#This Row],[Tag Cabo]],BD!A:F,6,0)</f>
        <v>1</v>
      </c>
      <c r="I959" s="27" t="s">
        <v>1705</v>
      </c>
      <c r="J959" s="27" t="s">
        <v>1706</v>
      </c>
    </row>
    <row r="960" spans="1:10" x14ac:dyDescent="0.25">
      <c r="A960" s="21" t="s">
        <v>1255</v>
      </c>
      <c r="B960" s="391" t="str">
        <f>VLOOKUP(Tabela12[[#This Row],[Painel]],Tabela13[],2,0)</f>
        <v>GB-967A/B</v>
      </c>
      <c r="C960" s="391" t="s">
        <v>1256</v>
      </c>
      <c r="D960" s="21" t="s">
        <v>1761</v>
      </c>
      <c r="E960" s="21">
        <v>9</v>
      </c>
      <c r="F960" s="27" t="str">
        <f>Tabela12[[#This Row],[Régua]]&amp;" ("&amp;Tabela12[[#This Row],[Born]]&amp;")"</f>
        <v>TS-001 (9)</v>
      </c>
      <c r="G960" s="27">
        <f>LEN(Tabela12[[#This Row],[Anilha]])</f>
        <v>10</v>
      </c>
      <c r="H960" s="21">
        <f>VLOOKUP(Tabela12[[#This Row],[Tag Cabo]],BD!A:F,6,0)</f>
        <v>1</v>
      </c>
      <c r="I960" s="27" t="s">
        <v>1705</v>
      </c>
      <c r="J960" s="27" t="s">
        <v>1706</v>
      </c>
    </row>
    <row r="961" spans="1:10" x14ac:dyDescent="0.25">
      <c r="A961" s="21" t="s">
        <v>1255</v>
      </c>
      <c r="B961" s="391" t="str">
        <f>VLOOKUP(Tabela12[[#This Row],[Painel]],Tabela13[],2,0)</f>
        <v>GB-967A/B</v>
      </c>
      <c r="C961" s="391" t="s">
        <v>1256</v>
      </c>
      <c r="D961" s="21" t="s">
        <v>1761</v>
      </c>
      <c r="E961" s="21">
        <v>10</v>
      </c>
      <c r="F961" s="27" t="str">
        <f>Tabela12[[#This Row],[Régua]]&amp;" ("&amp;Tabela12[[#This Row],[Born]]&amp;")"</f>
        <v>TS-001 (10)</v>
      </c>
      <c r="G961" s="27">
        <f>LEN(Tabela12[[#This Row],[Anilha]])</f>
        <v>11</v>
      </c>
      <c r="H961" s="21">
        <f>VLOOKUP(Tabela12[[#This Row],[Tag Cabo]],BD!A:F,6,0)</f>
        <v>1</v>
      </c>
      <c r="I961" s="27" t="s">
        <v>1705</v>
      </c>
      <c r="J961" s="27" t="s">
        <v>1706</v>
      </c>
    </row>
    <row r="962" spans="1:10" x14ac:dyDescent="0.25">
      <c r="A962" s="21" t="s">
        <v>1255</v>
      </c>
      <c r="B962" s="391" t="str">
        <f>VLOOKUP(Tabela12[[#This Row],[Painel]],Tabela13[],2,0)</f>
        <v>GB-967A/B</v>
      </c>
      <c r="C962" s="391" t="s">
        <v>1256</v>
      </c>
      <c r="D962" s="21" t="s">
        <v>1761</v>
      </c>
      <c r="E962" s="21">
        <v>11</v>
      </c>
      <c r="F962" s="27" t="str">
        <f>Tabela12[[#This Row],[Régua]]&amp;" ("&amp;Tabela12[[#This Row],[Born]]&amp;")"</f>
        <v>TS-001 (11)</v>
      </c>
      <c r="G962" s="27">
        <f>LEN(Tabela12[[#This Row],[Anilha]])</f>
        <v>11</v>
      </c>
      <c r="H962" s="21">
        <f>VLOOKUP(Tabela12[[#This Row],[Tag Cabo]],BD!A:F,6,0)</f>
        <v>1</v>
      </c>
      <c r="I962" s="27" t="s">
        <v>1705</v>
      </c>
      <c r="J962" s="27" t="s">
        <v>1706</v>
      </c>
    </row>
    <row r="963" spans="1:10" x14ac:dyDescent="0.25">
      <c r="A963" s="21" t="s">
        <v>1255</v>
      </c>
      <c r="B963" s="391" t="str">
        <f>VLOOKUP(Tabela12[[#This Row],[Painel]],Tabela13[],2,0)</f>
        <v>GB-967A/B</v>
      </c>
      <c r="C963" s="391" t="s">
        <v>1256</v>
      </c>
      <c r="D963" s="21" t="s">
        <v>1761</v>
      </c>
      <c r="E963" s="21">
        <v>12</v>
      </c>
      <c r="F963" s="27" t="str">
        <f>Tabela12[[#This Row],[Régua]]&amp;" ("&amp;Tabela12[[#This Row],[Born]]&amp;")"</f>
        <v>TS-001 (12)</v>
      </c>
      <c r="G963" s="27">
        <f>LEN(Tabela12[[#This Row],[Anilha]])</f>
        <v>11</v>
      </c>
      <c r="H963" s="21">
        <f>VLOOKUP(Tabela12[[#This Row],[Tag Cabo]],BD!A:F,6,0)</f>
        <v>1</v>
      </c>
      <c r="I963" s="27" t="s">
        <v>1705</v>
      </c>
      <c r="J963" s="27" t="s">
        <v>1706</v>
      </c>
    </row>
    <row r="964" spans="1:10" x14ac:dyDescent="0.25">
      <c r="A964" s="21" t="s">
        <v>1255</v>
      </c>
      <c r="B964" s="391" t="str">
        <f>VLOOKUP(Tabela12[[#This Row],[Painel]],Tabela13[],2,0)</f>
        <v>GB-967A/B</v>
      </c>
      <c r="C964" s="391" t="s">
        <v>1256</v>
      </c>
      <c r="D964" s="21" t="s">
        <v>1761</v>
      </c>
      <c r="E964" s="21">
        <v>13</v>
      </c>
      <c r="F964" s="27" t="str">
        <f>Tabela12[[#This Row],[Régua]]&amp;" ("&amp;Tabela12[[#This Row],[Born]]&amp;")"</f>
        <v>TS-001 (13)</v>
      </c>
      <c r="G964" s="27">
        <f>LEN(Tabela12[[#This Row],[Anilha]])</f>
        <v>11</v>
      </c>
      <c r="H964" s="21">
        <f>VLOOKUP(Tabela12[[#This Row],[Tag Cabo]],BD!A:F,6,0)</f>
        <v>1</v>
      </c>
      <c r="I964" s="27" t="s">
        <v>1705</v>
      </c>
      <c r="J964" s="27" t="s">
        <v>1706</v>
      </c>
    </row>
    <row r="965" spans="1:10" x14ac:dyDescent="0.25">
      <c r="A965" s="21" t="s">
        <v>1255</v>
      </c>
      <c r="B965" s="391" t="str">
        <f>VLOOKUP(Tabela12[[#This Row],[Painel]],Tabela13[],2,0)</f>
        <v>GB-967A/B</v>
      </c>
      <c r="C965" s="391" t="s">
        <v>1256</v>
      </c>
      <c r="D965" s="21" t="s">
        <v>1761</v>
      </c>
      <c r="E965" s="21">
        <v>14</v>
      </c>
      <c r="F965" s="27" t="str">
        <f>Tabela12[[#This Row],[Régua]]&amp;" ("&amp;Tabela12[[#This Row],[Born]]&amp;")"</f>
        <v>TS-001 (14)</v>
      </c>
      <c r="G965" s="27">
        <f>LEN(Tabela12[[#This Row],[Anilha]])</f>
        <v>11</v>
      </c>
      <c r="H965" s="21">
        <f>VLOOKUP(Tabela12[[#This Row],[Tag Cabo]],BD!A:F,6,0)</f>
        <v>1</v>
      </c>
      <c r="I965" s="27" t="s">
        <v>1705</v>
      </c>
      <c r="J965" s="27" t="s">
        <v>1706</v>
      </c>
    </row>
    <row r="966" spans="1:10" x14ac:dyDescent="0.25">
      <c r="A966" s="21" t="s">
        <v>1255</v>
      </c>
      <c r="B966" s="391" t="str">
        <f>VLOOKUP(Tabela12[[#This Row],[Painel]],Tabela13[],2,0)</f>
        <v>GB-967A/B</v>
      </c>
      <c r="C966" s="391" t="s">
        <v>1256</v>
      </c>
      <c r="D966" s="21" t="s">
        <v>1761</v>
      </c>
      <c r="E966" s="21">
        <v>15</v>
      </c>
      <c r="F966" s="27" t="str">
        <f>Tabela12[[#This Row],[Régua]]&amp;" ("&amp;Tabela12[[#This Row],[Born]]&amp;")"</f>
        <v>TS-001 (15)</v>
      </c>
      <c r="G966" s="27">
        <f>LEN(Tabela12[[#This Row],[Anilha]])</f>
        <v>11</v>
      </c>
      <c r="H966" s="21">
        <f>VLOOKUP(Tabela12[[#This Row],[Tag Cabo]],BD!A:F,6,0)</f>
        <v>1</v>
      </c>
      <c r="I966" s="27" t="s">
        <v>1705</v>
      </c>
      <c r="J966" s="27" t="s">
        <v>1706</v>
      </c>
    </row>
    <row r="967" spans="1:10" x14ac:dyDescent="0.25">
      <c r="A967" s="21" t="s">
        <v>1255</v>
      </c>
      <c r="B967" s="391" t="str">
        <f>VLOOKUP(Tabela12[[#This Row],[Painel]],Tabela13[],2,0)</f>
        <v>GB-967A/B</v>
      </c>
      <c r="C967" s="391" t="s">
        <v>1256</v>
      </c>
      <c r="D967" s="21" t="s">
        <v>1761</v>
      </c>
      <c r="E967" s="21">
        <v>16</v>
      </c>
      <c r="F967" s="27" t="str">
        <f>Tabela12[[#This Row],[Régua]]&amp;" ("&amp;Tabela12[[#This Row],[Born]]&amp;")"</f>
        <v>TS-001 (16)</v>
      </c>
      <c r="G967" s="27">
        <f>LEN(Tabela12[[#This Row],[Anilha]])</f>
        <v>11</v>
      </c>
      <c r="H967" s="21">
        <f>VLOOKUP(Tabela12[[#This Row],[Tag Cabo]],BD!A:F,6,0)</f>
        <v>1</v>
      </c>
      <c r="I967" s="27" t="s">
        <v>1705</v>
      </c>
      <c r="J967" s="27" t="s">
        <v>1706</v>
      </c>
    </row>
    <row r="968" spans="1:10" x14ac:dyDescent="0.25">
      <c r="A968" s="21" t="s">
        <v>1255</v>
      </c>
      <c r="B968" s="391" t="str">
        <f>VLOOKUP(Tabela12[[#This Row],[Painel]],Tabela13[],2,0)</f>
        <v>GB-967A/B</v>
      </c>
      <c r="C968" s="391" t="s">
        <v>1256</v>
      </c>
      <c r="D968" s="21" t="s">
        <v>1761</v>
      </c>
      <c r="E968" s="21">
        <v>17</v>
      </c>
      <c r="F968" s="27" t="str">
        <f>Tabela12[[#This Row],[Régua]]&amp;" ("&amp;Tabela12[[#This Row],[Born]]&amp;")"</f>
        <v>TS-001 (17)</v>
      </c>
      <c r="G968" s="27">
        <f>LEN(Tabela12[[#This Row],[Anilha]])</f>
        <v>11</v>
      </c>
      <c r="H968" s="21">
        <f>VLOOKUP(Tabela12[[#This Row],[Tag Cabo]],BD!A:F,6,0)</f>
        <v>1</v>
      </c>
      <c r="I968" s="27" t="s">
        <v>1705</v>
      </c>
      <c r="J968" s="27" t="s">
        <v>1706</v>
      </c>
    </row>
    <row r="969" spans="1:10" x14ac:dyDescent="0.25">
      <c r="A969" s="21" t="s">
        <v>1255</v>
      </c>
      <c r="B969" s="391" t="str">
        <f>VLOOKUP(Tabela12[[#This Row],[Painel]],Tabela13[],2,0)</f>
        <v>GB-967A/B</v>
      </c>
      <c r="C969" s="391" t="s">
        <v>1256</v>
      </c>
      <c r="D969" s="21" t="s">
        <v>1761</v>
      </c>
      <c r="E969" s="21">
        <v>18</v>
      </c>
      <c r="F969" s="27" t="str">
        <f>Tabela12[[#This Row],[Régua]]&amp;" ("&amp;Tabela12[[#This Row],[Born]]&amp;")"</f>
        <v>TS-001 (18)</v>
      </c>
      <c r="G969" s="27">
        <f>LEN(Tabela12[[#This Row],[Anilha]])</f>
        <v>11</v>
      </c>
      <c r="H969" s="21">
        <f>VLOOKUP(Tabela12[[#This Row],[Tag Cabo]],BD!A:F,6,0)</f>
        <v>1</v>
      </c>
      <c r="I969" s="27" t="s">
        <v>1705</v>
      </c>
      <c r="J969" s="27" t="s">
        <v>1706</v>
      </c>
    </row>
    <row r="970" spans="1:10" x14ac:dyDescent="0.25">
      <c r="A970" s="21" t="s">
        <v>1255</v>
      </c>
      <c r="B970" s="391" t="str">
        <f>VLOOKUP(Tabela12[[#This Row],[Painel]],Tabela13[],2,0)</f>
        <v>GB-967A/B</v>
      </c>
      <c r="C970" s="391" t="s">
        <v>1256</v>
      </c>
      <c r="D970" s="21" t="s">
        <v>1761</v>
      </c>
      <c r="E970" s="21">
        <v>19</v>
      </c>
      <c r="F970" s="27" t="str">
        <f>Tabela12[[#This Row],[Régua]]&amp;" ("&amp;Tabela12[[#This Row],[Born]]&amp;")"</f>
        <v>TS-001 (19)</v>
      </c>
      <c r="G970" s="27">
        <f>LEN(Tabela12[[#This Row],[Anilha]])</f>
        <v>11</v>
      </c>
      <c r="H970" s="21">
        <f>VLOOKUP(Tabela12[[#This Row],[Tag Cabo]],BD!A:F,6,0)</f>
        <v>1</v>
      </c>
      <c r="I970" s="27" t="s">
        <v>1705</v>
      </c>
      <c r="J970" s="27" t="s">
        <v>1706</v>
      </c>
    </row>
    <row r="971" spans="1:10" x14ac:dyDescent="0.25">
      <c r="A971" s="21" t="s">
        <v>1255</v>
      </c>
      <c r="B971" s="391" t="str">
        <f>VLOOKUP(Tabela12[[#This Row],[Painel]],Tabela13[],2,0)</f>
        <v>GB-967A/B</v>
      </c>
      <c r="C971" s="391" t="s">
        <v>1256</v>
      </c>
      <c r="D971" s="21" t="s">
        <v>1761</v>
      </c>
      <c r="E971" s="21">
        <v>20</v>
      </c>
      <c r="F971" s="27" t="str">
        <f>Tabela12[[#This Row],[Régua]]&amp;" ("&amp;Tabela12[[#This Row],[Born]]&amp;")"</f>
        <v>TS-001 (20)</v>
      </c>
      <c r="G971" s="27">
        <f>LEN(Tabela12[[#This Row],[Anilha]])</f>
        <v>11</v>
      </c>
      <c r="H971" s="21">
        <f>VLOOKUP(Tabela12[[#This Row],[Tag Cabo]],BD!A:F,6,0)</f>
        <v>1</v>
      </c>
      <c r="I971" s="27" t="s">
        <v>1705</v>
      </c>
      <c r="J971" s="27" t="s">
        <v>1706</v>
      </c>
    </row>
    <row r="972" spans="1:10" x14ac:dyDescent="0.25">
      <c r="A972" s="21" t="s">
        <v>1255</v>
      </c>
      <c r="B972" s="391" t="str">
        <f>VLOOKUP(Tabela12[[#This Row],[Painel]],Tabela13[],2,0)</f>
        <v>GB-967A/B</v>
      </c>
      <c r="C972" s="391" t="s">
        <v>1256</v>
      </c>
      <c r="D972" s="21" t="s">
        <v>1761</v>
      </c>
      <c r="E972" s="21">
        <v>21</v>
      </c>
      <c r="F972" s="27" t="str">
        <f>Tabela12[[#This Row],[Régua]]&amp;" ("&amp;Tabela12[[#This Row],[Born]]&amp;")"</f>
        <v>TS-001 (21)</v>
      </c>
      <c r="G972" s="27">
        <f>LEN(Tabela12[[#This Row],[Anilha]])</f>
        <v>11</v>
      </c>
      <c r="H972" s="21">
        <f>VLOOKUP(Tabela12[[#This Row],[Tag Cabo]],BD!A:F,6,0)</f>
        <v>1</v>
      </c>
      <c r="I972" s="27" t="s">
        <v>1705</v>
      </c>
      <c r="J972" s="27" t="s">
        <v>1706</v>
      </c>
    </row>
    <row r="973" spans="1:10" x14ac:dyDescent="0.25">
      <c r="A973" s="21" t="s">
        <v>1255</v>
      </c>
      <c r="B973" s="391" t="str">
        <f>VLOOKUP(Tabela12[[#This Row],[Painel]],Tabela13[],2,0)</f>
        <v>GB-967A/B</v>
      </c>
      <c r="C973" s="391" t="s">
        <v>1256</v>
      </c>
      <c r="D973" s="21" t="s">
        <v>1761</v>
      </c>
      <c r="E973" s="21">
        <v>22</v>
      </c>
      <c r="F973" s="27" t="str">
        <f>Tabela12[[#This Row],[Régua]]&amp;" ("&amp;Tabela12[[#This Row],[Born]]&amp;")"</f>
        <v>TS-001 (22)</v>
      </c>
      <c r="G973" s="27">
        <f>LEN(Tabela12[[#This Row],[Anilha]])</f>
        <v>11</v>
      </c>
      <c r="H973" s="21">
        <f>VLOOKUP(Tabela12[[#This Row],[Tag Cabo]],BD!A:F,6,0)</f>
        <v>1</v>
      </c>
      <c r="I973" s="27" t="s">
        <v>1705</v>
      </c>
      <c r="J973" s="27" t="s">
        <v>1706</v>
      </c>
    </row>
    <row r="974" spans="1:10" x14ac:dyDescent="0.25">
      <c r="A974" s="21" t="s">
        <v>1255</v>
      </c>
      <c r="B974" s="391" t="str">
        <f>VLOOKUP(Tabela12[[#This Row],[Painel]],Tabela13[],2,0)</f>
        <v>GB-967A/B</v>
      </c>
      <c r="C974" s="391" t="s">
        <v>1256</v>
      </c>
      <c r="D974" s="21" t="s">
        <v>1761</v>
      </c>
      <c r="E974" s="21">
        <v>23</v>
      </c>
      <c r="F974" s="27" t="str">
        <f>Tabela12[[#This Row],[Régua]]&amp;" ("&amp;Tabela12[[#This Row],[Born]]&amp;")"</f>
        <v>TS-001 (23)</v>
      </c>
      <c r="G974" s="27">
        <f>LEN(Tabela12[[#This Row],[Anilha]])</f>
        <v>11</v>
      </c>
      <c r="H974" s="21">
        <f>VLOOKUP(Tabela12[[#This Row],[Tag Cabo]],BD!A:F,6,0)</f>
        <v>1</v>
      </c>
      <c r="I974" s="27" t="s">
        <v>1705</v>
      </c>
      <c r="J974" s="27" t="s">
        <v>1706</v>
      </c>
    </row>
    <row r="975" spans="1:10" x14ac:dyDescent="0.25">
      <c r="A975" s="21" t="s">
        <v>1255</v>
      </c>
      <c r="B975" s="391" t="str">
        <f>VLOOKUP(Tabela12[[#This Row],[Painel]],Tabela13[],2,0)</f>
        <v>GB-967A/B</v>
      </c>
      <c r="C975" s="391" t="s">
        <v>1256</v>
      </c>
      <c r="D975" s="21" t="s">
        <v>1761</v>
      </c>
      <c r="E975" s="21">
        <v>24</v>
      </c>
      <c r="F975" s="27" t="str">
        <f>Tabela12[[#This Row],[Régua]]&amp;" ("&amp;Tabela12[[#This Row],[Born]]&amp;")"</f>
        <v>TS-001 (24)</v>
      </c>
      <c r="G975" s="27">
        <f>LEN(Tabela12[[#This Row],[Anilha]])</f>
        <v>11</v>
      </c>
      <c r="H975" s="21">
        <f>VLOOKUP(Tabela12[[#This Row],[Tag Cabo]],BD!A:F,6,0)</f>
        <v>1</v>
      </c>
      <c r="I975" s="27" t="s">
        <v>1705</v>
      </c>
      <c r="J975" s="27" t="s">
        <v>1706</v>
      </c>
    </row>
    <row r="976" spans="1:10" x14ac:dyDescent="0.25">
      <c r="A976" s="21" t="s">
        <v>1255</v>
      </c>
      <c r="B976" s="391" t="str">
        <f>VLOOKUP(Tabela12[[#This Row],[Painel]],Tabela13[],2,0)</f>
        <v>CCU</v>
      </c>
      <c r="C976" s="391" t="s">
        <v>1655</v>
      </c>
      <c r="D976" s="21" t="s">
        <v>1725</v>
      </c>
      <c r="E976" s="21">
        <v>13</v>
      </c>
      <c r="F976" s="27" t="str">
        <f>Tabela12[[#This Row],[Régua]]&amp;" ("&amp;Tabela12[[#This Row],[Born]]&amp;")"</f>
        <v>RS-01 (13)</v>
      </c>
      <c r="G976" s="27">
        <f>LEN(Tabela12[[#This Row],[Anilha]])</f>
        <v>10</v>
      </c>
      <c r="H976" s="21">
        <f>VLOOKUP(Tabela12[[#This Row],[Tag Cabo]],BD!A:F,6,0)</f>
        <v>1</v>
      </c>
      <c r="I976" s="27" t="s">
        <v>1705</v>
      </c>
      <c r="J976" s="27" t="s">
        <v>1706</v>
      </c>
    </row>
    <row r="977" spans="1:10" x14ac:dyDescent="0.25">
      <c r="A977" s="21" t="s">
        <v>1255</v>
      </c>
      <c r="B977" s="391" t="str">
        <f>VLOOKUP(Tabela12[[#This Row],[Painel]],Tabela13[],2,0)</f>
        <v>CCU</v>
      </c>
      <c r="C977" s="391" t="s">
        <v>1655</v>
      </c>
      <c r="D977" s="21" t="s">
        <v>1725</v>
      </c>
      <c r="E977" s="21">
        <v>14</v>
      </c>
      <c r="F977" s="27" t="str">
        <f>Tabela12[[#This Row],[Régua]]&amp;" ("&amp;Tabela12[[#This Row],[Born]]&amp;")"</f>
        <v>RS-01 (14)</v>
      </c>
      <c r="G977" s="27">
        <f>LEN(Tabela12[[#This Row],[Anilha]])</f>
        <v>10</v>
      </c>
      <c r="H977" s="21">
        <f>VLOOKUP(Tabela12[[#This Row],[Tag Cabo]],BD!A:F,6,0)</f>
        <v>1</v>
      </c>
      <c r="I977" s="27" t="s">
        <v>1705</v>
      </c>
      <c r="J977" s="27" t="s">
        <v>1706</v>
      </c>
    </row>
    <row r="978" spans="1:10" x14ac:dyDescent="0.25">
      <c r="A978" s="21" t="s">
        <v>1240</v>
      </c>
      <c r="B978" s="391" t="str">
        <f>VLOOKUP(Tabela12[[#This Row],[Painel]],Tabela13[],2,0)</f>
        <v>GB-967A/B</v>
      </c>
      <c r="C978" s="391" t="s">
        <v>1242</v>
      </c>
      <c r="D978" s="21" t="s">
        <v>1761</v>
      </c>
      <c r="E978" s="21" t="s">
        <v>1742</v>
      </c>
      <c r="F978" s="27" t="str">
        <f>Tabela12[[#This Row],[Régua]]&amp;" ("&amp;Tabela12[[#This Row],[Born]]&amp;")"</f>
        <v>TS-001 (1+)</v>
      </c>
      <c r="G978" s="27">
        <f>LEN(Tabela12[[#This Row],[Anilha]])</f>
        <v>11</v>
      </c>
      <c r="H978" s="21">
        <f>VLOOKUP(Tabela12[[#This Row],[Tag Cabo]],BD!A:F,6,0)</f>
        <v>1</v>
      </c>
      <c r="I978" s="27" t="s">
        <v>1705</v>
      </c>
      <c r="J978" s="27" t="s">
        <v>1706</v>
      </c>
    </row>
    <row r="979" spans="1:10" x14ac:dyDescent="0.25">
      <c r="A979" s="21" t="s">
        <v>1240</v>
      </c>
      <c r="B979" s="391" t="str">
        <f>VLOOKUP(Tabela12[[#This Row],[Painel]],Tabela13[],2,0)</f>
        <v>GB-967A/B</v>
      </c>
      <c r="C979" s="391" t="s">
        <v>1242</v>
      </c>
      <c r="D979" s="21" t="s">
        <v>1761</v>
      </c>
      <c r="E979" s="21" t="s">
        <v>1743</v>
      </c>
      <c r="F979" s="27" t="str">
        <f>Tabela12[[#This Row],[Régua]]&amp;" ("&amp;Tabela12[[#This Row],[Born]]&amp;")"</f>
        <v>TS-001 (1-)</v>
      </c>
      <c r="G979" s="27">
        <f>LEN(Tabela12[[#This Row],[Anilha]])</f>
        <v>11</v>
      </c>
      <c r="H979" s="21">
        <f>VLOOKUP(Tabela12[[#This Row],[Tag Cabo]],BD!A:F,6,0)</f>
        <v>1</v>
      </c>
      <c r="I979" s="27" t="s">
        <v>1705</v>
      </c>
      <c r="J979" s="27" t="s">
        <v>1706</v>
      </c>
    </row>
    <row r="980" spans="1:10" x14ac:dyDescent="0.25">
      <c r="A980" s="21" t="s">
        <v>1240</v>
      </c>
      <c r="B980" s="391" t="str">
        <f>VLOOKUP(Tabela12[[#This Row],[Painel]],Tabela13[],2,0)</f>
        <v>GB-967A/B</v>
      </c>
      <c r="C980" s="391" t="s">
        <v>1242</v>
      </c>
      <c r="D980" s="21" t="s">
        <v>1761</v>
      </c>
      <c r="E980" s="21" t="s">
        <v>1763</v>
      </c>
      <c r="F980" s="27" t="str">
        <f>Tabela12[[#This Row],[Régua]]&amp;" ("&amp;Tabela12[[#This Row],[Born]]&amp;")"</f>
        <v>TS-001 (2+)</v>
      </c>
      <c r="G980" s="27">
        <f>LEN(Tabela12[[#This Row],[Anilha]])</f>
        <v>11</v>
      </c>
      <c r="H980" s="21">
        <f>VLOOKUP(Tabela12[[#This Row],[Tag Cabo]],BD!A:F,6,0)</f>
        <v>1</v>
      </c>
      <c r="I980" s="27" t="s">
        <v>1705</v>
      </c>
      <c r="J980" s="27" t="s">
        <v>1706</v>
      </c>
    </row>
    <row r="981" spans="1:10" x14ac:dyDescent="0.25">
      <c r="A981" s="21" t="s">
        <v>1240</v>
      </c>
      <c r="B981" s="391" t="str">
        <f>VLOOKUP(Tabela12[[#This Row],[Painel]],Tabela13[],2,0)</f>
        <v>GB-967A/B</v>
      </c>
      <c r="C981" s="391" t="s">
        <v>1242</v>
      </c>
      <c r="D981" s="21" t="s">
        <v>1761</v>
      </c>
      <c r="E981" s="21" t="s">
        <v>1730</v>
      </c>
      <c r="F981" s="27" t="str">
        <f>Tabela12[[#This Row],[Régua]]&amp;" ("&amp;Tabela12[[#This Row],[Born]]&amp;")"</f>
        <v>TS-001 (2-)</v>
      </c>
      <c r="G981" s="27">
        <f>LEN(Tabela12[[#This Row],[Anilha]])</f>
        <v>11</v>
      </c>
      <c r="H981" s="21">
        <f>VLOOKUP(Tabela12[[#This Row],[Tag Cabo]],BD!A:F,6,0)</f>
        <v>1</v>
      </c>
      <c r="I981" s="27" t="s">
        <v>1705</v>
      </c>
      <c r="J981" s="27" t="s">
        <v>1706</v>
      </c>
    </row>
    <row r="982" spans="1:10" x14ac:dyDescent="0.25">
      <c r="A982" s="21" t="s">
        <v>1240</v>
      </c>
      <c r="B982" s="391" t="str">
        <f>VLOOKUP(Tabela12[[#This Row],[Painel]],Tabela13[],2,0)</f>
        <v>GB-967A/B</v>
      </c>
      <c r="C982" s="391" t="s">
        <v>1242</v>
      </c>
      <c r="D982" s="21" t="s">
        <v>1761</v>
      </c>
      <c r="E982" s="21" t="s">
        <v>1729</v>
      </c>
      <c r="F982" s="27" t="str">
        <f>Tabela12[[#This Row],[Régua]]&amp;" ("&amp;Tabela12[[#This Row],[Born]]&amp;")"</f>
        <v>TS-001 (3+)</v>
      </c>
      <c r="G982" s="27">
        <f>LEN(Tabela12[[#This Row],[Anilha]])</f>
        <v>11</v>
      </c>
      <c r="H982" s="21">
        <f>VLOOKUP(Tabela12[[#This Row],[Tag Cabo]],BD!A:F,6,0)</f>
        <v>1</v>
      </c>
      <c r="I982" s="27" t="s">
        <v>1705</v>
      </c>
      <c r="J982" s="27" t="s">
        <v>1706</v>
      </c>
    </row>
    <row r="983" spans="1:10" x14ac:dyDescent="0.25">
      <c r="A983" s="21" t="s">
        <v>1240</v>
      </c>
      <c r="B983" s="391" t="str">
        <f>VLOOKUP(Tabela12[[#This Row],[Painel]],Tabela13[],2,0)</f>
        <v>GB-967A/B</v>
      </c>
      <c r="C983" s="391" t="s">
        <v>1242</v>
      </c>
      <c r="D983" s="21" t="s">
        <v>1761</v>
      </c>
      <c r="E983" s="21" t="s">
        <v>1764</v>
      </c>
      <c r="F983" s="27" t="str">
        <f>Tabela12[[#This Row],[Régua]]&amp;" ("&amp;Tabela12[[#This Row],[Born]]&amp;")"</f>
        <v>TS-001 (3-)</v>
      </c>
      <c r="G983" s="27">
        <f>LEN(Tabela12[[#This Row],[Anilha]])</f>
        <v>11</v>
      </c>
      <c r="H983" s="21">
        <f>VLOOKUP(Tabela12[[#This Row],[Tag Cabo]],BD!A:F,6,0)</f>
        <v>1</v>
      </c>
      <c r="I983" s="27" t="s">
        <v>1705</v>
      </c>
      <c r="J983" s="27" t="s">
        <v>1706</v>
      </c>
    </row>
    <row r="984" spans="1:10" x14ac:dyDescent="0.25">
      <c r="A984" s="21" t="s">
        <v>1240</v>
      </c>
      <c r="B984" s="391" t="str">
        <f>VLOOKUP(Tabela12[[#This Row],[Painel]],Tabela13[],2,0)</f>
        <v>GB-967A/B</v>
      </c>
      <c r="C984" s="391" t="s">
        <v>1242</v>
      </c>
      <c r="D984" s="21" t="s">
        <v>1761</v>
      </c>
      <c r="E984" s="21" t="s">
        <v>1762</v>
      </c>
      <c r="F984" s="27" t="str">
        <f>Tabela12[[#This Row],[Régua]]&amp;" ("&amp;Tabela12[[#This Row],[Born]]&amp;")"</f>
        <v>TS-001 (4+)</v>
      </c>
      <c r="G984" s="27">
        <f>LEN(Tabela12[[#This Row],[Anilha]])</f>
        <v>11</v>
      </c>
      <c r="H984" s="21">
        <f>VLOOKUP(Tabela12[[#This Row],[Tag Cabo]],BD!A:F,6,0)</f>
        <v>1</v>
      </c>
      <c r="I984" s="27" t="s">
        <v>1705</v>
      </c>
      <c r="J984" s="27" t="s">
        <v>1706</v>
      </c>
    </row>
    <row r="985" spans="1:10" x14ac:dyDescent="0.25">
      <c r="A985" s="21" t="s">
        <v>1240</v>
      </c>
      <c r="B985" s="391" t="str">
        <f>VLOOKUP(Tabela12[[#This Row],[Painel]],Tabela13[],2,0)</f>
        <v>GB-967A/B</v>
      </c>
      <c r="C985" s="391" t="s">
        <v>1242</v>
      </c>
      <c r="D985" s="21" t="s">
        <v>1761</v>
      </c>
      <c r="E985" s="21" t="s">
        <v>1744</v>
      </c>
      <c r="F985" s="27" t="str">
        <f>Tabela12[[#This Row],[Régua]]&amp;" ("&amp;Tabela12[[#This Row],[Born]]&amp;")"</f>
        <v>TS-001 (4-)</v>
      </c>
      <c r="G985" s="27">
        <f>LEN(Tabela12[[#This Row],[Anilha]])</f>
        <v>11</v>
      </c>
      <c r="H985" s="21">
        <f>VLOOKUP(Tabela12[[#This Row],[Tag Cabo]],BD!A:F,6,0)</f>
        <v>1</v>
      </c>
      <c r="I985" s="27" t="s">
        <v>1705</v>
      </c>
      <c r="J985" s="27" t="s">
        <v>1706</v>
      </c>
    </row>
    <row r="986" spans="1:10" x14ac:dyDescent="0.25">
      <c r="A986" s="21" t="s">
        <v>1240</v>
      </c>
      <c r="B986" s="391" t="str">
        <f>VLOOKUP(Tabela12[[#This Row],[Painel]],Tabela13[],2,0)</f>
        <v>CCU</v>
      </c>
      <c r="C986" s="391" t="s">
        <v>1655</v>
      </c>
      <c r="D986" s="21" t="s">
        <v>1737</v>
      </c>
      <c r="E986" s="21">
        <v>3</v>
      </c>
      <c r="F986" s="27" t="str">
        <f>Tabela12[[#This Row],[Régua]]&amp;" ("&amp;Tabela12[[#This Row],[Born]]&amp;")"</f>
        <v>TB2 (3)</v>
      </c>
      <c r="G986" s="27">
        <f>LEN(Tabela12[[#This Row],[Anilha]])</f>
        <v>7</v>
      </c>
      <c r="H986" s="21">
        <f>VLOOKUP(Tabela12[[#This Row],[Tag Cabo]],BD!A:F,6,0)</f>
        <v>1</v>
      </c>
      <c r="I986" s="27" t="s">
        <v>1705</v>
      </c>
      <c r="J986" s="27" t="s">
        <v>1706</v>
      </c>
    </row>
    <row r="987" spans="1:10" x14ac:dyDescent="0.25">
      <c r="A987" s="21" t="s">
        <v>1240</v>
      </c>
      <c r="B987" s="391" t="str">
        <f>VLOOKUP(Tabela12[[#This Row],[Painel]],Tabela13[],2,0)</f>
        <v>CCU</v>
      </c>
      <c r="C987" s="391" t="s">
        <v>1655</v>
      </c>
      <c r="D987" s="21" t="s">
        <v>1737</v>
      </c>
      <c r="E987" s="21">
        <v>4</v>
      </c>
      <c r="F987" s="27" t="str">
        <f>Tabela12[[#This Row],[Régua]]&amp;" ("&amp;Tabela12[[#This Row],[Born]]&amp;")"</f>
        <v>TB2 (4)</v>
      </c>
      <c r="G987" s="27">
        <f>LEN(Tabela12[[#This Row],[Anilha]])</f>
        <v>7</v>
      </c>
      <c r="H987" s="21">
        <f>VLOOKUP(Tabela12[[#This Row],[Tag Cabo]],BD!A:F,6,0)</f>
        <v>1</v>
      </c>
      <c r="I987" s="27" t="s">
        <v>1705</v>
      </c>
      <c r="J987" s="27" t="s">
        <v>1706</v>
      </c>
    </row>
    <row r="988" spans="1:10" x14ac:dyDescent="0.25">
      <c r="A988" s="21" t="s">
        <v>1247</v>
      </c>
      <c r="B988" s="391" t="str">
        <f>VLOOKUP(Tabela12[[#This Row],[Painel]],Tabela13[],2,0)</f>
        <v>GB-967A/B</v>
      </c>
      <c r="C988" s="391" t="s">
        <v>1249</v>
      </c>
      <c r="D988" s="21" t="s">
        <v>1761</v>
      </c>
      <c r="E988" s="21">
        <v>1</v>
      </c>
      <c r="F988" s="27" t="str">
        <f>Tabela12[[#This Row],[Régua]]&amp;" ("&amp;Tabela12[[#This Row],[Born]]&amp;")"</f>
        <v>TS-001 (1)</v>
      </c>
      <c r="G988" s="27">
        <f>LEN(Tabela12[[#This Row],[Anilha]])</f>
        <v>10</v>
      </c>
      <c r="H988" s="21">
        <f>VLOOKUP(Tabela12[[#This Row],[Tag Cabo]],BD!A:F,6,0)</f>
        <v>1</v>
      </c>
      <c r="I988" s="27" t="s">
        <v>1705</v>
      </c>
      <c r="J988" s="27" t="s">
        <v>1706</v>
      </c>
    </row>
    <row r="989" spans="1:10" x14ac:dyDescent="0.25">
      <c r="A989" s="21" t="s">
        <v>1247</v>
      </c>
      <c r="B989" s="391" t="str">
        <f>VLOOKUP(Tabela12[[#This Row],[Painel]],Tabela13[],2,0)</f>
        <v>GB-967A/B</v>
      </c>
      <c r="C989" s="391" t="s">
        <v>1249</v>
      </c>
      <c r="D989" s="21" t="s">
        <v>1761</v>
      </c>
      <c r="E989" s="21">
        <v>2</v>
      </c>
      <c r="F989" s="27" t="str">
        <f>Tabela12[[#This Row],[Régua]]&amp;" ("&amp;Tabela12[[#This Row],[Born]]&amp;")"</f>
        <v>TS-001 (2)</v>
      </c>
      <c r="G989" s="27">
        <f>LEN(Tabela12[[#This Row],[Anilha]])</f>
        <v>10</v>
      </c>
      <c r="H989" s="21">
        <f>VLOOKUP(Tabela12[[#This Row],[Tag Cabo]],BD!A:F,6,0)</f>
        <v>1</v>
      </c>
      <c r="I989" s="27" t="s">
        <v>1705</v>
      </c>
      <c r="J989" s="27" t="s">
        <v>1706</v>
      </c>
    </row>
    <row r="990" spans="1:10" x14ac:dyDescent="0.25">
      <c r="A990" s="21" t="s">
        <v>1247</v>
      </c>
      <c r="B990" s="391" t="str">
        <f>VLOOKUP(Tabela12[[#This Row],[Painel]],Tabela13[],2,0)</f>
        <v>GB-967A/B</v>
      </c>
      <c r="C990" s="391" t="s">
        <v>1249</v>
      </c>
      <c r="D990" s="21" t="s">
        <v>1761</v>
      </c>
      <c r="E990" s="21">
        <v>3</v>
      </c>
      <c r="F990" s="27" t="str">
        <f>Tabela12[[#This Row],[Régua]]&amp;" ("&amp;Tabela12[[#This Row],[Born]]&amp;")"</f>
        <v>TS-001 (3)</v>
      </c>
      <c r="G990" s="27">
        <f>LEN(Tabela12[[#This Row],[Anilha]])</f>
        <v>10</v>
      </c>
      <c r="H990" s="21">
        <f>VLOOKUP(Tabela12[[#This Row],[Tag Cabo]],BD!A:F,6,0)</f>
        <v>1</v>
      </c>
      <c r="I990" s="27" t="s">
        <v>1705</v>
      </c>
      <c r="J990" s="27" t="s">
        <v>1706</v>
      </c>
    </row>
    <row r="991" spans="1:10" x14ac:dyDescent="0.25">
      <c r="A991" s="21" t="s">
        <v>1247</v>
      </c>
      <c r="B991" s="391" t="str">
        <f>VLOOKUP(Tabela12[[#This Row],[Painel]],Tabela13[],2,0)</f>
        <v>GB-967A/B</v>
      </c>
      <c r="C991" s="391" t="s">
        <v>1249</v>
      </c>
      <c r="D991" s="21" t="s">
        <v>1761</v>
      </c>
      <c r="E991" s="21">
        <v>4</v>
      </c>
      <c r="F991" s="27" t="str">
        <f>Tabela12[[#This Row],[Régua]]&amp;" ("&amp;Tabela12[[#This Row],[Born]]&amp;")"</f>
        <v>TS-001 (4)</v>
      </c>
      <c r="G991" s="27">
        <f>LEN(Tabela12[[#This Row],[Anilha]])</f>
        <v>10</v>
      </c>
      <c r="H991" s="21">
        <f>VLOOKUP(Tabela12[[#This Row],[Tag Cabo]],BD!A:F,6,0)</f>
        <v>1</v>
      </c>
      <c r="I991" s="27" t="s">
        <v>1705</v>
      </c>
      <c r="J991" s="27" t="s">
        <v>1706</v>
      </c>
    </row>
    <row r="992" spans="1:10" x14ac:dyDescent="0.25">
      <c r="A992" s="21" t="s">
        <v>1247</v>
      </c>
      <c r="B992" s="391" t="str">
        <f>VLOOKUP(Tabela12[[#This Row],[Painel]],Tabela13[],2,0)</f>
        <v>GB-967A/B</v>
      </c>
      <c r="C992" s="391" t="s">
        <v>1249</v>
      </c>
      <c r="D992" s="21" t="s">
        <v>1761</v>
      </c>
      <c r="E992" s="21">
        <v>5</v>
      </c>
      <c r="F992" s="27" t="str">
        <f>Tabela12[[#This Row],[Régua]]&amp;" ("&amp;Tabela12[[#This Row],[Born]]&amp;")"</f>
        <v>TS-001 (5)</v>
      </c>
      <c r="G992" s="27">
        <f>LEN(Tabela12[[#This Row],[Anilha]])</f>
        <v>10</v>
      </c>
      <c r="H992" s="21">
        <f>VLOOKUP(Tabela12[[#This Row],[Tag Cabo]],BD!A:F,6,0)</f>
        <v>1</v>
      </c>
      <c r="I992" s="27" t="s">
        <v>1705</v>
      </c>
      <c r="J992" s="27" t="s">
        <v>1706</v>
      </c>
    </row>
    <row r="993" spans="1:10" x14ac:dyDescent="0.25">
      <c r="A993" s="21" t="s">
        <v>1247</v>
      </c>
      <c r="B993" s="391" t="str">
        <f>VLOOKUP(Tabela12[[#This Row],[Painel]],Tabela13[],2,0)</f>
        <v>GB-967A/B</v>
      </c>
      <c r="C993" s="391" t="s">
        <v>1249</v>
      </c>
      <c r="D993" s="21" t="s">
        <v>1761</v>
      </c>
      <c r="E993" s="21">
        <v>6</v>
      </c>
      <c r="F993" s="27" t="str">
        <f>Tabela12[[#This Row],[Régua]]&amp;" ("&amp;Tabela12[[#This Row],[Born]]&amp;")"</f>
        <v>TS-001 (6)</v>
      </c>
      <c r="G993" s="27">
        <f>LEN(Tabela12[[#This Row],[Anilha]])</f>
        <v>10</v>
      </c>
      <c r="H993" s="21">
        <f>VLOOKUP(Tabela12[[#This Row],[Tag Cabo]],BD!A:F,6,0)</f>
        <v>1</v>
      </c>
      <c r="I993" s="27" t="s">
        <v>1705</v>
      </c>
      <c r="J993" s="27" t="s">
        <v>1706</v>
      </c>
    </row>
    <row r="994" spans="1:10" x14ac:dyDescent="0.25">
      <c r="A994" s="21" t="s">
        <v>1247</v>
      </c>
      <c r="B994" s="391" t="str">
        <f>VLOOKUP(Tabela12[[#This Row],[Painel]],Tabela13[],2,0)</f>
        <v>GB-967A/B</v>
      </c>
      <c r="C994" s="391" t="s">
        <v>1249</v>
      </c>
      <c r="D994" s="21" t="s">
        <v>1761</v>
      </c>
      <c r="E994" s="21">
        <v>7</v>
      </c>
      <c r="F994" s="27" t="str">
        <f>Tabela12[[#This Row],[Régua]]&amp;" ("&amp;Tabela12[[#This Row],[Born]]&amp;")"</f>
        <v>TS-001 (7)</v>
      </c>
      <c r="G994" s="27">
        <f>LEN(Tabela12[[#This Row],[Anilha]])</f>
        <v>10</v>
      </c>
      <c r="H994" s="21">
        <f>VLOOKUP(Tabela12[[#This Row],[Tag Cabo]],BD!A:F,6,0)</f>
        <v>1</v>
      </c>
      <c r="I994" s="27" t="s">
        <v>1705</v>
      </c>
      <c r="J994" s="27" t="s">
        <v>1706</v>
      </c>
    </row>
    <row r="995" spans="1:10" x14ac:dyDescent="0.25">
      <c r="A995" s="21" t="s">
        <v>1247</v>
      </c>
      <c r="B995" s="391" t="str">
        <f>VLOOKUP(Tabela12[[#This Row],[Painel]],Tabela13[],2,0)</f>
        <v>GB-967A/B</v>
      </c>
      <c r="C995" s="391" t="s">
        <v>1249</v>
      </c>
      <c r="D995" s="21" t="s">
        <v>1761</v>
      </c>
      <c r="E995" s="21">
        <v>8</v>
      </c>
      <c r="F995" s="27" t="str">
        <f>Tabela12[[#This Row],[Régua]]&amp;" ("&amp;Tabela12[[#This Row],[Born]]&amp;")"</f>
        <v>TS-001 (8)</v>
      </c>
      <c r="G995" s="27">
        <f>LEN(Tabela12[[#This Row],[Anilha]])</f>
        <v>10</v>
      </c>
      <c r="H995" s="21">
        <f>VLOOKUP(Tabela12[[#This Row],[Tag Cabo]],BD!A:F,6,0)</f>
        <v>1</v>
      </c>
      <c r="I995" s="27" t="s">
        <v>1705</v>
      </c>
      <c r="J995" s="27" t="s">
        <v>1706</v>
      </c>
    </row>
    <row r="996" spans="1:10" x14ac:dyDescent="0.25">
      <c r="A996" s="21" t="s">
        <v>1247</v>
      </c>
      <c r="B996" s="391" t="str">
        <f>VLOOKUP(Tabela12[[#This Row],[Painel]],Tabela13[],2,0)</f>
        <v>GB-967A/B</v>
      </c>
      <c r="C996" s="391" t="s">
        <v>1249</v>
      </c>
      <c r="D996" s="21" t="s">
        <v>1761</v>
      </c>
      <c r="E996" s="21">
        <v>9</v>
      </c>
      <c r="F996" s="27" t="str">
        <f>Tabela12[[#This Row],[Régua]]&amp;" ("&amp;Tabela12[[#This Row],[Born]]&amp;")"</f>
        <v>TS-001 (9)</v>
      </c>
      <c r="G996" s="27">
        <f>LEN(Tabela12[[#This Row],[Anilha]])</f>
        <v>10</v>
      </c>
      <c r="H996" s="21">
        <f>VLOOKUP(Tabela12[[#This Row],[Tag Cabo]],BD!A:F,6,0)</f>
        <v>1</v>
      </c>
      <c r="I996" s="27" t="s">
        <v>1705</v>
      </c>
      <c r="J996" s="27" t="s">
        <v>1706</v>
      </c>
    </row>
    <row r="997" spans="1:10" x14ac:dyDescent="0.25">
      <c r="A997" s="21" t="s">
        <v>1247</v>
      </c>
      <c r="B997" s="391" t="str">
        <f>VLOOKUP(Tabela12[[#This Row],[Painel]],Tabela13[],2,0)</f>
        <v>GB-967A/B</v>
      </c>
      <c r="C997" s="391" t="s">
        <v>1249</v>
      </c>
      <c r="D997" s="21" t="s">
        <v>1761</v>
      </c>
      <c r="E997" s="21">
        <v>10</v>
      </c>
      <c r="F997" s="27" t="str">
        <f>Tabela12[[#This Row],[Régua]]&amp;" ("&amp;Tabela12[[#This Row],[Born]]&amp;")"</f>
        <v>TS-001 (10)</v>
      </c>
      <c r="G997" s="27">
        <f>LEN(Tabela12[[#This Row],[Anilha]])</f>
        <v>11</v>
      </c>
      <c r="H997" s="21">
        <f>VLOOKUP(Tabela12[[#This Row],[Tag Cabo]],BD!A:F,6,0)</f>
        <v>1</v>
      </c>
      <c r="I997" s="27" t="s">
        <v>1705</v>
      </c>
      <c r="J997" s="27" t="s">
        <v>1706</v>
      </c>
    </row>
    <row r="998" spans="1:10" x14ac:dyDescent="0.25">
      <c r="A998" s="21" t="s">
        <v>1247</v>
      </c>
      <c r="B998" s="391" t="str">
        <f>VLOOKUP(Tabela12[[#This Row],[Painel]],Tabela13[],2,0)</f>
        <v>GB-967A/B</v>
      </c>
      <c r="C998" s="391" t="s">
        <v>1249</v>
      </c>
      <c r="D998" s="21" t="s">
        <v>1761</v>
      </c>
      <c r="E998" s="21">
        <v>11</v>
      </c>
      <c r="F998" s="27" t="str">
        <f>Tabela12[[#This Row],[Régua]]&amp;" ("&amp;Tabela12[[#This Row],[Born]]&amp;")"</f>
        <v>TS-001 (11)</v>
      </c>
      <c r="G998" s="27">
        <f>LEN(Tabela12[[#This Row],[Anilha]])</f>
        <v>11</v>
      </c>
      <c r="H998" s="21">
        <f>VLOOKUP(Tabela12[[#This Row],[Tag Cabo]],BD!A:F,6,0)</f>
        <v>1</v>
      </c>
      <c r="I998" s="27" t="s">
        <v>1705</v>
      </c>
      <c r="J998" s="27" t="s">
        <v>1706</v>
      </c>
    </row>
    <row r="999" spans="1:10" x14ac:dyDescent="0.25">
      <c r="A999" s="21" t="s">
        <v>1247</v>
      </c>
      <c r="B999" s="391" t="str">
        <f>VLOOKUP(Tabela12[[#This Row],[Painel]],Tabela13[],2,0)</f>
        <v>GB-967A/B</v>
      </c>
      <c r="C999" s="391" t="s">
        <v>1249</v>
      </c>
      <c r="D999" s="21" t="s">
        <v>1761</v>
      </c>
      <c r="E999" s="21">
        <v>12</v>
      </c>
      <c r="F999" s="27" t="str">
        <f>Tabela12[[#This Row],[Régua]]&amp;" ("&amp;Tabela12[[#This Row],[Born]]&amp;")"</f>
        <v>TS-001 (12)</v>
      </c>
      <c r="G999" s="27">
        <f>LEN(Tabela12[[#This Row],[Anilha]])</f>
        <v>11</v>
      </c>
      <c r="H999" s="21">
        <f>VLOOKUP(Tabela12[[#This Row],[Tag Cabo]],BD!A:F,6,0)</f>
        <v>1</v>
      </c>
      <c r="I999" s="27" t="s">
        <v>1705</v>
      </c>
      <c r="J999" s="27" t="s">
        <v>1706</v>
      </c>
    </row>
    <row r="1000" spans="1:10" x14ac:dyDescent="0.25">
      <c r="A1000" s="21" t="s">
        <v>1247</v>
      </c>
      <c r="B1000" s="391" t="str">
        <f>VLOOKUP(Tabela12[[#This Row],[Painel]],Tabela13[],2,0)</f>
        <v>GB-967A/B</v>
      </c>
      <c r="C1000" s="391" t="s">
        <v>1249</v>
      </c>
      <c r="D1000" s="21" t="s">
        <v>1761</v>
      </c>
      <c r="E1000" s="21">
        <v>13</v>
      </c>
      <c r="F1000" s="27" t="str">
        <f>Tabela12[[#This Row],[Régua]]&amp;" ("&amp;Tabela12[[#This Row],[Born]]&amp;")"</f>
        <v>TS-001 (13)</v>
      </c>
      <c r="G1000" s="27">
        <f>LEN(Tabela12[[#This Row],[Anilha]])</f>
        <v>11</v>
      </c>
      <c r="H1000" s="21">
        <f>VLOOKUP(Tabela12[[#This Row],[Tag Cabo]],BD!A:F,6,0)</f>
        <v>1</v>
      </c>
      <c r="I1000" s="27" t="s">
        <v>1705</v>
      </c>
      <c r="J1000" s="27" t="s">
        <v>1706</v>
      </c>
    </row>
    <row r="1001" spans="1:10" x14ac:dyDescent="0.25">
      <c r="A1001" s="21" t="s">
        <v>1247</v>
      </c>
      <c r="B1001" s="391" t="str">
        <f>VLOOKUP(Tabela12[[#This Row],[Painel]],Tabela13[],2,0)</f>
        <v>GB-967A/B</v>
      </c>
      <c r="C1001" s="391" t="s">
        <v>1249</v>
      </c>
      <c r="D1001" s="21" t="s">
        <v>1761</v>
      </c>
      <c r="E1001" s="21">
        <v>14</v>
      </c>
      <c r="F1001" s="27" t="str">
        <f>Tabela12[[#This Row],[Régua]]&amp;" ("&amp;Tabela12[[#This Row],[Born]]&amp;")"</f>
        <v>TS-001 (14)</v>
      </c>
      <c r="G1001" s="27">
        <f>LEN(Tabela12[[#This Row],[Anilha]])</f>
        <v>11</v>
      </c>
      <c r="H1001" s="21">
        <f>VLOOKUP(Tabela12[[#This Row],[Tag Cabo]],BD!A:F,6,0)</f>
        <v>1</v>
      </c>
      <c r="I1001" s="27" t="s">
        <v>1705</v>
      </c>
      <c r="J1001" s="27" t="s">
        <v>1706</v>
      </c>
    </row>
    <row r="1002" spans="1:10" x14ac:dyDescent="0.25">
      <c r="A1002" s="21" t="s">
        <v>1247</v>
      </c>
      <c r="B1002" s="391" t="str">
        <f>VLOOKUP(Tabela12[[#This Row],[Painel]],Tabela13[],2,0)</f>
        <v>GB-967A/B</v>
      </c>
      <c r="C1002" s="391" t="s">
        <v>1249</v>
      </c>
      <c r="D1002" s="21" t="s">
        <v>1761</v>
      </c>
      <c r="E1002" s="21">
        <v>15</v>
      </c>
      <c r="F1002" s="27" t="str">
        <f>Tabela12[[#This Row],[Régua]]&amp;" ("&amp;Tabela12[[#This Row],[Born]]&amp;")"</f>
        <v>TS-001 (15)</v>
      </c>
      <c r="G1002" s="27">
        <f>LEN(Tabela12[[#This Row],[Anilha]])</f>
        <v>11</v>
      </c>
      <c r="H1002" s="21">
        <f>VLOOKUP(Tabela12[[#This Row],[Tag Cabo]],BD!A:F,6,0)</f>
        <v>1</v>
      </c>
      <c r="I1002" s="27" t="s">
        <v>1705</v>
      </c>
      <c r="J1002" s="27" t="s">
        <v>1706</v>
      </c>
    </row>
    <row r="1003" spans="1:10" x14ac:dyDescent="0.25">
      <c r="A1003" s="21" t="s">
        <v>1247</v>
      </c>
      <c r="B1003" s="391" t="str">
        <f>VLOOKUP(Tabela12[[#This Row],[Painel]],Tabela13[],2,0)</f>
        <v>GB-967A/B</v>
      </c>
      <c r="C1003" s="391" t="s">
        <v>1249</v>
      </c>
      <c r="D1003" s="21" t="s">
        <v>1761</v>
      </c>
      <c r="E1003" s="21">
        <v>16</v>
      </c>
      <c r="F1003" s="27" t="str">
        <f>Tabela12[[#This Row],[Régua]]&amp;" ("&amp;Tabela12[[#This Row],[Born]]&amp;")"</f>
        <v>TS-001 (16)</v>
      </c>
      <c r="G1003" s="27">
        <f>LEN(Tabela12[[#This Row],[Anilha]])</f>
        <v>11</v>
      </c>
      <c r="H1003" s="21">
        <f>VLOOKUP(Tabela12[[#This Row],[Tag Cabo]],BD!A:F,6,0)</f>
        <v>1</v>
      </c>
      <c r="I1003" s="27" t="s">
        <v>1705</v>
      </c>
      <c r="J1003" s="27" t="s">
        <v>1706</v>
      </c>
    </row>
    <row r="1004" spans="1:10" x14ac:dyDescent="0.25">
      <c r="A1004" s="21" t="s">
        <v>1247</v>
      </c>
      <c r="B1004" s="391" t="str">
        <f>VLOOKUP(Tabela12[[#This Row],[Painel]],Tabela13[],2,0)</f>
        <v>GB-967A/B</v>
      </c>
      <c r="C1004" s="391" t="s">
        <v>1249</v>
      </c>
      <c r="D1004" s="21" t="s">
        <v>1761</v>
      </c>
      <c r="E1004" s="21">
        <v>17</v>
      </c>
      <c r="F1004" s="27" t="str">
        <f>Tabela12[[#This Row],[Régua]]&amp;" ("&amp;Tabela12[[#This Row],[Born]]&amp;")"</f>
        <v>TS-001 (17)</v>
      </c>
      <c r="G1004" s="27">
        <f>LEN(Tabela12[[#This Row],[Anilha]])</f>
        <v>11</v>
      </c>
      <c r="H1004" s="21">
        <f>VLOOKUP(Tabela12[[#This Row],[Tag Cabo]],BD!A:F,6,0)</f>
        <v>1</v>
      </c>
      <c r="I1004" s="27" t="s">
        <v>1705</v>
      </c>
      <c r="J1004" s="27" t="s">
        <v>1706</v>
      </c>
    </row>
    <row r="1005" spans="1:10" x14ac:dyDescent="0.25">
      <c r="A1005" s="21" t="s">
        <v>1247</v>
      </c>
      <c r="B1005" s="391" t="str">
        <f>VLOOKUP(Tabela12[[#This Row],[Painel]],Tabela13[],2,0)</f>
        <v>GB-967A/B</v>
      </c>
      <c r="C1005" s="391" t="s">
        <v>1249</v>
      </c>
      <c r="D1005" s="21" t="s">
        <v>1761</v>
      </c>
      <c r="E1005" s="21">
        <v>18</v>
      </c>
      <c r="F1005" s="27" t="str">
        <f>Tabela12[[#This Row],[Régua]]&amp;" ("&amp;Tabela12[[#This Row],[Born]]&amp;")"</f>
        <v>TS-001 (18)</v>
      </c>
      <c r="G1005" s="27">
        <f>LEN(Tabela12[[#This Row],[Anilha]])</f>
        <v>11</v>
      </c>
      <c r="H1005" s="21">
        <f>VLOOKUP(Tabela12[[#This Row],[Tag Cabo]],BD!A:F,6,0)</f>
        <v>1</v>
      </c>
      <c r="I1005" s="27" t="s">
        <v>1705</v>
      </c>
      <c r="J1005" s="27" t="s">
        <v>1706</v>
      </c>
    </row>
    <row r="1006" spans="1:10" x14ac:dyDescent="0.25">
      <c r="A1006" s="21" t="s">
        <v>1247</v>
      </c>
      <c r="B1006" s="391" t="str">
        <f>VLOOKUP(Tabela12[[#This Row],[Painel]],Tabela13[],2,0)</f>
        <v>GB-967A/B</v>
      </c>
      <c r="C1006" s="391" t="s">
        <v>1249</v>
      </c>
      <c r="D1006" s="21" t="s">
        <v>1761</v>
      </c>
      <c r="E1006" s="21">
        <v>19</v>
      </c>
      <c r="F1006" s="27" t="str">
        <f>Tabela12[[#This Row],[Régua]]&amp;" ("&amp;Tabela12[[#This Row],[Born]]&amp;")"</f>
        <v>TS-001 (19)</v>
      </c>
      <c r="G1006" s="27">
        <f>LEN(Tabela12[[#This Row],[Anilha]])</f>
        <v>11</v>
      </c>
      <c r="H1006" s="21">
        <f>VLOOKUP(Tabela12[[#This Row],[Tag Cabo]],BD!A:F,6,0)</f>
        <v>1</v>
      </c>
      <c r="I1006" s="27" t="s">
        <v>1705</v>
      </c>
      <c r="J1006" s="27" t="s">
        <v>1706</v>
      </c>
    </row>
    <row r="1007" spans="1:10" x14ac:dyDescent="0.25">
      <c r="A1007" s="21" t="s">
        <v>1247</v>
      </c>
      <c r="B1007" s="391" t="str">
        <f>VLOOKUP(Tabela12[[#This Row],[Painel]],Tabela13[],2,0)</f>
        <v>GB-967A/B</v>
      </c>
      <c r="C1007" s="391" t="s">
        <v>1249</v>
      </c>
      <c r="D1007" s="21" t="s">
        <v>1761</v>
      </c>
      <c r="E1007" s="21">
        <v>20</v>
      </c>
      <c r="F1007" s="27" t="str">
        <f>Tabela12[[#This Row],[Régua]]&amp;" ("&amp;Tabela12[[#This Row],[Born]]&amp;")"</f>
        <v>TS-001 (20)</v>
      </c>
      <c r="G1007" s="27">
        <f>LEN(Tabela12[[#This Row],[Anilha]])</f>
        <v>11</v>
      </c>
      <c r="H1007" s="21">
        <f>VLOOKUP(Tabela12[[#This Row],[Tag Cabo]],BD!A:F,6,0)</f>
        <v>1</v>
      </c>
      <c r="I1007" s="27" t="s">
        <v>1705</v>
      </c>
      <c r="J1007" s="27" t="s">
        <v>1706</v>
      </c>
    </row>
    <row r="1008" spans="1:10" x14ac:dyDescent="0.25">
      <c r="A1008" s="21" t="s">
        <v>1247</v>
      </c>
      <c r="B1008" s="391" t="str">
        <f>VLOOKUP(Tabela12[[#This Row],[Painel]],Tabela13[],2,0)</f>
        <v>GB-967A/B</v>
      </c>
      <c r="C1008" s="391" t="s">
        <v>1249</v>
      </c>
      <c r="D1008" s="21" t="s">
        <v>1761</v>
      </c>
      <c r="E1008" s="21">
        <v>21</v>
      </c>
      <c r="F1008" s="27" t="str">
        <f>Tabela12[[#This Row],[Régua]]&amp;" ("&amp;Tabela12[[#This Row],[Born]]&amp;")"</f>
        <v>TS-001 (21)</v>
      </c>
      <c r="G1008" s="27">
        <f>LEN(Tabela12[[#This Row],[Anilha]])</f>
        <v>11</v>
      </c>
      <c r="H1008" s="21">
        <f>VLOOKUP(Tabela12[[#This Row],[Tag Cabo]],BD!A:F,6,0)</f>
        <v>1</v>
      </c>
      <c r="I1008" s="27" t="s">
        <v>1705</v>
      </c>
      <c r="J1008" s="27" t="s">
        <v>1706</v>
      </c>
    </row>
    <row r="1009" spans="1:10" x14ac:dyDescent="0.25">
      <c r="A1009" s="21" t="s">
        <v>1247</v>
      </c>
      <c r="B1009" s="391" t="str">
        <f>VLOOKUP(Tabela12[[#This Row],[Painel]],Tabela13[],2,0)</f>
        <v>GB-967A/B</v>
      </c>
      <c r="C1009" s="391" t="s">
        <v>1249</v>
      </c>
      <c r="D1009" s="21" t="s">
        <v>1761</v>
      </c>
      <c r="E1009" s="21">
        <v>22</v>
      </c>
      <c r="F1009" s="27" t="str">
        <f>Tabela12[[#This Row],[Régua]]&amp;" ("&amp;Tabela12[[#This Row],[Born]]&amp;")"</f>
        <v>TS-001 (22)</v>
      </c>
      <c r="G1009" s="27">
        <f>LEN(Tabela12[[#This Row],[Anilha]])</f>
        <v>11</v>
      </c>
      <c r="H1009" s="21">
        <f>VLOOKUP(Tabela12[[#This Row],[Tag Cabo]],BD!A:F,6,0)</f>
        <v>1</v>
      </c>
      <c r="I1009" s="27" t="s">
        <v>1705</v>
      </c>
      <c r="J1009" s="27" t="s">
        <v>1706</v>
      </c>
    </row>
    <row r="1010" spans="1:10" x14ac:dyDescent="0.25">
      <c r="A1010" s="21" t="s">
        <v>1247</v>
      </c>
      <c r="B1010" s="391" t="str">
        <f>VLOOKUP(Tabela12[[#This Row],[Painel]],Tabela13[],2,0)</f>
        <v>GB-967A/B</v>
      </c>
      <c r="C1010" s="391" t="s">
        <v>1249</v>
      </c>
      <c r="D1010" s="21" t="s">
        <v>1761</v>
      </c>
      <c r="E1010" s="21">
        <v>23</v>
      </c>
      <c r="F1010" s="27" t="str">
        <f>Tabela12[[#This Row],[Régua]]&amp;" ("&amp;Tabela12[[#This Row],[Born]]&amp;")"</f>
        <v>TS-001 (23)</v>
      </c>
      <c r="G1010" s="27">
        <f>LEN(Tabela12[[#This Row],[Anilha]])</f>
        <v>11</v>
      </c>
      <c r="H1010" s="21">
        <f>VLOOKUP(Tabela12[[#This Row],[Tag Cabo]],BD!A:F,6,0)</f>
        <v>1</v>
      </c>
      <c r="I1010" s="27" t="s">
        <v>1705</v>
      </c>
      <c r="J1010" s="27" t="s">
        <v>1706</v>
      </c>
    </row>
    <row r="1011" spans="1:10" x14ac:dyDescent="0.25">
      <c r="A1011" s="21" t="s">
        <v>1247</v>
      </c>
      <c r="B1011" s="391" t="str">
        <f>VLOOKUP(Tabela12[[#This Row],[Painel]],Tabela13[],2,0)</f>
        <v>GB-967A/B</v>
      </c>
      <c r="C1011" s="391" t="s">
        <v>1249</v>
      </c>
      <c r="D1011" s="21" t="s">
        <v>1761</v>
      </c>
      <c r="E1011" s="21">
        <v>24</v>
      </c>
      <c r="F1011" s="27" t="str">
        <f>Tabela12[[#This Row],[Régua]]&amp;" ("&amp;Tabela12[[#This Row],[Born]]&amp;")"</f>
        <v>TS-001 (24)</v>
      </c>
      <c r="G1011" s="27">
        <f>LEN(Tabela12[[#This Row],[Anilha]])</f>
        <v>11</v>
      </c>
      <c r="H1011" s="21">
        <f>VLOOKUP(Tabela12[[#This Row],[Tag Cabo]],BD!A:F,6,0)</f>
        <v>1</v>
      </c>
      <c r="I1011" s="27" t="s">
        <v>1705</v>
      </c>
      <c r="J1011" s="27" t="s">
        <v>1706</v>
      </c>
    </row>
    <row r="1012" spans="1:10" x14ac:dyDescent="0.25">
      <c r="A1012" s="21" t="s">
        <v>1247</v>
      </c>
      <c r="B1012" s="391" t="str">
        <f>VLOOKUP(Tabela12[[#This Row],[Painel]],Tabela13[],2,0)</f>
        <v>CCU</v>
      </c>
      <c r="C1012" s="391" t="s">
        <v>1655</v>
      </c>
      <c r="D1012" s="21" t="s">
        <v>1726</v>
      </c>
      <c r="E1012" s="21">
        <v>13</v>
      </c>
      <c r="F1012" s="27" t="str">
        <f>Tabela12[[#This Row],[Régua]]&amp;" ("&amp;Tabela12[[#This Row],[Born]]&amp;")"</f>
        <v>RS-02 (13)</v>
      </c>
      <c r="G1012" s="27">
        <f>LEN(Tabela12[[#This Row],[Anilha]])</f>
        <v>10</v>
      </c>
      <c r="H1012" s="21">
        <f>VLOOKUP(Tabela12[[#This Row],[Tag Cabo]],BD!A:F,6,0)</f>
        <v>1</v>
      </c>
      <c r="I1012" s="27" t="s">
        <v>1705</v>
      </c>
      <c r="J1012" s="27" t="s">
        <v>1706</v>
      </c>
    </row>
    <row r="1013" spans="1:10" x14ac:dyDescent="0.25">
      <c r="A1013" s="21" t="s">
        <v>1247</v>
      </c>
      <c r="B1013" s="391" t="str">
        <f>VLOOKUP(Tabela12[[#This Row],[Painel]],Tabela13[],2,0)</f>
        <v>CCU</v>
      </c>
      <c r="C1013" s="391" t="s">
        <v>1655</v>
      </c>
      <c r="D1013" s="21" t="s">
        <v>1726</v>
      </c>
      <c r="E1013" s="21">
        <v>14</v>
      </c>
      <c r="F1013" s="27" t="str">
        <f>Tabela12[[#This Row],[Régua]]&amp;" ("&amp;Tabela12[[#This Row],[Born]]&amp;")"</f>
        <v>RS-02 (14)</v>
      </c>
      <c r="G1013" s="27">
        <f>LEN(Tabela12[[#This Row],[Anilha]])</f>
        <v>10</v>
      </c>
      <c r="H1013" s="21">
        <f>VLOOKUP(Tabela12[[#This Row],[Tag Cabo]],BD!A:F,6,0)</f>
        <v>1</v>
      </c>
      <c r="I1013" s="27" t="s">
        <v>1705</v>
      </c>
      <c r="J1013" s="27" t="s">
        <v>1706</v>
      </c>
    </row>
    <row r="1014" spans="1:10" x14ac:dyDescent="0.25">
      <c r="A1014" s="21" t="s">
        <v>213</v>
      </c>
      <c r="B1014" s="391" t="str">
        <f>VLOOKUP(Tabela12[[#This Row],[Painel]],Tabela13[],2,0)</f>
        <v>1MV</v>
      </c>
      <c r="C1014" s="391" t="s">
        <v>1656</v>
      </c>
      <c r="D1014" s="21" t="s">
        <v>1868</v>
      </c>
      <c r="E1014" s="21">
        <v>9</v>
      </c>
      <c r="F1014" s="27" t="str">
        <f>Tabela12[[#This Row],[Régua]]&amp;" ("&amp;Tabela12[[#This Row],[Born]]&amp;")"</f>
        <v>XE2 (9)</v>
      </c>
      <c r="G1014" s="27">
        <f>LEN(Tabela12[[#This Row],[Anilha]])</f>
        <v>7</v>
      </c>
      <c r="H1014" s="21">
        <f>VLOOKUP(Tabela12[[#This Row],[Tag Cabo]],BD!A:F,6,0)</f>
        <v>1.5</v>
      </c>
      <c r="I1014" s="27" t="s">
        <v>1705</v>
      </c>
      <c r="J1014" s="27" t="s">
        <v>1706</v>
      </c>
    </row>
    <row r="1015" spans="1:10" x14ac:dyDescent="0.25">
      <c r="A1015" s="21" t="s">
        <v>213</v>
      </c>
      <c r="B1015" s="391" t="str">
        <f>VLOOKUP(Tabela12[[#This Row],[Painel]],Tabela13[],2,0)</f>
        <v>1MV</v>
      </c>
      <c r="C1015" s="391" t="s">
        <v>1656</v>
      </c>
      <c r="D1015" s="21" t="s">
        <v>1868</v>
      </c>
      <c r="E1015" s="21">
        <v>10</v>
      </c>
      <c r="F1015" s="27" t="str">
        <f>Tabela12[[#This Row],[Régua]]&amp;" ("&amp;Tabela12[[#This Row],[Born]]&amp;")"</f>
        <v>XE2 (10)</v>
      </c>
      <c r="G1015" s="27">
        <f>LEN(Tabela12[[#This Row],[Anilha]])</f>
        <v>8</v>
      </c>
      <c r="H1015" s="21">
        <f>VLOOKUP(Tabela12[[#This Row],[Tag Cabo]],BD!A:F,6,0)</f>
        <v>1.5</v>
      </c>
      <c r="I1015" s="27" t="s">
        <v>1705</v>
      </c>
      <c r="J1015" s="27" t="s">
        <v>1706</v>
      </c>
    </row>
    <row r="1016" spans="1:10" x14ac:dyDescent="0.25">
      <c r="A1016" s="21" t="s">
        <v>213</v>
      </c>
      <c r="B1016" s="391" t="str">
        <f>VLOOKUP(Tabela12[[#This Row],[Painel]],Tabela13[],2,0)</f>
        <v>CCU</v>
      </c>
      <c r="C1016" s="391" t="s">
        <v>1655</v>
      </c>
      <c r="D1016" s="21" t="s">
        <v>1869</v>
      </c>
      <c r="E1016" s="21" t="s">
        <v>1870</v>
      </c>
      <c r="F1016" s="27" t="str">
        <f>Tabela12[[#This Row],[Régua]]&amp;" ("&amp;Tabela12[[#This Row],[Born]]&amp;")"</f>
        <v>TB1 (2L1)</v>
      </c>
      <c r="G1016" s="27">
        <f>LEN(Tabela12[[#This Row],[Anilha]])</f>
        <v>9</v>
      </c>
      <c r="H1016" s="21">
        <f>VLOOKUP(Tabela12[[#This Row],[Tag Cabo]],BD!A:F,6,0)</f>
        <v>1.5</v>
      </c>
      <c r="I1016" s="27" t="s">
        <v>1705</v>
      </c>
      <c r="J1016" s="27" t="s">
        <v>1706</v>
      </c>
    </row>
    <row r="1017" spans="1:10" x14ac:dyDescent="0.25">
      <c r="A1017" s="21" t="s">
        <v>213</v>
      </c>
      <c r="B1017" s="391" t="str">
        <f>VLOOKUP(Tabela12[[#This Row],[Painel]],Tabela13[],2,0)</f>
        <v>CCU</v>
      </c>
      <c r="C1017" s="391" t="s">
        <v>1655</v>
      </c>
      <c r="D1017" s="21" t="s">
        <v>1869</v>
      </c>
      <c r="E1017" s="21" t="s">
        <v>1871</v>
      </c>
      <c r="F1017" s="27" t="str">
        <f>Tabela12[[#This Row],[Régua]]&amp;" ("&amp;Tabela12[[#This Row],[Born]]&amp;")"</f>
        <v>TB1 (2N1)</v>
      </c>
      <c r="G1017" s="27">
        <f>LEN(Tabela12[[#This Row],[Anilha]])</f>
        <v>9</v>
      </c>
      <c r="H1017" s="21">
        <f>VLOOKUP(Tabela12[[#This Row],[Tag Cabo]],BD!A:F,6,0)</f>
        <v>1.5</v>
      </c>
      <c r="I1017" s="27" t="s">
        <v>1705</v>
      </c>
      <c r="J1017" s="27" t="s">
        <v>1706</v>
      </c>
    </row>
    <row r="1018" spans="1:10" x14ac:dyDescent="0.25">
      <c r="A1018" s="21" t="s">
        <v>225</v>
      </c>
      <c r="B1018" s="391" t="str">
        <f>VLOOKUP(Tabela12[[#This Row],[Painel]],Tabela13[],2,0)</f>
        <v>1MV</v>
      </c>
      <c r="C1018" s="391" t="s">
        <v>1656</v>
      </c>
      <c r="D1018" s="21" t="s">
        <v>1868</v>
      </c>
      <c r="E1018" s="21">
        <v>7</v>
      </c>
      <c r="F1018" s="27" t="str">
        <f>Tabela12[[#This Row],[Régua]]&amp;" ("&amp;Tabela12[[#This Row],[Born]]&amp;")"</f>
        <v>XE2 (7)</v>
      </c>
      <c r="G1018" s="27">
        <f>LEN(Tabela12[[#This Row],[Anilha]])</f>
        <v>7</v>
      </c>
      <c r="H1018" s="21">
        <f>VLOOKUP(Tabela12[[#This Row],[Tag Cabo]],BD!A:F,6,0)</f>
        <v>1</v>
      </c>
      <c r="I1018" s="27" t="s">
        <v>1705</v>
      </c>
      <c r="J1018" s="27" t="s">
        <v>1706</v>
      </c>
    </row>
    <row r="1019" spans="1:10" x14ac:dyDescent="0.25">
      <c r="A1019" s="21" t="s">
        <v>225</v>
      </c>
      <c r="B1019" s="391" t="str">
        <f>VLOOKUP(Tabela12[[#This Row],[Painel]],Tabela13[],2,0)</f>
        <v>1MV</v>
      </c>
      <c r="C1019" s="391" t="s">
        <v>1656</v>
      </c>
      <c r="D1019" s="21" t="s">
        <v>1868</v>
      </c>
      <c r="E1019" s="21">
        <v>8</v>
      </c>
      <c r="F1019" s="27" t="str">
        <f>Tabela12[[#This Row],[Régua]]&amp;" ("&amp;Tabela12[[#This Row],[Born]]&amp;")"</f>
        <v>XE2 (8)</v>
      </c>
      <c r="G1019" s="27">
        <f>LEN(Tabela12[[#This Row],[Anilha]])</f>
        <v>7</v>
      </c>
      <c r="H1019" s="21">
        <f>VLOOKUP(Tabela12[[#This Row],[Tag Cabo]],BD!A:F,6,0)</f>
        <v>1</v>
      </c>
      <c r="I1019" s="27" t="s">
        <v>1705</v>
      </c>
      <c r="J1019" s="27" t="s">
        <v>1706</v>
      </c>
    </row>
    <row r="1020" spans="1:10" x14ac:dyDescent="0.25">
      <c r="A1020" s="21" t="s">
        <v>225</v>
      </c>
      <c r="B1020" s="391" t="str">
        <f>VLOOKUP(Tabela12[[#This Row],[Painel]],Tabela13[],2,0)</f>
        <v>1MV</v>
      </c>
      <c r="C1020" s="391" t="s">
        <v>1656</v>
      </c>
      <c r="D1020" s="21" t="s">
        <v>1868</v>
      </c>
      <c r="E1020" s="21">
        <v>11</v>
      </c>
      <c r="F1020" s="27" t="str">
        <f>Tabela12[[#This Row],[Régua]]&amp;" ("&amp;Tabela12[[#This Row],[Born]]&amp;")"</f>
        <v>XE2 (11)</v>
      </c>
      <c r="G1020" s="27">
        <f>LEN(Tabela12[[#This Row],[Anilha]])</f>
        <v>8</v>
      </c>
      <c r="H1020" s="21">
        <f>VLOOKUP(Tabela12[[#This Row],[Tag Cabo]],BD!A:F,6,0)</f>
        <v>1</v>
      </c>
      <c r="I1020" s="27" t="s">
        <v>1705</v>
      </c>
      <c r="J1020" s="27" t="s">
        <v>1706</v>
      </c>
    </row>
    <row r="1021" spans="1:10" x14ac:dyDescent="0.25">
      <c r="A1021" s="21" t="s">
        <v>225</v>
      </c>
      <c r="B1021" s="391" t="str">
        <f>VLOOKUP(Tabela12[[#This Row],[Painel]],Tabela13[],2,0)</f>
        <v>1MV</v>
      </c>
      <c r="C1021" s="391" t="s">
        <v>1656</v>
      </c>
      <c r="D1021" s="21" t="s">
        <v>1868</v>
      </c>
      <c r="E1021" s="21">
        <v>12</v>
      </c>
      <c r="F1021" s="27" t="str">
        <f>Tabela12[[#This Row],[Régua]]&amp;" ("&amp;Tabela12[[#This Row],[Born]]&amp;")"</f>
        <v>XE2 (12)</v>
      </c>
      <c r="G1021" s="27">
        <f>LEN(Tabela12[[#This Row],[Anilha]])</f>
        <v>8</v>
      </c>
      <c r="H1021" s="21">
        <f>VLOOKUP(Tabela12[[#This Row],[Tag Cabo]],BD!A:F,6,0)</f>
        <v>1</v>
      </c>
      <c r="I1021" s="27" t="s">
        <v>1705</v>
      </c>
      <c r="J1021" s="27" t="s">
        <v>1706</v>
      </c>
    </row>
    <row r="1022" spans="1:10" x14ac:dyDescent="0.25">
      <c r="A1022" s="21" t="s">
        <v>225</v>
      </c>
      <c r="B1022" s="391" t="str">
        <f>VLOOKUP(Tabela12[[#This Row],[Painel]],Tabela13[],2,0)</f>
        <v>CCU</v>
      </c>
      <c r="C1022" s="391" t="s">
        <v>1655</v>
      </c>
      <c r="D1022" s="21" t="s">
        <v>1872</v>
      </c>
      <c r="E1022" s="21" t="s">
        <v>1873</v>
      </c>
      <c r="F1022" s="27" t="str">
        <f>Tabela12[[#This Row],[Régua]]&amp;" ("&amp;Tabela12[[#This Row],[Born]]&amp;")"</f>
        <v>TB4 (2PW)</v>
      </c>
      <c r="G1022" s="27">
        <f>LEN(Tabela12[[#This Row],[Anilha]])</f>
        <v>9</v>
      </c>
      <c r="H1022" s="21">
        <f>VLOOKUP(Tabela12[[#This Row],[Tag Cabo]],BD!A:F,6,0)</f>
        <v>1</v>
      </c>
      <c r="I1022" s="27" t="s">
        <v>1705</v>
      </c>
      <c r="J1022" s="27" t="s">
        <v>1706</v>
      </c>
    </row>
    <row r="1023" spans="1:10" x14ac:dyDescent="0.25">
      <c r="A1023" s="21" t="s">
        <v>225</v>
      </c>
      <c r="B1023" s="391" t="str">
        <f>VLOOKUP(Tabela12[[#This Row],[Painel]],Tabela13[],2,0)</f>
        <v>CCU</v>
      </c>
      <c r="C1023" s="391" t="s">
        <v>1655</v>
      </c>
      <c r="D1023" s="21" t="s">
        <v>1872</v>
      </c>
      <c r="E1023" s="21" t="s">
        <v>1874</v>
      </c>
      <c r="F1023" s="27" t="str">
        <f>Tabela12[[#This Row],[Régua]]&amp;" ("&amp;Tabela12[[#This Row],[Born]]&amp;")"</f>
        <v>TB4 (2SN)</v>
      </c>
      <c r="G1023" s="27">
        <f>LEN(Tabela12[[#This Row],[Anilha]])</f>
        <v>9</v>
      </c>
      <c r="H1023" s="21">
        <f>VLOOKUP(Tabela12[[#This Row],[Tag Cabo]],BD!A:F,6,0)</f>
        <v>1</v>
      </c>
      <c r="I1023" s="27" t="s">
        <v>1705</v>
      </c>
      <c r="J1023" s="27" t="s">
        <v>1706</v>
      </c>
    </row>
    <row r="1024" spans="1:10" x14ac:dyDescent="0.25">
      <c r="A1024" s="21" t="s">
        <v>225</v>
      </c>
      <c r="B1024" s="391" t="str">
        <f>VLOOKUP(Tabela12[[#This Row],[Painel]],Tabela13[],2,0)</f>
        <v>CCU</v>
      </c>
      <c r="C1024" s="391" t="s">
        <v>1655</v>
      </c>
      <c r="D1024" s="21" t="s">
        <v>1872</v>
      </c>
      <c r="E1024" s="21" t="s">
        <v>1875</v>
      </c>
      <c r="F1024" s="27" t="str">
        <f>Tabela12[[#This Row],[Régua]]&amp;" ("&amp;Tabela12[[#This Row],[Born]]&amp;")"</f>
        <v>TB4 (3PW)</v>
      </c>
      <c r="G1024" s="27">
        <f>LEN(Tabela12[[#This Row],[Anilha]])</f>
        <v>9</v>
      </c>
      <c r="H1024" s="21">
        <f>VLOOKUP(Tabela12[[#This Row],[Tag Cabo]],BD!A:F,6,0)</f>
        <v>1</v>
      </c>
      <c r="I1024" s="27" t="s">
        <v>1705</v>
      </c>
      <c r="J1024" s="27" t="s">
        <v>1706</v>
      </c>
    </row>
    <row r="1025" spans="1:10" x14ac:dyDescent="0.25">
      <c r="A1025" s="21" t="s">
        <v>225</v>
      </c>
      <c r="B1025" s="391" t="str">
        <f>VLOOKUP(Tabela12[[#This Row],[Painel]],Tabela13[],2,0)</f>
        <v>CCU</v>
      </c>
      <c r="C1025" s="391" t="s">
        <v>1655</v>
      </c>
      <c r="D1025" s="21" t="s">
        <v>1872</v>
      </c>
      <c r="E1025" s="21" t="s">
        <v>1876</v>
      </c>
      <c r="F1025" s="27" t="str">
        <f>Tabela12[[#This Row],[Régua]]&amp;" ("&amp;Tabela12[[#This Row],[Born]]&amp;")"</f>
        <v>TB4 (3SN)</v>
      </c>
      <c r="G1025" s="27">
        <f>LEN(Tabela12[[#This Row],[Anilha]])</f>
        <v>9</v>
      </c>
      <c r="H1025" s="21">
        <f>VLOOKUP(Tabela12[[#This Row],[Tag Cabo]],BD!A:F,6,0)</f>
        <v>1</v>
      </c>
      <c r="I1025" s="27" t="s">
        <v>1705</v>
      </c>
      <c r="J1025" s="27" t="s">
        <v>1706</v>
      </c>
    </row>
    <row r="1026" spans="1:10" x14ac:dyDescent="0.25">
      <c r="A1026" s="21" t="s">
        <v>227</v>
      </c>
      <c r="B1026" s="391" t="str">
        <f>VLOOKUP(Tabela12[[#This Row],[Painel]],Tabela13[],2,0)</f>
        <v>1MV</v>
      </c>
      <c r="C1026" s="391" t="s">
        <v>1656</v>
      </c>
      <c r="D1026" s="21" t="s">
        <v>1877</v>
      </c>
      <c r="E1026" s="21">
        <v>11</v>
      </c>
      <c r="F1026" s="27" t="str">
        <f>Tabela12[[#This Row],[Régua]]&amp;" ("&amp;Tabela12[[#This Row],[Born]]&amp;")"</f>
        <v>XE8 (11)</v>
      </c>
      <c r="G1026" s="27">
        <f>LEN(Tabela12[[#This Row],[Anilha]])</f>
        <v>8</v>
      </c>
      <c r="H1026" s="21">
        <f>VLOOKUP(Tabela12[[#This Row],[Tag Cabo]],BD!A:F,6,0)</f>
        <v>1</v>
      </c>
      <c r="I1026" s="27" t="s">
        <v>1705</v>
      </c>
      <c r="J1026" s="27" t="s">
        <v>1706</v>
      </c>
    </row>
    <row r="1027" spans="1:10" x14ac:dyDescent="0.25">
      <c r="A1027" s="21" t="s">
        <v>227</v>
      </c>
      <c r="B1027" s="391" t="str">
        <f>VLOOKUP(Tabela12[[#This Row],[Painel]],Tabela13[],2,0)</f>
        <v>1MV</v>
      </c>
      <c r="C1027" s="391" t="s">
        <v>1656</v>
      </c>
      <c r="D1027" s="21" t="s">
        <v>1877</v>
      </c>
      <c r="E1027" s="21">
        <v>12</v>
      </c>
      <c r="F1027" s="27" t="str">
        <f>Tabela12[[#This Row],[Régua]]&amp;" ("&amp;Tabela12[[#This Row],[Born]]&amp;")"</f>
        <v>XE8 (12)</v>
      </c>
      <c r="G1027" s="27">
        <f>LEN(Tabela12[[#This Row],[Anilha]])</f>
        <v>8</v>
      </c>
      <c r="H1027" s="21">
        <f>VLOOKUP(Tabela12[[#This Row],[Tag Cabo]],BD!A:F,6,0)</f>
        <v>1</v>
      </c>
      <c r="I1027" s="27" t="s">
        <v>1705</v>
      </c>
      <c r="J1027" s="27" t="s">
        <v>1706</v>
      </c>
    </row>
    <row r="1028" spans="1:10" x14ac:dyDescent="0.25">
      <c r="A1028" s="21" t="s">
        <v>227</v>
      </c>
      <c r="B1028" s="391" t="str">
        <f>VLOOKUP(Tabela12[[#This Row],[Painel]],Tabela13[],2,0)</f>
        <v>CCU</v>
      </c>
      <c r="C1028" s="391" t="s">
        <v>1655</v>
      </c>
      <c r="D1028" s="21" t="s">
        <v>1869</v>
      </c>
      <c r="E1028" s="21" t="s">
        <v>1878</v>
      </c>
      <c r="F1028" s="27" t="str">
        <f>Tabela12[[#This Row],[Régua]]&amp;" ("&amp;Tabela12[[#This Row],[Born]]&amp;")"</f>
        <v>TB1 (4L1)</v>
      </c>
      <c r="G1028" s="27">
        <f>LEN(Tabela12[[#This Row],[Anilha]])</f>
        <v>9</v>
      </c>
      <c r="H1028" s="21">
        <f>VLOOKUP(Tabela12[[#This Row],[Tag Cabo]],BD!A:F,6,0)</f>
        <v>1</v>
      </c>
      <c r="I1028" s="27" t="s">
        <v>1705</v>
      </c>
      <c r="J1028" s="27" t="s">
        <v>1706</v>
      </c>
    </row>
    <row r="1029" spans="1:10" x14ac:dyDescent="0.25">
      <c r="A1029" s="21" t="s">
        <v>227</v>
      </c>
      <c r="B1029" s="391" t="str">
        <f>VLOOKUP(Tabela12[[#This Row],[Painel]],Tabela13[],2,0)</f>
        <v>CCU</v>
      </c>
      <c r="C1029" s="391" t="s">
        <v>1655</v>
      </c>
      <c r="D1029" s="21" t="s">
        <v>1869</v>
      </c>
      <c r="E1029" s="21" t="s">
        <v>1879</v>
      </c>
      <c r="F1029" s="27" t="str">
        <f>Tabela12[[#This Row],[Régua]]&amp;" ("&amp;Tabela12[[#This Row],[Born]]&amp;")"</f>
        <v>TB1 (4N1)</v>
      </c>
      <c r="G1029" s="27">
        <f>LEN(Tabela12[[#This Row],[Anilha]])</f>
        <v>9</v>
      </c>
      <c r="H1029" s="21">
        <f>VLOOKUP(Tabela12[[#This Row],[Tag Cabo]],BD!A:F,6,0)</f>
        <v>1</v>
      </c>
      <c r="I1029" s="27" t="s">
        <v>1705</v>
      </c>
      <c r="J1029" s="27" t="s">
        <v>1706</v>
      </c>
    </row>
    <row r="1030" spans="1:10" x14ac:dyDescent="0.25">
      <c r="A1030" s="21" t="s">
        <v>231</v>
      </c>
      <c r="B1030" s="391" t="str">
        <f>VLOOKUP(Tabela12[[#This Row],[Painel]],Tabela13[],2,0)</f>
        <v>1MV</v>
      </c>
      <c r="C1030" s="391" t="s">
        <v>1656</v>
      </c>
      <c r="D1030" s="21" t="s">
        <v>1877</v>
      </c>
      <c r="E1030" s="21">
        <v>7</v>
      </c>
      <c r="F1030" s="27" t="str">
        <f>Tabela12[[#This Row],[Régua]]&amp;" ("&amp;Tabela12[[#This Row],[Born]]&amp;")"</f>
        <v>XE8 (7)</v>
      </c>
      <c r="G1030" s="27">
        <f>LEN(Tabela12[[#This Row],[Anilha]])</f>
        <v>7</v>
      </c>
      <c r="H1030" s="21">
        <f>VLOOKUP(Tabela12[[#This Row],[Tag Cabo]],BD!A:F,6,0)</f>
        <v>1</v>
      </c>
      <c r="I1030" s="27" t="s">
        <v>1705</v>
      </c>
      <c r="J1030" s="27" t="s">
        <v>1706</v>
      </c>
    </row>
    <row r="1031" spans="1:10" x14ac:dyDescent="0.25">
      <c r="A1031" s="21" t="s">
        <v>231</v>
      </c>
      <c r="B1031" s="391" t="str">
        <f>VLOOKUP(Tabela12[[#This Row],[Painel]],Tabela13[],2,0)</f>
        <v>1MV</v>
      </c>
      <c r="C1031" s="391" t="s">
        <v>1656</v>
      </c>
      <c r="D1031" s="21" t="s">
        <v>1877</v>
      </c>
      <c r="E1031" s="21">
        <v>8</v>
      </c>
      <c r="F1031" s="27" t="str">
        <f>Tabela12[[#This Row],[Régua]]&amp;" ("&amp;Tabela12[[#This Row],[Born]]&amp;")"</f>
        <v>XE8 (8)</v>
      </c>
      <c r="G1031" s="27">
        <f>LEN(Tabela12[[#This Row],[Anilha]])</f>
        <v>7</v>
      </c>
      <c r="H1031" s="21">
        <f>VLOOKUP(Tabela12[[#This Row],[Tag Cabo]],BD!A:F,6,0)</f>
        <v>1</v>
      </c>
      <c r="I1031" s="27" t="s">
        <v>1705</v>
      </c>
      <c r="J1031" s="27" t="s">
        <v>1706</v>
      </c>
    </row>
    <row r="1032" spans="1:10" x14ac:dyDescent="0.25">
      <c r="A1032" s="21" t="s">
        <v>231</v>
      </c>
      <c r="B1032" s="391" t="str">
        <f>VLOOKUP(Tabela12[[#This Row],[Painel]],Tabela13[],2,0)</f>
        <v>1MV</v>
      </c>
      <c r="C1032" s="391" t="s">
        <v>1656</v>
      </c>
      <c r="D1032" s="21" t="s">
        <v>1877</v>
      </c>
      <c r="E1032" s="21">
        <v>9</v>
      </c>
      <c r="F1032" s="27" t="str">
        <f>Tabela12[[#This Row],[Régua]]&amp;" ("&amp;Tabela12[[#This Row],[Born]]&amp;")"</f>
        <v>XE8 (9)</v>
      </c>
      <c r="G1032" s="27">
        <f>LEN(Tabela12[[#This Row],[Anilha]])</f>
        <v>7</v>
      </c>
      <c r="H1032" s="21">
        <f>VLOOKUP(Tabela12[[#This Row],[Tag Cabo]],BD!A:F,6,0)</f>
        <v>1</v>
      </c>
      <c r="I1032" s="27" t="s">
        <v>1705</v>
      </c>
      <c r="J1032" s="27" t="s">
        <v>1706</v>
      </c>
    </row>
    <row r="1033" spans="1:10" x14ac:dyDescent="0.25">
      <c r="A1033" s="21" t="s">
        <v>231</v>
      </c>
      <c r="B1033" s="391" t="str">
        <f>VLOOKUP(Tabela12[[#This Row],[Painel]],Tabela13[],2,0)</f>
        <v>1MV</v>
      </c>
      <c r="C1033" s="391" t="s">
        <v>1656</v>
      </c>
      <c r="D1033" s="21" t="s">
        <v>1877</v>
      </c>
      <c r="E1033" s="21">
        <v>10</v>
      </c>
      <c r="F1033" s="27" t="str">
        <f>Tabela12[[#This Row],[Régua]]&amp;" ("&amp;Tabela12[[#This Row],[Born]]&amp;")"</f>
        <v>XE8 (10)</v>
      </c>
      <c r="G1033" s="27">
        <f>LEN(Tabela12[[#This Row],[Anilha]])</f>
        <v>8</v>
      </c>
      <c r="H1033" s="21">
        <f>VLOOKUP(Tabela12[[#This Row],[Tag Cabo]],BD!A:F,6,0)</f>
        <v>1</v>
      </c>
      <c r="I1033" s="27" t="s">
        <v>1705</v>
      </c>
      <c r="J1033" s="27" t="s">
        <v>1706</v>
      </c>
    </row>
    <row r="1034" spans="1:10" x14ac:dyDescent="0.25">
      <c r="A1034" s="21" t="s">
        <v>231</v>
      </c>
      <c r="B1034" s="391" t="str">
        <f>VLOOKUP(Tabela12[[#This Row],[Painel]],Tabela13[],2,0)</f>
        <v>CCU</v>
      </c>
      <c r="C1034" s="391" t="s">
        <v>1655</v>
      </c>
      <c r="D1034" s="21" t="s">
        <v>1872</v>
      </c>
      <c r="E1034" s="21" t="s">
        <v>1873</v>
      </c>
      <c r="F1034" s="27" t="str">
        <f>Tabela12[[#This Row],[Régua]]&amp;" ("&amp;Tabela12[[#This Row],[Born]]&amp;")"</f>
        <v>TB4 (2PW)</v>
      </c>
      <c r="G1034" s="27">
        <f>LEN(Tabela12[[#This Row],[Anilha]])</f>
        <v>9</v>
      </c>
      <c r="H1034" s="21">
        <f>VLOOKUP(Tabela12[[#This Row],[Tag Cabo]],BD!A:F,6,0)</f>
        <v>1</v>
      </c>
      <c r="I1034" s="27" t="s">
        <v>1705</v>
      </c>
      <c r="J1034" s="27" t="s">
        <v>1706</v>
      </c>
    </row>
    <row r="1035" spans="1:10" x14ac:dyDescent="0.25">
      <c r="A1035" s="21" t="s">
        <v>231</v>
      </c>
      <c r="B1035" s="391" t="str">
        <f>VLOOKUP(Tabela12[[#This Row],[Painel]],Tabela13[],2,0)</f>
        <v>CCU</v>
      </c>
      <c r="C1035" s="391" t="s">
        <v>1655</v>
      </c>
      <c r="D1035" s="21" t="s">
        <v>1872</v>
      </c>
      <c r="E1035" s="21" t="s">
        <v>1874</v>
      </c>
      <c r="F1035" s="27" t="str">
        <f>Tabela12[[#This Row],[Régua]]&amp;" ("&amp;Tabela12[[#This Row],[Born]]&amp;")"</f>
        <v>TB4 (2SN)</v>
      </c>
      <c r="G1035" s="27">
        <f>LEN(Tabela12[[#This Row],[Anilha]])</f>
        <v>9</v>
      </c>
      <c r="H1035" s="21">
        <f>VLOOKUP(Tabela12[[#This Row],[Tag Cabo]],BD!A:F,6,0)</f>
        <v>1</v>
      </c>
      <c r="I1035" s="27" t="s">
        <v>1705</v>
      </c>
      <c r="J1035" s="27" t="s">
        <v>1706</v>
      </c>
    </row>
    <row r="1036" spans="1:10" x14ac:dyDescent="0.25">
      <c r="A1036" s="21" t="s">
        <v>231</v>
      </c>
      <c r="B1036" s="391" t="str">
        <f>VLOOKUP(Tabela12[[#This Row],[Painel]],Tabela13[],2,0)</f>
        <v>CCU</v>
      </c>
      <c r="C1036" s="391" t="s">
        <v>1655</v>
      </c>
      <c r="D1036" s="21" t="s">
        <v>1872</v>
      </c>
      <c r="E1036" s="21" t="s">
        <v>1875</v>
      </c>
      <c r="F1036" s="27" t="str">
        <f>Tabela12[[#This Row],[Régua]]&amp;" ("&amp;Tabela12[[#This Row],[Born]]&amp;")"</f>
        <v>TB4 (3PW)</v>
      </c>
      <c r="G1036" s="27">
        <f>LEN(Tabela12[[#This Row],[Anilha]])</f>
        <v>9</v>
      </c>
      <c r="H1036" s="21">
        <f>VLOOKUP(Tabela12[[#This Row],[Tag Cabo]],BD!A:F,6,0)</f>
        <v>1</v>
      </c>
      <c r="I1036" s="27" t="s">
        <v>1705</v>
      </c>
      <c r="J1036" s="27" t="s">
        <v>1706</v>
      </c>
    </row>
    <row r="1037" spans="1:10" x14ac:dyDescent="0.25">
      <c r="A1037" s="21" t="s">
        <v>231</v>
      </c>
      <c r="B1037" s="391" t="str">
        <f>VLOOKUP(Tabela12[[#This Row],[Painel]],Tabela13[],2,0)</f>
        <v>CCU</v>
      </c>
      <c r="C1037" s="391" t="s">
        <v>1655</v>
      </c>
      <c r="D1037" s="21" t="s">
        <v>1872</v>
      </c>
      <c r="E1037" s="21" t="s">
        <v>1876</v>
      </c>
      <c r="F1037" s="27" t="str">
        <f>Tabela12[[#This Row],[Régua]]&amp;" ("&amp;Tabela12[[#This Row],[Born]]&amp;")"</f>
        <v>TB4 (3SN)</v>
      </c>
      <c r="G1037" s="27">
        <f>LEN(Tabela12[[#This Row],[Anilha]])</f>
        <v>9</v>
      </c>
      <c r="H1037" s="21">
        <f>VLOOKUP(Tabela12[[#This Row],[Tag Cabo]],BD!A:F,6,0)</f>
        <v>1</v>
      </c>
      <c r="I1037" s="27" t="s">
        <v>1705</v>
      </c>
      <c r="J1037" s="27" t="s">
        <v>1706</v>
      </c>
    </row>
    <row r="1038" spans="1:10" x14ac:dyDescent="0.25">
      <c r="A1038" s="21" t="s">
        <v>1377</v>
      </c>
      <c r="B1038" s="391" t="str">
        <f>VLOOKUP(Tabela12[[#This Row],[Painel]],Tabela13[],2,0)</f>
        <v>GB-967A/B</v>
      </c>
      <c r="C1038" s="391" t="s">
        <v>1665</v>
      </c>
      <c r="D1038" s="21" t="s">
        <v>1880</v>
      </c>
      <c r="E1038" s="21">
        <v>1</v>
      </c>
      <c r="F1038" s="27" t="str">
        <f>Tabela12[[#This Row],[Régua]]&amp;" ("&amp;Tabela12[[#This Row],[Born]]&amp;")"</f>
        <v>RB-C (1)</v>
      </c>
      <c r="G1038" s="27">
        <f>LEN(Tabela12[[#This Row],[Anilha]])</f>
        <v>8</v>
      </c>
      <c r="H1038" s="21">
        <f>VLOOKUP(Tabela12[[#This Row],[Tag Cabo]],BD!A:F,6,0)</f>
        <v>1</v>
      </c>
      <c r="I1038" s="27" t="s">
        <v>1705</v>
      </c>
      <c r="J1038" s="27" t="s">
        <v>1706</v>
      </c>
    </row>
    <row r="1039" spans="1:10" x14ac:dyDescent="0.25">
      <c r="A1039" s="21" t="s">
        <v>1377</v>
      </c>
      <c r="B1039" s="391" t="str">
        <f>VLOOKUP(Tabela12[[#This Row],[Painel]],Tabela13[],2,0)</f>
        <v>GB-967A/B</v>
      </c>
      <c r="C1039" s="391" t="s">
        <v>1665</v>
      </c>
      <c r="D1039" s="21" t="s">
        <v>1880</v>
      </c>
      <c r="E1039" s="21">
        <v>2</v>
      </c>
      <c r="F1039" s="27" t="str">
        <f>Tabela12[[#This Row],[Régua]]&amp;" ("&amp;Tabela12[[#This Row],[Born]]&amp;")"</f>
        <v>RB-C (2)</v>
      </c>
      <c r="G1039" s="27">
        <f>LEN(Tabela12[[#This Row],[Anilha]])</f>
        <v>8</v>
      </c>
      <c r="H1039" s="21">
        <f>VLOOKUP(Tabela12[[#This Row],[Tag Cabo]],BD!A:F,6,0)</f>
        <v>1</v>
      </c>
      <c r="I1039" s="27" t="s">
        <v>1705</v>
      </c>
      <c r="J1039" s="27" t="s">
        <v>1706</v>
      </c>
    </row>
    <row r="1040" spans="1:10" x14ac:dyDescent="0.25">
      <c r="A1040" s="21" t="s">
        <v>1377</v>
      </c>
      <c r="B1040" s="391" t="str">
        <f>VLOOKUP(Tabela12[[#This Row],[Painel]],Tabela13[],2,0)</f>
        <v>GB-967A/B</v>
      </c>
      <c r="C1040" s="391" t="s">
        <v>1256</v>
      </c>
      <c r="D1040" s="21" t="s">
        <v>1761</v>
      </c>
      <c r="E1040" s="21">
        <v>1</v>
      </c>
      <c r="F1040" s="27" t="str">
        <f>Tabela12[[#This Row],[Régua]]&amp;" ("&amp;Tabela12[[#This Row],[Born]]&amp;")"</f>
        <v>TS-001 (1)</v>
      </c>
      <c r="G1040" s="27">
        <f>LEN(Tabela12[[#This Row],[Anilha]])</f>
        <v>10</v>
      </c>
      <c r="H1040" s="21">
        <f>VLOOKUP(Tabela12[[#This Row],[Tag Cabo]],BD!A:F,6,0)</f>
        <v>1</v>
      </c>
      <c r="I1040" s="27" t="s">
        <v>1705</v>
      </c>
      <c r="J1040" s="27" t="s">
        <v>1706</v>
      </c>
    </row>
    <row r="1041" spans="1:10" x14ac:dyDescent="0.25">
      <c r="A1041" s="21" t="s">
        <v>1377</v>
      </c>
      <c r="B1041" s="391" t="str">
        <f>VLOOKUP(Tabela12[[#This Row],[Painel]],Tabela13[],2,0)</f>
        <v>GB-967A/B</v>
      </c>
      <c r="C1041" s="391" t="s">
        <v>1256</v>
      </c>
      <c r="D1041" s="21" t="s">
        <v>1761</v>
      </c>
      <c r="E1041" s="21">
        <v>2</v>
      </c>
      <c r="F1041" s="27" t="str">
        <f>Tabela12[[#This Row],[Régua]]&amp;" ("&amp;Tabela12[[#This Row],[Born]]&amp;")"</f>
        <v>TS-001 (2)</v>
      </c>
      <c r="G1041" s="27">
        <f>LEN(Tabela12[[#This Row],[Anilha]])</f>
        <v>10</v>
      </c>
      <c r="H1041" s="21">
        <f>VLOOKUP(Tabela12[[#This Row],[Tag Cabo]],BD!A:F,6,0)</f>
        <v>1</v>
      </c>
      <c r="I1041" s="27" t="s">
        <v>1705</v>
      </c>
      <c r="J1041" s="27" t="s">
        <v>1706</v>
      </c>
    </row>
    <row r="1042" spans="1:10" x14ac:dyDescent="0.25">
      <c r="A1042" s="21" t="s">
        <v>1380</v>
      </c>
      <c r="B1042" s="391" t="str">
        <f>VLOOKUP(Tabela12[[#This Row],[Painel]],Tabela13[],2,0)</f>
        <v>GB-967A/B</v>
      </c>
      <c r="C1042" s="391" t="s">
        <v>1665</v>
      </c>
      <c r="D1042" s="21" t="s">
        <v>1880</v>
      </c>
      <c r="E1042" s="21">
        <v>1</v>
      </c>
      <c r="F1042" s="27" t="str">
        <f>Tabela12[[#This Row],[Régua]]&amp;" ("&amp;Tabela12[[#This Row],[Born]]&amp;")"</f>
        <v>RB-C (1)</v>
      </c>
      <c r="G1042" s="27">
        <f>LEN(Tabela12[[#This Row],[Anilha]])</f>
        <v>8</v>
      </c>
      <c r="H1042" s="21">
        <f>VLOOKUP(Tabela12[[#This Row],[Tag Cabo]],BD!A:F,6,0)</f>
        <v>1</v>
      </c>
      <c r="I1042" s="27" t="s">
        <v>1705</v>
      </c>
      <c r="J1042" s="27" t="s">
        <v>1706</v>
      </c>
    </row>
    <row r="1043" spans="1:10" x14ac:dyDescent="0.25">
      <c r="A1043" s="21" t="s">
        <v>1380</v>
      </c>
      <c r="B1043" s="391" t="str">
        <f>VLOOKUP(Tabela12[[#This Row],[Painel]],Tabela13[],2,0)</f>
        <v>GB-967A/B</v>
      </c>
      <c r="C1043" s="391" t="s">
        <v>1665</v>
      </c>
      <c r="D1043" s="21" t="s">
        <v>1880</v>
      </c>
      <c r="E1043" s="21">
        <v>2</v>
      </c>
      <c r="F1043" s="27" t="str">
        <f>Tabela12[[#This Row],[Régua]]&amp;" ("&amp;Tabela12[[#This Row],[Born]]&amp;")"</f>
        <v>RB-C (2)</v>
      </c>
      <c r="G1043" s="27">
        <f>LEN(Tabela12[[#This Row],[Anilha]])</f>
        <v>8</v>
      </c>
      <c r="H1043" s="21">
        <f>VLOOKUP(Tabela12[[#This Row],[Tag Cabo]],BD!A:F,6,0)</f>
        <v>1</v>
      </c>
      <c r="I1043" s="27" t="s">
        <v>1705</v>
      </c>
      <c r="J1043" s="27" t="s">
        <v>1706</v>
      </c>
    </row>
    <row r="1044" spans="1:10" x14ac:dyDescent="0.25">
      <c r="A1044" s="21" t="s">
        <v>1380</v>
      </c>
      <c r="B1044" s="391" t="str">
        <f>VLOOKUP(Tabela12[[#This Row],[Painel]],Tabela13[],2,0)</f>
        <v>GB-967A/B</v>
      </c>
      <c r="C1044" s="391" t="s">
        <v>1249</v>
      </c>
      <c r="D1044" s="21" t="s">
        <v>1761</v>
      </c>
      <c r="E1044" s="21">
        <v>1</v>
      </c>
      <c r="F1044" s="27" t="str">
        <f>Tabela12[[#This Row],[Régua]]&amp;" ("&amp;Tabela12[[#This Row],[Born]]&amp;")"</f>
        <v>TS-001 (1)</v>
      </c>
      <c r="G1044" s="27">
        <f>LEN(Tabela12[[#This Row],[Anilha]])</f>
        <v>10</v>
      </c>
      <c r="H1044" s="21">
        <f>VLOOKUP(Tabela12[[#This Row],[Tag Cabo]],BD!A:F,6,0)</f>
        <v>1</v>
      </c>
      <c r="I1044" s="27" t="s">
        <v>1705</v>
      </c>
      <c r="J1044" s="27" t="s">
        <v>1706</v>
      </c>
    </row>
    <row r="1045" spans="1:10" x14ac:dyDescent="0.25">
      <c r="A1045" s="21" t="s">
        <v>1380</v>
      </c>
      <c r="B1045" s="391" t="str">
        <f>VLOOKUP(Tabela12[[#This Row],[Painel]],Tabela13[],2,0)</f>
        <v>GB-967A/B</v>
      </c>
      <c r="C1045" s="391" t="s">
        <v>1249</v>
      </c>
      <c r="D1045" s="21" t="s">
        <v>1761</v>
      </c>
      <c r="E1045" s="21">
        <v>2</v>
      </c>
      <c r="F1045" s="27" t="str">
        <f>Tabela12[[#This Row],[Régua]]&amp;" ("&amp;Tabela12[[#This Row],[Born]]&amp;")"</f>
        <v>TS-001 (2)</v>
      </c>
      <c r="G1045" s="27">
        <f>LEN(Tabela12[[#This Row],[Anilha]])</f>
        <v>10</v>
      </c>
      <c r="H1045" s="21">
        <f>VLOOKUP(Tabela12[[#This Row],[Tag Cabo]],BD!A:F,6,0)</f>
        <v>1</v>
      </c>
      <c r="I1045" s="27" t="s">
        <v>1705</v>
      </c>
      <c r="J1045" s="27" t="s">
        <v>1706</v>
      </c>
    </row>
    <row r="1046" spans="1:10" x14ac:dyDescent="0.25">
      <c r="A1046" s="21" t="s">
        <v>254</v>
      </c>
      <c r="B1046" s="391" t="str">
        <f>VLOOKUP(Tabela12[[#This Row],[Painel]],Tabela13[],2,0)</f>
        <v>GA-906E</v>
      </c>
      <c r="C1046" s="391" t="s">
        <v>1657</v>
      </c>
      <c r="D1046" s="21" t="s">
        <v>1799</v>
      </c>
      <c r="E1046" s="214" t="s">
        <v>1790</v>
      </c>
      <c r="F1046" s="27" t="str">
        <f>Tabela12[[#This Row],[Régua]]&amp;" ("&amp;Tabela12[[#This Row],[Born]]&amp;")"</f>
        <v>RB-ED (03)</v>
      </c>
      <c r="G1046" s="27">
        <f>LEN(Tabela12[[#This Row],[Anilha]])</f>
        <v>10</v>
      </c>
      <c r="H1046" s="21">
        <f>VLOOKUP(Tabela12[[#This Row],[Tag Cabo]],BD!A:F,6,0)</f>
        <v>1</v>
      </c>
      <c r="I1046" s="27" t="s">
        <v>1705</v>
      </c>
      <c r="J1046" s="27" t="s">
        <v>1706</v>
      </c>
    </row>
    <row r="1047" spans="1:10" x14ac:dyDescent="0.25">
      <c r="A1047" s="21" t="s">
        <v>254</v>
      </c>
      <c r="B1047" s="391" t="str">
        <f>VLOOKUP(Tabela12[[#This Row],[Painel]],Tabela13[],2,0)</f>
        <v>GA-906E</v>
      </c>
      <c r="C1047" s="391" t="s">
        <v>1657</v>
      </c>
      <c r="D1047" s="21" t="s">
        <v>1799</v>
      </c>
      <c r="E1047" s="214" t="s">
        <v>1791</v>
      </c>
      <c r="F1047" s="27" t="str">
        <f>Tabela12[[#This Row],[Régua]]&amp;" ("&amp;Tabela12[[#This Row],[Born]]&amp;")"</f>
        <v>RB-ED (04)</v>
      </c>
      <c r="G1047" s="27">
        <f>LEN(Tabela12[[#This Row],[Anilha]])</f>
        <v>10</v>
      </c>
      <c r="H1047" s="21">
        <f>VLOOKUP(Tabela12[[#This Row],[Tag Cabo]],BD!A:F,6,0)</f>
        <v>1</v>
      </c>
      <c r="I1047" s="27" t="s">
        <v>1705</v>
      </c>
      <c r="J1047" s="27" t="s">
        <v>1706</v>
      </c>
    </row>
    <row r="1048" spans="1:10" x14ac:dyDescent="0.25">
      <c r="A1048" s="21" t="s">
        <v>254</v>
      </c>
      <c r="B1048" s="391" t="str">
        <f>VLOOKUP(Tabela12[[#This Row],[Painel]],Tabela13[],2,0)</f>
        <v>GA-906E</v>
      </c>
      <c r="C1048" s="391" t="s">
        <v>1657</v>
      </c>
      <c r="D1048" s="21" t="s">
        <v>1799</v>
      </c>
      <c r="E1048" s="214" t="s">
        <v>1773</v>
      </c>
      <c r="F1048" s="27" t="str">
        <f>Tabela12[[#This Row],[Régua]]&amp;" ("&amp;Tabela12[[#This Row],[Born]]&amp;")"</f>
        <v>RB-ED (05)</v>
      </c>
      <c r="G1048" s="27">
        <f>LEN(Tabela12[[#This Row],[Anilha]])</f>
        <v>10</v>
      </c>
      <c r="H1048" s="21">
        <f>VLOOKUP(Tabela12[[#This Row],[Tag Cabo]],BD!A:F,6,0)</f>
        <v>1</v>
      </c>
      <c r="I1048" s="27" t="s">
        <v>1705</v>
      </c>
      <c r="J1048" s="27" t="s">
        <v>1706</v>
      </c>
    </row>
    <row r="1049" spans="1:10" x14ac:dyDescent="0.25">
      <c r="A1049" s="21" t="s">
        <v>254</v>
      </c>
      <c r="B1049" s="391" t="str">
        <f>VLOOKUP(Tabela12[[#This Row],[Painel]],Tabela13[],2,0)</f>
        <v>GA-906E</v>
      </c>
      <c r="C1049" s="391" t="s">
        <v>1657</v>
      </c>
      <c r="D1049" s="21" t="s">
        <v>1799</v>
      </c>
      <c r="E1049" s="214" t="s">
        <v>1774</v>
      </c>
      <c r="F1049" s="27" t="str">
        <f>Tabela12[[#This Row],[Régua]]&amp;" ("&amp;Tabela12[[#This Row],[Born]]&amp;")"</f>
        <v>RB-ED (06)</v>
      </c>
      <c r="G1049" s="27">
        <f>LEN(Tabela12[[#This Row],[Anilha]])</f>
        <v>10</v>
      </c>
      <c r="H1049" s="21">
        <f>VLOOKUP(Tabela12[[#This Row],[Tag Cabo]],BD!A:F,6,0)</f>
        <v>1</v>
      </c>
      <c r="I1049" s="27" t="s">
        <v>1705</v>
      </c>
      <c r="J1049" s="27" t="s">
        <v>1706</v>
      </c>
    </row>
    <row r="1050" spans="1:10" x14ac:dyDescent="0.25">
      <c r="A1050" s="21" t="s">
        <v>254</v>
      </c>
      <c r="B1050" s="391" t="str">
        <f>VLOOKUP(Tabela12[[#This Row],[Painel]],Tabela13[],2,0)</f>
        <v>1MV</v>
      </c>
      <c r="C1050" s="391" t="s">
        <v>1538</v>
      </c>
      <c r="D1050" s="21" t="s">
        <v>1881</v>
      </c>
      <c r="E1050" s="21">
        <v>7</v>
      </c>
      <c r="F1050" s="27" t="str">
        <f>Tabela12[[#This Row],[Régua]]&amp;" ("&amp;Tabela12[[#This Row],[Born]]&amp;")"</f>
        <v>XE1 (7)</v>
      </c>
      <c r="G1050" s="27">
        <f>LEN(Tabela12[[#This Row],[Anilha]])</f>
        <v>7</v>
      </c>
      <c r="H1050" s="21">
        <f>VLOOKUP(Tabela12[[#This Row],[Tag Cabo]],BD!A:F,6,0)</f>
        <v>1</v>
      </c>
      <c r="I1050" s="27" t="s">
        <v>1705</v>
      </c>
      <c r="J1050" s="27" t="s">
        <v>1706</v>
      </c>
    </row>
    <row r="1051" spans="1:10" x14ac:dyDescent="0.25">
      <c r="A1051" s="21" t="s">
        <v>254</v>
      </c>
      <c r="B1051" s="391" t="str">
        <f>VLOOKUP(Tabela12[[#This Row],[Painel]],Tabela13[],2,0)</f>
        <v>1MV</v>
      </c>
      <c r="C1051" s="391" t="s">
        <v>1538</v>
      </c>
      <c r="D1051" s="21" t="s">
        <v>1881</v>
      </c>
      <c r="E1051" s="21">
        <v>8</v>
      </c>
      <c r="F1051" s="27" t="str">
        <f>Tabela12[[#This Row],[Régua]]&amp;" ("&amp;Tabela12[[#This Row],[Born]]&amp;")"</f>
        <v>XE1 (8)</v>
      </c>
      <c r="G1051" s="27">
        <f>LEN(Tabela12[[#This Row],[Anilha]])</f>
        <v>7</v>
      </c>
      <c r="H1051" s="21">
        <f>VLOOKUP(Tabela12[[#This Row],[Tag Cabo]],BD!A:F,6,0)</f>
        <v>1</v>
      </c>
      <c r="I1051" s="27" t="s">
        <v>1705</v>
      </c>
      <c r="J1051" s="27" t="s">
        <v>1706</v>
      </c>
    </row>
    <row r="1052" spans="1:10" x14ac:dyDescent="0.25">
      <c r="A1052" s="21" t="s">
        <v>254</v>
      </c>
      <c r="B1052" s="391" t="str">
        <f>VLOOKUP(Tabela12[[#This Row],[Painel]],Tabela13[],2,0)</f>
        <v>1MV</v>
      </c>
      <c r="C1052" s="391" t="s">
        <v>1538</v>
      </c>
      <c r="D1052" s="21" t="s">
        <v>1881</v>
      </c>
      <c r="E1052" s="21">
        <v>9</v>
      </c>
      <c r="F1052" s="27" t="str">
        <f>Tabela12[[#This Row],[Régua]]&amp;" ("&amp;Tabela12[[#This Row],[Born]]&amp;")"</f>
        <v>XE1 (9)</v>
      </c>
      <c r="G1052" s="27">
        <f>LEN(Tabela12[[#This Row],[Anilha]])</f>
        <v>7</v>
      </c>
      <c r="H1052" s="21">
        <f>VLOOKUP(Tabela12[[#This Row],[Tag Cabo]],BD!A:F,6,0)</f>
        <v>1</v>
      </c>
      <c r="I1052" s="27" t="s">
        <v>1705</v>
      </c>
      <c r="J1052" s="27" t="s">
        <v>1706</v>
      </c>
    </row>
    <row r="1053" spans="1:10" x14ac:dyDescent="0.25">
      <c r="A1053" s="21" t="s">
        <v>254</v>
      </c>
      <c r="B1053" s="391" t="str">
        <f>VLOOKUP(Tabela12[[#This Row],[Painel]],Tabela13[],2,0)</f>
        <v>1MV</v>
      </c>
      <c r="C1053" s="391" t="s">
        <v>1538</v>
      </c>
      <c r="D1053" s="21" t="s">
        <v>1881</v>
      </c>
      <c r="E1053" s="21">
        <v>10</v>
      </c>
      <c r="F1053" s="27" t="str">
        <f>Tabela12[[#This Row],[Régua]]&amp;" ("&amp;Tabela12[[#This Row],[Born]]&amp;")"</f>
        <v>XE1 (10)</v>
      </c>
      <c r="G1053" s="27">
        <f>LEN(Tabela12[[#This Row],[Anilha]])</f>
        <v>8</v>
      </c>
      <c r="H1053" s="21">
        <f>VLOOKUP(Tabela12[[#This Row],[Tag Cabo]],BD!A:F,6,0)</f>
        <v>1</v>
      </c>
      <c r="I1053" s="27" t="s">
        <v>1705</v>
      </c>
      <c r="J1053" s="27" t="s">
        <v>1706</v>
      </c>
    </row>
    <row r="1054" spans="1:10" x14ac:dyDescent="0.25">
      <c r="A1054" s="21" t="s">
        <v>260</v>
      </c>
      <c r="B1054" s="391" t="str">
        <f>VLOOKUP(Tabela12[[#This Row],[Painel]],Tabela13[],2,0)</f>
        <v>GA-906E</v>
      </c>
      <c r="C1054" s="391" t="s">
        <v>1657</v>
      </c>
      <c r="D1054" s="21" t="s">
        <v>1801</v>
      </c>
      <c r="E1054" s="214" t="s">
        <v>1788</v>
      </c>
      <c r="F1054" s="27" t="str">
        <f>Tabela12[[#This Row],[Régua]]&amp;" ("&amp;Tabela12[[#This Row],[Born]]&amp;")"</f>
        <v>RB-SD (01)</v>
      </c>
      <c r="G1054" s="27">
        <f>LEN(Tabela12[[#This Row],[Anilha]])</f>
        <v>10</v>
      </c>
      <c r="H1054" s="21">
        <f>VLOOKUP(Tabela12[[#This Row],[Tag Cabo]],BD!A:F,6,0)</f>
        <v>1</v>
      </c>
      <c r="I1054" s="27" t="s">
        <v>1705</v>
      </c>
      <c r="J1054" s="27" t="s">
        <v>1706</v>
      </c>
    </row>
    <row r="1055" spans="1:10" x14ac:dyDescent="0.25">
      <c r="A1055" s="21" t="s">
        <v>260</v>
      </c>
      <c r="B1055" s="391" t="str">
        <f>VLOOKUP(Tabela12[[#This Row],[Painel]],Tabela13[],2,0)</f>
        <v>GA-906E</v>
      </c>
      <c r="C1055" s="391" t="s">
        <v>1657</v>
      </c>
      <c r="D1055" s="21" t="s">
        <v>1801</v>
      </c>
      <c r="E1055" s="214" t="s">
        <v>1789</v>
      </c>
      <c r="F1055" s="27" t="str">
        <f>Tabela12[[#This Row],[Régua]]&amp;" ("&amp;Tabela12[[#This Row],[Born]]&amp;")"</f>
        <v>RB-SD (02)</v>
      </c>
      <c r="G1055" s="27">
        <f>LEN(Tabela12[[#This Row],[Anilha]])</f>
        <v>10</v>
      </c>
      <c r="H1055" s="21">
        <f>VLOOKUP(Tabela12[[#This Row],[Tag Cabo]],BD!A:F,6,0)</f>
        <v>1</v>
      </c>
      <c r="I1055" s="27" t="s">
        <v>1705</v>
      </c>
      <c r="J1055" s="27" t="s">
        <v>1706</v>
      </c>
    </row>
    <row r="1056" spans="1:10" x14ac:dyDescent="0.25">
      <c r="A1056" s="21" t="s">
        <v>260</v>
      </c>
      <c r="B1056" s="391" t="str">
        <f>VLOOKUP(Tabela12[[#This Row],[Painel]],Tabela13[],2,0)</f>
        <v>GA-906E</v>
      </c>
      <c r="C1056" s="391" t="s">
        <v>1657</v>
      </c>
      <c r="D1056" s="21" t="s">
        <v>1801</v>
      </c>
      <c r="E1056" s="214" t="s">
        <v>1790</v>
      </c>
      <c r="F1056" s="27" t="str">
        <f>Tabela12[[#This Row],[Régua]]&amp;" ("&amp;Tabela12[[#This Row],[Born]]&amp;")"</f>
        <v>RB-SD (03)</v>
      </c>
      <c r="G1056" s="27">
        <f>LEN(Tabela12[[#This Row],[Anilha]])</f>
        <v>10</v>
      </c>
      <c r="H1056" s="21">
        <f>VLOOKUP(Tabela12[[#This Row],[Tag Cabo]],BD!A:F,6,0)</f>
        <v>1</v>
      </c>
      <c r="I1056" s="27" t="s">
        <v>1705</v>
      </c>
      <c r="J1056" s="27" t="s">
        <v>1706</v>
      </c>
    </row>
    <row r="1057" spans="1:10" x14ac:dyDescent="0.25">
      <c r="A1057" s="21" t="s">
        <v>260</v>
      </c>
      <c r="B1057" s="391" t="str">
        <f>VLOOKUP(Tabela12[[#This Row],[Painel]],Tabela13[],2,0)</f>
        <v>GA-906E</v>
      </c>
      <c r="C1057" s="391" t="s">
        <v>1657</v>
      </c>
      <c r="D1057" s="21" t="s">
        <v>1801</v>
      </c>
      <c r="E1057" s="214" t="s">
        <v>1791</v>
      </c>
      <c r="F1057" s="27" t="str">
        <f>Tabela12[[#This Row],[Régua]]&amp;" ("&amp;Tabela12[[#This Row],[Born]]&amp;")"</f>
        <v>RB-SD (04)</v>
      </c>
      <c r="G1057" s="27">
        <f>LEN(Tabela12[[#This Row],[Anilha]])</f>
        <v>10</v>
      </c>
      <c r="H1057" s="21">
        <f>VLOOKUP(Tabela12[[#This Row],[Tag Cabo]],BD!A:F,6,0)</f>
        <v>1</v>
      </c>
      <c r="I1057" s="27" t="s">
        <v>1705</v>
      </c>
      <c r="J1057" s="27" t="s">
        <v>1706</v>
      </c>
    </row>
    <row r="1058" spans="1:10" x14ac:dyDescent="0.25">
      <c r="A1058" s="21" t="s">
        <v>260</v>
      </c>
      <c r="B1058" s="391" t="str">
        <f>VLOOKUP(Tabela12[[#This Row],[Painel]],Tabela13[],2,0)</f>
        <v>1MV</v>
      </c>
      <c r="C1058" s="391" t="s">
        <v>1538</v>
      </c>
      <c r="D1058" s="21" t="s">
        <v>1881</v>
      </c>
      <c r="E1058" s="21">
        <v>3</v>
      </c>
      <c r="F1058" s="27" t="str">
        <f>Tabela12[[#This Row],[Régua]]&amp;" ("&amp;Tabela12[[#This Row],[Born]]&amp;")"</f>
        <v>XE1 (3)</v>
      </c>
      <c r="G1058" s="27">
        <f>LEN(Tabela12[[#This Row],[Anilha]])</f>
        <v>7</v>
      </c>
      <c r="H1058" s="21">
        <f>VLOOKUP(Tabela12[[#This Row],[Tag Cabo]],BD!A:F,6,0)</f>
        <v>1</v>
      </c>
      <c r="I1058" s="27" t="s">
        <v>1705</v>
      </c>
      <c r="J1058" s="27" t="s">
        <v>1706</v>
      </c>
    </row>
    <row r="1059" spans="1:10" x14ac:dyDescent="0.25">
      <c r="A1059" s="21" t="s">
        <v>260</v>
      </c>
      <c r="B1059" s="391" t="str">
        <f>VLOOKUP(Tabela12[[#This Row],[Painel]],Tabela13[],2,0)</f>
        <v>1MV</v>
      </c>
      <c r="C1059" s="391" t="s">
        <v>1538</v>
      </c>
      <c r="D1059" s="21" t="s">
        <v>1868</v>
      </c>
      <c r="E1059" s="21">
        <v>4</v>
      </c>
      <c r="F1059" s="27" t="str">
        <f>Tabela12[[#This Row],[Régua]]&amp;" ("&amp;Tabela12[[#This Row],[Born]]&amp;")"</f>
        <v>XE2 (4)</v>
      </c>
      <c r="G1059" s="27">
        <f>LEN(Tabela12[[#This Row],[Anilha]])</f>
        <v>7</v>
      </c>
      <c r="H1059" s="21">
        <f>VLOOKUP(Tabela12[[#This Row],[Tag Cabo]],BD!A:F,6,0)</f>
        <v>1</v>
      </c>
      <c r="I1059" s="27" t="s">
        <v>1705</v>
      </c>
      <c r="J1059" s="27" t="s">
        <v>1706</v>
      </c>
    </row>
    <row r="1060" spans="1:10" x14ac:dyDescent="0.25">
      <c r="A1060" s="21" t="s">
        <v>260</v>
      </c>
      <c r="B1060" s="391" t="str">
        <f>VLOOKUP(Tabela12[[#This Row],[Painel]],Tabela13[],2,0)</f>
        <v>1MV</v>
      </c>
      <c r="C1060" s="391" t="s">
        <v>1538</v>
      </c>
      <c r="D1060" s="21" t="s">
        <v>1881</v>
      </c>
      <c r="E1060" s="21">
        <v>5</v>
      </c>
      <c r="F1060" s="27" t="str">
        <f>Tabela12[[#This Row],[Régua]]&amp;" ("&amp;Tabela12[[#This Row],[Born]]&amp;")"</f>
        <v>XE1 (5)</v>
      </c>
      <c r="G1060" s="27">
        <f>LEN(Tabela12[[#This Row],[Anilha]])</f>
        <v>7</v>
      </c>
      <c r="H1060" s="21">
        <f>VLOOKUP(Tabela12[[#This Row],[Tag Cabo]],BD!A:F,6,0)</f>
        <v>1</v>
      </c>
      <c r="I1060" s="27" t="s">
        <v>1705</v>
      </c>
      <c r="J1060" s="27" t="s">
        <v>1706</v>
      </c>
    </row>
    <row r="1061" spans="1:10" x14ac:dyDescent="0.25">
      <c r="A1061" s="21" t="s">
        <v>260</v>
      </c>
      <c r="B1061" s="391" t="str">
        <f>VLOOKUP(Tabela12[[#This Row],[Painel]],Tabela13[],2,0)</f>
        <v>1MV</v>
      </c>
      <c r="C1061" s="391" t="s">
        <v>1538</v>
      </c>
      <c r="D1061" s="21" t="s">
        <v>1868</v>
      </c>
      <c r="E1061" s="21">
        <v>6</v>
      </c>
      <c r="F1061" s="27" t="str">
        <f>Tabela12[[#This Row],[Régua]]&amp;" ("&amp;Tabela12[[#This Row],[Born]]&amp;")"</f>
        <v>XE2 (6)</v>
      </c>
      <c r="G1061" s="27">
        <f>LEN(Tabela12[[#This Row],[Anilha]])</f>
        <v>7</v>
      </c>
      <c r="H1061" s="21">
        <f>VLOOKUP(Tabela12[[#This Row],[Tag Cabo]],BD!A:F,6,0)</f>
        <v>1</v>
      </c>
      <c r="I1061" s="27" t="s">
        <v>1705</v>
      </c>
      <c r="J1061" s="27" t="s">
        <v>1706</v>
      </c>
    </row>
    <row r="1062" spans="1:10" x14ac:dyDescent="0.25">
      <c r="A1062" s="21" t="s">
        <v>818</v>
      </c>
      <c r="B1062" s="391" t="str">
        <f>VLOOKUP(Tabela12[[#This Row],[Painel]],Tabela13[],2,0)</f>
        <v>8HV</v>
      </c>
      <c r="C1062" s="391" t="s">
        <v>821</v>
      </c>
      <c r="D1062" s="21" t="s">
        <v>1882</v>
      </c>
      <c r="E1062" s="21">
        <v>19</v>
      </c>
      <c r="F1062" s="27" t="str">
        <f>Tabela12[[#This Row],[Régua]]&amp;" ("&amp;Tabela12[[#This Row],[Born]]&amp;")"</f>
        <v>XQ0 (19)</v>
      </c>
      <c r="G1062" s="27">
        <f>LEN(Tabela12[[#This Row],[Anilha]])</f>
        <v>8</v>
      </c>
      <c r="H1062" s="21">
        <f>VLOOKUP(Tabela12[[#This Row],[Tag Cabo]],BD!A:F,6,0)</f>
        <v>2.5</v>
      </c>
      <c r="I1062" s="27" t="s">
        <v>1707</v>
      </c>
      <c r="J1062" s="27" t="s">
        <v>1706</v>
      </c>
    </row>
    <row r="1063" spans="1:10" x14ac:dyDescent="0.25">
      <c r="A1063" s="21" t="s">
        <v>818</v>
      </c>
      <c r="B1063" s="391" t="str">
        <f>VLOOKUP(Tabela12[[#This Row],[Painel]],Tabela13[],2,0)</f>
        <v>8HV</v>
      </c>
      <c r="C1063" s="391" t="s">
        <v>821</v>
      </c>
      <c r="D1063" s="21" t="s">
        <v>1882</v>
      </c>
      <c r="E1063" s="21">
        <v>20</v>
      </c>
      <c r="F1063" s="27" t="str">
        <f>Tabela12[[#This Row],[Régua]]&amp;" ("&amp;Tabela12[[#This Row],[Born]]&amp;")"</f>
        <v>XQ0 (20)</v>
      </c>
      <c r="G1063" s="27">
        <f>LEN(Tabela12[[#This Row],[Anilha]])</f>
        <v>8</v>
      </c>
      <c r="H1063" s="21">
        <f>VLOOKUP(Tabela12[[#This Row],[Tag Cabo]],BD!A:F,6,0)</f>
        <v>2.5</v>
      </c>
      <c r="I1063" s="27" t="s">
        <v>1707</v>
      </c>
      <c r="J1063" s="27" t="s">
        <v>1706</v>
      </c>
    </row>
    <row r="1064" spans="1:10" x14ac:dyDescent="0.25">
      <c r="A1064" s="21" t="s">
        <v>818</v>
      </c>
      <c r="B1064" s="391" t="str">
        <f>VLOOKUP(Tabela12[[#This Row],[Painel]],Tabela13[],2,0)</f>
        <v>8HV</v>
      </c>
      <c r="C1064" s="391" t="s">
        <v>821</v>
      </c>
      <c r="D1064" s="21" t="s">
        <v>1883</v>
      </c>
      <c r="E1064" s="21">
        <v>1</v>
      </c>
      <c r="F1064" s="27" t="str">
        <f>Tabela12[[#This Row],[Régua]]&amp;" ("&amp;Tabela12[[#This Row],[Born]]&amp;")"</f>
        <v>XDESCC (1)</v>
      </c>
      <c r="G1064" s="27">
        <f>LEN(Tabela12[[#This Row],[Anilha]])</f>
        <v>10</v>
      </c>
      <c r="H1064" s="21">
        <f>VLOOKUP(Tabela12[[#This Row],[Tag Cabo]],BD!A:F,6,0)</f>
        <v>2.5</v>
      </c>
      <c r="I1064" s="27" t="s">
        <v>1707</v>
      </c>
      <c r="J1064" s="27" t="s">
        <v>1706</v>
      </c>
    </row>
    <row r="1065" spans="1:10" x14ac:dyDescent="0.25">
      <c r="A1065" s="21" t="s">
        <v>818</v>
      </c>
      <c r="B1065" s="391" t="str">
        <f>VLOOKUP(Tabela12[[#This Row],[Painel]],Tabela13[],2,0)</f>
        <v>8HV</v>
      </c>
      <c r="C1065" s="391" t="s">
        <v>821</v>
      </c>
      <c r="D1065" s="21" t="s">
        <v>1883</v>
      </c>
      <c r="E1065" s="21">
        <v>2</v>
      </c>
      <c r="F1065" s="27" t="str">
        <f>Tabela12[[#This Row],[Régua]]&amp;" ("&amp;Tabela12[[#This Row],[Born]]&amp;")"</f>
        <v>XDESCC (2)</v>
      </c>
      <c r="G1065" s="27">
        <f>LEN(Tabela12[[#This Row],[Anilha]])</f>
        <v>10</v>
      </c>
      <c r="H1065" s="21">
        <f>VLOOKUP(Tabela12[[#This Row],[Tag Cabo]],BD!A:F,6,0)</f>
        <v>2.5</v>
      </c>
      <c r="I1065" s="27" t="s">
        <v>1707</v>
      </c>
      <c r="J1065" s="27" t="s">
        <v>1706</v>
      </c>
    </row>
    <row r="1066" spans="1:10" x14ac:dyDescent="0.25">
      <c r="A1066" s="21" t="s">
        <v>818</v>
      </c>
      <c r="B1066" s="391" t="str">
        <f>VLOOKUP(Tabela12[[#This Row],[Painel]],Tabela13[],2,0)</f>
        <v>8HV</v>
      </c>
      <c r="C1066" s="391" t="s">
        <v>1566</v>
      </c>
      <c r="D1066" s="21" t="s">
        <v>1716</v>
      </c>
      <c r="E1066" s="21">
        <v>1</v>
      </c>
      <c r="F1066" s="27" t="str">
        <f>Tabela12[[#This Row],[Régua]]&amp;" ("&amp;Tabela12[[#This Row],[Born]]&amp;")"</f>
        <v>BNC (1)</v>
      </c>
      <c r="G1066" s="27">
        <f>LEN(Tabela12[[#This Row],[Anilha]])</f>
        <v>7</v>
      </c>
      <c r="H1066" s="21">
        <f>VLOOKUP(Tabela12[[#This Row],[Tag Cabo]],BD!A:F,6,0)</f>
        <v>2.5</v>
      </c>
      <c r="I1066" s="27" t="s">
        <v>1707</v>
      </c>
      <c r="J1066" s="27" t="s">
        <v>1706</v>
      </c>
    </row>
    <row r="1067" spans="1:10" x14ac:dyDescent="0.25">
      <c r="A1067" s="21" t="s">
        <v>818</v>
      </c>
      <c r="B1067" s="391" t="str">
        <f>VLOOKUP(Tabela12[[#This Row],[Painel]],Tabela13[],2,0)</f>
        <v>8HV</v>
      </c>
      <c r="C1067" s="391" t="s">
        <v>1566</v>
      </c>
      <c r="D1067" s="21" t="s">
        <v>1716</v>
      </c>
      <c r="E1067" s="21">
        <v>2</v>
      </c>
      <c r="F1067" s="27" t="str">
        <f>Tabela12[[#This Row],[Régua]]&amp;" ("&amp;Tabela12[[#This Row],[Born]]&amp;")"</f>
        <v>BNC (2)</v>
      </c>
      <c r="G1067" s="27">
        <f>LEN(Tabela12[[#This Row],[Anilha]])</f>
        <v>7</v>
      </c>
      <c r="H1067" s="21">
        <f>VLOOKUP(Tabela12[[#This Row],[Tag Cabo]],BD!A:F,6,0)</f>
        <v>2.5</v>
      </c>
      <c r="I1067" s="27" t="s">
        <v>1707</v>
      </c>
      <c r="J1067" s="27" t="s">
        <v>1706</v>
      </c>
    </row>
    <row r="1068" spans="1:10" x14ac:dyDescent="0.25">
      <c r="A1068" s="21" t="s">
        <v>818</v>
      </c>
      <c r="B1068" s="391" t="str">
        <f>VLOOKUP(Tabela12[[#This Row],[Painel]],Tabela13[],2,0)</f>
        <v>8HV</v>
      </c>
      <c r="C1068" s="391" t="s">
        <v>1566</v>
      </c>
      <c r="D1068" s="21" t="s">
        <v>1716</v>
      </c>
      <c r="E1068" s="21">
        <v>31</v>
      </c>
      <c r="F1068" s="27" t="str">
        <f>Tabela12[[#This Row],[Régua]]&amp;" ("&amp;Tabela12[[#This Row],[Born]]&amp;")"</f>
        <v>BNC (31)</v>
      </c>
      <c r="G1068" s="27">
        <f>LEN(Tabela12[[#This Row],[Anilha]])</f>
        <v>8</v>
      </c>
      <c r="H1068" s="21">
        <f>VLOOKUP(Tabela12[[#This Row],[Tag Cabo]],BD!A:F,6,0)</f>
        <v>2.5</v>
      </c>
      <c r="I1068" s="27" t="s">
        <v>1707</v>
      </c>
      <c r="J1068" s="27" t="s">
        <v>1706</v>
      </c>
    </row>
    <row r="1069" spans="1:10" x14ac:dyDescent="0.25">
      <c r="A1069" s="21" t="s">
        <v>818</v>
      </c>
      <c r="B1069" s="391" t="str">
        <f>VLOOKUP(Tabela12[[#This Row],[Painel]],Tabela13[],2,0)</f>
        <v>8HV</v>
      </c>
      <c r="C1069" s="391" t="s">
        <v>1566</v>
      </c>
      <c r="D1069" s="21" t="s">
        <v>1716</v>
      </c>
      <c r="E1069" s="21">
        <v>32</v>
      </c>
      <c r="F1069" s="27" t="str">
        <f>Tabela12[[#This Row],[Régua]]&amp;" ("&amp;Tabela12[[#This Row],[Born]]&amp;")"</f>
        <v>BNC (32)</v>
      </c>
      <c r="G1069" s="27">
        <f>LEN(Tabela12[[#This Row],[Anilha]])</f>
        <v>8</v>
      </c>
      <c r="H1069" s="21">
        <f>VLOOKUP(Tabela12[[#This Row],[Tag Cabo]],BD!A:F,6,0)</f>
        <v>2.5</v>
      </c>
      <c r="I1069" s="27" t="s">
        <v>1707</v>
      </c>
      <c r="J1069" s="27" t="s">
        <v>1706</v>
      </c>
    </row>
    <row r="1070" spans="1:10" x14ac:dyDescent="0.25">
      <c r="A1070" s="21" t="s">
        <v>1002</v>
      </c>
      <c r="B1070" s="391" t="str">
        <f>VLOOKUP(Tabela12[[#This Row],[Painel]],Tabela13[],2,0)</f>
        <v>COG</v>
      </c>
      <c r="C1070" s="391" t="s">
        <v>1003</v>
      </c>
      <c r="D1070" s="21" t="s">
        <v>1882</v>
      </c>
      <c r="E1070" s="21">
        <v>27</v>
      </c>
      <c r="F1070" s="27" t="str">
        <f>Tabela12[[#This Row],[Régua]]&amp;" ("&amp;Tabela12[[#This Row],[Born]]&amp;")"</f>
        <v>XQ0 (27)</v>
      </c>
      <c r="G1070" s="27">
        <f>LEN(Tabela12[[#This Row],[Anilha]])</f>
        <v>8</v>
      </c>
      <c r="H1070" s="21">
        <f>VLOOKUP(Tabela12[[#This Row],[Tag Cabo]],BD!A:F,6,0)</f>
        <v>2.5</v>
      </c>
      <c r="I1070" s="27" t="s">
        <v>1707</v>
      </c>
      <c r="J1070" s="27" t="s">
        <v>1706</v>
      </c>
    </row>
    <row r="1071" spans="1:10" x14ac:dyDescent="0.25">
      <c r="A1071" s="21" t="s">
        <v>1002</v>
      </c>
      <c r="B1071" s="391" t="str">
        <f>VLOOKUP(Tabela12[[#This Row],[Painel]],Tabela13[],2,0)</f>
        <v>COG</v>
      </c>
      <c r="C1071" s="391" t="s">
        <v>1003</v>
      </c>
      <c r="D1071" s="21" t="s">
        <v>1882</v>
      </c>
      <c r="E1071" s="21">
        <v>28</v>
      </c>
      <c r="F1071" s="27" t="str">
        <f>Tabela12[[#This Row],[Régua]]&amp;" ("&amp;Tabela12[[#This Row],[Born]]&amp;")"</f>
        <v>XQ0 (28)</v>
      </c>
      <c r="G1071" s="27">
        <f>LEN(Tabela12[[#This Row],[Anilha]])</f>
        <v>8</v>
      </c>
      <c r="H1071" s="21">
        <f>VLOOKUP(Tabela12[[#This Row],[Tag Cabo]],BD!A:F,6,0)</f>
        <v>2.5</v>
      </c>
      <c r="I1071" s="27" t="s">
        <v>1707</v>
      </c>
      <c r="J1071" s="27" t="s">
        <v>1706</v>
      </c>
    </row>
    <row r="1072" spans="1:10" x14ac:dyDescent="0.25">
      <c r="A1072" s="21" t="s">
        <v>1002</v>
      </c>
      <c r="B1072" s="391" t="str">
        <f>VLOOKUP(Tabela12[[#This Row],[Painel]],Tabela13[],2,0)</f>
        <v>COG</v>
      </c>
      <c r="C1072" s="391" t="s">
        <v>1003</v>
      </c>
      <c r="D1072" s="21" t="s">
        <v>1882</v>
      </c>
      <c r="E1072" s="21">
        <v>30</v>
      </c>
      <c r="F1072" s="27" t="str">
        <f>Tabela12[[#This Row],[Régua]]&amp;" ("&amp;Tabela12[[#This Row],[Born]]&amp;")"</f>
        <v>XQ0 (30)</v>
      </c>
      <c r="G1072" s="27">
        <f>LEN(Tabela12[[#This Row],[Anilha]])</f>
        <v>8</v>
      </c>
      <c r="H1072" s="21">
        <f>VLOOKUP(Tabela12[[#This Row],[Tag Cabo]],BD!A:F,6,0)</f>
        <v>2.5</v>
      </c>
      <c r="I1072" s="27" t="s">
        <v>1707</v>
      </c>
      <c r="J1072" s="27" t="s">
        <v>1706</v>
      </c>
    </row>
    <row r="1073" spans="1:10" x14ac:dyDescent="0.25">
      <c r="A1073" s="21" t="s">
        <v>1002</v>
      </c>
      <c r="B1073" s="391" t="str">
        <f>VLOOKUP(Tabela12[[#This Row],[Painel]],Tabela13[],2,0)</f>
        <v>COG</v>
      </c>
      <c r="C1073" s="391" t="s">
        <v>1003</v>
      </c>
      <c r="D1073" s="21" t="s">
        <v>1882</v>
      </c>
      <c r="E1073" s="21">
        <v>31</v>
      </c>
      <c r="F1073" s="27" t="str">
        <f>Tabela12[[#This Row],[Régua]]&amp;" ("&amp;Tabela12[[#This Row],[Born]]&amp;")"</f>
        <v>XQ0 (31)</v>
      </c>
      <c r="G1073" s="27">
        <f>LEN(Tabela12[[#This Row],[Anilha]])</f>
        <v>8</v>
      </c>
      <c r="H1073" s="21">
        <f>VLOOKUP(Tabela12[[#This Row],[Tag Cabo]],BD!A:F,6,0)</f>
        <v>2.5</v>
      </c>
      <c r="I1073" s="27" t="s">
        <v>1707</v>
      </c>
      <c r="J1073" s="27" t="s">
        <v>1706</v>
      </c>
    </row>
    <row r="1074" spans="1:10" x14ac:dyDescent="0.25">
      <c r="A1074" s="21" t="s">
        <v>1002</v>
      </c>
      <c r="B1074" s="391" t="str">
        <f>VLOOKUP(Tabela12[[#This Row],[Painel]],Tabela13[],2,0)</f>
        <v>COG</v>
      </c>
      <c r="C1074" s="391" t="s">
        <v>1003</v>
      </c>
      <c r="D1074" s="21" t="s">
        <v>1882</v>
      </c>
      <c r="E1074" s="21">
        <v>32</v>
      </c>
      <c r="F1074" s="27" t="str">
        <f>Tabela12[[#This Row],[Régua]]&amp;" ("&amp;Tabela12[[#This Row],[Born]]&amp;")"</f>
        <v>XQ0 (32)</v>
      </c>
      <c r="G1074" s="27">
        <f>LEN(Tabela12[[#This Row],[Anilha]])</f>
        <v>8</v>
      </c>
      <c r="H1074" s="21">
        <f>VLOOKUP(Tabela12[[#This Row],[Tag Cabo]],BD!A:F,6,0)</f>
        <v>2.5</v>
      </c>
      <c r="I1074" s="27" t="s">
        <v>1707</v>
      </c>
      <c r="J1074" s="27" t="s">
        <v>1706</v>
      </c>
    </row>
    <row r="1075" spans="1:10" x14ac:dyDescent="0.25">
      <c r="A1075" s="21" t="s">
        <v>1002</v>
      </c>
      <c r="B1075" s="391" t="str">
        <f>VLOOKUP(Tabela12[[#This Row],[Painel]],Tabela13[],2,0)</f>
        <v>COG</v>
      </c>
      <c r="C1075" s="391" t="s">
        <v>1003</v>
      </c>
      <c r="D1075" s="21" t="s">
        <v>1882</v>
      </c>
      <c r="E1075" s="21">
        <v>34</v>
      </c>
      <c r="F1075" s="27" t="str">
        <f>Tabela12[[#This Row],[Régua]]&amp;" ("&amp;Tabela12[[#This Row],[Born]]&amp;")"</f>
        <v>XQ0 (34)</v>
      </c>
      <c r="G1075" s="27">
        <f>LEN(Tabela12[[#This Row],[Anilha]])</f>
        <v>8</v>
      </c>
      <c r="H1075" s="21">
        <f>VLOOKUP(Tabela12[[#This Row],[Tag Cabo]],BD!A:F,6,0)</f>
        <v>2.5</v>
      </c>
      <c r="I1075" s="27" t="s">
        <v>1707</v>
      </c>
      <c r="J1075" s="27" t="s">
        <v>1706</v>
      </c>
    </row>
    <row r="1076" spans="1:10" x14ac:dyDescent="0.25">
      <c r="A1076" s="21" t="s">
        <v>1002</v>
      </c>
      <c r="B1076" s="391" t="str">
        <f>VLOOKUP(Tabela12[[#This Row],[Painel]],Tabela13[],2,0)</f>
        <v>8HV</v>
      </c>
      <c r="C1076" s="391" t="s">
        <v>1566</v>
      </c>
      <c r="D1076" s="21" t="s">
        <v>1716</v>
      </c>
      <c r="E1076" s="21">
        <v>23</v>
      </c>
      <c r="F1076" s="27" t="str">
        <f>Tabela12[[#This Row],[Régua]]&amp;" ("&amp;Tabela12[[#This Row],[Born]]&amp;")"</f>
        <v>BNC (23)</v>
      </c>
      <c r="G1076" s="27">
        <f>LEN(Tabela12[[#This Row],[Anilha]])</f>
        <v>8</v>
      </c>
      <c r="H1076" s="21">
        <f>VLOOKUP(Tabela12[[#This Row],[Tag Cabo]],BD!A:F,6,0)</f>
        <v>2.5</v>
      </c>
      <c r="I1076" s="27" t="s">
        <v>1707</v>
      </c>
      <c r="J1076" s="27" t="s">
        <v>1706</v>
      </c>
    </row>
    <row r="1077" spans="1:10" x14ac:dyDescent="0.25">
      <c r="A1077" s="21" t="s">
        <v>1002</v>
      </c>
      <c r="B1077" s="391" t="str">
        <f>VLOOKUP(Tabela12[[#This Row],[Painel]],Tabela13[],2,0)</f>
        <v>8HV</v>
      </c>
      <c r="C1077" s="391" t="s">
        <v>1566</v>
      </c>
      <c r="D1077" s="21" t="s">
        <v>1716</v>
      </c>
      <c r="E1077" s="21">
        <v>24</v>
      </c>
      <c r="F1077" s="27" t="str">
        <f>Tabela12[[#This Row],[Régua]]&amp;" ("&amp;Tabela12[[#This Row],[Born]]&amp;")"</f>
        <v>BNC (24)</v>
      </c>
      <c r="G1077" s="27">
        <f>LEN(Tabela12[[#This Row],[Anilha]])</f>
        <v>8</v>
      </c>
      <c r="H1077" s="21">
        <f>VLOOKUP(Tabela12[[#This Row],[Tag Cabo]],BD!A:F,6,0)</f>
        <v>2.5</v>
      </c>
      <c r="I1077" s="27" t="s">
        <v>1707</v>
      </c>
      <c r="J1077" s="27" t="s">
        <v>1706</v>
      </c>
    </row>
    <row r="1078" spans="1:10" x14ac:dyDescent="0.25">
      <c r="A1078" s="21" t="s">
        <v>1002</v>
      </c>
      <c r="B1078" s="391" t="str">
        <f>VLOOKUP(Tabela12[[#This Row],[Painel]],Tabela13[],2,0)</f>
        <v>8HV</v>
      </c>
      <c r="C1078" s="391" t="s">
        <v>1566</v>
      </c>
      <c r="D1078" s="21" t="s">
        <v>1716</v>
      </c>
      <c r="E1078" s="21">
        <v>26</v>
      </c>
      <c r="F1078" s="27" t="str">
        <f>Tabela12[[#This Row],[Régua]]&amp;" ("&amp;Tabela12[[#This Row],[Born]]&amp;")"</f>
        <v>BNC (26)</v>
      </c>
      <c r="G1078" s="27">
        <f>LEN(Tabela12[[#This Row],[Anilha]])</f>
        <v>8</v>
      </c>
      <c r="H1078" s="21">
        <f>VLOOKUP(Tabela12[[#This Row],[Tag Cabo]],BD!A:F,6,0)</f>
        <v>2.5</v>
      </c>
      <c r="I1078" s="27" t="s">
        <v>1707</v>
      </c>
      <c r="J1078" s="27" t="s">
        <v>1706</v>
      </c>
    </row>
    <row r="1079" spans="1:10" x14ac:dyDescent="0.25">
      <c r="A1079" s="21" t="s">
        <v>1002</v>
      </c>
      <c r="B1079" s="391" t="str">
        <f>VLOOKUP(Tabela12[[#This Row],[Painel]],Tabela13[],2,0)</f>
        <v>8HV</v>
      </c>
      <c r="C1079" s="391" t="s">
        <v>1566</v>
      </c>
      <c r="D1079" s="21" t="s">
        <v>1716</v>
      </c>
      <c r="E1079" s="21">
        <v>71</v>
      </c>
      <c r="F1079" s="27" t="str">
        <f>Tabela12[[#This Row],[Régua]]&amp;" ("&amp;Tabela12[[#This Row],[Born]]&amp;")"</f>
        <v>BNC (71)</v>
      </c>
      <c r="G1079" s="27">
        <f>LEN(Tabela12[[#This Row],[Anilha]])</f>
        <v>8</v>
      </c>
      <c r="H1079" s="21">
        <f>VLOOKUP(Tabela12[[#This Row],[Tag Cabo]],BD!A:F,6,0)</f>
        <v>2.5</v>
      </c>
      <c r="I1079" s="27" t="s">
        <v>1707</v>
      </c>
      <c r="J1079" s="27" t="s">
        <v>1706</v>
      </c>
    </row>
    <row r="1080" spans="1:10" x14ac:dyDescent="0.25">
      <c r="A1080" s="21" t="s">
        <v>1002</v>
      </c>
      <c r="B1080" s="391" t="str">
        <f>VLOOKUP(Tabela12[[#This Row],[Painel]],Tabela13[],2,0)</f>
        <v>8HV</v>
      </c>
      <c r="C1080" s="391" t="s">
        <v>1566</v>
      </c>
      <c r="D1080" s="21" t="s">
        <v>1716</v>
      </c>
      <c r="E1080" s="21">
        <v>72</v>
      </c>
      <c r="F1080" s="27" t="str">
        <f>Tabela12[[#This Row],[Régua]]&amp;" ("&amp;Tabela12[[#This Row],[Born]]&amp;")"</f>
        <v>BNC (72)</v>
      </c>
      <c r="G1080" s="27">
        <f>LEN(Tabela12[[#This Row],[Anilha]])</f>
        <v>8</v>
      </c>
      <c r="H1080" s="21">
        <f>VLOOKUP(Tabela12[[#This Row],[Tag Cabo]],BD!A:F,6,0)</f>
        <v>2.5</v>
      </c>
      <c r="I1080" s="27" t="s">
        <v>1707</v>
      </c>
      <c r="J1080" s="27" t="s">
        <v>1706</v>
      </c>
    </row>
    <row r="1081" spans="1:10" x14ac:dyDescent="0.25">
      <c r="A1081" s="21" t="s">
        <v>1002</v>
      </c>
      <c r="B1081" s="391" t="str">
        <f>VLOOKUP(Tabela12[[#This Row],[Painel]],Tabela13[],2,0)</f>
        <v>8HV</v>
      </c>
      <c r="C1081" s="391" t="s">
        <v>1566</v>
      </c>
      <c r="D1081" s="21" t="s">
        <v>1716</v>
      </c>
      <c r="E1081" s="21">
        <v>74</v>
      </c>
      <c r="F1081" s="27" t="str">
        <f>Tabela12[[#This Row],[Régua]]&amp;" ("&amp;Tabela12[[#This Row],[Born]]&amp;")"</f>
        <v>BNC (74)</v>
      </c>
      <c r="G1081" s="27">
        <f>LEN(Tabela12[[#This Row],[Anilha]])</f>
        <v>8</v>
      </c>
      <c r="H1081" s="21">
        <f>VLOOKUP(Tabela12[[#This Row],[Tag Cabo]],BD!A:F,6,0)</f>
        <v>2.5</v>
      </c>
      <c r="I1081" s="27" t="s">
        <v>1707</v>
      </c>
      <c r="J1081" s="27" t="s">
        <v>1706</v>
      </c>
    </row>
    <row r="1082" spans="1:10" x14ac:dyDescent="0.25">
      <c r="A1082" s="21" t="s">
        <v>1004</v>
      </c>
      <c r="B1082" s="391" t="str">
        <f>VLOOKUP(Tabela12[[#This Row],[Painel]],Tabela13[],2,0)</f>
        <v>COG</v>
      </c>
      <c r="C1082" s="391" t="s">
        <v>1005</v>
      </c>
      <c r="D1082" s="21" t="s">
        <v>1882</v>
      </c>
      <c r="E1082" s="21">
        <v>27</v>
      </c>
      <c r="F1082" s="27" t="str">
        <f>Tabela12[[#This Row],[Régua]]&amp;" ("&amp;Tabela12[[#This Row],[Born]]&amp;")"</f>
        <v>XQ0 (27)</v>
      </c>
      <c r="G1082" s="27">
        <f>LEN(Tabela12[[#This Row],[Anilha]])</f>
        <v>8</v>
      </c>
      <c r="H1082" s="21">
        <f>VLOOKUP(Tabela12[[#This Row],[Tag Cabo]],BD!A:F,6,0)</f>
        <v>2.5</v>
      </c>
      <c r="I1082" s="27" t="s">
        <v>1707</v>
      </c>
      <c r="J1082" s="27" t="s">
        <v>1706</v>
      </c>
    </row>
    <row r="1083" spans="1:10" x14ac:dyDescent="0.25">
      <c r="A1083" s="21" t="s">
        <v>1004</v>
      </c>
      <c r="B1083" s="391" t="str">
        <f>VLOOKUP(Tabela12[[#This Row],[Painel]],Tabela13[],2,0)</f>
        <v>COG</v>
      </c>
      <c r="C1083" s="391" t="s">
        <v>1005</v>
      </c>
      <c r="D1083" s="21" t="s">
        <v>1882</v>
      </c>
      <c r="E1083" s="21">
        <v>28</v>
      </c>
      <c r="F1083" s="27" t="str">
        <f>Tabela12[[#This Row],[Régua]]&amp;" ("&amp;Tabela12[[#This Row],[Born]]&amp;")"</f>
        <v>XQ0 (28)</v>
      </c>
      <c r="G1083" s="27">
        <f>LEN(Tabela12[[#This Row],[Anilha]])</f>
        <v>8</v>
      </c>
      <c r="H1083" s="21">
        <f>VLOOKUP(Tabela12[[#This Row],[Tag Cabo]],BD!A:F,6,0)</f>
        <v>2.5</v>
      </c>
      <c r="I1083" s="27" t="s">
        <v>1707</v>
      </c>
      <c r="J1083" s="27" t="s">
        <v>1706</v>
      </c>
    </row>
    <row r="1084" spans="1:10" x14ac:dyDescent="0.25">
      <c r="A1084" s="21" t="s">
        <v>1004</v>
      </c>
      <c r="B1084" s="391" t="str">
        <f>VLOOKUP(Tabela12[[#This Row],[Painel]],Tabela13[],2,0)</f>
        <v>COG</v>
      </c>
      <c r="C1084" s="391" t="s">
        <v>1005</v>
      </c>
      <c r="D1084" s="21" t="s">
        <v>1882</v>
      </c>
      <c r="E1084" s="21">
        <v>30</v>
      </c>
      <c r="F1084" s="27" t="str">
        <f>Tabela12[[#This Row],[Régua]]&amp;" ("&amp;Tabela12[[#This Row],[Born]]&amp;")"</f>
        <v>XQ0 (30)</v>
      </c>
      <c r="G1084" s="27">
        <f>LEN(Tabela12[[#This Row],[Anilha]])</f>
        <v>8</v>
      </c>
      <c r="H1084" s="21">
        <f>VLOOKUP(Tabela12[[#This Row],[Tag Cabo]],BD!A:F,6,0)</f>
        <v>2.5</v>
      </c>
      <c r="I1084" s="27" t="s">
        <v>1707</v>
      </c>
      <c r="J1084" s="27" t="s">
        <v>1706</v>
      </c>
    </row>
    <row r="1085" spans="1:10" x14ac:dyDescent="0.25">
      <c r="A1085" s="21" t="s">
        <v>1004</v>
      </c>
      <c r="B1085" s="391" t="str">
        <f>VLOOKUP(Tabela12[[#This Row],[Painel]],Tabela13[],2,0)</f>
        <v>COG</v>
      </c>
      <c r="C1085" s="391" t="s">
        <v>1005</v>
      </c>
      <c r="D1085" s="21" t="s">
        <v>1882</v>
      </c>
      <c r="E1085" s="21">
        <v>31</v>
      </c>
      <c r="F1085" s="27" t="str">
        <f>Tabela12[[#This Row],[Régua]]&amp;" ("&amp;Tabela12[[#This Row],[Born]]&amp;")"</f>
        <v>XQ0 (31)</v>
      </c>
      <c r="G1085" s="27">
        <f>LEN(Tabela12[[#This Row],[Anilha]])</f>
        <v>8</v>
      </c>
      <c r="H1085" s="21">
        <f>VLOOKUP(Tabela12[[#This Row],[Tag Cabo]],BD!A:F,6,0)</f>
        <v>2.5</v>
      </c>
      <c r="I1085" s="27" t="s">
        <v>1707</v>
      </c>
      <c r="J1085" s="27" t="s">
        <v>1706</v>
      </c>
    </row>
    <row r="1086" spans="1:10" x14ac:dyDescent="0.25">
      <c r="A1086" s="21" t="s">
        <v>1004</v>
      </c>
      <c r="B1086" s="391" t="str">
        <f>VLOOKUP(Tabela12[[#This Row],[Painel]],Tabela13[],2,0)</f>
        <v>COG</v>
      </c>
      <c r="C1086" s="391" t="s">
        <v>1005</v>
      </c>
      <c r="D1086" s="21" t="s">
        <v>1882</v>
      </c>
      <c r="E1086" s="21">
        <v>32</v>
      </c>
      <c r="F1086" s="27" t="str">
        <f>Tabela12[[#This Row],[Régua]]&amp;" ("&amp;Tabela12[[#This Row],[Born]]&amp;")"</f>
        <v>XQ0 (32)</v>
      </c>
      <c r="G1086" s="27">
        <f>LEN(Tabela12[[#This Row],[Anilha]])</f>
        <v>8</v>
      </c>
      <c r="H1086" s="21">
        <f>VLOOKUP(Tabela12[[#This Row],[Tag Cabo]],BD!A:F,6,0)</f>
        <v>2.5</v>
      </c>
      <c r="I1086" s="27" t="s">
        <v>1707</v>
      </c>
      <c r="J1086" s="27" t="s">
        <v>1706</v>
      </c>
    </row>
    <row r="1087" spans="1:10" x14ac:dyDescent="0.25">
      <c r="A1087" s="21" t="s">
        <v>1004</v>
      </c>
      <c r="B1087" s="391" t="str">
        <f>VLOOKUP(Tabela12[[#This Row],[Painel]],Tabela13[],2,0)</f>
        <v>COG</v>
      </c>
      <c r="C1087" s="391" t="s">
        <v>1005</v>
      </c>
      <c r="D1087" s="21" t="s">
        <v>1882</v>
      </c>
      <c r="E1087" s="21">
        <v>34</v>
      </c>
      <c r="F1087" s="27" t="str">
        <f>Tabela12[[#This Row],[Régua]]&amp;" ("&amp;Tabela12[[#This Row],[Born]]&amp;")"</f>
        <v>XQ0 (34)</v>
      </c>
      <c r="G1087" s="27">
        <f>LEN(Tabela12[[#This Row],[Anilha]])</f>
        <v>8</v>
      </c>
      <c r="H1087" s="21">
        <f>VLOOKUP(Tabela12[[#This Row],[Tag Cabo]],BD!A:F,6,0)</f>
        <v>2.5</v>
      </c>
      <c r="I1087" s="27" t="s">
        <v>1707</v>
      </c>
      <c r="J1087" s="27" t="s">
        <v>1706</v>
      </c>
    </row>
    <row r="1088" spans="1:10" x14ac:dyDescent="0.25">
      <c r="A1088" s="21" t="s">
        <v>1004</v>
      </c>
      <c r="B1088" s="391" t="str">
        <f>VLOOKUP(Tabela12[[#This Row],[Painel]],Tabela13[],2,0)</f>
        <v>8HV</v>
      </c>
      <c r="C1088" s="391" t="s">
        <v>1566</v>
      </c>
      <c r="D1088" s="21" t="s">
        <v>1716</v>
      </c>
      <c r="E1088" s="21">
        <v>27</v>
      </c>
      <c r="F1088" s="27" t="str">
        <f>Tabela12[[#This Row],[Régua]]&amp;" ("&amp;Tabela12[[#This Row],[Born]]&amp;")"</f>
        <v>BNC (27)</v>
      </c>
      <c r="G1088" s="27">
        <f>LEN(Tabela12[[#This Row],[Anilha]])</f>
        <v>8</v>
      </c>
      <c r="H1088" s="21">
        <f>VLOOKUP(Tabela12[[#This Row],[Tag Cabo]],BD!A:F,6,0)</f>
        <v>2.5</v>
      </c>
      <c r="I1088" s="27" t="s">
        <v>1707</v>
      </c>
      <c r="J1088" s="27" t="s">
        <v>1706</v>
      </c>
    </row>
    <row r="1089" spans="1:10" x14ac:dyDescent="0.25">
      <c r="A1089" s="21" t="s">
        <v>1004</v>
      </c>
      <c r="B1089" s="391" t="str">
        <f>VLOOKUP(Tabela12[[#This Row],[Painel]],Tabela13[],2,0)</f>
        <v>8HV</v>
      </c>
      <c r="C1089" s="391" t="s">
        <v>1566</v>
      </c>
      <c r="D1089" s="21" t="s">
        <v>1716</v>
      </c>
      <c r="E1089" s="21">
        <v>28</v>
      </c>
      <c r="F1089" s="27" t="str">
        <f>Tabela12[[#This Row],[Régua]]&amp;" ("&amp;Tabela12[[#This Row],[Born]]&amp;")"</f>
        <v>BNC (28)</v>
      </c>
      <c r="G1089" s="27">
        <f>LEN(Tabela12[[#This Row],[Anilha]])</f>
        <v>8</v>
      </c>
      <c r="H1089" s="21">
        <f>VLOOKUP(Tabela12[[#This Row],[Tag Cabo]],BD!A:F,6,0)</f>
        <v>2.5</v>
      </c>
      <c r="I1089" s="27" t="s">
        <v>1707</v>
      </c>
      <c r="J1089" s="27" t="s">
        <v>1706</v>
      </c>
    </row>
    <row r="1090" spans="1:10" x14ac:dyDescent="0.25">
      <c r="A1090" s="21" t="s">
        <v>1004</v>
      </c>
      <c r="B1090" s="391" t="str">
        <f>VLOOKUP(Tabela12[[#This Row],[Painel]],Tabela13[],2,0)</f>
        <v>8HV</v>
      </c>
      <c r="C1090" s="391" t="s">
        <v>1566</v>
      </c>
      <c r="D1090" s="21" t="s">
        <v>1716</v>
      </c>
      <c r="E1090" s="21">
        <v>30</v>
      </c>
      <c r="F1090" s="27" t="str">
        <f>Tabela12[[#This Row],[Régua]]&amp;" ("&amp;Tabela12[[#This Row],[Born]]&amp;")"</f>
        <v>BNC (30)</v>
      </c>
      <c r="G1090" s="27">
        <f>LEN(Tabela12[[#This Row],[Anilha]])</f>
        <v>8</v>
      </c>
      <c r="H1090" s="21">
        <f>VLOOKUP(Tabela12[[#This Row],[Tag Cabo]],BD!A:F,6,0)</f>
        <v>2.5</v>
      </c>
      <c r="I1090" s="27" t="s">
        <v>1707</v>
      </c>
      <c r="J1090" s="27" t="s">
        <v>1706</v>
      </c>
    </row>
    <row r="1091" spans="1:10" x14ac:dyDescent="0.25">
      <c r="A1091" s="21" t="s">
        <v>1004</v>
      </c>
      <c r="B1091" s="391" t="str">
        <f>VLOOKUP(Tabela12[[#This Row],[Painel]],Tabela13[],2,0)</f>
        <v>8HV</v>
      </c>
      <c r="C1091" s="391" t="s">
        <v>1566</v>
      </c>
      <c r="D1091" s="21" t="s">
        <v>1716</v>
      </c>
      <c r="E1091" s="21">
        <v>75</v>
      </c>
      <c r="F1091" s="27" t="str">
        <f>Tabela12[[#This Row],[Régua]]&amp;" ("&amp;Tabela12[[#This Row],[Born]]&amp;")"</f>
        <v>BNC (75)</v>
      </c>
      <c r="G1091" s="27">
        <f>LEN(Tabela12[[#This Row],[Anilha]])</f>
        <v>8</v>
      </c>
      <c r="H1091" s="21">
        <f>VLOOKUP(Tabela12[[#This Row],[Tag Cabo]],BD!A:F,6,0)</f>
        <v>2.5</v>
      </c>
      <c r="I1091" s="27" t="s">
        <v>1707</v>
      </c>
      <c r="J1091" s="27" t="s">
        <v>1706</v>
      </c>
    </row>
    <row r="1092" spans="1:10" x14ac:dyDescent="0.25">
      <c r="A1092" s="21" t="s">
        <v>1004</v>
      </c>
      <c r="B1092" s="391" t="str">
        <f>VLOOKUP(Tabela12[[#This Row],[Painel]],Tabela13[],2,0)</f>
        <v>8HV</v>
      </c>
      <c r="C1092" s="391" t="s">
        <v>1566</v>
      </c>
      <c r="D1092" s="21" t="s">
        <v>1716</v>
      </c>
      <c r="E1092" s="21">
        <v>76</v>
      </c>
      <c r="F1092" s="27" t="str">
        <f>Tabela12[[#This Row],[Régua]]&amp;" ("&amp;Tabela12[[#This Row],[Born]]&amp;")"</f>
        <v>BNC (76)</v>
      </c>
      <c r="G1092" s="27">
        <f>LEN(Tabela12[[#This Row],[Anilha]])</f>
        <v>8</v>
      </c>
      <c r="H1092" s="21">
        <f>VLOOKUP(Tabela12[[#This Row],[Tag Cabo]],BD!A:F,6,0)</f>
        <v>2.5</v>
      </c>
      <c r="I1092" s="27" t="s">
        <v>1707</v>
      </c>
      <c r="J1092" s="27" t="s">
        <v>1706</v>
      </c>
    </row>
    <row r="1093" spans="1:10" x14ac:dyDescent="0.25">
      <c r="A1093" s="21" t="s">
        <v>1004</v>
      </c>
      <c r="B1093" s="391" t="str">
        <f>VLOOKUP(Tabela12[[#This Row],[Painel]],Tabela13[],2,0)</f>
        <v>8HV</v>
      </c>
      <c r="C1093" s="391" t="s">
        <v>1566</v>
      </c>
      <c r="D1093" s="21" t="s">
        <v>1716</v>
      </c>
      <c r="E1093" s="21">
        <v>78</v>
      </c>
      <c r="F1093" s="27" t="str">
        <f>Tabela12[[#This Row],[Régua]]&amp;" ("&amp;Tabela12[[#This Row],[Born]]&amp;")"</f>
        <v>BNC (78)</v>
      </c>
      <c r="G1093" s="27">
        <f>LEN(Tabela12[[#This Row],[Anilha]])</f>
        <v>8</v>
      </c>
      <c r="H1093" s="21">
        <f>VLOOKUP(Tabela12[[#This Row],[Tag Cabo]],BD!A:F,6,0)</f>
        <v>2.5</v>
      </c>
      <c r="I1093" s="27" t="s">
        <v>1707</v>
      </c>
      <c r="J1093" s="27" t="s">
        <v>1706</v>
      </c>
    </row>
    <row r="1094" spans="1:10" x14ac:dyDescent="0.25">
      <c r="A1094" s="21" t="s">
        <v>904</v>
      </c>
      <c r="B1094" s="391" t="str">
        <f>VLOOKUP(Tabela12[[#This Row],[Painel]],Tabela13[],2,0)</f>
        <v>8HV</v>
      </c>
      <c r="C1094" s="391" t="s">
        <v>856</v>
      </c>
      <c r="D1094" s="21" t="s">
        <v>1884</v>
      </c>
      <c r="E1094" s="21">
        <v>5</v>
      </c>
      <c r="F1094" s="27" t="str">
        <f>Tabela12[[#This Row],[Régua]]&amp;" ("&amp;Tabela12[[#This Row],[Born]]&amp;")"</f>
        <v>X30 (5)</v>
      </c>
      <c r="G1094" s="27">
        <f>LEN(Tabela12[[#This Row],[Anilha]])</f>
        <v>7</v>
      </c>
      <c r="H1094" s="21">
        <f>VLOOKUP(Tabela12[[#This Row],[Tag Cabo]],BD!A:F,6,0)</f>
        <v>2.5</v>
      </c>
      <c r="I1094" s="27" t="s">
        <v>1707</v>
      </c>
      <c r="J1094" s="27" t="s">
        <v>1706</v>
      </c>
    </row>
    <row r="1095" spans="1:10" x14ac:dyDescent="0.25">
      <c r="A1095" s="21" t="s">
        <v>904</v>
      </c>
      <c r="B1095" s="391" t="str">
        <f>VLOOKUP(Tabela12[[#This Row],[Painel]],Tabela13[],2,0)</f>
        <v>8HV</v>
      </c>
      <c r="C1095" s="391" t="s">
        <v>856</v>
      </c>
      <c r="D1095" s="21" t="s">
        <v>1884</v>
      </c>
      <c r="E1095" s="21">
        <v>17</v>
      </c>
      <c r="F1095" s="27" t="str">
        <f>Tabela12[[#This Row],[Régua]]&amp;" ("&amp;Tabela12[[#This Row],[Born]]&amp;")"</f>
        <v>X30 (17)</v>
      </c>
      <c r="G1095" s="27">
        <f>LEN(Tabela12[[#This Row],[Anilha]])</f>
        <v>8</v>
      </c>
      <c r="H1095" s="21">
        <f>VLOOKUP(Tabela12[[#This Row],[Tag Cabo]],BD!A:F,6,0)</f>
        <v>2.5</v>
      </c>
      <c r="I1095" s="27" t="s">
        <v>1707</v>
      </c>
      <c r="J1095" s="27" t="s">
        <v>1706</v>
      </c>
    </row>
    <row r="1096" spans="1:10" x14ac:dyDescent="0.25">
      <c r="A1096" s="21" t="s">
        <v>904</v>
      </c>
      <c r="B1096" s="391" t="str">
        <f>VLOOKUP(Tabela12[[#This Row],[Painel]],Tabela13[],2,0)</f>
        <v>8HV</v>
      </c>
      <c r="C1096" s="391" t="s">
        <v>856</v>
      </c>
      <c r="D1096" s="21" t="s">
        <v>1884</v>
      </c>
      <c r="E1096" s="21">
        <v>6</v>
      </c>
      <c r="F1096" s="27" t="str">
        <f>Tabela12[[#This Row],[Régua]]&amp;" ("&amp;Tabela12[[#This Row],[Born]]&amp;")"</f>
        <v>X30 (6)</v>
      </c>
      <c r="G1096" s="27">
        <f>LEN(Tabela12[[#This Row],[Anilha]])</f>
        <v>7</v>
      </c>
      <c r="H1096" s="21">
        <f>VLOOKUP(Tabela12[[#This Row],[Tag Cabo]],BD!A:F,6,0)</f>
        <v>2.5</v>
      </c>
      <c r="I1096" s="27" t="s">
        <v>1707</v>
      </c>
      <c r="J1096" s="27" t="s">
        <v>1706</v>
      </c>
    </row>
    <row r="1097" spans="1:10" x14ac:dyDescent="0.25">
      <c r="A1097" s="21" t="s">
        <v>904</v>
      </c>
      <c r="B1097" s="391" t="str">
        <f>VLOOKUP(Tabela12[[#This Row],[Painel]],Tabela13[],2,0)</f>
        <v>8HV</v>
      </c>
      <c r="C1097" s="391" t="s">
        <v>856</v>
      </c>
      <c r="D1097" s="21" t="s">
        <v>1884</v>
      </c>
      <c r="E1097" s="21">
        <v>18</v>
      </c>
      <c r="F1097" s="27" t="str">
        <f>Tabela12[[#This Row],[Régua]]&amp;" ("&amp;Tabela12[[#This Row],[Born]]&amp;")"</f>
        <v>X30 (18)</v>
      </c>
      <c r="G1097" s="27">
        <f>LEN(Tabela12[[#This Row],[Anilha]])</f>
        <v>8</v>
      </c>
      <c r="H1097" s="21">
        <f>VLOOKUP(Tabela12[[#This Row],[Tag Cabo]],BD!A:F,6,0)</f>
        <v>2.5</v>
      </c>
      <c r="I1097" s="27" t="s">
        <v>1707</v>
      </c>
      <c r="J1097" s="27" t="s">
        <v>1706</v>
      </c>
    </row>
    <row r="1098" spans="1:10" x14ac:dyDescent="0.25">
      <c r="A1098" s="21" t="s">
        <v>904</v>
      </c>
      <c r="B1098" s="391" t="str">
        <f>VLOOKUP(Tabela12[[#This Row],[Painel]],Tabela13[],2,0)</f>
        <v>8HV</v>
      </c>
      <c r="C1098" s="391" t="s">
        <v>856</v>
      </c>
      <c r="D1098" s="21" t="s">
        <v>1884</v>
      </c>
      <c r="E1098" s="21">
        <v>7</v>
      </c>
      <c r="F1098" s="27" t="str">
        <f>Tabela12[[#This Row],[Régua]]&amp;" ("&amp;Tabela12[[#This Row],[Born]]&amp;")"</f>
        <v>X30 (7)</v>
      </c>
      <c r="G1098" s="27">
        <f>LEN(Tabela12[[#This Row],[Anilha]])</f>
        <v>7</v>
      </c>
      <c r="H1098" s="21">
        <f>VLOOKUP(Tabela12[[#This Row],[Tag Cabo]],BD!A:F,6,0)</f>
        <v>2.5</v>
      </c>
      <c r="I1098" s="27" t="s">
        <v>1707</v>
      </c>
      <c r="J1098" s="27" t="s">
        <v>1706</v>
      </c>
    </row>
    <row r="1099" spans="1:10" x14ac:dyDescent="0.25">
      <c r="A1099" s="21" t="s">
        <v>904</v>
      </c>
      <c r="B1099" s="391" t="str">
        <f>VLOOKUP(Tabela12[[#This Row],[Painel]],Tabela13[],2,0)</f>
        <v>8HV</v>
      </c>
      <c r="C1099" s="391" t="s">
        <v>856</v>
      </c>
      <c r="D1099" s="21" t="s">
        <v>1884</v>
      </c>
      <c r="E1099" s="21">
        <v>19</v>
      </c>
      <c r="F1099" s="27" t="str">
        <f>Tabela12[[#This Row],[Régua]]&amp;" ("&amp;Tabela12[[#This Row],[Born]]&amp;")"</f>
        <v>X30 (19)</v>
      </c>
      <c r="G1099" s="27">
        <f>LEN(Tabela12[[#This Row],[Anilha]])</f>
        <v>8</v>
      </c>
      <c r="H1099" s="21">
        <f>VLOOKUP(Tabela12[[#This Row],[Tag Cabo]],BD!A:F,6,0)</f>
        <v>2.5</v>
      </c>
      <c r="I1099" s="27" t="s">
        <v>1707</v>
      </c>
      <c r="J1099" s="27" t="s">
        <v>1706</v>
      </c>
    </row>
    <row r="1100" spans="1:10" x14ac:dyDescent="0.25">
      <c r="A1100" s="21" t="s">
        <v>904</v>
      </c>
      <c r="B1100" s="391" t="str">
        <f>VLOOKUP(Tabela12[[#This Row],[Painel]],Tabela13[],2,0)</f>
        <v>1HV</v>
      </c>
      <c r="C1100" s="391" t="s">
        <v>911</v>
      </c>
      <c r="D1100" s="21" t="s">
        <v>1885</v>
      </c>
      <c r="E1100" s="21">
        <v>7</v>
      </c>
      <c r="F1100" s="27" t="str">
        <f>Tabela12[[#This Row],[Régua]]&amp;" ("&amp;Tabela12[[#This Row],[Born]]&amp;")"</f>
        <v>XDC (7)</v>
      </c>
      <c r="G1100" s="27">
        <f>LEN(Tabela12[[#This Row],[Anilha]])</f>
        <v>7</v>
      </c>
      <c r="H1100" s="21">
        <f>VLOOKUP(Tabela12[[#This Row],[Tag Cabo]],BD!A:F,6,0)</f>
        <v>2.5</v>
      </c>
      <c r="I1100" s="27" t="s">
        <v>1707</v>
      </c>
      <c r="J1100" s="27" t="s">
        <v>1706</v>
      </c>
    </row>
    <row r="1101" spans="1:10" x14ac:dyDescent="0.25">
      <c r="A1101" s="21" t="s">
        <v>904</v>
      </c>
      <c r="B1101" s="391" t="str">
        <f>VLOOKUP(Tabela12[[#This Row],[Painel]],Tabela13[],2,0)</f>
        <v>1HV</v>
      </c>
      <c r="C1101" s="391" t="s">
        <v>911</v>
      </c>
      <c r="D1101" s="21" t="s">
        <v>1885</v>
      </c>
      <c r="E1101" s="21">
        <v>10</v>
      </c>
      <c r="F1101" s="27" t="str">
        <f>Tabela12[[#This Row],[Régua]]&amp;" ("&amp;Tabela12[[#This Row],[Born]]&amp;")"</f>
        <v>XDC (10)</v>
      </c>
      <c r="G1101" s="27">
        <f>LEN(Tabela12[[#This Row],[Anilha]])</f>
        <v>8</v>
      </c>
      <c r="H1101" s="21">
        <f>VLOOKUP(Tabela12[[#This Row],[Tag Cabo]],BD!A:F,6,0)</f>
        <v>2.5</v>
      </c>
      <c r="I1101" s="27" t="s">
        <v>1707</v>
      </c>
      <c r="J1101" s="27" t="s">
        <v>1706</v>
      </c>
    </row>
    <row r="1102" spans="1:10" x14ac:dyDescent="0.25">
      <c r="A1102" s="21" t="s">
        <v>904</v>
      </c>
      <c r="B1102" s="391" t="str">
        <f>VLOOKUP(Tabela12[[#This Row],[Painel]],Tabela13[],2,0)</f>
        <v>1HV</v>
      </c>
      <c r="C1102" s="391" t="s">
        <v>911</v>
      </c>
      <c r="D1102" s="21" t="s">
        <v>1885</v>
      </c>
      <c r="E1102" s="21">
        <v>11</v>
      </c>
      <c r="F1102" s="27" t="str">
        <f>Tabela12[[#This Row],[Régua]]&amp;" ("&amp;Tabela12[[#This Row],[Born]]&amp;")"</f>
        <v>XDC (11)</v>
      </c>
      <c r="G1102" s="27">
        <f>LEN(Tabela12[[#This Row],[Anilha]])</f>
        <v>8</v>
      </c>
      <c r="H1102" s="21">
        <f>VLOOKUP(Tabela12[[#This Row],[Tag Cabo]],BD!A:F,6,0)</f>
        <v>2.5</v>
      </c>
      <c r="I1102" s="27" t="s">
        <v>1707</v>
      </c>
      <c r="J1102" s="27" t="s">
        <v>1706</v>
      </c>
    </row>
    <row r="1103" spans="1:10" x14ac:dyDescent="0.25">
      <c r="A1103" s="21" t="s">
        <v>904</v>
      </c>
      <c r="B1103" s="391" t="str">
        <f>VLOOKUP(Tabela12[[#This Row],[Painel]],Tabela13[],2,0)</f>
        <v>1HV</v>
      </c>
      <c r="C1103" s="391" t="s">
        <v>911</v>
      </c>
      <c r="D1103" s="21" t="s">
        <v>1885</v>
      </c>
      <c r="E1103" s="21">
        <v>9</v>
      </c>
      <c r="F1103" s="27" t="str">
        <f>Tabela12[[#This Row],[Régua]]&amp;" ("&amp;Tabela12[[#This Row],[Born]]&amp;")"</f>
        <v>XDC (9)</v>
      </c>
      <c r="G1103" s="27">
        <f>LEN(Tabela12[[#This Row],[Anilha]])</f>
        <v>7</v>
      </c>
      <c r="H1103" s="21">
        <f>VLOOKUP(Tabela12[[#This Row],[Tag Cabo]],BD!A:F,6,0)</f>
        <v>2.5</v>
      </c>
      <c r="I1103" s="27" t="s">
        <v>1707</v>
      </c>
      <c r="J1103" s="27" t="s">
        <v>1706</v>
      </c>
    </row>
    <row r="1104" spans="1:10" x14ac:dyDescent="0.25">
      <c r="A1104" s="21" t="s">
        <v>904</v>
      </c>
      <c r="B1104" s="391" t="str">
        <f>VLOOKUP(Tabela12[[#This Row],[Painel]],Tabela13[],2,0)</f>
        <v>1HV</v>
      </c>
      <c r="C1104" s="391" t="s">
        <v>911</v>
      </c>
      <c r="D1104" s="21" t="s">
        <v>1886</v>
      </c>
      <c r="E1104" s="21">
        <v>8</v>
      </c>
      <c r="F1104" s="27" t="str">
        <f>Tabela12[[#This Row],[Régua]]&amp;" ("&amp;Tabela12[[#This Row],[Born]]&amp;")"</f>
        <v>XDI3 (8)</v>
      </c>
      <c r="G1104" s="27">
        <f>LEN(Tabela12[[#This Row],[Anilha]])</f>
        <v>8</v>
      </c>
      <c r="H1104" s="21">
        <f>VLOOKUP(Tabela12[[#This Row],[Tag Cabo]],BD!A:F,6,0)</f>
        <v>2.5</v>
      </c>
      <c r="I1104" s="27" t="s">
        <v>1707</v>
      </c>
      <c r="J1104" s="27" t="s">
        <v>1706</v>
      </c>
    </row>
    <row r="1105" spans="1:10" x14ac:dyDescent="0.25">
      <c r="A1105" s="21" t="s">
        <v>904</v>
      </c>
      <c r="B1105" s="391" t="str">
        <f>VLOOKUP(Tabela12[[#This Row],[Painel]],Tabela13[],2,0)</f>
        <v>1HV</v>
      </c>
      <c r="C1105" s="391" t="s">
        <v>911</v>
      </c>
      <c r="D1105" s="21" t="s">
        <v>1886</v>
      </c>
      <c r="E1105" s="21">
        <v>9</v>
      </c>
      <c r="F1105" s="27" t="str">
        <f>Tabela12[[#This Row],[Régua]]&amp;" ("&amp;Tabela12[[#This Row],[Born]]&amp;")"</f>
        <v>XDI3 (9)</v>
      </c>
      <c r="G1105" s="27">
        <f>LEN(Tabela12[[#This Row],[Anilha]])</f>
        <v>8</v>
      </c>
      <c r="H1105" s="21">
        <f>VLOOKUP(Tabela12[[#This Row],[Tag Cabo]],BD!A:F,6,0)</f>
        <v>2.5</v>
      </c>
      <c r="I1105" s="27" t="s">
        <v>1707</v>
      </c>
      <c r="J1105" s="27" t="s">
        <v>1706</v>
      </c>
    </row>
    <row r="1106" spans="1:10" x14ac:dyDescent="0.25">
      <c r="A1106" s="21" t="s">
        <v>854</v>
      </c>
      <c r="B1106" s="391" t="str">
        <f>VLOOKUP(Tabela12[[#This Row],[Painel]],Tabela13[],2,0)</f>
        <v>8HV</v>
      </c>
      <c r="C1106" s="391" t="s">
        <v>1617</v>
      </c>
      <c r="D1106" s="21" t="s">
        <v>1887</v>
      </c>
      <c r="E1106" s="21">
        <v>2</v>
      </c>
      <c r="F1106" s="27" t="str">
        <f>Tabela12[[#This Row],[Régua]]&amp;" ("&amp;Tabela12[[#This Row],[Born]]&amp;")"</f>
        <v>3F2 (2)</v>
      </c>
      <c r="G1106" s="27">
        <f>LEN(Tabela12[[#This Row],[Anilha]])</f>
        <v>7</v>
      </c>
      <c r="H1106" s="21">
        <f>VLOOKUP(Tabela12[[#This Row],[Tag Cabo]],BD!A:F,6,0)</f>
        <v>4</v>
      </c>
      <c r="I1106" s="27" t="s">
        <v>1707</v>
      </c>
      <c r="J1106" s="27" t="s">
        <v>1706</v>
      </c>
    </row>
    <row r="1107" spans="1:10" x14ac:dyDescent="0.25">
      <c r="A1107" s="21" t="s">
        <v>854</v>
      </c>
      <c r="B1107" s="391" t="str">
        <f>VLOOKUP(Tabela12[[#This Row],[Painel]],Tabela13[],2,0)</f>
        <v>8HV</v>
      </c>
      <c r="C1107" s="391" t="s">
        <v>1617</v>
      </c>
      <c r="D1107" s="21" t="s">
        <v>1887</v>
      </c>
      <c r="E1107" s="21">
        <v>4</v>
      </c>
      <c r="F1107" s="27" t="str">
        <f>Tabela12[[#This Row],[Régua]]&amp;" ("&amp;Tabela12[[#This Row],[Born]]&amp;")"</f>
        <v>3F2 (4)</v>
      </c>
      <c r="G1107" s="27">
        <f>LEN(Tabela12[[#This Row],[Anilha]])</f>
        <v>7</v>
      </c>
      <c r="H1107" s="21">
        <f>VLOOKUP(Tabela12[[#This Row],[Tag Cabo]],BD!A:F,6,0)</f>
        <v>4</v>
      </c>
      <c r="I1107" s="27" t="s">
        <v>1707</v>
      </c>
      <c r="J1107" s="27" t="s">
        <v>1706</v>
      </c>
    </row>
    <row r="1108" spans="1:10" x14ac:dyDescent="0.25">
      <c r="A1108" s="21" t="s">
        <v>854</v>
      </c>
      <c r="B1108" s="391" t="str">
        <f>VLOOKUP(Tabela12[[#This Row],[Painel]],Tabela13[],2,0)</f>
        <v>8HV</v>
      </c>
      <c r="C1108" s="391" t="s">
        <v>856</v>
      </c>
      <c r="D1108" s="214" t="s">
        <v>1888</v>
      </c>
      <c r="E1108" s="21">
        <v>1</v>
      </c>
      <c r="F1108" s="27" t="str">
        <f>Tabela12[[#This Row],[Régua]]&amp;" ("&amp;Tabela12[[#This Row],[Born]]&amp;")"</f>
        <v>-X2 (1)</v>
      </c>
      <c r="G1108" s="27">
        <f>LEN(Tabela12[[#This Row],[Anilha]])</f>
        <v>7</v>
      </c>
      <c r="H1108" s="21">
        <f>VLOOKUP(Tabela12[[#This Row],[Tag Cabo]],BD!A:F,6,0)</f>
        <v>4</v>
      </c>
      <c r="I1108" s="27" t="s">
        <v>1707</v>
      </c>
      <c r="J1108" s="27" t="s">
        <v>1706</v>
      </c>
    </row>
    <row r="1109" spans="1:10" x14ac:dyDescent="0.25">
      <c r="A1109" s="21" t="s">
        <v>854</v>
      </c>
      <c r="B1109" s="391" t="str">
        <f>VLOOKUP(Tabela12[[#This Row],[Painel]],Tabela13[],2,0)</f>
        <v>8HV</v>
      </c>
      <c r="C1109" s="391" t="s">
        <v>856</v>
      </c>
      <c r="D1109" s="214" t="s">
        <v>1888</v>
      </c>
      <c r="E1109" s="21">
        <v>3</v>
      </c>
      <c r="F1109" s="27" t="str">
        <f>Tabela12[[#This Row],[Régua]]&amp;" ("&amp;Tabela12[[#This Row],[Born]]&amp;")"</f>
        <v>-X2 (3)</v>
      </c>
      <c r="G1109" s="27">
        <f>LEN(Tabela12[[#This Row],[Anilha]])</f>
        <v>7</v>
      </c>
      <c r="H1109" s="21">
        <f>VLOOKUP(Tabela12[[#This Row],[Tag Cabo]],BD!A:F,6,0)</f>
        <v>4</v>
      </c>
      <c r="I1109" s="27" t="s">
        <v>1707</v>
      </c>
      <c r="J1109" s="27" t="s">
        <v>1706</v>
      </c>
    </row>
    <row r="1110" spans="1:10" x14ac:dyDescent="0.25">
      <c r="A1110" s="21" t="s">
        <v>858</v>
      </c>
      <c r="B1110" s="391" t="str">
        <f>VLOOKUP(Tabela12[[#This Row],[Painel]],Tabela13[],2,0)</f>
        <v>8HV</v>
      </c>
      <c r="C1110" s="391" t="s">
        <v>1617</v>
      </c>
      <c r="D1110" s="21" t="s">
        <v>1889</v>
      </c>
      <c r="E1110" s="21">
        <v>2</v>
      </c>
      <c r="F1110" s="27" t="str">
        <f>Tabela12[[#This Row],[Régua]]&amp;" ("&amp;Tabela12[[#This Row],[Born]]&amp;")"</f>
        <v>4F2 (2)</v>
      </c>
      <c r="G1110" s="27">
        <f>LEN(Tabela12[[#This Row],[Anilha]])</f>
        <v>7</v>
      </c>
      <c r="H1110" s="21">
        <f>VLOOKUP(Tabela12[[#This Row],[Tag Cabo]],BD!A:F,6,0)</f>
        <v>4</v>
      </c>
      <c r="I1110" s="27" t="s">
        <v>1707</v>
      </c>
      <c r="J1110" s="27" t="s">
        <v>1706</v>
      </c>
    </row>
    <row r="1111" spans="1:10" x14ac:dyDescent="0.25">
      <c r="A1111" s="21" t="s">
        <v>858</v>
      </c>
      <c r="B1111" s="391" t="str">
        <f>VLOOKUP(Tabela12[[#This Row],[Painel]],Tabela13[],2,0)</f>
        <v>8HV</v>
      </c>
      <c r="C1111" s="391" t="s">
        <v>1617</v>
      </c>
      <c r="D1111" s="21" t="s">
        <v>1889</v>
      </c>
      <c r="E1111" s="21" t="s">
        <v>1890</v>
      </c>
      <c r="F1111" s="27" t="str">
        <f>Tabela12[[#This Row],[Régua]]&amp;" ("&amp;Tabela12[[#This Row],[Born]]&amp;")"</f>
        <v>4F2 (N)</v>
      </c>
      <c r="G1111" s="27">
        <f>LEN(Tabela12[[#This Row],[Anilha]])</f>
        <v>7</v>
      </c>
      <c r="H1111" s="21">
        <f>VLOOKUP(Tabela12[[#This Row],[Tag Cabo]],BD!A:F,6,0)</f>
        <v>4</v>
      </c>
      <c r="I1111" s="27" t="s">
        <v>1707</v>
      </c>
      <c r="J1111" s="27" t="s">
        <v>1706</v>
      </c>
    </row>
    <row r="1112" spans="1:10" x14ac:dyDescent="0.25">
      <c r="A1112" s="21" t="s">
        <v>858</v>
      </c>
      <c r="B1112" s="391" t="str">
        <f>VLOOKUP(Tabela12[[#This Row],[Painel]],Tabela13[],2,0)</f>
        <v>8HV</v>
      </c>
      <c r="C1112" s="391" t="s">
        <v>1564</v>
      </c>
      <c r="D1112" s="21" t="s">
        <v>1891</v>
      </c>
      <c r="E1112" s="21">
        <v>1</v>
      </c>
      <c r="F1112" s="27" t="str">
        <f>Tabela12[[#This Row],[Régua]]&amp;" ("&amp;Tabela12[[#This Row],[Born]]&amp;")"</f>
        <v>X4 (1)</v>
      </c>
      <c r="G1112" s="27">
        <f>LEN(Tabela12[[#This Row],[Anilha]])</f>
        <v>6</v>
      </c>
      <c r="H1112" s="21">
        <f>VLOOKUP(Tabela12[[#This Row],[Tag Cabo]],BD!A:F,6,0)</f>
        <v>4</v>
      </c>
      <c r="I1112" s="27" t="s">
        <v>1707</v>
      </c>
      <c r="J1112" s="27" t="s">
        <v>1706</v>
      </c>
    </row>
    <row r="1113" spans="1:10" x14ac:dyDescent="0.25">
      <c r="A1113" s="21" t="s">
        <v>858</v>
      </c>
      <c r="B1113" s="391" t="str">
        <f>VLOOKUP(Tabela12[[#This Row],[Painel]],Tabela13[],2,0)</f>
        <v>8HV</v>
      </c>
      <c r="C1113" s="391" t="s">
        <v>1564</v>
      </c>
      <c r="D1113" s="21" t="s">
        <v>1891</v>
      </c>
      <c r="E1113" s="21">
        <v>2</v>
      </c>
      <c r="F1113" s="27" t="str">
        <f>Tabela12[[#This Row],[Régua]]&amp;" ("&amp;Tabela12[[#This Row],[Born]]&amp;")"</f>
        <v>X4 (2)</v>
      </c>
      <c r="G1113" s="27">
        <f>LEN(Tabela12[[#This Row],[Anilha]])</f>
        <v>6</v>
      </c>
      <c r="H1113" s="21">
        <f>VLOOKUP(Tabela12[[#This Row],[Tag Cabo]],BD!A:F,6,0)</f>
        <v>4</v>
      </c>
      <c r="I1113" s="27" t="s">
        <v>1707</v>
      </c>
      <c r="J1113" s="27" t="s">
        <v>1706</v>
      </c>
    </row>
    <row r="1114" spans="1:10" x14ac:dyDescent="0.25">
      <c r="A1114" s="21" t="s">
        <v>860</v>
      </c>
      <c r="B1114" s="391" t="str">
        <f>VLOOKUP(Tabela12[[#This Row],[Painel]],Tabela13[],2,0)</f>
        <v>8HV</v>
      </c>
      <c r="C1114" s="391" t="s">
        <v>1617</v>
      </c>
      <c r="D1114" s="21" t="s">
        <v>1892</v>
      </c>
      <c r="E1114" s="21">
        <v>2</v>
      </c>
      <c r="F1114" s="27" t="str">
        <f>Tabela12[[#This Row],[Régua]]&amp;" ("&amp;Tabela12[[#This Row],[Born]]&amp;")"</f>
        <v>5F1 (2)</v>
      </c>
      <c r="G1114" s="27">
        <f>LEN(Tabela12[[#This Row],[Anilha]])</f>
        <v>7</v>
      </c>
      <c r="H1114" s="21">
        <f>VLOOKUP(Tabela12[[#This Row],[Tag Cabo]],BD!A:F,6,0)</f>
        <v>4</v>
      </c>
      <c r="I1114" s="27" t="s">
        <v>1707</v>
      </c>
      <c r="J1114" s="27" t="s">
        <v>1706</v>
      </c>
    </row>
    <row r="1115" spans="1:10" x14ac:dyDescent="0.25">
      <c r="A1115" s="21" t="s">
        <v>860</v>
      </c>
      <c r="B1115" s="391" t="str">
        <f>VLOOKUP(Tabela12[[#This Row],[Painel]],Tabela13[],2,0)</f>
        <v>8HV</v>
      </c>
      <c r="C1115" s="391" t="s">
        <v>1617</v>
      </c>
      <c r="D1115" s="21" t="s">
        <v>1892</v>
      </c>
      <c r="E1115" s="21" t="s">
        <v>1890</v>
      </c>
      <c r="F1115" s="27" t="str">
        <f>Tabela12[[#This Row],[Régua]]&amp;" ("&amp;Tabela12[[#This Row],[Born]]&amp;")"</f>
        <v>5F1 (N)</v>
      </c>
      <c r="G1115" s="27">
        <f>LEN(Tabela12[[#This Row],[Anilha]])</f>
        <v>7</v>
      </c>
      <c r="H1115" s="21">
        <f>VLOOKUP(Tabela12[[#This Row],[Tag Cabo]],BD!A:F,6,0)</f>
        <v>4</v>
      </c>
      <c r="I1115" s="27" t="s">
        <v>1707</v>
      </c>
      <c r="J1115" s="27" t="s">
        <v>1706</v>
      </c>
    </row>
    <row r="1116" spans="1:10" x14ac:dyDescent="0.25">
      <c r="A1116" s="21" t="s">
        <v>860</v>
      </c>
      <c r="B1116" s="391" t="str">
        <f>VLOOKUP(Tabela12[[#This Row],[Painel]],Tabela13[],2,0)</f>
        <v>8HV</v>
      </c>
      <c r="C1116" s="391" t="s">
        <v>1564</v>
      </c>
      <c r="D1116" s="21" t="s">
        <v>1893</v>
      </c>
      <c r="E1116" s="21">
        <v>1</v>
      </c>
      <c r="F1116" s="27" t="str">
        <f>Tabela12[[#This Row],[Régua]]&amp;" ("&amp;Tabela12[[#This Row],[Born]]&amp;")"</f>
        <v>XAX (1)</v>
      </c>
      <c r="G1116" s="27">
        <f>LEN(Tabela12[[#This Row],[Anilha]])</f>
        <v>7</v>
      </c>
      <c r="H1116" s="21">
        <f>VLOOKUP(Tabela12[[#This Row],[Tag Cabo]],BD!A:F,6,0)</f>
        <v>4</v>
      </c>
      <c r="I1116" s="27" t="s">
        <v>1707</v>
      </c>
      <c r="J1116" s="27" t="s">
        <v>1706</v>
      </c>
    </row>
    <row r="1117" spans="1:10" x14ac:dyDescent="0.25">
      <c r="A1117" s="21" t="s">
        <v>860</v>
      </c>
      <c r="B1117" s="391" t="str">
        <f>VLOOKUP(Tabela12[[#This Row],[Painel]],Tabela13[],2,0)</f>
        <v>8HV</v>
      </c>
      <c r="C1117" s="391" t="s">
        <v>1564</v>
      </c>
      <c r="D1117" s="21" t="s">
        <v>1893</v>
      </c>
      <c r="E1117" s="21">
        <v>2</v>
      </c>
      <c r="F1117" s="27" t="str">
        <f>Tabela12[[#This Row],[Régua]]&amp;" ("&amp;Tabela12[[#This Row],[Born]]&amp;")"</f>
        <v>XAX (2)</v>
      </c>
      <c r="G1117" s="27">
        <f>LEN(Tabela12[[#This Row],[Anilha]])</f>
        <v>7</v>
      </c>
      <c r="H1117" s="21">
        <f>VLOOKUP(Tabela12[[#This Row],[Tag Cabo]],BD!A:F,6,0)</f>
        <v>4</v>
      </c>
      <c r="I1117" s="27" t="s">
        <v>1707</v>
      </c>
      <c r="J1117" s="27" t="s">
        <v>1706</v>
      </c>
    </row>
    <row r="1118" spans="1:10" x14ac:dyDescent="0.25">
      <c r="A1118" s="21" t="s">
        <v>862</v>
      </c>
      <c r="B1118" s="391" t="str">
        <f>VLOOKUP(Tabela12[[#This Row],[Painel]],Tabela13[],2,0)</f>
        <v>8HV</v>
      </c>
      <c r="C1118" s="391" t="s">
        <v>1617</v>
      </c>
      <c r="D1118" s="21" t="s">
        <v>1894</v>
      </c>
      <c r="E1118" s="21">
        <v>2</v>
      </c>
      <c r="F1118" s="27" t="str">
        <f>Tabela12[[#This Row],[Régua]]&amp;" ("&amp;Tabela12[[#This Row],[Born]]&amp;")"</f>
        <v>7F1 (2)</v>
      </c>
      <c r="G1118" s="27">
        <f>LEN(Tabela12[[#This Row],[Anilha]])</f>
        <v>7</v>
      </c>
      <c r="H1118" s="21">
        <f>VLOOKUP(Tabela12[[#This Row],[Tag Cabo]],BD!A:F,6,0)</f>
        <v>4</v>
      </c>
      <c r="I1118" s="27" t="s">
        <v>1707</v>
      </c>
      <c r="J1118" s="27" t="s">
        <v>1706</v>
      </c>
    </row>
    <row r="1119" spans="1:10" x14ac:dyDescent="0.25">
      <c r="A1119" s="21" t="s">
        <v>862</v>
      </c>
      <c r="B1119" s="391" t="str">
        <f>VLOOKUP(Tabela12[[#This Row],[Painel]],Tabela13[],2,0)</f>
        <v>8HV</v>
      </c>
      <c r="C1119" s="391" t="s">
        <v>1617</v>
      </c>
      <c r="D1119" s="21" t="s">
        <v>1894</v>
      </c>
      <c r="E1119" s="21" t="s">
        <v>1890</v>
      </c>
      <c r="F1119" s="27" t="str">
        <f>Tabela12[[#This Row],[Régua]]&amp;" ("&amp;Tabela12[[#This Row],[Born]]&amp;")"</f>
        <v>7F1 (N)</v>
      </c>
      <c r="G1119" s="27">
        <f>LEN(Tabela12[[#This Row],[Anilha]])</f>
        <v>7</v>
      </c>
      <c r="H1119" s="21">
        <f>VLOOKUP(Tabela12[[#This Row],[Tag Cabo]],BD!A:F,6,0)</f>
        <v>4</v>
      </c>
      <c r="I1119" s="27" t="s">
        <v>1707</v>
      </c>
      <c r="J1119" s="27" t="s">
        <v>1706</v>
      </c>
    </row>
    <row r="1120" spans="1:10" x14ac:dyDescent="0.25">
      <c r="A1120" s="21" t="s">
        <v>862</v>
      </c>
      <c r="B1120" s="391" t="str">
        <f>VLOOKUP(Tabela12[[#This Row],[Painel]],Tabela13[],2,0)</f>
        <v>8HV</v>
      </c>
      <c r="C1120" s="391" t="s">
        <v>1566</v>
      </c>
      <c r="D1120" s="21" t="s">
        <v>1566</v>
      </c>
      <c r="E1120" s="21">
        <v>2</v>
      </c>
      <c r="F1120" s="27" t="str">
        <f>Tabela12[[#This Row],[Régua]]&amp;" ("&amp;Tabela12[[#This Row],[Born]]&amp;")"</f>
        <v>PSDC1 (2)</v>
      </c>
      <c r="G1120" s="27">
        <f>LEN(Tabela12[[#This Row],[Anilha]])</f>
        <v>9</v>
      </c>
      <c r="H1120" s="21">
        <f>VLOOKUP(Tabela12[[#This Row],[Tag Cabo]],BD!A:F,6,0)</f>
        <v>4</v>
      </c>
      <c r="I1120" s="27" t="s">
        <v>1707</v>
      </c>
      <c r="J1120" s="27" t="s">
        <v>1706</v>
      </c>
    </row>
    <row r="1121" spans="1:10" x14ac:dyDescent="0.25">
      <c r="A1121" s="21" t="s">
        <v>862</v>
      </c>
      <c r="B1121" s="391" t="str">
        <f>VLOOKUP(Tabela12[[#This Row],[Painel]],Tabela13[],2,0)</f>
        <v>8HV</v>
      </c>
      <c r="C1121" s="391" t="s">
        <v>1566</v>
      </c>
      <c r="D1121" s="21" t="s">
        <v>1566</v>
      </c>
      <c r="E1121" s="21">
        <v>4</v>
      </c>
      <c r="F1121" s="27" t="str">
        <f>Tabela12[[#This Row],[Régua]]&amp;" ("&amp;Tabela12[[#This Row],[Born]]&amp;")"</f>
        <v>PSDC1 (4)</v>
      </c>
      <c r="G1121" s="27">
        <f>LEN(Tabela12[[#This Row],[Anilha]])</f>
        <v>9</v>
      </c>
      <c r="H1121" s="21">
        <f>VLOOKUP(Tabela12[[#This Row],[Tag Cabo]],BD!A:F,6,0)</f>
        <v>4</v>
      </c>
      <c r="I1121" s="27" t="s">
        <v>1707</v>
      </c>
      <c r="J1121" s="27" t="s">
        <v>1706</v>
      </c>
    </row>
    <row r="1122" spans="1:10" x14ac:dyDescent="0.25">
      <c r="A1122" s="21" t="s">
        <v>864</v>
      </c>
      <c r="B1122" s="391" t="str">
        <f>VLOOKUP(Tabela12[[#This Row],[Painel]],Tabela13[],2,0)</f>
        <v>8HV</v>
      </c>
      <c r="C1122" s="391" t="s">
        <v>1617</v>
      </c>
      <c r="D1122" s="21" t="s">
        <v>1895</v>
      </c>
      <c r="E1122" s="21">
        <v>2</v>
      </c>
      <c r="F1122" s="27" t="str">
        <f>Tabela12[[#This Row],[Régua]]&amp;" ("&amp;Tabela12[[#This Row],[Born]]&amp;")"</f>
        <v>9F1 (2)</v>
      </c>
      <c r="G1122" s="27">
        <f>LEN(Tabela12[[#This Row],[Anilha]])</f>
        <v>7</v>
      </c>
      <c r="H1122" s="21">
        <f>VLOOKUP(Tabela12[[#This Row],[Tag Cabo]],BD!A:F,6,0)</f>
        <v>4</v>
      </c>
      <c r="I1122" s="27" t="s">
        <v>1707</v>
      </c>
      <c r="J1122" s="27" t="s">
        <v>1706</v>
      </c>
    </row>
    <row r="1123" spans="1:10" x14ac:dyDescent="0.25">
      <c r="A1123" s="21" t="s">
        <v>864</v>
      </c>
      <c r="B1123" s="391" t="str">
        <f>VLOOKUP(Tabela12[[#This Row],[Painel]],Tabela13[],2,0)</f>
        <v>8HV</v>
      </c>
      <c r="C1123" s="391" t="s">
        <v>1617</v>
      </c>
      <c r="D1123" s="21" t="s">
        <v>1895</v>
      </c>
      <c r="E1123" s="21">
        <v>4</v>
      </c>
      <c r="F1123" s="27" t="str">
        <f>Tabela12[[#This Row],[Régua]]&amp;" ("&amp;Tabela12[[#This Row],[Born]]&amp;")"</f>
        <v>9F1 (4)</v>
      </c>
      <c r="G1123" s="27">
        <f>LEN(Tabela12[[#This Row],[Anilha]])</f>
        <v>7</v>
      </c>
      <c r="H1123" s="21">
        <f>VLOOKUP(Tabela12[[#This Row],[Tag Cabo]],BD!A:F,6,0)</f>
        <v>4</v>
      </c>
      <c r="I1123" s="27" t="s">
        <v>1707</v>
      </c>
      <c r="J1123" s="27" t="s">
        <v>1706</v>
      </c>
    </row>
    <row r="1124" spans="1:10" x14ac:dyDescent="0.25">
      <c r="A1124" s="21" t="s">
        <v>864</v>
      </c>
      <c r="B1124" s="391" t="str">
        <f>VLOOKUP(Tabela12[[#This Row],[Painel]],Tabela13[],2,0)</f>
        <v>8HV</v>
      </c>
      <c r="C1124" s="391" t="s">
        <v>1578</v>
      </c>
      <c r="D1124" s="21" t="s">
        <v>1896</v>
      </c>
      <c r="E1124" s="21">
        <v>1</v>
      </c>
      <c r="F1124" s="27" t="str">
        <f>Tabela12[[#This Row],[Régua]]&amp;" ("&amp;Tabela12[[#This Row],[Born]]&amp;")"</f>
        <v>BNA (1)</v>
      </c>
      <c r="G1124" s="27">
        <f>LEN(Tabela12[[#This Row],[Anilha]])</f>
        <v>7</v>
      </c>
      <c r="H1124" s="21">
        <f>VLOOKUP(Tabela12[[#This Row],[Tag Cabo]],BD!A:F,6,0)</f>
        <v>4</v>
      </c>
      <c r="I1124" s="27" t="s">
        <v>1707</v>
      </c>
      <c r="J1124" s="27" t="s">
        <v>1706</v>
      </c>
    </row>
    <row r="1125" spans="1:10" x14ac:dyDescent="0.25">
      <c r="A1125" s="21" t="s">
        <v>864</v>
      </c>
      <c r="B1125" s="391" t="str">
        <f>VLOOKUP(Tabela12[[#This Row],[Painel]],Tabela13[],2,0)</f>
        <v>8HV</v>
      </c>
      <c r="C1125" s="391" t="s">
        <v>1578</v>
      </c>
      <c r="D1125" s="21" t="s">
        <v>1896</v>
      </c>
      <c r="E1125" s="21">
        <v>2</v>
      </c>
      <c r="F1125" s="27" t="str">
        <f>Tabela12[[#This Row],[Régua]]&amp;" ("&amp;Tabela12[[#This Row],[Born]]&amp;")"</f>
        <v>BNA (2)</v>
      </c>
      <c r="G1125" s="27">
        <f>LEN(Tabela12[[#This Row],[Anilha]])</f>
        <v>7</v>
      </c>
      <c r="H1125" s="21">
        <f>VLOOKUP(Tabela12[[#This Row],[Tag Cabo]],BD!A:F,6,0)</f>
        <v>4</v>
      </c>
      <c r="I1125" s="27" t="s">
        <v>1707</v>
      </c>
      <c r="J1125" s="27" t="s">
        <v>1706</v>
      </c>
    </row>
    <row r="1126" spans="1:10" x14ac:dyDescent="0.25">
      <c r="A1126" s="21" t="s">
        <v>866</v>
      </c>
      <c r="B1126" s="391" t="str">
        <f>VLOOKUP(Tabela12[[#This Row],[Painel]],Tabela13[],2,0)</f>
        <v>8HV</v>
      </c>
      <c r="C1126" s="391" t="s">
        <v>1617</v>
      </c>
      <c r="D1126" s="21" t="s">
        <v>1897</v>
      </c>
      <c r="E1126" s="21">
        <v>2</v>
      </c>
      <c r="F1126" s="27" t="str">
        <f>Tabela12[[#This Row],[Régua]]&amp;" ("&amp;Tabela12[[#This Row],[Born]]&amp;")"</f>
        <v>6F1 (2)</v>
      </c>
      <c r="G1126" s="27">
        <f>LEN(Tabela12[[#This Row],[Anilha]])</f>
        <v>7</v>
      </c>
      <c r="H1126" s="21">
        <f>VLOOKUP(Tabela12[[#This Row],[Tag Cabo]],BD!A:F,6,0)</f>
        <v>4</v>
      </c>
      <c r="I1126" s="27" t="s">
        <v>1707</v>
      </c>
      <c r="J1126" s="27" t="s">
        <v>1706</v>
      </c>
    </row>
    <row r="1127" spans="1:10" x14ac:dyDescent="0.25">
      <c r="A1127" s="21" t="s">
        <v>866</v>
      </c>
      <c r="B1127" s="391" t="str">
        <f>VLOOKUP(Tabela12[[#This Row],[Painel]],Tabela13[],2,0)</f>
        <v>8HV</v>
      </c>
      <c r="C1127" s="391" t="s">
        <v>1617</v>
      </c>
      <c r="D1127" s="21" t="s">
        <v>1897</v>
      </c>
      <c r="E1127" s="21" t="s">
        <v>1890</v>
      </c>
      <c r="F1127" s="27" t="str">
        <f>Tabela12[[#This Row],[Régua]]&amp;" ("&amp;Tabela12[[#This Row],[Born]]&amp;")"</f>
        <v>6F1 (N)</v>
      </c>
      <c r="G1127" s="27">
        <f>LEN(Tabela12[[#This Row],[Anilha]])</f>
        <v>7</v>
      </c>
      <c r="H1127" s="21">
        <f>VLOOKUP(Tabela12[[#This Row],[Tag Cabo]],BD!A:F,6,0)</f>
        <v>4</v>
      </c>
      <c r="I1127" s="27" t="s">
        <v>1707</v>
      </c>
      <c r="J1127" s="27" t="s">
        <v>1706</v>
      </c>
    </row>
    <row r="1128" spans="1:10" x14ac:dyDescent="0.25">
      <c r="A1128" s="21" t="s">
        <v>866</v>
      </c>
      <c r="B1128" s="391" t="str">
        <f>VLOOKUP(Tabela12[[#This Row],[Painel]],Tabela13[],2,0)</f>
        <v>8HV</v>
      </c>
      <c r="C1128" s="391" t="s">
        <v>1565</v>
      </c>
      <c r="D1128" s="21" t="s">
        <v>1898</v>
      </c>
      <c r="E1128" s="21">
        <v>1</v>
      </c>
      <c r="F1128" s="27" t="str">
        <f>Tabela12[[#This Row],[Régua]]&amp;" ("&amp;Tabela12[[#This Row],[Born]]&amp;")"</f>
        <v>X2 (1)</v>
      </c>
      <c r="G1128" s="27">
        <f>LEN(Tabela12[[#This Row],[Anilha]])</f>
        <v>6</v>
      </c>
      <c r="H1128" s="21">
        <f>VLOOKUP(Tabela12[[#This Row],[Tag Cabo]],BD!A:F,6,0)</f>
        <v>4</v>
      </c>
      <c r="I1128" s="27" t="s">
        <v>1707</v>
      </c>
      <c r="J1128" s="27" t="s">
        <v>1706</v>
      </c>
    </row>
    <row r="1129" spans="1:10" x14ac:dyDescent="0.25">
      <c r="A1129" s="21" t="s">
        <v>866</v>
      </c>
      <c r="B1129" s="391" t="str">
        <f>VLOOKUP(Tabela12[[#This Row],[Painel]],Tabela13[],2,0)</f>
        <v>8HV</v>
      </c>
      <c r="C1129" s="391" t="s">
        <v>1565</v>
      </c>
      <c r="D1129" s="21" t="s">
        <v>1898</v>
      </c>
      <c r="E1129" s="21">
        <v>2</v>
      </c>
      <c r="F1129" s="27" t="str">
        <f>Tabela12[[#This Row],[Régua]]&amp;" ("&amp;Tabela12[[#This Row],[Born]]&amp;")"</f>
        <v>X2 (2)</v>
      </c>
      <c r="G1129" s="27">
        <f>LEN(Tabela12[[#This Row],[Anilha]])</f>
        <v>6</v>
      </c>
      <c r="H1129" s="21">
        <f>VLOOKUP(Tabela12[[#This Row],[Tag Cabo]],BD!A:F,6,0)</f>
        <v>4</v>
      </c>
      <c r="I1129" s="27" t="s">
        <v>1707</v>
      </c>
      <c r="J1129" s="27" t="s">
        <v>1706</v>
      </c>
    </row>
    <row r="1130" spans="1:10" x14ac:dyDescent="0.25">
      <c r="A1130" s="21" t="s">
        <v>867</v>
      </c>
      <c r="B1130" s="391" t="str">
        <f>VLOOKUP(Tabela12[[#This Row],[Painel]],Tabela13[],2,0)</f>
        <v>8HV</v>
      </c>
      <c r="C1130" s="391" t="s">
        <v>1617</v>
      </c>
      <c r="D1130" s="21" t="s">
        <v>1899</v>
      </c>
      <c r="E1130" s="21">
        <v>2</v>
      </c>
      <c r="F1130" s="27" t="str">
        <f>Tabela12[[#This Row],[Régua]]&amp;" ("&amp;Tabela12[[#This Row],[Born]]&amp;")"</f>
        <v>5F2 (2)</v>
      </c>
      <c r="G1130" s="27">
        <f>LEN(Tabela12[[#This Row],[Anilha]])</f>
        <v>7</v>
      </c>
      <c r="H1130" s="21">
        <f>VLOOKUP(Tabela12[[#This Row],[Tag Cabo]],BD!A:F,6,0)</f>
        <v>4</v>
      </c>
      <c r="I1130" s="27" t="s">
        <v>1707</v>
      </c>
      <c r="J1130" s="27" t="s">
        <v>1706</v>
      </c>
    </row>
    <row r="1131" spans="1:10" x14ac:dyDescent="0.25">
      <c r="A1131" s="21" t="s">
        <v>867</v>
      </c>
      <c r="B1131" s="391" t="str">
        <f>VLOOKUP(Tabela12[[#This Row],[Painel]],Tabela13[],2,0)</f>
        <v>8HV</v>
      </c>
      <c r="C1131" s="391" t="s">
        <v>1617</v>
      </c>
      <c r="D1131" s="21" t="s">
        <v>1899</v>
      </c>
      <c r="E1131" s="21" t="s">
        <v>1890</v>
      </c>
      <c r="F1131" s="27" t="str">
        <f>Tabela12[[#This Row],[Régua]]&amp;" ("&amp;Tabela12[[#This Row],[Born]]&amp;")"</f>
        <v>5F2 (N)</v>
      </c>
      <c r="G1131" s="27">
        <f>LEN(Tabela12[[#This Row],[Anilha]])</f>
        <v>7</v>
      </c>
      <c r="H1131" s="21">
        <f>VLOOKUP(Tabela12[[#This Row],[Tag Cabo]],BD!A:F,6,0)</f>
        <v>4</v>
      </c>
      <c r="I1131" s="27" t="s">
        <v>1707</v>
      </c>
      <c r="J1131" s="27" t="s">
        <v>1706</v>
      </c>
    </row>
    <row r="1132" spans="1:10" x14ac:dyDescent="0.25">
      <c r="A1132" s="21" t="s">
        <v>867</v>
      </c>
      <c r="B1132" s="391" t="str">
        <f>VLOOKUP(Tabela12[[#This Row],[Painel]],Tabela13[],2,0)</f>
        <v>8HV</v>
      </c>
      <c r="C1132" s="391" t="s">
        <v>1618</v>
      </c>
      <c r="D1132" s="21" t="s">
        <v>1900</v>
      </c>
      <c r="E1132" s="21">
        <v>1</v>
      </c>
      <c r="F1132" s="27" t="str">
        <f>Tabela12[[#This Row],[Régua]]&amp;" ("&amp;Tabela12[[#This Row],[Born]]&amp;")"</f>
        <v>1XEAQ (1)</v>
      </c>
      <c r="G1132" s="27">
        <f>LEN(Tabela12[[#This Row],[Anilha]])</f>
        <v>9</v>
      </c>
      <c r="H1132" s="21">
        <f>VLOOKUP(Tabela12[[#This Row],[Tag Cabo]],BD!A:F,6,0)</f>
        <v>4</v>
      </c>
      <c r="I1132" s="27" t="s">
        <v>1707</v>
      </c>
      <c r="J1132" s="27" t="s">
        <v>1706</v>
      </c>
    </row>
    <row r="1133" spans="1:10" x14ac:dyDescent="0.25">
      <c r="A1133" s="21" t="s">
        <v>867</v>
      </c>
      <c r="B1133" s="391" t="str">
        <f>VLOOKUP(Tabela12[[#This Row],[Painel]],Tabela13[],2,0)</f>
        <v>8HV</v>
      </c>
      <c r="C1133" s="391" t="s">
        <v>1618</v>
      </c>
      <c r="D1133" s="21" t="s">
        <v>1900</v>
      </c>
      <c r="E1133" s="21">
        <v>2</v>
      </c>
      <c r="F1133" s="27" t="str">
        <f>Tabela12[[#This Row],[Régua]]&amp;" ("&amp;Tabela12[[#This Row],[Born]]&amp;")"</f>
        <v>1XEAQ (2)</v>
      </c>
      <c r="G1133" s="27">
        <f>LEN(Tabela12[[#This Row],[Anilha]])</f>
        <v>9</v>
      </c>
      <c r="H1133" s="21">
        <f>VLOOKUP(Tabela12[[#This Row],[Tag Cabo]],BD!A:F,6,0)</f>
        <v>4</v>
      </c>
      <c r="I1133" s="27" t="s">
        <v>1707</v>
      </c>
      <c r="J1133" s="27" t="s">
        <v>1706</v>
      </c>
    </row>
    <row r="1134" spans="1:10" x14ac:dyDescent="0.25">
      <c r="A1134" s="21" t="s">
        <v>870</v>
      </c>
      <c r="B1134" s="391" t="str">
        <f>VLOOKUP(Tabela12[[#This Row],[Painel]],Tabela13[],2,0)</f>
        <v>8HV</v>
      </c>
      <c r="C1134" s="391" t="s">
        <v>1565</v>
      </c>
      <c r="D1134" s="21" t="s">
        <v>1704</v>
      </c>
      <c r="E1134" s="214" t="s">
        <v>1901</v>
      </c>
      <c r="F1134" s="27" t="str">
        <f>Tabela12[[#This Row],[Régua]]&amp;" ("&amp;Tabela12[[#This Row],[Born]]&amp;")"</f>
        <v>X1 (+1)</v>
      </c>
      <c r="G1134" s="27">
        <f>LEN(Tabela12[[#This Row],[Anilha]])</f>
        <v>7</v>
      </c>
      <c r="H1134" s="21">
        <f>VLOOKUP(Tabela12[[#This Row],[Tag Cabo]],BD!A:F,6,0)</f>
        <v>4</v>
      </c>
      <c r="I1134" s="27" t="s">
        <v>1707</v>
      </c>
      <c r="J1134" s="27" t="s">
        <v>1706</v>
      </c>
    </row>
    <row r="1135" spans="1:10" x14ac:dyDescent="0.25">
      <c r="A1135" s="21" t="s">
        <v>870</v>
      </c>
      <c r="B1135" s="391" t="str">
        <f>VLOOKUP(Tabela12[[#This Row],[Painel]],Tabela13[],2,0)</f>
        <v>8HV</v>
      </c>
      <c r="C1135" s="391" t="s">
        <v>1565</v>
      </c>
      <c r="D1135" s="21" t="s">
        <v>1704</v>
      </c>
      <c r="E1135" s="21">
        <v>-1</v>
      </c>
      <c r="F1135" s="27" t="str">
        <f>Tabela12[[#This Row],[Régua]]&amp;" ("&amp;Tabela12[[#This Row],[Born]]&amp;")"</f>
        <v>X1 (-1)</v>
      </c>
      <c r="G1135" s="27">
        <f>LEN(Tabela12[[#This Row],[Anilha]])</f>
        <v>7</v>
      </c>
      <c r="H1135" s="21">
        <f>VLOOKUP(Tabela12[[#This Row],[Tag Cabo]],BD!A:F,6,0)</f>
        <v>4</v>
      </c>
      <c r="I1135" s="27" t="s">
        <v>1707</v>
      </c>
      <c r="J1135" s="27" t="s">
        <v>1706</v>
      </c>
    </row>
    <row r="1136" spans="1:10" x14ac:dyDescent="0.25">
      <c r="A1136" s="21" t="s">
        <v>870</v>
      </c>
      <c r="B1136" s="391" t="str">
        <f>VLOOKUP(Tabela12[[#This Row],[Painel]],Tabela13[],2,0)</f>
        <v>8HV</v>
      </c>
      <c r="C1136" s="391" t="s">
        <v>856</v>
      </c>
      <c r="D1136" s="214" t="s">
        <v>1888</v>
      </c>
      <c r="E1136" s="21" t="s">
        <v>1765</v>
      </c>
      <c r="F1136" s="27" t="str">
        <f>Tabela12[[#This Row],[Régua]]&amp;" ("&amp;Tabela12[[#This Row],[Born]]&amp;")"</f>
        <v>-X2 (5+)</v>
      </c>
      <c r="G1136" s="27">
        <f>LEN(Tabela12[[#This Row],[Anilha]])</f>
        <v>8</v>
      </c>
      <c r="H1136" s="21">
        <f>VLOOKUP(Tabela12[[#This Row],[Tag Cabo]],BD!A:F,6,0)</f>
        <v>4</v>
      </c>
      <c r="I1136" s="27" t="s">
        <v>1707</v>
      </c>
      <c r="J1136" s="27" t="s">
        <v>1706</v>
      </c>
    </row>
    <row r="1137" spans="1:10" x14ac:dyDescent="0.25">
      <c r="A1137" s="21" t="s">
        <v>870</v>
      </c>
      <c r="B1137" s="391" t="str">
        <f>VLOOKUP(Tabela12[[#This Row],[Painel]],Tabela13[],2,0)</f>
        <v>8HV</v>
      </c>
      <c r="C1137" s="391" t="s">
        <v>856</v>
      </c>
      <c r="D1137" s="214" t="s">
        <v>1888</v>
      </c>
      <c r="E1137" s="21" t="s">
        <v>1770</v>
      </c>
      <c r="F1137" s="27" t="str">
        <f>Tabela12[[#This Row],[Régua]]&amp;" ("&amp;Tabela12[[#This Row],[Born]]&amp;")"</f>
        <v>-X2 (7-)</v>
      </c>
      <c r="G1137" s="27">
        <f>LEN(Tabela12[[#This Row],[Anilha]])</f>
        <v>8</v>
      </c>
      <c r="H1137" s="21">
        <f>VLOOKUP(Tabela12[[#This Row],[Tag Cabo]],BD!A:F,6,0)</f>
        <v>4</v>
      </c>
      <c r="I1137" s="27" t="s">
        <v>1707</v>
      </c>
      <c r="J1137" s="27" t="s">
        <v>1706</v>
      </c>
    </row>
    <row r="1138" spans="1:10" x14ac:dyDescent="0.25">
      <c r="A1138" s="21" t="s">
        <v>871</v>
      </c>
      <c r="B1138" s="391" t="str">
        <f>VLOOKUP(Tabela12[[#This Row],[Painel]],Tabela13[],2,0)</f>
        <v>8HV</v>
      </c>
      <c r="C1138" s="391" t="s">
        <v>1565</v>
      </c>
      <c r="D1138" s="21" t="s">
        <v>1704</v>
      </c>
      <c r="E1138" s="214" t="s">
        <v>1902</v>
      </c>
      <c r="F1138" s="27" t="str">
        <f>Tabela12[[#This Row],[Régua]]&amp;" ("&amp;Tabela12[[#This Row],[Born]]&amp;")"</f>
        <v>X1 (+7)</v>
      </c>
      <c r="G1138" s="27">
        <f>LEN(Tabela12[[#This Row],[Anilha]])</f>
        <v>7</v>
      </c>
      <c r="H1138" s="21">
        <f>VLOOKUP(Tabela12[[#This Row],[Tag Cabo]],BD!A:F,6,0)</f>
        <v>4</v>
      </c>
      <c r="I1138" s="27" t="s">
        <v>1707</v>
      </c>
      <c r="J1138" s="27" t="s">
        <v>1706</v>
      </c>
    </row>
    <row r="1139" spans="1:10" x14ac:dyDescent="0.25">
      <c r="A1139" s="21" t="s">
        <v>871</v>
      </c>
      <c r="B1139" s="391" t="str">
        <f>VLOOKUP(Tabela12[[#This Row],[Painel]],Tabela13[],2,0)</f>
        <v>8HV</v>
      </c>
      <c r="C1139" s="391" t="s">
        <v>1565</v>
      </c>
      <c r="D1139" s="21" t="s">
        <v>1704</v>
      </c>
      <c r="E1139" s="21">
        <v>-7</v>
      </c>
      <c r="F1139" s="27" t="str">
        <f>Tabela12[[#This Row],[Régua]]&amp;" ("&amp;Tabela12[[#This Row],[Born]]&amp;")"</f>
        <v>X1 (-7)</v>
      </c>
      <c r="G1139" s="27">
        <f>LEN(Tabela12[[#This Row],[Anilha]])</f>
        <v>7</v>
      </c>
      <c r="H1139" s="21">
        <f>VLOOKUP(Tabela12[[#This Row],[Tag Cabo]],BD!A:F,6,0)</f>
        <v>4</v>
      </c>
      <c r="I1139" s="27" t="s">
        <v>1707</v>
      </c>
      <c r="J1139" s="27" t="s">
        <v>1706</v>
      </c>
    </row>
    <row r="1140" spans="1:10" x14ac:dyDescent="0.25">
      <c r="A1140" s="21" t="s">
        <v>871</v>
      </c>
      <c r="B1140" s="391" t="str">
        <f>VLOOKUP(Tabela12[[#This Row],[Painel]],Tabela13[],2,0)</f>
        <v>8HV</v>
      </c>
      <c r="C1140" s="391" t="s">
        <v>1566</v>
      </c>
      <c r="D1140" s="21" t="s">
        <v>1903</v>
      </c>
      <c r="E1140" s="21" t="s">
        <v>1742</v>
      </c>
      <c r="F1140" s="27" t="str">
        <f>Tabela12[[#This Row],[Régua]]&amp;" ("&amp;Tabela12[[#This Row],[Born]]&amp;")"</f>
        <v>BNP (1+)</v>
      </c>
      <c r="G1140" s="27">
        <f>LEN(Tabela12[[#This Row],[Anilha]])</f>
        <v>8</v>
      </c>
      <c r="H1140" s="21">
        <f>VLOOKUP(Tabela12[[#This Row],[Tag Cabo]],BD!A:F,6,0)</f>
        <v>4</v>
      </c>
      <c r="I1140" s="27" t="s">
        <v>1707</v>
      </c>
      <c r="J1140" s="27" t="s">
        <v>1706</v>
      </c>
    </row>
    <row r="1141" spans="1:10" x14ac:dyDescent="0.25">
      <c r="A1141" s="21" t="s">
        <v>871</v>
      </c>
      <c r="B1141" s="391" t="str">
        <f>VLOOKUP(Tabela12[[#This Row],[Painel]],Tabela13[],2,0)</f>
        <v>8HV</v>
      </c>
      <c r="C1141" s="391" t="s">
        <v>1566</v>
      </c>
      <c r="D1141" s="21" t="s">
        <v>1903</v>
      </c>
      <c r="E1141" s="21" t="s">
        <v>1730</v>
      </c>
      <c r="F1141" s="27" t="str">
        <f>Tabela12[[#This Row],[Régua]]&amp;" ("&amp;Tabela12[[#This Row],[Born]]&amp;")"</f>
        <v>BNP (2-)</v>
      </c>
      <c r="G1141" s="27">
        <f>LEN(Tabela12[[#This Row],[Anilha]])</f>
        <v>8</v>
      </c>
      <c r="H1141" s="21">
        <f>VLOOKUP(Tabela12[[#This Row],[Tag Cabo]],BD!A:F,6,0)</f>
        <v>4</v>
      </c>
      <c r="I1141" s="27" t="s">
        <v>1707</v>
      </c>
      <c r="J1141" s="27" t="s">
        <v>1706</v>
      </c>
    </row>
    <row r="1142" spans="1:10" x14ac:dyDescent="0.25">
      <c r="A1142" s="21" t="s">
        <v>872</v>
      </c>
      <c r="B1142" s="391" t="str">
        <f>VLOOKUP(Tabela12[[#This Row],[Painel]],Tabela13[],2,0)</f>
        <v>8HV</v>
      </c>
      <c r="C1142" s="391" t="s">
        <v>1565</v>
      </c>
      <c r="D1142" s="21" t="s">
        <v>1704</v>
      </c>
      <c r="E1142" s="214" t="s">
        <v>1904</v>
      </c>
      <c r="F1142" s="27" t="str">
        <f>Tabela12[[#This Row],[Régua]]&amp;" ("&amp;Tabela12[[#This Row],[Born]]&amp;")"</f>
        <v>X1 (+6)</v>
      </c>
      <c r="G1142" s="27">
        <f>LEN(Tabela12[[#This Row],[Anilha]])</f>
        <v>7</v>
      </c>
      <c r="H1142" s="21">
        <f>VLOOKUP(Tabela12[[#This Row],[Tag Cabo]],BD!A:F,6,0)</f>
        <v>4</v>
      </c>
      <c r="I1142" s="27" t="s">
        <v>1707</v>
      </c>
      <c r="J1142" s="27" t="s">
        <v>1706</v>
      </c>
    </row>
    <row r="1143" spans="1:10" x14ac:dyDescent="0.25">
      <c r="A1143" s="21" t="s">
        <v>872</v>
      </c>
      <c r="B1143" s="391" t="str">
        <f>VLOOKUP(Tabela12[[#This Row],[Painel]],Tabela13[],2,0)</f>
        <v>8HV</v>
      </c>
      <c r="C1143" s="391" t="s">
        <v>1565</v>
      </c>
      <c r="D1143" s="21" t="s">
        <v>1704</v>
      </c>
      <c r="E1143" s="21">
        <v>-6</v>
      </c>
      <c r="F1143" s="27" t="str">
        <f>Tabela12[[#This Row],[Régua]]&amp;" ("&amp;Tabela12[[#This Row],[Born]]&amp;")"</f>
        <v>X1 (-6)</v>
      </c>
      <c r="G1143" s="27">
        <f>LEN(Tabela12[[#This Row],[Anilha]])</f>
        <v>7</v>
      </c>
      <c r="H1143" s="21">
        <f>VLOOKUP(Tabela12[[#This Row],[Tag Cabo]],BD!A:F,6,0)</f>
        <v>4</v>
      </c>
      <c r="I1143" s="27" t="s">
        <v>1707</v>
      </c>
      <c r="J1143" s="27" t="s">
        <v>1706</v>
      </c>
    </row>
    <row r="1144" spans="1:10" x14ac:dyDescent="0.25">
      <c r="A1144" s="21" t="s">
        <v>872</v>
      </c>
      <c r="B1144" s="391" t="str">
        <f>VLOOKUP(Tabela12[[#This Row],[Painel]],Tabela13[],2,0)</f>
        <v>8HV</v>
      </c>
      <c r="C1144" s="391" t="s">
        <v>1578</v>
      </c>
      <c r="D1144" s="21" t="s">
        <v>1903</v>
      </c>
      <c r="E1144" s="21" t="s">
        <v>1742</v>
      </c>
      <c r="F1144" s="27" t="str">
        <f>Tabela12[[#This Row],[Régua]]&amp;" ("&amp;Tabela12[[#This Row],[Born]]&amp;")"</f>
        <v>BNP (1+)</v>
      </c>
      <c r="G1144" s="27">
        <f>LEN(Tabela12[[#This Row],[Anilha]])</f>
        <v>8</v>
      </c>
      <c r="H1144" s="21">
        <f>VLOOKUP(Tabela12[[#This Row],[Tag Cabo]],BD!A:F,6,0)</f>
        <v>4</v>
      </c>
      <c r="I1144" s="27" t="s">
        <v>1707</v>
      </c>
      <c r="J1144" s="27" t="s">
        <v>1706</v>
      </c>
    </row>
    <row r="1145" spans="1:10" x14ac:dyDescent="0.25">
      <c r="A1145" s="21" t="s">
        <v>872</v>
      </c>
      <c r="B1145" s="391" t="str">
        <f>VLOOKUP(Tabela12[[#This Row],[Painel]],Tabela13[],2,0)</f>
        <v>8HV</v>
      </c>
      <c r="C1145" s="391" t="s">
        <v>1578</v>
      </c>
      <c r="D1145" s="21" t="s">
        <v>1903</v>
      </c>
      <c r="E1145" s="21" t="s">
        <v>1730</v>
      </c>
      <c r="F1145" s="27" t="str">
        <f>Tabela12[[#This Row],[Régua]]&amp;" ("&amp;Tabela12[[#This Row],[Born]]&amp;")"</f>
        <v>BNP (2-)</v>
      </c>
      <c r="G1145" s="27">
        <f>LEN(Tabela12[[#This Row],[Anilha]])</f>
        <v>8</v>
      </c>
      <c r="H1145" s="21">
        <f>VLOOKUP(Tabela12[[#This Row],[Tag Cabo]],BD!A:F,6,0)</f>
        <v>4</v>
      </c>
      <c r="I1145" s="27" t="s">
        <v>1707</v>
      </c>
      <c r="J1145" s="27" t="s">
        <v>1706</v>
      </c>
    </row>
    <row r="1146" spans="1:10" x14ac:dyDescent="0.25">
      <c r="A1146" s="21" t="s">
        <v>874</v>
      </c>
      <c r="B1146" s="391" t="str">
        <f>VLOOKUP(Tabela12[[#This Row],[Painel]],Tabela13[],2,0)</f>
        <v>8HV</v>
      </c>
      <c r="C1146" s="391" t="s">
        <v>1565</v>
      </c>
      <c r="D1146" s="21" t="s">
        <v>1704</v>
      </c>
      <c r="E1146" s="21">
        <v>3</v>
      </c>
      <c r="F1146" s="27" t="str">
        <f>Tabela12[[#This Row],[Régua]]&amp;" ("&amp;Tabela12[[#This Row],[Born]]&amp;")"</f>
        <v>X1 (3)</v>
      </c>
      <c r="G1146" s="27">
        <f>LEN(Tabela12[[#This Row],[Anilha]])</f>
        <v>6</v>
      </c>
      <c r="H1146" s="21">
        <f>VLOOKUP(Tabela12[[#This Row],[Tag Cabo]],BD!A:F,6,0)</f>
        <v>4</v>
      </c>
      <c r="I1146" s="27" t="s">
        <v>1707</v>
      </c>
      <c r="J1146" s="27" t="s">
        <v>1706</v>
      </c>
    </row>
    <row r="1147" spans="1:10" x14ac:dyDescent="0.25">
      <c r="A1147" s="21" t="s">
        <v>874</v>
      </c>
      <c r="B1147" s="391" t="str">
        <f>VLOOKUP(Tabela12[[#This Row],[Painel]],Tabela13[],2,0)</f>
        <v>8HV</v>
      </c>
      <c r="C1147" s="391" t="s">
        <v>1565</v>
      </c>
      <c r="D1147" s="21" t="s">
        <v>1704</v>
      </c>
      <c r="E1147" s="21">
        <v>-3</v>
      </c>
      <c r="F1147" s="27" t="str">
        <f>Tabela12[[#This Row],[Régua]]&amp;" ("&amp;Tabela12[[#This Row],[Born]]&amp;")"</f>
        <v>X1 (-3)</v>
      </c>
      <c r="G1147" s="27">
        <f>LEN(Tabela12[[#This Row],[Anilha]])</f>
        <v>7</v>
      </c>
      <c r="H1147" s="21">
        <f>VLOOKUP(Tabela12[[#This Row],[Tag Cabo]],BD!A:F,6,0)</f>
        <v>4</v>
      </c>
      <c r="I1147" s="27" t="s">
        <v>1707</v>
      </c>
      <c r="J1147" s="27" t="s">
        <v>1706</v>
      </c>
    </row>
    <row r="1148" spans="1:10" x14ac:dyDescent="0.25">
      <c r="A1148" s="21" t="s">
        <v>874</v>
      </c>
      <c r="B1148" s="391" t="str">
        <f>VLOOKUP(Tabela12[[#This Row],[Painel]],Tabela13[],2,0)</f>
        <v>8HV</v>
      </c>
      <c r="C1148" s="391" t="s">
        <v>1618</v>
      </c>
      <c r="D1148" s="21" t="s">
        <v>1905</v>
      </c>
      <c r="E1148" s="21" t="s">
        <v>1742</v>
      </c>
      <c r="F1148" s="27" t="str">
        <f>Tabela12[[#This Row],[Régua]]&amp;" ("&amp;Tabela12[[#This Row],[Born]]&amp;")"</f>
        <v>1XECC (1+)</v>
      </c>
      <c r="G1148" s="27">
        <f>LEN(Tabela12[[#This Row],[Anilha]])</f>
        <v>10</v>
      </c>
      <c r="H1148" s="21">
        <f>VLOOKUP(Tabela12[[#This Row],[Tag Cabo]],BD!A:F,6,0)</f>
        <v>4</v>
      </c>
      <c r="I1148" s="27" t="s">
        <v>1707</v>
      </c>
      <c r="J1148" s="27" t="s">
        <v>1706</v>
      </c>
    </row>
    <row r="1149" spans="1:10" x14ac:dyDescent="0.25">
      <c r="A1149" s="21" t="s">
        <v>874</v>
      </c>
      <c r="B1149" s="391" t="str">
        <f>VLOOKUP(Tabela12[[#This Row],[Painel]],Tabela13[],2,0)</f>
        <v>8HV</v>
      </c>
      <c r="C1149" s="391" t="s">
        <v>1618</v>
      </c>
      <c r="D1149" s="21" t="s">
        <v>1905</v>
      </c>
      <c r="E1149" s="21" t="s">
        <v>1730</v>
      </c>
      <c r="F1149" s="27" t="str">
        <f>Tabela12[[#This Row],[Régua]]&amp;" ("&amp;Tabela12[[#This Row],[Born]]&amp;")"</f>
        <v>1XECC (2-)</v>
      </c>
      <c r="G1149" s="27">
        <f>LEN(Tabela12[[#This Row],[Anilha]])</f>
        <v>10</v>
      </c>
      <c r="H1149" s="21">
        <f>VLOOKUP(Tabela12[[#This Row],[Tag Cabo]],BD!A:F,6,0)</f>
        <v>4</v>
      </c>
      <c r="I1149" s="27" t="s">
        <v>1707</v>
      </c>
      <c r="J1149" s="27" t="s">
        <v>1706</v>
      </c>
    </row>
    <row r="1150" spans="1:10" x14ac:dyDescent="0.25">
      <c r="A1150" s="21" t="s">
        <v>889</v>
      </c>
      <c r="B1150" s="391" t="str">
        <f>VLOOKUP(Tabela12[[#This Row],[Painel]],Tabela13[],2,0)</f>
        <v>8HV</v>
      </c>
      <c r="C1150" s="391" t="s">
        <v>1617</v>
      </c>
      <c r="D1150" s="21" t="s">
        <v>1906</v>
      </c>
      <c r="E1150" s="21">
        <v>1</v>
      </c>
      <c r="F1150" s="27" t="str">
        <f>Tabela12[[#This Row],[Régua]]&amp;" ("&amp;Tabela12[[#This Row],[Born]]&amp;")"</f>
        <v>2Q1 (1)</v>
      </c>
      <c r="G1150" s="27">
        <f>LEN(Tabela12[[#This Row],[Anilha]])</f>
        <v>7</v>
      </c>
      <c r="H1150" s="21">
        <f>VLOOKUP(Tabela12[[#This Row],[Tag Cabo]],BD!A:F,6,0)</f>
        <v>16</v>
      </c>
      <c r="I1150" s="27" t="s">
        <v>1709</v>
      </c>
      <c r="J1150" s="27" t="s">
        <v>1706</v>
      </c>
    </row>
    <row r="1151" spans="1:10" x14ac:dyDescent="0.25">
      <c r="A1151" s="21" t="s">
        <v>889</v>
      </c>
      <c r="B1151" s="391" t="str">
        <f>VLOOKUP(Tabela12[[#This Row],[Painel]],Tabela13[],2,0)</f>
        <v>8HV</v>
      </c>
      <c r="C1151" s="391" t="s">
        <v>1617</v>
      </c>
      <c r="D1151" s="21" t="s">
        <v>1906</v>
      </c>
      <c r="E1151" s="21">
        <v>3</v>
      </c>
      <c r="F1151" s="27" t="str">
        <f>Tabela12[[#This Row],[Régua]]&amp;" ("&amp;Tabela12[[#This Row],[Born]]&amp;")"</f>
        <v>2Q1 (3)</v>
      </c>
      <c r="G1151" s="27">
        <f>LEN(Tabela12[[#This Row],[Anilha]])</f>
        <v>7</v>
      </c>
      <c r="H1151" s="21">
        <f>VLOOKUP(Tabela12[[#This Row],[Tag Cabo]],BD!A:F,6,0)</f>
        <v>16</v>
      </c>
      <c r="I1151" s="27" t="s">
        <v>1709</v>
      </c>
      <c r="J1151" s="27" t="s">
        <v>1706</v>
      </c>
    </row>
    <row r="1152" spans="1:10" x14ac:dyDescent="0.25">
      <c r="A1152" s="21" t="s">
        <v>889</v>
      </c>
      <c r="B1152" s="391" t="str">
        <f>VLOOKUP(Tabela12[[#This Row],[Painel]],Tabela13[],2,0)</f>
        <v>8HV</v>
      </c>
      <c r="C1152" s="391" t="s">
        <v>1617</v>
      </c>
      <c r="D1152" s="21" t="s">
        <v>1906</v>
      </c>
      <c r="E1152" s="21">
        <v>5</v>
      </c>
      <c r="F1152" s="27" t="str">
        <f>Tabela12[[#This Row],[Régua]]&amp;" ("&amp;Tabela12[[#This Row],[Born]]&amp;")"</f>
        <v>2Q1 (5)</v>
      </c>
      <c r="G1152" s="27">
        <f>LEN(Tabela12[[#This Row],[Anilha]])</f>
        <v>7</v>
      </c>
      <c r="H1152" s="21">
        <f>VLOOKUP(Tabela12[[#This Row],[Tag Cabo]],BD!A:F,6,0)</f>
        <v>16</v>
      </c>
      <c r="I1152" s="27" t="s">
        <v>1709</v>
      </c>
      <c r="J1152" s="27" t="s">
        <v>1706</v>
      </c>
    </row>
    <row r="1153" spans="1:10" x14ac:dyDescent="0.25">
      <c r="A1153" s="21" t="s">
        <v>889</v>
      </c>
      <c r="B1153" s="391" t="str">
        <f>VLOOKUP(Tabela12[[#This Row],[Painel]],Tabela13[],2,0)</f>
        <v>8HV</v>
      </c>
      <c r="C1153" s="391" t="s">
        <v>1617</v>
      </c>
      <c r="D1153" s="21" t="s">
        <v>1906</v>
      </c>
      <c r="E1153" s="21" t="s">
        <v>1890</v>
      </c>
      <c r="F1153" s="27" t="str">
        <f>Tabela12[[#This Row],[Régua]]&amp;" ("&amp;Tabela12[[#This Row],[Born]]&amp;")"</f>
        <v>2Q1 (N)</v>
      </c>
      <c r="G1153" s="27">
        <f>LEN(Tabela12[[#This Row],[Anilha]])</f>
        <v>7</v>
      </c>
      <c r="H1153" s="21">
        <f>VLOOKUP(Tabela12[[#This Row],[Tag Cabo]],BD!A:F,6,0)</f>
        <v>16</v>
      </c>
      <c r="I1153" s="27" t="s">
        <v>1709</v>
      </c>
      <c r="J1153" s="27" t="s">
        <v>1706</v>
      </c>
    </row>
    <row r="1154" spans="1:10" x14ac:dyDescent="0.25">
      <c r="A1154" s="21" t="s">
        <v>889</v>
      </c>
      <c r="B1154" s="391" t="str">
        <f>VLOOKUP(Tabela12[[#This Row],[Painel]],Tabela13[],2,0)</f>
        <v>8HV</v>
      </c>
      <c r="C1154" s="391" t="s">
        <v>1620</v>
      </c>
      <c r="D1154" s="21" t="s">
        <v>1620</v>
      </c>
      <c r="E1154" s="21" t="s">
        <v>1704</v>
      </c>
      <c r="F1154" s="27" t="str">
        <f>Tabela12[[#This Row],[Régua]]&amp;" ("&amp;Tabela12[[#This Row],[Born]]&amp;")"</f>
        <v>TRN-01 (X1)</v>
      </c>
      <c r="G1154" s="27">
        <f>LEN(Tabela12[[#This Row],[Anilha]])</f>
        <v>11</v>
      </c>
      <c r="H1154" s="21">
        <f>VLOOKUP(Tabela12[[#This Row],[Tag Cabo]],BD!A:F,6,0)</f>
        <v>16</v>
      </c>
      <c r="I1154" s="27" t="s">
        <v>1709</v>
      </c>
      <c r="J1154" s="27" t="s">
        <v>1706</v>
      </c>
    </row>
    <row r="1155" spans="1:10" x14ac:dyDescent="0.25">
      <c r="A1155" s="21" t="s">
        <v>889</v>
      </c>
      <c r="B1155" s="391" t="str">
        <f>VLOOKUP(Tabela12[[#This Row],[Painel]],Tabela13[],2,0)</f>
        <v>8HV</v>
      </c>
      <c r="C1155" s="391" t="s">
        <v>1620</v>
      </c>
      <c r="D1155" s="21" t="s">
        <v>1620</v>
      </c>
      <c r="E1155" s="21" t="s">
        <v>1898</v>
      </c>
      <c r="F1155" s="27" t="str">
        <f>Tabela12[[#This Row],[Régua]]&amp;" ("&amp;Tabela12[[#This Row],[Born]]&amp;")"</f>
        <v>TRN-01 (X2)</v>
      </c>
      <c r="G1155" s="27">
        <f>LEN(Tabela12[[#This Row],[Anilha]])</f>
        <v>11</v>
      </c>
      <c r="H1155" s="21">
        <f>VLOOKUP(Tabela12[[#This Row],[Tag Cabo]],BD!A:F,6,0)</f>
        <v>16</v>
      </c>
      <c r="I1155" s="27" t="s">
        <v>1709</v>
      </c>
      <c r="J1155" s="27" t="s">
        <v>1706</v>
      </c>
    </row>
    <row r="1156" spans="1:10" x14ac:dyDescent="0.25">
      <c r="A1156" s="21" t="s">
        <v>889</v>
      </c>
      <c r="B1156" s="391" t="str">
        <f>VLOOKUP(Tabela12[[#This Row],[Painel]],Tabela13[],2,0)</f>
        <v>8HV</v>
      </c>
      <c r="C1156" s="391" t="s">
        <v>1620</v>
      </c>
      <c r="D1156" s="21" t="s">
        <v>1620</v>
      </c>
      <c r="E1156" s="21" t="s">
        <v>1907</v>
      </c>
      <c r="F1156" s="27" t="str">
        <f>Tabela12[[#This Row],[Régua]]&amp;" ("&amp;Tabela12[[#This Row],[Born]]&amp;")"</f>
        <v>TRN-01 (X3)</v>
      </c>
      <c r="G1156" s="27">
        <f>LEN(Tabela12[[#This Row],[Anilha]])</f>
        <v>11</v>
      </c>
      <c r="H1156" s="21">
        <f>VLOOKUP(Tabela12[[#This Row],[Tag Cabo]],BD!A:F,6,0)</f>
        <v>16</v>
      </c>
      <c r="I1156" s="27" t="s">
        <v>1709</v>
      </c>
      <c r="J1156" s="27" t="s">
        <v>1706</v>
      </c>
    </row>
    <row r="1157" spans="1:10" x14ac:dyDescent="0.25">
      <c r="A1157" s="21" t="s">
        <v>889</v>
      </c>
      <c r="B1157" s="391" t="str">
        <f>VLOOKUP(Tabela12[[#This Row],[Painel]],Tabela13[],2,0)</f>
        <v>8HV</v>
      </c>
      <c r="C1157" s="391" t="s">
        <v>1620</v>
      </c>
      <c r="D1157" s="21" t="s">
        <v>1620</v>
      </c>
      <c r="E1157" s="21" t="s">
        <v>1908</v>
      </c>
      <c r="F1157" s="27" t="str">
        <f>Tabela12[[#This Row],[Régua]]&amp;" ("&amp;Tabela12[[#This Row],[Born]]&amp;")"</f>
        <v>TRN-01 (X0)</v>
      </c>
      <c r="G1157" s="27">
        <f>LEN(Tabela12[[#This Row],[Anilha]])</f>
        <v>11</v>
      </c>
      <c r="H1157" s="21">
        <f>VLOOKUP(Tabela12[[#This Row],[Tag Cabo]],BD!A:F,6,0)</f>
        <v>16</v>
      </c>
      <c r="I1157" s="27" t="s">
        <v>1709</v>
      </c>
      <c r="J1157" s="27" t="s">
        <v>1706</v>
      </c>
    </row>
    <row r="1158" spans="1:10" x14ac:dyDescent="0.25">
      <c r="A1158" s="216" t="s">
        <v>930</v>
      </c>
      <c r="B1158" s="45" t="str">
        <f>VLOOKUP(Tabela12[[#This Row],[Painel]],Tabela13[],2,0)</f>
        <v>7HV</v>
      </c>
      <c r="C1158" s="45" t="s">
        <v>937</v>
      </c>
      <c r="D1158" s="21" t="s">
        <v>1909</v>
      </c>
      <c r="E1158" s="21">
        <v>10</v>
      </c>
      <c r="F1158" s="27" t="str">
        <f>Tabela12[[#This Row],[Régua]]&amp;" ("&amp;Tabela12[[#This Row],[Born]]&amp;")"</f>
        <v>XI 1 (10)</v>
      </c>
      <c r="G1158" s="27">
        <f>LEN(Tabela12[[#This Row],[Anilha]])</f>
        <v>9</v>
      </c>
      <c r="H1158" s="21">
        <f>VLOOKUP(Tabela12[[#This Row],[Tag Cabo]],BD!A:F,6,0)</f>
        <v>2.5</v>
      </c>
      <c r="I1158" s="27" t="s">
        <v>1707</v>
      </c>
      <c r="J1158" s="27" t="s">
        <v>1706</v>
      </c>
    </row>
    <row r="1159" spans="1:10" x14ac:dyDescent="0.25">
      <c r="A1159" s="216" t="s">
        <v>930</v>
      </c>
      <c r="B1159" s="45" t="str">
        <f>VLOOKUP(Tabela12[[#This Row],[Painel]],Tabela13[],2,0)</f>
        <v>7HV</v>
      </c>
      <c r="C1159" s="45" t="s">
        <v>937</v>
      </c>
      <c r="D1159" s="21" t="s">
        <v>1909</v>
      </c>
      <c r="E1159" s="21">
        <v>11</v>
      </c>
      <c r="F1159" s="27" t="str">
        <f>Tabela12[[#This Row],[Régua]]&amp;" ("&amp;Tabela12[[#This Row],[Born]]&amp;")"</f>
        <v>XI 1 (11)</v>
      </c>
      <c r="G1159" s="27">
        <f>LEN(Tabela12[[#This Row],[Anilha]])</f>
        <v>9</v>
      </c>
      <c r="H1159" s="21">
        <f>VLOOKUP(Tabela12[[#This Row],[Tag Cabo]],BD!A:F,6,0)</f>
        <v>2.5</v>
      </c>
      <c r="I1159" s="27" t="s">
        <v>1707</v>
      </c>
      <c r="J1159" s="27" t="s">
        <v>1706</v>
      </c>
    </row>
    <row r="1160" spans="1:10" x14ac:dyDescent="0.25">
      <c r="A1160" s="216" t="s">
        <v>930</v>
      </c>
      <c r="B1160" s="45" t="str">
        <f>VLOOKUP(Tabela12[[#This Row],[Painel]],Tabela13[],2,0)</f>
        <v>7HV</v>
      </c>
      <c r="C1160" s="45" t="s">
        <v>937</v>
      </c>
      <c r="D1160" s="21" t="s">
        <v>1909</v>
      </c>
      <c r="E1160" s="21">
        <v>12</v>
      </c>
      <c r="F1160" s="27" t="str">
        <f>Tabela12[[#This Row],[Régua]]&amp;" ("&amp;Tabela12[[#This Row],[Born]]&amp;")"</f>
        <v>XI 1 (12)</v>
      </c>
      <c r="G1160" s="27">
        <f>LEN(Tabela12[[#This Row],[Anilha]])</f>
        <v>9</v>
      </c>
      <c r="H1160" s="21">
        <f>VLOOKUP(Tabela12[[#This Row],[Tag Cabo]],BD!A:F,6,0)</f>
        <v>2.5</v>
      </c>
      <c r="I1160" s="27" t="s">
        <v>1707</v>
      </c>
      <c r="J1160" s="27" t="s">
        <v>1706</v>
      </c>
    </row>
    <row r="1161" spans="1:10" x14ac:dyDescent="0.25">
      <c r="A1161" s="216" t="s">
        <v>930</v>
      </c>
      <c r="B1161" s="45" t="str">
        <f>VLOOKUP(Tabela12[[#This Row],[Painel]],Tabela13[],2,0)</f>
        <v>7HV</v>
      </c>
      <c r="C1161" s="45" t="s">
        <v>937</v>
      </c>
      <c r="D1161" s="21" t="s">
        <v>1909</v>
      </c>
      <c r="E1161" s="21">
        <v>13</v>
      </c>
      <c r="F1161" s="27" t="str">
        <f>Tabela12[[#This Row],[Régua]]&amp;" ("&amp;Tabela12[[#This Row],[Born]]&amp;")"</f>
        <v>XI 1 (13)</v>
      </c>
      <c r="G1161" s="27">
        <f>LEN(Tabela12[[#This Row],[Anilha]])</f>
        <v>9</v>
      </c>
      <c r="H1161" s="21">
        <f>VLOOKUP(Tabela12[[#This Row],[Tag Cabo]],BD!A:F,6,0)</f>
        <v>2.5</v>
      </c>
      <c r="I1161" s="27" t="s">
        <v>1707</v>
      </c>
      <c r="J1161" s="27" t="s">
        <v>1706</v>
      </c>
    </row>
    <row r="1162" spans="1:10" x14ac:dyDescent="0.25">
      <c r="A1162" s="216" t="s">
        <v>930</v>
      </c>
      <c r="B1162" s="45" t="str">
        <f>VLOOKUP(Tabela12[[#This Row],[Painel]],Tabela13[],2,0)</f>
        <v>8HV</v>
      </c>
      <c r="C1162" s="45" t="s">
        <v>856</v>
      </c>
      <c r="D1162" s="21" t="s">
        <v>1910</v>
      </c>
      <c r="E1162" s="21">
        <v>5</v>
      </c>
      <c r="F1162" s="27" t="str">
        <f>Tabela12[[#This Row],[Régua]]&amp;" ("&amp;Tabela12[[#This Row],[Born]]&amp;")"</f>
        <v>XC30 (5)</v>
      </c>
      <c r="G1162" s="27">
        <f>LEN(Tabela12[[#This Row],[Anilha]])</f>
        <v>8</v>
      </c>
      <c r="H1162" s="21">
        <f>VLOOKUP(Tabela12[[#This Row],[Tag Cabo]],BD!A:F,6,0)</f>
        <v>2.5</v>
      </c>
      <c r="I1162" s="27" t="s">
        <v>1707</v>
      </c>
      <c r="J1162" s="27" t="s">
        <v>1706</v>
      </c>
    </row>
    <row r="1163" spans="1:10" x14ac:dyDescent="0.25">
      <c r="A1163" s="216" t="s">
        <v>930</v>
      </c>
      <c r="B1163" s="45" t="str">
        <f>VLOOKUP(Tabela12[[#This Row],[Painel]],Tabela13[],2,0)</f>
        <v>8HV</v>
      </c>
      <c r="C1163" s="45" t="s">
        <v>856</v>
      </c>
      <c r="D1163" s="21" t="s">
        <v>1910</v>
      </c>
      <c r="E1163" s="21">
        <v>17</v>
      </c>
      <c r="F1163" s="27" t="str">
        <f>Tabela12[[#This Row],[Régua]]&amp;" ("&amp;Tabela12[[#This Row],[Born]]&amp;")"</f>
        <v>XC30 (17)</v>
      </c>
      <c r="G1163" s="27">
        <f>LEN(Tabela12[[#This Row],[Anilha]])</f>
        <v>9</v>
      </c>
      <c r="H1163" s="21">
        <f>VLOOKUP(Tabela12[[#This Row],[Tag Cabo]],BD!A:F,6,0)</f>
        <v>2.5</v>
      </c>
      <c r="I1163" s="27" t="s">
        <v>1707</v>
      </c>
      <c r="J1163" s="27" t="s">
        <v>1706</v>
      </c>
    </row>
    <row r="1164" spans="1:10" x14ac:dyDescent="0.25">
      <c r="A1164" s="216" t="s">
        <v>930</v>
      </c>
      <c r="B1164" s="45" t="str">
        <f>VLOOKUP(Tabela12[[#This Row],[Painel]],Tabela13[],2,0)</f>
        <v>8HV</v>
      </c>
      <c r="C1164" s="45" t="s">
        <v>856</v>
      </c>
      <c r="D1164" s="21" t="s">
        <v>1910</v>
      </c>
      <c r="E1164" s="21">
        <v>6</v>
      </c>
      <c r="F1164" s="27" t="str">
        <f>Tabela12[[#This Row],[Régua]]&amp;" ("&amp;Tabela12[[#This Row],[Born]]&amp;")"</f>
        <v>XC30 (6)</v>
      </c>
      <c r="G1164" s="27">
        <f>LEN(Tabela12[[#This Row],[Anilha]])</f>
        <v>8</v>
      </c>
      <c r="H1164" s="21">
        <f>VLOOKUP(Tabela12[[#This Row],[Tag Cabo]],BD!A:F,6,0)</f>
        <v>2.5</v>
      </c>
      <c r="I1164" s="27" t="s">
        <v>1707</v>
      </c>
      <c r="J1164" s="27" t="s">
        <v>1706</v>
      </c>
    </row>
    <row r="1165" spans="1:10" x14ac:dyDescent="0.25">
      <c r="A1165" s="216" t="s">
        <v>930</v>
      </c>
      <c r="B1165" s="45" t="str">
        <f>VLOOKUP(Tabela12[[#This Row],[Painel]],Tabela13[],2,0)</f>
        <v>8HV</v>
      </c>
      <c r="C1165" s="45" t="s">
        <v>856</v>
      </c>
      <c r="D1165" s="21" t="s">
        <v>1910</v>
      </c>
      <c r="E1165" s="21">
        <v>18</v>
      </c>
      <c r="F1165" s="27" t="str">
        <f>Tabela12[[#This Row],[Régua]]&amp;" ("&amp;Tabela12[[#This Row],[Born]]&amp;")"</f>
        <v>XC30 (18)</v>
      </c>
      <c r="G1165" s="27">
        <f>LEN(Tabela12[[#This Row],[Anilha]])</f>
        <v>9</v>
      </c>
      <c r="H1165" s="21">
        <f>VLOOKUP(Tabela12[[#This Row],[Tag Cabo]],BD!A:F,6,0)</f>
        <v>2.5</v>
      </c>
      <c r="I1165" s="27" t="s">
        <v>1707</v>
      </c>
      <c r="J1165" s="27" t="s">
        <v>1706</v>
      </c>
    </row>
    <row r="1166" spans="1:10" x14ac:dyDescent="0.25">
      <c r="A1166" s="216" t="s">
        <v>717</v>
      </c>
      <c r="B1166" s="45" t="str">
        <f>VLOOKUP(Tabela12[[#This Row],[Painel]],Tabela13[],2,0)</f>
        <v>7HV</v>
      </c>
      <c r="C1166" s="45" t="s">
        <v>1626</v>
      </c>
      <c r="D1166" s="21" t="s">
        <v>1911</v>
      </c>
      <c r="E1166" s="21">
        <v>1</v>
      </c>
      <c r="F1166" s="27" t="str">
        <f>Tabela12[[#This Row],[Régua]]&amp;" ("&amp;Tabela12[[#This Row],[Born]]&amp;")"</f>
        <v>XF1 (1)</v>
      </c>
      <c r="G1166" s="27">
        <f>LEN(Tabela12[[#This Row],[Anilha]])</f>
        <v>7</v>
      </c>
      <c r="H1166" s="21">
        <f>VLOOKUP(Tabela12[[#This Row],[Tag Cabo]],BD!A:F,6,0)</f>
        <v>2.5</v>
      </c>
      <c r="I1166" s="27" t="s">
        <v>1707</v>
      </c>
      <c r="J1166" s="27" t="s">
        <v>1706</v>
      </c>
    </row>
    <row r="1167" spans="1:10" x14ac:dyDescent="0.25">
      <c r="A1167" s="216" t="s">
        <v>717</v>
      </c>
      <c r="B1167" s="45" t="str">
        <f>VLOOKUP(Tabela12[[#This Row],[Painel]],Tabela13[],2,0)</f>
        <v>7HV</v>
      </c>
      <c r="C1167" s="45" t="s">
        <v>1626</v>
      </c>
      <c r="D1167" s="21" t="s">
        <v>1911</v>
      </c>
      <c r="E1167" s="21">
        <v>2</v>
      </c>
      <c r="F1167" s="27" t="str">
        <f>Tabela12[[#This Row],[Régua]]&amp;" ("&amp;Tabela12[[#This Row],[Born]]&amp;")"</f>
        <v>XF1 (2)</v>
      </c>
      <c r="G1167" s="27">
        <f>LEN(Tabela12[[#This Row],[Anilha]])</f>
        <v>7</v>
      </c>
      <c r="H1167" s="21">
        <f>VLOOKUP(Tabela12[[#This Row],[Tag Cabo]],BD!A:F,6,0)</f>
        <v>2.5</v>
      </c>
      <c r="I1167" s="27" t="s">
        <v>1707</v>
      </c>
      <c r="J1167" s="27" t="s">
        <v>1706</v>
      </c>
    </row>
    <row r="1168" spans="1:10" x14ac:dyDescent="0.25">
      <c r="A1168" s="216" t="s">
        <v>717</v>
      </c>
      <c r="B1168" s="45" t="str">
        <f>VLOOKUP(Tabela12[[#This Row],[Painel]],Tabela13[],2,0)</f>
        <v>GB-1201</v>
      </c>
      <c r="C1168" s="45" t="s">
        <v>703</v>
      </c>
      <c r="D1168" s="21" t="s">
        <v>1912</v>
      </c>
      <c r="E1168" s="21">
        <v>1</v>
      </c>
      <c r="F1168" s="27" t="str">
        <f>Tabela12[[#This Row],[Régua]]&amp;" ("&amp;Tabela12[[#This Row],[Born]]&amp;")"</f>
        <v>HE-1 (1)</v>
      </c>
      <c r="G1168" s="27">
        <f>LEN(Tabela12[[#This Row],[Anilha]])</f>
        <v>8</v>
      </c>
      <c r="H1168" s="21">
        <f>VLOOKUP(Tabela12[[#This Row],[Tag Cabo]],BD!A:F,6,0)</f>
        <v>2.5</v>
      </c>
      <c r="I1168" s="27" t="s">
        <v>1707</v>
      </c>
      <c r="J1168" s="27" t="s">
        <v>1706</v>
      </c>
    </row>
    <row r="1169" spans="1:10" x14ac:dyDescent="0.25">
      <c r="A1169" s="216" t="s">
        <v>717</v>
      </c>
      <c r="B1169" s="45" t="str">
        <f>VLOOKUP(Tabela12[[#This Row],[Painel]],Tabela13[],2,0)</f>
        <v>GB-1201</v>
      </c>
      <c r="C1169" s="45" t="s">
        <v>703</v>
      </c>
      <c r="D1169" s="21" t="s">
        <v>1913</v>
      </c>
      <c r="E1169" s="21">
        <v>2</v>
      </c>
      <c r="F1169" s="27" t="str">
        <f>Tabela12[[#This Row],[Régua]]&amp;" ("&amp;Tabela12[[#This Row],[Born]]&amp;")"</f>
        <v>H2-2 (2)</v>
      </c>
      <c r="G1169" s="27">
        <f>LEN(Tabela12[[#This Row],[Anilha]])</f>
        <v>8</v>
      </c>
      <c r="H1169" s="21">
        <f>VLOOKUP(Tabela12[[#This Row],[Tag Cabo]],BD!A:F,6,0)</f>
        <v>2.5</v>
      </c>
      <c r="I1169" s="27" t="s">
        <v>1707</v>
      </c>
      <c r="J1169" s="27" t="s">
        <v>1706</v>
      </c>
    </row>
    <row r="1170" spans="1:10" x14ac:dyDescent="0.25">
      <c r="A1170" s="216" t="s">
        <v>723</v>
      </c>
      <c r="B1170" s="45" t="str">
        <f>VLOOKUP(Tabela12[[#This Row],[Painel]],Tabela13[],2,0)</f>
        <v>7HV</v>
      </c>
      <c r="C1170" s="45" t="s">
        <v>1626</v>
      </c>
      <c r="D1170" s="21" t="s">
        <v>1911</v>
      </c>
      <c r="E1170" s="21">
        <v>1</v>
      </c>
      <c r="F1170" s="27" t="str">
        <f>Tabela12[[#This Row],[Régua]]&amp;" ("&amp;Tabela12[[#This Row],[Born]]&amp;")"</f>
        <v>XF1 (1)</v>
      </c>
      <c r="G1170" s="27">
        <f>LEN(Tabela12[[#This Row],[Anilha]])</f>
        <v>7</v>
      </c>
      <c r="H1170" s="21">
        <f>VLOOKUP(Tabela12[[#This Row],[Tag Cabo]],BD!A:F,6,0)</f>
        <v>2.5</v>
      </c>
      <c r="I1170" s="27" t="s">
        <v>1707</v>
      </c>
      <c r="J1170" s="27" t="s">
        <v>1706</v>
      </c>
    </row>
    <row r="1171" spans="1:10" x14ac:dyDescent="0.25">
      <c r="A1171" s="216" t="s">
        <v>723</v>
      </c>
      <c r="B1171" s="45" t="str">
        <f>VLOOKUP(Tabela12[[#This Row],[Painel]],Tabela13[],2,0)</f>
        <v>7HV</v>
      </c>
      <c r="C1171" s="45" t="s">
        <v>1626</v>
      </c>
      <c r="D1171" s="21" t="s">
        <v>1911</v>
      </c>
      <c r="E1171" s="21">
        <v>2</v>
      </c>
      <c r="F1171" s="27" t="str">
        <f>Tabela12[[#This Row],[Régua]]&amp;" ("&amp;Tabela12[[#This Row],[Born]]&amp;")"</f>
        <v>XF1 (2)</v>
      </c>
      <c r="G1171" s="27">
        <f>LEN(Tabela12[[#This Row],[Anilha]])</f>
        <v>7</v>
      </c>
      <c r="H1171" s="21">
        <f>VLOOKUP(Tabela12[[#This Row],[Tag Cabo]],BD!A:F,6,0)</f>
        <v>2.5</v>
      </c>
      <c r="I1171" s="27" t="s">
        <v>1707</v>
      </c>
      <c r="J1171" s="27" t="s">
        <v>1706</v>
      </c>
    </row>
    <row r="1172" spans="1:10" x14ac:dyDescent="0.25">
      <c r="A1172" s="216" t="s">
        <v>723</v>
      </c>
      <c r="B1172" s="45" t="str">
        <f>VLOOKUP(Tabela12[[#This Row],[Painel]],Tabela13[],2,0)</f>
        <v>GB-1201</v>
      </c>
      <c r="C1172" s="45" t="s">
        <v>703</v>
      </c>
      <c r="D1172" s="21" t="s">
        <v>1912</v>
      </c>
      <c r="E1172" s="21">
        <v>1</v>
      </c>
      <c r="F1172" s="27" t="str">
        <f>Tabela12[[#This Row],[Régua]]&amp;" ("&amp;Tabela12[[#This Row],[Born]]&amp;")"</f>
        <v>HE-1 (1)</v>
      </c>
      <c r="G1172" s="27">
        <f>LEN(Tabela12[[#This Row],[Anilha]])</f>
        <v>8</v>
      </c>
      <c r="H1172" s="21">
        <f>VLOOKUP(Tabela12[[#This Row],[Tag Cabo]],BD!A:F,6,0)</f>
        <v>2.5</v>
      </c>
      <c r="I1172" s="27" t="s">
        <v>1707</v>
      </c>
      <c r="J1172" s="27" t="s">
        <v>1706</v>
      </c>
    </row>
    <row r="1173" spans="1:10" x14ac:dyDescent="0.25">
      <c r="A1173" s="216" t="s">
        <v>723</v>
      </c>
      <c r="B1173" s="45" t="str">
        <f>VLOOKUP(Tabela12[[#This Row],[Painel]],Tabela13[],2,0)</f>
        <v>GB-1201</v>
      </c>
      <c r="C1173" s="45" t="s">
        <v>703</v>
      </c>
      <c r="D1173" s="21" t="s">
        <v>1913</v>
      </c>
      <c r="E1173" s="21">
        <v>2</v>
      </c>
      <c r="F1173" s="27" t="str">
        <f>Tabela12[[#This Row],[Régua]]&amp;" ("&amp;Tabela12[[#This Row],[Born]]&amp;")"</f>
        <v>H2-2 (2)</v>
      </c>
      <c r="G1173" s="27">
        <f>LEN(Tabela12[[#This Row],[Anilha]])</f>
        <v>8</v>
      </c>
      <c r="H1173" s="21">
        <f>VLOOKUP(Tabela12[[#This Row],[Tag Cabo]],BD!A:F,6,0)</f>
        <v>2.5</v>
      </c>
      <c r="I1173" s="27" t="s">
        <v>1707</v>
      </c>
      <c r="J1173" s="27" t="s">
        <v>1706</v>
      </c>
    </row>
    <row r="1174" spans="1:10" x14ac:dyDescent="0.25">
      <c r="A1174" s="216" t="s">
        <v>725</v>
      </c>
      <c r="B1174" s="45" t="str">
        <f>VLOOKUP(Tabela12[[#This Row],[Painel]],Tabela13[],2,0)</f>
        <v>7HV</v>
      </c>
      <c r="C1174" s="45" t="s">
        <v>1626</v>
      </c>
      <c r="D1174" s="21" t="s">
        <v>1911</v>
      </c>
      <c r="E1174" s="21">
        <v>1</v>
      </c>
      <c r="F1174" s="27" t="str">
        <f>Tabela12[[#This Row],[Régua]]&amp;" ("&amp;Tabela12[[#This Row],[Born]]&amp;")"</f>
        <v>XF1 (1)</v>
      </c>
      <c r="G1174" s="27">
        <f>LEN(Tabela12[[#This Row],[Anilha]])</f>
        <v>7</v>
      </c>
      <c r="H1174" s="21">
        <f>VLOOKUP(Tabela12[[#This Row],[Tag Cabo]],BD!A:F,6,0)</f>
        <v>2.5</v>
      </c>
      <c r="I1174" s="27" t="s">
        <v>1707</v>
      </c>
      <c r="J1174" s="27" t="s">
        <v>1706</v>
      </c>
    </row>
    <row r="1175" spans="1:10" x14ac:dyDescent="0.25">
      <c r="A1175" s="216" t="s">
        <v>725</v>
      </c>
      <c r="B1175" s="45" t="str">
        <f>VLOOKUP(Tabela12[[#This Row],[Painel]],Tabela13[],2,0)</f>
        <v>7HV</v>
      </c>
      <c r="C1175" s="45" t="s">
        <v>1626</v>
      </c>
      <c r="D1175" s="21" t="s">
        <v>1911</v>
      </c>
      <c r="E1175" s="21">
        <v>2</v>
      </c>
      <c r="F1175" s="27" t="str">
        <f>Tabela12[[#This Row],[Régua]]&amp;" ("&amp;Tabela12[[#This Row],[Born]]&amp;")"</f>
        <v>XF1 (2)</v>
      </c>
      <c r="G1175" s="27">
        <f>LEN(Tabela12[[#This Row],[Anilha]])</f>
        <v>7</v>
      </c>
      <c r="H1175" s="21">
        <f>VLOOKUP(Tabela12[[#This Row],[Tag Cabo]],BD!A:F,6,0)</f>
        <v>2.5</v>
      </c>
      <c r="I1175" s="27" t="s">
        <v>1707</v>
      </c>
      <c r="J1175" s="27" t="s">
        <v>1706</v>
      </c>
    </row>
    <row r="1176" spans="1:10" x14ac:dyDescent="0.25">
      <c r="A1176" s="216" t="s">
        <v>725</v>
      </c>
      <c r="B1176" s="45" t="str">
        <f>VLOOKUP(Tabela12[[#This Row],[Painel]],Tabela13[],2,0)</f>
        <v>GB-1201</v>
      </c>
      <c r="C1176" s="45" t="s">
        <v>703</v>
      </c>
      <c r="D1176" s="21" t="s">
        <v>1912</v>
      </c>
      <c r="E1176" s="21">
        <v>1</v>
      </c>
      <c r="F1176" s="27" t="str">
        <f>Tabela12[[#This Row],[Régua]]&amp;" ("&amp;Tabela12[[#This Row],[Born]]&amp;")"</f>
        <v>HE-1 (1)</v>
      </c>
      <c r="G1176" s="27">
        <f>LEN(Tabela12[[#This Row],[Anilha]])</f>
        <v>8</v>
      </c>
      <c r="H1176" s="21">
        <f>VLOOKUP(Tabela12[[#This Row],[Tag Cabo]],BD!A:F,6,0)</f>
        <v>2.5</v>
      </c>
      <c r="I1176" s="27" t="s">
        <v>1707</v>
      </c>
      <c r="J1176" s="27" t="s">
        <v>1706</v>
      </c>
    </row>
    <row r="1177" spans="1:10" x14ac:dyDescent="0.25">
      <c r="A1177" s="216" t="s">
        <v>725</v>
      </c>
      <c r="B1177" s="45" t="str">
        <f>VLOOKUP(Tabela12[[#This Row],[Painel]],Tabela13[],2,0)</f>
        <v>GB-1201</v>
      </c>
      <c r="C1177" s="45" t="s">
        <v>703</v>
      </c>
      <c r="D1177" s="21" t="s">
        <v>1913</v>
      </c>
      <c r="E1177" s="21">
        <v>2</v>
      </c>
      <c r="F1177" s="27" t="str">
        <f>Tabela12[[#This Row],[Régua]]&amp;" ("&amp;Tabela12[[#This Row],[Born]]&amp;")"</f>
        <v>H2-2 (2)</v>
      </c>
      <c r="G1177" s="27">
        <f>LEN(Tabela12[[#This Row],[Anilha]])</f>
        <v>8</v>
      </c>
      <c r="H1177" s="21">
        <f>VLOOKUP(Tabela12[[#This Row],[Tag Cabo]],BD!A:F,6,0)</f>
        <v>2.5</v>
      </c>
      <c r="I1177" s="27" t="s">
        <v>1707</v>
      </c>
      <c r="J1177" s="27" t="s">
        <v>1706</v>
      </c>
    </row>
    <row r="1178" spans="1:10" x14ac:dyDescent="0.25">
      <c r="A1178" s="216" t="s">
        <v>750</v>
      </c>
      <c r="B1178" s="45" t="str">
        <f>VLOOKUP(Tabela12[[#This Row],[Painel]],Tabela13[],2,0)</f>
        <v>7HV</v>
      </c>
      <c r="C1178" s="45" t="s">
        <v>1626</v>
      </c>
      <c r="D1178" s="21" t="s">
        <v>1911</v>
      </c>
      <c r="E1178" s="21">
        <v>1</v>
      </c>
      <c r="F1178" s="27" t="str">
        <f>Tabela12[[#This Row],[Régua]]&amp;" ("&amp;Tabela12[[#This Row],[Born]]&amp;")"</f>
        <v>XF1 (1)</v>
      </c>
      <c r="G1178" s="27">
        <f>LEN(Tabela12[[#This Row],[Anilha]])</f>
        <v>7</v>
      </c>
      <c r="H1178" s="21">
        <f>VLOOKUP(Tabela12[[#This Row],[Tag Cabo]],BD!A:F,6,0)</f>
        <v>2.5</v>
      </c>
      <c r="I1178" s="27" t="s">
        <v>1707</v>
      </c>
      <c r="J1178" s="27" t="s">
        <v>1706</v>
      </c>
    </row>
    <row r="1179" spans="1:10" x14ac:dyDescent="0.25">
      <c r="A1179" s="216" t="s">
        <v>750</v>
      </c>
      <c r="B1179" s="45" t="str">
        <f>VLOOKUP(Tabela12[[#This Row],[Painel]],Tabela13[],2,0)</f>
        <v>7HV</v>
      </c>
      <c r="C1179" s="45" t="s">
        <v>1626</v>
      </c>
      <c r="D1179" s="21" t="s">
        <v>1911</v>
      </c>
      <c r="E1179" s="21">
        <v>2</v>
      </c>
      <c r="F1179" s="27" t="str">
        <f>Tabela12[[#This Row],[Régua]]&amp;" ("&amp;Tabela12[[#This Row],[Born]]&amp;")"</f>
        <v>XF1 (2)</v>
      </c>
      <c r="G1179" s="27">
        <f>LEN(Tabela12[[#This Row],[Anilha]])</f>
        <v>7</v>
      </c>
      <c r="H1179" s="21">
        <f>VLOOKUP(Tabela12[[#This Row],[Tag Cabo]],BD!A:F,6,0)</f>
        <v>2.5</v>
      </c>
      <c r="I1179" s="27" t="s">
        <v>1707</v>
      </c>
      <c r="J1179" s="27" t="s">
        <v>1706</v>
      </c>
    </row>
    <row r="1180" spans="1:10" x14ac:dyDescent="0.25">
      <c r="A1180" s="216" t="s">
        <v>750</v>
      </c>
      <c r="B1180" s="45" t="str">
        <f>VLOOKUP(Tabela12[[#This Row],[Painel]],Tabela13[],2,0)</f>
        <v>GB-1203</v>
      </c>
      <c r="C1180" s="45" t="s">
        <v>733</v>
      </c>
      <c r="D1180" s="21" t="s">
        <v>1914</v>
      </c>
      <c r="E1180" s="21">
        <v>1</v>
      </c>
      <c r="F1180" s="27" t="str">
        <f>Tabela12[[#This Row],[Régua]]&amp;" ("&amp;Tabela12[[#This Row],[Born]]&amp;")"</f>
        <v>HE1-1 (1)</v>
      </c>
      <c r="G1180" s="27">
        <f>LEN(Tabela12[[#This Row],[Anilha]])</f>
        <v>9</v>
      </c>
      <c r="H1180" s="21">
        <f>VLOOKUP(Tabela12[[#This Row],[Tag Cabo]],BD!A:F,6,0)</f>
        <v>2.5</v>
      </c>
      <c r="I1180" s="27" t="s">
        <v>1707</v>
      </c>
      <c r="J1180" s="27" t="s">
        <v>1706</v>
      </c>
    </row>
    <row r="1181" spans="1:10" x14ac:dyDescent="0.25">
      <c r="A1181" s="216" t="s">
        <v>750</v>
      </c>
      <c r="B1181" s="45" t="str">
        <f>VLOOKUP(Tabela12[[#This Row],[Painel]],Tabela13[],2,0)</f>
        <v>GB-1203</v>
      </c>
      <c r="C1181" s="45" t="s">
        <v>733</v>
      </c>
      <c r="D1181" s="21" t="s">
        <v>1915</v>
      </c>
      <c r="E1181" s="21">
        <v>2</v>
      </c>
      <c r="F1181" s="27" t="str">
        <f>Tabela12[[#This Row],[Régua]]&amp;" ("&amp;Tabela12[[#This Row],[Born]]&amp;")"</f>
        <v>HE1-2 (2)</v>
      </c>
      <c r="G1181" s="27">
        <f>LEN(Tabela12[[#This Row],[Anilha]])</f>
        <v>9</v>
      </c>
      <c r="H1181" s="21">
        <f>VLOOKUP(Tabela12[[#This Row],[Tag Cabo]],BD!A:F,6,0)</f>
        <v>2.5</v>
      </c>
      <c r="I1181" s="27" t="s">
        <v>1707</v>
      </c>
      <c r="J1181" s="27" t="s">
        <v>1706</v>
      </c>
    </row>
    <row r="1182" spans="1:10" x14ac:dyDescent="0.25">
      <c r="A1182" s="216" t="s">
        <v>752</v>
      </c>
      <c r="B1182" s="45" t="str">
        <f>VLOOKUP(Tabela12[[#This Row],[Painel]],Tabela13[],2,0)</f>
        <v>GB-1203</v>
      </c>
      <c r="C1182" s="45" t="s">
        <v>733</v>
      </c>
      <c r="D1182" s="21" t="s">
        <v>1912</v>
      </c>
      <c r="E1182" s="21">
        <v>1</v>
      </c>
      <c r="F1182" s="27" t="str">
        <f>Tabela12[[#This Row],[Régua]]&amp;" ("&amp;Tabela12[[#This Row],[Born]]&amp;")"</f>
        <v>HE-1 (1)</v>
      </c>
      <c r="G1182" s="27">
        <f>LEN(Tabela12[[#This Row],[Anilha]])</f>
        <v>8</v>
      </c>
      <c r="H1182" s="21">
        <f>VLOOKUP(Tabela12[[#This Row],[Tag Cabo]],BD!A:F,6,0)</f>
        <v>2.5</v>
      </c>
      <c r="I1182" s="27" t="s">
        <v>1707</v>
      </c>
      <c r="J1182" s="27" t="s">
        <v>1706</v>
      </c>
    </row>
    <row r="1183" spans="1:10" x14ac:dyDescent="0.25">
      <c r="A1183" s="216" t="s">
        <v>752</v>
      </c>
      <c r="B1183" s="45" t="str">
        <f>VLOOKUP(Tabela12[[#This Row],[Painel]],Tabela13[],2,0)</f>
        <v>GB-1203</v>
      </c>
      <c r="C1183" s="45" t="s">
        <v>733</v>
      </c>
      <c r="D1183" s="21" t="s">
        <v>1913</v>
      </c>
      <c r="E1183" s="21">
        <v>2</v>
      </c>
      <c r="F1183" s="27" t="str">
        <f>Tabela12[[#This Row],[Régua]]&amp;" ("&amp;Tabela12[[#This Row],[Born]]&amp;")"</f>
        <v>H2-2 (2)</v>
      </c>
      <c r="G1183" s="27">
        <f>LEN(Tabela12[[#This Row],[Anilha]])</f>
        <v>8</v>
      </c>
      <c r="H1183" s="21">
        <f>VLOOKUP(Tabela12[[#This Row],[Tag Cabo]],BD!A:F,6,0)</f>
        <v>2.5</v>
      </c>
      <c r="I1183" s="27" t="s">
        <v>1707</v>
      </c>
      <c r="J1183" s="27" t="s">
        <v>1706</v>
      </c>
    </row>
    <row r="1184" spans="1:10" x14ac:dyDescent="0.25">
      <c r="A1184" s="216" t="s">
        <v>752</v>
      </c>
      <c r="B1184" s="45" t="str">
        <f>VLOOKUP(Tabela12[[#This Row],[Painel]],Tabela13[],2,0)</f>
        <v>7HV</v>
      </c>
      <c r="C1184" s="45" t="s">
        <v>1626</v>
      </c>
      <c r="D1184" s="21" t="s">
        <v>1911</v>
      </c>
      <c r="E1184" s="21">
        <v>1</v>
      </c>
      <c r="F1184" s="27" t="str">
        <f>Tabela12[[#This Row],[Régua]]&amp;" ("&amp;Tabela12[[#This Row],[Born]]&amp;")"</f>
        <v>XF1 (1)</v>
      </c>
      <c r="G1184" s="27">
        <f>LEN(Tabela12[[#This Row],[Anilha]])</f>
        <v>7</v>
      </c>
      <c r="H1184" s="21">
        <f>VLOOKUP(Tabela12[[#This Row],[Tag Cabo]],BD!A:F,6,0)</f>
        <v>2.5</v>
      </c>
      <c r="I1184" s="27" t="s">
        <v>1707</v>
      </c>
      <c r="J1184" s="27" t="s">
        <v>1706</v>
      </c>
    </row>
    <row r="1185" spans="1:10" x14ac:dyDescent="0.25">
      <c r="A1185" s="216" t="s">
        <v>752</v>
      </c>
      <c r="B1185" s="45" t="str">
        <f>VLOOKUP(Tabela12[[#This Row],[Painel]],Tabela13[],2,0)</f>
        <v>7HV</v>
      </c>
      <c r="C1185" s="45" t="s">
        <v>1626</v>
      </c>
      <c r="D1185" s="21" t="s">
        <v>1911</v>
      </c>
      <c r="E1185" s="21">
        <v>2</v>
      </c>
      <c r="F1185" s="27" t="str">
        <f>Tabela12[[#This Row],[Régua]]&amp;" ("&amp;Tabela12[[#This Row],[Born]]&amp;")"</f>
        <v>XF1 (2)</v>
      </c>
      <c r="G1185" s="27">
        <f>LEN(Tabela12[[#This Row],[Anilha]])</f>
        <v>7</v>
      </c>
      <c r="H1185" s="21">
        <f>VLOOKUP(Tabela12[[#This Row],[Tag Cabo]],BD!A:F,6,0)</f>
        <v>2.5</v>
      </c>
      <c r="I1185" s="27" t="s">
        <v>1707</v>
      </c>
      <c r="J1185" s="27" t="s">
        <v>1706</v>
      </c>
    </row>
    <row r="1186" spans="1:10" x14ac:dyDescent="0.25">
      <c r="A1186" s="216" t="s">
        <v>754</v>
      </c>
      <c r="B1186" s="45" t="str">
        <f>VLOOKUP(Tabela12[[#This Row],[Painel]],Tabela13[],2,0)</f>
        <v>GB-1203</v>
      </c>
      <c r="C1186" s="45" t="s">
        <v>733</v>
      </c>
      <c r="D1186" s="21" t="s">
        <v>1914</v>
      </c>
      <c r="E1186" s="21">
        <v>1</v>
      </c>
      <c r="F1186" s="27" t="str">
        <f>Tabela12[[#This Row],[Régua]]&amp;" ("&amp;Tabela12[[#This Row],[Born]]&amp;")"</f>
        <v>HE1-1 (1)</v>
      </c>
      <c r="G1186" s="27">
        <f>LEN(Tabela12[[#This Row],[Anilha]])</f>
        <v>9</v>
      </c>
      <c r="H1186" s="21">
        <f>VLOOKUP(Tabela12[[#This Row],[Tag Cabo]],BD!A:F,6,0)</f>
        <v>2.5</v>
      </c>
      <c r="I1186" s="27" t="s">
        <v>1707</v>
      </c>
      <c r="J1186" s="27" t="s">
        <v>1706</v>
      </c>
    </row>
    <row r="1187" spans="1:10" x14ac:dyDescent="0.25">
      <c r="A1187" s="216" t="s">
        <v>754</v>
      </c>
      <c r="B1187" s="45" t="str">
        <f>VLOOKUP(Tabela12[[#This Row],[Painel]],Tabela13[],2,0)</f>
        <v>GB-1203</v>
      </c>
      <c r="C1187" s="45" t="s">
        <v>733</v>
      </c>
      <c r="D1187" s="21" t="s">
        <v>1915</v>
      </c>
      <c r="E1187" s="21">
        <v>2</v>
      </c>
      <c r="F1187" s="27" t="str">
        <f>Tabela12[[#This Row],[Régua]]&amp;" ("&amp;Tabela12[[#This Row],[Born]]&amp;")"</f>
        <v>HE1-2 (2)</v>
      </c>
      <c r="G1187" s="27">
        <f>LEN(Tabela12[[#This Row],[Anilha]])</f>
        <v>9</v>
      </c>
      <c r="H1187" s="21">
        <f>VLOOKUP(Tabela12[[#This Row],[Tag Cabo]],BD!A:F,6,0)</f>
        <v>2.5</v>
      </c>
      <c r="I1187" s="27" t="s">
        <v>1707</v>
      </c>
      <c r="J1187" s="27" t="s">
        <v>1706</v>
      </c>
    </row>
    <row r="1188" spans="1:10" x14ac:dyDescent="0.25">
      <c r="A1188" s="216" t="s">
        <v>754</v>
      </c>
      <c r="B1188" s="45" t="str">
        <f>VLOOKUP(Tabela12[[#This Row],[Painel]],Tabela13[],2,0)</f>
        <v>GB-1203</v>
      </c>
      <c r="C1188" s="45" t="s">
        <v>733</v>
      </c>
      <c r="D1188" s="21" t="s">
        <v>1912</v>
      </c>
      <c r="E1188" s="21">
        <v>1</v>
      </c>
      <c r="F1188" s="27" t="str">
        <f>Tabela12[[#This Row],[Régua]]&amp;" ("&amp;Tabela12[[#This Row],[Born]]&amp;")"</f>
        <v>HE-1 (1)</v>
      </c>
      <c r="G1188" s="27">
        <f>LEN(Tabela12[[#This Row],[Anilha]])</f>
        <v>8</v>
      </c>
      <c r="H1188" s="21">
        <f>VLOOKUP(Tabela12[[#This Row],[Tag Cabo]],BD!A:F,6,0)</f>
        <v>2.5</v>
      </c>
      <c r="I1188" s="27" t="s">
        <v>1707</v>
      </c>
      <c r="J1188" s="27" t="s">
        <v>1706</v>
      </c>
    </row>
    <row r="1189" spans="1:10" x14ac:dyDescent="0.25">
      <c r="A1189" s="216" t="s">
        <v>754</v>
      </c>
      <c r="B1189" s="45" t="str">
        <f>VLOOKUP(Tabela12[[#This Row],[Painel]],Tabela13[],2,0)</f>
        <v>GB-1203</v>
      </c>
      <c r="C1189" s="45" t="s">
        <v>733</v>
      </c>
      <c r="D1189" s="21" t="s">
        <v>1913</v>
      </c>
      <c r="E1189" s="21">
        <v>2</v>
      </c>
      <c r="F1189" s="27" t="str">
        <f>Tabela12[[#This Row],[Régua]]&amp;" ("&amp;Tabela12[[#This Row],[Born]]&amp;")"</f>
        <v>H2-2 (2)</v>
      </c>
      <c r="G1189" s="27">
        <f>LEN(Tabela12[[#This Row],[Anilha]])</f>
        <v>8</v>
      </c>
      <c r="H1189" s="21">
        <f>VLOOKUP(Tabela12[[#This Row],[Tag Cabo]],BD!A:F,6,0)</f>
        <v>2.5</v>
      </c>
      <c r="I1189" s="27" t="s">
        <v>1707</v>
      </c>
      <c r="J1189" s="27" t="s">
        <v>1706</v>
      </c>
    </row>
    <row r="1190" spans="1:10" x14ac:dyDescent="0.25">
      <c r="A1190" s="21" t="s">
        <v>756</v>
      </c>
      <c r="B1190" s="391" t="str">
        <f>VLOOKUP(Tabela12[[#This Row],[Painel]],Tabela13[],2,0)</f>
        <v>7HV</v>
      </c>
      <c r="C1190" s="391" t="s">
        <v>1626</v>
      </c>
      <c r="D1190" s="21" t="s">
        <v>1911</v>
      </c>
      <c r="E1190" s="21">
        <v>1</v>
      </c>
      <c r="F1190" s="27" t="str">
        <f>Tabela12[[#This Row],[Régua]]&amp;" ("&amp;Tabela12[[#This Row],[Born]]&amp;")"</f>
        <v>XF1 (1)</v>
      </c>
      <c r="G1190" s="27">
        <f>LEN(Tabela12[[#This Row],[Anilha]])</f>
        <v>7</v>
      </c>
      <c r="H1190" s="21">
        <f>VLOOKUP(Tabela12[[#This Row],[Tag Cabo]],BD!A:F,6,0)</f>
        <v>2.5</v>
      </c>
      <c r="I1190" s="27" t="s">
        <v>1707</v>
      </c>
      <c r="J1190" s="27" t="s">
        <v>1706</v>
      </c>
    </row>
    <row r="1191" spans="1:10" x14ac:dyDescent="0.25">
      <c r="A1191" s="21" t="s">
        <v>756</v>
      </c>
      <c r="B1191" s="391" t="str">
        <f>VLOOKUP(Tabela12[[#This Row],[Painel]],Tabela13[],2,0)</f>
        <v>7HV</v>
      </c>
      <c r="C1191" s="391" t="s">
        <v>1626</v>
      </c>
      <c r="D1191" s="21" t="s">
        <v>1911</v>
      </c>
      <c r="E1191" s="21">
        <v>2</v>
      </c>
      <c r="F1191" s="27" t="str">
        <f>Tabela12[[#This Row],[Régua]]&amp;" ("&amp;Tabela12[[#This Row],[Born]]&amp;")"</f>
        <v>XF1 (2)</v>
      </c>
      <c r="G1191" s="27">
        <f>LEN(Tabela12[[#This Row],[Anilha]])</f>
        <v>7</v>
      </c>
      <c r="H1191" s="21">
        <f>VLOOKUP(Tabela12[[#This Row],[Tag Cabo]],BD!A:F,6,0)</f>
        <v>2.5</v>
      </c>
      <c r="I1191" s="27" t="s">
        <v>1707</v>
      </c>
      <c r="J1191" s="27" t="s">
        <v>1706</v>
      </c>
    </row>
    <row r="1192" spans="1:10" x14ac:dyDescent="0.25">
      <c r="A1192" s="21" t="s">
        <v>756</v>
      </c>
      <c r="B1192" s="391" t="str">
        <f>VLOOKUP(Tabela12[[#This Row],[Painel]],Tabela13[],2,0)</f>
        <v>GB-1203</v>
      </c>
      <c r="C1192" s="391" t="s">
        <v>733</v>
      </c>
      <c r="D1192" s="21" t="s">
        <v>1914</v>
      </c>
      <c r="E1192" s="21">
        <v>1</v>
      </c>
      <c r="F1192" s="27" t="str">
        <f>Tabela12[[#This Row],[Régua]]&amp;" ("&amp;Tabela12[[#This Row],[Born]]&amp;")"</f>
        <v>HE1-1 (1)</v>
      </c>
      <c r="G1192" s="27">
        <f>LEN(Tabela12[[#This Row],[Anilha]])</f>
        <v>9</v>
      </c>
      <c r="H1192" s="21">
        <f>VLOOKUP(Tabela12[[#This Row],[Tag Cabo]],BD!A:F,6,0)</f>
        <v>2.5</v>
      </c>
      <c r="I1192" s="27" t="s">
        <v>1707</v>
      </c>
      <c r="J1192" s="27" t="s">
        <v>1706</v>
      </c>
    </row>
    <row r="1193" spans="1:10" x14ac:dyDescent="0.25">
      <c r="A1193" s="21" t="s">
        <v>756</v>
      </c>
      <c r="B1193" s="391" t="str">
        <f>VLOOKUP(Tabela12[[#This Row],[Painel]],Tabela13[],2,0)</f>
        <v>GB-1203</v>
      </c>
      <c r="C1193" s="391" t="s">
        <v>733</v>
      </c>
      <c r="D1193" s="21" t="s">
        <v>1915</v>
      </c>
      <c r="E1193" s="21">
        <v>2</v>
      </c>
      <c r="F1193" s="27" t="str">
        <f>Tabela12[[#This Row],[Régua]]&amp;" ("&amp;Tabela12[[#This Row],[Born]]&amp;")"</f>
        <v>HE1-2 (2)</v>
      </c>
      <c r="G1193" s="27">
        <f>LEN(Tabela12[[#This Row],[Anilha]])</f>
        <v>9</v>
      </c>
      <c r="H1193" s="21">
        <f>VLOOKUP(Tabela12[[#This Row],[Tag Cabo]],BD!A:F,6,0)</f>
        <v>2.5</v>
      </c>
      <c r="I1193" s="27" t="s">
        <v>1707</v>
      </c>
      <c r="J1193" s="27" t="s">
        <v>1706</v>
      </c>
    </row>
    <row r="1194" spans="1:10" x14ac:dyDescent="0.25">
      <c r="A1194" s="217" t="s">
        <v>758</v>
      </c>
      <c r="B1194" s="244" t="str">
        <f>VLOOKUP(Tabela12[[#This Row],[Painel]],Tabela13[],2,0)</f>
        <v>GB-1203</v>
      </c>
      <c r="C1194" s="391" t="s">
        <v>733</v>
      </c>
      <c r="D1194" s="21" t="s">
        <v>1912</v>
      </c>
      <c r="E1194" s="21">
        <v>1</v>
      </c>
      <c r="F1194" s="27" t="str">
        <f>Tabela12[[#This Row],[Régua]]&amp;" ("&amp;Tabela12[[#This Row],[Born]]&amp;")"</f>
        <v>HE-1 (1)</v>
      </c>
      <c r="G1194" s="27">
        <f>LEN(Tabela12[[#This Row],[Anilha]])</f>
        <v>8</v>
      </c>
      <c r="H1194" s="21">
        <f>VLOOKUP(Tabela12[[#This Row],[Tag Cabo]],BD!A:F,6,0)</f>
        <v>2.5</v>
      </c>
      <c r="I1194" s="27" t="s">
        <v>1707</v>
      </c>
      <c r="J1194" s="27" t="s">
        <v>1706</v>
      </c>
    </row>
    <row r="1195" spans="1:10" x14ac:dyDescent="0.25">
      <c r="A1195" s="21" t="s">
        <v>758</v>
      </c>
      <c r="B1195" s="391" t="str">
        <f>VLOOKUP(Tabela12[[#This Row],[Painel]],Tabela13[],2,0)</f>
        <v>GB-1203</v>
      </c>
      <c r="C1195" s="391" t="s">
        <v>733</v>
      </c>
      <c r="D1195" s="21" t="s">
        <v>1913</v>
      </c>
      <c r="E1195" s="21">
        <v>2</v>
      </c>
      <c r="F1195" s="27" t="str">
        <f>Tabela12[[#This Row],[Régua]]&amp;" ("&amp;Tabela12[[#This Row],[Born]]&amp;")"</f>
        <v>H2-2 (2)</v>
      </c>
      <c r="G1195" s="27">
        <f>LEN(Tabela12[[#This Row],[Anilha]])</f>
        <v>8</v>
      </c>
      <c r="H1195" s="21">
        <f>VLOOKUP(Tabela12[[#This Row],[Tag Cabo]],BD!A:F,6,0)</f>
        <v>2.5</v>
      </c>
      <c r="I1195" s="27" t="s">
        <v>1707</v>
      </c>
      <c r="J1195" s="27" t="s">
        <v>1706</v>
      </c>
    </row>
    <row r="1196" spans="1:10" x14ac:dyDescent="0.25">
      <c r="A1196" s="217" t="s">
        <v>758</v>
      </c>
      <c r="B1196" s="244" t="str">
        <f>VLOOKUP(Tabela12[[#This Row],[Painel]],Tabela13[],2,0)</f>
        <v>7HV</v>
      </c>
      <c r="C1196" s="244" t="s">
        <v>1626</v>
      </c>
      <c r="D1196" s="21" t="s">
        <v>1911</v>
      </c>
      <c r="E1196" s="21">
        <v>1</v>
      </c>
      <c r="F1196" s="27" t="str">
        <f>Tabela12[[#This Row],[Régua]]&amp;" ("&amp;Tabela12[[#This Row],[Born]]&amp;")"</f>
        <v>XF1 (1)</v>
      </c>
      <c r="G1196" s="27">
        <f>LEN(Tabela12[[#This Row],[Anilha]])</f>
        <v>7</v>
      </c>
      <c r="H1196" s="21">
        <f>VLOOKUP(Tabela12[[#This Row],[Tag Cabo]],BD!A:F,6,0)</f>
        <v>2.5</v>
      </c>
      <c r="I1196" s="27" t="s">
        <v>1707</v>
      </c>
      <c r="J1196" s="27" t="s">
        <v>1706</v>
      </c>
    </row>
    <row r="1197" spans="1:10" x14ac:dyDescent="0.25">
      <c r="A1197" s="21" t="s">
        <v>758</v>
      </c>
      <c r="B1197" s="391" t="str">
        <f>VLOOKUP(Tabela12[[#This Row],[Painel]],Tabela13[],2,0)</f>
        <v>7HV</v>
      </c>
      <c r="C1197" s="391" t="s">
        <v>1626</v>
      </c>
      <c r="D1197" s="21" t="s">
        <v>1911</v>
      </c>
      <c r="E1197" s="21">
        <v>2</v>
      </c>
      <c r="F1197" s="27" t="str">
        <f>Tabela12[[#This Row],[Régua]]&amp;" ("&amp;Tabela12[[#This Row],[Born]]&amp;")"</f>
        <v>XF1 (2)</v>
      </c>
      <c r="G1197" s="27">
        <f>LEN(Tabela12[[#This Row],[Anilha]])</f>
        <v>7</v>
      </c>
      <c r="H1197" s="21">
        <f>VLOOKUP(Tabela12[[#This Row],[Tag Cabo]],BD!A:F,6,0)</f>
        <v>2.5</v>
      </c>
      <c r="I1197" s="27" t="s">
        <v>1707</v>
      </c>
      <c r="J1197" s="27" t="s">
        <v>1706</v>
      </c>
    </row>
    <row r="1198" spans="1:10" x14ac:dyDescent="0.25">
      <c r="A1198" s="217" t="s">
        <v>777</v>
      </c>
      <c r="B1198" s="244" t="str">
        <f>VLOOKUP(Tabela12[[#This Row],[Painel]],Tabela13[],2,0)</f>
        <v>7HV</v>
      </c>
      <c r="C1198" s="244" t="s">
        <v>1626</v>
      </c>
      <c r="D1198" s="21" t="s">
        <v>1911</v>
      </c>
      <c r="E1198" s="21">
        <v>1</v>
      </c>
      <c r="F1198" s="27" t="str">
        <f>Tabela12[[#This Row],[Régua]]&amp;" ("&amp;Tabela12[[#This Row],[Born]]&amp;")"</f>
        <v>XF1 (1)</v>
      </c>
      <c r="G1198" s="27">
        <f>LEN(Tabela12[[#This Row],[Anilha]])</f>
        <v>7</v>
      </c>
      <c r="H1198" s="21">
        <f>VLOOKUP(Tabela12[[#This Row],[Tag Cabo]],BD!A:F,6,0)</f>
        <v>10</v>
      </c>
      <c r="I1198" s="27" t="s">
        <v>1707</v>
      </c>
      <c r="J1198" s="27" t="s">
        <v>1706</v>
      </c>
    </row>
    <row r="1199" spans="1:10" x14ac:dyDescent="0.25">
      <c r="A1199" s="21" t="s">
        <v>777</v>
      </c>
      <c r="B1199" s="391" t="str">
        <f>VLOOKUP(Tabela12[[#This Row],[Painel]],Tabela13[],2,0)</f>
        <v>7HV</v>
      </c>
      <c r="C1199" s="391" t="s">
        <v>1626</v>
      </c>
      <c r="D1199" s="21" t="s">
        <v>1911</v>
      </c>
      <c r="E1199" s="21">
        <v>2</v>
      </c>
      <c r="F1199" s="27" t="str">
        <f>Tabela12[[#This Row],[Régua]]&amp;" ("&amp;Tabela12[[#This Row],[Born]]&amp;")"</f>
        <v>XF1 (2)</v>
      </c>
      <c r="G1199" s="27">
        <f>LEN(Tabela12[[#This Row],[Anilha]])</f>
        <v>7</v>
      </c>
      <c r="H1199" s="21">
        <f>VLOOKUP(Tabela12[[#This Row],[Tag Cabo]],BD!A:F,6,0)</f>
        <v>10</v>
      </c>
      <c r="I1199" s="27" t="s">
        <v>1707</v>
      </c>
      <c r="J1199" s="27" t="s">
        <v>1706</v>
      </c>
    </row>
    <row r="1200" spans="1:10" x14ac:dyDescent="0.25">
      <c r="A1200" s="217" t="s">
        <v>777</v>
      </c>
      <c r="B1200" s="244" t="str">
        <f>VLOOKUP(Tabela12[[#This Row],[Painel]],Tabela13[],2,0)</f>
        <v>GB-200</v>
      </c>
      <c r="C1200" s="244" t="s">
        <v>762</v>
      </c>
      <c r="D1200" s="21" t="s">
        <v>1914</v>
      </c>
      <c r="E1200" s="21">
        <v>1</v>
      </c>
      <c r="F1200" s="27" t="str">
        <f>Tabela12[[#This Row],[Régua]]&amp;" ("&amp;Tabela12[[#This Row],[Born]]&amp;")"</f>
        <v>HE1-1 (1)</v>
      </c>
      <c r="G1200" s="27">
        <f>LEN(Tabela12[[#This Row],[Anilha]])</f>
        <v>9</v>
      </c>
      <c r="H1200" s="21">
        <f>VLOOKUP(Tabela12[[#This Row],[Tag Cabo]],BD!A:F,6,0)</f>
        <v>10</v>
      </c>
      <c r="I1200" s="27" t="s">
        <v>1707</v>
      </c>
      <c r="J1200" s="27" t="s">
        <v>1706</v>
      </c>
    </row>
    <row r="1201" spans="1:10" x14ac:dyDescent="0.25">
      <c r="A1201" s="21" t="s">
        <v>777</v>
      </c>
      <c r="B1201" s="391" t="str">
        <f>VLOOKUP(Tabela12[[#This Row],[Painel]],Tabela13[],2,0)</f>
        <v>GB-200</v>
      </c>
      <c r="C1201" s="391" t="s">
        <v>762</v>
      </c>
      <c r="D1201" s="21" t="s">
        <v>1915</v>
      </c>
      <c r="E1201" s="21">
        <v>2</v>
      </c>
      <c r="F1201" s="27" t="str">
        <f>Tabela12[[#This Row],[Régua]]&amp;" ("&amp;Tabela12[[#This Row],[Born]]&amp;")"</f>
        <v>HE1-2 (2)</v>
      </c>
      <c r="G1201" s="27">
        <f>LEN(Tabela12[[#This Row],[Anilha]])</f>
        <v>9</v>
      </c>
      <c r="H1201" s="21">
        <f>VLOOKUP(Tabela12[[#This Row],[Tag Cabo]],BD!A:F,6,0)</f>
        <v>10</v>
      </c>
      <c r="I1201" s="27" t="s">
        <v>1707</v>
      </c>
      <c r="J1201" s="27" t="s">
        <v>1706</v>
      </c>
    </row>
    <row r="1202" spans="1:10" x14ac:dyDescent="0.25">
      <c r="A1202" s="216" t="s">
        <v>781</v>
      </c>
      <c r="B1202" s="45" t="str">
        <f>VLOOKUP(Tabela12[[#This Row],[Painel]],Tabela13[],2,0)</f>
        <v>7HV</v>
      </c>
      <c r="C1202" s="244" t="s">
        <v>1626</v>
      </c>
      <c r="D1202" s="21" t="s">
        <v>1911</v>
      </c>
      <c r="E1202" s="21">
        <v>1</v>
      </c>
      <c r="F1202" s="27" t="str">
        <f>Tabela12[[#This Row],[Régua]]&amp;" ("&amp;Tabela12[[#This Row],[Born]]&amp;")"</f>
        <v>XF1 (1)</v>
      </c>
      <c r="G1202" s="27">
        <f>LEN(Tabela12[[#This Row],[Anilha]])</f>
        <v>7</v>
      </c>
      <c r="H1202" s="21">
        <f>VLOOKUP(Tabela12[[#This Row],[Tag Cabo]],BD!A:F,6,0)</f>
        <v>10</v>
      </c>
      <c r="I1202" s="27" t="s">
        <v>1707</v>
      </c>
      <c r="J1202" s="27" t="s">
        <v>1706</v>
      </c>
    </row>
    <row r="1203" spans="1:10" x14ac:dyDescent="0.25">
      <c r="A1203" s="216" t="s">
        <v>781</v>
      </c>
      <c r="B1203" s="45" t="str">
        <f>VLOOKUP(Tabela12[[#This Row],[Painel]],Tabela13[],2,0)</f>
        <v>7HV</v>
      </c>
      <c r="C1203" s="391" t="s">
        <v>1626</v>
      </c>
      <c r="D1203" s="21" t="s">
        <v>1911</v>
      </c>
      <c r="E1203" s="21">
        <v>2</v>
      </c>
      <c r="F1203" s="27" t="str">
        <f>Tabela12[[#This Row],[Régua]]&amp;" ("&amp;Tabela12[[#This Row],[Born]]&amp;")"</f>
        <v>XF1 (2)</v>
      </c>
      <c r="G1203" s="27">
        <f>LEN(Tabela12[[#This Row],[Anilha]])</f>
        <v>7</v>
      </c>
      <c r="H1203" s="21">
        <f>VLOOKUP(Tabela12[[#This Row],[Tag Cabo]],BD!A:F,6,0)</f>
        <v>10</v>
      </c>
      <c r="I1203" s="27" t="s">
        <v>1707</v>
      </c>
      <c r="J1203" s="27" t="s">
        <v>1706</v>
      </c>
    </row>
    <row r="1204" spans="1:10" x14ac:dyDescent="0.25">
      <c r="A1204" s="216" t="s">
        <v>781</v>
      </c>
      <c r="B1204" s="45" t="str">
        <f>VLOOKUP(Tabela12[[#This Row],[Painel]],Tabela13[],2,0)</f>
        <v>GB-200</v>
      </c>
      <c r="C1204" s="244" t="s">
        <v>762</v>
      </c>
      <c r="D1204" s="21" t="s">
        <v>1916</v>
      </c>
      <c r="E1204" s="21">
        <v>1</v>
      </c>
      <c r="F1204" s="27" t="str">
        <f>Tabela12[[#This Row],[Régua]]&amp;" ("&amp;Tabela12[[#This Row],[Born]]&amp;")"</f>
        <v>HE2-1 (1)</v>
      </c>
      <c r="G1204" s="27">
        <f>LEN(Tabela12[[#This Row],[Anilha]])</f>
        <v>9</v>
      </c>
      <c r="H1204" s="21">
        <f>VLOOKUP(Tabela12[[#This Row],[Tag Cabo]],BD!A:F,6,0)</f>
        <v>10</v>
      </c>
      <c r="I1204" s="27" t="s">
        <v>1707</v>
      </c>
      <c r="J1204" s="27" t="s">
        <v>1706</v>
      </c>
    </row>
    <row r="1205" spans="1:10" x14ac:dyDescent="0.25">
      <c r="A1205" s="216" t="s">
        <v>781</v>
      </c>
      <c r="B1205" s="45" t="str">
        <f>VLOOKUP(Tabela12[[#This Row],[Painel]],Tabela13[],2,0)</f>
        <v>GB-200</v>
      </c>
      <c r="C1205" s="391" t="s">
        <v>762</v>
      </c>
      <c r="D1205" s="21" t="s">
        <v>1917</v>
      </c>
      <c r="E1205" s="21">
        <v>2</v>
      </c>
      <c r="F1205" s="27" t="str">
        <f>Tabela12[[#This Row],[Régua]]&amp;" ("&amp;Tabela12[[#This Row],[Born]]&amp;")"</f>
        <v>HE2-2 (2)</v>
      </c>
      <c r="G1205" s="27">
        <f>LEN(Tabela12[[#This Row],[Anilha]])</f>
        <v>9</v>
      </c>
      <c r="H1205" s="21">
        <f>VLOOKUP(Tabela12[[#This Row],[Tag Cabo]],BD!A:F,6,0)</f>
        <v>10</v>
      </c>
      <c r="I1205" s="27" t="s">
        <v>1707</v>
      </c>
      <c r="J1205" s="27" t="s">
        <v>1706</v>
      </c>
    </row>
    <row r="1206" spans="1:10" x14ac:dyDescent="0.25">
      <c r="A1206" s="216" t="s">
        <v>783</v>
      </c>
      <c r="B1206" s="45" t="str">
        <f>VLOOKUP(Tabela12[[#This Row],[Painel]],Tabela13[],2,0)</f>
        <v>7HV</v>
      </c>
      <c r="C1206" s="244" t="s">
        <v>1626</v>
      </c>
      <c r="D1206" s="21" t="s">
        <v>1911</v>
      </c>
      <c r="E1206" s="21">
        <v>1</v>
      </c>
      <c r="F1206" s="27" t="str">
        <f>Tabela12[[#This Row],[Régua]]&amp;" ("&amp;Tabela12[[#This Row],[Born]]&amp;")"</f>
        <v>XF1 (1)</v>
      </c>
      <c r="G1206" s="27">
        <f>LEN(Tabela12[[#This Row],[Anilha]])</f>
        <v>7</v>
      </c>
      <c r="H1206" s="21">
        <f>VLOOKUP(Tabela12[[#This Row],[Tag Cabo]],BD!A:F,6,0)</f>
        <v>10</v>
      </c>
      <c r="I1206" s="27" t="s">
        <v>1707</v>
      </c>
      <c r="J1206" s="27" t="s">
        <v>1706</v>
      </c>
    </row>
    <row r="1207" spans="1:10" x14ac:dyDescent="0.25">
      <c r="A1207" s="216" t="s">
        <v>783</v>
      </c>
      <c r="B1207" s="45" t="str">
        <f>VLOOKUP(Tabela12[[#This Row],[Painel]],Tabela13[],2,0)</f>
        <v>7HV</v>
      </c>
      <c r="C1207" s="391" t="s">
        <v>1626</v>
      </c>
      <c r="D1207" s="21" t="s">
        <v>1911</v>
      </c>
      <c r="E1207" s="21">
        <v>2</v>
      </c>
      <c r="F1207" s="27" t="str">
        <f>Tabela12[[#This Row],[Régua]]&amp;" ("&amp;Tabela12[[#This Row],[Born]]&amp;")"</f>
        <v>XF1 (2)</v>
      </c>
      <c r="G1207" s="27">
        <f>LEN(Tabela12[[#This Row],[Anilha]])</f>
        <v>7</v>
      </c>
      <c r="H1207" s="21">
        <f>VLOOKUP(Tabela12[[#This Row],[Tag Cabo]],BD!A:F,6,0)</f>
        <v>10</v>
      </c>
      <c r="I1207" s="27" t="s">
        <v>1707</v>
      </c>
      <c r="J1207" s="27" t="s">
        <v>1706</v>
      </c>
    </row>
    <row r="1208" spans="1:10" x14ac:dyDescent="0.25">
      <c r="A1208" s="216" t="s">
        <v>783</v>
      </c>
      <c r="B1208" s="45" t="str">
        <f>VLOOKUP(Tabela12[[#This Row],[Painel]],Tabela13[],2,0)</f>
        <v>GB-200</v>
      </c>
      <c r="C1208" s="244" t="s">
        <v>762</v>
      </c>
      <c r="D1208" s="21" t="s">
        <v>1918</v>
      </c>
      <c r="E1208" s="21">
        <v>1</v>
      </c>
      <c r="F1208" s="27" t="str">
        <f>Tabela12[[#This Row],[Régua]]&amp;" ("&amp;Tabela12[[#This Row],[Born]]&amp;")"</f>
        <v>HE3-1 (1)</v>
      </c>
      <c r="G1208" s="27">
        <f>LEN(Tabela12[[#This Row],[Anilha]])</f>
        <v>9</v>
      </c>
      <c r="H1208" s="21">
        <f>VLOOKUP(Tabela12[[#This Row],[Tag Cabo]],BD!A:F,6,0)</f>
        <v>10</v>
      </c>
      <c r="I1208" s="27" t="s">
        <v>1707</v>
      </c>
      <c r="J1208" s="27" t="s">
        <v>1706</v>
      </c>
    </row>
    <row r="1209" spans="1:10" x14ac:dyDescent="0.25">
      <c r="A1209" s="216" t="s">
        <v>783</v>
      </c>
      <c r="B1209" s="45" t="str">
        <f>VLOOKUP(Tabela12[[#This Row],[Painel]],Tabela13[],2,0)</f>
        <v>GB-200</v>
      </c>
      <c r="C1209" s="391" t="s">
        <v>762</v>
      </c>
      <c r="D1209" s="21" t="s">
        <v>1919</v>
      </c>
      <c r="E1209" s="21">
        <v>2</v>
      </c>
      <c r="F1209" s="27" t="str">
        <f>Tabela12[[#This Row],[Régua]]&amp;" ("&amp;Tabela12[[#This Row],[Born]]&amp;")"</f>
        <v>HE3-2 (2)</v>
      </c>
      <c r="G1209" s="27">
        <f>LEN(Tabela12[[#This Row],[Anilha]])</f>
        <v>9</v>
      </c>
      <c r="H1209" s="21">
        <f>VLOOKUP(Tabela12[[#This Row],[Tag Cabo]],BD!A:F,6,0)</f>
        <v>10</v>
      </c>
      <c r="I1209" s="27" t="s">
        <v>1707</v>
      </c>
      <c r="J1209" s="27" t="s">
        <v>1706</v>
      </c>
    </row>
    <row r="1210" spans="1:10" x14ac:dyDescent="0.25">
      <c r="A1210" s="216" t="s">
        <v>794</v>
      </c>
      <c r="B1210" s="45" t="str">
        <f>VLOOKUP(Tabela12[[#This Row],[Painel]],Tabela13[],2,0)</f>
        <v>7HV</v>
      </c>
      <c r="C1210" s="45" t="s">
        <v>1626</v>
      </c>
      <c r="D1210" s="21" t="s">
        <v>1911</v>
      </c>
      <c r="E1210" s="21">
        <v>1</v>
      </c>
      <c r="F1210" s="27" t="str">
        <f>Tabela12[[#This Row],[Régua]]&amp;" ("&amp;Tabela12[[#This Row],[Born]]&amp;")"</f>
        <v>XF1 (1)</v>
      </c>
      <c r="G1210" s="27">
        <f>LEN(Tabela12[[#This Row],[Anilha]])</f>
        <v>7</v>
      </c>
      <c r="H1210" s="21">
        <f>VLOOKUP(Tabela12[[#This Row],[Tag Cabo]],BD!A:F,6,0)</f>
        <v>10</v>
      </c>
      <c r="I1210" s="27" t="s">
        <v>1707</v>
      </c>
      <c r="J1210" s="27" t="s">
        <v>1706</v>
      </c>
    </row>
    <row r="1211" spans="1:10" x14ac:dyDescent="0.25">
      <c r="A1211" s="216" t="s">
        <v>794</v>
      </c>
      <c r="B1211" s="45" t="str">
        <f>VLOOKUP(Tabela12[[#This Row],[Painel]],Tabela13[],2,0)</f>
        <v>7HV</v>
      </c>
      <c r="C1211" s="45" t="s">
        <v>1626</v>
      </c>
      <c r="D1211" s="21" t="s">
        <v>1911</v>
      </c>
      <c r="E1211" s="21">
        <v>2</v>
      </c>
      <c r="F1211" s="27" t="str">
        <f>Tabela12[[#This Row],[Régua]]&amp;" ("&amp;Tabela12[[#This Row],[Born]]&amp;")"</f>
        <v>XF1 (2)</v>
      </c>
      <c r="G1211" s="27">
        <f>LEN(Tabela12[[#This Row],[Anilha]])</f>
        <v>7</v>
      </c>
      <c r="H1211" s="21">
        <f>VLOOKUP(Tabela12[[#This Row],[Tag Cabo]],BD!A:F,6,0)</f>
        <v>10</v>
      </c>
      <c r="I1211" s="27" t="s">
        <v>1707</v>
      </c>
      <c r="J1211" s="27" t="s">
        <v>1706</v>
      </c>
    </row>
    <row r="1212" spans="1:10" x14ac:dyDescent="0.25">
      <c r="A1212" s="216" t="s">
        <v>794</v>
      </c>
      <c r="B1212" s="45" t="str">
        <f>VLOOKUP(Tabela12[[#This Row],[Painel]],Tabela13[],2,0)</f>
        <v>GB-351</v>
      </c>
      <c r="C1212" s="45" t="s">
        <v>787</v>
      </c>
      <c r="D1212" s="21" t="s">
        <v>1914</v>
      </c>
      <c r="E1212" s="21">
        <v>1</v>
      </c>
      <c r="F1212" s="27" t="str">
        <f>Tabela12[[#This Row],[Régua]]&amp;" ("&amp;Tabela12[[#This Row],[Born]]&amp;")"</f>
        <v>HE1-1 (1)</v>
      </c>
      <c r="G1212" s="27">
        <f>LEN(Tabela12[[#This Row],[Anilha]])</f>
        <v>9</v>
      </c>
      <c r="H1212" s="21">
        <f>VLOOKUP(Tabela12[[#This Row],[Tag Cabo]],BD!A:F,6,0)</f>
        <v>10</v>
      </c>
      <c r="I1212" s="27" t="s">
        <v>1707</v>
      </c>
      <c r="J1212" s="27" t="s">
        <v>1706</v>
      </c>
    </row>
    <row r="1213" spans="1:10" x14ac:dyDescent="0.25">
      <c r="A1213" s="216" t="s">
        <v>794</v>
      </c>
      <c r="B1213" s="45" t="str">
        <f>VLOOKUP(Tabela12[[#This Row],[Painel]],Tabela13[],2,0)</f>
        <v>GB-351</v>
      </c>
      <c r="C1213" s="45" t="s">
        <v>787</v>
      </c>
      <c r="D1213" s="21" t="s">
        <v>1915</v>
      </c>
      <c r="E1213" s="21">
        <v>2</v>
      </c>
      <c r="F1213" s="27" t="str">
        <f>Tabela12[[#This Row],[Régua]]&amp;" ("&amp;Tabela12[[#This Row],[Born]]&amp;")"</f>
        <v>HE1-2 (2)</v>
      </c>
      <c r="G1213" s="27">
        <f>LEN(Tabela12[[#This Row],[Anilha]])</f>
        <v>9</v>
      </c>
      <c r="H1213" s="21">
        <f>VLOOKUP(Tabela12[[#This Row],[Tag Cabo]],BD!A:F,6,0)</f>
        <v>10</v>
      </c>
      <c r="I1213" s="27" t="s">
        <v>1707</v>
      </c>
      <c r="J1213" s="27" t="s">
        <v>1706</v>
      </c>
    </row>
    <row r="1214" spans="1:10" x14ac:dyDescent="0.25">
      <c r="A1214" s="216" t="s">
        <v>534</v>
      </c>
      <c r="B1214" s="45" t="str">
        <f>VLOOKUP(Tabela12[[#This Row],[Painel]],Tabela13[],2,0)</f>
        <v>7HV</v>
      </c>
      <c r="C1214" s="45" t="s">
        <v>1583</v>
      </c>
      <c r="D1214" s="21" t="s">
        <v>1920</v>
      </c>
      <c r="E1214" s="21">
        <v>1</v>
      </c>
      <c r="F1214" s="27" t="str">
        <f>Tabela12[[#This Row],[Régua]]&amp;" ("&amp;Tabela12[[#This Row],[Born]]&amp;")"</f>
        <v>TBA (1)</v>
      </c>
      <c r="G1214" s="27">
        <f>LEN(Tabela12[[#This Row],[Anilha]])</f>
        <v>7</v>
      </c>
      <c r="H1214" s="21">
        <f>VLOOKUP(Tabela12[[#This Row],[Tag Cabo]],BD!A:F,6,0)</f>
        <v>4</v>
      </c>
      <c r="I1214" s="27" t="s">
        <v>1707</v>
      </c>
      <c r="J1214" s="27" t="s">
        <v>1706</v>
      </c>
    </row>
    <row r="1215" spans="1:10" x14ac:dyDescent="0.25">
      <c r="A1215" s="21" t="s">
        <v>534</v>
      </c>
      <c r="B1215" s="391" t="str">
        <f>VLOOKUP(Tabela12[[#This Row],[Painel]],Tabela13[],2,0)</f>
        <v>7HV</v>
      </c>
      <c r="C1215" s="391" t="s">
        <v>1583</v>
      </c>
      <c r="D1215" s="21" t="s">
        <v>1920</v>
      </c>
      <c r="E1215" s="21">
        <v>2</v>
      </c>
      <c r="F1215" s="27" t="str">
        <f>Tabela12[[#This Row],[Régua]]&amp;" ("&amp;Tabela12[[#This Row],[Born]]&amp;")"</f>
        <v>TBA (2)</v>
      </c>
      <c r="G1215" s="27">
        <f>LEN(Tabela12[[#This Row],[Anilha]])</f>
        <v>7</v>
      </c>
      <c r="H1215" s="21">
        <f>VLOOKUP(Tabela12[[#This Row],[Tag Cabo]],BD!A:F,6,0)</f>
        <v>4</v>
      </c>
      <c r="I1215" s="27" t="s">
        <v>1707</v>
      </c>
      <c r="J1215" s="27" t="s">
        <v>1706</v>
      </c>
    </row>
    <row r="1216" spans="1:10" x14ac:dyDescent="0.25">
      <c r="A1216" s="216" t="s">
        <v>534</v>
      </c>
      <c r="B1216" s="45" t="str">
        <f>VLOOKUP(Tabela12[[#This Row],[Painel]],Tabela13[],2,0)</f>
        <v>7HV</v>
      </c>
      <c r="C1216" s="45" t="s">
        <v>1627</v>
      </c>
      <c r="D1216" s="21" t="s">
        <v>1921</v>
      </c>
      <c r="E1216" s="21">
        <v>15</v>
      </c>
      <c r="F1216" s="27" t="str">
        <f>Tabela12[[#This Row],[Régua]]&amp;" ("&amp;Tabela12[[#This Row],[Born]]&amp;")"</f>
        <v>XF3 (15)</v>
      </c>
      <c r="G1216" s="27">
        <f>LEN(Tabela12[[#This Row],[Anilha]])</f>
        <v>8</v>
      </c>
      <c r="H1216" s="21">
        <f>VLOOKUP(Tabela12[[#This Row],[Tag Cabo]],BD!A:F,6,0)</f>
        <v>4</v>
      </c>
      <c r="I1216" s="27" t="s">
        <v>1707</v>
      </c>
      <c r="J1216" s="27" t="s">
        <v>1706</v>
      </c>
    </row>
    <row r="1217" spans="1:10" x14ac:dyDescent="0.25">
      <c r="A1217" s="216" t="s">
        <v>534</v>
      </c>
      <c r="B1217" s="45" t="str">
        <f>VLOOKUP(Tabela12[[#This Row],[Painel]],Tabela13[],2,0)</f>
        <v>7HV</v>
      </c>
      <c r="C1217" s="391" t="s">
        <v>1627</v>
      </c>
      <c r="D1217" s="21" t="s">
        <v>1921</v>
      </c>
      <c r="E1217" s="21">
        <v>16</v>
      </c>
      <c r="F1217" s="27" t="str">
        <f>Tabela12[[#This Row],[Régua]]&amp;" ("&amp;Tabela12[[#This Row],[Born]]&amp;")"</f>
        <v>XF3 (16)</v>
      </c>
      <c r="G1217" s="27">
        <f>LEN(Tabela12[[#This Row],[Anilha]])</f>
        <v>8</v>
      </c>
      <c r="H1217" s="21">
        <f>VLOOKUP(Tabela12[[#This Row],[Tag Cabo]],BD!A:F,6,0)</f>
        <v>4</v>
      </c>
      <c r="I1217" s="27" t="s">
        <v>1707</v>
      </c>
      <c r="J1217" s="27" t="s">
        <v>1706</v>
      </c>
    </row>
    <row r="1218" spans="1:10" x14ac:dyDescent="0.25">
      <c r="A1218" s="216" t="s">
        <v>538</v>
      </c>
      <c r="B1218" s="45" t="str">
        <f>VLOOKUP(Tabela12[[#This Row],[Painel]],Tabela13[],2,0)</f>
        <v>7HV</v>
      </c>
      <c r="C1218" s="45" t="s">
        <v>1583</v>
      </c>
      <c r="D1218" s="21" t="s">
        <v>1920</v>
      </c>
      <c r="E1218" s="21">
        <v>1</v>
      </c>
      <c r="F1218" s="27" t="str">
        <f>Tabela12[[#This Row],[Régua]]&amp;" ("&amp;Tabela12[[#This Row],[Born]]&amp;")"</f>
        <v>TBA (1)</v>
      </c>
      <c r="G1218" s="27">
        <f>LEN(Tabela12[[#This Row],[Anilha]])</f>
        <v>7</v>
      </c>
      <c r="H1218" s="21">
        <f>VLOOKUP(Tabela12[[#This Row],[Tag Cabo]],BD!A:F,6,0)</f>
        <v>4</v>
      </c>
      <c r="I1218" s="27" t="s">
        <v>1707</v>
      </c>
      <c r="J1218" s="27" t="s">
        <v>1706</v>
      </c>
    </row>
    <row r="1219" spans="1:10" x14ac:dyDescent="0.25">
      <c r="A1219" s="216" t="s">
        <v>538</v>
      </c>
      <c r="B1219" s="45" t="str">
        <f>VLOOKUP(Tabela12[[#This Row],[Painel]],Tabela13[],2,0)</f>
        <v>7HV</v>
      </c>
      <c r="C1219" s="391" t="s">
        <v>1583</v>
      </c>
      <c r="D1219" s="21" t="s">
        <v>1920</v>
      </c>
      <c r="E1219" s="21">
        <v>2</v>
      </c>
      <c r="F1219" s="27" t="str">
        <f>Tabela12[[#This Row],[Régua]]&amp;" ("&amp;Tabela12[[#This Row],[Born]]&amp;")"</f>
        <v>TBA (2)</v>
      </c>
      <c r="G1219" s="27">
        <f>LEN(Tabela12[[#This Row],[Anilha]])</f>
        <v>7</v>
      </c>
      <c r="H1219" s="21">
        <f>VLOOKUP(Tabela12[[#This Row],[Tag Cabo]],BD!A:F,6,0)</f>
        <v>4</v>
      </c>
      <c r="I1219" s="27" t="s">
        <v>1707</v>
      </c>
      <c r="J1219" s="27" t="s">
        <v>1706</v>
      </c>
    </row>
    <row r="1220" spans="1:10" x14ac:dyDescent="0.25">
      <c r="A1220" s="216" t="s">
        <v>538</v>
      </c>
      <c r="B1220" s="45" t="str">
        <f>VLOOKUP(Tabela12[[#This Row],[Painel]],Tabela13[],2,0)</f>
        <v>7HV</v>
      </c>
      <c r="C1220" s="45" t="s">
        <v>1627</v>
      </c>
      <c r="D1220" s="21" t="s">
        <v>1921</v>
      </c>
      <c r="E1220" s="21">
        <v>19</v>
      </c>
      <c r="F1220" s="27" t="str">
        <f>Tabela12[[#This Row],[Régua]]&amp;" ("&amp;Tabela12[[#This Row],[Born]]&amp;")"</f>
        <v>XF3 (19)</v>
      </c>
      <c r="G1220" s="27">
        <f>LEN(Tabela12[[#This Row],[Anilha]])</f>
        <v>8</v>
      </c>
      <c r="H1220" s="21">
        <f>VLOOKUP(Tabela12[[#This Row],[Tag Cabo]],BD!A:F,6,0)</f>
        <v>4</v>
      </c>
      <c r="I1220" s="27" t="s">
        <v>1707</v>
      </c>
      <c r="J1220" s="27" t="s">
        <v>1706</v>
      </c>
    </row>
    <row r="1221" spans="1:10" x14ac:dyDescent="0.25">
      <c r="A1221" s="216" t="s">
        <v>538</v>
      </c>
      <c r="B1221" s="45" t="str">
        <f>VLOOKUP(Tabela12[[#This Row],[Painel]],Tabela13[],2,0)</f>
        <v>7HV</v>
      </c>
      <c r="C1221" s="391" t="s">
        <v>1627</v>
      </c>
      <c r="D1221" s="21" t="s">
        <v>1921</v>
      </c>
      <c r="E1221" s="21">
        <v>20</v>
      </c>
      <c r="F1221" s="27" t="str">
        <f>Tabela12[[#This Row],[Régua]]&amp;" ("&amp;Tabela12[[#This Row],[Born]]&amp;")"</f>
        <v>XF3 (20)</v>
      </c>
      <c r="G1221" s="27">
        <f>LEN(Tabela12[[#This Row],[Anilha]])</f>
        <v>8</v>
      </c>
      <c r="H1221" s="21">
        <f>VLOOKUP(Tabela12[[#This Row],[Tag Cabo]],BD!A:F,6,0)</f>
        <v>4</v>
      </c>
      <c r="I1221" s="27" t="s">
        <v>1707</v>
      </c>
      <c r="J1221" s="27" t="s">
        <v>1706</v>
      </c>
    </row>
    <row r="1222" spans="1:10" x14ac:dyDescent="0.25">
      <c r="A1222" s="21" t="s">
        <v>478</v>
      </c>
      <c r="B1222" s="391" t="str">
        <f>VLOOKUP(Tabela12[[#This Row],[Painel]],Tabela13[],2,0)</f>
        <v>7HV</v>
      </c>
      <c r="C1222" s="391" t="s">
        <v>1567</v>
      </c>
      <c r="D1222" s="21" t="s">
        <v>1922</v>
      </c>
      <c r="E1222" s="21">
        <v>1</v>
      </c>
      <c r="F1222" s="27" t="str">
        <f>Tabela12[[#This Row],[Régua]]&amp;" ("&amp;Tabela12[[#This Row],[Born]]&amp;")"</f>
        <v>BCN (1)</v>
      </c>
      <c r="G1222" s="27">
        <f>LEN(Tabela12[[#This Row],[Anilha]])</f>
        <v>7</v>
      </c>
      <c r="H1222" s="21">
        <f>VLOOKUP(Tabela12[[#This Row],[Tag Cabo]],BD!A:F,6,0)</f>
        <v>2.5</v>
      </c>
      <c r="I1222" s="27" t="s">
        <v>1707</v>
      </c>
      <c r="J1222" s="27" t="s">
        <v>1706</v>
      </c>
    </row>
    <row r="1223" spans="1:10" x14ac:dyDescent="0.25">
      <c r="A1223" s="21" t="s">
        <v>478</v>
      </c>
      <c r="B1223" s="391" t="str">
        <f>VLOOKUP(Tabela12[[#This Row],[Painel]],Tabela13[],2,0)</f>
        <v>7HV</v>
      </c>
      <c r="C1223" s="391" t="s">
        <v>1567</v>
      </c>
      <c r="D1223" s="21" t="s">
        <v>1922</v>
      </c>
      <c r="E1223" s="21">
        <v>2</v>
      </c>
      <c r="F1223" s="27" t="str">
        <f>Tabela12[[#This Row],[Régua]]&amp;" ("&amp;Tabela12[[#This Row],[Born]]&amp;")"</f>
        <v>BCN (2)</v>
      </c>
      <c r="G1223" s="27">
        <f>LEN(Tabela12[[#This Row],[Anilha]])</f>
        <v>7</v>
      </c>
      <c r="H1223" s="21">
        <f>VLOOKUP(Tabela12[[#This Row],[Tag Cabo]],BD!A:F,6,0)</f>
        <v>2.5</v>
      </c>
      <c r="I1223" s="27" t="s">
        <v>1707</v>
      </c>
      <c r="J1223" s="27" t="s">
        <v>1706</v>
      </c>
    </row>
    <row r="1224" spans="1:10" x14ac:dyDescent="0.25">
      <c r="A1224" s="21" t="s">
        <v>478</v>
      </c>
      <c r="B1224" s="391" t="str">
        <f>VLOOKUP(Tabela12[[#This Row],[Painel]],Tabela13[],2,0)</f>
        <v>7HV</v>
      </c>
      <c r="C1224" s="391" t="s">
        <v>1567</v>
      </c>
      <c r="D1224" s="21" t="s">
        <v>1922</v>
      </c>
      <c r="E1224" s="21">
        <v>31</v>
      </c>
      <c r="F1224" s="27" t="str">
        <f>Tabela12[[#This Row],[Régua]]&amp;" ("&amp;Tabela12[[#This Row],[Born]]&amp;")"</f>
        <v>BCN (31)</v>
      </c>
      <c r="G1224" s="27">
        <f>LEN(Tabela12[[#This Row],[Anilha]])</f>
        <v>8</v>
      </c>
      <c r="H1224" s="21">
        <f>VLOOKUP(Tabela12[[#This Row],[Tag Cabo]],BD!A:F,6,0)</f>
        <v>2.5</v>
      </c>
      <c r="I1224" s="27" t="s">
        <v>1707</v>
      </c>
      <c r="J1224" s="27" t="s">
        <v>1706</v>
      </c>
    </row>
    <row r="1225" spans="1:10" x14ac:dyDescent="0.25">
      <c r="A1225" s="21" t="s">
        <v>478</v>
      </c>
      <c r="B1225" s="391" t="str">
        <f>VLOOKUP(Tabela12[[#This Row],[Painel]],Tabela13[],2,0)</f>
        <v>7HV</v>
      </c>
      <c r="C1225" s="391" t="s">
        <v>1567</v>
      </c>
      <c r="D1225" s="21" t="s">
        <v>1922</v>
      </c>
      <c r="E1225" s="21">
        <v>32</v>
      </c>
      <c r="F1225" s="27" t="str">
        <f>Tabela12[[#This Row],[Régua]]&amp;" ("&amp;Tabela12[[#This Row],[Born]]&amp;")"</f>
        <v>BCN (32)</v>
      </c>
      <c r="G1225" s="27">
        <f>LEN(Tabela12[[#This Row],[Anilha]])</f>
        <v>8</v>
      </c>
      <c r="H1225" s="21">
        <f>VLOOKUP(Tabela12[[#This Row],[Tag Cabo]],BD!A:F,6,0)</f>
        <v>2.5</v>
      </c>
      <c r="I1225" s="27" t="s">
        <v>1707</v>
      </c>
      <c r="J1225" s="27" t="s">
        <v>1706</v>
      </c>
    </row>
    <row r="1226" spans="1:10" x14ac:dyDescent="0.25">
      <c r="A1226" s="21" t="s">
        <v>478</v>
      </c>
      <c r="B1226" s="391" t="str">
        <f>VLOOKUP(Tabela12[[#This Row],[Painel]],Tabela13[],2,0)</f>
        <v>7HV</v>
      </c>
      <c r="C1226" s="391" t="s">
        <v>480</v>
      </c>
      <c r="D1226" s="21" t="s">
        <v>1883</v>
      </c>
      <c r="E1226" s="21">
        <v>1</v>
      </c>
      <c r="F1226" s="27" t="str">
        <f>Tabela12[[#This Row],[Régua]]&amp;" ("&amp;Tabela12[[#This Row],[Born]]&amp;")"</f>
        <v>XDESCC (1)</v>
      </c>
      <c r="G1226" s="27">
        <f>LEN(Tabela12[[#This Row],[Anilha]])</f>
        <v>10</v>
      </c>
      <c r="H1226" s="21">
        <f>VLOOKUP(Tabela12[[#This Row],[Tag Cabo]],BD!A:F,6,0)</f>
        <v>2.5</v>
      </c>
      <c r="I1226" s="27" t="s">
        <v>1707</v>
      </c>
      <c r="J1226" s="27" t="s">
        <v>1706</v>
      </c>
    </row>
    <row r="1227" spans="1:10" x14ac:dyDescent="0.25">
      <c r="A1227" s="21" t="s">
        <v>478</v>
      </c>
      <c r="B1227" s="391" t="str">
        <f>VLOOKUP(Tabela12[[#This Row],[Painel]],Tabela13[],2,0)</f>
        <v>7HV</v>
      </c>
      <c r="C1227" s="391" t="s">
        <v>480</v>
      </c>
      <c r="D1227" s="21" t="s">
        <v>1883</v>
      </c>
      <c r="E1227" s="21">
        <v>2</v>
      </c>
      <c r="F1227" s="27" t="str">
        <f>Tabela12[[#This Row],[Régua]]&amp;" ("&amp;Tabela12[[#This Row],[Born]]&amp;")"</f>
        <v>XDESCC (2)</v>
      </c>
      <c r="G1227" s="27">
        <f>LEN(Tabela12[[#This Row],[Anilha]])</f>
        <v>10</v>
      </c>
      <c r="H1227" s="21">
        <f>VLOOKUP(Tabela12[[#This Row],[Tag Cabo]],BD!A:F,6,0)</f>
        <v>2.5</v>
      </c>
      <c r="I1227" s="27" t="s">
        <v>1707</v>
      </c>
      <c r="J1227" s="27" t="s">
        <v>1706</v>
      </c>
    </row>
    <row r="1228" spans="1:10" x14ac:dyDescent="0.25">
      <c r="A1228" s="21" t="s">
        <v>478</v>
      </c>
      <c r="B1228" s="391" t="str">
        <f>VLOOKUP(Tabela12[[#This Row],[Painel]],Tabela13[],2,0)</f>
        <v>7HV</v>
      </c>
      <c r="C1228" s="391" t="s">
        <v>480</v>
      </c>
      <c r="D1228" s="21" t="s">
        <v>1883</v>
      </c>
      <c r="E1228" s="21">
        <v>3</v>
      </c>
      <c r="F1228" s="27" t="str">
        <f>Tabela12[[#This Row],[Régua]]&amp;" ("&amp;Tabela12[[#This Row],[Born]]&amp;")"</f>
        <v>XDESCC (3)</v>
      </c>
      <c r="G1228" s="27">
        <f>LEN(Tabela12[[#This Row],[Anilha]])</f>
        <v>10</v>
      </c>
      <c r="H1228" s="21">
        <f>VLOOKUP(Tabela12[[#This Row],[Tag Cabo]],BD!A:F,6,0)</f>
        <v>2.5</v>
      </c>
      <c r="I1228" s="27" t="s">
        <v>1707</v>
      </c>
      <c r="J1228" s="27" t="s">
        <v>1706</v>
      </c>
    </row>
    <row r="1229" spans="1:10" x14ac:dyDescent="0.25">
      <c r="A1229" s="21" t="s">
        <v>478</v>
      </c>
      <c r="B1229" s="391" t="str">
        <f>VLOOKUP(Tabela12[[#This Row],[Painel]],Tabela13[],2,0)</f>
        <v>7HV</v>
      </c>
      <c r="C1229" s="391" t="s">
        <v>480</v>
      </c>
      <c r="D1229" s="21" t="s">
        <v>1883</v>
      </c>
      <c r="E1229" s="21">
        <v>4</v>
      </c>
      <c r="F1229" s="27" t="str">
        <f>Tabela12[[#This Row],[Régua]]&amp;" ("&amp;Tabela12[[#This Row],[Born]]&amp;")"</f>
        <v>XDESCC (4)</v>
      </c>
      <c r="G1229" s="27">
        <f>LEN(Tabela12[[#This Row],[Anilha]])</f>
        <v>10</v>
      </c>
      <c r="H1229" s="21">
        <f>VLOOKUP(Tabela12[[#This Row],[Tag Cabo]],BD!A:F,6,0)</f>
        <v>2.5</v>
      </c>
      <c r="I1229" s="27" t="s">
        <v>1707</v>
      </c>
      <c r="J1229" s="27" t="s">
        <v>1706</v>
      </c>
    </row>
    <row r="1230" spans="1:10" x14ac:dyDescent="0.25">
      <c r="A1230" s="21" t="s">
        <v>484</v>
      </c>
      <c r="B1230" s="391" t="str">
        <f>VLOOKUP(Tabela12[[#This Row],[Painel]],Tabela13[],2,0)</f>
        <v>7HV</v>
      </c>
      <c r="C1230" s="391" t="s">
        <v>1567</v>
      </c>
      <c r="D1230" s="21" t="s">
        <v>1922</v>
      </c>
      <c r="E1230" s="21">
        <v>3</v>
      </c>
      <c r="F1230" s="27" t="str">
        <f>Tabela12[[#This Row],[Régua]]&amp;" ("&amp;Tabela12[[#This Row],[Born]]&amp;")"</f>
        <v>BCN (3)</v>
      </c>
      <c r="G1230" s="27">
        <f>LEN(Tabela12[[#This Row],[Anilha]])</f>
        <v>7</v>
      </c>
      <c r="H1230" s="21">
        <f>VLOOKUP(Tabela12[[#This Row],[Tag Cabo]],BD!A:F,6,0)</f>
        <v>2.5</v>
      </c>
      <c r="I1230" s="27" t="s">
        <v>1707</v>
      </c>
      <c r="J1230" s="27" t="s">
        <v>1706</v>
      </c>
    </row>
    <row r="1231" spans="1:10" x14ac:dyDescent="0.25">
      <c r="A1231" s="21" t="s">
        <v>484</v>
      </c>
      <c r="B1231" s="391" t="str">
        <f>VLOOKUP(Tabela12[[#This Row],[Painel]],Tabela13[],2,0)</f>
        <v>7HV</v>
      </c>
      <c r="C1231" s="391" t="s">
        <v>1567</v>
      </c>
      <c r="D1231" s="21" t="s">
        <v>1922</v>
      </c>
      <c r="E1231" s="21">
        <v>4</v>
      </c>
      <c r="F1231" s="27" t="str">
        <f>Tabela12[[#This Row],[Régua]]&amp;" ("&amp;Tabela12[[#This Row],[Born]]&amp;")"</f>
        <v>BCN (4)</v>
      </c>
      <c r="G1231" s="27">
        <f>LEN(Tabela12[[#This Row],[Anilha]])</f>
        <v>7</v>
      </c>
      <c r="H1231" s="21">
        <f>VLOOKUP(Tabela12[[#This Row],[Tag Cabo]],BD!A:F,6,0)</f>
        <v>2.5</v>
      </c>
      <c r="I1231" s="27" t="s">
        <v>1707</v>
      </c>
      <c r="J1231" s="27" t="s">
        <v>1706</v>
      </c>
    </row>
    <row r="1232" spans="1:10" x14ac:dyDescent="0.25">
      <c r="A1232" s="21" t="s">
        <v>484</v>
      </c>
      <c r="B1232" s="391" t="str">
        <f>VLOOKUP(Tabela12[[#This Row],[Painel]],Tabela13[],2,0)</f>
        <v>7HV</v>
      </c>
      <c r="C1232" s="391" t="s">
        <v>1567</v>
      </c>
      <c r="D1232" s="21" t="s">
        <v>1922</v>
      </c>
      <c r="E1232" s="21">
        <v>33</v>
      </c>
      <c r="F1232" s="27" t="str">
        <f>Tabela12[[#This Row],[Régua]]&amp;" ("&amp;Tabela12[[#This Row],[Born]]&amp;")"</f>
        <v>BCN (33)</v>
      </c>
      <c r="G1232" s="27">
        <f>LEN(Tabela12[[#This Row],[Anilha]])</f>
        <v>8</v>
      </c>
      <c r="H1232" s="21">
        <f>VLOOKUP(Tabela12[[#This Row],[Tag Cabo]],BD!A:F,6,0)</f>
        <v>2.5</v>
      </c>
      <c r="I1232" s="27" t="s">
        <v>1707</v>
      </c>
      <c r="J1232" s="27" t="s">
        <v>1706</v>
      </c>
    </row>
    <row r="1233" spans="1:10" x14ac:dyDescent="0.25">
      <c r="A1233" s="21" t="s">
        <v>484</v>
      </c>
      <c r="B1233" s="391" t="str">
        <f>VLOOKUP(Tabela12[[#This Row],[Painel]],Tabela13[],2,0)</f>
        <v>7HV</v>
      </c>
      <c r="C1233" s="391" t="s">
        <v>1567</v>
      </c>
      <c r="D1233" s="21" t="s">
        <v>1922</v>
      </c>
      <c r="E1233" s="21">
        <v>34</v>
      </c>
      <c r="F1233" s="27" t="str">
        <f>Tabela12[[#This Row],[Régua]]&amp;" ("&amp;Tabela12[[#This Row],[Born]]&amp;")"</f>
        <v>BCN (34)</v>
      </c>
      <c r="G1233" s="27">
        <f>LEN(Tabela12[[#This Row],[Anilha]])</f>
        <v>8</v>
      </c>
      <c r="H1233" s="21">
        <f>VLOOKUP(Tabela12[[#This Row],[Tag Cabo]],BD!A:F,6,0)</f>
        <v>2.5</v>
      </c>
      <c r="I1233" s="27" t="s">
        <v>1707</v>
      </c>
      <c r="J1233" s="27" t="s">
        <v>1706</v>
      </c>
    </row>
    <row r="1234" spans="1:10" x14ac:dyDescent="0.25">
      <c r="A1234" s="21" t="s">
        <v>484</v>
      </c>
      <c r="B1234" s="391" t="str">
        <f>VLOOKUP(Tabela12[[#This Row],[Painel]],Tabela13[],2,0)</f>
        <v>7HV</v>
      </c>
      <c r="C1234" s="391" t="s">
        <v>485</v>
      </c>
      <c r="D1234" s="21" t="s">
        <v>1883</v>
      </c>
      <c r="E1234" s="21">
        <v>1</v>
      </c>
      <c r="F1234" s="27" t="str">
        <f>Tabela12[[#This Row],[Régua]]&amp;" ("&amp;Tabela12[[#This Row],[Born]]&amp;")"</f>
        <v>XDESCC (1)</v>
      </c>
      <c r="G1234" s="27">
        <f>LEN(Tabela12[[#This Row],[Anilha]])</f>
        <v>10</v>
      </c>
      <c r="H1234" s="21">
        <f>VLOOKUP(Tabela12[[#This Row],[Tag Cabo]],BD!A:F,6,0)</f>
        <v>2.5</v>
      </c>
      <c r="I1234" s="27" t="s">
        <v>1707</v>
      </c>
      <c r="J1234" s="27" t="s">
        <v>1706</v>
      </c>
    </row>
    <row r="1235" spans="1:10" x14ac:dyDescent="0.25">
      <c r="A1235" s="21" t="s">
        <v>484</v>
      </c>
      <c r="B1235" s="391" t="str">
        <f>VLOOKUP(Tabela12[[#This Row],[Painel]],Tabela13[],2,0)</f>
        <v>7HV</v>
      </c>
      <c r="C1235" s="391" t="s">
        <v>485</v>
      </c>
      <c r="D1235" s="21" t="s">
        <v>1883</v>
      </c>
      <c r="E1235" s="21">
        <v>2</v>
      </c>
      <c r="F1235" s="27" t="str">
        <f>Tabela12[[#This Row],[Régua]]&amp;" ("&amp;Tabela12[[#This Row],[Born]]&amp;")"</f>
        <v>XDESCC (2)</v>
      </c>
      <c r="G1235" s="27">
        <f>LEN(Tabela12[[#This Row],[Anilha]])</f>
        <v>10</v>
      </c>
      <c r="H1235" s="21">
        <f>VLOOKUP(Tabela12[[#This Row],[Tag Cabo]],BD!A:F,6,0)</f>
        <v>2.5</v>
      </c>
      <c r="I1235" s="27" t="s">
        <v>1707</v>
      </c>
      <c r="J1235" s="27" t="s">
        <v>1706</v>
      </c>
    </row>
    <row r="1236" spans="1:10" x14ac:dyDescent="0.25">
      <c r="A1236" s="21" t="s">
        <v>484</v>
      </c>
      <c r="B1236" s="391" t="str">
        <f>VLOOKUP(Tabela12[[#This Row],[Painel]],Tabela13[],2,0)</f>
        <v>7HV</v>
      </c>
      <c r="C1236" s="391" t="s">
        <v>485</v>
      </c>
      <c r="D1236" s="21" t="s">
        <v>1883</v>
      </c>
      <c r="E1236" s="21">
        <v>3</v>
      </c>
      <c r="F1236" s="27" t="str">
        <f>Tabela12[[#This Row],[Régua]]&amp;" ("&amp;Tabela12[[#This Row],[Born]]&amp;")"</f>
        <v>XDESCC (3)</v>
      </c>
      <c r="G1236" s="27">
        <f>LEN(Tabela12[[#This Row],[Anilha]])</f>
        <v>10</v>
      </c>
      <c r="H1236" s="21">
        <f>VLOOKUP(Tabela12[[#This Row],[Tag Cabo]],BD!A:F,6,0)</f>
        <v>2.5</v>
      </c>
      <c r="I1236" s="27" t="s">
        <v>1707</v>
      </c>
      <c r="J1236" s="27" t="s">
        <v>1706</v>
      </c>
    </row>
    <row r="1237" spans="1:10" x14ac:dyDescent="0.25">
      <c r="A1237" s="21" t="s">
        <v>484</v>
      </c>
      <c r="B1237" s="391" t="str">
        <f>VLOOKUP(Tabela12[[#This Row],[Painel]],Tabela13[],2,0)</f>
        <v>7HV</v>
      </c>
      <c r="C1237" s="391" t="s">
        <v>485</v>
      </c>
      <c r="D1237" s="21" t="s">
        <v>1883</v>
      </c>
      <c r="E1237" s="21">
        <v>4</v>
      </c>
      <c r="F1237" s="27" t="str">
        <f>Tabela12[[#This Row],[Régua]]&amp;" ("&amp;Tabela12[[#This Row],[Born]]&amp;")"</f>
        <v>XDESCC (4)</v>
      </c>
      <c r="G1237" s="27">
        <f>LEN(Tabela12[[#This Row],[Anilha]])</f>
        <v>10</v>
      </c>
      <c r="H1237" s="21">
        <f>VLOOKUP(Tabela12[[#This Row],[Tag Cabo]],BD!A:F,6,0)</f>
        <v>2.5</v>
      </c>
      <c r="I1237" s="27" t="s">
        <v>1707</v>
      </c>
      <c r="J1237" s="27" t="s">
        <v>1706</v>
      </c>
    </row>
    <row r="1238" spans="1:10" x14ac:dyDescent="0.25">
      <c r="A1238" s="21" t="s">
        <v>486</v>
      </c>
      <c r="B1238" s="391" t="str">
        <f>VLOOKUP(Tabela12[[#This Row],[Painel]],Tabela13[],2,0)</f>
        <v>7HV</v>
      </c>
      <c r="C1238" s="391" t="s">
        <v>1567</v>
      </c>
      <c r="D1238" s="21" t="s">
        <v>1922</v>
      </c>
      <c r="E1238" s="21">
        <v>5</v>
      </c>
      <c r="F1238" s="27" t="str">
        <f>Tabela12[[#This Row],[Régua]]&amp;" ("&amp;Tabela12[[#This Row],[Born]]&amp;")"</f>
        <v>BCN (5)</v>
      </c>
      <c r="G1238" s="27">
        <f>LEN(Tabela12[[#This Row],[Anilha]])</f>
        <v>7</v>
      </c>
      <c r="H1238" s="21">
        <f>VLOOKUP(Tabela12[[#This Row],[Tag Cabo]],BD!A:F,6,0)</f>
        <v>2.5</v>
      </c>
      <c r="I1238" s="27" t="s">
        <v>1707</v>
      </c>
      <c r="J1238" s="27" t="s">
        <v>1706</v>
      </c>
    </row>
    <row r="1239" spans="1:10" x14ac:dyDescent="0.25">
      <c r="A1239" s="21" t="s">
        <v>486</v>
      </c>
      <c r="B1239" s="391" t="str">
        <f>VLOOKUP(Tabela12[[#This Row],[Painel]],Tabela13[],2,0)</f>
        <v>7HV</v>
      </c>
      <c r="C1239" s="391" t="s">
        <v>1567</v>
      </c>
      <c r="D1239" s="21" t="s">
        <v>1922</v>
      </c>
      <c r="E1239" s="21">
        <v>6</v>
      </c>
      <c r="F1239" s="27" t="str">
        <f>Tabela12[[#This Row],[Régua]]&amp;" ("&amp;Tabela12[[#This Row],[Born]]&amp;")"</f>
        <v>BCN (6)</v>
      </c>
      <c r="G1239" s="27">
        <f>LEN(Tabela12[[#This Row],[Anilha]])</f>
        <v>7</v>
      </c>
      <c r="H1239" s="21">
        <f>VLOOKUP(Tabela12[[#This Row],[Tag Cabo]],BD!A:F,6,0)</f>
        <v>2.5</v>
      </c>
      <c r="I1239" s="27" t="s">
        <v>1707</v>
      </c>
      <c r="J1239" s="27" t="s">
        <v>1706</v>
      </c>
    </row>
    <row r="1240" spans="1:10" x14ac:dyDescent="0.25">
      <c r="A1240" s="21" t="s">
        <v>486</v>
      </c>
      <c r="B1240" s="391" t="str">
        <f>VLOOKUP(Tabela12[[#This Row],[Painel]],Tabela13[],2,0)</f>
        <v>7HV</v>
      </c>
      <c r="C1240" s="391" t="s">
        <v>1567</v>
      </c>
      <c r="D1240" s="21" t="s">
        <v>1922</v>
      </c>
      <c r="E1240" s="21">
        <v>35</v>
      </c>
      <c r="F1240" s="27" t="str">
        <f>Tabela12[[#This Row],[Régua]]&amp;" ("&amp;Tabela12[[#This Row],[Born]]&amp;")"</f>
        <v>BCN (35)</v>
      </c>
      <c r="G1240" s="27">
        <f>LEN(Tabela12[[#This Row],[Anilha]])</f>
        <v>8</v>
      </c>
      <c r="H1240" s="21">
        <f>VLOOKUP(Tabela12[[#This Row],[Tag Cabo]],BD!A:F,6,0)</f>
        <v>2.5</v>
      </c>
      <c r="I1240" s="27" t="s">
        <v>1707</v>
      </c>
      <c r="J1240" s="27" t="s">
        <v>1706</v>
      </c>
    </row>
    <row r="1241" spans="1:10" x14ac:dyDescent="0.25">
      <c r="A1241" s="21" t="s">
        <v>486</v>
      </c>
      <c r="B1241" s="391" t="str">
        <f>VLOOKUP(Tabela12[[#This Row],[Painel]],Tabela13[],2,0)</f>
        <v>7HV</v>
      </c>
      <c r="C1241" s="391" t="s">
        <v>1567</v>
      </c>
      <c r="D1241" s="21" t="s">
        <v>1922</v>
      </c>
      <c r="E1241" s="21">
        <v>36</v>
      </c>
      <c r="F1241" s="27" t="str">
        <f>Tabela12[[#This Row],[Régua]]&amp;" ("&amp;Tabela12[[#This Row],[Born]]&amp;")"</f>
        <v>BCN (36)</v>
      </c>
      <c r="G1241" s="27">
        <f>LEN(Tabela12[[#This Row],[Anilha]])</f>
        <v>8</v>
      </c>
      <c r="H1241" s="21">
        <f>VLOOKUP(Tabela12[[#This Row],[Tag Cabo]],BD!A:F,6,0)</f>
        <v>2.5</v>
      </c>
      <c r="I1241" s="27" t="s">
        <v>1707</v>
      </c>
      <c r="J1241" s="27" t="s">
        <v>1706</v>
      </c>
    </row>
    <row r="1242" spans="1:10" x14ac:dyDescent="0.25">
      <c r="A1242" s="21" t="s">
        <v>486</v>
      </c>
      <c r="B1242" s="391" t="str">
        <f>VLOOKUP(Tabela12[[#This Row],[Painel]],Tabela13[],2,0)</f>
        <v>7HV</v>
      </c>
      <c r="C1242" s="391" t="s">
        <v>487</v>
      </c>
      <c r="D1242" s="21" t="s">
        <v>1883</v>
      </c>
      <c r="E1242" s="21">
        <v>1</v>
      </c>
      <c r="F1242" s="27" t="str">
        <f>Tabela12[[#This Row],[Régua]]&amp;" ("&amp;Tabela12[[#This Row],[Born]]&amp;")"</f>
        <v>XDESCC (1)</v>
      </c>
      <c r="G1242" s="27">
        <f>LEN(Tabela12[[#This Row],[Anilha]])</f>
        <v>10</v>
      </c>
      <c r="H1242" s="21">
        <f>VLOOKUP(Tabela12[[#This Row],[Tag Cabo]],BD!A:F,6,0)</f>
        <v>2.5</v>
      </c>
      <c r="I1242" s="27" t="s">
        <v>1707</v>
      </c>
      <c r="J1242" s="27" t="s">
        <v>1706</v>
      </c>
    </row>
    <row r="1243" spans="1:10" x14ac:dyDescent="0.25">
      <c r="A1243" s="21" t="s">
        <v>486</v>
      </c>
      <c r="B1243" s="391" t="str">
        <f>VLOOKUP(Tabela12[[#This Row],[Painel]],Tabela13[],2,0)</f>
        <v>7HV</v>
      </c>
      <c r="C1243" s="391" t="s">
        <v>487</v>
      </c>
      <c r="D1243" s="21" t="s">
        <v>1883</v>
      </c>
      <c r="E1243" s="21">
        <v>2</v>
      </c>
      <c r="F1243" s="27" t="str">
        <f>Tabela12[[#This Row],[Régua]]&amp;" ("&amp;Tabela12[[#This Row],[Born]]&amp;")"</f>
        <v>XDESCC (2)</v>
      </c>
      <c r="G1243" s="27">
        <f>LEN(Tabela12[[#This Row],[Anilha]])</f>
        <v>10</v>
      </c>
      <c r="H1243" s="21">
        <f>VLOOKUP(Tabela12[[#This Row],[Tag Cabo]],BD!A:F,6,0)</f>
        <v>2.5</v>
      </c>
      <c r="I1243" s="27" t="s">
        <v>1707</v>
      </c>
      <c r="J1243" s="27" t="s">
        <v>1706</v>
      </c>
    </row>
    <row r="1244" spans="1:10" x14ac:dyDescent="0.25">
      <c r="A1244" s="21" t="s">
        <v>486</v>
      </c>
      <c r="B1244" s="391" t="str">
        <f>VLOOKUP(Tabela12[[#This Row],[Painel]],Tabela13[],2,0)</f>
        <v>7HV</v>
      </c>
      <c r="C1244" s="391" t="s">
        <v>487</v>
      </c>
      <c r="D1244" s="21" t="s">
        <v>1883</v>
      </c>
      <c r="E1244" s="21">
        <v>3</v>
      </c>
      <c r="F1244" s="27" t="str">
        <f>Tabela12[[#This Row],[Régua]]&amp;" ("&amp;Tabela12[[#This Row],[Born]]&amp;")"</f>
        <v>XDESCC (3)</v>
      </c>
      <c r="G1244" s="27">
        <f>LEN(Tabela12[[#This Row],[Anilha]])</f>
        <v>10</v>
      </c>
      <c r="H1244" s="21">
        <f>VLOOKUP(Tabela12[[#This Row],[Tag Cabo]],BD!A:F,6,0)</f>
        <v>2.5</v>
      </c>
      <c r="I1244" s="27" t="s">
        <v>1707</v>
      </c>
      <c r="J1244" s="27" t="s">
        <v>1706</v>
      </c>
    </row>
    <row r="1245" spans="1:10" x14ac:dyDescent="0.25">
      <c r="A1245" s="21" t="s">
        <v>486</v>
      </c>
      <c r="B1245" s="391" t="str">
        <f>VLOOKUP(Tabela12[[#This Row],[Painel]],Tabela13[],2,0)</f>
        <v>7HV</v>
      </c>
      <c r="C1245" s="391" t="s">
        <v>487</v>
      </c>
      <c r="D1245" s="21" t="s">
        <v>1883</v>
      </c>
      <c r="E1245" s="21">
        <v>4</v>
      </c>
      <c r="F1245" s="27" t="str">
        <f>Tabela12[[#This Row],[Régua]]&amp;" ("&amp;Tabela12[[#This Row],[Born]]&amp;")"</f>
        <v>XDESCC (4)</v>
      </c>
      <c r="G1245" s="27">
        <f>LEN(Tabela12[[#This Row],[Anilha]])</f>
        <v>10</v>
      </c>
      <c r="H1245" s="21">
        <f>VLOOKUP(Tabela12[[#This Row],[Tag Cabo]],BD!A:F,6,0)</f>
        <v>2.5</v>
      </c>
      <c r="I1245" s="27" t="s">
        <v>1707</v>
      </c>
      <c r="J1245" s="27" t="s">
        <v>1706</v>
      </c>
    </row>
    <row r="1246" spans="1:10" x14ac:dyDescent="0.25">
      <c r="A1246" s="21" t="s">
        <v>488</v>
      </c>
      <c r="B1246" s="391" t="str">
        <f>VLOOKUP(Tabela12[[#This Row],[Painel]],Tabela13[],2,0)</f>
        <v>7HV</v>
      </c>
      <c r="C1246" s="391" t="s">
        <v>1567</v>
      </c>
      <c r="D1246" s="21" t="s">
        <v>1922</v>
      </c>
      <c r="E1246" s="21">
        <v>27</v>
      </c>
      <c r="F1246" s="27" t="str">
        <f>Tabela12[[#This Row],[Régua]]&amp;" ("&amp;Tabela12[[#This Row],[Born]]&amp;")"</f>
        <v>BCN (27)</v>
      </c>
      <c r="G1246" s="27">
        <f>LEN(Tabela12[[#This Row],[Anilha]])</f>
        <v>8</v>
      </c>
      <c r="H1246" s="21">
        <f>VLOOKUP(Tabela12[[#This Row],[Tag Cabo]],BD!A:F,6,0)</f>
        <v>2.5</v>
      </c>
      <c r="I1246" s="27" t="s">
        <v>1707</v>
      </c>
      <c r="J1246" s="27" t="s">
        <v>1706</v>
      </c>
    </row>
    <row r="1247" spans="1:10" x14ac:dyDescent="0.25">
      <c r="A1247" s="21" t="s">
        <v>488</v>
      </c>
      <c r="B1247" s="391" t="str">
        <f>VLOOKUP(Tabela12[[#This Row],[Painel]],Tabela13[],2,0)</f>
        <v>7HV</v>
      </c>
      <c r="C1247" s="391" t="s">
        <v>1567</v>
      </c>
      <c r="D1247" s="21" t="s">
        <v>1922</v>
      </c>
      <c r="E1247" s="21">
        <v>28</v>
      </c>
      <c r="F1247" s="27" t="str">
        <f>Tabela12[[#This Row],[Régua]]&amp;" ("&amp;Tabela12[[#This Row],[Born]]&amp;")"</f>
        <v>BCN (28)</v>
      </c>
      <c r="G1247" s="27">
        <f>LEN(Tabela12[[#This Row],[Anilha]])</f>
        <v>8</v>
      </c>
      <c r="H1247" s="21">
        <f>VLOOKUP(Tabela12[[#This Row],[Tag Cabo]],BD!A:F,6,0)</f>
        <v>2.5</v>
      </c>
      <c r="I1247" s="27" t="s">
        <v>1707</v>
      </c>
      <c r="J1247" s="27" t="s">
        <v>1706</v>
      </c>
    </row>
    <row r="1248" spans="1:10" x14ac:dyDescent="0.25">
      <c r="A1248" s="21" t="s">
        <v>488</v>
      </c>
      <c r="B1248" s="391" t="str">
        <f>VLOOKUP(Tabela12[[#This Row],[Painel]],Tabela13[],2,0)</f>
        <v>7HV</v>
      </c>
      <c r="C1248" s="391" t="s">
        <v>1567</v>
      </c>
      <c r="D1248" s="21" t="s">
        <v>1922</v>
      </c>
      <c r="E1248" s="21">
        <v>29</v>
      </c>
      <c r="F1248" s="27" t="str">
        <f>Tabela12[[#This Row],[Régua]]&amp;" ("&amp;Tabela12[[#This Row],[Born]]&amp;")"</f>
        <v>BCN (29)</v>
      </c>
      <c r="G1248" s="27">
        <f>LEN(Tabela12[[#This Row],[Anilha]])</f>
        <v>8</v>
      </c>
      <c r="H1248" s="21">
        <f>VLOOKUP(Tabela12[[#This Row],[Tag Cabo]],BD!A:F,6,0)</f>
        <v>2.5</v>
      </c>
      <c r="I1248" s="27" t="s">
        <v>1707</v>
      </c>
      <c r="J1248" s="27" t="s">
        <v>1706</v>
      </c>
    </row>
    <row r="1249" spans="1:10" x14ac:dyDescent="0.25">
      <c r="A1249" s="21" t="s">
        <v>488</v>
      </c>
      <c r="B1249" s="391" t="str">
        <f>VLOOKUP(Tabela12[[#This Row],[Painel]],Tabela13[],2,0)</f>
        <v>7HV</v>
      </c>
      <c r="C1249" s="391" t="s">
        <v>1567</v>
      </c>
      <c r="D1249" s="21" t="s">
        <v>1922</v>
      </c>
      <c r="E1249" s="21">
        <v>30</v>
      </c>
      <c r="F1249" s="27" t="str">
        <f>Tabela12[[#This Row],[Régua]]&amp;" ("&amp;Tabela12[[#This Row],[Born]]&amp;")"</f>
        <v>BCN (30)</v>
      </c>
      <c r="G1249" s="27">
        <f>LEN(Tabela12[[#This Row],[Anilha]])</f>
        <v>8</v>
      </c>
      <c r="H1249" s="21">
        <f>VLOOKUP(Tabela12[[#This Row],[Tag Cabo]],BD!A:F,6,0)</f>
        <v>2.5</v>
      </c>
      <c r="I1249" s="27" t="s">
        <v>1707</v>
      </c>
      <c r="J1249" s="27" t="s">
        <v>1706</v>
      </c>
    </row>
    <row r="1250" spans="1:10" x14ac:dyDescent="0.25">
      <c r="A1250" s="21" t="s">
        <v>488</v>
      </c>
      <c r="B1250" s="391" t="str">
        <f>VLOOKUP(Tabela12[[#This Row],[Painel]],Tabela13[],2,0)</f>
        <v>7HV</v>
      </c>
      <c r="C1250" s="391" t="s">
        <v>1567</v>
      </c>
      <c r="D1250" s="21" t="s">
        <v>1922</v>
      </c>
      <c r="E1250" s="21">
        <v>65</v>
      </c>
      <c r="F1250" s="27" t="str">
        <f>Tabela12[[#This Row],[Régua]]&amp;" ("&amp;Tabela12[[#This Row],[Born]]&amp;")"</f>
        <v>BCN (65)</v>
      </c>
      <c r="G1250" s="27">
        <f>LEN(Tabela12[[#This Row],[Anilha]])</f>
        <v>8</v>
      </c>
      <c r="H1250" s="21">
        <f>VLOOKUP(Tabela12[[#This Row],[Tag Cabo]],BD!A:F,6,0)</f>
        <v>2.5</v>
      </c>
      <c r="I1250" s="27" t="s">
        <v>1707</v>
      </c>
      <c r="J1250" s="27" t="s">
        <v>1706</v>
      </c>
    </row>
    <row r="1251" spans="1:10" x14ac:dyDescent="0.25">
      <c r="A1251" s="21" t="s">
        <v>488</v>
      </c>
      <c r="B1251" s="391" t="str">
        <f>VLOOKUP(Tabela12[[#This Row],[Painel]],Tabela13[],2,0)</f>
        <v>7HV</v>
      </c>
      <c r="C1251" s="391" t="s">
        <v>1567</v>
      </c>
      <c r="D1251" s="21" t="s">
        <v>1922</v>
      </c>
      <c r="E1251" s="21">
        <v>66</v>
      </c>
      <c r="F1251" s="27" t="str">
        <f>Tabela12[[#This Row],[Régua]]&amp;" ("&amp;Tabela12[[#This Row],[Born]]&amp;")"</f>
        <v>BCN (66)</v>
      </c>
      <c r="G1251" s="27">
        <f>LEN(Tabela12[[#This Row],[Anilha]])</f>
        <v>8</v>
      </c>
      <c r="H1251" s="21">
        <f>VLOOKUP(Tabela12[[#This Row],[Tag Cabo]],BD!A:F,6,0)</f>
        <v>2.5</v>
      </c>
      <c r="I1251" s="27" t="s">
        <v>1707</v>
      </c>
      <c r="J1251" s="27" t="s">
        <v>1706</v>
      </c>
    </row>
    <row r="1252" spans="1:10" x14ac:dyDescent="0.25">
      <c r="A1252" s="21" t="s">
        <v>488</v>
      </c>
      <c r="B1252" s="391" t="str">
        <f>VLOOKUP(Tabela12[[#This Row],[Painel]],Tabela13[],2,0)</f>
        <v>7HV</v>
      </c>
      <c r="C1252" s="391" t="s">
        <v>1567</v>
      </c>
      <c r="D1252" s="21" t="s">
        <v>1922</v>
      </c>
      <c r="E1252" s="21">
        <v>67</v>
      </c>
      <c r="F1252" s="27" t="str">
        <f>Tabela12[[#This Row],[Régua]]&amp;" ("&amp;Tabela12[[#This Row],[Born]]&amp;")"</f>
        <v>BCN (67)</v>
      </c>
      <c r="G1252" s="27">
        <f>LEN(Tabela12[[#This Row],[Anilha]])</f>
        <v>8</v>
      </c>
      <c r="H1252" s="21">
        <f>VLOOKUP(Tabela12[[#This Row],[Tag Cabo]],BD!A:F,6,0)</f>
        <v>2.5</v>
      </c>
      <c r="I1252" s="27" t="s">
        <v>1707</v>
      </c>
      <c r="J1252" s="27" t="s">
        <v>1706</v>
      </c>
    </row>
    <row r="1253" spans="1:10" x14ac:dyDescent="0.25">
      <c r="A1253" s="21" t="s">
        <v>488</v>
      </c>
      <c r="B1253" s="391" t="str">
        <f>VLOOKUP(Tabela12[[#This Row],[Painel]],Tabela13[],2,0)</f>
        <v>7HV</v>
      </c>
      <c r="C1253" s="391" t="s">
        <v>1567</v>
      </c>
      <c r="D1253" s="21" t="s">
        <v>1922</v>
      </c>
      <c r="E1253" s="21">
        <v>68</v>
      </c>
      <c r="F1253" s="27" t="str">
        <f>Tabela12[[#This Row],[Régua]]&amp;" ("&amp;Tabela12[[#This Row],[Born]]&amp;")"</f>
        <v>BCN (68)</v>
      </c>
      <c r="G1253" s="27">
        <f>LEN(Tabela12[[#This Row],[Anilha]])</f>
        <v>8</v>
      </c>
      <c r="H1253" s="21">
        <f>VLOOKUP(Tabela12[[#This Row],[Tag Cabo]],BD!A:F,6,0)</f>
        <v>2.5</v>
      </c>
      <c r="I1253" s="27" t="s">
        <v>1707</v>
      </c>
      <c r="J1253" s="27" t="s">
        <v>1706</v>
      </c>
    </row>
    <row r="1254" spans="1:10" x14ac:dyDescent="0.25">
      <c r="A1254" s="21" t="s">
        <v>488</v>
      </c>
      <c r="B1254" s="391" t="str">
        <f>VLOOKUP(Tabela12[[#This Row],[Painel]],Tabela13[],2,0)</f>
        <v>7HV</v>
      </c>
      <c r="C1254" s="391" t="s">
        <v>1567</v>
      </c>
      <c r="D1254" s="21" t="s">
        <v>1922</v>
      </c>
      <c r="E1254" s="21">
        <v>69</v>
      </c>
      <c r="F1254" s="27" t="str">
        <f>Tabela12[[#This Row],[Régua]]&amp;" ("&amp;Tabela12[[#This Row],[Born]]&amp;")"</f>
        <v>BCN (69)</v>
      </c>
      <c r="G1254" s="27">
        <f>LEN(Tabela12[[#This Row],[Anilha]])</f>
        <v>8</v>
      </c>
      <c r="H1254" s="21">
        <f>VLOOKUP(Tabela12[[#This Row],[Tag Cabo]],BD!A:F,6,0)</f>
        <v>2.5</v>
      </c>
      <c r="I1254" s="27" t="s">
        <v>1707</v>
      </c>
      <c r="J1254" s="27" t="s">
        <v>1706</v>
      </c>
    </row>
    <row r="1255" spans="1:10" x14ac:dyDescent="0.25">
      <c r="A1255" s="21" t="s">
        <v>488</v>
      </c>
      <c r="B1255" s="391" t="str">
        <f>VLOOKUP(Tabela12[[#This Row],[Painel]],Tabela13[],2,0)</f>
        <v>7HV</v>
      </c>
      <c r="C1255" s="391" t="s">
        <v>1567</v>
      </c>
      <c r="D1255" s="21" t="s">
        <v>1922</v>
      </c>
      <c r="E1255" s="21">
        <v>70</v>
      </c>
      <c r="F1255" s="27" t="str">
        <f>Tabela12[[#This Row],[Régua]]&amp;" ("&amp;Tabela12[[#This Row],[Born]]&amp;")"</f>
        <v>BCN (70)</v>
      </c>
      <c r="G1255" s="27">
        <f>LEN(Tabela12[[#This Row],[Anilha]])</f>
        <v>8</v>
      </c>
      <c r="H1255" s="21">
        <f>VLOOKUP(Tabela12[[#This Row],[Tag Cabo]],BD!A:F,6,0)</f>
        <v>2.5</v>
      </c>
      <c r="I1255" s="27" t="s">
        <v>1707</v>
      </c>
      <c r="J1255" s="27" t="s">
        <v>1706</v>
      </c>
    </row>
    <row r="1256" spans="1:10" x14ac:dyDescent="0.25">
      <c r="A1256" s="21" t="s">
        <v>488</v>
      </c>
      <c r="B1256" s="391" t="str">
        <f>VLOOKUP(Tabela12[[#This Row],[Painel]],Tabela13[],2,0)</f>
        <v>7HV</v>
      </c>
      <c r="C1256" s="391" t="s">
        <v>489</v>
      </c>
      <c r="D1256" s="21" t="s">
        <v>1883</v>
      </c>
      <c r="E1256" s="21">
        <v>1</v>
      </c>
      <c r="F1256" s="27" t="str">
        <f>Tabela12[[#This Row],[Régua]]&amp;" ("&amp;Tabela12[[#This Row],[Born]]&amp;")"</f>
        <v>XDESCC (1)</v>
      </c>
      <c r="G1256" s="27">
        <f>LEN(Tabela12[[#This Row],[Anilha]])</f>
        <v>10</v>
      </c>
      <c r="H1256" s="21">
        <f>VLOOKUP(Tabela12[[#This Row],[Tag Cabo]],BD!A:F,6,0)</f>
        <v>2.5</v>
      </c>
      <c r="I1256" s="27" t="s">
        <v>1707</v>
      </c>
      <c r="J1256" s="27" t="s">
        <v>1706</v>
      </c>
    </row>
    <row r="1257" spans="1:10" x14ac:dyDescent="0.25">
      <c r="A1257" s="21" t="s">
        <v>488</v>
      </c>
      <c r="B1257" s="391" t="str">
        <f>VLOOKUP(Tabela12[[#This Row],[Painel]],Tabela13[],2,0)</f>
        <v>7HV</v>
      </c>
      <c r="C1257" s="391" t="s">
        <v>489</v>
      </c>
      <c r="D1257" s="21" t="s">
        <v>1883</v>
      </c>
      <c r="E1257" s="21">
        <v>2</v>
      </c>
      <c r="F1257" s="27" t="str">
        <f>Tabela12[[#This Row],[Régua]]&amp;" ("&amp;Tabela12[[#This Row],[Born]]&amp;")"</f>
        <v>XDESCC (2)</v>
      </c>
      <c r="G1257" s="27">
        <f>LEN(Tabela12[[#This Row],[Anilha]])</f>
        <v>10</v>
      </c>
      <c r="H1257" s="21">
        <f>VLOOKUP(Tabela12[[#This Row],[Tag Cabo]],BD!A:F,6,0)</f>
        <v>2.5</v>
      </c>
      <c r="I1257" s="27" t="s">
        <v>1707</v>
      </c>
      <c r="J1257" s="27" t="s">
        <v>1706</v>
      </c>
    </row>
    <row r="1258" spans="1:10" x14ac:dyDescent="0.25">
      <c r="A1258" s="21" t="s">
        <v>488</v>
      </c>
      <c r="B1258" s="391" t="str">
        <f>VLOOKUP(Tabela12[[#This Row],[Painel]],Tabela13[],2,0)</f>
        <v>7HV</v>
      </c>
      <c r="C1258" s="391" t="s">
        <v>489</v>
      </c>
      <c r="D1258" s="21" t="s">
        <v>1883</v>
      </c>
      <c r="E1258" s="21">
        <v>3</v>
      </c>
      <c r="F1258" s="27" t="str">
        <f>Tabela12[[#This Row],[Régua]]&amp;" ("&amp;Tabela12[[#This Row],[Born]]&amp;")"</f>
        <v>XDESCC (3)</v>
      </c>
      <c r="G1258" s="27">
        <f>LEN(Tabela12[[#This Row],[Anilha]])</f>
        <v>10</v>
      </c>
      <c r="H1258" s="21">
        <f>VLOOKUP(Tabela12[[#This Row],[Tag Cabo]],BD!A:F,6,0)</f>
        <v>2.5</v>
      </c>
      <c r="I1258" s="27" t="s">
        <v>1707</v>
      </c>
      <c r="J1258" s="27" t="s">
        <v>1706</v>
      </c>
    </row>
    <row r="1259" spans="1:10" x14ac:dyDescent="0.25">
      <c r="A1259" s="21" t="s">
        <v>488</v>
      </c>
      <c r="B1259" s="391" t="str">
        <f>VLOOKUP(Tabela12[[#This Row],[Painel]],Tabela13[],2,0)</f>
        <v>7HV</v>
      </c>
      <c r="C1259" s="391" t="s">
        <v>489</v>
      </c>
      <c r="D1259" s="21" t="s">
        <v>1883</v>
      </c>
      <c r="E1259" s="21">
        <v>4</v>
      </c>
      <c r="F1259" s="27" t="str">
        <f>Tabela12[[#This Row],[Régua]]&amp;" ("&amp;Tabela12[[#This Row],[Born]]&amp;")"</f>
        <v>XDESCC (4)</v>
      </c>
      <c r="G1259" s="27">
        <f>LEN(Tabela12[[#This Row],[Anilha]])</f>
        <v>10</v>
      </c>
      <c r="H1259" s="21">
        <f>VLOOKUP(Tabela12[[#This Row],[Tag Cabo]],BD!A:F,6,0)</f>
        <v>2.5</v>
      </c>
      <c r="I1259" s="27" t="s">
        <v>1707</v>
      </c>
      <c r="J1259" s="27" t="s">
        <v>1706</v>
      </c>
    </row>
    <row r="1260" spans="1:10" x14ac:dyDescent="0.25">
      <c r="A1260" s="21" t="s">
        <v>488</v>
      </c>
      <c r="B1260" s="391" t="str">
        <f>VLOOKUP(Tabela12[[#This Row],[Painel]],Tabela13[],2,0)</f>
        <v>7HV</v>
      </c>
      <c r="C1260" s="391" t="s">
        <v>489</v>
      </c>
      <c r="D1260" s="21" t="s">
        <v>1883</v>
      </c>
      <c r="E1260" s="21">
        <v>5</v>
      </c>
      <c r="F1260" s="27" t="str">
        <f>Tabela12[[#This Row],[Régua]]&amp;" ("&amp;Tabela12[[#This Row],[Born]]&amp;")"</f>
        <v>XDESCC (5)</v>
      </c>
      <c r="G1260" s="27">
        <f>LEN(Tabela12[[#This Row],[Anilha]])</f>
        <v>10</v>
      </c>
      <c r="H1260" s="21">
        <f>VLOOKUP(Tabela12[[#This Row],[Tag Cabo]],BD!A:F,6,0)</f>
        <v>2.5</v>
      </c>
      <c r="I1260" s="27" t="s">
        <v>1707</v>
      </c>
      <c r="J1260" s="27" t="s">
        <v>1706</v>
      </c>
    </row>
    <row r="1261" spans="1:10" x14ac:dyDescent="0.25">
      <c r="A1261" s="21" t="s">
        <v>488</v>
      </c>
      <c r="B1261" s="391" t="str">
        <f>VLOOKUP(Tabela12[[#This Row],[Painel]],Tabela13[],2,0)</f>
        <v>7HV</v>
      </c>
      <c r="C1261" s="391" t="s">
        <v>489</v>
      </c>
      <c r="D1261" s="21" t="s">
        <v>1883</v>
      </c>
      <c r="E1261" s="21">
        <v>6</v>
      </c>
      <c r="F1261" s="27" t="str">
        <f>Tabela12[[#This Row],[Régua]]&amp;" ("&amp;Tabela12[[#This Row],[Born]]&amp;")"</f>
        <v>XDESCC (6)</v>
      </c>
      <c r="G1261" s="27">
        <f>LEN(Tabela12[[#This Row],[Anilha]])</f>
        <v>10</v>
      </c>
      <c r="H1261" s="21">
        <f>VLOOKUP(Tabela12[[#This Row],[Tag Cabo]],BD!A:F,6,0)</f>
        <v>2.5</v>
      </c>
      <c r="I1261" s="27" t="s">
        <v>1707</v>
      </c>
      <c r="J1261" s="27" t="s">
        <v>1706</v>
      </c>
    </row>
    <row r="1262" spans="1:10" x14ac:dyDescent="0.25">
      <c r="A1262" s="21" t="s">
        <v>488</v>
      </c>
      <c r="B1262" s="391" t="str">
        <f>VLOOKUP(Tabela12[[#This Row],[Painel]],Tabela13[],2,0)</f>
        <v>7HV</v>
      </c>
      <c r="C1262" s="391" t="s">
        <v>489</v>
      </c>
      <c r="D1262" s="21" t="s">
        <v>1883</v>
      </c>
      <c r="E1262" s="21">
        <v>7</v>
      </c>
      <c r="F1262" s="27" t="str">
        <f>Tabela12[[#This Row],[Régua]]&amp;" ("&amp;Tabela12[[#This Row],[Born]]&amp;")"</f>
        <v>XDESCC (7)</v>
      </c>
      <c r="G1262" s="27">
        <f>LEN(Tabela12[[#This Row],[Anilha]])</f>
        <v>10</v>
      </c>
      <c r="H1262" s="21">
        <f>VLOOKUP(Tabela12[[#This Row],[Tag Cabo]],BD!A:F,6,0)</f>
        <v>2.5</v>
      </c>
      <c r="I1262" s="27" t="s">
        <v>1707</v>
      </c>
      <c r="J1262" s="27" t="s">
        <v>1706</v>
      </c>
    </row>
    <row r="1263" spans="1:10" x14ac:dyDescent="0.25">
      <c r="A1263" s="21" t="s">
        <v>488</v>
      </c>
      <c r="B1263" s="391" t="str">
        <f>VLOOKUP(Tabela12[[#This Row],[Painel]],Tabela13[],2,0)</f>
        <v>7HV</v>
      </c>
      <c r="C1263" s="391" t="s">
        <v>489</v>
      </c>
      <c r="D1263" s="21" t="s">
        <v>1883</v>
      </c>
      <c r="E1263" s="21">
        <v>8</v>
      </c>
      <c r="F1263" s="27" t="str">
        <f>Tabela12[[#This Row],[Régua]]&amp;" ("&amp;Tabela12[[#This Row],[Born]]&amp;")"</f>
        <v>XDESCC (8)</v>
      </c>
      <c r="G1263" s="27">
        <f>LEN(Tabela12[[#This Row],[Anilha]])</f>
        <v>10</v>
      </c>
      <c r="H1263" s="21">
        <f>VLOOKUP(Tabela12[[#This Row],[Tag Cabo]],BD!A:F,6,0)</f>
        <v>2.5</v>
      </c>
      <c r="I1263" s="27" t="s">
        <v>1707</v>
      </c>
      <c r="J1263" s="27" t="s">
        <v>1706</v>
      </c>
    </row>
    <row r="1264" spans="1:10" x14ac:dyDescent="0.25">
      <c r="A1264" s="21" t="s">
        <v>488</v>
      </c>
      <c r="B1264" s="391" t="str">
        <f>VLOOKUP(Tabela12[[#This Row],[Painel]],Tabela13[],2,0)</f>
        <v>7HV</v>
      </c>
      <c r="C1264" s="391" t="s">
        <v>489</v>
      </c>
      <c r="D1264" s="21" t="s">
        <v>1883</v>
      </c>
      <c r="E1264" s="21">
        <v>9</v>
      </c>
      <c r="F1264" s="27" t="str">
        <f>Tabela12[[#This Row],[Régua]]&amp;" ("&amp;Tabela12[[#This Row],[Born]]&amp;")"</f>
        <v>XDESCC (9)</v>
      </c>
      <c r="G1264" s="27">
        <f>LEN(Tabela12[[#This Row],[Anilha]])</f>
        <v>10</v>
      </c>
      <c r="H1264" s="21">
        <f>VLOOKUP(Tabela12[[#This Row],[Tag Cabo]],BD!A:F,6,0)</f>
        <v>2.5</v>
      </c>
      <c r="I1264" s="27" t="s">
        <v>1707</v>
      </c>
      <c r="J1264" s="27" t="s">
        <v>1706</v>
      </c>
    </row>
    <row r="1265" spans="1:10" x14ac:dyDescent="0.25">
      <c r="A1265" s="21" t="s">
        <v>488</v>
      </c>
      <c r="B1265" s="391" t="str">
        <f>VLOOKUP(Tabela12[[#This Row],[Painel]],Tabela13[],2,0)</f>
        <v>7HV</v>
      </c>
      <c r="C1265" s="391" t="s">
        <v>489</v>
      </c>
      <c r="D1265" s="21" t="s">
        <v>1883</v>
      </c>
      <c r="E1265" s="21">
        <v>10</v>
      </c>
      <c r="F1265" s="27" t="str">
        <f>Tabela12[[#This Row],[Régua]]&amp;" ("&amp;Tabela12[[#This Row],[Born]]&amp;")"</f>
        <v>XDESCC (10)</v>
      </c>
      <c r="G1265" s="27">
        <f>LEN(Tabela12[[#This Row],[Anilha]])</f>
        <v>11</v>
      </c>
      <c r="H1265" s="21">
        <f>VLOOKUP(Tabela12[[#This Row],[Tag Cabo]],BD!A:F,6,0)</f>
        <v>2.5</v>
      </c>
      <c r="I1265" s="27" t="s">
        <v>1707</v>
      </c>
      <c r="J1265" s="27" t="s">
        <v>1706</v>
      </c>
    </row>
    <row r="1266" spans="1:10" x14ac:dyDescent="0.25">
      <c r="A1266" s="21" t="s">
        <v>917</v>
      </c>
      <c r="B1266" s="391" t="str">
        <f>VLOOKUP(Tabela12[[#This Row],[Painel]],Tabela13[],2,0)</f>
        <v>8HV</v>
      </c>
      <c r="C1266" s="391" t="s">
        <v>1578</v>
      </c>
      <c r="D1266" s="21" t="s">
        <v>1903</v>
      </c>
      <c r="E1266" s="21">
        <v>17</v>
      </c>
      <c r="F1266" s="27" t="str">
        <f>Tabela12[[#This Row],[Régua]]&amp;" ("&amp;Tabela12[[#This Row],[Born]]&amp;")"</f>
        <v>BNP (17)</v>
      </c>
      <c r="G1266" s="27">
        <f>LEN(Tabela12[[#This Row],[Anilha]])</f>
        <v>8</v>
      </c>
      <c r="H1266" s="21">
        <f>VLOOKUP(Tabela12[[#This Row],[Tag Cabo]],BD!A:F,6,0)</f>
        <v>4</v>
      </c>
      <c r="I1266" s="27" t="s">
        <v>1707</v>
      </c>
      <c r="J1266" s="27" t="s">
        <v>1706</v>
      </c>
    </row>
    <row r="1267" spans="1:10" x14ac:dyDescent="0.25">
      <c r="A1267" s="21" t="s">
        <v>917</v>
      </c>
      <c r="B1267" s="391" t="str">
        <f>VLOOKUP(Tabela12[[#This Row],[Painel]],Tabela13[],2,0)</f>
        <v>8HV</v>
      </c>
      <c r="C1267" s="391" t="s">
        <v>1578</v>
      </c>
      <c r="D1267" s="21" t="s">
        <v>1903</v>
      </c>
      <c r="E1267" s="21">
        <v>18</v>
      </c>
      <c r="F1267" s="27" t="str">
        <f>Tabela12[[#This Row],[Régua]]&amp;" ("&amp;Tabela12[[#This Row],[Born]]&amp;")"</f>
        <v>BNP (18)</v>
      </c>
      <c r="G1267" s="27">
        <f>LEN(Tabela12[[#This Row],[Anilha]])</f>
        <v>8</v>
      </c>
      <c r="H1267" s="21">
        <f>VLOOKUP(Tabela12[[#This Row],[Tag Cabo]],BD!A:F,6,0)</f>
        <v>4</v>
      </c>
      <c r="I1267" s="27" t="s">
        <v>1707</v>
      </c>
      <c r="J1267" s="27" t="s">
        <v>1706</v>
      </c>
    </row>
    <row r="1268" spans="1:10" x14ac:dyDescent="0.25">
      <c r="A1268" s="21" t="s">
        <v>917</v>
      </c>
      <c r="B1268" s="391" t="str">
        <f>VLOOKUP(Tabela12[[#This Row],[Painel]],Tabela13[],2,0)</f>
        <v>8HV</v>
      </c>
      <c r="C1268" s="391" t="s">
        <v>1578</v>
      </c>
      <c r="D1268" s="21" t="s">
        <v>1903</v>
      </c>
      <c r="E1268" s="21">
        <v>19</v>
      </c>
      <c r="F1268" s="27" t="str">
        <f>Tabela12[[#This Row],[Régua]]&amp;" ("&amp;Tabela12[[#This Row],[Born]]&amp;")"</f>
        <v>BNP (19)</v>
      </c>
      <c r="G1268" s="27">
        <f>LEN(Tabela12[[#This Row],[Anilha]])</f>
        <v>8</v>
      </c>
      <c r="H1268" s="21">
        <f>VLOOKUP(Tabela12[[#This Row],[Tag Cabo]],BD!A:F,6,0)</f>
        <v>4</v>
      </c>
      <c r="I1268" s="27" t="s">
        <v>1707</v>
      </c>
      <c r="J1268" s="27" t="s">
        <v>1706</v>
      </c>
    </row>
    <row r="1269" spans="1:10" x14ac:dyDescent="0.25">
      <c r="A1269" s="21" t="s">
        <v>917</v>
      </c>
      <c r="B1269" s="391" t="str">
        <f>VLOOKUP(Tabela12[[#This Row],[Painel]],Tabela13[],2,0)</f>
        <v>8HV</v>
      </c>
      <c r="C1269" s="391" t="s">
        <v>1578</v>
      </c>
      <c r="D1269" s="21" t="s">
        <v>1903</v>
      </c>
      <c r="E1269" s="21">
        <v>20</v>
      </c>
      <c r="F1269" s="27" t="str">
        <f>Tabela12[[#This Row],[Régua]]&amp;" ("&amp;Tabela12[[#This Row],[Born]]&amp;")"</f>
        <v>BNP (20)</v>
      </c>
      <c r="G1269" s="27">
        <f>LEN(Tabela12[[#This Row],[Anilha]])</f>
        <v>8</v>
      </c>
      <c r="H1269" s="21">
        <f>VLOOKUP(Tabela12[[#This Row],[Tag Cabo]],BD!A:F,6,0)</f>
        <v>4</v>
      </c>
      <c r="I1269" s="27" t="s">
        <v>1707</v>
      </c>
      <c r="J1269" s="27" t="s">
        <v>1706</v>
      </c>
    </row>
    <row r="1270" spans="1:10" x14ac:dyDescent="0.25">
      <c r="A1270" s="21" t="s">
        <v>917</v>
      </c>
      <c r="B1270" s="391" t="str">
        <f>VLOOKUP(Tabela12[[#This Row],[Painel]],Tabela13[],2,0)</f>
        <v>8HV</v>
      </c>
      <c r="C1270" s="391" t="s">
        <v>1578</v>
      </c>
      <c r="D1270" s="21" t="s">
        <v>1903</v>
      </c>
      <c r="E1270" s="21">
        <v>21</v>
      </c>
      <c r="F1270" s="27" t="str">
        <f>Tabela12[[#This Row],[Régua]]&amp;" ("&amp;Tabela12[[#This Row],[Born]]&amp;")"</f>
        <v>BNP (21)</v>
      </c>
      <c r="G1270" s="27">
        <f>LEN(Tabela12[[#This Row],[Anilha]])</f>
        <v>8</v>
      </c>
      <c r="H1270" s="21">
        <f>VLOOKUP(Tabela12[[#This Row],[Tag Cabo]],BD!A:F,6,0)</f>
        <v>4</v>
      </c>
      <c r="I1270" s="27" t="s">
        <v>1707</v>
      </c>
      <c r="J1270" s="27" t="s">
        <v>1706</v>
      </c>
    </row>
    <row r="1271" spans="1:10" x14ac:dyDescent="0.25">
      <c r="A1271" s="21" t="s">
        <v>917</v>
      </c>
      <c r="B1271" s="391" t="str">
        <f>VLOOKUP(Tabela12[[#This Row],[Painel]],Tabela13[],2,0)</f>
        <v>8HV</v>
      </c>
      <c r="C1271" s="391" t="s">
        <v>1578</v>
      </c>
      <c r="D1271" s="21" t="s">
        <v>1903</v>
      </c>
      <c r="E1271" s="21">
        <v>22</v>
      </c>
      <c r="F1271" s="27" t="str">
        <f>Tabela12[[#This Row],[Régua]]&amp;" ("&amp;Tabela12[[#This Row],[Born]]&amp;")"</f>
        <v>BNP (22)</v>
      </c>
      <c r="G1271" s="27">
        <f>LEN(Tabela12[[#This Row],[Anilha]])</f>
        <v>8</v>
      </c>
      <c r="H1271" s="21">
        <f>VLOOKUP(Tabela12[[#This Row],[Tag Cabo]],BD!A:F,6,0)</f>
        <v>4</v>
      </c>
      <c r="I1271" s="27" t="s">
        <v>1707</v>
      </c>
      <c r="J1271" s="27" t="s">
        <v>1706</v>
      </c>
    </row>
    <row r="1272" spans="1:10" x14ac:dyDescent="0.25">
      <c r="A1272" s="21" t="s">
        <v>921</v>
      </c>
      <c r="B1272" s="391" t="str">
        <f>VLOOKUP(Tabela12[[#This Row],[Painel]],Tabela13[],2,0)</f>
        <v>8HV</v>
      </c>
      <c r="C1272" s="391" t="s">
        <v>1578</v>
      </c>
      <c r="D1272" s="21" t="s">
        <v>1923</v>
      </c>
      <c r="E1272" s="21">
        <v>13</v>
      </c>
      <c r="F1272" s="27" t="str">
        <f>Tabela12[[#This Row],[Régua]]&amp;" ("&amp;Tabela12[[#This Row],[Born]]&amp;")"</f>
        <v>BNC1 (13)</v>
      </c>
      <c r="G1272" s="27">
        <f>LEN(Tabela12[[#This Row],[Anilha]])</f>
        <v>9</v>
      </c>
      <c r="H1272" s="21">
        <f>VLOOKUP(Tabela12[[#This Row],[Tag Cabo]],BD!A:F,6,0)</f>
        <v>4</v>
      </c>
      <c r="I1272" s="27" t="s">
        <v>1707</v>
      </c>
      <c r="J1272" s="27" t="s">
        <v>1706</v>
      </c>
    </row>
    <row r="1273" spans="1:10" x14ac:dyDescent="0.25">
      <c r="A1273" s="21" t="s">
        <v>921</v>
      </c>
      <c r="B1273" s="391" t="str">
        <f>VLOOKUP(Tabela12[[#This Row],[Painel]],Tabela13[],2,0)</f>
        <v>8HV</v>
      </c>
      <c r="C1273" s="391" t="s">
        <v>1578</v>
      </c>
      <c r="D1273" s="21" t="s">
        <v>1923</v>
      </c>
      <c r="E1273" s="21">
        <v>14</v>
      </c>
      <c r="F1273" s="27" t="str">
        <f>Tabela12[[#This Row],[Régua]]&amp;" ("&amp;Tabela12[[#This Row],[Born]]&amp;")"</f>
        <v>BNC1 (14)</v>
      </c>
      <c r="G1273" s="27">
        <f>LEN(Tabela12[[#This Row],[Anilha]])</f>
        <v>9</v>
      </c>
      <c r="H1273" s="21">
        <f>VLOOKUP(Tabela12[[#This Row],[Tag Cabo]],BD!A:F,6,0)</f>
        <v>4</v>
      </c>
      <c r="I1273" s="27" t="s">
        <v>1707</v>
      </c>
      <c r="J1273" s="27" t="s">
        <v>1706</v>
      </c>
    </row>
    <row r="1274" spans="1:10" x14ac:dyDescent="0.25">
      <c r="A1274" s="21" t="s">
        <v>921</v>
      </c>
      <c r="B1274" s="391" t="str">
        <f>VLOOKUP(Tabela12[[#This Row],[Painel]],Tabela13[],2,0)</f>
        <v>8HV</v>
      </c>
      <c r="C1274" s="391" t="s">
        <v>1578</v>
      </c>
      <c r="D1274" s="21" t="s">
        <v>1923</v>
      </c>
      <c r="E1274" s="21">
        <v>15</v>
      </c>
      <c r="F1274" s="27" t="str">
        <f>Tabela12[[#This Row],[Régua]]&amp;" ("&amp;Tabela12[[#This Row],[Born]]&amp;")"</f>
        <v>BNC1 (15)</v>
      </c>
      <c r="G1274" s="27">
        <f>LEN(Tabela12[[#This Row],[Anilha]])</f>
        <v>9</v>
      </c>
      <c r="H1274" s="21">
        <f>VLOOKUP(Tabela12[[#This Row],[Tag Cabo]],BD!A:F,6,0)</f>
        <v>4</v>
      </c>
      <c r="I1274" s="27" t="s">
        <v>1707</v>
      </c>
      <c r="J1274" s="27" t="s">
        <v>1706</v>
      </c>
    </row>
    <row r="1275" spans="1:10" x14ac:dyDescent="0.25">
      <c r="A1275" s="21" t="s">
        <v>921</v>
      </c>
      <c r="B1275" s="391" t="str">
        <f>VLOOKUP(Tabela12[[#This Row],[Painel]],Tabela13[],2,0)</f>
        <v>1HV</v>
      </c>
      <c r="C1275" s="391" t="s">
        <v>1597</v>
      </c>
      <c r="D1275" s="21" t="s">
        <v>1924</v>
      </c>
      <c r="E1275" s="21">
        <v>1</v>
      </c>
      <c r="F1275" s="27" t="str">
        <f>Tabela12[[#This Row],[Régua]]&amp;" ("&amp;Tabela12[[#This Row],[Born]]&amp;")"</f>
        <v>XSINC (1)</v>
      </c>
      <c r="G1275" s="27">
        <f>LEN(Tabela12[[#This Row],[Anilha]])</f>
        <v>9</v>
      </c>
      <c r="H1275" s="21">
        <f>VLOOKUP(Tabela12[[#This Row],[Tag Cabo]],BD!A:F,6,0)</f>
        <v>4</v>
      </c>
      <c r="I1275" s="27" t="s">
        <v>1707</v>
      </c>
      <c r="J1275" s="27" t="s">
        <v>1706</v>
      </c>
    </row>
    <row r="1276" spans="1:10" x14ac:dyDescent="0.25">
      <c r="A1276" s="21" t="s">
        <v>921</v>
      </c>
      <c r="B1276" s="391" t="str">
        <f>VLOOKUP(Tabela12[[#This Row],[Painel]],Tabela13[],2,0)</f>
        <v>1HV</v>
      </c>
      <c r="C1276" s="391" t="s">
        <v>1597</v>
      </c>
      <c r="D1276" s="21" t="s">
        <v>1924</v>
      </c>
      <c r="E1276" s="21">
        <v>3</v>
      </c>
      <c r="F1276" s="27" t="str">
        <f>Tabela12[[#This Row],[Régua]]&amp;" ("&amp;Tabela12[[#This Row],[Born]]&amp;")"</f>
        <v>XSINC (3)</v>
      </c>
      <c r="G1276" s="27">
        <f>LEN(Tabela12[[#This Row],[Anilha]])</f>
        <v>9</v>
      </c>
      <c r="H1276" s="21">
        <f>VLOOKUP(Tabela12[[#This Row],[Tag Cabo]],BD!A:F,6,0)</f>
        <v>4</v>
      </c>
      <c r="I1276" s="27" t="s">
        <v>1707</v>
      </c>
      <c r="J1276" s="27" t="s">
        <v>1706</v>
      </c>
    </row>
    <row r="1277" spans="1:10" x14ac:dyDescent="0.25">
      <c r="A1277" s="21" t="s">
        <v>921</v>
      </c>
      <c r="B1277" s="391" t="str">
        <f>VLOOKUP(Tabela12[[#This Row],[Painel]],Tabela13[],2,0)</f>
        <v>1HV</v>
      </c>
      <c r="C1277" s="391" t="s">
        <v>1597</v>
      </c>
      <c r="D1277" s="21" t="s">
        <v>1924</v>
      </c>
      <c r="E1277" s="21">
        <v>5</v>
      </c>
      <c r="F1277" s="27" t="str">
        <f>Tabela12[[#This Row],[Régua]]&amp;" ("&amp;Tabela12[[#This Row],[Born]]&amp;")"</f>
        <v>XSINC (5)</v>
      </c>
      <c r="G1277" s="27">
        <f>LEN(Tabela12[[#This Row],[Anilha]])</f>
        <v>9</v>
      </c>
      <c r="H1277" s="21">
        <f>VLOOKUP(Tabela12[[#This Row],[Tag Cabo]],BD!A:F,6,0)</f>
        <v>4</v>
      </c>
      <c r="I1277" s="27" t="s">
        <v>1707</v>
      </c>
      <c r="J1277" s="27" t="s">
        <v>1706</v>
      </c>
    </row>
    <row r="1278" spans="1:10" x14ac:dyDescent="0.25">
      <c r="A1278" s="21" t="s">
        <v>923</v>
      </c>
      <c r="B1278" s="391" t="str">
        <f>VLOOKUP(Tabela12[[#This Row],[Painel]],Tabela13[],2,0)</f>
        <v>8HV</v>
      </c>
      <c r="C1278" s="391" t="s">
        <v>1578</v>
      </c>
      <c r="D1278" s="21" t="s">
        <v>1716</v>
      </c>
      <c r="E1278" s="21">
        <v>10</v>
      </c>
      <c r="F1278" s="27" t="str">
        <f>Tabela12[[#This Row],[Régua]]&amp;" ("&amp;Tabela12[[#This Row],[Born]]&amp;")"</f>
        <v>BNC (10)</v>
      </c>
      <c r="G1278" s="27">
        <f>LEN(Tabela12[[#This Row],[Anilha]])</f>
        <v>8</v>
      </c>
      <c r="H1278" s="21">
        <f>VLOOKUP(Tabela12[[#This Row],[Tag Cabo]],BD!A:F,6,0)</f>
        <v>2.5</v>
      </c>
      <c r="I1278" s="27" t="s">
        <v>1707</v>
      </c>
      <c r="J1278" s="27" t="s">
        <v>1706</v>
      </c>
    </row>
    <row r="1279" spans="1:10" x14ac:dyDescent="0.25">
      <c r="A1279" s="21" t="s">
        <v>923</v>
      </c>
      <c r="B1279" s="391" t="str">
        <f>VLOOKUP(Tabela12[[#This Row],[Painel]],Tabela13[],2,0)</f>
        <v>8HV</v>
      </c>
      <c r="C1279" s="391" t="s">
        <v>1578</v>
      </c>
      <c r="D1279" s="21" t="s">
        <v>1716</v>
      </c>
      <c r="E1279" s="21">
        <v>11</v>
      </c>
      <c r="F1279" s="27" t="str">
        <f>Tabela12[[#This Row],[Régua]]&amp;" ("&amp;Tabela12[[#This Row],[Born]]&amp;")"</f>
        <v>BNC (11)</v>
      </c>
      <c r="G1279" s="27">
        <f>LEN(Tabela12[[#This Row],[Anilha]])</f>
        <v>8</v>
      </c>
      <c r="H1279" s="21">
        <f>VLOOKUP(Tabela12[[#This Row],[Tag Cabo]],BD!A:F,6,0)</f>
        <v>2.5</v>
      </c>
      <c r="I1279" s="27" t="s">
        <v>1707</v>
      </c>
      <c r="J1279" s="27" t="s">
        <v>1706</v>
      </c>
    </row>
    <row r="1280" spans="1:10" x14ac:dyDescent="0.25">
      <c r="A1280" s="21" t="s">
        <v>923</v>
      </c>
      <c r="B1280" s="391" t="str">
        <f>VLOOKUP(Tabela12[[#This Row],[Painel]],Tabela13[],2,0)</f>
        <v>8HV</v>
      </c>
      <c r="C1280" s="391" t="s">
        <v>1578</v>
      </c>
      <c r="D1280" s="21" t="s">
        <v>1716</v>
      </c>
      <c r="E1280" s="21">
        <v>12</v>
      </c>
      <c r="F1280" s="27" t="str">
        <f>Tabela12[[#This Row],[Régua]]&amp;" ("&amp;Tabela12[[#This Row],[Born]]&amp;")"</f>
        <v>BNC (12)</v>
      </c>
      <c r="G1280" s="27">
        <f>LEN(Tabela12[[#This Row],[Anilha]])</f>
        <v>8</v>
      </c>
      <c r="H1280" s="21">
        <f>VLOOKUP(Tabela12[[#This Row],[Tag Cabo]],BD!A:F,6,0)</f>
        <v>2.5</v>
      </c>
      <c r="I1280" s="27" t="s">
        <v>1707</v>
      </c>
      <c r="J1280" s="27" t="s">
        <v>1706</v>
      </c>
    </row>
    <row r="1281" spans="1:10" x14ac:dyDescent="0.25">
      <c r="A1281" s="21" t="s">
        <v>923</v>
      </c>
      <c r="B1281" s="391" t="str">
        <f>VLOOKUP(Tabela12[[#This Row],[Painel]],Tabela13[],2,0)</f>
        <v>8HV</v>
      </c>
      <c r="C1281" s="391" t="s">
        <v>1578</v>
      </c>
      <c r="D1281" s="21" t="s">
        <v>1716</v>
      </c>
      <c r="E1281" s="21">
        <v>68</v>
      </c>
      <c r="F1281" s="27" t="str">
        <f>Tabela12[[#This Row],[Régua]]&amp;" ("&amp;Tabela12[[#This Row],[Born]]&amp;")"</f>
        <v>BNC (68)</v>
      </c>
      <c r="G1281" s="27">
        <f>LEN(Tabela12[[#This Row],[Anilha]])</f>
        <v>8</v>
      </c>
      <c r="H1281" s="21">
        <f>VLOOKUP(Tabela12[[#This Row],[Tag Cabo]],BD!A:F,6,0)</f>
        <v>2.5</v>
      </c>
      <c r="I1281" s="27" t="s">
        <v>1707</v>
      </c>
      <c r="J1281" s="27" t="s">
        <v>1706</v>
      </c>
    </row>
    <row r="1282" spans="1:10" x14ac:dyDescent="0.25">
      <c r="A1282" s="21" t="s">
        <v>923</v>
      </c>
      <c r="B1282" s="391" t="str">
        <f>VLOOKUP(Tabela12[[#This Row],[Painel]],Tabela13[],2,0)</f>
        <v>8HV</v>
      </c>
      <c r="C1282" s="391" t="s">
        <v>1578</v>
      </c>
      <c r="D1282" s="21" t="s">
        <v>1716</v>
      </c>
      <c r="E1282" s="21">
        <v>69</v>
      </c>
      <c r="F1282" s="27" t="str">
        <f>Tabela12[[#This Row],[Régua]]&amp;" ("&amp;Tabela12[[#This Row],[Born]]&amp;")"</f>
        <v>BNC (69)</v>
      </c>
      <c r="G1282" s="27">
        <f>LEN(Tabela12[[#This Row],[Anilha]])</f>
        <v>8</v>
      </c>
      <c r="H1282" s="21">
        <f>VLOOKUP(Tabela12[[#This Row],[Tag Cabo]],BD!A:F,6,0)</f>
        <v>2.5</v>
      </c>
      <c r="I1282" s="27" t="s">
        <v>1707</v>
      </c>
      <c r="J1282" s="27" t="s">
        <v>1706</v>
      </c>
    </row>
    <row r="1283" spans="1:10" x14ac:dyDescent="0.25">
      <c r="A1283" s="21" t="s">
        <v>923</v>
      </c>
      <c r="B1283" s="391" t="str">
        <f>VLOOKUP(Tabela12[[#This Row],[Painel]],Tabela13[],2,0)</f>
        <v>8HV</v>
      </c>
      <c r="C1283" s="391" t="s">
        <v>1578</v>
      </c>
      <c r="D1283" s="21" t="s">
        <v>1716</v>
      </c>
      <c r="E1283" s="21">
        <v>70</v>
      </c>
      <c r="F1283" s="27" t="str">
        <f>Tabela12[[#This Row],[Régua]]&amp;" ("&amp;Tabela12[[#This Row],[Born]]&amp;")"</f>
        <v>BNC (70)</v>
      </c>
      <c r="G1283" s="27">
        <f>LEN(Tabela12[[#This Row],[Anilha]])</f>
        <v>8</v>
      </c>
      <c r="H1283" s="21">
        <f>VLOOKUP(Tabela12[[#This Row],[Tag Cabo]],BD!A:F,6,0)</f>
        <v>2.5</v>
      </c>
      <c r="I1283" s="27" t="s">
        <v>1707</v>
      </c>
      <c r="J1283" s="27" t="s">
        <v>1706</v>
      </c>
    </row>
    <row r="1284" spans="1:10" x14ac:dyDescent="0.25">
      <c r="A1284" s="21" t="s">
        <v>925</v>
      </c>
      <c r="B1284" s="391" t="str">
        <f>VLOOKUP(Tabela12[[#This Row],[Painel]],Tabela13[],2,0)</f>
        <v>8HV</v>
      </c>
      <c r="C1284" s="391" t="s">
        <v>1578</v>
      </c>
      <c r="D1284" s="21" t="s">
        <v>1925</v>
      </c>
      <c r="E1284" s="21">
        <v>1</v>
      </c>
      <c r="F1284" s="27" t="str">
        <f>Tabela12[[#This Row],[Régua]]&amp;" ("&amp;Tabela12[[#This Row],[Born]]&amp;")"</f>
        <v>BNU (1)</v>
      </c>
      <c r="G1284" s="27">
        <f>LEN(Tabela12[[#This Row],[Anilha]])</f>
        <v>7</v>
      </c>
      <c r="H1284" s="21">
        <f>VLOOKUP(Tabela12[[#This Row],[Tag Cabo]],BD!A:F,6,0)</f>
        <v>2.5</v>
      </c>
      <c r="I1284" s="27" t="s">
        <v>1707</v>
      </c>
      <c r="J1284" s="27" t="s">
        <v>1706</v>
      </c>
    </row>
    <row r="1285" spans="1:10" x14ac:dyDescent="0.25">
      <c r="A1285" s="21" t="s">
        <v>925</v>
      </c>
      <c r="B1285" s="391" t="str">
        <f>VLOOKUP(Tabela12[[#This Row],[Painel]],Tabela13[],2,0)</f>
        <v>8HV</v>
      </c>
      <c r="C1285" s="391" t="s">
        <v>1578</v>
      </c>
      <c r="D1285" s="21" t="s">
        <v>1925</v>
      </c>
      <c r="E1285" s="21">
        <v>2</v>
      </c>
      <c r="F1285" s="27" t="str">
        <f>Tabela12[[#This Row],[Régua]]&amp;" ("&amp;Tabela12[[#This Row],[Born]]&amp;")"</f>
        <v>BNU (2)</v>
      </c>
      <c r="G1285" s="27">
        <f>LEN(Tabela12[[#This Row],[Anilha]])</f>
        <v>7</v>
      </c>
      <c r="H1285" s="21">
        <f>VLOOKUP(Tabela12[[#This Row],[Tag Cabo]],BD!A:F,6,0)</f>
        <v>2.5</v>
      </c>
      <c r="I1285" s="27" t="s">
        <v>1707</v>
      </c>
      <c r="J1285" s="27" t="s">
        <v>1706</v>
      </c>
    </row>
    <row r="1286" spans="1:10" x14ac:dyDescent="0.25">
      <c r="A1286" s="21" t="s">
        <v>925</v>
      </c>
      <c r="B1286" s="391" t="str">
        <f>VLOOKUP(Tabela12[[#This Row],[Painel]],Tabela13[],2,0)</f>
        <v>8HV</v>
      </c>
      <c r="C1286" s="391" t="s">
        <v>1578</v>
      </c>
      <c r="D1286" s="21" t="s">
        <v>1925</v>
      </c>
      <c r="E1286" s="21">
        <v>3</v>
      </c>
      <c r="F1286" s="27" t="str">
        <f>Tabela12[[#This Row],[Régua]]&amp;" ("&amp;Tabela12[[#This Row],[Born]]&amp;")"</f>
        <v>BNU (3)</v>
      </c>
      <c r="G1286" s="27">
        <f>LEN(Tabela12[[#This Row],[Anilha]])</f>
        <v>7</v>
      </c>
      <c r="H1286" s="21">
        <f>VLOOKUP(Tabela12[[#This Row],[Tag Cabo]],BD!A:F,6,0)</f>
        <v>2.5</v>
      </c>
      <c r="I1286" s="27" t="s">
        <v>1707</v>
      </c>
      <c r="J1286" s="27" t="s">
        <v>1706</v>
      </c>
    </row>
    <row r="1287" spans="1:10" x14ac:dyDescent="0.25">
      <c r="A1287" s="21" t="s">
        <v>925</v>
      </c>
      <c r="B1287" s="391" t="str">
        <f>VLOOKUP(Tabela12[[#This Row],[Painel]],Tabela13[],2,0)</f>
        <v>8HV</v>
      </c>
      <c r="C1287" s="391" t="s">
        <v>1578</v>
      </c>
      <c r="D1287" s="21" t="s">
        <v>1925</v>
      </c>
      <c r="E1287" s="21">
        <v>16</v>
      </c>
      <c r="F1287" s="27" t="str">
        <f>Tabela12[[#This Row],[Régua]]&amp;" ("&amp;Tabela12[[#This Row],[Born]]&amp;")"</f>
        <v>BNU (16)</v>
      </c>
      <c r="G1287" s="27">
        <f>LEN(Tabela12[[#This Row],[Anilha]])</f>
        <v>8</v>
      </c>
      <c r="H1287" s="21">
        <f>VLOOKUP(Tabela12[[#This Row],[Tag Cabo]],BD!A:F,6,0)</f>
        <v>2.5</v>
      </c>
      <c r="I1287" s="27" t="s">
        <v>1707</v>
      </c>
      <c r="J1287" s="27" t="s">
        <v>1706</v>
      </c>
    </row>
    <row r="1288" spans="1:10" x14ac:dyDescent="0.25">
      <c r="A1288" s="21" t="s">
        <v>925</v>
      </c>
      <c r="B1288" s="391" t="str">
        <f>VLOOKUP(Tabela12[[#This Row],[Painel]],Tabela13[],2,0)</f>
        <v>8HV</v>
      </c>
      <c r="C1288" s="391" t="s">
        <v>1578</v>
      </c>
      <c r="D1288" s="21" t="s">
        <v>1925</v>
      </c>
      <c r="E1288" s="21">
        <v>17</v>
      </c>
      <c r="F1288" s="27" t="str">
        <f>Tabela12[[#This Row],[Régua]]&amp;" ("&amp;Tabela12[[#This Row],[Born]]&amp;")"</f>
        <v>BNU (17)</v>
      </c>
      <c r="G1288" s="27">
        <f>LEN(Tabela12[[#This Row],[Anilha]])</f>
        <v>8</v>
      </c>
      <c r="H1288" s="21">
        <f>VLOOKUP(Tabela12[[#This Row],[Tag Cabo]],BD!A:F,6,0)</f>
        <v>2.5</v>
      </c>
      <c r="I1288" s="27" t="s">
        <v>1707</v>
      </c>
      <c r="J1288" s="27" t="s">
        <v>1706</v>
      </c>
    </row>
    <row r="1289" spans="1:10" x14ac:dyDescent="0.25">
      <c r="A1289" s="21" t="s">
        <v>925</v>
      </c>
      <c r="B1289" s="391" t="str">
        <f>VLOOKUP(Tabela12[[#This Row],[Painel]],Tabela13[],2,0)</f>
        <v>8HV</v>
      </c>
      <c r="C1289" s="391" t="s">
        <v>1578</v>
      </c>
      <c r="D1289" s="21" t="s">
        <v>1925</v>
      </c>
      <c r="E1289" s="21">
        <v>18</v>
      </c>
      <c r="F1289" s="27" t="str">
        <f>Tabela12[[#This Row],[Régua]]&amp;" ("&amp;Tabela12[[#This Row],[Born]]&amp;")"</f>
        <v>BNU (18)</v>
      </c>
      <c r="G1289" s="27">
        <f>LEN(Tabela12[[#This Row],[Anilha]])</f>
        <v>8</v>
      </c>
      <c r="H1289" s="21">
        <f>VLOOKUP(Tabela12[[#This Row],[Tag Cabo]],BD!A:F,6,0)</f>
        <v>2.5</v>
      </c>
      <c r="I1289" s="27" t="s">
        <v>1707</v>
      </c>
      <c r="J1289" s="27" t="s">
        <v>1706</v>
      </c>
    </row>
    <row r="1290" spans="1:10" x14ac:dyDescent="0.25">
      <c r="A1290" s="21" t="s">
        <v>928</v>
      </c>
      <c r="B1290" s="391" t="str">
        <f>VLOOKUP(Tabela12[[#This Row],[Painel]],Tabela13[],2,0)</f>
        <v>8HV</v>
      </c>
      <c r="C1290" s="391" t="s">
        <v>1578</v>
      </c>
      <c r="D1290" s="21" t="s">
        <v>1925</v>
      </c>
      <c r="E1290" s="21">
        <v>4</v>
      </c>
      <c r="F1290" s="27" t="str">
        <f>Tabela12[[#This Row],[Régua]]&amp;" ("&amp;Tabela12[[#This Row],[Born]]&amp;")"</f>
        <v>BNU (4)</v>
      </c>
      <c r="G1290" s="27">
        <f>LEN(Tabela12[[#This Row],[Anilha]])</f>
        <v>7</v>
      </c>
      <c r="H1290" s="21">
        <f>VLOOKUP(Tabela12[[#This Row],[Tag Cabo]],BD!A:F,6,0)</f>
        <v>2.5</v>
      </c>
      <c r="I1290" s="27" t="s">
        <v>1707</v>
      </c>
      <c r="J1290" s="27" t="s">
        <v>1706</v>
      </c>
    </row>
    <row r="1291" spans="1:10" x14ac:dyDescent="0.25">
      <c r="A1291" s="21" t="s">
        <v>928</v>
      </c>
      <c r="B1291" s="391" t="str">
        <f>VLOOKUP(Tabela12[[#This Row],[Painel]],Tabela13[],2,0)</f>
        <v>8HV</v>
      </c>
      <c r="C1291" s="391" t="s">
        <v>1578</v>
      </c>
      <c r="D1291" s="21" t="s">
        <v>1925</v>
      </c>
      <c r="E1291" s="21">
        <v>5</v>
      </c>
      <c r="F1291" s="27" t="str">
        <f>Tabela12[[#This Row],[Régua]]&amp;" ("&amp;Tabela12[[#This Row],[Born]]&amp;")"</f>
        <v>BNU (5)</v>
      </c>
      <c r="G1291" s="27">
        <f>LEN(Tabela12[[#This Row],[Anilha]])</f>
        <v>7</v>
      </c>
      <c r="H1291" s="21">
        <f>VLOOKUP(Tabela12[[#This Row],[Tag Cabo]],BD!A:F,6,0)</f>
        <v>2.5</v>
      </c>
      <c r="I1291" s="27" t="s">
        <v>1707</v>
      </c>
      <c r="J1291" s="27" t="s">
        <v>1706</v>
      </c>
    </row>
    <row r="1292" spans="1:10" x14ac:dyDescent="0.25">
      <c r="A1292" s="21" t="s">
        <v>928</v>
      </c>
      <c r="B1292" s="391" t="str">
        <f>VLOOKUP(Tabela12[[#This Row],[Painel]],Tabela13[],2,0)</f>
        <v>8HV</v>
      </c>
      <c r="C1292" s="391" t="s">
        <v>1578</v>
      </c>
      <c r="D1292" s="21" t="s">
        <v>1925</v>
      </c>
      <c r="E1292" s="21">
        <v>6</v>
      </c>
      <c r="F1292" s="27" t="str">
        <f>Tabela12[[#This Row],[Régua]]&amp;" ("&amp;Tabela12[[#This Row],[Born]]&amp;")"</f>
        <v>BNU (6)</v>
      </c>
      <c r="G1292" s="27">
        <f>LEN(Tabela12[[#This Row],[Anilha]])</f>
        <v>7</v>
      </c>
      <c r="H1292" s="21">
        <f>VLOOKUP(Tabela12[[#This Row],[Tag Cabo]],BD!A:F,6,0)</f>
        <v>2.5</v>
      </c>
      <c r="I1292" s="27" t="s">
        <v>1707</v>
      </c>
      <c r="J1292" s="27" t="s">
        <v>1706</v>
      </c>
    </row>
    <row r="1293" spans="1:10" x14ac:dyDescent="0.25">
      <c r="A1293" s="21" t="s">
        <v>928</v>
      </c>
      <c r="B1293" s="391" t="str">
        <f>VLOOKUP(Tabela12[[#This Row],[Painel]],Tabela13[],2,0)</f>
        <v>8HV</v>
      </c>
      <c r="C1293" s="391" t="s">
        <v>1578</v>
      </c>
      <c r="D1293" s="21" t="s">
        <v>1925</v>
      </c>
      <c r="E1293" s="21">
        <v>19</v>
      </c>
      <c r="F1293" s="27" t="str">
        <f>Tabela12[[#This Row],[Régua]]&amp;" ("&amp;Tabela12[[#This Row],[Born]]&amp;")"</f>
        <v>BNU (19)</v>
      </c>
      <c r="G1293" s="27">
        <f>LEN(Tabela12[[#This Row],[Anilha]])</f>
        <v>8</v>
      </c>
      <c r="H1293" s="21">
        <f>VLOOKUP(Tabela12[[#This Row],[Tag Cabo]],BD!A:F,6,0)</f>
        <v>2.5</v>
      </c>
      <c r="I1293" s="27" t="s">
        <v>1707</v>
      </c>
      <c r="J1293" s="27" t="s">
        <v>1706</v>
      </c>
    </row>
    <row r="1294" spans="1:10" x14ac:dyDescent="0.25">
      <c r="A1294" s="21" t="s">
        <v>928</v>
      </c>
      <c r="B1294" s="391" t="str">
        <f>VLOOKUP(Tabela12[[#This Row],[Painel]],Tabela13[],2,0)</f>
        <v>8HV</v>
      </c>
      <c r="C1294" s="391" t="s">
        <v>1578</v>
      </c>
      <c r="D1294" s="21" t="s">
        <v>1925</v>
      </c>
      <c r="E1294" s="21">
        <v>20</v>
      </c>
      <c r="F1294" s="27" t="str">
        <f>Tabela12[[#This Row],[Régua]]&amp;" ("&amp;Tabela12[[#This Row],[Born]]&amp;")"</f>
        <v>BNU (20)</v>
      </c>
      <c r="G1294" s="27">
        <f>LEN(Tabela12[[#This Row],[Anilha]])</f>
        <v>8</v>
      </c>
      <c r="H1294" s="21">
        <f>VLOOKUP(Tabela12[[#This Row],[Tag Cabo]],BD!A:F,6,0)</f>
        <v>2.5</v>
      </c>
      <c r="I1294" s="27" t="s">
        <v>1707</v>
      </c>
      <c r="J1294" s="27" t="s">
        <v>1706</v>
      </c>
    </row>
    <row r="1295" spans="1:10" x14ac:dyDescent="0.25">
      <c r="A1295" s="21" t="s">
        <v>928</v>
      </c>
      <c r="B1295" s="391" t="str">
        <f>VLOOKUP(Tabela12[[#This Row],[Painel]],Tabela13[],2,0)</f>
        <v>8HV</v>
      </c>
      <c r="C1295" s="391" t="s">
        <v>1578</v>
      </c>
      <c r="D1295" s="21" t="s">
        <v>1925</v>
      </c>
      <c r="E1295" s="21">
        <v>21</v>
      </c>
      <c r="F1295" s="27" t="str">
        <f>Tabela12[[#This Row],[Régua]]&amp;" ("&amp;Tabela12[[#This Row],[Born]]&amp;")"</f>
        <v>BNU (21)</v>
      </c>
      <c r="G1295" s="27">
        <f>LEN(Tabela12[[#This Row],[Anilha]])</f>
        <v>8</v>
      </c>
      <c r="H1295" s="21">
        <f>VLOOKUP(Tabela12[[#This Row],[Tag Cabo]],BD!A:F,6,0)</f>
        <v>2.5</v>
      </c>
      <c r="I1295" s="27" t="s">
        <v>1707</v>
      </c>
      <c r="J1295" s="27" t="s">
        <v>1706</v>
      </c>
    </row>
    <row r="1296" spans="1:10" x14ac:dyDescent="0.25">
      <c r="A1296" s="21" t="s">
        <v>833</v>
      </c>
      <c r="B1296" s="391" t="str">
        <f>VLOOKUP(Tabela12[[#This Row],[Painel]],Tabela13[],2,0)</f>
        <v>8HV</v>
      </c>
      <c r="C1296" s="391" t="s">
        <v>1578</v>
      </c>
      <c r="D1296" s="21" t="s">
        <v>1925</v>
      </c>
      <c r="E1296" s="21">
        <v>7</v>
      </c>
      <c r="F1296" s="27" t="str">
        <f>Tabela12[[#This Row],[Régua]]&amp;" ("&amp;Tabela12[[#This Row],[Born]]&amp;")"</f>
        <v>BNU (7)</v>
      </c>
      <c r="G1296" s="27">
        <f>LEN(Tabela12[[#This Row],[Anilha]])</f>
        <v>7</v>
      </c>
      <c r="H1296" s="21">
        <f>VLOOKUP(Tabela12[[#This Row],[Tag Cabo]],BD!A:F,6,0)</f>
        <v>2.5</v>
      </c>
      <c r="I1296" s="27" t="s">
        <v>1707</v>
      </c>
      <c r="J1296" s="27" t="s">
        <v>1706</v>
      </c>
    </row>
    <row r="1297" spans="1:10" x14ac:dyDescent="0.25">
      <c r="A1297" s="21" t="s">
        <v>833</v>
      </c>
      <c r="B1297" s="391" t="str">
        <f>VLOOKUP(Tabela12[[#This Row],[Painel]],Tabela13[],2,0)</f>
        <v>8HV</v>
      </c>
      <c r="C1297" s="391" t="s">
        <v>1578</v>
      </c>
      <c r="D1297" s="21" t="s">
        <v>1925</v>
      </c>
      <c r="E1297" s="21">
        <v>8</v>
      </c>
      <c r="F1297" s="27" t="str">
        <f>Tabela12[[#This Row],[Régua]]&amp;" ("&amp;Tabela12[[#This Row],[Born]]&amp;")"</f>
        <v>BNU (8)</v>
      </c>
      <c r="G1297" s="27">
        <f>LEN(Tabela12[[#This Row],[Anilha]])</f>
        <v>7</v>
      </c>
      <c r="H1297" s="21">
        <f>VLOOKUP(Tabela12[[#This Row],[Tag Cabo]],BD!A:F,6,0)</f>
        <v>2.5</v>
      </c>
      <c r="I1297" s="27" t="s">
        <v>1707</v>
      </c>
      <c r="J1297" s="27" t="s">
        <v>1706</v>
      </c>
    </row>
    <row r="1298" spans="1:10" x14ac:dyDescent="0.25">
      <c r="A1298" s="21" t="s">
        <v>833</v>
      </c>
      <c r="B1298" s="391" t="str">
        <f>VLOOKUP(Tabela12[[#This Row],[Painel]],Tabela13[],2,0)</f>
        <v>8HV</v>
      </c>
      <c r="C1298" s="391" t="s">
        <v>1578</v>
      </c>
      <c r="D1298" s="21" t="s">
        <v>1925</v>
      </c>
      <c r="E1298" s="21">
        <v>9</v>
      </c>
      <c r="F1298" s="27" t="str">
        <f>Tabela12[[#This Row],[Régua]]&amp;" ("&amp;Tabela12[[#This Row],[Born]]&amp;")"</f>
        <v>BNU (9)</v>
      </c>
      <c r="G1298" s="27">
        <f>LEN(Tabela12[[#This Row],[Anilha]])</f>
        <v>7</v>
      </c>
      <c r="H1298" s="21">
        <f>VLOOKUP(Tabela12[[#This Row],[Tag Cabo]],BD!A:F,6,0)</f>
        <v>2.5</v>
      </c>
      <c r="I1298" s="27" t="s">
        <v>1707</v>
      </c>
      <c r="J1298" s="27" t="s">
        <v>1706</v>
      </c>
    </row>
    <row r="1299" spans="1:10" x14ac:dyDescent="0.25">
      <c r="A1299" s="21" t="s">
        <v>833</v>
      </c>
      <c r="B1299" s="391" t="str">
        <f>VLOOKUP(Tabela12[[#This Row],[Painel]],Tabela13[],2,0)</f>
        <v>8HV</v>
      </c>
      <c r="C1299" s="391" t="s">
        <v>1578</v>
      </c>
      <c r="D1299" s="21" t="s">
        <v>1925</v>
      </c>
      <c r="E1299" s="21">
        <v>22</v>
      </c>
      <c r="F1299" s="27" t="str">
        <f>Tabela12[[#This Row],[Régua]]&amp;" ("&amp;Tabela12[[#This Row],[Born]]&amp;")"</f>
        <v>BNU (22)</v>
      </c>
      <c r="G1299" s="27">
        <f>LEN(Tabela12[[#This Row],[Anilha]])</f>
        <v>8</v>
      </c>
      <c r="H1299" s="21">
        <f>VLOOKUP(Tabela12[[#This Row],[Tag Cabo]],BD!A:F,6,0)</f>
        <v>2.5</v>
      </c>
      <c r="I1299" s="27" t="s">
        <v>1707</v>
      </c>
      <c r="J1299" s="27" t="s">
        <v>1706</v>
      </c>
    </row>
    <row r="1300" spans="1:10" x14ac:dyDescent="0.25">
      <c r="A1300" s="21" t="s">
        <v>833</v>
      </c>
      <c r="B1300" s="391" t="str">
        <f>VLOOKUP(Tabela12[[#This Row],[Painel]],Tabela13[],2,0)</f>
        <v>8HV</v>
      </c>
      <c r="C1300" s="391" t="s">
        <v>1578</v>
      </c>
      <c r="D1300" s="21" t="s">
        <v>1925</v>
      </c>
      <c r="E1300" s="21">
        <v>23</v>
      </c>
      <c r="F1300" s="27" t="str">
        <f>Tabela12[[#This Row],[Régua]]&amp;" ("&amp;Tabela12[[#This Row],[Born]]&amp;")"</f>
        <v>BNU (23)</v>
      </c>
      <c r="G1300" s="27">
        <f>LEN(Tabela12[[#This Row],[Anilha]])</f>
        <v>8</v>
      </c>
      <c r="H1300" s="21">
        <f>VLOOKUP(Tabela12[[#This Row],[Tag Cabo]],BD!A:F,6,0)</f>
        <v>2.5</v>
      </c>
      <c r="I1300" s="27" t="s">
        <v>1707</v>
      </c>
      <c r="J1300" s="27" t="s">
        <v>1706</v>
      </c>
    </row>
    <row r="1301" spans="1:10" x14ac:dyDescent="0.25">
      <c r="A1301" s="21" t="s">
        <v>833</v>
      </c>
      <c r="B1301" s="391" t="str">
        <f>VLOOKUP(Tabela12[[#This Row],[Painel]],Tabela13[],2,0)</f>
        <v>8HV</v>
      </c>
      <c r="C1301" s="391" t="s">
        <v>1578</v>
      </c>
      <c r="D1301" s="21" t="s">
        <v>1925</v>
      </c>
      <c r="E1301" s="21">
        <v>24</v>
      </c>
      <c r="F1301" s="27" t="str">
        <f>Tabela12[[#This Row],[Régua]]&amp;" ("&amp;Tabela12[[#This Row],[Born]]&amp;")"</f>
        <v>BNU (24)</v>
      </c>
      <c r="G1301" s="27">
        <f>LEN(Tabela12[[#This Row],[Anilha]])</f>
        <v>8</v>
      </c>
      <c r="H1301" s="21">
        <f>VLOOKUP(Tabela12[[#This Row],[Tag Cabo]],BD!A:F,6,0)</f>
        <v>2.5</v>
      </c>
      <c r="I1301" s="27" t="s">
        <v>1707</v>
      </c>
      <c r="J1301" s="27" t="s">
        <v>1706</v>
      </c>
    </row>
    <row r="1302" spans="1:10" x14ac:dyDescent="0.25">
      <c r="A1302" s="21" t="s">
        <v>833</v>
      </c>
      <c r="B1302" s="391" t="str">
        <f>VLOOKUP(Tabela12[[#This Row],[Painel]],Tabela13[],2,0)</f>
        <v>8HV</v>
      </c>
      <c r="C1302" s="391" t="s">
        <v>856</v>
      </c>
      <c r="D1302" s="21" t="s">
        <v>1926</v>
      </c>
      <c r="E1302" s="21">
        <v>1</v>
      </c>
      <c r="F1302" s="27" t="str">
        <f>Tabela12[[#This Row],[Régua]]&amp;" ("&amp;Tabela12[[#This Row],[Born]]&amp;")"</f>
        <v>XP (1)</v>
      </c>
      <c r="G1302" s="27">
        <f>LEN(Tabela12[[#This Row],[Anilha]])</f>
        <v>6</v>
      </c>
      <c r="H1302" s="21">
        <f>VLOOKUP(Tabela12[[#This Row],[Tag Cabo]],BD!A:F,6,0)</f>
        <v>2.5</v>
      </c>
      <c r="I1302" s="27" t="s">
        <v>1707</v>
      </c>
      <c r="J1302" s="27" t="s">
        <v>1706</v>
      </c>
    </row>
    <row r="1303" spans="1:10" x14ac:dyDescent="0.25">
      <c r="A1303" s="21" t="s">
        <v>833</v>
      </c>
      <c r="B1303" s="391" t="str">
        <f>VLOOKUP(Tabela12[[#This Row],[Painel]],Tabela13[],2,0)</f>
        <v>8HV</v>
      </c>
      <c r="C1303" s="391" t="s">
        <v>856</v>
      </c>
      <c r="D1303" s="21" t="s">
        <v>1926</v>
      </c>
      <c r="E1303" s="21">
        <v>2</v>
      </c>
      <c r="F1303" s="27" t="str">
        <f>Tabela12[[#This Row],[Régua]]&amp;" ("&amp;Tabela12[[#This Row],[Born]]&amp;")"</f>
        <v>XP (2)</v>
      </c>
      <c r="G1303" s="27">
        <f>LEN(Tabela12[[#This Row],[Anilha]])</f>
        <v>6</v>
      </c>
      <c r="H1303" s="21">
        <f>VLOOKUP(Tabela12[[#This Row],[Tag Cabo]],BD!A:F,6,0)</f>
        <v>2.5</v>
      </c>
      <c r="I1303" s="27" t="s">
        <v>1707</v>
      </c>
      <c r="J1303" s="27" t="s">
        <v>1706</v>
      </c>
    </row>
    <row r="1304" spans="1:10" x14ac:dyDescent="0.25">
      <c r="A1304" s="21" t="s">
        <v>833</v>
      </c>
      <c r="B1304" s="391" t="str">
        <f>VLOOKUP(Tabela12[[#This Row],[Painel]],Tabela13[],2,0)</f>
        <v>8HV</v>
      </c>
      <c r="C1304" s="391" t="s">
        <v>856</v>
      </c>
      <c r="D1304" s="21" t="s">
        <v>1926</v>
      </c>
      <c r="E1304" s="21">
        <v>3</v>
      </c>
      <c r="F1304" s="27" t="str">
        <f>Tabela12[[#This Row],[Régua]]&amp;" ("&amp;Tabela12[[#This Row],[Born]]&amp;")"</f>
        <v>XP (3)</v>
      </c>
      <c r="G1304" s="27">
        <f>LEN(Tabela12[[#This Row],[Anilha]])</f>
        <v>6</v>
      </c>
      <c r="H1304" s="21">
        <f>VLOOKUP(Tabela12[[#This Row],[Tag Cabo]],BD!A:F,6,0)</f>
        <v>2.5</v>
      </c>
      <c r="I1304" s="27" t="s">
        <v>1707</v>
      </c>
      <c r="J1304" s="27" t="s">
        <v>1706</v>
      </c>
    </row>
    <row r="1305" spans="1:10" x14ac:dyDescent="0.25">
      <c r="A1305" s="21" t="s">
        <v>833</v>
      </c>
      <c r="B1305" s="391" t="str">
        <f>VLOOKUP(Tabela12[[#This Row],[Painel]],Tabela13[],2,0)</f>
        <v>8HV</v>
      </c>
      <c r="C1305" s="391" t="s">
        <v>856</v>
      </c>
      <c r="D1305" s="21" t="s">
        <v>1926</v>
      </c>
      <c r="E1305" s="21">
        <v>6</v>
      </c>
      <c r="F1305" s="27" t="str">
        <f>Tabela12[[#This Row],[Régua]]&amp;" ("&amp;Tabela12[[#This Row],[Born]]&amp;")"</f>
        <v>XP (6)</v>
      </c>
      <c r="G1305" s="27">
        <f>LEN(Tabela12[[#This Row],[Anilha]])</f>
        <v>6</v>
      </c>
      <c r="H1305" s="21">
        <f>VLOOKUP(Tabela12[[#This Row],[Tag Cabo]],BD!A:F,6,0)</f>
        <v>2.5</v>
      </c>
      <c r="I1305" s="27" t="s">
        <v>1707</v>
      </c>
      <c r="J1305" s="27" t="s">
        <v>1706</v>
      </c>
    </row>
    <row r="1306" spans="1:10" x14ac:dyDescent="0.25">
      <c r="A1306" s="21" t="s">
        <v>833</v>
      </c>
      <c r="B1306" s="391" t="str">
        <f>VLOOKUP(Tabela12[[#This Row],[Painel]],Tabela13[],2,0)</f>
        <v>8HV</v>
      </c>
      <c r="C1306" s="391" t="s">
        <v>856</v>
      </c>
      <c r="D1306" s="21" t="s">
        <v>1926</v>
      </c>
      <c r="E1306" s="21">
        <v>7</v>
      </c>
      <c r="F1306" s="27" t="str">
        <f>Tabela12[[#This Row],[Régua]]&amp;" ("&amp;Tabela12[[#This Row],[Born]]&amp;")"</f>
        <v>XP (7)</v>
      </c>
      <c r="G1306" s="27">
        <f>LEN(Tabela12[[#This Row],[Anilha]])</f>
        <v>6</v>
      </c>
      <c r="H1306" s="21">
        <f>VLOOKUP(Tabela12[[#This Row],[Tag Cabo]],BD!A:F,6,0)</f>
        <v>2.5</v>
      </c>
      <c r="I1306" s="27" t="s">
        <v>1707</v>
      </c>
      <c r="J1306" s="27" t="s">
        <v>1706</v>
      </c>
    </row>
    <row r="1307" spans="1:10" x14ac:dyDescent="0.25">
      <c r="A1307" s="21" t="s">
        <v>833</v>
      </c>
      <c r="B1307" s="391" t="str">
        <f>VLOOKUP(Tabela12[[#This Row],[Painel]],Tabela13[],2,0)</f>
        <v>8HV</v>
      </c>
      <c r="C1307" s="391" t="s">
        <v>856</v>
      </c>
      <c r="D1307" s="21" t="s">
        <v>1926</v>
      </c>
      <c r="E1307" s="21">
        <v>8</v>
      </c>
      <c r="F1307" s="27" t="str">
        <f>Tabela12[[#This Row],[Régua]]&amp;" ("&amp;Tabela12[[#This Row],[Born]]&amp;")"</f>
        <v>XP (8)</v>
      </c>
      <c r="G1307" s="27">
        <f>LEN(Tabela12[[#This Row],[Anilha]])</f>
        <v>6</v>
      </c>
      <c r="H1307" s="21">
        <f>VLOOKUP(Tabela12[[#This Row],[Tag Cabo]],BD!A:F,6,0)</f>
        <v>2.5</v>
      </c>
      <c r="I1307" s="27" t="s">
        <v>1707</v>
      </c>
      <c r="J1307" s="27" t="s">
        <v>1706</v>
      </c>
    </row>
    <row r="1308" spans="1:10" x14ac:dyDescent="0.25">
      <c r="A1308" s="21" t="s">
        <v>837</v>
      </c>
      <c r="B1308" s="391" t="str">
        <f>VLOOKUP(Tabela12[[#This Row],[Painel]],Tabela13[],2,0)</f>
        <v>8HV</v>
      </c>
      <c r="C1308" s="391" t="s">
        <v>1578</v>
      </c>
      <c r="D1308" s="21" t="s">
        <v>1923</v>
      </c>
      <c r="E1308" s="21">
        <v>8</v>
      </c>
      <c r="F1308" s="27" t="str">
        <f>Tabela12[[#This Row],[Régua]]&amp;" ("&amp;Tabela12[[#This Row],[Born]]&amp;")"</f>
        <v>BNC1 (8)</v>
      </c>
      <c r="G1308" s="27">
        <f>LEN(Tabela12[[#This Row],[Anilha]])</f>
        <v>8</v>
      </c>
      <c r="H1308" s="21">
        <f>VLOOKUP(Tabela12[[#This Row],[Tag Cabo]],BD!A:F,6,0)</f>
        <v>2.5</v>
      </c>
      <c r="I1308" s="27" t="s">
        <v>1707</v>
      </c>
      <c r="J1308" s="27" t="s">
        <v>1706</v>
      </c>
    </row>
    <row r="1309" spans="1:10" x14ac:dyDescent="0.25">
      <c r="A1309" s="21" t="s">
        <v>837</v>
      </c>
      <c r="B1309" s="391" t="str">
        <f>VLOOKUP(Tabela12[[#This Row],[Painel]],Tabela13[],2,0)</f>
        <v>8HV</v>
      </c>
      <c r="C1309" s="391" t="s">
        <v>1578</v>
      </c>
      <c r="D1309" s="21" t="s">
        <v>1923</v>
      </c>
      <c r="E1309" s="21">
        <v>9</v>
      </c>
      <c r="F1309" s="27" t="str">
        <f>Tabela12[[#This Row],[Régua]]&amp;" ("&amp;Tabela12[[#This Row],[Born]]&amp;")"</f>
        <v>BNC1 (9)</v>
      </c>
      <c r="G1309" s="27">
        <f>LEN(Tabela12[[#This Row],[Anilha]])</f>
        <v>8</v>
      </c>
      <c r="H1309" s="21">
        <f>VLOOKUP(Tabela12[[#This Row],[Tag Cabo]],BD!A:F,6,0)</f>
        <v>2.5</v>
      </c>
      <c r="I1309" s="27" t="s">
        <v>1707</v>
      </c>
      <c r="J1309" s="27" t="s">
        <v>1706</v>
      </c>
    </row>
    <row r="1310" spans="1:10" x14ac:dyDescent="0.25">
      <c r="A1310" s="21" t="s">
        <v>837</v>
      </c>
      <c r="B1310" s="391" t="str">
        <f>VLOOKUP(Tabela12[[#This Row],[Painel]],Tabela13[],2,0)</f>
        <v>8HV</v>
      </c>
      <c r="C1310" s="391" t="s">
        <v>1578</v>
      </c>
      <c r="D1310" s="21" t="s">
        <v>1923</v>
      </c>
      <c r="E1310" s="21">
        <v>10</v>
      </c>
      <c r="F1310" s="27" t="str">
        <f>Tabela12[[#This Row],[Régua]]&amp;" ("&amp;Tabela12[[#This Row],[Born]]&amp;")"</f>
        <v>BNC1 (10)</v>
      </c>
      <c r="G1310" s="27">
        <f>LEN(Tabela12[[#This Row],[Anilha]])</f>
        <v>9</v>
      </c>
      <c r="H1310" s="21">
        <f>VLOOKUP(Tabela12[[#This Row],[Tag Cabo]],BD!A:F,6,0)</f>
        <v>2.5</v>
      </c>
      <c r="I1310" s="27" t="s">
        <v>1707</v>
      </c>
      <c r="J1310" s="27" t="s">
        <v>1706</v>
      </c>
    </row>
    <row r="1311" spans="1:10" x14ac:dyDescent="0.25">
      <c r="A1311" s="21" t="s">
        <v>837</v>
      </c>
      <c r="B1311" s="391" t="str">
        <f>VLOOKUP(Tabela12[[#This Row],[Painel]],Tabela13[],2,0)</f>
        <v>8HV</v>
      </c>
      <c r="C1311" s="391" t="s">
        <v>856</v>
      </c>
      <c r="D1311" s="21" t="s">
        <v>1924</v>
      </c>
      <c r="E1311" s="21">
        <v>1</v>
      </c>
      <c r="F1311" s="27" t="str">
        <f>Tabela12[[#This Row],[Régua]]&amp;" ("&amp;Tabela12[[#This Row],[Born]]&amp;")"</f>
        <v>XSINC (1)</v>
      </c>
      <c r="G1311" s="27">
        <f>LEN(Tabela12[[#This Row],[Anilha]])</f>
        <v>9</v>
      </c>
      <c r="H1311" s="21">
        <f>VLOOKUP(Tabela12[[#This Row],[Tag Cabo]],BD!A:F,6,0)</f>
        <v>2.5</v>
      </c>
      <c r="I1311" s="27" t="s">
        <v>1707</v>
      </c>
      <c r="J1311" s="27" t="s">
        <v>1706</v>
      </c>
    </row>
    <row r="1312" spans="1:10" x14ac:dyDescent="0.25">
      <c r="A1312" s="21" t="s">
        <v>837</v>
      </c>
      <c r="B1312" s="391" t="str">
        <f>VLOOKUP(Tabela12[[#This Row],[Painel]],Tabela13[],2,0)</f>
        <v>8HV</v>
      </c>
      <c r="C1312" s="391" t="s">
        <v>856</v>
      </c>
      <c r="D1312" s="21" t="s">
        <v>1924</v>
      </c>
      <c r="E1312" s="21">
        <v>3</v>
      </c>
      <c r="F1312" s="27" t="str">
        <f>Tabela12[[#This Row],[Régua]]&amp;" ("&amp;Tabela12[[#This Row],[Born]]&amp;")"</f>
        <v>XSINC (3)</v>
      </c>
      <c r="G1312" s="27">
        <f>LEN(Tabela12[[#This Row],[Anilha]])</f>
        <v>9</v>
      </c>
      <c r="H1312" s="21">
        <f>VLOOKUP(Tabela12[[#This Row],[Tag Cabo]],BD!A:F,6,0)</f>
        <v>2.5</v>
      </c>
      <c r="I1312" s="27" t="s">
        <v>1707</v>
      </c>
      <c r="J1312" s="27" t="s">
        <v>1706</v>
      </c>
    </row>
    <row r="1313" spans="1:10" x14ac:dyDescent="0.25">
      <c r="A1313" s="21" t="s">
        <v>837</v>
      </c>
      <c r="B1313" s="391" t="str">
        <f>VLOOKUP(Tabela12[[#This Row],[Painel]],Tabela13[],2,0)</f>
        <v>8HV</v>
      </c>
      <c r="C1313" s="391" t="s">
        <v>856</v>
      </c>
      <c r="D1313" s="21" t="s">
        <v>1924</v>
      </c>
      <c r="E1313" s="21">
        <v>5</v>
      </c>
      <c r="F1313" s="27" t="str">
        <f>Tabela12[[#This Row],[Régua]]&amp;" ("&amp;Tabela12[[#This Row],[Born]]&amp;")"</f>
        <v>XSINC (5)</v>
      </c>
      <c r="G1313" s="27">
        <f>LEN(Tabela12[[#This Row],[Anilha]])</f>
        <v>9</v>
      </c>
      <c r="H1313" s="21">
        <f>VLOOKUP(Tabela12[[#This Row],[Tag Cabo]],BD!A:F,6,0)</f>
        <v>2.5</v>
      </c>
      <c r="I1313" s="27" t="s">
        <v>1707</v>
      </c>
      <c r="J1313" s="27" t="s">
        <v>1706</v>
      </c>
    </row>
    <row r="1314" spans="1:10" x14ac:dyDescent="0.25">
      <c r="A1314" s="21" t="s">
        <v>840</v>
      </c>
      <c r="B1314" s="391" t="str">
        <f>VLOOKUP(Tabela12[[#This Row],[Painel]],Tabela13[],2,0)</f>
        <v>8HV</v>
      </c>
      <c r="C1314" s="391" t="s">
        <v>1578</v>
      </c>
      <c r="D1314" s="21" t="s">
        <v>1925</v>
      </c>
      <c r="E1314" s="21">
        <v>13</v>
      </c>
      <c r="F1314" s="27" t="str">
        <f>Tabela12[[#This Row],[Régua]]&amp;" ("&amp;Tabela12[[#This Row],[Born]]&amp;")"</f>
        <v>BNU (13)</v>
      </c>
      <c r="G1314" s="27">
        <f>LEN(Tabela12[[#This Row],[Anilha]])</f>
        <v>8</v>
      </c>
      <c r="H1314" s="21">
        <f>VLOOKUP(Tabela12[[#This Row],[Tag Cabo]],BD!A:F,6,0)</f>
        <v>2.5</v>
      </c>
      <c r="I1314" s="27" t="s">
        <v>1707</v>
      </c>
      <c r="J1314" s="27" t="s">
        <v>1706</v>
      </c>
    </row>
    <row r="1315" spans="1:10" x14ac:dyDescent="0.25">
      <c r="A1315" s="21" t="s">
        <v>840</v>
      </c>
      <c r="B1315" s="391" t="str">
        <f>VLOOKUP(Tabela12[[#This Row],[Painel]],Tabela13[],2,0)</f>
        <v>8HV</v>
      </c>
      <c r="C1315" s="391" t="s">
        <v>1578</v>
      </c>
      <c r="D1315" s="21" t="s">
        <v>1925</v>
      </c>
      <c r="E1315" s="21">
        <v>14</v>
      </c>
      <c r="F1315" s="27" t="str">
        <f>Tabela12[[#This Row],[Régua]]&amp;" ("&amp;Tabela12[[#This Row],[Born]]&amp;")"</f>
        <v>BNU (14)</v>
      </c>
      <c r="G1315" s="27">
        <f>LEN(Tabela12[[#This Row],[Anilha]])</f>
        <v>8</v>
      </c>
      <c r="H1315" s="21">
        <f>VLOOKUP(Tabela12[[#This Row],[Tag Cabo]],BD!A:F,6,0)</f>
        <v>2.5</v>
      </c>
      <c r="I1315" s="27" t="s">
        <v>1707</v>
      </c>
      <c r="J1315" s="27" t="s">
        <v>1706</v>
      </c>
    </row>
    <row r="1316" spans="1:10" x14ac:dyDescent="0.25">
      <c r="A1316" s="21" t="s">
        <v>840</v>
      </c>
      <c r="B1316" s="391" t="str">
        <f>VLOOKUP(Tabela12[[#This Row],[Painel]],Tabela13[],2,0)</f>
        <v>8HV</v>
      </c>
      <c r="C1316" s="391" t="s">
        <v>1578</v>
      </c>
      <c r="D1316" s="21" t="s">
        <v>1925</v>
      </c>
      <c r="E1316" s="21">
        <v>15</v>
      </c>
      <c r="F1316" s="27" t="str">
        <f>Tabela12[[#This Row],[Régua]]&amp;" ("&amp;Tabela12[[#This Row],[Born]]&amp;")"</f>
        <v>BNU (15)</v>
      </c>
      <c r="G1316" s="27">
        <f>LEN(Tabela12[[#This Row],[Anilha]])</f>
        <v>8</v>
      </c>
      <c r="H1316" s="21">
        <f>VLOOKUP(Tabela12[[#This Row],[Tag Cabo]],BD!A:F,6,0)</f>
        <v>2.5</v>
      </c>
      <c r="I1316" s="27" t="s">
        <v>1707</v>
      </c>
      <c r="J1316" s="27" t="s">
        <v>1706</v>
      </c>
    </row>
    <row r="1317" spans="1:10" x14ac:dyDescent="0.25">
      <c r="A1317" s="21" t="s">
        <v>840</v>
      </c>
      <c r="B1317" s="391" t="str">
        <f>VLOOKUP(Tabela12[[#This Row],[Painel]],Tabela13[],2,0)</f>
        <v>8HV</v>
      </c>
      <c r="C1317" s="391" t="s">
        <v>1578</v>
      </c>
      <c r="D1317" s="21" t="s">
        <v>1925</v>
      </c>
      <c r="E1317" s="21">
        <v>28</v>
      </c>
      <c r="F1317" s="27" t="str">
        <f>Tabela12[[#This Row],[Régua]]&amp;" ("&amp;Tabela12[[#This Row],[Born]]&amp;")"</f>
        <v>BNU (28)</v>
      </c>
      <c r="G1317" s="27">
        <f>LEN(Tabela12[[#This Row],[Anilha]])</f>
        <v>8</v>
      </c>
      <c r="H1317" s="21">
        <f>VLOOKUP(Tabela12[[#This Row],[Tag Cabo]],BD!A:F,6,0)</f>
        <v>2.5</v>
      </c>
      <c r="I1317" s="27" t="s">
        <v>1707</v>
      </c>
      <c r="J1317" s="27" t="s">
        <v>1706</v>
      </c>
    </row>
    <row r="1318" spans="1:10" x14ac:dyDescent="0.25">
      <c r="A1318" s="21" t="s">
        <v>840</v>
      </c>
      <c r="B1318" s="391" t="str">
        <f>VLOOKUP(Tabela12[[#This Row],[Painel]],Tabela13[],2,0)</f>
        <v>8HV</v>
      </c>
      <c r="C1318" s="391" t="s">
        <v>1578</v>
      </c>
      <c r="D1318" s="21" t="s">
        <v>1925</v>
      </c>
      <c r="E1318" s="21">
        <v>29</v>
      </c>
      <c r="F1318" s="27" t="str">
        <f>Tabela12[[#This Row],[Régua]]&amp;" ("&amp;Tabela12[[#This Row],[Born]]&amp;")"</f>
        <v>BNU (29)</v>
      </c>
      <c r="G1318" s="27">
        <f>LEN(Tabela12[[#This Row],[Anilha]])</f>
        <v>8</v>
      </c>
      <c r="H1318" s="21">
        <f>VLOOKUP(Tabela12[[#This Row],[Tag Cabo]],BD!A:F,6,0)</f>
        <v>2.5</v>
      </c>
      <c r="I1318" s="27" t="s">
        <v>1707</v>
      </c>
      <c r="J1318" s="27" t="s">
        <v>1706</v>
      </c>
    </row>
    <row r="1319" spans="1:10" x14ac:dyDescent="0.25">
      <c r="A1319" s="21" t="s">
        <v>840</v>
      </c>
      <c r="B1319" s="391" t="str">
        <f>VLOOKUP(Tabela12[[#This Row],[Painel]],Tabela13[],2,0)</f>
        <v>8HV</v>
      </c>
      <c r="C1319" s="391" t="s">
        <v>1578</v>
      </c>
      <c r="D1319" s="21" t="s">
        <v>1925</v>
      </c>
      <c r="E1319" s="21">
        <v>30</v>
      </c>
      <c r="F1319" s="27" t="str">
        <f>Tabela12[[#This Row],[Régua]]&amp;" ("&amp;Tabela12[[#This Row],[Born]]&amp;")"</f>
        <v>BNU (30)</v>
      </c>
      <c r="G1319" s="27">
        <f>LEN(Tabela12[[#This Row],[Anilha]])</f>
        <v>8</v>
      </c>
      <c r="H1319" s="21">
        <f>VLOOKUP(Tabela12[[#This Row],[Tag Cabo]],BD!A:F,6,0)</f>
        <v>2.5</v>
      </c>
      <c r="I1319" s="27" t="s">
        <v>1707</v>
      </c>
      <c r="J1319" s="27" t="s">
        <v>1706</v>
      </c>
    </row>
    <row r="1320" spans="1:10" x14ac:dyDescent="0.25">
      <c r="A1320" s="21" t="s">
        <v>840</v>
      </c>
      <c r="B1320" s="391" t="str">
        <f>VLOOKUP(Tabela12[[#This Row],[Painel]],Tabela13[],2,0)</f>
        <v>8HV</v>
      </c>
      <c r="C1320" s="391" t="s">
        <v>856</v>
      </c>
      <c r="D1320" s="21" t="s">
        <v>1926</v>
      </c>
      <c r="E1320" s="21">
        <v>1</v>
      </c>
      <c r="F1320" s="27" t="str">
        <f>Tabela12[[#This Row],[Régua]]&amp;" ("&amp;Tabela12[[#This Row],[Born]]&amp;")"</f>
        <v>XP (1)</v>
      </c>
      <c r="G1320" s="27">
        <f>LEN(Tabela12[[#This Row],[Anilha]])</f>
        <v>6</v>
      </c>
      <c r="H1320" s="21">
        <f>VLOOKUP(Tabela12[[#This Row],[Tag Cabo]],BD!A:F,6,0)</f>
        <v>2.5</v>
      </c>
      <c r="I1320" s="27" t="s">
        <v>1707</v>
      </c>
      <c r="J1320" s="27" t="s">
        <v>1706</v>
      </c>
    </row>
    <row r="1321" spans="1:10" x14ac:dyDescent="0.25">
      <c r="A1321" s="21" t="s">
        <v>840</v>
      </c>
      <c r="B1321" s="391" t="str">
        <f>VLOOKUP(Tabela12[[#This Row],[Painel]],Tabela13[],2,0)</f>
        <v>8HV</v>
      </c>
      <c r="C1321" s="391" t="s">
        <v>856</v>
      </c>
      <c r="D1321" s="21" t="s">
        <v>1926</v>
      </c>
      <c r="E1321" s="21">
        <v>2</v>
      </c>
      <c r="F1321" s="27" t="str">
        <f>Tabela12[[#This Row],[Régua]]&amp;" ("&amp;Tabela12[[#This Row],[Born]]&amp;")"</f>
        <v>XP (2)</v>
      </c>
      <c r="G1321" s="27">
        <f>LEN(Tabela12[[#This Row],[Anilha]])</f>
        <v>6</v>
      </c>
      <c r="H1321" s="21">
        <f>VLOOKUP(Tabela12[[#This Row],[Tag Cabo]],BD!A:F,6,0)</f>
        <v>2.5</v>
      </c>
      <c r="I1321" s="27" t="s">
        <v>1707</v>
      </c>
      <c r="J1321" s="27" t="s">
        <v>1706</v>
      </c>
    </row>
    <row r="1322" spans="1:10" x14ac:dyDescent="0.25">
      <c r="A1322" s="21" t="s">
        <v>840</v>
      </c>
      <c r="B1322" s="391" t="str">
        <f>VLOOKUP(Tabela12[[#This Row],[Painel]],Tabela13[],2,0)</f>
        <v>8HV</v>
      </c>
      <c r="C1322" s="391" t="s">
        <v>856</v>
      </c>
      <c r="D1322" s="21" t="s">
        <v>1926</v>
      </c>
      <c r="E1322" s="21">
        <v>3</v>
      </c>
      <c r="F1322" s="27" t="str">
        <f>Tabela12[[#This Row],[Régua]]&amp;" ("&amp;Tabela12[[#This Row],[Born]]&amp;")"</f>
        <v>XP (3)</v>
      </c>
      <c r="G1322" s="27">
        <f>LEN(Tabela12[[#This Row],[Anilha]])</f>
        <v>6</v>
      </c>
      <c r="H1322" s="21">
        <f>VLOOKUP(Tabela12[[#This Row],[Tag Cabo]],BD!A:F,6,0)</f>
        <v>2.5</v>
      </c>
      <c r="I1322" s="27" t="s">
        <v>1707</v>
      </c>
      <c r="J1322" s="27" t="s">
        <v>1706</v>
      </c>
    </row>
    <row r="1323" spans="1:10" x14ac:dyDescent="0.25">
      <c r="A1323" s="21" t="s">
        <v>840</v>
      </c>
      <c r="B1323" s="391" t="str">
        <f>VLOOKUP(Tabela12[[#This Row],[Painel]],Tabela13[],2,0)</f>
        <v>8HV</v>
      </c>
      <c r="C1323" s="391" t="s">
        <v>856</v>
      </c>
      <c r="D1323" s="21" t="s">
        <v>1926</v>
      </c>
      <c r="E1323" s="21">
        <v>7</v>
      </c>
      <c r="F1323" s="27" t="str">
        <f>Tabela12[[#This Row],[Régua]]&amp;" ("&amp;Tabela12[[#This Row],[Born]]&amp;")"</f>
        <v>XP (7)</v>
      </c>
      <c r="G1323" s="27">
        <f>LEN(Tabela12[[#This Row],[Anilha]])</f>
        <v>6</v>
      </c>
      <c r="H1323" s="21">
        <f>VLOOKUP(Tabela12[[#This Row],[Tag Cabo]],BD!A:F,6,0)</f>
        <v>2.5</v>
      </c>
      <c r="I1323" s="27" t="s">
        <v>1707</v>
      </c>
      <c r="J1323" s="27" t="s">
        <v>1706</v>
      </c>
    </row>
    <row r="1324" spans="1:10" x14ac:dyDescent="0.25">
      <c r="A1324" s="21" t="s">
        <v>840</v>
      </c>
      <c r="B1324" s="391" t="str">
        <f>VLOOKUP(Tabela12[[#This Row],[Painel]],Tabela13[],2,0)</f>
        <v>8HV</v>
      </c>
      <c r="C1324" s="391" t="s">
        <v>856</v>
      </c>
      <c r="D1324" s="21" t="s">
        <v>1926</v>
      </c>
      <c r="E1324" s="21">
        <v>8</v>
      </c>
      <c r="F1324" s="27" t="str">
        <f>Tabela12[[#This Row],[Régua]]&amp;" ("&amp;Tabela12[[#This Row],[Born]]&amp;")"</f>
        <v>XP (8)</v>
      </c>
      <c r="G1324" s="27">
        <f>LEN(Tabela12[[#This Row],[Anilha]])</f>
        <v>6</v>
      </c>
      <c r="H1324" s="21">
        <f>VLOOKUP(Tabela12[[#This Row],[Tag Cabo]],BD!A:F,6,0)</f>
        <v>2.5</v>
      </c>
      <c r="I1324" s="27" t="s">
        <v>1707</v>
      </c>
      <c r="J1324" s="27" t="s">
        <v>1706</v>
      </c>
    </row>
    <row r="1325" spans="1:10" x14ac:dyDescent="0.25">
      <c r="A1325" s="21" t="s">
        <v>840</v>
      </c>
      <c r="B1325" s="391" t="str">
        <f>VLOOKUP(Tabela12[[#This Row],[Painel]],Tabela13[],2,0)</f>
        <v>8HV</v>
      </c>
      <c r="C1325" s="391" t="s">
        <v>856</v>
      </c>
      <c r="D1325" s="21" t="s">
        <v>1926</v>
      </c>
      <c r="E1325" s="21">
        <v>9</v>
      </c>
      <c r="F1325" s="27" t="str">
        <f>Tabela12[[#This Row],[Régua]]&amp;" ("&amp;Tabela12[[#This Row],[Born]]&amp;")"</f>
        <v>XP (9)</v>
      </c>
      <c r="G1325" s="27">
        <f>LEN(Tabela12[[#This Row],[Anilha]])</f>
        <v>6</v>
      </c>
      <c r="H1325" s="21">
        <f>VLOOKUP(Tabela12[[#This Row],[Tag Cabo]],BD!A:F,6,0)</f>
        <v>2.5</v>
      </c>
      <c r="I1325" s="27" t="s">
        <v>1707</v>
      </c>
      <c r="J1325" s="27" t="s">
        <v>1706</v>
      </c>
    </row>
    <row r="1326" spans="1:10" x14ac:dyDescent="0.25">
      <c r="A1326" s="21" t="s">
        <v>843</v>
      </c>
      <c r="B1326" s="391" t="str">
        <f>VLOOKUP(Tabela12[[#This Row],[Painel]],Tabela13[],2,0)</f>
        <v>8HV</v>
      </c>
      <c r="C1326" s="391" t="s">
        <v>1578</v>
      </c>
      <c r="D1326" s="21" t="s">
        <v>1903</v>
      </c>
      <c r="E1326" s="21">
        <v>5</v>
      </c>
      <c r="F1326" s="27" t="str">
        <f>Tabela12[[#This Row],[Régua]]&amp;" ("&amp;Tabela12[[#This Row],[Born]]&amp;")"</f>
        <v>BNP (5)</v>
      </c>
      <c r="G1326" s="27">
        <f>LEN(Tabela12[[#This Row],[Anilha]])</f>
        <v>7</v>
      </c>
      <c r="H1326" s="21">
        <f>VLOOKUP(Tabela12[[#This Row],[Tag Cabo]],BD!A:F,6,0)</f>
        <v>2.5</v>
      </c>
      <c r="I1326" s="27" t="s">
        <v>1707</v>
      </c>
      <c r="J1326" s="27" t="s">
        <v>1706</v>
      </c>
    </row>
    <row r="1327" spans="1:10" x14ac:dyDescent="0.25">
      <c r="A1327" s="21" t="s">
        <v>843</v>
      </c>
      <c r="B1327" s="391" t="str">
        <f>VLOOKUP(Tabela12[[#This Row],[Painel]],Tabela13[],2,0)</f>
        <v>8HV</v>
      </c>
      <c r="C1327" s="391" t="s">
        <v>1578</v>
      </c>
      <c r="D1327" s="21" t="s">
        <v>1903</v>
      </c>
      <c r="E1327" s="21">
        <v>6</v>
      </c>
      <c r="F1327" s="27" t="str">
        <f>Tabela12[[#This Row],[Régua]]&amp;" ("&amp;Tabela12[[#This Row],[Born]]&amp;")"</f>
        <v>BNP (6)</v>
      </c>
      <c r="G1327" s="27">
        <f>LEN(Tabela12[[#This Row],[Anilha]])</f>
        <v>7</v>
      </c>
      <c r="H1327" s="21">
        <f>VLOOKUP(Tabela12[[#This Row],[Tag Cabo]],BD!A:F,6,0)</f>
        <v>2.5</v>
      </c>
      <c r="I1327" s="27" t="s">
        <v>1707</v>
      </c>
      <c r="J1327" s="27" t="s">
        <v>1706</v>
      </c>
    </row>
    <row r="1328" spans="1:10" x14ac:dyDescent="0.25">
      <c r="A1328" s="21" t="s">
        <v>843</v>
      </c>
      <c r="B1328" s="391" t="str">
        <f>VLOOKUP(Tabela12[[#This Row],[Painel]],Tabela13[],2,0)</f>
        <v>8HV</v>
      </c>
      <c r="C1328" s="391" t="s">
        <v>1578</v>
      </c>
      <c r="D1328" s="21" t="s">
        <v>1903</v>
      </c>
      <c r="E1328" s="21">
        <v>7</v>
      </c>
      <c r="F1328" s="27" t="str">
        <f>Tabela12[[#This Row],[Régua]]&amp;" ("&amp;Tabela12[[#This Row],[Born]]&amp;")"</f>
        <v>BNP (7)</v>
      </c>
      <c r="G1328" s="27">
        <f>LEN(Tabela12[[#This Row],[Anilha]])</f>
        <v>7</v>
      </c>
      <c r="H1328" s="21">
        <f>VLOOKUP(Tabela12[[#This Row],[Tag Cabo]],BD!A:F,6,0)</f>
        <v>2.5</v>
      </c>
      <c r="I1328" s="27" t="s">
        <v>1707</v>
      </c>
      <c r="J1328" s="27" t="s">
        <v>1706</v>
      </c>
    </row>
    <row r="1329" spans="1:10" x14ac:dyDescent="0.25">
      <c r="A1329" s="21" t="s">
        <v>843</v>
      </c>
      <c r="B1329" s="391" t="str">
        <f>VLOOKUP(Tabela12[[#This Row],[Painel]],Tabela13[],2,0)</f>
        <v>8HV</v>
      </c>
      <c r="C1329" s="391" t="s">
        <v>1578</v>
      </c>
      <c r="D1329" s="21" t="s">
        <v>1903</v>
      </c>
      <c r="E1329" s="21">
        <v>8</v>
      </c>
      <c r="F1329" s="27" t="str">
        <f>Tabela12[[#This Row],[Régua]]&amp;" ("&amp;Tabela12[[#This Row],[Born]]&amp;")"</f>
        <v>BNP (8)</v>
      </c>
      <c r="G1329" s="27">
        <f>LEN(Tabela12[[#This Row],[Anilha]])</f>
        <v>7</v>
      </c>
      <c r="H1329" s="21">
        <f>VLOOKUP(Tabela12[[#This Row],[Tag Cabo]],BD!A:F,6,0)</f>
        <v>2.5</v>
      </c>
      <c r="I1329" s="27" t="s">
        <v>1707</v>
      </c>
      <c r="J1329" s="27" t="s">
        <v>1706</v>
      </c>
    </row>
    <row r="1330" spans="1:10" x14ac:dyDescent="0.25">
      <c r="A1330" s="21" t="s">
        <v>843</v>
      </c>
      <c r="B1330" s="391" t="str">
        <f>VLOOKUP(Tabela12[[#This Row],[Painel]],Tabela13[],2,0)</f>
        <v>8HV</v>
      </c>
      <c r="C1330" s="391" t="s">
        <v>1578</v>
      </c>
      <c r="D1330" s="21" t="s">
        <v>1903</v>
      </c>
      <c r="E1330" s="21">
        <v>9</v>
      </c>
      <c r="F1330" s="27" t="str">
        <f>Tabela12[[#This Row],[Régua]]&amp;" ("&amp;Tabela12[[#This Row],[Born]]&amp;")"</f>
        <v>BNP (9)</v>
      </c>
      <c r="G1330" s="27">
        <f>LEN(Tabela12[[#This Row],[Anilha]])</f>
        <v>7</v>
      </c>
      <c r="H1330" s="21">
        <f>VLOOKUP(Tabela12[[#This Row],[Tag Cabo]],BD!A:F,6,0)</f>
        <v>2.5</v>
      </c>
      <c r="I1330" s="27" t="s">
        <v>1707</v>
      </c>
      <c r="J1330" s="27" t="s">
        <v>1706</v>
      </c>
    </row>
    <row r="1331" spans="1:10" x14ac:dyDescent="0.25">
      <c r="A1331" s="21" t="s">
        <v>843</v>
      </c>
      <c r="B1331" s="391" t="str">
        <f>VLOOKUP(Tabela12[[#This Row],[Painel]],Tabela13[],2,0)</f>
        <v>8HV</v>
      </c>
      <c r="C1331" s="391" t="s">
        <v>1578</v>
      </c>
      <c r="D1331" s="21" t="s">
        <v>1903</v>
      </c>
      <c r="E1331" s="21">
        <v>10</v>
      </c>
      <c r="F1331" s="27" t="str">
        <f>Tabela12[[#This Row],[Régua]]&amp;" ("&amp;Tabela12[[#This Row],[Born]]&amp;")"</f>
        <v>BNP (10)</v>
      </c>
      <c r="G1331" s="27">
        <f>LEN(Tabela12[[#This Row],[Anilha]])</f>
        <v>8</v>
      </c>
      <c r="H1331" s="21">
        <f>VLOOKUP(Tabela12[[#This Row],[Tag Cabo]],BD!A:F,6,0)</f>
        <v>2.5</v>
      </c>
      <c r="I1331" s="27" t="s">
        <v>1707</v>
      </c>
      <c r="J1331" s="27" t="s">
        <v>1706</v>
      </c>
    </row>
    <row r="1332" spans="1:10" x14ac:dyDescent="0.25">
      <c r="A1332" s="21" t="s">
        <v>844</v>
      </c>
      <c r="B1332" s="391" t="str">
        <f>VLOOKUP(Tabela12[[#This Row],[Painel]],Tabela13[],2,0)</f>
        <v>8HV</v>
      </c>
      <c r="C1332" s="391" t="s">
        <v>1578</v>
      </c>
      <c r="D1332" s="21" t="s">
        <v>1903</v>
      </c>
      <c r="E1332" s="21">
        <v>11</v>
      </c>
      <c r="F1332" s="27" t="str">
        <f>Tabela12[[#This Row],[Régua]]&amp;" ("&amp;Tabela12[[#This Row],[Born]]&amp;")"</f>
        <v>BNP (11)</v>
      </c>
      <c r="G1332" s="27">
        <f>LEN(Tabela12[[#This Row],[Anilha]])</f>
        <v>8</v>
      </c>
      <c r="H1332" s="21">
        <f>VLOOKUP(Tabela12[[#This Row],[Tag Cabo]],BD!A:F,6,0)</f>
        <v>2.5</v>
      </c>
      <c r="I1332" s="27" t="s">
        <v>1707</v>
      </c>
      <c r="J1332" s="27" t="s">
        <v>1706</v>
      </c>
    </row>
    <row r="1333" spans="1:10" x14ac:dyDescent="0.25">
      <c r="A1333" s="21" t="s">
        <v>844</v>
      </c>
      <c r="B1333" s="391" t="str">
        <f>VLOOKUP(Tabela12[[#This Row],[Painel]],Tabela13[],2,0)</f>
        <v>8HV</v>
      </c>
      <c r="C1333" s="391" t="s">
        <v>1578</v>
      </c>
      <c r="D1333" s="21" t="s">
        <v>1903</v>
      </c>
      <c r="E1333" s="21">
        <v>12</v>
      </c>
      <c r="F1333" s="27" t="str">
        <f>Tabela12[[#This Row],[Régua]]&amp;" ("&amp;Tabela12[[#This Row],[Born]]&amp;")"</f>
        <v>BNP (12)</v>
      </c>
      <c r="G1333" s="27">
        <f>LEN(Tabela12[[#This Row],[Anilha]])</f>
        <v>8</v>
      </c>
      <c r="H1333" s="21">
        <f>VLOOKUP(Tabela12[[#This Row],[Tag Cabo]],BD!A:F,6,0)</f>
        <v>2.5</v>
      </c>
      <c r="I1333" s="27" t="s">
        <v>1707</v>
      </c>
      <c r="J1333" s="27" t="s">
        <v>1706</v>
      </c>
    </row>
    <row r="1334" spans="1:10" x14ac:dyDescent="0.25">
      <c r="A1334" s="21" t="s">
        <v>844</v>
      </c>
      <c r="B1334" s="391" t="str">
        <f>VLOOKUP(Tabela12[[#This Row],[Painel]],Tabela13[],2,0)</f>
        <v>8HV</v>
      </c>
      <c r="C1334" s="391" t="s">
        <v>1578</v>
      </c>
      <c r="D1334" s="21" t="s">
        <v>1903</v>
      </c>
      <c r="E1334" s="21">
        <v>13</v>
      </c>
      <c r="F1334" s="27" t="str">
        <f>Tabela12[[#This Row],[Régua]]&amp;" ("&amp;Tabela12[[#This Row],[Born]]&amp;")"</f>
        <v>BNP (13)</v>
      </c>
      <c r="G1334" s="27">
        <f>LEN(Tabela12[[#This Row],[Anilha]])</f>
        <v>8</v>
      </c>
      <c r="H1334" s="21">
        <f>VLOOKUP(Tabela12[[#This Row],[Tag Cabo]],BD!A:F,6,0)</f>
        <v>2.5</v>
      </c>
      <c r="I1334" s="27" t="s">
        <v>1707</v>
      </c>
      <c r="J1334" s="27" t="s">
        <v>1706</v>
      </c>
    </row>
    <row r="1335" spans="1:10" x14ac:dyDescent="0.25">
      <c r="A1335" s="21" t="s">
        <v>844</v>
      </c>
      <c r="B1335" s="391" t="str">
        <f>VLOOKUP(Tabela12[[#This Row],[Painel]],Tabela13[],2,0)</f>
        <v>8HV</v>
      </c>
      <c r="C1335" s="391" t="s">
        <v>1578</v>
      </c>
      <c r="D1335" s="21" t="s">
        <v>1903</v>
      </c>
      <c r="E1335" s="21">
        <v>14</v>
      </c>
      <c r="F1335" s="27" t="str">
        <f>Tabela12[[#This Row],[Régua]]&amp;" ("&amp;Tabela12[[#This Row],[Born]]&amp;")"</f>
        <v>BNP (14)</v>
      </c>
      <c r="G1335" s="27">
        <f>LEN(Tabela12[[#This Row],[Anilha]])</f>
        <v>8</v>
      </c>
      <c r="H1335" s="21">
        <f>VLOOKUP(Tabela12[[#This Row],[Tag Cabo]],BD!A:F,6,0)</f>
        <v>2.5</v>
      </c>
      <c r="I1335" s="27" t="s">
        <v>1707</v>
      </c>
      <c r="J1335" s="27" t="s">
        <v>1706</v>
      </c>
    </row>
    <row r="1336" spans="1:10" x14ac:dyDescent="0.25">
      <c r="A1336" s="21" t="s">
        <v>844</v>
      </c>
      <c r="B1336" s="391" t="str">
        <f>VLOOKUP(Tabela12[[#This Row],[Painel]],Tabela13[],2,0)</f>
        <v>8HV</v>
      </c>
      <c r="C1336" s="391" t="s">
        <v>1578</v>
      </c>
      <c r="D1336" s="21" t="s">
        <v>1903</v>
      </c>
      <c r="E1336" s="21">
        <v>15</v>
      </c>
      <c r="F1336" s="27" t="str">
        <f>Tabela12[[#This Row],[Régua]]&amp;" ("&amp;Tabela12[[#This Row],[Born]]&amp;")"</f>
        <v>BNP (15)</v>
      </c>
      <c r="G1336" s="27">
        <f>LEN(Tabela12[[#This Row],[Anilha]])</f>
        <v>8</v>
      </c>
      <c r="H1336" s="21">
        <f>VLOOKUP(Tabela12[[#This Row],[Tag Cabo]],BD!A:F,6,0)</f>
        <v>2.5</v>
      </c>
      <c r="I1336" s="27" t="s">
        <v>1707</v>
      </c>
      <c r="J1336" s="27" t="s">
        <v>1706</v>
      </c>
    </row>
    <row r="1337" spans="1:10" x14ac:dyDescent="0.25">
      <c r="A1337" s="21" t="s">
        <v>844</v>
      </c>
      <c r="B1337" s="391" t="str">
        <f>VLOOKUP(Tabela12[[#This Row],[Painel]],Tabela13[],2,0)</f>
        <v>8HV</v>
      </c>
      <c r="C1337" s="391" t="s">
        <v>1578</v>
      </c>
      <c r="D1337" s="21" t="s">
        <v>1903</v>
      </c>
      <c r="E1337" s="21">
        <v>16</v>
      </c>
      <c r="F1337" s="27" t="str">
        <f>Tabela12[[#This Row],[Régua]]&amp;" ("&amp;Tabela12[[#This Row],[Born]]&amp;")"</f>
        <v>BNP (16)</v>
      </c>
      <c r="G1337" s="27">
        <f>LEN(Tabela12[[#This Row],[Anilha]])</f>
        <v>8</v>
      </c>
      <c r="H1337" s="21">
        <f>VLOOKUP(Tabela12[[#This Row],[Tag Cabo]],BD!A:F,6,0)</f>
        <v>2.5</v>
      </c>
      <c r="I1337" s="27" t="s">
        <v>1707</v>
      </c>
      <c r="J1337" s="27" t="s">
        <v>1706</v>
      </c>
    </row>
    <row r="1338" spans="1:10" x14ac:dyDescent="0.25">
      <c r="A1338" s="21" t="s">
        <v>845</v>
      </c>
      <c r="B1338" s="391" t="str">
        <f>VLOOKUP(Tabela12[[#This Row],[Painel]],Tabela13[],2,0)</f>
        <v>8HV</v>
      </c>
      <c r="C1338" s="391" t="s">
        <v>1578</v>
      </c>
      <c r="D1338" s="21" t="s">
        <v>1923</v>
      </c>
      <c r="E1338" s="21">
        <v>3</v>
      </c>
      <c r="F1338" s="27" t="str">
        <f>Tabela12[[#This Row],[Régua]]&amp;" ("&amp;Tabela12[[#This Row],[Born]]&amp;")"</f>
        <v>BNC1 (3)</v>
      </c>
      <c r="G1338" s="27">
        <f>LEN(Tabela12[[#This Row],[Anilha]])</f>
        <v>8</v>
      </c>
      <c r="H1338" s="21">
        <f>VLOOKUP(Tabela12[[#This Row],[Tag Cabo]],BD!A:F,6,0)</f>
        <v>2.5</v>
      </c>
      <c r="I1338" s="27" t="s">
        <v>1707</v>
      </c>
      <c r="J1338" s="27" t="s">
        <v>1706</v>
      </c>
    </row>
    <row r="1339" spans="1:10" x14ac:dyDescent="0.25">
      <c r="A1339" s="21" t="s">
        <v>845</v>
      </c>
      <c r="B1339" s="391" t="str">
        <f>VLOOKUP(Tabela12[[#This Row],[Painel]],Tabela13[],2,0)</f>
        <v>8HV</v>
      </c>
      <c r="C1339" s="391" t="s">
        <v>1578</v>
      </c>
      <c r="D1339" s="21" t="s">
        <v>1923</v>
      </c>
      <c r="E1339" s="21">
        <v>4</v>
      </c>
      <c r="F1339" s="27" t="str">
        <f>Tabela12[[#This Row],[Régua]]&amp;" ("&amp;Tabela12[[#This Row],[Born]]&amp;")"</f>
        <v>BNC1 (4)</v>
      </c>
      <c r="G1339" s="27">
        <f>LEN(Tabela12[[#This Row],[Anilha]])</f>
        <v>8</v>
      </c>
      <c r="H1339" s="21">
        <f>VLOOKUP(Tabela12[[#This Row],[Tag Cabo]],BD!A:F,6,0)</f>
        <v>2.5</v>
      </c>
      <c r="I1339" s="27" t="s">
        <v>1707</v>
      </c>
      <c r="J1339" s="27" t="s">
        <v>1706</v>
      </c>
    </row>
    <row r="1340" spans="1:10" x14ac:dyDescent="0.25">
      <c r="A1340" s="21" t="s">
        <v>845</v>
      </c>
      <c r="B1340" s="391" t="str">
        <f>VLOOKUP(Tabela12[[#This Row],[Painel]],Tabela13[],2,0)</f>
        <v>8HV</v>
      </c>
      <c r="C1340" s="391" t="s">
        <v>1578</v>
      </c>
      <c r="D1340" s="21" t="s">
        <v>1923</v>
      </c>
      <c r="E1340" s="21">
        <v>5</v>
      </c>
      <c r="F1340" s="27" t="str">
        <f>Tabela12[[#This Row],[Régua]]&amp;" ("&amp;Tabela12[[#This Row],[Born]]&amp;")"</f>
        <v>BNC1 (5)</v>
      </c>
      <c r="G1340" s="27">
        <f>LEN(Tabela12[[#This Row],[Anilha]])</f>
        <v>8</v>
      </c>
      <c r="H1340" s="21">
        <f>VLOOKUP(Tabela12[[#This Row],[Tag Cabo]],BD!A:F,6,0)</f>
        <v>2.5</v>
      </c>
      <c r="I1340" s="27" t="s">
        <v>1707</v>
      </c>
      <c r="J1340" s="27" t="s">
        <v>1706</v>
      </c>
    </row>
    <row r="1341" spans="1:10" x14ac:dyDescent="0.25">
      <c r="A1341" s="21" t="s">
        <v>845</v>
      </c>
      <c r="B1341" s="391" t="str">
        <f>VLOOKUP(Tabela12[[#This Row],[Painel]],Tabela13[],2,0)</f>
        <v>8HV</v>
      </c>
      <c r="C1341" s="391" t="s">
        <v>856</v>
      </c>
      <c r="D1341" s="21" t="s">
        <v>1924</v>
      </c>
      <c r="E1341" s="21">
        <v>1</v>
      </c>
      <c r="F1341" s="27" t="str">
        <f>Tabela12[[#This Row],[Régua]]&amp;" ("&amp;Tabela12[[#This Row],[Born]]&amp;")"</f>
        <v>XSINC (1)</v>
      </c>
      <c r="G1341" s="27">
        <f>LEN(Tabela12[[#This Row],[Anilha]])</f>
        <v>9</v>
      </c>
      <c r="H1341" s="21">
        <f>VLOOKUP(Tabela12[[#This Row],[Tag Cabo]],BD!A:F,6,0)</f>
        <v>2.5</v>
      </c>
      <c r="I1341" s="27" t="s">
        <v>1707</v>
      </c>
      <c r="J1341" s="27" t="s">
        <v>1706</v>
      </c>
    </row>
    <row r="1342" spans="1:10" x14ac:dyDescent="0.25">
      <c r="A1342" s="21" t="s">
        <v>845</v>
      </c>
      <c r="B1342" s="391" t="str">
        <f>VLOOKUP(Tabela12[[#This Row],[Painel]],Tabela13[],2,0)</f>
        <v>8HV</v>
      </c>
      <c r="C1342" s="391" t="s">
        <v>856</v>
      </c>
      <c r="D1342" s="21" t="s">
        <v>1924</v>
      </c>
      <c r="E1342" s="21">
        <v>3</v>
      </c>
      <c r="F1342" s="27" t="str">
        <f>Tabela12[[#This Row],[Régua]]&amp;" ("&amp;Tabela12[[#This Row],[Born]]&amp;")"</f>
        <v>XSINC (3)</v>
      </c>
      <c r="G1342" s="27">
        <f>LEN(Tabela12[[#This Row],[Anilha]])</f>
        <v>9</v>
      </c>
      <c r="H1342" s="21">
        <f>VLOOKUP(Tabela12[[#This Row],[Tag Cabo]],BD!A:F,6,0)</f>
        <v>2.5</v>
      </c>
      <c r="I1342" s="27" t="s">
        <v>1707</v>
      </c>
      <c r="J1342" s="27" t="s">
        <v>1706</v>
      </c>
    </row>
    <row r="1343" spans="1:10" x14ac:dyDescent="0.25">
      <c r="A1343" s="21" t="s">
        <v>845</v>
      </c>
      <c r="B1343" s="391" t="str">
        <f>VLOOKUP(Tabela12[[#This Row],[Painel]],Tabela13[],2,0)</f>
        <v>8HV</v>
      </c>
      <c r="C1343" s="391" t="s">
        <v>856</v>
      </c>
      <c r="D1343" s="21" t="s">
        <v>1924</v>
      </c>
      <c r="E1343" s="21">
        <v>5</v>
      </c>
      <c r="F1343" s="27" t="str">
        <f>Tabela12[[#This Row],[Régua]]&amp;" ("&amp;Tabela12[[#This Row],[Born]]&amp;")"</f>
        <v>XSINC (5)</v>
      </c>
      <c r="G1343" s="27">
        <f>LEN(Tabela12[[#This Row],[Anilha]])</f>
        <v>9</v>
      </c>
      <c r="H1343" s="21">
        <f>VLOOKUP(Tabela12[[#This Row],[Tag Cabo]],BD!A:F,6,0)</f>
        <v>2.5</v>
      </c>
      <c r="I1343" s="27" t="s">
        <v>1707</v>
      </c>
      <c r="J1343" s="27" t="s">
        <v>1706</v>
      </c>
    </row>
    <row r="1344" spans="1:10" x14ac:dyDescent="0.25">
      <c r="A1344" s="21" t="s">
        <v>846</v>
      </c>
      <c r="B1344" s="391" t="str">
        <f>VLOOKUP(Tabela12[[#This Row],[Painel]],Tabela13[],2,0)</f>
        <v>8HV</v>
      </c>
      <c r="C1344" s="391" t="s">
        <v>1578</v>
      </c>
      <c r="D1344" s="21" t="s">
        <v>1716</v>
      </c>
      <c r="E1344" s="21">
        <v>1</v>
      </c>
      <c r="F1344" s="27" t="str">
        <f>Tabela12[[#This Row],[Régua]]&amp;" ("&amp;Tabela12[[#This Row],[Born]]&amp;")"</f>
        <v>BNC (1)</v>
      </c>
      <c r="G1344" s="27">
        <f>LEN(Tabela12[[#This Row],[Anilha]])</f>
        <v>7</v>
      </c>
      <c r="H1344" s="21">
        <f>VLOOKUP(Tabela12[[#This Row],[Tag Cabo]],BD!A:F,6,0)</f>
        <v>2.5</v>
      </c>
      <c r="I1344" s="27" t="s">
        <v>1707</v>
      </c>
      <c r="J1344" s="27" t="s">
        <v>1706</v>
      </c>
    </row>
    <row r="1345" spans="1:10" x14ac:dyDescent="0.25">
      <c r="A1345" s="21" t="s">
        <v>846</v>
      </c>
      <c r="B1345" s="391" t="str">
        <f>VLOOKUP(Tabela12[[#This Row],[Painel]],Tabela13[],2,0)</f>
        <v>8HV</v>
      </c>
      <c r="C1345" s="391" t="s">
        <v>1578</v>
      </c>
      <c r="D1345" s="21" t="s">
        <v>1716</v>
      </c>
      <c r="E1345" s="21">
        <v>2</v>
      </c>
      <c r="F1345" s="27" t="str">
        <f>Tabela12[[#This Row],[Régua]]&amp;" ("&amp;Tabela12[[#This Row],[Born]]&amp;")"</f>
        <v>BNC (2)</v>
      </c>
      <c r="G1345" s="27">
        <f>LEN(Tabela12[[#This Row],[Anilha]])</f>
        <v>7</v>
      </c>
      <c r="H1345" s="21">
        <f>VLOOKUP(Tabela12[[#This Row],[Tag Cabo]],BD!A:F,6,0)</f>
        <v>2.5</v>
      </c>
      <c r="I1345" s="27" t="s">
        <v>1707</v>
      </c>
      <c r="J1345" s="27" t="s">
        <v>1706</v>
      </c>
    </row>
    <row r="1346" spans="1:10" x14ac:dyDescent="0.25">
      <c r="A1346" s="21" t="s">
        <v>846</v>
      </c>
      <c r="B1346" s="391" t="str">
        <f>VLOOKUP(Tabela12[[#This Row],[Painel]],Tabela13[],2,0)</f>
        <v>8HV</v>
      </c>
      <c r="C1346" s="391" t="s">
        <v>1578</v>
      </c>
      <c r="D1346" s="21" t="s">
        <v>1716</v>
      </c>
      <c r="E1346" s="21">
        <v>5</v>
      </c>
      <c r="F1346" s="27" t="str">
        <f>Tabela12[[#This Row],[Régua]]&amp;" ("&amp;Tabela12[[#This Row],[Born]]&amp;")"</f>
        <v>BNC (5)</v>
      </c>
      <c r="G1346" s="27">
        <f>LEN(Tabela12[[#This Row],[Anilha]])</f>
        <v>7</v>
      </c>
      <c r="H1346" s="21">
        <f>VLOOKUP(Tabela12[[#This Row],[Tag Cabo]],BD!A:F,6,0)</f>
        <v>2.5</v>
      </c>
      <c r="I1346" s="27" t="s">
        <v>1707</v>
      </c>
      <c r="J1346" s="27" t="s">
        <v>1706</v>
      </c>
    </row>
    <row r="1347" spans="1:10" x14ac:dyDescent="0.25">
      <c r="A1347" s="21" t="s">
        <v>846</v>
      </c>
      <c r="B1347" s="391" t="str">
        <f>VLOOKUP(Tabela12[[#This Row],[Painel]],Tabela13[],2,0)</f>
        <v>8HV</v>
      </c>
      <c r="C1347" s="391" t="s">
        <v>1578</v>
      </c>
      <c r="D1347" s="21" t="s">
        <v>1716</v>
      </c>
      <c r="E1347" s="21">
        <v>36</v>
      </c>
      <c r="F1347" s="27" t="str">
        <f>Tabela12[[#This Row],[Régua]]&amp;" ("&amp;Tabela12[[#This Row],[Born]]&amp;")"</f>
        <v>BNC (36)</v>
      </c>
      <c r="G1347" s="27">
        <f>LEN(Tabela12[[#This Row],[Anilha]])</f>
        <v>8</v>
      </c>
      <c r="H1347" s="21">
        <f>VLOOKUP(Tabela12[[#This Row],[Tag Cabo]],BD!A:F,6,0)</f>
        <v>2.5</v>
      </c>
      <c r="I1347" s="27" t="s">
        <v>1707</v>
      </c>
      <c r="J1347" s="27" t="s">
        <v>1706</v>
      </c>
    </row>
    <row r="1348" spans="1:10" x14ac:dyDescent="0.25">
      <c r="A1348" s="21" t="s">
        <v>846</v>
      </c>
      <c r="B1348" s="391" t="str">
        <f>VLOOKUP(Tabela12[[#This Row],[Painel]],Tabela13[],2,0)</f>
        <v>8HV</v>
      </c>
      <c r="C1348" s="391" t="s">
        <v>1578</v>
      </c>
      <c r="D1348" s="21" t="s">
        <v>1716</v>
      </c>
      <c r="E1348" s="21">
        <v>37</v>
      </c>
      <c r="F1348" s="27" t="str">
        <f>Tabela12[[#This Row],[Régua]]&amp;" ("&amp;Tabela12[[#This Row],[Born]]&amp;")"</f>
        <v>BNC (37)</v>
      </c>
      <c r="G1348" s="27">
        <f>LEN(Tabela12[[#This Row],[Anilha]])</f>
        <v>8</v>
      </c>
      <c r="H1348" s="21">
        <f>VLOOKUP(Tabela12[[#This Row],[Tag Cabo]],BD!A:F,6,0)</f>
        <v>2.5</v>
      </c>
      <c r="I1348" s="27" t="s">
        <v>1707</v>
      </c>
      <c r="J1348" s="27" t="s">
        <v>1706</v>
      </c>
    </row>
    <row r="1349" spans="1:10" x14ac:dyDescent="0.25">
      <c r="A1349" s="21" t="s">
        <v>846</v>
      </c>
      <c r="B1349" s="391" t="str">
        <f>VLOOKUP(Tabela12[[#This Row],[Painel]],Tabela13[],2,0)</f>
        <v>8HV</v>
      </c>
      <c r="C1349" s="391" t="s">
        <v>1578</v>
      </c>
      <c r="D1349" s="21" t="s">
        <v>1716</v>
      </c>
      <c r="E1349" s="21">
        <v>38</v>
      </c>
      <c r="F1349" s="27" t="str">
        <f>Tabela12[[#This Row],[Régua]]&amp;" ("&amp;Tabela12[[#This Row],[Born]]&amp;")"</f>
        <v>BNC (38)</v>
      </c>
      <c r="G1349" s="27">
        <f>LEN(Tabela12[[#This Row],[Anilha]])</f>
        <v>8</v>
      </c>
      <c r="H1349" s="21">
        <f>VLOOKUP(Tabela12[[#This Row],[Tag Cabo]],BD!A:F,6,0)</f>
        <v>2.5</v>
      </c>
      <c r="I1349" s="27" t="s">
        <v>1707</v>
      </c>
      <c r="J1349" s="27" t="s">
        <v>1706</v>
      </c>
    </row>
    <row r="1350" spans="1:10" x14ac:dyDescent="0.25">
      <c r="A1350" s="21" t="s">
        <v>846</v>
      </c>
      <c r="B1350" s="391" t="str">
        <f>VLOOKUP(Tabela12[[#This Row],[Painel]],Tabela13[],2,0)</f>
        <v>8HV</v>
      </c>
      <c r="C1350" s="391" t="s">
        <v>1578</v>
      </c>
      <c r="D1350" s="21" t="s">
        <v>1716</v>
      </c>
      <c r="E1350" s="21">
        <v>94</v>
      </c>
      <c r="F1350" s="27" t="str">
        <f>Tabela12[[#This Row],[Régua]]&amp;" ("&amp;Tabela12[[#This Row],[Born]]&amp;")"</f>
        <v>BNC (94)</v>
      </c>
      <c r="G1350" s="27">
        <f>LEN(Tabela12[[#This Row],[Anilha]])</f>
        <v>8</v>
      </c>
      <c r="H1350" s="21">
        <f>VLOOKUP(Tabela12[[#This Row],[Tag Cabo]],BD!A:F,6,0)</f>
        <v>2.5</v>
      </c>
      <c r="I1350" s="27" t="s">
        <v>1707</v>
      </c>
      <c r="J1350" s="27" t="s">
        <v>1706</v>
      </c>
    </row>
    <row r="1351" spans="1:10" x14ac:dyDescent="0.25">
      <c r="A1351" s="21" t="s">
        <v>846</v>
      </c>
      <c r="B1351" s="391" t="str">
        <f>VLOOKUP(Tabela12[[#This Row],[Painel]],Tabela13[],2,0)</f>
        <v>8HV</v>
      </c>
      <c r="C1351" s="391" t="s">
        <v>1578</v>
      </c>
      <c r="D1351" s="21" t="s">
        <v>1716</v>
      </c>
      <c r="E1351" s="21">
        <v>95</v>
      </c>
      <c r="F1351" s="27" t="str">
        <f>Tabela12[[#This Row],[Régua]]&amp;" ("&amp;Tabela12[[#This Row],[Born]]&amp;")"</f>
        <v>BNC (95)</v>
      </c>
      <c r="G1351" s="27">
        <f>LEN(Tabela12[[#This Row],[Anilha]])</f>
        <v>8</v>
      </c>
      <c r="H1351" s="21">
        <f>VLOOKUP(Tabela12[[#This Row],[Tag Cabo]],BD!A:F,6,0)</f>
        <v>2.5</v>
      </c>
      <c r="I1351" s="27" t="s">
        <v>1707</v>
      </c>
      <c r="J1351" s="27" t="s">
        <v>1706</v>
      </c>
    </row>
    <row r="1352" spans="1:10" x14ac:dyDescent="0.25">
      <c r="A1352" s="21" t="s">
        <v>846</v>
      </c>
      <c r="B1352" s="391" t="str">
        <f>VLOOKUP(Tabela12[[#This Row],[Painel]],Tabela13[],2,0)</f>
        <v>8HV</v>
      </c>
      <c r="C1352" s="391" t="s">
        <v>1578</v>
      </c>
      <c r="D1352" s="21" t="s">
        <v>1716</v>
      </c>
      <c r="E1352" s="21">
        <v>96</v>
      </c>
      <c r="F1352" s="27" t="str">
        <f>Tabela12[[#This Row],[Régua]]&amp;" ("&amp;Tabela12[[#This Row],[Born]]&amp;")"</f>
        <v>BNC (96)</v>
      </c>
      <c r="G1352" s="27">
        <f>LEN(Tabela12[[#This Row],[Anilha]])</f>
        <v>8</v>
      </c>
      <c r="H1352" s="21">
        <f>VLOOKUP(Tabela12[[#This Row],[Tag Cabo]],BD!A:F,6,0)</f>
        <v>2.5</v>
      </c>
      <c r="I1352" s="27" t="s">
        <v>1707</v>
      </c>
      <c r="J1352" s="27" t="s">
        <v>1706</v>
      </c>
    </row>
    <row r="1353" spans="1:10" x14ac:dyDescent="0.25">
      <c r="A1353" s="21" t="s">
        <v>846</v>
      </c>
      <c r="B1353" s="391" t="str">
        <f>VLOOKUP(Tabela12[[#This Row],[Painel]],Tabela13[],2,0)</f>
        <v>8HV</v>
      </c>
      <c r="C1353" s="391" t="s">
        <v>856</v>
      </c>
      <c r="D1353" s="21" t="s">
        <v>1910</v>
      </c>
      <c r="E1353" s="21">
        <v>38</v>
      </c>
      <c r="F1353" s="27" t="str">
        <f>Tabela12[[#This Row],[Régua]]&amp;" ("&amp;Tabela12[[#This Row],[Born]]&amp;")"</f>
        <v>XC30 (38)</v>
      </c>
      <c r="G1353" s="27">
        <f>LEN(Tabela12[[#This Row],[Anilha]])</f>
        <v>9</v>
      </c>
      <c r="H1353" s="21">
        <f>VLOOKUP(Tabela12[[#This Row],[Tag Cabo]],BD!A:F,6,0)</f>
        <v>2.5</v>
      </c>
      <c r="I1353" s="27" t="s">
        <v>1707</v>
      </c>
      <c r="J1353" s="27" t="s">
        <v>1706</v>
      </c>
    </row>
    <row r="1354" spans="1:10" x14ac:dyDescent="0.25">
      <c r="A1354" s="21" t="s">
        <v>846</v>
      </c>
      <c r="B1354" s="391" t="str">
        <f>VLOOKUP(Tabela12[[#This Row],[Painel]],Tabela13[],2,0)</f>
        <v>8HV</v>
      </c>
      <c r="C1354" s="391" t="s">
        <v>856</v>
      </c>
      <c r="D1354" s="21" t="s">
        <v>1910</v>
      </c>
      <c r="E1354" s="21">
        <v>39</v>
      </c>
      <c r="F1354" s="27" t="str">
        <f>Tabela12[[#This Row],[Régua]]&amp;" ("&amp;Tabela12[[#This Row],[Born]]&amp;")"</f>
        <v>XC30 (39)</v>
      </c>
      <c r="G1354" s="27">
        <f>LEN(Tabela12[[#This Row],[Anilha]])</f>
        <v>9</v>
      </c>
      <c r="H1354" s="21">
        <f>VLOOKUP(Tabela12[[#This Row],[Tag Cabo]],BD!A:F,6,0)</f>
        <v>2.5</v>
      </c>
      <c r="I1354" s="27" t="s">
        <v>1707</v>
      </c>
      <c r="J1354" s="27" t="s">
        <v>1706</v>
      </c>
    </row>
    <row r="1355" spans="1:10" x14ac:dyDescent="0.25">
      <c r="A1355" s="21" t="s">
        <v>846</v>
      </c>
      <c r="B1355" s="391" t="str">
        <f>VLOOKUP(Tabela12[[#This Row],[Painel]],Tabela13[],2,0)</f>
        <v>8HV</v>
      </c>
      <c r="C1355" s="391" t="s">
        <v>856</v>
      </c>
      <c r="D1355" s="21" t="s">
        <v>1882</v>
      </c>
      <c r="E1355" s="21">
        <v>27</v>
      </c>
      <c r="F1355" s="27" t="str">
        <f>Tabela12[[#This Row],[Régua]]&amp;" ("&amp;Tabela12[[#This Row],[Born]]&amp;")"</f>
        <v>XQ0 (27)</v>
      </c>
      <c r="G1355" s="27">
        <f>LEN(Tabela12[[#This Row],[Anilha]])</f>
        <v>8</v>
      </c>
      <c r="H1355" s="21">
        <f>VLOOKUP(Tabela12[[#This Row],[Tag Cabo]],BD!A:F,6,0)</f>
        <v>2.5</v>
      </c>
      <c r="I1355" s="27" t="s">
        <v>1707</v>
      </c>
      <c r="J1355" s="27" t="s">
        <v>1706</v>
      </c>
    </row>
    <row r="1356" spans="1:10" x14ac:dyDescent="0.25">
      <c r="A1356" s="21" t="s">
        <v>846</v>
      </c>
      <c r="B1356" s="391" t="str">
        <f>VLOOKUP(Tabela12[[#This Row],[Painel]],Tabela13[],2,0)</f>
        <v>8HV</v>
      </c>
      <c r="C1356" s="391" t="s">
        <v>856</v>
      </c>
      <c r="D1356" s="21" t="s">
        <v>1882</v>
      </c>
      <c r="E1356" s="21">
        <v>28</v>
      </c>
      <c r="F1356" s="27" t="str">
        <f>Tabela12[[#This Row],[Régua]]&amp;" ("&amp;Tabela12[[#This Row],[Born]]&amp;")"</f>
        <v>XQ0 (28)</v>
      </c>
      <c r="G1356" s="27">
        <f>LEN(Tabela12[[#This Row],[Anilha]])</f>
        <v>8</v>
      </c>
      <c r="H1356" s="21">
        <f>VLOOKUP(Tabela12[[#This Row],[Tag Cabo]],BD!A:F,6,0)</f>
        <v>2.5</v>
      </c>
      <c r="I1356" s="27" t="s">
        <v>1707</v>
      </c>
      <c r="J1356" s="27" t="s">
        <v>1706</v>
      </c>
    </row>
    <row r="1357" spans="1:10" x14ac:dyDescent="0.25">
      <c r="A1357" s="21" t="s">
        <v>846</v>
      </c>
      <c r="B1357" s="391" t="str">
        <f>VLOOKUP(Tabela12[[#This Row],[Painel]],Tabela13[],2,0)</f>
        <v>8HV</v>
      </c>
      <c r="C1357" s="391" t="s">
        <v>856</v>
      </c>
      <c r="D1357" s="21" t="s">
        <v>1882</v>
      </c>
      <c r="E1357" s="21">
        <v>30</v>
      </c>
      <c r="F1357" s="27" t="str">
        <f>Tabela12[[#This Row],[Régua]]&amp;" ("&amp;Tabela12[[#This Row],[Born]]&amp;")"</f>
        <v>XQ0 (30)</v>
      </c>
      <c r="G1357" s="27">
        <f>LEN(Tabela12[[#This Row],[Anilha]])</f>
        <v>8</v>
      </c>
      <c r="H1357" s="21">
        <f>VLOOKUP(Tabela12[[#This Row],[Tag Cabo]],BD!A:F,6,0)</f>
        <v>2.5</v>
      </c>
      <c r="I1357" s="27" t="s">
        <v>1707</v>
      </c>
      <c r="J1357" s="27" t="s">
        <v>1706</v>
      </c>
    </row>
    <row r="1358" spans="1:10" x14ac:dyDescent="0.25">
      <c r="A1358" s="21" t="s">
        <v>846</v>
      </c>
      <c r="B1358" s="391" t="str">
        <f>VLOOKUP(Tabela12[[#This Row],[Painel]],Tabela13[],2,0)</f>
        <v>8HV</v>
      </c>
      <c r="C1358" s="391" t="s">
        <v>856</v>
      </c>
      <c r="D1358" s="21" t="s">
        <v>1882</v>
      </c>
      <c r="E1358" s="21">
        <v>31</v>
      </c>
      <c r="F1358" s="27" t="str">
        <f>Tabela12[[#This Row],[Régua]]&amp;" ("&amp;Tabela12[[#This Row],[Born]]&amp;")"</f>
        <v>XQ0 (31)</v>
      </c>
      <c r="G1358" s="27">
        <f>LEN(Tabela12[[#This Row],[Anilha]])</f>
        <v>8</v>
      </c>
      <c r="H1358" s="21">
        <f>VLOOKUP(Tabela12[[#This Row],[Tag Cabo]],BD!A:F,6,0)</f>
        <v>2.5</v>
      </c>
      <c r="I1358" s="27" t="s">
        <v>1707</v>
      </c>
      <c r="J1358" s="27" t="s">
        <v>1706</v>
      </c>
    </row>
    <row r="1359" spans="1:10" x14ac:dyDescent="0.25">
      <c r="A1359" s="21" t="s">
        <v>846</v>
      </c>
      <c r="B1359" s="391" t="str">
        <f>VLOOKUP(Tabela12[[#This Row],[Painel]],Tabela13[],2,0)</f>
        <v>8HV</v>
      </c>
      <c r="C1359" s="391" t="s">
        <v>856</v>
      </c>
      <c r="D1359" s="21" t="s">
        <v>1882</v>
      </c>
      <c r="E1359" s="21">
        <v>32</v>
      </c>
      <c r="F1359" s="27" t="str">
        <f>Tabela12[[#This Row],[Régua]]&amp;" ("&amp;Tabela12[[#This Row],[Born]]&amp;")"</f>
        <v>XQ0 (32)</v>
      </c>
      <c r="G1359" s="27">
        <f>LEN(Tabela12[[#This Row],[Anilha]])</f>
        <v>8</v>
      </c>
      <c r="H1359" s="21">
        <f>VLOOKUP(Tabela12[[#This Row],[Tag Cabo]],BD!A:F,6,0)</f>
        <v>2.5</v>
      </c>
      <c r="I1359" s="27" t="s">
        <v>1707</v>
      </c>
      <c r="J1359" s="27" t="s">
        <v>1706</v>
      </c>
    </row>
    <row r="1360" spans="1:10" x14ac:dyDescent="0.25">
      <c r="A1360" s="21" t="s">
        <v>846</v>
      </c>
      <c r="B1360" s="391" t="str">
        <f>VLOOKUP(Tabela12[[#This Row],[Painel]],Tabela13[],2,0)</f>
        <v>8HV</v>
      </c>
      <c r="C1360" s="391" t="s">
        <v>856</v>
      </c>
      <c r="D1360" s="21" t="s">
        <v>1882</v>
      </c>
      <c r="E1360" s="21">
        <v>34</v>
      </c>
      <c r="F1360" s="27" t="str">
        <f>Tabela12[[#This Row],[Régua]]&amp;" ("&amp;Tabela12[[#This Row],[Born]]&amp;")"</f>
        <v>XQ0 (34)</v>
      </c>
      <c r="G1360" s="27">
        <f>LEN(Tabela12[[#This Row],[Anilha]])</f>
        <v>8</v>
      </c>
      <c r="H1360" s="21">
        <f>VLOOKUP(Tabela12[[#This Row],[Tag Cabo]],BD!A:F,6,0)</f>
        <v>2.5</v>
      </c>
      <c r="I1360" s="27" t="s">
        <v>1707</v>
      </c>
      <c r="J1360" s="27" t="s">
        <v>1706</v>
      </c>
    </row>
    <row r="1361" spans="1:10" x14ac:dyDescent="0.25">
      <c r="A1361" s="21" t="s">
        <v>848</v>
      </c>
      <c r="B1361" s="391" t="str">
        <f>VLOOKUP(Tabela12[[#This Row],[Painel]],Tabela13[],2,0)</f>
        <v>8HV</v>
      </c>
      <c r="C1361" s="391" t="s">
        <v>1578</v>
      </c>
      <c r="D1361" s="21" t="s">
        <v>1716</v>
      </c>
      <c r="E1361" s="21">
        <v>3</v>
      </c>
      <c r="F1361" s="27" t="str">
        <f>Tabela12[[#This Row],[Régua]]&amp;" ("&amp;Tabela12[[#This Row],[Born]]&amp;")"</f>
        <v>BNC (3)</v>
      </c>
      <c r="G1361" s="27">
        <f>LEN(Tabela12[[#This Row],[Anilha]])</f>
        <v>7</v>
      </c>
      <c r="H1361" s="21">
        <f>VLOOKUP(Tabela12[[#This Row],[Tag Cabo]],BD!A:F,6,0)</f>
        <v>2.5</v>
      </c>
      <c r="I1361" s="27" t="s">
        <v>1707</v>
      </c>
      <c r="J1361" s="27" t="s">
        <v>1706</v>
      </c>
    </row>
    <row r="1362" spans="1:10" x14ac:dyDescent="0.25">
      <c r="A1362" s="21" t="s">
        <v>848</v>
      </c>
      <c r="B1362" s="391" t="str">
        <f>VLOOKUP(Tabela12[[#This Row],[Painel]],Tabela13[],2,0)</f>
        <v>8HV</v>
      </c>
      <c r="C1362" s="391" t="s">
        <v>1578</v>
      </c>
      <c r="D1362" s="21" t="s">
        <v>1716</v>
      </c>
      <c r="E1362" s="21">
        <v>4</v>
      </c>
      <c r="F1362" s="27" t="str">
        <f>Tabela12[[#This Row],[Régua]]&amp;" ("&amp;Tabela12[[#This Row],[Born]]&amp;")"</f>
        <v>BNC (4)</v>
      </c>
      <c r="G1362" s="27">
        <f>LEN(Tabela12[[#This Row],[Anilha]])</f>
        <v>7</v>
      </c>
      <c r="H1362" s="21">
        <f>VLOOKUP(Tabela12[[#This Row],[Tag Cabo]],BD!A:F,6,0)</f>
        <v>2.5</v>
      </c>
      <c r="I1362" s="27" t="s">
        <v>1707</v>
      </c>
      <c r="J1362" s="27" t="s">
        <v>1706</v>
      </c>
    </row>
    <row r="1363" spans="1:10" x14ac:dyDescent="0.25">
      <c r="A1363" s="21" t="s">
        <v>848</v>
      </c>
      <c r="B1363" s="391" t="str">
        <f>VLOOKUP(Tabela12[[#This Row],[Painel]],Tabela13[],2,0)</f>
        <v>8HV</v>
      </c>
      <c r="C1363" s="391" t="s">
        <v>1578</v>
      </c>
      <c r="D1363" s="21" t="s">
        <v>1716</v>
      </c>
      <c r="E1363" s="21">
        <v>39</v>
      </c>
      <c r="F1363" s="27" t="str">
        <f>Tabela12[[#This Row],[Régua]]&amp;" ("&amp;Tabela12[[#This Row],[Born]]&amp;")"</f>
        <v>BNC (39)</v>
      </c>
      <c r="G1363" s="27">
        <f>LEN(Tabela12[[#This Row],[Anilha]])</f>
        <v>8</v>
      </c>
      <c r="H1363" s="21">
        <f>VLOOKUP(Tabela12[[#This Row],[Tag Cabo]],BD!A:F,6,0)</f>
        <v>2.5</v>
      </c>
      <c r="I1363" s="27" t="s">
        <v>1707</v>
      </c>
      <c r="J1363" s="27" t="s">
        <v>1706</v>
      </c>
    </row>
    <row r="1364" spans="1:10" x14ac:dyDescent="0.25">
      <c r="A1364" s="21" t="s">
        <v>848</v>
      </c>
      <c r="B1364" s="391" t="str">
        <f>VLOOKUP(Tabela12[[#This Row],[Painel]],Tabela13[],2,0)</f>
        <v>8HV</v>
      </c>
      <c r="C1364" s="391" t="s">
        <v>1578</v>
      </c>
      <c r="D1364" s="21" t="s">
        <v>1716</v>
      </c>
      <c r="E1364" s="21">
        <v>40</v>
      </c>
      <c r="F1364" s="27" t="str">
        <f>Tabela12[[#This Row],[Régua]]&amp;" ("&amp;Tabela12[[#This Row],[Born]]&amp;")"</f>
        <v>BNC (40)</v>
      </c>
      <c r="G1364" s="27">
        <f>LEN(Tabela12[[#This Row],[Anilha]])</f>
        <v>8</v>
      </c>
      <c r="H1364" s="21">
        <f>VLOOKUP(Tabela12[[#This Row],[Tag Cabo]],BD!A:F,6,0)</f>
        <v>2.5</v>
      </c>
      <c r="I1364" s="27" t="s">
        <v>1707</v>
      </c>
      <c r="J1364" s="27" t="s">
        <v>1706</v>
      </c>
    </row>
    <row r="1365" spans="1:10" x14ac:dyDescent="0.25">
      <c r="A1365" s="21" t="s">
        <v>848</v>
      </c>
      <c r="B1365" s="391" t="str">
        <f>VLOOKUP(Tabela12[[#This Row],[Painel]],Tabela13[],2,0)</f>
        <v>8HV</v>
      </c>
      <c r="C1365" s="391" t="s">
        <v>1578</v>
      </c>
      <c r="D1365" s="21" t="s">
        <v>1716</v>
      </c>
      <c r="E1365" s="21">
        <v>41</v>
      </c>
      <c r="F1365" s="27" t="str">
        <f>Tabela12[[#This Row],[Régua]]&amp;" ("&amp;Tabela12[[#This Row],[Born]]&amp;")"</f>
        <v>BNC (41)</v>
      </c>
      <c r="G1365" s="27">
        <f>LEN(Tabela12[[#This Row],[Anilha]])</f>
        <v>8</v>
      </c>
      <c r="H1365" s="21">
        <f>VLOOKUP(Tabela12[[#This Row],[Tag Cabo]],BD!A:F,6,0)</f>
        <v>2.5</v>
      </c>
      <c r="I1365" s="27" t="s">
        <v>1707</v>
      </c>
      <c r="J1365" s="27" t="s">
        <v>1706</v>
      </c>
    </row>
    <row r="1366" spans="1:10" x14ac:dyDescent="0.25">
      <c r="A1366" s="21" t="s">
        <v>848</v>
      </c>
      <c r="B1366" s="391" t="str">
        <f>VLOOKUP(Tabela12[[#This Row],[Painel]],Tabela13[],2,0)</f>
        <v>8HV</v>
      </c>
      <c r="C1366" s="391" t="s">
        <v>1578</v>
      </c>
      <c r="D1366" s="21" t="s">
        <v>1716</v>
      </c>
      <c r="E1366" s="21">
        <v>97</v>
      </c>
      <c r="F1366" s="27" t="str">
        <f>Tabela12[[#This Row],[Régua]]&amp;" ("&amp;Tabela12[[#This Row],[Born]]&amp;")"</f>
        <v>BNC (97)</v>
      </c>
      <c r="G1366" s="27">
        <f>LEN(Tabela12[[#This Row],[Anilha]])</f>
        <v>8</v>
      </c>
      <c r="H1366" s="21">
        <f>VLOOKUP(Tabela12[[#This Row],[Tag Cabo]],BD!A:F,6,0)</f>
        <v>2.5</v>
      </c>
      <c r="I1366" s="27" t="s">
        <v>1707</v>
      </c>
      <c r="J1366" s="27" t="s">
        <v>1706</v>
      </c>
    </row>
    <row r="1367" spans="1:10" x14ac:dyDescent="0.25">
      <c r="A1367" s="21" t="s">
        <v>848</v>
      </c>
      <c r="B1367" s="391" t="str">
        <f>VLOOKUP(Tabela12[[#This Row],[Painel]],Tabela13[],2,0)</f>
        <v>8HV</v>
      </c>
      <c r="C1367" s="391" t="s">
        <v>1578</v>
      </c>
      <c r="D1367" s="21" t="s">
        <v>1716</v>
      </c>
      <c r="E1367" s="21">
        <v>98</v>
      </c>
      <c r="F1367" s="27" t="str">
        <f>Tabela12[[#This Row],[Régua]]&amp;" ("&amp;Tabela12[[#This Row],[Born]]&amp;")"</f>
        <v>BNC (98)</v>
      </c>
      <c r="G1367" s="27">
        <f>LEN(Tabela12[[#This Row],[Anilha]])</f>
        <v>8</v>
      </c>
      <c r="H1367" s="21">
        <f>VLOOKUP(Tabela12[[#This Row],[Tag Cabo]],BD!A:F,6,0)</f>
        <v>2.5</v>
      </c>
      <c r="I1367" s="27" t="s">
        <v>1707</v>
      </c>
      <c r="J1367" s="27" t="s">
        <v>1706</v>
      </c>
    </row>
    <row r="1368" spans="1:10" x14ac:dyDescent="0.25">
      <c r="A1368" s="21" t="s">
        <v>848</v>
      </c>
      <c r="B1368" s="391" t="str">
        <f>VLOOKUP(Tabela12[[#This Row],[Painel]],Tabela13[],2,0)</f>
        <v>8HV</v>
      </c>
      <c r="C1368" s="391" t="s">
        <v>1578</v>
      </c>
      <c r="D1368" s="21" t="s">
        <v>1716</v>
      </c>
      <c r="E1368" s="21">
        <v>99</v>
      </c>
      <c r="F1368" s="27" t="str">
        <f>Tabela12[[#This Row],[Régua]]&amp;" ("&amp;Tabela12[[#This Row],[Born]]&amp;")"</f>
        <v>BNC (99)</v>
      </c>
      <c r="G1368" s="27">
        <f>LEN(Tabela12[[#This Row],[Anilha]])</f>
        <v>8</v>
      </c>
      <c r="H1368" s="21">
        <f>VLOOKUP(Tabela12[[#This Row],[Tag Cabo]],BD!A:F,6,0)</f>
        <v>2.5</v>
      </c>
      <c r="I1368" s="27" t="s">
        <v>1707</v>
      </c>
      <c r="J1368" s="27" t="s">
        <v>1706</v>
      </c>
    </row>
    <row r="1369" spans="1:10" x14ac:dyDescent="0.25">
      <c r="A1369" s="21" t="s">
        <v>848</v>
      </c>
      <c r="B1369" s="391" t="str">
        <f>VLOOKUP(Tabela12[[#This Row],[Painel]],Tabela13[],2,0)</f>
        <v>8HV</v>
      </c>
      <c r="C1369" s="391" t="s">
        <v>856</v>
      </c>
      <c r="D1369" s="21" t="s">
        <v>1910</v>
      </c>
      <c r="E1369" s="21">
        <v>38</v>
      </c>
      <c r="F1369" s="27" t="str">
        <f>Tabela12[[#This Row],[Régua]]&amp;" ("&amp;Tabela12[[#This Row],[Born]]&amp;")"</f>
        <v>XC30 (38)</v>
      </c>
      <c r="G1369" s="27">
        <f>LEN(Tabela12[[#This Row],[Anilha]])</f>
        <v>9</v>
      </c>
      <c r="H1369" s="21">
        <f>VLOOKUP(Tabela12[[#This Row],[Tag Cabo]],BD!A:F,6,0)</f>
        <v>2.5</v>
      </c>
      <c r="I1369" s="27" t="s">
        <v>1707</v>
      </c>
      <c r="J1369" s="27" t="s">
        <v>1706</v>
      </c>
    </row>
    <row r="1370" spans="1:10" x14ac:dyDescent="0.25">
      <c r="A1370" s="21" t="s">
        <v>848</v>
      </c>
      <c r="B1370" s="391" t="str">
        <f>VLOOKUP(Tabela12[[#This Row],[Painel]],Tabela13[],2,0)</f>
        <v>8HV</v>
      </c>
      <c r="C1370" s="391" t="s">
        <v>856</v>
      </c>
      <c r="D1370" s="21" t="s">
        <v>1910</v>
      </c>
      <c r="E1370" s="21">
        <v>39</v>
      </c>
      <c r="F1370" s="27" t="str">
        <f>Tabela12[[#This Row],[Régua]]&amp;" ("&amp;Tabela12[[#This Row],[Born]]&amp;")"</f>
        <v>XC30 (39)</v>
      </c>
      <c r="G1370" s="27">
        <f>LEN(Tabela12[[#This Row],[Anilha]])</f>
        <v>9</v>
      </c>
      <c r="H1370" s="21">
        <f>VLOOKUP(Tabela12[[#This Row],[Tag Cabo]],BD!A:F,6,0)</f>
        <v>2.5</v>
      </c>
      <c r="I1370" s="27" t="s">
        <v>1707</v>
      </c>
      <c r="J1370" s="27" t="s">
        <v>1706</v>
      </c>
    </row>
    <row r="1371" spans="1:10" x14ac:dyDescent="0.25">
      <c r="A1371" s="21" t="s">
        <v>848</v>
      </c>
      <c r="B1371" s="391" t="str">
        <f>VLOOKUP(Tabela12[[#This Row],[Painel]],Tabela13[],2,0)</f>
        <v>8HV</v>
      </c>
      <c r="C1371" s="391" t="s">
        <v>856</v>
      </c>
      <c r="D1371" s="21" t="s">
        <v>1882</v>
      </c>
      <c r="E1371" s="21">
        <v>27</v>
      </c>
      <c r="F1371" s="27" t="str">
        <f>Tabela12[[#This Row],[Régua]]&amp;" ("&amp;Tabela12[[#This Row],[Born]]&amp;")"</f>
        <v>XQ0 (27)</v>
      </c>
      <c r="G1371" s="27">
        <f>LEN(Tabela12[[#This Row],[Anilha]])</f>
        <v>8</v>
      </c>
      <c r="H1371" s="21">
        <f>VLOOKUP(Tabela12[[#This Row],[Tag Cabo]],BD!A:F,6,0)</f>
        <v>2.5</v>
      </c>
      <c r="I1371" s="27" t="s">
        <v>1707</v>
      </c>
      <c r="J1371" s="27" t="s">
        <v>1706</v>
      </c>
    </row>
    <row r="1372" spans="1:10" x14ac:dyDescent="0.25">
      <c r="A1372" s="21" t="s">
        <v>848</v>
      </c>
      <c r="B1372" s="391" t="str">
        <f>VLOOKUP(Tabela12[[#This Row],[Painel]],Tabela13[],2,0)</f>
        <v>8HV</v>
      </c>
      <c r="C1372" s="391" t="s">
        <v>856</v>
      </c>
      <c r="D1372" s="21" t="s">
        <v>1882</v>
      </c>
      <c r="E1372" s="21">
        <v>28</v>
      </c>
      <c r="F1372" s="27" t="str">
        <f>Tabela12[[#This Row],[Régua]]&amp;" ("&amp;Tabela12[[#This Row],[Born]]&amp;")"</f>
        <v>XQ0 (28)</v>
      </c>
      <c r="G1372" s="27">
        <f>LEN(Tabela12[[#This Row],[Anilha]])</f>
        <v>8</v>
      </c>
      <c r="H1372" s="21">
        <f>VLOOKUP(Tabela12[[#This Row],[Tag Cabo]],BD!A:F,6,0)</f>
        <v>2.5</v>
      </c>
      <c r="I1372" s="27" t="s">
        <v>1707</v>
      </c>
      <c r="J1372" s="27" t="s">
        <v>1706</v>
      </c>
    </row>
    <row r="1373" spans="1:10" x14ac:dyDescent="0.25">
      <c r="A1373" s="21" t="s">
        <v>848</v>
      </c>
      <c r="B1373" s="391" t="str">
        <f>VLOOKUP(Tabela12[[#This Row],[Painel]],Tabela13[],2,0)</f>
        <v>8HV</v>
      </c>
      <c r="C1373" s="391" t="s">
        <v>856</v>
      </c>
      <c r="D1373" s="21" t="s">
        <v>1882</v>
      </c>
      <c r="E1373" s="21">
        <v>29</v>
      </c>
      <c r="F1373" s="27" t="str">
        <f>Tabela12[[#This Row],[Régua]]&amp;" ("&amp;Tabela12[[#This Row],[Born]]&amp;")"</f>
        <v>XQ0 (29)</v>
      </c>
      <c r="G1373" s="27">
        <f>LEN(Tabela12[[#This Row],[Anilha]])</f>
        <v>8</v>
      </c>
      <c r="H1373" s="21">
        <f>VLOOKUP(Tabela12[[#This Row],[Tag Cabo]],BD!A:F,6,0)</f>
        <v>2.5</v>
      </c>
      <c r="I1373" s="27" t="s">
        <v>1707</v>
      </c>
      <c r="J1373" s="27" t="s">
        <v>1706</v>
      </c>
    </row>
    <row r="1374" spans="1:10" x14ac:dyDescent="0.25">
      <c r="A1374" s="21" t="s">
        <v>848</v>
      </c>
      <c r="B1374" s="391" t="str">
        <f>VLOOKUP(Tabela12[[#This Row],[Painel]],Tabela13[],2,0)</f>
        <v>8HV</v>
      </c>
      <c r="C1374" s="391" t="s">
        <v>856</v>
      </c>
      <c r="D1374" s="21" t="s">
        <v>1882</v>
      </c>
      <c r="E1374" s="21">
        <v>31</v>
      </c>
      <c r="F1374" s="27" t="str">
        <f>Tabela12[[#This Row],[Régua]]&amp;" ("&amp;Tabela12[[#This Row],[Born]]&amp;")"</f>
        <v>XQ0 (31)</v>
      </c>
      <c r="G1374" s="27">
        <f>LEN(Tabela12[[#This Row],[Anilha]])</f>
        <v>8</v>
      </c>
      <c r="H1374" s="21">
        <f>VLOOKUP(Tabela12[[#This Row],[Tag Cabo]],BD!A:F,6,0)</f>
        <v>2.5</v>
      </c>
      <c r="I1374" s="27" t="s">
        <v>1707</v>
      </c>
      <c r="J1374" s="27" t="s">
        <v>1706</v>
      </c>
    </row>
    <row r="1375" spans="1:10" x14ac:dyDescent="0.25">
      <c r="A1375" s="21" t="s">
        <v>848</v>
      </c>
      <c r="B1375" s="391" t="str">
        <f>VLOOKUP(Tabela12[[#This Row],[Painel]],Tabela13[],2,0)</f>
        <v>8HV</v>
      </c>
      <c r="C1375" s="391" t="s">
        <v>856</v>
      </c>
      <c r="D1375" s="21" t="s">
        <v>1882</v>
      </c>
      <c r="E1375" s="21">
        <v>32</v>
      </c>
      <c r="F1375" s="27" t="str">
        <f>Tabela12[[#This Row],[Régua]]&amp;" ("&amp;Tabela12[[#This Row],[Born]]&amp;")"</f>
        <v>XQ0 (32)</v>
      </c>
      <c r="G1375" s="27">
        <f>LEN(Tabela12[[#This Row],[Anilha]])</f>
        <v>8</v>
      </c>
      <c r="H1375" s="21">
        <f>VLOOKUP(Tabela12[[#This Row],[Tag Cabo]],BD!A:F,6,0)</f>
        <v>2.5</v>
      </c>
      <c r="I1375" s="27" t="s">
        <v>1707</v>
      </c>
      <c r="J1375" s="27" t="s">
        <v>1706</v>
      </c>
    </row>
    <row r="1376" spans="1:10" x14ac:dyDescent="0.25">
      <c r="A1376" s="21" t="s">
        <v>848</v>
      </c>
      <c r="B1376" s="391" t="str">
        <f>VLOOKUP(Tabela12[[#This Row],[Painel]],Tabela13[],2,0)</f>
        <v>8HV</v>
      </c>
      <c r="C1376" s="391" t="s">
        <v>856</v>
      </c>
      <c r="D1376" s="21" t="s">
        <v>1882</v>
      </c>
      <c r="E1376" s="21">
        <v>34</v>
      </c>
      <c r="F1376" s="27" t="str">
        <f>Tabela12[[#This Row],[Régua]]&amp;" ("&amp;Tabela12[[#This Row],[Born]]&amp;")"</f>
        <v>XQ0 (34)</v>
      </c>
      <c r="G1376" s="27">
        <f>LEN(Tabela12[[#This Row],[Anilha]])</f>
        <v>8</v>
      </c>
      <c r="H1376" s="21">
        <f>VLOOKUP(Tabela12[[#This Row],[Tag Cabo]],BD!A:F,6,0)</f>
        <v>2.5</v>
      </c>
      <c r="I1376" s="27" t="s">
        <v>1707</v>
      </c>
      <c r="J1376" s="27" t="s">
        <v>1706</v>
      </c>
    </row>
    <row r="1377" spans="1:10" x14ac:dyDescent="0.25">
      <c r="A1377" s="21" t="s">
        <v>849</v>
      </c>
      <c r="B1377" s="391" t="str">
        <f>VLOOKUP(Tabela12[[#This Row],[Painel]],Tabela13[],2,0)</f>
        <v>8HV</v>
      </c>
      <c r="C1377" s="391" t="s">
        <v>1578</v>
      </c>
      <c r="D1377" s="21" t="s">
        <v>1716</v>
      </c>
      <c r="E1377" s="21">
        <v>6</v>
      </c>
      <c r="F1377" s="27" t="str">
        <f>Tabela12[[#This Row],[Régua]]&amp;" ("&amp;Tabela12[[#This Row],[Born]]&amp;")"</f>
        <v>BNC (6)</v>
      </c>
      <c r="G1377" s="27">
        <f>LEN(Tabela12[[#This Row],[Anilha]])</f>
        <v>7</v>
      </c>
      <c r="H1377" s="21">
        <f>VLOOKUP(Tabela12[[#This Row],[Tag Cabo]],BD!A:F,6,0)</f>
        <v>2.5</v>
      </c>
      <c r="I1377" s="27" t="s">
        <v>1707</v>
      </c>
      <c r="J1377" s="27" t="s">
        <v>1706</v>
      </c>
    </row>
    <row r="1378" spans="1:10" x14ac:dyDescent="0.25">
      <c r="A1378" s="21" t="s">
        <v>849</v>
      </c>
      <c r="B1378" s="391" t="str">
        <f>VLOOKUP(Tabela12[[#This Row],[Painel]],Tabela13[],2,0)</f>
        <v>8HV</v>
      </c>
      <c r="C1378" s="391" t="s">
        <v>1578</v>
      </c>
      <c r="D1378" s="21" t="s">
        <v>1716</v>
      </c>
      <c r="E1378" s="21">
        <v>7</v>
      </c>
      <c r="F1378" s="27" t="str">
        <f>Tabela12[[#This Row],[Régua]]&amp;" ("&amp;Tabela12[[#This Row],[Born]]&amp;")"</f>
        <v>BNC (7)</v>
      </c>
      <c r="G1378" s="27">
        <f>LEN(Tabela12[[#This Row],[Anilha]])</f>
        <v>7</v>
      </c>
      <c r="H1378" s="21">
        <f>VLOOKUP(Tabela12[[#This Row],[Tag Cabo]],BD!A:F,6,0)</f>
        <v>2.5</v>
      </c>
      <c r="I1378" s="27" t="s">
        <v>1707</v>
      </c>
      <c r="J1378" s="27" t="s">
        <v>1706</v>
      </c>
    </row>
    <row r="1379" spans="1:10" x14ac:dyDescent="0.25">
      <c r="A1379" s="21" t="s">
        <v>849</v>
      </c>
      <c r="B1379" s="391" t="str">
        <f>VLOOKUP(Tabela12[[#This Row],[Painel]],Tabela13[],2,0)</f>
        <v>8HV</v>
      </c>
      <c r="C1379" s="391" t="s">
        <v>1578</v>
      </c>
      <c r="D1379" s="21" t="s">
        <v>1716</v>
      </c>
      <c r="E1379" s="21">
        <v>14</v>
      </c>
      <c r="F1379" s="27" t="str">
        <f>Tabela12[[#This Row],[Régua]]&amp;" ("&amp;Tabela12[[#This Row],[Born]]&amp;")"</f>
        <v>BNC (14)</v>
      </c>
      <c r="G1379" s="27">
        <f>LEN(Tabela12[[#This Row],[Anilha]])</f>
        <v>8</v>
      </c>
      <c r="H1379" s="21">
        <f>VLOOKUP(Tabela12[[#This Row],[Tag Cabo]],BD!A:F,6,0)</f>
        <v>2.5</v>
      </c>
      <c r="I1379" s="27" t="s">
        <v>1707</v>
      </c>
      <c r="J1379" s="27" t="s">
        <v>1706</v>
      </c>
    </row>
    <row r="1380" spans="1:10" x14ac:dyDescent="0.25">
      <c r="A1380" s="21" t="s">
        <v>849</v>
      </c>
      <c r="B1380" s="391" t="str">
        <f>VLOOKUP(Tabela12[[#This Row],[Painel]],Tabela13[],2,0)</f>
        <v>8HV</v>
      </c>
      <c r="C1380" s="391" t="s">
        <v>1578</v>
      </c>
      <c r="D1380" s="21" t="s">
        <v>1716</v>
      </c>
      <c r="E1380" s="21">
        <v>15</v>
      </c>
      <c r="F1380" s="27" t="str">
        <f>Tabela12[[#This Row],[Régua]]&amp;" ("&amp;Tabela12[[#This Row],[Born]]&amp;")"</f>
        <v>BNC (15)</v>
      </c>
      <c r="G1380" s="27">
        <f>LEN(Tabela12[[#This Row],[Anilha]])</f>
        <v>8</v>
      </c>
      <c r="H1380" s="21">
        <f>VLOOKUP(Tabela12[[#This Row],[Tag Cabo]],BD!A:F,6,0)</f>
        <v>2.5</v>
      </c>
      <c r="I1380" s="27" t="s">
        <v>1707</v>
      </c>
      <c r="J1380" s="27" t="s">
        <v>1706</v>
      </c>
    </row>
    <row r="1381" spans="1:10" x14ac:dyDescent="0.25">
      <c r="A1381" s="21" t="s">
        <v>849</v>
      </c>
      <c r="B1381" s="391" t="str">
        <f>VLOOKUP(Tabela12[[#This Row],[Painel]],Tabela13[],2,0)</f>
        <v>8HV</v>
      </c>
      <c r="C1381" s="391" t="s">
        <v>1578</v>
      </c>
      <c r="D1381" s="21" t="s">
        <v>1716</v>
      </c>
      <c r="E1381" s="21">
        <v>16</v>
      </c>
      <c r="F1381" s="27" t="str">
        <f>Tabela12[[#This Row],[Régua]]&amp;" ("&amp;Tabela12[[#This Row],[Born]]&amp;")"</f>
        <v>BNC (16)</v>
      </c>
      <c r="G1381" s="27">
        <f>LEN(Tabela12[[#This Row],[Anilha]])</f>
        <v>8</v>
      </c>
      <c r="H1381" s="21">
        <f>VLOOKUP(Tabela12[[#This Row],[Tag Cabo]],BD!A:F,6,0)</f>
        <v>2.5</v>
      </c>
      <c r="I1381" s="27" t="s">
        <v>1707</v>
      </c>
      <c r="J1381" s="27" t="s">
        <v>1706</v>
      </c>
    </row>
    <row r="1382" spans="1:10" x14ac:dyDescent="0.25">
      <c r="A1382" s="21" t="s">
        <v>849</v>
      </c>
      <c r="B1382" s="391" t="str">
        <f>VLOOKUP(Tabela12[[#This Row],[Painel]],Tabela13[],2,0)</f>
        <v>8HV</v>
      </c>
      <c r="C1382" s="391" t="s">
        <v>1578</v>
      </c>
      <c r="D1382" s="21" t="s">
        <v>1716</v>
      </c>
      <c r="E1382" s="21">
        <v>72</v>
      </c>
      <c r="F1382" s="27" t="str">
        <f>Tabela12[[#This Row],[Régua]]&amp;" ("&amp;Tabela12[[#This Row],[Born]]&amp;")"</f>
        <v>BNC (72)</v>
      </c>
      <c r="G1382" s="27">
        <f>LEN(Tabela12[[#This Row],[Anilha]])</f>
        <v>8</v>
      </c>
      <c r="H1382" s="21">
        <f>VLOOKUP(Tabela12[[#This Row],[Tag Cabo]],BD!A:F,6,0)</f>
        <v>2.5</v>
      </c>
      <c r="I1382" s="27" t="s">
        <v>1707</v>
      </c>
      <c r="J1382" s="27" t="s">
        <v>1706</v>
      </c>
    </row>
    <row r="1383" spans="1:10" x14ac:dyDescent="0.25">
      <c r="A1383" s="21" t="s">
        <v>849</v>
      </c>
      <c r="B1383" s="391" t="str">
        <f>VLOOKUP(Tabela12[[#This Row],[Painel]],Tabela13[],2,0)</f>
        <v>8HV</v>
      </c>
      <c r="C1383" s="391" t="s">
        <v>1578</v>
      </c>
      <c r="D1383" s="21" t="s">
        <v>1716</v>
      </c>
      <c r="E1383" s="21">
        <v>73</v>
      </c>
      <c r="F1383" s="27" t="str">
        <f>Tabela12[[#This Row],[Régua]]&amp;" ("&amp;Tabela12[[#This Row],[Born]]&amp;")"</f>
        <v>BNC (73)</v>
      </c>
      <c r="G1383" s="27">
        <f>LEN(Tabela12[[#This Row],[Anilha]])</f>
        <v>8</v>
      </c>
      <c r="H1383" s="21">
        <f>VLOOKUP(Tabela12[[#This Row],[Tag Cabo]],BD!A:F,6,0)</f>
        <v>2.5</v>
      </c>
      <c r="I1383" s="27" t="s">
        <v>1707</v>
      </c>
      <c r="J1383" s="27" t="s">
        <v>1706</v>
      </c>
    </row>
    <row r="1384" spans="1:10" x14ac:dyDescent="0.25">
      <c r="A1384" s="21" t="s">
        <v>849</v>
      </c>
      <c r="B1384" s="391" t="str">
        <f>VLOOKUP(Tabela12[[#This Row],[Painel]],Tabela13[],2,0)</f>
        <v>8HV</v>
      </c>
      <c r="C1384" s="391" t="s">
        <v>1578</v>
      </c>
      <c r="D1384" s="21" t="s">
        <v>1716</v>
      </c>
      <c r="E1384" s="21">
        <v>74</v>
      </c>
      <c r="F1384" s="27" t="str">
        <f>Tabela12[[#This Row],[Régua]]&amp;" ("&amp;Tabela12[[#This Row],[Born]]&amp;")"</f>
        <v>BNC (74)</v>
      </c>
      <c r="G1384" s="27">
        <f>LEN(Tabela12[[#This Row],[Anilha]])</f>
        <v>8</v>
      </c>
      <c r="H1384" s="21">
        <f>VLOOKUP(Tabela12[[#This Row],[Tag Cabo]],BD!A:F,6,0)</f>
        <v>2.5</v>
      </c>
      <c r="I1384" s="27" t="s">
        <v>1707</v>
      </c>
      <c r="J1384" s="27" t="s">
        <v>1706</v>
      </c>
    </row>
    <row r="1385" spans="1:10" x14ac:dyDescent="0.25">
      <c r="A1385" s="21" t="s">
        <v>849</v>
      </c>
      <c r="B1385" s="391" t="str">
        <f>VLOOKUP(Tabela12[[#This Row],[Painel]],Tabela13[],2,0)</f>
        <v>8HV</v>
      </c>
      <c r="C1385" s="391" t="s">
        <v>1578</v>
      </c>
      <c r="D1385" s="21" t="s">
        <v>1923</v>
      </c>
      <c r="E1385" s="21">
        <v>18</v>
      </c>
      <c r="F1385" s="27" t="str">
        <f>Tabela12[[#This Row],[Régua]]&amp;" ("&amp;Tabela12[[#This Row],[Born]]&amp;")"</f>
        <v>BNC1 (18)</v>
      </c>
      <c r="G1385" s="27">
        <f>LEN(Tabela12[[#This Row],[Anilha]])</f>
        <v>9</v>
      </c>
      <c r="H1385" s="21">
        <f>VLOOKUP(Tabela12[[#This Row],[Tag Cabo]],BD!A:F,6,0)</f>
        <v>2.5</v>
      </c>
      <c r="I1385" s="27" t="s">
        <v>1707</v>
      </c>
      <c r="J1385" s="27" t="s">
        <v>1706</v>
      </c>
    </row>
    <row r="1386" spans="1:10" x14ac:dyDescent="0.25">
      <c r="A1386" s="21" t="s">
        <v>849</v>
      </c>
      <c r="B1386" s="391" t="str">
        <f>VLOOKUP(Tabela12[[#This Row],[Painel]],Tabela13[],2,0)</f>
        <v>8HV</v>
      </c>
      <c r="C1386" s="391" t="s">
        <v>1578</v>
      </c>
      <c r="D1386" s="21" t="s">
        <v>1923</v>
      </c>
      <c r="E1386" s="21">
        <v>19</v>
      </c>
      <c r="F1386" s="27" t="str">
        <f>Tabela12[[#This Row],[Régua]]&amp;" ("&amp;Tabela12[[#This Row],[Born]]&amp;")"</f>
        <v>BNC1 (19)</v>
      </c>
      <c r="G1386" s="27">
        <f>LEN(Tabela12[[#This Row],[Anilha]])</f>
        <v>9</v>
      </c>
      <c r="H1386" s="21">
        <f>VLOOKUP(Tabela12[[#This Row],[Tag Cabo]],BD!A:F,6,0)</f>
        <v>2.5</v>
      </c>
      <c r="I1386" s="27" t="s">
        <v>1707</v>
      </c>
      <c r="J1386" s="27" t="s">
        <v>1706</v>
      </c>
    </row>
    <row r="1387" spans="1:10" x14ac:dyDescent="0.25">
      <c r="A1387" s="21" t="s">
        <v>849</v>
      </c>
      <c r="B1387" s="391" t="str">
        <f>VLOOKUP(Tabela12[[#This Row],[Painel]],Tabela13[],2,0)</f>
        <v>8HV</v>
      </c>
      <c r="C1387" s="391" t="s">
        <v>1578</v>
      </c>
      <c r="D1387" s="21" t="s">
        <v>1923</v>
      </c>
      <c r="E1387" s="21">
        <v>20</v>
      </c>
      <c r="F1387" s="27" t="str">
        <f>Tabela12[[#This Row],[Régua]]&amp;" ("&amp;Tabela12[[#This Row],[Born]]&amp;")"</f>
        <v>BNC1 (20)</v>
      </c>
      <c r="G1387" s="27">
        <f>LEN(Tabela12[[#This Row],[Anilha]])</f>
        <v>9</v>
      </c>
      <c r="H1387" s="21">
        <f>VLOOKUP(Tabela12[[#This Row],[Tag Cabo]],BD!A:F,6,0)</f>
        <v>2.5</v>
      </c>
      <c r="I1387" s="27" t="s">
        <v>1707</v>
      </c>
      <c r="J1387" s="27" t="s">
        <v>1706</v>
      </c>
    </row>
    <row r="1388" spans="1:10" x14ac:dyDescent="0.25">
      <c r="A1388" s="21" t="s">
        <v>849</v>
      </c>
      <c r="B1388" s="391" t="str">
        <f>VLOOKUP(Tabela12[[#This Row],[Painel]],Tabela13[],2,0)</f>
        <v>8HV</v>
      </c>
      <c r="C1388" s="391" t="s">
        <v>1599</v>
      </c>
      <c r="D1388" s="21" t="s">
        <v>1924</v>
      </c>
      <c r="E1388" s="21">
        <v>1</v>
      </c>
      <c r="F1388" s="27" t="str">
        <f>Tabela12[[#This Row],[Régua]]&amp;" ("&amp;Tabela12[[#This Row],[Born]]&amp;")"</f>
        <v>XSINC (1)</v>
      </c>
      <c r="G1388" s="27">
        <f>LEN(Tabela12[[#This Row],[Anilha]])</f>
        <v>9</v>
      </c>
      <c r="H1388" s="21">
        <f>VLOOKUP(Tabela12[[#This Row],[Tag Cabo]],BD!A:F,6,0)</f>
        <v>2.5</v>
      </c>
      <c r="I1388" s="27" t="s">
        <v>1707</v>
      </c>
      <c r="J1388" s="27" t="s">
        <v>1706</v>
      </c>
    </row>
    <row r="1389" spans="1:10" x14ac:dyDescent="0.25">
      <c r="A1389" s="21" t="s">
        <v>849</v>
      </c>
      <c r="B1389" s="391" t="str">
        <f>VLOOKUP(Tabela12[[#This Row],[Painel]],Tabela13[],2,0)</f>
        <v>8HV</v>
      </c>
      <c r="C1389" s="391" t="s">
        <v>1599</v>
      </c>
      <c r="D1389" s="21" t="s">
        <v>1924</v>
      </c>
      <c r="E1389" s="21">
        <v>3</v>
      </c>
      <c r="F1389" s="27" t="str">
        <f>Tabela12[[#This Row],[Régua]]&amp;" ("&amp;Tabela12[[#This Row],[Born]]&amp;")"</f>
        <v>XSINC (3)</v>
      </c>
      <c r="G1389" s="27">
        <f>LEN(Tabela12[[#This Row],[Anilha]])</f>
        <v>9</v>
      </c>
      <c r="H1389" s="21">
        <f>VLOOKUP(Tabela12[[#This Row],[Tag Cabo]],BD!A:F,6,0)</f>
        <v>2.5</v>
      </c>
      <c r="I1389" s="27" t="s">
        <v>1707</v>
      </c>
      <c r="J1389" s="27" t="s">
        <v>1706</v>
      </c>
    </row>
    <row r="1390" spans="1:10" x14ac:dyDescent="0.25">
      <c r="A1390" s="21" t="s">
        <v>849</v>
      </c>
      <c r="B1390" s="391" t="str">
        <f>VLOOKUP(Tabela12[[#This Row],[Painel]],Tabela13[],2,0)</f>
        <v>8HV</v>
      </c>
      <c r="C1390" s="391" t="s">
        <v>1599</v>
      </c>
      <c r="D1390" s="21" t="s">
        <v>1924</v>
      </c>
      <c r="E1390" s="21">
        <v>5</v>
      </c>
      <c r="F1390" s="27" t="str">
        <f>Tabela12[[#This Row],[Régua]]&amp;" ("&amp;Tabela12[[#This Row],[Born]]&amp;")"</f>
        <v>XSINC (5)</v>
      </c>
      <c r="G1390" s="27">
        <f>LEN(Tabela12[[#This Row],[Anilha]])</f>
        <v>9</v>
      </c>
      <c r="H1390" s="21">
        <f>VLOOKUP(Tabela12[[#This Row],[Tag Cabo]],BD!A:F,6,0)</f>
        <v>2.5</v>
      </c>
      <c r="I1390" s="27" t="s">
        <v>1707</v>
      </c>
      <c r="J1390" s="27" t="s">
        <v>1706</v>
      </c>
    </row>
    <row r="1391" spans="1:10" x14ac:dyDescent="0.25">
      <c r="A1391" s="21" t="s">
        <v>853</v>
      </c>
      <c r="B1391" s="391" t="str">
        <f>VLOOKUP(Tabela12[[#This Row],[Painel]],Tabela13[],2,0)</f>
        <v>8HV</v>
      </c>
      <c r="C1391" s="391" t="s">
        <v>1578</v>
      </c>
      <c r="D1391" s="21" t="s">
        <v>1716</v>
      </c>
      <c r="E1391" s="21">
        <v>8</v>
      </c>
      <c r="F1391" s="27" t="str">
        <f>Tabela12[[#This Row],[Régua]]&amp;" ("&amp;Tabela12[[#This Row],[Born]]&amp;")"</f>
        <v>BNC (8)</v>
      </c>
      <c r="G1391" s="27">
        <f>LEN(Tabela12[[#This Row],[Anilha]])</f>
        <v>7</v>
      </c>
      <c r="H1391" s="21">
        <f>VLOOKUP(Tabela12[[#This Row],[Tag Cabo]],BD!A:F,6,0)</f>
        <v>2.5</v>
      </c>
      <c r="I1391" s="27" t="s">
        <v>1707</v>
      </c>
      <c r="J1391" s="27" t="s">
        <v>1706</v>
      </c>
    </row>
    <row r="1392" spans="1:10" x14ac:dyDescent="0.25">
      <c r="A1392" s="21" t="s">
        <v>853</v>
      </c>
      <c r="B1392" s="391" t="str">
        <f>VLOOKUP(Tabela12[[#This Row],[Painel]],Tabela13[],2,0)</f>
        <v>8HV</v>
      </c>
      <c r="C1392" s="391" t="s">
        <v>1578</v>
      </c>
      <c r="D1392" s="21" t="s">
        <v>1716</v>
      </c>
      <c r="E1392" s="21">
        <v>9</v>
      </c>
      <c r="F1392" s="27" t="str">
        <f>Tabela12[[#This Row],[Régua]]&amp;" ("&amp;Tabela12[[#This Row],[Born]]&amp;")"</f>
        <v>BNC (9)</v>
      </c>
      <c r="G1392" s="27">
        <f>LEN(Tabela12[[#This Row],[Anilha]])</f>
        <v>7</v>
      </c>
      <c r="H1392" s="21">
        <f>VLOOKUP(Tabela12[[#This Row],[Tag Cabo]],BD!A:F,6,0)</f>
        <v>2.5</v>
      </c>
      <c r="I1392" s="27" t="s">
        <v>1707</v>
      </c>
      <c r="J1392" s="27" t="s">
        <v>1706</v>
      </c>
    </row>
    <row r="1393" spans="1:10" x14ac:dyDescent="0.25">
      <c r="A1393" s="21" t="s">
        <v>853</v>
      </c>
      <c r="B1393" s="391" t="str">
        <f>VLOOKUP(Tabela12[[#This Row],[Painel]],Tabela13[],2,0)</f>
        <v>8HV</v>
      </c>
      <c r="C1393" s="391" t="s">
        <v>856</v>
      </c>
      <c r="D1393" s="21" t="s">
        <v>1910</v>
      </c>
      <c r="E1393" s="21">
        <v>1</v>
      </c>
      <c r="F1393" s="27" t="str">
        <f>Tabela12[[#This Row],[Régua]]&amp;" ("&amp;Tabela12[[#This Row],[Born]]&amp;")"</f>
        <v>XC30 (1)</v>
      </c>
      <c r="G1393" s="27">
        <f>LEN(Tabela12[[#This Row],[Anilha]])</f>
        <v>8</v>
      </c>
      <c r="H1393" s="21">
        <f>VLOOKUP(Tabela12[[#This Row],[Tag Cabo]],BD!A:F,6,0)</f>
        <v>2.5</v>
      </c>
      <c r="I1393" s="27" t="s">
        <v>1707</v>
      </c>
      <c r="J1393" s="27" t="s">
        <v>1706</v>
      </c>
    </row>
    <row r="1394" spans="1:10" x14ac:dyDescent="0.25">
      <c r="A1394" s="21" t="s">
        <v>853</v>
      </c>
      <c r="B1394" s="391" t="str">
        <f>VLOOKUP(Tabela12[[#This Row],[Painel]],Tabela13[],2,0)</f>
        <v>8HV</v>
      </c>
      <c r="C1394" s="391" t="s">
        <v>856</v>
      </c>
      <c r="D1394" s="21" t="s">
        <v>1910</v>
      </c>
      <c r="E1394" s="21">
        <v>2</v>
      </c>
      <c r="F1394" s="27" t="str">
        <f>Tabela12[[#This Row],[Régua]]&amp;" ("&amp;Tabela12[[#This Row],[Born]]&amp;")"</f>
        <v>XC30 (2)</v>
      </c>
      <c r="G1394" s="27">
        <f>LEN(Tabela12[[#This Row],[Anilha]])</f>
        <v>8</v>
      </c>
      <c r="H1394" s="21">
        <f>VLOOKUP(Tabela12[[#This Row],[Tag Cabo]],BD!A:F,6,0)</f>
        <v>2.5</v>
      </c>
      <c r="I1394" s="27" t="s">
        <v>1707</v>
      </c>
      <c r="J1394" s="27" t="s">
        <v>1706</v>
      </c>
    </row>
    <row r="1395" spans="1:10" x14ac:dyDescent="0.25">
      <c r="A1395" s="21" t="s">
        <v>979</v>
      </c>
      <c r="B1395" s="391" t="str">
        <f>VLOOKUP(Tabela12[[#This Row],[Painel]],Tabela13[],2,0)</f>
        <v>8HV</v>
      </c>
      <c r="C1395" s="391" t="s">
        <v>1578</v>
      </c>
      <c r="D1395" s="21" t="s">
        <v>1716</v>
      </c>
      <c r="E1395" s="21">
        <v>22</v>
      </c>
      <c r="F1395" s="27" t="str">
        <f>Tabela12[[#This Row],[Régua]]&amp;" ("&amp;Tabela12[[#This Row],[Born]]&amp;")"</f>
        <v>BNC (22)</v>
      </c>
      <c r="G1395" s="27">
        <f>LEN(Tabela12[[#This Row],[Anilha]])</f>
        <v>8</v>
      </c>
      <c r="H1395" s="21">
        <f>VLOOKUP(Tabela12[[#This Row],[Tag Cabo]],BD!A:F,6,0)</f>
        <v>4</v>
      </c>
      <c r="I1395" s="27" t="s">
        <v>1707</v>
      </c>
      <c r="J1395" s="27" t="s">
        <v>1706</v>
      </c>
    </row>
    <row r="1396" spans="1:10" x14ac:dyDescent="0.25">
      <c r="A1396" s="21" t="s">
        <v>979</v>
      </c>
      <c r="B1396" s="391" t="str">
        <f>VLOOKUP(Tabela12[[#This Row],[Painel]],Tabela13[],2,0)</f>
        <v>8HV</v>
      </c>
      <c r="C1396" s="391" t="s">
        <v>1578</v>
      </c>
      <c r="D1396" s="21" t="s">
        <v>1716</v>
      </c>
      <c r="E1396" s="21">
        <v>23</v>
      </c>
      <c r="F1396" s="27" t="str">
        <f>Tabela12[[#This Row],[Régua]]&amp;" ("&amp;Tabela12[[#This Row],[Born]]&amp;")"</f>
        <v>BNC (23)</v>
      </c>
      <c r="G1396" s="27">
        <f>LEN(Tabela12[[#This Row],[Anilha]])</f>
        <v>8</v>
      </c>
      <c r="H1396" s="21">
        <f>VLOOKUP(Tabela12[[#This Row],[Tag Cabo]],BD!A:F,6,0)</f>
        <v>4</v>
      </c>
      <c r="I1396" s="27" t="s">
        <v>1707</v>
      </c>
      <c r="J1396" s="27" t="s">
        <v>1706</v>
      </c>
    </row>
    <row r="1397" spans="1:10" x14ac:dyDescent="0.25">
      <c r="A1397" s="21" t="s">
        <v>979</v>
      </c>
      <c r="B1397" s="391" t="str">
        <f>VLOOKUP(Tabela12[[#This Row],[Painel]],Tabela13[],2,0)</f>
        <v>8HV</v>
      </c>
      <c r="C1397" s="391" t="s">
        <v>1578</v>
      </c>
      <c r="D1397" s="21" t="s">
        <v>1716</v>
      </c>
      <c r="E1397" s="21">
        <v>25</v>
      </c>
      <c r="F1397" s="27" t="str">
        <f>Tabela12[[#This Row],[Régua]]&amp;" ("&amp;Tabela12[[#This Row],[Born]]&amp;")"</f>
        <v>BNC (25)</v>
      </c>
      <c r="G1397" s="27">
        <f>LEN(Tabela12[[#This Row],[Anilha]])</f>
        <v>8</v>
      </c>
      <c r="H1397" s="21">
        <f>VLOOKUP(Tabela12[[#This Row],[Tag Cabo]],BD!A:F,6,0)</f>
        <v>4</v>
      </c>
      <c r="I1397" s="27" t="s">
        <v>1707</v>
      </c>
      <c r="J1397" s="27" t="s">
        <v>1706</v>
      </c>
    </row>
    <row r="1398" spans="1:10" x14ac:dyDescent="0.25">
      <c r="A1398" s="21" t="s">
        <v>979</v>
      </c>
      <c r="B1398" s="391" t="str">
        <f>VLOOKUP(Tabela12[[#This Row],[Painel]],Tabela13[],2,0)</f>
        <v>8HV</v>
      </c>
      <c r="C1398" s="391" t="s">
        <v>1578</v>
      </c>
      <c r="D1398" s="21" t="s">
        <v>1716</v>
      </c>
      <c r="E1398" s="21">
        <v>26</v>
      </c>
      <c r="F1398" s="27" t="str">
        <f>Tabela12[[#This Row],[Régua]]&amp;" ("&amp;Tabela12[[#This Row],[Born]]&amp;")"</f>
        <v>BNC (26)</v>
      </c>
      <c r="G1398" s="27">
        <f>LEN(Tabela12[[#This Row],[Anilha]])</f>
        <v>8</v>
      </c>
      <c r="H1398" s="21">
        <f>VLOOKUP(Tabela12[[#This Row],[Tag Cabo]],BD!A:F,6,0)</f>
        <v>4</v>
      </c>
      <c r="I1398" s="27" t="s">
        <v>1707</v>
      </c>
      <c r="J1398" s="27" t="s">
        <v>1706</v>
      </c>
    </row>
    <row r="1399" spans="1:10" x14ac:dyDescent="0.25">
      <c r="A1399" s="21" t="s">
        <v>979</v>
      </c>
      <c r="B1399" s="391" t="str">
        <f>VLOOKUP(Tabela12[[#This Row],[Painel]],Tabela13[],2,0)</f>
        <v>8HV</v>
      </c>
      <c r="C1399" s="391" t="s">
        <v>1578</v>
      </c>
      <c r="D1399" s="21" t="s">
        <v>1716</v>
      </c>
      <c r="E1399" s="21">
        <v>27</v>
      </c>
      <c r="F1399" s="27" t="str">
        <f>Tabela12[[#This Row],[Régua]]&amp;" ("&amp;Tabela12[[#This Row],[Born]]&amp;")"</f>
        <v>BNC (27)</v>
      </c>
      <c r="G1399" s="27">
        <f>LEN(Tabela12[[#This Row],[Anilha]])</f>
        <v>8</v>
      </c>
      <c r="H1399" s="21">
        <f>VLOOKUP(Tabela12[[#This Row],[Tag Cabo]],BD!A:F,6,0)</f>
        <v>4</v>
      </c>
      <c r="I1399" s="27" t="s">
        <v>1707</v>
      </c>
      <c r="J1399" s="27" t="s">
        <v>1706</v>
      </c>
    </row>
    <row r="1400" spans="1:10" x14ac:dyDescent="0.25">
      <c r="A1400" s="21" t="s">
        <v>979</v>
      </c>
      <c r="B1400" s="391" t="str">
        <f>VLOOKUP(Tabela12[[#This Row],[Painel]],Tabela13[],2,0)</f>
        <v>8HV</v>
      </c>
      <c r="C1400" s="391" t="s">
        <v>1578</v>
      </c>
      <c r="D1400" s="21" t="s">
        <v>1716</v>
      </c>
      <c r="E1400" s="21">
        <v>29</v>
      </c>
      <c r="F1400" s="27" t="str">
        <f>Tabela12[[#This Row],[Régua]]&amp;" ("&amp;Tabela12[[#This Row],[Born]]&amp;")"</f>
        <v>BNC (29)</v>
      </c>
      <c r="G1400" s="27">
        <f>LEN(Tabela12[[#This Row],[Anilha]])</f>
        <v>8</v>
      </c>
      <c r="H1400" s="21">
        <f>VLOOKUP(Tabela12[[#This Row],[Tag Cabo]],BD!A:F,6,0)</f>
        <v>4</v>
      </c>
      <c r="I1400" s="27" t="s">
        <v>1707</v>
      </c>
      <c r="J1400" s="27" t="s">
        <v>1706</v>
      </c>
    </row>
    <row r="1401" spans="1:10" x14ac:dyDescent="0.25">
      <c r="A1401" s="21" t="s">
        <v>979</v>
      </c>
      <c r="B1401" s="391" t="str">
        <f>VLOOKUP(Tabela12[[#This Row],[Painel]],Tabela13[],2,0)</f>
        <v>8HV</v>
      </c>
      <c r="C1401" s="391" t="s">
        <v>1578</v>
      </c>
      <c r="D1401" s="21" t="s">
        <v>1716</v>
      </c>
      <c r="E1401" s="21">
        <v>30</v>
      </c>
      <c r="F1401" s="27" t="str">
        <f>Tabela12[[#This Row],[Régua]]&amp;" ("&amp;Tabela12[[#This Row],[Born]]&amp;")"</f>
        <v>BNC (30)</v>
      </c>
      <c r="G1401" s="27">
        <f>LEN(Tabela12[[#This Row],[Anilha]])</f>
        <v>8</v>
      </c>
      <c r="H1401" s="21">
        <f>VLOOKUP(Tabela12[[#This Row],[Tag Cabo]],BD!A:F,6,0)</f>
        <v>4</v>
      </c>
      <c r="I1401" s="27" t="s">
        <v>1707</v>
      </c>
      <c r="J1401" s="27" t="s">
        <v>1706</v>
      </c>
    </row>
    <row r="1402" spans="1:10" x14ac:dyDescent="0.25">
      <c r="A1402" s="21" t="s">
        <v>979</v>
      </c>
      <c r="B1402" s="391" t="str">
        <f>VLOOKUP(Tabela12[[#This Row],[Painel]],Tabela13[],2,0)</f>
        <v>8HV</v>
      </c>
      <c r="C1402" s="391" t="s">
        <v>1578</v>
      </c>
      <c r="D1402" s="21" t="s">
        <v>1716</v>
      </c>
      <c r="E1402" s="21">
        <v>31</v>
      </c>
      <c r="F1402" s="27" t="str">
        <f>Tabela12[[#This Row],[Régua]]&amp;" ("&amp;Tabela12[[#This Row],[Born]]&amp;")"</f>
        <v>BNC (31)</v>
      </c>
      <c r="G1402" s="27">
        <f>LEN(Tabela12[[#This Row],[Anilha]])</f>
        <v>8</v>
      </c>
      <c r="H1402" s="21">
        <f>VLOOKUP(Tabela12[[#This Row],[Tag Cabo]],BD!A:F,6,0)</f>
        <v>4</v>
      </c>
      <c r="I1402" s="27" t="s">
        <v>1707</v>
      </c>
      <c r="J1402" s="27" t="s">
        <v>1706</v>
      </c>
    </row>
    <row r="1403" spans="1:10" x14ac:dyDescent="0.25">
      <c r="A1403" s="21" t="s">
        <v>979</v>
      </c>
      <c r="B1403" s="391" t="str">
        <f>VLOOKUP(Tabela12[[#This Row],[Painel]],Tabela13[],2,0)</f>
        <v>8HV</v>
      </c>
      <c r="C1403" s="391" t="s">
        <v>1578</v>
      </c>
      <c r="D1403" s="21" t="s">
        <v>1716</v>
      </c>
      <c r="E1403" s="21">
        <v>33</v>
      </c>
      <c r="F1403" s="27" t="str">
        <f>Tabela12[[#This Row],[Régua]]&amp;" ("&amp;Tabela12[[#This Row],[Born]]&amp;")"</f>
        <v>BNC (33)</v>
      </c>
      <c r="G1403" s="27">
        <f>LEN(Tabela12[[#This Row],[Anilha]])</f>
        <v>8</v>
      </c>
      <c r="H1403" s="21">
        <f>VLOOKUP(Tabela12[[#This Row],[Tag Cabo]],BD!A:F,6,0)</f>
        <v>4</v>
      </c>
      <c r="I1403" s="27" t="s">
        <v>1707</v>
      </c>
      <c r="J1403" s="27" t="s">
        <v>1706</v>
      </c>
    </row>
    <row r="1404" spans="1:10" x14ac:dyDescent="0.25">
      <c r="A1404" s="21" t="s">
        <v>979</v>
      </c>
      <c r="B1404" s="391" t="str">
        <f>VLOOKUP(Tabela12[[#This Row],[Painel]],Tabela13[],2,0)</f>
        <v>8HV</v>
      </c>
      <c r="C1404" s="391" t="s">
        <v>1578</v>
      </c>
      <c r="D1404" s="21" t="s">
        <v>1716</v>
      </c>
      <c r="E1404" s="21">
        <v>34</v>
      </c>
      <c r="F1404" s="27" t="str">
        <f>Tabela12[[#This Row],[Régua]]&amp;" ("&amp;Tabela12[[#This Row],[Born]]&amp;")"</f>
        <v>BNC (34)</v>
      </c>
      <c r="G1404" s="27">
        <f>LEN(Tabela12[[#This Row],[Anilha]])</f>
        <v>8</v>
      </c>
      <c r="H1404" s="21">
        <f>VLOOKUP(Tabela12[[#This Row],[Tag Cabo]],BD!A:F,6,0)</f>
        <v>4</v>
      </c>
      <c r="I1404" s="27" t="s">
        <v>1707</v>
      </c>
      <c r="J1404" s="27" t="s">
        <v>1706</v>
      </c>
    </row>
    <row r="1405" spans="1:10" x14ac:dyDescent="0.25">
      <c r="A1405" s="21" t="s">
        <v>979</v>
      </c>
      <c r="B1405" s="391" t="str">
        <f>VLOOKUP(Tabela12[[#This Row],[Painel]],Tabela13[],2,0)</f>
        <v>8HV</v>
      </c>
      <c r="C1405" s="391" t="s">
        <v>1578</v>
      </c>
      <c r="D1405" s="21" t="s">
        <v>1716</v>
      </c>
      <c r="E1405" s="21">
        <v>35</v>
      </c>
      <c r="F1405" s="27" t="str">
        <f>Tabela12[[#This Row],[Régua]]&amp;" ("&amp;Tabela12[[#This Row],[Born]]&amp;")"</f>
        <v>BNC (35)</v>
      </c>
      <c r="G1405" s="27">
        <f>LEN(Tabela12[[#This Row],[Anilha]])</f>
        <v>8</v>
      </c>
      <c r="H1405" s="21">
        <f>VLOOKUP(Tabela12[[#This Row],[Tag Cabo]],BD!A:F,6,0)</f>
        <v>4</v>
      </c>
      <c r="I1405" s="27" t="s">
        <v>1707</v>
      </c>
      <c r="J1405" s="27" t="s">
        <v>1706</v>
      </c>
    </row>
    <row r="1406" spans="1:10" x14ac:dyDescent="0.25">
      <c r="A1406" s="21" t="s">
        <v>979</v>
      </c>
      <c r="B1406" s="391" t="str">
        <f>VLOOKUP(Tabela12[[#This Row],[Painel]],Tabela13[],2,0)</f>
        <v>CCSE</v>
      </c>
      <c r="C1406" s="391" t="s">
        <v>1571</v>
      </c>
      <c r="D1406" s="21" t="s">
        <v>1927</v>
      </c>
      <c r="E1406" s="21">
        <v>1</v>
      </c>
      <c r="F1406" s="27" t="str">
        <f>Tabela12[[#This Row],[Régua]]&amp;" ("&amp;Tabela12[[#This Row],[Born]]&amp;")"</f>
        <v>XS1 (1)</v>
      </c>
      <c r="G1406" s="27">
        <f>LEN(Tabela12[[#This Row],[Anilha]])</f>
        <v>7</v>
      </c>
      <c r="H1406" s="21">
        <f>VLOOKUP(Tabela12[[#This Row],[Tag Cabo]],BD!A:F,6,0)</f>
        <v>4</v>
      </c>
      <c r="I1406" s="27" t="s">
        <v>1707</v>
      </c>
      <c r="J1406" s="27" t="s">
        <v>1706</v>
      </c>
    </row>
    <row r="1407" spans="1:10" x14ac:dyDescent="0.25">
      <c r="A1407" s="21" t="s">
        <v>979</v>
      </c>
      <c r="B1407" s="391" t="str">
        <f>VLOOKUP(Tabela12[[#This Row],[Painel]],Tabela13[],2,0)</f>
        <v>CCSE</v>
      </c>
      <c r="C1407" s="391" t="s">
        <v>1571</v>
      </c>
      <c r="D1407" s="21" t="s">
        <v>1927</v>
      </c>
      <c r="E1407" s="21">
        <v>2</v>
      </c>
      <c r="F1407" s="27" t="str">
        <f>Tabela12[[#This Row],[Régua]]&amp;" ("&amp;Tabela12[[#This Row],[Born]]&amp;")"</f>
        <v>XS1 (2)</v>
      </c>
      <c r="G1407" s="27">
        <f>LEN(Tabela12[[#This Row],[Anilha]])</f>
        <v>7</v>
      </c>
      <c r="H1407" s="21">
        <f>VLOOKUP(Tabela12[[#This Row],[Tag Cabo]],BD!A:F,6,0)</f>
        <v>4</v>
      </c>
      <c r="I1407" s="27" t="s">
        <v>1707</v>
      </c>
      <c r="J1407" s="27" t="s">
        <v>1706</v>
      </c>
    </row>
    <row r="1408" spans="1:10" x14ac:dyDescent="0.25">
      <c r="A1408" s="21" t="s">
        <v>979</v>
      </c>
      <c r="B1408" s="391" t="str">
        <f>VLOOKUP(Tabela12[[#This Row],[Painel]],Tabela13[],2,0)</f>
        <v>CCSE</v>
      </c>
      <c r="C1408" s="391" t="s">
        <v>1571</v>
      </c>
      <c r="D1408" s="21" t="s">
        <v>1927</v>
      </c>
      <c r="E1408" s="21">
        <v>3</v>
      </c>
      <c r="F1408" s="27" t="str">
        <f>Tabela12[[#This Row],[Régua]]&amp;" ("&amp;Tabela12[[#This Row],[Born]]&amp;")"</f>
        <v>XS1 (3)</v>
      </c>
      <c r="G1408" s="27">
        <f>LEN(Tabela12[[#This Row],[Anilha]])</f>
        <v>7</v>
      </c>
      <c r="H1408" s="21">
        <f>VLOOKUP(Tabela12[[#This Row],[Tag Cabo]],BD!A:F,6,0)</f>
        <v>4</v>
      </c>
      <c r="I1408" s="27" t="s">
        <v>1707</v>
      </c>
      <c r="J1408" s="27" t="s">
        <v>1706</v>
      </c>
    </row>
    <row r="1409" spans="1:10" x14ac:dyDescent="0.25">
      <c r="A1409" s="21" t="s">
        <v>979</v>
      </c>
      <c r="B1409" s="391" t="str">
        <f>VLOOKUP(Tabela12[[#This Row],[Painel]],Tabela13[],2,0)</f>
        <v>CCSE</v>
      </c>
      <c r="C1409" s="391" t="s">
        <v>1571</v>
      </c>
      <c r="D1409" s="21" t="s">
        <v>1927</v>
      </c>
      <c r="E1409" s="21">
        <v>4</v>
      </c>
      <c r="F1409" s="27" t="str">
        <f>Tabela12[[#This Row],[Régua]]&amp;" ("&amp;Tabela12[[#This Row],[Born]]&amp;")"</f>
        <v>XS1 (4)</v>
      </c>
      <c r="G1409" s="27">
        <f>LEN(Tabela12[[#This Row],[Anilha]])</f>
        <v>7</v>
      </c>
      <c r="H1409" s="21">
        <f>VLOOKUP(Tabela12[[#This Row],[Tag Cabo]],BD!A:F,6,0)</f>
        <v>4</v>
      </c>
      <c r="I1409" s="27" t="s">
        <v>1707</v>
      </c>
      <c r="J1409" s="27" t="s">
        <v>1706</v>
      </c>
    </row>
    <row r="1410" spans="1:10" x14ac:dyDescent="0.25">
      <c r="A1410" s="21" t="s">
        <v>979</v>
      </c>
      <c r="B1410" s="391" t="str">
        <f>VLOOKUP(Tabela12[[#This Row],[Painel]],Tabela13[],2,0)</f>
        <v>CCSE</v>
      </c>
      <c r="C1410" s="391" t="s">
        <v>1571</v>
      </c>
      <c r="D1410" s="21" t="s">
        <v>1927</v>
      </c>
      <c r="E1410" s="21">
        <v>5</v>
      </c>
      <c r="F1410" s="27" t="str">
        <f>Tabela12[[#This Row],[Régua]]&amp;" ("&amp;Tabela12[[#This Row],[Born]]&amp;")"</f>
        <v>XS1 (5)</v>
      </c>
      <c r="G1410" s="27">
        <f>LEN(Tabela12[[#This Row],[Anilha]])</f>
        <v>7</v>
      </c>
      <c r="H1410" s="21">
        <f>VLOOKUP(Tabela12[[#This Row],[Tag Cabo]],BD!A:F,6,0)</f>
        <v>4</v>
      </c>
      <c r="I1410" s="27" t="s">
        <v>1707</v>
      </c>
      <c r="J1410" s="27" t="s">
        <v>1706</v>
      </c>
    </row>
    <row r="1411" spans="1:10" x14ac:dyDescent="0.25">
      <c r="A1411" s="21" t="s">
        <v>979</v>
      </c>
      <c r="B1411" s="391" t="str">
        <f>VLOOKUP(Tabela12[[#This Row],[Painel]],Tabela13[],2,0)</f>
        <v>CCSE</v>
      </c>
      <c r="C1411" s="391" t="s">
        <v>1571</v>
      </c>
      <c r="D1411" s="21" t="s">
        <v>1927</v>
      </c>
      <c r="E1411" s="21">
        <v>6</v>
      </c>
      <c r="F1411" s="27" t="str">
        <f>Tabela12[[#This Row],[Régua]]&amp;" ("&amp;Tabela12[[#This Row],[Born]]&amp;")"</f>
        <v>XS1 (6)</v>
      </c>
      <c r="G1411" s="27">
        <f>LEN(Tabela12[[#This Row],[Anilha]])</f>
        <v>7</v>
      </c>
      <c r="H1411" s="21">
        <f>VLOOKUP(Tabela12[[#This Row],[Tag Cabo]],BD!A:F,6,0)</f>
        <v>4</v>
      </c>
      <c r="I1411" s="27" t="s">
        <v>1707</v>
      </c>
      <c r="J1411" s="27" t="s">
        <v>1706</v>
      </c>
    </row>
    <row r="1412" spans="1:10" x14ac:dyDescent="0.25">
      <c r="A1412" s="21" t="s">
        <v>979</v>
      </c>
      <c r="B1412" s="391" t="str">
        <f>VLOOKUP(Tabela12[[#This Row],[Painel]],Tabela13[],2,0)</f>
        <v>CCSE</v>
      </c>
      <c r="C1412" s="391" t="s">
        <v>1571</v>
      </c>
      <c r="D1412" s="21" t="s">
        <v>1927</v>
      </c>
      <c r="E1412" s="21">
        <v>7</v>
      </c>
      <c r="F1412" s="27" t="str">
        <f>Tabela12[[#This Row],[Régua]]&amp;" ("&amp;Tabela12[[#This Row],[Born]]&amp;")"</f>
        <v>XS1 (7)</v>
      </c>
      <c r="G1412" s="27">
        <f>LEN(Tabela12[[#This Row],[Anilha]])</f>
        <v>7</v>
      </c>
      <c r="H1412" s="21">
        <f>VLOOKUP(Tabela12[[#This Row],[Tag Cabo]],BD!A:F,6,0)</f>
        <v>4</v>
      </c>
      <c r="I1412" s="27" t="s">
        <v>1707</v>
      </c>
      <c r="J1412" s="27" t="s">
        <v>1706</v>
      </c>
    </row>
    <row r="1413" spans="1:10" x14ac:dyDescent="0.25">
      <c r="A1413" s="21" t="s">
        <v>979</v>
      </c>
      <c r="B1413" s="391" t="str">
        <f>VLOOKUP(Tabela12[[#This Row],[Painel]],Tabela13[],2,0)</f>
        <v>CCSE</v>
      </c>
      <c r="C1413" s="391" t="s">
        <v>1571</v>
      </c>
      <c r="D1413" s="21" t="s">
        <v>1927</v>
      </c>
      <c r="E1413" s="21">
        <v>8</v>
      </c>
      <c r="F1413" s="27" t="str">
        <f>Tabela12[[#This Row],[Régua]]&amp;" ("&amp;Tabela12[[#This Row],[Born]]&amp;")"</f>
        <v>XS1 (8)</v>
      </c>
      <c r="G1413" s="27">
        <f>LEN(Tabela12[[#This Row],[Anilha]])</f>
        <v>7</v>
      </c>
      <c r="H1413" s="21">
        <f>VLOOKUP(Tabela12[[#This Row],[Tag Cabo]],BD!A:F,6,0)</f>
        <v>4</v>
      </c>
      <c r="I1413" s="27" t="s">
        <v>1707</v>
      </c>
      <c r="J1413" s="27" t="s">
        <v>1706</v>
      </c>
    </row>
    <row r="1414" spans="1:10" x14ac:dyDescent="0.25">
      <c r="A1414" s="21" t="s">
        <v>979</v>
      </c>
      <c r="B1414" s="391" t="str">
        <f>VLOOKUP(Tabela12[[#This Row],[Painel]],Tabela13[],2,0)</f>
        <v>CCSE</v>
      </c>
      <c r="C1414" s="391" t="s">
        <v>1571</v>
      </c>
      <c r="D1414" s="21" t="s">
        <v>1927</v>
      </c>
      <c r="E1414" s="21">
        <v>9</v>
      </c>
      <c r="F1414" s="27" t="str">
        <f>Tabela12[[#This Row],[Régua]]&amp;" ("&amp;Tabela12[[#This Row],[Born]]&amp;")"</f>
        <v>XS1 (9)</v>
      </c>
      <c r="G1414" s="27">
        <f>LEN(Tabela12[[#This Row],[Anilha]])</f>
        <v>7</v>
      </c>
      <c r="H1414" s="21">
        <f>VLOOKUP(Tabela12[[#This Row],[Tag Cabo]],BD!A:F,6,0)</f>
        <v>4</v>
      </c>
      <c r="I1414" s="27" t="s">
        <v>1707</v>
      </c>
      <c r="J1414" s="27" t="s">
        <v>1706</v>
      </c>
    </row>
    <row r="1415" spans="1:10" x14ac:dyDescent="0.25">
      <c r="A1415" s="21" t="s">
        <v>979</v>
      </c>
      <c r="B1415" s="391" t="str">
        <f>VLOOKUP(Tabela12[[#This Row],[Painel]],Tabela13[],2,0)</f>
        <v>CCSE</v>
      </c>
      <c r="C1415" s="391" t="s">
        <v>1571</v>
      </c>
      <c r="D1415" s="21" t="s">
        <v>1927</v>
      </c>
      <c r="E1415" s="21">
        <v>10</v>
      </c>
      <c r="F1415" s="27" t="str">
        <f>Tabela12[[#This Row],[Régua]]&amp;" ("&amp;Tabela12[[#This Row],[Born]]&amp;")"</f>
        <v>XS1 (10)</v>
      </c>
      <c r="G1415" s="27">
        <f>LEN(Tabela12[[#This Row],[Anilha]])</f>
        <v>8</v>
      </c>
      <c r="H1415" s="21">
        <f>VLOOKUP(Tabela12[[#This Row],[Tag Cabo]],BD!A:F,6,0)</f>
        <v>4</v>
      </c>
      <c r="I1415" s="27" t="s">
        <v>1707</v>
      </c>
      <c r="J1415" s="27" t="s">
        <v>1706</v>
      </c>
    </row>
    <row r="1416" spans="1:10" x14ac:dyDescent="0.25">
      <c r="A1416" s="21" t="s">
        <v>979</v>
      </c>
      <c r="B1416" s="391" t="str">
        <f>VLOOKUP(Tabela12[[#This Row],[Painel]],Tabela13[],2,0)</f>
        <v>CCSE</v>
      </c>
      <c r="C1416" s="391" t="s">
        <v>1571</v>
      </c>
      <c r="D1416" s="21" t="s">
        <v>1927</v>
      </c>
      <c r="E1416" s="21">
        <v>11</v>
      </c>
      <c r="F1416" s="27" t="str">
        <f>Tabela12[[#This Row],[Régua]]&amp;" ("&amp;Tabela12[[#This Row],[Born]]&amp;")"</f>
        <v>XS1 (11)</v>
      </c>
      <c r="G1416" s="27">
        <f>LEN(Tabela12[[#This Row],[Anilha]])</f>
        <v>8</v>
      </c>
      <c r="H1416" s="21">
        <f>VLOOKUP(Tabela12[[#This Row],[Tag Cabo]],BD!A:F,6,0)</f>
        <v>4</v>
      </c>
      <c r="I1416" s="27" t="s">
        <v>1707</v>
      </c>
      <c r="J1416" s="27" t="s">
        <v>1706</v>
      </c>
    </row>
    <row r="1417" spans="1:10" x14ac:dyDescent="0.25">
      <c r="A1417" s="21" t="s">
        <v>980</v>
      </c>
      <c r="B1417" s="391" t="str">
        <f>VLOOKUP(Tabela12[[#This Row],[Painel]],Tabela13[],2,0)</f>
        <v>8HV</v>
      </c>
      <c r="C1417" s="391" t="s">
        <v>1578</v>
      </c>
      <c r="D1417" s="21" t="s">
        <v>1716</v>
      </c>
      <c r="E1417" s="21">
        <v>80</v>
      </c>
      <c r="F1417" s="27" t="str">
        <f>Tabela12[[#This Row],[Régua]]&amp;" ("&amp;Tabela12[[#This Row],[Born]]&amp;")"</f>
        <v>BNC (80)</v>
      </c>
      <c r="G1417" s="27">
        <f>LEN(Tabela12[[#This Row],[Anilha]])</f>
        <v>8</v>
      </c>
      <c r="H1417" s="21">
        <f>VLOOKUP(Tabela12[[#This Row],[Tag Cabo]],BD!A:F,6,0)</f>
        <v>4</v>
      </c>
      <c r="I1417" s="27" t="s">
        <v>1707</v>
      </c>
      <c r="J1417" s="27" t="s">
        <v>1706</v>
      </c>
    </row>
    <row r="1418" spans="1:10" x14ac:dyDescent="0.25">
      <c r="A1418" s="21" t="s">
        <v>980</v>
      </c>
      <c r="B1418" s="391" t="str">
        <f>VLOOKUP(Tabela12[[#This Row],[Painel]],Tabela13[],2,0)</f>
        <v>8HV</v>
      </c>
      <c r="C1418" s="391" t="s">
        <v>1578</v>
      </c>
      <c r="D1418" s="21" t="s">
        <v>1716</v>
      </c>
      <c r="E1418" s="21">
        <v>81</v>
      </c>
      <c r="F1418" s="27" t="str">
        <f>Tabela12[[#This Row],[Régua]]&amp;" ("&amp;Tabela12[[#This Row],[Born]]&amp;")"</f>
        <v>BNC (81)</v>
      </c>
      <c r="G1418" s="27">
        <f>LEN(Tabela12[[#This Row],[Anilha]])</f>
        <v>8</v>
      </c>
      <c r="H1418" s="21">
        <f>VLOOKUP(Tabela12[[#This Row],[Tag Cabo]],BD!A:F,6,0)</f>
        <v>4</v>
      </c>
      <c r="I1418" s="27" t="s">
        <v>1707</v>
      </c>
      <c r="J1418" s="27" t="s">
        <v>1706</v>
      </c>
    </row>
    <row r="1419" spans="1:10" x14ac:dyDescent="0.25">
      <c r="A1419" s="21" t="s">
        <v>980</v>
      </c>
      <c r="B1419" s="391" t="str">
        <f>VLOOKUP(Tabela12[[#This Row],[Painel]],Tabela13[],2,0)</f>
        <v>8HV</v>
      </c>
      <c r="C1419" s="391" t="s">
        <v>1578</v>
      </c>
      <c r="D1419" s="21" t="s">
        <v>1716</v>
      </c>
      <c r="E1419" s="21">
        <v>83</v>
      </c>
      <c r="F1419" s="27" t="str">
        <f>Tabela12[[#This Row],[Régua]]&amp;" ("&amp;Tabela12[[#This Row],[Born]]&amp;")"</f>
        <v>BNC (83)</v>
      </c>
      <c r="G1419" s="27">
        <f>LEN(Tabela12[[#This Row],[Anilha]])</f>
        <v>8</v>
      </c>
      <c r="H1419" s="21">
        <f>VLOOKUP(Tabela12[[#This Row],[Tag Cabo]],BD!A:F,6,0)</f>
        <v>4</v>
      </c>
      <c r="I1419" s="27" t="s">
        <v>1707</v>
      </c>
      <c r="J1419" s="27" t="s">
        <v>1706</v>
      </c>
    </row>
    <row r="1420" spans="1:10" x14ac:dyDescent="0.25">
      <c r="A1420" s="21" t="s">
        <v>980</v>
      </c>
      <c r="B1420" s="391" t="str">
        <f>VLOOKUP(Tabela12[[#This Row],[Painel]],Tabela13[],2,0)</f>
        <v>8HV</v>
      </c>
      <c r="C1420" s="391" t="s">
        <v>1578</v>
      </c>
      <c r="D1420" s="21" t="s">
        <v>1716</v>
      </c>
      <c r="E1420" s="21">
        <v>84</v>
      </c>
      <c r="F1420" s="27" t="str">
        <f>Tabela12[[#This Row],[Régua]]&amp;" ("&amp;Tabela12[[#This Row],[Born]]&amp;")"</f>
        <v>BNC (84)</v>
      </c>
      <c r="G1420" s="27">
        <f>LEN(Tabela12[[#This Row],[Anilha]])</f>
        <v>8</v>
      </c>
      <c r="H1420" s="21">
        <f>VLOOKUP(Tabela12[[#This Row],[Tag Cabo]],BD!A:F,6,0)</f>
        <v>4</v>
      </c>
      <c r="I1420" s="27" t="s">
        <v>1707</v>
      </c>
      <c r="J1420" s="27" t="s">
        <v>1706</v>
      </c>
    </row>
    <row r="1421" spans="1:10" x14ac:dyDescent="0.25">
      <c r="A1421" s="21" t="s">
        <v>980</v>
      </c>
      <c r="B1421" s="391" t="str">
        <f>VLOOKUP(Tabela12[[#This Row],[Painel]],Tabela13[],2,0)</f>
        <v>8HV</v>
      </c>
      <c r="C1421" s="391" t="s">
        <v>1578</v>
      </c>
      <c r="D1421" s="21" t="s">
        <v>1716</v>
      </c>
      <c r="E1421" s="21">
        <v>85</v>
      </c>
      <c r="F1421" s="27" t="str">
        <f>Tabela12[[#This Row],[Régua]]&amp;" ("&amp;Tabela12[[#This Row],[Born]]&amp;")"</f>
        <v>BNC (85)</v>
      </c>
      <c r="G1421" s="27">
        <f>LEN(Tabela12[[#This Row],[Anilha]])</f>
        <v>8</v>
      </c>
      <c r="H1421" s="21">
        <f>VLOOKUP(Tabela12[[#This Row],[Tag Cabo]],BD!A:F,6,0)</f>
        <v>4</v>
      </c>
      <c r="I1421" s="27" t="s">
        <v>1707</v>
      </c>
      <c r="J1421" s="27" t="s">
        <v>1706</v>
      </c>
    </row>
    <row r="1422" spans="1:10" x14ac:dyDescent="0.25">
      <c r="A1422" s="21" t="s">
        <v>980</v>
      </c>
      <c r="B1422" s="391" t="str">
        <f>VLOOKUP(Tabela12[[#This Row],[Painel]],Tabela13[],2,0)</f>
        <v>8HV</v>
      </c>
      <c r="C1422" s="391" t="s">
        <v>1578</v>
      </c>
      <c r="D1422" s="21" t="s">
        <v>1716</v>
      </c>
      <c r="E1422" s="21">
        <v>87</v>
      </c>
      <c r="F1422" s="27" t="str">
        <f>Tabela12[[#This Row],[Régua]]&amp;" ("&amp;Tabela12[[#This Row],[Born]]&amp;")"</f>
        <v>BNC (87)</v>
      </c>
      <c r="G1422" s="27">
        <f>LEN(Tabela12[[#This Row],[Anilha]])</f>
        <v>8</v>
      </c>
      <c r="H1422" s="21">
        <f>VLOOKUP(Tabela12[[#This Row],[Tag Cabo]],BD!A:F,6,0)</f>
        <v>4</v>
      </c>
      <c r="I1422" s="27" t="s">
        <v>1707</v>
      </c>
      <c r="J1422" s="27" t="s">
        <v>1706</v>
      </c>
    </row>
    <row r="1423" spans="1:10" x14ac:dyDescent="0.25">
      <c r="A1423" s="21" t="s">
        <v>980</v>
      </c>
      <c r="B1423" s="391" t="str">
        <f>VLOOKUP(Tabela12[[#This Row],[Painel]],Tabela13[],2,0)</f>
        <v>8HV</v>
      </c>
      <c r="C1423" s="391" t="s">
        <v>1578</v>
      </c>
      <c r="D1423" s="21" t="s">
        <v>1716</v>
      </c>
      <c r="E1423" s="21">
        <v>88</v>
      </c>
      <c r="F1423" s="27" t="str">
        <f>Tabela12[[#This Row],[Régua]]&amp;" ("&amp;Tabela12[[#This Row],[Born]]&amp;")"</f>
        <v>BNC (88)</v>
      </c>
      <c r="G1423" s="27">
        <f>LEN(Tabela12[[#This Row],[Anilha]])</f>
        <v>8</v>
      </c>
      <c r="H1423" s="21">
        <f>VLOOKUP(Tabela12[[#This Row],[Tag Cabo]],BD!A:F,6,0)</f>
        <v>4</v>
      </c>
      <c r="I1423" s="27" t="s">
        <v>1707</v>
      </c>
      <c r="J1423" s="27" t="s">
        <v>1706</v>
      </c>
    </row>
    <row r="1424" spans="1:10" x14ac:dyDescent="0.25">
      <c r="A1424" s="21" t="s">
        <v>980</v>
      </c>
      <c r="B1424" s="391" t="str">
        <f>VLOOKUP(Tabela12[[#This Row],[Painel]],Tabela13[],2,0)</f>
        <v>8HV</v>
      </c>
      <c r="C1424" s="391" t="s">
        <v>1578</v>
      </c>
      <c r="D1424" s="21" t="s">
        <v>1716</v>
      </c>
      <c r="E1424" s="21">
        <v>89</v>
      </c>
      <c r="F1424" s="27" t="str">
        <f>Tabela12[[#This Row],[Régua]]&amp;" ("&amp;Tabela12[[#This Row],[Born]]&amp;")"</f>
        <v>BNC (89)</v>
      </c>
      <c r="G1424" s="27">
        <f>LEN(Tabela12[[#This Row],[Anilha]])</f>
        <v>8</v>
      </c>
      <c r="H1424" s="21">
        <f>VLOOKUP(Tabela12[[#This Row],[Tag Cabo]],BD!A:F,6,0)</f>
        <v>4</v>
      </c>
      <c r="I1424" s="27" t="s">
        <v>1707</v>
      </c>
      <c r="J1424" s="27" t="s">
        <v>1706</v>
      </c>
    </row>
    <row r="1425" spans="1:10" x14ac:dyDescent="0.25">
      <c r="A1425" s="21" t="s">
        <v>980</v>
      </c>
      <c r="B1425" s="391" t="str">
        <f>VLOOKUP(Tabela12[[#This Row],[Painel]],Tabela13[],2,0)</f>
        <v>8HV</v>
      </c>
      <c r="C1425" s="391" t="s">
        <v>1578</v>
      </c>
      <c r="D1425" s="21" t="s">
        <v>1716</v>
      </c>
      <c r="E1425" s="21">
        <v>91</v>
      </c>
      <c r="F1425" s="27" t="str">
        <f>Tabela12[[#This Row],[Régua]]&amp;" ("&amp;Tabela12[[#This Row],[Born]]&amp;")"</f>
        <v>BNC (91)</v>
      </c>
      <c r="G1425" s="27">
        <f>LEN(Tabela12[[#This Row],[Anilha]])</f>
        <v>8</v>
      </c>
      <c r="H1425" s="21">
        <f>VLOOKUP(Tabela12[[#This Row],[Tag Cabo]],BD!A:F,6,0)</f>
        <v>4</v>
      </c>
      <c r="I1425" s="27" t="s">
        <v>1707</v>
      </c>
      <c r="J1425" s="27" t="s">
        <v>1706</v>
      </c>
    </row>
    <row r="1426" spans="1:10" x14ac:dyDescent="0.25">
      <c r="A1426" s="21" t="s">
        <v>980</v>
      </c>
      <c r="B1426" s="391" t="str">
        <f>VLOOKUP(Tabela12[[#This Row],[Painel]],Tabela13[],2,0)</f>
        <v>8HV</v>
      </c>
      <c r="C1426" s="391" t="s">
        <v>1578</v>
      </c>
      <c r="D1426" s="21" t="s">
        <v>1716</v>
      </c>
      <c r="E1426" s="21">
        <v>92</v>
      </c>
      <c r="F1426" s="27" t="str">
        <f>Tabela12[[#This Row],[Régua]]&amp;" ("&amp;Tabela12[[#This Row],[Born]]&amp;")"</f>
        <v>BNC (92)</v>
      </c>
      <c r="G1426" s="27">
        <f>LEN(Tabela12[[#This Row],[Anilha]])</f>
        <v>8</v>
      </c>
      <c r="H1426" s="21">
        <f>VLOOKUP(Tabela12[[#This Row],[Tag Cabo]],BD!A:F,6,0)</f>
        <v>4</v>
      </c>
      <c r="I1426" s="27" t="s">
        <v>1707</v>
      </c>
      <c r="J1426" s="27" t="s">
        <v>1706</v>
      </c>
    </row>
    <row r="1427" spans="1:10" x14ac:dyDescent="0.25">
      <c r="A1427" s="21" t="s">
        <v>980</v>
      </c>
      <c r="B1427" s="391" t="str">
        <f>VLOOKUP(Tabela12[[#This Row],[Painel]],Tabela13[],2,0)</f>
        <v>8HV</v>
      </c>
      <c r="C1427" s="391" t="s">
        <v>1578</v>
      </c>
      <c r="D1427" s="21" t="s">
        <v>1716</v>
      </c>
      <c r="E1427" s="21">
        <v>93</v>
      </c>
      <c r="F1427" s="27" t="str">
        <f>Tabela12[[#This Row],[Régua]]&amp;" ("&amp;Tabela12[[#This Row],[Born]]&amp;")"</f>
        <v>BNC (93)</v>
      </c>
      <c r="G1427" s="27">
        <f>LEN(Tabela12[[#This Row],[Anilha]])</f>
        <v>8</v>
      </c>
      <c r="H1427" s="21">
        <f>VLOOKUP(Tabela12[[#This Row],[Tag Cabo]],BD!A:F,6,0)</f>
        <v>4</v>
      </c>
      <c r="I1427" s="27" t="s">
        <v>1707</v>
      </c>
      <c r="J1427" s="27" t="s">
        <v>1706</v>
      </c>
    </row>
    <row r="1428" spans="1:10" x14ac:dyDescent="0.25">
      <c r="A1428" s="21" t="s">
        <v>980</v>
      </c>
      <c r="B1428" s="391" t="str">
        <f>VLOOKUP(Tabela12[[#This Row],[Painel]],Tabela13[],2,0)</f>
        <v>CCSE</v>
      </c>
      <c r="C1428" s="391" t="s">
        <v>1571</v>
      </c>
      <c r="D1428" s="21" t="s">
        <v>1927</v>
      </c>
      <c r="E1428" s="21">
        <v>12</v>
      </c>
      <c r="F1428" s="27" t="str">
        <f>Tabela12[[#This Row],[Régua]]&amp;" ("&amp;Tabela12[[#This Row],[Born]]&amp;")"</f>
        <v>XS1 (12)</v>
      </c>
      <c r="G1428" s="27">
        <f>LEN(Tabela12[[#This Row],[Anilha]])</f>
        <v>8</v>
      </c>
      <c r="H1428" s="21">
        <f>VLOOKUP(Tabela12[[#This Row],[Tag Cabo]],BD!A:F,6,0)</f>
        <v>4</v>
      </c>
      <c r="I1428" s="27" t="s">
        <v>1707</v>
      </c>
      <c r="J1428" s="27" t="s">
        <v>1706</v>
      </c>
    </row>
    <row r="1429" spans="1:10" x14ac:dyDescent="0.25">
      <c r="A1429" s="21" t="s">
        <v>980</v>
      </c>
      <c r="B1429" s="391" t="str">
        <f>VLOOKUP(Tabela12[[#This Row],[Painel]],Tabela13[],2,0)</f>
        <v>CCSE</v>
      </c>
      <c r="C1429" s="391" t="s">
        <v>1571</v>
      </c>
      <c r="D1429" s="21" t="s">
        <v>1927</v>
      </c>
      <c r="E1429" s="21">
        <v>13</v>
      </c>
      <c r="F1429" s="27" t="str">
        <f>Tabela12[[#This Row],[Régua]]&amp;" ("&amp;Tabela12[[#This Row],[Born]]&amp;")"</f>
        <v>XS1 (13)</v>
      </c>
      <c r="G1429" s="27">
        <f>LEN(Tabela12[[#This Row],[Anilha]])</f>
        <v>8</v>
      </c>
      <c r="H1429" s="21">
        <f>VLOOKUP(Tabela12[[#This Row],[Tag Cabo]],BD!A:F,6,0)</f>
        <v>4</v>
      </c>
      <c r="I1429" s="27" t="s">
        <v>1707</v>
      </c>
      <c r="J1429" s="27" t="s">
        <v>1706</v>
      </c>
    </row>
    <row r="1430" spans="1:10" x14ac:dyDescent="0.25">
      <c r="A1430" s="21" t="s">
        <v>980</v>
      </c>
      <c r="B1430" s="391" t="str">
        <f>VLOOKUP(Tabela12[[#This Row],[Painel]],Tabela13[],2,0)</f>
        <v>CCSE</v>
      </c>
      <c r="C1430" s="391" t="s">
        <v>1571</v>
      </c>
      <c r="D1430" s="21" t="s">
        <v>1927</v>
      </c>
      <c r="E1430" s="21">
        <v>14</v>
      </c>
      <c r="F1430" s="27" t="str">
        <f>Tabela12[[#This Row],[Régua]]&amp;" ("&amp;Tabela12[[#This Row],[Born]]&amp;")"</f>
        <v>XS1 (14)</v>
      </c>
      <c r="G1430" s="27">
        <f>LEN(Tabela12[[#This Row],[Anilha]])</f>
        <v>8</v>
      </c>
      <c r="H1430" s="21">
        <f>VLOOKUP(Tabela12[[#This Row],[Tag Cabo]],BD!A:F,6,0)</f>
        <v>4</v>
      </c>
      <c r="I1430" s="27" t="s">
        <v>1707</v>
      </c>
      <c r="J1430" s="27" t="s">
        <v>1706</v>
      </c>
    </row>
    <row r="1431" spans="1:10" x14ac:dyDescent="0.25">
      <c r="A1431" s="21" t="s">
        <v>980</v>
      </c>
      <c r="B1431" s="391" t="str">
        <f>VLOOKUP(Tabela12[[#This Row],[Painel]],Tabela13[],2,0)</f>
        <v>CCSE</v>
      </c>
      <c r="C1431" s="391" t="s">
        <v>1571</v>
      </c>
      <c r="D1431" s="21" t="s">
        <v>1927</v>
      </c>
      <c r="E1431" s="21">
        <v>15</v>
      </c>
      <c r="F1431" s="27" t="str">
        <f>Tabela12[[#This Row],[Régua]]&amp;" ("&amp;Tabela12[[#This Row],[Born]]&amp;")"</f>
        <v>XS1 (15)</v>
      </c>
      <c r="G1431" s="27">
        <f>LEN(Tabela12[[#This Row],[Anilha]])</f>
        <v>8</v>
      </c>
      <c r="H1431" s="21">
        <f>VLOOKUP(Tabela12[[#This Row],[Tag Cabo]],BD!A:F,6,0)</f>
        <v>4</v>
      </c>
      <c r="I1431" s="27" t="s">
        <v>1707</v>
      </c>
      <c r="J1431" s="27" t="s">
        <v>1706</v>
      </c>
    </row>
    <row r="1432" spans="1:10" x14ac:dyDescent="0.25">
      <c r="A1432" s="21" t="s">
        <v>980</v>
      </c>
      <c r="B1432" s="391" t="str">
        <f>VLOOKUP(Tabela12[[#This Row],[Painel]],Tabela13[],2,0)</f>
        <v>CCSE</v>
      </c>
      <c r="C1432" s="391" t="s">
        <v>1571</v>
      </c>
      <c r="D1432" s="21" t="s">
        <v>1927</v>
      </c>
      <c r="E1432" s="21">
        <v>16</v>
      </c>
      <c r="F1432" s="27" t="str">
        <f>Tabela12[[#This Row],[Régua]]&amp;" ("&amp;Tabela12[[#This Row],[Born]]&amp;")"</f>
        <v>XS1 (16)</v>
      </c>
      <c r="G1432" s="27">
        <f>LEN(Tabela12[[#This Row],[Anilha]])</f>
        <v>8</v>
      </c>
      <c r="H1432" s="21">
        <f>VLOOKUP(Tabela12[[#This Row],[Tag Cabo]],BD!A:F,6,0)</f>
        <v>4</v>
      </c>
      <c r="I1432" s="27" t="s">
        <v>1707</v>
      </c>
      <c r="J1432" s="27" t="s">
        <v>1706</v>
      </c>
    </row>
    <row r="1433" spans="1:10" x14ac:dyDescent="0.25">
      <c r="A1433" s="21" t="s">
        <v>980</v>
      </c>
      <c r="B1433" s="391" t="str">
        <f>VLOOKUP(Tabela12[[#This Row],[Painel]],Tabela13[],2,0)</f>
        <v>CCSE</v>
      </c>
      <c r="C1433" s="391" t="s">
        <v>1571</v>
      </c>
      <c r="D1433" s="21" t="s">
        <v>1927</v>
      </c>
      <c r="E1433" s="21">
        <v>17</v>
      </c>
      <c r="F1433" s="27" t="str">
        <f>Tabela12[[#This Row],[Régua]]&amp;" ("&amp;Tabela12[[#This Row],[Born]]&amp;")"</f>
        <v>XS1 (17)</v>
      </c>
      <c r="G1433" s="27">
        <f>LEN(Tabela12[[#This Row],[Anilha]])</f>
        <v>8</v>
      </c>
      <c r="H1433" s="21">
        <f>VLOOKUP(Tabela12[[#This Row],[Tag Cabo]],BD!A:F,6,0)</f>
        <v>4</v>
      </c>
      <c r="I1433" s="27" t="s">
        <v>1707</v>
      </c>
      <c r="J1433" s="27" t="s">
        <v>1706</v>
      </c>
    </row>
    <row r="1434" spans="1:10" x14ac:dyDescent="0.25">
      <c r="A1434" s="21" t="s">
        <v>980</v>
      </c>
      <c r="B1434" s="391" t="str">
        <f>VLOOKUP(Tabela12[[#This Row],[Painel]],Tabela13[],2,0)</f>
        <v>CCSE</v>
      </c>
      <c r="C1434" s="391" t="s">
        <v>1571</v>
      </c>
      <c r="D1434" s="21" t="s">
        <v>1927</v>
      </c>
      <c r="E1434" s="21">
        <v>18</v>
      </c>
      <c r="F1434" s="27" t="str">
        <f>Tabela12[[#This Row],[Régua]]&amp;" ("&amp;Tabela12[[#This Row],[Born]]&amp;")"</f>
        <v>XS1 (18)</v>
      </c>
      <c r="G1434" s="27">
        <f>LEN(Tabela12[[#This Row],[Anilha]])</f>
        <v>8</v>
      </c>
      <c r="H1434" s="21">
        <f>VLOOKUP(Tabela12[[#This Row],[Tag Cabo]],BD!A:F,6,0)</f>
        <v>4</v>
      </c>
      <c r="I1434" s="27" t="s">
        <v>1707</v>
      </c>
      <c r="J1434" s="27" t="s">
        <v>1706</v>
      </c>
    </row>
    <row r="1435" spans="1:10" x14ac:dyDescent="0.25">
      <c r="A1435" s="21" t="s">
        <v>980</v>
      </c>
      <c r="B1435" s="391" t="str">
        <f>VLOOKUP(Tabela12[[#This Row],[Painel]],Tabela13[],2,0)</f>
        <v>CCSE</v>
      </c>
      <c r="C1435" s="391" t="s">
        <v>1571</v>
      </c>
      <c r="D1435" s="21" t="s">
        <v>1927</v>
      </c>
      <c r="E1435" s="21">
        <v>19</v>
      </c>
      <c r="F1435" s="27" t="str">
        <f>Tabela12[[#This Row],[Régua]]&amp;" ("&amp;Tabela12[[#This Row],[Born]]&amp;")"</f>
        <v>XS1 (19)</v>
      </c>
      <c r="G1435" s="27">
        <f>LEN(Tabela12[[#This Row],[Anilha]])</f>
        <v>8</v>
      </c>
      <c r="H1435" s="21">
        <f>VLOOKUP(Tabela12[[#This Row],[Tag Cabo]],BD!A:F,6,0)</f>
        <v>4</v>
      </c>
      <c r="I1435" s="27" t="s">
        <v>1707</v>
      </c>
      <c r="J1435" s="27" t="s">
        <v>1706</v>
      </c>
    </row>
    <row r="1436" spans="1:10" x14ac:dyDescent="0.25">
      <c r="A1436" s="21" t="s">
        <v>980</v>
      </c>
      <c r="B1436" s="391" t="str">
        <f>VLOOKUP(Tabela12[[#This Row],[Painel]],Tabela13[],2,0)</f>
        <v>CCSE</v>
      </c>
      <c r="C1436" s="391" t="s">
        <v>1571</v>
      </c>
      <c r="D1436" s="21" t="s">
        <v>1927</v>
      </c>
      <c r="E1436" s="21">
        <v>20</v>
      </c>
      <c r="F1436" s="27" t="str">
        <f>Tabela12[[#This Row],[Régua]]&amp;" ("&amp;Tabela12[[#This Row],[Born]]&amp;")"</f>
        <v>XS1 (20)</v>
      </c>
      <c r="G1436" s="27">
        <f>LEN(Tabela12[[#This Row],[Anilha]])</f>
        <v>8</v>
      </c>
      <c r="H1436" s="21">
        <f>VLOOKUP(Tabela12[[#This Row],[Tag Cabo]],BD!A:F,6,0)</f>
        <v>4</v>
      </c>
      <c r="I1436" s="27" t="s">
        <v>1707</v>
      </c>
      <c r="J1436" s="27" t="s">
        <v>1706</v>
      </c>
    </row>
    <row r="1437" spans="1:10" x14ac:dyDescent="0.25">
      <c r="A1437" s="21" t="s">
        <v>980</v>
      </c>
      <c r="B1437" s="391" t="str">
        <f>VLOOKUP(Tabela12[[#This Row],[Painel]],Tabela13[],2,0)</f>
        <v>CCSE</v>
      </c>
      <c r="C1437" s="391" t="s">
        <v>1571</v>
      </c>
      <c r="D1437" s="21" t="s">
        <v>1927</v>
      </c>
      <c r="E1437" s="21">
        <v>21</v>
      </c>
      <c r="F1437" s="27" t="str">
        <f>Tabela12[[#This Row],[Régua]]&amp;" ("&amp;Tabela12[[#This Row],[Born]]&amp;")"</f>
        <v>XS1 (21)</v>
      </c>
      <c r="G1437" s="27">
        <f>LEN(Tabela12[[#This Row],[Anilha]])</f>
        <v>8</v>
      </c>
      <c r="H1437" s="21">
        <f>VLOOKUP(Tabela12[[#This Row],[Tag Cabo]],BD!A:F,6,0)</f>
        <v>4</v>
      </c>
      <c r="I1437" s="27" t="s">
        <v>1707</v>
      </c>
      <c r="J1437" s="27" t="s">
        <v>1706</v>
      </c>
    </row>
    <row r="1438" spans="1:10" x14ac:dyDescent="0.25">
      <c r="A1438" s="21" t="s">
        <v>980</v>
      </c>
      <c r="B1438" s="391" t="str">
        <f>VLOOKUP(Tabela12[[#This Row],[Painel]],Tabela13[],2,0)</f>
        <v>CCSE</v>
      </c>
      <c r="C1438" s="391" t="s">
        <v>1571</v>
      </c>
      <c r="D1438" s="21" t="s">
        <v>1927</v>
      </c>
      <c r="E1438" s="21">
        <v>22</v>
      </c>
      <c r="F1438" s="27" t="str">
        <f>Tabela12[[#This Row],[Régua]]&amp;" ("&amp;Tabela12[[#This Row],[Born]]&amp;")"</f>
        <v>XS1 (22)</v>
      </c>
      <c r="G1438" s="27">
        <f>LEN(Tabela12[[#This Row],[Anilha]])</f>
        <v>8</v>
      </c>
      <c r="H1438" s="21">
        <f>VLOOKUP(Tabela12[[#This Row],[Tag Cabo]],BD!A:F,6,0)</f>
        <v>4</v>
      </c>
      <c r="I1438" s="27" t="s">
        <v>1707</v>
      </c>
      <c r="J1438" s="27" t="s">
        <v>1706</v>
      </c>
    </row>
    <row r="1439" spans="1:10" x14ac:dyDescent="0.25">
      <c r="A1439" s="21" t="s">
        <v>969</v>
      </c>
      <c r="B1439" s="391" t="str">
        <f>VLOOKUP(Tabela12[[#This Row],[Painel]],Tabela13[],2,0)</f>
        <v>8HV</v>
      </c>
      <c r="C1439" s="391" t="s">
        <v>1578</v>
      </c>
      <c r="D1439" s="21" t="s">
        <v>1716</v>
      </c>
      <c r="E1439" s="21">
        <v>146</v>
      </c>
      <c r="F1439" s="27" t="str">
        <f>Tabela12[[#This Row],[Régua]]&amp;" ("&amp;Tabela12[[#This Row],[Born]]&amp;")"</f>
        <v>BNC (146)</v>
      </c>
      <c r="G1439" s="27">
        <f>LEN(Tabela12[[#This Row],[Anilha]])</f>
        <v>9</v>
      </c>
      <c r="H1439" s="21">
        <f>VLOOKUP(Tabela12[[#This Row],[Tag Cabo]],BD!A:F,6,0)</f>
        <v>4</v>
      </c>
      <c r="I1439" s="27" t="s">
        <v>1707</v>
      </c>
      <c r="J1439" s="27" t="s">
        <v>1706</v>
      </c>
    </row>
    <row r="1440" spans="1:10" x14ac:dyDescent="0.25">
      <c r="A1440" s="21" t="s">
        <v>969</v>
      </c>
      <c r="B1440" s="391" t="str">
        <f>VLOOKUP(Tabela12[[#This Row],[Painel]],Tabela13[],2,0)</f>
        <v>8HV</v>
      </c>
      <c r="C1440" s="391" t="s">
        <v>1578</v>
      </c>
      <c r="D1440" s="21" t="s">
        <v>1716</v>
      </c>
      <c r="E1440" s="21">
        <v>147</v>
      </c>
      <c r="F1440" s="27" t="str">
        <f>Tabela12[[#This Row],[Régua]]&amp;" ("&amp;Tabela12[[#This Row],[Born]]&amp;")"</f>
        <v>BNC (147)</v>
      </c>
      <c r="G1440" s="27">
        <f>LEN(Tabela12[[#This Row],[Anilha]])</f>
        <v>9</v>
      </c>
      <c r="H1440" s="21">
        <f>VLOOKUP(Tabela12[[#This Row],[Tag Cabo]],BD!A:F,6,0)</f>
        <v>4</v>
      </c>
      <c r="I1440" s="27" t="s">
        <v>1707</v>
      </c>
      <c r="J1440" s="27" t="s">
        <v>1706</v>
      </c>
    </row>
    <row r="1441" spans="1:10" x14ac:dyDescent="0.25">
      <c r="A1441" s="21" t="s">
        <v>969</v>
      </c>
      <c r="B1441" s="391" t="str">
        <f>VLOOKUP(Tabela12[[#This Row],[Painel]],Tabela13[],2,0)</f>
        <v>8HV</v>
      </c>
      <c r="C1441" s="391" t="s">
        <v>1578</v>
      </c>
      <c r="D1441" s="21" t="s">
        <v>1716</v>
      </c>
      <c r="E1441" s="21">
        <v>148</v>
      </c>
      <c r="F1441" s="27" t="str">
        <f>Tabela12[[#This Row],[Régua]]&amp;" ("&amp;Tabela12[[#This Row],[Born]]&amp;")"</f>
        <v>BNC (148)</v>
      </c>
      <c r="G1441" s="27">
        <f>LEN(Tabela12[[#This Row],[Anilha]])</f>
        <v>9</v>
      </c>
      <c r="H1441" s="21">
        <f>VLOOKUP(Tabela12[[#This Row],[Tag Cabo]],BD!A:F,6,0)</f>
        <v>4</v>
      </c>
      <c r="I1441" s="27" t="s">
        <v>1707</v>
      </c>
      <c r="J1441" s="27" t="s">
        <v>1706</v>
      </c>
    </row>
    <row r="1442" spans="1:10" x14ac:dyDescent="0.25">
      <c r="A1442" s="21" t="s">
        <v>969</v>
      </c>
      <c r="B1442" s="391" t="str">
        <f>VLOOKUP(Tabela12[[#This Row],[Painel]],Tabela13[],2,0)</f>
        <v>8HV</v>
      </c>
      <c r="C1442" s="391" t="s">
        <v>1578</v>
      </c>
      <c r="D1442" s="21" t="s">
        <v>1716</v>
      </c>
      <c r="E1442" s="21">
        <v>149</v>
      </c>
      <c r="F1442" s="27" t="str">
        <f>Tabela12[[#This Row],[Régua]]&amp;" ("&amp;Tabela12[[#This Row],[Born]]&amp;")"</f>
        <v>BNC (149)</v>
      </c>
      <c r="G1442" s="27">
        <f>LEN(Tabela12[[#This Row],[Anilha]])</f>
        <v>9</v>
      </c>
      <c r="H1442" s="21">
        <f>VLOOKUP(Tabela12[[#This Row],[Tag Cabo]],BD!A:F,6,0)</f>
        <v>4</v>
      </c>
      <c r="I1442" s="27" t="s">
        <v>1707</v>
      </c>
      <c r="J1442" s="27" t="s">
        <v>1706</v>
      </c>
    </row>
    <row r="1443" spans="1:10" x14ac:dyDescent="0.25">
      <c r="A1443" s="21" t="s">
        <v>969</v>
      </c>
      <c r="B1443" s="391" t="str">
        <f>VLOOKUP(Tabela12[[#This Row],[Painel]],Tabela13[],2,0)</f>
        <v>8HV</v>
      </c>
      <c r="C1443" s="391" t="s">
        <v>1578</v>
      </c>
      <c r="D1443" s="21" t="s">
        <v>1716</v>
      </c>
      <c r="E1443" s="21">
        <v>150</v>
      </c>
      <c r="F1443" s="27" t="str">
        <f>Tabela12[[#This Row],[Régua]]&amp;" ("&amp;Tabela12[[#This Row],[Born]]&amp;")"</f>
        <v>BNC (150)</v>
      </c>
      <c r="G1443" s="27">
        <f>LEN(Tabela12[[#This Row],[Anilha]])</f>
        <v>9</v>
      </c>
      <c r="H1443" s="21">
        <f>VLOOKUP(Tabela12[[#This Row],[Tag Cabo]],BD!A:F,6,0)</f>
        <v>4</v>
      </c>
      <c r="I1443" s="27" t="s">
        <v>1707</v>
      </c>
      <c r="J1443" s="27" t="s">
        <v>1706</v>
      </c>
    </row>
    <row r="1444" spans="1:10" x14ac:dyDescent="0.25">
      <c r="A1444" s="21" t="s">
        <v>969</v>
      </c>
      <c r="B1444" s="391" t="str">
        <f>VLOOKUP(Tabela12[[#This Row],[Painel]],Tabela13[],2,0)</f>
        <v>8HV</v>
      </c>
      <c r="C1444" s="391" t="s">
        <v>1578</v>
      </c>
      <c r="D1444" s="21" t="s">
        <v>1716</v>
      </c>
      <c r="E1444" s="21">
        <v>151</v>
      </c>
      <c r="F1444" s="27" t="str">
        <f>Tabela12[[#This Row],[Régua]]&amp;" ("&amp;Tabela12[[#This Row],[Born]]&amp;")"</f>
        <v>BNC (151)</v>
      </c>
      <c r="G1444" s="27">
        <f>LEN(Tabela12[[#This Row],[Anilha]])</f>
        <v>9</v>
      </c>
      <c r="H1444" s="21">
        <f>VLOOKUP(Tabela12[[#This Row],[Tag Cabo]],BD!A:F,6,0)</f>
        <v>4</v>
      </c>
      <c r="I1444" s="27" t="s">
        <v>1707</v>
      </c>
      <c r="J1444" s="27" t="s">
        <v>1706</v>
      </c>
    </row>
    <row r="1445" spans="1:10" x14ac:dyDescent="0.25">
      <c r="A1445" s="21" t="s">
        <v>969</v>
      </c>
      <c r="B1445" s="391" t="str">
        <f>VLOOKUP(Tabela12[[#This Row],[Painel]],Tabela13[],2,0)</f>
        <v>8HV</v>
      </c>
      <c r="C1445" s="391" t="s">
        <v>1578</v>
      </c>
      <c r="D1445" s="21" t="s">
        <v>1716</v>
      </c>
      <c r="E1445" s="21">
        <v>152</v>
      </c>
      <c r="F1445" s="27" t="str">
        <f>Tabela12[[#This Row],[Régua]]&amp;" ("&amp;Tabela12[[#This Row],[Born]]&amp;")"</f>
        <v>BNC (152)</v>
      </c>
      <c r="G1445" s="27">
        <f>LEN(Tabela12[[#This Row],[Anilha]])</f>
        <v>9</v>
      </c>
      <c r="H1445" s="21">
        <f>VLOOKUP(Tabela12[[#This Row],[Tag Cabo]],BD!A:F,6,0)</f>
        <v>4</v>
      </c>
      <c r="I1445" s="27" t="s">
        <v>1707</v>
      </c>
      <c r="J1445" s="27" t="s">
        <v>1706</v>
      </c>
    </row>
    <row r="1446" spans="1:10" x14ac:dyDescent="0.25">
      <c r="A1446" s="21" t="s">
        <v>969</v>
      </c>
      <c r="B1446" s="391" t="str">
        <f>VLOOKUP(Tabela12[[#This Row],[Painel]],Tabela13[],2,0)</f>
        <v>8HV</v>
      </c>
      <c r="C1446" s="391" t="s">
        <v>1578</v>
      </c>
      <c r="D1446" s="21" t="s">
        <v>1716</v>
      </c>
      <c r="E1446" s="21">
        <v>153</v>
      </c>
      <c r="F1446" s="27" t="str">
        <f>Tabela12[[#This Row],[Régua]]&amp;" ("&amp;Tabela12[[#This Row],[Born]]&amp;")"</f>
        <v>BNC (153)</v>
      </c>
      <c r="G1446" s="27">
        <f>LEN(Tabela12[[#This Row],[Anilha]])</f>
        <v>9</v>
      </c>
      <c r="H1446" s="21">
        <f>VLOOKUP(Tabela12[[#This Row],[Tag Cabo]],BD!A:F,6,0)</f>
        <v>4</v>
      </c>
      <c r="I1446" s="27" t="s">
        <v>1707</v>
      </c>
      <c r="J1446" s="27" t="s">
        <v>1706</v>
      </c>
    </row>
    <row r="1447" spans="1:10" x14ac:dyDescent="0.25">
      <c r="A1447" s="21" t="s">
        <v>969</v>
      </c>
      <c r="B1447" s="391" t="str">
        <f>VLOOKUP(Tabela12[[#This Row],[Painel]],Tabela13[],2,0)</f>
        <v>8HV</v>
      </c>
      <c r="C1447" s="391" t="s">
        <v>1578</v>
      </c>
      <c r="D1447" s="21" t="s">
        <v>1716</v>
      </c>
      <c r="E1447" s="21">
        <v>154</v>
      </c>
      <c r="F1447" s="27" t="str">
        <f>Tabela12[[#This Row],[Régua]]&amp;" ("&amp;Tabela12[[#This Row],[Born]]&amp;")"</f>
        <v>BNC (154)</v>
      </c>
      <c r="G1447" s="27">
        <f>LEN(Tabela12[[#This Row],[Anilha]])</f>
        <v>9</v>
      </c>
      <c r="H1447" s="21">
        <f>VLOOKUP(Tabela12[[#This Row],[Tag Cabo]],BD!A:F,6,0)</f>
        <v>4</v>
      </c>
      <c r="I1447" s="27" t="s">
        <v>1707</v>
      </c>
      <c r="J1447" s="27" t="s">
        <v>1706</v>
      </c>
    </row>
    <row r="1448" spans="1:10" x14ac:dyDescent="0.25">
      <c r="A1448" s="21" t="s">
        <v>969</v>
      </c>
      <c r="B1448" s="391" t="str">
        <f>VLOOKUP(Tabela12[[#This Row],[Painel]],Tabela13[],2,0)</f>
        <v>8HV</v>
      </c>
      <c r="C1448" s="391" t="s">
        <v>1578</v>
      </c>
      <c r="D1448" s="21" t="s">
        <v>1716</v>
      </c>
      <c r="E1448" s="21">
        <v>155</v>
      </c>
      <c r="F1448" s="27" t="str">
        <f>Tabela12[[#This Row],[Régua]]&amp;" ("&amp;Tabela12[[#This Row],[Born]]&amp;")"</f>
        <v>BNC (155)</v>
      </c>
      <c r="G1448" s="27">
        <f>LEN(Tabela12[[#This Row],[Anilha]])</f>
        <v>9</v>
      </c>
      <c r="H1448" s="21">
        <f>VLOOKUP(Tabela12[[#This Row],[Tag Cabo]],BD!A:F,6,0)</f>
        <v>4</v>
      </c>
      <c r="I1448" s="27" t="s">
        <v>1707</v>
      </c>
      <c r="J1448" s="27" t="s">
        <v>1706</v>
      </c>
    </row>
    <row r="1449" spans="1:10" x14ac:dyDescent="0.25">
      <c r="A1449" s="21" t="s">
        <v>969</v>
      </c>
      <c r="B1449" s="391" t="str">
        <f>VLOOKUP(Tabela12[[#This Row],[Painel]],Tabela13[],2,0)</f>
        <v>8HV</v>
      </c>
      <c r="C1449" s="391" t="s">
        <v>1578</v>
      </c>
      <c r="D1449" s="21" t="s">
        <v>1716</v>
      </c>
      <c r="E1449" s="21">
        <v>156</v>
      </c>
      <c r="F1449" s="27" t="str">
        <f>Tabela12[[#This Row],[Régua]]&amp;" ("&amp;Tabela12[[#This Row],[Born]]&amp;")"</f>
        <v>BNC (156)</v>
      </c>
      <c r="G1449" s="27">
        <f>LEN(Tabela12[[#This Row],[Anilha]])</f>
        <v>9</v>
      </c>
      <c r="H1449" s="21">
        <f>VLOOKUP(Tabela12[[#This Row],[Tag Cabo]],BD!A:F,6,0)</f>
        <v>4</v>
      </c>
      <c r="I1449" s="27" t="s">
        <v>1707</v>
      </c>
      <c r="J1449" s="27" t="s">
        <v>1706</v>
      </c>
    </row>
    <row r="1450" spans="1:10" x14ac:dyDescent="0.25">
      <c r="A1450" s="21" t="s">
        <v>969</v>
      </c>
      <c r="B1450" s="391" t="str">
        <f>VLOOKUP(Tabela12[[#This Row],[Painel]],Tabela13[],2,0)</f>
        <v>8HV</v>
      </c>
      <c r="C1450" s="391" t="s">
        <v>1578</v>
      </c>
      <c r="D1450" s="21" t="s">
        <v>1716</v>
      </c>
      <c r="E1450" s="21">
        <v>157</v>
      </c>
      <c r="F1450" s="27" t="str">
        <f>Tabela12[[#This Row],[Régua]]&amp;" ("&amp;Tabela12[[#This Row],[Born]]&amp;")"</f>
        <v>BNC (157)</v>
      </c>
      <c r="G1450" s="27">
        <f>LEN(Tabela12[[#This Row],[Anilha]])</f>
        <v>9</v>
      </c>
      <c r="H1450" s="21">
        <f>VLOOKUP(Tabela12[[#This Row],[Tag Cabo]],BD!A:F,6,0)</f>
        <v>4</v>
      </c>
      <c r="I1450" s="27" t="s">
        <v>1707</v>
      </c>
      <c r="J1450" s="27" t="s">
        <v>1706</v>
      </c>
    </row>
    <row r="1451" spans="1:10" x14ac:dyDescent="0.25">
      <c r="A1451" s="21" t="s">
        <v>969</v>
      </c>
      <c r="B1451" s="391" t="str">
        <f>VLOOKUP(Tabela12[[#This Row],[Painel]],Tabela13[],2,0)</f>
        <v>CCSE</v>
      </c>
      <c r="C1451" s="391" t="s">
        <v>1571</v>
      </c>
      <c r="D1451" s="21" t="s">
        <v>1927</v>
      </c>
      <c r="E1451" s="21">
        <v>31</v>
      </c>
      <c r="F1451" s="27" t="str">
        <f>Tabela12[[#This Row],[Régua]]&amp;" ("&amp;Tabela12[[#This Row],[Born]]&amp;")"</f>
        <v>XS1 (31)</v>
      </c>
      <c r="G1451" s="27">
        <f>LEN(Tabela12[[#This Row],[Anilha]])</f>
        <v>8</v>
      </c>
      <c r="H1451" s="21">
        <f>VLOOKUP(Tabela12[[#This Row],[Tag Cabo]],BD!A:F,6,0)</f>
        <v>4</v>
      </c>
      <c r="I1451" s="27" t="s">
        <v>1707</v>
      </c>
      <c r="J1451" s="27" t="s">
        <v>1706</v>
      </c>
    </row>
    <row r="1452" spans="1:10" x14ac:dyDescent="0.25">
      <c r="A1452" s="21" t="s">
        <v>969</v>
      </c>
      <c r="B1452" s="391" t="str">
        <f>VLOOKUP(Tabela12[[#This Row],[Painel]],Tabela13[],2,0)</f>
        <v>CCSE</v>
      </c>
      <c r="C1452" s="391" t="s">
        <v>1571</v>
      </c>
      <c r="D1452" s="21" t="s">
        <v>1927</v>
      </c>
      <c r="E1452" s="21">
        <v>32</v>
      </c>
      <c r="F1452" s="27" t="str">
        <f>Tabela12[[#This Row],[Régua]]&amp;" ("&amp;Tabela12[[#This Row],[Born]]&amp;")"</f>
        <v>XS1 (32)</v>
      </c>
      <c r="G1452" s="27">
        <f>LEN(Tabela12[[#This Row],[Anilha]])</f>
        <v>8</v>
      </c>
      <c r="H1452" s="21">
        <f>VLOOKUP(Tabela12[[#This Row],[Tag Cabo]],BD!A:F,6,0)</f>
        <v>4</v>
      </c>
      <c r="I1452" s="27" t="s">
        <v>1707</v>
      </c>
      <c r="J1452" s="27" t="s">
        <v>1706</v>
      </c>
    </row>
    <row r="1453" spans="1:10" x14ac:dyDescent="0.25">
      <c r="A1453" s="21" t="s">
        <v>969</v>
      </c>
      <c r="B1453" s="391" t="str">
        <f>VLOOKUP(Tabela12[[#This Row],[Painel]],Tabela13[],2,0)</f>
        <v>CCSE</v>
      </c>
      <c r="C1453" s="391" t="s">
        <v>1571</v>
      </c>
      <c r="D1453" s="21" t="s">
        <v>1927</v>
      </c>
      <c r="E1453" s="21">
        <v>33</v>
      </c>
      <c r="F1453" s="27" t="str">
        <f>Tabela12[[#This Row],[Régua]]&amp;" ("&amp;Tabela12[[#This Row],[Born]]&amp;")"</f>
        <v>XS1 (33)</v>
      </c>
      <c r="G1453" s="27">
        <f>LEN(Tabela12[[#This Row],[Anilha]])</f>
        <v>8</v>
      </c>
      <c r="H1453" s="21">
        <f>VLOOKUP(Tabela12[[#This Row],[Tag Cabo]],BD!A:F,6,0)</f>
        <v>4</v>
      </c>
      <c r="I1453" s="27" t="s">
        <v>1707</v>
      </c>
      <c r="J1453" s="27" t="s">
        <v>1706</v>
      </c>
    </row>
    <row r="1454" spans="1:10" x14ac:dyDescent="0.25">
      <c r="A1454" s="21" t="s">
        <v>969</v>
      </c>
      <c r="B1454" s="391" t="str">
        <f>VLOOKUP(Tabela12[[#This Row],[Painel]],Tabela13[],2,0)</f>
        <v>CCSE</v>
      </c>
      <c r="C1454" s="391" t="s">
        <v>1571</v>
      </c>
      <c r="D1454" s="21" t="s">
        <v>1927</v>
      </c>
      <c r="E1454" s="21">
        <v>34</v>
      </c>
      <c r="F1454" s="27" t="str">
        <f>Tabela12[[#This Row],[Régua]]&amp;" ("&amp;Tabela12[[#This Row],[Born]]&amp;")"</f>
        <v>XS1 (34)</v>
      </c>
      <c r="G1454" s="27">
        <f>LEN(Tabela12[[#This Row],[Anilha]])</f>
        <v>8</v>
      </c>
      <c r="H1454" s="21">
        <f>VLOOKUP(Tabela12[[#This Row],[Tag Cabo]],BD!A:F,6,0)</f>
        <v>4</v>
      </c>
      <c r="I1454" s="27" t="s">
        <v>1707</v>
      </c>
      <c r="J1454" s="27" t="s">
        <v>1706</v>
      </c>
    </row>
    <row r="1455" spans="1:10" x14ac:dyDescent="0.25">
      <c r="A1455" s="21" t="s">
        <v>969</v>
      </c>
      <c r="B1455" s="391" t="str">
        <f>VLOOKUP(Tabela12[[#This Row],[Painel]],Tabela13[],2,0)</f>
        <v>CCSE</v>
      </c>
      <c r="C1455" s="391" t="s">
        <v>1571</v>
      </c>
      <c r="D1455" s="21" t="s">
        <v>1927</v>
      </c>
      <c r="E1455" s="21">
        <v>35</v>
      </c>
      <c r="F1455" s="27" t="str">
        <f>Tabela12[[#This Row],[Régua]]&amp;" ("&amp;Tabela12[[#This Row],[Born]]&amp;")"</f>
        <v>XS1 (35)</v>
      </c>
      <c r="G1455" s="27">
        <f>LEN(Tabela12[[#This Row],[Anilha]])</f>
        <v>8</v>
      </c>
      <c r="H1455" s="21">
        <f>VLOOKUP(Tabela12[[#This Row],[Tag Cabo]],BD!A:F,6,0)</f>
        <v>4</v>
      </c>
      <c r="I1455" s="27" t="s">
        <v>1707</v>
      </c>
      <c r="J1455" s="27" t="s">
        <v>1706</v>
      </c>
    </row>
    <row r="1456" spans="1:10" x14ac:dyDescent="0.25">
      <c r="A1456" s="21" t="s">
        <v>969</v>
      </c>
      <c r="B1456" s="391" t="str">
        <f>VLOOKUP(Tabela12[[#This Row],[Painel]],Tabela13[],2,0)</f>
        <v>CCSE</v>
      </c>
      <c r="C1456" s="391" t="s">
        <v>1571</v>
      </c>
      <c r="D1456" s="21" t="s">
        <v>1927</v>
      </c>
      <c r="E1456" s="21">
        <v>36</v>
      </c>
      <c r="F1456" s="27" t="str">
        <f>Tabela12[[#This Row],[Régua]]&amp;" ("&amp;Tabela12[[#This Row],[Born]]&amp;")"</f>
        <v>XS1 (36)</v>
      </c>
      <c r="G1456" s="27">
        <f>LEN(Tabela12[[#This Row],[Anilha]])</f>
        <v>8</v>
      </c>
      <c r="H1456" s="21">
        <f>VLOOKUP(Tabela12[[#This Row],[Tag Cabo]],BD!A:F,6,0)</f>
        <v>4</v>
      </c>
      <c r="I1456" s="27" t="s">
        <v>1707</v>
      </c>
      <c r="J1456" s="27" t="s">
        <v>1706</v>
      </c>
    </row>
    <row r="1457" spans="1:10" x14ac:dyDescent="0.25">
      <c r="A1457" s="21" t="s">
        <v>969</v>
      </c>
      <c r="B1457" s="391" t="str">
        <f>VLOOKUP(Tabela12[[#This Row],[Painel]],Tabela13[],2,0)</f>
        <v>CCSE</v>
      </c>
      <c r="C1457" s="391" t="s">
        <v>1571</v>
      </c>
      <c r="D1457" s="21" t="s">
        <v>1927</v>
      </c>
      <c r="E1457" s="21">
        <v>37</v>
      </c>
      <c r="F1457" s="27" t="str">
        <f>Tabela12[[#This Row],[Régua]]&amp;" ("&amp;Tabela12[[#This Row],[Born]]&amp;")"</f>
        <v>XS1 (37)</v>
      </c>
      <c r="G1457" s="27">
        <f>LEN(Tabela12[[#This Row],[Anilha]])</f>
        <v>8</v>
      </c>
      <c r="H1457" s="21">
        <f>VLOOKUP(Tabela12[[#This Row],[Tag Cabo]],BD!A:F,6,0)</f>
        <v>4</v>
      </c>
      <c r="I1457" s="27" t="s">
        <v>1707</v>
      </c>
      <c r="J1457" s="27" t="s">
        <v>1706</v>
      </c>
    </row>
    <row r="1458" spans="1:10" x14ac:dyDescent="0.25">
      <c r="A1458" s="21" t="s">
        <v>969</v>
      </c>
      <c r="B1458" s="391" t="str">
        <f>VLOOKUP(Tabela12[[#This Row],[Painel]],Tabela13[],2,0)</f>
        <v>CCSE</v>
      </c>
      <c r="C1458" s="391" t="s">
        <v>1571</v>
      </c>
      <c r="D1458" s="21" t="s">
        <v>1927</v>
      </c>
      <c r="E1458" s="21">
        <v>38</v>
      </c>
      <c r="F1458" s="27" t="str">
        <f>Tabela12[[#This Row],[Régua]]&amp;" ("&amp;Tabela12[[#This Row],[Born]]&amp;")"</f>
        <v>XS1 (38)</v>
      </c>
      <c r="G1458" s="27">
        <f>LEN(Tabela12[[#This Row],[Anilha]])</f>
        <v>8</v>
      </c>
      <c r="H1458" s="21">
        <f>VLOOKUP(Tabela12[[#This Row],[Tag Cabo]],BD!A:F,6,0)</f>
        <v>4</v>
      </c>
      <c r="I1458" s="27" t="s">
        <v>1707</v>
      </c>
      <c r="J1458" s="27" t="s">
        <v>1706</v>
      </c>
    </row>
    <row r="1459" spans="1:10" x14ac:dyDescent="0.25">
      <c r="A1459" s="21" t="s">
        <v>969</v>
      </c>
      <c r="B1459" s="391" t="str">
        <f>VLOOKUP(Tabela12[[#This Row],[Painel]],Tabela13[],2,0)</f>
        <v>CCSE</v>
      </c>
      <c r="C1459" s="391" t="s">
        <v>1571</v>
      </c>
      <c r="D1459" s="21" t="s">
        <v>1927</v>
      </c>
      <c r="E1459" s="21">
        <v>39</v>
      </c>
      <c r="F1459" s="27" t="str">
        <f>Tabela12[[#This Row],[Régua]]&amp;" ("&amp;Tabela12[[#This Row],[Born]]&amp;")"</f>
        <v>XS1 (39)</v>
      </c>
      <c r="G1459" s="27">
        <f>LEN(Tabela12[[#This Row],[Anilha]])</f>
        <v>8</v>
      </c>
      <c r="H1459" s="21">
        <f>VLOOKUP(Tabela12[[#This Row],[Tag Cabo]],BD!A:F,6,0)</f>
        <v>4</v>
      </c>
      <c r="I1459" s="27" t="s">
        <v>1707</v>
      </c>
      <c r="J1459" s="27" t="s">
        <v>1706</v>
      </c>
    </row>
    <row r="1460" spans="1:10" x14ac:dyDescent="0.25">
      <c r="A1460" s="21" t="s">
        <v>969</v>
      </c>
      <c r="B1460" s="391" t="str">
        <f>VLOOKUP(Tabela12[[#This Row],[Painel]],Tabela13[],2,0)</f>
        <v>CCSE</v>
      </c>
      <c r="C1460" s="391" t="s">
        <v>1571</v>
      </c>
      <c r="D1460" s="21" t="s">
        <v>1927</v>
      </c>
      <c r="E1460" s="21">
        <v>40</v>
      </c>
      <c r="F1460" s="27" t="str">
        <f>Tabela12[[#This Row],[Régua]]&amp;" ("&amp;Tabela12[[#This Row],[Born]]&amp;")"</f>
        <v>XS1 (40)</v>
      </c>
      <c r="G1460" s="27">
        <f>LEN(Tabela12[[#This Row],[Anilha]])</f>
        <v>8</v>
      </c>
      <c r="H1460" s="21">
        <f>VLOOKUP(Tabela12[[#This Row],[Tag Cabo]],BD!A:F,6,0)</f>
        <v>4</v>
      </c>
      <c r="I1460" s="27" t="s">
        <v>1707</v>
      </c>
      <c r="J1460" s="27" t="s">
        <v>1706</v>
      </c>
    </row>
    <row r="1461" spans="1:10" x14ac:dyDescent="0.25">
      <c r="A1461" s="21" t="s">
        <v>969</v>
      </c>
      <c r="B1461" s="391" t="str">
        <f>VLOOKUP(Tabela12[[#This Row],[Painel]],Tabela13[],2,0)</f>
        <v>CCSE</v>
      </c>
      <c r="C1461" s="391" t="s">
        <v>1571</v>
      </c>
      <c r="D1461" s="21" t="s">
        <v>1927</v>
      </c>
      <c r="E1461" s="21">
        <v>41</v>
      </c>
      <c r="F1461" s="27" t="str">
        <f>Tabela12[[#This Row],[Régua]]&amp;" ("&amp;Tabela12[[#This Row],[Born]]&amp;")"</f>
        <v>XS1 (41)</v>
      </c>
      <c r="G1461" s="27">
        <f>LEN(Tabela12[[#This Row],[Anilha]])</f>
        <v>8</v>
      </c>
      <c r="H1461" s="21">
        <f>VLOOKUP(Tabela12[[#This Row],[Tag Cabo]],BD!A:F,6,0)</f>
        <v>4</v>
      </c>
      <c r="I1461" s="27" t="s">
        <v>1707</v>
      </c>
      <c r="J1461" s="27" t="s">
        <v>1706</v>
      </c>
    </row>
    <row r="1462" spans="1:10" x14ac:dyDescent="0.25">
      <c r="A1462" s="21" t="s">
        <v>969</v>
      </c>
      <c r="B1462" s="391" t="str">
        <f>VLOOKUP(Tabela12[[#This Row],[Painel]],Tabela13[],2,0)</f>
        <v>CCSE</v>
      </c>
      <c r="C1462" s="391" t="s">
        <v>1571</v>
      </c>
      <c r="D1462" s="21" t="s">
        <v>1927</v>
      </c>
      <c r="E1462" s="21">
        <v>42</v>
      </c>
      <c r="F1462" s="27" t="str">
        <f>Tabela12[[#This Row],[Régua]]&amp;" ("&amp;Tabela12[[#This Row],[Born]]&amp;")"</f>
        <v>XS1 (42)</v>
      </c>
      <c r="G1462" s="27">
        <f>LEN(Tabela12[[#This Row],[Anilha]])</f>
        <v>8</v>
      </c>
      <c r="H1462" s="21">
        <f>VLOOKUP(Tabela12[[#This Row],[Tag Cabo]],BD!A:F,6,0)</f>
        <v>4</v>
      </c>
      <c r="I1462" s="27" t="s">
        <v>1707</v>
      </c>
      <c r="J1462" s="27" t="s">
        <v>1706</v>
      </c>
    </row>
    <row r="1463" spans="1:10" x14ac:dyDescent="0.25">
      <c r="A1463" s="21" t="s">
        <v>977</v>
      </c>
      <c r="B1463" s="391" t="str">
        <f>VLOOKUP(Tabela12[[#This Row],[Painel]],Tabela13[],2,0)</f>
        <v>8HV</v>
      </c>
      <c r="C1463" s="391" t="s">
        <v>1578</v>
      </c>
      <c r="D1463" s="21" t="s">
        <v>1716</v>
      </c>
      <c r="E1463" s="21">
        <v>158</v>
      </c>
      <c r="F1463" s="27" t="str">
        <f>Tabela12[[#This Row],[Régua]]&amp;" ("&amp;Tabela12[[#This Row],[Born]]&amp;")"</f>
        <v>BNC (158)</v>
      </c>
      <c r="G1463" s="27">
        <f>LEN(Tabela12[[#This Row],[Anilha]])</f>
        <v>9</v>
      </c>
      <c r="H1463" s="21">
        <f>VLOOKUP(Tabela12[[#This Row],[Tag Cabo]],BD!A:F,6,0)</f>
        <v>4</v>
      </c>
      <c r="I1463" s="27" t="s">
        <v>1707</v>
      </c>
      <c r="J1463" s="27" t="s">
        <v>1706</v>
      </c>
    </row>
    <row r="1464" spans="1:10" x14ac:dyDescent="0.25">
      <c r="A1464" s="21" t="s">
        <v>977</v>
      </c>
      <c r="B1464" s="391" t="str">
        <f>VLOOKUP(Tabela12[[#This Row],[Painel]],Tabela13[],2,0)</f>
        <v>8HV</v>
      </c>
      <c r="C1464" s="391" t="s">
        <v>1578</v>
      </c>
      <c r="D1464" s="21" t="s">
        <v>1716</v>
      </c>
      <c r="E1464" s="21">
        <v>159</v>
      </c>
      <c r="F1464" s="27" t="str">
        <f>Tabela12[[#This Row],[Régua]]&amp;" ("&amp;Tabela12[[#This Row],[Born]]&amp;")"</f>
        <v>BNC (159)</v>
      </c>
      <c r="G1464" s="27">
        <f>LEN(Tabela12[[#This Row],[Anilha]])</f>
        <v>9</v>
      </c>
      <c r="H1464" s="21">
        <f>VLOOKUP(Tabela12[[#This Row],[Tag Cabo]],BD!A:F,6,0)</f>
        <v>4</v>
      </c>
      <c r="I1464" s="27" t="s">
        <v>1707</v>
      </c>
      <c r="J1464" s="27" t="s">
        <v>1706</v>
      </c>
    </row>
    <row r="1465" spans="1:10" x14ac:dyDescent="0.25">
      <c r="A1465" s="21" t="s">
        <v>977</v>
      </c>
      <c r="B1465" s="391" t="str">
        <f>VLOOKUP(Tabela12[[#This Row],[Painel]],Tabela13[],2,0)</f>
        <v>8HV</v>
      </c>
      <c r="C1465" s="391" t="s">
        <v>1578</v>
      </c>
      <c r="D1465" s="21" t="s">
        <v>1716</v>
      </c>
      <c r="E1465" s="21">
        <v>160</v>
      </c>
      <c r="F1465" s="27" t="str">
        <f>Tabela12[[#This Row],[Régua]]&amp;" ("&amp;Tabela12[[#This Row],[Born]]&amp;")"</f>
        <v>BNC (160)</v>
      </c>
      <c r="G1465" s="27">
        <f>LEN(Tabela12[[#This Row],[Anilha]])</f>
        <v>9</v>
      </c>
      <c r="H1465" s="21">
        <f>VLOOKUP(Tabela12[[#This Row],[Tag Cabo]],BD!A:F,6,0)</f>
        <v>4</v>
      </c>
      <c r="I1465" s="27" t="s">
        <v>1707</v>
      </c>
      <c r="J1465" s="27" t="s">
        <v>1706</v>
      </c>
    </row>
    <row r="1466" spans="1:10" x14ac:dyDescent="0.25">
      <c r="A1466" s="21" t="s">
        <v>977</v>
      </c>
      <c r="B1466" s="391" t="str">
        <f>VLOOKUP(Tabela12[[#This Row],[Painel]],Tabela13[],2,0)</f>
        <v>8HV</v>
      </c>
      <c r="C1466" s="391" t="s">
        <v>1578</v>
      </c>
      <c r="D1466" s="21" t="s">
        <v>1716</v>
      </c>
      <c r="E1466" s="21">
        <v>161</v>
      </c>
      <c r="F1466" s="27" t="str">
        <f>Tabela12[[#This Row],[Régua]]&amp;" ("&amp;Tabela12[[#This Row],[Born]]&amp;")"</f>
        <v>BNC (161)</v>
      </c>
      <c r="G1466" s="27">
        <f>LEN(Tabela12[[#This Row],[Anilha]])</f>
        <v>9</v>
      </c>
      <c r="H1466" s="21">
        <f>VLOOKUP(Tabela12[[#This Row],[Tag Cabo]],BD!A:F,6,0)</f>
        <v>4</v>
      </c>
      <c r="I1466" s="27" t="s">
        <v>1707</v>
      </c>
      <c r="J1466" s="27" t="s">
        <v>1706</v>
      </c>
    </row>
    <row r="1467" spans="1:10" x14ac:dyDescent="0.25">
      <c r="A1467" s="21" t="s">
        <v>977</v>
      </c>
      <c r="B1467" s="391" t="str">
        <f>VLOOKUP(Tabela12[[#This Row],[Painel]],Tabela13[],2,0)</f>
        <v>8HV</v>
      </c>
      <c r="C1467" s="391" t="s">
        <v>1578</v>
      </c>
      <c r="D1467" s="21" t="s">
        <v>1716</v>
      </c>
      <c r="E1467" s="21">
        <v>162</v>
      </c>
      <c r="F1467" s="27" t="str">
        <f>Tabela12[[#This Row],[Régua]]&amp;" ("&amp;Tabela12[[#This Row],[Born]]&amp;")"</f>
        <v>BNC (162)</v>
      </c>
      <c r="G1467" s="27">
        <f>LEN(Tabela12[[#This Row],[Anilha]])</f>
        <v>9</v>
      </c>
      <c r="H1467" s="21">
        <f>VLOOKUP(Tabela12[[#This Row],[Tag Cabo]],BD!A:F,6,0)</f>
        <v>4</v>
      </c>
      <c r="I1467" s="27" t="s">
        <v>1707</v>
      </c>
      <c r="J1467" s="27" t="s">
        <v>1706</v>
      </c>
    </row>
    <row r="1468" spans="1:10" x14ac:dyDescent="0.25">
      <c r="A1468" s="21" t="s">
        <v>977</v>
      </c>
      <c r="B1468" s="391" t="str">
        <f>VLOOKUP(Tabela12[[#This Row],[Painel]],Tabela13[],2,0)</f>
        <v>8HV</v>
      </c>
      <c r="C1468" s="391" t="s">
        <v>1578</v>
      </c>
      <c r="D1468" s="21" t="s">
        <v>1716</v>
      </c>
      <c r="E1468" s="21">
        <v>163</v>
      </c>
      <c r="F1468" s="27" t="str">
        <f>Tabela12[[#This Row],[Régua]]&amp;" ("&amp;Tabela12[[#This Row],[Born]]&amp;")"</f>
        <v>BNC (163)</v>
      </c>
      <c r="G1468" s="27">
        <f>LEN(Tabela12[[#This Row],[Anilha]])</f>
        <v>9</v>
      </c>
      <c r="H1468" s="21">
        <f>VLOOKUP(Tabela12[[#This Row],[Tag Cabo]],BD!A:F,6,0)</f>
        <v>4</v>
      </c>
      <c r="I1468" s="27" t="s">
        <v>1707</v>
      </c>
      <c r="J1468" s="27" t="s">
        <v>1706</v>
      </c>
    </row>
    <row r="1469" spans="1:10" x14ac:dyDescent="0.25">
      <c r="A1469" s="21" t="s">
        <v>977</v>
      </c>
      <c r="B1469" s="391" t="str">
        <f>VLOOKUP(Tabela12[[#This Row],[Painel]],Tabela13[],2,0)</f>
        <v>8HV</v>
      </c>
      <c r="C1469" s="391" t="s">
        <v>1578</v>
      </c>
      <c r="D1469" s="21" t="s">
        <v>1716</v>
      </c>
      <c r="E1469" s="21">
        <v>164</v>
      </c>
      <c r="F1469" s="27" t="str">
        <f>Tabela12[[#This Row],[Régua]]&amp;" ("&amp;Tabela12[[#This Row],[Born]]&amp;")"</f>
        <v>BNC (164)</v>
      </c>
      <c r="G1469" s="27">
        <f>LEN(Tabela12[[#This Row],[Anilha]])</f>
        <v>9</v>
      </c>
      <c r="H1469" s="21">
        <f>VLOOKUP(Tabela12[[#This Row],[Tag Cabo]],BD!A:F,6,0)</f>
        <v>4</v>
      </c>
      <c r="I1469" s="27" t="s">
        <v>1707</v>
      </c>
      <c r="J1469" s="27" t="s">
        <v>1706</v>
      </c>
    </row>
    <row r="1470" spans="1:10" x14ac:dyDescent="0.25">
      <c r="A1470" s="21" t="s">
        <v>977</v>
      </c>
      <c r="B1470" s="391" t="str">
        <f>VLOOKUP(Tabela12[[#This Row],[Painel]],Tabela13[],2,0)</f>
        <v>8HV</v>
      </c>
      <c r="C1470" s="391" t="s">
        <v>1578</v>
      </c>
      <c r="D1470" s="21" t="s">
        <v>1716</v>
      </c>
      <c r="E1470" s="21">
        <v>165</v>
      </c>
      <c r="F1470" s="27" t="str">
        <f>Tabela12[[#This Row],[Régua]]&amp;" ("&amp;Tabela12[[#This Row],[Born]]&amp;")"</f>
        <v>BNC (165)</v>
      </c>
      <c r="G1470" s="27">
        <f>LEN(Tabela12[[#This Row],[Anilha]])</f>
        <v>9</v>
      </c>
      <c r="H1470" s="21">
        <f>VLOOKUP(Tabela12[[#This Row],[Tag Cabo]],BD!A:F,6,0)</f>
        <v>4</v>
      </c>
      <c r="I1470" s="27" t="s">
        <v>1707</v>
      </c>
      <c r="J1470" s="27" t="s">
        <v>1706</v>
      </c>
    </row>
    <row r="1471" spans="1:10" x14ac:dyDescent="0.25">
      <c r="A1471" s="21" t="s">
        <v>977</v>
      </c>
      <c r="B1471" s="391" t="str">
        <f>VLOOKUP(Tabela12[[#This Row],[Painel]],Tabela13[],2,0)</f>
        <v>CCSE</v>
      </c>
      <c r="C1471" s="391" t="s">
        <v>1571</v>
      </c>
      <c r="D1471" s="21" t="s">
        <v>1927</v>
      </c>
      <c r="E1471" s="21">
        <v>23</v>
      </c>
      <c r="F1471" s="27" t="str">
        <f>Tabela12[[#This Row],[Régua]]&amp;" ("&amp;Tabela12[[#This Row],[Born]]&amp;")"</f>
        <v>XS1 (23)</v>
      </c>
      <c r="G1471" s="27">
        <f>LEN(Tabela12[[#This Row],[Anilha]])</f>
        <v>8</v>
      </c>
      <c r="H1471" s="21">
        <f>VLOOKUP(Tabela12[[#This Row],[Tag Cabo]],BD!A:F,6,0)</f>
        <v>4</v>
      </c>
      <c r="I1471" s="27" t="s">
        <v>1707</v>
      </c>
      <c r="J1471" s="27" t="s">
        <v>1706</v>
      </c>
    </row>
    <row r="1472" spans="1:10" x14ac:dyDescent="0.25">
      <c r="A1472" s="21" t="s">
        <v>977</v>
      </c>
      <c r="B1472" s="391" t="str">
        <f>VLOOKUP(Tabela12[[#This Row],[Painel]],Tabela13[],2,0)</f>
        <v>CCSE</v>
      </c>
      <c r="C1472" s="391" t="s">
        <v>1571</v>
      </c>
      <c r="D1472" s="21" t="s">
        <v>1927</v>
      </c>
      <c r="E1472" s="21">
        <v>24</v>
      </c>
      <c r="F1472" s="27" t="str">
        <f>Tabela12[[#This Row],[Régua]]&amp;" ("&amp;Tabela12[[#This Row],[Born]]&amp;")"</f>
        <v>XS1 (24)</v>
      </c>
      <c r="G1472" s="27">
        <f>LEN(Tabela12[[#This Row],[Anilha]])</f>
        <v>8</v>
      </c>
      <c r="H1472" s="21">
        <f>VLOOKUP(Tabela12[[#This Row],[Tag Cabo]],BD!A:F,6,0)</f>
        <v>4</v>
      </c>
      <c r="I1472" s="27" t="s">
        <v>1707</v>
      </c>
      <c r="J1472" s="27" t="s">
        <v>1706</v>
      </c>
    </row>
    <row r="1473" spans="1:10" x14ac:dyDescent="0.25">
      <c r="A1473" s="21" t="s">
        <v>977</v>
      </c>
      <c r="B1473" s="391" t="str">
        <f>VLOOKUP(Tabela12[[#This Row],[Painel]],Tabela13[],2,0)</f>
        <v>CCSE</v>
      </c>
      <c r="C1473" s="391" t="s">
        <v>1571</v>
      </c>
      <c r="D1473" s="21" t="s">
        <v>1927</v>
      </c>
      <c r="E1473" s="21">
        <v>25</v>
      </c>
      <c r="F1473" s="27" t="str">
        <f>Tabela12[[#This Row],[Régua]]&amp;" ("&amp;Tabela12[[#This Row],[Born]]&amp;")"</f>
        <v>XS1 (25)</v>
      </c>
      <c r="G1473" s="27">
        <f>LEN(Tabela12[[#This Row],[Anilha]])</f>
        <v>8</v>
      </c>
      <c r="H1473" s="21">
        <f>VLOOKUP(Tabela12[[#This Row],[Tag Cabo]],BD!A:F,6,0)</f>
        <v>4</v>
      </c>
      <c r="I1473" s="27" t="s">
        <v>1707</v>
      </c>
      <c r="J1473" s="27" t="s">
        <v>1706</v>
      </c>
    </row>
    <row r="1474" spans="1:10" x14ac:dyDescent="0.25">
      <c r="A1474" s="21" t="s">
        <v>977</v>
      </c>
      <c r="B1474" s="391" t="str">
        <f>VLOOKUP(Tabela12[[#This Row],[Painel]],Tabela13[],2,0)</f>
        <v>CCSE</v>
      </c>
      <c r="C1474" s="391" t="s">
        <v>1571</v>
      </c>
      <c r="D1474" s="21" t="s">
        <v>1927</v>
      </c>
      <c r="E1474" s="21">
        <v>26</v>
      </c>
      <c r="F1474" s="27" t="str">
        <f>Tabela12[[#This Row],[Régua]]&amp;" ("&amp;Tabela12[[#This Row],[Born]]&amp;")"</f>
        <v>XS1 (26)</v>
      </c>
      <c r="G1474" s="27">
        <f>LEN(Tabela12[[#This Row],[Anilha]])</f>
        <v>8</v>
      </c>
      <c r="H1474" s="21">
        <f>VLOOKUP(Tabela12[[#This Row],[Tag Cabo]],BD!A:F,6,0)</f>
        <v>4</v>
      </c>
      <c r="I1474" s="27" t="s">
        <v>1707</v>
      </c>
      <c r="J1474" s="27" t="s">
        <v>1706</v>
      </c>
    </row>
    <row r="1475" spans="1:10" x14ac:dyDescent="0.25">
      <c r="A1475" s="21" t="s">
        <v>977</v>
      </c>
      <c r="B1475" s="391" t="str">
        <f>VLOOKUP(Tabela12[[#This Row],[Painel]],Tabela13[],2,0)</f>
        <v>CCSE</v>
      </c>
      <c r="C1475" s="391" t="s">
        <v>1571</v>
      </c>
      <c r="D1475" s="21" t="s">
        <v>1927</v>
      </c>
      <c r="E1475" s="21">
        <v>27</v>
      </c>
      <c r="F1475" s="27" t="str">
        <f>Tabela12[[#This Row],[Régua]]&amp;" ("&amp;Tabela12[[#This Row],[Born]]&amp;")"</f>
        <v>XS1 (27)</v>
      </c>
      <c r="G1475" s="27">
        <f>LEN(Tabela12[[#This Row],[Anilha]])</f>
        <v>8</v>
      </c>
      <c r="H1475" s="21">
        <f>VLOOKUP(Tabela12[[#This Row],[Tag Cabo]],BD!A:F,6,0)</f>
        <v>4</v>
      </c>
      <c r="I1475" s="27" t="s">
        <v>1707</v>
      </c>
      <c r="J1475" s="27" t="s">
        <v>1706</v>
      </c>
    </row>
    <row r="1476" spans="1:10" x14ac:dyDescent="0.25">
      <c r="A1476" s="21" t="s">
        <v>977</v>
      </c>
      <c r="B1476" s="391" t="str">
        <f>VLOOKUP(Tabela12[[#This Row],[Painel]],Tabela13[],2,0)</f>
        <v>CCSE</v>
      </c>
      <c r="C1476" s="391" t="s">
        <v>1571</v>
      </c>
      <c r="D1476" s="21" t="s">
        <v>1927</v>
      </c>
      <c r="E1476" s="21">
        <v>28</v>
      </c>
      <c r="F1476" s="27" t="str">
        <f>Tabela12[[#This Row],[Régua]]&amp;" ("&amp;Tabela12[[#This Row],[Born]]&amp;")"</f>
        <v>XS1 (28)</v>
      </c>
      <c r="G1476" s="27">
        <f>LEN(Tabela12[[#This Row],[Anilha]])</f>
        <v>8</v>
      </c>
      <c r="H1476" s="21">
        <f>VLOOKUP(Tabela12[[#This Row],[Tag Cabo]],BD!A:F,6,0)</f>
        <v>4</v>
      </c>
      <c r="I1476" s="27" t="s">
        <v>1707</v>
      </c>
      <c r="J1476" s="27" t="s">
        <v>1706</v>
      </c>
    </row>
    <row r="1477" spans="1:10" x14ac:dyDescent="0.25">
      <c r="A1477" s="21" t="s">
        <v>977</v>
      </c>
      <c r="B1477" s="391" t="str">
        <f>VLOOKUP(Tabela12[[#This Row],[Painel]],Tabela13[],2,0)</f>
        <v>CCSE</v>
      </c>
      <c r="C1477" s="391" t="s">
        <v>1571</v>
      </c>
      <c r="D1477" s="21" t="s">
        <v>1927</v>
      </c>
      <c r="E1477" s="21">
        <v>29</v>
      </c>
      <c r="F1477" s="27" t="str">
        <f>Tabela12[[#This Row],[Régua]]&amp;" ("&amp;Tabela12[[#This Row],[Born]]&amp;")"</f>
        <v>XS1 (29)</v>
      </c>
      <c r="G1477" s="27">
        <f>LEN(Tabela12[[#This Row],[Anilha]])</f>
        <v>8</v>
      </c>
      <c r="H1477" s="21">
        <f>VLOOKUP(Tabela12[[#This Row],[Tag Cabo]],BD!A:F,6,0)</f>
        <v>4</v>
      </c>
      <c r="I1477" s="27" t="s">
        <v>1707</v>
      </c>
      <c r="J1477" s="27" t="s">
        <v>1706</v>
      </c>
    </row>
    <row r="1478" spans="1:10" x14ac:dyDescent="0.25">
      <c r="A1478" s="21" t="s">
        <v>977</v>
      </c>
      <c r="B1478" s="391" t="str">
        <f>VLOOKUP(Tabela12[[#This Row],[Painel]],Tabela13[],2,0)</f>
        <v>CCSE</v>
      </c>
      <c r="C1478" s="391" t="s">
        <v>1571</v>
      </c>
      <c r="D1478" s="21" t="s">
        <v>1927</v>
      </c>
      <c r="E1478" s="21">
        <v>30</v>
      </c>
      <c r="F1478" s="27" t="str">
        <f>Tabela12[[#This Row],[Régua]]&amp;" ("&amp;Tabela12[[#This Row],[Born]]&amp;")"</f>
        <v>XS1 (30)</v>
      </c>
      <c r="G1478" s="27">
        <f>LEN(Tabela12[[#This Row],[Anilha]])</f>
        <v>8</v>
      </c>
      <c r="H1478" s="21">
        <f>VLOOKUP(Tabela12[[#This Row],[Tag Cabo]],BD!A:F,6,0)</f>
        <v>4</v>
      </c>
      <c r="I1478" s="27" t="s">
        <v>1707</v>
      </c>
      <c r="J1478" s="27" t="s">
        <v>1706</v>
      </c>
    </row>
    <row r="1479" spans="1:10" x14ac:dyDescent="0.25">
      <c r="A1479" s="21" t="s">
        <v>981</v>
      </c>
      <c r="B1479" s="391" t="str">
        <f>VLOOKUP(Tabela12[[#This Row],[Painel]],Tabela13[],2,0)</f>
        <v>8HV</v>
      </c>
      <c r="C1479" s="391" t="s">
        <v>1578</v>
      </c>
      <c r="D1479" s="21" t="s">
        <v>1716</v>
      </c>
      <c r="E1479" s="21">
        <v>166</v>
      </c>
      <c r="F1479" s="27" t="str">
        <f>Tabela12[[#This Row],[Régua]]&amp;" ("&amp;Tabela12[[#This Row],[Born]]&amp;")"</f>
        <v>BNC (166)</v>
      </c>
      <c r="G1479" s="27">
        <f>LEN(Tabela12[[#This Row],[Anilha]])</f>
        <v>9</v>
      </c>
      <c r="H1479" s="21">
        <f>VLOOKUP(Tabela12[[#This Row],[Tag Cabo]],BD!A:F,6,0)</f>
        <v>4</v>
      </c>
      <c r="I1479" s="27" t="s">
        <v>1707</v>
      </c>
      <c r="J1479" s="27" t="s">
        <v>1706</v>
      </c>
    </row>
    <row r="1480" spans="1:10" x14ac:dyDescent="0.25">
      <c r="A1480" s="21" t="s">
        <v>981</v>
      </c>
      <c r="B1480" s="391" t="str">
        <f>VLOOKUP(Tabela12[[#This Row],[Painel]],Tabela13[],2,0)</f>
        <v>8HV</v>
      </c>
      <c r="C1480" s="391" t="s">
        <v>1578</v>
      </c>
      <c r="D1480" s="21" t="s">
        <v>1716</v>
      </c>
      <c r="E1480" s="21">
        <v>167</v>
      </c>
      <c r="F1480" s="27" t="str">
        <f>Tabela12[[#This Row],[Régua]]&amp;" ("&amp;Tabela12[[#This Row],[Born]]&amp;")"</f>
        <v>BNC (167)</v>
      </c>
      <c r="G1480" s="27">
        <f>LEN(Tabela12[[#This Row],[Anilha]])</f>
        <v>9</v>
      </c>
      <c r="H1480" s="21">
        <f>VLOOKUP(Tabela12[[#This Row],[Tag Cabo]],BD!A:F,6,0)</f>
        <v>4</v>
      </c>
      <c r="I1480" s="27" t="s">
        <v>1707</v>
      </c>
      <c r="J1480" s="27" t="s">
        <v>1706</v>
      </c>
    </row>
    <row r="1481" spans="1:10" x14ac:dyDescent="0.25">
      <c r="A1481" s="21" t="s">
        <v>981</v>
      </c>
      <c r="B1481" s="391" t="str">
        <f>VLOOKUP(Tabela12[[#This Row],[Painel]],Tabela13[],2,0)</f>
        <v>8HV</v>
      </c>
      <c r="C1481" s="391" t="s">
        <v>1578</v>
      </c>
      <c r="D1481" s="21" t="s">
        <v>1716</v>
      </c>
      <c r="E1481" s="21">
        <v>168</v>
      </c>
      <c r="F1481" s="27" t="str">
        <f>Tabela12[[#This Row],[Régua]]&amp;" ("&amp;Tabela12[[#This Row],[Born]]&amp;")"</f>
        <v>BNC (168)</v>
      </c>
      <c r="G1481" s="27">
        <f>LEN(Tabela12[[#This Row],[Anilha]])</f>
        <v>9</v>
      </c>
      <c r="H1481" s="21">
        <f>VLOOKUP(Tabela12[[#This Row],[Tag Cabo]],BD!A:F,6,0)</f>
        <v>4</v>
      </c>
      <c r="I1481" s="27" t="s">
        <v>1707</v>
      </c>
      <c r="J1481" s="27" t="s">
        <v>1706</v>
      </c>
    </row>
    <row r="1482" spans="1:10" x14ac:dyDescent="0.25">
      <c r="A1482" s="21" t="s">
        <v>981</v>
      </c>
      <c r="B1482" s="391" t="str">
        <f>VLOOKUP(Tabela12[[#This Row],[Painel]],Tabela13[],2,0)</f>
        <v>8HV</v>
      </c>
      <c r="C1482" s="391" t="s">
        <v>1578</v>
      </c>
      <c r="D1482" s="21" t="s">
        <v>1716</v>
      </c>
      <c r="E1482" s="21">
        <v>169</v>
      </c>
      <c r="F1482" s="27" t="str">
        <f>Tabela12[[#This Row],[Régua]]&amp;" ("&amp;Tabela12[[#This Row],[Born]]&amp;")"</f>
        <v>BNC (169)</v>
      </c>
      <c r="G1482" s="27">
        <f>LEN(Tabela12[[#This Row],[Anilha]])</f>
        <v>9</v>
      </c>
      <c r="H1482" s="21">
        <f>VLOOKUP(Tabela12[[#This Row],[Tag Cabo]],BD!A:F,6,0)</f>
        <v>4</v>
      </c>
      <c r="I1482" s="27" t="s">
        <v>1707</v>
      </c>
      <c r="J1482" s="27" t="s">
        <v>1706</v>
      </c>
    </row>
    <row r="1483" spans="1:10" x14ac:dyDescent="0.25">
      <c r="A1483" s="21" t="s">
        <v>981</v>
      </c>
      <c r="B1483" s="391" t="str">
        <f>VLOOKUP(Tabela12[[#This Row],[Painel]],Tabela13[],2,0)</f>
        <v>8HV</v>
      </c>
      <c r="C1483" s="391" t="s">
        <v>1578</v>
      </c>
      <c r="D1483" s="21" t="s">
        <v>1716</v>
      </c>
      <c r="E1483" s="21">
        <v>170</v>
      </c>
      <c r="F1483" s="27" t="str">
        <f>Tabela12[[#This Row],[Régua]]&amp;" ("&amp;Tabela12[[#This Row],[Born]]&amp;")"</f>
        <v>BNC (170)</v>
      </c>
      <c r="G1483" s="27">
        <f>LEN(Tabela12[[#This Row],[Anilha]])</f>
        <v>9</v>
      </c>
      <c r="H1483" s="21">
        <f>VLOOKUP(Tabela12[[#This Row],[Tag Cabo]],BD!A:F,6,0)</f>
        <v>4</v>
      </c>
      <c r="I1483" s="27" t="s">
        <v>1707</v>
      </c>
      <c r="J1483" s="27" t="s">
        <v>1706</v>
      </c>
    </row>
    <row r="1484" spans="1:10" x14ac:dyDescent="0.25">
      <c r="A1484" s="21" t="s">
        <v>981</v>
      </c>
      <c r="B1484" s="391" t="str">
        <f>VLOOKUP(Tabela12[[#This Row],[Painel]],Tabela13[],2,0)</f>
        <v>8HV</v>
      </c>
      <c r="C1484" s="391" t="s">
        <v>1578</v>
      </c>
      <c r="D1484" s="21" t="s">
        <v>1716</v>
      </c>
      <c r="E1484" s="21">
        <v>171</v>
      </c>
      <c r="F1484" s="27" t="str">
        <f>Tabela12[[#This Row],[Régua]]&amp;" ("&amp;Tabela12[[#This Row],[Born]]&amp;")"</f>
        <v>BNC (171)</v>
      </c>
      <c r="G1484" s="27">
        <f>LEN(Tabela12[[#This Row],[Anilha]])</f>
        <v>9</v>
      </c>
      <c r="H1484" s="21">
        <f>VLOOKUP(Tabela12[[#This Row],[Tag Cabo]],BD!A:F,6,0)</f>
        <v>4</v>
      </c>
      <c r="I1484" s="27" t="s">
        <v>1707</v>
      </c>
      <c r="J1484" s="27" t="s">
        <v>1706</v>
      </c>
    </row>
    <row r="1485" spans="1:10" x14ac:dyDescent="0.25">
      <c r="A1485" s="21" t="s">
        <v>981</v>
      </c>
      <c r="B1485" s="391" t="str">
        <f>VLOOKUP(Tabela12[[#This Row],[Painel]],Tabela13[],2,0)</f>
        <v>CCSE</v>
      </c>
      <c r="C1485" s="391" t="s">
        <v>1571</v>
      </c>
      <c r="D1485" s="21" t="s">
        <v>1927</v>
      </c>
      <c r="E1485" s="21">
        <v>43</v>
      </c>
      <c r="F1485" s="27" t="str">
        <f>Tabela12[[#This Row],[Régua]]&amp;" ("&amp;Tabela12[[#This Row],[Born]]&amp;")"</f>
        <v>XS1 (43)</v>
      </c>
      <c r="G1485" s="27">
        <f>LEN(Tabela12[[#This Row],[Anilha]])</f>
        <v>8</v>
      </c>
      <c r="H1485" s="21">
        <f>VLOOKUP(Tabela12[[#This Row],[Tag Cabo]],BD!A:F,6,0)</f>
        <v>4</v>
      </c>
      <c r="I1485" s="27" t="s">
        <v>1707</v>
      </c>
      <c r="J1485" s="27" t="s">
        <v>1706</v>
      </c>
    </row>
    <row r="1486" spans="1:10" x14ac:dyDescent="0.25">
      <c r="A1486" s="21" t="s">
        <v>981</v>
      </c>
      <c r="B1486" s="391" t="str">
        <f>VLOOKUP(Tabela12[[#This Row],[Painel]],Tabela13[],2,0)</f>
        <v>CCSE</v>
      </c>
      <c r="C1486" s="391" t="s">
        <v>1571</v>
      </c>
      <c r="D1486" s="21" t="s">
        <v>1927</v>
      </c>
      <c r="E1486" s="21">
        <v>44</v>
      </c>
      <c r="F1486" s="27" t="str">
        <f>Tabela12[[#This Row],[Régua]]&amp;" ("&amp;Tabela12[[#This Row],[Born]]&amp;")"</f>
        <v>XS1 (44)</v>
      </c>
      <c r="G1486" s="27">
        <f>LEN(Tabela12[[#This Row],[Anilha]])</f>
        <v>8</v>
      </c>
      <c r="H1486" s="21">
        <f>VLOOKUP(Tabela12[[#This Row],[Tag Cabo]],BD!A:F,6,0)</f>
        <v>4</v>
      </c>
      <c r="I1486" s="27" t="s">
        <v>1707</v>
      </c>
      <c r="J1486" s="27" t="s">
        <v>1706</v>
      </c>
    </row>
    <row r="1487" spans="1:10" x14ac:dyDescent="0.25">
      <c r="A1487" s="21" t="s">
        <v>981</v>
      </c>
      <c r="B1487" s="391" t="str">
        <f>VLOOKUP(Tabela12[[#This Row],[Painel]],Tabela13[],2,0)</f>
        <v>CCSE</v>
      </c>
      <c r="C1487" s="391" t="s">
        <v>1571</v>
      </c>
      <c r="D1487" s="21" t="s">
        <v>1927</v>
      </c>
      <c r="E1487" s="21">
        <v>45</v>
      </c>
      <c r="F1487" s="27" t="str">
        <f>Tabela12[[#This Row],[Régua]]&amp;" ("&amp;Tabela12[[#This Row],[Born]]&amp;")"</f>
        <v>XS1 (45)</v>
      </c>
      <c r="G1487" s="27">
        <f>LEN(Tabela12[[#This Row],[Anilha]])</f>
        <v>8</v>
      </c>
      <c r="H1487" s="21">
        <f>VLOOKUP(Tabela12[[#This Row],[Tag Cabo]],BD!A:F,6,0)</f>
        <v>4</v>
      </c>
      <c r="I1487" s="27" t="s">
        <v>1707</v>
      </c>
      <c r="J1487" s="27" t="s">
        <v>1706</v>
      </c>
    </row>
    <row r="1488" spans="1:10" x14ac:dyDescent="0.25">
      <c r="A1488" s="21" t="s">
        <v>981</v>
      </c>
      <c r="B1488" s="391" t="str">
        <f>VLOOKUP(Tabela12[[#This Row],[Painel]],Tabela13[],2,0)</f>
        <v>CCSE</v>
      </c>
      <c r="C1488" s="391" t="s">
        <v>1571</v>
      </c>
      <c r="D1488" s="21" t="s">
        <v>1927</v>
      </c>
      <c r="E1488" s="21">
        <v>46</v>
      </c>
      <c r="F1488" s="27" t="str">
        <f>Tabela12[[#This Row],[Régua]]&amp;" ("&amp;Tabela12[[#This Row],[Born]]&amp;")"</f>
        <v>XS1 (46)</v>
      </c>
      <c r="G1488" s="27">
        <f>LEN(Tabela12[[#This Row],[Anilha]])</f>
        <v>8</v>
      </c>
      <c r="H1488" s="21">
        <f>VLOOKUP(Tabela12[[#This Row],[Tag Cabo]],BD!A:F,6,0)</f>
        <v>4</v>
      </c>
      <c r="I1488" s="27" t="s">
        <v>1707</v>
      </c>
      <c r="J1488" s="27" t="s">
        <v>1706</v>
      </c>
    </row>
    <row r="1489" spans="1:10" x14ac:dyDescent="0.25">
      <c r="A1489" s="21" t="s">
        <v>981</v>
      </c>
      <c r="B1489" s="391" t="str">
        <f>VLOOKUP(Tabela12[[#This Row],[Painel]],Tabela13[],2,0)</f>
        <v>CCSE</v>
      </c>
      <c r="C1489" s="391" t="s">
        <v>1571</v>
      </c>
      <c r="D1489" s="21" t="s">
        <v>1927</v>
      </c>
      <c r="E1489" s="21">
        <v>47</v>
      </c>
      <c r="F1489" s="27" t="str">
        <f>Tabela12[[#This Row],[Régua]]&amp;" ("&amp;Tabela12[[#This Row],[Born]]&amp;")"</f>
        <v>XS1 (47)</v>
      </c>
      <c r="G1489" s="27">
        <f>LEN(Tabela12[[#This Row],[Anilha]])</f>
        <v>8</v>
      </c>
      <c r="H1489" s="21">
        <f>VLOOKUP(Tabela12[[#This Row],[Tag Cabo]],BD!A:F,6,0)</f>
        <v>4</v>
      </c>
      <c r="I1489" s="27" t="s">
        <v>1707</v>
      </c>
      <c r="J1489" s="27" t="s">
        <v>1706</v>
      </c>
    </row>
    <row r="1490" spans="1:10" x14ac:dyDescent="0.25">
      <c r="A1490" s="21" t="s">
        <v>981</v>
      </c>
      <c r="B1490" s="391" t="str">
        <f>VLOOKUP(Tabela12[[#This Row],[Painel]],Tabela13[],2,0)</f>
        <v>CCSE</v>
      </c>
      <c r="C1490" s="391" t="s">
        <v>1571</v>
      </c>
      <c r="D1490" s="21" t="s">
        <v>1927</v>
      </c>
      <c r="E1490" s="21">
        <v>48</v>
      </c>
      <c r="F1490" s="27" t="str">
        <f>Tabela12[[#This Row],[Régua]]&amp;" ("&amp;Tabela12[[#This Row],[Born]]&amp;")"</f>
        <v>XS1 (48)</v>
      </c>
      <c r="G1490" s="27">
        <f>LEN(Tabela12[[#This Row],[Anilha]])</f>
        <v>8</v>
      </c>
      <c r="H1490" s="21">
        <f>VLOOKUP(Tabela12[[#This Row],[Tag Cabo]],BD!A:F,6,0)</f>
        <v>4</v>
      </c>
      <c r="I1490" s="27" t="s">
        <v>1707</v>
      </c>
      <c r="J1490" s="27" t="s">
        <v>1706</v>
      </c>
    </row>
    <row r="1491" spans="1:10" x14ac:dyDescent="0.25">
      <c r="A1491" s="21" t="s">
        <v>982</v>
      </c>
      <c r="B1491" s="391" t="str">
        <f>VLOOKUP(Tabela12[[#This Row],[Painel]],Tabela13[],2,0)</f>
        <v>8HV</v>
      </c>
      <c r="C1491" s="391" t="s">
        <v>1578</v>
      </c>
      <c r="D1491" s="21" t="s">
        <v>1716</v>
      </c>
      <c r="E1491" s="21">
        <v>172</v>
      </c>
      <c r="F1491" s="27" t="str">
        <f>Tabela12[[#This Row],[Régua]]&amp;" ("&amp;Tabela12[[#This Row],[Born]]&amp;")"</f>
        <v>BNC (172)</v>
      </c>
      <c r="G1491" s="27">
        <f>LEN(Tabela12[[#This Row],[Anilha]])</f>
        <v>9</v>
      </c>
      <c r="H1491" s="21">
        <f>VLOOKUP(Tabela12[[#This Row],[Tag Cabo]],BD!A:F,6,0)</f>
        <v>4</v>
      </c>
      <c r="I1491" s="27" t="s">
        <v>1707</v>
      </c>
      <c r="J1491" s="27" t="s">
        <v>1706</v>
      </c>
    </row>
    <row r="1492" spans="1:10" x14ac:dyDescent="0.25">
      <c r="A1492" s="21" t="s">
        <v>982</v>
      </c>
      <c r="B1492" s="391" t="str">
        <f>VLOOKUP(Tabela12[[#This Row],[Painel]],Tabela13[],2,0)</f>
        <v>8HV</v>
      </c>
      <c r="C1492" s="391" t="s">
        <v>1578</v>
      </c>
      <c r="D1492" s="21" t="s">
        <v>1716</v>
      </c>
      <c r="E1492" s="21">
        <v>173</v>
      </c>
      <c r="F1492" s="27" t="str">
        <f>Tabela12[[#This Row],[Régua]]&amp;" ("&amp;Tabela12[[#This Row],[Born]]&amp;")"</f>
        <v>BNC (173)</v>
      </c>
      <c r="G1492" s="27">
        <f>LEN(Tabela12[[#This Row],[Anilha]])</f>
        <v>9</v>
      </c>
      <c r="H1492" s="21">
        <f>VLOOKUP(Tabela12[[#This Row],[Tag Cabo]],BD!A:F,6,0)</f>
        <v>4</v>
      </c>
      <c r="I1492" s="27" t="s">
        <v>1707</v>
      </c>
      <c r="J1492" s="27" t="s">
        <v>1706</v>
      </c>
    </row>
    <row r="1493" spans="1:10" x14ac:dyDescent="0.25">
      <c r="A1493" s="21" t="s">
        <v>982</v>
      </c>
      <c r="B1493" s="391" t="str">
        <f>VLOOKUP(Tabela12[[#This Row],[Painel]],Tabela13[],2,0)</f>
        <v>8HV</v>
      </c>
      <c r="C1493" s="391" t="s">
        <v>1578</v>
      </c>
      <c r="D1493" s="21" t="s">
        <v>1716</v>
      </c>
      <c r="E1493" s="21">
        <v>174</v>
      </c>
      <c r="F1493" s="27" t="str">
        <f>Tabela12[[#This Row],[Régua]]&amp;" ("&amp;Tabela12[[#This Row],[Born]]&amp;")"</f>
        <v>BNC (174)</v>
      </c>
      <c r="G1493" s="27">
        <f>LEN(Tabela12[[#This Row],[Anilha]])</f>
        <v>9</v>
      </c>
      <c r="H1493" s="21">
        <f>VLOOKUP(Tabela12[[#This Row],[Tag Cabo]],BD!A:F,6,0)</f>
        <v>4</v>
      </c>
      <c r="I1493" s="27" t="s">
        <v>1707</v>
      </c>
      <c r="J1493" s="27" t="s">
        <v>1706</v>
      </c>
    </row>
    <row r="1494" spans="1:10" x14ac:dyDescent="0.25">
      <c r="A1494" s="21" t="s">
        <v>982</v>
      </c>
      <c r="B1494" s="391" t="str">
        <f>VLOOKUP(Tabela12[[#This Row],[Painel]],Tabela13[],2,0)</f>
        <v>8HV</v>
      </c>
      <c r="C1494" s="391" t="s">
        <v>1578</v>
      </c>
      <c r="D1494" s="21" t="s">
        <v>1716</v>
      </c>
      <c r="E1494" s="21">
        <v>175</v>
      </c>
      <c r="F1494" s="27" t="str">
        <f>Tabela12[[#This Row],[Régua]]&amp;" ("&amp;Tabela12[[#This Row],[Born]]&amp;")"</f>
        <v>BNC (175)</v>
      </c>
      <c r="G1494" s="27">
        <f>LEN(Tabela12[[#This Row],[Anilha]])</f>
        <v>9</v>
      </c>
      <c r="H1494" s="21">
        <f>VLOOKUP(Tabela12[[#This Row],[Tag Cabo]],BD!A:F,6,0)</f>
        <v>4</v>
      </c>
      <c r="I1494" s="27" t="s">
        <v>1707</v>
      </c>
      <c r="J1494" s="27" t="s">
        <v>1706</v>
      </c>
    </row>
    <row r="1495" spans="1:10" x14ac:dyDescent="0.25">
      <c r="A1495" s="21" t="s">
        <v>982</v>
      </c>
      <c r="B1495" s="391" t="str">
        <f>VLOOKUP(Tabela12[[#This Row],[Painel]],Tabela13[],2,0)</f>
        <v>8HV</v>
      </c>
      <c r="C1495" s="391" t="s">
        <v>1578</v>
      </c>
      <c r="D1495" s="21" t="s">
        <v>1716</v>
      </c>
      <c r="E1495" s="21">
        <v>176</v>
      </c>
      <c r="F1495" s="27" t="str">
        <f>Tabela12[[#This Row],[Régua]]&amp;" ("&amp;Tabela12[[#This Row],[Born]]&amp;")"</f>
        <v>BNC (176)</v>
      </c>
      <c r="G1495" s="27">
        <f>LEN(Tabela12[[#This Row],[Anilha]])</f>
        <v>9</v>
      </c>
      <c r="H1495" s="21">
        <f>VLOOKUP(Tabela12[[#This Row],[Tag Cabo]],BD!A:F,6,0)</f>
        <v>4</v>
      </c>
      <c r="I1495" s="27" t="s">
        <v>1707</v>
      </c>
      <c r="J1495" s="27" t="s">
        <v>1706</v>
      </c>
    </row>
    <row r="1496" spans="1:10" x14ac:dyDescent="0.25">
      <c r="A1496" s="21" t="s">
        <v>982</v>
      </c>
      <c r="B1496" s="391" t="str">
        <f>VLOOKUP(Tabela12[[#This Row],[Painel]],Tabela13[],2,0)</f>
        <v>8HV</v>
      </c>
      <c r="C1496" s="391" t="s">
        <v>1578</v>
      </c>
      <c r="D1496" s="21" t="s">
        <v>1716</v>
      </c>
      <c r="E1496" s="21">
        <v>177</v>
      </c>
      <c r="F1496" s="27" t="str">
        <f>Tabela12[[#This Row],[Régua]]&amp;" ("&amp;Tabela12[[#This Row],[Born]]&amp;")"</f>
        <v>BNC (177)</v>
      </c>
      <c r="G1496" s="27">
        <f>LEN(Tabela12[[#This Row],[Anilha]])</f>
        <v>9</v>
      </c>
      <c r="H1496" s="21">
        <f>VLOOKUP(Tabela12[[#This Row],[Tag Cabo]],BD!A:F,6,0)</f>
        <v>4</v>
      </c>
      <c r="I1496" s="27" t="s">
        <v>1707</v>
      </c>
      <c r="J1496" s="27" t="s">
        <v>1706</v>
      </c>
    </row>
    <row r="1497" spans="1:10" x14ac:dyDescent="0.25">
      <c r="A1497" s="21" t="s">
        <v>982</v>
      </c>
      <c r="B1497" s="391" t="str">
        <f>VLOOKUP(Tabela12[[#This Row],[Painel]],Tabela13[],2,0)</f>
        <v>8HV</v>
      </c>
      <c r="C1497" s="391" t="s">
        <v>1578</v>
      </c>
      <c r="D1497" s="21" t="s">
        <v>1716</v>
      </c>
      <c r="E1497" s="21">
        <v>178</v>
      </c>
      <c r="F1497" s="27" t="str">
        <f>Tabela12[[#This Row],[Régua]]&amp;" ("&amp;Tabela12[[#This Row],[Born]]&amp;")"</f>
        <v>BNC (178)</v>
      </c>
      <c r="G1497" s="27">
        <f>LEN(Tabela12[[#This Row],[Anilha]])</f>
        <v>9</v>
      </c>
      <c r="H1497" s="21">
        <f>VLOOKUP(Tabela12[[#This Row],[Tag Cabo]],BD!A:F,6,0)</f>
        <v>4</v>
      </c>
      <c r="I1497" s="27" t="s">
        <v>1707</v>
      </c>
      <c r="J1497" s="27" t="s">
        <v>1706</v>
      </c>
    </row>
    <row r="1498" spans="1:10" x14ac:dyDescent="0.25">
      <c r="A1498" s="21" t="s">
        <v>982</v>
      </c>
      <c r="B1498" s="391" t="str">
        <f>VLOOKUP(Tabela12[[#This Row],[Painel]],Tabela13[],2,0)</f>
        <v>8HV</v>
      </c>
      <c r="C1498" s="391" t="s">
        <v>1578</v>
      </c>
      <c r="D1498" s="21" t="s">
        <v>1716</v>
      </c>
      <c r="E1498" s="21">
        <v>179</v>
      </c>
      <c r="F1498" s="27" t="str">
        <f>Tabela12[[#This Row],[Régua]]&amp;" ("&amp;Tabela12[[#This Row],[Born]]&amp;")"</f>
        <v>BNC (179)</v>
      </c>
      <c r="G1498" s="27">
        <f>LEN(Tabela12[[#This Row],[Anilha]])</f>
        <v>9</v>
      </c>
      <c r="H1498" s="21">
        <f>VLOOKUP(Tabela12[[#This Row],[Tag Cabo]],BD!A:F,6,0)</f>
        <v>4</v>
      </c>
      <c r="I1498" s="27" t="s">
        <v>1707</v>
      </c>
      <c r="J1498" s="27" t="s">
        <v>1706</v>
      </c>
    </row>
    <row r="1499" spans="1:10" x14ac:dyDescent="0.25">
      <c r="A1499" s="21" t="s">
        <v>982</v>
      </c>
      <c r="B1499" s="391" t="str">
        <f>VLOOKUP(Tabela12[[#This Row],[Painel]],Tabela13[],2,0)</f>
        <v>8HV</v>
      </c>
      <c r="C1499" s="391" t="s">
        <v>1578</v>
      </c>
      <c r="D1499" s="21" t="s">
        <v>1716</v>
      </c>
      <c r="E1499" s="21">
        <v>180</v>
      </c>
      <c r="F1499" s="27" t="str">
        <f>Tabela12[[#This Row],[Régua]]&amp;" ("&amp;Tabela12[[#This Row],[Born]]&amp;")"</f>
        <v>BNC (180)</v>
      </c>
      <c r="G1499" s="27">
        <f>LEN(Tabela12[[#This Row],[Anilha]])</f>
        <v>9</v>
      </c>
      <c r="H1499" s="21">
        <f>VLOOKUP(Tabela12[[#This Row],[Tag Cabo]],BD!A:F,6,0)</f>
        <v>4</v>
      </c>
      <c r="I1499" s="27" t="s">
        <v>1707</v>
      </c>
      <c r="J1499" s="27" t="s">
        <v>1706</v>
      </c>
    </row>
    <row r="1500" spans="1:10" x14ac:dyDescent="0.25">
      <c r="A1500" s="21" t="s">
        <v>982</v>
      </c>
      <c r="B1500" s="391" t="str">
        <f>VLOOKUP(Tabela12[[#This Row],[Painel]],Tabela13[],2,0)</f>
        <v>8HV</v>
      </c>
      <c r="C1500" s="391" t="s">
        <v>1578</v>
      </c>
      <c r="D1500" s="21" t="s">
        <v>1716</v>
      </c>
      <c r="E1500" s="21">
        <v>181</v>
      </c>
      <c r="F1500" s="27" t="str">
        <f>Tabela12[[#This Row],[Régua]]&amp;" ("&amp;Tabela12[[#This Row],[Born]]&amp;")"</f>
        <v>BNC (181)</v>
      </c>
      <c r="G1500" s="27">
        <f>LEN(Tabela12[[#This Row],[Anilha]])</f>
        <v>9</v>
      </c>
      <c r="H1500" s="21">
        <f>VLOOKUP(Tabela12[[#This Row],[Tag Cabo]],BD!A:F,6,0)</f>
        <v>4</v>
      </c>
      <c r="I1500" s="27" t="s">
        <v>1707</v>
      </c>
      <c r="J1500" s="27" t="s">
        <v>1706</v>
      </c>
    </row>
    <row r="1501" spans="1:10" x14ac:dyDescent="0.25">
      <c r="A1501" s="21" t="s">
        <v>982</v>
      </c>
      <c r="B1501" s="391" t="str">
        <f>VLOOKUP(Tabela12[[#This Row],[Painel]],Tabela13[],2,0)</f>
        <v>8HV</v>
      </c>
      <c r="C1501" s="391" t="s">
        <v>1578</v>
      </c>
      <c r="D1501" s="21" t="s">
        <v>1716</v>
      </c>
      <c r="E1501" s="21">
        <v>182</v>
      </c>
      <c r="F1501" s="27" t="str">
        <f>Tabela12[[#This Row],[Régua]]&amp;" ("&amp;Tabela12[[#This Row],[Born]]&amp;")"</f>
        <v>BNC (182)</v>
      </c>
      <c r="G1501" s="27">
        <f>LEN(Tabela12[[#This Row],[Anilha]])</f>
        <v>9</v>
      </c>
      <c r="H1501" s="21">
        <f>VLOOKUP(Tabela12[[#This Row],[Tag Cabo]],BD!A:F,6,0)</f>
        <v>4</v>
      </c>
      <c r="I1501" s="27" t="s">
        <v>1707</v>
      </c>
      <c r="J1501" s="27" t="s">
        <v>1706</v>
      </c>
    </row>
    <row r="1502" spans="1:10" x14ac:dyDescent="0.25">
      <c r="A1502" s="21" t="s">
        <v>982</v>
      </c>
      <c r="B1502" s="391" t="str">
        <f>VLOOKUP(Tabela12[[#This Row],[Painel]],Tabela13[],2,0)</f>
        <v>8HV</v>
      </c>
      <c r="C1502" s="391" t="s">
        <v>1578</v>
      </c>
      <c r="D1502" s="21" t="s">
        <v>1716</v>
      </c>
      <c r="E1502" s="21">
        <v>183</v>
      </c>
      <c r="F1502" s="27" t="str">
        <f>Tabela12[[#This Row],[Régua]]&amp;" ("&amp;Tabela12[[#This Row],[Born]]&amp;")"</f>
        <v>BNC (183)</v>
      </c>
      <c r="G1502" s="27">
        <f>LEN(Tabela12[[#This Row],[Anilha]])</f>
        <v>9</v>
      </c>
      <c r="H1502" s="21">
        <f>VLOOKUP(Tabela12[[#This Row],[Tag Cabo]],BD!A:F,6,0)</f>
        <v>4</v>
      </c>
      <c r="I1502" s="27" t="s">
        <v>1707</v>
      </c>
      <c r="J1502" s="27" t="s">
        <v>1706</v>
      </c>
    </row>
    <row r="1503" spans="1:10" x14ac:dyDescent="0.25">
      <c r="A1503" s="21" t="s">
        <v>982</v>
      </c>
      <c r="B1503" s="391" t="str">
        <f>VLOOKUP(Tabela12[[#This Row],[Painel]],Tabela13[],2,0)</f>
        <v>CCSE</v>
      </c>
      <c r="C1503" s="391" t="s">
        <v>1571</v>
      </c>
      <c r="D1503" s="21" t="s">
        <v>1927</v>
      </c>
      <c r="E1503" s="21">
        <v>49</v>
      </c>
      <c r="F1503" s="27" t="str">
        <f>Tabela12[[#This Row],[Régua]]&amp;" ("&amp;Tabela12[[#This Row],[Born]]&amp;")"</f>
        <v>XS1 (49)</v>
      </c>
      <c r="G1503" s="27">
        <f>LEN(Tabela12[[#This Row],[Anilha]])</f>
        <v>8</v>
      </c>
      <c r="H1503" s="21">
        <f>VLOOKUP(Tabela12[[#This Row],[Tag Cabo]],BD!A:F,6,0)</f>
        <v>4</v>
      </c>
      <c r="I1503" s="27" t="s">
        <v>1707</v>
      </c>
      <c r="J1503" s="27" t="s">
        <v>1706</v>
      </c>
    </row>
    <row r="1504" spans="1:10" x14ac:dyDescent="0.25">
      <c r="A1504" s="21" t="s">
        <v>982</v>
      </c>
      <c r="B1504" s="391" t="str">
        <f>VLOOKUP(Tabela12[[#This Row],[Painel]],Tabela13[],2,0)</f>
        <v>CCSE</v>
      </c>
      <c r="C1504" s="391" t="s">
        <v>1571</v>
      </c>
      <c r="D1504" s="21" t="s">
        <v>1927</v>
      </c>
      <c r="E1504" s="21">
        <v>50</v>
      </c>
      <c r="F1504" s="27" t="str">
        <f>Tabela12[[#This Row],[Régua]]&amp;" ("&amp;Tabela12[[#This Row],[Born]]&amp;")"</f>
        <v>XS1 (50)</v>
      </c>
      <c r="G1504" s="27">
        <f>LEN(Tabela12[[#This Row],[Anilha]])</f>
        <v>8</v>
      </c>
      <c r="H1504" s="21">
        <f>VLOOKUP(Tabela12[[#This Row],[Tag Cabo]],BD!A:F,6,0)</f>
        <v>4</v>
      </c>
      <c r="I1504" s="27" t="s">
        <v>1707</v>
      </c>
      <c r="J1504" s="27" t="s">
        <v>1706</v>
      </c>
    </row>
    <row r="1505" spans="1:10" x14ac:dyDescent="0.25">
      <c r="A1505" s="21" t="s">
        <v>982</v>
      </c>
      <c r="B1505" s="391" t="str">
        <f>VLOOKUP(Tabela12[[#This Row],[Painel]],Tabela13[],2,0)</f>
        <v>CCSE</v>
      </c>
      <c r="C1505" s="391" t="s">
        <v>1571</v>
      </c>
      <c r="D1505" s="21" t="s">
        <v>1927</v>
      </c>
      <c r="E1505" s="21">
        <v>51</v>
      </c>
      <c r="F1505" s="27" t="str">
        <f>Tabela12[[#This Row],[Régua]]&amp;" ("&amp;Tabela12[[#This Row],[Born]]&amp;")"</f>
        <v>XS1 (51)</v>
      </c>
      <c r="G1505" s="27">
        <f>LEN(Tabela12[[#This Row],[Anilha]])</f>
        <v>8</v>
      </c>
      <c r="H1505" s="21">
        <f>VLOOKUP(Tabela12[[#This Row],[Tag Cabo]],BD!A:F,6,0)</f>
        <v>4</v>
      </c>
      <c r="I1505" s="27" t="s">
        <v>1707</v>
      </c>
      <c r="J1505" s="27" t="s">
        <v>1706</v>
      </c>
    </row>
    <row r="1506" spans="1:10" x14ac:dyDescent="0.25">
      <c r="A1506" s="21" t="s">
        <v>982</v>
      </c>
      <c r="B1506" s="391" t="str">
        <f>VLOOKUP(Tabela12[[#This Row],[Painel]],Tabela13[],2,0)</f>
        <v>CCSE</v>
      </c>
      <c r="C1506" s="391" t="s">
        <v>1571</v>
      </c>
      <c r="D1506" s="21" t="s">
        <v>1927</v>
      </c>
      <c r="E1506" s="21">
        <v>52</v>
      </c>
      <c r="F1506" s="27" t="str">
        <f>Tabela12[[#This Row],[Régua]]&amp;" ("&amp;Tabela12[[#This Row],[Born]]&amp;")"</f>
        <v>XS1 (52)</v>
      </c>
      <c r="G1506" s="27">
        <f>LEN(Tabela12[[#This Row],[Anilha]])</f>
        <v>8</v>
      </c>
      <c r="H1506" s="21">
        <f>VLOOKUP(Tabela12[[#This Row],[Tag Cabo]],BD!A:F,6,0)</f>
        <v>4</v>
      </c>
      <c r="I1506" s="27" t="s">
        <v>1707</v>
      </c>
      <c r="J1506" s="27" t="s">
        <v>1706</v>
      </c>
    </row>
    <row r="1507" spans="1:10" x14ac:dyDescent="0.25">
      <c r="A1507" s="21" t="s">
        <v>982</v>
      </c>
      <c r="B1507" s="391" t="str">
        <f>VLOOKUP(Tabela12[[#This Row],[Painel]],Tabela13[],2,0)</f>
        <v>CCSE</v>
      </c>
      <c r="C1507" s="391" t="s">
        <v>1571</v>
      </c>
      <c r="D1507" s="21" t="s">
        <v>1927</v>
      </c>
      <c r="E1507" s="21">
        <v>53</v>
      </c>
      <c r="F1507" s="27" t="str">
        <f>Tabela12[[#This Row],[Régua]]&amp;" ("&amp;Tabela12[[#This Row],[Born]]&amp;")"</f>
        <v>XS1 (53)</v>
      </c>
      <c r="G1507" s="27">
        <f>LEN(Tabela12[[#This Row],[Anilha]])</f>
        <v>8</v>
      </c>
      <c r="H1507" s="21">
        <f>VLOOKUP(Tabela12[[#This Row],[Tag Cabo]],BD!A:F,6,0)</f>
        <v>4</v>
      </c>
      <c r="I1507" s="27" t="s">
        <v>1707</v>
      </c>
      <c r="J1507" s="27" t="s">
        <v>1706</v>
      </c>
    </row>
    <row r="1508" spans="1:10" x14ac:dyDescent="0.25">
      <c r="A1508" s="21" t="s">
        <v>982</v>
      </c>
      <c r="B1508" s="391" t="str">
        <f>VLOOKUP(Tabela12[[#This Row],[Painel]],Tabela13[],2,0)</f>
        <v>CCSE</v>
      </c>
      <c r="C1508" s="391" t="s">
        <v>1571</v>
      </c>
      <c r="D1508" s="21" t="s">
        <v>1927</v>
      </c>
      <c r="E1508" s="21">
        <v>54</v>
      </c>
      <c r="F1508" s="27" t="str">
        <f>Tabela12[[#This Row],[Régua]]&amp;" ("&amp;Tabela12[[#This Row],[Born]]&amp;")"</f>
        <v>XS1 (54)</v>
      </c>
      <c r="G1508" s="27">
        <f>LEN(Tabela12[[#This Row],[Anilha]])</f>
        <v>8</v>
      </c>
      <c r="H1508" s="21">
        <f>VLOOKUP(Tabela12[[#This Row],[Tag Cabo]],BD!A:F,6,0)</f>
        <v>4</v>
      </c>
      <c r="I1508" s="27" t="s">
        <v>1707</v>
      </c>
      <c r="J1508" s="27" t="s">
        <v>1706</v>
      </c>
    </row>
    <row r="1509" spans="1:10" x14ac:dyDescent="0.25">
      <c r="A1509" s="21" t="s">
        <v>982</v>
      </c>
      <c r="B1509" s="391" t="str">
        <f>VLOOKUP(Tabela12[[#This Row],[Painel]],Tabela13[],2,0)</f>
        <v>CCSE</v>
      </c>
      <c r="C1509" s="391" t="s">
        <v>1571</v>
      </c>
      <c r="D1509" s="21" t="s">
        <v>1927</v>
      </c>
      <c r="E1509" s="21">
        <v>55</v>
      </c>
      <c r="F1509" s="27" t="str">
        <f>Tabela12[[#This Row],[Régua]]&amp;" ("&amp;Tabela12[[#This Row],[Born]]&amp;")"</f>
        <v>XS1 (55)</v>
      </c>
      <c r="G1509" s="27">
        <f>LEN(Tabela12[[#This Row],[Anilha]])</f>
        <v>8</v>
      </c>
      <c r="H1509" s="21">
        <f>VLOOKUP(Tabela12[[#This Row],[Tag Cabo]],BD!A:F,6,0)</f>
        <v>4</v>
      </c>
      <c r="I1509" s="27" t="s">
        <v>1707</v>
      </c>
      <c r="J1509" s="27" t="s">
        <v>1706</v>
      </c>
    </row>
    <row r="1510" spans="1:10" x14ac:dyDescent="0.25">
      <c r="A1510" s="21" t="s">
        <v>982</v>
      </c>
      <c r="B1510" s="391" t="str">
        <f>VLOOKUP(Tabela12[[#This Row],[Painel]],Tabela13[],2,0)</f>
        <v>CCSE</v>
      </c>
      <c r="C1510" s="391" t="s">
        <v>1571</v>
      </c>
      <c r="D1510" s="21" t="s">
        <v>1927</v>
      </c>
      <c r="E1510" s="21">
        <v>56</v>
      </c>
      <c r="F1510" s="27" t="str">
        <f>Tabela12[[#This Row],[Régua]]&amp;" ("&amp;Tabela12[[#This Row],[Born]]&amp;")"</f>
        <v>XS1 (56)</v>
      </c>
      <c r="G1510" s="27">
        <f>LEN(Tabela12[[#This Row],[Anilha]])</f>
        <v>8</v>
      </c>
      <c r="H1510" s="21">
        <f>VLOOKUP(Tabela12[[#This Row],[Tag Cabo]],BD!A:F,6,0)</f>
        <v>4</v>
      </c>
      <c r="I1510" s="27" t="s">
        <v>1707</v>
      </c>
      <c r="J1510" s="27" t="s">
        <v>1706</v>
      </c>
    </row>
    <row r="1511" spans="1:10" x14ac:dyDescent="0.25">
      <c r="A1511" s="21" t="s">
        <v>982</v>
      </c>
      <c r="B1511" s="391" t="str">
        <f>VLOOKUP(Tabela12[[#This Row],[Painel]],Tabela13[],2,0)</f>
        <v>CCSE</v>
      </c>
      <c r="C1511" s="391" t="s">
        <v>1571</v>
      </c>
      <c r="D1511" s="21" t="s">
        <v>1927</v>
      </c>
      <c r="E1511" s="21">
        <v>57</v>
      </c>
      <c r="F1511" s="27" t="str">
        <f>Tabela12[[#This Row],[Régua]]&amp;" ("&amp;Tabela12[[#This Row],[Born]]&amp;")"</f>
        <v>XS1 (57)</v>
      </c>
      <c r="G1511" s="27">
        <f>LEN(Tabela12[[#This Row],[Anilha]])</f>
        <v>8</v>
      </c>
      <c r="H1511" s="21">
        <f>VLOOKUP(Tabela12[[#This Row],[Tag Cabo]],BD!A:F,6,0)</f>
        <v>4</v>
      </c>
      <c r="I1511" s="27" t="s">
        <v>1707</v>
      </c>
      <c r="J1511" s="27" t="s">
        <v>1706</v>
      </c>
    </row>
    <row r="1512" spans="1:10" x14ac:dyDescent="0.25">
      <c r="A1512" s="21" t="s">
        <v>982</v>
      </c>
      <c r="B1512" s="391" t="str">
        <f>VLOOKUP(Tabela12[[#This Row],[Painel]],Tabela13[],2,0)</f>
        <v>CCSE</v>
      </c>
      <c r="C1512" s="391" t="s">
        <v>1571</v>
      </c>
      <c r="D1512" s="21" t="s">
        <v>1927</v>
      </c>
      <c r="E1512" s="21">
        <v>58</v>
      </c>
      <c r="F1512" s="27" t="str">
        <f>Tabela12[[#This Row],[Régua]]&amp;" ("&amp;Tabela12[[#This Row],[Born]]&amp;")"</f>
        <v>XS1 (58)</v>
      </c>
      <c r="G1512" s="27">
        <f>LEN(Tabela12[[#This Row],[Anilha]])</f>
        <v>8</v>
      </c>
      <c r="H1512" s="21">
        <f>VLOOKUP(Tabela12[[#This Row],[Tag Cabo]],BD!A:F,6,0)</f>
        <v>4</v>
      </c>
      <c r="I1512" s="27" t="s">
        <v>1707</v>
      </c>
      <c r="J1512" s="27" t="s">
        <v>1706</v>
      </c>
    </row>
    <row r="1513" spans="1:10" x14ac:dyDescent="0.25">
      <c r="A1513" s="21" t="s">
        <v>982</v>
      </c>
      <c r="B1513" s="391" t="str">
        <f>VLOOKUP(Tabela12[[#This Row],[Painel]],Tabela13[],2,0)</f>
        <v>CCSE</v>
      </c>
      <c r="C1513" s="391" t="s">
        <v>1571</v>
      </c>
      <c r="D1513" s="21" t="s">
        <v>1927</v>
      </c>
      <c r="E1513" s="21">
        <v>59</v>
      </c>
      <c r="F1513" s="27" t="str">
        <f>Tabela12[[#This Row],[Régua]]&amp;" ("&amp;Tabela12[[#This Row],[Born]]&amp;")"</f>
        <v>XS1 (59)</v>
      </c>
      <c r="G1513" s="27">
        <f>LEN(Tabela12[[#This Row],[Anilha]])</f>
        <v>8</v>
      </c>
      <c r="H1513" s="21">
        <f>VLOOKUP(Tabela12[[#This Row],[Tag Cabo]],BD!A:F,6,0)</f>
        <v>4</v>
      </c>
      <c r="I1513" s="27" t="s">
        <v>1707</v>
      </c>
      <c r="J1513" s="27" t="s">
        <v>1706</v>
      </c>
    </row>
    <row r="1514" spans="1:10" x14ac:dyDescent="0.25">
      <c r="A1514" s="21" t="s">
        <v>982</v>
      </c>
      <c r="B1514" s="391" t="str">
        <f>VLOOKUP(Tabela12[[#This Row],[Painel]],Tabela13[],2,0)</f>
        <v>CCSE</v>
      </c>
      <c r="C1514" s="391" t="s">
        <v>1571</v>
      </c>
      <c r="D1514" s="21" t="s">
        <v>1927</v>
      </c>
      <c r="E1514" s="21">
        <v>60</v>
      </c>
      <c r="F1514" s="27" t="str">
        <f>Tabela12[[#This Row],[Régua]]&amp;" ("&amp;Tabela12[[#This Row],[Born]]&amp;")"</f>
        <v>XS1 (60)</v>
      </c>
      <c r="G1514" s="27">
        <f>LEN(Tabela12[[#This Row],[Anilha]])</f>
        <v>8</v>
      </c>
      <c r="H1514" s="21">
        <f>VLOOKUP(Tabela12[[#This Row],[Tag Cabo]],BD!A:F,6,0)</f>
        <v>4</v>
      </c>
      <c r="I1514" s="27" t="s">
        <v>1707</v>
      </c>
      <c r="J1514" s="27" t="s">
        <v>1706</v>
      </c>
    </row>
    <row r="1515" spans="1:10" x14ac:dyDescent="0.25">
      <c r="A1515" s="21" t="s">
        <v>1006</v>
      </c>
      <c r="B1515" s="391" t="str">
        <f>VLOOKUP(Tabela12[[#This Row],[Painel]],Tabela13[],2,0)</f>
        <v>8HV</v>
      </c>
      <c r="C1515" s="391" t="s">
        <v>1578</v>
      </c>
      <c r="D1515" s="21" t="s">
        <v>1716</v>
      </c>
      <c r="E1515" s="21">
        <v>126</v>
      </c>
      <c r="F1515" s="27" t="str">
        <f>Tabela12[[#This Row],[Régua]]&amp;" ("&amp;Tabela12[[#This Row],[Born]]&amp;")"</f>
        <v>BNC (126)</v>
      </c>
      <c r="G1515" s="27">
        <f>LEN(Tabela12[[#This Row],[Anilha]])</f>
        <v>9</v>
      </c>
      <c r="H1515" s="21">
        <f>VLOOKUP(Tabela12[[#This Row],[Tag Cabo]],BD!A:F,6,0)</f>
        <v>2.5</v>
      </c>
      <c r="I1515" s="27" t="s">
        <v>1707</v>
      </c>
      <c r="J1515" s="27" t="s">
        <v>1706</v>
      </c>
    </row>
    <row r="1516" spans="1:10" x14ac:dyDescent="0.25">
      <c r="A1516" s="21" t="s">
        <v>1006</v>
      </c>
      <c r="B1516" s="391" t="str">
        <f>VLOOKUP(Tabela12[[#This Row],[Painel]],Tabela13[],2,0)</f>
        <v>8HV</v>
      </c>
      <c r="C1516" s="391" t="s">
        <v>1578</v>
      </c>
      <c r="D1516" s="21" t="s">
        <v>1716</v>
      </c>
      <c r="E1516" s="21">
        <v>127</v>
      </c>
      <c r="F1516" s="27" t="str">
        <f>Tabela12[[#This Row],[Régua]]&amp;" ("&amp;Tabela12[[#This Row],[Born]]&amp;")"</f>
        <v>BNC (127)</v>
      </c>
      <c r="G1516" s="27">
        <f>LEN(Tabela12[[#This Row],[Anilha]])</f>
        <v>9</v>
      </c>
      <c r="H1516" s="21">
        <f>VLOOKUP(Tabela12[[#This Row],[Tag Cabo]],BD!A:F,6,0)</f>
        <v>2.5</v>
      </c>
      <c r="I1516" s="27" t="s">
        <v>1707</v>
      </c>
      <c r="J1516" s="27" t="s">
        <v>1706</v>
      </c>
    </row>
    <row r="1517" spans="1:10" x14ac:dyDescent="0.25">
      <c r="A1517" s="21" t="s">
        <v>1006</v>
      </c>
      <c r="B1517" s="391" t="str">
        <f>VLOOKUP(Tabela12[[#This Row],[Painel]],Tabela13[],2,0)</f>
        <v>8HV</v>
      </c>
      <c r="C1517" s="391" t="s">
        <v>1578</v>
      </c>
      <c r="D1517" s="21" t="s">
        <v>1716</v>
      </c>
      <c r="E1517" s="21">
        <v>128</v>
      </c>
      <c r="F1517" s="27" t="str">
        <f>Tabela12[[#This Row],[Régua]]&amp;" ("&amp;Tabela12[[#This Row],[Born]]&amp;")"</f>
        <v>BNC (128)</v>
      </c>
      <c r="G1517" s="27">
        <f>LEN(Tabela12[[#This Row],[Anilha]])</f>
        <v>9</v>
      </c>
      <c r="H1517" s="21">
        <f>VLOOKUP(Tabela12[[#This Row],[Tag Cabo]],BD!A:F,6,0)</f>
        <v>2.5</v>
      </c>
      <c r="I1517" s="27" t="s">
        <v>1707</v>
      </c>
      <c r="J1517" s="27" t="s">
        <v>1706</v>
      </c>
    </row>
    <row r="1518" spans="1:10" x14ac:dyDescent="0.25">
      <c r="A1518" s="21" t="s">
        <v>1006</v>
      </c>
      <c r="B1518" s="391" t="str">
        <f>VLOOKUP(Tabela12[[#This Row],[Painel]],Tabela13[],2,0)</f>
        <v>8HV</v>
      </c>
      <c r="C1518" s="391" t="s">
        <v>1578</v>
      </c>
      <c r="D1518" s="21" t="s">
        <v>1716</v>
      </c>
      <c r="E1518" s="21">
        <v>129</v>
      </c>
      <c r="F1518" s="27" t="str">
        <f>Tabela12[[#This Row],[Régua]]&amp;" ("&amp;Tabela12[[#This Row],[Born]]&amp;")"</f>
        <v>BNC (129)</v>
      </c>
      <c r="G1518" s="27">
        <f>LEN(Tabela12[[#This Row],[Anilha]])</f>
        <v>9</v>
      </c>
      <c r="H1518" s="21">
        <f>VLOOKUP(Tabela12[[#This Row],[Tag Cabo]],BD!A:F,6,0)</f>
        <v>2.5</v>
      </c>
      <c r="I1518" s="27" t="s">
        <v>1707</v>
      </c>
      <c r="J1518" s="27" t="s">
        <v>1706</v>
      </c>
    </row>
    <row r="1519" spans="1:10" x14ac:dyDescent="0.25">
      <c r="A1519" s="21" t="s">
        <v>1006</v>
      </c>
      <c r="B1519" s="391" t="str">
        <f>VLOOKUP(Tabela12[[#This Row],[Painel]],Tabela13[],2,0)</f>
        <v>8HV</v>
      </c>
      <c r="C1519" s="391" t="s">
        <v>1578</v>
      </c>
      <c r="D1519" s="21" t="s">
        <v>1716</v>
      </c>
      <c r="E1519" s="21">
        <v>130</v>
      </c>
      <c r="F1519" s="27" t="str">
        <f>Tabela12[[#This Row],[Régua]]&amp;" ("&amp;Tabela12[[#This Row],[Born]]&amp;")"</f>
        <v>BNC (130)</v>
      </c>
      <c r="G1519" s="27">
        <f>LEN(Tabela12[[#This Row],[Anilha]])</f>
        <v>9</v>
      </c>
      <c r="H1519" s="21">
        <f>VLOOKUP(Tabela12[[#This Row],[Tag Cabo]],BD!A:F,6,0)</f>
        <v>2.5</v>
      </c>
      <c r="I1519" s="27" t="s">
        <v>1707</v>
      </c>
      <c r="J1519" s="27" t="s">
        <v>1706</v>
      </c>
    </row>
    <row r="1520" spans="1:10" x14ac:dyDescent="0.25">
      <c r="A1520" s="21" t="s">
        <v>1006</v>
      </c>
      <c r="B1520" s="391" t="str">
        <f>VLOOKUP(Tabela12[[#This Row],[Painel]],Tabela13[],2,0)</f>
        <v>8HV</v>
      </c>
      <c r="C1520" s="391" t="s">
        <v>1578</v>
      </c>
      <c r="D1520" s="21" t="s">
        <v>1716</v>
      </c>
      <c r="E1520" s="21">
        <v>131</v>
      </c>
      <c r="F1520" s="27" t="str">
        <f>Tabela12[[#This Row],[Régua]]&amp;" ("&amp;Tabela12[[#This Row],[Born]]&amp;")"</f>
        <v>BNC (131)</v>
      </c>
      <c r="G1520" s="27">
        <f>LEN(Tabela12[[#This Row],[Anilha]])</f>
        <v>9</v>
      </c>
      <c r="H1520" s="21">
        <f>VLOOKUP(Tabela12[[#This Row],[Tag Cabo]],BD!A:F,6,0)</f>
        <v>2.5</v>
      </c>
      <c r="I1520" s="27" t="s">
        <v>1707</v>
      </c>
      <c r="J1520" s="27" t="s">
        <v>1706</v>
      </c>
    </row>
    <row r="1521" spans="1:10" x14ac:dyDescent="0.25">
      <c r="A1521" s="21" t="s">
        <v>1006</v>
      </c>
      <c r="B1521" s="391" t="str">
        <f>VLOOKUP(Tabela12[[#This Row],[Painel]],Tabela13[],2,0)</f>
        <v>8HV</v>
      </c>
      <c r="C1521" s="391" t="s">
        <v>1578</v>
      </c>
      <c r="D1521" s="21" t="s">
        <v>1716</v>
      </c>
      <c r="E1521" s="21">
        <v>132</v>
      </c>
      <c r="F1521" s="27" t="str">
        <f>Tabela12[[#This Row],[Régua]]&amp;" ("&amp;Tabela12[[#This Row],[Born]]&amp;")"</f>
        <v>BNC (132)</v>
      </c>
      <c r="G1521" s="27">
        <f>LEN(Tabela12[[#This Row],[Anilha]])</f>
        <v>9</v>
      </c>
      <c r="H1521" s="21">
        <f>VLOOKUP(Tabela12[[#This Row],[Tag Cabo]],BD!A:F,6,0)</f>
        <v>2.5</v>
      </c>
      <c r="I1521" s="27" t="s">
        <v>1707</v>
      </c>
      <c r="J1521" s="27" t="s">
        <v>1706</v>
      </c>
    </row>
    <row r="1522" spans="1:10" x14ac:dyDescent="0.25">
      <c r="A1522" s="21" t="s">
        <v>1006</v>
      </c>
      <c r="B1522" s="391" t="str">
        <f>VLOOKUP(Tabela12[[#This Row],[Painel]],Tabela13[],2,0)</f>
        <v>8HV</v>
      </c>
      <c r="C1522" s="391" t="s">
        <v>1578</v>
      </c>
      <c r="D1522" s="21" t="s">
        <v>1716</v>
      </c>
      <c r="E1522" s="21">
        <v>133</v>
      </c>
      <c r="F1522" s="27" t="str">
        <f>Tabela12[[#This Row],[Régua]]&amp;" ("&amp;Tabela12[[#This Row],[Born]]&amp;")"</f>
        <v>BNC (133)</v>
      </c>
      <c r="G1522" s="27">
        <f>LEN(Tabela12[[#This Row],[Anilha]])</f>
        <v>9</v>
      </c>
      <c r="H1522" s="21">
        <f>VLOOKUP(Tabela12[[#This Row],[Tag Cabo]],BD!A:F,6,0)</f>
        <v>2.5</v>
      </c>
      <c r="I1522" s="27" t="s">
        <v>1707</v>
      </c>
      <c r="J1522" s="27" t="s">
        <v>1706</v>
      </c>
    </row>
    <row r="1523" spans="1:10" x14ac:dyDescent="0.25">
      <c r="A1523" s="21" t="s">
        <v>1006</v>
      </c>
      <c r="B1523" s="391" t="str">
        <f>VLOOKUP(Tabela12[[#This Row],[Painel]],Tabela13[],2,0)</f>
        <v>8HV</v>
      </c>
      <c r="C1523" s="391" t="s">
        <v>1578</v>
      </c>
      <c r="D1523" s="21" t="s">
        <v>1716</v>
      </c>
      <c r="E1523" s="21">
        <v>134</v>
      </c>
      <c r="F1523" s="27" t="str">
        <f>Tabela12[[#This Row],[Régua]]&amp;" ("&amp;Tabela12[[#This Row],[Born]]&amp;")"</f>
        <v>BNC (134)</v>
      </c>
      <c r="G1523" s="27">
        <f>LEN(Tabela12[[#This Row],[Anilha]])</f>
        <v>9</v>
      </c>
      <c r="H1523" s="21">
        <f>VLOOKUP(Tabela12[[#This Row],[Tag Cabo]],BD!A:F,6,0)</f>
        <v>2.5</v>
      </c>
      <c r="I1523" s="27" t="s">
        <v>1707</v>
      </c>
      <c r="J1523" s="27" t="s">
        <v>1706</v>
      </c>
    </row>
    <row r="1524" spans="1:10" x14ac:dyDescent="0.25">
      <c r="A1524" s="21" t="s">
        <v>1006</v>
      </c>
      <c r="B1524" s="391" t="str">
        <f>VLOOKUP(Tabela12[[#This Row],[Painel]],Tabela13[],2,0)</f>
        <v>8HV</v>
      </c>
      <c r="C1524" s="391" t="s">
        <v>1578</v>
      </c>
      <c r="D1524" s="21" t="s">
        <v>1716</v>
      </c>
      <c r="E1524" s="21">
        <v>135</v>
      </c>
      <c r="F1524" s="27" t="str">
        <f>Tabela12[[#This Row],[Régua]]&amp;" ("&amp;Tabela12[[#This Row],[Born]]&amp;")"</f>
        <v>BNC (135)</v>
      </c>
      <c r="G1524" s="27">
        <f>LEN(Tabela12[[#This Row],[Anilha]])</f>
        <v>9</v>
      </c>
      <c r="H1524" s="21">
        <f>VLOOKUP(Tabela12[[#This Row],[Tag Cabo]],BD!A:F,6,0)</f>
        <v>2.5</v>
      </c>
      <c r="I1524" s="27" t="s">
        <v>1707</v>
      </c>
      <c r="J1524" s="27" t="s">
        <v>1706</v>
      </c>
    </row>
    <row r="1525" spans="1:10" x14ac:dyDescent="0.25">
      <c r="A1525" s="21" t="s">
        <v>1009</v>
      </c>
      <c r="B1525" s="391" t="str">
        <f>VLOOKUP(Tabela12[[#This Row],[Painel]],Tabela13[],2,0)</f>
        <v>8HV</v>
      </c>
      <c r="C1525" s="391" t="s">
        <v>1578</v>
      </c>
      <c r="D1525" s="21" t="s">
        <v>1716</v>
      </c>
      <c r="E1525" s="21">
        <v>136</v>
      </c>
      <c r="F1525" s="27" t="str">
        <f>Tabela12[[#This Row],[Régua]]&amp;" ("&amp;Tabela12[[#This Row],[Born]]&amp;")"</f>
        <v>BNC (136)</v>
      </c>
      <c r="G1525" s="27">
        <f>LEN(Tabela12[[#This Row],[Anilha]])</f>
        <v>9</v>
      </c>
      <c r="H1525" s="21">
        <f>VLOOKUP(Tabela12[[#This Row],[Tag Cabo]],BD!A:F,6,0)</f>
        <v>2.5</v>
      </c>
      <c r="I1525" s="27" t="s">
        <v>1707</v>
      </c>
      <c r="J1525" s="27" t="s">
        <v>1706</v>
      </c>
    </row>
    <row r="1526" spans="1:10" x14ac:dyDescent="0.25">
      <c r="A1526" s="21" t="s">
        <v>1009</v>
      </c>
      <c r="B1526" s="391" t="str">
        <f>VLOOKUP(Tabela12[[#This Row],[Painel]],Tabela13[],2,0)</f>
        <v>8HV</v>
      </c>
      <c r="C1526" s="391" t="s">
        <v>1578</v>
      </c>
      <c r="D1526" s="21" t="s">
        <v>1716</v>
      </c>
      <c r="E1526" s="21">
        <v>137</v>
      </c>
      <c r="F1526" s="27" t="str">
        <f>Tabela12[[#This Row],[Régua]]&amp;" ("&amp;Tabela12[[#This Row],[Born]]&amp;")"</f>
        <v>BNC (137)</v>
      </c>
      <c r="G1526" s="27">
        <f>LEN(Tabela12[[#This Row],[Anilha]])</f>
        <v>9</v>
      </c>
      <c r="H1526" s="21">
        <f>VLOOKUP(Tabela12[[#This Row],[Tag Cabo]],BD!A:F,6,0)</f>
        <v>2.5</v>
      </c>
      <c r="I1526" s="27" t="s">
        <v>1707</v>
      </c>
      <c r="J1526" s="27" t="s">
        <v>1706</v>
      </c>
    </row>
    <row r="1527" spans="1:10" x14ac:dyDescent="0.25">
      <c r="A1527" s="21" t="s">
        <v>1009</v>
      </c>
      <c r="B1527" s="391" t="str">
        <f>VLOOKUP(Tabela12[[#This Row],[Painel]],Tabela13[],2,0)</f>
        <v>8HV</v>
      </c>
      <c r="C1527" s="391" t="s">
        <v>1578</v>
      </c>
      <c r="D1527" s="21" t="s">
        <v>1716</v>
      </c>
      <c r="E1527" s="21">
        <v>138</v>
      </c>
      <c r="F1527" s="27" t="str">
        <f>Tabela12[[#This Row],[Régua]]&amp;" ("&amp;Tabela12[[#This Row],[Born]]&amp;")"</f>
        <v>BNC (138)</v>
      </c>
      <c r="G1527" s="27">
        <f>LEN(Tabela12[[#This Row],[Anilha]])</f>
        <v>9</v>
      </c>
      <c r="H1527" s="21">
        <f>VLOOKUP(Tabela12[[#This Row],[Tag Cabo]],BD!A:F,6,0)</f>
        <v>2.5</v>
      </c>
      <c r="I1527" s="27" t="s">
        <v>1707</v>
      </c>
      <c r="J1527" s="27" t="s">
        <v>1706</v>
      </c>
    </row>
    <row r="1528" spans="1:10" x14ac:dyDescent="0.25">
      <c r="A1528" s="21" t="s">
        <v>1009</v>
      </c>
      <c r="B1528" s="391" t="str">
        <f>VLOOKUP(Tabela12[[#This Row],[Painel]],Tabela13[],2,0)</f>
        <v>8HV</v>
      </c>
      <c r="C1528" s="391" t="s">
        <v>1578</v>
      </c>
      <c r="D1528" s="21" t="s">
        <v>1716</v>
      </c>
      <c r="E1528" s="21">
        <v>139</v>
      </c>
      <c r="F1528" s="27" t="str">
        <f>Tabela12[[#This Row],[Régua]]&amp;" ("&amp;Tabela12[[#This Row],[Born]]&amp;")"</f>
        <v>BNC (139)</v>
      </c>
      <c r="G1528" s="27">
        <f>LEN(Tabela12[[#This Row],[Anilha]])</f>
        <v>9</v>
      </c>
      <c r="H1528" s="21">
        <f>VLOOKUP(Tabela12[[#This Row],[Tag Cabo]],BD!A:F,6,0)</f>
        <v>2.5</v>
      </c>
      <c r="I1528" s="27" t="s">
        <v>1707</v>
      </c>
      <c r="J1528" s="27" t="s">
        <v>1706</v>
      </c>
    </row>
    <row r="1529" spans="1:10" x14ac:dyDescent="0.25">
      <c r="A1529" s="21" t="s">
        <v>1009</v>
      </c>
      <c r="B1529" s="391" t="str">
        <f>VLOOKUP(Tabela12[[#This Row],[Painel]],Tabela13[],2,0)</f>
        <v>8HV</v>
      </c>
      <c r="C1529" s="391" t="s">
        <v>1578</v>
      </c>
      <c r="D1529" s="21" t="s">
        <v>1716</v>
      </c>
      <c r="E1529" s="21">
        <v>140</v>
      </c>
      <c r="F1529" s="27" t="str">
        <f>Tabela12[[#This Row],[Régua]]&amp;" ("&amp;Tabela12[[#This Row],[Born]]&amp;")"</f>
        <v>BNC (140)</v>
      </c>
      <c r="G1529" s="27">
        <f>LEN(Tabela12[[#This Row],[Anilha]])</f>
        <v>9</v>
      </c>
      <c r="H1529" s="21">
        <f>VLOOKUP(Tabela12[[#This Row],[Tag Cabo]],BD!A:F,6,0)</f>
        <v>2.5</v>
      </c>
      <c r="I1529" s="27" t="s">
        <v>1707</v>
      </c>
      <c r="J1529" s="27" t="s">
        <v>1706</v>
      </c>
    </row>
    <row r="1530" spans="1:10" x14ac:dyDescent="0.25">
      <c r="A1530" s="21" t="s">
        <v>1009</v>
      </c>
      <c r="B1530" s="391" t="str">
        <f>VLOOKUP(Tabela12[[#This Row],[Painel]],Tabela13[],2,0)</f>
        <v>8HV</v>
      </c>
      <c r="C1530" s="391" t="s">
        <v>1578</v>
      </c>
      <c r="D1530" s="21" t="s">
        <v>1716</v>
      </c>
      <c r="E1530" s="21">
        <v>141</v>
      </c>
      <c r="F1530" s="27" t="str">
        <f>Tabela12[[#This Row],[Régua]]&amp;" ("&amp;Tabela12[[#This Row],[Born]]&amp;")"</f>
        <v>BNC (141)</v>
      </c>
      <c r="G1530" s="27">
        <f>LEN(Tabela12[[#This Row],[Anilha]])</f>
        <v>9</v>
      </c>
      <c r="H1530" s="21">
        <f>VLOOKUP(Tabela12[[#This Row],[Tag Cabo]],BD!A:F,6,0)</f>
        <v>2.5</v>
      </c>
      <c r="I1530" s="27" t="s">
        <v>1707</v>
      </c>
      <c r="J1530" s="27" t="s">
        <v>1706</v>
      </c>
    </row>
    <row r="1531" spans="1:10" x14ac:dyDescent="0.25">
      <c r="A1531" s="21" t="s">
        <v>1009</v>
      </c>
      <c r="B1531" s="391" t="str">
        <f>VLOOKUP(Tabela12[[#This Row],[Painel]],Tabela13[],2,0)</f>
        <v>8HV</v>
      </c>
      <c r="C1531" s="391" t="s">
        <v>1578</v>
      </c>
      <c r="D1531" s="21" t="s">
        <v>1716</v>
      </c>
      <c r="E1531" s="21">
        <v>142</v>
      </c>
      <c r="F1531" s="27" t="str">
        <f>Tabela12[[#This Row],[Régua]]&amp;" ("&amp;Tabela12[[#This Row],[Born]]&amp;")"</f>
        <v>BNC (142)</v>
      </c>
      <c r="G1531" s="27">
        <f>LEN(Tabela12[[#This Row],[Anilha]])</f>
        <v>9</v>
      </c>
      <c r="H1531" s="21">
        <f>VLOOKUP(Tabela12[[#This Row],[Tag Cabo]],BD!A:F,6,0)</f>
        <v>2.5</v>
      </c>
      <c r="I1531" s="27" t="s">
        <v>1707</v>
      </c>
      <c r="J1531" s="27" t="s">
        <v>1706</v>
      </c>
    </row>
    <row r="1532" spans="1:10" x14ac:dyDescent="0.25">
      <c r="A1532" s="21" t="s">
        <v>1009</v>
      </c>
      <c r="B1532" s="391" t="str">
        <f>VLOOKUP(Tabela12[[#This Row],[Painel]],Tabela13[],2,0)</f>
        <v>8HV</v>
      </c>
      <c r="C1532" s="391" t="s">
        <v>1578</v>
      </c>
      <c r="D1532" s="21" t="s">
        <v>1716</v>
      </c>
      <c r="E1532" s="21">
        <v>143</v>
      </c>
      <c r="F1532" s="27" t="str">
        <f>Tabela12[[#This Row],[Régua]]&amp;" ("&amp;Tabela12[[#This Row],[Born]]&amp;")"</f>
        <v>BNC (143)</v>
      </c>
      <c r="G1532" s="27">
        <f>LEN(Tabela12[[#This Row],[Anilha]])</f>
        <v>9</v>
      </c>
      <c r="H1532" s="21">
        <f>VLOOKUP(Tabela12[[#This Row],[Tag Cabo]],BD!A:F,6,0)</f>
        <v>2.5</v>
      </c>
      <c r="I1532" s="27" t="s">
        <v>1707</v>
      </c>
      <c r="J1532" s="27" t="s">
        <v>1706</v>
      </c>
    </row>
    <row r="1533" spans="1:10" x14ac:dyDescent="0.25">
      <c r="A1533" s="21" t="s">
        <v>1009</v>
      </c>
      <c r="B1533" s="391" t="str">
        <f>VLOOKUP(Tabela12[[#This Row],[Painel]],Tabela13[],2,0)</f>
        <v>8HV</v>
      </c>
      <c r="C1533" s="391" t="s">
        <v>1578</v>
      </c>
      <c r="D1533" s="21" t="s">
        <v>1716</v>
      </c>
      <c r="E1533" s="21">
        <v>144</v>
      </c>
      <c r="F1533" s="27" t="str">
        <f>Tabela12[[#This Row],[Régua]]&amp;" ("&amp;Tabela12[[#This Row],[Born]]&amp;")"</f>
        <v>BNC (144)</v>
      </c>
      <c r="G1533" s="27">
        <f>LEN(Tabela12[[#This Row],[Anilha]])</f>
        <v>9</v>
      </c>
      <c r="H1533" s="21">
        <f>VLOOKUP(Tabela12[[#This Row],[Tag Cabo]],BD!A:F,6,0)</f>
        <v>2.5</v>
      </c>
      <c r="I1533" s="27" t="s">
        <v>1707</v>
      </c>
      <c r="J1533" s="27" t="s">
        <v>1706</v>
      </c>
    </row>
    <row r="1534" spans="1:10" x14ac:dyDescent="0.25">
      <c r="A1534" s="21" t="s">
        <v>1009</v>
      </c>
      <c r="B1534" s="391" t="str">
        <f>VLOOKUP(Tabela12[[#This Row],[Painel]],Tabela13[],2,0)</f>
        <v>8HV</v>
      </c>
      <c r="C1534" s="391" t="s">
        <v>1578</v>
      </c>
      <c r="D1534" s="21" t="s">
        <v>1716</v>
      </c>
      <c r="E1534" s="21">
        <v>145</v>
      </c>
      <c r="F1534" s="27" t="str">
        <f>Tabela12[[#This Row],[Régua]]&amp;" ("&amp;Tabela12[[#This Row],[Born]]&amp;")"</f>
        <v>BNC (145)</v>
      </c>
      <c r="G1534" s="27">
        <f>LEN(Tabela12[[#This Row],[Anilha]])</f>
        <v>9</v>
      </c>
      <c r="H1534" s="21">
        <f>VLOOKUP(Tabela12[[#This Row],[Tag Cabo]],BD!A:F,6,0)</f>
        <v>2.5</v>
      </c>
      <c r="I1534" s="27" t="s">
        <v>1707</v>
      </c>
      <c r="J1534" s="27" t="s">
        <v>1706</v>
      </c>
    </row>
    <row r="1535" spans="1:10" x14ac:dyDescent="0.25">
      <c r="A1535" s="21" t="s">
        <v>522</v>
      </c>
      <c r="B1535" s="391" t="str">
        <f>VLOOKUP(Tabela12[[#This Row],[Painel]],Tabela13[],2,0)</f>
        <v>7HV</v>
      </c>
      <c r="C1535" s="391" t="s">
        <v>1567</v>
      </c>
      <c r="D1535" s="21" t="s">
        <v>1896</v>
      </c>
      <c r="E1535" s="21">
        <v>1</v>
      </c>
      <c r="F1535" s="27" t="str">
        <f>Tabela12[[#This Row],[Régua]]&amp;" ("&amp;Tabela12[[#This Row],[Born]]&amp;")"</f>
        <v>BNA (1)</v>
      </c>
      <c r="G1535" s="27">
        <f>LEN(Tabela12[[#This Row],[Anilha]])</f>
        <v>7</v>
      </c>
      <c r="H1535" s="21">
        <f>VLOOKUP(Tabela12[[#This Row],[Tag Cabo]],BD!A:F,6,0)</f>
        <v>4</v>
      </c>
      <c r="I1535" s="27" t="s">
        <v>1707</v>
      </c>
      <c r="J1535" s="27" t="s">
        <v>1706</v>
      </c>
    </row>
    <row r="1536" spans="1:10" x14ac:dyDescent="0.25">
      <c r="A1536" s="21" t="s">
        <v>522</v>
      </c>
      <c r="B1536" s="391" t="str">
        <f>VLOOKUP(Tabela12[[#This Row],[Painel]],Tabela13[],2,0)</f>
        <v>7HV</v>
      </c>
      <c r="C1536" s="391" t="s">
        <v>1567</v>
      </c>
      <c r="D1536" s="21" t="s">
        <v>1896</v>
      </c>
      <c r="E1536" s="21">
        <v>3</v>
      </c>
      <c r="F1536" s="27" t="str">
        <f>Tabela12[[#This Row],[Régua]]&amp;" ("&amp;Tabela12[[#This Row],[Born]]&amp;")"</f>
        <v>BNA (3)</v>
      </c>
      <c r="G1536" s="27">
        <f>LEN(Tabela12[[#This Row],[Anilha]])</f>
        <v>7</v>
      </c>
      <c r="H1536" s="21">
        <f>VLOOKUP(Tabela12[[#This Row],[Tag Cabo]],BD!A:F,6,0)</f>
        <v>4</v>
      </c>
      <c r="I1536" s="27" t="s">
        <v>1707</v>
      </c>
      <c r="J1536" s="27" t="s">
        <v>1706</v>
      </c>
    </row>
    <row r="1537" spans="1:10" x14ac:dyDescent="0.25">
      <c r="A1537" s="21" t="s">
        <v>522</v>
      </c>
      <c r="B1537" s="391" t="str">
        <f>VLOOKUP(Tabela12[[#This Row],[Painel]],Tabela13[],2,0)</f>
        <v>7HV</v>
      </c>
      <c r="C1537" s="391" t="s">
        <v>1624</v>
      </c>
      <c r="D1537" s="21" t="s">
        <v>1921</v>
      </c>
      <c r="E1537" s="21">
        <v>10</v>
      </c>
      <c r="F1537" s="27" t="str">
        <f>Tabela12[[#This Row],[Régua]]&amp;" ("&amp;Tabela12[[#This Row],[Born]]&amp;")"</f>
        <v>XF3 (10)</v>
      </c>
      <c r="G1537" s="27">
        <f>LEN(Tabela12[[#This Row],[Anilha]])</f>
        <v>8</v>
      </c>
      <c r="H1537" s="21">
        <f>VLOOKUP(Tabela12[[#This Row],[Tag Cabo]],BD!A:F,6,0)</f>
        <v>4</v>
      </c>
      <c r="I1537" s="27" t="s">
        <v>1707</v>
      </c>
      <c r="J1537" s="27" t="s">
        <v>1706</v>
      </c>
    </row>
    <row r="1538" spans="1:10" x14ac:dyDescent="0.25">
      <c r="A1538" s="21" t="s">
        <v>522</v>
      </c>
      <c r="B1538" s="391" t="str">
        <f>VLOOKUP(Tabela12[[#This Row],[Painel]],Tabela13[],2,0)</f>
        <v>7HV</v>
      </c>
      <c r="C1538" s="391" t="s">
        <v>1624</v>
      </c>
      <c r="D1538" s="21" t="s">
        <v>1921</v>
      </c>
      <c r="E1538" s="21">
        <v>11</v>
      </c>
      <c r="F1538" s="27" t="str">
        <f>Tabela12[[#This Row],[Régua]]&amp;" ("&amp;Tabela12[[#This Row],[Born]]&amp;")"</f>
        <v>XF3 (11)</v>
      </c>
      <c r="G1538" s="27">
        <f>LEN(Tabela12[[#This Row],[Anilha]])</f>
        <v>8</v>
      </c>
      <c r="H1538" s="21">
        <f>VLOOKUP(Tabela12[[#This Row],[Tag Cabo]],BD!A:F,6,0)</f>
        <v>4</v>
      </c>
      <c r="I1538" s="27" t="s">
        <v>1707</v>
      </c>
      <c r="J1538" s="27" t="s">
        <v>1706</v>
      </c>
    </row>
    <row r="1539" spans="1:10" x14ac:dyDescent="0.25">
      <c r="A1539" s="21" t="s">
        <v>532</v>
      </c>
      <c r="B1539" s="391" t="str">
        <f>VLOOKUP(Tabela12[[#This Row],[Painel]],Tabela13[],2,0)</f>
        <v>7HV</v>
      </c>
      <c r="C1539" s="391" t="s">
        <v>1567</v>
      </c>
      <c r="D1539" s="21" t="s">
        <v>1903</v>
      </c>
      <c r="E1539" s="21">
        <v>1</v>
      </c>
      <c r="F1539" s="27" t="str">
        <f>Tabela12[[#This Row],[Régua]]&amp;" ("&amp;Tabela12[[#This Row],[Born]]&amp;")"</f>
        <v>BNP (1)</v>
      </c>
      <c r="G1539" s="27">
        <f>LEN(Tabela12[[#This Row],[Anilha]])</f>
        <v>7</v>
      </c>
      <c r="H1539" s="21">
        <f>VLOOKUP(Tabela12[[#This Row],[Tag Cabo]],BD!A:F,6,0)</f>
        <v>4</v>
      </c>
      <c r="I1539" s="27" t="s">
        <v>1707</v>
      </c>
      <c r="J1539" s="27" t="s">
        <v>1706</v>
      </c>
    </row>
    <row r="1540" spans="1:10" x14ac:dyDescent="0.25">
      <c r="A1540" s="21" t="s">
        <v>532</v>
      </c>
      <c r="B1540" s="391" t="str">
        <f>VLOOKUP(Tabela12[[#This Row],[Painel]],Tabela13[],2,0)</f>
        <v>7HV</v>
      </c>
      <c r="C1540" s="391" t="s">
        <v>1567</v>
      </c>
      <c r="D1540" s="21" t="s">
        <v>1903</v>
      </c>
      <c r="E1540" s="21">
        <v>2</v>
      </c>
      <c r="F1540" s="27" t="str">
        <f>Tabela12[[#This Row],[Régua]]&amp;" ("&amp;Tabela12[[#This Row],[Born]]&amp;")"</f>
        <v>BNP (2)</v>
      </c>
      <c r="G1540" s="27">
        <f>LEN(Tabela12[[#This Row],[Anilha]])</f>
        <v>7</v>
      </c>
      <c r="H1540" s="21">
        <f>VLOOKUP(Tabela12[[#This Row],[Tag Cabo]],BD!A:F,6,0)</f>
        <v>4</v>
      </c>
      <c r="I1540" s="27" t="s">
        <v>1707</v>
      </c>
      <c r="J1540" s="27" t="s">
        <v>1706</v>
      </c>
    </row>
    <row r="1541" spans="1:10" x14ac:dyDescent="0.25">
      <c r="A1541" s="21" t="s">
        <v>532</v>
      </c>
      <c r="B1541" s="391" t="str">
        <f>VLOOKUP(Tabela12[[#This Row],[Painel]],Tabela13[],2,0)</f>
        <v>7HV</v>
      </c>
      <c r="C1541" s="391" t="s">
        <v>1627</v>
      </c>
      <c r="D1541" s="21" t="s">
        <v>1921</v>
      </c>
      <c r="E1541" s="21">
        <v>15</v>
      </c>
      <c r="F1541" s="27" t="str">
        <f>Tabela12[[#This Row],[Régua]]&amp;" ("&amp;Tabela12[[#This Row],[Born]]&amp;")"</f>
        <v>XF3 (15)</v>
      </c>
      <c r="G1541" s="27">
        <f>LEN(Tabela12[[#This Row],[Anilha]])</f>
        <v>8</v>
      </c>
      <c r="H1541" s="21">
        <f>VLOOKUP(Tabela12[[#This Row],[Tag Cabo]],BD!A:F,6,0)</f>
        <v>4</v>
      </c>
      <c r="I1541" s="27" t="s">
        <v>1707</v>
      </c>
      <c r="J1541" s="27" t="s">
        <v>1706</v>
      </c>
    </row>
    <row r="1542" spans="1:10" x14ac:dyDescent="0.25">
      <c r="A1542" s="21" t="s">
        <v>532</v>
      </c>
      <c r="B1542" s="391" t="str">
        <f>VLOOKUP(Tabela12[[#This Row],[Painel]],Tabela13[],2,0)</f>
        <v>7HV</v>
      </c>
      <c r="C1542" s="391" t="s">
        <v>1627</v>
      </c>
      <c r="D1542" s="21" t="s">
        <v>1921</v>
      </c>
      <c r="E1542" s="21">
        <v>16</v>
      </c>
      <c r="F1542" s="27" t="str">
        <f>Tabela12[[#This Row],[Régua]]&amp;" ("&amp;Tabela12[[#This Row],[Born]]&amp;")"</f>
        <v>XF3 (16)</v>
      </c>
      <c r="G1542" s="27">
        <f>LEN(Tabela12[[#This Row],[Anilha]])</f>
        <v>8</v>
      </c>
      <c r="H1542" s="21">
        <f>VLOOKUP(Tabela12[[#This Row],[Tag Cabo]],BD!A:F,6,0)</f>
        <v>4</v>
      </c>
      <c r="I1542" s="27" t="s">
        <v>1707</v>
      </c>
      <c r="J1542" s="27" t="s">
        <v>1706</v>
      </c>
    </row>
    <row r="1543" spans="1:10" x14ac:dyDescent="0.25">
      <c r="A1543" s="21" t="s">
        <v>194</v>
      </c>
      <c r="B1543" s="391" t="str">
        <f>VLOOKUP(Tabela12[[#This Row],[Painel]],Tabela13[],2,0)</f>
        <v>1MV</v>
      </c>
      <c r="C1543" s="391" t="s">
        <v>196</v>
      </c>
      <c r="D1543" s="21" t="s">
        <v>1881</v>
      </c>
      <c r="E1543" s="21">
        <v>65</v>
      </c>
      <c r="F1543" s="27" t="str">
        <f>Tabela12[[#This Row],[Régua]]&amp;" ("&amp;Tabela12[[#This Row],[Born]]&amp;")"</f>
        <v>XE1 (65)</v>
      </c>
      <c r="G1543" s="27">
        <f>LEN(Tabela12[[#This Row],[Anilha]])</f>
        <v>8</v>
      </c>
      <c r="H1543" s="21">
        <f>VLOOKUP(Tabela12[[#This Row],[Tag Cabo]],BD!A:F,6,0)</f>
        <v>2.5</v>
      </c>
      <c r="I1543" s="27" t="s">
        <v>1707</v>
      </c>
      <c r="J1543" s="27" t="s">
        <v>1928</v>
      </c>
    </row>
    <row r="1544" spans="1:10" x14ac:dyDescent="0.25">
      <c r="A1544" s="21" t="s">
        <v>194</v>
      </c>
      <c r="B1544" s="391" t="str">
        <f>VLOOKUP(Tabela12[[#This Row],[Painel]],Tabela13[],2,0)</f>
        <v>1MV</v>
      </c>
      <c r="C1544" s="391" t="s">
        <v>196</v>
      </c>
      <c r="D1544" s="21" t="s">
        <v>1881</v>
      </c>
      <c r="E1544" s="21">
        <v>66</v>
      </c>
      <c r="F1544" s="27" t="str">
        <f>Tabela12[[#This Row],[Régua]]&amp;" ("&amp;Tabela12[[#This Row],[Born]]&amp;")"</f>
        <v>XE1 (66)</v>
      </c>
      <c r="G1544" s="27">
        <f>LEN(Tabela12[[#This Row],[Anilha]])</f>
        <v>8</v>
      </c>
      <c r="H1544" s="21">
        <f>VLOOKUP(Tabela12[[#This Row],[Tag Cabo]],BD!A:F,6,0)</f>
        <v>2.5</v>
      </c>
      <c r="I1544" s="27" t="s">
        <v>1707</v>
      </c>
      <c r="J1544" s="27" t="s">
        <v>1928</v>
      </c>
    </row>
    <row r="1545" spans="1:10" x14ac:dyDescent="0.25">
      <c r="A1545" s="21" t="s">
        <v>194</v>
      </c>
      <c r="B1545" s="391" t="str">
        <f>VLOOKUP(Tabela12[[#This Row],[Painel]],Tabela13[],2,0)</f>
        <v>1MV</v>
      </c>
      <c r="C1545" s="391" t="s">
        <v>196</v>
      </c>
      <c r="D1545" s="21" t="s">
        <v>1881</v>
      </c>
      <c r="E1545" s="21">
        <v>68</v>
      </c>
      <c r="F1545" s="27" t="str">
        <f>Tabela12[[#This Row],[Régua]]&amp;" ("&amp;Tabela12[[#This Row],[Born]]&amp;")"</f>
        <v>XE1 (68)</v>
      </c>
      <c r="G1545" s="27">
        <f>LEN(Tabela12[[#This Row],[Anilha]])</f>
        <v>8</v>
      </c>
      <c r="H1545" s="21">
        <f>VLOOKUP(Tabela12[[#This Row],[Tag Cabo]],BD!A:F,6,0)</f>
        <v>2.5</v>
      </c>
      <c r="I1545" s="27" t="s">
        <v>1707</v>
      </c>
      <c r="J1545" s="27" t="s">
        <v>1928</v>
      </c>
    </row>
    <row r="1546" spans="1:10" x14ac:dyDescent="0.25">
      <c r="A1546" s="21" t="s">
        <v>194</v>
      </c>
      <c r="B1546" s="391" t="str">
        <f>VLOOKUP(Tabela12[[#This Row],[Painel]],Tabela13[],2,0)</f>
        <v>1MV</v>
      </c>
      <c r="C1546" s="391" t="s">
        <v>196</v>
      </c>
      <c r="D1546" s="21" t="s">
        <v>1881</v>
      </c>
      <c r="E1546" s="21">
        <v>69</v>
      </c>
      <c r="F1546" s="27" t="str">
        <f>Tabela12[[#This Row],[Régua]]&amp;" ("&amp;Tabela12[[#This Row],[Born]]&amp;")"</f>
        <v>XE1 (69)</v>
      </c>
      <c r="G1546" s="27">
        <f>LEN(Tabela12[[#This Row],[Anilha]])</f>
        <v>8</v>
      </c>
      <c r="H1546" s="21">
        <f>VLOOKUP(Tabela12[[#This Row],[Tag Cabo]],BD!A:F,6,0)</f>
        <v>2.5</v>
      </c>
      <c r="I1546" s="27" t="s">
        <v>1707</v>
      </c>
      <c r="J1546" s="27" t="s">
        <v>1928</v>
      </c>
    </row>
    <row r="1547" spans="1:10" x14ac:dyDescent="0.25">
      <c r="A1547" s="21" t="s">
        <v>194</v>
      </c>
      <c r="B1547" s="391" t="str">
        <f>VLOOKUP(Tabela12[[#This Row],[Painel]],Tabela13[],2,0)</f>
        <v>1MV</v>
      </c>
      <c r="C1547" s="391" t="s">
        <v>1538</v>
      </c>
      <c r="D1547" s="21" t="s">
        <v>1881</v>
      </c>
      <c r="E1547" s="21">
        <v>7</v>
      </c>
      <c r="F1547" s="27" t="str">
        <f>Tabela12[[#This Row],[Régua]]&amp;" ("&amp;Tabela12[[#This Row],[Born]]&amp;")"</f>
        <v>XE1 (7)</v>
      </c>
      <c r="G1547" s="27">
        <f>LEN(Tabela12[[#This Row],[Anilha]])</f>
        <v>7</v>
      </c>
      <c r="H1547" s="21">
        <f>VLOOKUP(Tabela12[[#This Row],[Tag Cabo]],BD!A:F,6,0)</f>
        <v>2.5</v>
      </c>
      <c r="I1547" s="27" t="s">
        <v>1707</v>
      </c>
      <c r="J1547" s="27" t="s">
        <v>1928</v>
      </c>
    </row>
    <row r="1548" spans="1:10" x14ac:dyDescent="0.25">
      <c r="A1548" s="21" t="s">
        <v>194</v>
      </c>
      <c r="B1548" s="391" t="str">
        <f>VLOOKUP(Tabela12[[#This Row],[Painel]],Tabela13[],2,0)</f>
        <v>1MV</v>
      </c>
      <c r="C1548" s="391" t="s">
        <v>1538</v>
      </c>
      <c r="D1548" s="21" t="s">
        <v>1881</v>
      </c>
      <c r="E1548" s="21">
        <v>8</v>
      </c>
      <c r="F1548" s="27" t="str">
        <f>Tabela12[[#This Row],[Régua]]&amp;" ("&amp;Tabela12[[#This Row],[Born]]&amp;")"</f>
        <v>XE1 (8)</v>
      </c>
      <c r="G1548" s="27">
        <f>LEN(Tabela12[[#This Row],[Anilha]])</f>
        <v>7</v>
      </c>
      <c r="H1548" s="21">
        <f>VLOOKUP(Tabela12[[#This Row],[Tag Cabo]],BD!A:F,6,0)</f>
        <v>2.5</v>
      </c>
      <c r="I1548" s="27" t="s">
        <v>1707</v>
      </c>
      <c r="J1548" s="27" t="s">
        <v>1928</v>
      </c>
    </row>
    <row r="1549" spans="1:10" x14ac:dyDescent="0.25">
      <c r="A1549" s="21" t="s">
        <v>194</v>
      </c>
      <c r="B1549" s="391" t="str">
        <f>VLOOKUP(Tabela12[[#This Row],[Painel]],Tabela13[],2,0)</f>
        <v>1MV</v>
      </c>
      <c r="C1549" s="391" t="s">
        <v>1538</v>
      </c>
      <c r="D1549" s="21" t="s">
        <v>1881</v>
      </c>
      <c r="E1549" s="21">
        <v>9</v>
      </c>
      <c r="F1549" s="27" t="str">
        <f>Tabela12[[#This Row],[Régua]]&amp;" ("&amp;Tabela12[[#This Row],[Born]]&amp;")"</f>
        <v>XE1 (9)</v>
      </c>
      <c r="G1549" s="27">
        <f>LEN(Tabela12[[#This Row],[Anilha]])</f>
        <v>7</v>
      </c>
      <c r="H1549" s="21">
        <f>VLOOKUP(Tabela12[[#This Row],[Tag Cabo]],BD!A:F,6,0)</f>
        <v>2.5</v>
      </c>
      <c r="I1549" s="27" t="s">
        <v>1707</v>
      </c>
      <c r="J1549" s="27" t="s">
        <v>1928</v>
      </c>
    </row>
    <row r="1550" spans="1:10" x14ac:dyDescent="0.25">
      <c r="A1550" s="21" t="s">
        <v>194</v>
      </c>
      <c r="B1550" s="391" t="str">
        <f>VLOOKUP(Tabela12[[#This Row],[Painel]],Tabela13[],2,0)</f>
        <v>1MV</v>
      </c>
      <c r="C1550" s="391" t="s">
        <v>1538</v>
      </c>
      <c r="D1550" s="21" t="s">
        <v>1881</v>
      </c>
      <c r="E1550" s="21">
        <v>10</v>
      </c>
      <c r="F1550" s="27" t="str">
        <f>Tabela12[[#This Row],[Régua]]&amp;" ("&amp;Tabela12[[#This Row],[Born]]&amp;")"</f>
        <v>XE1 (10)</v>
      </c>
      <c r="G1550" s="27">
        <f>LEN(Tabela12[[#This Row],[Anilha]])</f>
        <v>8</v>
      </c>
      <c r="H1550" s="21">
        <f>VLOOKUP(Tabela12[[#This Row],[Tag Cabo]],BD!A:F,6,0)</f>
        <v>2.5</v>
      </c>
      <c r="I1550" s="27" t="s">
        <v>1707</v>
      </c>
      <c r="J1550" s="27" t="s">
        <v>1928</v>
      </c>
    </row>
    <row r="1551" spans="1:10" x14ac:dyDescent="0.25">
      <c r="A1551" s="21" t="s">
        <v>251</v>
      </c>
      <c r="B1551" s="391" t="str">
        <f>VLOOKUP(Tabela12[[#This Row],[Painel]],Tabela13[],2,0)</f>
        <v>1MV</v>
      </c>
      <c r="C1551" s="391" t="s">
        <v>1538</v>
      </c>
      <c r="D1551" s="21" t="s">
        <v>1881</v>
      </c>
      <c r="E1551" s="21">
        <v>7</v>
      </c>
      <c r="F1551" s="27" t="str">
        <f>Tabela12[[#This Row],[Régua]]&amp;" ("&amp;Tabela12[[#This Row],[Born]]&amp;")"</f>
        <v>XE1 (7)</v>
      </c>
      <c r="G1551" s="27">
        <f>LEN(Tabela12[[#This Row],[Anilha]])</f>
        <v>7</v>
      </c>
      <c r="H1551" s="21">
        <f>VLOOKUP(Tabela12[[#This Row],[Tag Cabo]],BD!A:F,6,0)</f>
        <v>2.5</v>
      </c>
      <c r="I1551" s="27" t="s">
        <v>1707</v>
      </c>
      <c r="J1551" s="27" t="s">
        <v>1928</v>
      </c>
    </row>
    <row r="1552" spans="1:10" x14ac:dyDescent="0.25">
      <c r="A1552" s="21" t="s">
        <v>251</v>
      </c>
      <c r="B1552" s="391" t="str">
        <f>VLOOKUP(Tabela12[[#This Row],[Painel]],Tabela13[],2,0)</f>
        <v>1MV</v>
      </c>
      <c r="C1552" s="391" t="s">
        <v>1538</v>
      </c>
      <c r="D1552" s="21" t="s">
        <v>1881</v>
      </c>
      <c r="E1552" s="21">
        <v>8</v>
      </c>
      <c r="F1552" s="27" t="str">
        <f>Tabela12[[#This Row],[Régua]]&amp;" ("&amp;Tabela12[[#This Row],[Born]]&amp;")"</f>
        <v>XE1 (8)</v>
      </c>
      <c r="G1552" s="27">
        <f>LEN(Tabela12[[#This Row],[Anilha]])</f>
        <v>7</v>
      </c>
      <c r="H1552" s="21">
        <f>VLOOKUP(Tabela12[[#This Row],[Tag Cabo]],BD!A:F,6,0)</f>
        <v>2.5</v>
      </c>
      <c r="I1552" s="27" t="s">
        <v>1707</v>
      </c>
      <c r="J1552" s="27" t="s">
        <v>1928</v>
      </c>
    </row>
    <row r="1553" spans="1:10" x14ac:dyDescent="0.25">
      <c r="A1553" s="21" t="s">
        <v>251</v>
      </c>
      <c r="B1553" s="391" t="str">
        <f>VLOOKUP(Tabela12[[#This Row],[Painel]],Tabela13[],2,0)</f>
        <v>1MV</v>
      </c>
      <c r="C1553" s="391" t="s">
        <v>1538</v>
      </c>
      <c r="D1553" s="21" t="s">
        <v>1881</v>
      </c>
      <c r="E1553" s="21">
        <v>9</v>
      </c>
      <c r="F1553" s="27" t="str">
        <f>Tabela12[[#This Row],[Régua]]&amp;" ("&amp;Tabela12[[#This Row],[Born]]&amp;")"</f>
        <v>XE1 (9)</v>
      </c>
      <c r="G1553" s="27">
        <f>LEN(Tabela12[[#This Row],[Anilha]])</f>
        <v>7</v>
      </c>
      <c r="H1553" s="21">
        <f>VLOOKUP(Tabela12[[#This Row],[Tag Cabo]],BD!A:F,6,0)</f>
        <v>2.5</v>
      </c>
      <c r="I1553" s="27" t="s">
        <v>1707</v>
      </c>
      <c r="J1553" s="27" t="s">
        <v>1928</v>
      </c>
    </row>
    <row r="1554" spans="1:10" x14ac:dyDescent="0.25">
      <c r="A1554" s="21" t="s">
        <v>251</v>
      </c>
      <c r="B1554" s="391" t="str">
        <f>VLOOKUP(Tabela12[[#This Row],[Painel]],Tabela13[],2,0)</f>
        <v>1MV</v>
      </c>
      <c r="C1554" s="391" t="s">
        <v>1538</v>
      </c>
      <c r="D1554" s="21" t="s">
        <v>1881</v>
      </c>
      <c r="E1554" s="21">
        <v>10</v>
      </c>
      <c r="F1554" s="27" t="str">
        <f>Tabela12[[#This Row],[Régua]]&amp;" ("&amp;Tabela12[[#This Row],[Born]]&amp;")"</f>
        <v>XE1 (10)</v>
      </c>
      <c r="G1554" s="27">
        <f>LEN(Tabela12[[#This Row],[Anilha]])</f>
        <v>8</v>
      </c>
      <c r="H1554" s="21">
        <f>VLOOKUP(Tabela12[[#This Row],[Tag Cabo]],BD!A:F,6,0)</f>
        <v>2.5</v>
      </c>
      <c r="I1554" s="27" t="s">
        <v>1707</v>
      </c>
      <c r="J1554" s="27" t="s">
        <v>1928</v>
      </c>
    </row>
    <row r="1555" spans="1:10" x14ac:dyDescent="0.25">
      <c r="A1555" s="21" t="s">
        <v>251</v>
      </c>
      <c r="B1555" s="391" t="str">
        <f>VLOOKUP(Tabela12[[#This Row],[Painel]],Tabela13[],2,0)</f>
        <v>GA-906E</v>
      </c>
      <c r="C1555" s="391" t="s">
        <v>235</v>
      </c>
      <c r="D1555" s="21" t="s">
        <v>1929</v>
      </c>
      <c r="E1555" s="21">
        <v>1</v>
      </c>
      <c r="F1555" s="27" t="str">
        <f>Tabela12[[#This Row],[Régua]]&amp;" ("&amp;Tabela12[[#This Row],[Born]]&amp;")"</f>
        <v>LIGA (1)</v>
      </c>
      <c r="G1555" s="27">
        <f>LEN(Tabela12[[#This Row],[Anilha]])</f>
        <v>8</v>
      </c>
      <c r="H1555" s="21">
        <f>VLOOKUP(Tabela12[[#This Row],[Tag Cabo]],BD!A:F,6,0)</f>
        <v>2.5</v>
      </c>
      <c r="I1555" s="27" t="s">
        <v>1707</v>
      </c>
      <c r="J1555" s="27" t="s">
        <v>1706</v>
      </c>
    </row>
    <row r="1556" spans="1:10" x14ac:dyDescent="0.25">
      <c r="A1556" s="21" t="s">
        <v>251</v>
      </c>
      <c r="B1556" s="391" t="str">
        <f>VLOOKUP(Tabela12[[#This Row],[Painel]],Tabela13[],2,0)</f>
        <v>GA-906E</v>
      </c>
      <c r="C1556" s="391" t="s">
        <v>235</v>
      </c>
      <c r="D1556" s="21" t="s">
        <v>1929</v>
      </c>
      <c r="E1556" s="21">
        <v>2</v>
      </c>
      <c r="F1556" s="27" t="str">
        <f>Tabela12[[#This Row],[Régua]]&amp;" ("&amp;Tabela12[[#This Row],[Born]]&amp;")"</f>
        <v>LIGA (2)</v>
      </c>
      <c r="G1556" s="27">
        <f>LEN(Tabela12[[#This Row],[Anilha]])</f>
        <v>8</v>
      </c>
      <c r="H1556" s="21">
        <f>VLOOKUP(Tabela12[[#This Row],[Tag Cabo]],BD!A:F,6,0)</f>
        <v>2.5</v>
      </c>
      <c r="I1556" s="27" t="s">
        <v>1707</v>
      </c>
      <c r="J1556" s="27" t="s">
        <v>1706</v>
      </c>
    </row>
    <row r="1557" spans="1:10" x14ac:dyDescent="0.25">
      <c r="A1557" s="21" t="s">
        <v>251</v>
      </c>
      <c r="B1557" s="391" t="str">
        <f>VLOOKUP(Tabela12[[#This Row],[Painel]],Tabela13[],2,0)</f>
        <v>GA-906E</v>
      </c>
      <c r="C1557" s="391" t="s">
        <v>235</v>
      </c>
      <c r="D1557" s="21" t="s">
        <v>1930</v>
      </c>
      <c r="E1557" s="21">
        <v>3</v>
      </c>
      <c r="F1557" s="27" t="str">
        <f>Tabela12[[#This Row],[Régua]]&amp;" ("&amp;Tabela12[[#This Row],[Born]]&amp;")"</f>
        <v>FALHA (3)</v>
      </c>
      <c r="G1557" s="27">
        <f>LEN(Tabela12[[#This Row],[Anilha]])</f>
        <v>9</v>
      </c>
      <c r="H1557" s="21">
        <f>VLOOKUP(Tabela12[[#This Row],[Tag Cabo]],BD!A:F,6,0)</f>
        <v>2.5</v>
      </c>
      <c r="I1557" s="27" t="s">
        <v>1707</v>
      </c>
      <c r="J1557" s="27" t="s">
        <v>1706</v>
      </c>
    </row>
    <row r="1558" spans="1:10" x14ac:dyDescent="0.25">
      <c r="A1558" s="21" t="s">
        <v>251</v>
      </c>
      <c r="B1558" s="391" t="str">
        <f>VLOOKUP(Tabela12[[#This Row],[Painel]],Tabela13[],2,0)</f>
        <v>GA-906E</v>
      </c>
      <c r="C1558" s="391" t="s">
        <v>235</v>
      </c>
      <c r="D1558" s="21" t="s">
        <v>1930</v>
      </c>
      <c r="E1558" s="21">
        <v>4</v>
      </c>
      <c r="F1558" s="27" t="str">
        <f>Tabela12[[#This Row],[Régua]]&amp;" ("&amp;Tabela12[[#This Row],[Born]]&amp;")"</f>
        <v>FALHA (4)</v>
      </c>
      <c r="G1558" s="27">
        <f>LEN(Tabela12[[#This Row],[Anilha]])</f>
        <v>9</v>
      </c>
      <c r="H1558" s="21">
        <f>VLOOKUP(Tabela12[[#This Row],[Tag Cabo]],BD!A:F,6,0)</f>
        <v>2.5</v>
      </c>
      <c r="I1558" s="27" t="s">
        <v>1707</v>
      </c>
      <c r="J1558" s="27" t="s">
        <v>1706</v>
      </c>
    </row>
    <row r="1559" spans="1:10" x14ac:dyDescent="0.25">
      <c r="A1559" s="21" t="s">
        <v>206</v>
      </c>
      <c r="B1559" s="391" t="str">
        <f>VLOOKUP(Tabela12[[#This Row],[Painel]],Tabela13[],2,0)</f>
        <v>1MV</v>
      </c>
      <c r="C1559" s="391" t="s">
        <v>196</v>
      </c>
      <c r="D1559" s="21" t="s">
        <v>1881</v>
      </c>
      <c r="E1559" s="21">
        <v>66</v>
      </c>
      <c r="F1559" s="27" t="str">
        <f>Tabela12[[#This Row],[Régua]]&amp;" ("&amp;Tabela12[[#This Row],[Born]]&amp;")"</f>
        <v>XE1 (66)</v>
      </c>
      <c r="G1559" s="27">
        <f>LEN(Tabela12[[#This Row],[Anilha]])</f>
        <v>8</v>
      </c>
      <c r="H1559" s="21">
        <f>VLOOKUP(Tabela12[[#This Row],[Tag Cabo]],BD!A:F,6,0)</f>
        <v>2.5</v>
      </c>
      <c r="I1559" s="27" t="s">
        <v>1707</v>
      </c>
      <c r="J1559" s="27" t="s">
        <v>1706</v>
      </c>
    </row>
    <row r="1560" spans="1:10" x14ac:dyDescent="0.25">
      <c r="A1560" s="21" t="s">
        <v>206</v>
      </c>
      <c r="B1560" s="391" t="str">
        <f>VLOOKUP(Tabela12[[#This Row],[Painel]],Tabela13[],2,0)</f>
        <v>1MV</v>
      </c>
      <c r="C1560" s="391" t="s">
        <v>196</v>
      </c>
      <c r="D1560" s="21" t="s">
        <v>1881</v>
      </c>
      <c r="E1560" s="21">
        <v>71</v>
      </c>
      <c r="F1560" s="27" t="str">
        <f>Tabela12[[#This Row],[Régua]]&amp;" ("&amp;Tabela12[[#This Row],[Born]]&amp;")"</f>
        <v>XE1 (71)</v>
      </c>
      <c r="G1560" s="27">
        <f>LEN(Tabela12[[#This Row],[Anilha]])</f>
        <v>8</v>
      </c>
      <c r="H1560" s="21">
        <f>VLOOKUP(Tabela12[[#This Row],[Tag Cabo]],BD!A:F,6,0)</f>
        <v>2.5</v>
      </c>
      <c r="I1560" s="27" t="s">
        <v>1707</v>
      </c>
      <c r="J1560" s="27" t="s">
        <v>1706</v>
      </c>
    </row>
    <row r="1561" spans="1:10" x14ac:dyDescent="0.25">
      <c r="A1561" s="21" t="s">
        <v>206</v>
      </c>
      <c r="B1561" s="391" t="str">
        <f>VLOOKUP(Tabela12[[#This Row],[Painel]],Tabela13[],2,0)</f>
        <v>1MV</v>
      </c>
      <c r="C1561" s="391" t="s">
        <v>196</v>
      </c>
      <c r="D1561" s="21" t="s">
        <v>1881</v>
      </c>
      <c r="E1561" s="21">
        <v>67</v>
      </c>
      <c r="F1561" s="27" t="str">
        <f>Tabela12[[#This Row],[Régua]]&amp;" ("&amp;Tabela12[[#This Row],[Born]]&amp;")"</f>
        <v>XE1 (67)</v>
      </c>
      <c r="G1561" s="27">
        <f>LEN(Tabela12[[#This Row],[Anilha]])</f>
        <v>8</v>
      </c>
      <c r="H1561" s="21">
        <f>VLOOKUP(Tabela12[[#This Row],[Tag Cabo]],BD!A:F,6,0)</f>
        <v>2.5</v>
      </c>
      <c r="I1561" s="27" t="s">
        <v>1707</v>
      </c>
      <c r="J1561" s="27" t="s">
        <v>1706</v>
      </c>
    </row>
    <row r="1562" spans="1:10" x14ac:dyDescent="0.25">
      <c r="A1562" s="21" t="s">
        <v>206</v>
      </c>
      <c r="B1562" s="391" t="str">
        <f>VLOOKUP(Tabela12[[#This Row],[Painel]],Tabela13[],2,0)</f>
        <v>1MV</v>
      </c>
      <c r="C1562" s="391" t="s">
        <v>196</v>
      </c>
      <c r="D1562" s="21" t="s">
        <v>1881</v>
      </c>
      <c r="E1562" s="21">
        <v>72</v>
      </c>
      <c r="F1562" s="27" t="str">
        <f>Tabela12[[#This Row],[Régua]]&amp;" ("&amp;Tabela12[[#This Row],[Born]]&amp;")"</f>
        <v>XE1 (72)</v>
      </c>
      <c r="G1562" s="27">
        <f>LEN(Tabela12[[#This Row],[Anilha]])</f>
        <v>8</v>
      </c>
      <c r="H1562" s="21">
        <f>VLOOKUP(Tabela12[[#This Row],[Tag Cabo]],BD!A:F,6,0)</f>
        <v>2.5</v>
      </c>
      <c r="I1562" s="27" t="s">
        <v>1707</v>
      </c>
      <c r="J1562" s="27" t="s">
        <v>1706</v>
      </c>
    </row>
    <row r="1563" spans="1:10" x14ac:dyDescent="0.25">
      <c r="A1563" s="21" t="s">
        <v>206</v>
      </c>
      <c r="B1563" s="391" t="str">
        <f>VLOOKUP(Tabela12[[#This Row],[Painel]],Tabela13[],2,0)</f>
        <v>1MV</v>
      </c>
      <c r="C1563" s="391" t="s">
        <v>196</v>
      </c>
      <c r="D1563" s="21" t="s">
        <v>1881</v>
      </c>
      <c r="E1563" s="21">
        <v>68</v>
      </c>
      <c r="F1563" s="27" t="str">
        <f>Tabela12[[#This Row],[Régua]]&amp;" ("&amp;Tabela12[[#This Row],[Born]]&amp;")"</f>
        <v>XE1 (68)</v>
      </c>
      <c r="G1563" s="27">
        <f>LEN(Tabela12[[#This Row],[Anilha]])</f>
        <v>8</v>
      </c>
      <c r="H1563" s="21">
        <f>VLOOKUP(Tabela12[[#This Row],[Tag Cabo]],BD!A:F,6,0)</f>
        <v>2.5</v>
      </c>
      <c r="I1563" s="27" t="s">
        <v>1707</v>
      </c>
      <c r="J1563" s="27" t="s">
        <v>1706</v>
      </c>
    </row>
    <row r="1564" spans="1:10" x14ac:dyDescent="0.25">
      <c r="A1564" s="21" t="s">
        <v>206</v>
      </c>
      <c r="B1564" s="391" t="str">
        <f>VLOOKUP(Tabela12[[#This Row],[Painel]],Tabela13[],2,0)</f>
        <v>1MV</v>
      </c>
      <c r="C1564" s="391" t="s">
        <v>196</v>
      </c>
      <c r="D1564" s="21" t="s">
        <v>1881</v>
      </c>
      <c r="E1564" s="21">
        <v>73</v>
      </c>
      <c r="F1564" s="27" t="str">
        <f>Tabela12[[#This Row],[Régua]]&amp;" ("&amp;Tabela12[[#This Row],[Born]]&amp;")"</f>
        <v>XE1 (73)</v>
      </c>
      <c r="G1564" s="27">
        <f>LEN(Tabela12[[#This Row],[Anilha]])</f>
        <v>8</v>
      </c>
      <c r="H1564" s="21">
        <f>VLOOKUP(Tabela12[[#This Row],[Tag Cabo]],BD!A:F,6,0)</f>
        <v>2.5</v>
      </c>
      <c r="I1564" s="27" t="s">
        <v>1707</v>
      </c>
      <c r="J1564" s="27" t="s">
        <v>1706</v>
      </c>
    </row>
    <row r="1565" spans="1:10" x14ac:dyDescent="0.25">
      <c r="A1565" s="21" t="s">
        <v>206</v>
      </c>
      <c r="B1565" s="391" t="str">
        <f>VLOOKUP(Tabela12[[#This Row],[Painel]],Tabela13[],2,0)</f>
        <v>1MV</v>
      </c>
      <c r="C1565" s="391" t="s">
        <v>1538</v>
      </c>
      <c r="D1565" s="21" t="s">
        <v>1538</v>
      </c>
      <c r="E1565" s="21">
        <v>3</v>
      </c>
      <c r="F1565" s="27" t="str">
        <f>Tabela12[[#This Row],[Régua]]&amp;" ("&amp;Tabela12[[#This Row],[Born]]&amp;")"</f>
        <v>GAINE IV (3)</v>
      </c>
      <c r="G1565" s="27">
        <f>LEN(Tabela12[[#This Row],[Anilha]])</f>
        <v>12</v>
      </c>
      <c r="H1565" s="21">
        <f>VLOOKUP(Tabela12[[#This Row],[Tag Cabo]],BD!A:F,6,0)</f>
        <v>2.5</v>
      </c>
      <c r="I1565" s="27" t="s">
        <v>1707</v>
      </c>
      <c r="J1565" s="27" t="s">
        <v>1706</v>
      </c>
    </row>
    <row r="1566" spans="1:10" x14ac:dyDescent="0.25">
      <c r="A1566" s="21" t="s">
        <v>206</v>
      </c>
      <c r="B1566" s="391" t="str">
        <f>VLOOKUP(Tabela12[[#This Row],[Painel]],Tabela13[],2,0)</f>
        <v>1MV</v>
      </c>
      <c r="C1566" s="391" t="s">
        <v>1538</v>
      </c>
      <c r="D1566" s="21" t="s">
        <v>1538</v>
      </c>
      <c r="E1566" s="21">
        <v>4</v>
      </c>
      <c r="F1566" s="27" t="str">
        <f>Tabela12[[#This Row],[Régua]]&amp;" ("&amp;Tabela12[[#This Row],[Born]]&amp;")"</f>
        <v>GAINE IV (4)</v>
      </c>
      <c r="G1566" s="27">
        <f>LEN(Tabela12[[#This Row],[Anilha]])</f>
        <v>12</v>
      </c>
      <c r="H1566" s="21">
        <f>VLOOKUP(Tabela12[[#This Row],[Tag Cabo]],BD!A:F,6,0)</f>
        <v>2.5</v>
      </c>
      <c r="I1566" s="27" t="s">
        <v>1707</v>
      </c>
      <c r="J1566" s="27" t="s">
        <v>1706</v>
      </c>
    </row>
    <row r="1567" spans="1:10" x14ac:dyDescent="0.25">
      <c r="A1567" s="21" t="s">
        <v>206</v>
      </c>
      <c r="B1567" s="391" t="str">
        <f>VLOOKUP(Tabela12[[#This Row],[Painel]],Tabela13[],2,0)</f>
        <v>1MV</v>
      </c>
      <c r="C1567" s="391" t="s">
        <v>1538</v>
      </c>
      <c r="D1567" s="21" t="s">
        <v>1538</v>
      </c>
      <c r="E1567" s="21">
        <v>5</v>
      </c>
      <c r="F1567" s="27" t="str">
        <f>Tabela12[[#This Row],[Régua]]&amp;" ("&amp;Tabela12[[#This Row],[Born]]&amp;")"</f>
        <v>GAINE IV (5)</v>
      </c>
      <c r="G1567" s="27">
        <f>LEN(Tabela12[[#This Row],[Anilha]])</f>
        <v>12</v>
      </c>
      <c r="H1567" s="21">
        <f>VLOOKUP(Tabela12[[#This Row],[Tag Cabo]],BD!A:F,6,0)</f>
        <v>2.5</v>
      </c>
      <c r="I1567" s="27" t="s">
        <v>1707</v>
      </c>
      <c r="J1567" s="27" t="s">
        <v>1706</v>
      </c>
    </row>
    <row r="1568" spans="1:10" x14ac:dyDescent="0.25">
      <c r="A1568" s="21" t="s">
        <v>206</v>
      </c>
      <c r="B1568" s="391" t="str">
        <f>VLOOKUP(Tabela12[[#This Row],[Painel]],Tabela13[],2,0)</f>
        <v>1MV</v>
      </c>
      <c r="C1568" s="391" t="s">
        <v>1538</v>
      </c>
      <c r="D1568" s="21" t="s">
        <v>1538</v>
      </c>
      <c r="E1568" s="21">
        <v>6</v>
      </c>
      <c r="F1568" s="27" t="str">
        <f>Tabela12[[#This Row],[Régua]]&amp;" ("&amp;Tabela12[[#This Row],[Born]]&amp;")"</f>
        <v>GAINE IV (6)</v>
      </c>
      <c r="G1568" s="27">
        <f>LEN(Tabela12[[#This Row],[Anilha]])</f>
        <v>12</v>
      </c>
      <c r="H1568" s="21">
        <f>VLOOKUP(Tabela12[[#This Row],[Tag Cabo]],BD!A:F,6,0)</f>
        <v>2.5</v>
      </c>
      <c r="I1568" s="27" t="s">
        <v>1707</v>
      </c>
      <c r="J1568" s="27" t="s">
        <v>1706</v>
      </c>
    </row>
    <row r="1569" spans="1:10" x14ac:dyDescent="0.25">
      <c r="A1569" s="21" t="s">
        <v>206</v>
      </c>
      <c r="B1569" s="391" t="str">
        <f>VLOOKUP(Tabela12[[#This Row],[Painel]],Tabela13[],2,0)</f>
        <v>1MV</v>
      </c>
      <c r="C1569" s="391" t="s">
        <v>1538</v>
      </c>
      <c r="D1569" s="21" t="s">
        <v>1538</v>
      </c>
      <c r="E1569" s="21">
        <v>7</v>
      </c>
      <c r="F1569" s="27" t="str">
        <f>Tabela12[[#This Row],[Régua]]&amp;" ("&amp;Tabela12[[#This Row],[Born]]&amp;")"</f>
        <v>GAINE IV (7)</v>
      </c>
      <c r="G1569" s="27">
        <f>LEN(Tabela12[[#This Row],[Anilha]])</f>
        <v>12</v>
      </c>
      <c r="H1569" s="21">
        <f>VLOOKUP(Tabela12[[#This Row],[Tag Cabo]],BD!A:F,6,0)</f>
        <v>2.5</v>
      </c>
      <c r="I1569" s="27" t="s">
        <v>1707</v>
      </c>
      <c r="J1569" s="27" t="s">
        <v>1706</v>
      </c>
    </row>
    <row r="1570" spans="1:10" x14ac:dyDescent="0.25">
      <c r="A1570" s="21" t="s">
        <v>206</v>
      </c>
      <c r="B1570" s="391" t="str">
        <f>VLOOKUP(Tabela12[[#This Row],[Painel]],Tabela13[],2,0)</f>
        <v>1MV</v>
      </c>
      <c r="C1570" s="391" t="s">
        <v>1538</v>
      </c>
      <c r="D1570" s="21" t="s">
        <v>1538</v>
      </c>
      <c r="E1570" s="21">
        <v>8</v>
      </c>
      <c r="F1570" s="27" t="str">
        <f>Tabela12[[#This Row],[Régua]]&amp;" ("&amp;Tabela12[[#This Row],[Born]]&amp;")"</f>
        <v>GAINE IV (8)</v>
      </c>
      <c r="G1570" s="27">
        <f>LEN(Tabela12[[#This Row],[Anilha]])</f>
        <v>12</v>
      </c>
      <c r="H1570" s="21">
        <f>VLOOKUP(Tabela12[[#This Row],[Tag Cabo]],BD!A:F,6,0)</f>
        <v>2.5</v>
      </c>
      <c r="I1570" s="27" t="s">
        <v>1707</v>
      </c>
      <c r="J1570" s="27" t="s">
        <v>1706</v>
      </c>
    </row>
    <row r="1571" spans="1:10" x14ac:dyDescent="0.25">
      <c r="A1571" s="21" t="s">
        <v>276</v>
      </c>
      <c r="B1571" s="391" t="str">
        <f>VLOOKUP(Tabela12[[#This Row],[Painel]],Tabela13[],2,0)</f>
        <v>1MV</v>
      </c>
      <c r="C1571" s="391" t="s">
        <v>1538</v>
      </c>
      <c r="D1571" s="21" t="s">
        <v>1538</v>
      </c>
      <c r="E1571" s="21">
        <v>3</v>
      </c>
      <c r="F1571" s="27" t="str">
        <f>Tabela12[[#This Row],[Régua]]&amp;" ("&amp;Tabela12[[#This Row],[Born]]&amp;")"</f>
        <v>GAINE IV (3)</v>
      </c>
      <c r="G1571" s="27">
        <f>LEN(Tabela12[[#This Row],[Anilha]])</f>
        <v>12</v>
      </c>
      <c r="H1571" s="21">
        <f>VLOOKUP(Tabela12[[#This Row],[Tag Cabo]],BD!A:F,6,0)</f>
        <v>2.5</v>
      </c>
      <c r="I1571" s="27" t="s">
        <v>1707</v>
      </c>
      <c r="J1571" s="27" t="s">
        <v>1706</v>
      </c>
    </row>
    <row r="1572" spans="1:10" x14ac:dyDescent="0.25">
      <c r="A1572" s="21" t="s">
        <v>276</v>
      </c>
      <c r="B1572" s="391" t="str">
        <f>VLOOKUP(Tabela12[[#This Row],[Painel]],Tabela13[],2,0)</f>
        <v>1MV</v>
      </c>
      <c r="C1572" s="391" t="s">
        <v>1538</v>
      </c>
      <c r="D1572" s="21" t="s">
        <v>1538</v>
      </c>
      <c r="E1572" s="21">
        <v>4</v>
      </c>
      <c r="F1572" s="27" t="str">
        <f>Tabela12[[#This Row],[Régua]]&amp;" ("&amp;Tabela12[[#This Row],[Born]]&amp;")"</f>
        <v>GAINE IV (4)</v>
      </c>
      <c r="G1572" s="27">
        <f>LEN(Tabela12[[#This Row],[Anilha]])</f>
        <v>12</v>
      </c>
      <c r="H1572" s="21">
        <f>VLOOKUP(Tabela12[[#This Row],[Tag Cabo]],BD!A:F,6,0)</f>
        <v>2.5</v>
      </c>
      <c r="I1572" s="27" t="s">
        <v>1707</v>
      </c>
      <c r="J1572" s="27" t="s">
        <v>1706</v>
      </c>
    </row>
    <row r="1573" spans="1:10" x14ac:dyDescent="0.25">
      <c r="A1573" s="21" t="s">
        <v>276</v>
      </c>
      <c r="B1573" s="391" t="str">
        <f>VLOOKUP(Tabela12[[#This Row],[Painel]],Tabela13[],2,0)</f>
        <v>1MV</v>
      </c>
      <c r="C1573" s="391" t="s">
        <v>1538</v>
      </c>
      <c r="D1573" s="21" t="s">
        <v>1538</v>
      </c>
      <c r="E1573" s="21">
        <v>5</v>
      </c>
      <c r="F1573" s="27" t="str">
        <f>Tabela12[[#This Row],[Régua]]&amp;" ("&amp;Tabela12[[#This Row],[Born]]&amp;")"</f>
        <v>GAINE IV (5)</v>
      </c>
      <c r="G1573" s="27">
        <f>LEN(Tabela12[[#This Row],[Anilha]])</f>
        <v>12</v>
      </c>
      <c r="H1573" s="21">
        <f>VLOOKUP(Tabela12[[#This Row],[Tag Cabo]],BD!A:F,6,0)</f>
        <v>2.5</v>
      </c>
      <c r="I1573" s="27" t="s">
        <v>1707</v>
      </c>
      <c r="J1573" s="27" t="s">
        <v>1706</v>
      </c>
    </row>
    <row r="1574" spans="1:10" x14ac:dyDescent="0.25">
      <c r="A1574" s="21" t="s">
        <v>276</v>
      </c>
      <c r="B1574" s="391" t="str">
        <f>VLOOKUP(Tabela12[[#This Row],[Painel]],Tabela13[],2,0)</f>
        <v>1MV</v>
      </c>
      <c r="C1574" s="391" t="s">
        <v>1538</v>
      </c>
      <c r="D1574" s="21" t="s">
        <v>1538</v>
      </c>
      <c r="E1574" s="21">
        <v>6</v>
      </c>
      <c r="F1574" s="27" t="str">
        <f>Tabela12[[#This Row],[Régua]]&amp;" ("&amp;Tabela12[[#This Row],[Born]]&amp;")"</f>
        <v>GAINE IV (6)</v>
      </c>
      <c r="G1574" s="27">
        <f>LEN(Tabela12[[#This Row],[Anilha]])</f>
        <v>12</v>
      </c>
      <c r="H1574" s="21">
        <f>VLOOKUP(Tabela12[[#This Row],[Tag Cabo]],BD!A:F,6,0)</f>
        <v>2.5</v>
      </c>
      <c r="I1574" s="27" t="s">
        <v>1707</v>
      </c>
      <c r="J1574" s="27" t="s">
        <v>1706</v>
      </c>
    </row>
    <row r="1575" spans="1:10" x14ac:dyDescent="0.25">
      <c r="A1575" s="21" t="s">
        <v>276</v>
      </c>
      <c r="B1575" s="391" t="str">
        <f>VLOOKUP(Tabela12[[#This Row],[Painel]],Tabela13[],2,0)</f>
        <v>1MV</v>
      </c>
      <c r="C1575" s="391" t="s">
        <v>1538</v>
      </c>
      <c r="D1575" s="21" t="s">
        <v>1538</v>
      </c>
      <c r="E1575" s="21">
        <v>7</v>
      </c>
      <c r="F1575" s="27" t="str">
        <f>Tabela12[[#This Row],[Régua]]&amp;" ("&amp;Tabela12[[#This Row],[Born]]&amp;")"</f>
        <v>GAINE IV (7)</v>
      </c>
      <c r="G1575" s="27">
        <f>LEN(Tabela12[[#This Row],[Anilha]])</f>
        <v>12</v>
      </c>
      <c r="H1575" s="21">
        <f>VLOOKUP(Tabela12[[#This Row],[Tag Cabo]],BD!A:F,6,0)</f>
        <v>2.5</v>
      </c>
      <c r="I1575" s="27" t="s">
        <v>1707</v>
      </c>
      <c r="J1575" s="27" t="s">
        <v>1706</v>
      </c>
    </row>
    <row r="1576" spans="1:10" x14ac:dyDescent="0.25">
      <c r="A1576" s="21" t="s">
        <v>276</v>
      </c>
      <c r="B1576" s="391" t="str">
        <f>VLOOKUP(Tabela12[[#This Row],[Painel]],Tabela13[],2,0)</f>
        <v>1MV</v>
      </c>
      <c r="C1576" s="391" t="s">
        <v>1538</v>
      </c>
      <c r="D1576" s="21" t="s">
        <v>1538</v>
      </c>
      <c r="E1576" s="21">
        <v>8</v>
      </c>
      <c r="F1576" s="27" t="str">
        <f>Tabela12[[#This Row],[Régua]]&amp;" ("&amp;Tabela12[[#This Row],[Born]]&amp;")"</f>
        <v>GAINE IV (8)</v>
      </c>
      <c r="G1576" s="27">
        <f>LEN(Tabela12[[#This Row],[Anilha]])</f>
        <v>12</v>
      </c>
      <c r="H1576" s="21">
        <f>VLOOKUP(Tabela12[[#This Row],[Tag Cabo]],BD!A:F,6,0)</f>
        <v>2.5</v>
      </c>
      <c r="I1576" s="27" t="s">
        <v>1707</v>
      </c>
      <c r="J1576" s="27" t="s">
        <v>1706</v>
      </c>
    </row>
    <row r="1577" spans="1:10" x14ac:dyDescent="0.25">
      <c r="A1577" s="21" t="s">
        <v>276</v>
      </c>
      <c r="B1577" s="391" t="str">
        <f>VLOOKUP(Tabela12[[#This Row],[Painel]],Tabela13[],2,0)</f>
        <v>GB-208A</v>
      </c>
      <c r="C1577" s="391" t="s">
        <v>264</v>
      </c>
      <c r="D1577" s="21" t="s">
        <v>1931</v>
      </c>
      <c r="E1577" s="21" t="s">
        <v>1704</v>
      </c>
      <c r="F1577" s="27" t="str">
        <f>Tabela12[[#This Row],[Régua]]&amp;" ("&amp;Tabela12[[#This Row],[Born]]&amp;")"</f>
        <v>LIGADO (X1)</v>
      </c>
      <c r="G1577" s="27">
        <f>LEN(Tabela12[[#This Row],[Anilha]])</f>
        <v>11</v>
      </c>
      <c r="H1577" s="21">
        <f>VLOOKUP(Tabela12[[#This Row],[Tag Cabo]],BD!A:F,6,0)</f>
        <v>2.5</v>
      </c>
      <c r="I1577" s="27" t="s">
        <v>1707</v>
      </c>
      <c r="J1577" s="27" t="s">
        <v>1706</v>
      </c>
    </row>
    <row r="1578" spans="1:10" x14ac:dyDescent="0.25">
      <c r="A1578" s="21" t="s">
        <v>276</v>
      </c>
      <c r="B1578" s="391" t="str">
        <f>VLOOKUP(Tabela12[[#This Row],[Painel]],Tabela13[],2,0)</f>
        <v>GB-208A</v>
      </c>
      <c r="C1578" s="391" t="s">
        <v>264</v>
      </c>
      <c r="D1578" s="21" t="s">
        <v>1931</v>
      </c>
      <c r="E1578" s="21" t="s">
        <v>1898</v>
      </c>
      <c r="F1578" s="27" t="str">
        <f>Tabela12[[#This Row],[Régua]]&amp;" ("&amp;Tabela12[[#This Row],[Born]]&amp;")"</f>
        <v>LIGADO (X2)</v>
      </c>
      <c r="G1578" s="27">
        <f>LEN(Tabela12[[#This Row],[Anilha]])</f>
        <v>11</v>
      </c>
      <c r="H1578" s="21">
        <f>VLOOKUP(Tabela12[[#This Row],[Tag Cabo]],BD!A:F,6,0)</f>
        <v>2.5</v>
      </c>
      <c r="I1578" s="27" t="s">
        <v>1707</v>
      </c>
      <c r="J1578" s="27" t="s">
        <v>1706</v>
      </c>
    </row>
    <row r="1579" spans="1:10" x14ac:dyDescent="0.25">
      <c r="A1579" s="21" t="s">
        <v>276</v>
      </c>
      <c r="B1579" s="391" t="str">
        <f>VLOOKUP(Tabela12[[#This Row],[Painel]],Tabela13[],2,0)</f>
        <v>GB-208A</v>
      </c>
      <c r="C1579" s="391" t="s">
        <v>264</v>
      </c>
      <c r="D1579" s="21" t="s">
        <v>1929</v>
      </c>
      <c r="E1579" s="21">
        <v>3</v>
      </c>
      <c r="F1579" s="27" t="str">
        <f>Tabela12[[#This Row],[Régua]]&amp;" ("&amp;Tabela12[[#This Row],[Born]]&amp;")"</f>
        <v>LIGA (3)</v>
      </c>
      <c r="G1579" s="27">
        <f>LEN(Tabela12[[#This Row],[Anilha]])</f>
        <v>8</v>
      </c>
      <c r="H1579" s="21">
        <f>VLOOKUP(Tabela12[[#This Row],[Tag Cabo]],BD!A:F,6,0)</f>
        <v>2.5</v>
      </c>
      <c r="I1579" s="27" t="s">
        <v>1707</v>
      </c>
      <c r="J1579" s="27" t="s">
        <v>1706</v>
      </c>
    </row>
    <row r="1580" spans="1:10" x14ac:dyDescent="0.25">
      <c r="A1580" s="21" t="s">
        <v>276</v>
      </c>
      <c r="B1580" s="391" t="str">
        <f>VLOOKUP(Tabela12[[#This Row],[Painel]],Tabela13[],2,0)</f>
        <v>GB-208A</v>
      </c>
      <c r="C1580" s="391" t="s">
        <v>264</v>
      </c>
      <c r="D1580" s="21" t="s">
        <v>1929</v>
      </c>
      <c r="E1580" s="21">
        <v>4</v>
      </c>
      <c r="F1580" s="27" t="str">
        <f>Tabela12[[#This Row],[Régua]]&amp;" ("&amp;Tabela12[[#This Row],[Born]]&amp;")"</f>
        <v>LIGA (4)</v>
      </c>
      <c r="G1580" s="27">
        <f>LEN(Tabela12[[#This Row],[Anilha]])</f>
        <v>8</v>
      </c>
      <c r="H1580" s="21">
        <f>VLOOKUP(Tabela12[[#This Row],[Tag Cabo]],BD!A:F,6,0)</f>
        <v>2.5</v>
      </c>
      <c r="I1580" s="27" t="s">
        <v>1707</v>
      </c>
      <c r="J1580" s="27" t="s">
        <v>1706</v>
      </c>
    </row>
    <row r="1581" spans="1:10" x14ac:dyDescent="0.25">
      <c r="A1581" s="21" t="s">
        <v>276</v>
      </c>
      <c r="B1581" s="391" t="str">
        <f>VLOOKUP(Tabela12[[#This Row],[Painel]],Tabela13[],2,0)</f>
        <v>GB-208A</v>
      </c>
      <c r="C1581" s="391" t="s">
        <v>264</v>
      </c>
      <c r="D1581" s="21" t="s">
        <v>1932</v>
      </c>
      <c r="E1581" s="21">
        <v>1</v>
      </c>
      <c r="F1581" s="27" t="str">
        <f>Tabela12[[#This Row],[Régua]]&amp;" ("&amp;Tabela12[[#This Row],[Born]]&amp;")"</f>
        <v>DESL (1)</v>
      </c>
      <c r="G1581" s="27">
        <f>LEN(Tabela12[[#This Row],[Anilha]])</f>
        <v>8</v>
      </c>
      <c r="H1581" s="21">
        <f>VLOOKUP(Tabela12[[#This Row],[Tag Cabo]],BD!A:F,6,0)</f>
        <v>2.5</v>
      </c>
      <c r="I1581" s="27" t="s">
        <v>1707</v>
      </c>
      <c r="J1581" s="27" t="s">
        <v>1706</v>
      </c>
    </row>
    <row r="1582" spans="1:10" x14ac:dyDescent="0.25">
      <c r="A1582" s="21" t="s">
        <v>276</v>
      </c>
      <c r="B1582" s="391" t="str">
        <f>VLOOKUP(Tabela12[[#This Row],[Painel]],Tabela13[],2,0)</f>
        <v>GB-208A</v>
      </c>
      <c r="C1582" s="391" t="s">
        <v>264</v>
      </c>
      <c r="D1582" s="21" t="s">
        <v>1932</v>
      </c>
      <c r="E1582" s="21">
        <v>2</v>
      </c>
      <c r="F1582" s="27" t="str">
        <f>Tabela12[[#This Row],[Régua]]&amp;" ("&amp;Tabela12[[#This Row],[Born]]&amp;")"</f>
        <v>DESL (2)</v>
      </c>
      <c r="G1582" s="27">
        <f>LEN(Tabela12[[#This Row],[Anilha]])</f>
        <v>8</v>
      </c>
      <c r="H1582" s="21">
        <f>VLOOKUP(Tabela12[[#This Row],[Tag Cabo]],BD!A:F,6,0)</f>
        <v>2.5</v>
      </c>
      <c r="I1582" s="27" t="s">
        <v>1707</v>
      </c>
      <c r="J1582" s="27" t="s">
        <v>1706</v>
      </c>
    </row>
    <row r="1583" spans="1:10" x14ac:dyDescent="0.25">
      <c r="A1583" s="21" t="s">
        <v>210</v>
      </c>
      <c r="B1583" s="391" t="str">
        <f>VLOOKUP(Tabela12[[#This Row],[Painel]],Tabela13[],2,0)</f>
        <v>1MV</v>
      </c>
      <c r="C1583" s="391" t="s">
        <v>196</v>
      </c>
      <c r="D1583" s="21" t="s">
        <v>1881</v>
      </c>
      <c r="E1583" s="21">
        <v>65</v>
      </c>
      <c r="F1583" s="27" t="str">
        <f>Tabela12[[#This Row],[Régua]]&amp;" ("&amp;Tabela12[[#This Row],[Born]]&amp;")"</f>
        <v>XE1 (65)</v>
      </c>
      <c r="G1583" s="27">
        <f>LEN(Tabela12[[#This Row],[Anilha]])</f>
        <v>8</v>
      </c>
      <c r="H1583" s="21">
        <f>VLOOKUP(Tabela12[[#This Row],[Tag Cabo]],BD!A:F,6,0)</f>
        <v>2.5</v>
      </c>
      <c r="I1583" s="27" t="s">
        <v>1707</v>
      </c>
      <c r="J1583" s="27" t="s">
        <v>1706</v>
      </c>
    </row>
    <row r="1584" spans="1:10" x14ac:dyDescent="0.25">
      <c r="A1584" s="21" t="s">
        <v>210</v>
      </c>
      <c r="B1584" s="391" t="str">
        <f>VLOOKUP(Tabela12[[#This Row],[Painel]],Tabela13[],2,0)</f>
        <v>1MV</v>
      </c>
      <c r="C1584" s="391" t="s">
        <v>196</v>
      </c>
      <c r="D1584" s="21" t="s">
        <v>1881</v>
      </c>
      <c r="E1584" s="21">
        <v>66</v>
      </c>
      <c r="F1584" s="27" t="str">
        <f>Tabela12[[#This Row],[Régua]]&amp;" ("&amp;Tabela12[[#This Row],[Born]]&amp;")"</f>
        <v>XE1 (66)</v>
      </c>
      <c r="G1584" s="27">
        <f>LEN(Tabela12[[#This Row],[Anilha]])</f>
        <v>8</v>
      </c>
      <c r="H1584" s="21">
        <f>VLOOKUP(Tabela12[[#This Row],[Tag Cabo]],BD!A:F,6,0)</f>
        <v>2.5</v>
      </c>
      <c r="I1584" s="27" t="s">
        <v>1707</v>
      </c>
      <c r="J1584" s="27" t="s">
        <v>1706</v>
      </c>
    </row>
    <row r="1585" spans="1:10" x14ac:dyDescent="0.25">
      <c r="A1585" s="21" t="s">
        <v>210</v>
      </c>
      <c r="B1585" s="391" t="str">
        <f>VLOOKUP(Tabela12[[#This Row],[Painel]],Tabela13[],2,0)</f>
        <v>1MV</v>
      </c>
      <c r="C1585" s="391" t="s">
        <v>196</v>
      </c>
      <c r="D1585" s="21" t="s">
        <v>1881</v>
      </c>
      <c r="E1585" s="21">
        <v>68</v>
      </c>
      <c r="F1585" s="27" t="str">
        <f>Tabela12[[#This Row],[Régua]]&amp;" ("&amp;Tabela12[[#This Row],[Born]]&amp;")"</f>
        <v>XE1 (68)</v>
      </c>
      <c r="G1585" s="27">
        <f>LEN(Tabela12[[#This Row],[Anilha]])</f>
        <v>8</v>
      </c>
      <c r="H1585" s="21">
        <f>VLOOKUP(Tabela12[[#This Row],[Tag Cabo]],BD!A:F,6,0)</f>
        <v>2.5</v>
      </c>
      <c r="I1585" s="27" t="s">
        <v>1707</v>
      </c>
      <c r="J1585" s="27" t="s">
        <v>1706</v>
      </c>
    </row>
    <row r="1586" spans="1:10" x14ac:dyDescent="0.25">
      <c r="A1586" s="21" t="s">
        <v>210</v>
      </c>
      <c r="B1586" s="391" t="str">
        <f>VLOOKUP(Tabela12[[#This Row],[Painel]],Tabela13[],2,0)</f>
        <v>1MV</v>
      </c>
      <c r="C1586" s="391" t="s">
        <v>196</v>
      </c>
      <c r="D1586" s="21" t="s">
        <v>1881</v>
      </c>
      <c r="E1586" s="21">
        <v>69</v>
      </c>
      <c r="F1586" s="27" t="str">
        <f>Tabela12[[#This Row],[Régua]]&amp;" ("&amp;Tabela12[[#This Row],[Born]]&amp;")"</f>
        <v>XE1 (69)</v>
      </c>
      <c r="G1586" s="27">
        <f>LEN(Tabela12[[#This Row],[Anilha]])</f>
        <v>8</v>
      </c>
      <c r="H1586" s="21">
        <f>VLOOKUP(Tabela12[[#This Row],[Tag Cabo]],BD!A:F,6,0)</f>
        <v>2.5</v>
      </c>
      <c r="I1586" s="27" t="s">
        <v>1707</v>
      </c>
      <c r="J1586" s="27" t="s">
        <v>1706</v>
      </c>
    </row>
    <row r="1587" spans="1:10" x14ac:dyDescent="0.25">
      <c r="A1587" s="21" t="s">
        <v>210</v>
      </c>
      <c r="B1587" s="391" t="str">
        <f>VLOOKUP(Tabela12[[#This Row],[Painel]],Tabela13[],2,0)</f>
        <v>1MV</v>
      </c>
      <c r="C1587" s="391" t="s">
        <v>1538</v>
      </c>
      <c r="D1587" s="21" t="s">
        <v>1538</v>
      </c>
      <c r="E1587" s="21">
        <v>3</v>
      </c>
      <c r="F1587" s="27" t="str">
        <f>Tabela12[[#This Row],[Régua]]&amp;" ("&amp;Tabela12[[#This Row],[Born]]&amp;")"</f>
        <v>GAINE IV (3)</v>
      </c>
      <c r="G1587" s="27">
        <f>LEN(Tabela12[[#This Row],[Anilha]])</f>
        <v>12</v>
      </c>
      <c r="H1587" s="21">
        <f>VLOOKUP(Tabela12[[#This Row],[Tag Cabo]],BD!A:F,6,0)</f>
        <v>2.5</v>
      </c>
      <c r="I1587" s="27" t="s">
        <v>1707</v>
      </c>
      <c r="J1587" s="27" t="s">
        <v>1706</v>
      </c>
    </row>
    <row r="1588" spans="1:10" x14ac:dyDescent="0.25">
      <c r="A1588" s="21" t="s">
        <v>210</v>
      </c>
      <c r="B1588" s="391" t="str">
        <f>VLOOKUP(Tabela12[[#This Row],[Painel]],Tabela13[],2,0)</f>
        <v>1MV</v>
      </c>
      <c r="C1588" s="391" t="s">
        <v>1538</v>
      </c>
      <c r="D1588" s="21" t="s">
        <v>1538</v>
      </c>
      <c r="E1588" s="21">
        <v>4</v>
      </c>
      <c r="F1588" s="27" t="str">
        <f>Tabela12[[#This Row],[Régua]]&amp;" ("&amp;Tabela12[[#This Row],[Born]]&amp;")"</f>
        <v>GAINE IV (4)</v>
      </c>
      <c r="G1588" s="27">
        <f>LEN(Tabela12[[#This Row],[Anilha]])</f>
        <v>12</v>
      </c>
      <c r="H1588" s="21">
        <f>VLOOKUP(Tabela12[[#This Row],[Tag Cabo]],BD!A:F,6,0)</f>
        <v>2.5</v>
      </c>
      <c r="I1588" s="27" t="s">
        <v>1707</v>
      </c>
      <c r="J1588" s="27" t="s">
        <v>1706</v>
      </c>
    </row>
    <row r="1589" spans="1:10" x14ac:dyDescent="0.25">
      <c r="A1589" s="21" t="s">
        <v>210</v>
      </c>
      <c r="B1589" s="391" t="str">
        <f>VLOOKUP(Tabela12[[#This Row],[Painel]],Tabela13[],2,0)</f>
        <v>1MV</v>
      </c>
      <c r="C1589" s="391" t="s">
        <v>1538</v>
      </c>
      <c r="D1589" s="21" t="s">
        <v>1538</v>
      </c>
      <c r="E1589" s="21">
        <v>5</v>
      </c>
      <c r="F1589" s="27" t="str">
        <f>Tabela12[[#This Row],[Régua]]&amp;" ("&amp;Tabela12[[#This Row],[Born]]&amp;")"</f>
        <v>GAINE IV (5)</v>
      </c>
      <c r="G1589" s="27">
        <f>LEN(Tabela12[[#This Row],[Anilha]])</f>
        <v>12</v>
      </c>
      <c r="H1589" s="21">
        <f>VLOOKUP(Tabela12[[#This Row],[Tag Cabo]],BD!A:F,6,0)</f>
        <v>2.5</v>
      </c>
      <c r="I1589" s="27" t="s">
        <v>1707</v>
      </c>
      <c r="J1589" s="27" t="s">
        <v>1706</v>
      </c>
    </row>
    <row r="1590" spans="1:10" x14ac:dyDescent="0.25">
      <c r="A1590" s="21" t="s">
        <v>210</v>
      </c>
      <c r="B1590" s="391" t="str">
        <f>VLOOKUP(Tabela12[[#This Row],[Painel]],Tabela13[],2,0)</f>
        <v>1MV</v>
      </c>
      <c r="C1590" s="391" t="s">
        <v>1538</v>
      </c>
      <c r="D1590" s="21" t="s">
        <v>1538</v>
      </c>
      <c r="E1590" s="21">
        <v>6</v>
      </c>
      <c r="F1590" s="27" t="str">
        <f>Tabela12[[#This Row],[Régua]]&amp;" ("&amp;Tabela12[[#This Row],[Born]]&amp;")"</f>
        <v>GAINE IV (6)</v>
      </c>
      <c r="G1590" s="27">
        <f>LEN(Tabela12[[#This Row],[Anilha]])</f>
        <v>12</v>
      </c>
      <c r="H1590" s="21">
        <f>VLOOKUP(Tabela12[[#This Row],[Tag Cabo]],BD!A:F,6,0)</f>
        <v>2.5</v>
      </c>
      <c r="I1590" s="27" t="s">
        <v>1707</v>
      </c>
      <c r="J1590" s="27" t="s">
        <v>1706</v>
      </c>
    </row>
    <row r="1591" spans="1:10" x14ac:dyDescent="0.25">
      <c r="A1591" s="21" t="s">
        <v>290</v>
      </c>
      <c r="B1591" s="391" t="str">
        <f>VLOOKUP(Tabela12[[#This Row],[Painel]],Tabela13[],2,0)</f>
        <v>1MV</v>
      </c>
      <c r="C1591" s="391" t="s">
        <v>1538</v>
      </c>
      <c r="D1591" s="21" t="s">
        <v>1538</v>
      </c>
      <c r="E1591" s="21">
        <v>3</v>
      </c>
      <c r="F1591" s="27" t="str">
        <f>Tabela12[[#This Row],[Régua]]&amp;" ("&amp;Tabela12[[#This Row],[Born]]&amp;")"</f>
        <v>GAINE IV (3)</v>
      </c>
      <c r="G1591" s="27">
        <f>LEN(Tabela12[[#This Row],[Anilha]])</f>
        <v>12</v>
      </c>
      <c r="H1591" s="21">
        <f>VLOOKUP(Tabela12[[#This Row],[Tag Cabo]],BD!A:F,6,0)</f>
        <v>2.5</v>
      </c>
      <c r="I1591" s="27" t="s">
        <v>1707</v>
      </c>
      <c r="J1591" s="27" t="s">
        <v>1706</v>
      </c>
    </row>
    <row r="1592" spans="1:10" x14ac:dyDescent="0.25">
      <c r="A1592" s="21" t="s">
        <v>290</v>
      </c>
      <c r="B1592" s="391" t="str">
        <f>VLOOKUP(Tabela12[[#This Row],[Painel]],Tabela13[],2,0)</f>
        <v>1MV</v>
      </c>
      <c r="C1592" s="391" t="s">
        <v>1538</v>
      </c>
      <c r="D1592" s="21" t="s">
        <v>1538</v>
      </c>
      <c r="E1592" s="21">
        <v>4</v>
      </c>
      <c r="F1592" s="27" t="str">
        <f>Tabela12[[#This Row],[Régua]]&amp;" ("&amp;Tabela12[[#This Row],[Born]]&amp;")"</f>
        <v>GAINE IV (4)</v>
      </c>
      <c r="G1592" s="27">
        <f>LEN(Tabela12[[#This Row],[Anilha]])</f>
        <v>12</v>
      </c>
      <c r="H1592" s="21">
        <f>VLOOKUP(Tabela12[[#This Row],[Tag Cabo]],BD!A:F,6,0)</f>
        <v>2.5</v>
      </c>
      <c r="I1592" s="27" t="s">
        <v>1707</v>
      </c>
      <c r="J1592" s="27" t="s">
        <v>1706</v>
      </c>
    </row>
    <row r="1593" spans="1:10" x14ac:dyDescent="0.25">
      <c r="A1593" s="21" t="s">
        <v>290</v>
      </c>
      <c r="B1593" s="391" t="str">
        <f>VLOOKUP(Tabela12[[#This Row],[Painel]],Tabela13[],2,0)</f>
        <v>1MV</v>
      </c>
      <c r="C1593" s="391" t="s">
        <v>1538</v>
      </c>
      <c r="D1593" s="21" t="s">
        <v>1538</v>
      </c>
      <c r="E1593" s="21">
        <v>5</v>
      </c>
      <c r="F1593" s="27" t="str">
        <f>Tabela12[[#This Row],[Régua]]&amp;" ("&amp;Tabela12[[#This Row],[Born]]&amp;")"</f>
        <v>GAINE IV (5)</v>
      </c>
      <c r="G1593" s="27">
        <f>LEN(Tabela12[[#This Row],[Anilha]])</f>
        <v>12</v>
      </c>
      <c r="H1593" s="21">
        <f>VLOOKUP(Tabela12[[#This Row],[Tag Cabo]],BD!A:F,6,0)</f>
        <v>2.5</v>
      </c>
      <c r="I1593" s="27" t="s">
        <v>1707</v>
      </c>
      <c r="J1593" s="27" t="s">
        <v>1706</v>
      </c>
    </row>
    <row r="1594" spans="1:10" x14ac:dyDescent="0.25">
      <c r="A1594" s="21" t="s">
        <v>290</v>
      </c>
      <c r="B1594" s="391" t="str">
        <f>VLOOKUP(Tabela12[[#This Row],[Painel]],Tabela13[],2,0)</f>
        <v>1MV</v>
      </c>
      <c r="C1594" s="391" t="s">
        <v>1538</v>
      </c>
      <c r="D1594" s="21" t="s">
        <v>1538</v>
      </c>
      <c r="E1594" s="21">
        <v>6</v>
      </c>
      <c r="F1594" s="27" t="str">
        <f>Tabela12[[#This Row],[Régua]]&amp;" ("&amp;Tabela12[[#This Row],[Born]]&amp;")"</f>
        <v>GAINE IV (6)</v>
      </c>
      <c r="G1594" s="27">
        <f>LEN(Tabela12[[#This Row],[Anilha]])</f>
        <v>12</v>
      </c>
      <c r="H1594" s="21">
        <f>VLOOKUP(Tabela12[[#This Row],[Tag Cabo]],BD!A:F,6,0)</f>
        <v>2.5</v>
      </c>
      <c r="I1594" s="27" t="s">
        <v>1707</v>
      </c>
      <c r="J1594" s="27" t="s">
        <v>1706</v>
      </c>
    </row>
    <row r="1595" spans="1:10" x14ac:dyDescent="0.25">
      <c r="A1595" s="21" t="s">
        <v>290</v>
      </c>
      <c r="B1595" s="391" t="str">
        <f>VLOOKUP(Tabela12[[#This Row],[Painel]],Tabela13[],2,0)</f>
        <v>GB-967A/B</v>
      </c>
      <c r="C1595" s="391" t="s">
        <v>1539</v>
      </c>
      <c r="D1595" s="21" t="s">
        <v>1933</v>
      </c>
      <c r="E1595" s="21">
        <v>3</v>
      </c>
      <c r="F1595" s="27" t="str">
        <f>Tabela12[[#This Row],[Régua]]&amp;" ("&amp;Tabela12[[#This Row],[Born]]&amp;")"</f>
        <v>L/D REM (3)</v>
      </c>
      <c r="G1595" s="27">
        <f>LEN(Tabela12[[#This Row],[Anilha]])</f>
        <v>11</v>
      </c>
      <c r="H1595" s="21">
        <f>VLOOKUP(Tabela12[[#This Row],[Tag Cabo]],BD!A:F,6,0)</f>
        <v>2.5</v>
      </c>
      <c r="I1595" s="27" t="s">
        <v>1707</v>
      </c>
      <c r="J1595" s="27" t="s">
        <v>1706</v>
      </c>
    </row>
    <row r="1596" spans="1:10" x14ac:dyDescent="0.25">
      <c r="A1596" s="21" t="s">
        <v>290</v>
      </c>
      <c r="B1596" s="391" t="str">
        <f>VLOOKUP(Tabela12[[#This Row],[Painel]],Tabela13[],2,0)</f>
        <v>GB-967A/B</v>
      </c>
      <c r="C1596" s="391" t="s">
        <v>1539</v>
      </c>
      <c r="D1596" s="21" t="s">
        <v>1933</v>
      </c>
      <c r="E1596" s="21">
        <v>4</v>
      </c>
      <c r="F1596" s="27" t="str">
        <f>Tabela12[[#This Row],[Régua]]&amp;" ("&amp;Tabela12[[#This Row],[Born]]&amp;")"</f>
        <v>L/D REM (4)</v>
      </c>
      <c r="G1596" s="27">
        <f>LEN(Tabela12[[#This Row],[Anilha]])</f>
        <v>11</v>
      </c>
      <c r="H1596" s="21">
        <f>VLOOKUP(Tabela12[[#This Row],[Tag Cabo]],BD!A:F,6,0)</f>
        <v>2.5</v>
      </c>
      <c r="I1596" s="27" t="s">
        <v>1707</v>
      </c>
      <c r="J1596" s="27" t="s">
        <v>1706</v>
      </c>
    </row>
    <row r="1597" spans="1:10" x14ac:dyDescent="0.25">
      <c r="A1597" s="21" t="s">
        <v>290</v>
      </c>
      <c r="B1597" s="391" t="str">
        <f>VLOOKUP(Tabela12[[#This Row],[Painel]],Tabela13[],2,0)</f>
        <v>GB-967A/B</v>
      </c>
      <c r="C1597" s="391" t="s">
        <v>1539</v>
      </c>
      <c r="D1597" s="21" t="s">
        <v>1932</v>
      </c>
      <c r="E1597" s="21">
        <v>1</v>
      </c>
      <c r="F1597" s="27" t="str">
        <f>Tabela12[[#This Row],[Régua]]&amp;" ("&amp;Tabela12[[#This Row],[Born]]&amp;")"</f>
        <v>DESL (1)</v>
      </c>
      <c r="G1597" s="27">
        <f>LEN(Tabela12[[#This Row],[Anilha]])</f>
        <v>8</v>
      </c>
      <c r="H1597" s="21">
        <f>VLOOKUP(Tabela12[[#This Row],[Tag Cabo]],BD!A:F,6,0)</f>
        <v>2.5</v>
      </c>
      <c r="I1597" s="27" t="s">
        <v>1707</v>
      </c>
      <c r="J1597" s="27" t="s">
        <v>1706</v>
      </c>
    </row>
    <row r="1598" spans="1:10" x14ac:dyDescent="0.25">
      <c r="A1598" s="21" t="s">
        <v>290</v>
      </c>
      <c r="B1598" s="391" t="str">
        <f>VLOOKUP(Tabela12[[#This Row],[Painel]],Tabela13[],2,0)</f>
        <v>GB-967A/B</v>
      </c>
      <c r="C1598" s="391" t="s">
        <v>1539</v>
      </c>
      <c r="D1598" s="21" t="s">
        <v>1932</v>
      </c>
      <c r="E1598" s="21">
        <v>2</v>
      </c>
      <c r="F1598" s="27" t="str">
        <f>Tabela12[[#This Row],[Régua]]&amp;" ("&amp;Tabela12[[#This Row],[Born]]&amp;")"</f>
        <v>DESL (2)</v>
      </c>
      <c r="G1598" s="27">
        <f>LEN(Tabela12[[#This Row],[Anilha]])</f>
        <v>8</v>
      </c>
      <c r="H1598" s="21">
        <f>VLOOKUP(Tabela12[[#This Row],[Tag Cabo]],BD!A:F,6,0)</f>
        <v>2.5</v>
      </c>
      <c r="I1598" s="27" t="s">
        <v>1707</v>
      </c>
      <c r="J1598" s="27" t="s">
        <v>1706</v>
      </c>
    </row>
    <row r="1599" spans="1:10" x14ac:dyDescent="0.25">
      <c r="A1599" s="21" t="s">
        <v>203</v>
      </c>
      <c r="B1599" s="391" t="str">
        <f>VLOOKUP(Tabela12[[#This Row],[Painel]],Tabela13[],2,0)</f>
        <v>1MV</v>
      </c>
      <c r="C1599" s="391" t="s">
        <v>196</v>
      </c>
      <c r="D1599" s="21" t="s">
        <v>1877</v>
      </c>
      <c r="E1599" s="21">
        <v>65</v>
      </c>
      <c r="F1599" s="27" t="str">
        <f>Tabela12[[#This Row],[Régua]]&amp;" ("&amp;Tabela12[[#This Row],[Born]]&amp;")"</f>
        <v>XE8 (65)</v>
      </c>
      <c r="G1599" s="27">
        <f>LEN(Tabela12[[#This Row],[Anilha]])</f>
        <v>8</v>
      </c>
      <c r="H1599" s="21">
        <f>VLOOKUP(Tabela12[[#This Row],[Tag Cabo]],BD!A:F,6,0)</f>
        <v>2.5</v>
      </c>
      <c r="I1599" s="27" t="s">
        <v>1707</v>
      </c>
      <c r="J1599" s="27" t="s">
        <v>1706</v>
      </c>
    </row>
    <row r="1600" spans="1:10" x14ac:dyDescent="0.25">
      <c r="A1600" s="21" t="s">
        <v>203</v>
      </c>
      <c r="B1600" s="391" t="str">
        <f>VLOOKUP(Tabela12[[#This Row],[Painel]],Tabela13[],2,0)</f>
        <v>1MV</v>
      </c>
      <c r="C1600" s="391" t="s">
        <v>196</v>
      </c>
      <c r="D1600" s="21" t="s">
        <v>1877</v>
      </c>
      <c r="E1600" s="21">
        <v>66</v>
      </c>
      <c r="F1600" s="27" t="str">
        <f>Tabela12[[#This Row],[Régua]]&amp;" ("&amp;Tabela12[[#This Row],[Born]]&amp;")"</f>
        <v>XE8 (66)</v>
      </c>
      <c r="G1600" s="27">
        <f>LEN(Tabela12[[#This Row],[Anilha]])</f>
        <v>8</v>
      </c>
      <c r="H1600" s="21">
        <f>VLOOKUP(Tabela12[[#This Row],[Tag Cabo]],BD!A:F,6,0)</f>
        <v>2.5</v>
      </c>
      <c r="I1600" s="27" t="s">
        <v>1707</v>
      </c>
      <c r="J1600" s="27" t="s">
        <v>1706</v>
      </c>
    </row>
    <row r="1601" spans="1:10" x14ac:dyDescent="0.25">
      <c r="A1601" s="21" t="s">
        <v>203</v>
      </c>
      <c r="B1601" s="391" t="str">
        <f>VLOOKUP(Tabela12[[#This Row],[Painel]],Tabela13[],2,0)</f>
        <v>1MV</v>
      </c>
      <c r="C1601" s="391" t="s">
        <v>196</v>
      </c>
      <c r="D1601" s="21" t="s">
        <v>1877</v>
      </c>
      <c r="E1601" s="21">
        <v>78</v>
      </c>
      <c r="F1601" s="27" t="str">
        <f>Tabela12[[#This Row],[Régua]]&amp;" ("&amp;Tabela12[[#This Row],[Born]]&amp;")"</f>
        <v>XE8 (78)</v>
      </c>
      <c r="G1601" s="27">
        <f>LEN(Tabela12[[#This Row],[Anilha]])</f>
        <v>8</v>
      </c>
      <c r="H1601" s="21">
        <f>VLOOKUP(Tabela12[[#This Row],[Tag Cabo]],BD!A:F,6,0)</f>
        <v>2.5</v>
      </c>
      <c r="I1601" s="27" t="s">
        <v>1707</v>
      </c>
      <c r="J1601" s="27" t="s">
        <v>1706</v>
      </c>
    </row>
    <row r="1602" spans="1:10" x14ac:dyDescent="0.25">
      <c r="A1602" s="21" t="s">
        <v>203</v>
      </c>
      <c r="B1602" s="391" t="str">
        <f>VLOOKUP(Tabela12[[#This Row],[Painel]],Tabela13[],2,0)</f>
        <v>1MV</v>
      </c>
      <c r="C1602" s="391" t="s">
        <v>196</v>
      </c>
      <c r="D1602" s="21" t="s">
        <v>1877</v>
      </c>
      <c r="E1602" s="21">
        <v>79</v>
      </c>
      <c r="F1602" s="27" t="str">
        <f>Tabela12[[#This Row],[Régua]]&amp;" ("&amp;Tabela12[[#This Row],[Born]]&amp;")"</f>
        <v>XE8 (79)</v>
      </c>
      <c r="G1602" s="27">
        <f>LEN(Tabela12[[#This Row],[Anilha]])</f>
        <v>8</v>
      </c>
      <c r="H1602" s="21">
        <f>VLOOKUP(Tabela12[[#This Row],[Tag Cabo]],BD!A:F,6,0)</f>
        <v>2.5</v>
      </c>
      <c r="I1602" s="27" t="s">
        <v>1707</v>
      </c>
      <c r="J1602" s="27" t="s">
        <v>1706</v>
      </c>
    </row>
    <row r="1603" spans="1:10" x14ac:dyDescent="0.25">
      <c r="A1603" s="21" t="s">
        <v>203</v>
      </c>
      <c r="B1603" s="391" t="str">
        <f>VLOOKUP(Tabela12[[#This Row],[Painel]],Tabela13[],2,0)</f>
        <v>1MV</v>
      </c>
      <c r="C1603" s="391" t="s">
        <v>1538</v>
      </c>
      <c r="D1603" s="21" t="s">
        <v>1877</v>
      </c>
      <c r="E1603" s="21">
        <v>3</v>
      </c>
      <c r="F1603" s="27" t="str">
        <f>Tabela12[[#This Row],[Régua]]&amp;" ("&amp;Tabela12[[#This Row],[Born]]&amp;")"</f>
        <v>XE8 (3)</v>
      </c>
      <c r="G1603" s="27">
        <f>LEN(Tabela12[[#This Row],[Anilha]])</f>
        <v>7</v>
      </c>
      <c r="H1603" s="21">
        <f>VLOOKUP(Tabela12[[#This Row],[Tag Cabo]],BD!A:F,6,0)</f>
        <v>2.5</v>
      </c>
      <c r="I1603" s="27" t="s">
        <v>1707</v>
      </c>
      <c r="J1603" s="27" t="s">
        <v>1928</v>
      </c>
    </row>
    <row r="1604" spans="1:10" x14ac:dyDescent="0.25">
      <c r="A1604" s="21" t="s">
        <v>203</v>
      </c>
      <c r="B1604" s="391" t="str">
        <f>VLOOKUP(Tabela12[[#This Row],[Painel]],Tabela13[],2,0)</f>
        <v>1MV</v>
      </c>
      <c r="C1604" s="391" t="s">
        <v>1538</v>
      </c>
      <c r="D1604" s="21" t="s">
        <v>1877</v>
      </c>
      <c r="E1604" s="21">
        <v>4</v>
      </c>
      <c r="F1604" s="27" t="str">
        <f>Tabela12[[#This Row],[Régua]]&amp;" ("&amp;Tabela12[[#This Row],[Born]]&amp;")"</f>
        <v>XE8 (4)</v>
      </c>
      <c r="G1604" s="27">
        <f>LEN(Tabela12[[#This Row],[Anilha]])</f>
        <v>7</v>
      </c>
      <c r="H1604" s="21">
        <f>VLOOKUP(Tabela12[[#This Row],[Tag Cabo]],BD!A:F,6,0)</f>
        <v>2.5</v>
      </c>
      <c r="I1604" s="27" t="s">
        <v>1707</v>
      </c>
      <c r="J1604" s="27" t="s">
        <v>1928</v>
      </c>
    </row>
    <row r="1605" spans="1:10" x14ac:dyDescent="0.25">
      <c r="A1605" s="21" t="s">
        <v>203</v>
      </c>
      <c r="B1605" s="391" t="str">
        <f>VLOOKUP(Tabela12[[#This Row],[Painel]],Tabela13[],2,0)</f>
        <v>1MV</v>
      </c>
      <c r="C1605" s="391" t="s">
        <v>1538</v>
      </c>
      <c r="D1605" s="21" t="s">
        <v>1877</v>
      </c>
      <c r="E1605" s="21">
        <v>5</v>
      </c>
      <c r="F1605" s="27" t="str">
        <f>Tabela12[[#This Row],[Régua]]&amp;" ("&amp;Tabela12[[#This Row],[Born]]&amp;")"</f>
        <v>XE8 (5)</v>
      </c>
      <c r="G1605" s="27">
        <f>LEN(Tabela12[[#This Row],[Anilha]])</f>
        <v>7</v>
      </c>
      <c r="H1605" s="21">
        <f>VLOOKUP(Tabela12[[#This Row],[Tag Cabo]],BD!A:F,6,0)</f>
        <v>2.5</v>
      </c>
      <c r="I1605" s="27" t="s">
        <v>1707</v>
      </c>
      <c r="J1605" s="27" t="s">
        <v>1928</v>
      </c>
    </row>
    <row r="1606" spans="1:10" x14ac:dyDescent="0.25">
      <c r="A1606" s="21" t="s">
        <v>203</v>
      </c>
      <c r="B1606" s="391" t="str">
        <f>VLOOKUP(Tabela12[[#This Row],[Painel]],Tabela13[],2,0)</f>
        <v>1MV</v>
      </c>
      <c r="C1606" s="391" t="s">
        <v>1538</v>
      </c>
      <c r="D1606" s="21" t="s">
        <v>1877</v>
      </c>
      <c r="E1606" s="21">
        <v>6</v>
      </c>
      <c r="F1606" s="27" t="str">
        <f>Tabela12[[#This Row],[Régua]]&amp;" ("&amp;Tabela12[[#This Row],[Born]]&amp;")"</f>
        <v>XE8 (6)</v>
      </c>
      <c r="G1606" s="27">
        <f>LEN(Tabela12[[#This Row],[Anilha]])</f>
        <v>7</v>
      </c>
      <c r="H1606" s="21">
        <f>VLOOKUP(Tabela12[[#This Row],[Tag Cabo]],BD!A:F,6,0)</f>
        <v>2.5</v>
      </c>
      <c r="I1606" s="27" t="s">
        <v>1707</v>
      </c>
      <c r="J1606" s="27" t="s">
        <v>1928</v>
      </c>
    </row>
    <row r="1607" spans="1:10" x14ac:dyDescent="0.25">
      <c r="A1607" s="21" t="s">
        <v>299</v>
      </c>
      <c r="B1607" s="391" t="str">
        <f>VLOOKUP(Tabela12[[#This Row],[Painel]],Tabela13[],2,0)</f>
        <v>1MV</v>
      </c>
      <c r="C1607" s="391" t="s">
        <v>1538</v>
      </c>
      <c r="D1607" s="21" t="s">
        <v>1877</v>
      </c>
      <c r="E1607" s="21">
        <v>3</v>
      </c>
      <c r="F1607" s="27" t="str">
        <f>Tabela12[[#This Row],[Régua]]&amp;" ("&amp;Tabela12[[#This Row],[Born]]&amp;")"</f>
        <v>XE8 (3)</v>
      </c>
      <c r="G1607" s="27">
        <f>LEN(Tabela12[[#This Row],[Anilha]])</f>
        <v>7</v>
      </c>
      <c r="H1607" s="21">
        <f>VLOOKUP(Tabela12[[#This Row],[Tag Cabo]],BD!A:F,6,0)</f>
        <v>2.5</v>
      </c>
      <c r="I1607" s="27" t="s">
        <v>1707</v>
      </c>
      <c r="J1607" s="27" t="s">
        <v>1928</v>
      </c>
    </row>
    <row r="1608" spans="1:10" x14ac:dyDescent="0.25">
      <c r="A1608" s="21" t="s">
        <v>299</v>
      </c>
      <c r="B1608" s="391" t="str">
        <f>VLOOKUP(Tabela12[[#This Row],[Painel]],Tabela13[],2,0)</f>
        <v>1MV</v>
      </c>
      <c r="C1608" s="391" t="s">
        <v>1538</v>
      </c>
      <c r="D1608" s="21" t="s">
        <v>1877</v>
      </c>
      <c r="E1608" s="21">
        <v>4</v>
      </c>
      <c r="F1608" s="27" t="str">
        <f>Tabela12[[#This Row],[Régua]]&amp;" ("&amp;Tabela12[[#This Row],[Born]]&amp;")"</f>
        <v>XE8 (4)</v>
      </c>
      <c r="G1608" s="27">
        <f>LEN(Tabela12[[#This Row],[Anilha]])</f>
        <v>7</v>
      </c>
      <c r="H1608" s="21">
        <f>VLOOKUP(Tabela12[[#This Row],[Tag Cabo]],BD!A:F,6,0)</f>
        <v>2.5</v>
      </c>
      <c r="I1608" s="27" t="s">
        <v>1707</v>
      </c>
      <c r="J1608" s="27" t="s">
        <v>1928</v>
      </c>
    </row>
    <row r="1609" spans="1:10" x14ac:dyDescent="0.25">
      <c r="A1609" s="21" t="s">
        <v>299</v>
      </c>
      <c r="B1609" s="391" t="str">
        <f>VLOOKUP(Tabela12[[#This Row],[Painel]],Tabela13[],2,0)</f>
        <v>1MV</v>
      </c>
      <c r="C1609" s="391" t="s">
        <v>1538</v>
      </c>
      <c r="D1609" s="21" t="s">
        <v>1877</v>
      </c>
      <c r="E1609" s="21">
        <v>5</v>
      </c>
      <c r="F1609" s="27" t="str">
        <f>Tabela12[[#This Row],[Régua]]&amp;" ("&amp;Tabela12[[#This Row],[Born]]&amp;")"</f>
        <v>XE8 (5)</v>
      </c>
      <c r="G1609" s="27">
        <f>LEN(Tabela12[[#This Row],[Anilha]])</f>
        <v>7</v>
      </c>
      <c r="H1609" s="21">
        <f>VLOOKUP(Tabela12[[#This Row],[Tag Cabo]],BD!A:F,6,0)</f>
        <v>2.5</v>
      </c>
      <c r="I1609" s="27" t="s">
        <v>1707</v>
      </c>
      <c r="J1609" s="27" t="s">
        <v>1928</v>
      </c>
    </row>
    <row r="1610" spans="1:10" x14ac:dyDescent="0.25">
      <c r="A1610" s="21" t="s">
        <v>299</v>
      </c>
      <c r="B1610" s="391" t="str">
        <f>VLOOKUP(Tabela12[[#This Row],[Painel]],Tabela13[],2,0)</f>
        <v>1MV</v>
      </c>
      <c r="C1610" s="391" t="s">
        <v>1538</v>
      </c>
      <c r="D1610" s="21" t="s">
        <v>1877</v>
      </c>
      <c r="E1610" s="21">
        <v>6</v>
      </c>
      <c r="F1610" s="27" t="str">
        <f>Tabela12[[#This Row],[Régua]]&amp;" ("&amp;Tabela12[[#This Row],[Born]]&amp;")"</f>
        <v>XE8 (6)</v>
      </c>
      <c r="G1610" s="27">
        <f>LEN(Tabela12[[#This Row],[Anilha]])</f>
        <v>7</v>
      </c>
      <c r="H1610" s="21">
        <f>VLOOKUP(Tabela12[[#This Row],[Tag Cabo]],BD!A:F,6,0)</f>
        <v>2.5</v>
      </c>
      <c r="I1610" s="27" t="s">
        <v>1707</v>
      </c>
      <c r="J1610" s="27" t="s">
        <v>1928</v>
      </c>
    </row>
    <row r="1611" spans="1:10" x14ac:dyDescent="0.25">
      <c r="A1611" s="21" t="s">
        <v>299</v>
      </c>
      <c r="B1611" s="391" t="str">
        <f>VLOOKUP(Tabela12[[#This Row],[Painel]],Tabela13[],2,0)</f>
        <v>GB-967A/B</v>
      </c>
      <c r="C1611" s="391" t="s">
        <v>1540</v>
      </c>
      <c r="D1611" s="21" t="s">
        <v>1929</v>
      </c>
      <c r="E1611" s="21">
        <v>3</v>
      </c>
      <c r="F1611" s="27" t="str">
        <f>Tabela12[[#This Row],[Régua]]&amp;" ("&amp;Tabela12[[#This Row],[Born]]&amp;")"</f>
        <v>LIGA (3)</v>
      </c>
      <c r="G1611" s="27">
        <f>LEN(Tabela12[[#This Row],[Anilha]])</f>
        <v>8</v>
      </c>
      <c r="H1611" s="21">
        <f>VLOOKUP(Tabela12[[#This Row],[Tag Cabo]],BD!A:F,6,0)</f>
        <v>2.5</v>
      </c>
      <c r="I1611" s="27" t="s">
        <v>1707</v>
      </c>
      <c r="J1611" s="27" t="s">
        <v>1706</v>
      </c>
    </row>
    <row r="1612" spans="1:10" x14ac:dyDescent="0.25">
      <c r="A1612" s="21" t="s">
        <v>299</v>
      </c>
      <c r="B1612" s="391" t="str">
        <f>VLOOKUP(Tabela12[[#This Row],[Painel]],Tabela13[],2,0)</f>
        <v>GB-967A/B</v>
      </c>
      <c r="C1612" s="391" t="s">
        <v>1540</v>
      </c>
      <c r="D1612" s="21" t="s">
        <v>1929</v>
      </c>
      <c r="E1612" s="21">
        <v>4</v>
      </c>
      <c r="F1612" s="27" t="str">
        <f>Tabela12[[#This Row],[Régua]]&amp;" ("&amp;Tabela12[[#This Row],[Born]]&amp;")"</f>
        <v>LIGA (4)</v>
      </c>
      <c r="G1612" s="27">
        <f>LEN(Tabela12[[#This Row],[Anilha]])</f>
        <v>8</v>
      </c>
      <c r="H1612" s="21">
        <f>VLOOKUP(Tabela12[[#This Row],[Tag Cabo]],BD!A:F,6,0)</f>
        <v>2.5</v>
      </c>
      <c r="I1612" s="27" t="s">
        <v>1707</v>
      </c>
      <c r="J1612" s="27" t="s">
        <v>1706</v>
      </c>
    </row>
    <row r="1613" spans="1:10" x14ac:dyDescent="0.25">
      <c r="A1613" s="21" t="s">
        <v>299</v>
      </c>
      <c r="B1613" s="391" t="str">
        <f>VLOOKUP(Tabela12[[#This Row],[Painel]],Tabela13[],2,0)</f>
        <v>GB-967A/B</v>
      </c>
      <c r="C1613" s="391" t="s">
        <v>1540</v>
      </c>
      <c r="D1613" s="21" t="s">
        <v>1932</v>
      </c>
      <c r="E1613" s="21">
        <v>1</v>
      </c>
      <c r="F1613" s="27" t="str">
        <f>Tabela12[[#This Row],[Régua]]&amp;" ("&amp;Tabela12[[#This Row],[Born]]&amp;")"</f>
        <v>DESL (1)</v>
      </c>
      <c r="G1613" s="27">
        <f>LEN(Tabela12[[#This Row],[Anilha]])</f>
        <v>8</v>
      </c>
      <c r="H1613" s="21">
        <f>VLOOKUP(Tabela12[[#This Row],[Tag Cabo]],BD!A:F,6,0)</f>
        <v>2.5</v>
      </c>
      <c r="I1613" s="27" t="s">
        <v>1707</v>
      </c>
      <c r="J1613" s="27" t="s">
        <v>1706</v>
      </c>
    </row>
    <row r="1614" spans="1:10" x14ac:dyDescent="0.25">
      <c r="A1614" s="21" t="s">
        <v>299</v>
      </c>
      <c r="B1614" s="391" t="str">
        <f>VLOOKUP(Tabela12[[#This Row],[Painel]],Tabela13[],2,0)</f>
        <v>GB-967A/B</v>
      </c>
      <c r="C1614" s="391" t="s">
        <v>1540</v>
      </c>
      <c r="D1614" s="21" t="s">
        <v>1932</v>
      </c>
      <c r="E1614" s="21">
        <v>2</v>
      </c>
      <c r="F1614" s="27" t="str">
        <f>Tabela12[[#This Row],[Régua]]&amp;" ("&amp;Tabela12[[#This Row],[Born]]&amp;")"</f>
        <v>DESL (2)</v>
      </c>
      <c r="G1614" s="27">
        <f>LEN(Tabela12[[#This Row],[Anilha]])</f>
        <v>8</v>
      </c>
      <c r="H1614" s="21">
        <f>VLOOKUP(Tabela12[[#This Row],[Tag Cabo]],BD!A:F,6,0)</f>
        <v>2.5</v>
      </c>
      <c r="I1614" s="27" t="s">
        <v>1707</v>
      </c>
      <c r="J1614" s="27" t="s">
        <v>1706</v>
      </c>
    </row>
    <row r="1615" spans="1:10" x14ac:dyDescent="0.25">
      <c r="A1615" s="216" t="s">
        <v>346</v>
      </c>
      <c r="B1615" s="45" t="str">
        <f>VLOOKUP(Tabela12[[#This Row],[Painel]],Tabela13[],2,0)</f>
        <v>GB-1201</v>
      </c>
      <c r="C1615" s="45" t="s">
        <v>1634</v>
      </c>
      <c r="D1615" s="21" t="s">
        <v>1634</v>
      </c>
      <c r="E1615" s="21">
        <v>1</v>
      </c>
      <c r="F1615" s="27" t="str">
        <f>Tabela12[[#This Row],[Régua]]&amp;"-"&amp;Tabela12[[#This Row],[Born]]</f>
        <v>JBI-120-102X-1</v>
      </c>
      <c r="G1615" s="27">
        <f>LEN(Tabela12[[#This Row],[Anilha]])</f>
        <v>14</v>
      </c>
      <c r="H1615" s="21">
        <f>VLOOKUP(Tabela12[[#This Row],[Tag Cabo]],BD!A:F,6,0)</f>
        <v>1</v>
      </c>
      <c r="I1615" s="27" t="s">
        <v>1705</v>
      </c>
      <c r="J1615" s="27" t="s">
        <v>1706</v>
      </c>
    </row>
    <row r="1616" spans="1:10" x14ac:dyDescent="0.25">
      <c r="A1616" s="216" t="s">
        <v>346</v>
      </c>
      <c r="B1616" s="45" t="str">
        <f>VLOOKUP(Tabela12[[#This Row],[Painel]],Tabela13[],2,0)</f>
        <v>GB-1201</v>
      </c>
      <c r="C1616" s="45" t="s">
        <v>1634</v>
      </c>
      <c r="D1616" s="21" t="s">
        <v>1634</v>
      </c>
      <c r="E1616" s="21">
        <v>2</v>
      </c>
      <c r="F1616" s="27" t="str">
        <f>Tabela12[[#This Row],[Régua]]&amp;"-"&amp;Tabela12[[#This Row],[Born]]</f>
        <v>JBI-120-102X-2</v>
      </c>
      <c r="G1616" s="27">
        <f>LEN(Tabela12[[#This Row],[Anilha]])</f>
        <v>14</v>
      </c>
      <c r="H1616" s="21">
        <f>VLOOKUP(Tabela12[[#This Row],[Tag Cabo]],BD!A:F,6,0)</f>
        <v>1</v>
      </c>
      <c r="I1616" s="27" t="s">
        <v>1705</v>
      </c>
      <c r="J1616" s="27" t="s">
        <v>1706</v>
      </c>
    </row>
    <row r="1617" spans="1:10" x14ac:dyDescent="0.25">
      <c r="A1617" s="216" t="s">
        <v>346</v>
      </c>
      <c r="B1617" s="45" t="str">
        <f>VLOOKUP(Tabela12[[#This Row],[Painel]],Tabela13[],2,0)</f>
        <v>GB-1201</v>
      </c>
      <c r="C1617" s="45" t="s">
        <v>1634</v>
      </c>
      <c r="D1617" s="21" t="s">
        <v>1634</v>
      </c>
      <c r="E1617" s="21">
        <v>3</v>
      </c>
      <c r="F1617" s="27" t="str">
        <f>Tabela12[[#This Row],[Régua]]&amp;"-"&amp;Tabela12[[#This Row],[Born]]</f>
        <v>JBI-120-102X-3</v>
      </c>
      <c r="G1617" s="27">
        <f>LEN(Tabela12[[#This Row],[Anilha]])</f>
        <v>14</v>
      </c>
      <c r="H1617" s="21">
        <f>VLOOKUP(Tabela12[[#This Row],[Tag Cabo]],BD!A:F,6,0)</f>
        <v>1</v>
      </c>
      <c r="I1617" s="27" t="s">
        <v>1705</v>
      </c>
      <c r="J1617" s="27" t="s">
        <v>1706</v>
      </c>
    </row>
    <row r="1618" spans="1:10" x14ac:dyDescent="0.25">
      <c r="A1618" s="216" t="s">
        <v>346</v>
      </c>
      <c r="B1618" s="45" t="str">
        <f>VLOOKUP(Tabela12[[#This Row],[Painel]],Tabela13[],2,0)</f>
        <v>GB-1201</v>
      </c>
      <c r="C1618" s="45" t="s">
        <v>1634</v>
      </c>
      <c r="D1618" s="21" t="s">
        <v>1634</v>
      </c>
      <c r="E1618" s="21">
        <v>4</v>
      </c>
      <c r="F1618" s="27" t="str">
        <f>Tabela12[[#This Row],[Régua]]&amp;"-"&amp;Tabela12[[#This Row],[Born]]</f>
        <v>JBI-120-102X-4</v>
      </c>
      <c r="G1618" s="27">
        <f>LEN(Tabela12[[#This Row],[Anilha]])</f>
        <v>14</v>
      </c>
      <c r="H1618" s="21">
        <f>VLOOKUP(Tabela12[[#This Row],[Tag Cabo]],BD!A:F,6,0)</f>
        <v>1</v>
      </c>
      <c r="I1618" s="27" t="s">
        <v>1705</v>
      </c>
      <c r="J1618" s="27" t="s">
        <v>1706</v>
      </c>
    </row>
    <row r="1619" spans="1:10" x14ac:dyDescent="0.25">
      <c r="A1619" s="216" t="s">
        <v>346</v>
      </c>
      <c r="B1619" s="45" t="str">
        <f>VLOOKUP(Tabela12[[#This Row],[Painel]],Tabela13[],2,0)</f>
        <v>GB-1201</v>
      </c>
      <c r="C1619" s="45" t="s">
        <v>1634</v>
      </c>
      <c r="D1619" s="21" t="s">
        <v>1634</v>
      </c>
      <c r="E1619" s="21">
        <v>6</v>
      </c>
      <c r="F1619" s="27" t="str">
        <f>Tabela12[[#This Row],[Régua]]&amp;"-"&amp;Tabela12[[#This Row],[Born]]</f>
        <v>JBI-120-102X-6</v>
      </c>
      <c r="G1619" s="27">
        <f>LEN(Tabela12[[#This Row],[Anilha]])</f>
        <v>14</v>
      </c>
      <c r="H1619" s="21">
        <f>VLOOKUP(Tabela12[[#This Row],[Tag Cabo]],BD!A:F,6,0)</f>
        <v>1</v>
      </c>
      <c r="I1619" s="27" t="s">
        <v>1705</v>
      </c>
      <c r="J1619" s="27" t="s">
        <v>1706</v>
      </c>
    </row>
    <row r="1620" spans="1:10" x14ac:dyDescent="0.25">
      <c r="A1620" s="216" t="s">
        <v>346</v>
      </c>
      <c r="B1620" s="45" t="str">
        <f>VLOOKUP(Tabela12[[#This Row],[Painel]],Tabela13[],2,0)</f>
        <v>GB-1201</v>
      </c>
      <c r="C1620" s="45" t="s">
        <v>1634</v>
      </c>
      <c r="D1620" s="21" t="s">
        <v>1634</v>
      </c>
      <c r="E1620" s="21">
        <v>7</v>
      </c>
      <c r="F1620" s="27" t="str">
        <f>Tabela12[[#This Row],[Régua]]&amp;"-"&amp;Tabela12[[#This Row],[Born]]</f>
        <v>JBI-120-102X-7</v>
      </c>
      <c r="G1620" s="27">
        <f>LEN(Tabela12[[#This Row],[Anilha]])</f>
        <v>14</v>
      </c>
      <c r="H1620" s="21">
        <f>VLOOKUP(Tabela12[[#This Row],[Tag Cabo]],BD!A:F,6,0)</f>
        <v>1</v>
      </c>
      <c r="I1620" s="27" t="s">
        <v>1705</v>
      </c>
      <c r="J1620" s="27" t="s">
        <v>1706</v>
      </c>
    </row>
    <row r="1621" spans="1:10" x14ac:dyDescent="0.25">
      <c r="A1621" s="216" t="s">
        <v>346</v>
      </c>
      <c r="B1621" s="45" t="str">
        <f>VLOOKUP(Tabela12[[#This Row],[Painel]],Tabela13[],2,0)</f>
        <v>30LV</v>
      </c>
      <c r="C1621" s="45" t="s">
        <v>1635</v>
      </c>
      <c r="D1621" s="21" t="s">
        <v>1934</v>
      </c>
      <c r="E1621" s="21">
        <v>1</v>
      </c>
      <c r="F1621" s="27" t="str">
        <f>Tabela12[[#This Row],[Régua]]&amp;" ("&amp;Tabela12[[#This Row],[Born]]&amp;")"</f>
        <v>TB-16 (1)</v>
      </c>
      <c r="G1621" s="27">
        <f>LEN(Tabela12[[#This Row],[Anilha]])</f>
        <v>9</v>
      </c>
      <c r="H1621" s="21">
        <f>VLOOKUP(Tabela12[[#This Row],[Tag Cabo]],BD!A:F,6,0)</f>
        <v>1</v>
      </c>
      <c r="I1621" s="27" t="s">
        <v>1705</v>
      </c>
      <c r="J1621" s="27" t="s">
        <v>1706</v>
      </c>
    </row>
    <row r="1622" spans="1:10" x14ac:dyDescent="0.25">
      <c r="A1622" s="216" t="s">
        <v>346</v>
      </c>
      <c r="B1622" s="45" t="str">
        <f>VLOOKUP(Tabela12[[#This Row],[Painel]],Tabela13[],2,0)</f>
        <v>30LV</v>
      </c>
      <c r="C1622" s="45" t="s">
        <v>1635</v>
      </c>
      <c r="D1622" s="21" t="s">
        <v>1934</v>
      </c>
      <c r="E1622" s="21">
        <v>2</v>
      </c>
      <c r="F1622" s="27" t="str">
        <f>Tabela12[[#This Row],[Régua]]&amp;" ("&amp;Tabela12[[#This Row],[Born]]&amp;")"</f>
        <v>TB-16 (2)</v>
      </c>
      <c r="G1622" s="27">
        <f>LEN(Tabela12[[#This Row],[Anilha]])</f>
        <v>9</v>
      </c>
      <c r="H1622" s="21">
        <f>VLOOKUP(Tabela12[[#This Row],[Tag Cabo]],BD!A:F,6,0)</f>
        <v>1</v>
      </c>
      <c r="I1622" s="27" t="s">
        <v>1705</v>
      </c>
      <c r="J1622" s="27" t="s">
        <v>1706</v>
      </c>
    </row>
    <row r="1623" spans="1:10" x14ac:dyDescent="0.25">
      <c r="A1623" s="216" t="s">
        <v>346</v>
      </c>
      <c r="B1623" s="45" t="str">
        <f>VLOOKUP(Tabela12[[#This Row],[Painel]],Tabela13[],2,0)</f>
        <v>30LV</v>
      </c>
      <c r="C1623" s="45" t="s">
        <v>1635</v>
      </c>
      <c r="D1623" s="21" t="s">
        <v>1934</v>
      </c>
      <c r="E1623" s="21">
        <v>4</v>
      </c>
      <c r="F1623" s="27" t="str">
        <f>Tabela12[[#This Row],[Régua]]&amp;" ("&amp;Tabela12[[#This Row],[Born]]&amp;")"</f>
        <v>TB-16 (4)</v>
      </c>
      <c r="G1623" s="27">
        <f>LEN(Tabela12[[#This Row],[Anilha]])</f>
        <v>9</v>
      </c>
      <c r="H1623" s="21">
        <f>VLOOKUP(Tabela12[[#This Row],[Tag Cabo]],BD!A:F,6,0)</f>
        <v>1</v>
      </c>
      <c r="I1623" s="27" t="s">
        <v>1705</v>
      </c>
      <c r="J1623" s="27" t="s">
        <v>1706</v>
      </c>
    </row>
    <row r="1624" spans="1:10" x14ac:dyDescent="0.25">
      <c r="A1624" s="216" t="s">
        <v>346</v>
      </c>
      <c r="B1624" s="45" t="str">
        <f>VLOOKUP(Tabela12[[#This Row],[Painel]],Tabela13[],2,0)</f>
        <v>30LV</v>
      </c>
      <c r="C1624" s="45" t="s">
        <v>1635</v>
      </c>
      <c r="D1624" s="21" t="s">
        <v>1934</v>
      </c>
      <c r="E1624" s="21">
        <v>5</v>
      </c>
      <c r="F1624" s="27" t="str">
        <f>Tabela12[[#This Row],[Régua]]&amp;" ("&amp;Tabela12[[#This Row],[Born]]&amp;")"</f>
        <v>TB-16 (5)</v>
      </c>
      <c r="G1624" s="27">
        <f>LEN(Tabela12[[#This Row],[Anilha]])</f>
        <v>9</v>
      </c>
      <c r="H1624" s="21">
        <f>VLOOKUP(Tabela12[[#This Row],[Tag Cabo]],BD!A:F,6,0)</f>
        <v>1</v>
      </c>
      <c r="I1624" s="27" t="s">
        <v>1705</v>
      </c>
      <c r="J1624" s="27" t="s">
        <v>1706</v>
      </c>
    </row>
    <row r="1625" spans="1:10" x14ac:dyDescent="0.25">
      <c r="A1625" s="216" t="s">
        <v>346</v>
      </c>
      <c r="B1625" s="45" t="str">
        <f>VLOOKUP(Tabela12[[#This Row],[Painel]],Tabela13[],2,0)</f>
        <v>30LV</v>
      </c>
      <c r="C1625" s="45" t="s">
        <v>1635</v>
      </c>
      <c r="D1625" s="21" t="s">
        <v>1934</v>
      </c>
      <c r="E1625" s="21">
        <v>7</v>
      </c>
      <c r="F1625" s="27" t="str">
        <f>Tabela12[[#This Row],[Régua]]&amp;" ("&amp;Tabela12[[#This Row],[Born]]&amp;")"</f>
        <v>TB-16 (7)</v>
      </c>
      <c r="G1625" s="27">
        <f>LEN(Tabela12[[#This Row],[Anilha]])</f>
        <v>9</v>
      </c>
      <c r="H1625" s="21">
        <f>VLOOKUP(Tabela12[[#This Row],[Tag Cabo]],BD!A:F,6,0)</f>
        <v>1</v>
      </c>
      <c r="I1625" s="27" t="s">
        <v>1705</v>
      </c>
      <c r="J1625" s="27" t="s">
        <v>1706</v>
      </c>
    </row>
    <row r="1626" spans="1:10" x14ac:dyDescent="0.25">
      <c r="A1626" s="216" t="s">
        <v>346</v>
      </c>
      <c r="B1626" s="45" t="str">
        <f>VLOOKUP(Tabela12[[#This Row],[Painel]],Tabela13[],2,0)</f>
        <v>30LV</v>
      </c>
      <c r="C1626" s="45" t="s">
        <v>1635</v>
      </c>
      <c r="D1626" s="21" t="s">
        <v>1934</v>
      </c>
      <c r="E1626" s="21">
        <v>8</v>
      </c>
      <c r="F1626" s="27" t="str">
        <f>Tabela12[[#This Row],[Régua]]&amp;" ("&amp;Tabela12[[#This Row],[Born]]&amp;")"</f>
        <v>TB-16 (8)</v>
      </c>
      <c r="G1626" s="27">
        <f>LEN(Tabela12[[#This Row],[Anilha]])</f>
        <v>9</v>
      </c>
      <c r="H1626" s="21">
        <f>VLOOKUP(Tabela12[[#This Row],[Tag Cabo]],BD!A:F,6,0)</f>
        <v>1</v>
      </c>
      <c r="I1626" s="27" t="s">
        <v>1705</v>
      </c>
      <c r="J1626" s="27" t="s">
        <v>1706</v>
      </c>
    </row>
    <row r="1627" spans="1:10" x14ac:dyDescent="0.25">
      <c r="A1627" s="216" t="s">
        <v>354</v>
      </c>
      <c r="B1627" s="45" t="str">
        <f>VLOOKUP(Tabela12[[#This Row],[Painel]],Tabela13[],2,0)</f>
        <v>30LV</v>
      </c>
      <c r="C1627" s="45" t="s">
        <v>1635</v>
      </c>
      <c r="D1627" s="21" t="s">
        <v>1934</v>
      </c>
      <c r="E1627" s="21">
        <v>10</v>
      </c>
      <c r="F1627" s="27" t="str">
        <f>Tabela12[[#This Row],[Régua]]&amp;" ("&amp;Tabela12[[#This Row],[Born]]&amp;")"</f>
        <v>TB-16 (10)</v>
      </c>
      <c r="G1627" s="27">
        <f>LEN(Tabela12[[#This Row],[Anilha]])</f>
        <v>10</v>
      </c>
      <c r="H1627" s="21">
        <f>VLOOKUP(Tabela12[[#This Row],[Tag Cabo]],BD!A:F,6,0)</f>
        <v>1</v>
      </c>
      <c r="I1627" s="27" t="s">
        <v>1705</v>
      </c>
      <c r="J1627" s="27" t="s">
        <v>1706</v>
      </c>
    </row>
    <row r="1628" spans="1:10" x14ac:dyDescent="0.25">
      <c r="A1628" s="216" t="s">
        <v>354</v>
      </c>
      <c r="B1628" s="45" t="str">
        <f>VLOOKUP(Tabela12[[#This Row],[Painel]],Tabela13[],2,0)</f>
        <v>30LV</v>
      </c>
      <c r="C1628" s="45" t="s">
        <v>1635</v>
      </c>
      <c r="D1628" s="21" t="s">
        <v>1934</v>
      </c>
      <c r="E1628" s="21">
        <v>11</v>
      </c>
      <c r="F1628" s="27" t="str">
        <f>Tabela12[[#This Row],[Régua]]&amp;" ("&amp;Tabela12[[#This Row],[Born]]&amp;")"</f>
        <v>TB-16 (11)</v>
      </c>
      <c r="G1628" s="27">
        <f>LEN(Tabela12[[#This Row],[Anilha]])</f>
        <v>10</v>
      </c>
      <c r="H1628" s="21">
        <f>VLOOKUP(Tabela12[[#This Row],[Tag Cabo]],BD!A:F,6,0)</f>
        <v>1</v>
      </c>
      <c r="I1628" s="27" t="s">
        <v>1705</v>
      </c>
      <c r="J1628" s="27" t="s">
        <v>1706</v>
      </c>
    </row>
    <row r="1629" spans="1:10" x14ac:dyDescent="0.25">
      <c r="A1629" s="216" t="s">
        <v>354</v>
      </c>
      <c r="B1629" s="45" t="str">
        <f>VLOOKUP(Tabela12[[#This Row],[Painel]],Tabela13[],2,0)</f>
        <v>GB-1201</v>
      </c>
      <c r="C1629" s="45" t="s">
        <v>1636</v>
      </c>
      <c r="D1629" s="21" t="s">
        <v>1935</v>
      </c>
      <c r="E1629" s="21">
        <v>1</v>
      </c>
      <c r="F1629" s="27" t="str">
        <f>Tabela12[[#This Row],[Régua]]&amp;" ("&amp;Tabela12[[#This Row],[Born]]&amp;")"</f>
        <v>LEAKAGE (1)</v>
      </c>
      <c r="G1629" s="27">
        <f>LEN(Tabela12[[#This Row],[Anilha]])</f>
        <v>11</v>
      </c>
      <c r="H1629" s="21">
        <f>VLOOKUP(Tabela12[[#This Row],[Tag Cabo]],BD!A:F,6,0)</f>
        <v>1</v>
      </c>
      <c r="I1629" s="27" t="s">
        <v>1705</v>
      </c>
      <c r="J1629" s="27" t="s">
        <v>1706</v>
      </c>
    </row>
    <row r="1630" spans="1:10" x14ac:dyDescent="0.25">
      <c r="A1630" s="216" t="s">
        <v>354</v>
      </c>
      <c r="B1630" s="45" t="str">
        <f>VLOOKUP(Tabela12[[#This Row],[Painel]],Tabela13[],2,0)</f>
        <v>GB-1201</v>
      </c>
      <c r="C1630" s="45" t="s">
        <v>1636</v>
      </c>
      <c r="D1630" s="21" t="s">
        <v>1935</v>
      </c>
      <c r="E1630" s="21">
        <v>3</v>
      </c>
      <c r="F1630" s="27" t="str">
        <f>Tabela12[[#This Row],[Régua]]&amp;" ("&amp;Tabela12[[#This Row],[Born]]&amp;")"</f>
        <v>LEAKAGE (3)</v>
      </c>
      <c r="G1630" s="27">
        <f>LEN(Tabela12[[#This Row],[Anilha]])</f>
        <v>11</v>
      </c>
      <c r="H1630" s="21">
        <f>VLOOKUP(Tabela12[[#This Row],[Tag Cabo]],BD!A:F,6,0)</f>
        <v>1</v>
      </c>
      <c r="I1630" s="27" t="s">
        <v>1705</v>
      </c>
      <c r="J1630" s="27" t="s">
        <v>1706</v>
      </c>
    </row>
    <row r="1631" spans="1:10" x14ac:dyDescent="0.25">
      <c r="A1631" s="216" t="s">
        <v>357</v>
      </c>
      <c r="B1631" s="45" t="str">
        <f>VLOOKUP(Tabela12[[#This Row],[Painel]],Tabela13[],2,0)</f>
        <v>GB-1201</v>
      </c>
      <c r="C1631" s="45" t="s">
        <v>359</v>
      </c>
      <c r="D1631" s="21" t="s">
        <v>359</v>
      </c>
      <c r="E1631" s="21">
        <v>1</v>
      </c>
      <c r="F1631" s="27" t="str">
        <f>Tabela12[[#This Row],[Régua]]&amp;" ("&amp;Tabela12[[#This Row],[Born]]&amp;")"</f>
        <v>EJB-12506X (1)</v>
      </c>
      <c r="G1631" s="27">
        <f>LEN(Tabela12[[#This Row],[Anilha]])</f>
        <v>14</v>
      </c>
      <c r="H1631" s="21">
        <f>VLOOKUP(Tabela12[[#This Row],[Tag Cabo]],BD!A:F,6,0)</f>
        <v>1</v>
      </c>
      <c r="I1631" s="27" t="s">
        <v>1705</v>
      </c>
      <c r="J1631" s="27" t="s">
        <v>1706</v>
      </c>
    </row>
    <row r="1632" spans="1:10" x14ac:dyDescent="0.25">
      <c r="A1632" s="216" t="s">
        <v>357</v>
      </c>
      <c r="B1632" s="45" t="str">
        <f>VLOOKUP(Tabela12[[#This Row],[Painel]],Tabela13[],2,0)</f>
        <v>GB-1201</v>
      </c>
      <c r="C1632" s="45" t="s">
        <v>359</v>
      </c>
      <c r="D1632" s="21" t="s">
        <v>359</v>
      </c>
      <c r="E1632" s="21">
        <v>2</v>
      </c>
      <c r="F1632" s="27" t="str">
        <f>Tabela12[[#This Row],[Régua]]&amp;" ("&amp;Tabela12[[#This Row],[Born]]&amp;")"</f>
        <v>EJB-12506X (2)</v>
      </c>
      <c r="G1632" s="27">
        <f>LEN(Tabela12[[#This Row],[Anilha]])</f>
        <v>14</v>
      </c>
      <c r="H1632" s="21">
        <f>VLOOKUP(Tabela12[[#This Row],[Tag Cabo]],BD!A:F,6,0)</f>
        <v>1</v>
      </c>
      <c r="I1632" s="27" t="s">
        <v>1705</v>
      </c>
      <c r="J1632" s="27" t="s">
        <v>1706</v>
      </c>
    </row>
    <row r="1633" spans="1:10" x14ac:dyDescent="0.25">
      <c r="A1633" s="216" t="s">
        <v>357</v>
      </c>
      <c r="B1633" s="45" t="str">
        <f>VLOOKUP(Tabela12[[#This Row],[Painel]],Tabela13[],2,0)</f>
        <v>GB-1201</v>
      </c>
      <c r="C1633" s="45" t="s">
        <v>359</v>
      </c>
      <c r="D1633" s="21" t="s">
        <v>359</v>
      </c>
      <c r="E1633" s="21">
        <v>4</v>
      </c>
      <c r="F1633" s="27" t="str">
        <f>Tabela12[[#This Row],[Régua]]&amp;" ("&amp;Tabela12[[#This Row],[Born]]&amp;")"</f>
        <v>EJB-12506X (4)</v>
      </c>
      <c r="G1633" s="27">
        <f>LEN(Tabela12[[#This Row],[Anilha]])</f>
        <v>14</v>
      </c>
      <c r="H1633" s="21">
        <f>VLOOKUP(Tabela12[[#This Row],[Tag Cabo]],BD!A:F,6,0)</f>
        <v>1</v>
      </c>
      <c r="I1633" s="27" t="s">
        <v>1705</v>
      </c>
      <c r="J1633" s="27" t="s">
        <v>1706</v>
      </c>
    </row>
    <row r="1634" spans="1:10" x14ac:dyDescent="0.25">
      <c r="A1634" s="216" t="s">
        <v>357</v>
      </c>
      <c r="B1634" s="45" t="str">
        <f>VLOOKUP(Tabela12[[#This Row],[Painel]],Tabela13[],2,0)</f>
        <v>GB-1201</v>
      </c>
      <c r="C1634" s="45" t="s">
        <v>359</v>
      </c>
      <c r="D1634" s="21" t="s">
        <v>359</v>
      </c>
      <c r="E1634" s="21">
        <v>5</v>
      </c>
      <c r="F1634" s="27" t="str">
        <f>Tabela12[[#This Row],[Régua]]&amp;" ("&amp;Tabela12[[#This Row],[Born]]&amp;")"</f>
        <v>EJB-12506X (5)</v>
      </c>
      <c r="G1634" s="27">
        <f>LEN(Tabela12[[#This Row],[Anilha]])</f>
        <v>14</v>
      </c>
      <c r="H1634" s="21">
        <f>VLOOKUP(Tabela12[[#This Row],[Tag Cabo]],BD!A:F,6,0)</f>
        <v>1</v>
      </c>
      <c r="I1634" s="27" t="s">
        <v>1705</v>
      </c>
      <c r="J1634" s="27" t="s">
        <v>1706</v>
      </c>
    </row>
    <row r="1635" spans="1:10" x14ac:dyDescent="0.25">
      <c r="A1635" s="216" t="s">
        <v>357</v>
      </c>
      <c r="B1635" s="45" t="str">
        <f>VLOOKUP(Tabela12[[#This Row],[Painel]],Tabela13[],2,0)</f>
        <v>GB-1201</v>
      </c>
      <c r="C1635" s="45" t="s">
        <v>359</v>
      </c>
      <c r="D1635" s="21" t="s">
        <v>359</v>
      </c>
      <c r="E1635" s="21">
        <v>7</v>
      </c>
      <c r="F1635" s="27" t="str">
        <f>Tabela12[[#This Row],[Régua]]&amp;" ("&amp;Tabela12[[#This Row],[Born]]&amp;")"</f>
        <v>EJB-12506X (7)</v>
      </c>
      <c r="G1635" s="27">
        <f>LEN(Tabela12[[#This Row],[Anilha]])</f>
        <v>14</v>
      </c>
      <c r="H1635" s="21">
        <f>VLOOKUP(Tabela12[[#This Row],[Tag Cabo]],BD!A:F,6,0)</f>
        <v>1</v>
      </c>
      <c r="I1635" s="27" t="s">
        <v>1705</v>
      </c>
      <c r="J1635" s="27" t="s">
        <v>1706</v>
      </c>
    </row>
    <row r="1636" spans="1:10" x14ac:dyDescent="0.25">
      <c r="A1636" s="216" t="s">
        <v>357</v>
      </c>
      <c r="B1636" s="45" t="str">
        <f>VLOOKUP(Tabela12[[#This Row],[Painel]],Tabela13[],2,0)</f>
        <v>GB-1201</v>
      </c>
      <c r="C1636" s="45" t="s">
        <v>359</v>
      </c>
      <c r="D1636" s="21" t="s">
        <v>359</v>
      </c>
      <c r="E1636" s="21">
        <v>8</v>
      </c>
      <c r="F1636" s="27" t="str">
        <f>Tabela12[[#This Row],[Régua]]&amp;" ("&amp;Tabela12[[#This Row],[Born]]&amp;")"</f>
        <v>EJB-12506X (8)</v>
      </c>
      <c r="G1636" s="27">
        <f>LEN(Tabela12[[#This Row],[Anilha]])</f>
        <v>14</v>
      </c>
      <c r="H1636" s="21">
        <f>VLOOKUP(Tabela12[[#This Row],[Tag Cabo]],BD!A:F,6,0)</f>
        <v>1</v>
      </c>
      <c r="I1636" s="27" t="s">
        <v>1705</v>
      </c>
      <c r="J1636" s="27" t="s">
        <v>1706</v>
      </c>
    </row>
    <row r="1637" spans="1:10" x14ac:dyDescent="0.25">
      <c r="A1637" s="216" t="s">
        <v>357</v>
      </c>
      <c r="B1637" s="45" t="str">
        <f>VLOOKUP(Tabela12[[#This Row],[Painel]],Tabela13[],2,0)</f>
        <v>GB-1201</v>
      </c>
      <c r="C1637" s="45" t="s">
        <v>359</v>
      </c>
      <c r="D1637" s="21" t="s">
        <v>359</v>
      </c>
      <c r="E1637" s="21">
        <v>10</v>
      </c>
      <c r="F1637" s="27" t="str">
        <f>Tabela12[[#This Row],[Régua]]&amp;" ("&amp;Tabela12[[#This Row],[Born]]&amp;")"</f>
        <v>EJB-12506X (10)</v>
      </c>
      <c r="G1637" s="27">
        <f>LEN(Tabela12[[#This Row],[Anilha]])</f>
        <v>15</v>
      </c>
      <c r="H1637" s="21">
        <f>VLOOKUP(Tabela12[[#This Row],[Tag Cabo]],BD!A:F,6,0)</f>
        <v>1</v>
      </c>
      <c r="I1637" s="27" t="s">
        <v>1705</v>
      </c>
      <c r="J1637" s="27" t="s">
        <v>1706</v>
      </c>
    </row>
    <row r="1638" spans="1:10" x14ac:dyDescent="0.25">
      <c r="A1638" s="216" t="s">
        <v>357</v>
      </c>
      <c r="B1638" s="45" t="str">
        <f>VLOOKUP(Tabela12[[#This Row],[Painel]],Tabela13[],2,0)</f>
        <v>GB-1201</v>
      </c>
      <c r="C1638" s="45" t="s">
        <v>359</v>
      </c>
      <c r="D1638" s="21" t="s">
        <v>359</v>
      </c>
      <c r="E1638" s="21">
        <v>11</v>
      </c>
      <c r="F1638" s="27" t="str">
        <f>Tabela12[[#This Row],[Régua]]&amp;" ("&amp;Tabela12[[#This Row],[Born]]&amp;")"</f>
        <v>EJB-12506X (11)</v>
      </c>
      <c r="G1638" s="27">
        <f>LEN(Tabela12[[#This Row],[Anilha]])</f>
        <v>15</v>
      </c>
      <c r="H1638" s="21">
        <f>VLOOKUP(Tabela12[[#This Row],[Tag Cabo]],BD!A:F,6,0)</f>
        <v>1</v>
      </c>
      <c r="I1638" s="27" t="s">
        <v>1705</v>
      </c>
      <c r="J1638" s="27" t="s">
        <v>1706</v>
      </c>
    </row>
    <row r="1639" spans="1:10" x14ac:dyDescent="0.25">
      <c r="A1639" s="216" t="s">
        <v>357</v>
      </c>
      <c r="B1639" s="45" t="str">
        <f>VLOOKUP(Tabela12[[#This Row],[Painel]],Tabela13[],2,0)</f>
        <v>GB-1201</v>
      </c>
      <c r="C1639" s="45" t="s">
        <v>359</v>
      </c>
      <c r="D1639" s="21" t="s">
        <v>359</v>
      </c>
      <c r="E1639" s="21">
        <v>13</v>
      </c>
      <c r="F1639" s="27" t="str">
        <f>Tabela12[[#This Row],[Régua]]&amp;" ("&amp;Tabela12[[#This Row],[Born]]&amp;")"</f>
        <v>EJB-12506X (13)</v>
      </c>
      <c r="G1639" s="27">
        <f>LEN(Tabela12[[#This Row],[Anilha]])</f>
        <v>15</v>
      </c>
      <c r="H1639" s="21">
        <f>VLOOKUP(Tabela12[[#This Row],[Tag Cabo]],BD!A:F,6,0)</f>
        <v>1</v>
      </c>
      <c r="I1639" s="27" t="s">
        <v>1705</v>
      </c>
      <c r="J1639" s="27" t="s">
        <v>1706</v>
      </c>
    </row>
    <row r="1640" spans="1:10" x14ac:dyDescent="0.25">
      <c r="A1640" s="216" t="s">
        <v>357</v>
      </c>
      <c r="B1640" s="45" t="str">
        <f>VLOOKUP(Tabela12[[#This Row],[Painel]],Tabela13[],2,0)</f>
        <v>GB-1201</v>
      </c>
      <c r="C1640" s="45" t="s">
        <v>359</v>
      </c>
      <c r="D1640" s="21" t="s">
        <v>359</v>
      </c>
      <c r="E1640" s="21">
        <v>14</v>
      </c>
      <c r="F1640" s="27" t="str">
        <f>Tabela12[[#This Row],[Régua]]&amp;" ("&amp;Tabela12[[#This Row],[Born]]&amp;")"</f>
        <v>EJB-12506X (14)</v>
      </c>
      <c r="G1640" s="27">
        <f>LEN(Tabela12[[#This Row],[Anilha]])</f>
        <v>15</v>
      </c>
      <c r="H1640" s="21">
        <f>VLOOKUP(Tabela12[[#This Row],[Tag Cabo]],BD!A:F,6,0)</f>
        <v>1</v>
      </c>
      <c r="I1640" s="27" t="s">
        <v>1705</v>
      </c>
      <c r="J1640" s="27" t="s">
        <v>1706</v>
      </c>
    </row>
    <row r="1641" spans="1:10" x14ac:dyDescent="0.25">
      <c r="A1641" s="216" t="s">
        <v>357</v>
      </c>
      <c r="B1641" s="45" t="str">
        <f>VLOOKUP(Tabela12[[#This Row],[Painel]],Tabela13[],2,0)</f>
        <v>GB-1201</v>
      </c>
      <c r="C1641" s="45" t="s">
        <v>359</v>
      </c>
      <c r="D1641" s="21" t="s">
        <v>359</v>
      </c>
      <c r="E1641" s="21">
        <v>16</v>
      </c>
      <c r="F1641" s="27" t="str">
        <f>Tabela12[[#This Row],[Régua]]&amp;" ("&amp;Tabela12[[#This Row],[Born]]&amp;")"</f>
        <v>EJB-12506X (16)</v>
      </c>
      <c r="G1641" s="27">
        <f>LEN(Tabela12[[#This Row],[Anilha]])</f>
        <v>15</v>
      </c>
      <c r="H1641" s="21">
        <f>VLOOKUP(Tabela12[[#This Row],[Tag Cabo]],BD!A:F,6,0)</f>
        <v>1</v>
      </c>
      <c r="I1641" s="27" t="s">
        <v>1705</v>
      </c>
      <c r="J1641" s="27" t="s">
        <v>1706</v>
      </c>
    </row>
    <row r="1642" spans="1:10" x14ac:dyDescent="0.25">
      <c r="A1642" s="216" t="s">
        <v>357</v>
      </c>
      <c r="B1642" s="45" t="str">
        <f>VLOOKUP(Tabela12[[#This Row],[Painel]],Tabela13[],2,0)</f>
        <v>GB-1201</v>
      </c>
      <c r="C1642" s="45" t="s">
        <v>359</v>
      </c>
      <c r="D1642" s="21" t="s">
        <v>359</v>
      </c>
      <c r="E1642" s="21">
        <v>17</v>
      </c>
      <c r="F1642" s="27" t="str">
        <f>Tabela12[[#This Row],[Régua]]&amp;" ("&amp;Tabela12[[#This Row],[Born]]&amp;")"</f>
        <v>EJB-12506X (17)</v>
      </c>
      <c r="G1642" s="27">
        <f>LEN(Tabela12[[#This Row],[Anilha]])</f>
        <v>15</v>
      </c>
      <c r="H1642" s="21">
        <f>VLOOKUP(Tabela12[[#This Row],[Tag Cabo]],BD!A:F,6,0)</f>
        <v>1</v>
      </c>
      <c r="I1642" s="27" t="s">
        <v>1705</v>
      </c>
      <c r="J1642" s="27" t="s">
        <v>1706</v>
      </c>
    </row>
    <row r="1643" spans="1:10" x14ac:dyDescent="0.25">
      <c r="A1643" s="216" t="s">
        <v>357</v>
      </c>
      <c r="B1643" s="45" t="str">
        <f>VLOOKUP(Tabela12[[#This Row],[Painel]],Tabela13[],2,0)</f>
        <v>GB-1201</v>
      </c>
      <c r="C1643" s="45" t="s">
        <v>359</v>
      </c>
      <c r="D1643" s="21" t="s">
        <v>359</v>
      </c>
      <c r="E1643" s="21">
        <v>19</v>
      </c>
      <c r="F1643" s="27" t="str">
        <f>Tabela12[[#This Row],[Régua]]&amp;" ("&amp;Tabela12[[#This Row],[Born]]&amp;")"</f>
        <v>EJB-12506X (19)</v>
      </c>
      <c r="G1643" s="27">
        <f>LEN(Tabela12[[#This Row],[Anilha]])</f>
        <v>15</v>
      </c>
      <c r="H1643" s="21">
        <f>VLOOKUP(Tabela12[[#This Row],[Tag Cabo]],BD!A:F,6,0)</f>
        <v>1</v>
      </c>
      <c r="I1643" s="27" t="s">
        <v>1705</v>
      </c>
      <c r="J1643" s="27" t="s">
        <v>1706</v>
      </c>
    </row>
    <row r="1644" spans="1:10" x14ac:dyDescent="0.25">
      <c r="A1644" s="216" t="s">
        <v>357</v>
      </c>
      <c r="B1644" s="45" t="str">
        <f>VLOOKUP(Tabela12[[#This Row],[Painel]],Tabela13[],2,0)</f>
        <v>GB-1201</v>
      </c>
      <c r="C1644" s="45" t="s">
        <v>359</v>
      </c>
      <c r="D1644" s="21" t="s">
        <v>359</v>
      </c>
      <c r="E1644" s="21">
        <v>20</v>
      </c>
      <c r="F1644" s="27" t="str">
        <f>Tabela12[[#This Row],[Régua]]&amp;" ("&amp;Tabela12[[#This Row],[Born]]&amp;")"</f>
        <v>EJB-12506X (20)</v>
      </c>
      <c r="G1644" s="27">
        <f>LEN(Tabela12[[#This Row],[Anilha]])</f>
        <v>15</v>
      </c>
      <c r="H1644" s="21">
        <f>VLOOKUP(Tabela12[[#This Row],[Tag Cabo]],BD!A:F,6,0)</f>
        <v>1</v>
      </c>
      <c r="I1644" s="27" t="s">
        <v>1705</v>
      </c>
      <c r="J1644" s="27" t="s">
        <v>1706</v>
      </c>
    </row>
    <row r="1645" spans="1:10" x14ac:dyDescent="0.25">
      <c r="A1645" s="216" t="s">
        <v>357</v>
      </c>
      <c r="B1645" s="45" t="str">
        <f>VLOOKUP(Tabela12[[#This Row],[Painel]],Tabela13[],2,0)</f>
        <v>30LV</v>
      </c>
      <c r="C1645" s="45" t="s">
        <v>1635</v>
      </c>
      <c r="D1645" s="21" t="s">
        <v>1936</v>
      </c>
      <c r="E1645" s="21">
        <v>1</v>
      </c>
      <c r="F1645" s="27" t="str">
        <f>Tabela12[[#This Row],[Régua]]&amp;" ("&amp;Tabela12[[#This Row],[Born]]&amp;")"</f>
        <v>TB-10 (1)</v>
      </c>
      <c r="G1645" s="27">
        <f>LEN(Tabela12[[#This Row],[Anilha]])</f>
        <v>9</v>
      </c>
      <c r="H1645" s="21">
        <f>VLOOKUP(Tabela12[[#This Row],[Tag Cabo]],BD!A:F,6,0)</f>
        <v>1</v>
      </c>
      <c r="I1645" s="27" t="s">
        <v>1705</v>
      </c>
      <c r="J1645" s="27" t="s">
        <v>1706</v>
      </c>
    </row>
    <row r="1646" spans="1:10" x14ac:dyDescent="0.25">
      <c r="A1646" s="216" t="s">
        <v>357</v>
      </c>
      <c r="B1646" s="45" t="str">
        <f>VLOOKUP(Tabela12[[#This Row],[Painel]],Tabela13[],2,0)</f>
        <v>30LV</v>
      </c>
      <c r="C1646" s="45" t="s">
        <v>1635</v>
      </c>
      <c r="D1646" s="21" t="s">
        <v>1936</v>
      </c>
      <c r="E1646" s="21">
        <v>2</v>
      </c>
      <c r="F1646" s="27" t="str">
        <f>Tabela12[[#This Row],[Régua]]&amp;" ("&amp;Tabela12[[#This Row],[Born]]&amp;")"</f>
        <v>TB-10 (2)</v>
      </c>
      <c r="G1646" s="27">
        <f>LEN(Tabela12[[#This Row],[Anilha]])</f>
        <v>9</v>
      </c>
      <c r="H1646" s="21">
        <f>VLOOKUP(Tabela12[[#This Row],[Tag Cabo]],BD!A:F,6,0)</f>
        <v>1</v>
      </c>
      <c r="I1646" s="27" t="s">
        <v>1705</v>
      </c>
      <c r="J1646" s="27" t="s">
        <v>1706</v>
      </c>
    </row>
    <row r="1647" spans="1:10" x14ac:dyDescent="0.25">
      <c r="A1647" s="216" t="s">
        <v>357</v>
      </c>
      <c r="B1647" s="45" t="str">
        <f>VLOOKUP(Tabela12[[#This Row],[Painel]],Tabela13[],2,0)</f>
        <v>30LV</v>
      </c>
      <c r="C1647" s="45" t="s">
        <v>1635</v>
      </c>
      <c r="D1647" s="21" t="s">
        <v>1936</v>
      </c>
      <c r="E1647" s="21">
        <v>4</v>
      </c>
      <c r="F1647" s="27" t="str">
        <f>Tabela12[[#This Row],[Régua]]&amp;" ("&amp;Tabela12[[#This Row],[Born]]&amp;")"</f>
        <v>TB-10 (4)</v>
      </c>
      <c r="G1647" s="27">
        <f>LEN(Tabela12[[#This Row],[Anilha]])</f>
        <v>9</v>
      </c>
      <c r="H1647" s="21">
        <f>VLOOKUP(Tabela12[[#This Row],[Tag Cabo]],BD!A:F,6,0)</f>
        <v>1</v>
      </c>
      <c r="I1647" s="27" t="s">
        <v>1705</v>
      </c>
      <c r="J1647" s="27" t="s">
        <v>1706</v>
      </c>
    </row>
    <row r="1648" spans="1:10" x14ac:dyDescent="0.25">
      <c r="A1648" s="216" t="s">
        <v>357</v>
      </c>
      <c r="B1648" s="45" t="str">
        <f>VLOOKUP(Tabela12[[#This Row],[Painel]],Tabela13[],2,0)</f>
        <v>30LV</v>
      </c>
      <c r="C1648" s="45" t="s">
        <v>1635</v>
      </c>
      <c r="D1648" s="21" t="s">
        <v>1936</v>
      </c>
      <c r="E1648" s="21">
        <v>5</v>
      </c>
      <c r="F1648" s="27" t="str">
        <f>Tabela12[[#This Row],[Régua]]&amp;" ("&amp;Tabela12[[#This Row],[Born]]&amp;")"</f>
        <v>TB-10 (5)</v>
      </c>
      <c r="G1648" s="27">
        <f>LEN(Tabela12[[#This Row],[Anilha]])</f>
        <v>9</v>
      </c>
      <c r="H1648" s="21">
        <f>VLOOKUP(Tabela12[[#This Row],[Tag Cabo]],BD!A:F,6,0)</f>
        <v>1</v>
      </c>
      <c r="I1648" s="27" t="s">
        <v>1705</v>
      </c>
      <c r="J1648" s="27" t="s">
        <v>1706</v>
      </c>
    </row>
    <row r="1649" spans="1:10" x14ac:dyDescent="0.25">
      <c r="A1649" s="216" t="s">
        <v>357</v>
      </c>
      <c r="B1649" s="45" t="str">
        <f>VLOOKUP(Tabela12[[#This Row],[Painel]],Tabela13[],2,0)</f>
        <v>30LV</v>
      </c>
      <c r="C1649" s="45" t="s">
        <v>1635</v>
      </c>
      <c r="D1649" s="21" t="s">
        <v>1936</v>
      </c>
      <c r="E1649" s="21">
        <v>7</v>
      </c>
      <c r="F1649" s="27" t="str">
        <f>Tabela12[[#This Row],[Régua]]&amp;" ("&amp;Tabela12[[#This Row],[Born]]&amp;")"</f>
        <v>TB-10 (7)</v>
      </c>
      <c r="G1649" s="27">
        <f>LEN(Tabela12[[#This Row],[Anilha]])</f>
        <v>9</v>
      </c>
      <c r="H1649" s="21">
        <f>VLOOKUP(Tabela12[[#This Row],[Tag Cabo]],BD!A:F,6,0)</f>
        <v>1</v>
      </c>
      <c r="I1649" s="27" t="s">
        <v>1705</v>
      </c>
      <c r="J1649" s="27" t="s">
        <v>1706</v>
      </c>
    </row>
    <row r="1650" spans="1:10" x14ac:dyDescent="0.25">
      <c r="A1650" s="216" t="s">
        <v>357</v>
      </c>
      <c r="B1650" s="45" t="str">
        <f>VLOOKUP(Tabela12[[#This Row],[Painel]],Tabela13[],2,0)</f>
        <v>30LV</v>
      </c>
      <c r="C1650" s="45" t="s">
        <v>1635</v>
      </c>
      <c r="D1650" s="21" t="s">
        <v>1936</v>
      </c>
      <c r="E1650" s="21">
        <v>8</v>
      </c>
      <c r="F1650" s="27" t="str">
        <f>Tabela12[[#This Row],[Régua]]&amp;" ("&amp;Tabela12[[#This Row],[Born]]&amp;")"</f>
        <v>TB-10 (8)</v>
      </c>
      <c r="G1650" s="27">
        <f>LEN(Tabela12[[#This Row],[Anilha]])</f>
        <v>9</v>
      </c>
      <c r="H1650" s="21">
        <f>VLOOKUP(Tabela12[[#This Row],[Tag Cabo]],BD!A:F,6,0)</f>
        <v>1</v>
      </c>
      <c r="I1650" s="27" t="s">
        <v>1705</v>
      </c>
      <c r="J1650" s="27" t="s">
        <v>1706</v>
      </c>
    </row>
    <row r="1651" spans="1:10" x14ac:dyDescent="0.25">
      <c r="A1651" s="216" t="s">
        <v>357</v>
      </c>
      <c r="B1651" s="45" t="str">
        <f>VLOOKUP(Tabela12[[#This Row],[Painel]],Tabela13[],2,0)</f>
        <v>30LV</v>
      </c>
      <c r="C1651" s="45" t="s">
        <v>1635</v>
      </c>
      <c r="D1651" s="21" t="s">
        <v>1936</v>
      </c>
      <c r="E1651" s="21">
        <v>10</v>
      </c>
      <c r="F1651" s="27" t="str">
        <f>Tabela12[[#This Row],[Régua]]&amp;" ("&amp;Tabela12[[#This Row],[Born]]&amp;")"</f>
        <v>TB-10 (10)</v>
      </c>
      <c r="G1651" s="27">
        <f>LEN(Tabela12[[#This Row],[Anilha]])</f>
        <v>10</v>
      </c>
      <c r="H1651" s="21">
        <f>VLOOKUP(Tabela12[[#This Row],[Tag Cabo]],BD!A:F,6,0)</f>
        <v>1</v>
      </c>
      <c r="I1651" s="27" t="s">
        <v>1705</v>
      </c>
      <c r="J1651" s="27" t="s">
        <v>1706</v>
      </c>
    </row>
    <row r="1652" spans="1:10" x14ac:dyDescent="0.25">
      <c r="A1652" s="216" t="s">
        <v>357</v>
      </c>
      <c r="B1652" s="45" t="str">
        <f>VLOOKUP(Tabela12[[#This Row],[Painel]],Tabela13[],2,0)</f>
        <v>30LV</v>
      </c>
      <c r="C1652" s="45" t="s">
        <v>1635</v>
      </c>
      <c r="D1652" s="21" t="s">
        <v>1936</v>
      </c>
      <c r="E1652" s="21">
        <v>11</v>
      </c>
      <c r="F1652" s="27" t="str">
        <f>Tabela12[[#This Row],[Régua]]&amp;" ("&amp;Tabela12[[#This Row],[Born]]&amp;")"</f>
        <v>TB-10 (11)</v>
      </c>
      <c r="G1652" s="27">
        <f>LEN(Tabela12[[#This Row],[Anilha]])</f>
        <v>10</v>
      </c>
      <c r="H1652" s="21">
        <f>VLOOKUP(Tabela12[[#This Row],[Tag Cabo]],BD!A:F,6,0)</f>
        <v>1</v>
      </c>
      <c r="I1652" s="27" t="s">
        <v>1705</v>
      </c>
      <c r="J1652" s="27" t="s">
        <v>1706</v>
      </c>
    </row>
    <row r="1653" spans="1:10" x14ac:dyDescent="0.25">
      <c r="A1653" s="216" t="s">
        <v>357</v>
      </c>
      <c r="B1653" s="45" t="str">
        <f>VLOOKUP(Tabela12[[#This Row],[Painel]],Tabela13[],2,0)</f>
        <v>30LV</v>
      </c>
      <c r="C1653" s="45" t="s">
        <v>1635</v>
      </c>
      <c r="D1653" s="21" t="s">
        <v>1936</v>
      </c>
      <c r="E1653" s="21">
        <v>13</v>
      </c>
      <c r="F1653" s="27" t="str">
        <f>Tabela12[[#This Row],[Régua]]&amp;" ("&amp;Tabela12[[#This Row],[Born]]&amp;")"</f>
        <v>TB-10 (13)</v>
      </c>
      <c r="G1653" s="27">
        <f>LEN(Tabela12[[#This Row],[Anilha]])</f>
        <v>10</v>
      </c>
      <c r="H1653" s="21">
        <f>VLOOKUP(Tabela12[[#This Row],[Tag Cabo]],BD!A:F,6,0)</f>
        <v>1</v>
      </c>
      <c r="I1653" s="27" t="s">
        <v>1705</v>
      </c>
      <c r="J1653" s="27" t="s">
        <v>1706</v>
      </c>
    </row>
    <row r="1654" spans="1:10" x14ac:dyDescent="0.25">
      <c r="A1654" s="216" t="s">
        <v>357</v>
      </c>
      <c r="B1654" s="45" t="str">
        <f>VLOOKUP(Tabela12[[#This Row],[Painel]],Tabela13[],2,0)</f>
        <v>30LV</v>
      </c>
      <c r="C1654" s="45" t="s">
        <v>1635</v>
      </c>
      <c r="D1654" s="21" t="s">
        <v>1936</v>
      </c>
      <c r="E1654" s="21">
        <v>14</v>
      </c>
      <c r="F1654" s="27" t="str">
        <f>Tabela12[[#This Row],[Régua]]&amp;" ("&amp;Tabela12[[#This Row],[Born]]&amp;")"</f>
        <v>TB-10 (14)</v>
      </c>
      <c r="G1654" s="27">
        <f>LEN(Tabela12[[#This Row],[Anilha]])</f>
        <v>10</v>
      </c>
      <c r="H1654" s="21">
        <f>VLOOKUP(Tabela12[[#This Row],[Tag Cabo]],BD!A:F,6,0)</f>
        <v>1</v>
      </c>
      <c r="I1654" s="27" t="s">
        <v>1705</v>
      </c>
      <c r="J1654" s="27" t="s">
        <v>1706</v>
      </c>
    </row>
    <row r="1655" spans="1:10" x14ac:dyDescent="0.25">
      <c r="A1655" s="216" t="s">
        <v>357</v>
      </c>
      <c r="B1655" s="45" t="str">
        <f>VLOOKUP(Tabela12[[#This Row],[Painel]],Tabela13[],2,0)</f>
        <v>30LV</v>
      </c>
      <c r="C1655" s="45" t="s">
        <v>1635</v>
      </c>
      <c r="D1655" s="21" t="s">
        <v>1936</v>
      </c>
      <c r="E1655" s="21">
        <v>16</v>
      </c>
      <c r="F1655" s="27" t="str">
        <f>Tabela12[[#This Row],[Régua]]&amp;" ("&amp;Tabela12[[#This Row],[Born]]&amp;")"</f>
        <v>TB-10 (16)</v>
      </c>
      <c r="G1655" s="27">
        <f>LEN(Tabela12[[#This Row],[Anilha]])</f>
        <v>10</v>
      </c>
      <c r="H1655" s="21">
        <f>VLOOKUP(Tabela12[[#This Row],[Tag Cabo]],BD!A:F,6,0)</f>
        <v>1</v>
      </c>
      <c r="I1655" s="27" t="s">
        <v>1705</v>
      </c>
      <c r="J1655" s="27" t="s">
        <v>1706</v>
      </c>
    </row>
    <row r="1656" spans="1:10" x14ac:dyDescent="0.25">
      <c r="A1656" s="216" t="s">
        <v>357</v>
      </c>
      <c r="B1656" s="45" t="str">
        <f>VLOOKUP(Tabela12[[#This Row],[Painel]],Tabela13[],2,0)</f>
        <v>30LV</v>
      </c>
      <c r="C1656" s="45" t="s">
        <v>1635</v>
      </c>
      <c r="D1656" s="21" t="s">
        <v>1936</v>
      </c>
      <c r="E1656" s="21">
        <v>17</v>
      </c>
      <c r="F1656" s="27" t="str">
        <f>Tabela12[[#This Row],[Régua]]&amp;" ("&amp;Tabela12[[#This Row],[Born]]&amp;")"</f>
        <v>TB-10 (17)</v>
      </c>
      <c r="G1656" s="27">
        <f>LEN(Tabela12[[#This Row],[Anilha]])</f>
        <v>10</v>
      </c>
      <c r="H1656" s="21">
        <f>VLOOKUP(Tabela12[[#This Row],[Tag Cabo]],BD!A:F,6,0)</f>
        <v>1</v>
      </c>
      <c r="I1656" s="27" t="s">
        <v>1705</v>
      </c>
      <c r="J1656" s="27" t="s">
        <v>1706</v>
      </c>
    </row>
    <row r="1657" spans="1:10" x14ac:dyDescent="0.25">
      <c r="A1657" s="216" t="s">
        <v>357</v>
      </c>
      <c r="B1657" s="45" t="str">
        <f>VLOOKUP(Tabela12[[#This Row],[Painel]],Tabela13[],2,0)</f>
        <v>30LV</v>
      </c>
      <c r="C1657" s="45" t="s">
        <v>1635</v>
      </c>
      <c r="D1657" s="21" t="s">
        <v>1936</v>
      </c>
      <c r="E1657" s="21">
        <v>19</v>
      </c>
      <c r="F1657" s="27" t="str">
        <f>Tabela12[[#This Row],[Régua]]&amp;" ("&amp;Tabela12[[#This Row],[Born]]&amp;")"</f>
        <v>TB-10 (19)</v>
      </c>
      <c r="G1657" s="27">
        <f>LEN(Tabela12[[#This Row],[Anilha]])</f>
        <v>10</v>
      </c>
      <c r="H1657" s="21">
        <f>VLOOKUP(Tabela12[[#This Row],[Tag Cabo]],BD!A:F,6,0)</f>
        <v>1</v>
      </c>
      <c r="I1657" s="27" t="s">
        <v>1705</v>
      </c>
      <c r="J1657" s="27" t="s">
        <v>1706</v>
      </c>
    </row>
    <row r="1658" spans="1:10" x14ac:dyDescent="0.25">
      <c r="A1658" s="216" t="s">
        <v>357</v>
      </c>
      <c r="B1658" s="45" t="str">
        <f>VLOOKUP(Tabela12[[#This Row],[Painel]],Tabela13[],2,0)</f>
        <v>30LV</v>
      </c>
      <c r="C1658" s="45" t="s">
        <v>1635</v>
      </c>
      <c r="D1658" s="21" t="s">
        <v>1936</v>
      </c>
      <c r="E1658" s="21">
        <v>20</v>
      </c>
      <c r="F1658" s="27" t="str">
        <f>Tabela12[[#This Row],[Régua]]&amp;" ("&amp;Tabela12[[#This Row],[Born]]&amp;")"</f>
        <v>TB-10 (20)</v>
      </c>
      <c r="G1658" s="27">
        <f>LEN(Tabela12[[#This Row],[Anilha]])</f>
        <v>10</v>
      </c>
      <c r="H1658" s="21">
        <f>VLOOKUP(Tabela12[[#This Row],[Tag Cabo]],BD!A:F,6,0)</f>
        <v>1</v>
      </c>
      <c r="I1658" s="27" t="s">
        <v>1705</v>
      </c>
      <c r="J1658" s="27" t="s">
        <v>1706</v>
      </c>
    </row>
    <row r="1659" spans="1:10" x14ac:dyDescent="0.25">
      <c r="A1659" s="216" t="s">
        <v>607</v>
      </c>
      <c r="B1659" s="45" t="str">
        <f>VLOOKUP(Tabela12[[#This Row],[Painel]],Tabela13[],2,0)</f>
        <v>7HV</v>
      </c>
      <c r="C1659" s="45" t="s">
        <v>1588</v>
      </c>
      <c r="D1659" s="21" t="s">
        <v>1717</v>
      </c>
      <c r="E1659" s="21">
        <v>118</v>
      </c>
      <c r="F1659" s="27" t="str">
        <f>Tabela12[[#This Row],[Régua]]&amp;" ("&amp;Tabela12[[#This Row],[Born]]&amp;")"</f>
        <v>XE (118)</v>
      </c>
      <c r="G1659" s="27">
        <f>LEN(Tabela12[[#This Row],[Anilha]])</f>
        <v>8</v>
      </c>
      <c r="H1659" s="21">
        <f>VLOOKUP(Tabela12[[#This Row],[Tag Cabo]],BD!A:F,6,0)</f>
        <v>1</v>
      </c>
      <c r="I1659" s="27" t="s">
        <v>1705</v>
      </c>
      <c r="J1659" s="27" t="s">
        <v>1706</v>
      </c>
    </row>
    <row r="1660" spans="1:10" x14ac:dyDescent="0.25">
      <c r="A1660" s="216" t="s">
        <v>607</v>
      </c>
      <c r="B1660" s="45" t="str">
        <f>VLOOKUP(Tabela12[[#This Row],[Painel]],Tabela13[],2,0)</f>
        <v>7HV</v>
      </c>
      <c r="C1660" s="45" t="s">
        <v>1588</v>
      </c>
      <c r="D1660" s="21" t="s">
        <v>1717</v>
      </c>
      <c r="E1660" s="21">
        <v>119</v>
      </c>
      <c r="F1660" s="27" t="str">
        <f>Tabela12[[#This Row],[Régua]]&amp;" ("&amp;Tabela12[[#This Row],[Born]]&amp;")"</f>
        <v>XE (119)</v>
      </c>
      <c r="G1660" s="27">
        <f>LEN(Tabela12[[#This Row],[Anilha]])</f>
        <v>8</v>
      </c>
      <c r="H1660" s="21">
        <f>VLOOKUP(Tabela12[[#This Row],[Tag Cabo]],BD!A:F,6,0)</f>
        <v>1</v>
      </c>
      <c r="I1660" s="27" t="s">
        <v>1705</v>
      </c>
      <c r="J1660" s="27" t="s">
        <v>1706</v>
      </c>
    </row>
    <row r="1661" spans="1:10" x14ac:dyDescent="0.25">
      <c r="A1661" s="216" t="s">
        <v>607</v>
      </c>
      <c r="B1661" s="45" t="str">
        <f>VLOOKUP(Tabela12[[#This Row],[Painel]],Tabela13[],2,0)</f>
        <v>7HV</v>
      </c>
      <c r="C1661" s="45" t="s">
        <v>1588</v>
      </c>
      <c r="D1661" s="21" t="s">
        <v>1717</v>
      </c>
      <c r="E1661" s="21">
        <v>122</v>
      </c>
      <c r="F1661" s="27" t="str">
        <f>Tabela12[[#This Row],[Régua]]&amp;" ("&amp;Tabela12[[#This Row],[Born]]&amp;")"</f>
        <v>XE (122)</v>
      </c>
      <c r="G1661" s="27">
        <f>LEN(Tabela12[[#This Row],[Anilha]])</f>
        <v>8</v>
      </c>
      <c r="H1661" s="21">
        <f>VLOOKUP(Tabela12[[#This Row],[Tag Cabo]],BD!A:F,6,0)</f>
        <v>1</v>
      </c>
      <c r="I1661" s="27" t="s">
        <v>1705</v>
      </c>
      <c r="J1661" s="27" t="s">
        <v>1706</v>
      </c>
    </row>
    <row r="1662" spans="1:10" x14ac:dyDescent="0.25">
      <c r="A1662" s="216" t="s">
        <v>607</v>
      </c>
      <c r="B1662" s="45" t="str">
        <f>VLOOKUP(Tabela12[[#This Row],[Painel]],Tabela13[],2,0)</f>
        <v>7HV</v>
      </c>
      <c r="C1662" s="45" t="s">
        <v>1588</v>
      </c>
      <c r="D1662" s="21" t="s">
        <v>1717</v>
      </c>
      <c r="E1662" s="21">
        <v>123</v>
      </c>
      <c r="F1662" s="27" t="str">
        <f>Tabela12[[#This Row],[Régua]]&amp;" ("&amp;Tabela12[[#This Row],[Born]]&amp;")"</f>
        <v>XE (123)</v>
      </c>
      <c r="G1662" s="27">
        <f>LEN(Tabela12[[#This Row],[Anilha]])</f>
        <v>8</v>
      </c>
      <c r="H1662" s="21">
        <f>VLOOKUP(Tabela12[[#This Row],[Tag Cabo]],BD!A:F,6,0)</f>
        <v>1</v>
      </c>
      <c r="I1662" s="27" t="s">
        <v>1705</v>
      </c>
      <c r="J1662" s="27" t="s">
        <v>1706</v>
      </c>
    </row>
    <row r="1663" spans="1:10" x14ac:dyDescent="0.25">
      <c r="A1663" s="216" t="s">
        <v>607</v>
      </c>
      <c r="B1663" s="45" t="str">
        <f>VLOOKUP(Tabela12[[#This Row],[Painel]],Tabela13[],2,0)</f>
        <v>7HV</v>
      </c>
      <c r="C1663" s="45" t="s">
        <v>1588</v>
      </c>
      <c r="D1663" s="21" t="s">
        <v>1717</v>
      </c>
      <c r="E1663" s="21">
        <v>126</v>
      </c>
      <c r="F1663" s="27" t="str">
        <f>Tabela12[[#This Row],[Régua]]&amp;" ("&amp;Tabela12[[#This Row],[Born]]&amp;")"</f>
        <v>XE (126)</v>
      </c>
      <c r="G1663" s="27">
        <f>LEN(Tabela12[[#This Row],[Anilha]])</f>
        <v>8</v>
      </c>
      <c r="H1663" s="21">
        <f>VLOOKUP(Tabela12[[#This Row],[Tag Cabo]],BD!A:F,6,0)</f>
        <v>1</v>
      </c>
      <c r="I1663" s="27" t="s">
        <v>1705</v>
      </c>
      <c r="J1663" s="27" t="s">
        <v>1706</v>
      </c>
    </row>
    <row r="1664" spans="1:10" x14ac:dyDescent="0.25">
      <c r="A1664" s="216" t="s">
        <v>607</v>
      </c>
      <c r="B1664" s="45" t="str">
        <f>VLOOKUP(Tabela12[[#This Row],[Painel]],Tabela13[],2,0)</f>
        <v>7HV</v>
      </c>
      <c r="C1664" s="45" t="s">
        <v>1588</v>
      </c>
      <c r="D1664" s="21" t="s">
        <v>1717</v>
      </c>
      <c r="E1664" s="21">
        <v>127</v>
      </c>
      <c r="F1664" s="27" t="str">
        <f>Tabela12[[#This Row],[Régua]]&amp;" ("&amp;Tabela12[[#This Row],[Born]]&amp;")"</f>
        <v>XE (127)</v>
      </c>
      <c r="G1664" s="27">
        <f>LEN(Tabela12[[#This Row],[Anilha]])</f>
        <v>8</v>
      </c>
      <c r="H1664" s="21">
        <f>VLOOKUP(Tabela12[[#This Row],[Tag Cabo]],BD!A:F,6,0)</f>
        <v>1</v>
      </c>
      <c r="I1664" s="27" t="s">
        <v>1705</v>
      </c>
      <c r="J1664" s="27" t="s">
        <v>1706</v>
      </c>
    </row>
    <row r="1665" spans="1:10" x14ac:dyDescent="0.25">
      <c r="A1665" s="216" t="s">
        <v>607</v>
      </c>
      <c r="B1665" s="45" t="str">
        <f>VLOOKUP(Tabela12[[#This Row],[Painel]],Tabela13[],2,0)</f>
        <v>7HV</v>
      </c>
      <c r="C1665" s="45" t="s">
        <v>1588</v>
      </c>
      <c r="D1665" s="21" t="s">
        <v>1717</v>
      </c>
      <c r="E1665" s="21">
        <v>130</v>
      </c>
      <c r="F1665" s="27" t="str">
        <f>Tabela12[[#This Row],[Régua]]&amp;" ("&amp;Tabela12[[#This Row],[Born]]&amp;")"</f>
        <v>XE (130)</v>
      </c>
      <c r="G1665" s="27">
        <f>LEN(Tabela12[[#This Row],[Anilha]])</f>
        <v>8</v>
      </c>
      <c r="H1665" s="21">
        <f>VLOOKUP(Tabela12[[#This Row],[Tag Cabo]],BD!A:F,6,0)</f>
        <v>1</v>
      </c>
      <c r="I1665" s="27" t="s">
        <v>1705</v>
      </c>
      <c r="J1665" s="27" t="s">
        <v>1706</v>
      </c>
    </row>
    <row r="1666" spans="1:10" x14ac:dyDescent="0.25">
      <c r="A1666" s="216" t="s">
        <v>607</v>
      </c>
      <c r="B1666" s="45" t="str">
        <f>VLOOKUP(Tabela12[[#This Row],[Painel]],Tabela13[],2,0)</f>
        <v>7HV</v>
      </c>
      <c r="C1666" s="45" t="s">
        <v>1588</v>
      </c>
      <c r="D1666" s="21" t="s">
        <v>1717</v>
      </c>
      <c r="E1666" s="21">
        <v>131</v>
      </c>
      <c r="F1666" s="27" t="str">
        <f>Tabela12[[#This Row],[Régua]]&amp;" ("&amp;Tabela12[[#This Row],[Born]]&amp;")"</f>
        <v>XE (131)</v>
      </c>
      <c r="G1666" s="27">
        <f>LEN(Tabela12[[#This Row],[Anilha]])</f>
        <v>8</v>
      </c>
      <c r="H1666" s="21">
        <f>VLOOKUP(Tabela12[[#This Row],[Tag Cabo]],BD!A:F,6,0)</f>
        <v>1</v>
      </c>
      <c r="I1666" s="27" t="s">
        <v>1705</v>
      </c>
      <c r="J1666" s="27" t="s">
        <v>1706</v>
      </c>
    </row>
    <row r="1667" spans="1:10" x14ac:dyDescent="0.25">
      <c r="A1667" s="216" t="s">
        <v>607</v>
      </c>
      <c r="B1667" s="45" t="str">
        <f>VLOOKUP(Tabela12[[#This Row],[Painel]],Tabela13[],2,0)</f>
        <v>7HV</v>
      </c>
      <c r="C1667" s="45" t="s">
        <v>1588</v>
      </c>
      <c r="D1667" s="21" t="s">
        <v>1717</v>
      </c>
      <c r="E1667" s="21">
        <v>134</v>
      </c>
      <c r="F1667" s="27" t="str">
        <f>Tabela12[[#This Row],[Régua]]&amp;" ("&amp;Tabela12[[#This Row],[Born]]&amp;")"</f>
        <v>XE (134)</v>
      </c>
      <c r="G1667" s="27">
        <f>LEN(Tabela12[[#This Row],[Anilha]])</f>
        <v>8</v>
      </c>
      <c r="H1667" s="21">
        <f>VLOOKUP(Tabela12[[#This Row],[Tag Cabo]],BD!A:F,6,0)</f>
        <v>1</v>
      </c>
      <c r="I1667" s="27" t="s">
        <v>1705</v>
      </c>
      <c r="J1667" s="27" t="s">
        <v>1706</v>
      </c>
    </row>
    <row r="1668" spans="1:10" x14ac:dyDescent="0.25">
      <c r="A1668" s="216" t="s">
        <v>607</v>
      </c>
      <c r="B1668" s="45" t="str">
        <f>VLOOKUP(Tabela12[[#This Row],[Painel]],Tabela13[],2,0)</f>
        <v>7HV</v>
      </c>
      <c r="C1668" s="45" t="s">
        <v>1588</v>
      </c>
      <c r="D1668" s="21" t="s">
        <v>1717</v>
      </c>
      <c r="E1668" s="21">
        <v>135</v>
      </c>
      <c r="F1668" s="27" t="str">
        <f>Tabela12[[#This Row],[Régua]]&amp;" ("&amp;Tabela12[[#This Row],[Born]]&amp;")"</f>
        <v>XE (135)</v>
      </c>
      <c r="G1668" s="27">
        <f>LEN(Tabela12[[#This Row],[Anilha]])</f>
        <v>8</v>
      </c>
      <c r="H1668" s="21">
        <f>VLOOKUP(Tabela12[[#This Row],[Tag Cabo]],BD!A:F,6,0)</f>
        <v>1</v>
      </c>
      <c r="I1668" s="27" t="s">
        <v>1705</v>
      </c>
      <c r="J1668" s="27" t="s">
        <v>1706</v>
      </c>
    </row>
    <row r="1669" spans="1:10" x14ac:dyDescent="0.25">
      <c r="A1669" s="216" t="s">
        <v>607</v>
      </c>
      <c r="B1669" s="45" t="str">
        <f>VLOOKUP(Tabela12[[#This Row],[Painel]],Tabela13[],2,0)</f>
        <v>7HV</v>
      </c>
      <c r="C1669" s="45" t="s">
        <v>1588</v>
      </c>
      <c r="D1669" s="21" t="s">
        <v>1717</v>
      </c>
      <c r="E1669" s="21">
        <v>139</v>
      </c>
      <c r="F1669" s="27" t="str">
        <f>Tabela12[[#This Row],[Régua]]&amp;" ("&amp;Tabela12[[#This Row],[Born]]&amp;")"</f>
        <v>XE (139)</v>
      </c>
      <c r="G1669" s="27">
        <f>LEN(Tabela12[[#This Row],[Anilha]])</f>
        <v>8</v>
      </c>
      <c r="H1669" s="21">
        <f>VLOOKUP(Tabela12[[#This Row],[Tag Cabo]],BD!A:F,6,0)</f>
        <v>1</v>
      </c>
      <c r="I1669" s="27" t="s">
        <v>1705</v>
      </c>
      <c r="J1669" s="27" t="s">
        <v>1706</v>
      </c>
    </row>
    <row r="1670" spans="1:10" x14ac:dyDescent="0.25">
      <c r="A1670" s="216" t="s">
        <v>607</v>
      </c>
      <c r="B1670" s="45" t="str">
        <f>VLOOKUP(Tabela12[[#This Row],[Painel]],Tabela13[],2,0)</f>
        <v>7HV</v>
      </c>
      <c r="C1670" s="45" t="s">
        <v>1588</v>
      </c>
      <c r="D1670" s="21" t="s">
        <v>1717</v>
      </c>
      <c r="E1670" s="21">
        <v>140</v>
      </c>
      <c r="F1670" s="27" t="str">
        <f>Tabela12[[#This Row],[Régua]]&amp;" ("&amp;Tabela12[[#This Row],[Born]]&amp;")"</f>
        <v>XE (140)</v>
      </c>
      <c r="G1670" s="27">
        <f>LEN(Tabela12[[#This Row],[Anilha]])</f>
        <v>8</v>
      </c>
      <c r="H1670" s="21">
        <f>VLOOKUP(Tabela12[[#This Row],[Tag Cabo]],BD!A:F,6,0)</f>
        <v>1</v>
      </c>
      <c r="I1670" s="27" t="s">
        <v>1705</v>
      </c>
      <c r="J1670" s="27" t="s">
        <v>1706</v>
      </c>
    </row>
    <row r="1671" spans="1:10" x14ac:dyDescent="0.25">
      <c r="A1671" s="216" t="s">
        <v>607</v>
      </c>
      <c r="B1671" s="45" t="str">
        <f>VLOOKUP(Tabela12[[#This Row],[Painel]],Tabela13[],2,0)</f>
        <v>30LV</v>
      </c>
      <c r="C1671" s="45" t="s">
        <v>1635</v>
      </c>
      <c r="D1671" s="21" t="s">
        <v>1937</v>
      </c>
      <c r="E1671" s="21">
        <v>1</v>
      </c>
      <c r="F1671" s="27" t="str">
        <f>Tabela12[[#This Row],[Régua]]&amp;" ("&amp;Tabela12[[#This Row],[Born]]&amp;")"</f>
        <v>TB-8 (1)</v>
      </c>
      <c r="G1671" s="27">
        <f>LEN(Tabela12[[#This Row],[Anilha]])</f>
        <v>8</v>
      </c>
      <c r="H1671" s="21">
        <f>VLOOKUP(Tabela12[[#This Row],[Tag Cabo]],BD!A:F,6,0)</f>
        <v>1</v>
      </c>
      <c r="I1671" s="27" t="s">
        <v>1705</v>
      </c>
      <c r="J1671" s="27" t="s">
        <v>1706</v>
      </c>
    </row>
    <row r="1672" spans="1:10" x14ac:dyDescent="0.25">
      <c r="A1672" s="216" t="s">
        <v>607</v>
      </c>
      <c r="B1672" s="45" t="str">
        <f>VLOOKUP(Tabela12[[#This Row],[Painel]],Tabela13[],2,0)</f>
        <v>30LV</v>
      </c>
      <c r="C1672" s="45" t="s">
        <v>1635</v>
      </c>
      <c r="D1672" s="21" t="s">
        <v>1937</v>
      </c>
      <c r="E1672" s="21">
        <v>2</v>
      </c>
      <c r="F1672" s="27" t="str">
        <f>Tabela12[[#This Row],[Régua]]&amp;" ("&amp;Tabela12[[#This Row],[Born]]&amp;")"</f>
        <v>TB-8 (2)</v>
      </c>
      <c r="G1672" s="27">
        <f>LEN(Tabela12[[#This Row],[Anilha]])</f>
        <v>8</v>
      </c>
      <c r="H1672" s="21">
        <f>VLOOKUP(Tabela12[[#This Row],[Tag Cabo]],BD!A:F,6,0)</f>
        <v>1</v>
      </c>
      <c r="I1672" s="27" t="s">
        <v>1705</v>
      </c>
      <c r="J1672" s="27" t="s">
        <v>1706</v>
      </c>
    </row>
    <row r="1673" spans="1:10" x14ac:dyDescent="0.25">
      <c r="A1673" s="216" t="s">
        <v>607</v>
      </c>
      <c r="B1673" s="45" t="str">
        <f>VLOOKUP(Tabela12[[#This Row],[Painel]],Tabela13[],2,0)</f>
        <v>30LV</v>
      </c>
      <c r="C1673" s="45" t="s">
        <v>1635</v>
      </c>
      <c r="D1673" s="21" t="s">
        <v>1937</v>
      </c>
      <c r="E1673" s="21">
        <v>4</v>
      </c>
      <c r="F1673" s="27" t="str">
        <f>Tabela12[[#This Row],[Régua]]&amp;" ("&amp;Tabela12[[#This Row],[Born]]&amp;")"</f>
        <v>TB-8 (4)</v>
      </c>
      <c r="G1673" s="27">
        <f>LEN(Tabela12[[#This Row],[Anilha]])</f>
        <v>8</v>
      </c>
      <c r="H1673" s="21">
        <f>VLOOKUP(Tabela12[[#This Row],[Tag Cabo]],BD!A:F,6,0)</f>
        <v>1</v>
      </c>
      <c r="I1673" s="27" t="s">
        <v>1705</v>
      </c>
      <c r="J1673" s="27" t="s">
        <v>1706</v>
      </c>
    </row>
    <row r="1674" spans="1:10" x14ac:dyDescent="0.25">
      <c r="A1674" s="216" t="s">
        <v>607</v>
      </c>
      <c r="B1674" s="45" t="str">
        <f>VLOOKUP(Tabela12[[#This Row],[Painel]],Tabela13[],2,0)</f>
        <v>30LV</v>
      </c>
      <c r="C1674" s="45" t="s">
        <v>1635</v>
      </c>
      <c r="D1674" s="21" t="s">
        <v>1937</v>
      </c>
      <c r="E1674" s="21">
        <v>5</v>
      </c>
      <c r="F1674" s="27" t="str">
        <f>Tabela12[[#This Row],[Régua]]&amp;" ("&amp;Tabela12[[#This Row],[Born]]&amp;")"</f>
        <v>TB-8 (5)</v>
      </c>
      <c r="G1674" s="27">
        <f>LEN(Tabela12[[#This Row],[Anilha]])</f>
        <v>8</v>
      </c>
      <c r="H1674" s="21">
        <f>VLOOKUP(Tabela12[[#This Row],[Tag Cabo]],BD!A:F,6,0)</f>
        <v>1</v>
      </c>
      <c r="I1674" s="27" t="s">
        <v>1705</v>
      </c>
      <c r="J1674" s="27" t="s">
        <v>1706</v>
      </c>
    </row>
    <row r="1675" spans="1:10" x14ac:dyDescent="0.25">
      <c r="A1675" s="216" t="s">
        <v>607</v>
      </c>
      <c r="B1675" s="45" t="str">
        <f>VLOOKUP(Tabela12[[#This Row],[Painel]],Tabela13[],2,0)</f>
        <v>30LV</v>
      </c>
      <c r="C1675" s="45" t="s">
        <v>1635</v>
      </c>
      <c r="D1675" s="21" t="s">
        <v>1937</v>
      </c>
      <c r="E1675" s="21">
        <v>13</v>
      </c>
      <c r="F1675" s="27" t="str">
        <f>Tabela12[[#This Row],[Régua]]&amp;" ("&amp;Tabela12[[#This Row],[Born]]&amp;")"</f>
        <v>TB-8 (13)</v>
      </c>
      <c r="G1675" s="27">
        <f>LEN(Tabela12[[#This Row],[Anilha]])</f>
        <v>9</v>
      </c>
      <c r="H1675" s="21">
        <f>VLOOKUP(Tabela12[[#This Row],[Tag Cabo]],BD!A:F,6,0)</f>
        <v>1</v>
      </c>
      <c r="I1675" s="27" t="s">
        <v>1705</v>
      </c>
      <c r="J1675" s="27" t="s">
        <v>1706</v>
      </c>
    </row>
    <row r="1676" spans="1:10" x14ac:dyDescent="0.25">
      <c r="A1676" s="216" t="s">
        <v>607</v>
      </c>
      <c r="B1676" s="45" t="str">
        <f>VLOOKUP(Tabela12[[#This Row],[Painel]],Tabela13[],2,0)</f>
        <v>30LV</v>
      </c>
      <c r="C1676" s="45" t="s">
        <v>1635</v>
      </c>
      <c r="D1676" s="21" t="s">
        <v>1937</v>
      </c>
      <c r="E1676" s="21">
        <v>14</v>
      </c>
      <c r="F1676" s="27" t="str">
        <f>Tabela12[[#This Row],[Régua]]&amp;" ("&amp;Tabela12[[#This Row],[Born]]&amp;")"</f>
        <v>TB-8 (14)</v>
      </c>
      <c r="G1676" s="27">
        <f>LEN(Tabela12[[#This Row],[Anilha]])</f>
        <v>9</v>
      </c>
      <c r="H1676" s="21">
        <f>VLOOKUP(Tabela12[[#This Row],[Tag Cabo]],BD!A:F,6,0)</f>
        <v>1</v>
      </c>
      <c r="I1676" s="27" t="s">
        <v>1705</v>
      </c>
      <c r="J1676" s="27" t="s">
        <v>1706</v>
      </c>
    </row>
    <row r="1677" spans="1:10" x14ac:dyDescent="0.25">
      <c r="A1677" s="216" t="s">
        <v>607</v>
      </c>
      <c r="B1677" s="45" t="str">
        <f>VLOOKUP(Tabela12[[#This Row],[Painel]],Tabela13[],2,0)</f>
        <v>30LV</v>
      </c>
      <c r="C1677" s="45" t="s">
        <v>1635</v>
      </c>
      <c r="D1677" s="21" t="s">
        <v>1937</v>
      </c>
      <c r="E1677" s="21">
        <v>16</v>
      </c>
      <c r="F1677" s="27" t="str">
        <f>Tabela12[[#This Row],[Régua]]&amp;" ("&amp;Tabela12[[#This Row],[Born]]&amp;")"</f>
        <v>TB-8 (16)</v>
      </c>
      <c r="G1677" s="27">
        <f>LEN(Tabela12[[#This Row],[Anilha]])</f>
        <v>9</v>
      </c>
      <c r="H1677" s="21">
        <f>VLOOKUP(Tabela12[[#This Row],[Tag Cabo]],BD!A:F,6,0)</f>
        <v>1</v>
      </c>
      <c r="I1677" s="27" t="s">
        <v>1705</v>
      </c>
      <c r="J1677" s="27" t="s">
        <v>1706</v>
      </c>
    </row>
    <row r="1678" spans="1:10" x14ac:dyDescent="0.25">
      <c r="A1678" s="216" t="s">
        <v>607</v>
      </c>
      <c r="B1678" s="45" t="str">
        <f>VLOOKUP(Tabela12[[#This Row],[Painel]],Tabela13[],2,0)</f>
        <v>30LV</v>
      </c>
      <c r="C1678" s="45" t="s">
        <v>1635</v>
      </c>
      <c r="D1678" s="21" t="s">
        <v>1937</v>
      </c>
      <c r="E1678" s="21">
        <v>17</v>
      </c>
      <c r="F1678" s="27" t="str">
        <f>Tabela12[[#This Row],[Régua]]&amp;" ("&amp;Tabela12[[#This Row],[Born]]&amp;")"</f>
        <v>TB-8 (17)</v>
      </c>
      <c r="G1678" s="27">
        <f>LEN(Tabela12[[#This Row],[Anilha]])</f>
        <v>9</v>
      </c>
      <c r="H1678" s="21">
        <f>VLOOKUP(Tabela12[[#This Row],[Tag Cabo]],BD!A:F,6,0)</f>
        <v>1</v>
      </c>
      <c r="I1678" s="27" t="s">
        <v>1705</v>
      </c>
      <c r="J1678" s="27" t="s">
        <v>1706</v>
      </c>
    </row>
    <row r="1679" spans="1:10" x14ac:dyDescent="0.25">
      <c r="A1679" s="216" t="s">
        <v>607</v>
      </c>
      <c r="B1679" s="45" t="str">
        <f>VLOOKUP(Tabela12[[#This Row],[Painel]],Tabela13[],2,0)</f>
        <v>30LV</v>
      </c>
      <c r="C1679" s="45" t="s">
        <v>1635</v>
      </c>
      <c r="D1679" s="21" t="s">
        <v>1937</v>
      </c>
      <c r="E1679" s="21">
        <v>19</v>
      </c>
      <c r="F1679" s="27" t="str">
        <f>Tabela12[[#This Row],[Régua]]&amp;" ("&amp;Tabela12[[#This Row],[Born]]&amp;")"</f>
        <v>TB-8 (19)</v>
      </c>
      <c r="G1679" s="27">
        <f>LEN(Tabela12[[#This Row],[Anilha]])</f>
        <v>9</v>
      </c>
      <c r="H1679" s="21">
        <f>VLOOKUP(Tabela12[[#This Row],[Tag Cabo]],BD!A:F,6,0)</f>
        <v>1</v>
      </c>
      <c r="I1679" s="27" t="s">
        <v>1705</v>
      </c>
      <c r="J1679" s="27" t="s">
        <v>1706</v>
      </c>
    </row>
    <row r="1680" spans="1:10" x14ac:dyDescent="0.25">
      <c r="A1680" s="216" t="s">
        <v>607</v>
      </c>
      <c r="B1680" s="45" t="str">
        <f>VLOOKUP(Tabela12[[#This Row],[Painel]],Tabela13[],2,0)</f>
        <v>30LV</v>
      </c>
      <c r="C1680" s="45" t="s">
        <v>1635</v>
      </c>
      <c r="D1680" s="21" t="s">
        <v>1937</v>
      </c>
      <c r="E1680" s="21">
        <v>20</v>
      </c>
      <c r="F1680" s="27" t="str">
        <f>Tabela12[[#This Row],[Régua]]&amp;" ("&amp;Tabela12[[#This Row],[Born]]&amp;")"</f>
        <v>TB-8 (20)</v>
      </c>
      <c r="G1680" s="27">
        <f>LEN(Tabela12[[#This Row],[Anilha]])</f>
        <v>9</v>
      </c>
      <c r="H1680" s="21">
        <f>VLOOKUP(Tabela12[[#This Row],[Tag Cabo]],BD!A:F,6,0)</f>
        <v>1</v>
      </c>
      <c r="I1680" s="27" t="s">
        <v>1705</v>
      </c>
      <c r="J1680" s="27" t="s">
        <v>1706</v>
      </c>
    </row>
    <row r="1681" spans="1:10" x14ac:dyDescent="0.25">
      <c r="A1681" s="216" t="s">
        <v>607</v>
      </c>
      <c r="B1681" s="45" t="str">
        <f>VLOOKUP(Tabela12[[#This Row],[Painel]],Tabela13[],2,0)</f>
        <v>30LV</v>
      </c>
      <c r="C1681" s="45" t="s">
        <v>1635</v>
      </c>
      <c r="D1681" s="21" t="s">
        <v>1937</v>
      </c>
      <c r="E1681" s="21">
        <v>22</v>
      </c>
      <c r="F1681" s="27" t="str">
        <f>Tabela12[[#This Row],[Régua]]&amp;" ("&amp;Tabela12[[#This Row],[Born]]&amp;")"</f>
        <v>TB-8 (22)</v>
      </c>
      <c r="G1681" s="27">
        <f>LEN(Tabela12[[#This Row],[Anilha]])</f>
        <v>9</v>
      </c>
      <c r="H1681" s="21">
        <f>VLOOKUP(Tabela12[[#This Row],[Tag Cabo]],BD!A:F,6,0)</f>
        <v>1</v>
      </c>
      <c r="I1681" s="27" t="s">
        <v>1705</v>
      </c>
      <c r="J1681" s="27" t="s">
        <v>1706</v>
      </c>
    </row>
    <row r="1682" spans="1:10" x14ac:dyDescent="0.25">
      <c r="A1682" s="216" t="s">
        <v>607</v>
      </c>
      <c r="B1682" s="45" t="str">
        <f>VLOOKUP(Tabela12[[#This Row],[Painel]],Tabela13[],2,0)</f>
        <v>30LV</v>
      </c>
      <c r="C1682" s="45" t="s">
        <v>1635</v>
      </c>
      <c r="D1682" s="21" t="s">
        <v>1937</v>
      </c>
      <c r="E1682" s="21">
        <v>23</v>
      </c>
      <c r="F1682" s="27" t="str">
        <f>Tabela12[[#This Row],[Régua]]&amp;" ("&amp;Tabela12[[#This Row],[Born]]&amp;")"</f>
        <v>TB-8 (23)</v>
      </c>
      <c r="G1682" s="27">
        <f>LEN(Tabela12[[#This Row],[Anilha]])</f>
        <v>9</v>
      </c>
      <c r="H1682" s="21">
        <f>VLOOKUP(Tabela12[[#This Row],[Tag Cabo]],BD!A:F,6,0)</f>
        <v>1</v>
      </c>
      <c r="I1682" s="27" t="s">
        <v>1705</v>
      </c>
      <c r="J1682" s="27" t="s">
        <v>1706</v>
      </c>
    </row>
    <row r="1683" spans="1:10" x14ac:dyDescent="0.25">
      <c r="A1683" s="216" t="s">
        <v>611</v>
      </c>
      <c r="B1683" s="45" t="str">
        <f>VLOOKUP(Tabela12[[#This Row],[Painel]],Tabela13[],2,0)</f>
        <v>7HV</v>
      </c>
      <c r="C1683" s="45" t="s">
        <v>1588</v>
      </c>
      <c r="D1683" s="21" t="s">
        <v>1717</v>
      </c>
      <c r="E1683" s="21">
        <v>1</v>
      </c>
      <c r="F1683" s="27" t="str">
        <f>Tabela12[[#This Row],[Régua]]&amp;" ("&amp;Tabela12[[#This Row],[Born]]&amp;")"</f>
        <v>XE (1)</v>
      </c>
      <c r="G1683" s="27">
        <f>LEN(Tabela12[[#This Row],[Anilha]])</f>
        <v>6</v>
      </c>
      <c r="H1683" s="21">
        <f>VLOOKUP(Tabela12[[#This Row],[Tag Cabo]],BD!A:F,6,0)</f>
        <v>1</v>
      </c>
      <c r="I1683" s="27" t="s">
        <v>1705</v>
      </c>
      <c r="J1683" s="27" t="s">
        <v>1706</v>
      </c>
    </row>
    <row r="1684" spans="1:10" x14ac:dyDescent="0.25">
      <c r="A1684" s="216" t="s">
        <v>611</v>
      </c>
      <c r="B1684" s="45" t="str">
        <f>VLOOKUP(Tabela12[[#This Row],[Painel]],Tabela13[],2,0)</f>
        <v>7HV</v>
      </c>
      <c r="C1684" s="45" t="s">
        <v>1588</v>
      </c>
      <c r="D1684" s="21" t="s">
        <v>1717</v>
      </c>
      <c r="E1684" s="21">
        <v>2</v>
      </c>
      <c r="F1684" s="27" t="str">
        <f>Tabela12[[#This Row],[Régua]]&amp;" ("&amp;Tabela12[[#This Row],[Born]]&amp;")"</f>
        <v>XE (2)</v>
      </c>
      <c r="G1684" s="27">
        <f>LEN(Tabela12[[#This Row],[Anilha]])</f>
        <v>6</v>
      </c>
      <c r="H1684" s="21">
        <f>VLOOKUP(Tabela12[[#This Row],[Tag Cabo]],BD!A:F,6,0)</f>
        <v>1</v>
      </c>
      <c r="I1684" s="27" t="s">
        <v>1705</v>
      </c>
      <c r="J1684" s="27" t="s">
        <v>1706</v>
      </c>
    </row>
    <row r="1685" spans="1:10" x14ac:dyDescent="0.25">
      <c r="A1685" s="216" t="s">
        <v>611</v>
      </c>
      <c r="B1685" s="45" t="str">
        <f>VLOOKUP(Tabela12[[#This Row],[Painel]],Tabela13[],2,0)</f>
        <v>7HV</v>
      </c>
      <c r="C1685" s="45" t="s">
        <v>1588</v>
      </c>
      <c r="D1685" s="21" t="s">
        <v>1717</v>
      </c>
      <c r="E1685" s="21">
        <v>142</v>
      </c>
      <c r="F1685" s="27" t="str">
        <f>Tabela12[[#This Row],[Régua]]&amp;" ("&amp;Tabela12[[#This Row],[Born]]&amp;")"</f>
        <v>XE (142)</v>
      </c>
      <c r="G1685" s="27">
        <f>LEN(Tabela12[[#This Row],[Anilha]])</f>
        <v>8</v>
      </c>
      <c r="H1685" s="21">
        <f>VLOOKUP(Tabela12[[#This Row],[Tag Cabo]],BD!A:F,6,0)</f>
        <v>1</v>
      </c>
      <c r="I1685" s="27" t="s">
        <v>1705</v>
      </c>
      <c r="J1685" s="27" t="s">
        <v>1706</v>
      </c>
    </row>
    <row r="1686" spans="1:10" x14ac:dyDescent="0.25">
      <c r="A1686" s="216" t="s">
        <v>611</v>
      </c>
      <c r="B1686" s="45" t="str">
        <f>VLOOKUP(Tabela12[[#This Row],[Painel]],Tabela13[],2,0)</f>
        <v>7HV</v>
      </c>
      <c r="C1686" s="45" t="s">
        <v>1588</v>
      </c>
      <c r="D1686" s="21" t="s">
        <v>1717</v>
      </c>
      <c r="E1686" s="21">
        <v>145</v>
      </c>
      <c r="F1686" s="27" t="str">
        <f>Tabela12[[#This Row],[Régua]]&amp;" ("&amp;Tabela12[[#This Row],[Born]]&amp;")"</f>
        <v>XE (145)</v>
      </c>
      <c r="G1686" s="27">
        <f>LEN(Tabela12[[#This Row],[Anilha]])</f>
        <v>8</v>
      </c>
      <c r="H1686" s="21">
        <f>VLOOKUP(Tabela12[[#This Row],[Tag Cabo]],BD!A:F,6,0)</f>
        <v>1</v>
      </c>
      <c r="I1686" s="27" t="s">
        <v>1705</v>
      </c>
      <c r="J1686" s="27" t="s">
        <v>1706</v>
      </c>
    </row>
    <row r="1687" spans="1:10" x14ac:dyDescent="0.25">
      <c r="A1687" s="216" t="s">
        <v>611</v>
      </c>
      <c r="B1687" s="45" t="str">
        <f>VLOOKUP(Tabela12[[#This Row],[Painel]],Tabela13[],2,0)</f>
        <v>7HV</v>
      </c>
      <c r="C1687" s="45" t="s">
        <v>1588</v>
      </c>
      <c r="D1687" s="21" t="s">
        <v>1717</v>
      </c>
      <c r="E1687" s="21">
        <v>64</v>
      </c>
      <c r="F1687" s="27" t="str">
        <f>Tabela12[[#This Row],[Régua]]&amp;" ("&amp;Tabela12[[#This Row],[Born]]&amp;")"</f>
        <v>XE (64)</v>
      </c>
      <c r="G1687" s="27">
        <f>LEN(Tabela12[[#This Row],[Anilha]])</f>
        <v>7</v>
      </c>
      <c r="H1687" s="21">
        <f>VLOOKUP(Tabela12[[#This Row],[Tag Cabo]],BD!A:F,6,0)</f>
        <v>1</v>
      </c>
      <c r="I1687" s="27" t="s">
        <v>1705</v>
      </c>
      <c r="J1687" s="27" t="s">
        <v>1706</v>
      </c>
    </row>
    <row r="1688" spans="1:10" x14ac:dyDescent="0.25">
      <c r="A1688" s="216" t="s">
        <v>611</v>
      </c>
      <c r="B1688" s="45" t="str">
        <f>VLOOKUP(Tabela12[[#This Row],[Painel]],Tabela13[],2,0)</f>
        <v>7HV</v>
      </c>
      <c r="C1688" s="45" t="s">
        <v>1588</v>
      </c>
      <c r="D1688" s="21" t="s">
        <v>1717</v>
      </c>
      <c r="E1688" s="21">
        <v>65</v>
      </c>
      <c r="F1688" s="27" t="str">
        <f>Tabela12[[#This Row],[Régua]]&amp;" ("&amp;Tabela12[[#This Row],[Born]]&amp;")"</f>
        <v>XE (65)</v>
      </c>
      <c r="G1688" s="27">
        <f>LEN(Tabela12[[#This Row],[Anilha]])</f>
        <v>7</v>
      </c>
      <c r="H1688" s="21">
        <f>VLOOKUP(Tabela12[[#This Row],[Tag Cabo]],BD!A:F,6,0)</f>
        <v>1</v>
      </c>
      <c r="I1688" s="27" t="s">
        <v>1705</v>
      </c>
      <c r="J1688" s="27" t="s">
        <v>1706</v>
      </c>
    </row>
    <row r="1689" spans="1:10" x14ac:dyDescent="0.25">
      <c r="A1689" s="216" t="s">
        <v>611</v>
      </c>
      <c r="B1689" s="45" t="str">
        <f>VLOOKUP(Tabela12[[#This Row],[Painel]],Tabela13[],2,0)</f>
        <v>7HV</v>
      </c>
      <c r="C1689" s="45" t="s">
        <v>1588</v>
      </c>
      <c r="D1689" s="21" t="s">
        <v>1717</v>
      </c>
      <c r="E1689" s="21">
        <v>66</v>
      </c>
      <c r="F1689" s="27" t="str">
        <f>Tabela12[[#This Row],[Régua]]&amp;" ("&amp;Tabela12[[#This Row],[Born]]&amp;")"</f>
        <v>XE (66)</v>
      </c>
      <c r="G1689" s="27">
        <f>LEN(Tabela12[[#This Row],[Anilha]])</f>
        <v>7</v>
      </c>
      <c r="H1689" s="21">
        <f>VLOOKUP(Tabela12[[#This Row],[Tag Cabo]],BD!A:F,6,0)</f>
        <v>1</v>
      </c>
      <c r="I1689" s="27" t="s">
        <v>1705</v>
      </c>
      <c r="J1689" s="27" t="s">
        <v>1706</v>
      </c>
    </row>
    <row r="1690" spans="1:10" x14ac:dyDescent="0.25">
      <c r="A1690" s="216" t="s">
        <v>611</v>
      </c>
      <c r="B1690" s="45" t="str">
        <f>VLOOKUP(Tabela12[[#This Row],[Painel]],Tabela13[],2,0)</f>
        <v>7HV</v>
      </c>
      <c r="C1690" s="45" t="s">
        <v>1588</v>
      </c>
      <c r="D1690" s="21" t="s">
        <v>1717</v>
      </c>
      <c r="E1690" s="21">
        <v>67</v>
      </c>
      <c r="F1690" s="27" t="str">
        <f>Tabela12[[#This Row],[Régua]]&amp;" ("&amp;Tabela12[[#This Row],[Born]]&amp;")"</f>
        <v>XE (67)</v>
      </c>
      <c r="G1690" s="27">
        <f>LEN(Tabela12[[#This Row],[Anilha]])</f>
        <v>7</v>
      </c>
      <c r="H1690" s="21">
        <f>VLOOKUP(Tabela12[[#This Row],[Tag Cabo]],BD!A:F,6,0)</f>
        <v>1</v>
      </c>
      <c r="I1690" s="27" t="s">
        <v>1705</v>
      </c>
      <c r="J1690" s="27" t="s">
        <v>1706</v>
      </c>
    </row>
    <row r="1691" spans="1:10" x14ac:dyDescent="0.25">
      <c r="A1691" s="216" t="s">
        <v>611</v>
      </c>
      <c r="B1691" s="45" t="str">
        <f>VLOOKUP(Tabela12[[#This Row],[Painel]],Tabela13[],2,0)</f>
        <v>7HV</v>
      </c>
      <c r="C1691" s="45" t="s">
        <v>1588</v>
      </c>
      <c r="D1691" s="21" t="s">
        <v>1717</v>
      </c>
      <c r="E1691" s="21">
        <v>68</v>
      </c>
      <c r="F1691" s="27" t="str">
        <f>Tabela12[[#This Row],[Régua]]&amp;" ("&amp;Tabela12[[#This Row],[Born]]&amp;")"</f>
        <v>XE (68)</v>
      </c>
      <c r="G1691" s="27">
        <f>LEN(Tabela12[[#This Row],[Anilha]])</f>
        <v>7</v>
      </c>
      <c r="H1691" s="21">
        <f>VLOOKUP(Tabela12[[#This Row],[Tag Cabo]],BD!A:F,6,0)</f>
        <v>1</v>
      </c>
      <c r="I1691" s="27" t="s">
        <v>1705</v>
      </c>
      <c r="J1691" s="27" t="s">
        <v>1706</v>
      </c>
    </row>
    <row r="1692" spans="1:10" x14ac:dyDescent="0.25">
      <c r="A1692" s="216" t="s">
        <v>611</v>
      </c>
      <c r="B1692" s="45" t="str">
        <f>VLOOKUP(Tabela12[[#This Row],[Painel]],Tabela13[],2,0)</f>
        <v>7HV</v>
      </c>
      <c r="C1692" s="45" t="s">
        <v>1588</v>
      </c>
      <c r="D1692" s="21" t="s">
        <v>1717</v>
      </c>
      <c r="E1692" s="21">
        <v>69</v>
      </c>
      <c r="F1692" s="27" t="str">
        <f>Tabela12[[#This Row],[Régua]]&amp;" ("&amp;Tabela12[[#This Row],[Born]]&amp;")"</f>
        <v>XE (69)</v>
      </c>
      <c r="G1692" s="27">
        <f>LEN(Tabela12[[#This Row],[Anilha]])</f>
        <v>7</v>
      </c>
      <c r="H1692" s="21">
        <f>VLOOKUP(Tabela12[[#This Row],[Tag Cabo]],BD!A:F,6,0)</f>
        <v>1</v>
      </c>
      <c r="I1692" s="27" t="s">
        <v>1705</v>
      </c>
      <c r="J1692" s="27" t="s">
        <v>1706</v>
      </c>
    </row>
    <row r="1693" spans="1:10" x14ac:dyDescent="0.25">
      <c r="A1693" s="216" t="s">
        <v>611</v>
      </c>
      <c r="B1693" s="45" t="str">
        <f>VLOOKUP(Tabela12[[#This Row],[Painel]],Tabela13[],2,0)</f>
        <v>7HV</v>
      </c>
      <c r="C1693" s="45" t="s">
        <v>1588</v>
      </c>
      <c r="D1693" s="21" t="s">
        <v>1717</v>
      </c>
      <c r="E1693" s="21">
        <v>70</v>
      </c>
      <c r="F1693" s="27" t="str">
        <f>Tabela12[[#This Row],[Régua]]&amp;" ("&amp;Tabela12[[#This Row],[Born]]&amp;")"</f>
        <v>XE (70)</v>
      </c>
      <c r="G1693" s="27">
        <f>LEN(Tabela12[[#This Row],[Anilha]])</f>
        <v>7</v>
      </c>
      <c r="H1693" s="21">
        <f>VLOOKUP(Tabela12[[#This Row],[Tag Cabo]],BD!A:F,6,0)</f>
        <v>1</v>
      </c>
      <c r="I1693" s="27" t="s">
        <v>1705</v>
      </c>
      <c r="J1693" s="27" t="s">
        <v>1706</v>
      </c>
    </row>
    <row r="1694" spans="1:10" x14ac:dyDescent="0.25">
      <c r="A1694" s="216" t="s">
        <v>611</v>
      </c>
      <c r="B1694" s="45" t="str">
        <f>VLOOKUP(Tabela12[[#This Row],[Painel]],Tabela13[],2,0)</f>
        <v>7HV</v>
      </c>
      <c r="C1694" s="45" t="s">
        <v>1588</v>
      </c>
      <c r="D1694" s="21" t="s">
        <v>1717</v>
      </c>
      <c r="E1694" s="21">
        <v>71</v>
      </c>
      <c r="F1694" s="27" t="str">
        <f>Tabela12[[#This Row],[Régua]]&amp;" ("&amp;Tabela12[[#This Row],[Born]]&amp;")"</f>
        <v>XE (71)</v>
      </c>
      <c r="G1694" s="27">
        <f>LEN(Tabela12[[#This Row],[Anilha]])</f>
        <v>7</v>
      </c>
      <c r="H1694" s="21">
        <f>VLOOKUP(Tabela12[[#This Row],[Tag Cabo]],BD!A:F,6,0)</f>
        <v>1</v>
      </c>
      <c r="I1694" s="27" t="s">
        <v>1705</v>
      </c>
      <c r="J1694" s="27" t="s">
        <v>1706</v>
      </c>
    </row>
    <row r="1695" spans="1:10" x14ac:dyDescent="0.25">
      <c r="A1695" s="216" t="s">
        <v>611</v>
      </c>
      <c r="B1695" s="45" t="str">
        <f>VLOOKUP(Tabela12[[#This Row],[Painel]],Tabela13[],2,0)</f>
        <v>7HV</v>
      </c>
      <c r="C1695" s="45" t="s">
        <v>1588</v>
      </c>
      <c r="D1695" s="21" t="s">
        <v>1717</v>
      </c>
      <c r="E1695" s="21">
        <v>72</v>
      </c>
      <c r="F1695" s="27" t="str">
        <f>Tabela12[[#This Row],[Régua]]&amp;" ("&amp;Tabela12[[#This Row],[Born]]&amp;")"</f>
        <v>XE (72)</v>
      </c>
      <c r="G1695" s="27">
        <f>LEN(Tabela12[[#This Row],[Anilha]])</f>
        <v>7</v>
      </c>
      <c r="H1695" s="21">
        <f>VLOOKUP(Tabela12[[#This Row],[Tag Cabo]],BD!A:F,6,0)</f>
        <v>1</v>
      </c>
      <c r="I1695" s="27" t="s">
        <v>1705</v>
      </c>
      <c r="J1695" s="27" t="s">
        <v>1706</v>
      </c>
    </row>
    <row r="1696" spans="1:10" x14ac:dyDescent="0.25">
      <c r="A1696" s="216" t="s">
        <v>611</v>
      </c>
      <c r="B1696" s="45" t="str">
        <f>VLOOKUP(Tabela12[[#This Row],[Painel]],Tabela13[],2,0)</f>
        <v>7HV</v>
      </c>
      <c r="C1696" s="45" t="s">
        <v>1588</v>
      </c>
      <c r="D1696" s="21" t="s">
        <v>1717</v>
      </c>
      <c r="E1696" s="21">
        <v>73</v>
      </c>
      <c r="F1696" s="27" t="str">
        <f>Tabela12[[#This Row],[Régua]]&amp;" ("&amp;Tabela12[[#This Row],[Born]]&amp;")"</f>
        <v>XE (73)</v>
      </c>
      <c r="G1696" s="27">
        <f>LEN(Tabela12[[#This Row],[Anilha]])</f>
        <v>7</v>
      </c>
      <c r="H1696" s="21">
        <f>VLOOKUP(Tabela12[[#This Row],[Tag Cabo]],BD!A:F,6,0)</f>
        <v>1</v>
      </c>
      <c r="I1696" s="27" t="s">
        <v>1705</v>
      </c>
      <c r="J1696" s="27" t="s">
        <v>1706</v>
      </c>
    </row>
    <row r="1697" spans="1:10" x14ac:dyDescent="0.25">
      <c r="A1697" s="216" t="s">
        <v>611</v>
      </c>
      <c r="B1697" s="45" t="str">
        <f>VLOOKUP(Tabela12[[#This Row],[Painel]],Tabela13[],2,0)</f>
        <v>7HV</v>
      </c>
      <c r="C1697" s="45" t="s">
        <v>1588</v>
      </c>
      <c r="D1697" s="21" t="s">
        <v>1717</v>
      </c>
      <c r="E1697" s="21">
        <v>78</v>
      </c>
      <c r="F1697" s="27" t="str">
        <f>Tabela12[[#This Row],[Régua]]&amp;" ("&amp;Tabela12[[#This Row],[Born]]&amp;")"</f>
        <v>XE (78)</v>
      </c>
      <c r="G1697" s="27">
        <f>LEN(Tabela12[[#This Row],[Anilha]])</f>
        <v>7</v>
      </c>
      <c r="H1697" s="21">
        <f>VLOOKUP(Tabela12[[#This Row],[Tag Cabo]],BD!A:F,6,0)</f>
        <v>1</v>
      </c>
      <c r="I1697" s="27" t="s">
        <v>1705</v>
      </c>
      <c r="J1697" s="27" t="s">
        <v>1706</v>
      </c>
    </row>
    <row r="1698" spans="1:10" x14ac:dyDescent="0.25">
      <c r="A1698" s="216" t="s">
        <v>611</v>
      </c>
      <c r="B1698" s="45" t="str">
        <f>VLOOKUP(Tabela12[[#This Row],[Painel]],Tabela13[],2,0)</f>
        <v>7HV</v>
      </c>
      <c r="C1698" s="45" t="s">
        <v>1588</v>
      </c>
      <c r="D1698" s="21" t="s">
        <v>1717</v>
      </c>
      <c r="E1698" s="21">
        <v>79</v>
      </c>
      <c r="F1698" s="27" t="str">
        <f>Tabela12[[#This Row],[Régua]]&amp;" ("&amp;Tabela12[[#This Row],[Born]]&amp;")"</f>
        <v>XE (79)</v>
      </c>
      <c r="G1698" s="27">
        <f>LEN(Tabela12[[#This Row],[Anilha]])</f>
        <v>7</v>
      </c>
      <c r="H1698" s="21">
        <f>VLOOKUP(Tabela12[[#This Row],[Tag Cabo]],BD!A:F,6,0)</f>
        <v>1</v>
      </c>
      <c r="I1698" s="27" t="s">
        <v>1705</v>
      </c>
      <c r="J1698" s="27" t="s">
        <v>1706</v>
      </c>
    </row>
    <row r="1699" spans="1:10" x14ac:dyDescent="0.25">
      <c r="A1699" s="216" t="s">
        <v>611</v>
      </c>
      <c r="B1699" s="45" t="str">
        <f>VLOOKUP(Tabela12[[#This Row],[Painel]],Tabela13[],2,0)</f>
        <v>30LV</v>
      </c>
      <c r="C1699" s="45" t="s">
        <v>1635</v>
      </c>
      <c r="D1699" s="21" t="s">
        <v>1938</v>
      </c>
      <c r="E1699" s="21">
        <v>1</v>
      </c>
      <c r="F1699" s="27" t="str">
        <f>Tabela12[[#This Row],[Régua]]&amp;" ("&amp;Tabela12[[#This Row],[Born]]&amp;")"</f>
        <v>TB-32 (1)</v>
      </c>
      <c r="G1699" s="27">
        <f>LEN(Tabela12[[#This Row],[Anilha]])</f>
        <v>9</v>
      </c>
      <c r="H1699" s="21">
        <f>VLOOKUP(Tabela12[[#This Row],[Tag Cabo]],BD!A:F,6,0)</f>
        <v>1</v>
      </c>
      <c r="I1699" s="27" t="s">
        <v>1705</v>
      </c>
      <c r="J1699" s="27" t="s">
        <v>1706</v>
      </c>
    </row>
    <row r="1700" spans="1:10" x14ac:dyDescent="0.25">
      <c r="A1700" s="216" t="s">
        <v>611</v>
      </c>
      <c r="B1700" s="45" t="str">
        <f>VLOOKUP(Tabela12[[#This Row],[Painel]],Tabela13[],2,0)</f>
        <v>30LV</v>
      </c>
      <c r="C1700" s="45" t="s">
        <v>1635</v>
      </c>
      <c r="D1700" s="21" t="s">
        <v>1938</v>
      </c>
      <c r="E1700" s="21">
        <v>2</v>
      </c>
      <c r="F1700" s="27" t="str">
        <f>Tabela12[[#This Row],[Régua]]&amp;" ("&amp;Tabela12[[#This Row],[Born]]&amp;")"</f>
        <v>TB-32 (2)</v>
      </c>
      <c r="G1700" s="27">
        <f>LEN(Tabela12[[#This Row],[Anilha]])</f>
        <v>9</v>
      </c>
      <c r="H1700" s="21">
        <f>VLOOKUP(Tabela12[[#This Row],[Tag Cabo]],BD!A:F,6,0)</f>
        <v>1</v>
      </c>
      <c r="I1700" s="27" t="s">
        <v>1705</v>
      </c>
      <c r="J1700" s="27" t="s">
        <v>1706</v>
      </c>
    </row>
    <row r="1701" spans="1:10" x14ac:dyDescent="0.25">
      <c r="A1701" s="216" t="s">
        <v>611</v>
      </c>
      <c r="B1701" s="45" t="str">
        <f>VLOOKUP(Tabela12[[#This Row],[Painel]],Tabela13[],2,0)</f>
        <v>30LV</v>
      </c>
      <c r="C1701" s="45" t="s">
        <v>1635</v>
      </c>
      <c r="D1701" s="21" t="s">
        <v>1938</v>
      </c>
      <c r="E1701" s="21">
        <v>3</v>
      </c>
      <c r="F1701" s="27" t="str">
        <f>Tabela12[[#This Row],[Régua]]&amp;" ("&amp;Tabela12[[#This Row],[Born]]&amp;")"</f>
        <v>TB-32 (3)</v>
      </c>
      <c r="G1701" s="27">
        <f>LEN(Tabela12[[#This Row],[Anilha]])</f>
        <v>9</v>
      </c>
      <c r="H1701" s="21">
        <f>VLOOKUP(Tabela12[[#This Row],[Tag Cabo]],BD!A:F,6,0)</f>
        <v>1</v>
      </c>
      <c r="I1701" s="27" t="s">
        <v>1705</v>
      </c>
      <c r="J1701" s="27" t="s">
        <v>1706</v>
      </c>
    </row>
    <row r="1702" spans="1:10" x14ac:dyDescent="0.25">
      <c r="A1702" s="216" t="s">
        <v>611</v>
      </c>
      <c r="B1702" s="45" t="str">
        <f>VLOOKUP(Tabela12[[#This Row],[Painel]],Tabela13[],2,0)</f>
        <v>30LV</v>
      </c>
      <c r="C1702" s="45" t="s">
        <v>1635</v>
      </c>
      <c r="D1702" s="21" t="s">
        <v>1938</v>
      </c>
      <c r="E1702" s="21">
        <v>4</v>
      </c>
      <c r="F1702" s="27" t="str">
        <f>Tabela12[[#This Row],[Régua]]&amp;" ("&amp;Tabela12[[#This Row],[Born]]&amp;")"</f>
        <v>TB-32 (4)</v>
      </c>
      <c r="G1702" s="27">
        <f>LEN(Tabela12[[#This Row],[Anilha]])</f>
        <v>9</v>
      </c>
      <c r="H1702" s="21">
        <f>VLOOKUP(Tabela12[[#This Row],[Tag Cabo]],BD!A:F,6,0)</f>
        <v>1</v>
      </c>
      <c r="I1702" s="27" t="s">
        <v>1705</v>
      </c>
      <c r="J1702" s="27" t="s">
        <v>1706</v>
      </c>
    </row>
    <row r="1703" spans="1:10" x14ac:dyDescent="0.25">
      <c r="A1703" s="216" t="s">
        <v>611</v>
      </c>
      <c r="B1703" s="45" t="str">
        <f>VLOOKUP(Tabela12[[#This Row],[Painel]],Tabela13[],2,0)</f>
        <v>30LV</v>
      </c>
      <c r="C1703" s="45" t="s">
        <v>1635</v>
      </c>
      <c r="D1703" s="21" t="s">
        <v>1938</v>
      </c>
      <c r="E1703" s="21">
        <v>5</v>
      </c>
      <c r="F1703" s="27" t="str">
        <f>Tabela12[[#This Row],[Régua]]&amp;" ("&amp;Tabela12[[#This Row],[Born]]&amp;")"</f>
        <v>TB-32 (5)</v>
      </c>
      <c r="G1703" s="27">
        <f>LEN(Tabela12[[#This Row],[Anilha]])</f>
        <v>9</v>
      </c>
      <c r="H1703" s="21">
        <f>VLOOKUP(Tabela12[[#This Row],[Tag Cabo]],BD!A:F,6,0)</f>
        <v>1</v>
      </c>
      <c r="I1703" s="27" t="s">
        <v>1705</v>
      </c>
      <c r="J1703" s="27" t="s">
        <v>1706</v>
      </c>
    </row>
    <row r="1704" spans="1:10" x14ac:dyDescent="0.25">
      <c r="A1704" s="216" t="s">
        <v>611</v>
      </c>
      <c r="B1704" s="45" t="str">
        <f>VLOOKUP(Tabela12[[#This Row],[Painel]],Tabela13[],2,0)</f>
        <v>30LV</v>
      </c>
      <c r="C1704" s="45" t="s">
        <v>1635</v>
      </c>
      <c r="D1704" s="21" t="s">
        <v>1938</v>
      </c>
      <c r="E1704" s="21">
        <v>6</v>
      </c>
      <c r="F1704" s="27" t="str">
        <f>Tabela12[[#This Row],[Régua]]&amp;" ("&amp;Tabela12[[#This Row],[Born]]&amp;")"</f>
        <v>TB-32 (6)</v>
      </c>
      <c r="G1704" s="27">
        <f>LEN(Tabela12[[#This Row],[Anilha]])</f>
        <v>9</v>
      </c>
      <c r="H1704" s="21">
        <f>VLOOKUP(Tabela12[[#This Row],[Tag Cabo]],BD!A:F,6,0)</f>
        <v>1</v>
      </c>
      <c r="I1704" s="27" t="s">
        <v>1705</v>
      </c>
      <c r="J1704" s="27" t="s">
        <v>1706</v>
      </c>
    </row>
    <row r="1705" spans="1:10" x14ac:dyDescent="0.25">
      <c r="A1705" s="216" t="s">
        <v>611</v>
      </c>
      <c r="B1705" s="45" t="str">
        <f>VLOOKUP(Tabela12[[#This Row],[Painel]],Tabela13[],2,0)</f>
        <v>30LV</v>
      </c>
      <c r="C1705" s="45" t="s">
        <v>1635</v>
      </c>
      <c r="D1705" s="21" t="s">
        <v>1938</v>
      </c>
      <c r="E1705" s="21">
        <v>7</v>
      </c>
      <c r="F1705" s="27" t="str">
        <f>Tabela12[[#This Row],[Régua]]&amp;" ("&amp;Tabela12[[#This Row],[Born]]&amp;")"</f>
        <v>TB-32 (7)</v>
      </c>
      <c r="G1705" s="27">
        <f>LEN(Tabela12[[#This Row],[Anilha]])</f>
        <v>9</v>
      </c>
      <c r="H1705" s="21">
        <f>VLOOKUP(Tabela12[[#This Row],[Tag Cabo]],BD!A:F,6,0)</f>
        <v>1</v>
      </c>
      <c r="I1705" s="27" t="s">
        <v>1705</v>
      </c>
      <c r="J1705" s="27" t="s">
        <v>1706</v>
      </c>
    </row>
    <row r="1706" spans="1:10" x14ac:dyDescent="0.25">
      <c r="A1706" s="216" t="s">
        <v>611</v>
      </c>
      <c r="B1706" s="45" t="str">
        <f>VLOOKUP(Tabela12[[#This Row],[Painel]],Tabela13[],2,0)</f>
        <v>30LV</v>
      </c>
      <c r="C1706" s="45" t="s">
        <v>1635</v>
      </c>
      <c r="D1706" s="21" t="s">
        <v>1938</v>
      </c>
      <c r="E1706" s="21">
        <v>8</v>
      </c>
      <c r="F1706" s="27" t="str">
        <f>Tabela12[[#This Row],[Régua]]&amp;" ("&amp;Tabela12[[#This Row],[Born]]&amp;")"</f>
        <v>TB-32 (8)</v>
      </c>
      <c r="G1706" s="27">
        <f>LEN(Tabela12[[#This Row],[Anilha]])</f>
        <v>9</v>
      </c>
      <c r="H1706" s="21">
        <f>VLOOKUP(Tabela12[[#This Row],[Tag Cabo]],BD!A:F,6,0)</f>
        <v>1</v>
      </c>
      <c r="I1706" s="27" t="s">
        <v>1705</v>
      </c>
      <c r="J1706" s="27" t="s">
        <v>1706</v>
      </c>
    </row>
    <row r="1707" spans="1:10" x14ac:dyDescent="0.25">
      <c r="A1707" s="216" t="s">
        <v>611</v>
      </c>
      <c r="B1707" s="45" t="str">
        <f>VLOOKUP(Tabela12[[#This Row],[Painel]],Tabela13[],2,0)</f>
        <v>30LV</v>
      </c>
      <c r="C1707" s="45" t="s">
        <v>1635</v>
      </c>
      <c r="D1707" s="21" t="s">
        <v>1938</v>
      </c>
      <c r="E1707" s="21">
        <v>9</v>
      </c>
      <c r="F1707" s="27" t="str">
        <f>Tabela12[[#This Row],[Régua]]&amp;" ("&amp;Tabela12[[#This Row],[Born]]&amp;")"</f>
        <v>TB-32 (9)</v>
      </c>
      <c r="G1707" s="27">
        <f>LEN(Tabela12[[#This Row],[Anilha]])</f>
        <v>9</v>
      </c>
      <c r="H1707" s="21">
        <f>VLOOKUP(Tabela12[[#This Row],[Tag Cabo]],BD!A:F,6,0)</f>
        <v>1</v>
      </c>
      <c r="I1707" s="27" t="s">
        <v>1705</v>
      </c>
      <c r="J1707" s="27" t="s">
        <v>1706</v>
      </c>
    </row>
    <row r="1708" spans="1:10" x14ac:dyDescent="0.25">
      <c r="A1708" s="216" t="s">
        <v>611</v>
      </c>
      <c r="B1708" s="45" t="str">
        <f>VLOOKUP(Tabela12[[#This Row],[Painel]],Tabela13[],2,0)</f>
        <v>30LV</v>
      </c>
      <c r="C1708" s="45" t="s">
        <v>1635</v>
      </c>
      <c r="D1708" s="21" t="s">
        <v>1938</v>
      </c>
      <c r="E1708" s="21">
        <v>10</v>
      </c>
      <c r="F1708" s="27" t="str">
        <f>Tabela12[[#This Row],[Régua]]&amp;" ("&amp;Tabela12[[#This Row],[Born]]&amp;")"</f>
        <v>TB-32 (10)</v>
      </c>
      <c r="G1708" s="27">
        <f>LEN(Tabela12[[#This Row],[Anilha]])</f>
        <v>10</v>
      </c>
      <c r="H1708" s="21">
        <f>VLOOKUP(Tabela12[[#This Row],[Tag Cabo]],BD!A:F,6,0)</f>
        <v>1</v>
      </c>
      <c r="I1708" s="27" t="s">
        <v>1705</v>
      </c>
      <c r="J1708" s="27" t="s">
        <v>1706</v>
      </c>
    </row>
    <row r="1709" spans="1:10" x14ac:dyDescent="0.25">
      <c r="A1709" s="216" t="s">
        <v>611</v>
      </c>
      <c r="B1709" s="45" t="str">
        <f>VLOOKUP(Tabela12[[#This Row],[Painel]],Tabela13[],2,0)</f>
        <v>30LV</v>
      </c>
      <c r="C1709" s="45" t="s">
        <v>1635</v>
      </c>
      <c r="D1709" s="21" t="s">
        <v>1938</v>
      </c>
      <c r="E1709" s="21">
        <v>11</v>
      </c>
      <c r="F1709" s="27" t="str">
        <f>Tabela12[[#This Row],[Régua]]&amp;" ("&amp;Tabela12[[#This Row],[Born]]&amp;")"</f>
        <v>TB-32 (11)</v>
      </c>
      <c r="G1709" s="27">
        <f>LEN(Tabela12[[#This Row],[Anilha]])</f>
        <v>10</v>
      </c>
      <c r="H1709" s="21">
        <f>VLOOKUP(Tabela12[[#This Row],[Tag Cabo]],BD!A:F,6,0)</f>
        <v>1</v>
      </c>
      <c r="I1709" s="27" t="s">
        <v>1705</v>
      </c>
      <c r="J1709" s="27" t="s">
        <v>1706</v>
      </c>
    </row>
    <row r="1710" spans="1:10" x14ac:dyDescent="0.25">
      <c r="A1710" s="216" t="s">
        <v>611</v>
      </c>
      <c r="B1710" s="45" t="str">
        <f>VLOOKUP(Tabela12[[#This Row],[Painel]],Tabela13[],2,0)</f>
        <v>30LV</v>
      </c>
      <c r="C1710" s="45" t="s">
        <v>1635</v>
      </c>
      <c r="D1710" s="21" t="s">
        <v>1938</v>
      </c>
      <c r="E1710" s="21">
        <v>12</v>
      </c>
      <c r="F1710" s="27" t="str">
        <f>Tabela12[[#This Row],[Régua]]&amp;" ("&amp;Tabela12[[#This Row],[Born]]&amp;")"</f>
        <v>TB-32 (12)</v>
      </c>
      <c r="G1710" s="27">
        <f>LEN(Tabela12[[#This Row],[Anilha]])</f>
        <v>10</v>
      </c>
      <c r="H1710" s="21">
        <f>VLOOKUP(Tabela12[[#This Row],[Tag Cabo]],BD!A:F,6,0)</f>
        <v>1</v>
      </c>
      <c r="I1710" s="27" t="s">
        <v>1705</v>
      </c>
      <c r="J1710" s="27" t="s">
        <v>1706</v>
      </c>
    </row>
    <row r="1711" spans="1:10" x14ac:dyDescent="0.25">
      <c r="A1711" s="216" t="s">
        <v>611</v>
      </c>
      <c r="B1711" s="45" t="str">
        <f>VLOOKUP(Tabela12[[#This Row],[Painel]],Tabela13[],2,0)</f>
        <v>30LV</v>
      </c>
      <c r="C1711" s="45" t="s">
        <v>1635</v>
      </c>
      <c r="D1711" s="21" t="s">
        <v>1938</v>
      </c>
      <c r="E1711" s="21">
        <v>13</v>
      </c>
      <c r="F1711" s="27" t="str">
        <f>Tabela12[[#This Row],[Régua]]&amp;" ("&amp;Tabela12[[#This Row],[Born]]&amp;")"</f>
        <v>TB-32 (13)</v>
      </c>
      <c r="G1711" s="27">
        <f>LEN(Tabela12[[#This Row],[Anilha]])</f>
        <v>10</v>
      </c>
      <c r="H1711" s="21">
        <f>VLOOKUP(Tabela12[[#This Row],[Tag Cabo]],BD!A:F,6,0)</f>
        <v>1</v>
      </c>
      <c r="I1711" s="27" t="s">
        <v>1705</v>
      </c>
      <c r="J1711" s="27" t="s">
        <v>1706</v>
      </c>
    </row>
    <row r="1712" spans="1:10" x14ac:dyDescent="0.25">
      <c r="A1712" s="216" t="s">
        <v>611</v>
      </c>
      <c r="B1712" s="45" t="str">
        <f>VLOOKUP(Tabela12[[#This Row],[Painel]],Tabela13[],2,0)</f>
        <v>30LV</v>
      </c>
      <c r="C1712" s="45" t="s">
        <v>1635</v>
      </c>
      <c r="D1712" s="21" t="s">
        <v>1938</v>
      </c>
      <c r="E1712" s="21">
        <v>14</v>
      </c>
      <c r="F1712" s="27" t="str">
        <f>Tabela12[[#This Row],[Régua]]&amp;" ("&amp;Tabela12[[#This Row],[Born]]&amp;")"</f>
        <v>TB-32 (14)</v>
      </c>
      <c r="G1712" s="27">
        <f>LEN(Tabela12[[#This Row],[Anilha]])</f>
        <v>10</v>
      </c>
      <c r="H1712" s="21">
        <f>VLOOKUP(Tabela12[[#This Row],[Tag Cabo]],BD!A:F,6,0)</f>
        <v>1</v>
      </c>
      <c r="I1712" s="27" t="s">
        <v>1705</v>
      </c>
      <c r="J1712" s="27" t="s">
        <v>1706</v>
      </c>
    </row>
    <row r="1713" spans="1:10" x14ac:dyDescent="0.25">
      <c r="A1713" s="216" t="s">
        <v>611</v>
      </c>
      <c r="B1713" s="45" t="str">
        <f>VLOOKUP(Tabela12[[#This Row],[Painel]],Tabela13[],2,0)</f>
        <v>30LV</v>
      </c>
      <c r="C1713" s="45" t="s">
        <v>1635</v>
      </c>
      <c r="D1713" s="21" t="s">
        <v>1938</v>
      </c>
      <c r="E1713" s="21">
        <v>15</v>
      </c>
      <c r="F1713" s="27" t="str">
        <f>Tabela12[[#This Row],[Régua]]&amp;" ("&amp;Tabela12[[#This Row],[Born]]&amp;")"</f>
        <v>TB-32 (15)</v>
      </c>
      <c r="G1713" s="27">
        <f>LEN(Tabela12[[#This Row],[Anilha]])</f>
        <v>10</v>
      </c>
      <c r="H1713" s="21">
        <f>VLOOKUP(Tabela12[[#This Row],[Tag Cabo]],BD!A:F,6,0)</f>
        <v>1</v>
      </c>
      <c r="I1713" s="27" t="s">
        <v>1705</v>
      </c>
      <c r="J1713" s="27" t="s">
        <v>1706</v>
      </c>
    </row>
    <row r="1714" spans="1:10" x14ac:dyDescent="0.25">
      <c r="A1714" s="216" t="s">
        <v>611</v>
      </c>
      <c r="B1714" s="45" t="str">
        <f>VLOOKUP(Tabela12[[#This Row],[Painel]],Tabela13[],2,0)</f>
        <v>30LV</v>
      </c>
      <c r="C1714" s="45" t="s">
        <v>1635</v>
      </c>
      <c r="D1714" s="21" t="s">
        <v>1938</v>
      </c>
      <c r="E1714" s="21">
        <v>16</v>
      </c>
      <c r="F1714" s="27" t="str">
        <f>Tabela12[[#This Row],[Régua]]&amp;" ("&amp;Tabela12[[#This Row],[Born]]&amp;")"</f>
        <v>TB-32 (16)</v>
      </c>
      <c r="G1714" s="27">
        <f>LEN(Tabela12[[#This Row],[Anilha]])</f>
        <v>10</v>
      </c>
      <c r="H1714" s="21">
        <f>VLOOKUP(Tabela12[[#This Row],[Tag Cabo]],BD!A:F,6,0)</f>
        <v>1</v>
      </c>
      <c r="I1714" s="27" t="s">
        <v>1705</v>
      </c>
      <c r="J1714" s="27" t="s">
        <v>1706</v>
      </c>
    </row>
    <row r="1715" spans="1:10" x14ac:dyDescent="0.25">
      <c r="A1715" s="216" t="s">
        <v>613</v>
      </c>
      <c r="B1715" s="45" t="str">
        <f>VLOOKUP(Tabela12[[#This Row],[Painel]],Tabela13[],2,0)</f>
        <v>7HV</v>
      </c>
      <c r="C1715" s="45" t="s">
        <v>1644</v>
      </c>
      <c r="D1715" s="21" t="s">
        <v>1939</v>
      </c>
      <c r="E1715" s="21" t="s">
        <v>1940</v>
      </c>
      <c r="F1715" s="27" t="str">
        <f>Tabela12[[#This Row],[Régua]]&amp;" ("&amp;Tabela12[[#This Row],[Born]]&amp;")"</f>
        <v>XB10 (TBD)</v>
      </c>
      <c r="G1715" s="27">
        <f>LEN(Tabela12[[#This Row],[Anilha]])</f>
        <v>10</v>
      </c>
      <c r="H1715" s="21">
        <f>VLOOKUP(Tabela12[[#This Row],[Tag Cabo]],BD!A:F,6,0)</f>
        <v>1</v>
      </c>
      <c r="I1715" s="27" t="s">
        <v>1705</v>
      </c>
      <c r="J1715" s="27" t="s">
        <v>1706</v>
      </c>
    </row>
    <row r="1716" spans="1:10" x14ac:dyDescent="0.25">
      <c r="A1716" s="216" t="s">
        <v>613</v>
      </c>
      <c r="B1716" s="45" t="str">
        <f>VLOOKUP(Tabela12[[#This Row],[Painel]],Tabela13[],2,0)</f>
        <v>7HV</v>
      </c>
      <c r="C1716" s="45" t="s">
        <v>1644</v>
      </c>
      <c r="D1716" s="21" t="s">
        <v>1939</v>
      </c>
      <c r="E1716" s="21" t="s">
        <v>1940</v>
      </c>
      <c r="F1716" s="27" t="str">
        <f>Tabela12[[#This Row],[Régua]]&amp;" ("&amp;Tabela12[[#This Row],[Born]]&amp;")"</f>
        <v>XB10 (TBD)</v>
      </c>
      <c r="G1716" s="27">
        <f>LEN(Tabela12[[#This Row],[Anilha]])</f>
        <v>10</v>
      </c>
      <c r="H1716" s="21">
        <f>VLOOKUP(Tabela12[[#This Row],[Tag Cabo]],BD!A:F,6,0)</f>
        <v>1</v>
      </c>
      <c r="I1716" s="27" t="s">
        <v>1705</v>
      </c>
      <c r="J1716" s="27" t="s">
        <v>1706</v>
      </c>
    </row>
    <row r="1717" spans="1:10" x14ac:dyDescent="0.25">
      <c r="A1717" s="216" t="s">
        <v>613</v>
      </c>
      <c r="B1717" s="45" t="str">
        <f>VLOOKUP(Tabela12[[#This Row],[Painel]],Tabela13[],2,0)</f>
        <v>7HV</v>
      </c>
      <c r="C1717" s="45" t="s">
        <v>1644</v>
      </c>
      <c r="D1717" s="21" t="s">
        <v>1939</v>
      </c>
      <c r="E1717" s="21" t="s">
        <v>1940</v>
      </c>
      <c r="F1717" s="27" t="str">
        <f>Tabela12[[#This Row],[Régua]]&amp;" ("&amp;Tabela12[[#This Row],[Born]]&amp;")"</f>
        <v>XB10 (TBD)</v>
      </c>
      <c r="G1717" s="27">
        <f>LEN(Tabela12[[#This Row],[Anilha]])</f>
        <v>10</v>
      </c>
      <c r="H1717" s="21">
        <f>VLOOKUP(Tabela12[[#This Row],[Tag Cabo]],BD!A:F,6,0)</f>
        <v>1</v>
      </c>
      <c r="I1717" s="27" t="s">
        <v>1705</v>
      </c>
      <c r="J1717" s="27" t="s">
        <v>1706</v>
      </c>
    </row>
    <row r="1718" spans="1:10" x14ac:dyDescent="0.25">
      <c r="A1718" s="216" t="s">
        <v>613</v>
      </c>
      <c r="B1718" s="45" t="str">
        <f>VLOOKUP(Tabela12[[#This Row],[Painel]],Tabela13[],2,0)</f>
        <v>7HV</v>
      </c>
      <c r="C1718" s="45" t="s">
        <v>1644</v>
      </c>
      <c r="D1718" s="21" t="s">
        <v>1939</v>
      </c>
      <c r="E1718" s="21" t="s">
        <v>1940</v>
      </c>
      <c r="F1718" s="27" t="str">
        <f>Tabela12[[#This Row],[Régua]]&amp;" ("&amp;Tabela12[[#This Row],[Born]]&amp;")"</f>
        <v>XB10 (TBD)</v>
      </c>
      <c r="G1718" s="27">
        <f>LEN(Tabela12[[#This Row],[Anilha]])</f>
        <v>10</v>
      </c>
      <c r="H1718" s="21">
        <f>VLOOKUP(Tabela12[[#This Row],[Tag Cabo]],BD!A:F,6,0)</f>
        <v>1</v>
      </c>
      <c r="I1718" s="27" t="s">
        <v>1705</v>
      </c>
      <c r="J1718" s="27" t="s">
        <v>1706</v>
      </c>
    </row>
    <row r="1719" spans="1:10" x14ac:dyDescent="0.25">
      <c r="A1719" s="216" t="s">
        <v>613</v>
      </c>
      <c r="B1719" s="45" t="str">
        <f>VLOOKUP(Tabela12[[#This Row],[Painel]],Tabela13[],2,0)</f>
        <v>7HV</v>
      </c>
      <c r="C1719" s="45" t="s">
        <v>1644</v>
      </c>
      <c r="D1719" s="21" t="s">
        <v>1939</v>
      </c>
      <c r="E1719" s="21" t="s">
        <v>1940</v>
      </c>
      <c r="F1719" s="27" t="str">
        <f>Tabela12[[#This Row],[Régua]]&amp;" ("&amp;Tabela12[[#This Row],[Born]]&amp;")"</f>
        <v>XB10 (TBD)</v>
      </c>
      <c r="G1719" s="27">
        <f>LEN(Tabela12[[#This Row],[Anilha]])</f>
        <v>10</v>
      </c>
      <c r="H1719" s="21">
        <f>VLOOKUP(Tabela12[[#This Row],[Tag Cabo]],BD!A:F,6,0)</f>
        <v>1</v>
      </c>
      <c r="I1719" s="27" t="s">
        <v>1705</v>
      </c>
      <c r="J1719" s="27" t="s">
        <v>1706</v>
      </c>
    </row>
    <row r="1720" spans="1:10" x14ac:dyDescent="0.25">
      <c r="A1720" s="216" t="s">
        <v>613</v>
      </c>
      <c r="B1720" s="45" t="str">
        <f>VLOOKUP(Tabela12[[#This Row],[Painel]],Tabela13[],2,0)</f>
        <v>7HV</v>
      </c>
      <c r="C1720" s="45" t="s">
        <v>1644</v>
      </c>
      <c r="D1720" s="21" t="s">
        <v>1939</v>
      </c>
      <c r="E1720" s="21" t="s">
        <v>1940</v>
      </c>
      <c r="F1720" s="27" t="str">
        <f>Tabela12[[#This Row],[Régua]]&amp;" ("&amp;Tabela12[[#This Row],[Born]]&amp;")"</f>
        <v>XB10 (TBD)</v>
      </c>
      <c r="G1720" s="27">
        <f>LEN(Tabela12[[#This Row],[Anilha]])</f>
        <v>10</v>
      </c>
      <c r="H1720" s="21">
        <f>VLOOKUP(Tabela12[[#This Row],[Tag Cabo]],BD!A:F,6,0)</f>
        <v>1</v>
      </c>
      <c r="I1720" s="27" t="s">
        <v>1705</v>
      </c>
      <c r="J1720" s="27" t="s">
        <v>1706</v>
      </c>
    </row>
    <row r="1721" spans="1:10" x14ac:dyDescent="0.25">
      <c r="A1721" s="216" t="s">
        <v>613</v>
      </c>
      <c r="B1721" s="45" t="str">
        <f>VLOOKUP(Tabela12[[#This Row],[Painel]],Tabela13[],2,0)</f>
        <v>7HV</v>
      </c>
      <c r="C1721" s="45" t="s">
        <v>1644</v>
      </c>
      <c r="D1721" s="21" t="s">
        <v>1939</v>
      </c>
      <c r="E1721" s="21">
        <v>64</v>
      </c>
      <c r="F1721" s="27" t="str">
        <f>Tabela12[[#This Row],[Régua]]&amp;" ("&amp;Tabela12[[#This Row],[Born]]&amp;")"</f>
        <v>XB10 (64)</v>
      </c>
      <c r="G1721" s="27">
        <f>LEN(Tabela12[[#This Row],[Anilha]])</f>
        <v>9</v>
      </c>
      <c r="H1721" s="21">
        <f>VLOOKUP(Tabela12[[#This Row],[Tag Cabo]],BD!A:F,6,0)</f>
        <v>1</v>
      </c>
      <c r="I1721" s="27" t="s">
        <v>1705</v>
      </c>
      <c r="J1721" s="27" t="s">
        <v>1706</v>
      </c>
    </row>
    <row r="1722" spans="1:10" x14ac:dyDescent="0.25">
      <c r="A1722" s="216" t="s">
        <v>613</v>
      </c>
      <c r="B1722" s="45" t="str">
        <f>VLOOKUP(Tabela12[[#This Row],[Painel]],Tabela13[],2,0)</f>
        <v>7HV</v>
      </c>
      <c r="C1722" s="45" t="s">
        <v>1644</v>
      </c>
      <c r="D1722" s="21" t="s">
        <v>1939</v>
      </c>
      <c r="E1722" s="21">
        <v>65</v>
      </c>
      <c r="F1722" s="27" t="str">
        <f>Tabela12[[#This Row],[Régua]]&amp;" ("&amp;Tabela12[[#This Row],[Born]]&amp;")"</f>
        <v>XB10 (65)</v>
      </c>
      <c r="G1722" s="27">
        <f>LEN(Tabela12[[#This Row],[Anilha]])</f>
        <v>9</v>
      </c>
      <c r="H1722" s="21">
        <f>VLOOKUP(Tabela12[[#This Row],[Tag Cabo]],BD!A:F,6,0)</f>
        <v>1</v>
      </c>
      <c r="I1722" s="27" t="s">
        <v>1705</v>
      </c>
      <c r="J1722" s="27" t="s">
        <v>1706</v>
      </c>
    </row>
    <row r="1723" spans="1:10" x14ac:dyDescent="0.25">
      <c r="A1723" s="216" t="s">
        <v>613</v>
      </c>
      <c r="B1723" s="45" t="str">
        <f>VLOOKUP(Tabela12[[#This Row],[Painel]],Tabela13[],2,0)</f>
        <v>7HV</v>
      </c>
      <c r="C1723" s="45" t="s">
        <v>1644</v>
      </c>
      <c r="D1723" s="21" t="s">
        <v>1939</v>
      </c>
      <c r="E1723" s="21">
        <v>66</v>
      </c>
      <c r="F1723" s="27" t="str">
        <f>Tabela12[[#This Row],[Régua]]&amp;" ("&amp;Tabela12[[#This Row],[Born]]&amp;")"</f>
        <v>XB10 (66)</v>
      </c>
      <c r="G1723" s="27">
        <f>LEN(Tabela12[[#This Row],[Anilha]])</f>
        <v>9</v>
      </c>
      <c r="H1723" s="21">
        <f>VLOOKUP(Tabela12[[#This Row],[Tag Cabo]],BD!A:F,6,0)</f>
        <v>1</v>
      </c>
      <c r="I1723" s="27" t="s">
        <v>1705</v>
      </c>
      <c r="J1723" s="27" t="s">
        <v>1706</v>
      </c>
    </row>
    <row r="1724" spans="1:10" x14ac:dyDescent="0.25">
      <c r="A1724" s="216" t="s">
        <v>613</v>
      </c>
      <c r="B1724" s="45" t="str">
        <f>VLOOKUP(Tabela12[[#This Row],[Painel]],Tabela13[],2,0)</f>
        <v>7HV</v>
      </c>
      <c r="C1724" s="45" t="s">
        <v>1644</v>
      </c>
      <c r="D1724" s="21" t="s">
        <v>1939</v>
      </c>
      <c r="E1724" s="21">
        <v>67</v>
      </c>
      <c r="F1724" s="27" t="str">
        <f>Tabela12[[#This Row],[Régua]]&amp;" ("&amp;Tabela12[[#This Row],[Born]]&amp;")"</f>
        <v>XB10 (67)</v>
      </c>
      <c r="G1724" s="27">
        <f>LEN(Tabela12[[#This Row],[Anilha]])</f>
        <v>9</v>
      </c>
      <c r="H1724" s="21">
        <f>VLOOKUP(Tabela12[[#This Row],[Tag Cabo]],BD!A:F,6,0)</f>
        <v>1</v>
      </c>
      <c r="I1724" s="27" t="s">
        <v>1705</v>
      </c>
      <c r="J1724" s="27" t="s">
        <v>1706</v>
      </c>
    </row>
    <row r="1725" spans="1:10" x14ac:dyDescent="0.25">
      <c r="A1725" s="216" t="s">
        <v>613</v>
      </c>
      <c r="B1725" s="45" t="str">
        <f>VLOOKUP(Tabela12[[#This Row],[Painel]],Tabela13[],2,0)</f>
        <v>7HV</v>
      </c>
      <c r="C1725" s="45" t="s">
        <v>1644</v>
      </c>
      <c r="D1725" s="21" t="s">
        <v>1939</v>
      </c>
      <c r="E1725" s="21">
        <v>68</v>
      </c>
      <c r="F1725" s="27" t="str">
        <f>Tabela12[[#This Row],[Régua]]&amp;" ("&amp;Tabela12[[#This Row],[Born]]&amp;")"</f>
        <v>XB10 (68)</v>
      </c>
      <c r="G1725" s="27">
        <f>LEN(Tabela12[[#This Row],[Anilha]])</f>
        <v>9</v>
      </c>
      <c r="H1725" s="21">
        <f>VLOOKUP(Tabela12[[#This Row],[Tag Cabo]],BD!A:F,6,0)</f>
        <v>1</v>
      </c>
      <c r="I1725" s="27" t="s">
        <v>1705</v>
      </c>
      <c r="J1725" s="27" t="s">
        <v>1706</v>
      </c>
    </row>
    <row r="1726" spans="1:10" x14ac:dyDescent="0.25">
      <c r="A1726" s="216" t="s">
        <v>613</v>
      </c>
      <c r="B1726" s="45" t="str">
        <f>VLOOKUP(Tabela12[[#This Row],[Painel]],Tabela13[],2,0)</f>
        <v>7HV</v>
      </c>
      <c r="C1726" s="45" t="s">
        <v>1644</v>
      </c>
      <c r="D1726" s="21" t="s">
        <v>1939</v>
      </c>
      <c r="E1726" s="21">
        <v>69</v>
      </c>
      <c r="F1726" s="27" t="str">
        <f>Tabela12[[#This Row],[Régua]]&amp;" ("&amp;Tabela12[[#This Row],[Born]]&amp;")"</f>
        <v>XB10 (69)</v>
      </c>
      <c r="G1726" s="27">
        <f>LEN(Tabela12[[#This Row],[Anilha]])</f>
        <v>9</v>
      </c>
      <c r="H1726" s="21">
        <f>VLOOKUP(Tabela12[[#This Row],[Tag Cabo]],BD!A:F,6,0)</f>
        <v>1</v>
      </c>
      <c r="I1726" s="27" t="s">
        <v>1705</v>
      </c>
      <c r="J1726" s="27" t="s">
        <v>1706</v>
      </c>
    </row>
    <row r="1727" spans="1:10" x14ac:dyDescent="0.25">
      <c r="A1727" s="216" t="s">
        <v>613</v>
      </c>
      <c r="B1727" s="45" t="str">
        <f>VLOOKUP(Tabela12[[#This Row],[Painel]],Tabela13[],2,0)</f>
        <v>7HV</v>
      </c>
      <c r="C1727" s="45" t="s">
        <v>1644</v>
      </c>
      <c r="D1727" s="21" t="s">
        <v>1939</v>
      </c>
      <c r="E1727" s="21">
        <v>70</v>
      </c>
      <c r="F1727" s="27" t="str">
        <f>Tabela12[[#This Row],[Régua]]&amp;" ("&amp;Tabela12[[#This Row],[Born]]&amp;")"</f>
        <v>XB10 (70)</v>
      </c>
      <c r="G1727" s="27">
        <f>LEN(Tabela12[[#This Row],[Anilha]])</f>
        <v>9</v>
      </c>
      <c r="H1727" s="21">
        <f>VLOOKUP(Tabela12[[#This Row],[Tag Cabo]],BD!A:F,6,0)</f>
        <v>1</v>
      </c>
      <c r="I1727" s="27" t="s">
        <v>1705</v>
      </c>
      <c r="J1727" s="27" t="s">
        <v>1706</v>
      </c>
    </row>
    <row r="1728" spans="1:10" x14ac:dyDescent="0.25">
      <c r="A1728" s="216" t="s">
        <v>613</v>
      </c>
      <c r="B1728" s="45" t="str">
        <f>VLOOKUP(Tabela12[[#This Row],[Painel]],Tabela13[],2,0)</f>
        <v>7HV</v>
      </c>
      <c r="C1728" s="45" t="s">
        <v>1644</v>
      </c>
      <c r="D1728" s="21" t="s">
        <v>1939</v>
      </c>
      <c r="E1728" s="21">
        <v>71</v>
      </c>
      <c r="F1728" s="27" t="str">
        <f>Tabela12[[#This Row],[Régua]]&amp;" ("&amp;Tabela12[[#This Row],[Born]]&amp;")"</f>
        <v>XB10 (71)</v>
      </c>
      <c r="G1728" s="27">
        <f>LEN(Tabela12[[#This Row],[Anilha]])</f>
        <v>9</v>
      </c>
      <c r="H1728" s="21">
        <f>VLOOKUP(Tabela12[[#This Row],[Tag Cabo]],BD!A:F,6,0)</f>
        <v>1</v>
      </c>
      <c r="I1728" s="27" t="s">
        <v>1705</v>
      </c>
      <c r="J1728" s="27" t="s">
        <v>1706</v>
      </c>
    </row>
    <row r="1729" spans="1:10" x14ac:dyDescent="0.25">
      <c r="A1729" s="216" t="s">
        <v>613</v>
      </c>
      <c r="B1729" s="45" t="str">
        <f>VLOOKUP(Tabela12[[#This Row],[Painel]],Tabela13[],2,0)</f>
        <v>7HV</v>
      </c>
      <c r="C1729" s="45" t="s">
        <v>1644</v>
      </c>
      <c r="D1729" s="21" t="s">
        <v>1939</v>
      </c>
      <c r="E1729" s="21">
        <v>72</v>
      </c>
      <c r="F1729" s="27" t="str">
        <f>Tabela12[[#This Row],[Régua]]&amp;" ("&amp;Tabela12[[#This Row],[Born]]&amp;")"</f>
        <v>XB10 (72)</v>
      </c>
      <c r="G1729" s="27">
        <f>LEN(Tabela12[[#This Row],[Anilha]])</f>
        <v>9</v>
      </c>
      <c r="H1729" s="21">
        <f>VLOOKUP(Tabela12[[#This Row],[Tag Cabo]],BD!A:F,6,0)</f>
        <v>1</v>
      </c>
      <c r="I1729" s="27" t="s">
        <v>1705</v>
      </c>
      <c r="J1729" s="27" t="s">
        <v>1706</v>
      </c>
    </row>
    <row r="1730" spans="1:10" x14ac:dyDescent="0.25">
      <c r="A1730" s="216" t="s">
        <v>613</v>
      </c>
      <c r="B1730" s="45" t="str">
        <f>VLOOKUP(Tabela12[[#This Row],[Painel]],Tabela13[],2,0)</f>
        <v>7HV</v>
      </c>
      <c r="C1730" s="45" t="s">
        <v>1644</v>
      </c>
      <c r="D1730" s="21" t="s">
        <v>1939</v>
      </c>
      <c r="E1730" s="21">
        <v>73</v>
      </c>
      <c r="F1730" s="27" t="str">
        <f>Tabela12[[#This Row],[Régua]]&amp;" ("&amp;Tabela12[[#This Row],[Born]]&amp;")"</f>
        <v>XB10 (73)</v>
      </c>
      <c r="G1730" s="27">
        <f>LEN(Tabela12[[#This Row],[Anilha]])</f>
        <v>9</v>
      </c>
      <c r="H1730" s="21">
        <f>VLOOKUP(Tabela12[[#This Row],[Tag Cabo]],BD!A:F,6,0)</f>
        <v>1</v>
      </c>
      <c r="I1730" s="27" t="s">
        <v>1705</v>
      </c>
      <c r="J1730" s="27" t="s">
        <v>1706</v>
      </c>
    </row>
    <row r="1731" spans="1:10" x14ac:dyDescent="0.25">
      <c r="A1731" s="216" t="s">
        <v>613</v>
      </c>
      <c r="B1731" s="45" t="str">
        <f>VLOOKUP(Tabela12[[#This Row],[Painel]],Tabela13[],2,0)</f>
        <v>30LV</v>
      </c>
      <c r="C1731" s="45" t="s">
        <v>1635</v>
      </c>
      <c r="D1731" s="21" t="s">
        <v>1941</v>
      </c>
      <c r="E1731" s="21">
        <v>1</v>
      </c>
      <c r="F1731" s="27" t="str">
        <f>Tabela12[[#This Row],[Régua]]&amp;" ("&amp;Tabela12[[#This Row],[Born]]&amp;")"</f>
        <v>TB-33 (1)</v>
      </c>
      <c r="G1731" s="27">
        <f>LEN(Tabela12[[#This Row],[Anilha]])</f>
        <v>9</v>
      </c>
      <c r="H1731" s="21">
        <f>VLOOKUP(Tabela12[[#This Row],[Tag Cabo]],BD!A:F,6,0)</f>
        <v>1</v>
      </c>
      <c r="I1731" s="27" t="s">
        <v>1705</v>
      </c>
      <c r="J1731" s="27" t="s">
        <v>1706</v>
      </c>
    </row>
    <row r="1732" spans="1:10" x14ac:dyDescent="0.25">
      <c r="A1732" s="216" t="s">
        <v>613</v>
      </c>
      <c r="B1732" s="45" t="str">
        <f>VLOOKUP(Tabela12[[#This Row],[Painel]],Tabela13[],2,0)</f>
        <v>30LV</v>
      </c>
      <c r="C1732" s="45" t="s">
        <v>1635</v>
      </c>
      <c r="D1732" s="21" t="s">
        <v>1941</v>
      </c>
      <c r="E1732" s="21">
        <v>2</v>
      </c>
      <c r="F1732" s="27" t="str">
        <f>Tabela12[[#This Row],[Régua]]&amp;" ("&amp;Tabela12[[#This Row],[Born]]&amp;")"</f>
        <v>TB-33 (2)</v>
      </c>
      <c r="G1732" s="27">
        <f>LEN(Tabela12[[#This Row],[Anilha]])</f>
        <v>9</v>
      </c>
      <c r="H1732" s="21">
        <f>VLOOKUP(Tabela12[[#This Row],[Tag Cabo]],BD!A:F,6,0)</f>
        <v>1</v>
      </c>
      <c r="I1732" s="27" t="s">
        <v>1705</v>
      </c>
      <c r="J1732" s="27" t="s">
        <v>1706</v>
      </c>
    </row>
    <row r="1733" spans="1:10" x14ac:dyDescent="0.25">
      <c r="A1733" s="216" t="s">
        <v>613</v>
      </c>
      <c r="B1733" s="45" t="str">
        <f>VLOOKUP(Tabela12[[#This Row],[Painel]],Tabela13[],2,0)</f>
        <v>30LV</v>
      </c>
      <c r="C1733" s="45" t="s">
        <v>1635</v>
      </c>
      <c r="D1733" s="21" t="s">
        <v>1941</v>
      </c>
      <c r="E1733" s="21">
        <v>3</v>
      </c>
      <c r="F1733" s="27" t="str">
        <f>Tabela12[[#This Row],[Régua]]&amp;" ("&amp;Tabela12[[#This Row],[Born]]&amp;")"</f>
        <v>TB-33 (3)</v>
      </c>
      <c r="G1733" s="27">
        <f>LEN(Tabela12[[#This Row],[Anilha]])</f>
        <v>9</v>
      </c>
      <c r="H1733" s="21">
        <f>VLOOKUP(Tabela12[[#This Row],[Tag Cabo]],BD!A:F,6,0)</f>
        <v>1</v>
      </c>
      <c r="I1733" s="27" t="s">
        <v>1705</v>
      </c>
      <c r="J1733" s="27" t="s">
        <v>1706</v>
      </c>
    </row>
    <row r="1734" spans="1:10" x14ac:dyDescent="0.25">
      <c r="A1734" s="216" t="s">
        <v>613</v>
      </c>
      <c r="B1734" s="45" t="str">
        <f>VLOOKUP(Tabela12[[#This Row],[Painel]],Tabela13[],2,0)</f>
        <v>30LV</v>
      </c>
      <c r="C1734" s="45" t="s">
        <v>1635</v>
      </c>
      <c r="D1734" s="21" t="s">
        <v>1941</v>
      </c>
      <c r="E1734" s="21">
        <v>4</v>
      </c>
      <c r="F1734" s="27" t="str">
        <f>Tabela12[[#This Row],[Régua]]&amp;" ("&amp;Tabela12[[#This Row],[Born]]&amp;")"</f>
        <v>TB-33 (4)</v>
      </c>
      <c r="G1734" s="27">
        <f>LEN(Tabela12[[#This Row],[Anilha]])</f>
        <v>9</v>
      </c>
      <c r="H1734" s="21">
        <f>VLOOKUP(Tabela12[[#This Row],[Tag Cabo]],BD!A:F,6,0)</f>
        <v>1</v>
      </c>
      <c r="I1734" s="27" t="s">
        <v>1705</v>
      </c>
      <c r="J1734" s="27" t="s">
        <v>1706</v>
      </c>
    </row>
    <row r="1735" spans="1:10" x14ac:dyDescent="0.25">
      <c r="A1735" s="216" t="s">
        <v>613</v>
      </c>
      <c r="B1735" s="45" t="str">
        <f>VLOOKUP(Tabela12[[#This Row],[Painel]],Tabela13[],2,0)</f>
        <v>30LV</v>
      </c>
      <c r="C1735" s="45" t="s">
        <v>1635</v>
      </c>
      <c r="D1735" s="21" t="s">
        <v>1941</v>
      </c>
      <c r="E1735" s="21">
        <v>5</v>
      </c>
      <c r="F1735" s="27" t="str">
        <f>Tabela12[[#This Row],[Régua]]&amp;" ("&amp;Tabela12[[#This Row],[Born]]&amp;")"</f>
        <v>TB-33 (5)</v>
      </c>
      <c r="G1735" s="27">
        <f>LEN(Tabela12[[#This Row],[Anilha]])</f>
        <v>9</v>
      </c>
      <c r="H1735" s="21">
        <f>VLOOKUP(Tabela12[[#This Row],[Tag Cabo]],BD!A:F,6,0)</f>
        <v>1</v>
      </c>
      <c r="I1735" s="27" t="s">
        <v>1705</v>
      </c>
      <c r="J1735" s="27" t="s">
        <v>1706</v>
      </c>
    </row>
    <row r="1736" spans="1:10" x14ac:dyDescent="0.25">
      <c r="A1736" s="216" t="s">
        <v>613</v>
      </c>
      <c r="B1736" s="45" t="str">
        <f>VLOOKUP(Tabela12[[#This Row],[Painel]],Tabela13[],2,0)</f>
        <v>30LV</v>
      </c>
      <c r="C1736" s="45" t="s">
        <v>1635</v>
      </c>
      <c r="D1736" s="21" t="s">
        <v>1941</v>
      </c>
      <c r="E1736" s="21">
        <v>6</v>
      </c>
      <c r="F1736" s="27" t="str">
        <f>Tabela12[[#This Row],[Régua]]&amp;" ("&amp;Tabela12[[#This Row],[Born]]&amp;")"</f>
        <v>TB-33 (6)</v>
      </c>
      <c r="G1736" s="27">
        <f>LEN(Tabela12[[#This Row],[Anilha]])</f>
        <v>9</v>
      </c>
      <c r="H1736" s="21">
        <f>VLOOKUP(Tabela12[[#This Row],[Tag Cabo]],BD!A:F,6,0)</f>
        <v>1</v>
      </c>
      <c r="I1736" s="27" t="s">
        <v>1705</v>
      </c>
      <c r="J1736" s="27" t="s">
        <v>1706</v>
      </c>
    </row>
    <row r="1737" spans="1:10" x14ac:dyDescent="0.25">
      <c r="A1737" s="216" t="s">
        <v>613</v>
      </c>
      <c r="B1737" s="45" t="str">
        <f>VLOOKUP(Tabela12[[#This Row],[Painel]],Tabela13[],2,0)</f>
        <v>30LV</v>
      </c>
      <c r="C1737" s="45" t="s">
        <v>1635</v>
      </c>
      <c r="D1737" s="21" t="s">
        <v>1941</v>
      </c>
      <c r="E1737" s="21">
        <v>7</v>
      </c>
      <c r="F1737" s="27" t="str">
        <f>Tabela12[[#This Row],[Régua]]&amp;" ("&amp;Tabela12[[#This Row],[Born]]&amp;")"</f>
        <v>TB-33 (7)</v>
      </c>
      <c r="G1737" s="27">
        <f>LEN(Tabela12[[#This Row],[Anilha]])</f>
        <v>9</v>
      </c>
      <c r="H1737" s="21">
        <f>VLOOKUP(Tabela12[[#This Row],[Tag Cabo]],BD!A:F,6,0)</f>
        <v>1</v>
      </c>
      <c r="I1737" s="27" t="s">
        <v>1705</v>
      </c>
      <c r="J1737" s="27" t="s">
        <v>1706</v>
      </c>
    </row>
    <row r="1738" spans="1:10" x14ac:dyDescent="0.25">
      <c r="A1738" s="216" t="s">
        <v>613</v>
      </c>
      <c r="B1738" s="45" t="str">
        <f>VLOOKUP(Tabela12[[#This Row],[Painel]],Tabela13[],2,0)</f>
        <v>30LV</v>
      </c>
      <c r="C1738" s="45" t="s">
        <v>1635</v>
      </c>
      <c r="D1738" s="21" t="s">
        <v>1941</v>
      </c>
      <c r="E1738" s="21">
        <v>8</v>
      </c>
      <c r="F1738" s="27" t="str">
        <f>Tabela12[[#This Row],[Régua]]&amp;" ("&amp;Tabela12[[#This Row],[Born]]&amp;")"</f>
        <v>TB-33 (8)</v>
      </c>
      <c r="G1738" s="27">
        <f>LEN(Tabela12[[#This Row],[Anilha]])</f>
        <v>9</v>
      </c>
      <c r="H1738" s="21">
        <f>VLOOKUP(Tabela12[[#This Row],[Tag Cabo]],BD!A:F,6,0)</f>
        <v>1</v>
      </c>
      <c r="I1738" s="27" t="s">
        <v>1705</v>
      </c>
      <c r="J1738" s="27" t="s">
        <v>1706</v>
      </c>
    </row>
    <row r="1739" spans="1:10" x14ac:dyDescent="0.25">
      <c r="A1739" s="216" t="s">
        <v>613</v>
      </c>
      <c r="B1739" s="45" t="str">
        <f>VLOOKUP(Tabela12[[#This Row],[Painel]],Tabela13[],2,0)</f>
        <v>30LV</v>
      </c>
      <c r="C1739" s="45" t="s">
        <v>1635</v>
      </c>
      <c r="D1739" s="21" t="s">
        <v>1941</v>
      </c>
      <c r="E1739" s="21">
        <v>9</v>
      </c>
      <c r="F1739" s="27" t="str">
        <f>Tabela12[[#This Row],[Régua]]&amp;" ("&amp;Tabela12[[#This Row],[Born]]&amp;")"</f>
        <v>TB-33 (9)</v>
      </c>
      <c r="G1739" s="27">
        <f>LEN(Tabela12[[#This Row],[Anilha]])</f>
        <v>9</v>
      </c>
      <c r="H1739" s="21">
        <f>VLOOKUP(Tabela12[[#This Row],[Tag Cabo]],BD!A:F,6,0)</f>
        <v>1</v>
      </c>
      <c r="I1739" s="27" t="s">
        <v>1705</v>
      </c>
      <c r="J1739" s="27" t="s">
        <v>1706</v>
      </c>
    </row>
    <row r="1740" spans="1:10" x14ac:dyDescent="0.25">
      <c r="A1740" s="216" t="s">
        <v>613</v>
      </c>
      <c r="B1740" s="45" t="str">
        <f>VLOOKUP(Tabela12[[#This Row],[Painel]],Tabela13[],2,0)</f>
        <v>30LV</v>
      </c>
      <c r="C1740" s="45" t="s">
        <v>1635</v>
      </c>
      <c r="D1740" s="21" t="s">
        <v>1941</v>
      </c>
      <c r="E1740" s="21">
        <v>10</v>
      </c>
      <c r="F1740" s="27" t="str">
        <f>Tabela12[[#This Row],[Régua]]&amp;" ("&amp;Tabela12[[#This Row],[Born]]&amp;")"</f>
        <v>TB-33 (10)</v>
      </c>
      <c r="G1740" s="27">
        <f>LEN(Tabela12[[#This Row],[Anilha]])</f>
        <v>10</v>
      </c>
      <c r="H1740" s="21">
        <f>VLOOKUP(Tabela12[[#This Row],[Tag Cabo]],BD!A:F,6,0)</f>
        <v>1</v>
      </c>
      <c r="I1740" s="27" t="s">
        <v>1705</v>
      </c>
      <c r="J1740" s="27" t="s">
        <v>1706</v>
      </c>
    </row>
    <row r="1741" spans="1:10" x14ac:dyDescent="0.25">
      <c r="A1741" s="216" t="s">
        <v>613</v>
      </c>
      <c r="B1741" s="45" t="str">
        <f>VLOOKUP(Tabela12[[#This Row],[Painel]],Tabela13[],2,0)</f>
        <v>30LV</v>
      </c>
      <c r="C1741" s="45" t="s">
        <v>1635</v>
      </c>
      <c r="D1741" s="21" t="s">
        <v>1941</v>
      </c>
      <c r="E1741" s="21">
        <v>11</v>
      </c>
      <c r="F1741" s="27" t="str">
        <f>Tabela12[[#This Row],[Régua]]&amp;" ("&amp;Tabela12[[#This Row],[Born]]&amp;")"</f>
        <v>TB-33 (11)</v>
      </c>
      <c r="G1741" s="27">
        <f>LEN(Tabela12[[#This Row],[Anilha]])</f>
        <v>10</v>
      </c>
      <c r="H1741" s="21">
        <f>VLOOKUP(Tabela12[[#This Row],[Tag Cabo]],BD!A:F,6,0)</f>
        <v>1</v>
      </c>
      <c r="I1741" s="27" t="s">
        <v>1705</v>
      </c>
      <c r="J1741" s="27" t="s">
        <v>1706</v>
      </c>
    </row>
    <row r="1742" spans="1:10" x14ac:dyDescent="0.25">
      <c r="A1742" s="216" t="s">
        <v>613</v>
      </c>
      <c r="B1742" s="45" t="str">
        <f>VLOOKUP(Tabela12[[#This Row],[Painel]],Tabela13[],2,0)</f>
        <v>30LV</v>
      </c>
      <c r="C1742" s="45" t="s">
        <v>1635</v>
      </c>
      <c r="D1742" s="21" t="s">
        <v>1941</v>
      </c>
      <c r="E1742" s="21">
        <v>12</v>
      </c>
      <c r="F1742" s="27" t="str">
        <f>Tabela12[[#This Row],[Régua]]&amp;" ("&amp;Tabela12[[#This Row],[Born]]&amp;")"</f>
        <v>TB-33 (12)</v>
      </c>
      <c r="G1742" s="27">
        <f>LEN(Tabela12[[#This Row],[Anilha]])</f>
        <v>10</v>
      </c>
      <c r="H1742" s="21">
        <f>VLOOKUP(Tabela12[[#This Row],[Tag Cabo]],BD!A:F,6,0)</f>
        <v>1</v>
      </c>
      <c r="I1742" s="27" t="s">
        <v>1705</v>
      </c>
      <c r="J1742" s="27" t="s">
        <v>1706</v>
      </c>
    </row>
    <row r="1743" spans="1:10" x14ac:dyDescent="0.25">
      <c r="A1743" s="216" t="s">
        <v>613</v>
      </c>
      <c r="B1743" s="45" t="str">
        <f>VLOOKUP(Tabela12[[#This Row],[Painel]],Tabela13[],2,0)</f>
        <v>30LV</v>
      </c>
      <c r="C1743" s="45" t="s">
        <v>1635</v>
      </c>
      <c r="D1743" s="21" t="s">
        <v>1941</v>
      </c>
      <c r="E1743" s="21">
        <v>13</v>
      </c>
      <c r="F1743" s="27" t="str">
        <f>Tabela12[[#This Row],[Régua]]&amp;" ("&amp;Tabela12[[#This Row],[Born]]&amp;")"</f>
        <v>TB-33 (13)</v>
      </c>
      <c r="G1743" s="27">
        <f>LEN(Tabela12[[#This Row],[Anilha]])</f>
        <v>10</v>
      </c>
      <c r="H1743" s="21">
        <f>VLOOKUP(Tabela12[[#This Row],[Tag Cabo]],BD!A:F,6,0)</f>
        <v>1</v>
      </c>
      <c r="I1743" s="27" t="s">
        <v>1705</v>
      </c>
      <c r="J1743" s="27" t="s">
        <v>1706</v>
      </c>
    </row>
    <row r="1744" spans="1:10" x14ac:dyDescent="0.25">
      <c r="A1744" s="216" t="s">
        <v>613</v>
      </c>
      <c r="B1744" s="45" t="str">
        <f>VLOOKUP(Tabela12[[#This Row],[Painel]],Tabela13[],2,0)</f>
        <v>30LV</v>
      </c>
      <c r="C1744" s="45" t="s">
        <v>1635</v>
      </c>
      <c r="D1744" s="21" t="s">
        <v>1941</v>
      </c>
      <c r="E1744" s="21">
        <v>14</v>
      </c>
      <c r="F1744" s="27" t="str">
        <f>Tabela12[[#This Row],[Régua]]&amp;" ("&amp;Tabela12[[#This Row],[Born]]&amp;")"</f>
        <v>TB-33 (14)</v>
      </c>
      <c r="G1744" s="27">
        <f>LEN(Tabela12[[#This Row],[Anilha]])</f>
        <v>10</v>
      </c>
      <c r="H1744" s="21">
        <f>VLOOKUP(Tabela12[[#This Row],[Tag Cabo]],BD!A:F,6,0)</f>
        <v>1</v>
      </c>
      <c r="I1744" s="27" t="s">
        <v>1705</v>
      </c>
      <c r="J1744" s="27" t="s">
        <v>1706</v>
      </c>
    </row>
    <row r="1745" spans="1:10" x14ac:dyDescent="0.25">
      <c r="A1745" s="216" t="s">
        <v>615</v>
      </c>
      <c r="B1745" s="45" t="str">
        <f>VLOOKUP(Tabela12[[#This Row],[Painel]],Tabela13[],2,0)</f>
        <v>7HV</v>
      </c>
      <c r="C1745" s="45" t="s">
        <v>1543</v>
      </c>
      <c r="D1745" s="21" t="s">
        <v>1942</v>
      </c>
      <c r="E1745" s="21">
        <v>3</v>
      </c>
      <c r="F1745" s="27" t="str">
        <f>Tabela12[[#This Row],[Régua]]&amp;" ("&amp;Tabela12[[#This Row],[Born]]&amp;")"</f>
        <v>2XDJ26 (3)</v>
      </c>
      <c r="G1745" s="27">
        <f>LEN(Tabela12[[#This Row],[Anilha]])</f>
        <v>10</v>
      </c>
      <c r="H1745" s="21">
        <f>VLOOKUP(Tabela12[[#This Row],[Tag Cabo]],BD!A:F,6,0)</f>
        <v>1</v>
      </c>
      <c r="I1745" s="27" t="s">
        <v>1705</v>
      </c>
      <c r="J1745" s="27" t="s">
        <v>1706</v>
      </c>
    </row>
    <row r="1746" spans="1:10" x14ac:dyDescent="0.25">
      <c r="A1746" s="216" t="s">
        <v>615</v>
      </c>
      <c r="B1746" s="45" t="str">
        <f>VLOOKUP(Tabela12[[#This Row],[Painel]],Tabela13[],2,0)</f>
        <v>7HV</v>
      </c>
      <c r="C1746" s="45" t="s">
        <v>1543</v>
      </c>
      <c r="D1746" s="21" t="s">
        <v>1942</v>
      </c>
      <c r="E1746" s="21">
        <v>3</v>
      </c>
      <c r="F1746" s="27" t="str">
        <f>Tabela12[[#This Row],[Régua]]&amp;" ("&amp;Tabela12[[#This Row],[Born]]&amp;")"</f>
        <v>2XDJ26 (3)</v>
      </c>
      <c r="G1746" s="27">
        <f>LEN(Tabela12[[#This Row],[Anilha]])</f>
        <v>10</v>
      </c>
      <c r="H1746" s="21">
        <f>VLOOKUP(Tabela12[[#This Row],[Tag Cabo]],BD!A:F,6,0)</f>
        <v>1</v>
      </c>
      <c r="I1746" s="27" t="s">
        <v>1705</v>
      </c>
      <c r="J1746" s="27" t="s">
        <v>1706</v>
      </c>
    </row>
    <row r="1747" spans="1:10" x14ac:dyDescent="0.25">
      <c r="A1747" s="216" t="s">
        <v>615</v>
      </c>
      <c r="B1747" s="45" t="str">
        <f>VLOOKUP(Tabela12[[#This Row],[Painel]],Tabela13[],2,0)</f>
        <v>7HV</v>
      </c>
      <c r="C1747" s="45" t="s">
        <v>1543</v>
      </c>
      <c r="D1747" s="21" t="s">
        <v>1942</v>
      </c>
      <c r="E1747" s="21">
        <v>3</v>
      </c>
      <c r="F1747" s="27" t="str">
        <f>Tabela12[[#This Row],[Régua]]&amp;" ("&amp;Tabela12[[#This Row],[Born]]&amp;")"</f>
        <v>2XDJ26 (3)</v>
      </c>
      <c r="G1747" s="27">
        <f>LEN(Tabela12[[#This Row],[Anilha]])</f>
        <v>10</v>
      </c>
      <c r="H1747" s="21">
        <f>VLOOKUP(Tabela12[[#This Row],[Tag Cabo]],BD!A:F,6,0)</f>
        <v>1</v>
      </c>
      <c r="I1747" s="27" t="s">
        <v>1705</v>
      </c>
      <c r="J1747" s="27" t="s">
        <v>1706</v>
      </c>
    </row>
    <row r="1748" spans="1:10" x14ac:dyDescent="0.25">
      <c r="A1748" s="216" t="s">
        <v>615</v>
      </c>
      <c r="B1748" s="45" t="str">
        <f>VLOOKUP(Tabela12[[#This Row],[Painel]],Tabela13[],2,0)</f>
        <v>7HV</v>
      </c>
      <c r="C1748" s="45" t="s">
        <v>1543</v>
      </c>
      <c r="D1748" s="21" t="s">
        <v>1942</v>
      </c>
      <c r="E1748" s="21">
        <v>4</v>
      </c>
      <c r="F1748" s="27" t="str">
        <f>Tabela12[[#This Row],[Régua]]&amp;" ("&amp;Tabela12[[#This Row],[Born]]&amp;")"</f>
        <v>2XDJ26 (4)</v>
      </c>
      <c r="G1748" s="27">
        <f>LEN(Tabela12[[#This Row],[Anilha]])</f>
        <v>10</v>
      </c>
      <c r="H1748" s="21">
        <f>VLOOKUP(Tabela12[[#This Row],[Tag Cabo]],BD!A:F,6,0)</f>
        <v>1</v>
      </c>
      <c r="I1748" s="27" t="s">
        <v>1705</v>
      </c>
      <c r="J1748" s="27" t="s">
        <v>1706</v>
      </c>
    </row>
    <row r="1749" spans="1:10" x14ac:dyDescent="0.25">
      <c r="A1749" s="216" t="s">
        <v>615</v>
      </c>
      <c r="B1749" s="45" t="str">
        <f>VLOOKUP(Tabela12[[#This Row],[Painel]],Tabela13[],2,0)</f>
        <v>7HV</v>
      </c>
      <c r="C1749" s="45" t="s">
        <v>1543</v>
      </c>
      <c r="D1749" s="21" t="s">
        <v>1942</v>
      </c>
      <c r="E1749" s="21">
        <v>5</v>
      </c>
      <c r="F1749" s="27" t="str">
        <f>Tabela12[[#This Row],[Régua]]&amp;" ("&amp;Tabela12[[#This Row],[Born]]&amp;")"</f>
        <v>2XDJ26 (5)</v>
      </c>
      <c r="G1749" s="27">
        <f>LEN(Tabela12[[#This Row],[Anilha]])</f>
        <v>10</v>
      </c>
      <c r="H1749" s="21">
        <f>VLOOKUP(Tabela12[[#This Row],[Tag Cabo]],BD!A:F,6,0)</f>
        <v>1</v>
      </c>
      <c r="I1749" s="27" t="s">
        <v>1705</v>
      </c>
      <c r="J1749" s="27" t="s">
        <v>1706</v>
      </c>
    </row>
    <row r="1750" spans="1:10" x14ac:dyDescent="0.25">
      <c r="A1750" s="216" t="s">
        <v>615</v>
      </c>
      <c r="B1750" s="45" t="str">
        <f>VLOOKUP(Tabela12[[#This Row],[Painel]],Tabela13[],2,0)</f>
        <v>7HV</v>
      </c>
      <c r="C1750" s="45" t="s">
        <v>1543</v>
      </c>
      <c r="D1750" s="21" t="s">
        <v>1942</v>
      </c>
      <c r="E1750" s="21">
        <v>6</v>
      </c>
      <c r="F1750" s="27" t="str">
        <f>Tabela12[[#This Row],[Régua]]&amp;" ("&amp;Tabela12[[#This Row],[Born]]&amp;")"</f>
        <v>2XDJ26 (6)</v>
      </c>
      <c r="G1750" s="27">
        <f>LEN(Tabela12[[#This Row],[Anilha]])</f>
        <v>10</v>
      </c>
      <c r="H1750" s="21">
        <f>VLOOKUP(Tabela12[[#This Row],[Tag Cabo]],BD!A:F,6,0)</f>
        <v>1</v>
      </c>
      <c r="I1750" s="27" t="s">
        <v>1705</v>
      </c>
      <c r="J1750" s="27" t="s">
        <v>1706</v>
      </c>
    </row>
    <row r="1751" spans="1:10" x14ac:dyDescent="0.25">
      <c r="A1751" s="216" t="s">
        <v>615</v>
      </c>
      <c r="B1751" s="45" t="str">
        <f>VLOOKUP(Tabela12[[#This Row],[Painel]],Tabela13[],2,0)</f>
        <v>30LV</v>
      </c>
      <c r="C1751" s="45" t="s">
        <v>1635</v>
      </c>
      <c r="D1751" s="21" t="s">
        <v>1943</v>
      </c>
      <c r="E1751" s="21">
        <v>1</v>
      </c>
      <c r="F1751" s="27" t="str">
        <f>Tabela12[[#This Row],[Régua]]&amp;" ("&amp;Tabela12[[#This Row],[Born]]&amp;")"</f>
        <v>TB-21 (1)</v>
      </c>
      <c r="G1751" s="27">
        <f>LEN(Tabela12[[#This Row],[Anilha]])</f>
        <v>9</v>
      </c>
      <c r="H1751" s="21">
        <f>VLOOKUP(Tabela12[[#This Row],[Tag Cabo]],BD!A:F,6,0)</f>
        <v>1</v>
      </c>
      <c r="I1751" s="27" t="s">
        <v>1705</v>
      </c>
      <c r="J1751" s="27" t="s">
        <v>1706</v>
      </c>
    </row>
    <row r="1752" spans="1:10" x14ac:dyDescent="0.25">
      <c r="A1752" s="216" t="s">
        <v>615</v>
      </c>
      <c r="B1752" s="45" t="str">
        <f>VLOOKUP(Tabela12[[#This Row],[Painel]],Tabela13[],2,0)</f>
        <v>30LV</v>
      </c>
      <c r="C1752" s="45" t="s">
        <v>1635</v>
      </c>
      <c r="D1752" s="21" t="s">
        <v>1943</v>
      </c>
      <c r="E1752" s="21">
        <v>2</v>
      </c>
      <c r="F1752" s="27" t="str">
        <f>Tabela12[[#This Row],[Régua]]&amp;" ("&amp;Tabela12[[#This Row],[Born]]&amp;")"</f>
        <v>TB-21 (2)</v>
      </c>
      <c r="G1752" s="27">
        <f>LEN(Tabela12[[#This Row],[Anilha]])</f>
        <v>9</v>
      </c>
      <c r="H1752" s="21">
        <f>VLOOKUP(Tabela12[[#This Row],[Tag Cabo]],BD!A:F,6,0)</f>
        <v>1</v>
      </c>
      <c r="I1752" s="27" t="s">
        <v>1705</v>
      </c>
      <c r="J1752" s="27" t="s">
        <v>1706</v>
      </c>
    </row>
    <row r="1753" spans="1:10" x14ac:dyDescent="0.25">
      <c r="A1753" s="216" t="s">
        <v>615</v>
      </c>
      <c r="B1753" s="45" t="str">
        <f>VLOOKUP(Tabela12[[#This Row],[Painel]],Tabela13[],2,0)</f>
        <v>30LV</v>
      </c>
      <c r="C1753" s="45" t="s">
        <v>1635</v>
      </c>
      <c r="D1753" s="21" t="s">
        <v>1943</v>
      </c>
      <c r="E1753" s="21">
        <v>4</v>
      </c>
      <c r="F1753" s="27" t="str">
        <f>Tabela12[[#This Row],[Régua]]&amp;" ("&amp;Tabela12[[#This Row],[Born]]&amp;")"</f>
        <v>TB-21 (4)</v>
      </c>
      <c r="G1753" s="27">
        <f>LEN(Tabela12[[#This Row],[Anilha]])</f>
        <v>9</v>
      </c>
      <c r="H1753" s="21">
        <f>VLOOKUP(Tabela12[[#This Row],[Tag Cabo]],BD!A:F,6,0)</f>
        <v>1</v>
      </c>
      <c r="I1753" s="27" t="s">
        <v>1705</v>
      </c>
      <c r="J1753" s="27" t="s">
        <v>1706</v>
      </c>
    </row>
    <row r="1754" spans="1:10" x14ac:dyDescent="0.25">
      <c r="A1754" s="216" t="s">
        <v>615</v>
      </c>
      <c r="B1754" s="45" t="str">
        <f>VLOOKUP(Tabela12[[#This Row],[Painel]],Tabela13[],2,0)</f>
        <v>30LV</v>
      </c>
      <c r="C1754" s="45" t="s">
        <v>1635</v>
      </c>
      <c r="D1754" s="21" t="s">
        <v>1943</v>
      </c>
      <c r="E1754" s="21">
        <v>5</v>
      </c>
      <c r="F1754" s="27" t="str">
        <f>Tabela12[[#This Row],[Régua]]&amp;" ("&amp;Tabela12[[#This Row],[Born]]&amp;")"</f>
        <v>TB-21 (5)</v>
      </c>
      <c r="G1754" s="27">
        <f>LEN(Tabela12[[#This Row],[Anilha]])</f>
        <v>9</v>
      </c>
      <c r="H1754" s="21">
        <f>VLOOKUP(Tabela12[[#This Row],[Tag Cabo]],BD!A:F,6,0)</f>
        <v>1</v>
      </c>
      <c r="I1754" s="27" t="s">
        <v>1705</v>
      </c>
      <c r="J1754" s="27" t="s">
        <v>1706</v>
      </c>
    </row>
    <row r="1755" spans="1:10" x14ac:dyDescent="0.25">
      <c r="A1755" s="216" t="s">
        <v>615</v>
      </c>
      <c r="B1755" s="45" t="str">
        <f>VLOOKUP(Tabela12[[#This Row],[Painel]],Tabela13[],2,0)</f>
        <v>30LV</v>
      </c>
      <c r="C1755" s="45" t="s">
        <v>1635</v>
      </c>
      <c r="D1755" s="21" t="s">
        <v>1943</v>
      </c>
      <c r="E1755" s="21">
        <v>7</v>
      </c>
      <c r="F1755" s="27" t="str">
        <f>Tabela12[[#This Row],[Régua]]&amp;" ("&amp;Tabela12[[#This Row],[Born]]&amp;")"</f>
        <v>TB-21 (7)</v>
      </c>
      <c r="G1755" s="27">
        <f>LEN(Tabela12[[#This Row],[Anilha]])</f>
        <v>9</v>
      </c>
      <c r="H1755" s="21">
        <f>VLOOKUP(Tabela12[[#This Row],[Tag Cabo]],BD!A:F,6,0)</f>
        <v>1</v>
      </c>
      <c r="I1755" s="27" t="s">
        <v>1705</v>
      </c>
      <c r="J1755" s="27" t="s">
        <v>1706</v>
      </c>
    </row>
    <row r="1756" spans="1:10" x14ac:dyDescent="0.25">
      <c r="A1756" s="216" t="s">
        <v>615</v>
      </c>
      <c r="B1756" s="45" t="str">
        <f>VLOOKUP(Tabela12[[#This Row],[Painel]],Tabela13[],2,0)</f>
        <v>30LV</v>
      </c>
      <c r="C1756" s="45" t="s">
        <v>1635</v>
      </c>
      <c r="D1756" s="21" t="s">
        <v>1943</v>
      </c>
      <c r="E1756" s="21">
        <v>8</v>
      </c>
      <c r="F1756" s="27" t="str">
        <f>Tabela12[[#This Row],[Régua]]&amp;" ("&amp;Tabela12[[#This Row],[Born]]&amp;")"</f>
        <v>TB-21 (8)</v>
      </c>
      <c r="G1756" s="27">
        <f>LEN(Tabela12[[#This Row],[Anilha]])</f>
        <v>9</v>
      </c>
      <c r="H1756" s="21">
        <f>VLOOKUP(Tabela12[[#This Row],[Tag Cabo]],BD!A:F,6,0)</f>
        <v>1</v>
      </c>
      <c r="I1756" s="27" t="s">
        <v>1705</v>
      </c>
      <c r="J1756" s="27" t="s">
        <v>1706</v>
      </c>
    </row>
    <row r="1757" spans="1:10" x14ac:dyDescent="0.25">
      <c r="A1757" s="216" t="s">
        <v>617</v>
      </c>
      <c r="B1757" s="45" t="str">
        <f>VLOOKUP(Tabela12[[#This Row],[Painel]],Tabela13[],2,0)</f>
        <v>7HV</v>
      </c>
      <c r="C1757" s="45" t="s">
        <v>1543</v>
      </c>
      <c r="D1757" s="21" t="s">
        <v>1944</v>
      </c>
      <c r="E1757" s="21">
        <v>3</v>
      </c>
      <c r="F1757" s="27" t="str">
        <f>Tabela12[[#This Row],[Régua]]&amp;" ("&amp;Tabela12[[#This Row],[Born]]&amp;")"</f>
        <v>2XDJ27 (3)</v>
      </c>
      <c r="G1757" s="27">
        <f>LEN(Tabela12[[#This Row],[Anilha]])</f>
        <v>10</v>
      </c>
      <c r="H1757" s="21">
        <f>VLOOKUP(Tabela12[[#This Row],[Tag Cabo]],BD!A:F,6,0)</f>
        <v>1</v>
      </c>
      <c r="I1757" s="27" t="s">
        <v>1705</v>
      </c>
      <c r="J1757" s="27" t="s">
        <v>1706</v>
      </c>
    </row>
    <row r="1758" spans="1:10" x14ac:dyDescent="0.25">
      <c r="A1758" s="216" t="s">
        <v>617</v>
      </c>
      <c r="B1758" s="45" t="str">
        <f>VLOOKUP(Tabela12[[#This Row],[Painel]],Tabela13[],2,0)</f>
        <v>7HV</v>
      </c>
      <c r="C1758" s="45" t="s">
        <v>1543</v>
      </c>
      <c r="D1758" s="21" t="s">
        <v>1944</v>
      </c>
      <c r="E1758" s="21">
        <v>3</v>
      </c>
      <c r="F1758" s="27" t="str">
        <f>Tabela12[[#This Row],[Régua]]&amp;" ("&amp;Tabela12[[#This Row],[Born]]&amp;")"</f>
        <v>2XDJ27 (3)</v>
      </c>
      <c r="G1758" s="27">
        <f>LEN(Tabela12[[#This Row],[Anilha]])</f>
        <v>10</v>
      </c>
      <c r="H1758" s="27">
        <f>VLOOKUP(Tabela12[[#This Row],[Tag Cabo]],BD!A:F,6,0)</f>
        <v>1</v>
      </c>
      <c r="I1758" s="27" t="s">
        <v>1705</v>
      </c>
      <c r="J1758" s="27" t="s">
        <v>1706</v>
      </c>
    </row>
    <row r="1759" spans="1:10" x14ac:dyDescent="0.25">
      <c r="A1759" s="216" t="s">
        <v>617</v>
      </c>
      <c r="B1759" s="45" t="str">
        <f>VLOOKUP(Tabela12[[#This Row],[Painel]],Tabela13[],2,0)</f>
        <v>7HV</v>
      </c>
      <c r="C1759" s="45" t="s">
        <v>1543</v>
      </c>
      <c r="D1759" s="21" t="s">
        <v>1944</v>
      </c>
      <c r="E1759" s="21">
        <v>3</v>
      </c>
      <c r="F1759" s="27" t="str">
        <f>Tabela12[[#This Row],[Régua]]&amp;" ("&amp;Tabela12[[#This Row],[Born]]&amp;")"</f>
        <v>2XDJ27 (3)</v>
      </c>
      <c r="G1759" s="27">
        <f>LEN(Tabela12[[#This Row],[Anilha]])</f>
        <v>10</v>
      </c>
      <c r="H1759" s="27">
        <f>VLOOKUP(Tabela12[[#This Row],[Tag Cabo]],BD!A:F,6,0)</f>
        <v>1</v>
      </c>
      <c r="I1759" s="27" t="s">
        <v>1705</v>
      </c>
      <c r="J1759" s="27" t="s">
        <v>1706</v>
      </c>
    </row>
    <row r="1760" spans="1:10" x14ac:dyDescent="0.25">
      <c r="A1760" s="216" t="s">
        <v>617</v>
      </c>
      <c r="B1760" s="45" t="str">
        <f>VLOOKUP(Tabela12[[#This Row],[Painel]],Tabela13[],2,0)</f>
        <v>7HV</v>
      </c>
      <c r="C1760" s="45" t="s">
        <v>1543</v>
      </c>
      <c r="D1760" s="21" t="s">
        <v>1944</v>
      </c>
      <c r="E1760" s="21">
        <v>4</v>
      </c>
      <c r="F1760" s="27" t="str">
        <f>Tabela12[[#This Row],[Régua]]&amp;" ("&amp;Tabela12[[#This Row],[Born]]&amp;")"</f>
        <v>2XDJ27 (4)</v>
      </c>
      <c r="G1760" s="27">
        <f>LEN(Tabela12[[#This Row],[Anilha]])</f>
        <v>10</v>
      </c>
      <c r="H1760" s="21">
        <f>VLOOKUP(Tabela12[[#This Row],[Tag Cabo]],BD!A:F,6,0)</f>
        <v>1</v>
      </c>
      <c r="I1760" s="27" t="s">
        <v>1705</v>
      </c>
      <c r="J1760" s="27" t="s">
        <v>1706</v>
      </c>
    </row>
    <row r="1761" spans="1:10" x14ac:dyDescent="0.25">
      <c r="A1761" s="216" t="s">
        <v>617</v>
      </c>
      <c r="B1761" s="45" t="str">
        <f>VLOOKUP(Tabela12[[#This Row],[Painel]],Tabela13[],2,0)</f>
        <v>7HV</v>
      </c>
      <c r="C1761" s="45" t="s">
        <v>1543</v>
      </c>
      <c r="D1761" s="21" t="s">
        <v>1944</v>
      </c>
      <c r="E1761" s="21">
        <v>5</v>
      </c>
      <c r="F1761" s="27" t="str">
        <f>Tabela12[[#This Row],[Régua]]&amp;" ("&amp;Tabela12[[#This Row],[Born]]&amp;")"</f>
        <v>2XDJ27 (5)</v>
      </c>
      <c r="G1761" s="27">
        <f>LEN(Tabela12[[#This Row],[Anilha]])</f>
        <v>10</v>
      </c>
      <c r="H1761" s="21">
        <f>VLOOKUP(Tabela12[[#This Row],[Tag Cabo]],BD!A:F,6,0)</f>
        <v>1</v>
      </c>
      <c r="I1761" s="27" t="s">
        <v>1705</v>
      </c>
      <c r="J1761" s="27" t="s">
        <v>1706</v>
      </c>
    </row>
    <row r="1762" spans="1:10" x14ac:dyDescent="0.25">
      <c r="A1762" s="216" t="s">
        <v>617</v>
      </c>
      <c r="B1762" s="45" t="str">
        <f>VLOOKUP(Tabela12[[#This Row],[Painel]],Tabela13[],2,0)</f>
        <v>7HV</v>
      </c>
      <c r="C1762" s="45" t="s">
        <v>1543</v>
      </c>
      <c r="D1762" s="21" t="s">
        <v>1944</v>
      </c>
      <c r="E1762" s="21">
        <v>6</v>
      </c>
      <c r="F1762" s="27" t="str">
        <f>Tabela12[[#This Row],[Régua]]&amp;" ("&amp;Tabela12[[#This Row],[Born]]&amp;")"</f>
        <v>2XDJ27 (6)</v>
      </c>
      <c r="G1762" s="27">
        <f>LEN(Tabela12[[#This Row],[Anilha]])</f>
        <v>10</v>
      </c>
      <c r="H1762" s="21">
        <f>VLOOKUP(Tabela12[[#This Row],[Tag Cabo]],BD!A:F,6,0)</f>
        <v>1</v>
      </c>
      <c r="I1762" s="27" t="s">
        <v>1705</v>
      </c>
      <c r="J1762" s="27" t="s">
        <v>1706</v>
      </c>
    </row>
    <row r="1763" spans="1:10" x14ac:dyDescent="0.25">
      <c r="A1763" s="216" t="s">
        <v>617</v>
      </c>
      <c r="B1763" s="45" t="str">
        <f>VLOOKUP(Tabela12[[#This Row],[Painel]],Tabela13[],2,0)</f>
        <v>30LV</v>
      </c>
      <c r="C1763" s="45" t="s">
        <v>1635</v>
      </c>
      <c r="D1763" s="21" t="s">
        <v>1943</v>
      </c>
      <c r="E1763" s="21">
        <v>19</v>
      </c>
      <c r="F1763" s="27" t="str">
        <f>Tabela12[[#This Row],[Régua]]&amp;" ("&amp;Tabela12[[#This Row],[Born]]&amp;")"</f>
        <v>TB-21 (19)</v>
      </c>
      <c r="G1763" s="27">
        <f>LEN(Tabela12[[#This Row],[Anilha]])</f>
        <v>10</v>
      </c>
      <c r="H1763" s="21">
        <f>VLOOKUP(Tabela12[[#This Row],[Tag Cabo]],BD!A:F,6,0)</f>
        <v>1</v>
      </c>
      <c r="I1763" s="27" t="s">
        <v>1705</v>
      </c>
      <c r="J1763" s="27" t="s">
        <v>1706</v>
      </c>
    </row>
    <row r="1764" spans="1:10" x14ac:dyDescent="0.25">
      <c r="A1764" s="216" t="s">
        <v>617</v>
      </c>
      <c r="B1764" s="45" t="str">
        <f>VLOOKUP(Tabela12[[#This Row],[Painel]],Tabela13[],2,0)</f>
        <v>30LV</v>
      </c>
      <c r="C1764" s="45" t="s">
        <v>1635</v>
      </c>
      <c r="D1764" s="21" t="s">
        <v>1943</v>
      </c>
      <c r="E1764" s="21">
        <v>20</v>
      </c>
      <c r="F1764" s="27" t="str">
        <f>Tabela12[[#This Row],[Régua]]&amp;" ("&amp;Tabela12[[#This Row],[Born]]&amp;")"</f>
        <v>TB-21 (20)</v>
      </c>
      <c r="G1764" s="27">
        <f>LEN(Tabela12[[#This Row],[Anilha]])</f>
        <v>10</v>
      </c>
      <c r="H1764" s="21">
        <f>VLOOKUP(Tabela12[[#This Row],[Tag Cabo]],BD!A:F,6,0)</f>
        <v>1</v>
      </c>
      <c r="I1764" s="27" t="s">
        <v>1705</v>
      </c>
      <c r="J1764" s="27" t="s">
        <v>1706</v>
      </c>
    </row>
    <row r="1765" spans="1:10" x14ac:dyDescent="0.25">
      <c r="A1765" s="216" t="s">
        <v>617</v>
      </c>
      <c r="B1765" s="45" t="str">
        <f>VLOOKUP(Tabela12[[#This Row],[Painel]],Tabela13[],2,0)</f>
        <v>30LV</v>
      </c>
      <c r="C1765" s="45" t="s">
        <v>1635</v>
      </c>
      <c r="D1765" s="21" t="s">
        <v>1943</v>
      </c>
      <c r="E1765" s="21">
        <v>22</v>
      </c>
      <c r="F1765" s="27" t="str">
        <f>Tabela12[[#This Row],[Régua]]&amp;" ("&amp;Tabela12[[#This Row],[Born]]&amp;")"</f>
        <v>TB-21 (22)</v>
      </c>
      <c r="G1765" s="27">
        <f>LEN(Tabela12[[#This Row],[Anilha]])</f>
        <v>10</v>
      </c>
      <c r="H1765" s="21">
        <f>VLOOKUP(Tabela12[[#This Row],[Tag Cabo]],BD!A:F,6,0)</f>
        <v>1</v>
      </c>
      <c r="I1765" s="27" t="s">
        <v>1705</v>
      </c>
      <c r="J1765" s="27" t="s">
        <v>1706</v>
      </c>
    </row>
    <row r="1766" spans="1:10" x14ac:dyDescent="0.25">
      <c r="A1766" s="216" t="s">
        <v>617</v>
      </c>
      <c r="B1766" s="45" t="str">
        <f>VLOOKUP(Tabela12[[#This Row],[Painel]],Tabela13[],2,0)</f>
        <v>30LV</v>
      </c>
      <c r="C1766" s="45" t="s">
        <v>1635</v>
      </c>
      <c r="D1766" s="21" t="s">
        <v>1943</v>
      </c>
      <c r="E1766" s="21">
        <v>23</v>
      </c>
      <c r="F1766" s="27" t="str">
        <f>Tabela12[[#This Row],[Régua]]&amp;" ("&amp;Tabela12[[#This Row],[Born]]&amp;")"</f>
        <v>TB-21 (23)</v>
      </c>
      <c r="G1766" s="27">
        <f>LEN(Tabela12[[#This Row],[Anilha]])</f>
        <v>10</v>
      </c>
      <c r="H1766" s="21">
        <f>VLOOKUP(Tabela12[[#This Row],[Tag Cabo]],BD!A:F,6,0)</f>
        <v>1</v>
      </c>
      <c r="I1766" s="27" t="s">
        <v>1705</v>
      </c>
      <c r="J1766" s="27" t="s">
        <v>1706</v>
      </c>
    </row>
    <row r="1767" spans="1:10" x14ac:dyDescent="0.25">
      <c r="A1767" s="216" t="s">
        <v>617</v>
      </c>
      <c r="B1767" s="45" t="str">
        <f>VLOOKUP(Tabela12[[#This Row],[Painel]],Tabela13[],2,0)</f>
        <v>30LV</v>
      </c>
      <c r="C1767" s="45" t="s">
        <v>1635</v>
      </c>
      <c r="D1767" s="21" t="s">
        <v>1943</v>
      </c>
      <c r="E1767" s="21">
        <v>25</v>
      </c>
      <c r="F1767" s="27" t="str">
        <f>Tabela12[[#This Row],[Régua]]&amp;" ("&amp;Tabela12[[#This Row],[Born]]&amp;")"</f>
        <v>TB-21 (25)</v>
      </c>
      <c r="G1767" s="27">
        <f>LEN(Tabela12[[#This Row],[Anilha]])</f>
        <v>10</v>
      </c>
      <c r="H1767" s="21">
        <f>VLOOKUP(Tabela12[[#This Row],[Tag Cabo]],BD!A:F,6,0)</f>
        <v>1</v>
      </c>
      <c r="I1767" s="27" t="s">
        <v>1705</v>
      </c>
      <c r="J1767" s="27" t="s">
        <v>1706</v>
      </c>
    </row>
    <row r="1768" spans="1:10" x14ac:dyDescent="0.25">
      <c r="A1768" s="216" t="s">
        <v>617</v>
      </c>
      <c r="B1768" s="45" t="str">
        <f>VLOOKUP(Tabela12[[#This Row],[Painel]],Tabela13[],2,0)</f>
        <v>30LV</v>
      </c>
      <c r="C1768" s="45" t="s">
        <v>1635</v>
      </c>
      <c r="D1768" s="21" t="s">
        <v>1943</v>
      </c>
      <c r="E1768" s="21">
        <v>26</v>
      </c>
      <c r="F1768" s="27" t="str">
        <f>Tabela12[[#This Row],[Régua]]&amp;" ("&amp;Tabela12[[#This Row],[Born]]&amp;")"</f>
        <v>TB-21 (26)</v>
      </c>
      <c r="G1768" s="27">
        <f>LEN(Tabela12[[#This Row],[Anilha]])</f>
        <v>10</v>
      </c>
      <c r="H1768" s="21">
        <f>VLOOKUP(Tabela12[[#This Row],[Tag Cabo]],BD!A:F,6,0)</f>
        <v>1</v>
      </c>
      <c r="I1768" s="27" t="s">
        <v>1705</v>
      </c>
      <c r="J1768" s="27" t="s">
        <v>1706</v>
      </c>
    </row>
    <row r="1769" spans="1:10" x14ac:dyDescent="0.25">
      <c r="A1769" s="216" t="s">
        <v>618</v>
      </c>
      <c r="B1769" s="45" t="str">
        <f>VLOOKUP(Tabela12[[#This Row],[Painel]],Tabela13[],2,0)</f>
        <v>7HV</v>
      </c>
      <c r="C1769" s="45" t="s">
        <v>1543</v>
      </c>
      <c r="D1769" s="21" t="s">
        <v>1942</v>
      </c>
      <c r="E1769" s="21">
        <v>7</v>
      </c>
      <c r="F1769" s="27" t="str">
        <f>Tabela12[[#This Row],[Régua]]&amp;" ("&amp;Tabela12[[#This Row],[Born]]&amp;")"</f>
        <v>2XDJ26 (7)</v>
      </c>
      <c r="G1769" s="27">
        <f>LEN(Tabela12[[#This Row],[Anilha]])</f>
        <v>10</v>
      </c>
      <c r="H1769" s="21">
        <f>VLOOKUP(Tabela12[[#This Row],[Tag Cabo]],BD!A:F,6,0)</f>
        <v>1</v>
      </c>
      <c r="I1769" s="27" t="s">
        <v>1705</v>
      </c>
      <c r="J1769" s="27" t="s">
        <v>1706</v>
      </c>
    </row>
    <row r="1770" spans="1:10" x14ac:dyDescent="0.25">
      <c r="A1770" s="216" t="s">
        <v>618</v>
      </c>
      <c r="B1770" s="45" t="str">
        <f>VLOOKUP(Tabela12[[#This Row],[Painel]],Tabela13[],2,0)</f>
        <v>7HV</v>
      </c>
      <c r="C1770" s="45" t="s">
        <v>1543</v>
      </c>
      <c r="D1770" s="21" t="s">
        <v>1942</v>
      </c>
      <c r="E1770" s="21">
        <v>7</v>
      </c>
      <c r="F1770" s="27" t="str">
        <f>Tabela12[[#This Row],[Régua]]&amp;" ("&amp;Tabela12[[#This Row],[Born]]&amp;")"</f>
        <v>2XDJ26 (7)</v>
      </c>
      <c r="G1770" s="27">
        <f>LEN(Tabela12[[#This Row],[Anilha]])</f>
        <v>10</v>
      </c>
      <c r="H1770" s="21">
        <f>VLOOKUP(Tabela12[[#This Row],[Tag Cabo]],BD!A:F,6,0)</f>
        <v>1</v>
      </c>
      <c r="I1770" s="27" t="s">
        <v>1705</v>
      </c>
      <c r="J1770" s="27" t="s">
        <v>1706</v>
      </c>
    </row>
    <row r="1771" spans="1:10" x14ac:dyDescent="0.25">
      <c r="A1771" s="216" t="s">
        <v>618</v>
      </c>
      <c r="B1771" s="45" t="str">
        <f>VLOOKUP(Tabela12[[#This Row],[Painel]],Tabela13[],2,0)</f>
        <v>7HV</v>
      </c>
      <c r="C1771" s="45" t="s">
        <v>1543</v>
      </c>
      <c r="D1771" s="21" t="s">
        <v>1942</v>
      </c>
      <c r="E1771" s="21">
        <v>8</v>
      </c>
      <c r="F1771" s="27" t="str">
        <f>Tabela12[[#This Row],[Régua]]&amp;" ("&amp;Tabela12[[#This Row],[Born]]&amp;")"</f>
        <v>2XDJ26 (8)</v>
      </c>
      <c r="G1771" s="27">
        <f>LEN(Tabela12[[#This Row],[Anilha]])</f>
        <v>10</v>
      </c>
      <c r="H1771" s="21">
        <f>VLOOKUP(Tabela12[[#This Row],[Tag Cabo]],BD!A:F,6,0)</f>
        <v>1</v>
      </c>
      <c r="I1771" s="27" t="s">
        <v>1705</v>
      </c>
      <c r="J1771" s="27" t="s">
        <v>1706</v>
      </c>
    </row>
    <row r="1772" spans="1:10" x14ac:dyDescent="0.25">
      <c r="A1772" s="216" t="s">
        <v>618</v>
      </c>
      <c r="B1772" s="45" t="str">
        <f>VLOOKUP(Tabela12[[#This Row],[Painel]],Tabela13[],2,0)</f>
        <v>7HV</v>
      </c>
      <c r="C1772" s="45" t="s">
        <v>1543</v>
      </c>
      <c r="D1772" s="21" t="s">
        <v>1942</v>
      </c>
      <c r="E1772" s="21">
        <v>9</v>
      </c>
      <c r="F1772" s="27" t="str">
        <f>Tabela12[[#This Row],[Régua]]&amp;" ("&amp;Tabela12[[#This Row],[Born]]&amp;")"</f>
        <v>2XDJ26 (9)</v>
      </c>
      <c r="G1772" s="27">
        <f>LEN(Tabela12[[#This Row],[Anilha]])</f>
        <v>10</v>
      </c>
      <c r="H1772" s="21">
        <f>VLOOKUP(Tabela12[[#This Row],[Tag Cabo]],BD!A:F,6,0)</f>
        <v>1</v>
      </c>
      <c r="I1772" s="27" t="s">
        <v>1705</v>
      </c>
      <c r="J1772" s="27" t="s">
        <v>1706</v>
      </c>
    </row>
    <row r="1773" spans="1:10" x14ac:dyDescent="0.25">
      <c r="A1773" s="216" t="s">
        <v>618</v>
      </c>
      <c r="B1773" s="45" t="str">
        <f>VLOOKUP(Tabela12[[#This Row],[Painel]],Tabela13[],2,0)</f>
        <v>30LV</v>
      </c>
      <c r="C1773" s="45" t="s">
        <v>1635</v>
      </c>
      <c r="D1773" s="21" t="s">
        <v>1945</v>
      </c>
      <c r="E1773" s="21">
        <v>1</v>
      </c>
      <c r="F1773" s="27" t="str">
        <f>Tabela12[[#This Row],[Régua]]&amp;" ("&amp;Tabela12[[#This Row],[Born]]&amp;")"</f>
        <v>TB-22A (1)</v>
      </c>
      <c r="G1773" s="27">
        <f>LEN(Tabela12[[#This Row],[Anilha]])</f>
        <v>10</v>
      </c>
      <c r="H1773" s="21">
        <f>VLOOKUP(Tabela12[[#This Row],[Tag Cabo]],BD!A:F,6,0)</f>
        <v>1</v>
      </c>
      <c r="I1773" s="27" t="s">
        <v>1705</v>
      </c>
      <c r="J1773" s="27" t="s">
        <v>1706</v>
      </c>
    </row>
    <row r="1774" spans="1:10" x14ac:dyDescent="0.25">
      <c r="A1774" s="216" t="s">
        <v>618</v>
      </c>
      <c r="B1774" s="45" t="str">
        <f>VLOOKUP(Tabela12[[#This Row],[Painel]],Tabela13[],2,0)</f>
        <v>30LV</v>
      </c>
      <c r="C1774" s="45" t="s">
        <v>1635</v>
      </c>
      <c r="D1774" s="21" t="s">
        <v>1945</v>
      </c>
      <c r="E1774" s="21">
        <v>2</v>
      </c>
      <c r="F1774" s="27" t="str">
        <f>Tabela12[[#This Row],[Régua]]&amp;" ("&amp;Tabela12[[#This Row],[Born]]&amp;")"</f>
        <v>TB-22A (2)</v>
      </c>
      <c r="G1774" s="27">
        <f>LEN(Tabela12[[#This Row],[Anilha]])</f>
        <v>10</v>
      </c>
      <c r="H1774" s="21">
        <f>VLOOKUP(Tabela12[[#This Row],[Tag Cabo]],BD!A:F,6,0)</f>
        <v>1</v>
      </c>
      <c r="I1774" s="27" t="s">
        <v>1705</v>
      </c>
      <c r="J1774" s="27" t="s">
        <v>1706</v>
      </c>
    </row>
    <row r="1775" spans="1:10" x14ac:dyDescent="0.25">
      <c r="A1775" s="216" t="s">
        <v>618</v>
      </c>
      <c r="B1775" s="45" t="str">
        <f>VLOOKUP(Tabela12[[#This Row],[Painel]],Tabela13[],2,0)</f>
        <v>30LV</v>
      </c>
      <c r="C1775" s="45" t="s">
        <v>1635</v>
      </c>
      <c r="D1775" s="21" t="s">
        <v>1945</v>
      </c>
      <c r="E1775" s="21">
        <v>4</v>
      </c>
      <c r="F1775" s="27" t="str">
        <f>Tabela12[[#This Row],[Régua]]&amp;" ("&amp;Tabela12[[#This Row],[Born]]&amp;")"</f>
        <v>TB-22A (4)</v>
      </c>
      <c r="G1775" s="27">
        <f>LEN(Tabela12[[#This Row],[Anilha]])</f>
        <v>10</v>
      </c>
      <c r="H1775" s="21">
        <f>VLOOKUP(Tabela12[[#This Row],[Tag Cabo]],BD!A:F,6,0)</f>
        <v>1</v>
      </c>
      <c r="I1775" s="27" t="s">
        <v>1705</v>
      </c>
      <c r="J1775" s="27" t="s">
        <v>1706</v>
      </c>
    </row>
    <row r="1776" spans="1:10" x14ac:dyDescent="0.25">
      <c r="A1776" s="216" t="s">
        <v>618</v>
      </c>
      <c r="B1776" s="45" t="str">
        <f>VLOOKUP(Tabela12[[#This Row],[Painel]],Tabela13[],2,0)</f>
        <v>30LV</v>
      </c>
      <c r="C1776" s="45" t="s">
        <v>1635</v>
      </c>
      <c r="D1776" s="21" t="s">
        <v>1945</v>
      </c>
      <c r="E1776" s="21">
        <v>5</v>
      </c>
      <c r="F1776" s="27" t="str">
        <f>Tabela12[[#This Row],[Régua]]&amp;" ("&amp;Tabela12[[#This Row],[Born]]&amp;")"</f>
        <v>TB-22A (5)</v>
      </c>
      <c r="G1776" s="27">
        <f>LEN(Tabela12[[#This Row],[Anilha]])</f>
        <v>10</v>
      </c>
      <c r="H1776" s="21">
        <f>VLOOKUP(Tabela12[[#This Row],[Tag Cabo]],BD!A:F,6,0)</f>
        <v>1</v>
      </c>
      <c r="I1776" s="27" t="s">
        <v>1705</v>
      </c>
      <c r="J1776" s="27" t="s">
        <v>1706</v>
      </c>
    </row>
    <row r="1777" spans="1:10" x14ac:dyDescent="0.25">
      <c r="A1777" s="216" t="s">
        <v>619</v>
      </c>
      <c r="B1777" s="45" t="str">
        <f>VLOOKUP(Tabela12[[#This Row],[Painel]],Tabela13[],2,0)</f>
        <v>7HV</v>
      </c>
      <c r="C1777" s="45" t="s">
        <v>1543</v>
      </c>
      <c r="D1777" s="21" t="s">
        <v>1944</v>
      </c>
      <c r="E1777" s="21">
        <v>7</v>
      </c>
      <c r="F1777" s="27" t="str">
        <f>Tabela12[[#This Row],[Régua]]&amp;" ("&amp;Tabela12[[#This Row],[Born]]&amp;")"</f>
        <v>2XDJ27 (7)</v>
      </c>
      <c r="G1777" s="27">
        <f>LEN(Tabela12[[#This Row],[Anilha]])</f>
        <v>10</v>
      </c>
      <c r="H1777" s="21">
        <f>VLOOKUP(Tabela12[[#This Row],[Tag Cabo]],BD!A:F,6,0)</f>
        <v>1</v>
      </c>
      <c r="I1777" s="27" t="s">
        <v>1705</v>
      </c>
      <c r="J1777" s="27" t="s">
        <v>1706</v>
      </c>
    </row>
    <row r="1778" spans="1:10" x14ac:dyDescent="0.25">
      <c r="A1778" s="216" t="s">
        <v>619</v>
      </c>
      <c r="B1778" s="45" t="str">
        <f>VLOOKUP(Tabela12[[#This Row],[Painel]],Tabela13[],2,0)</f>
        <v>7HV</v>
      </c>
      <c r="C1778" s="45" t="s">
        <v>1543</v>
      </c>
      <c r="D1778" s="21" t="s">
        <v>1944</v>
      </c>
      <c r="E1778" s="21">
        <v>7</v>
      </c>
      <c r="F1778" s="27" t="str">
        <f>Tabela12[[#This Row],[Régua]]&amp;" ("&amp;Tabela12[[#This Row],[Born]]&amp;")"</f>
        <v>2XDJ27 (7)</v>
      </c>
      <c r="G1778" s="27">
        <f>LEN(Tabela12[[#This Row],[Anilha]])</f>
        <v>10</v>
      </c>
      <c r="H1778" s="21">
        <f>VLOOKUP(Tabela12[[#This Row],[Tag Cabo]],BD!A:F,6,0)</f>
        <v>1</v>
      </c>
      <c r="I1778" s="27" t="s">
        <v>1705</v>
      </c>
      <c r="J1778" s="27" t="s">
        <v>1706</v>
      </c>
    </row>
    <row r="1779" spans="1:10" x14ac:dyDescent="0.25">
      <c r="A1779" s="216" t="s">
        <v>619</v>
      </c>
      <c r="B1779" s="45" t="str">
        <f>VLOOKUP(Tabela12[[#This Row],[Painel]],Tabela13[],2,0)</f>
        <v>7HV</v>
      </c>
      <c r="C1779" s="45" t="s">
        <v>1543</v>
      </c>
      <c r="D1779" s="21" t="s">
        <v>1944</v>
      </c>
      <c r="E1779" s="21">
        <v>8</v>
      </c>
      <c r="F1779" s="27" t="str">
        <f>Tabela12[[#This Row],[Régua]]&amp;" ("&amp;Tabela12[[#This Row],[Born]]&amp;")"</f>
        <v>2XDJ27 (8)</v>
      </c>
      <c r="G1779" s="27">
        <f>LEN(Tabela12[[#This Row],[Anilha]])</f>
        <v>10</v>
      </c>
      <c r="H1779" s="21">
        <f>VLOOKUP(Tabela12[[#This Row],[Tag Cabo]],BD!A:F,6,0)</f>
        <v>1</v>
      </c>
      <c r="I1779" s="27" t="s">
        <v>1705</v>
      </c>
      <c r="J1779" s="27" t="s">
        <v>1706</v>
      </c>
    </row>
    <row r="1780" spans="1:10" x14ac:dyDescent="0.25">
      <c r="A1780" s="216" t="s">
        <v>619</v>
      </c>
      <c r="B1780" s="45" t="str">
        <f>VLOOKUP(Tabela12[[#This Row],[Painel]],Tabela13[],2,0)</f>
        <v>7HV</v>
      </c>
      <c r="C1780" s="45" t="s">
        <v>1543</v>
      </c>
      <c r="D1780" s="21" t="s">
        <v>1944</v>
      </c>
      <c r="E1780" s="21">
        <v>9</v>
      </c>
      <c r="F1780" s="27" t="str">
        <f>Tabela12[[#This Row],[Régua]]&amp;" ("&amp;Tabela12[[#This Row],[Born]]&amp;")"</f>
        <v>2XDJ27 (9)</v>
      </c>
      <c r="G1780" s="27">
        <f>LEN(Tabela12[[#This Row],[Anilha]])</f>
        <v>10</v>
      </c>
      <c r="H1780" s="21">
        <f>VLOOKUP(Tabela12[[#This Row],[Tag Cabo]],BD!A:F,6,0)</f>
        <v>1</v>
      </c>
      <c r="I1780" s="27" t="s">
        <v>1705</v>
      </c>
      <c r="J1780" s="27" t="s">
        <v>1706</v>
      </c>
    </row>
    <row r="1781" spans="1:10" x14ac:dyDescent="0.25">
      <c r="A1781" s="216" t="s">
        <v>619</v>
      </c>
      <c r="B1781" s="45" t="str">
        <f>VLOOKUP(Tabela12[[#This Row],[Painel]],Tabela13[],2,0)</f>
        <v>30LV</v>
      </c>
      <c r="C1781" s="45" t="s">
        <v>1635</v>
      </c>
      <c r="D1781" s="21" t="s">
        <v>1945</v>
      </c>
      <c r="E1781" s="21">
        <v>7</v>
      </c>
      <c r="F1781" s="27" t="str">
        <f>Tabela12[[#This Row],[Régua]]&amp;" ("&amp;Tabela12[[#This Row],[Born]]&amp;")"</f>
        <v>TB-22A (7)</v>
      </c>
      <c r="G1781" s="27">
        <f>LEN(Tabela12[[#This Row],[Anilha]])</f>
        <v>10</v>
      </c>
      <c r="H1781" s="21">
        <f>VLOOKUP(Tabela12[[#This Row],[Tag Cabo]],BD!A:F,6,0)</f>
        <v>1</v>
      </c>
      <c r="I1781" s="27" t="s">
        <v>1705</v>
      </c>
      <c r="J1781" s="27" t="s">
        <v>1706</v>
      </c>
    </row>
    <row r="1782" spans="1:10" x14ac:dyDescent="0.25">
      <c r="A1782" s="216" t="s">
        <v>619</v>
      </c>
      <c r="B1782" s="45" t="str">
        <f>VLOOKUP(Tabela12[[#This Row],[Painel]],Tabela13[],2,0)</f>
        <v>30LV</v>
      </c>
      <c r="C1782" s="45" t="s">
        <v>1635</v>
      </c>
      <c r="D1782" s="21" t="s">
        <v>1945</v>
      </c>
      <c r="E1782" s="21">
        <v>8</v>
      </c>
      <c r="F1782" s="27" t="str">
        <f>Tabela12[[#This Row],[Régua]]&amp;" ("&amp;Tabela12[[#This Row],[Born]]&amp;")"</f>
        <v>TB-22A (8)</v>
      </c>
      <c r="G1782" s="27">
        <f>LEN(Tabela12[[#This Row],[Anilha]])</f>
        <v>10</v>
      </c>
      <c r="H1782" s="21">
        <f>VLOOKUP(Tabela12[[#This Row],[Tag Cabo]],BD!A:F,6,0)</f>
        <v>1</v>
      </c>
      <c r="I1782" s="27" t="s">
        <v>1705</v>
      </c>
      <c r="J1782" s="27" t="s">
        <v>1706</v>
      </c>
    </row>
    <row r="1783" spans="1:10" x14ac:dyDescent="0.25">
      <c r="A1783" s="216" t="s">
        <v>619</v>
      </c>
      <c r="B1783" s="45" t="str">
        <f>VLOOKUP(Tabela12[[#This Row],[Painel]],Tabela13[],2,0)</f>
        <v>30LV</v>
      </c>
      <c r="C1783" s="45" t="s">
        <v>1635</v>
      </c>
      <c r="D1783" s="21" t="s">
        <v>1945</v>
      </c>
      <c r="E1783" s="21">
        <v>10</v>
      </c>
      <c r="F1783" s="27" t="str">
        <f>Tabela12[[#This Row],[Régua]]&amp;" ("&amp;Tabela12[[#This Row],[Born]]&amp;")"</f>
        <v>TB-22A (10)</v>
      </c>
      <c r="G1783" s="27">
        <f>LEN(Tabela12[[#This Row],[Anilha]])</f>
        <v>11</v>
      </c>
      <c r="H1783" s="21">
        <f>VLOOKUP(Tabela12[[#This Row],[Tag Cabo]],BD!A:F,6,0)</f>
        <v>1</v>
      </c>
      <c r="I1783" s="27" t="s">
        <v>1705</v>
      </c>
      <c r="J1783" s="27" t="s">
        <v>1706</v>
      </c>
    </row>
    <row r="1784" spans="1:10" x14ac:dyDescent="0.25">
      <c r="A1784" s="216" t="s">
        <v>619</v>
      </c>
      <c r="B1784" s="45" t="str">
        <f>VLOOKUP(Tabela12[[#This Row],[Painel]],Tabela13[],2,0)</f>
        <v>30LV</v>
      </c>
      <c r="C1784" s="45" t="s">
        <v>1635</v>
      </c>
      <c r="D1784" s="21" t="s">
        <v>1945</v>
      </c>
      <c r="E1784" s="21">
        <v>11</v>
      </c>
      <c r="F1784" s="27" t="str">
        <f>Tabela12[[#This Row],[Régua]]&amp;" ("&amp;Tabela12[[#This Row],[Born]]&amp;")"</f>
        <v>TB-22A (11)</v>
      </c>
      <c r="G1784" s="27">
        <f>LEN(Tabela12[[#This Row],[Anilha]])</f>
        <v>11</v>
      </c>
      <c r="H1784" s="21">
        <f>VLOOKUP(Tabela12[[#This Row],[Tag Cabo]],BD!A:F,6,0)</f>
        <v>1</v>
      </c>
      <c r="I1784" s="27" t="s">
        <v>1705</v>
      </c>
      <c r="J1784" s="27" t="s">
        <v>1706</v>
      </c>
    </row>
    <row r="1785" spans="1:10" x14ac:dyDescent="0.25">
      <c r="A1785" s="216" t="s">
        <v>621</v>
      </c>
      <c r="B1785" s="45" t="str">
        <f>VLOOKUP(Tabela12[[#This Row],[Painel]],Tabela13[],2,0)</f>
        <v>7HV</v>
      </c>
      <c r="C1785" s="45" t="s">
        <v>937</v>
      </c>
      <c r="D1785" s="21" t="s">
        <v>1716</v>
      </c>
      <c r="E1785" s="21">
        <v>37</v>
      </c>
      <c r="F1785" s="27" t="str">
        <f>Tabela12[[#This Row],[Régua]]&amp;" ("&amp;Tabela12[[#This Row],[Born]]&amp;")"</f>
        <v>BNC (37)</v>
      </c>
      <c r="G1785" s="27">
        <f>LEN(Tabela12[[#This Row],[Anilha]])</f>
        <v>8</v>
      </c>
      <c r="H1785" s="21">
        <f>VLOOKUP(Tabela12[[#This Row],[Tag Cabo]],BD!A:F,6,0)</f>
        <v>1</v>
      </c>
      <c r="I1785" s="27" t="s">
        <v>1705</v>
      </c>
      <c r="J1785" s="27" t="s">
        <v>1706</v>
      </c>
    </row>
    <row r="1786" spans="1:10" x14ac:dyDescent="0.25">
      <c r="A1786" s="216" t="s">
        <v>621</v>
      </c>
      <c r="B1786" s="45" t="str">
        <f>VLOOKUP(Tabela12[[#This Row],[Painel]],Tabela13[],2,0)</f>
        <v>7HV</v>
      </c>
      <c r="C1786" s="45" t="s">
        <v>937</v>
      </c>
      <c r="D1786" s="21" t="s">
        <v>1716</v>
      </c>
      <c r="E1786" s="21">
        <v>38</v>
      </c>
      <c r="F1786" s="27" t="str">
        <f>Tabela12[[#This Row],[Régua]]&amp;" ("&amp;Tabela12[[#This Row],[Born]]&amp;")"</f>
        <v>BNC (38)</v>
      </c>
      <c r="G1786" s="27">
        <f>LEN(Tabela12[[#This Row],[Anilha]])</f>
        <v>8</v>
      </c>
      <c r="H1786" s="21">
        <f>VLOOKUP(Tabela12[[#This Row],[Tag Cabo]],BD!A:F,6,0)</f>
        <v>1</v>
      </c>
      <c r="I1786" s="27" t="s">
        <v>1705</v>
      </c>
      <c r="J1786" s="27" t="s">
        <v>1706</v>
      </c>
    </row>
    <row r="1787" spans="1:10" x14ac:dyDescent="0.25">
      <c r="A1787" s="216" t="s">
        <v>621</v>
      </c>
      <c r="B1787" s="45" t="str">
        <f>VLOOKUP(Tabela12[[#This Row],[Painel]],Tabela13[],2,0)</f>
        <v>7HV</v>
      </c>
      <c r="C1787" s="45" t="s">
        <v>937</v>
      </c>
      <c r="D1787" s="21" t="s">
        <v>1716</v>
      </c>
      <c r="E1787" s="21">
        <v>39</v>
      </c>
      <c r="F1787" s="27" t="str">
        <f>Tabela12[[#This Row],[Régua]]&amp;" ("&amp;Tabela12[[#This Row],[Born]]&amp;")"</f>
        <v>BNC (39)</v>
      </c>
      <c r="G1787" s="27">
        <f>LEN(Tabela12[[#This Row],[Anilha]])</f>
        <v>8</v>
      </c>
      <c r="H1787" s="21">
        <f>VLOOKUP(Tabela12[[#This Row],[Tag Cabo]],BD!A:F,6,0)</f>
        <v>1</v>
      </c>
      <c r="I1787" s="27" t="s">
        <v>1705</v>
      </c>
      <c r="J1787" s="27" t="s">
        <v>1706</v>
      </c>
    </row>
    <row r="1788" spans="1:10" x14ac:dyDescent="0.25">
      <c r="A1788" s="216" t="s">
        <v>621</v>
      </c>
      <c r="B1788" s="45" t="str">
        <f>VLOOKUP(Tabela12[[#This Row],[Painel]],Tabela13[],2,0)</f>
        <v>7HV</v>
      </c>
      <c r="C1788" s="45" t="s">
        <v>937</v>
      </c>
      <c r="D1788" s="21" t="s">
        <v>1716</v>
      </c>
      <c r="E1788" s="21">
        <v>40</v>
      </c>
      <c r="F1788" s="27" t="str">
        <f>Tabela12[[#This Row],[Régua]]&amp;" ("&amp;Tabela12[[#This Row],[Born]]&amp;")"</f>
        <v>BNC (40)</v>
      </c>
      <c r="G1788" s="27">
        <f>LEN(Tabela12[[#This Row],[Anilha]])</f>
        <v>8</v>
      </c>
      <c r="H1788" s="21">
        <f>VLOOKUP(Tabela12[[#This Row],[Tag Cabo]],BD!A:F,6,0)</f>
        <v>1</v>
      </c>
      <c r="I1788" s="27" t="s">
        <v>1705</v>
      </c>
      <c r="J1788" s="27" t="s">
        <v>1706</v>
      </c>
    </row>
    <row r="1789" spans="1:10" x14ac:dyDescent="0.25">
      <c r="A1789" s="216" t="s">
        <v>621</v>
      </c>
      <c r="B1789" s="45" t="str">
        <f>VLOOKUP(Tabela12[[#This Row],[Painel]],Tabela13[],2,0)</f>
        <v>7HV</v>
      </c>
      <c r="C1789" s="45" t="s">
        <v>937</v>
      </c>
      <c r="D1789" s="21" t="s">
        <v>1716</v>
      </c>
      <c r="E1789" s="21">
        <v>41</v>
      </c>
      <c r="F1789" s="27" t="str">
        <f>Tabela12[[#This Row],[Régua]]&amp;" ("&amp;Tabela12[[#This Row],[Born]]&amp;")"</f>
        <v>BNC (41)</v>
      </c>
      <c r="G1789" s="27">
        <f>LEN(Tabela12[[#This Row],[Anilha]])</f>
        <v>8</v>
      </c>
      <c r="H1789" s="21">
        <f>VLOOKUP(Tabela12[[#This Row],[Tag Cabo]],BD!A:F,6,0)</f>
        <v>1</v>
      </c>
      <c r="I1789" s="27" t="s">
        <v>1705</v>
      </c>
      <c r="J1789" s="27" t="s">
        <v>1706</v>
      </c>
    </row>
    <row r="1790" spans="1:10" x14ac:dyDescent="0.25">
      <c r="A1790" s="216" t="s">
        <v>621</v>
      </c>
      <c r="B1790" s="45" t="str">
        <f>VLOOKUP(Tabela12[[#This Row],[Painel]],Tabela13[],2,0)</f>
        <v>7HV</v>
      </c>
      <c r="C1790" s="45" t="s">
        <v>937</v>
      </c>
      <c r="D1790" s="21" t="s">
        <v>1716</v>
      </c>
      <c r="E1790" s="21">
        <v>42</v>
      </c>
      <c r="F1790" s="27" t="str">
        <f>Tabela12[[#This Row],[Régua]]&amp;" ("&amp;Tabela12[[#This Row],[Born]]&amp;")"</f>
        <v>BNC (42)</v>
      </c>
      <c r="G1790" s="27">
        <f>LEN(Tabela12[[#This Row],[Anilha]])</f>
        <v>8</v>
      </c>
      <c r="H1790" s="21">
        <f>VLOOKUP(Tabela12[[#This Row],[Tag Cabo]],BD!A:F,6,0)</f>
        <v>1</v>
      </c>
      <c r="I1790" s="27" t="s">
        <v>1705</v>
      </c>
      <c r="J1790" s="27" t="s">
        <v>1706</v>
      </c>
    </row>
    <row r="1791" spans="1:10" x14ac:dyDescent="0.25">
      <c r="A1791" s="216" t="s">
        <v>621</v>
      </c>
      <c r="B1791" s="45" t="str">
        <f>VLOOKUP(Tabela12[[#This Row],[Painel]],Tabela13[],2,0)</f>
        <v>7HV</v>
      </c>
      <c r="C1791" s="45" t="s">
        <v>937</v>
      </c>
      <c r="D1791" s="21" t="s">
        <v>1716</v>
      </c>
      <c r="E1791" s="21">
        <v>43</v>
      </c>
      <c r="F1791" s="27" t="str">
        <f>Tabela12[[#This Row],[Régua]]&amp;" ("&amp;Tabela12[[#This Row],[Born]]&amp;")"</f>
        <v>BNC (43)</v>
      </c>
      <c r="G1791" s="27">
        <f>LEN(Tabela12[[#This Row],[Anilha]])</f>
        <v>8</v>
      </c>
      <c r="H1791" s="21">
        <f>VLOOKUP(Tabela12[[#This Row],[Tag Cabo]],BD!A:F,6,0)</f>
        <v>1</v>
      </c>
      <c r="I1791" s="27" t="s">
        <v>1705</v>
      </c>
      <c r="J1791" s="27" t="s">
        <v>1706</v>
      </c>
    </row>
    <row r="1792" spans="1:10" x14ac:dyDescent="0.25">
      <c r="A1792" s="216" t="s">
        <v>621</v>
      </c>
      <c r="B1792" s="45" t="str">
        <f>VLOOKUP(Tabela12[[#This Row],[Painel]],Tabela13[],2,0)</f>
        <v>7HV</v>
      </c>
      <c r="C1792" s="45" t="s">
        <v>937</v>
      </c>
      <c r="D1792" s="21" t="s">
        <v>1716</v>
      </c>
      <c r="E1792" s="21">
        <v>44</v>
      </c>
      <c r="F1792" s="27" t="str">
        <f>Tabela12[[#This Row],[Régua]]&amp;" ("&amp;Tabela12[[#This Row],[Born]]&amp;")"</f>
        <v>BNC (44)</v>
      </c>
      <c r="G1792" s="27">
        <f>LEN(Tabela12[[#This Row],[Anilha]])</f>
        <v>8</v>
      </c>
      <c r="H1792" s="21">
        <f>VLOOKUP(Tabela12[[#This Row],[Tag Cabo]],BD!A:F,6,0)</f>
        <v>1</v>
      </c>
      <c r="I1792" s="27" t="s">
        <v>1705</v>
      </c>
      <c r="J1792" s="27" t="s">
        <v>1706</v>
      </c>
    </row>
    <row r="1793" spans="1:10" x14ac:dyDescent="0.25">
      <c r="A1793" s="216" t="s">
        <v>621</v>
      </c>
      <c r="B1793" s="45" t="str">
        <f>VLOOKUP(Tabela12[[#This Row],[Painel]],Tabela13[],2,0)</f>
        <v>30LV</v>
      </c>
      <c r="C1793" s="45" t="s">
        <v>1635</v>
      </c>
      <c r="D1793" s="21" t="s">
        <v>1946</v>
      </c>
      <c r="E1793" s="21">
        <v>1</v>
      </c>
      <c r="F1793" s="27" t="str">
        <f>Tabela12[[#This Row],[Régua]]&amp;" ("&amp;Tabela12[[#This Row],[Born]]&amp;")"</f>
        <v>TB-31 (1)</v>
      </c>
      <c r="G1793" s="27">
        <f>LEN(Tabela12[[#This Row],[Anilha]])</f>
        <v>9</v>
      </c>
      <c r="H1793" s="21">
        <f>VLOOKUP(Tabela12[[#This Row],[Tag Cabo]],BD!A:F,6,0)</f>
        <v>1</v>
      </c>
      <c r="I1793" s="27" t="s">
        <v>1705</v>
      </c>
      <c r="J1793" s="27" t="s">
        <v>1706</v>
      </c>
    </row>
    <row r="1794" spans="1:10" x14ac:dyDescent="0.25">
      <c r="A1794" s="216" t="s">
        <v>621</v>
      </c>
      <c r="B1794" s="45" t="str">
        <f>VLOOKUP(Tabela12[[#This Row],[Painel]],Tabela13[],2,0)</f>
        <v>30LV</v>
      </c>
      <c r="C1794" s="45" t="s">
        <v>1635</v>
      </c>
      <c r="D1794" s="21" t="s">
        <v>1946</v>
      </c>
      <c r="E1794" s="21">
        <v>2</v>
      </c>
      <c r="F1794" s="27" t="str">
        <f>Tabela12[[#This Row],[Régua]]&amp;" ("&amp;Tabela12[[#This Row],[Born]]&amp;")"</f>
        <v>TB-31 (2)</v>
      </c>
      <c r="G1794" s="27">
        <f>LEN(Tabela12[[#This Row],[Anilha]])</f>
        <v>9</v>
      </c>
      <c r="H1794" s="21">
        <f>VLOOKUP(Tabela12[[#This Row],[Tag Cabo]],BD!A:F,6,0)</f>
        <v>1</v>
      </c>
      <c r="I1794" s="27" t="s">
        <v>1705</v>
      </c>
      <c r="J1794" s="27" t="s">
        <v>1706</v>
      </c>
    </row>
    <row r="1795" spans="1:10" x14ac:dyDescent="0.25">
      <c r="A1795" s="216" t="s">
        <v>621</v>
      </c>
      <c r="B1795" s="45" t="str">
        <f>VLOOKUP(Tabela12[[#This Row],[Painel]],Tabela13[],2,0)</f>
        <v>30LV</v>
      </c>
      <c r="C1795" s="45" t="s">
        <v>1635</v>
      </c>
      <c r="D1795" s="21" t="s">
        <v>1946</v>
      </c>
      <c r="E1795" s="21">
        <v>4</v>
      </c>
      <c r="F1795" s="27" t="str">
        <f>Tabela12[[#This Row],[Régua]]&amp;" ("&amp;Tabela12[[#This Row],[Born]]&amp;")"</f>
        <v>TB-31 (4)</v>
      </c>
      <c r="G1795" s="27">
        <f>LEN(Tabela12[[#This Row],[Anilha]])</f>
        <v>9</v>
      </c>
      <c r="H1795" s="21">
        <f>VLOOKUP(Tabela12[[#This Row],[Tag Cabo]],BD!A:F,6,0)</f>
        <v>1</v>
      </c>
      <c r="I1795" s="27" t="s">
        <v>1705</v>
      </c>
      <c r="J1795" s="27" t="s">
        <v>1706</v>
      </c>
    </row>
    <row r="1796" spans="1:10" x14ac:dyDescent="0.25">
      <c r="A1796" s="216" t="s">
        <v>621</v>
      </c>
      <c r="B1796" s="45" t="str">
        <f>VLOOKUP(Tabela12[[#This Row],[Painel]],Tabela13[],2,0)</f>
        <v>30LV</v>
      </c>
      <c r="C1796" s="45" t="s">
        <v>1635</v>
      </c>
      <c r="D1796" s="21" t="s">
        <v>1946</v>
      </c>
      <c r="E1796" s="21">
        <v>5</v>
      </c>
      <c r="F1796" s="27" t="str">
        <f>Tabela12[[#This Row],[Régua]]&amp;" ("&amp;Tabela12[[#This Row],[Born]]&amp;")"</f>
        <v>TB-31 (5)</v>
      </c>
      <c r="G1796" s="27">
        <f>LEN(Tabela12[[#This Row],[Anilha]])</f>
        <v>9</v>
      </c>
      <c r="H1796" s="21">
        <f>VLOOKUP(Tabela12[[#This Row],[Tag Cabo]],BD!A:F,6,0)</f>
        <v>1</v>
      </c>
      <c r="I1796" s="27" t="s">
        <v>1705</v>
      </c>
      <c r="J1796" s="27" t="s">
        <v>1706</v>
      </c>
    </row>
    <row r="1797" spans="1:10" x14ac:dyDescent="0.25">
      <c r="A1797" s="216" t="s">
        <v>621</v>
      </c>
      <c r="B1797" s="45" t="str">
        <f>VLOOKUP(Tabela12[[#This Row],[Painel]],Tabela13[],2,0)</f>
        <v>30LV</v>
      </c>
      <c r="C1797" s="45" t="s">
        <v>1635</v>
      </c>
      <c r="D1797" s="21" t="s">
        <v>1946</v>
      </c>
      <c r="E1797" s="21">
        <v>7</v>
      </c>
      <c r="F1797" s="27" t="str">
        <f>Tabela12[[#This Row],[Régua]]&amp;" ("&amp;Tabela12[[#This Row],[Born]]&amp;")"</f>
        <v>TB-31 (7)</v>
      </c>
      <c r="G1797" s="27">
        <f>LEN(Tabela12[[#This Row],[Anilha]])</f>
        <v>9</v>
      </c>
      <c r="H1797" s="21">
        <f>VLOOKUP(Tabela12[[#This Row],[Tag Cabo]],BD!A:F,6,0)</f>
        <v>1</v>
      </c>
      <c r="I1797" s="27" t="s">
        <v>1705</v>
      </c>
      <c r="J1797" s="27" t="s">
        <v>1706</v>
      </c>
    </row>
    <row r="1798" spans="1:10" x14ac:dyDescent="0.25">
      <c r="A1798" s="216" t="s">
        <v>621</v>
      </c>
      <c r="B1798" s="45" t="str">
        <f>VLOOKUP(Tabela12[[#This Row],[Painel]],Tabela13[],2,0)</f>
        <v>30LV</v>
      </c>
      <c r="C1798" s="45" t="s">
        <v>1635</v>
      </c>
      <c r="D1798" s="21" t="s">
        <v>1946</v>
      </c>
      <c r="E1798" s="21">
        <v>8</v>
      </c>
      <c r="F1798" s="27" t="str">
        <f>Tabela12[[#This Row],[Régua]]&amp;" ("&amp;Tabela12[[#This Row],[Born]]&amp;")"</f>
        <v>TB-31 (8)</v>
      </c>
      <c r="G1798" s="27">
        <f>LEN(Tabela12[[#This Row],[Anilha]])</f>
        <v>9</v>
      </c>
      <c r="H1798" s="21">
        <f>VLOOKUP(Tabela12[[#This Row],[Tag Cabo]],BD!A:F,6,0)</f>
        <v>1</v>
      </c>
      <c r="I1798" s="27" t="s">
        <v>1705</v>
      </c>
      <c r="J1798" s="27" t="s">
        <v>1706</v>
      </c>
    </row>
    <row r="1799" spans="1:10" x14ac:dyDescent="0.25">
      <c r="A1799" s="216" t="s">
        <v>621</v>
      </c>
      <c r="B1799" s="45" t="str">
        <f>VLOOKUP(Tabela12[[#This Row],[Painel]],Tabela13[],2,0)</f>
        <v>30LV</v>
      </c>
      <c r="C1799" s="45" t="s">
        <v>1635</v>
      </c>
      <c r="D1799" s="21" t="s">
        <v>1946</v>
      </c>
      <c r="E1799" s="21">
        <v>10</v>
      </c>
      <c r="F1799" s="27" t="str">
        <f>Tabela12[[#This Row],[Régua]]&amp;" ("&amp;Tabela12[[#This Row],[Born]]&amp;")"</f>
        <v>TB-31 (10)</v>
      </c>
      <c r="G1799" s="27">
        <f>LEN(Tabela12[[#This Row],[Anilha]])</f>
        <v>10</v>
      </c>
      <c r="H1799" s="21">
        <f>VLOOKUP(Tabela12[[#This Row],[Tag Cabo]],BD!A:F,6,0)</f>
        <v>1</v>
      </c>
      <c r="I1799" s="27" t="s">
        <v>1705</v>
      </c>
      <c r="J1799" s="27" t="s">
        <v>1706</v>
      </c>
    </row>
    <row r="1800" spans="1:10" x14ac:dyDescent="0.25">
      <c r="A1800" s="216" t="s">
        <v>621</v>
      </c>
      <c r="B1800" s="45" t="str">
        <f>VLOOKUP(Tabela12[[#This Row],[Painel]],Tabela13[],2,0)</f>
        <v>30LV</v>
      </c>
      <c r="C1800" s="45" t="s">
        <v>1635</v>
      </c>
      <c r="D1800" s="21" t="s">
        <v>1946</v>
      </c>
      <c r="E1800" s="21">
        <v>11</v>
      </c>
      <c r="F1800" s="27" t="str">
        <f>Tabela12[[#This Row],[Régua]]&amp;" ("&amp;Tabela12[[#This Row],[Born]]&amp;")"</f>
        <v>TB-31 (11)</v>
      </c>
      <c r="G1800" s="27">
        <f>LEN(Tabela12[[#This Row],[Anilha]])</f>
        <v>10</v>
      </c>
      <c r="H1800" s="21">
        <f>VLOOKUP(Tabela12[[#This Row],[Tag Cabo]],BD!A:F,6,0)</f>
        <v>1</v>
      </c>
      <c r="I1800" s="27" t="s">
        <v>1705</v>
      </c>
      <c r="J1800" s="27" t="s">
        <v>1706</v>
      </c>
    </row>
    <row r="1801" spans="1:10" x14ac:dyDescent="0.25">
      <c r="A1801" s="216" t="s">
        <v>361</v>
      </c>
      <c r="B1801" s="45" t="str">
        <f>VLOOKUP(Tabela12[[#This Row],[Painel]],Tabela13[],2,0)</f>
        <v>GB-1201</v>
      </c>
      <c r="C1801" s="45" t="s">
        <v>730</v>
      </c>
      <c r="D1801" s="21" t="s">
        <v>1947</v>
      </c>
      <c r="E1801" s="21">
        <v>1</v>
      </c>
      <c r="F1801" s="27" t="str">
        <f>Tabela12[[#This Row],[Régua]]&amp;" ("&amp;Tabela12[[#This Row],[Born]]&amp;")"</f>
        <v>TB5 (1)</v>
      </c>
      <c r="G1801" s="27">
        <f>LEN(Tabela12[[#This Row],[Anilha]])</f>
        <v>7</v>
      </c>
      <c r="H1801" s="21">
        <f>VLOOKUP(Tabela12[[#This Row],[Tag Cabo]],BD!A:F,6,0)</f>
        <v>1</v>
      </c>
      <c r="I1801" s="27" t="s">
        <v>1705</v>
      </c>
      <c r="J1801" s="27" t="s">
        <v>1706</v>
      </c>
    </row>
    <row r="1802" spans="1:10" x14ac:dyDescent="0.25">
      <c r="A1802" s="216" t="s">
        <v>361</v>
      </c>
      <c r="B1802" s="45" t="str">
        <f>VLOOKUP(Tabela12[[#This Row],[Painel]],Tabela13[],2,0)</f>
        <v>GB-1201</v>
      </c>
      <c r="C1802" s="45" t="s">
        <v>730</v>
      </c>
      <c r="D1802" s="21" t="s">
        <v>1947</v>
      </c>
      <c r="E1802" s="21">
        <v>2</v>
      </c>
      <c r="F1802" s="27" t="str">
        <f>Tabela12[[#This Row],[Régua]]&amp;" ("&amp;Tabela12[[#This Row],[Born]]&amp;")"</f>
        <v>TB5 (2)</v>
      </c>
      <c r="G1802" s="27">
        <f>LEN(Tabela12[[#This Row],[Anilha]])</f>
        <v>7</v>
      </c>
      <c r="H1802" s="21">
        <f>VLOOKUP(Tabela12[[#This Row],[Tag Cabo]],BD!A:F,6,0)</f>
        <v>1</v>
      </c>
      <c r="I1802" s="27" t="s">
        <v>1705</v>
      </c>
      <c r="J1802" s="27" t="s">
        <v>1706</v>
      </c>
    </row>
    <row r="1803" spans="1:10" x14ac:dyDescent="0.25">
      <c r="A1803" s="216" t="s">
        <v>361</v>
      </c>
      <c r="B1803" s="45" t="str">
        <f>VLOOKUP(Tabela12[[#This Row],[Painel]],Tabela13[],2,0)</f>
        <v>30LV</v>
      </c>
      <c r="C1803" s="45" t="s">
        <v>1635</v>
      </c>
      <c r="D1803" s="21" t="s">
        <v>1948</v>
      </c>
      <c r="E1803" s="21">
        <v>25</v>
      </c>
      <c r="F1803" s="27" t="str">
        <f>Tabela12[[#This Row],[Régua]]&amp;" ("&amp;Tabela12[[#This Row],[Born]]&amp;")"</f>
        <v>TB-04 (25)</v>
      </c>
      <c r="G1803" s="27">
        <f>LEN(Tabela12[[#This Row],[Anilha]])</f>
        <v>10</v>
      </c>
      <c r="H1803" s="21">
        <f>VLOOKUP(Tabela12[[#This Row],[Tag Cabo]],BD!A:F,6,0)</f>
        <v>1</v>
      </c>
      <c r="I1803" s="27" t="s">
        <v>1705</v>
      </c>
      <c r="J1803" s="27" t="s">
        <v>1706</v>
      </c>
    </row>
    <row r="1804" spans="1:10" x14ac:dyDescent="0.25">
      <c r="A1804" s="216" t="s">
        <v>361</v>
      </c>
      <c r="B1804" s="45" t="str">
        <f>VLOOKUP(Tabela12[[#This Row],[Painel]],Tabela13[],2,0)</f>
        <v>30LV</v>
      </c>
      <c r="C1804" s="45" t="s">
        <v>1635</v>
      </c>
      <c r="D1804" s="21" t="s">
        <v>1948</v>
      </c>
      <c r="E1804" s="21">
        <v>26</v>
      </c>
      <c r="F1804" s="27" t="str">
        <f>Tabela12[[#This Row],[Régua]]&amp;" ("&amp;Tabela12[[#This Row],[Born]]&amp;")"</f>
        <v>TB-04 (26)</v>
      </c>
      <c r="G1804" s="27">
        <f>LEN(Tabela12[[#This Row],[Anilha]])</f>
        <v>10</v>
      </c>
      <c r="H1804" s="21">
        <f>VLOOKUP(Tabela12[[#This Row],[Tag Cabo]],BD!A:F,6,0)</f>
        <v>1</v>
      </c>
      <c r="I1804" s="27" t="s">
        <v>1705</v>
      </c>
      <c r="J1804" s="27" t="s">
        <v>1706</v>
      </c>
    </row>
    <row r="1805" spans="1:10" x14ac:dyDescent="0.25">
      <c r="A1805" s="216" t="s">
        <v>361</v>
      </c>
      <c r="B1805" s="45" t="str">
        <f>VLOOKUP(Tabela12[[#This Row],[Painel]],Tabela13[],2,0)</f>
        <v>30LV</v>
      </c>
      <c r="C1805" s="45" t="s">
        <v>1635</v>
      </c>
      <c r="D1805" s="21" t="s">
        <v>1948</v>
      </c>
      <c r="E1805" s="21">
        <v>27</v>
      </c>
      <c r="F1805" s="27" t="str">
        <f>Tabela12[[#This Row],[Régua]]&amp;" ("&amp;Tabela12[[#This Row],[Born]]&amp;")"</f>
        <v>TB-04 (27)</v>
      </c>
      <c r="G1805" s="27">
        <f>LEN(Tabela12[[#This Row],[Anilha]])</f>
        <v>10</v>
      </c>
      <c r="H1805" s="21">
        <f>VLOOKUP(Tabela12[[#This Row],[Tag Cabo]],BD!A:F,6,0)</f>
        <v>1</v>
      </c>
      <c r="I1805" s="27" t="s">
        <v>1705</v>
      </c>
      <c r="J1805" s="27" t="s">
        <v>1706</v>
      </c>
    </row>
    <row r="1806" spans="1:10" x14ac:dyDescent="0.25">
      <c r="A1806" s="216" t="s">
        <v>365</v>
      </c>
      <c r="B1806" s="45" t="str">
        <f>VLOOKUP(Tabela12[[#This Row],[Painel]],Tabela13[],2,0)</f>
        <v>GB-1201</v>
      </c>
      <c r="C1806" s="45" t="s">
        <v>367</v>
      </c>
      <c r="D1806" s="21" t="s">
        <v>367</v>
      </c>
      <c r="E1806" s="21">
        <v>1</v>
      </c>
      <c r="F1806" s="27" t="str">
        <f>Tabela12[[#This Row],[Régua]]&amp;" ("&amp;Tabela12[[#This Row],[Born]]&amp;")"</f>
        <v>EJB-12505X (1)</v>
      </c>
      <c r="G1806" s="27">
        <f>LEN(Tabela12[[#This Row],[Anilha]])</f>
        <v>14</v>
      </c>
      <c r="H1806" s="21">
        <f>VLOOKUP(Tabela12[[#This Row],[Tag Cabo]],BD!A:F,6,0)</f>
        <v>1</v>
      </c>
      <c r="I1806" s="27" t="s">
        <v>1705</v>
      </c>
      <c r="J1806" s="27" t="s">
        <v>1706</v>
      </c>
    </row>
    <row r="1807" spans="1:10" x14ac:dyDescent="0.25">
      <c r="A1807" s="216" t="s">
        <v>365</v>
      </c>
      <c r="B1807" s="45" t="str">
        <f>VLOOKUP(Tabela12[[#This Row],[Painel]],Tabela13[],2,0)</f>
        <v>GB-1201</v>
      </c>
      <c r="C1807" s="45" t="s">
        <v>367</v>
      </c>
      <c r="D1807" s="21" t="s">
        <v>367</v>
      </c>
      <c r="E1807" s="21">
        <v>2</v>
      </c>
      <c r="F1807" s="27" t="str">
        <f>Tabela12[[#This Row],[Régua]]&amp;" ("&amp;Tabela12[[#This Row],[Born]]&amp;")"</f>
        <v>EJB-12505X (2)</v>
      </c>
      <c r="G1807" s="27">
        <f>LEN(Tabela12[[#This Row],[Anilha]])</f>
        <v>14</v>
      </c>
      <c r="H1807" s="21">
        <f>VLOOKUP(Tabela12[[#This Row],[Tag Cabo]],BD!A:F,6,0)</f>
        <v>1</v>
      </c>
      <c r="I1807" s="27" t="s">
        <v>1705</v>
      </c>
      <c r="J1807" s="27" t="s">
        <v>1706</v>
      </c>
    </row>
    <row r="1808" spans="1:10" x14ac:dyDescent="0.25">
      <c r="A1808" s="216" t="s">
        <v>365</v>
      </c>
      <c r="B1808" s="45" t="str">
        <f>VLOOKUP(Tabela12[[#This Row],[Painel]],Tabela13[],2,0)</f>
        <v>GB-1201</v>
      </c>
      <c r="C1808" s="45" t="s">
        <v>367</v>
      </c>
      <c r="D1808" s="21" t="s">
        <v>367</v>
      </c>
      <c r="E1808" s="21">
        <v>4</v>
      </c>
      <c r="F1808" s="27" t="str">
        <f>Tabela12[[#This Row],[Régua]]&amp;" ("&amp;Tabela12[[#This Row],[Born]]&amp;")"</f>
        <v>EJB-12505X (4)</v>
      </c>
      <c r="G1808" s="27">
        <f>LEN(Tabela12[[#This Row],[Anilha]])</f>
        <v>14</v>
      </c>
      <c r="H1808" s="21">
        <f>VLOOKUP(Tabela12[[#This Row],[Tag Cabo]],BD!A:F,6,0)</f>
        <v>1</v>
      </c>
      <c r="I1808" s="27" t="s">
        <v>1705</v>
      </c>
      <c r="J1808" s="27" t="s">
        <v>1706</v>
      </c>
    </row>
    <row r="1809" spans="1:10" x14ac:dyDescent="0.25">
      <c r="A1809" s="216" t="s">
        <v>365</v>
      </c>
      <c r="B1809" s="45" t="str">
        <f>VLOOKUP(Tabela12[[#This Row],[Painel]],Tabela13[],2,0)</f>
        <v>GB-1201</v>
      </c>
      <c r="C1809" s="45" t="s">
        <v>367</v>
      </c>
      <c r="D1809" s="21" t="s">
        <v>367</v>
      </c>
      <c r="E1809" s="21">
        <v>5</v>
      </c>
      <c r="F1809" s="27" t="str">
        <f>Tabela12[[#This Row],[Régua]]&amp;" ("&amp;Tabela12[[#This Row],[Born]]&amp;")"</f>
        <v>EJB-12505X (5)</v>
      </c>
      <c r="G1809" s="27">
        <f>LEN(Tabela12[[#This Row],[Anilha]])</f>
        <v>14</v>
      </c>
      <c r="H1809" s="21">
        <f>VLOOKUP(Tabela12[[#This Row],[Tag Cabo]],BD!A:F,6,0)</f>
        <v>1</v>
      </c>
      <c r="I1809" s="27" t="s">
        <v>1705</v>
      </c>
      <c r="J1809" s="27" t="s">
        <v>1706</v>
      </c>
    </row>
    <row r="1810" spans="1:10" x14ac:dyDescent="0.25">
      <c r="A1810" s="216" t="s">
        <v>365</v>
      </c>
      <c r="B1810" s="45" t="str">
        <f>VLOOKUP(Tabela12[[#This Row],[Painel]],Tabela13[],2,0)</f>
        <v>GB-1201</v>
      </c>
      <c r="C1810" s="45" t="s">
        <v>367</v>
      </c>
      <c r="D1810" s="21" t="s">
        <v>367</v>
      </c>
      <c r="E1810" s="21">
        <v>7</v>
      </c>
      <c r="F1810" s="27" t="str">
        <f>Tabela12[[#This Row],[Régua]]&amp;" ("&amp;Tabela12[[#This Row],[Born]]&amp;")"</f>
        <v>EJB-12505X (7)</v>
      </c>
      <c r="G1810" s="27">
        <f>LEN(Tabela12[[#This Row],[Anilha]])</f>
        <v>14</v>
      </c>
      <c r="H1810" s="21">
        <f>VLOOKUP(Tabela12[[#This Row],[Tag Cabo]],BD!A:F,6,0)</f>
        <v>1</v>
      </c>
      <c r="I1810" s="27" t="s">
        <v>1705</v>
      </c>
      <c r="J1810" s="27" t="s">
        <v>1706</v>
      </c>
    </row>
    <row r="1811" spans="1:10" x14ac:dyDescent="0.25">
      <c r="A1811" s="216" t="s">
        <v>365</v>
      </c>
      <c r="B1811" s="45" t="str">
        <f>VLOOKUP(Tabela12[[#This Row],[Painel]],Tabela13[],2,0)</f>
        <v>GB-1201</v>
      </c>
      <c r="C1811" s="45" t="s">
        <v>367</v>
      </c>
      <c r="D1811" s="21" t="s">
        <v>367</v>
      </c>
      <c r="E1811" s="21">
        <v>8</v>
      </c>
      <c r="F1811" s="27" t="str">
        <f>Tabela12[[#This Row],[Régua]]&amp;" ("&amp;Tabela12[[#This Row],[Born]]&amp;")"</f>
        <v>EJB-12505X (8)</v>
      </c>
      <c r="G1811" s="27">
        <f>LEN(Tabela12[[#This Row],[Anilha]])</f>
        <v>14</v>
      </c>
      <c r="H1811" s="21">
        <f>VLOOKUP(Tabela12[[#This Row],[Tag Cabo]],BD!A:F,6,0)</f>
        <v>1</v>
      </c>
      <c r="I1811" s="27" t="s">
        <v>1705</v>
      </c>
      <c r="J1811" s="27" t="s">
        <v>1706</v>
      </c>
    </row>
    <row r="1812" spans="1:10" x14ac:dyDescent="0.25">
      <c r="A1812" s="216" t="s">
        <v>365</v>
      </c>
      <c r="B1812" s="45" t="str">
        <f>VLOOKUP(Tabela12[[#This Row],[Painel]],Tabela13[],2,0)</f>
        <v>GB-1201</v>
      </c>
      <c r="C1812" s="45" t="s">
        <v>367</v>
      </c>
      <c r="D1812" s="21" t="s">
        <v>367</v>
      </c>
      <c r="E1812" s="21">
        <v>10</v>
      </c>
      <c r="F1812" s="27" t="str">
        <f>Tabela12[[#This Row],[Régua]]&amp;" ("&amp;Tabela12[[#This Row],[Born]]&amp;")"</f>
        <v>EJB-12505X (10)</v>
      </c>
      <c r="G1812" s="27">
        <f>LEN(Tabela12[[#This Row],[Anilha]])</f>
        <v>15</v>
      </c>
      <c r="H1812" s="21">
        <f>VLOOKUP(Tabela12[[#This Row],[Tag Cabo]],BD!A:F,6,0)</f>
        <v>1</v>
      </c>
      <c r="I1812" s="27" t="s">
        <v>1705</v>
      </c>
      <c r="J1812" s="27" t="s">
        <v>1706</v>
      </c>
    </row>
    <row r="1813" spans="1:10" x14ac:dyDescent="0.25">
      <c r="A1813" s="216" t="s">
        <v>365</v>
      </c>
      <c r="B1813" s="45" t="str">
        <f>VLOOKUP(Tabela12[[#This Row],[Painel]],Tabela13[],2,0)</f>
        <v>GB-1201</v>
      </c>
      <c r="C1813" s="45" t="s">
        <v>367</v>
      </c>
      <c r="D1813" s="21" t="s">
        <v>367</v>
      </c>
      <c r="E1813" s="21">
        <v>11</v>
      </c>
      <c r="F1813" s="27" t="str">
        <f>Tabela12[[#This Row],[Régua]]&amp;" ("&amp;Tabela12[[#This Row],[Born]]&amp;")"</f>
        <v>EJB-12505X (11)</v>
      </c>
      <c r="G1813" s="27">
        <f>LEN(Tabela12[[#This Row],[Anilha]])</f>
        <v>15</v>
      </c>
      <c r="H1813" s="21">
        <f>VLOOKUP(Tabela12[[#This Row],[Tag Cabo]],BD!A:F,6,0)</f>
        <v>1</v>
      </c>
      <c r="I1813" s="27" t="s">
        <v>1705</v>
      </c>
      <c r="J1813" s="27" t="s">
        <v>1706</v>
      </c>
    </row>
    <row r="1814" spans="1:10" x14ac:dyDescent="0.25">
      <c r="A1814" s="216" t="s">
        <v>365</v>
      </c>
      <c r="B1814" s="45" t="str">
        <f>VLOOKUP(Tabela12[[#This Row],[Painel]],Tabela13[],2,0)</f>
        <v>GB-1201</v>
      </c>
      <c r="C1814" s="45" t="s">
        <v>367</v>
      </c>
      <c r="D1814" s="21" t="s">
        <v>367</v>
      </c>
      <c r="E1814" s="21">
        <v>13</v>
      </c>
      <c r="F1814" s="27" t="str">
        <f>Tabela12[[#This Row],[Régua]]&amp;" ("&amp;Tabela12[[#This Row],[Born]]&amp;")"</f>
        <v>EJB-12505X (13)</v>
      </c>
      <c r="G1814" s="27">
        <f>LEN(Tabela12[[#This Row],[Anilha]])</f>
        <v>15</v>
      </c>
      <c r="H1814" s="21">
        <f>VLOOKUP(Tabela12[[#This Row],[Tag Cabo]],BD!A:F,6,0)</f>
        <v>1</v>
      </c>
      <c r="I1814" s="27" t="s">
        <v>1705</v>
      </c>
      <c r="J1814" s="27" t="s">
        <v>1706</v>
      </c>
    </row>
    <row r="1815" spans="1:10" x14ac:dyDescent="0.25">
      <c r="A1815" s="216" t="s">
        <v>365</v>
      </c>
      <c r="B1815" s="45" t="str">
        <f>VLOOKUP(Tabela12[[#This Row],[Painel]],Tabela13[],2,0)</f>
        <v>GB-1201</v>
      </c>
      <c r="C1815" s="45" t="s">
        <v>367</v>
      </c>
      <c r="D1815" s="21" t="s">
        <v>367</v>
      </c>
      <c r="E1815" s="21">
        <v>14</v>
      </c>
      <c r="F1815" s="27" t="str">
        <f>Tabela12[[#This Row],[Régua]]&amp;" ("&amp;Tabela12[[#This Row],[Born]]&amp;")"</f>
        <v>EJB-12505X (14)</v>
      </c>
      <c r="G1815" s="27">
        <f>LEN(Tabela12[[#This Row],[Anilha]])</f>
        <v>15</v>
      </c>
      <c r="H1815" s="21">
        <f>VLOOKUP(Tabela12[[#This Row],[Tag Cabo]],BD!A:F,6,0)</f>
        <v>1</v>
      </c>
      <c r="I1815" s="27" t="s">
        <v>1705</v>
      </c>
      <c r="J1815" s="27" t="s">
        <v>1706</v>
      </c>
    </row>
    <row r="1816" spans="1:10" x14ac:dyDescent="0.25">
      <c r="A1816" s="216" t="s">
        <v>365</v>
      </c>
      <c r="B1816" s="45" t="str">
        <f>VLOOKUP(Tabela12[[#This Row],[Painel]],Tabela13[],2,0)</f>
        <v>GB-1201</v>
      </c>
      <c r="C1816" s="45" t="s">
        <v>367</v>
      </c>
      <c r="D1816" s="21" t="s">
        <v>367</v>
      </c>
      <c r="E1816" s="21">
        <v>16</v>
      </c>
      <c r="F1816" s="27" t="str">
        <f>Tabela12[[#This Row],[Régua]]&amp;" ("&amp;Tabela12[[#This Row],[Born]]&amp;")"</f>
        <v>EJB-12505X (16)</v>
      </c>
      <c r="G1816" s="27">
        <f>LEN(Tabela12[[#This Row],[Anilha]])</f>
        <v>15</v>
      </c>
      <c r="H1816" s="21">
        <f>VLOOKUP(Tabela12[[#This Row],[Tag Cabo]],BD!A:F,6,0)</f>
        <v>1</v>
      </c>
      <c r="I1816" s="27" t="s">
        <v>1705</v>
      </c>
      <c r="J1816" s="27" t="s">
        <v>1706</v>
      </c>
    </row>
    <row r="1817" spans="1:10" x14ac:dyDescent="0.25">
      <c r="A1817" s="216" t="s">
        <v>365</v>
      </c>
      <c r="B1817" s="45" t="str">
        <f>VLOOKUP(Tabela12[[#This Row],[Painel]],Tabela13[],2,0)</f>
        <v>GB-1201</v>
      </c>
      <c r="C1817" s="45" t="s">
        <v>367</v>
      </c>
      <c r="D1817" s="21" t="s">
        <v>367</v>
      </c>
      <c r="E1817" s="21">
        <v>17</v>
      </c>
      <c r="F1817" s="27" t="str">
        <f>Tabela12[[#This Row],[Régua]]&amp;" ("&amp;Tabela12[[#This Row],[Born]]&amp;")"</f>
        <v>EJB-12505X (17)</v>
      </c>
      <c r="G1817" s="27">
        <f>LEN(Tabela12[[#This Row],[Anilha]])</f>
        <v>15</v>
      </c>
      <c r="H1817" s="21">
        <f>VLOOKUP(Tabela12[[#This Row],[Tag Cabo]],BD!A:F,6,0)</f>
        <v>1</v>
      </c>
      <c r="I1817" s="27" t="s">
        <v>1705</v>
      </c>
      <c r="J1817" s="27" t="s">
        <v>1706</v>
      </c>
    </row>
    <row r="1818" spans="1:10" x14ac:dyDescent="0.25">
      <c r="A1818" s="216" t="s">
        <v>365</v>
      </c>
      <c r="B1818" s="45" t="str">
        <f>VLOOKUP(Tabela12[[#This Row],[Painel]],Tabela13[],2,0)</f>
        <v>30LV</v>
      </c>
      <c r="C1818" s="45" t="s">
        <v>1635</v>
      </c>
      <c r="D1818" s="21" t="s">
        <v>1949</v>
      </c>
      <c r="E1818" s="21">
        <v>1</v>
      </c>
      <c r="F1818" s="27" t="str">
        <f>Tabela12[[#This Row],[Régua]]&amp;" ("&amp;Tabela12[[#This Row],[Born]]&amp;")"</f>
        <v>TB-09 (1)</v>
      </c>
      <c r="G1818" s="27">
        <f>LEN(Tabela12[[#This Row],[Anilha]])</f>
        <v>9</v>
      </c>
      <c r="H1818" s="21">
        <f>VLOOKUP(Tabela12[[#This Row],[Tag Cabo]],BD!A:F,6,0)</f>
        <v>1</v>
      </c>
      <c r="I1818" s="27" t="s">
        <v>1705</v>
      </c>
      <c r="J1818" s="27" t="s">
        <v>1706</v>
      </c>
    </row>
    <row r="1819" spans="1:10" x14ac:dyDescent="0.25">
      <c r="A1819" s="216" t="s">
        <v>365</v>
      </c>
      <c r="B1819" s="45" t="str">
        <f>VLOOKUP(Tabela12[[#This Row],[Painel]],Tabela13[],2,0)</f>
        <v>30LV</v>
      </c>
      <c r="C1819" s="45" t="s">
        <v>1635</v>
      </c>
      <c r="D1819" s="21" t="s">
        <v>1949</v>
      </c>
      <c r="E1819" s="21">
        <v>2</v>
      </c>
      <c r="F1819" s="27" t="str">
        <f>Tabela12[[#This Row],[Régua]]&amp;" ("&amp;Tabela12[[#This Row],[Born]]&amp;")"</f>
        <v>TB-09 (2)</v>
      </c>
      <c r="G1819" s="27">
        <f>LEN(Tabela12[[#This Row],[Anilha]])</f>
        <v>9</v>
      </c>
      <c r="H1819" s="21">
        <f>VLOOKUP(Tabela12[[#This Row],[Tag Cabo]],BD!A:F,6,0)</f>
        <v>1</v>
      </c>
      <c r="I1819" s="27" t="s">
        <v>1705</v>
      </c>
      <c r="J1819" s="27" t="s">
        <v>1706</v>
      </c>
    </row>
    <row r="1820" spans="1:10" x14ac:dyDescent="0.25">
      <c r="A1820" s="216" t="s">
        <v>365</v>
      </c>
      <c r="B1820" s="45" t="str">
        <f>VLOOKUP(Tabela12[[#This Row],[Painel]],Tabela13[],2,0)</f>
        <v>30LV</v>
      </c>
      <c r="C1820" s="45" t="s">
        <v>1635</v>
      </c>
      <c r="D1820" s="21" t="s">
        <v>1949</v>
      </c>
      <c r="E1820" s="21">
        <v>4</v>
      </c>
      <c r="F1820" s="27" t="str">
        <f>Tabela12[[#This Row],[Régua]]&amp;" ("&amp;Tabela12[[#This Row],[Born]]&amp;")"</f>
        <v>TB-09 (4)</v>
      </c>
      <c r="G1820" s="27">
        <f>LEN(Tabela12[[#This Row],[Anilha]])</f>
        <v>9</v>
      </c>
      <c r="H1820" s="21">
        <f>VLOOKUP(Tabela12[[#This Row],[Tag Cabo]],BD!A:F,6,0)</f>
        <v>1</v>
      </c>
      <c r="I1820" s="27" t="s">
        <v>1705</v>
      </c>
      <c r="J1820" s="27" t="s">
        <v>1706</v>
      </c>
    </row>
    <row r="1821" spans="1:10" x14ac:dyDescent="0.25">
      <c r="A1821" s="216" t="s">
        <v>365</v>
      </c>
      <c r="B1821" s="45" t="str">
        <f>VLOOKUP(Tabela12[[#This Row],[Painel]],Tabela13[],2,0)</f>
        <v>30LV</v>
      </c>
      <c r="C1821" s="45" t="s">
        <v>1635</v>
      </c>
      <c r="D1821" s="21" t="s">
        <v>1949</v>
      </c>
      <c r="E1821" s="21">
        <v>5</v>
      </c>
      <c r="F1821" s="27" t="str">
        <f>Tabela12[[#This Row],[Régua]]&amp;" ("&amp;Tabela12[[#This Row],[Born]]&amp;")"</f>
        <v>TB-09 (5)</v>
      </c>
      <c r="G1821" s="27">
        <f>LEN(Tabela12[[#This Row],[Anilha]])</f>
        <v>9</v>
      </c>
      <c r="H1821" s="21">
        <f>VLOOKUP(Tabela12[[#This Row],[Tag Cabo]],BD!A:F,6,0)</f>
        <v>1</v>
      </c>
      <c r="I1821" s="27" t="s">
        <v>1705</v>
      </c>
      <c r="J1821" s="27" t="s">
        <v>1706</v>
      </c>
    </row>
    <row r="1822" spans="1:10" x14ac:dyDescent="0.25">
      <c r="A1822" s="216" t="s">
        <v>365</v>
      </c>
      <c r="B1822" s="45" t="str">
        <f>VLOOKUP(Tabela12[[#This Row],[Painel]],Tabela13[],2,0)</f>
        <v>30LV</v>
      </c>
      <c r="C1822" s="45" t="s">
        <v>1635</v>
      </c>
      <c r="D1822" s="21" t="s">
        <v>1949</v>
      </c>
      <c r="E1822" s="21">
        <v>7</v>
      </c>
      <c r="F1822" s="27" t="str">
        <f>Tabela12[[#This Row],[Régua]]&amp;" ("&amp;Tabela12[[#This Row],[Born]]&amp;")"</f>
        <v>TB-09 (7)</v>
      </c>
      <c r="G1822" s="27">
        <f>LEN(Tabela12[[#This Row],[Anilha]])</f>
        <v>9</v>
      </c>
      <c r="H1822" s="21">
        <f>VLOOKUP(Tabela12[[#This Row],[Tag Cabo]],BD!A:F,6,0)</f>
        <v>1</v>
      </c>
      <c r="I1822" s="27" t="s">
        <v>1705</v>
      </c>
      <c r="J1822" s="27" t="s">
        <v>1706</v>
      </c>
    </row>
    <row r="1823" spans="1:10" x14ac:dyDescent="0.25">
      <c r="A1823" s="216" t="s">
        <v>365</v>
      </c>
      <c r="B1823" s="45" t="str">
        <f>VLOOKUP(Tabela12[[#This Row],[Painel]],Tabela13[],2,0)</f>
        <v>30LV</v>
      </c>
      <c r="C1823" s="45" t="s">
        <v>1635</v>
      </c>
      <c r="D1823" s="21" t="s">
        <v>1949</v>
      </c>
      <c r="E1823" s="21">
        <v>8</v>
      </c>
      <c r="F1823" s="27" t="str">
        <f>Tabela12[[#This Row],[Régua]]&amp;" ("&amp;Tabela12[[#This Row],[Born]]&amp;")"</f>
        <v>TB-09 (8)</v>
      </c>
      <c r="G1823" s="27">
        <f>LEN(Tabela12[[#This Row],[Anilha]])</f>
        <v>9</v>
      </c>
      <c r="H1823" s="21">
        <f>VLOOKUP(Tabela12[[#This Row],[Tag Cabo]],BD!A:F,6,0)</f>
        <v>1</v>
      </c>
      <c r="I1823" s="27" t="s">
        <v>1705</v>
      </c>
      <c r="J1823" s="27" t="s">
        <v>1706</v>
      </c>
    </row>
    <row r="1824" spans="1:10" x14ac:dyDescent="0.25">
      <c r="A1824" s="216" t="s">
        <v>365</v>
      </c>
      <c r="B1824" s="45" t="str">
        <f>VLOOKUP(Tabela12[[#This Row],[Painel]],Tabela13[],2,0)</f>
        <v>30LV</v>
      </c>
      <c r="C1824" s="45" t="s">
        <v>1635</v>
      </c>
      <c r="D1824" s="21" t="s">
        <v>1949</v>
      </c>
      <c r="E1824" s="21">
        <v>10</v>
      </c>
      <c r="F1824" s="27" t="str">
        <f>Tabela12[[#This Row],[Régua]]&amp;" ("&amp;Tabela12[[#This Row],[Born]]&amp;")"</f>
        <v>TB-09 (10)</v>
      </c>
      <c r="G1824" s="27">
        <f>LEN(Tabela12[[#This Row],[Anilha]])</f>
        <v>10</v>
      </c>
      <c r="H1824" s="21">
        <f>VLOOKUP(Tabela12[[#This Row],[Tag Cabo]],BD!A:F,6,0)</f>
        <v>1</v>
      </c>
      <c r="I1824" s="27" t="s">
        <v>1705</v>
      </c>
      <c r="J1824" s="27" t="s">
        <v>1706</v>
      </c>
    </row>
    <row r="1825" spans="1:10" x14ac:dyDescent="0.25">
      <c r="A1825" s="216" t="s">
        <v>365</v>
      </c>
      <c r="B1825" s="45" t="str">
        <f>VLOOKUP(Tabela12[[#This Row],[Painel]],Tabela13[],2,0)</f>
        <v>30LV</v>
      </c>
      <c r="C1825" s="45" t="s">
        <v>1635</v>
      </c>
      <c r="D1825" s="21" t="s">
        <v>1949</v>
      </c>
      <c r="E1825" s="21">
        <v>11</v>
      </c>
      <c r="F1825" s="27" t="str">
        <f>Tabela12[[#This Row],[Régua]]&amp;" ("&amp;Tabela12[[#This Row],[Born]]&amp;")"</f>
        <v>TB-09 (11)</v>
      </c>
      <c r="G1825" s="27">
        <f>LEN(Tabela12[[#This Row],[Anilha]])</f>
        <v>10</v>
      </c>
      <c r="H1825" s="21">
        <f>VLOOKUP(Tabela12[[#This Row],[Tag Cabo]],BD!A:F,6,0)</f>
        <v>1</v>
      </c>
      <c r="I1825" s="27" t="s">
        <v>1705</v>
      </c>
      <c r="J1825" s="27" t="s">
        <v>1706</v>
      </c>
    </row>
    <row r="1826" spans="1:10" x14ac:dyDescent="0.25">
      <c r="A1826" s="216" t="s">
        <v>365</v>
      </c>
      <c r="B1826" s="45" t="str">
        <f>VLOOKUP(Tabela12[[#This Row],[Painel]],Tabela13[],2,0)</f>
        <v>30LV</v>
      </c>
      <c r="C1826" s="45" t="s">
        <v>1635</v>
      </c>
      <c r="D1826" s="21" t="s">
        <v>1949</v>
      </c>
      <c r="E1826" s="21">
        <v>13</v>
      </c>
      <c r="F1826" s="27" t="str">
        <f>Tabela12[[#This Row],[Régua]]&amp;" ("&amp;Tabela12[[#This Row],[Born]]&amp;")"</f>
        <v>TB-09 (13)</v>
      </c>
      <c r="G1826" s="27">
        <f>LEN(Tabela12[[#This Row],[Anilha]])</f>
        <v>10</v>
      </c>
      <c r="H1826" s="21">
        <f>VLOOKUP(Tabela12[[#This Row],[Tag Cabo]],BD!A:F,6,0)</f>
        <v>1</v>
      </c>
      <c r="I1826" s="27" t="s">
        <v>1705</v>
      </c>
      <c r="J1826" s="27" t="s">
        <v>1706</v>
      </c>
    </row>
    <row r="1827" spans="1:10" x14ac:dyDescent="0.25">
      <c r="A1827" s="216" t="s">
        <v>365</v>
      </c>
      <c r="B1827" s="45" t="str">
        <f>VLOOKUP(Tabela12[[#This Row],[Painel]],Tabela13[],2,0)</f>
        <v>30LV</v>
      </c>
      <c r="C1827" s="45" t="s">
        <v>1635</v>
      </c>
      <c r="D1827" s="21" t="s">
        <v>1949</v>
      </c>
      <c r="E1827" s="21">
        <v>14</v>
      </c>
      <c r="F1827" s="27" t="str">
        <f>Tabela12[[#This Row],[Régua]]&amp;" ("&amp;Tabela12[[#This Row],[Born]]&amp;")"</f>
        <v>TB-09 (14)</v>
      </c>
      <c r="G1827" s="27">
        <f>LEN(Tabela12[[#This Row],[Anilha]])</f>
        <v>10</v>
      </c>
      <c r="H1827" s="21">
        <f>VLOOKUP(Tabela12[[#This Row],[Tag Cabo]],BD!A:F,6,0)</f>
        <v>1</v>
      </c>
      <c r="I1827" s="27" t="s">
        <v>1705</v>
      </c>
      <c r="J1827" s="27" t="s">
        <v>1706</v>
      </c>
    </row>
    <row r="1828" spans="1:10" x14ac:dyDescent="0.25">
      <c r="A1828" s="216" t="s">
        <v>365</v>
      </c>
      <c r="B1828" s="45" t="str">
        <f>VLOOKUP(Tabela12[[#This Row],[Painel]],Tabela13[],2,0)</f>
        <v>30LV</v>
      </c>
      <c r="C1828" s="45" t="s">
        <v>1635</v>
      </c>
      <c r="D1828" s="21" t="s">
        <v>1949</v>
      </c>
      <c r="E1828" s="21">
        <v>16</v>
      </c>
      <c r="F1828" s="27" t="str">
        <f>Tabela12[[#This Row],[Régua]]&amp;" ("&amp;Tabela12[[#This Row],[Born]]&amp;")"</f>
        <v>TB-09 (16)</v>
      </c>
      <c r="G1828" s="27">
        <f>LEN(Tabela12[[#This Row],[Anilha]])</f>
        <v>10</v>
      </c>
      <c r="H1828" s="21">
        <f>VLOOKUP(Tabela12[[#This Row],[Tag Cabo]],BD!A:F,6,0)</f>
        <v>1</v>
      </c>
      <c r="I1828" s="27" t="s">
        <v>1705</v>
      </c>
      <c r="J1828" s="27" t="s">
        <v>1706</v>
      </c>
    </row>
    <row r="1829" spans="1:10" x14ac:dyDescent="0.25">
      <c r="A1829" s="216" t="s">
        <v>365</v>
      </c>
      <c r="B1829" s="45" t="str">
        <f>VLOOKUP(Tabela12[[#This Row],[Painel]],Tabela13[],2,0)</f>
        <v>30LV</v>
      </c>
      <c r="C1829" s="45" t="s">
        <v>1635</v>
      </c>
      <c r="D1829" s="21" t="s">
        <v>1949</v>
      </c>
      <c r="E1829" s="21">
        <v>17</v>
      </c>
      <c r="F1829" s="27" t="str">
        <f>Tabela12[[#This Row],[Régua]]&amp;" ("&amp;Tabela12[[#This Row],[Born]]&amp;")"</f>
        <v>TB-09 (17)</v>
      </c>
      <c r="G1829" s="27">
        <f>LEN(Tabela12[[#This Row],[Anilha]])</f>
        <v>10</v>
      </c>
      <c r="H1829" s="21">
        <f>VLOOKUP(Tabela12[[#This Row],[Tag Cabo]],BD!A:F,6,0)</f>
        <v>1</v>
      </c>
      <c r="I1829" s="27" t="s">
        <v>1705</v>
      </c>
      <c r="J1829" s="27" t="s">
        <v>1706</v>
      </c>
    </row>
    <row r="1830" spans="1:10" x14ac:dyDescent="0.25">
      <c r="A1830" s="216" t="s">
        <v>622</v>
      </c>
      <c r="B1830" s="45" t="str">
        <f>VLOOKUP(Tabela12[[#This Row],[Painel]],Tabela13[],2,0)</f>
        <v>7HV</v>
      </c>
      <c r="C1830" s="45" t="s">
        <v>1644</v>
      </c>
      <c r="D1830" s="21" t="s">
        <v>1950</v>
      </c>
      <c r="E1830" s="21" t="s">
        <v>1951</v>
      </c>
      <c r="F1830" s="27" t="str">
        <f>Tabela12[[#This Row],[Régua]]&amp;" ("&amp;Tabela12[[#This Row],[Born]]&amp;")"</f>
        <v>XB12 (2H)</v>
      </c>
      <c r="G1830" s="27">
        <f>LEN(Tabela12[[#This Row],[Anilha]])</f>
        <v>9</v>
      </c>
      <c r="H1830" s="21">
        <f>VLOOKUP(Tabela12[[#This Row],[Tag Cabo]],BD!A:F,6,0)</f>
        <v>1</v>
      </c>
      <c r="I1830" s="27" t="s">
        <v>1705</v>
      </c>
      <c r="J1830" s="27" t="s">
        <v>1706</v>
      </c>
    </row>
    <row r="1831" spans="1:10" x14ac:dyDescent="0.25">
      <c r="A1831" s="216" t="s">
        <v>622</v>
      </c>
      <c r="B1831" s="45" t="str">
        <f>VLOOKUP(Tabela12[[#This Row],[Painel]],Tabela13[],2,0)</f>
        <v>7HV</v>
      </c>
      <c r="C1831" s="45" t="s">
        <v>1644</v>
      </c>
      <c r="D1831" s="21" t="s">
        <v>1950</v>
      </c>
      <c r="E1831" s="21" t="s">
        <v>1952</v>
      </c>
      <c r="F1831" s="27" t="str">
        <f>Tabela12[[#This Row],[Régua]]&amp;" ("&amp;Tabela12[[#This Row],[Born]]&amp;")"</f>
        <v>XB12 (2M)</v>
      </c>
      <c r="G1831" s="27">
        <f>LEN(Tabela12[[#This Row],[Anilha]])</f>
        <v>9</v>
      </c>
      <c r="H1831" s="21">
        <f>VLOOKUP(Tabela12[[#This Row],[Tag Cabo]],BD!A:F,6,0)</f>
        <v>1</v>
      </c>
      <c r="I1831" s="27" t="s">
        <v>1705</v>
      </c>
      <c r="J1831" s="27" t="s">
        <v>1706</v>
      </c>
    </row>
    <row r="1832" spans="1:10" x14ac:dyDescent="0.25">
      <c r="A1832" s="216" t="s">
        <v>622</v>
      </c>
      <c r="B1832" s="45" t="str">
        <f>VLOOKUP(Tabela12[[#This Row],[Painel]],Tabela13[],2,0)</f>
        <v>30LV</v>
      </c>
      <c r="C1832" s="45" t="s">
        <v>1635</v>
      </c>
      <c r="D1832" s="21" t="s">
        <v>1953</v>
      </c>
      <c r="E1832" s="21">
        <v>19</v>
      </c>
      <c r="F1832" s="27" t="str">
        <f>Tabela12[[#This Row],[Régua]]&amp;" ("&amp;Tabela12[[#This Row],[Born]]&amp;")"</f>
        <v>TB-08 (19)</v>
      </c>
      <c r="G1832" s="27">
        <f>LEN(Tabela12[[#This Row],[Anilha]])</f>
        <v>10</v>
      </c>
      <c r="H1832" s="21">
        <f>VLOOKUP(Tabela12[[#This Row],[Tag Cabo]],BD!A:F,6,0)</f>
        <v>1</v>
      </c>
      <c r="I1832" s="27" t="s">
        <v>1705</v>
      </c>
      <c r="J1832" s="27" t="s">
        <v>1706</v>
      </c>
    </row>
    <row r="1833" spans="1:10" x14ac:dyDescent="0.25">
      <c r="A1833" s="216" t="s">
        <v>622</v>
      </c>
      <c r="B1833" s="45" t="str">
        <f>VLOOKUP(Tabela12[[#This Row],[Painel]],Tabela13[],2,0)</f>
        <v>30LV</v>
      </c>
      <c r="C1833" s="45" t="s">
        <v>1635</v>
      </c>
      <c r="D1833" s="21" t="s">
        <v>1953</v>
      </c>
      <c r="E1833" s="21">
        <v>20</v>
      </c>
      <c r="F1833" s="27" t="str">
        <f>Tabela12[[#This Row],[Régua]]&amp;" ("&amp;Tabela12[[#This Row],[Born]]&amp;")"</f>
        <v>TB-08 (20)</v>
      </c>
      <c r="G1833" s="27">
        <f>LEN(Tabela12[[#This Row],[Anilha]])</f>
        <v>10</v>
      </c>
      <c r="H1833" s="21">
        <f>VLOOKUP(Tabela12[[#This Row],[Tag Cabo]],BD!A:F,6,0)</f>
        <v>1</v>
      </c>
      <c r="I1833" s="27" t="s">
        <v>1705</v>
      </c>
      <c r="J1833" s="27" t="s">
        <v>1706</v>
      </c>
    </row>
    <row r="1834" spans="1:10" x14ac:dyDescent="0.25">
      <c r="A1834" s="216" t="s">
        <v>624</v>
      </c>
      <c r="B1834" s="45" t="str">
        <f>VLOOKUP(Tabela12[[#This Row],[Painel]],Tabela13[],2,0)</f>
        <v>7HV</v>
      </c>
      <c r="C1834" s="45" t="s">
        <v>1588</v>
      </c>
      <c r="D1834" s="21" t="s">
        <v>1717</v>
      </c>
      <c r="E1834" s="21">
        <v>110</v>
      </c>
      <c r="F1834" s="27" t="str">
        <f>Tabela12[[#This Row],[Régua]]&amp;" ("&amp;Tabela12[[#This Row],[Born]]&amp;")"</f>
        <v>XE (110)</v>
      </c>
      <c r="G1834" s="27">
        <f>LEN(Tabela12[[#This Row],[Anilha]])</f>
        <v>8</v>
      </c>
      <c r="H1834" s="21">
        <f>VLOOKUP(Tabela12[[#This Row],[Tag Cabo]],BD!A:F,6,0)</f>
        <v>1</v>
      </c>
      <c r="I1834" s="27" t="s">
        <v>1705</v>
      </c>
      <c r="J1834" s="27" t="s">
        <v>1706</v>
      </c>
    </row>
    <row r="1835" spans="1:10" x14ac:dyDescent="0.25">
      <c r="A1835" s="216" t="s">
        <v>624</v>
      </c>
      <c r="B1835" s="45" t="str">
        <f>VLOOKUP(Tabela12[[#This Row],[Painel]],Tabela13[],2,0)</f>
        <v>7HV</v>
      </c>
      <c r="C1835" s="45" t="s">
        <v>1588</v>
      </c>
      <c r="D1835" s="21" t="s">
        <v>1717</v>
      </c>
      <c r="E1835" s="21">
        <v>111</v>
      </c>
      <c r="F1835" s="27" t="str">
        <f>Tabela12[[#This Row],[Régua]]&amp;" ("&amp;Tabela12[[#This Row],[Born]]&amp;")"</f>
        <v>XE (111)</v>
      </c>
      <c r="G1835" s="27">
        <f>LEN(Tabela12[[#This Row],[Anilha]])</f>
        <v>8</v>
      </c>
      <c r="H1835" s="21">
        <f>VLOOKUP(Tabela12[[#This Row],[Tag Cabo]],BD!A:F,6,0)</f>
        <v>1</v>
      </c>
      <c r="I1835" s="27" t="s">
        <v>1705</v>
      </c>
      <c r="J1835" s="27" t="s">
        <v>1706</v>
      </c>
    </row>
    <row r="1836" spans="1:10" x14ac:dyDescent="0.25">
      <c r="A1836" s="216" t="s">
        <v>624</v>
      </c>
      <c r="B1836" s="45" t="str">
        <f>VLOOKUP(Tabela12[[#This Row],[Painel]],Tabela13[],2,0)</f>
        <v>7HV</v>
      </c>
      <c r="C1836" s="45" t="s">
        <v>1588</v>
      </c>
      <c r="D1836" s="21" t="s">
        <v>1717</v>
      </c>
      <c r="E1836" s="21">
        <v>114</v>
      </c>
      <c r="F1836" s="27" t="str">
        <f>Tabela12[[#This Row],[Régua]]&amp;" ("&amp;Tabela12[[#This Row],[Born]]&amp;")"</f>
        <v>XE (114)</v>
      </c>
      <c r="G1836" s="27">
        <f>LEN(Tabela12[[#This Row],[Anilha]])</f>
        <v>8</v>
      </c>
      <c r="H1836" s="21">
        <f>VLOOKUP(Tabela12[[#This Row],[Tag Cabo]],BD!A:F,6,0)</f>
        <v>1</v>
      </c>
      <c r="I1836" s="27" t="s">
        <v>1705</v>
      </c>
      <c r="J1836" s="27" t="s">
        <v>1706</v>
      </c>
    </row>
    <row r="1837" spans="1:10" x14ac:dyDescent="0.25">
      <c r="A1837" s="216" t="s">
        <v>624</v>
      </c>
      <c r="B1837" s="45" t="str">
        <f>VLOOKUP(Tabela12[[#This Row],[Painel]],Tabela13[],2,0)</f>
        <v>7HV</v>
      </c>
      <c r="C1837" s="45" t="s">
        <v>1588</v>
      </c>
      <c r="D1837" s="21" t="s">
        <v>1717</v>
      </c>
      <c r="E1837" s="21">
        <v>115</v>
      </c>
      <c r="F1837" s="27" t="str">
        <f>Tabela12[[#This Row],[Régua]]&amp;" ("&amp;Tabela12[[#This Row],[Born]]&amp;")"</f>
        <v>XE (115)</v>
      </c>
      <c r="G1837" s="27">
        <f>LEN(Tabela12[[#This Row],[Anilha]])</f>
        <v>8</v>
      </c>
      <c r="H1837" s="21">
        <f>VLOOKUP(Tabela12[[#This Row],[Tag Cabo]],BD!A:F,6,0)</f>
        <v>1</v>
      </c>
      <c r="I1837" s="27" t="s">
        <v>1705</v>
      </c>
      <c r="J1837" s="27" t="s">
        <v>1706</v>
      </c>
    </row>
    <row r="1838" spans="1:10" x14ac:dyDescent="0.25">
      <c r="A1838" s="216" t="s">
        <v>624</v>
      </c>
      <c r="B1838" s="45" t="str">
        <f>VLOOKUP(Tabela12[[#This Row],[Painel]],Tabela13[],2,0)</f>
        <v>30LV</v>
      </c>
      <c r="C1838" s="45" t="s">
        <v>1635</v>
      </c>
      <c r="D1838" s="21" t="s">
        <v>1937</v>
      </c>
      <c r="E1838" s="21">
        <v>22</v>
      </c>
      <c r="F1838" s="27" t="str">
        <f>Tabela12[[#This Row],[Régua]]&amp;" ("&amp;Tabela12[[#This Row],[Born]]&amp;")"</f>
        <v>TB-8 (22)</v>
      </c>
      <c r="G1838" s="27">
        <f>LEN(Tabela12[[#This Row],[Anilha]])</f>
        <v>9</v>
      </c>
      <c r="H1838" s="21">
        <f>VLOOKUP(Tabela12[[#This Row],[Tag Cabo]],BD!A:F,6,0)</f>
        <v>1</v>
      </c>
      <c r="I1838" s="27" t="s">
        <v>1705</v>
      </c>
      <c r="J1838" s="27" t="s">
        <v>1706</v>
      </c>
    </row>
    <row r="1839" spans="1:10" x14ac:dyDescent="0.25">
      <c r="A1839" s="216" t="s">
        <v>624</v>
      </c>
      <c r="B1839" s="45" t="str">
        <f>VLOOKUP(Tabela12[[#This Row],[Painel]],Tabela13[],2,0)</f>
        <v>30LV</v>
      </c>
      <c r="C1839" s="45" t="s">
        <v>1635</v>
      </c>
      <c r="D1839" s="21" t="s">
        <v>1937</v>
      </c>
      <c r="E1839" s="21">
        <v>23</v>
      </c>
      <c r="F1839" s="27" t="str">
        <f>Tabela12[[#This Row],[Régua]]&amp;" ("&amp;Tabela12[[#This Row],[Born]]&amp;")"</f>
        <v>TB-8 (23)</v>
      </c>
      <c r="G1839" s="27">
        <f>LEN(Tabela12[[#This Row],[Anilha]])</f>
        <v>9</v>
      </c>
      <c r="H1839" s="21">
        <f>VLOOKUP(Tabela12[[#This Row],[Tag Cabo]],BD!A:F,6,0)</f>
        <v>1</v>
      </c>
      <c r="I1839" s="27" t="s">
        <v>1705</v>
      </c>
      <c r="J1839" s="27" t="s">
        <v>1706</v>
      </c>
    </row>
    <row r="1840" spans="1:10" x14ac:dyDescent="0.25">
      <c r="A1840" s="216" t="s">
        <v>624</v>
      </c>
      <c r="B1840" s="45" t="str">
        <f>VLOOKUP(Tabela12[[#This Row],[Painel]],Tabela13[],2,0)</f>
        <v>30LV</v>
      </c>
      <c r="C1840" s="45" t="s">
        <v>1635</v>
      </c>
      <c r="D1840" s="21" t="s">
        <v>1937</v>
      </c>
      <c r="E1840" s="21">
        <v>25</v>
      </c>
      <c r="F1840" s="27" t="str">
        <f>Tabela12[[#This Row],[Régua]]&amp;" ("&amp;Tabela12[[#This Row],[Born]]&amp;")"</f>
        <v>TB-8 (25)</v>
      </c>
      <c r="G1840" s="27">
        <f>LEN(Tabela12[[#This Row],[Anilha]])</f>
        <v>9</v>
      </c>
      <c r="H1840" s="21">
        <f>VLOOKUP(Tabela12[[#This Row],[Tag Cabo]],BD!A:F,6,0)</f>
        <v>1</v>
      </c>
      <c r="I1840" s="27" t="s">
        <v>1705</v>
      </c>
      <c r="J1840" s="27" t="s">
        <v>1706</v>
      </c>
    </row>
    <row r="1841" spans="1:10" x14ac:dyDescent="0.25">
      <c r="A1841" s="216" t="s">
        <v>624</v>
      </c>
      <c r="B1841" s="45" t="str">
        <f>VLOOKUP(Tabela12[[#This Row],[Painel]],Tabela13[],2,0)</f>
        <v>30LV</v>
      </c>
      <c r="C1841" s="45" t="s">
        <v>1635</v>
      </c>
      <c r="D1841" s="21" t="s">
        <v>1937</v>
      </c>
      <c r="E1841" s="21">
        <v>26</v>
      </c>
      <c r="F1841" s="27" t="str">
        <f>Tabela12[[#This Row],[Régua]]&amp;" ("&amp;Tabela12[[#This Row],[Born]]&amp;")"</f>
        <v>TB-8 (26)</v>
      </c>
      <c r="G1841" s="27">
        <f>LEN(Tabela12[[#This Row],[Anilha]])</f>
        <v>9</v>
      </c>
      <c r="H1841" s="21">
        <f>VLOOKUP(Tabela12[[#This Row],[Tag Cabo]],BD!A:F,6,0)</f>
        <v>1</v>
      </c>
      <c r="I1841" s="27" t="s">
        <v>1705</v>
      </c>
      <c r="J1841" s="27" t="s">
        <v>1706</v>
      </c>
    </row>
    <row r="1842" spans="1:10" x14ac:dyDescent="0.25">
      <c r="A1842" s="216" t="s">
        <v>625</v>
      </c>
      <c r="B1842" s="45" t="str">
        <f>VLOOKUP(Tabela12[[#This Row],[Painel]],Tabela13[],2,0)</f>
        <v>7HV</v>
      </c>
      <c r="C1842" s="45" t="s">
        <v>1588</v>
      </c>
      <c r="D1842" s="21" t="s">
        <v>1717</v>
      </c>
      <c r="E1842" s="21">
        <v>82</v>
      </c>
      <c r="F1842" s="27" t="str">
        <f>Tabela12[[#This Row],[Régua]]&amp;" ("&amp;Tabela12[[#This Row],[Born]]&amp;")"</f>
        <v>XE (82)</v>
      </c>
      <c r="G1842" s="27">
        <f>LEN(Tabela12[[#This Row],[Anilha]])</f>
        <v>7</v>
      </c>
      <c r="H1842" s="21">
        <f>VLOOKUP(Tabela12[[#This Row],[Tag Cabo]],BD!A:F,6,0)</f>
        <v>1</v>
      </c>
      <c r="I1842" s="27" t="s">
        <v>1705</v>
      </c>
      <c r="J1842" s="27" t="s">
        <v>1706</v>
      </c>
    </row>
    <row r="1843" spans="1:10" x14ac:dyDescent="0.25">
      <c r="A1843" s="216" t="s">
        <v>625</v>
      </c>
      <c r="B1843" s="45" t="str">
        <f>VLOOKUP(Tabela12[[#This Row],[Painel]],Tabela13[],2,0)</f>
        <v>7HV</v>
      </c>
      <c r="C1843" s="45" t="s">
        <v>1588</v>
      </c>
      <c r="D1843" s="21" t="s">
        <v>1717</v>
      </c>
      <c r="E1843" s="21">
        <v>83</v>
      </c>
      <c r="F1843" s="27" t="str">
        <f>Tabela12[[#This Row],[Régua]]&amp;" ("&amp;Tabela12[[#This Row],[Born]]&amp;")"</f>
        <v>XE (83)</v>
      </c>
      <c r="G1843" s="27">
        <f>LEN(Tabela12[[#This Row],[Anilha]])</f>
        <v>7</v>
      </c>
      <c r="H1843" s="21">
        <f>VLOOKUP(Tabela12[[#This Row],[Tag Cabo]],BD!A:F,6,0)</f>
        <v>1</v>
      </c>
      <c r="I1843" s="27" t="s">
        <v>1705</v>
      </c>
      <c r="J1843" s="27" t="s">
        <v>1706</v>
      </c>
    </row>
    <row r="1844" spans="1:10" x14ac:dyDescent="0.25">
      <c r="A1844" s="216" t="s">
        <v>625</v>
      </c>
      <c r="B1844" s="45" t="str">
        <f>VLOOKUP(Tabela12[[#This Row],[Painel]],Tabela13[],2,0)</f>
        <v>7HV</v>
      </c>
      <c r="C1844" s="45" t="s">
        <v>1588</v>
      </c>
      <c r="D1844" s="21" t="s">
        <v>1717</v>
      </c>
      <c r="E1844" s="21">
        <v>84</v>
      </c>
      <c r="F1844" s="27" t="str">
        <f>Tabela12[[#This Row],[Régua]]&amp;" ("&amp;Tabela12[[#This Row],[Born]]&amp;")"</f>
        <v>XE (84)</v>
      </c>
      <c r="G1844" s="27">
        <f>LEN(Tabela12[[#This Row],[Anilha]])</f>
        <v>7</v>
      </c>
      <c r="H1844" s="21">
        <f>VLOOKUP(Tabela12[[#This Row],[Tag Cabo]],BD!A:F,6,0)</f>
        <v>1</v>
      </c>
      <c r="I1844" s="27" t="s">
        <v>1705</v>
      </c>
      <c r="J1844" s="27" t="s">
        <v>1706</v>
      </c>
    </row>
    <row r="1845" spans="1:10" x14ac:dyDescent="0.25">
      <c r="A1845" s="216" t="s">
        <v>625</v>
      </c>
      <c r="B1845" s="45" t="str">
        <f>VLOOKUP(Tabela12[[#This Row],[Painel]],Tabela13[],2,0)</f>
        <v>7HV</v>
      </c>
      <c r="C1845" s="45" t="s">
        <v>1588</v>
      </c>
      <c r="D1845" s="21" t="s">
        <v>1717</v>
      </c>
      <c r="E1845" s="21">
        <v>85</v>
      </c>
      <c r="F1845" s="27" t="str">
        <f>Tabela12[[#This Row],[Régua]]&amp;" ("&amp;Tabela12[[#This Row],[Born]]&amp;")"</f>
        <v>XE (85)</v>
      </c>
      <c r="G1845" s="27">
        <f>LEN(Tabela12[[#This Row],[Anilha]])</f>
        <v>7</v>
      </c>
      <c r="H1845" s="21">
        <f>VLOOKUP(Tabela12[[#This Row],[Tag Cabo]],BD!A:F,6,0)</f>
        <v>1</v>
      </c>
      <c r="I1845" s="27" t="s">
        <v>1705</v>
      </c>
      <c r="J1845" s="27" t="s">
        <v>1706</v>
      </c>
    </row>
    <row r="1846" spans="1:10" x14ac:dyDescent="0.25">
      <c r="A1846" s="216" t="s">
        <v>625</v>
      </c>
      <c r="B1846" s="45" t="str">
        <f>VLOOKUP(Tabela12[[#This Row],[Painel]],Tabela13[],2,0)</f>
        <v>7HV</v>
      </c>
      <c r="C1846" s="45" t="s">
        <v>1588</v>
      </c>
      <c r="D1846" s="21" t="s">
        <v>1717</v>
      </c>
      <c r="E1846" s="21">
        <v>86</v>
      </c>
      <c r="F1846" s="27" t="str">
        <f>Tabela12[[#This Row],[Régua]]&amp;" ("&amp;Tabela12[[#This Row],[Born]]&amp;")"</f>
        <v>XE (86)</v>
      </c>
      <c r="G1846" s="27">
        <f>LEN(Tabela12[[#This Row],[Anilha]])</f>
        <v>7</v>
      </c>
      <c r="H1846" s="21">
        <f>VLOOKUP(Tabela12[[#This Row],[Tag Cabo]],BD!A:F,6,0)</f>
        <v>1</v>
      </c>
      <c r="I1846" s="27" t="s">
        <v>1705</v>
      </c>
      <c r="J1846" s="27" t="s">
        <v>1706</v>
      </c>
    </row>
    <row r="1847" spans="1:10" x14ac:dyDescent="0.25">
      <c r="A1847" s="216" t="s">
        <v>625</v>
      </c>
      <c r="B1847" s="45" t="str">
        <f>VLOOKUP(Tabela12[[#This Row],[Painel]],Tabela13[],2,0)</f>
        <v>7HV</v>
      </c>
      <c r="C1847" s="45" t="s">
        <v>1588</v>
      </c>
      <c r="D1847" s="21" t="s">
        <v>1717</v>
      </c>
      <c r="E1847" s="21">
        <v>87</v>
      </c>
      <c r="F1847" s="27" t="str">
        <f>Tabela12[[#This Row],[Régua]]&amp;" ("&amp;Tabela12[[#This Row],[Born]]&amp;")"</f>
        <v>XE (87)</v>
      </c>
      <c r="G1847" s="27">
        <f>LEN(Tabela12[[#This Row],[Anilha]])</f>
        <v>7</v>
      </c>
      <c r="H1847" s="21">
        <f>VLOOKUP(Tabela12[[#This Row],[Tag Cabo]],BD!A:F,6,0)</f>
        <v>1</v>
      </c>
      <c r="I1847" s="27" t="s">
        <v>1705</v>
      </c>
      <c r="J1847" s="27" t="s">
        <v>1706</v>
      </c>
    </row>
    <row r="1848" spans="1:10" x14ac:dyDescent="0.25">
      <c r="A1848" s="216" t="s">
        <v>625</v>
      </c>
      <c r="B1848" s="45" t="str">
        <f>VLOOKUP(Tabela12[[#This Row],[Painel]],Tabela13[],2,0)</f>
        <v>7HV</v>
      </c>
      <c r="C1848" s="45" t="s">
        <v>1588</v>
      </c>
      <c r="D1848" s="21" t="s">
        <v>1717</v>
      </c>
      <c r="E1848" s="21">
        <v>88</v>
      </c>
      <c r="F1848" s="27" t="str">
        <f>Tabela12[[#This Row],[Régua]]&amp;" ("&amp;Tabela12[[#This Row],[Born]]&amp;")"</f>
        <v>XE (88)</v>
      </c>
      <c r="G1848" s="27">
        <f>LEN(Tabela12[[#This Row],[Anilha]])</f>
        <v>7</v>
      </c>
      <c r="H1848" s="21">
        <f>VLOOKUP(Tabela12[[#This Row],[Tag Cabo]],BD!A:F,6,0)</f>
        <v>1</v>
      </c>
      <c r="I1848" s="27" t="s">
        <v>1705</v>
      </c>
      <c r="J1848" s="27" t="s">
        <v>1706</v>
      </c>
    </row>
    <row r="1849" spans="1:10" x14ac:dyDescent="0.25">
      <c r="A1849" s="216" t="s">
        <v>625</v>
      </c>
      <c r="B1849" s="45" t="str">
        <f>VLOOKUP(Tabela12[[#This Row],[Painel]],Tabela13[],2,0)</f>
        <v>7HV</v>
      </c>
      <c r="C1849" s="45" t="s">
        <v>1588</v>
      </c>
      <c r="D1849" s="21" t="s">
        <v>1717</v>
      </c>
      <c r="E1849" s="21">
        <v>89</v>
      </c>
      <c r="F1849" s="27" t="str">
        <f>Tabela12[[#This Row],[Régua]]&amp;" ("&amp;Tabela12[[#This Row],[Born]]&amp;")"</f>
        <v>XE (89)</v>
      </c>
      <c r="G1849" s="27">
        <f>LEN(Tabela12[[#This Row],[Anilha]])</f>
        <v>7</v>
      </c>
      <c r="H1849" s="21">
        <f>VLOOKUP(Tabela12[[#This Row],[Tag Cabo]],BD!A:F,6,0)</f>
        <v>1</v>
      </c>
      <c r="I1849" s="27" t="s">
        <v>1705</v>
      </c>
      <c r="J1849" s="27" t="s">
        <v>1706</v>
      </c>
    </row>
    <row r="1850" spans="1:10" x14ac:dyDescent="0.25">
      <c r="A1850" s="216" t="s">
        <v>625</v>
      </c>
      <c r="B1850" s="45" t="str">
        <f>VLOOKUP(Tabela12[[#This Row],[Painel]],Tabela13[],2,0)</f>
        <v>7HV</v>
      </c>
      <c r="C1850" s="45" t="s">
        <v>1588</v>
      </c>
      <c r="D1850" s="21" t="s">
        <v>1717</v>
      </c>
      <c r="E1850" s="21">
        <v>90</v>
      </c>
      <c r="F1850" s="27" t="str">
        <f>Tabela12[[#This Row],[Régua]]&amp;" ("&amp;Tabela12[[#This Row],[Born]]&amp;")"</f>
        <v>XE (90)</v>
      </c>
      <c r="G1850" s="27">
        <f>LEN(Tabela12[[#This Row],[Anilha]])</f>
        <v>7</v>
      </c>
      <c r="H1850" s="21">
        <f>VLOOKUP(Tabela12[[#This Row],[Tag Cabo]],BD!A:F,6,0)</f>
        <v>1</v>
      </c>
      <c r="I1850" s="27" t="s">
        <v>1705</v>
      </c>
      <c r="J1850" s="27" t="s">
        <v>1706</v>
      </c>
    </row>
    <row r="1851" spans="1:10" x14ac:dyDescent="0.25">
      <c r="A1851" s="216" t="s">
        <v>625</v>
      </c>
      <c r="B1851" s="45" t="str">
        <f>VLOOKUP(Tabela12[[#This Row],[Painel]],Tabela13[],2,0)</f>
        <v>7HV</v>
      </c>
      <c r="C1851" s="45" t="s">
        <v>1588</v>
      </c>
      <c r="D1851" s="21" t="s">
        <v>1717</v>
      </c>
      <c r="E1851" s="21">
        <v>91</v>
      </c>
      <c r="F1851" s="27" t="str">
        <f>Tabela12[[#This Row],[Régua]]&amp;" ("&amp;Tabela12[[#This Row],[Born]]&amp;")"</f>
        <v>XE (91)</v>
      </c>
      <c r="G1851" s="27">
        <f>LEN(Tabela12[[#This Row],[Anilha]])</f>
        <v>7</v>
      </c>
      <c r="H1851" s="21">
        <f>VLOOKUP(Tabela12[[#This Row],[Tag Cabo]],BD!A:F,6,0)</f>
        <v>1</v>
      </c>
      <c r="I1851" s="27" t="s">
        <v>1705</v>
      </c>
      <c r="J1851" s="27" t="s">
        <v>1706</v>
      </c>
    </row>
    <row r="1852" spans="1:10" x14ac:dyDescent="0.25">
      <c r="A1852" s="216" t="s">
        <v>625</v>
      </c>
      <c r="B1852" s="45" t="str">
        <f>VLOOKUP(Tabela12[[#This Row],[Painel]],Tabela13[],2,0)</f>
        <v>7HV</v>
      </c>
      <c r="C1852" s="45" t="s">
        <v>1588</v>
      </c>
      <c r="D1852" s="21" t="s">
        <v>1717</v>
      </c>
      <c r="E1852" s="21">
        <v>92</v>
      </c>
      <c r="F1852" s="27" t="str">
        <f>Tabela12[[#This Row],[Régua]]&amp;" ("&amp;Tabela12[[#This Row],[Born]]&amp;")"</f>
        <v>XE (92)</v>
      </c>
      <c r="G1852" s="27">
        <f>LEN(Tabela12[[#This Row],[Anilha]])</f>
        <v>7</v>
      </c>
      <c r="H1852" s="21">
        <f>VLOOKUP(Tabela12[[#This Row],[Tag Cabo]],BD!A:F,6,0)</f>
        <v>1</v>
      </c>
      <c r="I1852" s="27" t="s">
        <v>1705</v>
      </c>
      <c r="J1852" s="27" t="s">
        <v>1706</v>
      </c>
    </row>
    <row r="1853" spans="1:10" x14ac:dyDescent="0.25">
      <c r="A1853" s="216" t="s">
        <v>625</v>
      </c>
      <c r="B1853" s="45" t="str">
        <f>VLOOKUP(Tabela12[[#This Row],[Painel]],Tabela13[],2,0)</f>
        <v>7HV</v>
      </c>
      <c r="C1853" s="45" t="s">
        <v>1588</v>
      </c>
      <c r="D1853" s="21" t="s">
        <v>1717</v>
      </c>
      <c r="E1853" s="21">
        <v>93</v>
      </c>
      <c r="F1853" s="27" t="str">
        <f>Tabela12[[#This Row],[Régua]]&amp;" ("&amp;Tabela12[[#This Row],[Born]]&amp;")"</f>
        <v>XE (93)</v>
      </c>
      <c r="G1853" s="27">
        <f>LEN(Tabela12[[#This Row],[Anilha]])</f>
        <v>7</v>
      </c>
      <c r="H1853" s="21">
        <f>VLOOKUP(Tabela12[[#This Row],[Tag Cabo]],BD!A:F,6,0)</f>
        <v>1</v>
      </c>
      <c r="I1853" s="27" t="s">
        <v>1705</v>
      </c>
      <c r="J1853" s="27" t="s">
        <v>1706</v>
      </c>
    </row>
    <row r="1854" spans="1:10" x14ac:dyDescent="0.25">
      <c r="A1854" s="216" t="s">
        <v>625</v>
      </c>
      <c r="B1854" s="45" t="str">
        <f>VLOOKUP(Tabela12[[#This Row],[Painel]],Tabela13[],2,0)</f>
        <v>7HV</v>
      </c>
      <c r="C1854" s="45" t="s">
        <v>1588</v>
      </c>
      <c r="D1854" s="21" t="s">
        <v>1717</v>
      </c>
      <c r="E1854" s="21">
        <v>94</v>
      </c>
      <c r="F1854" s="27" t="str">
        <f>Tabela12[[#This Row],[Régua]]&amp;" ("&amp;Tabela12[[#This Row],[Born]]&amp;")"</f>
        <v>XE (94)</v>
      </c>
      <c r="G1854" s="27">
        <f>LEN(Tabela12[[#This Row],[Anilha]])</f>
        <v>7</v>
      </c>
      <c r="H1854" s="21">
        <f>VLOOKUP(Tabela12[[#This Row],[Tag Cabo]],BD!A:F,6,0)</f>
        <v>1</v>
      </c>
      <c r="I1854" s="27" t="s">
        <v>1705</v>
      </c>
      <c r="J1854" s="27" t="s">
        <v>1706</v>
      </c>
    </row>
    <row r="1855" spans="1:10" x14ac:dyDescent="0.25">
      <c r="A1855" s="216" t="s">
        <v>625</v>
      </c>
      <c r="B1855" s="45" t="str">
        <f>VLOOKUP(Tabela12[[#This Row],[Painel]],Tabela13[],2,0)</f>
        <v>7HV</v>
      </c>
      <c r="C1855" s="45" t="s">
        <v>1588</v>
      </c>
      <c r="D1855" s="21" t="s">
        <v>1717</v>
      </c>
      <c r="E1855" s="21">
        <v>95</v>
      </c>
      <c r="F1855" s="27" t="str">
        <f>Tabela12[[#This Row],[Régua]]&amp;" ("&amp;Tabela12[[#This Row],[Born]]&amp;")"</f>
        <v>XE (95)</v>
      </c>
      <c r="G1855" s="27">
        <f>LEN(Tabela12[[#This Row],[Anilha]])</f>
        <v>7</v>
      </c>
      <c r="H1855" s="21">
        <f>VLOOKUP(Tabela12[[#This Row],[Tag Cabo]],BD!A:F,6,0)</f>
        <v>1</v>
      </c>
      <c r="I1855" s="27" t="s">
        <v>1705</v>
      </c>
      <c r="J1855" s="27" t="s">
        <v>1706</v>
      </c>
    </row>
    <row r="1856" spans="1:10" x14ac:dyDescent="0.25">
      <c r="A1856" s="216" t="s">
        <v>625</v>
      </c>
      <c r="B1856" s="45" t="str">
        <f>VLOOKUP(Tabela12[[#This Row],[Painel]],Tabela13[],2,0)</f>
        <v>7HV</v>
      </c>
      <c r="C1856" s="45" t="s">
        <v>1588</v>
      </c>
      <c r="D1856" s="21" t="s">
        <v>1717</v>
      </c>
      <c r="E1856" s="21">
        <v>98</v>
      </c>
      <c r="F1856" s="27" t="str">
        <f>Tabela12[[#This Row],[Régua]]&amp;" ("&amp;Tabela12[[#This Row],[Born]]&amp;")"</f>
        <v>XE (98)</v>
      </c>
      <c r="G1856" s="27">
        <f>LEN(Tabela12[[#This Row],[Anilha]])</f>
        <v>7</v>
      </c>
      <c r="H1856" s="21">
        <f>VLOOKUP(Tabela12[[#This Row],[Tag Cabo]],BD!A:F,6,0)</f>
        <v>1</v>
      </c>
      <c r="I1856" s="27" t="s">
        <v>1705</v>
      </c>
      <c r="J1856" s="27" t="s">
        <v>1706</v>
      </c>
    </row>
    <row r="1857" spans="1:10" x14ac:dyDescent="0.25">
      <c r="A1857" s="216" t="s">
        <v>625</v>
      </c>
      <c r="B1857" s="45" t="str">
        <f>VLOOKUP(Tabela12[[#This Row],[Painel]],Tabela13[],2,0)</f>
        <v>7HV</v>
      </c>
      <c r="C1857" s="45" t="s">
        <v>1588</v>
      </c>
      <c r="D1857" s="21" t="s">
        <v>1717</v>
      </c>
      <c r="E1857" s="21">
        <v>99</v>
      </c>
      <c r="F1857" s="27" t="str">
        <f>Tabela12[[#This Row],[Régua]]&amp;" ("&amp;Tabela12[[#This Row],[Born]]&amp;")"</f>
        <v>XE (99)</v>
      </c>
      <c r="G1857" s="27">
        <f>LEN(Tabela12[[#This Row],[Anilha]])</f>
        <v>7</v>
      </c>
      <c r="H1857" s="21">
        <f>VLOOKUP(Tabela12[[#This Row],[Tag Cabo]],BD!A:F,6,0)</f>
        <v>1</v>
      </c>
      <c r="I1857" s="27" t="s">
        <v>1705</v>
      </c>
      <c r="J1857" s="27" t="s">
        <v>1706</v>
      </c>
    </row>
    <row r="1858" spans="1:10" x14ac:dyDescent="0.25">
      <c r="A1858" s="216" t="s">
        <v>625</v>
      </c>
      <c r="B1858" s="45" t="str">
        <f>VLOOKUP(Tabela12[[#This Row],[Painel]],Tabela13[],2,0)</f>
        <v>7HV</v>
      </c>
      <c r="C1858" s="45" t="s">
        <v>1588</v>
      </c>
      <c r="D1858" s="21" t="s">
        <v>1717</v>
      </c>
      <c r="E1858" s="21">
        <v>100</v>
      </c>
      <c r="F1858" s="27" t="str">
        <f>Tabela12[[#This Row],[Régua]]&amp;" ("&amp;Tabela12[[#This Row],[Born]]&amp;")"</f>
        <v>XE (100)</v>
      </c>
      <c r="G1858" s="27">
        <f>LEN(Tabela12[[#This Row],[Anilha]])</f>
        <v>8</v>
      </c>
      <c r="H1858" s="21">
        <f>VLOOKUP(Tabela12[[#This Row],[Tag Cabo]],BD!A:F,6,0)</f>
        <v>1</v>
      </c>
      <c r="I1858" s="27" t="s">
        <v>1705</v>
      </c>
      <c r="J1858" s="27" t="s">
        <v>1706</v>
      </c>
    </row>
    <row r="1859" spans="1:10" x14ac:dyDescent="0.25">
      <c r="A1859" s="216" t="s">
        <v>625</v>
      </c>
      <c r="B1859" s="45" t="str">
        <f>VLOOKUP(Tabela12[[#This Row],[Painel]],Tabela13[],2,0)</f>
        <v>7HV</v>
      </c>
      <c r="C1859" s="45" t="s">
        <v>1588</v>
      </c>
      <c r="D1859" s="21" t="s">
        <v>1717</v>
      </c>
      <c r="E1859" s="21">
        <v>101</v>
      </c>
      <c r="F1859" s="27" t="str">
        <f>Tabela12[[#This Row],[Régua]]&amp;" ("&amp;Tabela12[[#This Row],[Born]]&amp;")"</f>
        <v>XE (101)</v>
      </c>
      <c r="G1859" s="27">
        <f>LEN(Tabela12[[#This Row],[Anilha]])</f>
        <v>8</v>
      </c>
      <c r="H1859" s="21">
        <f>VLOOKUP(Tabela12[[#This Row],[Tag Cabo]],BD!A:F,6,0)</f>
        <v>1</v>
      </c>
      <c r="I1859" s="27" t="s">
        <v>1705</v>
      </c>
      <c r="J1859" s="27" t="s">
        <v>1706</v>
      </c>
    </row>
    <row r="1860" spans="1:10" x14ac:dyDescent="0.25">
      <c r="A1860" s="216" t="s">
        <v>625</v>
      </c>
      <c r="B1860" s="45" t="str">
        <f>VLOOKUP(Tabela12[[#This Row],[Painel]],Tabela13[],2,0)</f>
        <v>7HV</v>
      </c>
      <c r="C1860" s="45" t="s">
        <v>1588</v>
      </c>
      <c r="D1860" s="21" t="s">
        <v>1717</v>
      </c>
      <c r="E1860" s="21">
        <v>104</v>
      </c>
      <c r="F1860" s="27" t="str">
        <f>Tabela12[[#This Row],[Régua]]&amp;" ("&amp;Tabela12[[#This Row],[Born]]&amp;")"</f>
        <v>XE (104)</v>
      </c>
      <c r="G1860" s="27">
        <f>LEN(Tabela12[[#This Row],[Anilha]])</f>
        <v>8</v>
      </c>
      <c r="H1860" s="21">
        <f>VLOOKUP(Tabela12[[#This Row],[Tag Cabo]],BD!A:F,6,0)</f>
        <v>1</v>
      </c>
      <c r="I1860" s="27" t="s">
        <v>1705</v>
      </c>
      <c r="J1860" s="27" t="s">
        <v>1706</v>
      </c>
    </row>
    <row r="1861" spans="1:10" x14ac:dyDescent="0.25">
      <c r="A1861" s="216" t="s">
        <v>625</v>
      </c>
      <c r="B1861" s="45" t="str">
        <f>VLOOKUP(Tabela12[[#This Row],[Painel]],Tabela13[],2,0)</f>
        <v>7HV</v>
      </c>
      <c r="C1861" s="45" t="s">
        <v>1588</v>
      </c>
      <c r="D1861" s="21" t="s">
        <v>1717</v>
      </c>
      <c r="E1861" s="21">
        <v>105</v>
      </c>
      <c r="F1861" s="27" t="str">
        <f>Tabela12[[#This Row],[Régua]]&amp;" ("&amp;Tabela12[[#This Row],[Born]]&amp;")"</f>
        <v>XE (105)</v>
      </c>
      <c r="G1861" s="27">
        <f>LEN(Tabela12[[#This Row],[Anilha]])</f>
        <v>8</v>
      </c>
      <c r="H1861" s="21">
        <f>VLOOKUP(Tabela12[[#This Row],[Tag Cabo]],BD!A:F,6,0)</f>
        <v>1</v>
      </c>
      <c r="I1861" s="27" t="s">
        <v>1705</v>
      </c>
      <c r="J1861" s="27" t="s">
        <v>1706</v>
      </c>
    </row>
    <row r="1862" spans="1:10" x14ac:dyDescent="0.25">
      <c r="A1862" s="216" t="s">
        <v>625</v>
      </c>
      <c r="B1862" s="45" t="str">
        <f>VLOOKUP(Tabela12[[#This Row],[Painel]],Tabela13[],2,0)</f>
        <v>30LV</v>
      </c>
      <c r="C1862" s="45" t="s">
        <v>1635</v>
      </c>
      <c r="D1862" s="21" t="s">
        <v>1954</v>
      </c>
      <c r="E1862" s="21">
        <v>1</v>
      </c>
      <c r="F1862" s="27" t="str">
        <f>Tabela12[[#This Row],[Régua]]&amp;" ("&amp;Tabela12[[#This Row],[Born]]&amp;")"</f>
        <v>TB-26 (1)</v>
      </c>
      <c r="G1862" s="27">
        <f>LEN(Tabela12[[#This Row],[Anilha]])</f>
        <v>9</v>
      </c>
      <c r="H1862" s="21">
        <f>VLOOKUP(Tabela12[[#This Row],[Tag Cabo]],BD!A:F,6,0)</f>
        <v>1</v>
      </c>
      <c r="I1862" s="27" t="s">
        <v>1705</v>
      </c>
      <c r="J1862" s="27" t="s">
        <v>1706</v>
      </c>
    </row>
    <row r="1863" spans="1:10" x14ac:dyDescent="0.25">
      <c r="A1863" s="216" t="s">
        <v>625</v>
      </c>
      <c r="B1863" s="45" t="str">
        <f>VLOOKUP(Tabela12[[#This Row],[Painel]],Tabela13[],2,0)</f>
        <v>30LV</v>
      </c>
      <c r="C1863" s="45" t="s">
        <v>1635</v>
      </c>
      <c r="D1863" s="21" t="s">
        <v>1954</v>
      </c>
      <c r="E1863" s="21">
        <v>2</v>
      </c>
      <c r="F1863" s="27" t="str">
        <f>Tabela12[[#This Row],[Régua]]&amp;" ("&amp;Tabela12[[#This Row],[Born]]&amp;")"</f>
        <v>TB-26 (2)</v>
      </c>
      <c r="G1863" s="27">
        <f>LEN(Tabela12[[#This Row],[Anilha]])</f>
        <v>9</v>
      </c>
      <c r="H1863" s="21">
        <f>VLOOKUP(Tabela12[[#This Row],[Tag Cabo]],BD!A:F,6,0)</f>
        <v>1</v>
      </c>
      <c r="I1863" s="27" t="s">
        <v>1705</v>
      </c>
      <c r="J1863" s="27" t="s">
        <v>1706</v>
      </c>
    </row>
    <row r="1864" spans="1:10" x14ac:dyDescent="0.25">
      <c r="A1864" s="216" t="s">
        <v>625</v>
      </c>
      <c r="B1864" s="45" t="str">
        <f>VLOOKUP(Tabela12[[#This Row],[Painel]],Tabela13[],2,0)</f>
        <v>30LV</v>
      </c>
      <c r="C1864" s="45" t="s">
        <v>1635</v>
      </c>
      <c r="D1864" s="21" t="s">
        <v>1954</v>
      </c>
      <c r="E1864" s="21">
        <v>4</v>
      </c>
      <c r="F1864" s="27" t="str">
        <f>Tabela12[[#This Row],[Régua]]&amp;" ("&amp;Tabela12[[#This Row],[Born]]&amp;")"</f>
        <v>TB-26 (4)</v>
      </c>
      <c r="G1864" s="27">
        <f>LEN(Tabela12[[#This Row],[Anilha]])</f>
        <v>9</v>
      </c>
      <c r="H1864" s="21">
        <f>VLOOKUP(Tabela12[[#This Row],[Tag Cabo]],BD!A:F,6,0)</f>
        <v>1</v>
      </c>
      <c r="I1864" s="27" t="s">
        <v>1705</v>
      </c>
      <c r="J1864" s="27" t="s">
        <v>1706</v>
      </c>
    </row>
    <row r="1865" spans="1:10" x14ac:dyDescent="0.25">
      <c r="A1865" s="216" t="s">
        <v>625</v>
      </c>
      <c r="B1865" s="45" t="str">
        <f>VLOOKUP(Tabela12[[#This Row],[Painel]],Tabela13[],2,0)</f>
        <v>30LV</v>
      </c>
      <c r="C1865" s="45" t="s">
        <v>1635</v>
      </c>
      <c r="D1865" s="21" t="s">
        <v>1954</v>
      </c>
      <c r="E1865" s="21">
        <v>5</v>
      </c>
      <c r="F1865" s="27" t="str">
        <f>Tabela12[[#This Row],[Régua]]&amp;" ("&amp;Tabela12[[#This Row],[Born]]&amp;")"</f>
        <v>TB-26 (5)</v>
      </c>
      <c r="G1865" s="27">
        <f>LEN(Tabela12[[#This Row],[Anilha]])</f>
        <v>9</v>
      </c>
      <c r="H1865" s="21">
        <f>VLOOKUP(Tabela12[[#This Row],[Tag Cabo]],BD!A:F,6,0)</f>
        <v>1</v>
      </c>
      <c r="I1865" s="27" t="s">
        <v>1705</v>
      </c>
      <c r="J1865" s="27" t="s">
        <v>1706</v>
      </c>
    </row>
    <row r="1866" spans="1:10" x14ac:dyDescent="0.25">
      <c r="A1866" s="216" t="s">
        <v>625</v>
      </c>
      <c r="B1866" s="45" t="str">
        <f>VLOOKUP(Tabela12[[#This Row],[Painel]],Tabela13[],2,0)</f>
        <v>30LV</v>
      </c>
      <c r="C1866" s="45" t="s">
        <v>1635</v>
      </c>
      <c r="D1866" s="21" t="s">
        <v>1954</v>
      </c>
      <c r="E1866" s="21">
        <v>7</v>
      </c>
      <c r="F1866" s="27" t="str">
        <f>Tabela12[[#This Row],[Régua]]&amp;" ("&amp;Tabela12[[#This Row],[Born]]&amp;")"</f>
        <v>TB-26 (7)</v>
      </c>
      <c r="G1866" s="27">
        <f>LEN(Tabela12[[#This Row],[Anilha]])</f>
        <v>9</v>
      </c>
      <c r="H1866" s="21">
        <f>VLOOKUP(Tabela12[[#This Row],[Tag Cabo]],BD!A:F,6,0)</f>
        <v>1</v>
      </c>
      <c r="I1866" s="27" t="s">
        <v>1705</v>
      </c>
      <c r="J1866" s="27" t="s">
        <v>1706</v>
      </c>
    </row>
    <row r="1867" spans="1:10" x14ac:dyDescent="0.25">
      <c r="A1867" s="216" t="s">
        <v>625</v>
      </c>
      <c r="B1867" s="45" t="str">
        <f>VLOOKUP(Tabela12[[#This Row],[Painel]],Tabela13[],2,0)</f>
        <v>30LV</v>
      </c>
      <c r="C1867" s="45" t="s">
        <v>1635</v>
      </c>
      <c r="D1867" s="21" t="s">
        <v>1954</v>
      </c>
      <c r="E1867" s="21">
        <v>8</v>
      </c>
      <c r="F1867" s="27" t="str">
        <f>Tabela12[[#This Row],[Régua]]&amp;" ("&amp;Tabela12[[#This Row],[Born]]&amp;")"</f>
        <v>TB-26 (8)</v>
      </c>
      <c r="G1867" s="27">
        <f>LEN(Tabela12[[#This Row],[Anilha]])</f>
        <v>9</v>
      </c>
      <c r="H1867" s="21">
        <f>VLOOKUP(Tabela12[[#This Row],[Tag Cabo]],BD!A:F,6,0)</f>
        <v>1</v>
      </c>
      <c r="I1867" s="27" t="s">
        <v>1705</v>
      </c>
      <c r="J1867" s="27" t="s">
        <v>1706</v>
      </c>
    </row>
    <row r="1868" spans="1:10" x14ac:dyDescent="0.25">
      <c r="A1868" s="216" t="s">
        <v>625</v>
      </c>
      <c r="B1868" s="45" t="str">
        <f>VLOOKUP(Tabela12[[#This Row],[Painel]],Tabela13[],2,0)</f>
        <v>30LV</v>
      </c>
      <c r="C1868" s="45" t="s">
        <v>1635</v>
      </c>
      <c r="D1868" s="21" t="s">
        <v>1954</v>
      </c>
      <c r="E1868" s="21">
        <v>10</v>
      </c>
      <c r="F1868" s="27" t="str">
        <f>Tabela12[[#This Row],[Régua]]&amp;" ("&amp;Tabela12[[#This Row],[Born]]&amp;")"</f>
        <v>TB-26 (10)</v>
      </c>
      <c r="G1868" s="27">
        <f>LEN(Tabela12[[#This Row],[Anilha]])</f>
        <v>10</v>
      </c>
      <c r="H1868" s="21">
        <f>VLOOKUP(Tabela12[[#This Row],[Tag Cabo]],BD!A:F,6,0)</f>
        <v>1</v>
      </c>
      <c r="I1868" s="27" t="s">
        <v>1705</v>
      </c>
      <c r="J1868" s="27" t="s">
        <v>1706</v>
      </c>
    </row>
    <row r="1869" spans="1:10" x14ac:dyDescent="0.25">
      <c r="A1869" s="216" t="s">
        <v>625</v>
      </c>
      <c r="B1869" s="45" t="str">
        <f>VLOOKUP(Tabela12[[#This Row],[Painel]],Tabela13[],2,0)</f>
        <v>30LV</v>
      </c>
      <c r="C1869" s="45" t="s">
        <v>1635</v>
      </c>
      <c r="D1869" s="21" t="s">
        <v>1954</v>
      </c>
      <c r="E1869" s="21">
        <v>11</v>
      </c>
      <c r="F1869" s="27" t="str">
        <f>Tabela12[[#This Row],[Régua]]&amp;" ("&amp;Tabela12[[#This Row],[Born]]&amp;")"</f>
        <v>TB-26 (11)</v>
      </c>
      <c r="G1869" s="27">
        <f>LEN(Tabela12[[#This Row],[Anilha]])</f>
        <v>10</v>
      </c>
      <c r="H1869" s="21">
        <f>VLOOKUP(Tabela12[[#This Row],[Tag Cabo]],BD!A:F,6,0)</f>
        <v>1</v>
      </c>
      <c r="I1869" s="27" t="s">
        <v>1705</v>
      </c>
      <c r="J1869" s="27" t="s">
        <v>1706</v>
      </c>
    </row>
    <row r="1870" spans="1:10" x14ac:dyDescent="0.25">
      <c r="A1870" s="216" t="s">
        <v>625</v>
      </c>
      <c r="B1870" s="45" t="str">
        <f>VLOOKUP(Tabela12[[#This Row],[Painel]],Tabela13[],2,0)</f>
        <v>30LV</v>
      </c>
      <c r="C1870" s="45" t="s">
        <v>1635</v>
      </c>
      <c r="D1870" s="21" t="s">
        <v>1954</v>
      </c>
      <c r="E1870" s="21">
        <v>13</v>
      </c>
      <c r="F1870" s="27" t="str">
        <f>Tabela12[[#This Row],[Régua]]&amp;" ("&amp;Tabela12[[#This Row],[Born]]&amp;")"</f>
        <v>TB-26 (13)</v>
      </c>
      <c r="G1870" s="27">
        <f>LEN(Tabela12[[#This Row],[Anilha]])</f>
        <v>10</v>
      </c>
      <c r="H1870" s="21">
        <f>VLOOKUP(Tabela12[[#This Row],[Tag Cabo]],BD!A:F,6,0)</f>
        <v>1</v>
      </c>
      <c r="I1870" s="27" t="s">
        <v>1705</v>
      </c>
      <c r="J1870" s="27" t="s">
        <v>1706</v>
      </c>
    </row>
    <row r="1871" spans="1:10" x14ac:dyDescent="0.25">
      <c r="A1871" s="216" t="s">
        <v>625</v>
      </c>
      <c r="B1871" s="45" t="str">
        <f>VLOOKUP(Tabela12[[#This Row],[Painel]],Tabela13[],2,0)</f>
        <v>30LV</v>
      </c>
      <c r="C1871" s="45" t="s">
        <v>1635</v>
      </c>
      <c r="D1871" s="21" t="s">
        <v>1954</v>
      </c>
      <c r="E1871" s="21">
        <v>14</v>
      </c>
      <c r="F1871" s="27" t="str">
        <f>Tabela12[[#This Row],[Régua]]&amp;" ("&amp;Tabela12[[#This Row],[Born]]&amp;")"</f>
        <v>TB-26 (14)</v>
      </c>
      <c r="G1871" s="27">
        <f>LEN(Tabela12[[#This Row],[Anilha]])</f>
        <v>10</v>
      </c>
      <c r="H1871" s="21">
        <f>VLOOKUP(Tabela12[[#This Row],[Tag Cabo]],BD!A:F,6,0)</f>
        <v>1</v>
      </c>
      <c r="I1871" s="27" t="s">
        <v>1705</v>
      </c>
      <c r="J1871" s="27" t="s">
        <v>1706</v>
      </c>
    </row>
    <row r="1872" spans="1:10" x14ac:dyDescent="0.25">
      <c r="A1872" s="216" t="s">
        <v>625</v>
      </c>
      <c r="B1872" s="45" t="str">
        <f>VLOOKUP(Tabela12[[#This Row],[Painel]],Tabela13[],2,0)</f>
        <v>30LV</v>
      </c>
      <c r="C1872" s="45" t="s">
        <v>1635</v>
      </c>
      <c r="D1872" s="21" t="s">
        <v>1954</v>
      </c>
      <c r="E1872" s="21">
        <v>16</v>
      </c>
      <c r="F1872" s="27" t="str">
        <f>Tabela12[[#This Row],[Régua]]&amp;" ("&amp;Tabela12[[#This Row],[Born]]&amp;")"</f>
        <v>TB-26 (16)</v>
      </c>
      <c r="G1872" s="27">
        <f>LEN(Tabela12[[#This Row],[Anilha]])</f>
        <v>10</v>
      </c>
      <c r="H1872" s="21">
        <f>VLOOKUP(Tabela12[[#This Row],[Tag Cabo]],BD!A:F,6,0)</f>
        <v>1</v>
      </c>
      <c r="I1872" s="27" t="s">
        <v>1705</v>
      </c>
      <c r="J1872" s="27" t="s">
        <v>1706</v>
      </c>
    </row>
    <row r="1873" spans="1:10" x14ac:dyDescent="0.25">
      <c r="A1873" s="216" t="s">
        <v>625</v>
      </c>
      <c r="B1873" s="45" t="str">
        <f>VLOOKUP(Tabela12[[#This Row],[Painel]],Tabela13[],2,0)</f>
        <v>30LV</v>
      </c>
      <c r="C1873" s="45" t="s">
        <v>1635</v>
      </c>
      <c r="D1873" s="21" t="s">
        <v>1954</v>
      </c>
      <c r="E1873" s="21">
        <v>17</v>
      </c>
      <c r="F1873" s="27" t="str">
        <f>Tabela12[[#This Row],[Régua]]&amp;" ("&amp;Tabela12[[#This Row],[Born]]&amp;")"</f>
        <v>TB-26 (17)</v>
      </c>
      <c r="G1873" s="27">
        <f>LEN(Tabela12[[#This Row],[Anilha]])</f>
        <v>10</v>
      </c>
      <c r="H1873" s="21">
        <f>VLOOKUP(Tabela12[[#This Row],[Tag Cabo]],BD!A:F,6,0)</f>
        <v>1</v>
      </c>
      <c r="I1873" s="27" t="s">
        <v>1705</v>
      </c>
      <c r="J1873" s="27" t="s">
        <v>1706</v>
      </c>
    </row>
    <row r="1874" spans="1:10" x14ac:dyDescent="0.25">
      <c r="A1874" s="216" t="s">
        <v>625</v>
      </c>
      <c r="B1874" s="45" t="str">
        <f>VLOOKUP(Tabela12[[#This Row],[Painel]],Tabela13[],2,0)</f>
        <v>30LV</v>
      </c>
      <c r="C1874" s="45" t="s">
        <v>1635</v>
      </c>
      <c r="D1874" s="21" t="s">
        <v>1954</v>
      </c>
      <c r="E1874" s="21">
        <v>19</v>
      </c>
      <c r="F1874" s="27" t="str">
        <f>Tabela12[[#This Row],[Régua]]&amp;" ("&amp;Tabela12[[#This Row],[Born]]&amp;")"</f>
        <v>TB-26 (19)</v>
      </c>
      <c r="G1874" s="27">
        <f>LEN(Tabela12[[#This Row],[Anilha]])</f>
        <v>10</v>
      </c>
      <c r="H1874" s="21">
        <f>VLOOKUP(Tabela12[[#This Row],[Tag Cabo]],BD!A:F,6,0)</f>
        <v>1</v>
      </c>
      <c r="I1874" s="27" t="s">
        <v>1705</v>
      </c>
      <c r="J1874" s="27" t="s">
        <v>1706</v>
      </c>
    </row>
    <row r="1875" spans="1:10" x14ac:dyDescent="0.25">
      <c r="A1875" s="216" t="s">
        <v>625</v>
      </c>
      <c r="B1875" s="45" t="str">
        <f>VLOOKUP(Tabela12[[#This Row],[Painel]],Tabela13[],2,0)</f>
        <v>30LV</v>
      </c>
      <c r="C1875" s="45" t="s">
        <v>1635</v>
      </c>
      <c r="D1875" s="21" t="s">
        <v>1954</v>
      </c>
      <c r="E1875" s="21">
        <v>20</v>
      </c>
      <c r="F1875" s="27" t="str">
        <f>Tabela12[[#This Row],[Régua]]&amp;" ("&amp;Tabela12[[#This Row],[Born]]&amp;")"</f>
        <v>TB-26 (20)</v>
      </c>
      <c r="G1875" s="27">
        <f>LEN(Tabela12[[#This Row],[Anilha]])</f>
        <v>10</v>
      </c>
      <c r="H1875" s="21">
        <f>VLOOKUP(Tabela12[[#This Row],[Tag Cabo]],BD!A:F,6,0)</f>
        <v>1</v>
      </c>
      <c r="I1875" s="27" t="s">
        <v>1705</v>
      </c>
      <c r="J1875" s="27" t="s">
        <v>1706</v>
      </c>
    </row>
    <row r="1876" spans="1:10" x14ac:dyDescent="0.25">
      <c r="A1876" s="216" t="s">
        <v>625</v>
      </c>
      <c r="B1876" s="45" t="str">
        <f>VLOOKUP(Tabela12[[#This Row],[Painel]],Tabela13[],2,0)</f>
        <v>30LV</v>
      </c>
      <c r="C1876" s="45" t="s">
        <v>1635</v>
      </c>
      <c r="D1876" s="21" t="s">
        <v>1954</v>
      </c>
      <c r="E1876" s="21">
        <v>22</v>
      </c>
      <c r="F1876" s="27" t="str">
        <f>Tabela12[[#This Row],[Régua]]&amp;" ("&amp;Tabela12[[#This Row],[Born]]&amp;")"</f>
        <v>TB-26 (22)</v>
      </c>
      <c r="G1876" s="27">
        <f>LEN(Tabela12[[#This Row],[Anilha]])</f>
        <v>10</v>
      </c>
      <c r="H1876" s="21">
        <f>VLOOKUP(Tabela12[[#This Row],[Tag Cabo]],BD!A:F,6,0)</f>
        <v>1</v>
      </c>
      <c r="I1876" s="27" t="s">
        <v>1705</v>
      </c>
      <c r="J1876" s="27" t="s">
        <v>1706</v>
      </c>
    </row>
    <row r="1877" spans="1:10" x14ac:dyDescent="0.25">
      <c r="A1877" s="216" t="s">
        <v>625</v>
      </c>
      <c r="B1877" s="45" t="str">
        <f>VLOOKUP(Tabela12[[#This Row],[Painel]],Tabela13[],2,0)</f>
        <v>30LV</v>
      </c>
      <c r="C1877" s="45" t="s">
        <v>1635</v>
      </c>
      <c r="D1877" s="21" t="s">
        <v>1954</v>
      </c>
      <c r="E1877" s="21">
        <v>23</v>
      </c>
      <c r="F1877" s="27" t="str">
        <f>Tabela12[[#This Row],[Régua]]&amp;" ("&amp;Tabela12[[#This Row],[Born]]&amp;")"</f>
        <v>TB-26 (23)</v>
      </c>
      <c r="G1877" s="27">
        <f>LEN(Tabela12[[#This Row],[Anilha]])</f>
        <v>10</v>
      </c>
      <c r="H1877" s="21">
        <f>VLOOKUP(Tabela12[[#This Row],[Tag Cabo]],BD!A:F,6,0)</f>
        <v>1</v>
      </c>
      <c r="I1877" s="27" t="s">
        <v>1705</v>
      </c>
      <c r="J1877" s="27" t="s">
        <v>1706</v>
      </c>
    </row>
    <row r="1878" spans="1:10" x14ac:dyDescent="0.25">
      <c r="A1878" s="216" t="s">
        <v>625</v>
      </c>
      <c r="B1878" s="45" t="str">
        <f>VLOOKUP(Tabela12[[#This Row],[Painel]],Tabela13[],2,0)</f>
        <v>30LV</v>
      </c>
      <c r="C1878" s="45" t="s">
        <v>1635</v>
      </c>
      <c r="D1878" s="21" t="s">
        <v>1954</v>
      </c>
      <c r="E1878" s="21">
        <v>25</v>
      </c>
      <c r="F1878" s="27" t="str">
        <f>Tabela12[[#This Row],[Régua]]&amp;" ("&amp;Tabela12[[#This Row],[Born]]&amp;")"</f>
        <v>TB-26 (25)</v>
      </c>
      <c r="G1878" s="27">
        <f>LEN(Tabela12[[#This Row],[Anilha]])</f>
        <v>10</v>
      </c>
      <c r="H1878" s="21">
        <f>VLOOKUP(Tabela12[[#This Row],[Tag Cabo]],BD!A:F,6,0)</f>
        <v>1</v>
      </c>
      <c r="I1878" s="27" t="s">
        <v>1705</v>
      </c>
      <c r="J1878" s="27" t="s">
        <v>1706</v>
      </c>
    </row>
    <row r="1879" spans="1:10" x14ac:dyDescent="0.25">
      <c r="A1879" s="216" t="s">
        <v>625</v>
      </c>
      <c r="B1879" s="45" t="str">
        <f>VLOOKUP(Tabela12[[#This Row],[Painel]],Tabela13[],2,0)</f>
        <v>30LV</v>
      </c>
      <c r="C1879" s="45" t="s">
        <v>1635</v>
      </c>
      <c r="D1879" s="21" t="s">
        <v>1954</v>
      </c>
      <c r="E1879" s="21">
        <v>26</v>
      </c>
      <c r="F1879" s="27" t="str">
        <f>Tabela12[[#This Row],[Régua]]&amp;" ("&amp;Tabela12[[#This Row],[Born]]&amp;")"</f>
        <v>TB-26 (26)</v>
      </c>
      <c r="G1879" s="27">
        <f>LEN(Tabela12[[#This Row],[Anilha]])</f>
        <v>10</v>
      </c>
      <c r="H1879" s="21">
        <f>VLOOKUP(Tabela12[[#This Row],[Tag Cabo]],BD!A:F,6,0)</f>
        <v>1</v>
      </c>
      <c r="I1879" s="27" t="s">
        <v>1705</v>
      </c>
      <c r="J1879" s="27" t="s">
        <v>1706</v>
      </c>
    </row>
    <row r="1880" spans="1:10" x14ac:dyDescent="0.25">
      <c r="A1880" s="216" t="s">
        <v>625</v>
      </c>
      <c r="B1880" s="45" t="str">
        <f>VLOOKUP(Tabela12[[#This Row],[Painel]],Tabela13[],2,0)</f>
        <v>30LV</v>
      </c>
      <c r="C1880" s="45" t="s">
        <v>1635</v>
      </c>
      <c r="D1880" s="21" t="s">
        <v>1954</v>
      </c>
      <c r="E1880" s="21">
        <v>28</v>
      </c>
      <c r="F1880" s="27" t="str">
        <f>Tabela12[[#This Row],[Régua]]&amp;" ("&amp;Tabela12[[#This Row],[Born]]&amp;")"</f>
        <v>TB-26 (28)</v>
      </c>
      <c r="G1880" s="27">
        <f>LEN(Tabela12[[#This Row],[Anilha]])</f>
        <v>10</v>
      </c>
      <c r="H1880" s="21">
        <f>VLOOKUP(Tabela12[[#This Row],[Tag Cabo]],BD!A:F,6,0)</f>
        <v>1</v>
      </c>
      <c r="I1880" s="27" t="s">
        <v>1705</v>
      </c>
      <c r="J1880" s="27" t="s">
        <v>1706</v>
      </c>
    </row>
    <row r="1881" spans="1:10" x14ac:dyDescent="0.25">
      <c r="A1881" s="216" t="s">
        <v>625</v>
      </c>
      <c r="B1881" s="45" t="str">
        <f>VLOOKUP(Tabela12[[#This Row],[Painel]],Tabela13[],2,0)</f>
        <v>30LV</v>
      </c>
      <c r="C1881" s="45" t="s">
        <v>1635</v>
      </c>
      <c r="D1881" s="21" t="s">
        <v>1954</v>
      </c>
      <c r="E1881" s="21">
        <v>29</v>
      </c>
      <c r="F1881" s="27" t="str">
        <f>Tabela12[[#This Row],[Régua]]&amp;" ("&amp;Tabela12[[#This Row],[Born]]&amp;")"</f>
        <v>TB-26 (29)</v>
      </c>
      <c r="G1881" s="27">
        <f>LEN(Tabela12[[#This Row],[Anilha]])</f>
        <v>10</v>
      </c>
      <c r="H1881" s="21">
        <f>VLOOKUP(Tabela12[[#This Row],[Tag Cabo]],BD!A:F,6,0)</f>
        <v>1</v>
      </c>
      <c r="I1881" s="27" t="s">
        <v>1705</v>
      </c>
      <c r="J1881" s="27" t="s">
        <v>1706</v>
      </c>
    </row>
    <row r="1882" spans="1:10" x14ac:dyDescent="0.25">
      <c r="A1882" s="216" t="s">
        <v>626</v>
      </c>
      <c r="B1882" s="45" t="str">
        <f>VLOOKUP(Tabela12[[#This Row],[Painel]],Tabela13[],2,0)</f>
        <v>GB-1201</v>
      </c>
      <c r="C1882" s="45" t="s">
        <v>730</v>
      </c>
      <c r="D1882" s="21" t="s">
        <v>1955</v>
      </c>
      <c r="E1882" s="21" t="s">
        <v>1956</v>
      </c>
      <c r="F1882" s="27" t="str">
        <f>Tabela12[[#This Row],[Régua]]&amp;" ("&amp;Tabela12[[#This Row],[Born]]&amp;")"</f>
        <v>XB-10 (9H)</v>
      </c>
      <c r="G1882" s="27">
        <f>LEN(Tabela12[[#This Row],[Anilha]])</f>
        <v>10</v>
      </c>
      <c r="H1882" s="21">
        <f>VLOOKUP(Tabela12[[#This Row],[Tag Cabo]],BD!A:F,6,0)</f>
        <v>1</v>
      </c>
      <c r="I1882" s="27" t="s">
        <v>1705</v>
      </c>
      <c r="J1882" s="27" t="s">
        <v>1706</v>
      </c>
    </row>
    <row r="1883" spans="1:10" x14ac:dyDescent="0.25">
      <c r="A1883" s="216" t="s">
        <v>626</v>
      </c>
      <c r="B1883" s="45" t="str">
        <f>VLOOKUP(Tabela12[[#This Row],[Painel]],Tabela13[],2,0)</f>
        <v>GB-1201</v>
      </c>
      <c r="C1883" s="45" t="s">
        <v>730</v>
      </c>
      <c r="D1883" s="21" t="s">
        <v>1955</v>
      </c>
      <c r="E1883" s="21" t="s">
        <v>1957</v>
      </c>
      <c r="F1883" s="27" t="str">
        <f>Tabela12[[#This Row],[Régua]]&amp;" ("&amp;Tabela12[[#This Row],[Born]]&amp;")"</f>
        <v>XB-10 (10M)</v>
      </c>
      <c r="G1883" s="27">
        <f>LEN(Tabela12[[#This Row],[Anilha]])</f>
        <v>11</v>
      </c>
      <c r="H1883" s="21">
        <f>VLOOKUP(Tabela12[[#This Row],[Tag Cabo]],BD!A:F,6,0)</f>
        <v>1</v>
      </c>
      <c r="I1883" s="27" t="s">
        <v>1705</v>
      </c>
      <c r="J1883" s="27" t="s">
        <v>1706</v>
      </c>
    </row>
    <row r="1884" spans="1:10" x14ac:dyDescent="0.25">
      <c r="A1884" s="216" t="s">
        <v>626</v>
      </c>
      <c r="B1884" s="45" t="str">
        <f>VLOOKUP(Tabela12[[#This Row],[Painel]],Tabela13[],2,0)</f>
        <v>GB-1201</v>
      </c>
      <c r="C1884" s="45" t="s">
        <v>730</v>
      </c>
      <c r="D1884" s="21" t="s">
        <v>1955</v>
      </c>
      <c r="E1884" s="21" t="s">
        <v>1958</v>
      </c>
      <c r="F1884" s="27" t="str">
        <f>Tabela12[[#This Row],[Régua]]&amp;" ("&amp;Tabela12[[#This Row],[Born]]&amp;")"</f>
        <v>XB-10 (10H)</v>
      </c>
      <c r="G1884" s="27">
        <f>LEN(Tabela12[[#This Row],[Anilha]])</f>
        <v>11</v>
      </c>
      <c r="H1884" s="21">
        <f>VLOOKUP(Tabela12[[#This Row],[Tag Cabo]],BD!A:F,6,0)</f>
        <v>1</v>
      </c>
      <c r="I1884" s="27" t="s">
        <v>1705</v>
      </c>
      <c r="J1884" s="27" t="s">
        <v>1706</v>
      </c>
    </row>
    <row r="1885" spans="1:10" x14ac:dyDescent="0.25">
      <c r="A1885" s="216" t="s">
        <v>626</v>
      </c>
      <c r="B1885" s="45" t="str">
        <f>VLOOKUP(Tabela12[[#This Row],[Painel]],Tabela13[],2,0)</f>
        <v>GB-1201</v>
      </c>
      <c r="C1885" s="45" t="s">
        <v>730</v>
      </c>
      <c r="D1885" s="21" t="s">
        <v>1955</v>
      </c>
      <c r="E1885" s="21" t="s">
        <v>1957</v>
      </c>
      <c r="F1885" s="27" t="str">
        <f>Tabela12[[#This Row],[Régua]]&amp;" ("&amp;Tabela12[[#This Row],[Born]]&amp;")"</f>
        <v>XB-10 (10M)</v>
      </c>
      <c r="G1885" s="27">
        <f>LEN(Tabela12[[#This Row],[Anilha]])</f>
        <v>11</v>
      </c>
      <c r="H1885" s="21">
        <f>VLOOKUP(Tabela12[[#This Row],[Tag Cabo]],BD!A:F,6,0)</f>
        <v>1</v>
      </c>
      <c r="I1885" s="27" t="s">
        <v>1705</v>
      </c>
      <c r="J1885" s="27" t="s">
        <v>1706</v>
      </c>
    </row>
    <row r="1886" spans="1:10" x14ac:dyDescent="0.25">
      <c r="A1886" s="216" t="s">
        <v>626</v>
      </c>
      <c r="B1886" s="45" t="str">
        <f>VLOOKUP(Tabela12[[#This Row],[Painel]],Tabela13[],2,0)</f>
        <v>GB-1201</v>
      </c>
      <c r="C1886" s="45" t="s">
        <v>730</v>
      </c>
      <c r="D1886" s="21" t="s">
        <v>1955</v>
      </c>
      <c r="E1886" s="21" t="s">
        <v>1959</v>
      </c>
      <c r="F1886" s="27" t="str">
        <f>Tabela12[[#This Row],[Régua]]&amp;" ("&amp;Tabela12[[#This Row],[Born]]&amp;")"</f>
        <v>XB-10 (11H)</v>
      </c>
      <c r="G1886" s="27">
        <f>LEN(Tabela12[[#This Row],[Anilha]])</f>
        <v>11</v>
      </c>
      <c r="H1886" s="21">
        <f>VLOOKUP(Tabela12[[#This Row],[Tag Cabo]],BD!A:F,6,0)</f>
        <v>1</v>
      </c>
      <c r="I1886" s="27" t="s">
        <v>1705</v>
      </c>
      <c r="J1886" s="27" t="s">
        <v>1706</v>
      </c>
    </row>
    <row r="1887" spans="1:10" x14ac:dyDescent="0.25">
      <c r="A1887" s="216" t="s">
        <v>626</v>
      </c>
      <c r="B1887" s="45" t="str">
        <f>VLOOKUP(Tabela12[[#This Row],[Painel]],Tabela13[],2,0)</f>
        <v>GB-1201</v>
      </c>
      <c r="C1887" s="45" t="s">
        <v>730</v>
      </c>
      <c r="D1887" s="21" t="s">
        <v>1955</v>
      </c>
      <c r="E1887" s="21" t="s">
        <v>1960</v>
      </c>
      <c r="F1887" s="27" t="str">
        <f>Tabela12[[#This Row],[Régua]]&amp;" ("&amp;Tabela12[[#This Row],[Born]]&amp;")"</f>
        <v>XB-10 (11M)</v>
      </c>
      <c r="G1887" s="27">
        <f>LEN(Tabela12[[#This Row],[Anilha]])</f>
        <v>11</v>
      </c>
      <c r="H1887" s="21">
        <f>VLOOKUP(Tabela12[[#This Row],[Tag Cabo]],BD!A:F,6,0)</f>
        <v>1</v>
      </c>
      <c r="I1887" s="27" t="s">
        <v>1705</v>
      </c>
      <c r="J1887" s="27" t="s">
        <v>1706</v>
      </c>
    </row>
    <row r="1888" spans="1:10" x14ac:dyDescent="0.25">
      <c r="A1888" s="216" t="s">
        <v>626</v>
      </c>
      <c r="B1888" s="45" t="str">
        <f>VLOOKUP(Tabela12[[#This Row],[Painel]],Tabela13[],2,0)</f>
        <v>GB-1201</v>
      </c>
      <c r="C1888" s="45" t="s">
        <v>730</v>
      </c>
      <c r="D1888" s="21" t="s">
        <v>1955</v>
      </c>
      <c r="E1888" s="21" t="s">
        <v>1961</v>
      </c>
      <c r="F1888" s="27" t="str">
        <f>Tabela12[[#This Row],[Régua]]&amp;" ("&amp;Tabela12[[#This Row],[Born]]&amp;")"</f>
        <v>XB-10 (12H)</v>
      </c>
      <c r="G1888" s="27">
        <f>LEN(Tabela12[[#This Row],[Anilha]])</f>
        <v>11</v>
      </c>
      <c r="H1888" s="21">
        <f>VLOOKUP(Tabela12[[#This Row],[Tag Cabo]],BD!A:F,6,0)</f>
        <v>1</v>
      </c>
      <c r="I1888" s="27" t="s">
        <v>1705</v>
      </c>
      <c r="J1888" s="27" t="s">
        <v>1706</v>
      </c>
    </row>
    <row r="1889" spans="1:10" x14ac:dyDescent="0.25">
      <c r="A1889" s="216" t="s">
        <v>626</v>
      </c>
      <c r="B1889" s="45" t="str">
        <f>VLOOKUP(Tabela12[[#This Row],[Painel]],Tabela13[],2,0)</f>
        <v>GB-1201</v>
      </c>
      <c r="C1889" s="45" t="s">
        <v>730</v>
      </c>
      <c r="D1889" s="21" t="s">
        <v>1955</v>
      </c>
      <c r="E1889" s="21" t="s">
        <v>1962</v>
      </c>
      <c r="F1889" s="27" t="str">
        <f>Tabela12[[#This Row],[Régua]]&amp;" ("&amp;Tabela12[[#This Row],[Born]]&amp;")"</f>
        <v>XB-10 (12M)</v>
      </c>
      <c r="G1889" s="27">
        <f>LEN(Tabela12[[#This Row],[Anilha]])</f>
        <v>11</v>
      </c>
      <c r="H1889" s="21">
        <f>VLOOKUP(Tabela12[[#This Row],[Tag Cabo]],BD!A:F,6,0)</f>
        <v>1</v>
      </c>
      <c r="I1889" s="27" t="s">
        <v>1705</v>
      </c>
      <c r="J1889" s="27" t="s">
        <v>1706</v>
      </c>
    </row>
    <row r="1890" spans="1:10" x14ac:dyDescent="0.25">
      <c r="A1890" s="216" t="s">
        <v>626</v>
      </c>
      <c r="B1890" s="45" t="str">
        <f>VLOOKUP(Tabela12[[#This Row],[Painel]],Tabela13[],2,0)</f>
        <v>GB-1201</v>
      </c>
      <c r="C1890" s="45" t="s">
        <v>730</v>
      </c>
      <c r="D1890" s="21" t="s">
        <v>1955</v>
      </c>
      <c r="E1890" s="21" t="s">
        <v>1963</v>
      </c>
      <c r="F1890" s="27" t="str">
        <f>Tabela12[[#This Row],[Régua]]&amp;" ("&amp;Tabela12[[#This Row],[Born]]&amp;")"</f>
        <v>XB-10 (13H)</v>
      </c>
      <c r="G1890" s="27">
        <f>LEN(Tabela12[[#This Row],[Anilha]])</f>
        <v>11</v>
      </c>
      <c r="H1890" s="21">
        <f>VLOOKUP(Tabela12[[#This Row],[Tag Cabo]],BD!A:F,6,0)</f>
        <v>1</v>
      </c>
      <c r="I1890" s="27" t="s">
        <v>1705</v>
      </c>
      <c r="J1890" s="27" t="s">
        <v>1706</v>
      </c>
    </row>
    <row r="1891" spans="1:10" x14ac:dyDescent="0.25">
      <c r="A1891" s="216" t="s">
        <v>626</v>
      </c>
      <c r="B1891" s="45" t="str">
        <f>VLOOKUP(Tabela12[[#This Row],[Painel]],Tabela13[],2,0)</f>
        <v>GB-1201</v>
      </c>
      <c r="C1891" s="45" t="s">
        <v>730</v>
      </c>
      <c r="D1891" s="21" t="s">
        <v>1955</v>
      </c>
      <c r="E1891" s="21" t="s">
        <v>1964</v>
      </c>
      <c r="F1891" s="27" t="str">
        <f>Tabela12[[#This Row],[Régua]]&amp;" ("&amp;Tabela12[[#This Row],[Born]]&amp;")"</f>
        <v>XB-10 (13M)</v>
      </c>
      <c r="G1891" s="27">
        <f>LEN(Tabela12[[#This Row],[Anilha]])</f>
        <v>11</v>
      </c>
      <c r="H1891" s="21">
        <f>VLOOKUP(Tabela12[[#This Row],[Tag Cabo]],BD!A:F,6,0)</f>
        <v>1</v>
      </c>
      <c r="I1891" s="27" t="s">
        <v>1705</v>
      </c>
      <c r="J1891" s="27" t="s">
        <v>1706</v>
      </c>
    </row>
    <row r="1892" spans="1:10" x14ac:dyDescent="0.25">
      <c r="A1892" s="216" t="s">
        <v>626</v>
      </c>
      <c r="B1892" s="45" t="str">
        <f>VLOOKUP(Tabela12[[#This Row],[Painel]],Tabela13[],2,0)</f>
        <v>GB-1201</v>
      </c>
      <c r="C1892" s="45" t="s">
        <v>730</v>
      </c>
      <c r="D1892" s="21" t="s">
        <v>1955</v>
      </c>
      <c r="E1892" s="21" t="s">
        <v>1965</v>
      </c>
      <c r="F1892" s="27" t="str">
        <f>Tabela12[[#This Row],[Régua]]&amp;" ("&amp;Tabela12[[#This Row],[Born]]&amp;")"</f>
        <v>XB-10 (14H)</v>
      </c>
      <c r="G1892" s="27">
        <f>LEN(Tabela12[[#This Row],[Anilha]])</f>
        <v>11</v>
      </c>
      <c r="H1892" s="21">
        <f>VLOOKUP(Tabela12[[#This Row],[Tag Cabo]],BD!A:F,6,0)</f>
        <v>1</v>
      </c>
      <c r="I1892" s="27" t="s">
        <v>1705</v>
      </c>
      <c r="J1892" s="27" t="s">
        <v>1706</v>
      </c>
    </row>
    <row r="1893" spans="1:10" x14ac:dyDescent="0.25">
      <c r="A1893" s="216" t="s">
        <v>626</v>
      </c>
      <c r="B1893" s="45" t="str">
        <f>VLOOKUP(Tabela12[[#This Row],[Painel]],Tabela13[],2,0)</f>
        <v>GB-1201</v>
      </c>
      <c r="C1893" s="45" t="s">
        <v>730</v>
      </c>
      <c r="D1893" s="21" t="s">
        <v>1955</v>
      </c>
      <c r="E1893" s="21" t="s">
        <v>1966</v>
      </c>
      <c r="F1893" s="27" t="str">
        <f>Tabela12[[#This Row],[Régua]]&amp;" ("&amp;Tabela12[[#This Row],[Born]]&amp;")"</f>
        <v>XB-10 (14M)</v>
      </c>
      <c r="G1893" s="27">
        <f>LEN(Tabela12[[#This Row],[Anilha]])</f>
        <v>11</v>
      </c>
      <c r="H1893" s="21">
        <f>VLOOKUP(Tabela12[[#This Row],[Tag Cabo]],BD!A:F,6,0)</f>
        <v>1</v>
      </c>
      <c r="I1893" s="27" t="s">
        <v>1705</v>
      </c>
      <c r="J1893" s="27" t="s">
        <v>1706</v>
      </c>
    </row>
    <row r="1894" spans="1:10" x14ac:dyDescent="0.25">
      <c r="A1894" s="216" t="s">
        <v>626</v>
      </c>
      <c r="B1894" s="45" t="str">
        <f>VLOOKUP(Tabela12[[#This Row],[Painel]],Tabela13[],2,0)</f>
        <v>GB-1201</v>
      </c>
      <c r="C1894" s="45" t="s">
        <v>730</v>
      </c>
      <c r="D1894" s="21" t="s">
        <v>1955</v>
      </c>
      <c r="E1894" s="21" t="s">
        <v>1967</v>
      </c>
      <c r="F1894" s="27" t="str">
        <f>Tabela12[[#This Row],[Régua]]&amp;" ("&amp;Tabela12[[#This Row],[Born]]&amp;")"</f>
        <v>XB-10 (15H)</v>
      </c>
      <c r="G1894" s="27">
        <f>LEN(Tabela12[[#This Row],[Anilha]])</f>
        <v>11</v>
      </c>
      <c r="H1894" s="21">
        <f>VLOOKUP(Tabela12[[#This Row],[Tag Cabo]],BD!A:F,6,0)</f>
        <v>1</v>
      </c>
      <c r="I1894" s="27" t="s">
        <v>1705</v>
      </c>
      <c r="J1894" s="27" t="s">
        <v>1706</v>
      </c>
    </row>
    <row r="1895" spans="1:10" x14ac:dyDescent="0.25">
      <c r="A1895" s="216" t="s">
        <v>626</v>
      </c>
      <c r="B1895" s="45" t="str">
        <f>VLOOKUP(Tabela12[[#This Row],[Painel]],Tabela13[],2,0)</f>
        <v>GB-1201</v>
      </c>
      <c r="C1895" s="45" t="s">
        <v>730</v>
      </c>
      <c r="D1895" s="21" t="s">
        <v>1955</v>
      </c>
      <c r="E1895" s="21" t="s">
        <v>1968</v>
      </c>
      <c r="F1895" s="27" t="str">
        <f>Tabela12[[#This Row],[Régua]]&amp;" ("&amp;Tabela12[[#This Row],[Born]]&amp;")"</f>
        <v>XB-10 (15M)</v>
      </c>
      <c r="G1895" s="27">
        <f>LEN(Tabela12[[#This Row],[Anilha]])</f>
        <v>11</v>
      </c>
      <c r="H1895" s="21">
        <f>VLOOKUP(Tabela12[[#This Row],[Tag Cabo]],BD!A:F,6,0)</f>
        <v>1</v>
      </c>
      <c r="I1895" s="27" t="s">
        <v>1705</v>
      </c>
      <c r="J1895" s="27" t="s">
        <v>1706</v>
      </c>
    </row>
    <row r="1896" spans="1:10" x14ac:dyDescent="0.25">
      <c r="A1896" s="216" t="s">
        <v>626</v>
      </c>
      <c r="B1896" s="45" t="str">
        <f>VLOOKUP(Tabela12[[#This Row],[Painel]],Tabela13[],2,0)</f>
        <v>GB-1201</v>
      </c>
      <c r="C1896" s="45" t="s">
        <v>730</v>
      </c>
      <c r="D1896" s="21" t="s">
        <v>1955</v>
      </c>
      <c r="E1896" s="21" t="s">
        <v>1969</v>
      </c>
      <c r="F1896" s="27" t="str">
        <f>Tabela12[[#This Row],[Régua]]&amp;" ("&amp;Tabela12[[#This Row],[Born]]&amp;")"</f>
        <v>XB-10 (16H)</v>
      </c>
      <c r="G1896" s="27">
        <f>LEN(Tabela12[[#This Row],[Anilha]])</f>
        <v>11</v>
      </c>
      <c r="H1896" s="21">
        <f>VLOOKUP(Tabela12[[#This Row],[Tag Cabo]],BD!A:F,6,0)</f>
        <v>1</v>
      </c>
      <c r="I1896" s="27" t="s">
        <v>1705</v>
      </c>
      <c r="J1896" s="27" t="s">
        <v>1706</v>
      </c>
    </row>
    <row r="1897" spans="1:10" x14ac:dyDescent="0.25">
      <c r="A1897" s="216" t="s">
        <v>626</v>
      </c>
      <c r="B1897" s="45" t="str">
        <f>VLOOKUP(Tabela12[[#This Row],[Painel]],Tabela13[],2,0)</f>
        <v>GB-1201</v>
      </c>
      <c r="C1897" s="45" t="s">
        <v>730</v>
      </c>
      <c r="D1897" s="21" t="s">
        <v>1955</v>
      </c>
      <c r="E1897" s="21" t="s">
        <v>1970</v>
      </c>
      <c r="F1897" s="27" t="str">
        <f>Tabela12[[#This Row],[Régua]]&amp;" ("&amp;Tabela12[[#This Row],[Born]]&amp;")"</f>
        <v>XB-10 (16M)</v>
      </c>
      <c r="G1897" s="27">
        <f>LEN(Tabela12[[#This Row],[Anilha]])</f>
        <v>11</v>
      </c>
      <c r="H1897" s="21">
        <f>VLOOKUP(Tabela12[[#This Row],[Tag Cabo]],BD!A:F,6,0)</f>
        <v>1</v>
      </c>
      <c r="I1897" s="27" t="s">
        <v>1705</v>
      </c>
      <c r="J1897" s="27" t="s">
        <v>1706</v>
      </c>
    </row>
    <row r="1898" spans="1:10" x14ac:dyDescent="0.25">
      <c r="A1898" s="216" t="s">
        <v>626</v>
      </c>
      <c r="B1898" s="45" t="str">
        <f>VLOOKUP(Tabela12[[#This Row],[Painel]],Tabela13[],2,0)</f>
        <v>GB-1201</v>
      </c>
      <c r="C1898" s="45" t="s">
        <v>730</v>
      </c>
      <c r="D1898" s="21" t="s">
        <v>1955</v>
      </c>
      <c r="E1898" s="21" t="s">
        <v>1971</v>
      </c>
      <c r="F1898" s="27" t="str">
        <f>Tabela12[[#This Row],[Régua]]&amp;" ("&amp;Tabela12[[#This Row],[Born]]&amp;")"</f>
        <v>XB-10 (17H)</v>
      </c>
      <c r="G1898" s="27">
        <f>LEN(Tabela12[[#This Row],[Anilha]])</f>
        <v>11</v>
      </c>
      <c r="H1898" s="21">
        <f>VLOOKUP(Tabela12[[#This Row],[Tag Cabo]],BD!A:F,6,0)</f>
        <v>1</v>
      </c>
      <c r="I1898" s="27" t="s">
        <v>1705</v>
      </c>
      <c r="J1898" s="27" t="s">
        <v>1706</v>
      </c>
    </row>
    <row r="1899" spans="1:10" x14ac:dyDescent="0.25">
      <c r="A1899" s="216" t="s">
        <v>626</v>
      </c>
      <c r="B1899" s="45" t="str">
        <f>VLOOKUP(Tabela12[[#This Row],[Painel]],Tabela13[],2,0)</f>
        <v>GB-1201</v>
      </c>
      <c r="C1899" s="45" t="s">
        <v>730</v>
      </c>
      <c r="D1899" s="21" t="s">
        <v>1955</v>
      </c>
      <c r="E1899" s="21" t="s">
        <v>1972</v>
      </c>
      <c r="F1899" s="27" t="str">
        <f>Tabela12[[#This Row],[Régua]]&amp;" ("&amp;Tabela12[[#This Row],[Born]]&amp;")"</f>
        <v>XB-10 (17M)</v>
      </c>
      <c r="G1899" s="27">
        <f>LEN(Tabela12[[#This Row],[Anilha]])</f>
        <v>11</v>
      </c>
      <c r="H1899" s="21">
        <f>VLOOKUP(Tabela12[[#This Row],[Tag Cabo]],BD!A:F,6,0)</f>
        <v>1</v>
      </c>
      <c r="I1899" s="27" t="s">
        <v>1705</v>
      </c>
      <c r="J1899" s="27" t="s">
        <v>1706</v>
      </c>
    </row>
    <row r="1900" spans="1:10" x14ac:dyDescent="0.25">
      <c r="A1900" s="216" t="s">
        <v>626</v>
      </c>
      <c r="B1900" s="45" t="str">
        <f>VLOOKUP(Tabela12[[#This Row],[Painel]],Tabela13[],2,0)</f>
        <v>30LV</v>
      </c>
      <c r="C1900" s="45" t="s">
        <v>1635</v>
      </c>
      <c r="D1900" s="21" t="s">
        <v>1954</v>
      </c>
      <c r="E1900" s="21">
        <v>31</v>
      </c>
      <c r="F1900" s="27" t="str">
        <f>Tabela12[[#This Row],[Régua]]&amp;" ("&amp;Tabela12[[#This Row],[Born]]&amp;")"</f>
        <v>TB-26 (31)</v>
      </c>
      <c r="G1900" s="27">
        <f>LEN(Tabela12[[#This Row],[Anilha]])</f>
        <v>10</v>
      </c>
      <c r="H1900" s="21">
        <f>VLOOKUP(Tabela12[[#This Row],[Tag Cabo]],BD!A:F,6,0)</f>
        <v>1</v>
      </c>
      <c r="I1900" s="27" t="s">
        <v>1705</v>
      </c>
      <c r="J1900" s="27" t="s">
        <v>1706</v>
      </c>
    </row>
    <row r="1901" spans="1:10" x14ac:dyDescent="0.25">
      <c r="A1901" s="216" t="s">
        <v>626</v>
      </c>
      <c r="B1901" s="45" t="str">
        <f>VLOOKUP(Tabela12[[#This Row],[Painel]],Tabela13[],2,0)</f>
        <v>30LV</v>
      </c>
      <c r="C1901" s="45" t="s">
        <v>1635</v>
      </c>
      <c r="D1901" s="21" t="s">
        <v>1954</v>
      </c>
      <c r="E1901" s="21">
        <v>32</v>
      </c>
      <c r="F1901" s="27" t="str">
        <f>Tabela12[[#This Row],[Régua]]&amp;" ("&amp;Tabela12[[#This Row],[Born]]&amp;")"</f>
        <v>TB-26 (32)</v>
      </c>
      <c r="G1901" s="27">
        <f>LEN(Tabela12[[#This Row],[Anilha]])</f>
        <v>10</v>
      </c>
      <c r="H1901" s="21">
        <f>VLOOKUP(Tabela12[[#This Row],[Tag Cabo]],BD!A:F,6,0)</f>
        <v>1</v>
      </c>
      <c r="I1901" s="27" t="s">
        <v>1705</v>
      </c>
      <c r="J1901" s="27" t="s">
        <v>1706</v>
      </c>
    </row>
    <row r="1902" spans="1:10" x14ac:dyDescent="0.25">
      <c r="A1902" s="216" t="s">
        <v>626</v>
      </c>
      <c r="B1902" s="45" t="str">
        <f>VLOOKUP(Tabela12[[#This Row],[Painel]],Tabela13[],2,0)</f>
        <v>30LV</v>
      </c>
      <c r="C1902" s="45" t="s">
        <v>1635</v>
      </c>
      <c r="D1902" s="21" t="s">
        <v>1954</v>
      </c>
      <c r="E1902" s="21">
        <v>34</v>
      </c>
      <c r="F1902" s="27" t="str">
        <f>Tabela12[[#This Row],[Régua]]&amp;" ("&amp;Tabela12[[#This Row],[Born]]&amp;")"</f>
        <v>TB-26 (34)</v>
      </c>
      <c r="G1902" s="27">
        <f>LEN(Tabela12[[#This Row],[Anilha]])</f>
        <v>10</v>
      </c>
      <c r="H1902" s="21">
        <f>VLOOKUP(Tabela12[[#This Row],[Tag Cabo]],BD!A:F,6,0)</f>
        <v>1</v>
      </c>
      <c r="I1902" s="27" t="s">
        <v>1705</v>
      </c>
      <c r="J1902" s="27" t="s">
        <v>1706</v>
      </c>
    </row>
    <row r="1903" spans="1:10" x14ac:dyDescent="0.25">
      <c r="A1903" s="216" t="s">
        <v>626</v>
      </c>
      <c r="B1903" s="45" t="str">
        <f>VLOOKUP(Tabela12[[#This Row],[Painel]],Tabela13[],2,0)</f>
        <v>30LV</v>
      </c>
      <c r="C1903" s="45" t="s">
        <v>1635</v>
      </c>
      <c r="D1903" s="21" t="s">
        <v>1954</v>
      </c>
      <c r="E1903" s="21">
        <v>35</v>
      </c>
      <c r="F1903" s="27" t="str">
        <f>Tabela12[[#This Row],[Régua]]&amp;" ("&amp;Tabela12[[#This Row],[Born]]&amp;")"</f>
        <v>TB-26 (35)</v>
      </c>
      <c r="G1903" s="27">
        <f>LEN(Tabela12[[#This Row],[Anilha]])</f>
        <v>10</v>
      </c>
      <c r="H1903" s="21">
        <f>VLOOKUP(Tabela12[[#This Row],[Tag Cabo]],BD!A:F,6,0)</f>
        <v>1</v>
      </c>
      <c r="I1903" s="27" t="s">
        <v>1705</v>
      </c>
      <c r="J1903" s="27" t="s">
        <v>1706</v>
      </c>
    </row>
    <row r="1904" spans="1:10" x14ac:dyDescent="0.25">
      <c r="A1904" s="216" t="s">
        <v>626</v>
      </c>
      <c r="B1904" s="45" t="str">
        <f>VLOOKUP(Tabela12[[#This Row],[Painel]],Tabela13[],2,0)</f>
        <v>30LV</v>
      </c>
      <c r="C1904" s="45" t="s">
        <v>1635</v>
      </c>
      <c r="D1904" s="21" t="s">
        <v>1954</v>
      </c>
      <c r="E1904" s="21">
        <v>37</v>
      </c>
      <c r="F1904" s="27" t="str">
        <f>Tabela12[[#This Row],[Régua]]&amp;" ("&amp;Tabela12[[#This Row],[Born]]&amp;")"</f>
        <v>TB-26 (37)</v>
      </c>
      <c r="G1904" s="27">
        <f>LEN(Tabela12[[#This Row],[Anilha]])</f>
        <v>10</v>
      </c>
      <c r="H1904" s="21">
        <f>VLOOKUP(Tabela12[[#This Row],[Tag Cabo]],BD!A:F,6,0)</f>
        <v>1</v>
      </c>
      <c r="I1904" s="27" t="s">
        <v>1705</v>
      </c>
      <c r="J1904" s="27" t="s">
        <v>1706</v>
      </c>
    </row>
    <row r="1905" spans="1:10" x14ac:dyDescent="0.25">
      <c r="A1905" s="216" t="s">
        <v>626</v>
      </c>
      <c r="B1905" s="45" t="str">
        <f>VLOOKUP(Tabela12[[#This Row],[Painel]],Tabela13[],2,0)</f>
        <v>30LV</v>
      </c>
      <c r="C1905" s="45" t="s">
        <v>1635</v>
      </c>
      <c r="D1905" s="21" t="s">
        <v>1954</v>
      </c>
      <c r="E1905" s="21">
        <v>38</v>
      </c>
      <c r="F1905" s="27" t="str">
        <f>Tabela12[[#This Row],[Régua]]&amp;" ("&amp;Tabela12[[#This Row],[Born]]&amp;")"</f>
        <v>TB-26 (38)</v>
      </c>
      <c r="G1905" s="27">
        <f>LEN(Tabela12[[#This Row],[Anilha]])</f>
        <v>10</v>
      </c>
      <c r="H1905" s="21">
        <f>VLOOKUP(Tabela12[[#This Row],[Tag Cabo]],BD!A:F,6,0)</f>
        <v>1</v>
      </c>
      <c r="I1905" s="27" t="s">
        <v>1705</v>
      </c>
      <c r="J1905" s="27" t="s">
        <v>1706</v>
      </c>
    </row>
    <row r="1906" spans="1:10" x14ac:dyDescent="0.25">
      <c r="A1906" s="216" t="s">
        <v>626</v>
      </c>
      <c r="B1906" s="45" t="str">
        <f>VLOOKUP(Tabela12[[#This Row],[Painel]],Tabela13[],2,0)</f>
        <v>30LV</v>
      </c>
      <c r="C1906" s="45" t="s">
        <v>1635</v>
      </c>
      <c r="D1906" s="21" t="s">
        <v>1954</v>
      </c>
      <c r="E1906" s="21">
        <v>40</v>
      </c>
      <c r="F1906" s="27" t="str">
        <f>Tabela12[[#This Row],[Régua]]&amp;" ("&amp;Tabela12[[#This Row],[Born]]&amp;")"</f>
        <v>TB-26 (40)</v>
      </c>
      <c r="G1906" s="27">
        <f>LEN(Tabela12[[#This Row],[Anilha]])</f>
        <v>10</v>
      </c>
      <c r="H1906" s="21">
        <f>VLOOKUP(Tabela12[[#This Row],[Tag Cabo]],BD!A:F,6,0)</f>
        <v>1</v>
      </c>
      <c r="I1906" s="27" t="s">
        <v>1705</v>
      </c>
      <c r="J1906" s="27" t="s">
        <v>1706</v>
      </c>
    </row>
    <row r="1907" spans="1:10" x14ac:dyDescent="0.25">
      <c r="A1907" s="216" t="s">
        <v>626</v>
      </c>
      <c r="B1907" s="45" t="str">
        <f>VLOOKUP(Tabela12[[#This Row],[Painel]],Tabela13[],2,0)</f>
        <v>30LV</v>
      </c>
      <c r="C1907" s="45" t="s">
        <v>1635</v>
      </c>
      <c r="D1907" s="21" t="s">
        <v>1954</v>
      </c>
      <c r="E1907" s="21">
        <v>41</v>
      </c>
      <c r="F1907" s="27" t="str">
        <f>Tabela12[[#This Row],[Régua]]&amp;" ("&amp;Tabela12[[#This Row],[Born]]&amp;")"</f>
        <v>TB-26 (41)</v>
      </c>
      <c r="G1907" s="27">
        <f>LEN(Tabela12[[#This Row],[Anilha]])</f>
        <v>10</v>
      </c>
      <c r="H1907" s="21">
        <f>VLOOKUP(Tabela12[[#This Row],[Tag Cabo]],BD!A:F,6,0)</f>
        <v>1</v>
      </c>
      <c r="I1907" s="27" t="s">
        <v>1705</v>
      </c>
      <c r="J1907" s="27" t="s">
        <v>1706</v>
      </c>
    </row>
    <row r="1908" spans="1:10" x14ac:dyDescent="0.25">
      <c r="A1908" s="216" t="s">
        <v>626</v>
      </c>
      <c r="B1908" s="45" t="str">
        <f>VLOOKUP(Tabela12[[#This Row],[Painel]],Tabela13[],2,0)</f>
        <v>30LV</v>
      </c>
      <c r="C1908" s="45" t="s">
        <v>1635</v>
      </c>
      <c r="D1908" s="21" t="s">
        <v>1954</v>
      </c>
      <c r="E1908" s="21">
        <v>43</v>
      </c>
      <c r="F1908" s="27" t="str">
        <f>Tabela12[[#This Row],[Régua]]&amp;" ("&amp;Tabela12[[#This Row],[Born]]&amp;")"</f>
        <v>TB-26 (43)</v>
      </c>
      <c r="G1908" s="27">
        <f>LEN(Tabela12[[#This Row],[Anilha]])</f>
        <v>10</v>
      </c>
      <c r="H1908" s="21">
        <f>VLOOKUP(Tabela12[[#This Row],[Tag Cabo]],BD!A:F,6,0)</f>
        <v>1</v>
      </c>
      <c r="I1908" s="27" t="s">
        <v>1705</v>
      </c>
      <c r="J1908" s="27" t="s">
        <v>1706</v>
      </c>
    </row>
    <row r="1909" spans="1:10" x14ac:dyDescent="0.25">
      <c r="A1909" s="216" t="s">
        <v>626</v>
      </c>
      <c r="B1909" s="45" t="str">
        <f>VLOOKUP(Tabela12[[#This Row],[Painel]],Tabela13[],2,0)</f>
        <v>30LV</v>
      </c>
      <c r="C1909" s="45" t="s">
        <v>1635</v>
      </c>
      <c r="D1909" s="21" t="s">
        <v>1954</v>
      </c>
      <c r="E1909" s="21">
        <v>44</v>
      </c>
      <c r="F1909" s="27" t="str">
        <f>Tabela12[[#This Row],[Régua]]&amp;" ("&amp;Tabela12[[#This Row],[Born]]&amp;")"</f>
        <v>TB-26 (44)</v>
      </c>
      <c r="G1909" s="27">
        <f>LEN(Tabela12[[#This Row],[Anilha]])</f>
        <v>10</v>
      </c>
      <c r="H1909" s="21">
        <f>VLOOKUP(Tabela12[[#This Row],[Tag Cabo]],BD!A:F,6,0)</f>
        <v>1</v>
      </c>
      <c r="I1909" s="27" t="s">
        <v>1705</v>
      </c>
      <c r="J1909" s="27" t="s">
        <v>1706</v>
      </c>
    </row>
    <row r="1910" spans="1:10" x14ac:dyDescent="0.25">
      <c r="A1910" s="216" t="s">
        <v>626</v>
      </c>
      <c r="B1910" s="45" t="str">
        <f>VLOOKUP(Tabela12[[#This Row],[Painel]],Tabela13[],2,0)</f>
        <v>30LV</v>
      </c>
      <c r="C1910" s="45" t="s">
        <v>1635</v>
      </c>
      <c r="D1910" s="21" t="s">
        <v>1954</v>
      </c>
      <c r="E1910" s="21">
        <v>46</v>
      </c>
      <c r="F1910" s="27" t="str">
        <f>Tabela12[[#This Row],[Régua]]&amp;" ("&amp;Tabela12[[#This Row],[Born]]&amp;")"</f>
        <v>TB-26 (46)</v>
      </c>
      <c r="G1910" s="27">
        <f>LEN(Tabela12[[#This Row],[Anilha]])</f>
        <v>10</v>
      </c>
      <c r="H1910" s="21">
        <f>VLOOKUP(Tabela12[[#This Row],[Tag Cabo]],BD!A:F,6,0)</f>
        <v>1</v>
      </c>
      <c r="I1910" s="27" t="s">
        <v>1705</v>
      </c>
      <c r="J1910" s="27" t="s">
        <v>1706</v>
      </c>
    </row>
    <row r="1911" spans="1:10" x14ac:dyDescent="0.25">
      <c r="A1911" s="216" t="s">
        <v>626</v>
      </c>
      <c r="B1911" s="45" t="str">
        <f>VLOOKUP(Tabela12[[#This Row],[Painel]],Tabela13[],2,0)</f>
        <v>30LV</v>
      </c>
      <c r="C1911" s="45" t="s">
        <v>1635</v>
      </c>
      <c r="D1911" s="21" t="s">
        <v>1954</v>
      </c>
      <c r="E1911" s="21">
        <v>47</v>
      </c>
      <c r="F1911" s="27" t="str">
        <f>Tabela12[[#This Row],[Régua]]&amp;" ("&amp;Tabela12[[#This Row],[Born]]&amp;")"</f>
        <v>TB-26 (47)</v>
      </c>
      <c r="G1911" s="27">
        <f>LEN(Tabela12[[#This Row],[Anilha]])</f>
        <v>10</v>
      </c>
      <c r="H1911" s="21">
        <f>VLOOKUP(Tabela12[[#This Row],[Tag Cabo]],BD!A:F,6,0)</f>
        <v>1</v>
      </c>
      <c r="I1911" s="27" t="s">
        <v>1705</v>
      </c>
      <c r="J1911" s="27" t="s">
        <v>1706</v>
      </c>
    </row>
    <row r="1912" spans="1:10" x14ac:dyDescent="0.25">
      <c r="A1912" s="216" t="s">
        <v>626</v>
      </c>
      <c r="B1912" s="45" t="str">
        <f>VLOOKUP(Tabela12[[#This Row],[Painel]],Tabela13[],2,0)</f>
        <v>30LV</v>
      </c>
      <c r="C1912" s="45" t="s">
        <v>1635</v>
      </c>
      <c r="D1912" s="21" t="s">
        <v>1954</v>
      </c>
      <c r="E1912" s="21">
        <v>49</v>
      </c>
      <c r="F1912" s="27" t="str">
        <f>Tabela12[[#This Row],[Régua]]&amp;" ("&amp;Tabela12[[#This Row],[Born]]&amp;")"</f>
        <v>TB-26 (49)</v>
      </c>
      <c r="G1912" s="27">
        <f>LEN(Tabela12[[#This Row],[Anilha]])</f>
        <v>10</v>
      </c>
      <c r="H1912" s="21">
        <f>VLOOKUP(Tabela12[[#This Row],[Tag Cabo]],BD!A:F,6,0)</f>
        <v>1</v>
      </c>
      <c r="I1912" s="27" t="s">
        <v>1705</v>
      </c>
      <c r="J1912" s="27" t="s">
        <v>1706</v>
      </c>
    </row>
    <row r="1913" spans="1:10" x14ac:dyDescent="0.25">
      <c r="A1913" s="216" t="s">
        <v>626</v>
      </c>
      <c r="B1913" s="45" t="str">
        <f>VLOOKUP(Tabela12[[#This Row],[Painel]],Tabela13[],2,0)</f>
        <v>30LV</v>
      </c>
      <c r="C1913" s="45" t="s">
        <v>1635</v>
      </c>
      <c r="D1913" s="21" t="s">
        <v>1954</v>
      </c>
      <c r="E1913" s="21">
        <v>50</v>
      </c>
      <c r="F1913" s="27" t="str">
        <f>Tabela12[[#This Row],[Régua]]&amp;" ("&amp;Tabela12[[#This Row],[Born]]&amp;")"</f>
        <v>TB-26 (50)</v>
      </c>
      <c r="G1913" s="27">
        <f>LEN(Tabela12[[#This Row],[Anilha]])</f>
        <v>10</v>
      </c>
      <c r="H1913" s="21">
        <f>VLOOKUP(Tabela12[[#This Row],[Tag Cabo]],BD!A:F,6,0)</f>
        <v>1</v>
      </c>
      <c r="I1913" s="27" t="s">
        <v>1705</v>
      </c>
      <c r="J1913" s="27" t="s">
        <v>1706</v>
      </c>
    </row>
    <row r="1914" spans="1:10" x14ac:dyDescent="0.25">
      <c r="A1914" s="216" t="s">
        <v>626</v>
      </c>
      <c r="B1914" s="45" t="str">
        <f>VLOOKUP(Tabela12[[#This Row],[Painel]],Tabela13[],2,0)</f>
        <v>30LV</v>
      </c>
      <c r="C1914" s="45" t="s">
        <v>1635</v>
      </c>
      <c r="D1914" s="21" t="s">
        <v>1954</v>
      </c>
      <c r="E1914" s="21">
        <v>52</v>
      </c>
      <c r="F1914" s="27" t="str">
        <f>Tabela12[[#This Row],[Régua]]&amp;" ("&amp;Tabela12[[#This Row],[Born]]&amp;")"</f>
        <v>TB-26 (52)</v>
      </c>
      <c r="G1914" s="27">
        <f>LEN(Tabela12[[#This Row],[Anilha]])</f>
        <v>10</v>
      </c>
      <c r="H1914" s="21">
        <f>VLOOKUP(Tabela12[[#This Row],[Tag Cabo]],BD!A:F,6,0)</f>
        <v>1</v>
      </c>
      <c r="I1914" s="27" t="s">
        <v>1705</v>
      </c>
      <c r="J1914" s="27" t="s">
        <v>1706</v>
      </c>
    </row>
    <row r="1915" spans="1:10" x14ac:dyDescent="0.25">
      <c r="A1915" s="216" t="s">
        <v>626</v>
      </c>
      <c r="B1915" s="45" t="str">
        <f>VLOOKUP(Tabela12[[#This Row],[Painel]],Tabela13[],2,0)</f>
        <v>30LV</v>
      </c>
      <c r="C1915" s="45" t="s">
        <v>1635</v>
      </c>
      <c r="D1915" s="21" t="s">
        <v>1954</v>
      </c>
      <c r="E1915" s="21">
        <v>53</v>
      </c>
      <c r="F1915" s="27" t="str">
        <f>Tabela12[[#This Row],[Régua]]&amp;" ("&amp;Tabela12[[#This Row],[Born]]&amp;")"</f>
        <v>TB-26 (53)</v>
      </c>
      <c r="G1915" s="27">
        <f>LEN(Tabela12[[#This Row],[Anilha]])</f>
        <v>10</v>
      </c>
      <c r="H1915" s="21">
        <f>VLOOKUP(Tabela12[[#This Row],[Tag Cabo]],BD!A:F,6,0)</f>
        <v>1</v>
      </c>
      <c r="I1915" s="27" t="s">
        <v>1705</v>
      </c>
      <c r="J1915" s="27" t="s">
        <v>1706</v>
      </c>
    </row>
    <row r="1916" spans="1:10" x14ac:dyDescent="0.25">
      <c r="A1916" s="216" t="s">
        <v>626</v>
      </c>
      <c r="B1916" s="45" t="str">
        <f>VLOOKUP(Tabela12[[#This Row],[Painel]],Tabela13[],2,0)</f>
        <v>30LV</v>
      </c>
      <c r="C1916" s="45" t="s">
        <v>1635</v>
      </c>
      <c r="D1916" s="21" t="s">
        <v>1954</v>
      </c>
      <c r="E1916" s="21">
        <v>55</v>
      </c>
      <c r="F1916" s="27" t="str">
        <f>Tabela12[[#This Row],[Régua]]&amp;" ("&amp;Tabela12[[#This Row],[Born]]&amp;")"</f>
        <v>TB-26 (55)</v>
      </c>
      <c r="G1916" s="27">
        <f>LEN(Tabela12[[#This Row],[Anilha]])</f>
        <v>10</v>
      </c>
      <c r="H1916" s="21">
        <f>VLOOKUP(Tabela12[[#This Row],[Tag Cabo]],BD!A:F,6,0)</f>
        <v>1</v>
      </c>
      <c r="I1916" s="27" t="s">
        <v>1705</v>
      </c>
      <c r="J1916" s="27" t="s">
        <v>1706</v>
      </c>
    </row>
    <row r="1917" spans="1:10" x14ac:dyDescent="0.25">
      <c r="A1917" s="216" t="s">
        <v>626</v>
      </c>
      <c r="B1917" s="45" t="str">
        <f>VLOOKUP(Tabela12[[#This Row],[Painel]],Tabela13[],2,0)</f>
        <v>30LV</v>
      </c>
      <c r="C1917" s="45" t="s">
        <v>1635</v>
      </c>
      <c r="D1917" s="21" t="s">
        <v>1954</v>
      </c>
      <c r="E1917" s="21">
        <v>56</v>
      </c>
      <c r="F1917" s="27" t="str">
        <f>Tabela12[[#This Row],[Régua]]&amp;" ("&amp;Tabela12[[#This Row],[Born]]&amp;")"</f>
        <v>TB-26 (56)</v>
      </c>
      <c r="G1917" s="27">
        <f>LEN(Tabela12[[#This Row],[Anilha]])</f>
        <v>10</v>
      </c>
      <c r="H1917" s="21">
        <f>VLOOKUP(Tabela12[[#This Row],[Tag Cabo]],BD!A:F,6,0)</f>
        <v>1</v>
      </c>
      <c r="I1917" s="27" t="s">
        <v>1705</v>
      </c>
      <c r="J1917" s="27" t="s">
        <v>1706</v>
      </c>
    </row>
    <row r="1918" spans="1:10" x14ac:dyDescent="0.25">
      <c r="A1918" s="216" t="s">
        <v>627</v>
      </c>
      <c r="B1918" s="45" t="str">
        <f>VLOOKUP(Tabela12[[#This Row],[Painel]],Tabela13[],2,0)</f>
        <v>7HV</v>
      </c>
      <c r="C1918" s="45" t="s">
        <v>1557</v>
      </c>
      <c r="D1918" s="21" t="s">
        <v>1973</v>
      </c>
      <c r="E1918" s="21">
        <v>30</v>
      </c>
      <c r="F1918" s="27" t="str">
        <f>Tabela12[[#This Row],[Régua]]&amp;" ("&amp;Tabela12[[#This Row],[Born]]&amp;")"</f>
        <v>TR-24A-X1 (30)</v>
      </c>
      <c r="G1918" s="27">
        <f>LEN(Tabela12[[#This Row],[Anilha]])</f>
        <v>14</v>
      </c>
      <c r="H1918" s="21">
        <f>VLOOKUP(Tabela12[[#This Row],[Tag Cabo]],BD!A:F,6,0)</f>
        <v>1</v>
      </c>
      <c r="I1918" s="27" t="s">
        <v>1705</v>
      </c>
      <c r="J1918" s="27" t="s">
        <v>1706</v>
      </c>
    </row>
    <row r="1919" spans="1:10" x14ac:dyDescent="0.25">
      <c r="A1919" s="216" t="s">
        <v>627</v>
      </c>
      <c r="B1919" s="45" t="str">
        <f>VLOOKUP(Tabela12[[#This Row],[Painel]],Tabela13[],2,0)</f>
        <v>7HV</v>
      </c>
      <c r="C1919" s="45" t="s">
        <v>1557</v>
      </c>
      <c r="D1919" s="21" t="s">
        <v>1973</v>
      </c>
      <c r="E1919" s="21">
        <v>28</v>
      </c>
      <c r="F1919" s="27" t="str">
        <f>Tabela12[[#This Row],[Régua]]&amp;" ("&amp;Tabela12[[#This Row],[Born]]&amp;")"</f>
        <v>TR-24A-X1 (28)</v>
      </c>
      <c r="G1919" s="27">
        <f>LEN(Tabela12[[#This Row],[Anilha]])</f>
        <v>14</v>
      </c>
      <c r="H1919" s="21">
        <f>VLOOKUP(Tabela12[[#This Row],[Tag Cabo]],BD!A:F,6,0)</f>
        <v>1</v>
      </c>
      <c r="I1919" s="27" t="s">
        <v>1705</v>
      </c>
      <c r="J1919" s="27" t="s">
        <v>1706</v>
      </c>
    </row>
    <row r="1920" spans="1:10" x14ac:dyDescent="0.25">
      <c r="A1920" s="216" t="s">
        <v>627</v>
      </c>
      <c r="B1920" s="45" t="str">
        <f>VLOOKUP(Tabela12[[#This Row],[Painel]],Tabela13[],2,0)</f>
        <v>30LV</v>
      </c>
      <c r="C1920" s="45" t="s">
        <v>1635</v>
      </c>
      <c r="D1920" s="21" t="s">
        <v>1946</v>
      </c>
      <c r="E1920" s="21">
        <v>13</v>
      </c>
      <c r="F1920" s="27" t="str">
        <f>Tabela12[[#This Row],[Régua]]&amp;" ("&amp;Tabela12[[#This Row],[Born]]&amp;")"</f>
        <v>TB-31 (13)</v>
      </c>
      <c r="G1920" s="27">
        <f>LEN(Tabela12[[#This Row],[Anilha]])</f>
        <v>10</v>
      </c>
      <c r="H1920" s="21">
        <f>VLOOKUP(Tabela12[[#This Row],[Tag Cabo]],BD!A:F,6,0)</f>
        <v>1</v>
      </c>
      <c r="I1920" s="27" t="s">
        <v>1705</v>
      </c>
      <c r="J1920" s="27" t="s">
        <v>1706</v>
      </c>
    </row>
    <row r="1921" spans="1:10" x14ac:dyDescent="0.25">
      <c r="A1921" s="216" t="s">
        <v>627</v>
      </c>
      <c r="B1921" s="45" t="str">
        <f>VLOOKUP(Tabela12[[#This Row],[Painel]],Tabela13[],2,0)</f>
        <v>30LV</v>
      </c>
      <c r="C1921" s="45" t="s">
        <v>1635</v>
      </c>
      <c r="D1921" s="21" t="s">
        <v>1946</v>
      </c>
      <c r="E1921" s="21">
        <v>14</v>
      </c>
      <c r="F1921" s="27" t="str">
        <f>Tabela12[[#This Row],[Régua]]&amp;" ("&amp;Tabela12[[#This Row],[Born]]&amp;")"</f>
        <v>TB-31 (14)</v>
      </c>
      <c r="G1921" s="27">
        <f>LEN(Tabela12[[#This Row],[Anilha]])</f>
        <v>10</v>
      </c>
      <c r="H1921" s="21">
        <f>VLOOKUP(Tabela12[[#This Row],[Tag Cabo]],BD!A:F,6,0)</f>
        <v>1</v>
      </c>
      <c r="I1921" s="27" t="s">
        <v>1705</v>
      </c>
      <c r="J1921" s="27" t="s">
        <v>1706</v>
      </c>
    </row>
    <row r="1922" spans="1:10" x14ac:dyDescent="0.25">
      <c r="A1922" s="216" t="s">
        <v>629</v>
      </c>
      <c r="B1922" s="45" t="str">
        <f>VLOOKUP(Tabela12[[#This Row],[Painel]],Tabela13[],2,0)</f>
        <v>7HV</v>
      </c>
      <c r="C1922" s="45" t="s">
        <v>1558</v>
      </c>
      <c r="D1922" s="21" t="s">
        <v>1974</v>
      </c>
      <c r="E1922" s="21">
        <v>30</v>
      </c>
      <c r="F1922" s="27" t="str">
        <f>Tabela12[[#This Row],[Régua]]&amp;" ("&amp;Tabela12[[#This Row],[Born]]&amp;")"</f>
        <v>TR-24B-X1 (30)</v>
      </c>
      <c r="G1922" s="27">
        <f>LEN(Tabela12[[#This Row],[Anilha]])</f>
        <v>14</v>
      </c>
      <c r="H1922" s="21">
        <f>VLOOKUP(Tabela12[[#This Row],[Tag Cabo]],BD!A:F,6,0)</f>
        <v>1</v>
      </c>
      <c r="I1922" s="27" t="s">
        <v>1705</v>
      </c>
      <c r="J1922" s="27" t="s">
        <v>1706</v>
      </c>
    </row>
    <row r="1923" spans="1:10" x14ac:dyDescent="0.25">
      <c r="A1923" s="216" t="s">
        <v>629</v>
      </c>
      <c r="B1923" s="45" t="str">
        <f>VLOOKUP(Tabela12[[#This Row],[Painel]],Tabela13[],2,0)</f>
        <v>7HV</v>
      </c>
      <c r="C1923" s="45" t="s">
        <v>1558</v>
      </c>
      <c r="D1923" s="21" t="s">
        <v>1974</v>
      </c>
      <c r="E1923" s="21">
        <v>28</v>
      </c>
      <c r="F1923" s="27" t="str">
        <f>Tabela12[[#This Row],[Régua]]&amp;" ("&amp;Tabela12[[#This Row],[Born]]&amp;")"</f>
        <v>TR-24B-X1 (28)</v>
      </c>
      <c r="G1923" s="27">
        <f>LEN(Tabela12[[#This Row],[Anilha]])</f>
        <v>14</v>
      </c>
      <c r="H1923" s="21">
        <f>VLOOKUP(Tabela12[[#This Row],[Tag Cabo]],BD!A:F,6,0)</f>
        <v>1</v>
      </c>
      <c r="I1923" s="27" t="s">
        <v>1705</v>
      </c>
      <c r="J1923" s="27" t="s">
        <v>1706</v>
      </c>
    </row>
    <row r="1924" spans="1:10" x14ac:dyDescent="0.25">
      <c r="A1924" s="216" t="s">
        <v>629</v>
      </c>
      <c r="B1924" s="45" t="str">
        <f>VLOOKUP(Tabela12[[#This Row],[Painel]],Tabela13[],2,0)</f>
        <v>30LV</v>
      </c>
      <c r="C1924" s="45" t="s">
        <v>1635</v>
      </c>
      <c r="D1924" s="21" t="s">
        <v>1946</v>
      </c>
      <c r="E1924" s="21">
        <v>16</v>
      </c>
      <c r="F1924" s="27" t="str">
        <f>Tabela12[[#This Row],[Régua]]&amp;" ("&amp;Tabela12[[#This Row],[Born]]&amp;")"</f>
        <v>TB-31 (16)</v>
      </c>
      <c r="G1924" s="27">
        <f>LEN(Tabela12[[#This Row],[Anilha]])</f>
        <v>10</v>
      </c>
      <c r="H1924" s="21">
        <f>VLOOKUP(Tabela12[[#This Row],[Tag Cabo]],BD!A:F,6,0)</f>
        <v>1</v>
      </c>
      <c r="I1924" s="27" t="s">
        <v>1705</v>
      </c>
      <c r="J1924" s="27" t="s">
        <v>1706</v>
      </c>
    </row>
    <row r="1925" spans="1:10" x14ac:dyDescent="0.25">
      <c r="A1925" s="216" t="s">
        <v>629</v>
      </c>
      <c r="B1925" s="45" t="str">
        <f>VLOOKUP(Tabela12[[#This Row],[Painel]],Tabela13[],2,0)</f>
        <v>30LV</v>
      </c>
      <c r="C1925" s="45" t="s">
        <v>1635</v>
      </c>
      <c r="D1925" s="21" t="s">
        <v>1946</v>
      </c>
      <c r="E1925" s="21">
        <v>17</v>
      </c>
      <c r="F1925" s="27" t="str">
        <f>Tabela12[[#This Row],[Régua]]&amp;" ("&amp;Tabela12[[#This Row],[Born]]&amp;")"</f>
        <v>TB-31 (17)</v>
      </c>
      <c r="G1925" s="27">
        <f>LEN(Tabela12[[#This Row],[Anilha]])</f>
        <v>10</v>
      </c>
      <c r="H1925" s="21">
        <f>VLOOKUP(Tabela12[[#This Row],[Tag Cabo]],BD!A:F,6,0)</f>
        <v>1</v>
      </c>
      <c r="I1925" s="27" t="s">
        <v>1705</v>
      </c>
      <c r="J1925" s="27" t="s">
        <v>1706</v>
      </c>
    </row>
    <row r="1926" spans="1:10" x14ac:dyDescent="0.25">
      <c r="A1926" s="216" t="s">
        <v>368</v>
      </c>
      <c r="B1926" s="45" t="str">
        <f>VLOOKUP(Tabela12[[#This Row],[Painel]],Tabela13[],2,0)</f>
        <v>GB-1201</v>
      </c>
      <c r="C1926" s="45" t="s">
        <v>1643</v>
      </c>
      <c r="D1926" s="21" t="s">
        <v>1975</v>
      </c>
      <c r="E1926" s="21">
        <v>1</v>
      </c>
      <c r="F1926" s="27" t="str">
        <f>Tabela12[[#This Row],[Régua]]&amp;" ("&amp;Tabela12[[#This Row],[Born]]&amp;")"</f>
        <v>TB3 (1)</v>
      </c>
      <c r="G1926" s="27">
        <f>LEN(Tabela12[[#This Row],[Anilha]])</f>
        <v>7</v>
      </c>
      <c r="H1926" s="21">
        <f>VLOOKUP(Tabela12[[#This Row],[Tag Cabo]],BD!A:F,6,0)</f>
        <v>1</v>
      </c>
      <c r="I1926" s="27" t="s">
        <v>1705</v>
      </c>
      <c r="J1926" s="27" t="s">
        <v>1706</v>
      </c>
    </row>
    <row r="1927" spans="1:10" x14ac:dyDescent="0.25">
      <c r="A1927" s="216" t="s">
        <v>368</v>
      </c>
      <c r="B1927" s="45" t="str">
        <f>VLOOKUP(Tabela12[[#This Row],[Painel]],Tabela13[],2,0)</f>
        <v>GB-1201</v>
      </c>
      <c r="C1927" s="45" t="s">
        <v>1643</v>
      </c>
      <c r="D1927" s="21" t="s">
        <v>1975</v>
      </c>
      <c r="E1927" s="21">
        <v>2</v>
      </c>
      <c r="F1927" s="27" t="str">
        <f>Tabela12[[#This Row],[Régua]]&amp;" ("&amp;Tabela12[[#This Row],[Born]]&amp;")"</f>
        <v>TB3 (2)</v>
      </c>
      <c r="G1927" s="27">
        <f>LEN(Tabela12[[#This Row],[Anilha]])</f>
        <v>7</v>
      </c>
      <c r="H1927" s="21">
        <f>VLOOKUP(Tabela12[[#This Row],[Tag Cabo]],BD!A:F,6,0)</f>
        <v>1</v>
      </c>
      <c r="I1927" s="27" t="s">
        <v>1705</v>
      </c>
      <c r="J1927" s="27" t="s">
        <v>1706</v>
      </c>
    </row>
    <row r="1928" spans="1:10" x14ac:dyDescent="0.25">
      <c r="A1928" s="216" t="s">
        <v>368</v>
      </c>
      <c r="B1928" s="45" t="str">
        <f>VLOOKUP(Tabela12[[#This Row],[Painel]],Tabela13[],2,0)</f>
        <v>GB-1201</v>
      </c>
      <c r="C1928" s="45" t="s">
        <v>1643</v>
      </c>
      <c r="D1928" s="21" t="s">
        <v>1975</v>
      </c>
      <c r="E1928" s="21">
        <v>5</v>
      </c>
      <c r="F1928" s="27" t="str">
        <f>Tabela12[[#This Row],[Régua]]&amp;" ("&amp;Tabela12[[#This Row],[Born]]&amp;")"</f>
        <v>TB3 (5)</v>
      </c>
      <c r="G1928" s="27">
        <f>LEN(Tabela12[[#This Row],[Anilha]])</f>
        <v>7</v>
      </c>
      <c r="H1928" s="21">
        <f>VLOOKUP(Tabela12[[#This Row],[Tag Cabo]],BD!A:F,6,0)</f>
        <v>1</v>
      </c>
      <c r="I1928" s="27" t="s">
        <v>1705</v>
      </c>
      <c r="J1928" s="27" t="s">
        <v>1706</v>
      </c>
    </row>
    <row r="1929" spans="1:10" x14ac:dyDescent="0.25">
      <c r="A1929" s="216" t="s">
        <v>368</v>
      </c>
      <c r="B1929" s="45" t="str">
        <f>VLOOKUP(Tabela12[[#This Row],[Painel]],Tabela13[],2,0)</f>
        <v>GB-1201</v>
      </c>
      <c r="C1929" s="45" t="s">
        <v>1643</v>
      </c>
      <c r="D1929" s="21" t="s">
        <v>1975</v>
      </c>
      <c r="E1929" s="21">
        <v>6</v>
      </c>
      <c r="F1929" s="27" t="str">
        <f>Tabela12[[#This Row],[Régua]]&amp;" ("&amp;Tabela12[[#This Row],[Born]]&amp;")"</f>
        <v>TB3 (6)</v>
      </c>
      <c r="G1929" s="27">
        <f>LEN(Tabela12[[#This Row],[Anilha]])</f>
        <v>7</v>
      </c>
      <c r="H1929" s="21">
        <f>VLOOKUP(Tabela12[[#This Row],[Tag Cabo]],BD!A:F,6,0)</f>
        <v>1</v>
      </c>
      <c r="I1929" s="27" t="s">
        <v>1705</v>
      </c>
      <c r="J1929" s="27" t="s">
        <v>1706</v>
      </c>
    </row>
    <row r="1930" spans="1:10" x14ac:dyDescent="0.25">
      <c r="A1930" s="216" t="s">
        <v>368</v>
      </c>
      <c r="B1930" s="45" t="str">
        <f>VLOOKUP(Tabela12[[#This Row],[Painel]],Tabela13[],2,0)</f>
        <v>GB-1201</v>
      </c>
      <c r="C1930" s="45" t="s">
        <v>1643</v>
      </c>
      <c r="D1930" s="21" t="s">
        <v>1975</v>
      </c>
      <c r="E1930" s="21">
        <v>9</v>
      </c>
      <c r="F1930" s="27" t="str">
        <f>Tabela12[[#This Row],[Régua]]&amp;" ("&amp;Tabela12[[#This Row],[Born]]&amp;")"</f>
        <v>TB3 (9)</v>
      </c>
      <c r="G1930" s="27">
        <f>LEN(Tabela12[[#This Row],[Anilha]])</f>
        <v>7</v>
      </c>
      <c r="H1930" s="21">
        <f>VLOOKUP(Tabela12[[#This Row],[Tag Cabo]],BD!A:F,6,0)</f>
        <v>1</v>
      </c>
      <c r="I1930" s="27" t="s">
        <v>1705</v>
      </c>
      <c r="J1930" s="27" t="s">
        <v>1706</v>
      </c>
    </row>
    <row r="1931" spans="1:10" x14ac:dyDescent="0.25">
      <c r="A1931" s="216" t="s">
        <v>368</v>
      </c>
      <c r="B1931" s="45" t="str">
        <f>VLOOKUP(Tabela12[[#This Row],[Painel]],Tabela13[],2,0)</f>
        <v>GB-1201</v>
      </c>
      <c r="C1931" s="45" t="s">
        <v>1643</v>
      </c>
      <c r="D1931" s="21" t="s">
        <v>1975</v>
      </c>
      <c r="E1931" s="21">
        <v>10</v>
      </c>
      <c r="F1931" s="27" t="str">
        <f>Tabela12[[#This Row],[Régua]]&amp;" ("&amp;Tabela12[[#This Row],[Born]]&amp;")"</f>
        <v>TB3 (10)</v>
      </c>
      <c r="G1931" s="27">
        <f>LEN(Tabela12[[#This Row],[Anilha]])</f>
        <v>8</v>
      </c>
      <c r="H1931" s="21">
        <f>VLOOKUP(Tabela12[[#This Row],[Tag Cabo]],BD!A:F,6,0)</f>
        <v>1</v>
      </c>
      <c r="I1931" s="27" t="s">
        <v>1705</v>
      </c>
      <c r="J1931" s="27" t="s">
        <v>1706</v>
      </c>
    </row>
    <row r="1932" spans="1:10" x14ac:dyDescent="0.25">
      <c r="A1932" s="216" t="s">
        <v>368</v>
      </c>
      <c r="B1932" s="45" t="str">
        <f>VLOOKUP(Tabela12[[#This Row],[Painel]],Tabela13[],2,0)</f>
        <v>GB-1201</v>
      </c>
      <c r="C1932" s="45" t="s">
        <v>1643</v>
      </c>
      <c r="D1932" s="21" t="s">
        <v>1975</v>
      </c>
      <c r="E1932" s="21">
        <v>13</v>
      </c>
      <c r="F1932" s="27" t="str">
        <f>Tabela12[[#This Row],[Régua]]&amp;" ("&amp;Tabela12[[#This Row],[Born]]&amp;")"</f>
        <v>TB3 (13)</v>
      </c>
      <c r="G1932" s="27">
        <f>LEN(Tabela12[[#This Row],[Anilha]])</f>
        <v>8</v>
      </c>
      <c r="H1932" s="21">
        <f>VLOOKUP(Tabela12[[#This Row],[Tag Cabo]],BD!A:F,6,0)</f>
        <v>1</v>
      </c>
      <c r="I1932" s="27" t="s">
        <v>1705</v>
      </c>
      <c r="J1932" s="27" t="s">
        <v>1706</v>
      </c>
    </row>
    <row r="1933" spans="1:10" x14ac:dyDescent="0.25">
      <c r="A1933" s="216" t="s">
        <v>368</v>
      </c>
      <c r="B1933" s="45" t="str">
        <f>VLOOKUP(Tabela12[[#This Row],[Painel]],Tabela13[],2,0)</f>
        <v>GB-1201</v>
      </c>
      <c r="C1933" s="45" t="s">
        <v>1643</v>
      </c>
      <c r="D1933" s="21" t="s">
        <v>1975</v>
      </c>
      <c r="E1933" s="21">
        <v>14</v>
      </c>
      <c r="F1933" s="27" t="str">
        <f>Tabela12[[#This Row],[Régua]]&amp;" ("&amp;Tabela12[[#This Row],[Born]]&amp;")"</f>
        <v>TB3 (14)</v>
      </c>
      <c r="G1933" s="27">
        <f>LEN(Tabela12[[#This Row],[Anilha]])</f>
        <v>8</v>
      </c>
      <c r="H1933" s="21">
        <f>VLOOKUP(Tabela12[[#This Row],[Tag Cabo]],BD!A:F,6,0)</f>
        <v>1</v>
      </c>
      <c r="I1933" s="27" t="s">
        <v>1705</v>
      </c>
      <c r="J1933" s="27" t="s">
        <v>1706</v>
      </c>
    </row>
    <row r="1934" spans="1:10" x14ac:dyDescent="0.25">
      <c r="A1934" s="216" t="s">
        <v>368</v>
      </c>
      <c r="B1934" s="45" t="str">
        <f>VLOOKUP(Tabela12[[#This Row],[Painel]],Tabela13[],2,0)</f>
        <v>GB-1201</v>
      </c>
      <c r="C1934" s="45" t="s">
        <v>1643</v>
      </c>
      <c r="D1934" s="21" t="s">
        <v>1975</v>
      </c>
      <c r="E1934" s="21">
        <v>17</v>
      </c>
      <c r="F1934" s="27" t="str">
        <f>Tabela12[[#This Row],[Régua]]&amp;" ("&amp;Tabela12[[#This Row],[Born]]&amp;")"</f>
        <v>TB3 (17)</v>
      </c>
      <c r="G1934" s="27">
        <f>LEN(Tabela12[[#This Row],[Anilha]])</f>
        <v>8</v>
      </c>
      <c r="H1934" s="21">
        <f>VLOOKUP(Tabela12[[#This Row],[Tag Cabo]],BD!A:F,6,0)</f>
        <v>1</v>
      </c>
      <c r="I1934" s="27" t="s">
        <v>1705</v>
      </c>
      <c r="J1934" s="27" t="s">
        <v>1706</v>
      </c>
    </row>
    <row r="1935" spans="1:10" x14ac:dyDescent="0.25">
      <c r="A1935" s="216" t="s">
        <v>368</v>
      </c>
      <c r="B1935" s="45" t="str">
        <f>VLOOKUP(Tabela12[[#This Row],[Painel]],Tabela13[],2,0)</f>
        <v>GB-1201</v>
      </c>
      <c r="C1935" s="45" t="s">
        <v>1643</v>
      </c>
      <c r="D1935" s="21" t="s">
        <v>1975</v>
      </c>
      <c r="E1935" s="21">
        <v>18</v>
      </c>
      <c r="F1935" s="27" t="str">
        <f>Tabela12[[#This Row],[Régua]]&amp;" ("&amp;Tabela12[[#This Row],[Born]]&amp;")"</f>
        <v>TB3 (18)</v>
      </c>
      <c r="G1935" s="27">
        <f>LEN(Tabela12[[#This Row],[Anilha]])</f>
        <v>8</v>
      </c>
      <c r="H1935" s="21">
        <f>VLOOKUP(Tabela12[[#This Row],[Tag Cabo]],BD!A:F,6,0)</f>
        <v>1</v>
      </c>
      <c r="I1935" s="27" t="s">
        <v>1705</v>
      </c>
      <c r="J1935" s="27" t="s">
        <v>1706</v>
      </c>
    </row>
    <row r="1936" spans="1:10" x14ac:dyDescent="0.25">
      <c r="A1936" s="216" t="s">
        <v>368</v>
      </c>
      <c r="B1936" s="45" t="str">
        <f>VLOOKUP(Tabela12[[#This Row],[Painel]],Tabela13[],2,0)</f>
        <v>GB-1201</v>
      </c>
      <c r="C1936" s="45" t="s">
        <v>1643</v>
      </c>
      <c r="D1936" s="21" t="s">
        <v>1975</v>
      </c>
      <c r="E1936" s="21">
        <v>21</v>
      </c>
      <c r="F1936" s="27" t="str">
        <f>Tabela12[[#This Row],[Régua]]&amp;" ("&amp;Tabela12[[#This Row],[Born]]&amp;")"</f>
        <v>TB3 (21)</v>
      </c>
      <c r="G1936" s="27">
        <f>LEN(Tabela12[[#This Row],[Anilha]])</f>
        <v>8</v>
      </c>
      <c r="H1936" s="21">
        <f>VLOOKUP(Tabela12[[#This Row],[Tag Cabo]],BD!A:F,6,0)</f>
        <v>1</v>
      </c>
      <c r="I1936" s="27" t="s">
        <v>1705</v>
      </c>
      <c r="J1936" s="27" t="s">
        <v>1706</v>
      </c>
    </row>
    <row r="1937" spans="1:10" x14ac:dyDescent="0.25">
      <c r="A1937" s="216" t="s">
        <v>368</v>
      </c>
      <c r="B1937" s="45" t="str">
        <f>VLOOKUP(Tabela12[[#This Row],[Painel]],Tabela13[],2,0)</f>
        <v>GB-1201</v>
      </c>
      <c r="C1937" s="45" t="s">
        <v>1643</v>
      </c>
      <c r="D1937" s="21" t="s">
        <v>1975</v>
      </c>
      <c r="E1937" s="21">
        <v>22</v>
      </c>
      <c r="F1937" s="27" t="str">
        <f>Tabela12[[#This Row],[Régua]]&amp;" ("&amp;Tabela12[[#This Row],[Born]]&amp;")"</f>
        <v>TB3 (22)</v>
      </c>
      <c r="G1937" s="27">
        <f>LEN(Tabela12[[#This Row],[Anilha]])</f>
        <v>8</v>
      </c>
      <c r="H1937" s="21">
        <f>VLOOKUP(Tabela12[[#This Row],[Tag Cabo]],BD!A:F,6,0)</f>
        <v>1</v>
      </c>
      <c r="I1937" s="27" t="s">
        <v>1705</v>
      </c>
      <c r="J1937" s="27" t="s">
        <v>1706</v>
      </c>
    </row>
    <row r="1938" spans="1:10" x14ac:dyDescent="0.25">
      <c r="A1938" s="216" t="s">
        <v>368</v>
      </c>
      <c r="B1938" s="45" t="str">
        <f>VLOOKUP(Tabela12[[#This Row],[Painel]],Tabela13[],2,0)</f>
        <v>GB-1201</v>
      </c>
      <c r="C1938" s="45" t="s">
        <v>1643</v>
      </c>
      <c r="D1938" s="21" t="s">
        <v>1975</v>
      </c>
      <c r="E1938" s="21">
        <v>25</v>
      </c>
      <c r="F1938" s="27" t="str">
        <f>Tabela12[[#This Row],[Régua]]&amp;" ("&amp;Tabela12[[#This Row],[Born]]&amp;")"</f>
        <v>TB3 (25)</v>
      </c>
      <c r="G1938" s="27">
        <f>LEN(Tabela12[[#This Row],[Anilha]])</f>
        <v>8</v>
      </c>
      <c r="H1938" s="21">
        <f>VLOOKUP(Tabela12[[#This Row],[Tag Cabo]],BD!A:F,6,0)</f>
        <v>1</v>
      </c>
      <c r="I1938" s="27" t="s">
        <v>1705</v>
      </c>
      <c r="J1938" s="27" t="s">
        <v>1706</v>
      </c>
    </row>
    <row r="1939" spans="1:10" x14ac:dyDescent="0.25">
      <c r="A1939" s="216" t="s">
        <v>368</v>
      </c>
      <c r="B1939" s="45" t="str">
        <f>VLOOKUP(Tabela12[[#This Row],[Painel]],Tabela13[],2,0)</f>
        <v>GB-1201</v>
      </c>
      <c r="C1939" s="45" t="s">
        <v>1643</v>
      </c>
      <c r="D1939" s="21" t="s">
        <v>1975</v>
      </c>
      <c r="E1939" s="21">
        <v>26</v>
      </c>
      <c r="F1939" s="27" t="str">
        <f>Tabela12[[#This Row],[Régua]]&amp;" ("&amp;Tabela12[[#This Row],[Born]]&amp;")"</f>
        <v>TB3 (26)</v>
      </c>
      <c r="G1939" s="27">
        <f>LEN(Tabela12[[#This Row],[Anilha]])</f>
        <v>8</v>
      </c>
      <c r="H1939" s="21">
        <f>VLOOKUP(Tabela12[[#This Row],[Tag Cabo]],BD!A:F,6,0)</f>
        <v>1</v>
      </c>
      <c r="I1939" s="27" t="s">
        <v>1705</v>
      </c>
      <c r="J1939" s="27" t="s">
        <v>1706</v>
      </c>
    </row>
    <row r="1940" spans="1:10" x14ac:dyDescent="0.25">
      <c r="A1940" s="216" t="s">
        <v>368</v>
      </c>
      <c r="B1940" s="45" t="str">
        <f>VLOOKUP(Tabela12[[#This Row],[Painel]],Tabela13[],2,0)</f>
        <v>GB-1201</v>
      </c>
      <c r="C1940" s="45" t="s">
        <v>1643</v>
      </c>
      <c r="D1940" s="21" t="s">
        <v>1975</v>
      </c>
      <c r="E1940" s="21">
        <v>33</v>
      </c>
      <c r="F1940" s="27" t="str">
        <f>Tabela12[[#This Row],[Régua]]&amp;" ("&amp;Tabela12[[#This Row],[Born]]&amp;")"</f>
        <v>TB3 (33)</v>
      </c>
      <c r="G1940" s="27">
        <f>LEN(Tabela12[[#This Row],[Anilha]])</f>
        <v>8</v>
      </c>
      <c r="H1940" s="21">
        <f>VLOOKUP(Tabela12[[#This Row],[Tag Cabo]],BD!A:F,6,0)</f>
        <v>1</v>
      </c>
      <c r="I1940" s="27" t="s">
        <v>1705</v>
      </c>
      <c r="J1940" s="27" t="s">
        <v>1706</v>
      </c>
    </row>
    <row r="1941" spans="1:10" x14ac:dyDescent="0.25">
      <c r="A1941" s="216" t="s">
        <v>368</v>
      </c>
      <c r="B1941" s="45" t="str">
        <f>VLOOKUP(Tabela12[[#This Row],[Painel]],Tabela13[],2,0)</f>
        <v>GB-1201</v>
      </c>
      <c r="C1941" s="45" t="s">
        <v>1643</v>
      </c>
      <c r="D1941" s="21" t="s">
        <v>1975</v>
      </c>
      <c r="E1941" s="21">
        <v>34</v>
      </c>
      <c r="F1941" s="27" t="str">
        <f>Tabela12[[#This Row],[Régua]]&amp;" ("&amp;Tabela12[[#This Row],[Born]]&amp;")"</f>
        <v>TB3 (34)</v>
      </c>
      <c r="G1941" s="27">
        <f>LEN(Tabela12[[#This Row],[Anilha]])</f>
        <v>8</v>
      </c>
      <c r="H1941" s="21">
        <f>VLOOKUP(Tabela12[[#This Row],[Tag Cabo]],BD!A:F,6,0)</f>
        <v>1</v>
      </c>
      <c r="I1941" s="27" t="s">
        <v>1705</v>
      </c>
      <c r="J1941" s="27" t="s">
        <v>1706</v>
      </c>
    </row>
    <row r="1942" spans="1:10" x14ac:dyDescent="0.25">
      <c r="A1942" s="216" t="s">
        <v>368</v>
      </c>
      <c r="B1942" s="45" t="str">
        <f>VLOOKUP(Tabela12[[#This Row],[Painel]],Tabela13[],2,0)</f>
        <v>30LV</v>
      </c>
      <c r="C1942" s="45" t="s">
        <v>1635</v>
      </c>
      <c r="D1942" s="21" t="s">
        <v>1976</v>
      </c>
      <c r="E1942" s="21">
        <v>1</v>
      </c>
      <c r="F1942" s="27" t="str">
        <f>Tabela12[[#This Row],[Régua]]&amp;" ("&amp;Tabela12[[#This Row],[Born]]&amp;")"</f>
        <v>TB-18 (1)</v>
      </c>
      <c r="G1942" s="27">
        <f>LEN(Tabela12[[#This Row],[Anilha]])</f>
        <v>9</v>
      </c>
      <c r="H1942" s="27">
        <f>VLOOKUP(Tabela12[[#This Row],[Tag Cabo]],BD!A:F,6,0)</f>
        <v>1</v>
      </c>
      <c r="I1942" s="27" t="s">
        <v>1705</v>
      </c>
      <c r="J1942" s="27" t="s">
        <v>1706</v>
      </c>
    </row>
    <row r="1943" spans="1:10" x14ac:dyDescent="0.25">
      <c r="A1943" s="216" t="s">
        <v>368</v>
      </c>
      <c r="B1943" s="45" t="str">
        <f>VLOOKUP(Tabela12[[#This Row],[Painel]],Tabela13[],2,0)</f>
        <v>30LV</v>
      </c>
      <c r="C1943" s="45" t="s">
        <v>1635</v>
      </c>
      <c r="D1943" s="21" t="s">
        <v>1976</v>
      </c>
      <c r="E1943" s="21">
        <v>2</v>
      </c>
      <c r="F1943" s="27" t="str">
        <f>Tabela12[[#This Row],[Régua]]&amp;" ("&amp;Tabela12[[#This Row],[Born]]&amp;")"</f>
        <v>TB-18 (2)</v>
      </c>
      <c r="G1943" s="27">
        <f>LEN(Tabela12[[#This Row],[Anilha]])</f>
        <v>9</v>
      </c>
      <c r="H1943" s="27">
        <f>VLOOKUP(Tabela12[[#This Row],[Tag Cabo]],BD!A:F,6,0)</f>
        <v>1</v>
      </c>
      <c r="I1943" s="27" t="s">
        <v>1705</v>
      </c>
      <c r="J1943" s="27" t="s">
        <v>1706</v>
      </c>
    </row>
    <row r="1944" spans="1:10" x14ac:dyDescent="0.25">
      <c r="A1944" s="216" t="s">
        <v>368</v>
      </c>
      <c r="B1944" s="45" t="str">
        <f>VLOOKUP(Tabela12[[#This Row],[Painel]],Tabela13[],2,0)</f>
        <v>30LV</v>
      </c>
      <c r="C1944" s="45" t="s">
        <v>1635</v>
      </c>
      <c r="D1944" s="21" t="s">
        <v>1976</v>
      </c>
      <c r="E1944" s="21">
        <v>4</v>
      </c>
      <c r="F1944" s="27" t="str">
        <f>Tabela12[[#This Row],[Régua]]&amp;" ("&amp;Tabela12[[#This Row],[Born]]&amp;")"</f>
        <v>TB-18 (4)</v>
      </c>
      <c r="G1944" s="27">
        <f>LEN(Tabela12[[#This Row],[Anilha]])</f>
        <v>9</v>
      </c>
      <c r="H1944" s="27">
        <f>VLOOKUP(Tabela12[[#This Row],[Tag Cabo]],BD!A:F,6,0)</f>
        <v>1</v>
      </c>
      <c r="I1944" s="27" t="s">
        <v>1705</v>
      </c>
      <c r="J1944" s="27" t="s">
        <v>1706</v>
      </c>
    </row>
    <row r="1945" spans="1:10" x14ac:dyDescent="0.25">
      <c r="A1945" s="216" t="s">
        <v>368</v>
      </c>
      <c r="B1945" s="45" t="str">
        <f>VLOOKUP(Tabela12[[#This Row],[Painel]],Tabela13[],2,0)</f>
        <v>30LV</v>
      </c>
      <c r="C1945" s="45" t="s">
        <v>1635</v>
      </c>
      <c r="D1945" s="21" t="s">
        <v>1976</v>
      </c>
      <c r="E1945" s="21">
        <v>5</v>
      </c>
      <c r="F1945" s="27" t="str">
        <f>Tabela12[[#This Row],[Régua]]&amp;" ("&amp;Tabela12[[#This Row],[Born]]&amp;")"</f>
        <v>TB-18 (5)</v>
      </c>
      <c r="G1945" s="27">
        <f>LEN(Tabela12[[#This Row],[Anilha]])</f>
        <v>9</v>
      </c>
      <c r="H1945" s="27">
        <f>VLOOKUP(Tabela12[[#This Row],[Tag Cabo]],BD!A:F,6,0)</f>
        <v>1</v>
      </c>
      <c r="I1945" s="27" t="s">
        <v>1705</v>
      </c>
      <c r="J1945" s="27" t="s">
        <v>1706</v>
      </c>
    </row>
    <row r="1946" spans="1:10" x14ac:dyDescent="0.25">
      <c r="A1946" s="216" t="s">
        <v>368</v>
      </c>
      <c r="B1946" s="45" t="str">
        <f>VLOOKUP(Tabela12[[#This Row],[Painel]],Tabela13[],2,0)</f>
        <v>30LV</v>
      </c>
      <c r="C1946" s="45" t="s">
        <v>1635</v>
      </c>
      <c r="D1946" s="21" t="s">
        <v>1976</v>
      </c>
      <c r="E1946" s="21">
        <v>10</v>
      </c>
      <c r="F1946" s="27" t="str">
        <f>Tabela12[[#This Row],[Régua]]&amp;" ("&amp;Tabela12[[#This Row],[Born]]&amp;")"</f>
        <v>TB-18 (10)</v>
      </c>
      <c r="G1946" s="27">
        <f>LEN(Tabela12[[#This Row],[Anilha]])</f>
        <v>10</v>
      </c>
      <c r="H1946" s="27">
        <f>VLOOKUP(Tabela12[[#This Row],[Tag Cabo]],BD!A:F,6,0)</f>
        <v>1</v>
      </c>
      <c r="I1946" s="27" t="s">
        <v>1705</v>
      </c>
      <c r="J1946" s="27" t="s">
        <v>1706</v>
      </c>
    </row>
    <row r="1947" spans="1:10" x14ac:dyDescent="0.25">
      <c r="A1947" s="216" t="s">
        <v>368</v>
      </c>
      <c r="B1947" s="45" t="str">
        <f>VLOOKUP(Tabela12[[#This Row],[Painel]],Tabela13[],2,0)</f>
        <v>30LV</v>
      </c>
      <c r="C1947" s="45" t="s">
        <v>1635</v>
      </c>
      <c r="D1947" s="21" t="s">
        <v>1976</v>
      </c>
      <c r="E1947" s="21">
        <v>11</v>
      </c>
      <c r="F1947" s="27" t="str">
        <f>Tabela12[[#This Row],[Régua]]&amp;" ("&amp;Tabela12[[#This Row],[Born]]&amp;")"</f>
        <v>TB-18 (11)</v>
      </c>
      <c r="G1947" s="27">
        <f>LEN(Tabela12[[#This Row],[Anilha]])</f>
        <v>10</v>
      </c>
      <c r="H1947" s="27">
        <f>VLOOKUP(Tabela12[[#This Row],[Tag Cabo]],BD!A:F,6,0)</f>
        <v>1</v>
      </c>
      <c r="I1947" s="27" t="s">
        <v>1705</v>
      </c>
      <c r="J1947" s="27" t="s">
        <v>1706</v>
      </c>
    </row>
    <row r="1948" spans="1:10" x14ac:dyDescent="0.25">
      <c r="A1948" s="216" t="s">
        <v>368</v>
      </c>
      <c r="B1948" s="45" t="str">
        <f>VLOOKUP(Tabela12[[#This Row],[Painel]],Tabela13[],2,0)</f>
        <v>30LV</v>
      </c>
      <c r="C1948" s="45" t="s">
        <v>1635</v>
      </c>
      <c r="D1948" s="21" t="s">
        <v>1976</v>
      </c>
      <c r="E1948" s="21">
        <v>31</v>
      </c>
      <c r="F1948" s="27" t="str">
        <f>Tabela12[[#This Row],[Régua]]&amp;" ("&amp;Tabela12[[#This Row],[Born]]&amp;")"</f>
        <v>TB-18 (31)</v>
      </c>
      <c r="G1948" s="27">
        <f>LEN(Tabela12[[#This Row],[Anilha]])</f>
        <v>10</v>
      </c>
      <c r="H1948" s="27">
        <f>VLOOKUP(Tabela12[[#This Row],[Tag Cabo]],BD!A:F,6,0)</f>
        <v>1</v>
      </c>
      <c r="I1948" s="27" t="s">
        <v>1705</v>
      </c>
      <c r="J1948" s="27" t="s">
        <v>1706</v>
      </c>
    </row>
    <row r="1949" spans="1:10" x14ac:dyDescent="0.25">
      <c r="A1949" s="216" t="s">
        <v>368</v>
      </c>
      <c r="B1949" s="45" t="str">
        <f>VLOOKUP(Tabela12[[#This Row],[Painel]],Tabela13[],2,0)</f>
        <v>30LV</v>
      </c>
      <c r="C1949" s="45" t="s">
        <v>1635</v>
      </c>
      <c r="D1949" s="21" t="s">
        <v>1976</v>
      </c>
      <c r="E1949" s="21">
        <v>32</v>
      </c>
      <c r="F1949" s="27" t="str">
        <f>Tabela12[[#This Row],[Régua]]&amp;" ("&amp;Tabela12[[#This Row],[Born]]&amp;")"</f>
        <v>TB-18 (32)</v>
      </c>
      <c r="G1949" s="27">
        <f>LEN(Tabela12[[#This Row],[Anilha]])</f>
        <v>10</v>
      </c>
      <c r="H1949" s="27">
        <f>VLOOKUP(Tabela12[[#This Row],[Tag Cabo]],BD!A:F,6,0)</f>
        <v>1</v>
      </c>
      <c r="I1949" s="27" t="s">
        <v>1705</v>
      </c>
      <c r="J1949" s="27" t="s">
        <v>1706</v>
      </c>
    </row>
    <row r="1950" spans="1:10" x14ac:dyDescent="0.25">
      <c r="A1950" s="216" t="s">
        <v>368</v>
      </c>
      <c r="B1950" s="45" t="str">
        <f>VLOOKUP(Tabela12[[#This Row],[Painel]],Tabela13[],2,0)</f>
        <v>30LV</v>
      </c>
      <c r="C1950" s="45" t="s">
        <v>1635</v>
      </c>
      <c r="D1950" s="21" t="s">
        <v>1976</v>
      </c>
      <c r="E1950" s="21">
        <v>34</v>
      </c>
      <c r="F1950" s="27" t="str">
        <f>Tabela12[[#This Row],[Régua]]&amp;" ("&amp;Tabela12[[#This Row],[Born]]&amp;")"</f>
        <v>TB-18 (34)</v>
      </c>
      <c r="G1950" s="27">
        <f>LEN(Tabela12[[#This Row],[Anilha]])</f>
        <v>10</v>
      </c>
      <c r="H1950" s="27">
        <f>VLOOKUP(Tabela12[[#This Row],[Tag Cabo]],BD!A:F,6,0)</f>
        <v>1</v>
      </c>
      <c r="I1950" s="27" t="s">
        <v>1705</v>
      </c>
      <c r="J1950" s="27" t="s">
        <v>1706</v>
      </c>
    </row>
    <row r="1951" spans="1:10" x14ac:dyDescent="0.25">
      <c r="A1951" s="216" t="s">
        <v>368</v>
      </c>
      <c r="B1951" s="45" t="str">
        <f>VLOOKUP(Tabela12[[#This Row],[Painel]],Tabela13[],2,0)</f>
        <v>30LV</v>
      </c>
      <c r="C1951" s="45" t="s">
        <v>1635</v>
      </c>
      <c r="D1951" s="21" t="s">
        <v>1976</v>
      </c>
      <c r="E1951" s="21">
        <v>35</v>
      </c>
      <c r="F1951" s="27" t="str">
        <f>Tabela12[[#This Row],[Régua]]&amp;" ("&amp;Tabela12[[#This Row],[Born]]&amp;")"</f>
        <v>TB-18 (35)</v>
      </c>
      <c r="G1951" s="27">
        <f>LEN(Tabela12[[#This Row],[Anilha]])</f>
        <v>10</v>
      </c>
      <c r="H1951" s="27">
        <f>VLOOKUP(Tabela12[[#This Row],[Tag Cabo]],BD!A:F,6,0)</f>
        <v>1</v>
      </c>
      <c r="I1951" s="27" t="s">
        <v>1705</v>
      </c>
      <c r="J1951" s="27" t="s">
        <v>1706</v>
      </c>
    </row>
    <row r="1952" spans="1:10" x14ac:dyDescent="0.25">
      <c r="A1952" s="216" t="s">
        <v>368</v>
      </c>
      <c r="B1952" s="45" t="str">
        <f>VLOOKUP(Tabela12[[#This Row],[Painel]],Tabela13[],2,0)</f>
        <v>30LV</v>
      </c>
      <c r="C1952" s="45" t="s">
        <v>1635</v>
      </c>
      <c r="D1952" s="21" t="s">
        <v>1976</v>
      </c>
      <c r="E1952" s="21">
        <v>52</v>
      </c>
      <c r="F1952" s="27" t="str">
        <f>Tabela12[[#This Row],[Régua]]&amp;" ("&amp;Tabela12[[#This Row],[Born]]&amp;")"</f>
        <v>TB-18 (52)</v>
      </c>
      <c r="G1952" s="27">
        <f>LEN(Tabela12[[#This Row],[Anilha]])</f>
        <v>10</v>
      </c>
      <c r="H1952" s="27">
        <f>VLOOKUP(Tabela12[[#This Row],[Tag Cabo]],BD!A:F,6,0)</f>
        <v>1</v>
      </c>
      <c r="I1952" s="27" t="s">
        <v>1705</v>
      </c>
      <c r="J1952" s="27" t="s">
        <v>1706</v>
      </c>
    </row>
    <row r="1953" spans="1:10" x14ac:dyDescent="0.25">
      <c r="A1953" s="216" t="s">
        <v>368</v>
      </c>
      <c r="B1953" s="45" t="str">
        <f>VLOOKUP(Tabela12[[#This Row],[Painel]],Tabela13[],2,0)</f>
        <v>30LV</v>
      </c>
      <c r="C1953" s="45" t="s">
        <v>1635</v>
      </c>
      <c r="D1953" s="21" t="s">
        <v>1976</v>
      </c>
      <c r="E1953" s="21">
        <v>53</v>
      </c>
      <c r="F1953" s="27" t="str">
        <f>Tabela12[[#This Row],[Régua]]&amp;" ("&amp;Tabela12[[#This Row],[Born]]&amp;")"</f>
        <v>TB-18 (53)</v>
      </c>
      <c r="G1953" s="27">
        <f>LEN(Tabela12[[#This Row],[Anilha]])</f>
        <v>10</v>
      </c>
      <c r="H1953" s="27">
        <f>VLOOKUP(Tabela12[[#This Row],[Tag Cabo]],BD!A:F,6,0)</f>
        <v>1</v>
      </c>
      <c r="I1953" s="27" t="s">
        <v>1705</v>
      </c>
      <c r="J1953" s="27" t="s">
        <v>1706</v>
      </c>
    </row>
    <row r="1954" spans="1:10" x14ac:dyDescent="0.25">
      <c r="A1954" s="216" t="s">
        <v>368</v>
      </c>
      <c r="B1954" s="45" t="str">
        <f>VLOOKUP(Tabela12[[#This Row],[Painel]],Tabela13[],2,0)</f>
        <v>30LV</v>
      </c>
      <c r="C1954" s="45" t="s">
        <v>1635</v>
      </c>
      <c r="D1954" s="21" t="s">
        <v>1976</v>
      </c>
      <c r="E1954" s="21">
        <v>55</v>
      </c>
      <c r="F1954" s="27" t="str">
        <f>Tabela12[[#This Row],[Régua]]&amp;" ("&amp;Tabela12[[#This Row],[Born]]&amp;")"</f>
        <v>TB-18 (55)</v>
      </c>
      <c r="G1954" s="27">
        <f>LEN(Tabela12[[#This Row],[Anilha]])</f>
        <v>10</v>
      </c>
      <c r="H1954" s="27">
        <f>VLOOKUP(Tabela12[[#This Row],[Tag Cabo]],BD!A:F,6,0)</f>
        <v>1</v>
      </c>
      <c r="I1954" s="27" t="s">
        <v>1705</v>
      </c>
      <c r="J1954" s="27" t="s">
        <v>1706</v>
      </c>
    </row>
    <row r="1955" spans="1:10" x14ac:dyDescent="0.25">
      <c r="A1955" s="216" t="s">
        <v>368</v>
      </c>
      <c r="B1955" s="45" t="str">
        <f>VLOOKUP(Tabela12[[#This Row],[Painel]],Tabela13[],2,0)</f>
        <v>30LV</v>
      </c>
      <c r="C1955" s="45" t="s">
        <v>1635</v>
      </c>
      <c r="D1955" s="21" t="s">
        <v>1976</v>
      </c>
      <c r="E1955" s="21">
        <v>56</v>
      </c>
      <c r="F1955" s="27" t="str">
        <f>Tabela12[[#This Row],[Régua]]&amp;" ("&amp;Tabela12[[#This Row],[Born]]&amp;")"</f>
        <v>TB-18 (56)</v>
      </c>
      <c r="G1955" s="27">
        <f>LEN(Tabela12[[#This Row],[Anilha]])</f>
        <v>10</v>
      </c>
      <c r="H1955" s="27">
        <f>VLOOKUP(Tabela12[[#This Row],[Tag Cabo]],BD!A:F,6,0)</f>
        <v>1</v>
      </c>
      <c r="I1955" s="27" t="s">
        <v>1705</v>
      </c>
      <c r="J1955" s="27" t="s">
        <v>1706</v>
      </c>
    </row>
    <row r="1956" spans="1:10" x14ac:dyDescent="0.25">
      <c r="A1956" s="216" t="s">
        <v>368</v>
      </c>
      <c r="B1956" s="45" t="str">
        <f>VLOOKUP(Tabela12[[#This Row],[Painel]],Tabela13[],2,0)</f>
        <v>30LV</v>
      </c>
      <c r="C1956" s="45" t="s">
        <v>1635</v>
      </c>
      <c r="D1956" s="21" t="s">
        <v>1976</v>
      </c>
      <c r="E1956" s="21">
        <v>58</v>
      </c>
      <c r="F1956" s="27" t="str">
        <f>Tabela12[[#This Row],[Régua]]&amp;" ("&amp;Tabela12[[#This Row],[Born]]&amp;")"</f>
        <v>TB-18 (58)</v>
      </c>
      <c r="G1956" s="27">
        <f>LEN(Tabela12[[#This Row],[Anilha]])</f>
        <v>10</v>
      </c>
      <c r="H1956" s="27">
        <f>VLOOKUP(Tabela12[[#This Row],[Tag Cabo]],BD!A:F,6,0)</f>
        <v>1</v>
      </c>
      <c r="I1956" s="27" t="s">
        <v>1705</v>
      </c>
      <c r="J1956" s="27" t="s">
        <v>1706</v>
      </c>
    </row>
    <row r="1957" spans="1:10" x14ac:dyDescent="0.25">
      <c r="A1957" s="216" t="s">
        <v>368</v>
      </c>
      <c r="B1957" s="45" t="str">
        <f>VLOOKUP(Tabela12[[#This Row],[Painel]],Tabela13[],2,0)</f>
        <v>30LV</v>
      </c>
      <c r="C1957" s="45" t="s">
        <v>1635</v>
      </c>
      <c r="D1957" s="21" t="s">
        <v>1976</v>
      </c>
      <c r="E1957" s="21">
        <v>59</v>
      </c>
      <c r="F1957" s="27" t="str">
        <f>Tabela12[[#This Row],[Régua]]&amp;" ("&amp;Tabela12[[#This Row],[Born]]&amp;")"</f>
        <v>TB-18 (59)</v>
      </c>
      <c r="G1957" s="27">
        <f>LEN(Tabela12[[#This Row],[Anilha]])</f>
        <v>10</v>
      </c>
      <c r="H1957" s="27">
        <f>VLOOKUP(Tabela12[[#This Row],[Tag Cabo]],BD!A:F,6,0)</f>
        <v>1</v>
      </c>
      <c r="I1957" s="27" t="s">
        <v>1705</v>
      </c>
      <c r="J1957" s="27" t="s">
        <v>1706</v>
      </c>
    </row>
    <row r="1958" spans="1:10" x14ac:dyDescent="0.25">
      <c r="A1958" s="216" t="s">
        <v>1120</v>
      </c>
      <c r="B1958" s="45" t="str">
        <f>VLOOKUP(Tabela12[[#This Row],[Painel]],Tabela13[],2,0)</f>
        <v>CCP</v>
      </c>
      <c r="C1958" s="45" t="s">
        <v>1648</v>
      </c>
      <c r="D1958" s="21" t="s">
        <v>1977</v>
      </c>
      <c r="E1958" s="21">
        <v>1</v>
      </c>
      <c r="F1958" s="27" t="str">
        <f>Tabela12[[#This Row],[Régua]]&amp;" ("&amp;Tabela12[[#This Row],[Born]]&amp;")"</f>
        <v>TB-03 (1)</v>
      </c>
      <c r="G1958" s="27">
        <f>LEN(Tabela12[[#This Row],[Anilha]])</f>
        <v>9</v>
      </c>
      <c r="H1958" s="21">
        <f>VLOOKUP(Tabela12[[#This Row],[Tag Cabo]],BD!A:F,6,0)</f>
        <v>1</v>
      </c>
      <c r="I1958" s="27" t="s">
        <v>1705</v>
      </c>
      <c r="J1958" s="27" t="s">
        <v>1706</v>
      </c>
    </row>
    <row r="1959" spans="1:10" x14ac:dyDescent="0.25">
      <c r="A1959" s="216" t="s">
        <v>1120</v>
      </c>
      <c r="B1959" s="45" t="str">
        <f>VLOOKUP(Tabela12[[#This Row],[Painel]],Tabela13[],2,0)</f>
        <v>CCP</v>
      </c>
      <c r="C1959" s="45" t="s">
        <v>1648</v>
      </c>
      <c r="D1959" s="21" t="s">
        <v>1977</v>
      </c>
      <c r="E1959" s="21">
        <v>2</v>
      </c>
      <c r="F1959" s="27" t="str">
        <f>Tabela12[[#This Row],[Régua]]&amp;" ("&amp;Tabela12[[#This Row],[Born]]&amp;")"</f>
        <v>TB-03 (2)</v>
      </c>
      <c r="G1959" s="27">
        <f>LEN(Tabela12[[#This Row],[Anilha]])</f>
        <v>9</v>
      </c>
      <c r="H1959" s="21">
        <f>VLOOKUP(Tabela12[[#This Row],[Tag Cabo]],BD!A:F,6,0)</f>
        <v>1</v>
      </c>
      <c r="I1959" s="27" t="s">
        <v>1705</v>
      </c>
      <c r="J1959" s="27" t="s">
        <v>1706</v>
      </c>
    </row>
    <row r="1960" spans="1:10" x14ac:dyDescent="0.25">
      <c r="A1960" s="216" t="s">
        <v>1120</v>
      </c>
      <c r="B1960" s="45" t="str">
        <f>VLOOKUP(Tabela12[[#This Row],[Painel]],Tabela13[],2,0)</f>
        <v>CCP</v>
      </c>
      <c r="C1960" s="45" t="s">
        <v>1648</v>
      </c>
      <c r="D1960" s="21" t="s">
        <v>1977</v>
      </c>
      <c r="E1960" s="21">
        <v>3</v>
      </c>
      <c r="F1960" s="27" t="str">
        <f>Tabela12[[#This Row],[Régua]]&amp;" ("&amp;Tabela12[[#This Row],[Born]]&amp;")"</f>
        <v>TB-03 (3)</v>
      </c>
      <c r="G1960" s="27">
        <f>LEN(Tabela12[[#This Row],[Anilha]])</f>
        <v>9</v>
      </c>
      <c r="H1960" s="21">
        <f>VLOOKUP(Tabela12[[#This Row],[Tag Cabo]],BD!A:F,6,0)</f>
        <v>1</v>
      </c>
      <c r="I1960" s="27" t="s">
        <v>1705</v>
      </c>
      <c r="J1960" s="27" t="s">
        <v>1706</v>
      </c>
    </row>
    <row r="1961" spans="1:10" x14ac:dyDescent="0.25">
      <c r="A1961" s="216" t="s">
        <v>1120</v>
      </c>
      <c r="B1961" s="45" t="str">
        <f>VLOOKUP(Tabela12[[#This Row],[Painel]],Tabela13[],2,0)</f>
        <v>CCP</v>
      </c>
      <c r="C1961" s="45" t="s">
        <v>1648</v>
      </c>
      <c r="D1961" s="21" t="s">
        <v>1977</v>
      </c>
      <c r="E1961" s="21">
        <v>4</v>
      </c>
      <c r="F1961" s="27" t="str">
        <f>Tabela12[[#This Row],[Régua]]&amp;" ("&amp;Tabela12[[#This Row],[Born]]&amp;")"</f>
        <v>TB-03 (4)</v>
      </c>
      <c r="G1961" s="27">
        <f>LEN(Tabela12[[#This Row],[Anilha]])</f>
        <v>9</v>
      </c>
      <c r="H1961" s="21">
        <f>VLOOKUP(Tabela12[[#This Row],[Tag Cabo]],BD!A:F,6,0)</f>
        <v>1</v>
      </c>
      <c r="I1961" s="27" t="s">
        <v>1705</v>
      </c>
      <c r="J1961" s="27" t="s">
        <v>1706</v>
      </c>
    </row>
    <row r="1962" spans="1:10" x14ac:dyDescent="0.25">
      <c r="A1962" s="216" t="s">
        <v>1120</v>
      </c>
      <c r="B1962" s="45" t="str">
        <f>VLOOKUP(Tabela12[[#This Row],[Painel]],Tabela13[],2,0)</f>
        <v>CCP</v>
      </c>
      <c r="C1962" s="45" t="s">
        <v>1648</v>
      </c>
      <c r="D1962" s="21" t="s">
        <v>1977</v>
      </c>
      <c r="E1962" s="21">
        <v>6</v>
      </c>
      <c r="F1962" s="27" t="str">
        <f>Tabela12[[#This Row],[Régua]]&amp;" ("&amp;Tabela12[[#This Row],[Born]]&amp;")"</f>
        <v>TB-03 (6)</v>
      </c>
      <c r="G1962" s="27">
        <f>LEN(Tabela12[[#This Row],[Anilha]])</f>
        <v>9</v>
      </c>
      <c r="H1962" s="21">
        <f>VLOOKUP(Tabela12[[#This Row],[Tag Cabo]],BD!A:F,6,0)</f>
        <v>1</v>
      </c>
      <c r="I1962" s="27" t="s">
        <v>1705</v>
      </c>
      <c r="J1962" s="27" t="s">
        <v>1706</v>
      </c>
    </row>
    <row r="1963" spans="1:10" x14ac:dyDescent="0.25">
      <c r="A1963" s="216" t="s">
        <v>1120</v>
      </c>
      <c r="B1963" s="45" t="str">
        <f>VLOOKUP(Tabela12[[#This Row],[Painel]],Tabela13[],2,0)</f>
        <v>CCP</v>
      </c>
      <c r="C1963" s="45" t="s">
        <v>1648</v>
      </c>
      <c r="D1963" s="21" t="s">
        <v>1977</v>
      </c>
      <c r="E1963" s="21">
        <v>7</v>
      </c>
      <c r="F1963" s="27" t="str">
        <f>Tabela12[[#This Row],[Régua]]&amp;" ("&amp;Tabela12[[#This Row],[Born]]&amp;")"</f>
        <v>TB-03 (7)</v>
      </c>
      <c r="G1963" s="27">
        <f>LEN(Tabela12[[#This Row],[Anilha]])</f>
        <v>9</v>
      </c>
      <c r="H1963" s="21">
        <f>VLOOKUP(Tabela12[[#This Row],[Tag Cabo]],BD!A:F,6,0)</f>
        <v>1</v>
      </c>
      <c r="I1963" s="27" t="s">
        <v>1705</v>
      </c>
      <c r="J1963" s="27" t="s">
        <v>1706</v>
      </c>
    </row>
    <row r="1964" spans="1:10" x14ac:dyDescent="0.25">
      <c r="A1964" s="216" t="s">
        <v>1120</v>
      </c>
      <c r="B1964" s="45" t="str">
        <f>VLOOKUP(Tabela12[[#This Row],[Painel]],Tabela13[],2,0)</f>
        <v>CCP</v>
      </c>
      <c r="C1964" s="45" t="s">
        <v>1648</v>
      </c>
      <c r="D1964" s="21" t="s">
        <v>1977</v>
      </c>
      <c r="E1964" s="21">
        <v>8</v>
      </c>
      <c r="F1964" s="27" t="str">
        <f>Tabela12[[#This Row],[Régua]]&amp;" ("&amp;Tabela12[[#This Row],[Born]]&amp;")"</f>
        <v>TB-03 (8)</v>
      </c>
      <c r="G1964" s="27">
        <f>LEN(Tabela12[[#This Row],[Anilha]])</f>
        <v>9</v>
      </c>
      <c r="H1964" s="21">
        <f>VLOOKUP(Tabela12[[#This Row],[Tag Cabo]],BD!A:F,6,0)</f>
        <v>1</v>
      </c>
      <c r="I1964" s="27" t="s">
        <v>1705</v>
      </c>
      <c r="J1964" s="27" t="s">
        <v>1706</v>
      </c>
    </row>
    <row r="1965" spans="1:10" x14ac:dyDescent="0.25">
      <c r="A1965" s="216" t="s">
        <v>1120</v>
      </c>
      <c r="B1965" s="45" t="str">
        <f>VLOOKUP(Tabela12[[#This Row],[Painel]],Tabela13[],2,0)</f>
        <v>CCP</v>
      </c>
      <c r="C1965" s="45" t="s">
        <v>1648</v>
      </c>
      <c r="D1965" s="21" t="s">
        <v>1977</v>
      </c>
      <c r="E1965" s="21">
        <v>9</v>
      </c>
      <c r="F1965" s="27" t="str">
        <f>Tabela12[[#This Row],[Régua]]&amp;" ("&amp;Tabela12[[#This Row],[Born]]&amp;")"</f>
        <v>TB-03 (9)</v>
      </c>
      <c r="G1965" s="27">
        <f>LEN(Tabela12[[#This Row],[Anilha]])</f>
        <v>9</v>
      </c>
      <c r="H1965" s="21">
        <f>VLOOKUP(Tabela12[[#This Row],[Tag Cabo]],BD!A:F,6,0)</f>
        <v>1</v>
      </c>
      <c r="I1965" s="27" t="s">
        <v>1705</v>
      </c>
      <c r="J1965" s="27" t="s">
        <v>1706</v>
      </c>
    </row>
    <row r="1966" spans="1:10" x14ac:dyDescent="0.25">
      <c r="A1966" s="216" t="s">
        <v>1120</v>
      </c>
      <c r="B1966" s="45" t="str">
        <f>VLOOKUP(Tabela12[[#This Row],[Painel]],Tabela13[],2,0)</f>
        <v>CCP</v>
      </c>
      <c r="C1966" s="45" t="s">
        <v>1648</v>
      </c>
      <c r="D1966" s="21" t="s">
        <v>1977</v>
      </c>
      <c r="E1966" s="21">
        <v>11</v>
      </c>
      <c r="F1966" s="27" t="str">
        <f>Tabela12[[#This Row],[Régua]]&amp;" ("&amp;Tabela12[[#This Row],[Born]]&amp;")"</f>
        <v>TB-03 (11)</v>
      </c>
      <c r="G1966" s="27">
        <f>LEN(Tabela12[[#This Row],[Anilha]])</f>
        <v>10</v>
      </c>
      <c r="H1966" s="21">
        <f>VLOOKUP(Tabela12[[#This Row],[Tag Cabo]],BD!A:F,6,0)</f>
        <v>1</v>
      </c>
      <c r="I1966" s="27" t="s">
        <v>1705</v>
      </c>
      <c r="J1966" s="27" t="s">
        <v>1706</v>
      </c>
    </row>
    <row r="1967" spans="1:10" x14ac:dyDescent="0.25">
      <c r="A1967" s="216" t="s">
        <v>1120</v>
      </c>
      <c r="B1967" s="45" t="str">
        <f>VLOOKUP(Tabela12[[#This Row],[Painel]],Tabela13[],2,0)</f>
        <v>CCP</v>
      </c>
      <c r="C1967" s="45" t="s">
        <v>1648</v>
      </c>
      <c r="D1967" s="21" t="s">
        <v>1977</v>
      </c>
      <c r="E1967" s="21">
        <v>12</v>
      </c>
      <c r="F1967" s="27" t="str">
        <f>Tabela12[[#This Row],[Régua]]&amp;" ("&amp;Tabela12[[#This Row],[Born]]&amp;")"</f>
        <v>TB-03 (12)</v>
      </c>
      <c r="G1967" s="27">
        <f>LEN(Tabela12[[#This Row],[Anilha]])</f>
        <v>10</v>
      </c>
      <c r="H1967" s="21">
        <f>VLOOKUP(Tabela12[[#This Row],[Tag Cabo]],BD!A:F,6,0)</f>
        <v>1</v>
      </c>
      <c r="I1967" s="27" t="s">
        <v>1705</v>
      </c>
      <c r="J1967" s="27" t="s">
        <v>1706</v>
      </c>
    </row>
    <row r="1968" spans="1:10" x14ac:dyDescent="0.25">
      <c r="A1968" s="216" t="s">
        <v>1120</v>
      </c>
      <c r="B1968" s="45" t="str">
        <f>VLOOKUP(Tabela12[[#This Row],[Painel]],Tabela13[],2,0)</f>
        <v>CCP</v>
      </c>
      <c r="C1968" s="45" t="s">
        <v>1648</v>
      </c>
      <c r="D1968" s="21" t="s">
        <v>1977</v>
      </c>
      <c r="E1968" s="21">
        <v>13</v>
      </c>
      <c r="F1968" s="27" t="str">
        <f>Tabela12[[#This Row],[Régua]]&amp;" ("&amp;Tabela12[[#This Row],[Born]]&amp;")"</f>
        <v>TB-03 (13)</v>
      </c>
      <c r="G1968" s="27">
        <f>LEN(Tabela12[[#This Row],[Anilha]])</f>
        <v>10</v>
      </c>
      <c r="H1968" s="21">
        <f>VLOOKUP(Tabela12[[#This Row],[Tag Cabo]],BD!A:F,6,0)</f>
        <v>1</v>
      </c>
      <c r="I1968" s="27" t="s">
        <v>1705</v>
      </c>
      <c r="J1968" s="27" t="s">
        <v>1706</v>
      </c>
    </row>
    <row r="1969" spans="1:10" x14ac:dyDescent="0.25">
      <c r="A1969" s="216" t="s">
        <v>1120</v>
      </c>
      <c r="B1969" s="45" t="str">
        <f>VLOOKUP(Tabela12[[#This Row],[Painel]],Tabela13[],2,0)</f>
        <v>CCP</v>
      </c>
      <c r="C1969" s="45" t="s">
        <v>1648</v>
      </c>
      <c r="D1969" s="21" t="s">
        <v>1977</v>
      </c>
      <c r="E1969" s="21">
        <v>14</v>
      </c>
      <c r="F1969" s="27" t="str">
        <f>Tabela12[[#This Row],[Régua]]&amp;" ("&amp;Tabela12[[#This Row],[Born]]&amp;")"</f>
        <v>TB-03 (14)</v>
      </c>
      <c r="G1969" s="27">
        <f>LEN(Tabela12[[#This Row],[Anilha]])</f>
        <v>10</v>
      </c>
      <c r="H1969" s="21">
        <f>VLOOKUP(Tabela12[[#This Row],[Tag Cabo]],BD!A:F,6,0)</f>
        <v>1</v>
      </c>
      <c r="I1969" s="27" t="s">
        <v>1705</v>
      </c>
      <c r="J1969" s="27" t="s">
        <v>1706</v>
      </c>
    </row>
    <row r="1970" spans="1:10" x14ac:dyDescent="0.25">
      <c r="A1970" s="216" t="s">
        <v>1120</v>
      </c>
      <c r="B1970" s="45" t="str">
        <f>VLOOKUP(Tabela12[[#This Row],[Painel]],Tabela13[],2,0)</f>
        <v>CCP</v>
      </c>
      <c r="C1970" s="45" t="s">
        <v>1648</v>
      </c>
      <c r="D1970" s="21" t="s">
        <v>1977</v>
      </c>
      <c r="E1970" s="21">
        <v>16</v>
      </c>
      <c r="F1970" s="27" t="str">
        <f>Tabela12[[#This Row],[Régua]]&amp;" ("&amp;Tabela12[[#This Row],[Born]]&amp;")"</f>
        <v>TB-03 (16)</v>
      </c>
      <c r="G1970" s="27">
        <f>LEN(Tabela12[[#This Row],[Anilha]])</f>
        <v>10</v>
      </c>
      <c r="H1970" s="21">
        <f>VLOOKUP(Tabela12[[#This Row],[Tag Cabo]],BD!A:F,6,0)</f>
        <v>1</v>
      </c>
      <c r="I1970" s="27" t="s">
        <v>1705</v>
      </c>
      <c r="J1970" s="27" t="s">
        <v>1706</v>
      </c>
    </row>
    <row r="1971" spans="1:10" x14ac:dyDescent="0.25">
      <c r="A1971" s="216" t="s">
        <v>1120</v>
      </c>
      <c r="B1971" s="45" t="str">
        <f>VLOOKUP(Tabela12[[#This Row],[Painel]],Tabela13[],2,0)</f>
        <v>CCP</v>
      </c>
      <c r="C1971" s="45" t="s">
        <v>1648</v>
      </c>
      <c r="D1971" s="21" t="s">
        <v>1977</v>
      </c>
      <c r="E1971" s="21">
        <v>17</v>
      </c>
      <c r="F1971" s="27" t="str">
        <f>Tabela12[[#This Row],[Régua]]&amp;" ("&amp;Tabela12[[#This Row],[Born]]&amp;")"</f>
        <v>TB-03 (17)</v>
      </c>
      <c r="G1971" s="27">
        <f>LEN(Tabela12[[#This Row],[Anilha]])</f>
        <v>10</v>
      </c>
      <c r="H1971" s="21">
        <f>VLOOKUP(Tabela12[[#This Row],[Tag Cabo]],BD!A:F,6,0)</f>
        <v>1</v>
      </c>
      <c r="I1971" s="27" t="s">
        <v>1705</v>
      </c>
      <c r="J1971" s="27" t="s">
        <v>1706</v>
      </c>
    </row>
    <row r="1972" spans="1:10" x14ac:dyDescent="0.25">
      <c r="A1972" s="216" t="s">
        <v>1120</v>
      </c>
      <c r="B1972" s="45" t="str">
        <f>VLOOKUP(Tabela12[[#This Row],[Painel]],Tabela13[],2,0)</f>
        <v>CCP</v>
      </c>
      <c r="C1972" s="45" t="s">
        <v>1648</v>
      </c>
      <c r="D1972" s="21" t="s">
        <v>1977</v>
      </c>
      <c r="E1972" s="21">
        <v>18</v>
      </c>
      <c r="F1972" s="27" t="str">
        <f>Tabela12[[#This Row],[Régua]]&amp;" ("&amp;Tabela12[[#This Row],[Born]]&amp;")"</f>
        <v>TB-03 (18)</v>
      </c>
      <c r="G1972" s="27">
        <f>LEN(Tabela12[[#This Row],[Anilha]])</f>
        <v>10</v>
      </c>
      <c r="H1972" s="21">
        <f>VLOOKUP(Tabela12[[#This Row],[Tag Cabo]],BD!A:F,6,0)</f>
        <v>1</v>
      </c>
      <c r="I1972" s="27" t="s">
        <v>1705</v>
      </c>
      <c r="J1972" s="27" t="s">
        <v>1706</v>
      </c>
    </row>
    <row r="1973" spans="1:10" x14ac:dyDescent="0.25">
      <c r="A1973" s="216" t="s">
        <v>1120</v>
      </c>
      <c r="B1973" s="45" t="str">
        <f>VLOOKUP(Tabela12[[#This Row],[Painel]],Tabela13[],2,0)</f>
        <v>CCP</v>
      </c>
      <c r="C1973" s="45" t="s">
        <v>1648</v>
      </c>
      <c r="D1973" s="21" t="s">
        <v>1977</v>
      </c>
      <c r="E1973" s="21">
        <v>19</v>
      </c>
      <c r="F1973" s="27" t="str">
        <f>Tabela12[[#This Row],[Régua]]&amp;" ("&amp;Tabela12[[#This Row],[Born]]&amp;")"</f>
        <v>TB-03 (19)</v>
      </c>
      <c r="G1973" s="27">
        <f>LEN(Tabela12[[#This Row],[Anilha]])</f>
        <v>10</v>
      </c>
      <c r="H1973" s="21">
        <f>VLOOKUP(Tabela12[[#This Row],[Tag Cabo]],BD!A:F,6,0)</f>
        <v>1</v>
      </c>
      <c r="I1973" s="27" t="s">
        <v>1705</v>
      </c>
      <c r="J1973" s="27" t="s">
        <v>1706</v>
      </c>
    </row>
    <row r="1974" spans="1:10" x14ac:dyDescent="0.25">
      <c r="A1974" s="216" t="s">
        <v>1120</v>
      </c>
      <c r="B1974" s="45" t="str">
        <f>VLOOKUP(Tabela12[[#This Row],[Painel]],Tabela13[],2,0)</f>
        <v>GB-200</v>
      </c>
      <c r="C1974" s="45" t="s">
        <v>1121</v>
      </c>
      <c r="D1974" s="21" t="s">
        <v>1978</v>
      </c>
      <c r="E1974" s="21">
        <v>7</v>
      </c>
      <c r="F1974" s="27" t="str">
        <f>Tabela12[[#This Row],[Régua]]&amp;" ("&amp;Tabela12[[#This Row],[Born]]&amp;")"</f>
        <v>TB-02 (7)</v>
      </c>
      <c r="G1974" s="27">
        <f>LEN(Tabela12[[#This Row],[Anilha]])</f>
        <v>9</v>
      </c>
      <c r="H1974" s="21">
        <f>VLOOKUP(Tabela12[[#This Row],[Tag Cabo]],BD!A:F,6,0)</f>
        <v>1</v>
      </c>
      <c r="I1974" s="27" t="s">
        <v>1705</v>
      </c>
      <c r="J1974" s="27" t="s">
        <v>1706</v>
      </c>
    </row>
    <row r="1975" spans="1:10" x14ac:dyDescent="0.25">
      <c r="A1975" s="216" t="s">
        <v>1120</v>
      </c>
      <c r="B1975" s="45" t="str">
        <f>VLOOKUP(Tabela12[[#This Row],[Painel]],Tabela13[],2,0)</f>
        <v>GB-200</v>
      </c>
      <c r="C1975" s="45" t="s">
        <v>1121</v>
      </c>
      <c r="D1975" s="21" t="s">
        <v>1978</v>
      </c>
      <c r="E1975" s="21">
        <v>8</v>
      </c>
      <c r="F1975" s="27" t="str">
        <f>Tabela12[[#This Row],[Régua]]&amp;" ("&amp;Tabela12[[#This Row],[Born]]&amp;")"</f>
        <v>TB-02 (8)</v>
      </c>
      <c r="G1975" s="27">
        <f>LEN(Tabela12[[#This Row],[Anilha]])</f>
        <v>9</v>
      </c>
      <c r="H1975" s="21">
        <f>VLOOKUP(Tabela12[[#This Row],[Tag Cabo]],BD!A:F,6,0)</f>
        <v>1</v>
      </c>
      <c r="I1975" s="27" t="s">
        <v>1705</v>
      </c>
      <c r="J1975" s="27" t="s">
        <v>1706</v>
      </c>
    </row>
    <row r="1976" spans="1:10" x14ac:dyDescent="0.25">
      <c r="A1976" s="216" t="s">
        <v>1120</v>
      </c>
      <c r="B1976" s="45" t="str">
        <f>VLOOKUP(Tabela12[[#This Row],[Painel]],Tabela13[],2,0)</f>
        <v>GB-200</v>
      </c>
      <c r="C1976" s="45" t="s">
        <v>1121</v>
      </c>
      <c r="D1976" s="21" t="s">
        <v>1978</v>
      </c>
      <c r="E1976" s="21">
        <v>9</v>
      </c>
      <c r="F1976" s="27" t="str">
        <f>Tabela12[[#This Row],[Régua]]&amp;" ("&amp;Tabela12[[#This Row],[Born]]&amp;")"</f>
        <v>TB-02 (9)</v>
      </c>
      <c r="G1976" s="27">
        <f>LEN(Tabela12[[#This Row],[Anilha]])</f>
        <v>9</v>
      </c>
      <c r="H1976" s="21">
        <f>VLOOKUP(Tabela12[[#This Row],[Tag Cabo]],BD!A:F,6,0)</f>
        <v>1</v>
      </c>
      <c r="I1976" s="27" t="s">
        <v>1705</v>
      </c>
      <c r="J1976" s="27" t="s">
        <v>1706</v>
      </c>
    </row>
    <row r="1977" spans="1:10" x14ac:dyDescent="0.25">
      <c r="A1977" s="216" t="s">
        <v>1120</v>
      </c>
      <c r="B1977" s="45" t="str">
        <f>VLOOKUP(Tabela12[[#This Row],[Painel]],Tabela13[],2,0)</f>
        <v>GB-200</v>
      </c>
      <c r="C1977" s="45" t="s">
        <v>1121</v>
      </c>
      <c r="D1977" s="21" t="s">
        <v>1978</v>
      </c>
      <c r="E1977" s="21">
        <v>10</v>
      </c>
      <c r="F1977" s="27" t="str">
        <f>Tabela12[[#This Row],[Régua]]&amp;" ("&amp;Tabela12[[#This Row],[Born]]&amp;")"</f>
        <v>TB-02 (10)</v>
      </c>
      <c r="G1977" s="27">
        <f>LEN(Tabela12[[#This Row],[Anilha]])</f>
        <v>10</v>
      </c>
      <c r="H1977" s="21">
        <f>VLOOKUP(Tabela12[[#This Row],[Tag Cabo]],BD!A:F,6,0)</f>
        <v>1</v>
      </c>
      <c r="I1977" s="27" t="s">
        <v>1705</v>
      </c>
      <c r="J1977" s="27" t="s">
        <v>1706</v>
      </c>
    </row>
    <row r="1978" spans="1:10" x14ac:dyDescent="0.25">
      <c r="A1978" s="216" t="s">
        <v>1120</v>
      </c>
      <c r="B1978" s="45" t="str">
        <f>VLOOKUP(Tabela12[[#This Row],[Painel]],Tabela13[],2,0)</f>
        <v>GB-200</v>
      </c>
      <c r="C1978" s="45" t="s">
        <v>1121</v>
      </c>
      <c r="D1978" s="21" t="s">
        <v>1978</v>
      </c>
      <c r="E1978" s="21">
        <v>11</v>
      </c>
      <c r="F1978" s="27" t="str">
        <f>Tabela12[[#This Row],[Régua]]&amp;" ("&amp;Tabela12[[#This Row],[Born]]&amp;")"</f>
        <v>TB-02 (11)</v>
      </c>
      <c r="G1978" s="27">
        <f>LEN(Tabela12[[#This Row],[Anilha]])</f>
        <v>10</v>
      </c>
      <c r="H1978" s="21">
        <f>VLOOKUP(Tabela12[[#This Row],[Tag Cabo]],BD!A:F,6,0)</f>
        <v>1</v>
      </c>
      <c r="I1978" s="27" t="s">
        <v>1705</v>
      </c>
      <c r="J1978" s="27" t="s">
        <v>1706</v>
      </c>
    </row>
    <row r="1979" spans="1:10" x14ac:dyDescent="0.25">
      <c r="A1979" s="216" t="s">
        <v>1120</v>
      </c>
      <c r="B1979" s="45" t="str">
        <f>VLOOKUP(Tabela12[[#This Row],[Painel]],Tabela13[],2,0)</f>
        <v>GB-200</v>
      </c>
      <c r="C1979" s="45" t="s">
        <v>1121</v>
      </c>
      <c r="D1979" s="21" t="s">
        <v>1978</v>
      </c>
      <c r="E1979" s="21">
        <v>12</v>
      </c>
      <c r="F1979" s="27" t="str">
        <f>Tabela12[[#This Row],[Régua]]&amp;" ("&amp;Tabela12[[#This Row],[Born]]&amp;")"</f>
        <v>TB-02 (12)</v>
      </c>
      <c r="G1979" s="27">
        <f>LEN(Tabela12[[#This Row],[Anilha]])</f>
        <v>10</v>
      </c>
      <c r="H1979" s="21">
        <f>VLOOKUP(Tabela12[[#This Row],[Tag Cabo]],BD!A:F,6,0)</f>
        <v>1</v>
      </c>
      <c r="I1979" s="27" t="s">
        <v>1705</v>
      </c>
      <c r="J1979" s="27" t="s">
        <v>1706</v>
      </c>
    </row>
    <row r="1980" spans="1:10" x14ac:dyDescent="0.25">
      <c r="A1980" s="21" t="s">
        <v>1125</v>
      </c>
      <c r="B1980" s="391" t="str">
        <f>VLOOKUP(Tabela12[[#This Row],[Painel]],Tabela13[],2,0)</f>
        <v>GB-200</v>
      </c>
      <c r="C1980" s="391" t="s">
        <v>1127</v>
      </c>
      <c r="D1980" s="21" t="s">
        <v>1872</v>
      </c>
      <c r="E1980" s="21">
        <v>1</v>
      </c>
      <c r="F1980" s="27" t="str">
        <f>Tabela12[[#This Row],[Régua]]&amp;" ("&amp;Tabela12[[#This Row],[Born]]&amp;")"</f>
        <v>TB4 (1)</v>
      </c>
      <c r="G1980" s="27">
        <f>LEN(Tabela12[[#This Row],[Anilha]])</f>
        <v>7</v>
      </c>
      <c r="H1980" s="21">
        <f>VLOOKUP(Tabela12[[#This Row],[Tag Cabo]],BD!A:F,6,0)</f>
        <v>1</v>
      </c>
      <c r="I1980" s="27" t="s">
        <v>1705</v>
      </c>
      <c r="J1980" s="27" t="s">
        <v>1706</v>
      </c>
    </row>
    <row r="1981" spans="1:10" x14ac:dyDescent="0.25">
      <c r="A1981" s="21" t="s">
        <v>1125</v>
      </c>
      <c r="B1981" s="391" t="str">
        <f>VLOOKUP(Tabela12[[#This Row],[Painel]],Tabela13[],2,0)</f>
        <v>GB-200</v>
      </c>
      <c r="C1981" s="391" t="s">
        <v>1127</v>
      </c>
      <c r="D1981" s="21" t="s">
        <v>1872</v>
      </c>
      <c r="E1981" s="21">
        <v>2</v>
      </c>
      <c r="F1981" s="27" t="str">
        <f>Tabela12[[#This Row],[Régua]]&amp;" ("&amp;Tabela12[[#This Row],[Born]]&amp;")"</f>
        <v>TB4 (2)</v>
      </c>
      <c r="G1981" s="27">
        <f>LEN(Tabela12[[#This Row],[Anilha]])</f>
        <v>7</v>
      </c>
      <c r="H1981" s="21">
        <f>VLOOKUP(Tabela12[[#This Row],[Tag Cabo]],BD!A:F,6,0)</f>
        <v>1</v>
      </c>
      <c r="I1981" s="27" t="s">
        <v>1705</v>
      </c>
      <c r="J1981" s="27" t="s">
        <v>1706</v>
      </c>
    </row>
    <row r="1982" spans="1:10" x14ac:dyDescent="0.25">
      <c r="A1982" s="21" t="s">
        <v>1125</v>
      </c>
      <c r="B1982" s="391" t="str">
        <f>VLOOKUP(Tabela12[[#This Row],[Painel]],Tabela13[],2,0)</f>
        <v>GB-200</v>
      </c>
      <c r="C1982" s="391" t="s">
        <v>1127</v>
      </c>
      <c r="D1982" s="21" t="s">
        <v>1872</v>
      </c>
      <c r="E1982" s="21">
        <v>3</v>
      </c>
      <c r="F1982" s="27" t="str">
        <f>Tabela12[[#This Row],[Régua]]&amp;" ("&amp;Tabela12[[#This Row],[Born]]&amp;")"</f>
        <v>TB4 (3)</v>
      </c>
      <c r="G1982" s="27">
        <f>LEN(Tabela12[[#This Row],[Anilha]])</f>
        <v>7</v>
      </c>
      <c r="H1982" s="21">
        <f>VLOOKUP(Tabela12[[#This Row],[Tag Cabo]],BD!A:F,6,0)</f>
        <v>1</v>
      </c>
      <c r="I1982" s="27" t="s">
        <v>1705</v>
      </c>
      <c r="J1982" s="27" t="s">
        <v>1706</v>
      </c>
    </row>
    <row r="1983" spans="1:10" x14ac:dyDescent="0.25">
      <c r="A1983" s="21" t="s">
        <v>1125</v>
      </c>
      <c r="B1983" s="391" t="str">
        <f>VLOOKUP(Tabela12[[#This Row],[Painel]],Tabela13[],2,0)</f>
        <v>GB-200</v>
      </c>
      <c r="C1983" s="391" t="s">
        <v>1127</v>
      </c>
      <c r="D1983" s="21" t="s">
        <v>1872</v>
      </c>
      <c r="E1983" s="21">
        <v>5</v>
      </c>
      <c r="F1983" s="27" t="str">
        <f>Tabela12[[#This Row],[Régua]]&amp;" ("&amp;Tabela12[[#This Row],[Born]]&amp;")"</f>
        <v>TB4 (5)</v>
      </c>
      <c r="G1983" s="27">
        <f>LEN(Tabela12[[#This Row],[Anilha]])</f>
        <v>7</v>
      </c>
      <c r="H1983" s="21">
        <f>VLOOKUP(Tabela12[[#This Row],[Tag Cabo]],BD!A:F,6,0)</f>
        <v>1</v>
      </c>
      <c r="I1983" s="27" t="s">
        <v>1705</v>
      </c>
      <c r="J1983" s="27" t="s">
        <v>1706</v>
      </c>
    </row>
    <row r="1984" spans="1:10" x14ac:dyDescent="0.25">
      <c r="A1984" s="21" t="s">
        <v>1125</v>
      </c>
      <c r="B1984" s="391" t="str">
        <f>VLOOKUP(Tabela12[[#This Row],[Painel]],Tabela13[],2,0)</f>
        <v>GB-200</v>
      </c>
      <c r="C1984" s="391" t="s">
        <v>1127</v>
      </c>
      <c r="D1984" s="21" t="s">
        <v>1872</v>
      </c>
      <c r="E1984" s="21">
        <v>6</v>
      </c>
      <c r="F1984" s="27" t="str">
        <f>Tabela12[[#This Row],[Régua]]&amp;" ("&amp;Tabela12[[#This Row],[Born]]&amp;")"</f>
        <v>TB4 (6)</v>
      </c>
      <c r="G1984" s="27">
        <f>LEN(Tabela12[[#This Row],[Anilha]])</f>
        <v>7</v>
      </c>
      <c r="H1984" s="21">
        <f>VLOOKUP(Tabela12[[#This Row],[Tag Cabo]],BD!A:F,6,0)</f>
        <v>1</v>
      </c>
      <c r="I1984" s="27" t="s">
        <v>1705</v>
      </c>
      <c r="J1984" s="27" t="s">
        <v>1706</v>
      </c>
    </row>
    <row r="1985" spans="1:10" x14ac:dyDescent="0.25">
      <c r="A1985" s="21" t="s">
        <v>1125</v>
      </c>
      <c r="B1985" s="391" t="str">
        <f>VLOOKUP(Tabela12[[#This Row],[Painel]],Tabela13[],2,0)</f>
        <v>GB-200</v>
      </c>
      <c r="C1985" s="391" t="s">
        <v>1127</v>
      </c>
      <c r="D1985" s="21" t="s">
        <v>1872</v>
      </c>
      <c r="E1985" s="21">
        <v>7</v>
      </c>
      <c r="F1985" s="27" t="str">
        <f>Tabela12[[#This Row],[Régua]]&amp;" ("&amp;Tabela12[[#This Row],[Born]]&amp;")"</f>
        <v>TB4 (7)</v>
      </c>
      <c r="G1985" s="27">
        <f>LEN(Tabela12[[#This Row],[Anilha]])</f>
        <v>7</v>
      </c>
      <c r="H1985" s="21">
        <f>VLOOKUP(Tabela12[[#This Row],[Tag Cabo]],BD!A:F,6,0)</f>
        <v>1</v>
      </c>
      <c r="I1985" s="27" t="s">
        <v>1705</v>
      </c>
      <c r="J1985" s="27" t="s">
        <v>1706</v>
      </c>
    </row>
    <row r="1986" spans="1:10" x14ac:dyDescent="0.25">
      <c r="A1986" s="21" t="s">
        <v>1125</v>
      </c>
      <c r="B1986" s="391" t="str">
        <f>VLOOKUP(Tabela12[[#This Row],[Painel]],Tabela13[],2,0)</f>
        <v>GB-200</v>
      </c>
      <c r="C1986" s="391" t="s">
        <v>1127</v>
      </c>
      <c r="D1986" s="21" t="s">
        <v>1872</v>
      </c>
      <c r="E1986" s="21">
        <v>9</v>
      </c>
      <c r="F1986" s="27" t="str">
        <f>Tabela12[[#This Row],[Régua]]&amp;" ("&amp;Tabela12[[#This Row],[Born]]&amp;")"</f>
        <v>TB4 (9)</v>
      </c>
      <c r="G1986" s="27">
        <f>LEN(Tabela12[[#This Row],[Anilha]])</f>
        <v>7</v>
      </c>
      <c r="H1986" s="21">
        <f>VLOOKUP(Tabela12[[#This Row],[Tag Cabo]],BD!A:F,6,0)</f>
        <v>1</v>
      </c>
      <c r="I1986" s="27" t="s">
        <v>1705</v>
      </c>
      <c r="J1986" s="27" t="s">
        <v>1706</v>
      </c>
    </row>
    <row r="1987" spans="1:10" x14ac:dyDescent="0.25">
      <c r="A1987" s="21" t="s">
        <v>1125</v>
      </c>
      <c r="B1987" s="391" t="str">
        <f>VLOOKUP(Tabela12[[#This Row],[Painel]],Tabela13[],2,0)</f>
        <v>GB-200</v>
      </c>
      <c r="C1987" s="391" t="s">
        <v>1127</v>
      </c>
      <c r="D1987" s="21" t="s">
        <v>1872</v>
      </c>
      <c r="E1987" s="21">
        <v>10</v>
      </c>
      <c r="F1987" s="27" t="str">
        <f>Tabela12[[#This Row],[Régua]]&amp;" ("&amp;Tabela12[[#This Row],[Born]]&amp;")"</f>
        <v>TB4 (10)</v>
      </c>
      <c r="G1987" s="27">
        <f>LEN(Tabela12[[#This Row],[Anilha]])</f>
        <v>8</v>
      </c>
      <c r="H1987" s="21">
        <f>VLOOKUP(Tabela12[[#This Row],[Tag Cabo]],BD!A:F,6,0)</f>
        <v>1</v>
      </c>
      <c r="I1987" s="27" t="s">
        <v>1705</v>
      </c>
      <c r="J1987" s="27" t="s">
        <v>1706</v>
      </c>
    </row>
    <row r="1988" spans="1:10" x14ac:dyDescent="0.25">
      <c r="A1988" s="21" t="s">
        <v>1125</v>
      </c>
      <c r="B1988" s="391" t="str">
        <f>VLOOKUP(Tabela12[[#This Row],[Painel]],Tabela13[],2,0)</f>
        <v>GB-200</v>
      </c>
      <c r="C1988" s="391" t="s">
        <v>1127</v>
      </c>
      <c r="D1988" s="21" t="s">
        <v>1872</v>
      </c>
      <c r="E1988" s="21">
        <v>11</v>
      </c>
      <c r="F1988" s="27" t="str">
        <f>Tabela12[[#This Row],[Régua]]&amp;" ("&amp;Tabela12[[#This Row],[Born]]&amp;")"</f>
        <v>TB4 (11)</v>
      </c>
      <c r="G1988" s="27">
        <f>LEN(Tabela12[[#This Row],[Anilha]])</f>
        <v>8</v>
      </c>
      <c r="H1988" s="21">
        <f>VLOOKUP(Tabela12[[#This Row],[Tag Cabo]],BD!A:F,6,0)</f>
        <v>1</v>
      </c>
      <c r="I1988" s="27" t="s">
        <v>1705</v>
      </c>
      <c r="J1988" s="27" t="s">
        <v>1706</v>
      </c>
    </row>
    <row r="1989" spans="1:10" x14ac:dyDescent="0.25">
      <c r="A1989" s="21" t="s">
        <v>1125</v>
      </c>
      <c r="B1989" s="391" t="str">
        <f>VLOOKUP(Tabela12[[#This Row],[Painel]],Tabela13[],2,0)</f>
        <v>GB-200</v>
      </c>
      <c r="C1989" s="391" t="s">
        <v>1127</v>
      </c>
      <c r="D1989" s="21" t="s">
        <v>1872</v>
      </c>
      <c r="E1989" s="21">
        <v>13</v>
      </c>
      <c r="F1989" s="27" t="str">
        <f>Tabela12[[#This Row],[Régua]]&amp;" ("&amp;Tabela12[[#This Row],[Born]]&amp;")"</f>
        <v>TB4 (13)</v>
      </c>
      <c r="G1989" s="27">
        <f>LEN(Tabela12[[#This Row],[Anilha]])</f>
        <v>8</v>
      </c>
      <c r="H1989" s="21">
        <f>VLOOKUP(Tabela12[[#This Row],[Tag Cabo]],BD!A:F,6,0)</f>
        <v>1</v>
      </c>
      <c r="I1989" s="27" t="s">
        <v>1705</v>
      </c>
      <c r="J1989" s="27" t="s">
        <v>1706</v>
      </c>
    </row>
    <row r="1990" spans="1:10" x14ac:dyDescent="0.25">
      <c r="A1990" s="21" t="s">
        <v>1125</v>
      </c>
      <c r="B1990" s="391" t="str">
        <f>VLOOKUP(Tabela12[[#This Row],[Painel]],Tabela13[],2,0)</f>
        <v>GB-200</v>
      </c>
      <c r="C1990" s="391" t="s">
        <v>1127</v>
      </c>
      <c r="D1990" s="21" t="s">
        <v>1872</v>
      </c>
      <c r="E1990" s="21">
        <v>14</v>
      </c>
      <c r="F1990" s="27" t="str">
        <f>Tabela12[[#This Row],[Régua]]&amp;" ("&amp;Tabela12[[#This Row],[Born]]&amp;")"</f>
        <v>TB4 (14)</v>
      </c>
      <c r="G1990" s="27">
        <f>LEN(Tabela12[[#This Row],[Anilha]])</f>
        <v>8</v>
      </c>
      <c r="H1990" s="21">
        <f>VLOOKUP(Tabela12[[#This Row],[Tag Cabo]],BD!A:F,6,0)</f>
        <v>1</v>
      </c>
      <c r="I1990" s="27" t="s">
        <v>1705</v>
      </c>
      <c r="J1990" s="27" t="s">
        <v>1706</v>
      </c>
    </row>
    <row r="1991" spans="1:10" x14ac:dyDescent="0.25">
      <c r="A1991" s="21" t="s">
        <v>1125</v>
      </c>
      <c r="B1991" s="391" t="str">
        <f>VLOOKUP(Tabela12[[#This Row],[Painel]],Tabela13[],2,0)</f>
        <v>GB-200</v>
      </c>
      <c r="C1991" s="391" t="s">
        <v>1127</v>
      </c>
      <c r="D1991" s="21" t="s">
        <v>1872</v>
      </c>
      <c r="E1991" s="21">
        <v>15</v>
      </c>
      <c r="F1991" s="27" t="str">
        <f>Tabela12[[#This Row],[Régua]]&amp;" ("&amp;Tabela12[[#This Row],[Born]]&amp;")"</f>
        <v>TB4 (15)</v>
      </c>
      <c r="G1991" s="27">
        <f>LEN(Tabela12[[#This Row],[Anilha]])</f>
        <v>8</v>
      </c>
      <c r="H1991" s="21">
        <f>VLOOKUP(Tabela12[[#This Row],[Tag Cabo]],BD!A:F,6,0)</f>
        <v>1</v>
      </c>
      <c r="I1991" s="27" t="s">
        <v>1705</v>
      </c>
      <c r="J1991" s="27" t="s">
        <v>1706</v>
      </c>
    </row>
    <row r="1992" spans="1:10" x14ac:dyDescent="0.25">
      <c r="A1992" s="21" t="s">
        <v>1125</v>
      </c>
      <c r="B1992" s="391" t="str">
        <f>VLOOKUP(Tabela12[[#This Row],[Painel]],Tabela13[],2,0)</f>
        <v>GB-200</v>
      </c>
      <c r="C1992" s="391" t="s">
        <v>1127</v>
      </c>
      <c r="D1992" s="21" t="s">
        <v>1872</v>
      </c>
      <c r="E1992" s="21">
        <v>17</v>
      </c>
      <c r="F1992" s="27" t="str">
        <f>Tabela12[[#This Row],[Régua]]&amp;" ("&amp;Tabela12[[#This Row],[Born]]&amp;")"</f>
        <v>TB4 (17)</v>
      </c>
      <c r="G1992" s="27">
        <f>LEN(Tabela12[[#This Row],[Anilha]])</f>
        <v>8</v>
      </c>
      <c r="H1992" s="21">
        <f>VLOOKUP(Tabela12[[#This Row],[Tag Cabo]],BD!A:F,6,0)</f>
        <v>1</v>
      </c>
      <c r="I1992" s="27" t="s">
        <v>1705</v>
      </c>
      <c r="J1992" s="27" t="s">
        <v>1706</v>
      </c>
    </row>
    <row r="1993" spans="1:10" x14ac:dyDescent="0.25">
      <c r="A1993" s="21" t="s">
        <v>1125</v>
      </c>
      <c r="B1993" s="391" t="str">
        <f>VLOOKUP(Tabela12[[#This Row],[Painel]],Tabela13[],2,0)</f>
        <v>GB-200</v>
      </c>
      <c r="C1993" s="391" t="s">
        <v>1127</v>
      </c>
      <c r="D1993" s="21" t="s">
        <v>1872</v>
      </c>
      <c r="E1993" s="21">
        <v>18</v>
      </c>
      <c r="F1993" s="27" t="str">
        <f>Tabela12[[#This Row],[Régua]]&amp;" ("&amp;Tabela12[[#This Row],[Born]]&amp;")"</f>
        <v>TB4 (18)</v>
      </c>
      <c r="G1993" s="27">
        <f>LEN(Tabela12[[#This Row],[Anilha]])</f>
        <v>8</v>
      </c>
      <c r="H1993" s="21">
        <f>VLOOKUP(Tabela12[[#This Row],[Tag Cabo]],BD!A:F,6,0)</f>
        <v>1</v>
      </c>
      <c r="I1993" s="27" t="s">
        <v>1705</v>
      </c>
      <c r="J1993" s="27" t="s">
        <v>1706</v>
      </c>
    </row>
    <row r="1994" spans="1:10" x14ac:dyDescent="0.25">
      <c r="A1994" s="21" t="s">
        <v>1125</v>
      </c>
      <c r="B1994" s="391" t="str">
        <f>VLOOKUP(Tabela12[[#This Row],[Painel]],Tabela13[],2,0)</f>
        <v>GB-200</v>
      </c>
      <c r="C1994" s="391" t="s">
        <v>1127</v>
      </c>
      <c r="D1994" s="21" t="s">
        <v>1872</v>
      </c>
      <c r="E1994" s="21">
        <v>19</v>
      </c>
      <c r="F1994" s="27" t="str">
        <f>Tabela12[[#This Row],[Régua]]&amp;" ("&amp;Tabela12[[#This Row],[Born]]&amp;")"</f>
        <v>TB4 (19)</v>
      </c>
      <c r="G1994" s="27">
        <f>LEN(Tabela12[[#This Row],[Anilha]])</f>
        <v>8</v>
      </c>
      <c r="H1994" s="21">
        <f>VLOOKUP(Tabela12[[#This Row],[Tag Cabo]],BD!A:F,6,0)</f>
        <v>1</v>
      </c>
      <c r="I1994" s="27" t="s">
        <v>1705</v>
      </c>
      <c r="J1994" s="27" t="s">
        <v>1706</v>
      </c>
    </row>
    <row r="1995" spans="1:10" x14ac:dyDescent="0.25">
      <c r="A1995" s="21" t="s">
        <v>1125</v>
      </c>
      <c r="B1995" s="391" t="str">
        <f>VLOOKUP(Tabela12[[#This Row],[Painel]],Tabela13[],2,0)</f>
        <v>GB-200</v>
      </c>
      <c r="C1995" s="391" t="s">
        <v>1127</v>
      </c>
      <c r="D1995" s="21" t="s">
        <v>1872</v>
      </c>
      <c r="E1995" s="21">
        <v>21</v>
      </c>
      <c r="F1995" s="27" t="str">
        <f>Tabela12[[#This Row],[Régua]]&amp;" ("&amp;Tabela12[[#This Row],[Born]]&amp;")"</f>
        <v>TB4 (21)</v>
      </c>
      <c r="G1995" s="27">
        <f>LEN(Tabela12[[#This Row],[Anilha]])</f>
        <v>8</v>
      </c>
      <c r="H1995" s="21">
        <f>VLOOKUP(Tabela12[[#This Row],[Tag Cabo]],BD!A:F,6,0)</f>
        <v>1</v>
      </c>
      <c r="I1995" s="27" t="s">
        <v>1705</v>
      </c>
      <c r="J1995" s="27" t="s">
        <v>1706</v>
      </c>
    </row>
    <row r="1996" spans="1:10" x14ac:dyDescent="0.25">
      <c r="A1996" s="21" t="s">
        <v>1125</v>
      </c>
      <c r="B1996" s="391" t="str">
        <f>VLOOKUP(Tabela12[[#This Row],[Painel]],Tabela13[],2,0)</f>
        <v>GB-200</v>
      </c>
      <c r="C1996" s="391" t="s">
        <v>1127</v>
      </c>
      <c r="D1996" s="21" t="s">
        <v>1872</v>
      </c>
      <c r="E1996" s="21">
        <v>22</v>
      </c>
      <c r="F1996" s="27" t="str">
        <f>Tabela12[[#This Row],[Régua]]&amp;" ("&amp;Tabela12[[#This Row],[Born]]&amp;")"</f>
        <v>TB4 (22)</v>
      </c>
      <c r="G1996" s="27">
        <f>LEN(Tabela12[[#This Row],[Anilha]])</f>
        <v>8</v>
      </c>
      <c r="H1996" s="21">
        <f>VLOOKUP(Tabela12[[#This Row],[Tag Cabo]],BD!A:F,6,0)</f>
        <v>1</v>
      </c>
      <c r="I1996" s="27" t="s">
        <v>1705</v>
      </c>
      <c r="J1996" s="27" t="s">
        <v>1706</v>
      </c>
    </row>
    <row r="1997" spans="1:10" x14ac:dyDescent="0.25">
      <c r="A1997" s="21" t="s">
        <v>1125</v>
      </c>
      <c r="B1997" s="391" t="str">
        <f>VLOOKUP(Tabela12[[#This Row],[Painel]],Tabela13[],2,0)</f>
        <v>GB-200</v>
      </c>
      <c r="C1997" s="391" t="s">
        <v>1127</v>
      </c>
      <c r="D1997" s="21" t="s">
        <v>1872</v>
      </c>
      <c r="E1997" s="21">
        <v>23</v>
      </c>
      <c r="F1997" s="27" t="str">
        <f>Tabela12[[#This Row],[Régua]]&amp;" ("&amp;Tabela12[[#This Row],[Born]]&amp;")"</f>
        <v>TB4 (23)</v>
      </c>
      <c r="G1997" s="27">
        <f>LEN(Tabela12[[#This Row],[Anilha]])</f>
        <v>8</v>
      </c>
      <c r="H1997" s="21">
        <f>VLOOKUP(Tabela12[[#This Row],[Tag Cabo]],BD!A:F,6,0)</f>
        <v>1</v>
      </c>
      <c r="I1997" s="27" t="s">
        <v>1705</v>
      </c>
      <c r="J1997" s="27" t="s">
        <v>1706</v>
      </c>
    </row>
    <row r="1998" spans="1:10" x14ac:dyDescent="0.25">
      <c r="A1998" s="21" t="s">
        <v>1125</v>
      </c>
      <c r="B1998" s="391" t="str">
        <f>VLOOKUP(Tabela12[[#This Row],[Painel]],Tabela13[],2,0)</f>
        <v>GB-200</v>
      </c>
      <c r="C1998" s="391" t="s">
        <v>1127</v>
      </c>
      <c r="D1998" s="21" t="s">
        <v>1872</v>
      </c>
      <c r="E1998" s="21">
        <v>25</v>
      </c>
      <c r="F1998" s="27" t="str">
        <f>Tabela12[[#This Row],[Régua]]&amp;" ("&amp;Tabela12[[#This Row],[Born]]&amp;")"</f>
        <v>TB4 (25)</v>
      </c>
      <c r="G1998" s="27">
        <f>LEN(Tabela12[[#This Row],[Anilha]])</f>
        <v>8</v>
      </c>
      <c r="H1998" s="21">
        <f>VLOOKUP(Tabela12[[#This Row],[Tag Cabo]],BD!A:F,6,0)</f>
        <v>1</v>
      </c>
      <c r="I1998" s="27" t="s">
        <v>1705</v>
      </c>
      <c r="J1998" s="27" t="s">
        <v>1706</v>
      </c>
    </row>
    <row r="1999" spans="1:10" x14ac:dyDescent="0.25">
      <c r="A1999" s="21" t="s">
        <v>1125</v>
      </c>
      <c r="B1999" s="391" t="str">
        <f>VLOOKUP(Tabela12[[#This Row],[Painel]],Tabela13[],2,0)</f>
        <v>GB-200</v>
      </c>
      <c r="C1999" s="391" t="s">
        <v>1127</v>
      </c>
      <c r="D1999" s="21" t="s">
        <v>1872</v>
      </c>
      <c r="E1999" s="21">
        <v>26</v>
      </c>
      <c r="F1999" s="27" t="str">
        <f>Tabela12[[#This Row],[Régua]]&amp;" ("&amp;Tabela12[[#This Row],[Born]]&amp;")"</f>
        <v>TB4 (26)</v>
      </c>
      <c r="G1999" s="27">
        <f>LEN(Tabela12[[#This Row],[Anilha]])</f>
        <v>8</v>
      </c>
      <c r="H1999" s="21">
        <f>VLOOKUP(Tabela12[[#This Row],[Tag Cabo]],BD!A:F,6,0)</f>
        <v>1</v>
      </c>
      <c r="I1999" s="27" t="s">
        <v>1705</v>
      </c>
      <c r="J1999" s="27" t="s">
        <v>1706</v>
      </c>
    </row>
    <row r="2000" spans="1:10" x14ac:dyDescent="0.25">
      <c r="A2000" s="21" t="s">
        <v>1125</v>
      </c>
      <c r="B2000" s="391" t="str">
        <f>VLOOKUP(Tabela12[[#This Row],[Painel]],Tabela13[],2,0)</f>
        <v>GB-200</v>
      </c>
      <c r="C2000" s="391" t="s">
        <v>1127</v>
      </c>
      <c r="D2000" s="21" t="s">
        <v>1872</v>
      </c>
      <c r="E2000" s="21">
        <v>27</v>
      </c>
      <c r="F2000" s="27" t="str">
        <f>Tabela12[[#This Row],[Régua]]&amp;" ("&amp;Tabela12[[#This Row],[Born]]&amp;")"</f>
        <v>TB4 (27)</v>
      </c>
      <c r="G2000" s="27">
        <f>LEN(Tabela12[[#This Row],[Anilha]])</f>
        <v>8</v>
      </c>
      <c r="H2000" s="21">
        <f>VLOOKUP(Tabela12[[#This Row],[Tag Cabo]],BD!A:F,6,0)</f>
        <v>1</v>
      </c>
      <c r="I2000" s="27" t="s">
        <v>1705</v>
      </c>
      <c r="J2000" s="27" t="s">
        <v>1706</v>
      </c>
    </row>
    <row r="2001" spans="1:10" x14ac:dyDescent="0.25">
      <c r="A2001" s="21" t="s">
        <v>1125</v>
      </c>
      <c r="B2001" s="391" t="str">
        <f>VLOOKUP(Tabela12[[#This Row],[Painel]],Tabela13[],2,0)</f>
        <v>GB-200</v>
      </c>
      <c r="C2001" s="391" t="s">
        <v>1127</v>
      </c>
      <c r="D2001" s="21" t="s">
        <v>1872</v>
      </c>
      <c r="E2001" s="21">
        <v>29</v>
      </c>
      <c r="F2001" s="27" t="str">
        <f>Tabela12[[#This Row],[Régua]]&amp;" ("&amp;Tabela12[[#This Row],[Born]]&amp;")"</f>
        <v>TB4 (29)</v>
      </c>
      <c r="G2001" s="27">
        <f>LEN(Tabela12[[#This Row],[Anilha]])</f>
        <v>8</v>
      </c>
      <c r="H2001" s="21">
        <f>VLOOKUP(Tabela12[[#This Row],[Tag Cabo]],BD!A:F,6,0)</f>
        <v>1</v>
      </c>
      <c r="I2001" s="27" t="s">
        <v>1705</v>
      </c>
      <c r="J2001" s="27" t="s">
        <v>1706</v>
      </c>
    </row>
    <row r="2002" spans="1:10" x14ac:dyDescent="0.25">
      <c r="A2002" s="21" t="s">
        <v>1125</v>
      </c>
      <c r="B2002" s="391" t="str">
        <f>VLOOKUP(Tabela12[[#This Row],[Painel]],Tabela13[],2,0)</f>
        <v>GB-200</v>
      </c>
      <c r="C2002" s="391" t="s">
        <v>1127</v>
      </c>
      <c r="D2002" s="21" t="s">
        <v>1872</v>
      </c>
      <c r="E2002" s="21">
        <v>30</v>
      </c>
      <c r="F2002" s="27" t="str">
        <f>Tabela12[[#This Row],[Régua]]&amp;" ("&amp;Tabela12[[#This Row],[Born]]&amp;")"</f>
        <v>TB4 (30)</v>
      </c>
      <c r="G2002" s="27">
        <f>LEN(Tabela12[[#This Row],[Anilha]])</f>
        <v>8</v>
      </c>
      <c r="H2002" s="21">
        <f>VLOOKUP(Tabela12[[#This Row],[Tag Cabo]],BD!A:F,6,0)</f>
        <v>1</v>
      </c>
      <c r="I2002" s="27" t="s">
        <v>1705</v>
      </c>
      <c r="J2002" s="27" t="s">
        <v>1706</v>
      </c>
    </row>
    <row r="2003" spans="1:10" x14ac:dyDescent="0.25">
      <c r="A2003" s="21" t="s">
        <v>1125</v>
      </c>
      <c r="B2003" s="391" t="str">
        <f>VLOOKUP(Tabela12[[#This Row],[Painel]],Tabela13[],2,0)</f>
        <v>GB-200</v>
      </c>
      <c r="C2003" s="391" t="s">
        <v>1127</v>
      </c>
      <c r="D2003" s="21" t="s">
        <v>1872</v>
      </c>
      <c r="E2003" s="21">
        <v>31</v>
      </c>
      <c r="F2003" s="27" t="str">
        <f>Tabela12[[#This Row],[Régua]]&amp;" ("&amp;Tabela12[[#This Row],[Born]]&amp;")"</f>
        <v>TB4 (31)</v>
      </c>
      <c r="G2003" s="27">
        <f>LEN(Tabela12[[#This Row],[Anilha]])</f>
        <v>8</v>
      </c>
      <c r="H2003" s="21">
        <f>VLOOKUP(Tabela12[[#This Row],[Tag Cabo]],BD!A:F,6,0)</f>
        <v>1</v>
      </c>
      <c r="I2003" s="27" t="s">
        <v>1705</v>
      </c>
      <c r="J2003" s="27" t="s">
        <v>1706</v>
      </c>
    </row>
    <row r="2004" spans="1:10" x14ac:dyDescent="0.25">
      <c r="A2004" s="21" t="s">
        <v>1125</v>
      </c>
      <c r="B2004" s="391" t="str">
        <f>VLOOKUP(Tabela12[[#This Row],[Painel]],Tabela13[],2,0)</f>
        <v>GB-200</v>
      </c>
      <c r="C2004" s="391" t="s">
        <v>1127</v>
      </c>
      <c r="D2004" s="21" t="s">
        <v>1872</v>
      </c>
      <c r="E2004" s="21">
        <v>33</v>
      </c>
      <c r="F2004" s="27" t="str">
        <f>Tabela12[[#This Row],[Régua]]&amp;" ("&amp;Tabela12[[#This Row],[Born]]&amp;")"</f>
        <v>TB4 (33)</v>
      </c>
      <c r="G2004" s="27">
        <f>LEN(Tabela12[[#This Row],[Anilha]])</f>
        <v>8</v>
      </c>
      <c r="H2004" s="21">
        <f>VLOOKUP(Tabela12[[#This Row],[Tag Cabo]],BD!A:F,6,0)</f>
        <v>1</v>
      </c>
      <c r="I2004" s="27" t="s">
        <v>1705</v>
      </c>
      <c r="J2004" s="27" t="s">
        <v>1706</v>
      </c>
    </row>
    <row r="2005" spans="1:10" x14ac:dyDescent="0.25">
      <c r="A2005" s="21" t="s">
        <v>1125</v>
      </c>
      <c r="B2005" s="391" t="str">
        <f>VLOOKUP(Tabela12[[#This Row],[Painel]],Tabela13[],2,0)</f>
        <v>GB-200</v>
      </c>
      <c r="C2005" s="391" t="s">
        <v>1127</v>
      </c>
      <c r="D2005" s="21" t="s">
        <v>1872</v>
      </c>
      <c r="E2005" s="21">
        <v>34</v>
      </c>
      <c r="F2005" s="27" t="str">
        <f>Tabela12[[#This Row],[Régua]]&amp;" ("&amp;Tabela12[[#This Row],[Born]]&amp;")"</f>
        <v>TB4 (34)</v>
      </c>
      <c r="G2005" s="27">
        <f>LEN(Tabela12[[#This Row],[Anilha]])</f>
        <v>8</v>
      </c>
      <c r="H2005" s="21">
        <f>VLOOKUP(Tabela12[[#This Row],[Tag Cabo]],BD!A:F,6,0)</f>
        <v>1</v>
      </c>
      <c r="I2005" s="27" t="s">
        <v>1705</v>
      </c>
      <c r="J2005" s="27" t="s">
        <v>1706</v>
      </c>
    </row>
    <row r="2006" spans="1:10" x14ac:dyDescent="0.25">
      <c r="A2006" s="21" t="s">
        <v>1125</v>
      </c>
      <c r="B2006" s="391" t="str">
        <f>VLOOKUP(Tabela12[[#This Row],[Painel]],Tabela13[],2,0)</f>
        <v>GB-200</v>
      </c>
      <c r="C2006" s="391" t="s">
        <v>1127</v>
      </c>
      <c r="D2006" s="21" t="s">
        <v>1872</v>
      </c>
      <c r="E2006" s="21">
        <v>35</v>
      </c>
      <c r="F2006" s="27" t="str">
        <f>Tabela12[[#This Row],[Régua]]&amp;" ("&amp;Tabela12[[#This Row],[Born]]&amp;")"</f>
        <v>TB4 (35)</v>
      </c>
      <c r="G2006" s="27">
        <f>LEN(Tabela12[[#This Row],[Anilha]])</f>
        <v>8</v>
      </c>
      <c r="H2006" s="21">
        <f>VLOOKUP(Tabela12[[#This Row],[Tag Cabo]],BD!A:F,6,0)</f>
        <v>1</v>
      </c>
      <c r="I2006" s="27" t="s">
        <v>1705</v>
      </c>
      <c r="J2006" s="27" t="s">
        <v>1706</v>
      </c>
    </row>
    <row r="2007" spans="1:10" x14ac:dyDescent="0.25">
      <c r="A2007" s="21" t="s">
        <v>1125</v>
      </c>
      <c r="B2007" s="391" t="str">
        <f>VLOOKUP(Tabela12[[#This Row],[Painel]],Tabela13[],2,0)</f>
        <v>GB-200</v>
      </c>
      <c r="C2007" s="391" t="s">
        <v>1127</v>
      </c>
      <c r="D2007" s="21" t="s">
        <v>1872</v>
      </c>
      <c r="E2007" s="21">
        <v>37</v>
      </c>
      <c r="F2007" s="27" t="str">
        <f>Tabela12[[#This Row],[Régua]]&amp;" ("&amp;Tabela12[[#This Row],[Born]]&amp;")"</f>
        <v>TB4 (37)</v>
      </c>
      <c r="G2007" s="27">
        <f>LEN(Tabela12[[#This Row],[Anilha]])</f>
        <v>8</v>
      </c>
      <c r="H2007" s="21">
        <f>VLOOKUP(Tabela12[[#This Row],[Tag Cabo]],BD!A:F,6,0)</f>
        <v>1</v>
      </c>
      <c r="I2007" s="27" t="s">
        <v>1705</v>
      </c>
      <c r="J2007" s="27" t="s">
        <v>1706</v>
      </c>
    </row>
    <row r="2008" spans="1:10" x14ac:dyDescent="0.25">
      <c r="A2008" s="21" t="s">
        <v>1125</v>
      </c>
      <c r="B2008" s="391" t="str">
        <f>VLOOKUP(Tabela12[[#This Row],[Painel]],Tabela13[],2,0)</f>
        <v>GB-200</v>
      </c>
      <c r="C2008" s="391" t="s">
        <v>1127</v>
      </c>
      <c r="D2008" s="21" t="s">
        <v>1872</v>
      </c>
      <c r="E2008" s="21">
        <v>38</v>
      </c>
      <c r="F2008" s="27" t="str">
        <f>Tabela12[[#This Row],[Régua]]&amp;" ("&amp;Tabela12[[#This Row],[Born]]&amp;")"</f>
        <v>TB4 (38)</v>
      </c>
      <c r="G2008" s="27">
        <f>LEN(Tabela12[[#This Row],[Anilha]])</f>
        <v>8</v>
      </c>
      <c r="H2008" s="21">
        <f>VLOOKUP(Tabela12[[#This Row],[Tag Cabo]],BD!A:F,6,0)</f>
        <v>1</v>
      </c>
      <c r="I2008" s="27" t="s">
        <v>1705</v>
      </c>
      <c r="J2008" s="27" t="s">
        <v>1706</v>
      </c>
    </row>
    <row r="2009" spans="1:10" x14ac:dyDescent="0.25">
      <c r="A2009" s="21" t="s">
        <v>1125</v>
      </c>
      <c r="B2009" s="391" t="str">
        <f>VLOOKUP(Tabela12[[#This Row],[Painel]],Tabela13[],2,0)</f>
        <v>GB-200</v>
      </c>
      <c r="C2009" s="391" t="s">
        <v>1127</v>
      </c>
      <c r="D2009" s="21" t="s">
        <v>1872</v>
      </c>
      <c r="E2009" s="21">
        <v>39</v>
      </c>
      <c r="F2009" s="27" t="str">
        <f>Tabela12[[#This Row],[Régua]]&amp;" ("&amp;Tabela12[[#This Row],[Born]]&amp;")"</f>
        <v>TB4 (39)</v>
      </c>
      <c r="G2009" s="27">
        <f>LEN(Tabela12[[#This Row],[Anilha]])</f>
        <v>8</v>
      </c>
      <c r="H2009" s="21">
        <f>VLOOKUP(Tabela12[[#This Row],[Tag Cabo]],BD!A:F,6,0)</f>
        <v>1</v>
      </c>
      <c r="I2009" s="27" t="s">
        <v>1705</v>
      </c>
      <c r="J2009" s="27" t="s">
        <v>1706</v>
      </c>
    </row>
    <row r="2010" spans="1:10" x14ac:dyDescent="0.25">
      <c r="A2010" s="21" t="s">
        <v>1125</v>
      </c>
      <c r="B2010" s="391" t="str">
        <f>VLOOKUP(Tabela12[[#This Row],[Painel]],Tabela13[],2,0)</f>
        <v>CCP</v>
      </c>
      <c r="C2010" s="391" t="s">
        <v>1648</v>
      </c>
      <c r="D2010" s="21" t="s">
        <v>1948</v>
      </c>
      <c r="E2010" s="21">
        <v>1</v>
      </c>
      <c r="F2010" s="27" t="str">
        <f>Tabela12[[#This Row],[Régua]]&amp;" ("&amp;Tabela12[[#This Row],[Born]]&amp;")"</f>
        <v>TB-04 (1)</v>
      </c>
      <c r="G2010" s="27">
        <f>LEN(Tabela12[[#This Row],[Anilha]])</f>
        <v>9</v>
      </c>
      <c r="H2010" s="21">
        <f>VLOOKUP(Tabela12[[#This Row],[Tag Cabo]],BD!A:F,6,0)</f>
        <v>1</v>
      </c>
      <c r="I2010" s="27" t="s">
        <v>1705</v>
      </c>
      <c r="J2010" s="27" t="s">
        <v>1706</v>
      </c>
    </row>
    <row r="2011" spans="1:10" x14ac:dyDescent="0.25">
      <c r="A2011" s="21" t="s">
        <v>1125</v>
      </c>
      <c r="B2011" s="391" t="str">
        <f>VLOOKUP(Tabela12[[#This Row],[Painel]],Tabela13[],2,0)</f>
        <v>CCP</v>
      </c>
      <c r="C2011" s="391" t="s">
        <v>1648</v>
      </c>
      <c r="D2011" s="21" t="s">
        <v>1948</v>
      </c>
      <c r="E2011" s="21">
        <v>2</v>
      </c>
      <c r="F2011" s="27" t="str">
        <f>Tabela12[[#This Row],[Régua]]&amp;" ("&amp;Tabela12[[#This Row],[Born]]&amp;")"</f>
        <v>TB-04 (2)</v>
      </c>
      <c r="G2011" s="27">
        <f>LEN(Tabela12[[#This Row],[Anilha]])</f>
        <v>9</v>
      </c>
      <c r="H2011" s="21">
        <f>VLOOKUP(Tabela12[[#This Row],[Tag Cabo]],BD!A:F,6,0)</f>
        <v>1</v>
      </c>
      <c r="I2011" s="27" t="s">
        <v>1705</v>
      </c>
      <c r="J2011" s="27" t="s">
        <v>1706</v>
      </c>
    </row>
    <row r="2012" spans="1:10" x14ac:dyDescent="0.25">
      <c r="A2012" s="21" t="s">
        <v>1125</v>
      </c>
      <c r="B2012" s="391" t="str">
        <f>VLOOKUP(Tabela12[[#This Row],[Painel]],Tabela13[],2,0)</f>
        <v>CCP</v>
      </c>
      <c r="C2012" s="391" t="s">
        <v>1648</v>
      </c>
      <c r="D2012" s="21" t="s">
        <v>1948</v>
      </c>
      <c r="E2012" s="21">
        <v>3</v>
      </c>
      <c r="F2012" s="27" t="str">
        <f>Tabela12[[#This Row],[Régua]]&amp;" ("&amp;Tabela12[[#This Row],[Born]]&amp;")"</f>
        <v>TB-04 (3)</v>
      </c>
      <c r="G2012" s="27">
        <f>LEN(Tabela12[[#This Row],[Anilha]])</f>
        <v>9</v>
      </c>
      <c r="H2012" s="21">
        <f>VLOOKUP(Tabela12[[#This Row],[Tag Cabo]],BD!A:F,6,0)</f>
        <v>1</v>
      </c>
      <c r="I2012" s="27" t="s">
        <v>1705</v>
      </c>
      <c r="J2012" s="27" t="s">
        <v>1706</v>
      </c>
    </row>
    <row r="2013" spans="1:10" x14ac:dyDescent="0.25">
      <c r="A2013" s="21" t="s">
        <v>1125</v>
      </c>
      <c r="B2013" s="391" t="str">
        <f>VLOOKUP(Tabela12[[#This Row],[Painel]],Tabela13[],2,0)</f>
        <v>CCP</v>
      </c>
      <c r="C2013" s="391" t="s">
        <v>1648</v>
      </c>
      <c r="D2013" s="21" t="s">
        <v>1948</v>
      </c>
      <c r="E2013" s="21">
        <v>5</v>
      </c>
      <c r="F2013" s="27" t="str">
        <f>Tabela12[[#This Row],[Régua]]&amp;" ("&amp;Tabela12[[#This Row],[Born]]&amp;")"</f>
        <v>TB-04 (5)</v>
      </c>
      <c r="G2013" s="27">
        <f>LEN(Tabela12[[#This Row],[Anilha]])</f>
        <v>9</v>
      </c>
      <c r="H2013" s="21">
        <f>VLOOKUP(Tabela12[[#This Row],[Tag Cabo]],BD!A:F,6,0)</f>
        <v>1</v>
      </c>
      <c r="I2013" s="27" t="s">
        <v>1705</v>
      </c>
      <c r="J2013" s="27" t="s">
        <v>1706</v>
      </c>
    </row>
    <row r="2014" spans="1:10" x14ac:dyDescent="0.25">
      <c r="A2014" s="21" t="s">
        <v>1125</v>
      </c>
      <c r="B2014" s="391" t="str">
        <f>VLOOKUP(Tabela12[[#This Row],[Painel]],Tabela13[],2,0)</f>
        <v>CCP</v>
      </c>
      <c r="C2014" s="391" t="s">
        <v>1648</v>
      </c>
      <c r="D2014" s="21" t="s">
        <v>1948</v>
      </c>
      <c r="E2014" s="21">
        <v>6</v>
      </c>
      <c r="F2014" s="27" t="str">
        <f>Tabela12[[#This Row],[Régua]]&amp;" ("&amp;Tabela12[[#This Row],[Born]]&amp;")"</f>
        <v>TB-04 (6)</v>
      </c>
      <c r="G2014" s="27">
        <f>LEN(Tabela12[[#This Row],[Anilha]])</f>
        <v>9</v>
      </c>
      <c r="H2014" s="21">
        <f>VLOOKUP(Tabela12[[#This Row],[Tag Cabo]],BD!A:F,6,0)</f>
        <v>1</v>
      </c>
      <c r="I2014" s="27" t="s">
        <v>1705</v>
      </c>
      <c r="J2014" s="27" t="s">
        <v>1706</v>
      </c>
    </row>
    <row r="2015" spans="1:10" x14ac:dyDescent="0.25">
      <c r="A2015" s="21" t="s">
        <v>1125</v>
      </c>
      <c r="B2015" s="391" t="str">
        <f>VLOOKUP(Tabela12[[#This Row],[Painel]],Tabela13[],2,0)</f>
        <v>CCP</v>
      </c>
      <c r="C2015" s="391" t="s">
        <v>1648</v>
      </c>
      <c r="D2015" s="21" t="s">
        <v>1948</v>
      </c>
      <c r="E2015" s="21">
        <v>7</v>
      </c>
      <c r="F2015" s="27" t="str">
        <f>Tabela12[[#This Row],[Régua]]&amp;" ("&amp;Tabela12[[#This Row],[Born]]&amp;")"</f>
        <v>TB-04 (7)</v>
      </c>
      <c r="G2015" s="27">
        <f>LEN(Tabela12[[#This Row],[Anilha]])</f>
        <v>9</v>
      </c>
      <c r="H2015" s="21">
        <f>VLOOKUP(Tabela12[[#This Row],[Tag Cabo]],BD!A:F,6,0)</f>
        <v>1</v>
      </c>
      <c r="I2015" s="27" t="s">
        <v>1705</v>
      </c>
      <c r="J2015" s="27" t="s">
        <v>1706</v>
      </c>
    </row>
    <row r="2016" spans="1:10" x14ac:dyDescent="0.25">
      <c r="A2016" s="21" t="s">
        <v>1125</v>
      </c>
      <c r="B2016" s="391" t="str">
        <f>VLOOKUP(Tabela12[[#This Row],[Painel]],Tabela13[],2,0)</f>
        <v>CCP</v>
      </c>
      <c r="C2016" s="391" t="s">
        <v>1648</v>
      </c>
      <c r="D2016" s="21" t="s">
        <v>1948</v>
      </c>
      <c r="E2016" s="21">
        <v>9</v>
      </c>
      <c r="F2016" s="27" t="str">
        <f>Tabela12[[#This Row],[Régua]]&amp;" ("&amp;Tabela12[[#This Row],[Born]]&amp;")"</f>
        <v>TB-04 (9)</v>
      </c>
      <c r="G2016" s="27">
        <f>LEN(Tabela12[[#This Row],[Anilha]])</f>
        <v>9</v>
      </c>
      <c r="H2016" s="21">
        <f>VLOOKUP(Tabela12[[#This Row],[Tag Cabo]],BD!A:F,6,0)</f>
        <v>1</v>
      </c>
      <c r="I2016" s="27" t="s">
        <v>1705</v>
      </c>
      <c r="J2016" s="27" t="s">
        <v>1706</v>
      </c>
    </row>
    <row r="2017" spans="1:10" x14ac:dyDescent="0.25">
      <c r="A2017" s="21" t="s">
        <v>1125</v>
      </c>
      <c r="B2017" s="391" t="str">
        <f>VLOOKUP(Tabela12[[#This Row],[Painel]],Tabela13[],2,0)</f>
        <v>CCP</v>
      </c>
      <c r="C2017" s="391" t="s">
        <v>1648</v>
      </c>
      <c r="D2017" s="21" t="s">
        <v>1948</v>
      </c>
      <c r="E2017" s="21">
        <v>10</v>
      </c>
      <c r="F2017" s="27" t="str">
        <f>Tabela12[[#This Row],[Régua]]&amp;" ("&amp;Tabela12[[#This Row],[Born]]&amp;")"</f>
        <v>TB-04 (10)</v>
      </c>
      <c r="G2017" s="27">
        <f>LEN(Tabela12[[#This Row],[Anilha]])</f>
        <v>10</v>
      </c>
      <c r="H2017" s="21">
        <f>VLOOKUP(Tabela12[[#This Row],[Tag Cabo]],BD!A:F,6,0)</f>
        <v>1</v>
      </c>
      <c r="I2017" s="27" t="s">
        <v>1705</v>
      </c>
      <c r="J2017" s="27" t="s">
        <v>1706</v>
      </c>
    </row>
    <row r="2018" spans="1:10" x14ac:dyDescent="0.25">
      <c r="A2018" s="21" t="s">
        <v>1125</v>
      </c>
      <c r="B2018" s="391" t="str">
        <f>VLOOKUP(Tabela12[[#This Row],[Painel]],Tabela13[],2,0)</f>
        <v>CCP</v>
      </c>
      <c r="C2018" s="391" t="s">
        <v>1648</v>
      </c>
      <c r="D2018" s="21" t="s">
        <v>1948</v>
      </c>
      <c r="E2018" s="21">
        <v>11</v>
      </c>
      <c r="F2018" s="27" t="str">
        <f>Tabela12[[#This Row],[Régua]]&amp;" ("&amp;Tabela12[[#This Row],[Born]]&amp;")"</f>
        <v>TB-04 (11)</v>
      </c>
      <c r="G2018" s="27">
        <f>LEN(Tabela12[[#This Row],[Anilha]])</f>
        <v>10</v>
      </c>
      <c r="H2018" s="21">
        <f>VLOOKUP(Tabela12[[#This Row],[Tag Cabo]],BD!A:F,6,0)</f>
        <v>1</v>
      </c>
      <c r="I2018" s="27" t="s">
        <v>1705</v>
      </c>
      <c r="J2018" s="27" t="s">
        <v>1706</v>
      </c>
    </row>
    <row r="2019" spans="1:10" x14ac:dyDescent="0.25">
      <c r="A2019" s="21" t="s">
        <v>1125</v>
      </c>
      <c r="B2019" s="391" t="str">
        <f>VLOOKUP(Tabela12[[#This Row],[Painel]],Tabela13[],2,0)</f>
        <v>CCP</v>
      </c>
      <c r="C2019" s="391" t="s">
        <v>1648</v>
      </c>
      <c r="D2019" s="21" t="s">
        <v>1948</v>
      </c>
      <c r="E2019" s="21">
        <v>13</v>
      </c>
      <c r="F2019" s="27" t="str">
        <f>Tabela12[[#This Row],[Régua]]&amp;" ("&amp;Tabela12[[#This Row],[Born]]&amp;")"</f>
        <v>TB-04 (13)</v>
      </c>
      <c r="G2019" s="27">
        <f>LEN(Tabela12[[#This Row],[Anilha]])</f>
        <v>10</v>
      </c>
      <c r="H2019" s="21">
        <f>VLOOKUP(Tabela12[[#This Row],[Tag Cabo]],BD!A:F,6,0)</f>
        <v>1</v>
      </c>
      <c r="I2019" s="27" t="s">
        <v>1705</v>
      </c>
      <c r="J2019" s="27" t="s">
        <v>1706</v>
      </c>
    </row>
    <row r="2020" spans="1:10" x14ac:dyDescent="0.25">
      <c r="A2020" s="21" t="s">
        <v>1125</v>
      </c>
      <c r="B2020" s="391" t="str">
        <f>VLOOKUP(Tabela12[[#This Row],[Painel]],Tabela13[],2,0)</f>
        <v>CCP</v>
      </c>
      <c r="C2020" s="391" t="s">
        <v>1648</v>
      </c>
      <c r="D2020" s="21" t="s">
        <v>1948</v>
      </c>
      <c r="E2020" s="21">
        <v>14</v>
      </c>
      <c r="F2020" s="27" t="str">
        <f>Tabela12[[#This Row],[Régua]]&amp;" ("&amp;Tabela12[[#This Row],[Born]]&amp;")"</f>
        <v>TB-04 (14)</v>
      </c>
      <c r="G2020" s="27">
        <f>LEN(Tabela12[[#This Row],[Anilha]])</f>
        <v>10</v>
      </c>
      <c r="H2020" s="21">
        <f>VLOOKUP(Tabela12[[#This Row],[Tag Cabo]],BD!A:F,6,0)</f>
        <v>1</v>
      </c>
      <c r="I2020" s="27" t="s">
        <v>1705</v>
      </c>
      <c r="J2020" s="27" t="s">
        <v>1706</v>
      </c>
    </row>
    <row r="2021" spans="1:10" x14ac:dyDescent="0.25">
      <c r="A2021" s="21" t="s">
        <v>1125</v>
      </c>
      <c r="B2021" s="391" t="str">
        <f>VLOOKUP(Tabela12[[#This Row],[Painel]],Tabela13[],2,0)</f>
        <v>CCP</v>
      </c>
      <c r="C2021" s="391" t="s">
        <v>1648</v>
      </c>
      <c r="D2021" s="21" t="s">
        <v>1948</v>
      </c>
      <c r="E2021" s="21">
        <v>15</v>
      </c>
      <c r="F2021" s="27" t="str">
        <f>Tabela12[[#This Row],[Régua]]&amp;" ("&amp;Tabela12[[#This Row],[Born]]&amp;")"</f>
        <v>TB-04 (15)</v>
      </c>
      <c r="G2021" s="27">
        <f>LEN(Tabela12[[#This Row],[Anilha]])</f>
        <v>10</v>
      </c>
      <c r="H2021" s="21">
        <f>VLOOKUP(Tabela12[[#This Row],[Tag Cabo]],BD!A:F,6,0)</f>
        <v>1</v>
      </c>
      <c r="I2021" s="27" t="s">
        <v>1705</v>
      </c>
      <c r="J2021" s="27" t="s">
        <v>1706</v>
      </c>
    </row>
    <row r="2022" spans="1:10" x14ac:dyDescent="0.25">
      <c r="A2022" s="21" t="s">
        <v>1125</v>
      </c>
      <c r="B2022" s="391" t="str">
        <f>VLOOKUP(Tabela12[[#This Row],[Painel]],Tabela13[],2,0)</f>
        <v>CCP</v>
      </c>
      <c r="C2022" s="391" t="s">
        <v>1648</v>
      </c>
      <c r="D2022" s="21" t="s">
        <v>1948</v>
      </c>
      <c r="E2022" s="21">
        <v>17</v>
      </c>
      <c r="F2022" s="27" t="str">
        <f>Tabela12[[#This Row],[Régua]]&amp;" ("&amp;Tabela12[[#This Row],[Born]]&amp;")"</f>
        <v>TB-04 (17)</v>
      </c>
      <c r="G2022" s="27">
        <f>LEN(Tabela12[[#This Row],[Anilha]])</f>
        <v>10</v>
      </c>
      <c r="H2022" s="21">
        <f>VLOOKUP(Tabela12[[#This Row],[Tag Cabo]],BD!A:F,6,0)</f>
        <v>1</v>
      </c>
      <c r="I2022" s="27" t="s">
        <v>1705</v>
      </c>
      <c r="J2022" s="27" t="s">
        <v>1706</v>
      </c>
    </row>
    <row r="2023" spans="1:10" x14ac:dyDescent="0.25">
      <c r="A2023" s="21" t="s">
        <v>1125</v>
      </c>
      <c r="B2023" s="391" t="str">
        <f>VLOOKUP(Tabela12[[#This Row],[Painel]],Tabela13[],2,0)</f>
        <v>CCP</v>
      </c>
      <c r="C2023" s="391" t="s">
        <v>1648</v>
      </c>
      <c r="D2023" s="21" t="s">
        <v>1948</v>
      </c>
      <c r="E2023" s="21">
        <v>18</v>
      </c>
      <c r="F2023" s="27" t="str">
        <f>Tabela12[[#This Row],[Régua]]&amp;" ("&amp;Tabela12[[#This Row],[Born]]&amp;")"</f>
        <v>TB-04 (18)</v>
      </c>
      <c r="G2023" s="27">
        <f>LEN(Tabela12[[#This Row],[Anilha]])</f>
        <v>10</v>
      </c>
      <c r="H2023" s="21">
        <f>VLOOKUP(Tabela12[[#This Row],[Tag Cabo]],BD!A:F,6,0)</f>
        <v>1</v>
      </c>
      <c r="I2023" s="27" t="s">
        <v>1705</v>
      </c>
      <c r="J2023" s="27" t="s">
        <v>1706</v>
      </c>
    </row>
    <row r="2024" spans="1:10" x14ac:dyDescent="0.25">
      <c r="A2024" s="21" t="s">
        <v>1125</v>
      </c>
      <c r="B2024" s="391" t="str">
        <f>VLOOKUP(Tabela12[[#This Row],[Painel]],Tabela13[],2,0)</f>
        <v>CCP</v>
      </c>
      <c r="C2024" s="391" t="s">
        <v>1648</v>
      </c>
      <c r="D2024" s="21" t="s">
        <v>1948</v>
      </c>
      <c r="E2024" s="21">
        <v>19</v>
      </c>
      <c r="F2024" s="27" t="str">
        <f>Tabela12[[#This Row],[Régua]]&amp;" ("&amp;Tabela12[[#This Row],[Born]]&amp;")"</f>
        <v>TB-04 (19)</v>
      </c>
      <c r="G2024" s="27">
        <f>LEN(Tabela12[[#This Row],[Anilha]])</f>
        <v>10</v>
      </c>
      <c r="H2024" s="21">
        <f>VLOOKUP(Tabela12[[#This Row],[Tag Cabo]],BD!A:F,6,0)</f>
        <v>1</v>
      </c>
      <c r="I2024" s="27" t="s">
        <v>1705</v>
      </c>
      <c r="J2024" s="27" t="s">
        <v>1706</v>
      </c>
    </row>
    <row r="2025" spans="1:10" x14ac:dyDescent="0.25">
      <c r="A2025" s="21" t="s">
        <v>1125</v>
      </c>
      <c r="B2025" s="391" t="str">
        <f>VLOOKUP(Tabela12[[#This Row],[Painel]],Tabela13[],2,0)</f>
        <v>CCP</v>
      </c>
      <c r="C2025" s="391" t="s">
        <v>1648</v>
      </c>
      <c r="D2025" s="21" t="s">
        <v>1948</v>
      </c>
      <c r="E2025" s="21">
        <v>21</v>
      </c>
      <c r="F2025" s="27" t="str">
        <f>Tabela12[[#This Row],[Régua]]&amp;" ("&amp;Tabela12[[#This Row],[Born]]&amp;")"</f>
        <v>TB-04 (21)</v>
      </c>
      <c r="G2025" s="27">
        <f>LEN(Tabela12[[#This Row],[Anilha]])</f>
        <v>10</v>
      </c>
      <c r="H2025" s="21">
        <f>VLOOKUP(Tabela12[[#This Row],[Tag Cabo]],BD!A:F,6,0)</f>
        <v>1</v>
      </c>
      <c r="I2025" s="27" t="s">
        <v>1705</v>
      </c>
      <c r="J2025" s="27" t="s">
        <v>1706</v>
      </c>
    </row>
    <row r="2026" spans="1:10" x14ac:dyDescent="0.25">
      <c r="A2026" s="21" t="s">
        <v>1125</v>
      </c>
      <c r="B2026" s="391" t="str">
        <f>VLOOKUP(Tabela12[[#This Row],[Painel]],Tabela13[],2,0)</f>
        <v>CCP</v>
      </c>
      <c r="C2026" s="391" t="s">
        <v>1648</v>
      </c>
      <c r="D2026" s="21" t="s">
        <v>1948</v>
      </c>
      <c r="E2026" s="21">
        <v>22</v>
      </c>
      <c r="F2026" s="27" t="str">
        <f>Tabela12[[#This Row],[Régua]]&amp;" ("&amp;Tabela12[[#This Row],[Born]]&amp;")"</f>
        <v>TB-04 (22)</v>
      </c>
      <c r="G2026" s="27">
        <f>LEN(Tabela12[[#This Row],[Anilha]])</f>
        <v>10</v>
      </c>
      <c r="H2026" s="21">
        <f>VLOOKUP(Tabela12[[#This Row],[Tag Cabo]],BD!A:F,6,0)</f>
        <v>1</v>
      </c>
      <c r="I2026" s="27" t="s">
        <v>1705</v>
      </c>
      <c r="J2026" s="27" t="s">
        <v>1706</v>
      </c>
    </row>
    <row r="2027" spans="1:10" x14ac:dyDescent="0.25">
      <c r="A2027" s="21" t="s">
        <v>1125</v>
      </c>
      <c r="B2027" s="391" t="str">
        <f>VLOOKUP(Tabela12[[#This Row],[Painel]],Tabela13[],2,0)</f>
        <v>CCP</v>
      </c>
      <c r="C2027" s="391" t="s">
        <v>1648</v>
      </c>
      <c r="D2027" s="21" t="s">
        <v>1948</v>
      </c>
      <c r="E2027" s="21">
        <v>23</v>
      </c>
      <c r="F2027" s="27" t="str">
        <f>Tabela12[[#This Row],[Régua]]&amp;" ("&amp;Tabela12[[#This Row],[Born]]&amp;")"</f>
        <v>TB-04 (23)</v>
      </c>
      <c r="G2027" s="27">
        <f>LEN(Tabela12[[#This Row],[Anilha]])</f>
        <v>10</v>
      </c>
      <c r="H2027" s="21">
        <f>VLOOKUP(Tabela12[[#This Row],[Tag Cabo]],BD!A:F,6,0)</f>
        <v>1</v>
      </c>
      <c r="I2027" s="27" t="s">
        <v>1705</v>
      </c>
      <c r="J2027" s="27" t="s">
        <v>1706</v>
      </c>
    </row>
    <row r="2028" spans="1:10" x14ac:dyDescent="0.25">
      <c r="A2028" s="21" t="s">
        <v>1125</v>
      </c>
      <c r="B2028" s="391" t="str">
        <f>VLOOKUP(Tabela12[[#This Row],[Painel]],Tabela13[],2,0)</f>
        <v>CCP</v>
      </c>
      <c r="C2028" s="391" t="s">
        <v>1648</v>
      </c>
      <c r="D2028" s="21" t="s">
        <v>1948</v>
      </c>
      <c r="E2028" s="21">
        <v>25</v>
      </c>
      <c r="F2028" s="27" t="str">
        <f>Tabela12[[#This Row],[Régua]]&amp;" ("&amp;Tabela12[[#This Row],[Born]]&amp;")"</f>
        <v>TB-04 (25)</v>
      </c>
      <c r="G2028" s="27">
        <f>LEN(Tabela12[[#This Row],[Anilha]])</f>
        <v>10</v>
      </c>
      <c r="H2028" s="21">
        <f>VLOOKUP(Tabela12[[#This Row],[Tag Cabo]],BD!A:F,6,0)</f>
        <v>1</v>
      </c>
      <c r="I2028" s="27" t="s">
        <v>1705</v>
      </c>
      <c r="J2028" s="27" t="s">
        <v>1706</v>
      </c>
    </row>
    <row r="2029" spans="1:10" x14ac:dyDescent="0.25">
      <c r="A2029" s="21" t="s">
        <v>1125</v>
      </c>
      <c r="B2029" s="391" t="str">
        <f>VLOOKUP(Tabela12[[#This Row],[Painel]],Tabela13[],2,0)</f>
        <v>CCP</v>
      </c>
      <c r="C2029" s="391" t="s">
        <v>1648</v>
      </c>
      <c r="D2029" s="21" t="s">
        <v>1948</v>
      </c>
      <c r="E2029" s="21">
        <v>26</v>
      </c>
      <c r="F2029" s="27" t="str">
        <f>Tabela12[[#This Row],[Régua]]&amp;" ("&amp;Tabela12[[#This Row],[Born]]&amp;")"</f>
        <v>TB-04 (26)</v>
      </c>
      <c r="G2029" s="27">
        <f>LEN(Tabela12[[#This Row],[Anilha]])</f>
        <v>10</v>
      </c>
      <c r="H2029" s="21">
        <f>VLOOKUP(Tabela12[[#This Row],[Tag Cabo]],BD!A:F,6,0)</f>
        <v>1</v>
      </c>
      <c r="I2029" s="27" t="s">
        <v>1705</v>
      </c>
      <c r="J2029" s="27" t="s">
        <v>1706</v>
      </c>
    </row>
    <row r="2030" spans="1:10" x14ac:dyDescent="0.25">
      <c r="A2030" s="21" t="s">
        <v>1125</v>
      </c>
      <c r="B2030" s="391" t="str">
        <f>VLOOKUP(Tabela12[[#This Row],[Painel]],Tabela13[],2,0)</f>
        <v>CCP</v>
      </c>
      <c r="C2030" s="391" t="s">
        <v>1648</v>
      </c>
      <c r="D2030" s="21" t="s">
        <v>1948</v>
      </c>
      <c r="E2030" s="21">
        <v>27</v>
      </c>
      <c r="F2030" s="27" t="str">
        <f>Tabela12[[#This Row],[Régua]]&amp;" ("&amp;Tabela12[[#This Row],[Born]]&amp;")"</f>
        <v>TB-04 (27)</v>
      </c>
      <c r="G2030" s="27">
        <f>LEN(Tabela12[[#This Row],[Anilha]])</f>
        <v>10</v>
      </c>
      <c r="H2030" s="21">
        <f>VLOOKUP(Tabela12[[#This Row],[Tag Cabo]],BD!A:F,6,0)</f>
        <v>1</v>
      </c>
      <c r="I2030" s="27" t="s">
        <v>1705</v>
      </c>
      <c r="J2030" s="27" t="s">
        <v>1706</v>
      </c>
    </row>
    <row r="2031" spans="1:10" x14ac:dyDescent="0.25">
      <c r="A2031" s="21" t="s">
        <v>1125</v>
      </c>
      <c r="B2031" s="391" t="str">
        <f>VLOOKUP(Tabela12[[#This Row],[Painel]],Tabela13[],2,0)</f>
        <v>CCP</v>
      </c>
      <c r="C2031" s="391" t="s">
        <v>1648</v>
      </c>
      <c r="D2031" s="21" t="s">
        <v>1948</v>
      </c>
      <c r="E2031" s="21">
        <v>29</v>
      </c>
      <c r="F2031" s="27" t="str">
        <f>Tabela12[[#This Row],[Régua]]&amp;" ("&amp;Tabela12[[#This Row],[Born]]&amp;")"</f>
        <v>TB-04 (29)</v>
      </c>
      <c r="G2031" s="27">
        <f>LEN(Tabela12[[#This Row],[Anilha]])</f>
        <v>10</v>
      </c>
      <c r="H2031" s="21">
        <f>VLOOKUP(Tabela12[[#This Row],[Tag Cabo]],BD!A:F,6,0)</f>
        <v>1</v>
      </c>
      <c r="I2031" s="27" t="s">
        <v>1705</v>
      </c>
      <c r="J2031" s="27" t="s">
        <v>1706</v>
      </c>
    </row>
    <row r="2032" spans="1:10" x14ac:dyDescent="0.25">
      <c r="A2032" s="21" t="s">
        <v>1125</v>
      </c>
      <c r="B2032" s="391" t="str">
        <f>VLOOKUP(Tabela12[[#This Row],[Painel]],Tabela13[],2,0)</f>
        <v>CCP</v>
      </c>
      <c r="C2032" s="391" t="s">
        <v>1648</v>
      </c>
      <c r="D2032" s="21" t="s">
        <v>1948</v>
      </c>
      <c r="E2032" s="21">
        <v>30</v>
      </c>
      <c r="F2032" s="27" t="str">
        <f>Tabela12[[#This Row],[Régua]]&amp;" ("&amp;Tabela12[[#This Row],[Born]]&amp;")"</f>
        <v>TB-04 (30)</v>
      </c>
      <c r="G2032" s="27">
        <f>LEN(Tabela12[[#This Row],[Anilha]])</f>
        <v>10</v>
      </c>
      <c r="H2032" s="21">
        <f>VLOOKUP(Tabela12[[#This Row],[Tag Cabo]],BD!A:F,6,0)</f>
        <v>1</v>
      </c>
      <c r="I2032" s="27" t="s">
        <v>1705</v>
      </c>
      <c r="J2032" s="27" t="s">
        <v>1706</v>
      </c>
    </row>
    <row r="2033" spans="1:10" x14ac:dyDescent="0.25">
      <c r="A2033" s="21" t="s">
        <v>1125</v>
      </c>
      <c r="B2033" s="391" t="str">
        <f>VLOOKUP(Tabela12[[#This Row],[Painel]],Tabela13[],2,0)</f>
        <v>CCP</v>
      </c>
      <c r="C2033" s="391" t="s">
        <v>1648</v>
      </c>
      <c r="D2033" s="21" t="s">
        <v>1948</v>
      </c>
      <c r="E2033" s="21">
        <v>31</v>
      </c>
      <c r="F2033" s="27" t="str">
        <f>Tabela12[[#This Row],[Régua]]&amp;" ("&amp;Tabela12[[#This Row],[Born]]&amp;")"</f>
        <v>TB-04 (31)</v>
      </c>
      <c r="G2033" s="27">
        <f>LEN(Tabela12[[#This Row],[Anilha]])</f>
        <v>10</v>
      </c>
      <c r="H2033" s="21">
        <f>VLOOKUP(Tabela12[[#This Row],[Tag Cabo]],BD!A:F,6,0)</f>
        <v>1</v>
      </c>
      <c r="I2033" s="27" t="s">
        <v>1705</v>
      </c>
      <c r="J2033" s="27" t="s">
        <v>1706</v>
      </c>
    </row>
    <row r="2034" spans="1:10" x14ac:dyDescent="0.25">
      <c r="A2034" s="21" t="s">
        <v>1125</v>
      </c>
      <c r="B2034" s="391" t="str">
        <f>VLOOKUP(Tabela12[[#This Row],[Painel]],Tabela13[],2,0)</f>
        <v>CCP</v>
      </c>
      <c r="C2034" s="391" t="s">
        <v>1648</v>
      </c>
      <c r="D2034" s="21" t="s">
        <v>1948</v>
      </c>
      <c r="E2034" s="21">
        <v>33</v>
      </c>
      <c r="F2034" s="27" t="str">
        <f>Tabela12[[#This Row],[Régua]]&amp;" ("&amp;Tabela12[[#This Row],[Born]]&amp;")"</f>
        <v>TB-04 (33)</v>
      </c>
      <c r="G2034" s="27">
        <f>LEN(Tabela12[[#This Row],[Anilha]])</f>
        <v>10</v>
      </c>
      <c r="H2034" s="21">
        <f>VLOOKUP(Tabela12[[#This Row],[Tag Cabo]],BD!A:F,6,0)</f>
        <v>1</v>
      </c>
      <c r="I2034" s="27" t="s">
        <v>1705</v>
      </c>
      <c r="J2034" s="27" t="s">
        <v>1706</v>
      </c>
    </row>
    <row r="2035" spans="1:10" x14ac:dyDescent="0.25">
      <c r="A2035" s="21" t="s">
        <v>1125</v>
      </c>
      <c r="B2035" s="391" t="str">
        <f>VLOOKUP(Tabela12[[#This Row],[Painel]],Tabela13[],2,0)</f>
        <v>CCP</v>
      </c>
      <c r="C2035" s="391" t="s">
        <v>1648</v>
      </c>
      <c r="D2035" s="21" t="s">
        <v>1948</v>
      </c>
      <c r="E2035" s="21">
        <v>34</v>
      </c>
      <c r="F2035" s="27" t="str">
        <f>Tabela12[[#This Row],[Régua]]&amp;" ("&amp;Tabela12[[#This Row],[Born]]&amp;")"</f>
        <v>TB-04 (34)</v>
      </c>
      <c r="G2035" s="27">
        <f>LEN(Tabela12[[#This Row],[Anilha]])</f>
        <v>10</v>
      </c>
      <c r="H2035" s="21">
        <f>VLOOKUP(Tabela12[[#This Row],[Tag Cabo]],BD!A:F,6,0)</f>
        <v>1</v>
      </c>
      <c r="I2035" s="27" t="s">
        <v>1705</v>
      </c>
      <c r="J2035" s="27" t="s">
        <v>1706</v>
      </c>
    </row>
    <row r="2036" spans="1:10" x14ac:dyDescent="0.25">
      <c r="A2036" s="21" t="s">
        <v>1125</v>
      </c>
      <c r="B2036" s="391" t="str">
        <f>VLOOKUP(Tabela12[[#This Row],[Painel]],Tabela13[],2,0)</f>
        <v>CCP</v>
      </c>
      <c r="C2036" s="391" t="s">
        <v>1648</v>
      </c>
      <c r="D2036" s="21" t="s">
        <v>1948</v>
      </c>
      <c r="E2036" s="21">
        <v>35</v>
      </c>
      <c r="F2036" s="27" t="str">
        <f>Tabela12[[#This Row],[Régua]]&amp;" ("&amp;Tabela12[[#This Row],[Born]]&amp;")"</f>
        <v>TB-04 (35)</v>
      </c>
      <c r="G2036" s="27">
        <f>LEN(Tabela12[[#This Row],[Anilha]])</f>
        <v>10</v>
      </c>
      <c r="H2036" s="21">
        <f>VLOOKUP(Tabela12[[#This Row],[Tag Cabo]],BD!A:F,6,0)</f>
        <v>1</v>
      </c>
      <c r="I2036" s="27" t="s">
        <v>1705</v>
      </c>
      <c r="J2036" s="27" t="s">
        <v>1706</v>
      </c>
    </row>
    <row r="2037" spans="1:10" x14ac:dyDescent="0.25">
      <c r="A2037" s="21" t="s">
        <v>1125</v>
      </c>
      <c r="B2037" s="391" t="str">
        <f>VLOOKUP(Tabela12[[#This Row],[Painel]],Tabela13[],2,0)</f>
        <v>CCP</v>
      </c>
      <c r="C2037" s="391" t="s">
        <v>1648</v>
      </c>
      <c r="D2037" s="21" t="s">
        <v>1948</v>
      </c>
      <c r="E2037" s="21">
        <v>37</v>
      </c>
      <c r="F2037" s="27" t="str">
        <f>Tabela12[[#This Row],[Régua]]&amp;" ("&amp;Tabela12[[#This Row],[Born]]&amp;")"</f>
        <v>TB-04 (37)</v>
      </c>
      <c r="G2037" s="27">
        <f>LEN(Tabela12[[#This Row],[Anilha]])</f>
        <v>10</v>
      </c>
      <c r="H2037" s="21">
        <f>VLOOKUP(Tabela12[[#This Row],[Tag Cabo]],BD!A:F,6,0)</f>
        <v>1</v>
      </c>
      <c r="I2037" s="27" t="s">
        <v>1705</v>
      </c>
      <c r="J2037" s="27" t="s">
        <v>1706</v>
      </c>
    </row>
    <row r="2038" spans="1:10" x14ac:dyDescent="0.25">
      <c r="A2038" s="21" t="s">
        <v>1125</v>
      </c>
      <c r="B2038" s="391" t="str">
        <f>VLOOKUP(Tabela12[[#This Row],[Painel]],Tabela13[],2,0)</f>
        <v>CCP</v>
      </c>
      <c r="C2038" s="391" t="s">
        <v>1648</v>
      </c>
      <c r="D2038" s="21" t="s">
        <v>1948</v>
      </c>
      <c r="E2038" s="21">
        <v>38</v>
      </c>
      <c r="F2038" s="27" t="str">
        <f>Tabela12[[#This Row],[Régua]]&amp;" ("&amp;Tabela12[[#This Row],[Born]]&amp;")"</f>
        <v>TB-04 (38)</v>
      </c>
      <c r="G2038" s="27">
        <f>LEN(Tabela12[[#This Row],[Anilha]])</f>
        <v>10</v>
      </c>
      <c r="H2038" s="21">
        <f>VLOOKUP(Tabela12[[#This Row],[Tag Cabo]],BD!A:F,6,0)</f>
        <v>1</v>
      </c>
      <c r="I2038" s="27" t="s">
        <v>1705</v>
      </c>
      <c r="J2038" s="27" t="s">
        <v>1706</v>
      </c>
    </row>
    <row r="2039" spans="1:10" x14ac:dyDescent="0.25">
      <c r="A2039" s="21" t="s">
        <v>1125</v>
      </c>
      <c r="B2039" s="391" t="str">
        <f>VLOOKUP(Tabela12[[#This Row],[Painel]],Tabela13[],2,0)</f>
        <v>CCP</v>
      </c>
      <c r="C2039" s="391" t="s">
        <v>1648</v>
      </c>
      <c r="D2039" s="21" t="s">
        <v>1948</v>
      </c>
      <c r="E2039" s="21">
        <v>39</v>
      </c>
      <c r="F2039" s="27" t="str">
        <f>Tabela12[[#This Row],[Régua]]&amp;" ("&amp;Tabela12[[#This Row],[Born]]&amp;")"</f>
        <v>TB-04 (39)</v>
      </c>
      <c r="G2039" s="27">
        <f>LEN(Tabela12[[#This Row],[Anilha]])</f>
        <v>10</v>
      </c>
      <c r="H2039" s="21">
        <f>VLOOKUP(Tabela12[[#This Row],[Tag Cabo]],BD!A:F,6,0)</f>
        <v>1</v>
      </c>
      <c r="I2039" s="27" t="s">
        <v>1705</v>
      </c>
      <c r="J2039" s="27" t="s">
        <v>1706</v>
      </c>
    </row>
    <row r="2040" spans="1:10" x14ac:dyDescent="0.25">
      <c r="A2040" s="21" t="s">
        <v>1128</v>
      </c>
      <c r="B2040" s="391" t="str">
        <f>VLOOKUP(Tabela12[[#This Row],[Painel]],Tabela13[],2,0)</f>
        <v>GB-200</v>
      </c>
      <c r="C2040" s="391" t="s">
        <v>1129</v>
      </c>
      <c r="D2040" s="21" t="s">
        <v>1129</v>
      </c>
      <c r="E2040" s="21">
        <v>1</v>
      </c>
      <c r="F2040" s="27" t="str">
        <f>Tabela12[[#This Row],[Régua]]&amp;" ("&amp;Tabela12[[#This Row],[Born]]&amp;")"</f>
        <v>JBI-20-104X (1)</v>
      </c>
      <c r="G2040" s="27">
        <f>LEN(Tabela12[[#This Row],[Anilha]])</f>
        <v>15</v>
      </c>
      <c r="H2040" s="21">
        <f>VLOOKUP(Tabela12[[#This Row],[Tag Cabo]],BD!A:F,6,0)</f>
        <v>1</v>
      </c>
      <c r="I2040" s="27" t="s">
        <v>1705</v>
      </c>
      <c r="J2040" s="27" t="s">
        <v>1706</v>
      </c>
    </row>
    <row r="2041" spans="1:10" x14ac:dyDescent="0.25">
      <c r="A2041" s="21" t="s">
        <v>1128</v>
      </c>
      <c r="B2041" s="391" t="str">
        <f>VLOOKUP(Tabela12[[#This Row],[Painel]],Tabela13[],2,0)</f>
        <v>GB-200</v>
      </c>
      <c r="C2041" s="391" t="s">
        <v>1129</v>
      </c>
      <c r="D2041" s="21" t="s">
        <v>1129</v>
      </c>
      <c r="E2041" s="21">
        <v>2</v>
      </c>
      <c r="F2041" s="27" t="str">
        <f>Tabela12[[#This Row],[Régua]]&amp;" ("&amp;Tabela12[[#This Row],[Born]]&amp;")"</f>
        <v>JBI-20-104X (2)</v>
      </c>
      <c r="G2041" s="27">
        <f>LEN(Tabela12[[#This Row],[Anilha]])</f>
        <v>15</v>
      </c>
      <c r="H2041" s="21">
        <f>VLOOKUP(Tabela12[[#This Row],[Tag Cabo]],BD!A:F,6,0)</f>
        <v>1</v>
      </c>
      <c r="I2041" s="27" t="s">
        <v>1705</v>
      </c>
      <c r="J2041" s="27" t="s">
        <v>1706</v>
      </c>
    </row>
    <row r="2042" spans="1:10" x14ac:dyDescent="0.25">
      <c r="A2042" s="21" t="s">
        <v>1128</v>
      </c>
      <c r="B2042" s="391" t="str">
        <f>VLOOKUP(Tabela12[[#This Row],[Painel]],Tabela13[],2,0)</f>
        <v>GB-200</v>
      </c>
      <c r="C2042" s="391" t="s">
        <v>1129</v>
      </c>
      <c r="D2042" s="21" t="s">
        <v>1129</v>
      </c>
      <c r="E2042" s="21">
        <v>3</v>
      </c>
      <c r="F2042" s="27" t="str">
        <f>Tabela12[[#This Row],[Régua]]&amp;" ("&amp;Tabela12[[#This Row],[Born]]&amp;")"</f>
        <v>JBI-20-104X (3)</v>
      </c>
      <c r="G2042" s="27">
        <f>LEN(Tabela12[[#This Row],[Anilha]])</f>
        <v>15</v>
      </c>
      <c r="H2042" s="21">
        <f>VLOOKUP(Tabela12[[#This Row],[Tag Cabo]],BD!A:F,6,0)</f>
        <v>1</v>
      </c>
      <c r="I2042" s="27" t="s">
        <v>1705</v>
      </c>
      <c r="J2042" s="27" t="s">
        <v>1706</v>
      </c>
    </row>
    <row r="2043" spans="1:10" x14ac:dyDescent="0.25">
      <c r="A2043" s="21" t="s">
        <v>1128</v>
      </c>
      <c r="B2043" s="391" t="str">
        <f>VLOOKUP(Tabela12[[#This Row],[Painel]],Tabela13[],2,0)</f>
        <v>GB-200</v>
      </c>
      <c r="C2043" s="391" t="s">
        <v>1129</v>
      </c>
      <c r="D2043" s="21" t="s">
        <v>1129</v>
      </c>
      <c r="E2043" s="21">
        <v>4</v>
      </c>
      <c r="F2043" s="27" t="str">
        <f>Tabela12[[#This Row],[Régua]]&amp;" ("&amp;Tabela12[[#This Row],[Born]]&amp;")"</f>
        <v>JBI-20-104X (4)</v>
      </c>
      <c r="G2043" s="27">
        <f>LEN(Tabela12[[#This Row],[Anilha]])</f>
        <v>15</v>
      </c>
      <c r="H2043" s="21">
        <f>VLOOKUP(Tabela12[[#This Row],[Tag Cabo]],BD!A:F,6,0)</f>
        <v>1</v>
      </c>
      <c r="I2043" s="27" t="s">
        <v>1705</v>
      </c>
      <c r="J2043" s="27" t="s">
        <v>1706</v>
      </c>
    </row>
    <row r="2044" spans="1:10" x14ac:dyDescent="0.25">
      <c r="A2044" s="21" t="s">
        <v>1128</v>
      </c>
      <c r="B2044" s="391" t="str">
        <f>VLOOKUP(Tabela12[[#This Row],[Painel]],Tabela13[],2,0)</f>
        <v>GB-200</v>
      </c>
      <c r="C2044" s="391" t="s">
        <v>1129</v>
      </c>
      <c r="D2044" s="21" t="s">
        <v>1129</v>
      </c>
      <c r="E2044" s="21">
        <v>5</v>
      </c>
      <c r="F2044" s="27" t="str">
        <f>Tabela12[[#This Row],[Régua]]&amp;" ("&amp;Tabela12[[#This Row],[Born]]&amp;")"</f>
        <v>JBI-20-104X (5)</v>
      </c>
      <c r="G2044" s="27">
        <f>LEN(Tabela12[[#This Row],[Anilha]])</f>
        <v>15</v>
      </c>
      <c r="H2044" s="21">
        <f>VLOOKUP(Tabela12[[#This Row],[Tag Cabo]],BD!A:F,6,0)</f>
        <v>1</v>
      </c>
      <c r="I2044" s="27" t="s">
        <v>1705</v>
      </c>
      <c r="J2044" s="27" t="s">
        <v>1706</v>
      </c>
    </row>
    <row r="2045" spans="1:10" x14ac:dyDescent="0.25">
      <c r="A2045" s="21" t="s">
        <v>1128</v>
      </c>
      <c r="B2045" s="391" t="str">
        <f>VLOOKUP(Tabela12[[#This Row],[Painel]],Tabela13[],2,0)</f>
        <v>GB-200</v>
      </c>
      <c r="C2045" s="391" t="s">
        <v>1129</v>
      </c>
      <c r="D2045" s="21" t="s">
        <v>1129</v>
      </c>
      <c r="E2045" s="21">
        <v>8</v>
      </c>
      <c r="F2045" s="27" t="str">
        <f>Tabela12[[#This Row],[Régua]]&amp;" ("&amp;Tabela12[[#This Row],[Born]]&amp;")"</f>
        <v>JBI-20-104X (8)</v>
      </c>
      <c r="G2045" s="27">
        <f>LEN(Tabela12[[#This Row],[Anilha]])</f>
        <v>15</v>
      </c>
      <c r="H2045" s="21">
        <f>VLOOKUP(Tabela12[[#This Row],[Tag Cabo]],BD!A:F,6,0)</f>
        <v>1</v>
      </c>
      <c r="I2045" s="27" t="s">
        <v>1705</v>
      </c>
      <c r="J2045" s="27" t="s">
        <v>1706</v>
      </c>
    </row>
    <row r="2046" spans="1:10" x14ac:dyDescent="0.25">
      <c r="A2046" s="21" t="s">
        <v>1128</v>
      </c>
      <c r="B2046" s="391" t="str">
        <f>VLOOKUP(Tabela12[[#This Row],[Painel]],Tabela13[],2,0)</f>
        <v>CCP</v>
      </c>
      <c r="C2046" s="391" t="s">
        <v>1648</v>
      </c>
      <c r="D2046" s="21" t="s">
        <v>1979</v>
      </c>
      <c r="E2046" s="21">
        <v>1</v>
      </c>
      <c r="F2046" s="27" t="str">
        <f>Tabela12[[#This Row],[Régua]]&amp;" ("&amp;Tabela12[[#This Row],[Born]]&amp;")"</f>
        <v>TB-06 (1)</v>
      </c>
      <c r="G2046" s="27">
        <f>LEN(Tabela12[[#This Row],[Anilha]])</f>
        <v>9</v>
      </c>
      <c r="H2046" s="21">
        <f>VLOOKUP(Tabela12[[#This Row],[Tag Cabo]],BD!A:F,6,0)</f>
        <v>1</v>
      </c>
      <c r="I2046" s="27" t="s">
        <v>1705</v>
      </c>
      <c r="J2046" s="27" t="s">
        <v>1706</v>
      </c>
    </row>
    <row r="2047" spans="1:10" x14ac:dyDescent="0.25">
      <c r="A2047" s="21" t="s">
        <v>1128</v>
      </c>
      <c r="B2047" s="391" t="str">
        <f>VLOOKUP(Tabela12[[#This Row],[Painel]],Tabela13[],2,0)</f>
        <v>CCP</v>
      </c>
      <c r="C2047" s="391" t="s">
        <v>1648</v>
      </c>
      <c r="D2047" s="21" t="s">
        <v>1979</v>
      </c>
      <c r="E2047" s="21">
        <v>2</v>
      </c>
      <c r="F2047" s="27" t="str">
        <f>Tabela12[[#This Row],[Régua]]&amp;" ("&amp;Tabela12[[#This Row],[Born]]&amp;")"</f>
        <v>TB-06 (2)</v>
      </c>
      <c r="G2047" s="27">
        <f>LEN(Tabela12[[#This Row],[Anilha]])</f>
        <v>9</v>
      </c>
      <c r="H2047" s="21">
        <f>VLOOKUP(Tabela12[[#This Row],[Tag Cabo]],BD!A:F,6,0)</f>
        <v>1</v>
      </c>
      <c r="I2047" s="27" t="s">
        <v>1705</v>
      </c>
      <c r="J2047" s="27" t="s">
        <v>1706</v>
      </c>
    </row>
    <row r="2048" spans="1:10" x14ac:dyDescent="0.25">
      <c r="A2048" s="21" t="s">
        <v>1128</v>
      </c>
      <c r="B2048" s="391" t="str">
        <f>VLOOKUP(Tabela12[[#This Row],[Painel]],Tabela13[],2,0)</f>
        <v>CCP</v>
      </c>
      <c r="C2048" s="391" t="s">
        <v>1648</v>
      </c>
      <c r="D2048" s="21" t="s">
        <v>1979</v>
      </c>
      <c r="E2048" s="21">
        <v>3</v>
      </c>
      <c r="F2048" s="27" t="str">
        <f>Tabela12[[#This Row],[Régua]]&amp;" ("&amp;Tabela12[[#This Row],[Born]]&amp;")"</f>
        <v>TB-06 (3)</v>
      </c>
      <c r="G2048" s="27">
        <f>LEN(Tabela12[[#This Row],[Anilha]])</f>
        <v>9</v>
      </c>
      <c r="H2048" s="21">
        <f>VLOOKUP(Tabela12[[#This Row],[Tag Cabo]],BD!A:F,6,0)</f>
        <v>1</v>
      </c>
      <c r="I2048" s="27" t="s">
        <v>1705</v>
      </c>
      <c r="J2048" s="27" t="s">
        <v>1706</v>
      </c>
    </row>
    <row r="2049" spans="1:10" x14ac:dyDescent="0.25">
      <c r="A2049" s="21" t="s">
        <v>1128</v>
      </c>
      <c r="B2049" s="391" t="str">
        <f>VLOOKUP(Tabela12[[#This Row],[Painel]],Tabela13[],2,0)</f>
        <v>CCP</v>
      </c>
      <c r="C2049" s="391" t="s">
        <v>1648</v>
      </c>
      <c r="D2049" s="21" t="s">
        <v>1979</v>
      </c>
      <c r="E2049" s="21">
        <v>4</v>
      </c>
      <c r="F2049" s="27" t="str">
        <f>Tabela12[[#This Row],[Régua]]&amp;" ("&amp;Tabela12[[#This Row],[Born]]&amp;")"</f>
        <v>TB-06 (4)</v>
      </c>
      <c r="G2049" s="27">
        <f>LEN(Tabela12[[#This Row],[Anilha]])</f>
        <v>9</v>
      </c>
      <c r="H2049" s="21">
        <f>VLOOKUP(Tabela12[[#This Row],[Tag Cabo]],BD!A:F,6,0)</f>
        <v>1</v>
      </c>
      <c r="I2049" s="27" t="s">
        <v>1705</v>
      </c>
      <c r="J2049" s="27" t="s">
        <v>1706</v>
      </c>
    </row>
    <row r="2050" spans="1:10" x14ac:dyDescent="0.25">
      <c r="A2050" s="21" t="s">
        <v>1128</v>
      </c>
      <c r="B2050" s="391" t="str">
        <f>VLOOKUP(Tabela12[[#This Row],[Painel]],Tabela13[],2,0)</f>
        <v>CCP</v>
      </c>
      <c r="C2050" s="391" t="s">
        <v>1648</v>
      </c>
      <c r="D2050" s="21" t="s">
        <v>1979</v>
      </c>
      <c r="E2050" s="21">
        <v>5</v>
      </c>
      <c r="F2050" s="27" t="str">
        <f>Tabela12[[#This Row],[Régua]]&amp;" ("&amp;Tabela12[[#This Row],[Born]]&amp;")"</f>
        <v>TB-06 (5)</v>
      </c>
      <c r="G2050" s="27">
        <f>LEN(Tabela12[[#This Row],[Anilha]])</f>
        <v>9</v>
      </c>
      <c r="H2050" s="21">
        <f>VLOOKUP(Tabela12[[#This Row],[Tag Cabo]],BD!A:F,6,0)</f>
        <v>1</v>
      </c>
      <c r="I2050" s="27" t="s">
        <v>1705</v>
      </c>
      <c r="J2050" s="27" t="s">
        <v>1706</v>
      </c>
    </row>
    <row r="2051" spans="1:10" x14ac:dyDescent="0.25">
      <c r="A2051" s="21" t="s">
        <v>1128</v>
      </c>
      <c r="B2051" s="391" t="str">
        <f>VLOOKUP(Tabela12[[#This Row],[Painel]],Tabela13[],2,0)</f>
        <v>CCP</v>
      </c>
      <c r="C2051" s="391" t="s">
        <v>1648</v>
      </c>
      <c r="D2051" s="21" t="s">
        <v>1979</v>
      </c>
      <c r="E2051" s="21">
        <v>6</v>
      </c>
      <c r="F2051" s="27" t="str">
        <f>Tabela12[[#This Row],[Régua]]&amp;" ("&amp;Tabela12[[#This Row],[Born]]&amp;")"</f>
        <v>TB-06 (6)</v>
      </c>
      <c r="G2051" s="27">
        <f>LEN(Tabela12[[#This Row],[Anilha]])</f>
        <v>9</v>
      </c>
      <c r="H2051" s="21">
        <f>VLOOKUP(Tabela12[[#This Row],[Tag Cabo]],BD!A:F,6,0)</f>
        <v>1</v>
      </c>
      <c r="I2051" s="27" t="s">
        <v>1705</v>
      </c>
      <c r="J2051" s="27" t="s">
        <v>1706</v>
      </c>
    </row>
    <row r="2052" spans="1:10" x14ac:dyDescent="0.25">
      <c r="A2052" s="21" t="s">
        <v>1130</v>
      </c>
      <c r="B2052" s="391" t="str">
        <f>VLOOKUP(Tabela12[[#This Row],[Painel]],Tabela13[],2,0)</f>
        <v>GB-200</v>
      </c>
      <c r="C2052" s="391" t="s">
        <v>1649</v>
      </c>
      <c r="D2052" s="21" t="s">
        <v>1649</v>
      </c>
      <c r="E2052" s="21" t="s">
        <v>1980</v>
      </c>
      <c r="F2052" s="27" t="str">
        <f>Tabela12[[#This Row],[Born]]</f>
        <v>LD1-1</v>
      </c>
      <c r="G2052" s="27">
        <f>LEN(Tabela12[[#This Row],[Anilha]])</f>
        <v>5</v>
      </c>
      <c r="H2052" s="21">
        <f>VLOOKUP(Tabela12[[#This Row],[Tag Cabo]],BD!A:F,6,0)</f>
        <v>1</v>
      </c>
      <c r="I2052" s="27" t="s">
        <v>1705</v>
      </c>
      <c r="J2052" s="27" t="s">
        <v>1706</v>
      </c>
    </row>
    <row r="2053" spans="1:10" x14ac:dyDescent="0.25">
      <c r="A2053" s="21" t="s">
        <v>1130</v>
      </c>
      <c r="B2053" s="391" t="str">
        <f>VLOOKUP(Tabela12[[#This Row],[Painel]],Tabela13[],2,0)</f>
        <v>GB-200</v>
      </c>
      <c r="C2053" s="391" t="s">
        <v>1649</v>
      </c>
      <c r="D2053" s="21" t="s">
        <v>1649</v>
      </c>
      <c r="E2053" s="21" t="s">
        <v>1981</v>
      </c>
      <c r="F2053" s="27" t="str">
        <f>Tabela12[[#This Row],[Born]]</f>
        <v>LD1-3</v>
      </c>
      <c r="G2053" s="27">
        <f>LEN(Tabela12[[#This Row],[Anilha]])</f>
        <v>5</v>
      </c>
      <c r="H2053" s="21">
        <f>VLOOKUP(Tabela12[[#This Row],[Tag Cabo]],BD!A:F,6,0)</f>
        <v>1</v>
      </c>
      <c r="I2053" s="27" t="s">
        <v>1705</v>
      </c>
      <c r="J2053" s="27" t="s">
        <v>1706</v>
      </c>
    </row>
    <row r="2054" spans="1:10" x14ac:dyDescent="0.25">
      <c r="A2054" s="21" t="s">
        <v>1130</v>
      </c>
      <c r="B2054" s="391" t="str">
        <f>VLOOKUP(Tabela12[[#This Row],[Painel]],Tabela13[],2,0)</f>
        <v>CCP</v>
      </c>
      <c r="C2054" s="391" t="s">
        <v>1648</v>
      </c>
      <c r="D2054" s="21" t="s">
        <v>1979</v>
      </c>
      <c r="E2054" s="21">
        <v>9</v>
      </c>
      <c r="F2054" s="27" t="str">
        <f>Tabela12[[#This Row],[Régua]]&amp;" ("&amp;Tabela12[[#This Row],[Born]]&amp;")"</f>
        <v>TB-06 (9)</v>
      </c>
      <c r="G2054" s="27">
        <f>LEN(Tabela12[[#This Row],[Anilha]])</f>
        <v>9</v>
      </c>
      <c r="H2054" s="21">
        <f>VLOOKUP(Tabela12[[#This Row],[Tag Cabo]],BD!A:F,6,0)</f>
        <v>1</v>
      </c>
      <c r="I2054" s="27" t="s">
        <v>1705</v>
      </c>
      <c r="J2054" s="27" t="s">
        <v>1706</v>
      </c>
    </row>
    <row r="2055" spans="1:10" x14ac:dyDescent="0.25">
      <c r="A2055" s="21" t="s">
        <v>1130</v>
      </c>
      <c r="B2055" s="391" t="str">
        <f>VLOOKUP(Tabela12[[#This Row],[Painel]],Tabela13[],2,0)</f>
        <v>CCP</v>
      </c>
      <c r="C2055" s="391" t="s">
        <v>1648</v>
      </c>
      <c r="D2055" s="21" t="s">
        <v>1979</v>
      </c>
      <c r="E2055" s="21">
        <v>10</v>
      </c>
      <c r="F2055" s="27" t="str">
        <f>Tabela12[[#This Row],[Régua]]&amp;" ("&amp;Tabela12[[#This Row],[Born]]&amp;")"</f>
        <v>TB-06 (10)</v>
      </c>
      <c r="G2055" s="27">
        <f>LEN(Tabela12[[#This Row],[Anilha]])</f>
        <v>10</v>
      </c>
      <c r="H2055" s="21">
        <f>VLOOKUP(Tabela12[[#This Row],[Tag Cabo]],BD!A:F,6,0)</f>
        <v>1</v>
      </c>
      <c r="I2055" s="27" t="s">
        <v>1705</v>
      </c>
      <c r="J2055" s="27" t="s">
        <v>1706</v>
      </c>
    </row>
    <row r="2056" spans="1:10" x14ac:dyDescent="0.25">
      <c r="A2056" s="21" t="s">
        <v>656</v>
      </c>
      <c r="B2056" s="391" t="str">
        <f>VLOOKUP(Tabela12[[#This Row],[Painel]],Tabela13[],2,0)</f>
        <v>7HV</v>
      </c>
      <c r="C2056" s="391" t="s">
        <v>1590</v>
      </c>
      <c r="D2056" s="21" t="s">
        <v>1982</v>
      </c>
      <c r="E2056" s="21" t="s">
        <v>1983</v>
      </c>
      <c r="F2056" s="27" t="str">
        <f>Tabela12[[#This Row],[Régua]]&amp;" ("&amp;Tabela12[[#This Row],[Born]]&amp;")"</f>
        <v>X051.A (01A)</v>
      </c>
      <c r="G2056" s="27">
        <f>LEN(Tabela12[[#This Row],[Anilha]])</f>
        <v>12</v>
      </c>
      <c r="H2056" s="21">
        <f>VLOOKUP(Tabela12[[#This Row],[Tag Cabo]],BD!A:F,6,0)</f>
        <v>1</v>
      </c>
      <c r="I2056" s="27" t="s">
        <v>1705</v>
      </c>
      <c r="J2056" s="27" t="s">
        <v>1706</v>
      </c>
    </row>
    <row r="2057" spans="1:10" x14ac:dyDescent="0.25">
      <c r="A2057" s="21" t="s">
        <v>656</v>
      </c>
      <c r="B2057" s="391" t="str">
        <f>VLOOKUP(Tabela12[[#This Row],[Painel]],Tabela13[],2,0)</f>
        <v>7HV</v>
      </c>
      <c r="C2057" s="391" t="s">
        <v>1590</v>
      </c>
      <c r="D2057" s="21" t="s">
        <v>1982</v>
      </c>
      <c r="E2057" s="21" t="s">
        <v>1984</v>
      </c>
      <c r="F2057" s="27" t="str">
        <f>Tabela12[[#This Row],[Régua]]&amp;" ("&amp;Tabela12[[#This Row],[Born]]&amp;")"</f>
        <v>X051.A (01C)</v>
      </c>
      <c r="G2057" s="27">
        <f>LEN(Tabela12[[#This Row],[Anilha]])</f>
        <v>12</v>
      </c>
      <c r="H2057" s="21">
        <f>VLOOKUP(Tabela12[[#This Row],[Tag Cabo]],BD!A:F,6,0)</f>
        <v>1</v>
      </c>
      <c r="I2057" s="27" t="s">
        <v>1705</v>
      </c>
      <c r="J2057" s="27" t="s">
        <v>1706</v>
      </c>
    </row>
    <row r="2058" spans="1:10" x14ac:dyDescent="0.25">
      <c r="A2058" s="21" t="s">
        <v>656</v>
      </c>
      <c r="B2058" s="391" t="str">
        <f>VLOOKUP(Tabela12[[#This Row],[Painel]],Tabela13[],2,0)</f>
        <v>7HV</v>
      </c>
      <c r="C2058" s="391" t="s">
        <v>1590</v>
      </c>
      <c r="D2058" s="21" t="s">
        <v>1985</v>
      </c>
      <c r="E2058" s="21" t="s">
        <v>1986</v>
      </c>
      <c r="F2058" s="27" t="str">
        <f>Tabela12[[#This Row],[Régua]]&amp;" ("&amp;Tabela12[[#This Row],[Born]]&amp;")"</f>
        <v>X993 (02A)</v>
      </c>
      <c r="G2058" s="27">
        <f>LEN(Tabela12[[#This Row],[Anilha]])</f>
        <v>10</v>
      </c>
      <c r="H2058" s="21">
        <f>VLOOKUP(Tabela12[[#This Row],[Tag Cabo]],BD!A:F,6,0)</f>
        <v>1</v>
      </c>
      <c r="I2058" s="27" t="s">
        <v>1705</v>
      </c>
      <c r="J2058" s="27" t="s">
        <v>1706</v>
      </c>
    </row>
    <row r="2059" spans="1:10" x14ac:dyDescent="0.25">
      <c r="A2059" s="21" t="s">
        <v>656</v>
      </c>
      <c r="B2059" s="391" t="str">
        <f>VLOOKUP(Tabela12[[#This Row],[Painel]],Tabela13[],2,0)</f>
        <v>7HV</v>
      </c>
      <c r="C2059" s="391" t="s">
        <v>1590</v>
      </c>
      <c r="D2059" s="21" t="s">
        <v>1985</v>
      </c>
      <c r="E2059" s="21" t="s">
        <v>1987</v>
      </c>
      <c r="F2059" s="27" t="str">
        <f>Tabela12[[#This Row],[Régua]]&amp;" ("&amp;Tabela12[[#This Row],[Born]]&amp;")"</f>
        <v>X993 (02B)</v>
      </c>
      <c r="G2059" s="27">
        <f>LEN(Tabela12[[#This Row],[Anilha]])</f>
        <v>10</v>
      </c>
      <c r="H2059" s="21">
        <f>VLOOKUP(Tabela12[[#This Row],[Tag Cabo]],BD!A:F,6,0)</f>
        <v>1</v>
      </c>
      <c r="I2059" s="27" t="s">
        <v>1705</v>
      </c>
      <c r="J2059" s="27" t="s">
        <v>1706</v>
      </c>
    </row>
    <row r="2060" spans="1:10" x14ac:dyDescent="0.25">
      <c r="A2060" s="21" t="s">
        <v>656</v>
      </c>
      <c r="B2060" s="391" t="str">
        <f>VLOOKUP(Tabela12[[#This Row],[Painel]],Tabela13[],2,0)</f>
        <v>7HV</v>
      </c>
      <c r="C2060" s="391" t="s">
        <v>1590</v>
      </c>
      <c r="D2060" s="21" t="s">
        <v>1985</v>
      </c>
      <c r="E2060" s="21" t="s">
        <v>1988</v>
      </c>
      <c r="F2060" s="27" t="str">
        <f>Tabela12[[#This Row],[Régua]]&amp;" ("&amp;Tabela12[[#This Row],[Born]]&amp;")"</f>
        <v>X993 (101.1A)</v>
      </c>
      <c r="G2060" s="27">
        <f>LEN(Tabela12[[#This Row],[Anilha]])</f>
        <v>13</v>
      </c>
      <c r="H2060" s="21">
        <f>VLOOKUP(Tabela12[[#This Row],[Tag Cabo]],BD!A:F,6,0)</f>
        <v>1</v>
      </c>
      <c r="I2060" s="27" t="s">
        <v>1705</v>
      </c>
      <c r="J2060" s="27" t="s">
        <v>1706</v>
      </c>
    </row>
    <row r="2061" spans="1:10" x14ac:dyDescent="0.25">
      <c r="A2061" s="21" t="s">
        <v>656</v>
      </c>
      <c r="B2061" s="391" t="str">
        <f>VLOOKUP(Tabela12[[#This Row],[Painel]],Tabela13[],2,0)</f>
        <v>7HV</v>
      </c>
      <c r="C2061" s="391" t="s">
        <v>1590</v>
      </c>
      <c r="D2061" s="21" t="s">
        <v>1985</v>
      </c>
      <c r="E2061" s="21" t="s">
        <v>1989</v>
      </c>
      <c r="F2061" s="27" t="str">
        <f>Tabela12[[#This Row],[Régua]]&amp;" ("&amp;Tabela12[[#This Row],[Born]]&amp;")"</f>
        <v>X993 (101.1B)</v>
      </c>
      <c r="G2061" s="27">
        <f>LEN(Tabela12[[#This Row],[Anilha]])</f>
        <v>13</v>
      </c>
      <c r="H2061" s="21">
        <f>VLOOKUP(Tabela12[[#This Row],[Tag Cabo]],BD!A:F,6,0)</f>
        <v>1</v>
      </c>
      <c r="I2061" s="27" t="s">
        <v>1705</v>
      </c>
      <c r="J2061" s="27" t="s">
        <v>1706</v>
      </c>
    </row>
    <row r="2062" spans="1:10" x14ac:dyDescent="0.25">
      <c r="A2062" s="21" t="s">
        <v>656</v>
      </c>
      <c r="B2062" s="391" t="str">
        <f>VLOOKUP(Tabela12[[#This Row],[Painel]],Tabela13[],2,0)</f>
        <v>7HV</v>
      </c>
      <c r="C2062" s="391" t="s">
        <v>1590</v>
      </c>
      <c r="D2062" s="21" t="s">
        <v>1985</v>
      </c>
      <c r="E2062" s="21" t="s">
        <v>1990</v>
      </c>
      <c r="F2062" s="27" t="str">
        <f>Tabela12[[#This Row],[Régua]]&amp;" ("&amp;Tabela12[[#This Row],[Born]]&amp;")"</f>
        <v>X993 (101.2A)</v>
      </c>
      <c r="G2062" s="27">
        <f>LEN(Tabela12[[#This Row],[Anilha]])</f>
        <v>13</v>
      </c>
      <c r="H2062" s="21">
        <f>VLOOKUP(Tabela12[[#This Row],[Tag Cabo]],BD!A:F,6,0)</f>
        <v>1</v>
      </c>
      <c r="I2062" s="27" t="s">
        <v>1705</v>
      </c>
      <c r="J2062" s="27" t="s">
        <v>1706</v>
      </c>
    </row>
    <row r="2063" spans="1:10" x14ac:dyDescent="0.25">
      <c r="A2063" s="21" t="s">
        <v>656</v>
      </c>
      <c r="B2063" s="391" t="str">
        <f>VLOOKUP(Tabela12[[#This Row],[Painel]],Tabela13[],2,0)</f>
        <v>7HV</v>
      </c>
      <c r="C2063" s="391" t="s">
        <v>1590</v>
      </c>
      <c r="D2063" s="21" t="s">
        <v>1985</v>
      </c>
      <c r="E2063" s="21" t="s">
        <v>1991</v>
      </c>
      <c r="F2063" s="27" t="str">
        <f>Tabela12[[#This Row],[Régua]]&amp;" ("&amp;Tabela12[[#This Row],[Born]]&amp;")"</f>
        <v>X993 (101.2B)</v>
      </c>
      <c r="G2063" s="27">
        <f>LEN(Tabela12[[#This Row],[Anilha]])</f>
        <v>13</v>
      </c>
      <c r="H2063" s="21">
        <f>VLOOKUP(Tabela12[[#This Row],[Tag Cabo]],BD!A:F,6,0)</f>
        <v>1</v>
      </c>
      <c r="I2063" s="27" t="s">
        <v>1705</v>
      </c>
      <c r="J2063" s="27" t="s">
        <v>1706</v>
      </c>
    </row>
    <row r="2064" spans="1:10" x14ac:dyDescent="0.25">
      <c r="A2064" s="21" t="s">
        <v>656</v>
      </c>
      <c r="B2064" s="391" t="str">
        <f>VLOOKUP(Tabela12[[#This Row],[Painel]],Tabela13[],2,0)</f>
        <v>7HV</v>
      </c>
      <c r="C2064" s="391" t="s">
        <v>1590</v>
      </c>
      <c r="D2064" s="21" t="s">
        <v>1985</v>
      </c>
      <c r="E2064" s="21" t="s">
        <v>1992</v>
      </c>
      <c r="F2064" s="27" t="str">
        <f>Tabela12[[#This Row],[Régua]]&amp;" ("&amp;Tabela12[[#This Row],[Born]]&amp;")"</f>
        <v>X993 (101.1C)</v>
      </c>
      <c r="G2064" s="27">
        <f>LEN(Tabela12[[#This Row],[Anilha]])</f>
        <v>13</v>
      </c>
      <c r="H2064" s="21">
        <f>VLOOKUP(Tabela12[[#This Row],[Tag Cabo]],BD!A:F,6,0)</f>
        <v>1</v>
      </c>
      <c r="I2064" s="27" t="s">
        <v>1705</v>
      </c>
      <c r="J2064" s="27" t="s">
        <v>1706</v>
      </c>
    </row>
    <row r="2065" spans="1:10" x14ac:dyDescent="0.25">
      <c r="A2065" s="21" t="s">
        <v>656</v>
      </c>
      <c r="B2065" s="391" t="str">
        <f>VLOOKUP(Tabela12[[#This Row],[Painel]],Tabela13[],2,0)</f>
        <v>7HV</v>
      </c>
      <c r="C2065" s="391" t="s">
        <v>1590</v>
      </c>
      <c r="D2065" s="21" t="s">
        <v>1985</v>
      </c>
      <c r="E2065" s="21" t="s">
        <v>1993</v>
      </c>
      <c r="F2065" s="27" t="str">
        <f>Tabela12[[#This Row],[Régua]]&amp;" ("&amp;Tabela12[[#This Row],[Born]]&amp;")"</f>
        <v>X993 (101.1D)</v>
      </c>
      <c r="G2065" s="27">
        <f>LEN(Tabela12[[#This Row],[Anilha]])</f>
        <v>13</v>
      </c>
      <c r="H2065" s="21">
        <f>VLOOKUP(Tabela12[[#This Row],[Tag Cabo]],BD!A:F,6,0)</f>
        <v>1</v>
      </c>
      <c r="I2065" s="27" t="s">
        <v>1705</v>
      </c>
      <c r="J2065" s="27" t="s">
        <v>1706</v>
      </c>
    </row>
    <row r="2066" spans="1:10" x14ac:dyDescent="0.25">
      <c r="A2066" s="21" t="s">
        <v>656</v>
      </c>
      <c r="B2066" s="391" t="str">
        <f>VLOOKUP(Tabela12[[#This Row],[Painel]],Tabela13[],2,0)</f>
        <v>7HV</v>
      </c>
      <c r="C2066" s="391" t="s">
        <v>1590</v>
      </c>
      <c r="D2066" s="21" t="s">
        <v>1985</v>
      </c>
      <c r="E2066" s="21" t="s">
        <v>1994</v>
      </c>
      <c r="F2066" s="27" t="str">
        <f>Tabela12[[#This Row],[Régua]]&amp;" ("&amp;Tabela12[[#This Row],[Born]]&amp;")"</f>
        <v>X993 (101.2C)</v>
      </c>
      <c r="G2066" s="27">
        <f>LEN(Tabela12[[#This Row],[Anilha]])</f>
        <v>13</v>
      </c>
      <c r="H2066" s="21">
        <f>VLOOKUP(Tabela12[[#This Row],[Tag Cabo]],BD!A:F,6,0)</f>
        <v>1</v>
      </c>
      <c r="I2066" s="27" t="s">
        <v>1705</v>
      </c>
      <c r="J2066" s="27" t="s">
        <v>1706</v>
      </c>
    </row>
    <row r="2067" spans="1:10" x14ac:dyDescent="0.25">
      <c r="A2067" s="21" t="s">
        <v>656</v>
      </c>
      <c r="B2067" s="391" t="str">
        <f>VLOOKUP(Tabela12[[#This Row],[Painel]],Tabela13[],2,0)</f>
        <v>7HV</v>
      </c>
      <c r="C2067" s="391" t="s">
        <v>1590</v>
      </c>
      <c r="D2067" s="21" t="s">
        <v>1985</v>
      </c>
      <c r="E2067" s="21" t="s">
        <v>1995</v>
      </c>
      <c r="F2067" s="27" t="str">
        <f>Tabela12[[#This Row],[Régua]]&amp;" ("&amp;Tabela12[[#This Row],[Born]]&amp;")"</f>
        <v>X993 (101.2D)</v>
      </c>
      <c r="G2067" s="27">
        <f>LEN(Tabela12[[#This Row],[Anilha]])</f>
        <v>13</v>
      </c>
      <c r="H2067" s="21">
        <f>VLOOKUP(Tabela12[[#This Row],[Tag Cabo]],BD!A:F,6,0)</f>
        <v>1</v>
      </c>
      <c r="I2067" s="27" t="s">
        <v>1705</v>
      </c>
      <c r="J2067" s="27" t="s">
        <v>1706</v>
      </c>
    </row>
    <row r="2068" spans="1:10" x14ac:dyDescent="0.25">
      <c r="A2068" s="21" t="s">
        <v>656</v>
      </c>
      <c r="B2068" s="391" t="str">
        <f>VLOOKUP(Tabela12[[#This Row],[Painel]],Tabela13[],2,0)</f>
        <v>7HV</v>
      </c>
      <c r="C2068" s="391" t="s">
        <v>1590</v>
      </c>
      <c r="D2068" s="21" t="s">
        <v>1985</v>
      </c>
      <c r="E2068" s="21" t="s">
        <v>1996</v>
      </c>
      <c r="F2068" s="27" t="str">
        <f>Tabela12[[#This Row],[Régua]]&amp;" ("&amp;Tabela12[[#This Row],[Born]]&amp;")"</f>
        <v>X993 (102.1A)</v>
      </c>
      <c r="G2068" s="27">
        <f>LEN(Tabela12[[#This Row],[Anilha]])</f>
        <v>13</v>
      </c>
      <c r="H2068" s="21">
        <f>VLOOKUP(Tabela12[[#This Row],[Tag Cabo]],BD!A:F,6,0)</f>
        <v>1</v>
      </c>
      <c r="I2068" s="27" t="s">
        <v>1705</v>
      </c>
      <c r="J2068" s="27" t="s">
        <v>1706</v>
      </c>
    </row>
    <row r="2069" spans="1:10" x14ac:dyDescent="0.25">
      <c r="A2069" s="21" t="s">
        <v>656</v>
      </c>
      <c r="B2069" s="391" t="str">
        <f>VLOOKUP(Tabela12[[#This Row],[Painel]],Tabela13[],2,0)</f>
        <v>7HV</v>
      </c>
      <c r="C2069" s="391" t="s">
        <v>1590</v>
      </c>
      <c r="D2069" s="21" t="s">
        <v>1985</v>
      </c>
      <c r="E2069" s="21" t="s">
        <v>1997</v>
      </c>
      <c r="F2069" s="27" t="str">
        <f>Tabela12[[#This Row],[Régua]]&amp;" ("&amp;Tabela12[[#This Row],[Born]]&amp;")"</f>
        <v>X993 (102.1B)</v>
      </c>
      <c r="G2069" s="27">
        <f>LEN(Tabela12[[#This Row],[Anilha]])</f>
        <v>13</v>
      </c>
      <c r="H2069" s="21">
        <f>VLOOKUP(Tabela12[[#This Row],[Tag Cabo]],BD!A:F,6,0)</f>
        <v>1</v>
      </c>
      <c r="I2069" s="27" t="s">
        <v>1705</v>
      </c>
      <c r="J2069" s="27" t="s">
        <v>1706</v>
      </c>
    </row>
    <row r="2070" spans="1:10" x14ac:dyDescent="0.25">
      <c r="A2070" s="21" t="s">
        <v>656</v>
      </c>
      <c r="B2070" s="391" t="str">
        <f>VLOOKUP(Tabela12[[#This Row],[Painel]],Tabela13[],2,0)</f>
        <v>7HV</v>
      </c>
      <c r="C2070" s="391" t="s">
        <v>1590</v>
      </c>
      <c r="D2070" s="21" t="s">
        <v>1985</v>
      </c>
      <c r="E2070" s="21" t="s">
        <v>1998</v>
      </c>
      <c r="F2070" s="27" t="str">
        <f>Tabela12[[#This Row],[Régua]]&amp;" ("&amp;Tabela12[[#This Row],[Born]]&amp;")"</f>
        <v>X993 (102.1C)</v>
      </c>
      <c r="G2070" s="27">
        <f>LEN(Tabela12[[#This Row],[Anilha]])</f>
        <v>13</v>
      </c>
      <c r="H2070" s="21">
        <f>VLOOKUP(Tabela12[[#This Row],[Tag Cabo]],BD!A:F,6,0)</f>
        <v>1</v>
      </c>
      <c r="I2070" s="27" t="s">
        <v>1705</v>
      </c>
      <c r="J2070" s="27" t="s">
        <v>1706</v>
      </c>
    </row>
    <row r="2071" spans="1:10" x14ac:dyDescent="0.25">
      <c r="A2071" s="21" t="s">
        <v>656</v>
      </c>
      <c r="B2071" s="391" t="str">
        <f>VLOOKUP(Tabela12[[#This Row],[Painel]],Tabela13[],2,0)</f>
        <v>7HV</v>
      </c>
      <c r="C2071" s="391" t="s">
        <v>1590</v>
      </c>
      <c r="D2071" s="21" t="s">
        <v>1985</v>
      </c>
      <c r="E2071" s="21" t="s">
        <v>1999</v>
      </c>
      <c r="F2071" s="27" t="str">
        <f>Tabela12[[#This Row],[Régua]]&amp;" ("&amp;Tabela12[[#This Row],[Born]]&amp;")"</f>
        <v>X993 (102.1D)</v>
      </c>
      <c r="G2071" s="27">
        <f>LEN(Tabela12[[#This Row],[Anilha]])</f>
        <v>13</v>
      </c>
      <c r="H2071" s="21">
        <f>VLOOKUP(Tabela12[[#This Row],[Tag Cabo]],BD!A:F,6,0)</f>
        <v>1</v>
      </c>
      <c r="I2071" s="27" t="s">
        <v>1705</v>
      </c>
      <c r="J2071" s="27" t="s">
        <v>1706</v>
      </c>
    </row>
    <row r="2072" spans="1:10" x14ac:dyDescent="0.25">
      <c r="A2072" s="21" t="s">
        <v>656</v>
      </c>
      <c r="B2072" s="391" t="str">
        <f>VLOOKUP(Tabela12[[#This Row],[Painel]],Tabela13[],2,0)</f>
        <v>CCP</v>
      </c>
      <c r="C2072" s="391" t="s">
        <v>1648</v>
      </c>
      <c r="D2072" s="21" t="s">
        <v>2000</v>
      </c>
      <c r="E2072" s="21">
        <v>1</v>
      </c>
      <c r="F2072" s="27" t="str">
        <f>Tabela12[[#This Row],[Régua]]&amp;" ("&amp;Tabela12[[#This Row],[Born]]&amp;")"</f>
        <v>TB-07 (1)</v>
      </c>
      <c r="G2072" s="27">
        <f>LEN(Tabela12[[#This Row],[Anilha]])</f>
        <v>9</v>
      </c>
      <c r="H2072" s="21">
        <f>VLOOKUP(Tabela12[[#This Row],[Tag Cabo]],BD!A:F,6,0)</f>
        <v>1</v>
      </c>
      <c r="I2072" s="27" t="s">
        <v>1705</v>
      </c>
      <c r="J2072" s="27" t="s">
        <v>1706</v>
      </c>
    </row>
    <row r="2073" spans="1:10" x14ac:dyDescent="0.25">
      <c r="A2073" s="21" t="s">
        <v>656</v>
      </c>
      <c r="B2073" s="391" t="str">
        <f>VLOOKUP(Tabela12[[#This Row],[Painel]],Tabela13[],2,0)</f>
        <v>CCP</v>
      </c>
      <c r="C2073" s="391" t="s">
        <v>1648</v>
      </c>
      <c r="D2073" s="21" t="s">
        <v>2000</v>
      </c>
      <c r="E2073" s="21">
        <v>2</v>
      </c>
      <c r="F2073" s="27" t="str">
        <f>Tabela12[[#This Row],[Régua]]&amp;" ("&amp;Tabela12[[#This Row],[Born]]&amp;")"</f>
        <v>TB-07 (2)</v>
      </c>
      <c r="G2073" s="27">
        <f>LEN(Tabela12[[#This Row],[Anilha]])</f>
        <v>9</v>
      </c>
      <c r="H2073" s="21">
        <f>VLOOKUP(Tabela12[[#This Row],[Tag Cabo]],BD!A:F,6,0)</f>
        <v>1</v>
      </c>
      <c r="I2073" s="27" t="s">
        <v>1705</v>
      </c>
      <c r="J2073" s="27" t="s">
        <v>1706</v>
      </c>
    </row>
    <row r="2074" spans="1:10" x14ac:dyDescent="0.25">
      <c r="A2074" s="21" t="s">
        <v>656</v>
      </c>
      <c r="B2074" s="391" t="str">
        <f>VLOOKUP(Tabela12[[#This Row],[Painel]],Tabela13[],2,0)</f>
        <v>CCP</v>
      </c>
      <c r="C2074" s="391" t="s">
        <v>1648</v>
      </c>
      <c r="D2074" s="21" t="s">
        <v>2000</v>
      </c>
      <c r="E2074" s="21">
        <v>3</v>
      </c>
      <c r="F2074" s="27" t="str">
        <f>Tabela12[[#This Row],[Régua]]&amp;" ("&amp;Tabela12[[#This Row],[Born]]&amp;")"</f>
        <v>TB-07 (3)</v>
      </c>
      <c r="G2074" s="27">
        <f>LEN(Tabela12[[#This Row],[Anilha]])</f>
        <v>9</v>
      </c>
      <c r="H2074" s="21">
        <f>VLOOKUP(Tabela12[[#This Row],[Tag Cabo]],BD!A:F,6,0)</f>
        <v>1</v>
      </c>
      <c r="I2074" s="27" t="s">
        <v>1705</v>
      </c>
      <c r="J2074" s="27" t="s">
        <v>1706</v>
      </c>
    </row>
    <row r="2075" spans="1:10" x14ac:dyDescent="0.25">
      <c r="A2075" s="21" t="s">
        <v>656</v>
      </c>
      <c r="B2075" s="391" t="str">
        <f>VLOOKUP(Tabela12[[#This Row],[Painel]],Tabela13[],2,0)</f>
        <v>CCP</v>
      </c>
      <c r="C2075" s="391" t="s">
        <v>1648</v>
      </c>
      <c r="D2075" s="21" t="s">
        <v>2000</v>
      </c>
      <c r="E2075" s="21">
        <v>4</v>
      </c>
      <c r="F2075" s="27" t="str">
        <f>Tabela12[[#This Row],[Régua]]&amp;" ("&amp;Tabela12[[#This Row],[Born]]&amp;")"</f>
        <v>TB-07 (4)</v>
      </c>
      <c r="G2075" s="27">
        <f>LEN(Tabela12[[#This Row],[Anilha]])</f>
        <v>9</v>
      </c>
      <c r="H2075" s="21">
        <f>VLOOKUP(Tabela12[[#This Row],[Tag Cabo]],BD!A:F,6,0)</f>
        <v>1</v>
      </c>
      <c r="I2075" s="27" t="s">
        <v>1705</v>
      </c>
      <c r="J2075" s="27" t="s">
        <v>1706</v>
      </c>
    </row>
    <row r="2076" spans="1:10" x14ac:dyDescent="0.25">
      <c r="A2076" s="21" t="s">
        <v>656</v>
      </c>
      <c r="B2076" s="391" t="str">
        <f>VLOOKUP(Tabela12[[#This Row],[Painel]],Tabela13[],2,0)</f>
        <v>CCP</v>
      </c>
      <c r="C2076" s="391" t="s">
        <v>1648</v>
      </c>
      <c r="D2076" s="21" t="s">
        <v>2000</v>
      </c>
      <c r="E2076" s="21">
        <v>5</v>
      </c>
      <c r="F2076" s="27" t="str">
        <f>Tabela12[[#This Row],[Régua]]&amp;" ("&amp;Tabela12[[#This Row],[Born]]&amp;")"</f>
        <v>TB-07 (5)</v>
      </c>
      <c r="G2076" s="27">
        <f>LEN(Tabela12[[#This Row],[Anilha]])</f>
        <v>9</v>
      </c>
      <c r="H2076" s="21">
        <f>VLOOKUP(Tabela12[[#This Row],[Tag Cabo]],BD!A:F,6,0)</f>
        <v>1</v>
      </c>
      <c r="I2076" s="27" t="s">
        <v>1705</v>
      </c>
      <c r="J2076" s="27" t="s">
        <v>1706</v>
      </c>
    </row>
    <row r="2077" spans="1:10" x14ac:dyDescent="0.25">
      <c r="A2077" s="21" t="s">
        <v>656</v>
      </c>
      <c r="B2077" s="391" t="str">
        <f>VLOOKUP(Tabela12[[#This Row],[Painel]],Tabela13[],2,0)</f>
        <v>CCP</v>
      </c>
      <c r="C2077" s="391" t="s">
        <v>1648</v>
      </c>
      <c r="D2077" s="21" t="s">
        <v>2000</v>
      </c>
      <c r="E2077" s="21">
        <v>6</v>
      </c>
      <c r="F2077" s="27" t="str">
        <f>Tabela12[[#This Row],[Régua]]&amp;" ("&amp;Tabela12[[#This Row],[Born]]&amp;")"</f>
        <v>TB-07 (6)</v>
      </c>
      <c r="G2077" s="27">
        <f>LEN(Tabela12[[#This Row],[Anilha]])</f>
        <v>9</v>
      </c>
      <c r="H2077" s="21">
        <f>VLOOKUP(Tabela12[[#This Row],[Tag Cabo]],BD!A:F,6,0)</f>
        <v>1</v>
      </c>
      <c r="I2077" s="27" t="s">
        <v>1705</v>
      </c>
      <c r="J2077" s="27" t="s">
        <v>1706</v>
      </c>
    </row>
    <row r="2078" spans="1:10" x14ac:dyDescent="0.25">
      <c r="A2078" s="21" t="s">
        <v>656</v>
      </c>
      <c r="B2078" s="391" t="str">
        <f>VLOOKUP(Tabela12[[#This Row],[Painel]],Tabela13[],2,0)</f>
        <v>CCP</v>
      </c>
      <c r="C2078" s="391" t="s">
        <v>1648</v>
      </c>
      <c r="D2078" s="21" t="s">
        <v>2000</v>
      </c>
      <c r="E2078" s="21">
        <v>7</v>
      </c>
      <c r="F2078" s="27" t="str">
        <f>Tabela12[[#This Row],[Régua]]&amp;" ("&amp;Tabela12[[#This Row],[Born]]&amp;")"</f>
        <v>TB-07 (7)</v>
      </c>
      <c r="G2078" s="27">
        <f>LEN(Tabela12[[#This Row],[Anilha]])</f>
        <v>9</v>
      </c>
      <c r="H2078" s="21">
        <f>VLOOKUP(Tabela12[[#This Row],[Tag Cabo]],BD!A:F,6,0)</f>
        <v>1</v>
      </c>
      <c r="I2078" s="27" t="s">
        <v>1705</v>
      </c>
      <c r="J2078" s="27" t="s">
        <v>1706</v>
      </c>
    </row>
    <row r="2079" spans="1:10" x14ac:dyDescent="0.25">
      <c r="A2079" s="21" t="s">
        <v>656</v>
      </c>
      <c r="B2079" s="391" t="str">
        <f>VLOOKUP(Tabela12[[#This Row],[Painel]],Tabela13[],2,0)</f>
        <v>CCP</v>
      </c>
      <c r="C2079" s="391" t="s">
        <v>1648</v>
      </c>
      <c r="D2079" s="21" t="s">
        <v>2000</v>
      </c>
      <c r="E2079" s="21">
        <v>8</v>
      </c>
      <c r="F2079" s="27" t="str">
        <f>Tabela12[[#This Row],[Régua]]&amp;" ("&amp;Tabela12[[#This Row],[Born]]&amp;")"</f>
        <v>TB-07 (8)</v>
      </c>
      <c r="G2079" s="27">
        <f>LEN(Tabela12[[#This Row],[Anilha]])</f>
        <v>9</v>
      </c>
      <c r="H2079" s="21">
        <f>VLOOKUP(Tabela12[[#This Row],[Tag Cabo]],BD!A:F,6,0)</f>
        <v>1</v>
      </c>
      <c r="I2079" s="27" t="s">
        <v>1705</v>
      </c>
      <c r="J2079" s="27" t="s">
        <v>1706</v>
      </c>
    </row>
    <row r="2080" spans="1:10" x14ac:dyDescent="0.25">
      <c r="A2080" s="21" t="s">
        <v>656</v>
      </c>
      <c r="B2080" s="391" t="str">
        <f>VLOOKUP(Tabela12[[#This Row],[Painel]],Tabela13[],2,0)</f>
        <v>CCP</v>
      </c>
      <c r="C2080" s="391" t="s">
        <v>1648</v>
      </c>
      <c r="D2080" s="21" t="s">
        <v>2000</v>
      </c>
      <c r="E2080" s="21">
        <v>9</v>
      </c>
      <c r="F2080" s="27" t="str">
        <f>Tabela12[[#This Row],[Régua]]&amp;" ("&amp;Tabela12[[#This Row],[Born]]&amp;")"</f>
        <v>TB-07 (9)</v>
      </c>
      <c r="G2080" s="27">
        <f>LEN(Tabela12[[#This Row],[Anilha]])</f>
        <v>9</v>
      </c>
      <c r="H2080" s="21">
        <f>VLOOKUP(Tabela12[[#This Row],[Tag Cabo]],BD!A:F,6,0)</f>
        <v>1</v>
      </c>
      <c r="I2080" s="27" t="s">
        <v>1705</v>
      </c>
      <c r="J2080" s="27" t="s">
        <v>1706</v>
      </c>
    </row>
    <row r="2081" spans="1:10" x14ac:dyDescent="0.25">
      <c r="A2081" s="21" t="s">
        <v>656</v>
      </c>
      <c r="B2081" s="391" t="str">
        <f>VLOOKUP(Tabela12[[#This Row],[Painel]],Tabela13[],2,0)</f>
        <v>CCP</v>
      </c>
      <c r="C2081" s="391" t="s">
        <v>1648</v>
      </c>
      <c r="D2081" s="21" t="s">
        <v>2000</v>
      </c>
      <c r="E2081" s="21">
        <v>10</v>
      </c>
      <c r="F2081" s="27" t="str">
        <f>Tabela12[[#This Row],[Régua]]&amp;" ("&amp;Tabela12[[#This Row],[Born]]&amp;")"</f>
        <v>TB-07 (10)</v>
      </c>
      <c r="G2081" s="27">
        <f>LEN(Tabela12[[#This Row],[Anilha]])</f>
        <v>10</v>
      </c>
      <c r="H2081" s="21">
        <f>VLOOKUP(Tabela12[[#This Row],[Tag Cabo]],BD!A:F,6,0)</f>
        <v>1</v>
      </c>
      <c r="I2081" s="27" t="s">
        <v>1705</v>
      </c>
      <c r="J2081" s="27" t="s">
        <v>1706</v>
      </c>
    </row>
    <row r="2082" spans="1:10" x14ac:dyDescent="0.25">
      <c r="A2082" s="21" t="s">
        <v>656</v>
      </c>
      <c r="B2082" s="391" t="str">
        <f>VLOOKUP(Tabela12[[#This Row],[Painel]],Tabela13[],2,0)</f>
        <v>CCP</v>
      </c>
      <c r="C2082" s="391" t="s">
        <v>1648</v>
      </c>
      <c r="D2082" s="21" t="s">
        <v>2000</v>
      </c>
      <c r="E2082" s="21">
        <v>11</v>
      </c>
      <c r="F2082" s="27" t="str">
        <f>Tabela12[[#This Row],[Régua]]&amp;" ("&amp;Tabela12[[#This Row],[Born]]&amp;")"</f>
        <v>TB-07 (11)</v>
      </c>
      <c r="G2082" s="27">
        <f>LEN(Tabela12[[#This Row],[Anilha]])</f>
        <v>10</v>
      </c>
      <c r="H2082" s="21">
        <f>VLOOKUP(Tabela12[[#This Row],[Tag Cabo]],BD!A:F,6,0)</f>
        <v>1</v>
      </c>
      <c r="I2082" s="27" t="s">
        <v>1705</v>
      </c>
      <c r="J2082" s="27" t="s">
        <v>1706</v>
      </c>
    </row>
    <row r="2083" spans="1:10" x14ac:dyDescent="0.25">
      <c r="A2083" s="21" t="s">
        <v>656</v>
      </c>
      <c r="B2083" s="391" t="str">
        <f>VLOOKUP(Tabela12[[#This Row],[Painel]],Tabela13[],2,0)</f>
        <v>CCP</v>
      </c>
      <c r="C2083" s="391" t="s">
        <v>1648</v>
      </c>
      <c r="D2083" s="21" t="s">
        <v>2000</v>
      </c>
      <c r="E2083" s="21">
        <v>12</v>
      </c>
      <c r="F2083" s="27" t="str">
        <f>Tabela12[[#This Row],[Régua]]&amp;" ("&amp;Tabela12[[#This Row],[Born]]&amp;")"</f>
        <v>TB-07 (12)</v>
      </c>
      <c r="G2083" s="27">
        <f>LEN(Tabela12[[#This Row],[Anilha]])</f>
        <v>10</v>
      </c>
      <c r="H2083" s="21">
        <f>VLOOKUP(Tabela12[[#This Row],[Tag Cabo]],BD!A:F,6,0)</f>
        <v>1</v>
      </c>
      <c r="I2083" s="27" t="s">
        <v>1705</v>
      </c>
      <c r="J2083" s="27" t="s">
        <v>1706</v>
      </c>
    </row>
    <row r="2084" spans="1:10" x14ac:dyDescent="0.25">
      <c r="A2084" s="21" t="s">
        <v>656</v>
      </c>
      <c r="B2084" s="391" t="str">
        <f>VLOOKUP(Tabela12[[#This Row],[Painel]],Tabela13[],2,0)</f>
        <v>CCP</v>
      </c>
      <c r="C2084" s="391" t="s">
        <v>1648</v>
      </c>
      <c r="D2084" s="21" t="s">
        <v>2000</v>
      </c>
      <c r="E2084" s="21">
        <v>13</v>
      </c>
      <c r="F2084" s="27" t="str">
        <f>Tabela12[[#This Row],[Régua]]&amp;" ("&amp;Tabela12[[#This Row],[Born]]&amp;")"</f>
        <v>TB-07 (13)</v>
      </c>
      <c r="G2084" s="27">
        <f>LEN(Tabela12[[#This Row],[Anilha]])</f>
        <v>10</v>
      </c>
      <c r="H2084" s="21">
        <f>VLOOKUP(Tabela12[[#This Row],[Tag Cabo]],BD!A:F,6,0)</f>
        <v>1</v>
      </c>
      <c r="I2084" s="27" t="s">
        <v>1705</v>
      </c>
      <c r="J2084" s="27" t="s">
        <v>1706</v>
      </c>
    </row>
    <row r="2085" spans="1:10" x14ac:dyDescent="0.25">
      <c r="A2085" s="21" t="s">
        <v>656</v>
      </c>
      <c r="B2085" s="391" t="str">
        <f>VLOOKUP(Tabela12[[#This Row],[Painel]],Tabela13[],2,0)</f>
        <v>CCP</v>
      </c>
      <c r="C2085" s="391" t="s">
        <v>1648</v>
      </c>
      <c r="D2085" s="21" t="s">
        <v>2000</v>
      </c>
      <c r="E2085" s="21">
        <v>14</v>
      </c>
      <c r="F2085" s="27" t="str">
        <f>Tabela12[[#This Row],[Régua]]&amp;" ("&amp;Tabela12[[#This Row],[Born]]&amp;")"</f>
        <v>TB-07 (14)</v>
      </c>
      <c r="G2085" s="27">
        <f>LEN(Tabela12[[#This Row],[Anilha]])</f>
        <v>10</v>
      </c>
      <c r="H2085" s="21">
        <f>VLOOKUP(Tabela12[[#This Row],[Tag Cabo]],BD!A:F,6,0)</f>
        <v>1</v>
      </c>
      <c r="I2085" s="27" t="s">
        <v>1705</v>
      </c>
      <c r="J2085" s="27" t="s">
        <v>1706</v>
      </c>
    </row>
    <row r="2086" spans="1:10" x14ac:dyDescent="0.25">
      <c r="A2086" s="21" t="s">
        <v>656</v>
      </c>
      <c r="B2086" s="391" t="str">
        <f>VLOOKUP(Tabela12[[#This Row],[Painel]],Tabela13[],2,0)</f>
        <v>CCP</v>
      </c>
      <c r="C2086" s="391" t="s">
        <v>1648</v>
      </c>
      <c r="D2086" s="21" t="s">
        <v>2000</v>
      </c>
      <c r="E2086" s="21">
        <v>15</v>
      </c>
      <c r="F2086" s="27" t="str">
        <f>Tabela12[[#This Row],[Régua]]&amp;" ("&amp;Tabela12[[#This Row],[Born]]&amp;")"</f>
        <v>TB-07 (15)</v>
      </c>
      <c r="G2086" s="27">
        <f>LEN(Tabela12[[#This Row],[Anilha]])</f>
        <v>10</v>
      </c>
      <c r="H2086" s="21">
        <f>VLOOKUP(Tabela12[[#This Row],[Tag Cabo]],BD!A:F,6,0)</f>
        <v>1</v>
      </c>
      <c r="I2086" s="27" t="s">
        <v>1705</v>
      </c>
      <c r="J2086" s="27" t="s">
        <v>1706</v>
      </c>
    </row>
    <row r="2087" spans="1:10" x14ac:dyDescent="0.25">
      <c r="A2087" s="21" t="s">
        <v>656</v>
      </c>
      <c r="B2087" s="391" t="str">
        <f>VLOOKUP(Tabela12[[#This Row],[Painel]],Tabela13[],2,0)</f>
        <v>CCP</v>
      </c>
      <c r="C2087" s="391" t="s">
        <v>1648</v>
      </c>
      <c r="D2087" s="21" t="s">
        <v>2000</v>
      </c>
      <c r="E2087" s="21">
        <v>16</v>
      </c>
      <c r="F2087" s="27" t="str">
        <f>Tabela12[[#This Row],[Régua]]&amp;" ("&amp;Tabela12[[#This Row],[Born]]&amp;")"</f>
        <v>TB-07 (16)</v>
      </c>
      <c r="G2087" s="27">
        <f>LEN(Tabela12[[#This Row],[Anilha]])</f>
        <v>10</v>
      </c>
      <c r="H2087" s="21">
        <f>VLOOKUP(Tabela12[[#This Row],[Tag Cabo]],BD!A:F,6,0)</f>
        <v>1</v>
      </c>
      <c r="I2087" s="27" t="s">
        <v>1705</v>
      </c>
      <c r="J2087" s="27" t="s">
        <v>1706</v>
      </c>
    </row>
    <row r="2088" spans="1:10" x14ac:dyDescent="0.25">
      <c r="A2088" s="21" t="s">
        <v>662</v>
      </c>
      <c r="B2088" s="391" t="str">
        <f>VLOOKUP(Tabela12[[#This Row],[Painel]],Tabela13[],2,0)</f>
        <v>7HV</v>
      </c>
      <c r="C2088" s="391" t="s">
        <v>1590</v>
      </c>
      <c r="D2088" s="21" t="s">
        <v>1985</v>
      </c>
      <c r="E2088" s="21" t="s">
        <v>2001</v>
      </c>
      <c r="F2088" s="27" t="str">
        <f>Tabela12[[#This Row],[Régua]]&amp;" ("&amp;Tabela12[[#This Row],[Born]]&amp;")"</f>
        <v>X993 (401.1/A)</v>
      </c>
      <c r="G2088" s="27">
        <f>LEN(Tabela12[[#This Row],[Anilha]])</f>
        <v>14</v>
      </c>
      <c r="H2088" s="21">
        <f>VLOOKUP(Tabela12[[#This Row],[Tag Cabo]],BD!A:F,6,0)</f>
        <v>1</v>
      </c>
      <c r="I2088" s="27" t="s">
        <v>1705</v>
      </c>
      <c r="J2088" s="27" t="s">
        <v>1706</v>
      </c>
    </row>
    <row r="2089" spans="1:10" x14ac:dyDescent="0.25">
      <c r="A2089" s="21" t="s">
        <v>662</v>
      </c>
      <c r="B2089" s="391" t="str">
        <f>VLOOKUP(Tabela12[[#This Row],[Painel]],Tabela13[],2,0)</f>
        <v>7HV</v>
      </c>
      <c r="C2089" s="391" t="s">
        <v>1590</v>
      </c>
      <c r="D2089" s="21" t="s">
        <v>1985</v>
      </c>
      <c r="E2089" s="21" t="s">
        <v>2002</v>
      </c>
      <c r="F2089" s="27" t="str">
        <f>Tabela12[[#This Row],[Régua]]&amp;" ("&amp;Tabela12[[#This Row],[Born]]&amp;")"</f>
        <v>X993 (401.1/B)</v>
      </c>
      <c r="G2089" s="27">
        <f>LEN(Tabela12[[#This Row],[Anilha]])</f>
        <v>14</v>
      </c>
      <c r="H2089" s="21">
        <f>VLOOKUP(Tabela12[[#This Row],[Tag Cabo]],BD!A:F,6,0)</f>
        <v>1</v>
      </c>
      <c r="I2089" s="27" t="s">
        <v>1705</v>
      </c>
      <c r="J2089" s="27" t="s">
        <v>1706</v>
      </c>
    </row>
    <row r="2090" spans="1:10" x14ac:dyDescent="0.25">
      <c r="A2090" s="21" t="s">
        <v>662</v>
      </c>
      <c r="B2090" s="391" t="str">
        <f>VLOOKUP(Tabela12[[#This Row],[Painel]],Tabela13[],2,0)</f>
        <v>7HV</v>
      </c>
      <c r="C2090" s="391" t="s">
        <v>1590</v>
      </c>
      <c r="D2090" s="21" t="s">
        <v>1985</v>
      </c>
      <c r="E2090" s="21" t="s">
        <v>2003</v>
      </c>
      <c r="F2090" s="27" t="str">
        <f>Tabela12[[#This Row],[Régua]]&amp;" ("&amp;Tabela12[[#This Row],[Born]]&amp;")"</f>
        <v>X993 (401.2/A)</v>
      </c>
      <c r="G2090" s="27">
        <f>LEN(Tabela12[[#This Row],[Anilha]])</f>
        <v>14</v>
      </c>
      <c r="H2090" s="21">
        <f>VLOOKUP(Tabela12[[#This Row],[Tag Cabo]],BD!A:F,6,0)</f>
        <v>1</v>
      </c>
      <c r="I2090" s="27" t="s">
        <v>1705</v>
      </c>
      <c r="J2090" s="27" t="s">
        <v>1706</v>
      </c>
    </row>
    <row r="2091" spans="1:10" x14ac:dyDescent="0.25">
      <c r="A2091" s="21" t="s">
        <v>662</v>
      </c>
      <c r="B2091" s="391" t="str">
        <f>VLOOKUP(Tabela12[[#This Row],[Painel]],Tabela13[],2,0)</f>
        <v>7HV</v>
      </c>
      <c r="C2091" s="391" t="s">
        <v>1590</v>
      </c>
      <c r="D2091" s="21" t="s">
        <v>1985</v>
      </c>
      <c r="E2091" s="21" t="s">
        <v>2004</v>
      </c>
      <c r="F2091" s="27" t="str">
        <f>Tabela12[[#This Row],[Régua]]&amp;" ("&amp;Tabela12[[#This Row],[Born]]&amp;")"</f>
        <v>X993 (401.2/B)</v>
      </c>
      <c r="G2091" s="27">
        <f>LEN(Tabela12[[#This Row],[Anilha]])</f>
        <v>14</v>
      </c>
      <c r="H2091" s="21">
        <f>VLOOKUP(Tabela12[[#This Row],[Tag Cabo]],BD!A:F,6,0)</f>
        <v>1</v>
      </c>
      <c r="I2091" s="27" t="s">
        <v>1705</v>
      </c>
      <c r="J2091" s="27" t="s">
        <v>1706</v>
      </c>
    </row>
    <row r="2092" spans="1:10" x14ac:dyDescent="0.25">
      <c r="A2092" s="21" t="s">
        <v>662</v>
      </c>
      <c r="B2092" s="391" t="str">
        <f>VLOOKUP(Tabela12[[#This Row],[Painel]],Tabela13[],2,0)</f>
        <v>CCP</v>
      </c>
      <c r="C2092" s="391" t="s">
        <v>1648</v>
      </c>
      <c r="D2092" s="21" t="s">
        <v>1953</v>
      </c>
      <c r="E2092" s="21">
        <v>1</v>
      </c>
      <c r="F2092" s="27" t="str">
        <f>Tabela12[[#This Row],[Régua]]&amp;" ("&amp;Tabela12[[#This Row],[Born]]&amp;")"</f>
        <v>TB-08 (1)</v>
      </c>
      <c r="G2092" s="27">
        <f>LEN(Tabela12[[#This Row],[Anilha]])</f>
        <v>9</v>
      </c>
      <c r="H2092" s="21">
        <f>VLOOKUP(Tabela12[[#This Row],[Tag Cabo]],BD!A:F,6,0)</f>
        <v>1</v>
      </c>
      <c r="I2092" s="27" t="s">
        <v>1705</v>
      </c>
      <c r="J2092" s="27" t="s">
        <v>1706</v>
      </c>
    </row>
    <row r="2093" spans="1:10" x14ac:dyDescent="0.25">
      <c r="A2093" s="21" t="s">
        <v>662</v>
      </c>
      <c r="B2093" s="391" t="str">
        <f>VLOOKUP(Tabela12[[#This Row],[Painel]],Tabela13[],2,0)</f>
        <v>CCP</v>
      </c>
      <c r="C2093" s="391" t="s">
        <v>1648</v>
      </c>
      <c r="D2093" s="21" t="s">
        <v>1953</v>
      </c>
      <c r="E2093" s="21">
        <v>2</v>
      </c>
      <c r="F2093" s="27" t="str">
        <f>Tabela12[[#This Row],[Régua]]&amp;" ("&amp;Tabela12[[#This Row],[Born]]&amp;")"</f>
        <v>TB-08 (2)</v>
      </c>
      <c r="G2093" s="27">
        <f>LEN(Tabela12[[#This Row],[Anilha]])</f>
        <v>9</v>
      </c>
      <c r="H2093" s="21">
        <f>VLOOKUP(Tabela12[[#This Row],[Tag Cabo]],BD!A:F,6,0)</f>
        <v>1</v>
      </c>
      <c r="I2093" s="27" t="s">
        <v>1705</v>
      </c>
      <c r="J2093" s="27" t="s">
        <v>1706</v>
      </c>
    </row>
    <row r="2094" spans="1:10" x14ac:dyDescent="0.25">
      <c r="A2094" s="21" t="s">
        <v>662</v>
      </c>
      <c r="B2094" s="391" t="str">
        <f>VLOOKUP(Tabela12[[#This Row],[Painel]],Tabela13[],2,0)</f>
        <v>CCP</v>
      </c>
      <c r="C2094" s="391" t="s">
        <v>1648</v>
      </c>
      <c r="D2094" s="21" t="s">
        <v>1953</v>
      </c>
      <c r="E2094" s="21">
        <v>4</v>
      </c>
      <c r="F2094" s="27" t="str">
        <f>Tabela12[[#This Row],[Régua]]&amp;" ("&amp;Tabela12[[#This Row],[Born]]&amp;")"</f>
        <v>TB-08 (4)</v>
      </c>
      <c r="G2094" s="27">
        <f>LEN(Tabela12[[#This Row],[Anilha]])</f>
        <v>9</v>
      </c>
      <c r="H2094" s="21">
        <f>VLOOKUP(Tabela12[[#This Row],[Tag Cabo]],BD!A:F,6,0)</f>
        <v>1</v>
      </c>
      <c r="I2094" s="27" t="s">
        <v>1705</v>
      </c>
      <c r="J2094" s="27" t="s">
        <v>1706</v>
      </c>
    </row>
    <row r="2095" spans="1:10" x14ac:dyDescent="0.25">
      <c r="A2095" s="21" t="s">
        <v>662</v>
      </c>
      <c r="B2095" s="391" t="str">
        <f>VLOOKUP(Tabela12[[#This Row],[Painel]],Tabela13[],2,0)</f>
        <v>CCP</v>
      </c>
      <c r="C2095" s="391" t="s">
        <v>1648</v>
      </c>
      <c r="D2095" s="21" t="s">
        <v>1953</v>
      </c>
      <c r="E2095" s="21">
        <v>5</v>
      </c>
      <c r="F2095" s="27" t="str">
        <f>Tabela12[[#This Row],[Régua]]&amp;" ("&amp;Tabela12[[#This Row],[Born]]&amp;")"</f>
        <v>TB-08 (5)</v>
      </c>
      <c r="G2095" s="27">
        <f>LEN(Tabela12[[#This Row],[Anilha]])</f>
        <v>9</v>
      </c>
      <c r="H2095" s="21">
        <f>VLOOKUP(Tabela12[[#This Row],[Tag Cabo]],BD!A:F,6,0)</f>
        <v>1</v>
      </c>
      <c r="I2095" s="27" t="s">
        <v>1705</v>
      </c>
      <c r="J2095" s="27" t="s">
        <v>1706</v>
      </c>
    </row>
    <row r="2096" spans="1:10" x14ac:dyDescent="0.25">
      <c r="A2096" s="21" t="s">
        <v>664</v>
      </c>
      <c r="B2096" s="391" t="str">
        <f>VLOOKUP(Tabela12[[#This Row],[Painel]],Tabela13[],2,0)</f>
        <v>CCP</v>
      </c>
      <c r="C2096" s="391" t="s">
        <v>1648</v>
      </c>
      <c r="D2096" s="21" t="s">
        <v>1985</v>
      </c>
      <c r="E2096" s="21" t="s">
        <v>2005</v>
      </c>
      <c r="F2096" s="27" t="str">
        <f>Tabela12[[#This Row],[Régua]]&amp;" ("&amp;Tabela12[[#This Row],[Born]]&amp;")"</f>
        <v>X993 (301/A)</v>
      </c>
      <c r="G2096" s="27">
        <f>LEN(Tabela12[[#This Row],[Anilha]])</f>
        <v>12</v>
      </c>
      <c r="H2096" s="21">
        <f>VLOOKUP(Tabela12[[#This Row],[Tag Cabo]],BD!A:F,6,0)</f>
        <v>1</v>
      </c>
      <c r="I2096" s="27" t="s">
        <v>1705</v>
      </c>
      <c r="J2096" s="27" t="s">
        <v>1706</v>
      </c>
    </row>
    <row r="2097" spans="1:10" x14ac:dyDescent="0.25">
      <c r="A2097" s="21" t="s">
        <v>664</v>
      </c>
      <c r="B2097" s="391" t="str">
        <f>VLOOKUP(Tabela12[[#This Row],[Painel]],Tabela13[],2,0)</f>
        <v>CCP</v>
      </c>
      <c r="C2097" s="391" t="s">
        <v>1648</v>
      </c>
      <c r="D2097" s="21" t="s">
        <v>1985</v>
      </c>
      <c r="E2097" s="21" t="s">
        <v>2006</v>
      </c>
      <c r="F2097" s="27" t="str">
        <f>Tabela12[[#This Row],[Régua]]&amp;" ("&amp;Tabela12[[#This Row],[Born]]&amp;")"</f>
        <v>X993 (301/B)</v>
      </c>
      <c r="G2097" s="27">
        <f>LEN(Tabela12[[#This Row],[Anilha]])</f>
        <v>12</v>
      </c>
      <c r="H2097" s="21">
        <f>VLOOKUP(Tabela12[[#This Row],[Tag Cabo]],BD!A:F,6,0)</f>
        <v>1</v>
      </c>
      <c r="I2097" s="27" t="s">
        <v>1705</v>
      </c>
      <c r="J2097" s="27" t="s">
        <v>1706</v>
      </c>
    </row>
    <row r="2098" spans="1:10" x14ac:dyDescent="0.25">
      <c r="A2098" s="21" t="s">
        <v>664</v>
      </c>
      <c r="B2098" s="391" t="str">
        <f>VLOOKUP(Tabela12[[#This Row],[Painel]],Tabela13[],2,0)</f>
        <v>CCP</v>
      </c>
      <c r="C2098" s="391" t="s">
        <v>1648</v>
      </c>
      <c r="D2098" s="21" t="s">
        <v>1985</v>
      </c>
      <c r="E2098" s="21" t="s">
        <v>2007</v>
      </c>
      <c r="F2098" s="27" t="str">
        <f>Tabela12[[#This Row],[Régua]]&amp;" ("&amp;Tabela12[[#This Row],[Born]]&amp;")"</f>
        <v>X993 (301/C)</v>
      </c>
      <c r="G2098" s="27">
        <f>LEN(Tabela12[[#This Row],[Anilha]])</f>
        <v>12</v>
      </c>
      <c r="H2098" s="21">
        <f>VLOOKUP(Tabela12[[#This Row],[Tag Cabo]],BD!A:F,6,0)</f>
        <v>1</v>
      </c>
      <c r="I2098" s="27" t="s">
        <v>1705</v>
      </c>
      <c r="J2098" s="27" t="s">
        <v>1706</v>
      </c>
    </row>
    <row r="2099" spans="1:10" x14ac:dyDescent="0.25">
      <c r="A2099" s="21" t="s">
        <v>664</v>
      </c>
      <c r="B2099" s="391" t="str">
        <f>VLOOKUP(Tabela12[[#This Row],[Painel]],Tabela13[],2,0)</f>
        <v>CCP</v>
      </c>
      <c r="C2099" s="391" t="s">
        <v>1648</v>
      </c>
      <c r="D2099" s="21" t="s">
        <v>1985</v>
      </c>
      <c r="E2099" s="21" t="s">
        <v>2008</v>
      </c>
      <c r="F2099" s="27" t="str">
        <f>Tabela12[[#This Row],[Régua]]&amp;" ("&amp;Tabela12[[#This Row],[Born]]&amp;")"</f>
        <v>X993 (301/D)</v>
      </c>
      <c r="G2099" s="27">
        <f>LEN(Tabela12[[#This Row],[Anilha]])</f>
        <v>12</v>
      </c>
      <c r="H2099" s="21">
        <f>VLOOKUP(Tabela12[[#This Row],[Tag Cabo]],BD!A:F,6,0)</f>
        <v>1</v>
      </c>
      <c r="I2099" s="27" t="s">
        <v>1705</v>
      </c>
      <c r="J2099" s="27" t="s">
        <v>1706</v>
      </c>
    </row>
    <row r="2100" spans="1:10" x14ac:dyDescent="0.25">
      <c r="A2100" s="21" t="s">
        <v>664</v>
      </c>
      <c r="B2100" s="391" t="str">
        <f>VLOOKUP(Tabela12[[#This Row],[Painel]],Tabela13[],2,0)</f>
        <v>7HV</v>
      </c>
      <c r="C2100" s="391" t="s">
        <v>1590</v>
      </c>
      <c r="D2100" s="21" t="s">
        <v>1953</v>
      </c>
      <c r="E2100" s="21">
        <v>7</v>
      </c>
      <c r="F2100" s="27" t="str">
        <f>Tabela12[[#This Row],[Régua]]&amp;" ("&amp;Tabela12[[#This Row],[Born]]&amp;")"</f>
        <v>TB-08 (7)</v>
      </c>
      <c r="G2100" s="27">
        <f>LEN(Tabela12[[#This Row],[Anilha]])</f>
        <v>9</v>
      </c>
      <c r="H2100" s="21">
        <f>VLOOKUP(Tabela12[[#This Row],[Tag Cabo]],BD!A:F,6,0)</f>
        <v>1</v>
      </c>
      <c r="I2100" s="27" t="s">
        <v>1705</v>
      </c>
      <c r="J2100" s="27" t="s">
        <v>1706</v>
      </c>
    </row>
    <row r="2101" spans="1:10" x14ac:dyDescent="0.25">
      <c r="A2101" s="21" t="s">
        <v>664</v>
      </c>
      <c r="B2101" s="391" t="str">
        <f>VLOOKUP(Tabela12[[#This Row],[Painel]],Tabela13[],2,0)</f>
        <v>7HV</v>
      </c>
      <c r="C2101" s="391" t="s">
        <v>1590</v>
      </c>
      <c r="D2101" s="21" t="s">
        <v>1953</v>
      </c>
      <c r="E2101" s="21">
        <v>8</v>
      </c>
      <c r="F2101" s="27" t="str">
        <f>Tabela12[[#This Row],[Régua]]&amp;" ("&amp;Tabela12[[#This Row],[Born]]&amp;")"</f>
        <v>TB-08 (8)</v>
      </c>
      <c r="G2101" s="27">
        <f>LEN(Tabela12[[#This Row],[Anilha]])</f>
        <v>9</v>
      </c>
      <c r="H2101" s="21">
        <f>VLOOKUP(Tabela12[[#This Row],[Tag Cabo]],BD!A:F,6,0)</f>
        <v>1</v>
      </c>
      <c r="I2101" s="27" t="s">
        <v>1705</v>
      </c>
      <c r="J2101" s="27" t="s">
        <v>1706</v>
      </c>
    </row>
    <row r="2102" spans="1:10" x14ac:dyDescent="0.25">
      <c r="A2102" s="21" t="s">
        <v>664</v>
      </c>
      <c r="B2102" s="391" t="str">
        <f>VLOOKUP(Tabela12[[#This Row],[Painel]],Tabela13[],2,0)</f>
        <v>7HV</v>
      </c>
      <c r="C2102" s="391" t="s">
        <v>1590</v>
      </c>
      <c r="D2102" s="21" t="s">
        <v>1953</v>
      </c>
      <c r="E2102" s="21">
        <v>10</v>
      </c>
      <c r="F2102" s="27" t="str">
        <f>Tabela12[[#This Row],[Régua]]&amp;" ("&amp;Tabela12[[#This Row],[Born]]&amp;")"</f>
        <v>TB-08 (10)</v>
      </c>
      <c r="G2102" s="27">
        <f>LEN(Tabela12[[#This Row],[Anilha]])</f>
        <v>10</v>
      </c>
      <c r="H2102" s="21">
        <f>VLOOKUP(Tabela12[[#This Row],[Tag Cabo]],BD!A:F,6,0)</f>
        <v>1</v>
      </c>
      <c r="I2102" s="27" t="s">
        <v>1705</v>
      </c>
      <c r="J2102" s="27" t="s">
        <v>1706</v>
      </c>
    </row>
    <row r="2103" spans="1:10" x14ac:dyDescent="0.25">
      <c r="A2103" s="21" t="s">
        <v>664</v>
      </c>
      <c r="B2103" s="391" t="str">
        <f>VLOOKUP(Tabela12[[#This Row],[Painel]],Tabela13[],2,0)</f>
        <v>7HV</v>
      </c>
      <c r="C2103" s="391" t="s">
        <v>1590</v>
      </c>
      <c r="D2103" s="21" t="s">
        <v>1953</v>
      </c>
      <c r="E2103" s="21">
        <v>11</v>
      </c>
      <c r="F2103" s="27" t="str">
        <f>Tabela12[[#This Row],[Régua]]&amp;" ("&amp;Tabela12[[#This Row],[Born]]&amp;")"</f>
        <v>TB-08 (11)</v>
      </c>
      <c r="G2103" s="27">
        <f>LEN(Tabela12[[#This Row],[Anilha]])</f>
        <v>10</v>
      </c>
      <c r="H2103" s="21">
        <f>VLOOKUP(Tabela12[[#This Row],[Tag Cabo]],BD!A:F,6,0)</f>
        <v>1</v>
      </c>
      <c r="I2103" s="27" t="s">
        <v>1705</v>
      </c>
      <c r="J2103" s="27" t="s">
        <v>1706</v>
      </c>
    </row>
    <row r="2104" spans="1:10" x14ac:dyDescent="0.25">
      <c r="A2104" s="21" t="s">
        <v>1132</v>
      </c>
      <c r="B2104" s="391" t="str">
        <f>VLOOKUP(Tabela12[[#This Row],[Painel]],Tabela13[],2,0)</f>
        <v>GB-200</v>
      </c>
      <c r="C2104" s="391" t="s">
        <v>1121</v>
      </c>
      <c r="D2104" s="21" t="s">
        <v>1975</v>
      </c>
      <c r="E2104" s="21">
        <v>1</v>
      </c>
      <c r="F2104" s="27" t="str">
        <f>Tabela12[[#This Row],[Régua]]&amp;" ("&amp;Tabela12[[#This Row],[Born]]&amp;")"</f>
        <v>TB3 (1)</v>
      </c>
      <c r="G2104" s="27">
        <f>LEN(Tabela12[[#This Row],[Anilha]])</f>
        <v>7</v>
      </c>
      <c r="H2104" s="21">
        <f>VLOOKUP(Tabela12[[#This Row],[Tag Cabo]],BD!A:F,6,0)</f>
        <v>1</v>
      </c>
      <c r="I2104" s="27" t="s">
        <v>1705</v>
      </c>
      <c r="J2104" s="27" t="s">
        <v>1706</v>
      </c>
    </row>
    <row r="2105" spans="1:10" x14ac:dyDescent="0.25">
      <c r="A2105" s="21" t="s">
        <v>1132</v>
      </c>
      <c r="B2105" s="391" t="str">
        <f>VLOOKUP(Tabela12[[#This Row],[Painel]],Tabela13[],2,0)</f>
        <v>GB-200</v>
      </c>
      <c r="C2105" s="391" t="s">
        <v>1121</v>
      </c>
      <c r="D2105" s="21" t="s">
        <v>1975</v>
      </c>
      <c r="E2105" s="21">
        <v>2</v>
      </c>
      <c r="F2105" s="27" t="str">
        <f>Tabela12[[#This Row],[Régua]]&amp;" ("&amp;Tabela12[[#This Row],[Born]]&amp;")"</f>
        <v>TB3 (2)</v>
      </c>
      <c r="G2105" s="27">
        <f>LEN(Tabela12[[#This Row],[Anilha]])</f>
        <v>7</v>
      </c>
      <c r="H2105" s="21">
        <f>VLOOKUP(Tabela12[[#This Row],[Tag Cabo]],BD!A:F,6,0)</f>
        <v>1</v>
      </c>
      <c r="I2105" s="27" t="s">
        <v>1705</v>
      </c>
      <c r="J2105" s="27" t="s">
        <v>1706</v>
      </c>
    </row>
    <row r="2106" spans="1:10" x14ac:dyDescent="0.25">
      <c r="A2106" s="21" t="s">
        <v>1132</v>
      </c>
      <c r="B2106" s="391" t="str">
        <f>VLOOKUP(Tabela12[[#This Row],[Painel]],Tabela13[],2,0)</f>
        <v>GB-200</v>
      </c>
      <c r="C2106" s="391" t="s">
        <v>1121</v>
      </c>
      <c r="D2106" s="21" t="s">
        <v>1975</v>
      </c>
      <c r="E2106" s="21">
        <v>3</v>
      </c>
      <c r="F2106" s="27" t="str">
        <f>Tabela12[[#This Row],[Régua]]&amp;" ("&amp;Tabela12[[#This Row],[Born]]&amp;")"</f>
        <v>TB3 (3)</v>
      </c>
      <c r="G2106" s="27">
        <f>LEN(Tabela12[[#This Row],[Anilha]])</f>
        <v>7</v>
      </c>
      <c r="H2106" s="21">
        <f>VLOOKUP(Tabela12[[#This Row],[Tag Cabo]],BD!A:F,6,0)</f>
        <v>1</v>
      </c>
      <c r="I2106" s="27" t="s">
        <v>1705</v>
      </c>
      <c r="J2106" s="27" t="s">
        <v>1706</v>
      </c>
    </row>
    <row r="2107" spans="1:10" x14ac:dyDescent="0.25">
      <c r="A2107" s="21" t="s">
        <v>1132</v>
      </c>
      <c r="B2107" s="391" t="str">
        <f>VLOOKUP(Tabela12[[#This Row],[Painel]],Tabela13[],2,0)</f>
        <v>GB-200</v>
      </c>
      <c r="C2107" s="391" t="s">
        <v>1121</v>
      </c>
      <c r="D2107" s="21" t="s">
        <v>1975</v>
      </c>
      <c r="E2107" s="21">
        <v>4</v>
      </c>
      <c r="F2107" s="27" t="str">
        <f>Tabela12[[#This Row],[Régua]]&amp;" ("&amp;Tabela12[[#This Row],[Born]]&amp;")"</f>
        <v>TB3 (4)</v>
      </c>
      <c r="G2107" s="27">
        <f>LEN(Tabela12[[#This Row],[Anilha]])</f>
        <v>7</v>
      </c>
      <c r="H2107" s="21">
        <f>VLOOKUP(Tabela12[[#This Row],[Tag Cabo]],BD!A:F,6,0)</f>
        <v>1</v>
      </c>
      <c r="I2107" s="27" t="s">
        <v>1705</v>
      </c>
      <c r="J2107" s="27" t="s">
        <v>1706</v>
      </c>
    </row>
    <row r="2108" spans="1:10" x14ac:dyDescent="0.25">
      <c r="A2108" s="21" t="s">
        <v>1132</v>
      </c>
      <c r="B2108" s="391" t="str">
        <f>VLOOKUP(Tabela12[[#This Row],[Painel]],Tabela13[],2,0)</f>
        <v>GB-200</v>
      </c>
      <c r="C2108" s="391" t="s">
        <v>1121</v>
      </c>
      <c r="D2108" s="21" t="s">
        <v>1975</v>
      </c>
      <c r="E2108" s="21">
        <v>5</v>
      </c>
      <c r="F2108" s="27" t="str">
        <f>Tabela12[[#This Row],[Régua]]&amp;" ("&amp;Tabela12[[#This Row],[Born]]&amp;")"</f>
        <v>TB3 (5)</v>
      </c>
      <c r="G2108" s="27">
        <f>LEN(Tabela12[[#This Row],[Anilha]])</f>
        <v>7</v>
      </c>
      <c r="H2108" s="21">
        <f>VLOOKUP(Tabela12[[#This Row],[Tag Cabo]],BD!A:F,6,0)</f>
        <v>1</v>
      </c>
      <c r="I2108" s="27" t="s">
        <v>1705</v>
      </c>
      <c r="J2108" s="27" t="s">
        <v>1706</v>
      </c>
    </row>
    <row r="2109" spans="1:10" x14ac:dyDescent="0.25">
      <c r="A2109" s="21" t="s">
        <v>1132</v>
      </c>
      <c r="B2109" s="391" t="str">
        <f>VLOOKUP(Tabela12[[#This Row],[Painel]],Tabela13[],2,0)</f>
        <v>GB-200</v>
      </c>
      <c r="C2109" s="391" t="s">
        <v>1121</v>
      </c>
      <c r="D2109" s="21" t="s">
        <v>1975</v>
      </c>
      <c r="E2109" s="21">
        <v>6</v>
      </c>
      <c r="F2109" s="27" t="str">
        <f>Tabela12[[#This Row],[Régua]]&amp;" ("&amp;Tabela12[[#This Row],[Born]]&amp;")"</f>
        <v>TB3 (6)</v>
      </c>
      <c r="G2109" s="27">
        <f>LEN(Tabela12[[#This Row],[Anilha]])</f>
        <v>7</v>
      </c>
      <c r="H2109" s="21">
        <f>VLOOKUP(Tabela12[[#This Row],[Tag Cabo]],BD!A:F,6,0)</f>
        <v>1</v>
      </c>
      <c r="I2109" s="27" t="s">
        <v>1705</v>
      </c>
      <c r="J2109" s="27" t="s">
        <v>1706</v>
      </c>
    </row>
    <row r="2110" spans="1:10" x14ac:dyDescent="0.25">
      <c r="A2110" s="21" t="s">
        <v>1132</v>
      </c>
      <c r="B2110" s="391" t="str">
        <f>VLOOKUP(Tabela12[[#This Row],[Painel]],Tabela13[],2,0)</f>
        <v>GB-200</v>
      </c>
      <c r="C2110" s="391" t="s">
        <v>1121</v>
      </c>
      <c r="D2110" s="21" t="s">
        <v>1975</v>
      </c>
      <c r="E2110" s="21">
        <v>7</v>
      </c>
      <c r="F2110" s="27" t="str">
        <f>Tabela12[[#This Row],[Régua]]&amp;" ("&amp;Tabela12[[#This Row],[Born]]&amp;")"</f>
        <v>TB3 (7)</v>
      </c>
      <c r="G2110" s="27">
        <f>LEN(Tabela12[[#This Row],[Anilha]])</f>
        <v>7</v>
      </c>
      <c r="H2110" s="21">
        <f>VLOOKUP(Tabela12[[#This Row],[Tag Cabo]],BD!A:F,6,0)</f>
        <v>1</v>
      </c>
      <c r="I2110" s="27" t="s">
        <v>1705</v>
      </c>
      <c r="J2110" s="27" t="s">
        <v>1706</v>
      </c>
    </row>
    <row r="2111" spans="1:10" x14ac:dyDescent="0.25">
      <c r="A2111" s="21" t="s">
        <v>1132</v>
      </c>
      <c r="B2111" s="391" t="str">
        <f>VLOOKUP(Tabela12[[#This Row],[Painel]],Tabela13[],2,0)</f>
        <v>GB-200</v>
      </c>
      <c r="C2111" s="391" t="s">
        <v>1121</v>
      </c>
      <c r="D2111" s="21" t="s">
        <v>1975</v>
      </c>
      <c r="E2111" s="21">
        <v>8</v>
      </c>
      <c r="F2111" s="27" t="str">
        <f>Tabela12[[#This Row],[Régua]]&amp;" ("&amp;Tabela12[[#This Row],[Born]]&amp;")"</f>
        <v>TB3 (8)</v>
      </c>
      <c r="G2111" s="27">
        <f>LEN(Tabela12[[#This Row],[Anilha]])</f>
        <v>7</v>
      </c>
      <c r="H2111" s="21">
        <f>VLOOKUP(Tabela12[[#This Row],[Tag Cabo]],BD!A:F,6,0)</f>
        <v>1</v>
      </c>
      <c r="I2111" s="27" t="s">
        <v>1705</v>
      </c>
      <c r="J2111" s="27" t="s">
        <v>1706</v>
      </c>
    </row>
    <row r="2112" spans="1:10" x14ac:dyDescent="0.25">
      <c r="A2112" s="21" t="s">
        <v>1132</v>
      </c>
      <c r="B2112" s="391" t="str">
        <f>VLOOKUP(Tabela12[[#This Row],[Painel]],Tabela13[],2,0)</f>
        <v>GB-200</v>
      </c>
      <c r="C2112" s="391" t="s">
        <v>1121</v>
      </c>
      <c r="D2112" s="21" t="s">
        <v>1975</v>
      </c>
      <c r="E2112" s="21">
        <v>9</v>
      </c>
      <c r="F2112" s="27" t="str">
        <f>Tabela12[[#This Row],[Régua]]&amp;" ("&amp;Tabela12[[#This Row],[Born]]&amp;")"</f>
        <v>TB3 (9)</v>
      </c>
      <c r="G2112" s="27">
        <f>LEN(Tabela12[[#This Row],[Anilha]])</f>
        <v>7</v>
      </c>
      <c r="H2112" s="21">
        <f>VLOOKUP(Tabela12[[#This Row],[Tag Cabo]],BD!A:F,6,0)</f>
        <v>1</v>
      </c>
      <c r="I2112" s="27" t="s">
        <v>1705</v>
      </c>
      <c r="J2112" s="27" t="s">
        <v>1706</v>
      </c>
    </row>
    <row r="2113" spans="1:10" x14ac:dyDescent="0.25">
      <c r="A2113" s="21" t="s">
        <v>1132</v>
      </c>
      <c r="B2113" s="391" t="str">
        <f>VLOOKUP(Tabela12[[#This Row],[Painel]],Tabela13[],2,0)</f>
        <v>GB-200</v>
      </c>
      <c r="C2113" s="391" t="s">
        <v>1121</v>
      </c>
      <c r="D2113" s="21" t="s">
        <v>1975</v>
      </c>
      <c r="E2113" s="21">
        <v>10</v>
      </c>
      <c r="F2113" s="27" t="str">
        <f>Tabela12[[#This Row],[Régua]]&amp;" ("&amp;Tabela12[[#This Row],[Born]]&amp;")"</f>
        <v>TB3 (10)</v>
      </c>
      <c r="G2113" s="27">
        <f>LEN(Tabela12[[#This Row],[Anilha]])</f>
        <v>8</v>
      </c>
      <c r="H2113" s="21">
        <f>VLOOKUP(Tabela12[[#This Row],[Tag Cabo]],BD!A:F,6,0)</f>
        <v>1</v>
      </c>
      <c r="I2113" s="27" t="s">
        <v>1705</v>
      </c>
      <c r="J2113" s="27" t="s">
        <v>1706</v>
      </c>
    </row>
    <row r="2114" spans="1:10" x14ac:dyDescent="0.25">
      <c r="A2114" s="21" t="s">
        <v>1132</v>
      </c>
      <c r="B2114" s="391" t="str">
        <f>VLOOKUP(Tabela12[[#This Row],[Painel]],Tabela13[],2,0)</f>
        <v>GB-200</v>
      </c>
      <c r="C2114" s="391" t="s">
        <v>1121</v>
      </c>
      <c r="D2114" s="21" t="s">
        <v>1975</v>
      </c>
      <c r="E2114" s="21">
        <v>11</v>
      </c>
      <c r="F2114" s="27" t="str">
        <f>Tabela12[[#This Row],[Régua]]&amp;" ("&amp;Tabela12[[#This Row],[Born]]&amp;")"</f>
        <v>TB3 (11)</v>
      </c>
      <c r="G2114" s="27">
        <f>LEN(Tabela12[[#This Row],[Anilha]])</f>
        <v>8</v>
      </c>
      <c r="H2114" s="21">
        <f>VLOOKUP(Tabela12[[#This Row],[Tag Cabo]],BD!A:F,6,0)</f>
        <v>1</v>
      </c>
      <c r="I2114" s="27" t="s">
        <v>1705</v>
      </c>
      <c r="J2114" s="27" t="s">
        <v>1706</v>
      </c>
    </row>
    <row r="2115" spans="1:10" x14ac:dyDescent="0.25">
      <c r="A2115" s="21" t="s">
        <v>1132</v>
      </c>
      <c r="B2115" s="391" t="str">
        <f>VLOOKUP(Tabela12[[#This Row],[Painel]],Tabela13[],2,0)</f>
        <v>GB-200</v>
      </c>
      <c r="C2115" s="391" t="s">
        <v>1121</v>
      </c>
      <c r="D2115" s="21" t="s">
        <v>1975</v>
      </c>
      <c r="E2115" s="21">
        <v>12</v>
      </c>
      <c r="F2115" s="27" t="str">
        <f>Tabela12[[#This Row],[Régua]]&amp;" ("&amp;Tabela12[[#This Row],[Born]]&amp;")"</f>
        <v>TB3 (12)</v>
      </c>
      <c r="G2115" s="27">
        <f>LEN(Tabela12[[#This Row],[Anilha]])</f>
        <v>8</v>
      </c>
      <c r="H2115" s="21">
        <f>VLOOKUP(Tabela12[[#This Row],[Tag Cabo]],BD!A:F,6,0)</f>
        <v>1</v>
      </c>
      <c r="I2115" s="27" t="s">
        <v>1705</v>
      </c>
      <c r="J2115" s="27" t="s">
        <v>1706</v>
      </c>
    </row>
    <row r="2116" spans="1:10" x14ac:dyDescent="0.25">
      <c r="A2116" s="21" t="s">
        <v>1132</v>
      </c>
      <c r="B2116" s="391" t="str">
        <f>VLOOKUP(Tabela12[[#This Row],[Painel]],Tabela13[],2,0)</f>
        <v>GB-200</v>
      </c>
      <c r="C2116" s="391" t="s">
        <v>1121</v>
      </c>
      <c r="D2116" s="21" t="s">
        <v>1975</v>
      </c>
      <c r="E2116" s="21">
        <v>15</v>
      </c>
      <c r="F2116" s="27" t="str">
        <f>Tabela12[[#This Row],[Régua]]&amp;" ("&amp;Tabela12[[#This Row],[Born]]&amp;")"</f>
        <v>TB3 (15)</v>
      </c>
      <c r="G2116" s="27">
        <f>LEN(Tabela12[[#This Row],[Anilha]])</f>
        <v>8</v>
      </c>
      <c r="H2116" s="21">
        <f>VLOOKUP(Tabela12[[#This Row],[Tag Cabo]],BD!A:F,6,0)</f>
        <v>1</v>
      </c>
      <c r="I2116" s="27" t="s">
        <v>1705</v>
      </c>
      <c r="J2116" s="27" t="s">
        <v>1706</v>
      </c>
    </row>
    <row r="2117" spans="1:10" x14ac:dyDescent="0.25">
      <c r="A2117" s="21" t="s">
        <v>1132</v>
      </c>
      <c r="B2117" s="391" t="str">
        <f>VLOOKUP(Tabela12[[#This Row],[Painel]],Tabela13[],2,0)</f>
        <v>GB-200</v>
      </c>
      <c r="C2117" s="391" t="s">
        <v>1121</v>
      </c>
      <c r="D2117" s="21" t="s">
        <v>1975</v>
      </c>
      <c r="E2117" s="21">
        <v>16</v>
      </c>
      <c r="F2117" s="27" t="str">
        <f>Tabela12[[#This Row],[Régua]]&amp;" ("&amp;Tabela12[[#This Row],[Born]]&amp;")"</f>
        <v>TB3 (16)</v>
      </c>
      <c r="G2117" s="27">
        <f>LEN(Tabela12[[#This Row],[Anilha]])</f>
        <v>8</v>
      </c>
      <c r="H2117" s="21">
        <f>VLOOKUP(Tabela12[[#This Row],[Tag Cabo]],BD!A:F,6,0)</f>
        <v>1</v>
      </c>
      <c r="I2117" s="27" t="s">
        <v>1705</v>
      </c>
      <c r="J2117" s="27" t="s">
        <v>1706</v>
      </c>
    </row>
    <row r="2118" spans="1:10" x14ac:dyDescent="0.25">
      <c r="A2118" s="21" t="s">
        <v>1132</v>
      </c>
      <c r="B2118" s="391" t="str">
        <f>VLOOKUP(Tabela12[[#This Row],[Painel]],Tabela13[],2,0)</f>
        <v>GB-200</v>
      </c>
      <c r="C2118" s="391" t="s">
        <v>1121</v>
      </c>
      <c r="D2118" s="21" t="s">
        <v>1975</v>
      </c>
      <c r="E2118" s="21">
        <v>17</v>
      </c>
      <c r="F2118" s="27" t="str">
        <f>Tabela12[[#This Row],[Régua]]&amp;" ("&amp;Tabela12[[#This Row],[Born]]&amp;")"</f>
        <v>TB3 (17)</v>
      </c>
      <c r="G2118" s="27">
        <f>LEN(Tabela12[[#This Row],[Anilha]])</f>
        <v>8</v>
      </c>
      <c r="H2118" s="21">
        <f>VLOOKUP(Tabela12[[#This Row],[Tag Cabo]],BD!A:F,6,0)</f>
        <v>1</v>
      </c>
      <c r="I2118" s="27" t="s">
        <v>1705</v>
      </c>
      <c r="J2118" s="27" t="s">
        <v>1706</v>
      </c>
    </row>
    <row r="2119" spans="1:10" x14ac:dyDescent="0.25">
      <c r="A2119" s="21" t="s">
        <v>1132</v>
      </c>
      <c r="B2119" s="391" t="str">
        <f>VLOOKUP(Tabela12[[#This Row],[Painel]],Tabela13[],2,0)</f>
        <v>GB-200</v>
      </c>
      <c r="C2119" s="391" t="s">
        <v>1121</v>
      </c>
      <c r="D2119" s="21" t="s">
        <v>1975</v>
      </c>
      <c r="E2119" s="21">
        <v>18</v>
      </c>
      <c r="F2119" s="27" t="str">
        <f>Tabela12[[#This Row],[Régua]]&amp;" ("&amp;Tabela12[[#This Row],[Born]]&amp;")"</f>
        <v>TB3 (18)</v>
      </c>
      <c r="G2119" s="27">
        <f>LEN(Tabela12[[#This Row],[Anilha]])</f>
        <v>8</v>
      </c>
      <c r="H2119" s="21">
        <f>VLOOKUP(Tabela12[[#This Row],[Tag Cabo]],BD!A:F,6,0)</f>
        <v>1</v>
      </c>
      <c r="I2119" s="27" t="s">
        <v>1705</v>
      </c>
      <c r="J2119" s="27" t="s">
        <v>1706</v>
      </c>
    </row>
    <row r="2120" spans="1:10" x14ac:dyDescent="0.25">
      <c r="A2120" s="21" t="s">
        <v>1132</v>
      </c>
      <c r="B2120" s="391" t="str">
        <f>VLOOKUP(Tabela12[[#This Row],[Painel]],Tabela13[],2,0)</f>
        <v>CCP</v>
      </c>
      <c r="C2120" s="391" t="s">
        <v>1648</v>
      </c>
      <c r="D2120" s="21" t="s">
        <v>2009</v>
      </c>
      <c r="E2120" s="21">
        <v>1</v>
      </c>
      <c r="F2120" s="27" t="str">
        <f>Tabela12[[#This Row],[Régua]]&amp;" ("&amp;Tabela12[[#This Row],[Born]]&amp;")"</f>
        <v>TB-13 (1)</v>
      </c>
      <c r="G2120" s="27">
        <f>LEN(Tabela12[[#This Row],[Anilha]])</f>
        <v>9</v>
      </c>
      <c r="H2120" s="21">
        <f>VLOOKUP(Tabela12[[#This Row],[Tag Cabo]],BD!A:F,6,0)</f>
        <v>1</v>
      </c>
      <c r="I2120" s="27" t="s">
        <v>1705</v>
      </c>
      <c r="J2120" s="27" t="s">
        <v>1706</v>
      </c>
    </row>
    <row r="2121" spans="1:10" x14ac:dyDescent="0.25">
      <c r="A2121" s="21" t="s">
        <v>1132</v>
      </c>
      <c r="B2121" s="391" t="str">
        <f>VLOOKUP(Tabela12[[#This Row],[Painel]],Tabela13[],2,0)</f>
        <v>CCP</v>
      </c>
      <c r="C2121" s="391" t="s">
        <v>1648</v>
      </c>
      <c r="D2121" s="21" t="s">
        <v>2009</v>
      </c>
      <c r="E2121" s="21">
        <v>2</v>
      </c>
      <c r="F2121" s="27" t="str">
        <f>Tabela12[[#This Row],[Régua]]&amp;" ("&amp;Tabela12[[#This Row],[Born]]&amp;")"</f>
        <v>TB-13 (2)</v>
      </c>
      <c r="G2121" s="27">
        <f>LEN(Tabela12[[#This Row],[Anilha]])</f>
        <v>9</v>
      </c>
      <c r="H2121" s="21">
        <f>VLOOKUP(Tabela12[[#This Row],[Tag Cabo]],BD!A:F,6,0)</f>
        <v>1</v>
      </c>
      <c r="I2121" s="27" t="s">
        <v>1705</v>
      </c>
      <c r="J2121" s="27" t="s">
        <v>1706</v>
      </c>
    </row>
    <row r="2122" spans="1:10" x14ac:dyDescent="0.25">
      <c r="A2122" s="21" t="s">
        <v>1132</v>
      </c>
      <c r="B2122" s="391" t="str">
        <f>VLOOKUP(Tabela12[[#This Row],[Painel]],Tabela13[],2,0)</f>
        <v>CCP</v>
      </c>
      <c r="C2122" s="391" t="s">
        <v>1648</v>
      </c>
      <c r="D2122" s="21" t="s">
        <v>2009</v>
      </c>
      <c r="E2122" s="21">
        <v>4</v>
      </c>
      <c r="F2122" s="27" t="str">
        <f>Tabela12[[#This Row],[Régua]]&amp;" ("&amp;Tabela12[[#This Row],[Born]]&amp;")"</f>
        <v>TB-13 (4)</v>
      </c>
      <c r="G2122" s="27">
        <f>LEN(Tabela12[[#This Row],[Anilha]])</f>
        <v>9</v>
      </c>
      <c r="H2122" s="21">
        <f>VLOOKUP(Tabela12[[#This Row],[Tag Cabo]],BD!A:F,6,0)</f>
        <v>1</v>
      </c>
      <c r="I2122" s="27" t="s">
        <v>1705</v>
      </c>
      <c r="J2122" s="27" t="s">
        <v>1706</v>
      </c>
    </row>
    <row r="2123" spans="1:10" x14ac:dyDescent="0.25">
      <c r="A2123" s="21" t="s">
        <v>1132</v>
      </c>
      <c r="B2123" s="391" t="str">
        <f>VLOOKUP(Tabela12[[#This Row],[Painel]],Tabela13[],2,0)</f>
        <v>CCP</v>
      </c>
      <c r="C2123" s="391" t="s">
        <v>1648</v>
      </c>
      <c r="D2123" s="21" t="s">
        <v>2009</v>
      </c>
      <c r="E2123" s="21">
        <v>5</v>
      </c>
      <c r="F2123" s="27" t="str">
        <f>Tabela12[[#This Row],[Régua]]&amp;" ("&amp;Tabela12[[#This Row],[Born]]&amp;")"</f>
        <v>TB-13 (5)</v>
      </c>
      <c r="G2123" s="27">
        <f>LEN(Tabela12[[#This Row],[Anilha]])</f>
        <v>9</v>
      </c>
      <c r="H2123" s="21">
        <f>VLOOKUP(Tabela12[[#This Row],[Tag Cabo]],BD!A:F,6,0)</f>
        <v>1</v>
      </c>
      <c r="I2123" s="27" t="s">
        <v>1705</v>
      </c>
      <c r="J2123" s="27" t="s">
        <v>1706</v>
      </c>
    </row>
    <row r="2124" spans="1:10" x14ac:dyDescent="0.25">
      <c r="A2124" s="21" t="s">
        <v>1132</v>
      </c>
      <c r="B2124" s="391" t="str">
        <f>VLOOKUP(Tabela12[[#This Row],[Painel]],Tabela13[],2,0)</f>
        <v>CCP</v>
      </c>
      <c r="C2124" s="391" t="s">
        <v>1648</v>
      </c>
      <c r="D2124" s="21" t="s">
        <v>2009</v>
      </c>
      <c r="E2124" s="21">
        <v>7</v>
      </c>
      <c r="F2124" s="27" t="str">
        <f>Tabela12[[#This Row],[Régua]]&amp;" ("&amp;Tabela12[[#This Row],[Born]]&amp;")"</f>
        <v>TB-13 (7)</v>
      </c>
      <c r="G2124" s="27">
        <f>LEN(Tabela12[[#This Row],[Anilha]])</f>
        <v>9</v>
      </c>
      <c r="H2124" s="21">
        <f>VLOOKUP(Tabela12[[#This Row],[Tag Cabo]],BD!A:F,6,0)</f>
        <v>1</v>
      </c>
      <c r="I2124" s="27" t="s">
        <v>1705</v>
      </c>
      <c r="J2124" s="27" t="s">
        <v>1706</v>
      </c>
    </row>
    <row r="2125" spans="1:10" x14ac:dyDescent="0.25">
      <c r="A2125" s="21" t="s">
        <v>1132</v>
      </c>
      <c r="B2125" s="391" t="str">
        <f>VLOOKUP(Tabela12[[#This Row],[Painel]],Tabela13[],2,0)</f>
        <v>CCP</v>
      </c>
      <c r="C2125" s="391" t="s">
        <v>1648</v>
      </c>
      <c r="D2125" s="21" t="s">
        <v>2009</v>
      </c>
      <c r="E2125" s="21">
        <v>8</v>
      </c>
      <c r="F2125" s="27" t="str">
        <f>Tabela12[[#This Row],[Régua]]&amp;" ("&amp;Tabela12[[#This Row],[Born]]&amp;")"</f>
        <v>TB-13 (8)</v>
      </c>
      <c r="G2125" s="27">
        <f>LEN(Tabela12[[#This Row],[Anilha]])</f>
        <v>9</v>
      </c>
      <c r="H2125" s="21">
        <f>VLOOKUP(Tabela12[[#This Row],[Tag Cabo]],BD!A:F,6,0)</f>
        <v>1</v>
      </c>
      <c r="I2125" s="27" t="s">
        <v>1705</v>
      </c>
      <c r="J2125" s="27" t="s">
        <v>1706</v>
      </c>
    </row>
    <row r="2126" spans="1:10" x14ac:dyDescent="0.25">
      <c r="A2126" s="21" t="s">
        <v>1132</v>
      </c>
      <c r="B2126" s="391" t="str">
        <f>VLOOKUP(Tabela12[[#This Row],[Painel]],Tabela13[],2,0)</f>
        <v>CCP</v>
      </c>
      <c r="C2126" s="391" t="s">
        <v>1648</v>
      </c>
      <c r="D2126" s="21" t="s">
        <v>2009</v>
      </c>
      <c r="E2126" s="21">
        <v>10</v>
      </c>
      <c r="F2126" s="27" t="str">
        <f>Tabela12[[#This Row],[Régua]]&amp;" ("&amp;Tabela12[[#This Row],[Born]]&amp;")"</f>
        <v>TB-13 (10)</v>
      </c>
      <c r="G2126" s="27">
        <f>LEN(Tabela12[[#This Row],[Anilha]])</f>
        <v>10</v>
      </c>
      <c r="H2126" s="21">
        <f>VLOOKUP(Tabela12[[#This Row],[Tag Cabo]],BD!A:F,6,0)</f>
        <v>1</v>
      </c>
      <c r="I2126" s="27" t="s">
        <v>1705</v>
      </c>
      <c r="J2126" s="27" t="s">
        <v>1706</v>
      </c>
    </row>
    <row r="2127" spans="1:10" x14ac:dyDescent="0.25">
      <c r="A2127" s="21" t="s">
        <v>1132</v>
      </c>
      <c r="B2127" s="391" t="str">
        <f>VLOOKUP(Tabela12[[#This Row],[Painel]],Tabela13[],2,0)</f>
        <v>CCP</v>
      </c>
      <c r="C2127" s="391" t="s">
        <v>1648</v>
      </c>
      <c r="D2127" s="21" t="s">
        <v>2009</v>
      </c>
      <c r="E2127" s="21">
        <v>11</v>
      </c>
      <c r="F2127" s="27" t="str">
        <f>Tabela12[[#This Row],[Régua]]&amp;" ("&amp;Tabela12[[#This Row],[Born]]&amp;")"</f>
        <v>TB-13 (11)</v>
      </c>
      <c r="G2127" s="27">
        <f>LEN(Tabela12[[#This Row],[Anilha]])</f>
        <v>10</v>
      </c>
      <c r="H2127" s="21">
        <f>VLOOKUP(Tabela12[[#This Row],[Tag Cabo]],BD!A:F,6,0)</f>
        <v>1</v>
      </c>
      <c r="I2127" s="27" t="s">
        <v>1705</v>
      </c>
      <c r="J2127" s="27" t="s">
        <v>1706</v>
      </c>
    </row>
    <row r="2128" spans="1:10" x14ac:dyDescent="0.25">
      <c r="A2128" s="21" t="s">
        <v>1132</v>
      </c>
      <c r="B2128" s="391" t="str">
        <f>VLOOKUP(Tabela12[[#This Row],[Painel]],Tabela13[],2,0)</f>
        <v>CCP</v>
      </c>
      <c r="C2128" s="391" t="s">
        <v>1648</v>
      </c>
      <c r="D2128" s="21" t="s">
        <v>2009</v>
      </c>
      <c r="E2128" s="21">
        <v>13</v>
      </c>
      <c r="F2128" s="27" t="str">
        <f>Tabela12[[#This Row],[Régua]]&amp;" ("&amp;Tabela12[[#This Row],[Born]]&amp;")"</f>
        <v>TB-13 (13)</v>
      </c>
      <c r="G2128" s="27">
        <f>LEN(Tabela12[[#This Row],[Anilha]])</f>
        <v>10</v>
      </c>
      <c r="H2128" s="21">
        <f>VLOOKUP(Tabela12[[#This Row],[Tag Cabo]],BD!A:F,6,0)</f>
        <v>1</v>
      </c>
      <c r="I2128" s="27" t="s">
        <v>1705</v>
      </c>
      <c r="J2128" s="27" t="s">
        <v>1706</v>
      </c>
    </row>
    <row r="2129" spans="1:10" x14ac:dyDescent="0.25">
      <c r="A2129" s="21" t="s">
        <v>1132</v>
      </c>
      <c r="B2129" s="391" t="str">
        <f>VLOOKUP(Tabela12[[#This Row],[Painel]],Tabela13[],2,0)</f>
        <v>CCP</v>
      </c>
      <c r="C2129" s="391" t="s">
        <v>1648</v>
      </c>
      <c r="D2129" s="21" t="s">
        <v>2009</v>
      </c>
      <c r="E2129" s="21">
        <v>14</v>
      </c>
      <c r="F2129" s="27" t="str">
        <f>Tabela12[[#This Row],[Régua]]&amp;" ("&amp;Tabela12[[#This Row],[Born]]&amp;")"</f>
        <v>TB-13 (14)</v>
      </c>
      <c r="G2129" s="27">
        <f>LEN(Tabela12[[#This Row],[Anilha]])</f>
        <v>10</v>
      </c>
      <c r="H2129" s="21">
        <f>VLOOKUP(Tabela12[[#This Row],[Tag Cabo]],BD!A:F,6,0)</f>
        <v>1</v>
      </c>
      <c r="I2129" s="27" t="s">
        <v>1705</v>
      </c>
      <c r="J2129" s="27" t="s">
        <v>1706</v>
      </c>
    </row>
    <row r="2130" spans="1:10" x14ac:dyDescent="0.25">
      <c r="A2130" s="21" t="s">
        <v>1132</v>
      </c>
      <c r="B2130" s="391" t="str">
        <f>VLOOKUP(Tabela12[[#This Row],[Painel]],Tabela13[],2,0)</f>
        <v>CCP</v>
      </c>
      <c r="C2130" s="391" t="s">
        <v>1648</v>
      </c>
      <c r="D2130" s="21" t="s">
        <v>2009</v>
      </c>
      <c r="E2130" s="21">
        <v>16</v>
      </c>
      <c r="F2130" s="27" t="str">
        <f>Tabela12[[#This Row],[Régua]]&amp;" ("&amp;Tabela12[[#This Row],[Born]]&amp;")"</f>
        <v>TB-13 (16)</v>
      </c>
      <c r="G2130" s="27">
        <f>LEN(Tabela12[[#This Row],[Anilha]])</f>
        <v>10</v>
      </c>
      <c r="H2130" s="21">
        <f>VLOOKUP(Tabela12[[#This Row],[Tag Cabo]],BD!A:F,6,0)</f>
        <v>1</v>
      </c>
      <c r="I2130" s="27" t="s">
        <v>1705</v>
      </c>
      <c r="J2130" s="27" t="s">
        <v>1706</v>
      </c>
    </row>
    <row r="2131" spans="1:10" x14ac:dyDescent="0.25">
      <c r="A2131" s="21" t="s">
        <v>1132</v>
      </c>
      <c r="B2131" s="391" t="str">
        <f>VLOOKUP(Tabela12[[#This Row],[Painel]],Tabela13[],2,0)</f>
        <v>CCP</v>
      </c>
      <c r="C2131" s="391" t="s">
        <v>1648</v>
      </c>
      <c r="D2131" s="21" t="s">
        <v>2009</v>
      </c>
      <c r="E2131" s="21">
        <v>17</v>
      </c>
      <c r="F2131" s="27" t="str">
        <f>Tabela12[[#This Row],[Régua]]&amp;" ("&amp;Tabela12[[#This Row],[Born]]&amp;")"</f>
        <v>TB-13 (17)</v>
      </c>
      <c r="G2131" s="27">
        <f>LEN(Tabela12[[#This Row],[Anilha]])</f>
        <v>10</v>
      </c>
      <c r="H2131" s="21">
        <f>VLOOKUP(Tabela12[[#This Row],[Tag Cabo]],BD!A:F,6,0)</f>
        <v>1</v>
      </c>
      <c r="I2131" s="27" t="s">
        <v>1705</v>
      </c>
      <c r="J2131" s="27" t="s">
        <v>1706</v>
      </c>
    </row>
    <row r="2132" spans="1:10" x14ac:dyDescent="0.25">
      <c r="A2132" s="21" t="s">
        <v>1132</v>
      </c>
      <c r="B2132" s="391" t="str">
        <f>VLOOKUP(Tabela12[[#This Row],[Painel]],Tabela13[],2,0)</f>
        <v>CCP</v>
      </c>
      <c r="C2132" s="391" t="s">
        <v>1648</v>
      </c>
      <c r="D2132" s="21" t="s">
        <v>2009</v>
      </c>
      <c r="E2132" s="21">
        <v>19</v>
      </c>
      <c r="F2132" s="27" t="str">
        <f>Tabela12[[#This Row],[Régua]]&amp;" ("&amp;Tabela12[[#This Row],[Born]]&amp;")"</f>
        <v>TB-13 (19)</v>
      </c>
      <c r="G2132" s="27">
        <f>LEN(Tabela12[[#This Row],[Anilha]])</f>
        <v>10</v>
      </c>
      <c r="H2132" s="21">
        <f>VLOOKUP(Tabela12[[#This Row],[Tag Cabo]],BD!A:F,6,0)</f>
        <v>1</v>
      </c>
      <c r="I2132" s="27" t="s">
        <v>1705</v>
      </c>
      <c r="J2132" s="27" t="s">
        <v>1706</v>
      </c>
    </row>
    <row r="2133" spans="1:10" x14ac:dyDescent="0.25">
      <c r="A2133" s="21" t="s">
        <v>1132</v>
      </c>
      <c r="B2133" s="391" t="str">
        <f>VLOOKUP(Tabela12[[#This Row],[Painel]],Tabela13[],2,0)</f>
        <v>CCP</v>
      </c>
      <c r="C2133" s="391" t="s">
        <v>1648</v>
      </c>
      <c r="D2133" s="21" t="s">
        <v>2009</v>
      </c>
      <c r="E2133" s="21">
        <v>20</v>
      </c>
      <c r="F2133" s="27" t="str">
        <f>Tabela12[[#This Row],[Régua]]&amp;" ("&amp;Tabela12[[#This Row],[Born]]&amp;")"</f>
        <v>TB-13 (20)</v>
      </c>
      <c r="G2133" s="27">
        <f>LEN(Tabela12[[#This Row],[Anilha]])</f>
        <v>10</v>
      </c>
      <c r="H2133" s="21">
        <f>VLOOKUP(Tabela12[[#This Row],[Tag Cabo]],BD!A:F,6,0)</f>
        <v>1</v>
      </c>
      <c r="I2133" s="27" t="s">
        <v>1705</v>
      </c>
      <c r="J2133" s="27" t="s">
        <v>1706</v>
      </c>
    </row>
    <row r="2134" spans="1:10" x14ac:dyDescent="0.25">
      <c r="A2134" s="21" t="s">
        <v>1132</v>
      </c>
      <c r="B2134" s="391" t="str">
        <f>VLOOKUP(Tabela12[[#This Row],[Painel]],Tabela13[],2,0)</f>
        <v>CCP</v>
      </c>
      <c r="C2134" s="391" t="s">
        <v>1648</v>
      </c>
      <c r="D2134" s="21" t="s">
        <v>2009</v>
      </c>
      <c r="E2134" s="21">
        <v>22</v>
      </c>
      <c r="F2134" s="27" t="str">
        <f>Tabela12[[#This Row],[Régua]]&amp;" ("&amp;Tabela12[[#This Row],[Born]]&amp;")"</f>
        <v>TB-13 (22)</v>
      </c>
      <c r="G2134" s="27">
        <f>LEN(Tabela12[[#This Row],[Anilha]])</f>
        <v>10</v>
      </c>
      <c r="H2134" s="21">
        <f>VLOOKUP(Tabela12[[#This Row],[Tag Cabo]],BD!A:F,6,0)</f>
        <v>1</v>
      </c>
      <c r="I2134" s="27" t="s">
        <v>1705</v>
      </c>
      <c r="J2134" s="27" t="s">
        <v>1706</v>
      </c>
    </row>
    <row r="2135" spans="1:10" x14ac:dyDescent="0.25">
      <c r="A2135" s="21" t="s">
        <v>1132</v>
      </c>
      <c r="B2135" s="391" t="str">
        <f>VLOOKUP(Tabela12[[#This Row],[Painel]],Tabela13[],2,0)</f>
        <v>CCP</v>
      </c>
      <c r="C2135" s="391" t="s">
        <v>1648</v>
      </c>
      <c r="D2135" s="21" t="s">
        <v>2009</v>
      </c>
      <c r="E2135" s="21">
        <v>23</v>
      </c>
      <c r="F2135" s="27" t="str">
        <f>Tabela12[[#This Row],[Régua]]&amp;" ("&amp;Tabela12[[#This Row],[Born]]&amp;")"</f>
        <v>TB-13 (23)</v>
      </c>
      <c r="G2135" s="27">
        <f>LEN(Tabela12[[#This Row],[Anilha]])</f>
        <v>10</v>
      </c>
      <c r="H2135" s="21">
        <f>VLOOKUP(Tabela12[[#This Row],[Tag Cabo]],BD!A:F,6,0)</f>
        <v>1</v>
      </c>
      <c r="I2135" s="27" t="s">
        <v>1705</v>
      </c>
      <c r="J2135" s="27" t="s">
        <v>1706</v>
      </c>
    </row>
    <row r="2136" spans="1:10" x14ac:dyDescent="0.25">
      <c r="A2136" s="21" t="s">
        <v>1134</v>
      </c>
      <c r="B2136" s="391" t="str">
        <f>VLOOKUP(Tabela12[[#This Row],[Painel]],Tabela13[],2,0)</f>
        <v>GB-200</v>
      </c>
      <c r="C2136" s="391" t="s">
        <v>1135</v>
      </c>
      <c r="D2136" s="21" t="s">
        <v>2010</v>
      </c>
      <c r="E2136" s="21">
        <v>1</v>
      </c>
      <c r="F2136" s="27" t="str">
        <f>Tabela12[[#This Row],[Régua]]&amp;" ("&amp;Tabela12[[#This Row],[Born]]&amp;")"</f>
        <v>TB-01 (1)</v>
      </c>
      <c r="G2136" s="27">
        <f>LEN(Tabela12[[#This Row],[Anilha]])</f>
        <v>9</v>
      </c>
      <c r="H2136" s="21">
        <f>VLOOKUP(Tabela12[[#This Row],[Tag Cabo]],BD!A:F,6,0)</f>
        <v>1</v>
      </c>
      <c r="I2136" s="27" t="s">
        <v>1705</v>
      </c>
      <c r="J2136" s="27" t="s">
        <v>1706</v>
      </c>
    </row>
    <row r="2137" spans="1:10" x14ac:dyDescent="0.25">
      <c r="A2137" s="21" t="s">
        <v>1134</v>
      </c>
      <c r="B2137" s="391" t="str">
        <f>VLOOKUP(Tabela12[[#This Row],[Painel]],Tabela13[],2,0)</f>
        <v>GB-200</v>
      </c>
      <c r="C2137" s="391" t="s">
        <v>1135</v>
      </c>
      <c r="D2137" s="21" t="s">
        <v>2010</v>
      </c>
      <c r="E2137" s="21">
        <v>2</v>
      </c>
      <c r="F2137" s="27" t="str">
        <f>Tabela12[[#This Row],[Régua]]&amp;" ("&amp;Tabela12[[#This Row],[Born]]&amp;")"</f>
        <v>TB-01 (2)</v>
      </c>
      <c r="G2137" s="27">
        <f>LEN(Tabela12[[#This Row],[Anilha]])</f>
        <v>9</v>
      </c>
      <c r="H2137" s="21">
        <f>VLOOKUP(Tabela12[[#This Row],[Tag Cabo]],BD!A:F,6,0)</f>
        <v>1</v>
      </c>
      <c r="I2137" s="27" t="s">
        <v>1705</v>
      </c>
      <c r="J2137" s="27" t="s">
        <v>1706</v>
      </c>
    </row>
    <row r="2138" spans="1:10" x14ac:dyDescent="0.25">
      <c r="A2138" s="21" t="s">
        <v>1134</v>
      </c>
      <c r="B2138" s="391" t="str">
        <f>VLOOKUP(Tabela12[[#This Row],[Painel]],Tabela13[],2,0)</f>
        <v>GB-200</v>
      </c>
      <c r="C2138" s="391" t="s">
        <v>1135</v>
      </c>
      <c r="D2138" s="21" t="s">
        <v>2010</v>
      </c>
      <c r="E2138" s="21">
        <v>5</v>
      </c>
      <c r="F2138" s="27" t="str">
        <f>Tabela12[[#This Row],[Régua]]&amp;" ("&amp;Tabela12[[#This Row],[Born]]&amp;")"</f>
        <v>TB-01 (5)</v>
      </c>
      <c r="G2138" s="27">
        <f>LEN(Tabela12[[#This Row],[Anilha]])</f>
        <v>9</v>
      </c>
      <c r="H2138" s="21">
        <f>VLOOKUP(Tabela12[[#This Row],[Tag Cabo]],BD!A:F,6,0)</f>
        <v>1</v>
      </c>
      <c r="I2138" s="27" t="s">
        <v>1705</v>
      </c>
      <c r="J2138" s="27" t="s">
        <v>1706</v>
      </c>
    </row>
    <row r="2139" spans="1:10" x14ac:dyDescent="0.25">
      <c r="A2139" s="21" t="s">
        <v>1134</v>
      </c>
      <c r="B2139" s="391" t="str">
        <f>VLOOKUP(Tabela12[[#This Row],[Painel]],Tabela13[],2,0)</f>
        <v>GB-200</v>
      </c>
      <c r="C2139" s="391" t="s">
        <v>1135</v>
      </c>
      <c r="D2139" s="21" t="s">
        <v>2010</v>
      </c>
      <c r="E2139" s="21">
        <v>6</v>
      </c>
      <c r="F2139" s="27" t="str">
        <f>Tabela12[[#This Row],[Régua]]&amp;" ("&amp;Tabela12[[#This Row],[Born]]&amp;")"</f>
        <v>TB-01 (6)</v>
      </c>
      <c r="G2139" s="27">
        <f>LEN(Tabela12[[#This Row],[Anilha]])</f>
        <v>9</v>
      </c>
      <c r="H2139" s="21">
        <f>VLOOKUP(Tabela12[[#This Row],[Tag Cabo]],BD!A:F,6,0)</f>
        <v>1</v>
      </c>
      <c r="I2139" s="27" t="s">
        <v>1705</v>
      </c>
      <c r="J2139" s="27" t="s">
        <v>1706</v>
      </c>
    </row>
    <row r="2140" spans="1:10" x14ac:dyDescent="0.25">
      <c r="A2140" s="21" t="s">
        <v>1134</v>
      </c>
      <c r="B2140" s="391" t="str">
        <f>VLOOKUP(Tabela12[[#This Row],[Painel]],Tabela13[],2,0)</f>
        <v>GB-200</v>
      </c>
      <c r="C2140" s="391" t="s">
        <v>1135</v>
      </c>
      <c r="D2140" s="21" t="s">
        <v>2010</v>
      </c>
      <c r="E2140" s="21">
        <v>11</v>
      </c>
      <c r="F2140" s="27" t="str">
        <f>Tabela12[[#This Row],[Régua]]&amp;" ("&amp;Tabela12[[#This Row],[Born]]&amp;")"</f>
        <v>TB-01 (11)</v>
      </c>
      <c r="G2140" s="27">
        <f>LEN(Tabela12[[#This Row],[Anilha]])</f>
        <v>10</v>
      </c>
      <c r="H2140" s="21">
        <f>VLOOKUP(Tabela12[[#This Row],[Tag Cabo]],BD!A:F,6,0)</f>
        <v>1</v>
      </c>
      <c r="I2140" s="27" t="s">
        <v>1705</v>
      </c>
      <c r="J2140" s="27" t="s">
        <v>1706</v>
      </c>
    </row>
    <row r="2141" spans="1:10" x14ac:dyDescent="0.25">
      <c r="A2141" s="21" t="s">
        <v>1134</v>
      </c>
      <c r="B2141" s="391" t="str">
        <f>VLOOKUP(Tabela12[[#This Row],[Painel]],Tabela13[],2,0)</f>
        <v>GB-200</v>
      </c>
      <c r="C2141" s="391" t="s">
        <v>1135</v>
      </c>
      <c r="D2141" s="21" t="s">
        <v>2010</v>
      </c>
      <c r="E2141" s="21">
        <v>12</v>
      </c>
      <c r="F2141" s="27" t="str">
        <f>Tabela12[[#This Row],[Régua]]&amp;" ("&amp;Tabela12[[#This Row],[Born]]&amp;")"</f>
        <v>TB-01 (12)</v>
      </c>
      <c r="G2141" s="27">
        <f>LEN(Tabela12[[#This Row],[Anilha]])</f>
        <v>10</v>
      </c>
      <c r="H2141" s="21">
        <f>VLOOKUP(Tabela12[[#This Row],[Tag Cabo]],BD!A:F,6,0)</f>
        <v>1</v>
      </c>
      <c r="I2141" s="27" t="s">
        <v>1705</v>
      </c>
      <c r="J2141" s="27" t="s">
        <v>1706</v>
      </c>
    </row>
    <row r="2142" spans="1:10" x14ac:dyDescent="0.25">
      <c r="A2142" s="21" t="s">
        <v>1134</v>
      </c>
      <c r="B2142" s="391" t="str">
        <f>VLOOKUP(Tabela12[[#This Row],[Painel]],Tabela13[],2,0)</f>
        <v>GB-200</v>
      </c>
      <c r="C2142" s="391" t="s">
        <v>1135</v>
      </c>
      <c r="D2142" s="21" t="s">
        <v>2010</v>
      </c>
      <c r="E2142" s="21">
        <v>13</v>
      </c>
      <c r="F2142" s="27" t="str">
        <f>Tabela12[[#This Row],[Régua]]&amp;" ("&amp;Tabela12[[#This Row],[Born]]&amp;")"</f>
        <v>TB-01 (13)</v>
      </c>
      <c r="G2142" s="27">
        <f>LEN(Tabela12[[#This Row],[Anilha]])</f>
        <v>10</v>
      </c>
      <c r="H2142" s="21">
        <f>VLOOKUP(Tabela12[[#This Row],[Tag Cabo]],BD!A:F,6,0)</f>
        <v>1</v>
      </c>
      <c r="I2142" s="27" t="s">
        <v>1705</v>
      </c>
      <c r="J2142" s="27" t="s">
        <v>1706</v>
      </c>
    </row>
    <row r="2143" spans="1:10" x14ac:dyDescent="0.25">
      <c r="A2143" s="21" t="s">
        <v>1134</v>
      </c>
      <c r="B2143" s="391" t="str">
        <f>VLOOKUP(Tabela12[[#This Row],[Painel]],Tabela13[],2,0)</f>
        <v>GB-200</v>
      </c>
      <c r="C2143" s="391" t="s">
        <v>1135</v>
      </c>
      <c r="D2143" s="21" t="s">
        <v>2010</v>
      </c>
      <c r="E2143" s="21">
        <v>14</v>
      </c>
      <c r="F2143" s="27" t="str">
        <f>Tabela12[[#This Row],[Régua]]&amp;" ("&amp;Tabela12[[#This Row],[Born]]&amp;")"</f>
        <v>TB-01 (14)</v>
      </c>
      <c r="G2143" s="27">
        <f>LEN(Tabela12[[#This Row],[Anilha]])</f>
        <v>10</v>
      </c>
      <c r="H2143" s="21">
        <f>VLOOKUP(Tabela12[[#This Row],[Tag Cabo]],BD!A:F,6,0)</f>
        <v>1</v>
      </c>
      <c r="I2143" s="27" t="s">
        <v>1705</v>
      </c>
      <c r="J2143" s="27" t="s">
        <v>1706</v>
      </c>
    </row>
    <row r="2144" spans="1:10" x14ac:dyDescent="0.25">
      <c r="A2144" s="21" t="s">
        <v>1134</v>
      </c>
      <c r="B2144" s="391" t="str">
        <f>VLOOKUP(Tabela12[[#This Row],[Painel]],Tabela13[],2,0)</f>
        <v>CCP</v>
      </c>
      <c r="C2144" s="391" t="s">
        <v>1648</v>
      </c>
      <c r="D2144" s="21" t="s">
        <v>2011</v>
      </c>
      <c r="E2144" s="21">
        <v>1</v>
      </c>
      <c r="F2144" s="27" t="str">
        <f>Tabela12[[#This Row],[Régua]]&amp;" ("&amp;Tabela12[[#This Row],[Born]]&amp;")"</f>
        <v>TB-13A (1)</v>
      </c>
      <c r="G2144" s="27">
        <f>LEN(Tabela12[[#This Row],[Anilha]])</f>
        <v>10</v>
      </c>
      <c r="H2144" s="21">
        <f>VLOOKUP(Tabela12[[#This Row],[Tag Cabo]],BD!A:F,6,0)</f>
        <v>1</v>
      </c>
      <c r="I2144" s="27" t="s">
        <v>1705</v>
      </c>
      <c r="J2144" s="27" t="s">
        <v>1706</v>
      </c>
    </row>
    <row r="2145" spans="1:10" x14ac:dyDescent="0.25">
      <c r="A2145" s="21" t="s">
        <v>1134</v>
      </c>
      <c r="B2145" s="391" t="str">
        <f>VLOOKUP(Tabela12[[#This Row],[Painel]],Tabela13[],2,0)</f>
        <v>CCP</v>
      </c>
      <c r="C2145" s="391" t="s">
        <v>1648</v>
      </c>
      <c r="D2145" s="21" t="s">
        <v>2011</v>
      </c>
      <c r="E2145" s="21">
        <v>2</v>
      </c>
      <c r="F2145" s="27" t="str">
        <f>Tabela12[[#This Row],[Régua]]&amp;" ("&amp;Tabela12[[#This Row],[Born]]&amp;")"</f>
        <v>TB-13A (2)</v>
      </c>
      <c r="G2145" s="27">
        <f>LEN(Tabela12[[#This Row],[Anilha]])</f>
        <v>10</v>
      </c>
      <c r="H2145" s="21">
        <f>VLOOKUP(Tabela12[[#This Row],[Tag Cabo]],BD!A:F,6,0)</f>
        <v>1</v>
      </c>
      <c r="I2145" s="27" t="s">
        <v>1705</v>
      </c>
      <c r="J2145" s="27" t="s">
        <v>1706</v>
      </c>
    </row>
    <row r="2146" spans="1:10" x14ac:dyDescent="0.25">
      <c r="A2146" s="21" t="s">
        <v>1134</v>
      </c>
      <c r="B2146" s="391" t="str">
        <f>VLOOKUP(Tabela12[[#This Row],[Painel]],Tabela13[],2,0)</f>
        <v>CCP</v>
      </c>
      <c r="C2146" s="391" t="s">
        <v>1648</v>
      </c>
      <c r="D2146" s="21" t="s">
        <v>2011</v>
      </c>
      <c r="E2146" s="21">
        <v>4</v>
      </c>
      <c r="F2146" s="27" t="str">
        <f>Tabela12[[#This Row],[Régua]]&amp;" ("&amp;Tabela12[[#This Row],[Born]]&amp;")"</f>
        <v>TB-13A (4)</v>
      </c>
      <c r="G2146" s="27">
        <f>LEN(Tabela12[[#This Row],[Anilha]])</f>
        <v>10</v>
      </c>
      <c r="H2146" s="21">
        <f>VLOOKUP(Tabela12[[#This Row],[Tag Cabo]],BD!A:F,6,0)</f>
        <v>1</v>
      </c>
      <c r="I2146" s="27" t="s">
        <v>1705</v>
      </c>
      <c r="J2146" s="27" t="s">
        <v>1706</v>
      </c>
    </row>
    <row r="2147" spans="1:10" x14ac:dyDescent="0.25">
      <c r="A2147" s="21" t="s">
        <v>1134</v>
      </c>
      <c r="B2147" s="391" t="str">
        <f>VLOOKUP(Tabela12[[#This Row],[Painel]],Tabela13[],2,0)</f>
        <v>CCP</v>
      </c>
      <c r="C2147" s="391" t="s">
        <v>1648</v>
      </c>
      <c r="D2147" s="21" t="s">
        <v>2011</v>
      </c>
      <c r="E2147" s="21">
        <v>5</v>
      </c>
      <c r="F2147" s="27" t="str">
        <f>Tabela12[[#This Row],[Régua]]&amp;" ("&amp;Tabela12[[#This Row],[Born]]&amp;")"</f>
        <v>TB-13A (5)</v>
      </c>
      <c r="G2147" s="27">
        <f>LEN(Tabela12[[#This Row],[Anilha]])</f>
        <v>10</v>
      </c>
      <c r="H2147" s="21">
        <f>VLOOKUP(Tabela12[[#This Row],[Tag Cabo]],BD!A:F,6,0)</f>
        <v>1</v>
      </c>
      <c r="I2147" s="27" t="s">
        <v>1705</v>
      </c>
      <c r="J2147" s="27" t="s">
        <v>1706</v>
      </c>
    </row>
    <row r="2148" spans="1:10" x14ac:dyDescent="0.25">
      <c r="A2148" s="21" t="s">
        <v>1134</v>
      </c>
      <c r="B2148" s="391" t="str">
        <f>VLOOKUP(Tabela12[[#This Row],[Painel]],Tabela13[],2,0)</f>
        <v>CCP</v>
      </c>
      <c r="C2148" s="391" t="s">
        <v>1648</v>
      </c>
      <c r="D2148" s="21" t="s">
        <v>2011</v>
      </c>
      <c r="E2148" s="21">
        <v>7</v>
      </c>
      <c r="F2148" s="27" t="str">
        <f>Tabela12[[#This Row],[Régua]]&amp;" ("&amp;Tabela12[[#This Row],[Born]]&amp;")"</f>
        <v>TB-13A (7)</v>
      </c>
      <c r="G2148" s="27">
        <f>LEN(Tabela12[[#This Row],[Anilha]])</f>
        <v>10</v>
      </c>
      <c r="H2148" s="21">
        <f>VLOOKUP(Tabela12[[#This Row],[Tag Cabo]],BD!A:F,6,0)</f>
        <v>1</v>
      </c>
      <c r="I2148" s="27" t="s">
        <v>1705</v>
      </c>
      <c r="J2148" s="27" t="s">
        <v>1706</v>
      </c>
    </row>
    <row r="2149" spans="1:10" x14ac:dyDescent="0.25">
      <c r="A2149" s="21" t="s">
        <v>1134</v>
      </c>
      <c r="B2149" s="391" t="str">
        <f>VLOOKUP(Tabela12[[#This Row],[Painel]],Tabela13[],2,0)</f>
        <v>CCP</v>
      </c>
      <c r="C2149" s="391" t="s">
        <v>1648</v>
      </c>
      <c r="D2149" s="21" t="s">
        <v>2011</v>
      </c>
      <c r="E2149" s="21">
        <v>8</v>
      </c>
      <c r="F2149" s="27" t="str">
        <f>Tabela12[[#This Row],[Régua]]&amp;" ("&amp;Tabela12[[#This Row],[Born]]&amp;")"</f>
        <v>TB-13A (8)</v>
      </c>
      <c r="G2149" s="27">
        <f>LEN(Tabela12[[#This Row],[Anilha]])</f>
        <v>10</v>
      </c>
      <c r="H2149" s="21">
        <f>VLOOKUP(Tabela12[[#This Row],[Tag Cabo]],BD!A:F,6,0)</f>
        <v>1</v>
      </c>
      <c r="I2149" s="27" t="s">
        <v>1705</v>
      </c>
      <c r="J2149" s="27" t="s">
        <v>1706</v>
      </c>
    </row>
    <row r="2150" spans="1:10" x14ac:dyDescent="0.25">
      <c r="A2150" s="21" t="s">
        <v>1134</v>
      </c>
      <c r="B2150" s="391" t="str">
        <f>VLOOKUP(Tabela12[[#This Row],[Painel]],Tabela13[],2,0)</f>
        <v>CCP</v>
      </c>
      <c r="C2150" s="391" t="s">
        <v>1648</v>
      </c>
      <c r="D2150" s="21" t="s">
        <v>2011</v>
      </c>
      <c r="E2150" s="21">
        <v>10</v>
      </c>
      <c r="F2150" s="27" t="str">
        <f>Tabela12[[#This Row],[Régua]]&amp;" ("&amp;Tabela12[[#This Row],[Born]]&amp;")"</f>
        <v>TB-13A (10)</v>
      </c>
      <c r="G2150" s="27">
        <f>LEN(Tabela12[[#This Row],[Anilha]])</f>
        <v>11</v>
      </c>
      <c r="H2150" s="21">
        <f>VLOOKUP(Tabela12[[#This Row],[Tag Cabo]],BD!A:F,6,0)</f>
        <v>1</v>
      </c>
      <c r="I2150" s="27" t="s">
        <v>1705</v>
      </c>
      <c r="J2150" s="27" t="s">
        <v>1706</v>
      </c>
    </row>
    <row r="2151" spans="1:10" x14ac:dyDescent="0.25">
      <c r="A2151" s="21" t="s">
        <v>1134</v>
      </c>
      <c r="B2151" s="391" t="str">
        <f>VLOOKUP(Tabela12[[#This Row],[Painel]],Tabela13[],2,0)</f>
        <v>CCP</v>
      </c>
      <c r="C2151" s="391" t="s">
        <v>1648</v>
      </c>
      <c r="D2151" s="21" t="s">
        <v>2011</v>
      </c>
      <c r="E2151" s="21">
        <v>11</v>
      </c>
      <c r="F2151" s="27" t="str">
        <f>Tabela12[[#This Row],[Régua]]&amp;" ("&amp;Tabela12[[#This Row],[Born]]&amp;")"</f>
        <v>TB-13A (11)</v>
      </c>
      <c r="G2151" s="27">
        <f>LEN(Tabela12[[#This Row],[Anilha]])</f>
        <v>11</v>
      </c>
      <c r="H2151" s="21">
        <f>VLOOKUP(Tabela12[[#This Row],[Tag Cabo]],BD!A:F,6,0)</f>
        <v>1</v>
      </c>
      <c r="I2151" s="27" t="s">
        <v>1705</v>
      </c>
      <c r="J2151" s="27" t="s">
        <v>1706</v>
      </c>
    </row>
    <row r="2152" spans="1:10" x14ac:dyDescent="0.25">
      <c r="A2152" s="21" t="s">
        <v>1136</v>
      </c>
      <c r="B2152" s="391" t="str">
        <f>VLOOKUP(Tabela12[[#This Row],[Painel]],Tabela13[],2,0)</f>
        <v>GB-200</v>
      </c>
      <c r="C2152" s="391" t="s">
        <v>1135</v>
      </c>
      <c r="D2152" s="21" t="s">
        <v>2010</v>
      </c>
      <c r="E2152" s="21">
        <v>1</v>
      </c>
      <c r="F2152" s="27" t="str">
        <f>Tabela12[[#This Row],[Régua]]&amp;" ("&amp;Tabela12[[#This Row],[Born]]&amp;")"</f>
        <v>TB-01 (1)</v>
      </c>
      <c r="G2152" s="27">
        <f>LEN(Tabela12[[#This Row],[Anilha]])</f>
        <v>9</v>
      </c>
      <c r="H2152" s="21">
        <f>VLOOKUP(Tabela12[[#This Row],[Tag Cabo]],BD!A:F,6,0)</f>
        <v>1</v>
      </c>
      <c r="I2152" s="27" t="s">
        <v>1705</v>
      </c>
      <c r="J2152" s="27" t="s">
        <v>1706</v>
      </c>
    </row>
    <row r="2153" spans="1:10" x14ac:dyDescent="0.25">
      <c r="A2153" s="21" t="s">
        <v>1136</v>
      </c>
      <c r="B2153" s="391" t="str">
        <f>VLOOKUP(Tabela12[[#This Row],[Painel]],Tabela13[],2,0)</f>
        <v>GB-200</v>
      </c>
      <c r="C2153" s="391" t="s">
        <v>1135</v>
      </c>
      <c r="D2153" s="21" t="s">
        <v>2010</v>
      </c>
      <c r="E2153" s="21">
        <v>2</v>
      </c>
      <c r="F2153" s="27" t="str">
        <f>Tabela12[[#This Row],[Régua]]&amp;" ("&amp;Tabela12[[#This Row],[Born]]&amp;")"</f>
        <v>TB-01 (2)</v>
      </c>
      <c r="G2153" s="27">
        <f>LEN(Tabela12[[#This Row],[Anilha]])</f>
        <v>9</v>
      </c>
      <c r="H2153" s="21">
        <f>VLOOKUP(Tabela12[[#This Row],[Tag Cabo]],BD!A:F,6,0)</f>
        <v>1</v>
      </c>
      <c r="I2153" s="27" t="s">
        <v>1705</v>
      </c>
      <c r="J2153" s="27" t="s">
        <v>1706</v>
      </c>
    </row>
    <row r="2154" spans="1:10" x14ac:dyDescent="0.25">
      <c r="A2154" s="21" t="s">
        <v>1136</v>
      </c>
      <c r="B2154" s="391" t="str">
        <f>VLOOKUP(Tabela12[[#This Row],[Painel]],Tabela13[],2,0)</f>
        <v>GB-200</v>
      </c>
      <c r="C2154" s="391" t="s">
        <v>1135</v>
      </c>
      <c r="D2154" s="21" t="s">
        <v>2010</v>
      </c>
      <c r="E2154" s="21">
        <v>5</v>
      </c>
      <c r="F2154" s="27" t="str">
        <f>Tabela12[[#This Row],[Régua]]&amp;" ("&amp;Tabela12[[#This Row],[Born]]&amp;")"</f>
        <v>TB-01 (5)</v>
      </c>
      <c r="G2154" s="27">
        <f>LEN(Tabela12[[#This Row],[Anilha]])</f>
        <v>9</v>
      </c>
      <c r="H2154" s="21">
        <f>VLOOKUP(Tabela12[[#This Row],[Tag Cabo]],BD!A:F,6,0)</f>
        <v>1</v>
      </c>
      <c r="I2154" s="27" t="s">
        <v>1705</v>
      </c>
      <c r="J2154" s="27" t="s">
        <v>1706</v>
      </c>
    </row>
    <row r="2155" spans="1:10" x14ac:dyDescent="0.25">
      <c r="A2155" s="21" t="s">
        <v>1136</v>
      </c>
      <c r="B2155" s="391" t="str">
        <f>VLOOKUP(Tabela12[[#This Row],[Painel]],Tabela13[],2,0)</f>
        <v>GB-200</v>
      </c>
      <c r="C2155" s="391" t="s">
        <v>1135</v>
      </c>
      <c r="D2155" s="21" t="s">
        <v>2010</v>
      </c>
      <c r="E2155" s="21">
        <v>6</v>
      </c>
      <c r="F2155" s="27" t="str">
        <f>Tabela12[[#This Row],[Régua]]&amp;" ("&amp;Tabela12[[#This Row],[Born]]&amp;")"</f>
        <v>TB-01 (6)</v>
      </c>
      <c r="G2155" s="27">
        <f>LEN(Tabela12[[#This Row],[Anilha]])</f>
        <v>9</v>
      </c>
      <c r="H2155" s="21">
        <f>VLOOKUP(Tabela12[[#This Row],[Tag Cabo]],BD!A:F,6,0)</f>
        <v>1</v>
      </c>
      <c r="I2155" s="27" t="s">
        <v>1705</v>
      </c>
      <c r="J2155" s="27" t="s">
        <v>1706</v>
      </c>
    </row>
    <row r="2156" spans="1:10" x14ac:dyDescent="0.25">
      <c r="A2156" s="21" t="s">
        <v>1136</v>
      </c>
      <c r="B2156" s="391" t="str">
        <f>VLOOKUP(Tabela12[[#This Row],[Painel]],Tabela13[],2,0)</f>
        <v>CCP</v>
      </c>
      <c r="C2156" s="391" t="s">
        <v>1648</v>
      </c>
      <c r="D2156" s="21" t="s">
        <v>2012</v>
      </c>
      <c r="E2156" s="21">
        <v>10</v>
      </c>
      <c r="F2156" s="27" t="str">
        <f>Tabela12[[#This Row],[Régua]]&amp;" ("&amp;Tabela12[[#This Row],[Born]]&amp;")"</f>
        <v>TB-22 (10)</v>
      </c>
      <c r="G2156" s="27">
        <f>LEN(Tabela12[[#This Row],[Anilha]])</f>
        <v>10</v>
      </c>
      <c r="H2156" s="21">
        <f>VLOOKUP(Tabela12[[#This Row],[Tag Cabo]],BD!A:F,6,0)</f>
        <v>1</v>
      </c>
      <c r="I2156" s="27" t="s">
        <v>1705</v>
      </c>
      <c r="J2156" s="27" t="s">
        <v>1706</v>
      </c>
    </row>
    <row r="2157" spans="1:10" x14ac:dyDescent="0.25">
      <c r="A2157" s="21" t="s">
        <v>1136</v>
      </c>
      <c r="B2157" s="391" t="str">
        <f>VLOOKUP(Tabela12[[#This Row],[Painel]],Tabela13[],2,0)</f>
        <v>CCP</v>
      </c>
      <c r="C2157" s="391" t="s">
        <v>1648</v>
      </c>
      <c r="D2157" s="21" t="s">
        <v>2012</v>
      </c>
      <c r="E2157" s="21">
        <v>11</v>
      </c>
      <c r="F2157" s="27" t="str">
        <f>Tabela12[[#This Row],[Régua]]&amp;" ("&amp;Tabela12[[#This Row],[Born]]&amp;")"</f>
        <v>TB-22 (11)</v>
      </c>
      <c r="G2157" s="27">
        <f>LEN(Tabela12[[#This Row],[Anilha]])</f>
        <v>10</v>
      </c>
      <c r="H2157" s="21">
        <f>VLOOKUP(Tabela12[[#This Row],[Tag Cabo]],BD!A:F,6,0)</f>
        <v>1</v>
      </c>
      <c r="I2157" s="27" t="s">
        <v>1705</v>
      </c>
      <c r="J2157" s="27" t="s">
        <v>1706</v>
      </c>
    </row>
    <row r="2158" spans="1:10" x14ac:dyDescent="0.25">
      <c r="A2158" s="21" t="s">
        <v>1136</v>
      </c>
      <c r="B2158" s="391" t="str">
        <f>VLOOKUP(Tabela12[[#This Row],[Painel]],Tabela13[],2,0)</f>
        <v>CCP</v>
      </c>
      <c r="C2158" s="391" t="s">
        <v>1648</v>
      </c>
      <c r="D2158" s="21" t="s">
        <v>2012</v>
      </c>
      <c r="E2158" s="21">
        <v>13</v>
      </c>
      <c r="F2158" s="27" t="str">
        <f>Tabela12[[#This Row],[Régua]]&amp;" ("&amp;Tabela12[[#This Row],[Born]]&amp;")"</f>
        <v>TB-22 (13)</v>
      </c>
      <c r="G2158" s="27">
        <f>LEN(Tabela12[[#This Row],[Anilha]])</f>
        <v>10</v>
      </c>
      <c r="H2158" s="21">
        <f>VLOOKUP(Tabela12[[#This Row],[Tag Cabo]],BD!A:F,6,0)</f>
        <v>1</v>
      </c>
      <c r="I2158" s="27" t="s">
        <v>1705</v>
      </c>
      <c r="J2158" s="27" t="s">
        <v>1706</v>
      </c>
    </row>
    <row r="2159" spans="1:10" x14ac:dyDescent="0.25">
      <c r="A2159" s="21" t="s">
        <v>1136</v>
      </c>
      <c r="B2159" s="391" t="str">
        <f>VLOOKUP(Tabela12[[#This Row],[Painel]],Tabela13[],2,0)</f>
        <v>CCP</v>
      </c>
      <c r="C2159" s="391" t="s">
        <v>1648</v>
      </c>
      <c r="D2159" s="21" t="s">
        <v>2012</v>
      </c>
      <c r="E2159" s="21">
        <v>14</v>
      </c>
      <c r="F2159" s="27" t="str">
        <f>Tabela12[[#This Row],[Régua]]&amp;" ("&amp;Tabela12[[#This Row],[Born]]&amp;")"</f>
        <v>TB-22 (14)</v>
      </c>
      <c r="G2159" s="27">
        <f>LEN(Tabela12[[#This Row],[Anilha]])</f>
        <v>10</v>
      </c>
      <c r="H2159" s="21">
        <f>VLOOKUP(Tabela12[[#This Row],[Tag Cabo]],BD!A:F,6,0)</f>
        <v>1</v>
      </c>
      <c r="I2159" s="27" t="s">
        <v>1705</v>
      </c>
      <c r="J2159" s="27" t="s">
        <v>1706</v>
      </c>
    </row>
    <row r="2160" spans="1:10" x14ac:dyDescent="0.25">
      <c r="A2160" s="21" t="s">
        <v>665</v>
      </c>
      <c r="B2160" s="391" t="str">
        <f>VLOOKUP(Tabela12[[#This Row],[Painel]],Tabela13[],2,0)</f>
        <v>7HV</v>
      </c>
      <c r="C2160" s="391" t="s">
        <v>1543</v>
      </c>
      <c r="D2160" s="21" t="s">
        <v>2013</v>
      </c>
      <c r="E2160" s="21">
        <v>3</v>
      </c>
      <c r="F2160" s="27" t="str">
        <f>Tabela12[[#This Row],[Régua]]&amp;" ("&amp;Tabela12[[#This Row],[Born]]&amp;")"</f>
        <v>2XDJ2 (3)</v>
      </c>
      <c r="G2160" s="27">
        <f>LEN(Tabela12[[#This Row],[Anilha]])</f>
        <v>9</v>
      </c>
      <c r="H2160" s="21">
        <f>VLOOKUP(Tabela12[[#This Row],[Tag Cabo]],BD!A:F,6,0)</f>
        <v>1</v>
      </c>
      <c r="I2160" s="27" t="s">
        <v>1705</v>
      </c>
      <c r="J2160" s="27" t="s">
        <v>1706</v>
      </c>
    </row>
    <row r="2161" spans="1:10" x14ac:dyDescent="0.25">
      <c r="A2161" s="21" t="s">
        <v>665</v>
      </c>
      <c r="B2161" s="391" t="str">
        <f>VLOOKUP(Tabela12[[#This Row],[Painel]],Tabela13[],2,0)</f>
        <v>7HV</v>
      </c>
      <c r="C2161" s="391" t="s">
        <v>1543</v>
      </c>
      <c r="D2161" s="21" t="s">
        <v>2013</v>
      </c>
      <c r="E2161" s="21">
        <v>3</v>
      </c>
      <c r="F2161" s="27" t="str">
        <f>Tabela12[[#This Row],[Régua]]&amp;" ("&amp;Tabela12[[#This Row],[Born]]&amp;")"</f>
        <v>2XDJ2 (3)</v>
      </c>
      <c r="G2161" s="27">
        <f>LEN(Tabela12[[#This Row],[Anilha]])</f>
        <v>9</v>
      </c>
      <c r="H2161" s="21">
        <f>VLOOKUP(Tabela12[[#This Row],[Tag Cabo]],BD!A:F,6,0)</f>
        <v>1</v>
      </c>
      <c r="I2161" s="27" t="s">
        <v>1705</v>
      </c>
      <c r="J2161" s="27" t="s">
        <v>1706</v>
      </c>
    </row>
    <row r="2162" spans="1:10" x14ac:dyDescent="0.25">
      <c r="A2162" s="21" t="s">
        <v>665</v>
      </c>
      <c r="B2162" s="391" t="str">
        <f>VLOOKUP(Tabela12[[#This Row],[Painel]],Tabela13[],2,0)</f>
        <v>7HV</v>
      </c>
      <c r="C2162" s="391" t="s">
        <v>1543</v>
      </c>
      <c r="D2162" s="21" t="s">
        <v>2013</v>
      </c>
      <c r="E2162" s="21">
        <v>3</v>
      </c>
      <c r="F2162" s="27" t="str">
        <f>Tabela12[[#This Row],[Régua]]&amp;" ("&amp;Tabela12[[#This Row],[Born]]&amp;")"</f>
        <v>2XDJ2 (3)</v>
      </c>
      <c r="G2162" s="27">
        <f>LEN(Tabela12[[#This Row],[Anilha]])</f>
        <v>9</v>
      </c>
      <c r="H2162" s="21">
        <f>VLOOKUP(Tabela12[[#This Row],[Tag Cabo]],BD!A:F,6,0)</f>
        <v>1</v>
      </c>
      <c r="I2162" s="27" t="s">
        <v>1705</v>
      </c>
      <c r="J2162" s="27" t="s">
        <v>1706</v>
      </c>
    </row>
    <row r="2163" spans="1:10" x14ac:dyDescent="0.25">
      <c r="A2163" s="21" t="s">
        <v>665</v>
      </c>
      <c r="B2163" s="391" t="str">
        <f>VLOOKUP(Tabela12[[#This Row],[Painel]],Tabela13[],2,0)</f>
        <v>7HV</v>
      </c>
      <c r="C2163" s="391" t="s">
        <v>1543</v>
      </c>
      <c r="D2163" s="21" t="s">
        <v>2013</v>
      </c>
      <c r="E2163" s="21">
        <v>4</v>
      </c>
      <c r="F2163" s="27" t="str">
        <f>Tabela12[[#This Row],[Régua]]&amp;" ("&amp;Tabela12[[#This Row],[Born]]&amp;")"</f>
        <v>2XDJ2 (4)</v>
      </c>
      <c r="G2163" s="27">
        <f>LEN(Tabela12[[#This Row],[Anilha]])</f>
        <v>9</v>
      </c>
      <c r="H2163" s="21">
        <f>VLOOKUP(Tabela12[[#This Row],[Tag Cabo]],BD!A:F,6,0)</f>
        <v>1</v>
      </c>
      <c r="I2163" s="27" t="s">
        <v>1705</v>
      </c>
      <c r="J2163" s="27" t="s">
        <v>1706</v>
      </c>
    </row>
    <row r="2164" spans="1:10" x14ac:dyDescent="0.25">
      <c r="A2164" s="21" t="s">
        <v>665</v>
      </c>
      <c r="B2164" s="391" t="str">
        <f>VLOOKUP(Tabela12[[#This Row],[Painel]],Tabela13[],2,0)</f>
        <v>7HV</v>
      </c>
      <c r="C2164" s="391" t="s">
        <v>1543</v>
      </c>
      <c r="D2164" s="21" t="s">
        <v>2013</v>
      </c>
      <c r="E2164" s="21">
        <v>5</v>
      </c>
      <c r="F2164" s="27" t="str">
        <f>Tabela12[[#This Row],[Régua]]&amp;" ("&amp;Tabela12[[#This Row],[Born]]&amp;")"</f>
        <v>2XDJ2 (5)</v>
      </c>
      <c r="G2164" s="27">
        <f>LEN(Tabela12[[#This Row],[Anilha]])</f>
        <v>9</v>
      </c>
      <c r="H2164" s="21">
        <f>VLOOKUP(Tabela12[[#This Row],[Tag Cabo]],BD!A:F,6,0)</f>
        <v>1</v>
      </c>
      <c r="I2164" s="27" t="s">
        <v>1705</v>
      </c>
      <c r="J2164" s="27" t="s">
        <v>1706</v>
      </c>
    </row>
    <row r="2165" spans="1:10" x14ac:dyDescent="0.25">
      <c r="A2165" s="21" t="s">
        <v>665</v>
      </c>
      <c r="B2165" s="391" t="str">
        <f>VLOOKUP(Tabela12[[#This Row],[Painel]],Tabela13[],2,0)</f>
        <v>7HV</v>
      </c>
      <c r="C2165" s="391" t="s">
        <v>1543</v>
      </c>
      <c r="D2165" s="21" t="s">
        <v>2013</v>
      </c>
      <c r="E2165" s="21">
        <v>6</v>
      </c>
      <c r="F2165" s="27" t="str">
        <f>Tabela12[[#This Row],[Régua]]&amp;" ("&amp;Tabela12[[#This Row],[Born]]&amp;")"</f>
        <v>2XDJ2 (6)</v>
      </c>
      <c r="G2165" s="27">
        <f>LEN(Tabela12[[#This Row],[Anilha]])</f>
        <v>9</v>
      </c>
      <c r="H2165" s="21">
        <f>VLOOKUP(Tabela12[[#This Row],[Tag Cabo]],BD!A:F,6,0)</f>
        <v>1</v>
      </c>
      <c r="I2165" s="27" t="s">
        <v>1705</v>
      </c>
      <c r="J2165" s="27" t="s">
        <v>1706</v>
      </c>
    </row>
    <row r="2166" spans="1:10" x14ac:dyDescent="0.25">
      <c r="A2166" s="21" t="s">
        <v>665</v>
      </c>
      <c r="B2166" s="391" t="str">
        <f>VLOOKUP(Tabela12[[#This Row],[Painel]],Tabela13[],2,0)</f>
        <v>CCP</v>
      </c>
      <c r="C2166" s="391" t="s">
        <v>1648</v>
      </c>
      <c r="D2166" s="21" t="s">
        <v>2014</v>
      </c>
      <c r="E2166" s="21">
        <v>4</v>
      </c>
      <c r="F2166" s="27" t="str">
        <f>Tabela12[[#This Row],[Régua]]&amp;" ("&amp;Tabela12[[#This Row],[Born]]&amp;")"</f>
        <v>TB-24 (4)</v>
      </c>
      <c r="G2166" s="27">
        <f>LEN(Tabela12[[#This Row],[Anilha]])</f>
        <v>9</v>
      </c>
      <c r="H2166" s="21">
        <f>VLOOKUP(Tabela12[[#This Row],[Tag Cabo]],BD!A:F,6,0)</f>
        <v>1</v>
      </c>
      <c r="I2166" s="27" t="s">
        <v>1705</v>
      </c>
      <c r="J2166" s="27" t="s">
        <v>1706</v>
      </c>
    </row>
    <row r="2167" spans="1:10" x14ac:dyDescent="0.25">
      <c r="A2167" s="21" t="s">
        <v>665</v>
      </c>
      <c r="B2167" s="391" t="str">
        <f>VLOOKUP(Tabela12[[#This Row],[Painel]],Tabela13[],2,0)</f>
        <v>CCP</v>
      </c>
      <c r="C2167" s="391" t="s">
        <v>1648</v>
      </c>
      <c r="D2167" s="21" t="s">
        <v>2014</v>
      </c>
      <c r="E2167" s="21">
        <v>5</v>
      </c>
      <c r="F2167" s="27" t="str">
        <f>Tabela12[[#This Row],[Régua]]&amp;" ("&amp;Tabela12[[#This Row],[Born]]&amp;")"</f>
        <v>TB-24 (5)</v>
      </c>
      <c r="G2167" s="27">
        <f>LEN(Tabela12[[#This Row],[Anilha]])</f>
        <v>9</v>
      </c>
      <c r="H2167" s="21">
        <f>VLOOKUP(Tabela12[[#This Row],[Tag Cabo]],BD!A:F,6,0)</f>
        <v>1</v>
      </c>
      <c r="I2167" s="27" t="s">
        <v>1705</v>
      </c>
      <c r="J2167" s="27" t="s">
        <v>1706</v>
      </c>
    </row>
    <row r="2168" spans="1:10" x14ac:dyDescent="0.25">
      <c r="A2168" s="21" t="s">
        <v>665</v>
      </c>
      <c r="B2168" s="391" t="str">
        <f>VLOOKUP(Tabela12[[#This Row],[Painel]],Tabela13[],2,0)</f>
        <v>CCP</v>
      </c>
      <c r="C2168" s="391" t="s">
        <v>1648</v>
      </c>
      <c r="D2168" s="21" t="s">
        <v>2014</v>
      </c>
      <c r="E2168" s="21">
        <v>13</v>
      </c>
      <c r="F2168" s="27" t="str">
        <f>Tabela12[[#This Row],[Régua]]&amp;" ("&amp;Tabela12[[#This Row],[Born]]&amp;")"</f>
        <v>TB-24 (13)</v>
      </c>
      <c r="G2168" s="27">
        <f>LEN(Tabela12[[#This Row],[Anilha]])</f>
        <v>10</v>
      </c>
      <c r="H2168" s="21">
        <f>VLOOKUP(Tabela12[[#This Row],[Tag Cabo]],BD!A:F,6,0)</f>
        <v>1</v>
      </c>
      <c r="I2168" s="27" t="s">
        <v>1705</v>
      </c>
      <c r="J2168" s="27" t="s">
        <v>1706</v>
      </c>
    </row>
    <row r="2169" spans="1:10" x14ac:dyDescent="0.25">
      <c r="A2169" s="21" t="s">
        <v>665</v>
      </c>
      <c r="B2169" s="391" t="str">
        <f>VLOOKUP(Tabela12[[#This Row],[Painel]],Tabela13[],2,0)</f>
        <v>CCP</v>
      </c>
      <c r="C2169" s="391" t="s">
        <v>1648</v>
      </c>
      <c r="D2169" s="21" t="s">
        <v>2014</v>
      </c>
      <c r="E2169" s="21">
        <v>14</v>
      </c>
      <c r="F2169" s="27" t="str">
        <f>Tabela12[[#This Row],[Régua]]&amp;" ("&amp;Tabela12[[#This Row],[Born]]&amp;")"</f>
        <v>TB-24 (14)</v>
      </c>
      <c r="G2169" s="27">
        <f>LEN(Tabela12[[#This Row],[Anilha]])</f>
        <v>10</v>
      </c>
      <c r="H2169" s="21">
        <f>VLOOKUP(Tabela12[[#This Row],[Tag Cabo]],BD!A:F,6,0)</f>
        <v>1</v>
      </c>
      <c r="I2169" s="27" t="s">
        <v>1705</v>
      </c>
      <c r="J2169" s="27" t="s">
        <v>1706</v>
      </c>
    </row>
    <row r="2170" spans="1:10" x14ac:dyDescent="0.25">
      <c r="A2170" s="21" t="s">
        <v>665</v>
      </c>
      <c r="B2170" s="391" t="str">
        <f>VLOOKUP(Tabela12[[#This Row],[Painel]],Tabela13[],2,0)</f>
        <v>CCP</v>
      </c>
      <c r="C2170" s="391" t="s">
        <v>1648</v>
      </c>
      <c r="D2170" s="21" t="s">
        <v>2014</v>
      </c>
      <c r="E2170" s="21">
        <v>25</v>
      </c>
      <c r="F2170" s="27" t="str">
        <f>Tabela12[[#This Row],[Régua]]&amp;" ("&amp;Tabela12[[#This Row],[Born]]&amp;")"</f>
        <v>TB-24 (25)</v>
      </c>
      <c r="G2170" s="27">
        <f>LEN(Tabela12[[#This Row],[Anilha]])</f>
        <v>10</v>
      </c>
      <c r="H2170" s="21">
        <f>VLOOKUP(Tabela12[[#This Row],[Tag Cabo]],BD!A:F,6,0)</f>
        <v>1</v>
      </c>
      <c r="I2170" s="27" t="s">
        <v>1705</v>
      </c>
      <c r="J2170" s="27" t="s">
        <v>1706</v>
      </c>
    </row>
    <row r="2171" spans="1:10" x14ac:dyDescent="0.25">
      <c r="A2171" s="21" t="s">
        <v>665</v>
      </c>
      <c r="B2171" s="391" t="str">
        <f>VLOOKUP(Tabela12[[#This Row],[Painel]],Tabela13[],2,0)</f>
        <v>CCP</v>
      </c>
      <c r="C2171" s="391" t="s">
        <v>1648</v>
      </c>
      <c r="D2171" s="21" t="s">
        <v>2014</v>
      </c>
      <c r="E2171" s="21">
        <v>26</v>
      </c>
      <c r="F2171" s="27" t="str">
        <f>Tabela12[[#This Row],[Régua]]&amp;" ("&amp;Tabela12[[#This Row],[Born]]&amp;")"</f>
        <v>TB-24 (26)</v>
      </c>
      <c r="G2171" s="27">
        <f>LEN(Tabela12[[#This Row],[Anilha]])</f>
        <v>10</v>
      </c>
      <c r="H2171" s="21">
        <f>VLOOKUP(Tabela12[[#This Row],[Tag Cabo]],BD!A:F,6,0)</f>
        <v>1</v>
      </c>
      <c r="I2171" s="27" t="s">
        <v>1705</v>
      </c>
      <c r="J2171" s="27" t="s">
        <v>1706</v>
      </c>
    </row>
    <row r="2172" spans="1:10" x14ac:dyDescent="0.25">
      <c r="A2172" s="21" t="s">
        <v>667</v>
      </c>
      <c r="B2172" s="391" t="str">
        <f>VLOOKUP(Tabela12[[#This Row],[Painel]],Tabela13[],2,0)</f>
        <v>7HV</v>
      </c>
      <c r="C2172" s="391" t="s">
        <v>1543</v>
      </c>
      <c r="D2172" s="21" t="s">
        <v>2015</v>
      </c>
      <c r="E2172" s="21">
        <v>3</v>
      </c>
      <c r="F2172" s="27" t="str">
        <f>Tabela12[[#This Row],[Régua]]&amp;" ("&amp;Tabela12[[#This Row],[Born]]&amp;")"</f>
        <v>2XDJ28 (3)</v>
      </c>
      <c r="G2172" s="27">
        <f>LEN(Tabela12[[#This Row],[Anilha]])</f>
        <v>10</v>
      </c>
      <c r="H2172" s="21">
        <f>VLOOKUP(Tabela12[[#This Row],[Tag Cabo]],BD!A:F,6,0)</f>
        <v>1</v>
      </c>
      <c r="I2172" s="27" t="s">
        <v>1705</v>
      </c>
      <c r="J2172" s="27" t="s">
        <v>1706</v>
      </c>
    </row>
    <row r="2173" spans="1:10" x14ac:dyDescent="0.25">
      <c r="A2173" s="21" t="s">
        <v>667</v>
      </c>
      <c r="B2173" s="391" t="str">
        <f>VLOOKUP(Tabela12[[#This Row],[Painel]],Tabela13[],2,0)</f>
        <v>7HV</v>
      </c>
      <c r="C2173" s="391" t="s">
        <v>1543</v>
      </c>
      <c r="D2173" s="21" t="s">
        <v>2015</v>
      </c>
      <c r="E2173" s="21">
        <v>3</v>
      </c>
      <c r="F2173" s="27" t="str">
        <f>Tabela12[[#This Row],[Régua]]&amp;" ("&amp;Tabela12[[#This Row],[Born]]&amp;")"</f>
        <v>2XDJ28 (3)</v>
      </c>
      <c r="G2173" s="27">
        <f>LEN(Tabela12[[#This Row],[Anilha]])</f>
        <v>10</v>
      </c>
      <c r="H2173" s="21">
        <f>VLOOKUP(Tabela12[[#This Row],[Tag Cabo]],BD!A:F,6,0)</f>
        <v>1</v>
      </c>
      <c r="I2173" s="27" t="s">
        <v>1705</v>
      </c>
      <c r="J2173" s="27" t="s">
        <v>1706</v>
      </c>
    </row>
    <row r="2174" spans="1:10" x14ac:dyDescent="0.25">
      <c r="A2174" s="21" t="s">
        <v>667</v>
      </c>
      <c r="B2174" s="391" t="str">
        <f>VLOOKUP(Tabela12[[#This Row],[Painel]],Tabela13[],2,0)</f>
        <v>7HV</v>
      </c>
      <c r="C2174" s="391" t="s">
        <v>1543</v>
      </c>
      <c r="D2174" s="21" t="s">
        <v>2015</v>
      </c>
      <c r="E2174" s="21">
        <v>3</v>
      </c>
      <c r="F2174" s="27" t="str">
        <f>Tabela12[[#This Row],[Régua]]&amp;" ("&amp;Tabela12[[#This Row],[Born]]&amp;")"</f>
        <v>2XDJ28 (3)</v>
      </c>
      <c r="G2174" s="27">
        <f>LEN(Tabela12[[#This Row],[Anilha]])</f>
        <v>10</v>
      </c>
      <c r="H2174" s="21">
        <f>VLOOKUP(Tabela12[[#This Row],[Tag Cabo]],BD!A:F,6,0)</f>
        <v>1</v>
      </c>
      <c r="I2174" s="27" t="s">
        <v>1705</v>
      </c>
      <c r="J2174" s="27" t="s">
        <v>1706</v>
      </c>
    </row>
    <row r="2175" spans="1:10" x14ac:dyDescent="0.25">
      <c r="A2175" s="21" t="s">
        <v>667</v>
      </c>
      <c r="B2175" s="391" t="str">
        <f>VLOOKUP(Tabela12[[#This Row],[Painel]],Tabela13[],2,0)</f>
        <v>7HV</v>
      </c>
      <c r="C2175" s="391" t="s">
        <v>1543</v>
      </c>
      <c r="D2175" s="21" t="s">
        <v>2015</v>
      </c>
      <c r="E2175" s="21">
        <v>4</v>
      </c>
      <c r="F2175" s="27" t="str">
        <f>Tabela12[[#This Row],[Régua]]&amp;" ("&amp;Tabela12[[#This Row],[Born]]&amp;")"</f>
        <v>2XDJ28 (4)</v>
      </c>
      <c r="G2175" s="27">
        <f>LEN(Tabela12[[#This Row],[Anilha]])</f>
        <v>10</v>
      </c>
      <c r="H2175" s="21">
        <f>VLOOKUP(Tabela12[[#This Row],[Tag Cabo]],BD!A:F,6,0)</f>
        <v>1</v>
      </c>
      <c r="I2175" s="27" t="s">
        <v>1705</v>
      </c>
      <c r="J2175" s="27" t="s">
        <v>1706</v>
      </c>
    </row>
    <row r="2176" spans="1:10" x14ac:dyDescent="0.25">
      <c r="A2176" s="21" t="s">
        <v>667</v>
      </c>
      <c r="B2176" s="391" t="str">
        <f>VLOOKUP(Tabela12[[#This Row],[Painel]],Tabela13[],2,0)</f>
        <v>7HV</v>
      </c>
      <c r="C2176" s="391" t="s">
        <v>1543</v>
      </c>
      <c r="D2176" s="21" t="s">
        <v>2015</v>
      </c>
      <c r="E2176" s="21">
        <v>5</v>
      </c>
      <c r="F2176" s="27" t="str">
        <f>Tabela12[[#This Row],[Régua]]&amp;" ("&amp;Tabela12[[#This Row],[Born]]&amp;")"</f>
        <v>2XDJ28 (5)</v>
      </c>
      <c r="G2176" s="27">
        <f>LEN(Tabela12[[#This Row],[Anilha]])</f>
        <v>10</v>
      </c>
      <c r="H2176" s="21">
        <f>VLOOKUP(Tabela12[[#This Row],[Tag Cabo]],BD!A:F,6,0)</f>
        <v>1</v>
      </c>
      <c r="I2176" s="27" t="s">
        <v>1705</v>
      </c>
      <c r="J2176" s="27" t="s">
        <v>1706</v>
      </c>
    </row>
    <row r="2177" spans="1:10" x14ac:dyDescent="0.25">
      <c r="A2177" s="21" t="s">
        <v>667</v>
      </c>
      <c r="B2177" s="391" t="str">
        <f>VLOOKUP(Tabela12[[#This Row],[Painel]],Tabela13[],2,0)</f>
        <v>7HV</v>
      </c>
      <c r="C2177" s="391" t="s">
        <v>1543</v>
      </c>
      <c r="D2177" s="21" t="s">
        <v>2015</v>
      </c>
      <c r="E2177" s="21">
        <v>6</v>
      </c>
      <c r="F2177" s="27" t="str">
        <f>Tabela12[[#This Row],[Régua]]&amp;" ("&amp;Tabela12[[#This Row],[Born]]&amp;")"</f>
        <v>2XDJ28 (6)</v>
      </c>
      <c r="G2177" s="27">
        <f>LEN(Tabela12[[#This Row],[Anilha]])</f>
        <v>10</v>
      </c>
      <c r="H2177" s="21">
        <f>VLOOKUP(Tabela12[[#This Row],[Tag Cabo]],BD!A:F,6,0)</f>
        <v>1</v>
      </c>
      <c r="I2177" s="27" t="s">
        <v>1705</v>
      </c>
      <c r="J2177" s="27" t="s">
        <v>1706</v>
      </c>
    </row>
    <row r="2178" spans="1:10" x14ac:dyDescent="0.25">
      <c r="A2178" s="21" t="s">
        <v>667</v>
      </c>
      <c r="B2178" s="391" t="str">
        <f>VLOOKUP(Tabela12[[#This Row],[Painel]],Tabela13[],2,0)</f>
        <v>CCP</v>
      </c>
      <c r="C2178" s="391" t="s">
        <v>1648</v>
      </c>
      <c r="D2178" s="21" t="s">
        <v>2014</v>
      </c>
      <c r="E2178" s="21">
        <v>28</v>
      </c>
      <c r="F2178" s="27" t="str">
        <f>Tabela12[[#This Row],[Régua]]&amp;" ("&amp;Tabela12[[#This Row],[Born]]&amp;")"</f>
        <v>TB-24 (28)</v>
      </c>
      <c r="G2178" s="27">
        <f>LEN(Tabela12[[#This Row],[Anilha]])</f>
        <v>10</v>
      </c>
      <c r="H2178" s="21">
        <f>VLOOKUP(Tabela12[[#This Row],[Tag Cabo]],BD!A:F,6,0)</f>
        <v>1</v>
      </c>
      <c r="I2178" s="27" t="s">
        <v>1705</v>
      </c>
      <c r="J2178" s="27" t="s">
        <v>1706</v>
      </c>
    </row>
    <row r="2179" spans="1:10" x14ac:dyDescent="0.25">
      <c r="A2179" s="21" t="s">
        <v>667</v>
      </c>
      <c r="B2179" s="391" t="str">
        <f>VLOOKUP(Tabela12[[#This Row],[Painel]],Tabela13[],2,0)</f>
        <v>CCP</v>
      </c>
      <c r="C2179" s="391" t="s">
        <v>1648</v>
      </c>
      <c r="D2179" s="21" t="s">
        <v>2014</v>
      </c>
      <c r="E2179" s="21">
        <v>29</v>
      </c>
      <c r="F2179" s="27" t="str">
        <f>Tabela12[[#This Row],[Régua]]&amp;" ("&amp;Tabela12[[#This Row],[Born]]&amp;")"</f>
        <v>TB-24 (29)</v>
      </c>
      <c r="G2179" s="27">
        <f>LEN(Tabela12[[#This Row],[Anilha]])</f>
        <v>10</v>
      </c>
      <c r="H2179" s="21">
        <f>VLOOKUP(Tabela12[[#This Row],[Tag Cabo]],BD!A:F,6,0)</f>
        <v>1</v>
      </c>
      <c r="I2179" s="27" t="s">
        <v>1705</v>
      </c>
      <c r="J2179" s="27" t="s">
        <v>1706</v>
      </c>
    </row>
    <row r="2180" spans="1:10" x14ac:dyDescent="0.25">
      <c r="A2180" s="21" t="s">
        <v>667</v>
      </c>
      <c r="B2180" s="391" t="str">
        <f>VLOOKUP(Tabela12[[#This Row],[Painel]],Tabela13[],2,0)</f>
        <v>CCP</v>
      </c>
      <c r="C2180" s="391" t="s">
        <v>1648</v>
      </c>
      <c r="D2180" s="21" t="s">
        <v>2014</v>
      </c>
      <c r="E2180" s="21">
        <v>34</v>
      </c>
      <c r="F2180" s="27" t="str">
        <f>Tabela12[[#This Row],[Régua]]&amp;" ("&amp;Tabela12[[#This Row],[Born]]&amp;")"</f>
        <v>TB-24 (34)</v>
      </c>
      <c r="G2180" s="27">
        <f>LEN(Tabela12[[#This Row],[Anilha]])</f>
        <v>10</v>
      </c>
      <c r="H2180" s="21">
        <f>VLOOKUP(Tabela12[[#This Row],[Tag Cabo]],BD!A:F,6,0)</f>
        <v>1</v>
      </c>
      <c r="I2180" s="27" t="s">
        <v>1705</v>
      </c>
      <c r="J2180" s="27" t="s">
        <v>1706</v>
      </c>
    </row>
    <row r="2181" spans="1:10" x14ac:dyDescent="0.25">
      <c r="A2181" s="21" t="s">
        <v>667</v>
      </c>
      <c r="B2181" s="391" t="str">
        <f>VLOOKUP(Tabela12[[#This Row],[Painel]],Tabela13[],2,0)</f>
        <v>CCP</v>
      </c>
      <c r="C2181" s="391" t="s">
        <v>1648</v>
      </c>
      <c r="D2181" s="21" t="s">
        <v>2014</v>
      </c>
      <c r="E2181" s="21">
        <v>35</v>
      </c>
      <c r="F2181" s="27" t="str">
        <f>Tabela12[[#This Row],[Régua]]&amp;" ("&amp;Tabela12[[#This Row],[Born]]&amp;")"</f>
        <v>TB-24 (35)</v>
      </c>
      <c r="G2181" s="27">
        <f>LEN(Tabela12[[#This Row],[Anilha]])</f>
        <v>10</v>
      </c>
      <c r="H2181" s="21">
        <f>VLOOKUP(Tabela12[[#This Row],[Tag Cabo]],BD!A:F,6,0)</f>
        <v>1</v>
      </c>
      <c r="I2181" s="27" t="s">
        <v>1705</v>
      </c>
      <c r="J2181" s="27" t="s">
        <v>1706</v>
      </c>
    </row>
    <row r="2182" spans="1:10" x14ac:dyDescent="0.25">
      <c r="A2182" s="21" t="s">
        <v>667</v>
      </c>
      <c r="B2182" s="391" t="str">
        <f>VLOOKUP(Tabela12[[#This Row],[Painel]],Tabela13[],2,0)</f>
        <v>CCP</v>
      </c>
      <c r="C2182" s="391" t="s">
        <v>1648</v>
      </c>
      <c r="D2182" s="21" t="s">
        <v>2014</v>
      </c>
      <c r="E2182" s="21">
        <v>37</v>
      </c>
      <c r="F2182" s="27" t="str">
        <f>Tabela12[[#This Row],[Régua]]&amp;" ("&amp;Tabela12[[#This Row],[Born]]&amp;")"</f>
        <v>TB-24 (37)</v>
      </c>
      <c r="G2182" s="27">
        <f>LEN(Tabela12[[#This Row],[Anilha]])</f>
        <v>10</v>
      </c>
      <c r="H2182" s="21">
        <f>VLOOKUP(Tabela12[[#This Row],[Tag Cabo]],BD!A:F,6,0)</f>
        <v>1</v>
      </c>
      <c r="I2182" s="27" t="s">
        <v>1705</v>
      </c>
      <c r="J2182" s="27" t="s">
        <v>1706</v>
      </c>
    </row>
    <row r="2183" spans="1:10" x14ac:dyDescent="0.25">
      <c r="A2183" s="21" t="s">
        <v>667</v>
      </c>
      <c r="B2183" s="391" t="str">
        <f>VLOOKUP(Tabela12[[#This Row],[Painel]],Tabela13[],2,0)</f>
        <v>CCP</v>
      </c>
      <c r="C2183" s="391" t="s">
        <v>1648</v>
      </c>
      <c r="D2183" s="21" t="s">
        <v>2014</v>
      </c>
      <c r="E2183" s="21">
        <v>38</v>
      </c>
      <c r="F2183" s="27" t="str">
        <f>Tabela12[[#This Row],[Régua]]&amp;" ("&amp;Tabela12[[#This Row],[Born]]&amp;")"</f>
        <v>TB-24 (38)</v>
      </c>
      <c r="G2183" s="27">
        <f>LEN(Tabela12[[#This Row],[Anilha]])</f>
        <v>10</v>
      </c>
      <c r="H2183" s="21">
        <f>VLOOKUP(Tabela12[[#This Row],[Tag Cabo]],BD!A:F,6,0)</f>
        <v>1</v>
      </c>
      <c r="I2183" s="27" t="s">
        <v>1705</v>
      </c>
      <c r="J2183" s="27" t="s">
        <v>1706</v>
      </c>
    </row>
    <row r="2184" spans="1:10" x14ac:dyDescent="0.25">
      <c r="A2184" s="21" t="s">
        <v>668</v>
      </c>
      <c r="B2184" s="391" t="str">
        <f>VLOOKUP(Tabela12[[#This Row],[Painel]],Tabela13[],2,0)</f>
        <v>7HV</v>
      </c>
      <c r="C2184" s="391" t="s">
        <v>1543</v>
      </c>
      <c r="D2184" s="21" t="s">
        <v>2016</v>
      </c>
      <c r="E2184" s="21">
        <v>3</v>
      </c>
      <c r="F2184" s="27" t="str">
        <f>Tabela12[[#This Row],[Régua]]&amp;" ("&amp;Tabela12[[#This Row],[Born]]&amp;")"</f>
        <v>2XDJ29 (3)</v>
      </c>
      <c r="G2184" s="27">
        <f>LEN(Tabela12[[#This Row],[Anilha]])</f>
        <v>10</v>
      </c>
      <c r="H2184" s="21">
        <f>VLOOKUP(Tabela12[[#This Row],[Tag Cabo]],BD!A:F,6,0)</f>
        <v>1</v>
      </c>
      <c r="I2184" s="27" t="s">
        <v>1705</v>
      </c>
      <c r="J2184" s="27" t="s">
        <v>1706</v>
      </c>
    </row>
    <row r="2185" spans="1:10" x14ac:dyDescent="0.25">
      <c r="A2185" s="21" t="s">
        <v>668</v>
      </c>
      <c r="B2185" s="391" t="str">
        <f>VLOOKUP(Tabela12[[#This Row],[Painel]],Tabela13[],2,0)</f>
        <v>7HV</v>
      </c>
      <c r="C2185" s="391" t="s">
        <v>1543</v>
      </c>
      <c r="D2185" s="21" t="s">
        <v>2016</v>
      </c>
      <c r="E2185" s="21">
        <v>3</v>
      </c>
      <c r="F2185" s="27" t="str">
        <f>Tabela12[[#This Row],[Régua]]&amp;" ("&amp;Tabela12[[#This Row],[Born]]&amp;")"</f>
        <v>2XDJ29 (3)</v>
      </c>
      <c r="G2185" s="27">
        <f>LEN(Tabela12[[#This Row],[Anilha]])</f>
        <v>10</v>
      </c>
      <c r="H2185" s="21">
        <f>VLOOKUP(Tabela12[[#This Row],[Tag Cabo]],BD!A:F,6,0)</f>
        <v>1</v>
      </c>
      <c r="I2185" s="27" t="s">
        <v>1705</v>
      </c>
      <c r="J2185" s="27" t="s">
        <v>1706</v>
      </c>
    </row>
    <row r="2186" spans="1:10" x14ac:dyDescent="0.25">
      <c r="A2186" s="21" t="s">
        <v>668</v>
      </c>
      <c r="B2186" s="391" t="str">
        <f>VLOOKUP(Tabela12[[#This Row],[Painel]],Tabela13[],2,0)</f>
        <v>7HV</v>
      </c>
      <c r="C2186" s="391" t="s">
        <v>1543</v>
      </c>
      <c r="D2186" s="21" t="s">
        <v>2016</v>
      </c>
      <c r="E2186" s="21">
        <v>3</v>
      </c>
      <c r="F2186" s="27" t="str">
        <f>Tabela12[[#This Row],[Régua]]&amp;" ("&amp;Tabela12[[#This Row],[Born]]&amp;")"</f>
        <v>2XDJ29 (3)</v>
      </c>
      <c r="G2186" s="27">
        <f>LEN(Tabela12[[#This Row],[Anilha]])</f>
        <v>10</v>
      </c>
      <c r="H2186" s="21">
        <f>VLOOKUP(Tabela12[[#This Row],[Tag Cabo]],BD!A:F,6,0)</f>
        <v>1</v>
      </c>
      <c r="I2186" s="27" t="s">
        <v>1705</v>
      </c>
      <c r="J2186" s="27" t="s">
        <v>1706</v>
      </c>
    </row>
    <row r="2187" spans="1:10" x14ac:dyDescent="0.25">
      <c r="A2187" s="21" t="s">
        <v>668</v>
      </c>
      <c r="B2187" s="391" t="str">
        <f>VLOOKUP(Tabela12[[#This Row],[Painel]],Tabela13[],2,0)</f>
        <v>7HV</v>
      </c>
      <c r="C2187" s="391" t="s">
        <v>1543</v>
      </c>
      <c r="D2187" s="21" t="s">
        <v>2016</v>
      </c>
      <c r="E2187" s="21">
        <v>4</v>
      </c>
      <c r="F2187" s="27" t="str">
        <f>Tabela12[[#This Row],[Régua]]&amp;" ("&amp;Tabela12[[#This Row],[Born]]&amp;")"</f>
        <v>2XDJ29 (4)</v>
      </c>
      <c r="G2187" s="27">
        <f>LEN(Tabela12[[#This Row],[Anilha]])</f>
        <v>10</v>
      </c>
      <c r="H2187" s="21">
        <f>VLOOKUP(Tabela12[[#This Row],[Tag Cabo]],BD!A:F,6,0)</f>
        <v>1</v>
      </c>
      <c r="I2187" s="27" t="s">
        <v>1705</v>
      </c>
      <c r="J2187" s="27" t="s">
        <v>1706</v>
      </c>
    </row>
    <row r="2188" spans="1:10" x14ac:dyDescent="0.25">
      <c r="A2188" s="21" t="s">
        <v>668</v>
      </c>
      <c r="B2188" s="391" t="str">
        <f>VLOOKUP(Tabela12[[#This Row],[Painel]],Tabela13[],2,0)</f>
        <v>7HV</v>
      </c>
      <c r="C2188" s="391" t="s">
        <v>1543</v>
      </c>
      <c r="D2188" s="21" t="s">
        <v>2016</v>
      </c>
      <c r="E2188" s="21">
        <v>5</v>
      </c>
      <c r="F2188" s="27" t="str">
        <f>Tabela12[[#This Row],[Régua]]&amp;" ("&amp;Tabela12[[#This Row],[Born]]&amp;")"</f>
        <v>2XDJ29 (5)</v>
      </c>
      <c r="G2188" s="27">
        <f>LEN(Tabela12[[#This Row],[Anilha]])</f>
        <v>10</v>
      </c>
      <c r="H2188" s="21">
        <f>VLOOKUP(Tabela12[[#This Row],[Tag Cabo]],BD!A:F,6,0)</f>
        <v>1</v>
      </c>
      <c r="I2188" s="27" t="s">
        <v>1705</v>
      </c>
      <c r="J2188" s="27" t="s">
        <v>1706</v>
      </c>
    </row>
    <row r="2189" spans="1:10" x14ac:dyDescent="0.25">
      <c r="A2189" s="21" t="s">
        <v>668</v>
      </c>
      <c r="B2189" s="391" t="str">
        <f>VLOOKUP(Tabela12[[#This Row],[Painel]],Tabela13[],2,0)</f>
        <v>7HV</v>
      </c>
      <c r="C2189" s="391" t="s">
        <v>1543</v>
      </c>
      <c r="D2189" s="21" t="s">
        <v>2016</v>
      </c>
      <c r="E2189" s="21">
        <v>6</v>
      </c>
      <c r="F2189" s="27" t="str">
        <f>Tabela12[[#This Row],[Régua]]&amp;" ("&amp;Tabela12[[#This Row],[Born]]&amp;")"</f>
        <v>2XDJ29 (6)</v>
      </c>
      <c r="G2189" s="27">
        <f>LEN(Tabela12[[#This Row],[Anilha]])</f>
        <v>10</v>
      </c>
      <c r="H2189" s="21">
        <f>VLOOKUP(Tabela12[[#This Row],[Tag Cabo]],BD!A:F,6,0)</f>
        <v>1</v>
      </c>
      <c r="I2189" s="27" t="s">
        <v>1705</v>
      </c>
      <c r="J2189" s="27" t="s">
        <v>1706</v>
      </c>
    </row>
    <row r="2190" spans="1:10" x14ac:dyDescent="0.25">
      <c r="A2190" s="21" t="s">
        <v>668</v>
      </c>
      <c r="B2190" s="391" t="str">
        <f>VLOOKUP(Tabela12[[#This Row],[Painel]],Tabela13[],2,0)</f>
        <v>CCP</v>
      </c>
      <c r="C2190" s="391" t="s">
        <v>1648</v>
      </c>
      <c r="D2190" s="21" t="s">
        <v>2014</v>
      </c>
      <c r="E2190" s="21">
        <v>43</v>
      </c>
      <c r="F2190" s="27" t="str">
        <f>Tabela12[[#This Row],[Régua]]&amp;" ("&amp;Tabela12[[#This Row],[Born]]&amp;")"</f>
        <v>TB-24 (43)</v>
      </c>
      <c r="G2190" s="27">
        <f>LEN(Tabela12[[#This Row],[Anilha]])</f>
        <v>10</v>
      </c>
      <c r="H2190" s="21">
        <f>VLOOKUP(Tabela12[[#This Row],[Tag Cabo]],BD!A:F,6,0)</f>
        <v>1</v>
      </c>
      <c r="I2190" s="27" t="s">
        <v>1705</v>
      </c>
      <c r="J2190" s="27" t="s">
        <v>1706</v>
      </c>
    </row>
    <row r="2191" spans="1:10" x14ac:dyDescent="0.25">
      <c r="A2191" s="21" t="s">
        <v>668</v>
      </c>
      <c r="B2191" s="391" t="str">
        <f>VLOOKUP(Tabela12[[#This Row],[Painel]],Tabela13[],2,0)</f>
        <v>CCP</v>
      </c>
      <c r="C2191" s="391" t="s">
        <v>1648</v>
      </c>
      <c r="D2191" s="21" t="s">
        <v>2014</v>
      </c>
      <c r="E2191" s="21">
        <v>44</v>
      </c>
      <c r="F2191" s="27" t="str">
        <f>Tabela12[[#This Row],[Régua]]&amp;" ("&amp;Tabela12[[#This Row],[Born]]&amp;")"</f>
        <v>TB-24 (44)</v>
      </c>
      <c r="G2191" s="27">
        <f>LEN(Tabela12[[#This Row],[Anilha]])</f>
        <v>10</v>
      </c>
      <c r="H2191" s="21">
        <f>VLOOKUP(Tabela12[[#This Row],[Tag Cabo]],BD!A:F,6,0)</f>
        <v>1</v>
      </c>
      <c r="I2191" s="27" t="s">
        <v>1705</v>
      </c>
      <c r="J2191" s="27" t="s">
        <v>1706</v>
      </c>
    </row>
    <row r="2192" spans="1:10" x14ac:dyDescent="0.25">
      <c r="A2192" s="21" t="s">
        <v>668</v>
      </c>
      <c r="B2192" s="391" t="str">
        <f>VLOOKUP(Tabela12[[#This Row],[Painel]],Tabela13[],2,0)</f>
        <v>CCP</v>
      </c>
      <c r="C2192" s="391" t="s">
        <v>1648</v>
      </c>
      <c r="D2192" s="21" t="s">
        <v>2014</v>
      </c>
      <c r="E2192" s="21">
        <v>46</v>
      </c>
      <c r="F2192" s="27" t="str">
        <f>Tabela12[[#This Row],[Régua]]&amp;" ("&amp;Tabela12[[#This Row],[Born]]&amp;")"</f>
        <v>TB-24 (46)</v>
      </c>
      <c r="G2192" s="27">
        <f>LEN(Tabela12[[#This Row],[Anilha]])</f>
        <v>10</v>
      </c>
      <c r="H2192" s="21">
        <f>VLOOKUP(Tabela12[[#This Row],[Tag Cabo]],BD!A:F,6,0)</f>
        <v>1</v>
      </c>
      <c r="I2192" s="27" t="s">
        <v>1705</v>
      </c>
      <c r="J2192" s="27" t="s">
        <v>1706</v>
      </c>
    </row>
    <row r="2193" spans="1:10" x14ac:dyDescent="0.25">
      <c r="A2193" s="21" t="s">
        <v>668</v>
      </c>
      <c r="B2193" s="391" t="str">
        <f>VLOOKUP(Tabela12[[#This Row],[Painel]],Tabela13[],2,0)</f>
        <v>CCP</v>
      </c>
      <c r="C2193" s="391" t="s">
        <v>1648</v>
      </c>
      <c r="D2193" s="21" t="s">
        <v>2014</v>
      </c>
      <c r="E2193" s="21">
        <v>47</v>
      </c>
      <c r="F2193" s="27" t="str">
        <f>Tabela12[[#This Row],[Régua]]&amp;" ("&amp;Tabela12[[#This Row],[Born]]&amp;")"</f>
        <v>TB-24 (47)</v>
      </c>
      <c r="G2193" s="27">
        <f>LEN(Tabela12[[#This Row],[Anilha]])</f>
        <v>10</v>
      </c>
      <c r="H2193" s="21">
        <f>VLOOKUP(Tabela12[[#This Row],[Tag Cabo]],BD!A:F,6,0)</f>
        <v>1</v>
      </c>
      <c r="I2193" s="27" t="s">
        <v>1705</v>
      </c>
      <c r="J2193" s="27" t="s">
        <v>1706</v>
      </c>
    </row>
    <row r="2194" spans="1:10" x14ac:dyDescent="0.25">
      <c r="A2194" s="21" t="s">
        <v>668</v>
      </c>
      <c r="B2194" s="391" t="str">
        <f>VLOOKUP(Tabela12[[#This Row],[Painel]],Tabela13[],2,0)</f>
        <v>CCP</v>
      </c>
      <c r="C2194" s="391" t="s">
        <v>1648</v>
      </c>
      <c r="D2194" s="21" t="s">
        <v>2014</v>
      </c>
      <c r="E2194" s="21">
        <v>52</v>
      </c>
      <c r="F2194" s="27" t="str">
        <f>Tabela12[[#This Row],[Régua]]&amp;" ("&amp;Tabela12[[#This Row],[Born]]&amp;")"</f>
        <v>TB-24 (52)</v>
      </c>
      <c r="G2194" s="27">
        <f>LEN(Tabela12[[#This Row],[Anilha]])</f>
        <v>10</v>
      </c>
      <c r="H2194" s="21">
        <f>VLOOKUP(Tabela12[[#This Row],[Tag Cabo]],BD!A:F,6,0)</f>
        <v>1</v>
      </c>
      <c r="I2194" s="27" t="s">
        <v>1705</v>
      </c>
      <c r="J2194" s="27" t="s">
        <v>1706</v>
      </c>
    </row>
    <row r="2195" spans="1:10" x14ac:dyDescent="0.25">
      <c r="A2195" s="21" t="s">
        <v>668</v>
      </c>
      <c r="B2195" s="391" t="str">
        <f>VLOOKUP(Tabela12[[#This Row],[Painel]],Tabela13[],2,0)</f>
        <v>CCP</v>
      </c>
      <c r="C2195" s="391" t="s">
        <v>1648</v>
      </c>
      <c r="D2195" s="21" t="s">
        <v>2014</v>
      </c>
      <c r="E2195" s="21">
        <v>53</v>
      </c>
      <c r="F2195" s="27" t="str">
        <f>Tabela12[[#This Row],[Régua]]&amp;" ("&amp;Tabela12[[#This Row],[Born]]&amp;")"</f>
        <v>TB-24 (53)</v>
      </c>
      <c r="G2195" s="27">
        <f>LEN(Tabela12[[#This Row],[Anilha]])</f>
        <v>10</v>
      </c>
      <c r="H2195" s="21">
        <f>VLOOKUP(Tabela12[[#This Row],[Tag Cabo]],BD!A:F,6,0)</f>
        <v>1</v>
      </c>
      <c r="I2195" s="27" t="s">
        <v>1705</v>
      </c>
      <c r="J2195" s="27" t="s">
        <v>1706</v>
      </c>
    </row>
    <row r="2196" spans="1:10" x14ac:dyDescent="0.25">
      <c r="A2196" s="21" t="s">
        <v>670</v>
      </c>
      <c r="B2196" s="391" t="str">
        <f>VLOOKUP(Tabela12[[#This Row],[Painel]],Tabela13[],2,0)</f>
        <v>7HV</v>
      </c>
      <c r="C2196" s="391" t="s">
        <v>1543</v>
      </c>
      <c r="D2196" s="21" t="s">
        <v>2015</v>
      </c>
      <c r="E2196" s="21">
        <v>7</v>
      </c>
      <c r="F2196" s="27" t="str">
        <f>Tabela12[[#This Row],[Régua]]&amp;" ("&amp;Tabela12[[#This Row],[Born]]&amp;")"</f>
        <v>2XDJ28 (7)</v>
      </c>
      <c r="G2196" s="27">
        <f>LEN(Tabela12[[#This Row],[Anilha]])</f>
        <v>10</v>
      </c>
      <c r="H2196" s="21">
        <f>VLOOKUP(Tabela12[[#This Row],[Tag Cabo]],BD!A:F,6,0)</f>
        <v>1</v>
      </c>
      <c r="I2196" s="27" t="s">
        <v>1705</v>
      </c>
      <c r="J2196" s="27" t="s">
        <v>1706</v>
      </c>
    </row>
    <row r="2197" spans="1:10" x14ac:dyDescent="0.25">
      <c r="A2197" s="21" t="s">
        <v>670</v>
      </c>
      <c r="B2197" s="391" t="str">
        <f>VLOOKUP(Tabela12[[#This Row],[Painel]],Tabela13[],2,0)</f>
        <v>7HV</v>
      </c>
      <c r="C2197" s="391" t="s">
        <v>1543</v>
      </c>
      <c r="D2197" s="21" t="s">
        <v>2015</v>
      </c>
      <c r="E2197" s="21">
        <v>7</v>
      </c>
      <c r="F2197" s="27" t="str">
        <f>Tabela12[[#This Row],[Régua]]&amp;" ("&amp;Tabela12[[#This Row],[Born]]&amp;")"</f>
        <v>2XDJ28 (7)</v>
      </c>
      <c r="G2197" s="27">
        <f>LEN(Tabela12[[#This Row],[Anilha]])</f>
        <v>10</v>
      </c>
      <c r="H2197" s="21">
        <f>VLOOKUP(Tabela12[[#This Row],[Tag Cabo]],BD!A:F,6,0)</f>
        <v>1</v>
      </c>
      <c r="I2197" s="27" t="s">
        <v>1705</v>
      </c>
      <c r="J2197" s="27" t="s">
        <v>1706</v>
      </c>
    </row>
    <row r="2198" spans="1:10" x14ac:dyDescent="0.25">
      <c r="A2198" s="21" t="s">
        <v>670</v>
      </c>
      <c r="B2198" s="391" t="str">
        <f>VLOOKUP(Tabela12[[#This Row],[Painel]],Tabela13[],2,0)</f>
        <v>7HV</v>
      </c>
      <c r="C2198" s="391" t="s">
        <v>1543</v>
      </c>
      <c r="D2198" s="21" t="s">
        <v>2015</v>
      </c>
      <c r="E2198" s="21">
        <v>8</v>
      </c>
      <c r="F2198" s="27" t="str">
        <f>Tabela12[[#This Row],[Régua]]&amp;" ("&amp;Tabela12[[#This Row],[Born]]&amp;")"</f>
        <v>2XDJ28 (8)</v>
      </c>
      <c r="G2198" s="27">
        <f>LEN(Tabela12[[#This Row],[Anilha]])</f>
        <v>10</v>
      </c>
      <c r="H2198" s="21">
        <f>VLOOKUP(Tabela12[[#This Row],[Tag Cabo]],BD!A:F,6,0)</f>
        <v>1</v>
      </c>
      <c r="I2198" s="27" t="s">
        <v>1705</v>
      </c>
      <c r="J2198" s="27" t="s">
        <v>1706</v>
      </c>
    </row>
    <row r="2199" spans="1:10" x14ac:dyDescent="0.25">
      <c r="A2199" s="21" t="s">
        <v>670</v>
      </c>
      <c r="B2199" s="391" t="str">
        <f>VLOOKUP(Tabela12[[#This Row],[Painel]],Tabela13[],2,0)</f>
        <v>7HV</v>
      </c>
      <c r="C2199" s="391" t="s">
        <v>1543</v>
      </c>
      <c r="D2199" s="21" t="s">
        <v>2015</v>
      </c>
      <c r="E2199" s="21">
        <v>9</v>
      </c>
      <c r="F2199" s="27" t="str">
        <f>Tabela12[[#This Row],[Régua]]&amp;" ("&amp;Tabela12[[#This Row],[Born]]&amp;")"</f>
        <v>2XDJ28 (9)</v>
      </c>
      <c r="G2199" s="27">
        <f>LEN(Tabela12[[#This Row],[Anilha]])</f>
        <v>10</v>
      </c>
      <c r="H2199" s="21">
        <f>VLOOKUP(Tabela12[[#This Row],[Tag Cabo]],BD!A:F,6,0)</f>
        <v>1</v>
      </c>
      <c r="I2199" s="27" t="s">
        <v>1705</v>
      </c>
      <c r="J2199" s="27" t="s">
        <v>1706</v>
      </c>
    </row>
    <row r="2200" spans="1:10" x14ac:dyDescent="0.25">
      <c r="A2200" s="21" t="s">
        <v>670</v>
      </c>
      <c r="B2200" s="391" t="str">
        <f>VLOOKUP(Tabela12[[#This Row],[Painel]],Tabela13[],2,0)</f>
        <v>7HV</v>
      </c>
      <c r="C2200" s="391" t="s">
        <v>1543</v>
      </c>
      <c r="D2200" s="21" t="s">
        <v>2017</v>
      </c>
      <c r="E2200" s="21">
        <v>19</v>
      </c>
      <c r="F2200" s="27" t="str">
        <f>Tabela12[[#This Row],[Régua]]&amp;" ("&amp;Tabela12[[#This Row],[Born]]&amp;")"</f>
        <v>TB-25 (19)</v>
      </c>
      <c r="G2200" s="27">
        <f>LEN(Tabela12[[#This Row],[Anilha]])</f>
        <v>10</v>
      </c>
      <c r="H2200" s="21">
        <f>VLOOKUP(Tabela12[[#This Row],[Tag Cabo]],BD!A:F,6,0)</f>
        <v>1</v>
      </c>
      <c r="I2200" s="27" t="s">
        <v>1705</v>
      </c>
      <c r="J2200" s="27" t="s">
        <v>1706</v>
      </c>
    </row>
    <row r="2201" spans="1:10" x14ac:dyDescent="0.25">
      <c r="A2201" s="21" t="s">
        <v>670</v>
      </c>
      <c r="B2201" s="391" t="str">
        <f>VLOOKUP(Tabela12[[#This Row],[Painel]],Tabela13[],2,0)</f>
        <v>7HV</v>
      </c>
      <c r="C2201" s="391" t="s">
        <v>1543</v>
      </c>
      <c r="D2201" s="21" t="s">
        <v>2017</v>
      </c>
      <c r="E2201" s="21">
        <v>20</v>
      </c>
      <c r="F2201" s="27" t="str">
        <f>Tabela12[[#This Row],[Régua]]&amp;" ("&amp;Tabela12[[#This Row],[Born]]&amp;")"</f>
        <v>TB-25 (20)</v>
      </c>
      <c r="G2201" s="27">
        <f>LEN(Tabela12[[#This Row],[Anilha]])</f>
        <v>10</v>
      </c>
      <c r="H2201" s="21">
        <f>VLOOKUP(Tabela12[[#This Row],[Tag Cabo]],BD!A:F,6,0)</f>
        <v>1</v>
      </c>
      <c r="I2201" s="27" t="s">
        <v>1705</v>
      </c>
      <c r="J2201" s="27" t="s">
        <v>1706</v>
      </c>
    </row>
    <row r="2202" spans="1:10" x14ac:dyDescent="0.25">
      <c r="A2202" s="21" t="s">
        <v>670</v>
      </c>
      <c r="B2202" s="391" t="str">
        <f>VLOOKUP(Tabela12[[#This Row],[Painel]],Tabela13[],2,0)</f>
        <v>CCP</v>
      </c>
      <c r="C2202" s="391" t="s">
        <v>1648</v>
      </c>
      <c r="D2202" s="21" t="s">
        <v>2017</v>
      </c>
      <c r="E2202" s="21">
        <v>22</v>
      </c>
      <c r="F2202" s="27" t="str">
        <f>Tabela12[[#This Row],[Régua]]&amp;" ("&amp;Tabela12[[#This Row],[Born]]&amp;")"</f>
        <v>TB-25 (22)</v>
      </c>
      <c r="G2202" s="27">
        <f>LEN(Tabela12[[#This Row],[Anilha]])</f>
        <v>10</v>
      </c>
      <c r="H2202" s="21">
        <f>VLOOKUP(Tabela12[[#This Row],[Tag Cabo]],BD!A:F,6,0)</f>
        <v>1</v>
      </c>
      <c r="I2202" s="27" t="s">
        <v>1705</v>
      </c>
      <c r="J2202" s="27" t="s">
        <v>1706</v>
      </c>
    </row>
    <row r="2203" spans="1:10" x14ac:dyDescent="0.25">
      <c r="A2203" s="21" t="s">
        <v>670</v>
      </c>
      <c r="B2203" s="391" t="str">
        <f>VLOOKUP(Tabela12[[#This Row],[Painel]],Tabela13[],2,0)</f>
        <v>CCP</v>
      </c>
      <c r="C2203" s="391" t="s">
        <v>1648</v>
      </c>
      <c r="D2203" s="21" t="s">
        <v>2017</v>
      </c>
      <c r="E2203" s="21">
        <v>23</v>
      </c>
      <c r="F2203" s="27" t="str">
        <f>Tabela12[[#This Row],[Régua]]&amp;" ("&amp;Tabela12[[#This Row],[Born]]&amp;")"</f>
        <v>TB-25 (23)</v>
      </c>
      <c r="G2203" s="27">
        <f>LEN(Tabela12[[#This Row],[Anilha]])</f>
        <v>10</v>
      </c>
      <c r="H2203" s="21">
        <f>VLOOKUP(Tabela12[[#This Row],[Tag Cabo]],BD!A:F,6,0)</f>
        <v>1</v>
      </c>
      <c r="I2203" s="27" t="s">
        <v>1705</v>
      </c>
      <c r="J2203" s="27" t="s">
        <v>1706</v>
      </c>
    </row>
    <row r="2204" spans="1:10" x14ac:dyDescent="0.25">
      <c r="A2204" s="21" t="s">
        <v>672</v>
      </c>
      <c r="B2204" s="391" t="str">
        <f>VLOOKUP(Tabela12[[#This Row],[Painel]],Tabela13[],2,0)</f>
        <v>CCP</v>
      </c>
      <c r="C2204" s="391" t="s">
        <v>1648</v>
      </c>
      <c r="D2204" s="21" t="s">
        <v>2017</v>
      </c>
      <c r="E2204" s="21">
        <v>7</v>
      </c>
      <c r="F2204" s="27" t="str">
        <f>Tabela12[[#This Row],[Régua]]&amp;" ("&amp;Tabela12[[#This Row],[Born]]&amp;")"</f>
        <v>TB-25 (7)</v>
      </c>
      <c r="G2204" s="27">
        <f>LEN(Tabela12[[#This Row],[Anilha]])</f>
        <v>9</v>
      </c>
      <c r="H2204" s="21">
        <f>VLOOKUP(Tabela12[[#This Row],[Tag Cabo]],BD!A:F,6,0)</f>
        <v>1</v>
      </c>
      <c r="I2204" s="27" t="s">
        <v>1705</v>
      </c>
      <c r="J2204" s="27" t="s">
        <v>1706</v>
      </c>
    </row>
    <row r="2205" spans="1:10" x14ac:dyDescent="0.25">
      <c r="A2205" s="21" t="s">
        <v>672</v>
      </c>
      <c r="B2205" s="391" t="str">
        <f>VLOOKUP(Tabela12[[#This Row],[Painel]],Tabela13[],2,0)</f>
        <v>CCP</v>
      </c>
      <c r="C2205" s="391" t="s">
        <v>1648</v>
      </c>
      <c r="D2205" s="21" t="s">
        <v>2017</v>
      </c>
      <c r="E2205" s="21">
        <v>7</v>
      </c>
      <c r="F2205" s="27" t="str">
        <f>Tabela12[[#This Row],[Régua]]&amp;" ("&amp;Tabela12[[#This Row],[Born]]&amp;")"</f>
        <v>TB-25 (7)</v>
      </c>
      <c r="G2205" s="27">
        <f>LEN(Tabela12[[#This Row],[Anilha]])</f>
        <v>9</v>
      </c>
      <c r="H2205" s="21">
        <f>VLOOKUP(Tabela12[[#This Row],[Tag Cabo]],BD!A:F,6,0)</f>
        <v>1</v>
      </c>
      <c r="I2205" s="27" t="s">
        <v>1705</v>
      </c>
      <c r="J2205" s="27" t="s">
        <v>1706</v>
      </c>
    </row>
    <row r="2206" spans="1:10" x14ac:dyDescent="0.25">
      <c r="A2206" s="21" t="s">
        <v>672</v>
      </c>
      <c r="B2206" s="391" t="str">
        <f>VLOOKUP(Tabela12[[#This Row],[Painel]],Tabela13[],2,0)</f>
        <v>CCP</v>
      </c>
      <c r="C2206" s="391" t="s">
        <v>1648</v>
      </c>
      <c r="D2206" s="21" t="s">
        <v>2017</v>
      </c>
      <c r="E2206" s="21">
        <v>8</v>
      </c>
      <c r="F2206" s="27" t="str">
        <f>Tabela12[[#This Row],[Régua]]&amp;" ("&amp;Tabela12[[#This Row],[Born]]&amp;")"</f>
        <v>TB-25 (8)</v>
      </c>
      <c r="G2206" s="27">
        <f>LEN(Tabela12[[#This Row],[Anilha]])</f>
        <v>9</v>
      </c>
      <c r="H2206" s="21">
        <f>VLOOKUP(Tabela12[[#This Row],[Tag Cabo]],BD!A:F,6,0)</f>
        <v>1</v>
      </c>
      <c r="I2206" s="27" t="s">
        <v>1705</v>
      </c>
      <c r="J2206" s="27" t="s">
        <v>1706</v>
      </c>
    </row>
    <row r="2207" spans="1:10" x14ac:dyDescent="0.25">
      <c r="A2207" s="21" t="s">
        <v>672</v>
      </c>
      <c r="B2207" s="391" t="str">
        <f>VLOOKUP(Tabela12[[#This Row],[Painel]],Tabela13[],2,0)</f>
        <v>CCP</v>
      </c>
      <c r="C2207" s="391" t="s">
        <v>1648</v>
      </c>
      <c r="D2207" s="21" t="s">
        <v>2017</v>
      </c>
      <c r="E2207" s="21">
        <v>9</v>
      </c>
      <c r="F2207" s="27" t="str">
        <f>Tabela12[[#This Row],[Régua]]&amp;" ("&amp;Tabela12[[#This Row],[Born]]&amp;")"</f>
        <v>TB-25 (9)</v>
      </c>
      <c r="G2207" s="27">
        <f>LEN(Tabela12[[#This Row],[Anilha]])</f>
        <v>9</v>
      </c>
      <c r="H2207" s="21">
        <f>VLOOKUP(Tabela12[[#This Row],[Tag Cabo]],BD!A:F,6,0)</f>
        <v>1</v>
      </c>
      <c r="I2207" s="27" t="s">
        <v>1705</v>
      </c>
      <c r="J2207" s="27" t="s">
        <v>1706</v>
      </c>
    </row>
    <row r="2208" spans="1:10" x14ac:dyDescent="0.25">
      <c r="A2208" s="21" t="s">
        <v>672</v>
      </c>
      <c r="B2208" s="391" t="str">
        <f>VLOOKUP(Tabela12[[#This Row],[Painel]],Tabela13[],2,0)</f>
        <v>7HV</v>
      </c>
      <c r="C2208" s="391" t="s">
        <v>1543</v>
      </c>
      <c r="D2208" s="21" t="s">
        <v>2016</v>
      </c>
      <c r="E2208" s="21">
        <v>25</v>
      </c>
      <c r="F2208" s="27" t="str">
        <f>Tabela12[[#This Row],[Régua]]&amp;" ("&amp;Tabela12[[#This Row],[Born]]&amp;")"</f>
        <v>2XDJ29 (25)</v>
      </c>
      <c r="G2208" s="27">
        <f>LEN(Tabela12[[#This Row],[Anilha]])</f>
        <v>11</v>
      </c>
      <c r="H2208" s="21">
        <f>VLOOKUP(Tabela12[[#This Row],[Tag Cabo]],BD!A:F,6,0)</f>
        <v>1</v>
      </c>
      <c r="I2208" s="27" t="s">
        <v>1705</v>
      </c>
      <c r="J2208" s="27" t="s">
        <v>1706</v>
      </c>
    </row>
    <row r="2209" spans="1:10" x14ac:dyDescent="0.25">
      <c r="A2209" s="21" t="s">
        <v>672</v>
      </c>
      <c r="B2209" s="391" t="str">
        <f>VLOOKUP(Tabela12[[#This Row],[Painel]],Tabela13[],2,0)</f>
        <v>7HV</v>
      </c>
      <c r="C2209" s="391" t="s">
        <v>1543</v>
      </c>
      <c r="D2209" s="21" t="s">
        <v>2016</v>
      </c>
      <c r="E2209" s="21">
        <v>26</v>
      </c>
      <c r="F2209" s="27" t="str">
        <f>Tabela12[[#This Row],[Régua]]&amp;" ("&amp;Tabela12[[#This Row],[Born]]&amp;")"</f>
        <v>2XDJ29 (26)</v>
      </c>
      <c r="G2209" s="27">
        <f>LEN(Tabela12[[#This Row],[Anilha]])</f>
        <v>11</v>
      </c>
      <c r="H2209" s="21">
        <f>VLOOKUP(Tabela12[[#This Row],[Tag Cabo]],BD!A:F,6,0)</f>
        <v>1</v>
      </c>
      <c r="I2209" s="27" t="s">
        <v>1705</v>
      </c>
      <c r="J2209" s="27" t="s">
        <v>1706</v>
      </c>
    </row>
    <row r="2210" spans="1:10" x14ac:dyDescent="0.25">
      <c r="A2210" s="21" t="s">
        <v>672</v>
      </c>
      <c r="B2210" s="391" t="str">
        <f>VLOOKUP(Tabela12[[#This Row],[Painel]],Tabela13[],2,0)</f>
        <v>7HV</v>
      </c>
      <c r="C2210" s="391" t="s">
        <v>1543</v>
      </c>
      <c r="D2210" s="21" t="s">
        <v>2016</v>
      </c>
      <c r="E2210" s="21">
        <v>28</v>
      </c>
      <c r="F2210" s="27" t="str">
        <f>Tabela12[[#This Row],[Régua]]&amp;" ("&amp;Tabela12[[#This Row],[Born]]&amp;")"</f>
        <v>2XDJ29 (28)</v>
      </c>
      <c r="G2210" s="27">
        <f>LEN(Tabela12[[#This Row],[Anilha]])</f>
        <v>11</v>
      </c>
      <c r="H2210" s="21">
        <f>VLOOKUP(Tabela12[[#This Row],[Tag Cabo]],BD!A:F,6,0)</f>
        <v>1</v>
      </c>
      <c r="I2210" s="27" t="s">
        <v>1705</v>
      </c>
      <c r="J2210" s="27" t="s">
        <v>1706</v>
      </c>
    </row>
    <row r="2211" spans="1:10" x14ac:dyDescent="0.25">
      <c r="A2211" s="21" t="s">
        <v>672</v>
      </c>
      <c r="B2211" s="391" t="str">
        <f>VLOOKUP(Tabela12[[#This Row],[Painel]],Tabela13[],2,0)</f>
        <v>7HV</v>
      </c>
      <c r="C2211" s="391" t="s">
        <v>1543</v>
      </c>
      <c r="D2211" s="21" t="s">
        <v>2016</v>
      </c>
      <c r="E2211" s="21">
        <v>29</v>
      </c>
      <c r="F2211" s="27" t="str">
        <f>Tabela12[[#This Row],[Régua]]&amp;" ("&amp;Tabela12[[#This Row],[Born]]&amp;")"</f>
        <v>2XDJ29 (29)</v>
      </c>
      <c r="G2211" s="27">
        <f>LEN(Tabela12[[#This Row],[Anilha]])</f>
        <v>11</v>
      </c>
      <c r="H2211" s="21">
        <f>VLOOKUP(Tabela12[[#This Row],[Tag Cabo]],BD!A:F,6,0)</f>
        <v>1</v>
      </c>
      <c r="I2211" s="27" t="s">
        <v>1705</v>
      </c>
      <c r="J2211" s="27" t="s">
        <v>1706</v>
      </c>
    </row>
    <row r="2212" spans="1:10" x14ac:dyDescent="0.25">
      <c r="A2212" s="21" t="s">
        <v>674</v>
      </c>
      <c r="B2212" s="391" t="str">
        <f>VLOOKUP(Tabela12[[#This Row],[Painel]],Tabela13[],2,0)</f>
        <v>7HV</v>
      </c>
      <c r="C2212" s="391" t="s">
        <v>1543</v>
      </c>
      <c r="D2212" s="21" t="s">
        <v>2013</v>
      </c>
      <c r="E2212" s="21">
        <v>7</v>
      </c>
      <c r="F2212" s="27" t="str">
        <f>Tabela12[[#This Row],[Régua]]&amp;" ("&amp;Tabela12[[#This Row],[Born]]&amp;")"</f>
        <v>2XDJ2 (7)</v>
      </c>
      <c r="G2212" s="27">
        <f>LEN(Tabela12[[#This Row],[Anilha]])</f>
        <v>9</v>
      </c>
      <c r="H2212" s="21">
        <f>VLOOKUP(Tabela12[[#This Row],[Tag Cabo]],BD!A:F,6,0)</f>
        <v>1</v>
      </c>
      <c r="I2212" s="27" t="s">
        <v>1705</v>
      </c>
      <c r="J2212" s="27" t="s">
        <v>1706</v>
      </c>
    </row>
    <row r="2213" spans="1:10" x14ac:dyDescent="0.25">
      <c r="A2213" s="21" t="s">
        <v>674</v>
      </c>
      <c r="B2213" s="391" t="str">
        <f>VLOOKUP(Tabela12[[#This Row],[Painel]],Tabela13[],2,0)</f>
        <v>7HV</v>
      </c>
      <c r="C2213" s="391" t="s">
        <v>1543</v>
      </c>
      <c r="D2213" s="21" t="s">
        <v>2013</v>
      </c>
      <c r="E2213" s="21">
        <v>7</v>
      </c>
      <c r="F2213" s="27" t="str">
        <f>Tabela12[[#This Row],[Régua]]&amp;" ("&amp;Tabela12[[#This Row],[Born]]&amp;")"</f>
        <v>2XDJ2 (7)</v>
      </c>
      <c r="G2213" s="27">
        <f>LEN(Tabela12[[#This Row],[Anilha]])</f>
        <v>9</v>
      </c>
      <c r="H2213" s="21">
        <f>VLOOKUP(Tabela12[[#This Row],[Tag Cabo]],BD!A:F,6,0)</f>
        <v>1</v>
      </c>
      <c r="I2213" s="27" t="s">
        <v>1705</v>
      </c>
      <c r="J2213" s="27" t="s">
        <v>1706</v>
      </c>
    </row>
    <row r="2214" spans="1:10" x14ac:dyDescent="0.25">
      <c r="A2214" s="21" t="s">
        <v>674</v>
      </c>
      <c r="B2214" s="391" t="str">
        <f>VLOOKUP(Tabela12[[#This Row],[Painel]],Tabela13[],2,0)</f>
        <v>7HV</v>
      </c>
      <c r="C2214" s="391" t="s">
        <v>1543</v>
      </c>
      <c r="D2214" s="21" t="s">
        <v>2013</v>
      </c>
      <c r="E2214" s="21">
        <v>8</v>
      </c>
      <c r="F2214" s="27" t="str">
        <f>Tabela12[[#This Row],[Régua]]&amp;" ("&amp;Tabela12[[#This Row],[Born]]&amp;")"</f>
        <v>2XDJ2 (8)</v>
      </c>
      <c r="G2214" s="27">
        <f>LEN(Tabela12[[#This Row],[Anilha]])</f>
        <v>9</v>
      </c>
      <c r="H2214" s="21">
        <f>VLOOKUP(Tabela12[[#This Row],[Tag Cabo]],BD!A:F,6,0)</f>
        <v>1</v>
      </c>
      <c r="I2214" s="27" t="s">
        <v>1705</v>
      </c>
      <c r="J2214" s="27" t="s">
        <v>1706</v>
      </c>
    </row>
    <row r="2215" spans="1:10" x14ac:dyDescent="0.25">
      <c r="A2215" s="21" t="s">
        <v>674</v>
      </c>
      <c r="B2215" s="391" t="str">
        <f>VLOOKUP(Tabela12[[#This Row],[Painel]],Tabela13[],2,0)</f>
        <v>7HV</v>
      </c>
      <c r="C2215" s="391" t="s">
        <v>1543</v>
      </c>
      <c r="D2215" s="21" t="s">
        <v>2013</v>
      </c>
      <c r="E2215" s="21">
        <v>9</v>
      </c>
      <c r="F2215" s="27" t="str">
        <f>Tabela12[[#This Row],[Régua]]&amp;" ("&amp;Tabela12[[#This Row],[Born]]&amp;")"</f>
        <v>2XDJ2 (9)</v>
      </c>
      <c r="G2215" s="27">
        <f>LEN(Tabela12[[#This Row],[Anilha]])</f>
        <v>9</v>
      </c>
      <c r="H2215" s="21">
        <f>VLOOKUP(Tabela12[[#This Row],[Tag Cabo]],BD!A:F,6,0)</f>
        <v>1</v>
      </c>
      <c r="I2215" s="27" t="s">
        <v>1705</v>
      </c>
      <c r="J2215" s="27" t="s">
        <v>1706</v>
      </c>
    </row>
    <row r="2216" spans="1:10" x14ac:dyDescent="0.25">
      <c r="A2216" s="21" t="s">
        <v>674</v>
      </c>
      <c r="B2216" s="391" t="str">
        <f>VLOOKUP(Tabela12[[#This Row],[Painel]],Tabela13[],2,0)</f>
        <v>CCP</v>
      </c>
      <c r="C2216" s="391" t="s">
        <v>1648</v>
      </c>
      <c r="D2216" s="21" t="s">
        <v>2017</v>
      </c>
      <c r="E2216" s="21">
        <v>31</v>
      </c>
      <c r="F2216" s="27" t="str">
        <f>Tabela12[[#This Row],[Régua]]&amp;" ("&amp;Tabela12[[#This Row],[Born]]&amp;")"</f>
        <v>TB-25 (31)</v>
      </c>
      <c r="G2216" s="27">
        <f>LEN(Tabela12[[#This Row],[Anilha]])</f>
        <v>10</v>
      </c>
      <c r="H2216" s="21">
        <f>VLOOKUP(Tabela12[[#This Row],[Tag Cabo]],BD!A:F,6,0)</f>
        <v>1</v>
      </c>
      <c r="I2216" s="27" t="s">
        <v>1705</v>
      </c>
      <c r="J2216" s="27" t="s">
        <v>1706</v>
      </c>
    </row>
    <row r="2217" spans="1:10" x14ac:dyDescent="0.25">
      <c r="A2217" s="21" t="s">
        <v>674</v>
      </c>
      <c r="B2217" s="391" t="str">
        <f>VLOOKUP(Tabela12[[#This Row],[Painel]],Tabela13[],2,0)</f>
        <v>CCP</v>
      </c>
      <c r="C2217" s="391" t="s">
        <v>1648</v>
      </c>
      <c r="D2217" s="21" t="s">
        <v>2017</v>
      </c>
      <c r="E2217" s="21">
        <v>32</v>
      </c>
      <c r="F2217" s="27" t="str">
        <f>Tabela12[[#This Row],[Régua]]&amp;" ("&amp;Tabela12[[#This Row],[Born]]&amp;")"</f>
        <v>TB-25 (32)</v>
      </c>
      <c r="G2217" s="27">
        <f>LEN(Tabela12[[#This Row],[Anilha]])</f>
        <v>10</v>
      </c>
      <c r="H2217" s="21">
        <f>VLOOKUP(Tabela12[[#This Row],[Tag Cabo]],BD!A:F,6,0)</f>
        <v>1</v>
      </c>
      <c r="I2217" s="27" t="s">
        <v>1705</v>
      </c>
      <c r="J2217" s="27" t="s">
        <v>1706</v>
      </c>
    </row>
    <row r="2218" spans="1:10" x14ac:dyDescent="0.25">
      <c r="A2218" s="21" t="s">
        <v>674</v>
      </c>
      <c r="B2218" s="391" t="str">
        <f>VLOOKUP(Tabela12[[#This Row],[Painel]],Tabela13[],2,0)</f>
        <v>CCP</v>
      </c>
      <c r="C2218" s="391" t="s">
        <v>1648</v>
      </c>
      <c r="D2218" s="21" t="s">
        <v>2017</v>
      </c>
      <c r="E2218" s="21">
        <v>34</v>
      </c>
      <c r="F2218" s="27" t="str">
        <f>Tabela12[[#This Row],[Régua]]&amp;" ("&amp;Tabela12[[#This Row],[Born]]&amp;")"</f>
        <v>TB-25 (34)</v>
      </c>
      <c r="G2218" s="27">
        <f>LEN(Tabela12[[#This Row],[Anilha]])</f>
        <v>10</v>
      </c>
      <c r="H2218" s="21">
        <f>VLOOKUP(Tabela12[[#This Row],[Tag Cabo]],BD!A:F,6,0)</f>
        <v>1</v>
      </c>
      <c r="I2218" s="27" t="s">
        <v>1705</v>
      </c>
      <c r="J2218" s="27" t="s">
        <v>1706</v>
      </c>
    </row>
    <row r="2219" spans="1:10" x14ac:dyDescent="0.25">
      <c r="A2219" s="21" t="s">
        <v>674</v>
      </c>
      <c r="B2219" s="391" t="str">
        <f>VLOOKUP(Tabela12[[#This Row],[Painel]],Tabela13[],2,0)</f>
        <v>CCP</v>
      </c>
      <c r="C2219" s="391" t="s">
        <v>1648</v>
      </c>
      <c r="D2219" s="21" t="s">
        <v>2017</v>
      </c>
      <c r="E2219" s="21">
        <v>35</v>
      </c>
      <c r="F2219" s="27" t="str">
        <f>Tabela12[[#This Row],[Régua]]&amp;" ("&amp;Tabela12[[#This Row],[Born]]&amp;")"</f>
        <v>TB-25 (35)</v>
      </c>
      <c r="G2219" s="27">
        <f>LEN(Tabela12[[#This Row],[Anilha]])</f>
        <v>10</v>
      </c>
      <c r="H2219" s="21">
        <f>VLOOKUP(Tabela12[[#This Row],[Tag Cabo]],BD!A:F,6,0)</f>
        <v>1</v>
      </c>
      <c r="I2219" s="27" t="s">
        <v>1705</v>
      </c>
      <c r="J2219" s="27" t="s">
        <v>1706</v>
      </c>
    </row>
    <row r="2220" spans="1:10" x14ac:dyDescent="0.25">
      <c r="A2220" s="21" t="s">
        <v>675</v>
      </c>
      <c r="B2220" s="391" t="str">
        <f>VLOOKUP(Tabela12[[#This Row],[Painel]],Tabela13[],2,0)</f>
        <v>7HV</v>
      </c>
      <c r="C2220" s="391" t="s">
        <v>1590</v>
      </c>
      <c r="D2220" s="21" t="s">
        <v>2018</v>
      </c>
      <c r="E2220" s="21" t="s">
        <v>2019</v>
      </c>
      <c r="F2220" s="27" t="str">
        <f>Tabela12[[#This Row],[Régua]]&amp;" ("&amp;Tabela12[[#This Row],[Born]]&amp;")"</f>
        <v>X-993 (201A)</v>
      </c>
      <c r="G2220" s="27">
        <f>LEN(Tabela12[[#This Row],[Anilha]])</f>
        <v>12</v>
      </c>
      <c r="H2220" s="21">
        <f>VLOOKUP(Tabela12[[#This Row],[Tag Cabo]],BD!A:F,6,0)</f>
        <v>1.5</v>
      </c>
      <c r="I2220" s="27" t="s">
        <v>1705</v>
      </c>
      <c r="J2220" s="27" t="s">
        <v>1706</v>
      </c>
    </row>
    <row r="2221" spans="1:10" x14ac:dyDescent="0.25">
      <c r="A2221" s="21" t="s">
        <v>675</v>
      </c>
      <c r="B2221" s="391" t="str">
        <f>VLOOKUP(Tabela12[[#This Row],[Painel]],Tabela13[],2,0)</f>
        <v>7HV</v>
      </c>
      <c r="C2221" s="391" t="s">
        <v>1590</v>
      </c>
      <c r="D2221" s="21" t="s">
        <v>2018</v>
      </c>
      <c r="E2221" s="21" t="s">
        <v>2020</v>
      </c>
      <c r="F2221" s="27" t="str">
        <f>Tabela12[[#This Row],[Régua]]&amp;" ("&amp;Tabela12[[#This Row],[Born]]&amp;")"</f>
        <v>X-993 (201B)</v>
      </c>
      <c r="G2221" s="27">
        <f>LEN(Tabela12[[#This Row],[Anilha]])</f>
        <v>12</v>
      </c>
      <c r="H2221" s="21">
        <f>VLOOKUP(Tabela12[[#This Row],[Tag Cabo]],BD!A:F,6,0)</f>
        <v>1.5</v>
      </c>
      <c r="I2221" s="27" t="s">
        <v>1705</v>
      </c>
      <c r="J2221" s="27" t="s">
        <v>1706</v>
      </c>
    </row>
    <row r="2222" spans="1:10" x14ac:dyDescent="0.25">
      <c r="A2222" s="21" t="s">
        <v>675</v>
      </c>
      <c r="B2222" s="391" t="str">
        <f>VLOOKUP(Tabela12[[#This Row],[Painel]],Tabela13[],2,0)</f>
        <v>7HV</v>
      </c>
      <c r="C2222" s="391" t="s">
        <v>1590</v>
      </c>
      <c r="D2222" s="21" t="s">
        <v>2018</v>
      </c>
      <c r="E2222" s="21" t="s">
        <v>2021</v>
      </c>
      <c r="F2222" s="27" t="str">
        <f>Tabela12[[#This Row],[Régua]]&amp;" ("&amp;Tabela12[[#This Row],[Born]]&amp;")"</f>
        <v>X-993 (201C)</v>
      </c>
      <c r="G2222" s="27">
        <f>LEN(Tabela12[[#This Row],[Anilha]])</f>
        <v>12</v>
      </c>
      <c r="H2222" s="21">
        <f>VLOOKUP(Tabela12[[#This Row],[Tag Cabo]],BD!A:F,6,0)</f>
        <v>1.5</v>
      </c>
      <c r="I2222" s="27" t="s">
        <v>1705</v>
      </c>
      <c r="J2222" s="27" t="s">
        <v>1706</v>
      </c>
    </row>
    <row r="2223" spans="1:10" x14ac:dyDescent="0.25">
      <c r="A2223" s="21" t="s">
        <v>675</v>
      </c>
      <c r="B2223" s="391" t="str">
        <f>VLOOKUP(Tabela12[[#This Row],[Painel]],Tabela13[],2,0)</f>
        <v>7HV</v>
      </c>
      <c r="C2223" s="391" t="s">
        <v>1590</v>
      </c>
      <c r="D2223" s="21" t="s">
        <v>2018</v>
      </c>
      <c r="E2223" s="21" t="s">
        <v>2022</v>
      </c>
      <c r="F2223" s="27" t="str">
        <f>Tabela12[[#This Row],[Régua]]&amp;" ("&amp;Tabela12[[#This Row],[Born]]&amp;")"</f>
        <v>X-993 (201D)</v>
      </c>
      <c r="G2223" s="27">
        <f>LEN(Tabela12[[#This Row],[Anilha]])</f>
        <v>12</v>
      </c>
      <c r="H2223" s="21">
        <f>VLOOKUP(Tabela12[[#This Row],[Tag Cabo]],BD!A:F,6,0)</f>
        <v>1.5</v>
      </c>
      <c r="I2223" s="27" t="s">
        <v>1705</v>
      </c>
      <c r="J2223" s="27" t="s">
        <v>1706</v>
      </c>
    </row>
    <row r="2224" spans="1:10" x14ac:dyDescent="0.25">
      <c r="A2224" s="21" t="s">
        <v>675</v>
      </c>
      <c r="B2224" s="391" t="str">
        <f>VLOOKUP(Tabela12[[#This Row],[Painel]],Tabela13[],2,0)</f>
        <v>7HV</v>
      </c>
      <c r="C2224" s="391" t="s">
        <v>1590</v>
      </c>
      <c r="D2224" s="21" t="s">
        <v>2018</v>
      </c>
      <c r="E2224" s="21" t="s">
        <v>2023</v>
      </c>
      <c r="F2224" s="27" t="str">
        <f>Tabela12[[#This Row],[Régua]]&amp;" ("&amp;Tabela12[[#This Row],[Born]]&amp;")"</f>
        <v>X-993 (202A)</v>
      </c>
      <c r="G2224" s="27">
        <f>LEN(Tabela12[[#This Row],[Anilha]])</f>
        <v>12</v>
      </c>
      <c r="H2224" s="21">
        <f>VLOOKUP(Tabela12[[#This Row],[Tag Cabo]],BD!A:F,6,0)</f>
        <v>1.5</v>
      </c>
      <c r="I2224" s="27" t="s">
        <v>1705</v>
      </c>
      <c r="J2224" s="27" t="s">
        <v>1706</v>
      </c>
    </row>
    <row r="2225" spans="1:10" x14ac:dyDescent="0.25">
      <c r="A2225" s="21" t="s">
        <v>675</v>
      </c>
      <c r="B2225" s="391" t="str">
        <f>VLOOKUP(Tabela12[[#This Row],[Painel]],Tabela13[],2,0)</f>
        <v>7HV</v>
      </c>
      <c r="C2225" s="391" t="s">
        <v>1590</v>
      </c>
      <c r="D2225" s="21" t="s">
        <v>2018</v>
      </c>
      <c r="E2225" s="21" t="s">
        <v>2024</v>
      </c>
      <c r="F2225" s="27" t="str">
        <f>Tabela12[[#This Row],[Régua]]&amp;" ("&amp;Tabela12[[#This Row],[Born]]&amp;")"</f>
        <v>X-993 (202B)</v>
      </c>
      <c r="G2225" s="27">
        <f>LEN(Tabela12[[#This Row],[Anilha]])</f>
        <v>12</v>
      </c>
      <c r="H2225" s="21">
        <f>VLOOKUP(Tabela12[[#This Row],[Tag Cabo]],BD!A:F,6,0)</f>
        <v>1.5</v>
      </c>
      <c r="I2225" s="27" t="s">
        <v>1705</v>
      </c>
      <c r="J2225" s="27" t="s">
        <v>1706</v>
      </c>
    </row>
    <row r="2226" spans="1:10" x14ac:dyDescent="0.25">
      <c r="A2226" s="21" t="s">
        <v>675</v>
      </c>
      <c r="B2226" s="391" t="str">
        <f>VLOOKUP(Tabela12[[#This Row],[Painel]],Tabela13[],2,0)</f>
        <v>7HV</v>
      </c>
      <c r="C2226" s="391" t="s">
        <v>1590</v>
      </c>
      <c r="D2226" s="21" t="s">
        <v>2018</v>
      </c>
      <c r="E2226" s="21" t="s">
        <v>2025</v>
      </c>
      <c r="F2226" s="27" t="str">
        <f>Tabela12[[#This Row],[Régua]]&amp;" ("&amp;Tabela12[[#This Row],[Born]]&amp;")"</f>
        <v>X-993 (202C)</v>
      </c>
      <c r="G2226" s="27">
        <f>LEN(Tabela12[[#This Row],[Anilha]])</f>
        <v>12</v>
      </c>
      <c r="H2226" s="21">
        <f>VLOOKUP(Tabela12[[#This Row],[Tag Cabo]],BD!A:F,6,0)</f>
        <v>1.5</v>
      </c>
      <c r="I2226" s="27" t="s">
        <v>1705</v>
      </c>
      <c r="J2226" s="27" t="s">
        <v>1706</v>
      </c>
    </row>
    <row r="2227" spans="1:10" x14ac:dyDescent="0.25">
      <c r="A2227" s="21" t="s">
        <v>675</v>
      </c>
      <c r="B2227" s="391" t="str">
        <f>VLOOKUP(Tabela12[[#This Row],[Painel]],Tabela13[],2,0)</f>
        <v>7HV</v>
      </c>
      <c r="C2227" s="391" t="s">
        <v>1590</v>
      </c>
      <c r="D2227" s="21" t="s">
        <v>2018</v>
      </c>
      <c r="E2227" s="21" t="s">
        <v>2026</v>
      </c>
      <c r="F2227" s="27" t="str">
        <f>Tabela12[[#This Row],[Régua]]&amp;" ("&amp;Tabela12[[#This Row],[Born]]&amp;")"</f>
        <v>X-993 (202D)</v>
      </c>
      <c r="G2227" s="27">
        <f>LEN(Tabela12[[#This Row],[Anilha]])</f>
        <v>12</v>
      </c>
      <c r="H2227" s="21">
        <f>VLOOKUP(Tabela12[[#This Row],[Tag Cabo]],BD!A:F,6,0)</f>
        <v>1.5</v>
      </c>
      <c r="I2227" s="27" t="s">
        <v>1705</v>
      </c>
      <c r="J2227" s="27" t="s">
        <v>1706</v>
      </c>
    </row>
    <row r="2228" spans="1:10" x14ac:dyDescent="0.25">
      <c r="A2228" s="21" t="s">
        <v>675</v>
      </c>
      <c r="B2228" s="391" t="str">
        <f>VLOOKUP(Tabela12[[#This Row],[Painel]],Tabela13[],2,0)</f>
        <v>7HV</v>
      </c>
      <c r="C2228" s="391" t="s">
        <v>1590</v>
      </c>
      <c r="D2228" s="21" t="s">
        <v>2018</v>
      </c>
      <c r="E2228" s="21" t="s">
        <v>2027</v>
      </c>
      <c r="F2228" s="27" t="str">
        <f>Tabela12[[#This Row],[Régua]]&amp;" ("&amp;Tabela12[[#This Row],[Born]]&amp;")"</f>
        <v>X-993 (203A)</v>
      </c>
      <c r="G2228" s="27">
        <f>LEN(Tabela12[[#This Row],[Anilha]])</f>
        <v>12</v>
      </c>
      <c r="H2228" s="21">
        <f>VLOOKUP(Tabela12[[#This Row],[Tag Cabo]],BD!A:F,6,0)</f>
        <v>1.5</v>
      </c>
      <c r="I2228" s="27" t="s">
        <v>1705</v>
      </c>
      <c r="J2228" s="27" t="s">
        <v>1706</v>
      </c>
    </row>
    <row r="2229" spans="1:10" x14ac:dyDescent="0.25">
      <c r="A2229" s="21" t="s">
        <v>675</v>
      </c>
      <c r="B2229" s="391" t="str">
        <f>VLOOKUP(Tabela12[[#This Row],[Painel]],Tabela13[],2,0)</f>
        <v>7HV</v>
      </c>
      <c r="C2229" s="391" t="s">
        <v>1590</v>
      </c>
      <c r="D2229" s="21" t="s">
        <v>2018</v>
      </c>
      <c r="E2229" s="21" t="s">
        <v>2028</v>
      </c>
      <c r="F2229" s="27" t="str">
        <f>Tabela12[[#This Row],[Régua]]&amp;" ("&amp;Tabela12[[#This Row],[Born]]&amp;")"</f>
        <v>X-993 (203B)</v>
      </c>
      <c r="G2229" s="27">
        <f>LEN(Tabela12[[#This Row],[Anilha]])</f>
        <v>12</v>
      </c>
      <c r="H2229" s="21">
        <f>VLOOKUP(Tabela12[[#This Row],[Tag Cabo]],BD!A:F,6,0)</f>
        <v>1.5</v>
      </c>
      <c r="I2229" s="27" t="s">
        <v>1705</v>
      </c>
      <c r="J2229" s="27" t="s">
        <v>1706</v>
      </c>
    </row>
    <row r="2230" spans="1:10" x14ac:dyDescent="0.25">
      <c r="A2230" s="21" t="s">
        <v>675</v>
      </c>
      <c r="B2230" s="391" t="str">
        <f>VLOOKUP(Tabela12[[#This Row],[Painel]],Tabela13[],2,0)</f>
        <v>7HV</v>
      </c>
      <c r="C2230" s="391" t="s">
        <v>1590</v>
      </c>
      <c r="D2230" s="21" t="s">
        <v>2018</v>
      </c>
      <c r="E2230" s="21" t="s">
        <v>2029</v>
      </c>
      <c r="F2230" s="27" t="str">
        <f>Tabela12[[#This Row],[Régua]]&amp;" ("&amp;Tabela12[[#This Row],[Born]]&amp;")"</f>
        <v>X-993 (203C)</v>
      </c>
      <c r="G2230" s="27">
        <f>LEN(Tabela12[[#This Row],[Anilha]])</f>
        <v>12</v>
      </c>
      <c r="H2230" s="21">
        <f>VLOOKUP(Tabela12[[#This Row],[Tag Cabo]],BD!A:F,6,0)</f>
        <v>1.5</v>
      </c>
      <c r="I2230" s="27" t="s">
        <v>1705</v>
      </c>
      <c r="J2230" s="27" t="s">
        <v>1706</v>
      </c>
    </row>
    <row r="2231" spans="1:10" x14ac:dyDescent="0.25">
      <c r="A2231" s="21" t="s">
        <v>675</v>
      </c>
      <c r="B2231" s="391" t="str">
        <f>VLOOKUP(Tabela12[[#This Row],[Painel]],Tabela13[],2,0)</f>
        <v>7HV</v>
      </c>
      <c r="C2231" s="391" t="s">
        <v>1590</v>
      </c>
      <c r="D2231" s="21" t="s">
        <v>2018</v>
      </c>
      <c r="E2231" s="21" t="s">
        <v>2030</v>
      </c>
      <c r="F2231" s="27" t="str">
        <f>Tabela12[[#This Row],[Régua]]&amp;" ("&amp;Tabela12[[#This Row],[Born]]&amp;")"</f>
        <v>X-993 (203D)</v>
      </c>
      <c r="G2231" s="27">
        <f>LEN(Tabela12[[#This Row],[Anilha]])</f>
        <v>12</v>
      </c>
      <c r="H2231" s="21">
        <f>VLOOKUP(Tabela12[[#This Row],[Tag Cabo]],BD!A:F,6,0)</f>
        <v>1.5</v>
      </c>
      <c r="I2231" s="27" t="s">
        <v>1705</v>
      </c>
      <c r="J2231" s="27" t="s">
        <v>1706</v>
      </c>
    </row>
    <row r="2232" spans="1:10" x14ac:dyDescent="0.25">
      <c r="A2232" s="21" t="s">
        <v>675</v>
      </c>
      <c r="B2232" s="391" t="str">
        <f>VLOOKUP(Tabela12[[#This Row],[Painel]],Tabela13[],2,0)</f>
        <v>7HV</v>
      </c>
      <c r="C2232" s="391" t="s">
        <v>1590</v>
      </c>
      <c r="D2232" s="21" t="s">
        <v>2018</v>
      </c>
      <c r="E2232" s="21" t="s">
        <v>2031</v>
      </c>
      <c r="F2232" s="27" t="str">
        <f>Tabela12[[#This Row],[Régua]]&amp;" ("&amp;Tabela12[[#This Row],[Born]]&amp;")"</f>
        <v>X-993 (204A)</v>
      </c>
      <c r="G2232" s="27">
        <f>LEN(Tabela12[[#This Row],[Anilha]])</f>
        <v>12</v>
      </c>
      <c r="H2232" s="21">
        <f>VLOOKUP(Tabela12[[#This Row],[Tag Cabo]],BD!A:F,6,0)</f>
        <v>1.5</v>
      </c>
      <c r="I2232" s="27" t="s">
        <v>1705</v>
      </c>
      <c r="J2232" s="27" t="s">
        <v>1706</v>
      </c>
    </row>
    <row r="2233" spans="1:10" x14ac:dyDescent="0.25">
      <c r="A2233" s="21" t="s">
        <v>675</v>
      </c>
      <c r="B2233" s="391" t="str">
        <f>VLOOKUP(Tabela12[[#This Row],[Painel]],Tabela13[],2,0)</f>
        <v>7HV</v>
      </c>
      <c r="C2233" s="391" t="s">
        <v>1590</v>
      </c>
      <c r="D2233" s="21" t="s">
        <v>2018</v>
      </c>
      <c r="E2233" s="21" t="s">
        <v>2032</v>
      </c>
      <c r="F2233" s="27" t="str">
        <f>Tabela12[[#This Row],[Régua]]&amp;" ("&amp;Tabela12[[#This Row],[Born]]&amp;")"</f>
        <v>X-993 (204B)</v>
      </c>
      <c r="G2233" s="27">
        <f>LEN(Tabela12[[#This Row],[Anilha]])</f>
        <v>12</v>
      </c>
      <c r="H2233" s="21">
        <f>VLOOKUP(Tabela12[[#This Row],[Tag Cabo]],BD!A:F,6,0)</f>
        <v>1.5</v>
      </c>
      <c r="I2233" s="27" t="s">
        <v>1705</v>
      </c>
      <c r="J2233" s="27" t="s">
        <v>1706</v>
      </c>
    </row>
    <row r="2234" spans="1:10" x14ac:dyDescent="0.25">
      <c r="A2234" s="21" t="s">
        <v>675</v>
      </c>
      <c r="B2234" s="391" t="str">
        <f>VLOOKUP(Tabela12[[#This Row],[Painel]],Tabela13[],2,0)</f>
        <v>7HV</v>
      </c>
      <c r="C2234" s="391" t="s">
        <v>1590</v>
      </c>
      <c r="D2234" s="21" t="s">
        <v>2018</v>
      </c>
      <c r="E2234" s="21" t="s">
        <v>2033</v>
      </c>
      <c r="F2234" s="27" t="str">
        <f>Tabela12[[#This Row],[Régua]]&amp;" ("&amp;Tabela12[[#This Row],[Born]]&amp;")"</f>
        <v>X-993 (231A)</v>
      </c>
      <c r="G2234" s="27">
        <f>LEN(Tabela12[[#This Row],[Anilha]])</f>
        <v>12</v>
      </c>
      <c r="H2234" s="21">
        <f>VLOOKUP(Tabela12[[#This Row],[Tag Cabo]],BD!A:F,6,0)</f>
        <v>1.5</v>
      </c>
      <c r="I2234" s="27" t="s">
        <v>1705</v>
      </c>
      <c r="J2234" s="27" t="s">
        <v>1706</v>
      </c>
    </row>
    <row r="2235" spans="1:10" x14ac:dyDescent="0.25">
      <c r="A2235" s="21" t="s">
        <v>675</v>
      </c>
      <c r="B2235" s="391" t="str">
        <f>VLOOKUP(Tabela12[[#This Row],[Painel]],Tabela13[],2,0)</f>
        <v>7HV</v>
      </c>
      <c r="C2235" s="391" t="s">
        <v>1590</v>
      </c>
      <c r="D2235" s="21" t="s">
        <v>2018</v>
      </c>
      <c r="E2235" s="21" t="s">
        <v>2034</v>
      </c>
      <c r="F2235" s="27" t="str">
        <f>Tabela12[[#This Row],[Régua]]&amp;" ("&amp;Tabela12[[#This Row],[Born]]&amp;")"</f>
        <v>X-993 (231B)</v>
      </c>
      <c r="G2235" s="27">
        <f>LEN(Tabela12[[#This Row],[Anilha]])</f>
        <v>12</v>
      </c>
      <c r="H2235" s="21">
        <f>VLOOKUP(Tabela12[[#This Row],[Tag Cabo]],BD!A:F,6,0)</f>
        <v>1.5</v>
      </c>
      <c r="I2235" s="27" t="s">
        <v>1705</v>
      </c>
      <c r="J2235" s="27" t="s">
        <v>1706</v>
      </c>
    </row>
    <row r="2236" spans="1:10" x14ac:dyDescent="0.25">
      <c r="A2236" s="21" t="s">
        <v>675</v>
      </c>
      <c r="B2236" s="391" t="str">
        <f>VLOOKUP(Tabela12[[#This Row],[Painel]],Tabela13[],2,0)</f>
        <v>7HV</v>
      </c>
      <c r="C2236" s="391" t="s">
        <v>1590</v>
      </c>
      <c r="D2236" s="21" t="s">
        <v>2018</v>
      </c>
      <c r="E2236" s="21" t="s">
        <v>2035</v>
      </c>
      <c r="F2236" s="27" t="str">
        <f>Tabela12[[#This Row],[Régua]]&amp;" ("&amp;Tabela12[[#This Row],[Born]]&amp;")"</f>
        <v>X-993 (231C)</v>
      </c>
      <c r="G2236" s="27">
        <f>LEN(Tabela12[[#This Row],[Anilha]])</f>
        <v>12</v>
      </c>
      <c r="H2236" s="21">
        <f>VLOOKUP(Tabela12[[#This Row],[Tag Cabo]],BD!A:F,6,0)</f>
        <v>1.5</v>
      </c>
      <c r="I2236" s="27" t="s">
        <v>1705</v>
      </c>
      <c r="J2236" s="27" t="s">
        <v>1706</v>
      </c>
    </row>
    <row r="2237" spans="1:10" x14ac:dyDescent="0.25">
      <c r="A2237" s="21" t="s">
        <v>675</v>
      </c>
      <c r="B2237" s="391" t="str">
        <f>VLOOKUP(Tabela12[[#This Row],[Painel]],Tabela13[],2,0)</f>
        <v>7HV</v>
      </c>
      <c r="C2237" s="391" t="s">
        <v>1590</v>
      </c>
      <c r="D2237" s="21" t="s">
        <v>2018</v>
      </c>
      <c r="E2237" s="21" t="s">
        <v>2036</v>
      </c>
      <c r="F2237" s="27" t="str">
        <f>Tabela12[[#This Row],[Régua]]&amp;" ("&amp;Tabela12[[#This Row],[Born]]&amp;")"</f>
        <v>X-993 (231D)</v>
      </c>
      <c r="G2237" s="27">
        <f>LEN(Tabela12[[#This Row],[Anilha]])</f>
        <v>12</v>
      </c>
      <c r="H2237" s="21">
        <f>VLOOKUP(Tabela12[[#This Row],[Tag Cabo]],BD!A:F,6,0)</f>
        <v>1.5</v>
      </c>
      <c r="I2237" s="27" t="s">
        <v>1705</v>
      </c>
      <c r="J2237" s="27" t="s">
        <v>1706</v>
      </c>
    </row>
    <row r="2238" spans="1:10" x14ac:dyDescent="0.25">
      <c r="A2238" s="21" t="s">
        <v>675</v>
      </c>
      <c r="B2238" s="391" t="str">
        <f>VLOOKUP(Tabela12[[#This Row],[Painel]],Tabela13[],2,0)</f>
        <v>7HV</v>
      </c>
      <c r="C2238" s="391" t="s">
        <v>1590</v>
      </c>
      <c r="D2238" s="21" t="s">
        <v>2037</v>
      </c>
      <c r="E2238" s="21" t="s">
        <v>2038</v>
      </c>
      <c r="F2238" s="27" t="str">
        <f>Tabela12[[#This Row],[Régua]]&amp;" ("&amp;Tabela12[[#This Row],[Born]]&amp;")"</f>
        <v>X-995 (206A)</v>
      </c>
      <c r="G2238" s="27">
        <f>LEN(Tabela12[[#This Row],[Anilha]])</f>
        <v>12</v>
      </c>
      <c r="H2238" s="21">
        <f>VLOOKUP(Tabela12[[#This Row],[Tag Cabo]],BD!A:F,6,0)</f>
        <v>1.5</v>
      </c>
      <c r="I2238" s="27" t="s">
        <v>1705</v>
      </c>
      <c r="J2238" s="27" t="s">
        <v>1706</v>
      </c>
    </row>
    <row r="2239" spans="1:10" x14ac:dyDescent="0.25">
      <c r="A2239" s="21" t="s">
        <v>675</v>
      </c>
      <c r="B2239" s="391" t="str">
        <f>VLOOKUP(Tabela12[[#This Row],[Painel]],Tabela13[],2,0)</f>
        <v>7HV</v>
      </c>
      <c r="C2239" s="391" t="s">
        <v>1590</v>
      </c>
      <c r="D2239" s="21" t="s">
        <v>2037</v>
      </c>
      <c r="E2239" s="21" t="s">
        <v>2039</v>
      </c>
      <c r="F2239" s="27" t="str">
        <f>Tabela12[[#This Row],[Régua]]&amp;" ("&amp;Tabela12[[#This Row],[Born]]&amp;")"</f>
        <v>X-995 (206B)</v>
      </c>
      <c r="G2239" s="27">
        <f>LEN(Tabela12[[#This Row],[Anilha]])</f>
        <v>12</v>
      </c>
      <c r="H2239" s="21">
        <f>VLOOKUP(Tabela12[[#This Row],[Tag Cabo]],BD!A:F,6,0)</f>
        <v>1.5</v>
      </c>
      <c r="I2239" s="27" t="s">
        <v>1705</v>
      </c>
      <c r="J2239" s="27" t="s">
        <v>1706</v>
      </c>
    </row>
    <row r="2240" spans="1:10" x14ac:dyDescent="0.25">
      <c r="A2240" s="21" t="s">
        <v>675</v>
      </c>
      <c r="B2240" s="391" t="str">
        <f>VLOOKUP(Tabela12[[#This Row],[Painel]],Tabela13[],2,0)</f>
        <v>7HV</v>
      </c>
      <c r="C2240" s="391" t="s">
        <v>1590</v>
      </c>
      <c r="D2240" s="21" t="s">
        <v>2040</v>
      </c>
      <c r="E2240" s="21" t="s">
        <v>2041</v>
      </c>
      <c r="F2240" s="27" t="str">
        <f>Tabela12[[#This Row],[Régua]]&amp;" ("&amp;Tabela12[[#This Row],[Born]]&amp;")"</f>
        <v>X-051.A (04C)</v>
      </c>
      <c r="G2240" s="27">
        <f>LEN(Tabela12[[#This Row],[Anilha]])</f>
        <v>13</v>
      </c>
      <c r="H2240" s="21">
        <f>VLOOKUP(Tabela12[[#This Row],[Tag Cabo]],BD!A:F,6,0)</f>
        <v>1.5</v>
      </c>
      <c r="I2240" s="27" t="s">
        <v>1705</v>
      </c>
      <c r="J2240" s="27" t="s">
        <v>1706</v>
      </c>
    </row>
    <row r="2241" spans="1:10" x14ac:dyDescent="0.25">
      <c r="A2241" s="21" t="s">
        <v>675</v>
      </c>
      <c r="B2241" s="391" t="str">
        <f>VLOOKUP(Tabela12[[#This Row],[Painel]],Tabela13[],2,0)</f>
        <v>7HV</v>
      </c>
      <c r="C2241" s="391" t="s">
        <v>1590</v>
      </c>
      <c r="D2241" s="21" t="s">
        <v>2040</v>
      </c>
      <c r="E2241" s="21" t="s">
        <v>2042</v>
      </c>
      <c r="F2241" s="27" t="str">
        <f>Tabela12[[#This Row],[Régua]]&amp;" ("&amp;Tabela12[[#This Row],[Born]]&amp;")"</f>
        <v>X-051.A (04D)</v>
      </c>
      <c r="G2241" s="27">
        <f>LEN(Tabela12[[#This Row],[Anilha]])</f>
        <v>13</v>
      </c>
      <c r="H2241" s="21">
        <f>VLOOKUP(Tabela12[[#This Row],[Tag Cabo]],BD!A:F,6,0)</f>
        <v>1.5</v>
      </c>
      <c r="I2241" s="27" t="s">
        <v>1705</v>
      </c>
      <c r="J2241" s="27" t="s">
        <v>1706</v>
      </c>
    </row>
    <row r="2242" spans="1:10" x14ac:dyDescent="0.25">
      <c r="A2242" s="21" t="s">
        <v>675</v>
      </c>
      <c r="B2242" s="391" t="str">
        <f>VLOOKUP(Tabela12[[#This Row],[Painel]],Tabela13[],2,0)</f>
        <v>CCP</v>
      </c>
      <c r="C2242" s="391" t="s">
        <v>1648</v>
      </c>
      <c r="D2242" s="21" t="s">
        <v>1941</v>
      </c>
      <c r="E2242" s="21">
        <v>1</v>
      </c>
      <c r="F2242" s="27" t="str">
        <f>Tabela12[[#This Row],[Régua]]&amp;" ("&amp;Tabela12[[#This Row],[Born]]&amp;")"</f>
        <v>TB-33 (1)</v>
      </c>
      <c r="G2242" s="27">
        <f>LEN(Tabela12[[#This Row],[Anilha]])</f>
        <v>9</v>
      </c>
      <c r="H2242" s="21">
        <f>VLOOKUP(Tabela12[[#This Row],[Tag Cabo]],BD!A:F,6,0)</f>
        <v>1.5</v>
      </c>
      <c r="I2242" s="27" t="s">
        <v>1705</v>
      </c>
      <c r="J2242" s="27" t="s">
        <v>1706</v>
      </c>
    </row>
    <row r="2243" spans="1:10" x14ac:dyDescent="0.25">
      <c r="A2243" s="21" t="s">
        <v>675</v>
      </c>
      <c r="B2243" s="391" t="str">
        <f>VLOOKUP(Tabela12[[#This Row],[Painel]],Tabela13[],2,0)</f>
        <v>CCP</v>
      </c>
      <c r="C2243" s="391" t="s">
        <v>1648</v>
      </c>
      <c r="D2243" s="21" t="s">
        <v>1941</v>
      </c>
      <c r="E2243" s="21">
        <v>2</v>
      </c>
      <c r="F2243" s="27" t="str">
        <f>Tabela12[[#This Row],[Régua]]&amp;" ("&amp;Tabela12[[#This Row],[Born]]&amp;")"</f>
        <v>TB-33 (2)</v>
      </c>
      <c r="G2243" s="27">
        <f>LEN(Tabela12[[#This Row],[Anilha]])</f>
        <v>9</v>
      </c>
      <c r="H2243" s="21">
        <f>VLOOKUP(Tabela12[[#This Row],[Tag Cabo]],BD!A:F,6,0)</f>
        <v>1.5</v>
      </c>
      <c r="I2243" s="27" t="s">
        <v>1705</v>
      </c>
      <c r="J2243" s="27" t="s">
        <v>1706</v>
      </c>
    </row>
    <row r="2244" spans="1:10" x14ac:dyDescent="0.25">
      <c r="A2244" s="21" t="s">
        <v>675</v>
      </c>
      <c r="B2244" s="391" t="str">
        <f>VLOOKUP(Tabela12[[#This Row],[Painel]],Tabela13[],2,0)</f>
        <v>CCP</v>
      </c>
      <c r="C2244" s="391" t="s">
        <v>1648</v>
      </c>
      <c r="D2244" s="21" t="s">
        <v>1941</v>
      </c>
      <c r="E2244" s="21">
        <v>4</v>
      </c>
      <c r="F2244" s="27" t="str">
        <f>Tabela12[[#This Row],[Régua]]&amp;" ("&amp;Tabela12[[#This Row],[Born]]&amp;")"</f>
        <v>TB-33 (4)</v>
      </c>
      <c r="G2244" s="27">
        <f>LEN(Tabela12[[#This Row],[Anilha]])</f>
        <v>9</v>
      </c>
      <c r="H2244" s="21">
        <f>VLOOKUP(Tabela12[[#This Row],[Tag Cabo]],BD!A:F,6,0)</f>
        <v>1.5</v>
      </c>
      <c r="I2244" s="27" t="s">
        <v>1705</v>
      </c>
      <c r="J2244" s="27" t="s">
        <v>1706</v>
      </c>
    </row>
    <row r="2245" spans="1:10" x14ac:dyDescent="0.25">
      <c r="A2245" s="21" t="s">
        <v>675</v>
      </c>
      <c r="B2245" s="391" t="str">
        <f>VLOOKUP(Tabela12[[#This Row],[Painel]],Tabela13[],2,0)</f>
        <v>CCP</v>
      </c>
      <c r="C2245" s="391" t="s">
        <v>1648</v>
      </c>
      <c r="D2245" s="21" t="s">
        <v>1941</v>
      </c>
      <c r="E2245" s="21">
        <v>5</v>
      </c>
      <c r="F2245" s="27" t="str">
        <f>Tabela12[[#This Row],[Régua]]&amp;" ("&amp;Tabela12[[#This Row],[Born]]&amp;")"</f>
        <v>TB-33 (5)</v>
      </c>
      <c r="G2245" s="27">
        <f>LEN(Tabela12[[#This Row],[Anilha]])</f>
        <v>9</v>
      </c>
      <c r="H2245" s="21">
        <f>VLOOKUP(Tabela12[[#This Row],[Tag Cabo]],BD!A:F,6,0)</f>
        <v>1.5</v>
      </c>
      <c r="I2245" s="27" t="s">
        <v>1705</v>
      </c>
      <c r="J2245" s="27" t="s">
        <v>1706</v>
      </c>
    </row>
    <row r="2246" spans="1:10" x14ac:dyDescent="0.25">
      <c r="A2246" s="21" t="s">
        <v>675</v>
      </c>
      <c r="B2246" s="391" t="str">
        <f>VLOOKUP(Tabela12[[#This Row],[Painel]],Tabela13[],2,0)</f>
        <v>CCP</v>
      </c>
      <c r="C2246" s="391" t="s">
        <v>1648</v>
      </c>
      <c r="D2246" s="21" t="s">
        <v>1941</v>
      </c>
      <c r="E2246" s="21">
        <v>7</v>
      </c>
      <c r="F2246" s="27" t="str">
        <f>Tabela12[[#This Row],[Régua]]&amp;" ("&amp;Tabela12[[#This Row],[Born]]&amp;")"</f>
        <v>TB-33 (7)</v>
      </c>
      <c r="G2246" s="27">
        <f>LEN(Tabela12[[#This Row],[Anilha]])</f>
        <v>9</v>
      </c>
      <c r="H2246" s="21">
        <f>VLOOKUP(Tabela12[[#This Row],[Tag Cabo]],BD!A:F,6,0)</f>
        <v>1.5</v>
      </c>
      <c r="I2246" s="27" t="s">
        <v>1705</v>
      </c>
      <c r="J2246" s="27" t="s">
        <v>1706</v>
      </c>
    </row>
    <row r="2247" spans="1:10" x14ac:dyDescent="0.25">
      <c r="A2247" s="21" t="s">
        <v>675</v>
      </c>
      <c r="B2247" s="391" t="str">
        <f>VLOOKUP(Tabela12[[#This Row],[Painel]],Tabela13[],2,0)</f>
        <v>CCP</v>
      </c>
      <c r="C2247" s="391" t="s">
        <v>1648</v>
      </c>
      <c r="D2247" s="21" t="s">
        <v>1941</v>
      </c>
      <c r="E2247" s="21">
        <v>8</v>
      </c>
      <c r="F2247" s="27" t="str">
        <f>Tabela12[[#This Row],[Régua]]&amp;" ("&amp;Tabela12[[#This Row],[Born]]&amp;")"</f>
        <v>TB-33 (8)</v>
      </c>
      <c r="G2247" s="27">
        <f>LEN(Tabela12[[#This Row],[Anilha]])</f>
        <v>9</v>
      </c>
      <c r="H2247" s="21">
        <f>VLOOKUP(Tabela12[[#This Row],[Tag Cabo]],BD!A:F,6,0)</f>
        <v>1.5</v>
      </c>
      <c r="I2247" s="27" t="s">
        <v>1705</v>
      </c>
      <c r="J2247" s="27" t="s">
        <v>1706</v>
      </c>
    </row>
    <row r="2248" spans="1:10" x14ac:dyDescent="0.25">
      <c r="A2248" s="21" t="s">
        <v>675</v>
      </c>
      <c r="B2248" s="391" t="str">
        <f>VLOOKUP(Tabela12[[#This Row],[Painel]],Tabela13[],2,0)</f>
        <v>CCP</v>
      </c>
      <c r="C2248" s="391" t="s">
        <v>1648</v>
      </c>
      <c r="D2248" s="21" t="s">
        <v>1941</v>
      </c>
      <c r="E2248" s="21">
        <v>10</v>
      </c>
      <c r="F2248" s="27" t="str">
        <f>Tabela12[[#This Row],[Régua]]&amp;" ("&amp;Tabela12[[#This Row],[Born]]&amp;")"</f>
        <v>TB-33 (10)</v>
      </c>
      <c r="G2248" s="27">
        <f>LEN(Tabela12[[#This Row],[Anilha]])</f>
        <v>10</v>
      </c>
      <c r="H2248" s="21">
        <f>VLOOKUP(Tabela12[[#This Row],[Tag Cabo]],BD!A:F,6,0)</f>
        <v>1.5</v>
      </c>
      <c r="I2248" s="27" t="s">
        <v>1705</v>
      </c>
      <c r="J2248" s="27" t="s">
        <v>1706</v>
      </c>
    </row>
    <row r="2249" spans="1:10" x14ac:dyDescent="0.25">
      <c r="A2249" s="21" t="s">
        <v>675</v>
      </c>
      <c r="B2249" s="391" t="str">
        <f>VLOOKUP(Tabela12[[#This Row],[Painel]],Tabela13[],2,0)</f>
        <v>CCP</v>
      </c>
      <c r="C2249" s="391" t="s">
        <v>1648</v>
      </c>
      <c r="D2249" s="21" t="s">
        <v>1941</v>
      </c>
      <c r="E2249" s="21">
        <v>11</v>
      </c>
      <c r="F2249" s="27" t="str">
        <f>Tabela12[[#This Row],[Régua]]&amp;" ("&amp;Tabela12[[#This Row],[Born]]&amp;")"</f>
        <v>TB-33 (11)</v>
      </c>
      <c r="G2249" s="27">
        <f>LEN(Tabela12[[#This Row],[Anilha]])</f>
        <v>10</v>
      </c>
      <c r="H2249" s="21">
        <f>VLOOKUP(Tabela12[[#This Row],[Tag Cabo]],BD!A:F,6,0)</f>
        <v>1.5</v>
      </c>
      <c r="I2249" s="27" t="s">
        <v>1705</v>
      </c>
      <c r="J2249" s="27" t="s">
        <v>1706</v>
      </c>
    </row>
    <row r="2250" spans="1:10" x14ac:dyDescent="0.25">
      <c r="A2250" s="21" t="s">
        <v>675</v>
      </c>
      <c r="B2250" s="391" t="str">
        <f>VLOOKUP(Tabela12[[#This Row],[Painel]],Tabela13[],2,0)</f>
        <v>CCP</v>
      </c>
      <c r="C2250" s="391" t="s">
        <v>1648</v>
      </c>
      <c r="D2250" s="21" t="s">
        <v>1941</v>
      </c>
      <c r="E2250" s="21">
        <v>13</v>
      </c>
      <c r="F2250" s="27" t="str">
        <f>Tabela12[[#This Row],[Régua]]&amp;" ("&amp;Tabela12[[#This Row],[Born]]&amp;")"</f>
        <v>TB-33 (13)</v>
      </c>
      <c r="G2250" s="27">
        <f>LEN(Tabela12[[#This Row],[Anilha]])</f>
        <v>10</v>
      </c>
      <c r="H2250" s="21">
        <f>VLOOKUP(Tabela12[[#This Row],[Tag Cabo]],BD!A:F,6,0)</f>
        <v>1.5</v>
      </c>
      <c r="I2250" s="27" t="s">
        <v>1705</v>
      </c>
      <c r="J2250" s="27" t="s">
        <v>1706</v>
      </c>
    </row>
    <row r="2251" spans="1:10" x14ac:dyDescent="0.25">
      <c r="A2251" s="21" t="s">
        <v>675</v>
      </c>
      <c r="B2251" s="391" t="str">
        <f>VLOOKUP(Tabela12[[#This Row],[Painel]],Tabela13[],2,0)</f>
        <v>CCP</v>
      </c>
      <c r="C2251" s="391" t="s">
        <v>1648</v>
      </c>
      <c r="D2251" s="21" t="s">
        <v>1941</v>
      </c>
      <c r="E2251" s="21">
        <v>14</v>
      </c>
      <c r="F2251" s="27" t="str">
        <f>Tabela12[[#This Row],[Régua]]&amp;" ("&amp;Tabela12[[#This Row],[Born]]&amp;")"</f>
        <v>TB-33 (14)</v>
      </c>
      <c r="G2251" s="27">
        <f>LEN(Tabela12[[#This Row],[Anilha]])</f>
        <v>10</v>
      </c>
      <c r="H2251" s="21">
        <f>VLOOKUP(Tabela12[[#This Row],[Tag Cabo]],BD!A:F,6,0)</f>
        <v>1.5</v>
      </c>
      <c r="I2251" s="27" t="s">
        <v>1705</v>
      </c>
      <c r="J2251" s="27" t="s">
        <v>1706</v>
      </c>
    </row>
    <row r="2252" spans="1:10" x14ac:dyDescent="0.25">
      <c r="A2252" s="21" t="s">
        <v>675</v>
      </c>
      <c r="B2252" s="391" t="str">
        <f>VLOOKUP(Tabela12[[#This Row],[Painel]],Tabela13[],2,0)</f>
        <v>CCP</v>
      </c>
      <c r="C2252" s="391" t="s">
        <v>1648</v>
      </c>
      <c r="D2252" s="21" t="s">
        <v>1941</v>
      </c>
      <c r="E2252" s="21">
        <v>16</v>
      </c>
      <c r="F2252" s="27" t="str">
        <f>Tabela12[[#This Row],[Régua]]&amp;" ("&amp;Tabela12[[#This Row],[Born]]&amp;")"</f>
        <v>TB-33 (16)</v>
      </c>
      <c r="G2252" s="27">
        <f>LEN(Tabela12[[#This Row],[Anilha]])</f>
        <v>10</v>
      </c>
      <c r="H2252" s="21">
        <f>VLOOKUP(Tabela12[[#This Row],[Tag Cabo]],BD!A:F,6,0)</f>
        <v>1.5</v>
      </c>
      <c r="I2252" s="27" t="s">
        <v>1705</v>
      </c>
      <c r="J2252" s="27" t="s">
        <v>1706</v>
      </c>
    </row>
    <row r="2253" spans="1:10" x14ac:dyDescent="0.25">
      <c r="A2253" s="21" t="s">
        <v>675</v>
      </c>
      <c r="B2253" s="391" t="str">
        <f>VLOOKUP(Tabela12[[#This Row],[Painel]],Tabela13[],2,0)</f>
        <v>CCP</v>
      </c>
      <c r="C2253" s="391" t="s">
        <v>1648</v>
      </c>
      <c r="D2253" s="21" t="s">
        <v>1941</v>
      </c>
      <c r="E2253" s="21">
        <v>17</v>
      </c>
      <c r="F2253" s="27" t="str">
        <f>Tabela12[[#This Row],[Régua]]&amp;" ("&amp;Tabela12[[#This Row],[Born]]&amp;")"</f>
        <v>TB-33 (17)</v>
      </c>
      <c r="G2253" s="27">
        <f>LEN(Tabela12[[#This Row],[Anilha]])</f>
        <v>10</v>
      </c>
      <c r="H2253" s="21">
        <f>VLOOKUP(Tabela12[[#This Row],[Tag Cabo]],BD!A:F,6,0)</f>
        <v>1.5</v>
      </c>
      <c r="I2253" s="27" t="s">
        <v>1705</v>
      </c>
      <c r="J2253" s="27" t="s">
        <v>1706</v>
      </c>
    </row>
    <row r="2254" spans="1:10" x14ac:dyDescent="0.25">
      <c r="A2254" s="21" t="s">
        <v>675</v>
      </c>
      <c r="B2254" s="391" t="str">
        <f>VLOOKUP(Tabela12[[#This Row],[Painel]],Tabela13[],2,0)</f>
        <v>CCP</v>
      </c>
      <c r="C2254" s="391" t="s">
        <v>1648</v>
      </c>
      <c r="D2254" s="21" t="s">
        <v>1941</v>
      </c>
      <c r="E2254" s="21">
        <v>19</v>
      </c>
      <c r="F2254" s="27" t="str">
        <f>Tabela12[[#This Row],[Régua]]&amp;" ("&amp;Tabela12[[#This Row],[Born]]&amp;")"</f>
        <v>TB-33 (19)</v>
      </c>
      <c r="G2254" s="27">
        <f>LEN(Tabela12[[#This Row],[Anilha]])</f>
        <v>10</v>
      </c>
      <c r="H2254" s="21">
        <f>VLOOKUP(Tabela12[[#This Row],[Tag Cabo]],BD!A:F,6,0)</f>
        <v>1.5</v>
      </c>
      <c r="I2254" s="27" t="s">
        <v>1705</v>
      </c>
      <c r="J2254" s="27" t="s">
        <v>1706</v>
      </c>
    </row>
    <row r="2255" spans="1:10" x14ac:dyDescent="0.25">
      <c r="A2255" s="21" t="s">
        <v>675</v>
      </c>
      <c r="B2255" s="391" t="str">
        <f>VLOOKUP(Tabela12[[#This Row],[Painel]],Tabela13[],2,0)</f>
        <v>CCP</v>
      </c>
      <c r="C2255" s="391" t="s">
        <v>1648</v>
      </c>
      <c r="D2255" s="21" t="s">
        <v>1941</v>
      </c>
      <c r="E2255" s="21">
        <v>20</v>
      </c>
      <c r="F2255" s="27" t="str">
        <f>Tabela12[[#This Row],[Régua]]&amp;" ("&amp;Tabela12[[#This Row],[Born]]&amp;")"</f>
        <v>TB-33 (20)</v>
      </c>
      <c r="G2255" s="27">
        <f>LEN(Tabela12[[#This Row],[Anilha]])</f>
        <v>10</v>
      </c>
      <c r="H2255" s="21">
        <f>VLOOKUP(Tabela12[[#This Row],[Tag Cabo]],BD!A:F,6,0)</f>
        <v>1.5</v>
      </c>
      <c r="I2255" s="27" t="s">
        <v>1705</v>
      </c>
      <c r="J2255" s="27" t="s">
        <v>1706</v>
      </c>
    </row>
    <row r="2256" spans="1:10" x14ac:dyDescent="0.25">
      <c r="A2256" s="21" t="s">
        <v>675</v>
      </c>
      <c r="B2256" s="391" t="str">
        <f>VLOOKUP(Tabela12[[#This Row],[Painel]],Tabela13[],2,0)</f>
        <v>CCP</v>
      </c>
      <c r="C2256" s="391" t="s">
        <v>1648</v>
      </c>
      <c r="D2256" s="21" t="s">
        <v>1941</v>
      </c>
      <c r="E2256" s="21">
        <v>22</v>
      </c>
      <c r="F2256" s="27" t="str">
        <f>Tabela12[[#This Row],[Régua]]&amp;" ("&amp;Tabela12[[#This Row],[Born]]&amp;")"</f>
        <v>TB-33 (22)</v>
      </c>
      <c r="G2256" s="27">
        <f>LEN(Tabela12[[#This Row],[Anilha]])</f>
        <v>10</v>
      </c>
      <c r="H2256" s="21">
        <f>VLOOKUP(Tabela12[[#This Row],[Tag Cabo]],BD!A:F,6,0)</f>
        <v>1.5</v>
      </c>
      <c r="I2256" s="27" t="s">
        <v>1705</v>
      </c>
      <c r="J2256" s="27" t="s">
        <v>1706</v>
      </c>
    </row>
    <row r="2257" spans="1:10" x14ac:dyDescent="0.25">
      <c r="A2257" s="21" t="s">
        <v>675</v>
      </c>
      <c r="B2257" s="391" t="str">
        <f>VLOOKUP(Tabela12[[#This Row],[Painel]],Tabela13[],2,0)</f>
        <v>CCP</v>
      </c>
      <c r="C2257" s="391" t="s">
        <v>1648</v>
      </c>
      <c r="D2257" s="21" t="s">
        <v>1941</v>
      </c>
      <c r="E2257" s="21">
        <v>23</v>
      </c>
      <c r="F2257" s="27" t="str">
        <f>Tabela12[[#This Row],[Régua]]&amp;" ("&amp;Tabela12[[#This Row],[Born]]&amp;")"</f>
        <v>TB-33 (23)</v>
      </c>
      <c r="G2257" s="27">
        <f>LEN(Tabela12[[#This Row],[Anilha]])</f>
        <v>10</v>
      </c>
      <c r="H2257" s="21">
        <f>VLOOKUP(Tabela12[[#This Row],[Tag Cabo]],BD!A:F,6,0)</f>
        <v>1.5</v>
      </c>
      <c r="I2257" s="27" t="s">
        <v>1705</v>
      </c>
      <c r="J2257" s="27" t="s">
        <v>1706</v>
      </c>
    </row>
    <row r="2258" spans="1:10" x14ac:dyDescent="0.25">
      <c r="A2258" s="21" t="s">
        <v>675</v>
      </c>
      <c r="B2258" s="391" t="str">
        <f>VLOOKUP(Tabela12[[#This Row],[Painel]],Tabela13[],2,0)</f>
        <v>CCP</v>
      </c>
      <c r="C2258" s="391" t="s">
        <v>1648</v>
      </c>
      <c r="D2258" s="21" t="s">
        <v>1941</v>
      </c>
      <c r="E2258" s="21">
        <v>25</v>
      </c>
      <c r="F2258" s="27" t="str">
        <f>Tabela12[[#This Row],[Régua]]&amp;" ("&amp;Tabela12[[#This Row],[Born]]&amp;")"</f>
        <v>TB-33 (25)</v>
      </c>
      <c r="G2258" s="27">
        <f>LEN(Tabela12[[#This Row],[Anilha]])</f>
        <v>10</v>
      </c>
      <c r="H2258" s="21">
        <f>VLOOKUP(Tabela12[[#This Row],[Tag Cabo]],BD!A:F,6,0)</f>
        <v>1.5</v>
      </c>
      <c r="I2258" s="27" t="s">
        <v>1705</v>
      </c>
      <c r="J2258" s="27" t="s">
        <v>1706</v>
      </c>
    </row>
    <row r="2259" spans="1:10" x14ac:dyDescent="0.25">
      <c r="A2259" s="21" t="s">
        <v>675</v>
      </c>
      <c r="B2259" s="391" t="str">
        <f>VLOOKUP(Tabela12[[#This Row],[Painel]],Tabela13[],2,0)</f>
        <v>CCP</v>
      </c>
      <c r="C2259" s="391" t="s">
        <v>1648</v>
      </c>
      <c r="D2259" s="21" t="s">
        <v>1941</v>
      </c>
      <c r="E2259" s="21">
        <v>26</v>
      </c>
      <c r="F2259" s="27" t="str">
        <f>Tabela12[[#This Row],[Régua]]&amp;" ("&amp;Tabela12[[#This Row],[Born]]&amp;")"</f>
        <v>TB-33 (26)</v>
      </c>
      <c r="G2259" s="27">
        <f>LEN(Tabela12[[#This Row],[Anilha]])</f>
        <v>10</v>
      </c>
      <c r="H2259" s="21">
        <f>VLOOKUP(Tabela12[[#This Row],[Tag Cabo]],BD!A:F,6,0)</f>
        <v>1.5</v>
      </c>
      <c r="I2259" s="27" t="s">
        <v>1705</v>
      </c>
      <c r="J2259" s="27" t="s">
        <v>1706</v>
      </c>
    </row>
    <row r="2260" spans="1:10" x14ac:dyDescent="0.25">
      <c r="A2260" s="21" t="s">
        <v>675</v>
      </c>
      <c r="B2260" s="391" t="str">
        <f>VLOOKUP(Tabela12[[#This Row],[Painel]],Tabela13[],2,0)</f>
        <v>CCP</v>
      </c>
      <c r="C2260" s="391" t="s">
        <v>1648</v>
      </c>
      <c r="D2260" s="21" t="s">
        <v>1941</v>
      </c>
      <c r="E2260" s="21">
        <v>28</v>
      </c>
      <c r="F2260" s="27" t="str">
        <f>Tabela12[[#This Row],[Régua]]&amp;" ("&amp;Tabela12[[#This Row],[Born]]&amp;")"</f>
        <v>TB-33 (28)</v>
      </c>
      <c r="G2260" s="27">
        <f>LEN(Tabela12[[#This Row],[Anilha]])</f>
        <v>10</v>
      </c>
      <c r="H2260" s="21">
        <f>VLOOKUP(Tabela12[[#This Row],[Tag Cabo]],BD!A:F,6,0)</f>
        <v>1.5</v>
      </c>
      <c r="I2260" s="27" t="s">
        <v>1705</v>
      </c>
      <c r="J2260" s="27" t="s">
        <v>1706</v>
      </c>
    </row>
    <row r="2261" spans="1:10" x14ac:dyDescent="0.25">
      <c r="A2261" s="21" t="s">
        <v>675</v>
      </c>
      <c r="B2261" s="391" t="str">
        <f>VLOOKUP(Tabela12[[#This Row],[Painel]],Tabela13[],2,0)</f>
        <v>CCP</v>
      </c>
      <c r="C2261" s="391" t="s">
        <v>1648</v>
      </c>
      <c r="D2261" s="21" t="s">
        <v>1941</v>
      </c>
      <c r="E2261" s="21">
        <v>29</v>
      </c>
      <c r="F2261" s="27" t="str">
        <f>Tabela12[[#This Row],[Régua]]&amp;" ("&amp;Tabela12[[#This Row],[Born]]&amp;")"</f>
        <v>TB-33 (29)</v>
      </c>
      <c r="G2261" s="27">
        <f>LEN(Tabela12[[#This Row],[Anilha]])</f>
        <v>10</v>
      </c>
      <c r="H2261" s="21">
        <f>VLOOKUP(Tabela12[[#This Row],[Tag Cabo]],BD!A:F,6,0)</f>
        <v>1.5</v>
      </c>
      <c r="I2261" s="27" t="s">
        <v>1705</v>
      </c>
      <c r="J2261" s="27" t="s">
        <v>1706</v>
      </c>
    </row>
    <row r="2262" spans="1:10" x14ac:dyDescent="0.25">
      <c r="A2262" s="21" t="s">
        <v>675</v>
      </c>
      <c r="B2262" s="391" t="str">
        <f>VLOOKUP(Tabela12[[#This Row],[Painel]],Tabela13[],2,0)</f>
        <v>CCP</v>
      </c>
      <c r="C2262" s="391" t="s">
        <v>1648</v>
      </c>
      <c r="D2262" s="21" t="s">
        <v>1941</v>
      </c>
      <c r="E2262" s="21">
        <v>31</v>
      </c>
      <c r="F2262" s="27" t="str">
        <f>Tabela12[[#This Row],[Régua]]&amp;" ("&amp;Tabela12[[#This Row],[Born]]&amp;")"</f>
        <v>TB-33 (31)</v>
      </c>
      <c r="G2262" s="27">
        <f>LEN(Tabela12[[#This Row],[Anilha]])</f>
        <v>10</v>
      </c>
      <c r="H2262" s="21">
        <f>VLOOKUP(Tabela12[[#This Row],[Tag Cabo]],BD!A:F,6,0)</f>
        <v>1.5</v>
      </c>
      <c r="I2262" s="27" t="s">
        <v>1705</v>
      </c>
      <c r="J2262" s="27" t="s">
        <v>1706</v>
      </c>
    </row>
    <row r="2263" spans="1:10" x14ac:dyDescent="0.25">
      <c r="A2263" s="21" t="s">
        <v>675</v>
      </c>
      <c r="B2263" s="391" t="str">
        <f>VLOOKUP(Tabela12[[#This Row],[Painel]],Tabela13[],2,0)</f>
        <v>CCP</v>
      </c>
      <c r="C2263" s="391" t="s">
        <v>1648</v>
      </c>
      <c r="D2263" s="21" t="s">
        <v>1941</v>
      </c>
      <c r="E2263" s="21">
        <v>32</v>
      </c>
      <c r="F2263" s="27" t="str">
        <f>Tabela12[[#This Row],[Régua]]&amp;" ("&amp;Tabela12[[#This Row],[Born]]&amp;")"</f>
        <v>TB-33 (32)</v>
      </c>
      <c r="G2263" s="27">
        <f>LEN(Tabela12[[#This Row],[Anilha]])</f>
        <v>10</v>
      </c>
      <c r="H2263" s="21">
        <f>VLOOKUP(Tabela12[[#This Row],[Tag Cabo]],BD!A:F,6,0)</f>
        <v>1.5</v>
      </c>
      <c r="I2263" s="27" t="s">
        <v>1705</v>
      </c>
      <c r="J2263" s="27" t="s">
        <v>1706</v>
      </c>
    </row>
    <row r="2264" spans="1:10" x14ac:dyDescent="0.25">
      <c r="A2264" s="21" t="s">
        <v>675</v>
      </c>
      <c r="B2264" s="391" t="str">
        <f>VLOOKUP(Tabela12[[#This Row],[Painel]],Tabela13[],2,0)</f>
        <v>CCP</v>
      </c>
      <c r="C2264" s="391" t="s">
        <v>1648</v>
      </c>
      <c r="D2264" s="21" t="s">
        <v>1941</v>
      </c>
      <c r="E2264" s="21">
        <v>34</v>
      </c>
      <c r="F2264" s="27" t="str">
        <f>Tabela12[[#This Row],[Régua]]&amp;" ("&amp;Tabela12[[#This Row],[Born]]&amp;")"</f>
        <v>TB-33 (34)</v>
      </c>
      <c r="G2264" s="27">
        <f>LEN(Tabela12[[#This Row],[Anilha]])</f>
        <v>10</v>
      </c>
      <c r="H2264" s="21">
        <f>VLOOKUP(Tabela12[[#This Row],[Tag Cabo]],BD!A:F,6,0)</f>
        <v>1.5</v>
      </c>
      <c r="I2264" s="27" t="s">
        <v>1705</v>
      </c>
      <c r="J2264" s="27" t="s">
        <v>1706</v>
      </c>
    </row>
    <row r="2265" spans="1:10" x14ac:dyDescent="0.25">
      <c r="A2265" s="21" t="s">
        <v>675</v>
      </c>
      <c r="B2265" s="391" t="str">
        <f>VLOOKUP(Tabela12[[#This Row],[Painel]],Tabela13[],2,0)</f>
        <v>CCP</v>
      </c>
      <c r="C2265" s="391" t="s">
        <v>1648</v>
      </c>
      <c r="D2265" s="21" t="s">
        <v>1941</v>
      </c>
      <c r="E2265" s="21">
        <v>35</v>
      </c>
      <c r="F2265" s="27" t="str">
        <f>Tabela12[[#This Row],[Régua]]&amp;" ("&amp;Tabela12[[#This Row],[Born]]&amp;")"</f>
        <v>TB-33 (35)</v>
      </c>
      <c r="G2265" s="27">
        <f>LEN(Tabela12[[#This Row],[Anilha]])</f>
        <v>10</v>
      </c>
      <c r="H2265" s="21">
        <f>VLOOKUP(Tabela12[[#This Row],[Tag Cabo]],BD!A:F,6,0)</f>
        <v>1.5</v>
      </c>
      <c r="I2265" s="27" t="s">
        <v>1705</v>
      </c>
      <c r="J2265" s="27" t="s">
        <v>1706</v>
      </c>
    </row>
    <row r="2266" spans="1:10" x14ac:dyDescent="0.25">
      <c r="A2266" s="21" t="s">
        <v>695</v>
      </c>
      <c r="B2266" s="391" t="str">
        <f>VLOOKUP(Tabela12[[#This Row],[Painel]],Tabela13[],2,0)</f>
        <v>7HV</v>
      </c>
      <c r="C2266" s="391" t="s">
        <v>1553</v>
      </c>
      <c r="D2266" s="21" t="s">
        <v>2043</v>
      </c>
      <c r="E2266" s="21">
        <v>28</v>
      </c>
      <c r="F2266" s="27" t="str">
        <f>Tabela12[[#This Row],[Régua]]&amp;" ("&amp;Tabela12[[#This Row],[Born]]&amp;")"</f>
        <v>TR-09A-X1 (28)</v>
      </c>
      <c r="G2266" s="27">
        <f>LEN(Tabela12[[#This Row],[Anilha]])</f>
        <v>14</v>
      </c>
      <c r="H2266" s="21">
        <f>VLOOKUP(Tabela12[[#This Row],[Tag Cabo]],BD!A:F,6,0)</f>
        <v>1</v>
      </c>
      <c r="I2266" s="27" t="s">
        <v>1705</v>
      </c>
      <c r="J2266" s="27" t="s">
        <v>1706</v>
      </c>
    </row>
    <row r="2267" spans="1:10" x14ac:dyDescent="0.25">
      <c r="A2267" s="21" t="s">
        <v>695</v>
      </c>
      <c r="B2267" s="391" t="str">
        <f>VLOOKUP(Tabela12[[#This Row],[Painel]],Tabela13[],2,0)</f>
        <v>7HV</v>
      </c>
      <c r="C2267" s="391" t="s">
        <v>1553</v>
      </c>
      <c r="D2267" s="21" t="s">
        <v>2043</v>
      </c>
      <c r="E2267" s="21">
        <v>30</v>
      </c>
      <c r="F2267" s="27" t="str">
        <f>Tabela12[[#This Row],[Régua]]&amp;" ("&amp;Tabela12[[#This Row],[Born]]&amp;")"</f>
        <v>TR-09A-X1 (30)</v>
      </c>
      <c r="G2267" s="27">
        <f>LEN(Tabela12[[#This Row],[Anilha]])</f>
        <v>14</v>
      </c>
      <c r="H2267" s="21">
        <f>VLOOKUP(Tabela12[[#This Row],[Tag Cabo]],BD!A:F,6,0)</f>
        <v>1</v>
      </c>
      <c r="I2267" s="27" t="s">
        <v>1705</v>
      </c>
      <c r="J2267" s="27" t="s">
        <v>1706</v>
      </c>
    </row>
    <row r="2268" spans="1:10" x14ac:dyDescent="0.25">
      <c r="A2268" s="21" t="s">
        <v>695</v>
      </c>
      <c r="B2268" s="391" t="str">
        <f>VLOOKUP(Tabela12[[#This Row],[Painel]],Tabela13[],2,0)</f>
        <v>CCP</v>
      </c>
      <c r="C2268" s="391" t="s">
        <v>1648</v>
      </c>
      <c r="D2268" s="21" t="s">
        <v>2044</v>
      </c>
      <c r="E2268" s="21">
        <v>1</v>
      </c>
      <c r="F2268" s="27" t="str">
        <f>Tabela12[[#This Row],[Régua]]&amp;" ("&amp;Tabela12[[#This Row],[Born]]&amp;")"</f>
        <v>TB-34 (1)</v>
      </c>
      <c r="G2268" s="27">
        <f>LEN(Tabela12[[#This Row],[Anilha]])</f>
        <v>9</v>
      </c>
      <c r="H2268" s="21">
        <f>VLOOKUP(Tabela12[[#This Row],[Tag Cabo]],BD!A:F,6,0)</f>
        <v>1</v>
      </c>
      <c r="I2268" s="27" t="s">
        <v>1705</v>
      </c>
      <c r="J2268" s="27" t="s">
        <v>1706</v>
      </c>
    </row>
    <row r="2269" spans="1:10" x14ac:dyDescent="0.25">
      <c r="A2269" s="21" t="s">
        <v>695</v>
      </c>
      <c r="B2269" s="391" t="str">
        <f>VLOOKUP(Tabela12[[#This Row],[Painel]],Tabela13[],2,0)</f>
        <v>CCP</v>
      </c>
      <c r="C2269" s="391" t="s">
        <v>1648</v>
      </c>
      <c r="D2269" s="21" t="s">
        <v>2044</v>
      </c>
      <c r="E2269" s="21">
        <v>2</v>
      </c>
      <c r="F2269" s="27" t="str">
        <f>Tabela12[[#This Row],[Régua]]&amp;" ("&amp;Tabela12[[#This Row],[Born]]&amp;")"</f>
        <v>TB-34 (2)</v>
      </c>
      <c r="G2269" s="27">
        <f>LEN(Tabela12[[#This Row],[Anilha]])</f>
        <v>9</v>
      </c>
      <c r="H2269" s="21">
        <f>VLOOKUP(Tabela12[[#This Row],[Tag Cabo]],BD!A:F,6,0)</f>
        <v>1</v>
      </c>
      <c r="I2269" s="27" t="s">
        <v>1705</v>
      </c>
      <c r="J2269" s="27" t="s">
        <v>1706</v>
      </c>
    </row>
    <row r="2270" spans="1:10" x14ac:dyDescent="0.25">
      <c r="A2270" s="21" t="s">
        <v>698</v>
      </c>
      <c r="B2270" s="391" t="str">
        <f>VLOOKUP(Tabela12[[#This Row],[Painel]],Tabela13[],2,0)</f>
        <v>7HV</v>
      </c>
      <c r="C2270" s="391" t="s">
        <v>1554</v>
      </c>
      <c r="D2270" s="21" t="s">
        <v>2045</v>
      </c>
      <c r="E2270" s="21">
        <v>28</v>
      </c>
      <c r="F2270" s="27" t="str">
        <f>Tabela12[[#This Row],[Régua]]&amp;" ("&amp;Tabela12[[#This Row],[Born]]&amp;")"</f>
        <v>TR-09B-X1 (28)</v>
      </c>
      <c r="G2270" s="27">
        <f>LEN(Tabela12[[#This Row],[Anilha]])</f>
        <v>14</v>
      </c>
      <c r="H2270" s="21">
        <f>VLOOKUP(Tabela12[[#This Row],[Tag Cabo]],BD!A:F,6,0)</f>
        <v>1</v>
      </c>
      <c r="I2270" s="27" t="s">
        <v>1705</v>
      </c>
      <c r="J2270" s="27" t="s">
        <v>1706</v>
      </c>
    </row>
    <row r="2271" spans="1:10" x14ac:dyDescent="0.25">
      <c r="A2271" s="21" t="s">
        <v>698</v>
      </c>
      <c r="B2271" s="391" t="str">
        <f>VLOOKUP(Tabela12[[#This Row],[Painel]],Tabela13[],2,0)</f>
        <v>7HV</v>
      </c>
      <c r="C2271" s="391" t="s">
        <v>1554</v>
      </c>
      <c r="D2271" s="21" t="s">
        <v>2045</v>
      </c>
      <c r="E2271" s="21">
        <v>30</v>
      </c>
      <c r="F2271" s="27" t="str">
        <f>Tabela12[[#This Row],[Régua]]&amp;" ("&amp;Tabela12[[#This Row],[Born]]&amp;")"</f>
        <v>TR-09B-X1 (30)</v>
      </c>
      <c r="G2271" s="27">
        <f>LEN(Tabela12[[#This Row],[Anilha]])</f>
        <v>14</v>
      </c>
      <c r="H2271" s="21">
        <f>VLOOKUP(Tabela12[[#This Row],[Tag Cabo]],BD!A:F,6,0)</f>
        <v>1</v>
      </c>
      <c r="I2271" s="27" t="s">
        <v>1705</v>
      </c>
      <c r="J2271" s="27" t="s">
        <v>1706</v>
      </c>
    </row>
    <row r="2272" spans="1:10" x14ac:dyDescent="0.25">
      <c r="A2272" s="21" t="s">
        <v>698</v>
      </c>
      <c r="B2272" s="391" t="str">
        <f>VLOOKUP(Tabela12[[#This Row],[Painel]],Tabela13[],2,0)</f>
        <v>CCP</v>
      </c>
      <c r="C2272" s="391" t="s">
        <v>1648</v>
      </c>
      <c r="D2272" s="21" t="s">
        <v>2044</v>
      </c>
      <c r="E2272" s="21">
        <v>4</v>
      </c>
      <c r="F2272" s="27" t="str">
        <f>Tabela12[[#This Row],[Régua]]&amp;" ("&amp;Tabela12[[#This Row],[Born]]&amp;")"</f>
        <v>TB-34 (4)</v>
      </c>
      <c r="G2272" s="27">
        <f>LEN(Tabela12[[#This Row],[Anilha]])</f>
        <v>9</v>
      </c>
      <c r="H2272" s="21">
        <f>VLOOKUP(Tabela12[[#This Row],[Tag Cabo]],BD!A:F,6,0)</f>
        <v>1</v>
      </c>
      <c r="I2272" s="27" t="s">
        <v>1705</v>
      </c>
      <c r="J2272" s="27" t="s">
        <v>1706</v>
      </c>
    </row>
    <row r="2273" spans="1:10" x14ac:dyDescent="0.25">
      <c r="A2273" s="21" t="s">
        <v>698</v>
      </c>
      <c r="B2273" s="391" t="str">
        <f>VLOOKUP(Tabela12[[#This Row],[Painel]],Tabela13[],2,0)</f>
        <v>CCP</v>
      </c>
      <c r="C2273" s="391" t="s">
        <v>1648</v>
      </c>
      <c r="D2273" s="21" t="s">
        <v>2044</v>
      </c>
      <c r="E2273" s="21">
        <v>5</v>
      </c>
      <c r="F2273" s="27" t="str">
        <f>Tabela12[[#This Row],[Régua]]&amp;" ("&amp;Tabela12[[#This Row],[Born]]&amp;")"</f>
        <v>TB-34 (5)</v>
      </c>
      <c r="G2273" s="27">
        <f>LEN(Tabela12[[#This Row],[Anilha]])</f>
        <v>9</v>
      </c>
      <c r="H2273" s="21">
        <f>VLOOKUP(Tabela12[[#This Row],[Tag Cabo]],BD!A:F,6,0)</f>
        <v>1</v>
      </c>
      <c r="I2273" s="27" t="s">
        <v>1705</v>
      </c>
      <c r="J2273" s="27" t="s">
        <v>1706</v>
      </c>
    </row>
    <row r="2274" spans="1:10" x14ac:dyDescent="0.25">
      <c r="A2274" s="21" t="s">
        <v>700</v>
      </c>
      <c r="B2274" s="391" t="str">
        <f>VLOOKUP(Tabela12[[#This Row],[Painel]],Tabela13[],2,0)</f>
        <v>7HV</v>
      </c>
      <c r="C2274" s="391" t="s">
        <v>1637</v>
      </c>
      <c r="D2274" s="21" t="s">
        <v>1637</v>
      </c>
      <c r="E2274" s="21">
        <v>37</v>
      </c>
      <c r="F2274" s="27" t="str">
        <f>Tabela12[[#This Row],[Régua]]&amp;" ("&amp;Tabela12[[#This Row],[Born]]&amp;")"</f>
        <v>7HV-BNC (37)</v>
      </c>
      <c r="G2274" s="27">
        <f>LEN(Tabela12[[#This Row],[Anilha]])</f>
        <v>12</v>
      </c>
      <c r="H2274" s="21">
        <f>VLOOKUP(Tabela12[[#This Row],[Tag Cabo]],BD!A:F,6,0)</f>
        <v>1</v>
      </c>
      <c r="I2274" s="27" t="s">
        <v>1705</v>
      </c>
      <c r="J2274" s="27" t="s">
        <v>1706</v>
      </c>
    </row>
    <row r="2275" spans="1:10" x14ac:dyDescent="0.25">
      <c r="A2275" s="21" t="s">
        <v>700</v>
      </c>
      <c r="B2275" s="391" t="str">
        <f>VLOOKUP(Tabela12[[#This Row],[Painel]],Tabela13[],2,0)</f>
        <v>7HV</v>
      </c>
      <c r="C2275" s="391" t="s">
        <v>1637</v>
      </c>
      <c r="D2275" s="21" t="s">
        <v>1637</v>
      </c>
      <c r="E2275" s="21">
        <v>38</v>
      </c>
      <c r="F2275" s="27" t="str">
        <f>Tabela12[[#This Row],[Régua]]&amp;" ("&amp;Tabela12[[#This Row],[Born]]&amp;")"</f>
        <v>7HV-BNC (38)</v>
      </c>
      <c r="G2275" s="27">
        <f>LEN(Tabela12[[#This Row],[Anilha]])</f>
        <v>12</v>
      </c>
      <c r="H2275" s="21">
        <f>VLOOKUP(Tabela12[[#This Row],[Tag Cabo]],BD!A:F,6,0)</f>
        <v>1</v>
      </c>
      <c r="I2275" s="27" t="s">
        <v>1705</v>
      </c>
      <c r="J2275" s="27" t="s">
        <v>1706</v>
      </c>
    </row>
    <row r="2276" spans="1:10" x14ac:dyDescent="0.25">
      <c r="A2276" s="21" t="s">
        <v>700</v>
      </c>
      <c r="B2276" s="391" t="str">
        <f>VLOOKUP(Tabela12[[#This Row],[Painel]],Tabela13[],2,0)</f>
        <v>7HV</v>
      </c>
      <c r="C2276" s="391" t="s">
        <v>1637</v>
      </c>
      <c r="D2276" s="21" t="s">
        <v>1637</v>
      </c>
      <c r="E2276" s="21">
        <v>39</v>
      </c>
      <c r="F2276" s="27" t="str">
        <f>Tabela12[[#This Row],[Régua]]&amp;" ("&amp;Tabela12[[#This Row],[Born]]&amp;")"</f>
        <v>7HV-BNC (39)</v>
      </c>
      <c r="G2276" s="27">
        <f>LEN(Tabela12[[#This Row],[Anilha]])</f>
        <v>12</v>
      </c>
      <c r="H2276" s="21">
        <f>VLOOKUP(Tabela12[[#This Row],[Tag Cabo]],BD!A:F,6,0)</f>
        <v>1</v>
      </c>
      <c r="I2276" s="27" t="s">
        <v>1705</v>
      </c>
      <c r="J2276" s="27" t="s">
        <v>1706</v>
      </c>
    </row>
    <row r="2277" spans="1:10" x14ac:dyDescent="0.25">
      <c r="A2277" s="21" t="s">
        <v>700</v>
      </c>
      <c r="B2277" s="391" t="str">
        <f>VLOOKUP(Tabela12[[#This Row],[Painel]],Tabela13[],2,0)</f>
        <v>7HV</v>
      </c>
      <c r="C2277" s="391" t="s">
        <v>1637</v>
      </c>
      <c r="D2277" s="21" t="s">
        <v>1637</v>
      </c>
      <c r="E2277" s="21">
        <v>40</v>
      </c>
      <c r="F2277" s="27" t="str">
        <f>Tabela12[[#This Row],[Régua]]&amp;" ("&amp;Tabela12[[#This Row],[Born]]&amp;")"</f>
        <v>7HV-BNC (40)</v>
      </c>
      <c r="G2277" s="27">
        <f>LEN(Tabela12[[#This Row],[Anilha]])</f>
        <v>12</v>
      </c>
      <c r="H2277" s="21">
        <f>VLOOKUP(Tabela12[[#This Row],[Tag Cabo]],BD!A:F,6,0)</f>
        <v>1</v>
      </c>
      <c r="I2277" s="27" t="s">
        <v>1705</v>
      </c>
      <c r="J2277" s="27" t="s">
        <v>1706</v>
      </c>
    </row>
    <row r="2278" spans="1:10" x14ac:dyDescent="0.25">
      <c r="A2278" s="21" t="s">
        <v>700</v>
      </c>
      <c r="B2278" s="391" t="str">
        <f>VLOOKUP(Tabela12[[#This Row],[Painel]],Tabela13[],2,0)</f>
        <v>7HV</v>
      </c>
      <c r="C2278" s="391" t="s">
        <v>1637</v>
      </c>
      <c r="D2278" s="21" t="s">
        <v>1637</v>
      </c>
      <c r="E2278" s="21">
        <v>41</v>
      </c>
      <c r="F2278" s="27" t="str">
        <f>Tabela12[[#This Row],[Régua]]&amp;" ("&amp;Tabela12[[#This Row],[Born]]&amp;")"</f>
        <v>7HV-BNC (41)</v>
      </c>
      <c r="G2278" s="27">
        <f>LEN(Tabela12[[#This Row],[Anilha]])</f>
        <v>12</v>
      </c>
      <c r="H2278" s="21">
        <f>VLOOKUP(Tabela12[[#This Row],[Tag Cabo]],BD!A:F,6,0)</f>
        <v>1</v>
      </c>
      <c r="I2278" s="27" t="s">
        <v>1705</v>
      </c>
      <c r="J2278" s="27" t="s">
        <v>1706</v>
      </c>
    </row>
    <row r="2279" spans="1:10" x14ac:dyDescent="0.25">
      <c r="A2279" s="21" t="s">
        <v>700</v>
      </c>
      <c r="B2279" s="391" t="str">
        <f>VLOOKUP(Tabela12[[#This Row],[Painel]],Tabela13[],2,0)</f>
        <v>7HV</v>
      </c>
      <c r="C2279" s="391" t="s">
        <v>1637</v>
      </c>
      <c r="D2279" s="21" t="s">
        <v>1637</v>
      </c>
      <c r="E2279" s="21">
        <v>42</v>
      </c>
      <c r="F2279" s="27" t="str">
        <f>Tabela12[[#This Row],[Régua]]&amp;" ("&amp;Tabela12[[#This Row],[Born]]&amp;")"</f>
        <v>7HV-BNC (42)</v>
      </c>
      <c r="G2279" s="27">
        <f>LEN(Tabela12[[#This Row],[Anilha]])</f>
        <v>12</v>
      </c>
      <c r="H2279" s="21">
        <f>VLOOKUP(Tabela12[[#This Row],[Tag Cabo]],BD!A:F,6,0)</f>
        <v>1</v>
      </c>
      <c r="I2279" s="27" t="s">
        <v>1705</v>
      </c>
      <c r="J2279" s="27" t="s">
        <v>1706</v>
      </c>
    </row>
    <row r="2280" spans="1:10" x14ac:dyDescent="0.25">
      <c r="A2280" s="21" t="s">
        <v>700</v>
      </c>
      <c r="B2280" s="391" t="str">
        <f>VLOOKUP(Tabela12[[#This Row],[Painel]],Tabela13[],2,0)</f>
        <v>7HV</v>
      </c>
      <c r="C2280" s="391" t="s">
        <v>1637</v>
      </c>
      <c r="D2280" s="21" t="s">
        <v>1637</v>
      </c>
      <c r="E2280" s="21">
        <v>43</v>
      </c>
      <c r="F2280" s="27" t="str">
        <f>Tabela12[[#This Row],[Régua]]&amp;" ("&amp;Tabela12[[#This Row],[Born]]&amp;")"</f>
        <v>7HV-BNC (43)</v>
      </c>
      <c r="G2280" s="27">
        <f>LEN(Tabela12[[#This Row],[Anilha]])</f>
        <v>12</v>
      </c>
      <c r="H2280" s="21">
        <f>VLOOKUP(Tabela12[[#This Row],[Tag Cabo]],BD!A:F,6,0)</f>
        <v>1</v>
      </c>
      <c r="I2280" s="27" t="s">
        <v>1705</v>
      </c>
      <c r="J2280" s="27" t="s">
        <v>1706</v>
      </c>
    </row>
    <row r="2281" spans="1:10" x14ac:dyDescent="0.25">
      <c r="A2281" s="21" t="s">
        <v>700</v>
      </c>
      <c r="B2281" s="391" t="str">
        <f>VLOOKUP(Tabela12[[#This Row],[Painel]],Tabela13[],2,0)</f>
        <v>7HV</v>
      </c>
      <c r="C2281" s="391" t="s">
        <v>1637</v>
      </c>
      <c r="D2281" s="21" t="s">
        <v>1637</v>
      </c>
      <c r="E2281" s="21">
        <v>44</v>
      </c>
      <c r="F2281" s="27" t="str">
        <f>Tabela12[[#This Row],[Régua]]&amp;" ("&amp;Tabela12[[#This Row],[Born]]&amp;")"</f>
        <v>7HV-BNC (44)</v>
      </c>
      <c r="G2281" s="27">
        <f>LEN(Tabela12[[#This Row],[Anilha]])</f>
        <v>12</v>
      </c>
      <c r="H2281" s="21">
        <f>VLOOKUP(Tabela12[[#This Row],[Tag Cabo]],BD!A:F,6,0)</f>
        <v>1</v>
      </c>
      <c r="I2281" s="27" t="s">
        <v>1705</v>
      </c>
      <c r="J2281" s="27" t="s">
        <v>1706</v>
      </c>
    </row>
    <row r="2282" spans="1:10" x14ac:dyDescent="0.25">
      <c r="A2282" s="21" t="s">
        <v>700</v>
      </c>
      <c r="B2282" s="391" t="str">
        <f>VLOOKUP(Tabela12[[#This Row],[Painel]],Tabela13[],2,0)</f>
        <v>CCP</v>
      </c>
      <c r="C2282" s="391" t="s">
        <v>1648</v>
      </c>
      <c r="D2282" s="21" t="s">
        <v>2044</v>
      </c>
      <c r="E2282" s="21">
        <v>7</v>
      </c>
      <c r="F2282" s="27" t="str">
        <f>Tabela12[[#This Row],[Régua]]&amp;" ("&amp;Tabela12[[#This Row],[Born]]&amp;")"</f>
        <v>TB-34 (7)</v>
      </c>
      <c r="G2282" s="27">
        <f>LEN(Tabela12[[#This Row],[Anilha]])</f>
        <v>9</v>
      </c>
      <c r="H2282" s="21">
        <f>VLOOKUP(Tabela12[[#This Row],[Tag Cabo]],BD!A:F,6,0)</f>
        <v>1</v>
      </c>
      <c r="I2282" s="27" t="s">
        <v>1705</v>
      </c>
      <c r="J2282" s="27" t="s">
        <v>1706</v>
      </c>
    </row>
    <row r="2283" spans="1:10" x14ac:dyDescent="0.25">
      <c r="A2283" s="21" t="s">
        <v>700</v>
      </c>
      <c r="B2283" s="391" t="str">
        <f>VLOOKUP(Tabela12[[#This Row],[Painel]],Tabela13[],2,0)</f>
        <v>CCP</v>
      </c>
      <c r="C2283" s="391" t="s">
        <v>1648</v>
      </c>
      <c r="D2283" s="21" t="s">
        <v>2044</v>
      </c>
      <c r="E2283" s="21">
        <v>8</v>
      </c>
      <c r="F2283" s="27" t="str">
        <f>Tabela12[[#This Row],[Régua]]&amp;" ("&amp;Tabela12[[#This Row],[Born]]&amp;")"</f>
        <v>TB-34 (8)</v>
      </c>
      <c r="G2283" s="27">
        <f>LEN(Tabela12[[#This Row],[Anilha]])</f>
        <v>9</v>
      </c>
      <c r="H2283" s="21">
        <f>VLOOKUP(Tabela12[[#This Row],[Tag Cabo]],BD!A:F,6,0)</f>
        <v>1</v>
      </c>
      <c r="I2283" s="27" t="s">
        <v>1705</v>
      </c>
      <c r="J2283" s="27" t="s">
        <v>1706</v>
      </c>
    </row>
    <row r="2284" spans="1:10" x14ac:dyDescent="0.25">
      <c r="A2284" s="21" t="s">
        <v>700</v>
      </c>
      <c r="B2284" s="391" t="str">
        <f>VLOOKUP(Tabela12[[#This Row],[Painel]],Tabela13[],2,0)</f>
        <v>CCP</v>
      </c>
      <c r="C2284" s="391" t="s">
        <v>1648</v>
      </c>
      <c r="D2284" s="21" t="s">
        <v>2044</v>
      </c>
      <c r="E2284" s="21">
        <v>10</v>
      </c>
      <c r="F2284" s="27" t="str">
        <f>Tabela12[[#This Row],[Régua]]&amp;" ("&amp;Tabela12[[#This Row],[Born]]&amp;")"</f>
        <v>TB-34 (10)</v>
      </c>
      <c r="G2284" s="27">
        <f>LEN(Tabela12[[#This Row],[Anilha]])</f>
        <v>10</v>
      </c>
      <c r="H2284" s="21">
        <f>VLOOKUP(Tabela12[[#This Row],[Tag Cabo]],BD!A:F,6,0)</f>
        <v>1</v>
      </c>
      <c r="I2284" s="27" t="s">
        <v>1705</v>
      </c>
      <c r="J2284" s="27" t="s">
        <v>1706</v>
      </c>
    </row>
    <row r="2285" spans="1:10" x14ac:dyDescent="0.25">
      <c r="A2285" s="21" t="s">
        <v>700</v>
      </c>
      <c r="B2285" s="391" t="str">
        <f>VLOOKUP(Tabela12[[#This Row],[Painel]],Tabela13[],2,0)</f>
        <v>CCP</v>
      </c>
      <c r="C2285" s="391" t="s">
        <v>1648</v>
      </c>
      <c r="D2285" s="21" t="s">
        <v>2044</v>
      </c>
      <c r="E2285" s="21">
        <v>11</v>
      </c>
      <c r="F2285" s="27" t="str">
        <f>Tabela12[[#This Row],[Régua]]&amp;" ("&amp;Tabela12[[#This Row],[Born]]&amp;")"</f>
        <v>TB-34 (11)</v>
      </c>
      <c r="G2285" s="27">
        <f>LEN(Tabela12[[#This Row],[Anilha]])</f>
        <v>10</v>
      </c>
      <c r="H2285" s="21">
        <f>VLOOKUP(Tabela12[[#This Row],[Tag Cabo]],BD!A:F,6,0)</f>
        <v>1</v>
      </c>
      <c r="I2285" s="27" t="s">
        <v>1705</v>
      </c>
      <c r="J2285" s="27" t="s">
        <v>1706</v>
      </c>
    </row>
    <row r="2286" spans="1:10" x14ac:dyDescent="0.25">
      <c r="A2286" s="21" t="s">
        <v>700</v>
      </c>
      <c r="B2286" s="391" t="str">
        <f>VLOOKUP(Tabela12[[#This Row],[Painel]],Tabela13[],2,0)</f>
        <v>CCP</v>
      </c>
      <c r="C2286" s="391" t="s">
        <v>1648</v>
      </c>
      <c r="D2286" s="21" t="s">
        <v>2044</v>
      </c>
      <c r="E2286" s="21">
        <v>13</v>
      </c>
      <c r="F2286" s="27" t="str">
        <f>Tabela12[[#This Row],[Régua]]&amp;" ("&amp;Tabela12[[#This Row],[Born]]&amp;")"</f>
        <v>TB-34 (13)</v>
      </c>
      <c r="G2286" s="27">
        <f>LEN(Tabela12[[#This Row],[Anilha]])</f>
        <v>10</v>
      </c>
      <c r="H2286" s="21">
        <f>VLOOKUP(Tabela12[[#This Row],[Tag Cabo]],BD!A:F,6,0)</f>
        <v>1</v>
      </c>
      <c r="I2286" s="27" t="s">
        <v>1705</v>
      </c>
      <c r="J2286" s="27" t="s">
        <v>1706</v>
      </c>
    </row>
    <row r="2287" spans="1:10" x14ac:dyDescent="0.25">
      <c r="A2287" s="21" t="s">
        <v>700</v>
      </c>
      <c r="B2287" s="391" t="str">
        <f>VLOOKUP(Tabela12[[#This Row],[Painel]],Tabela13[],2,0)</f>
        <v>CCP</v>
      </c>
      <c r="C2287" s="391" t="s">
        <v>1648</v>
      </c>
      <c r="D2287" s="21" t="s">
        <v>2044</v>
      </c>
      <c r="E2287" s="21">
        <v>14</v>
      </c>
      <c r="F2287" s="27" t="str">
        <f>Tabela12[[#This Row],[Régua]]&amp;" ("&amp;Tabela12[[#This Row],[Born]]&amp;")"</f>
        <v>TB-34 (14)</v>
      </c>
      <c r="G2287" s="27">
        <f>LEN(Tabela12[[#This Row],[Anilha]])</f>
        <v>10</v>
      </c>
      <c r="H2287" s="21">
        <f>VLOOKUP(Tabela12[[#This Row],[Tag Cabo]],BD!A:F,6,0)</f>
        <v>1</v>
      </c>
      <c r="I2287" s="27" t="s">
        <v>1705</v>
      </c>
      <c r="J2287" s="27" t="s">
        <v>1706</v>
      </c>
    </row>
    <row r="2288" spans="1:10" x14ac:dyDescent="0.25">
      <c r="A2288" s="21" t="s">
        <v>700</v>
      </c>
      <c r="B2288" s="391" t="str">
        <f>VLOOKUP(Tabela12[[#This Row],[Painel]],Tabela13[],2,0)</f>
        <v>CCP</v>
      </c>
      <c r="C2288" s="391" t="s">
        <v>1648</v>
      </c>
      <c r="D2288" s="21" t="s">
        <v>2044</v>
      </c>
      <c r="E2288" s="21">
        <v>16</v>
      </c>
      <c r="F2288" s="27" t="str">
        <f>Tabela12[[#This Row],[Régua]]&amp;" ("&amp;Tabela12[[#This Row],[Born]]&amp;")"</f>
        <v>TB-34 (16)</v>
      </c>
      <c r="G2288" s="27">
        <f>LEN(Tabela12[[#This Row],[Anilha]])</f>
        <v>10</v>
      </c>
      <c r="H2288" s="21">
        <f>VLOOKUP(Tabela12[[#This Row],[Tag Cabo]],BD!A:F,6,0)</f>
        <v>1</v>
      </c>
      <c r="I2288" s="27" t="s">
        <v>1705</v>
      </c>
      <c r="J2288" s="27" t="s">
        <v>1706</v>
      </c>
    </row>
    <row r="2289" spans="1:10" x14ac:dyDescent="0.25">
      <c r="A2289" s="21" t="s">
        <v>700</v>
      </c>
      <c r="B2289" s="391" t="str">
        <f>VLOOKUP(Tabela12[[#This Row],[Painel]],Tabela13[],2,0)</f>
        <v>CCP</v>
      </c>
      <c r="C2289" s="391" t="s">
        <v>1648</v>
      </c>
      <c r="D2289" s="21" t="s">
        <v>2044</v>
      </c>
      <c r="E2289" s="21">
        <v>17</v>
      </c>
      <c r="F2289" s="27" t="str">
        <f>Tabela12[[#This Row],[Régua]]&amp;" ("&amp;Tabela12[[#This Row],[Born]]&amp;")"</f>
        <v>TB-34 (17)</v>
      </c>
      <c r="G2289" s="27">
        <f>LEN(Tabela12[[#This Row],[Anilha]])</f>
        <v>10</v>
      </c>
      <c r="H2289" s="21">
        <f>VLOOKUP(Tabela12[[#This Row],[Tag Cabo]],BD!A:F,6,0)</f>
        <v>1</v>
      </c>
      <c r="I2289" s="27" t="s">
        <v>1705</v>
      </c>
      <c r="J2289" s="27" t="s">
        <v>1706</v>
      </c>
    </row>
    <row r="2290" spans="1:10" x14ac:dyDescent="0.25">
      <c r="A2290" s="216" t="s">
        <v>376</v>
      </c>
      <c r="B2290" s="45" t="str">
        <f>VLOOKUP(Tabela12[[#This Row],[Painel]],Tabela13[],2,0)</f>
        <v>30LV</v>
      </c>
      <c r="C2290" s="45" t="s">
        <v>1632</v>
      </c>
      <c r="D2290" s="21" t="s">
        <v>2046</v>
      </c>
      <c r="E2290" s="21">
        <v>10</v>
      </c>
      <c r="F2290" s="27" t="str">
        <f>Tabela12[[#This Row],[Régua]]&amp;" ("&amp;Tabela12[[#This Row],[Born]]&amp;")"</f>
        <v>TB-29 (10)</v>
      </c>
      <c r="G2290" s="27">
        <f>LEN(Tabela12[[#This Row],[Anilha]])</f>
        <v>10</v>
      </c>
      <c r="H2290" s="21">
        <f>VLOOKUP(Tabela12[[#This Row],[Tag Cabo]],BD!A:F,6,0)</f>
        <v>1</v>
      </c>
      <c r="I2290" s="27" t="s">
        <v>1705</v>
      </c>
      <c r="J2290" s="27" t="s">
        <v>1706</v>
      </c>
    </row>
    <row r="2291" spans="1:10" x14ac:dyDescent="0.25">
      <c r="A2291" s="216" t="s">
        <v>376</v>
      </c>
      <c r="B2291" s="45" t="str">
        <f>VLOOKUP(Tabela12[[#This Row],[Painel]],Tabela13[],2,0)</f>
        <v>30LV</v>
      </c>
      <c r="C2291" s="45" t="s">
        <v>1632</v>
      </c>
      <c r="D2291" s="21" t="s">
        <v>2046</v>
      </c>
      <c r="E2291" s="21">
        <v>11</v>
      </c>
      <c r="F2291" s="27" t="str">
        <f>Tabela12[[#This Row],[Régua]]&amp;" ("&amp;Tabela12[[#This Row],[Born]]&amp;")"</f>
        <v>TB-29 (11)</v>
      </c>
      <c r="G2291" s="27">
        <f>LEN(Tabela12[[#This Row],[Anilha]])</f>
        <v>10</v>
      </c>
      <c r="H2291" s="21">
        <f>VLOOKUP(Tabela12[[#This Row],[Tag Cabo]],BD!A:F,6,0)</f>
        <v>1</v>
      </c>
      <c r="I2291" s="27" t="s">
        <v>1705</v>
      </c>
      <c r="J2291" s="27" t="s">
        <v>1706</v>
      </c>
    </row>
    <row r="2292" spans="1:10" x14ac:dyDescent="0.25">
      <c r="A2292" s="216" t="s">
        <v>376</v>
      </c>
      <c r="B2292" s="45" t="str">
        <f>VLOOKUP(Tabela12[[#This Row],[Painel]],Tabela13[],2,0)</f>
        <v>GB-1203</v>
      </c>
      <c r="C2292" s="45" t="s">
        <v>1633</v>
      </c>
      <c r="D2292" s="21" t="s">
        <v>1935</v>
      </c>
      <c r="E2292" s="21" t="s">
        <v>1980</v>
      </c>
      <c r="F2292" s="27" t="str">
        <f>Tabela12[[#This Row],[Régua]]&amp;" ("&amp;Tabela12[[#This Row],[Born]]&amp;")"</f>
        <v>LEAKAGE (LD1-1)</v>
      </c>
      <c r="G2292" s="27">
        <f>LEN(Tabela12[[#This Row],[Anilha]])</f>
        <v>15</v>
      </c>
      <c r="H2292" s="21">
        <f>VLOOKUP(Tabela12[[#This Row],[Tag Cabo]],BD!A:F,6,0)</f>
        <v>1</v>
      </c>
      <c r="I2292" s="27" t="s">
        <v>1705</v>
      </c>
      <c r="J2292" s="27" t="s">
        <v>1706</v>
      </c>
    </row>
    <row r="2293" spans="1:10" x14ac:dyDescent="0.25">
      <c r="A2293" s="216" t="s">
        <v>376</v>
      </c>
      <c r="B2293" s="45" t="str">
        <f>VLOOKUP(Tabela12[[#This Row],[Painel]],Tabela13[],2,0)</f>
        <v>GB-1203</v>
      </c>
      <c r="C2293" s="45" t="s">
        <v>1633</v>
      </c>
      <c r="D2293" s="21" t="s">
        <v>1935</v>
      </c>
      <c r="E2293" s="21" t="s">
        <v>1981</v>
      </c>
      <c r="F2293" s="27" t="str">
        <f>Tabela12[[#This Row],[Régua]]&amp;" ("&amp;Tabela12[[#This Row],[Born]]&amp;")"</f>
        <v>LEAKAGE (LD1-3)</v>
      </c>
      <c r="G2293" s="27">
        <f>LEN(Tabela12[[#This Row],[Anilha]])</f>
        <v>15</v>
      </c>
      <c r="H2293" s="21">
        <f>VLOOKUP(Tabela12[[#This Row],[Tag Cabo]],BD!A:F,6,0)</f>
        <v>1</v>
      </c>
      <c r="I2293" s="27" t="s">
        <v>1705</v>
      </c>
      <c r="J2293" s="27" t="s">
        <v>1706</v>
      </c>
    </row>
    <row r="2294" spans="1:10" x14ac:dyDescent="0.25">
      <c r="A2294" s="216" t="s">
        <v>602</v>
      </c>
      <c r="B2294" s="45" t="str">
        <f>VLOOKUP(Tabela12[[#This Row],[Painel]],Tabela13[],2,0)</f>
        <v>7HV</v>
      </c>
      <c r="C2294" s="45" t="s">
        <v>1637</v>
      </c>
      <c r="D2294" s="21" t="s">
        <v>1637</v>
      </c>
      <c r="E2294" s="21">
        <v>1</v>
      </c>
      <c r="F2294" s="27" t="str">
        <f>Tabela12[[#This Row],[Régua]]&amp;" ("&amp;Tabela12[[#This Row],[Born]]&amp;")"</f>
        <v>7HV-BNC (1)</v>
      </c>
      <c r="G2294" s="27">
        <f>LEN(Tabela12[[#This Row],[Anilha]])</f>
        <v>11</v>
      </c>
      <c r="H2294" s="21">
        <f>VLOOKUP(Tabela12[[#This Row],[Tag Cabo]],BD!A:F,6,0)</f>
        <v>1</v>
      </c>
      <c r="I2294" s="27" t="s">
        <v>1705</v>
      </c>
      <c r="J2294" s="27" t="s">
        <v>1706</v>
      </c>
    </row>
    <row r="2295" spans="1:10" x14ac:dyDescent="0.25">
      <c r="A2295" s="216" t="s">
        <v>602</v>
      </c>
      <c r="B2295" s="45" t="str">
        <f>VLOOKUP(Tabela12[[#This Row],[Painel]],Tabela13[],2,0)</f>
        <v>7HV</v>
      </c>
      <c r="C2295" s="45" t="s">
        <v>1637</v>
      </c>
      <c r="D2295" s="21" t="s">
        <v>1637</v>
      </c>
      <c r="E2295" s="21">
        <v>2</v>
      </c>
      <c r="F2295" s="27" t="str">
        <f>Tabela12[[#This Row],[Régua]]&amp;" ("&amp;Tabela12[[#This Row],[Born]]&amp;")"</f>
        <v>7HV-BNC (2)</v>
      </c>
      <c r="G2295" s="27">
        <f>LEN(Tabela12[[#This Row],[Anilha]])</f>
        <v>11</v>
      </c>
      <c r="H2295" s="21">
        <f>VLOOKUP(Tabela12[[#This Row],[Tag Cabo]],BD!A:F,6,0)</f>
        <v>1</v>
      </c>
      <c r="I2295" s="27" t="s">
        <v>1705</v>
      </c>
      <c r="J2295" s="27" t="s">
        <v>1706</v>
      </c>
    </row>
    <row r="2296" spans="1:10" x14ac:dyDescent="0.25">
      <c r="A2296" s="216" t="s">
        <v>602</v>
      </c>
      <c r="B2296" s="45" t="str">
        <f>VLOOKUP(Tabela12[[#This Row],[Painel]],Tabela13[],2,0)</f>
        <v>7HV</v>
      </c>
      <c r="C2296" s="45" t="s">
        <v>1637</v>
      </c>
      <c r="D2296" s="21" t="s">
        <v>1637</v>
      </c>
      <c r="E2296" s="21">
        <v>4</v>
      </c>
      <c r="F2296" s="27" t="str">
        <f>Tabela12[[#This Row],[Régua]]&amp;" ("&amp;Tabela12[[#This Row],[Born]]&amp;")"</f>
        <v>7HV-BNC (4)</v>
      </c>
      <c r="G2296" s="27">
        <f>LEN(Tabela12[[#This Row],[Anilha]])</f>
        <v>11</v>
      </c>
      <c r="H2296" s="21">
        <f>VLOOKUP(Tabela12[[#This Row],[Tag Cabo]],BD!A:F,6,0)</f>
        <v>1</v>
      </c>
      <c r="I2296" s="27" t="s">
        <v>1705</v>
      </c>
      <c r="J2296" s="27" t="s">
        <v>1706</v>
      </c>
    </row>
    <row r="2297" spans="1:10" x14ac:dyDescent="0.25">
      <c r="A2297" s="216" t="s">
        <v>602</v>
      </c>
      <c r="B2297" s="45" t="str">
        <f>VLOOKUP(Tabela12[[#This Row],[Painel]],Tabela13[],2,0)</f>
        <v>7HV</v>
      </c>
      <c r="C2297" s="45" t="s">
        <v>1637</v>
      </c>
      <c r="D2297" s="21" t="s">
        <v>1637</v>
      </c>
      <c r="E2297" s="21">
        <v>5</v>
      </c>
      <c r="F2297" s="27" t="str">
        <f>Tabela12[[#This Row],[Régua]]&amp;" ("&amp;Tabela12[[#This Row],[Born]]&amp;")"</f>
        <v>7HV-BNC (5)</v>
      </c>
      <c r="G2297" s="27">
        <f>LEN(Tabela12[[#This Row],[Anilha]])</f>
        <v>11</v>
      </c>
      <c r="H2297" s="21">
        <f>VLOOKUP(Tabela12[[#This Row],[Tag Cabo]],BD!A:F,6,0)</f>
        <v>1</v>
      </c>
      <c r="I2297" s="27" t="s">
        <v>1705</v>
      </c>
      <c r="J2297" s="27" t="s">
        <v>1706</v>
      </c>
    </row>
    <row r="2298" spans="1:10" x14ac:dyDescent="0.25">
      <c r="A2298" s="216" t="s">
        <v>602</v>
      </c>
      <c r="B2298" s="45" t="str">
        <f>VLOOKUP(Tabela12[[#This Row],[Painel]],Tabela13[],2,0)</f>
        <v>7HV</v>
      </c>
      <c r="C2298" s="45" t="s">
        <v>1637</v>
      </c>
      <c r="D2298" s="21" t="s">
        <v>1637</v>
      </c>
      <c r="E2298" s="21">
        <v>7</v>
      </c>
      <c r="F2298" s="27" t="str">
        <f>Tabela12[[#This Row],[Régua]]&amp;" ("&amp;Tabela12[[#This Row],[Born]]&amp;")"</f>
        <v>7HV-BNC (7)</v>
      </c>
      <c r="G2298" s="27">
        <f>LEN(Tabela12[[#This Row],[Anilha]])</f>
        <v>11</v>
      </c>
      <c r="H2298" s="21">
        <f>VLOOKUP(Tabela12[[#This Row],[Tag Cabo]],BD!A:F,6,0)</f>
        <v>1</v>
      </c>
      <c r="I2298" s="27" t="s">
        <v>1705</v>
      </c>
      <c r="J2298" s="27" t="s">
        <v>1706</v>
      </c>
    </row>
    <row r="2299" spans="1:10" x14ac:dyDescent="0.25">
      <c r="A2299" s="216" t="s">
        <v>602</v>
      </c>
      <c r="B2299" s="45" t="str">
        <f>VLOOKUP(Tabela12[[#This Row],[Painel]],Tabela13[],2,0)</f>
        <v>7HV</v>
      </c>
      <c r="C2299" s="45" t="s">
        <v>1637</v>
      </c>
      <c r="D2299" s="21" t="s">
        <v>1637</v>
      </c>
      <c r="E2299" s="21">
        <v>8</v>
      </c>
      <c r="F2299" s="27" t="str">
        <f>Tabela12[[#This Row],[Régua]]&amp;" ("&amp;Tabela12[[#This Row],[Born]]&amp;")"</f>
        <v>7HV-BNC (8)</v>
      </c>
      <c r="G2299" s="27">
        <f>LEN(Tabela12[[#This Row],[Anilha]])</f>
        <v>11</v>
      </c>
      <c r="H2299" s="21">
        <f>VLOOKUP(Tabela12[[#This Row],[Tag Cabo]],BD!A:F,6,0)</f>
        <v>1</v>
      </c>
      <c r="I2299" s="27" t="s">
        <v>1705</v>
      </c>
      <c r="J2299" s="27" t="s">
        <v>1706</v>
      </c>
    </row>
    <row r="2300" spans="1:10" x14ac:dyDescent="0.25">
      <c r="A2300" s="216" t="s">
        <v>602</v>
      </c>
      <c r="B2300" s="45" t="str">
        <f>VLOOKUP(Tabela12[[#This Row],[Painel]],Tabela13[],2,0)</f>
        <v>7HV</v>
      </c>
      <c r="C2300" s="45" t="s">
        <v>1637</v>
      </c>
      <c r="D2300" s="21" t="s">
        <v>1637</v>
      </c>
      <c r="E2300" s="21">
        <v>10</v>
      </c>
      <c r="F2300" s="27" t="str">
        <f>Tabela12[[#This Row],[Régua]]&amp;" ("&amp;Tabela12[[#This Row],[Born]]&amp;")"</f>
        <v>7HV-BNC (10)</v>
      </c>
      <c r="G2300" s="27">
        <f>LEN(Tabela12[[#This Row],[Anilha]])</f>
        <v>12</v>
      </c>
      <c r="H2300" s="21">
        <f>VLOOKUP(Tabela12[[#This Row],[Tag Cabo]],BD!A:F,6,0)</f>
        <v>1</v>
      </c>
      <c r="I2300" s="27" t="s">
        <v>1705</v>
      </c>
      <c r="J2300" s="27" t="s">
        <v>1706</v>
      </c>
    </row>
    <row r="2301" spans="1:10" x14ac:dyDescent="0.25">
      <c r="A2301" s="216" t="s">
        <v>602</v>
      </c>
      <c r="B2301" s="45" t="str">
        <f>VLOOKUP(Tabela12[[#This Row],[Painel]],Tabela13[],2,0)</f>
        <v>7HV</v>
      </c>
      <c r="C2301" s="45" t="s">
        <v>1637</v>
      </c>
      <c r="D2301" s="21" t="s">
        <v>1637</v>
      </c>
      <c r="E2301" s="21">
        <v>11</v>
      </c>
      <c r="F2301" s="27" t="str">
        <f>Tabela12[[#This Row],[Régua]]&amp;" ("&amp;Tabela12[[#This Row],[Born]]&amp;")"</f>
        <v>7HV-BNC (11)</v>
      </c>
      <c r="G2301" s="27">
        <f>LEN(Tabela12[[#This Row],[Anilha]])</f>
        <v>12</v>
      </c>
      <c r="H2301" s="21">
        <f>VLOOKUP(Tabela12[[#This Row],[Tag Cabo]],BD!A:F,6,0)</f>
        <v>1</v>
      </c>
      <c r="I2301" s="27" t="s">
        <v>1705</v>
      </c>
      <c r="J2301" s="27" t="s">
        <v>1706</v>
      </c>
    </row>
    <row r="2302" spans="1:10" x14ac:dyDescent="0.25">
      <c r="A2302" s="216" t="s">
        <v>602</v>
      </c>
      <c r="B2302" s="45" t="str">
        <f>VLOOKUP(Tabela12[[#This Row],[Painel]],Tabela13[],2,0)</f>
        <v>30LV</v>
      </c>
      <c r="C2302" s="45" t="s">
        <v>1632</v>
      </c>
      <c r="D2302" s="21" t="s">
        <v>1946</v>
      </c>
      <c r="E2302" s="21">
        <v>37</v>
      </c>
      <c r="F2302" s="27" t="str">
        <f>Tabela12[[#This Row],[Régua]]&amp;" ("&amp;Tabela12[[#This Row],[Born]]&amp;")"</f>
        <v>TB-31 (37)</v>
      </c>
      <c r="G2302" s="27">
        <f>LEN(Tabela12[[#This Row],[Anilha]])</f>
        <v>10</v>
      </c>
      <c r="H2302" s="21">
        <f>VLOOKUP(Tabela12[[#This Row],[Tag Cabo]],BD!A:F,6,0)</f>
        <v>1</v>
      </c>
      <c r="I2302" s="27" t="s">
        <v>1705</v>
      </c>
      <c r="J2302" s="27" t="s">
        <v>1706</v>
      </c>
    </row>
    <row r="2303" spans="1:10" x14ac:dyDescent="0.25">
      <c r="A2303" s="216" t="s">
        <v>602</v>
      </c>
      <c r="B2303" s="45" t="str">
        <f>VLOOKUP(Tabela12[[#This Row],[Painel]],Tabela13[],2,0)</f>
        <v>30LV</v>
      </c>
      <c r="C2303" s="45" t="s">
        <v>1632</v>
      </c>
      <c r="D2303" s="21" t="s">
        <v>1946</v>
      </c>
      <c r="E2303" s="21">
        <v>38</v>
      </c>
      <c r="F2303" s="27" t="str">
        <f>Tabela12[[#This Row],[Régua]]&amp;" ("&amp;Tabela12[[#This Row],[Born]]&amp;")"</f>
        <v>TB-31 (38)</v>
      </c>
      <c r="G2303" s="27">
        <f>LEN(Tabela12[[#This Row],[Anilha]])</f>
        <v>10</v>
      </c>
      <c r="H2303" s="21">
        <f>VLOOKUP(Tabela12[[#This Row],[Tag Cabo]],BD!A:F,6,0)</f>
        <v>1</v>
      </c>
      <c r="I2303" s="27" t="s">
        <v>1705</v>
      </c>
      <c r="J2303" s="27" t="s">
        <v>1706</v>
      </c>
    </row>
    <row r="2304" spans="1:10" x14ac:dyDescent="0.25">
      <c r="A2304" s="216" t="s">
        <v>602</v>
      </c>
      <c r="B2304" s="45" t="str">
        <f>VLOOKUP(Tabela12[[#This Row],[Painel]],Tabela13[],2,0)</f>
        <v>30LV</v>
      </c>
      <c r="C2304" s="45" t="s">
        <v>1632</v>
      </c>
      <c r="D2304" s="21" t="s">
        <v>1946</v>
      </c>
      <c r="E2304" s="21">
        <v>39</v>
      </c>
      <c r="F2304" s="27" t="str">
        <f>Tabela12[[#This Row],[Régua]]&amp;" ("&amp;Tabela12[[#This Row],[Born]]&amp;")"</f>
        <v>TB-31 (39)</v>
      </c>
      <c r="G2304" s="27">
        <f>LEN(Tabela12[[#This Row],[Anilha]])</f>
        <v>10</v>
      </c>
      <c r="H2304" s="21">
        <f>VLOOKUP(Tabela12[[#This Row],[Tag Cabo]],BD!A:F,6,0)</f>
        <v>1</v>
      </c>
      <c r="I2304" s="27" t="s">
        <v>1705</v>
      </c>
      <c r="J2304" s="27" t="s">
        <v>1706</v>
      </c>
    </row>
    <row r="2305" spans="1:10" x14ac:dyDescent="0.25">
      <c r="A2305" s="216" t="s">
        <v>602</v>
      </c>
      <c r="B2305" s="45" t="str">
        <f>VLOOKUP(Tabela12[[#This Row],[Painel]],Tabela13[],2,0)</f>
        <v>30LV</v>
      </c>
      <c r="C2305" s="45" t="s">
        <v>1632</v>
      </c>
      <c r="D2305" s="21" t="s">
        <v>1946</v>
      </c>
      <c r="E2305" s="21">
        <v>40</v>
      </c>
      <c r="F2305" s="27" t="str">
        <f>Tabela12[[#This Row],[Régua]]&amp;" ("&amp;Tabela12[[#This Row],[Born]]&amp;")"</f>
        <v>TB-31 (40)</v>
      </c>
      <c r="G2305" s="27">
        <f>LEN(Tabela12[[#This Row],[Anilha]])</f>
        <v>10</v>
      </c>
      <c r="H2305" s="21">
        <f>VLOOKUP(Tabela12[[#This Row],[Tag Cabo]],BD!A:F,6,0)</f>
        <v>1</v>
      </c>
      <c r="I2305" s="27" t="s">
        <v>1705</v>
      </c>
      <c r="J2305" s="27" t="s">
        <v>1706</v>
      </c>
    </row>
    <row r="2306" spans="1:10" x14ac:dyDescent="0.25">
      <c r="A2306" s="216" t="s">
        <v>602</v>
      </c>
      <c r="B2306" s="45" t="str">
        <f>VLOOKUP(Tabela12[[#This Row],[Painel]],Tabela13[],2,0)</f>
        <v>30LV</v>
      </c>
      <c r="C2306" s="45" t="s">
        <v>1632</v>
      </c>
      <c r="D2306" s="21" t="s">
        <v>1946</v>
      </c>
      <c r="E2306" s="21">
        <v>41</v>
      </c>
      <c r="F2306" s="27" t="str">
        <f>Tabela12[[#This Row],[Régua]]&amp;" ("&amp;Tabela12[[#This Row],[Born]]&amp;")"</f>
        <v>TB-31 (41)</v>
      </c>
      <c r="G2306" s="27">
        <f>LEN(Tabela12[[#This Row],[Anilha]])</f>
        <v>10</v>
      </c>
      <c r="H2306" s="21">
        <f>VLOOKUP(Tabela12[[#This Row],[Tag Cabo]],BD!A:F,6,0)</f>
        <v>1</v>
      </c>
      <c r="I2306" s="27" t="s">
        <v>1705</v>
      </c>
      <c r="J2306" s="27" t="s">
        <v>1706</v>
      </c>
    </row>
    <row r="2307" spans="1:10" x14ac:dyDescent="0.25">
      <c r="A2307" s="216" t="s">
        <v>602</v>
      </c>
      <c r="B2307" s="45" t="str">
        <f>VLOOKUP(Tabela12[[#This Row],[Painel]],Tabela13[],2,0)</f>
        <v>30LV</v>
      </c>
      <c r="C2307" s="45" t="s">
        <v>1632</v>
      </c>
      <c r="D2307" s="21" t="s">
        <v>1946</v>
      </c>
      <c r="E2307" s="21">
        <v>42</v>
      </c>
      <c r="F2307" s="27" t="str">
        <f>Tabela12[[#This Row],[Régua]]&amp;" ("&amp;Tabela12[[#This Row],[Born]]&amp;")"</f>
        <v>TB-31 (42)</v>
      </c>
      <c r="G2307" s="27">
        <f>LEN(Tabela12[[#This Row],[Anilha]])</f>
        <v>10</v>
      </c>
      <c r="H2307" s="21">
        <f>VLOOKUP(Tabela12[[#This Row],[Tag Cabo]],BD!A:F,6,0)</f>
        <v>1</v>
      </c>
      <c r="I2307" s="27" t="s">
        <v>1705</v>
      </c>
      <c r="J2307" s="27" t="s">
        <v>1706</v>
      </c>
    </row>
    <row r="2308" spans="1:10" x14ac:dyDescent="0.25">
      <c r="A2308" s="216" t="s">
        <v>602</v>
      </c>
      <c r="B2308" s="45" t="str">
        <f>VLOOKUP(Tabela12[[#This Row],[Painel]],Tabela13[],2,0)</f>
        <v>30LV</v>
      </c>
      <c r="C2308" s="45" t="s">
        <v>1632</v>
      </c>
      <c r="D2308" s="21" t="s">
        <v>1946</v>
      </c>
      <c r="E2308" s="21">
        <v>43</v>
      </c>
      <c r="F2308" s="27" t="str">
        <f>Tabela12[[#This Row],[Régua]]&amp;" ("&amp;Tabela12[[#This Row],[Born]]&amp;")"</f>
        <v>TB-31 (43)</v>
      </c>
      <c r="G2308" s="27">
        <f>LEN(Tabela12[[#This Row],[Anilha]])</f>
        <v>10</v>
      </c>
      <c r="H2308" s="21">
        <f>VLOOKUP(Tabela12[[#This Row],[Tag Cabo]],BD!A:F,6,0)</f>
        <v>1</v>
      </c>
      <c r="I2308" s="27" t="s">
        <v>1705</v>
      </c>
      <c r="J2308" s="27" t="s">
        <v>1706</v>
      </c>
    </row>
    <row r="2309" spans="1:10" x14ac:dyDescent="0.25">
      <c r="A2309" s="216" t="s">
        <v>602</v>
      </c>
      <c r="B2309" s="45" t="str">
        <f>VLOOKUP(Tabela12[[#This Row],[Painel]],Tabela13[],2,0)</f>
        <v>30LV</v>
      </c>
      <c r="C2309" s="45" t="s">
        <v>1632</v>
      </c>
      <c r="D2309" s="21" t="s">
        <v>1946</v>
      </c>
      <c r="E2309" s="21">
        <v>44</v>
      </c>
      <c r="F2309" s="27" t="str">
        <f>Tabela12[[#This Row],[Régua]]&amp;" ("&amp;Tabela12[[#This Row],[Born]]&amp;")"</f>
        <v>TB-31 (44)</v>
      </c>
      <c r="G2309" s="27">
        <f>LEN(Tabela12[[#This Row],[Anilha]])</f>
        <v>10</v>
      </c>
      <c r="H2309" s="21">
        <f>VLOOKUP(Tabela12[[#This Row],[Tag Cabo]],BD!A:F,6,0)</f>
        <v>1</v>
      </c>
      <c r="I2309" s="27" t="s">
        <v>1705</v>
      </c>
      <c r="J2309" s="27" t="s">
        <v>1706</v>
      </c>
    </row>
    <row r="2310" spans="1:10" x14ac:dyDescent="0.25">
      <c r="A2310" s="216" t="s">
        <v>604</v>
      </c>
      <c r="B2310" s="45" t="str">
        <f>VLOOKUP(Tabela12[[#This Row],[Painel]],Tabela13[],2,0)</f>
        <v>7HV</v>
      </c>
      <c r="C2310" s="45" t="s">
        <v>1559</v>
      </c>
      <c r="D2310" s="21" t="s">
        <v>2047</v>
      </c>
      <c r="E2310" s="21" t="s">
        <v>2048</v>
      </c>
      <c r="F2310" s="27" t="str">
        <f>Tabela12[[#This Row],[Régua]]&amp;" ("&amp;Tabela12[[#This Row],[Born]]&amp;")"</f>
        <v>TR26A (X1-30)</v>
      </c>
      <c r="G2310" s="27">
        <f>LEN(Tabela12[[#This Row],[Anilha]])</f>
        <v>13</v>
      </c>
      <c r="H2310" s="21">
        <f>VLOOKUP(Tabela12[[#This Row],[Tag Cabo]],BD!A:F,6,0)</f>
        <v>1</v>
      </c>
      <c r="I2310" s="27" t="s">
        <v>1705</v>
      </c>
      <c r="J2310" s="27" t="s">
        <v>1706</v>
      </c>
    </row>
    <row r="2311" spans="1:10" x14ac:dyDescent="0.25">
      <c r="A2311" s="216" t="s">
        <v>604</v>
      </c>
      <c r="B2311" s="45" t="str">
        <f>VLOOKUP(Tabela12[[#This Row],[Painel]],Tabela13[],2,0)</f>
        <v>7HV</v>
      </c>
      <c r="C2311" s="45" t="s">
        <v>1559</v>
      </c>
      <c r="D2311" s="21" t="s">
        <v>2047</v>
      </c>
      <c r="E2311" s="21" t="s">
        <v>2049</v>
      </c>
      <c r="F2311" s="27" t="str">
        <f>Tabela12[[#This Row],[Régua]]&amp;" ("&amp;Tabela12[[#This Row],[Born]]&amp;")"</f>
        <v>TR26A (X1-28)</v>
      </c>
      <c r="G2311" s="27">
        <f>LEN(Tabela12[[#This Row],[Anilha]])</f>
        <v>13</v>
      </c>
      <c r="H2311" s="21">
        <f>VLOOKUP(Tabela12[[#This Row],[Tag Cabo]],BD!A:F,6,0)</f>
        <v>1</v>
      </c>
      <c r="I2311" s="27" t="s">
        <v>1705</v>
      </c>
      <c r="J2311" s="27" t="s">
        <v>1706</v>
      </c>
    </row>
    <row r="2312" spans="1:10" x14ac:dyDescent="0.25">
      <c r="A2312" s="216" t="s">
        <v>604</v>
      </c>
      <c r="B2312" s="45" t="str">
        <f>VLOOKUP(Tabela12[[#This Row],[Painel]],Tabela13[],2,0)</f>
        <v>30LV</v>
      </c>
      <c r="C2312" s="45" t="s">
        <v>1632</v>
      </c>
      <c r="D2312" s="21" t="s">
        <v>1946</v>
      </c>
      <c r="E2312" s="21">
        <v>13</v>
      </c>
      <c r="F2312" s="27" t="str">
        <f>Tabela12[[#This Row],[Régua]]&amp;" ("&amp;Tabela12[[#This Row],[Born]]&amp;")"</f>
        <v>TB-31 (13)</v>
      </c>
      <c r="G2312" s="27">
        <f>LEN(Tabela12[[#This Row],[Anilha]])</f>
        <v>10</v>
      </c>
      <c r="H2312" s="21">
        <f>VLOOKUP(Tabela12[[#This Row],[Tag Cabo]],BD!A:F,6,0)</f>
        <v>1</v>
      </c>
      <c r="I2312" s="27" t="s">
        <v>1705</v>
      </c>
      <c r="J2312" s="27" t="s">
        <v>1706</v>
      </c>
    </row>
    <row r="2313" spans="1:10" x14ac:dyDescent="0.25">
      <c r="A2313" s="216" t="s">
        <v>604</v>
      </c>
      <c r="B2313" s="45" t="str">
        <f>VLOOKUP(Tabela12[[#This Row],[Painel]],Tabela13[],2,0)</f>
        <v>30LV</v>
      </c>
      <c r="C2313" s="45" t="s">
        <v>1632</v>
      </c>
      <c r="D2313" s="21" t="s">
        <v>1946</v>
      </c>
      <c r="E2313" s="21">
        <v>14</v>
      </c>
      <c r="F2313" s="27" t="str">
        <f>Tabela12[[#This Row],[Régua]]&amp;" ("&amp;Tabela12[[#This Row],[Born]]&amp;")"</f>
        <v>TB-31 (14)</v>
      </c>
      <c r="G2313" s="27">
        <f>LEN(Tabela12[[#This Row],[Anilha]])</f>
        <v>10</v>
      </c>
      <c r="H2313" s="21">
        <f>VLOOKUP(Tabela12[[#This Row],[Tag Cabo]],BD!A:F,6,0)</f>
        <v>1</v>
      </c>
      <c r="I2313" s="27" t="s">
        <v>1705</v>
      </c>
      <c r="J2313" s="27" t="s">
        <v>1706</v>
      </c>
    </row>
    <row r="2314" spans="1:10" x14ac:dyDescent="0.25">
      <c r="A2314" s="216" t="s">
        <v>606</v>
      </c>
      <c r="B2314" s="45" t="str">
        <f>VLOOKUP(Tabela12[[#This Row],[Painel]],Tabela13[],2,0)</f>
        <v>7HV</v>
      </c>
      <c r="C2314" s="45" t="s">
        <v>1560</v>
      </c>
      <c r="D2314" s="21" t="s">
        <v>2050</v>
      </c>
      <c r="E2314" s="21" t="s">
        <v>2048</v>
      </c>
      <c r="F2314" s="27" t="str">
        <f>Tabela12[[#This Row],[Régua]]&amp;" ("&amp;Tabela12[[#This Row],[Born]]&amp;")"</f>
        <v>TR26B (X1-30)</v>
      </c>
      <c r="G2314" s="27">
        <f>LEN(Tabela12[[#This Row],[Anilha]])</f>
        <v>13</v>
      </c>
      <c r="H2314" s="21">
        <f>VLOOKUP(Tabela12[[#This Row],[Tag Cabo]],BD!A:F,6,0)</f>
        <v>1</v>
      </c>
      <c r="I2314" s="27" t="s">
        <v>1705</v>
      </c>
      <c r="J2314" s="27" t="s">
        <v>1706</v>
      </c>
    </row>
    <row r="2315" spans="1:10" x14ac:dyDescent="0.25">
      <c r="A2315" s="216" t="s">
        <v>606</v>
      </c>
      <c r="B2315" s="45" t="str">
        <f>VLOOKUP(Tabela12[[#This Row],[Painel]],Tabela13[],2,0)</f>
        <v>7HV</v>
      </c>
      <c r="C2315" s="45" t="s">
        <v>1560</v>
      </c>
      <c r="D2315" s="21" t="s">
        <v>2050</v>
      </c>
      <c r="E2315" s="21" t="s">
        <v>2049</v>
      </c>
      <c r="F2315" s="27" t="str">
        <f>Tabela12[[#This Row],[Régua]]&amp;" ("&amp;Tabela12[[#This Row],[Born]]&amp;")"</f>
        <v>TR26B (X1-28)</v>
      </c>
      <c r="G2315" s="27">
        <f>LEN(Tabela12[[#This Row],[Anilha]])</f>
        <v>13</v>
      </c>
      <c r="H2315" s="21">
        <f>VLOOKUP(Tabela12[[#This Row],[Tag Cabo]],BD!A:F,6,0)</f>
        <v>1</v>
      </c>
      <c r="I2315" s="27" t="s">
        <v>1705</v>
      </c>
      <c r="J2315" s="27" t="s">
        <v>1706</v>
      </c>
    </row>
    <row r="2316" spans="1:10" x14ac:dyDescent="0.25">
      <c r="A2316" s="216" t="s">
        <v>606</v>
      </c>
      <c r="B2316" s="45" t="str">
        <f>VLOOKUP(Tabela12[[#This Row],[Painel]],Tabela13[],2,0)</f>
        <v>30LV</v>
      </c>
      <c r="C2316" s="45" t="s">
        <v>1632</v>
      </c>
      <c r="D2316" s="21" t="s">
        <v>1946</v>
      </c>
      <c r="E2316" s="21">
        <v>16</v>
      </c>
      <c r="F2316" s="27" t="str">
        <f>Tabela12[[#This Row],[Régua]]&amp;" ("&amp;Tabela12[[#This Row],[Born]]&amp;")"</f>
        <v>TB-31 (16)</v>
      </c>
      <c r="G2316" s="27">
        <f>LEN(Tabela12[[#This Row],[Anilha]])</f>
        <v>10</v>
      </c>
      <c r="H2316" s="21">
        <f>VLOOKUP(Tabela12[[#This Row],[Tag Cabo]],BD!A:F,6,0)</f>
        <v>1</v>
      </c>
      <c r="I2316" s="27" t="s">
        <v>1705</v>
      </c>
      <c r="J2316" s="27" t="s">
        <v>1706</v>
      </c>
    </row>
    <row r="2317" spans="1:10" x14ac:dyDescent="0.25">
      <c r="A2317" s="216" t="s">
        <v>606</v>
      </c>
      <c r="B2317" s="45" t="str">
        <f>VLOOKUP(Tabela12[[#This Row],[Painel]],Tabela13[],2,0)</f>
        <v>30LV</v>
      </c>
      <c r="C2317" s="45" t="s">
        <v>1632</v>
      </c>
      <c r="D2317" s="21" t="s">
        <v>1946</v>
      </c>
      <c r="E2317" s="21">
        <v>17</v>
      </c>
      <c r="F2317" s="27" t="str">
        <f>Tabela12[[#This Row],[Régua]]&amp;" ("&amp;Tabela12[[#This Row],[Born]]&amp;")"</f>
        <v>TB-31 (17)</v>
      </c>
      <c r="G2317" s="27">
        <f>LEN(Tabela12[[#This Row],[Anilha]])</f>
        <v>10</v>
      </c>
      <c r="H2317" s="21">
        <f>VLOOKUP(Tabela12[[#This Row],[Tag Cabo]],BD!A:F,6,0)</f>
        <v>1</v>
      </c>
      <c r="I2317" s="27" t="s">
        <v>1705</v>
      </c>
      <c r="J2317" s="27" t="s">
        <v>1706</v>
      </c>
    </row>
    <row r="2318" spans="1:10" x14ac:dyDescent="0.25">
      <c r="A2318" s="216" t="s">
        <v>631</v>
      </c>
      <c r="B2318" s="45" t="str">
        <f>VLOOKUP(Tabela12[[#This Row],[Painel]],Tabela13[],2,0)</f>
        <v>30LV</v>
      </c>
      <c r="C2318" s="45" t="s">
        <v>1632</v>
      </c>
      <c r="D2318" s="21" t="s">
        <v>1954</v>
      </c>
      <c r="E2318" s="21">
        <v>1</v>
      </c>
      <c r="F2318" s="27" t="str">
        <f>Tabela12[[#This Row],[Régua]]&amp;" ("&amp;Tabela12[[#This Row],[Born]]&amp;")"</f>
        <v>TB-26 (1)</v>
      </c>
      <c r="G2318" s="27">
        <f>LEN(Tabela12[[#This Row],[Anilha]])</f>
        <v>9</v>
      </c>
      <c r="H2318" s="21">
        <f>VLOOKUP(Tabela12[[#This Row],[Tag Cabo]],BD!A:F,6,0)</f>
        <v>1.5</v>
      </c>
      <c r="I2318" s="27" t="s">
        <v>1705</v>
      </c>
      <c r="J2318" s="27" t="s">
        <v>1706</v>
      </c>
    </row>
    <row r="2319" spans="1:10" x14ac:dyDescent="0.25">
      <c r="A2319" s="216" t="s">
        <v>631</v>
      </c>
      <c r="B2319" s="45" t="str">
        <f>VLOOKUP(Tabela12[[#This Row],[Painel]],Tabela13[],2,0)</f>
        <v>30LV</v>
      </c>
      <c r="C2319" s="45" t="s">
        <v>1632</v>
      </c>
      <c r="D2319" s="21" t="s">
        <v>1954</v>
      </c>
      <c r="E2319" s="21">
        <v>2</v>
      </c>
      <c r="F2319" s="27" t="str">
        <f>Tabela12[[#This Row],[Régua]]&amp;" ("&amp;Tabela12[[#This Row],[Born]]&amp;")"</f>
        <v>TB-26 (2)</v>
      </c>
      <c r="G2319" s="27">
        <f>LEN(Tabela12[[#This Row],[Anilha]])</f>
        <v>9</v>
      </c>
      <c r="H2319" s="21">
        <f>VLOOKUP(Tabela12[[#This Row],[Tag Cabo]],BD!A:F,6,0)</f>
        <v>1.5</v>
      </c>
      <c r="I2319" s="27" t="s">
        <v>1705</v>
      </c>
      <c r="J2319" s="27" t="s">
        <v>1706</v>
      </c>
    </row>
    <row r="2320" spans="1:10" x14ac:dyDescent="0.25">
      <c r="A2320" s="216" t="s">
        <v>631</v>
      </c>
      <c r="B2320" s="45" t="str">
        <f>VLOOKUP(Tabela12[[#This Row],[Painel]],Tabela13[],2,0)</f>
        <v>30LV</v>
      </c>
      <c r="C2320" s="45" t="s">
        <v>1632</v>
      </c>
      <c r="D2320" s="21" t="s">
        <v>1954</v>
      </c>
      <c r="E2320" s="21">
        <v>4</v>
      </c>
      <c r="F2320" s="27" t="str">
        <f>Tabela12[[#This Row],[Régua]]&amp;" ("&amp;Tabela12[[#This Row],[Born]]&amp;")"</f>
        <v>TB-26 (4)</v>
      </c>
      <c r="G2320" s="27">
        <f>LEN(Tabela12[[#This Row],[Anilha]])</f>
        <v>9</v>
      </c>
      <c r="H2320" s="21">
        <f>VLOOKUP(Tabela12[[#This Row],[Tag Cabo]],BD!A:F,6,0)</f>
        <v>1.5</v>
      </c>
      <c r="I2320" s="27" t="s">
        <v>1705</v>
      </c>
      <c r="J2320" s="27" t="s">
        <v>1706</v>
      </c>
    </row>
    <row r="2321" spans="1:10" x14ac:dyDescent="0.25">
      <c r="A2321" s="21" t="s">
        <v>631</v>
      </c>
      <c r="B2321" s="391" t="str">
        <f>VLOOKUP(Tabela12[[#This Row],[Painel]],Tabela13[],2,0)</f>
        <v>30LV</v>
      </c>
      <c r="C2321" s="391" t="s">
        <v>1632</v>
      </c>
      <c r="D2321" s="21" t="s">
        <v>1954</v>
      </c>
      <c r="E2321" s="21">
        <v>5</v>
      </c>
      <c r="F2321" s="27" t="str">
        <f>Tabela12[[#This Row],[Régua]]&amp;" ("&amp;Tabela12[[#This Row],[Born]]&amp;")"</f>
        <v>TB-26 (5)</v>
      </c>
      <c r="G2321" s="27">
        <f>LEN(Tabela12[[#This Row],[Anilha]])</f>
        <v>9</v>
      </c>
      <c r="H2321" s="21">
        <f>VLOOKUP(Tabela12[[#This Row],[Tag Cabo]],BD!A:F,6,0)</f>
        <v>1.5</v>
      </c>
      <c r="I2321" s="27" t="s">
        <v>1705</v>
      </c>
      <c r="J2321" s="27" t="s">
        <v>1706</v>
      </c>
    </row>
    <row r="2322" spans="1:10" x14ac:dyDescent="0.25">
      <c r="A2322" s="216" t="s">
        <v>631</v>
      </c>
      <c r="B2322" s="45" t="str">
        <f>VLOOKUP(Tabela12[[#This Row],[Painel]],Tabela13[],2,0)</f>
        <v>30LV</v>
      </c>
      <c r="C2322" s="45" t="s">
        <v>1632</v>
      </c>
      <c r="D2322" s="21" t="s">
        <v>1954</v>
      </c>
      <c r="E2322" s="21">
        <v>7</v>
      </c>
      <c r="F2322" s="27" t="str">
        <f>Tabela12[[#This Row],[Régua]]&amp;" ("&amp;Tabela12[[#This Row],[Born]]&amp;")"</f>
        <v>TB-26 (7)</v>
      </c>
      <c r="G2322" s="27">
        <f>LEN(Tabela12[[#This Row],[Anilha]])</f>
        <v>9</v>
      </c>
      <c r="H2322" s="21">
        <f>VLOOKUP(Tabela12[[#This Row],[Tag Cabo]],BD!A:F,6,0)</f>
        <v>1.5</v>
      </c>
      <c r="I2322" s="27" t="s">
        <v>1705</v>
      </c>
      <c r="J2322" s="27" t="s">
        <v>1706</v>
      </c>
    </row>
    <row r="2323" spans="1:10" x14ac:dyDescent="0.25">
      <c r="A2323" s="216" t="s">
        <v>631</v>
      </c>
      <c r="B2323" s="45" t="str">
        <f>VLOOKUP(Tabela12[[#This Row],[Painel]],Tabela13[],2,0)</f>
        <v>30LV</v>
      </c>
      <c r="C2323" s="45" t="s">
        <v>1632</v>
      </c>
      <c r="D2323" s="21" t="s">
        <v>1954</v>
      </c>
      <c r="E2323" s="21">
        <v>8</v>
      </c>
      <c r="F2323" s="27" t="str">
        <f>Tabela12[[#This Row],[Régua]]&amp;" ("&amp;Tabela12[[#This Row],[Born]]&amp;")"</f>
        <v>TB-26 (8)</v>
      </c>
      <c r="G2323" s="27">
        <f>LEN(Tabela12[[#This Row],[Anilha]])</f>
        <v>9</v>
      </c>
      <c r="H2323" s="21">
        <f>VLOOKUP(Tabela12[[#This Row],[Tag Cabo]],BD!A:F,6,0)</f>
        <v>1.5</v>
      </c>
      <c r="I2323" s="27" t="s">
        <v>1705</v>
      </c>
      <c r="J2323" s="27" t="s">
        <v>1706</v>
      </c>
    </row>
    <row r="2324" spans="1:10" x14ac:dyDescent="0.25">
      <c r="A2324" s="216" t="s">
        <v>631</v>
      </c>
      <c r="B2324" s="45" t="str">
        <f>VLOOKUP(Tabela12[[#This Row],[Painel]],Tabela13[],2,0)</f>
        <v>30LV</v>
      </c>
      <c r="C2324" s="45" t="s">
        <v>1632</v>
      </c>
      <c r="D2324" s="21" t="s">
        <v>1954</v>
      </c>
      <c r="E2324" s="21">
        <v>10</v>
      </c>
      <c r="F2324" s="27" t="str">
        <f>Tabela12[[#This Row],[Régua]]&amp;" ("&amp;Tabela12[[#This Row],[Born]]&amp;")"</f>
        <v>TB-26 (10)</v>
      </c>
      <c r="G2324" s="27">
        <f>LEN(Tabela12[[#This Row],[Anilha]])</f>
        <v>10</v>
      </c>
      <c r="H2324" s="21">
        <f>VLOOKUP(Tabela12[[#This Row],[Tag Cabo]],BD!A:F,6,0)</f>
        <v>1.5</v>
      </c>
      <c r="I2324" s="27" t="s">
        <v>1705</v>
      </c>
      <c r="J2324" s="27" t="s">
        <v>1706</v>
      </c>
    </row>
    <row r="2325" spans="1:10" x14ac:dyDescent="0.25">
      <c r="A2325" s="216" t="s">
        <v>631</v>
      </c>
      <c r="B2325" s="45" t="str">
        <f>VLOOKUP(Tabela12[[#This Row],[Painel]],Tabela13[],2,0)</f>
        <v>30LV</v>
      </c>
      <c r="C2325" s="45" t="s">
        <v>1632</v>
      </c>
      <c r="D2325" s="21" t="s">
        <v>1954</v>
      </c>
      <c r="E2325" s="21">
        <v>11</v>
      </c>
      <c r="F2325" s="27" t="str">
        <f>Tabela12[[#This Row],[Régua]]&amp;" ("&amp;Tabela12[[#This Row],[Born]]&amp;")"</f>
        <v>TB-26 (11)</v>
      </c>
      <c r="G2325" s="27">
        <f>LEN(Tabela12[[#This Row],[Anilha]])</f>
        <v>10</v>
      </c>
      <c r="H2325" s="21">
        <f>VLOOKUP(Tabela12[[#This Row],[Tag Cabo]],BD!A:F,6,0)</f>
        <v>1.5</v>
      </c>
      <c r="I2325" s="27" t="s">
        <v>1705</v>
      </c>
      <c r="J2325" s="27" t="s">
        <v>1706</v>
      </c>
    </row>
    <row r="2326" spans="1:10" x14ac:dyDescent="0.25">
      <c r="A2326" s="21" t="s">
        <v>631</v>
      </c>
      <c r="B2326" s="391" t="str">
        <f>VLOOKUP(Tabela12[[#This Row],[Painel]],Tabela13[],2,0)</f>
        <v>30LV</v>
      </c>
      <c r="C2326" s="391" t="s">
        <v>1632</v>
      </c>
      <c r="D2326" s="21" t="s">
        <v>1954</v>
      </c>
      <c r="E2326" s="21">
        <v>13</v>
      </c>
      <c r="F2326" s="27" t="str">
        <f>Tabela12[[#This Row],[Régua]]&amp;" ("&amp;Tabela12[[#This Row],[Born]]&amp;")"</f>
        <v>TB-26 (13)</v>
      </c>
      <c r="G2326" s="27">
        <f>LEN(Tabela12[[#This Row],[Anilha]])</f>
        <v>10</v>
      </c>
      <c r="H2326" s="21">
        <f>VLOOKUP(Tabela12[[#This Row],[Tag Cabo]],BD!A:F,6,0)</f>
        <v>1.5</v>
      </c>
      <c r="I2326" s="27" t="s">
        <v>1705</v>
      </c>
      <c r="J2326" s="27" t="s">
        <v>1706</v>
      </c>
    </row>
    <row r="2327" spans="1:10" x14ac:dyDescent="0.25">
      <c r="A2327" s="216" t="s">
        <v>631</v>
      </c>
      <c r="B2327" s="45" t="str">
        <f>VLOOKUP(Tabela12[[#This Row],[Painel]],Tabela13[],2,0)</f>
        <v>30LV</v>
      </c>
      <c r="C2327" s="45" t="s">
        <v>1632</v>
      </c>
      <c r="D2327" s="21" t="s">
        <v>1954</v>
      </c>
      <c r="E2327" s="21">
        <v>14</v>
      </c>
      <c r="F2327" s="27" t="str">
        <f>Tabela12[[#This Row],[Régua]]&amp;" ("&amp;Tabela12[[#This Row],[Born]]&amp;")"</f>
        <v>TB-26 (14)</v>
      </c>
      <c r="G2327" s="27">
        <f>LEN(Tabela12[[#This Row],[Anilha]])</f>
        <v>10</v>
      </c>
      <c r="H2327" s="21">
        <f>VLOOKUP(Tabela12[[#This Row],[Tag Cabo]],BD!A:F,6,0)</f>
        <v>1.5</v>
      </c>
      <c r="I2327" s="27" t="s">
        <v>1705</v>
      </c>
      <c r="J2327" s="27" t="s">
        <v>1706</v>
      </c>
    </row>
    <row r="2328" spans="1:10" x14ac:dyDescent="0.25">
      <c r="A2328" s="216" t="s">
        <v>631</v>
      </c>
      <c r="B2328" s="45" t="str">
        <f>VLOOKUP(Tabela12[[#This Row],[Painel]],Tabela13[],2,0)</f>
        <v>30LV</v>
      </c>
      <c r="C2328" s="45" t="s">
        <v>1632</v>
      </c>
      <c r="D2328" s="21" t="s">
        <v>1954</v>
      </c>
      <c r="E2328" s="21">
        <v>16</v>
      </c>
      <c r="F2328" s="27" t="str">
        <f>Tabela12[[#This Row],[Régua]]&amp;" ("&amp;Tabela12[[#This Row],[Born]]&amp;")"</f>
        <v>TB-26 (16)</v>
      </c>
      <c r="G2328" s="27">
        <f>LEN(Tabela12[[#This Row],[Anilha]])</f>
        <v>10</v>
      </c>
      <c r="H2328" s="21">
        <f>VLOOKUP(Tabela12[[#This Row],[Tag Cabo]],BD!A:F,6,0)</f>
        <v>1.5</v>
      </c>
      <c r="I2328" s="27" t="s">
        <v>1705</v>
      </c>
      <c r="J2328" s="27" t="s">
        <v>1706</v>
      </c>
    </row>
    <row r="2329" spans="1:10" x14ac:dyDescent="0.25">
      <c r="A2329" s="216" t="s">
        <v>631</v>
      </c>
      <c r="B2329" s="45" t="str">
        <f>VLOOKUP(Tabela12[[#This Row],[Painel]],Tabela13[],2,0)</f>
        <v>30LV</v>
      </c>
      <c r="C2329" s="45" t="s">
        <v>1632</v>
      </c>
      <c r="D2329" s="21" t="s">
        <v>1954</v>
      </c>
      <c r="E2329" s="21">
        <v>17</v>
      </c>
      <c r="F2329" s="27" t="str">
        <f>Tabela12[[#This Row],[Régua]]&amp;" ("&amp;Tabela12[[#This Row],[Born]]&amp;")"</f>
        <v>TB-26 (17)</v>
      </c>
      <c r="G2329" s="27">
        <f>LEN(Tabela12[[#This Row],[Anilha]])</f>
        <v>10</v>
      </c>
      <c r="H2329" s="21">
        <f>VLOOKUP(Tabela12[[#This Row],[Tag Cabo]],BD!A:F,6,0)</f>
        <v>1.5</v>
      </c>
      <c r="I2329" s="27" t="s">
        <v>1705</v>
      </c>
      <c r="J2329" s="27" t="s">
        <v>1706</v>
      </c>
    </row>
    <row r="2330" spans="1:10" x14ac:dyDescent="0.25">
      <c r="A2330" s="216" t="s">
        <v>631</v>
      </c>
      <c r="B2330" s="45" t="str">
        <f>VLOOKUP(Tabela12[[#This Row],[Painel]],Tabela13[],2,0)</f>
        <v>30LV</v>
      </c>
      <c r="C2330" s="45" t="s">
        <v>1632</v>
      </c>
      <c r="D2330" s="21" t="s">
        <v>1954</v>
      </c>
      <c r="E2330" s="21">
        <v>19</v>
      </c>
      <c r="F2330" s="27" t="str">
        <f>Tabela12[[#This Row],[Régua]]&amp;" ("&amp;Tabela12[[#This Row],[Born]]&amp;")"</f>
        <v>TB-26 (19)</v>
      </c>
      <c r="G2330" s="27">
        <f>LEN(Tabela12[[#This Row],[Anilha]])</f>
        <v>10</v>
      </c>
      <c r="H2330" s="21">
        <f>VLOOKUP(Tabela12[[#This Row],[Tag Cabo]],BD!A:F,6,0)</f>
        <v>1.5</v>
      </c>
      <c r="I2330" s="27" t="s">
        <v>1705</v>
      </c>
      <c r="J2330" s="27" t="s">
        <v>1706</v>
      </c>
    </row>
    <row r="2331" spans="1:10" x14ac:dyDescent="0.25">
      <c r="A2331" s="21" t="s">
        <v>631</v>
      </c>
      <c r="B2331" s="391" t="str">
        <f>VLOOKUP(Tabela12[[#This Row],[Painel]],Tabela13[],2,0)</f>
        <v>30LV</v>
      </c>
      <c r="C2331" s="391" t="s">
        <v>1632</v>
      </c>
      <c r="D2331" s="21" t="s">
        <v>1954</v>
      </c>
      <c r="E2331" s="21">
        <v>20</v>
      </c>
      <c r="F2331" s="27" t="str">
        <f>Tabela12[[#This Row],[Régua]]&amp;" ("&amp;Tabela12[[#This Row],[Born]]&amp;")"</f>
        <v>TB-26 (20)</v>
      </c>
      <c r="G2331" s="27">
        <f>LEN(Tabela12[[#This Row],[Anilha]])</f>
        <v>10</v>
      </c>
      <c r="H2331" s="21">
        <f>VLOOKUP(Tabela12[[#This Row],[Tag Cabo]],BD!A:F,6,0)</f>
        <v>1.5</v>
      </c>
      <c r="I2331" s="27" t="s">
        <v>1705</v>
      </c>
      <c r="J2331" s="27" t="s">
        <v>1706</v>
      </c>
    </row>
    <row r="2332" spans="1:10" x14ac:dyDescent="0.25">
      <c r="A2332" s="216" t="s">
        <v>631</v>
      </c>
      <c r="B2332" s="45" t="str">
        <f>VLOOKUP(Tabela12[[#This Row],[Painel]],Tabela13[],2,0)</f>
        <v>30LV</v>
      </c>
      <c r="C2332" s="45" t="s">
        <v>1632</v>
      </c>
      <c r="D2332" s="21" t="s">
        <v>1954</v>
      </c>
      <c r="E2332" s="21">
        <v>22</v>
      </c>
      <c r="F2332" s="27" t="str">
        <f>Tabela12[[#This Row],[Régua]]&amp;" ("&amp;Tabela12[[#This Row],[Born]]&amp;")"</f>
        <v>TB-26 (22)</v>
      </c>
      <c r="G2332" s="27">
        <f>LEN(Tabela12[[#This Row],[Anilha]])</f>
        <v>10</v>
      </c>
      <c r="H2332" s="21">
        <f>VLOOKUP(Tabela12[[#This Row],[Tag Cabo]],BD!A:F,6,0)</f>
        <v>1.5</v>
      </c>
      <c r="I2332" s="27" t="s">
        <v>1705</v>
      </c>
      <c r="J2332" s="27" t="s">
        <v>1706</v>
      </c>
    </row>
    <row r="2333" spans="1:10" x14ac:dyDescent="0.25">
      <c r="A2333" s="216" t="s">
        <v>631</v>
      </c>
      <c r="B2333" s="45" t="str">
        <f>VLOOKUP(Tabela12[[#This Row],[Painel]],Tabela13[],2,0)</f>
        <v>30LV</v>
      </c>
      <c r="C2333" s="45" t="s">
        <v>1632</v>
      </c>
      <c r="D2333" s="21" t="s">
        <v>1954</v>
      </c>
      <c r="E2333" s="21">
        <v>23</v>
      </c>
      <c r="F2333" s="27" t="str">
        <f>Tabela12[[#This Row],[Régua]]&amp;" ("&amp;Tabela12[[#This Row],[Born]]&amp;")"</f>
        <v>TB-26 (23)</v>
      </c>
      <c r="G2333" s="27">
        <f>LEN(Tabela12[[#This Row],[Anilha]])</f>
        <v>10</v>
      </c>
      <c r="H2333" s="21">
        <f>VLOOKUP(Tabela12[[#This Row],[Tag Cabo]],BD!A:F,6,0)</f>
        <v>1.5</v>
      </c>
      <c r="I2333" s="27" t="s">
        <v>1705</v>
      </c>
      <c r="J2333" s="27" t="s">
        <v>1706</v>
      </c>
    </row>
    <row r="2334" spans="1:10" x14ac:dyDescent="0.25">
      <c r="A2334" s="216" t="s">
        <v>631</v>
      </c>
      <c r="B2334" s="45" t="str">
        <f>VLOOKUP(Tabela12[[#This Row],[Painel]],Tabela13[],2,0)</f>
        <v>30LV</v>
      </c>
      <c r="C2334" s="45" t="s">
        <v>1632</v>
      </c>
      <c r="D2334" s="21" t="s">
        <v>1954</v>
      </c>
      <c r="E2334" s="21">
        <v>25</v>
      </c>
      <c r="F2334" s="27" t="str">
        <f>Tabela12[[#This Row],[Régua]]&amp;" ("&amp;Tabela12[[#This Row],[Born]]&amp;")"</f>
        <v>TB-26 (25)</v>
      </c>
      <c r="G2334" s="27">
        <f>LEN(Tabela12[[#This Row],[Anilha]])</f>
        <v>10</v>
      </c>
      <c r="H2334" s="21">
        <f>VLOOKUP(Tabela12[[#This Row],[Tag Cabo]],BD!A:F,6,0)</f>
        <v>1.5</v>
      </c>
      <c r="I2334" s="27" t="s">
        <v>1705</v>
      </c>
      <c r="J2334" s="27" t="s">
        <v>1706</v>
      </c>
    </row>
    <row r="2335" spans="1:10" x14ac:dyDescent="0.25">
      <c r="A2335" s="216" t="s">
        <v>631</v>
      </c>
      <c r="B2335" s="45" t="str">
        <f>VLOOKUP(Tabela12[[#This Row],[Painel]],Tabela13[],2,0)</f>
        <v>30LV</v>
      </c>
      <c r="C2335" s="45" t="s">
        <v>1632</v>
      </c>
      <c r="D2335" s="21" t="s">
        <v>1954</v>
      </c>
      <c r="E2335" s="21">
        <v>26</v>
      </c>
      <c r="F2335" s="27" t="str">
        <f>Tabela12[[#This Row],[Régua]]&amp;" ("&amp;Tabela12[[#This Row],[Born]]&amp;")"</f>
        <v>TB-26 (26)</v>
      </c>
      <c r="G2335" s="27">
        <f>LEN(Tabela12[[#This Row],[Anilha]])</f>
        <v>10</v>
      </c>
      <c r="H2335" s="21">
        <f>VLOOKUP(Tabela12[[#This Row],[Tag Cabo]],BD!A:F,6,0)</f>
        <v>1.5</v>
      </c>
      <c r="I2335" s="27" t="s">
        <v>1705</v>
      </c>
      <c r="J2335" s="27" t="s">
        <v>1706</v>
      </c>
    </row>
    <row r="2336" spans="1:10" x14ac:dyDescent="0.25">
      <c r="A2336" s="21" t="s">
        <v>631</v>
      </c>
      <c r="B2336" s="391" t="str">
        <f>VLOOKUP(Tabela12[[#This Row],[Painel]],Tabela13[],2,0)</f>
        <v>30LV</v>
      </c>
      <c r="C2336" s="391" t="s">
        <v>1632</v>
      </c>
      <c r="D2336" s="21" t="s">
        <v>1954</v>
      </c>
      <c r="E2336" s="21">
        <v>28</v>
      </c>
      <c r="F2336" s="27" t="str">
        <f>Tabela12[[#This Row],[Régua]]&amp;" ("&amp;Tabela12[[#This Row],[Born]]&amp;")"</f>
        <v>TB-26 (28)</v>
      </c>
      <c r="G2336" s="27">
        <f>LEN(Tabela12[[#This Row],[Anilha]])</f>
        <v>10</v>
      </c>
      <c r="H2336" s="21">
        <f>VLOOKUP(Tabela12[[#This Row],[Tag Cabo]],BD!A:F,6,0)</f>
        <v>1.5</v>
      </c>
      <c r="I2336" s="27" t="s">
        <v>1705</v>
      </c>
      <c r="J2336" s="27" t="s">
        <v>1706</v>
      </c>
    </row>
    <row r="2337" spans="1:10" x14ac:dyDescent="0.25">
      <c r="A2337" s="216" t="s">
        <v>631</v>
      </c>
      <c r="B2337" s="45" t="str">
        <f>VLOOKUP(Tabela12[[#This Row],[Painel]],Tabela13[],2,0)</f>
        <v>30LV</v>
      </c>
      <c r="C2337" s="45" t="s">
        <v>1632</v>
      </c>
      <c r="D2337" s="21" t="s">
        <v>1954</v>
      </c>
      <c r="E2337" s="21">
        <v>29</v>
      </c>
      <c r="F2337" s="27" t="str">
        <f>Tabela12[[#This Row],[Régua]]&amp;" ("&amp;Tabela12[[#This Row],[Born]]&amp;")"</f>
        <v>TB-26 (29)</v>
      </c>
      <c r="G2337" s="27">
        <f>LEN(Tabela12[[#This Row],[Anilha]])</f>
        <v>10</v>
      </c>
      <c r="H2337" s="21">
        <f>VLOOKUP(Tabela12[[#This Row],[Tag Cabo]],BD!A:F,6,0)</f>
        <v>1.5</v>
      </c>
      <c r="I2337" s="27" t="s">
        <v>1705</v>
      </c>
      <c r="J2337" s="27" t="s">
        <v>1706</v>
      </c>
    </row>
    <row r="2338" spans="1:10" x14ac:dyDescent="0.25">
      <c r="A2338" s="216" t="s">
        <v>631</v>
      </c>
      <c r="B2338" s="45" t="str">
        <f>VLOOKUP(Tabela12[[#This Row],[Painel]],Tabela13[],2,0)</f>
        <v>30LV</v>
      </c>
      <c r="C2338" s="45" t="s">
        <v>1632</v>
      </c>
      <c r="D2338" s="21" t="s">
        <v>1954</v>
      </c>
      <c r="E2338" s="21">
        <v>31</v>
      </c>
      <c r="F2338" s="27" t="str">
        <f>Tabela12[[#This Row],[Régua]]&amp;" ("&amp;Tabela12[[#This Row],[Born]]&amp;")"</f>
        <v>TB-26 (31)</v>
      </c>
      <c r="G2338" s="27">
        <f>LEN(Tabela12[[#This Row],[Anilha]])</f>
        <v>10</v>
      </c>
      <c r="H2338" s="21">
        <f>VLOOKUP(Tabela12[[#This Row],[Tag Cabo]],BD!A:F,6,0)</f>
        <v>1.5</v>
      </c>
      <c r="I2338" s="27" t="s">
        <v>1705</v>
      </c>
      <c r="J2338" s="27" t="s">
        <v>1706</v>
      </c>
    </row>
    <row r="2339" spans="1:10" x14ac:dyDescent="0.25">
      <c r="A2339" s="216" t="s">
        <v>631</v>
      </c>
      <c r="B2339" s="45" t="str">
        <f>VLOOKUP(Tabela12[[#This Row],[Painel]],Tabela13[],2,0)</f>
        <v>30LV</v>
      </c>
      <c r="C2339" s="45" t="s">
        <v>1632</v>
      </c>
      <c r="D2339" s="21" t="s">
        <v>1954</v>
      </c>
      <c r="E2339" s="21">
        <v>32</v>
      </c>
      <c r="F2339" s="27" t="str">
        <f>Tabela12[[#This Row],[Régua]]&amp;" ("&amp;Tabela12[[#This Row],[Born]]&amp;")"</f>
        <v>TB-26 (32)</v>
      </c>
      <c r="G2339" s="27">
        <f>LEN(Tabela12[[#This Row],[Anilha]])</f>
        <v>10</v>
      </c>
      <c r="H2339" s="21">
        <f>VLOOKUP(Tabela12[[#This Row],[Tag Cabo]],BD!A:F,6,0)</f>
        <v>1.5</v>
      </c>
      <c r="I2339" s="27" t="s">
        <v>1705</v>
      </c>
      <c r="J2339" s="27" t="s">
        <v>1706</v>
      </c>
    </row>
    <row r="2340" spans="1:10" x14ac:dyDescent="0.25">
      <c r="A2340" s="216" t="s">
        <v>631</v>
      </c>
      <c r="B2340" s="45" t="str">
        <f>VLOOKUP(Tabela12[[#This Row],[Painel]],Tabela13[],2,0)</f>
        <v>7HV</v>
      </c>
      <c r="C2340" s="45" t="s">
        <v>1588</v>
      </c>
      <c r="D2340" s="21" t="s">
        <v>2018</v>
      </c>
      <c r="E2340" s="21" t="s">
        <v>2019</v>
      </c>
      <c r="F2340" s="27" t="str">
        <f>Tabela12[[#This Row],[Régua]]&amp;" ("&amp;Tabela12[[#This Row],[Born]]&amp;")"</f>
        <v>X-993 (201A)</v>
      </c>
      <c r="G2340" s="27">
        <f>LEN(Tabela12[[#This Row],[Anilha]])</f>
        <v>12</v>
      </c>
      <c r="H2340" s="21">
        <f>VLOOKUP(Tabela12[[#This Row],[Tag Cabo]],BD!A:F,6,0)</f>
        <v>1.5</v>
      </c>
      <c r="I2340" s="27" t="s">
        <v>1705</v>
      </c>
      <c r="J2340" s="27" t="s">
        <v>1706</v>
      </c>
    </row>
    <row r="2341" spans="1:10" x14ac:dyDescent="0.25">
      <c r="A2341" s="21" t="s">
        <v>631</v>
      </c>
      <c r="B2341" s="391" t="str">
        <f>VLOOKUP(Tabela12[[#This Row],[Painel]],Tabela13[],2,0)</f>
        <v>7HV</v>
      </c>
      <c r="C2341" s="391" t="s">
        <v>1588</v>
      </c>
      <c r="D2341" s="21" t="s">
        <v>2018</v>
      </c>
      <c r="E2341" s="21" t="s">
        <v>2020</v>
      </c>
      <c r="F2341" s="27" t="str">
        <f>Tabela12[[#This Row],[Régua]]&amp;" ("&amp;Tabela12[[#This Row],[Born]]&amp;")"</f>
        <v>X-993 (201B)</v>
      </c>
      <c r="G2341" s="27">
        <f>LEN(Tabela12[[#This Row],[Anilha]])</f>
        <v>12</v>
      </c>
      <c r="H2341" s="21">
        <f>VLOOKUP(Tabela12[[#This Row],[Tag Cabo]],BD!A:F,6,0)</f>
        <v>1.5</v>
      </c>
      <c r="I2341" s="27" t="s">
        <v>1705</v>
      </c>
      <c r="J2341" s="27" t="s">
        <v>1706</v>
      </c>
    </row>
    <row r="2342" spans="1:10" x14ac:dyDescent="0.25">
      <c r="A2342" s="216" t="s">
        <v>631</v>
      </c>
      <c r="B2342" s="45" t="str">
        <f>VLOOKUP(Tabela12[[#This Row],[Painel]],Tabela13[],2,0)</f>
        <v>7HV</v>
      </c>
      <c r="C2342" s="45" t="s">
        <v>1588</v>
      </c>
      <c r="D2342" s="21" t="s">
        <v>2018</v>
      </c>
      <c r="E2342" s="21" t="s">
        <v>2021</v>
      </c>
      <c r="F2342" s="27" t="str">
        <f>Tabela12[[#This Row],[Régua]]&amp;" ("&amp;Tabela12[[#This Row],[Born]]&amp;")"</f>
        <v>X-993 (201C)</v>
      </c>
      <c r="G2342" s="27">
        <f>LEN(Tabela12[[#This Row],[Anilha]])</f>
        <v>12</v>
      </c>
      <c r="H2342" s="21">
        <f>VLOOKUP(Tabela12[[#This Row],[Tag Cabo]],BD!A:F,6,0)</f>
        <v>1.5</v>
      </c>
      <c r="I2342" s="27" t="s">
        <v>1705</v>
      </c>
      <c r="J2342" s="27" t="s">
        <v>1706</v>
      </c>
    </row>
    <row r="2343" spans="1:10" x14ac:dyDescent="0.25">
      <c r="A2343" s="216" t="s">
        <v>631</v>
      </c>
      <c r="B2343" s="45" t="str">
        <f>VLOOKUP(Tabela12[[#This Row],[Painel]],Tabela13[],2,0)</f>
        <v>7HV</v>
      </c>
      <c r="C2343" s="45" t="s">
        <v>1588</v>
      </c>
      <c r="D2343" s="21" t="s">
        <v>2018</v>
      </c>
      <c r="E2343" s="21" t="s">
        <v>2022</v>
      </c>
      <c r="F2343" s="27" t="str">
        <f>Tabela12[[#This Row],[Régua]]&amp;" ("&amp;Tabela12[[#This Row],[Born]]&amp;")"</f>
        <v>X-993 (201D)</v>
      </c>
      <c r="G2343" s="27">
        <f>LEN(Tabela12[[#This Row],[Anilha]])</f>
        <v>12</v>
      </c>
      <c r="H2343" s="21">
        <f>VLOOKUP(Tabela12[[#This Row],[Tag Cabo]],BD!A:F,6,0)</f>
        <v>1.5</v>
      </c>
      <c r="I2343" s="27" t="s">
        <v>1705</v>
      </c>
      <c r="J2343" s="27" t="s">
        <v>1706</v>
      </c>
    </row>
    <row r="2344" spans="1:10" x14ac:dyDescent="0.25">
      <c r="A2344" s="216" t="s">
        <v>631</v>
      </c>
      <c r="B2344" s="45" t="str">
        <f>VLOOKUP(Tabela12[[#This Row],[Painel]],Tabela13[],2,0)</f>
        <v>7HV</v>
      </c>
      <c r="C2344" s="45" t="s">
        <v>1588</v>
      </c>
      <c r="D2344" s="21" t="s">
        <v>2018</v>
      </c>
      <c r="E2344" s="21" t="s">
        <v>2023</v>
      </c>
      <c r="F2344" s="27" t="str">
        <f>Tabela12[[#This Row],[Régua]]&amp;" ("&amp;Tabela12[[#This Row],[Born]]&amp;")"</f>
        <v>X-993 (202A)</v>
      </c>
      <c r="G2344" s="27">
        <f>LEN(Tabela12[[#This Row],[Anilha]])</f>
        <v>12</v>
      </c>
      <c r="H2344" s="21">
        <f>VLOOKUP(Tabela12[[#This Row],[Tag Cabo]],BD!A:F,6,0)</f>
        <v>1.5</v>
      </c>
      <c r="I2344" s="27" t="s">
        <v>1705</v>
      </c>
      <c r="J2344" s="27" t="s">
        <v>1706</v>
      </c>
    </row>
    <row r="2345" spans="1:10" x14ac:dyDescent="0.25">
      <c r="A2345" s="216" t="s">
        <v>631</v>
      </c>
      <c r="B2345" s="45" t="str">
        <f>VLOOKUP(Tabela12[[#This Row],[Painel]],Tabela13[],2,0)</f>
        <v>7HV</v>
      </c>
      <c r="C2345" s="45" t="s">
        <v>1588</v>
      </c>
      <c r="D2345" s="21" t="s">
        <v>2018</v>
      </c>
      <c r="E2345" s="21" t="s">
        <v>2024</v>
      </c>
      <c r="F2345" s="27" t="str">
        <f>Tabela12[[#This Row],[Régua]]&amp;" ("&amp;Tabela12[[#This Row],[Born]]&amp;")"</f>
        <v>X-993 (202B)</v>
      </c>
      <c r="G2345" s="27">
        <f>LEN(Tabela12[[#This Row],[Anilha]])</f>
        <v>12</v>
      </c>
      <c r="H2345" s="21">
        <f>VLOOKUP(Tabela12[[#This Row],[Tag Cabo]],BD!A:F,6,0)</f>
        <v>1.5</v>
      </c>
      <c r="I2345" s="27" t="s">
        <v>1705</v>
      </c>
      <c r="J2345" s="27" t="s">
        <v>1706</v>
      </c>
    </row>
    <row r="2346" spans="1:10" x14ac:dyDescent="0.25">
      <c r="A2346" s="21" t="s">
        <v>631</v>
      </c>
      <c r="B2346" s="391" t="str">
        <f>VLOOKUP(Tabela12[[#This Row],[Painel]],Tabela13[],2,0)</f>
        <v>7HV</v>
      </c>
      <c r="C2346" s="391" t="s">
        <v>1588</v>
      </c>
      <c r="D2346" s="21" t="s">
        <v>2018</v>
      </c>
      <c r="E2346" s="21" t="s">
        <v>2025</v>
      </c>
      <c r="F2346" s="27" t="str">
        <f>Tabela12[[#This Row],[Régua]]&amp;" ("&amp;Tabela12[[#This Row],[Born]]&amp;")"</f>
        <v>X-993 (202C)</v>
      </c>
      <c r="G2346" s="27">
        <f>LEN(Tabela12[[#This Row],[Anilha]])</f>
        <v>12</v>
      </c>
      <c r="H2346" s="21">
        <f>VLOOKUP(Tabela12[[#This Row],[Tag Cabo]],BD!A:F,6,0)</f>
        <v>1.5</v>
      </c>
      <c r="I2346" s="27" t="s">
        <v>1705</v>
      </c>
      <c r="J2346" s="27" t="s">
        <v>1706</v>
      </c>
    </row>
    <row r="2347" spans="1:10" x14ac:dyDescent="0.25">
      <c r="A2347" s="216" t="s">
        <v>631</v>
      </c>
      <c r="B2347" s="45" t="str">
        <f>VLOOKUP(Tabela12[[#This Row],[Painel]],Tabela13[],2,0)</f>
        <v>7HV</v>
      </c>
      <c r="C2347" s="45" t="s">
        <v>1588</v>
      </c>
      <c r="D2347" s="21" t="s">
        <v>2018</v>
      </c>
      <c r="E2347" s="21" t="s">
        <v>2026</v>
      </c>
      <c r="F2347" s="27" t="str">
        <f>Tabela12[[#This Row],[Régua]]&amp;" ("&amp;Tabela12[[#This Row],[Born]]&amp;")"</f>
        <v>X-993 (202D)</v>
      </c>
      <c r="G2347" s="27">
        <f>LEN(Tabela12[[#This Row],[Anilha]])</f>
        <v>12</v>
      </c>
      <c r="H2347" s="21">
        <f>VLOOKUP(Tabela12[[#This Row],[Tag Cabo]],BD!A:F,6,0)</f>
        <v>1.5</v>
      </c>
      <c r="I2347" s="27" t="s">
        <v>1705</v>
      </c>
      <c r="J2347" s="27" t="s">
        <v>1706</v>
      </c>
    </row>
    <row r="2348" spans="1:10" x14ac:dyDescent="0.25">
      <c r="A2348" s="216" t="s">
        <v>631</v>
      </c>
      <c r="B2348" s="45" t="str">
        <f>VLOOKUP(Tabela12[[#This Row],[Painel]],Tabela13[],2,0)</f>
        <v>7HV</v>
      </c>
      <c r="C2348" s="45" t="s">
        <v>1588</v>
      </c>
      <c r="D2348" s="21" t="s">
        <v>2018</v>
      </c>
      <c r="E2348" s="21" t="s">
        <v>2027</v>
      </c>
      <c r="F2348" s="27" t="str">
        <f>Tabela12[[#This Row],[Régua]]&amp;" ("&amp;Tabela12[[#This Row],[Born]]&amp;")"</f>
        <v>X-993 (203A)</v>
      </c>
      <c r="G2348" s="27">
        <f>LEN(Tabela12[[#This Row],[Anilha]])</f>
        <v>12</v>
      </c>
      <c r="H2348" s="21">
        <f>VLOOKUP(Tabela12[[#This Row],[Tag Cabo]],BD!A:F,6,0)</f>
        <v>1.5</v>
      </c>
      <c r="I2348" s="27" t="s">
        <v>1705</v>
      </c>
      <c r="J2348" s="27" t="s">
        <v>1706</v>
      </c>
    </row>
    <row r="2349" spans="1:10" x14ac:dyDescent="0.25">
      <c r="A2349" s="216" t="s">
        <v>631</v>
      </c>
      <c r="B2349" s="45" t="str">
        <f>VLOOKUP(Tabela12[[#This Row],[Painel]],Tabela13[],2,0)</f>
        <v>7HV</v>
      </c>
      <c r="C2349" s="45" t="s">
        <v>1588</v>
      </c>
      <c r="D2349" s="21" t="s">
        <v>2018</v>
      </c>
      <c r="E2349" s="21" t="s">
        <v>2028</v>
      </c>
      <c r="F2349" s="27" t="str">
        <f>Tabela12[[#This Row],[Régua]]&amp;" ("&amp;Tabela12[[#This Row],[Born]]&amp;")"</f>
        <v>X-993 (203B)</v>
      </c>
      <c r="G2349" s="27">
        <f>LEN(Tabela12[[#This Row],[Anilha]])</f>
        <v>12</v>
      </c>
      <c r="H2349" s="21">
        <f>VLOOKUP(Tabela12[[#This Row],[Tag Cabo]],BD!A:F,6,0)</f>
        <v>1.5</v>
      </c>
      <c r="I2349" s="27" t="s">
        <v>1705</v>
      </c>
      <c r="J2349" s="27" t="s">
        <v>1706</v>
      </c>
    </row>
    <row r="2350" spans="1:10" x14ac:dyDescent="0.25">
      <c r="A2350" s="216" t="s">
        <v>631</v>
      </c>
      <c r="B2350" s="45" t="str">
        <f>VLOOKUP(Tabela12[[#This Row],[Painel]],Tabela13[],2,0)</f>
        <v>7HV</v>
      </c>
      <c r="C2350" s="45" t="s">
        <v>1588</v>
      </c>
      <c r="D2350" s="21" t="s">
        <v>2018</v>
      </c>
      <c r="E2350" s="21" t="s">
        <v>2029</v>
      </c>
      <c r="F2350" s="27" t="str">
        <f>Tabela12[[#This Row],[Régua]]&amp;" ("&amp;Tabela12[[#This Row],[Born]]&amp;")"</f>
        <v>X-993 (203C)</v>
      </c>
      <c r="G2350" s="27">
        <f>LEN(Tabela12[[#This Row],[Anilha]])</f>
        <v>12</v>
      </c>
      <c r="H2350" s="21">
        <f>VLOOKUP(Tabela12[[#This Row],[Tag Cabo]],BD!A:F,6,0)</f>
        <v>1.5</v>
      </c>
      <c r="I2350" s="27" t="s">
        <v>1705</v>
      </c>
      <c r="J2350" s="27" t="s">
        <v>1706</v>
      </c>
    </row>
    <row r="2351" spans="1:10" x14ac:dyDescent="0.25">
      <c r="A2351" s="21" t="s">
        <v>631</v>
      </c>
      <c r="B2351" s="391" t="str">
        <f>VLOOKUP(Tabela12[[#This Row],[Painel]],Tabela13[],2,0)</f>
        <v>7HV</v>
      </c>
      <c r="C2351" s="391" t="s">
        <v>1588</v>
      </c>
      <c r="D2351" s="21" t="s">
        <v>2018</v>
      </c>
      <c r="E2351" s="21" t="s">
        <v>2030</v>
      </c>
      <c r="F2351" s="27" t="str">
        <f>Tabela12[[#This Row],[Régua]]&amp;" ("&amp;Tabela12[[#This Row],[Born]]&amp;")"</f>
        <v>X-993 (203D)</v>
      </c>
      <c r="G2351" s="27">
        <f>LEN(Tabela12[[#This Row],[Anilha]])</f>
        <v>12</v>
      </c>
      <c r="H2351" s="21">
        <f>VLOOKUP(Tabela12[[#This Row],[Tag Cabo]],BD!A:F,6,0)</f>
        <v>1.5</v>
      </c>
      <c r="I2351" s="27" t="s">
        <v>1705</v>
      </c>
      <c r="J2351" s="27" t="s">
        <v>1706</v>
      </c>
    </row>
    <row r="2352" spans="1:10" x14ac:dyDescent="0.25">
      <c r="A2352" s="216" t="s">
        <v>631</v>
      </c>
      <c r="B2352" s="45" t="str">
        <f>VLOOKUP(Tabela12[[#This Row],[Painel]],Tabela13[],2,0)</f>
        <v>7HV</v>
      </c>
      <c r="C2352" s="45" t="s">
        <v>1588</v>
      </c>
      <c r="D2352" s="21" t="s">
        <v>2018</v>
      </c>
      <c r="E2352" s="21" t="s">
        <v>2031</v>
      </c>
      <c r="F2352" s="27" t="str">
        <f>Tabela12[[#This Row],[Régua]]&amp;" ("&amp;Tabela12[[#This Row],[Born]]&amp;")"</f>
        <v>X-993 (204A)</v>
      </c>
      <c r="G2352" s="27">
        <f>LEN(Tabela12[[#This Row],[Anilha]])</f>
        <v>12</v>
      </c>
      <c r="H2352" s="21">
        <f>VLOOKUP(Tabela12[[#This Row],[Tag Cabo]],BD!A:F,6,0)</f>
        <v>1.5</v>
      </c>
      <c r="I2352" s="27" t="s">
        <v>1705</v>
      </c>
      <c r="J2352" s="27" t="s">
        <v>1706</v>
      </c>
    </row>
    <row r="2353" spans="1:10" x14ac:dyDescent="0.25">
      <c r="A2353" s="216" t="s">
        <v>631</v>
      </c>
      <c r="B2353" s="45" t="str">
        <f>VLOOKUP(Tabela12[[#This Row],[Painel]],Tabela13[],2,0)</f>
        <v>7HV</v>
      </c>
      <c r="C2353" s="45" t="s">
        <v>1588</v>
      </c>
      <c r="D2353" s="21" t="s">
        <v>2018</v>
      </c>
      <c r="E2353" s="21" t="s">
        <v>2032</v>
      </c>
      <c r="F2353" s="27" t="str">
        <f>Tabela12[[#This Row],[Régua]]&amp;" ("&amp;Tabela12[[#This Row],[Born]]&amp;")"</f>
        <v>X-993 (204B)</v>
      </c>
      <c r="G2353" s="27">
        <f>LEN(Tabela12[[#This Row],[Anilha]])</f>
        <v>12</v>
      </c>
      <c r="H2353" s="21">
        <f>VLOOKUP(Tabela12[[#This Row],[Tag Cabo]],BD!A:F,6,0)</f>
        <v>1.5</v>
      </c>
      <c r="I2353" s="27" t="s">
        <v>1705</v>
      </c>
      <c r="J2353" s="27" t="s">
        <v>1706</v>
      </c>
    </row>
    <row r="2354" spans="1:10" x14ac:dyDescent="0.25">
      <c r="A2354" s="216" t="s">
        <v>631</v>
      </c>
      <c r="B2354" s="45" t="str">
        <f>VLOOKUP(Tabela12[[#This Row],[Painel]],Tabela13[],2,0)</f>
        <v>7HV</v>
      </c>
      <c r="C2354" s="45" t="s">
        <v>1588</v>
      </c>
      <c r="D2354" s="21" t="s">
        <v>2018</v>
      </c>
      <c r="E2354" s="21" t="s">
        <v>2033</v>
      </c>
      <c r="F2354" s="27" t="str">
        <f>Tabela12[[#This Row],[Régua]]&amp;" ("&amp;Tabela12[[#This Row],[Born]]&amp;")"</f>
        <v>X-993 (231A)</v>
      </c>
      <c r="G2354" s="27">
        <f>LEN(Tabela12[[#This Row],[Anilha]])</f>
        <v>12</v>
      </c>
      <c r="H2354" s="21">
        <f>VLOOKUP(Tabela12[[#This Row],[Tag Cabo]],BD!A:F,6,0)</f>
        <v>1.5</v>
      </c>
      <c r="I2354" s="27" t="s">
        <v>1705</v>
      </c>
      <c r="J2354" s="27" t="s">
        <v>1706</v>
      </c>
    </row>
    <row r="2355" spans="1:10" x14ac:dyDescent="0.25">
      <c r="A2355" s="216" t="s">
        <v>631</v>
      </c>
      <c r="B2355" s="45" t="str">
        <f>VLOOKUP(Tabela12[[#This Row],[Painel]],Tabela13[],2,0)</f>
        <v>7HV</v>
      </c>
      <c r="C2355" s="45" t="s">
        <v>1588</v>
      </c>
      <c r="D2355" s="21" t="s">
        <v>2018</v>
      </c>
      <c r="E2355" s="21" t="s">
        <v>2034</v>
      </c>
      <c r="F2355" s="27" t="str">
        <f>Tabela12[[#This Row],[Régua]]&amp;" ("&amp;Tabela12[[#This Row],[Born]]&amp;")"</f>
        <v>X-993 (231B)</v>
      </c>
      <c r="G2355" s="27">
        <f>LEN(Tabela12[[#This Row],[Anilha]])</f>
        <v>12</v>
      </c>
      <c r="H2355" s="21">
        <f>VLOOKUP(Tabela12[[#This Row],[Tag Cabo]],BD!A:F,6,0)</f>
        <v>1.5</v>
      </c>
      <c r="I2355" s="27" t="s">
        <v>1705</v>
      </c>
      <c r="J2355" s="27" t="s">
        <v>1706</v>
      </c>
    </row>
    <row r="2356" spans="1:10" x14ac:dyDescent="0.25">
      <c r="A2356" s="21" t="s">
        <v>631</v>
      </c>
      <c r="B2356" s="391" t="str">
        <f>VLOOKUP(Tabela12[[#This Row],[Painel]],Tabela13[],2,0)</f>
        <v>7HV</v>
      </c>
      <c r="C2356" s="391" t="s">
        <v>1588</v>
      </c>
      <c r="D2356" s="21" t="s">
        <v>2018</v>
      </c>
      <c r="E2356" s="21" t="s">
        <v>2035</v>
      </c>
      <c r="F2356" s="27" t="str">
        <f>Tabela12[[#This Row],[Régua]]&amp;" ("&amp;Tabela12[[#This Row],[Born]]&amp;")"</f>
        <v>X-993 (231C)</v>
      </c>
      <c r="G2356" s="27">
        <f>LEN(Tabela12[[#This Row],[Anilha]])</f>
        <v>12</v>
      </c>
      <c r="H2356" s="21">
        <f>VLOOKUP(Tabela12[[#This Row],[Tag Cabo]],BD!A:F,6,0)</f>
        <v>1.5</v>
      </c>
      <c r="I2356" s="27" t="s">
        <v>1705</v>
      </c>
      <c r="J2356" s="27" t="s">
        <v>1706</v>
      </c>
    </row>
    <row r="2357" spans="1:10" x14ac:dyDescent="0.25">
      <c r="A2357" s="216" t="s">
        <v>631</v>
      </c>
      <c r="B2357" s="45" t="str">
        <f>VLOOKUP(Tabela12[[#This Row],[Painel]],Tabela13[],2,0)</f>
        <v>7HV</v>
      </c>
      <c r="C2357" s="45" t="s">
        <v>1588</v>
      </c>
      <c r="D2357" s="21" t="s">
        <v>2018</v>
      </c>
      <c r="E2357" s="21" t="s">
        <v>2036</v>
      </c>
      <c r="F2357" s="27" t="str">
        <f>Tabela12[[#This Row],[Régua]]&amp;" ("&amp;Tabela12[[#This Row],[Born]]&amp;")"</f>
        <v>X-993 (231D)</v>
      </c>
      <c r="G2357" s="27">
        <f>LEN(Tabela12[[#This Row],[Anilha]])</f>
        <v>12</v>
      </c>
      <c r="H2357" s="21">
        <f>VLOOKUP(Tabela12[[#This Row],[Tag Cabo]],BD!A:F,6,0)</f>
        <v>1.5</v>
      </c>
      <c r="I2357" s="27" t="s">
        <v>1705</v>
      </c>
      <c r="J2357" s="27" t="s">
        <v>1706</v>
      </c>
    </row>
    <row r="2358" spans="1:10" x14ac:dyDescent="0.25">
      <c r="A2358" s="216" t="s">
        <v>631</v>
      </c>
      <c r="B2358" s="45" t="str">
        <f>VLOOKUP(Tabela12[[#This Row],[Painel]],Tabela13[],2,0)</f>
        <v>7HV</v>
      </c>
      <c r="C2358" s="45" t="s">
        <v>1588</v>
      </c>
      <c r="D2358" s="21" t="s">
        <v>2037</v>
      </c>
      <c r="E2358" s="21" t="s">
        <v>2038</v>
      </c>
      <c r="F2358" s="27" t="str">
        <f>Tabela12[[#This Row],[Régua]]&amp;" ("&amp;Tabela12[[#This Row],[Born]]&amp;")"</f>
        <v>X-995 (206A)</v>
      </c>
      <c r="G2358" s="27">
        <f>LEN(Tabela12[[#This Row],[Anilha]])</f>
        <v>12</v>
      </c>
      <c r="H2358" s="21">
        <f>VLOOKUP(Tabela12[[#This Row],[Tag Cabo]],BD!A:F,6,0)</f>
        <v>1.5</v>
      </c>
      <c r="I2358" s="27" t="s">
        <v>1705</v>
      </c>
      <c r="J2358" s="27" t="s">
        <v>1706</v>
      </c>
    </row>
    <row r="2359" spans="1:10" x14ac:dyDescent="0.25">
      <c r="A2359" s="216" t="s">
        <v>631</v>
      </c>
      <c r="B2359" s="45" t="str">
        <f>VLOOKUP(Tabela12[[#This Row],[Painel]],Tabela13[],2,0)</f>
        <v>7HV</v>
      </c>
      <c r="C2359" s="45" t="s">
        <v>1588</v>
      </c>
      <c r="D2359" s="21" t="s">
        <v>2037</v>
      </c>
      <c r="E2359" s="21" t="s">
        <v>2039</v>
      </c>
      <c r="F2359" s="27" t="str">
        <f>Tabela12[[#This Row],[Régua]]&amp;" ("&amp;Tabela12[[#This Row],[Born]]&amp;")"</f>
        <v>X-995 (206B)</v>
      </c>
      <c r="G2359" s="27">
        <f>LEN(Tabela12[[#This Row],[Anilha]])</f>
        <v>12</v>
      </c>
      <c r="H2359" s="21">
        <f>VLOOKUP(Tabela12[[#This Row],[Tag Cabo]],BD!A:F,6,0)</f>
        <v>1.5</v>
      </c>
      <c r="I2359" s="27" t="s">
        <v>1705</v>
      </c>
      <c r="J2359" s="27" t="s">
        <v>1706</v>
      </c>
    </row>
    <row r="2360" spans="1:10" x14ac:dyDescent="0.25">
      <c r="A2360" s="21" t="s">
        <v>631</v>
      </c>
      <c r="B2360" s="391" t="str">
        <f>VLOOKUP(Tabela12[[#This Row],[Painel]],Tabela13[],2,0)</f>
        <v>7HV</v>
      </c>
      <c r="C2360" s="391" t="s">
        <v>1588</v>
      </c>
      <c r="D2360" s="21" t="s">
        <v>2051</v>
      </c>
      <c r="E2360" s="21" t="s">
        <v>2041</v>
      </c>
      <c r="F2360" s="27" t="str">
        <f>Tabela12[[#This Row],[Régua]]&amp;" ("&amp;Tabela12[[#This Row],[Born]]&amp;")"</f>
        <v>X-05.A (04C)</v>
      </c>
      <c r="G2360" s="27">
        <f>LEN(Tabela12[[#This Row],[Anilha]])</f>
        <v>12</v>
      </c>
      <c r="H2360" s="21">
        <f>VLOOKUP(Tabela12[[#This Row],[Tag Cabo]],BD!A:F,6,0)</f>
        <v>1.5</v>
      </c>
      <c r="I2360" s="27" t="s">
        <v>1705</v>
      </c>
      <c r="J2360" s="27" t="s">
        <v>1706</v>
      </c>
    </row>
    <row r="2361" spans="1:10" x14ac:dyDescent="0.25">
      <c r="A2361" s="216" t="s">
        <v>631</v>
      </c>
      <c r="B2361" s="45" t="str">
        <f>VLOOKUP(Tabela12[[#This Row],[Painel]],Tabela13[],2,0)</f>
        <v>7HV</v>
      </c>
      <c r="C2361" s="45" t="s">
        <v>1588</v>
      </c>
      <c r="D2361" s="21" t="s">
        <v>2051</v>
      </c>
      <c r="E2361" s="21" t="s">
        <v>2042</v>
      </c>
      <c r="F2361" s="27" t="str">
        <f>Tabela12[[#This Row],[Régua]]&amp;" ("&amp;Tabela12[[#This Row],[Born]]&amp;")"</f>
        <v>X-05.A (04D)</v>
      </c>
      <c r="G2361" s="27">
        <f>LEN(Tabela12[[#This Row],[Anilha]])</f>
        <v>12</v>
      </c>
      <c r="H2361" s="21">
        <f>VLOOKUP(Tabela12[[#This Row],[Tag Cabo]],BD!A:F,6,0)</f>
        <v>1.5</v>
      </c>
      <c r="I2361" s="27" t="s">
        <v>1705</v>
      </c>
      <c r="J2361" s="27" t="s">
        <v>1706</v>
      </c>
    </row>
    <row r="2362" spans="1:10" x14ac:dyDescent="0.25">
      <c r="A2362" s="216" t="s">
        <v>633</v>
      </c>
      <c r="B2362" s="45" t="str">
        <f>VLOOKUP(Tabela12[[#This Row],[Painel]],Tabela13[],2,0)</f>
        <v>7HV</v>
      </c>
      <c r="C2362" s="45" t="s">
        <v>1589</v>
      </c>
      <c r="D2362" s="21" t="s">
        <v>1985</v>
      </c>
      <c r="E2362" s="21" t="s">
        <v>2001</v>
      </c>
      <c r="F2362" s="27" t="str">
        <f>Tabela12[[#This Row],[Régua]]&amp;" ("&amp;Tabela12[[#This Row],[Born]]&amp;")"</f>
        <v>X993 (401.1/A)</v>
      </c>
      <c r="G2362" s="27">
        <f>LEN(Tabela12[[#This Row],[Anilha]])</f>
        <v>14</v>
      </c>
      <c r="H2362" s="21">
        <f>VLOOKUP(Tabela12[[#This Row],[Tag Cabo]],BD!A:F,6,0)</f>
        <v>1</v>
      </c>
      <c r="I2362" s="27" t="s">
        <v>1705</v>
      </c>
      <c r="J2362" s="27" t="s">
        <v>1706</v>
      </c>
    </row>
    <row r="2363" spans="1:10" x14ac:dyDescent="0.25">
      <c r="A2363" s="216" t="s">
        <v>633</v>
      </c>
      <c r="B2363" s="45" t="str">
        <f>VLOOKUP(Tabela12[[#This Row],[Painel]],Tabela13[],2,0)</f>
        <v>7HV</v>
      </c>
      <c r="C2363" s="45" t="s">
        <v>1589</v>
      </c>
      <c r="D2363" s="21" t="s">
        <v>1985</v>
      </c>
      <c r="E2363" s="21" t="s">
        <v>2002</v>
      </c>
      <c r="F2363" s="27" t="str">
        <f>Tabela12[[#This Row],[Régua]]&amp;" ("&amp;Tabela12[[#This Row],[Born]]&amp;")"</f>
        <v>X993 (401.1/B)</v>
      </c>
      <c r="G2363" s="27">
        <f>LEN(Tabela12[[#This Row],[Anilha]])</f>
        <v>14</v>
      </c>
      <c r="H2363" s="21">
        <f>VLOOKUP(Tabela12[[#This Row],[Tag Cabo]],BD!A:F,6,0)</f>
        <v>1</v>
      </c>
      <c r="I2363" s="27" t="s">
        <v>1705</v>
      </c>
      <c r="J2363" s="27" t="s">
        <v>1706</v>
      </c>
    </row>
    <row r="2364" spans="1:10" x14ac:dyDescent="0.25">
      <c r="A2364" s="216" t="s">
        <v>633</v>
      </c>
      <c r="B2364" s="45" t="str">
        <f>VLOOKUP(Tabela12[[#This Row],[Painel]],Tabela13[],2,0)</f>
        <v>7HV</v>
      </c>
      <c r="C2364" s="45" t="s">
        <v>1589</v>
      </c>
      <c r="D2364" s="21" t="s">
        <v>1985</v>
      </c>
      <c r="E2364" s="21" t="s">
        <v>2052</v>
      </c>
      <c r="F2364" s="27" t="str">
        <f>Tabela12[[#This Row],[Régua]]&amp;" ("&amp;Tabela12[[#This Row],[Born]]&amp;")"</f>
        <v>X993 (401.1/C)</v>
      </c>
      <c r="G2364" s="27">
        <f>LEN(Tabela12[[#This Row],[Anilha]])</f>
        <v>14</v>
      </c>
      <c r="H2364" s="21">
        <f>VLOOKUP(Tabela12[[#This Row],[Tag Cabo]],BD!A:F,6,0)</f>
        <v>1</v>
      </c>
      <c r="I2364" s="27" t="s">
        <v>1705</v>
      </c>
      <c r="J2364" s="27" t="s">
        <v>1706</v>
      </c>
    </row>
    <row r="2365" spans="1:10" x14ac:dyDescent="0.25">
      <c r="A2365" s="216" t="s">
        <v>633</v>
      </c>
      <c r="B2365" s="45" t="str">
        <f>VLOOKUP(Tabela12[[#This Row],[Painel]],Tabela13[],2,0)</f>
        <v>7HV</v>
      </c>
      <c r="C2365" s="45" t="s">
        <v>1589</v>
      </c>
      <c r="D2365" s="21" t="s">
        <v>1985</v>
      </c>
      <c r="E2365" s="21" t="s">
        <v>2053</v>
      </c>
      <c r="F2365" s="27" t="str">
        <f>Tabela12[[#This Row],[Régua]]&amp;" ("&amp;Tabela12[[#This Row],[Born]]&amp;")"</f>
        <v>X993 (401.1/D)</v>
      </c>
      <c r="G2365" s="27">
        <f>LEN(Tabela12[[#This Row],[Anilha]])</f>
        <v>14</v>
      </c>
      <c r="H2365" s="21">
        <f>VLOOKUP(Tabela12[[#This Row],[Tag Cabo]],BD!A:F,6,0)</f>
        <v>1</v>
      </c>
      <c r="I2365" s="27" t="s">
        <v>1705</v>
      </c>
      <c r="J2365" s="27" t="s">
        <v>1706</v>
      </c>
    </row>
    <row r="2366" spans="1:10" x14ac:dyDescent="0.25">
      <c r="A2366" s="216" t="s">
        <v>633</v>
      </c>
      <c r="B2366" s="45" t="str">
        <f>VLOOKUP(Tabela12[[#This Row],[Painel]],Tabela13[],2,0)</f>
        <v>30LV</v>
      </c>
      <c r="C2366" s="45" t="s">
        <v>1632</v>
      </c>
      <c r="D2366" s="21" t="s">
        <v>1953</v>
      </c>
      <c r="E2366" s="21" t="s">
        <v>2054</v>
      </c>
      <c r="F2366" s="27" t="str">
        <f>Tabela12[[#This Row],[Régua]]&amp;" ("&amp;Tabela12[[#This Row],[Born]]&amp;")"</f>
        <v>TB-08 (402.2/A)</v>
      </c>
      <c r="G2366" s="27">
        <f>LEN(Tabela12[[#This Row],[Anilha]])</f>
        <v>15</v>
      </c>
      <c r="H2366" s="21">
        <f>VLOOKUP(Tabela12[[#This Row],[Tag Cabo]],BD!A:F,6,0)</f>
        <v>1</v>
      </c>
      <c r="I2366" s="27" t="s">
        <v>1705</v>
      </c>
      <c r="J2366" s="27" t="s">
        <v>1706</v>
      </c>
    </row>
    <row r="2367" spans="1:10" x14ac:dyDescent="0.25">
      <c r="A2367" s="216" t="s">
        <v>633</v>
      </c>
      <c r="B2367" s="45" t="str">
        <f>VLOOKUP(Tabela12[[#This Row],[Painel]],Tabela13[],2,0)</f>
        <v>30LV</v>
      </c>
      <c r="C2367" s="45" t="s">
        <v>1632</v>
      </c>
      <c r="D2367" s="21" t="s">
        <v>1953</v>
      </c>
      <c r="E2367" s="21" t="s">
        <v>2055</v>
      </c>
      <c r="F2367" s="27" t="str">
        <f>Tabela12[[#This Row],[Régua]]&amp;" ("&amp;Tabela12[[#This Row],[Born]]&amp;")"</f>
        <v>TB-08 (402.2/B)</v>
      </c>
      <c r="G2367" s="27">
        <f>LEN(Tabela12[[#This Row],[Anilha]])</f>
        <v>15</v>
      </c>
      <c r="H2367" s="21">
        <f>VLOOKUP(Tabela12[[#This Row],[Tag Cabo]],BD!A:F,6,0)</f>
        <v>1</v>
      </c>
      <c r="I2367" s="27" t="s">
        <v>1705</v>
      </c>
      <c r="J2367" s="27" t="s">
        <v>1706</v>
      </c>
    </row>
    <row r="2368" spans="1:10" x14ac:dyDescent="0.25">
      <c r="A2368" s="216" t="s">
        <v>633</v>
      </c>
      <c r="B2368" s="45" t="str">
        <f>VLOOKUP(Tabela12[[#This Row],[Painel]],Tabela13[],2,0)</f>
        <v>30LV</v>
      </c>
      <c r="C2368" s="45" t="s">
        <v>1632</v>
      </c>
      <c r="D2368" s="21" t="s">
        <v>1953</v>
      </c>
      <c r="E2368" s="21" t="s">
        <v>2056</v>
      </c>
      <c r="F2368" s="27" t="str">
        <f>Tabela12[[#This Row],[Régua]]&amp;" ("&amp;Tabela12[[#This Row],[Born]]&amp;")"</f>
        <v>TB-08 (402.2/C)</v>
      </c>
      <c r="G2368" s="27">
        <f>LEN(Tabela12[[#This Row],[Anilha]])</f>
        <v>15</v>
      </c>
      <c r="H2368" s="21">
        <f>VLOOKUP(Tabela12[[#This Row],[Tag Cabo]],BD!A:F,6,0)</f>
        <v>1</v>
      </c>
      <c r="I2368" s="27" t="s">
        <v>1705</v>
      </c>
      <c r="J2368" s="27" t="s">
        <v>1706</v>
      </c>
    </row>
    <row r="2369" spans="1:10" x14ac:dyDescent="0.25">
      <c r="A2369" s="216" t="s">
        <v>633</v>
      </c>
      <c r="B2369" s="45" t="str">
        <f>VLOOKUP(Tabela12[[#This Row],[Painel]],Tabela13[],2,0)</f>
        <v>30LV</v>
      </c>
      <c r="C2369" s="45" t="s">
        <v>1632</v>
      </c>
      <c r="D2369" s="21" t="s">
        <v>1953</v>
      </c>
      <c r="E2369" s="21" t="s">
        <v>2057</v>
      </c>
      <c r="F2369" s="27" t="str">
        <f>Tabela12[[#This Row],[Régua]]&amp;" ("&amp;Tabela12[[#This Row],[Born]]&amp;")"</f>
        <v>TB-08 (402.2/D)</v>
      </c>
      <c r="G2369" s="27">
        <f>LEN(Tabela12[[#This Row],[Anilha]])</f>
        <v>15</v>
      </c>
      <c r="H2369" s="21">
        <f>VLOOKUP(Tabela12[[#This Row],[Tag Cabo]],BD!A:F,6,0)</f>
        <v>1</v>
      </c>
      <c r="I2369" s="27" t="s">
        <v>1705</v>
      </c>
      <c r="J2369" s="27" t="s">
        <v>1706</v>
      </c>
    </row>
    <row r="2370" spans="1:10" x14ac:dyDescent="0.25">
      <c r="A2370" s="216" t="s">
        <v>379</v>
      </c>
      <c r="B2370" s="45" t="str">
        <f>VLOOKUP(Tabela12[[#This Row],[Painel]],Tabela13[],2,0)</f>
        <v>7HV</v>
      </c>
      <c r="C2370" s="45" t="s">
        <v>1589</v>
      </c>
      <c r="D2370" s="21" t="s">
        <v>2040</v>
      </c>
      <c r="E2370" s="21" t="s">
        <v>1983</v>
      </c>
      <c r="F2370" s="27" t="str">
        <f>Tabela12[[#This Row],[Régua]]&amp;" ("&amp;Tabela12[[#This Row],[Born]]&amp;")"</f>
        <v>X-051.A (01A)</v>
      </c>
      <c r="G2370" s="27">
        <f>LEN(Tabela12[[#This Row],[Anilha]])</f>
        <v>13</v>
      </c>
      <c r="H2370" s="21">
        <f>VLOOKUP(Tabela12[[#This Row],[Tag Cabo]],BD!A:F,6,0)</f>
        <v>1.5</v>
      </c>
      <c r="I2370" s="27" t="s">
        <v>1705</v>
      </c>
      <c r="J2370" s="27" t="s">
        <v>1706</v>
      </c>
    </row>
    <row r="2371" spans="1:10" x14ac:dyDescent="0.25">
      <c r="A2371" s="216" t="s">
        <v>379</v>
      </c>
      <c r="B2371" s="45" t="str">
        <f>VLOOKUP(Tabela12[[#This Row],[Painel]],Tabela13[],2,0)</f>
        <v>7HV</v>
      </c>
      <c r="C2371" s="45" t="s">
        <v>1589</v>
      </c>
      <c r="D2371" s="21" t="s">
        <v>2040</v>
      </c>
      <c r="E2371" s="21" t="s">
        <v>1984</v>
      </c>
      <c r="F2371" s="27" t="str">
        <f>Tabela12[[#This Row],[Régua]]&amp;" ("&amp;Tabela12[[#This Row],[Born]]&amp;")"</f>
        <v>X-051.A (01C)</v>
      </c>
      <c r="G2371" s="27">
        <f>LEN(Tabela12[[#This Row],[Anilha]])</f>
        <v>13</v>
      </c>
      <c r="H2371" s="21">
        <f>VLOOKUP(Tabela12[[#This Row],[Tag Cabo]],BD!A:F,6,0)</f>
        <v>1.5</v>
      </c>
      <c r="I2371" s="27" t="s">
        <v>1705</v>
      </c>
      <c r="J2371" s="27" t="s">
        <v>1706</v>
      </c>
    </row>
    <row r="2372" spans="1:10" x14ac:dyDescent="0.25">
      <c r="A2372" s="216" t="s">
        <v>379</v>
      </c>
      <c r="B2372" s="45" t="str">
        <f>VLOOKUP(Tabela12[[#This Row],[Painel]],Tabela13[],2,0)</f>
        <v>7HV</v>
      </c>
      <c r="C2372" s="45" t="s">
        <v>1589</v>
      </c>
      <c r="D2372" s="21" t="s">
        <v>2040</v>
      </c>
      <c r="E2372" s="21" t="s">
        <v>1986</v>
      </c>
      <c r="F2372" s="27" t="str">
        <f>Tabela12[[#This Row],[Régua]]&amp;" ("&amp;Tabela12[[#This Row],[Born]]&amp;")"</f>
        <v>X-051.A (02A)</v>
      </c>
      <c r="G2372" s="27">
        <f>LEN(Tabela12[[#This Row],[Anilha]])</f>
        <v>13</v>
      </c>
      <c r="H2372" s="21">
        <f>VLOOKUP(Tabela12[[#This Row],[Tag Cabo]],BD!A:F,6,0)</f>
        <v>1.5</v>
      </c>
      <c r="I2372" s="27" t="s">
        <v>1705</v>
      </c>
      <c r="J2372" s="27" t="s">
        <v>1706</v>
      </c>
    </row>
    <row r="2373" spans="1:10" x14ac:dyDescent="0.25">
      <c r="A2373" s="216" t="s">
        <v>379</v>
      </c>
      <c r="B2373" s="45" t="str">
        <f>VLOOKUP(Tabela12[[#This Row],[Painel]],Tabela13[],2,0)</f>
        <v>7HV</v>
      </c>
      <c r="C2373" s="45" t="s">
        <v>1589</v>
      </c>
      <c r="D2373" s="21" t="s">
        <v>2040</v>
      </c>
      <c r="E2373" s="21" t="s">
        <v>1987</v>
      </c>
      <c r="F2373" s="27" t="str">
        <f>Tabela12[[#This Row],[Régua]]&amp;" ("&amp;Tabela12[[#This Row],[Born]]&amp;")"</f>
        <v>X-051.A (02B)</v>
      </c>
      <c r="G2373" s="27">
        <f>LEN(Tabela12[[#This Row],[Anilha]])</f>
        <v>13</v>
      </c>
      <c r="H2373" s="21">
        <f>VLOOKUP(Tabela12[[#This Row],[Tag Cabo]],BD!A:F,6,0)</f>
        <v>1.5</v>
      </c>
      <c r="I2373" s="27" t="s">
        <v>1705</v>
      </c>
      <c r="J2373" s="27" t="s">
        <v>1706</v>
      </c>
    </row>
    <row r="2374" spans="1:10" x14ac:dyDescent="0.25">
      <c r="A2374" s="216" t="s">
        <v>379</v>
      </c>
      <c r="B2374" s="45" t="str">
        <f>VLOOKUP(Tabela12[[#This Row],[Painel]],Tabela13[],2,0)</f>
        <v>7HV</v>
      </c>
      <c r="C2374" s="45" t="s">
        <v>1589</v>
      </c>
      <c r="D2374" s="21" t="s">
        <v>2018</v>
      </c>
      <c r="E2374" s="21" t="s">
        <v>1988</v>
      </c>
      <c r="F2374" s="27" t="str">
        <f>Tabela12[[#This Row],[Régua]]&amp;" ("&amp;Tabela12[[#This Row],[Born]]&amp;")"</f>
        <v>X-993 (101.1A)</v>
      </c>
      <c r="G2374" s="27">
        <f>LEN(Tabela12[[#This Row],[Anilha]])</f>
        <v>14</v>
      </c>
      <c r="H2374" s="21">
        <f>VLOOKUP(Tabela12[[#This Row],[Tag Cabo]],BD!A:F,6,0)</f>
        <v>1.5</v>
      </c>
      <c r="I2374" s="27" t="s">
        <v>1705</v>
      </c>
      <c r="J2374" s="27" t="s">
        <v>1706</v>
      </c>
    </row>
    <row r="2375" spans="1:10" x14ac:dyDescent="0.25">
      <c r="A2375" s="216" t="s">
        <v>379</v>
      </c>
      <c r="B2375" s="45" t="str">
        <f>VLOOKUP(Tabela12[[#This Row],[Painel]],Tabela13[],2,0)</f>
        <v>7HV</v>
      </c>
      <c r="C2375" s="45" t="s">
        <v>1589</v>
      </c>
      <c r="D2375" s="21" t="s">
        <v>2018</v>
      </c>
      <c r="E2375" s="21" t="s">
        <v>1989</v>
      </c>
      <c r="F2375" s="27" t="str">
        <f>Tabela12[[#This Row],[Régua]]&amp;" ("&amp;Tabela12[[#This Row],[Born]]&amp;")"</f>
        <v>X-993 (101.1B)</v>
      </c>
      <c r="G2375" s="27">
        <f>LEN(Tabela12[[#This Row],[Anilha]])</f>
        <v>14</v>
      </c>
      <c r="H2375" s="21">
        <f>VLOOKUP(Tabela12[[#This Row],[Tag Cabo]],BD!A:F,6,0)</f>
        <v>1.5</v>
      </c>
      <c r="I2375" s="27" t="s">
        <v>1705</v>
      </c>
      <c r="J2375" s="27" t="s">
        <v>1706</v>
      </c>
    </row>
    <row r="2376" spans="1:10" x14ac:dyDescent="0.25">
      <c r="A2376" s="216" t="s">
        <v>379</v>
      </c>
      <c r="B2376" s="45" t="str">
        <f>VLOOKUP(Tabela12[[#This Row],[Painel]],Tabela13[],2,0)</f>
        <v>7HV</v>
      </c>
      <c r="C2376" s="45" t="s">
        <v>1589</v>
      </c>
      <c r="D2376" s="21" t="s">
        <v>2018</v>
      </c>
      <c r="E2376" s="21" t="s">
        <v>1990</v>
      </c>
      <c r="F2376" s="27" t="str">
        <f>Tabela12[[#This Row],[Régua]]&amp;" ("&amp;Tabela12[[#This Row],[Born]]&amp;")"</f>
        <v>X-993 (101.2A)</v>
      </c>
      <c r="G2376" s="27">
        <f>LEN(Tabela12[[#This Row],[Anilha]])</f>
        <v>14</v>
      </c>
      <c r="H2376" s="21">
        <f>VLOOKUP(Tabela12[[#This Row],[Tag Cabo]],BD!A:F,6,0)</f>
        <v>1.5</v>
      </c>
      <c r="I2376" s="27" t="s">
        <v>1705</v>
      </c>
      <c r="J2376" s="27" t="s">
        <v>1706</v>
      </c>
    </row>
    <row r="2377" spans="1:10" x14ac:dyDescent="0.25">
      <c r="A2377" s="216" t="s">
        <v>379</v>
      </c>
      <c r="B2377" s="45" t="str">
        <f>VLOOKUP(Tabela12[[#This Row],[Painel]],Tabela13[],2,0)</f>
        <v>7HV</v>
      </c>
      <c r="C2377" s="45" t="s">
        <v>1589</v>
      </c>
      <c r="D2377" s="21" t="s">
        <v>2018</v>
      </c>
      <c r="E2377" s="21" t="s">
        <v>1991</v>
      </c>
      <c r="F2377" s="27" t="str">
        <f>Tabela12[[#This Row],[Régua]]&amp;" ("&amp;Tabela12[[#This Row],[Born]]&amp;")"</f>
        <v>X-993 (101.2B)</v>
      </c>
      <c r="G2377" s="27">
        <f>LEN(Tabela12[[#This Row],[Anilha]])</f>
        <v>14</v>
      </c>
      <c r="H2377" s="21">
        <f>VLOOKUP(Tabela12[[#This Row],[Tag Cabo]],BD!A:F,6,0)</f>
        <v>1.5</v>
      </c>
      <c r="I2377" s="27" t="s">
        <v>1705</v>
      </c>
      <c r="J2377" s="27" t="s">
        <v>1706</v>
      </c>
    </row>
    <row r="2378" spans="1:10" x14ac:dyDescent="0.25">
      <c r="A2378" s="216" t="s">
        <v>379</v>
      </c>
      <c r="B2378" s="45" t="str">
        <f>VLOOKUP(Tabela12[[#This Row],[Painel]],Tabela13[],2,0)</f>
        <v>7HV</v>
      </c>
      <c r="C2378" s="45" t="s">
        <v>1589</v>
      </c>
      <c r="D2378" s="21" t="s">
        <v>2018</v>
      </c>
      <c r="E2378" s="21" t="s">
        <v>1992</v>
      </c>
      <c r="F2378" s="27" t="str">
        <f>Tabela12[[#This Row],[Régua]]&amp;" ("&amp;Tabela12[[#This Row],[Born]]&amp;")"</f>
        <v>X-993 (101.1C)</v>
      </c>
      <c r="G2378" s="27">
        <f>LEN(Tabela12[[#This Row],[Anilha]])</f>
        <v>14</v>
      </c>
      <c r="H2378" s="21">
        <f>VLOOKUP(Tabela12[[#This Row],[Tag Cabo]],BD!A:F,6,0)</f>
        <v>1.5</v>
      </c>
      <c r="I2378" s="27" t="s">
        <v>1705</v>
      </c>
      <c r="J2378" s="27" t="s">
        <v>1706</v>
      </c>
    </row>
    <row r="2379" spans="1:10" x14ac:dyDescent="0.25">
      <c r="A2379" s="216" t="s">
        <v>379</v>
      </c>
      <c r="B2379" s="45" t="str">
        <f>VLOOKUP(Tabela12[[#This Row],[Painel]],Tabela13[],2,0)</f>
        <v>7HV</v>
      </c>
      <c r="C2379" s="45" t="s">
        <v>1589</v>
      </c>
      <c r="D2379" s="21" t="s">
        <v>2018</v>
      </c>
      <c r="E2379" s="21" t="s">
        <v>1993</v>
      </c>
      <c r="F2379" s="27" t="str">
        <f>Tabela12[[#This Row],[Régua]]&amp;" ("&amp;Tabela12[[#This Row],[Born]]&amp;")"</f>
        <v>X-993 (101.1D)</v>
      </c>
      <c r="G2379" s="27">
        <f>LEN(Tabela12[[#This Row],[Anilha]])</f>
        <v>14</v>
      </c>
      <c r="H2379" s="21">
        <f>VLOOKUP(Tabela12[[#This Row],[Tag Cabo]],BD!A:F,6,0)</f>
        <v>1.5</v>
      </c>
      <c r="I2379" s="27" t="s">
        <v>1705</v>
      </c>
      <c r="J2379" s="27" t="s">
        <v>1706</v>
      </c>
    </row>
    <row r="2380" spans="1:10" x14ac:dyDescent="0.25">
      <c r="A2380" s="216" t="s">
        <v>379</v>
      </c>
      <c r="B2380" s="45" t="str">
        <f>VLOOKUP(Tabela12[[#This Row],[Painel]],Tabela13[],2,0)</f>
        <v>7HV</v>
      </c>
      <c r="C2380" s="45" t="s">
        <v>1589</v>
      </c>
      <c r="D2380" s="21" t="s">
        <v>2018</v>
      </c>
      <c r="E2380" s="21" t="s">
        <v>1995</v>
      </c>
      <c r="F2380" s="27" t="str">
        <f>Tabela12[[#This Row],[Régua]]&amp;" ("&amp;Tabela12[[#This Row],[Born]]&amp;")"</f>
        <v>X-993 (101.2D)</v>
      </c>
      <c r="G2380" s="27">
        <f>LEN(Tabela12[[#This Row],[Anilha]])</f>
        <v>14</v>
      </c>
      <c r="H2380" s="21">
        <f>VLOOKUP(Tabela12[[#This Row],[Tag Cabo]],BD!A:F,6,0)</f>
        <v>1.5</v>
      </c>
      <c r="I2380" s="27" t="s">
        <v>1705</v>
      </c>
      <c r="J2380" s="27" t="s">
        <v>1706</v>
      </c>
    </row>
    <row r="2381" spans="1:10" x14ac:dyDescent="0.25">
      <c r="A2381" s="216" t="s">
        <v>379</v>
      </c>
      <c r="B2381" s="45" t="str">
        <f>VLOOKUP(Tabela12[[#This Row],[Painel]],Tabela13[],2,0)</f>
        <v>7HV</v>
      </c>
      <c r="C2381" s="45" t="s">
        <v>1589</v>
      </c>
      <c r="D2381" s="21" t="s">
        <v>2018</v>
      </c>
      <c r="E2381" s="21" t="s">
        <v>1994</v>
      </c>
      <c r="F2381" s="27" t="str">
        <f>Tabela12[[#This Row],[Régua]]&amp;" ("&amp;Tabela12[[#This Row],[Born]]&amp;")"</f>
        <v>X-993 (101.2C)</v>
      </c>
      <c r="G2381" s="27">
        <f>LEN(Tabela12[[#This Row],[Anilha]])</f>
        <v>14</v>
      </c>
      <c r="H2381" s="21">
        <f>VLOOKUP(Tabela12[[#This Row],[Tag Cabo]],BD!A:F,6,0)</f>
        <v>1.5</v>
      </c>
      <c r="I2381" s="27" t="s">
        <v>1705</v>
      </c>
      <c r="J2381" s="27" t="s">
        <v>1706</v>
      </c>
    </row>
    <row r="2382" spans="1:10" x14ac:dyDescent="0.25">
      <c r="A2382" s="216" t="s">
        <v>379</v>
      </c>
      <c r="B2382" s="45" t="str">
        <f>VLOOKUP(Tabela12[[#This Row],[Painel]],Tabela13[],2,0)</f>
        <v>7HV</v>
      </c>
      <c r="C2382" s="45" t="s">
        <v>1589</v>
      </c>
      <c r="D2382" s="21" t="s">
        <v>2018</v>
      </c>
      <c r="E2382" s="21" t="s">
        <v>1996</v>
      </c>
      <c r="F2382" s="27" t="str">
        <f>Tabela12[[#This Row],[Régua]]&amp;" ("&amp;Tabela12[[#This Row],[Born]]&amp;")"</f>
        <v>X-993 (102.1A)</v>
      </c>
      <c r="G2382" s="27">
        <f>LEN(Tabela12[[#This Row],[Anilha]])</f>
        <v>14</v>
      </c>
      <c r="H2382" s="21">
        <f>VLOOKUP(Tabela12[[#This Row],[Tag Cabo]],BD!A:F,6,0)</f>
        <v>1.5</v>
      </c>
      <c r="I2382" s="27" t="s">
        <v>1705</v>
      </c>
      <c r="J2382" s="27" t="s">
        <v>1706</v>
      </c>
    </row>
    <row r="2383" spans="1:10" x14ac:dyDescent="0.25">
      <c r="A2383" s="216" t="s">
        <v>379</v>
      </c>
      <c r="B2383" s="45" t="str">
        <f>VLOOKUP(Tabela12[[#This Row],[Painel]],Tabela13[],2,0)</f>
        <v>7HV</v>
      </c>
      <c r="C2383" s="45" t="s">
        <v>1589</v>
      </c>
      <c r="D2383" s="21" t="s">
        <v>2018</v>
      </c>
      <c r="E2383" s="21" t="s">
        <v>1997</v>
      </c>
      <c r="F2383" s="27" t="str">
        <f>Tabela12[[#This Row],[Régua]]&amp;" ("&amp;Tabela12[[#This Row],[Born]]&amp;")"</f>
        <v>X-993 (102.1B)</v>
      </c>
      <c r="G2383" s="27">
        <f>LEN(Tabela12[[#This Row],[Anilha]])</f>
        <v>14</v>
      </c>
      <c r="H2383" s="21">
        <f>VLOOKUP(Tabela12[[#This Row],[Tag Cabo]],BD!A:F,6,0)</f>
        <v>1.5</v>
      </c>
      <c r="I2383" s="27" t="s">
        <v>1705</v>
      </c>
      <c r="J2383" s="27" t="s">
        <v>1706</v>
      </c>
    </row>
    <row r="2384" spans="1:10" x14ac:dyDescent="0.25">
      <c r="A2384" s="216" t="s">
        <v>379</v>
      </c>
      <c r="B2384" s="45" t="str">
        <f>VLOOKUP(Tabela12[[#This Row],[Painel]],Tabela13[],2,0)</f>
        <v>7HV</v>
      </c>
      <c r="C2384" s="45" t="s">
        <v>1589</v>
      </c>
      <c r="D2384" s="21" t="s">
        <v>2018</v>
      </c>
      <c r="E2384" s="21" t="s">
        <v>1998</v>
      </c>
      <c r="F2384" s="27" t="str">
        <f>Tabela12[[#This Row],[Régua]]&amp;" ("&amp;Tabela12[[#This Row],[Born]]&amp;")"</f>
        <v>X-993 (102.1C)</v>
      </c>
      <c r="G2384" s="27">
        <f>LEN(Tabela12[[#This Row],[Anilha]])</f>
        <v>14</v>
      </c>
      <c r="H2384" s="21">
        <f>VLOOKUP(Tabela12[[#This Row],[Tag Cabo]],BD!A:F,6,0)</f>
        <v>1.5</v>
      </c>
      <c r="I2384" s="27" t="s">
        <v>1705</v>
      </c>
      <c r="J2384" s="27" t="s">
        <v>1706</v>
      </c>
    </row>
    <row r="2385" spans="1:10" x14ac:dyDescent="0.25">
      <c r="A2385" s="216" t="s">
        <v>379</v>
      </c>
      <c r="B2385" s="45" t="str">
        <f>VLOOKUP(Tabela12[[#This Row],[Painel]],Tabela13[],2,0)</f>
        <v>7HV</v>
      </c>
      <c r="C2385" s="45" t="s">
        <v>1589</v>
      </c>
      <c r="D2385" s="21" t="s">
        <v>2018</v>
      </c>
      <c r="E2385" s="21" t="s">
        <v>1999</v>
      </c>
      <c r="F2385" s="27" t="str">
        <f>Tabela12[[#This Row],[Régua]]&amp;" ("&amp;Tabela12[[#This Row],[Born]]&amp;")"</f>
        <v>X-993 (102.1D)</v>
      </c>
      <c r="G2385" s="27">
        <f>LEN(Tabela12[[#This Row],[Anilha]])</f>
        <v>14</v>
      </c>
      <c r="H2385" s="21">
        <f>VLOOKUP(Tabela12[[#This Row],[Tag Cabo]],BD!A:F,6,0)</f>
        <v>1.5</v>
      </c>
      <c r="I2385" s="27" t="s">
        <v>1705</v>
      </c>
      <c r="J2385" s="27" t="s">
        <v>1706</v>
      </c>
    </row>
    <row r="2386" spans="1:10" x14ac:dyDescent="0.25">
      <c r="A2386" s="216" t="s">
        <v>379</v>
      </c>
      <c r="B2386" s="45" t="str">
        <f>VLOOKUP(Tabela12[[#This Row],[Painel]],Tabela13[],2,0)</f>
        <v>30LV</v>
      </c>
      <c r="C2386" s="45" t="s">
        <v>1632</v>
      </c>
      <c r="D2386" s="21" t="s">
        <v>1938</v>
      </c>
      <c r="E2386" s="21">
        <v>1</v>
      </c>
      <c r="F2386" s="27" t="str">
        <f>Tabela12[[#This Row],[Régua]]&amp;" ("&amp;Tabela12[[#This Row],[Born]]&amp;")"</f>
        <v>TB-32 (1)</v>
      </c>
      <c r="G2386" s="27">
        <f>LEN(Tabela12[[#This Row],[Anilha]])</f>
        <v>9</v>
      </c>
      <c r="H2386" s="21">
        <f>VLOOKUP(Tabela12[[#This Row],[Tag Cabo]],BD!A:F,6,0)</f>
        <v>1.5</v>
      </c>
      <c r="I2386" s="27" t="s">
        <v>1705</v>
      </c>
      <c r="J2386" s="27" t="s">
        <v>1706</v>
      </c>
    </row>
    <row r="2387" spans="1:10" x14ac:dyDescent="0.25">
      <c r="A2387" s="216" t="s">
        <v>379</v>
      </c>
      <c r="B2387" s="45" t="str">
        <f>VLOOKUP(Tabela12[[#This Row],[Painel]],Tabela13[],2,0)</f>
        <v>30LV</v>
      </c>
      <c r="C2387" s="45" t="s">
        <v>1632</v>
      </c>
      <c r="D2387" s="21" t="s">
        <v>1938</v>
      </c>
      <c r="E2387" s="21">
        <v>2</v>
      </c>
      <c r="F2387" s="27" t="str">
        <f>Tabela12[[#This Row],[Régua]]&amp;" ("&amp;Tabela12[[#This Row],[Born]]&amp;")"</f>
        <v>TB-32 (2)</v>
      </c>
      <c r="G2387" s="27">
        <f>LEN(Tabela12[[#This Row],[Anilha]])</f>
        <v>9</v>
      </c>
      <c r="H2387" s="21">
        <f>VLOOKUP(Tabela12[[#This Row],[Tag Cabo]],BD!A:F,6,0)</f>
        <v>1.5</v>
      </c>
      <c r="I2387" s="27" t="s">
        <v>1705</v>
      </c>
      <c r="J2387" s="27" t="s">
        <v>1706</v>
      </c>
    </row>
    <row r="2388" spans="1:10" x14ac:dyDescent="0.25">
      <c r="A2388" s="216" t="s">
        <v>379</v>
      </c>
      <c r="B2388" s="45" t="str">
        <f>VLOOKUP(Tabela12[[#This Row],[Painel]],Tabela13[],2,0)</f>
        <v>30LV</v>
      </c>
      <c r="C2388" s="45" t="s">
        <v>1632</v>
      </c>
      <c r="D2388" s="21" t="s">
        <v>1938</v>
      </c>
      <c r="E2388" s="21">
        <v>3</v>
      </c>
      <c r="F2388" s="27" t="str">
        <f>Tabela12[[#This Row],[Régua]]&amp;" ("&amp;Tabela12[[#This Row],[Born]]&amp;")"</f>
        <v>TB-32 (3)</v>
      </c>
      <c r="G2388" s="27">
        <f>LEN(Tabela12[[#This Row],[Anilha]])</f>
        <v>9</v>
      </c>
      <c r="H2388" s="21">
        <f>VLOOKUP(Tabela12[[#This Row],[Tag Cabo]],BD!A:F,6,0)</f>
        <v>1.5</v>
      </c>
      <c r="I2388" s="27" t="s">
        <v>1705</v>
      </c>
      <c r="J2388" s="27" t="s">
        <v>1706</v>
      </c>
    </row>
    <row r="2389" spans="1:10" x14ac:dyDescent="0.25">
      <c r="A2389" s="216" t="s">
        <v>379</v>
      </c>
      <c r="B2389" s="45" t="str">
        <f>VLOOKUP(Tabela12[[#This Row],[Painel]],Tabela13[],2,0)</f>
        <v>30LV</v>
      </c>
      <c r="C2389" s="45" t="s">
        <v>1632</v>
      </c>
      <c r="D2389" s="21" t="s">
        <v>1938</v>
      </c>
      <c r="E2389" s="21">
        <v>4</v>
      </c>
      <c r="F2389" s="27" t="str">
        <f>Tabela12[[#This Row],[Régua]]&amp;" ("&amp;Tabela12[[#This Row],[Born]]&amp;")"</f>
        <v>TB-32 (4)</v>
      </c>
      <c r="G2389" s="27">
        <f>LEN(Tabela12[[#This Row],[Anilha]])</f>
        <v>9</v>
      </c>
      <c r="H2389" s="21">
        <f>VLOOKUP(Tabela12[[#This Row],[Tag Cabo]],BD!A:F,6,0)</f>
        <v>1.5</v>
      </c>
      <c r="I2389" s="27" t="s">
        <v>1705</v>
      </c>
      <c r="J2389" s="27" t="s">
        <v>1706</v>
      </c>
    </row>
    <row r="2390" spans="1:10" x14ac:dyDescent="0.25">
      <c r="A2390" s="216" t="s">
        <v>379</v>
      </c>
      <c r="B2390" s="45" t="str">
        <f>VLOOKUP(Tabela12[[#This Row],[Painel]],Tabela13[],2,0)</f>
        <v>30LV</v>
      </c>
      <c r="C2390" s="45" t="s">
        <v>1632</v>
      </c>
      <c r="D2390" s="21" t="s">
        <v>1938</v>
      </c>
      <c r="E2390" s="21">
        <v>5</v>
      </c>
      <c r="F2390" s="27" t="str">
        <f>Tabela12[[#This Row],[Régua]]&amp;" ("&amp;Tabela12[[#This Row],[Born]]&amp;")"</f>
        <v>TB-32 (5)</v>
      </c>
      <c r="G2390" s="27">
        <f>LEN(Tabela12[[#This Row],[Anilha]])</f>
        <v>9</v>
      </c>
      <c r="H2390" s="21">
        <f>VLOOKUP(Tabela12[[#This Row],[Tag Cabo]],BD!A:F,6,0)</f>
        <v>1.5</v>
      </c>
      <c r="I2390" s="27" t="s">
        <v>1705</v>
      </c>
      <c r="J2390" s="27" t="s">
        <v>1706</v>
      </c>
    </row>
    <row r="2391" spans="1:10" x14ac:dyDescent="0.25">
      <c r="A2391" s="216" t="s">
        <v>379</v>
      </c>
      <c r="B2391" s="45" t="str">
        <f>VLOOKUP(Tabela12[[#This Row],[Painel]],Tabela13[],2,0)</f>
        <v>30LV</v>
      </c>
      <c r="C2391" s="45" t="s">
        <v>1632</v>
      </c>
      <c r="D2391" s="21" t="s">
        <v>1938</v>
      </c>
      <c r="E2391" s="21">
        <v>6</v>
      </c>
      <c r="F2391" s="27" t="str">
        <f>Tabela12[[#This Row],[Régua]]&amp;" ("&amp;Tabela12[[#This Row],[Born]]&amp;")"</f>
        <v>TB-32 (6)</v>
      </c>
      <c r="G2391" s="27">
        <f>LEN(Tabela12[[#This Row],[Anilha]])</f>
        <v>9</v>
      </c>
      <c r="H2391" s="21">
        <f>VLOOKUP(Tabela12[[#This Row],[Tag Cabo]],BD!A:F,6,0)</f>
        <v>1.5</v>
      </c>
      <c r="I2391" s="27" t="s">
        <v>1705</v>
      </c>
      <c r="J2391" s="27" t="s">
        <v>1706</v>
      </c>
    </row>
    <row r="2392" spans="1:10" x14ac:dyDescent="0.25">
      <c r="A2392" s="216" t="s">
        <v>379</v>
      </c>
      <c r="B2392" s="45" t="str">
        <f>VLOOKUP(Tabela12[[#This Row],[Painel]],Tabela13[],2,0)</f>
        <v>30LV</v>
      </c>
      <c r="C2392" s="45" t="s">
        <v>1632</v>
      </c>
      <c r="D2392" s="21" t="s">
        <v>1938</v>
      </c>
      <c r="E2392" s="21">
        <v>7</v>
      </c>
      <c r="F2392" s="27" t="str">
        <f>Tabela12[[#This Row],[Régua]]&amp;" ("&amp;Tabela12[[#This Row],[Born]]&amp;")"</f>
        <v>TB-32 (7)</v>
      </c>
      <c r="G2392" s="27">
        <f>LEN(Tabela12[[#This Row],[Anilha]])</f>
        <v>9</v>
      </c>
      <c r="H2392" s="21">
        <f>VLOOKUP(Tabela12[[#This Row],[Tag Cabo]],BD!A:F,6,0)</f>
        <v>1.5</v>
      </c>
      <c r="I2392" s="27" t="s">
        <v>1705</v>
      </c>
      <c r="J2392" s="27" t="s">
        <v>1706</v>
      </c>
    </row>
    <row r="2393" spans="1:10" x14ac:dyDescent="0.25">
      <c r="A2393" s="216" t="s">
        <v>379</v>
      </c>
      <c r="B2393" s="45" t="str">
        <f>VLOOKUP(Tabela12[[#This Row],[Painel]],Tabela13[],2,0)</f>
        <v>30LV</v>
      </c>
      <c r="C2393" s="45" t="s">
        <v>1632</v>
      </c>
      <c r="D2393" s="21" t="s">
        <v>1938</v>
      </c>
      <c r="E2393" s="21">
        <v>8</v>
      </c>
      <c r="F2393" s="27" t="str">
        <f>Tabela12[[#This Row],[Régua]]&amp;" ("&amp;Tabela12[[#This Row],[Born]]&amp;")"</f>
        <v>TB-32 (8)</v>
      </c>
      <c r="G2393" s="27">
        <f>LEN(Tabela12[[#This Row],[Anilha]])</f>
        <v>9</v>
      </c>
      <c r="H2393" s="21">
        <f>VLOOKUP(Tabela12[[#This Row],[Tag Cabo]],BD!A:F,6,0)</f>
        <v>1.5</v>
      </c>
      <c r="I2393" s="27" t="s">
        <v>1705</v>
      </c>
      <c r="J2393" s="27" t="s">
        <v>1706</v>
      </c>
    </row>
    <row r="2394" spans="1:10" x14ac:dyDescent="0.25">
      <c r="A2394" s="216" t="s">
        <v>379</v>
      </c>
      <c r="B2394" s="45" t="str">
        <f>VLOOKUP(Tabela12[[#This Row],[Painel]],Tabela13[],2,0)</f>
        <v>30LV</v>
      </c>
      <c r="C2394" s="45" t="s">
        <v>1632</v>
      </c>
      <c r="D2394" s="21" t="s">
        <v>1938</v>
      </c>
      <c r="E2394" s="21">
        <v>9</v>
      </c>
      <c r="F2394" s="27" t="str">
        <f>Tabela12[[#This Row],[Régua]]&amp;" ("&amp;Tabela12[[#This Row],[Born]]&amp;")"</f>
        <v>TB-32 (9)</v>
      </c>
      <c r="G2394" s="27">
        <f>LEN(Tabela12[[#This Row],[Anilha]])</f>
        <v>9</v>
      </c>
      <c r="H2394" s="21">
        <f>VLOOKUP(Tabela12[[#This Row],[Tag Cabo]],BD!A:F,6,0)</f>
        <v>1.5</v>
      </c>
      <c r="I2394" s="27" t="s">
        <v>1705</v>
      </c>
      <c r="J2394" s="27" t="s">
        <v>1706</v>
      </c>
    </row>
    <row r="2395" spans="1:10" x14ac:dyDescent="0.25">
      <c r="A2395" s="216" t="s">
        <v>379</v>
      </c>
      <c r="B2395" s="45" t="str">
        <f>VLOOKUP(Tabela12[[#This Row],[Painel]],Tabela13[],2,0)</f>
        <v>30LV</v>
      </c>
      <c r="C2395" s="45" t="s">
        <v>1632</v>
      </c>
      <c r="D2395" s="21" t="s">
        <v>1938</v>
      </c>
      <c r="E2395" s="21">
        <v>10</v>
      </c>
      <c r="F2395" s="27" t="str">
        <f>Tabela12[[#This Row],[Régua]]&amp;" ("&amp;Tabela12[[#This Row],[Born]]&amp;")"</f>
        <v>TB-32 (10)</v>
      </c>
      <c r="G2395" s="27">
        <f>LEN(Tabela12[[#This Row],[Anilha]])</f>
        <v>10</v>
      </c>
      <c r="H2395" s="21">
        <f>VLOOKUP(Tabela12[[#This Row],[Tag Cabo]],BD!A:F,6,0)</f>
        <v>1.5</v>
      </c>
      <c r="I2395" s="27" t="s">
        <v>1705</v>
      </c>
      <c r="J2395" s="27" t="s">
        <v>1706</v>
      </c>
    </row>
    <row r="2396" spans="1:10" x14ac:dyDescent="0.25">
      <c r="A2396" s="216" t="s">
        <v>379</v>
      </c>
      <c r="B2396" s="45" t="str">
        <f>VLOOKUP(Tabela12[[#This Row],[Painel]],Tabela13[],2,0)</f>
        <v>30LV</v>
      </c>
      <c r="C2396" s="45" t="s">
        <v>1632</v>
      </c>
      <c r="D2396" s="21" t="s">
        <v>1938</v>
      </c>
      <c r="E2396" s="21">
        <v>11</v>
      </c>
      <c r="F2396" s="27" t="str">
        <f>Tabela12[[#This Row],[Régua]]&amp;" ("&amp;Tabela12[[#This Row],[Born]]&amp;")"</f>
        <v>TB-32 (11)</v>
      </c>
      <c r="G2396" s="27">
        <f>LEN(Tabela12[[#This Row],[Anilha]])</f>
        <v>10</v>
      </c>
      <c r="H2396" s="21">
        <f>VLOOKUP(Tabela12[[#This Row],[Tag Cabo]],BD!A:F,6,0)</f>
        <v>1.5</v>
      </c>
      <c r="I2396" s="27" t="s">
        <v>1705</v>
      </c>
      <c r="J2396" s="27" t="s">
        <v>1706</v>
      </c>
    </row>
    <row r="2397" spans="1:10" x14ac:dyDescent="0.25">
      <c r="A2397" s="216" t="s">
        <v>379</v>
      </c>
      <c r="B2397" s="45" t="str">
        <f>VLOOKUP(Tabela12[[#This Row],[Painel]],Tabela13[],2,0)</f>
        <v>30LV</v>
      </c>
      <c r="C2397" s="45" t="s">
        <v>1632</v>
      </c>
      <c r="D2397" s="21" t="s">
        <v>1938</v>
      </c>
      <c r="E2397" s="21">
        <v>12</v>
      </c>
      <c r="F2397" s="27" t="str">
        <f>Tabela12[[#This Row],[Régua]]&amp;" ("&amp;Tabela12[[#This Row],[Born]]&amp;")"</f>
        <v>TB-32 (12)</v>
      </c>
      <c r="G2397" s="27">
        <f>LEN(Tabela12[[#This Row],[Anilha]])</f>
        <v>10</v>
      </c>
      <c r="H2397" s="21">
        <f>VLOOKUP(Tabela12[[#This Row],[Tag Cabo]],BD!A:F,6,0)</f>
        <v>1.5</v>
      </c>
      <c r="I2397" s="27" t="s">
        <v>1705</v>
      </c>
      <c r="J2397" s="27" t="s">
        <v>1706</v>
      </c>
    </row>
    <row r="2398" spans="1:10" x14ac:dyDescent="0.25">
      <c r="A2398" s="216" t="s">
        <v>379</v>
      </c>
      <c r="B2398" s="45" t="str">
        <f>VLOOKUP(Tabela12[[#This Row],[Painel]],Tabela13[],2,0)</f>
        <v>30LV</v>
      </c>
      <c r="C2398" s="45" t="s">
        <v>1632</v>
      </c>
      <c r="D2398" s="21" t="s">
        <v>1938</v>
      </c>
      <c r="E2398" s="21">
        <v>13</v>
      </c>
      <c r="F2398" s="27" t="str">
        <f>Tabela12[[#This Row],[Régua]]&amp;" ("&amp;Tabela12[[#This Row],[Born]]&amp;")"</f>
        <v>TB-32 (13)</v>
      </c>
      <c r="G2398" s="27">
        <f>LEN(Tabela12[[#This Row],[Anilha]])</f>
        <v>10</v>
      </c>
      <c r="H2398" s="21">
        <f>VLOOKUP(Tabela12[[#This Row],[Tag Cabo]],BD!A:F,6,0)</f>
        <v>1.5</v>
      </c>
      <c r="I2398" s="27" t="s">
        <v>1705</v>
      </c>
      <c r="J2398" s="27" t="s">
        <v>1706</v>
      </c>
    </row>
    <row r="2399" spans="1:10" x14ac:dyDescent="0.25">
      <c r="A2399" s="216" t="s">
        <v>379</v>
      </c>
      <c r="B2399" s="45" t="str">
        <f>VLOOKUP(Tabela12[[#This Row],[Painel]],Tabela13[],2,0)</f>
        <v>30LV</v>
      </c>
      <c r="C2399" s="45" t="s">
        <v>1632</v>
      </c>
      <c r="D2399" s="21" t="s">
        <v>1938</v>
      </c>
      <c r="E2399" s="21">
        <v>14</v>
      </c>
      <c r="F2399" s="27" t="str">
        <f>Tabela12[[#This Row],[Régua]]&amp;" ("&amp;Tabela12[[#This Row],[Born]]&amp;")"</f>
        <v>TB-32 (14)</v>
      </c>
      <c r="G2399" s="27">
        <f>LEN(Tabela12[[#This Row],[Anilha]])</f>
        <v>10</v>
      </c>
      <c r="H2399" s="21">
        <f>VLOOKUP(Tabela12[[#This Row],[Tag Cabo]],BD!A:F,6,0)</f>
        <v>1.5</v>
      </c>
      <c r="I2399" s="27" t="s">
        <v>1705</v>
      </c>
      <c r="J2399" s="27" t="s">
        <v>1706</v>
      </c>
    </row>
    <row r="2400" spans="1:10" x14ac:dyDescent="0.25">
      <c r="A2400" s="216" t="s">
        <v>379</v>
      </c>
      <c r="B2400" s="45" t="str">
        <f>VLOOKUP(Tabela12[[#This Row],[Painel]],Tabela13[],2,0)</f>
        <v>30LV</v>
      </c>
      <c r="C2400" s="45" t="s">
        <v>1632</v>
      </c>
      <c r="D2400" s="21" t="s">
        <v>1938</v>
      </c>
      <c r="E2400" s="21">
        <v>15</v>
      </c>
      <c r="F2400" s="27" t="str">
        <f>Tabela12[[#This Row],[Régua]]&amp;" ("&amp;Tabela12[[#This Row],[Born]]&amp;")"</f>
        <v>TB-32 (15)</v>
      </c>
      <c r="G2400" s="27">
        <f>LEN(Tabela12[[#This Row],[Anilha]])</f>
        <v>10</v>
      </c>
      <c r="H2400" s="21">
        <f>VLOOKUP(Tabela12[[#This Row],[Tag Cabo]],BD!A:F,6,0)</f>
        <v>1.5</v>
      </c>
      <c r="I2400" s="27" t="s">
        <v>1705</v>
      </c>
      <c r="J2400" s="27" t="s">
        <v>1706</v>
      </c>
    </row>
    <row r="2401" spans="1:10" x14ac:dyDescent="0.25">
      <c r="A2401" s="216" t="s">
        <v>379</v>
      </c>
      <c r="B2401" s="45" t="str">
        <f>VLOOKUP(Tabela12[[#This Row],[Painel]],Tabela13[],2,0)</f>
        <v>30LV</v>
      </c>
      <c r="C2401" s="45" t="s">
        <v>1632</v>
      </c>
      <c r="D2401" s="21" t="s">
        <v>1938</v>
      </c>
      <c r="E2401" s="21">
        <v>16</v>
      </c>
      <c r="F2401" s="27" t="str">
        <f>Tabela12[[#This Row],[Régua]]&amp;" ("&amp;Tabela12[[#This Row],[Born]]&amp;")"</f>
        <v>TB-32 (16)</v>
      </c>
      <c r="G2401" s="27">
        <f>LEN(Tabela12[[#This Row],[Anilha]])</f>
        <v>10</v>
      </c>
      <c r="H2401" s="21">
        <f>VLOOKUP(Tabela12[[#This Row],[Tag Cabo]],BD!A:F,6,0)</f>
        <v>1.5</v>
      </c>
      <c r="I2401" s="27" t="s">
        <v>1705</v>
      </c>
      <c r="J2401" s="27" t="s">
        <v>1706</v>
      </c>
    </row>
    <row r="2402" spans="1:10" x14ac:dyDescent="0.25">
      <c r="A2402" s="216" t="s">
        <v>383</v>
      </c>
      <c r="B2402" s="45" t="str">
        <f>VLOOKUP(Tabela12[[#This Row],[Painel]],Tabela13[],2,0)</f>
        <v>GB-1203</v>
      </c>
      <c r="C2402" s="45" t="s">
        <v>384</v>
      </c>
      <c r="D2402" s="21" t="s">
        <v>384</v>
      </c>
      <c r="E2402" s="21">
        <v>1</v>
      </c>
      <c r="F2402" s="27" t="str">
        <f>Tabela12[[#This Row],[Régua]]&amp;" ("&amp;Tabela12[[#This Row],[Born]]&amp;")"</f>
        <v>EJB-12606X (1)</v>
      </c>
      <c r="G2402" s="27">
        <f>LEN(Tabela12[[#This Row],[Anilha]])</f>
        <v>14</v>
      </c>
      <c r="H2402" s="21">
        <f>VLOOKUP(Tabela12[[#This Row],[Tag Cabo]],BD!A:F,6,0)</f>
        <v>1</v>
      </c>
      <c r="I2402" s="27" t="s">
        <v>1705</v>
      </c>
      <c r="J2402" s="27" t="s">
        <v>1706</v>
      </c>
    </row>
    <row r="2403" spans="1:10" x14ac:dyDescent="0.25">
      <c r="A2403" s="216" t="s">
        <v>383</v>
      </c>
      <c r="B2403" s="45" t="str">
        <f>VLOOKUP(Tabela12[[#This Row],[Painel]],Tabela13[],2,0)</f>
        <v>GB-1203</v>
      </c>
      <c r="C2403" s="45" t="s">
        <v>384</v>
      </c>
      <c r="D2403" s="21" t="s">
        <v>384</v>
      </c>
      <c r="E2403" s="21">
        <v>2</v>
      </c>
      <c r="F2403" s="27" t="str">
        <f>Tabela12[[#This Row],[Régua]]&amp;" ("&amp;Tabela12[[#This Row],[Born]]&amp;")"</f>
        <v>EJB-12606X (2)</v>
      </c>
      <c r="G2403" s="27">
        <f>LEN(Tabela12[[#This Row],[Anilha]])</f>
        <v>14</v>
      </c>
      <c r="H2403" s="21">
        <f>VLOOKUP(Tabela12[[#This Row],[Tag Cabo]],BD!A:F,6,0)</f>
        <v>1</v>
      </c>
      <c r="I2403" s="27" t="s">
        <v>1705</v>
      </c>
      <c r="J2403" s="27" t="s">
        <v>1706</v>
      </c>
    </row>
    <row r="2404" spans="1:10" x14ac:dyDescent="0.25">
      <c r="A2404" s="216" t="s">
        <v>383</v>
      </c>
      <c r="B2404" s="45" t="str">
        <f>VLOOKUP(Tabela12[[#This Row],[Painel]],Tabela13[],2,0)</f>
        <v>GB-1203</v>
      </c>
      <c r="C2404" s="45" t="s">
        <v>384</v>
      </c>
      <c r="D2404" s="21" t="s">
        <v>384</v>
      </c>
      <c r="E2404" s="21">
        <v>4</v>
      </c>
      <c r="F2404" s="27" t="str">
        <f>Tabela12[[#This Row],[Régua]]&amp;" ("&amp;Tabela12[[#This Row],[Born]]&amp;")"</f>
        <v>EJB-12606X (4)</v>
      </c>
      <c r="G2404" s="27">
        <f>LEN(Tabela12[[#This Row],[Anilha]])</f>
        <v>14</v>
      </c>
      <c r="H2404" s="21">
        <f>VLOOKUP(Tabela12[[#This Row],[Tag Cabo]],BD!A:F,6,0)</f>
        <v>1</v>
      </c>
      <c r="I2404" s="27" t="s">
        <v>1705</v>
      </c>
      <c r="J2404" s="27" t="s">
        <v>1706</v>
      </c>
    </row>
    <row r="2405" spans="1:10" x14ac:dyDescent="0.25">
      <c r="A2405" s="216" t="s">
        <v>383</v>
      </c>
      <c r="B2405" s="45" t="str">
        <f>VLOOKUP(Tabela12[[#This Row],[Painel]],Tabela13[],2,0)</f>
        <v>GB-1203</v>
      </c>
      <c r="C2405" s="45" t="s">
        <v>384</v>
      </c>
      <c r="D2405" s="21" t="s">
        <v>384</v>
      </c>
      <c r="E2405" s="21">
        <v>5</v>
      </c>
      <c r="F2405" s="27" t="str">
        <f>Tabela12[[#This Row],[Régua]]&amp;" ("&amp;Tabela12[[#This Row],[Born]]&amp;")"</f>
        <v>EJB-12606X (5)</v>
      </c>
      <c r="G2405" s="27">
        <f>LEN(Tabela12[[#This Row],[Anilha]])</f>
        <v>14</v>
      </c>
      <c r="H2405" s="21">
        <f>VLOOKUP(Tabela12[[#This Row],[Tag Cabo]],BD!A:F,6,0)</f>
        <v>1</v>
      </c>
      <c r="I2405" s="27" t="s">
        <v>1705</v>
      </c>
      <c r="J2405" s="27" t="s">
        <v>1706</v>
      </c>
    </row>
    <row r="2406" spans="1:10" x14ac:dyDescent="0.25">
      <c r="A2406" s="216" t="s">
        <v>383</v>
      </c>
      <c r="B2406" s="45" t="str">
        <f>VLOOKUP(Tabela12[[#This Row],[Painel]],Tabela13[],2,0)</f>
        <v>GB-1203</v>
      </c>
      <c r="C2406" s="45" t="s">
        <v>384</v>
      </c>
      <c r="D2406" s="21" t="s">
        <v>384</v>
      </c>
      <c r="E2406" s="21">
        <v>7</v>
      </c>
      <c r="F2406" s="27" t="str">
        <f>Tabela12[[#This Row],[Régua]]&amp;" ("&amp;Tabela12[[#This Row],[Born]]&amp;")"</f>
        <v>EJB-12606X (7)</v>
      </c>
      <c r="G2406" s="27">
        <f>LEN(Tabela12[[#This Row],[Anilha]])</f>
        <v>14</v>
      </c>
      <c r="H2406" s="21">
        <f>VLOOKUP(Tabela12[[#This Row],[Tag Cabo]],BD!A:F,6,0)</f>
        <v>1</v>
      </c>
      <c r="I2406" s="27" t="s">
        <v>1705</v>
      </c>
      <c r="J2406" s="27" t="s">
        <v>1706</v>
      </c>
    </row>
    <row r="2407" spans="1:10" x14ac:dyDescent="0.25">
      <c r="A2407" s="216" t="s">
        <v>383</v>
      </c>
      <c r="B2407" s="45" t="str">
        <f>VLOOKUP(Tabela12[[#This Row],[Painel]],Tabela13[],2,0)</f>
        <v>GB-1203</v>
      </c>
      <c r="C2407" s="45" t="s">
        <v>384</v>
      </c>
      <c r="D2407" s="21" t="s">
        <v>384</v>
      </c>
      <c r="E2407" s="21">
        <v>8</v>
      </c>
      <c r="F2407" s="27" t="str">
        <f>Tabela12[[#This Row],[Régua]]&amp;" ("&amp;Tabela12[[#This Row],[Born]]&amp;")"</f>
        <v>EJB-12606X (8)</v>
      </c>
      <c r="G2407" s="27">
        <f>LEN(Tabela12[[#This Row],[Anilha]])</f>
        <v>14</v>
      </c>
      <c r="H2407" s="21">
        <f>VLOOKUP(Tabela12[[#This Row],[Tag Cabo]],BD!A:F,6,0)</f>
        <v>1</v>
      </c>
      <c r="I2407" s="27" t="s">
        <v>1705</v>
      </c>
      <c r="J2407" s="27" t="s">
        <v>1706</v>
      </c>
    </row>
    <row r="2408" spans="1:10" x14ac:dyDescent="0.25">
      <c r="A2408" s="216" t="s">
        <v>383</v>
      </c>
      <c r="B2408" s="45" t="str">
        <f>VLOOKUP(Tabela12[[#This Row],[Painel]],Tabela13[],2,0)</f>
        <v>GB-1203</v>
      </c>
      <c r="C2408" s="45" t="s">
        <v>384</v>
      </c>
      <c r="D2408" s="21" t="s">
        <v>384</v>
      </c>
      <c r="E2408" s="21">
        <v>10</v>
      </c>
      <c r="F2408" s="27" t="str">
        <f>Tabela12[[#This Row],[Régua]]&amp;" ("&amp;Tabela12[[#This Row],[Born]]&amp;")"</f>
        <v>EJB-12606X (10)</v>
      </c>
      <c r="G2408" s="27">
        <f>LEN(Tabela12[[#This Row],[Anilha]])</f>
        <v>15</v>
      </c>
      <c r="H2408" s="21">
        <f>VLOOKUP(Tabela12[[#This Row],[Tag Cabo]],BD!A:F,6,0)</f>
        <v>1</v>
      </c>
      <c r="I2408" s="27" t="s">
        <v>1705</v>
      </c>
      <c r="J2408" s="27" t="s">
        <v>1706</v>
      </c>
    </row>
    <row r="2409" spans="1:10" x14ac:dyDescent="0.25">
      <c r="A2409" s="216" t="s">
        <v>383</v>
      </c>
      <c r="B2409" s="45" t="str">
        <f>VLOOKUP(Tabela12[[#This Row],[Painel]],Tabela13[],2,0)</f>
        <v>GB-1203</v>
      </c>
      <c r="C2409" s="45" t="s">
        <v>384</v>
      </c>
      <c r="D2409" s="21" t="s">
        <v>384</v>
      </c>
      <c r="E2409" s="21">
        <v>11</v>
      </c>
      <c r="F2409" s="27" t="str">
        <f>Tabela12[[#This Row],[Régua]]&amp;" ("&amp;Tabela12[[#This Row],[Born]]&amp;")"</f>
        <v>EJB-12606X (11)</v>
      </c>
      <c r="G2409" s="27">
        <f>LEN(Tabela12[[#This Row],[Anilha]])</f>
        <v>15</v>
      </c>
      <c r="H2409" s="21">
        <f>VLOOKUP(Tabela12[[#This Row],[Tag Cabo]],BD!A:F,6,0)</f>
        <v>1</v>
      </c>
      <c r="I2409" s="27" t="s">
        <v>1705</v>
      </c>
      <c r="J2409" s="27" t="s">
        <v>1706</v>
      </c>
    </row>
    <row r="2410" spans="1:10" x14ac:dyDescent="0.25">
      <c r="A2410" s="216" t="s">
        <v>383</v>
      </c>
      <c r="B2410" s="45" t="str">
        <f>VLOOKUP(Tabela12[[#This Row],[Painel]],Tabela13[],2,0)</f>
        <v>GB-1203</v>
      </c>
      <c r="C2410" s="45" t="s">
        <v>384</v>
      </c>
      <c r="D2410" s="21" t="s">
        <v>384</v>
      </c>
      <c r="E2410" s="21">
        <v>13</v>
      </c>
      <c r="F2410" s="27" t="str">
        <f>Tabela12[[#This Row],[Régua]]&amp;" ("&amp;Tabela12[[#This Row],[Born]]&amp;")"</f>
        <v>EJB-12606X (13)</v>
      </c>
      <c r="G2410" s="27">
        <f>LEN(Tabela12[[#This Row],[Anilha]])</f>
        <v>15</v>
      </c>
      <c r="H2410" s="21">
        <f>VLOOKUP(Tabela12[[#This Row],[Tag Cabo]],BD!A:F,6,0)</f>
        <v>1</v>
      </c>
      <c r="I2410" s="27" t="s">
        <v>1705</v>
      </c>
      <c r="J2410" s="27" t="s">
        <v>1706</v>
      </c>
    </row>
    <row r="2411" spans="1:10" x14ac:dyDescent="0.25">
      <c r="A2411" s="216" t="s">
        <v>383</v>
      </c>
      <c r="B2411" s="45" t="str">
        <f>VLOOKUP(Tabela12[[#This Row],[Painel]],Tabela13[],2,0)</f>
        <v>GB-1203</v>
      </c>
      <c r="C2411" s="45" t="s">
        <v>384</v>
      </c>
      <c r="D2411" s="21" t="s">
        <v>384</v>
      </c>
      <c r="E2411" s="21">
        <v>14</v>
      </c>
      <c r="F2411" s="27" t="str">
        <f>Tabela12[[#This Row],[Régua]]&amp;" ("&amp;Tabela12[[#This Row],[Born]]&amp;")"</f>
        <v>EJB-12606X (14)</v>
      </c>
      <c r="G2411" s="27">
        <f>LEN(Tabela12[[#This Row],[Anilha]])</f>
        <v>15</v>
      </c>
      <c r="H2411" s="21">
        <f>VLOOKUP(Tabela12[[#This Row],[Tag Cabo]],BD!A:F,6,0)</f>
        <v>1</v>
      </c>
      <c r="I2411" s="27" t="s">
        <v>1705</v>
      </c>
      <c r="J2411" s="27" t="s">
        <v>1706</v>
      </c>
    </row>
    <row r="2412" spans="1:10" x14ac:dyDescent="0.25">
      <c r="A2412" s="216" t="s">
        <v>383</v>
      </c>
      <c r="B2412" s="45" t="str">
        <f>VLOOKUP(Tabela12[[#This Row],[Painel]],Tabela13[],2,0)</f>
        <v>GB-1203</v>
      </c>
      <c r="C2412" s="45" t="s">
        <v>384</v>
      </c>
      <c r="D2412" s="21" t="s">
        <v>384</v>
      </c>
      <c r="E2412" s="21">
        <v>16</v>
      </c>
      <c r="F2412" s="27" t="str">
        <f>Tabela12[[#This Row],[Régua]]&amp;" ("&amp;Tabela12[[#This Row],[Born]]&amp;")"</f>
        <v>EJB-12606X (16)</v>
      </c>
      <c r="G2412" s="27">
        <f>LEN(Tabela12[[#This Row],[Anilha]])</f>
        <v>15</v>
      </c>
      <c r="H2412" s="21">
        <f>VLOOKUP(Tabela12[[#This Row],[Tag Cabo]],BD!A:F,6,0)</f>
        <v>1</v>
      </c>
      <c r="I2412" s="27" t="s">
        <v>1705</v>
      </c>
      <c r="J2412" s="27" t="s">
        <v>1706</v>
      </c>
    </row>
    <row r="2413" spans="1:10" x14ac:dyDescent="0.25">
      <c r="A2413" s="216" t="s">
        <v>383</v>
      </c>
      <c r="B2413" s="45" t="str">
        <f>VLOOKUP(Tabela12[[#This Row],[Painel]],Tabela13[],2,0)</f>
        <v>GB-1203</v>
      </c>
      <c r="C2413" s="45" t="s">
        <v>384</v>
      </c>
      <c r="D2413" s="21" t="s">
        <v>384</v>
      </c>
      <c r="E2413" s="21">
        <v>17</v>
      </c>
      <c r="F2413" s="27" t="str">
        <f>Tabela12[[#This Row],[Régua]]&amp;" ("&amp;Tabela12[[#This Row],[Born]]&amp;")"</f>
        <v>EJB-12606X (17)</v>
      </c>
      <c r="G2413" s="27">
        <f>LEN(Tabela12[[#This Row],[Anilha]])</f>
        <v>15</v>
      </c>
      <c r="H2413" s="21">
        <f>VLOOKUP(Tabela12[[#This Row],[Tag Cabo]],BD!A:F,6,0)</f>
        <v>1</v>
      </c>
      <c r="I2413" s="27" t="s">
        <v>1705</v>
      </c>
      <c r="J2413" s="27" t="s">
        <v>1706</v>
      </c>
    </row>
    <row r="2414" spans="1:10" x14ac:dyDescent="0.25">
      <c r="A2414" s="216" t="s">
        <v>383</v>
      </c>
      <c r="B2414" s="45" t="str">
        <f>VLOOKUP(Tabela12[[#This Row],[Painel]],Tabela13[],2,0)</f>
        <v>GB-1203</v>
      </c>
      <c r="C2414" s="45" t="s">
        <v>384</v>
      </c>
      <c r="D2414" s="21" t="s">
        <v>384</v>
      </c>
      <c r="E2414" s="21">
        <v>19</v>
      </c>
      <c r="F2414" s="27" t="str">
        <f>Tabela12[[#This Row],[Régua]]&amp;" ("&amp;Tabela12[[#This Row],[Born]]&amp;")"</f>
        <v>EJB-12606X (19)</v>
      </c>
      <c r="G2414" s="27">
        <f>LEN(Tabela12[[#This Row],[Anilha]])</f>
        <v>15</v>
      </c>
      <c r="H2414" s="21">
        <f>VLOOKUP(Tabela12[[#This Row],[Tag Cabo]],BD!A:F,6,0)</f>
        <v>1</v>
      </c>
      <c r="I2414" s="27" t="s">
        <v>1705</v>
      </c>
      <c r="J2414" s="27" t="s">
        <v>1706</v>
      </c>
    </row>
    <row r="2415" spans="1:10" x14ac:dyDescent="0.25">
      <c r="A2415" s="216" t="s">
        <v>383</v>
      </c>
      <c r="B2415" s="45" t="str">
        <f>VLOOKUP(Tabela12[[#This Row],[Painel]],Tabela13[],2,0)</f>
        <v>GB-1203</v>
      </c>
      <c r="C2415" s="45" t="s">
        <v>384</v>
      </c>
      <c r="D2415" s="21" t="s">
        <v>384</v>
      </c>
      <c r="E2415" s="21">
        <v>20</v>
      </c>
      <c r="F2415" s="27" t="str">
        <f>Tabela12[[#This Row],[Régua]]&amp;" ("&amp;Tabela12[[#This Row],[Born]]&amp;")"</f>
        <v>EJB-12606X (20)</v>
      </c>
      <c r="G2415" s="27">
        <f>LEN(Tabela12[[#This Row],[Anilha]])</f>
        <v>15</v>
      </c>
      <c r="H2415" s="21">
        <f>VLOOKUP(Tabela12[[#This Row],[Tag Cabo]],BD!A:F,6,0)</f>
        <v>1</v>
      </c>
      <c r="I2415" s="27" t="s">
        <v>1705</v>
      </c>
      <c r="J2415" s="27" t="s">
        <v>1706</v>
      </c>
    </row>
    <row r="2416" spans="1:10" x14ac:dyDescent="0.25">
      <c r="A2416" s="216" t="s">
        <v>383</v>
      </c>
      <c r="B2416" s="45" t="str">
        <f>VLOOKUP(Tabela12[[#This Row],[Painel]],Tabela13[],2,0)</f>
        <v>GB-1203</v>
      </c>
      <c r="C2416" s="45" t="s">
        <v>384</v>
      </c>
      <c r="D2416" s="21" t="s">
        <v>384</v>
      </c>
      <c r="E2416" s="21">
        <v>22</v>
      </c>
      <c r="F2416" s="27" t="str">
        <f>Tabela12[[#This Row],[Régua]]&amp;" ("&amp;Tabela12[[#This Row],[Born]]&amp;")"</f>
        <v>EJB-12606X (22)</v>
      </c>
      <c r="G2416" s="27">
        <f>LEN(Tabela12[[#This Row],[Anilha]])</f>
        <v>15</v>
      </c>
      <c r="H2416" s="21">
        <f>VLOOKUP(Tabela12[[#This Row],[Tag Cabo]],BD!A:F,6,0)</f>
        <v>1</v>
      </c>
      <c r="I2416" s="27" t="s">
        <v>1705</v>
      </c>
      <c r="J2416" s="27" t="s">
        <v>1706</v>
      </c>
    </row>
    <row r="2417" spans="1:10" x14ac:dyDescent="0.25">
      <c r="A2417" s="216" t="s">
        <v>383</v>
      </c>
      <c r="B2417" s="45" t="str">
        <f>VLOOKUP(Tabela12[[#This Row],[Painel]],Tabela13[],2,0)</f>
        <v>GB-1203</v>
      </c>
      <c r="C2417" s="45" t="s">
        <v>384</v>
      </c>
      <c r="D2417" s="21" t="s">
        <v>384</v>
      </c>
      <c r="E2417" s="21">
        <v>23</v>
      </c>
      <c r="F2417" s="27" t="str">
        <f>Tabela12[[#This Row],[Régua]]&amp;" ("&amp;Tabela12[[#This Row],[Born]]&amp;")"</f>
        <v>EJB-12606X (23)</v>
      </c>
      <c r="G2417" s="27">
        <f>LEN(Tabela12[[#This Row],[Anilha]])</f>
        <v>15</v>
      </c>
      <c r="H2417" s="21">
        <f>VLOOKUP(Tabela12[[#This Row],[Tag Cabo]],BD!A:F,6,0)</f>
        <v>1</v>
      </c>
      <c r="I2417" s="27" t="s">
        <v>1705</v>
      </c>
      <c r="J2417" s="27" t="s">
        <v>1706</v>
      </c>
    </row>
    <row r="2418" spans="1:10" x14ac:dyDescent="0.25">
      <c r="A2418" s="216" t="s">
        <v>383</v>
      </c>
      <c r="B2418" s="45" t="str">
        <f>VLOOKUP(Tabela12[[#This Row],[Painel]],Tabela13[],2,0)</f>
        <v>GB-1203</v>
      </c>
      <c r="C2418" s="45" t="s">
        <v>384</v>
      </c>
      <c r="D2418" s="21" t="s">
        <v>384</v>
      </c>
      <c r="E2418" s="21">
        <v>25</v>
      </c>
      <c r="F2418" s="27" t="str">
        <f>Tabela12[[#This Row],[Régua]]&amp;" ("&amp;Tabela12[[#This Row],[Born]]&amp;")"</f>
        <v>EJB-12606X (25)</v>
      </c>
      <c r="G2418" s="27">
        <f>LEN(Tabela12[[#This Row],[Anilha]])</f>
        <v>15</v>
      </c>
      <c r="H2418" s="21">
        <f>VLOOKUP(Tabela12[[#This Row],[Tag Cabo]],BD!A:F,6,0)</f>
        <v>1</v>
      </c>
      <c r="I2418" s="27" t="s">
        <v>1705</v>
      </c>
      <c r="J2418" s="27" t="s">
        <v>1706</v>
      </c>
    </row>
    <row r="2419" spans="1:10" x14ac:dyDescent="0.25">
      <c r="A2419" s="216" t="s">
        <v>383</v>
      </c>
      <c r="B2419" s="45" t="str">
        <f>VLOOKUP(Tabela12[[#This Row],[Painel]],Tabela13[],2,0)</f>
        <v>GB-1203</v>
      </c>
      <c r="C2419" s="45" t="s">
        <v>384</v>
      </c>
      <c r="D2419" s="21" t="s">
        <v>384</v>
      </c>
      <c r="E2419" s="21">
        <v>26</v>
      </c>
      <c r="F2419" s="27" t="str">
        <f>Tabela12[[#This Row],[Régua]]&amp;" ("&amp;Tabela12[[#This Row],[Born]]&amp;")"</f>
        <v>EJB-12606X (26)</v>
      </c>
      <c r="G2419" s="27">
        <f>LEN(Tabela12[[#This Row],[Anilha]])</f>
        <v>15</v>
      </c>
      <c r="H2419" s="21">
        <f>VLOOKUP(Tabela12[[#This Row],[Tag Cabo]],BD!A:F,6,0)</f>
        <v>1</v>
      </c>
      <c r="I2419" s="27" t="s">
        <v>1705</v>
      </c>
      <c r="J2419" s="27" t="s">
        <v>1706</v>
      </c>
    </row>
    <row r="2420" spans="1:10" x14ac:dyDescent="0.25">
      <c r="A2420" s="216" t="s">
        <v>383</v>
      </c>
      <c r="B2420" s="45" t="str">
        <f>VLOOKUP(Tabela12[[#This Row],[Painel]],Tabela13[],2,0)</f>
        <v>GB-1203</v>
      </c>
      <c r="C2420" s="45" t="s">
        <v>384</v>
      </c>
      <c r="D2420" s="21" t="s">
        <v>384</v>
      </c>
      <c r="E2420" s="21">
        <v>34</v>
      </c>
      <c r="F2420" s="27" t="str">
        <f>Tabela12[[#This Row],[Régua]]&amp;" ("&amp;Tabela12[[#This Row],[Born]]&amp;")"</f>
        <v>EJB-12606X (34)</v>
      </c>
      <c r="G2420" s="27">
        <f>LEN(Tabela12[[#This Row],[Anilha]])</f>
        <v>15</v>
      </c>
      <c r="H2420" s="21">
        <f>VLOOKUP(Tabela12[[#This Row],[Tag Cabo]],BD!A:F,6,0)</f>
        <v>1</v>
      </c>
      <c r="I2420" s="27" t="s">
        <v>1705</v>
      </c>
      <c r="J2420" s="27" t="s">
        <v>1706</v>
      </c>
    </row>
    <row r="2421" spans="1:10" x14ac:dyDescent="0.25">
      <c r="A2421" s="216" t="s">
        <v>383</v>
      </c>
      <c r="B2421" s="45" t="str">
        <f>VLOOKUP(Tabela12[[#This Row],[Painel]],Tabela13[],2,0)</f>
        <v>GB-1203</v>
      </c>
      <c r="C2421" s="45" t="s">
        <v>384</v>
      </c>
      <c r="D2421" s="21" t="s">
        <v>384</v>
      </c>
      <c r="E2421" s="21">
        <v>35</v>
      </c>
      <c r="F2421" s="27" t="str">
        <f>Tabela12[[#This Row],[Régua]]&amp;" ("&amp;Tabela12[[#This Row],[Born]]&amp;")"</f>
        <v>EJB-12606X (35)</v>
      </c>
      <c r="G2421" s="27">
        <f>LEN(Tabela12[[#This Row],[Anilha]])</f>
        <v>15</v>
      </c>
      <c r="H2421" s="21">
        <f>VLOOKUP(Tabela12[[#This Row],[Tag Cabo]],BD!A:F,6,0)</f>
        <v>1</v>
      </c>
      <c r="I2421" s="27" t="s">
        <v>1705</v>
      </c>
      <c r="J2421" s="27" t="s">
        <v>1706</v>
      </c>
    </row>
    <row r="2422" spans="1:10" x14ac:dyDescent="0.25">
      <c r="A2422" s="216" t="s">
        <v>383</v>
      </c>
      <c r="B2422" s="45" t="str">
        <f>VLOOKUP(Tabela12[[#This Row],[Painel]],Tabela13[],2,0)</f>
        <v>30LV</v>
      </c>
      <c r="C2422" s="45" t="s">
        <v>1632</v>
      </c>
      <c r="D2422" s="21" t="s">
        <v>1936</v>
      </c>
      <c r="E2422" s="21">
        <v>1</v>
      </c>
      <c r="F2422" s="27" t="str">
        <f>Tabela12[[#This Row],[Régua]]&amp;" ("&amp;Tabela12[[#This Row],[Born]]&amp;")"</f>
        <v>TB-10 (1)</v>
      </c>
      <c r="G2422" s="27">
        <f>LEN(Tabela12[[#This Row],[Anilha]])</f>
        <v>9</v>
      </c>
      <c r="H2422" s="21">
        <f>VLOOKUP(Tabela12[[#This Row],[Tag Cabo]],BD!A:F,6,0)</f>
        <v>1</v>
      </c>
      <c r="I2422" s="27" t="s">
        <v>1705</v>
      </c>
      <c r="J2422" s="27" t="s">
        <v>1706</v>
      </c>
    </row>
    <row r="2423" spans="1:10" x14ac:dyDescent="0.25">
      <c r="A2423" s="216" t="s">
        <v>383</v>
      </c>
      <c r="B2423" s="45" t="str">
        <f>VLOOKUP(Tabela12[[#This Row],[Painel]],Tabela13[],2,0)</f>
        <v>30LV</v>
      </c>
      <c r="C2423" s="45" t="s">
        <v>1632</v>
      </c>
      <c r="D2423" s="21" t="s">
        <v>1936</v>
      </c>
      <c r="E2423" s="21">
        <v>2</v>
      </c>
      <c r="F2423" s="27" t="str">
        <f>Tabela12[[#This Row],[Régua]]&amp;" ("&amp;Tabela12[[#This Row],[Born]]&amp;")"</f>
        <v>TB-10 (2)</v>
      </c>
      <c r="G2423" s="27">
        <f>LEN(Tabela12[[#This Row],[Anilha]])</f>
        <v>9</v>
      </c>
      <c r="H2423" s="21">
        <f>VLOOKUP(Tabela12[[#This Row],[Tag Cabo]],BD!A:F,6,0)</f>
        <v>1</v>
      </c>
      <c r="I2423" s="27" t="s">
        <v>1705</v>
      </c>
      <c r="J2423" s="27" t="s">
        <v>1706</v>
      </c>
    </row>
    <row r="2424" spans="1:10" x14ac:dyDescent="0.25">
      <c r="A2424" s="216" t="s">
        <v>383</v>
      </c>
      <c r="B2424" s="45" t="str">
        <f>VLOOKUP(Tabela12[[#This Row],[Painel]],Tabela13[],2,0)</f>
        <v>30LV</v>
      </c>
      <c r="C2424" s="45" t="s">
        <v>1632</v>
      </c>
      <c r="D2424" s="21" t="s">
        <v>1936</v>
      </c>
      <c r="E2424" s="21">
        <v>4</v>
      </c>
      <c r="F2424" s="27" t="str">
        <f>Tabela12[[#This Row],[Régua]]&amp;" ("&amp;Tabela12[[#This Row],[Born]]&amp;")"</f>
        <v>TB-10 (4)</v>
      </c>
      <c r="G2424" s="27">
        <f>LEN(Tabela12[[#This Row],[Anilha]])</f>
        <v>9</v>
      </c>
      <c r="H2424" s="21">
        <f>VLOOKUP(Tabela12[[#This Row],[Tag Cabo]],BD!A:F,6,0)</f>
        <v>1</v>
      </c>
      <c r="I2424" s="27" t="s">
        <v>1705</v>
      </c>
      <c r="J2424" s="27" t="s">
        <v>1706</v>
      </c>
    </row>
    <row r="2425" spans="1:10" x14ac:dyDescent="0.25">
      <c r="A2425" s="216" t="s">
        <v>383</v>
      </c>
      <c r="B2425" s="45" t="str">
        <f>VLOOKUP(Tabela12[[#This Row],[Painel]],Tabela13[],2,0)</f>
        <v>30LV</v>
      </c>
      <c r="C2425" s="45" t="s">
        <v>1632</v>
      </c>
      <c r="D2425" s="21" t="s">
        <v>1936</v>
      </c>
      <c r="E2425" s="21">
        <v>5</v>
      </c>
      <c r="F2425" s="27" t="str">
        <f>Tabela12[[#This Row],[Régua]]&amp;" ("&amp;Tabela12[[#This Row],[Born]]&amp;")"</f>
        <v>TB-10 (5)</v>
      </c>
      <c r="G2425" s="27">
        <f>LEN(Tabela12[[#This Row],[Anilha]])</f>
        <v>9</v>
      </c>
      <c r="H2425" s="21">
        <f>VLOOKUP(Tabela12[[#This Row],[Tag Cabo]],BD!A:F,6,0)</f>
        <v>1</v>
      </c>
      <c r="I2425" s="27" t="s">
        <v>1705</v>
      </c>
      <c r="J2425" s="27" t="s">
        <v>1706</v>
      </c>
    </row>
    <row r="2426" spans="1:10" x14ac:dyDescent="0.25">
      <c r="A2426" s="216" t="s">
        <v>383</v>
      </c>
      <c r="B2426" s="45" t="str">
        <f>VLOOKUP(Tabela12[[#This Row],[Painel]],Tabela13[],2,0)</f>
        <v>30LV</v>
      </c>
      <c r="C2426" s="45" t="s">
        <v>1632</v>
      </c>
      <c r="D2426" s="21" t="s">
        <v>1936</v>
      </c>
      <c r="E2426" s="21">
        <v>7</v>
      </c>
      <c r="F2426" s="27" t="str">
        <f>Tabela12[[#This Row],[Régua]]&amp;" ("&amp;Tabela12[[#This Row],[Born]]&amp;")"</f>
        <v>TB-10 (7)</v>
      </c>
      <c r="G2426" s="27">
        <f>LEN(Tabela12[[#This Row],[Anilha]])</f>
        <v>9</v>
      </c>
      <c r="H2426" s="21">
        <f>VLOOKUP(Tabela12[[#This Row],[Tag Cabo]],BD!A:F,6,0)</f>
        <v>1</v>
      </c>
      <c r="I2426" s="27" t="s">
        <v>1705</v>
      </c>
      <c r="J2426" s="27" t="s">
        <v>1706</v>
      </c>
    </row>
    <row r="2427" spans="1:10" x14ac:dyDescent="0.25">
      <c r="A2427" s="216" t="s">
        <v>383</v>
      </c>
      <c r="B2427" s="45" t="str">
        <f>VLOOKUP(Tabela12[[#This Row],[Painel]],Tabela13[],2,0)</f>
        <v>30LV</v>
      </c>
      <c r="C2427" s="45" t="s">
        <v>1632</v>
      </c>
      <c r="D2427" s="21" t="s">
        <v>1936</v>
      </c>
      <c r="E2427" s="21">
        <v>8</v>
      </c>
      <c r="F2427" s="27" t="str">
        <f>Tabela12[[#This Row],[Régua]]&amp;" ("&amp;Tabela12[[#This Row],[Born]]&amp;")"</f>
        <v>TB-10 (8)</v>
      </c>
      <c r="G2427" s="27">
        <f>LEN(Tabela12[[#This Row],[Anilha]])</f>
        <v>9</v>
      </c>
      <c r="H2427" s="21">
        <f>VLOOKUP(Tabela12[[#This Row],[Tag Cabo]],BD!A:F,6,0)</f>
        <v>1</v>
      </c>
      <c r="I2427" s="27" t="s">
        <v>1705</v>
      </c>
      <c r="J2427" s="27" t="s">
        <v>1706</v>
      </c>
    </row>
    <row r="2428" spans="1:10" x14ac:dyDescent="0.25">
      <c r="A2428" s="216" t="s">
        <v>383</v>
      </c>
      <c r="B2428" s="45" t="str">
        <f>VLOOKUP(Tabela12[[#This Row],[Painel]],Tabela13[],2,0)</f>
        <v>30LV</v>
      </c>
      <c r="C2428" s="45" t="s">
        <v>1632</v>
      </c>
      <c r="D2428" s="21" t="s">
        <v>1936</v>
      </c>
      <c r="E2428" s="21">
        <v>10</v>
      </c>
      <c r="F2428" s="27" t="str">
        <f>Tabela12[[#This Row],[Régua]]&amp;" ("&amp;Tabela12[[#This Row],[Born]]&amp;")"</f>
        <v>TB-10 (10)</v>
      </c>
      <c r="G2428" s="27">
        <f>LEN(Tabela12[[#This Row],[Anilha]])</f>
        <v>10</v>
      </c>
      <c r="H2428" s="21">
        <f>VLOOKUP(Tabela12[[#This Row],[Tag Cabo]],BD!A:F,6,0)</f>
        <v>1</v>
      </c>
      <c r="I2428" s="27" t="s">
        <v>1705</v>
      </c>
      <c r="J2428" s="27" t="s">
        <v>1706</v>
      </c>
    </row>
    <row r="2429" spans="1:10" x14ac:dyDescent="0.25">
      <c r="A2429" s="216" t="s">
        <v>383</v>
      </c>
      <c r="B2429" s="45" t="str">
        <f>VLOOKUP(Tabela12[[#This Row],[Painel]],Tabela13[],2,0)</f>
        <v>30LV</v>
      </c>
      <c r="C2429" s="45" t="s">
        <v>1632</v>
      </c>
      <c r="D2429" s="21" t="s">
        <v>1936</v>
      </c>
      <c r="E2429" s="21">
        <v>11</v>
      </c>
      <c r="F2429" s="27" t="str">
        <f>Tabela12[[#This Row],[Régua]]&amp;" ("&amp;Tabela12[[#This Row],[Born]]&amp;")"</f>
        <v>TB-10 (11)</v>
      </c>
      <c r="G2429" s="27">
        <f>LEN(Tabela12[[#This Row],[Anilha]])</f>
        <v>10</v>
      </c>
      <c r="H2429" s="21">
        <f>VLOOKUP(Tabela12[[#This Row],[Tag Cabo]],BD!A:F,6,0)</f>
        <v>1</v>
      </c>
      <c r="I2429" s="27" t="s">
        <v>1705</v>
      </c>
      <c r="J2429" s="27" t="s">
        <v>1706</v>
      </c>
    </row>
    <row r="2430" spans="1:10" x14ac:dyDescent="0.25">
      <c r="A2430" s="216" t="s">
        <v>383</v>
      </c>
      <c r="B2430" s="45" t="str">
        <f>VLOOKUP(Tabela12[[#This Row],[Painel]],Tabela13[],2,0)</f>
        <v>30LV</v>
      </c>
      <c r="C2430" s="45" t="s">
        <v>1632</v>
      </c>
      <c r="D2430" s="21" t="s">
        <v>1936</v>
      </c>
      <c r="E2430" s="21">
        <v>13</v>
      </c>
      <c r="F2430" s="27" t="str">
        <f>Tabela12[[#This Row],[Régua]]&amp;" ("&amp;Tabela12[[#This Row],[Born]]&amp;")"</f>
        <v>TB-10 (13)</v>
      </c>
      <c r="G2430" s="27">
        <f>LEN(Tabela12[[#This Row],[Anilha]])</f>
        <v>10</v>
      </c>
      <c r="H2430" s="21">
        <f>VLOOKUP(Tabela12[[#This Row],[Tag Cabo]],BD!A:F,6,0)</f>
        <v>1</v>
      </c>
      <c r="I2430" s="27" t="s">
        <v>1705</v>
      </c>
      <c r="J2430" s="27" t="s">
        <v>1706</v>
      </c>
    </row>
    <row r="2431" spans="1:10" x14ac:dyDescent="0.25">
      <c r="A2431" s="216" t="s">
        <v>383</v>
      </c>
      <c r="B2431" s="45" t="str">
        <f>VLOOKUP(Tabela12[[#This Row],[Painel]],Tabela13[],2,0)</f>
        <v>30LV</v>
      </c>
      <c r="C2431" s="45" t="s">
        <v>1632</v>
      </c>
      <c r="D2431" s="21" t="s">
        <v>1936</v>
      </c>
      <c r="E2431" s="21">
        <v>14</v>
      </c>
      <c r="F2431" s="27" t="str">
        <f>Tabela12[[#This Row],[Régua]]&amp;" ("&amp;Tabela12[[#This Row],[Born]]&amp;")"</f>
        <v>TB-10 (14)</v>
      </c>
      <c r="G2431" s="27">
        <f>LEN(Tabela12[[#This Row],[Anilha]])</f>
        <v>10</v>
      </c>
      <c r="H2431" s="21">
        <f>VLOOKUP(Tabela12[[#This Row],[Tag Cabo]],BD!A:F,6,0)</f>
        <v>1</v>
      </c>
      <c r="I2431" s="27" t="s">
        <v>1705</v>
      </c>
      <c r="J2431" s="27" t="s">
        <v>1706</v>
      </c>
    </row>
    <row r="2432" spans="1:10" x14ac:dyDescent="0.25">
      <c r="A2432" s="216" t="s">
        <v>383</v>
      </c>
      <c r="B2432" s="45" t="str">
        <f>VLOOKUP(Tabela12[[#This Row],[Painel]],Tabela13[],2,0)</f>
        <v>30LV</v>
      </c>
      <c r="C2432" s="45" t="s">
        <v>1632</v>
      </c>
      <c r="D2432" s="21" t="s">
        <v>1936</v>
      </c>
      <c r="E2432" s="21">
        <v>16</v>
      </c>
      <c r="F2432" s="27" t="str">
        <f>Tabela12[[#This Row],[Régua]]&amp;" ("&amp;Tabela12[[#This Row],[Born]]&amp;")"</f>
        <v>TB-10 (16)</v>
      </c>
      <c r="G2432" s="27">
        <f>LEN(Tabela12[[#This Row],[Anilha]])</f>
        <v>10</v>
      </c>
      <c r="H2432" s="21">
        <f>VLOOKUP(Tabela12[[#This Row],[Tag Cabo]],BD!A:F,6,0)</f>
        <v>1</v>
      </c>
      <c r="I2432" s="27" t="s">
        <v>1705</v>
      </c>
      <c r="J2432" s="27" t="s">
        <v>1706</v>
      </c>
    </row>
    <row r="2433" spans="1:10" x14ac:dyDescent="0.25">
      <c r="A2433" s="216" t="s">
        <v>383</v>
      </c>
      <c r="B2433" s="45" t="str">
        <f>VLOOKUP(Tabela12[[#This Row],[Painel]],Tabela13[],2,0)</f>
        <v>30LV</v>
      </c>
      <c r="C2433" s="45" t="s">
        <v>1632</v>
      </c>
      <c r="D2433" s="21" t="s">
        <v>1936</v>
      </c>
      <c r="E2433" s="21">
        <v>17</v>
      </c>
      <c r="F2433" s="27" t="str">
        <f>Tabela12[[#This Row],[Régua]]&amp;" ("&amp;Tabela12[[#This Row],[Born]]&amp;")"</f>
        <v>TB-10 (17)</v>
      </c>
      <c r="G2433" s="27">
        <f>LEN(Tabela12[[#This Row],[Anilha]])</f>
        <v>10</v>
      </c>
      <c r="H2433" s="21">
        <f>VLOOKUP(Tabela12[[#This Row],[Tag Cabo]],BD!A:F,6,0)</f>
        <v>1</v>
      </c>
      <c r="I2433" s="27" t="s">
        <v>1705</v>
      </c>
      <c r="J2433" s="27" t="s">
        <v>1706</v>
      </c>
    </row>
    <row r="2434" spans="1:10" x14ac:dyDescent="0.25">
      <c r="A2434" s="216" t="s">
        <v>383</v>
      </c>
      <c r="B2434" s="45" t="str">
        <f>VLOOKUP(Tabela12[[#This Row],[Painel]],Tabela13[],2,0)</f>
        <v>30LV</v>
      </c>
      <c r="C2434" s="45" t="s">
        <v>1632</v>
      </c>
      <c r="D2434" s="21" t="s">
        <v>1936</v>
      </c>
      <c r="E2434" s="21">
        <v>19</v>
      </c>
      <c r="F2434" s="27" t="str">
        <f>Tabela12[[#This Row],[Régua]]&amp;" ("&amp;Tabela12[[#This Row],[Born]]&amp;")"</f>
        <v>TB-10 (19)</v>
      </c>
      <c r="G2434" s="27">
        <f>LEN(Tabela12[[#This Row],[Anilha]])</f>
        <v>10</v>
      </c>
      <c r="H2434" s="21">
        <f>VLOOKUP(Tabela12[[#This Row],[Tag Cabo]],BD!A:F,6,0)</f>
        <v>1</v>
      </c>
      <c r="I2434" s="27" t="s">
        <v>1705</v>
      </c>
      <c r="J2434" s="27" t="s">
        <v>1706</v>
      </c>
    </row>
    <row r="2435" spans="1:10" x14ac:dyDescent="0.25">
      <c r="A2435" s="216" t="s">
        <v>383</v>
      </c>
      <c r="B2435" s="45" t="str">
        <f>VLOOKUP(Tabela12[[#This Row],[Painel]],Tabela13[],2,0)</f>
        <v>30LV</v>
      </c>
      <c r="C2435" s="45" t="s">
        <v>1632</v>
      </c>
      <c r="D2435" s="21" t="s">
        <v>1936</v>
      </c>
      <c r="E2435" s="21">
        <v>20</v>
      </c>
      <c r="F2435" s="27" t="str">
        <f>Tabela12[[#This Row],[Régua]]&amp;" ("&amp;Tabela12[[#This Row],[Born]]&amp;")"</f>
        <v>TB-10 (20)</v>
      </c>
      <c r="G2435" s="27">
        <f>LEN(Tabela12[[#This Row],[Anilha]])</f>
        <v>10</v>
      </c>
      <c r="H2435" s="21">
        <f>VLOOKUP(Tabela12[[#This Row],[Tag Cabo]],BD!A:F,6,0)</f>
        <v>1</v>
      </c>
      <c r="I2435" s="27" t="s">
        <v>1705</v>
      </c>
      <c r="J2435" s="27" t="s">
        <v>1706</v>
      </c>
    </row>
    <row r="2436" spans="1:10" x14ac:dyDescent="0.25">
      <c r="A2436" s="216" t="s">
        <v>383</v>
      </c>
      <c r="B2436" s="45" t="str">
        <f>VLOOKUP(Tabela12[[#This Row],[Painel]],Tabela13[],2,0)</f>
        <v>30LV</v>
      </c>
      <c r="C2436" s="45" t="s">
        <v>1632</v>
      </c>
      <c r="D2436" s="21" t="s">
        <v>1936</v>
      </c>
      <c r="E2436" s="21">
        <v>22</v>
      </c>
      <c r="F2436" s="27" t="str">
        <f>Tabela12[[#This Row],[Régua]]&amp;" ("&amp;Tabela12[[#This Row],[Born]]&amp;")"</f>
        <v>TB-10 (22)</v>
      </c>
      <c r="G2436" s="27">
        <f>LEN(Tabela12[[#This Row],[Anilha]])</f>
        <v>10</v>
      </c>
      <c r="H2436" s="21">
        <f>VLOOKUP(Tabela12[[#This Row],[Tag Cabo]],BD!A:F,6,0)</f>
        <v>1</v>
      </c>
      <c r="I2436" s="27" t="s">
        <v>1705</v>
      </c>
      <c r="J2436" s="27" t="s">
        <v>1706</v>
      </c>
    </row>
    <row r="2437" spans="1:10" x14ac:dyDescent="0.25">
      <c r="A2437" s="216" t="s">
        <v>383</v>
      </c>
      <c r="B2437" s="45" t="str">
        <f>VLOOKUP(Tabela12[[#This Row],[Painel]],Tabela13[],2,0)</f>
        <v>30LV</v>
      </c>
      <c r="C2437" s="45" t="s">
        <v>1632</v>
      </c>
      <c r="D2437" s="21" t="s">
        <v>1936</v>
      </c>
      <c r="E2437" s="21">
        <v>23</v>
      </c>
      <c r="F2437" s="27" t="str">
        <f>Tabela12[[#This Row],[Régua]]&amp;" ("&amp;Tabela12[[#This Row],[Born]]&amp;")"</f>
        <v>TB-10 (23)</v>
      </c>
      <c r="G2437" s="27">
        <f>LEN(Tabela12[[#This Row],[Anilha]])</f>
        <v>10</v>
      </c>
      <c r="H2437" s="21">
        <f>VLOOKUP(Tabela12[[#This Row],[Tag Cabo]],BD!A:F,6,0)</f>
        <v>1</v>
      </c>
      <c r="I2437" s="27" t="s">
        <v>1705</v>
      </c>
      <c r="J2437" s="27" t="s">
        <v>1706</v>
      </c>
    </row>
    <row r="2438" spans="1:10" x14ac:dyDescent="0.25">
      <c r="A2438" s="216" t="s">
        <v>635</v>
      </c>
      <c r="B2438" s="45" t="str">
        <f>VLOOKUP(Tabela12[[#This Row],[Painel]],Tabela13[],2,0)</f>
        <v>7HV</v>
      </c>
      <c r="C2438" s="45" t="s">
        <v>1589</v>
      </c>
      <c r="D2438" s="21" t="s">
        <v>1985</v>
      </c>
      <c r="E2438" s="21" t="s">
        <v>2001</v>
      </c>
      <c r="F2438" s="27" t="str">
        <f>Tabela12[[#This Row],[Régua]]&amp;" ("&amp;Tabela12[[#This Row],[Born]]&amp;")"</f>
        <v>X993 (401.1/A)</v>
      </c>
      <c r="G2438" s="27">
        <f>LEN(Tabela12[[#This Row],[Anilha]])</f>
        <v>14</v>
      </c>
      <c r="H2438" s="21">
        <f>VLOOKUP(Tabela12[[#This Row],[Tag Cabo]],BD!A:F,6,0)</f>
        <v>1</v>
      </c>
      <c r="I2438" s="27" t="s">
        <v>1705</v>
      </c>
      <c r="J2438" s="27" t="s">
        <v>1706</v>
      </c>
    </row>
    <row r="2439" spans="1:10" x14ac:dyDescent="0.25">
      <c r="A2439" s="21" t="s">
        <v>635</v>
      </c>
      <c r="B2439" s="391" t="str">
        <f>VLOOKUP(Tabela12[[#This Row],[Painel]],Tabela13[],2,0)</f>
        <v>7HV</v>
      </c>
      <c r="C2439" s="391" t="s">
        <v>1589</v>
      </c>
      <c r="D2439" s="21" t="s">
        <v>1985</v>
      </c>
      <c r="E2439" s="21" t="s">
        <v>2002</v>
      </c>
      <c r="F2439" s="27" t="str">
        <f>Tabela12[[#This Row],[Régua]]&amp;" ("&amp;Tabela12[[#This Row],[Born]]&amp;")"</f>
        <v>X993 (401.1/B)</v>
      </c>
      <c r="G2439" s="27">
        <f>LEN(Tabela12[[#This Row],[Anilha]])</f>
        <v>14</v>
      </c>
      <c r="H2439" s="21">
        <f>VLOOKUP(Tabela12[[#This Row],[Tag Cabo]],BD!A:F,6,0)</f>
        <v>1</v>
      </c>
      <c r="I2439" s="27" t="s">
        <v>1705</v>
      </c>
      <c r="J2439" s="27" t="s">
        <v>1706</v>
      </c>
    </row>
    <row r="2440" spans="1:10" x14ac:dyDescent="0.25">
      <c r="A2440" s="21" t="s">
        <v>635</v>
      </c>
      <c r="B2440" s="391" t="str">
        <f>VLOOKUP(Tabela12[[#This Row],[Painel]],Tabela13[],2,0)</f>
        <v>7HV</v>
      </c>
      <c r="C2440" s="391" t="s">
        <v>1589</v>
      </c>
      <c r="D2440" s="21" t="s">
        <v>1985</v>
      </c>
      <c r="E2440" s="21" t="s">
        <v>2052</v>
      </c>
      <c r="F2440" s="27" t="str">
        <f>Tabela12[[#This Row],[Régua]]&amp;" ("&amp;Tabela12[[#This Row],[Born]]&amp;")"</f>
        <v>X993 (401.1/C)</v>
      </c>
      <c r="G2440" s="27">
        <f>LEN(Tabela12[[#This Row],[Anilha]])</f>
        <v>14</v>
      </c>
      <c r="H2440" s="21">
        <f>VLOOKUP(Tabela12[[#This Row],[Tag Cabo]],BD!A:F,6,0)</f>
        <v>1</v>
      </c>
      <c r="I2440" s="27" t="s">
        <v>1705</v>
      </c>
      <c r="J2440" s="27" t="s">
        <v>1706</v>
      </c>
    </row>
    <row r="2441" spans="1:10" x14ac:dyDescent="0.25">
      <c r="A2441" s="21" t="s">
        <v>635</v>
      </c>
      <c r="B2441" s="391" t="str">
        <f>VLOOKUP(Tabela12[[#This Row],[Painel]],Tabela13[],2,0)</f>
        <v>7HV</v>
      </c>
      <c r="C2441" s="391" t="s">
        <v>1589</v>
      </c>
      <c r="D2441" s="21" t="s">
        <v>1985</v>
      </c>
      <c r="E2441" s="21" t="s">
        <v>2053</v>
      </c>
      <c r="F2441" s="27" t="str">
        <f>Tabela12[[#This Row],[Régua]]&amp;" ("&amp;Tabela12[[#This Row],[Born]]&amp;")"</f>
        <v>X993 (401.1/D)</v>
      </c>
      <c r="G2441" s="27">
        <f>LEN(Tabela12[[#This Row],[Anilha]])</f>
        <v>14</v>
      </c>
      <c r="H2441" s="21">
        <f>VLOOKUP(Tabela12[[#This Row],[Tag Cabo]],BD!A:F,6,0)</f>
        <v>1</v>
      </c>
      <c r="I2441" s="27" t="s">
        <v>1705</v>
      </c>
      <c r="J2441" s="27" t="s">
        <v>1706</v>
      </c>
    </row>
    <row r="2442" spans="1:10" x14ac:dyDescent="0.25">
      <c r="A2442" s="21" t="s">
        <v>635</v>
      </c>
      <c r="B2442" s="391" t="str">
        <f>VLOOKUP(Tabela12[[#This Row],[Painel]],Tabela13[],2,0)</f>
        <v>30LV</v>
      </c>
      <c r="C2442" s="391" t="s">
        <v>1632</v>
      </c>
      <c r="D2442" s="21" t="s">
        <v>1953</v>
      </c>
      <c r="E2442" s="21">
        <v>1</v>
      </c>
      <c r="F2442" s="27" t="str">
        <f>Tabela12[[#This Row],[Régua]]&amp;" ("&amp;Tabela12[[#This Row],[Born]]&amp;")"</f>
        <v>TB-08 (1)</v>
      </c>
      <c r="G2442" s="27">
        <f>LEN(Tabela12[[#This Row],[Anilha]])</f>
        <v>9</v>
      </c>
      <c r="H2442" s="21">
        <f>VLOOKUP(Tabela12[[#This Row],[Tag Cabo]],BD!A:F,6,0)</f>
        <v>1</v>
      </c>
      <c r="I2442" s="27" t="s">
        <v>1705</v>
      </c>
      <c r="J2442" s="27" t="s">
        <v>1706</v>
      </c>
    </row>
    <row r="2443" spans="1:10" x14ac:dyDescent="0.25">
      <c r="A2443" s="21" t="s">
        <v>635</v>
      </c>
      <c r="B2443" s="391" t="str">
        <f>VLOOKUP(Tabela12[[#This Row],[Painel]],Tabela13[],2,0)</f>
        <v>30LV</v>
      </c>
      <c r="C2443" s="391" t="s">
        <v>1632</v>
      </c>
      <c r="D2443" s="21" t="s">
        <v>1953</v>
      </c>
      <c r="E2443" s="21">
        <v>2</v>
      </c>
      <c r="F2443" s="27" t="str">
        <f>Tabela12[[#This Row],[Régua]]&amp;" ("&amp;Tabela12[[#This Row],[Born]]&amp;")"</f>
        <v>TB-08 (2)</v>
      </c>
      <c r="G2443" s="27">
        <f>LEN(Tabela12[[#This Row],[Anilha]])</f>
        <v>9</v>
      </c>
      <c r="H2443" s="21">
        <f>VLOOKUP(Tabela12[[#This Row],[Tag Cabo]],BD!A:F,6,0)</f>
        <v>1</v>
      </c>
      <c r="I2443" s="27" t="s">
        <v>1705</v>
      </c>
      <c r="J2443" s="27" t="s">
        <v>1706</v>
      </c>
    </row>
    <row r="2444" spans="1:10" x14ac:dyDescent="0.25">
      <c r="A2444" s="21" t="s">
        <v>635</v>
      </c>
      <c r="B2444" s="391" t="str">
        <f>VLOOKUP(Tabela12[[#This Row],[Painel]],Tabela13[],2,0)</f>
        <v>30LV</v>
      </c>
      <c r="C2444" s="391" t="s">
        <v>1632</v>
      </c>
      <c r="D2444" s="21" t="s">
        <v>1953</v>
      </c>
      <c r="E2444" s="21">
        <v>4</v>
      </c>
      <c r="F2444" s="27" t="str">
        <f>Tabela12[[#This Row],[Régua]]&amp;" ("&amp;Tabela12[[#This Row],[Born]]&amp;")"</f>
        <v>TB-08 (4)</v>
      </c>
      <c r="G2444" s="27">
        <f>LEN(Tabela12[[#This Row],[Anilha]])</f>
        <v>9</v>
      </c>
      <c r="H2444" s="21">
        <f>VLOOKUP(Tabela12[[#This Row],[Tag Cabo]],BD!A:F,6,0)</f>
        <v>1</v>
      </c>
      <c r="I2444" s="27" t="s">
        <v>1705</v>
      </c>
      <c r="J2444" s="27" t="s">
        <v>1706</v>
      </c>
    </row>
    <row r="2445" spans="1:10" x14ac:dyDescent="0.25">
      <c r="A2445" s="21" t="s">
        <v>635</v>
      </c>
      <c r="B2445" s="391" t="str">
        <f>VLOOKUP(Tabela12[[#This Row],[Painel]],Tabela13[],2,0)</f>
        <v>30LV</v>
      </c>
      <c r="C2445" s="391" t="s">
        <v>1632</v>
      </c>
      <c r="D2445" s="21" t="s">
        <v>1953</v>
      </c>
      <c r="E2445" s="21">
        <v>5</v>
      </c>
      <c r="F2445" s="27" t="str">
        <f>Tabela12[[#This Row],[Régua]]&amp;" ("&amp;Tabela12[[#This Row],[Born]]&amp;")"</f>
        <v>TB-08 (5)</v>
      </c>
      <c r="G2445" s="27">
        <f>LEN(Tabela12[[#This Row],[Anilha]])</f>
        <v>9</v>
      </c>
      <c r="H2445" s="21">
        <f>VLOOKUP(Tabela12[[#This Row],[Tag Cabo]],BD!A:F,6,0)</f>
        <v>1</v>
      </c>
      <c r="I2445" s="27" t="s">
        <v>1705</v>
      </c>
      <c r="J2445" s="27" t="s">
        <v>1706</v>
      </c>
    </row>
    <row r="2446" spans="1:10" x14ac:dyDescent="0.25">
      <c r="A2446" s="216" t="s">
        <v>385</v>
      </c>
      <c r="B2446" s="45" t="str">
        <f>VLOOKUP(Tabela12[[#This Row],[Painel]],Tabela13[],2,0)</f>
        <v>GB-1203</v>
      </c>
      <c r="C2446" s="45" t="s">
        <v>387</v>
      </c>
      <c r="D2446" s="21" t="s">
        <v>387</v>
      </c>
      <c r="E2446" s="21">
        <v>1</v>
      </c>
      <c r="F2446" s="27" t="str">
        <f>Tabela12[[#This Row],[Régua]]&amp;"-"&amp;Tabela12[[#This Row],[Born]]</f>
        <v>JBI-120-105X-1</v>
      </c>
      <c r="G2446" s="27">
        <f>LEN(Tabela12[[#This Row],[Anilha]])</f>
        <v>14</v>
      </c>
      <c r="H2446" s="21">
        <f>VLOOKUP(Tabela12[[#This Row],[Tag Cabo]],BD!A:F,6,0)</f>
        <v>1</v>
      </c>
      <c r="I2446" s="27" t="s">
        <v>1705</v>
      </c>
      <c r="J2446" s="27" t="s">
        <v>1706</v>
      </c>
    </row>
    <row r="2447" spans="1:10" x14ac:dyDescent="0.25">
      <c r="A2447" s="216" t="s">
        <v>385</v>
      </c>
      <c r="B2447" s="45" t="str">
        <f>VLOOKUP(Tabela12[[#This Row],[Painel]],Tabela13[],2,0)</f>
        <v>GB-1203</v>
      </c>
      <c r="C2447" s="45" t="s">
        <v>387</v>
      </c>
      <c r="D2447" s="21" t="s">
        <v>387</v>
      </c>
      <c r="E2447" s="21">
        <v>2</v>
      </c>
      <c r="F2447" s="27" t="str">
        <f>Tabela12[[#This Row],[Régua]]&amp;"-"&amp;Tabela12[[#This Row],[Born]]</f>
        <v>JBI-120-105X-2</v>
      </c>
      <c r="G2447" s="27">
        <f>LEN(Tabela12[[#This Row],[Anilha]])</f>
        <v>14</v>
      </c>
      <c r="H2447" s="21">
        <f>VLOOKUP(Tabela12[[#This Row],[Tag Cabo]],BD!A:F,6,0)</f>
        <v>1</v>
      </c>
      <c r="I2447" s="27" t="s">
        <v>1705</v>
      </c>
      <c r="J2447" s="27" t="s">
        <v>1706</v>
      </c>
    </row>
    <row r="2448" spans="1:10" x14ac:dyDescent="0.25">
      <c r="A2448" s="216" t="s">
        <v>385</v>
      </c>
      <c r="B2448" s="45" t="str">
        <f>VLOOKUP(Tabela12[[#This Row],[Painel]],Tabela13[],2,0)</f>
        <v>GB-1203</v>
      </c>
      <c r="C2448" s="45" t="s">
        <v>387</v>
      </c>
      <c r="D2448" s="21" t="s">
        <v>387</v>
      </c>
      <c r="E2448" s="21">
        <v>3</v>
      </c>
      <c r="F2448" s="27" t="str">
        <f>Tabela12[[#This Row],[Régua]]&amp;"-"&amp;Tabela12[[#This Row],[Born]]</f>
        <v>JBI-120-105X-3</v>
      </c>
      <c r="G2448" s="27">
        <f>LEN(Tabela12[[#This Row],[Anilha]])</f>
        <v>14</v>
      </c>
      <c r="H2448" s="21">
        <f>VLOOKUP(Tabela12[[#This Row],[Tag Cabo]],BD!A:F,6,0)</f>
        <v>1</v>
      </c>
      <c r="I2448" s="27" t="s">
        <v>1705</v>
      </c>
      <c r="J2448" s="27" t="s">
        <v>1706</v>
      </c>
    </row>
    <row r="2449" spans="1:10" x14ac:dyDescent="0.25">
      <c r="A2449" s="216" t="s">
        <v>385</v>
      </c>
      <c r="B2449" s="45" t="str">
        <f>VLOOKUP(Tabela12[[#This Row],[Painel]],Tabela13[],2,0)</f>
        <v>GB-1203</v>
      </c>
      <c r="C2449" s="45" t="s">
        <v>387</v>
      </c>
      <c r="D2449" s="21" t="s">
        <v>387</v>
      </c>
      <c r="E2449" s="21">
        <v>5</v>
      </c>
      <c r="F2449" s="27" t="str">
        <f>Tabela12[[#This Row],[Régua]]&amp;"-"&amp;Tabela12[[#This Row],[Born]]</f>
        <v>JBI-120-105X-5</v>
      </c>
      <c r="G2449" s="27">
        <f>LEN(Tabela12[[#This Row],[Anilha]])</f>
        <v>14</v>
      </c>
      <c r="H2449" s="21">
        <f>VLOOKUP(Tabela12[[#This Row],[Tag Cabo]],BD!A:F,6,0)</f>
        <v>1</v>
      </c>
      <c r="I2449" s="27" t="s">
        <v>1705</v>
      </c>
      <c r="J2449" s="27" t="s">
        <v>1706</v>
      </c>
    </row>
    <row r="2450" spans="1:10" x14ac:dyDescent="0.25">
      <c r="A2450" s="216" t="s">
        <v>385</v>
      </c>
      <c r="B2450" s="45" t="str">
        <f>VLOOKUP(Tabela12[[#This Row],[Painel]],Tabela13[],2,0)</f>
        <v>GB-1203</v>
      </c>
      <c r="C2450" s="45" t="s">
        <v>387</v>
      </c>
      <c r="D2450" s="21" t="s">
        <v>387</v>
      </c>
      <c r="E2450" s="21">
        <v>6</v>
      </c>
      <c r="F2450" s="27" t="str">
        <f>Tabela12[[#This Row],[Régua]]&amp;"-"&amp;Tabela12[[#This Row],[Born]]</f>
        <v>JBI-120-105X-6</v>
      </c>
      <c r="G2450" s="27">
        <f>LEN(Tabela12[[#This Row],[Anilha]])</f>
        <v>14</v>
      </c>
      <c r="H2450" s="21">
        <f>VLOOKUP(Tabela12[[#This Row],[Tag Cabo]],BD!A:F,6,0)</f>
        <v>1</v>
      </c>
      <c r="I2450" s="27" t="s">
        <v>1705</v>
      </c>
      <c r="J2450" s="27" t="s">
        <v>1706</v>
      </c>
    </row>
    <row r="2451" spans="1:10" x14ac:dyDescent="0.25">
      <c r="A2451" s="216" t="s">
        <v>385</v>
      </c>
      <c r="B2451" s="45" t="str">
        <f>VLOOKUP(Tabela12[[#This Row],[Painel]],Tabela13[],2,0)</f>
        <v>GB-1203</v>
      </c>
      <c r="C2451" s="45" t="s">
        <v>387</v>
      </c>
      <c r="D2451" s="21" t="s">
        <v>387</v>
      </c>
      <c r="E2451" s="21">
        <v>7</v>
      </c>
      <c r="F2451" s="27" t="str">
        <f>Tabela12[[#This Row],[Régua]]&amp;"-"&amp;Tabela12[[#This Row],[Born]]</f>
        <v>JBI-120-105X-7</v>
      </c>
      <c r="G2451" s="27">
        <f>LEN(Tabela12[[#This Row],[Anilha]])</f>
        <v>14</v>
      </c>
      <c r="H2451" s="21">
        <f>VLOOKUP(Tabela12[[#This Row],[Tag Cabo]],BD!A:F,6,0)</f>
        <v>1</v>
      </c>
      <c r="I2451" s="27" t="s">
        <v>1705</v>
      </c>
      <c r="J2451" s="27" t="s">
        <v>1706</v>
      </c>
    </row>
    <row r="2452" spans="1:10" x14ac:dyDescent="0.25">
      <c r="A2452" s="216" t="s">
        <v>385</v>
      </c>
      <c r="B2452" s="45" t="str">
        <f>VLOOKUP(Tabela12[[#This Row],[Painel]],Tabela13[],2,0)</f>
        <v>GB-1203</v>
      </c>
      <c r="C2452" s="45" t="s">
        <v>387</v>
      </c>
      <c r="D2452" s="21" t="s">
        <v>387</v>
      </c>
      <c r="E2452" s="21">
        <v>9</v>
      </c>
      <c r="F2452" s="27" t="str">
        <f>Tabela12[[#This Row],[Régua]]&amp;"-"&amp;Tabela12[[#This Row],[Born]]</f>
        <v>JBI-120-105X-9</v>
      </c>
      <c r="G2452" s="27">
        <f>LEN(Tabela12[[#This Row],[Anilha]])</f>
        <v>14</v>
      </c>
      <c r="H2452" s="21">
        <f>VLOOKUP(Tabela12[[#This Row],[Tag Cabo]],BD!A:F,6,0)</f>
        <v>1</v>
      </c>
      <c r="I2452" s="27" t="s">
        <v>1705</v>
      </c>
      <c r="J2452" s="27" t="s">
        <v>1706</v>
      </c>
    </row>
    <row r="2453" spans="1:10" x14ac:dyDescent="0.25">
      <c r="A2453" s="216" t="s">
        <v>385</v>
      </c>
      <c r="B2453" s="45" t="str">
        <f>VLOOKUP(Tabela12[[#This Row],[Painel]],Tabela13[],2,0)</f>
        <v>GB-1203</v>
      </c>
      <c r="C2453" s="45" t="s">
        <v>387</v>
      </c>
      <c r="D2453" s="21" t="s">
        <v>387</v>
      </c>
      <c r="E2453" s="21">
        <v>10</v>
      </c>
      <c r="F2453" s="27" t="str">
        <f>Tabela12[[#This Row],[Régua]]&amp;"-"&amp;Tabela12[[#This Row],[Born]]</f>
        <v>JBI-120-105X-10</v>
      </c>
      <c r="G2453" s="27">
        <f>LEN(Tabela12[[#This Row],[Anilha]])</f>
        <v>15</v>
      </c>
      <c r="H2453" s="21">
        <f>VLOOKUP(Tabela12[[#This Row],[Tag Cabo]],BD!A:F,6,0)</f>
        <v>1</v>
      </c>
      <c r="I2453" s="27" t="s">
        <v>1705</v>
      </c>
      <c r="J2453" s="27" t="s">
        <v>1706</v>
      </c>
    </row>
    <row r="2454" spans="1:10" x14ac:dyDescent="0.25">
      <c r="A2454" s="216" t="s">
        <v>385</v>
      </c>
      <c r="B2454" s="45" t="str">
        <f>VLOOKUP(Tabela12[[#This Row],[Painel]],Tabela13[],2,0)</f>
        <v>GB-1203</v>
      </c>
      <c r="C2454" s="45" t="s">
        <v>387</v>
      </c>
      <c r="D2454" s="21" t="s">
        <v>387</v>
      </c>
      <c r="E2454" s="21">
        <v>11</v>
      </c>
      <c r="F2454" s="27" t="str">
        <f>Tabela12[[#This Row],[Régua]]&amp;"-"&amp;Tabela12[[#This Row],[Born]]</f>
        <v>JBI-120-105X-11</v>
      </c>
      <c r="G2454" s="27">
        <f>LEN(Tabela12[[#This Row],[Anilha]])</f>
        <v>15</v>
      </c>
      <c r="H2454" s="21">
        <f>VLOOKUP(Tabela12[[#This Row],[Tag Cabo]],BD!A:F,6,0)</f>
        <v>1</v>
      </c>
      <c r="I2454" s="27" t="s">
        <v>1705</v>
      </c>
      <c r="J2454" s="27" t="s">
        <v>1706</v>
      </c>
    </row>
    <row r="2455" spans="1:10" x14ac:dyDescent="0.25">
      <c r="A2455" s="216" t="s">
        <v>385</v>
      </c>
      <c r="B2455" s="45" t="str">
        <f>VLOOKUP(Tabela12[[#This Row],[Painel]],Tabela13[],2,0)</f>
        <v>GB-1203</v>
      </c>
      <c r="C2455" s="45" t="s">
        <v>387</v>
      </c>
      <c r="D2455" s="21" t="s">
        <v>387</v>
      </c>
      <c r="E2455" s="21">
        <v>13</v>
      </c>
      <c r="F2455" s="27" t="str">
        <f>Tabela12[[#This Row],[Régua]]&amp;"-"&amp;Tabela12[[#This Row],[Born]]</f>
        <v>JBI-120-105X-13</v>
      </c>
      <c r="G2455" s="27">
        <f>LEN(Tabela12[[#This Row],[Anilha]])</f>
        <v>15</v>
      </c>
      <c r="H2455" s="21">
        <f>VLOOKUP(Tabela12[[#This Row],[Tag Cabo]],BD!A:F,6,0)</f>
        <v>1</v>
      </c>
      <c r="I2455" s="27" t="s">
        <v>1705</v>
      </c>
      <c r="J2455" s="27" t="s">
        <v>1706</v>
      </c>
    </row>
    <row r="2456" spans="1:10" x14ac:dyDescent="0.25">
      <c r="A2456" s="216" t="s">
        <v>385</v>
      </c>
      <c r="B2456" s="45" t="str">
        <f>VLOOKUP(Tabela12[[#This Row],[Painel]],Tabela13[],2,0)</f>
        <v>GB-1203</v>
      </c>
      <c r="C2456" s="45" t="s">
        <v>387</v>
      </c>
      <c r="D2456" s="21" t="s">
        <v>387</v>
      </c>
      <c r="E2456" s="21">
        <v>14</v>
      </c>
      <c r="F2456" s="27" t="str">
        <f>Tabela12[[#This Row],[Régua]]&amp;"-"&amp;Tabela12[[#This Row],[Born]]</f>
        <v>JBI-120-105X-14</v>
      </c>
      <c r="G2456" s="27">
        <f>LEN(Tabela12[[#This Row],[Anilha]])</f>
        <v>15</v>
      </c>
      <c r="H2456" s="21">
        <f>VLOOKUP(Tabela12[[#This Row],[Tag Cabo]],BD!A:F,6,0)</f>
        <v>1</v>
      </c>
      <c r="I2456" s="27" t="s">
        <v>1705</v>
      </c>
      <c r="J2456" s="27" t="s">
        <v>1706</v>
      </c>
    </row>
    <row r="2457" spans="1:10" x14ac:dyDescent="0.25">
      <c r="A2457" s="216" t="s">
        <v>385</v>
      </c>
      <c r="B2457" s="45" t="str">
        <f>VLOOKUP(Tabela12[[#This Row],[Painel]],Tabela13[],2,0)</f>
        <v>GB-1203</v>
      </c>
      <c r="C2457" s="45" t="s">
        <v>387</v>
      </c>
      <c r="D2457" s="21" t="s">
        <v>387</v>
      </c>
      <c r="E2457" s="21">
        <v>15</v>
      </c>
      <c r="F2457" s="27" t="str">
        <f>Tabela12[[#This Row],[Régua]]&amp;"-"&amp;Tabela12[[#This Row],[Born]]</f>
        <v>JBI-120-105X-15</v>
      </c>
      <c r="G2457" s="27">
        <f>LEN(Tabela12[[#This Row],[Anilha]])</f>
        <v>15</v>
      </c>
      <c r="H2457" s="21">
        <f>VLOOKUP(Tabela12[[#This Row],[Tag Cabo]],BD!A:F,6,0)</f>
        <v>1</v>
      </c>
      <c r="I2457" s="27" t="s">
        <v>1705</v>
      </c>
      <c r="J2457" s="27" t="s">
        <v>1706</v>
      </c>
    </row>
    <row r="2458" spans="1:10" x14ac:dyDescent="0.25">
      <c r="A2458" s="216" t="s">
        <v>385</v>
      </c>
      <c r="B2458" s="45" t="str">
        <f>VLOOKUP(Tabela12[[#This Row],[Painel]],Tabela13[],2,0)</f>
        <v>GB-1203</v>
      </c>
      <c r="C2458" s="45" t="s">
        <v>387</v>
      </c>
      <c r="D2458" s="21" t="s">
        <v>387</v>
      </c>
      <c r="E2458" s="21">
        <v>17</v>
      </c>
      <c r="F2458" s="27" t="str">
        <f>Tabela12[[#This Row],[Régua]]&amp;"-"&amp;Tabela12[[#This Row],[Born]]</f>
        <v>JBI-120-105X-17</v>
      </c>
      <c r="G2458" s="27">
        <f>LEN(Tabela12[[#This Row],[Anilha]])</f>
        <v>15</v>
      </c>
      <c r="H2458" s="21">
        <f>VLOOKUP(Tabela12[[#This Row],[Tag Cabo]],BD!A:F,6,0)</f>
        <v>1</v>
      </c>
      <c r="I2458" s="27" t="s">
        <v>1705</v>
      </c>
      <c r="J2458" s="27" t="s">
        <v>1706</v>
      </c>
    </row>
    <row r="2459" spans="1:10" x14ac:dyDescent="0.25">
      <c r="A2459" s="216" t="s">
        <v>385</v>
      </c>
      <c r="B2459" s="45" t="str">
        <f>VLOOKUP(Tabela12[[#This Row],[Painel]],Tabela13[],2,0)</f>
        <v>GB-1203</v>
      </c>
      <c r="C2459" s="45" t="s">
        <v>387</v>
      </c>
      <c r="D2459" s="21" t="s">
        <v>387</v>
      </c>
      <c r="E2459" s="21">
        <v>18</v>
      </c>
      <c r="F2459" s="27" t="str">
        <f>Tabela12[[#This Row],[Régua]]&amp;"-"&amp;Tabela12[[#This Row],[Born]]</f>
        <v>JBI-120-105X-18</v>
      </c>
      <c r="G2459" s="27">
        <f>LEN(Tabela12[[#This Row],[Anilha]])</f>
        <v>15</v>
      </c>
      <c r="H2459" s="21">
        <f>VLOOKUP(Tabela12[[#This Row],[Tag Cabo]],BD!A:F,6,0)</f>
        <v>1</v>
      </c>
      <c r="I2459" s="27" t="s">
        <v>1705</v>
      </c>
      <c r="J2459" s="27" t="s">
        <v>1706</v>
      </c>
    </row>
    <row r="2460" spans="1:10" x14ac:dyDescent="0.25">
      <c r="A2460" s="216" t="s">
        <v>385</v>
      </c>
      <c r="B2460" s="45" t="str">
        <f>VLOOKUP(Tabela12[[#This Row],[Painel]],Tabela13[],2,0)</f>
        <v>GB-1203</v>
      </c>
      <c r="C2460" s="45" t="s">
        <v>387</v>
      </c>
      <c r="D2460" s="21" t="s">
        <v>387</v>
      </c>
      <c r="E2460" s="21">
        <v>19</v>
      </c>
      <c r="F2460" s="27" t="str">
        <f>Tabela12[[#This Row],[Régua]]&amp;"-"&amp;Tabela12[[#This Row],[Born]]</f>
        <v>JBI-120-105X-19</v>
      </c>
      <c r="G2460" s="27">
        <f>LEN(Tabela12[[#This Row],[Anilha]])</f>
        <v>15</v>
      </c>
      <c r="H2460" s="21">
        <f>VLOOKUP(Tabela12[[#This Row],[Tag Cabo]],BD!A:F,6,0)</f>
        <v>1</v>
      </c>
      <c r="I2460" s="27" t="s">
        <v>1705</v>
      </c>
      <c r="J2460" s="27" t="s">
        <v>1706</v>
      </c>
    </row>
    <row r="2461" spans="1:10" x14ac:dyDescent="0.25">
      <c r="A2461" s="216" t="s">
        <v>385</v>
      </c>
      <c r="B2461" s="45" t="str">
        <f>VLOOKUP(Tabela12[[#This Row],[Painel]],Tabela13[],2,0)</f>
        <v>GB-1203</v>
      </c>
      <c r="C2461" s="45" t="s">
        <v>387</v>
      </c>
      <c r="D2461" s="21" t="s">
        <v>387</v>
      </c>
      <c r="E2461" s="21">
        <v>21</v>
      </c>
      <c r="F2461" s="27" t="str">
        <f>Tabela12[[#This Row],[Régua]]&amp;"-"&amp;Tabela12[[#This Row],[Born]]</f>
        <v>JBI-120-105X-21</v>
      </c>
      <c r="G2461" s="27">
        <f>LEN(Tabela12[[#This Row],[Anilha]])</f>
        <v>15</v>
      </c>
      <c r="H2461" s="21">
        <f>VLOOKUP(Tabela12[[#This Row],[Tag Cabo]],BD!A:F,6,0)</f>
        <v>1</v>
      </c>
      <c r="I2461" s="27" t="s">
        <v>1705</v>
      </c>
      <c r="J2461" s="27" t="s">
        <v>1706</v>
      </c>
    </row>
    <row r="2462" spans="1:10" x14ac:dyDescent="0.25">
      <c r="A2462" s="216" t="s">
        <v>385</v>
      </c>
      <c r="B2462" s="45" t="str">
        <f>VLOOKUP(Tabela12[[#This Row],[Painel]],Tabela13[],2,0)</f>
        <v>GB-1203</v>
      </c>
      <c r="C2462" s="45" t="s">
        <v>387</v>
      </c>
      <c r="D2462" s="21" t="s">
        <v>387</v>
      </c>
      <c r="E2462" s="21">
        <v>22</v>
      </c>
      <c r="F2462" s="27" t="str">
        <f>Tabela12[[#This Row],[Régua]]&amp;"-"&amp;Tabela12[[#This Row],[Born]]</f>
        <v>JBI-120-105X-22</v>
      </c>
      <c r="G2462" s="27">
        <f>LEN(Tabela12[[#This Row],[Anilha]])</f>
        <v>15</v>
      </c>
      <c r="H2462" s="21">
        <f>VLOOKUP(Tabela12[[#This Row],[Tag Cabo]],BD!A:F,6,0)</f>
        <v>1</v>
      </c>
      <c r="I2462" s="27" t="s">
        <v>1705</v>
      </c>
      <c r="J2462" s="27" t="s">
        <v>1706</v>
      </c>
    </row>
    <row r="2463" spans="1:10" x14ac:dyDescent="0.25">
      <c r="A2463" s="216" t="s">
        <v>385</v>
      </c>
      <c r="B2463" s="45" t="str">
        <f>VLOOKUP(Tabela12[[#This Row],[Painel]],Tabela13[],2,0)</f>
        <v>GB-1203</v>
      </c>
      <c r="C2463" s="45" t="s">
        <v>387</v>
      </c>
      <c r="D2463" s="21" t="s">
        <v>387</v>
      </c>
      <c r="E2463" s="21">
        <v>23</v>
      </c>
      <c r="F2463" s="27" t="str">
        <f>Tabela12[[#This Row],[Régua]]&amp;"-"&amp;Tabela12[[#This Row],[Born]]</f>
        <v>JBI-120-105X-23</v>
      </c>
      <c r="G2463" s="27">
        <f>LEN(Tabela12[[#This Row],[Anilha]])</f>
        <v>15</v>
      </c>
      <c r="H2463" s="21">
        <f>VLOOKUP(Tabela12[[#This Row],[Tag Cabo]],BD!A:F,6,0)</f>
        <v>1</v>
      </c>
      <c r="I2463" s="27" t="s">
        <v>1705</v>
      </c>
      <c r="J2463" s="27" t="s">
        <v>1706</v>
      </c>
    </row>
    <row r="2464" spans="1:10" x14ac:dyDescent="0.25">
      <c r="A2464" s="216" t="s">
        <v>385</v>
      </c>
      <c r="B2464" s="45" t="str">
        <f>VLOOKUP(Tabela12[[#This Row],[Painel]],Tabela13[],2,0)</f>
        <v>30LV</v>
      </c>
      <c r="C2464" s="45" t="s">
        <v>1632</v>
      </c>
      <c r="D2464" s="21" t="s">
        <v>1948</v>
      </c>
      <c r="E2464" s="21">
        <v>1</v>
      </c>
      <c r="F2464" s="27" t="str">
        <f>Tabela12[[#This Row],[Régua]]&amp;" ("&amp;Tabela12[[#This Row],[Born]]&amp;")"</f>
        <v>TB-04 (1)</v>
      </c>
      <c r="G2464" s="27">
        <f>LEN(Tabela12[[#This Row],[Anilha]])</f>
        <v>9</v>
      </c>
      <c r="H2464" s="21">
        <f>VLOOKUP(Tabela12[[#This Row],[Tag Cabo]],BD!A:F,6,0)</f>
        <v>1</v>
      </c>
      <c r="I2464" s="27" t="s">
        <v>1705</v>
      </c>
      <c r="J2464" s="27" t="s">
        <v>1706</v>
      </c>
    </row>
    <row r="2465" spans="1:10" x14ac:dyDescent="0.25">
      <c r="A2465" s="216" t="s">
        <v>385</v>
      </c>
      <c r="B2465" s="45" t="str">
        <f>VLOOKUP(Tabela12[[#This Row],[Painel]],Tabela13[],2,0)</f>
        <v>30LV</v>
      </c>
      <c r="C2465" s="45" t="s">
        <v>1632</v>
      </c>
      <c r="D2465" s="21" t="s">
        <v>1948</v>
      </c>
      <c r="E2465" s="21">
        <v>2</v>
      </c>
      <c r="F2465" s="27" t="str">
        <f>Tabela12[[#This Row],[Régua]]&amp;" ("&amp;Tabela12[[#This Row],[Born]]&amp;")"</f>
        <v>TB-04 (2)</v>
      </c>
      <c r="G2465" s="27">
        <f>LEN(Tabela12[[#This Row],[Anilha]])</f>
        <v>9</v>
      </c>
      <c r="H2465" s="21">
        <f>VLOOKUP(Tabela12[[#This Row],[Tag Cabo]],BD!A:F,6,0)</f>
        <v>1</v>
      </c>
      <c r="I2465" s="27" t="s">
        <v>1705</v>
      </c>
      <c r="J2465" s="27" t="s">
        <v>1706</v>
      </c>
    </row>
    <row r="2466" spans="1:10" x14ac:dyDescent="0.25">
      <c r="A2466" s="216" t="s">
        <v>385</v>
      </c>
      <c r="B2466" s="45" t="str">
        <f>VLOOKUP(Tabela12[[#This Row],[Painel]],Tabela13[],2,0)</f>
        <v>30LV</v>
      </c>
      <c r="C2466" s="45" t="s">
        <v>1632</v>
      </c>
      <c r="D2466" s="21" t="s">
        <v>1948</v>
      </c>
      <c r="E2466" s="21">
        <v>3</v>
      </c>
      <c r="F2466" s="27" t="str">
        <f>Tabela12[[#This Row],[Régua]]&amp;" ("&amp;Tabela12[[#This Row],[Born]]&amp;")"</f>
        <v>TB-04 (3)</v>
      </c>
      <c r="G2466" s="27">
        <f>LEN(Tabela12[[#This Row],[Anilha]])</f>
        <v>9</v>
      </c>
      <c r="H2466" s="21">
        <f>VLOOKUP(Tabela12[[#This Row],[Tag Cabo]],BD!A:F,6,0)</f>
        <v>1</v>
      </c>
      <c r="I2466" s="27" t="s">
        <v>1705</v>
      </c>
      <c r="J2466" s="27" t="s">
        <v>1706</v>
      </c>
    </row>
    <row r="2467" spans="1:10" x14ac:dyDescent="0.25">
      <c r="A2467" s="216" t="s">
        <v>385</v>
      </c>
      <c r="B2467" s="45" t="str">
        <f>VLOOKUP(Tabela12[[#This Row],[Painel]],Tabela13[],2,0)</f>
        <v>30LV</v>
      </c>
      <c r="C2467" s="45" t="s">
        <v>1632</v>
      </c>
      <c r="D2467" s="21" t="s">
        <v>1948</v>
      </c>
      <c r="E2467" s="21">
        <v>5</v>
      </c>
      <c r="F2467" s="27" t="str">
        <f>Tabela12[[#This Row],[Régua]]&amp;" ("&amp;Tabela12[[#This Row],[Born]]&amp;")"</f>
        <v>TB-04 (5)</v>
      </c>
      <c r="G2467" s="27">
        <f>LEN(Tabela12[[#This Row],[Anilha]])</f>
        <v>9</v>
      </c>
      <c r="H2467" s="21">
        <f>VLOOKUP(Tabela12[[#This Row],[Tag Cabo]],BD!A:F,6,0)</f>
        <v>1</v>
      </c>
      <c r="I2467" s="27" t="s">
        <v>1705</v>
      </c>
      <c r="J2467" s="27" t="s">
        <v>1706</v>
      </c>
    </row>
    <row r="2468" spans="1:10" x14ac:dyDescent="0.25">
      <c r="A2468" s="216" t="s">
        <v>385</v>
      </c>
      <c r="B2468" s="45" t="str">
        <f>VLOOKUP(Tabela12[[#This Row],[Painel]],Tabela13[],2,0)</f>
        <v>30LV</v>
      </c>
      <c r="C2468" s="45" t="s">
        <v>1632</v>
      </c>
      <c r="D2468" s="21" t="s">
        <v>1948</v>
      </c>
      <c r="E2468" s="21">
        <v>6</v>
      </c>
      <c r="F2468" s="27" t="str">
        <f>Tabela12[[#This Row],[Régua]]&amp;" ("&amp;Tabela12[[#This Row],[Born]]&amp;")"</f>
        <v>TB-04 (6)</v>
      </c>
      <c r="G2468" s="27">
        <f>LEN(Tabela12[[#This Row],[Anilha]])</f>
        <v>9</v>
      </c>
      <c r="H2468" s="21">
        <f>VLOOKUP(Tabela12[[#This Row],[Tag Cabo]],BD!A:F,6,0)</f>
        <v>1</v>
      </c>
      <c r="I2468" s="27" t="s">
        <v>1705</v>
      </c>
      <c r="J2468" s="27" t="s">
        <v>1706</v>
      </c>
    </row>
    <row r="2469" spans="1:10" x14ac:dyDescent="0.25">
      <c r="A2469" s="216" t="s">
        <v>385</v>
      </c>
      <c r="B2469" s="45" t="str">
        <f>VLOOKUP(Tabela12[[#This Row],[Painel]],Tabela13[],2,0)</f>
        <v>30LV</v>
      </c>
      <c r="C2469" s="45" t="s">
        <v>1632</v>
      </c>
      <c r="D2469" s="21" t="s">
        <v>1948</v>
      </c>
      <c r="E2469" s="21">
        <v>7</v>
      </c>
      <c r="F2469" s="27" t="str">
        <f>Tabela12[[#This Row],[Régua]]&amp;" ("&amp;Tabela12[[#This Row],[Born]]&amp;")"</f>
        <v>TB-04 (7)</v>
      </c>
      <c r="G2469" s="27">
        <f>LEN(Tabela12[[#This Row],[Anilha]])</f>
        <v>9</v>
      </c>
      <c r="H2469" s="21">
        <f>VLOOKUP(Tabela12[[#This Row],[Tag Cabo]],BD!A:F,6,0)</f>
        <v>1</v>
      </c>
      <c r="I2469" s="27" t="s">
        <v>1705</v>
      </c>
      <c r="J2469" s="27" t="s">
        <v>1706</v>
      </c>
    </row>
    <row r="2470" spans="1:10" x14ac:dyDescent="0.25">
      <c r="A2470" s="216" t="s">
        <v>385</v>
      </c>
      <c r="B2470" s="45" t="str">
        <f>VLOOKUP(Tabela12[[#This Row],[Painel]],Tabela13[],2,0)</f>
        <v>30LV</v>
      </c>
      <c r="C2470" s="45" t="s">
        <v>1632</v>
      </c>
      <c r="D2470" s="21" t="s">
        <v>1948</v>
      </c>
      <c r="E2470" s="21">
        <v>9</v>
      </c>
      <c r="F2470" s="27" t="str">
        <f>Tabela12[[#This Row],[Régua]]&amp;" ("&amp;Tabela12[[#This Row],[Born]]&amp;")"</f>
        <v>TB-04 (9)</v>
      </c>
      <c r="G2470" s="27">
        <f>LEN(Tabela12[[#This Row],[Anilha]])</f>
        <v>9</v>
      </c>
      <c r="H2470" s="21">
        <f>VLOOKUP(Tabela12[[#This Row],[Tag Cabo]],BD!A:F,6,0)</f>
        <v>1</v>
      </c>
      <c r="I2470" s="27" t="s">
        <v>1705</v>
      </c>
      <c r="J2470" s="27" t="s">
        <v>1706</v>
      </c>
    </row>
    <row r="2471" spans="1:10" x14ac:dyDescent="0.25">
      <c r="A2471" s="216" t="s">
        <v>385</v>
      </c>
      <c r="B2471" s="45" t="str">
        <f>VLOOKUP(Tabela12[[#This Row],[Painel]],Tabela13[],2,0)</f>
        <v>30LV</v>
      </c>
      <c r="C2471" s="45" t="s">
        <v>1632</v>
      </c>
      <c r="D2471" s="21" t="s">
        <v>1948</v>
      </c>
      <c r="E2471" s="21">
        <v>10</v>
      </c>
      <c r="F2471" s="27" t="str">
        <f>Tabela12[[#This Row],[Régua]]&amp;" ("&amp;Tabela12[[#This Row],[Born]]&amp;")"</f>
        <v>TB-04 (10)</v>
      </c>
      <c r="G2471" s="27">
        <f>LEN(Tabela12[[#This Row],[Anilha]])</f>
        <v>10</v>
      </c>
      <c r="H2471" s="21">
        <f>VLOOKUP(Tabela12[[#This Row],[Tag Cabo]],BD!A:F,6,0)</f>
        <v>1</v>
      </c>
      <c r="I2471" s="27" t="s">
        <v>1705</v>
      </c>
      <c r="J2471" s="27" t="s">
        <v>1706</v>
      </c>
    </row>
    <row r="2472" spans="1:10" x14ac:dyDescent="0.25">
      <c r="A2472" s="216" t="s">
        <v>385</v>
      </c>
      <c r="B2472" s="45" t="str">
        <f>VLOOKUP(Tabela12[[#This Row],[Painel]],Tabela13[],2,0)</f>
        <v>30LV</v>
      </c>
      <c r="C2472" s="45" t="s">
        <v>1632</v>
      </c>
      <c r="D2472" s="21" t="s">
        <v>1948</v>
      </c>
      <c r="E2472" s="21">
        <v>11</v>
      </c>
      <c r="F2472" s="27" t="str">
        <f>Tabela12[[#This Row],[Régua]]&amp;" ("&amp;Tabela12[[#This Row],[Born]]&amp;")"</f>
        <v>TB-04 (11)</v>
      </c>
      <c r="G2472" s="27">
        <f>LEN(Tabela12[[#This Row],[Anilha]])</f>
        <v>10</v>
      </c>
      <c r="H2472" s="21">
        <f>VLOOKUP(Tabela12[[#This Row],[Tag Cabo]],BD!A:F,6,0)</f>
        <v>1</v>
      </c>
      <c r="I2472" s="27" t="s">
        <v>1705</v>
      </c>
      <c r="J2472" s="27" t="s">
        <v>1706</v>
      </c>
    </row>
    <row r="2473" spans="1:10" x14ac:dyDescent="0.25">
      <c r="A2473" s="216" t="s">
        <v>385</v>
      </c>
      <c r="B2473" s="45" t="str">
        <f>VLOOKUP(Tabela12[[#This Row],[Painel]],Tabela13[],2,0)</f>
        <v>30LV</v>
      </c>
      <c r="C2473" s="45" t="s">
        <v>1632</v>
      </c>
      <c r="D2473" s="21" t="s">
        <v>1948</v>
      </c>
      <c r="E2473" s="21">
        <v>13</v>
      </c>
      <c r="F2473" s="27" t="str">
        <f>Tabela12[[#This Row],[Régua]]&amp;" ("&amp;Tabela12[[#This Row],[Born]]&amp;")"</f>
        <v>TB-04 (13)</v>
      </c>
      <c r="G2473" s="27">
        <f>LEN(Tabela12[[#This Row],[Anilha]])</f>
        <v>10</v>
      </c>
      <c r="H2473" s="21">
        <f>VLOOKUP(Tabela12[[#This Row],[Tag Cabo]],BD!A:F,6,0)</f>
        <v>1</v>
      </c>
      <c r="I2473" s="27" t="s">
        <v>1705</v>
      </c>
      <c r="J2473" s="27" t="s">
        <v>1706</v>
      </c>
    </row>
    <row r="2474" spans="1:10" x14ac:dyDescent="0.25">
      <c r="A2474" s="216" t="s">
        <v>385</v>
      </c>
      <c r="B2474" s="45" t="str">
        <f>VLOOKUP(Tabela12[[#This Row],[Painel]],Tabela13[],2,0)</f>
        <v>30LV</v>
      </c>
      <c r="C2474" s="45" t="s">
        <v>1632</v>
      </c>
      <c r="D2474" s="21" t="s">
        <v>1948</v>
      </c>
      <c r="E2474" s="21">
        <v>14</v>
      </c>
      <c r="F2474" s="27" t="str">
        <f>Tabela12[[#This Row],[Régua]]&amp;" ("&amp;Tabela12[[#This Row],[Born]]&amp;")"</f>
        <v>TB-04 (14)</v>
      </c>
      <c r="G2474" s="27">
        <f>LEN(Tabela12[[#This Row],[Anilha]])</f>
        <v>10</v>
      </c>
      <c r="H2474" s="21">
        <f>VLOOKUP(Tabela12[[#This Row],[Tag Cabo]],BD!A:F,6,0)</f>
        <v>1</v>
      </c>
      <c r="I2474" s="27" t="s">
        <v>1705</v>
      </c>
      <c r="J2474" s="27" t="s">
        <v>1706</v>
      </c>
    </row>
    <row r="2475" spans="1:10" x14ac:dyDescent="0.25">
      <c r="A2475" s="216" t="s">
        <v>385</v>
      </c>
      <c r="B2475" s="45" t="str">
        <f>VLOOKUP(Tabela12[[#This Row],[Painel]],Tabela13[],2,0)</f>
        <v>30LV</v>
      </c>
      <c r="C2475" s="45" t="s">
        <v>1632</v>
      </c>
      <c r="D2475" s="21" t="s">
        <v>1948</v>
      </c>
      <c r="E2475" s="21">
        <v>15</v>
      </c>
      <c r="F2475" s="27" t="str">
        <f>Tabela12[[#This Row],[Régua]]&amp;" ("&amp;Tabela12[[#This Row],[Born]]&amp;")"</f>
        <v>TB-04 (15)</v>
      </c>
      <c r="G2475" s="27">
        <f>LEN(Tabela12[[#This Row],[Anilha]])</f>
        <v>10</v>
      </c>
      <c r="H2475" s="21">
        <f>VLOOKUP(Tabela12[[#This Row],[Tag Cabo]],BD!A:F,6,0)</f>
        <v>1</v>
      </c>
      <c r="I2475" s="27" t="s">
        <v>1705</v>
      </c>
      <c r="J2475" s="27" t="s">
        <v>1706</v>
      </c>
    </row>
    <row r="2476" spans="1:10" x14ac:dyDescent="0.25">
      <c r="A2476" s="216" t="s">
        <v>385</v>
      </c>
      <c r="B2476" s="45" t="str">
        <f>VLOOKUP(Tabela12[[#This Row],[Painel]],Tabela13[],2,0)</f>
        <v>30LV</v>
      </c>
      <c r="C2476" s="45" t="s">
        <v>1632</v>
      </c>
      <c r="D2476" s="21" t="s">
        <v>1948</v>
      </c>
      <c r="E2476" s="21">
        <v>17</v>
      </c>
      <c r="F2476" s="27" t="str">
        <f>Tabela12[[#This Row],[Régua]]&amp;" ("&amp;Tabela12[[#This Row],[Born]]&amp;")"</f>
        <v>TB-04 (17)</v>
      </c>
      <c r="G2476" s="27">
        <f>LEN(Tabela12[[#This Row],[Anilha]])</f>
        <v>10</v>
      </c>
      <c r="H2476" s="21">
        <f>VLOOKUP(Tabela12[[#This Row],[Tag Cabo]],BD!A:F,6,0)</f>
        <v>1</v>
      </c>
      <c r="I2476" s="27" t="s">
        <v>1705</v>
      </c>
      <c r="J2476" s="27" t="s">
        <v>1706</v>
      </c>
    </row>
    <row r="2477" spans="1:10" x14ac:dyDescent="0.25">
      <c r="A2477" s="216" t="s">
        <v>385</v>
      </c>
      <c r="B2477" s="45" t="str">
        <f>VLOOKUP(Tabela12[[#This Row],[Painel]],Tabela13[],2,0)</f>
        <v>30LV</v>
      </c>
      <c r="C2477" s="45" t="s">
        <v>1632</v>
      </c>
      <c r="D2477" s="21" t="s">
        <v>1948</v>
      </c>
      <c r="E2477" s="21">
        <v>18</v>
      </c>
      <c r="F2477" s="27" t="str">
        <f>Tabela12[[#This Row],[Régua]]&amp;" ("&amp;Tabela12[[#This Row],[Born]]&amp;")"</f>
        <v>TB-04 (18)</v>
      </c>
      <c r="G2477" s="27">
        <f>LEN(Tabela12[[#This Row],[Anilha]])</f>
        <v>10</v>
      </c>
      <c r="H2477" s="21">
        <f>VLOOKUP(Tabela12[[#This Row],[Tag Cabo]],BD!A:F,6,0)</f>
        <v>1</v>
      </c>
      <c r="I2477" s="27" t="s">
        <v>1705</v>
      </c>
      <c r="J2477" s="27" t="s">
        <v>1706</v>
      </c>
    </row>
    <row r="2478" spans="1:10" x14ac:dyDescent="0.25">
      <c r="A2478" s="216" t="s">
        <v>385</v>
      </c>
      <c r="B2478" s="45" t="str">
        <f>VLOOKUP(Tabela12[[#This Row],[Painel]],Tabela13[],2,0)</f>
        <v>30LV</v>
      </c>
      <c r="C2478" s="45" t="s">
        <v>1632</v>
      </c>
      <c r="D2478" s="21" t="s">
        <v>1948</v>
      </c>
      <c r="E2478" s="21">
        <v>19</v>
      </c>
      <c r="F2478" s="27" t="str">
        <f>Tabela12[[#This Row],[Régua]]&amp;" ("&amp;Tabela12[[#This Row],[Born]]&amp;")"</f>
        <v>TB-04 (19)</v>
      </c>
      <c r="G2478" s="27">
        <f>LEN(Tabela12[[#This Row],[Anilha]])</f>
        <v>10</v>
      </c>
      <c r="H2478" s="21">
        <f>VLOOKUP(Tabela12[[#This Row],[Tag Cabo]],BD!A:F,6,0)</f>
        <v>1</v>
      </c>
      <c r="I2478" s="27" t="s">
        <v>1705</v>
      </c>
      <c r="J2478" s="27" t="s">
        <v>1706</v>
      </c>
    </row>
    <row r="2479" spans="1:10" x14ac:dyDescent="0.25">
      <c r="A2479" s="216" t="s">
        <v>385</v>
      </c>
      <c r="B2479" s="45" t="str">
        <f>VLOOKUP(Tabela12[[#This Row],[Painel]],Tabela13[],2,0)</f>
        <v>30LV</v>
      </c>
      <c r="C2479" s="45" t="s">
        <v>1632</v>
      </c>
      <c r="D2479" s="21" t="s">
        <v>1948</v>
      </c>
      <c r="E2479" s="21">
        <v>21</v>
      </c>
      <c r="F2479" s="27" t="str">
        <f>Tabela12[[#This Row],[Régua]]&amp;" ("&amp;Tabela12[[#This Row],[Born]]&amp;")"</f>
        <v>TB-04 (21)</v>
      </c>
      <c r="G2479" s="27">
        <f>LEN(Tabela12[[#This Row],[Anilha]])</f>
        <v>10</v>
      </c>
      <c r="H2479" s="21">
        <f>VLOOKUP(Tabela12[[#This Row],[Tag Cabo]],BD!A:F,6,0)</f>
        <v>1</v>
      </c>
      <c r="I2479" s="27" t="s">
        <v>1705</v>
      </c>
      <c r="J2479" s="27" t="s">
        <v>1706</v>
      </c>
    </row>
    <row r="2480" spans="1:10" x14ac:dyDescent="0.25">
      <c r="A2480" s="216" t="s">
        <v>385</v>
      </c>
      <c r="B2480" s="45" t="str">
        <f>VLOOKUP(Tabela12[[#This Row],[Painel]],Tabela13[],2,0)</f>
        <v>30LV</v>
      </c>
      <c r="C2480" s="45" t="s">
        <v>1632</v>
      </c>
      <c r="D2480" s="21" t="s">
        <v>1948</v>
      </c>
      <c r="E2480" s="21">
        <v>22</v>
      </c>
      <c r="F2480" s="27" t="str">
        <f>Tabela12[[#This Row],[Régua]]&amp;" ("&amp;Tabela12[[#This Row],[Born]]&amp;")"</f>
        <v>TB-04 (22)</v>
      </c>
      <c r="G2480" s="27">
        <f>LEN(Tabela12[[#This Row],[Anilha]])</f>
        <v>10</v>
      </c>
      <c r="H2480" s="21">
        <f>VLOOKUP(Tabela12[[#This Row],[Tag Cabo]],BD!A:F,6,0)</f>
        <v>1</v>
      </c>
      <c r="I2480" s="27" t="s">
        <v>1705</v>
      </c>
      <c r="J2480" s="27" t="s">
        <v>1706</v>
      </c>
    </row>
    <row r="2481" spans="1:10" x14ac:dyDescent="0.25">
      <c r="A2481" s="216" t="s">
        <v>385</v>
      </c>
      <c r="B2481" s="45" t="str">
        <f>VLOOKUP(Tabela12[[#This Row],[Painel]],Tabela13[],2,0)</f>
        <v>30LV</v>
      </c>
      <c r="C2481" s="45" t="s">
        <v>1632</v>
      </c>
      <c r="D2481" s="21" t="s">
        <v>1948</v>
      </c>
      <c r="E2481" s="21">
        <v>23</v>
      </c>
      <c r="F2481" s="27" t="str">
        <f>Tabela12[[#This Row],[Régua]]&amp;" ("&amp;Tabela12[[#This Row],[Born]]&amp;")"</f>
        <v>TB-04 (23)</v>
      </c>
      <c r="G2481" s="27">
        <f>LEN(Tabela12[[#This Row],[Anilha]])</f>
        <v>10</v>
      </c>
      <c r="H2481" s="21">
        <f>VLOOKUP(Tabela12[[#This Row],[Tag Cabo]],BD!A:F,6,0)</f>
        <v>1</v>
      </c>
      <c r="I2481" s="27" t="s">
        <v>1705</v>
      </c>
      <c r="J2481" s="27" t="s">
        <v>1706</v>
      </c>
    </row>
    <row r="2482" spans="1:10" x14ac:dyDescent="0.25">
      <c r="A2482" s="216" t="s">
        <v>385</v>
      </c>
      <c r="B2482" s="45" t="str">
        <f>VLOOKUP(Tabela12[[#This Row],[Painel]],Tabela13[],2,0)</f>
        <v>30LV</v>
      </c>
      <c r="C2482" s="45" t="s">
        <v>1632</v>
      </c>
      <c r="D2482" s="21" t="s">
        <v>1948</v>
      </c>
      <c r="E2482" s="21">
        <v>25</v>
      </c>
      <c r="F2482" s="27" t="str">
        <f>Tabela12[[#This Row],[Régua]]&amp;" ("&amp;Tabela12[[#This Row],[Born]]&amp;")"</f>
        <v>TB-04 (25)</v>
      </c>
      <c r="G2482" s="27">
        <f>LEN(Tabela12[[#This Row],[Anilha]])</f>
        <v>10</v>
      </c>
      <c r="H2482" s="21">
        <f>VLOOKUP(Tabela12[[#This Row],[Tag Cabo]],BD!A:F,6,0)</f>
        <v>1</v>
      </c>
      <c r="I2482" s="27" t="s">
        <v>1705</v>
      </c>
      <c r="J2482" s="27" t="s">
        <v>1706</v>
      </c>
    </row>
    <row r="2483" spans="1:10" x14ac:dyDescent="0.25">
      <c r="A2483" s="216" t="s">
        <v>385</v>
      </c>
      <c r="B2483" s="45" t="str">
        <f>VLOOKUP(Tabela12[[#This Row],[Painel]],Tabela13[],2,0)</f>
        <v>30LV</v>
      </c>
      <c r="C2483" s="45" t="s">
        <v>1632</v>
      </c>
      <c r="D2483" s="21" t="s">
        <v>1948</v>
      </c>
      <c r="E2483" s="21">
        <v>26</v>
      </c>
      <c r="F2483" s="27" t="str">
        <f>Tabela12[[#This Row],[Régua]]&amp;" ("&amp;Tabela12[[#This Row],[Born]]&amp;")"</f>
        <v>TB-04 (26)</v>
      </c>
      <c r="G2483" s="27">
        <f>LEN(Tabela12[[#This Row],[Anilha]])</f>
        <v>10</v>
      </c>
      <c r="H2483" s="21">
        <f>VLOOKUP(Tabela12[[#This Row],[Tag Cabo]],BD!A:F,6,0)</f>
        <v>1</v>
      </c>
      <c r="I2483" s="27" t="s">
        <v>1705</v>
      </c>
      <c r="J2483" s="27" t="s">
        <v>1706</v>
      </c>
    </row>
    <row r="2484" spans="1:10" x14ac:dyDescent="0.25">
      <c r="A2484" s="216" t="s">
        <v>385</v>
      </c>
      <c r="B2484" s="45" t="str">
        <f>VLOOKUP(Tabela12[[#This Row],[Painel]],Tabela13[],2,0)</f>
        <v>30LV</v>
      </c>
      <c r="C2484" s="45" t="s">
        <v>1632</v>
      </c>
      <c r="D2484" s="21" t="s">
        <v>1948</v>
      </c>
      <c r="E2484" s="21">
        <v>27</v>
      </c>
      <c r="F2484" s="27" t="str">
        <f>Tabela12[[#This Row],[Régua]]&amp;" ("&amp;Tabela12[[#This Row],[Born]]&amp;")"</f>
        <v>TB-04 (27)</v>
      </c>
      <c r="G2484" s="27">
        <f>LEN(Tabela12[[#This Row],[Anilha]])</f>
        <v>10</v>
      </c>
      <c r="H2484" s="21">
        <f>VLOOKUP(Tabela12[[#This Row],[Tag Cabo]],BD!A:F,6,0)</f>
        <v>1</v>
      </c>
      <c r="I2484" s="27" t="s">
        <v>1705</v>
      </c>
      <c r="J2484" s="27" t="s">
        <v>1706</v>
      </c>
    </row>
    <row r="2485" spans="1:10" x14ac:dyDescent="0.25">
      <c r="A2485" s="216" t="s">
        <v>385</v>
      </c>
      <c r="B2485" s="45" t="str">
        <f>VLOOKUP(Tabela12[[#This Row],[Painel]],Tabela13[],2,0)</f>
        <v>30LV</v>
      </c>
      <c r="C2485" s="45" t="s">
        <v>1632</v>
      </c>
      <c r="D2485" s="21" t="s">
        <v>1948</v>
      </c>
      <c r="E2485" s="21">
        <v>29</v>
      </c>
      <c r="F2485" s="27" t="str">
        <f>Tabela12[[#This Row],[Régua]]&amp;" ("&amp;Tabela12[[#This Row],[Born]]&amp;")"</f>
        <v>TB-04 (29)</v>
      </c>
      <c r="G2485" s="27">
        <f>LEN(Tabela12[[#This Row],[Anilha]])</f>
        <v>10</v>
      </c>
      <c r="H2485" s="21">
        <f>VLOOKUP(Tabela12[[#This Row],[Tag Cabo]],BD!A:F,6,0)</f>
        <v>1</v>
      </c>
      <c r="I2485" s="27" t="s">
        <v>1705</v>
      </c>
      <c r="J2485" s="27" t="s">
        <v>1706</v>
      </c>
    </row>
    <row r="2486" spans="1:10" x14ac:dyDescent="0.25">
      <c r="A2486" s="216" t="s">
        <v>385</v>
      </c>
      <c r="B2486" s="45" t="str">
        <f>VLOOKUP(Tabela12[[#This Row],[Painel]],Tabela13[],2,0)</f>
        <v>30LV</v>
      </c>
      <c r="C2486" s="45" t="s">
        <v>1632</v>
      </c>
      <c r="D2486" s="21" t="s">
        <v>1948</v>
      </c>
      <c r="E2486" s="21">
        <v>30</v>
      </c>
      <c r="F2486" s="27" t="str">
        <f>Tabela12[[#This Row],[Régua]]&amp;" ("&amp;Tabela12[[#This Row],[Born]]&amp;")"</f>
        <v>TB-04 (30)</v>
      </c>
      <c r="G2486" s="27">
        <f>LEN(Tabela12[[#This Row],[Anilha]])</f>
        <v>10</v>
      </c>
      <c r="H2486" s="21">
        <f>VLOOKUP(Tabela12[[#This Row],[Tag Cabo]],BD!A:F,6,0)</f>
        <v>1</v>
      </c>
      <c r="I2486" s="27" t="s">
        <v>1705</v>
      </c>
      <c r="J2486" s="27" t="s">
        <v>1706</v>
      </c>
    </row>
    <row r="2487" spans="1:10" x14ac:dyDescent="0.25">
      <c r="A2487" s="216" t="s">
        <v>385</v>
      </c>
      <c r="B2487" s="45" t="str">
        <f>VLOOKUP(Tabela12[[#This Row],[Painel]],Tabela13[],2,0)</f>
        <v>30LV</v>
      </c>
      <c r="C2487" s="45" t="s">
        <v>1632</v>
      </c>
      <c r="D2487" s="21" t="s">
        <v>1948</v>
      </c>
      <c r="E2487" s="21">
        <v>31</v>
      </c>
      <c r="F2487" s="27" t="str">
        <f>Tabela12[[#This Row],[Régua]]&amp;" ("&amp;Tabela12[[#This Row],[Born]]&amp;")"</f>
        <v>TB-04 (31)</v>
      </c>
      <c r="G2487" s="27">
        <f>LEN(Tabela12[[#This Row],[Anilha]])</f>
        <v>10</v>
      </c>
      <c r="H2487" s="21">
        <f>VLOOKUP(Tabela12[[#This Row],[Tag Cabo]],BD!A:F,6,0)</f>
        <v>1</v>
      </c>
      <c r="I2487" s="27" t="s">
        <v>1705</v>
      </c>
      <c r="J2487" s="27" t="s">
        <v>1706</v>
      </c>
    </row>
    <row r="2488" spans="1:10" x14ac:dyDescent="0.25">
      <c r="A2488" s="216" t="s">
        <v>636</v>
      </c>
      <c r="B2488" s="45" t="str">
        <f>VLOOKUP(Tabela12[[#This Row],[Painel]],Tabela13[],2,0)</f>
        <v>7HV</v>
      </c>
      <c r="C2488" s="45" t="s">
        <v>1543</v>
      </c>
      <c r="D2488" s="21" t="s">
        <v>2058</v>
      </c>
      <c r="E2488" s="21">
        <v>3</v>
      </c>
      <c r="F2488" s="27" t="str">
        <f>Tabela12[[#This Row],[Régua]]&amp;" ("&amp;Tabela12[[#This Row],[Born]]&amp;")"</f>
        <v>2XDJ3 (3)</v>
      </c>
      <c r="G2488" s="27">
        <f>LEN(Tabela12[[#This Row],[Anilha]])</f>
        <v>9</v>
      </c>
      <c r="H2488" s="21">
        <f>VLOOKUP(Tabela12[[#This Row],[Tag Cabo]],BD!A:F,6,0)</f>
        <v>1</v>
      </c>
      <c r="I2488" s="27" t="s">
        <v>1705</v>
      </c>
      <c r="J2488" s="27" t="s">
        <v>1706</v>
      </c>
    </row>
    <row r="2489" spans="1:10" x14ac:dyDescent="0.25">
      <c r="A2489" s="216" t="s">
        <v>636</v>
      </c>
      <c r="B2489" s="45" t="str">
        <f>VLOOKUP(Tabela12[[#This Row],[Painel]],Tabela13[],2,0)</f>
        <v>7HV</v>
      </c>
      <c r="C2489" s="45" t="s">
        <v>1543</v>
      </c>
      <c r="D2489" s="21" t="s">
        <v>2058</v>
      </c>
      <c r="E2489" s="21">
        <v>3</v>
      </c>
      <c r="F2489" s="27" t="str">
        <f>Tabela12[[#This Row],[Régua]]&amp;" ("&amp;Tabela12[[#This Row],[Born]]&amp;")"</f>
        <v>2XDJ3 (3)</v>
      </c>
      <c r="G2489" s="27">
        <f>LEN(Tabela12[[#This Row],[Anilha]])</f>
        <v>9</v>
      </c>
      <c r="H2489" s="21">
        <f>VLOOKUP(Tabela12[[#This Row],[Tag Cabo]],BD!A:F,6,0)</f>
        <v>1</v>
      </c>
      <c r="I2489" s="27" t="s">
        <v>1705</v>
      </c>
      <c r="J2489" s="27" t="s">
        <v>1706</v>
      </c>
    </row>
    <row r="2490" spans="1:10" x14ac:dyDescent="0.25">
      <c r="A2490" s="216" t="s">
        <v>636</v>
      </c>
      <c r="B2490" s="45" t="str">
        <f>VLOOKUP(Tabela12[[#This Row],[Painel]],Tabela13[],2,0)</f>
        <v>7HV</v>
      </c>
      <c r="C2490" s="45" t="s">
        <v>1543</v>
      </c>
      <c r="D2490" s="21" t="s">
        <v>2058</v>
      </c>
      <c r="E2490" s="21">
        <v>3</v>
      </c>
      <c r="F2490" s="27" t="str">
        <f>Tabela12[[#This Row],[Régua]]&amp;" ("&amp;Tabela12[[#This Row],[Born]]&amp;")"</f>
        <v>2XDJ3 (3)</v>
      </c>
      <c r="G2490" s="27">
        <f>LEN(Tabela12[[#This Row],[Anilha]])</f>
        <v>9</v>
      </c>
      <c r="H2490" s="21">
        <f>VLOOKUP(Tabela12[[#This Row],[Tag Cabo]],BD!A:F,6,0)</f>
        <v>1</v>
      </c>
      <c r="I2490" s="27" t="s">
        <v>1705</v>
      </c>
      <c r="J2490" s="27" t="s">
        <v>1706</v>
      </c>
    </row>
    <row r="2491" spans="1:10" x14ac:dyDescent="0.25">
      <c r="A2491" s="216" t="s">
        <v>636</v>
      </c>
      <c r="B2491" s="45" t="str">
        <f>VLOOKUP(Tabela12[[#This Row],[Painel]],Tabela13[],2,0)</f>
        <v>7HV</v>
      </c>
      <c r="C2491" s="45" t="s">
        <v>1543</v>
      </c>
      <c r="D2491" s="21" t="s">
        <v>2058</v>
      </c>
      <c r="E2491" s="21">
        <v>4</v>
      </c>
      <c r="F2491" s="27" t="str">
        <f>Tabela12[[#This Row],[Régua]]&amp;" ("&amp;Tabela12[[#This Row],[Born]]&amp;")"</f>
        <v>2XDJ3 (4)</v>
      </c>
      <c r="G2491" s="27">
        <f>LEN(Tabela12[[#This Row],[Anilha]])</f>
        <v>9</v>
      </c>
      <c r="H2491" s="21">
        <f>VLOOKUP(Tabela12[[#This Row],[Tag Cabo]],BD!A:F,6,0)</f>
        <v>1</v>
      </c>
      <c r="I2491" s="27" t="s">
        <v>1705</v>
      </c>
      <c r="J2491" s="27" t="s">
        <v>1706</v>
      </c>
    </row>
    <row r="2492" spans="1:10" x14ac:dyDescent="0.25">
      <c r="A2492" s="216" t="s">
        <v>636</v>
      </c>
      <c r="B2492" s="45" t="str">
        <f>VLOOKUP(Tabela12[[#This Row],[Painel]],Tabela13[],2,0)</f>
        <v>7HV</v>
      </c>
      <c r="C2492" s="45" t="s">
        <v>1543</v>
      </c>
      <c r="D2492" s="21" t="s">
        <v>2058</v>
      </c>
      <c r="E2492" s="21">
        <v>5</v>
      </c>
      <c r="F2492" s="27" t="str">
        <f>Tabela12[[#This Row],[Régua]]&amp;" ("&amp;Tabela12[[#This Row],[Born]]&amp;")"</f>
        <v>2XDJ3 (5)</v>
      </c>
      <c r="G2492" s="27">
        <f>LEN(Tabela12[[#This Row],[Anilha]])</f>
        <v>9</v>
      </c>
      <c r="H2492" s="21">
        <f>VLOOKUP(Tabela12[[#This Row],[Tag Cabo]],BD!A:F,6,0)</f>
        <v>1</v>
      </c>
      <c r="I2492" s="27" t="s">
        <v>1705</v>
      </c>
      <c r="J2492" s="27" t="s">
        <v>1706</v>
      </c>
    </row>
    <row r="2493" spans="1:10" x14ac:dyDescent="0.25">
      <c r="A2493" s="216" t="s">
        <v>636</v>
      </c>
      <c r="B2493" s="45" t="str">
        <f>VLOOKUP(Tabela12[[#This Row],[Painel]],Tabela13[],2,0)</f>
        <v>7HV</v>
      </c>
      <c r="C2493" s="45" t="s">
        <v>1543</v>
      </c>
      <c r="D2493" s="21" t="s">
        <v>2058</v>
      </c>
      <c r="E2493" s="21">
        <v>6</v>
      </c>
      <c r="F2493" s="27" t="str">
        <f>Tabela12[[#This Row],[Régua]]&amp;" ("&amp;Tabela12[[#This Row],[Born]]&amp;")"</f>
        <v>2XDJ3 (6)</v>
      </c>
      <c r="G2493" s="27">
        <f>LEN(Tabela12[[#This Row],[Anilha]])</f>
        <v>9</v>
      </c>
      <c r="H2493" s="21">
        <f>VLOOKUP(Tabela12[[#This Row],[Tag Cabo]],BD!A:F,6,0)</f>
        <v>1</v>
      </c>
      <c r="I2493" s="27" t="s">
        <v>1705</v>
      </c>
      <c r="J2493" s="27" t="s">
        <v>1706</v>
      </c>
    </row>
    <row r="2494" spans="1:10" x14ac:dyDescent="0.25">
      <c r="A2494" s="216" t="s">
        <v>636</v>
      </c>
      <c r="B2494" s="45" t="str">
        <f>VLOOKUP(Tabela12[[#This Row],[Painel]],Tabela13[],2,0)</f>
        <v>30LV</v>
      </c>
      <c r="C2494" s="45" t="s">
        <v>1632</v>
      </c>
      <c r="D2494" s="21" t="s">
        <v>1945</v>
      </c>
      <c r="E2494" s="21">
        <v>37</v>
      </c>
      <c r="F2494" s="27" t="str">
        <f>Tabela12[[#This Row],[Régua]]&amp;" ("&amp;Tabela12[[#This Row],[Born]]&amp;")"</f>
        <v>TB-22A (37)</v>
      </c>
      <c r="G2494" s="27">
        <f>LEN(Tabela12[[#This Row],[Anilha]])</f>
        <v>11</v>
      </c>
      <c r="H2494" s="21">
        <f>VLOOKUP(Tabela12[[#This Row],[Tag Cabo]],BD!A:F,6,0)</f>
        <v>1</v>
      </c>
      <c r="I2494" s="27" t="s">
        <v>1705</v>
      </c>
      <c r="J2494" s="27" t="s">
        <v>1706</v>
      </c>
    </row>
    <row r="2495" spans="1:10" x14ac:dyDescent="0.25">
      <c r="A2495" s="216" t="s">
        <v>636</v>
      </c>
      <c r="B2495" s="45" t="str">
        <f>VLOOKUP(Tabela12[[#This Row],[Painel]],Tabela13[],2,0)</f>
        <v>30LV</v>
      </c>
      <c r="C2495" s="45" t="s">
        <v>1632</v>
      </c>
      <c r="D2495" s="21" t="s">
        <v>1945</v>
      </c>
      <c r="E2495" s="21">
        <v>38</v>
      </c>
      <c r="F2495" s="27" t="str">
        <f>Tabela12[[#This Row],[Régua]]&amp;" ("&amp;Tabela12[[#This Row],[Born]]&amp;")"</f>
        <v>TB-22A (38)</v>
      </c>
      <c r="G2495" s="27">
        <f>LEN(Tabela12[[#This Row],[Anilha]])</f>
        <v>11</v>
      </c>
      <c r="H2495" s="21">
        <f>VLOOKUP(Tabela12[[#This Row],[Tag Cabo]],BD!A:F,6,0)</f>
        <v>1</v>
      </c>
      <c r="I2495" s="27" t="s">
        <v>1705</v>
      </c>
      <c r="J2495" s="27" t="s">
        <v>1706</v>
      </c>
    </row>
    <row r="2496" spans="1:10" x14ac:dyDescent="0.25">
      <c r="A2496" s="216" t="s">
        <v>636</v>
      </c>
      <c r="B2496" s="45" t="str">
        <f>VLOOKUP(Tabela12[[#This Row],[Painel]],Tabela13[],2,0)</f>
        <v>30LV</v>
      </c>
      <c r="C2496" s="45" t="s">
        <v>1632</v>
      </c>
      <c r="D2496" s="21" t="s">
        <v>1945</v>
      </c>
      <c r="E2496" s="21">
        <v>40</v>
      </c>
      <c r="F2496" s="27" t="str">
        <f>Tabela12[[#This Row],[Régua]]&amp;" ("&amp;Tabela12[[#This Row],[Born]]&amp;")"</f>
        <v>TB-22A (40)</v>
      </c>
      <c r="G2496" s="27">
        <f>LEN(Tabela12[[#This Row],[Anilha]])</f>
        <v>11</v>
      </c>
      <c r="H2496" s="21">
        <f>VLOOKUP(Tabela12[[#This Row],[Tag Cabo]],BD!A:F,6,0)</f>
        <v>1</v>
      </c>
      <c r="I2496" s="27" t="s">
        <v>1705</v>
      </c>
      <c r="J2496" s="27" t="s">
        <v>1706</v>
      </c>
    </row>
    <row r="2497" spans="1:10" x14ac:dyDescent="0.25">
      <c r="A2497" s="216" t="s">
        <v>636</v>
      </c>
      <c r="B2497" s="45" t="str">
        <f>VLOOKUP(Tabela12[[#This Row],[Painel]],Tabela13[],2,0)</f>
        <v>30LV</v>
      </c>
      <c r="C2497" s="45" t="s">
        <v>1632</v>
      </c>
      <c r="D2497" s="21" t="s">
        <v>1945</v>
      </c>
      <c r="E2497" s="21">
        <v>41</v>
      </c>
      <c r="F2497" s="27" t="str">
        <f>Tabela12[[#This Row],[Régua]]&amp;" ("&amp;Tabela12[[#This Row],[Born]]&amp;")"</f>
        <v>TB-22A (41)</v>
      </c>
      <c r="G2497" s="27">
        <f>LEN(Tabela12[[#This Row],[Anilha]])</f>
        <v>11</v>
      </c>
      <c r="H2497" s="21">
        <f>VLOOKUP(Tabela12[[#This Row],[Tag Cabo]],BD!A:F,6,0)</f>
        <v>1</v>
      </c>
      <c r="I2497" s="27" t="s">
        <v>1705</v>
      </c>
      <c r="J2497" s="27" t="s">
        <v>1706</v>
      </c>
    </row>
    <row r="2498" spans="1:10" x14ac:dyDescent="0.25">
      <c r="A2498" s="216" t="s">
        <v>636</v>
      </c>
      <c r="B2498" s="45" t="str">
        <f>VLOOKUP(Tabela12[[#This Row],[Painel]],Tabela13[],2,0)</f>
        <v>30LV</v>
      </c>
      <c r="C2498" s="45" t="s">
        <v>1632</v>
      </c>
      <c r="D2498" s="21" t="s">
        <v>1945</v>
      </c>
      <c r="E2498" s="21">
        <v>43</v>
      </c>
      <c r="F2498" s="27" t="str">
        <f>Tabela12[[#This Row],[Régua]]&amp;" ("&amp;Tabela12[[#This Row],[Born]]&amp;")"</f>
        <v>TB-22A (43)</v>
      </c>
      <c r="G2498" s="27">
        <f>LEN(Tabela12[[#This Row],[Anilha]])</f>
        <v>11</v>
      </c>
      <c r="H2498" s="21">
        <f>VLOOKUP(Tabela12[[#This Row],[Tag Cabo]],BD!A:F,6,0)</f>
        <v>1</v>
      </c>
      <c r="I2498" s="27" t="s">
        <v>1705</v>
      </c>
      <c r="J2498" s="27" t="s">
        <v>1706</v>
      </c>
    </row>
    <row r="2499" spans="1:10" x14ac:dyDescent="0.25">
      <c r="A2499" s="216" t="s">
        <v>636</v>
      </c>
      <c r="B2499" s="45" t="str">
        <f>VLOOKUP(Tabela12[[#This Row],[Painel]],Tabela13[],2,0)</f>
        <v>30LV</v>
      </c>
      <c r="C2499" s="45" t="s">
        <v>1632</v>
      </c>
      <c r="D2499" s="21" t="s">
        <v>1945</v>
      </c>
      <c r="E2499" s="21">
        <v>44</v>
      </c>
      <c r="F2499" s="27" t="str">
        <f>Tabela12[[#This Row],[Régua]]&amp;" ("&amp;Tabela12[[#This Row],[Born]]&amp;")"</f>
        <v>TB-22A (44)</v>
      </c>
      <c r="G2499" s="27">
        <f>LEN(Tabela12[[#This Row],[Anilha]])</f>
        <v>11</v>
      </c>
      <c r="H2499" s="21">
        <f>VLOOKUP(Tabela12[[#This Row],[Tag Cabo]],BD!A:F,6,0)</f>
        <v>1</v>
      </c>
      <c r="I2499" s="27" t="s">
        <v>1705</v>
      </c>
      <c r="J2499" s="27" t="s">
        <v>1706</v>
      </c>
    </row>
    <row r="2500" spans="1:10" x14ac:dyDescent="0.25">
      <c r="A2500" s="216" t="s">
        <v>637</v>
      </c>
      <c r="B2500" s="45" t="str">
        <f>VLOOKUP(Tabela12[[#This Row],[Painel]],Tabela13[],2,0)</f>
        <v>7HV</v>
      </c>
      <c r="C2500" s="45" t="s">
        <v>1543</v>
      </c>
      <c r="D2500" s="21" t="s">
        <v>2058</v>
      </c>
      <c r="E2500" s="21">
        <v>7</v>
      </c>
      <c r="F2500" s="27" t="str">
        <f>Tabela12[[#This Row],[Régua]]&amp;" ("&amp;Tabela12[[#This Row],[Born]]&amp;")"</f>
        <v>2XDJ3 (7)</v>
      </c>
      <c r="G2500" s="27">
        <f>LEN(Tabela12[[#This Row],[Anilha]])</f>
        <v>9</v>
      </c>
      <c r="H2500" s="21">
        <f>VLOOKUP(Tabela12[[#This Row],[Tag Cabo]],BD!A:F,6,0)</f>
        <v>1</v>
      </c>
      <c r="I2500" s="27" t="s">
        <v>1705</v>
      </c>
      <c r="J2500" s="27" t="s">
        <v>1706</v>
      </c>
    </row>
    <row r="2501" spans="1:10" x14ac:dyDescent="0.25">
      <c r="A2501" s="216" t="s">
        <v>637</v>
      </c>
      <c r="B2501" s="45" t="str">
        <f>VLOOKUP(Tabela12[[#This Row],[Painel]],Tabela13[],2,0)</f>
        <v>7HV</v>
      </c>
      <c r="C2501" s="45" t="s">
        <v>1543</v>
      </c>
      <c r="D2501" s="21" t="s">
        <v>2058</v>
      </c>
      <c r="E2501" s="21">
        <v>7</v>
      </c>
      <c r="F2501" s="27" t="str">
        <f>Tabela12[[#This Row],[Régua]]&amp;" ("&amp;Tabela12[[#This Row],[Born]]&amp;")"</f>
        <v>2XDJ3 (7)</v>
      </c>
      <c r="G2501" s="27">
        <f>LEN(Tabela12[[#This Row],[Anilha]])</f>
        <v>9</v>
      </c>
      <c r="H2501" s="21">
        <f>VLOOKUP(Tabela12[[#This Row],[Tag Cabo]],BD!A:F,6,0)</f>
        <v>1</v>
      </c>
      <c r="I2501" s="27" t="s">
        <v>1705</v>
      </c>
      <c r="J2501" s="27" t="s">
        <v>1706</v>
      </c>
    </row>
    <row r="2502" spans="1:10" x14ac:dyDescent="0.25">
      <c r="A2502" s="216" t="s">
        <v>637</v>
      </c>
      <c r="B2502" s="45" t="str">
        <f>VLOOKUP(Tabela12[[#This Row],[Painel]],Tabela13[],2,0)</f>
        <v>7HV</v>
      </c>
      <c r="C2502" s="45" t="s">
        <v>1543</v>
      </c>
      <c r="D2502" s="21" t="s">
        <v>2058</v>
      </c>
      <c r="E2502" s="21">
        <v>8</v>
      </c>
      <c r="F2502" s="27" t="str">
        <f>Tabela12[[#This Row],[Régua]]&amp;" ("&amp;Tabela12[[#This Row],[Born]]&amp;")"</f>
        <v>2XDJ3 (8)</v>
      </c>
      <c r="G2502" s="27">
        <f>LEN(Tabela12[[#This Row],[Anilha]])</f>
        <v>9</v>
      </c>
      <c r="H2502" s="21">
        <f>VLOOKUP(Tabela12[[#This Row],[Tag Cabo]],BD!A:F,6,0)</f>
        <v>1</v>
      </c>
      <c r="I2502" s="27" t="s">
        <v>1705</v>
      </c>
      <c r="J2502" s="27" t="s">
        <v>1706</v>
      </c>
    </row>
    <row r="2503" spans="1:10" x14ac:dyDescent="0.25">
      <c r="A2503" s="216" t="s">
        <v>637</v>
      </c>
      <c r="B2503" s="45" t="str">
        <f>VLOOKUP(Tabela12[[#This Row],[Painel]],Tabela13[],2,0)</f>
        <v>7HV</v>
      </c>
      <c r="C2503" s="45" t="s">
        <v>1543</v>
      </c>
      <c r="D2503" s="21" t="s">
        <v>2058</v>
      </c>
      <c r="E2503" s="21">
        <v>9</v>
      </c>
      <c r="F2503" s="27" t="str">
        <f>Tabela12[[#This Row],[Régua]]&amp;" ("&amp;Tabela12[[#This Row],[Born]]&amp;")"</f>
        <v>2XDJ3 (9)</v>
      </c>
      <c r="G2503" s="27">
        <f>LEN(Tabela12[[#This Row],[Anilha]])</f>
        <v>9</v>
      </c>
      <c r="H2503" s="21">
        <f>VLOOKUP(Tabela12[[#This Row],[Tag Cabo]],BD!A:F,6,0)</f>
        <v>1</v>
      </c>
      <c r="I2503" s="27" t="s">
        <v>1705</v>
      </c>
      <c r="J2503" s="27" t="s">
        <v>1706</v>
      </c>
    </row>
    <row r="2504" spans="1:10" x14ac:dyDescent="0.25">
      <c r="A2504" s="216" t="s">
        <v>637</v>
      </c>
      <c r="B2504" s="45" t="str">
        <f>VLOOKUP(Tabela12[[#This Row],[Painel]],Tabela13[],2,0)</f>
        <v>30LV</v>
      </c>
      <c r="C2504" s="45" t="s">
        <v>1632</v>
      </c>
      <c r="D2504" s="21" t="s">
        <v>1945</v>
      </c>
      <c r="E2504" s="21">
        <v>70</v>
      </c>
      <c r="F2504" s="27" t="str">
        <f>Tabela12[[#This Row],[Régua]]&amp;" ("&amp;Tabela12[[#This Row],[Born]]&amp;")"</f>
        <v>TB-22A (70)</v>
      </c>
      <c r="G2504" s="27">
        <f>LEN(Tabela12[[#This Row],[Anilha]])</f>
        <v>11</v>
      </c>
      <c r="H2504" s="21">
        <f>VLOOKUP(Tabela12[[#This Row],[Tag Cabo]],BD!A:F,6,0)</f>
        <v>1</v>
      </c>
      <c r="I2504" s="27" t="s">
        <v>1705</v>
      </c>
      <c r="J2504" s="27" t="s">
        <v>1706</v>
      </c>
    </row>
    <row r="2505" spans="1:10" x14ac:dyDescent="0.25">
      <c r="A2505" s="216" t="s">
        <v>637</v>
      </c>
      <c r="B2505" s="45" t="str">
        <f>VLOOKUP(Tabela12[[#This Row],[Painel]],Tabela13[],2,0)</f>
        <v>30LV</v>
      </c>
      <c r="C2505" s="45" t="s">
        <v>1632</v>
      </c>
      <c r="D2505" s="21" t="s">
        <v>1945</v>
      </c>
      <c r="E2505" s="21">
        <v>71</v>
      </c>
      <c r="F2505" s="27" t="str">
        <f>Tabela12[[#This Row],[Régua]]&amp;" ("&amp;Tabela12[[#This Row],[Born]]&amp;")"</f>
        <v>TB-22A (71)</v>
      </c>
      <c r="G2505" s="27">
        <f>LEN(Tabela12[[#This Row],[Anilha]])</f>
        <v>11</v>
      </c>
      <c r="H2505" s="21">
        <f>VLOOKUP(Tabela12[[#This Row],[Tag Cabo]],BD!A:F,6,0)</f>
        <v>1</v>
      </c>
      <c r="I2505" s="27" t="s">
        <v>1705</v>
      </c>
      <c r="J2505" s="27" t="s">
        <v>1706</v>
      </c>
    </row>
    <row r="2506" spans="1:10" x14ac:dyDescent="0.25">
      <c r="A2506" s="216" t="s">
        <v>637</v>
      </c>
      <c r="B2506" s="45" t="str">
        <f>VLOOKUP(Tabela12[[#This Row],[Painel]],Tabela13[],2,0)</f>
        <v>30LV</v>
      </c>
      <c r="C2506" s="45" t="s">
        <v>1632</v>
      </c>
      <c r="D2506" s="21" t="s">
        <v>1945</v>
      </c>
      <c r="E2506" s="21">
        <v>73</v>
      </c>
      <c r="F2506" s="27" t="str">
        <f>Tabela12[[#This Row],[Régua]]&amp;" ("&amp;Tabela12[[#This Row],[Born]]&amp;")"</f>
        <v>TB-22A (73)</v>
      </c>
      <c r="G2506" s="27">
        <f>LEN(Tabela12[[#This Row],[Anilha]])</f>
        <v>11</v>
      </c>
      <c r="H2506" s="21">
        <f>VLOOKUP(Tabela12[[#This Row],[Tag Cabo]],BD!A:F,6,0)</f>
        <v>1</v>
      </c>
      <c r="I2506" s="27" t="s">
        <v>1705</v>
      </c>
      <c r="J2506" s="27" t="s">
        <v>1706</v>
      </c>
    </row>
    <row r="2507" spans="1:10" x14ac:dyDescent="0.25">
      <c r="A2507" s="216" t="s">
        <v>637</v>
      </c>
      <c r="B2507" s="45" t="str">
        <f>VLOOKUP(Tabela12[[#This Row],[Painel]],Tabela13[],2,0)</f>
        <v>30LV</v>
      </c>
      <c r="C2507" s="45" t="s">
        <v>1632</v>
      </c>
      <c r="D2507" s="21" t="s">
        <v>1945</v>
      </c>
      <c r="E2507" s="21">
        <v>74</v>
      </c>
      <c r="F2507" s="27" t="str">
        <f>Tabela12[[#This Row],[Régua]]&amp;" ("&amp;Tabela12[[#This Row],[Born]]&amp;")"</f>
        <v>TB-22A (74)</v>
      </c>
      <c r="G2507" s="27">
        <f>LEN(Tabela12[[#This Row],[Anilha]])</f>
        <v>11</v>
      </c>
      <c r="H2507" s="21">
        <f>VLOOKUP(Tabela12[[#This Row],[Tag Cabo]],BD!A:F,6,0)</f>
        <v>1</v>
      </c>
      <c r="I2507" s="27" t="s">
        <v>1705</v>
      </c>
      <c r="J2507" s="27" t="s">
        <v>1706</v>
      </c>
    </row>
    <row r="2508" spans="1:10" x14ac:dyDescent="0.25">
      <c r="A2508" s="216" t="s">
        <v>638</v>
      </c>
      <c r="B2508" s="45" t="str">
        <f>VLOOKUP(Tabela12[[#This Row],[Painel]],Tabela13[],2,0)</f>
        <v>7HV</v>
      </c>
      <c r="C2508" s="45" t="s">
        <v>1543</v>
      </c>
      <c r="D2508" s="21" t="s">
        <v>2059</v>
      </c>
      <c r="E2508" s="21">
        <v>7</v>
      </c>
      <c r="F2508" s="27" t="str">
        <f>Tabela12[[#This Row],[Régua]]&amp;" ("&amp;Tabela12[[#This Row],[Born]]&amp;")"</f>
        <v>2XDJ22 (7)</v>
      </c>
      <c r="G2508" s="27">
        <f>LEN(Tabela12[[#This Row],[Anilha]])</f>
        <v>10</v>
      </c>
      <c r="H2508" s="21">
        <f>VLOOKUP(Tabela12[[#This Row],[Tag Cabo]],BD!A:F,6,0)</f>
        <v>1</v>
      </c>
      <c r="I2508" s="27" t="s">
        <v>1705</v>
      </c>
      <c r="J2508" s="27" t="s">
        <v>1706</v>
      </c>
    </row>
    <row r="2509" spans="1:10" x14ac:dyDescent="0.25">
      <c r="A2509" s="216" t="s">
        <v>638</v>
      </c>
      <c r="B2509" s="45" t="str">
        <f>VLOOKUP(Tabela12[[#This Row],[Painel]],Tabela13[],2,0)</f>
        <v>7HV</v>
      </c>
      <c r="C2509" s="45" t="s">
        <v>1543</v>
      </c>
      <c r="D2509" s="21" t="s">
        <v>2059</v>
      </c>
      <c r="E2509" s="21">
        <v>7</v>
      </c>
      <c r="F2509" s="27" t="str">
        <f>Tabela12[[#This Row],[Régua]]&amp;" ("&amp;Tabela12[[#This Row],[Born]]&amp;")"</f>
        <v>2XDJ22 (7)</v>
      </c>
      <c r="G2509" s="27">
        <f>LEN(Tabela12[[#This Row],[Anilha]])</f>
        <v>10</v>
      </c>
      <c r="H2509" s="21">
        <f>VLOOKUP(Tabela12[[#This Row],[Tag Cabo]],BD!A:F,6,0)</f>
        <v>1</v>
      </c>
      <c r="I2509" s="27" t="s">
        <v>1705</v>
      </c>
      <c r="J2509" s="27" t="s">
        <v>1706</v>
      </c>
    </row>
    <row r="2510" spans="1:10" x14ac:dyDescent="0.25">
      <c r="A2510" s="216" t="s">
        <v>638</v>
      </c>
      <c r="B2510" s="45" t="str">
        <f>VLOOKUP(Tabela12[[#This Row],[Painel]],Tabela13[],2,0)</f>
        <v>7HV</v>
      </c>
      <c r="C2510" s="45" t="s">
        <v>1543</v>
      </c>
      <c r="D2510" s="21" t="s">
        <v>2059</v>
      </c>
      <c r="E2510" s="21">
        <v>8</v>
      </c>
      <c r="F2510" s="27" t="str">
        <f>Tabela12[[#This Row],[Régua]]&amp;" ("&amp;Tabela12[[#This Row],[Born]]&amp;")"</f>
        <v>2XDJ22 (8)</v>
      </c>
      <c r="G2510" s="27">
        <f>LEN(Tabela12[[#This Row],[Anilha]])</f>
        <v>10</v>
      </c>
      <c r="H2510" s="21">
        <f>VLOOKUP(Tabela12[[#This Row],[Tag Cabo]],BD!A:F,6,0)</f>
        <v>1</v>
      </c>
      <c r="I2510" s="27" t="s">
        <v>1705</v>
      </c>
      <c r="J2510" s="27" t="s">
        <v>1706</v>
      </c>
    </row>
    <row r="2511" spans="1:10" x14ac:dyDescent="0.25">
      <c r="A2511" s="216" t="s">
        <v>638</v>
      </c>
      <c r="B2511" s="45" t="str">
        <f>VLOOKUP(Tabela12[[#This Row],[Painel]],Tabela13[],2,0)</f>
        <v>7HV</v>
      </c>
      <c r="C2511" s="45" t="s">
        <v>1543</v>
      </c>
      <c r="D2511" s="21" t="s">
        <v>2059</v>
      </c>
      <c r="E2511" s="21">
        <v>9</v>
      </c>
      <c r="F2511" s="27" t="str">
        <f>Tabela12[[#This Row],[Régua]]&amp;" ("&amp;Tabela12[[#This Row],[Born]]&amp;")"</f>
        <v>2XDJ22 (9)</v>
      </c>
      <c r="G2511" s="27">
        <f>LEN(Tabela12[[#This Row],[Anilha]])</f>
        <v>10</v>
      </c>
      <c r="H2511" s="21">
        <f>VLOOKUP(Tabela12[[#This Row],[Tag Cabo]],BD!A:F,6,0)</f>
        <v>1</v>
      </c>
      <c r="I2511" s="27" t="s">
        <v>1705</v>
      </c>
      <c r="J2511" s="27" t="s">
        <v>1706</v>
      </c>
    </row>
    <row r="2512" spans="1:10" x14ac:dyDescent="0.25">
      <c r="A2512" s="216" t="s">
        <v>638</v>
      </c>
      <c r="B2512" s="45" t="str">
        <f>VLOOKUP(Tabela12[[#This Row],[Painel]],Tabela13[],2,0)</f>
        <v>30LV</v>
      </c>
      <c r="C2512" s="45" t="s">
        <v>1632</v>
      </c>
      <c r="D2512" s="21" t="s">
        <v>1945</v>
      </c>
      <c r="E2512" s="21">
        <v>46</v>
      </c>
      <c r="F2512" s="27" t="str">
        <f>Tabela12[[#This Row],[Régua]]&amp;" ("&amp;Tabela12[[#This Row],[Born]]&amp;")"</f>
        <v>TB-22A (46)</v>
      </c>
      <c r="G2512" s="27">
        <f>LEN(Tabela12[[#This Row],[Anilha]])</f>
        <v>11</v>
      </c>
      <c r="H2512" s="21">
        <f>VLOOKUP(Tabela12[[#This Row],[Tag Cabo]],BD!A:F,6,0)</f>
        <v>1</v>
      </c>
      <c r="I2512" s="27" t="s">
        <v>1705</v>
      </c>
      <c r="J2512" s="27" t="s">
        <v>1706</v>
      </c>
    </row>
    <row r="2513" spans="1:10" x14ac:dyDescent="0.25">
      <c r="A2513" s="216" t="s">
        <v>638</v>
      </c>
      <c r="B2513" s="45" t="str">
        <f>VLOOKUP(Tabela12[[#This Row],[Painel]],Tabela13[],2,0)</f>
        <v>30LV</v>
      </c>
      <c r="C2513" s="45" t="s">
        <v>1632</v>
      </c>
      <c r="D2513" s="21" t="s">
        <v>1945</v>
      </c>
      <c r="E2513" s="21">
        <v>47</v>
      </c>
      <c r="F2513" s="27" t="str">
        <f>Tabela12[[#This Row],[Régua]]&amp;" ("&amp;Tabela12[[#This Row],[Born]]&amp;")"</f>
        <v>TB-22A (47)</v>
      </c>
      <c r="G2513" s="27">
        <f>LEN(Tabela12[[#This Row],[Anilha]])</f>
        <v>11</v>
      </c>
      <c r="H2513" s="21">
        <f>VLOOKUP(Tabela12[[#This Row],[Tag Cabo]],BD!A:F,6,0)</f>
        <v>1</v>
      </c>
      <c r="I2513" s="27" t="s">
        <v>1705</v>
      </c>
      <c r="J2513" s="27" t="s">
        <v>1706</v>
      </c>
    </row>
    <row r="2514" spans="1:10" x14ac:dyDescent="0.25">
      <c r="A2514" s="216" t="s">
        <v>638</v>
      </c>
      <c r="B2514" s="45" t="str">
        <f>VLOOKUP(Tabela12[[#This Row],[Painel]],Tabela13[],2,0)</f>
        <v>30LV</v>
      </c>
      <c r="C2514" s="45" t="s">
        <v>1632</v>
      </c>
      <c r="D2514" s="21" t="s">
        <v>1945</v>
      </c>
      <c r="E2514" s="21">
        <v>49</v>
      </c>
      <c r="F2514" s="27" t="str">
        <f>Tabela12[[#This Row],[Régua]]&amp;" ("&amp;Tabela12[[#This Row],[Born]]&amp;")"</f>
        <v>TB-22A (49)</v>
      </c>
      <c r="G2514" s="27">
        <f>LEN(Tabela12[[#This Row],[Anilha]])</f>
        <v>11</v>
      </c>
      <c r="H2514" s="21">
        <f>VLOOKUP(Tabela12[[#This Row],[Tag Cabo]],BD!A:F,6,0)</f>
        <v>1</v>
      </c>
      <c r="I2514" s="27" t="s">
        <v>1705</v>
      </c>
      <c r="J2514" s="27" t="s">
        <v>1706</v>
      </c>
    </row>
    <row r="2515" spans="1:10" x14ac:dyDescent="0.25">
      <c r="A2515" s="216" t="s">
        <v>638</v>
      </c>
      <c r="B2515" s="45" t="str">
        <f>VLOOKUP(Tabela12[[#This Row],[Painel]],Tabela13[],2,0)</f>
        <v>30LV</v>
      </c>
      <c r="C2515" s="45" t="s">
        <v>1632</v>
      </c>
      <c r="D2515" s="21" t="s">
        <v>1945</v>
      </c>
      <c r="E2515" s="21">
        <v>50</v>
      </c>
      <c r="F2515" s="27" t="str">
        <f>Tabela12[[#This Row],[Régua]]&amp;" ("&amp;Tabela12[[#This Row],[Born]]&amp;")"</f>
        <v>TB-22A (50)</v>
      </c>
      <c r="G2515" s="27">
        <f>LEN(Tabela12[[#This Row],[Anilha]])</f>
        <v>11</v>
      </c>
      <c r="H2515" s="21">
        <f>VLOOKUP(Tabela12[[#This Row],[Tag Cabo]],BD!A:F,6,0)</f>
        <v>1</v>
      </c>
      <c r="I2515" s="27" t="s">
        <v>1705</v>
      </c>
      <c r="J2515" s="27" t="s">
        <v>1706</v>
      </c>
    </row>
    <row r="2516" spans="1:10" x14ac:dyDescent="0.25">
      <c r="A2516" s="216" t="s">
        <v>639</v>
      </c>
      <c r="B2516" s="45" t="str">
        <f>VLOOKUP(Tabela12[[#This Row],[Painel]],Tabela13[],2,0)</f>
        <v>7HV</v>
      </c>
      <c r="C2516" s="45" t="s">
        <v>1543</v>
      </c>
      <c r="D2516" s="21" t="s">
        <v>2059</v>
      </c>
      <c r="E2516" s="21">
        <v>3</v>
      </c>
      <c r="F2516" s="27" t="str">
        <f>Tabela12[[#This Row],[Régua]]&amp;" ("&amp;Tabela12[[#This Row],[Born]]&amp;")"</f>
        <v>2XDJ22 (3)</v>
      </c>
      <c r="G2516" s="27">
        <f>LEN(Tabela12[[#This Row],[Anilha]])</f>
        <v>10</v>
      </c>
      <c r="H2516" s="21">
        <f>VLOOKUP(Tabela12[[#This Row],[Tag Cabo]],BD!A:F,6,0)</f>
        <v>1</v>
      </c>
      <c r="I2516" s="27" t="s">
        <v>1705</v>
      </c>
      <c r="J2516" s="27" t="s">
        <v>1706</v>
      </c>
    </row>
    <row r="2517" spans="1:10" x14ac:dyDescent="0.25">
      <c r="A2517" s="216" t="s">
        <v>639</v>
      </c>
      <c r="B2517" s="45" t="str">
        <f>VLOOKUP(Tabela12[[#This Row],[Painel]],Tabela13[],2,0)</f>
        <v>7HV</v>
      </c>
      <c r="C2517" s="45" t="s">
        <v>1543</v>
      </c>
      <c r="D2517" s="21" t="s">
        <v>2059</v>
      </c>
      <c r="E2517" s="21">
        <v>4</v>
      </c>
      <c r="F2517" s="27" t="str">
        <f>Tabela12[[#This Row],[Régua]]&amp;" ("&amp;Tabela12[[#This Row],[Born]]&amp;")"</f>
        <v>2XDJ22 (4)</v>
      </c>
      <c r="G2517" s="27">
        <f>LEN(Tabela12[[#This Row],[Anilha]])</f>
        <v>10</v>
      </c>
      <c r="H2517" s="21">
        <f>VLOOKUP(Tabela12[[#This Row],[Tag Cabo]],BD!A:F,6,0)</f>
        <v>1</v>
      </c>
      <c r="I2517" s="27" t="s">
        <v>1705</v>
      </c>
      <c r="J2517" s="27" t="s">
        <v>1706</v>
      </c>
    </row>
    <row r="2518" spans="1:10" x14ac:dyDescent="0.25">
      <c r="A2518" s="216" t="s">
        <v>639</v>
      </c>
      <c r="B2518" s="45" t="str">
        <f>VLOOKUP(Tabela12[[#This Row],[Painel]],Tabela13[],2,0)</f>
        <v>7HV</v>
      </c>
      <c r="C2518" s="45" t="s">
        <v>1543</v>
      </c>
      <c r="D2518" s="21" t="s">
        <v>2059</v>
      </c>
      <c r="E2518" s="21">
        <v>5</v>
      </c>
      <c r="F2518" s="27" t="str">
        <f>Tabela12[[#This Row],[Régua]]&amp;" ("&amp;Tabela12[[#This Row],[Born]]&amp;")"</f>
        <v>2XDJ22 (5)</v>
      </c>
      <c r="G2518" s="27">
        <f>LEN(Tabela12[[#This Row],[Anilha]])</f>
        <v>10</v>
      </c>
      <c r="H2518" s="21">
        <f>VLOOKUP(Tabela12[[#This Row],[Tag Cabo]],BD!A:F,6,0)</f>
        <v>1</v>
      </c>
      <c r="I2518" s="27" t="s">
        <v>1705</v>
      </c>
      <c r="J2518" s="27" t="s">
        <v>1706</v>
      </c>
    </row>
    <row r="2519" spans="1:10" x14ac:dyDescent="0.25">
      <c r="A2519" s="216" t="s">
        <v>639</v>
      </c>
      <c r="B2519" s="45" t="str">
        <f>VLOOKUP(Tabela12[[#This Row],[Painel]],Tabela13[],2,0)</f>
        <v>7HV</v>
      </c>
      <c r="C2519" s="45" t="s">
        <v>1543</v>
      </c>
      <c r="D2519" s="21" t="s">
        <v>2059</v>
      </c>
      <c r="E2519" s="21">
        <v>6</v>
      </c>
      <c r="F2519" s="27" t="str">
        <f>Tabela12[[#This Row],[Régua]]&amp;" ("&amp;Tabela12[[#This Row],[Born]]&amp;")"</f>
        <v>2XDJ22 (6)</v>
      </c>
      <c r="G2519" s="27">
        <f>LEN(Tabela12[[#This Row],[Anilha]])</f>
        <v>10</v>
      </c>
      <c r="H2519" s="21">
        <f>VLOOKUP(Tabela12[[#This Row],[Tag Cabo]],BD!A:F,6,0)</f>
        <v>1</v>
      </c>
      <c r="I2519" s="27" t="s">
        <v>1705</v>
      </c>
      <c r="J2519" s="27" t="s">
        <v>1706</v>
      </c>
    </row>
    <row r="2520" spans="1:10" x14ac:dyDescent="0.25">
      <c r="A2520" s="216" t="s">
        <v>639</v>
      </c>
      <c r="B2520" s="45" t="str">
        <f>VLOOKUP(Tabela12[[#This Row],[Painel]],Tabela13[],2,0)</f>
        <v>7HV</v>
      </c>
      <c r="C2520" s="45" t="s">
        <v>1543</v>
      </c>
      <c r="D2520" s="21" t="s">
        <v>2059</v>
      </c>
      <c r="E2520" s="21">
        <v>3</v>
      </c>
      <c r="F2520" s="27" t="str">
        <f>Tabela12[[#This Row],[Régua]]&amp;" ("&amp;Tabela12[[#This Row],[Born]]&amp;")"</f>
        <v>2XDJ22 (3)</v>
      </c>
      <c r="G2520" s="27">
        <f>LEN(Tabela12[[#This Row],[Anilha]])</f>
        <v>10</v>
      </c>
      <c r="H2520" s="21">
        <f>VLOOKUP(Tabela12[[#This Row],[Tag Cabo]],BD!A:F,6,0)</f>
        <v>1</v>
      </c>
      <c r="I2520" s="27" t="s">
        <v>1705</v>
      </c>
      <c r="J2520" s="27" t="s">
        <v>1706</v>
      </c>
    </row>
    <row r="2521" spans="1:10" x14ac:dyDescent="0.25">
      <c r="A2521" s="216" t="s">
        <v>639</v>
      </c>
      <c r="B2521" s="45" t="str">
        <f>VLOOKUP(Tabela12[[#This Row],[Painel]],Tabela13[],2,0)</f>
        <v>7HV</v>
      </c>
      <c r="C2521" s="45" t="s">
        <v>1543</v>
      </c>
      <c r="D2521" s="21" t="s">
        <v>2059</v>
      </c>
      <c r="E2521" s="21">
        <v>3</v>
      </c>
      <c r="F2521" s="27" t="str">
        <f>Tabela12[[#This Row],[Régua]]&amp;" ("&amp;Tabela12[[#This Row],[Born]]&amp;")"</f>
        <v>2XDJ22 (3)</v>
      </c>
      <c r="G2521" s="27">
        <f>LEN(Tabela12[[#This Row],[Anilha]])</f>
        <v>10</v>
      </c>
      <c r="H2521" s="21">
        <f>VLOOKUP(Tabela12[[#This Row],[Tag Cabo]],BD!A:F,6,0)</f>
        <v>1</v>
      </c>
      <c r="I2521" s="27" t="s">
        <v>1705</v>
      </c>
      <c r="J2521" s="27" t="s">
        <v>1706</v>
      </c>
    </row>
    <row r="2522" spans="1:10" x14ac:dyDescent="0.25">
      <c r="A2522" s="216" t="s">
        <v>639</v>
      </c>
      <c r="B2522" s="45" t="str">
        <f>VLOOKUP(Tabela12[[#This Row],[Painel]],Tabela13[],2,0)</f>
        <v>30LV</v>
      </c>
      <c r="C2522" s="45" t="s">
        <v>1632</v>
      </c>
      <c r="D2522" s="21" t="s">
        <v>1945</v>
      </c>
      <c r="E2522" s="21">
        <v>1</v>
      </c>
      <c r="F2522" s="27" t="str">
        <f>Tabela12[[#This Row],[Régua]]&amp;" ("&amp;Tabela12[[#This Row],[Born]]&amp;")"</f>
        <v>TB-22A (1)</v>
      </c>
      <c r="G2522" s="27">
        <f>LEN(Tabela12[[#This Row],[Anilha]])</f>
        <v>10</v>
      </c>
      <c r="H2522" s="21">
        <f>VLOOKUP(Tabela12[[#This Row],[Tag Cabo]],BD!A:F,6,0)</f>
        <v>1</v>
      </c>
      <c r="I2522" s="27" t="s">
        <v>1705</v>
      </c>
      <c r="J2522" s="27" t="s">
        <v>1706</v>
      </c>
    </row>
    <row r="2523" spans="1:10" x14ac:dyDescent="0.25">
      <c r="A2523" s="216" t="s">
        <v>639</v>
      </c>
      <c r="B2523" s="45" t="str">
        <f>VLOOKUP(Tabela12[[#This Row],[Painel]],Tabela13[],2,0)</f>
        <v>30LV</v>
      </c>
      <c r="C2523" s="45" t="s">
        <v>1632</v>
      </c>
      <c r="D2523" s="21" t="s">
        <v>1945</v>
      </c>
      <c r="E2523" s="21">
        <v>2</v>
      </c>
      <c r="F2523" s="27" t="str">
        <f>Tabela12[[#This Row],[Régua]]&amp;" ("&amp;Tabela12[[#This Row],[Born]]&amp;")"</f>
        <v>TB-22A (2)</v>
      </c>
      <c r="G2523" s="27">
        <f>LEN(Tabela12[[#This Row],[Anilha]])</f>
        <v>10</v>
      </c>
      <c r="H2523" s="21">
        <f>VLOOKUP(Tabela12[[#This Row],[Tag Cabo]],BD!A:F,6,0)</f>
        <v>1</v>
      </c>
      <c r="I2523" s="27" t="s">
        <v>1705</v>
      </c>
      <c r="J2523" s="27" t="s">
        <v>1706</v>
      </c>
    </row>
    <row r="2524" spans="1:10" x14ac:dyDescent="0.25">
      <c r="A2524" s="216" t="s">
        <v>639</v>
      </c>
      <c r="B2524" s="45" t="str">
        <f>VLOOKUP(Tabela12[[#This Row],[Painel]],Tabela13[],2,0)</f>
        <v>30LV</v>
      </c>
      <c r="C2524" s="45" t="s">
        <v>1632</v>
      </c>
      <c r="D2524" s="21" t="s">
        <v>1945</v>
      </c>
      <c r="E2524" s="21">
        <v>4</v>
      </c>
      <c r="F2524" s="27" t="str">
        <f>Tabela12[[#This Row],[Régua]]&amp;" ("&amp;Tabela12[[#This Row],[Born]]&amp;")"</f>
        <v>TB-22A (4)</v>
      </c>
      <c r="G2524" s="27">
        <f>LEN(Tabela12[[#This Row],[Anilha]])</f>
        <v>10</v>
      </c>
      <c r="H2524" s="21">
        <f>VLOOKUP(Tabela12[[#This Row],[Tag Cabo]],BD!A:F,6,0)</f>
        <v>1</v>
      </c>
      <c r="I2524" s="27" t="s">
        <v>1705</v>
      </c>
      <c r="J2524" s="27" t="s">
        <v>1706</v>
      </c>
    </row>
    <row r="2525" spans="1:10" x14ac:dyDescent="0.25">
      <c r="A2525" s="216" t="s">
        <v>639</v>
      </c>
      <c r="B2525" s="45" t="str">
        <f>VLOOKUP(Tabela12[[#This Row],[Painel]],Tabela13[],2,0)</f>
        <v>30LV</v>
      </c>
      <c r="C2525" s="45" t="s">
        <v>1632</v>
      </c>
      <c r="D2525" s="21" t="s">
        <v>1945</v>
      </c>
      <c r="E2525" s="21">
        <v>5</v>
      </c>
      <c r="F2525" s="27" t="str">
        <f>Tabela12[[#This Row],[Régua]]&amp;" ("&amp;Tabela12[[#This Row],[Born]]&amp;")"</f>
        <v>TB-22A (5)</v>
      </c>
      <c r="G2525" s="27">
        <f>LEN(Tabela12[[#This Row],[Anilha]])</f>
        <v>10</v>
      </c>
      <c r="H2525" s="21">
        <f>VLOOKUP(Tabela12[[#This Row],[Tag Cabo]],BD!A:F,6,0)</f>
        <v>1</v>
      </c>
      <c r="I2525" s="27" t="s">
        <v>1705</v>
      </c>
      <c r="J2525" s="27" t="s">
        <v>1706</v>
      </c>
    </row>
    <row r="2526" spans="1:10" x14ac:dyDescent="0.25">
      <c r="A2526" s="216" t="s">
        <v>639</v>
      </c>
      <c r="B2526" s="45" t="str">
        <f>VLOOKUP(Tabela12[[#This Row],[Painel]],Tabela13[],2,0)</f>
        <v>30LV</v>
      </c>
      <c r="C2526" s="45" t="s">
        <v>1632</v>
      </c>
      <c r="D2526" s="21" t="s">
        <v>1945</v>
      </c>
      <c r="E2526" s="21">
        <v>7</v>
      </c>
      <c r="F2526" s="27" t="str">
        <f>Tabela12[[#This Row],[Régua]]&amp;" ("&amp;Tabela12[[#This Row],[Born]]&amp;")"</f>
        <v>TB-22A (7)</v>
      </c>
      <c r="G2526" s="27">
        <f>LEN(Tabela12[[#This Row],[Anilha]])</f>
        <v>10</v>
      </c>
      <c r="H2526" s="21">
        <f>VLOOKUP(Tabela12[[#This Row],[Tag Cabo]],BD!A:F,6,0)</f>
        <v>1</v>
      </c>
      <c r="I2526" s="27" t="s">
        <v>1705</v>
      </c>
      <c r="J2526" s="27" t="s">
        <v>1706</v>
      </c>
    </row>
    <row r="2527" spans="1:10" x14ac:dyDescent="0.25">
      <c r="A2527" s="216" t="s">
        <v>639</v>
      </c>
      <c r="B2527" s="45" t="str">
        <f>VLOOKUP(Tabela12[[#This Row],[Painel]],Tabela13[],2,0)</f>
        <v>30LV</v>
      </c>
      <c r="C2527" s="45" t="s">
        <v>1632</v>
      </c>
      <c r="D2527" s="21" t="s">
        <v>1945</v>
      </c>
      <c r="E2527" s="21">
        <v>8</v>
      </c>
      <c r="F2527" s="27" t="str">
        <f>Tabela12[[#This Row],[Régua]]&amp;" ("&amp;Tabela12[[#This Row],[Born]]&amp;")"</f>
        <v>TB-22A (8)</v>
      </c>
      <c r="G2527" s="27">
        <f>LEN(Tabela12[[#This Row],[Anilha]])</f>
        <v>10</v>
      </c>
      <c r="H2527" s="21">
        <f>VLOOKUP(Tabela12[[#This Row],[Tag Cabo]],BD!A:F,6,0)</f>
        <v>1</v>
      </c>
      <c r="I2527" s="27" t="s">
        <v>1705</v>
      </c>
      <c r="J2527" s="27" t="s">
        <v>1706</v>
      </c>
    </row>
    <row r="2528" spans="1:10" x14ac:dyDescent="0.25">
      <c r="A2528" s="216" t="s">
        <v>640</v>
      </c>
      <c r="B2528" s="45" t="str">
        <f>VLOOKUP(Tabela12[[#This Row],[Painel]],Tabela13[],2,0)</f>
        <v>7HV</v>
      </c>
      <c r="C2528" s="45" t="s">
        <v>1543</v>
      </c>
      <c r="D2528" s="21" t="s">
        <v>2060</v>
      </c>
      <c r="E2528" s="21">
        <v>7</v>
      </c>
      <c r="F2528" s="27" t="str">
        <f>Tabela12[[#This Row],[Régua]]&amp;" ("&amp;Tabela12[[#This Row],[Born]]&amp;")"</f>
        <v>2XDJ23 (7)</v>
      </c>
      <c r="G2528" s="27">
        <f>LEN(Tabela12[[#This Row],[Anilha]])</f>
        <v>10</v>
      </c>
      <c r="H2528" s="21">
        <f>VLOOKUP(Tabela12[[#This Row],[Tag Cabo]],BD!A:F,6,0)</f>
        <v>1</v>
      </c>
      <c r="I2528" s="27" t="s">
        <v>1705</v>
      </c>
      <c r="J2528" s="27" t="s">
        <v>1706</v>
      </c>
    </row>
    <row r="2529" spans="1:10" x14ac:dyDescent="0.25">
      <c r="A2529" s="216" t="s">
        <v>640</v>
      </c>
      <c r="B2529" s="45" t="str">
        <f>VLOOKUP(Tabela12[[#This Row],[Painel]],Tabela13[],2,0)</f>
        <v>7HV</v>
      </c>
      <c r="C2529" s="45" t="s">
        <v>1543</v>
      </c>
      <c r="D2529" s="21" t="s">
        <v>2060</v>
      </c>
      <c r="E2529" s="21">
        <v>7</v>
      </c>
      <c r="F2529" s="27" t="str">
        <f>Tabela12[[#This Row],[Régua]]&amp;" ("&amp;Tabela12[[#This Row],[Born]]&amp;")"</f>
        <v>2XDJ23 (7)</v>
      </c>
      <c r="G2529" s="27">
        <f>LEN(Tabela12[[#This Row],[Anilha]])</f>
        <v>10</v>
      </c>
      <c r="H2529" s="21">
        <f>VLOOKUP(Tabela12[[#This Row],[Tag Cabo]],BD!A:F,6,0)</f>
        <v>1</v>
      </c>
      <c r="I2529" s="27" t="s">
        <v>1705</v>
      </c>
      <c r="J2529" s="27" t="s">
        <v>1706</v>
      </c>
    </row>
    <row r="2530" spans="1:10" x14ac:dyDescent="0.25">
      <c r="A2530" s="216" t="s">
        <v>640</v>
      </c>
      <c r="B2530" s="45" t="str">
        <f>VLOOKUP(Tabela12[[#This Row],[Painel]],Tabela13[],2,0)</f>
        <v>7HV</v>
      </c>
      <c r="C2530" s="45" t="s">
        <v>1543</v>
      </c>
      <c r="D2530" s="21" t="s">
        <v>2060</v>
      </c>
      <c r="E2530" s="21">
        <v>8</v>
      </c>
      <c r="F2530" s="27" t="str">
        <f>Tabela12[[#This Row],[Régua]]&amp;" ("&amp;Tabela12[[#This Row],[Born]]&amp;")"</f>
        <v>2XDJ23 (8)</v>
      </c>
      <c r="G2530" s="27">
        <f>LEN(Tabela12[[#This Row],[Anilha]])</f>
        <v>10</v>
      </c>
      <c r="H2530" s="21">
        <f>VLOOKUP(Tabela12[[#This Row],[Tag Cabo]],BD!A:F,6,0)</f>
        <v>1</v>
      </c>
      <c r="I2530" s="27" t="s">
        <v>1705</v>
      </c>
      <c r="J2530" s="27" t="s">
        <v>1706</v>
      </c>
    </row>
    <row r="2531" spans="1:10" x14ac:dyDescent="0.25">
      <c r="A2531" s="216" t="s">
        <v>640</v>
      </c>
      <c r="B2531" s="45" t="str">
        <f>VLOOKUP(Tabela12[[#This Row],[Painel]],Tabela13[],2,0)</f>
        <v>7HV</v>
      </c>
      <c r="C2531" s="45" t="s">
        <v>1543</v>
      </c>
      <c r="D2531" s="21" t="s">
        <v>2060</v>
      </c>
      <c r="E2531" s="21">
        <v>9</v>
      </c>
      <c r="F2531" s="27" t="str">
        <f>Tabela12[[#This Row],[Régua]]&amp;" ("&amp;Tabela12[[#This Row],[Born]]&amp;")"</f>
        <v>2XDJ23 (9)</v>
      </c>
      <c r="G2531" s="27">
        <f>LEN(Tabela12[[#This Row],[Anilha]])</f>
        <v>10</v>
      </c>
      <c r="H2531" s="21">
        <f>VLOOKUP(Tabela12[[#This Row],[Tag Cabo]],BD!A:F,6,0)</f>
        <v>1</v>
      </c>
      <c r="I2531" s="27" t="s">
        <v>1705</v>
      </c>
      <c r="J2531" s="27" t="s">
        <v>1706</v>
      </c>
    </row>
    <row r="2532" spans="1:10" x14ac:dyDescent="0.25">
      <c r="A2532" s="216" t="s">
        <v>640</v>
      </c>
      <c r="B2532" s="45" t="str">
        <f>VLOOKUP(Tabela12[[#This Row],[Painel]],Tabela13[],2,0)</f>
        <v>30LV</v>
      </c>
      <c r="C2532" s="45" t="s">
        <v>1632</v>
      </c>
      <c r="D2532" s="21" t="s">
        <v>1945</v>
      </c>
      <c r="E2532" s="21">
        <v>52</v>
      </c>
      <c r="F2532" s="27" t="str">
        <f>Tabela12[[#This Row],[Régua]]&amp;" ("&amp;Tabela12[[#This Row],[Born]]&amp;")"</f>
        <v>TB-22A (52)</v>
      </c>
      <c r="G2532" s="27">
        <f>LEN(Tabela12[[#This Row],[Anilha]])</f>
        <v>11</v>
      </c>
      <c r="H2532" s="21">
        <f>VLOOKUP(Tabela12[[#This Row],[Tag Cabo]],BD!A:F,6,0)</f>
        <v>1</v>
      </c>
      <c r="I2532" s="27" t="s">
        <v>1705</v>
      </c>
      <c r="J2532" s="27" t="s">
        <v>1706</v>
      </c>
    </row>
    <row r="2533" spans="1:10" x14ac:dyDescent="0.25">
      <c r="A2533" s="216" t="s">
        <v>640</v>
      </c>
      <c r="B2533" s="45" t="str">
        <f>VLOOKUP(Tabela12[[#This Row],[Painel]],Tabela13[],2,0)</f>
        <v>30LV</v>
      </c>
      <c r="C2533" s="45" t="s">
        <v>1632</v>
      </c>
      <c r="D2533" s="21" t="s">
        <v>1945</v>
      </c>
      <c r="E2533" s="21">
        <v>53</v>
      </c>
      <c r="F2533" s="27" t="str">
        <f>Tabela12[[#This Row],[Régua]]&amp;" ("&amp;Tabela12[[#This Row],[Born]]&amp;")"</f>
        <v>TB-22A (53)</v>
      </c>
      <c r="G2533" s="27">
        <f>LEN(Tabela12[[#This Row],[Anilha]])</f>
        <v>11</v>
      </c>
      <c r="H2533" s="21">
        <f>VLOOKUP(Tabela12[[#This Row],[Tag Cabo]],BD!A:F,6,0)</f>
        <v>1</v>
      </c>
      <c r="I2533" s="27" t="s">
        <v>1705</v>
      </c>
      <c r="J2533" s="27" t="s">
        <v>1706</v>
      </c>
    </row>
    <row r="2534" spans="1:10" x14ac:dyDescent="0.25">
      <c r="A2534" s="216" t="s">
        <v>640</v>
      </c>
      <c r="B2534" s="45" t="str">
        <f>VLOOKUP(Tabela12[[#This Row],[Painel]],Tabela13[],2,0)</f>
        <v>30LV</v>
      </c>
      <c r="C2534" s="45" t="s">
        <v>1632</v>
      </c>
      <c r="D2534" s="21" t="s">
        <v>1945</v>
      </c>
      <c r="E2534" s="21">
        <v>55</v>
      </c>
      <c r="F2534" s="27" t="str">
        <f>Tabela12[[#This Row],[Régua]]&amp;" ("&amp;Tabela12[[#This Row],[Born]]&amp;")"</f>
        <v>TB-22A (55)</v>
      </c>
      <c r="G2534" s="27">
        <f>LEN(Tabela12[[#This Row],[Anilha]])</f>
        <v>11</v>
      </c>
      <c r="H2534" s="21">
        <f>VLOOKUP(Tabela12[[#This Row],[Tag Cabo]],BD!A:F,6,0)</f>
        <v>1</v>
      </c>
      <c r="I2534" s="27" t="s">
        <v>1705</v>
      </c>
      <c r="J2534" s="27" t="s">
        <v>1706</v>
      </c>
    </row>
    <row r="2535" spans="1:10" x14ac:dyDescent="0.25">
      <c r="A2535" s="216" t="s">
        <v>640</v>
      </c>
      <c r="B2535" s="45" t="str">
        <f>VLOOKUP(Tabela12[[#This Row],[Painel]],Tabela13[],2,0)</f>
        <v>30LV</v>
      </c>
      <c r="C2535" s="45" t="s">
        <v>1632</v>
      </c>
      <c r="D2535" s="21" t="s">
        <v>1945</v>
      </c>
      <c r="E2535" s="21">
        <v>56</v>
      </c>
      <c r="F2535" s="27" t="str">
        <f>Tabela12[[#This Row],[Régua]]&amp;" ("&amp;Tabela12[[#This Row],[Born]]&amp;")"</f>
        <v>TB-22A (56)</v>
      </c>
      <c r="G2535" s="27">
        <f>LEN(Tabela12[[#This Row],[Anilha]])</f>
        <v>11</v>
      </c>
      <c r="H2535" s="21">
        <f>VLOOKUP(Tabela12[[#This Row],[Tag Cabo]],BD!A:F,6,0)</f>
        <v>1</v>
      </c>
      <c r="I2535" s="27" t="s">
        <v>1705</v>
      </c>
      <c r="J2535" s="27" t="s">
        <v>1706</v>
      </c>
    </row>
    <row r="2536" spans="1:10" x14ac:dyDescent="0.25">
      <c r="A2536" s="216" t="s">
        <v>641</v>
      </c>
      <c r="B2536" s="45" t="str">
        <f>VLOOKUP(Tabela12[[#This Row],[Painel]],Tabela13[],2,0)</f>
        <v>7HV</v>
      </c>
      <c r="C2536" s="45" t="s">
        <v>1543</v>
      </c>
      <c r="D2536" s="21" t="s">
        <v>2060</v>
      </c>
      <c r="E2536" s="21">
        <v>3</v>
      </c>
      <c r="F2536" s="27" t="str">
        <f>Tabela12[[#This Row],[Régua]]&amp;" ("&amp;Tabela12[[#This Row],[Born]]&amp;")"</f>
        <v>2XDJ23 (3)</v>
      </c>
      <c r="G2536" s="27">
        <f>LEN(Tabela12[[#This Row],[Anilha]])</f>
        <v>10</v>
      </c>
      <c r="H2536" s="21">
        <f>VLOOKUP(Tabela12[[#This Row],[Tag Cabo]],BD!A:F,6,0)</f>
        <v>1</v>
      </c>
      <c r="I2536" s="27" t="s">
        <v>1705</v>
      </c>
      <c r="J2536" s="27" t="s">
        <v>1706</v>
      </c>
    </row>
    <row r="2537" spans="1:10" x14ac:dyDescent="0.25">
      <c r="A2537" s="216" t="s">
        <v>641</v>
      </c>
      <c r="B2537" s="45" t="str">
        <f>VLOOKUP(Tabela12[[#This Row],[Painel]],Tabela13[],2,0)</f>
        <v>7HV</v>
      </c>
      <c r="C2537" s="45" t="s">
        <v>1543</v>
      </c>
      <c r="D2537" s="21" t="s">
        <v>2060</v>
      </c>
      <c r="E2537" s="21">
        <v>3</v>
      </c>
      <c r="F2537" s="27" t="str">
        <f>Tabela12[[#This Row],[Régua]]&amp;" ("&amp;Tabela12[[#This Row],[Born]]&amp;")"</f>
        <v>2XDJ23 (3)</v>
      </c>
      <c r="G2537" s="27">
        <f>LEN(Tabela12[[#This Row],[Anilha]])</f>
        <v>10</v>
      </c>
      <c r="H2537" s="21">
        <f>VLOOKUP(Tabela12[[#This Row],[Tag Cabo]],BD!A:F,6,0)</f>
        <v>1</v>
      </c>
      <c r="I2537" s="27" t="s">
        <v>1705</v>
      </c>
      <c r="J2537" s="27" t="s">
        <v>1706</v>
      </c>
    </row>
    <row r="2538" spans="1:10" x14ac:dyDescent="0.25">
      <c r="A2538" s="216" t="s">
        <v>641</v>
      </c>
      <c r="B2538" s="45" t="str">
        <f>VLOOKUP(Tabela12[[#This Row],[Painel]],Tabela13[],2,0)</f>
        <v>7HV</v>
      </c>
      <c r="C2538" s="45" t="s">
        <v>1543</v>
      </c>
      <c r="D2538" s="21" t="s">
        <v>2060</v>
      </c>
      <c r="E2538" s="21">
        <v>3</v>
      </c>
      <c r="F2538" s="27" t="str">
        <f>Tabela12[[#This Row],[Régua]]&amp;" ("&amp;Tabela12[[#This Row],[Born]]&amp;")"</f>
        <v>2XDJ23 (3)</v>
      </c>
      <c r="G2538" s="27">
        <f>LEN(Tabela12[[#This Row],[Anilha]])</f>
        <v>10</v>
      </c>
      <c r="H2538" s="21">
        <f>VLOOKUP(Tabela12[[#This Row],[Tag Cabo]],BD!A:F,6,0)</f>
        <v>1</v>
      </c>
      <c r="I2538" s="27" t="s">
        <v>1705</v>
      </c>
      <c r="J2538" s="27" t="s">
        <v>1706</v>
      </c>
    </row>
    <row r="2539" spans="1:10" x14ac:dyDescent="0.25">
      <c r="A2539" s="216" t="s">
        <v>641</v>
      </c>
      <c r="B2539" s="45" t="str">
        <f>VLOOKUP(Tabela12[[#This Row],[Painel]],Tabela13[],2,0)</f>
        <v>7HV</v>
      </c>
      <c r="C2539" s="45" t="s">
        <v>1543</v>
      </c>
      <c r="D2539" s="21" t="s">
        <v>2060</v>
      </c>
      <c r="E2539" s="21">
        <v>4</v>
      </c>
      <c r="F2539" s="27" t="str">
        <f>Tabela12[[#This Row],[Régua]]&amp;" ("&amp;Tabela12[[#This Row],[Born]]&amp;")"</f>
        <v>2XDJ23 (4)</v>
      </c>
      <c r="G2539" s="27">
        <f>LEN(Tabela12[[#This Row],[Anilha]])</f>
        <v>10</v>
      </c>
      <c r="H2539" s="21">
        <f>VLOOKUP(Tabela12[[#This Row],[Tag Cabo]],BD!A:F,6,0)</f>
        <v>1</v>
      </c>
      <c r="I2539" s="27" t="s">
        <v>1705</v>
      </c>
      <c r="J2539" s="27" t="s">
        <v>1706</v>
      </c>
    </row>
    <row r="2540" spans="1:10" x14ac:dyDescent="0.25">
      <c r="A2540" s="216" t="s">
        <v>641</v>
      </c>
      <c r="B2540" s="45" t="str">
        <f>VLOOKUP(Tabela12[[#This Row],[Painel]],Tabela13[],2,0)</f>
        <v>7HV</v>
      </c>
      <c r="C2540" s="45" t="s">
        <v>1543</v>
      </c>
      <c r="D2540" s="21" t="s">
        <v>2060</v>
      </c>
      <c r="E2540" s="21">
        <v>5</v>
      </c>
      <c r="F2540" s="27" t="str">
        <f>Tabela12[[#This Row],[Régua]]&amp;" ("&amp;Tabela12[[#This Row],[Born]]&amp;")"</f>
        <v>2XDJ23 (5)</v>
      </c>
      <c r="G2540" s="27">
        <f>LEN(Tabela12[[#This Row],[Anilha]])</f>
        <v>10</v>
      </c>
      <c r="H2540" s="21">
        <f>VLOOKUP(Tabela12[[#This Row],[Tag Cabo]],BD!A:F,6,0)</f>
        <v>1</v>
      </c>
      <c r="I2540" s="27" t="s">
        <v>1705</v>
      </c>
      <c r="J2540" s="27" t="s">
        <v>1706</v>
      </c>
    </row>
    <row r="2541" spans="1:10" x14ac:dyDescent="0.25">
      <c r="A2541" s="216" t="s">
        <v>641</v>
      </c>
      <c r="B2541" s="45" t="str">
        <f>VLOOKUP(Tabela12[[#This Row],[Painel]],Tabela13[],2,0)</f>
        <v>7HV</v>
      </c>
      <c r="C2541" s="45" t="s">
        <v>1543</v>
      </c>
      <c r="D2541" s="21" t="s">
        <v>2060</v>
      </c>
      <c r="E2541" s="21">
        <v>6</v>
      </c>
      <c r="F2541" s="27" t="str">
        <f>Tabela12[[#This Row],[Régua]]&amp;" ("&amp;Tabela12[[#This Row],[Born]]&amp;")"</f>
        <v>2XDJ23 (6)</v>
      </c>
      <c r="G2541" s="27">
        <f>LEN(Tabela12[[#This Row],[Anilha]])</f>
        <v>10</v>
      </c>
      <c r="H2541" s="21">
        <f>VLOOKUP(Tabela12[[#This Row],[Tag Cabo]],BD!A:F,6,0)</f>
        <v>1</v>
      </c>
      <c r="I2541" s="27" t="s">
        <v>1705</v>
      </c>
      <c r="J2541" s="27" t="s">
        <v>1706</v>
      </c>
    </row>
    <row r="2542" spans="1:10" x14ac:dyDescent="0.25">
      <c r="A2542" s="216" t="s">
        <v>641</v>
      </c>
      <c r="B2542" s="45" t="str">
        <f>VLOOKUP(Tabela12[[#This Row],[Painel]],Tabela13[],2,0)</f>
        <v>30LV</v>
      </c>
      <c r="C2542" s="45" t="s">
        <v>1632</v>
      </c>
      <c r="D2542" s="21" t="s">
        <v>1945</v>
      </c>
      <c r="E2542" s="21">
        <v>10</v>
      </c>
      <c r="F2542" s="27" t="str">
        <f>Tabela12[[#This Row],[Régua]]&amp;" ("&amp;Tabela12[[#This Row],[Born]]&amp;")"</f>
        <v>TB-22A (10)</v>
      </c>
      <c r="G2542" s="27">
        <f>LEN(Tabela12[[#This Row],[Anilha]])</f>
        <v>11</v>
      </c>
      <c r="H2542" s="21">
        <f>VLOOKUP(Tabela12[[#This Row],[Tag Cabo]],BD!A:F,6,0)</f>
        <v>1</v>
      </c>
      <c r="I2542" s="27" t="s">
        <v>1705</v>
      </c>
      <c r="J2542" s="27" t="s">
        <v>1706</v>
      </c>
    </row>
    <row r="2543" spans="1:10" x14ac:dyDescent="0.25">
      <c r="A2543" s="216" t="s">
        <v>641</v>
      </c>
      <c r="B2543" s="45" t="str">
        <f>VLOOKUP(Tabela12[[#This Row],[Painel]],Tabela13[],2,0)</f>
        <v>30LV</v>
      </c>
      <c r="C2543" s="45" t="s">
        <v>1632</v>
      </c>
      <c r="D2543" s="21" t="s">
        <v>1945</v>
      </c>
      <c r="E2543" s="21">
        <v>11</v>
      </c>
      <c r="F2543" s="27" t="str">
        <f>Tabela12[[#This Row],[Régua]]&amp;" ("&amp;Tabela12[[#This Row],[Born]]&amp;")"</f>
        <v>TB-22A (11)</v>
      </c>
      <c r="G2543" s="27">
        <f>LEN(Tabela12[[#This Row],[Anilha]])</f>
        <v>11</v>
      </c>
      <c r="H2543" s="21">
        <f>VLOOKUP(Tabela12[[#This Row],[Tag Cabo]],BD!A:F,6,0)</f>
        <v>1</v>
      </c>
      <c r="I2543" s="27" t="s">
        <v>1705</v>
      </c>
      <c r="J2543" s="27" t="s">
        <v>1706</v>
      </c>
    </row>
    <row r="2544" spans="1:10" x14ac:dyDescent="0.25">
      <c r="A2544" s="216" t="s">
        <v>641</v>
      </c>
      <c r="B2544" s="45" t="str">
        <f>VLOOKUP(Tabela12[[#This Row],[Painel]],Tabela13[],2,0)</f>
        <v>30LV</v>
      </c>
      <c r="C2544" s="45" t="s">
        <v>1632</v>
      </c>
      <c r="D2544" s="21" t="s">
        <v>1945</v>
      </c>
      <c r="E2544" s="21">
        <v>13</v>
      </c>
      <c r="F2544" s="27" t="str">
        <f>Tabela12[[#This Row],[Régua]]&amp;" ("&amp;Tabela12[[#This Row],[Born]]&amp;")"</f>
        <v>TB-22A (13)</v>
      </c>
      <c r="G2544" s="27">
        <f>LEN(Tabela12[[#This Row],[Anilha]])</f>
        <v>11</v>
      </c>
      <c r="H2544" s="21">
        <f>VLOOKUP(Tabela12[[#This Row],[Tag Cabo]],BD!A:F,6,0)</f>
        <v>1</v>
      </c>
      <c r="I2544" s="27" t="s">
        <v>1705</v>
      </c>
      <c r="J2544" s="27" t="s">
        <v>1706</v>
      </c>
    </row>
    <row r="2545" spans="1:10" x14ac:dyDescent="0.25">
      <c r="A2545" s="216" t="s">
        <v>641</v>
      </c>
      <c r="B2545" s="45" t="str">
        <f>VLOOKUP(Tabela12[[#This Row],[Painel]],Tabela13[],2,0)</f>
        <v>30LV</v>
      </c>
      <c r="C2545" s="45" t="s">
        <v>1632</v>
      </c>
      <c r="D2545" s="21" t="s">
        <v>1945</v>
      </c>
      <c r="E2545" s="21">
        <v>14</v>
      </c>
      <c r="F2545" s="27" t="str">
        <f>Tabela12[[#This Row],[Régua]]&amp;" ("&amp;Tabela12[[#This Row],[Born]]&amp;")"</f>
        <v>TB-22A (14)</v>
      </c>
      <c r="G2545" s="27">
        <f>LEN(Tabela12[[#This Row],[Anilha]])</f>
        <v>11</v>
      </c>
      <c r="H2545" s="21">
        <f>VLOOKUP(Tabela12[[#This Row],[Tag Cabo]],BD!A:F,6,0)</f>
        <v>1</v>
      </c>
      <c r="I2545" s="27" t="s">
        <v>1705</v>
      </c>
      <c r="J2545" s="27" t="s">
        <v>1706</v>
      </c>
    </row>
    <row r="2546" spans="1:10" x14ac:dyDescent="0.25">
      <c r="A2546" s="216" t="s">
        <v>641</v>
      </c>
      <c r="B2546" s="45" t="str">
        <f>VLOOKUP(Tabela12[[#This Row],[Painel]],Tabela13[],2,0)</f>
        <v>30LV</v>
      </c>
      <c r="C2546" s="45" t="s">
        <v>1632</v>
      </c>
      <c r="D2546" s="21" t="s">
        <v>1945</v>
      </c>
      <c r="E2546" s="21">
        <v>16</v>
      </c>
      <c r="F2546" s="27" t="str">
        <f>Tabela12[[#This Row],[Régua]]&amp;" ("&amp;Tabela12[[#This Row],[Born]]&amp;")"</f>
        <v>TB-22A (16)</v>
      </c>
      <c r="G2546" s="27">
        <f>LEN(Tabela12[[#This Row],[Anilha]])</f>
        <v>11</v>
      </c>
      <c r="H2546" s="21">
        <f>VLOOKUP(Tabela12[[#This Row],[Tag Cabo]],BD!A:F,6,0)</f>
        <v>1</v>
      </c>
      <c r="I2546" s="27" t="s">
        <v>1705</v>
      </c>
      <c r="J2546" s="27" t="s">
        <v>1706</v>
      </c>
    </row>
    <row r="2547" spans="1:10" x14ac:dyDescent="0.25">
      <c r="A2547" s="216" t="s">
        <v>641</v>
      </c>
      <c r="B2547" s="45" t="str">
        <f>VLOOKUP(Tabela12[[#This Row],[Painel]],Tabela13[],2,0)</f>
        <v>30LV</v>
      </c>
      <c r="C2547" s="45" t="s">
        <v>1632</v>
      </c>
      <c r="D2547" s="21" t="s">
        <v>1945</v>
      </c>
      <c r="E2547" s="21">
        <v>17</v>
      </c>
      <c r="F2547" s="27" t="str">
        <f>Tabela12[[#This Row],[Régua]]&amp;" ("&amp;Tabela12[[#This Row],[Born]]&amp;")"</f>
        <v>TB-22A (17)</v>
      </c>
      <c r="G2547" s="27">
        <f>LEN(Tabela12[[#This Row],[Anilha]])</f>
        <v>11</v>
      </c>
      <c r="H2547" s="21">
        <f>VLOOKUP(Tabela12[[#This Row],[Tag Cabo]],BD!A:F,6,0)</f>
        <v>1</v>
      </c>
      <c r="I2547" s="27" t="s">
        <v>1705</v>
      </c>
      <c r="J2547" s="27" t="s">
        <v>1706</v>
      </c>
    </row>
    <row r="2548" spans="1:10" x14ac:dyDescent="0.25">
      <c r="A2548" s="216" t="s">
        <v>642</v>
      </c>
      <c r="B2548" s="45" t="str">
        <f>VLOOKUP(Tabela12[[#This Row],[Painel]],Tabela13[],2,0)</f>
        <v>7HV</v>
      </c>
      <c r="C2548" s="45" t="s">
        <v>1543</v>
      </c>
      <c r="D2548" s="21" t="s">
        <v>2061</v>
      </c>
      <c r="E2548" s="21">
        <v>7</v>
      </c>
      <c r="F2548" s="27" t="str">
        <f>Tabela12[[#This Row],[Régua]]&amp;" ("&amp;Tabela12[[#This Row],[Born]]&amp;")"</f>
        <v>2XDJ24 (7)</v>
      </c>
      <c r="G2548" s="27">
        <f>LEN(Tabela12[[#This Row],[Anilha]])</f>
        <v>10</v>
      </c>
      <c r="H2548" s="21">
        <f>VLOOKUP(Tabela12[[#This Row],[Tag Cabo]],BD!A:F,6,0)</f>
        <v>1</v>
      </c>
      <c r="I2548" s="27" t="s">
        <v>1705</v>
      </c>
      <c r="J2548" s="27" t="s">
        <v>1706</v>
      </c>
    </row>
    <row r="2549" spans="1:10" x14ac:dyDescent="0.25">
      <c r="A2549" s="216" t="s">
        <v>642</v>
      </c>
      <c r="B2549" s="45" t="str">
        <f>VLOOKUP(Tabela12[[#This Row],[Painel]],Tabela13[],2,0)</f>
        <v>7HV</v>
      </c>
      <c r="C2549" s="45" t="s">
        <v>1543</v>
      </c>
      <c r="D2549" s="21" t="s">
        <v>2061</v>
      </c>
      <c r="E2549" s="21">
        <v>7</v>
      </c>
      <c r="F2549" s="27" t="str">
        <f>Tabela12[[#This Row],[Régua]]&amp;" ("&amp;Tabela12[[#This Row],[Born]]&amp;")"</f>
        <v>2XDJ24 (7)</v>
      </c>
      <c r="G2549" s="27">
        <f>LEN(Tabela12[[#This Row],[Anilha]])</f>
        <v>10</v>
      </c>
      <c r="H2549" s="21">
        <f>VLOOKUP(Tabela12[[#This Row],[Tag Cabo]],BD!A:F,6,0)</f>
        <v>1</v>
      </c>
      <c r="I2549" s="27" t="s">
        <v>1705</v>
      </c>
      <c r="J2549" s="27" t="s">
        <v>1706</v>
      </c>
    </row>
    <row r="2550" spans="1:10" x14ac:dyDescent="0.25">
      <c r="A2550" s="216" t="s">
        <v>642</v>
      </c>
      <c r="B2550" s="45" t="str">
        <f>VLOOKUP(Tabela12[[#This Row],[Painel]],Tabela13[],2,0)</f>
        <v>7HV</v>
      </c>
      <c r="C2550" s="45" t="s">
        <v>1543</v>
      </c>
      <c r="D2550" s="21" t="s">
        <v>2061</v>
      </c>
      <c r="E2550" s="21">
        <v>8</v>
      </c>
      <c r="F2550" s="27" t="str">
        <f>Tabela12[[#This Row],[Régua]]&amp;" ("&amp;Tabela12[[#This Row],[Born]]&amp;")"</f>
        <v>2XDJ24 (8)</v>
      </c>
      <c r="G2550" s="27">
        <f>LEN(Tabela12[[#This Row],[Anilha]])</f>
        <v>10</v>
      </c>
      <c r="H2550" s="21">
        <f>VLOOKUP(Tabela12[[#This Row],[Tag Cabo]],BD!A:F,6,0)</f>
        <v>1</v>
      </c>
      <c r="I2550" s="27" t="s">
        <v>1705</v>
      </c>
      <c r="J2550" s="27" t="s">
        <v>1706</v>
      </c>
    </row>
    <row r="2551" spans="1:10" x14ac:dyDescent="0.25">
      <c r="A2551" s="216" t="s">
        <v>642</v>
      </c>
      <c r="B2551" s="45" t="str">
        <f>VLOOKUP(Tabela12[[#This Row],[Painel]],Tabela13[],2,0)</f>
        <v>7HV</v>
      </c>
      <c r="C2551" s="45" t="s">
        <v>1543</v>
      </c>
      <c r="D2551" s="21" t="s">
        <v>2061</v>
      </c>
      <c r="E2551" s="21">
        <v>9</v>
      </c>
      <c r="F2551" s="27" t="str">
        <f>Tabela12[[#This Row],[Régua]]&amp;" ("&amp;Tabela12[[#This Row],[Born]]&amp;")"</f>
        <v>2XDJ24 (9)</v>
      </c>
      <c r="G2551" s="27">
        <f>LEN(Tabela12[[#This Row],[Anilha]])</f>
        <v>10</v>
      </c>
      <c r="H2551" s="21">
        <f>VLOOKUP(Tabela12[[#This Row],[Tag Cabo]],BD!A:F,6,0)</f>
        <v>1</v>
      </c>
      <c r="I2551" s="27" t="s">
        <v>1705</v>
      </c>
      <c r="J2551" s="27" t="s">
        <v>1706</v>
      </c>
    </row>
    <row r="2552" spans="1:10" x14ac:dyDescent="0.25">
      <c r="A2552" s="216" t="s">
        <v>642</v>
      </c>
      <c r="B2552" s="45" t="str">
        <f>VLOOKUP(Tabela12[[#This Row],[Painel]],Tabela13[],2,0)</f>
        <v>30LV</v>
      </c>
      <c r="C2552" s="45" t="s">
        <v>1632</v>
      </c>
      <c r="D2552" s="21" t="s">
        <v>1945</v>
      </c>
      <c r="E2552" s="21">
        <v>59</v>
      </c>
      <c r="F2552" s="27" t="str">
        <f>Tabela12[[#This Row],[Régua]]&amp;" ("&amp;Tabela12[[#This Row],[Born]]&amp;")"</f>
        <v>TB-22A (59)</v>
      </c>
      <c r="G2552" s="27">
        <f>LEN(Tabela12[[#This Row],[Anilha]])</f>
        <v>11</v>
      </c>
      <c r="H2552" s="21">
        <f>VLOOKUP(Tabela12[[#This Row],[Tag Cabo]],BD!A:F,6,0)</f>
        <v>1</v>
      </c>
      <c r="I2552" s="27" t="s">
        <v>1705</v>
      </c>
      <c r="J2552" s="27" t="s">
        <v>1706</v>
      </c>
    </row>
    <row r="2553" spans="1:10" x14ac:dyDescent="0.25">
      <c r="A2553" s="216" t="s">
        <v>642</v>
      </c>
      <c r="B2553" s="45" t="str">
        <f>VLOOKUP(Tabela12[[#This Row],[Painel]],Tabela13[],2,0)</f>
        <v>30LV</v>
      </c>
      <c r="C2553" s="45" t="s">
        <v>1632</v>
      </c>
      <c r="D2553" s="21" t="s">
        <v>1945</v>
      </c>
      <c r="E2553" s="21">
        <v>60</v>
      </c>
      <c r="F2553" s="27" t="str">
        <f>Tabela12[[#This Row],[Régua]]&amp;" ("&amp;Tabela12[[#This Row],[Born]]&amp;")"</f>
        <v>TB-22A (60)</v>
      </c>
      <c r="G2553" s="27">
        <f>LEN(Tabela12[[#This Row],[Anilha]])</f>
        <v>11</v>
      </c>
      <c r="H2553" s="21">
        <f>VLOOKUP(Tabela12[[#This Row],[Tag Cabo]],BD!A:F,6,0)</f>
        <v>1</v>
      </c>
      <c r="I2553" s="27" t="s">
        <v>1705</v>
      </c>
      <c r="J2553" s="27" t="s">
        <v>1706</v>
      </c>
    </row>
    <row r="2554" spans="1:10" x14ac:dyDescent="0.25">
      <c r="A2554" s="216" t="s">
        <v>642</v>
      </c>
      <c r="B2554" s="45" t="str">
        <f>VLOOKUP(Tabela12[[#This Row],[Painel]],Tabela13[],2,0)</f>
        <v>30LV</v>
      </c>
      <c r="C2554" s="45" t="s">
        <v>1632</v>
      </c>
      <c r="D2554" s="21" t="s">
        <v>1945</v>
      </c>
      <c r="E2554" s="21">
        <v>61</v>
      </c>
      <c r="F2554" s="27" t="str">
        <f>Tabela12[[#This Row],[Régua]]&amp;" ("&amp;Tabela12[[#This Row],[Born]]&amp;")"</f>
        <v>TB-22A (61)</v>
      </c>
      <c r="G2554" s="27">
        <f>LEN(Tabela12[[#This Row],[Anilha]])</f>
        <v>11</v>
      </c>
      <c r="H2554" s="21">
        <f>VLOOKUP(Tabela12[[#This Row],[Tag Cabo]],BD!A:F,6,0)</f>
        <v>1</v>
      </c>
      <c r="I2554" s="27" t="s">
        <v>1705</v>
      </c>
      <c r="J2554" s="27" t="s">
        <v>1706</v>
      </c>
    </row>
    <row r="2555" spans="1:10" x14ac:dyDescent="0.25">
      <c r="A2555" s="216" t="s">
        <v>642</v>
      </c>
      <c r="B2555" s="45" t="str">
        <f>VLOOKUP(Tabela12[[#This Row],[Painel]],Tabela13[],2,0)</f>
        <v>30LV</v>
      </c>
      <c r="C2555" s="45" t="s">
        <v>1632</v>
      </c>
      <c r="D2555" s="21" t="s">
        <v>1945</v>
      </c>
      <c r="E2555" s="21">
        <v>62</v>
      </c>
      <c r="F2555" s="27" t="str">
        <f>Tabela12[[#This Row],[Régua]]&amp;" ("&amp;Tabela12[[#This Row],[Born]]&amp;")"</f>
        <v>TB-22A (62)</v>
      </c>
      <c r="G2555" s="27">
        <f>LEN(Tabela12[[#This Row],[Anilha]])</f>
        <v>11</v>
      </c>
      <c r="H2555" s="21">
        <f>VLOOKUP(Tabela12[[#This Row],[Tag Cabo]],BD!A:F,6,0)</f>
        <v>1</v>
      </c>
      <c r="I2555" s="27" t="s">
        <v>1705</v>
      </c>
      <c r="J2555" s="27" t="s">
        <v>1706</v>
      </c>
    </row>
    <row r="2556" spans="1:10" x14ac:dyDescent="0.25">
      <c r="A2556" s="216" t="s">
        <v>388</v>
      </c>
      <c r="B2556" s="45" t="str">
        <f>VLOOKUP(Tabela12[[#This Row],[Painel]],Tabela13[],2,0)</f>
        <v>30LV</v>
      </c>
      <c r="C2556" s="45" t="s">
        <v>1632</v>
      </c>
      <c r="D2556" s="21" t="s">
        <v>1934</v>
      </c>
      <c r="E2556" s="21">
        <v>16</v>
      </c>
      <c r="F2556" s="27" t="str">
        <f>Tabela12[[#This Row],[Régua]]&amp;" ("&amp;Tabela12[[#This Row],[Born]]&amp;")"</f>
        <v>TB-16 (16)</v>
      </c>
      <c r="G2556" s="27">
        <f>LEN(Tabela12[[#This Row],[Anilha]])</f>
        <v>10</v>
      </c>
      <c r="H2556" s="21">
        <f>VLOOKUP(Tabela12[[#This Row],[Tag Cabo]],BD!A:F,6,0)</f>
        <v>1</v>
      </c>
      <c r="I2556" s="27" t="s">
        <v>1705</v>
      </c>
      <c r="J2556" s="27" t="s">
        <v>1706</v>
      </c>
    </row>
    <row r="2557" spans="1:10" x14ac:dyDescent="0.25">
      <c r="A2557" s="216" t="s">
        <v>388</v>
      </c>
      <c r="B2557" s="45" t="str">
        <f>VLOOKUP(Tabela12[[#This Row],[Painel]],Tabela13[],2,0)</f>
        <v>30LV</v>
      </c>
      <c r="C2557" s="45" t="s">
        <v>1632</v>
      </c>
      <c r="D2557" s="21" t="s">
        <v>1934</v>
      </c>
      <c r="E2557" s="21">
        <v>17</v>
      </c>
      <c r="F2557" s="27" t="str">
        <f>Tabela12[[#This Row],[Régua]]&amp;" ("&amp;Tabela12[[#This Row],[Born]]&amp;")"</f>
        <v>TB-16 (17)</v>
      </c>
      <c r="G2557" s="27">
        <f>LEN(Tabela12[[#This Row],[Anilha]])</f>
        <v>10</v>
      </c>
      <c r="H2557" s="21">
        <f>VLOOKUP(Tabela12[[#This Row],[Tag Cabo]],BD!A:F,6,0)</f>
        <v>1</v>
      </c>
      <c r="I2557" s="27" t="s">
        <v>1705</v>
      </c>
      <c r="J2557" s="27" t="s">
        <v>1706</v>
      </c>
    </row>
    <row r="2558" spans="1:10" x14ac:dyDescent="0.25">
      <c r="A2558" s="216" t="s">
        <v>388</v>
      </c>
      <c r="B2558" s="45" t="str">
        <f>VLOOKUP(Tabela12[[#This Row],[Painel]],Tabela13[],2,0)</f>
        <v>30LV</v>
      </c>
      <c r="C2558" s="45" t="s">
        <v>1632</v>
      </c>
      <c r="D2558" s="21" t="s">
        <v>1934</v>
      </c>
      <c r="E2558" s="21">
        <v>19</v>
      </c>
      <c r="F2558" s="27" t="str">
        <f>Tabela12[[#This Row],[Régua]]&amp;" ("&amp;Tabela12[[#This Row],[Born]]&amp;")"</f>
        <v>TB-16 (19)</v>
      </c>
      <c r="G2558" s="27">
        <f>LEN(Tabela12[[#This Row],[Anilha]])</f>
        <v>10</v>
      </c>
      <c r="H2558" s="21">
        <f>VLOOKUP(Tabela12[[#This Row],[Tag Cabo]],BD!A:F,6,0)</f>
        <v>1</v>
      </c>
      <c r="I2558" s="27" t="s">
        <v>1705</v>
      </c>
      <c r="J2558" s="27" t="s">
        <v>1706</v>
      </c>
    </row>
    <row r="2559" spans="1:10" x14ac:dyDescent="0.25">
      <c r="A2559" s="216" t="s">
        <v>388</v>
      </c>
      <c r="B2559" s="45" t="str">
        <f>VLOOKUP(Tabela12[[#This Row],[Painel]],Tabela13[],2,0)</f>
        <v>30LV</v>
      </c>
      <c r="C2559" s="45" t="s">
        <v>1632</v>
      </c>
      <c r="D2559" s="21" t="s">
        <v>1934</v>
      </c>
      <c r="E2559" s="21">
        <v>20</v>
      </c>
      <c r="F2559" s="27" t="str">
        <f>Tabela12[[#This Row],[Régua]]&amp;" ("&amp;Tabela12[[#This Row],[Born]]&amp;")"</f>
        <v>TB-16 (20)</v>
      </c>
      <c r="G2559" s="27">
        <f>LEN(Tabela12[[#This Row],[Anilha]])</f>
        <v>10</v>
      </c>
      <c r="H2559" s="21">
        <f>VLOOKUP(Tabela12[[#This Row],[Tag Cabo]],BD!A:F,6,0)</f>
        <v>1</v>
      </c>
      <c r="I2559" s="27" t="s">
        <v>1705</v>
      </c>
      <c r="J2559" s="27" t="s">
        <v>1706</v>
      </c>
    </row>
    <row r="2560" spans="1:10" x14ac:dyDescent="0.25">
      <c r="A2560" s="216" t="s">
        <v>388</v>
      </c>
      <c r="B2560" s="45" t="str">
        <f>VLOOKUP(Tabela12[[#This Row],[Painel]],Tabela13[],2,0)</f>
        <v>30LV</v>
      </c>
      <c r="C2560" s="45" t="s">
        <v>1632</v>
      </c>
      <c r="D2560" s="21" t="s">
        <v>1934</v>
      </c>
      <c r="E2560" s="21">
        <v>22</v>
      </c>
      <c r="F2560" s="27" t="str">
        <f>Tabela12[[#This Row],[Régua]]&amp;" ("&amp;Tabela12[[#This Row],[Born]]&amp;")"</f>
        <v>TB-16 (22)</v>
      </c>
      <c r="G2560" s="27">
        <f>LEN(Tabela12[[#This Row],[Anilha]])</f>
        <v>10</v>
      </c>
      <c r="H2560" s="21">
        <f>VLOOKUP(Tabela12[[#This Row],[Tag Cabo]],BD!A:F,6,0)</f>
        <v>1</v>
      </c>
      <c r="I2560" s="27" t="s">
        <v>1705</v>
      </c>
      <c r="J2560" s="27" t="s">
        <v>1706</v>
      </c>
    </row>
    <row r="2561" spans="1:10" x14ac:dyDescent="0.25">
      <c r="A2561" s="216" t="s">
        <v>388</v>
      </c>
      <c r="B2561" s="45" t="str">
        <f>VLOOKUP(Tabela12[[#This Row],[Painel]],Tabela13[],2,0)</f>
        <v>30LV</v>
      </c>
      <c r="C2561" s="45" t="s">
        <v>1632</v>
      </c>
      <c r="D2561" s="21" t="s">
        <v>1934</v>
      </c>
      <c r="E2561" s="21">
        <v>23</v>
      </c>
      <c r="F2561" s="27" t="str">
        <f>Tabela12[[#This Row],[Régua]]&amp;" ("&amp;Tabela12[[#This Row],[Born]]&amp;")"</f>
        <v>TB-16 (23)</v>
      </c>
      <c r="G2561" s="27">
        <f>LEN(Tabela12[[#This Row],[Anilha]])</f>
        <v>10</v>
      </c>
      <c r="H2561" s="21">
        <f>VLOOKUP(Tabela12[[#This Row],[Tag Cabo]],BD!A:F,6,0)</f>
        <v>1</v>
      </c>
      <c r="I2561" s="27" t="s">
        <v>1705</v>
      </c>
      <c r="J2561" s="27" t="s">
        <v>1706</v>
      </c>
    </row>
    <row r="2562" spans="1:10" x14ac:dyDescent="0.25">
      <c r="A2562" s="216" t="s">
        <v>388</v>
      </c>
      <c r="B2562" s="45" t="str">
        <f>VLOOKUP(Tabela12[[#This Row],[Painel]],Tabela13[],2,0)</f>
        <v>30LV</v>
      </c>
      <c r="C2562" s="45" t="s">
        <v>1632</v>
      </c>
      <c r="D2562" s="21" t="s">
        <v>1934</v>
      </c>
      <c r="E2562" s="21">
        <v>25</v>
      </c>
      <c r="F2562" s="27" t="str">
        <f>Tabela12[[#This Row],[Régua]]&amp;" ("&amp;Tabela12[[#This Row],[Born]]&amp;")"</f>
        <v>TB-16 (25)</v>
      </c>
      <c r="G2562" s="27">
        <f>LEN(Tabela12[[#This Row],[Anilha]])</f>
        <v>10</v>
      </c>
      <c r="H2562" s="21">
        <f>VLOOKUP(Tabela12[[#This Row],[Tag Cabo]],BD!A:F,6,0)</f>
        <v>1</v>
      </c>
      <c r="I2562" s="27" t="s">
        <v>1705</v>
      </c>
      <c r="J2562" s="27" t="s">
        <v>1706</v>
      </c>
    </row>
    <row r="2563" spans="1:10" x14ac:dyDescent="0.25">
      <c r="A2563" s="216" t="s">
        <v>388</v>
      </c>
      <c r="B2563" s="45" t="str">
        <f>VLOOKUP(Tabela12[[#This Row],[Painel]],Tabela13[],2,0)</f>
        <v>30LV</v>
      </c>
      <c r="C2563" s="45" t="s">
        <v>1632</v>
      </c>
      <c r="D2563" s="21" t="s">
        <v>1934</v>
      </c>
      <c r="E2563" s="21">
        <v>26</v>
      </c>
      <c r="F2563" s="27" t="str">
        <f>Tabela12[[#This Row],[Régua]]&amp;" ("&amp;Tabela12[[#This Row],[Born]]&amp;")"</f>
        <v>TB-16 (26)</v>
      </c>
      <c r="G2563" s="27">
        <f>LEN(Tabela12[[#This Row],[Anilha]])</f>
        <v>10</v>
      </c>
      <c r="H2563" s="21">
        <f>VLOOKUP(Tabela12[[#This Row],[Tag Cabo]],BD!A:F,6,0)</f>
        <v>1</v>
      </c>
      <c r="I2563" s="27" t="s">
        <v>1705</v>
      </c>
      <c r="J2563" s="27" t="s">
        <v>1706</v>
      </c>
    </row>
    <row r="2564" spans="1:10" x14ac:dyDescent="0.25">
      <c r="A2564" s="216" t="s">
        <v>388</v>
      </c>
      <c r="B2564" s="45" t="str">
        <f>VLOOKUP(Tabela12[[#This Row],[Painel]],Tabela13[],2,0)</f>
        <v>30LV</v>
      </c>
      <c r="C2564" s="45" t="s">
        <v>1632</v>
      </c>
      <c r="D2564" s="21" t="s">
        <v>1934</v>
      </c>
      <c r="E2564" s="21">
        <v>67</v>
      </c>
      <c r="F2564" s="27" t="str">
        <f>Tabela12[[#This Row],[Régua]]&amp;" ("&amp;Tabela12[[#This Row],[Born]]&amp;")"</f>
        <v>TB-16 (67)</v>
      </c>
      <c r="G2564" s="27">
        <f>LEN(Tabela12[[#This Row],[Anilha]])</f>
        <v>10</v>
      </c>
      <c r="H2564" s="21">
        <f>VLOOKUP(Tabela12[[#This Row],[Tag Cabo]],BD!A:F,6,0)</f>
        <v>1</v>
      </c>
      <c r="I2564" s="27" t="s">
        <v>1705</v>
      </c>
      <c r="J2564" s="27" t="s">
        <v>1706</v>
      </c>
    </row>
    <row r="2565" spans="1:10" x14ac:dyDescent="0.25">
      <c r="A2565" s="216" t="s">
        <v>388</v>
      </c>
      <c r="B2565" s="45" t="str">
        <f>VLOOKUP(Tabela12[[#This Row],[Painel]],Tabela13[],2,0)</f>
        <v>30LV</v>
      </c>
      <c r="C2565" s="45" t="s">
        <v>1632</v>
      </c>
      <c r="D2565" s="21" t="s">
        <v>1934</v>
      </c>
      <c r="E2565" s="21">
        <v>68</v>
      </c>
      <c r="F2565" s="27" t="str">
        <f>Tabela12[[#This Row],[Régua]]&amp;" ("&amp;Tabela12[[#This Row],[Born]]&amp;")"</f>
        <v>TB-16 (68)</v>
      </c>
      <c r="G2565" s="27">
        <f>LEN(Tabela12[[#This Row],[Anilha]])</f>
        <v>10</v>
      </c>
      <c r="H2565" s="21">
        <f>VLOOKUP(Tabela12[[#This Row],[Tag Cabo]],BD!A:F,6,0)</f>
        <v>1</v>
      </c>
      <c r="I2565" s="27" t="s">
        <v>1705</v>
      </c>
      <c r="J2565" s="27" t="s">
        <v>1706</v>
      </c>
    </row>
    <row r="2566" spans="1:10" x14ac:dyDescent="0.25">
      <c r="A2566" s="216" t="s">
        <v>388</v>
      </c>
      <c r="B2566" s="45" t="str">
        <f>VLOOKUP(Tabela12[[#This Row],[Painel]],Tabela13[],2,0)</f>
        <v>30LV</v>
      </c>
      <c r="C2566" s="45" t="s">
        <v>1632</v>
      </c>
      <c r="D2566" s="21" t="s">
        <v>1934</v>
      </c>
      <c r="E2566" s="21">
        <v>70</v>
      </c>
      <c r="F2566" s="27" t="str">
        <f>Tabela12[[#This Row],[Régua]]&amp;" ("&amp;Tabela12[[#This Row],[Born]]&amp;")"</f>
        <v>TB-16 (70)</v>
      </c>
      <c r="G2566" s="27">
        <f>LEN(Tabela12[[#This Row],[Anilha]])</f>
        <v>10</v>
      </c>
      <c r="H2566" s="21">
        <f>VLOOKUP(Tabela12[[#This Row],[Tag Cabo]],BD!A:F,6,0)</f>
        <v>1</v>
      </c>
      <c r="I2566" s="27" t="s">
        <v>1705</v>
      </c>
      <c r="J2566" s="27" t="s">
        <v>1706</v>
      </c>
    </row>
    <row r="2567" spans="1:10" x14ac:dyDescent="0.25">
      <c r="A2567" s="216" t="s">
        <v>388</v>
      </c>
      <c r="B2567" s="45" t="str">
        <f>VLOOKUP(Tabela12[[#This Row],[Painel]],Tabela13[],2,0)</f>
        <v>30LV</v>
      </c>
      <c r="C2567" s="45" t="s">
        <v>1632</v>
      </c>
      <c r="D2567" s="21" t="s">
        <v>1934</v>
      </c>
      <c r="E2567" s="21">
        <v>71</v>
      </c>
      <c r="F2567" s="27" t="str">
        <f>Tabela12[[#This Row],[Régua]]&amp;" ("&amp;Tabela12[[#This Row],[Born]]&amp;")"</f>
        <v>TB-16 (71)</v>
      </c>
      <c r="G2567" s="27">
        <f>LEN(Tabela12[[#This Row],[Anilha]])</f>
        <v>10</v>
      </c>
      <c r="H2567" s="21">
        <f>VLOOKUP(Tabela12[[#This Row],[Tag Cabo]],BD!A:F,6,0)</f>
        <v>1</v>
      </c>
      <c r="I2567" s="27" t="s">
        <v>1705</v>
      </c>
      <c r="J2567" s="27" t="s">
        <v>1706</v>
      </c>
    </row>
    <row r="2568" spans="1:10" x14ac:dyDescent="0.25">
      <c r="A2568" s="216" t="s">
        <v>388</v>
      </c>
      <c r="B2568" s="45" t="str">
        <f>VLOOKUP(Tabela12[[#This Row],[Painel]],Tabela13[],2,0)</f>
        <v>30LV</v>
      </c>
      <c r="C2568" s="45" t="s">
        <v>1632</v>
      </c>
      <c r="D2568" s="21" t="s">
        <v>1934</v>
      </c>
      <c r="E2568" s="21">
        <v>73</v>
      </c>
      <c r="F2568" s="27" t="str">
        <f>Tabela12[[#This Row],[Régua]]&amp;" ("&amp;Tabela12[[#This Row],[Born]]&amp;")"</f>
        <v>TB-16 (73)</v>
      </c>
      <c r="G2568" s="27">
        <f>LEN(Tabela12[[#This Row],[Anilha]])</f>
        <v>10</v>
      </c>
      <c r="H2568" s="21">
        <f>VLOOKUP(Tabela12[[#This Row],[Tag Cabo]],BD!A:F,6,0)</f>
        <v>1</v>
      </c>
      <c r="I2568" s="27" t="s">
        <v>1705</v>
      </c>
      <c r="J2568" s="27" t="s">
        <v>1706</v>
      </c>
    </row>
    <row r="2569" spans="1:10" x14ac:dyDescent="0.25">
      <c r="A2569" s="216" t="s">
        <v>388</v>
      </c>
      <c r="B2569" s="45" t="str">
        <f>VLOOKUP(Tabela12[[#This Row],[Painel]],Tabela13[],2,0)</f>
        <v>30LV</v>
      </c>
      <c r="C2569" s="45" t="s">
        <v>1632</v>
      </c>
      <c r="D2569" s="21" t="s">
        <v>1934</v>
      </c>
      <c r="E2569" s="21">
        <v>74</v>
      </c>
      <c r="F2569" s="27" t="str">
        <f>Tabela12[[#This Row],[Régua]]&amp;" ("&amp;Tabela12[[#This Row],[Born]]&amp;")"</f>
        <v>TB-16 (74)</v>
      </c>
      <c r="G2569" s="27">
        <f>LEN(Tabela12[[#This Row],[Anilha]])</f>
        <v>10</v>
      </c>
      <c r="H2569" s="21">
        <f>VLOOKUP(Tabela12[[#This Row],[Tag Cabo]],BD!A:F,6,0)</f>
        <v>1</v>
      </c>
      <c r="I2569" s="27" t="s">
        <v>1705</v>
      </c>
      <c r="J2569" s="27" t="s">
        <v>1706</v>
      </c>
    </row>
    <row r="2570" spans="1:10" x14ac:dyDescent="0.25">
      <c r="A2570" s="216" t="s">
        <v>388</v>
      </c>
      <c r="B2570" s="45" t="str">
        <f>VLOOKUP(Tabela12[[#This Row],[Painel]],Tabela13[],2,0)</f>
        <v>30LV</v>
      </c>
      <c r="C2570" s="45" t="s">
        <v>1632</v>
      </c>
      <c r="D2570" s="21" t="s">
        <v>1934</v>
      </c>
      <c r="E2570" s="21">
        <v>46</v>
      </c>
      <c r="F2570" s="27" t="str">
        <f>Tabela12[[#This Row],[Régua]]&amp;" ("&amp;Tabela12[[#This Row],[Born]]&amp;")"</f>
        <v>TB-16 (46)</v>
      </c>
      <c r="G2570" s="27">
        <f>LEN(Tabela12[[#This Row],[Anilha]])</f>
        <v>10</v>
      </c>
      <c r="H2570" s="27">
        <f>VLOOKUP(Tabela12[[#This Row],[Tag Cabo]],BD!A:F,6,0)</f>
        <v>1</v>
      </c>
      <c r="I2570" s="27" t="s">
        <v>1705</v>
      </c>
      <c r="J2570" s="27" t="s">
        <v>1706</v>
      </c>
    </row>
    <row r="2571" spans="1:10" x14ac:dyDescent="0.25">
      <c r="A2571" s="216" t="s">
        <v>388</v>
      </c>
      <c r="B2571" s="45" t="str">
        <f>VLOOKUP(Tabela12[[#This Row],[Painel]],Tabela13[],2,0)</f>
        <v>30LV</v>
      </c>
      <c r="C2571" s="45" t="s">
        <v>1632</v>
      </c>
      <c r="D2571" s="21" t="s">
        <v>1934</v>
      </c>
      <c r="E2571" s="21">
        <v>47</v>
      </c>
      <c r="F2571" s="27" t="str">
        <f>Tabela12[[#This Row],[Régua]]&amp;" ("&amp;Tabela12[[#This Row],[Born]]&amp;")"</f>
        <v>TB-16 (47)</v>
      </c>
      <c r="G2571" s="27">
        <f>LEN(Tabela12[[#This Row],[Anilha]])</f>
        <v>10</v>
      </c>
      <c r="H2571" s="27">
        <f>VLOOKUP(Tabela12[[#This Row],[Tag Cabo]],BD!A:F,6,0)</f>
        <v>1</v>
      </c>
      <c r="I2571" s="27" t="s">
        <v>1705</v>
      </c>
      <c r="J2571" s="27" t="s">
        <v>1706</v>
      </c>
    </row>
    <row r="2572" spans="1:10" x14ac:dyDescent="0.25">
      <c r="A2572" s="216" t="s">
        <v>388</v>
      </c>
      <c r="B2572" s="45" t="str">
        <f>VLOOKUP(Tabela12[[#This Row],[Painel]],Tabela13[],2,0)</f>
        <v>30LV</v>
      </c>
      <c r="C2572" s="45" t="s">
        <v>1632</v>
      </c>
      <c r="D2572" s="21" t="s">
        <v>1934</v>
      </c>
      <c r="E2572" s="21">
        <v>49</v>
      </c>
      <c r="F2572" s="27" t="str">
        <f>Tabela12[[#This Row],[Régua]]&amp;" ("&amp;Tabela12[[#This Row],[Born]]&amp;")"</f>
        <v>TB-16 (49)</v>
      </c>
      <c r="G2572" s="27">
        <f>LEN(Tabela12[[#This Row],[Anilha]])</f>
        <v>10</v>
      </c>
      <c r="H2572" s="27">
        <f>VLOOKUP(Tabela12[[#This Row],[Tag Cabo]],BD!A:F,6,0)</f>
        <v>1</v>
      </c>
      <c r="I2572" s="27" t="s">
        <v>1705</v>
      </c>
      <c r="J2572" s="27" t="s">
        <v>1706</v>
      </c>
    </row>
    <row r="2573" spans="1:10" x14ac:dyDescent="0.25">
      <c r="A2573" s="216" t="s">
        <v>388</v>
      </c>
      <c r="B2573" s="45" t="str">
        <f>VLOOKUP(Tabela12[[#This Row],[Painel]],Tabela13[],2,0)</f>
        <v>30LV</v>
      </c>
      <c r="C2573" s="45" t="s">
        <v>1632</v>
      </c>
      <c r="D2573" s="21" t="s">
        <v>1934</v>
      </c>
      <c r="E2573" s="21">
        <v>50</v>
      </c>
      <c r="F2573" s="27" t="str">
        <f>Tabela12[[#This Row],[Régua]]&amp;" ("&amp;Tabela12[[#This Row],[Born]]&amp;")"</f>
        <v>TB-16 (50)</v>
      </c>
      <c r="G2573" s="27">
        <f>LEN(Tabela12[[#This Row],[Anilha]])</f>
        <v>10</v>
      </c>
      <c r="H2573" s="27">
        <f>VLOOKUP(Tabela12[[#This Row],[Tag Cabo]],BD!A:F,6,0)</f>
        <v>1</v>
      </c>
      <c r="I2573" s="27" t="s">
        <v>1705</v>
      </c>
      <c r="J2573" s="27" t="s">
        <v>1706</v>
      </c>
    </row>
    <row r="2574" spans="1:10" x14ac:dyDescent="0.25">
      <c r="A2574" s="216" t="s">
        <v>388</v>
      </c>
      <c r="B2574" s="45" t="str">
        <f>VLOOKUP(Tabela12[[#This Row],[Painel]],Tabela13[],2,0)</f>
        <v>30LV</v>
      </c>
      <c r="C2574" s="45" t="s">
        <v>1632</v>
      </c>
      <c r="D2574" s="21" t="s">
        <v>1934</v>
      </c>
      <c r="E2574" s="21">
        <v>52</v>
      </c>
      <c r="F2574" s="27" t="str">
        <f>Tabela12[[#This Row],[Régua]]&amp;" ("&amp;Tabela12[[#This Row],[Born]]&amp;")"</f>
        <v>TB-16 (52)</v>
      </c>
      <c r="G2574" s="27">
        <f>LEN(Tabela12[[#This Row],[Anilha]])</f>
        <v>10</v>
      </c>
      <c r="H2574" s="27">
        <f>VLOOKUP(Tabela12[[#This Row],[Tag Cabo]],BD!A:F,6,0)</f>
        <v>1</v>
      </c>
      <c r="I2574" s="27" t="s">
        <v>1705</v>
      </c>
      <c r="J2574" s="27" t="s">
        <v>1706</v>
      </c>
    </row>
    <row r="2575" spans="1:10" x14ac:dyDescent="0.25">
      <c r="A2575" s="216" t="s">
        <v>388</v>
      </c>
      <c r="B2575" s="45" t="str">
        <f>VLOOKUP(Tabela12[[#This Row],[Painel]],Tabela13[],2,0)</f>
        <v>30LV</v>
      </c>
      <c r="C2575" s="45" t="s">
        <v>1632</v>
      </c>
      <c r="D2575" s="21" t="s">
        <v>1934</v>
      </c>
      <c r="E2575" s="21">
        <v>53</v>
      </c>
      <c r="F2575" s="27" t="str">
        <f>Tabela12[[#This Row],[Régua]]&amp;" ("&amp;Tabela12[[#This Row],[Born]]&amp;")"</f>
        <v>TB-16 (53)</v>
      </c>
      <c r="G2575" s="27">
        <f>LEN(Tabela12[[#This Row],[Anilha]])</f>
        <v>10</v>
      </c>
      <c r="H2575" s="27">
        <f>VLOOKUP(Tabela12[[#This Row],[Tag Cabo]],BD!A:F,6,0)</f>
        <v>1</v>
      </c>
      <c r="I2575" s="27" t="s">
        <v>1705</v>
      </c>
      <c r="J2575" s="27" t="s">
        <v>1706</v>
      </c>
    </row>
    <row r="2576" spans="1:10" x14ac:dyDescent="0.25">
      <c r="A2576" s="216" t="s">
        <v>388</v>
      </c>
      <c r="B2576" s="45" t="str">
        <f>VLOOKUP(Tabela12[[#This Row],[Painel]],Tabela13[],2,0)</f>
        <v>30LV</v>
      </c>
      <c r="C2576" s="45" t="s">
        <v>1632</v>
      </c>
      <c r="D2576" s="21" t="s">
        <v>1934</v>
      </c>
      <c r="E2576" s="21">
        <v>55</v>
      </c>
      <c r="F2576" s="27" t="str">
        <f>Tabela12[[#This Row],[Régua]]&amp;" ("&amp;Tabela12[[#This Row],[Born]]&amp;")"</f>
        <v>TB-16 (55)</v>
      </c>
      <c r="G2576" s="27">
        <f>LEN(Tabela12[[#This Row],[Anilha]])</f>
        <v>10</v>
      </c>
      <c r="H2576" s="27">
        <f>VLOOKUP(Tabela12[[#This Row],[Tag Cabo]],BD!A:F,6,0)</f>
        <v>1</v>
      </c>
      <c r="I2576" s="27" t="s">
        <v>1705</v>
      </c>
      <c r="J2576" s="27" t="s">
        <v>1706</v>
      </c>
    </row>
    <row r="2577" spans="1:10" x14ac:dyDescent="0.25">
      <c r="A2577" s="216" t="s">
        <v>388</v>
      </c>
      <c r="B2577" s="45" t="str">
        <f>VLOOKUP(Tabela12[[#This Row],[Painel]],Tabela13[],2,0)</f>
        <v>30LV</v>
      </c>
      <c r="C2577" s="45" t="s">
        <v>1632</v>
      </c>
      <c r="D2577" s="21" t="s">
        <v>1934</v>
      </c>
      <c r="E2577" s="21">
        <v>56</v>
      </c>
      <c r="F2577" s="27" t="str">
        <f>Tabela12[[#This Row],[Régua]]&amp;" ("&amp;Tabela12[[#This Row],[Born]]&amp;")"</f>
        <v>TB-16 (56)</v>
      </c>
      <c r="G2577" s="27">
        <f>LEN(Tabela12[[#This Row],[Anilha]])</f>
        <v>10</v>
      </c>
      <c r="H2577" s="27">
        <f>VLOOKUP(Tabela12[[#This Row],[Tag Cabo]],BD!A:F,6,0)</f>
        <v>1</v>
      </c>
      <c r="I2577" s="27" t="s">
        <v>1705</v>
      </c>
      <c r="J2577" s="27" t="s">
        <v>1706</v>
      </c>
    </row>
    <row r="2578" spans="1:10" x14ac:dyDescent="0.25">
      <c r="A2578" s="216" t="s">
        <v>388</v>
      </c>
      <c r="B2578" s="45" t="str">
        <f>VLOOKUP(Tabela12[[#This Row],[Painel]],Tabela13[],2,0)</f>
        <v>GB-1203</v>
      </c>
      <c r="C2578" s="45" t="s">
        <v>1642</v>
      </c>
      <c r="D2578" s="21" t="s">
        <v>1642</v>
      </c>
      <c r="E2578" s="21">
        <v>1</v>
      </c>
      <c r="F2578" s="27" t="str">
        <f>Tabela12[[#This Row],[Régua]]&amp;"-"&amp;Tabela12[[#This Row],[Born]]</f>
        <v>JBI-120-104X-1</v>
      </c>
      <c r="G2578" s="27">
        <f>LEN(Tabela12[[#This Row],[Anilha]])</f>
        <v>14</v>
      </c>
      <c r="H2578" s="21">
        <f>VLOOKUP(Tabela12[[#This Row],[Tag Cabo]],BD!A:F,6,0)</f>
        <v>1</v>
      </c>
      <c r="I2578" s="27" t="s">
        <v>1705</v>
      </c>
      <c r="J2578" s="27" t="s">
        <v>1706</v>
      </c>
    </row>
    <row r="2579" spans="1:10" x14ac:dyDescent="0.25">
      <c r="A2579" s="216" t="s">
        <v>388</v>
      </c>
      <c r="B2579" s="45" t="str">
        <f>VLOOKUP(Tabela12[[#This Row],[Painel]],Tabela13[],2,0)</f>
        <v>GB-1203</v>
      </c>
      <c r="C2579" s="45" t="s">
        <v>1642</v>
      </c>
      <c r="D2579" s="21" t="s">
        <v>1642</v>
      </c>
      <c r="E2579" s="21">
        <v>2</v>
      </c>
      <c r="F2579" s="27" t="str">
        <f>Tabela12[[#This Row],[Régua]]&amp;"-"&amp;Tabela12[[#This Row],[Born]]</f>
        <v>JBI-120-104X-2</v>
      </c>
      <c r="G2579" s="27">
        <f>LEN(Tabela12[[#This Row],[Anilha]])</f>
        <v>14</v>
      </c>
      <c r="H2579" s="21">
        <f>VLOOKUP(Tabela12[[#This Row],[Tag Cabo]],BD!A:F,6,0)</f>
        <v>1</v>
      </c>
      <c r="I2579" s="27" t="s">
        <v>1705</v>
      </c>
      <c r="J2579" s="27" t="s">
        <v>1706</v>
      </c>
    </row>
    <row r="2580" spans="1:10" x14ac:dyDescent="0.25">
      <c r="A2580" s="216" t="s">
        <v>388</v>
      </c>
      <c r="B2580" s="45" t="str">
        <f>VLOOKUP(Tabela12[[#This Row],[Painel]],Tabela13[],2,0)</f>
        <v>GB-1203</v>
      </c>
      <c r="C2580" s="45" t="s">
        <v>1642</v>
      </c>
      <c r="D2580" s="21" t="s">
        <v>1642</v>
      </c>
      <c r="E2580" s="21">
        <v>3</v>
      </c>
      <c r="F2580" s="27" t="str">
        <f>Tabela12[[#This Row],[Régua]]&amp;"-"&amp;Tabela12[[#This Row],[Born]]</f>
        <v>JBI-120-104X-3</v>
      </c>
      <c r="G2580" s="27">
        <f>LEN(Tabela12[[#This Row],[Anilha]])</f>
        <v>14</v>
      </c>
      <c r="H2580" s="21">
        <f>VLOOKUP(Tabela12[[#This Row],[Tag Cabo]],BD!A:F,6,0)</f>
        <v>1</v>
      </c>
      <c r="I2580" s="27" t="s">
        <v>1705</v>
      </c>
      <c r="J2580" s="27" t="s">
        <v>1706</v>
      </c>
    </row>
    <row r="2581" spans="1:10" x14ac:dyDescent="0.25">
      <c r="A2581" s="216" t="s">
        <v>388</v>
      </c>
      <c r="B2581" s="45" t="str">
        <f>VLOOKUP(Tabela12[[#This Row],[Painel]],Tabela13[],2,0)</f>
        <v>GB-1203</v>
      </c>
      <c r="C2581" s="45" t="s">
        <v>1642</v>
      </c>
      <c r="D2581" s="21" t="s">
        <v>1642</v>
      </c>
      <c r="E2581" s="21">
        <v>4</v>
      </c>
      <c r="F2581" s="27" t="str">
        <f>Tabela12[[#This Row],[Régua]]&amp;"-"&amp;Tabela12[[#This Row],[Born]]</f>
        <v>JBI-120-104X-4</v>
      </c>
      <c r="G2581" s="27">
        <f>LEN(Tabela12[[#This Row],[Anilha]])</f>
        <v>14</v>
      </c>
      <c r="H2581" s="21">
        <f>VLOOKUP(Tabela12[[#This Row],[Tag Cabo]],BD!A:F,6,0)</f>
        <v>1</v>
      </c>
      <c r="I2581" s="27" t="s">
        <v>1705</v>
      </c>
      <c r="J2581" s="27" t="s">
        <v>1706</v>
      </c>
    </row>
    <row r="2582" spans="1:10" x14ac:dyDescent="0.25">
      <c r="A2582" s="216" t="s">
        <v>388</v>
      </c>
      <c r="B2582" s="45" t="str">
        <f>VLOOKUP(Tabela12[[#This Row],[Painel]],Tabela13[],2,0)</f>
        <v>GB-1203</v>
      </c>
      <c r="C2582" s="45" t="s">
        <v>1642</v>
      </c>
      <c r="D2582" s="21" t="s">
        <v>1642</v>
      </c>
      <c r="E2582" s="21">
        <v>5</v>
      </c>
      <c r="F2582" s="27" t="str">
        <f>Tabela12[[#This Row],[Régua]]&amp;"-"&amp;Tabela12[[#This Row],[Born]]</f>
        <v>JBI-120-104X-5</v>
      </c>
      <c r="G2582" s="27">
        <f>LEN(Tabela12[[#This Row],[Anilha]])</f>
        <v>14</v>
      </c>
      <c r="H2582" s="21">
        <f>VLOOKUP(Tabela12[[#This Row],[Tag Cabo]],BD!A:F,6,0)</f>
        <v>1</v>
      </c>
      <c r="I2582" s="27" t="s">
        <v>1705</v>
      </c>
      <c r="J2582" s="27" t="s">
        <v>1706</v>
      </c>
    </row>
    <row r="2583" spans="1:10" x14ac:dyDescent="0.25">
      <c r="A2583" s="216" t="s">
        <v>388</v>
      </c>
      <c r="B2583" s="45" t="str">
        <f>VLOOKUP(Tabela12[[#This Row],[Painel]],Tabela13[],2,0)</f>
        <v>GB-1203</v>
      </c>
      <c r="C2583" s="45" t="s">
        <v>1642</v>
      </c>
      <c r="D2583" s="21" t="s">
        <v>1642</v>
      </c>
      <c r="E2583" s="21">
        <v>6</v>
      </c>
      <c r="F2583" s="27" t="str">
        <f>Tabela12[[#This Row],[Régua]]&amp;"-"&amp;Tabela12[[#This Row],[Born]]</f>
        <v>JBI-120-104X-6</v>
      </c>
      <c r="G2583" s="27">
        <f>LEN(Tabela12[[#This Row],[Anilha]])</f>
        <v>14</v>
      </c>
      <c r="H2583" s="21">
        <f>VLOOKUP(Tabela12[[#This Row],[Tag Cabo]],BD!A:F,6,0)</f>
        <v>1</v>
      </c>
      <c r="I2583" s="27" t="s">
        <v>1705</v>
      </c>
      <c r="J2583" s="27" t="s">
        <v>1706</v>
      </c>
    </row>
    <row r="2584" spans="1:10" x14ac:dyDescent="0.25">
      <c r="A2584" s="216" t="s">
        <v>388</v>
      </c>
      <c r="B2584" s="45" t="str">
        <f>VLOOKUP(Tabela12[[#This Row],[Painel]],Tabela13[],2,0)</f>
        <v>GB-1203</v>
      </c>
      <c r="C2584" s="45" t="s">
        <v>1642</v>
      </c>
      <c r="D2584" s="21" t="s">
        <v>1642</v>
      </c>
      <c r="E2584" s="21">
        <v>7</v>
      </c>
      <c r="F2584" s="27" t="str">
        <f>Tabela12[[#This Row],[Régua]]&amp;"-"&amp;Tabela12[[#This Row],[Born]]</f>
        <v>JBI-120-104X-7</v>
      </c>
      <c r="G2584" s="27">
        <f>LEN(Tabela12[[#This Row],[Anilha]])</f>
        <v>14</v>
      </c>
      <c r="H2584" s="21">
        <f>VLOOKUP(Tabela12[[#This Row],[Tag Cabo]],BD!A:F,6,0)</f>
        <v>1</v>
      </c>
      <c r="I2584" s="27" t="s">
        <v>1705</v>
      </c>
      <c r="J2584" s="27" t="s">
        <v>1706</v>
      </c>
    </row>
    <row r="2585" spans="1:10" x14ac:dyDescent="0.25">
      <c r="A2585" s="216" t="s">
        <v>388</v>
      </c>
      <c r="B2585" s="45" t="str">
        <f>VLOOKUP(Tabela12[[#This Row],[Painel]],Tabela13[],2,0)</f>
        <v>GB-1203</v>
      </c>
      <c r="C2585" s="45" t="s">
        <v>1642</v>
      </c>
      <c r="D2585" s="21" t="s">
        <v>1642</v>
      </c>
      <c r="E2585" s="21">
        <v>8</v>
      </c>
      <c r="F2585" s="27" t="str">
        <f>Tabela12[[#This Row],[Régua]]&amp;"-"&amp;Tabela12[[#This Row],[Born]]</f>
        <v>JBI-120-104X-8</v>
      </c>
      <c r="G2585" s="27">
        <f>LEN(Tabela12[[#This Row],[Anilha]])</f>
        <v>14</v>
      </c>
      <c r="H2585" s="21">
        <f>VLOOKUP(Tabela12[[#This Row],[Tag Cabo]],BD!A:F,6,0)</f>
        <v>1</v>
      </c>
      <c r="I2585" s="27" t="s">
        <v>1705</v>
      </c>
      <c r="J2585" s="27" t="s">
        <v>1706</v>
      </c>
    </row>
    <row r="2586" spans="1:10" x14ac:dyDescent="0.25">
      <c r="A2586" s="216" t="s">
        <v>388</v>
      </c>
      <c r="B2586" s="45" t="str">
        <f>VLOOKUP(Tabela12[[#This Row],[Painel]],Tabela13[],2,0)</f>
        <v>GB-1203</v>
      </c>
      <c r="C2586" s="45" t="s">
        <v>1642</v>
      </c>
      <c r="D2586" s="21" t="s">
        <v>1642</v>
      </c>
      <c r="E2586" s="21">
        <v>9</v>
      </c>
      <c r="F2586" s="27" t="str">
        <f>Tabela12[[#This Row],[Régua]]&amp;"-"&amp;Tabela12[[#This Row],[Born]]</f>
        <v>JBI-120-104X-9</v>
      </c>
      <c r="G2586" s="27">
        <f>LEN(Tabela12[[#This Row],[Anilha]])</f>
        <v>14</v>
      </c>
      <c r="H2586" s="21">
        <f>VLOOKUP(Tabela12[[#This Row],[Tag Cabo]],BD!A:F,6,0)</f>
        <v>1</v>
      </c>
      <c r="I2586" s="27" t="s">
        <v>1705</v>
      </c>
      <c r="J2586" s="27" t="s">
        <v>1706</v>
      </c>
    </row>
    <row r="2587" spans="1:10" x14ac:dyDescent="0.25">
      <c r="A2587" s="216" t="s">
        <v>388</v>
      </c>
      <c r="B2587" s="45" t="str">
        <f>VLOOKUP(Tabela12[[#This Row],[Painel]],Tabela13[],2,0)</f>
        <v>GB-1203</v>
      </c>
      <c r="C2587" s="45" t="s">
        <v>1642</v>
      </c>
      <c r="D2587" s="21" t="s">
        <v>1642</v>
      </c>
      <c r="E2587" s="21">
        <v>10</v>
      </c>
      <c r="F2587" s="27" t="str">
        <f>Tabela12[[#This Row],[Régua]]&amp;"-"&amp;Tabela12[[#This Row],[Born]]</f>
        <v>JBI-120-104X-10</v>
      </c>
      <c r="G2587" s="27">
        <f>LEN(Tabela12[[#This Row],[Anilha]])</f>
        <v>15</v>
      </c>
      <c r="H2587" s="21">
        <f>VLOOKUP(Tabela12[[#This Row],[Tag Cabo]],BD!A:F,6,0)</f>
        <v>1</v>
      </c>
      <c r="I2587" s="27" t="s">
        <v>1705</v>
      </c>
      <c r="J2587" s="27" t="s">
        <v>1706</v>
      </c>
    </row>
    <row r="2588" spans="1:10" x14ac:dyDescent="0.25">
      <c r="A2588" s="216" t="s">
        <v>388</v>
      </c>
      <c r="B2588" s="45" t="str">
        <f>VLOOKUP(Tabela12[[#This Row],[Painel]],Tabela13[],2,0)</f>
        <v>GB-1203</v>
      </c>
      <c r="C2588" s="45" t="s">
        <v>1642</v>
      </c>
      <c r="D2588" s="21" t="s">
        <v>1642</v>
      </c>
      <c r="E2588" s="21">
        <v>11</v>
      </c>
      <c r="F2588" s="27" t="str">
        <f>Tabela12[[#This Row],[Régua]]&amp;"-"&amp;Tabela12[[#This Row],[Born]]</f>
        <v>JBI-120-104X-11</v>
      </c>
      <c r="G2588" s="27">
        <f>LEN(Tabela12[[#This Row],[Anilha]])</f>
        <v>15</v>
      </c>
      <c r="H2588" s="21">
        <f>VLOOKUP(Tabela12[[#This Row],[Tag Cabo]],BD!A:F,6,0)</f>
        <v>1</v>
      </c>
      <c r="I2588" s="27" t="s">
        <v>1705</v>
      </c>
      <c r="J2588" s="27" t="s">
        <v>1706</v>
      </c>
    </row>
    <row r="2589" spans="1:10" x14ac:dyDescent="0.25">
      <c r="A2589" s="216" t="s">
        <v>388</v>
      </c>
      <c r="B2589" s="45" t="str">
        <f>VLOOKUP(Tabela12[[#This Row],[Painel]],Tabela13[],2,0)</f>
        <v>GB-1203</v>
      </c>
      <c r="C2589" s="45" t="s">
        <v>1642</v>
      </c>
      <c r="D2589" s="21" t="s">
        <v>1642</v>
      </c>
      <c r="E2589" s="21">
        <v>12</v>
      </c>
      <c r="F2589" s="27" t="str">
        <f>Tabela12[[#This Row],[Régua]]&amp;"-"&amp;Tabela12[[#This Row],[Born]]</f>
        <v>JBI-120-104X-12</v>
      </c>
      <c r="G2589" s="27">
        <f>LEN(Tabela12[[#This Row],[Anilha]])</f>
        <v>15</v>
      </c>
      <c r="H2589" s="21">
        <f>VLOOKUP(Tabela12[[#This Row],[Tag Cabo]],BD!A:F,6,0)</f>
        <v>1</v>
      </c>
      <c r="I2589" s="27" t="s">
        <v>1705</v>
      </c>
      <c r="J2589" s="27" t="s">
        <v>1706</v>
      </c>
    </row>
    <row r="2590" spans="1:10" x14ac:dyDescent="0.25">
      <c r="A2590" s="216" t="s">
        <v>388</v>
      </c>
      <c r="B2590" s="45" t="str">
        <f>VLOOKUP(Tabela12[[#This Row],[Painel]],Tabela13[],2,0)</f>
        <v>GB-1203</v>
      </c>
      <c r="C2590" s="45" t="s">
        <v>1642</v>
      </c>
      <c r="D2590" s="21" t="s">
        <v>1642</v>
      </c>
      <c r="E2590" s="21">
        <v>13</v>
      </c>
      <c r="F2590" s="27" t="str">
        <f>Tabela12[[#This Row],[Régua]]&amp;"-"&amp;Tabela12[[#This Row],[Born]]</f>
        <v>JBI-120-104X-13</v>
      </c>
      <c r="G2590" s="27">
        <f>LEN(Tabela12[[#This Row],[Anilha]])</f>
        <v>15</v>
      </c>
      <c r="H2590" s="21">
        <f>VLOOKUP(Tabela12[[#This Row],[Tag Cabo]],BD!A:F,6,0)</f>
        <v>1</v>
      </c>
      <c r="I2590" s="27" t="s">
        <v>1705</v>
      </c>
      <c r="J2590" s="27" t="s">
        <v>1706</v>
      </c>
    </row>
    <row r="2591" spans="1:10" x14ac:dyDescent="0.25">
      <c r="A2591" s="216" t="s">
        <v>388</v>
      </c>
      <c r="B2591" s="45" t="str">
        <f>VLOOKUP(Tabela12[[#This Row],[Painel]],Tabela13[],2,0)</f>
        <v>GB-1203</v>
      </c>
      <c r="C2591" s="45" t="s">
        <v>1642</v>
      </c>
      <c r="D2591" s="21" t="s">
        <v>1642</v>
      </c>
      <c r="E2591" s="21">
        <v>14</v>
      </c>
      <c r="F2591" s="27" t="str">
        <f>Tabela12[[#This Row],[Régua]]&amp;"-"&amp;Tabela12[[#This Row],[Born]]</f>
        <v>JBI-120-104X-14</v>
      </c>
      <c r="G2591" s="27">
        <f>LEN(Tabela12[[#This Row],[Anilha]])</f>
        <v>15</v>
      </c>
      <c r="H2591" s="21">
        <f>VLOOKUP(Tabela12[[#This Row],[Tag Cabo]],BD!A:F,6,0)</f>
        <v>1</v>
      </c>
      <c r="I2591" s="27" t="s">
        <v>1705</v>
      </c>
      <c r="J2591" s="27" t="s">
        <v>1706</v>
      </c>
    </row>
    <row r="2592" spans="1:10" x14ac:dyDescent="0.25">
      <c r="A2592" s="216" t="s">
        <v>388</v>
      </c>
      <c r="B2592" s="45" t="str">
        <f>VLOOKUP(Tabela12[[#This Row],[Painel]],Tabela13[],2,0)</f>
        <v>GB-1203</v>
      </c>
      <c r="C2592" s="45" t="s">
        <v>1642</v>
      </c>
      <c r="D2592" s="21" t="s">
        <v>1642</v>
      </c>
      <c r="E2592" s="21">
        <v>15</v>
      </c>
      <c r="F2592" s="27" t="str">
        <f>Tabela12[[#This Row],[Régua]]&amp;"-"&amp;Tabela12[[#This Row],[Born]]</f>
        <v>JBI-120-104X-15</v>
      </c>
      <c r="G2592" s="27">
        <f>LEN(Tabela12[[#This Row],[Anilha]])</f>
        <v>15</v>
      </c>
      <c r="H2592" s="21">
        <f>VLOOKUP(Tabela12[[#This Row],[Tag Cabo]],BD!A:F,6,0)</f>
        <v>1</v>
      </c>
      <c r="I2592" s="27" t="s">
        <v>1705</v>
      </c>
      <c r="J2592" s="27" t="s">
        <v>1706</v>
      </c>
    </row>
    <row r="2593" spans="1:10" x14ac:dyDescent="0.25">
      <c r="A2593" s="216" t="s">
        <v>388</v>
      </c>
      <c r="B2593" s="45" t="str">
        <f>VLOOKUP(Tabela12[[#This Row],[Painel]],Tabela13[],2,0)</f>
        <v>GB-1203</v>
      </c>
      <c r="C2593" s="45" t="s">
        <v>1642</v>
      </c>
      <c r="D2593" s="21" t="s">
        <v>1642</v>
      </c>
      <c r="E2593" s="21">
        <v>16</v>
      </c>
      <c r="F2593" s="27" t="str">
        <f>Tabela12[[#This Row],[Régua]]&amp;"-"&amp;Tabela12[[#This Row],[Born]]</f>
        <v>JBI-120-104X-16</v>
      </c>
      <c r="G2593" s="27">
        <f>LEN(Tabela12[[#This Row],[Anilha]])</f>
        <v>15</v>
      </c>
      <c r="H2593" s="21">
        <f>VLOOKUP(Tabela12[[#This Row],[Tag Cabo]],BD!A:F,6,0)</f>
        <v>1</v>
      </c>
      <c r="I2593" s="27" t="s">
        <v>1705</v>
      </c>
      <c r="J2593" s="27" t="s">
        <v>1706</v>
      </c>
    </row>
    <row r="2594" spans="1:10" x14ac:dyDescent="0.25">
      <c r="A2594" s="216" t="s">
        <v>388</v>
      </c>
      <c r="B2594" s="45" t="str">
        <f>VLOOKUP(Tabela12[[#This Row],[Painel]],Tabela13[],2,0)</f>
        <v>GB-1203</v>
      </c>
      <c r="C2594" s="45" t="s">
        <v>1642</v>
      </c>
      <c r="D2594" s="21" t="s">
        <v>1642</v>
      </c>
      <c r="E2594" s="21">
        <v>17</v>
      </c>
      <c r="F2594" s="27" t="str">
        <f>Tabela12[[#This Row],[Régua]]&amp;"-"&amp;Tabela12[[#This Row],[Born]]</f>
        <v>JBI-120-104X-17</v>
      </c>
      <c r="G2594" s="27">
        <f>LEN(Tabela12[[#This Row],[Anilha]])</f>
        <v>15</v>
      </c>
      <c r="H2594" s="21">
        <f>VLOOKUP(Tabela12[[#This Row],[Tag Cabo]],BD!A:F,6,0)</f>
        <v>1</v>
      </c>
      <c r="I2594" s="27" t="s">
        <v>1705</v>
      </c>
      <c r="J2594" s="27" t="s">
        <v>1706</v>
      </c>
    </row>
    <row r="2595" spans="1:10" x14ac:dyDescent="0.25">
      <c r="A2595" s="216" t="s">
        <v>388</v>
      </c>
      <c r="B2595" s="45" t="str">
        <f>VLOOKUP(Tabela12[[#This Row],[Painel]],Tabela13[],2,0)</f>
        <v>GB-1203</v>
      </c>
      <c r="C2595" s="45" t="s">
        <v>1642</v>
      </c>
      <c r="D2595" s="21" t="s">
        <v>1642</v>
      </c>
      <c r="E2595" s="21">
        <v>18</v>
      </c>
      <c r="F2595" s="27" t="str">
        <f>Tabela12[[#This Row],[Régua]]&amp;"-"&amp;Tabela12[[#This Row],[Born]]</f>
        <v>JBI-120-104X-18</v>
      </c>
      <c r="G2595" s="27">
        <f>LEN(Tabela12[[#This Row],[Anilha]])</f>
        <v>15</v>
      </c>
      <c r="H2595" s="21">
        <f>VLOOKUP(Tabela12[[#This Row],[Tag Cabo]],BD!A:F,6,0)</f>
        <v>1</v>
      </c>
      <c r="I2595" s="27" t="s">
        <v>1705</v>
      </c>
      <c r="J2595" s="27" t="s">
        <v>1706</v>
      </c>
    </row>
    <row r="2596" spans="1:10" x14ac:dyDescent="0.25">
      <c r="A2596" s="216" t="s">
        <v>388</v>
      </c>
      <c r="B2596" s="45" t="str">
        <f>VLOOKUP(Tabela12[[#This Row],[Painel]],Tabela13[],2,0)</f>
        <v>GB-1203</v>
      </c>
      <c r="C2596" s="45" t="s">
        <v>1642</v>
      </c>
      <c r="D2596" s="21" t="s">
        <v>1642</v>
      </c>
      <c r="E2596" s="21">
        <v>19</v>
      </c>
      <c r="F2596" s="27" t="str">
        <f>Tabela12[[#This Row],[Régua]]&amp;"-"&amp;Tabela12[[#This Row],[Born]]</f>
        <v>JBI-120-104X-19</v>
      </c>
      <c r="G2596" s="27">
        <f>LEN(Tabela12[[#This Row],[Anilha]])</f>
        <v>15</v>
      </c>
      <c r="H2596" s="21">
        <f>VLOOKUP(Tabela12[[#This Row],[Tag Cabo]],BD!A:F,6,0)</f>
        <v>1</v>
      </c>
      <c r="I2596" s="27" t="s">
        <v>1705</v>
      </c>
      <c r="J2596" s="27" t="s">
        <v>1706</v>
      </c>
    </row>
    <row r="2597" spans="1:10" x14ac:dyDescent="0.25">
      <c r="A2597" s="216" t="s">
        <v>388</v>
      </c>
      <c r="B2597" s="45" t="str">
        <f>VLOOKUP(Tabela12[[#This Row],[Painel]],Tabela13[],2,0)</f>
        <v>GB-1203</v>
      </c>
      <c r="C2597" s="45" t="s">
        <v>1642</v>
      </c>
      <c r="D2597" s="21" t="s">
        <v>1642</v>
      </c>
      <c r="E2597" s="21">
        <v>20</v>
      </c>
      <c r="F2597" s="27" t="str">
        <f>Tabela12[[#This Row],[Régua]]&amp;"-"&amp;Tabela12[[#This Row],[Born]]</f>
        <v>JBI-120-104X-20</v>
      </c>
      <c r="G2597" s="27">
        <f>LEN(Tabela12[[#This Row],[Anilha]])</f>
        <v>15</v>
      </c>
      <c r="H2597" s="21">
        <f>VLOOKUP(Tabela12[[#This Row],[Tag Cabo]],BD!A:F,6,0)</f>
        <v>1</v>
      </c>
      <c r="I2597" s="27" t="s">
        <v>1705</v>
      </c>
      <c r="J2597" s="27" t="s">
        <v>1706</v>
      </c>
    </row>
    <row r="2598" spans="1:10" x14ac:dyDescent="0.25">
      <c r="A2598" s="216" t="s">
        <v>388</v>
      </c>
      <c r="B2598" s="45" t="str">
        <f>VLOOKUP(Tabela12[[#This Row],[Painel]],Tabela13[],2,0)</f>
        <v>GB-1203</v>
      </c>
      <c r="C2598" s="45" t="s">
        <v>1642</v>
      </c>
      <c r="D2598" s="21" t="s">
        <v>1642</v>
      </c>
      <c r="E2598" s="21">
        <v>21</v>
      </c>
      <c r="F2598" s="27" t="str">
        <f>Tabela12[[#This Row],[Régua]]&amp;"-"&amp;Tabela12[[#This Row],[Born]]</f>
        <v>JBI-120-104X-21</v>
      </c>
      <c r="G2598" s="27">
        <f>LEN(Tabela12[[#This Row],[Anilha]])</f>
        <v>15</v>
      </c>
      <c r="H2598" s="21">
        <f>VLOOKUP(Tabela12[[#This Row],[Tag Cabo]],BD!A:F,6,0)</f>
        <v>1</v>
      </c>
      <c r="I2598" s="27" t="s">
        <v>1705</v>
      </c>
      <c r="J2598" s="27" t="s">
        <v>1706</v>
      </c>
    </row>
    <row r="2599" spans="1:10" x14ac:dyDescent="0.25">
      <c r="A2599" s="216" t="s">
        <v>388</v>
      </c>
      <c r="B2599" s="45" t="str">
        <f>VLOOKUP(Tabela12[[#This Row],[Painel]],Tabela13[],2,0)</f>
        <v>GB-1203</v>
      </c>
      <c r="C2599" s="45" t="s">
        <v>1642</v>
      </c>
      <c r="D2599" s="21" t="s">
        <v>1642</v>
      </c>
      <c r="E2599" s="21">
        <v>22</v>
      </c>
      <c r="F2599" s="27" t="str">
        <f>Tabela12[[#This Row],[Régua]]&amp;"-"&amp;Tabela12[[#This Row],[Born]]</f>
        <v>JBI-120-104X-22</v>
      </c>
      <c r="G2599" s="27">
        <f>LEN(Tabela12[[#This Row],[Anilha]])</f>
        <v>15</v>
      </c>
      <c r="H2599" s="21">
        <f>VLOOKUP(Tabela12[[#This Row],[Tag Cabo]],BD!A:F,6,0)</f>
        <v>1</v>
      </c>
      <c r="I2599" s="27" t="s">
        <v>1705</v>
      </c>
      <c r="J2599" s="27" t="s">
        <v>1706</v>
      </c>
    </row>
    <row r="2600" spans="1:10" x14ac:dyDescent="0.25">
      <c r="A2600" s="216" t="s">
        <v>388</v>
      </c>
      <c r="B2600" s="45" t="str">
        <f>VLOOKUP(Tabela12[[#This Row],[Painel]],Tabela13[],2,0)</f>
        <v>GB-1203</v>
      </c>
      <c r="C2600" s="45" t="s">
        <v>1642</v>
      </c>
      <c r="D2600" s="21" t="s">
        <v>1642</v>
      </c>
      <c r="E2600" s="21">
        <v>23</v>
      </c>
      <c r="F2600" s="27" t="str">
        <f>Tabela12[[#This Row],[Régua]]&amp;"-"&amp;Tabela12[[#This Row],[Born]]</f>
        <v>JBI-120-104X-23</v>
      </c>
      <c r="G2600" s="27">
        <f>LEN(Tabela12[[#This Row],[Anilha]])</f>
        <v>15</v>
      </c>
      <c r="H2600" s="21">
        <f>VLOOKUP(Tabela12[[#This Row],[Tag Cabo]],BD!A:F,6,0)</f>
        <v>1</v>
      </c>
      <c r="I2600" s="27" t="s">
        <v>1705</v>
      </c>
      <c r="J2600" s="27" t="s">
        <v>1706</v>
      </c>
    </row>
    <row r="2601" spans="1:10" x14ac:dyDescent="0.25">
      <c r="A2601" s="216" t="s">
        <v>388</v>
      </c>
      <c r="B2601" s="45" t="str">
        <f>VLOOKUP(Tabela12[[#This Row],[Painel]],Tabela13[],2,0)</f>
        <v>GB-1203</v>
      </c>
      <c r="C2601" s="45" t="s">
        <v>1642</v>
      </c>
      <c r="D2601" s="21" t="s">
        <v>1642</v>
      </c>
      <c r="E2601" s="21">
        <v>24</v>
      </c>
      <c r="F2601" s="27" t="str">
        <f>Tabela12[[#This Row],[Régua]]&amp;"-"&amp;Tabela12[[#This Row],[Born]]</f>
        <v>JBI-120-104X-24</v>
      </c>
      <c r="G2601" s="27">
        <f>LEN(Tabela12[[#This Row],[Anilha]])</f>
        <v>15</v>
      </c>
      <c r="H2601" s="21">
        <f>VLOOKUP(Tabela12[[#This Row],[Tag Cabo]],BD!A:F,6,0)</f>
        <v>1</v>
      </c>
      <c r="I2601" s="27" t="s">
        <v>1705</v>
      </c>
      <c r="J2601" s="27" t="s">
        <v>1706</v>
      </c>
    </row>
    <row r="2602" spans="1:10" x14ac:dyDescent="0.25">
      <c r="A2602" s="216" t="s">
        <v>643</v>
      </c>
      <c r="B2602" s="45" t="str">
        <f>VLOOKUP(Tabela12[[#This Row],[Painel]],Tabela13[],2,0)</f>
        <v>7HV</v>
      </c>
      <c r="C2602" s="45" t="s">
        <v>1543</v>
      </c>
      <c r="D2602" s="21" t="s">
        <v>2061</v>
      </c>
      <c r="E2602" s="21">
        <v>3</v>
      </c>
      <c r="F2602" s="27" t="str">
        <f>Tabela12[[#This Row],[Régua]]&amp;" ("&amp;Tabela12[[#This Row],[Born]]&amp;")"</f>
        <v>2XDJ24 (3)</v>
      </c>
      <c r="G2602" s="27">
        <f>LEN(Tabela12[[#This Row],[Anilha]])</f>
        <v>10</v>
      </c>
      <c r="H2602" s="21">
        <f>VLOOKUP(Tabela12[[#This Row],[Tag Cabo]],BD!A:F,6,0)</f>
        <v>1</v>
      </c>
      <c r="I2602" s="27" t="s">
        <v>1705</v>
      </c>
      <c r="J2602" s="27" t="s">
        <v>1706</v>
      </c>
    </row>
    <row r="2603" spans="1:10" x14ac:dyDescent="0.25">
      <c r="A2603" s="216" t="s">
        <v>643</v>
      </c>
      <c r="B2603" s="45" t="str">
        <f>VLOOKUP(Tabela12[[#This Row],[Painel]],Tabela13[],2,0)</f>
        <v>7HV</v>
      </c>
      <c r="C2603" s="45" t="s">
        <v>1543</v>
      </c>
      <c r="D2603" s="21" t="s">
        <v>2061</v>
      </c>
      <c r="E2603" s="21">
        <v>3</v>
      </c>
      <c r="F2603" s="27" t="str">
        <f>Tabela12[[#This Row],[Régua]]&amp;" ("&amp;Tabela12[[#This Row],[Born]]&amp;")"</f>
        <v>2XDJ24 (3)</v>
      </c>
      <c r="G2603" s="27">
        <f>LEN(Tabela12[[#This Row],[Anilha]])</f>
        <v>10</v>
      </c>
      <c r="H2603" s="21">
        <f>VLOOKUP(Tabela12[[#This Row],[Tag Cabo]],BD!A:F,6,0)</f>
        <v>1</v>
      </c>
      <c r="I2603" s="27" t="s">
        <v>1705</v>
      </c>
      <c r="J2603" s="27" t="s">
        <v>1706</v>
      </c>
    </row>
    <row r="2604" spans="1:10" x14ac:dyDescent="0.25">
      <c r="A2604" s="216" t="s">
        <v>643</v>
      </c>
      <c r="B2604" s="45" t="str">
        <f>VLOOKUP(Tabela12[[#This Row],[Painel]],Tabela13[],2,0)</f>
        <v>7HV</v>
      </c>
      <c r="C2604" s="45" t="s">
        <v>1543</v>
      </c>
      <c r="D2604" s="21" t="s">
        <v>2061</v>
      </c>
      <c r="E2604" s="21">
        <v>3</v>
      </c>
      <c r="F2604" s="27" t="str">
        <f>Tabela12[[#This Row],[Régua]]&amp;" ("&amp;Tabela12[[#This Row],[Born]]&amp;")"</f>
        <v>2XDJ24 (3)</v>
      </c>
      <c r="G2604" s="27">
        <f>LEN(Tabela12[[#This Row],[Anilha]])</f>
        <v>10</v>
      </c>
      <c r="H2604" s="21">
        <f>VLOOKUP(Tabela12[[#This Row],[Tag Cabo]],BD!A:F,6,0)</f>
        <v>1</v>
      </c>
      <c r="I2604" s="27" t="s">
        <v>1705</v>
      </c>
      <c r="J2604" s="27" t="s">
        <v>1706</v>
      </c>
    </row>
    <row r="2605" spans="1:10" x14ac:dyDescent="0.25">
      <c r="A2605" s="216" t="s">
        <v>643</v>
      </c>
      <c r="B2605" s="45" t="str">
        <f>VLOOKUP(Tabela12[[#This Row],[Painel]],Tabela13[],2,0)</f>
        <v>7HV</v>
      </c>
      <c r="C2605" s="45" t="s">
        <v>1543</v>
      </c>
      <c r="D2605" s="21" t="s">
        <v>2061</v>
      </c>
      <c r="E2605" s="21">
        <v>4</v>
      </c>
      <c r="F2605" s="27" t="str">
        <f>Tabela12[[#This Row],[Régua]]&amp;" ("&amp;Tabela12[[#This Row],[Born]]&amp;")"</f>
        <v>2XDJ24 (4)</v>
      </c>
      <c r="G2605" s="27">
        <f>LEN(Tabela12[[#This Row],[Anilha]])</f>
        <v>10</v>
      </c>
      <c r="H2605" s="21">
        <f>VLOOKUP(Tabela12[[#This Row],[Tag Cabo]],BD!A:F,6,0)</f>
        <v>1</v>
      </c>
      <c r="I2605" s="27" t="s">
        <v>1705</v>
      </c>
      <c r="J2605" s="27" t="s">
        <v>1706</v>
      </c>
    </row>
    <row r="2606" spans="1:10" x14ac:dyDescent="0.25">
      <c r="A2606" s="216" t="s">
        <v>643</v>
      </c>
      <c r="B2606" s="45" t="str">
        <f>VLOOKUP(Tabela12[[#This Row],[Painel]],Tabela13[],2,0)</f>
        <v>7HV</v>
      </c>
      <c r="C2606" s="45" t="s">
        <v>1543</v>
      </c>
      <c r="D2606" s="21" t="s">
        <v>2061</v>
      </c>
      <c r="E2606" s="21">
        <v>5</v>
      </c>
      <c r="F2606" s="27" t="str">
        <f>Tabela12[[#This Row],[Régua]]&amp;" ("&amp;Tabela12[[#This Row],[Born]]&amp;")"</f>
        <v>2XDJ24 (5)</v>
      </c>
      <c r="G2606" s="27">
        <f>LEN(Tabela12[[#This Row],[Anilha]])</f>
        <v>10</v>
      </c>
      <c r="H2606" s="21">
        <f>VLOOKUP(Tabela12[[#This Row],[Tag Cabo]],BD!A:F,6,0)</f>
        <v>1</v>
      </c>
      <c r="I2606" s="27" t="s">
        <v>1705</v>
      </c>
      <c r="J2606" s="27" t="s">
        <v>1706</v>
      </c>
    </row>
    <row r="2607" spans="1:10" x14ac:dyDescent="0.25">
      <c r="A2607" s="216" t="s">
        <v>643</v>
      </c>
      <c r="B2607" s="45" t="str">
        <f>VLOOKUP(Tabela12[[#This Row],[Painel]],Tabela13[],2,0)</f>
        <v>7HV</v>
      </c>
      <c r="C2607" s="45" t="s">
        <v>1543</v>
      </c>
      <c r="D2607" s="21" t="s">
        <v>2061</v>
      </c>
      <c r="E2607" s="21">
        <v>6</v>
      </c>
      <c r="F2607" s="27" t="str">
        <f>Tabela12[[#This Row],[Régua]]&amp;" ("&amp;Tabela12[[#This Row],[Born]]&amp;")"</f>
        <v>2XDJ24 (6)</v>
      </c>
      <c r="G2607" s="27">
        <f>LEN(Tabela12[[#This Row],[Anilha]])</f>
        <v>10</v>
      </c>
      <c r="H2607" s="21">
        <f>VLOOKUP(Tabela12[[#This Row],[Tag Cabo]],BD!A:F,6,0)</f>
        <v>1</v>
      </c>
      <c r="I2607" s="27" t="s">
        <v>1705</v>
      </c>
      <c r="J2607" s="27" t="s">
        <v>1706</v>
      </c>
    </row>
    <row r="2608" spans="1:10" x14ac:dyDescent="0.25">
      <c r="A2608" s="216" t="s">
        <v>643</v>
      </c>
      <c r="B2608" s="45" t="str">
        <f>VLOOKUP(Tabela12[[#This Row],[Painel]],Tabela13[],2,0)</f>
        <v>30LV</v>
      </c>
      <c r="C2608" s="45" t="s">
        <v>1632</v>
      </c>
      <c r="D2608" s="21" t="s">
        <v>1945</v>
      </c>
      <c r="E2608" s="21">
        <v>19</v>
      </c>
      <c r="F2608" s="27" t="str">
        <f>Tabela12[[#This Row],[Régua]]&amp;" ("&amp;Tabela12[[#This Row],[Born]]&amp;")"</f>
        <v>TB-22A (19)</v>
      </c>
      <c r="G2608" s="27">
        <f>LEN(Tabela12[[#This Row],[Anilha]])</f>
        <v>11</v>
      </c>
      <c r="H2608" s="21">
        <f>VLOOKUP(Tabela12[[#This Row],[Tag Cabo]],BD!A:F,6,0)</f>
        <v>1</v>
      </c>
      <c r="I2608" s="27" t="s">
        <v>1705</v>
      </c>
      <c r="J2608" s="27" t="s">
        <v>1706</v>
      </c>
    </row>
    <row r="2609" spans="1:10" x14ac:dyDescent="0.25">
      <c r="A2609" s="216" t="s">
        <v>643</v>
      </c>
      <c r="B2609" s="45" t="str">
        <f>VLOOKUP(Tabela12[[#This Row],[Painel]],Tabela13[],2,0)</f>
        <v>30LV</v>
      </c>
      <c r="C2609" s="45" t="s">
        <v>1632</v>
      </c>
      <c r="D2609" s="21" t="s">
        <v>1945</v>
      </c>
      <c r="E2609" s="21">
        <v>20</v>
      </c>
      <c r="F2609" s="27" t="str">
        <f>Tabela12[[#This Row],[Régua]]&amp;" ("&amp;Tabela12[[#This Row],[Born]]&amp;")"</f>
        <v>TB-22A (20)</v>
      </c>
      <c r="G2609" s="27">
        <f>LEN(Tabela12[[#This Row],[Anilha]])</f>
        <v>11</v>
      </c>
      <c r="H2609" s="21">
        <f>VLOOKUP(Tabela12[[#This Row],[Tag Cabo]],BD!A:F,6,0)</f>
        <v>1</v>
      </c>
      <c r="I2609" s="27" t="s">
        <v>1705</v>
      </c>
      <c r="J2609" s="27" t="s">
        <v>1706</v>
      </c>
    </row>
    <row r="2610" spans="1:10" x14ac:dyDescent="0.25">
      <c r="A2610" s="216" t="s">
        <v>643</v>
      </c>
      <c r="B2610" s="45" t="str">
        <f>VLOOKUP(Tabela12[[#This Row],[Painel]],Tabela13[],2,0)</f>
        <v>30LV</v>
      </c>
      <c r="C2610" s="45" t="s">
        <v>1632</v>
      </c>
      <c r="D2610" s="21" t="s">
        <v>1945</v>
      </c>
      <c r="E2610" s="21">
        <v>22</v>
      </c>
      <c r="F2610" s="27" t="str">
        <f>Tabela12[[#This Row],[Régua]]&amp;" ("&amp;Tabela12[[#This Row],[Born]]&amp;")"</f>
        <v>TB-22A (22)</v>
      </c>
      <c r="G2610" s="27">
        <f>LEN(Tabela12[[#This Row],[Anilha]])</f>
        <v>11</v>
      </c>
      <c r="H2610" s="21">
        <f>VLOOKUP(Tabela12[[#This Row],[Tag Cabo]],BD!A:F,6,0)</f>
        <v>1</v>
      </c>
      <c r="I2610" s="27" t="s">
        <v>1705</v>
      </c>
      <c r="J2610" s="27" t="s">
        <v>1706</v>
      </c>
    </row>
    <row r="2611" spans="1:10" x14ac:dyDescent="0.25">
      <c r="A2611" s="216" t="s">
        <v>643</v>
      </c>
      <c r="B2611" s="45" t="str">
        <f>VLOOKUP(Tabela12[[#This Row],[Painel]],Tabela13[],2,0)</f>
        <v>30LV</v>
      </c>
      <c r="C2611" s="45" t="s">
        <v>1632</v>
      </c>
      <c r="D2611" s="21" t="s">
        <v>1945</v>
      </c>
      <c r="E2611" s="21">
        <v>23</v>
      </c>
      <c r="F2611" s="27" t="str">
        <f>Tabela12[[#This Row],[Régua]]&amp;" ("&amp;Tabela12[[#This Row],[Born]]&amp;")"</f>
        <v>TB-22A (23)</v>
      </c>
      <c r="G2611" s="27">
        <f>LEN(Tabela12[[#This Row],[Anilha]])</f>
        <v>11</v>
      </c>
      <c r="H2611" s="21">
        <f>VLOOKUP(Tabela12[[#This Row],[Tag Cabo]],BD!A:F,6,0)</f>
        <v>1</v>
      </c>
      <c r="I2611" s="27" t="s">
        <v>1705</v>
      </c>
      <c r="J2611" s="27" t="s">
        <v>1706</v>
      </c>
    </row>
    <row r="2612" spans="1:10" x14ac:dyDescent="0.25">
      <c r="A2612" s="216" t="s">
        <v>643</v>
      </c>
      <c r="B2612" s="45" t="str">
        <f>VLOOKUP(Tabela12[[#This Row],[Painel]],Tabela13[],2,0)</f>
        <v>30LV</v>
      </c>
      <c r="C2612" s="45" t="s">
        <v>1632</v>
      </c>
      <c r="D2612" s="21" t="s">
        <v>1945</v>
      </c>
      <c r="E2612" s="21">
        <v>25</v>
      </c>
      <c r="F2612" s="27" t="str">
        <f>Tabela12[[#This Row],[Régua]]&amp;" ("&amp;Tabela12[[#This Row],[Born]]&amp;")"</f>
        <v>TB-22A (25)</v>
      </c>
      <c r="G2612" s="27">
        <f>LEN(Tabela12[[#This Row],[Anilha]])</f>
        <v>11</v>
      </c>
      <c r="H2612" s="21">
        <f>VLOOKUP(Tabela12[[#This Row],[Tag Cabo]],BD!A:F,6,0)</f>
        <v>1</v>
      </c>
      <c r="I2612" s="27" t="s">
        <v>1705</v>
      </c>
      <c r="J2612" s="27" t="s">
        <v>1706</v>
      </c>
    </row>
    <row r="2613" spans="1:10" x14ac:dyDescent="0.25">
      <c r="A2613" s="216" t="s">
        <v>643</v>
      </c>
      <c r="B2613" s="45" t="str">
        <f>VLOOKUP(Tabela12[[#This Row],[Painel]],Tabela13[],2,0)</f>
        <v>30LV</v>
      </c>
      <c r="C2613" s="45" t="s">
        <v>1632</v>
      </c>
      <c r="D2613" s="21" t="s">
        <v>1945</v>
      </c>
      <c r="E2613" s="21">
        <v>26</v>
      </c>
      <c r="F2613" s="27" t="str">
        <f>Tabela12[[#This Row],[Régua]]&amp;" ("&amp;Tabela12[[#This Row],[Born]]&amp;")"</f>
        <v>TB-22A (26)</v>
      </c>
      <c r="G2613" s="27">
        <f>LEN(Tabela12[[#This Row],[Anilha]])</f>
        <v>11</v>
      </c>
      <c r="H2613" s="21">
        <f>VLOOKUP(Tabela12[[#This Row],[Tag Cabo]],BD!A:F,6,0)</f>
        <v>1</v>
      </c>
      <c r="I2613" s="27" t="s">
        <v>1705</v>
      </c>
      <c r="J2613" s="27" t="s">
        <v>1706</v>
      </c>
    </row>
    <row r="2614" spans="1:10" x14ac:dyDescent="0.25">
      <c r="A2614" s="216" t="s">
        <v>644</v>
      </c>
      <c r="B2614" s="45" t="str">
        <f>VLOOKUP(Tabela12[[#This Row],[Painel]],Tabela13[],2,0)</f>
        <v>7HV</v>
      </c>
      <c r="C2614" s="45" t="s">
        <v>1543</v>
      </c>
      <c r="D2614" s="21" t="s">
        <v>2062</v>
      </c>
      <c r="E2614" s="21">
        <v>7</v>
      </c>
      <c r="F2614" s="27" t="str">
        <f>Tabela12[[#This Row],[Régua]]&amp;" ("&amp;Tabela12[[#This Row],[Born]]&amp;")"</f>
        <v>2XDJ25 (7)</v>
      </c>
      <c r="G2614" s="27">
        <f>LEN(Tabela12[[#This Row],[Anilha]])</f>
        <v>10</v>
      </c>
      <c r="H2614" s="21">
        <f>VLOOKUP(Tabela12[[#This Row],[Tag Cabo]],BD!A:F,6,0)</f>
        <v>1</v>
      </c>
      <c r="I2614" s="27" t="s">
        <v>1705</v>
      </c>
      <c r="J2614" s="27" t="s">
        <v>1706</v>
      </c>
    </row>
    <row r="2615" spans="1:10" x14ac:dyDescent="0.25">
      <c r="A2615" s="216" t="s">
        <v>644</v>
      </c>
      <c r="B2615" s="45" t="str">
        <f>VLOOKUP(Tabela12[[#This Row],[Painel]],Tabela13[],2,0)</f>
        <v>7HV</v>
      </c>
      <c r="C2615" s="45" t="s">
        <v>1543</v>
      </c>
      <c r="D2615" s="21" t="s">
        <v>2062</v>
      </c>
      <c r="E2615" s="21">
        <v>7</v>
      </c>
      <c r="F2615" s="27" t="str">
        <f>Tabela12[[#This Row],[Régua]]&amp;" ("&amp;Tabela12[[#This Row],[Born]]&amp;")"</f>
        <v>2XDJ25 (7)</v>
      </c>
      <c r="G2615" s="27">
        <f>LEN(Tabela12[[#This Row],[Anilha]])</f>
        <v>10</v>
      </c>
      <c r="H2615" s="21">
        <f>VLOOKUP(Tabela12[[#This Row],[Tag Cabo]],BD!A:F,6,0)</f>
        <v>1</v>
      </c>
      <c r="I2615" s="27" t="s">
        <v>1705</v>
      </c>
      <c r="J2615" s="27" t="s">
        <v>1706</v>
      </c>
    </row>
    <row r="2616" spans="1:10" x14ac:dyDescent="0.25">
      <c r="A2616" s="216" t="s">
        <v>644</v>
      </c>
      <c r="B2616" s="45" t="str">
        <f>VLOOKUP(Tabela12[[#This Row],[Painel]],Tabela13[],2,0)</f>
        <v>7HV</v>
      </c>
      <c r="C2616" s="45" t="s">
        <v>1543</v>
      </c>
      <c r="D2616" s="21" t="s">
        <v>2062</v>
      </c>
      <c r="E2616" s="21">
        <v>8</v>
      </c>
      <c r="F2616" s="27" t="str">
        <f>Tabela12[[#This Row],[Régua]]&amp;" ("&amp;Tabela12[[#This Row],[Born]]&amp;")"</f>
        <v>2XDJ25 (8)</v>
      </c>
      <c r="G2616" s="27">
        <f>LEN(Tabela12[[#This Row],[Anilha]])</f>
        <v>10</v>
      </c>
      <c r="H2616" s="21">
        <f>VLOOKUP(Tabela12[[#This Row],[Tag Cabo]],BD!A:F,6,0)</f>
        <v>1</v>
      </c>
      <c r="I2616" s="27" t="s">
        <v>1705</v>
      </c>
      <c r="J2616" s="27" t="s">
        <v>1706</v>
      </c>
    </row>
    <row r="2617" spans="1:10" x14ac:dyDescent="0.25">
      <c r="A2617" s="216" t="s">
        <v>644</v>
      </c>
      <c r="B2617" s="45" t="str">
        <f>VLOOKUP(Tabela12[[#This Row],[Painel]],Tabela13[],2,0)</f>
        <v>7HV</v>
      </c>
      <c r="C2617" s="45" t="s">
        <v>1543</v>
      </c>
      <c r="D2617" s="21" t="s">
        <v>2062</v>
      </c>
      <c r="E2617" s="21">
        <v>9</v>
      </c>
      <c r="F2617" s="27" t="str">
        <f>Tabela12[[#This Row],[Régua]]&amp;" ("&amp;Tabela12[[#This Row],[Born]]&amp;")"</f>
        <v>2XDJ25 (9)</v>
      </c>
      <c r="G2617" s="27">
        <f>LEN(Tabela12[[#This Row],[Anilha]])</f>
        <v>10</v>
      </c>
      <c r="H2617" s="21">
        <f>VLOOKUP(Tabela12[[#This Row],[Tag Cabo]],BD!A:F,6,0)</f>
        <v>1</v>
      </c>
      <c r="I2617" s="27" t="s">
        <v>1705</v>
      </c>
      <c r="J2617" s="27" t="s">
        <v>1706</v>
      </c>
    </row>
    <row r="2618" spans="1:10" x14ac:dyDescent="0.25">
      <c r="A2618" s="216" t="s">
        <v>644</v>
      </c>
      <c r="B2618" s="45" t="str">
        <f>VLOOKUP(Tabela12[[#This Row],[Painel]],Tabela13[],2,0)</f>
        <v>30LV</v>
      </c>
      <c r="C2618" s="45" t="s">
        <v>1632</v>
      </c>
      <c r="D2618" s="21" t="s">
        <v>1945</v>
      </c>
      <c r="E2618" s="21">
        <v>64</v>
      </c>
      <c r="F2618" s="27" t="str">
        <f>Tabela12[[#This Row],[Régua]]&amp;" ("&amp;Tabela12[[#This Row],[Born]]&amp;")"</f>
        <v>TB-22A (64)</v>
      </c>
      <c r="G2618" s="27">
        <f>LEN(Tabela12[[#This Row],[Anilha]])</f>
        <v>11</v>
      </c>
      <c r="H2618" s="21">
        <f>VLOOKUP(Tabela12[[#This Row],[Tag Cabo]],BD!A:F,6,0)</f>
        <v>1</v>
      </c>
      <c r="I2618" s="27" t="s">
        <v>1705</v>
      </c>
      <c r="J2618" s="27" t="s">
        <v>1706</v>
      </c>
    </row>
    <row r="2619" spans="1:10" x14ac:dyDescent="0.25">
      <c r="A2619" s="216" t="s">
        <v>644</v>
      </c>
      <c r="B2619" s="45" t="str">
        <f>VLOOKUP(Tabela12[[#This Row],[Painel]],Tabela13[],2,0)</f>
        <v>30LV</v>
      </c>
      <c r="C2619" s="45" t="s">
        <v>1632</v>
      </c>
      <c r="D2619" s="21" t="s">
        <v>1945</v>
      </c>
      <c r="E2619" s="21">
        <v>65</v>
      </c>
      <c r="F2619" s="27" t="str">
        <f>Tabela12[[#This Row],[Régua]]&amp;" ("&amp;Tabela12[[#This Row],[Born]]&amp;")"</f>
        <v>TB-22A (65)</v>
      </c>
      <c r="G2619" s="27">
        <f>LEN(Tabela12[[#This Row],[Anilha]])</f>
        <v>11</v>
      </c>
      <c r="H2619" s="21">
        <f>VLOOKUP(Tabela12[[#This Row],[Tag Cabo]],BD!A:F,6,0)</f>
        <v>1</v>
      </c>
      <c r="I2619" s="27" t="s">
        <v>1705</v>
      </c>
      <c r="J2619" s="27" t="s">
        <v>1706</v>
      </c>
    </row>
    <row r="2620" spans="1:10" x14ac:dyDescent="0.25">
      <c r="A2620" s="216" t="s">
        <v>644</v>
      </c>
      <c r="B2620" s="45" t="str">
        <f>VLOOKUP(Tabela12[[#This Row],[Painel]],Tabela13[],2,0)</f>
        <v>30LV</v>
      </c>
      <c r="C2620" s="45" t="s">
        <v>1632</v>
      </c>
      <c r="D2620" s="21" t="s">
        <v>1945</v>
      </c>
      <c r="E2620" s="21">
        <v>67</v>
      </c>
      <c r="F2620" s="27" t="str">
        <f>Tabela12[[#This Row],[Régua]]&amp;" ("&amp;Tabela12[[#This Row],[Born]]&amp;")"</f>
        <v>TB-22A (67)</v>
      </c>
      <c r="G2620" s="27">
        <f>LEN(Tabela12[[#This Row],[Anilha]])</f>
        <v>11</v>
      </c>
      <c r="H2620" s="21">
        <f>VLOOKUP(Tabela12[[#This Row],[Tag Cabo]],BD!A:F,6,0)</f>
        <v>1</v>
      </c>
      <c r="I2620" s="27" t="s">
        <v>1705</v>
      </c>
      <c r="J2620" s="27" t="s">
        <v>1706</v>
      </c>
    </row>
    <row r="2621" spans="1:10" x14ac:dyDescent="0.25">
      <c r="A2621" s="216" t="s">
        <v>644</v>
      </c>
      <c r="B2621" s="45" t="str">
        <f>VLOOKUP(Tabela12[[#This Row],[Painel]],Tabela13[],2,0)</f>
        <v>30LV</v>
      </c>
      <c r="C2621" s="45" t="s">
        <v>1632</v>
      </c>
      <c r="D2621" s="21" t="s">
        <v>1945</v>
      </c>
      <c r="E2621" s="21">
        <v>68</v>
      </c>
      <c r="F2621" s="27" t="str">
        <f>Tabela12[[#This Row],[Régua]]&amp;" ("&amp;Tabela12[[#This Row],[Born]]&amp;")"</f>
        <v>TB-22A (68)</v>
      </c>
      <c r="G2621" s="27">
        <f>LEN(Tabela12[[#This Row],[Anilha]])</f>
        <v>11</v>
      </c>
      <c r="H2621" s="21">
        <f>VLOOKUP(Tabela12[[#This Row],[Tag Cabo]],BD!A:F,6,0)</f>
        <v>1</v>
      </c>
      <c r="I2621" s="27" t="s">
        <v>1705</v>
      </c>
      <c r="J2621" s="27" t="s">
        <v>1706</v>
      </c>
    </row>
    <row r="2622" spans="1:10" x14ac:dyDescent="0.25">
      <c r="A2622" s="216" t="s">
        <v>645</v>
      </c>
      <c r="B2622" s="45" t="str">
        <f>VLOOKUP(Tabela12[[#This Row],[Painel]],Tabela13[],2,0)</f>
        <v>7HV</v>
      </c>
      <c r="C2622" s="45" t="s">
        <v>1543</v>
      </c>
      <c r="D2622" s="21" t="s">
        <v>2062</v>
      </c>
      <c r="E2622" s="21">
        <v>3</v>
      </c>
      <c r="F2622" s="27" t="str">
        <f>Tabela12[[#This Row],[Régua]]&amp;" ("&amp;Tabela12[[#This Row],[Born]]&amp;")"</f>
        <v>2XDJ25 (3)</v>
      </c>
      <c r="G2622" s="27">
        <f>LEN(Tabela12[[#This Row],[Anilha]])</f>
        <v>10</v>
      </c>
      <c r="H2622" s="21">
        <f>VLOOKUP(Tabela12[[#This Row],[Tag Cabo]],BD!A:F,6,0)</f>
        <v>1</v>
      </c>
      <c r="I2622" s="27" t="s">
        <v>1705</v>
      </c>
      <c r="J2622" s="27" t="s">
        <v>1706</v>
      </c>
    </row>
    <row r="2623" spans="1:10" x14ac:dyDescent="0.25">
      <c r="A2623" s="216" t="s">
        <v>645</v>
      </c>
      <c r="B2623" s="45" t="str">
        <f>VLOOKUP(Tabela12[[#This Row],[Painel]],Tabela13[],2,0)</f>
        <v>7HV</v>
      </c>
      <c r="C2623" s="45" t="s">
        <v>1543</v>
      </c>
      <c r="D2623" s="21" t="s">
        <v>2062</v>
      </c>
      <c r="E2623" s="21">
        <v>3</v>
      </c>
      <c r="F2623" s="27" t="str">
        <f>Tabela12[[#This Row],[Régua]]&amp;" ("&amp;Tabela12[[#This Row],[Born]]&amp;")"</f>
        <v>2XDJ25 (3)</v>
      </c>
      <c r="G2623" s="27">
        <f>LEN(Tabela12[[#This Row],[Anilha]])</f>
        <v>10</v>
      </c>
      <c r="H2623" s="21">
        <f>VLOOKUP(Tabela12[[#This Row],[Tag Cabo]],BD!A:F,6,0)</f>
        <v>1</v>
      </c>
      <c r="I2623" s="27" t="s">
        <v>1705</v>
      </c>
      <c r="J2623" s="27" t="s">
        <v>1706</v>
      </c>
    </row>
    <row r="2624" spans="1:10" x14ac:dyDescent="0.25">
      <c r="A2624" s="216" t="s">
        <v>645</v>
      </c>
      <c r="B2624" s="45" t="str">
        <f>VLOOKUP(Tabela12[[#This Row],[Painel]],Tabela13[],2,0)</f>
        <v>7HV</v>
      </c>
      <c r="C2624" s="45" t="s">
        <v>1543</v>
      </c>
      <c r="D2624" s="21" t="s">
        <v>2062</v>
      </c>
      <c r="E2624" s="21">
        <v>3</v>
      </c>
      <c r="F2624" s="27" t="str">
        <f>Tabela12[[#This Row],[Régua]]&amp;" ("&amp;Tabela12[[#This Row],[Born]]&amp;")"</f>
        <v>2XDJ25 (3)</v>
      </c>
      <c r="G2624" s="27">
        <f>LEN(Tabela12[[#This Row],[Anilha]])</f>
        <v>10</v>
      </c>
      <c r="H2624" s="21">
        <f>VLOOKUP(Tabela12[[#This Row],[Tag Cabo]],BD!A:F,6,0)</f>
        <v>1</v>
      </c>
      <c r="I2624" s="27" t="s">
        <v>1705</v>
      </c>
      <c r="J2624" s="27" t="s">
        <v>1706</v>
      </c>
    </row>
    <row r="2625" spans="1:10" x14ac:dyDescent="0.25">
      <c r="A2625" s="216" t="s">
        <v>645</v>
      </c>
      <c r="B2625" s="45" t="str">
        <f>VLOOKUP(Tabela12[[#This Row],[Painel]],Tabela13[],2,0)</f>
        <v>7HV</v>
      </c>
      <c r="C2625" s="45" t="s">
        <v>1543</v>
      </c>
      <c r="D2625" s="21" t="s">
        <v>2062</v>
      </c>
      <c r="E2625" s="21">
        <v>4</v>
      </c>
      <c r="F2625" s="27" t="str">
        <f>Tabela12[[#This Row],[Régua]]&amp;" ("&amp;Tabela12[[#This Row],[Born]]&amp;")"</f>
        <v>2XDJ25 (4)</v>
      </c>
      <c r="G2625" s="27">
        <f>LEN(Tabela12[[#This Row],[Anilha]])</f>
        <v>10</v>
      </c>
      <c r="H2625" s="21">
        <f>VLOOKUP(Tabela12[[#This Row],[Tag Cabo]],BD!A:F,6,0)</f>
        <v>1</v>
      </c>
      <c r="I2625" s="27" t="s">
        <v>1705</v>
      </c>
      <c r="J2625" s="27" t="s">
        <v>1706</v>
      </c>
    </row>
    <row r="2626" spans="1:10" x14ac:dyDescent="0.25">
      <c r="A2626" s="216" t="s">
        <v>645</v>
      </c>
      <c r="B2626" s="45" t="str">
        <f>VLOOKUP(Tabela12[[#This Row],[Painel]],Tabela13[],2,0)</f>
        <v>7HV</v>
      </c>
      <c r="C2626" s="45" t="s">
        <v>1543</v>
      </c>
      <c r="D2626" s="21" t="s">
        <v>2062</v>
      </c>
      <c r="E2626" s="21">
        <v>5</v>
      </c>
      <c r="F2626" s="27" t="str">
        <f>Tabela12[[#This Row],[Régua]]&amp;" ("&amp;Tabela12[[#This Row],[Born]]&amp;")"</f>
        <v>2XDJ25 (5)</v>
      </c>
      <c r="G2626" s="27">
        <f>LEN(Tabela12[[#This Row],[Anilha]])</f>
        <v>10</v>
      </c>
      <c r="H2626" s="21">
        <f>VLOOKUP(Tabela12[[#This Row],[Tag Cabo]],BD!A:F,6,0)</f>
        <v>1</v>
      </c>
      <c r="I2626" s="27" t="s">
        <v>1705</v>
      </c>
      <c r="J2626" s="27" t="s">
        <v>1706</v>
      </c>
    </row>
    <row r="2627" spans="1:10" x14ac:dyDescent="0.25">
      <c r="A2627" s="216" t="s">
        <v>645</v>
      </c>
      <c r="B2627" s="45" t="str">
        <f>VLOOKUP(Tabela12[[#This Row],[Painel]],Tabela13[],2,0)</f>
        <v>7HV</v>
      </c>
      <c r="C2627" s="45" t="s">
        <v>1543</v>
      </c>
      <c r="D2627" s="21" t="s">
        <v>2062</v>
      </c>
      <c r="E2627" s="21">
        <v>6</v>
      </c>
      <c r="F2627" s="27" t="str">
        <f>Tabela12[[#This Row],[Régua]]&amp;" ("&amp;Tabela12[[#This Row],[Born]]&amp;")"</f>
        <v>2XDJ25 (6)</v>
      </c>
      <c r="G2627" s="27">
        <f>LEN(Tabela12[[#This Row],[Anilha]])</f>
        <v>10</v>
      </c>
      <c r="H2627" s="21">
        <f>VLOOKUP(Tabela12[[#This Row],[Tag Cabo]],BD!A:F,6,0)</f>
        <v>1</v>
      </c>
      <c r="I2627" s="27" t="s">
        <v>1705</v>
      </c>
      <c r="J2627" s="27" t="s">
        <v>1706</v>
      </c>
    </row>
    <row r="2628" spans="1:10" x14ac:dyDescent="0.25">
      <c r="A2628" s="216" t="s">
        <v>645</v>
      </c>
      <c r="B2628" s="45" t="str">
        <f>VLOOKUP(Tabela12[[#This Row],[Painel]],Tabela13[],2,0)</f>
        <v>30LV</v>
      </c>
      <c r="C2628" s="45" t="s">
        <v>1632</v>
      </c>
      <c r="D2628" s="21" t="s">
        <v>1945</v>
      </c>
      <c r="E2628" s="21">
        <v>19</v>
      </c>
      <c r="F2628" s="27" t="str">
        <f>Tabela12[[#This Row],[Régua]]&amp;" ("&amp;Tabela12[[#This Row],[Born]]&amp;")"</f>
        <v>TB-22A (19)</v>
      </c>
      <c r="G2628" s="27">
        <f>LEN(Tabela12[[#This Row],[Anilha]])</f>
        <v>11</v>
      </c>
      <c r="H2628" s="21">
        <f>VLOOKUP(Tabela12[[#This Row],[Tag Cabo]],BD!A:F,6,0)</f>
        <v>1</v>
      </c>
      <c r="I2628" s="27" t="s">
        <v>1705</v>
      </c>
      <c r="J2628" s="27" t="s">
        <v>1706</v>
      </c>
    </row>
    <row r="2629" spans="1:10" x14ac:dyDescent="0.25">
      <c r="A2629" s="216" t="s">
        <v>645</v>
      </c>
      <c r="B2629" s="45" t="str">
        <f>VLOOKUP(Tabela12[[#This Row],[Painel]],Tabela13[],2,0)</f>
        <v>30LV</v>
      </c>
      <c r="C2629" s="45" t="s">
        <v>1632</v>
      </c>
      <c r="D2629" s="21" t="s">
        <v>1945</v>
      </c>
      <c r="E2629" s="21">
        <v>20</v>
      </c>
      <c r="F2629" s="27" t="str">
        <f>Tabela12[[#This Row],[Régua]]&amp;" ("&amp;Tabela12[[#This Row],[Born]]&amp;")"</f>
        <v>TB-22A (20)</v>
      </c>
      <c r="G2629" s="27">
        <f>LEN(Tabela12[[#This Row],[Anilha]])</f>
        <v>11</v>
      </c>
      <c r="H2629" s="21">
        <f>VLOOKUP(Tabela12[[#This Row],[Tag Cabo]],BD!A:F,6,0)</f>
        <v>1</v>
      </c>
      <c r="I2629" s="27" t="s">
        <v>1705</v>
      </c>
      <c r="J2629" s="27" t="s">
        <v>1706</v>
      </c>
    </row>
    <row r="2630" spans="1:10" x14ac:dyDescent="0.25">
      <c r="A2630" s="216" t="s">
        <v>645</v>
      </c>
      <c r="B2630" s="45" t="str">
        <f>VLOOKUP(Tabela12[[#This Row],[Painel]],Tabela13[],2,0)</f>
        <v>30LV</v>
      </c>
      <c r="C2630" s="45" t="s">
        <v>1632</v>
      </c>
      <c r="D2630" s="21" t="s">
        <v>1945</v>
      </c>
      <c r="E2630" s="21">
        <v>22</v>
      </c>
      <c r="F2630" s="27" t="str">
        <f>Tabela12[[#This Row],[Régua]]&amp;" ("&amp;Tabela12[[#This Row],[Born]]&amp;")"</f>
        <v>TB-22A (22)</v>
      </c>
      <c r="G2630" s="27">
        <f>LEN(Tabela12[[#This Row],[Anilha]])</f>
        <v>11</v>
      </c>
      <c r="H2630" s="21">
        <f>VLOOKUP(Tabela12[[#This Row],[Tag Cabo]],BD!A:F,6,0)</f>
        <v>1</v>
      </c>
      <c r="I2630" s="27" t="s">
        <v>1705</v>
      </c>
      <c r="J2630" s="27" t="s">
        <v>1706</v>
      </c>
    </row>
    <row r="2631" spans="1:10" x14ac:dyDescent="0.25">
      <c r="A2631" s="216" t="s">
        <v>645</v>
      </c>
      <c r="B2631" s="45" t="str">
        <f>VLOOKUP(Tabela12[[#This Row],[Painel]],Tabela13[],2,0)</f>
        <v>30LV</v>
      </c>
      <c r="C2631" s="45" t="s">
        <v>1632</v>
      </c>
      <c r="D2631" s="21" t="s">
        <v>1945</v>
      </c>
      <c r="E2631" s="21">
        <v>23</v>
      </c>
      <c r="F2631" s="27" t="str">
        <f>Tabela12[[#This Row],[Régua]]&amp;" ("&amp;Tabela12[[#This Row],[Born]]&amp;")"</f>
        <v>TB-22A (23)</v>
      </c>
      <c r="G2631" s="27">
        <f>LEN(Tabela12[[#This Row],[Anilha]])</f>
        <v>11</v>
      </c>
      <c r="H2631" s="21">
        <f>VLOOKUP(Tabela12[[#This Row],[Tag Cabo]],BD!A:F,6,0)</f>
        <v>1</v>
      </c>
      <c r="I2631" s="27" t="s">
        <v>1705</v>
      </c>
      <c r="J2631" s="27" t="s">
        <v>1706</v>
      </c>
    </row>
    <row r="2632" spans="1:10" x14ac:dyDescent="0.25">
      <c r="A2632" s="216" t="s">
        <v>645</v>
      </c>
      <c r="B2632" s="45" t="str">
        <f>VLOOKUP(Tabela12[[#This Row],[Painel]],Tabela13[],2,0)</f>
        <v>30LV</v>
      </c>
      <c r="C2632" s="45" t="s">
        <v>1632</v>
      </c>
      <c r="D2632" s="21" t="s">
        <v>1945</v>
      </c>
      <c r="E2632" s="21">
        <v>25</v>
      </c>
      <c r="F2632" s="27" t="str">
        <f>Tabela12[[#This Row],[Régua]]&amp;" ("&amp;Tabela12[[#This Row],[Born]]&amp;")"</f>
        <v>TB-22A (25)</v>
      </c>
      <c r="G2632" s="27">
        <f>LEN(Tabela12[[#This Row],[Anilha]])</f>
        <v>11</v>
      </c>
      <c r="H2632" s="21">
        <f>VLOOKUP(Tabela12[[#This Row],[Tag Cabo]],BD!A:F,6,0)</f>
        <v>1</v>
      </c>
      <c r="I2632" s="27" t="s">
        <v>1705</v>
      </c>
      <c r="J2632" s="27" t="s">
        <v>1706</v>
      </c>
    </row>
    <row r="2633" spans="1:10" x14ac:dyDescent="0.25">
      <c r="A2633" s="216" t="s">
        <v>645</v>
      </c>
      <c r="B2633" s="45" t="str">
        <f>VLOOKUP(Tabela12[[#This Row],[Painel]],Tabela13[],2,0)</f>
        <v>30LV</v>
      </c>
      <c r="C2633" s="45" t="s">
        <v>1632</v>
      </c>
      <c r="D2633" s="21" t="s">
        <v>1945</v>
      </c>
      <c r="E2633" s="21">
        <v>26</v>
      </c>
      <c r="F2633" s="27" t="str">
        <f>Tabela12[[#This Row],[Régua]]&amp;" ("&amp;Tabela12[[#This Row],[Born]]&amp;")"</f>
        <v>TB-22A (26)</v>
      </c>
      <c r="G2633" s="27">
        <f>LEN(Tabela12[[#This Row],[Anilha]])</f>
        <v>11</v>
      </c>
      <c r="H2633" s="21">
        <f>VLOOKUP(Tabela12[[#This Row],[Tag Cabo]],BD!A:F,6,0)</f>
        <v>1</v>
      </c>
      <c r="I2633" s="27" t="s">
        <v>1705</v>
      </c>
      <c r="J2633" s="27" t="s">
        <v>1706</v>
      </c>
    </row>
    <row r="2634" spans="1:10" x14ac:dyDescent="0.25">
      <c r="A2634" s="216" t="s">
        <v>391</v>
      </c>
      <c r="B2634" s="45" t="str">
        <f>VLOOKUP(Tabela12[[#This Row],[Painel]],Tabela13[],2,0)</f>
        <v>GB-1203</v>
      </c>
      <c r="C2634" s="45" t="s">
        <v>393</v>
      </c>
      <c r="D2634" s="21" t="s">
        <v>2010</v>
      </c>
      <c r="E2634" s="21">
        <v>1</v>
      </c>
      <c r="F2634" s="27" t="str">
        <f>Tabela12[[#This Row],[Régua]]&amp;" ("&amp;Tabela12[[#This Row],[Born]]&amp;")"</f>
        <v>TB-01 (1)</v>
      </c>
      <c r="G2634" s="27">
        <f>LEN(Tabela12[[#This Row],[Anilha]])</f>
        <v>9</v>
      </c>
      <c r="H2634" s="21">
        <f>VLOOKUP(Tabela12[[#This Row],[Tag Cabo]],BD!A:F,6,0)</f>
        <v>1</v>
      </c>
      <c r="I2634" s="27" t="s">
        <v>1705</v>
      </c>
      <c r="J2634" s="27" t="s">
        <v>1706</v>
      </c>
    </row>
    <row r="2635" spans="1:10" x14ac:dyDescent="0.25">
      <c r="A2635" s="216" t="s">
        <v>391</v>
      </c>
      <c r="B2635" s="45" t="str">
        <f>VLOOKUP(Tabela12[[#This Row],[Painel]],Tabela13[],2,0)</f>
        <v>GB-1203</v>
      </c>
      <c r="C2635" s="45" t="s">
        <v>393</v>
      </c>
      <c r="D2635" s="21" t="s">
        <v>2010</v>
      </c>
      <c r="E2635" s="21">
        <v>2</v>
      </c>
      <c r="F2635" s="27" t="str">
        <f>Tabela12[[#This Row],[Régua]]&amp;" ("&amp;Tabela12[[#This Row],[Born]]&amp;")"</f>
        <v>TB-01 (2)</v>
      </c>
      <c r="G2635" s="27">
        <f>LEN(Tabela12[[#This Row],[Anilha]])</f>
        <v>9</v>
      </c>
      <c r="H2635" s="21">
        <f>VLOOKUP(Tabela12[[#This Row],[Tag Cabo]],BD!A:F,6,0)</f>
        <v>1</v>
      </c>
      <c r="I2635" s="27" t="s">
        <v>1705</v>
      </c>
      <c r="J2635" s="27" t="s">
        <v>1706</v>
      </c>
    </row>
    <row r="2636" spans="1:10" x14ac:dyDescent="0.25">
      <c r="A2636" s="216" t="s">
        <v>391</v>
      </c>
      <c r="B2636" s="45" t="str">
        <f>VLOOKUP(Tabela12[[#This Row],[Painel]],Tabela13[],2,0)</f>
        <v>GB-1203</v>
      </c>
      <c r="C2636" s="45" t="s">
        <v>393</v>
      </c>
      <c r="D2636" s="21" t="s">
        <v>2010</v>
      </c>
      <c r="E2636" s="21">
        <v>5</v>
      </c>
      <c r="F2636" s="27" t="str">
        <f>Tabela12[[#This Row],[Régua]]&amp;" ("&amp;Tabela12[[#This Row],[Born]]&amp;")"</f>
        <v>TB-01 (5)</v>
      </c>
      <c r="G2636" s="27">
        <f>LEN(Tabela12[[#This Row],[Anilha]])</f>
        <v>9</v>
      </c>
      <c r="H2636" s="21">
        <f>VLOOKUP(Tabela12[[#This Row],[Tag Cabo]],BD!A:F,6,0)</f>
        <v>1</v>
      </c>
      <c r="I2636" s="27" t="s">
        <v>1705</v>
      </c>
      <c r="J2636" s="27" t="s">
        <v>1706</v>
      </c>
    </row>
    <row r="2637" spans="1:10" x14ac:dyDescent="0.25">
      <c r="A2637" s="216" t="s">
        <v>391</v>
      </c>
      <c r="B2637" s="45" t="str">
        <f>VLOOKUP(Tabela12[[#This Row],[Painel]],Tabela13[],2,0)</f>
        <v>GB-1203</v>
      </c>
      <c r="C2637" s="45" t="s">
        <v>393</v>
      </c>
      <c r="D2637" s="21" t="s">
        <v>2010</v>
      </c>
      <c r="E2637" s="21">
        <v>6</v>
      </c>
      <c r="F2637" s="27" t="str">
        <f>Tabela12[[#This Row],[Régua]]&amp;" ("&amp;Tabela12[[#This Row],[Born]]&amp;")"</f>
        <v>TB-01 (6)</v>
      </c>
      <c r="G2637" s="27">
        <f>LEN(Tabela12[[#This Row],[Anilha]])</f>
        <v>9</v>
      </c>
      <c r="H2637" s="21">
        <f>VLOOKUP(Tabela12[[#This Row],[Tag Cabo]],BD!A:F,6,0)</f>
        <v>1</v>
      </c>
      <c r="I2637" s="27" t="s">
        <v>1705</v>
      </c>
      <c r="J2637" s="27" t="s">
        <v>1706</v>
      </c>
    </row>
    <row r="2638" spans="1:10" x14ac:dyDescent="0.25">
      <c r="A2638" s="216" t="s">
        <v>391</v>
      </c>
      <c r="B2638" s="45" t="str">
        <f>VLOOKUP(Tabela12[[#This Row],[Painel]],Tabela13[],2,0)</f>
        <v>GB-1203</v>
      </c>
      <c r="C2638" s="45" t="s">
        <v>393</v>
      </c>
      <c r="D2638" s="21" t="s">
        <v>2010</v>
      </c>
      <c r="E2638" s="21">
        <v>11</v>
      </c>
      <c r="F2638" s="27" t="str">
        <f>Tabela12[[#This Row],[Régua]]&amp;" ("&amp;Tabela12[[#This Row],[Born]]&amp;")"</f>
        <v>TB-01 (11)</v>
      </c>
      <c r="G2638" s="27">
        <f>LEN(Tabela12[[#This Row],[Anilha]])</f>
        <v>10</v>
      </c>
      <c r="H2638" s="21">
        <f>VLOOKUP(Tabela12[[#This Row],[Tag Cabo]],BD!A:F,6,0)</f>
        <v>1</v>
      </c>
      <c r="I2638" s="27" t="s">
        <v>1705</v>
      </c>
      <c r="J2638" s="27" t="s">
        <v>1706</v>
      </c>
    </row>
    <row r="2639" spans="1:10" x14ac:dyDescent="0.25">
      <c r="A2639" s="216" t="s">
        <v>391</v>
      </c>
      <c r="B2639" s="45" t="str">
        <f>VLOOKUP(Tabela12[[#This Row],[Painel]],Tabela13[],2,0)</f>
        <v>GB-1203</v>
      </c>
      <c r="C2639" s="45" t="s">
        <v>393</v>
      </c>
      <c r="D2639" s="21" t="s">
        <v>2010</v>
      </c>
      <c r="E2639" s="21">
        <v>12</v>
      </c>
      <c r="F2639" s="27" t="str">
        <f>Tabela12[[#This Row],[Régua]]&amp;" ("&amp;Tabela12[[#This Row],[Born]]&amp;")"</f>
        <v>TB-01 (12)</v>
      </c>
      <c r="G2639" s="27">
        <f>LEN(Tabela12[[#This Row],[Anilha]])</f>
        <v>10</v>
      </c>
      <c r="H2639" s="21">
        <f>VLOOKUP(Tabela12[[#This Row],[Tag Cabo]],BD!A:F,6,0)</f>
        <v>1</v>
      </c>
      <c r="I2639" s="27" t="s">
        <v>1705</v>
      </c>
      <c r="J2639" s="27" t="s">
        <v>1706</v>
      </c>
    </row>
    <row r="2640" spans="1:10" x14ac:dyDescent="0.25">
      <c r="A2640" s="216" t="s">
        <v>391</v>
      </c>
      <c r="B2640" s="45" t="str">
        <f>VLOOKUP(Tabela12[[#This Row],[Painel]],Tabela13[],2,0)</f>
        <v>GB-1203</v>
      </c>
      <c r="C2640" s="45" t="s">
        <v>393</v>
      </c>
      <c r="D2640" s="21" t="s">
        <v>2010</v>
      </c>
      <c r="E2640" s="21">
        <v>13</v>
      </c>
      <c r="F2640" s="27" t="str">
        <f>Tabela12[[#This Row],[Régua]]&amp;" ("&amp;Tabela12[[#This Row],[Born]]&amp;")"</f>
        <v>TB-01 (13)</v>
      </c>
      <c r="G2640" s="27">
        <f>LEN(Tabela12[[#This Row],[Anilha]])</f>
        <v>10</v>
      </c>
      <c r="H2640" s="21">
        <f>VLOOKUP(Tabela12[[#This Row],[Tag Cabo]],BD!A:F,6,0)</f>
        <v>1</v>
      </c>
      <c r="I2640" s="27" t="s">
        <v>1705</v>
      </c>
      <c r="J2640" s="27" t="s">
        <v>1706</v>
      </c>
    </row>
    <row r="2641" spans="1:10" x14ac:dyDescent="0.25">
      <c r="A2641" s="216" t="s">
        <v>391</v>
      </c>
      <c r="B2641" s="45" t="str">
        <f>VLOOKUP(Tabela12[[#This Row],[Painel]],Tabela13[],2,0)</f>
        <v>GB-1203</v>
      </c>
      <c r="C2641" s="45" t="s">
        <v>393</v>
      </c>
      <c r="D2641" s="21" t="s">
        <v>2010</v>
      </c>
      <c r="E2641" s="21">
        <v>14</v>
      </c>
      <c r="F2641" s="27" t="str">
        <f>Tabela12[[#This Row],[Régua]]&amp;" ("&amp;Tabela12[[#This Row],[Born]]&amp;")"</f>
        <v>TB-01 (14)</v>
      </c>
      <c r="G2641" s="27">
        <f>LEN(Tabela12[[#This Row],[Anilha]])</f>
        <v>10</v>
      </c>
      <c r="H2641" s="21">
        <f>VLOOKUP(Tabela12[[#This Row],[Tag Cabo]],BD!A:F,6,0)</f>
        <v>1</v>
      </c>
      <c r="I2641" s="27" t="s">
        <v>1705</v>
      </c>
      <c r="J2641" s="27" t="s">
        <v>1706</v>
      </c>
    </row>
    <row r="2642" spans="1:10" x14ac:dyDescent="0.25">
      <c r="A2642" s="216" t="s">
        <v>391</v>
      </c>
      <c r="B2642" s="45" t="str">
        <f>VLOOKUP(Tabela12[[#This Row],[Painel]],Tabela13[],2,0)</f>
        <v>GB-1203</v>
      </c>
      <c r="C2642" s="45" t="s">
        <v>393</v>
      </c>
      <c r="D2642" s="21" t="s">
        <v>2010</v>
      </c>
      <c r="E2642" s="21">
        <v>15</v>
      </c>
      <c r="F2642" s="27" t="str">
        <f>Tabela12[[#This Row],[Régua]]&amp;" ("&amp;Tabela12[[#This Row],[Born]]&amp;")"</f>
        <v>TB-01 (15)</v>
      </c>
      <c r="G2642" s="27">
        <f>LEN(Tabela12[[#This Row],[Anilha]])</f>
        <v>10</v>
      </c>
      <c r="H2642" s="21">
        <f>VLOOKUP(Tabela12[[#This Row],[Tag Cabo]],BD!A:F,6,0)</f>
        <v>1</v>
      </c>
      <c r="I2642" s="27" t="s">
        <v>1705</v>
      </c>
      <c r="J2642" s="27" t="s">
        <v>1706</v>
      </c>
    </row>
    <row r="2643" spans="1:10" x14ac:dyDescent="0.25">
      <c r="A2643" s="216" t="s">
        <v>391</v>
      </c>
      <c r="B2643" s="45" t="str">
        <f>VLOOKUP(Tabela12[[#This Row],[Painel]],Tabela13[],2,0)</f>
        <v>GB-1203</v>
      </c>
      <c r="C2643" s="45" t="s">
        <v>393</v>
      </c>
      <c r="D2643" s="21" t="s">
        <v>2010</v>
      </c>
      <c r="E2643" s="21">
        <v>16</v>
      </c>
      <c r="F2643" s="27" t="str">
        <f>Tabela12[[#This Row],[Régua]]&amp;" ("&amp;Tabela12[[#This Row],[Born]]&amp;")"</f>
        <v>TB-01 (16)</v>
      </c>
      <c r="G2643" s="27">
        <f>LEN(Tabela12[[#This Row],[Anilha]])</f>
        <v>10</v>
      </c>
      <c r="H2643" s="21">
        <f>VLOOKUP(Tabela12[[#This Row],[Tag Cabo]],BD!A:F,6,0)</f>
        <v>1</v>
      </c>
      <c r="I2643" s="27" t="s">
        <v>1705</v>
      </c>
      <c r="J2643" s="27" t="s">
        <v>1706</v>
      </c>
    </row>
    <row r="2644" spans="1:10" x14ac:dyDescent="0.25">
      <c r="A2644" s="216" t="s">
        <v>391</v>
      </c>
      <c r="B2644" s="45" t="str">
        <f>VLOOKUP(Tabela12[[#This Row],[Painel]],Tabela13[],2,0)</f>
        <v>GB-1203</v>
      </c>
      <c r="C2644" s="45" t="s">
        <v>393</v>
      </c>
      <c r="D2644" s="21" t="s">
        <v>2010</v>
      </c>
      <c r="E2644" s="21">
        <v>17</v>
      </c>
      <c r="F2644" s="27" t="str">
        <f>Tabela12[[#This Row],[Régua]]&amp;" ("&amp;Tabela12[[#This Row],[Born]]&amp;")"</f>
        <v>TB-01 (17)</v>
      </c>
      <c r="G2644" s="27">
        <f>LEN(Tabela12[[#This Row],[Anilha]])</f>
        <v>10</v>
      </c>
      <c r="H2644" s="21">
        <f>VLOOKUP(Tabela12[[#This Row],[Tag Cabo]],BD!A:F,6,0)</f>
        <v>1</v>
      </c>
      <c r="I2644" s="27" t="s">
        <v>1705</v>
      </c>
      <c r="J2644" s="27" t="s">
        <v>1706</v>
      </c>
    </row>
    <row r="2645" spans="1:10" x14ac:dyDescent="0.25">
      <c r="A2645" s="216" t="s">
        <v>391</v>
      </c>
      <c r="B2645" s="45" t="str">
        <f>VLOOKUP(Tabela12[[#This Row],[Painel]],Tabela13[],2,0)</f>
        <v>GB-1203</v>
      </c>
      <c r="C2645" s="45" t="s">
        <v>393</v>
      </c>
      <c r="D2645" s="21" t="s">
        <v>2010</v>
      </c>
      <c r="E2645" s="21">
        <v>18</v>
      </c>
      <c r="F2645" s="27" t="str">
        <f>Tabela12[[#This Row],[Régua]]&amp;" ("&amp;Tabela12[[#This Row],[Born]]&amp;")"</f>
        <v>TB-01 (18)</v>
      </c>
      <c r="G2645" s="27">
        <f>LEN(Tabela12[[#This Row],[Anilha]])</f>
        <v>10</v>
      </c>
      <c r="H2645" s="21">
        <f>VLOOKUP(Tabela12[[#This Row],[Tag Cabo]],BD!A:F,6,0)</f>
        <v>1</v>
      </c>
      <c r="I2645" s="27" t="s">
        <v>1705</v>
      </c>
      <c r="J2645" s="27" t="s">
        <v>1706</v>
      </c>
    </row>
    <row r="2646" spans="1:10" x14ac:dyDescent="0.25">
      <c r="A2646" s="216" t="s">
        <v>391</v>
      </c>
      <c r="B2646" s="45" t="str">
        <f>VLOOKUP(Tabela12[[#This Row],[Painel]],Tabela13[],2,0)</f>
        <v>30LV</v>
      </c>
      <c r="C2646" s="45" t="s">
        <v>1632</v>
      </c>
      <c r="D2646" s="21" t="s">
        <v>2063</v>
      </c>
      <c r="E2646" s="21">
        <v>1</v>
      </c>
      <c r="F2646" s="27" t="str">
        <f>Tabela12[[#This Row],[Régua]]&amp;" ("&amp;Tabela12[[#This Row],[Born]]&amp;")"</f>
        <v>TB-8A (1)</v>
      </c>
      <c r="G2646" s="27">
        <f>LEN(Tabela12[[#This Row],[Anilha]])</f>
        <v>9</v>
      </c>
      <c r="H2646" s="21">
        <f>VLOOKUP(Tabela12[[#This Row],[Tag Cabo]],BD!A:F,6,0)</f>
        <v>1</v>
      </c>
      <c r="I2646" s="27" t="s">
        <v>1705</v>
      </c>
      <c r="J2646" s="27" t="s">
        <v>1706</v>
      </c>
    </row>
    <row r="2647" spans="1:10" x14ac:dyDescent="0.25">
      <c r="A2647" s="216" t="s">
        <v>391</v>
      </c>
      <c r="B2647" s="45" t="str">
        <f>VLOOKUP(Tabela12[[#This Row],[Painel]],Tabela13[],2,0)</f>
        <v>30LV</v>
      </c>
      <c r="C2647" s="45" t="s">
        <v>1632</v>
      </c>
      <c r="D2647" s="21" t="s">
        <v>2063</v>
      </c>
      <c r="E2647" s="21">
        <v>2</v>
      </c>
      <c r="F2647" s="27" t="str">
        <f>Tabela12[[#This Row],[Régua]]&amp;" ("&amp;Tabela12[[#This Row],[Born]]&amp;")"</f>
        <v>TB-8A (2)</v>
      </c>
      <c r="G2647" s="27">
        <f>LEN(Tabela12[[#This Row],[Anilha]])</f>
        <v>9</v>
      </c>
      <c r="H2647" s="21">
        <f>VLOOKUP(Tabela12[[#This Row],[Tag Cabo]],BD!A:F,6,0)</f>
        <v>1</v>
      </c>
      <c r="I2647" s="27" t="s">
        <v>1705</v>
      </c>
      <c r="J2647" s="27" t="s">
        <v>1706</v>
      </c>
    </row>
    <row r="2648" spans="1:10" x14ac:dyDescent="0.25">
      <c r="A2648" s="216" t="s">
        <v>391</v>
      </c>
      <c r="B2648" s="45" t="str">
        <f>VLOOKUP(Tabela12[[#This Row],[Painel]],Tabela13[],2,0)</f>
        <v>30LV</v>
      </c>
      <c r="C2648" s="45" t="s">
        <v>1632</v>
      </c>
      <c r="D2648" s="21" t="s">
        <v>2063</v>
      </c>
      <c r="E2648" s="21">
        <v>4</v>
      </c>
      <c r="F2648" s="27" t="str">
        <f>Tabela12[[#This Row],[Régua]]&amp;" ("&amp;Tabela12[[#This Row],[Born]]&amp;")"</f>
        <v>TB-8A (4)</v>
      </c>
      <c r="G2648" s="27">
        <f>LEN(Tabela12[[#This Row],[Anilha]])</f>
        <v>9</v>
      </c>
      <c r="H2648" s="21">
        <f>VLOOKUP(Tabela12[[#This Row],[Tag Cabo]],BD!A:F,6,0)</f>
        <v>1</v>
      </c>
      <c r="I2648" s="27" t="s">
        <v>1705</v>
      </c>
      <c r="J2648" s="27" t="s">
        <v>1706</v>
      </c>
    </row>
    <row r="2649" spans="1:10" x14ac:dyDescent="0.25">
      <c r="A2649" s="216" t="s">
        <v>391</v>
      </c>
      <c r="B2649" s="45" t="str">
        <f>VLOOKUP(Tabela12[[#This Row],[Painel]],Tabela13[],2,0)</f>
        <v>30LV</v>
      </c>
      <c r="C2649" s="45" t="s">
        <v>1632</v>
      </c>
      <c r="D2649" s="21" t="s">
        <v>2063</v>
      </c>
      <c r="E2649" s="21">
        <v>5</v>
      </c>
      <c r="F2649" s="27" t="str">
        <f>Tabela12[[#This Row],[Régua]]&amp;" ("&amp;Tabela12[[#This Row],[Born]]&amp;")"</f>
        <v>TB-8A (5)</v>
      </c>
      <c r="G2649" s="27">
        <f>LEN(Tabela12[[#This Row],[Anilha]])</f>
        <v>9</v>
      </c>
      <c r="H2649" s="21">
        <f>VLOOKUP(Tabela12[[#This Row],[Tag Cabo]],BD!A:F,6,0)</f>
        <v>1</v>
      </c>
      <c r="I2649" s="27" t="s">
        <v>1705</v>
      </c>
      <c r="J2649" s="27" t="s">
        <v>1706</v>
      </c>
    </row>
    <row r="2650" spans="1:10" x14ac:dyDescent="0.25">
      <c r="A2650" s="216" t="s">
        <v>391</v>
      </c>
      <c r="B2650" s="45" t="str">
        <f>VLOOKUP(Tabela12[[#This Row],[Painel]],Tabela13[],2,0)</f>
        <v>30LV</v>
      </c>
      <c r="C2650" s="45" t="s">
        <v>1632</v>
      </c>
      <c r="D2650" s="21" t="s">
        <v>2063</v>
      </c>
      <c r="E2650" s="21">
        <v>7</v>
      </c>
      <c r="F2650" s="27" t="str">
        <f>Tabela12[[#This Row],[Régua]]&amp;" ("&amp;Tabela12[[#This Row],[Born]]&amp;")"</f>
        <v>TB-8A (7)</v>
      </c>
      <c r="G2650" s="27">
        <f>LEN(Tabela12[[#This Row],[Anilha]])</f>
        <v>9</v>
      </c>
      <c r="H2650" s="21">
        <f>VLOOKUP(Tabela12[[#This Row],[Tag Cabo]],BD!A:F,6,0)</f>
        <v>1</v>
      </c>
      <c r="I2650" s="27" t="s">
        <v>1705</v>
      </c>
      <c r="J2650" s="27" t="s">
        <v>1706</v>
      </c>
    </row>
    <row r="2651" spans="1:10" x14ac:dyDescent="0.25">
      <c r="A2651" s="216" t="s">
        <v>391</v>
      </c>
      <c r="B2651" s="45" t="str">
        <f>VLOOKUP(Tabela12[[#This Row],[Painel]],Tabela13[],2,0)</f>
        <v>30LV</v>
      </c>
      <c r="C2651" s="45" t="s">
        <v>1632</v>
      </c>
      <c r="D2651" s="21" t="s">
        <v>2063</v>
      </c>
      <c r="E2651" s="21">
        <v>8</v>
      </c>
      <c r="F2651" s="27" t="str">
        <f>Tabela12[[#This Row],[Régua]]&amp;" ("&amp;Tabela12[[#This Row],[Born]]&amp;")"</f>
        <v>TB-8A (8)</v>
      </c>
      <c r="G2651" s="27">
        <f>LEN(Tabela12[[#This Row],[Anilha]])</f>
        <v>9</v>
      </c>
      <c r="H2651" s="21">
        <f>VLOOKUP(Tabela12[[#This Row],[Tag Cabo]],BD!A:F,6,0)</f>
        <v>1</v>
      </c>
      <c r="I2651" s="27" t="s">
        <v>1705</v>
      </c>
      <c r="J2651" s="27" t="s">
        <v>1706</v>
      </c>
    </row>
    <row r="2652" spans="1:10" x14ac:dyDescent="0.25">
      <c r="A2652" s="216" t="s">
        <v>391</v>
      </c>
      <c r="B2652" s="45" t="str">
        <f>VLOOKUP(Tabela12[[#This Row],[Painel]],Tabela13[],2,0)</f>
        <v>30LV</v>
      </c>
      <c r="C2652" s="45" t="s">
        <v>1632</v>
      </c>
      <c r="D2652" s="21" t="s">
        <v>2063</v>
      </c>
      <c r="E2652" s="21">
        <v>10</v>
      </c>
      <c r="F2652" s="27" t="str">
        <f>Tabela12[[#This Row],[Régua]]&amp;" ("&amp;Tabela12[[#This Row],[Born]]&amp;")"</f>
        <v>TB-8A (10)</v>
      </c>
      <c r="G2652" s="27">
        <f>LEN(Tabela12[[#This Row],[Anilha]])</f>
        <v>10</v>
      </c>
      <c r="H2652" s="21">
        <f>VLOOKUP(Tabela12[[#This Row],[Tag Cabo]],BD!A:F,6,0)</f>
        <v>1</v>
      </c>
      <c r="I2652" s="27" t="s">
        <v>1705</v>
      </c>
      <c r="J2652" s="27" t="s">
        <v>1706</v>
      </c>
    </row>
    <row r="2653" spans="1:10" x14ac:dyDescent="0.25">
      <c r="A2653" s="216" t="s">
        <v>391</v>
      </c>
      <c r="B2653" s="45" t="str">
        <f>VLOOKUP(Tabela12[[#This Row],[Painel]],Tabela13[],2,0)</f>
        <v>30LV</v>
      </c>
      <c r="C2653" s="45" t="s">
        <v>1632</v>
      </c>
      <c r="D2653" s="21" t="s">
        <v>2063</v>
      </c>
      <c r="E2653" s="21">
        <v>11</v>
      </c>
      <c r="F2653" s="27" t="str">
        <f>Tabela12[[#This Row],[Régua]]&amp;" ("&amp;Tabela12[[#This Row],[Born]]&amp;")"</f>
        <v>TB-8A (11)</v>
      </c>
      <c r="G2653" s="27">
        <f>LEN(Tabela12[[#This Row],[Anilha]])</f>
        <v>10</v>
      </c>
      <c r="H2653" s="21">
        <f>VLOOKUP(Tabela12[[#This Row],[Tag Cabo]],BD!A:F,6,0)</f>
        <v>1</v>
      </c>
      <c r="I2653" s="27" t="s">
        <v>1705</v>
      </c>
      <c r="J2653" s="27" t="s">
        <v>1706</v>
      </c>
    </row>
    <row r="2654" spans="1:10" x14ac:dyDescent="0.25">
      <c r="A2654" s="216" t="s">
        <v>394</v>
      </c>
      <c r="B2654" s="45" t="str">
        <f>VLOOKUP(Tabela12[[#This Row],[Painel]],Tabela13[],2,0)</f>
        <v>GB-1203</v>
      </c>
      <c r="C2654" s="45" t="s">
        <v>393</v>
      </c>
      <c r="D2654" s="21" t="s">
        <v>2010</v>
      </c>
      <c r="E2654" s="21">
        <v>15</v>
      </c>
      <c r="F2654" s="27" t="str">
        <f>Tabela12[[#This Row],[Régua]]&amp;" ("&amp;Tabela12[[#This Row],[Born]]&amp;")"</f>
        <v>TB-01 (15)</v>
      </c>
      <c r="G2654" s="27">
        <f>LEN(Tabela12[[#This Row],[Anilha]])</f>
        <v>10</v>
      </c>
      <c r="H2654" s="21">
        <f>VLOOKUP(Tabela12[[#This Row],[Tag Cabo]],BD!A:F,6,0)</f>
        <v>1</v>
      </c>
      <c r="I2654" s="27" t="s">
        <v>1705</v>
      </c>
      <c r="J2654" s="27" t="s">
        <v>1706</v>
      </c>
    </row>
    <row r="2655" spans="1:10" x14ac:dyDescent="0.25">
      <c r="A2655" s="216" t="s">
        <v>394</v>
      </c>
      <c r="B2655" s="45" t="str">
        <f>VLOOKUP(Tabela12[[#This Row],[Painel]],Tabela13[],2,0)</f>
        <v>GB-1203</v>
      </c>
      <c r="C2655" s="45" t="s">
        <v>393</v>
      </c>
      <c r="D2655" s="21" t="s">
        <v>2010</v>
      </c>
      <c r="E2655" s="21">
        <v>16</v>
      </c>
      <c r="F2655" s="27" t="str">
        <f>Tabela12[[#This Row],[Régua]]&amp;" ("&amp;Tabela12[[#This Row],[Born]]&amp;")"</f>
        <v>TB-01 (16)</v>
      </c>
      <c r="G2655" s="27">
        <f>LEN(Tabela12[[#This Row],[Anilha]])</f>
        <v>10</v>
      </c>
      <c r="H2655" s="21">
        <f>VLOOKUP(Tabela12[[#This Row],[Tag Cabo]],BD!A:F,6,0)</f>
        <v>1</v>
      </c>
      <c r="I2655" s="27" t="s">
        <v>1705</v>
      </c>
      <c r="J2655" s="27" t="s">
        <v>1706</v>
      </c>
    </row>
    <row r="2656" spans="1:10" x14ac:dyDescent="0.25">
      <c r="A2656" s="216" t="s">
        <v>394</v>
      </c>
      <c r="B2656" s="45" t="str">
        <f>VLOOKUP(Tabela12[[#This Row],[Painel]],Tabela13[],2,0)</f>
        <v>GB-1203</v>
      </c>
      <c r="C2656" s="45" t="s">
        <v>393</v>
      </c>
      <c r="D2656" s="21" t="s">
        <v>2010</v>
      </c>
      <c r="E2656" s="21">
        <v>17</v>
      </c>
      <c r="F2656" s="27" t="str">
        <f>Tabela12[[#This Row],[Régua]]&amp;" ("&amp;Tabela12[[#This Row],[Born]]&amp;")"</f>
        <v>TB-01 (17)</v>
      </c>
      <c r="G2656" s="27">
        <f>LEN(Tabela12[[#This Row],[Anilha]])</f>
        <v>10</v>
      </c>
      <c r="H2656" s="21">
        <f>VLOOKUP(Tabela12[[#This Row],[Tag Cabo]],BD!A:F,6,0)</f>
        <v>1</v>
      </c>
      <c r="I2656" s="27" t="s">
        <v>1705</v>
      </c>
      <c r="J2656" s="27" t="s">
        <v>1706</v>
      </c>
    </row>
    <row r="2657" spans="1:10" x14ac:dyDescent="0.25">
      <c r="A2657" s="216" t="s">
        <v>394</v>
      </c>
      <c r="B2657" s="45" t="str">
        <f>VLOOKUP(Tabela12[[#This Row],[Painel]],Tabela13[],2,0)</f>
        <v>GB-1203</v>
      </c>
      <c r="C2657" s="45" t="s">
        <v>393</v>
      </c>
      <c r="D2657" s="21" t="s">
        <v>2010</v>
      </c>
      <c r="E2657" s="21">
        <v>18</v>
      </c>
      <c r="F2657" s="27" t="str">
        <f>Tabela12[[#This Row],[Régua]]&amp;" ("&amp;Tabela12[[#This Row],[Born]]&amp;")"</f>
        <v>TB-01 (18)</v>
      </c>
      <c r="G2657" s="27">
        <f>LEN(Tabela12[[#This Row],[Anilha]])</f>
        <v>10</v>
      </c>
      <c r="H2657" s="21">
        <f>VLOOKUP(Tabela12[[#This Row],[Tag Cabo]],BD!A:F,6,0)</f>
        <v>1</v>
      </c>
      <c r="I2657" s="27" t="s">
        <v>1705</v>
      </c>
      <c r="J2657" s="27" t="s">
        <v>1706</v>
      </c>
    </row>
    <row r="2658" spans="1:10" x14ac:dyDescent="0.25">
      <c r="A2658" s="216" t="s">
        <v>394</v>
      </c>
      <c r="B2658" s="45" t="str">
        <f>VLOOKUP(Tabela12[[#This Row],[Painel]],Tabela13[],2,0)</f>
        <v>30LV</v>
      </c>
      <c r="C2658" s="45" t="s">
        <v>1632</v>
      </c>
      <c r="D2658" s="21" t="s">
        <v>1979</v>
      </c>
      <c r="E2658" s="21">
        <v>1</v>
      </c>
      <c r="F2658" s="27" t="str">
        <f>Tabela12[[#This Row],[Régua]]&amp;" ("&amp;Tabela12[[#This Row],[Born]]&amp;")"</f>
        <v>TB-06 (1)</v>
      </c>
      <c r="G2658" s="27">
        <f>LEN(Tabela12[[#This Row],[Anilha]])</f>
        <v>9</v>
      </c>
      <c r="H2658" s="27">
        <f>VLOOKUP(Tabela12[[#This Row],[Tag Cabo]],BD!A:F,6,0)</f>
        <v>1</v>
      </c>
      <c r="I2658" s="27" t="s">
        <v>1705</v>
      </c>
      <c r="J2658" s="27" t="s">
        <v>1706</v>
      </c>
    </row>
    <row r="2659" spans="1:10" x14ac:dyDescent="0.25">
      <c r="A2659" s="216" t="s">
        <v>394</v>
      </c>
      <c r="B2659" s="45" t="str">
        <f>VLOOKUP(Tabela12[[#This Row],[Painel]],Tabela13[],2,0)</f>
        <v>30LV</v>
      </c>
      <c r="C2659" s="45" t="s">
        <v>1632</v>
      </c>
      <c r="D2659" s="21" t="s">
        <v>1979</v>
      </c>
      <c r="E2659" s="21">
        <v>2</v>
      </c>
      <c r="F2659" s="27" t="str">
        <f>Tabela12[[#This Row],[Régua]]&amp;" ("&amp;Tabela12[[#This Row],[Born]]&amp;")"</f>
        <v>TB-06 (2)</v>
      </c>
      <c r="G2659" s="27">
        <f>LEN(Tabela12[[#This Row],[Anilha]])</f>
        <v>9</v>
      </c>
      <c r="H2659" s="27">
        <f>VLOOKUP(Tabela12[[#This Row],[Tag Cabo]],BD!A:F,6,0)</f>
        <v>1</v>
      </c>
      <c r="I2659" s="27" t="s">
        <v>1705</v>
      </c>
      <c r="J2659" s="27" t="s">
        <v>1706</v>
      </c>
    </row>
    <row r="2660" spans="1:10" x14ac:dyDescent="0.25">
      <c r="A2660" s="216" t="s">
        <v>394</v>
      </c>
      <c r="B2660" s="45" t="str">
        <f>VLOOKUP(Tabela12[[#This Row],[Painel]],Tabela13[],2,0)</f>
        <v>30LV</v>
      </c>
      <c r="C2660" s="45" t="s">
        <v>1632</v>
      </c>
      <c r="D2660" s="21" t="s">
        <v>1979</v>
      </c>
      <c r="E2660" s="21">
        <v>3</v>
      </c>
      <c r="F2660" s="27" t="str">
        <f>Tabela12[[#This Row],[Régua]]&amp;" ("&amp;Tabela12[[#This Row],[Born]]&amp;")"</f>
        <v>TB-06 (3)</v>
      </c>
      <c r="G2660" s="27">
        <f>LEN(Tabela12[[#This Row],[Anilha]])</f>
        <v>9</v>
      </c>
      <c r="H2660" s="27">
        <f>VLOOKUP(Tabela12[[#This Row],[Tag Cabo]],BD!A:F,6,0)</f>
        <v>1</v>
      </c>
      <c r="I2660" s="27" t="s">
        <v>1705</v>
      </c>
      <c r="J2660" s="27" t="s">
        <v>1706</v>
      </c>
    </row>
    <row r="2661" spans="1:10" x14ac:dyDescent="0.25">
      <c r="A2661" s="216" t="s">
        <v>394</v>
      </c>
      <c r="B2661" s="45" t="str">
        <f>VLOOKUP(Tabela12[[#This Row],[Painel]],Tabela13[],2,0)</f>
        <v>30LV</v>
      </c>
      <c r="C2661" s="45" t="s">
        <v>1632</v>
      </c>
      <c r="D2661" s="21" t="s">
        <v>1979</v>
      </c>
      <c r="E2661" s="21">
        <v>4</v>
      </c>
      <c r="F2661" s="27" t="str">
        <f>Tabela12[[#This Row],[Régua]]&amp;" ("&amp;Tabela12[[#This Row],[Born]]&amp;")"</f>
        <v>TB-06 (4)</v>
      </c>
      <c r="G2661" s="27">
        <f>LEN(Tabela12[[#This Row],[Anilha]])</f>
        <v>9</v>
      </c>
      <c r="H2661" s="27">
        <f>VLOOKUP(Tabela12[[#This Row],[Tag Cabo]],BD!A:F,6,0)</f>
        <v>1</v>
      </c>
      <c r="I2661" s="27" t="s">
        <v>1705</v>
      </c>
      <c r="J2661" s="27" t="s">
        <v>1706</v>
      </c>
    </row>
    <row r="2662" spans="1:10" x14ac:dyDescent="0.25">
      <c r="A2662" s="216" t="s">
        <v>398</v>
      </c>
      <c r="B2662" s="45" t="str">
        <f>VLOOKUP(Tabela12[[#This Row],[Painel]],Tabela13[],2,0)</f>
        <v>GB-1203</v>
      </c>
      <c r="C2662" s="45" t="s">
        <v>1642</v>
      </c>
      <c r="D2662" s="21" t="s">
        <v>1642</v>
      </c>
      <c r="E2662" s="21">
        <v>10</v>
      </c>
      <c r="F2662" s="27" t="str">
        <f>Tabela12[[#This Row],[Régua]]&amp;"-"&amp;Tabela12[[#This Row],[Born]]</f>
        <v>JBI-120-104X-10</v>
      </c>
      <c r="G2662" s="27">
        <f>LEN(Tabela12[[#This Row],[Anilha]])</f>
        <v>15</v>
      </c>
      <c r="H2662" s="21">
        <f>VLOOKUP(Tabela12[[#This Row],[Tag Cabo]],BD!A:F,6,0)</f>
        <v>1</v>
      </c>
      <c r="I2662" s="27" t="s">
        <v>1705</v>
      </c>
      <c r="J2662" s="27" t="s">
        <v>1706</v>
      </c>
    </row>
    <row r="2663" spans="1:10" x14ac:dyDescent="0.25">
      <c r="A2663" s="216" t="s">
        <v>398</v>
      </c>
      <c r="B2663" s="45" t="str">
        <f>VLOOKUP(Tabela12[[#This Row],[Painel]],Tabela13[],2,0)</f>
        <v>GB-1203</v>
      </c>
      <c r="C2663" s="45" t="s">
        <v>1642</v>
      </c>
      <c r="D2663" s="21" t="s">
        <v>1642</v>
      </c>
      <c r="E2663" s="21">
        <v>11</v>
      </c>
      <c r="F2663" s="27" t="str">
        <f>Tabela12[[#This Row],[Régua]]&amp;"-"&amp;Tabela12[[#This Row],[Born]]</f>
        <v>JBI-120-104X-11</v>
      </c>
      <c r="G2663" s="27">
        <f>LEN(Tabela12[[#This Row],[Anilha]])</f>
        <v>15</v>
      </c>
      <c r="H2663" s="21">
        <f>VLOOKUP(Tabela12[[#This Row],[Tag Cabo]],BD!A:F,6,0)</f>
        <v>1</v>
      </c>
      <c r="I2663" s="27" t="s">
        <v>1705</v>
      </c>
      <c r="J2663" s="27" t="s">
        <v>1706</v>
      </c>
    </row>
    <row r="2664" spans="1:10" x14ac:dyDescent="0.25">
      <c r="A2664" s="216" t="s">
        <v>398</v>
      </c>
      <c r="B2664" s="45" t="str">
        <f>VLOOKUP(Tabela12[[#This Row],[Painel]],Tabela13[],2,0)</f>
        <v>GB-1203</v>
      </c>
      <c r="C2664" s="45" t="s">
        <v>1642</v>
      </c>
      <c r="D2664" s="21" t="s">
        <v>1642</v>
      </c>
      <c r="E2664" s="21">
        <v>12</v>
      </c>
      <c r="F2664" s="27" t="str">
        <f>Tabela12[[#This Row],[Régua]]&amp;"-"&amp;Tabela12[[#This Row],[Born]]</f>
        <v>JBI-120-104X-12</v>
      </c>
      <c r="G2664" s="27">
        <f>LEN(Tabela12[[#This Row],[Anilha]])</f>
        <v>15</v>
      </c>
      <c r="H2664" s="21">
        <f>VLOOKUP(Tabela12[[#This Row],[Tag Cabo]],BD!A:F,6,0)</f>
        <v>1</v>
      </c>
      <c r="I2664" s="27" t="s">
        <v>1705</v>
      </c>
      <c r="J2664" s="27" t="s">
        <v>1706</v>
      </c>
    </row>
    <row r="2665" spans="1:10" x14ac:dyDescent="0.25">
      <c r="A2665" s="216" t="s">
        <v>398</v>
      </c>
      <c r="B2665" s="45" t="str">
        <f>VLOOKUP(Tabela12[[#This Row],[Painel]],Tabela13[],2,0)</f>
        <v>GB-1203</v>
      </c>
      <c r="C2665" s="45" t="s">
        <v>1642</v>
      </c>
      <c r="D2665" s="21" t="s">
        <v>1642</v>
      </c>
      <c r="E2665" s="21">
        <v>13</v>
      </c>
      <c r="F2665" s="27" t="str">
        <f>Tabela12[[#This Row],[Régua]]&amp;"-"&amp;Tabela12[[#This Row],[Born]]</f>
        <v>JBI-120-104X-13</v>
      </c>
      <c r="G2665" s="27">
        <f>LEN(Tabela12[[#This Row],[Anilha]])</f>
        <v>15</v>
      </c>
      <c r="H2665" s="21">
        <f>VLOOKUP(Tabela12[[#This Row],[Tag Cabo]],BD!A:F,6,0)</f>
        <v>1</v>
      </c>
      <c r="I2665" s="27" t="s">
        <v>1705</v>
      </c>
      <c r="J2665" s="27" t="s">
        <v>1706</v>
      </c>
    </row>
    <row r="2666" spans="1:10" x14ac:dyDescent="0.25">
      <c r="A2666" s="216" t="s">
        <v>398</v>
      </c>
      <c r="B2666" s="45" t="str">
        <f>VLOOKUP(Tabela12[[#This Row],[Painel]],Tabela13[],2,0)</f>
        <v>GB-1203</v>
      </c>
      <c r="C2666" s="45" t="s">
        <v>1642</v>
      </c>
      <c r="D2666" s="21" t="s">
        <v>1642</v>
      </c>
      <c r="E2666" s="21">
        <v>14</v>
      </c>
      <c r="F2666" s="27" t="str">
        <f>Tabela12[[#This Row],[Régua]]&amp;"-"&amp;Tabela12[[#This Row],[Born]]</f>
        <v>JBI-120-104X-14</v>
      </c>
      <c r="G2666" s="27">
        <f>LEN(Tabela12[[#This Row],[Anilha]])</f>
        <v>15</v>
      </c>
      <c r="H2666" s="21">
        <f>VLOOKUP(Tabela12[[#This Row],[Tag Cabo]],BD!A:F,6,0)</f>
        <v>1</v>
      </c>
      <c r="I2666" s="27" t="s">
        <v>1705</v>
      </c>
      <c r="J2666" s="27" t="s">
        <v>1706</v>
      </c>
    </row>
    <row r="2667" spans="1:10" x14ac:dyDescent="0.25">
      <c r="A2667" s="216" t="s">
        <v>398</v>
      </c>
      <c r="B2667" s="45" t="str">
        <f>VLOOKUP(Tabela12[[#This Row],[Painel]],Tabela13[],2,0)</f>
        <v>GB-1203</v>
      </c>
      <c r="C2667" s="45" t="s">
        <v>1642</v>
      </c>
      <c r="D2667" s="21" t="s">
        <v>1642</v>
      </c>
      <c r="E2667" s="21">
        <v>15</v>
      </c>
      <c r="F2667" s="27" t="str">
        <f>Tabela12[[#This Row],[Régua]]&amp;"-"&amp;Tabela12[[#This Row],[Born]]</f>
        <v>JBI-120-104X-15</v>
      </c>
      <c r="G2667" s="27">
        <f>LEN(Tabela12[[#This Row],[Anilha]])</f>
        <v>15</v>
      </c>
      <c r="H2667" s="21">
        <f>VLOOKUP(Tabela12[[#This Row],[Tag Cabo]],BD!A:F,6,0)</f>
        <v>1</v>
      </c>
      <c r="I2667" s="27" t="s">
        <v>1705</v>
      </c>
      <c r="J2667" s="27" t="s">
        <v>1706</v>
      </c>
    </row>
    <row r="2668" spans="1:10" x14ac:dyDescent="0.25">
      <c r="A2668" s="216" t="s">
        <v>398</v>
      </c>
      <c r="B2668" s="45" t="str">
        <f>VLOOKUP(Tabela12[[#This Row],[Painel]],Tabela13[],2,0)</f>
        <v>30LV</v>
      </c>
      <c r="C2668" s="45" t="s">
        <v>1632</v>
      </c>
      <c r="D2668" s="21" t="s">
        <v>1977</v>
      </c>
      <c r="E2668" s="21">
        <v>1</v>
      </c>
      <c r="F2668" s="27" t="str">
        <f>Tabela12[[#This Row],[Régua]]&amp;" ("&amp;Tabela12[[#This Row],[Born]]&amp;")"</f>
        <v>TB-03 (1)</v>
      </c>
      <c r="G2668" s="27">
        <f>LEN(Tabela12[[#This Row],[Anilha]])</f>
        <v>9</v>
      </c>
      <c r="H2668" s="21">
        <f>VLOOKUP(Tabela12[[#This Row],[Tag Cabo]],BD!A:F,6,0)</f>
        <v>1</v>
      </c>
      <c r="I2668" s="27" t="s">
        <v>1705</v>
      </c>
      <c r="J2668" s="27" t="s">
        <v>1706</v>
      </c>
    </row>
    <row r="2669" spans="1:10" x14ac:dyDescent="0.25">
      <c r="A2669" s="216" t="s">
        <v>398</v>
      </c>
      <c r="B2669" s="45" t="str">
        <f>VLOOKUP(Tabela12[[#This Row],[Painel]],Tabela13[],2,0)</f>
        <v>30LV</v>
      </c>
      <c r="C2669" s="45" t="s">
        <v>1632</v>
      </c>
      <c r="D2669" s="21" t="s">
        <v>1977</v>
      </c>
      <c r="E2669" s="21">
        <v>2</v>
      </c>
      <c r="F2669" s="27" t="str">
        <f>Tabela12[[#This Row],[Régua]]&amp;" ("&amp;Tabela12[[#This Row],[Born]]&amp;")"</f>
        <v>TB-03 (2)</v>
      </c>
      <c r="G2669" s="27">
        <f>LEN(Tabela12[[#This Row],[Anilha]])</f>
        <v>9</v>
      </c>
      <c r="H2669" s="21">
        <f>VLOOKUP(Tabela12[[#This Row],[Tag Cabo]],BD!A:F,6,0)</f>
        <v>1</v>
      </c>
      <c r="I2669" s="27" t="s">
        <v>1705</v>
      </c>
      <c r="J2669" s="27" t="s">
        <v>1706</v>
      </c>
    </row>
    <row r="2670" spans="1:10" x14ac:dyDescent="0.25">
      <c r="A2670" s="216" t="s">
        <v>398</v>
      </c>
      <c r="B2670" s="45" t="str">
        <f>VLOOKUP(Tabela12[[#This Row],[Painel]],Tabela13[],2,0)</f>
        <v>30LV</v>
      </c>
      <c r="C2670" s="45" t="s">
        <v>1632</v>
      </c>
      <c r="D2670" s="21" t="s">
        <v>1977</v>
      </c>
      <c r="E2670" s="21">
        <v>3</v>
      </c>
      <c r="F2670" s="27" t="str">
        <f>Tabela12[[#This Row],[Régua]]&amp;" ("&amp;Tabela12[[#This Row],[Born]]&amp;")"</f>
        <v>TB-03 (3)</v>
      </c>
      <c r="G2670" s="27">
        <f>LEN(Tabela12[[#This Row],[Anilha]])</f>
        <v>9</v>
      </c>
      <c r="H2670" s="21">
        <f>VLOOKUP(Tabela12[[#This Row],[Tag Cabo]],BD!A:F,6,0)</f>
        <v>1</v>
      </c>
      <c r="I2670" s="27" t="s">
        <v>1705</v>
      </c>
      <c r="J2670" s="27" t="s">
        <v>1706</v>
      </c>
    </row>
    <row r="2671" spans="1:10" x14ac:dyDescent="0.25">
      <c r="A2671" s="216" t="s">
        <v>398</v>
      </c>
      <c r="B2671" s="45" t="str">
        <f>VLOOKUP(Tabela12[[#This Row],[Painel]],Tabela13[],2,0)</f>
        <v>30LV</v>
      </c>
      <c r="C2671" s="45" t="s">
        <v>1632</v>
      </c>
      <c r="D2671" s="21" t="s">
        <v>1977</v>
      </c>
      <c r="E2671" s="21">
        <v>6</v>
      </c>
      <c r="F2671" s="27" t="str">
        <f>Tabela12[[#This Row],[Régua]]&amp;" ("&amp;Tabela12[[#This Row],[Born]]&amp;")"</f>
        <v>TB-03 (6)</v>
      </c>
      <c r="G2671" s="27">
        <f>LEN(Tabela12[[#This Row],[Anilha]])</f>
        <v>9</v>
      </c>
      <c r="H2671" s="21">
        <f>VLOOKUP(Tabela12[[#This Row],[Tag Cabo]],BD!A:F,6,0)</f>
        <v>1</v>
      </c>
      <c r="I2671" s="27" t="s">
        <v>1705</v>
      </c>
      <c r="J2671" s="27" t="s">
        <v>1706</v>
      </c>
    </row>
    <row r="2672" spans="1:10" x14ac:dyDescent="0.25">
      <c r="A2672" s="216" t="s">
        <v>398</v>
      </c>
      <c r="B2672" s="45" t="str">
        <f>VLOOKUP(Tabela12[[#This Row],[Painel]],Tabela13[],2,0)</f>
        <v>30LV</v>
      </c>
      <c r="C2672" s="45" t="s">
        <v>1632</v>
      </c>
      <c r="D2672" s="21" t="s">
        <v>1977</v>
      </c>
      <c r="E2672" s="21">
        <v>7</v>
      </c>
      <c r="F2672" s="27" t="str">
        <f>Tabela12[[#This Row],[Régua]]&amp;" ("&amp;Tabela12[[#This Row],[Born]]&amp;")"</f>
        <v>TB-03 (7)</v>
      </c>
      <c r="G2672" s="27">
        <f>LEN(Tabela12[[#This Row],[Anilha]])</f>
        <v>9</v>
      </c>
      <c r="H2672" s="21">
        <f>VLOOKUP(Tabela12[[#This Row],[Tag Cabo]],BD!A:F,6,0)</f>
        <v>1</v>
      </c>
      <c r="I2672" s="27" t="s">
        <v>1705</v>
      </c>
      <c r="J2672" s="27" t="s">
        <v>1706</v>
      </c>
    </row>
    <row r="2673" spans="1:10" x14ac:dyDescent="0.25">
      <c r="A2673" s="216" t="s">
        <v>398</v>
      </c>
      <c r="B2673" s="45" t="str">
        <f>VLOOKUP(Tabela12[[#This Row],[Painel]],Tabela13[],2,0)</f>
        <v>30LV</v>
      </c>
      <c r="C2673" s="45" t="s">
        <v>1632</v>
      </c>
      <c r="D2673" s="21" t="s">
        <v>1977</v>
      </c>
      <c r="E2673" s="21">
        <v>8</v>
      </c>
      <c r="F2673" s="27" t="str">
        <f>Tabela12[[#This Row],[Régua]]&amp;" ("&amp;Tabela12[[#This Row],[Born]]&amp;")"</f>
        <v>TB-03 (8)</v>
      </c>
      <c r="G2673" s="27">
        <f>LEN(Tabela12[[#This Row],[Anilha]])</f>
        <v>9</v>
      </c>
      <c r="H2673" s="21">
        <f>VLOOKUP(Tabela12[[#This Row],[Tag Cabo]],BD!A:F,6,0)</f>
        <v>1</v>
      </c>
      <c r="I2673" s="27" t="s">
        <v>1705</v>
      </c>
      <c r="J2673" s="27" t="s">
        <v>1706</v>
      </c>
    </row>
    <row r="2674" spans="1:10" x14ac:dyDescent="0.25">
      <c r="A2674" s="216" t="s">
        <v>398</v>
      </c>
      <c r="B2674" s="45" t="str">
        <f>VLOOKUP(Tabela12[[#This Row],[Painel]],Tabela13[],2,0)</f>
        <v>30LV</v>
      </c>
      <c r="C2674" s="45" t="s">
        <v>1632</v>
      </c>
      <c r="D2674" s="21" t="s">
        <v>1977</v>
      </c>
      <c r="E2674" s="21">
        <v>11</v>
      </c>
      <c r="F2674" s="27" t="str">
        <f>Tabela12[[#This Row],[Régua]]&amp;" ("&amp;Tabela12[[#This Row],[Born]]&amp;")"</f>
        <v>TB-03 (11)</v>
      </c>
      <c r="G2674" s="27">
        <f>LEN(Tabela12[[#This Row],[Anilha]])</f>
        <v>10</v>
      </c>
      <c r="H2674" s="21">
        <f>VLOOKUP(Tabela12[[#This Row],[Tag Cabo]],BD!A:F,6,0)</f>
        <v>1</v>
      </c>
      <c r="I2674" s="27" t="s">
        <v>1705</v>
      </c>
      <c r="J2674" s="27" t="s">
        <v>1706</v>
      </c>
    </row>
    <row r="2675" spans="1:10" x14ac:dyDescent="0.25">
      <c r="A2675" s="216" t="s">
        <v>398</v>
      </c>
      <c r="B2675" s="45" t="str">
        <f>VLOOKUP(Tabela12[[#This Row],[Painel]],Tabela13[],2,0)</f>
        <v>30LV</v>
      </c>
      <c r="C2675" s="45" t="s">
        <v>1632</v>
      </c>
      <c r="D2675" s="21" t="s">
        <v>1977</v>
      </c>
      <c r="E2675" s="21">
        <v>12</v>
      </c>
      <c r="F2675" s="27" t="str">
        <f>Tabela12[[#This Row],[Régua]]&amp;" ("&amp;Tabela12[[#This Row],[Born]]&amp;")"</f>
        <v>TB-03 (12)</v>
      </c>
      <c r="G2675" s="27">
        <f>LEN(Tabela12[[#This Row],[Anilha]])</f>
        <v>10</v>
      </c>
      <c r="H2675" s="21">
        <f>VLOOKUP(Tabela12[[#This Row],[Tag Cabo]],BD!A:F,6,0)</f>
        <v>1</v>
      </c>
      <c r="I2675" s="27" t="s">
        <v>1705</v>
      </c>
      <c r="J2675" s="27" t="s">
        <v>1706</v>
      </c>
    </row>
    <row r="2676" spans="1:10" x14ac:dyDescent="0.25">
      <c r="A2676" s="21" t="s">
        <v>398</v>
      </c>
      <c r="B2676" s="391" t="str">
        <f>VLOOKUP(Tabela12[[#This Row],[Painel]],Tabela13[],2,0)</f>
        <v>30LV</v>
      </c>
      <c r="C2676" s="391" t="s">
        <v>1632</v>
      </c>
      <c r="D2676" s="21" t="s">
        <v>1977</v>
      </c>
      <c r="E2676" s="21">
        <v>13</v>
      </c>
      <c r="F2676" s="27" t="str">
        <f>Tabela12[[#This Row],[Régua]]&amp;" ("&amp;Tabela12[[#This Row],[Born]]&amp;")"</f>
        <v>TB-03 (13)</v>
      </c>
      <c r="G2676" s="27">
        <f>LEN(Tabela12[[#This Row],[Anilha]])</f>
        <v>10</v>
      </c>
      <c r="H2676" s="21">
        <f>VLOOKUP(Tabela12[[#This Row],[Tag Cabo]],BD!A:F,6,0)</f>
        <v>1</v>
      </c>
      <c r="I2676" s="27" t="s">
        <v>1705</v>
      </c>
      <c r="J2676" s="27" t="s">
        <v>1706</v>
      </c>
    </row>
    <row r="2677" spans="1:10" x14ac:dyDescent="0.25">
      <c r="A2677" s="216" t="s">
        <v>398</v>
      </c>
      <c r="B2677" s="45" t="str">
        <f>VLOOKUP(Tabela12[[#This Row],[Painel]],Tabela13[],2,0)</f>
        <v>30LV</v>
      </c>
      <c r="C2677" s="45" t="s">
        <v>1632</v>
      </c>
      <c r="D2677" s="21" t="s">
        <v>1977</v>
      </c>
      <c r="E2677" s="21">
        <v>16</v>
      </c>
      <c r="F2677" s="27" t="str">
        <f>Tabela12[[#This Row],[Régua]]&amp;" ("&amp;Tabela12[[#This Row],[Born]]&amp;")"</f>
        <v>TB-03 (16)</v>
      </c>
      <c r="G2677" s="27">
        <f>LEN(Tabela12[[#This Row],[Anilha]])</f>
        <v>10</v>
      </c>
      <c r="H2677" s="21">
        <f>VLOOKUP(Tabela12[[#This Row],[Tag Cabo]],BD!A:F,6,0)</f>
        <v>1</v>
      </c>
      <c r="I2677" s="27" t="s">
        <v>1705</v>
      </c>
      <c r="J2677" s="27" t="s">
        <v>1706</v>
      </c>
    </row>
    <row r="2678" spans="1:10" x14ac:dyDescent="0.25">
      <c r="A2678" s="21" t="s">
        <v>398</v>
      </c>
      <c r="B2678" s="391" t="str">
        <f>VLOOKUP(Tabela12[[#This Row],[Painel]],Tabela13[],2,0)</f>
        <v>30LV</v>
      </c>
      <c r="C2678" s="391" t="s">
        <v>1632</v>
      </c>
      <c r="D2678" s="21" t="s">
        <v>1977</v>
      </c>
      <c r="E2678" s="21">
        <v>17</v>
      </c>
      <c r="F2678" s="27" t="str">
        <f>Tabela12[[#This Row],[Régua]]&amp;" ("&amp;Tabela12[[#This Row],[Born]]&amp;")"</f>
        <v>TB-03 (17)</v>
      </c>
      <c r="G2678" s="27">
        <f>LEN(Tabela12[[#This Row],[Anilha]])</f>
        <v>10</v>
      </c>
      <c r="H2678" s="21">
        <f>VLOOKUP(Tabela12[[#This Row],[Tag Cabo]],BD!A:F,6,0)</f>
        <v>1</v>
      </c>
      <c r="I2678" s="27" t="s">
        <v>1705</v>
      </c>
      <c r="J2678" s="27" t="s">
        <v>1706</v>
      </c>
    </row>
    <row r="2679" spans="1:10" x14ac:dyDescent="0.25">
      <c r="A2679" s="216" t="s">
        <v>398</v>
      </c>
      <c r="B2679" s="45" t="str">
        <f>VLOOKUP(Tabela12[[#This Row],[Painel]],Tabela13[],2,0)</f>
        <v>30LV</v>
      </c>
      <c r="C2679" s="45" t="s">
        <v>1632</v>
      </c>
      <c r="D2679" s="21" t="s">
        <v>1977</v>
      </c>
      <c r="E2679" s="21">
        <v>18</v>
      </c>
      <c r="F2679" s="27" t="str">
        <f>Tabela12[[#This Row],[Régua]]&amp;" ("&amp;Tabela12[[#This Row],[Born]]&amp;")"</f>
        <v>TB-03 (18)</v>
      </c>
      <c r="G2679" s="27">
        <f>LEN(Tabela12[[#This Row],[Anilha]])</f>
        <v>10</v>
      </c>
      <c r="H2679" s="21">
        <f>VLOOKUP(Tabela12[[#This Row],[Tag Cabo]],BD!A:F,6,0)</f>
        <v>1</v>
      </c>
      <c r="I2679" s="27" t="s">
        <v>1705</v>
      </c>
      <c r="J2679" s="27" t="s">
        <v>1706</v>
      </c>
    </row>
    <row r="2680" spans="1:10" x14ac:dyDescent="0.25">
      <c r="A2680" s="216" t="s">
        <v>370</v>
      </c>
      <c r="B2680" s="45" t="str">
        <f>VLOOKUP(Tabela12[[#This Row],[Painel]],Tabela13[],2,0)</f>
        <v>GB-1203</v>
      </c>
      <c r="C2680" s="45" t="s">
        <v>371</v>
      </c>
      <c r="D2680" s="21" t="s">
        <v>371</v>
      </c>
      <c r="E2680" s="21">
        <v>1</v>
      </c>
      <c r="F2680" s="27" t="str">
        <f>Tabela12[[#This Row],[Régua]]&amp;"-"&amp;Tabela12[[#This Row],[Born]]</f>
        <v>JBI-120-107X-1</v>
      </c>
      <c r="G2680" s="27">
        <f>LEN(Tabela12[[#This Row],[Anilha]])</f>
        <v>14</v>
      </c>
      <c r="H2680" s="21">
        <f>VLOOKUP(Tabela12[[#This Row],[Tag Cabo]],BD!A:F,6,0)</f>
        <v>1</v>
      </c>
      <c r="I2680" s="27" t="s">
        <v>1705</v>
      </c>
      <c r="J2680" s="27" t="s">
        <v>1706</v>
      </c>
    </row>
    <row r="2681" spans="1:10" x14ac:dyDescent="0.25">
      <c r="A2681" s="216" t="s">
        <v>370</v>
      </c>
      <c r="B2681" s="45" t="str">
        <f>VLOOKUP(Tabela12[[#This Row],[Painel]],Tabela13[],2,0)</f>
        <v>GB-1203</v>
      </c>
      <c r="C2681" s="45" t="s">
        <v>371</v>
      </c>
      <c r="D2681" s="21" t="s">
        <v>371</v>
      </c>
      <c r="E2681" s="21">
        <v>2</v>
      </c>
      <c r="F2681" s="27" t="str">
        <f>Tabela12[[#This Row],[Régua]]&amp;"-"&amp;Tabela12[[#This Row],[Born]]</f>
        <v>JBI-120-107X-2</v>
      </c>
      <c r="G2681" s="27">
        <f>LEN(Tabela12[[#This Row],[Anilha]])</f>
        <v>14</v>
      </c>
      <c r="H2681" s="21">
        <f>VLOOKUP(Tabela12[[#This Row],[Tag Cabo]],BD!A:F,6,0)</f>
        <v>1</v>
      </c>
      <c r="I2681" s="27" t="s">
        <v>1705</v>
      </c>
      <c r="J2681" s="27" t="s">
        <v>1706</v>
      </c>
    </row>
    <row r="2682" spans="1:10" x14ac:dyDescent="0.25">
      <c r="A2682" s="216" t="s">
        <v>370</v>
      </c>
      <c r="B2682" s="45" t="str">
        <f>VLOOKUP(Tabela12[[#This Row],[Painel]],Tabela13[],2,0)</f>
        <v>GB-1203</v>
      </c>
      <c r="C2682" s="45" t="s">
        <v>371</v>
      </c>
      <c r="D2682" s="21" t="s">
        <v>371</v>
      </c>
      <c r="E2682" s="21">
        <v>3</v>
      </c>
      <c r="F2682" s="27" t="str">
        <f>Tabela12[[#This Row],[Régua]]&amp;"-"&amp;Tabela12[[#This Row],[Born]]</f>
        <v>JBI-120-107X-3</v>
      </c>
      <c r="G2682" s="27">
        <f>LEN(Tabela12[[#This Row],[Anilha]])</f>
        <v>14</v>
      </c>
      <c r="H2682" s="21">
        <f>VLOOKUP(Tabela12[[#This Row],[Tag Cabo]],BD!A:F,6,0)</f>
        <v>1</v>
      </c>
      <c r="I2682" s="27" t="s">
        <v>1705</v>
      </c>
      <c r="J2682" s="27" t="s">
        <v>1706</v>
      </c>
    </row>
    <row r="2683" spans="1:10" x14ac:dyDescent="0.25">
      <c r="A2683" s="216" t="s">
        <v>370</v>
      </c>
      <c r="B2683" s="45" t="str">
        <f>VLOOKUP(Tabela12[[#This Row],[Painel]],Tabela13[],2,0)</f>
        <v>GB-1203</v>
      </c>
      <c r="C2683" s="45" t="s">
        <v>371</v>
      </c>
      <c r="D2683" s="21" t="s">
        <v>371</v>
      </c>
      <c r="E2683" s="21">
        <v>4</v>
      </c>
      <c r="F2683" s="27" t="str">
        <f>Tabela12[[#This Row],[Régua]]&amp;"-"&amp;Tabela12[[#This Row],[Born]]</f>
        <v>JBI-120-107X-4</v>
      </c>
      <c r="G2683" s="27">
        <f>LEN(Tabela12[[#This Row],[Anilha]])</f>
        <v>14</v>
      </c>
      <c r="H2683" s="21">
        <f>VLOOKUP(Tabela12[[#This Row],[Tag Cabo]],BD!A:F,6,0)</f>
        <v>1</v>
      </c>
      <c r="I2683" s="27" t="s">
        <v>1705</v>
      </c>
      <c r="J2683" s="27" t="s">
        <v>1706</v>
      </c>
    </row>
    <row r="2684" spans="1:10" x14ac:dyDescent="0.25">
      <c r="A2684" s="216" t="s">
        <v>370</v>
      </c>
      <c r="B2684" s="45" t="str">
        <f>VLOOKUP(Tabela12[[#This Row],[Painel]],Tabela13[],2,0)</f>
        <v>GB-1203</v>
      </c>
      <c r="C2684" s="45" t="s">
        <v>371</v>
      </c>
      <c r="D2684" s="21" t="s">
        <v>371</v>
      </c>
      <c r="E2684" s="21">
        <v>5</v>
      </c>
      <c r="F2684" s="27" t="str">
        <f>Tabela12[[#This Row],[Régua]]&amp;"-"&amp;Tabela12[[#This Row],[Born]]</f>
        <v>JBI-120-107X-5</v>
      </c>
      <c r="G2684" s="27">
        <f>LEN(Tabela12[[#This Row],[Anilha]])</f>
        <v>14</v>
      </c>
      <c r="H2684" s="21">
        <f>VLOOKUP(Tabela12[[#This Row],[Tag Cabo]],BD!A:F,6,0)</f>
        <v>1</v>
      </c>
      <c r="I2684" s="27" t="s">
        <v>1705</v>
      </c>
      <c r="J2684" s="27" t="s">
        <v>1706</v>
      </c>
    </row>
    <row r="2685" spans="1:10" x14ac:dyDescent="0.25">
      <c r="A2685" s="216" t="s">
        <v>370</v>
      </c>
      <c r="B2685" s="45" t="str">
        <f>VLOOKUP(Tabela12[[#This Row],[Painel]],Tabela13[],2,0)</f>
        <v>GB-1203</v>
      </c>
      <c r="C2685" s="45" t="s">
        <v>371</v>
      </c>
      <c r="D2685" s="21" t="s">
        <v>371</v>
      </c>
      <c r="E2685" s="21">
        <v>8</v>
      </c>
      <c r="F2685" s="27" t="str">
        <f>Tabela12[[#This Row],[Régua]]&amp;"-"&amp;Tabela12[[#This Row],[Born]]</f>
        <v>JBI-120-107X-8</v>
      </c>
      <c r="G2685" s="27">
        <f>LEN(Tabela12[[#This Row],[Anilha]])</f>
        <v>14</v>
      </c>
      <c r="H2685" s="21">
        <f>VLOOKUP(Tabela12[[#This Row],[Tag Cabo]],BD!A:F,6,0)</f>
        <v>1</v>
      </c>
      <c r="I2685" s="27" t="s">
        <v>1705</v>
      </c>
      <c r="J2685" s="27" t="s">
        <v>1706</v>
      </c>
    </row>
    <row r="2686" spans="1:10" x14ac:dyDescent="0.25">
      <c r="A2686" s="216" t="s">
        <v>370</v>
      </c>
      <c r="B2686" s="45" t="str">
        <f>VLOOKUP(Tabela12[[#This Row],[Painel]],Tabela13[],2,0)</f>
        <v>30LV</v>
      </c>
      <c r="C2686" s="45" t="s">
        <v>1632</v>
      </c>
      <c r="D2686" s="21" t="s">
        <v>2046</v>
      </c>
      <c r="E2686" s="21">
        <v>1</v>
      </c>
      <c r="F2686" s="27" t="str">
        <f>Tabela12[[#This Row],[Régua]]&amp;" ("&amp;Tabela12[[#This Row],[Born]]&amp;")"</f>
        <v>TB-29 (1)</v>
      </c>
      <c r="G2686" s="27">
        <f>LEN(Tabela12[[#This Row],[Anilha]])</f>
        <v>9</v>
      </c>
      <c r="H2686" s="21">
        <f>VLOOKUP(Tabela12[[#This Row],[Tag Cabo]],BD!A:F,6,0)</f>
        <v>1</v>
      </c>
      <c r="I2686" s="27" t="s">
        <v>1705</v>
      </c>
      <c r="J2686" s="27" t="s">
        <v>1706</v>
      </c>
    </row>
    <row r="2687" spans="1:10" x14ac:dyDescent="0.25">
      <c r="A2687" s="216" t="s">
        <v>370</v>
      </c>
      <c r="B2687" s="45" t="str">
        <f>VLOOKUP(Tabela12[[#This Row],[Painel]],Tabela13[],2,0)</f>
        <v>30LV</v>
      </c>
      <c r="C2687" s="45" t="s">
        <v>1632</v>
      </c>
      <c r="D2687" s="21" t="s">
        <v>2046</v>
      </c>
      <c r="E2687" s="21">
        <v>2</v>
      </c>
      <c r="F2687" s="27" t="str">
        <f>Tabela12[[#This Row],[Régua]]&amp;" ("&amp;Tabela12[[#This Row],[Born]]&amp;")"</f>
        <v>TB-29 (2)</v>
      </c>
      <c r="G2687" s="27">
        <f>LEN(Tabela12[[#This Row],[Anilha]])</f>
        <v>9</v>
      </c>
      <c r="H2687" s="21">
        <f>VLOOKUP(Tabela12[[#This Row],[Tag Cabo]],BD!A:F,6,0)</f>
        <v>1</v>
      </c>
      <c r="I2687" s="27" t="s">
        <v>1705</v>
      </c>
      <c r="J2687" s="27" t="s">
        <v>1706</v>
      </c>
    </row>
    <row r="2688" spans="1:10" x14ac:dyDescent="0.25">
      <c r="A2688" s="216" t="s">
        <v>370</v>
      </c>
      <c r="B2688" s="45" t="str">
        <f>VLOOKUP(Tabela12[[#This Row],[Painel]],Tabela13[],2,0)</f>
        <v>30LV</v>
      </c>
      <c r="C2688" s="45" t="s">
        <v>1632</v>
      </c>
      <c r="D2688" s="21" t="s">
        <v>2046</v>
      </c>
      <c r="E2688" s="21">
        <v>4</v>
      </c>
      <c r="F2688" s="27" t="str">
        <f>Tabela12[[#This Row],[Régua]]&amp;" ("&amp;Tabela12[[#This Row],[Born]]&amp;")"</f>
        <v>TB-29 (4)</v>
      </c>
      <c r="G2688" s="27">
        <f>LEN(Tabela12[[#This Row],[Anilha]])</f>
        <v>9</v>
      </c>
      <c r="H2688" s="21">
        <f>VLOOKUP(Tabela12[[#This Row],[Tag Cabo]],BD!A:F,6,0)</f>
        <v>1</v>
      </c>
      <c r="I2688" s="27" t="s">
        <v>1705</v>
      </c>
      <c r="J2688" s="27" t="s">
        <v>1706</v>
      </c>
    </row>
    <row r="2689" spans="1:10" x14ac:dyDescent="0.25">
      <c r="A2689" s="216" t="s">
        <v>370</v>
      </c>
      <c r="B2689" s="45" t="str">
        <f>VLOOKUP(Tabela12[[#This Row],[Painel]],Tabela13[],2,0)</f>
        <v>30LV</v>
      </c>
      <c r="C2689" s="45" t="s">
        <v>1632</v>
      </c>
      <c r="D2689" s="21" t="s">
        <v>2046</v>
      </c>
      <c r="E2689" s="21">
        <v>5</v>
      </c>
      <c r="F2689" s="27" t="str">
        <f>Tabela12[[#This Row],[Régua]]&amp;" ("&amp;Tabela12[[#This Row],[Born]]&amp;")"</f>
        <v>TB-29 (5)</v>
      </c>
      <c r="G2689" s="27">
        <f>LEN(Tabela12[[#This Row],[Anilha]])</f>
        <v>9</v>
      </c>
      <c r="H2689" s="21">
        <f>VLOOKUP(Tabela12[[#This Row],[Tag Cabo]],BD!A:F,6,0)</f>
        <v>1</v>
      </c>
      <c r="I2689" s="27" t="s">
        <v>1705</v>
      </c>
      <c r="J2689" s="27" t="s">
        <v>1706</v>
      </c>
    </row>
    <row r="2690" spans="1:10" x14ac:dyDescent="0.25">
      <c r="A2690" s="216" t="s">
        <v>370</v>
      </c>
      <c r="B2690" s="45" t="str">
        <f>VLOOKUP(Tabela12[[#This Row],[Painel]],Tabela13[],2,0)</f>
        <v>30LV</v>
      </c>
      <c r="C2690" s="45" t="s">
        <v>1632</v>
      </c>
      <c r="D2690" s="21" t="s">
        <v>2046</v>
      </c>
      <c r="E2690" s="21">
        <v>7</v>
      </c>
      <c r="F2690" s="27" t="str">
        <f>Tabela12[[#This Row],[Régua]]&amp;" ("&amp;Tabela12[[#This Row],[Born]]&amp;")"</f>
        <v>TB-29 (7)</v>
      </c>
      <c r="G2690" s="27">
        <f>LEN(Tabela12[[#This Row],[Anilha]])</f>
        <v>9</v>
      </c>
      <c r="H2690" s="21">
        <f>VLOOKUP(Tabela12[[#This Row],[Tag Cabo]],BD!A:F,6,0)</f>
        <v>1</v>
      </c>
      <c r="I2690" s="27" t="s">
        <v>1705</v>
      </c>
      <c r="J2690" s="27" t="s">
        <v>1706</v>
      </c>
    </row>
    <row r="2691" spans="1:10" x14ac:dyDescent="0.25">
      <c r="A2691" s="216" t="s">
        <v>370</v>
      </c>
      <c r="B2691" s="45" t="str">
        <f>VLOOKUP(Tabela12[[#This Row],[Painel]],Tabela13[],2,0)</f>
        <v>30LV</v>
      </c>
      <c r="C2691" s="45" t="s">
        <v>1632</v>
      </c>
      <c r="D2691" s="21" t="s">
        <v>2046</v>
      </c>
      <c r="E2691" s="21">
        <v>8</v>
      </c>
      <c r="F2691" s="27" t="str">
        <f>Tabela12[[#This Row],[Régua]]&amp;" ("&amp;Tabela12[[#This Row],[Born]]&amp;")"</f>
        <v>TB-29 (8)</v>
      </c>
      <c r="G2691" s="27">
        <f>LEN(Tabela12[[#This Row],[Anilha]])</f>
        <v>9</v>
      </c>
      <c r="H2691" s="21">
        <f>VLOOKUP(Tabela12[[#This Row],[Tag Cabo]],BD!A:F,6,0)</f>
        <v>1</v>
      </c>
      <c r="I2691" s="27" t="s">
        <v>1705</v>
      </c>
      <c r="J2691" s="27" t="s">
        <v>1706</v>
      </c>
    </row>
    <row r="2692" spans="1:10" x14ac:dyDescent="0.25">
      <c r="A2692" s="216" t="s">
        <v>370</v>
      </c>
      <c r="B2692" s="45" t="str">
        <f>VLOOKUP(Tabela12[[#This Row],[Painel]],Tabela13[],2,0)</f>
        <v>30LV</v>
      </c>
      <c r="C2692" s="45" t="s">
        <v>1632</v>
      </c>
      <c r="D2692" s="21" t="s">
        <v>2046</v>
      </c>
      <c r="E2692" s="21">
        <v>10</v>
      </c>
      <c r="F2692" s="27" t="str">
        <f>Tabela12[[#This Row],[Régua]]&amp;" ("&amp;Tabela12[[#This Row],[Born]]&amp;")"</f>
        <v>TB-29 (10)</v>
      </c>
      <c r="G2692" s="27">
        <f>LEN(Tabela12[[#This Row],[Anilha]])</f>
        <v>10</v>
      </c>
      <c r="H2692" s="21">
        <f>VLOOKUP(Tabela12[[#This Row],[Tag Cabo]],BD!A:F,6,0)</f>
        <v>1</v>
      </c>
      <c r="I2692" s="27" t="s">
        <v>1705</v>
      </c>
      <c r="J2692" s="27" t="s">
        <v>1706</v>
      </c>
    </row>
    <row r="2693" spans="1:10" x14ac:dyDescent="0.25">
      <c r="A2693" s="216" t="s">
        <v>370</v>
      </c>
      <c r="B2693" s="45" t="str">
        <f>VLOOKUP(Tabela12[[#This Row],[Painel]],Tabela13[],2,0)</f>
        <v>30LV</v>
      </c>
      <c r="C2693" s="45" t="s">
        <v>1632</v>
      </c>
      <c r="D2693" s="21" t="s">
        <v>2046</v>
      </c>
      <c r="E2693" s="21">
        <v>11</v>
      </c>
      <c r="F2693" s="27" t="str">
        <f>Tabela12[[#This Row],[Régua]]&amp;" ("&amp;Tabela12[[#This Row],[Born]]&amp;")"</f>
        <v>TB-29 (11)</v>
      </c>
      <c r="G2693" s="27">
        <f>LEN(Tabela12[[#This Row],[Anilha]])</f>
        <v>10</v>
      </c>
      <c r="H2693" s="21">
        <f>VLOOKUP(Tabela12[[#This Row],[Tag Cabo]],BD!A:F,6,0)</f>
        <v>1</v>
      </c>
      <c r="I2693" s="27" t="s">
        <v>1705</v>
      </c>
      <c r="J2693" s="27" t="s">
        <v>1706</v>
      </c>
    </row>
    <row r="2694" spans="1:10" x14ac:dyDescent="0.25">
      <c r="A2694" s="216" t="s">
        <v>370</v>
      </c>
      <c r="B2694" s="45" t="str">
        <f>VLOOKUP(Tabela12[[#This Row],[Painel]],Tabela13[],2,0)</f>
        <v>30LV</v>
      </c>
      <c r="C2694" s="45" t="s">
        <v>1632</v>
      </c>
      <c r="D2694" s="21" t="s">
        <v>2046</v>
      </c>
      <c r="E2694" s="21">
        <v>13</v>
      </c>
      <c r="F2694" s="27" t="str">
        <f>Tabela12[[#This Row],[Régua]]&amp;" ("&amp;Tabela12[[#This Row],[Born]]&amp;")"</f>
        <v>TB-29 (13)</v>
      </c>
      <c r="G2694" s="27">
        <f>LEN(Tabela12[[#This Row],[Anilha]])</f>
        <v>10</v>
      </c>
      <c r="H2694" s="21">
        <f>VLOOKUP(Tabela12[[#This Row],[Tag Cabo]],BD!A:F,6,0)</f>
        <v>1</v>
      </c>
      <c r="I2694" s="27" t="s">
        <v>1705</v>
      </c>
      <c r="J2694" s="27" t="s">
        <v>1706</v>
      </c>
    </row>
    <row r="2695" spans="1:10" x14ac:dyDescent="0.25">
      <c r="A2695" s="216" t="s">
        <v>370</v>
      </c>
      <c r="B2695" s="45" t="str">
        <f>VLOOKUP(Tabela12[[#This Row],[Painel]],Tabela13[],2,0)</f>
        <v>30LV</v>
      </c>
      <c r="C2695" s="45" t="s">
        <v>1632</v>
      </c>
      <c r="D2695" s="21" t="s">
        <v>2046</v>
      </c>
      <c r="E2695" s="21">
        <v>14</v>
      </c>
      <c r="F2695" s="27" t="str">
        <f>Tabela12[[#This Row],[Régua]]&amp;" ("&amp;Tabela12[[#This Row],[Born]]&amp;")"</f>
        <v>TB-29 (14)</v>
      </c>
      <c r="G2695" s="27">
        <f>LEN(Tabela12[[#This Row],[Anilha]])</f>
        <v>10</v>
      </c>
      <c r="H2695" s="21">
        <f>VLOOKUP(Tabela12[[#This Row],[Tag Cabo]],BD!A:F,6,0)</f>
        <v>1</v>
      </c>
      <c r="I2695" s="27" t="s">
        <v>1705</v>
      </c>
      <c r="J2695" s="27" t="s">
        <v>1706</v>
      </c>
    </row>
    <row r="2696" spans="1:10" x14ac:dyDescent="0.25">
      <c r="A2696" s="21" t="s">
        <v>297</v>
      </c>
      <c r="B2696" s="322" t="str">
        <f>VLOOKUP(Tabela12[[#This Row],[Painel]],Tabela13[],2,0)</f>
        <v>1MV</v>
      </c>
      <c r="C2696" s="391" t="s">
        <v>196</v>
      </c>
      <c r="D2696" s="21" t="s">
        <v>2064</v>
      </c>
      <c r="E2696" s="21">
        <v>1</v>
      </c>
      <c r="F2696" s="27" t="str">
        <f>Tabela12[[#This Row],[Régua]]&amp;" ("&amp;Tabela12[[#This Row],[Born]]&amp;")"</f>
        <v>FIA-A (1)</v>
      </c>
      <c r="G2696" s="27">
        <f>LEN(Tabela12[[#This Row],[Anilha]])</f>
        <v>9</v>
      </c>
      <c r="H2696" s="27">
        <f>VLOOKUP(Tabela12[[#This Row],[Tag Cabo]],BD!A:F,6,0)</f>
        <v>1</v>
      </c>
      <c r="I2696" s="27"/>
      <c r="J2696" s="27"/>
    </row>
    <row r="2697" spans="1:10" x14ac:dyDescent="0.25">
      <c r="A2697" s="21" t="s">
        <v>297</v>
      </c>
      <c r="B2697" s="322" t="str">
        <f>VLOOKUP(Tabela12[[#This Row],[Painel]],Tabela13[],2,0)</f>
        <v>1MV</v>
      </c>
      <c r="C2697" s="391" t="s">
        <v>196</v>
      </c>
      <c r="D2697" s="21" t="s">
        <v>2064</v>
      </c>
      <c r="E2697" s="21">
        <v>2</v>
      </c>
      <c r="F2697" s="27" t="str">
        <f>Tabela12[[#This Row],[Régua]]&amp;" ("&amp;Tabela12[[#This Row],[Born]]&amp;")"</f>
        <v>FIA-A (2)</v>
      </c>
      <c r="G2697" s="27">
        <f>LEN(Tabela12[[#This Row],[Anilha]])</f>
        <v>9</v>
      </c>
      <c r="H2697" s="27">
        <f>VLOOKUP(Tabela12[[#This Row],[Tag Cabo]],BD!A:F,6,0)</f>
        <v>1</v>
      </c>
      <c r="I2697" s="27"/>
      <c r="J2697" s="27"/>
    </row>
    <row r="2698" spans="1:10" x14ac:dyDescent="0.25">
      <c r="A2698" s="21" t="s">
        <v>297</v>
      </c>
      <c r="B2698" s="322" t="str">
        <f>VLOOKUP(Tabela12[[#This Row],[Painel]],Tabela13[],2,0)</f>
        <v>1MV</v>
      </c>
      <c r="C2698" s="391" t="s">
        <v>196</v>
      </c>
      <c r="D2698" s="21" t="s">
        <v>2064</v>
      </c>
      <c r="E2698" s="21">
        <v>3</v>
      </c>
      <c r="F2698" s="27" t="str">
        <f>Tabela12[[#This Row],[Régua]]&amp;" ("&amp;Tabela12[[#This Row],[Born]]&amp;")"</f>
        <v>FIA-A (3)</v>
      </c>
      <c r="G2698" s="27">
        <f>LEN(Tabela12[[#This Row],[Anilha]])</f>
        <v>9</v>
      </c>
      <c r="H2698" s="27">
        <f>VLOOKUP(Tabela12[[#This Row],[Tag Cabo]],BD!A:F,6,0)</f>
        <v>1</v>
      </c>
      <c r="I2698" s="27"/>
      <c r="J2698" s="27"/>
    </row>
    <row r="2699" spans="1:10" x14ac:dyDescent="0.25">
      <c r="A2699" s="21" t="s">
        <v>297</v>
      </c>
      <c r="B2699" s="322" t="str">
        <f>VLOOKUP(Tabela12[[#This Row],[Painel]],Tabela13[],2,0)</f>
        <v>1MV</v>
      </c>
      <c r="C2699" s="391" t="s">
        <v>196</v>
      </c>
      <c r="D2699" s="21" t="s">
        <v>2064</v>
      </c>
      <c r="E2699" s="21">
        <v>4</v>
      </c>
      <c r="F2699" s="27" t="str">
        <f>Tabela12[[#This Row],[Régua]]&amp;" ("&amp;Tabela12[[#This Row],[Born]]&amp;")"</f>
        <v>FIA-A (4)</v>
      </c>
      <c r="G2699" s="27">
        <f>LEN(Tabela12[[#This Row],[Anilha]])</f>
        <v>9</v>
      </c>
      <c r="H2699" s="27">
        <f>VLOOKUP(Tabela12[[#This Row],[Tag Cabo]],BD!A:F,6,0)</f>
        <v>1</v>
      </c>
      <c r="I2699" s="27"/>
      <c r="J2699" s="27"/>
    </row>
    <row r="2700" spans="1:10" x14ac:dyDescent="0.25">
      <c r="A2700" s="21" t="s">
        <v>297</v>
      </c>
      <c r="B2700" s="322" t="str">
        <f>VLOOKUP(Tabela12[[#This Row],[Painel]],Tabela13[],2,0)</f>
        <v>1MV</v>
      </c>
      <c r="C2700" s="391" t="s">
        <v>196</v>
      </c>
      <c r="D2700" s="21" t="s">
        <v>2064</v>
      </c>
      <c r="E2700" s="21">
        <v>5</v>
      </c>
      <c r="F2700" s="27" t="str">
        <f>Tabela12[[#This Row],[Régua]]&amp;" ("&amp;Tabela12[[#This Row],[Born]]&amp;")"</f>
        <v>FIA-A (5)</v>
      </c>
      <c r="G2700" s="27">
        <f>LEN(Tabela12[[#This Row],[Anilha]])</f>
        <v>9</v>
      </c>
      <c r="H2700" s="27">
        <f>VLOOKUP(Tabela12[[#This Row],[Tag Cabo]],BD!A:F,6,0)</f>
        <v>1</v>
      </c>
      <c r="I2700" s="27"/>
      <c r="J2700" s="27"/>
    </row>
    <row r="2701" spans="1:10" x14ac:dyDescent="0.25">
      <c r="A2701" s="21" t="s">
        <v>297</v>
      </c>
      <c r="B2701" s="322" t="str">
        <f>VLOOKUP(Tabela12[[#This Row],[Painel]],Tabela13[],2,0)</f>
        <v>1MV</v>
      </c>
      <c r="C2701" s="391" t="s">
        <v>196</v>
      </c>
      <c r="D2701" s="21" t="s">
        <v>2064</v>
      </c>
      <c r="E2701" s="21">
        <v>6</v>
      </c>
      <c r="F2701" s="27" t="str">
        <f>Tabela12[[#This Row],[Régua]]&amp;" ("&amp;Tabela12[[#This Row],[Born]]&amp;")"</f>
        <v>FIA-A (6)</v>
      </c>
      <c r="G2701" s="27">
        <f>LEN(Tabela12[[#This Row],[Anilha]])</f>
        <v>9</v>
      </c>
      <c r="H2701" s="27">
        <f>VLOOKUP(Tabela12[[#This Row],[Tag Cabo]],BD!A:F,6,0)</f>
        <v>1</v>
      </c>
      <c r="I2701" s="27"/>
      <c r="J2701" s="27"/>
    </row>
    <row r="2702" spans="1:10" x14ac:dyDescent="0.25">
      <c r="A2702" s="21" t="s">
        <v>297</v>
      </c>
      <c r="B2702" s="322" t="str">
        <f>VLOOKUP(Tabela12[[#This Row],[Painel]],Tabela13[],2,0)</f>
        <v>1MV</v>
      </c>
      <c r="C2702" s="391" t="s">
        <v>196</v>
      </c>
      <c r="D2702" s="21" t="s">
        <v>2064</v>
      </c>
      <c r="E2702" s="21">
        <v>7</v>
      </c>
      <c r="F2702" s="27" t="str">
        <f>Tabela12[[#This Row],[Régua]]&amp;" ("&amp;Tabela12[[#This Row],[Born]]&amp;")"</f>
        <v>FIA-A (7)</v>
      </c>
      <c r="G2702" s="27">
        <f>LEN(Tabela12[[#This Row],[Anilha]])</f>
        <v>9</v>
      </c>
      <c r="H2702" s="27">
        <f>VLOOKUP(Tabela12[[#This Row],[Tag Cabo]],BD!A:F,6,0)</f>
        <v>1</v>
      </c>
      <c r="I2702" s="27"/>
      <c r="J2702" s="27"/>
    </row>
    <row r="2703" spans="1:10" x14ac:dyDescent="0.25">
      <c r="A2703" s="21" t="s">
        <v>297</v>
      </c>
      <c r="B2703" s="322" t="str">
        <f>VLOOKUP(Tabela12[[#This Row],[Painel]],Tabela13[],2,0)</f>
        <v>1MV</v>
      </c>
      <c r="C2703" s="391" t="s">
        <v>196</v>
      </c>
      <c r="D2703" s="21" t="s">
        <v>2064</v>
      </c>
      <c r="E2703" s="21">
        <v>8</v>
      </c>
      <c r="F2703" s="27" t="str">
        <f>Tabela12[[#This Row],[Régua]]&amp;" ("&amp;Tabela12[[#This Row],[Born]]&amp;")"</f>
        <v>FIA-A (8)</v>
      </c>
      <c r="G2703" s="27">
        <f>LEN(Tabela12[[#This Row],[Anilha]])</f>
        <v>9</v>
      </c>
      <c r="H2703" s="27">
        <f>VLOOKUP(Tabela12[[#This Row],[Tag Cabo]],BD!A:F,6,0)</f>
        <v>1</v>
      </c>
      <c r="I2703" s="27"/>
      <c r="J2703" s="27"/>
    </row>
    <row r="2704" spans="1:10" x14ac:dyDescent="0.25">
      <c r="A2704" s="21" t="s">
        <v>297</v>
      </c>
      <c r="B2704" s="322" t="str">
        <f>VLOOKUP(Tabela12[[#This Row],[Painel]],Tabela13[],2,0)</f>
        <v>1MV</v>
      </c>
      <c r="C2704" s="391" t="s">
        <v>196</v>
      </c>
      <c r="D2704" s="21" t="s">
        <v>2064</v>
      </c>
      <c r="E2704" s="21">
        <v>9</v>
      </c>
      <c r="F2704" s="27" t="str">
        <f>Tabela12[[#This Row],[Régua]]&amp;" ("&amp;Tabela12[[#This Row],[Born]]&amp;")"</f>
        <v>FIA-A (9)</v>
      </c>
      <c r="G2704" s="27">
        <f>LEN(Tabela12[[#This Row],[Anilha]])</f>
        <v>9</v>
      </c>
      <c r="H2704" s="27">
        <f>VLOOKUP(Tabela12[[#This Row],[Tag Cabo]],BD!A:F,6,0)</f>
        <v>1</v>
      </c>
      <c r="I2704" s="27"/>
      <c r="J2704" s="27"/>
    </row>
    <row r="2705" spans="1:10" x14ac:dyDescent="0.25">
      <c r="A2705" s="21" t="s">
        <v>297</v>
      </c>
      <c r="B2705" s="322" t="str">
        <f>VLOOKUP(Tabela12[[#This Row],[Painel]],Tabela13[],2,0)</f>
        <v>1MV</v>
      </c>
      <c r="C2705" s="391" t="s">
        <v>196</v>
      </c>
      <c r="D2705" s="21" t="s">
        <v>2064</v>
      </c>
      <c r="E2705" s="21">
        <v>10</v>
      </c>
      <c r="F2705" s="27" t="str">
        <f>Tabela12[[#This Row],[Régua]]&amp;" ("&amp;Tabela12[[#This Row],[Born]]&amp;")"</f>
        <v>FIA-A (10)</v>
      </c>
      <c r="G2705" s="27">
        <f>LEN(Tabela12[[#This Row],[Anilha]])</f>
        <v>10</v>
      </c>
      <c r="H2705" s="27">
        <f>VLOOKUP(Tabela12[[#This Row],[Tag Cabo]],BD!A:F,6,0)</f>
        <v>1</v>
      </c>
      <c r="I2705" s="27"/>
      <c r="J2705" s="27"/>
    </row>
    <row r="2706" spans="1:10" x14ac:dyDescent="0.25">
      <c r="A2706" s="21" t="s">
        <v>297</v>
      </c>
      <c r="B2706" s="322" t="str">
        <f>VLOOKUP(Tabela12[[#This Row],[Painel]],Tabela13[],2,0)</f>
        <v>1MV</v>
      </c>
      <c r="C2706" s="391" t="s">
        <v>196</v>
      </c>
      <c r="D2706" s="21" t="s">
        <v>2064</v>
      </c>
      <c r="E2706" s="21">
        <v>11</v>
      </c>
      <c r="F2706" s="27" t="str">
        <f>Tabela12[[#This Row],[Régua]]&amp;" ("&amp;Tabela12[[#This Row],[Born]]&amp;")"</f>
        <v>FIA-A (11)</v>
      </c>
      <c r="G2706" s="27">
        <f>LEN(Tabela12[[#This Row],[Anilha]])</f>
        <v>10</v>
      </c>
      <c r="H2706" s="27">
        <f>VLOOKUP(Tabela12[[#This Row],[Tag Cabo]],BD!A:F,6,0)</f>
        <v>1</v>
      </c>
      <c r="I2706" s="27"/>
      <c r="J2706" s="27"/>
    </row>
    <row r="2707" spans="1:10" x14ac:dyDescent="0.25">
      <c r="A2707" s="21" t="s">
        <v>297</v>
      </c>
      <c r="B2707" s="322" t="str">
        <f>VLOOKUP(Tabela12[[#This Row],[Painel]],Tabela13[],2,0)</f>
        <v>1MV</v>
      </c>
      <c r="C2707" s="391" t="s">
        <v>196</v>
      </c>
      <c r="D2707" s="21" t="s">
        <v>2064</v>
      </c>
      <c r="E2707" s="21">
        <v>12</v>
      </c>
      <c r="F2707" s="27" t="str">
        <f>Tabela12[[#This Row],[Régua]]&amp;" ("&amp;Tabela12[[#This Row],[Born]]&amp;")"</f>
        <v>FIA-A (12)</v>
      </c>
      <c r="G2707" s="27">
        <f>LEN(Tabela12[[#This Row],[Anilha]])</f>
        <v>10</v>
      </c>
      <c r="H2707" s="27">
        <f>VLOOKUP(Tabela12[[#This Row],[Tag Cabo]],BD!A:F,6,0)</f>
        <v>1</v>
      </c>
      <c r="I2707" s="27"/>
      <c r="J2707" s="27"/>
    </row>
    <row r="2708" spans="1:10" x14ac:dyDescent="0.25">
      <c r="A2708" s="21" t="s">
        <v>297</v>
      </c>
      <c r="B2708" s="322" t="str">
        <f>VLOOKUP(Tabela12[[#This Row],[Painel]],Tabela13[],2,0)</f>
        <v>1MV</v>
      </c>
      <c r="C2708" s="391" t="s">
        <v>196</v>
      </c>
      <c r="D2708" s="21" t="s">
        <v>2065</v>
      </c>
      <c r="E2708" s="21">
        <v>1</v>
      </c>
      <c r="F2708" s="27" t="str">
        <f>Tabela12[[#This Row],[Régua]]&amp;" ("&amp;Tabela12[[#This Row],[Born]]&amp;")"</f>
        <v>FIA-B (1)</v>
      </c>
      <c r="G2708" s="27">
        <f>LEN(Tabela12[[#This Row],[Anilha]])</f>
        <v>9</v>
      </c>
      <c r="H2708" s="27">
        <f>VLOOKUP(Tabela12[[#This Row],[Tag Cabo]],BD!A:F,6,0)</f>
        <v>1</v>
      </c>
      <c r="I2708" s="27"/>
      <c r="J2708" s="27"/>
    </row>
    <row r="2709" spans="1:10" x14ac:dyDescent="0.25">
      <c r="A2709" s="21" t="s">
        <v>297</v>
      </c>
      <c r="B2709" s="322" t="str">
        <f>VLOOKUP(Tabela12[[#This Row],[Painel]],Tabela13[],2,0)</f>
        <v>1MV</v>
      </c>
      <c r="C2709" s="391" t="s">
        <v>196</v>
      </c>
      <c r="D2709" s="21" t="s">
        <v>2065</v>
      </c>
      <c r="E2709" s="21">
        <v>2</v>
      </c>
      <c r="F2709" s="27" t="str">
        <f>Tabela12[[#This Row],[Régua]]&amp;" ("&amp;Tabela12[[#This Row],[Born]]&amp;")"</f>
        <v>FIA-B (2)</v>
      </c>
      <c r="G2709" s="27">
        <f>LEN(Tabela12[[#This Row],[Anilha]])</f>
        <v>9</v>
      </c>
      <c r="H2709" s="27">
        <f>VLOOKUP(Tabela12[[#This Row],[Tag Cabo]],BD!A:F,6,0)</f>
        <v>1</v>
      </c>
      <c r="I2709" s="27"/>
      <c r="J2709" s="27"/>
    </row>
    <row r="2710" spans="1:10" x14ac:dyDescent="0.25">
      <c r="A2710" s="21" t="s">
        <v>297</v>
      </c>
      <c r="B2710" s="322" t="str">
        <f>VLOOKUP(Tabela12[[#This Row],[Painel]],Tabela13[],2,0)</f>
        <v>1MV</v>
      </c>
      <c r="C2710" s="391" t="s">
        <v>196</v>
      </c>
      <c r="D2710" s="21" t="s">
        <v>2065</v>
      </c>
      <c r="E2710" s="21">
        <v>3</v>
      </c>
      <c r="F2710" s="27" t="str">
        <f>Tabela12[[#This Row],[Régua]]&amp;" ("&amp;Tabela12[[#This Row],[Born]]&amp;")"</f>
        <v>FIA-B (3)</v>
      </c>
      <c r="G2710" s="27">
        <f>LEN(Tabela12[[#This Row],[Anilha]])</f>
        <v>9</v>
      </c>
      <c r="H2710" s="27">
        <f>VLOOKUP(Tabela12[[#This Row],[Tag Cabo]],BD!A:F,6,0)</f>
        <v>1</v>
      </c>
      <c r="I2710" s="27"/>
      <c r="J2710" s="27"/>
    </row>
    <row r="2711" spans="1:10" x14ac:dyDescent="0.25">
      <c r="A2711" s="21" t="s">
        <v>297</v>
      </c>
      <c r="B2711" s="322" t="str">
        <f>VLOOKUP(Tabela12[[#This Row],[Painel]],Tabela13[],2,0)</f>
        <v>1MV</v>
      </c>
      <c r="C2711" s="391" t="s">
        <v>196</v>
      </c>
      <c r="D2711" s="21" t="s">
        <v>2065</v>
      </c>
      <c r="E2711" s="21">
        <v>4</v>
      </c>
      <c r="F2711" s="27" t="str">
        <f>Tabela12[[#This Row],[Régua]]&amp;" ("&amp;Tabela12[[#This Row],[Born]]&amp;")"</f>
        <v>FIA-B (4)</v>
      </c>
      <c r="G2711" s="27">
        <f>LEN(Tabela12[[#This Row],[Anilha]])</f>
        <v>9</v>
      </c>
      <c r="H2711" s="27">
        <f>VLOOKUP(Tabela12[[#This Row],[Tag Cabo]],BD!A:F,6,0)</f>
        <v>1</v>
      </c>
      <c r="I2711" s="27"/>
      <c r="J2711" s="27"/>
    </row>
    <row r="2712" spans="1:10" x14ac:dyDescent="0.25">
      <c r="A2712" s="21" t="s">
        <v>297</v>
      </c>
      <c r="B2712" s="322" t="str">
        <f>VLOOKUP(Tabela12[[#This Row],[Painel]],Tabela13[],2,0)</f>
        <v>1MV</v>
      </c>
      <c r="C2712" s="391" t="s">
        <v>196</v>
      </c>
      <c r="D2712" s="21" t="s">
        <v>2065</v>
      </c>
      <c r="E2712" s="21">
        <v>5</v>
      </c>
      <c r="F2712" s="27" t="str">
        <f>Tabela12[[#This Row],[Régua]]&amp;" ("&amp;Tabela12[[#This Row],[Born]]&amp;")"</f>
        <v>FIA-B (5)</v>
      </c>
      <c r="G2712" s="27">
        <f>LEN(Tabela12[[#This Row],[Anilha]])</f>
        <v>9</v>
      </c>
      <c r="H2712" s="27">
        <f>VLOOKUP(Tabela12[[#This Row],[Tag Cabo]],BD!A:F,6,0)</f>
        <v>1</v>
      </c>
      <c r="I2712" s="27"/>
      <c r="J2712" s="27"/>
    </row>
    <row r="2713" spans="1:10" x14ac:dyDescent="0.25">
      <c r="A2713" s="21" t="s">
        <v>297</v>
      </c>
      <c r="B2713" s="322" t="str">
        <f>VLOOKUP(Tabela12[[#This Row],[Painel]],Tabela13[],2,0)</f>
        <v>1MV</v>
      </c>
      <c r="C2713" s="391" t="s">
        <v>196</v>
      </c>
      <c r="D2713" s="21" t="s">
        <v>2065</v>
      </c>
      <c r="E2713" s="21">
        <v>6</v>
      </c>
      <c r="F2713" s="27" t="str">
        <f>Tabela12[[#This Row],[Régua]]&amp;" ("&amp;Tabela12[[#This Row],[Born]]&amp;")"</f>
        <v>FIA-B (6)</v>
      </c>
      <c r="G2713" s="27">
        <f>LEN(Tabela12[[#This Row],[Anilha]])</f>
        <v>9</v>
      </c>
      <c r="H2713" s="27">
        <f>VLOOKUP(Tabela12[[#This Row],[Tag Cabo]],BD!A:F,6,0)</f>
        <v>1</v>
      </c>
      <c r="I2713" s="27"/>
      <c r="J2713" s="27"/>
    </row>
    <row r="2714" spans="1:10" x14ac:dyDescent="0.25">
      <c r="A2714" s="21" t="s">
        <v>297</v>
      </c>
      <c r="B2714" s="322" t="str">
        <f>VLOOKUP(Tabela12[[#This Row],[Painel]],Tabela13[],2,0)</f>
        <v>1MV</v>
      </c>
      <c r="C2714" s="391" t="s">
        <v>196</v>
      </c>
      <c r="D2714" s="21" t="s">
        <v>2065</v>
      </c>
      <c r="E2714" s="21">
        <v>7</v>
      </c>
      <c r="F2714" s="27" t="str">
        <f>Tabela12[[#This Row],[Régua]]&amp;" ("&amp;Tabela12[[#This Row],[Born]]&amp;")"</f>
        <v>FIA-B (7)</v>
      </c>
      <c r="G2714" s="27">
        <f>LEN(Tabela12[[#This Row],[Anilha]])</f>
        <v>9</v>
      </c>
      <c r="H2714" s="27">
        <f>VLOOKUP(Tabela12[[#This Row],[Tag Cabo]],BD!A:F,6,0)</f>
        <v>1</v>
      </c>
      <c r="I2714" s="27"/>
      <c r="J2714" s="27"/>
    </row>
    <row r="2715" spans="1:10" x14ac:dyDescent="0.25">
      <c r="A2715" s="21" t="s">
        <v>297</v>
      </c>
      <c r="B2715" s="322" t="str">
        <f>VLOOKUP(Tabela12[[#This Row],[Painel]],Tabela13[],2,0)</f>
        <v>1MV</v>
      </c>
      <c r="C2715" s="391" t="s">
        <v>196</v>
      </c>
      <c r="D2715" s="21" t="s">
        <v>2065</v>
      </c>
      <c r="E2715" s="21">
        <v>8</v>
      </c>
      <c r="F2715" s="27" t="str">
        <f>Tabela12[[#This Row],[Régua]]&amp;" ("&amp;Tabela12[[#This Row],[Born]]&amp;")"</f>
        <v>FIA-B (8)</v>
      </c>
      <c r="G2715" s="27">
        <f>LEN(Tabela12[[#This Row],[Anilha]])</f>
        <v>9</v>
      </c>
      <c r="H2715" s="27">
        <f>VLOOKUP(Tabela12[[#This Row],[Tag Cabo]],BD!A:F,6,0)</f>
        <v>1</v>
      </c>
      <c r="I2715" s="27"/>
      <c r="J2715" s="27"/>
    </row>
    <row r="2716" spans="1:10" x14ac:dyDescent="0.25">
      <c r="A2716" s="21" t="s">
        <v>297</v>
      </c>
      <c r="B2716" s="322" t="str">
        <f>VLOOKUP(Tabela12[[#This Row],[Painel]],Tabela13[],2,0)</f>
        <v>1MV</v>
      </c>
      <c r="C2716" s="391" t="s">
        <v>196</v>
      </c>
      <c r="D2716" s="21" t="s">
        <v>2065</v>
      </c>
      <c r="E2716" s="21">
        <v>9</v>
      </c>
      <c r="F2716" s="27" t="str">
        <f>Tabela12[[#This Row],[Régua]]&amp;" ("&amp;Tabela12[[#This Row],[Born]]&amp;")"</f>
        <v>FIA-B (9)</v>
      </c>
      <c r="G2716" s="27">
        <f>LEN(Tabela12[[#This Row],[Anilha]])</f>
        <v>9</v>
      </c>
      <c r="H2716" s="27">
        <f>VLOOKUP(Tabela12[[#This Row],[Tag Cabo]],BD!A:F,6,0)</f>
        <v>1</v>
      </c>
      <c r="I2716" s="27"/>
      <c r="J2716" s="27"/>
    </row>
    <row r="2717" spans="1:10" x14ac:dyDescent="0.25">
      <c r="A2717" s="21" t="s">
        <v>297</v>
      </c>
      <c r="B2717" s="322" t="str">
        <f>VLOOKUP(Tabela12[[#This Row],[Painel]],Tabela13[],2,0)</f>
        <v>1MV</v>
      </c>
      <c r="C2717" s="391" t="s">
        <v>196</v>
      </c>
      <c r="D2717" s="21" t="s">
        <v>2065</v>
      </c>
      <c r="E2717" s="21">
        <v>10</v>
      </c>
      <c r="F2717" s="27" t="str">
        <f>Tabela12[[#This Row],[Régua]]&amp;" ("&amp;Tabela12[[#This Row],[Born]]&amp;")"</f>
        <v>FIA-B (10)</v>
      </c>
      <c r="G2717" s="27">
        <f>LEN(Tabela12[[#This Row],[Anilha]])</f>
        <v>10</v>
      </c>
      <c r="H2717" s="27">
        <f>VLOOKUP(Tabela12[[#This Row],[Tag Cabo]],BD!A:F,6,0)</f>
        <v>1</v>
      </c>
      <c r="I2717" s="27"/>
      <c r="J2717" s="27"/>
    </row>
    <row r="2718" spans="1:10" x14ac:dyDescent="0.25">
      <c r="A2718" s="21" t="s">
        <v>297</v>
      </c>
      <c r="B2718" s="322" t="str">
        <f>VLOOKUP(Tabela12[[#This Row],[Painel]],Tabela13[],2,0)</f>
        <v>1MV</v>
      </c>
      <c r="C2718" s="391" t="s">
        <v>196</v>
      </c>
      <c r="D2718" s="21" t="s">
        <v>2065</v>
      </c>
      <c r="E2718" s="21">
        <v>11</v>
      </c>
      <c r="F2718" s="27" t="str">
        <f>Tabela12[[#This Row],[Régua]]&amp;" ("&amp;Tabela12[[#This Row],[Born]]&amp;")"</f>
        <v>FIA-B (11)</v>
      </c>
      <c r="G2718" s="27">
        <f>LEN(Tabela12[[#This Row],[Anilha]])</f>
        <v>10</v>
      </c>
      <c r="H2718" s="27">
        <f>VLOOKUP(Tabela12[[#This Row],[Tag Cabo]],BD!A:F,6,0)</f>
        <v>1</v>
      </c>
      <c r="I2718" s="27"/>
      <c r="J2718" s="27"/>
    </row>
    <row r="2719" spans="1:10" x14ac:dyDescent="0.25">
      <c r="A2719" s="21" t="s">
        <v>297</v>
      </c>
      <c r="B2719" s="322" t="str">
        <f>VLOOKUP(Tabela12[[#This Row],[Painel]],Tabela13[],2,0)</f>
        <v>1MV</v>
      </c>
      <c r="C2719" s="391" t="s">
        <v>196</v>
      </c>
      <c r="D2719" s="21" t="s">
        <v>2065</v>
      </c>
      <c r="E2719" s="21">
        <v>12</v>
      </c>
      <c r="F2719" s="27" t="str">
        <f>Tabela12[[#This Row],[Régua]]&amp;" ("&amp;Tabela12[[#This Row],[Born]]&amp;")"</f>
        <v>FIA-B (12)</v>
      </c>
      <c r="G2719" s="27">
        <f>LEN(Tabela12[[#This Row],[Anilha]])</f>
        <v>10</v>
      </c>
      <c r="H2719" s="27">
        <f>VLOOKUP(Tabela12[[#This Row],[Tag Cabo]],BD!A:F,6,0)</f>
        <v>1</v>
      </c>
      <c r="I2719" s="27"/>
      <c r="J2719" s="27"/>
    </row>
    <row r="2720" spans="1:10" x14ac:dyDescent="0.25">
      <c r="A2720" s="21" t="s">
        <v>297</v>
      </c>
      <c r="B2720" s="322" t="str">
        <f>VLOOKUP(Tabela12[[#This Row],[Painel]],Tabela13[],2,0)</f>
        <v>GB-967A/B</v>
      </c>
      <c r="C2720" s="391" t="s">
        <v>1540</v>
      </c>
      <c r="D2720" s="21" t="s">
        <v>1754</v>
      </c>
      <c r="E2720" s="21">
        <v>1</v>
      </c>
      <c r="F2720" s="27" t="str">
        <f>Tabela12[[#This Row],[Régua]]&amp;" ("&amp;Tabela12[[#This Row],[Born]]&amp;")"</f>
        <v>TS1 (1)</v>
      </c>
      <c r="G2720" s="27">
        <f>LEN(Tabela12[[#This Row],[Anilha]])</f>
        <v>7</v>
      </c>
      <c r="H2720" s="27">
        <f>VLOOKUP(Tabela12[[#This Row],[Tag Cabo]],BD!A:F,6,0)</f>
        <v>1</v>
      </c>
      <c r="I2720" s="27"/>
      <c r="J2720" s="27"/>
    </row>
    <row r="2721" spans="1:10" x14ac:dyDescent="0.25">
      <c r="A2721" s="21" t="s">
        <v>297</v>
      </c>
      <c r="B2721" s="322" t="str">
        <f>VLOOKUP(Tabela12[[#This Row],[Painel]],Tabela13[],2,0)</f>
        <v>GB-967A/B</v>
      </c>
      <c r="C2721" s="391" t="s">
        <v>1540</v>
      </c>
      <c r="D2721" s="21" t="s">
        <v>1754</v>
      </c>
      <c r="E2721" s="21">
        <v>2</v>
      </c>
      <c r="F2721" s="27" t="str">
        <f>Tabela12[[#This Row],[Régua]]&amp;" ("&amp;Tabela12[[#This Row],[Born]]&amp;")"</f>
        <v>TS1 (2)</v>
      </c>
      <c r="G2721" s="27">
        <f>LEN(Tabela12[[#This Row],[Anilha]])</f>
        <v>7</v>
      </c>
      <c r="H2721" s="27">
        <f>VLOOKUP(Tabela12[[#This Row],[Tag Cabo]],BD!A:F,6,0)</f>
        <v>1</v>
      </c>
      <c r="I2721" s="27"/>
      <c r="J2721" s="27"/>
    </row>
    <row r="2722" spans="1:10" x14ac:dyDescent="0.25">
      <c r="A2722" s="21" t="s">
        <v>297</v>
      </c>
      <c r="B2722" s="322" t="str">
        <f>VLOOKUP(Tabela12[[#This Row],[Painel]],Tabela13[],2,0)</f>
        <v>GB-967A/B</v>
      </c>
      <c r="C2722" s="391" t="s">
        <v>1540</v>
      </c>
      <c r="D2722" s="21" t="s">
        <v>1754</v>
      </c>
      <c r="E2722" s="21">
        <v>3</v>
      </c>
      <c r="F2722" s="27" t="str">
        <f>Tabela12[[#This Row],[Régua]]&amp;" ("&amp;Tabela12[[#This Row],[Born]]&amp;")"</f>
        <v>TS1 (3)</v>
      </c>
      <c r="G2722" s="27">
        <f>LEN(Tabela12[[#This Row],[Anilha]])</f>
        <v>7</v>
      </c>
      <c r="H2722" s="27">
        <f>VLOOKUP(Tabela12[[#This Row],[Tag Cabo]],BD!A:F,6,0)</f>
        <v>1</v>
      </c>
      <c r="I2722" s="27"/>
      <c r="J2722" s="27"/>
    </row>
    <row r="2723" spans="1:10" x14ac:dyDescent="0.25">
      <c r="A2723" s="21" t="s">
        <v>297</v>
      </c>
      <c r="B2723" s="322" t="str">
        <f>VLOOKUP(Tabela12[[#This Row],[Painel]],Tabela13[],2,0)</f>
        <v>GB-967A/B</v>
      </c>
      <c r="C2723" s="391" t="s">
        <v>1540</v>
      </c>
      <c r="D2723" s="21" t="s">
        <v>1754</v>
      </c>
      <c r="E2723" s="21">
        <v>4</v>
      </c>
      <c r="F2723" s="27" t="str">
        <f>Tabela12[[#This Row],[Régua]]&amp;" ("&amp;Tabela12[[#This Row],[Born]]&amp;")"</f>
        <v>TS1 (4)</v>
      </c>
      <c r="G2723" s="27">
        <f>LEN(Tabela12[[#This Row],[Anilha]])</f>
        <v>7</v>
      </c>
      <c r="H2723" s="27">
        <f>VLOOKUP(Tabela12[[#This Row],[Tag Cabo]],BD!A:F,6,0)</f>
        <v>1</v>
      </c>
      <c r="I2723" s="27"/>
      <c r="J2723" s="27"/>
    </row>
    <row r="2724" spans="1:10" x14ac:dyDescent="0.25">
      <c r="A2724" s="21" t="s">
        <v>297</v>
      </c>
      <c r="B2724" s="322" t="str">
        <f>VLOOKUP(Tabela12[[#This Row],[Painel]],Tabela13[],2,0)</f>
        <v>GB-967A/B</v>
      </c>
      <c r="C2724" s="391" t="s">
        <v>1540</v>
      </c>
      <c r="D2724" s="21" t="s">
        <v>1754</v>
      </c>
      <c r="E2724" s="21">
        <v>5</v>
      </c>
      <c r="F2724" s="27" t="str">
        <f>Tabela12[[#This Row],[Régua]]&amp;" ("&amp;Tabela12[[#This Row],[Born]]&amp;")"</f>
        <v>TS1 (5)</v>
      </c>
      <c r="G2724" s="27">
        <f>LEN(Tabela12[[#This Row],[Anilha]])</f>
        <v>7</v>
      </c>
      <c r="H2724" s="27">
        <f>VLOOKUP(Tabela12[[#This Row],[Tag Cabo]],BD!A:F,6,0)</f>
        <v>1</v>
      </c>
      <c r="I2724" s="27"/>
      <c r="J2724" s="27"/>
    </row>
    <row r="2725" spans="1:10" x14ac:dyDescent="0.25">
      <c r="A2725" s="21" t="s">
        <v>297</v>
      </c>
      <c r="B2725" s="322" t="str">
        <f>VLOOKUP(Tabela12[[#This Row],[Painel]],Tabela13[],2,0)</f>
        <v>GB-967A/B</v>
      </c>
      <c r="C2725" s="391" t="s">
        <v>1540</v>
      </c>
      <c r="D2725" s="21" t="s">
        <v>1754</v>
      </c>
      <c r="E2725" s="21">
        <v>6</v>
      </c>
      <c r="F2725" s="27" t="str">
        <f>Tabela12[[#This Row],[Régua]]&amp;" ("&amp;Tabela12[[#This Row],[Born]]&amp;")"</f>
        <v>TS1 (6)</v>
      </c>
      <c r="G2725" s="27">
        <f>LEN(Tabela12[[#This Row],[Anilha]])</f>
        <v>7</v>
      </c>
      <c r="H2725" s="27">
        <f>VLOOKUP(Tabela12[[#This Row],[Tag Cabo]],BD!A:F,6,0)</f>
        <v>1</v>
      </c>
      <c r="I2725" s="27"/>
      <c r="J2725" s="27"/>
    </row>
    <row r="2726" spans="1:10" x14ac:dyDescent="0.25">
      <c r="A2726" s="21" t="s">
        <v>297</v>
      </c>
      <c r="B2726" s="322" t="str">
        <f>VLOOKUP(Tabela12[[#This Row],[Painel]],Tabela13[],2,0)</f>
        <v>GB-967A/B</v>
      </c>
      <c r="C2726" s="391" t="s">
        <v>1540</v>
      </c>
      <c r="D2726" s="21" t="s">
        <v>1754</v>
      </c>
      <c r="E2726" s="21">
        <v>7</v>
      </c>
      <c r="F2726" s="27" t="str">
        <f>Tabela12[[#This Row],[Régua]]&amp;" ("&amp;Tabela12[[#This Row],[Born]]&amp;")"</f>
        <v>TS1 (7)</v>
      </c>
      <c r="G2726" s="27">
        <f>LEN(Tabela12[[#This Row],[Anilha]])</f>
        <v>7</v>
      </c>
      <c r="H2726" s="27">
        <f>VLOOKUP(Tabela12[[#This Row],[Tag Cabo]],BD!A:F,6,0)</f>
        <v>1</v>
      </c>
      <c r="I2726" s="27"/>
      <c r="J2726" s="27"/>
    </row>
    <row r="2727" spans="1:10" x14ac:dyDescent="0.25">
      <c r="A2727" s="21" t="s">
        <v>297</v>
      </c>
      <c r="B2727" s="322" t="str">
        <f>VLOOKUP(Tabela12[[#This Row],[Painel]],Tabela13[],2,0)</f>
        <v>GB-967A/B</v>
      </c>
      <c r="C2727" s="391" t="s">
        <v>1540</v>
      </c>
      <c r="D2727" s="21" t="s">
        <v>1754</v>
      </c>
      <c r="E2727" s="21">
        <v>8</v>
      </c>
      <c r="F2727" s="27" t="str">
        <f>Tabela12[[#This Row],[Régua]]&amp;" ("&amp;Tabela12[[#This Row],[Born]]&amp;")"</f>
        <v>TS1 (8)</v>
      </c>
      <c r="G2727" s="27">
        <f>LEN(Tabela12[[#This Row],[Anilha]])</f>
        <v>7</v>
      </c>
      <c r="H2727" s="27">
        <f>VLOOKUP(Tabela12[[#This Row],[Tag Cabo]],BD!A:F,6,0)</f>
        <v>1</v>
      </c>
      <c r="I2727" s="27"/>
      <c r="J2727" s="27"/>
    </row>
    <row r="2728" spans="1:10" x14ac:dyDescent="0.25">
      <c r="A2728" s="21" t="s">
        <v>297</v>
      </c>
      <c r="B2728" s="322" t="str">
        <f>VLOOKUP(Tabela12[[#This Row],[Painel]],Tabela13[],2,0)</f>
        <v>GB-967A/B</v>
      </c>
      <c r="C2728" s="391" t="s">
        <v>1540</v>
      </c>
      <c r="D2728" s="21" t="s">
        <v>1754</v>
      </c>
      <c r="E2728" s="21">
        <v>9</v>
      </c>
      <c r="F2728" s="27" t="str">
        <f>Tabela12[[#This Row],[Régua]]&amp;" ("&amp;Tabela12[[#This Row],[Born]]&amp;")"</f>
        <v>TS1 (9)</v>
      </c>
      <c r="G2728" s="27">
        <f>LEN(Tabela12[[#This Row],[Anilha]])</f>
        <v>7</v>
      </c>
      <c r="H2728" s="27">
        <f>VLOOKUP(Tabela12[[#This Row],[Tag Cabo]],BD!A:F,6,0)</f>
        <v>1</v>
      </c>
      <c r="I2728" s="27"/>
      <c r="J2728" s="27"/>
    </row>
    <row r="2729" spans="1:10" x14ac:dyDescent="0.25">
      <c r="A2729" s="21" t="s">
        <v>297</v>
      </c>
      <c r="B2729" s="322" t="str">
        <f>VLOOKUP(Tabela12[[#This Row],[Painel]],Tabela13[],2,0)</f>
        <v>GB-967A/B</v>
      </c>
      <c r="C2729" s="391" t="s">
        <v>1540</v>
      </c>
      <c r="D2729" s="21" t="s">
        <v>1754</v>
      </c>
      <c r="E2729" s="21">
        <v>10</v>
      </c>
      <c r="F2729" s="27" t="str">
        <f>Tabela12[[#This Row],[Régua]]&amp;" ("&amp;Tabela12[[#This Row],[Born]]&amp;")"</f>
        <v>TS1 (10)</v>
      </c>
      <c r="G2729" s="27">
        <f>LEN(Tabela12[[#This Row],[Anilha]])</f>
        <v>8</v>
      </c>
      <c r="H2729" s="27">
        <f>VLOOKUP(Tabela12[[#This Row],[Tag Cabo]],BD!A:F,6,0)</f>
        <v>1</v>
      </c>
      <c r="I2729" s="27"/>
      <c r="J2729" s="27"/>
    </row>
    <row r="2730" spans="1:10" x14ac:dyDescent="0.25">
      <c r="A2730" s="21" t="s">
        <v>297</v>
      </c>
      <c r="B2730" s="322" t="str">
        <f>VLOOKUP(Tabela12[[#This Row],[Painel]],Tabela13[],2,0)</f>
        <v>GB-967A/B</v>
      </c>
      <c r="C2730" s="391" t="s">
        <v>1540</v>
      </c>
      <c r="D2730" s="21" t="s">
        <v>1754</v>
      </c>
      <c r="E2730" s="21">
        <v>11</v>
      </c>
      <c r="F2730" s="27" t="str">
        <f>Tabela12[[#This Row],[Régua]]&amp;" ("&amp;Tabela12[[#This Row],[Born]]&amp;")"</f>
        <v>TS1 (11)</v>
      </c>
      <c r="G2730" s="27">
        <f>LEN(Tabela12[[#This Row],[Anilha]])</f>
        <v>8</v>
      </c>
      <c r="H2730" s="27">
        <f>VLOOKUP(Tabela12[[#This Row],[Tag Cabo]],BD!A:F,6,0)</f>
        <v>1</v>
      </c>
      <c r="I2730" s="27"/>
      <c r="J2730" s="27"/>
    </row>
    <row r="2731" spans="1:10" x14ac:dyDescent="0.25">
      <c r="A2731" s="21" t="s">
        <v>297</v>
      </c>
      <c r="B2731" s="322" t="str">
        <f>VLOOKUP(Tabela12[[#This Row],[Painel]],Tabela13[],2,0)</f>
        <v>GB-967A/B</v>
      </c>
      <c r="C2731" s="391" t="s">
        <v>1540</v>
      </c>
      <c r="D2731" s="21" t="s">
        <v>1754</v>
      </c>
      <c r="E2731" s="21">
        <v>12</v>
      </c>
      <c r="F2731" s="27" t="str">
        <f>Tabela12[[#This Row],[Régua]]&amp;" ("&amp;Tabela12[[#This Row],[Born]]&amp;")"</f>
        <v>TS1 (12)</v>
      </c>
      <c r="G2731" s="27">
        <f>LEN(Tabela12[[#This Row],[Anilha]])</f>
        <v>8</v>
      </c>
      <c r="H2731" s="27">
        <f>VLOOKUP(Tabela12[[#This Row],[Tag Cabo]],BD!A:F,6,0)</f>
        <v>1</v>
      </c>
      <c r="I2731" s="27"/>
      <c r="J2731" s="27"/>
    </row>
    <row r="2732" spans="1:10" x14ac:dyDescent="0.25">
      <c r="A2732" s="21" t="s">
        <v>297</v>
      </c>
      <c r="B2732" s="322" t="str">
        <f>VLOOKUP(Tabela12[[#This Row],[Painel]],Tabela13[],2,0)</f>
        <v>GB-967A/B</v>
      </c>
      <c r="C2732" s="391" t="s">
        <v>1540</v>
      </c>
      <c r="D2732" s="21" t="s">
        <v>1754</v>
      </c>
      <c r="E2732" s="21">
        <v>13</v>
      </c>
      <c r="F2732" s="27" t="str">
        <f>Tabela12[[#This Row],[Régua]]&amp;" ("&amp;Tabela12[[#This Row],[Born]]&amp;")"</f>
        <v>TS1 (13)</v>
      </c>
      <c r="G2732" s="27">
        <f>LEN(Tabela12[[#This Row],[Anilha]])</f>
        <v>8</v>
      </c>
      <c r="H2732" s="27">
        <f>VLOOKUP(Tabela12[[#This Row],[Tag Cabo]],BD!A:F,6,0)</f>
        <v>1</v>
      </c>
      <c r="I2732" s="27"/>
      <c r="J2732" s="27"/>
    </row>
    <row r="2733" spans="1:10" x14ac:dyDescent="0.25">
      <c r="A2733" s="21" t="s">
        <v>297</v>
      </c>
      <c r="B2733" s="322" t="str">
        <f>VLOOKUP(Tabela12[[#This Row],[Painel]],Tabela13[],2,0)</f>
        <v>GB-967A/B</v>
      </c>
      <c r="C2733" s="391" t="s">
        <v>1540</v>
      </c>
      <c r="D2733" s="21" t="s">
        <v>1754</v>
      </c>
      <c r="E2733" s="21">
        <v>14</v>
      </c>
      <c r="F2733" s="27" t="str">
        <f>Tabela12[[#This Row],[Régua]]&amp;" ("&amp;Tabela12[[#This Row],[Born]]&amp;")"</f>
        <v>TS1 (14)</v>
      </c>
      <c r="G2733" s="27">
        <f>LEN(Tabela12[[#This Row],[Anilha]])</f>
        <v>8</v>
      </c>
      <c r="H2733" s="27">
        <f>VLOOKUP(Tabela12[[#This Row],[Tag Cabo]],BD!A:F,6,0)</f>
        <v>1</v>
      </c>
      <c r="I2733" s="27"/>
      <c r="J2733" s="27"/>
    </row>
    <row r="2734" spans="1:10" x14ac:dyDescent="0.25">
      <c r="A2734" s="21" t="s">
        <v>297</v>
      </c>
      <c r="B2734" s="322" t="str">
        <f>VLOOKUP(Tabela12[[#This Row],[Painel]],Tabela13[],2,0)</f>
        <v>GB-967A/B</v>
      </c>
      <c r="C2734" s="391" t="s">
        <v>1540</v>
      </c>
      <c r="D2734" s="21" t="s">
        <v>1754</v>
      </c>
      <c r="E2734" s="21">
        <v>15</v>
      </c>
      <c r="F2734" s="27" t="str">
        <f>Tabela12[[#This Row],[Régua]]&amp;" ("&amp;Tabela12[[#This Row],[Born]]&amp;")"</f>
        <v>TS1 (15)</v>
      </c>
      <c r="G2734" s="27">
        <f>LEN(Tabela12[[#This Row],[Anilha]])</f>
        <v>8</v>
      </c>
      <c r="H2734" s="27">
        <f>VLOOKUP(Tabela12[[#This Row],[Tag Cabo]],BD!A:F,6,0)</f>
        <v>1</v>
      </c>
      <c r="I2734" s="27"/>
      <c r="J2734" s="27"/>
    </row>
    <row r="2735" spans="1:10" x14ac:dyDescent="0.25">
      <c r="A2735" s="21" t="s">
        <v>297</v>
      </c>
      <c r="B2735" s="322" t="str">
        <f>VLOOKUP(Tabela12[[#This Row],[Painel]],Tabela13[],2,0)</f>
        <v>GB-967A/B</v>
      </c>
      <c r="C2735" s="391" t="s">
        <v>1540</v>
      </c>
      <c r="D2735" s="21" t="s">
        <v>1754</v>
      </c>
      <c r="E2735" s="21">
        <v>16</v>
      </c>
      <c r="F2735" s="27" t="str">
        <f>Tabela12[[#This Row],[Régua]]&amp;" ("&amp;Tabela12[[#This Row],[Born]]&amp;")"</f>
        <v>TS1 (16)</v>
      </c>
      <c r="G2735" s="27">
        <f>LEN(Tabela12[[#This Row],[Anilha]])</f>
        <v>8</v>
      </c>
      <c r="H2735" s="27">
        <f>VLOOKUP(Tabela12[[#This Row],[Tag Cabo]],BD!A:F,6,0)</f>
        <v>1</v>
      </c>
      <c r="I2735" s="27"/>
      <c r="J2735" s="27"/>
    </row>
    <row r="2736" spans="1:10" x14ac:dyDescent="0.25">
      <c r="A2736" s="21" t="s">
        <v>297</v>
      </c>
      <c r="B2736" s="322" t="str">
        <f>VLOOKUP(Tabela12[[#This Row],[Painel]],Tabela13[],2,0)</f>
        <v>GB-967A/B</v>
      </c>
      <c r="C2736" s="391" t="s">
        <v>1540</v>
      </c>
      <c r="D2736" s="21" t="s">
        <v>1754</v>
      </c>
      <c r="E2736" s="21">
        <v>17</v>
      </c>
      <c r="F2736" s="27" t="str">
        <f>Tabela12[[#This Row],[Régua]]&amp;" ("&amp;Tabela12[[#This Row],[Born]]&amp;")"</f>
        <v>TS1 (17)</v>
      </c>
      <c r="G2736" s="27">
        <f>LEN(Tabela12[[#This Row],[Anilha]])</f>
        <v>8</v>
      </c>
      <c r="H2736" s="27">
        <f>VLOOKUP(Tabela12[[#This Row],[Tag Cabo]],BD!A:F,6,0)</f>
        <v>1</v>
      </c>
      <c r="I2736" s="27"/>
      <c r="J2736" s="27"/>
    </row>
    <row r="2737" spans="1:10" x14ac:dyDescent="0.25">
      <c r="A2737" s="21" t="s">
        <v>297</v>
      </c>
      <c r="B2737" s="322" t="str">
        <f>VLOOKUP(Tabela12[[#This Row],[Painel]],Tabela13[],2,0)</f>
        <v>GB-967A/B</v>
      </c>
      <c r="C2737" s="391" t="s">
        <v>1540</v>
      </c>
      <c r="D2737" s="21" t="s">
        <v>1754</v>
      </c>
      <c r="E2737" s="21">
        <v>18</v>
      </c>
      <c r="F2737" s="27" t="str">
        <f>Tabela12[[#This Row],[Régua]]&amp;" ("&amp;Tabela12[[#This Row],[Born]]&amp;")"</f>
        <v>TS1 (18)</v>
      </c>
      <c r="G2737" s="27">
        <f>LEN(Tabela12[[#This Row],[Anilha]])</f>
        <v>8</v>
      </c>
      <c r="H2737" s="27">
        <f>VLOOKUP(Tabela12[[#This Row],[Tag Cabo]],BD!A:F,6,0)</f>
        <v>1</v>
      </c>
      <c r="I2737" s="27"/>
      <c r="J2737" s="27"/>
    </row>
    <row r="2738" spans="1:10" x14ac:dyDescent="0.25">
      <c r="A2738" s="21" t="s">
        <v>297</v>
      </c>
      <c r="B2738" s="322" t="str">
        <f>VLOOKUP(Tabela12[[#This Row],[Painel]],Tabela13[],2,0)</f>
        <v>GB-967A/B</v>
      </c>
      <c r="C2738" s="391" t="s">
        <v>1540</v>
      </c>
      <c r="D2738" s="21" t="s">
        <v>1816</v>
      </c>
      <c r="E2738" s="21">
        <v>1</v>
      </c>
      <c r="F2738" s="27" t="str">
        <f>Tabela12[[#This Row],[Régua]]&amp;" ("&amp;Tabela12[[#This Row],[Born]]&amp;")"</f>
        <v>TS2 (1)</v>
      </c>
      <c r="G2738" s="27">
        <f>LEN(Tabela12[[#This Row],[Anilha]])</f>
        <v>7</v>
      </c>
      <c r="H2738" s="27">
        <f>VLOOKUP(Tabela12[[#This Row],[Tag Cabo]],BD!A:F,6,0)</f>
        <v>1</v>
      </c>
      <c r="I2738" s="27"/>
      <c r="J2738" s="27"/>
    </row>
    <row r="2739" spans="1:10" x14ac:dyDescent="0.25">
      <c r="A2739" s="21" t="s">
        <v>297</v>
      </c>
      <c r="B2739" s="322" t="str">
        <f>VLOOKUP(Tabela12[[#This Row],[Painel]],Tabela13[],2,0)</f>
        <v>GB-967A/B</v>
      </c>
      <c r="C2739" s="391" t="s">
        <v>1540</v>
      </c>
      <c r="D2739" s="21" t="s">
        <v>1816</v>
      </c>
      <c r="E2739" s="21">
        <v>2</v>
      </c>
      <c r="F2739" s="27" t="str">
        <f>Tabela12[[#This Row],[Régua]]&amp;" ("&amp;Tabela12[[#This Row],[Born]]&amp;")"</f>
        <v>TS2 (2)</v>
      </c>
      <c r="G2739" s="27">
        <f>LEN(Tabela12[[#This Row],[Anilha]])</f>
        <v>7</v>
      </c>
      <c r="H2739" s="27">
        <f>VLOOKUP(Tabela12[[#This Row],[Tag Cabo]],BD!A:F,6,0)</f>
        <v>1</v>
      </c>
      <c r="I2739" s="27"/>
      <c r="J2739" s="27"/>
    </row>
    <row r="2740" spans="1:10" x14ac:dyDescent="0.25">
      <c r="A2740" s="21" t="s">
        <v>297</v>
      </c>
      <c r="B2740" s="322" t="str">
        <f>VLOOKUP(Tabela12[[#This Row],[Painel]],Tabela13[],2,0)</f>
        <v>GB-967A/B</v>
      </c>
      <c r="C2740" s="391" t="s">
        <v>1540</v>
      </c>
      <c r="D2740" s="21" t="s">
        <v>1816</v>
      </c>
      <c r="E2740" s="21">
        <v>3</v>
      </c>
      <c r="F2740" s="27" t="str">
        <f>Tabela12[[#This Row],[Régua]]&amp;" ("&amp;Tabela12[[#This Row],[Born]]&amp;")"</f>
        <v>TS2 (3)</v>
      </c>
      <c r="G2740" s="27">
        <f>LEN(Tabela12[[#This Row],[Anilha]])</f>
        <v>7</v>
      </c>
      <c r="H2740" s="27">
        <f>VLOOKUP(Tabela12[[#This Row],[Tag Cabo]],BD!A:F,6,0)</f>
        <v>1</v>
      </c>
      <c r="I2740" s="27"/>
      <c r="J2740" s="27"/>
    </row>
    <row r="2741" spans="1:10" x14ac:dyDescent="0.25">
      <c r="A2741" s="21" t="s">
        <v>297</v>
      </c>
      <c r="B2741" s="322" t="str">
        <f>VLOOKUP(Tabela12[[#This Row],[Painel]],Tabela13[],2,0)</f>
        <v>GB-967A/B</v>
      </c>
      <c r="C2741" s="391" t="s">
        <v>1540</v>
      </c>
      <c r="D2741" s="21" t="s">
        <v>1816</v>
      </c>
      <c r="E2741" s="21">
        <v>4</v>
      </c>
      <c r="F2741" s="27" t="str">
        <f>Tabela12[[#This Row],[Régua]]&amp;" ("&amp;Tabela12[[#This Row],[Born]]&amp;")"</f>
        <v>TS2 (4)</v>
      </c>
      <c r="G2741" s="27">
        <f>LEN(Tabela12[[#This Row],[Anilha]])</f>
        <v>7</v>
      </c>
      <c r="H2741" s="27">
        <f>VLOOKUP(Tabela12[[#This Row],[Tag Cabo]],BD!A:F,6,0)</f>
        <v>1</v>
      </c>
      <c r="I2741" s="27"/>
      <c r="J2741" s="27"/>
    </row>
    <row r="2742" spans="1:10" x14ac:dyDescent="0.25">
      <c r="A2742" s="21" t="s">
        <v>297</v>
      </c>
      <c r="B2742" s="322" t="str">
        <f>VLOOKUP(Tabela12[[#This Row],[Painel]],Tabela13[],2,0)</f>
        <v>GB-967A/B</v>
      </c>
      <c r="C2742" s="391" t="s">
        <v>1540</v>
      </c>
      <c r="D2742" s="21" t="s">
        <v>1816</v>
      </c>
      <c r="E2742" s="21">
        <v>5</v>
      </c>
      <c r="F2742" s="27" t="str">
        <f>Tabela12[[#This Row],[Régua]]&amp;" ("&amp;Tabela12[[#This Row],[Born]]&amp;")"</f>
        <v>TS2 (5)</v>
      </c>
      <c r="G2742" s="27">
        <f>LEN(Tabela12[[#This Row],[Anilha]])</f>
        <v>7</v>
      </c>
      <c r="H2742" s="27">
        <f>VLOOKUP(Tabela12[[#This Row],[Tag Cabo]],BD!A:F,6,0)</f>
        <v>1</v>
      </c>
      <c r="I2742" s="27"/>
      <c r="J2742" s="27"/>
    </row>
    <row r="2743" spans="1:10" x14ac:dyDescent="0.25">
      <c r="A2743" s="21" t="s">
        <v>297</v>
      </c>
      <c r="B2743" s="322" t="str">
        <f>VLOOKUP(Tabela12[[#This Row],[Painel]],Tabela13[],2,0)</f>
        <v>GB-967A/B</v>
      </c>
      <c r="C2743" s="391" t="s">
        <v>1540</v>
      </c>
      <c r="D2743" s="21" t="s">
        <v>1816</v>
      </c>
      <c r="E2743" s="21">
        <v>6</v>
      </c>
      <c r="F2743" s="27" t="str">
        <f>Tabela12[[#This Row],[Régua]]&amp;" ("&amp;Tabela12[[#This Row],[Born]]&amp;")"</f>
        <v>TS2 (6)</v>
      </c>
      <c r="G2743" s="27">
        <f>LEN(Tabela12[[#This Row],[Anilha]])</f>
        <v>7</v>
      </c>
      <c r="H2743" s="27">
        <f>VLOOKUP(Tabela12[[#This Row],[Tag Cabo]],BD!A:F,6,0)</f>
        <v>1</v>
      </c>
      <c r="I2743" s="27"/>
      <c r="J2743" s="27"/>
    </row>
    <row r="2744" spans="1:10" x14ac:dyDescent="0.25">
      <c r="A2744" s="21" t="s">
        <v>245</v>
      </c>
      <c r="B2744" s="322" t="str">
        <f>VLOOKUP(Tabela12[[#This Row],[Painel]],Tabela13[],2,0)</f>
        <v>1MV</v>
      </c>
      <c r="C2744" s="391" t="s">
        <v>196</v>
      </c>
      <c r="D2744" s="21" t="s">
        <v>2066</v>
      </c>
      <c r="E2744" s="21">
        <v>1</v>
      </c>
      <c r="F2744" s="27" t="str">
        <f>Tabela12[[#This Row],[Régua]]&amp;" ("&amp;Tabela12[[#This Row],[Born]]&amp;")"</f>
        <v>F1A-A (1)</v>
      </c>
      <c r="G2744" s="27">
        <f>LEN(Tabela12[[#This Row],[Anilha]])</f>
        <v>9</v>
      </c>
      <c r="H2744" s="27">
        <f>VLOOKUP(Tabela12[[#This Row],[Tag Cabo]],BD!A:F,6,0)</f>
        <v>1</v>
      </c>
      <c r="I2744" s="27"/>
      <c r="J2744" s="27"/>
    </row>
    <row r="2745" spans="1:10" x14ac:dyDescent="0.25">
      <c r="A2745" s="21" t="s">
        <v>245</v>
      </c>
      <c r="B2745" s="322" t="str">
        <f>VLOOKUP(Tabela12[[#This Row],[Painel]],Tabela13[],2,0)</f>
        <v>1MV</v>
      </c>
      <c r="C2745" s="391" t="s">
        <v>196</v>
      </c>
      <c r="D2745" s="21" t="s">
        <v>2066</v>
      </c>
      <c r="E2745" s="21">
        <v>2</v>
      </c>
      <c r="F2745" s="27" t="str">
        <f>Tabela12[[#This Row],[Régua]]&amp;" ("&amp;Tabela12[[#This Row],[Born]]&amp;")"</f>
        <v>F1A-A (2)</v>
      </c>
      <c r="G2745" s="27">
        <f>LEN(Tabela12[[#This Row],[Anilha]])</f>
        <v>9</v>
      </c>
      <c r="H2745" s="27">
        <f>VLOOKUP(Tabela12[[#This Row],[Tag Cabo]],BD!A:F,6,0)</f>
        <v>1</v>
      </c>
      <c r="I2745" s="27"/>
      <c r="J2745" s="27"/>
    </row>
    <row r="2746" spans="1:10" x14ac:dyDescent="0.25">
      <c r="A2746" s="21" t="s">
        <v>245</v>
      </c>
      <c r="B2746" s="322" t="str">
        <f>VLOOKUP(Tabela12[[#This Row],[Painel]],Tabela13[],2,0)</f>
        <v>1MV</v>
      </c>
      <c r="C2746" s="391" t="s">
        <v>196</v>
      </c>
      <c r="D2746" s="21" t="s">
        <v>2066</v>
      </c>
      <c r="E2746" s="21">
        <v>3</v>
      </c>
      <c r="F2746" s="27" t="str">
        <f>Tabela12[[#This Row],[Régua]]&amp;" ("&amp;Tabela12[[#This Row],[Born]]&amp;")"</f>
        <v>F1A-A (3)</v>
      </c>
      <c r="G2746" s="27">
        <f>LEN(Tabela12[[#This Row],[Anilha]])</f>
        <v>9</v>
      </c>
      <c r="H2746" s="27">
        <f>VLOOKUP(Tabela12[[#This Row],[Tag Cabo]],BD!A:F,6,0)</f>
        <v>1</v>
      </c>
      <c r="I2746" s="27"/>
      <c r="J2746" s="27"/>
    </row>
    <row r="2747" spans="1:10" x14ac:dyDescent="0.25">
      <c r="A2747" s="21" t="s">
        <v>245</v>
      </c>
      <c r="B2747" s="322" t="str">
        <f>VLOOKUP(Tabela12[[#This Row],[Painel]],Tabela13[],2,0)</f>
        <v>1MV</v>
      </c>
      <c r="C2747" s="391" t="s">
        <v>196</v>
      </c>
      <c r="D2747" s="21" t="s">
        <v>2066</v>
      </c>
      <c r="E2747" s="21">
        <v>4</v>
      </c>
      <c r="F2747" s="27" t="str">
        <f>Tabela12[[#This Row],[Régua]]&amp;" ("&amp;Tabela12[[#This Row],[Born]]&amp;")"</f>
        <v>F1A-A (4)</v>
      </c>
      <c r="G2747" s="27">
        <f>LEN(Tabela12[[#This Row],[Anilha]])</f>
        <v>9</v>
      </c>
      <c r="H2747" s="27">
        <f>VLOOKUP(Tabela12[[#This Row],[Tag Cabo]],BD!A:F,6,0)</f>
        <v>1</v>
      </c>
      <c r="I2747" s="27"/>
      <c r="J2747" s="27"/>
    </row>
    <row r="2748" spans="1:10" x14ac:dyDescent="0.25">
      <c r="A2748" s="21" t="s">
        <v>245</v>
      </c>
      <c r="B2748" s="322" t="str">
        <f>VLOOKUP(Tabela12[[#This Row],[Painel]],Tabela13[],2,0)</f>
        <v>1MV</v>
      </c>
      <c r="C2748" s="391" t="s">
        <v>196</v>
      </c>
      <c r="D2748" s="21" t="s">
        <v>2066</v>
      </c>
      <c r="E2748" s="21">
        <v>5</v>
      </c>
      <c r="F2748" s="27" t="str">
        <f>Tabela12[[#This Row],[Régua]]&amp;" ("&amp;Tabela12[[#This Row],[Born]]&amp;")"</f>
        <v>F1A-A (5)</v>
      </c>
      <c r="G2748" s="27">
        <f>LEN(Tabela12[[#This Row],[Anilha]])</f>
        <v>9</v>
      </c>
      <c r="H2748" s="27">
        <f>VLOOKUP(Tabela12[[#This Row],[Tag Cabo]],BD!A:F,6,0)</f>
        <v>1</v>
      </c>
      <c r="I2748" s="27"/>
      <c r="J2748" s="27"/>
    </row>
    <row r="2749" spans="1:10" x14ac:dyDescent="0.25">
      <c r="A2749" s="21" t="s">
        <v>245</v>
      </c>
      <c r="B2749" s="322" t="str">
        <f>VLOOKUP(Tabela12[[#This Row],[Painel]],Tabela13[],2,0)</f>
        <v>1MV</v>
      </c>
      <c r="C2749" s="391" t="s">
        <v>196</v>
      </c>
      <c r="D2749" s="21" t="s">
        <v>2066</v>
      </c>
      <c r="E2749" s="21">
        <v>6</v>
      </c>
      <c r="F2749" s="27" t="str">
        <f>Tabela12[[#This Row],[Régua]]&amp;" ("&amp;Tabela12[[#This Row],[Born]]&amp;")"</f>
        <v>F1A-A (6)</v>
      </c>
      <c r="G2749" s="27">
        <f>LEN(Tabela12[[#This Row],[Anilha]])</f>
        <v>9</v>
      </c>
      <c r="H2749" s="27">
        <f>VLOOKUP(Tabela12[[#This Row],[Tag Cabo]],BD!A:F,6,0)</f>
        <v>1</v>
      </c>
      <c r="I2749" s="27"/>
      <c r="J2749" s="27"/>
    </row>
    <row r="2750" spans="1:10" x14ac:dyDescent="0.25">
      <c r="A2750" s="21" t="s">
        <v>245</v>
      </c>
      <c r="B2750" s="322" t="str">
        <f>VLOOKUP(Tabela12[[#This Row],[Painel]],Tabela13[],2,0)</f>
        <v>1MV</v>
      </c>
      <c r="C2750" s="391" t="s">
        <v>196</v>
      </c>
      <c r="D2750" s="21" t="s">
        <v>2066</v>
      </c>
      <c r="E2750" s="21">
        <v>7</v>
      </c>
      <c r="F2750" s="27" t="str">
        <f>Tabela12[[#This Row],[Régua]]&amp;" ("&amp;Tabela12[[#This Row],[Born]]&amp;")"</f>
        <v>F1A-A (7)</v>
      </c>
      <c r="G2750" s="27">
        <f>LEN(Tabela12[[#This Row],[Anilha]])</f>
        <v>9</v>
      </c>
      <c r="H2750" s="27">
        <f>VLOOKUP(Tabela12[[#This Row],[Tag Cabo]],BD!A:F,6,0)</f>
        <v>1</v>
      </c>
      <c r="I2750" s="27"/>
      <c r="J2750" s="27"/>
    </row>
    <row r="2751" spans="1:10" x14ac:dyDescent="0.25">
      <c r="A2751" s="21" t="s">
        <v>245</v>
      </c>
      <c r="B2751" s="322" t="str">
        <f>VLOOKUP(Tabela12[[#This Row],[Painel]],Tabela13[],2,0)</f>
        <v>1MV</v>
      </c>
      <c r="C2751" s="391" t="s">
        <v>196</v>
      </c>
      <c r="D2751" s="21" t="s">
        <v>2066</v>
      </c>
      <c r="E2751" s="21">
        <v>8</v>
      </c>
      <c r="F2751" s="27" t="str">
        <f>Tabela12[[#This Row],[Régua]]&amp;" ("&amp;Tabela12[[#This Row],[Born]]&amp;")"</f>
        <v>F1A-A (8)</v>
      </c>
      <c r="G2751" s="27">
        <f>LEN(Tabela12[[#This Row],[Anilha]])</f>
        <v>9</v>
      </c>
      <c r="H2751" s="27">
        <f>VLOOKUP(Tabela12[[#This Row],[Tag Cabo]],BD!A:F,6,0)</f>
        <v>1</v>
      </c>
      <c r="I2751" s="27"/>
      <c r="J2751" s="27"/>
    </row>
    <row r="2752" spans="1:10" x14ac:dyDescent="0.25">
      <c r="A2752" s="21" t="s">
        <v>245</v>
      </c>
      <c r="B2752" s="322" t="str">
        <f>VLOOKUP(Tabela12[[#This Row],[Painel]],Tabela13[],2,0)</f>
        <v>1MV</v>
      </c>
      <c r="C2752" s="391" t="s">
        <v>196</v>
      </c>
      <c r="D2752" s="21" t="s">
        <v>2066</v>
      </c>
      <c r="E2752" s="21">
        <v>9</v>
      </c>
      <c r="F2752" s="27" t="str">
        <f>Tabela12[[#This Row],[Régua]]&amp;" ("&amp;Tabela12[[#This Row],[Born]]&amp;")"</f>
        <v>F1A-A (9)</v>
      </c>
      <c r="G2752" s="27">
        <f>LEN(Tabela12[[#This Row],[Anilha]])</f>
        <v>9</v>
      </c>
      <c r="H2752" s="27">
        <f>VLOOKUP(Tabela12[[#This Row],[Tag Cabo]],BD!A:F,6,0)</f>
        <v>1</v>
      </c>
      <c r="I2752" s="27"/>
      <c r="J2752" s="27"/>
    </row>
    <row r="2753" spans="1:10" x14ac:dyDescent="0.25">
      <c r="A2753" s="21" t="s">
        <v>245</v>
      </c>
      <c r="B2753" s="322" t="str">
        <f>VLOOKUP(Tabela12[[#This Row],[Painel]],Tabela13[],2,0)</f>
        <v>1MV</v>
      </c>
      <c r="C2753" s="391" t="s">
        <v>196</v>
      </c>
      <c r="D2753" s="21" t="s">
        <v>2066</v>
      </c>
      <c r="E2753" s="21">
        <v>10</v>
      </c>
      <c r="F2753" s="27" t="str">
        <f>Tabela12[[#This Row],[Régua]]&amp;" ("&amp;Tabela12[[#This Row],[Born]]&amp;")"</f>
        <v>F1A-A (10)</v>
      </c>
      <c r="G2753" s="27">
        <f>LEN(Tabela12[[#This Row],[Anilha]])</f>
        <v>10</v>
      </c>
      <c r="H2753" s="27">
        <f>VLOOKUP(Tabela12[[#This Row],[Tag Cabo]],BD!A:F,6,0)</f>
        <v>1</v>
      </c>
      <c r="I2753" s="27"/>
      <c r="J2753" s="27"/>
    </row>
    <row r="2754" spans="1:10" x14ac:dyDescent="0.25">
      <c r="A2754" s="21" t="s">
        <v>245</v>
      </c>
      <c r="B2754" s="322" t="str">
        <f>VLOOKUP(Tabela12[[#This Row],[Painel]],Tabela13[],2,0)</f>
        <v>1MV</v>
      </c>
      <c r="C2754" s="391" t="s">
        <v>196</v>
      </c>
      <c r="D2754" s="21" t="s">
        <v>2066</v>
      </c>
      <c r="E2754" s="21">
        <v>11</v>
      </c>
      <c r="F2754" s="27" t="str">
        <f>Tabela12[[#This Row],[Régua]]&amp;" ("&amp;Tabela12[[#This Row],[Born]]&amp;")"</f>
        <v>F1A-A (11)</v>
      </c>
      <c r="G2754" s="27">
        <f>LEN(Tabela12[[#This Row],[Anilha]])</f>
        <v>10</v>
      </c>
      <c r="H2754" s="27">
        <f>VLOOKUP(Tabela12[[#This Row],[Tag Cabo]],BD!A:F,6,0)</f>
        <v>1</v>
      </c>
      <c r="I2754" s="27"/>
      <c r="J2754" s="27"/>
    </row>
    <row r="2755" spans="1:10" x14ac:dyDescent="0.25">
      <c r="A2755" s="21" t="s">
        <v>245</v>
      </c>
      <c r="B2755" s="322" t="str">
        <f>VLOOKUP(Tabela12[[#This Row],[Painel]],Tabela13[],2,0)</f>
        <v>1MV</v>
      </c>
      <c r="C2755" s="391" t="s">
        <v>196</v>
      </c>
      <c r="D2755" s="21" t="s">
        <v>2066</v>
      </c>
      <c r="E2755" s="21">
        <v>12</v>
      </c>
      <c r="F2755" s="27" t="str">
        <f>Tabela12[[#This Row],[Régua]]&amp;" ("&amp;Tabela12[[#This Row],[Born]]&amp;")"</f>
        <v>F1A-A (12)</v>
      </c>
      <c r="G2755" s="27">
        <f>LEN(Tabela12[[#This Row],[Anilha]])</f>
        <v>10</v>
      </c>
      <c r="H2755" s="27">
        <f>VLOOKUP(Tabela12[[#This Row],[Tag Cabo]],BD!A:F,6,0)</f>
        <v>1</v>
      </c>
      <c r="I2755" s="27"/>
      <c r="J2755" s="27"/>
    </row>
    <row r="2756" spans="1:10" x14ac:dyDescent="0.25">
      <c r="A2756" s="21" t="s">
        <v>245</v>
      </c>
      <c r="B2756" s="322" t="str">
        <f>VLOOKUP(Tabela12[[#This Row],[Painel]],Tabela13[],2,0)</f>
        <v>1MV</v>
      </c>
      <c r="C2756" s="391" t="s">
        <v>196</v>
      </c>
      <c r="D2756" s="21" t="s">
        <v>2067</v>
      </c>
      <c r="E2756" s="21">
        <v>1</v>
      </c>
      <c r="F2756" s="27" t="str">
        <f>Tabela12[[#This Row],[Régua]]&amp;" ("&amp;Tabela12[[#This Row],[Born]]&amp;")"</f>
        <v>F1A-B (1)</v>
      </c>
      <c r="G2756" s="27">
        <f>LEN(Tabela12[[#This Row],[Anilha]])</f>
        <v>9</v>
      </c>
      <c r="H2756" s="27">
        <f>VLOOKUP(Tabela12[[#This Row],[Tag Cabo]],BD!A:F,6,0)</f>
        <v>1</v>
      </c>
      <c r="I2756" s="27"/>
      <c r="J2756" s="27"/>
    </row>
    <row r="2757" spans="1:10" x14ac:dyDescent="0.25">
      <c r="A2757" s="21" t="s">
        <v>245</v>
      </c>
      <c r="B2757" s="322" t="str">
        <f>VLOOKUP(Tabela12[[#This Row],[Painel]],Tabela13[],2,0)</f>
        <v>1MV</v>
      </c>
      <c r="C2757" s="391" t="s">
        <v>196</v>
      </c>
      <c r="D2757" s="21" t="s">
        <v>2067</v>
      </c>
      <c r="E2757" s="21">
        <v>2</v>
      </c>
      <c r="F2757" s="27" t="str">
        <f>Tabela12[[#This Row],[Régua]]&amp;" ("&amp;Tabela12[[#This Row],[Born]]&amp;")"</f>
        <v>F1A-B (2)</v>
      </c>
      <c r="G2757" s="27">
        <f>LEN(Tabela12[[#This Row],[Anilha]])</f>
        <v>9</v>
      </c>
      <c r="H2757" s="27">
        <f>VLOOKUP(Tabela12[[#This Row],[Tag Cabo]],BD!A:F,6,0)</f>
        <v>1</v>
      </c>
      <c r="I2757" s="27"/>
      <c r="J2757" s="27"/>
    </row>
    <row r="2758" spans="1:10" x14ac:dyDescent="0.25">
      <c r="A2758" s="21" t="s">
        <v>245</v>
      </c>
      <c r="B2758" s="322" t="str">
        <f>VLOOKUP(Tabela12[[#This Row],[Painel]],Tabela13[],2,0)</f>
        <v>1MV</v>
      </c>
      <c r="C2758" s="391" t="s">
        <v>196</v>
      </c>
      <c r="D2758" s="21" t="s">
        <v>2067</v>
      </c>
      <c r="E2758" s="21">
        <v>3</v>
      </c>
      <c r="F2758" s="27" t="str">
        <f>Tabela12[[#This Row],[Régua]]&amp;" ("&amp;Tabela12[[#This Row],[Born]]&amp;")"</f>
        <v>F1A-B (3)</v>
      </c>
      <c r="G2758" s="27">
        <f>LEN(Tabela12[[#This Row],[Anilha]])</f>
        <v>9</v>
      </c>
      <c r="H2758" s="27">
        <f>VLOOKUP(Tabela12[[#This Row],[Tag Cabo]],BD!A:F,6,0)</f>
        <v>1</v>
      </c>
      <c r="I2758" s="27"/>
      <c r="J2758" s="27"/>
    </row>
    <row r="2759" spans="1:10" x14ac:dyDescent="0.25">
      <c r="A2759" s="21" t="s">
        <v>245</v>
      </c>
      <c r="B2759" s="322" t="str">
        <f>VLOOKUP(Tabela12[[#This Row],[Painel]],Tabela13[],2,0)</f>
        <v>1MV</v>
      </c>
      <c r="C2759" s="391" t="s">
        <v>196</v>
      </c>
      <c r="D2759" s="21" t="s">
        <v>2067</v>
      </c>
      <c r="E2759" s="21">
        <v>4</v>
      </c>
      <c r="F2759" s="27" t="str">
        <f>Tabela12[[#This Row],[Régua]]&amp;" ("&amp;Tabela12[[#This Row],[Born]]&amp;")"</f>
        <v>F1A-B (4)</v>
      </c>
      <c r="G2759" s="27">
        <f>LEN(Tabela12[[#This Row],[Anilha]])</f>
        <v>9</v>
      </c>
      <c r="H2759" s="27">
        <f>VLOOKUP(Tabela12[[#This Row],[Tag Cabo]],BD!A:F,6,0)</f>
        <v>1</v>
      </c>
      <c r="I2759" s="27"/>
      <c r="J2759" s="27"/>
    </row>
    <row r="2760" spans="1:10" x14ac:dyDescent="0.25">
      <c r="A2760" s="21" t="s">
        <v>245</v>
      </c>
      <c r="B2760" s="322" t="str">
        <f>VLOOKUP(Tabela12[[#This Row],[Painel]],Tabela13[],2,0)</f>
        <v>1MV</v>
      </c>
      <c r="C2760" s="391" t="s">
        <v>196</v>
      </c>
      <c r="D2760" s="21" t="s">
        <v>2067</v>
      </c>
      <c r="E2760" s="21">
        <v>5</v>
      </c>
      <c r="F2760" s="27" t="str">
        <f>Tabela12[[#This Row],[Régua]]&amp;" ("&amp;Tabela12[[#This Row],[Born]]&amp;")"</f>
        <v>F1A-B (5)</v>
      </c>
      <c r="G2760" s="27">
        <f>LEN(Tabela12[[#This Row],[Anilha]])</f>
        <v>9</v>
      </c>
      <c r="H2760" s="27">
        <f>VLOOKUP(Tabela12[[#This Row],[Tag Cabo]],BD!A:F,6,0)</f>
        <v>1</v>
      </c>
      <c r="I2760" s="27"/>
      <c r="J2760" s="27"/>
    </row>
    <row r="2761" spans="1:10" x14ac:dyDescent="0.25">
      <c r="A2761" s="21" t="s">
        <v>245</v>
      </c>
      <c r="B2761" s="322" t="str">
        <f>VLOOKUP(Tabela12[[#This Row],[Painel]],Tabela13[],2,0)</f>
        <v>1MV</v>
      </c>
      <c r="C2761" s="391" t="s">
        <v>196</v>
      </c>
      <c r="D2761" s="21" t="s">
        <v>2067</v>
      </c>
      <c r="E2761" s="21">
        <v>6</v>
      </c>
      <c r="F2761" s="27" t="str">
        <f>Tabela12[[#This Row],[Régua]]&amp;" ("&amp;Tabela12[[#This Row],[Born]]&amp;")"</f>
        <v>F1A-B (6)</v>
      </c>
      <c r="G2761" s="27">
        <f>LEN(Tabela12[[#This Row],[Anilha]])</f>
        <v>9</v>
      </c>
      <c r="H2761" s="27">
        <f>VLOOKUP(Tabela12[[#This Row],[Tag Cabo]],BD!A:F,6,0)</f>
        <v>1</v>
      </c>
      <c r="I2761" s="27"/>
      <c r="J2761" s="27"/>
    </row>
    <row r="2762" spans="1:10" x14ac:dyDescent="0.25">
      <c r="A2762" s="21" t="s">
        <v>245</v>
      </c>
      <c r="B2762" s="322" t="str">
        <f>VLOOKUP(Tabela12[[#This Row],[Painel]],Tabela13[],2,0)</f>
        <v>1MV</v>
      </c>
      <c r="C2762" s="391" t="s">
        <v>196</v>
      </c>
      <c r="D2762" s="21" t="s">
        <v>2067</v>
      </c>
      <c r="E2762" s="21">
        <v>7</v>
      </c>
      <c r="F2762" s="27" t="str">
        <f>Tabela12[[#This Row],[Régua]]&amp;" ("&amp;Tabela12[[#This Row],[Born]]&amp;")"</f>
        <v>F1A-B (7)</v>
      </c>
      <c r="G2762" s="27">
        <f>LEN(Tabela12[[#This Row],[Anilha]])</f>
        <v>9</v>
      </c>
      <c r="H2762" s="27">
        <f>VLOOKUP(Tabela12[[#This Row],[Tag Cabo]],BD!A:F,6,0)</f>
        <v>1</v>
      </c>
      <c r="I2762" s="27"/>
      <c r="J2762" s="27"/>
    </row>
    <row r="2763" spans="1:10" x14ac:dyDescent="0.25">
      <c r="A2763" s="21" t="s">
        <v>245</v>
      </c>
      <c r="B2763" s="322" t="str">
        <f>VLOOKUP(Tabela12[[#This Row],[Painel]],Tabela13[],2,0)</f>
        <v>1MV</v>
      </c>
      <c r="C2763" s="391" t="s">
        <v>196</v>
      </c>
      <c r="D2763" s="21" t="s">
        <v>2067</v>
      </c>
      <c r="E2763" s="21">
        <v>8</v>
      </c>
      <c r="F2763" s="27" t="str">
        <f>Tabela12[[#This Row],[Régua]]&amp;" ("&amp;Tabela12[[#This Row],[Born]]&amp;")"</f>
        <v>F1A-B (8)</v>
      </c>
      <c r="G2763" s="27">
        <f>LEN(Tabela12[[#This Row],[Anilha]])</f>
        <v>9</v>
      </c>
      <c r="H2763" s="27">
        <f>VLOOKUP(Tabela12[[#This Row],[Tag Cabo]],BD!A:F,6,0)</f>
        <v>1</v>
      </c>
      <c r="I2763" s="27"/>
      <c r="J2763" s="27"/>
    </row>
    <row r="2764" spans="1:10" x14ac:dyDescent="0.25">
      <c r="A2764" s="21" t="s">
        <v>245</v>
      </c>
      <c r="B2764" s="322" t="str">
        <f>VLOOKUP(Tabela12[[#This Row],[Painel]],Tabela13[],2,0)</f>
        <v>1MV</v>
      </c>
      <c r="C2764" s="391" t="s">
        <v>196</v>
      </c>
      <c r="D2764" s="21" t="s">
        <v>2067</v>
      </c>
      <c r="E2764" s="21">
        <v>9</v>
      </c>
      <c r="F2764" s="27" t="str">
        <f>Tabela12[[#This Row],[Régua]]&amp;" ("&amp;Tabela12[[#This Row],[Born]]&amp;")"</f>
        <v>F1A-B (9)</v>
      </c>
      <c r="G2764" s="27">
        <f>LEN(Tabela12[[#This Row],[Anilha]])</f>
        <v>9</v>
      </c>
      <c r="H2764" s="27">
        <f>VLOOKUP(Tabela12[[#This Row],[Tag Cabo]],BD!A:F,6,0)</f>
        <v>1</v>
      </c>
      <c r="I2764" s="27"/>
      <c r="J2764" s="27"/>
    </row>
    <row r="2765" spans="1:10" x14ac:dyDescent="0.25">
      <c r="A2765" s="21" t="s">
        <v>245</v>
      </c>
      <c r="B2765" s="322" t="str">
        <f>VLOOKUP(Tabela12[[#This Row],[Painel]],Tabela13[],2,0)</f>
        <v>1MV</v>
      </c>
      <c r="C2765" s="391" t="s">
        <v>196</v>
      </c>
      <c r="D2765" s="21" t="s">
        <v>2067</v>
      </c>
      <c r="E2765" s="21">
        <v>10</v>
      </c>
      <c r="F2765" s="27" t="str">
        <f>Tabela12[[#This Row],[Régua]]&amp;" ("&amp;Tabela12[[#This Row],[Born]]&amp;")"</f>
        <v>F1A-B (10)</v>
      </c>
      <c r="G2765" s="27">
        <f>LEN(Tabela12[[#This Row],[Anilha]])</f>
        <v>10</v>
      </c>
      <c r="H2765" s="27">
        <f>VLOOKUP(Tabela12[[#This Row],[Tag Cabo]],BD!A:F,6,0)</f>
        <v>1</v>
      </c>
      <c r="I2765" s="27"/>
      <c r="J2765" s="27"/>
    </row>
    <row r="2766" spans="1:10" x14ac:dyDescent="0.25">
      <c r="A2766" s="21" t="s">
        <v>245</v>
      </c>
      <c r="B2766" s="322" t="str">
        <f>VLOOKUP(Tabela12[[#This Row],[Painel]],Tabela13[],2,0)</f>
        <v>1MV</v>
      </c>
      <c r="C2766" s="391" t="s">
        <v>196</v>
      </c>
      <c r="D2766" s="21" t="s">
        <v>2067</v>
      </c>
      <c r="E2766" s="21">
        <v>11</v>
      </c>
      <c r="F2766" s="27" t="str">
        <f>Tabela12[[#This Row],[Régua]]&amp;" ("&amp;Tabela12[[#This Row],[Born]]&amp;")"</f>
        <v>F1A-B (11)</v>
      </c>
      <c r="G2766" s="27">
        <f>LEN(Tabela12[[#This Row],[Anilha]])</f>
        <v>10</v>
      </c>
      <c r="H2766" s="27">
        <f>VLOOKUP(Tabela12[[#This Row],[Tag Cabo]],BD!A:F,6,0)</f>
        <v>1</v>
      </c>
      <c r="I2766" s="27"/>
      <c r="J2766" s="27"/>
    </row>
    <row r="2767" spans="1:10" x14ac:dyDescent="0.25">
      <c r="A2767" s="21" t="s">
        <v>245</v>
      </c>
      <c r="B2767" s="322" t="str">
        <f>VLOOKUP(Tabela12[[#This Row],[Painel]],Tabela13[],2,0)</f>
        <v>1MV</v>
      </c>
      <c r="C2767" s="391" t="s">
        <v>196</v>
      </c>
      <c r="D2767" s="21" t="s">
        <v>2067</v>
      </c>
      <c r="E2767" s="21">
        <v>12</v>
      </c>
      <c r="F2767" s="27" t="str">
        <f>Tabela12[[#This Row],[Régua]]&amp;" ("&amp;Tabela12[[#This Row],[Born]]&amp;")"</f>
        <v>F1A-B (12)</v>
      </c>
      <c r="G2767" s="27">
        <f>LEN(Tabela12[[#This Row],[Anilha]])</f>
        <v>10</v>
      </c>
      <c r="H2767" s="27">
        <f>VLOOKUP(Tabela12[[#This Row],[Tag Cabo]],BD!A:F,6,0)</f>
        <v>1</v>
      </c>
      <c r="I2767" s="27"/>
      <c r="J2767" s="27"/>
    </row>
    <row r="2768" spans="1:10" x14ac:dyDescent="0.25">
      <c r="A2768" s="21" t="s">
        <v>245</v>
      </c>
      <c r="B2768" s="322" t="str">
        <f>VLOOKUP(Tabela12[[#This Row],[Painel]],Tabela13[],2,0)</f>
        <v>GA-906E</v>
      </c>
      <c r="C2768" s="391" t="s">
        <v>235</v>
      </c>
      <c r="D2768" s="21" t="s">
        <v>1754</v>
      </c>
      <c r="E2768" s="21">
        <v>1</v>
      </c>
      <c r="F2768" s="27" t="str">
        <f>Tabela12[[#This Row],[Régua]]&amp;" ("&amp;Tabela12[[#This Row],[Born]]&amp;")"</f>
        <v>TS1 (1)</v>
      </c>
      <c r="G2768" s="27">
        <f>LEN(Tabela12[[#This Row],[Anilha]])</f>
        <v>7</v>
      </c>
      <c r="H2768" s="27">
        <f>VLOOKUP(Tabela12[[#This Row],[Tag Cabo]],BD!A:F,6,0)</f>
        <v>1</v>
      </c>
      <c r="I2768" s="27"/>
      <c r="J2768" s="27"/>
    </row>
    <row r="2769" spans="1:10" x14ac:dyDescent="0.25">
      <c r="A2769" s="21" t="s">
        <v>245</v>
      </c>
      <c r="B2769" s="322" t="str">
        <f>VLOOKUP(Tabela12[[#This Row],[Painel]],Tabela13[],2,0)</f>
        <v>GA-906E</v>
      </c>
      <c r="C2769" s="391" t="s">
        <v>235</v>
      </c>
      <c r="D2769" s="21" t="s">
        <v>1754</v>
      </c>
      <c r="E2769" s="21">
        <v>2</v>
      </c>
      <c r="F2769" s="27" t="str">
        <f>Tabela12[[#This Row],[Régua]]&amp;" ("&amp;Tabela12[[#This Row],[Born]]&amp;")"</f>
        <v>TS1 (2)</v>
      </c>
      <c r="G2769" s="27">
        <f>LEN(Tabela12[[#This Row],[Anilha]])</f>
        <v>7</v>
      </c>
      <c r="H2769" s="27">
        <f>VLOOKUP(Tabela12[[#This Row],[Tag Cabo]],BD!A:F,6,0)</f>
        <v>1</v>
      </c>
      <c r="I2769" s="27"/>
      <c r="J2769" s="27"/>
    </row>
    <row r="2770" spans="1:10" x14ac:dyDescent="0.25">
      <c r="A2770" s="21" t="s">
        <v>245</v>
      </c>
      <c r="B2770" s="322" t="str">
        <f>VLOOKUP(Tabela12[[#This Row],[Painel]],Tabela13[],2,0)</f>
        <v>GA-906E</v>
      </c>
      <c r="C2770" s="391" t="s">
        <v>235</v>
      </c>
      <c r="D2770" s="21" t="s">
        <v>1754</v>
      </c>
      <c r="E2770" s="21">
        <v>3</v>
      </c>
      <c r="F2770" s="27" t="str">
        <f>Tabela12[[#This Row],[Régua]]&amp;" ("&amp;Tabela12[[#This Row],[Born]]&amp;")"</f>
        <v>TS1 (3)</v>
      </c>
      <c r="G2770" s="27">
        <f>LEN(Tabela12[[#This Row],[Anilha]])</f>
        <v>7</v>
      </c>
      <c r="H2770" s="27">
        <f>VLOOKUP(Tabela12[[#This Row],[Tag Cabo]],BD!A:F,6,0)</f>
        <v>1</v>
      </c>
      <c r="I2770" s="27"/>
      <c r="J2770" s="27"/>
    </row>
    <row r="2771" spans="1:10" x14ac:dyDescent="0.25">
      <c r="A2771" s="21" t="s">
        <v>245</v>
      </c>
      <c r="B2771" s="322" t="str">
        <f>VLOOKUP(Tabela12[[#This Row],[Painel]],Tabela13[],2,0)</f>
        <v>GA-906E</v>
      </c>
      <c r="C2771" s="391" t="s">
        <v>235</v>
      </c>
      <c r="D2771" s="21" t="s">
        <v>1754</v>
      </c>
      <c r="E2771" s="21">
        <v>4</v>
      </c>
      <c r="F2771" s="27" t="str">
        <f>Tabela12[[#This Row],[Régua]]&amp;" ("&amp;Tabela12[[#This Row],[Born]]&amp;")"</f>
        <v>TS1 (4)</v>
      </c>
      <c r="G2771" s="27">
        <f>LEN(Tabela12[[#This Row],[Anilha]])</f>
        <v>7</v>
      </c>
      <c r="H2771" s="27">
        <f>VLOOKUP(Tabela12[[#This Row],[Tag Cabo]],BD!A:F,6,0)</f>
        <v>1</v>
      </c>
      <c r="I2771" s="27"/>
      <c r="J2771" s="27"/>
    </row>
    <row r="2772" spans="1:10" x14ac:dyDescent="0.25">
      <c r="A2772" s="21" t="s">
        <v>245</v>
      </c>
      <c r="B2772" s="322" t="str">
        <f>VLOOKUP(Tabela12[[#This Row],[Painel]],Tabela13[],2,0)</f>
        <v>GA-906E</v>
      </c>
      <c r="C2772" s="391" t="s">
        <v>235</v>
      </c>
      <c r="D2772" s="21" t="s">
        <v>1754</v>
      </c>
      <c r="E2772" s="21">
        <v>5</v>
      </c>
      <c r="F2772" s="27" t="str">
        <f>Tabela12[[#This Row],[Régua]]&amp;" ("&amp;Tabela12[[#This Row],[Born]]&amp;")"</f>
        <v>TS1 (5)</v>
      </c>
      <c r="G2772" s="27">
        <f>LEN(Tabela12[[#This Row],[Anilha]])</f>
        <v>7</v>
      </c>
      <c r="H2772" s="27">
        <f>VLOOKUP(Tabela12[[#This Row],[Tag Cabo]],BD!A:F,6,0)</f>
        <v>1</v>
      </c>
      <c r="I2772" s="27"/>
      <c r="J2772" s="27"/>
    </row>
    <row r="2773" spans="1:10" x14ac:dyDescent="0.25">
      <c r="A2773" s="21" t="s">
        <v>245</v>
      </c>
      <c r="B2773" s="322" t="str">
        <f>VLOOKUP(Tabela12[[#This Row],[Painel]],Tabela13[],2,0)</f>
        <v>GA-906E</v>
      </c>
      <c r="C2773" s="391" t="s">
        <v>235</v>
      </c>
      <c r="D2773" s="21" t="s">
        <v>1754</v>
      </c>
      <c r="E2773" s="21">
        <v>6</v>
      </c>
      <c r="F2773" s="27" t="str">
        <f>Tabela12[[#This Row],[Régua]]&amp;" ("&amp;Tabela12[[#This Row],[Born]]&amp;")"</f>
        <v>TS1 (6)</v>
      </c>
      <c r="G2773" s="27">
        <f>LEN(Tabela12[[#This Row],[Anilha]])</f>
        <v>7</v>
      </c>
      <c r="H2773" s="27">
        <f>VLOOKUP(Tabela12[[#This Row],[Tag Cabo]],BD!A:F,6,0)</f>
        <v>1</v>
      </c>
      <c r="I2773" s="27"/>
      <c r="J2773" s="27"/>
    </row>
    <row r="2774" spans="1:10" x14ac:dyDescent="0.25">
      <c r="A2774" s="21" t="s">
        <v>245</v>
      </c>
      <c r="B2774" s="322" t="str">
        <f>VLOOKUP(Tabela12[[#This Row],[Painel]],Tabela13[],2,0)</f>
        <v>GA-906E</v>
      </c>
      <c r="C2774" s="391" t="s">
        <v>235</v>
      </c>
      <c r="D2774" s="21" t="s">
        <v>1754</v>
      </c>
      <c r="E2774" s="21">
        <v>7</v>
      </c>
      <c r="F2774" s="27" t="str">
        <f>Tabela12[[#This Row],[Régua]]&amp;" ("&amp;Tabela12[[#This Row],[Born]]&amp;")"</f>
        <v>TS1 (7)</v>
      </c>
      <c r="G2774" s="27">
        <f>LEN(Tabela12[[#This Row],[Anilha]])</f>
        <v>7</v>
      </c>
      <c r="H2774" s="27">
        <f>VLOOKUP(Tabela12[[#This Row],[Tag Cabo]],BD!A:F,6,0)</f>
        <v>1</v>
      </c>
      <c r="I2774" s="27"/>
      <c r="J2774" s="27"/>
    </row>
    <row r="2775" spans="1:10" x14ac:dyDescent="0.25">
      <c r="A2775" s="21" t="s">
        <v>245</v>
      </c>
      <c r="B2775" s="322" t="str">
        <f>VLOOKUP(Tabela12[[#This Row],[Painel]],Tabela13[],2,0)</f>
        <v>GA-906E</v>
      </c>
      <c r="C2775" s="391" t="s">
        <v>235</v>
      </c>
      <c r="D2775" s="21" t="s">
        <v>1754</v>
      </c>
      <c r="E2775" s="21">
        <v>8</v>
      </c>
      <c r="F2775" s="27" t="str">
        <f>Tabela12[[#This Row],[Régua]]&amp;" ("&amp;Tabela12[[#This Row],[Born]]&amp;")"</f>
        <v>TS1 (8)</v>
      </c>
      <c r="G2775" s="27">
        <f>LEN(Tabela12[[#This Row],[Anilha]])</f>
        <v>7</v>
      </c>
      <c r="H2775" s="27">
        <f>VLOOKUP(Tabela12[[#This Row],[Tag Cabo]],BD!A:F,6,0)</f>
        <v>1</v>
      </c>
      <c r="I2775" s="27"/>
      <c r="J2775" s="27"/>
    </row>
    <row r="2776" spans="1:10" x14ac:dyDescent="0.25">
      <c r="A2776" s="21" t="s">
        <v>245</v>
      </c>
      <c r="B2776" s="322" t="str">
        <f>VLOOKUP(Tabela12[[#This Row],[Painel]],Tabela13[],2,0)</f>
        <v>GA-906E</v>
      </c>
      <c r="C2776" s="391" t="s">
        <v>235</v>
      </c>
      <c r="D2776" s="21" t="s">
        <v>1754</v>
      </c>
      <c r="E2776" s="21">
        <v>9</v>
      </c>
      <c r="F2776" s="27" t="str">
        <f>Tabela12[[#This Row],[Régua]]&amp;" ("&amp;Tabela12[[#This Row],[Born]]&amp;")"</f>
        <v>TS1 (9)</v>
      </c>
      <c r="G2776" s="27">
        <f>LEN(Tabela12[[#This Row],[Anilha]])</f>
        <v>7</v>
      </c>
      <c r="H2776" s="27">
        <f>VLOOKUP(Tabela12[[#This Row],[Tag Cabo]],BD!A:F,6,0)</f>
        <v>1</v>
      </c>
      <c r="I2776" s="27"/>
      <c r="J2776" s="27"/>
    </row>
    <row r="2777" spans="1:10" x14ac:dyDescent="0.25">
      <c r="A2777" s="21" t="s">
        <v>245</v>
      </c>
      <c r="B2777" s="322" t="str">
        <f>VLOOKUP(Tabela12[[#This Row],[Painel]],Tabela13[],2,0)</f>
        <v>GA-906E</v>
      </c>
      <c r="C2777" s="391" t="s">
        <v>235</v>
      </c>
      <c r="D2777" s="21" t="s">
        <v>1754</v>
      </c>
      <c r="E2777" s="21">
        <v>10</v>
      </c>
      <c r="F2777" s="27" t="str">
        <f>Tabela12[[#This Row],[Régua]]&amp;" ("&amp;Tabela12[[#This Row],[Born]]&amp;")"</f>
        <v>TS1 (10)</v>
      </c>
      <c r="G2777" s="27">
        <f>LEN(Tabela12[[#This Row],[Anilha]])</f>
        <v>8</v>
      </c>
      <c r="H2777" s="27">
        <f>VLOOKUP(Tabela12[[#This Row],[Tag Cabo]],BD!A:F,6,0)</f>
        <v>1</v>
      </c>
      <c r="I2777" s="27"/>
      <c r="J2777" s="27"/>
    </row>
    <row r="2778" spans="1:10" x14ac:dyDescent="0.25">
      <c r="A2778" s="21" t="s">
        <v>245</v>
      </c>
      <c r="B2778" s="322" t="str">
        <f>VLOOKUP(Tabela12[[#This Row],[Painel]],Tabela13[],2,0)</f>
        <v>GA-906E</v>
      </c>
      <c r="C2778" s="391" t="s">
        <v>235</v>
      </c>
      <c r="D2778" s="21" t="s">
        <v>1754</v>
      </c>
      <c r="E2778" s="21">
        <v>11</v>
      </c>
      <c r="F2778" s="27" t="str">
        <f>Tabela12[[#This Row],[Régua]]&amp;" ("&amp;Tabela12[[#This Row],[Born]]&amp;")"</f>
        <v>TS1 (11)</v>
      </c>
      <c r="G2778" s="27">
        <f>LEN(Tabela12[[#This Row],[Anilha]])</f>
        <v>8</v>
      </c>
      <c r="H2778" s="27">
        <f>VLOOKUP(Tabela12[[#This Row],[Tag Cabo]],BD!A:F,6,0)</f>
        <v>1</v>
      </c>
      <c r="I2778" s="27"/>
      <c r="J2778" s="27"/>
    </row>
    <row r="2779" spans="1:10" x14ac:dyDescent="0.25">
      <c r="A2779" s="21" t="s">
        <v>245</v>
      </c>
      <c r="B2779" s="322" t="str">
        <f>VLOOKUP(Tabela12[[#This Row],[Painel]],Tabela13[],2,0)</f>
        <v>GA-906E</v>
      </c>
      <c r="C2779" s="391" t="s">
        <v>235</v>
      </c>
      <c r="D2779" s="21" t="s">
        <v>1754</v>
      </c>
      <c r="E2779" s="21">
        <v>12</v>
      </c>
      <c r="F2779" s="27" t="str">
        <f>Tabela12[[#This Row],[Régua]]&amp;" ("&amp;Tabela12[[#This Row],[Born]]&amp;")"</f>
        <v>TS1 (12)</v>
      </c>
      <c r="G2779" s="27">
        <f>LEN(Tabela12[[#This Row],[Anilha]])</f>
        <v>8</v>
      </c>
      <c r="H2779" s="27">
        <f>VLOOKUP(Tabela12[[#This Row],[Tag Cabo]],BD!A:F,6,0)</f>
        <v>1</v>
      </c>
      <c r="I2779" s="27"/>
      <c r="J2779" s="27"/>
    </row>
    <row r="2780" spans="1:10" x14ac:dyDescent="0.25">
      <c r="A2780" s="21" t="s">
        <v>245</v>
      </c>
      <c r="B2780" s="322" t="str">
        <f>VLOOKUP(Tabela12[[#This Row],[Painel]],Tabela13[],2,0)</f>
        <v>GA-906E</v>
      </c>
      <c r="C2780" s="391" t="s">
        <v>235</v>
      </c>
      <c r="D2780" s="21" t="s">
        <v>1754</v>
      </c>
      <c r="E2780" s="21">
        <v>13</v>
      </c>
      <c r="F2780" s="27" t="str">
        <f>Tabela12[[#This Row],[Régua]]&amp;" ("&amp;Tabela12[[#This Row],[Born]]&amp;")"</f>
        <v>TS1 (13)</v>
      </c>
      <c r="G2780" s="27">
        <f>LEN(Tabela12[[#This Row],[Anilha]])</f>
        <v>8</v>
      </c>
      <c r="H2780" s="27">
        <f>VLOOKUP(Tabela12[[#This Row],[Tag Cabo]],BD!A:F,6,0)</f>
        <v>1</v>
      </c>
      <c r="I2780" s="27"/>
      <c r="J2780" s="27"/>
    </row>
    <row r="2781" spans="1:10" x14ac:dyDescent="0.25">
      <c r="A2781" s="21" t="s">
        <v>245</v>
      </c>
      <c r="B2781" s="322" t="str">
        <f>VLOOKUP(Tabela12[[#This Row],[Painel]],Tabela13[],2,0)</f>
        <v>GA-906E</v>
      </c>
      <c r="C2781" s="391" t="s">
        <v>235</v>
      </c>
      <c r="D2781" s="21" t="s">
        <v>1754</v>
      </c>
      <c r="E2781" s="21">
        <v>14</v>
      </c>
      <c r="F2781" s="27" t="str">
        <f>Tabela12[[#This Row],[Régua]]&amp;" ("&amp;Tabela12[[#This Row],[Born]]&amp;")"</f>
        <v>TS1 (14)</v>
      </c>
      <c r="G2781" s="27">
        <f>LEN(Tabela12[[#This Row],[Anilha]])</f>
        <v>8</v>
      </c>
      <c r="H2781" s="27">
        <f>VLOOKUP(Tabela12[[#This Row],[Tag Cabo]],BD!A:F,6,0)</f>
        <v>1</v>
      </c>
      <c r="I2781" s="27"/>
      <c r="J2781" s="27"/>
    </row>
    <row r="2782" spans="1:10" x14ac:dyDescent="0.25">
      <c r="A2782" s="21" t="s">
        <v>245</v>
      </c>
      <c r="B2782" s="322" t="str">
        <f>VLOOKUP(Tabela12[[#This Row],[Painel]],Tabela13[],2,0)</f>
        <v>GA-906E</v>
      </c>
      <c r="C2782" s="391" t="s">
        <v>235</v>
      </c>
      <c r="D2782" s="21" t="s">
        <v>1754</v>
      </c>
      <c r="E2782" s="21">
        <v>15</v>
      </c>
      <c r="F2782" s="27" t="str">
        <f>Tabela12[[#This Row],[Régua]]&amp;" ("&amp;Tabela12[[#This Row],[Born]]&amp;")"</f>
        <v>TS1 (15)</v>
      </c>
      <c r="G2782" s="27">
        <f>LEN(Tabela12[[#This Row],[Anilha]])</f>
        <v>8</v>
      </c>
      <c r="H2782" s="27">
        <f>VLOOKUP(Tabela12[[#This Row],[Tag Cabo]],BD!A:F,6,0)</f>
        <v>1</v>
      </c>
      <c r="I2782" s="27"/>
      <c r="J2782" s="27"/>
    </row>
    <row r="2783" spans="1:10" x14ac:dyDescent="0.25">
      <c r="A2783" s="21" t="s">
        <v>245</v>
      </c>
      <c r="B2783" s="322" t="str">
        <f>VLOOKUP(Tabela12[[#This Row],[Painel]],Tabela13[],2,0)</f>
        <v>GA-906E</v>
      </c>
      <c r="C2783" s="391" t="s">
        <v>235</v>
      </c>
      <c r="D2783" s="21" t="s">
        <v>1754</v>
      </c>
      <c r="E2783" s="21">
        <v>16</v>
      </c>
      <c r="F2783" s="27" t="str">
        <f>Tabela12[[#This Row],[Régua]]&amp;" ("&amp;Tabela12[[#This Row],[Born]]&amp;")"</f>
        <v>TS1 (16)</v>
      </c>
      <c r="G2783" s="27">
        <f>LEN(Tabela12[[#This Row],[Anilha]])</f>
        <v>8</v>
      </c>
      <c r="H2783" s="27">
        <f>VLOOKUP(Tabela12[[#This Row],[Tag Cabo]],BD!A:F,6,0)</f>
        <v>1</v>
      </c>
      <c r="I2783" s="27"/>
      <c r="J2783" s="27"/>
    </row>
    <row r="2784" spans="1:10" x14ac:dyDescent="0.25">
      <c r="A2784" s="21" t="s">
        <v>245</v>
      </c>
      <c r="B2784" s="322" t="str">
        <f>VLOOKUP(Tabela12[[#This Row],[Painel]],Tabela13[],2,0)</f>
        <v>GA-906E</v>
      </c>
      <c r="C2784" s="391" t="s">
        <v>235</v>
      </c>
      <c r="D2784" s="21" t="s">
        <v>1754</v>
      </c>
      <c r="E2784" s="21">
        <v>17</v>
      </c>
      <c r="F2784" s="27" t="str">
        <f>Tabela12[[#This Row],[Régua]]&amp;" ("&amp;Tabela12[[#This Row],[Born]]&amp;")"</f>
        <v>TS1 (17)</v>
      </c>
      <c r="G2784" s="27">
        <f>LEN(Tabela12[[#This Row],[Anilha]])</f>
        <v>8</v>
      </c>
      <c r="H2784" s="27">
        <f>VLOOKUP(Tabela12[[#This Row],[Tag Cabo]],BD!A:F,6,0)</f>
        <v>1</v>
      </c>
      <c r="I2784" s="27"/>
      <c r="J2784" s="27"/>
    </row>
    <row r="2785" spans="1:10" x14ac:dyDescent="0.25">
      <c r="A2785" s="21" t="s">
        <v>245</v>
      </c>
      <c r="B2785" s="322" t="str">
        <f>VLOOKUP(Tabela12[[#This Row],[Painel]],Tabela13[],2,0)</f>
        <v>GA-906E</v>
      </c>
      <c r="C2785" s="391" t="s">
        <v>235</v>
      </c>
      <c r="D2785" s="21" t="s">
        <v>1754</v>
      </c>
      <c r="E2785" s="21">
        <v>18</v>
      </c>
      <c r="F2785" s="27" t="str">
        <f>Tabela12[[#This Row],[Régua]]&amp;" ("&amp;Tabela12[[#This Row],[Born]]&amp;")"</f>
        <v>TS1 (18)</v>
      </c>
      <c r="G2785" s="27">
        <f>LEN(Tabela12[[#This Row],[Anilha]])</f>
        <v>8</v>
      </c>
      <c r="H2785" s="27">
        <f>VLOOKUP(Tabela12[[#This Row],[Tag Cabo]],BD!A:F,6,0)</f>
        <v>1</v>
      </c>
      <c r="I2785" s="27"/>
      <c r="J2785" s="27"/>
    </row>
    <row r="2786" spans="1:10" x14ac:dyDescent="0.25">
      <c r="A2786" s="21" t="s">
        <v>245</v>
      </c>
      <c r="B2786" s="322" t="str">
        <f>VLOOKUP(Tabela12[[#This Row],[Painel]],Tabela13[],2,0)</f>
        <v>GA-906E</v>
      </c>
      <c r="C2786" s="391" t="s">
        <v>235</v>
      </c>
      <c r="D2786" s="21" t="s">
        <v>1816</v>
      </c>
      <c r="E2786" s="21">
        <v>1</v>
      </c>
      <c r="F2786" s="27" t="str">
        <f>Tabela12[[#This Row],[Régua]]&amp;" ("&amp;Tabela12[[#This Row],[Born]]&amp;")"</f>
        <v>TS2 (1)</v>
      </c>
      <c r="G2786" s="27">
        <f>LEN(Tabela12[[#This Row],[Anilha]])</f>
        <v>7</v>
      </c>
      <c r="H2786" s="27">
        <f>VLOOKUP(Tabela12[[#This Row],[Tag Cabo]],BD!A:F,6,0)</f>
        <v>1</v>
      </c>
      <c r="I2786" s="27"/>
      <c r="J2786" s="27"/>
    </row>
    <row r="2787" spans="1:10" x14ac:dyDescent="0.25">
      <c r="A2787" s="21" t="s">
        <v>245</v>
      </c>
      <c r="B2787" s="322" t="str">
        <f>VLOOKUP(Tabela12[[#This Row],[Painel]],Tabela13[],2,0)</f>
        <v>GA-906E</v>
      </c>
      <c r="C2787" s="391" t="s">
        <v>235</v>
      </c>
      <c r="D2787" s="21" t="s">
        <v>1816</v>
      </c>
      <c r="E2787" s="21">
        <v>2</v>
      </c>
      <c r="F2787" s="27" t="str">
        <f>Tabela12[[#This Row],[Régua]]&amp;" ("&amp;Tabela12[[#This Row],[Born]]&amp;")"</f>
        <v>TS2 (2)</v>
      </c>
      <c r="G2787" s="27">
        <f>LEN(Tabela12[[#This Row],[Anilha]])</f>
        <v>7</v>
      </c>
      <c r="H2787" s="27">
        <f>VLOOKUP(Tabela12[[#This Row],[Tag Cabo]],BD!A:F,6,0)</f>
        <v>1</v>
      </c>
      <c r="I2787" s="27"/>
      <c r="J2787" s="27"/>
    </row>
    <row r="2788" spans="1:10" x14ac:dyDescent="0.25">
      <c r="A2788" s="21" t="s">
        <v>245</v>
      </c>
      <c r="B2788" s="322" t="str">
        <f>VLOOKUP(Tabela12[[#This Row],[Painel]],Tabela13[],2,0)</f>
        <v>GA-906E</v>
      </c>
      <c r="C2788" s="391" t="s">
        <v>235</v>
      </c>
      <c r="D2788" s="21" t="s">
        <v>1816</v>
      </c>
      <c r="E2788" s="21">
        <v>3</v>
      </c>
      <c r="F2788" s="27" t="str">
        <f>Tabela12[[#This Row],[Régua]]&amp;" ("&amp;Tabela12[[#This Row],[Born]]&amp;")"</f>
        <v>TS2 (3)</v>
      </c>
      <c r="G2788" s="27">
        <f>LEN(Tabela12[[#This Row],[Anilha]])</f>
        <v>7</v>
      </c>
      <c r="H2788" s="27">
        <f>VLOOKUP(Tabela12[[#This Row],[Tag Cabo]],BD!A:F,6,0)</f>
        <v>1</v>
      </c>
      <c r="I2788" s="27"/>
      <c r="J2788" s="27"/>
    </row>
    <row r="2789" spans="1:10" x14ac:dyDescent="0.25">
      <c r="A2789" s="21" t="s">
        <v>245</v>
      </c>
      <c r="B2789" s="322" t="str">
        <f>VLOOKUP(Tabela12[[#This Row],[Painel]],Tabela13[],2,0)</f>
        <v>GA-906E</v>
      </c>
      <c r="C2789" s="391" t="s">
        <v>235</v>
      </c>
      <c r="D2789" s="21" t="s">
        <v>1816</v>
      </c>
      <c r="E2789" s="21">
        <v>4</v>
      </c>
      <c r="F2789" s="27" t="str">
        <f>Tabela12[[#This Row],[Régua]]&amp;" ("&amp;Tabela12[[#This Row],[Born]]&amp;")"</f>
        <v>TS2 (4)</v>
      </c>
      <c r="G2789" s="27">
        <f>LEN(Tabela12[[#This Row],[Anilha]])</f>
        <v>7</v>
      </c>
      <c r="H2789" s="27">
        <f>VLOOKUP(Tabela12[[#This Row],[Tag Cabo]],BD!A:F,6,0)</f>
        <v>1</v>
      </c>
      <c r="I2789" s="27"/>
      <c r="J2789" s="27"/>
    </row>
    <row r="2790" spans="1:10" x14ac:dyDescent="0.25">
      <c r="A2790" s="21" t="s">
        <v>245</v>
      </c>
      <c r="B2790" s="322" t="str">
        <f>VLOOKUP(Tabela12[[#This Row],[Painel]],Tabela13[],2,0)</f>
        <v>GA-906E</v>
      </c>
      <c r="C2790" s="391" t="s">
        <v>235</v>
      </c>
      <c r="D2790" s="21" t="s">
        <v>1816</v>
      </c>
      <c r="E2790" s="21">
        <v>5</v>
      </c>
      <c r="F2790" s="27" t="str">
        <f>Tabela12[[#This Row],[Régua]]&amp;" ("&amp;Tabela12[[#This Row],[Born]]&amp;")"</f>
        <v>TS2 (5)</v>
      </c>
      <c r="G2790" s="27">
        <f>LEN(Tabela12[[#This Row],[Anilha]])</f>
        <v>7</v>
      </c>
      <c r="H2790" s="27">
        <f>VLOOKUP(Tabela12[[#This Row],[Tag Cabo]],BD!A:F,6,0)</f>
        <v>1</v>
      </c>
      <c r="I2790" s="27"/>
      <c r="J2790" s="27"/>
    </row>
    <row r="2791" spans="1:10" x14ac:dyDescent="0.25">
      <c r="A2791" s="21" t="s">
        <v>245</v>
      </c>
      <c r="B2791" s="322" t="str">
        <f>VLOOKUP(Tabela12[[#This Row],[Painel]],Tabela13[],2,0)</f>
        <v>GA-906E</v>
      </c>
      <c r="C2791" s="391" t="s">
        <v>235</v>
      </c>
      <c r="D2791" s="21" t="s">
        <v>1816</v>
      </c>
      <c r="E2791" s="21">
        <v>6</v>
      </c>
      <c r="F2791" s="27" t="str">
        <f>Tabela12[[#This Row],[Régua]]&amp;" ("&amp;Tabela12[[#This Row],[Born]]&amp;")"</f>
        <v>TS2 (6)</v>
      </c>
      <c r="G2791" s="27">
        <f>LEN(Tabela12[[#This Row],[Anilha]])</f>
        <v>7</v>
      </c>
      <c r="H2791" s="27">
        <f>VLOOKUP(Tabela12[[#This Row],[Tag Cabo]],BD!A:F,6,0)</f>
        <v>1</v>
      </c>
      <c r="I2791" s="27"/>
      <c r="J2791" s="27"/>
    </row>
    <row r="2792" spans="1:10" x14ac:dyDescent="0.25">
      <c r="A2792" s="21" t="s">
        <v>288</v>
      </c>
      <c r="B2792" s="322" t="str">
        <f>VLOOKUP(Tabela12[[#This Row],[Painel]],Tabela13[],2,0)</f>
        <v>1MV</v>
      </c>
      <c r="C2792" s="391" t="s">
        <v>196</v>
      </c>
      <c r="D2792" s="21" t="s">
        <v>2066</v>
      </c>
      <c r="E2792" s="21">
        <v>1</v>
      </c>
      <c r="F2792" s="27" t="str">
        <f>Tabela12[[#This Row],[Régua]]&amp;" ("&amp;Tabela12[[#This Row],[Born]]&amp;")"</f>
        <v>F1A-A (1)</v>
      </c>
      <c r="G2792" s="27">
        <f>LEN(Tabela12[[#This Row],[Anilha]])</f>
        <v>9</v>
      </c>
      <c r="H2792" s="27">
        <f>VLOOKUP(Tabela12[[#This Row],[Tag Cabo]],BD!A:F,6,0)</f>
        <v>1</v>
      </c>
      <c r="I2792" s="27"/>
      <c r="J2792" s="27"/>
    </row>
    <row r="2793" spans="1:10" x14ac:dyDescent="0.25">
      <c r="A2793" s="21" t="s">
        <v>288</v>
      </c>
      <c r="B2793" s="322" t="str">
        <f>VLOOKUP(Tabela12[[#This Row],[Painel]],Tabela13[],2,0)</f>
        <v>1MV</v>
      </c>
      <c r="C2793" s="391" t="s">
        <v>196</v>
      </c>
      <c r="D2793" s="21" t="s">
        <v>2066</v>
      </c>
      <c r="E2793" s="21">
        <v>2</v>
      </c>
      <c r="F2793" s="27" t="str">
        <f>Tabela12[[#This Row],[Régua]]&amp;" ("&amp;Tabela12[[#This Row],[Born]]&amp;")"</f>
        <v>F1A-A (2)</v>
      </c>
      <c r="G2793" s="27">
        <f>LEN(Tabela12[[#This Row],[Anilha]])</f>
        <v>9</v>
      </c>
      <c r="H2793" s="27">
        <f>VLOOKUP(Tabela12[[#This Row],[Tag Cabo]],BD!A:F,6,0)</f>
        <v>1</v>
      </c>
      <c r="I2793" s="27"/>
      <c r="J2793" s="27"/>
    </row>
    <row r="2794" spans="1:10" x14ac:dyDescent="0.25">
      <c r="A2794" s="21" t="s">
        <v>288</v>
      </c>
      <c r="B2794" s="322" t="str">
        <f>VLOOKUP(Tabela12[[#This Row],[Painel]],Tabela13[],2,0)</f>
        <v>1MV</v>
      </c>
      <c r="C2794" s="391" t="s">
        <v>196</v>
      </c>
      <c r="D2794" s="21" t="s">
        <v>2066</v>
      </c>
      <c r="E2794" s="21">
        <v>3</v>
      </c>
      <c r="F2794" s="27" t="str">
        <f>Tabela12[[#This Row],[Régua]]&amp;" ("&amp;Tabela12[[#This Row],[Born]]&amp;")"</f>
        <v>F1A-A (3)</v>
      </c>
      <c r="G2794" s="27">
        <f>LEN(Tabela12[[#This Row],[Anilha]])</f>
        <v>9</v>
      </c>
      <c r="H2794" s="27">
        <f>VLOOKUP(Tabela12[[#This Row],[Tag Cabo]],BD!A:F,6,0)</f>
        <v>1</v>
      </c>
      <c r="I2794" s="27"/>
      <c r="J2794" s="27"/>
    </row>
    <row r="2795" spans="1:10" x14ac:dyDescent="0.25">
      <c r="A2795" s="21" t="s">
        <v>288</v>
      </c>
      <c r="B2795" s="322" t="str">
        <f>VLOOKUP(Tabela12[[#This Row],[Painel]],Tabela13[],2,0)</f>
        <v>1MV</v>
      </c>
      <c r="C2795" s="391" t="s">
        <v>196</v>
      </c>
      <c r="D2795" s="21" t="s">
        <v>2066</v>
      </c>
      <c r="E2795" s="21">
        <v>4</v>
      </c>
      <c r="F2795" s="27" t="str">
        <f>Tabela12[[#This Row],[Régua]]&amp;" ("&amp;Tabela12[[#This Row],[Born]]&amp;")"</f>
        <v>F1A-A (4)</v>
      </c>
      <c r="G2795" s="27">
        <f>LEN(Tabela12[[#This Row],[Anilha]])</f>
        <v>9</v>
      </c>
      <c r="H2795" s="27">
        <f>VLOOKUP(Tabela12[[#This Row],[Tag Cabo]],BD!A:F,6,0)</f>
        <v>1</v>
      </c>
      <c r="I2795" s="27"/>
      <c r="J2795" s="27"/>
    </row>
    <row r="2796" spans="1:10" x14ac:dyDescent="0.25">
      <c r="A2796" s="21" t="s">
        <v>288</v>
      </c>
      <c r="B2796" s="322" t="str">
        <f>VLOOKUP(Tabela12[[#This Row],[Painel]],Tabela13[],2,0)</f>
        <v>1MV</v>
      </c>
      <c r="C2796" s="391" t="s">
        <v>196</v>
      </c>
      <c r="D2796" s="21" t="s">
        <v>2066</v>
      </c>
      <c r="E2796" s="21">
        <v>5</v>
      </c>
      <c r="F2796" s="27" t="str">
        <f>Tabela12[[#This Row],[Régua]]&amp;" ("&amp;Tabela12[[#This Row],[Born]]&amp;")"</f>
        <v>F1A-A (5)</v>
      </c>
      <c r="G2796" s="27">
        <f>LEN(Tabela12[[#This Row],[Anilha]])</f>
        <v>9</v>
      </c>
      <c r="H2796" s="27">
        <f>VLOOKUP(Tabela12[[#This Row],[Tag Cabo]],BD!A:F,6,0)</f>
        <v>1</v>
      </c>
      <c r="I2796" s="27"/>
      <c r="J2796" s="27"/>
    </row>
    <row r="2797" spans="1:10" x14ac:dyDescent="0.25">
      <c r="A2797" s="21" t="s">
        <v>288</v>
      </c>
      <c r="B2797" s="322" t="str">
        <f>VLOOKUP(Tabela12[[#This Row],[Painel]],Tabela13[],2,0)</f>
        <v>1MV</v>
      </c>
      <c r="C2797" s="391" t="s">
        <v>196</v>
      </c>
      <c r="D2797" s="21" t="s">
        <v>2066</v>
      </c>
      <c r="E2797" s="21">
        <v>6</v>
      </c>
      <c r="F2797" s="27" t="str">
        <f>Tabela12[[#This Row],[Régua]]&amp;" ("&amp;Tabela12[[#This Row],[Born]]&amp;")"</f>
        <v>F1A-A (6)</v>
      </c>
      <c r="G2797" s="27">
        <f>LEN(Tabela12[[#This Row],[Anilha]])</f>
        <v>9</v>
      </c>
      <c r="H2797" s="27">
        <f>VLOOKUP(Tabela12[[#This Row],[Tag Cabo]],BD!A:F,6,0)</f>
        <v>1</v>
      </c>
      <c r="I2797" s="27"/>
      <c r="J2797" s="27"/>
    </row>
    <row r="2798" spans="1:10" x14ac:dyDescent="0.25">
      <c r="A2798" s="21" t="s">
        <v>288</v>
      </c>
      <c r="B2798" s="322" t="str">
        <f>VLOOKUP(Tabela12[[#This Row],[Painel]],Tabela13[],2,0)</f>
        <v>1MV</v>
      </c>
      <c r="C2798" s="391" t="s">
        <v>196</v>
      </c>
      <c r="D2798" s="21" t="s">
        <v>2066</v>
      </c>
      <c r="E2798" s="21">
        <v>7</v>
      </c>
      <c r="F2798" s="27" t="str">
        <f>Tabela12[[#This Row],[Régua]]&amp;" ("&amp;Tabela12[[#This Row],[Born]]&amp;")"</f>
        <v>F1A-A (7)</v>
      </c>
      <c r="G2798" s="27">
        <f>LEN(Tabela12[[#This Row],[Anilha]])</f>
        <v>9</v>
      </c>
      <c r="H2798" s="27">
        <f>VLOOKUP(Tabela12[[#This Row],[Tag Cabo]],BD!A:F,6,0)</f>
        <v>1</v>
      </c>
      <c r="I2798" s="27"/>
      <c r="J2798" s="27"/>
    </row>
    <row r="2799" spans="1:10" x14ac:dyDescent="0.25">
      <c r="A2799" s="21" t="s">
        <v>288</v>
      </c>
      <c r="B2799" s="322" t="str">
        <f>VLOOKUP(Tabela12[[#This Row],[Painel]],Tabela13[],2,0)</f>
        <v>1MV</v>
      </c>
      <c r="C2799" s="391" t="s">
        <v>196</v>
      </c>
      <c r="D2799" s="21" t="s">
        <v>2066</v>
      </c>
      <c r="E2799" s="21">
        <v>8</v>
      </c>
      <c r="F2799" s="27" t="str">
        <f>Tabela12[[#This Row],[Régua]]&amp;" ("&amp;Tabela12[[#This Row],[Born]]&amp;")"</f>
        <v>F1A-A (8)</v>
      </c>
      <c r="G2799" s="27">
        <f>LEN(Tabela12[[#This Row],[Anilha]])</f>
        <v>9</v>
      </c>
      <c r="H2799" s="27">
        <f>VLOOKUP(Tabela12[[#This Row],[Tag Cabo]],BD!A:F,6,0)</f>
        <v>1</v>
      </c>
      <c r="I2799" s="27"/>
      <c r="J2799" s="27"/>
    </row>
    <row r="2800" spans="1:10" x14ac:dyDescent="0.25">
      <c r="A2800" s="21" t="s">
        <v>288</v>
      </c>
      <c r="B2800" s="322" t="str">
        <f>VLOOKUP(Tabela12[[#This Row],[Painel]],Tabela13[],2,0)</f>
        <v>1MV</v>
      </c>
      <c r="C2800" s="391" t="s">
        <v>196</v>
      </c>
      <c r="D2800" s="21" t="s">
        <v>2066</v>
      </c>
      <c r="E2800" s="21">
        <v>9</v>
      </c>
      <c r="F2800" s="27" t="str">
        <f>Tabela12[[#This Row],[Régua]]&amp;" ("&amp;Tabela12[[#This Row],[Born]]&amp;")"</f>
        <v>F1A-A (9)</v>
      </c>
      <c r="G2800" s="27">
        <f>LEN(Tabela12[[#This Row],[Anilha]])</f>
        <v>9</v>
      </c>
      <c r="H2800" s="27">
        <f>VLOOKUP(Tabela12[[#This Row],[Tag Cabo]],BD!A:F,6,0)</f>
        <v>1</v>
      </c>
      <c r="I2800" s="27"/>
      <c r="J2800" s="27"/>
    </row>
    <row r="2801" spans="1:10" x14ac:dyDescent="0.25">
      <c r="A2801" s="21" t="s">
        <v>288</v>
      </c>
      <c r="B2801" s="322" t="str">
        <f>VLOOKUP(Tabela12[[#This Row],[Painel]],Tabela13[],2,0)</f>
        <v>1MV</v>
      </c>
      <c r="C2801" s="391" t="s">
        <v>196</v>
      </c>
      <c r="D2801" s="21" t="s">
        <v>2066</v>
      </c>
      <c r="E2801" s="21">
        <v>10</v>
      </c>
      <c r="F2801" s="27" t="str">
        <f>Tabela12[[#This Row],[Régua]]&amp;" ("&amp;Tabela12[[#This Row],[Born]]&amp;")"</f>
        <v>F1A-A (10)</v>
      </c>
      <c r="G2801" s="27">
        <f>LEN(Tabela12[[#This Row],[Anilha]])</f>
        <v>10</v>
      </c>
      <c r="H2801" s="27">
        <f>VLOOKUP(Tabela12[[#This Row],[Tag Cabo]],BD!A:F,6,0)</f>
        <v>1</v>
      </c>
      <c r="I2801" s="27"/>
      <c r="J2801" s="27"/>
    </row>
    <row r="2802" spans="1:10" x14ac:dyDescent="0.25">
      <c r="A2802" s="21" t="s">
        <v>288</v>
      </c>
      <c r="B2802" s="322" t="str">
        <f>VLOOKUP(Tabela12[[#This Row],[Painel]],Tabela13[],2,0)</f>
        <v>1MV</v>
      </c>
      <c r="C2802" s="391" t="s">
        <v>196</v>
      </c>
      <c r="D2802" s="21" t="s">
        <v>2066</v>
      </c>
      <c r="E2802" s="21">
        <v>11</v>
      </c>
      <c r="F2802" s="27" t="str">
        <f>Tabela12[[#This Row],[Régua]]&amp;" ("&amp;Tabela12[[#This Row],[Born]]&amp;")"</f>
        <v>F1A-A (11)</v>
      </c>
      <c r="G2802" s="27">
        <f>LEN(Tabela12[[#This Row],[Anilha]])</f>
        <v>10</v>
      </c>
      <c r="H2802" s="27">
        <f>VLOOKUP(Tabela12[[#This Row],[Tag Cabo]],BD!A:F,6,0)</f>
        <v>1</v>
      </c>
      <c r="I2802" s="27"/>
      <c r="J2802" s="27"/>
    </row>
    <row r="2803" spans="1:10" x14ac:dyDescent="0.25">
      <c r="A2803" s="21" t="s">
        <v>288</v>
      </c>
      <c r="B2803" s="322" t="str">
        <f>VLOOKUP(Tabela12[[#This Row],[Painel]],Tabela13[],2,0)</f>
        <v>1MV</v>
      </c>
      <c r="C2803" s="391" t="s">
        <v>196</v>
      </c>
      <c r="D2803" s="21" t="s">
        <v>2066</v>
      </c>
      <c r="E2803" s="21">
        <v>12</v>
      </c>
      <c r="F2803" s="27" t="str">
        <f>Tabela12[[#This Row],[Régua]]&amp;" ("&amp;Tabela12[[#This Row],[Born]]&amp;")"</f>
        <v>F1A-A (12)</v>
      </c>
      <c r="G2803" s="27">
        <f>LEN(Tabela12[[#This Row],[Anilha]])</f>
        <v>10</v>
      </c>
      <c r="H2803" s="27">
        <f>VLOOKUP(Tabela12[[#This Row],[Tag Cabo]],BD!A:F,6,0)</f>
        <v>1</v>
      </c>
      <c r="I2803" s="27"/>
      <c r="J2803" s="27"/>
    </row>
    <row r="2804" spans="1:10" x14ac:dyDescent="0.25">
      <c r="A2804" s="21" t="s">
        <v>288</v>
      </c>
      <c r="B2804" s="322" t="str">
        <f>VLOOKUP(Tabela12[[#This Row],[Painel]],Tabela13[],2,0)</f>
        <v>1MV</v>
      </c>
      <c r="C2804" s="391" t="s">
        <v>196</v>
      </c>
      <c r="D2804" s="21" t="s">
        <v>2067</v>
      </c>
      <c r="E2804" s="21">
        <v>1</v>
      </c>
      <c r="F2804" s="27" t="str">
        <f>Tabela12[[#This Row],[Régua]]&amp;" ("&amp;Tabela12[[#This Row],[Born]]&amp;")"</f>
        <v>F1A-B (1)</v>
      </c>
      <c r="G2804" s="27">
        <f>LEN(Tabela12[[#This Row],[Anilha]])</f>
        <v>9</v>
      </c>
      <c r="H2804" s="27">
        <f>VLOOKUP(Tabela12[[#This Row],[Tag Cabo]],BD!A:F,6,0)</f>
        <v>1</v>
      </c>
      <c r="I2804" s="27"/>
      <c r="J2804" s="27"/>
    </row>
    <row r="2805" spans="1:10" x14ac:dyDescent="0.25">
      <c r="A2805" s="21" t="s">
        <v>288</v>
      </c>
      <c r="B2805" s="322" t="str">
        <f>VLOOKUP(Tabela12[[#This Row],[Painel]],Tabela13[],2,0)</f>
        <v>1MV</v>
      </c>
      <c r="C2805" s="391" t="s">
        <v>196</v>
      </c>
      <c r="D2805" s="21" t="s">
        <v>2067</v>
      </c>
      <c r="E2805" s="21">
        <v>2</v>
      </c>
      <c r="F2805" s="27" t="str">
        <f>Tabela12[[#This Row],[Régua]]&amp;" ("&amp;Tabela12[[#This Row],[Born]]&amp;")"</f>
        <v>F1A-B (2)</v>
      </c>
      <c r="G2805" s="27">
        <f>LEN(Tabela12[[#This Row],[Anilha]])</f>
        <v>9</v>
      </c>
      <c r="H2805" s="27">
        <f>VLOOKUP(Tabela12[[#This Row],[Tag Cabo]],BD!A:F,6,0)</f>
        <v>1</v>
      </c>
      <c r="I2805" s="27"/>
      <c r="J2805" s="27"/>
    </row>
    <row r="2806" spans="1:10" x14ac:dyDescent="0.25">
      <c r="A2806" s="21" t="s">
        <v>288</v>
      </c>
      <c r="B2806" s="322" t="str">
        <f>VLOOKUP(Tabela12[[#This Row],[Painel]],Tabela13[],2,0)</f>
        <v>1MV</v>
      </c>
      <c r="C2806" s="391" t="s">
        <v>196</v>
      </c>
      <c r="D2806" s="21" t="s">
        <v>2067</v>
      </c>
      <c r="E2806" s="21">
        <v>3</v>
      </c>
      <c r="F2806" s="27" t="str">
        <f>Tabela12[[#This Row],[Régua]]&amp;" ("&amp;Tabela12[[#This Row],[Born]]&amp;")"</f>
        <v>F1A-B (3)</v>
      </c>
      <c r="G2806" s="27">
        <f>LEN(Tabela12[[#This Row],[Anilha]])</f>
        <v>9</v>
      </c>
      <c r="H2806" s="27">
        <f>VLOOKUP(Tabela12[[#This Row],[Tag Cabo]],BD!A:F,6,0)</f>
        <v>1</v>
      </c>
      <c r="I2806" s="27"/>
      <c r="J2806" s="27"/>
    </row>
    <row r="2807" spans="1:10" x14ac:dyDescent="0.25">
      <c r="A2807" s="21" t="s">
        <v>288</v>
      </c>
      <c r="B2807" s="322" t="str">
        <f>VLOOKUP(Tabela12[[#This Row],[Painel]],Tabela13[],2,0)</f>
        <v>1MV</v>
      </c>
      <c r="C2807" s="391" t="s">
        <v>196</v>
      </c>
      <c r="D2807" s="21" t="s">
        <v>2067</v>
      </c>
      <c r="E2807" s="21">
        <v>4</v>
      </c>
      <c r="F2807" s="27" t="str">
        <f>Tabela12[[#This Row],[Régua]]&amp;" ("&amp;Tabela12[[#This Row],[Born]]&amp;")"</f>
        <v>F1A-B (4)</v>
      </c>
      <c r="G2807" s="27">
        <f>LEN(Tabela12[[#This Row],[Anilha]])</f>
        <v>9</v>
      </c>
      <c r="H2807" s="27">
        <f>VLOOKUP(Tabela12[[#This Row],[Tag Cabo]],BD!A:F,6,0)</f>
        <v>1</v>
      </c>
      <c r="I2807" s="27"/>
      <c r="J2807" s="27"/>
    </row>
    <row r="2808" spans="1:10" x14ac:dyDescent="0.25">
      <c r="A2808" s="21" t="s">
        <v>288</v>
      </c>
      <c r="B2808" s="322" t="str">
        <f>VLOOKUP(Tabela12[[#This Row],[Painel]],Tabela13[],2,0)</f>
        <v>1MV</v>
      </c>
      <c r="C2808" s="391" t="s">
        <v>196</v>
      </c>
      <c r="D2808" s="21" t="s">
        <v>2067</v>
      </c>
      <c r="E2808" s="21">
        <v>5</v>
      </c>
      <c r="F2808" s="27" t="str">
        <f>Tabela12[[#This Row],[Régua]]&amp;" ("&amp;Tabela12[[#This Row],[Born]]&amp;")"</f>
        <v>F1A-B (5)</v>
      </c>
      <c r="G2808" s="27">
        <f>LEN(Tabela12[[#This Row],[Anilha]])</f>
        <v>9</v>
      </c>
      <c r="H2808" s="27">
        <f>VLOOKUP(Tabela12[[#This Row],[Tag Cabo]],BD!A:F,6,0)</f>
        <v>1</v>
      </c>
      <c r="I2808" s="27"/>
      <c r="J2808" s="27"/>
    </row>
    <row r="2809" spans="1:10" x14ac:dyDescent="0.25">
      <c r="A2809" s="21" t="s">
        <v>288</v>
      </c>
      <c r="B2809" s="322" t="str">
        <f>VLOOKUP(Tabela12[[#This Row],[Painel]],Tabela13[],2,0)</f>
        <v>1MV</v>
      </c>
      <c r="C2809" s="391" t="s">
        <v>196</v>
      </c>
      <c r="D2809" s="21" t="s">
        <v>2067</v>
      </c>
      <c r="E2809" s="21">
        <v>6</v>
      </c>
      <c r="F2809" s="27" t="str">
        <f>Tabela12[[#This Row],[Régua]]&amp;" ("&amp;Tabela12[[#This Row],[Born]]&amp;")"</f>
        <v>F1A-B (6)</v>
      </c>
      <c r="G2809" s="27">
        <f>LEN(Tabela12[[#This Row],[Anilha]])</f>
        <v>9</v>
      </c>
      <c r="H2809" s="27">
        <f>VLOOKUP(Tabela12[[#This Row],[Tag Cabo]],BD!A:F,6,0)</f>
        <v>1</v>
      </c>
      <c r="I2809" s="27"/>
      <c r="J2809" s="27"/>
    </row>
    <row r="2810" spans="1:10" x14ac:dyDescent="0.25">
      <c r="A2810" s="21" t="s">
        <v>288</v>
      </c>
      <c r="B2810" s="322" t="str">
        <f>VLOOKUP(Tabela12[[#This Row],[Painel]],Tabela13[],2,0)</f>
        <v>1MV</v>
      </c>
      <c r="C2810" s="391" t="s">
        <v>196</v>
      </c>
      <c r="D2810" s="21" t="s">
        <v>2067</v>
      </c>
      <c r="E2810" s="21">
        <v>7</v>
      </c>
      <c r="F2810" s="27" t="str">
        <f>Tabela12[[#This Row],[Régua]]&amp;" ("&amp;Tabela12[[#This Row],[Born]]&amp;")"</f>
        <v>F1A-B (7)</v>
      </c>
      <c r="G2810" s="27">
        <f>LEN(Tabela12[[#This Row],[Anilha]])</f>
        <v>9</v>
      </c>
      <c r="H2810" s="27">
        <f>VLOOKUP(Tabela12[[#This Row],[Tag Cabo]],BD!A:F,6,0)</f>
        <v>1</v>
      </c>
      <c r="I2810" s="27"/>
      <c r="J2810" s="27"/>
    </row>
    <row r="2811" spans="1:10" x14ac:dyDescent="0.25">
      <c r="A2811" s="21" t="s">
        <v>288</v>
      </c>
      <c r="B2811" s="322" t="str">
        <f>VLOOKUP(Tabela12[[#This Row],[Painel]],Tabela13[],2,0)</f>
        <v>1MV</v>
      </c>
      <c r="C2811" s="391" t="s">
        <v>196</v>
      </c>
      <c r="D2811" s="21" t="s">
        <v>2067</v>
      </c>
      <c r="E2811" s="21">
        <v>8</v>
      </c>
      <c r="F2811" s="27" t="str">
        <f>Tabela12[[#This Row],[Régua]]&amp;" ("&amp;Tabela12[[#This Row],[Born]]&amp;")"</f>
        <v>F1A-B (8)</v>
      </c>
      <c r="G2811" s="27">
        <f>LEN(Tabela12[[#This Row],[Anilha]])</f>
        <v>9</v>
      </c>
      <c r="H2811" s="27">
        <f>VLOOKUP(Tabela12[[#This Row],[Tag Cabo]],BD!A:F,6,0)</f>
        <v>1</v>
      </c>
      <c r="I2811" s="27"/>
      <c r="J2811" s="27"/>
    </row>
    <row r="2812" spans="1:10" x14ac:dyDescent="0.25">
      <c r="A2812" s="21" t="s">
        <v>288</v>
      </c>
      <c r="B2812" s="322" t="str">
        <f>VLOOKUP(Tabela12[[#This Row],[Painel]],Tabela13[],2,0)</f>
        <v>1MV</v>
      </c>
      <c r="C2812" s="391" t="s">
        <v>196</v>
      </c>
      <c r="D2812" s="21" t="s">
        <v>2067</v>
      </c>
      <c r="E2812" s="21">
        <v>9</v>
      </c>
      <c r="F2812" s="27" t="str">
        <f>Tabela12[[#This Row],[Régua]]&amp;" ("&amp;Tabela12[[#This Row],[Born]]&amp;")"</f>
        <v>F1A-B (9)</v>
      </c>
      <c r="G2812" s="27">
        <f>LEN(Tabela12[[#This Row],[Anilha]])</f>
        <v>9</v>
      </c>
      <c r="H2812" s="27">
        <f>VLOOKUP(Tabela12[[#This Row],[Tag Cabo]],BD!A:F,6,0)</f>
        <v>1</v>
      </c>
      <c r="I2812" s="27"/>
      <c r="J2812" s="27"/>
    </row>
    <row r="2813" spans="1:10" x14ac:dyDescent="0.25">
      <c r="A2813" s="21" t="s">
        <v>288</v>
      </c>
      <c r="B2813" s="322" t="str">
        <f>VLOOKUP(Tabela12[[#This Row],[Painel]],Tabela13[],2,0)</f>
        <v>1MV</v>
      </c>
      <c r="C2813" s="391" t="s">
        <v>196</v>
      </c>
      <c r="D2813" s="21" t="s">
        <v>2067</v>
      </c>
      <c r="E2813" s="21">
        <v>10</v>
      </c>
      <c r="F2813" s="27" t="str">
        <f>Tabela12[[#This Row],[Régua]]&amp;" ("&amp;Tabela12[[#This Row],[Born]]&amp;")"</f>
        <v>F1A-B (10)</v>
      </c>
      <c r="G2813" s="27">
        <f>LEN(Tabela12[[#This Row],[Anilha]])</f>
        <v>10</v>
      </c>
      <c r="H2813" s="27">
        <f>VLOOKUP(Tabela12[[#This Row],[Tag Cabo]],BD!A:F,6,0)</f>
        <v>1</v>
      </c>
      <c r="I2813" s="27"/>
      <c r="J2813" s="27"/>
    </row>
    <row r="2814" spans="1:10" x14ac:dyDescent="0.25">
      <c r="A2814" s="21" t="s">
        <v>288</v>
      </c>
      <c r="B2814" s="322" t="str">
        <f>VLOOKUP(Tabela12[[#This Row],[Painel]],Tabela13[],2,0)</f>
        <v>1MV</v>
      </c>
      <c r="C2814" s="391" t="s">
        <v>196</v>
      </c>
      <c r="D2814" s="21" t="s">
        <v>2067</v>
      </c>
      <c r="E2814" s="21">
        <v>11</v>
      </c>
      <c r="F2814" s="27" t="str">
        <f>Tabela12[[#This Row],[Régua]]&amp;" ("&amp;Tabela12[[#This Row],[Born]]&amp;")"</f>
        <v>F1A-B (11)</v>
      </c>
      <c r="G2814" s="27">
        <f>LEN(Tabela12[[#This Row],[Anilha]])</f>
        <v>10</v>
      </c>
      <c r="H2814" s="27">
        <f>VLOOKUP(Tabela12[[#This Row],[Tag Cabo]],BD!A:F,6,0)</f>
        <v>1</v>
      </c>
      <c r="I2814" s="27"/>
      <c r="J2814" s="27"/>
    </row>
    <row r="2815" spans="1:10" x14ac:dyDescent="0.25">
      <c r="A2815" s="21" t="s">
        <v>288</v>
      </c>
      <c r="B2815" s="322" t="str">
        <f>VLOOKUP(Tabela12[[#This Row],[Painel]],Tabela13[],2,0)</f>
        <v>1MV</v>
      </c>
      <c r="C2815" s="391" t="s">
        <v>196</v>
      </c>
      <c r="D2815" s="21" t="s">
        <v>2067</v>
      </c>
      <c r="E2815" s="21">
        <v>12</v>
      </c>
      <c r="F2815" s="27" t="str">
        <f>Tabela12[[#This Row],[Régua]]&amp;" ("&amp;Tabela12[[#This Row],[Born]]&amp;")"</f>
        <v>F1A-B (12)</v>
      </c>
      <c r="G2815" s="27">
        <f>LEN(Tabela12[[#This Row],[Anilha]])</f>
        <v>10</v>
      </c>
      <c r="H2815" s="27">
        <f>VLOOKUP(Tabela12[[#This Row],[Tag Cabo]],BD!A:F,6,0)</f>
        <v>1</v>
      </c>
      <c r="I2815" s="27"/>
      <c r="J2815" s="27"/>
    </row>
    <row r="2816" spans="1:10" x14ac:dyDescent="0.25">
      <c r="A2816" s="21" t="s">
        <v>288</v>
      </c>
      <c r="B2816" s="322" t="str">
        <f>VLOOKUP(Tabela12[[#This Row],[Painel]],Tabela13[],2,0)</f>
        <v>GB-967A/B</v>
      </c>
      <c r="C2816" s="391" t="s">
        <v>1540</v>
      </c>
      <c r="D2816" s="21" t="s">
        <v>1754</v>
      </c>
      <c r="E2816" s="21">
        <v>1</v>
      </c>
      <c r="F2816" s="27" t="str">
        <f>Tabela12[[#This Row],[Régua]]&amp;" ("&amp;Tabela12[[#This Row],[Born]]&amp;")"</f>
        <v>TS1 (1)</v>
      </c>
      <c r="G2816" s="27">
        <f>LEN(Tabela12[[#This Row],[Anilha]])</f>
        <v>7</v>
      </c>
      <c r="H2816" s="27">
        <f>VLOOKUP(Tabela12[[#This Row],[Tag Cabo]],BD!A:F,6,0)</f>
        <v>1</v>
      </c>
      <c r="I2816" s="27"/>
      <c r="J2816" s="27"/>
    </row>
    <row r="2817" spans="1:10" x14ac:dyDescent="0.25">
      <c r="A2817" s="21" t="s">
        <v>288</v>
      </c>
      <c r="B2817" s="322" t="str">
        <f>VLOOKUP(Tabela12[[#This Row],[Painel]],Tabela13[],2,0)</f>
        <v>GB-967A/B</v>
      </c>
      <c r="C2817" s="391" t="s">
        <v>1540</v>
      </c>
      <c r="D2817" s="21" t="s">
        <v>1754</v>
      </c>
      <c r="E2817" s="21">
        <v>2</v>
      </c>
      <c r="F2817" s="27" t="str">
        <f>Tabela12[[#This Row],[Régua]]&amp;" ("&amp;Tabela12[[#This Row],[Born]]&amp;")"</f>
        <v>TS1 (2)</v>
      </c>
      <c r="G2817" s="27">
        <f>LEN(Tabela12[[#This Row],[Anilha]])</f>
        <v>7</v>
      </c>
      <c r="H2817" s="27">
        <f>VLOOKUP(Tabela12[[#This Row],[Tag Cabo]],BD!A:F,6,0)</f>
        <v>1</v>
      </c>
      <c r="I2817" s="27"/>
      <c r="J2817" s="27"/>
    </row>
    <row r="2818" spans="1:10" x14ac:dyDescent="0.25">
      <c r="A2818" s="21" t="s">
        <v>288</v>
      </c>
      <c r="B2818" s="322" t="str">
        <f>VLOOKUP(Tabela12[[#This Row],[Painel]],Tabela13[],2,0)</f>
        <v>GB-967A/B</v>
      </c>
      <c r="C2818" s="391" t="s">
        <v>1540</v>
      </c>
      <c r="D2818" s="21" t="s">
        <v>1754</v>
      </c>
      <c r="E2818" s="21">
        <v>3</v>
      </c>
      <c r="F2818" s="27" t="str">
        <f>Tabela12[[#This Row],[Régua]]&amp;" ("&amp;Tabela12[[#This Row],[Born]]&amp;")"</f>
        <v>TS1 (3)</v>
      </c>
      <c r="G2818" s="27">
        <f>LEN(Tabela12[[#This Row],[Anilha]])</f>
        <v>7</v>
      </c>
      <c r="H2818" s="27">
        <f>VLOOKUP(Tabela12[[#This Row],[Tag Cabo]],BD!A:F,6,0)</f>
        <v>1</v>
      </c>
      <c r="I2818" s="27"/>
      <c r="J2818" s="27"/>
    </row>
    <row r="2819" spans="1:10" x14ac:dyDescent="0.25">
      <c r="A2819" s="21" t="s">
        <v>288</v>
      </c>
      <c r="B2819" s="322" t="str">
        <f>VLOOKUP(Tabela12[[#This Row],[Painel]],Tabela13[],2,0)</f>
        <v>GB-967A/B</v>
      </c>
      <c r="C2819" s="391" t="s">
        <v>1540</v>
      </c>
      <c r="D2819" s="21" t="s">
        <v>1754</v>
      </c>
      <c r="E2819" s="21">
        <v>4</v>
      </c>
      <c r="F2819" s="27" t="str">
        <f>Tabela12[[#This Row],[Régua]]&amp;" ("&amp;Tabela12[[#This Row],[Born]]&amp;")"</f>
        <v>TS1 (4)</v>
      </c>
      <c r="G2819" s="27">
        <f>LEN(Tabela12[[#This Row],[Anilha]])</f>
        <v>7</v>
      </c>
      <c r="H2819" s="27">
        <f>VLOOKUP(Tabela12[[#This Row],[Tag Cabo]],BD!A:F,6,0)</f>
        <v>1</v>
      </c>
      <c r="I2819" s="27"/>
      <c r="J2819" s="27"/>
    </row>
    <row r="2820" spans="1:10" x14ac:dyDescent="0.25">
      <c r="A2820" s="21" t="s">
        <v>288</v>
      </c>
      <c r="B2820" s="322" t="str">
        <f>VLOOKUP(Tabela12[[#This Row],[Painel]],Tabela13[],2,0)</f>
        <v>GB-967A/B</v>
      </c>
      <c r="C2820" s="391" t="s">
        <v>1540</v>
      </c>
      <c r="D2820" s="21" t="s">
        <v>1754</v>
      </c>
      <c r="E2820" s="21">
        <v>5</v>
      </c>
      <c r="F2820" s="27" t="str">
        <f>Tabela12[[#This Row],[Régua]]&amp;" ("&amp;Tabela12[[#This Row],[Born]]&amp;")"</f>
        <v>TS1 (5)</v>
      </c>
      <c r="G2820" s="27">
        <f>LEN(Tabela12[[#This Row],[Anilha]])</f>
        <v>7</v>
      </c>
      <c r="H2820" s="27">
        <f>VLOOKUP(Tabela12[[#This Row],[Tag Cabo]],BD!A:F,6,0)</f>
        <v>1</v>
      </c>
      <c r="I2820" s="27"/>
      <c r="J2820" s="27"/>
    </row>
    <row r="2821" spans="1:10" x14ac:dyDescent="0.25">
      <c r="A2821" s="21" t="s">
        <v>288</v>
      </c>
      <c r="B2821" s="322" t="str">
        <f>VLOOKUP(Tabela12[[#This Row],[Painel]],Tabela13[],2,0)</f>
        <v>GB-967A/B</v>
      </c>
      <c r="C2821" s="391" t="s">
        <v>1540</v>
      </c>
      <c r="D2821" s="21" t="s">
        <v>1754</v>
      </c>
      <c r="E2821" s="21">
        <v>6</v>
      </c>
      <c r="F2821" s="27" t="str">
        <f>Tabela12[[#This Row],[Régua]]&amp;" ("&amp;Tabela12[[#This Row],[Born]]&amp;")"</f>
        <v>TS1 (6)</v>
      </c>
      <c r="G2821" s="27">
        <f>LEN(Tabela12[[#This Row],[Anilha]])</f>
        <v>7</v>
      </c>
      <c r="H2821" s="27">
        <f>VLOOKUP(Tabela12[[#This Row],[Tag Cabo]],BD!A:F,6,0)</f>
        <v>1</v>
      </c>
      <c r="I2821" s="27"/>
      <c r="J2821" s="27"/>
    </row>
    <row r="2822" spans="1:10" x14ac:dyDescent="0.25">
      <c r="A2822" s="21" t="s">
        <v>288</v>
      </c>
      <c r="B2822" s="322" t="str">
        <f>VLOOKUP(Tabela12[[#This Row],[Painel]],Tabela13[],2,0)</f>
        <v>GB-967A/B</v>
      </c>
      <c r="C2822" s="391" t="s">
        <v>1540</v>
      </c>
      <c r="D2822" s="21" t="s">
        <v>1754</v>
      </c>
      <c r="E2822" s="21">
        <v>7</v>
      </c>
      <c r="F2822" s="27" t="str">
        <f>Tabela12[[#This Row],[Régua]]&amp;" ("&amp;Tabela12[[#This Row],[Born]]&amp;")"</f>
        <v>TS1 (7)</v>
      </c>
      <c r="G2822" s="27">
        <f>LEN(Tabela12[[#This Row],[Anilha]])</f>
        <v>7</v>
      </c>
      <c r="H2822" s="27">
        <f>VLOOKUP(Tabela12[[#This Row],[Tag Cabo]],BD!A:F,6,0)</f>
        <v>1</v>
      </c>
      <c r="I2822" s="27"/>
      <c r="J2822" s="27"/>
    </row>
    <row r="2823" spans="1:10" x14ac:dyDescent="0.25">
      <c r="A2823" s="21" t="s">
        <v>288</v>
      </c>
      <c r="B2823" s="322" t="str">
        <f>VLOOKUP(Tabela12[[#This Row],[Painel]],Tabela13[],2,0)</f>
        <v>GB-967A/B</v>
      </c>
      <c r="C2823" s="391" t="s">
        <v>1540</v>
      </c>
      <c r="D2823" s="21" t="s">
        <v>1754</v>
      </c>
      <c r="E2823" s="21">
        <v>8</v>
      </c>
      <c r="F2823" s="27" t="str">
        <f>Tabela12[[#This Row],[Régua]]&amp;" ("&amp;Tabela12[[#This Row],[Born]]&amp;")"</f>
        <v>TS1 (8)</v>
      </c>
      <c r="G2823" s="27">
        <f>LEN(Tabela12[[#This Row],[Anilha]])</f>
        <v>7</v>
      </c>
      <c r="H2823" s="27">
        <f>VLOOKUP(Tabela12[[#This Row],[Tag Cabo]],BD!A:F,6,0)</f>
        <v>1</v>
      </c>
      <c r="I2823" s="27"/>
      <c r="J2823" s="27"/>
    </row>
    <row r="2824" spans="1:10" x14ac:dyDescent="0.25">
      <c r="A2824" s="21" t="s">
        <v>288</v>
      </c>
      <c r="B2824" s="322" t="str">
        <f>VLOOKUP(Tabela12[[#This Row],[Painel]],Tabela13[],2,0)</f>
        <v>GB-967A/B</v>
      </c>
      <c r="C2824" s="391" t="s">
        <v>1540</v>
      </c>
      <c r="D2824" s="21" t="s">
        <v>1754</v>
      </c>
      <c r="E2824" s="21">
        <v>9</v>
      </c>
      <c r="F2824" s="27" t="str">
        <f>Tabela12[[#This Row],[Régua]]&amp;" ("&amp;Tabela12[[#This Row],[Born]]&amp;")"</f>
        <v>TS1 (9)</v>
      </c>
      <c r="G2824" s="27">
        <f>LEN(Tabela12[[#This Row],[Anilha]])</f>
        <v>7</v>
      </c>
      <c r="H2824" s="27">
        <f>VLOOKUP(Tabela12[[#This Row],[Tag Cabo]],BD!A:F,6,0)</f>
        <v>1</v>
      </c>
      <c r="I2824" s="27"/>
      <c r="J2824" s="27"/>
    </row>
    <row r="2825" spans="1:10" x14ac:dyDescent="0.25">
      <c r="A2825" s="21" t="s">
        <v>288</v>
      </c>
      <c r="B2825" s="322" t="str">
        <f>VLOOKUP(Tabela12[[#This Row],[Painel]],Tabela13[],2,0)</f>
        <v>GB-967A/B</v>
      </c>
      <c r="C2825" s="391" t="s">
        <v>1540</v>
      </c>
      <c r="D2825" s="21" t="s">
        <v>1754</v>
      </c>
      <c r="E2825" s="21">
        <v>10</v>
      </c>
      <c r="F2825" s="27" t="str">
        <f>Tabela12[[#This Row],[Régua]]&amp;" ("&amp;Tabela12[[#This Row],[Born]]&amp;")"</f>
        <v>TS1 (10)</v>
      </c>
      <c r="G2825" s="27">
        <f>LEN(Tabela12[[#This Row],[Anilha]])</f>
        <v>8</v>
      </c>
      <c r="H2825" s="27">
        <f>VLOOKUP(Tabela12[[#This Row],[Tag Cabo]],BD!A:F,6,0)</f>
        <v>1</v>
      </c>
      <c r="I2825" s="27"/>
      <c r="J2825" s="27"/>
    </row>
    <row r="2826" spans="1:10" x14ac:dyDescent="0.25">
      <c r="A2826" s="21" t="s">
        <v>288</v>
      </c>
      <c r="B2826" s="322" t="str">
        <f>VLOOKUP(Tabela12[[#This Row],[Painel]],Tabela13[],2,0)</f>
        <v>GB-967A/B</v>
      </c>
      <c r="C2826" s="391" t="s">
        <v>1540</v>
      </c>
      <c r="D2826" s="21" t="s">
        <v>1754</v>
      </c>
      <c r="E2826" s="21">
        <v>11</v>
      </c>
      <c r="F2826" s="27" t="str">
        <f>Tabela12[[#This Row],[Régua]]&amp;" ("&amp;Tabela12[[#This Row],[Born]]&amp;")"</f>
        <v>TS1 (11)</v>
      </c>
      <c r="G2826" s="27">
        <f>LEN(Tabela12[[#This Row],[Anilha]])</f>
        <v>8</v>
      </c>
      <c r="H2826" s="27">
        <f>VLOOKUP(Tabela12[[#This Row],[Tag Cabo]],BD!A:F,6,0)</f>
        <v>1</v>
      </c>
      <c r="I2826" s="27"/>
      <c r="J2826" s="27"/>
    </row>
    <row r="2827" spans="1:10" x14ac:dyDescent="0.25">
      <c r="A2827" s="21" t="s">
        <v>288</v>
      </c>
      <c r="B2827" s="322" t="str">
        <f>VLOOKUP(Tabela12[[#This Row],[Painel]],Tabela13[],2,0)</f>
        <v>GB-967A/B</v>
      </c>
      <c r="C2827" s="391" t="s">
        <v>1540</v>
      </c>
      <c r="D2827" s="21" t="s">
        <v>1754</v>
      </c>
      <c r="E2827" s="21">
        <v>12</v>
      </c>
      <c r="F2827" s="27" t="str">
        <f>Tabela12[[#This Row],[Régua]]&amp;" ("&amp;Tabela12[[#This Row],[Born]]&amp;")"</f>
        <v>TS1 (12)</v>
      </c>
      <c r="G2827" s="27">
        <f>LEN(Tabela12[[#This Row],[Anilha]])</f>
        <v>8</v>
      </c>
      <c r="H2827" s="27">
        <f>VLOOKUP(Tabela12[[#This Row],[Tag Cabo]],BD!A:F,6,0)</f>
        <v>1</v>
      </c>
      <c r="I2827" s="27"/>
      <c r="J2827" s="27"/>
    </row>
    <row r="2828" spans="1:10" x14ac:dyDescent="0.25">
      <c r="A2828" s="21" t="s">
        <v>288</v>
      </c>
      <c r="B2828" s="322" t="str">
        <f>VLOOKUP(Tabela12[[#This Row],[Painel]],Tabela13[],2,0)</f>
        <v>GB-967A/B</v>
      </c>
      <c r="C2828" s="391" t="s">
        <v>1540</v>
      </c>
      <c r="D2828" s="21" t="s">
        <v>1754</v>
      </c>
      <c r="E2828" s="21">
        <v>13</v>
      </c>
      <c r="F2828" s="27" t="str">
        <f>Tabela12[[#This Row],[Régua]]&amp;" ("&amp;Tabela12[[#This Row],[Born]]&amp;")"</f>
        <v>TS1 (13)</v>
      </c>
      <c r="G2828" s="27">
        <f>LEN(Tabela12[[#This Row],[Anilha]])</f>
        <v>8</v>
      </c>
      <c r="H2828" s="27">
        <f>VLOOKUP(Tabela12[[#This Row],[Tag Cabo]],BD!A:F,6,0)</f>
        <v>1</v>
      </c>
      <c r="I2828" s="27"/>
      <c r="J2828" s="27"/>
    </row>
    <row r="2829" spans="1:10" x14ac:dyDescent="0.25">
      <c r="A2829" s="21" t="s">
        <v>288</v>
      </c>
      <c r="B2829" s="322" t="str">
        <f>VLOOKUP(Tabela12[[#This Row],[Painel]],Tabela13[],2,0)</f>
        <v>GB-967A/B</v>
      </c>
      <c r="C2829" s="391" t="s">
        <v>1540</v>
      </c>
      <c r="D2829" s="21" t="s">
        <v>1754</v>
      </c>
      <c r="E2829" s="21">
        <v>14</v>
      </c>
      <c r="F2829" s="27" t="str">
        <f>Tabela12[[#This Row],[Régua]]&amp;" ("&amp;Tabela12[[#This Row],[Born]]&amp;")"</f>
        <v>TS1 (14)</v>
      </c>
      <c r="G2829" s="27">
        <f>LEN(Tabela12[[#This Row],[Anilha]])</f>
        <v>8</v>
      </c>
      <c r="H2829" s="27">
        <f>VLOOKUP(Tabela12[[#This Row],[Tag Cabo]],BD!A:F,6,0)</f>
        <v>1</v>
      </c>
      <c r="I2829" s="27"/>
      <c r="J2829" s="27"/>
    </row>
    <row r="2830" spans="1:10" x14ac:dyDescent="0.25">
      <c r="A2830" s="21" t="s">
        <v>288</v>
      </c>
      <c r="B2830" s="322" t="str">
        <f>VLOOKUP(Tabela12[[#This Row],[Painel]],Tabela13[],2,0)</f>
        <v>GB-967A/B</v>
      </c>
      <c r="C2830" s="391" t="s">
        <v>1540</v>
      </c>
      <c r="D2830" s="21" t="s">
        <v>1754</v>
      </c>
      <c r="E2830" s="21">
        <v>15</v>
      </c>
      <c r="F2830" s="27" t="str">
        <f>Tabela12[[#This Row],[Régua]]&amp;" ("&amp;Tabela12[[#This Row],[Born]]&amp;")"</f>
        <v>TS1 (15)</v>
      </c>
      <c r="G2830" s="27">
        <f>LEN(Tabela12[[#This Row],[Anilha]])</f>
        <v>8</v>
      </c>
      <c r="H2830" s="27">
        <f>VLOOKUP(Tabela12[[#This Row],[Tag Cabo]],BD!A:F,6,0)</f>
        <v>1</v>
      </c>
      <c r="I2830" s="27"/>
      <c r="J2830" s="27"/>
    </row>
    <row r="2831" spans="1:10" x14ac:dyDescent="0.25">
      <c r="A2831" s="21" t="s">
        <v>288</v>
      </c>
      <c r="B2831" s="322" t="str">
        <f>VLOOKUP(Tabela12[[#This Row],[Painel]],Tabela13[],2,0)</f>
        <v>GB-967A/B</v>
      </c>
      <c r="C2831" s="391" t="s">
        <v>1540</v>
      </c>
      <c r="D2831" s="21" t="s">
        <v>1754</v>
      </c>
      <c r="E2831" s="21">
        <v>16</v>
      </c>
      <c r="F2831" s="27" t="str">
        <f>Tabela12[[#This Row],[Régua]]&amp;" ("&amp;Tabela12[[#This Row],[Born]]&amp;")"</f>
        <v>TS1 (16)</v>
      </c>
      <c r="G2831" s="27">
        <f>LEN(Tabela12[[#This Row],[Anilha]])</f>
        <v>8</v>
      </c>
      <c r="H2831" s="27">
        <f>VLOOKUP(Tabela12[[#This Row],[Tag Cabo]],BD!A:F,6,0)</f>
        <v>1</v>
      </c>
      <c r="I2831" s="27"/>
      <c r="J2831" s="27"/>
    </row>
    <row r="2832" spans="1:10" x14ac:dyDescent="0.25">
      <c r="A2832" s="21" t="s">
        <v>288</v>
      </c>
      <c r="B2832" s="322" t="str">
        <f>VLOOKUP(Tabela12[[#This Row],[Painel]],Tabela13[],2,0)</f>
        <v>GB-967A/B</v>
      </c>
      <c r="C2832" s="391" t="s">
        <v>1540</v>
      </c>
      <c r="D2832" s="21" t="s">
        <v>1754</v>
      </c>
      <c r="E2832" s="21">
        <v>17</v>
      </c>
      <c r="F2832" s="27" t="str">
        <f>Tabela12[[#This Row],[Régua]]&amp;" ("&amp;Tabela12[[#This Row],[Born]]&amp;")"</f>
        <v>TS1 (17)</v>
      </c>
      <c r="G2832" s="27">
        <f>LEN(Tabela12[[#This Row],[Anilha]])</f>
        <v>8</v>
      </c>
      <c r="H2832" s="27">
        <f>VLOOKUP(Tabela12[[#This Row],[Tag Cabo]],BD!A:F,6,0)</f>
        <v>1</v>
      </c>
      <c r="I2832" s="27"/>
      <c r="J2832" s="27"/>
    </row>
    <row r="2833" spans="1:10" x14ac:dyDescent="0.25">
      <c r="A2833" s="21" t="s">
        <v>288</v>
      </c>
      <c r="B2833" s="322" t="str">
        <f>VLOOKUP(Tabela12[[#This Row],[Painel]],Tabela13[],2,0)</f>
        <v>GB-967A/B</v>
      </c>
      <c r="C2833" s="391" t="s">
        <v>1540</v>
      </c>
      <c r="D2833" s="21" t="s">
        <v>1754</v>
      </c>
      <c r="E2833" s="21">
        <v>18</v>
      </c>
      <c r="F2833" s="27" t="str">
        <f>Tabela12[[#This Row],[Régua]]&amp;" ("&amp;Tabela12[[#This Row],[Born]]&amp;")"</f>
        <v>TS1 (18)</v>
      </c>
      <c r="G2833" s="27">
        <f>LEN(Tabela12[[#This Row],[Anilha]])</f>
        <v>8</v>
      </c>
      <c r="H2833" s="27">
        <f>VLOOKUP(Tabela12[[#This Row],[Tag Cabo]],BD!A:F,6,0)</f>
        <v>1</v>
      </c>
      <c r="I2833" s="27"/>
      <c r="J2833" s="27"/>
    </row>
    <row r="2834" spans="1:10" x14ac:dyDescent="0.25">
      <c r="A2834" s="21" t="s">
        <v>288</v>
      </c>
      <c r="B2834" s="322" t="str">
        <f>VLOOKUP(Tabela12[[#This Row],[Painel]],Tabela13[],2,0)</f>
        <v>GB-967A/B</v>
      </c>
      <c r="C2834" s="391" t="s">
        <v>1540</v>
      </c>
      <c r="D2834" s="21" t="s">
        <v>1816</v>
      </c>
      <c r="E2834" s="21">
        <v>1</v>
      </c>
      <c r="F2834" s="27" t="str">
        <f>Tabela12[[#This Row],[Régua]]&amp;" ("&amp;Tabela12[[#This Row],[Born]]&amp;")"</f>
        <v>TS2 (1)</v>
      </c>
      <c r="G2834" s="27">
        <f>LEN(Tabela12[[#This Row],[Anilha]])</f>
        <v>7</v>
      </c>
      <c r="H2834" s="27">
        <f>VLOOKUP(Tabela12[[#This Row],[Tag Cabo]],BD!A:F,6,0)</f>
        <v>1</v>
      </c>
      <c r="I2834" s="27"/>
      <c r="J2834" s="27"/>
    </row>
    <row r="2835" spans="1:10" x14ac:dyDescent="0.25">
      <c r="A2835" s="21" t="s">
        <v>288</v>
      </c>
      <c r="B2835" s="322" t="str">
        <f>VLOOKUP(Tabela12[[#This Row],[Painel]],Tabela13[],2,0)</f>
        <v>GB-967A/B</v>
      </c>
      <c r="C2835" s="391" t="s">
        <v>1540</v>
      </c>
      <c r="D2835" s="21" t="s">
        <v>1816</v>
      </c>
      <c r="E2835" s="21">
        <v>2</v>
      </c>
      <c r="F2835" s="27" t="str">
        <f>Tabela12[[#This Row],[Régua]]&amp;" ("&amp;Tabela12[[#This Row],[Born]]&amp;")"</f>
        <v>TS2 (2)</v>
      </c>
      <c r="G2835" s="27">
        <f>LEN(Tabela12[[#This Row],[Anilha]])</f>
        <v>7</v>
      </c>
      <c r="H2835" s="27">
        <f>VLOOKUP(Tabela12[[#This Row],[Tag Cabo]],BD!A:F,6,0)</f>
        <v>1</v>
      </c>
      <c r="I2835" s="27"/>
      <c r="J2835" s="27"/>
    </row>
    <row r="2836" spans="1:10" x14ac:dyDescent="0.25">
      <c r="A2836" s="21" t="s">
        <v>288</v>
      </c>
      <c r="B2836" s="322" t="str">
        <f>VLOOKUP(Tabela12[[#This Row],[Painel]],Tabela13[],2,0)</f>
        <v>GB-967A/B</v>
      </c>
      <c r="C2836" s="391" t="s">
        <v>1540</v>
      </c>
      <c r="D2836" s="21" t="s">
        <v>1816</v>
      </c>
      <c r="E2836" s="21">
        <v>3</v>
      </c>
      <c r="F2836" s="27" t="str">
        <f>Tabela12[[#This Row],[Régua]]&amp;" ("&amp;Tabela12[[#This Row],[Born]]&amp;")"</f>
        <v>TS2 (3)</v>
      </c>
      <c r="G2836" s="27">
        <f>LEN(Tabela12[[#This Row],[Anilha]])</f>
        <v>7</v>
      </c>
      <c r="H2836" s="27">
        <f>VLOOKUP(Tabela12[[#This Row],[Tag Cabo]],BD!A:F,6,0)</f>
        <v>1</v>
      </c>
      <c r="I2836" s="27"/>
      <c r="J2836" s="27"/>
    </row>
    <row r="2837" spans="1:10" x14ac:dyDescent="0.25">
      <c r="A2837" s="21" t="s">
        <v>288</v>
      </c>
      <c r="B2837" s="322" t="str">
        <f>VLOOKUP(Tabela12[[#This Row],[Painel]],Tabela13[],2,0)</f>
        <v>GB-967A/B</v>
      </c>
      <c r="C2837" s="391" t="s">
        <v>1540</v>
      </c>
      <c r="D2837" s="21" t="s">
        <v>1816</v>
      </c>
      <c r="E2837" s="21">
        <v>4</v>
      </c>
      <c r="F2837" s="27" t="str">
        <f>Tabela12[[#This Row],[Régua]]&amp;" ("&amp;Tabela12[[#This Row],[Born]]&amp;")"</f>
        <v>TS2 (4)</v>
      </c>
      <c r="G2837" s="27">
        <f>LEN(Tabela12[[#This Row],[Anilha]])</f>
        <v>7</v>
      </c>
      <c r="H2837" s="27">
        <f>VLOOKUP(Tabela12[[#This Row],[Tag Cabo]],BD!A:F,6,0)</f>
        <v>1</v>
      </c>
      <c r="I2837" s="27"/>
      <c r="J2837" s="27"/>
    </row>
    <row r="2838" spans="1:10" x14ac:dyDescent="0.25">
      <c r="A2838" s="21" t="s">
        <v>288</v>
      </c>
      <c r="B2838" s="322" t="str">
        <f>VLOOKUP(Tabela12[[#This Row],[Painel]],Tabela13[],2,0)</f>
        <v>GB-967A/B</v>
      </c>
      <c r="C2838" s="391" t="s">
        <v>1540</v>
      </c>
      <c r="D2838" s="21" t="s">
        <v>1816</v>
      </c>
      <c r="E2838" s="21">
        <v>5</v>
      </c>
      <c r="F2838" s="27" t="str">
        <f>Tabela12[[#This Row],[Régua]]&amp;" ("&amp;Tabela12[[#This Row],[Born]]&amp;")"</f>
        <v>TS2 (5)</v>
      </c>
      <c r="G2838" s="27">
        <f>LEN(Tabela12[[#This Row],[Anilha]])</f>
        <v>7</v>
      </c>
      <c r="H2838" s="27">
        <f>VLOOKUP(Tabela12[[#This Row],[Tag Cabo]],BD!A:F,6,0)</f>
        <v>1</v>
      </c>
      <c r="I2838" s="27"/>
      <c r="J2838" s="27"/>
    </row>
    <row r="2839" spans="1:10" x14ac:dyDescent="0.25">
      <c r="A2839" s="21" t="s">
        <v>288</v>
      </c>
      <c r="B2839" s="322" t="str">
        <f>VLOOKUP(Tabela12[[#This Row],[Painel]],Tabela13[],2,0)</f>
        <v>GB-967A/B</v>
      </c>
      <c r="C2839" s="391" t="s">
        <v>1540</v>
      </c>
      <c r="D2839" s="21" t="s">
        <v>1816</v>
      </c>
      <c r="E2839" s="21">
        <v>6</v>
      </c>
      <c r="F2839" s="27" t="str">
        <f>Tabela12[[#This Row],[Régua]]&amp;" ("&amp;Tabela12[[#This Row],[Born]]&amp;")"</f>
        <v>TS2 (6)</v>
      </c>
      <c r="G2839" s="27">
        <f>LEN(Tabela12[[#This Row],[Anilha]])</f>
        <v>7</v>
      </c>
      <c r="H2839" s="27">
        <f>VLOOKUP(Tabela12[[#This Row],[Tag Cabo]],BD!A:F,6,0)</f>
        <v>1</v>
      </c>
      <c r="I2839" s="27"/>
      <c r="J2839" s="27"/>
    </row>
    <row r="2840" spans="1:10" x14ac:dyDescent="0.25">
      <c r="A2840" s="21" t="s">
        <v>273</v>
      </c>
      <c r="B2840" s="322" t="str">
        <f>VLOOKUP(Tabela12[[#This Row],[Painel]],Tabela13[],2,0)</f>
        <v>1MV</v>
      </c>
      <c r="C2840" s="391" t="s">
        <v>196</v>
      </c>
      <c r="D2840" s="21" t="s">
        <v>2066</v>
      </c>
      <c r="E2840" s="21">
        <v>1</v>
      </c>
      <c r="F2840" s="27" t="str">
        <f>Tabela12[[#This Row],[Régua]]&amp;" ("&amp;Tabela12[[#This Row],[Born]]&amp;")"</f>
        <v>F1A-A (1)</v>
      </c>
      <c r="G2840" s="27">
        <f>LEN(Tabela12[[#This Row],[Anilha]])</f>
        <v>9</v>
      </c>
      <c r="H2840" s="27">
        <f>VLOOKUP(Tabela12[[#This Row],[Tag Cabo]],BD!A:F,6,0)</f>
        <v>1</v>
      </c>
      <c r="I2840" s="27"/>
      <c r="J2840" s="27"/>
    </row>
    <row r="2841" spans="1:10" x14ac:dyDescent="0.25">
      <c r="A2841" s="21" t="s">
        <v>273</v>
      </c>
      <c r="B2841" s="322" t="str">
        <f>VLOOKUP(Tabela12[[#This Row],[Painel]],Tabela13[],2,0)</f>
        <v>1MV</v>
      </c>
      <c r="C2841" s="391" t="s">
        <v>196</v>
      </c>
      <c r="D2841" s="21" t="s">
        <v>2066</v>
      </c>
      <c r="E2841" s="21">
        <v>2</v>
      </c>
      <c r="F2841" s="27" t="str">
        <f>Tabela12[[#This Row],[Régua]]&amp;" ("&amp;Tabela12[[#This Row],[Born]]&amp;")"</f>
        <v>F1A-A (2)</v>
      </c>
      <c r="G2841" s="27">
        <f>LEN(Tabela12[[#This Row],[Anilha]])</f>
        <v>9</v>
      </c>
      <c r="H2841" s="27">
        <f>VLOOKUP(Tabela12[[#This Row],[Tag Cabo]],BD!A:F,6,0)</f>
        <v>1</v>
      </c>
      <c r="I2841" s="27"/>
      <c r="J2841" s="27"/>
    </row>
    <row r="2842" spans="1:10" x14ac:dyDescent="0.25">
      <c r="A2842" s="21" t="s">
        <v>273</v>
      </c>
      <c r="B2842" s="322" t="str">
        <f>VLOOKUP(Tabela12[[#This Row],[Painel]],Tabela13[],2,0)</f>
        <v>1MV</v>
      </c>
      <c r="C2842" s="391" t="s">
        <v>196</v>
      </c>
      <c r="D2842" s="21" t="s">
        <v>2066</v>
      </c>
      <c r="E2842" s="21">
        <v>3</v>
      </c>
      <c r="F2842" s="27" t="str">
        <f>Tabela12[[#This Row],[Régua]]&amp;" ("&amp;Tabela12[[#This Row],[Born]]&amp;")"</f>
        <v>F1A-A (3)</v>
      </c>
      <c r="G2842" s="27">
        <f>LEN(Tabela12[[#This Row],[Anilha]])</f>
        <v>9</v>
      </c>
      <c r="H2842" s="27">
        <f>VLOOKUP(Tabela12[[#This Row],[Tag Cabo]],BD!A:F,6,0)</f>
        <v>1</v>
      </c>
      <c r="I2842" s="27"/>
      <c r="J2842" s="27"/>
    </row>
    <row r="2843" spans="1:10" x14ac:dyDescent="0.25">
      <c r="A2843" s="21" t="s">
        <v>273</v>
      </c>
      <c r="B2843" s="322" t="str">
        <f>VLOOKUP(Tabela12[[#This Row],[Painel]],Tabela13[],2,0)</f>
        <v>1MV</v>
      </c>
      <c r="C2843" s="391" t="s">
        <v>196</v>
      </c>
      <c r="D2843" s="21" t="s">
        <v>2066</v>
      </c>
      <c r="E2843" s="21">
        <v>4</v>
      </c>
      <c r="F2843" s="27" t="str">
        <f>Tabela12[[#This Row],[Régua]]&amp;" ("&amp;Tabela12[[#This Row],[Born]]&amp;")"</f>
        <v>F1A-A (4)</v>
      </c>
      <c r="G2843" s="27">
        <f>LEN(Tabela12[[#This Row],[Anilha]])</f>
        <v>9</v>
      </c>
      <c r="H2843" s="27">
        <f>VLOOKUP(Tabela12[[#This Row],[Tag Cabo]],BD!A:F,6,0)</f>
        <v>1</v>
      </c>
      <c r="I2843" s="27"/>
      <c r="J2843" s="27"/>
    </row>
    <row r="2844" spans="1:10" x14ac:dyDescent="0.25">
      <c r="A2844" s="21" t="s">
        <v>273</v>
      </c>
      <c r="B2844" s="322" t="str">
        <f>VLOOKUP(Tabela12[[#This Row],[Painel]],Tabela13[],2,0)</f>
        <v>1MV</v>
      </c>
      <c r="C2844" s="391" t="s">
        <v>196</v>
      </c>
      <c r="D2844" s="21" t="s">
        <v>2066</v>
      </c>
      <c r="E2844" s="21">
        <v>5</v>
      </c>
      <c r="F2844" s="27" t="str">
        <f>Tabela12[[#This Row],[Régua]]&amp;" ("&amp;Tabela12[[#This Row],[Born]]&amp;")"</f>
        <v>F1A-A (5)</v>
      </c>
      <c r="G2844" s="27">
        <f>LEN(Tabela12[[#This Row],[Anilha]])</f>
        <v>9</v>
      </c>
      <c r="H2844" s="27">
        <f>VLOOKUP(Tabela12[[#This Row],[Tag Cabo]],BD!A:F,6,0)</f>
        <v>1</v>
      </c>
      <c r="I2844" s="27"/>
      <c r="J2844" s="27"/>
    </row>
    <row r="2845" spans="1:10" x14ac:dyDescent="0.25">
      <c r="A2845" s="21" t="s">
        <v>273</v>
      </c>
      <c r="B2845" s="322" t="str">
        <f>VLOOKUP(Tabela12[[#This Row],[Painel]],Tabela13[],2,0)</f>
        <v>1MV</v>
      </c>
      <c r="C2845" s="391" t="s">
        <v>196</v>
      </c>
      <c r="D2845" s="21" t="s">
        <v>2066</v>
      </c>
      <c r="E2845" s="21">
        <v>6</v>
      </c>
      <c r="F2845" s="27" t="str">
        <f>Tabela12[[#This Row],[Régua]]&amp;" ("&amp;Tabela12[[#This Row],[Born]]&amp;")"</f>
        <v>F1A-A (6)</v>
      </c>
      <c r="G2845" s="27">
        <f>LEN(Tabela12[[#This Row],[Anilha]])</f>
        <v>9</v>
      </c>
      <c r="H2845" s="27">
        <f>VLOOKUP(Tabela12[[#This Row],[Tag Cabo]],BD!A:F,6,0)</f>
        <v>1</v>
      </c>
      <c r="I2845" s="27"/>
      <c r="J2845" s="27"/>
    </row>
    <row r="2846" spans="1:10" x14ac:dyDescent="0.25">
      <c r="A2846" s="21" t="s">
        <v>273</v>
      </c>
      <c r="B2846" s="322" t="str">
        <f>VLOOKUP(Tabela12[[#This Row],[Painel]],Tabela13[],2,0)</f>
        <v>1MV</v>
      </c>
      <c r="C2846" s="391" t="s">
        <v>196</v>
      </c>
      <c r="D2846" s="21" t="s">
        <v>2066</v>
      </c>
      <c r="E2846" s="21">
        <v>7</v>
      </c>
      <c r="F2846" s="27" t="str">
        <f>Tabela12[[#This Row],[Régua]]&amp;" ("&amp;Tabela12[[#This Row],[Born]]&amp;")"</f>
        <v>F1A-A (7)</v>
      </c>
      <c r="G2846" s="27">
        <f>LEN(Tabela12[[#This Row],[Anilha]])</f>
        <v>9</v>
      </c>
      <c r="H2846" s="27">
        <f>VLOOKUP(Tabela12[[#This Row],[Tag Cabo]],BD!A:F,6,0)</f>
        <v>1</v>
      </c>
      <c r="I2846" s="27"/>
      <c r="J2846" s="27"/>
    </row>
    <row r="2847" spans="1:10" x14ac:dyDescent="0.25">
      <c r="A2847" s="21" t="s">
        <v>273</v>
      </c>
      <c r="B2847" s="322" t="str">
        <f>VLOOKUP(Tabela12[[#This Row],[Painel]],Tabela13[],2,0)</f>
        <v>1MV</v>
      </c>
      <c r="C2847" s="391" t="s">
        <v>196</v>
      </c>
      <c r="D2847" s="21" t="s">
        <v>2066</v>
      </c>
      <c r="E2847" s="21">
        <v>8</v>
      </c>
      <c r="F2847" s="27" t="str">
        <f>Tabela12[[#This Row],[Régua]]&amp;" ("&amp;Tabela12[[#This Row],[Born]]&amp;")"</f>
        <v>F1A-A (8)</v>
      </c>
      <c r="G2847" s="27">
        <f>LEN(Tabela12[[#This Row],[Anilha]])</f>
        <v>9</v>
      </c>
      <c r="H2847" s="27">
        <f>VLOOKUP(Tabela12[[#This Row],[Tag Cabo]],BD!A:F,6,0)</f>
        <v>1</v>
      </c>
      <c r="I2847" s="27"/>
      <c r="J2847" s="27"/>
    </row>
    <row r="2848" spans="1:10" x14ac:dyDescent="0.25">
      <c r="A2848" s="21" t="s">
        <v>273</v>
      </c>
      <c r="B2848" s="322" t="str">
        <f>VLOOKUP(Tabela12[[#This Row],[Painel]],Tabela13[],2,0)</f>
        <v>1MV</v>
      </c>
      <c r="C2848" s="391" t="s">
        <v>196</v>
      </c>
      <c r="D2848" s="21" t="s">
        <v>2066</v>
      </c>
      <c r="E2848" s="21">
        <v>9</v>
      </c>
      <c r="F2848" s="27" t="str">
        <f>Tabela12[[#This Row],[Régua]]&amp;" ("&amp;Tabela12[[#This Row],[Born]]&amp;")"</f>
        <v>F1A-A (9)</v>
      </c>
      <c r="G2848" s="27">
        <f>LEN(Tabela12[[#This Row],[Anilha]])</f>
        <v>9</v>
      </c>
      <c r="H2848" s="27">
        <f>VLOOKUP(Tabela12[[#This Row],[Tag Cabo]],BD!A:F,6,0)</f>
        <v>1</v>
      </c>
      <c r="I2848" s="27"/>
      <c r="J2848" s="27"/>
    </row>
    <row r="2849" spans="1:10" x14ac:dyDescent="0.25">
      <c r="A2849" s="21" t="s">
        <v>273</v>
      </c>
      <c r="B2849" s="322" t="str">
        <f>VLOOKUP(Tabela12[[#This Row],[Painel]],Tabela13[],2,0)</f>
        <v>1MV</v>
      </c>
      <c r="C2849" s="391" t="s">
        <v>196</v>
      </c>
      <c r="D2849" s="21" t="s">
        <v>2066</v>
      </c>
      <c r="E2849" s="21">
        <v>10</v>
      </c>
      <c r="F2849" s="27" t="str">
        <f>Tabela12[[#This Row],[Régua]]&amp;" ("&amp;Tabela12[[#This Row],[Born]]&amp;")"</f>
        <v>F1A-A (10)</v>
      </c>
      <c r="G2849" s="27">
        <f>LEN(Tabela12[[#This Row],[Anilha]])</f>
        <v>10</v>
      </c>
      <c r="H2849" s="27">
        <f>VLOOKUP(Tabela12[[#This Row],[Tag Cabo]],BD!A:F,6,0)</f>
        <v>1</v>
      </c>
      <c r="I2849" s="27"/>
      <c r="J2849" s="27"/>
    </row>
    <row r="2850" spans="1:10" x14ac:dyDescent="0.25">
      <c r="A2850" s="21" t="s">
        <v>273</v>
      </c>
      <c r="B2850" s="322" t="str">
        <f>VLOOKUP(Tabela12[[#This Row],[Painel]],Tabela13[],2,0)</f>
        <v>1MV</v>
      </c>
      <c r="C2850" s="391" t="s">
        <v>196</v>
      </c>
      <c r="D2850" s="21" t="s">
        <v>2066</v>
      </c>
      <c r="E2850" s="21">
        <v>11</v>
      </c>
      <c r="F2850" s="27" t="str">
        <f>Tabela12[[#This Row],[Régua]]&amp;" ("&amp;Tabela12[[#This Row],[Born]]&amp;")"</f>
        <v>F1A-A (11)</v>
      </c>
      <c r="G2850" s="27">
        <f>LEN(Tabela12[[#This Row],[Anilha]])</f>
        <v>10</v>
      </c>
      <c r="H2850" s="27">
        <f>VLOOKUP(Tabela12[[#This Row],[Tag Cabo]],BD!A:F,6,0)</f>
        <v>1</v>
      </c>
      <c r="I2850" s="27"/>
      <c r="J2850" s="27"/>
    </row>
    <row r="2851" spans="1:10" x14ac:dyDescent="0.25">
      <c r="A2851" s="21" t="s">
        <v>273</v>
      </c>
      <c r="B2851" s="322" t="str">
        <f>VLOOKUP(Tabela12[[#This Row],[Painel]],Tabela13[],2,0)</f>
        <v>1MV</v>
      </c>
      <c r="C2851" s="391" t="s">
        <v>196</v>
      </c>
      <c r="D2851" s="21" t="s">
        <v>2066</v>
      </c>
      <c r="E2851" s="21">
        <v>12</v>
      </c>
      <c r="F2851" s="27" t="str">
        <f>Tabela12[[#This Row],[Régua]]&amp;" ("&amp;Tabela12[[#This Row],[Born]]&amp;")"</f>
        <v>F1A-A (12)</v>
      </c>
      <c r="G2851" s="27">
        <f>LEN(Tabela12[[#This Row],[Anilha]])</f>
        <v>10</v>
      </c>
      <c r="H2851" s="27">
        <f>VLOOKUP(Tabela12[[#This Row],[Tag Cabo]],BD!A:F,6,0)</f>
        <v>1</v>
      </c>
      <c r="I2851" s="27"/>
      <c r="J2851" s="27"/>
    </row>
    <row r="2852" spans="1:10" x14ac:dyDescent="0.25">
      <c r="A2852" s="21" t="s">
        <v>273</v>
      </c>
      <c r="B2852" s="322" t="str">
        <f>VLOOKUP(Tabela12[[#This Row],[Painel]],Tabela13[],2,0)</f>
        <v>1MV</v>
      </c>
      <c r="C2852" s="391" t="s">
        <v>196</v>
      </c>
      <c r="D2852" s="21" t="s">
        <v>2067</v>
      </c>
      <c r="E2852" s="21">
        <v>1</v>
      </c>
      <c r="F2852" s="27" t="str">
        <f>Tabela12[[#This Row],[Régua]]&amp;" ("&amp;Tabela12[[#This Row],[Born]]&amp;")"</f>
        <v>F1A-B (1)</v>
      </c>
      <c r="G2852" s="27">
        <f>LEN(Tabela12[[#This Row],[Anilha]])</f>
        <v>9</v>
      </c>
      <c r="H2852" s="27">
        <f>VLOOKUP(Tabela12[[#This Row],[Tag Cabo]],BD!A:F,6,0)</f>
        <v>1</v>
      </c>
      <c r="I2852" s="27"/>
      <c r="J2852" s="27"/>
    </row>
    <row r="2853" spans="1:10" x14ac:dyDescent="0.25">
      <c r="A2853" s="21" t="s">
        <v>273</v>
      </c>
      <c r="B2853" s="322" t="str">
        <f>VLOOKUP(Tabela12[[#This Row],[Painel]],Tabela13[],2,0)</f>
        <v>1MV</v>
      </c>
      <c r="C2853" s="391" t="s">
        <v>196</v>
      </c>
      <c r="D2853" s="21" t="s">
        <v>2067</v>
      </c>
      <c r="E2853" s="21">
        <v>2</v>
      </c>
      <c r="F2853" s="27" t="str">
        <f>Tabela12[[#This Row],[Régua]]&amp;" ("&amp;Tabela12[[#This Row],[Born]]&amp;")"</f>
        <v>F1A-B (2)</v>
      </c>
      <c r="G2853" s="27">
        <f>LEN(Tabela12[[#This Row],[Anilha]])</f>
        <v>9</v>
      </c>
      <c r="H2853" s="27">
        <f>VLOOKUP(Tabela12[[#This Row],[Tag Cabo]],BD!A:F,6,0)</f>
        <v>1</v>
      </c>
      <c r="I2853" s="27"/>
      <c r="J2853" s="27"/>
    </row>
    <row r="2854" spans="1:10" x14ac:dyDescent="0.25">
      <c r="A2854" s="21" t="s">
        <v>273</v>
      </c>
      <c r="B2854" s="322" t="str">
        <f>VLOOKUP(Tabela12[[#This Row],[Painel]],Tabela13[],2,0)</f>
        <v>1MV</v>
      </c>
      <c r="C2854" s="391" t="s">
        <v>196</v>
      </c>
      <c r="D2854" s="21" t="s">
        <v>2067</v>
      </c>
      <c r="E2854" s="21">
        <v>3</v>
      </c>
      <c r="F2854" s="27" t="str">
        <f>Tabela12[[#This Row],[Régua]]&amp;" ("&amp;Tabela12[[#This Row],[Born]]&amp;")"</f>
        <v>F1A-B (3)</v>
      </c>
      <c r="G2854" s="27">
        <f>LEN(Tabela12[[#This Row],[Anilha]])</f>
        <v>9</v>
      </c>
      <c r="H2854" s="27">
        <f>VLOOKUP(Tabela12[[#This Row],[Tag Cabo]],BD!A:F,6,0)</f>
        <v>1</v>
      </c>
      <c r="I2854" s="27"/>
      <c r="J2854" s="27"/>
    </row>
    <row r="2855" spans="1:10" x14ac:dyDescent="0.25">
      <c r="A2855" s="21" t="s">
        <v>273</v>
      </c>
      <c r="B2855" s="322" t="str">
        <f>VLOOKUP(Tabela12[[#This Row],[Painel]],Tabela13[],2,0)</f>
        <v>1MV</v>
      </c>
      <c r="C2855" s="391" t="s">
        <v>196</v>
      </c>
      <c r="D2855" s="21" t="s">
        <v>2067</v>
      </c>
      <c r="E2855" s="21">
        <v>4</v>
      </c>
      <c r="F2855" s="27" t="str">
        <f>Tabela12[[#This Row],[Régua]]&amp;" ("&amp;Tabela12[[#This Row],[Born]]&amp;")"</f>
        <v>F1A-B (4)</v>
      </c>
      <c r="G2855" s="27">
        <f>LEN(Tabela12[[#This Row],[Anilha]])</f>
        <v>9</v>
      </c>
      <c r="H2855" s="27">
        <f>VLOOKUP(Tabela12[[#This Row],[Tag Cabo]],BD!A:F,6,0)</f>
        <v>1</v>
      </c>
      <c r="I2855" s="27"/>
      <c r="J2855" s="27"/>
    </row>
    <row r="2856" spans="1:10" x14ac:dyDescent="0.25">
      <c r="A2856" s="21" t="s">
        <v>273</v>
      </c>
      <c r="B2856" s="322" t="str">
        <f>VLOOKUP(Tabela12[[#This Row],[Painel]],Tabela13[],2,0)</f>
        <v>1MV</v>
      </c>
      <c r="C2856" s="391" t="s">
        <v>196</v>
      </c>
      <c r="D2856" s="21" t="s">
        <v>2067</v>
      </c>
      <c r="E2856" s="21">
        <v>5</v>
      </c>
      <c r="F2856" s="27" t="str">
        <f>Tabela12[[#This Row],[Régua]]&amp;" ("&amp;Tabela12[[#This Row],[Born]]&amp;")"</f>
        <v>F1A-B (5)</v>
      </c>
      <c r="G2856" s="27">
        <f>LEN(Tabela12[[#This Row],[Anilha]])</f>
        <v>9</v>
      </c>
      <c r="H2856" s="27">
        <f>VLOOKUP(Tabela12[[#This Row],[Tag Cabo]],BD!A:F,6,0)</f>
        <v>1</v>
      </c>
      <c r="I2856" s="27"/>
      <c r="J2856" s="27"/>
    </row>
    <row r="2857" spans="1:10" x14ac:dyDescent="0.25">
      <c r="A2857" s="21" t="s">
        <v>273</v>
      </c>
      <c r="B2857" s="322" t="str">
        <f>VLOOKUP(Tabela12[[#This Row],[Painel]],Tabela13[],2,0)</f>
        <v>1MV</v>
      </c>
      <c r="C2857" s="391" t="s">
        <v>196</v>
      </c>
      <c r="D2857" s="21" t="s">
        <v>2067</v>
      </c>
      <c r="E2857" s="21">
        <v>6</v>
      </c>
      <c r="F2857" s="27" t="str">
        <f>Tabela12[[#This Row],[Régua]]&amp;" ("&amp;Tabela12[[#This Row],[Born]]&amp;")"</f>
        <v>F1A-B (6)</v>
      </c>
      <c r="G2857" s="27">
        <f>LEN(Tabela12[[#This Row],[Anilha]])</f>
        <v>9</v>
      </c>
      <c r="H2857" s="27">
        <f>VLOOKUP(Tabela12[[#This Row],[Tag Cabo]],BD!A:F,6,0)</f>
        <v>1</v>
      </c>
      <c r="I2857" s="27"/>
      <c r="J2857" s="27"/>
    </row>
    <row r="2858" spans="1:10" x14ac:dyDescent="0.25">
      <c r="A2858" s="21" t="s">
        <v>273</v>
      </c>
      <c r="B2858" s="322" t="str">
        <f>VLOOKUP(Tabela12[[#This Row],[Painel]],Tabela13[],2,0)</f>
        <v>1MV</v>
      </c>
      <c r="C2858" s="391" t="s">
        <v>196</v>
      </c>
      <c r="D2858" s="21" t="s">
        <v>2067</v>
      </c>
      <c r="E2858" s="21">
        <v>7</v>
      </c>
      <c r="F2858" s="27" t="str">
        <f>Tabela12[[#This Row],[Régua]]&amp;" ("&amp;Tabela12[[#This Row],[Born]]&amp;")"</f>
        <v>F1A-B (7)</v>
      </c>
      <c r="G2858" s="27">
        <f>LEN(Tabela12[[#This Row],[Anilha]])</f>
        <v>9</v>
      </c>
      <c r="H2858" s="27">
        <f>VLOOKUP(Tabela12[[#This Row],[Tag Cabo]],BD!A:F,6,0)</f>
        <v>1</v>
      </c>
      <c r="I2858" s="27"/>
      <c r="J2858" s="27"/>
    </row>
    <row r="2859" spans="1:10" x14ac:dyDescent="0.25">
      <c r="A2859" s="21" t="s">
        <v>273</v>
      </c>
      <c r="B2859" s="322" t="str">
        <f>VLOOKUP(Tabela12[[#This Row],[Painel]],Tabela13[],2,0)</f>
        <v>1MV</v>
      </c>
      <c r="C2859" s="391" t="s">
        <v>196</v>
      </c>
      <c r="D2859" s="21" t="s">
        <v>2067</v>
      </c>
      <c r="E2859" s="21">
        <v>8</v>
      </c>
      <c r="F2859" s="27" t="str">
        <f>Tabela12[[#This Row],[Régua]]&amp;" ("&amp;Tabela12[[#This Row],[Born]]&amp;")"</f>
        <v>F1A-B (8)</v>
      </c>
      <c r="G2859" s="27">
        <f>LEN(Tabela12[[#This Row],[Anilha]])</f>
        <v>9</v>
      </c>
      <c r="H2859" s="27">
        <f>VLOOKUP(Tabela12[[#This Row],[Tag Cabo]],BD!A:F,6,0)</f>
        <v>1</v>
      </c>
      <c r="I2859" s="27"/>
      <c r="J2859" s="27"/>
    </row>
    <row r="2860" spans="1:10" x14ac:dyDescent="0.25">
      <c r="A2860" s="21" t="s">
        <v>273</v>
      </c>
      <c r="B2860" s="322" t="str">
        <f>VLOOKUP(Tabela12[[#This Row],[Painel]],Tabela13[],2,0)</f>
        <v>1MV</v>
      </c>
      <c r="C2860" s="391" t="s">
        <v>196</v>
      </c>
      <c r="D2860" s="21" t="s">
        <v>2067</v>
      </c>
      <c r="E2860" s="21">
        <v>9</v>
      </c>
      <c r="F2860" s="27" t="str">
        <f>Tabela12[[#This Row],[Régua]]&amp;" ("&amp;Tabela12[[#This Row],[Born]]&amp;")"</f>
        <v>F1A-B (9)</v>
      </c>
      <c r="G2860" s="27">
        <f>LEN(Tabela12[[#This Row],[Anilha]])</f>
        <v>9</v>
      </c>
      <c r="H2860" s="27">
        <f>VLOOKUP(Tabela12[[#This Row],[Tag Cabo]],BD!A:F,6,0)</f>
        <v>1</v>
      </c>
      <c r="I2860" s="27"/>
      <c r="J2860" s="27"/>
    </row>
    <row r="2861" spans="1:10" x14ac:dyDescent="0.25">
      <c r="A2861" s="21" t="s">
        <v>273</v>
      </c>
      <c r="B2861" s="322" t="str">
        <f>VLOOKUP(Tabela12[[#This Row],[Painel]],Tabela13[],2,0)</f>
        <v>1MV</v>
      </c>
      <c r="C2861" s="391" t="s">
        <v>196</v>
      </c>
      <c r="D2861" s="21" t="s">
        <v>2067</v>
      </c>
      <c r="E2861" s="21">
        <v>10</v>
      </c>
      <c r="F2861" s="27" t="str">
        <f>Tabela12[[#This Row],[Régua]]&amp;" ("&amp;Tabela12[[#This Row],[Born]]&amp;")"</f>
        <v>F1A-B (10)</v>
      </c>
      <c r="G2861" s="27">
        <f>LEN(Tabela12[[#This Row],[Anilha]])</f>
        <v>10</v>
      </c>
      <c r="H2861" s="27">
        <f>VLOOKUP(Tabela12[[#This Row],[Tag Cabo]],BD!A:F,6,0)</f>
        <v>1</v>
      </c>
      <c r="I2861" s="27"/>
      <c r="J2861" s="27"/>
    </row>
    <row r="2862" spans="1:10" x14ac:dyDescent="0.25">
      <c r="A2862" s="21" t="s">
        <v>273</v>
      </c>
      <c r="B2862" s="322" t="str">
        <f>VLOOKUP(Tabela12[[#This Row],[Painel]],Tabela13[],2,0)</f>
        <v>1MV</v>
      </c>
      <c r="C2862" s="391" t="s">
        <v>196</v>
      </c>
      <c r="D2862" s="21" t="s">
        <v>2067</v>
      </c>
      <c r="E2862" s="21">
        <v>11</v>
      </c>
      <c r="F2862" s="27" t="str">
        <f>Tabela12[[#This Row],[Régua]]&amp;" ("&amp;Tabela12[[#This Row],[Born]]&amp;")"</f>
        <v>F1A-B (11)</v>
      </c>
      <c r="G2862" s="27">
        <f>LEN(Tabela12[[#This Row],[Anilha]])</f>
        <v>10</v>
      </c>
      <c r="H2862" s="27">
        <f>VLOOKUP(Tabela12[[#This Row],[Tag Cabo]],BD!A:F,6,0)</f>
        <v>1</v>
      </c>
      <c r="I2862" s="27"/>
      <c r="J2862" s="27"/>
    </row>
    <row r="2863" spans="1:10" x14ac:dyDescent="0.25">
      <c r="A2863" s="21" t="s">
        <v>273</v>
      </c>
      <c r="B2863" s="322" t="str">
        <f>VLOOKUP(Tabela12[[#This Row],[Painel]],Tabela13[],2,0)</f>
        <v>1MV</v>
      </c>
      <c r="C2863" s="391" t="s">
        <v>196</v>
      </c>
      <c r="D2863" s="21" t="s">
        <v>2067</v>
      </c>
      <c r="E2863" s="21">
        <v>12</v>
      </c>
      <c r="F2863" s="27" t="str">
        <f>Tabela12[[#This Row],[Régua]]&amp;" ("&amp;Tabela12[[#This Row],[Born]]&amp;")"</f>
        <v>F1A-B (12)</v>
      </c>
      <c r="G2863" s="27">
        <f>LEN(Tabela12[[#This Row],[Anilha]])</f>
        <v>10</v>
      </c>
      <c r="H2863" s="27">
        <f>VLOOKUP(Tabela12[[#This Row],[Tag Cabo]],BD!A:F,6,0)</f>
        <v>1</v>
      </c>
      <c r="I2863" s="27"/>
      <c r="J2863" s="27"/>
    </row>
    <row r="2864" spans="1:10" x14ac:dyDescent="0.25">
      <c r="A2864" s="21" t="s">
        <v>273</v>
      </c>
      <c r="B2864" s="322" t="str">
        <f>VLOOKUP(Tabela12[[#This Row],[Painel]],Tabela13[],2,0)</f>
        <v>GB-967A/B</v>
      </c>
      <c r="C2864" s="391" t="s">
        <v>1540</v>
      </c>
      <c r="D2864" s="21" t="s">
        <v>1754</v>
      </c>
      <c r="E2864" s="21">
        <v>1</v>
      </c>
      <c r="F2864" s="27" t="str">
        <f>Tabela12[[#This Row],[Régua]]&amp;" ("&amp;Tabela12[[#This Row],[Born]]&amp;")"</f>
        <v>TS1 (1)</v>
      </c>
      <c r="G2864" s="27">
        <f>LEN(Tabela12[[#This Row],[Anilha]])</f>
        <v>7</v>
      </c>
      <c r="H2864" s="27">
        <f>VLOOKUP(Tabela12[[#This Row],[Tag Cabo]],BD!A:F,6,0)</f>
        <v>1</v>
      </c>
      <c r="I2864" s="27"/>
      <c r="J2864" s="27"/>
    </row>
    <row r="2865" spans="1:10" x14ac:dyDescent="0.25">
      <c r="A2865" s="21" t="s">
        <v>273</v>
      </c>
      <c r="B2865" s="322" t="str">
        <f>VLOOKUP(Tabela12[[#This Row],[Painel]],Tabela13[],2,0)</f>
        <v>GB-967A/B</v>
      </c>
      <c r="C2865" s="391" t="s">
        <v>1540</v>
      </c>
      <c r="D2865" s="21" t="s">
        <v>1754</v>
      </c>
      <c r="E2865" s="21">
        <v>2</v>
      </c>
      <c r="F2865" s="27" t="str">
        <f>Tabela12[[#This Row],[Régua]]&amp;" ("&amp;Tabela12[[#This Row],[Born]]&amp;")"</f>
        <v>TS1 (2)</v>
      </c>
      <c r="G2865" s="27">
        <f>LEN(Tabela12[[#This Row],[Anilha]])</f>
        <v>7</v>
      </c>
      <c r="H2865" s="27">
        <f>VLOOKUP(Tabela12[[#This Row],[Tag Cabo]],BD!A:F,6,0)</f>
        <v>1</v>
      </c>
      <c r="I2865" s="27"/>
      <c r="J2865" s="27"/>
    </row>
    <row r="2866" spans="1:10" x14ac:dyDescent="0.25">
      <c r="A2866" s="21" t="s">
        <v>273</v>
      </c>
      <c r="B2866" s="322" t="str">
        <f>VLOOKUP(Tabela12[[#This Row],[Painel]],Tabela13[],2,0)</f>
        <v>GB-967A/B</v>
      </c>
      <c r="C2866" s="391" t="s">
        <v>1540</v>
      </c>
      <c r="D2866" s="21" t="s">
        <v>1754</v>
      </c>
      <c r="E2866" s="21">
        <v>3</v>
      </c>
      <c r="F2866" s="27" t="str">
        <f>Tabela12[[#This Row],[Régua]]&amp;" ("&amp;Tabela12[[#This Row],[Born]]&amp;")"</f>
        <v>TS1 (3)</v>
      </c>
      <c r="G2866" s="27">
        <f>LEN(Tabela12[[#This Row],[Anilha]])</f>
        <v>7</v>
      </c>
      <c r="H2866" s="27">
        <f>VLOOKUP(Tabela12[[#This Row],[Tag Cabo]],BD!A:F,6,0)</f>
        <v>1</v>
      </c>
      <c r="I2866" s="27"/>
      <c r="J2866" s="27"/>
    </row>
    <row r="2867" spans="1:10" x14ac:dyDescent="0.25">
      <c r="A2867" s="21" t="s">
        <v>273</v>
      </c>
      <c r="B2867" s="322" t="str">
        <f>VLOOKUP(Tabela12[[#This Row],[Painel]],Tabela13[],2,0)</f>
        <v>GB-967A/B</v>
      </c>
      <c r="C2867" s="391" t="s">
        <v>1540</v>
      </c>
      <c r="D2867" s="21" t="s">
        <v>1754</v>
      </c>
      <c r="E2867" s="21">
        <v>4</v>
      </c>
      <c r="F2867" s="27" t="str">
        <f>Tabela12[[#This Row],[Régua]]&amp;" ("&amp;Tabela12[[#This Row],[Born]]&amp;")"</f>
        <v>TS1 (4)</v>
      </c>
      <c r="G2867" s="27">
        <f>LEN(Tabela12[[#This Row],[Anilha]])</f>
        <v>7</v>
      </c>
      <c r="H2867" s="27">
        <f>VLOOKUP(Tabela12[[#This Row],[Tag Cabo]],BD!A:F,6,0)</f>
        <v>1</v>
      </c>
      <c r="I2867" s="27"/>
      <c r="J2867" s="27"/>
    </row>
    <row r="2868" spans="1:10" x14ac:dyDescent="0.25">
      <c r="A2868" s="21" t="s">
        <v>273</v>
      </c>
      <c r="B2868" s="322" t="str">
        <f>VLOOKUP(Tabela12[[#This Row],[Painel]],Tabela13[],2,0)</f>
        <v>GB-967A/B</v>
      </c>
      <c r="C2868" s="391" t="s">
        <v>1540</v>
      </c>
      <c r="D2868" s="21" t="s">
        <v>1754</v>
      </c>
      <c r="E2868" s="21">
        <v>5</v>
      </c>
      <c r="F2868" s="27" t="str">
        <f>Tabela12[[#This Row],[Régua]]&amp;" ("&amp;Tabela12[[#This Row],[Born]]&amp;")"</f>
        <v>TS1 (5)</v>
      </c>
      <c r="G2868" s="27">
        <f>LEN(Tabela12[[#This Row],[Anilha]])</f>
        <v>7</v>
      </c>
      <c r="H2868" s="27">
        <f>VLOOKUP(Tabela12[[#This Row],[Tag Cabo]],BD!A:F,6,0)</f>
        <v>1</v>
      </c>
      <c r="I2868" s="27"/>
      <c r="J2868" s="27"/>
    </row>
    <row r="2869" spans="1:10" x14ac:dyDescent="0.25">
      <c r="A2869" s="21" t="s">
        <v>273</v>
      </c>
      <c r="B2869" s="322" t="str">
        <f>VLOOKUP(Tabela12[[#This Row],[Painel]],Tabela13[],2,0)</f>
        <v>GB-967A/B</v>
      </c>
      <c r="C2869" s="391" t="s">
        <v>1540</v>
      </c>
      <c r="D2869" s="21" t="s">
        <v>1754</v>
      </c>
      <c r="E2869" s="21">
        <v>6</v>
      </c>
      <c r="F2869" s="27" t="str">
        <f>Tabela12[[#This Row],[Régua]]&amp;" ("&amp;Tabela12[[#This Row],[Born]]&amp;")"</f>
        <v>TS1 (6)</v>
      </c>
      <c r="G2869" s="27">
        <f>LEN(Tabela12[[#This Row],[Anilha]])</f>
        <v>7</v>
      </c>
      <c r="H2869" s="27">
        <f>VLOOKUP(Tabela12[[#This Row],[Tag Cabo]],BD!A:F,6,0)</f>
        <v>1</v>
      </c>
      <c r="I2869" s="27"/>
      <c r="J2869" s="27"/>
    </row>
    <row r="2870" spans="1:10" x14ac:dyDescent="0.25">
      <c r="A2870" s="21" t="s">
        <v>273</v>
      </c>
      <c r="B2870" s="322" t="str">
        <f>VLOOKUP(Tabela12[[#This Row],[Painel]],Tabela13[],2,0)</f>
        <v>GB-967A/B</v>
      </c>
      <c r="C2870" s="391" t="s">
        <v>1540</v>
      </c>
      <c r="D2870" s="21" t="s">
        <v>1754</v>
      </c>
      <c r="E2870" s="21">
        <v>7</v>
      </c>
      <c r="F2870" s="27" t="str">
        <f>Tabela12[[#This Row],[Régua]]&amp;" ("&amp;Tabela12[[#This Row],[Born]]&amp;")"</f>
        <v>TS1 (7)</v>
      </c>
      <c r="G2870" s="27">
        <f>LEN(Tabela12[[#This Row],[Anilha]])</f>
        <v>7</v>
      </c>
      <c r="H2870" s="27">
        <f>VLOOKUP(Tabela12[[#This Row],[Tag Cabo]],BD!A:F,6,0)</f>
        <v>1</v>
      </c>
      <c r="I2870" s="27"/>
      <c r="J2870" s="27"/>
    </row>
    <row r="2871" spans="1:10" x14ac:dyDescent="0.25">
      <c r="A2871" s="21" t="s">
        <v>273</v>
      </c>
      <c r="B2871" s="322" t="str">
        <f>VLOOKUP(Tabela12[[#This Row],[Painel]],Tabela13[],2,0)</f>
        <v>GB-967A/B</v>
      </c>
      <c r="C2871" s="391" t="s">
        <v>1540</v>
      </c>
      <c r="D2871" s="21" t="s">
        <v>1754</v>
      </c>
      <c r="E2871" s="21">
        <v>8</v>
      </c>
      <c r="F2871" s="27" t="str">
        <f>Tabela12[[#This Row],[Régua]]&amp;" ("&amp;Tabela12[[#This Row],[Born]]&amp;")"</f>
        <v>TS1 (8)</v>
      </c>
      <c r="G2871" s="27">
        <f>LEN(Tabela12[[#This Row],[Anilha]])</f>
        <v>7</v>
      </c>
      <c r="H2871" s="27">
        <f>VLOOKUP(Tabela12[[#This Row],[Tag Cabo]],BD!A:F,6,0)</f>
        <v>1</v>
      </c>
      <c r="I2871" s="27"/>
      <c r="J2871" s="27"/>
    </row>
    <row r="2872" spans="1:10" x14ac:dyDescent="0.25">
      <c r="A2872" s="21" t="s">
        <v>273</v>
      </c>
      <c r="B2872" s="322" t="str">
        <f>VLOOKUP(Tabela12[[#This Row],[Painel]],Tabela13[],2,0)</f>
        <v>GB-967A/B</v>
      </c>
      <c r="C2872" s="391" t="s">
        <v>1540</v>
      </c>
      <c r="D2872" s="21" t="s">
        <v>1754</v>
      </c>
      <c r="E2872" s="21">
        <v>9</v>
      </c>
      <c r="F2872" s="27" t="str">
        <f>Tabela12[[#This Row],[Régua]]&amp;" ("&amp;Tabela12[[#This Row],[Born]]&amp;")"</f>
        <v>TS1 (9)</v>
      </c>
      <c r="G2872" s="27">
        <f>LEN(Tabela12[[#This Row],[Anilha]])</f>
        <v>7</v>
      </c>
      <c r="H2872" s="27">
        <f>VLOOKUP(Tabela12[[#This Row],[Tag Cabo]],BD!A:F,6,0)</f>
        <v>1</v>
      </c>
      <c r="I2872" s="27"/>
      <c r="J2872" s="27"/>
    </row>
    <row r="2873" spans="1:10" x14ac:dyDescent="0.25">
      <c r="A2873" s="21" t="s">
        <v>273</v>
      </c>
      <c r="B2873" s="322" t="str">
        <f>VLOOKUP(Tabela12[[#This Row],[Painel]],Tabela13[],2,0)</f>
        <v>GB-967A/B</v>
      </c>
      <c r="C2873" s="391" t="s">
        <v>1540</v>
      </c>
      <c r="D2873" s="21" t="s">
        <v>1754</v>
      </c>
      <c r="E2873" s="21">
        <v>10</v>
      </c>
      <c r="F2873" s="27" t="str">
        <f>Tabela12[[#This Row],[Régua]]&amp;" ("&amp;Tabela12[[#This Row],[Born]]&amp;")"</f>
        <v>TS1 (10)</v>
      </c>
      <c r="G2873" s="27">
        <f>LEN(Tabela12[[#This Row],[Anilha]])</f>
        <v>8</v>
      </c>
      <c r="H2873" s="27">
        <f>VLOOKUP(Tabela12[[#This Row],[Tag Cabo]],BD!A:F,6,0)</f>
        <v>1</v>
      </c>
      <c r="I2873" s="27"/>
      <c r="J2873" s="27"/>
    </row>
    <row r="2874" spans="1:10" x14ac:dyDescent="0.25">
      <c r="A2874" s="21" t="s">
        <v>273</v>
      </c>
      <c r="B2874" s="322" t="str">
        <f>VLOOKUP(Tabela12[[#This Row],[Painel]],Tabela13[],2,0)</f>
        <v>GB-967A/B</v>
      </c>
      <c r="C2874" s="391" t="s">
        <v>1540</v>
      </c>
      <c r="D2874" s="21" t="s">
        <v>1754</v>
      </c>
      <c r="E2874" s="21">
        <v>11</v>
      </c>
      <c r="F2874" s="27" t="str">
        <f>Tabela12[[#This Row],[Régua]]&amp;" ("&amp;Tabela12[[#This Row],[Born]]&amp;")"</f>
        <v>TS1 (11)</v>
      </c>
      <c r="G2874" s="27">
        <f>LEN(Tabela12[[#This Row],[Anilha]])</f>
        <v>8</v>
      </c>
      <c r="H2874" s="27">
        <f>VLOOKUP(Tabela12[[#This Row],[Tag Cabo]],BD!A:F,6,0)</f>
        <v>1</v>
      </c>
      <c r="I2874" s="27"/>
      <c r="J2874" s="27"/>
    </row>
    <row r="2875" spans="1:10" x14ac:dyDescent="0.25">
      <c r="A2875" s="21" t="s">
        <v>273</v>
      </c>
      <c r="B2875" s="322" t="str">
        <f>VLOOKUP(Tabela12[[#This Row],[Painel]],Tabela13[],2,0)</f>
        <v>GB-967A/B</v>
      </c>
      <c r="C2875" s="391" t="s">
        <v>1540</v>
      </c>
      <c r="D2875" s="21" t="s">
        <v>1754</v>
      </c>
      <c r="E2875" s="21">
        <v>12</v>
      </c>
      <c r="F2875" s="27" t="str">
        <f>Tabela12[[#This Row],[Régua]]&amp;" ("&amp;Tabela12[[#This Row],[Born]]&amp;")"</f>
        <v>TS1 (12)</v>
      </c>
      <c r="G2875" s="27">
        <f>LEN(Tabela12[[#This Row],[Anilha]])</f>
        <v>8</v>
      </c>
      <c r="H2875" s="27">
        <f>VLOOKUP(Tabela12[[#This Row],[Tag Cabo]],BD!A:F,6,0)</f>
        <v>1</v>
      </c>
      <c r="I2875" s="27"/>
      <c r="J2875" s="27"/>
    </row>
    <row r="2876" spans="1:10" x14ac:dyDescent="0.25">
      <c r="A2876" s="21" t="s">
        <v>273</v>
      </c>
      <c r="B2876" s="322" t="str">
        <f>VLOOKUP(Tabela12[[#This Row],[Painel]],Tabela13[],2,0)</f>
        <v>GB-967A/B</v>
      </c>
      <c r="C2876" s="391" t="s">
        <v>1540</v>
      </c>
      <c r="D2876" s="21" t="s">
        <v>1754</v>
      </c>
      <c r="E2876" s="21">
        <v>13</v>
      </c>
      <c r="F2876" s="27" t="str">
        <f>Tabela12[[#This Row],[Régua]]&amp;" ("&amp;Tabela12[[#This Row],[Born]]&amp;")"</f>
        <v>TS1 (13)</v>
      </c>
      <c r="G2876" s="27">
        <f>LEN(Tabela12[[#This Row],[Anilha]])</f>
        <v>8</v>
      </c>
      <c r="H2876" s="27">
        <f>VLOOKUP(Tabela12[[#This Row],[Tag Cabo]],BD!A:F,6,0)</f>
        <v>1</v>
      </c>
      <c r="I2876" s="27"/>
      <c r="J2876" s="27"/>
    </row>
    <row r="2877" spans="1:10" x14ac:dyDescent="0.25">
      <c r="A2877" s="21" t="s">
        <v>273</v>
      </c>
      <c r="B2877" s="322" t="str">
        <f>VLOOKUP(Tabela12[[#This Row],[Painel]],Tabela13[],2,0)</f>
        <v>GB-967A/B</v>
      </c>
      <c r="C2877" s="391" t="s">
        <v>1540</v>
      </c>
      <c r="D2877" s="21" t="s">
        <v>1754</v>
      </c>
      <c r="E2877" s="21">
        <v>14</v>
      </c>
      <c r="F2877" s="27" t="str">
        <f>Tabela12[[#This Row],[Régua]]&amp;" ("&amp;Tabela12[[#This Row],[Born]]&amp;")"</f>
        <v>TS1 (14)</v>
      </c>
      <c r="G2877" s="27">
        <f>LEN(Tabela12[[#This Row],[Anilha]])</f>
        <v>8</v>
      </c>
      <c r="H2877" s="27">
        <f>VLOOKUP(Tabela12[[#This Row],[Tag Cabo]],BD!A:F,6,0)</f>
        <v>1</v>
      </c>
      <c r="I2877" s="27"/>
      <c r="J2877" s="27"/>
    </row>
    <row r="2878" spans="1:10" x14ac:dyDescent="0.25">
      <c r="A2878" s="21" t="s">
        <v>273</v>
      </c>
      <c r="B2878" s="322" t="str">
        <f>VLOOKUP(Tabela12[[#This Row],[Painel]],Tabela13[],2,0)</f>
        <v>GB-967A/B</v>
      </c>
      <c r="C2878" s="391" t="s">
        <v>1540</v>
      </c>
      <c r="D2878" s="21" t="s">
        <v>1754</v>
      </c>
      <c r="E2878" s="21">
        <v>15</v>
      </c>
      <c r="F2878" s="27" t="str">
        <f>Tabela12[[#This Row],[Régua]]&amp;" ("&amp;Tabela12[[#This Row],[Born]]&amp;")"</f>
        <v>TS1 (15)</v>
      </c>
      <c r="G2878" s="27">
        <f>LEN(Tabela12[[#This Row],[Anilha]])</f>
        <v>8</v>
      </c>
      <c r="H2878" s="27">
        <f>VLOOKUP(Tabela12[[#This Row],[Tag Cabo]],BD!A:F,6,0)</f>
        <v>1</v>
      </c>
      <c r="I2878" s="27"/>
      <c r="J2878" s="27"/>
    </row>
    <row r="2879" spans="1:10" x14ac:dyDescent="0.25">
      <c r="A2879" s="21" t="s">
        <v>273</v>
      </c>
      <c r="B2879" s="322" t="str">
        <f>VLOOKUP(Tabela12[[#This Row],[Painel]],Tabela13[],2,0)</f>
        <v>GB-967A/B</v>
      </c>
      <c r="C2879" s="391" t="s">
        <v>1540</v>
      </c>
      <c r="D2879" s="21" t="s">
        <v>1754</v>
      </c>
      <c r="E2879" s="21">
        <v>16</v>
      </c>
      <c r="F2879" s="27" t="str">
        <f>Tabela12[[#This Row],[Régua]]&amp;" ("&amp;Tabela12[[#This Row],[Born]]&amp;")"</f>
        <v>TS1 (16)</v>
      </c>
      <c r="G2879" s="27">
        <f>LEN(Tabela12[[#This Row],[Anilha]])</f>
        <v>8</v>
      </c>
      <c r="H2879" s="27">
        <f>VLOOKUP(Tabela12[[#This Row],[Tag Cabo]],BD!A:F,6,0)</f>
        <v>1</v>
      </c>
      <c r="I2879" s="27"/>
      <c r="J2879" s="27"/>
    </row>
    <row r="2880" spans="1:10" x14ac:dyDescent="0.25">
      <c r="A2880" s="21" t="s">
        <v>273</v>
      </c>
      <c r="B2880" s="322" t="str">
        <f>VLOOKUP(Tabela12[[#This Row],[Painel]],Tabela13[],2,0)</f>
        <v>GB-967A/B</v>
      </c>
      <c r="C2880" s="391" t="s">
        <v>1540</v>
      </c>
      <c r="D2880" s="21" t="s">
        <v>1754</v>
      </c>
      <c r="E2880" s="21">
        <v>17</v>
      </c>
      <c r="F2880" s="27" t="str">
        <f>Tabela12[[#This Row],[Régua]]&amp;" ("&amp;Tabela12[[#This Row],[Born]]&amp;")"</f>
        <v>TS1 (17)</v>
      </c>
      <c r="G2880" s="27">
        <f>LEN(Tabela12[[#This Row],[Anilha]])</f>
        <v>8</v>
      </c>
      <c r="H2880" s="27">
        <f>VLOOKUP(Tabela12[[#This Row],[Tag Cabo]],BD!A:F,6,0)</f>
        <v>1</v>
      </c>
      <c r="I2880" s="27"/>
      <c r="J2880" s="27"/>
    </row>
    <row r="2881" spans="1:10" x14ac:dyDescent="0.25">
      <c r="A2881" s="21" t="s">
        <v>273</v>
      </c>
      <c r="B2881" s="322" t="str">
        <f>VLOOKUP(Tabela12[[#This Row],[Painel]],Tabela13[],2,0)</f>
        <v>GB-967A/B</v>
      </c>
      <c r="C2881" s="391" t="s">
        <v>1540</v>
      </c>
      <c r="D2881" s="21" t="s">
        <v>1754</v>
      </c>
      <c r="E2881" s="21">
        <v>18</v>
      </c>
      <c r="F2881" s="27" t="str">
        <f>Tabela12[[#This Row],[Régua]]&amp;" ("&amp;Tabela12[[#This Row],[Born]]&amp;")"</f>
        <v>TS1 (18)</v>
      </c>
      <c r="G2881" s="27">
        <f>LEN(Tabela12[[#This Row],[Anilha]])</f>
        <v>8</v>
      </c>
      <c r="H2881" s="27">
        <f>VLOOKUP(Tabela12[[#This Row],[Tag Cabo]],BD!A:F,6,0)</f>
        <v>1</v>
      </c>
      <c r="I2881" s="27"/>
      <c r="J2881" s="27"/>
    </row>
    <row r="2882" spans="1:10" x14ac:dyDescent="0.25">
      <c r="A2882" s="21" t="s">
        <v>273</v>
      </c>
      <c r="B2882" s="322" t="str">
        <f>VLOOKUP(Tabela12[[#This Row],[Painel]],Tabela13[],2,0)</f>
        <v>GB-967A/B</v>
      </c>
      <c r="C2882" s="391" t="s">
        <v>1540</v>
      </c>
      <c r="D2882" s="21" t="s">
        <v>1816</v>
      </c>
      <c r="E2882" s="21">
        <v>1</v>
      </c>
      <c r="F2882" s="27" t="str">
        <f>Tabela12[[#This Row],[Régua]]&amp;" ("&amp;Tabela12[[#This Row],[Born]]&amp;")"</f>
        <v>TS2 (1)</v>
      </c>
      <c r="G2882" s="27">
        <f>LEN(Tabela12[[#This Row],[Anilha]])</f>
        <v>7</v>
      </c>
      <c r="H2882" s="27">
        <f>VLOOKUP(Tabela12[[#This Row],[Tag Cabo]],BD!A:F,6,0)</f>
        <v>1</v>
      </c>
      <c r="I2882" s="27"/>
      <c r="J2882" s="27"/>
    </row>
    <row r="2883" spans="1:10" x14ac:dyDescent="0.25">
      <c r="A2883" s="21" t="s">
        <v>273</v>
      </c>
      <c r="B2883" s="322" t="str">
        <f>VLOOKUP(Tabela12[[#This Row],[Painel]],Tabela13[],2,0)</f>
        <v>GB-967A/B</v>
      </c>
      <c r="C2883" s="391" t="s">
        <v>1540</v>
      </c>
      <c r="D2883" s="21" t="s">
        <v>1816</v>
      </c>
      <c r="E2883" s="21">
        <v>2</v>
      </c>
      <c r="F2883" s="27" t="str">
        <f>Tabela12[[#This Row],[Régua]]&amp;" ("&amp;Tabela12[[#This Row],[Born]]&amp;")"</f>
        <v>TS2 (2)</v>
      </c>
      <c r="G2883" s="27">
        <f>LEN(Tabela12[[#This Row],[Anilha]])</f>
        <v>7</v>
      </c>
      <c r="H2883" s="27">
        <f>VLOOKUP(Tabela12[[#This Row],[Tag Cabo]],BD!A:F,6,0)</f>
        <v>1</v>
      </c>
      <c r="I2883" s="27"/>
      <c r="J2883" s="27"/>
    </row>
    <row r="2884" spans="1:10" x14ac:dyDescent="0.25">
      <c r="A2884" s="21" t="s">
        <v>273</v>
      </c>
      <c r="B2884" s="322" t="str">
        <f>VLOOKUP(Tabela12[[#This Row],[Painel]],Tabela13[],2,0)</f>
        <v>GB-967A/B</v>
      </c>
      <c r="C2884" s="391" t="s">
        <v>1540</v>
      </c>
      <c r="D2884" s="21" t="s">
        <v>1816</v>
      </c>
      <c r="E2884" s="21">
        <v>3</v>
      </c>
      <c r="F2884" s="27" t="str">
        <f>Tabela12[[#This Row],[Régua]]&amp;" ("&amp;Tabela12[[#This Row],[Born]]&amp;")"</f>
        <v>TS2 (3)</v>
      </c>
      <c r="G2884" s="27">
        <f>LEN(Tabela12[[#This Row],[Anilha]])</f>
        <v>7</v>
      </c>
      <c r="H2884" s="27">
        <f>VLOOKUP(Tabela12[[#This Row],[Tag Cabo]],BD!A:F,6,0)</f>
        <v>1</v>
      </c>
      <c r="I2884" s="27"/>
      <c r="J2884" s="27"/>
    </row>
    <row r="2885" spans="1:10" x14ac:dyDescent="0.25">
      <c r="A2885" s="21" t="s">
        <v>273</v>
      </c>
      <c r="B2885" s="322" t="str">
        <f>VLOOKUP(Tabela12[[#This Row],[Painel]],Tabela13[],2,0)</f>
        <v>GB-967A/B</v>
      </c>
      <c r="C2885" s="391" t="s">
        <v>1540</v>
      </c>
      <c r="D2885" s="21" t="s">
        <v>1816</v>
      </c>
      <c r="E2885" s="21">
        <v>4</v>
      </c>
      <c r="F2885" s="27" t="str">
        <f>Tabela12[[#This Row],[Régua]]&amp;" ("&amp;Tabela12[[#This Row],[Born]]&amp;")"</f>
        <v>TS2 (4)</v>
      </c>
      <c r="G2885" s="27">
        <f>LEN(Tabela12[[#This Row],[Anilha]])</f>
        <v>7</v>
      </c>
      <c r="H2885" s="27">
        <f>VLOOKUP(Tabela12[[#This Row],[Tag Cabo]],BD!A:F,6,0)</f>
        <v>1</v>
      </c>
      <c r="I2885" s="27"/>
      <c r="J2885" s="27"/>
    </row>
    <row r="2886" spans="1:10" x14ac:dyDescent="0.25">
      <c r="A2886" s="21" t="s">
        <v>273</v>
      </c>
      <c r="B2886" s="322" t="str">
        <f>VLOOKUP(Tabela12[[#This Row],[Painel]],Tabela13[],2,0)</f>
        <v>GB-967A/B</v>
      </c>
      <c r="C2886" s="391" t="s">
        <v>1540</v>
      </c>
      <c r="D2886" s="21" t="s">
        <v>1816</v>
      </c>
      <c r="E2886" s="21">
        <v>5</v>
      </c>
      <c r="F2886" s="27" t="str">
        <f>Tabela12[[#This Row],[Régua]]&amp;" ("&amp;Tabela12[[#This Row],[Born]]&amp;")"</f>
        <v>TS2 (5)</v>
      </c>
      <c r="G2886" s="27">
        <f>LEN(Tabela12[[#This Row],[Anilha]])</f>
        <v>7</v>
      </c>
      <c r="H2886" s="27">
        <f>VLOOKUP(Tabela12[[#This Row],[Tag Cabo]],BD!A:F,6,0)</f>
        <v>1</v>
      </c>
      <c r="I2886" s="27"/>
      <c r="J2886" s="27"/>
    </row>
    <row r="2887" spans="1:10" x14ac:dyDescent="0.25">
      <c r="A2887" s="21" t="s">
        <v>273</v>
      </c>
      <c r="B2887" s="322" t="str">
        <f>VLOOKUP(Tabela12[[#This Row],[Painel]],Tabela13[],2,0)</f>
        <v>GB-967A/B</v>
      </c>
      <c r="C2887" s="391" t="s">
        <v>1540</v>
      </c>
      <c r="D2887" s="21" t="s">
        <v>1816</v>
      </c>
      <c r="E2887" s="21">
        <v>6</v>
      </c>
      <c r="F2887" s="27" t="str">
        <f>Tabela12[[#This Row],[Régua]]&amp;" ("&amp;Tabela12[[#This Row],[Born]]&amp;")"</f>
        <v>TS2 (6)</v>
      </c>
      <c r="G2887" s="27">
        <f>LEN(Tabela12[[#This Row],[Anilha]])</f>
        <v>7</v>
      </c>
      <c r="H2887" s="27">
        <f>VLOOKUP(Tabela12[[#This Row],[Tag Cabo]],BD!A:F,6,0)</f>
        <v>1</v>
      </c>
      <c r="I2887" s="27"/>
      <c r="J2887" s="27"/>
    </row>
    <row r="2888" spans="1:10" x14ac:dyDescent="0.25">
      <c r="A2888" s="21" t="s">
        <v>79</v>
      </c>
      <c r="B2888" s="322" t="str">
        <f>VLOOKUP(Tabela12[[#This Row],[Painel]],Tabela13[],2,0)</f>
        <v>1MV</v>
      </c>
      <c r="C2888" s="391" t="s">
        <v>196</v>
      </c>
      <c r="D2888" s="21" t="s">
        <v>2068</v>
      </c>
      <c r="E2888" s="21" t="s">
        <v>1760</v>
      </c>
      <c r="F2888" s="27" t="str">
        <f>Tabela12[[#This Row],[Régua]]&amp;" ("&amp;Tabela12[[#This Row],[Born]]&amp;")"</f>
        <v>PN-CC2 (+)</v>
      </c>
      <c r="G2888" s="27">
        <f>LEN(Tabela12[[#This Row],[Anilha]])</f>
        <v>10</v>
      </c>
      <c r="H2888" s="27">
        <f>VLOOKUP(Tabela12[[#This Row],[Tag Cabo]],BD!A:F,6,0)</f>
        <v>4</v>
      </c>
      <c r="I2888" s="27"/>
      <c r="J2888" s="27"/>
    </row>
    <row r="2889" spans="1:10" x14ac:dyDescent="0.25">
      <c r="A2889" s="21" t="s">
        <v>79</v>
      </c>
      <c r="B2889" s="322" t="str">
        <f>VLOOKUP(Tabela12[[#This Row],[Painel]],Tabela13[],2,0)</f>
        <v>1MV</v>
      </c>
      <c r="C2889" s="391" t="s">
        <v>196</v>
      </c>
      <c r="D2889" s="21" t="s">
        <v>2068</v>
      </c>
      <c r="E2889" s="21" t="s">
        <v>92</v>
      </c>
      <c r="F2889" s="27" t="str">
        <f>Tabela12[[#This Row],[Régua]]&amp;" ("&amp;Tabela12[[#This Row],[Born]]&amp;")"</f>
        <v>PN-CC2 (-)</v>
      </c>
      <c r="G2889" s="27">
        <f>LEN(Tabela12[[#This Row],[Anilha]])</f>
        <v>10</v>
      </c>
      <c r="H2889" s="27">
        <f>VLOOKUP(Tabela12[[#This Row],[Tag Cabo]],BD!A:F,6,0)</f>
        <v>4</v>
      </c>
      <c r="I2889" s="27"/>
      <c r="J2889" s="27"/>
    </row>
    <row r="2890" spans="1:10" x14ac:dyDescent="0.25">
      <c r="A2890" s="21" t="s">
        <v>79</v>
      </c>
      <c r="B2890" s="322" t="str">
        <f>VLOOKUP(Tabela12[[#This Row],[Painel]],Tabela13[],2,0)</f>
        <v>1HV</v>
      </c>
      <c r="C2890" s="391" t="s">
        <v>104</v>
      </c>
      <c r="D2890" s="214" t="s">
        <v>2069</v>
      </c>
      <c r="E2890" s="21" t="s">
        <v>1742</v>
      </c>
      <c r="F2890" s="27" t="str">
        <f>Tabela12[[#This Row],[Régua]]&amp;" ("&amp;Tabela12[[#This Row],[Born]]&amp;")"</f>
        <v>-XCI1 (1+)</v>
      </c>
      <c r="G2890" s="27">
        <f>LEN(Tabela12[[#This Row],[Anilha]])</f>
        <v>10</v>
      </c>
      <c r="H2890" s="27">
        <f>VLOOKUP(Tabela12[[#This Row],[Tag Cabo]],BD!A:F,6,0)</f>
        <v>4</v>
      </c>
      <c r="I2890" s="27"/>
      <c r="J2890" s="27"/>
    </row>
    <row r="2891" spans="1:10" x14ac:dyDescent="0.25">
      <c r="A2891" s="21" t="s">
        <v>79</v>
      </c>
      <c r="B2891" s="322" t="str">
        <f>VLOOKUP(Tabela12[[#This Row],[Painel]],Tabela13[],2,0)</f>
        <v>1HV</v>
      </c>
      <c r="C2891" s="391" t="s">
        <v>104</v>
      </c>
      <c r="D2891" s="214" t="s">
        <v>2069</v>
      </c>
      <c r="E2891" s="21" t="s">
        <v>1730</v>
      </c>
      <c r="F2891" s="27" t="str">
        <f>Tabela12[[#This Row],[Régua]]&amp;" ("&amp;Tabela12[[#This Row],[Born]]&amp;")"</f>
        <v>-XCI1 (2-)</v>
      </c>
      <c r="G2891" s="27">
        <f>LEN(Tabela12[[#This Row],[Anilha]])</f>
        <v>10</v>
      </c>
      <c r="H2891" s="27">
        <f>VLOOKUP(Tabela12[[#This Row],[Tag Cabo]],BD!A:F,6,0)</f>
        <v>4</v>
      </c>
      <c r="I2891" s="27"/>
      <c r="J2891" s="27"/>
    </row>
    <row r="2892" spans="1:10" x14ac:dyDescent="0.25">
      <c r="A2892" s="21" t="s">
        <v>115</v>
      </c>
      <c r="B2892" s="322" t="str">
        <f>VLOOKUP(Tabela12[[#This Row],[Painel]],Tabela13[],2,0)</f>
        <v>1MV</v>
      </c>
      <c r="C2892" s="391" t="s">
        <v>1537</v>
      </c>
      <c r="D2892" s="21" t="s">
        <v>2070</v>
      </c>
      <c r="E2892" s="21">
        <v>1</v>
      </c>
      <c r="F2892" s="27" t="str">
        <f>Tabela12[[#This Row],[Régua]]&amp;" ("&amp;Tabela12[[#This Row],[Born]]&amp;")"</f>
        <v>DJ-1 (1)</v>
      </c>
      <c r="G2892" s="27">
        <f>LEN(Tabela12[[#This Row],[Anilha]])</f>
        <v>8</v>
      </c>
      <c r="H2892" s="27">
        <f>VLOOKUP(Tabela12[[#This Row],[Tag Cabo]],BD!A:F,6,0)</f>
        <v>4</v>
      </c>
      <c r="I2892" s="27"/>
      <c r="J2892" s="27"/>
    </row>
    <row r="2893" spans="1:10" x14ac:dyDescent="0.25">
      <c r="A2893" s="21" t="s">
        <v>115</v>
      </c>
      <c r="B2893" s="322" t="str">
        <f>VLOOKUP(Tabela12[[#This Row],[Painel]],Tabela13[],2,0)</f>
        <v>1MV</v>
      </c>
      <c r="C2893" s="391" t="s">
        <v>1537</v>
      </c>
      <c r="D2893" s="21" t="s">
        <v>2070</v>
      </c>
      <c r="E2893" s="21">
        <v>2</v>
      </c>
      <c r="F2893" s="27" t="str">
        <f>Tabela12[[#This Row],[Régua]]&amp;" ("&amp;Tabela12[[#This Row],[Born]]&amp;")"</f>
        <v>DJ-1 (2)</v>
      </c>
      <c r="G2893" s="27">
        <f>LEN(Tabela12[[#This Row],[Anilha]])</f>
        <v>8</v>
      </c>
      <c r="H2893" s="27">
        <f>VLOOKUP(Tabela12[[#This Row],[Tag Cabo]],BD!A:F,6,0)</f>
        <v>4</v>
      </c>
      <c r="I2893" s="27"/>
      <c r="J2893" s="27"/>
    </row>
    <row r="2894" spans="1:10" x14ac:dyDescent="0.25">
      <c r="A2894" s="21" t="s">
        <v>115</v>
      </c>
      <c r="B2894" s="322" t="str">
        <f>VLOOKUP(Tabela12[[#This Row],[Painel]],Tabela13[],2,0)</f>
        <v>1HV</v>
      </c>
      <c r="C2894" s="391" t="s">
        <v>104</v>
      </c>
      <c r="D2894" s="214" t="s">
        <v>2069</v>
      </c>
      <c r="E2894" s="21">
        <v>5</v>
      </c>
      <c r="F2894" s="27" t="str">
        <f>Tabela12[[#This Row],[Régua]]&amp;" ("&amp;Tabela12[[#This Row],[Born]]&amp;")"</f>
        <v>-XCI1 (5)</v>
      </c>
      <c r="G2894" s="27">
        <f>LEN(Tabela12[[#This Row],[Anilha]])</f>
        <v>9</v>
      </c>
      <c r="H2894" s="27">
        <f>VLOOKUP(Tabela12[[#This Row],[Tag Cabo]],BD!A:F,6,0)</f>
        <v>4</v>
      </c>
      <c r="I2894" s="27"/>
      <c r="J2894" s="27"/>
    </row>
    <row r="2895" spans="1:10" x14ac:dyDescent="0.25">
      <c r="A2895" s="21" t="s">
        <v>115</v>
      </c>
      <c r="B2895" s="322" t="str">
        <f>VLOOKUP(Tabela12[[#This Row],[Painel]],Tabela13[],2,0)</f>
        <v>1HV</v>
      </c>
      <c r="C2895" s="391" t="s">
        <v>104</v>
      </c>
      <c r="D2895" s="214" t="s">
        <v>2069</v>
      </c>
      <c r="E2895" s="21">
        <v>6</v>
      </c>
      <c r="F2895" s="27" t="str">
        <f>Tabela12[[#This Row],[Régua]]&amp;" ("&amp;Tabela12[[#This Row],[Born]]&amp;")"</f>
        <v>-XCI1 (6)</v>
      </c>
      <c r="G2895" s="27">
        <f>LEN(Tabela12[[#This Row],[Anilha]])</f>
        <v>9</v>
      </c>
      <c r="H2895" s="27">
        <f>VLOOKUP(Tabela12[[#This Row],[Tag Cabo]],BD!A:F,6,0)</f>
        <v>4</v>
      </c>
      <c r="I2895" s="27"/>
      <c r="J2895" s="27"/>
    </row>
    <row r="2896" spans="1:10" x14ac:dyDescent="0.25">
      <c r="A2896" s="21" t="s">
        <v>135</v>
      </c>
      <c r="B2896" s="322" t="str">
        <f>VLOOKUP(Tabela12[[#This Row],[Painel]],Tabela13[],2,0)</f>
        <v>1HV</v>
      </c>
      <c r="C2896" s="391" t="s">
        <v>104</v>
      </c>
      <c r="D2896" s="214" t="s">
        <v>2071</v>
      </c>
      <c r="E2896" s="21">
        <v>46</v>
      </c>
      <c r="F2896" s="27" t="str">
        <f>Tabela12[[#This Row],[Régua]]&amp;" ("&amp;Tabela12[[#This Row],[Born]]&amp;")"</f>
        <v>-XDC (46)</v>
      </c>
      <c r="G2896" s="27">
        <f>LEN(Tabela12[[#This Row],[Anilha]])</f>
        <v>9</v>
      </c>
      <c r="H2896" s="27">
        <f>VLOOKUP(Tabela12[[#This Row],[Tag Cabo]],BD!A:F,6,0)</f>
        <v>2.5</v>
      </c>
      <c r="I2896" s="27"/>
      <c r="J2896" s="27"/>
    </row>
    <row r="2897" spans="1:10" x14ac:dyDescent="0.25">
      <c r="A2897" s="21" t="s">
        <v>135</v>
      </c>
      <c r="B2897" s="322" t="str">
        <f>VLOOKUP(Tabela12[[#This Row],[Painel]],Tabela13[],2,0)</f>
        <v>1HV</v>
      </c>
      <c r="C2897" s="391" t="s">
        <v>104</v>
      </c>
      <c r="D2897" s="214" t="s">
        <v>2071</v>
      </c>
      <c r="E2897" s="21">
        <v>47</v>
      </c>
      <c r="F2897" s="27" t="str">
        <f>Tabela12[[#This Row],[Régua]]&amp;" ("&amp;Tabela12[[#This Row],[Born]]&amp;")"</f>
        <v>-XDC (47)</v>
      </c>
      <c r="G2897" s="27">
        <f>LEN(Tabela12[[#This Row],[Anilha]])</f>
        <v>9</v>
      </c>
      <c r="H2897" s="27">
        <f>VLOOKUP(Tabela12[[#This Row],[Tag Cabo]],BD!A:F,6,0)</f>
        <v>2.5</v>
      </c>
      <c r="I2897" s="27"/>
      <c r="J2897" s="27"/>
    </row>
    <row r="2898" spans="1:10" x14ac:dyDescent="0.25">
      <c r="A2898" s="21" t="s">
        <v>135</v>
      </c>
      <c r="B2898" s="322" t="str">
        <f>VLOOKUP(Tabela12[[#This Row],[Painel]],Tabela13[],2,0)</f>
        <v>1HV</v>
      </c>
      <c r="C2898" s="391" t="s">
        <v>104</v>
      </c>
      <c r="D2898" s="214" t="s">
        <v>2071</v>
      </c>
      <c r="E2898" s="21">
        <v>50</v>
      </c>
      <c r="F2898" s="27" t="str">
        <f>Tabela12[[#This Row],[Régua]]&amp;" ("&amp;Tabela12[[#This Row],[Born]]&amp;")"</f>
        <v>-XDC (50)</v>
      </c>
      <c r="G2898" s="27">
        <f>LEN(Tabela12[[#This Row],[Anilha]])</f>
        <v>9</v>
      </c>
      <c r="H2898" s="27">
        <f>VLOOKUP(Tabela12[[#This Row],[Tag Cabo]],BD!A:F,6,0)</f>
        <v>2.5</v>
      </c>
      <c r="I2898" s="27"/>
      <c r="J2898" s="27"/>
    </row>
    <row r="2899" spans="1:10" x14ac:dyDescent="0.25">
      <c r="A2899" s="21" t="s">
        <v>135</v>
      </c>
      <c r="B2899" s="322" t="str">
        <f>VLOOKUP(Tabela12[[#This Row],[Painel]],Tabela13[],2,0)</f>
        <v>1HV</v>
      </c>
      <c r="C2899" s="391" t="s">
        <v>104</v>
      </c>
      <c r="D2899" s="214" t="s">
        <v>2071</v>
      </c>
      <c r="E2899" s="21">
        <v>51</v>
      </c>
      <c r="F2899" s="27" t="str">
        <f>Tabela12[[#This Row],[Régua]]&amp;" ("&amp;Tabela12[[#This Row],[Born]]&amp;")"</f>
        <v>-XDC (51)</v>
      </c>
      <c r="G2899" s="27">
        <f>LEN(Tabela12[[#This Row],[Anilha]])</f>
        <v>9</v>
      </c>
      <c r="H2899" s="27">
        <f>VLOOKUP(Tabela12[[#This Row],[Tag Cabo]],BD!A:F,6,0)</f>
        <v>2.5</v>
      </c>
      <c r="I2899" s="27"/>
      <c r="J2899" s="27"/>
    </row>
    <row r="2900" spans="1:10" x14ac:dyDescent="0.25">
      <c r="A2900" s="21" t="s">
        <v>135</v>
      </c>
      <c r="B2900" s="322" t="str">
        <f>VLOOKUP(Tabela12[[#This Row],[Painel]],Tabela13[],2,0)</f>
        <v>1HV</v>
      </c>
      <c r="C2900" s="391" t="s">
        <v>104</v>
      </c>
      <c r="D2900" s="214" t="s">
        <v>2071</v>
      </c>
      <c r="E2900" s="21">
        <v>52</v>
      </c>
      <c r="F2900" s="27" t="str">
        <f>Tabela12[[#This Row],[Régua]]&amp;" ("&amp;Tabela12[[#This Row],[Born]]&amp;")"</f>
        <v>-XDC (52)</v>
      </c>
      <c r="G2900" s="27">
        <f>LEN(Tabela12[[#This Row],[Anilha]])</f>
        <v>9</v>
      </c>
      <c r="H2900" s="27">
        <f>VLOOKUP(Tabela12[[#This Row],[Tag Cabo]],BD!A:F,6,0)</f>
        <v>2.5</v>
      </c>
      <c r="I2900" s="27"/>
      <c r="J2900" s="27"/>
    </row>
    <row r="2901" spans="1:10" x14ac:dyDescent="0.25">
      <c r="A2901" s="21" t="s">
        <v>135</v>
      </c>
      <c r="B2901" s="322" t="str">
        <f>VLOOKUP(Tabela12[[#This Row],[Painel]],Tabela13[],2,0)</f>
        <v>1HV</v>
      </c>
      <c r="C2901" s="391" t="s">
        <v>104</v>
      </c>
      <c r="D2901" s="214" t="s">
        <v>2071</v>
      </c>
      <c r="E2901" s="21">
        <v>53</v>
      </c>
      <c r="F2901" s="27" t="str">
        <f>Tabela12[[#This Row],[Régua]]&amp;" ("&amp;Tabela12[[#This Row],[Born]]&amp;")"</f>
        <v>-XDC (53)</v>
      </c>
      <c r="G2901" s="27">
        <f>LEN(Tabela12[[#This Row],[Anilha]])</f>
        <v>9</v>
      </c>
      <c r="H2901" s="27">
        <f>VLOOKUP(Tabela12[[#This Row],[Tag Cabo]],BD!A:F,6,0)</f>
        <v>2.5</v>
      </c>
      <c r="I2901" s="27"/>
      <c r="J2901" s="27"/>
    </row>
    <row r="2902" spans="1:10" x14ac:dyDescent="0.25">
      <c r="A2902" s="21" t="s">
        <v>135</v>
      </c>
      <c r="B2902" s="322" t="str">
        <f>VLOOKUP(Tabela12[[#This Row],[Painel]],Tabela13[],2,0)</f>
        <v>1HV</v>
      </c>
      <c r="C2902" s="391" t="s">
        <v>104</v>
      </c>
      <c r="D2902" s="214" t="s">
        <v>2071</v>
      </c>
      <c r="E2902" s="21">
        <v>54</v>
      </c>
      <c r="F2902" s="27" t="str">
        <f>Tabela12[[#This Row],[Régua]]&amp;" ("&amp;Tabela12[[#This Row],[Born]]&amp;")"</f>
        <v>-XDC (54)</v>
      </c>
      <c r="G2902" s="27">
        <f>LEN(Tabela12[[#This Row],[Anilha]])</f>
        <v>9</v>
      </c>
      <c r="H2902" s="27">
        <f>VLOOKUP(Tabela12[[#This Row],[Tag Cabo]],BD!A:F,6,0)</f>
        <v>2.5</v>
      </c>
      <c r="I2902" s="27"/>
      <c r="J2902" s="27"/>
    </row>
    <row r="2903" spans="1:10" x14ac:dyDescent="0.25">
      <c r="A2903" s="21" t="s">
        <v>135</v>
      </c>
      <c r="B2903" s="322" t="str">
        <f>VLOOKUP(Tabela12[[#This Row],[Painel]],Tabela13[],2,0)</f>
        <v>1HV</v>
      </c>
      <c r="C2903" s="391" t="s">
        <v>104</v>
      </c>
      <c r="D2903" s="214" t="s">
        <v>2071</v>
      </c>
      <c r="E2903" s="21">
        <v>55</v>
      </c>
      <c r="F2903" s="27" t="str">
        <f>Tabela12[[#This Row],[Régua]]&amp;" ("&amp;Tabela12[[#This Row],[Born]]&amp;")"</f>
        <v>-XDC (55)</v>
      </c>
      <c r="G2903" s="27">
        <f>LEN(Tabela12[[#This Row],[Anilha]])</f>
        <v>9</v>
      </c>
      <c r="H2903" s="27">
        <f>VLOOKUP(Tabela12[[#This Row],[Tag Cabo]],BD!A:F,6,0)</f>
        <v>2.5</v>
      </c>
      <c r="I2903" s="27"/>
      <c r="J2903" s="27"/>
    </row>
    <row r="2904" spans="1:10" x14ac:dyDescent="0.25">
      <c r="A2904" s="21" t="s">
        <v>135</v>
      </c>
      <c r="B2904" s="322" t="str">
        <f>VLOOKUP(Tabela12[[#This Row],[Painel]],Tabela13[],2,0)</f>
        <v>1HV</v>
      </c>
      <c r="C2904" s="391" t="s">
        <v>104</v>
      </c>
      <c r="D2904" s="214" t="s">
        <v>2071</v>
      </c>
      <c r="E2904" s="21">
        <v>57</v>
      </c>
      <c r="F2904" s="27" t="str">
        <f>Tabela12[[#This Row],[Régua]]&amp;" ("&amp;Tabela12[[#This Row],[Born]]&amp;")"</f>
        <v>-XDC (57)</v>
      </c>
      <c r="G2904" s="27">
        <f>LEN(Tabela12[[#This Row],[Anilha]])</f>
        <v>9</v>
      </c>
      <c r="H2904" s="27">
        <f>VLOOKUP(Tabela12[[#This Row],[Tag Cabo]],BD!A:F,6,0)</f>
        <v>2.5</v>
      </c>
      <c r="I2904" s="27"/>
      <c r="J2904" s="27"/>
    </row>
    <row r="2905" spans="1:10" x14ac:dyDescent="0.25">
      <c r="A2905" s="21" t="s">
        <v>135</v>
      </c>
      <c r="B2905" s="322" t="str">
        <f>VLOOKUP(Tabela12[[#This Row],[Painel]],Tabela13[],2,0)</f>
        <v>1HV</v>
      </c>
      <c r="C2905" s="391" t="s">
        <v>104</v>
      </c>
      <c r="D2905" s="214" t="s">
        <v>2071</v>
      </c>
      <c r="E2905" s="21">
        <v>70</v>
      </c>
      <c r="F2905" s="27" t="str">
        <f>Tabela12[[#This Row],[Régua]]&amp;" ("&amp;Tabela12[[#This Row],[Born]]&amp;")"</f>
        <v>-XDC (70)</v>
      </c>
      <c r="G2905" s="27">
        <f>LEN(Tabela12[[#This Row],[Anilha]])</f>
        <v>9</v>
      </c>
      <c r="H2905" s="27">
        <f>VLOOKUP(Tabela12[[#This Row],[Tag Cabo]],BD!A:F,6,0)</f>
        <v>2.5</v>
      </c>
      <c r="I2905" s="27"/>
      <c r="J2905" s="27"/>
    </row>
    <row r="2906" spans="1:10" x14ac:dyDescent="0.25">
      <c r="A2906" s="21" t="s">
        <v>135</v>
      </c>
      <c r="B2906" s="322" t="str">
        <f>VLOOKUP(Tabela12[[#This Row],[Painel]],Tabela13[],2,0)</f>
        <v>1HV</v>
      </c>
      <c r="C2906" s="391" t="s">
        <v>104</v>
      </c>
      <c r="D2906" s="214" t="s">
        <v>2071</v>
      </c>
      <c r="E2906" s="21">
        <v>76</v>
      </c>
      <c r="F2906" s="27" t="str">
        <f>Tabela12[[#This Row],[Régua]]&amp;" ("&amp;Tabela12[[#This Row],[Born]]&amp;")"</f>
        <v>-XDC (76)</v>
      </c>
      <c r="G2906" s="27">
        <f>LEN(Tabela12[[#This Row],[Anilha]])</f>
        <v>9</v>
      </c>
      <c r="H2906" s="27">
        <f>VLOOKUP(Tabela12[[#This Row],[Tag Cabo]],BD!A:F,6,0)</f>
        <v>2.5</v>
      </c>
      <c r="I2906" s="27"/>
      <c r="J2906" s="27"/>
    </row>
    <row r="2907" spans="1:10" x14ac:dyDescent="0.25">
      <c r="A2907" s="21" t="s">
        <v>135</v>
      </c>
      <c r="B2907" s="322" t="str">
        <f>VLOOKUP(Tabela12[[#This Row],[Painel]],Tabela13[],2,0)</f>
        <v>1HV</v>
      </c>
      <c r="C2907" s="391" t="s">
        <v>104</v>
      </c>
      <c r="D2907" s="214" t="s">
        <v>2071</v>
      </c>
      <c r="E2907" s="21">
        <v>77</v>
      </c>
      <c r="F2907" s="27" t="str">
        <f>Tabela12[[#This Row],[Régua]]&amp;" ("&amp;Tabela12[[#This Row],[Born]]&amp;")"</f>
        <v>-XDC (77)</v>
      </c>
      <c r="G2907" s="27">
        <f>LEN(Tabela12[[#This Row],[Anilha]])</f>
        <v>9</v>
      </c>
      <c r="H2907" s="27">
        <f>VLOOKUP(Tabela12[[#This Row],[Tag Cabo]],BD!A:F,6,0)</f>
        <v>2.5</v>
      </c>
      <c r="I2907" s="27"/>
      <c r="J2907" s="27"/>
    </row>
    <row r="2908" spans="1:10" x14ac:dyDescent="0.25">
      <c r="A2908" s="21" t="s">
        <v>135</v>
      </c>
      <c r="B2908" s="322" t="str">
        <f>VLOOKUP(Tabela12[[#This Row],[Painel]],Tabela13[],2,0)</f>
        <v>1HV</v>
      </c>
      <c r="C2908" s="391" t="s">
        <v>137</v>
      </c>
      <c r="D2908" s="21" t="s">
        <v>137</v>
      </c>
      <c r="E2908" s="21">
        <v>15</v>
      </c>
      <c r="F2908" s="27" t="str">
        <f>Tabela12[[#This Row],[Régua]]&amp;" ("&amp;Tabela12[[#This Row],[Born]]&amp;")"</f>
        <v>GAINE 2 (15)</v>
      </c>
      <c r="G2908" s="27">
        <f>LEN(Tabela12[[#This Row],[Anilha]])</f>
        <v>12</v>
      </c>
      <c r="H2908" s="27">
        <f>VLOOKUP(Tabela12[[#This Row],[Tag Cabo]],BD!A:F,6,0)</f>
        <v>2.5</v>
      </c>
      <c r="I2908" s="27"/>
      <c r="J2908" s="27"/>
    </row>
    <row r="2909" spans="1:10" x14ac:dyDescent="0.25">
      <c r="A2909" s="21" t="s">
        <v>135</v>
      </c>
      <c r="B2909" s="322" t="str">
        <f>VLOOKUP(Tabela12[[#This Row],[Painel]],Tabela13[],2,0)</f>
        <v>1HV</v>
      </c>
      <c r="C2909" s="391" t="s">
        <v>137</v>
      </c>
      <c r="D2909" s="21" t="s">
        <v>137</v>
      </c>
      <c r="E2909" s="21">
        <v>16</v>
      </c>
      <c r="F2909" s="27" t="str">
        <f>Tabela12[[#This Row],[Régua]]&amp;" ("&amp;Tabela12[[#This Row],[Born]]&amp;")"</f>
        <v>GAINE 2 (16)</v>
      </c>
      <c r="G2909" s="27">
        <f>LEN(Tabela12[[#This Row],[Anilha]])</f>
        <v>12</v>
      </c>
      <c r="H2909" s="27">
        <f>VLOOKUP(Tabela12[[#This Row],[Tag Cabo]],BD!A:F,6,0)</f>
        <v>2.5</v>
      </c>
      <c r="I2909" s="27"/>
      <c r="J2909" s="27"/>
    </row>
    <row r="2910" spans="1:10" x14ac:dyDescent="0.25">
      <c r="A2910" s="21" t="s">
        <v>135</v>
      </c>
      <c r="B2910" s="322" t="str">
        <f>VLOOKUP(Tabela12[[#This Row],[Painel]],Tabela13[],2,0)</f>
        <v>1HV</v>
      </c>
      <c r="C2910" s="391" t="s">
        <v>137</v>
      </c>
      <c r="D2910" s="21" t="s">
        <v>137</v>
      </c>
      <c r="E2910" s="21">
        <v>17</v>
      </c>
      <c r="F2910" s="27" t="str">
        <f>Tabela12[[#This Row],[Régua]]&amp;" ("&amp;Tabela12[[#This Row],[Born]]&amp;")"</f>
        <v>GAINE 2 (17)</v>
      </c>
      <c r="G2910" s="27">
        <f>LEN(Tabela12[[#This Row],[Anilha]])</f>
        <v>12</v>
      </c>
      <c r="H2910" s="27">
        <f>VLOOKUP(Tabela12[[#This Row],[Tag Cabo]],BD!A:F,6,0)</f>
        <v>2.5</v>
      </c>
      <c r="I2910" s="27"/>
      <c r="J2910" s="27"/>
    </row>
    <row r="2911" spans="1:10" x14ac:dyDescent="0.25">
      <c r="A2911" s="21" t="s">
        <v>135</v>
      </c>
      <c r="B2911" s="322" t="str">
        <f>VLOOKUP(Tabela12[[#This Row],[Painel]],Tabela13[],2,0)</f>
        <v>1HV</v>
      </c>
      <c r="C2911" s="391" t="s">
        <v>137</v>
      </c>
      <c r="D2911" s="21" t="s">
        <v>137</v>
      </c>
      <c r="E2911" s="21">
        <v>18</v>
      </c>
      <c r="F2911" s="27" t="str">
        <f>Tabela12[[#This Row],[Régua]]&amp;" ("&amp;Tabela12[[#This Row],[Born]]&amp;")"</f>
        <v>GAINE 2 (18)</v>
      </c>
      <c r="G2911" s="27">
        <f>LEN(Tabela12[[#This Row],[Anilha]])</f>
        <v>12</v>
      </c>
      <c r="H2911" s="27">
        <f>VLOOKUP(Tabela12[[#This Row],[Tag Cabo]],BD!A:F,6,0)</f>
        <v>2.5</v>
      </c>
      <c r="I2911" s="27"/>
      <c r="J2911" s="27"/>
    </row>
    <row r="2912" spans="1:10" x14ac:dyDescent="0.25">
      <c r="A2912" s="21" t="s">
        <v>135</v>
      </c>
      <c r="B2912" s="322" t="str">
        <f>VLOOKUP(Tabela12[[#This Row],[Painel]],Tabela13[],2,0)</f>
        <v>1HV</v>
      </c>
      <c r="C2912" s="391" t="s">
        <v>137</v>
      </c>
      <c r="D2912" s="21" t="s">
        <v>137</v>
      </c>
      <c r="E2912" s="21">
        <v>35</v>
      </c>
      <c r="F2912" s="27" t="str">
        <f>Tabela12[[#This Row],[Régua]]&amp;" ("&amp;Tabela12[[#This Row],[Born]]&amp;")"</f>
        <v>GAINE 2 (35)</v>
      </c>
      <c r="G2912" s="27">
        <f>LEN(Tabela12[[#This Row],[Anilha]])</f>
        <v>12</v>
      </c>
      <c r="H2912" s="27">
        <f>VLOOKUP(Tabela12[[#This Row],[Tag Cabo]],BD!A:F,6,0)</f>
        <v>2.5</v>
      </c>
      <c r="I2912" s="27"/>
      <c r="J2912" s="27"/>
    </row>
    <row r="2913" spans="1:10" x14ac:dyDescent="0.25">
      <c r="A2913" s="21" t="s">
        <v>135</v>
      </c>
      <c r="B2913" s="322" t="str">
        <f>VLOOKUP(Tabela12[[#This Row],[Painel]],Tabela13[],2,0)</f>
        <v>1HV</v>
      </c>
      <c r="C2913" s="391" t="s">
        <v>137</v>
      </c>
      <c r="D2913" s="21" t="s">
        <v>137</v>
      </c>
      <c r="E2913" s="21">
        <v>36</v>
      </c>
      <c r="F2913" s="27" t="str">
        <f>Tabela12[[#This Row],[Régua]]&amp;" ("&amp;Tabela12[[#This Row],[Born]]&amp;")"</f>
        <v>GAINE 2 (36)</v>
      </c>
      <c r="G2913" s="27">
        <f>LEN(Tabela12[[#This Row],[Anilha]])</f>
        <v>12</v>
      </c>
      <c r="H2913" s="27">
        <f>VLOOKUP(Tabela12[[#This Row],[Tag Cabo]],BD!A:F,6,0)</f>
        <v>2.5</v>
      </c>
      <c r="I2913" s="27"/>
      <c r="J2913" s="27"/>
    </row>
    <row r="2914" spans="1:10" x14ac:dyDescent="0.25">
      <c r="A2914" s="21" t="s">
        <v>135</v>
      </c>
      <c r="B2914" s="322" t="str">
        <f>VLOOKUP(Tabela12[[#This Row],[Painel]],Tabela13[],2,0)</f>
        <v>1HV</v>
      </c>
      <c r="C2914" s="391" t="s">
        <v>137</v>
      </c>
      <c r="D2914" s="21" t="s">
        <v>137</v>
      </c>
      <c r="E2914" s="21">
        <v>53</v>
      </c>
      <c r="F2914" s="27" t="str">
        <f>Tabela12[[#This Row],[Régua]]&amp;" ("&amp;Tabela12[[#This Row],[Born]]&amp;")"</f>
        <v>GAINE 2 (53)</v>
      </c>
      <c r="G2914" s="27">
        <f>LEN(Tabela12[[#This Row],[Anilha]])</f>
        <v>12</v>
      </c>
      <c r="H2914" s="27">
        <f>VLOOKUP(Tabela12[[#This Row],[Tag Cabo]],BD!A:F,6,0)</f>
        <v>2.5</v>
      </c>
      <c r="I2914" s="27"/>
      <c r="J2914" s="27"/>
    </row>
    <row r="2915" spans="1:10" x14ac:dyDescent="0.25">
      <c r="A2915" s="21" t="s">
        <v>135</v>
      </c>
      <c r="B2915" s="322" t="str">
        <f>VLOOKUP(Tabela12[[#This Row],[Painel]],Tabela13[],2,0)</f>
        <v>1HV</v>
      </c>
      <c r="C2915" s="391" t="s">
        <v>137</v>
      </c>
      <c r="D2915" s="21" t="s">
        <v>137</v>
      </c>
      <c r="E2915" s="21">
        <v>54</v>
      </c>
      <c r="F2915" s="27" t="str">
        <f>Tabela12[[#This Row],[Régua]]&amp;" ("&amp;Tabela12[[#This Row],[Born]]&amp;")"</f>
        <v>GAINE 2 (54)</v>
      </c>
      <c r="G2915" s="27">
        <f>LEN(Tabela12[[#This Row],[Anilha]])</f>
        <v>12</v>
      </c>
      <c r="H2915" s="27">
        <f>VLOOKUP(Tabela12[[#This Row],[Tag Cabo]],BD!A:F,6,0)</f>
        <v>2.5</v>
      </c>
      <c r="I2915" s="27"/>
      <c r="J2915" s="27"/>
    </row>
    <row r="2916" spans="1:10" x14ac:dyDescent="0.25">
      <c r="A2916" s="21" t="s">
        <v>135</v>
      </c>
      <c r="B2916" s="322" t="str">
        <f>VLOOKUP(Tabela12[[#This Row],[Painel]],Tabela13[],2,0)</f>
        <v>1HV</v>
      </c>
      <c r="C2916" s="391" t="s">
        <v>137</v>
      </c>
      <c r="D2916" s="21" t="s">
        <v>137</v>
      </c>
      <c r="E2916" s="21">
        <v>55</v>
      </c>
      <c r="F2916" s="27" t="str">
        <f>Tabela12[[#This Row],[Régua]]&amp;" ("&amp;Tabela12[[#This Row],[Born]]&amp;")"</f>
        <v>GAINE 2 (55)</v>
      </c>
      <c r="G2916" s="27">
        <f>LEN(Tabela12[[#This Row],[Anilha]])</f>
        <v>12</v>
      </c>
      <c r="H2916" s="27">
        <f>VLOOKUP(Tabela12[[#This Row],[Tag Cabo]],BD!A:F,6,0)</f>
        <v>2.5</v>
      </c>
      <c r="I2916" s="27"/>
      <c r="J2916" s="27"/>
    </row>
    <row r="2917" spans="1:10" x14ac:dyDescent="0.25">
      <c r="A2917" s="21" t="s">
        <v>135</v>
      </c>
      <c r="B2917" s="322" t="str">
        <f>VLOOKUP(Tabela12[[#This Row],[Painel]],Tabela13[],2,0)</f>
        <v>1HV</v>
      </c>
      <c r="C2917" s="391" t="s">
        <v>137</v>
      </c>
      <c r="D2917" s="21" t="s">
        <v>137</v>
      </c>
      <c r="E2917" s="21">
        <v>56</v>
      </c>
      <c r="F2917" s="27" t="str">
        <f>Tabela12[[#This Row],[Régua]]&amp;" ("&amp;Tabela12[[#This Row],[Born]]&amp;")"</f>
        <v>GAINE 2 (56)</v>
      </c>
      <c r="G2917" s="27">
        <f>LEN(Tabela12[[#This Row],[Anilha]])</f>
        <v>12</v>
      </c>
      <c r="H2917" s="27">
        <f>VLOOKUP(Tabela12[[#This Row],[Tag Cabo]],BD!A:F,6,0)</f>
        <v>2.5</v>
      </c>
      <c r="I2917" s="27"/>
      <c r="J2917" s="27"/>
    </row>
    <row r="2918" spans="1:10" x14ac:dyDescent="0.25">
      <c r="A2918" s="21" t="s">
        <v>135</v>
      </c>
      <c r="B2918" s="322" t="str">
        <f>VLOOKUP(Tabela12[[#This Row],[Painel]],Tabela13[],2,0)</f>
        <v>1HV</v>
      </c>
      <c r="C2918" s="391" t="s">
        <v>137</v>
      </c>
      <c r="D2918" s="21" t="s">
        <v>137</v>
      </c>
      <c r="E2918" s="21">
        <v>64</v>
      </c>
      <c r="F2918" s="27" t="str">
        <f>Tabela12[[#This Row],[Régua]]&amp;" ("&amp;Tabela12[[#This Row],[Born]]&amp;")"</f>
        <v>GAINE 2 (64)</v>
      </c>
      <c r="G2918" s="27">
        <f>LEN(Tabela12[[#This Row],[Anilha]])</f>
        <v>12</v>
      </c>
      <c r="H2918" s="27">
        <f>VLOOKUP(Tabela12[[#This Row],[Tag Cabo]],BD!A:F,6,0)</f>
        <v>2.5</v>
      </c>
      <c r="I2918" s="27"/>
      <c r="J2918" s="27"/>
    </row>
    <row r="2919" spans="1:10" x14ac:dyDescent="0.25">
      <c r="A2919" s="21" t="s">
        <v>135</v>
      </c>
      <c r="B2919" s="322" t="str">
        <f>VLOOKUP(Tabela12[[#This Row],[Painel]],Tabela13[],2,0)</f>
        <v>1HV</v>
      </c>
      <c r="C2919" s="391" t="s">
        <v>137</v>
      </c>
      <c r="D2919" s="21" t="s">
        <v>137</v>
      </c>
      <c r="E2919" s="21">
        <v>201</v>
      </c>
      <c r="F2919" s="27" t="str">
        <f>Tabela12[[#This Row],[Régua]]&amp;" ("&amp;Tabela12[[#This Row],[Born]]&amp;")"</f>
        <v>GAINE 2 (201)</v>
      </c>
      <c r="G2919" s="27">
        <f>LEN(Tabela12[[#This Row],[Anilha]])</f>
        <v>13</v>
      </c>
      <c r="H2919" s="27">
        <f>VLOOKUP(Tabela12[[#This Row],[Tag Cabo]],BD!A:F,6,0)</f>
        <v>2.5</v>
      </c>
      <c r="I2919" s="27"/>
      <c r="J2919" s="27"/>
    </row>
    <row r="2920" spans="1:10" x14ac:dyDescent="0.25">
      <c r="A2920" s="21" t="s">
        <v>142</v>
      </c>
      <c r="B2920" s="322" t="str">
        <f>VLOOKUP(Tabela12[[#This Row],[Painel]],Tabela13[],2,0)</f>
        <v>1HV</v>
      </c>
      <c r="C2920" s="391" t="s">
        <v>104</v>
      </c>
      <c r="D2920" s="214" t="s">
        <v>2071</v>
      </c>
      <c r="E2920" s="21">
        <v>58</v>
      </c>
      <c r="F2920" s="27" t="str">
        <f>Tabela12[[#This Row],[Régua]]&amp;" ("&amp;Tabela12[[#This Row],[Born]]&amp;")"</f>
        <v>-XDC (58)</v>
      </c>
      <c r="G2920" s="27">
        <f>LEN(Tabela12[[#This Row],[Anilha]])</f>
        <v>9</v>
      </c>
      <c r="H2920" s="27">
        <f>VLOOKUP(Tabela12[[#This Row],[Tag Cabo]],BD!A:F,6,0)</f>
        <v>2.5</v>
      </c>
      <c r="I2920" s="27"/>
      <c r="J2920" s="27"/>
    </row>
    <row r="2921" spans="1:10" x14ac:dyDescent="0.25">
      <c r="A2921" s="21" t="s">
        <v>142</v>
      </c>
      <c r="B2921" s="322" t="str">
        <f>VLOOKUP(Tabela12[[#This Row],[Painel]],Tabela13[],2,0)</f>
        <v>1HV</v>
      </c>
      <c r="C2921" s="391" t="s">
        <v>104</v>
      </c>
      <c r="D2921" s="214" t="s">
        <v>2071</v>
      </c>
      <c r="E2921" s="21">
        <v>71</v>
      </c>
      <c r="F2921" s="27" t="str">
        <f>Tabela12[[#This Row],[Régua]]&amp;" ("&amp;Tabela12[[#This Row],[Born]]&amp;")"</f>
        <v>-XDC (71)</v>
      </c>
      <c r="G2921" s="27">
        <f>LEN(Tabela12[[#This Row],[Anilha]])</f>
        <v>9</v>
      </c>
      <c r="H2921" s="27">
        <f>VLOOKUP(Tabela12[[#This Row],[Tag Cabo]],BD!A:F,6,0)</f>
        <v>2.5</v>
      </c>
      <c r="I2921" s="27"/>
      <c r="J2921" s="27"/>
    </row>
    <row r="2922" spans="1:10" x14ac:dyDescent="0.25">
      <c r="A2922" s="21" t="s">
        <v>142</v>
      </c>
      <c r="B2922" s="322" t="str">
        <f>VLOOKUP(Tabela12[[#This Row],[Painel]],Tabela13[],2,0)</f>
        <v>1HV</v>
      </c>
      <c r="C2922" s="391" t="s">
        <v>104</v>
      </c>
      <c r="D2922" s="214" t="s">
        <v>2071</v>
      </c>
      <c r="E2922" s="21">
        <v>72</v>
      </c>
      <c r="F2922" s="27" t="str">
        <f>Tabela12[[#This Row],[Régua]]&amp;" ("&amp;Tabela12[[#This Row],[Born]]&amp;")"</f>
        <v>-XDC (72)</v>
      </c>
      <c r="G2922" s="27">
        <f>LEN(Tabela12[[#This Row],[Anilha]])</f>
        <v>9</v>
      </c>
      <c r="H2922" s="27">
        <f>VLOOKUP(Tabela12[[#This Row],[Tag Cabo]],BD!A:F,6,0)</f>
        <v>2.5</v>
      </c>
      <c r="I2922" s="27"/>
      <c r="J2922" s="27"/>
    </row>
    <row r="2923" spans="1:10" x14ac:dyDescent="0.25">
      <c r="A2923" s="21" t="s">
        <v>142</v>
      </c>
      <c r="B2923" s="322" t="str">
        <f>VLOOKUP(Tabela12[[#This Row],[Painel]],Tabela13[],2,0)</f>
        <v>1HV</v>
      </c>
      <c r="C2923" s="391" t="s">
        <v>104</v>
      </c>
      <c r="D2923" s="214" t="s">
        <v>2071</v>
      </c>
      <c r="E2923" s="21">
        <v>73</v>
      </c>
      <c r="F2923" s="27" t="str">
        <f>Tabela12[[#This Row],[Régua]]&amp;" ("&amp;Tabela12[[#This Row],[Born]]&amp;")"</f>
        <v>-XDC (73)</v>
      </c>
      <c r="G2923" s="27">
        <f>LEN(Tabela12[[#This Row],[Anilha]])</f>
        <v>9</v>
      </c>
      <c r="H2923" s="27">
        <f>VLOOKUP(Tabela12[[#This Row],[Tag Cabo]],BD!A:F,6,0)</f>
        <v>2.5</v>
      </c>
      <c r="I2923" s="27"/>
      <c r="J2923" s="27"/>
    </row>
    <row r="2924" spans="1:10" x14ac:dyDescent="0.25">
      <c r="A2924" s="21" t="s">
        <v>142</v>
      </c>
      <c r="B2924" s="322" t="str">
        <f>VLOOKUP(Tabela12[[#This Row],[Painel]],Tabela13[],2,0)</f>
        <v>1HV</v>
      </c>
      <c r="C2924" s="391" t="s">
        <v>104</v>
      </c>
      <c r="D2924" s="214" t="s">
        <v>2071</v>
      </c>
      <c r="E2924" s="21">
        <v>74</v>
      </c>
      <c r="F2924" s="27" t="str">
        <f>Tabela12[[#This Row],[Régua]]&amp;" ("&amp;Tabela12[[#This Row],[Born]]&amp;")"</f>
        <v>-XDC (74)</v>
      </c>
      <c r="G2924" s="27">
        <f>LEN(Tabela12[[#This Row],[Anilha]])</f>
        <v>9</v>
      </c>
      <c r="H2924" s="27">
        <f>VLOOKUP(Tabela12[[#This Row],[Tag Cabo]],BD!A:F,6,0)</f>
        <v>2.5</v>
      </c>
      <c r="I2924" s="27"/>
      <c r="J2924" s="27"/>
    </row>
    <row r="2925" spans="1:10" x14ac:dyDescent="0.25">
      <c r="A2925" s="21" t="s">
        <v>142</v>
      </c>
      <c r="B2925" s="322" t="str">
        <f>VLOOKUP(Tabela12[[#This Row],[Painel]],Tabela13[],2,0)</f>
        <v>1HV</v>
      </c>
      <c r="C2925" s="391" t="s">
        <v>104</v>
      </c>
      <c r="D2925" s="214" t="s">
        <v>2071</v>
      </c>
      <c r="E2925" s="21">
        <v>75</v>
      </c>
      <c r="F2925" s="27" t="str">
        <f>Tabela12[[#This Row],[Régua]]&amp;" ("&amp;Tabela12[[#This Row],[Born]]&amp;")"</f>
        <v>-XDC (75)</v>
      </c>
      <c r="G2925" s="27">
        <f>LEN(Tabela12[[#This Row],[Anilha]])</f>
        <v>9</v>
      </c>
      <c r="H2925" s="27">
        <f>VLOOKUP(Tabela12[[#This Row],[Tag Cabo]],BD!A:F,6,0)</f>
        <v>2.5</v>
      </c>
      <c r="I2925" s="27"/>
      <c r="J2925" s="27"/>
    </row>
    <row r="2926" spans="1:10" x14ac:dyDescent="0.25">
      <c r="A2926" s="21" t="s">
        <v>142</v>
      </c>
      <c r="B2926" s="322" t="str">
        <f>VLOOKUP(Tabela12[[#This Row],[Painel]],Tabela13[],2,0)</f>
        <v>1HV</v>
      </c>
      <c r="C2926" s="391" t="s">
        <v>104</v>
      </c>
      <c r="D2926" s="214" t="s">
        <v>2071</v>
      </c>
      <c r="E2926" s="21">
        <v>84</v>
      </c>
      <c r="F2926" s="27" t="str">
        <f>Tabela12[[#This Row],[Régua]]&amp;" ("&amp;Tabela12[[#This Row],[Born]]&amp;")"</f>
        <v>-XDC (84)</v>
      </c>
      <c r="G2926" s="27">
        <f>LEN(Tabela12[[#This Row],[Anilha]])</f>
        <v>9</v>
      </c>
      <c r="H2926" s="27">
        <f>VLOOKUP(Tabela12[[#This Row],[Tag Cabo]],BD!A:F,6,0)</f>
        <v>2.5</v>
      </c>
      <c r="I2926" s="27"/>
      <c r="J2926" s="27"/>
    </row>
    <row r="2927" spans="1:10" x14ac:dyDescent="0.25">
      <c r="A2927" s="21" t="s">
        <v>142</v>
      </c>
      <c r="B2927" s="322" t="str">
        <f>VLOOKUP(Tabela12[[#This Row],[Painel]],Tabela13[],2,0)</f>
        <v>1HV</v>
      </c>
      <c r="C2927" s="391" t="s">
        <v>104</v>
      </c>
      <c r="D2927" s="214" t="s">
        <v>2071</v>
      </c>
      <c r="E2927" s="21">
        <v>85</v>
      </c>
      <c r="F2927" s="27" t="str">
        <f>Tabela12[[#This Row],[Régua]]&amp;" ("&amp;Tabela12[[#This Row],[Born]]&amp;")"</f>
        <v>-XDC (85)</v>
      </c>
      <c r="G2927" s="27">
        <f>LEN(Tabela12[[#This Row],[Anilha]])</f>
        <v>9</v>
      </c>
      <c r="H2927" s="27">
        <f>VLOOKUP(Tabela12[[#This Row],[Tag Cabo]],BD!A:F,6,0)</f>
        <v>2.5</v>
      </c>
      <c r="I2927" s="27"/>
      <c r="J2927" s="27"/>
    </row>
    <row r="2928" spans="1:10" x14ac:dyDescent="0.25">
      <c r="A2928" s="21" t="s">
        <v>142</v>
      </c>
      <c r="B2928" s="322" t="str">
        <f>VLOOKUP(Tabela12[[#This Row],[Painel]],Tabela13[],2,0)</f>
        <v>1HV</v>
      </c>
      <c r="C2928" s="391" t="s">
        <v>104</v>
      </c>
      <c r="D2928" s="214" t="s">
        <v>2071</v>
      </c>
      <c r="E2928" s="21">
        <v>99</v>
      </c>
      <c r="F2928" s="27" t="str">
        <f>Tabela12[[#This Row],[Régua]]&amp;" ("&amp;Tabela12[[#This Row],[Born]]&amp;")"</f>
        <v>-XDC (99)</v>
      </c>
      <c r="G2928" s="27">
        <f>LEN(Tabela12[[#This Row],[Anilha]])</f>
        <v>9</v>
      </c>
      <c r="H2928" s="27">
        <f>VLOOKUP(Tabela12[[#This Row],[Tag Cabo]],BD!A:F,6,0)</f>
        <v>2.5</v>
      </c>
      <c r="I2928" s="27"/>
      <c r="J2928" s="27"/>
    </row>
    <row r="2929" spans="1:10" x14ac:dyDescent="0.25">
      <c r="A2929" s="21" t="s">
        <v>142</v>
      </c>
      <c r="B2929" s="322" t="str">
        <f>VLOOKUP(Tabela12[[#This Row],[Painel]],Tabela13[],2,0)</f>
        <v>1HV</v>
      </c>
      <c r="C2929" s="391" t="s">
        <v>104</v>
      </c>
      <c r="D2929" s="214" t="s">
        <v>2071</v>
      </c>
      <c r="E2929" s="21">
        <v>100</v>
      </c>
      <c r="F2929" s="27" t="str">
        <f>Tabela12[[#This Row],[Régua]]&amp;" ("&amp;Tabela12[[#This Row],[Born]]&amp;")"</f>
        <v>-XDC (100)</v>
      </c>
      <c r="G2929" s="27">
        <f>LEN(Tabela12[[#This Row],[Anilha]])</f>
        <v>10</v>
      </c>
      <c r="H2929" s="27">
        <f>VLOOKUP(Tabela12[[#This Row],[Tag Cabo]],BD!A:F,6,0)</f>
        <v>2.5</v>
      </c>
      <c r="I2929" s="27"/>
      <c r="J2929" s="27"/>
    </row>
    <row r="2930" spans="1:10" x14ac:dyDescent="0.25">
      <c r="A2930" s="21" t="s">
        <v>142</v>
      </c>
      <c r="B2930" s="322" t="str">
        <f>VLOOKUP(Tabela12[[#This Row],[Painel]],Tabela13[],2,0)</f>
        <v>1HV</v>
      </c>
      <c r="C2930" s="391" t="s">
        <v>104</v>
      </c>
      <c r="D2930" s="214" t="s">
        <v>2071</v>
      </c>
      <c r="E2930" s="21">
        <v>101</v>
      </c>
      <c r="F2930" s="27" t="str">
        <f>Tabela12[[#This Row],[Régua]]&amp;" ("&amp;Tabela12[[#This Row],[Born]]&amp;")"</f>
        <v>-XDC (101)</v>
      </c>
      <c r="G2930" s="27">
        <f>LEN(Tabela12[[#This Row],[Anilha]])</f>
        <v>10</v>
      </c>
      <c r="H2930" s="27">
        <f>VLOOKUP(Tabela12[[#This Row],[Tag Cabo]],BD!A:F,6,0)</f>
        <v>2.5</v>
      </c>
      <c r="I2930" s="27"/>
      <c r="J2930" s="27"/>
    </row>
    <row r="2931" spans="1:10" x14ac:dyDescent="0.25">
      <c r="A2931" s="21" t="s">
        <v>142</v>
      </c>
      <c r="B2931" s="322" t="str">
        <f>VLOOKUP(Tabela12[[#This Row],[Painel]],Tabela13[],2,0)</f>
        <v>1HV</v>
      </c>
      <c r="C2931" s="391" t="s">
        <v>104</v>
      </c>
      <c r="D2931" s="214" t="s">
        <v>2071</v>
      </c>
      <c r="E2931" s="21">
        <v>102</v>
      </c>
      <c r="F2931" s="27" t="str">
        <f>Tabela12[[#This Row],[Régua]]&amp;" ("&amp;Tabela12[[#This Row],[Born]]&amp;")"</f>
        <v>-XDC (102)</v>
      </c>
      <c r="G2931" s="27">
        <f>LEN(Tabela12[[#This Row],[Anilha]])</f>
        <v>10</v>
      </c>
      <c r="H2931" s="27">
        <f>VLOOKUP(Tabela12[[#This Row],[Tag Cabo]],BD!A:F,6,0)</f>
        <v>2.5</v>
      </c>
      <c r="I2931" s="27"/>
      <c r="J2931" s="27"/>
    </row>
    <row r="2932" spans="1:10" x14ac:dyDescent="0.25">
      <c r="A2932" s="21" t="s">
        <v>142</v>
      </c>
      <c r="B2932" s="322" t="str">
        <f>VLOOKUP(Tabela12[[#This Row],[Painel]],Tabela13[],2,0)</f>
        <v>1HV</v>
      </c>
      <c r="C2932" s="391" t="s">
        <v>137</v>
      </c>
      <c r="D2932" s="21" t="s">
        <v>137</v>
      </c>
      <c r="E2932" s="21">
        <v>31</v>
      </c>
      <c r="F2932" s="27" t="str">
        <f>Tabela12[[#This Row],[Régua]]&amp;" ("&amp;Tabela12[[#This Row],[Born]]&amp;")"</f>
        <v>GAINE 2 (31)</v>
      </c>
      <c r="G2932" s="27">
        <f>LEN(Tabela12[[#This Row],[Anilha]])</f>
        <v>12</v>
      </c>
      <c r="H2932" s="27">
        <f>VLOOKUP(Tabela12[[#This Row],[Tag Cabo]],BD!A:F,6,0)</f>
        <v>2.5</v>
      </c>
      <c r="I2932" s="27"/>
      <c r="J2932" s="27"/>
    </row>
    <row r="2933" spans="1:10" x14ac:dyDescent="0.25">
      <c r="A2933" s="21" t="s">
        <v>142</v>
      </c>
      <c r="B2933" s="322" t="str">
        <f>VLOOKUP(Tabela12[[#This Row],[Painel]],Tabela13[],2,0)</f>
        <v>1HV</v>
      </c>
      <c r="C2933" s="391" t="s">
        <v>137</v>
      </c>
      <c r="D2933" s="21" t="s">
        <v>137</v>
      </c>
      <c r="E2933" s="21">
        <v>33</v>
      </c>
      <c r="F2933" s="27" t="str">
        <f>Tabela12[[#This Row],[Régua]]&amp;" ("&amp;Tabela12[[#This Row],[Born]]&amp;")"</f>
        <v>GAINE 2 (33)</v>
      </c>
      <c r="G2933" s="27">
        <f>LEN(Tabela12[[#This Row],[Anilha]])</f>
        <v>12</v>
      </c>
      <c r="H2933" s="27">
        <f>VLOOKUP(Tabela12[[#This Row],[Tag Cabo]],BD!A:F,6,0)</f>
        <v>2.5</v>
      </c>
      <c r="I2933" s="27"/>
      <c r="J2933" s="27"/>
    </row>
    <row r="2934" spans="1:10" x14ac:dyDescent="0.25">
      <c r="A2934" s="21" t="s">
        <v>142</v>
      </c>
      <c r="B2934" s="322" t="str">
        <f>VLOOKUP(Tabela12[[#This Row],[Painel]],Tabela13[],2,0)</f>
        <v>1HV</v>
      </c>
      <c r="C2934" s="391" t="s">
        <v>137</v>
      </c>
      <c r="D2934" s="21" t="s">
        <v>137</v>
      </c>
      <c r="E2934" s="21">
        <v>34</v>
      </c>
      <c r="F2934" s="27" t="str">
        <f>Tabela12[[#This Row],[Régua]]&amp;" ("&amp;Tabela12[[#This Row],[Born]]&amp;")"</f>
        <v>GAINE 2 (34)</v>
      </c>
      <c r="G2934" s="27">
        <f>LEN(Tabela12[[#This Row],[Anilha]])</f>
        <v>12</v>
      </c>
      <c r="H2934" s="27">
        <f>VLOOKUP(Tabela12[[#This Row],[Tag Cabo]],BD!A:F,6,0)</f>
        <v>2.5</v>
      </c>
      <c r="I2934" s="27"/>
      <c r="J2934" s="27"/>
    </row>
    <row r="2935" spans="1:10" x14ac:dyDescent="0.25">
      <c r="A2935" s="21" t="s">
        <v>142</v>
      </c>
      <c r="B2935" s="322" t="str">
        <f>VLOOKUP(Tabela12[[#This Row],[Painel]],Tabela13[],2,0)</f>
        <v>1HV</v>
      </c>
      <c r="C2935" s="391" t="s">
        <v>137</v>
      </c>
      <c r="D2935" s="21" t="s">
        <v>137</v>
      </c>
      <c r="E2935" s="21">
        <v>41</v>
      </c>
      <c r="F2935" s="27" t="str">
        <f>Tabela12[[#This Row],[Régua]]&amp;" ("&amp;Tabela12[[#This Row],[Born]]&amp;")"</f>
        <v>GAINE 2 (41)</v>
      </c>
      <c r="G2935" s="27">
        <f>LEN(Tabela12[[#This Row],[Anilha]])</f>
        <v>12</v>
      </c>
      <c r="H2935" s="27">
        <f>VLOOKUP(Tabela12[[#This Row],[Tag Cabo]],BD!A:F,6,0)</f>
        <v>2.5</v>
      </c>
      <c r="I2935" s="27"/>
      <c r="J2935" s="27"/>
    </row>
    <row r="2936" spans="1:10" x14ac:dyDescent="0.25">
      <c r="A2936" s="21" t="s">
        <v>142</v>
      </c>
      <c r="B2936" s="322" t="str">
        <f>VLOOKUP(Tabela12[[#This Row],[Painel]],Tabela13[],2,0)</f>
        <v>1HV</v>
      </c>
      <c r="C2936" s="391" t="s">
        <v>137</v>
      </c>
      <c r="D2936" s="21" t="s">
        <v>137</v>
      </c>
      <c r="E2936" s="21">
        <v>42</v>
      </c>
      <c r="F2936" s="27" t="str">
        <f>Tabela12[[#This Row],[Régua]]&amp;" ("&amp;Tabela12[[#This Row],[Born]]&amp;")"</f>
        <v>GAINE 2 (42)</v>
      </c>
      <c r="G2936" s="27">
        <f>LEN(Tabela12[[#This Row],[Anilha]])</f>
        <v>12</v>
      </c>
      <c r="H2936" s="27">
        <f>VLOOKUP(Tabela12[[#This Row],[Tag Cabo]],BD!A:F,6,0)</f>
        <v>2.5</v>
      </c>
      <c r="I2936" s="27"/>
      <c r="J2936" s="27"/>
    </row>
    <row r="2937" spans="1:10" x14ac:dyDescent="0.25">
      <c r="A2937" s="21" t="s">
        <v>142</v>
      </c>
      <c r="B2937" s="322" t="str">
        <f>VLOOKUP(Tabela12[[#This Row],[Painel]],Tabela13[],2,0)</f>
        <v>1HV</v>
      </c>
      <c r="C2937" s="391" t="s">
        <v>137</v>
      </c>
      <c r="D2937" s="21" t="s">
        <v>137</v>
      </c>
      <c r="E2937" s="21">
        <v>43</v>
      </c>
      <c r="F2937" s="27" t="str">
        <f>Tabela12[[#This Row],[Régua]]&amp;" ("&amp;Tabela12[[#This Row],[Born]]&amp;")"</f>
        <v>GAINE 2 (43)</v>
      </c>
      <c r="G2937" s="27">
        <f>LEN(Tabela12[[#This Row],[Anilha]])</f>
        <v>12</v>
      </c>
      <c r="H2937" s="27">
        <f>VLOOKUP(Tabela12[[#This Row],[Tag Cabo]],BD!A:F,6,0)</f>
        <v>2.5</v>
      </c>
      <c r="I2937" s="27"/>
      <c r="J2937" s="27"/>
    </row>
    <row r="2938" spans="1:10" x14ac:dyDescent="0.25">
      <c r="A2938" s="21" t="s">
        <v>142</v>
      </c>
      <c r="B2938" s="322" t="str">
        <f>VLOOKUP(Tabela12[[#This Row],[Painel]],Tabela13[],2,0)</f>
        <v>1HV</v>
      </c>
      <c r="C2938" s="391" t="s">
        <v>137</v>
      </c>
      <c r="D2938" s="21" t="s">
        <v>137</v>
      </c>
      <c r="E2938" s="21">
        <v>44</v>
      </c>
      <c r="F2938" s="27" t="str">
        <f>Tabela12[[#This Row],[Régua]]&amp;" ("&amp;Tabela12[[#This Row],[Born]]&amp;")"</f>
        <v>GAINE 2 (44)</v>
      </c>
      <c r="G2938" s="27">
        <f>LEN(Tabela12[[#This Row],[Anilha]])</f>
        <v>12</v>
      </c>
      <c r="H2938" s="27">
        <f>VLOOKUP(Tabela12[[#This Row],[Tag Cabo]],BD!A:F,6,0)</f>
        <v>2.5</v>
      </c>
      <c r="I2938" s="27"/>
      <c r="J2938" s="27"/>
    </row>
    <row r="2939" spans="1:10" x14ac:dyDescent="0.25">
      <c r="A2939" s="21" t="s">
        <v>142</v>
      </c>
      <c r="B2939" s="322" t="str">
        <f>VLOOKUP(Tabela12[[#This Row],[Painel]],Tabela13[],2,0)</f>
        <v>1HV</v>
      </c>
      <c r="C2939" s="391" t="s">
        <v>137</v>
      </c>
      <c r="D2939" s="21" t="s">
        <v>137</v>
      </c>
      <c r="E2939" s="21">
        <v>168</v>
      </c>
      <c r="F2939" s="27" t="str">
        <f>Tabela12[[#This Row],[Régua]]&amp;" ("&amp;Tabela12[[#This Row],[Born]]&amp;")"</f>
        <v>GAINE 2 (168)</v>
      </c>
      <c r="G2939" s="27">
        <f>LEN(Tabela12[[#This Row],[Anilha]])</f>
        <v>13</v>
      </c>
      <c r="H2939" s="27">
        <f>VLOOKUP(Tabela12[[#This Row],[Tag Cabo]],BD!A:F,6,0)</f>
        <v>2.5</v>
      </c>
      <c r="I2939" s="27"/>
      <c r="J2939" s="27"/>
    </row>
    <row r="2940" spans="1:10" x14ac:dyDescent="0.25">
      <c r="A2940" s="21" t="s">
        <v>142</v>
      </c>
      <c r="B2940" s="322" t="str">
        <f>VLOOKUP(Tabela12[[#This Row],[Painel]],Tabela13[],2,0)</f>
        <v>1HV</v>
      </c>
      <c r="C2940" s="391" t="s">
        <v>137</v>
      </c>
      <c r="D2940" s="21" t="s">
        <v>137</v>
      </c>
      <c r="E2940" s="21">
        <v>169</v>
      </c>
      <c r="F2940" s="27" t="str">
        <f>Tabela12[[#This Row],[Régua]]&amp;" ("&amp;Tabela12[[#This Row],[Born]]&amp;")"</f>
        <v>GAINE 2 (169)</v>
      </c>
      <c r="G2940" s="27">
        <f>LEN(Tabela12[[#This Row],[Anilha]])</f>
        <v>13</v>
      </c>
      <c r="H2940" s="27">
        <f>VLOOKUP(Tabela12[[#This Row],[Tag Cabo]],BD!A:F,6,0)</f>
        <v>2.5</v>
      </c>
      <c r="I2940" s="27"/>
      <c r="J2940" s="27"/>
    </row>
    <row r="2941" spans="1:10" x14ac:dyDescent="0.25">
      <c r="A2941" s="21" t="s">
        <v>142</v>
      </c>
      <c r="B2941" s="322" t="str">
        <f>VLOOKUP(Tabela12[[#This Row],[Painel]],Tabela13[],2,0)</f>
        <v>1HV</v>
      </c>
      <c r="C2941" s="391" t="s">
        <v>137</v>
      </c>
      <c r="D2941" s="21" t="s">
        <v>137</v>
      </c>
      <c r="E2941" s="21">
        <v>199</v>
      </c>
      <c r="F2941" s="27" t="str">
        <f>Tabela12[[#This Row],[Régua]]&amp;" ("&amp;Tabela12[[#This Row],[Born]]&amp;")"</f>
        <v>GAINE 2 (199)</v>
      </c>
      <c r="G2941" s="27">
        <f>LEN(Tabela12[[#This Row],[Anilha]])</f>
        <v>13</v>
      </c>
      <c r="H2941" s="27">
        <f>VLOOKUP(Tabela12[[#This Row],[Tag Cabo]],BD!A:F,6,0)</f>
        <v>2.5</v>
      </c>
      <c r="I2941" s="27"/>
      <c r="J2941" s="27"/>
    </row>
    <row r="2942" spans="1:10" x14ac:dyDescent="0.25">
      <c r="A2942" s="21" t="s">
        <v>142</v>
      </c>
      <c r="B2942" s="322" t="str">
        <f>VLOOKUP(Tabela12[[#This Row],[Painel]],Tabela13[],2,0)</f>
        <v>1HV</v>
      </c>
      <c r="C2942" s="391" t="s">
        <v>137</v>
      </c>
      <c r="D2942" s="21" t="s">
        <v>137</v>
      </c>
      <c r="E2942" s="21">
        <v>205</v>
      </c>
      <c r="F2942" s="27" t="str">
        <f>Tabela12[[#This Row],[Régua]]&amp;" ("&amp;Tabela12[[#This Row],[Born]]&amp;")"</f>
        <v>GAINE 2 (205)</v>
      </c>
      <c r="G2942" s="27">
        <f>LEN(Tabela12[[#This Row],[Anilha]])</f>
        <v>13</v>
      </c>
      <c r="H2942" s="27">
        <f>VLOOKUP(Tabela12[[#This Row],[Tag Cabo]],BD!A:F,6,0)</f>
        <v>2.5</v>
      </c>
      <c r="I2942" s="27"/>
      <c r="J2942" s="27"/>
    </row>
    <row r="2943" spans="1:10" x14ac:dyDescent="0.25">
      <c r="A2943" s="21" t="s">
        <v>142</v>
      </c>
      <c r="B2943" s="322" t="str">
        <f>VLOOKUP(Tabela12[[#This Row],[Painel]],Tabela13[],2,0)</f>
        <v>1HV</v>
      </c>
      <c r="C2943" s="391" t="s">
        <v>137</v>
      </c>
      <c r="D2943" s="21" t="s">
        <v>137</v>
      </c>
      <c r="E2943" s="21">
        <v>208</v>
      </c>
      <c r="F2943" s="27" t="str">
        <f>Tabela12[[#This Row],[Régua]]&amp;" ("&amp;Tabela12[[#This Row],[Born]]&amp;")"</f>
        <v>GAINE 2 (208)</v>
      </c>
      <c r="G2943" s="27">
        <f>LEN(Tabela12[[#This Row],[Anilha]])</f>
        <v>13</v>
      </c>
      <c r="H2943" s="27">
        <f>VLOOKUP(Tabela12[[#This Row],[Tag Cabo]],BD!A:F,6,0)</f>
        <v>2.5</v>
      </c>
      <c r="I2943" s="27"/>
      <c r="J2943" s="27"/>
    </row>
    <row r="2944" spans="1:10" x14ac:dyDescent="0.25">
      <c r="A2944" s="21" t="s">
        <v>143</v>
      </c>
      <c r="B2944" s="322" t="str">
        <f>VLOOKUP(Tabela12[[#This Row],[Painel]],Tabela13[],2,0)</f>
        <v>1HV</v>
      </c>
      <c r="C2944" s="391" t="s">
        <v>104</v>
      </c>
      <c r="D2944" s="214" t="s">
        <v>2071</v>
      </c>
      <c r="E2944" s="21">
        <v>59</v>
      </c>
      <c r="F2944" s="27" t="str">
        <f>Tabela12[[#This Row],[Régua]]&amp;" ("&amp;Tabela12[[#This Row],[Born]]&amp;")"</f>
        <v>-XDC (59)</v>
      </c>
      <c r="G2944" s="27">
        <f>LEN(Tabela12[[#This Row],[Anilha]])</f>
        <v>9</v>
      </c>
      <c r="H2944" s="27">
        <f>VLOOKUP(Tabela12[[#This Row],[Tag Cabo]],BD!A:F,6,0)</f>
        <v>2.5</v>
      </c>
      <c r="I2944" s="27"/>
      <c r="J2944" s="27"/>
    </row>
    <row r="2945" spans="1:10" x14ac:dyDescent="0.25">
      <c r="A2945" s="21" t="s">
        <v>143</v>
      </c>
      <c r="B2945" s="322" t="str">
        <f>VLOOKUP(Tabela12[[#This Row],[Painel]],Tabela13[],2,0)</f>
        <v>1HV</v>
      </c>
      <c r="C2945" s="391" t="s">
        <v>104</v>
      </c>
      <c r="D2945" s="214" t="s">
        <v>2071</v>
      </c>
      <c r="E2945" s="21">
        <v>61</v>
      </c>
      <c r="F2945" s="27" t="str">
        <f>Tabela12[[#This Row],[Régua]]&amp;" ("&amp;Tabela12[[#This Row],[Born]]&amp;")"</f>
        <v>-XDC (61)</v>
      </c>
      <c r="G2945" s="27">
        <f>LEN(Tabela12[[#This Row],[Anilha]])</f>
        <v>9</v>
      </c>
      <c r="H2945" s="27">
        <f>VLOOKUP(Tabela12[[#This Row],[Tag Cabo]],BD!A:F,6,0)</f>
        <v>2.5</v>
      </c>
      <c r="I2945" s="27"/>
      <c r="J2945" s="27"/>
    </row>
    <row r="2946" spans="1:10" x14ac:dyDescent="0.25">
      <c r="A2946" s="21" t="s">
        <v>143</v>
      </c>
      <c r="B2946" s="322" t="str">
        <f>VLOOKUP(Tabela12[[#This Row],[Painel]],Tabela13[],2,0)</f>
        <v>1HV</v>
      </c>
      <c r="C2946" s="391" t="s">
        <v>104</v>
      </c>
      <c r="D2946" s="214" t="s">
        <v>2071</v>
      </c>
      <c r="E2946" s="21">
        <v>66</v>
      </c>
      <c r="F2946" s="27" t="str">
        <f>Tabela12[[#This Row],[Régua]]&amp;" ("&amp;Tabela12[[#This Row],[Born]]&amp;")"</f>
        <v>-XDC (66)</v>
      </c>
      <c r="G2946" s="27">
        <f>LEN(Tabela12[[#This Row],[Anilha]])</f>
        <v>9</v>
      </c>
      <c r="H2946" s="27">
        <f>VLOOKUP(Tabela12[[#This Row],[Tag Cabo]],BD!A:F,6,0)</f>
        <v>2.5</v>
      </c>
      <c r="I2946" s="27"/>
      <c r="J2946" s="27"/>
    </row>
    <row r="2947" spans="1:10" x14ac:dyDescent="0.25">
      <c r="A2947" s="21" t="s">
        <v>143</v>
      </c>
      <c r="B2947" s="322" t="str">
        <f>VLOOKUP(Tabela12[[#This Row],[Painel]],Tabela13[],2,0)</f>
        <v>1HV</v>
      </c>
      <c r="C2947" s="391" t="s">
        <v>104</v>
      </c>
      <c r="D2947" s="214" t="s">
        <v>2071</v>
      </c>
      <c r="E2947" s="21">
        <v>67</v>
      </c>
      <c r="F2947" s="27" t="str">
        <f>Tabela12[[#This Row],[Régua]]&amp;" ("&amp;Tabela12[[#This Row],[Born]]&amp;")"</f>
        <v>-XDC (67)</v>
      </c>
      <c r="G2947" s="27">
        <f>LEN(Tabela12[[#This Row],[Anilha]])</f>
        <v>9</v>
      </c>
      <c r="H2947" s="27">
        <f>VLOOKUP(Tabela12[[#This Row],[Tag Cabo]],BD!A:F,6,0)</f>
        <v>2.5</v>
      </c>
      <c r="I2947" s="27"/>
      <c r="J2947" s="27"/>
    </row>
    <row r="2948" spans="1:10" x14ac:dyDescent="0.25">
      <c r="A2948" s="21" t="s">
        <v>143</v>
      </c>
      <c r="B2948" s="322" t="str">
        <f>VLOOKUP(Tabela12[[#This Row],[Painel]],Tabela13[],2,0)</f>
        <v>1HV</v>
      </c>
      <c r="C2948" s="391" t="s">
        <v>104</v>
      </c>
      <c r="D2948" s="214" t="s">
        <v>2071</v>
      </c>
      <c r="E2948" s="21">
        <v>88</v>
      </c>
      <c r="F2948" s="27" t="str">
        <f>Tabela12[[#This Row],[Régua]]&amp;" ("&amp;Tabela12[[#This Row],[Born]]&amp;")"</f>
        <v>-XDC (88)</v>
      </c>
      <c r="G2948" s="27">
        <f>LEN(Tabela12[[#This Row],[Anilha]])</f>
        <v>9</v>
      </c>
      <c r="H2948" s="27">
        <f>VLOOKUP(Tabela12[[#This Row],[Tag Cabo]],BD!A:F,6,0)</f>
        <v>2.5</v>
      </c>
      <c r="I2948" s="27"/>
      <c r="J2948" s="27"/>
    </row>
    <row r="2949" spans="1:10" x14ac:dyDescent="0.25">
      <c r="A2949" s="21" t="s">
        <v>143</v>
      </c>
      <c r="B2949" s="322" t="str">
        <f>VLOOKUP(Tabela12[[#This Row],[Painel]],Tabela13[],2,0)</f>
        <v>1HV</v>
      </c>
      <c r="C2949" s="391" t="s">
        <v>104</v>
      </c>
      <c r="D2949" s="214" t="s">
        <v>2071</v>
      </c>
      <c r="E2949" s="21">
        <v>89</v>
      </c>
      <c r="F2949" s="27" t="str">
        <f>Tabela12[[#This Row],[Régua]]&amp;" ("&amp;Tabela12[[#This Row],[Born]]&amp;")"</f>
        <v>-XDC (89)</v>
      </c>
      <c r="G2949" s="27">
        <f>LEN(Tabela12[[#This Row],[Anilha]])</f>
        <v>9</v>
      </c>
      <c r="H2949" s="27">
        <f>VLOOKUP(Tabela12[[#This Row],[Tag Cabo]],BD!A:F,6,0)</f>
        <v>2.5</v>
      </c>
      <c r="I2949" s="27"/>
      <c r="J2949" s="27"/>
    </row>
    <row r="2950" spans="1:10" x14ac:dyDescent="0.25">
      <c r="A2950" s="21" t="s">
        <v>143</v>
      </c>
      <c r="B2950" s="322" t="str">
        <f>VLOOKUP(Tabela12[[#This Row],[Painel]],Tabela13[],2,0)</f>
        <v>1HV</v>
      </c>
      <c r="C2950" s="391" t="s">
        <v>104</v>
      </c>
      <c r="D2950" s="214" t="s">
        <v>2071</v>
      </c>
      <c r="E2950" s="21">
        <v>90</v>
      </c>
      <c r="F2950" s="27" t="str">
        <f>Tabela12[[#This Row],[Régua]]&amp;" ("&amp;Tabela12[[#This Row],[Born]]&amp;")"</f>
        <v>-XDC (90)</v>
      </c>
      <c r="G2950" s="27">
        <f>LEN(Tabela12[[#This Row],[Anilha]])</f>
        <v>9</v>
      </c>
      <c r="H2950" s="27">
        <f>VLOOKUP(Tabela12[[#This Row],[Tag Cabo]],BD!A:F,6,0)</f>
        <v>2.5</v>
      </c>
      <c r="I2950" s="27"/>
      <c r="J2950" s="27"/>
    </row>
    <row r="2951" spans="1:10" x14ac:dyDescent="0.25">
      <c r="A2951" s="21" t="s">
        <v>143</v>
      </c>
      <c r="B2951" s="322" t="str">
        <f>VLOOKUP(Tabela12[[#This Row],[Painel]],Tabela13[],2,0)</f>
        <v>1HV</v>
      </c>
      <c r="C2951" s="391" t="s">
        <v>104</v>
      </c>
      <c r="D2951" s="214" t="s">
        <v>2071</v>
      </c>
      <c r="E2951" s="21">
        <v>91</v>
      </c>
      <c r="F2951" s="27" t="str">
        <f>Tabela12[[#This Row],[Régua]]&amp;" ("&amp;Tabela12[[#This Row],[Born]]&amp;")"</f>
        <v>-XDC (91)</v>
      </c>
      <c r="G2951" s="27">
        <f>LEN(Tabela12[[#This Row],[Anilha]])</f>
        <v>9</v>
      </c>
      <c r="H2951" s="27">
        <f>VLOOKUP(Tabela12[[#This Row],[Tag Cabo]],BD!A:F,6,0)</f>
        <v>2.5</v>
      </c>
      <c r="I2951" s="27"/>
      <c r="J2951" s="27"/>
    </row>
    <row r="2952" spans="1:10" x14ac:dyDescent="0.25">
      <c r="A2952" s="21" t="s">
        <v>143</v>
      </c>
      <c r="B2952" s="322" t="str">
        <f>VLOOKUP(Tabela12[[#This Row],[Painel]],Tabela13[],2,0)</f>
        <v>1HV</v>
      </c>
      <c r="C2952" s="391" t="s">
        <v>104</v>
      </c>
      <c r="D2952" s="214" t="s">
        <v>2071</v>
      </c>
      <c r="E2952" s="21">
        <v>92</v>
      </c>
      <c r="F2952" s="27" t="str">
        <f>Tabela12[[#This Row],[Régua]]&amp;" ("&amp;Tabela12[[#This Row],[Born]]&amp;")"</f>
        <v>-XDC (92)</v>
      </c>
      <c r="G2952" s="27">
        <f>LEN(Tabela12[[#This Row],[Anilha]])</f>
        <v>9</v>
      </c>
      <c r="H2952" s="27">
        <f>VLOOKUP(Tabela12[[#This Row],[Tag Cabo]],BD!A:F,6,0)</f>
        <v>2.5</v>
      </c>
      <c r="I2952" s="27"/>
      <c r="J2952" s="27"/>
    </row>
    <row r="2953" spans="1:10" x14ac:dyDescent="0.25">
      <c r="A2953" s="21" t="s">
        <v>143</v>
      </c>
      <c r="B2953" s="322" t="str">
        <f>VLOOKUP(Tabela12[[#This Row],[Painel]],Tabela13[],2,0)</f>
        <v>1HV</v>
      </c>
      <c r="C2953" s="391" t="s">
        <v>104</v>
      </c>
      <c r="D2953" s="214" t="s">
        <v>2071</v>
      </c>
      <c r="E2953" s="21">
        <v>93</v>
      </c>
      <c r="F2953" s="27" t="str">
        <f>Tabela12[[#This Row],[Régua]]&amp;" ("&amp;Tabela12[[#This Row],[Born]]&amp;")"</f>
        <v>-XDC (93)</v>
      </c>
      <c r="G2953" s="27">
        <f>LEN(Tabela12[[#This Row],[Anilha]])</f>
        <v>9</v>
      </c>
      <c r="H2953" s="27">
        <f>VLOOKUP(Tabela12[[#This Row],[Tag Cabo]],BD!A:F,6,0)</f>
        <v>2.5</v>
      </c>
      <c r="I2953" s="27"/>
      <c r="J2953" s="27"/>
    </row>
    <row r="2954" spans="1:10" x14ac:dyDescent="0.25">
      <c r="A2954" s="21" t="s">
        <v>143</v>
      </c>
      <c r="B2954" s="322" t="str">
        <f>VLOOKUP(Tabela12[[#This Row],[Painel]],Tabela13[],2,0)</f>
        <v>1HV</v>
      </c>
      <c r="C2954" s="391" t="s">
        <v>104</v>
      </c>
      <c r="D2954" s="214" t="s">
        <v>2071</v>
      </c>
      <c r="E2954" s="21">
        <v>94</v>
      </c>
      <c r="F2954" s="27" t="str">
        <f>Tabela12[[#This Row],[Régua]]&amp;" ("&amp;Tabela12[[#This Row],[Born]]&amp;")"</f>
        <v>-XDC (94)</v>
      </c>
      <c r="G2954" s="27">
        <f>LEN(Tabela12[[#This Row],[Anilha]])</f>
        <v>9</v>
      </c>
      <c r="H2954" s="27">
        <f>VLOOKUP(Tabela12[[#This Row],[Tag Cabo]],BD!A:F,6,0)</f>
        <v>2.5</v>
      </c>
      <c r="I2954" s="27"/>
      <c r="J2954" s="27"/>
    </row>
    <row r="2955" spans="1:10" x14ac:dyDescent="0.25">
      <c r="A2955" s="21" t="s">
        <v>143</v>
      </c>
      <c r="B2955" s="322" t="str">
        <f>VLOOKUP(Tabela12[[#This Row],[Painel]],Tabela13[],2,0)</f>
        <v>1HV</v>
      </c>
      <c r="C2955" s="391" t="s">
        <v>104</v>
      </c>
      <c r="D2955" s="214" t="s">
        <v>2071</v>
      </c>
      <c r="E2955" s="21">
        <v>95</v>
      </c>
      <c r="F2955" s="27" t="str">
        <f>Tabela12[[#This Row],[Régua]]&amp;" ("&amp;Tabela12[[#This Row],[Born]]&amp;")"</f>
        <v>-XDC (95)</v>
      </c>
      <c r="G2955" s="27">
        <f>LEN(Tabela12[[#This Row],[Anilha]])</f>
        <v>9</v>
      </c>
      <c r="H2955" s="27">
        <f>VLOOKUP(Tabela12[[#This Row],[Tag Cabo]],BD!A:F,6,0)</f>
        <v>2.5</v>
      </c>
      <c r="I2955" s="27"/>
      <c r="J2955" s="27"/>
    </row>
    <row r="2956" spans="1:10" x14ac:dyDescent="0.25">
      <c r="A2956" s="21" t="s">
        <v>143</v>
      </c>
      <c r="B2956" s="322" t="str">
        <f>VLOOKUP(Tabela12[[#This Row],[Painel]],Tabela13[],2,0)</f>
        <v>1HV</v>
      </c>
      <c r="C2956" s="391" t="s">
        <v>137</v>
      </c>
      <c r="D2956" s="21" t="s">
        <v>137</v>
      </c>
      <c r="E2956" s="21">
        <v>19</v>
      </c>
      <c r="F2956" s="27" t="str">
        <f>Tabela12[[#This Row],[Régua]]&amp;" ("&amp;Tabela12[[#This Row],[Born]]&amp;")"</f>
        <v>GAINE 2 (19)</v>
      </c>
      <c r="G2956" s="27">
        <f>LEN(Tabela12[[#This Row],[Anilha]])</f>
        <v>12</v>
      </c>
      <c r="H2956" s="27">
        <f>VLOOKUP(Tabela12[[#This Row],[Tag Cabo]],BD!A:F,6,0)</f>
        <v>2.5</v>
      </c>
      <c r="I2956" s="27"/>
      <c r="J2956" s="27"/>
    </row>
    <row r="2957" spans="1:10" x14ac:dyDescent="0.25">
      <c r="A2957" s="21" t="s">
        <v>143</v>
      </c>
      <c r="B2957" s="322" t="str">
        <f>VLOOKUP(Tabela12[[#This Row],[Painel]],Tabela13[],2,0)</f>
        <v>1HV</v>
      </c>
      <c r="C2957" s="391" t="s">
        <v>137</v>
      </c>
      <c r="D2957" s="21" t="s">
        <v>137</v>
      </c>
      <c r="E2957" s="21">
        <v>20</v>
      </c>
      <c r="F2957" s="27" t="str">
        <f>Tabela12[[#This Row],[Régua]]&amp;" ("&amp;Tabela12[[#This Row],[Born]]&amp;")"</f>
        <v>GAINE 2 (20)</v>
      </c>
      <c r="G2957" s="27">
        <f>LEN(Tabela12[[#This Row],[Anilha]])</f>
        <v>12</v>
      </c>
      <c r="H2957" s="27">
        <f>VLOOKUP(Tabela12[[#This Row],[Tag Cabo]],BD!A:F,6,0)</f>
        <v>2.5</v>
      </c>
      <c r="I2957" s="27"/>
      <c r="J2957" s="27"/>
    </row>
    <row r="2958" spans="1:10" x14ac:dyDescent="0.25">
      <c r="A2958" s="21" t="s">
        <v>143</v>
      </c>
      <c r="B2958" s="322" t="str">
        <f>VLOOKUP(Tabela12[[#This Row],[Painel]],Tabela13[],2,0)</f>
        <v>1HV</v>
      </c>
      <c r="C2958" s="391" t="s">
        <v>137</v>
      </c>
      <c r="D2958" s="21" t="s">
        <v>137</v>
      </c>
      <c r="E2958" s="21">
        <v>29</v>
      </c>
      <c r="F2958" s="27" t="str">
        <f>Tabela12[[#This Row],[Régua]]&amp;" ("&amp;Tabela12[[#This Row],[Born]]&amp;")"</f>
        <v>GAINE 2 (29)</v>
      </c>
      <c r="G2958" s="27">
        <f>LEN(Tabela12[[#This Row],[Anilha]])</f>
        <v>12</v>
      </c>
      <c r="H2958" s="27">
        <f>VLOOKUP(Tabela12[[#This Row],[Tag Cabo]],BD!A:F,6,0)</f>
        <v>2.5</v>
      </c>
      <c r="I2958" s="27"/>
      <c r="J2958" s="27"/>
    </row>
    <row r="2959" spans="1:10" x14ac:dyDescent="0.25">
      <c r="A2959" s="21" t="s">
        <v>143</v>
      </c>
      <c r="B2959" s="322" t="str">
        <f>VLOOKUP(Tabela12[[#This Row],[Painel]],Tabela13[],2,0)</f>
        <v>1HV</v>
      </c>
      <c r="C2959" s="391" t="s">
        <v>137</v>
      </c>
      <c r="D2959" s="21" t="s">
        <v>137</v>
      </c>
      <c r="E2959" s="21">
        <v>30</v>
      </c>
      <c r="F2959" s="27" t="str">
        <f>Tabela12[[#This Row],[Régua]]&amp;" ("&amp;Tabela12[[#This Row],[Born]]&amp;")"</f>
        <v>GAINE 2 (30)</v>
      </c>
      <c r="G2959" s="27">
        <f>LEN(Tabela12[[#This Row],[Anilha]])</f>
        <v>12</v>
      </c>
      <c r="H2959" s="27">
        <f>VLOOKUP(Tabela12[[#This Row],[Tag Cabo]],BD!A:F,6,0)</f>
        <v>2.5</v>
      </c>
      <c r="I2959" s="27"/>
      <c r="J2959" s="27"/>
    </row>
    <row r="2960" spans="1:10" x14ac:dyDescent="0.25">
      <c r="A2960" s="21" t="s">
        <v>143</v>
      </c>
      <c r="B2960" s="322" t="str">
        <f>VLOOKUP(Tabela12[[#This Row],[Painel]],Tabela13[],2,0)</f>
        <v>1HV</v>
      </c>
      <c r="C2960" s="391" t="s">
        <v>137</v>
      </c>
      <c r="D2960" s="21" t="s">
        <v>137</v>
      </c>
      <c r="E2960" s="21">
        <v>32</v>
      </c>
      <c r="F2960" s="27" t="str">
        <f>Tabela12[[#This Row],[Régua]]&amp;" ("&amp;Tabela12[[#This Row],[Born]]&amp;")"</f>
        <v>GAINE 2 (32)</v>
      </c>
      <c r="G2960" s="27">
        <f>LEN(Tabela12[[#This Row],[Anilha]])</f>
        <v>12</v>
      </c>
      <c r="H2960" s="27">
        <f>VLOOKUP(Tabela12[[#This Row],[Tag Cabo]],BD!A:F,6,0)</f>
        <v>2.5</v>
      </c>
      <c r="I2960" s="27"/>
      <c r="J2960" s="27"/>
    </row>
    <row r="2961" spans="1:10" x14ac:dyDescent="0.25">
      <c r="A2961" s="21" t="s">
        <v>143</v>
      </c>
      <c r="B2961" s="322" t="str">
        <f>VLOOKUP(Tabela12[[#This Row],[Painel]],Tabela13[],2,0)</f>
        <v>1HV</v>
      </c>
      <c r="C2961" s="391" t="s">
        <v>137</v>
      </c>
      <c r="D2961" s="21" t="s">
        <v>137</v>
      </c>
      <c r="E2961" s="21">
        <v>166</v>
      </c>
      <c r="F2961" s="27" t="str">
        <f>Tabela12[[#This Row],[Régua]]&amp;" ("&amp;Tabela12[[#This Row],[Born]]&amp;")"</f>
        <v>GAINE 2 (166)</v>
      </c>
      <c r="G2961" s="27">
        <f>LEN(Tabela12[[#This Row],[Anilha]])</f>
        <v>13</v>
      </c>
      <c r="H2961" s="27">
        <f>VLOOKUP(Tabela12[[#This Row],[Tag Cabo]],BD!A:F,6,0)</f>
        <v>2.5</v>
      </c>
      <c r="I2961" s="27"/>
      <c r="J2961" s="27"/>
    </row>
    <row r="2962" spans="1:10" x14ac:dyDescent="0.25">
      <c r="A2962" s="21" t="s">
        <v>143</v>
      </c>
      <c r="B2962" s="322" t="str">
        <f>VLOOKUP(Tabela12[[#This Row],[Painel]],Tabela13[],2,0)</f>
        <v>1HV</v>
      </c>
      <c r="C2962" s="391" t="s">
        <v>137</v>
      </c>
      <c r="D2962" s="21" t="s">
        <v>137</v>
      </c>
      <c r="E2962" s="21">
        <v>167</v>
      </c>
      <c r="F2962" s="27" t="str">
        <f>Tabela12[[#This Row],[Régua]]&amp;" ("&amp;Tabela12[[#This Row],[Born]]&amp;")"</f>
        <v>GAINE 2 (167)</v>
      </c>
      <c r="G2962" s="27">
        <f>LEN(Tabela12[[#This Row],[Anilha]])</f>
        <v>13</v>
      </c>
      <c r="H2962" s="27">
        <f>VLOOKUP(Tabela12[[#This Row],[Tag Cabo]],BD!A:F,6,0)</f>
        <v>2.5</v>
      </c>
      <c r="I2962" s="27"/>
      <c r="J2962" s="27"/>
    </row>
    <row r="2963" spans="1:10" x14ac:dyDescent="0.25">
      <c r="A2963" s="21" t="s">
        <v>143</v>
      </c>
      <c r="B2963" s="322" t="str">
        <f>VLOOKUP(Tabela12[[#This Row],[Painel]],Tabela13[],2,0)</f>
        <v>1HV</v>
      </c>
      <c r="C2963" s="391" t="s">
        <v>137</v>
      </c>
      <c r="D2963" s="21" t="s">
        <v>137</v>
      </c>
      <c r="E2963" s="21">
        <v>194</v>
      </c>
      <c r="F2963" s="27" t="str">
        <f>Tabela12[[#This Row],[Régua]]&amp;" ("&amp;Tabela12[[#This Row],[Born]]&amp;")"</f>
        <v>GAINE 2 (194)</v>
      </c>
      <c r="G2963" s="27">
        <f>LEN(Tabela12[[#This Row],[Anilha]])</f>
        <v>13</v>
      </c>
      <c r="H2963" s="27">
        <f>VLOOKUP(Tabela12[[#This Row],[Tag Cabo]],BD!A:F,6,0)</f>
        <v>2.5</v>
      </c>
      <c r="I2963" s="27"/>
      <c r="J2963" s="27"/>
    </row>
    <row r="2964" spans="1:10" x14ac:dyDescent="0.25">
      <c r="A2964" s="21" t="s">
        <v>143</v>
      </c>
      <c r="B2964" s="322" t="str">
        <f>VLOOKUP(Tabela12[[#This Row],[Painel]],Tabela13[],2,0)</f>
        <v>1HV</v>
      </c>
      <c r="C2964" s="391" t="s">
        <v>137</v>
      </c>
      <c r="D2964" s="21" t="s">
        <v>137</v>
      </c>
      <c r="E2964" s="21">
        <v>195</v>
      </c>
      <c r="F2964" s="27" t="str">
        <f>Tabela12[[#This Row],[Régua]]&amp;" ("&amp;Tabela12[[#This Row],[Born]]&amp;")"</f>
        <v>GAINE 2 (195)</v>
      </c>
      <c r="G2964" s="27">
        <f>LEN(Tabela12[[#This Row],[Anilha]])</f>
        <v>13</v>
      </c>
      <c r="H2964" s="27">
        <f>VLOOKUP(Tabela12[[#This Row],[Tag Cabo]],BD!A:F,6,0)</f>
        <v>2.5</v>
      </c>
      <c r="I2964" s="27"/>
      <c r="J2964" s="27"/>
    </row>
    <row r="2965" spans="1:10" x14ac:dyDescent="0.25">
      <c r="A2965" s="21" t="s">
        <v>143</v>
      </c>
      <c r="B2965" s="322" t="str">
        <f>VLOOKUP(Tabela12[[#This Row],[Painel]],Tabela13[],2,0)</f>
        <v>1HV</v>
      </c>
      <c r="C2965" s="391" t="s">
        <v>137</v>
      </c>
      <c r="D2965" s="21" t="s">
        <v>137</v>
      </c>
      <c r="E2965" s="21">
        <v>197</v>
      </c>
      <c r="F2965" s="27" t="str">
        <f>Tabela12[[#This Row],[Régua]]&amp;" ("&amp;Tabela12[[#This Row],[Born]]&amp;")"</f>
        <v>GAINE 2 (197)</v>
      </c>
      <c r="G2965" s="27">
        <f>LEN(Tabela12[[#This Row],[Anilha]])</f>
        <v>13</v>
      </c>
      <c r="H2965" s="27">
        <f>VLOOKUP(Tabela12[[#This Row],[Tag Cabo]],BD!A:F,6,0)</f>
        <v>2.5</v>
      </c>
      <c r="I2965" s="27"/>
      <c r="J2965" s="27"/>
    </row>
    <row r="2966" spans="1:10" x14ac:dyDescent="0.25">
      <c r="A2966" s="21" t="s">
        <v>143</v>
      </c>
      <c r="B2966" s="322" t="str">
        <f>VLOOKUP(Tabela12[[#This Row],[Painel]],Tabela13[],2,0)</f>
        <v>1HV</v>
      </c>
      <c r="C2966" s="391" t="s">
        <v>137</v>
      </c>
      <c r="D2966" s="21" t="s">
        <v>137</v>
      </c>
      <c r="E2966" s="21">
        <v>198</v>
      </c>
      <c r="F2966" s="27" t="str">
        <f>Tabela12[[#This Row],[Régua]]&amp;" ("&amp;Tabela12[[#This Row],[Born]]&amp;")"</f>
        <v>GAINE 2 (198)</v>
      </c>
      <c r="G2966" s="27">
        <f>LEN(Tabela12[[#This Row],[Anilha]])</f>
        <v>13</v>
      </c>
      <c r="H2966" s="27">
        <f>VLOOKUP(Tabela12[[#This Row],[Tag Cabo]],BD!A:F,6,0)</f>
        <v>2.5</v>
      </c>
      <c r="I2966" s="27"/>
      <c r="J2966" s="27"/>
    </row>
    <row r="2967" spans="1:10" x14ac:dyDescent="0.25">
      <c r="A2967" s="21" t="s">
        <v>143</v>
      </c>
      <c r="B2967" s="322" t="str">
        <f>VLOOKUP(Tabela12[[#This Row],[Painel]],Tabela13[],2,0)</f>
        <v>1HV</v>
      </c>
      <c r="C2967" s="391" t="s">
        <v>137</v>
      </c>
      <c r="D2967" s="21" t="s">
        <v>137</v>
      </c>
      <c r="E2967" s="21">
        <v>198</v>
      </c>
      <c r="F2967" s="27" t="str">
        <f>Tabela12[[#This Row],[Régua]]&amp;" ("&amp;Tabela12[[#This Row],[Born]]&amp;")"</f>
        <v>GAINE 2 (198)</v>
      </c>
      <c r="G2967" s="27">
        <f>LEN(Tabela12[[#This Row],[Anilha]])</f>
        <v>13</v>
      </c>
      <c r="H2967" s="27">
        <f>VLOOKUP(Tabela12[[#This Row],[Tag Cabo]],BD!A:F,6,0)</f>
        <v>2.5</v>
      </c>
      <c r="I2967" s="27"/>
      <c r="J2967" s="27"/>
    </row>
    <row r="2968" spans="1:10" x14ac:dyDescent="0.25">
      <c r="A2968" s="21" t="s">
        <v>1103</v>
      </c>
      <c r="B2968" s="322" t="str">
        <f>VLOOKUP(Tabela12[[#This Row],[Painel]],Tabela13[],2,0)</f>
        <v>CCP</v>
      </c>
      <c r="C2968" s="391" t="s">
        <v>1109</v>
      </c>
      <c r="D2968" s="21" t="s">
        <v>1717</v>
      </c>
      <c r="E2968" s="21">
        <v>14</v>
      </c>
      <c r="F2968" s="27" t="str">
        <f>Tabela12[[#This Row],[Régua]]&amp;" ("&amp;Tabela12[[#This Row],[Born]]&amp;")"</f>
        <v>XE (14)</v>
      </c>
      <c r="G2968" s="27">
        <f>LEN(Tabela12[[#This Row],[Anilha]])</f>
        <v>7</v>
      </c>
      <c r="H2968" s="27">
        <f>VLOOKUP(Tabela12[[#This Row],[Tag Cabo]],BD!A:F,6,0)</f>
        <v>2.5</v>
      </c>
      <c r="I2968" s="27"/>
      <c r="J2968" s="27"/>
    </row>
    <row r="2969" spans="1:10" x14ac:dyDescent="0.25">
      <c r="A2969" s="21" t="s">
        <v>1103</v>
      </c>
      <c r="B2969" s="322" t="str">
        <f>VLOOKUP(Tabela12[[#This Row],[Painel]],Tabela13[],2,0)</f>
        <v>CCP</v>
      </c>
      <c r="C2969" s="391" t="s">
        <v>1109</v>
      </c>
      <c r="D2969" s="21" t="s">
        <v>1717</v>
      </c>
      <c r="E2969" s="21">
        <v>15</v>
      </c>
      <c r="F2969" s="27" t="str">
        <f>Tabela12[[#This Row],[Régua]]&amp;" ("&amp;Tabela12[[#This Row],[Born]]&amp;")"</f>
        <v>XE (15)</v>
      </c>
      <c r="G2969" s="27">
        <f>LEN(Tabela12[[#This Row],[Anilha]])</f>
        <v>7</v>
      </c>
      <c r="H2969" s="27">
        <f>VLOOKUP(Tabela12[[#This Row],[Tag Cabo]],BD!A:F,6,0)</f>
        <v>2.5</v>
      </c>
      <c r="I2969" s="27"/>
      <c r="J2969" s="27"/>
    </row>
    <row r="2970" spans="1:10" x14ac:dyDescent="0.25">
      <c r="A2970" s="21" t="s">
        <v>1103</v>
      </c>
      <c r="B2970" s="322" t="str">
        <f>VLOOKUP(Tabela12[[#This Row],[Painel]],Tabela13[],2,0)</f>
        <v>GA-9312/S</v>
      </c>
      <c r="C2970" s="391" t="s">
        <v>1546</v>
      </c>
      <c r="D2970" s="21" t="s">
        <v>2072</v>
      </c>
      <c r="E2970" s="21">
        <v>1</v>
      </c>
      <c r="F2970" s="27" t="str">
        <f>Tabela12[[#This Row],[Régua]]&amp;" ("&amp;Tabela12[[#This Row],[Born]]&amp;")"</f>
        <v>BOT (1)</v>
      </c>
      <c r="G2970" s="27">
        <f>LEN(Tabela12[[#This Row],[Anilha]])</f>
        <v>7</v>
      </c>
      <c r="H2970" s="27">
        <f>VLOOKUP(Tabela12[[#This Row],[Tag Cabo]],BD!A:F,6,0)</f>
        <v>2.5</v>
      </c>
      <c r="I2970" s="27"/>
      <c r="J2970" s="27"/>
    </row>
    <row r="2971" spans="1:10" x14ac:dyDescent="0.25">
      <c r="A2971" s="21" t="s">
        <v>1103</v>
      </c>
      <c r="B2971" s="322" t="str">
        <f>VLOOKUP(Tabela12[[#This Row],[Painel]],Tabela13[],2,0)</f>
        <v>GA-9312/S</v>
      </c>
      <c r="C2971" s="391" t="s">
        <v>1546</v>
      </c>
      <c r="D2971" s="21" t="s">
        <v>2072</v>
      </c>
      <c r="E2971" s="21">
        <v>2</v>
      </c>
      <c r="F2971" s="27" t="str">
        <f>Tabela12[[#This Row],[Régua]]&amp;" ("&amp;Tabela12[[#This Row],[Born]]&amp;")"</f>
        <v>BOT (2)</v>
      </c>
      <c r="G2971" s="27">
        <f>LEN(Tabela12[[#This Row],[Anilha]])</f>
        <v>7</v>
      </c>
      <c r="H2971" s="27">
        <f>VLOOKUP(Tabela12[[#This Row],[Tag Cabo]],BD!A:F,6,0)</f>
        <v>2.5</v>
      </c>
      <c r="I2971" s="27"/>
      <c r="J2971" s="27"/>
    </row>
    <row r="2972" spans="1:10" x14ac:dyDescent="0.25">
      <c r="A2972" s="21" t="s">
        <v>1097</v>
      </c>
      <c r="B2972" s="322" t="str">
        <f>VLOOKUP(Tabela12[[#This Row],[Painel]],Tabela13[],2,0)</f>
        <v>CCP</v>
      </c>
      <c r="C2972" s="391" t="s">
        <v>1545</v>
      </c>
      <c r="D2972" s="21" t="s">
        <v>2073</v>
      </c>
      <c r="E2972" s="21" t="s">
        <v>2074</v>
      </c>
      <c r="F2972" s="27" t="str">
        <f>Tabela12[[#This Row],[Régua]]&amp;" ("&amp;Tabela12[[#This Row],[Born]]&amp;")"</f>
        <v>DJ (F)</v>
      </c>
      <c r="G2972" s="27">
        <f>LEN(Tabela12[[#This Row],[Anilha]])</f>
        <v>6</v>
      </c>
      <c r="H2972" s="27">
        <f>VLOOKUP(Tabela12[[#This Row],[Tag Cabo]],BD!A:F,6,0)</f>
        <v>4</v>
      </c>
      <c r="I2972" s="27"/>
      <c r="J2972" s="27"/>
    </row>
    <row r="2973" spans="1:10" x14ac:dyDescent="0.25">
      <c r="A2973" s="21" t="s">
        <v>1097</v>
      </c>
      <c r="B2973" s="322" t="str">
        <f>VLOOKUP(Tabela12[[#This Row],[Painel]],Tabela13[],2,0)</f>
        <v>CCP</v>
      </c>
      <c r="C2973" s="391" t="s">
        <v>1545</v>
      </c>
      <c r="D2973" s="21" t="s">
        <v>2073</v>
      </c>
      <c r="E2973" s="21" t="s">
        <v>1890</v>
      </c>
      <c r="F2973" s="27" t="str">
        <f>Tabela12[[#This Row],[Régua]]&amp;" ("&amp;Tabela12[[#This Row],[Born]]&amp;")"</f>
        <v>DJ (N)</v>
      </c>
      <c r="G2973" s="27">
        <f>LEN(Tabela12[[#This Row],[Anilha]])</f>
        <v>6</v>
      </c>
      <c r="H2973" s="27">
        <f>VLOOKUP(Tabela12[[#This Row],[Tag Cabo]],BD!A:F,6,0)</f>
        <v>4</v>
      </c>
      <c r="I2973" s="27"/>
      <c r="J2973" s="27"/>
    </row>
    <row r="2974" spans="1:10" x14ac:dyDescent="0.25">
      <c r="A2974" s="333" t="s">
        <v>1097</v>
      </c>
      <c r="B2974" s="322" t="str">
        <f>VLOOKUP(Tabela12[[#This Row],[Painel]],Tabela13[],2,0)</f>
        <v>GA-9312/S</v>
      </c>
      <c r="C2974" s="391" t="s">
        <v>1546</v>
      </c>
      <c r="D2974" s="21" t="s">
        <v>2075</v>
      </c>
      <c r="E2974" s="21" t="s">
        <v>2074</v>
      </c>
      <c r="F2974" s="27" t="str">
        <f>Tabela12[[#This Row],[Régua]]&amp;" ("&amp;Tabela12[[#This Row],[Born]]&amp;")"</f>
        <v>120VCA (F)</v>
      </c>
      <c r="G2974" s="27">
        <f>LEN(Tabela12[[#This Row],[Anilha]])</f>
        <v>10</v>
      </c>
      <c r="H2974" s="27">
        <f>VLOOKUP(Tabela12[[#This Row],[Tag Cabo]],BD!A:F,6,0)</f>
        <v>4</v>
      </c>
      <c r="I2974" s="27"/>
      <c r="J2974" s="27"/>
    </row>
    <row r="2975" spans="1:10" x14ac:dyDescent="0.25">
      <c r="A2975" s="333" t="s">
        <v>1097</v>
      </c>
      <c r="B2975" s="322" t="str">
        <f>VLOOKUP(Tabela12[[#This Row],[Painel]],Tabela13[],2,0)</f>
        <v>GA-9312/S</v>
      </c>
      <c r="C2975" s="391" t="s">
        <v>1546</v>
      </c>
      <c r="D2975" s="21" t="s">
        <v>2075</v>
      </c>
      <c r="E2975" s="21" t="s">
        <v>1890</v>
      </c>
      <c r="F2975" s="27" t="str">
        <f>Tabela12[[#This Row],[Régua]]&amp;" ("&amp;Tabela12[[#This Row],[Born]]&amp;")"</f>
        <v>120VCA (N)</v>
      </c>
      <c r="G2975" s="27">
        <f>LEN(Tabela12[[#This Row],[Anilha]])</f>
        <v>10</v>
      </c>
      <c r="H2975" s="27">
        <f>VLOOKUP(Tabela12[[#This Row],[Tag Cabo]],BD!A:F,6,0)</f>
        <v>4</v>
      </c>
      <c r="I2975" s="27"/>
      <c r="J2975" s="27"/>
    </row>
    <row r="2976" spans="1:10" x14ac:dyDescent="0.25">
      <c r="A2976" s="21" t="s">
        <v>1116</v>
      </c>
      <c r="B2976" s="322" t="str">
        <f>VLOOKUP(Tabela12[[#This Row],[Painel]],Tabela13[],2,0)</f>
        <v>CCP</v>
      </c>
      <c r="C2976" s="391" t="s">
        <v>1109</v>
      </c>
      <c r="D2976" s="21" t="s">
        <v>1717</v>
      </c>
      <c r="E2976" s="21">
        <v>14</v>
      </c>
      <c r="F2976" s="27" t="str">
        <f>Tabela12[[#This Row],[Régua]]&amp;" ("&amp;Tabela12[[#This Row],[Born]]&amp;")"</f>
        <v>XE (14)</v>
      </c>
      <c r="G2976" s="27">
        <f>LEN(Tabela12[[#This Row],[Anilha]])</f>
        <v>7</v>
      </c>
      <c r="H2976" s="27">
        <f>VLOOKUP(Tabela12[[#This Row],[Tag Cabo]],BD!A:F,6,0)</f>
        <v>2.5</v>
      </c>
      <c r="I2976" s="27"/>
      <c r="J2976" s="27"/>
    </row>
    <row r="2977" spans="1:10" x14ac:dyDescent="0.25">
      <c r="A2977" s="21" t="s">
        <v>1116</v>
      </c>
      <c r="B2977" s="322" t="str">
        <f>VLOOKUP(Tabela12[[#This Row],[Painel]],Tabela13[],2,0)</f>
        <v>CCP</v>
      </c>
      <c r="C2977" s="391" t="s">
        <v>1109</v>
      </c>
      <c r="D2977" s="21" t="s">
        <v>1717</v>
      </c>
      <c r="E2977" s="21">
        <v>15</v>
      </c>
      <c r="F2977" s="27" t="str">
        <f>Tabela12[[#This Row],[Régua]]&amp;" ("&amp;Tabela12[[#This Row],[Born]]&amp;")"</f>
        <v>XE (15)</v>
      </c>
      <c r="G2977" s="27">
        <f>LEN(Tabela12[[#This Row],[Anilha]])</f>
        <v>7</v>
      </c>
      <c r="H2977" s="27">
        <f>VLOOKUP(Tabela12[[#This Row],[Tag Cabo]],BD!A:F,6,0)</f>
        <v>2.5</v>
      </c>
      <c r="I2977" s="27"/>
      <c r="J2977" s="27"/>
    </row>
    <row r="2978" spans="1:10" x14ac:dyDescent="0.25">
      <c r="A2978" s="21" t="s">
        <v>1116</v>
      </c>
      <c r="B2978" s="322" t="str">
        <f>VLOOKUP(Tabela12[[#This Row],[Painel]],Tabela13[],2,0)</f>
        <v>GA-9312/S</v>
      </c>
      <c r="C2978" s="391" t="s">
        <v>1546</v>
      </c>
      <c r="D2978" s="21" t="s">
        <v>2072</v>
      </c>
      <c r="E2978" s="21">
        <v>1</v>
      </c>
      <c r="F2978" s="27" t="str">
        <f>Tabela12[[#This Row],[Régua]]&amp;" ("&amp;Tabela12[[#This Row],[Born]]&amp;")"</f>
        <v>BOT (1)</v>
      </c>
      <c r="G2978" s="27">
        <f>LEN(Tabela12[[#This Row],[Anilha]])</f>
        <v>7</v>
      </c>
      <c r="H2978" s="27">
        <f>VLOOKUP(Tabela12[[#This Row],[Tag Cabo]],BD!A:F,6,0)</f>
        <v>2.5</v>
      </c>
      <c r="I2978" s="27"/>
      <c r="J2978" s="27"/>
    </row>
    <row r="2979" spans="1:10" x14ac:dyDescent="0.25">
      <c r="A2979" s="21" t="s">
        <v>1116</v>
      </c>
      <c r="B2979" s="322" t="str">
        <f>VLOOKUP(Tabela12[[#This Row],[Painel]],Tabela13[],2,0)</f>
        <v>GA-9312/S</v>
      </c>
      <c r="C2979" s="391" t="s">
        <v>1546</v>
      </c>
      <c r="D2979" s="21" t="s">
        <v>2072</v>
      </c>
      <c r="E2979" s="21">
        <v>2</v>
      </c>
      <c r="F2979" s="27" t="str">
        <f>Tabela12[[#This Row],[Régua]]&amp;" ("&amp;Tabela12[[#This Row],[Born]]&amp;")"</f>
        <v>BOT (2)</v>
      </c>
      <c r="G2979" s="27">
        <f>LEN(Tabela12[[#This Row],[Anilha]])</f>
        <v>7</v>
      </c>
      <c r="H2979" s="27">
        <f>VLOOKUP(Tabela12[[#This Row],[Tag Cabo]],BD!A:F,6,0)</f>
        <v>2.5</v>
      </c>
      <c r="I2979" s="27"/>
      <c r="J2979" s="27"/>
    </row>
    <row r="2980" spans="1:10" x14ac:dyDescent="0.25">
      <c r="A2980" s="21" t="s">
        <v>1112</v>
      </c>
      <c r="B2980" s="322" t="str">
        <f>VLOOKUP(Tabela12[[#This Row],[Painel]],Tabela13[],2,0)</f>
        <v>CCP</v>
      </c>
      <c r="C2980" s="391" t="s">
        <v>1545</v>
      </c>
      <c r="D2980" s="21" t="s">
        <v>2073</v>
      </c>
      <c r="E2980" s="21" t="s">
        <v>2074</v>
      </c>
      <c r="F2980" s="27" t="str">
        <f>Tabela12[[#This Row],[Régua]]&amp;" ("&amp;Tabela12[[#This Row],[Born]]&amp;")"</f>
        <v>DJ (F)</v>
      </c>
      <c r="G2980" s="27">
        <f>LEN(Tabela12[[#This Row],[Anilha]])</f>
        <v>6</v>
      </c>
      <c r="H2980" s="27">
        <f>VLOOKUP(Tabela12[[#This Row],[Tag Cabo]],BD!A:F,6,0)</f>
        <v>4</v>
      </c>
      <c r="I2980" s="27"/>
      <c r="J2980" s="27"/>
    </row>
    <row r="2981" spans="1:10" x14ac:dyDescent="0.25">
      <c r="A2981" s="21" t="s">
        <v>1112</v>
      </c>
      <c r="B2981" s="322" t="str">
        <f>VLOOKUP(Tabela12[[#This Row],[Painel]],Tabela13[],2,0)</f>
        <v>CCP</v>
      </c>
      <c r="C2981" s="391" t="s">
        <v>1545</v>
      </c>
      <c r="D2981" s="21" t="s">
        <v>2073</v>
      </c>
      <c r="E2981" s="21" t="s">
        <v>1890</v>
      </c>
      <c r="F2981" s="27" t="str">
        <f>Tabela12[[#This Row],[Régua]]&amp;" ("&amp;Tabela12[[#This Row],[Born]]&amp;")"</f>
        <v>DJ (N)</v>
      </c>
      <c r="G2981" s="27">
        <f>LEN(Tabela12[[#This Row],[Anilha]])</f>
        <v>6</v>
      </c>
      <c r="H2981" s="27">
        <f>VLOOKUP(Tabela12[[#This Row],[Tag Cabo]],BD!A:F,6,0)</f>
        <v>4</v>
      </c>
      <c r="I2981" s="27"/>
      <c r="J2981" s="27"/>
    </row>
    <row r="2982" spans="1:10" x14ac:dyDescent="0.25">
      <c r="A2982" s="333" t="s">
        <v>1112</v>
      </c>
      <c r="B2982" s="322" t="str">
        <f>VLOOKUP(Tabela12[[#This Row],[Painel]],Tabela13[],2,0)</f>
        <v>GA-9312/S</v>
      </c>
      <c r="C2982" s="391" t="s">
        <v>1546</v>
      </c>
      <c r="D2982" s="21" t="s">
        <v>2075</v>
      </c>
      <c r="E2982" s="21" t="s">
        <v>2074</v>
      </c>
      <c r="F2982" s="27" t="str">
        <f>Tabela12[[#This Row],[Régua]]&amp;" ("&amp;Tabela12[[#This Row],[Born]]&amp;")"</f>
        <v>120VCA (F)</v>
      </c>
      <c r="G2982" s="27">
        <f>LEN(Tabela12[[#This Row],[Anilha]])</f>
        <v>10</v>
      </c>
      <c r="H2982" s="27">
        <f>VLOOKUP(Tabela12[[#This Row],[Tag Cabo]],BD!A:F,6,0)</f>
        <v>4</v>
      </c>
      <c r="I2982" s="27"/>
      <c r="J2982" s="27"/>
    </row>
    <row r="2983" spans="1:10" x14ac:dyDescent="0.25">
      <c r="A2983" s="333" t="s">
        <v>1112</v>
      </c>
      <c r="B2983" s="322" t="str">
        <f>VLOOKUP(Tabela12[[#This Row],[Painel]],Tabela13[],2,0)</f>
        <v>GA-9312/S</v>
      </c>
      <c r="C2983" s="391" t="s">
        <v>1546</v>
      </c>
      <c r="D2983" s="21" t="s">
        <v>2075</v>
      </c>
      <c r="E2983" s="21" t="s">
        <v>1890</v>
      </c>
      <c r="F2983" s="27" t="str">
        <f>Tabela12[[#This Row],[Régua]]&amp;" ("&amp;Tabela12[[#This Row],[Born]]&amp;")"</f>
        <v>120VCA (N)</v>
      </c>
      <c r="G2983" s="27">
        <f>LEN(Tabela12[[#This Row],[Anilha]])</f>
        <v>10</v>
      </c>
      <c r="H2983" s="27">
        <f>VLOOKUP(Tabela12[[#This Row],[Tag Cabo]],BD!A:F,6,0)</f>
        <v>4</v>
      </c>
      <c r="I2983" s="27"/>
      <c r="J2983" s="27"/>
    </row>
    <row r="2984" spans="1:10" x14ac:dyDescent="0.25">
      <c r="A2984" s="21" t="s">
        <v>1064</v>
      </c>
      <c r="B2984" s="322" t="str">
        <f>VLOOKUP(Tabela12[[#This Row],[Painel]],Tabela13[],2,0)</f>
        <v>CCP</v>
      </c>
      <c r="C2984" s="391" t="s">
        <v>1065</v>
      </c>
      <c r="D2984" s="21" t="s">
        <v>2076</v>
      </c>
      <c r="E2984" s="21" t="s">
        <v>2074</v>
      </c>
      <c r="F2984" s="27" t="str">
        <f>Tabela12[[#This Row],[Régua]]&amp;" ("&amp;Tabela12[[#This Row],[Born]]&amp;")"</f>
        <v>DJ15 (F)</v>
      </c>
      <c r="G2984" s="27">
        <f>LEN(Tabela12[[#This Row],[Anilha]])</f>
        <v>8</v>
      </c>
      <c r="H2984" s="27">
        <f>VLOOKUP(Tabela12[[#This Row],[Tag Cabo]],BD!A:F,6,0)</f>
        <v>4</v>
      </c>
      <c r="I2984" s="27"/>
      <c r="J2984" s="27"/>
    </row>
    <row r="2985" spans="1:10" x14ac:dyDescent="0.25">
      <c r="A2985" s="21" t="s">
        <v>1064</v>
      </c>
      <c r="B2985" s="322" t="str">
        <f>VLOOKUP(Tabela12[[#This Row],[Painel]],Tabela13[],2,0)</f>
        <v>CCP</v>
      </c>
      <c r="C2985" s="391" t="s">
        <v>1065</v>
      </c>
      <c r="D2985" s="21" t="s">
        <v>2076</v>
      </c>
      <c r="E2985" s="21" t="s">
        <v>1890</v>
      </c>
      <c r="F2985" s="27" t="str">
        <f>Tabela12[[#This Row],[Régua]]&amp;" ("&amp;Tabela12[[#This Row],[Born]]&amp;")"</f>
        <v>DJ15 (N)</v>
      </c>
      <c r="G2985" s="27">
        <f>LEN(Tabela12[[#This Row],[Anilha]])</f>
        <v>8</v>
      </c>
      <c r="H2985" s="27">
        <f>VLOOKUP(Tabela12[[#This Row],[Tag Cabo]],BD!A:F,6,0)</f>
        <v>4</v>
      </c>
      <c r="I2985" s="27"/>
      <c r="J2985" s="27"/>
    </row>
    <row r="2986" spans="1:10" x14ac:dyDescent="0.25">
      <c r="A2986" s="21" t="s">
        <v>1064</v>
      </c>
      <c r="B2986" s="322" t="str">
        <f>VLOOKUP(Tabela12[[#This Row],[Painel]],Tabela13[],2,0)</f>
        <v>CCP</v>
      </c>
      <c r="C2986" s="391" t="s">
        <v>1065</v>
      </c>
      <c r="D2986" s="21" t="s">
        <v>2076</v>
      </c>
      <c r="E2986" s="21" t="s">
        <v>1859</v>
      </c>
      <c r="F2986" s="27" t="str">
        <f>Tabela12[[#This Row],[Régua]]&amp;" ("&amp;Tabela12[[#This Row],[Born]]&amp;")"</f>
        <v>DJ15 (T)</v>
      </c>
      <c r="G2986" s="27">
        <f>LEN(Tabela12[[#This Row],[Anilha]])</f>
        <v>8</v>
      </c>
      <c r="H2986" s="27">
        <f>VLOOKUP(Tabela12[[#This Row],[Tag Cabo]],BD!A:F,6,0)</f>
        <v>4</v>
      </c>
      <c r="I2986" s="27"/>
      <c r="J2986" s="27"/>
    </row>
    <row r="2987" spans="1:10" x14ac:dyDescent="0.25">
      <c r="A2987" s="21" t="s">
        <v>1064</v>
      </c>
      <c r="B2987" s="322" t="str">
        <f>VLOOKUP(Tabela12[[#This Row],[Painel]],Tabela13[],2,0)</f>
        <v>CCP</v>
      </c>
      <c r="C2987" s="391" t="s">
        <v>1586</v>
      </c>
      <c r="D2987" s="21" t="s">
        <v>2077</v>
      </c>
      <c r="E2987" s="21" t="s">
        <v>2074</v>
      </c>
      <c r="F2987" s="27" t="str">
        <f>Tabela12[[#This Row],[Régua]]&amp;" ("&amp;Tabela12[[#This Row],[Born]]&amp;")"</f>
        <v>DJ01 (F)</v>
      </c>
      <c r="G2987" s="27">
        <f>LEN(Tabela12[[#This Row],[Anilha]])</f>
        <v>8</v>
      </c>
      <c r="H2987" s="27">
        <f>VLOOKUP(Tabela12[[#This Row],[Tag Cabo]],BD!A:F,6,0)</f>
        <v>4</v>
      </c>
      <c r="I2987" s="27"/>
      <c r="J2987" s="27"/>
    </row>
    <row r="2988" spans="1:10" x14ac:dyDescent="0.25">
      <c r="A2988" s="21" t="s">
        <v>1064</v>
      </c>
      <c r="B2988" s="322" t="str">
        <f>VLOOKUP(Tabela12[[#This Row],[Painel]],Tabela13[],2,0)</f>
        <v>CCP</v>
      </c>
      <c r="C2988" s="391" t="s">
        <v>1586</v>
      </c>
      <c r="D2988" s="21" t="s">
        <v>2077</v>
      </c>
      <c r="E2988" s="21" t="s">
        <v>1890</v>
      </c>
      <c r="F2988" s="27" t="str">
        <f>Tabela12[[#This Row],[Régua]]&amp;" ("&amp;Tabela12[[#This Row],[Born]]&amp;")"</f>
        <v>DJ01 (N)</v>
      </c>
      <c r="G2988" s="27">
        <f>LEN(Tabela12[[#This Row],[Anilha]])</f>
        <v>8</v>
      </c>
      <c r="H2988" s="27">
        <f>VLOOKUP(Tabela12[[#This Row],[Tag Cabo]],BD!A:F,6,0)</f>
        <v>4</v>
      </c>
      <c r="I2988" s="27"/>
      <c r="J2988" s="27"/>
    </row>
    <row r="2989" spans="1:10" x14ac:dyDescent="0.25">
      <c r="A2989" s="21" t="s">
        <v>1064</v>
      </c>
      <c r="B2989" s="322" t="str">
        <f>VLOOKUP(Tabela12[[#This Row],[Painel]],Tabela13[],2,0)</f>
        <v>CCP</v>
      </c>
      <c r="C2989" s="391" t="s">
        <v>1586</v>
      </c>
      <c r="D2989" s="21" t="s">
        <v>2077</v>
      </c>
      <c r="E2989" s="21" t="s">
        <v>1859</v>
      </c>
      <c r="F2989" s="27" t="str">
        <f>Tabela12[[#This Row],[Régua]]&amp;" ("&amp;Tabela12[[#This Row],[Born]]&amp;")"</f>
        <v>DJ01 (T)</v>
      </c>
      <c r="G2989" s="27">
        <f>LEN(Tabela12[[#This Row],[Anilha]])</f>
        <v>8</v>
      </c>
      <c r="H2989" s="27">
        <f>VLOOKUP(Tabela12[[#This Row],[Tag Cabo]],BD!A:F,6,0)</f>
        <v>4</v>
      </c>
      <c r="I2989" s="27"/>
      <c r="J2989" s="27"/>
    </row>
    <row r="2990" spans="1:10" x14ac:dyDescent="0.25">
      <c r="A2990" s="21" t="s">
        <v>1069</v>
      </c>
      <c r="B2990" s="322" t="str">
        <f>VLOOKUP(Tabela12[[#This Row],[Painel]],Tabela13[],2,0)</f>
        <v>CCP</v>
      </c>
      <c r="C2990" s="391" t="s">
        <v>1070</v>
      </c>
      <c r="D2990" s="21" t="s">
        <v>2076</v>
      </c>
      <c r="E2990" s="21" t="s">
        <v>2074</v>
      </c>
      <c r="F2990" s="27" t="str">
        <f>Tabela12[[#This Row],[Régua]]&amp;" ("&amp;Tabela12[[#This Row],[Born]]&amp;")"</f>
        <v>DJ15 (F)</v>
      </c>
      <c r="G2990" s="27">
        <f>LEN(Tabela12[[#This Row],[Anilha]])</f>
        <v>8</v>
      </c>
      <c r="H2990" s="27">
        <f>VLOOKUP(Tabela12[[#This Row],[Tag Cabo]],BD!A:F,6,0)</f>
        <v>4</v>
      </c>
      <c r="I2990" s="27"/>
      <c r="J2990" s="27"/>
    </row>
    <row r="2991" spans="1:10" x14ac:dyDescent="0.25">
      <c r="A2991" s="21" t="s">
        <v>1069</v>
      </c>
      <c r="B2991" s="322" t="str">
        <f>VLOOKUP(Tabela12[[#This Row],[Painel]],Tabela13[],2,0)</f>
        <v>CCP</v>
      </c>
      <c r="C2991" s="391" t="s">
        <v>1070</v>
      </c>
      <c r="D2991" s="21" t="s">
        <v>2076</v>
      </c>
      <c r="E2991" s="21" t="s">
        <v>1890</v>
      </c>
      <c r="F2991" s="27" t="str">
        <f>Tabela12[[#This Row],[Régua]]&amp;" ("&amp;Tabela12[[#This Row],[Born]]&amp;")"</f>
        <v>DJ15 (N)</v>
      </c>
      <c r="G2991" s="27">
        <f>LEN(Tabela12[[#This Row],[Anilha]])</f>
        <v>8</v>
      </c>
      <c r="H2991" s="27">
        <f>VLOOKUP(Tabela12[[#This Row],[Tag Cabo]],BD!A:F,6,0)</f>
        <v>4</v>
      </c>
      <c r="I2991" s="27"/>
      <c r="J2991" s="27"/>
    </row>
    <row r="2992" spans="1:10" x14ac:dyDescent="0.25">
      <c r="A2992" s="21" t="s">
        <v>1069</v>
      </c>
      <c r="B2992" s="322" t="str">
        <f>VLOOKUP(Tabela12[[#This Row],[Painel]],Tabela13[],2,0)</f>
        <v>CCP</v>
      </c>
      <c r="C2992" s="391" t="s">
        <v>1070</v>
      </c>
      <c r="D2992" s="21" t="s">
        <v>2076</v>
      </c>
      <c r="E2992" s="21" t="s">
        <v>1859</v>
      </c>
      <c r="F2992" s="27" t="str">
        <f>Tabela12[[#This Row],[Régua]]&amp;" ("&amp;Tabela12[[#This Row],[Born]]&amp;")"</f>
        <v>DJ15 (T)</v>
      </c>
      <c r="G2992" s="27">
        <f>LEN(Tabela12[[#This Row],[Anilha]])</f>
        <v>8</v>
      </c>
      <c r="H2992" s="27">
        <f>VLOOKUP(Tabela12[[#This Row],[Tag Cabo]],BD!A:F,6,0)</f>
        <v>4</v>
      </c>
      <c r="I2992" s="27"/>
      <c r="J2992" s="27"/>
    </row>
    <row r="2993" spans="1:10" x14ac:dyDescent="0.25">
      <c r="A2993" s="21" t="s">
        <v>1069</v>
      </c>
      <c r="B2993" s="322" t="str">
        <f>VLOOKUP(Tabela12[[#This Row],[Painel]],Tabela13[],2,0)</f>
        <v>CCP</v>
      </c>
      <c r="C2993" s="391" t="s">
        <v>1586</v>
      </c>
      <c r="D2993" s="21" t="s">
        <v>2078</v>
      </c>
      <c r="E2993" s="21" t="s">
        <v>2074</v>
      </c>
      <c r="F2993" s="27" t="str">
        <f>Tabela12[[#This Row],[Régua]]&amp;" ("&amp;Tabela12[[#This Row],[Born]]&amp;")"</f>
        <v>DJ02 (F)</v>
      </c>
      <c r="G2993" s="27">
        <f>LEN(Tabela12[[#This Row],[Anilha]])</f>
        <v>8</v>
      </c>
      <c r="H2993" s="27">
        <f>VLOOKUP(Tabela12[[#This Row],[Tag Cabo]],BD!A:F,6,0)</f>
        <v>4</v>
      </c>
      <c r="I2993" s="27"/>
      <c r="J2993" s="27"/>
    </row>
    <row r="2994" spans="1:10" x14ac:dyDescent="0.25">
      <c r="A2994" s="21" t="s">
        <v>1069</v>
      </c>
      <c r="B2994" s="322" t="str">
        <f>VLOOKUP(Tabela12[[#This Row],[Painel]],Tabela13[],2,0)</f>
        <v>CCP</v>
      </c>
      <c r="C2994" s="391" t="s">
        <v>1586</v>
      </c>
      <c r="D2994" s="21" t="s">
        <v>2078</v>
      </c>
      <c r="E2994" s="21" t="s">
        <v>1890</v>
      </c>
      <c r="F2994" s="27" t="str">
        <f>Tabela12[[#This Row],[Régua]]&amp;" ("&amp;Tabela12[[#This Row],[Born]]&amp;")"</f>
        <v>DJ02 (N)</v>
      </c>
      <c r="G2994" s="27">
        <f>LEN(Tabela12[[#This Row],[Anilha]])</f>
        <v>8</v>
      </c>
      <c r="H2994" s="27">
        <f>VLOOKUP(Tabela12[[#This Row],[Tag Cabo]],BD!A:F,6,0)</f>
        <v>4</v>
      </c>
      <c r="I2994" s="27"/>
      <c r="J2994" s="27"/>
    </row>
    <row r="2995" spans="1:10" x14ac:dyDescent="0.25">
      <c r="A2995" s="21" t="s">
        <v>1069</v>
      </c>
      <c r="B2995" s="322" t="str">
        <f>VLOOKUP(Tabela12[[#This Row],[Painel]],Tabela13[],2,0)</f>
        <v>CCP</v>
      </c>
      <c r="C2995" s="391" t="s">
        <v>1586</v>
      </c>
      <c r="D2995" s="21" t="s">
        <v>2078</v>
      </c>
      <c r="E2995" s="21" t="s">
        <v>1859</v>
      </c>
      <c r="F2995" s="27" t="str">
        <f>Tabela12[[#This Row],[Régua]]&amp;" ("&amp;Tabela12[[#This Row],[Born]]&amp;")"</f>
        <v>DJ02 (T)</v>
      </c>
      <c r="G2995" s="27">
        <f>LEN(Tabela12[[#This Row],[Anilha]])</f>
        <v>8</v>
      </c>
      <c r="H2995" s="27">
        <f>VLOOKUP(Tabela12[[#This Row],[Tag Cabo]],BD!A:F,6,0)</f>
        <v>4</v>
      </c>
      <c r="I2995" s="27"/>
      <c r="J2995" s="27"/>
    </row>
  </sheetData>
  <conditionalFormatting sqref="L2:L4">
    <cfRule type="cellIs" dxfId="114" priority="1" operator="equal">
      <formula>"CMS 3/18 (16 até 60 mm²)"</formula>
    </cfRule>
    <cfRule type="cellIs" dxfId="113" priority="2" operator="equal">
      <formula>"CMS 2/18 (2.5 até 10.0 mm²)"</formula>
    </cfRule>
    <cfRule type="cellIs" dxfId="112" priority="3" operator="equal">
      <formula>"CMS 1/18 (0.5 até 1.5 mm²)"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A191"/>
  <sheetViews>
    <sheetView showGridLines="0" zoomScaleNormal="100" workbookViewId="0">
      <selection activeCell="C429" sqref="C429"/>
    </sheetView>
  </sheetViews>
  <sheetFormatPr defaultRowHeight="15" x14ac:dyDescent="0.25"/>
  <cols>
    <col min="1" max="1" width="20" style="267" bestFit="1" customWidth="1"/>
    <col min="2" max="2" width="10.5703125" style="267" bestFit="1" customWidth="1"/>
    <col min="3" max="3" width="13.28515625" style="267" customWidth="1"/>
    <col min="4" max="4" width="13" style="267" customWidth="1"/>
    <col min="5" max="5" width="10.42578125" style="268" customWidth="1"/>
    <col min="6" max="6" width="9.140625" style="79"/>
    <col min="7" max="7" width="5.28515625" style="79" customWidth="1"/>
    <col min="8" max="8" width="10.5703125" style="276" bestFit="1" customWidth="1"/>
    <col min="9" max="9" width="11" style="277" customWidth="1"/>
    <col min="10" max="10" width="11.28515625" style="277" customWidth="1"/>
    <col min="11" max="11" width="9.140625" style="79"/>
    <col min="12" max="12" width="9.140625" style="79" customWidth="1"/>
    <col min="13" max="13" width="9.140625" style="79"/>
    <col min="14" max="14" width="10.85546875" style="79" bestFit="1" customWidth="1"/>
    <col min="15" max="17" width="11.85546875" style="79" customWidth="1"/>
    <col min="18" max="21" width="9.140625" style="79"/>
    <col min="22" max="22" width="20" style="267" bestFit="1" customWidth="1"/>
    <col min="23" max="23" width="10.5703125" style="267" bestFit="1" customWidth="1"/>
    <col min="24" max="27" width="10.5703125" style="297" customWidth="1"/>
    <col min="28" max="16384" width="9.140625" style="79"/>
  </cols>
  <sheetData>
    <row r="1" spans="1:27" customFormat="1" ht="32.25" customHeight="1" x14ac:dyDescent="0.25">
      <c r="A1" s="226" t="s">
        <v>1698</v>
      </c>
      <c r="B1" s="227" t="s">
        <v>0</v>
      </c>
      <c r="C1" s="228" t="s">
        <v>2079</v>
      </c>
      <c r="D1" s="228" t="s">
        <v>52</v>
      </c>
      <c r="E1" s="228" t="s">
        <v>1498</v>
      </c>
      <c r="F1" s="227" t="s">
        <v>2080</v>
      </c>
      <c r="H1" s="285" t="s">
        <v>0</v>
      </c>
      <c r="I1" s="286" t="s">
        <v>2079</v>
      </c>
      <c r="J1" s="286" t="s">
        <v>52</v>
      </c>
      <c r="K1" s="287" t="s">
        <v>33</v>
      </c>
      <c r="M1" s="278" t="s">
        <v>1698</v>
      </c>
      <c r="N1" s="282" t="s">
        <v>2081</v>
      </c>
      <c r="O1" s="279" t="s">
        <v>2079</v>
      </c>
      <c r="P1" s="279" t="s">
        <v>52</v>
      </c>
      <c r="Q1" s="280" t="s">
        <v>36</v>
      </c>
      <c r="R1" s="283" t="s">
        <v>33</v>
      </c>
      <c r="V1" s="226" t="s">
        <v>1698</v>
      </c>
      <c r="W1" s="227" t="s">
        <v>0</v>
      </c>
      <c r="X1" s="227" t="s">
        <v>37</v>
      </c>
      <c r="Y1" s="227" t="s">
        <v>38</v>
      </c>
      <c r="Z1" s="227" t="s">
        <v>101</v>
      </c>
      <c r="AA1" s="228" t="s">
        <v>40</v>
      </c>
    </row>
    <row r="2" spans="1:27" customFormat="1" x14ac:dyDescent="0.25">
      <c r="A2" s="229" t="s">
        <v>1632</v>
      </c>
      <c r="B2" s="223" t="s">
        <v>310</v>
      </c>
      <c r="C2" s="225">
        <f>ROUND((SUMIF('Diagramas Ligações'!$K:$K,Painéis!$A2,'Diagramas Ligações'!$N:$N)/2)+(SUMIF('Diagramas Ligações'!$L:$L,Painéis!$A2,'Diagramas Ligações'!$N:$N)/2),0)</f>
        <v>203</v>
      </c>
      <c r="D2" s="225">
        <f>(SUMIF('Diagramas Ligações'!$K:$K,Painéis!$A2,'Diagramas Ligações'!$T:$T))+(SUMIF('Diagramas Ligações'!$L:$L,Painéis!$A2,'Diagramas Ligações'!$U:$U))</f>
        <v>0</v>
      </c>
      <c r="E2" s="263" t="s">
        <v>2082</v>
      </c>
      <c r="F2" s="41" t="s">
        <v>2083</v>
      </c>
      <c r="H2" s="50" t="s">
        <v>402</v>
      </c>
      <c r="I2" s="35">
        <f t="shared" ref="I2:I24" si="0">SUMIF(B:B,H2,C:C)</f>
        <v>1236</v>
      </c>
      <c r="J2" s="35">
        <f t="shared" ref="J2:J24" si="1">SUMIF(B:B,H2,D:D)</f>
        <v>580</v>
      </c>
      <c r="K2" s="284">
        <f>Tabela14[[#This Row],[Ligações Realizadas]]/Tabela14[[#This Row],[Total de Ligações]]</f>
        <v>0.46925566343042069</v>
      </c>
      <c r="M2" s="290" t="s">
        <v>2084</v>
      </c>
      <c r="N2" s="388" t="s">
        <v>2085</v>
      </c>
      <c r="O2" s="257">
        <f>SUMIFS(C:C,E:E,M2,F:F,"")</f>
        <v>1215</v>
      </c>
      <c r="P2" s="257">
        <f>SUMIFS(D:D,E:E,M2,F:F,"")</f>
        <v>31</v>
      </c>
      <c r="Q2" s="294">
        <f>Tabela15[[#This Row],[Total de Ligações]]-Tabela15[[#This Row],[Ligações Realizadas]]</f>
        <v>1184</v>
      </c>
      <c r="R2" s="291">
        <f>IFERROR(Tabela15[[#This Row],[Ligações Realizadas]]/Tabela15[[#This Row],[Total de Ligações]],0)</f>
        <v>2.5514403292181069E-2</v>
      </c>
      <c r="V2" s="298" t="s">
        <v>1632</v>
      </c>
      <c r="W2" s="299" t="s">
        <v>310</v>
      </c>
      <c r="X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2" s="300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203</v>
      </c>
      <c r="Z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" spans="1:27" customFormat="1" x14ac:dyDescent="0.25">
      <c r="A3" s="229" t="s">
        <v>1578</v>
      </c>
      <c r="B3" s="223" t="s">
        <v>804</v>
      </c>
      <c r="C3" s="225">
        <f>ROUND((SUMIF('Diagramas Ligações'!$K:$K,Painéis!$A3,'Diagramas Ligações'!$N:$N)/2)+(SUMIF('Diagramas Ligações'!$L:$L,Painéis!$A3,'Diagramas Ligações'!$N:$N)/2),0)</f>
        <v>200</v>
      </c>
      <c r="D3" s="225">
        <f>(SUMIF('Diagramas Ligações'!$K:$K,Painéis!$A3,'Diagramas Ligações'!$T:$T))+(SUMIF('Diagramas Ligações'!$L:$L,Painéis!$A3,'Diagramas Ligações'!$U:$U))</f>
        <v>108</v>
      </c>
      <c r="E3" s="263" t="s">
        <v>1722</v>
      </c>
      <c r="F3" s="41" t="s">
        <v>2086</v>
      </c>
      <c r="H3" s="50" t="s">
        <v>1054</v>
      </c>
      <c r="I3" s="35">
        <f t="shared" si="0"/>
        <v>530</v>
      </c>
      <c r="J3" s="35">
        <f t="shared" si="1"/>
        <v>12</v>
      </c>
      <c r="K3" s="284">
        <f>Tabela14[[#This Row],[Ligações Realizadas]]/Tabela14[[#This Row],[Total de Ligações]]</f>
        <v>2.2641509433962263E-2</v>
      </c>
      <c r="M3" s="290" t="s">
        <v>2084</v>
      </c>
      <c r="N3" s="388" t="s">
        <v>2086</v>
      </c>
      <c r="O3" s="257">
        <f t="shared" ref="O3:O8" si="2">SUMIFS(C:C,E:E,M3,F:F,N3)</f>
        <v>0</v>
      </c>
      <c r="P3" s="257">
        <f t="shared" ref="P3:P8" si="3">SUMIFS(D:D,E:E,M3,F:F,N3)</f>
        <v>0</v>
      </c>
      <c r="Q3" s="296">
        <f>Tabela15[[#This Row],[Total de Ligações]]-Tabela15[[#This Row],[Ligações Realizadas]]</f>
        <v>0</v>
      </c>
      <c r="R3" s="291">
        <f>IFERROR(Tabela15[[#This Row],[Ligações Realizadas]]/Tabela15[[#This Row],[Total de Ligações]],0)</f>
        <v>0</v>
      </c>
      <c r="V3" s="298" t="s">
        <v>1578</v>
      </c>
      <c r="W3" s="299" t="s">
        <v>804</v>
      </c>
      <c r="X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</v>
      </c>
      <c r="Y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2</v>
      </c>
      <c r="AA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" spans="1:27" customFormat="1" x14ac:dyDescent="0.25">
      <c r="A4" s="229" t="s">
        <v>1592</v>
      </c>
      <c r="B4" s="223" t="s">
        <v>1054</v>
      </c>
      <c r="C4" s="225">
        <f>ROUND((SUMIF('Diagramas Ligações'!$K:$K,Painéis!$A4,'Diagramas Ligações'!$N:$N)/2)+(SUMIF('Diagramas Ligações'!$L:$L,Painéis!$A4,'Diagramas Ligações'!$N:$N)/2),0)</f>
        <v>179</v>
      </c>
      <c r="D4" s="225">
        <f>(SUMIF('Diagramas Ligações'!$K:$K,Painéis!$A4,'Diagramas Ligações'!$T:$T))+(SUMIF('Diagramas Ligações'!$L:$L,Painéis!$A4,'Diagramas Ligações'!$U:$U))</f>
        <v>0</v>
      </c>
      <c r="E4" s="263" t="s">
        <v>2082</v>
      </c>
      <c r="F4" s="41"/>
      <c r="H4" s="50" t="s">
        <v>804</v>
      </c>
      <c r="I4" s="35">
        <f t="shared" si="0"/>
        <v>486</v>
      </c>
      <c r="J4" s="35">
        <f t="shared" si="1"/>
        <v>299</v>
      </c>
      <c r="K4" s="284">
        <f>Tabela14[[#This Row],[Ligações Realizadas]]/Tabela14[[#This Row],[Total de Ligações]]</f>
        <v>0.6152263374485597</v>
      </c>
      <c r="M4" s="290" t="s">
        <v>2084</v>
      </c>
      <c r="N4" s="388" t="s">
        <v>2083</v>
      </c>
      <c r="O4" s="257">
        <f t="shared" si="2"/>
        <v>396</v>
      </c>
      <c r="P4" s="257">
        <f t="shared" si="3"/>
        <v>15</v>
      </c>
      <c r="Q4" s="294">
        <f>Tabela15[[#This Row],[Total de Ligações]]-Tabela15[[#This Row],[Ligações Realizadas]]</f>
        <v>381</v>
      </c>
      <c r="R4" s="291">
        <f>IFERROR(Tabela15[[#This Row],[Ligações Realizadas]]/Tabela15[[#This Row],[Total de Ligações]],0)</f>
        <v>3.787878787878788E-2</v>
      </c>
      <c r="V4" s="298" t="s">
        <v>1592</v>
      </c>
      <c r="W4" s="299" t="s">
        <v>1054</v>
      </c>
      <c r="X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146</v>
      </c>
      <c r="Z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" spans="1:27" customFormat="1" x14ac:dyDescent="0.25">
      <c r="A5" s="229" t="s">
        <v>1635</v>
      </c>
      <c r="B5" s="223" t="s">
        <v>310</v>
      </c>
      <c r="C5" s="225">
        <f>ROUND((SUMIF('Diagramas Ligações'!$K:$K,Painéis!$A5,'Diagramas Ligações'!$N:$N)/2)+(SUMIF('Diagramas Ligações'!$L:$L,Painéis!$A5,'Diagramas Ligações'!$N:$N)/2),0)</f>
        <v>172</v>
      </c>
      <c r="D5" s="225">
        <f>(SUMIF('Diagramas Ligações'!$K:$K,Painéis!$A5,'Diagramas Ligações'!$T:$T))+(SUMIF('Diagramas Ligações'!$L:$L,Painéis!$A5,'Diagramas Ligações'!$U:$U))</f>
        <v>0</v>
      </c>
      <c r="E5" s="263" t="s">
        <v>2082</v>
      </c>
      <c r="F5" s="41" t="s">
        <v>2083</v>
      </c>
      <c r="H5" s="50" t="s">
        <v>310</v>
      </c>
      <c r="I5" s="35">
        <f t="shared" si="0"/>
        <v>413</v>
      </c>
      <c r="J5" s="35">
        <f t="shared" si="1"/>
        <v>21</v>
      </c>
      <c r="K5" s="284">
        <f>Tabela14[[#This Row],[Ligações Realizadas]]/Tabela14[[#This Row],[Total de Ligações]]</f>
        <v>5.0847457627118647E-2</v>
      </c>
      <c r="M5" s="290" t="s">
        <v>2084</v>
      </c>
      <c r="N5" s="293" t="s">
        <v>2087</v>
      </c>
      <c r="O5" s="257">
        <f t="shared" si="2"/>
        <v>0</v>
      </c>
      <c r="P5" s="257">
        <f t="shared" si="3"/>
        <v>0</v>
      </c>
      <c r="Q5" s="294">
        <f>Tabela15[[#This Row],[Total de Ligações]]-Tabela15[[#This Row],[Ligações Realizadas]]</f>
        <v>0</v>
      </c>
      <c r="R5" s="291">
        <f>IFERROR(Tabela15[[#This Row],[Ligações Realizadas]]/Tabela15[[#This Row],[Total de Ligações]],0)</f>
        <v>0</v>
      </c>
      <c r="V5" s="298" t="s">
        <v>1635</v>
      </c>
      <c r="W5" s="299" t="s">
        <v>310</v>
      </c>
      <c r="X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172</v>
      </c>
      <c r="Z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" spans="1:27" customFormat="1" x14ac:dyDescent="0.25">
      <c r="A6" s="229" t="s">
        <v>1648</v>
      </c>
      <c r="B6" s="223" t="s">
        <v>1054</v>
      </c>
      <c r="C6" s="225">
        <f>ROUND((SUMIF('Diagramas Ligações'!$K:$K,Painéis!$A6,'Diagramas Ligações'!$N:$N)/2)+(SUMIF('Diagramas Ligações'!$L:$L,Painéis!$A6,'Diagramas Ligações'!$N:$N)/2),0)</f>
        <v>166</v>
      </c>
      <c r="D6" s="225">
        <f>(SUMIF('Diagramas Ligações'!$K:$K,Painéis!$A6,'Diagramas Ligações'!$T:$T))+(SUMIF('Diagramas Ligações'!$L:$L,Painéis!$A6,'Diagramas Ligações'!$U:$U))</f>
        <v>0</v>
      </c>
      <c r="E6" s="263" t="s">
        <v>2082</v>
      </c>
      <c r="F6" s="41"/>
      <c r="H6" s="50" t="s">
        <v>82</v>
      </c>
      <c r="I6" s="35">
        <f t="shared" si="0"/>
        <v>718</v>
      </c>
      <c r="J6" s="35">
        <f t="shared" si="1"/>
        <v>23</v>
      </c>
      <c r="K6" s="284">
        <f>Tabela14[[#This Row],[Ligações Realizadas]]/Tabela14[[#This Row],[Total de Ligações]]</f>
        <v>3.2033426183844013E-2</v>
      </c>
      <c r="M6" s="290" t="s">
        <v>2088</v>
      </c>
      <c r="N6" s="388" t="s">
        <v>2086</v>
      </c>
      <c r="O6" s="257">
        <f t="shared" si="2"/>
        <v>2683</v>
      </c>
      <c r="P6" s="257">
        <f t="shared" si="3"/>
        <v>917</v>
      </c>
      <c r="Q6" s="294">
        <f>Tabela15[[#This Row],[Total de Ligações]]-Tabela15[[#This Row],[Ligações Realizadas]]</f>
        <v>1766</v>
      </c>
      <c r="R6" s="291">
        <f>IFERROR(Tabela15[[#This Row],[Ligações Realizadas]]/Tabela15[[#This Row],[Total de Ligações]],0)</f>
        <v>0.34178158777487888</v>
      </c>
      <c r="V6" s="298" t="s">
        <v>1648</v>
      </c>
      <c r="W6" s="299" t="s">
        <v>1054</v>
      </c>
      <c r="X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166</v>
      </c>
      <c r="Z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" spans="1:27" customFormat="1" x14ac:dyDescent="0.25">
      <c r="A7" s="230" t="s">
        <v>1543</v>
      </c>
      <c r="B7" s="224" t="s">
        <v>402</v>
      </c>
      <c r="C7" s="225">
        <f>ROUND((SUMIF('Diagramas Ligações'!$K:$K,Painéis!$A7,'Diagramas Ligações'!$N:$N)/2)+(SUMIF('Diagramas Ligações'!$L:$L,Painéis!$A7,'Diagramas Ligações'!$N:$N)/2),0)</f>
        <v>149</v>
      </c>
      <c r="D7" s="225">
        <f>(SUMIF('Diagramas Ligações'!$K:$K,Painéis!$A7,'Diagramas Ligações'!$T:$T))+(SUMIF('Diagramas Ligações'!$L:$L,Painéis!$A7,'Diagramas Ligações'!$U:$U))</f>
        <v>13</v>
      </c>
      <c r="E7" s="263" t="s">
        <v>1722</v>
      </c>
      <c r="F7" s="41" t="s">
        <v>2086</v>
      </c>
      <c r="H7" s="50" t="s">
        <v>201</v>
      </c>
      <c r="I7" s="35">
        <f t="shared" si="0"/>
        <v>288</v>
      </c>
      <c r="J7" s="35">
        <f t="shared" si="1"/>
        <v>3</v>
      </c>
      <c r="K7" s="284">
        <f>Tabela14[[#This Row],[Ligações Realizadas]]/Tabela14[[#This Row],[Total de Ligações]]</f>
        <v>1.0416666666666666E-2</v>
      </c>
      <c r="M7" s="290" t="s">
        <v>2088</v>
      </c>
      <c r="N7" s="388" t="s">
        <v>2083</v>
      </c>
      <c r="O7" s="257">
        <f t="shared" si="2"/>
        <v>618</v>
      </c>
      <c r="P7" s="257">
        <f t="shared" si="3"/>
        <v>0</v>
      </c>
      <c r="Q7" s="294">
        <f>Tabela15[[#This Row],[Total de Ligações]]-Tabela15[[#This Row],[Ligações Realizadas]]</f>
        <v>618</v>
      </c>
      <c r="R7" s="291">
        <f>IFERROR(Tabela15[[#This Row],[Ligações Realizadas]]/Tabela15[[#This Row],[Total de Ligações]],0)</f>
        <v>0</v>
      </c>
      <c r="V7" s="303" t="s">
        <v>1543</v>
      </c>
      <c r="W7" s="304" t="s">
        <v>402</v>
      </c>
      <c r="X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47</v>
      </c>
      <c r="Y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" spans="1:27" customFormat="1" x14ac:dyDescent="0.25">
      <c r="A8" s="230" t="s">
        <v>1588</v>
      </c>
      <c r="B8" s="224" t="s">
        <v>402</v>
      </c>
      <c r="C8" s="225">
        <f>ROUND((SUMIF('Diagramas Ligações'!$K:$K,Painéis!$A8,'Diagramas Ligações'!$N:$N)/2)+(SUMIF('Diagramas Ligações'!$L:$L,Painéis!$A8,'Diagramas Ligações'!$N:$N)/2),0)</f>
        <v>143</v>
      </c>
      <c r="D8" s="225">
        <f>(SUMIF('Diagramas Ligações'!$K:$K,Painéis!$A8,'Diagramas Ligações'!$T:$T))+(SUMIF('Diagramas Ligações'!$L:$L,Painéis!$A8,'Diagramas Ligações'!$U:$U))</f>
        <v>62</v>
      </c>
      <c r="E8" s="263" t="s">
        <v>1722</v>
      </c>
      <c r="F8" s="41" t="s">
        <v>2086</v>
      </c>
      <c r="H8" s="50" t="s">
        <v>787</v>
      </c>
      <c r="I8" s="35">
        <f t="shared" si="0"/>
        <v>184</v>
      </c>
      <c r="J8" s="35">
        <f t="shared" si="1"/>
        <v>0</v>
      </c>
      <c r="K8" s="284">
        <f>Tabela14[[#This Row],[Ligações Realizadas]]/Tabela14[[#This Row],[Total de Ligações]]</f>
        <v>0</v>
      </c>
      <c r="M8" s="292" t="s">
        <v>2088</v>
      </c>
      <c r="N8" s="293" t="s">
        <v>2087</v>
      </c>
      <c r="O8" s="257">
        <f t="shared" si="2"/>
        <v>18</v>
      </c>
      <c r="P8" s="257">
        <f t="shared" si="3"/>
        <v>0</v>
      </c>
      <c r="Q8" s="295">
        <f>Tabela15[[#This Row],[Total de Ligações]]-Tabela15[[#This Row],[Ligações Realizadas]]</f>
        <v>18</v>
      </c>
      <c r="R8" s="291">
        <f>IFERROR(Tabela15[[#This Row],[Ligações Realizadas]]/Tabela15[[#This Row],[Total de Ligações]],0)</f>
        <v>0</v>
      </c>
      <c r="V8" s="303" t="s">
        <v>1588</v>
      </c>
      <c r="W8" s="304" t="s">
        <v>402</v>
      </c>
      <c r="X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30</v>
      </c>
      <c r="Y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26</v>
      </c>
      <c r="Z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" spans="1:27" customFormat="1" x14ac:dyDescent="0.25">
      <c r="A9" s="230" t="s">
        <v>856</v>
      </c>
      <c r="B9" s="224" t="s">
        <v>804</v>
      </c>
      <c r="C9" s="225">
        <f>ROUND((SUMIF('Diagramas Ligações'!$K:$K,Painéis!$A9,'Diagramas Ligações'!$N:$N)/2)+(SUMIF('Diagramas Ligações'!$L:$L,Painéis!$A9,'Diagramas Ligações'!$N:$N)/2),0)</f>
        <v>121</v>
      </c>
      <c r="D9" s="225">
        <f>(SUMIF('Diagramas Ligações'!$K:$K,Painéis!$A9,'Diagramas Ligações'!$T:$T))+(SUMIF('Diagramas Ligações'!$L:$L,Painéis!$A9,'Diagramas Ligações'!$U:$U))</f>
        <v>103</v>
      </c>
      <c r="E9" s="263" t="s">
        <v>1722</v>
      </c>
      <c r="F9" s="41" t="s">
        <v>2086</v>
      </c>
      <c r="H9" s="50" t="s">
        <v>1199</v>
      </c>
      <c r="I9" s="35">
        <f t="shared" si="0"/>
        <v>155</v>
      </c>
      <c r="J9" s="35">
        <f t="shared" si="1"/>
        <v>0</v>
      </c>
      <c r="K9" s="284">
        <f>Tabela14[[#This Row],[Ligações Realizadas]]/Tabela14[[#This Row],[Total de Ligações]]</f>
        <v>0</v>
      </c>
      <c r="V9" s="303" t="s">
        <v>856</v>
      </c>
      <c r="W9" s="304" t="s">
        <v>804</v>
      </c>
      <c r="X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52</v>
      </c>
      <c r="Y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49</v>
      </c>
      <c r="Z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" spans="1:27" customFormat="1" x14ac:dyDescent="0.25">
      <c r="A10" s="230" t="s">
        <v>196</v>
      </c>
      <c r="B10" s="224" t="s">
        <v>201</v>
      </c>
      <c r="C10" s="225">
        <f>ROUND((SUMIF('Diagramas Ligações'!$K:$K,Painéis!$A10,'Diagramas Ligações'!$N:$N)/2)+(SUMIF('Diagramas Ligações'!$L:$L,Painéis!$A10,'Diagramas Ligações'!$N:$N)/2),0)</f>
        <v>138</v>
      </c>
      <c r="D10" s="225">
        <f>(SUMIF('Diagramas Ligações'!$K:$K,Painéis!$A10,'Diagramas Ligações'!$T:$T))+(SUMIF('Diagramas Ligações'!$L:$L,Painéis!$A10,'Diagramas Ligações'!$U:$U))</f>
        <v>3</v>
      </c>
      <c r="E10" s="263" t="s">
        <v>2082</v>
      </c>
      <c r="F10" s="41"/>
      <c r="H10" s="50" t="s">
        <v>703</v>
      </c>
      <c r="I10" s="35">
        <f t="shared" si="0"/>
        <v>138</v>
      </c>
      <c r="J10" s="35">
        <f t="shared" si="1"/>
        <v>0</v>
      </c>
      <c r="K10" s="284">
        <f>Tabela14[[#This Row],[Ligações Realizadas]]/Tabela14[[#This Row],[Total de Ligações]]</f>
        <v>0</v>
      </c>
      <c r="V10" s="303" t="s">
        <v>196</v>
      </c>
      <c r="W10" s="304" t="s">
        <v>201</v>
      </c>
      <c r="X1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20</v>
      </c>
      <c r="Y1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" spans="1:27" customFormat="1" x14ac:dyDescent="0.25">
      <c r="A11" s="230" t="s">
        <v>1535</v>
      </c>
      <c r="B11" s="224" t="s">
        <v>82</v>
      </c>
      <c r="C11" s="225">
        <f>ROUND((SUMIF('Diagramas Ligações'!$K:$K,Painéis!$A11,'Diagramas Ligações'!$N:$N)/2)+(SUMIF('Diagramas Ligações'!$L:$L,Painéis!$A11,'Diagramas Ligações'!$N:$N)/2),0)</f>
        <v>105</v>
      </c>
      <c r="D11" s="225">
        <f>(SUMIF('Diagramas Ligações'!$K:$K,Painéis!$A11,'Diagramas Ligações'!$T:$T))+(SUMIF('Diagramas Ligações'!$L:$L,Painéis!$A11,'Diagramas Ligações'!$U:$U))</f>
        <v>8</v>
      </c>
      <c r="E11" s="263" t="s">
        <v>1722</v>
      </c>
      <c r="F11" s="41" t="s">
        <v>2086</v>
      </c>
      <c r="H11" s="50" t="s">
        <v>733</v>
      </c>
      <c r="I11" s="35">
        <f t="shared" si="0"/>
        <v>132</v>
      </c>
      <c r="J11" s="35">
        <f t="shared" si="1"/>
        <v>0</v>
      </c>
      <c r="K11" s="284">
        <f>Tabela14[[#This Row],[Ligações Realizadas]]/Tabela14[[#This Row],[Total de Ligações]]</f>
        <v>0</v>
      </c>
      <c r="V11" s="303" t="s">
        <v>1535</v>
      </c>
      <c r="W11" s="304" t="s">
        <v>82</v>
      </c>
      <c r="X1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</v>
      </c>
      <c r="Y1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4</v>
      </c>
      <c r="AA1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2</v>
      </c>
    </row>
    <row r="12" spans="1:27" customFormat="1" x14ac:dyDescent="0.25">
      <c r="A12" s="230" t="s">
        <v>687</v>
      </c>
      <c r="B12" s="224" t="s">
        <v>402</v>
      </c>
      <c r="C12" s="225">
        <f>ROUND((SUMIF('Diagramas Ligações'!$K:$K,Painéis!$A12,'Diagramas Ligações'!$N:$N)/2)+(SUMIF('Diagramas Ligações'!$L:$L,Painéis!$A12,'Diagramas Ligações'!$N:$N)/2),0)</f>
        <v>107</v>
      </c>
      <c r="D12" s="225">
        <f>(SUMIF('Diagramas Ligações'!$K:$K,Painéis!$A12,'Diagramas Ligações'!$T:$T))+(SUMIF('Diagramas Ligações'!$L:$L,Painéis!$A12,'Diagramas Ligações'!$U:$U))</f>
        <v>50</v>
      </c>
      <c r="E12" s="263" t="s">
        <v>1722</v>
      </c>
      <c r="F12" s="41" t="s">
        <v>2086</v>
      </c>
      <c r="H12" s="50" t="s">
        <v>282</v>
      </c>
      <c r="I12" s="35">
        <f t="shared" si="0"/>
        <v>141</v>
      </c>
      <c r="J12" s="35">
        <f t="shared" si="1"/>
        <v>0</v>
      </c>
      <c r="K12" s="284">
        <f>Tabela14[[#This Row],[Ligações Realizadas]]/Tabela14[[#This Row],[Total de Ligações]]</f>
        <v>0</v>
      </c>
      <c r="V12" s="303" t="s">
        <v>687</v>
      </c>
      <c r="W12" s="304" t="s">
        <v>402</v>
      </c>
      <c r="X1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18</v>
      </c>
      <c r="Y1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26</v>
      </c>
      <c r="Z1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" spans="1:27" customFormat="1" x14ac:dyDescent="0.25">
      <c r="A13" s="230" t="s">
        <v>937</v>
      </c>
      <c r="B13" s="224" t="s">
        <v>402</v>
      </c>
      <c r="C13" s="225">
        <f>ROUND((SUMIF('Diagramas Ligações'!$K:$K,Painéis!$A13,'Diagramas Ligações'!$N:$N)/2)+(SUMIF('Diagramas Ligações'!$L:$L,Painéis!$A13,'Diagramas Ligações'!$N:$N)/2),0)</f>
        <v>95</v>
      </c>
      <c r="D13" s="225">
        <f>(SUMIF('Diagramas Ligações'!$K:$K,Painéis!$A13,'Diagramas Ligações'!$T:$T))+(SUMIF('Diagramas Ligações'!$L:$L,Painéis!$A13,'Diagramas Ligações'!$U:$U))</f>
        <v>51</v>
      </c>
      <c r="E13" s="263" t="s">
        <v>1722</v>
      </c>
      <c r="F13" s="41" t="s">
        <v>2086</v>
      </c>
      <c r="H13" s="50" t="s">
        <v>762</v>
      </c>
      <c r="I13" s="35">
        <f t="shared" si="0"/>
        <v>105</v>
      </c>
      <c r="J13" s="35">
        <f t="shared" si="1"/>
        <v>0</v>
      </c>
      <c r="K13" s="284">
        <f>Tabela14[[#This Row],[Ligações Realizadas]]/Tabela14[[#This Row],[Total de Ligações]]</f>
        <v>0</v>
      </c>
      <c r="V13" s="303" t="s">
        <v>937</v>
      </c>
      <c r="W13" s="304" t="s">
        <v>402</v>
      </c>
      <c r="X1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39</v>
      </c>
      <c r="Y1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28</v>
      </c>
      <c r="Z1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4</v>
      </c>
      <c r="AA1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" spans="1:27" customFormat="1" x14ac:dyDescent="0.25">
      <c r="A14" s="230" t="s">
        <v>1590</v>
      </c>
      <c r="B14" s="224" t="s">
        <v>402</v>
      </c>
      <c r="C14" s="225">
        <f>ROUND((SUMIF('Diagramas Ligações'!$K:$K,Painéis!$A14,'Diagramas Ligações'!$N:$N)/2)+(SUMIF('Diagramas Ligações'!$L:$L,Painéis!$A14,'Diagramas Ligações'!$N:$N)/2),0)</f>
        <v>84</v>
      </c>
      <c r="D14" s="225">
        <f>(SUMIF('Diagramas Ligações'!$K:$K,Painéis!$A14,'Diagramas Ligações'!$T:$T))+(SUMIF('Diagramas Ligações'!$L:$L,Painéis!$A14,'Diagramas Ligações'!$U:$U))</f>
        <v>24</v>
      </c>
      <c r="E14" s="263" t="s">
        <v>1722</v>
      </c>
      <c r="F14" s="41" t="s">
        <v>2086</v>
      </c>
      <c r="H14" s="50" t="s">
        <v>1098</v>
      </c>
      <c r="I14" s="35">
        <f t="shared" si="0"/>
        <v>92</v>
      </c>
      <c r="J14" s="35">
        <f t="shared" si="1"/>
        <v>0</v>
      </c>
      <c r="K14" s="284">
        <f>Tabela14[[#This Row],[Ligações Realizadas]]/Tabela14[[#This Row],[Total de Ligações]]</f>
        <v>0</v>
      </c>
      <c r="V14" s="303" t="s">
        <v>1590</v>
      </c>
      <c r="W14" s="304" t="s">
        <v>402</v>
      </c>
      <c r="X1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36</v>
      </c>
      <c r="Y1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" spans="1:27" customFormat="1" x14ac:dyDescent="0.25">
      <c r="A15" s="230" t="s">
        <v>1574</v>
      </c>
      <c r="B15" s="224" t="s">
        <v>2089</v>
      </c>
      <c r="C15" s="225">
        <f>ROUND((SUMIF('Diagramas Ligações'!$K:$K,Painéis!$A15,'Diagramas Ligações'!$N:$N)/2)+(SUMIF('Diagramas Ligações'!$L:$L,Painéis!$A15,'Diagramas Ligações'!$N:$N)/2),0)</f>
        <v>78</v>
      </c>
      <c r="D15" s="225">
        <f>(SUMIF('Diagramas Ligações'!$K:$K,Painéis!$A15,'Diagramas Ligações'!$T:$T))+(SUMIF('Diagramas Ligações'!$L:$L,Painéis!$A15,'Diagramas Ligações'!$U:$U))</f>
        <v>0</v>
      </c>
      <c r="E15" s="263" t="s">
        <v>1722</v>
      </c>
      <c r="F15" s="41" t="s">
        <v>2086</v>
      </c>
      <c r="H15" s="50" t="s">
        <v>2090</v>
      </c>
      <c r="I15" s="35">
        <f t="shared" si="0"/>
        <v>94</v>
      </c>
      <c r="J15" s="35">
        <f t="shared" si="1"/>
        <v>18</v>
      </c>
      <c r="K15" s="284">
        <f>Tabela14[[#This Row],[Ligações Realizadas]]/Tabela14[[#This Row],[Total de Ligações]]</f>
        <v>0.19148936170212766</v>
      </c>
      <c r="V15" s="303" t="s">
        <v>1574</v>
      </c>
      <c r="W15" s="304" t="s">
        <v>2089</v>
      </c>
      <c r="X1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6" spans="1:27" customFormat="1" x14ac:dyDescent="0.25">
      <c r="A16" s="230" t="s">
        <v>104</v>
      </c>
      <c r="B16" s="224" t="s">
        <v>82</v>
      </c>
      <c r="C16" s="225">
        <f>ROUND((SUMIF('Diagramas Ligações'!$K:$K,Painéis!$A16,'Diagramas Ligações'!$N:$N)/2)+(SUMIF('Diagramas Ligações'!$L:$L,Painéis!$A16,'Diagramas Ligações'!$N:$N)/2),0)</f>
        <v>307</v>
      </c>
      <c r="D16" s="225">
        <f>(SUMIF('Diagramas Ligações'!$K:$K,Painéis!$A16,'Diagramas Ligações'!$T:$T))+(SUMIF('Diagramas Ligações'!$L:$L,Painéis!$A16,'Diagramas Ligações'!$U:$U))</f>
        <v>0</v>
      </c>
      <c r="E16" s="263" t="s">
        <v>1722</v>
      </c>
      <c r="F16" s="41" t="s">
        <v>2086</v>
      </c>
      <c r="H16" s="50" t="s">
        <v>2089</v>
      </c>
      <c r="I16" s="35">
        <f t="shared" si="0"/>
        <v>78</v>
      </c>
      <c r="J16" s="35">
        <f t="shared" si="1"/>
        <v>0</v>
      </c>
      <c r="K16" s="284">
        <f>Tabela14[[#This Row],[Ligações Realizadas]]/Tabela14[[#This Row],[Total de Ligações]]</f>
        <v>0</v>
      </c>
      <c r="V16" s="303" t="s">
        <v>104</v>
      </c>
      <c r="W16" s="304" t="s">
        <v>82</v>
      </c>
      <c r="X1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33</v>
      </c>
      <c r="Y1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269</v>
      </c>
      <c r="Z1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7" spans="1:27" customFormat="1" x14ac:dyDescent="0.25">
      <c r="A17" s="230" t="s">
        <v>1593</v>
      </c>
      <c r="B17" s="224" t="s">
        <v>402</v>
      </c>
      <c r="C17" s="225">
        <f>ROUND((SUMIF('Diagramas Ligações'!$K:$K,Painéis!$A17,'Diagramas Ligações'!$N:$N)/2)+(SUMIF('Diagramas Ligações'!$L:$L,Painéis!$A17,'Diagramas Ligações'!$N:$N)/2),0)</f>
        <v>76</v>
      </c>
      <c r="D17" s="225">
        <f>(SUMIF('Diagramas Ligações'!$K:$K,Painéis!$A17,'Diagramas Ligações'!$T:$T))+(SUMIF('Diagramas Ligações'!$L:$L,Painéis!$A17,'Diagramas Ligações'!$U:$U))</f>
        <v>76</v>
      </c>
      <c r="E17" s="263" t="s">
        <v>1722</v>
      </c>
      <c r="F17" s="41" t="s">
        <v>2086</v>
      </c>
      <c r="H17" s="50" t="s">
        <v>235</v>
      </c>
      <c r="I17" s="35">
        <f t="shared" si="0"/>
        <v>87</v>
      </c>
      <c r="J17" s="35">
        <f t="shared" si="1"/>
        <v>3</v>
      </c>
      <c r="K17" s="284">
        <f>Tabela14[[#This Row],[Ligações Realizadas]]/Tabela14[[#This Row],[Total de Ligações]]</f>
        <v>3.4482758620689655E-2</v>
      </c>
      <c r="V17" s="303" t="s">
        <v>1593</v>
      </c>
      <c r="W17" s="304" t="s">
        <v>402</v>
      </c>
      <c r="X1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24</v>
      </c>
      <c r="Z1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8" spans="1:27" customFormat="1" x14ac:dyDescent="0.25">
      <c r="A18" s="230" t="s">
        <v>1571</v>
      </c>
      <c r="B18" s="224" t="s">
        <v>1173</v>
      </c>
      <c r="C18" s="225">
        <f>ROUND((SUMIF('Diagramas Ligações'!$K:$K,Painéis!$A18,'Diagramas Ligações'!$N:$N)/2)+(SUMIF('Diagramas Ligações'!$L:$L,Painéis!$A18,'Diagramas Ligações'!$N:$N)/2),0)</f>
        <v>74</v>
      </c>
      <c r="D18" s="225">
        <f>(SUMIF('Diagramas Ligações'!$K:$K,Painéis!$A18,'Diagramas Ligações'!$T:$T))+(SUMIF('Diagramas Ligações'!$L:$L,Painéis!$A18,'Diagramas Ligações'!$U:$U))</f>
        <v>0</v>
      </c>
      <c r="E18" s="263" t="s">
        <v>2082</v>
      </c>
      <c r="F18" s="41"/>
      <c r="H18" s="50" t="s">
        <v>1173</v>
      </c>
      <c r="I18" s="35">
        <f t="shared" si="0"/>
        <v>74</v>
      </c>
      <c r="J18" s="35">
        <f t="shared" si="1"/>
        <v>0</v>
      </c>
      <c r="K18" s="284">
        <f>Tabela14[[#This Row],[Ligações Realizadas]]/Tabela14[[#This Row],[Total de Ligações]]</f>
        <v>0</v>
      </c>
      <c r="V18" s="303" t="s">
        <v>1571</v>
      </c>
      <c r="W18" s="304" t="s">
        <v>1173</v>
      </c>
      <c r="X1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60</v>
      </c>
      <c r="Z1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4</v>
      </c>
      <c r="AA1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9" spans="1:27" customFormat="1" x14ac:dyDescent="0.25">
      <c r="A19" s="230" t="s">
        <v>730</v>
      </c>
      <c r="B19" s="224" t="s">
        <v>703</v>
      </c>
      <c r="C19" s="225">
        <f>ROUND((SUMIF('Diagramas Ligações'!$K:$K,Painéis!$A19,'Diagramas Ligações'!$N:$N)/2)+(SUMIF('Diagramas Ligações'!$L:$L,Painéis!$A19,'Diagramas Ligações'!$N:$N)/2),0)</f>
        <v>70</v>
      </c>
      <c r="D19" s="225">
        <f>(SUMIF('Diagramas Ligações'!$K:$K,Painéis!$A19,'Diagramas Ligações'!$T:$T))+(SUMIF('Diagramas Ligações'!$L:$L,Painéis!$A19,'Diagramas Ligações'!$U:$U))</f>
        <v>0</v>
      </c>
      <c r="E19" s="263" t="s">
        <v>1722</v>
      </c>
      <c r="F19" s="41" t="s">
        <v>2083</v>
      </c>
      <c r="H19" s="50" t="s">
        <v>1014</v>
      </c>
      <c r="I19" s="35">
        <f t="shared" si="0"/>
        <v>62</v>
      </c>
      <c r="J19" s="35">
        <f t="shared" si="1"/>
        <v>0</v>
      </c>
      <c r="K19" s="284">
        <f>Tabela14[[#This Row],[Ligações Realizadas]]/Tabela14[[#This Row],[Total de Ligações]]</f>
        <v>0</v>
      </c>
      <c r="V19" s="303" t="s">
        <v>730</v>
      </c>
      <c r="W19" s="304" t="s">
        <v>703</v>
      </c>
      <c r="X1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0" spans="1:27" customFormat="1" x14ac:dyDescent="0.25">
      <c r="A20" s="230" t="s">
        <v>679</v>
      </c>
      <c r="B20" s="224" t="s">
        <v>1054</v>
      </c>
      <c r="C20" s="225">
        <f>ROUND((SUMIF('Diagramas Ligações'!$K:$K,Painéis!$A20,'Diagramas Ligações'!$N:$N)/2)+(SUMIF('Diagramas Ligações'!$L:$L,Painéis!$A20,'Diagramas Ligações'!$N:$N)/2),0)</f>
        <v>68</v>
      </c>
      <c r="D20" s="225">
        <f>(SUMIF('Diagramas Ligações'!$K:$K,Painéis!$A20,'Diagramas Ligações'!$T:$T))+(SUMIF('Diagramas Ligações'!$L:$L,Painéis!$A20,'Diagramas Ligações'!$U:$U))</f>
        <v>0</v>
      </c>
      <c r="E20" s="263" t="s">
        <v>2082</v>
      </c>
      <c r="F20" s="41"/>
      <c r="H20" s="50" t="s">
        <v>1417</v>
      </c>
      <c r="I20" s="35">
        <f t="shared" si="0"/>
        <v>55</v>
      </c>
      <c r="J20" s="35">
        <f t="shared" si="1"/>
        <v>4</v>
      </c>
      <c r="K20" s="284">
        <f>Tabela14[[#This Row],[Ligações Realizadas]]/Tabela14[[#This Row],[Total de Ligações]]</f>
        <v>7.2727272727272724E-2</v>
      </c>
      <c r="V20" s="303" t="s">
        <v>679</v>
      </c>
      <c r="W20" s="304" t="s">
        <v>1054</v>
      </c>
      <c r="X2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2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68</v>
      </c>
      <c r="Z2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1" spans="1:27" customFormat="1" x14ac:dyDescent="0.25">
      <c r="A21" s="230" t="s">
        <v>1589</v>
      </c>
      <c r="B21" s="224" t="s">
        <v>402</v>
      </c>
      <c r="C21" s="225">
        <f>ROUND((SUMIF('Diagramas Ligações'!$K:$K,Painéis!$A21,'Diagramas Ligações'!$N:$N)/2)+(SUMIF('Diagramas Ligações'!$L:$L,Painéis!$A21,'Diagramas Ligações'!$N:$N)/2),0)</f>
        <v>73</v>
      </c>
      <c r="D21" s="225">
        <f>(SUMIF('Diagramas Ligações'!$K:$K,Painéis!$A21,'Diagramas Ligações'!$T:$T))+(SUMIF('Diagramas Ligações'!$L:$L,Painéis!$A21,'Diagramas Ligações'!$U:$U))</f>
        <v>27</v>
      </c>
      <c r="E21" s="263" t="s">
        <v>1722</v>
      </c>
      <c r="F21" s="41" t="s">
        <v>2086</v>
      </c>
      <c r="H21" s="50" t="s">
        <v>264</v>
      </c>
      <c r="I21" s="35">
        <f t="shared" si="0"/>
        <v>35</v>
      </c>
      <c r="J21" s="35">
        <f t="shared" si="1"/>
        <v>0</v>
      </c>
      <c r="K21" s="284">
        <f>Tabela14[[#This Row],[Ligações Realizadas]]/Tabela14[[#This Row],[Total de Ligações]]</f>
        <v>0</v>
      </c>
      <c r="V21" s="303" t="s">
        <v>1589</v>
      </c>
      <c r="W21" s="304" t="s">
        <v>402</v>
      </c>
      <c r="X2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48</v>
      </c>
      <c r="Y2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2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2" spans="1:27" customFormat="1" x14ac:dyDescent="0.25">
      <c r="A22" s="230" t="s">
        <v>1658</v>
      </c>
      <c r="B22" s="224" t="s">
        <v>1199</v>
      </c>
      <c r="C22" s="225">
        <f>ROUND((SUMIF('Diagramas Ligações'!$K:$K,Painéis!$A22,'Diagramas Ligações'!$N:$N)/2)+(SUMIF('Diagramas Ligações'!$L:$L,Painéis!$A22,'Diagramas Ligações'!$N:$N)/2),0)</f>
        <v>54</v>
      </c>
      <c r="D22" s="225">
        <f>(SUMIF('Diagramas Ligações'!$K:$K,Painéis!$A22,'Diagramas Ligações'!$T:$T))+(SUMIF('Diagramas Ligações'!$L:$L,Painéis!$A22,'Diagramas Ligações'!$U:$U))</f>
        <v>0</v>
      </c>
      <c r="E22" s="263" t="s">
        <v>2082</v>
      </c>
      <c r="F22" s="41"/>
      <c r="H22" s="50" t="s">
        <v>1630</v>
      </c>
      <c r="I22" s="35">
        <f t="shared" si="0"/>
        <v>18</v>
      </c>
      <c r="J22" s="35">
        <f t="shared" si="1"/>
        <v>0</v>
      </c>
      <c r="K22" s="284">
        <f>Tabela14[[#This Row],[Ligações Realizadas]]/Tabela14[[#This Row],[Total de Ligações]]</f>
        <v>0</v>
      </c>
      <c r="V22" s="303" t="s">
        <v>1658</v>
      </c>
      <c r="W22" s="304" t="s">
        <v>1199</v>
      </c>
      <c r="X2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2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54</v>
      </c>
      <c r="Z2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3" spans="1:27" customFormat="1" x14ac:dyDescent="0.25">
      <c r="A23" s="230" t="s">
        <v>1575</v>
      </c>
      <c r="B23" s="224" t="s">
        <v>1014</v>
      </c>
      <c r="C23" s="225">
        <f>ROUND((SUMIF('Diagramas Ligações'!$K:$K,Painéis!$A23,'Diagramas Ligações'!$N:$N)/2)+(SUMIF('Diagramas Ligações'!$L:$L,Painéis!$A23,'Diagramas Ligações'!$N:$N)/2),0)</f>
        <v>50</v>
      </c>
      <c r="D23" s="225">
        <f>(SUMIF('Diagramas Ligações'!$K:$K,Painéis!$A23,'Diagramas Ligações'!$T:$T))+(SUMIF('Diagramas Ligações'!$L:$L,Painéis!$A23,'Diagramas Ligações'!$U:$U))</f>
        <v>0</v>
      </c>
      <c r="E23" s="263" t="s">
        <v>2082</v>
      </c>
      <c r="F23" s="41"/>
      <c r="H23" s="50" t="s">
        <v>1032</v>
      </c>
      <c r="I23" s="35">
        <f t="shared" si="0"/>
        <v>14</v>
      </c>
      <c r="J23" s="35">
        <f t="shared" si="1"/>
        <v>0</v>
      </c>
      <c r="K23" s="284">
        <f>Tabela14[[#This Row],[Ligações Realizadas]]/Tabela14[[#This Row],[Total de Ligações]]</f>
        <v>0</v>
      </c>
      <c r="V23" s="303" t="s">
        <v>1575</v>
      </c>
      <c r="W23" s="304" t="s">
        <v>1014</v>
      </c>
      <c r="X2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2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50</v>
      </c>
      <c r="Z2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4" spans="1:27" customFormat="1" x14ac:dyDescent="0.25">
      <c r="A24" s="230" t="s">
        <v>1655</v>
      </c>
      <c r="B24" s="224" t="s">
        <v>1199</v>
      </c>
      <c r="C24" s="225">
        <f>ROUND((SUMIF('Diagramas Ligações'!$K:$K,Painéis!$A24,'Diagramas Ligações'!$N:$N)/2)+(SUMIF('Diagramas Ligações'!$L:$L,Painéis!$A24,'Diagramas Ligações'!$N:$N)/2),0)</f>
        <v>48</v>
      </c>
      <c r="D24" s="225">
        <f>(SUMIF('Diagramas Ligações'!$K:$K,Painéis!$A24,'Diagramas Ligações'!$T:$T))+(SUMIF('Diagramas Ligações'!$L:$L,Painéis!$A24,'Diagramas Ligações'!$U:$U))</f>
        <v>0</v>
      </c>
      <c r="E24" s="263" t="s">
        <v>2082</v>
      </c>
      <c r="F24" s="41"/>
      <c r="H24" s="56" t="s">
        <v>129</v>
      </c>
      <c r="I24" s="281">
        <f t="shared" si="0"/>
        <v>9</v>
      </c>
      <c r="J24" s="281">
        <f t="shared" si="1"/>
        <v>0</v>
      </c>
      <c r="K24" s="288">
        <f>Tabela14[[#This Row],[Ligações Realizadas]]/Tabela14[[#This Row],[Total de Ligações]]</f>
        <v>0</v>
      </c>
      <c r="V24" s="303" t="s">
        <v>1655</v>
      </c>
      <c r="W24" s="304" t="s">
        <v>1199</v>
      </c>
      <c r="X2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2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48</v>
      </c>
      <c r="Z2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5" spans="1:27" customFormat="1" x14ac:dyDescent="0.25">
      <c r="A25" s="230" t="s">
        <v>1567</v>
      </c>
      <c r="B25" s="224" t="s">
        <v>402</v>
      </c>
      <c r="C25" s="225">
        <f>ROUND((SUMIF('Diagramas Ligações'!$K:$K,Painéis!$A25,'Diagramas Ligações'!$N:$N)/2)+(SUMIF('Diagramas Ligações'!$L:$L,Painéis!$A25,'Diagramas Ligações'!$N:$N)/2),0)</f>
        <v>46</v>
      </c>
      <c r="D25" s="225">
        <f>(SUMIF('Diagramas Ligações'!$K:$K,Painéis!$A25,'Diagramas Ligações'!$T:$T))+(SUMIF('Diagramas Ligações'!$L:$L,Painéis!$A25,'Diagramas Ligações'!$U:$U))</f>
        <v>8</v>
      </c>
      <c r="E25" s="263" t="s">
        <v>1722</v>
      </c>
      <c r="F25" s="41" t="s">
        <v>2086</v>
      </c>
      <c r="H25" s="46"/>
      <c r="I25" s="46"/>
      <c r="J25" s="46"/>
      <c r="V25" s="303" t="s">
        <v>1567</v>
      </c>
      <c r="W25" s="304" t="s">
        <v>402</v>
      </c>
      <c r="X2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</v>
      </c>
      <c r="Y2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2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8</v>
      </c>
      <c r="AA2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6" spans="1:27" customFormat="1" x14ac:dyDescent="0.25">
      <c r="A26" s="230" t="s">
        <v>1538</v>
      </c>
      <c r="B26" s="224" t="s">
        <v>201</v>
      </c>
      <c r="C26" s="225">
        <f>ROUND((SUMIF('Diagramas Ligações'!$K:$K,Painéis!$A26,'Diagramas Ligações'!$N:$N)/2)+(SUMIF('Diagramas Ligações'!$L:$L,Painéis!$A26,'Diagramas Ligações'!$N:$N)/2),0)</f>
        <v>60</v>
      </c>
      <c r="D26" s="225">
        <f>(SUMIF('Diagramas Ligações'!$K:$K,Painéis!$A26,'Diagramas Ligações'!$T:$T))+(SUMIF('Diagramas Ligações'!$L:$L,Painéis!$A26,'Diagramas Ligações'!$U:$U))</f>
        <v>0</v>
      </c>
      <c r="E26" s="263" t="s">
        <v>2082</v>
      </c>
      <c r="F26" s="41"/>
      <c r="H26" s="560" t="s">
        <v>2091</v>
      </c>
      <c r="I26" s="560"/>
      <c r="J26" s="560"/>
      <c r="K26" s="560"/>
      <c r="V26" s="303" t="s">
        <v>1538</v>
      </c>
      <c r="W26" s="304" t="s">
        <v>201</v>
      </c>
      <c r="X2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16</v>
      </c>
      <c r="Y2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18</v>
      </c>
      <c r="Z2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7" spans="1:27" customFormat="1" x14ac:dyDescent="0.25">
      <c r="A27" s="230" t="s">
        <v>1145</v>
      </c>
      <c r="B27" s="224" t="s">
        <v>787</v>
      </c>
      <c r="C27" s="225">
        <f>ROUND((SUMIF('Diagramas Ligações'!$K:$K,Painéis!$A27,'Diagramas Ligações'!$N:$N)/2)+(SUMIF('Diagramas Ligações'!$L:$L,Painéis!$A27,'Diagramas Ligações'!$N:$N)/2),0)</f>
        <v>42</v>
      </c>
      <c r="D27" s="225">
        <f>(SUMIF('Diagramas Ligações'!$K:$K,Painéis!$A27,'Diagramas Ligações'!$T:$T))+(SUMIF('Diagramas Ligações'!$L:$L,Painéis!$A27,'Diagramas Ligações'!$U:$U))</f>
        <v>0</v>
      </c>
      <c r="E27" s="263" t="s">
        <v>1722</v>
      </c>
      <c r="F27" s="41" t="s">
        <v>2083</v>
      </c>
      <c r="H27" s="560"/>
      <c r="I27" s="560"/>
      <c r="J27" s="560"/>
      <c r="K27" s="560"/>
      <c r="V27" s="303" t="s">
        <v>1145</v>
      </c>
      <c r="W27" s="304" t="s">
        <v>787</v>
      </c>
      <c r="X2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2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2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8" spans="1:27" customFormat="1" x14ac:dyDescent="0.25">
      <c r="A28" s="230" t="s">
        <v>1553</v>
      </c>
      <c r="B28" s="224" t="s">
        <v>402</v>
      </c>
      <c r="C28" s="225">
        <f>ROUND((SUMIF('Diagramas Ligações'!$K:$K,Painéis!$A28,'Diagramas Ligações'!$N:$N)/2)+(SUMIF('Diagramas Ligações'!$L:$L,Painéis!$A28,'Diagramas Ligações'!$N:$N)/2),0)</f>
        <v>37</v>
      </c>
      <c r="D28" s="225">
        <f>(SUMIF('Diagramas Ligações'!$K:$K,Painéis!$A28,'Diagramas Ligações'!$T:$T))+(SUMIF('Diagramas Ligações'!$L:$L,Painéis!$A28,'Diagramas Ligações'!$U:$U))</f>
        <v>23</v>
      </c>
      <c r="E28" s="263" t="s">
        <v>1722</v>
      </c>
      <c r="F28" s="41" t="s">
        <v>2086</v>
      </c>
      <c r="H28" s="560"/>
      <c r="I28" s="560"/>
      <c r="J28" s="560"/>
      <c r="K28" s="560"/>
      <c r="V28" s="303" t="s">
        <v>1553</v>
      </c>
      <c r="W28" s="304" t="s">
        <v>402</v>
      </c>
      <c r="X2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27</v>
      </c>
      <c r="Y2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2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29" spans="1:27" customFormat="1" x14ac:dyDescent="0.25">
      <c r="A29" s="230" t="s">
        <v>1557</v>
      </c>
      <c r="B29" s="224" t="s">
        <v>402</v>
      </c>
      <c r="C29" s="225">
        <f>ROUND((SUMIF('Diagramas Ligações'!$K:$K,Painéis!$A29,'Diagramas Ligações'!$N:$N)/2)+(SUMIF('Diagramas Ligações'!$L:$L,Painéis!$A29,'Diagramas Ligações'!$N:$N)/2),0)</f>
        <v>37</v>
      </c>
      <c r="D29" s="225">
        <f>(SUMIF('Diagramas Ligações'!$K:$K,Painéis!$A29,'Diagramas Ligações'!$T:$T))+(SUMIF('Diagramas Ligações'!$L:$L,Painéis!$A29,'Diagramas Ligações'!$U:$U))</f>
        <v>35</v>
      </c>
      <c r="E29" s="263" t="s">
        <v>1722</v>
      </c>
      <c r="F29" s="41" t="s">
        <v>2086</v>
      </c>
      <c r="H29" s="276"/>
      <c r="I29" s="277"/>
      <c r="J29" s="277"/>
      <c r="K29" s="79"/>
      <c r="V29" s="303" t="s">
        <v>1557</v>
      </c>
      <c r="W29" s="304" t="s">
        <v>402</v>
      </c>
      <c r="X2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27</v>
      </c>
      <c r="Y2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2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2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0" spans="1:27" customFormat="1" x14ac:dyDescent="0.25">
      <c r="A30" s="230" t="s">
        <v>733</v>
      </c>
      <c r="B30" s="224" t="s">
        <v>733</v>
      </c>
      <c r="C30" s="225">
        <f>ROUND((SUMIF('Diagramas Ligações'!$K:$K,Painéis!$A30,'Diagramas Ligações'!$N:$N)/2)+(SUMIF('Diagramas Ligações'!$L:$L,Painéis!$A30,'Diagramas Ligações'!$N:$N)/2),0)</f>
        <v>37</v>
      </c>
      <c r="D30" s="225">
        <f>(SUMIF('Diagramas Ligações'!$K:$K,Painéis!$A30,'Diagramas Ligações'!$T:$T))+(SUMIF('Diagramas Ligações'!$L:$L,Painéis!$A30,'Diagramas Ligações'!$U:$U))</f>
        <v>0</v>
      </c>
      <c r="E30" s="263" t="s">
        <v>1722</v>
      </c>
      <c r="F30" s="41" t="s">
        <v>2083</v>
      </c>
      <c r="H30" s="276"/>
      <c r="I30" s="277"/>
      <c r="J30" s="277"/>
      <c r="K30" s="79"/>
      <c r="V30" s="303" t="s">
        <v>733</v>
      </c>
      <c r="W30" s="304" t="s">
        <v>733</v>
      </c>
      <c r="X3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37</v>
      </c>
      <c r="Y3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1" spans="1:27" customFormat="1" x14ac:dyDescent="0.25">
      <c r="A31" s="230" t="s">
        <v>1109</v>
      </c>
      <c r="B31" s="224" t="s">
        <v>1054</v>
      </c>
      <c r="C31" s="225">
        <f>ROUND((SUMIF('Diagramas Ligações'!$K:$K,Painéis!$A31,'Diagramas Ligações'!$N:$N)/2)+(SUMIF('Diagramas Ligações'!$L:$L,Painéis!$A31,'Diagramas Ligações'!$N:$N)/2),0)</f>
        <v>26</v>
      </c>
      <c r="D31" s="225">
        <f>(SUMIF('Diagramas Ligações'!$K:$K,Painéis!$A31,'Diagramas Ligações'!$T:$T))+(SUMIF('Diagramas Ligações'!$L:$L,Painéis!$A31,'Diagramas Ligações'!$U:$U))</f>
        <v>0</v>
      </c>
      <c r="E31" s="263" t="s">
        <v>2082</v>
      </c>
      <c r="F31" s="41"/>
      <c r="H31" s="276"/>
      <c r="I31" s="277"/>
      <c r="J31" s="277"/>
      <c r="K31" s="79"/>
      <c r="V31" s="303" t="s">
        <v>1109</v>
      </c>
      <c r="W31" s="304" t="s">
        <v>1054</v>
      </c>
      <c r="X3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6</v>
      </c>
      <c r="Y3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2" spans="1:27" customFormat="1" x14ac:dyDescent="0.25">
      <c r="A32" s="230" t="s">
        <v>1566</v>
      </c>
      <c r="B32" s="224" t="s">
        <v>804</v>
      </c>
      <c r="C32" s="225">
        <f>ROUND((SUMIF('Diagramas Ligações'!$K:$K,Painéis!$A32,'Diagramas Ligações'!$N:$N)/2)+(SUMIF('Diagramas Ligações'!$L:$L,Painéis!$A32,'Diagramas Ligações'!$N:$N)/2),0)</f>
        <v>36</v>
      </c>
      <c r="D32" s="225">
        <f>(SUMIF('Diagramas Ligações'!$K:$K,Painéis!$A32,'Diagramas Ligações'!$T:$T))+(SUMIF('Diagramas Ligações'!$L:$L,Painéis!$A32,'Diagramas Ligações'!$U:$U))</f>
        <v>8</v>
      </c>
      <c r="E32" s="263" t="s">
        <v>1722</v>
      </c>
      <c r="F32" s="41" t="s">
        <v>2086</v>
      </c>
      <c r="H32" s="46"/>
      <c r="I32" s="46"/>
      <c r="J32" s="46"/>
      <c r="V32" s="303" t="s">
        <v>1566</v>
      </c>
      <c r="W32" s="304" t="s">
        <v>804</v>
      </c>
      <c r="X3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</v>
      </c>
      <c r="Y3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3" spans="1:27" customFormat="1" x14ac:dyDescent="0.25">
      <c r="A33" s="230" t="s">
        <v>235</v>
      </c>
      <c r="B33" s="224" t="s">
        <v>235</v>
      </c>
      <c r="C33" s="225">
        <f>ROUND((SUMIF('Diagramas Ligações'!$K:$K,Painéis!$A33,'Diagramas Ligações'!$N:$N)/2)+(SUMIF('Diagramas Ligações'!$L:$L,Painéis!$A33,'Diagramas Ligações'!$N:$N)/2),0)</f>
        <v>44</v>
      </c>
      <c r="D33" s="225">
        <f>(SUMIF('Diagramas Ligações'!$K:$K,Painéis!$A33,'Diagramas Ligações'!$T:$T))+(SUMIF('Diagramas Ligações'!$L:$L,Painéis!$A33,'Diagramas Ligações'!$U:$U))</f>
        <v>3</v>
      </c>
      <c r="E33" s="263" t="s">
        <v>1722</v>
      </c>
      <c r="F33" s="41" t="s">
        <v>2086</v>
      </c>
      <c r="H33" s="46"/>
      <c r="I33" s="46"/>
      <c r="J33" s="46"/>
      <c r="V33" s="303" t="s">
        <v>235</v>
      </c>
      <c r="W33" s="304" t="s">
        <v>235</v>
      </c>
      <c r="X3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13</v>
      </c>
      <c r="Y3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28</v>
      </c>
      <c r="Z3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4" spans="1:27" customFormat="1" x14ac:dyDescent="0.25">
      <c r="A34" s="230" t="s">
        <v>1151</v>
      </c>
      <c r="B34" s="224" t="s">
        <v>787</v>
      </c>
      <c r="C34" s="225">
        <f>ROUND((SUMIF('Diagramas Ligações'!$K:$K,Painéis!$A34,'Diagramas Ligações'!$N:$N)/2)+(SUMIF('Diagramas Ligações'!$L:$L,Painéis!$A34,'Diagramas Ligações'!$N:$N)/2),0)</f>
        <v>36</v>
      </c>
      <c r="D34" s="225">
        <f>(SUMIF('Diagramas Ligações'!$K:$K,Painéis!$A34,'Diagramas Ligações'!$T:$T))+(SUMIF('Diagramas Ligações'!$L:$L,Painéis!$A34,'Diagramas Ligações'!$U:$U))</f>
        <v>0</v>
      </c>
      <c r="E34" s="263" t="s">
        <v>1722</v>
      </c>
      <c r="F34" s="41" t="s">
        <v>2083</v>
      </c>
      <c r="H34" s="46"/>
      <c r="I34" s="46"/>
      <c r="J34" s="46"/>
      <c r="V34" s="303" t="s">
        <v>1151</v>
      </c>
      <c r="W34" s="304" t="s">
        <v>787</v>
      </c>
      <c r="X3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3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5" spans="1:27" customFormat="1" x14ac:dyDescent="0.25">
      <c r="A35" s="230" t="s">
        <v>1642</v>
      </c>
      <c r="B35" s="224" t="s">
        <v>733</v>
      </c>
      <c r="C35" s="225">
        <f>ROUND((SUMIF('Diagramas Ligações'!$K:$K,Painéis!$A35,'Diagramas Ligações'!$N:$N)/2)+(SUMIF('Diagramas Ligações'!$L:$L,Painéis!$A35,'Diagramas Ligações'!$N:$N)/2),0)</f>
        <v>32</v>
      </c>
      <c r="D35" s="225">
        <f>(SUMIF('Diagramas Ligações'!$K:$K,Painéis!$A35,'Diagramas Ligações'!$T:$T))+(SUMIF('Diagramas Ligações'!$L:$L,Painéis!$A35,'Diagramas Ligações'!$U:$U))</f>
        <v>0</v>
      </c>
      <c r="E35" s="263" t="s">
        <v>1722</v>
      </c>
      <c r="F35" s="41" t="s">
        <v>2083</v>
      </c>
      <c r="H35" s="46"/>
      <c r="I35" s="46"/>
      <c r="J35" s="46"/>
      <c r="V35" s="303" t="s">
        <v>1642</v>
      </c>
      <c r="W35" s="304" t="s">
        <v>733</v>
      </c>
      <c r="X3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3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6" spans="1:27" customFormat="1" x14ac:dyDescent="0.25">
      <c r="A36" s="230" t="s">
        <v>1644</v>
      </c>
      <c r="B36" s="224" t="s">
        <v>402</v>
      </c>
      <c r="C36" s="225">
        <f>ROUND((SUMIF('Diagramas Ligações'!$K:$K,Painéis!$A36,'Diagramas Ligações'!$N:$N)/2)+(SUMIF('Diagramas Ligações'!$L:$L,Painéis!$A36,'Diagramas Ligações'!$N:$N)/2),0)</f>
        <v>32</v>
      </c>
      <c r="D36" s="225">
        <f>(SUMIF('Diagramas Ligações'!$K:$K,Painéis!$A36,'Diagramas Ligações'!$T:$T))+(SUMIF('Diagramas Ligações'!$L:$L,Painéis!$A36,'Diagramas Ligações'!$U:$U))</f>
        <v>0</v>
      </c>
      <c r="E36" s="263" t="s">
        <v>1722</v>
      </c>
      <c r="F36" s="41" t="s">
        <v>2086</v>
      </c>
      <c r="H36" s="46"/>
      <c r="I36" s="46"/>
      <c r="J36" s="46"/>
      <c r="V36" s="303" t="s">
        <v>1644</v>
      </c>
      <c r="W36" s="304" t="s">
        <v>402</v>
      </c>
      <c r="X3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3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32</v>
      </c>
      <c r="Z3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7" spans="1:27" customFormat="1" x14ac:dyDescent="0.25">
      <c r="A37" s="230" t="s">
        <v>1559</v>
      </c>
      <c r="B37" s="224" t="s">
        <v>402</v>
      </c>
      <c r="C37" s="225">
        <f>ROUND((SUMIF('Diagramas Ligações'!$K:$K,Painéis!$A37,'Diagramas Ligações'!$N:$N)/2)+(SUMIF('Diagramas Ligações'!$L:$L,Painéis!$A37,'Diagramas Ligações'!$N:$N)/2),0)</f>
        <v>39</v>
      </c>
      <c r="D37" s="225">
        <f>(SUMIF('Diagramas Ligações'!$K:$K,Painéis!$A37,'Diagramas Ligações'!$T:$T))+(SUMIF('Diagramas Ligações'!$L:$L,Painéis!$A37,'Diagramas Ligações'!$U:$U))</f>
        <v>28</v>
      </c>
      <c r="E37" s="263" t="s">
        <v>1722</v>
      </c>
      <c r="F37" s="41" t="s">
        <v>2086</v>
      </c>
      <c r="H37" s="46"/>
      <c r="I37" s="46"/>
      <c r="J37" s="46"/>
      <c r="V37" s="303" t="s">
        <v>1559</v>
      </c>
      <c r="W37" s="304" t="s">
        <v>402</v>
      </c>
      <c r="X3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33</v>
      </c>
      <c r="Y3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8" spans="1:27" customFormat="1" x14ac:dyDescent="0.25">
      <c r="A38" s="230" t="s">
        <v>1127</v>
      </c>
      <c r="B38" s="224" t="s">
        <v>762</v>
      </c>
      <c r="C38" s="225">
        <f>ROUND((SUMIF('Diagramas Ligações'!$K:$K,Painéis!$A38,'Diagramas Ligações'!$N:$N)/2)+(SUMIF('Diagramas Ligações'!$L:$L,Painéis!$A38,'Diagramas Ligações'!$N:$N)/2),0)</f>
        <v>30</v>
      </c>
      <c r="D38" s="225">
        <f>(SUMIF('Diagramas Ligações'!$K:$K,Painéis!$A38,'Diagramas Ligações'!$T:$T))+(SUMIF('Diagramas Ligações'!$L:$L,Painéis!$A38,'Diagramas Ligações'!$U:$U))</f>
        <v>0</v>
      </c>
      <c r="E38" s="263" t="s">
        <v>1722</v>
      </c>
      <c r="F38" s="41" t="s">
        <v>2083</v>
      </c>
      <c r="H38" s="46"/>
      <c r="I38" s="46"/>
      <c r="J38" s="46"/>
      <c r="V38" s="303" t="s">
        <v>1127</v>
      </c>
      <c r="W38" s="304" t="s">
        <v>762</v>
      </c>
      <c r="X3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3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3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39" spans="1:27" customFormat="1" x14ac:dyDescent="0.25">
      <c r="A39" s="230" t="s">
        <v>1539</v>
      </c>
      <c r="B39" s="224" t="s">
        <v>282</v>
      </c>
      <c r="C39" s="225">
        <f>ROUND((SUMIF('Diagramas Ligações'!$K:$K,Painéis!$A39,'Diagramas Ligações'!$N:$N)/2)+(SUMIF('Diagramas Ligações'!$L:$L,Painéis!$A39,'Diagramas Ligações'!$N:$N)/2),0)</f>
        <v>38</v>
      </c>
      <c r="D39" s="225">
        <f>(SUMIF('Diagramas Ligações'!$K:$K,Painéis!$A39,'Diagramas Ligações'!$T:$T))+(SUMIF('Diagramas Ligações'!$L:$L,Painéis!$A39,'Diagramas Ligações'!$U:$U))</f>
        <v>0</v>
      </c>
      <c r="E39" s="263" t="s">
        <v>1722</v>
      </c>
      <c r="F39" s="41" t="s">
        <v>2083</v>
      </c>
      <c r="H39" s="46"/>
      <c r="I39" s="46"/>
      <c r="J39" s="46"/>
      <c r="V39" s="303" t="s">
        <v>1539</v>
      </c>
      <c r="W39" s="304" t="s">
        <v>282</v>
      </c>
      <c r="X3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10</v>
      </c>
      <c r="Y3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28</v>
      </c>
      <c r="Z3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3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0" spans="1:27" customFormat="1" x14ac:dyDescent="0.25">
      <c r="A40" s="230" t="s">
        <v>911</v>
      </c>
      <c r="B40" s="224" t="s">
        <v>82</v>
      </c>
      <c r="C40" s="225">
        <f>ROUND((SUMIF('Diagramas Ligações'!$K:$K,Painéis!$A40,'Diagramas Ligações'!$N:$N)/2)+(SUMIF('Diagramas Ligações'!$L:$L,Painéis!$A40,'Diagramas Ligações'!$N:$N)/2),0)</f>
        <v>32</v>
      </c>
      <c r="D40" s="225">
        <f>(SUMIF('Diagramas Ligações'!$K:$K,Painéis!$A40,'Diagramas Ligações'!$T:$T))+(SUMIF('Diagramas Ligações'!$L:$L,Painéis!$A40,'Diagramas Ligações'!$U:$U))</f>
        <v>15</v>
      </c>
      <c r="E40" s="263" t="s">
        <v>2082</v>
      </c>
      <c r="F40" s="41"/>
      <c r="H40" s="46"/>
      <c r="I40" s="46"/>
      <c r="J40" s="46"/>
      <c r="V40" s="303" t="s">
        <v>911</v>
      </c>
      <c r="W40" s="304" t="s">
        <v>82</v>
      </c>
      <c r="X4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16.5</v>
      </c>
      <c r="Y4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12</v>
      </c>
      <c r="Z4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1" spans="1:27" customFormat="1" x14ac:dyDescent="0.25">
      <c r="A41" s="230" t="s">
        <v>264</v>
      </c>
      <c r="B41" s="224" t="s">
        <v>264</v>
      </c>
      <c r="C41" s="225">
        <f>ROUND((SUMIF('Diagramas Ligações'!$K:$K,Painéis!$A41,'Diagramas Ligações'!$N:$N)/2)+(SUMIF('Diagramas Ligações'!$L:$L,Painéis!$A41,'Diagramas Ligações'!$N:$N)/2),0)</f>
        <v>35</v>
      </c>
      <c r="D41" s="225">
        <f>(SUMIF('Diagramas Ligações'!$K:$K,Painéis!$A41,'Diagramas Ligações'!$T:$T))+(SUMIF('Diagramas Ligações'!$L:$L,Painéis!$A41,'Diagramas Ligações'!$U:$U))</f>
        <v>0</v>
      </c>
      <c r="E41" s="263" t="s">
        <v>1722</v>
      </c>
      <c r="F41" s="41" t="s">
        <v>2083</v>
      </c>
      <c r="H41" s="46"/>
      <c r="I41" s="46"/>
      <c r="J41" s="46"/>
      <c r="V41" s="303" t="s">
        <v>264</v>
      </c>
      <c r="W41" s="304" t="s">
        <v>264</v>
      </c>
      <c r="X4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5</v>
      </c>
      <c r="Y4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30</v>
      </c>
      <c r="Z4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2" spans="1:27" customFormat="1" x14ac:dyDescent="0.25">
      <c r="A42" s="230" t="s">
        <v>1599</v>
      </c>
      <c r="B42" s="224" t="s">
        <v>804</v>
      </c>
      <c r="C42" s="225">
        <f>ROUND((SUMIF('Diagramas Ligações'!$K:$K,Painéis!$A42,'Diagramas Ligações'!$N:$N)/2)+(SUMIF('Diagramas Ligações'!$L:$L,Painéis!$A42,'Diagramas Ligações'!$N:$N)/2),0)</f>
        <v>29</v>
      </c>
      <c r="D42" s="225">
        <f>(SUMIF('Diagramas Ligações'!$K:$K,Painéis!$A42,'Diagramas Ligações'!$T:$T))+(SUMIF('Diagramas Ligações'!$L:$L,Painéis!$A42,'Diagramas Ligações'!$U:$U))</f>
        <v>0</v>
      </c>
      <c r="E42" s="263" t="s">
        <v>1722</v>
      </c>
      <c r="F42" s="41" t="s">
        <v>2086</v>
      </c>
      <c r="H42" s="46"/>
      <c r="I42" s="46"/>
      <c r="J42" s="46"/>
      <c r="V42" s="303" t="s">
        <v>1599</v>
      </c>
      <c r="W42" s="304" t="s">
        <v>804</v>
      </c>
      <c r="X4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4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29</v>
      </c>
      <c r="Z4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3" spans="1:27" customFormat="1" x14ac:dyDescent="0.25">
      <c r="A43" s="230" t="s">
        <v>1561</v>
      </c>
      <c r="B43" s="224" t="s">
        <v>2090</v>
      </c>
      <c r="C43" s="225">
        <f>ROUND((SUMIF('Diagramas Ligações'!$K:$K,Painéis!$A43,'Diagramas Ligações'!$N:$N)/2)+(SUMIF('Diagramas Ligações'!$L:$L,Painéis!$A43,'Diagramas Ligações'!$N:$N)/2),0)</f>
        <v>28</v>
      </c>
      <c r="D43" s="225">
        <f>(SUMIF('Diagramas Ligações'!$K:$K,Painéis!$A43,'Diagramas Ligações'!$T:$T))+(SUMIF('Diagramas Ligações'!$L:$L,Painéis!$A43,'Diagramas Ligações'!$U:$U))</f>
        <v>18</v>
      </c>
      <c r="E43" s="263" t="s">
        <v>1722</v>
      </c>
      <c r="F43" s="41" t="s">
        <v>2086</v>
      </c>
      <c r="H43" s="46"/>
      <c r="I43" s="46"/>
      <c r="J43" s="46"/>
      <c r="V43" s="303" t="s">
        <v>1561</v>
      </c>
      <c r="W43" s="304" t="s">
        <v>2090</v>
      </c>
      <c r="X4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18</v>
      </c>
      <c r="Y4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10</v>
      </c>
      <c r="Z4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4" spans="1:27" customFormat="1" x14ac:dyDescent="0.25">
      <c r="A44" s="230" t="s">
        <v>1626</v>
      </c>
      <c r="B44" s="224" t="s">
        <v>402</v>
      </c>
      <c r="C44" s="225">
        <f>ROUND((SUMIF('Diagramas Ligações'!$K:$K,Painéis!$A44,'Diagramas Ligações'!$N:$N)/2)+(SUMIF('Diagramas Ligações'!$L:$L,Painéis!$A44,'Diagramas Ligações'!$N:$N)/2),0)</f>
        <v>27</v>
      </c>
      <c r="D44" s="225">
        <f>(SUMIF('Diagramas Ligações'!$K:$K,Painéis!$A44,'Diagramas Ligações'!$T:$T))+(SUMIF('Diagramas Ligações'!$L:$L,Painéis!$A44,'Diagramas Ligações'!$U:$U))</f>
        <v>3</v>
      </c>
      <c r="E44" s="263" t="s">
        <v>1722</v>
      </c>
      <c r="F44" s="41" t="s">
        <v>2086</v>
      </c>
      <c r="H44" s="46"/>
      <c r="I44" s="46"/>
      <c r="J44" s="46"/>
      <c r="V44" s="303" t="s">
        <v>1626</v>
      </c>
      <c r="W44" s="304" t="s">
        <v>402</v>
      </c>
      <c r="X4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27</v>
      </c>
      <c r="Y4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4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5" spans="1:27" customFormat="1" x14ac:dyDescent="0.25">
      <c r="A45" s="230" t="s">
        <v>1554</v>
      </c>
      <c r="B45" s="224" t="s">
        <v>402</v>
      </c>
      <c r="C45" s="225">
        <f>ROUND((SUMIF('Diagramas Ligações'!$K:$K,Painéis!$A45,'Diagramas Ligações'!$N:$N)/2)+(SUMIF('Diagramas Ligações'!$L:$L,Painéis!$A45,'Diagramas Ligações'!$N:$N)/2),0)</f>
        <v>27</v>
      </c>
      <c r="D45" s="225">
        <f>(SUMIF('Diagramas Ligações'!$K:$K,Painéis!$A45,'Diagramas Ligações'!$T:$T))+(SUMIF('Diagramas Ligações'!$L:$L,Painéis!$A45,'Diagramas Ligações'!$U:$U))</f>
        <v>13</v>
      </c>
      <c r="E45" s="263" t="s">
        <v>1722</v>
      </c>
      <c r="F45" s="41" t="s">
        <v>2086</v>
      </c>
      <c r="H45" s="46"/>
      <c r="I45" s="46"/>
      <c r="J45" s="46"/>
      <c r="V45" s="303" t="s">
        <v>1554</v>
      </c>
      <c r="W45" s="304" t="s">
        <v>402</v>
      </c>
      <c r="X4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21</v>
      </c>
      <c r="Y4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4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6" spans="1:27" customFormat="1" x14ac:dyDescent="0.25">
      <c r="A46" s="230" t="s">
        <v>1558</v>
      </c>
      <c r="B46" s="224" t="s">
        <v>402</v>
      </c>
      <c r="C46" s="225">
        <f>ROUND((SUMIF('Diagramas Ligações'!$K:$K,Painéis!$A46,'Diagramas Ligações'!$N:$N)/2)+(SUMIF('Diagramas Ligações'!$L:$L,Painéis!$A46,'Diagramas Ligações'!$N:$N)/2),0)</f>
        <v>27</v>
      </c>
      <c r="D46" s="225">
        <f>(SUMIF('Diagramas Ligações'!$K:$K,Painéis!$A46,'Diagramas Ligações'!$T:$T))+(SUMIF('Diagramas Ligações'!$L:$L,Painéis!$A46,'Diagramas Ligações'!$U:$U))</f>
        <v>25</v>
      </c>
      <c r="E46" s="263" t="s">
        <v>1722</v>
      </c>
      <c r="F46" s="41" t="s">
        <v>2086</v>
      </c>
      <c r="H46" s="46"/>
      <c r="I46" s="46"/>
      <c r="J46" s="46"/>
      <c r="V46" s="303" t="s">
        <v>1558</v>
      </c>
      <c r="W46" s="304" t="s">
        <v>402</v>
      </c>
      <c r="X4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21</v>
      </c>
      <c r="Y4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4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7" spans="1:27" customFormat="1" x14ac:dyDescent="0.25">
      <c r="A47" s="230" t="s">
        <v>1121</v>
      </c>
      <c r="B47" s="224" t="s">
        <v>762</v>
      </c>
      <c r="C47" s="225">
        <f>ROUND((SUMIF('Diagramas Ligações'!$K:$K,Painéis!$A47,'Diagramas Ligações'!$N:$N)/2)+(SUMIF('Diagramas Ligações'!$L:$L,Painéis!$A47,'Diagramas Ligações'!$N:$N)/2),0)</f>
        <v>27</v>
      </c>
      <c r="D47" s="225">
        <f>(SUMIF('Diagramas Ligações'!$K:$K,Painéis!$A47,'Diagramas Ligações'!$T:$T))+(SUMIF('Diagramas Ligações'!$L:$L,Painéis!$A47,'Diagramas Ligações'!$U:$U))</f>
        <v>0</v>
      </c>
      <c r="E47" s="263" t="s">
        <v>1722</v>
      </c>
      <c r="F47" s="41" t="s">
        <v>2083</v>
      </c>
      <c r="H47" s="46"/>
      <c r="I47" s="46"/>
      <c r="J47" s="46"/>
      <c r="V47" s="303" t="s">
        <v>1121</v>
      </c>
      <c r="W47" s="304" t="s">
        <v>762</v>
      </c>
      <c r="X4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4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4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8" spans="1:27" customFormat="1" x14ac:dyDescent="0.25">
      <c r="A48" s="230" t="s">
        <v>762</v>
      </c>
      <c r="B48" s="224" t="s">
        <v>762</v>
      </c>
      <c r="C48" s="225">
        <f>ROUND((SUMIF('Diagramas Ligações'!$K:$K,Painéis!$A48,'Diagramas Ligações'!$N:$N)/2)+(SUMIF('Diagramas Ligações'!$L:$L,Painéis!$A48,'Diagramas Ligações'!$N:$N)/2),0)</f>
        <v>27</v>
      </c>
      <c r="D48" s="225">
        <f>(SUMIF('Diagramas Ligações'!$K:$K,Painéis!$A48,'Diagramas Ligações'!$T:$T))+(SUMIF('Diagramas Ligações'!$L:$L,Painéis!$A48,'Diagramas Ligações'!$U:$U))</f>
        <v>0</v>
      </c>
      <c r="E48" s="263" t="s">
        <v>1722</v>
      </c>
      <c r="F48" s="41" t="s">
        <v>2083</v>
      </c>
      <c r="H48" s="46"/>
      <c r="I48" s="46"/>
      <c r="J48" s="46"/>
      <c r="V48" s="303" t="s">
        <v>762</v>
      </c>
      <c r="W48" s="304" t="s">
        <v>762</v>
      </c>
      <c r="X4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27</v>
      </c>
      <c r="Y4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4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49" spans="1:27" customFormat="1" x14ac:dyDescent="0.25">
      <c r="A49" s="230" t="s">
        <v>1141</v>
      </c>
      <c r="B49" s="224" t="s">
        <v>787</v>
      </c>
      <c r="C49" s="225">
        <f>ROUND((SUMIF('Diagramas Ligações'!$K:$K,Painéis!$A49,'Diagramas Ligações'!$N:$N)/2)+(SUMIF('Diagramas Ligações'!$L:$L,Painéis!$A49,'Diagramas Ligações'!$N:$N)/2),0)</f>
        <v>26</v>
      </c>
      <c r="D49" s="225">
        <f>(SUMIF('Diagramas Ligações'!$K:$K,Painéis!$A49,'Diagramas Ligações'!$T:$T))+(SUMIF('Diagramas Ligações'!$L:$L,Painéis!$A49,'Diagramas Ligações'!$U:$U))</f>
        <v>0</v>
      </c>
      <c r="E49" s="263" t="s">
        <v>1722</v>
      </c>
      <c r="F49" s="41" t="s">
        <v>2083</v>
      </c>
      <c r="H49" s="46"/>
      <c r="I49" s="46"/>
      <c r="J49" s="46"/>
      <c r="V49" s="303" t="s">
        <v>1141</v>
      </c>
      <c r="W49" s="304" t="s">
        <v>787</v>
      </c>
      <c r="X4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4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4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4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0" spans="1:27" customFormat="1" x14ac:dyDescent="0.25">
      <c r="A50" s="230" t="s">
        <v>1162</v>
      </c>
      <c r="B50" s="224" t="s">
        <v>787</v>
      </c>
      <c r="C50" s="225">
        <f>ROUND((SUMIF('Diagramas Ligações'!$K:$K,Painéis!$A50,'Diagramas Ligações'!$N:$N)/2)+(SUMIF('Diagramas Ligações'!$L:$L,Painéis!$A50,'Diagramas Ligações'!$N:$N)/2),0)</f>
        <v>25</v>
      </c>
      <c r="D50" s="225">
        <f>(SUMIF('Diagramas Ligações'!$K:$K,Painéis!$A50,'Diagramas Ligações'!$T:$T))+(SUMIF('Diagramas Ligações'!$L:$L,Painéis!$A50,'Diagramas Ligações'!$U:$U))</f>
        <v>0</v>
      </c>
      <c r="E50" s="263" t="s">
        <v>1722</v>
      </c>
      <c r="F50" s="41" t="s">
        <v>2086</v>
      </c>
      <c r="H50" s="46"/>
      <c r="I50" s="46"/>
      <c r="J50" s="46"/>
      <c r="V50" s="303" t="s">
        <v>1162</v>
      </c>
      <c r="W50" s="304" t="s">
        <v>787</v>
      </c>
      <c r="X5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5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15</v>
      </c>
      <c r="Z5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1" spans="1:27" customFormat="1" x14ac:dyDescent="0.25">
      <c r="A51" s="230" t="s">
        <v>1233</v>
      </c>
      <c r="B51" s="224" t="s">
        <v>282</v>
      </c>
      <c r="C51" s="225">
        <f>ROUND((SUMIF('Diagramas Ligações'!$K:$K,Painéis!$A51,'Diagramas Ligações'!$N:$N)/2)+(SUMIF('Diagramas Ligações'!$L:$L,Painéis!$A51,'Diagramas Ligações'!$N:$N)/2),0)</f>
        <v>25</v>
      </c>
      <c r="D51" s="225">
        <f>(SUMIF('Diagramas Ligações'!$K:$K,Painéis!$A51,'Diagramas Ligações'!$T:$T))+(SUMIF('Diagramas Ligações'!$L:$L,Painéis!$A51,'Diagramas Ligações'!$U:$U))</f>
        <v>0</v>
      </c>
      <c r="E51" s="263" t="s">
        <v>1722</v>
      </c>
      <c r="F51" s="41" t="s">
        <v>2086</v>
      </c>
      <c r="H51" s="46"/>
      <c r="I51" s="46"/>
      <c r="J51" s="46"/>
      <c r="V51" s="303" t="s">
        <v>1233</v>
      </c>
      <c r="W51" s="304" t="s">
        <v>282</v>
      </c>
      <c r="X5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5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</v>
      </c>
      <c r="Z5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2" spans="1:27" customFormat="1" x14ac:dyDescent="0.25">
      <c r="A52" s="230" t="s">
        <v>1563</v>
      </c>
      <c r="B52" s="224" t="s">
        <v>402</v>
      </c>
      <c r="C52" s="225">
        <f>ROUND((SUMIF('Diagramas Ligações'!$K:$K,Painéis!$A52,'Diagramas Ligações'!$N:$N)/2)+(SUMIF('Diagramas Ligações'!$L:$L,Painéis!$A52,'Diagramas Ligações'!$N:$N)/2),0)</f>
        <v>24</v>
      </c>
      <c r="D52" s="225">
        <f>(SUMIF('Diagramas Ligações'!$K:$K,Painéis!$A52,'Diagramas Ligações'!$T:$T))+(SUMIF('Diagramas Ligações'!$L:$L,Painéis!$A52,'Diagramas Ligações'!$U:$U))</f>
        <v>24</v>
      </c>
      <c r="E52" s="263" t="s">
        <v>1722</v>
      </c>
      <c r="F52" s="41" t="s">
        <v>2086</v>
      </c>
      <c r="H52" s="46"/>
      <c r="I52" s="46"/>
      <c r="J52" s="46"/>
      <c r="V52" s="303" t="s">
        <v>1563</v>
      </c>
      <c r="W52" s="304" t="s">
        <v>402</v>
      </c>
      <c r="X5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24</v>
      </c>
      <c r="Y5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5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3" spans="1:27" customFormat="1" x14ac:dyDescent="0.25">
      <c r="A53" s="230" t="s">
        <v>1627</v>
      </c>
      <c r="B53" s="224" t="s">
        <v>402</v>
      </c>
      <c r="C53" s="225">
        <f>ROUND((SUMIF('Diagramas Ligações'!$K:$K,Painéis!$A53,'Diagramas Ligações'!$N:$N)/2)+(SUMIF('Diagramas Ligações'!$L:$L,Painéis!$A53,'Diagramas Ligações'!$N:$N)/2),0)</f>
        <v>24</v>
      </c>
      <c r="D53" s="225">
        <f>(SUMIF('Diagramas Ligações'!$K:$K,Painéis!$A53,'Diagramas Ligações'!$T:$T))+(SUMIF('Diagramas Ligações'!$L:$L,Painéis!$A53,'Diagramas Ligações'!$U:$U))</f>
        <v>18</v>
      </c>
      <c r="E53" s="263" t="s">
        <v>1722</v>
      </c>
      <c r="F53" s="41" t="s">
        <v>2086</v>
      </c>
      <c r="H53" s="46"/>
      <c r="I53" s="46"/>
      <c r="J53" s="46"/>
      <c r="V53" s="303" t="s">
        <v>1627</v>
      </c>
      <c r="W53" s="304" t="s">
        <v>402</v>
      </c>
      <c r="X5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24</v>
      </c>
      <c r="Y5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5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4" spans="1:27" customFormat="1" x14ac:dyDescent="0.25">
      <c r="A54" s="230" t="s">
        <v>1546</v>
      </c>
      <c r="B54" s="224" t="s">
        <v>1098</v>
      </c>
      <c r="C54" s="225">
        <f>ROUND((SUMIF('Diagramas Ligações'!$K:$K,Painéis!$A54,'Diagramas Ligações'!$N:$N)/2)+(SUMIF('Diagramas Ligações'!$L:$L,Painéis!$A54,'Diagramas Ligações'!$N:$N)/2),0)</f>
        <v>19</v>
      </c>
      <c r="D54" s="225">
        <f>(SUMIF('Diagramas Ligações'!$K:$K,Painéis!$A54,'Diagramas Ligações'!$T:$T))+(SUMIF('Diagramas Ligações'!$L:$L,Painéis!$A54,'Diagramas Ligações'!$U:$U))</f>
        <v>0</v>
      </c>
      <c r="E54" s="263" t="s">
        <v>1722</v>
      </c>
      <c r="F54" s="41" t="s">
        <v>2086</v>
      </c>
      <c r="H54" s="46"/>
      <c r="I54" s="46"/>
      <c r="J54" s="46"/>
      <c r="V54" s="303" t="s">
        <v>1546</v>
      </c>
      <c r="W54" s="304" t="s">
        <v>1098</v>
      </c>
      <c r="X5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5</v>
      </c>
      <c r="Y5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5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5" spans="1:27" customFormat="1" x14ac:dyDescent="0.25">
      <c r="A55" s="230" t="s">
        <v>1547</v>
      </c>
      <c r="B55" s="224" t="s">
        <v>1098</v>
      </c>
      <c r="C55" s="225">
        <f>ROUND((SUMIF('Diagramas Ligações'!$K:$K,Painéis!$A55,'Diagramas Ligações'!$N:$N)/2)+(SUMIF('Diagramas Ligações'!$L:$L,Painéis!$A55,'Diagramas Ligações'!$N:$N)/2),0)</f>
        <v>19</v>
      </c>
      <c r="D55" s="225">
        <f>(SUMIF('Diagramas Ligações'!$K:$K,Painéis!$A55,'Diagramas Ligações'!$T:$T))+(SUMIF('Diagramas Ligações'!$L:$L,Painéis!$A55,'Diagramas Ligações'!$U:$U))</f>
        <v>0</v>
      </c>
      <c r="E55" s="263" t="s">
        <v>1722</v>
      </c>
      <c r="F55" s="41" t="s">
        <v>2086</v>
      </c>
      <c r="H55" s="46"/>
      <c r="I55" s="46"/>
      <c r="J55" s="46"/>
      <c r="V55" s="303" t="s">
        <v>1547</v>
      </c>
      <c r="W55" s="304" t="s">
        <v>1098</v>
      </c>
      <c r="X5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5</v>
      </c>
      <c r="Y5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5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6" spans="1:27" customFormat="1" x14ac:dyDescent="0.25">
      <c r="A56" s="230" t="s">
        <v>1540</v>
      </c>
      <c r="B56" s="224" t="s">
        <v>282</v>
      </c>
      <c r="C56" s="225">
        <f>ROUND((SUMIF('Diagramas Ligações'!$K:$K,Painéis!$A56,'Diagramas Ligações'!$N:$N)/2)+(SUMIF('Diagramas Ligações'!$L:$L,Painéis!$A56,'Diagramas Ligações'!$N:$N)/2),0)</f>
        <v>30</v>
      </c>
      <c r="D56" s="225">
        <f>(SUMIF('Diagramas Ligações'!$K:$K,Painéis!$A56,'Diagramas Ligações'!$T:$T))+(SUMIF('Diagramas Ligações'!$L:$L,Painéis!$A56,'Diagramas Ligações'!$U:$U))</f>
        <v>0</v>
      </c>
      <c r="E56" s="263" t="s">
        <v>1722</v>
      </c>
      <c r="F56" s="41" t="s">
        <v>2083</v>
      </c>
      <c r="H56" s="46"/>
      <c r="I56" s="46"/>
      <c r="J56" s="46"/>
      <c r="V56" s="303" t="s">
        <v>1540</v>
      </c>
      <c r="W56" s="304" t="s">
        <v>282</v>
      </c>
      <c r="X5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</v>
      </c>
      <c r="Y5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28</v>
      </c>
      <c r="Z5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7" spans="1:27" customFormat="1" x14ac:dyDescent="0.25">
      <c r="A57" s="230" t="s">
        <v>1560</v>
      </c>
      <c r="B57" s="224" t="s">
        <v>402</v>
      </c>
      <c r="C57" s="225">
        <f>ROUND((SUMIF('Diagramas Ligações'!$K:$K,Painéis!$A57,'Diagramas Ligações'!$N:$N)/2)+(SUMIF('Diagramas Ligações'!$L:$L,Painéis!$A57,'Diagramas Ligações'!$N:$N)/2),0)</f>
        <v>29</v>
      </c>
      <c r="D57" s="225">
        <f>(SUMIF('Diagramas Ligações'!$K:$K,Painéis!$A57,'Diagramas Ligações'!$T:$T))+(SUMIF('Diagramas Ligações'!$L:$L,Painéis!$A57,'Diagramas Ligações'!$U:$U))</f>
        <v>9</v>
      </c>
      <c r="E57" s="263" t="s">
        <v>1722</v>
      </c>
      <c r="F57" s="41" t="s">
        <v>2086</v>
      </c>
      <c r="H57" s="46"/>
      <c r="I57" s="46"/>
      <c r="J57" s="46"/>
      <c r="V57" s="303" t="s">
        <v>1560</v>
      </c>
      <c r="W57" s="304" t="s">
        <v>402</v>
      </c>
      <c r="X5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27</v>
      </c>
      <c r="Y5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5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58" spans="1:27" customFormat="1" x14ac:dyDescent="0.25">
      <c r="A58" s="230" t="s">
        <v>1583</v>
      </c>
      <c r="B58" s="224" t="s">
        <v>402</v>
      </c>
      <c r="C58" s="225">
        <f>ROUND((SUMIF('Diagramas Ligações'!$K:$K,Painéis!$A58,'Diagramas Ligações'!$N:$N)/2)+(SUMIF('Diagramas Ligações'!$L:$L,Painéis!$A58,'Diagramas Ligações'!$N:$N)/2),0)</f>
        <v>22</v>
      </c>
      <c r="D58" s="225">
        <f>(SUMIF('Diagramas Ligações'!$K:$K,Painéis!$A58,'Diagramas Ligações'!$T:$T))+(SUMIF('Diagramas Ligações'!$L:$L,Painéis!$A58,'Diagramas Ligações'!$U:$U))</f>
        <v>0</v>
      </c>
      <c r="E58" s="263" t="s">
        <v>1722</v>
      </c>
      <c r="F58" s="41" t="s">
        <v>2086</v>
      </c>
      <c r="H58" s="46"/>
      <c r="I58" s="46"/>
      <c r="J58" s="46"/>
      <c r="V58" s="303" t="s">
        <v>1583</v>
      </c>
      <c r="W58" s="304" t="s">
        <v>402</v>
      </c>
      <c r="X5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</v>
      </c>
      <c r="Y5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5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4</v>
      </c>
    </row>
    <row r="59" spans="1:27" customFormat="1" x14ac:dyDescent="0.25">
      <c r="A59" s="230" t="s">
        <v>1618</v>
      </c>
      <c r="B59" s="224" t="s">
        <v>804</v>
      </c>
      <c r="C59" s="225">
        <f>ROUND((SUMIF('Diagramas Ligações'!$K:$K,Painéis!$A59,'Diagramas Ligações'!$N:$N)/2)+(SUMIF('Diagramas Ligações'!$L:$L,Painéis!$A59,'Diagramas Ligações'!$N:$N)/2),0)</f>
        <v>22</v>
      </c>
      <c r="D59" s="225">
        <f>(SUMIF('Diagramas Ligações'!$K:$K,Painéis!$A59,'Diagramas Ligações'!$T:$T))+(SUMIF('Diagramas Ligações'!$L:$L,Painéis!$A59,'Diagramas Ligações'!$U:$U))</f>
        <v>22</v>
      </c>
      <c r="E59" s="263" t="s">
        <v>1722</v>
      </c>
      <c r="F59" s="41" t="s">
        <v>2086</v>
      </c>
      <c r="H59" s="46"/>
      <c r="I59" s="46"/>
      <c r="J59" s="46"/>
      <c r="V59" s="303" t="s">
        <v>1618</v>
      </c>
      <c r="W59" s="304" t="s">
        <v>804</v>
      </c>
      <c r="X5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22</v>
      </c>
      <c r="Y5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5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5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0" spans="1:27" customFormat="1" x14ac:dyDescent="0.25">
      <c r="A60" s="230" t="s">
        <v>690</v>
      </c>
      <c r="B60" s="224" t="s">
        <v>1054</v>
      </c>
      <c r="C60" s="225">
        <f>ROUND((SUMIF('Diagramas Ligações'!$K:$K,Painéis!$A60,'Diagramas Ligações'!$N:$N)/2)+(SUMIF('Diagramas Ligações'!$L:$L,Painéis!$A60,'Diagramas Ligações'!$N:$N)/2),0)</f>
        <v>26</v>
      </c>
      <c r="D60" s="225">
        <f>(SUMIF('Diagramas Ligações'!$K:$K,Painéis!$A60,'Diagramas Ligações'!$T:$T))+(SUMIF('Diagramas Ligações'!$L:$L,Painéis!$A60,'Diagramas Ligações'!$U:$U))</f>
        <v>0</v>
      </c>
      <c r="E60" s="263" t="s">
        <v>2082</v>
      </c>
      <c r="F60" s="41"/>
      <c r="H60" s="46"/>
      <c r="I60" s="46"/>
      <c r="J60" s="46"/>
      <c r="V60" s="303" t="s">
        <v>690</v>
      </c>
      <c r="W60" s="304" t="s">
        <v>1054</v>
      </c>
      <c r="X6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6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26</v>
      </c>
      <c r="Z6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1" spans="1:27" customFormat="1" x14ac:dyDescent="0.25">
      <c r="A61" s="230" t="s">
        <v>1564</v>
      </c>
      <c r="B61" s="224" t="s">
        <v>804</v>
      </c>
      <c r="C61" s="225">
        <f>ROUND((SUMIF('Diagramas Ligações'!$K:$K,Painéis!$A61,'Diagramas Ligações'!$N:$N)/2)+(SUMIF('Diagramas Ligações'!$L:$L,Painéis!$A61,'Diagramas Ligações'!$N:$N)/2),0)</f>
        <v>21</v>
      </c>
      <c r="D61" s="225">
        <f>(SUMIF('Diagramas Ligações'!$K:$K,Painéis!$A61,'Diagramas Ligações'!$T:$T))+(SUMIF('Diagramas Ligações'!$L:$L,Painéis!$A61,'Diagramas Ligações'!$U:$U))</f>
        <v>21</v>
      </c>
      <c r="E61" s="263" t="s">
        <v>1722</v>
      </c>
      <c r="F61" s="41" t="s">
        <v>2086</v>
      </c>
      <c r="H61" s="46"/>
      <c r="I61" s="46"/>
      <c r="J61" s="46"/>
      <c r="V61" s="303" t="s">
        <v>1564</v>
      </c>
      <c r="W61" s="304" t="s">
        <v>804</v>
      </c>
      <c r="X6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21</v>
      </c>
      <c r="Y6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6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2" spans="1:27" customFormat="1" x14ac:dyDescent="0.25">
      <c r="A62" s="230" t="s">
        <v>1625</v>
      </c>
      <c r="B62" s="224" t="s">
        <v>402</v>
      </c>
      <c r="C62" s="225">
        <f>ROUND((SUMIF('Diagramas Ligações'!$K:$K,Painéis!$A62,'Diagramas Ligações'!$N:$N)/2)+(SUMIF('Diagramas Ligações'!$L:$L,Painéis!$A62,'Diagramas Ligações'!$N:$N)/2),0)</f>
        <v>21</v>
      </c>
      <c r="D62" s="225">
        <f>(SUMIF('Diagramas Ligações'!$K:$K,Painéis!$A62,'Diagramas Ligações'!$T:$T))+(SUMIF('Diagramas Ligações'!$L:$L,Painéis!$A62,'Diagramas Ligações'!$U:$U))</f>
        <v>19</v>
      </c>
      <c r="E62" s="263" t="s">
        <v>1722</v>
      </c>
      <c r="F62" s="41" t="s">
        <v>2086</v>
      </c>
      <c r="H62" s="46"/>
      <c r="I62" s="46"/>
      <c r="J62" s="46"/>
      <c r="V62" s="303" t="s">
        <v>1625</v>
      </c>
      <c r="W62" s="304" t="s">
        <v>402</v>
      </c>
      <c r="X6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15</v>
      </c>
      <c r="Y6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6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3" spans="1:27" customFormat="1" x14ac:dyDescent="0.25">
      <c r="A63" s="224" t="s">
        <v>1631</v>
      </c>
      <c r="B63" s="224" t="s">
        <v>82</v>
      </c>
      <c r="C63" s="225">
        <f>ROUND((SUMIF('Diagramas Ligações'!$K:$K,Painéis!$A63,'Diagramas Ligações'!$N:$N)/2)+(SUMIF('Diagramas Ligações'!$L:$L,Painéis!$A63,'Diagramas Ligações'!$N:$N)/2),0)</f>
        <v>20</v>
      </c>
      <c r="D63" s="225">
        <f>(SUMIF('Diagramas Ligações'!$K:$K,Painéis!$A63,'Diagramas Ligações'!$T:$T))+(SUMIF('Diagramas Ligações'!$L:$L,Painéis!$A63,'Diagramas Ligações'!$U:$U))</f>
        <v>0</v>
      </c>
      <c r="E63" s="263" t="s">
        <v>1722</v>
      </c>
      <c r="F63" s="41" t="s">
        <v>2086</v>
      </c>
      <c r="H63" s="46"/>
      <c r="I63" s="46"/>
      <c r="J63" s="46"/>
      <c r="V63" s="303" t="s">
        <v>1631</v>
      </c>
      <c r="W63" s="304" t="s">
        <v>82</v>
      </c>
      <c r="X6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19.5</v>
      </c>
      <c r="Y6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6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4" spans="1:27" customFormat="1" x14ac:dyDescent="0.25">
      <c r="A64" s="224" t="s">
        <v>387</v>
      </c>
      <c r="B64" s="224" t="s">
        <v>733</v>
      </c>
      <c r="C64" s="225">
        <f>ROUND((SUMIF('Diagramas Ligações'!$K:$K,Painéis!$A64,'Diagramas Ligações'!$N:$N)/2)+(SUMIF('Diagramas Ligações'!$L:$L,Painéis!$A64,'Diagramas Ligações'!$N:$N)/2),0)</f>
        <v>21</v>
      </c>
      <c r="D64" s="225">
        <f>(SUMIF('Diagramas Ligações'!$K:$K,Painéis!$A64,'Diagramas Ligações'!$T:$T))+(SUMIF('Diagramas Ligações'!$L:$L,Painéis!$A64,'Diagramas Ligações'!$U:$U))</f>
        <v>0</v>
      </c>
      <c r="E64" s="263" t="s">
        <v>1722</v>
      </c>
      <c r="F64" s="41" t="s">
        <v>2083</v>
      </c>
      <c r="H64" s="46"/>
      <c r="I64" s="46"/>
      <c r="J64" s="46"/>
      <c r="V64" s="303" t="s">
        <v>387</v>
      </c>
      <c r="W64" s="304" t="s">
        <v>733</v>
      </c>
      <c r="X6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6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6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5" spans="1:27" customFormat="1" x14ac:dyDescent="0.25">
      <c r="A65" s="224" t="s">
        <v>1228</v>
      </c>
      <c r="B65" s="224" t="s">
        <v>1098</v>
      </c>
      <c r="C65" s="225">
        <f>ROUND((SUMIF('Diagramas Ligações'!$K:$K,Painéis!$A65,'Diagramas Ligações'!$N:$N)/2)+(SUMIF('Diagramas Ligações'!$L:$L,Painéis!$A65,'Diagramas Ligações'!$N:$N)/2),0)</f>
        <v>20</v>
      </c>
      <c r="D65" s="225">
        <f>(SUMIF('Diagramas Ligações'!$K:$K,Painéis!$A65,'Diagramas Ligações'!$T:$T))+(SUMIF('Diagramas Ligações'!$L:$L,Painéis!$A65,'Diagramas Ligações'!$U:$U))</f>
        <v>0</v>
      </c>
      <c r="E65" s="263" t="s">
        <v>1722</v>
      </c>
      <c r="F65" s="41" t="s">
        <v>2086</v>
      </c>
      <c r="H65" s="46"/>
      <c r="I65" s="46"/>
      <c r="J65" s="46"/>
      <c r="V65" s="303" t="s">
        <v>1228</v>
      </c>
      <c r="W65" s="304" t="s">
        <v>1098</v>
      </c>
      <c r="X6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6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8</v>
      </c>
      <c r="Z6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6" spans="1:27" customFormat="1" x14ac:dyDescent="0.25">
      <c r="A66" s="224" t="s">
        <v>1327</v>
      </c>
      <c r="B66" s="224" t="s">
        <v>235</v>
      </c>
      <c r="C66" s="225">
        <f>ROUND((SUMIF('Diagramas Ligações'!$K:$K,Painéis!$A66,'Diagramas Ligações'!$N:$N)/2)+(SUMIF('Diagramas Ligações'!$L:$L,Painéis!$A66,'Diagramas Ligações'!$N:$N)/2),0)</f>
        <v>19</v>
      </c>
      <c r="D66" s="225">
        <f>(SUMIF('Diagramas Ligações'!$K:$K,Painéis!$A66,'Diagramas Ligações'!$T:$T))+(SUMIF('Diagramas Ligações'!$L:$L,Painéis!$A66,'Diagramas Ligações'!$U:$U))</f>
        <v>0</v>
      </c>
      <c r="E66" s="263" t="s">
        <v>1722</v>
      </c>
      <c r="F66" s="41" t="s">
        <v>2086</v>
      </c>
      <c r="H66" s="46"/>
      <c r="I66" s="46"/>
      <c r="J66" s="46"/>
      <c r="V66" s="303" t="s">
        <v>1327</v>
      </c>
      <c r="W66" s="304" t="s">
        <v>235</v>
      </c>
      <c r="X6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6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15</v>
      </c>
      <c r="Z6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7" spans="1:27" customFormat="1" x14ac:dyDescent="0.25">
      <c r="A67" s="230" t="s">
        <v>1617</v>
      </c>
      <c r="B67" s="224" t="s">
        <v>804</v>
      </c>
      <c r="C67" s="225">
        <f>ROUND((SUMIF('Diagramas Ligações'!$K:$K,Painéis!$A67,'Diagramas Ligações'!$N:$N)/2)+(SUMIF('Diagramas Ligações'!$L:$L,Painéis!$A67,'Diagramas Ligações'!$N:$N)/2),0)</f>
        <v>18</v>
      </c>
      <c r="D67" s="225">
        <f>(SUMIF('Diagramas Ligações'!$K:$K,Painéis!$A67,'Diagramas Ligações'!$T:$T))+(SUMIF('Diagramas Ligações'!$L:$L,Painéis!$A67,'Diagramas Ligações'!$U:$U))</f>
        <v>18</v>
      </c>
      <c r="E67" s="263" t="s">
        <v>1722</v>
      </c>
      <c r="F67" s="41" t="s">
        <v>2086</v>
      </c>
      <c r="H67" s="46"/>
      <c r="I67" s="46"/>
      <c r="J67" s="46"/>
      <c r="V67" s="303" t="s">
        <v>1617</v>
      </c>
      <c r="W67" s="304" t="s">
        <v>804</v>
      </c>
      <c r="X6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18</v>
      </c>
      <c r="Y6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6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8" spans="1:27" customFormat="1" x14ac:dyDescent="0.25">
      <c r="A68" s="230" t="s">
        <v>1629</v>
      </c>
      <c r="B68" s="224" t="s">
        <v>1417</v>
      </c>
      <c r="C68" s="225">
        <f>ROUND((SUMIF('Diagramas Ligações'!$K:$K,Painéis!$A68,'Diagramas Ligações'!$N:$N)/2)+(SUMIF('Diagramas Ligações'!$L:$L,Painéis!$A68,'Diagramas Ligações'!$N:$N)/2),0)</f>
        <v>18</v>
      </c>
      <c r="D68" s="225">
        <f>(SUMIF('Diagramas Ligações'!$K:$K,Painéis!$A68,'Diagramas Ligações'!$T:$T))+(SUMIF('Diagramas Ligações'!$L:$L,Painéis!$A68,'Diagramas Ligações'!$U:$U))</f>
        <v>0</v>
      </c>
      <c r="E68" s="263" t="s">
        <v>1722</v>
      </c>
      <c r="F68" s="41" t="s">
        <v>2083</v>
      </c>
      <c r="H68" s="46"/>
      <c r="I68" s="46"/>
      <c r="J68" s="46"/>
      <c r="V68" s="303" t="s">
        <v>1629</v>
      </c>
      <c r="W68" s="304" t="s">
        <v>1417</v>
      </c>
      <c r="X6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18</v>
      </c>
      <c r="Y6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6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69" spans="1:27" customFormat="1" x14ac:dyDescent="0.25">
      <c r="A69" s="230" t="s">
        <v>384</v>
      </c>
      <c r="B69" s="224" t="s">
        <v>733</v>
      </c>
      <c r="C69" s="225">
        <f>ROUND((SUMIF('Diagramas Ligações'!$K:$K,Painéis!$A69,'Diagramas Ligações'!$N:$N)/2)+(SUMIF('Diagramas Ligações'!$L:$L,Painéis!$A69,'Diagramas Ligações'!$N:$N)/2),0)</f>
        <v>18</v>
      </c>
      <c r="D69" s="225">
        <f>(SUMIF('Diagramas Ligações'!$K:$K,Painéis!$A69,'Diagramas Ligações'!$T:$T))+(SUMIF('Diagramas Ligações'!$L:$L,Painéis!$A69,'Diagramas Ligações'!$U:$U))</f>
        <v>0</v>
      </c>
      <c r="E69" s="263" t="s">
        <v>1722</v>
      </c>
      <c r="F69" s="41" t="s">
        <v>2083</v>
      </c>
      <c r="H69" s="46"/>
      <c r="I69" s="46"/>
      <c r="J69" s="46"/>
      <c r="V69" s="303" t="s">
        <v>384</v>
      </c>
      <c r="W69" s="304" t="s">
        <v>733</v>
      </c>
      <c r="X6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6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6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6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0" spans="1:27" customFormat="1" x14ac:dyDescent="0.25">
      <c r="A70" s="230" t="s">
        <v>1164</v>
      </c>
      <c r="B70" s="224" t="s">
        <v>787</v>
      </c>
      <c r="C70" s="225">
        <f>ROUND((SUMIF('Diagramas Ligações'!$K:$K,Painéis!$A70,'Diagramas Ligações'!$N:$N)/2)+(SUMIF('Diagramas Ligações'!$L:$L,Painéis!$A70,'Diagramas Ligações'!$N:$N)/2),0)</f>
        <v>18</v>
      </c>
      <c r="D70" s="225">
        <f>(SUMIF('Diagramas Ligações'!$K:$K,Painéis!$A70,'Diagramas Ligações'!$T:$T))+(SUMIF('Diagramas Ligações'!$L:$L,Painéis!$A70,'Diagramas Ligações'!$U:$U))</f>
        <v>0</v>
      </c>
      <c r="E70" s="263" t="s">
        <v>1722</v>
      </c>
      <c r="F70" s="41" t="s">
        <v>2086</v>
      </c>
      <c r="H70" s="46"/>
      <c r="I70" s="46"/>
      <c r="J70" s="46"/>
      <c r="V70" s="303" t="s">
        <v>1164</v>
      </c>
      <c r="W70" s="304" t="s">
        <v>787</v>
      </c>
      <c r="X7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7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1" spans="1:27" customFormat="1" x14ac:dyDescent="0.25">
      <c r="A71" s="230" t="s">
        <v>1167</v>
      </c>
      <c r="B71" s="224" t="s">
        <v>787</v>
      </c>
      <c r="C71" s="225">
        <f>ROUND((SUMIF('Diagramas Ligações'!$K:$K,Painéis!$A71,'Diagramas Ligações'!$N:$N)/2)+(SUMIF('Diagramas Ligações'!$L:$L,Painéis!$A71,'Diagramas Ligações'!$N:$N)/2),0)</f>
        <v>18</v>
      </c>
      <c r="D71" s="225">
        <f>(SUMIF('Diagramas Ligações'!$K:$K,Painéis!$A71,'Diagramas Ligações'!$T:$T))+(SUMIF('Diagramas Ligações'!$L:$L,Painéis!$A71,'Diagramas Ligações'!$U:$U))</f>
        <v>0</v>
      </c>
      <c r="E71" s="263" t="s">
        <v>1722</v>
      </c>
      <c r="F71" s="41" t="s">
        <v>2086</v>
      </c>
      <c r="H71" s="46"/>
      <c r="I71" s="46"/>
      <c r="J71" s="46"/>
      <c r="V71" s="303" t="s">
        <v>1167</v>
      </c>
      <c r="W71" s="304" t="s">
        <v>787</v>
      </c>
      <c r="X7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7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2" spans="1:27" customFormat="1" x14ac:dyDescent="0.25">
      <c r="A72" s="230" t="s">
        <v>1347</v>
      </c>
      <c r="B72" s="224" t="s">
        <v>1098</v>
      </c>
      <c r="C72" s="225">
        <f>ROUND((SUMIF('Diagramas Ligações'!$K:$K,Painéis!$A72,'Diagramas Ligações'!$N:$N)/2)+(SUMIF('Diagramas Ligações'!$L:$L,Painéis!$A72,'Diagramas Ligações'!$N:$N)/2),0)</f>
        <v>18</v>
      </c>
      <c r="D72" s="225">
        <f>(SUMIF('Diagramas Ligações'!$K:$K,Painéis!$A72,'Diagramas Ligações'!$T:$T))+(SUMIF('Diagramas Ligações'!$L:$L,Painéis!$A72,'Diagramas Ligações'!$U:$U))</f>
        <v>0</v>
      </c>
      <c r="E72" s="263" t="s">
        <v>1722</v>
      </c>
      <c r="F72" s="41" t="s">
        <v>2086</v>
      </c>
      <c r="H72" s="46"/>
      <c r="I72" s="46"/>
      <c r="J72" s="46"/>
      <c r="V72" s="303" t="s">
        <v>1347</v>
      </c>
      <c r="W72" s="304" t="s">
        <v>1098</v>
      </c>
      <c r="X7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7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15</v>
      </c>
      <c r="Z7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3" spans="1:27" customFormat="1" x14ac:dyDescent="0.25">
      <c r="A73" s="230" t="s">
        <v>703</v>
      </c>
      <c r="B73" s="224" t="s">
        <v>703</v>
      </c>
      <c r="C73" s="225">
        <f>ROUND((SUMIF('Diagramas Ligações'!$K:$K,Painéis!$A73,'Diagramas Ligações'!$N:$N)/2)+(SUMIF('Diagramas Ligações'!$L:$L,Painéis!$A73,'Diagramas Ligações'!$N:$N)/2),0)</f>
        <v>18</v>
      </c>
      <c r="D73" s="225">
        <f>(SUMIF('Diagramas Ligações'!$K:$K,Painéis!$A73,'Diagramas Ligações'!$T:$T))+(SUMIF('Diagramas Ligações'!$L:$L,Painéis!$A73,'Diagramas Ligações'!$U:$U))</f>
        <v>0</v>
      </c>
      <c r="E73" s="263" t="s">
        <v>1722</v>
      </c>
      <c r="F73" s="41" t="s">
        <v>2083</v>
      </c>
      <c r="H73" s="46"/>
      <c r="I73" s="46"/>
      <c r="J73" s="46"/>
      <c r="V73" s="303" t="s">
        <v>703</v>
      </c>
      <c r="W73" s="304" t="s">
        <v>703</v>
      </c>
      <c r="X7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18</v>
      </c>
      <c r="Y7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4" spans="1:27" customFormat="1" x14ac:dyDescent="0.25">
      <c r="A74" s="230" t="s">
        <v>1630</v>
      </c>
      <c r="B74" s="224" t="s">
        <v>1630</v>
      </c>
      <c r="C74" s="225">
        <f>ROUND((SUMIF('Diagramas Ligações'!$K:$K,Painéis!$A74,'Diagramas Ligações'!$N:$N)/2)+(SUMIF('Diagramas Ligações'!$L:$L,Painéis!$A74,'Diagramas Ligações'!$N:$N)/2),0)</f>
        <v>18</v>
      </c>
      <c r="D74" s="225">
        <f>(SUMIF('Diagramas Ligações'!$K:$K,Painéis!$A74,'Diagramas Ligações'!$T:$T))+(SUMIF('Diagramas Ligações'!$L:$L,Painéis!$A74,'Diagramas Ligações'!$U:$U))</f>
        <v>0</v>
      </c>
      <c r="E74" s="263" t="s">
        <v>1722</v>
      </c>
      <c r="F74" s="41" t="s">
        <v>2087</v>
      </c>
      <c r="H74" s="46"/>
      <c r="I74" s="46"/>
      <c r="J74" s="46"/>
      <c r="V74" s="303" t="s">
        <v>1630</v>
      </c>
      <c r="W74" s="304" t="s">
        <v>1630</v>
      </c>
      <c r="X7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18</v>
      </c>
      <c r="Y7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5" spans="1:27" customFormat="1" x14ac:dyDescent="0.25">
      <c r="A75" s="230" t="s">
        <v>1624</v>
      </c>
      <c r="B75" s="224" t="s">
        <v>402</v>
      </c>
      <c r="C75" s="225">
        <f>ROUND((SUMIF('Diagramas Ligações'!$K:$K,Painéis!$A75,'Diagramas Ligações'!$N:$N)/2)+(SUMIF('Diagramas Ligações'!$L:$L,Painéis!$A75,'Diagramas Ligações'!$N:$N)/2),0)</f>
        <v>17</v>
      </c>
      <c r="D75" s="225">
        <f>(SUMIF('Diagramas Ligações'!$K:$K,Painéis!$A75,'Diagramas Ligações'!$T:$T))+(SUMIF('Diagramas Ligações'!$L:$L,Painéis!$A75,'Diagramas Ligações'!$U:$U))</f>
        <v>15</v>
      </c>
      <c r="E75" s="263" t="s">
        <v>1722</v>
      </c>
      <c r="F75" s="41" t="s">
        <v>2086</v>
      </c>
      <c r="H75" s="46"/>
      <c r="I75" s="46"/>
      <c r="J75" s="46"/>
      <c r="V75" s="303" t="s">
        <v>1624</v>
      </c>
      <c r="W75" s="304" t="s">
        <v>402</v>
      </c>
      <c r="X7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17</v>
      </c>
      <c r="Y7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6" spans="1:27" customFormat="1" x14ac:dyDescent="0.25">
      <c r="A76" s="230" t="s">
        <v>1659</v>
      </c>
      <c r="B76" s="224" t="s">
        <v>1199</v>
      </c>
      <c r="C76" s="225">
        <f>ROUND((SUMIF('Diagramas Ligações'!$K:$K,Painéis!$A76,'Diagramas Ligações'!$N:$N)/2)+(SUMIF('Diagramas Ligações'!$L:$L,Painéis!$A76,'Diagramas Ligações'!$N:$N)/2),0)</f>
        <v>17</v>
      </c>
      <c r="D76" s="225">
        <f>(SUMIF('Diagramas Ligações'!$K:$K,Painéis!$A76,'Diagramas Ligações'!$T:$T))+(SUMIF('Diagramas Ligações'!$L:$L,Painéis!$A76,'Diagramas Ligações'!$U:$U))</f>
        <v>0</v>
      </c>
      <c r="E76" s="263" t="s">
        <v>2082</v>
      </c>
      <c r="F76" s="41"/>
      <c r="H76" s="46"/>
      <c r="I76" s="46"/>
      <c r="J76" s="46"/>
      <c r="V76" s="303" t="s">
        <v>1659</v>
      </c>
      <c r="W76" s="304" t="s">
        <v>1199</v>
      </c>
      <c r="X7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7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17</v>
      </c>
      <c r="Z7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7" spans="1:27" customFormat="1" x14ac:dyDescent="0.25">
      <c r="A77" s="230" t="s">
        <v>1661</v>
      </c>
      <c r="B77" s="224" t="s">
        <v>1199</v>
      </c>
      <c r="C77" s="225">
        <f>ROUND((SUMIF('Diagramas Ligações'!$K:$K,Painéis!$A77,'Diagramas Ligações'!$N:$N)/2)+(SUMIF('Diagramas Ligações'!$L:$L,Painéis!$A77,'Diagramas Ligações'!$N:$N)/2),0)</f>
        <v>16</v>
      </c>
      <c r="D77" s="225">
        <f>(SUMIF('Diagramas Ligações'!$K:$K,Painéis!$A77,'Diagramas Ligações'!$T:$T))+(SUMIF('Diagramas Ligações'!$L:$L,Painéis!$A77,'Diagramas Ligações'!$U:$U))</f>
        <v>0</v>
      </c>
      <c r="E77" s="263" t="s">
        <v>2082</v>
      </c>
      <c r="F77" s="41"/>
      <c r="H77" s="46"/>
      <c r="I77" s="46"/>
      <c r="J77" s="46"/>
      <c r="V77" s="303" t="s">
        <v>1661</v>
      </c>
      <c r="W77" s="304" t="s">
        <v>1199</v>
      </c>
      <c r="X7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6</v>
      </c>
      <c r="Y7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9</v>
      </c>
      <c r="AA7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8" spans="1:27" customFormat="1" x14ac:dyDescent="0.25">
      <c r="A78" s="230" t="s">
        <v>1565</v>
      </c>
      <c r="B78" s="224" t="s">
        <v>804</v>
      </c>
      <c r="C78" s="225">
        <f>ROUND((SUMIF('Diagramas Ligações'!$K:$K,Painéis!$A78,'Diagramas Ligações'!$N:$N)/2)+(SUMIF('Diagramas Ligações'!$L:$L,Painéis!$A78,'Diagramas Ligações'!$N:$N)/2),0)</f>
        <v>16</v>
      </c>
      <c r="D78" s="225">
        <f>(SUMIF('Diagramas Ligações'!$K:$K,Painéis!$A78,'Diagramas Ligações'!$T:$T))+(SUMIF('Diagramas Ligações'!$L:$L,Painéis!$A78,'Diagramas Ligações'!$U:$U))</f>
        <v>12</v>
      </c>
      <c r="E78" s="263" t="s">
        <v>1722</v>
      </c>
      <c r="F78" s="41" t="s">
        <v>2086</v>
      </c>
      <c r="H78" s="46"/>
      <c r="I78" s="46"/>
      <c r="J78" s="46"/>
      <c r="V78" s="303" t="s">
        <v>1565</v>
      </c>
      <c r="W78" s="304" t="s">
        <v>804</v>
      </c>
      <c r="X7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16</v>
      </c>
      <c r="Y7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79" spans="1:27" customFormat="1" x14ac:dyDescent="0.25">
      <c r="A79" s="230" t="s">
        <v>1637</v>
      </c>
      <c r="B79" s="224" t="s">
        <v>402</v>
      </c>
      <c r="C79" s="225">
        <f>ROUND((SUMIF('Diagramas Ligações'!$K:$K,Painéis!$A79,'Diagramas Ligações'!$N:$N)/2)+(SUMIF('Diagramas Ligações'!$L:$L,Painéis!$A79,'Diagramas Ligações'!$N:$N)/2),0)</f>
        <v>16</v>
      </c>
      <c r="D79" s="225">
        <f>(SUMIF('Diagramas Ligações'!$K:$K,Painéis!$A79,'Diagramas Ligações'!$T:$T))+(SUMIF('Diagramas Ligações'!$L:$L,Painéis!$A79,'Diagramas Ligações'!$U:$U))</f>
        <v>0</v>
      </c>
      <c r="E79" s="263" t="s">
        <v>1722</v>
      </c>
      <c r="F79" s="41" t="s">
        <v>2086</v>
      </c>
      <c r="H79" s="46"/>
      <c r="I79" s="46"/>
      <c r="J79" s="46"/>
      <c r="V79" s="303" t="s">
        <v>1637</v>
      </c>
      <c r="W79" s="304" t="s">
        <v>402</v>
      </c>
      <c r="X7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7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7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7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0" spans="1:27" customFormat="1" x14ac:dyDescent="0.25">
      <c r="A80" s="230" t="s">
        <v>1643</v>
      </c>
      <c r="B80" s="224" t="s">
        <v>703</v>
      </c>
      <c r="C80" s="225">
        <f>ROUND((SUMIF('Diagramas Ligações'!$K:$K,Painéis!$A80,'Diagramas Ligações'!$N:$N)/2)+(SUMIF('Diagramas Ligações'!$L:$L,Painéis!$A80,'Diagramas Ligações'!$N:$N)/2),0)</f>
        <v>16</v>
      </c>
      <c r="D80" s="225">
        <f>(SUMIF('Diagramas Ligações'!$K:$K,Painéis!$A80,'Diagramas Ligações'!$T:$T))+(SUMIF('Diagramas Ligações'!$L:$L,Painéis!$A80,'Diagramas Ligações'!$U:$U))</f>
        <v>0</v>
      </c>
      <c r="E80" s="263" t="s">
        <v>1722</v>
      </c>
      <c r="F80" s="41" t="s">
        <v>2083</v>
      </c>
      <c r="H80" s="46"/>
      <c r="I80" s="46"/>
      <c r="J80" s="46"/>
      <c r="V80" s="303" t="s">
        <v>1643</v>
      </c>
      <c r="W80" s="304" t="s">
        <v>703</v>
      </c>
      <c r="X8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8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1" spans="1:27" customFormat="1" x14ac:dyDescent="0.25">
      <c r="A81" s="230" t="s">
        <v>1340</v>
      </c>
      <c r="B81" s="224" t="s">
        <v>1098</v>
      </c>
      <c r="C81" s="225">
        <f>ROUND((SUMIF('Diagramas Ligações'!$K:$K,Painéis!$A81,'Diagramas Ligações'!$N:$N)/2)+(SUMIF('Diagramas Ligações'!$L:$L,Painéis!$A81,'Diagramas Ligações'!$N:$N)/2),0)</f>
        <v>16</v>
      </c>
      <c r="D81" s="225">
        <f>(SUMIF('Diagramas Ligações'!$K:$K,Painéis!$A81,'Diagramas Ligações'!$T:$T))+(SUMIF('Diagramas Ligações'!$L:$L,Painéis!$A81,'Diagramas Ligações'!$U:$U))</f>
        <v>0</v>
      </c>
      <c r="E81" s="263" t="s">
        <v>1722</v>
      </c>
      <c r="F81" s="41" t="s">
        <v>2086</v>
      </c>
      <c r="H81" s="46"/>
      <c r="I81" s="46"/>
      <c r="J81" s="46"/>
      <c r="V81" s="303" t="s">
        <v>1340</v>
      </c>
      <c r="W81" s="304" t="s">
        <v>1098</v>
      </c>
      <c r="X8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12</v>
      </c>
      <c r="Z8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2" spans="1:27" customFormat="1" x14ac:dyDescent="0.25">
      <c r="A82" s="230" t="s">
        <v>1657</v>
      </c>
      <c r="B82" s="224" t="s">
        <v>235</v>
      </c>
      <c r="C82" s="225">
        <f>ROUND((SUMIF('Diagramas Ligações'!$K:$K,Painéis!$A82,'Diagramas Ligações'!$N:$N)/2)+(SUMIF('Diagramas Ligações'!$L:$L,Painéis!$A82,'Diagramas Ligações'!$N:$N)/2),0)</f>
        <v>16</v>
      </c>
      <c r="D82" s="225">
        <f>(SUMIF('Diagramas Ligações'!$K:$K,Painéis!$A82,'Diagramas Ligações'!$T:$T))+(SUMIF('Diagramas Ligações'!$L:$L,Painéis!$A82,'Diagramas Ligações'!$U:$U))</f>
        <v>0</v>
      </c>
      <c r="E82" s="263" t="s">
        <v>1722</v>
      </c>
      <c r="F82" s="41" t="s">
        <v>2086</v>
      </c>
      <c r="H82" s="46"/>
      <c r="I82" s="46"/>
      <c r="J82" s="46"/>
      <c r="V82" s="303" t="s">
        <v>1657</v>
      </c>
      <c r="W82" s="304" t="s">
        <v>235</v>
      </c>
      <c r="X8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16</v>
      </c>
      <c r="Z8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3" spans="1:27" customFormat="1" x14ac:dyDescent="0.25">
      <c r="A83" s="230" t="s">
        <v>1256</v>
      </c>
      <c r="B83" s="224" t="s">
        <v>282</v>
      </c>
      <c r="C83" s="225">
        <f>ROUND((SUMIF('Diagramas Ligações'!$K:$K,Painéis!$A83,'Diagramas Ligações'!$N:$N)/2)+(SUMIF('Diagramas Ligações'!$L:$L,Painéis!$A83,'Diagramas Ligações'!$N:$N)/2),0)</f>
        <v>15</v>
      </c>
      <c r="D83" s="225">
        <f>(SUMIF('Diagramas Ligações'!$K:$K,Painéis!$A83,'Diagramas Ligações'!$T:$T))+(SUMIF('Diagramas Ligações'!$L:$L,Painéis!$A83,'Diagramas Ligações'!$U:$U))</f>
        <v>0</v>
      </c>
      <c r="E83" s="263" t="s">
        <v>1722</v>
      </c>
      <c r="F83" s="41" t="s">
        <v>2086</v>
      </c>
      <c r="H83" s="46"/>
      <c r="I83" s="46"/>
      <c r="J83" s="46"/>
      <c r="V83" s="303" t="s">
        <v>1256</v>
      </c>
      <c r="W83" s="304" t="s">
        <v>282</v>
      </c>
      <c r="X8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8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4" spans="1:27" customFormat="1" x14ac:dyDescent="0.25">
      <c r="A84" s="230" t="s">
        <v>1249</v>
      </c>
      <c r="B84" s="224" t="s">
        <v>282</v>
      </c>
      <c r="C84" s="225">
        <f>ROUND((SUMIF('Diagramas Ligações'!$K:$K,Painéis!$A84,'Diagramas Ligações'!$N:$N)/2)+(SUMIF('Diagramas Ligações'!$L:$L,Painéis!$A84,'Diagramas Ligações'!$N:$N)/2),0)</f>
        <v>15</v>
      </c>
      <c r="D84" s="225">
        <f>(SUMIF('Diagramas Ligações'!$K:$K,Painéis!$A84,'Diagramas Ligações'!$T:$T))+(SUMIF('Diagramas Ligações'!$L:$L,Painéis!$A84,'Diagramas Ligações'!$U:$U))</f>
        <v>0</v>
      </c>
      <c r="E84" s="263" t="s">
        <v>1722</v>
      </c>
      <c r="F84" s="41" t="s">
        <v>2086</v>
      </c>
      <c r="H84" s="46"/>
      <c r="I84" s="46"/>
      <c r="J84" s="46"/>
      <c r="V84" s="303" t="s">
        <v>1249</v>
      </c>
      <c r="W84" s="304" t="s">
        <v>282</v>
      </c>
      <c r="X8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8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5" spans="1:27" customFormat="1" x14ac:dyDescent="0.25">
      <c r="A85" s="230" t="s">
        <v>1597</v>
      </c>
      <c r="B85" s="224" t="s">
        <v>82</v>
      </c>
      <c r="C85" s="225">
        <f>ROUND((SUMIF('Diagramas Ligações'!$K:$K,Painéis!$A85,'Diagramas Ligações'!$N:$N)/2)+(SUMIF('Diagramas Ligações'!$L:$L,Painéis!$A85,'Diagramas Ligações'!$N:$N)/2),0)</f>
        <v>15</v>
      </c>
      <c r="D85" s="225">
        <f>(SUMIF('Diagramas Ligações'!$K:$K,Painéis!$A85,'Diagramas Ligações'!$T:$T))+(SUMIF('Diagramas Ligações'!$L:$L,Painéis!$A85,'Diagramas Ligações'!$U:$U))</f>
        <v>0</v>
      </c>
      <c r="E85" s="263" t="s">
        <v>2082</v>
      </c>
      <c r="F85" s="41"/>
      <c r="H85" s="46"/>
      <c r="I85" s="46"/>
      <c r="J85" s="46"/>
      <c r="V85" s="303" t="s">
        <v>1597</v>
      </c>
      <c r="W85" s="304" t="s">
        <v>82</v>
      </c>
      <c r="X8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15</v>
      </c>
      <c r="Z8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6" spans="1:27" customFormat="1" x14ac:dyDescent="0.25">
      <c r="A86" s="230" t="s">
        <v>1579</v>
      </c>
      <c r="B86" s="224" t="s">
        <v>1032</v>
      </c>
      <c r="C86" s="225">
        <f>ROUND((SUMIF('Diagramas Ligações'!$K:$K,Painéis!$A86,'Diagramas Ligações'!$N:$N)/2)+(SUMIF('Diagramas Ligações'!$L:$L,Painéis!$A86,'Diagramas Ligações'!$N:$N)/2),0)</f>
        <v>14</v>
      </c>
      <c r="D86" s="225">
        <f>(SUMIF('Diagramas Ligações'!$K:$K,Painéis!$A86,'Diagramas Ligações'!$T:$T))+(SUMIF('Diagramas Ligações'!$L:$L,Painéis!$A86,'Diagramas Ligações'!$U:$U))</f>
        <v>0</v>
      </c>
      <c r="E86" s="263" t="s">
        <v>2082</v>
      </c>
      <c r="F86" s="41"/>
      <c r="H86" s="46"/>
      <c r="I86" s="46"/>
      <c r="J86" s="46"/>
      <c r="V86" s="303" t="s">
        <v>1579</v>
      </c>
      <c r="W86" s="304" t="s">
        <v>1032</v>
      </c>
      <c r="X8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8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8</v>
      </c>
      <c r="AA8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2</v>
      </c>
    </row>
    <row r="87" spans="1:27" customFormat="1" x14ac:dyDescent="0.25">
      <c r="A87" s="230" t="s">
        <v>359</v>
      </c>
      <c r="B87" s="224" t="s">
        <v>703</v>
      </c>
      <c r="C87" s="225">
        <f>ROUND((SUMIF('Diagramas Ligações'!$K:$K,Painéis!$A87,'Diagramas Ligações'!$N:$N)/2)+(SUMIF('Diagramas Ligações'!$L:$L,Painéis!$A87,'Diagramas Ligações'!$N:$N)/2),0)</f>
        <v>14</v>
      </c>
      <c r="D87" s="225">
        <f>(SUMIF('Diagramas Ligações'!$K:$K,Painéis!$A87,'Diagramas Ligações'!$T:$T))+(SUMIF('Diagramas Ligações'!$L:$L,Painéis!$A87,'Diagramas Ligações'!$U:$U))</f>
        <v>0</v>
      </c>
      <c r="E87" s="263" t="s">
        <v>1722</v>
      </c>
      <c r="F87" s="41" t="s">
        <v>2083</v>
      </c>
      <c r="H87" s="46"/>
      <c r="I87" s="46"/>
      <c r="J87" s="46"/>
      <c r="V87" s="303" t="s">
        <v>359</v>
      </c>
      <c r="W87" s="304" t="s">
        <v>703</v>
      </c>
      <c r="X8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8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8" spans="1:27" customFormat="1" x14ac:dyDescent="0.25">
      <c r="A88" s="230" t="s">
        <v>393</v>
      </c>
      <c r="B88" s="224" t="s">
        <v>733</v>
      </c>
      <c r="C88" s="225">
        <f>ROUND((SUMIF('Diagramas Ligações'!$K:$K,Painéis!$A88,'Diagramas Ligações'!$N:$N)/2)+(SUMIF('Diagramas Ligações'!$L:$L,Painéis!$A88,'Diagramas Ligações'!$N:$N)/2),0)</f>
        <v>14</v>
      </c>
      <c r="D88" s="225">
        <f>(SUMIF('Diagramas Ligações'!$K:$K,Painéis!$A88,'Diagramas Ligações'!$T:$T))+(SUMIF('Diagramas Ligações'!$L:$L,Painéis!$A88,'Diagramas Ligações'!$U:$U))</f>
        <v>0</v>
      </c>
      <c r="E88" s="263" t="s">
        <v>1722</v>
      </c>
      <c r="F88" s="41" t="s">
        <v>2083</v>
      </c>
      <c r="H88" s="46"/>
      <c r="I88" s="46"/>
      <c r="J88" s="46"/>
      <c r="V88" s="303" t="s">
        <v>393</v>
      </c>
      <c r="W88" s="304" t="s">
        <v>733</v>
      </c>
      <c r="X8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8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8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89" spans="1:27" customFormat="1" x14ac:dyDescent="0.25">
      <c r="A89" s="230" t="s">
        <v>1621</v>
      </c>
      <c r="B89" s="224" t="s">
        <v>1054</v>
      </c>
      <c r="C89" s="225">
        <f>ROUND((SUMIF('Diagramas Ligações'!$K:$K,Painéis!$A89,'Diagramas Ligações'!$N:$N)/2)+(SUMIF('Diagramas Ligações'!$L:$L,Painéis!$A89,'Diagramas Ligações'!$N:$N)/2),0)</f>
        <v>12</v>
      </c>
      <c r="D89" s="225">
        <f>(SUMIF('Diagramas Ligações'!$K:$K,Painéis!$A89,'Diagramas Ligações'!$T:$T))+(SUMIF('Diagramas Ligações'!$L:$L,Painéis!$A89,'Diagramas Ligações'!$U:$U))</f>
        <v>12</v>
      </c>
      <c r="E89" s="263" t="s">
        <v>2082</v>
      </c>
      <c r="F89" s="41"/>
      <c r="H89" s="46"/>
      <c r="I89" s="46"/>
      <c r="J89" s="46"/>
      <c r="V89" s="303" t="s">
        <v>1621</v>
      </c>
      <c r="W89" s="304" t="s">
        <v>1054</v>
      </c>
      <c r="X8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12</v>
      </c>
      <c r="Y8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8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8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0" spans="1:27" customFormat="1" x14ac:dyDescent="0.25">
      <c r="A90" s="230" t="s">
        <v>1555</v>
      </c>
      <c r="B90" s="224" t="s">
        <v>402</v>
      </c>
      <c r="C90" s="225">
        <f>ROUND((SUMIF('Diagramas Ligações'!$K:$K,Painéis!$A90,'Diagramas Ligações'!$N:$N)/2)+(SUMIF('Diagramas Ligações'!$L:$L,Painéis!$A90,'Diagramas Ligações'!$N:$N)/2),0)</f>
        <v>12</v>
      </c>
      <c r="D90" s="225">
        <f>(SUMIF('Diagramas Ligações'!$K:$K,Painéis!$A90,'Diagramas Ligações'!$T:$T))+(SUMIF('Diagramas Ligações'!$L:$L,Painéis!$A90,'Diagramas Ligações'!$U:$U))</f>
        <v>12</v>
      </c>
      <c r="E90" s="263" t="s">
        <v>1722</v>
      </c>
      <c r="F90" s="41" t="s">
        <v>2086</v>
      </c>
      <c r="H90" s="46"/>
      <c r="I90" s="46"/>
      <c r="J90" s="46"/>
      <c r="V90" s="303" t="s">
        <v>1555</v>
      </c>
      <c r="W90" s="304" t="s">
        <v>402</v>
      </c>
      <c r="X9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8</v>
      </c>
      <c r="Y9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1" spans="1:27" customFormat="1" x14ac:dyDescent="0.25">
      <c r="A91" s="230" t="s">
        <v>367</v>
      </c>
      <c r="B91" s="224" t="s">
        <v>703</v>
      </c>
      <c r="C91" s="225">
        <f>ROUND((SUMIF('Diagramas Ligações'!$K:$K,Painéis!$A91,'Diagramas Ligações'!$N:$N)/2)+(SUMIF('Diagramas Ligações'!$L:$L,Painéis!$A91,'Diagramas Ligações'!$N:$N)/2),0)</f>
        <v>12</v>
      </c>
      <c r="D91" s="225">
        <f>(SUMIF('Diagramas Ligações'!$K:$K,Painéis!$A91,'Diagramas Ligações'!$T:$T))+(SUMIF('Diagramas Ligações'!$L:$L,Painéis!$A91,'Diagramas Ligações'!$U:$U))</f>
        <v>0</v>
      </c>
      <c r="E91" s="263" t="s">
        <v>1722</v>
      </c>
      <c r="F91" s="41" t="s">
        <v>2083</v>
      </c>
      <c r="H91" s="46"/>
      <c r="I91" s="46"/>
      <c r="J91" s="46"/>
      <c r="V91" s="303" t="s">
        <v>367</v>
      </c>
      <c r="W91" s="304" t="s">
        <v>703</v>
      </c>
      <c r="X9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9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2" spans="1:27" customFormat="1" x14ac:dyDescent="0.25">
      <c r="A92" s="230" t="s">
        <v>1135</v>
      </c>
      <c r="B92" s="224" t="s">
        <v>762</v>
      </c>
      <c r="C92" s="225">
        <f>ROUND((SUMIF('Diagramas Ligações'!$K:$K,Painéis!$A92,'Diagramas Ligações'!$N:$N)/2)+(SUMIF('Diagramas Ligações'!$L:$L,Painéis!$A92,'Diagramas Ligações'!$N:$N)/2),0)</f>
        <v>12</v>
      </c>
      <c r="D92" s="225">
        <f>(SUMIF('Diagramas Ligações'!$K:$K,Painéis!$A92,'Diagramas Ligações'!$T:$T))+(SUMIF('Diagramas Ligações'!$L:$L,Painéis!$A92,'Diagramas Ligações'!$U:$U))</f>
        <v>0</v>
      </c>
      <c r="E92" s="263" t="s">
        <v>1722</v>
      </c>
      <c r="F92" s="41" t="s">
        <v>2083</v>
      </c>
      <c r="H92" s="46"/>
      <c r="I92" s="46"/>
      <c r="J92" s="46"/>
      <c r="V92" s="303" t="s">
        <v>1135</v>
      </c>
      <c r="W92" s="304" t="s">
        <v>762</v>
      </c>
      <c r="X9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9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3" spans="1:27" customFormat="1" x14ac:dyDescent="0.25">
      <c r="A93" s="230" t="s">
        <v>1656</v>
      </c>
      <c r="B93" s="224" t="s">
        <v>201</v>
      </c>
      <c r="C93" s="225">
        <f>ROUND((SUMIF('Diagramas Ligações'!$K:$K,Painéis!$A93,'Diagramas Ligações'!$N:$N)/2)+(SUMIF('Diagramas Ligações'!$L:$L,Painéis!$A93,'Diagramas Ligações'!$N:$N)/2),0)</f>
        <v>12</v>
      </c>
      <c r="D93" s="225">
        <f>(SUMIF('Diagramas Ligações'!$K:$K,Painéis!$A93,'Diagramas Ligações'!$T:$T))+(SUMIF('Diagramas Ligações'!$L:$L,Painéis!$A93,'Diagramas Ligações'!$U:$U))</f>
        <v>0</v>
      </c>
      <c r="E93" s="263" t="s">
        <v>2082</v>
      </c>
      <c r="F93" s="41"/>
      <c r="H93" s="46"/>
      <c r="I93" s="46"/>
      <c r="J93" s="46"/>
      <c r="V93" s="303" t="s">
        <v>1656</v>
      </c>
      <c r="W93" s="304" t="s">
        <v>201</v>
      </c>
      <c r="X9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9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4" spans="1:27" customFormat="1" x14ac:dyDescent="0.25">
      <c r="A94" s="230" t="s">
        <v>1611</v>
      </c>
      <c r="B94" s="224" t="s">
        <v>2090</v>
      </c>
      <c r="C94" s="225">
        <f>ROUND((SUMIF('Diagramas Ligações'!$K:$K,Painéis!$A94,'Diagramas Ligações'!$N:$N)/2)+(SUMIF('Diagramas Ligações'!$L:$L,Painéis!$A94,'Diagramas Ligações'!$N:$N)/2),0)</f>
        <v>12</v>
      </c>
      <c r="D94" s="225">
        <f>(SUMIF('Diagramas Ligações'!$K:$K,Painéis!$A94,'Diagramas Ligações'!$T:$T))+(SUMIF('Diagramas Ligações'!$L:$L,Painéis!$A94,'Diagramas Ligações'!$U:$U))</f>
        <v>0</v>
      </c>
      <c r="E94" s="263" t="s">
        <v>1722</v>
      </c>
      <c r="F94" s="41" t="s">
        <v>2086</v>
      </c>
      <c r="H94" s="46"/>
      <c r="I94" s="46"/>
      <c r="J94" s="46"/>
      <c r="V94" s="303" t="s">
        <v>1611</v>
      </c>
      <c r="W94" s="304" t="s">
        <v>2090</v>
      </c>
      <c r="X9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9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5" spans="1:27" customFormat="1" x14ac:dyDescent="0.25">
      <c r="A95" s="230" t="s">
        <v>1568</v>
      </c>
      <c r="B95" s="224" t="s">
        <v>1417</v>
      </c>
      <c r="C95" s="225">
        <f>ROUND((SUMIF('Diagramas Ligações'!$K:$K,Painéis!$A95,'Diagramas Ligações'!$N:$N)/2)+(SUMIF('Diagramas Ligações'!$L:$L,Painéis!$A95,'Diagramas Ligações'!$N:$N)/2),0)</f>
        <v>12</v>
      </c>
      <c r="D95" s="225">
        <f>(SUMIF('Diagramas Ligações'!$K:$K,Painéis!$A95,'Diagramas Ligações'!$T:$T))+(SUMIF('Diagramas Ligações'!$L:$L,Painéis!$A95,'Diagramas Ligações'!$U:$U))</f>
        <v>4</v>
      </c>
      <c r="E95" s="263" t="s">
        <v>1722</v>
      </c>
      <c r="F95" s="41" t="s">
        <v>2086</v>
      </c>
      <c r="H95" s="46"/>
      <c r="I95" s="46"/>
      <c r="J95" s="46"/>
      <c r="V95" s="303" t="s">
        <v>1568</v>
      </c>
      <c r="W95" s="304" t="s">
        <v>1417</v>
      </c>
      <c r="X9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9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12</v>
      </c>
      <c r="AA9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6" spans="1:27" customFormat="1" x14ac:dyDescent="0.25">
      <c r="A96" s="230" t="s">
        <v>1586</v>
      </c>
      <c r="B96" s="224" t="s">
        <v>1054</v>
      </c>
      <c r="C96" s="225">
        <f>ROUND((SUMIF('Diagramas Ligações'!$K:$K,Painéis!$A96,'Diagramas Ligações'!$N:$N)/2)+(SUMIF('Diagramas Ligações'!$L:$L,Painéis!$A96,'Diagramas Ligações'!$N:$N)/2),0)</f>
        <v>12</v>
      </c>
      <c r="D96" s="225">
        <f>(SUMIF('Diagramas Ligações'!$K:$K,Painéis!$A96,'Diagramas Ligações'!$T:$T))+(SUMIF('Diagramas Ligações'!$L:$L,Painéis!$A96,'Diagramas Ligações'!$U:$U))</f>
        <v>0</v>
      </c>
      <c r="E96" s="263" t="s">
        <v>1722</v>
      </c>
      <c r="F96" s="41" t="s">
        <v>2086</v>
      </c>
      <c r="H96" s="46"/>
      <c r="I96" s="46"/>
      <c r="J96" s="46"/>
      <c r="V96" s="303" t="s">
        <v>1586</v>
      </c>
      <c r="W96" s="304" t="s">
        <v>1054</v>
      </c>
      <c r="X9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6</v>
      </c>
      <c r="Y9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6</v>
      </c>
      <c r="AA9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7" spans="1:27" customFormat="1" x14ac:dyDescent="0.25">
      <c r="A97" s="230" t="s">
        <v>1628</v>
      </c>
      <c r="B97" s="224" t="s">
        <v>402</v>
      </c>
      <c r="C97" s="225">
        <f>ROUND((SUMIF('Diagramas Ligações'!$K:$K,Painéis!$A97,'Diagramas Ligações'!$N:$N)/2)+(SUMIF('Diagramas Ligações'!$L:$L,Painéis!$A97,'Diagramas Ligações'!$N:$N)/2),0)</f>
        <v>11</v>
      </c>
      <c r="D97" s="225">
        <f>(SUMIF('Diagramas Ligações'!$K:$K,Painéis!$A97,'Diagramas Ligações'!$T:$T))+(SUMIF('Diagramas Ligações'!$L:$L,Painéis!$A97,'Diagramas Ligações'!$U:$U))</f>
        <v>9</v>
      </c>
      <c r="E97" s="263" t="s">
        <v>1722</v>
      </c>
      <c r="F97" s="41" t="s">
        <v>2086</v>
      </c>
      <c r="H97" s="46"/>
      <c r="I97" s="46"/>
      <c r="J97" s="46"/>
      <c r="V97" s="303" t="s">
        <v>1628</v>
      </c>
      <c r="W97" s="304" t="s">
        <v>402</v>
      </c>
      <c r="X9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9</v>
      </c>
      <c r="Y9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8" spans="1:27" customFormat="1" x14ac:dyDescent="0.25">
      <c r="A98" s="230" t="s">
        <v>1154</v>
      </c>
      <c r="B98" s="224" t="s">
        <v>787</v>
      </c>
      <c r="C98" s="225">
        <f>ROUND((SUMIF('Diagramas Ligações'!$K:$K,Painéis!$A98,'Diagramas Ligações'!$N:$N)/2)+(SUMIF('Diagramas Ligações'!$L:$L,Painéis!$A98,'Diagramas Ligações'!$N:$N)/2),0)</f>
        <v>11</v>
      </c>
      <c r="D98" s="225">
        <f>(SUMIF('Diagramas Ligações'!$K:$K,Painéis!$A98,'Diagramas Ligações'!$T:$T))+(SUMIF('Diagramas Ligações'!$L:$L,Painéis!$A98,'Diagramas Ligações'!$U:$U))</f>
        <v>0</v>
      </c>
      <c r="E98" s="263" t="s">
        <v>1722</v>
      </c>
      <c r="F98" s="41" t="s">
        <v>2083</v>
      </c>
      <c r="H98" s="46"/>
      <c r="I98" s="46"/>
      <c r="J98" s="46"/>
      <c r="V98" s="303" t="s">
        <v>1154</v>
      </c>
      <c r="W98" s="304" t="s">
        <v>787</v>
      </c>
      <c r="X9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9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9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99" spans="1:27" customFormat="1" x14ac:dyDescent="0.25">
      <c r="A99" s="230" t="s">
        <v>1584</v>
      </c>
      <c r="B99" s="224" t="s">
        <v>1054</v>
      </c>
      <c r="C99" s="225">
        <f>ROUND((SUMIF('Diagramas Ligações'!$K:$K,Painéis!$A99,'Diagramas Ligações'!$N:$N)/2)+(SUMIF('Diagramas Ligações'!$L:$L,Painéis!$A99,'Diagramas Ligações'!$N:$N)/2),0)</f>
        <v>10</v>
      </c>
      <c r="D99" s="225">
        <f>(SUMIF('Diagramas Ligações'!$K:$K,Painéis!$A99,'Diagramas Ligações'!$T:$T))+(SUMIF('Diagramas Ligações'!$L:$L,Painéis!$A99,'Diagramas Ligações'!$U:$U))</f>
        <v>0</v>
      </c>
      <c r="E99" s="263" t="s">
        <v>2082</v>
      </c>
      <c r="F99" s="41"/>
      <c r="H99" s="46"/>
      <c r="I99" s="46"/>
      <c r="J99" s="46"/>
      <c r="V99" s="303" t="s">
        <v>1584</v>
      </c>
      <c r="W99" s="304" t="s">
        <v>1054</v>
      </c>
      <c r="X9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9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9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7</v>
      </c>
      <c r="AA9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00" spans="1:27" customFormat="1" x14ac:dyDescent="0.25">
      <c r="A100" s="230" t="s">
        <v>1614</v>
      </c>
      <c r="B100" s="224" t="s">
        <v>1054</v>
      </c>
      <c r="C100" s="225">
        <f>ROUND((SUMIF('Diagramas Ligações'!$K:$K,Painéis!$A100,'Diagramas Ligações'!$N:$N)/2)+(SUMIF('Diagramas Ligações'!$L:$L,Painéis!$A100,'Diagramas Ligações'!$N:$N)/2),0)</f>
        <v>8</v>
      </c>
      <c r="D100" s="225">
        <f>(SUMIF('Diagramas Ligações'!$K:$K,Painéis!$A100,'Diagramas Ligações'!$T:$T))+(SUMIF('Diagramas Ligações'!$L:$L,Painéis!$A100,'Diagramas Ligações'!$U:$U))</f>
        <v>0</v>
      </c>
      <c r="E100" s="263" t="s">
        <v>2082</v>
      </c>
      <c r="F100" s="41"/>
      <c r="H100" s="46"/>
      <c r="I100" s="46"/>
      <c r="J100" s="46"/>
      <c r="V100" s="303" t="s">
        <v>1614</v>
      </c>
      <c r="W100" s="304" t="s">
        <v>1054</v>
      </c>
      <c r="X10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0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10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1" spans="1:27" customFormat="1" x14ac:dyDescent="0.25">
      <c r="A101" s="230" t="s">
        <v>1594</v>
      </c>
      <c r="B101" s="224" t="s">
        <v>2090</v>
      </c>
      <c r="C101" s="225">
        <f>ROUND((SUMIF('Diagramas Ligações'!$K:$K,Painéis!$A101,'Diagramas Ligações'!$N:$N)/2)+(SUMIF('Diagramas Ligações'!$L:$L,Painéis!$A101,'Diagramas Ligações'!$N:$N)/2),0)</f>
        <v>10</v>
      </c>
      <c r="D101" s="225">
        <f>(SUMIF('Diagramas Ligações'!$K:$K,Painéis!$A101,'Diagramas Ligações'!$T:$T))+(SUMIF('Diagramas Ligações'!$L:$L,Painéis!$A101,'Diagramas Ligações'!$U:$U))</f>
        <v>0</v>
      </c>
      <c r="E101" s="263" t="s">
        <v>1722</v>
      </c>
      <c r="F101" s="41" t="s">
        <v>2086</v>
      </c>
      <c r="H101" s="46"/>
      <c r="I101" s="46"/>
      <c r="J101" s="46"/>
      <c r="V101" s="303" t="s">
        <v>1594</v>
      </c>
      <c r="W101" s="304" t="s">
        <v>2090</v>
      </c>
      <c r="X10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0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0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2" spans="1:27" customFormat="1" x14ac:dyDescent="0.25">
      <c r="A102" s="230" t="s">
        <v>489</v>
      </c>
      <c r="B102" s="224" t="s">
        <v>402</v>
      </c>
      <c r="C102" s="225">
        <f>ROUND((SUMIF('Diagramas Ligações'!$K:$K,Painéis!$A102,'Diagramas Ligações'!$N:$N)/2)+(SUMIF('Diagramas Ligações'!$L:$L,Painéis!$A102,'Diagramas Ligações'!$N:$N)/2),0)</f>
        <v>10</v>
      </c>
      <c r="D102" s="225">
        <f>(SUMIF('Diagramas Ligações'!$K:$K,Painéis!$A102,'Diagramas Ligações'!$T:$T))+(SUMIF('Diagramas Ligações'!$L:$L,Painéis!$A102,'Diagramas Ligações'!$U:$U))</f>
        <v>0</v>
      </c>
      <c r="E102" s="263" t="s">
        <v>1722</v>
      </c>
      <c r="F102" s="41" t="s">
        <v>2086</v>
      </c>
      <c r="H102" s="46"/>
      <c r="I102" s="46"/>
      <c r="J102" s="46"/>
      <c r="V102" s="303" t="s">
        <v>489</v>
      </c>
      <c r="W102" s="304" t="s">
        <v>402</v>
      </c>
      <c r="X10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0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10</v>
      </c>
      <c r="Z10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3" spans="1:27" customFormat="1" x14ac:dyDescent="0.25">
      <c r="A103" s="230" t="s">
        <v>1607</v>
      </c>
      <c r="B103" s="224" t="s">
        <v>2090</v>
      </c>
      <c r="C103" s="225">
        <f>ROUND((SUMIF('Diagramas Ligações'!$K:$K,Painéis!$A103,'Diagramas Ligações'!$N:$N)/2)+(SUMIF('Diagramas Ligações'!$L:$L,Painéis!$A103,'Diagramas Ligações'!$N:$N)/2),0)</f>
        <v>10</v>
      </c>
      <c r="D103" s="225">
        <f>(SUMIF('Diagramas Ligações'!$K:$K,Painéis!$A103,'Diagramas Ligações'!$T:$T))+(SUMIF('Diagramas Ligações'!$L:$L,Painéis!$A103,'Diagramas Ligações'!$U:$U))</f>
        <v>0</v>
      </c>
      <c r="E103" s="263" t="s">
        <v>1722</v>
      </c>
      <c r="F103" s="41" t="s">
        <v>2086</v>
      </c>
      <c r="H103" s="46"/>
      <c r="I103" s="46"/>
      <c r="J103" s="46"/>
      <c r="V103" s="303" t="s">
        <v>1607</v>
      </c>
      <c r="W103" s="304" t="s">
        <v>2090</v>
      </c>
      <c r="X10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0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10</v>
      </c>
      <c r="Z10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4" spans="1:27" customFormat="1" x14ac:dyDescent="0.25">
      <c r="A104" s="230" t="s">
        <v>1609</v>
      </c>
      <c r="B104" s="224" t="s">
        <v>2090</v>
      </c>
      <c r="C104" s="225">
        <f>ROUND((SUMIF('Diagramas Ligações'!$K:$K,Painéis!$A104,'Diagramas Ligações'!$N:$N)/2)+(SUMIF('Diagramas Ligações'!$L:$L,Painéis!$A104,'Diagramas Ligações'!$N:$N)/2),0)</f>
        <v>10</v>
      </c>
      <c r="D104" s="225">
        <f>(SUMIF('Diagramas Ligações'!$K:$K,Painéis!$A104,'Diagramas Ligações'!$T:$T))+(SUMIF('Diagramas Ligações'!$L:$L,Painéis!$A104,'Diagramas Ligações'!$U:$U))</f>
        <v>0</v>
      </c>
      <c r="E104" s="263" t="s">
        <v>1722</v>
      </c>
      <c r="F104" s="41" t="s">
        <v>2086</v>
      </c>
      <c r="H104" s="46"/>
      <c r="I104" s="46"/>
      <c r="J104" s="46"/>
      <c r="V104" s="303" t="s">
        <v>1609</v>
      </c>
      <c r="W104" s="304" t="s">
        <v>2090</v>
      </c>
      <c r="X10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0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10</v>
      </c>
      <c r="Z10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5" spans="1:27" customFormat="1" x14ac:dyDescent="0.25">
      <c r="A105" s="230" t="s">
        <v>129</v>
      </c>
      <c r="B105" s="224" t="s">
        <v>129</v>
      </c>
      <c r="C105" s="225">
        <f>ROUND((SUMIF('Diagramas Ligações'!$K:$K,Painéis!$A105,'Diagramas Ligações'!$N:$N)/2)+(SUMIF('Diagramas Ligações'!$L:$L,Painéis!$A105,'Diagramas Ligações'!$N:$N)/2),0)</f>
        <v>9</v>
      </c>
      <c r="D105" s="225">
        <f>(SUMIF('Diagramas Ligações'!$K:$K,Painéis!$A105,'Diagramas Ligações'!$T:$T))+(SUMIF('Diagramas Ligações'!$L:$L,Painéis!$A105,'Diagramas Ligações'!$U:$U))</f>
        <v>0</v>
      </c>
      <c r="E105" s="263" t="s">
        <v>2082</v>
      </c>
      <c r="F105" s="41"/>
      <c r="H105" s="46"/>
      <c r="I105" s="46"/>
      <c r="J105" s="46"/>
      <c r="V105" s="303" t="s">
        <v>129</v>
      </c>
      <c r="W105" s="304" t="s">
        <v>129</v>
      </c>
      <c r="X10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9</v>
      </c>
      <c r="Y10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0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6" spans="1:27" customFormat="1" x14ac:dyDescent="0.25">
      <c r="A106" s="230" t="s">
        <v>1544</v>
      </c>
      <c r="B106" s="224" t="s">
        <v>310</v>
      </c>
      <c r="C106" s="225">
        <f>ROUND((SUMIF('Diagramas Ligações'!$K:$K,Painéis!$A106,'Diagramas Ligações'!$N:$N)/2)+(SUMIF('Diagramas Ligações'!$L:$L,Painéis!$A106,'Diagramas Ligações'!$N:$N)/2),0)</f>
        <v>9</v>
      </c>
      <c r="D106" s="225">
        <f>(SUMIF('Diagramas Ligações'!$K:$K,Painéis!$A106,'Diagramas Ligações'!$T:$T))+(SUMIF('Diagramas Ligações'!$L:$L,Painéis!$A106,'Diagramas Ligações'!$U:$U))</f>
        <v>9</v>
      </c>
      <c r="E106" s="263" t="s">
        <v>2082</v>
      </c>
      <c r="F106" s="41" t="s">
        <v>2083</v>
      </c>
      <c r="H106" s="46"/>
      <c r="I106" s="46"/>
      <c r="J106" s="46"/>
      <c r="V106" s="303" t="s">
        <v>1544</v>
      </c>
      <c r="W106" s="304" t="s">
        <v>310</v>
      </c>
      <c r="X10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9</v>
      </c>
      <c r="Y10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0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7" spans="1:27" customFormat="1" x14ac:dyDescent="0.25">
      <c r="A107" s="230" t="s">
        <v>1570</v>
      </c>
      <c r="B107" s="224" t="s">
        <v>1417</v>
      </c>
      <c r="C107" s="225">
        <f>ROUND((SUMIF('Diagramas Ligações'!$K:$K,Painéis!$A107,'Diagramas Ligações'!$N:$N)/2)+(SUMIF('Diagramas Ligações'!$L:$L,Painéis!$A107,'Diagramas Ligações'!$N:$N)/2),0)</f>
        <v>8</v>
      </c>
      <c r="D107" s="225">
        <f>(SUMIF('Diagramas Ligações'!$K:$K,Painéis!$A107,'Diagramas Ligações'!$T:$T))+(SUMIF('Diagramas Ligações'!$L:$L,Painéis!$A107,'Diagramas Ligações'!$U:$U))</f>
        <v>0</v>
      </c>
      <c r="E107" s="263" t="s">
        <v>2082</v>
      </c>
      <c r="F107" s="41"/>
      <c r="H107" s="46"/>
      <c r="I107" s="46"/>
      <c r="J107" s="46"/>
      <c r="V107" s="303" t="s">
        <v>1570</v>
      </c>
      <c r="W107" s="304" t="s">
        <v>1417</v>
      </c>
      <c r="X10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0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0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8" spans="1:27" customFormat="1" x14ac:dyDescent="0.25">
      <c r="A108" s="230" t="s">
        <v>1577</v>
      </c>
      <c r="B108" s="224" t="s">
        <v>310</v>
      </c>
      <c r="C108" s="225">
        <f>ROUND((SUMIF('Diagramas Ligações'!$K:$K,Painéis!$A108,'Diagramas Ligações'!$N:$N)/2)+(SUMIF('Diagramas Ligações'!$L:$L,Painéis!$A108,'Diagramas Ligações'!$N:$N)/2),0)</f>
        <v>10</v>
      </c>
      <c r="D108" s="225">
        <f>(SUMIF('Diagramas Ligações'!$K:$K,Painéis!$A108,'Diagramas Ligações'!$T:$T))+(SUMIF('Diagramas Ligações'!$L:$L,Painéis!$A108,'Diagramas Ligações'!$U:$U))</f>
        <v>0</v>
      </c>
      <c r="E108" s="263" t="s">
        <v>1722</v>
      </c>
      <c r="F108" s="41" t="s">
        <v>2086</v>
      </c>
      <c r="H108" s="46"/>
      <c r="I108" s="46"/>
      <c r="J108" s="46"/>
      <c r="V108" s="303" t="s">
        <v>1577</v>
      </c>
      <c r="W108" s="304" t="s">
        <v>310</v>
      </c>
      <c r="X10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0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0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2</v>
      </c>
      <c r="AA10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09" spans="1:27" customFormat="1" x14ac:dyDescent="0.25">
      <c r="A109" s="230" t="s">
        <v>1612</v>
      </c>
      <c r="B109" s="224" t="s">
        <v>402</v>
      </c>
      <c r="C109" s="225">
        <f>ROUND((SUMIF('Diagramas Ligações'!$K:$K,Painéis!$A109,'Diagramas Ligações'!$N:$N)/2)+(SUMIF('Diagramas Ligações'!$L:$L,Painéis!$A109,'Diagramas Ligações'!$N:$N)/2),0)</f>
        <v>8</v>
      </c>
      <c r="D109" s="225">
        <f>(SUMIF('Diagramas Ligações'!$K:$K,Painéis!$A109,'Diagramas Ligações'!$T:$T))+(SUMIF('Diagramas Ligações'!$L:$L,Painéis!$A109,'Diagramas Ligações'!$U:$U))</f>
        <v>8</v>
      </c>
      <c r="E109" s="263" t="s">
        <v>1722</v>
      </c>
      <c r="F109" s="41" t="s">
        <v>2086</v>
      </c>
      <c r="H109" s="46"/>
      <c r="I109" s="46"/>
      <c r="J109" s="46"/>
      <c r="V109" s="303" t="s">
        <v>1612</v>
      </c>
      <c r="W109" s="304" t="s">
        <v>402</v>
      </c>
      <c r="X10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6</v>
      </c>
      <c r="Y10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0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0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0" spans="1:27" customFormat="1" x14ac:dyDescent="0.25">
      <c r="A110" s="230" t="s">
        <v>371</v>
      </c>
      <c r="B110" s="224" t="s">
        <v>733</v>
      </c>
      <c r="C110" s="225">
        <f>ROUND((SUMIF('Diagramas Ligações'!$K:$K,Painéis!$A110,'Diagramas Ligações'!$N:$N)/2)+(SUMIF('Diagramas Ligações'!$L:$L,Painéis!$A110,'Diagramas Ligações'!$N:$N)/2),0)</f>
        <v>8</v>
      </c>
      <c r="D110" s="225">
        <f>(SUMIF('Diagramas Ligações'!$K:$K,Painéis!$A110,'Diagramas Ligações'!$T:$T))+(SUMIF('Diagramas Ligações'!$L:$L,Painéis!$A110,'Diagramas Ligações'!$U:$U))</f>
        <v>0</v>
      </c>
      <c r="E110" s="263" t="s">
        <v>1722</v>
      </c>
      <c r="F110" s="41" t="s">
        <v>2083</v>
      </c>
      <c r="H110" s="46"/>
      <c r="I110" s="46"/>
      <c r="J110" s="46"/>
      <c r="V110" s="303" t="s">
        <v>371</v>
      </c>
      <c r="W110" s="304" t="s">
        <v>733</v>
      </c>
      <c r="X11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1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1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1" spans="1:27" customFormat="1" x14ac:dyDescent="0.25">
      <c r="A111" s="230" t="s">
        <v>1333</v>
      </c>
      <c r="B111" s="224" t="s">
        <v>235</v>
      </c>
      <c r="C111" s="225">
        <f>ROUND((SUMIF('Diagramas Ligações'!$K:$K,Painéis!$A111,'Diagramas Ligações'!$N:$N)/2)+(SUMIF('Diagramas Ligações'!$L:$L,Painéis!$A111,'Diagramas Ligações'!$N:$N)/2),0)</f>
        <v>8</v>
      </c>
      <c r="D111" s="225">
        <f>(SUMIF('Diagramas Ligações'!$K:$K,Painéis!$A111,'Diagramas Ligações'!$T:$T))+(SUMIF('Diagramas Ligações'!$L:$L,Painéis!$A111,'Diagramas Ligações'!$U:$U))</f>
        <v>0</v>
      </c>
      <c r="E111" s="263" t="s">
        <v>1722</v>
      </c>
      <c r="F111" s="41" t="s">
        <v>2086</v>
      </c>
      <c r="H111" s="46"/>
      <c r="I111" s="46"/>
      <c r="J111" s="46"/>
      <c r="V111" s="303" t="s">
        <v>1333</v>
      </c>
      <c r="W111" s="304" t="s">
        <v>235</v>
      </c>
      <c r="X11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1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</v>
      </c>
      <c r="Z11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2" spans="1:27" customFormat="1" x14ac:dyDescent="0.25">
      <c r="A112" s="230" t="s">
        <v>1660</v>
      </c>
      <c r="B112" s="224" t="s">
        <v>1199</v>
      </c>
      <c r="C112" s="225">
        <f>ROUND((SUMIF('Diagramas Ligações'!$K:$K,Painéis!$A112,'Diagramas Ligações'!$N:$N)/2)+(SUMIF('Diagramas Ligações'!$L:$L,Painéis!$A112,'Diagramas Ligações'!$N:$N)/2),0)</f>
        <v>8</v>
      </c>
      <c r="D112" s="225">
        <f>(SUMIF('Diagramas Ligações'!$K:$K,Painéis!$A112,'Diagramas Ligações'!$T:$T))+(SUMIF('Diagramas Ligações'!$L:$L,Painéis!$A112,'Diagramas Ligações'!$U:$U))</f>
        <v>0</v>
      </c>
      <c r="E112" s="263" t="s">
        <v>2082</v>
      </c>
      <c r="F112" s="41"/>
      <c r="H112" s="46"/>
      <c r="I112" s="46"/>
      <c r="J112" s="46"/>
      <c r="V112" s="303" t="s">
        <v>1660</v>
      </c>
      <c r="W112" s="304" t="s">
        <v>1199</v>
      </c>
      <c r="X11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1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1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3" spans="1:27" customFormat="1" x14ac:dyDescent="0.25">
      <c r="A113" s="230" t="s">
        <v>787</v>
      </c>
      <c r="B113" s="224" t="s">
        <v>787</v>
      </c>
      <c r="C113" s="225">
        <f>ROUND((SUMIF('Diagramas Ligações'!$K:$K,Painéis!$A113,'Diagramas Ligações'!$N:$N)/2)+(SUMIF('Diagramas Ligações'!$L:$L,Painéis!$A113,'Diagramas Ligações'!$N:$N)/2),0)</f>
        <v>8</v>
      </c>
      <c r="D113" s="225">
        <f>(SUMIF('Diagramas Ligações'!$K:$K,Painéis!$A113,'Diagramas Ligações'!$T:$T))+(SUMIF('Diagramas Ligações'!$L:$L,Painéis!$A113,'Diagramas Ligações'!$U:$U))</f>
        <v>0</v>
      </c>
      <c r="E113" s="263" t="s">
        <v>1722</v>
      </c>
      <c r="F113" s="41" t="s">
        <v>2083</v>
      </c>
      <c r="H113" s="46"/>
      <c r="I113" s="46"/>
      <c r="J113" s="46"/>
      <c r="V113" s="303" t="s">
        <v>787</v>
      </c>
      <c r="W113" s="304" t="s">
        <v>787</v>
      </c>
      <c r="X11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8</v>
      </c>
      <c r="Y11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1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4" spans="1:27" customFormat="1" x14ac:dyDescent="0.25">
      <c r="A114" s="230" t="s">
        <v>1620</v>
      </c>
      <c r="B114" s="224" t="s">
        <v>804</v>
      </c>
      <c r="C114" s="225">
        <f>ROUND((SUMIF('Diagramas Ligações'!$K:$K,Painéis!$A114,'Diagramas Ligações'!$N:$N)/2)+(SUMIF('Diagramas Ligações'!$L:$L,Painéis!$A114,'Diagramas Ligações'!$N:$N)/2),0)</f>
        <v>7</v>
      </c>
      <c r="D114" s="225">
        <f>(SUMIF('Diagramas Ligações'!$K:$K,Painéis!$A114,'Diagramas Ligações'!$T:$T))+(SUMIF('Diagramas Ligações'!$L:$L,Painéis!$A114,'Diagramas Ligações'!$U:$U))</f>
        <v>7</v>
      </c>
      <c r="E114" s="263" t="s">
        <v>1722</v>
      </c>
      <c r="F114" s="41" t="s">
        <v>2086</v>
      </c>
      <c r="H114" s="46"/>
      <c r="I114" s="46"/>
      <c r="J114" s="46"/>
      <c r="V114" s="303" t="s">
        <v>1620</v>
      </c>
      <c r="W114" s="304" t="s">
        <v>804</v>
      </c>
      <c r="X11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7</v>
      </c>
      <c r="Y11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1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5" spans="1:27" customFormat="1" x14ac:dyDescent="0.25">
      <c r="A115" s="230" t="s">
        <v>1253</v>
      </c>
      <c r="B115" s="224" t="s">
        <v>282</v>
      </c>
      <c r="C115" s="225">
        <f>ROUND((SUMIF('Diagramas Ligações'!$K:$K,Painéis!$A115,'Diagramas Ligações'!$N:$N)/2)+(SUMIF('Diagramas Ligações'!$L:$L,Painéis!$A115,'Diagramas Ligações'!$N:$N)/2),0)</f>
        <v>7</v>
      </c>
      <c r="D115" s="225">
        <f>(SUMIF('Diagramas Ligações'!$K:$K,Painéis!$A115,'Diagramas Ligações'!$T:$T))+(SUMIF('Diagramas Ligações'!$L:$L,Painéis!$A115,'Diagramas Ligações'!$U:$U))</f>
        <v>0</v>
      </c>
      <c r="E115" s="263" t="s">
        <v>1722</v>
      </c>
      <c r="F115" s="41" t="s">
        <v>2086</v>
      </c>
      <c r="H115" s="46"/>
      <c r="I115" s="46"/>
      <c r="J115" s="46"/>
      <c r="V115" s="303" t="s">
        <v>1253</v>
      </c>
      <c r="W115" s="304" t="s">
        <v>282</v>
      </c>
      <c r="X11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1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11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6" spans="1:27" customFormat="1" x14ac:dyDescent="0.25">
      <c r="A116" s="230" t="s">
        <v>1242</v>
      </c>
      <c r="B116" s="224" t="s">
        <v>282</v>
      </c>
      <c r="C116" s="225">
        <f>ROUND((SUMIF('Diagramas Ligações'!$K:$K,Painéis!$A116,'Diagramas Ligações'!$N:$N)/2)+(SUMIF('Diagramas Ligações'!$L:$L,Painéis!$A116,'Diagramas Ligações'!$N:$N)/2),0)</f>
        <v>7</v>
      </c>
      <c r="D116" s="225">
        <f>(SUMIF('Diagramas Ligações'!$K:$K,Painéis!$A116,'Diagramas Ligações'!$T:$T))+(SUMIF('Diagramas Ligações'!$L:$L,Painéis!$A116,'Diagramas Ligações'!$U:$U))</f>
        <v>0</v>
      </c>
      <c r="E116" s="263" t="s">
        <v>1722</v>
      </c>
      <c r="F116" s="41" t="s">
        <v>2086</v>
      </c>
      <c r="H116" s="46"/>
      <c r="I116" s="46"/>
      <c r="J116" s="46"/>
      <c r="V116" s="303" t="s">
        <v>1242</v>
      </c>
      <c r="W116" s="304" t="s">
        <v>282</v>
      </c>
      <c r="X11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1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2</v>
      </c>
      <c r="Z11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7" spans="1:27" customFormat="1" x14ac:dyDescent="0.25">
      <c r="A117" s="230" t="s">
        <v>1585</v>
      </c>
      <c r="B117" s="224" t="s">
        <v>310</v>
      </c>
      <c r="C117" s="225">
        <f>ROUND((SUMIF('Diagramas Ligações'!$K:$K,Painéis!$A117,'Diagramas Ligações'!$N:$N)/2)+(SUMIF('Diagramas Ligações'!$L:$L,Painéis!$A117,'Diagramas Ligações'!$N:$N)/2),0)</f>
        <v>7</v>
      </c>
      <c r="D117" s="225">
        <f>(SUMIF('Diagramas Ligações'!$K:$K,Painéis!$A117,'Diagramas Ligações'!$T:$T))+(SUMIF('Diagramas Ligações'!$L:$L,Painéis!$A117,'Diagramas Ligações'!$U:$U))</f>
        <v>6</v>
      </c>
      <c r="E117" s="263" t="s">
        <v>1722</v>
      </c>
      <c r="F117" s="41" t="s">
        <v>2086</v>
      </c>
      <c r="H117" s="46"/>
      <c r="I117" s="46"/>
      <c r="J117" s="46"/>
      <c r="V117" s="303" t="s">
        <v>1585</v>
      </c>
      <c r="W117" s="304" t="s">
        <v>310</v>
      </c>
      <c r="X11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6</v>
      </c>
      <c r="Y11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1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1</v>
      </c>
      <c r="AA11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8" spans="1:27" customFormat="1" x14ac:dyDescent="0.25">
      <c r="A118" s="230" t="s">
        <v>147</v>
      </c>
      <c r="B118" s="224" t="s">
        <v>82</v>
      </c>
      <c r="C118" s="225">
        <f>ROUND((SUMIF('Diagramas Ligações'!$K:$K,Painéis!$A118,'Diagramas Ligações'!$N:$N)/2)+(SUMIF('Diagramas Ligações'!$L:$L,Painéis!$A118,'Diagramas Ligações'!$N:$N)/2),0)</f>
        <v>7</v>
      </c>
      <c r="D118" s="225">
        <f>(SUMIF('Diagramas Ligações'!$K:$K,Painéis!$A118,'Diagramas Ligações'!$T:$T))+(SUMIF('Diagramas Ligações'!$L:$L,Painéis!$A118,'Diagramas Ligações'!$U:$U))</f>
        <v>0</v>
      </c>
      <c r="E118" s="263" t="s">
        <v>2082</v>
      </c>
      <c r="F118" s="41"/>
      <c r="H118" s="46"/>
      <c r="I118" s="46"/>
      <c r="J118" s="46"/>
      <c r="V118" s="303" t="s">
        <v>147</v>
      </c>
      <c r="W118" s="304" t="s">
        <v>82</v>
      </c>
      <c r="X11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1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1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19" spans="1:27" customFormat="1" x14ac:dyDescent="0.25">
      <c r="A119" s="230" t="s">
        <v>151</v>
      </c>
      <c r="B119" s="224" t="s">
        <v>82</v>
      </c>
      <c r="C119" s="225">
        <f>ROUND((SUMIF('Diagramas Ligações'!$K:$K,Painéis!$A119,'Diagramas Ligações'!$N:$N)/2)+(SUMIF('Diagramas Ligações'!$L:$L,Painéis!$A119,'Diagramas Ligações'!$N:$N)/2),0)</f>
        <v>7</v>
      </c>
      <c r="D119" s="225">
        <f>(SUMIF('Diagramas Ligações'!$K:$K,Painéis!$A119,'Diagramas Ligações'!$T:$T))+(SUMIF('Diagramas Ligações'!$L:$L,Painéis!$A119,'Diagramas Ligações'!$U:$U))</f>
        <v>0</v>
      </c>
      <c r="E119" s="263" t="s">
        <v>2082</v>
      </c>
      <c r="F119" s="41"/>
      <c r="H119" s="46"/>
      <c r="I119" s="46"/>
      <c r="J119" s="46"/>
      <c r="V119" s="303" t="s">
        <v>151</v>
      </c>
      <c r="W119" s="304" t="s">
        <v>82</v>
      </c>
      <c r="X11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1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1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1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0" spans="1:27" customFormat="1" x14ac:dyDescent="0.25">
      <c r="A120" s="230" t="s">
        <v>153</v>
      </c>
      <c r="B120" s="224" t="s">
        <v>82</v>
      </c>
      <c r="C120" s="225">
        <f>ROUND((SUMIF('Diagramas Ligações'!$K:$K,Painéis!$A120,'Diagramas Ligações'!$N:$N)/2)+(SUMIF('Diagramas Ligações'!$L:$L,Painéis!$A120,'Diagramas Ligações'!$N:$N)/2),0)</f>
        <v>7</v>
      </c>
      <c r="D120" s="225">
        <f>(SUMIF('Diagramas Ligações'!$K:$K,Painéis!$A120,'Diagramas Ligações'!$T:$T))+(SUMIF('Diagramas Ligações'!$L:$L,Painéis!$A120,'Diagramas Ligações'!$U:$U))</f>
        <v>0</v>
      </c>
      <c r="E120" s="263" t="s">
        <v>2082</v>
      </c>
      <c r="F120" s="41"/>
      <c r="H120" s="46"/>
      <c r="I120" s="46"/>
      <c r="J120" s="46"/>
      <c r="V120" s="303" t="s">
        <v>153</v>
      </c>
      <c r="W120" s="304" t="s">
        <v>82</v>
      </c>
      <c r="X12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1" spans="1:27" customFormat="1" x14ac:dyDescent="0.25">
      <c r="A121" s="230" t="s">
        <v>158</v>
      </c>
      <c r="B121" s="224" t="s">
        <v>201</v>
      </c>
      <c r="C121" s="225">
        <f>ROUND((SUMIF('Diagramas Ligações'!$K:$K,Painéis!$A121,'Diagramas Ligações'!$N:$N)/2)+(SUMIF('Diagramas Ligações'!$L:$L,Painéis!$A121,'Diagramas Ligações'!$N:$N)/2),0)</f>
        <v>7</v>
      </c>
      <c r="D121" s="225">
        <f>(SUMIF('Diagramas Ligações'!$K:$K,Painéis!$A121,'Diagramas Ligações'!$T:$T))+(SUMIF('Diagramas Ligações'!$L:$L,Painéis!$A121,'Diagramas Ligações'!$U:$U))</f>
        <v>0</v>
      </c>
      <c r="E121" s="263" t="s">
        <v>2082</v>
      </c>
      <c r="F121" s="41"/>
      <c r="H121" s="46"/>
      <c r="I121" s="46"/>
      <c r="J121" s="46"/>
      <c r="V121" s="303" t="s">
        <v>158</v>
      </c>
      <c r="W121" s="304" t="s">
        <v>201</v>
      </c>
      <c r="X12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2" spans="1:27" customFormat="1" x14ac:dyDescent="0.25">
      <c r="A122" s="230" t="s">
        <v>162</v>
      </c>
      <c r="B122" s="224" t="s">
        <v>201</v>
      </c>
      <c r="C122" s="225">
        <f>ROUND((SUMIF('Diagramas Ligações'!$K:$K,Painéis!$A122,'Diagramas Ligações'!$N:$N)/2)+(SUMIF('Diagramas Ligações'!$L:$L,Painéis!$A122,'Diagramas Ligações'!$N:$N)/2),0)</f>
        <v>7</v>
      </c>
      <c r="D122" s="225">
        <f>(SUMIF('Diagramas Ligações'!$K:$K,Painéis!$A122,'Diagramas Ligações'!$T:$T))+(SUMIF('Diagramas Ligações'!$L:$L,Painéis!$A122,'Diagramas Ligações'!$U:$U))</f>
        <v>0</v>
      </c>
      <c r="E122" s="263" t="s">
        <v>2082</v>
      </c>
      <c r="F122" s="41"/>
      <c r="H122" s="46"/>
      <c r="I122" s="46"/>
      <c r="J122" s="46"/>
      <c r="V122" s="303" t="s">
        <v>162</v>
      </c>
      <c r="W122" s="304" t="s">
        <v>201</v>
      </c>
      <c r="X12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3" spans="1:27" customFormat="1" x14ac:dyDescent="0.25">
      <c r="A123" s="230" t="s">
        <v>164</v>
      </c>
      <c r="B123" s="224" t="s">
        <v>201</v>
      </c>
      <c r="C123" s="225">
        <f>ROUND((SUMIF('Diagramas Ligações'!$K:$K,Painéis!$A123,'Diagramas Ligações'!$N:$N)/2)+(SUMIF('Diagramas Ligações'!$L:$L,Painéis!$A123,'Diagramas Ligações'!$N:$N)/2),0)</f>
        <v>7</v>
      </c>
      <c r="D123" s="225">
        <f>(SUMIF('Diagramas Ligações'!$K:$K,Painéis!$A123,'Diagramas Ligações'!$T:$T))+(SUMIF('Diagramas Ligações'!$L:$L,Painéis!$A123,'Diagramas Ligações'!$U:$U))</f>
        <v>0</v>
      </c>
      <c r="E123" s="263" t="s">
        <v>2082</v>
      </c>
      <c r="F123" s="41"/>
      <c r="H123" s="46"/>
      <c r="I123" s="46"/>
      <c r="J123" s="46"/>
      <c r="V123" s="303" t="s">
        <v>164</v>
      </c>
      <c r="W123" s="304" t="s">
        <v>201</v>
      </c>
      <c r="X12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4" spans="1:27" customFormat="1" x14ac:dyDescent="0.25">
      <c r="A124" s="230" t="s">
        <v>166</v>
      </c>
      <c r="B124" s="224" t="s">
        <v>201</v>
      </c>
      <c r="C124" s="225">
        <f>ROUND((SUMIF('Diagramas Ligações'!$K:$K,Painéis!$A124,'Diagramas Ligações'!$N:$N)/2)+(SUMIF('Diagramas Ligações'!$L:$L,Painéis!$A124,'Diagramas Ligações'!$N:$N)/2),0)</f>
        <v>7</v>
      </c>
      <c r="D124" s="225">
        <f>(SUMIF('Diagramas Ligações'!$K:$K,Painéis!$A124,'Diagramas Ligações'!$T:$T))+(SUMIF('Diagramas Ligações'!$L:$L,Painéis!$A124,'Diagramas Ligações'!$U:$U))</f>
        <v>0</v>
      </c>
      <c r="E124" s="263" t="s">
        <v>2082</v>
      </c>
      <c r="F124" s="41"/>
      <c r="H124" s="46"/>
      <c r="I124" s="46"/>
      <c r="J124" s="46"/>
      <c r="V124" s="303" t="s">
        <v>166</v>
      </c>
      <c r="W124" s="304" t="s">
        <v>201</v>
      </c>
      <c r="X12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5" spans="1:27" customFormat="1" x14ac:dyDescent="0.25">
      <c r="A125" s="230" t="s">
        <v>168</v>
      </c>
      <c r="B125" s="224" t="s">
        <v>201</v>
      </c>
      <c r="C125" s="225">
        <f>ROUND((SUMIF('Diagramas Ligações'!$K:$K,Painéis!$A125,'Diagramas Ligações'!$N:$N)/2)+(SUMIF('Diagramas Ligações'!$L:$L,Painéis!$A125,'Diagramas Ligações'!$N:$N)/2),0)</f>
        <v>7</v>
      </c>
      <c r="D125" s="225">
        <f>(SUMIF('Diagramas Ligações'!$K:$K,Painéis!$A125,'Diagramas Ligações'!$T:$T))+(SUMIF('Diagramas Ligações'!$L:$L,Painéis!$A125,'Diagramas Ligações'!$U:$U))</f>
        <v>0</v>
      </c>
      <c r="E125" s="263" t="s">
        <v>2082</v>
      </c>
      <c r="F125" s="41"/>
      <c r="H125" s="46"/>
      <c r="I125" s="46"/>
      <c r="J125" s="46"/>
      <c r="V125" s="303" t="s">
        <v>168</v>
      </c>
      <c r="W125" s="304" t="s">
        <v>201</v>
      </c>
      <c r="X12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6" spans="1:27" customFormat="1" x14ac:dyDescent="0.25">
      <c r="A126" s="230" t="s">
        <v>170</v>
      </c>
      <c r="B126" s="224" t="s">
        <v>201</v>
      </c>
      <c r="C126" s="225">
        <f>ROUND((SUMIF('Diagramas Ligações'!$K:$K,Painéis!$A126,'Diagramas Ligações'!$N:$N)/2)+(SUMIF('Diagramas Ligações'!$L:$L,Painéis!$A126,'Diagramas Ligações'!$N:$N)/2),0)</f>
        <v>7</v>
      </c>
      <c r="D126" s="225">
        <f>(SUMIF('Diagramas Ligações'!$K:$K,Painéis!$A126,'Diagramas Ligações'!$T:$T))+(SUMIF('Diagramas Ligações'!$L:$L,Painéis!$A126,'Diagramas Ligações'!$U:$U))</f>
        <v>0</v>
      </c>
      <c r="E126" s="263" t="s">
        <v>2082</v>
      </c>
      <c r="F126" s="41"/>
      <c r="H126" s="46"/>
      <c r="I126" s="46"/>
      <c r="J126" s="46"/>
      <c r="V126" s="303" t="s">
        <v>170</v>
      </c>
      <c r="W126" s="304" t="s">
        <v>201</v>
      </c>
      <c r="X12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7" spans="1:27" customFormat="1" x14ac:dyDescent="0.25">
      <c r="A127" s="230" t="s">
        <v>173</v>
      </c>
      <c r="B127" s="224" t="s">
        <v>201</v>
      </c>
      <c r="C127" s="225">
        <f>ROUND((SUMIF('Diagramas Ligações'!$K:$K,Painéis!$A127,'Diagramas Ligações'!$N:$N)/2)+(SUMIF('Diagramas Ligações'!$L:$L,Painéis!$A127,'Diagramas Ligações'!$N:$N)/2),0)</f>
        <v>7</v>
      </c>
      <c r="D127" s="225">
        <f>(SUMIF('Diagramas Ligações'!$K:$K,Painéis!$A127,'Diagramas Ligações'!$T:$T))+(SUMIF('Diagramas Ligações'!$L:$L,Painéis!$A127,'Diagramas Ligações'!$U:$U))</f>
        <v>0</v>
      </c>
      <c r="E127" s="263" t="s">
        <v>2082</v>
      </c>
      <c r="F127" s="41"/>
      <c r="H127" s="46"/>
      <c r="I127" s="46"/>
      <c r="J127" s="46"/>
      <c r="V127" s="303" t="s">
        <v>173</v>
      </c>
      <c r="W127" s="304" t="s">
        <v>201</v>
      </c>
      <c r="X12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8" spans="1:27" customFormat="1" x14ac:dyDescent="0.25">
      <c r="A128" s="230" t="s">
        <v>175</v>
      </c>
      <c r="B128" s="224" t="s">
        <v>201</v>
      </c>
      <c r="C128" s="225">
        <f>ROUND((SUMIF('Diagramas Ligações'!$K:$K,Painéis!$A128,'Diagramas Ligações'!$N:$N)/2)+(SUMIF('Diagramas Ligações'!$L:$L,Painéis!$A128,'Diagramas Ligações'!$N:$N)/2),0)</f>
        <v>7</v>
      </c>
      <c r="D128" s="225">
        <f>(SUMIF('Diagramas Ligações'!$K:$K,Painéis!$A128,'Diagramas Ligações'!$T:$T))+(SUMIF('Diagramas Ligações'!$L:$L,Painéis!$A128,'Diagramas Ligações'!$U:$U))</f>
        <v>0</v>
      </c>
      <c r="E128" s="263" t="s">
        <v>2082</v>
      </c>
      <c r="F128" s="41"/>
      <c r="H128" s="46"/>
      <c r="I128" s="46"/>
      <c r="J128" s="46"/>
      <c r="V128" s="303" t="s">
        <v>175</v>
      </c>
      <c r="W128" s="304" t="s">
        <v>201</v>
      </c>
      <c r="X12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29" spans="1:27" customFormat="1" x14ac:dyDescent="0.25">
      <c r="A129" s="230" t="s">
        <v>177</v>
      </c>
      <c r="B129" s="224" t="s">
        <v>201</v>
      </c>
      <c r="C129" s="225">
        <f>ROUND((SUMIF('Diagramas Ligações'!$K:$K,Painéis!$A129,'Diagramas Ligações'!$N:$N)/2)+(SUMIF('Diagramas Ligações'!$L:$L,Painéis!$A129,'Diagramas Ligações'!$N:$N)/2),0)</f>
        <v>7</v>
      </c>
      <c r="D129" s="225">
        <f>(SUMIF('Diagramas Ligações'!$K:$K,Painéis!$A129,'Diagramas Ligações'!$T:$T))+(SUMIF('Diagramas Ligações'!$L:$L,Painéis!$A129,'Diagramas Ligações'!$U:$U))</f>
        <v>0</v>
      </c>
      <c r="E129" s="263" t="s">
        <v>2082</v>
      </c>
      <c r="F129" s="41"/>
      <c r="H129" s="46"/>
      <c r="I129" s="46"/>
      <c r="J129" s="46"/>
      <c r="V129" s="303" t="s">
        <v>177</v>
      </c>
      <c r="W129" s="304" t="s">
        <v>201</v>
      </c>
      <c r="X12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2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2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2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0" spans="1:27" customFormat="1" x14ac:dyDescent="0.25">
      <c r="A130" s="230" t="s">
        <v>179</v>
      </c>
      <c r="B130" s="224" t="s">
        <v>201</v>
      </c>
      <c r="C130" s="225">
        <f>ROUND((SUMIF('Diagramas Ligações'!$K:$K,Painéis!$A130,'Diagramas Ligações'!$N:$N)/2)+(SUMIF('Diagramas Ligações'!$L:$L,Painéis!$A130,'Diagramas Ligações'!$N:$N)/2),0)</f>
        <v>7</v>
      </c>
      <c r="D130" s="225">
        <f>(SUMIF('Diagramas Ligações'!$K:$K,Painéis!$A130,'Diagramas Ligações'!$T:$T))+(SUMIF('Diagramas Ligações'!$L:$L,Painéis!$A130,'Diagramas Ligações'!$U:$U))</f>
        <v>0</v>
      </c>
      <c r="E130" s="263" t="s">
        <v>2082</v>
      </c>
      <c r="F130" s="41"/>
      <c r="H130" s="46"/>
      <c r="I130" s="46"/>
      <c r="J130" s="46"/>
      <c r="V130" s="303" t="s">
        <v>179</v>
      </c>
      <c r="W130" s="304" t="s">
        <v>201</v>
      </c>
      <c r="X13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3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7</v>
      </c>
      <c r="Z13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1" spans="1:27" customFormat="1" x14ac:dyDescent="0.25">
      <c r="A131" s="230" t="s">
        <v>1537</v>
      </c>
      <c r="B131" s="224" t="s">
        <v>201</v>
      </c>
      <c r="C131" s="225">
        <f>ROUND((SUMIF('Diagramas Ligações'!$K:$K,Painéis!$A131,'Diagramas Ligações'!$N:$N)/2)+(SUMIF('Diagramas Ligações'!$L:$L,Painéis!$A131,'Diagramas Ligações'!$N:$N)/2),0)</f>
        <v>8</v>
      </c>
      <c r="D131" s="225">
        <f>(SUMIF('Diagramas Ligações'!$K:$K,Painéis!$A131,'Diagramas Ligações'!$T:$T))+(SUMIF('Diagramas Ligações'!$L:$L,Painéis!$A131,'Diagramas Ligações'!$U:$U))</f>
        <v>0</v>
      </c>
      <c r="E131" s="263" t="s">
        <v>1722</v>
      </c>
      <c r="F131" s="41" t="s">
        <v>2086</v>
      </c>
      <c r="H131" s="46"/>
      <c r="I131" s="46"/>
      <c r="J131" s="46"/>
      <c r="V131" s="303" t="s">
        <v>1537</v>
      </c>
      <c r="W131" s="304" t="s">
        <v>201</v>
      </c>
      <c r="X13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8</v>
      </c>
      <c r="Y13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2" spans="1:27" customFormat="1" x14ac:dyDescent="0.25">
      <c r="A132" s="230" t="s">
        <v>1548</v>
      </c>
      <c r="B132" s="224" t="s">
        <v>402</v>
      </c>
      <c r="C132" s="225">
        <f>ROUND((SUMIF('Diagramas Ligações'!$K:$K,Painéis!$A132,'Diagramas Ligações'!$N:$N)/2)+(SUMIF('Diagramas Ligações'!$L:$L,Painéis!$A132,'Diagramas Ligações'!$N:$N)/2),0)</f>
        <v>4</v>
      </c>
      <c r="D132" s="225">
        <f>(SUMIF('Diagramas Ligações'!$K:$K,Painéis!$A132,'Diagramas Ligações'!$T:$T))+(SUMIF('Diagramas Ligações'!$L:$L,Painéis!$A132,'Diagramas Ligações'!$U:$U))</f>
        <v>1</v>
      </c>
      <c r="E132" s="263" t="s">
        <v>1722</v>
      </c>
      <c r="F132" s="41" t="s">
        <v>2086</v>
      </c>
      <c r="H132" s="46"/>
      <c r="I132" s="46"/>
      <c r="J132" s="46"/>
      <c r="V132" s="303" t="s">
        <v>1548</v>
      </c>
      <c r="W132" s="304" t="s">
        <v>402</v>
      </c>
      <c r="X13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3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3" spans="1:27" customFormat="1" x14ac:dyDescent="0.25">
      <c r="A133" s="230" t="s">
        <v>1619</v>
      </c>
      <c r="B133" s="224" t="s">
        <v>2090</v>
      </c>
      <c r="C133" s="225">
        <f>ROUND((SUMIF('Diagramas Ligações'!$K:$K,Painéis!$A133,'Diagramas Ligações'!$N:$N)/2)+(SUMIF('Diagramas Ligações'!$L:$L,Painéis!$A133,'Diagramas Ligações'!$N:$N)/2),0)</f>
        <v>6</v>
      </c>
      <c r="D133" s="225">
        <f>(SUMIF('Diagramas Ligações'!$K:$K,Painéis!$A133,'Diagramas Ligações'!$T:$T))+(SUMIF('Diagramas Ligações'!$L:$L,Painéis!$A133,'Diagramas Ligações'!$U:$U))</f>
        <v>0</v>
      </c>
      <c r="E133" s="263" t="s">
        <v>1722</v>
      </c>
      <c r="F133" s="41" t="s">
        <v>2086</v>
      </c>
      <c r="H133" s="46"/>
      <c r="I133" s="46"/>
      <c r="J133" s="46"/>
      <c r="V133" s="303" t="s">
        <v>1619</v>
      </c>
      <c r="W133" s="304" t="s">
        <v>2090</v>
      </c>
      <c r="X13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3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4" spans="1:27" customFormat="1" x14ac:dyDescent="0.25">
      <c r="A134" s="230" t="s">
        <v>1572</v>
      </c>
      <c r="B134" s="224" t="s">
        <v>2090</v>
      </c>
      <c r="C134" s="225">
        <f>ROUND((SUMIF('Diagramas Ligações'!$K:$K,Painéis!$A134,'Diagramas Ligações'!$N:$N)/2)+(SUMIF('Diagramas Ligações'!$L:$L,Painéis!$A134,'Diagramas Ligações'!$N:$N)/2),0)</f>
        <v>6</v>
      </c>
      <c r="D134" s="225">
        <f>(SUMIF('Diagramas Ligações'!$K:$K,Painéis!$A134,'Diagramas Ligações'!$T:$T))+(SUMIF('Diagramas Ligações'!$L:$L,Painéis!$A134,'Diagramas Ligações'!$U:$U))</f>
        <v>0</v>
      </c>
      <c r="E134" s="263" t="s">
        <v>1722</v>
      </c>
      <c r="F134" s="41" t="s">
        <v>2086</v>
      </c>
      <c r="H134" s="46"/>
      <c r="I134" s="46"/>
      <c r="J134" s="46"/>
      <c r="V134" s="303" t="s">
        <v>1572</v>
      </c>
      <c r="W134" s="304" t="s">
        <v>2090</v>
      </c>
      <c r="X13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3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5" spans="1:27" customFormat="1" x14ac:dyDescent="0.25">
      <c r="A135" s="230" t="s">
        <v>1623</v>
      </c>
      <c r="B135" s="224" t="s">
        <v>402</v>
      </c>
      <c r="C135" s="225">
        <f>ROUND((SUMIF('Diagramas Ligações'!$K:$K,Painéis!$A135,'Diagramas Ligações'!$N:$N)/2)+(SUMIF('Diagramas Ligações'!$L:$L,Painéis!$A135,'Diagramas Ligações'!$N:$N)/2),0)</f>
        <v>6</v>
      </c>
      <c r="D135" s="225">
        <f>(SUMIF('Diagramas Ligações'!$K:$K,Painéis!$A135,'Diagramas Ligações'!$T:$T))+(SUMIF('Diagramas Ligações'!$L:$L,Painéis!$A135,'Diagramas Ligações'!$U:$U))</f>
        <v>6</v>
      </c>
      <c r="E135" s="263" t="s">
        <v>1722</v>
      </c>
      <c r="F135" s="41" t="s">
        <v>2086</v>
      </c>
      <c r="H135" s="46"/>
      <c r="I135" s="46"/>
      <c r="J135" s="46"/>
      <c r="V135" s="303" t="s">
        <v>1623</v>
      </c>
      <c r="W135" s="304" t="s">
        <v>402</v>
      </c>
      <c r="X13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6</v>
      </c>
      <c r="Y13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6" spans="1:27" customFormat="1" x14ac:dyDescent="0.25">
      <c r="A136" s="230" t="s">
        <v>1622</v>
      </c>
      <c r="B136" s="224" t="s">
        <v>402</v>
      </c>
      <c r="C136" s="225">
        <f>ROUND((SUMIF('Diagramas Ligações'!$K:$K,Painéis!$A136,'Diagramas Ligações'!$N:$N)/2)+(SUMIF('Diagramas Ligações'!$L:$L,Painéis!$A136,'Diagramas Ligações'!$N:$N)/2),0)</f>
        <v>6</v>
      </c>
      <c r="D136" s="225">
        <f>(SUMIF('Diagramas Ligações'!$K:$K,Painéis!$A136,'Diagramas Ligações'!$T:$T))+(SUMIF('Diagramas Ligações'!$L:$L,Painéis!$A136,'Diagramas Ligações'!$U:$U))</f>
        <v>6</v>
      </c>
      <c r="E136" s="263" t="s">
        <v>1722</v>
      </c>
      <c r="F136" s="41" t="s">
        <v>2086</v>
      </c>
      <c r="H136" s="46"/>
      <c r="I136" s="46"/>
      <c r="J136" s="46"/>
      <c r="V136" s="303" t="s">
        <v>1622</v>
      </c>
      <c r="W136" s="304" t="s">
        <v>402</v>
      </c>
      <c r="X13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6</v>
      </c>
      <c r="Y13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7" spans="1:27" customFormat="1" x14ac:dyDescent="0.25">
      <c r="A137" s="230" t="s">
        <v>1634</v>
      </c>
      <c r="B137" s="224" t="s">
        <v>703</v>
      </c>
      <c r="C137" s="225">
        <f>ROUND((SUMIF('Diagramas Ligações'!$K:$K,Painéis!$A137,'Diagramas Ligações'!$N:$N)/2)+(SUMIF('Diagramas Ligações'!$L:$L,Painéis!$A137,'Diagramas Ligações'!$N:$N)/2),0)</f>
        <v>6</v>
      </c>
      <c r="D137" s="225">
        <f>(SUMIF('Diagramas Ligações'!$K:$K,Painéis!$A137,'Diagramas Ligações'!$T:$T))+(SUMIF('Diagramas Ligações'!$L:$L,Painéis!$A137,'Diagramas Ligações'!$U:$U))</f>
        <v>0</v>
      </c>
      <c r="E137" s="263" t="s">
        <v>1722</v>
      </c>
      <c r="F137" s="41" t="s">
        <v>2083</v>
      </c>
      <c r="H137" s="46"/>
      <c r="I137" s="46"/>
      <c r="J137" s="46"/>
      <c r="V137" s="303" t="s">
        <v>1634</v>
      </c>
      <c r="W137" s="304" t="s">
        <v>703</v>
      </c>
      <c r="X13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3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8" spans="1:27" customFormat="1" x14ac:dyDescent="0.25">
      <c r="A138" s="230" t="s">
        <v>1129</v>
      </c>
      <c r="B138" s="224" t="s">
        <v>762</v>
      </c>
      <c r="C138" s="225">
        <f>ROUND((SUMIF('Diagramas Ligações'!$K:$K,Painéis!$A138,'Diagramas Ligações'!$N:$N)/2)+(SUMIF('Diagramas Ligações'!$L:$L,Painéis!$A138,'Diagramas Ligações'!$N:$N)/2),0)</f>
        <v>6</v>
      </c>
      <c r="D138" s="225">
        <f>(SUMIF('Diagramas Ligações'!$K:$K,Painéis!$A138,'Diagramas Ligações'!$T:$T))+(SUMIF('Diagramas Ligações'!$L:$L,Painéis!$A138,'Diagramas Ligações'!$U:$U))</f>
        <v>0</v>
      </c>
      <c r="E138" s="263" t="s">
        <v>1722</v>
      </c>
      <c r="F138" s="41" t="s">
        <v>2083</v>
      </c>
      <c r="H138" s="46"/>
      <c r="I138" s="46"/>
      <c r="J138" s="46"/>
      <c r="V138" s="303" t="s">
        <v>1129</v>
      </c>
      <c r="W138" s="304" t="s">
        <v>762</v>
      </c>
      <c r="X13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3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3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39" spans="1:27" customFormat="1" x14ac:dyDescent="0.25">
      <c r="A139" s="230" t="s">
        <v>1549</v>
      </c>
      <c r="B139" s="224" t="s">
        <v>402</v>
      </c>
      <c r="C139" s="225">
        <f>ROUND((SUMIF('Diagramas Ligações'!$K:$K,Painéis!$A139,'Diagramas Ligações'!$N:$N)/2)+(SUMIF('Diagramas Ligações'!$L:$L,Painéis!$A139,'Diagramas Ligações'!$N:$N)/2),0)</f>
        <v>4</v>
      </c>
      <c r="D139" s="225">
        <f>(SUMIF('Diagramas Ligações'!$K:$K,Painéis!$A139,'Diagramas Ligações'!$T:$T))+(SUMIF('Diagramas Ligações'!$L:$L,Painéis!$A139,'Diagramas Ligações'!$U:$U))</f>
        <v>5</v>
      </c>
      <c r="E139" s="263" t="s">
        <v>1722</v>
      </c>
      <c r="F139" s="41" t="s">
        <v>2086</v>
      </c>
      <c r="H139" s="46"/>
      <c r="I139" s="46"/>
      <c r="J139" s="46"/>
      <c r="V139" s="303" t="s">
        <v>1549</v>
      </c>
      <c r="W139" s="304" t="s">
        <v>402</v>
      </c>
      <c r="X13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3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13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3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0" spans="1:27" customFormat="1" x14ac:dyDescent="0.25">
      <c r="A140" s="230" t="s">
        <v>1003</v>
      </c>
      <c r="B140" s="224" t="s">
        <v>2090</v>
      </c>
      <c r="C140" s="225">
        <f>ROUND((SUMIF('Diagramas Ligações'!$K:$K,Painéis!$A140,'Diagramas Ligações'!$N:$N)/2)+(SUMIF('Diagramas Ligações'!$L:$L,Painéis!$A140,'Diagramas Ligações'!$N:$N)/2),0)</f>
        <v>6</v>
      </c>
      <c r="D140" s="225">
        <f>(SUMIF('Diagramas Ligações'!$K:$K,Painéis!$A140,'Diagramas Ligações'!$T:$T))+(SUMIF('Diagramas Ligações'!$L:$L,Painéis!$A140,'Diagramas Ligações'!$U:$U))</f>
        <v>0</v>
      </c>
      <c r="E140" s="263" t="s">
        <v>1722</v>
      </c>
      <c r="F140" s="41" t="s">
        <v>2086</v>
      </c>
      <c r="H140" s="46"/>
      <c r="I140" s="46"/>
      <c r="J140" s="46"/>
      <c r="V140" s="303" t="s">
        <v>1003</v>
      </c>
      <c r="W140" s="304" t="s">
        <v>2090</v>
      </c>
      <c r="X14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</v>
      </c>
      <c r="Z14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1" spans="1:27" customFormat="1" x14ac:dyDescent="0.25">
      <c r="A141" s="230" t="s">
        <v>1005</v>
      </c>
      <c r="B141" s="224" t="s">
        <v>2090</v>
      </c>
      <c r="C141" s="225">
        <f>ROUND((SUMIF('Diagramas Ligações'!$K:$K,Painéis!$A141,'Diagramas Ligações'!$N:$N)/2)+(SUMIF('Diagramas Ligações'!$L:$L,Painéis!$A141,'Diagramas Ligações'!$N:$N)/2),0)</f>
        <v>6</v>
      </c>
      <c r="D141" s="225">
        <f>(SUMIF('Diagramas Ligações'!$K:$K,Painéis!$A141,'Diagramas Ligações'!$T:$T))+(SUMIF('Diagramas Ligações'!$L:$L,Painéis!$A141,'Diagramas Ligações'!$U:$U))</f>
        <v>0</v>
      </c>
      <c r="E141" s="263" t="s">
        <v>1722</v>
      </c>
      <c r="F141" s="41" t="s">
        <v>2086</v>
      </c>
      <c r="H141" s="46"/>
      <c r="I141" s="46"/>
      <c r="J141" s="46"/>
      <c r="V141" s="303" t="s">
        <v>1005</v>
      </c>
      <c r="W141" s="304" t="s">
        <v>2090</v>
      </c>
      <c r="X14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</v>
      </c>
      <c r="Z14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2" spans="1:27" customFormat="1" x14ac:dyDescent="0.25">
      <c r="A142" s="230" t="s">
        <v>1573</v>
      </c>
      <c r="B142" s="224" t="s">
        <v>1014</v>
      </c>
      <c r="C142" s="225">
        <f>ROUND((SUMIF('Diagramas Ligações'!$K:$K,Painéis!$A142,'Diagramas Ligações'!$N:$N)/2)+(SUMIF('Diagramas Ligações'!$L:$L,Painéis!$A142,'Diagramas Ligações'!$N:$N)/2),0)</f>
        <v>6</v>
      </c>
      <c r="D142" s="225">
        <f>(SUMIF('Diagramas Ligações'!$K:$K,Painéis!$A142,'Diagramas Ligações'!$T:$T))+(SUMIF('Diagramas Ligações'!$L:$L,Painéis!$A142,'Diagramas Ligações'!$U:$U))</f>
        <v>0</v>
      </c>
      <c r="E142" s="263" t="s">
        <v>2082</v>
      </c>
      <c r="F142" s="41"/>
      <c r="H142" s="46"/>
      <c r="I142" s="46"/>
      <c r="J142" s="46"/>
      <c r="V142" s="303" t="s">
        <v>1573</v>
      </c>
      <c r="W142" s="304" t="s">
        <v>1014</v>
      </c>
      <c r="X14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</v>
      </c>
      <c r="Z14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3" spans="1:27" customFormat="1" x14ac:dyDescent="0.25">
      <c r="A143" s="230" t="s">
        <v>1159</v>
      </c>
      <c r="B143" s="224" t="s">
        <v>1054</v>
      </c>
      <c r="C143" s="225">
        <f>ROUND((SUMIF('Diagramas Ligações'!$K:$K,Painéis!$A143,'Diagramas Ligações'!$N:$N)/2)+(SUMIF('Diagramas Ligações'!$L:$L,Painéis!$A143,'Diagramas Ligações'!$N:$N)/2),0)</f>
        <v>6</v>
      </c>
      <c r="D143" s="225">
        <f>(SUMIF('Diagramas Ligações'!$K:$K,Painéis!$A143,'Diagramas Ligações'!$T:$T))+(SUMIF('Diagramas Ligações'!$L:$L,Painéis!$A143,'Diagramas Ligações'!$U:$U))</f>
        <v>0</v>
      </c>
      <c r="E143" s="263" t="s">
        <v>2082</v>
      </c>
      <c r="F143" s="41"/>
      <c r="H143" s="46"/>
      <c r="I143" s="46"/>
      <c r="J143" s="46"/>
      <c r="V143" s="303" t="s">
        <v>1159</v>
      </c>
      <c r="W143" s="304" t="s">
        <v>1054</v>
      </c>
      <c r="X14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6</v>
      </c>
      <c r="Z14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4" spans="1:27" customFormat="1" x14ac:dyDescent="0.25">
      <c r="A144" s="230" t="s">
        <v>1202</v>
      </c>
      <c r="B144" s="224" t="s">
        <v>1199</v>
      </c>
      <c r="C144" s="225">
        <f>ROUND((SUMIF('Diagramas Ligações'!$K:$K,Painéis!$A144,'Diagramas Ligações'!$N:$N)/2)+(SUMIF('Diagramas Ligações'!$L:$L,Painéis!$A144,'Diagramas Ligações'!$N:$N)/2),0)</f>
        <v>5</v>
      </c>
      <c r="D144" s="225">
        <f>(SUMIF('Diagramas Ligações'!$K:$K,Painéis!$A144,'Diagramas Ligações'!$T:$T))+(SUMIF('Diagramas Ligações'!$L:$L,Painéis!$A144,'Diagramas Ligações'!$U:$U))</f>
        <v>0</v>
      </c>
      <c r="E144" s="263" t="s">
        <v>2082</v>
      </c>
      <c r="F144" s="41"/>
      <c r="H144" s="46"/>
      <c r="I144" s="46"/>
      <c r="J144" s="46"/>
      <c r="V144" s="303" t="s">
        <v>1202</v>
      </c>
      <c r="W144" s="304" t="s">
        <v>1199</v>
      </c>
      <c r="X14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5</v>
      </c>
      <c r="Y14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4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5" spans="1:27" customFormat="1" x14ac:dyDescent="0.25">
      <c r="A145" s="230" t="s">
        <v>1205</v>
      </c>
      <c r="B145" s="224" t="s">
        <v>1199</v>
      </c>
      <c r="C145" s="225">
        <f>ROUND((SUMIF('Diagramas Ligações'!$K:$K,Painéis!$A145,'Diagramas Ligações'!$N:$N)/2)+(SUMIF('Diagramas Ligações'!$L:$L,Painéis!$A145,'Diagramas Ligações'!$N:$N)/2),0)</f>
        <v>5</v>
      </c>
      <c r="D145" s="225">
        <f>(SUMIF('Diagramas Ligações'!$K:$K,Painéis!$A145,'Diagramas Ligações'!$T:$T))+(SUMIF('Diagramas Ligações'!$L:$L,Painéis!$A145,'Diagramas Ligações'!$U:$U))</f>
        <v>0</v>
      </c>
      <c r="E145" s="263" t="s">
        <v>2082</v>
      </c>
      <c r="F145" s="41"/>
      <c r="H145" s="46"/>
      <c r="I145" s="46"/>
      <c r="J145" s="46"/>
      <c r="V145" s="303" t="s">
        <v>1205</v>
      </c>
      <c r="W145" s="304" t="s">
        <v>1199</v>
      </c>
      <c r="X14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5</v>
      </c>
      <c r="Y14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4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6" spans="1:27" customFormat="1" x14ac:dyDescent="0.25">
      <c r="A146" s="230" t="s">
        <v>582</v>
      </c>
      <c r="B146" s="224" t="s">
        <v>82</v>
      </c>
      <c r="C146" s="225">
        <f>ROUND((SUMIF('Diagramas Ligações'!$K:$K,Painéis!$A146,'Diagramas Ligações'!$N:$N)/2)+(SUMIF('Diagramas Ligações'!$L:$L,Painéis!$A146,'Diagramas Ligações'!$N:$N)/2),0)</f>
        <v>9</v>
      </c>
      <c r="D146" s="225">
        <f>(SUMIF('Diagramas Ligações'!$K:$K,Painéis!$A146,'Diagramas Ligações'!$T:$T))+(SUMIF('Diagramas Ligações'!$L:$L,Painéis!$A146,'Diagramas Ligações'!$U:$U))</f>
        <v>0</v>
      </c>
      <c r="E146" s="263" t="s">
        <v>2082</v>
      </c>
      <c r="F146" s="41"/>
      <c r="H146" s="46"/>
      <c r="I146" s="46"/>
      <c r="J146" s="46"/>
      <c r="V146" s="303" t="s">
        <v>582</v>
      </c>
      <c r="W146" s="304" t="s">
        <v>82</v>
      </c>
      <c r="X14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4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9</v>
      </c>
      <c r="AA14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7" spans="1:27" customFormat="1" x14ac:dyDescent="0.25">
      <c r="A147" s="230" t="s">
        <v>947</v>
      </c>
      <c r="B147" s="224" t="s">
        <v>804</v>
      </c>
      <c r="C147" s="225">
        <f>ROUND((SUMIF('Diagramas Ligações'!$K:$K,Painéis!$A147,'Diagramas Ligações'!$N:$N)/2)+(SUMIF('Diagramas Ligações'!$L:$L,Painéis!$A147,'Diagramas Ligações'!$N:$N)/2),0)</f>
        <v>4</v>
      </c>
      <c r="D147" s="225">
        <f>(SUMIF('Diagramas Ligações'!$K:$K,Painéis!$A147,'Diagramas Ligações'!$T:$T))+(SUMIF('Diagramas Ligações'!$L:$L,Painéis!$A147,'Diagramas Ligações'!$U:$U))</f>
        <v>0</v>
      </c>
      <c r="E147" s="263" t="s">
        <v>1722</v>
      </c>
      <c r="F147" s="41" t="s">
        <v>2086</v>
      </c>
      <c r="H147" s="46"/>
      <c r="I147" s="46"/>
      <c r="J147" s="46"/>
      <c r="V147" s="303" t="s">
        <v>947</v>
      </c>
      <c r="W147" s="304" t="s">
        <v>804</v>
      </c>
      <c r="X14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4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8" spans="1:27" customFormat="1" x14ac:dyDescent="0.25">
      <c r="A148" s="230" t="s">
        <v>1665</v>
      </c>
      <c r="B148" s="224" t="s">
        <v>282</v>
      </c>
      <c r="C148" s="225">
        <f>ROUND((SUMIF('Diagramas Ligações'!$K:$K,Painéis!$A148,'Diagramas Ligações'!$N:$N)/2)+(SUMIF('Diagramas Ligações'!$L:$L,Painéis!$A148,'Diagramas Ligações'!$N:$N)/2),0)</f>
        <v>4</v>
      </c>
      <c r="D148" s="225">
        <f>(SUMIF('Diagramas Ligações'!$K:$K,Painéis!$A148,'Diagramas Ligações'!$T:$T))+(SUMIF('Diagramas Ligações'!$L:$L,Painéis!$A148,'Diagramas Ligações'!$U:$U))</f>
        <v>0</v>
      </c>
      <c r="E148" s="263" t="s">
        <v>2082</v>
      </c>
      <c r="F148" s="41"/>
      <c r="H148" s="46"/>
      <c r="I148" s="46"/>
      <c r="J148" s="46"/>
      <c r="V148" s="303" t="s">
        <v>1665</v>
      </c>
      <c r="W148" s="304" t="s">
        <v>282</v>
      </c>
      <c r="X14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4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4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49" spans="1:27" customFormat="1" x14ac:dyDescent="0.25">
      <c r="A149" s="230" t="s">
        <v>941</v>
      </c>
      <c r="B149" s="224" t="s">
        <v>804</v>
      </c>
      <c r="C149" s="225">
        <f>ROUND((SUMIF('Diagramas Ligações'!$K:$K,Painéis!$A149,'Diagramas Ligações'!$N:$N)/2)+(SUMIF('Diagramas Ligações'!$L:$L,Painéis!$A149,'Diagramas Ligações'!$N:$N)/2),0)</f>
        <v>4</v>
      </c>
      <c r="D149" s="225">
        <f>(SUMIF('Diagramas Ligações'!$K:$K,Painéis!$A149,'Diagramas Ligações'!$T:$T))+(SUMIF('Diagramas Ligações'!$L:$L,Painéis!$A149,'Diagramas Ligações'!$U:$U))</f>
        <v>0</v>
      </c>
      <c r="E149" s="263" t="s">
        <v>1722</v>
      </c>
      <c r="F149" s="41" t="s">
        <v>2086</v>
      </c>
      <c r="H149" s="46"/>
      <c r="I149" s="46"/>
      <c r="J149" s="46"/>
      <c r="V149" s="303" t="s">
        <v>941</v>
      </c>
      <c r="W149" s="304" t="s">
        <v>804</v>
      </c>
      <c r="X14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4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4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4</v>
      </c>
      <c r="AA14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0" spans="1:27" customFormat="1" x14ac:dyDescent="0.25">
      <c r="A150" s="230" t="s">
        <v>821</v>
      </c>
      <c r="B150" s="224" t="s">
        <v>804</v>
      </c>
      <c r="C150" s="225">
        <f>ROUND((SUMIF('Diagramas Ligações'!$K:$K,Painéis!$A150,'Diagramas Ligações'!$N:$N)/2)+(SUMIF('Diagramas Ligações'!$L:$L,Painéis!$A150,'Diagramas Ligações'!$N:$N)/2),0)</f>
        <v>4</v>
      </c>
      <c r="D150" s="225">
        <f>(SUMIF('Diagramas Ligações'!$K:$K,Painéis!$A150,'Diagramas Ligações'!$T:$T))+(SUMIF('Diagramas Ligações'!$L:$L,Painéis!$A150,'Diagramas Ligações'!$U:$U))</f>
        <v>0</v>
      </c>
      <c r="E150" s="263" t="s">
        <v>1722</v>
      </c>
      <c r="F150" s="41" t="s">
        <v>2086</v>
      </c>
      <c r="H150" s="46"/>
      <c r="I150" s="46"/>
      <c r="J150" s="46"/>
      <c r="V150" s="303" t="s">
        <v>821</v>
      </c>
      <c r="W150" s="304" t="s">
        <v>804</v>
      </c>
      <c r="X15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5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15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1" spans="1:27" customFormat="1" x14ac:dyDescent="0.25">
      <c r="A151" s="230" t="s">
        <v>480</v>
      </c>
      <c r="B151" s="224" t="s">
        <v>402</v>
      </c>
      <c r="C151" s="225">
        <f>ROUND((SUMIF('Diagramas Ligações'!$K:$K,Painéis!$A151,'Diagramas Ligações'!$N:$N)/2)+(SUMIF('Diagramas Ligações'!$L:$L,Painéis!$A151,'Diagramas Ligações'!$N:$N)/2),0)</f>
        <v>4</v>
      </c>
      <c r="D151" s="225">
        <f>(SUMIF('Diagramas Ligações'!$K:$K,Painéis!$A151,'Diagramas Ligações'!$T:$T))+(SUMIF('Diagramas Ligações'!$L:$L,Painéis!$A151,'Diagramas Ligações'!$U:$U))</f>
        <v>0</v>
      </c>
      <c r="E151" s="263" t="s">
        <v>1722</v>
      </c>
      <c r="F151" s="41" t="s">
        <v>2086</v>
      </c>
      <c r="H151" s="46"/>
      <c r="I151" s="46"/>
      <c r="J151" s="46"/>
      <c r="V151" s="303" t="s">
        <v>480</v>
      </c>
      <c r="W151" s="304" t="s">
        <v>402</v>
      </c>
      <c r="X15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5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15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2" spans="1:27" customFormat="1" x14ac:dyDescent="0.25">
      <c r="A152" s="230" t="s">
        <v>485</v>
      </c>
      <c r="B152" s="224" t="s">
        <v>402</v>
      </c>
      <c r="C152" s="225">
        <f>ROUND((SUMIF('Diagramas Ligações'!$K:$K,Painéis!$A152,'Diagramas Ligações'!$N:$N)/2)+(SUMIF('Diagramas Ligações'!$L:$L,Painéis!$A152,'Diagramas Ligações'!$N:$N)/2),0)</f>
        <v>4</v>
      </c>
      <c r="D152" s="225">
        <f>(SUMIF('Diagramas Ligações'!$K:$K,Painéis!$A152,'Diagramas Ligações'!$T:$T))+(SUMIF('Diagramas Ligações'!$L:$L,Painéis!$A152,'Diagramas Ligações'!$U:$U))</f>
        <v>0</v>
      </c>
      <c r="E152" s="263" t="s">
        <v>1722</v>
      </c>
      <c r="F152" s="41" t="s">
        <v>2086</v>
      </c>
      <c r="H152" s="46"/>
      <c r="I152" s="46"/>
      <c r="J152" s="46"/>
      <c r="V152" s="303" t="s">
        <v>485</v>
      </c>
      <c r="W152" s="304" t="s">
        <v>402</v>
      </c>
      <c r="X15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5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15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3" spans="1:27" customFormat="1" x14ac:dyDescent="0.25">
      <c r="A153" s="230" t="s">
        <v>487</v>
      </c>
      <c r="B153" s="224" t="s">
        <v>402</v>
      </c>
      <c r="C153" s="225">
        <f>ROUND((SUMIF('Diagramas Ligações'!$K:$K,Painéis!$A153,'Diagramas Ligações'!$N:$N)/2)+(SUMIF('Diagramas Ligações'!$L:$L,Painéis!$A153,'Diagramas Ligações'!$N:$N)/2),0)</f>
        <v>4</v>
      </c>
      <c r="D153" s="225">
        <f>(SUMIF('Diagramas Ligações'!$K:$K,Painéis!$A153,'Diagramas Ligações'!$T:$T))+(SUMIF('Diagramas Ligações'!$L:$L,Painéis!$A153,'Diagramas Ligações'!$U:$U))</f>
        <v>0</v>
      </c>
      <c r="E153" s="263" t="s">
        <v>1722</v>
      </c>
      <c r="F153" s="41" t="s">
        <v>2086</v>
      </c>
      <c r="H153" s="46"/>
      <c r="I153" s="46"/>
      <c r="J153" s="46"/>
      <c r="V153" s="303" t="s">
        <v>487</v>
      </c>
      <c r="W153" s="304" t="s">
        <v>402</v>
      </c>
      <c r="X15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5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15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4" spans="1:27" customFormat="1" x14ac:dyDescent="0.25">
      <c r="A154" s="230" t="s">
        <v>886</v>
      </c>
      <c r="B154" s="224" t="s">
        <v>804</v>
      </c>
      <c r="C154" s="225">
        <f>ROUND((SUMIF('Diagramas Ligações'!$K:$K,Painéis!$A154,'Diagramas Ligações'!$N:$N)/2)+(SUMIF('Diagramas Ligações'!$L:$L,Painéis!$A154,'Diagramas Ligações'!$N:$N)/2),0)</f>
        <v>4</v>
      </c>
      <c r="D154" s="225">
        <f>(SUMIF('Diagramas Ligações'!$K:$K,Painéis!$A154,'Diagramas Ligações'!$T:$T))+(SUMIF('Diagramas Ligações'!$L:$L,Painéis!$A154,'Diagramas Ligações'!$U:$U))</f>
        <v>0</v>
      </c>
      <c r="E154" s="263" t="s">
        <v>1722</v>
      </c>
      <c r="F154" s="41" t="s">
        <v>2086</v>
      </c>
      <c r="H154" s="46"/>
      <c r="I154" s="46"/>
      <c r="J154" s="46"/>
      <c r="V154" s="303" t="s">
        <v>886</v>
      </c>
      <c r="W154" s="304" t="s">
        <v>804</v>
      </c>
      <c r="X15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4</v>
      </c>
      <c r="Y15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5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5" spans="1:27" customFormat="1" x14ac:dyDescent="0.25">
      <c r="A155" s="230" t="s">
        <v>1650</v>
      </c>
      <c r="B155" s="224" t="s">
        <v>1054</v>
      </c>
      <c r="C155" s="225">
        <f>ROUND((SUMIF('Diagramas Ligações'!$K:$K,Painéis!$A155,'Diagramas Ligações'!$N:$N)/2)+(SUMIF('Diagramas Ligações'!$L:$L,Painéis!$A155,'Diagramas Ligações'!$N:$N)/2),0)</f>
        <v>4</v>
      </c>
      <c r="D155" s="225">
        <f>(SUMIF('Diagramas Ligações'!$K:$K,Painéis!$A155,'Diagramas Ligações'!$T:$T))+(SUMIF('Diagramas Ligações'!$L:$L,Painéis!$A155,'Diagramas Ligações'!$U:$U))</f>
        <v>0</v>
      </c>
      <c r="E155" s="263" t="s">
        <v>2082</v>
      </c>
      <c r="F155" s="41"/>
      <c r="H155" s="46"/>
      <c r="I155" s="46"/>
      <c r="J155" s="46"/>
      <c r="V155" s="303" t="s">
        <v>1650</v>
      </c>
      <c r="W155" s="304" t="s">
        <v>1054</v>
      </c>
      <c r="X15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5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4</v>
      </c>
      <c r="Z15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6" spans="1:27" customFormat="1" x14ac:dyDescent="0.25">
      <c r="A156" s="230" t="s">
        <v>340</v>
      </c>
      <c r="B156" s="224" t="s">
        <v>310</v>
      </c>
      <c r="C156" s="225">
        <f>ROUND((SUMIF('Diagramas Ligações'!$K:$K,Painéis!$A156,'Diagramas Ligações'!$N:$N)/2)+(SUMIF('Diagramas Ligações'!$L:$L,Painéis!$A156,'Diagramas Ligações'!$N:$N)/2),0)</f>
        <v>3</v>
      </c>
      <c r="D156" s="225">
        <f>(SUMIF('Diagramas Ligações'!$K:$K,Painéis!$A156,'Diagramas Ligações'!$T:$T))+(SUMIF('Diagramas Ligações'!$L:$L,Painéis!$A156,'Diagramas Ligações'!$U:$U))</f>
        <v>3</v>
      </c>
      <c r="E156" s="263" t="s">
        <v>2082</v>
      </c>
      <c r="F156" s="41" t="s">
        <v>2083</v>
      </c>
      <c r="H156" s="46"/>
      <c r="I156" s="46"/>
      <c r="J156" s="46"/>
      <c r="V156" s="303" t="s">
        <v>340</v>
      </c>
      <c r="W156" s="304" t="s">
        <v>310</v>
      </c>
      <c r="X15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</v>
      </c>
      <c r="Y15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5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7" spans="1:27" customFormat="1" x14ac:dyDescent="0.25">
      <c r="A157" s="230" t="s">
        <v>345</v>
      </c>
      <c r="B157" s="224" t="s">
        <v>310</v>
      </c>
      <c r="C157" s="225">
        <f>ROUND((SUMIF('Diagramas Ligações'!$K:$K,Painéis!$A157,'Diagramas Ligações'!$N:$N)/2)+(SUMIF('Diagramas Ligações'!$L:$L,Painéis!$A157,'Diagramas Ligações'!$N:$N)/2),0)</f>
        <v>3</v>
      </c>
      <c r="D157" s="225">
        <f>(SUMIF('Diagramas Ligações'!$K:$K,Painéis!$A157,'Diagramas Ligações'!$T:$T))+(SUMIF('Diagramas Ligações'!$L:$L,Painéis!$A157,'Diagramas Ligações'!$U:$U))</f>
        <v>3</v>
      </c>
      <c r="E157" s="263" t="s">
        <v>2082</v>
      </c>
      <c r="F157" s="41" t="s">
        <v>2083</v>
      </c>
      <c r="H157" s="46"/>
      <c r="I157" s="46"/>
      <c r="J157" s="46"/>
      <c r="V157" s="303" t="s">
        <v>345</v>
      </c>
      <c r="W157" s="304" t="s">
        <v>310</v>
      </c>
      <c r="X15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</v>
      </c>
      <c r="Y15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5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8" spans="1:27" customFormat="1" x14ac:dyDescent="0.25">
      <c r="A158" s="230" t="s">
        <v>1065</v>
      </c>
      <c r="B158" s="224" t="s">
        <v>1054</v>
      </c>
      <c r="C158" s="225">
        <f>ROUND((SUMIF('Diagramas Ligações'!$K:$K,Painéis!$A158,'Diagramas Ligações'!$N:$N)/2)+(SUMIF('Diagramas Ligações'!$L:$L,Painéis!$A158,'Diagramas Ligações'!$N:$N)/2),0)</f>
        <v>3</v>
      </c>
      <c r="D158" s="225">
        <f>(SUMIF('Diagramas Ligações'!$K:$K,Painéis!$A158,'Diagramas Ligações'!$T:$T))+(SUMIF('Diagramas Ligações'!$L:$L,Painéis!$A158,'Diagramas Ligações'!$U:$U))</f>
        <v>0</v>
      </c>
      <c r="E158" s="263" t="s">
        <v>2082</v>
      </c>
      <c r="F158" s="41"/>
      <c r="H158" s="46"/>
      <c r="I158" s="46"/>
      <c r="J158" s="46"/>
      <c r="V158" s="303" t="s">
        <v>1065</v>
      </c>
      <c r="W158" s="304" t="s">
        <v>1054</v>
      </c>
      <c r="X15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</v>
      </c>
      <c r="Y15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5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59" spans="1:27" customFormat="1" x14ac:dyDescent="0.25">
      <c r="A159" s="230" t="s">
        <v>1070</v>
      </c>
      <c r="B159" s="224" t="s">
        <v>1054</v>
      </c>
      <c r="C159" s="225">
        <f>ROUND((SUMIF('Diagramas Ligações'!$K:$K,Painéis!$A159,'Diagramas Ligações'!$N:$N)/2)+(SUMIF('Diagramas Ligações'!$L:$L,Painéis!$A159,'Diagramas Ligações'!$N:$N)/2),0)</f>
        <v>3</v>
      </c>
      <c r="D159" s="225">
        <f>(SUMIF('Diagramas Ligações'!$K:$K,Painéis!$A159,'Diagramas Ligações'!$T:$T))+(SUMIF('Diagramas Ligações'!$L:$L,Painéis!$A159,'Diagramas Ligações'!$U:$U))</f>
        <v>0</v>
      </c>
      <c r="E159" s="263" t="s">
        <v>2082</v>
      </c>
      <c r="F159" s="41"/>
      <c r="H159" s="46"/>
      <c r="I159" s="46"/>
      <c r="J159" s="46"/>
      <c r="V159" s="303" t="s">
        <v>1070</v>
      </c>
      <c r="W159" s="304" t="s">
        <v>1054</v>
      </c>
      <c r="X15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</v>
      </c>
      <c r="Y15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5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5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0" spans="1:27" customFormat="1" x14ac:dyDescent="0.25">
      <c r="A160" s="230" t="s">
        <v>1615</v>
      </c>
      <c r="B160" s="224" t="s">
        <v>402</v>
      </c>
      <c r="C160" s="225">
        <f>ROUND((SUMIF('Diagramas Ligações'!$K:$K,Painéis!$A160,'Diagramas Ligações'!$N:$N)/2)+(SUMIF('Diagramas Ligações'!$L:$L,Painéis!$A160,'Diagramas Ligações'!$N:$N)/2),0)</f>
        <v>3</v>
      </c>
      <c r="D160" s="225">
        <f>(SUMIF('Diagramas Ligações'!$K:$K,Painéis!$A160,'Diagramas Ligações'!$T:$T))+(SUMIF('Diagramas Ligações'!$L:$L,Painéis!$A160,'Diagramas Ligações'!$U:$U))</f>
        <v>3</v>
      </c>
      <c r="E160" s="263" t="s">
        <v>1722</v>
      </c>
      <c r="F160" s="41" t="s">
        <v>2086</v>
      </c>
      <c r="H160" s="46"/>
      <c r="I160" s="46"/>
      <c r="J160" s="46"/>
      <c r="V160" s="303" t="s">
        <v>1615</v>
      </c>
      <c r="W160" s="304" t="s">
        <v>402</v>
      </c>
      <c r="X16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</v>
      </c>
      <c r="Y16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1" spans="1:27" customFormat="1" x14ac:dyDescent="0.25">
      <c r="A161" s="230" t="s">
        <v>1556</v>
      </c>
      <c r="B161" s="224" t="s">
        <v>402</v>
      </c>
      <c r="C161" s="225">
        <f>ROUND((SUMIF('Diagramas Ligações'!$K:$K,Painéis!$A161,'Diagramas Ligações'!$N:$N)/2)+(SUMIF('Diagramas Ligações'!$L:$L,Painéis!$A161,'Diagramas Ligações'!$N:$N)/2),0)</f>
        <v>3</v>
      </c>
      <c r="D161" s="225">
        <f>(SUMIF('Diagramas Ligações'!$K:$K,Painéis!$A161,'Diagramas Ligações'!$T:$T))+(SUMIF('Diagramas Ligações'!$L:$L,Painéis!$A161,'Diagramas Ligações'!$U:$U))</f>
        <v>3</v>
      </c>
      <c r="E161" s="263" t="s">
        <v>1722</v>
      </c>
      <c r="F161" s="41" t="s">
        <v>2086</v>
      </c>
      <c r="H161" s="46"/>
      <c r="I161" s="46"/>
      <c r="J161" s="46"/>
      <c r="V161" s="303" t="s">
        <v>1556</v>
      </c>
      <c r="W161" s="304" t="s">
        <v>402</v>
      </c>
      <c r="X16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</v>
      </c>
      <c r="Y16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2" spans="1:27" customFormat="1" x14ac:dyDescent="0.25">
      <c r="A162" s="230" t="s">
        <v>1616</v>
      </c>
      <c r="B162" s="224" t="s">
        <v>402</v>
      </c>
      <c r="C162" s="225">
        <f>ROUND((SUMIF('Diagramas Ligações'!$K:$K,Painéis!$A162,'Diagramas Ligações'!$N:$N)/2)+(SUMIF('Diagramas Ligações'!$L:$L,Painéis!$A162,'Diagramas Ligações'!$N:$N)/2),0)</f>
        <v>3</v>
      </c>
      <c r="D162" s="225">
        <f>(SUMIF('Diagramas Ligações'!$K:$K,Painéis!$A162,'Diagramas Ligações'!$T:$T))+(SUMIF('Diagramas Ligações'!$L:$L,Painéis!$A162,'Diagramas Ligações'!$U:$U))</f>
        <v>3</v>
      </c>
      <c r="E162" s="263" t="s">
        <v>1722</v>
      </c>
      <c r="F162" s="41" t="s">
        <v>2086</v>
      </c>
      <c r="H162" s="46"/>
      <c r="I162" s="46"/>
      <c r="J162" s="46"/>
      <c r="V162" s="303" t="s">
        <v>1616</v>
      </c>
      <c r="W162" s="304" t="s">
        <v>402</v>
      </c>
      <c r="X16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3</v>
      </c>
      <c r="Y16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3" spans="1:27" customFormat="1" x14ac:dyDescent="0.25">
      <c r="A163" s="230" t="s">
        <v>1664</v>
      </c>
      <c r="B163" s="224" t="s">
        <v>1199</v>
      </c>
      <c r="C163" s="225">
        <f>ROUND((SUMIF('Diagramas Ligações'!$K:$K,Painéis!$A163,'Diagramas Ligações'!$N:$N)/2)+(SUMIF('Diagramas Ligações'!$L:$L,Painéis!$A163,'Diagramas Ligações'!$N:$N)/2),0)</f>
        <v>2</v>
      </c>
      <c r="D163" s="225">
        <f>(SUMIF('Diagramas Ligações'!$K:$K,Painéis!$A163,'Diagramas Ligações'!$T:$T))+(SUMIF('Diagramas Ligações'!$L:$L,Painéis!$A163,'Diagramas Ligações'!$U:$U))</f>
        <v>0</v>
      </c>
      <c r="E163" s="263" t="s">
        <v>2082</v>
      </c>
      <c r="F163" s="41"/>
      <c r="H163" s="46"/>
      <c r="I163" s="46"/>
      <c r="J163" s="46"/>
      <c r="V163" s="303" t="s">
        <v>1664</v>
      </c>
      <c r="W163" s="304" t="s">
        <v>1199</v>
      </c>
      <c r="X16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2</v>
      </c>
      <c r="Y16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4" spans="1:27" customFormat="1" x14ac:dyDescent="0.25">
      <c r="A164" s="230" t="s">
        <v>1633</v>
      </c>
      <c r="B164" s="224" t="s">
        <v>733</v>
      </c>
      <c r="C164" s="225">
        <f>ROUND((SUMIF('Diagramas Ligações'!$K:$K,Painéis!$A164,'Diagramas Ligações'!$N:$N)/2)+(SUMIF('Diagramas Ligações'!$L:$L,Painéis!$A164,'Diagramas Ligações'!$N:$N)/2),0)</f>
        <v>2</v>
      </c>
      <c r="D164" s="225">
        <f>(SUMIF('Diagramas Ligações'!$K:$K,Painéis!$A164,'Diagramas Ligações'!$T:$T))+(SUMIF('Diagramas Ligações'!$L:$L,Painéis!$A164,'Diagramas Ligações'!$U:$U))</f>
        <v>0</v>
      </c>
      <c r="E164" s="263" t="s">
        <v>1722</v>
      </c>
      <c r="F164" s="41" t="s">
        <v>2083</v>
      </c>
      <c r="H164" s="46"/>
      <c r="I164" s="46"/>
      <c r="J164" s="46"/>
      <c r="V164" s="303" t="s">
        <v>1633</v>
      </c>
      <c r="W164" s="304" t="s">
        <v>733</v>
      </c>
      <c r="X16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6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5" spans="1:27" customFormat="1" x14ac:dyDescent="0.25">
      <c r="A165" s="230" t="s">
        <v>1636</v>
      </c>
      <c r="B165" s="224" t="s">
        <v>703</v>
      </c>
      <c r="C165" s="225">
        <f>ROUND((SUMIF('Diagramas Ligações'!$K:$K,Painéis!$A165,'Diagramas Ligações'!$N:$N)/2)+(SUMIF('Diagramas Ligações'!$L:$L,Painéis!$A165,'Diagramas Ligações'!$N:$N)/2),0)</f>
        <v>2</v>
      </c>
      <c r="D165" s="225">
        <f>(SUMIF('Diagramas Ligações'!$K:$K,Painéis!$A165,'Diagramas Ligações'!$T:$T))+(SUMIF('Diagramas Ligações'!$L:$L,Painéis!$A165,'Diagramas Ligações'!$U:$U))</f>
        <v>0</v>
      </c>
      <c r="E165" s="263" t="s">
        <v>1722</v>
      </c>
      <c r="F165" s="41" t="s">
        <v>2083</v>
      </c>
      <c r="H165" s="46"/>
      <c r="I165" s="46"/>
      <c r="J165" s="46"/>
      <c r="V165" s="303" t="s">
        <v>1636</v>
      </c>
      <c r="W165" s="304" t="s">
        <v>703</v>
      </c>
      <c r="X16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6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6" spans="1:27" customFormat="1" x14ac:dyDescent="0.25">
      <c r="A166" s="230" t="s">
        <v>1649</v>
      </c>
      <c r="B166" s="224" t="s">
        <v>762</v>
      </c>
      <c r="C166" s="225">
        <f>ROUND((SUMIF('Diagramas Ligações'!$K:$K,Painéis!$A166,'Diagramas Ligações'!$N:$N)/2)+(SUMIF('Diagramas Ligações'!$L:$L,Painéis!$A166,'Diagramas Ligações'!$N:$N)/2),0)</f>
        <v>2</v>
      </c>
      <c r="D166" s="225">
        <f>(SUMIF('Diagramas Ligações'!$K:$K,Painéis!$A166,'Diagramas Ligações'!$T:$T))+(SUMIF('Diagramas Ligações'!$L:$L,Painéis!$A166,'Diagramas Ligações'!$U:$U))</f>
        <v>0</v>
      </c>
      <c r="E166" s="263" t="s">
        <v>1722</v>
      </c>
      <c r="F166" s="41" t="s">
        <v>2083</v>
      </c>
      <c r="H166" s="46"/>
      <c r="I166" s="46"/>
      <c r="J166" s="46"/>
      <c r="V166" s="303" t="s">
        <v>1649</v>
      </c>
      <c r="W166" s="304" t="s">
        <v>762</v>
      </c>
      <c r="X16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6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7" spans="1:27" customFormat="1" x14ac:dyDescent="0.25">
      <c r="A167" s="230" t="s">
        <v>1015</v>
      </c>
      <c r="B167" s="224" t="s">
        <v>1014</v>
      </c>
      <c r="C167" s="225">
        <f>ROUND((SUMIF('Diagramas Ligações'!$K:$K,Painéis!$A167,'Diagramas Ligações'!$N:$N)/2)+(SUMIF('Diagramas Ligações'!$L:$L,Painéis!$A167,'Diagramas Ligações'!$N:$N)/2),0)</f>
        <v>2</v>
      </c>
      <c r="D167" s="225">
        <f>(SUMIF('Diagramas Ligações'!$K:$K,Painéis!$A167,'Diagramas Ligações'!$T:$T))+(SUMIF('Diagramas Ligações'!$L:$L,Painéis!$A167,'Diagramas Ligações'!$U:$U))</f>
        <v>0</v>
      </c>
      <c r="E167" s="263" t="s">
        <v>2082</v>
      </c>
      <c r="F167" s="41"/>
      <c r="H167" s="46"/>
      <c r="I167" s="46"/>
      <c r="J167" s="46"/>
      <c r="V167" s="303" t="s">
        <v>1015</v>
      </c>
      <c r="W167" s="304" t="s">
        <v>1014</v>
      </c>
      <c r="X16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6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8" spans="1:27" customFormat="1" x14ac:dyDescent="0.25">
      <c r="A168" s="230" t="s">
        <v>1024</v>
      </c>
      <c r="B168" s="224" t="s">
        <v>1014</v>
      </c>
      <c r="C168" s="225">
        <f>ROUND((SUMIF('Diagramas Ligações'!$K:$K,Painéis!$A168,'Diagramas Ligações'!$N:$N)/2)+(SUMIF('Diagramas Ligações'!$L:$L,Painéis!$A168,'Diagramas Ligações'!$N:$N)/2),0)</f>
        <v>2</v>
      </c>
      <c r="D168" s="225">
        <f>(SUMIF('Diagramas Ligações'!$K:$K,Painéis!$A168,'Diagramas Ligações'!$T:$T))+(SUMIF('Diagramas Ligações'!$L:$L,Painéis!$A168,'Diagramas Ligações'!$U:$U))</f>
        <v>0</v>
      </c>
      <c r="E168" s="263" t="s">
        <v>2082</v>
      </c>
      <c r="F168" s="41"/>
      <c r="H168" s="46"/>
      <c r="I168" s="46"/>
      <c r="J168" s="46"/>
      <c r="V168" s="303" t="s">
        <v>1024</v>
      </c>
      <c r="W168" s="304" t="s">
        <v>1014</v>
      </c>
      <c r="X16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6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69" spans="1:27" customFormat="1" x14ac:dyDescent="0.25">
      <c r="A169" s="230" t="s">
        <v>1654</v>
      </c>
      <c r="B169" s="224" t="s">
        <v>1014</v>
      </c>
      <c r="C169" s="225">
        <f>ROUND((SUMIF('Diagramas Ligações'!$K:$K,Painéis!$A169,'Diagramas Ligações'!$N:$N)/2)+(SUMIF('Diagramas Ligações'!$L:$L,Painéis!$A169,'Diagramas Ligações'!$N:$N)/2),0)</f>
        <v>2</v>
      </c>
      <c r="D169" s="225">
        <f>(SUMIF('Diagramas Ligações'!$K:$K,Painéis!$A169,'Diagramas Ligações'!$T:$T))+(SUMIF('Diagramas Ligações'!$L:$L,Painéis!$A169,'Diagramas Ligações'!$U:$U))</f>
        <v>0</v>
      </c>
      <c r="E169" s="263" t="s">
        <v>2082</v>
      </c>
      <c r="F169" s="41"/>
      <c r="H169" s="46"/>
      <c r="I169" s="46"/>
      <c r="J169" s="46"/>
      <c r="V169" s="303" t="s">
        <v>1654</v>
      </c>
      <c r="W169" s="304" t="s">
        <v>1014</v>
      </c>
      <c r="X16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6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6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6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70" spans="1:27" customFormat="1" x14ac:dyDescent="0.25">
      <c r="A170" s="230" t="s">
        <v>105</v>
      </c>
      <c r="B170" s="224" t="s">
        <v>1417</v>
      </c>
      <c r="C170" s="225">
        <f>ROUND((SUMIF('Diagramas Ligações'!$K:$K,Painéis!$A170,'Diagramas Ligações'!$N:$N)/2)+(SUMIF('Diagramas Ligações'!$L:$L,Painéis!$A170,'Diagramas Ligações'!$N:$N)/2),0)</f>
        <v>13</v>
      </c>
      <c r="D170" s="225">
        <f>(SUMIF('Diagramas Ligações'!$K:$K,Painéis!$A170,'Diagramas Ligações'!$T:$T))+(SUMIF('Diagramas Ligações'!$L:$L,Painéis!$A170,'Diagramas Ligações'!$U:$U))</f>
        <v>0</v>
      </c>
      <c r="E170" s="263" t="s">
        <v>2082</v>
      </c>
      <c r="F170" s="41"/>
      <c r="H170" s="46"/>
      <c r="I170" s="46"/>
      <c r="J170" s="46"/>
      <c r="V170" s="303" t="s">
        <v>105</v>
      </c>
      <c r="W170" s="304" t="s">
        <v>1417</v>
      </c>
      <c r="X17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11</v>
      </c>
      <c r="AA17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71" spans="1:27" customFormat="1" x14ac:dyDescent="0.25">
      <c r="A171" s="230" t="s">
        <v>1576</v>
      </c>
      <c r="B171" s="224" t="s">
        <v>310</v>
      </c>
      <c r="C171" s="225">
        <f>ROUND((SUMIF('Diagramas Ligações'!$K:$K,Painéis!$A171,'Diagramas Ligações'!$N:$N)/2)+(SUMIF('Diagramas Ligações'!$L:$L,Painéis!$A171,'Diagramas Ligações'!$N:$N)/2),0)</f>
        <v>1</v>
      </c>
      <c r="D171" s="225">
        <f>(SUMIF('Diagramas Ligações'!$K:$K,Painéis!$A171,'Diagramas Ligações'!$T:$T))+(SUMIF('Diagramas Ligações'!$L:$L,Painéis!$A171,'Diagramas Ligações'!$U:$U))</f>
        <v>0</v>
      </c>
      <c r="E171" s="263" t="s">
        <v>2082</v>
      </c>
      <c r="F171" s="41" t="s">
        <v>2083</v>
      </c>
      <c r="H171" s="46"/>
      <c r="I171" s="46"/>
      <c r="J171" s="46"/>
      <c r="V171" s="303" t="s">
        <v>1576</v>
      </c>
      <c r="W171" s="304" t="s">
        <v>310</v>
      </c>
      <c r="X17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72" spans="1:27" customFormat="1" x14ac:dyDescent="0.25">
      <c r="A172" s="230" t="s">
        <v>1581</v>
      </c>
      <c r="B172" s="224" t="s">
        <v>1054</v>
      </c>
      <c r="C172" s="225">
        <f>ROUND((SUMIF('Diagramas Ligações'!$K:$K,Painéis!$A172,'Diagramas Ligações'!$N:$N)/2)+(SUMIF('Diagramas Ligações'!$L:$L,Painéis!$A172,'Diagramas Ligações'!$N:$N)/2),0)</f>
        <v>1</v>
      </c>
      <c r="D172" s="225">
        <f>(SUMIF('Diagramas Ligações'!$K:$K,Painéis!$A172,'Diagramas Ligações'!$T:$T))+(SUMIF('Diagramas Ligações'!$L:$L,Painéis!$A172,'Diagramas Ligações'!$U:$U))</f>
        <v>0</v>
      </c>
      <c r="E172" s="263" t="s">
        <v>2082</v>
      </c>
      <c r="F172" s="41"/>
      <c r="H172" s="46"/>
      <c r="I172" s="46"/>
      <c r="J172" s="46"/>
      <c r="V172" s="303" t="s">
        <v>1581</v>
      </c>
      <c r="W172" s="304" t="s">
        <v>1054</v>
      </c>
      <c r="X172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2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2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2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73" spans="1:27" customFormat="1" x14ac:dyDescent="0.25">
      <c r="A173" s="230" t="s">
        <v>1582</v>
      </c>
      <c r="B173" s="224" t="s">
        <v>310</v>
      </c>
      <c r="C173" s="225">
        <f>ROUND((SUMIF('Diagramas Ligações'!$K:$K,Painéis!$A173,'Diagramas Ligações'!$N:$N)/2)+(SUMIF('Diagramas Ligações'!$L:$L,Painéis!$A173,'Diagramas Ligações'!$N:$N)/2),0)</f>
        <v>1</v>
      </c>
      <c r="D173" s="225">
        <f>(SUMIF('Diagramas Ligações'!$K:$K,Painéis!$A173,'Diagramas Ligações'!$T:$T))+(SUMIF('Diagramas Ligações'!$L:$L,Painéis!$A173,'Diagramas Ligações'!$U:$U))</f>
        <v>0</v>
      </c>
      <c r="E173" s="263" t="s">
        <v>2082</v>
      </c>
      <c r="F173" s="41" t="s">
        <v>2083</v>
      </c>
      <c r="H173" s="46"/>
      <c r="I173" s="46"/>
      <c r="J173" s="46"/>
      <c r="V173" s="303" t="s">
        <v>1582</v>
      </c>
      <c r="W173" s="304" t="s">
        <v>310</v>
      </c>
      <c r="X173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3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3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3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74" spans="1:27" customFormat="1" x14ac:dyDescent="0.25">
      <c r="A174" s="230" t="s">
        <v>1591</v>
      </c>
      <c r="B174" s="224" t="s">
        <v>1054</v>
      </c>
      <c r="C174" s="225">
        <f>ROUND((SUMIF('Diagramas Ligações'!$K:$K,Painéis!$A174,'Diagramas Ligações'!$N:$N)/2)+(SUMIF('Diagramas Ligações'!$L:$L,Painéis!$A174,'Diagramas Ligações'!$N:$N)/2),0)</f>
        <v>1</v>
      </c>
      <c r="D174" s="225">
        <f>(SUMIF('Diagramas Ligações'!$K:$K,Painéis!$A174,'Diagramas Ligações'!$T:$T))+(SUMIF('Diagramas Ligações'!$L:$L,Painéis!$A174,'Diagramas Ligações'!$U:$U))</f>
        <v>0</v>
      </c>
      <c r="E174" s="263" t="s">
        <v>2082</v>
      </c>
      <c r="F174" s="41"/>
      <c r="H174" s="46"/>
      <c r="I174" s="46"/>
      <c r="J174" s="46"/>
      <c r="V174" s="303" t="s">
        <v>1591</v>
      </c>
      <c r="W174" s="304" t="s">
        <v>1054</v>
      </c>
      <c r="X174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4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4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4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75" spans="1:27" customFormat="1" x14ac:dyDescent="0.25">
      <c r="A175" s="230" t="s">
        <v>155</v>
      </c>
      <c r="B175" s="224" t="s">
        <v>1417</v>
      </c>
      <c r="C175" s="225">
        <f>ROUND((SUMIF('Diagramas Ligações'!$K:$K,Painéis!$A175,'Diagramas Ligações'!$N:$N)/2)+(SUMIF('Diagramas Ligações'!$L:$L,Painéis!$A175,'Diagramas Ligações'!$N:$N)/2),0)</f>
        <v>4</v>
      </c>
      <c r="D175" s="225">
        <f>(SUMIF('Diagramas Ligações'!$K:$K,Painéis!$A175,'Diagramas Ligações'!$T:$T))+(SUMIF('Diagramas Ligações'!$L:$L,Painéis!$A175,'Diagramas Ligações'!$U:$U))</f>
        <v>0</v>
      </c>
      <c r="E175" s="263" t="s">
        <v>2082</v>
      </c>
      <c r="F175" s="41"/>
      <c r="H175" s="46"/>
      <c r="I175" s="46"/>
      <c r="J175" s="46"/>
      <c r="V175" s="303" t="s">
        <v>155</v>
      </c>
      <c r="W175" s="304" t="s">
        <v>1417</v>
      </c>
      <c r="X175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5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5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2</v>
      </c>
      <c r="AA175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2</v>
      </c>
    </row>
    <row r="176" spans="1:27" customFormat="1" x14ac:dyDescent="0.25">
      <c r="A176" s="230" t="s">
        <v>1587</v>
      </c>
      <c r="B176" s="224" t="s">
        <v>402</v>
      </c>
      <c r="C176" s="225">
        <f>ROUND((SUMIF('Diagramas Ligações'!$K:$K,Painéis!$A176,'Diagramas Ligações'!$N:$N)/2)+(SUMIF('Diagramas Ligações'!$L:$L,Painéis!$A176,'Diagramas Ligações'!$N:$N)/2),0)</f>
        <v>1</v>
      </c>
      <c r="D176" s="225">
        <f>(SUMIF('Diagramas Ligações'!$K:$K,Painéis!$A176,'Diagramas Ligações'!$T:$T))+(SUMIF('Diagramas Ligações'!$L:$L,Painéis!$A176,'Diagramas Ligações'!$U:$U))</f>
        <v>0</v>
      </c>
      <c r="E176" s="263" t="s">
        <v>1722</v>
      </c>
      <c r="F176" s="41" t="s">
        <v>2086</v>
      </c>
      <c r="H176" s="46"/>
      <c r="I176" s="46"/>
      <c r="J176" s="46"/>
      <c r="V176" s="303" t="s">
        <v>1587</v>
      </c>
      <c r="W176" s="304" t="s">
        <v>402</v>
      </c>
      <c r="X176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6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6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6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77" spans="1:27" customFormat="1" x14ac:dyDescent="0.25">
      <c r="A177" s="230" t="s">
        <v>324</v>
      </c>
      <c r="B177" s="224" t="s">
        <v>310</v>
      </c>
      <c r="C177" s="225">
        <f>ROUND((SUMIF('Diagramas Ligações'!$K:$K,Painéis!$A177,'Diagramas Ligações'!$N:$N)/2)+(SUMIF('Diagramas Ligações'!$L:$L,Painéis!$A177,'Diagramas Ligações'!$N:$N)/2),0)</f>
        <v>1</v>
      </c>
      <c r="D177" s="225">
        <f>(SUMIF('Diagramas Ligações'!$K:$K,Painéis!$A177,'Diagramas Ligações'!$T:$T))+(SUMIF('Diagramas Ligações'!$L:$L,Painéis!$A177,'Diagramas Ligações'!$U:$U))</f>
        <v>0</v>
      </c>
      <c r="E177" s="263" t="s">
        <v>2082</v>
      </c>
      <c r="F177" s="41" t="s">
        <v>2083</v>
      </c>
      <c r="H177" s="46"/>
      <c r="I177" s="46"/>
      <c r="J177" s="46"/>
      <c r="V177" s="303" t="s">
        <v>324</v>
      </c>
      <c r="W177" s="304" t="s">
        <v>310</v>
      </c>
      <c r="X177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7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7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7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78" spans="1:27" customFormat="1" x14ac:dyDescent="0.25">
      <c r="A178" s="230" t="s">
        <v>326</v>
      </c>
      <c r="B178" s="224" t="s">
        <v>310</v>
      </c>
      <c r="C178" s="225">
        <f>ROUND((SUMIF('Diagramas Ligações'!$K:$K,Painéis!$A178,'Diagramas Ligações'!$N:$N)/2)+(SUMIF('Diagramas Ligações'!$L:$L,Painéis!$A178,'Diagramas Ligações'!$N:$N)/2),0)</f>
        <v>1</v>
      </c>
      <c r="D178" s="225">
        <f>(SUMIF('Diagramas Ligações'!$K:$K,Painéis!$A178,'Diagramas Ligações'!$T:$T))+(SUMIF('Diagramas Ligações'!$L:$L,Painéis!$A178,'Diagramas Ligações'!$U:$U))</f>
        <v>0</v>
      </c>
      <c r="E178" s="263" t="s">
        <v>2082</v>
      </c>
      <c r="F178" s="41" t="s">
        <v>2083</v>
      </c>
      <c r="H178" s="46"/>
      <c r="I178" s="46"/>
      <c r="J178" s="46"/>
      <c r="V178" s="303" t="s">
        <v>326</v>
      </c>
      <c r="W178" s="304" t="s">
        <v>310</v>
      </c>
      <c r="X178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8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8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8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79" spans="1:27" customFormat="1" x14ac:dyDescent="0.25">
      <c r="A179" s="230" t="s">
        <v>329</v>
      </c>
      <c r="B179" s="224" t="s">
        <v>310</v>
      </c>
      <c r="C179" s="225">
        <f>ROUND((SUMIF('Diagramas Ligações'!$K:$K,Painéis!$A179,'Diagramas Ligações'!$N:$N)/2)+(SUMIF('Diagramas Ligações'!$L:$L,Painéis!$A179,'Diagramas Ligações'!$N:$N)/2),0)</f>
        <v>1</v>
      </c>
      <c r="D179" s="225">
        <f>(SUMIF('Diagramas Ligações'!$K:$K,Painéis!$A179,'Diagramas Ligações'!$T:$T))+(SUMIF('Diagramas Ligações'!$L:$L,Painéis!$A179,'Diagramas Ligações'!$U:$U))</f>
        <v>0</v>
      </c>
      <c r="E179" s="263" t="s">
        <v>2082</v>
      </c>
      <c r="F179" s="41" t="s">
        <v>2083</v>
      </c>
      <c r="H179" s="46"/>
      <c r="I179" s="46"/>
      <c r="J179" s="46"/>
      <c r="V179" s="303" t="s">
        <v>329</v>
      </c>
      <c r="W179" s="304" t="s">
        <v>310</v>
      </c>
      <c r="X179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79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79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79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80" spans="1:27" customFormat="1" x14ac:dyDescent="0.25">
      <c r="A180" s="230" t="s">
        <v>331</v>
      </c>
      <c r="B180" s="224" t="s">
        <v>310</v>
      </c>
      <c r="C180" s="225">
        <f>ROUND((SUMIF('Diagramas Ligações'!$K:$K,Painéis!$A180,'Diagramas Ligações'!$N:$N)/2)+(SUMIF('Diagramas Ligações'!$L:$L,Painéis!$A180,'Diagramas Ligações'!$N:$N)/2),0)</f>
        <v>1</v>
      </c>
      <c r="D180" s="225">
        <f>(SUMIF('Diagramas Ligações'!$K:$K,Painéis!$A180,'Diagramas Ligações'!$T:$T))+(SUMIF('Diagramas Ligações'!$L:$L,Painéis!$A180,'Diagramas Ligações'!$U:$U))</f>
        <v>0</v>
      </c>
      <c r="E180" s="263" t="s">
        <v>2082</v>
      </c>
      <c r="F180" s="41" t="s">
        <v>2083</v>
      </c>
      <c r="H180" s="46"/>
      <c r="I180" s="46"/>
      <c r="J180" s="46"/>
      <c r="V180" s="303" t="s">
        <v>331</v>
      </c>
      <c r="W180" s="304" t="s">
        <v>310</v>
      </c>
      <c r="X180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80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80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80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81" spans="1:27" customFormat="1" x14ac:dyDescent="0.25">
      <c r="A181" s="230" t="s">
        <v>1613</v>
      </c>
      <c r="B181" s="224" t="s">
        <v>402</v>
      </c>
      <c r="C181" s="225">
        <f>ROUND((SUMIF('Diagramas Ligações'!$K:$K,Painéis!$A181,'Diagramas Ligações'!$N:$N)/2)+(SUMIF('Diagramas Ligações'!$L:$L,Painéis!$A181,'Diagramas Ligações'!$N:$N)/2),0)</f>
        <v>1</v>
      </c>
      <c r="D181" s="289">
        <f>(SUMIF('Diagramas Ligações'!$K:$K,Painéis!$A181,'Diagramas Ligações'!$T:$T))+(SUMIF('Diagramas Ligações'!$L:$L,Painéis!$A181,'Diagramas Ligações'!$U:$U))</f>
        <v>1</v>
      </c>
      <c r="E181" s="263" t="s">
        <v>2082</v>
      </c>
      <c r="F181" s="41"/>
      <c r="H181" s="46"/>
      <c r="I181" s="46"/>
      <c r="J181" s="46"/>
      <c r="V181" s="303" t="s">
        <v>1613</v>
      </c>
      <c r="W181" s="304" t="s">
        <v>402</v>
      </c>
      <c r="X181" s="300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1</v>
      </c>
      <c r="Y181" s="301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81" s="301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81" s="302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0</v>
      </c>
    </row>
    <row r="182" spans="1:27" customFormat="1" x14ac:dyDescent="0.25">
      <c r="A182" s="329" t="s">
        <v>137</v>
      </c>
      <c r="B182" s="224" t="s">
        <v>82</v>
      </c>
      <c r="C182" s="225">
        <f>ROUND((SUMIF('Diagramas Ligações'!$K:$K,Painéis!$A182,'Diagramas Ligações'!$N:$N)/2)+(SUMIF('Diagramas Ligações'!$L:$L,Painéis!$A182,'Diagramas Ligações'!$N:$N)/2),0)</f>
        <v>203</v>
      </c>
      <c r="D182" s="289">
        <f>(SUMIF('Diagramas Ligações'!$K:$K,Painéis!$A182,'Diagramas Ligações'!$T:$T))+(SUMIF('Diagramas Ligações'!$L:$L,Painéis!$A182,'Diagramas Ligações'!$U:$U))</f>
        <v>0</v>
      </c>
      <c r="E182" s="263"/>
      <c r="F182" s="41"/>
      <c r="H182" s="46"/>
      <c r="I182" s="46"/>
      <c r="J182" s="46"/>
      <c r="V182" s="305" t="s">
        <v>1063</v>
      </c>
      <c r="W182" s="306" t="s">
        <v>1054</v>
      </c>
      <c r="X182" s="309">
        <f>(SUMIFS('Diagramas Ligações'!$N:$N,'Diagramas Ligações'!$K:$K,Tabela16[[#This Row],[Painel]],'Diagramas Ligações'!B:B,Tabela16[[#Headers],[Força]])/2)+(SUMIFS('Diagramas Ligações'!$N:$N,'Diagramas Ligações'!$L:$L,Tabela16[[#This Row],[Painel]],'Diagramas Ligações'!$B:$B,Tabela16[[#Headers],[Força]])/2)</f>
        <v>0</v>
      </c>
      <c r="Y182" s="307">
        <f>(SUMIFS('Diagramas Ligações'!$N:$N,'Diagramas Ligações'!$K:$K,Tabela16[[#This Row],[Painel]],'Diagramas Ligações'!C:C,Tabela16[[#Headers],[Controle]])/2)+(SUMIFS('Diagramas Ligações'!$N:$N,'Diagramas Ligações'!$L:$L,Tabela16[[#This Row],[Painel]],'Diagramas Ligações'!$B:$B,Tabela16[[#Headers],[Controle]])/2)</f>
        <v>0</v>
      </c>
      <c r="Z182" s="307">
        <f>(SUMIFS('Diagramas Ligações'!$N:$N,'Diagramas Ligações'!$K:$K,Tabela16[[#This Row],[Painel]],'Diagramas Ligações'!C:C,Tabela16[[#Headers],[FO]])/2)+(SUMIFS('Diagramas Ligações'!$N:$N,'Diagramas Ligações'!$L:$L,Tabela16[[#This Row],[Painel]],'Diagramas Ligações'!$B:$B,Tabela16[[#Headers],[FO]])/2)</f>
        <v>0</v>
      </c>
      <c r="AA182" s="308">
        <f>(SUMIFS('Diagramas Ligações'!$N:$N,'Diagramas Ligações'!$K:$K,Tabela16[[#This Row],[Painel]],'Diagramas Ligações'!C:C,Tabela16[[#Headers],[Rede]])/2)+(SUMIFS('Diagramas Ligações'!$N:$N,'Diagramas Ligações'!$L:$L,Tabela16[[#This Row],[Painel]],'Diagramas Ligações'!$B:$B,Tabela16[[#Headers],[Rede]])/2)</f>
        <v>1</v>
      </c>
    </row>
    <row r="183" spans="1:27" customFormat="1" x14ac:dyDescent="0.25">
      <c r="A183" s="329" t="s">
        <v>1534</v>
      </c>
      <c r="B183" s="224" t="s">
        <v>82</v>
      </c>
      <c r="C183" s="225">
        <f>ROUND((SUMIF('Diagramas Ligações'!$K:$K,Painéis!$A183,'Diagramas Ligações'!$N:$N)/2)+(SUMIF('Diagramas Ligações'!$L:$L,Painéis!$A183,'Diagramas Ligações'!$N:$N)/2),0)</f>
        <v>4</v>
      </c>
      <c r="D183" s="289">
        <f>(SUMIF('Diagramas Ligações'!$K:$K,Painéis!$A183,'Diagramas Ligações'!$T:$T))+(SUMIF('Diagramas Ligações'!$L:$L,Painéis!$A183,'Diagramas Ligações'!$U:$U))</f>
        <v>0</v>
      </c>
      <c r="E183" s="263"/>
      <c r="F183" s="41"/>
      <c r="H183" s="46"/>
      <c r="I183" s="46"/>
      <c r="J183" s="46"/>
      <c r="V183" s="330"/>
      <c r="W183" s="330"/>
      <c r="X183" s="77"/>
      <c r="Y183" s="379"/>
      <c r="Z183" s="379"/>
      <c r="AA183" s="379"/>
    </row>
    <row r="184" spans="1:27" customFormat="1" x14ac:dyDescent="0.25">
      <c r="A184" s="329" t="s">
        <v>1541</v>
      </c>
      <c r="B184" s="224" t="s">
        <v>82</v>
      </c>
      <c r="C184" s="225">
        <f>ROUND((SUMIF('Diagramas Ligações'!$K:$K,Painéis!$A184,'Diagramas Ligações'!$N:$N)/2)+(SUMIF('Diagramas Ligações'!$L:$L,Painéis!$A184,'Diagramas Ligações'!$N:$N)/2),0)</f>
        <v>2</v>
      </c>
      <c r="D184" s="289">
        <f>(SUMIF('Diagramas Ligações'!$K:$K,Painéis!$A184,'Diagramas Ligações'!$T:$T))+(SUMIF('Diagramas Ligações'!$L:$L,Painéis!$A184,'Diagramas Ligações'!$U:$U))</f>
        <v>0</v>
      </c>
      <c r="E184" s="263"/>
      <c r="F184" s="41"/>
      <c r="H184" s="46"/>
      <c r="I184" s="46"/>
      <c r="J184" s="46"/>
      <c r="V184" s="330"/>
      <c r="W184" s="330"/>
      <c r="X184" s="77"/>
      <c r="Y184" s="379"/>
      <c r="Z184" s="379"/>
      <c r="AA184" s="379"/>
    </row>
    <row r="185" spans="1:27" customFormat="1" x14ac:dyDescent="0.25">
      <c r="A185" s="230" t="s">
        <v>1545</v>
      </c>
      <c r="B185" s="224" t="s">
        <v>1054</v>
      </c>
      <c r="C185" s="225">
        <f>ROUND((SUMIF('Diagramas Ligações'!$K:$K,Painéis!$A185,'Diagramas Ligações'!$N:$N)/2)+(SUMIF('Diagramas Ligações'!$L:$L,Painéis!$A185,'Diagramas Ligações'!$N:$N)/2),0)</f>
        <v>4</v>
      </c>
      <c r="D185" s="289">
        <f>(SUMIF('Diagramas Ligações'!$K:$K,Painéis!$A185,'Diagramas Ligações'!$T:$T))+(SUMIF('Diagramas Ligações'!$L:$L,Painéis!$A185,'Diagramas Ligações'!$U:$U))</f>
        <v>0</v>
      </c>
      <c r="E185" s="331"/>
      <c r="F185" s="41"/>
      <c r="H185" s="46"/>
      <c r="I185" s="46"/>
      <c r="J185" s="46"/>
      <c r="V185" s="330"/>
      <c r="W185" s="330"/>
      <c r="X185" s="77"/>
      <c r="Y185" s="379"/>
      <c r="Z185" s="379"/>
      <c r="AA185" s="379"/>
    </row>
    <row r="186" spans="1:27" x14ac:dyDescent="0.25">
      <c r="A186" s="264" t="s">
        <v>1063</v>
      </c>
      <c r="B186" s="265" t="s">
        <v>1054</v>
      </c>
      <c r="C186" s="266">
        <f>ROUND((SUMIF('Diagramas Ligações'!$K:$K,Painéis!$A186,'Diagramas Ligações'!$N:$N)/2)+(SUMIF('Diagramas Ligações'!$L:$L,Painéis!$A186,'Diagramas Ligações'!$N:$N)/2),0)</f>
        <v>1</v>
      </c>
      <c r="D186" s="225">
        <f>(SUMIF('Diagramas Ligações'!$K:$K,Painéis!$A186,'Diagramas Ligações'!$T:$T))+(SUMIF('Diagramas Ligações'!$L:$L,Painéis!$A186,'Diagramas Ligações'!$U:$U))</f>
        <v>0</v>
      </c>
      <c r="E186" s="263" t="s">
        <v>2082</v>
      </c>
      <c r="F186" s="41"/>
      <c r="M186"/>
      <c r="N186"/>
      <c r="O186"/>
      <c r="P186"/>
      <c r="Q186"/>
      <c r="R186"/>
    </row>
    <row r="187" spans="1:27" x14ac:dyDescent="0.25">
      <c r="A187" s="264" t="s">
        <v>1058</v>
      </c>
      <c r="B187" s="265" t="s">
        <v>762</v>
      </c>
      <c r="C187" s="266">
        <f>ROUND((SUMIF('Diagramas Ligações'!$K:$K,Painéis!$A187,'Diagramas Ligações'!$N:$N)/2)+(SUMIF('Diagramas Ligações'!$L:$L,Painéis!$A187,'Diagramas Ligações'!$N:$N)/2),0)</f>
        <v>1</v>
      </c>
      <c r="D187" s="343">
        <f>(SUMIF('Diagramas Ligações'!$K:$K,Painéis!$A187,'Diagramas Ligações'!$T:$T))+(SUMIF('Diagramas Ligações'!$L:$L,Painéis!$A187,'Diagramas Ligações'!$U:$U))</f>
        <v>0</v>
      </c>
      <c r="E187" s="344"/>
      <c r="F187" s="345"/>
      <c r="M187"/>
      <c r="N187"/>
      <c r="O187"/>
      <c r="P187"/>
      <c r="Q187"/>
      <c r="R187"/>
    </row>
    <row r="188" spans="1:27" x14ac:dyDescent="0.25">
      <c r="M188"/>
      <c r="N188"/>
      <c r="O188"/>
      <c r="P188"/>
      <c r="Q188"/>
      <c r="R188"/>
    </row>
    <row r="190" spans="1:27" x14ac:dyDescent="0.25">
      <c r="A190"/>
    </row>
    <row r="191" spans="1:27" x14ac:dyDescent="0.25">
      <c r="A191"/>
    </row>
  </sheetData>
  <sortState xmlns:xlrd2="http://schemas.microsoft.com/office/spreadsheetml/2017/richdata2" ref="H2:H181">
    <sortCondition ref="H2:H181"/>
  </sortState>
  <mergeCells count="1">
    <mergeCell ref="H26:K28"/>
  </mergeCells>
  <conditionalFormatting sqref="A2:A10">
    <cfRule type="duplicateValues" dxfId="99" priority="81"/>
  </conditionalFormatting>
  <conditionalFormatting sqref="A1">
    <cfRule type="duplicateValues" dxfId="98" priority="95"/>
  </conditionalFormatting>
  <conditionalFormatting sqref="V2:V10">
    <cfRule type="duplicateValues" dxfId="97" priority="2"/>
  </conditionalFormatting>
  <conditionalFormatting sqref="V11:V185">
    <cfRule type="duplicateValues" dxfId="96" priority="1"/>
  </conditionalFormatting>
  <conditionalFormatting sqref="V1">
    <cfRule type="duplicateValues" dxfId="95" priority="3"/>
  </conditionalFormatting>
  <conditionalFormatting sqref="A11:A186">
    <cfRule type="duplicateValues" dxfId="94" priority="96"/>
  </conditionalFormatting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7">
    <tabColor theme="8"/>
  </sheetPr>
  <dimension ref="A1:S34"/>
  <sheetViews>
    <sheetView zoomScaleNormal="100" workbookViewId="0">
      <selection activeCell="C429" sqref="C429"/>
    </sheetView>
  </sheetViews>
  <sheetFormatPr defaultRowHeight="15" x14ac:dyDescent="0.25"/>
  <cols>
    <col min="1" max="1" width="25.5703125" bestFit="1" customWidth="1"/>
    <col min="2" max="6" width="11.7109375" customWidth="1"/>
    <col min="7" max="8" width="11.42578125" customWidth="1"/>
    <col min="10" max="10" width="24.42578125" bestFit="1" customWidth="1"/>
    <col min="11" max="11" width="9.7109375" style="1" customWidth="1"/>
    <col min="15" max="15" width="9.140625" customWidth="1"/>
    <col min="16" max="16" width="9.28515625" customWidth="1"/>
    <col min="19" max="19" width="12.42578125" customWidth="1"/>
  </cols>
  <sheetData>
    <row r="1" spans="1:19" x14ac:dyDescent="0.25">
      <c r="A1" s="53" t="s">
        <v>2092</v>
      </c>
      <c r="B1" s="54" t="s">
        <v>37</v>
      </c>
      <c r="C1" s="54" t="s">
        <v>38</v>
      </c>
      <c r="D1" s="54" t="s">
        <v>101</v>
      </c>
      <c r="E1" s="54" t="s">
        <v>40</v>
      </c>
      <c r="F1" s="55" t="s">
        <v>28</v>
      </c>
      <c r="J1" s="35" t="s">
        <v>2093</v>
      </c>
      <c r="K1" s="35" t="s">
        <v>2094</v>
      </c>
      <c r="L1" s="35" t="s">
        <v>2095</v>
      </c>
      <c r="M1" s="35" t="s">
        <v>33</v>
      </c>
      <c r="N1" s="35" t="s">
        <v>36</v>
      </c>
      <c r="P1" s="391"/>
      <c r="Q1" s="391"/>
      <c r="R1" s="391"/>
      <c r="S1" s="391"/>
    </row>
    <row r="2" spans="1:19" x14ac:dyDescent="0.25">
      <c r="A2" s="50" t="s">
        <v>2096</v>
      </c>
      <c r="B2" s="35">
        <f>SUMIF(BD!$B:$B,Indicadores!$B$1,BD!$AD:$AD)</f>
        <v>52918</v>
      </c>
      <c r="C2" s="36">
        <f>SUMIF(BD!$B:$B,Indicadores!$C$1,BD!$AD:$AD)</f>
        <v>37825</v>
      </c>
      <c r="D2" s="36">
        <f>SUMIF(BD!$B:$B,Indicadores!$D$1,BD!$AD:$AD)</f>
        <v>12208</v>
      </c>
      <c r="E2" s="36">
        <f>SUMIF(BD!$B:$B,Indicadores!$E$1,BD!$AD:$AD)</f>
        <v>776.5</v>
      </c>
      <c r="F2" s="51">
        <f>SUM(B2:E2)</f>
        <v>103727.5</v>
      </c>
      <c r="J2" s="38" t="s">
        <v>2097</v>
      </c>
      <c r="K2" s="71">
        <f>F2</f>
        <v>103727.5</v>
      </c>
      <c r="L2" s="36" t="s">
        <v>92</v>
      </c>
      <c r="M2" s="37" t="s">
        <v>92</v>
      </c>
      <c r="N2" s="35" t="s">
        <v>92</v>
      </c>
      <c r="P2" s="3"/>
    </row>
    <row r="3" spans="1:19" x14ac:dyDescent="0.25">
      <c r="A3" s="50" t="s">
        <v>2098</v>
      </c>
      <c r="B3" s="35">
        <f>SUMIF(Tabela1[Tipo],Indicadores!B1,Tabela1[Qtde. Lançada])</f>
        <v>49068</v>
      </c>
      <c r="C3" s="35">
        <f>SUMIF(Tabela1[Tipo],Indicadores!C1,Tabela1[Qtde. Lançada])</f>
        <v>34991</v>
      </c>
      <c r="D3" s="35">
        <f>SUMIF(Tabela1[Tipo],Indicadores!D1,Tabela1[Qtde. Lançada])</f>
        <v>9202.5</v>
      </c>
      <c r="E3" s="35">
        <f>SUMIF(Tabela1[Tipo],Indicadores!E1,Tabela1[Qtde. Lançada])</f>
        <v>499</v>
      </c>
      <c r="F3" s="52">
        <f>SUM(B3:E3)</f>
        <v>93760.5</v>
      </c>
      <c r="J3" s="38" t="s">
        <v>2099</v>
      </c>
      <c r="K3" s="71">
        <f>IF(B2&lt;B3,B3,B2)</f>
        <v>52918</v>
      </c>
      <c r="L3" s="35">
        <f>B3</f>
        <v>49068</v>
      </c>
      <c r="M3" s="37">
        <f>IF(IFERROR(L3/K3,0)&gt;1,1,IFERROR(L3/K3,0))</f>
        <v>0.92724592766166525</v>
      </c>
      <c r="N3" s="36">
        <f>K3-L3</f>
        <v>3850</v>
      </c>
      <c r="P3" s="3"/>
    </row>
    <row r="4" spans="1:19" x14ac:dyDescent="0.25">
      <c r="A4" s="50" t="s">
        <v>2100</v>
      </c>
      <c r="B4" s="37">
        <f>IF(IFERROR(B3/B2,0)&gt;1,1,IFERROR(B3/B2,0))</f>
        <v>0.92724592766166525</v>
      </c>
      <c r="C4" s="37">
        <f>IF(IFERROR(C3/C2,0)&gt;1,1,IFERROR(C3/C2,0))</f>
        <v>0.92507600793126243</v>
      </c>
      <c r="D4" s="37">
        <f>IF(IFERROR(D3/D2,0)&gt;1,1,IFERROR(D3/D2,0))</f>
        <v>0.75380897771952815</v>
      </c>
      <c r="E4" s="37">
        <f>IF(IFERROR(E3/E2,0)&gt;1,1,IFERROR(E3/E2,0))</f>
        <v>0.64262717321313589</v>
      </c>
      <c r="F4" s="37">
        <f>IF(IFERROR(F3/F2,0)&gt;1,1,IFERROR(F3/F2,0))</f>
        <v>0.90391169169217422</v>
      </c>
      <c r="J4" s="38" t="s">
        <v>2101</v>
      </c>
      <c r="K4" s="71">
        <f>IF(C2&lt;C3,C3,C2)</f>
        <v>37825</v>
      </c>
      <c r="L4" s="35">
        <f>C3</f>
        <v>34991</v>
      </c>
      <c r="M4" s="37">
        <f>IF(IFERROR(L4/K4,0)&gt;1,1,IFERROR(L4/K4,0))</f>
        <v>0.92507600793126243</v>
      </c>
      <c r="N4" s="36">
        <f>K4-L4</f>
        <v>2834</v>
      </c>
      <c r="P4" s="3"/>
    </row>
    <row r="5" spans="1:19" x14ac:dyDescent="0.25">
      <c r="A5" s="50" t="s">
        <v>2102</v>
      </c>
      <c r="B5" s="35">
        <f>IF(Área!$B$1="Geral",B2,SUMIFS(BD!$AD:$AD,BD!$B:$B,Indicadores!B1,BD!$J:$J,Área!$B$1))</f>
        <v>0</v>
      </c>
      <c r="C5" s="35">
        <f>IF(Área!$B$1="Geral",C2,SUMIFS(BD!$AD:$AD,BD!$B:$B,Indicadores!C1,BD!$J:$J,Área!$B$1))</f>
        <v>0</v>
      </c>
      <c r="D5" s="35">
        <f>IF(Área!$B$1="Geral",D2,SUMIFS(BD!$AD:$AD,BD!$B:$B,Indicadores!D1,BD!$J:$J,Área!$B$1))</f>
        <v>12208</v>
      </c>
      <c r="E5" s="35">
        <f>IF(Área!$B$1="Geral",E2,SUMIFS(BD!$AD:$AD,BD!$B:$B,Indicadores!E1,BD!$J:$J,Área!$B$1))</f>
        <v>0</v>
      </c>
      <c r="F5" s="52">
        <f>SUM(B5:E5)</f>
        <v>12208</v>
      </c>
      <c r="J5" s="38" t="s">
        <v>2103</v>
      </c>
      <c r="K5" s="71">
        <f>IF(D2&lt;D3,D3,D2)</f>
        <v>12208</v>
      </c>
      <c r="L5" s="35">
        <f>D3</f>
        <v>9202.5</v>
      </c>
      <c r="M5" s="37">
        <f>IF(IFERROR(L5/K5,0)&gt;1,1,IFERROR(L5/K5,0))</f>
        <v>0.75380897771952815</v>
      </c>
      <c r="N5" s="36">
        <f>K5-L5</f>
        <v>3005.5</v>
      </c>
      <c r="P5" s="3"/>
    </row>
    <row r="6" spans="1:19" x14ac:dyDescent="0.25">
      <c r="A6" s="50" t="s">
        <v>2104</v>
      </c>
      <c r="B6" s="35">
        <f>IF(Área!$B$1="Geral",B3,SUMIFS(Tabela1[Qtde. Lançada],Tabela1[Tipo],Indicadores!B1,Tabela1[Local para Curva de Acomp.],Área!$B$1))</f>
        <v>0</v>
      </c>
      <c r="C6" s="35">
        <f>IF(Área!$B$1="Geral",C3,SUMIFS(Tabela1[Qtde. Lançada],Tabela1[Tipo],Indicadores!C1,Tabela1[Local para Curva de Acomp.],Área!$B$1))</f>
        <v>0</v>
      </c>
      <c r="D6" s="35">
        <f>IF(Área!$B$1="Geral",D3,SUMIFS(Tabela1[Qtde. Lançada],Tabela1[Tipo],Indicadores!D1,Tabela1[Local para Curva de Acomp.],Área!$B$1))</f>
        <v>9202.5</v>
      </c>
      <c r="E6" s="35">
        <f>IF(Área!$B$1="Geral",E3,SUMIFS(Tabela1[Qtde. Lançada],Tabela1[Tipo],Indicadores!E1,Tabela1[Local para Curva de Acomp.],Área!$B$1))</f>
        <v>0</v>
      </c>
      <c r="F6" s="52">
        <f>SUM(B6:E6)</f>
        <v>9202.5</v>
      </c>
      <c r="J6" s="38" t="s">
        <v>2105</v>
      </c>
      <c r="K6" s="71">
        <f>IF(E2&lt;E3,E3,E2)</f>
        <v>776.5</v>
      </c>
      <c r="L6" s="35">
        <f>E3</f>
        <v>499</v>
      </c>
      <c r="M6" s="37">
        <f>IF(IFERROR(L6/K6,0)&gt;1,1,IFERROR(L6/K6,0))</f>
        <v>0.64262717321313589</v>
      </c>
      <c r="N6" s="36">
        <f>K6-L6</f>
        <v>277.5</v>
      </c>
    </row>
    <row r="7" spans="1:19" x14ac:dyDescent="0.25">
      <c r="A7" s="56" t="s">
        <v>2106</v>
      </c>
      <c r="B7" s="37">
        <f>IF(IFERROR(B6/B5,0)&gt;1,1,IFERROR(B6/B5,0))</f>
        <v>0</v>
      </c>
      <c r="C7" s="37">
        <f>IF(IFERROR(C6/C5,0)&gt;1,1,IFERROR(C6/C5,0))</f>
        <v>0</v>
      </c>
      <c r="D7" s="37">
        <f>IF(IFERROR(D6/D5,0)&gt;1,1,IFERROR(D6/D5,0))</f>
        <v>0.75380897771952815</v>
      </c>
      <c r="E7" s="37">
        <f>IF(IFERROR(E6/E5,0)&gt;1,1,IFERROR(E6/E5,0))</f>
        <v>0</v>
      </c>
      <c r="F7" s="37">
        <f>IF(IFERROR(F6/F5,0)&gt;1,1,IFERROR(F6/F5,0))</f>
        <v>0.75380897771952815</v>
      </c>
      <c r="J7" s="38" t="s">
        <v>2107</v>
      </c>
      <c r="K7" s="71">
        <f>SUM(K3:K6)</f>
        <v>103727.5</v>
      </c>
      <c r="L7" s="35">
        <f>SUM(L3:L6)</f>
        <v>93760.5</v>
      </c>
      <c r="M7" s="37">
        <f>IF(IFERROR(L7/K7,0)&gt;1,1,IFERROR(L7/K7,0))</f>
        <v>0.90391169169217422</v>
      </c>
      <c r="N7" s="36">
        <f>K7-L7</f>
        <v>9967</v>
      </c>
    </row>
    <row r="8" spans="1:19" x14ac:dyDescent="0.25">
      <c r="J8" s="39"/>
      <c r="K8" s="44"/>
      <c r="L8" s="39"/>
      <c r="M8" s="39"/>
      <c r="N8" s="39"/>
    </row>
    <row r="9" spans="1:19" x14ac:dyDescent="0.25">
      <c r="A9" s="59" t="s">
        <v>2108</v>
      </c>
      <c r="B9" s="60" t="s">
        <v>64</v>
      </c>
      <c r="C9" s="60" t="s">
        <v>43</v>
      </c>
      <c r="D9" s="60" t="s">
        <v>2109</v>
      </c>
      <c r="E9" s="61" t="s">
        <v>33</v>
      </c>
      <c r="F9" s="152"/>
      <c r="G9" s="152"/>
      <c r="H9" s="152"/>
      <c r="J9" s="35" t="s">
        <v>2110</v>
      </c>
      <c r="K9" s="35" t="s">
        <v>2094</v>
      </c>
      <c r="L9" s="35" t="s">
        <v>2095</v>
      </c>
      <c r="M9" s="35" t="s">
        <v>33</v>
      </c>
      <c r="N9" s="35" t="s">
        <v>36</v>
      </c>
    </row>
    <row r="10" spans="1:19" x14ac:dyDescent="0.25">
      <c r="A10" s="57" t="s">
        <v>185</v>
      </c>
      <c r="B10" s="33">
        <f>VLOOKUP(Tabela8[[#This Row],[Listas]],Tabela1[[Lista de Cabos]:[Revisão]],2,0)</f>
        <v>2</v>
      </c>
      <c r="C10" s="33">
        <f>SUMIFS(BD!$AD:$AD,BD!$T:$T,Indicadores!A10)</f>
        <v>230</v>
      </c>
      <c r="D10" s="33">
        <f>SUMIF('Lançamento de Cabos'!G:G,A10,'Lançamento de Cabos'!C:C)</f>
        <v>230</v>
      </c>
      <c r="E10" s="58">
        <f>IFERROR(IF(D10/C10&gt;1,1,D10/C10),0)</f>
        <v>1</v>
      </c>
      <c r="F10" s="153"/>
      <c r="G10" s="153"/>
      <c r="H10" s="153"/>
      <c r="J10" s="38" t="s">
        <v>2097</v>
      </c>
      <c r="K10" s="35">
        <f>SUM(K11:K14)</f>
        <v>12208</v>
      </c>
      <c r="L10" s="391" t="s">
        <v>92</v>
      </c>
      <c r="M10" s="37" t="s">
        <v>92</v>
      </c>
      <c r="N10" s="35" t="s">
        <v>92</v>
      </c>
    </row>
    <row r="11" spans="1:19" x14ac:dyDescent="0.25">
      <c r="A11" s="57" t="s">
        <v>659</v>
      </c>
      <c r="B11" s="33">
        <f>VLOOKUP(Tabela8[[#This Row],[Listas]],Tabela1[[Lista de Cabos]:[Revisão]],2,0)</f>
        <v>6</v>
      </c>
      <c r="C11" s="33">
        <f>SUMIFS(BD!$AD:$AD,BD!$T:$T,Indicadores!A11)</f>
        <v>5510</v>
      </c>
      <c r="D11" s="33">
        <f>SUMIF('Lançamento de Cabos'!G:G,A11,'Lançamento de Cabos'!C:C)</f>
        <v>5510</v>
      </c>
      <c r="E11" s="58">
        <f t="shared" ref="E11:E24" si="0">IFERROR(IF(D11/C11&gt;1,1,D11/C11),0)</f>
        <v>1</v>
      </c>
      <c r="F11" s="153"/>
      <c r="G11" s="153"/>
      <c r="H11" s="153"/>
      <c r="J11" s="38" t="s">
        <v>2099</v>
      </c>
      <c r="K11" s="35">
        <f>IF(B5&lt;B6,B6,B5)</f>
        <v>0</v>
      </c>
      <c r="L11" s="35">
        <f>B6</f>
        <v>0</v>
      </c>
      <c r="M11" s="37">
        <f>IF(IFERROR(L11/K11,0)&gt;1,1,IFERROR(L11/K11,0))</f>
        <v>0</v>
      </c>
      <c r="N11" s="35">
        <f>IF(K11-L11&lt;0,0,K11-L11)</f>
        <v>0</v>
      </c>
    </row>
    <row r="12" spans="1:19" x14ac:dyDescent="0.25">
      <c r="A12" s="57" t="s">
        <v>680</v>
      </c>
      <c r="B12" s="33">
        <f>VLOOKUP(Tabela8[[#This Row],[Listas]],Tabela1[[Lista de Cabos]:[Revisão]],2,0)</f>
        <v>6</v>
      </c>
      <c r="C12" s="33">
        <f>SUMIFS(BD!$AD:$AD,BD!$T:$T,Indicadores!A12)</f>
        <v>6698</v>
      </c>
      <c r="D12" s="33">
        <f>SUMIF('Lançamento de Cabos'!G:G,A12,'Lançamento de Cabos'!C:C)</f>
        <v>6698</v>
      </c>
      <c r="E12" s="58">
        <f t="shared" si="0"/>
        <v>1</v>
      </c>
      <c r="F12" s="153"/>
      <c r="G12" s="153"/>
      <c r="H12" s="153"/>
      <c r="J12" s="38" t="s">
        <v>2101</v>
      </c>
      <c r="K12" s="35">
        <f>IF(C5&lt;C6,C6,C5)</f>
        <v>0</v>
      </c>
      <c r="L12" s="35">
        <f>C6</f>
        <v>0</v>
      </c>
      <c r="M12" s="37">
        <f>IF(IFERROR(L12/K12,0)&gt;1,1,IFERROR(L12/K12,0))</f>
        <v>0</v>
      </c>
      <c r="N12" s="35">
        <f>IF(K12-L12&lt;0,0,K12-L12)</f>
        <v>0</v>
      </c>
    </row>
    <row r="13" spans="1:19" x14ac:dyDescent="0.25">
      <c r="A13" s="57" t="s">
        <v>1366</v>
      </c>
      <c r="B13" s="33">
        <f>VLOOKUP(Tabela8[[#This Row],[Listas]],Tabela1[[Lista de Cabos]:[Revisão]],2,0)</f>
        <v>2</v>
      </c>
      <c r="C13" s="33">
        <f>SUMIFS(BD!$AD:$AD,BD!$T:$T,Indicadores!A13)</f>
        <v>100</v>
      </c>
      <c r="D13" s="33">
        <f>SUMIF('Lançamento de Cabos'!G:G,A13,'Lançamento de Cabos'!C:C)</f>
        <v>0</v>
      </c>
      <c r="E13" s="58">
        <f t="shared" si="0"/>
        <v>0</v>
      </c>
      <c r="F13" s="153"/>
      <c r="G13" s="153"/>
      <c r="H13" s="153"/>
      <c r="J13" s="38" t="s">
        <v>2103</v>
      </c>
      <c r="K13" s="35">
        <f>IF(D5&lt;D6,D6,D5)</f>
        <v>12208</v>
      </c>
      <c r="L13" s="35">
        <f>D6</f>
        <v>9202.5</v>
      </c>
      <c r="M13" s="37">
        <f>IF(IFERROR(L13/K13,0)&gt;1,1,IFERROR(L13/K13,0))</f>
        <v>0.75380897771952815</v>
      </c>
      <c r="N13" s="35">
        <f>IF(K13-L13&lt;0,0,K13-L13)</f>
        <v>3005.5</v>
      </c>
    </row>
    <row r="14" spans="1:19" x14ac:dyDescent="0.25">
      <c r="A14" s="57" t="s">
        <v>350</v>
      </c>
      <c r="B14" s="33">
        <f>VLOOKUP(Tabela8[[#This Row],[Listas]],Tabela1[[Lista de Cabos]:[Revisão]],2,0)</f>
        <v>10</v>
      </c>
      <c r="C14" s="33">
        <f>SUMIFS(BD!$AD:$AD,BD!$T:$T,Indicadores!A14)</f>
        <v>5996</v>
      </c>
      <c r="D14" s="33">
        <f>SUMIF('Lançamento de Cabos'!G:G,A14,'Lançamento de Cabos'!C:C)</f>
        <v>5996</v>
      </c>
      <c r="E14" s="58">
        <f t="shared" si="0"/>
        <v>1</v>
      </c>
      <c r="F14" s="153"/>
      <c r="G14" s="153"/>
      <c r="H14" s="153"/>
      <c r="J14" s="38" t="s">
        <v>2105</v>
      </c>
      <c r="K14" s="35">
        <f>IF(E5&lt;E6,E6,E5)</f>
        <v>0</v>
      </c>
      <c r="L14" s="35">
        <f>E6</f>
        <v>0</v>
      </c>
      <c r="M14" s="37">
        <f>IF(IFERROR(L14/K14,0)&gt;1,1,IFERROR(L14/K14,0))</f>
        <v>0</v>
      </c>
      <c r="N14" s="35">
        <f>IF(K14-L14&lt;0,0,K14-L14)</f>
        <v>0</v>
      </c>
    </row>
    <row r="15" spans="1:19" x14ac:dyDescent="0.25">
      <c r="A15" s="57" t="s">
        <v>88</v>
      </c>
      <c r="B15" s="33">
        <v>5</v>
      </c>
      <c r="C15" s="33">
        <f>SUMIFS(BD!$AD:$AD,BD!$T:$T,Indicadores!A15)</f>
        <v>58185</v>
      </c>
      <c r="D15" s="33">
        <f>SUMIF('Lançamento de Cabos'!G:G,A15,'Lançamento de Cabos'!C:C)</f>
        <v>50577</v>
      </c>
      <c r="E15" s="58">
        <f t="shared" si="0"/>
        <v>0.86924465068316581</v>
      </c>
      <c r="F15" s="153"/>
      <c r="G15" s="153"/>
      <c r="H15" s="153"/>
      <c r="J15" s="38" t="s">
        <v>2107</v>
      </c>
      <c r="K15" s="35">
        <f>SUM(K11:K14)</f>
        <v>12208</v>
      </c>
      <c r="L15" s="35">
        <f>SUM(L11:L14)</f>
        <v>9202.5</v>
      </c>
      <c r="M15" s="37">
        <f>IF(IFERROR(L15/K15,0)&gt;1,1,IFERROR(L15/K15,0))</f>
        <v>0.75380897771952815</v>
      </c>
      <c r="N15" s="35">
        <f>IF(K15-L15&lt;0,0,K15-L15)</f>
        <v>3005.5</v>
      </c>
    </row>
    <row r="16" spans="1:19" x14ac:dyDescent="0.25">
      <c r="A16" s="57" t="s">
        <v>1405</v>
      </c>
      <c r="B16" s="33">
        <f>VLOOKUP(Tabela8[[#This Row],[Listas]],Tabela1[[Lista de Cabos]:[Revisão]],2,0)</f>
        <v>7</v>
      </c>
      <c r="C16" s="33">
        <f>SUMIFS(BD!$AD:$AD,BD!$T:$T,Indicadores!A16)</f>
        <v>20</v>
      </c>
      <c r="D16" s="33">
        <f>SUMIF('Lançamento de Cabos'!G:G,A16,'Lançamento de Cabos'!C:C)</f>
        <v>0</v>
      </c>
      <c r="E16" s="58">
        <f t="shared" si="0"/>
        <v>0</v>
      </c>
      <c r="F16" s="153"/>
      <c r="G16" s="153"/>
      <c r="H16" s="153"/>
    </row>
    <row r="17" spans="1:19" x14ac:dyDescent="0.25">
      <c r="A17" s="57" t="s">
        <v>1400</v>
      </c>
      <c r="B17" s="33">
        <v>4</v>
      </c>
      <c r="C17" s="33">
        <f>SUMIFS(BD!$AD:$AD,BD!$T:$T,Indicadores!A17)</f>
        <v>20</v>
      </c>
      <c r="D17" s="33">
        <f>SUMIF('Lançamento de Cabos'!G:G,A17,'Lançamento de Cabos'!C:C)</f>
        <v>0</v>
      </c>
      <c r="E17" s="58">
        <f t="shared" si="0"/>
        <v>0</v>
      </c>
      <c r="F17" s="153"/>
      <c r="G17" s="153"/>
      <c r="H17" s="153"/>
      <c r="J17" s="35" t="s">
        <v>2111</v>
      </c>
      <c r="K17" s="35" t="s">
        <v>2094</v>
      </c>
      <c r="L17" s="35" t="s">
        <v>2095</v>
      </c>
      <c r="M17" s="35" t="s">
        <v>33</v>
      </c>
      <c r="N17" s="35" t="s">
        <v>36</v>
      </c>
    </row>
    <row r="18" spans="1:19" x14ac:dyDescent="0.25">
      <c r="A18" s="57" t="s">
        <v>1384</v>
      </c>
      <c r="B18" s="33">
        <f>VLOOKUP(Tabela8[[#This Row],[Listas]],Tabela1[[Lista de Cabos]:[Revisão]],2,0)</f>
        <v>3</v>
      </c>
      <c r="C18" s="33">
        <f>SUMIFS(BD!$AD:$AD,BD!$T:$T,Indicadores!A18)</f>
        <v>25</v>
      </c>
      <c r="D18" s="33">
        <f>SUMIF('Lançamento de Cabos'!G:G,A18,'Lançamento de Cabos'!C:C)</f>
        <v>0</v>
      </c>
      <c r="E18" s="58">
        <f t="shared" si="0"/>
        <v>0</v>
      </c>
      <c r="F18" s="153"/>
      <c r="G18" s="153"/>
      <c r="H18" s="153"/>
      <c r="J18" s="38" t="s">
        <v>2112</v>
      </c>
      <c r="K18" s="35">
        <f>Aterramento!B4</f>
        <v>5700</v>
      </c>
      <c r="L18" s="35">
        <f>Aterramento!B6</f>
        <v>5239</v>
      </c>
      <c r="M18" s="37">
        <f>Aterramento!B8</f>
        <v>0.50755667506297231</v>
      </c>
      <c r="N18" s="35">
        <f>Aterramento!B4-Aterramento!B6</f>
        <v>461</v>
      </c>
    </row>
    <row r="19" spans="1:19" x14ac:dyDescent="0.25">
      <c r="A19" s="57" t="s">
        <v>1390</v>
      </c>
      <c r="B19" s="33">
        <v>4</v>
      </c>
      <c r="C19" s="33">
        <f>SUMIFS(BD!$AD:$AD,BD!$T:$T,Indicadores!A19)</f>
        <v>22</v>
      </c>
      <c r="D19" s="33">
        <f>SUMIF('Lançamento de Cabos'!G:G,A19,'Lançamento de Cabos'!C:C)</f>
        <v>0</v>
      </c>
      <c r="E19" s="58">
        <f t="shared" si="0"/>
        <v>0</v>
      </c>
      <c r="F19" s="153"/>
      <c r="G19" s="153"/>
      <c r="H19" s="153"/>
      <c r="J19" s="38" t="s">
        <v>2113</v>
      </c>
      <c r="K19" s="35">
        <f>Aterramento!B13</f>
        <v>1700</v>
      </c>
      <c r="L19" s="35">
        <f>Aterramento!B15</f>
        <v>1300</v>
      </c>
      <c r="M19" s="37">
        <f>Aterramento!B17</f>
        <v>0.76470588235294112</v>
      </c>
      <c r="N19" s="35">
        <f>Aterramento!B13-Aterramento!B15</f>
        <v>400</v>
      </c>
    </row>
    <row r="20" spans="1:19" x14ac:dyDescent="0.25">
      <c r="A20" s="57" t="s">
        <v>1395</v>
      </c>
      <c r="B20" s="33">
        <v>4</v>
      </c>
      <c r="C20" s="33">
        <f>SUMIFS(BD!$AD:$AD,BD!$T:$T,Indicadores!A20)</f>
        <v>22</v>
      </c>
      <c r="D20" s="33">
        <f>SUMIF('Lançamento de Cabos'!G:G,A20,'Lançamento de Cabos'!C:C)</f>
        <v>0</v>
      </c>
      <c r="E20" s="58">
        <f t="shared" si="0"/>
        <v>0</v>
      </c>
      <c r="F20" s="153"/>
      <c r="G20" s="153"/>
      <c r="H20" s="153"/>
      <c r="J20" s="38" t="s">
        <v>28</v>
      </c>
      <c r="K20" s="35">
        <f>SUM(K18:K19)</f>
        <v>7400</v>
      </c>
      <c r="L20" s="35">
        <f>SUM(L18:L19)</f>
        <v>6539</v>
      </c>
      <c r="M20" s="37">
        <f>L20/(Aterramento!B4+Aterramento!B13)</f>
        <v>0.88364864864864867</v>
      </c>
      <c r="N20" s="35">
        <f>SUM(N18:N19)</f>
        <v>861</v>
      </c>
    </row>
    <row r="21" spans="1:19" x14ac:dyDescent="0.25">
      <c r="A21" s="57" t="s">
        <v>257</v>
      </c>
      <c r="B21" s="33">
        <f>VLOOKUP(Tabela8[[#This Row],[Listas]],Tabela1[[Lista de Cabos]:[Revisão]],2,0)</f>
        <v>2</v>
      </c>
      <c r="C21" s="33">
        <f>SUMIFS(BD!$AD:$AD,BD!$T:$T,Indicadores!A21)</f>
        <v>470</v>
      </c>
      <c r="D21" s="33">
        <f>SUMIF('Lançamento de Cabos'!G:G,A21,'Lançamento de Cabos'!C:C)</f>
        <v>470</v>
      </c>
      <c r="E21" s="58">
        <f t="shared" si="0"/>
        <v>1</v>
      </c>
      <c r="F21" s="153"/>
      <c r="G21" s="153"/>
      <c r="H21" s="153"/>
      <c r="J21" s="39"/>
      <c r="K21" s="44"/>
      <c r="L21" s="39"/>
      <c r="M21" s="39"/>
    </row>
    <row r="22" spans="1:19" x14ac:dyDescent="0.25">
      <c r="A22" s="57" t="s">
        <v>1087</v>
      </c>
      <c r="B22" s="33">
        <f>VLOOKUP(Tabela8[[#This Row],[Listas]],Tabela1[[Lista de Cabos]:[Revisão]],2,0)</f>
        <v>3</v>
      </c>
      <c r="C22" s="33">
        <f>SUMIFS(BD!$AD:$AD,BD!$T:$T,Indicadores!A22)</f>
        <v>1607</v>
      </c>
      <c r="D22" s="33">
        <f>SUMIF('Lançamento de Cabos'!G:G,A22,'Lançamento de Cabos'!C:C)</f>
        <v>1502</v>
      </c>
      <c r="E22" s="58">
        <f t="shared" si="0"/>
        <v>0.93466085874299942</v>
      </c>
      <c r="F22" s="153"/>
      <c r="G22" s="153"/>
      <c r="H22" s="153"/>
      <c r="J22" s="41" t="s">
        <v>2114</v>
      </c>
      <c r="K22" s="35" t="s">
        <v>2094</v>
      </c>
      <c r="L22" s="35" t="s">
        <v>44</v>
      </c>
      <c r="M22" s="37" t="s">
        <v>33</v>
      </c>
      <c r="N22" s="35" t="s">
        <v>36</v>
      </c>
    </row>
    <row r="23" spans="1:19" x14ac:dyDescent="0.25">
      <c r="A23" s="57" t="s">
        <v>217</v>
      </c>
      <c r="B23" s="33">
        <f>VLOOKUP(Tabela8[[#This Row],[Listas]],Tabela1[[Lista de Cabos]:[Revisão]],2,0)</f>
        <v>2</v>
      </c>
      <c r="C23" s="33">
        <f>SUMIFS(BD!$AD:$AD,BD!$T:$T,Indicadores!A23)</f>
        <v>1320</v>
      </c>
      <c r="D23" s="33">
        <f>SUMIF('Lançamento de Cabos'!G:G,A23,'Lançamento de Cabos'!C:C)</f>
        <v>1120</v>
      </c>
      <c r="E23" s="58">
        <f t="shared" si="0"/>
        <v>0.84848484848484851</v>
      </c>
      <c r="F23" s="153"/>
      <c r="G23" s="153"/>
      <c r="H23" s="153"/>
      <c r="J23" s="40" t="s">
        <v>16</v>
      </c>
      <c r="K23" s="35">
        <f>IF(Dashboard!$V$6="Geral",COUNTIF(BD!$M:$M,"Sim"),COUNTIFS(BD!M:M,"Sim",BD!J:J,Dashboard!$V$6))</f>
        <v>7</v>
      </c>
      <c r="L23" s="35">
        <f>IF(Dashboard!$V$6="Geral",COUNTIF('Lançamento de Cabos'!P:P,Indicadores!J23),COUNTIFS('Lançamento de Cabos'!P:P,Indicadores!J23,'Lançamento de Cabos'!U:U,Dashboard!$V$6))</f>
        <v>0</v>
      </c>
      <c r="M23" s="37">
        <f>IFERROR(L23/K23,0)</f>
        <v>0</v>
      </c>
      <c r="N23" s="35">
        <f>K23-L23</f>
        <v>7</v>
      </c>
    </row>
    <row r="24" spans="1:19" x14ac:dyDescent="0.25">
      <c r="A24" s="62" t="s">
        <v>1018</v>
      </c>
      <c r="B24" s="63">
        <f>VLOOKUP(Tabela8[[#This Row],[Listas]],Tabela1[[Lista de Cabos]:[Revisão]],2,0)</f>
        <v>2</v>
      </c>
      <c r="C24" s="63">
        <f>SUMIFS(BD!$AD:$AD,BD!$T:$T,Indicadores!A24)</f>
        <v>3248</v>
      </c>
      <c r="D24" s="63">
        <f>SUMIF('Lançamento de Cabos'!G:G,A24,'Lançamento de Cabos'!C:C)</f>
        <v>2958</v>
      </c>
      <c r="E24" s="64">
        <f t="shared" si="0"/>
        <v>0.9107142857142857</v>
      </c>
      <c r="F24" s="153"/>
      <c r="G24" s="153"/>
      <c r="H24" s="153"/>
      <c r="J24" s="40" t="s">
        <v>17</v>
      </c>
      <c r="K24" s="35">
        <f>IF(Dashboard!$V$6="Geral",COUNTIF(BD!$N:$N,"Sim"),COUNTIFS(BD!N:N,"Sim",BD!J:J,Dashboard!$V$6))</f>
        <v>7</v>
      </c>
      <c r="L24" s="35">
        <f>IF(Dashboard!$V$6="Geral",COUNTIF('Lançamento de Cabos'!P:P,Indicadores!J24),COUNTIFS('Lançamento de Cabos'!P:P,Indicadores!J24,'Lançamento de Cabos'!U:U,Dashboard!$V$6))</f>
        <v>0</v>
      </c>
      <c r="M24" s="37">
        <f>IFERROR(L24/K24,0)</f>
        <v>0</v>
      </c>
      <c r="N24" s="35">
        <f>K24-L24</f>
        <v>7</v>
      </c>
    </row>
    <row r="25" spans="1:19" x14ac:dyDescent="0.25">
      <c r="A25" s="57" t="s">
        <v>305</v>
      </c>
      <c r="B25" s="33">
        <f>VLOOKUP(Tabela8[[#This Row],[Listas]],Tabela1[[Lista de Cabos]:[Revisão]],2,0)</f>
        <v>2</v>
      </c>
      <c r="C25" s="33">
        <f>SUMIFS(BD!$AD:$AD,BD!$T:$T,Indicadores!A25)</f>
        <v>2959.5</v>
      </c>
      <c r="D25" s="33">
        <f>SUMIF('Lançamento de Cabos'!G:G,A25,'Lançamento de Cabos'!C:C)</f>
        <v>1669.5</v>
      </c>
      <c r="E25" s="58">
        <f t="shared" ref="E25:E30" si="1">IFERROR(IF(D25/C25&gt;1,1,D25/C25),0)</f>
        <v>0.56411556006082109</v>
      </c>
      <c r="J25" s="40" t="s">
        <v>18</v>
      </c>
      <c r="K25" s="35">
        <f>IF(Dashboard!$V$6="Geral",COUNTIF(BD!$O:$O,"Sim"),COUNTIFS(BD!O:O,"Sim",BD!J:J,Dashboard!$V$6))</f>
        <v>0</v>
      </c>
      <c r="L25" s="35">
        <f>IF(Dashboard!$V$6="Geral",COUNTIF('Lançamento de Cabos'!P:P,Indicadores!J25),COUNTIFS('Lançamento de Cabos'!P:P,Indicadores!J25,'Lançamento de Cabos'!U:U,Dashboard!$V$6))</f>
        <v>0</v>
      </c>
      <c r="M25" s="37">
        <f>IFERROR(L25/K25,0)</f>
        <v>0</v>
      </c>
      <c r="N25" s="35">
        <f>K25-L25</f>
        <v>0</v>
      </c>
    </row>
    <row r="26" spans="1:19" x14ac:dyDescent="0.25">
      <c r="A26" s="57" t="s">
        <v>706</v>
      </c>
      <c r="B26" s="33">
        <v>2</v>
      </c>
      <c r="C26" s="33">
        <f>SUMIFS(BD!$AD:$AD,BD!$T:$T,Indicadores!A26)</f>
        <v>12895</v>
      </c>
      <c r="D26" s="33">
        <f>SUMIF('Lançamento de Cabos'!G:G,A26,'Lançamento de Cabos'!C:C)</f>
        <v>12895</v>
      </c>
      <c r="E26" s="58">
        <f t="shared" si="1"/>
        <v>1</v>
      </c>
      <c r="J26" s="40" t="s">
        <v>19</v>
      </c>
      <c r="K26" s="35">
        <f>IF(Dashboard!$V$6="Geral",COUNTIF(BD!$P:$P,"Sim"),COUNTIFS(BD!P:P,"Sim",BD!J:J,Dashboard!$V$6))</f>
        <v>0</v>
      </c>
      <c r="L26" s="35">
        <f>IF(Dashboard!$V$6="Geral",COUNTIF('Lançamento de Cabos'!P:P,Indicadores!J26),COUNTIFS('Lançamento de Cabos'!P:P,Indicadores!J26,'Lançamento de Cabos'!U:U,Dashboard!$V$6))</f>
        <v>0</v>
      </c>
      <c r="M26" s="37">
        <f>IFERROR(L26/K26,0)</f>
        <v>0</v>
      </c>
      <c r="N26" s="35">
        <f>K26-L26</f>
        <v>0</v>
      </c>
    </row>
    <row r="27" spans="1:19" x14ac:dyDescent="0.25">
      <c r="A27" s="57" t="s">
        <v>1261</v>
      </c>
      <c r="B27" s="33">
        <f>VLOOKUP(Tabela8[[#This Row],[Listas]],Tabela1[[Lista de Cabos]:[Revisão]],2,0)</f>
        <v>2</v>
      </c>
      <c r="C27" s="33">
        <f>SUMIFS(BD!$AD:$AD,BD!$T:$T,Indicadores!A27)</f>
        <v>1250</v>
      </c>
      <c r="D27" s="33">
        <f>SUMIF('Lançamento de Cabos'!G:G,A27,'Lançamento de Cabos'!C:C)</f>
        <v>1000</v>
      </c>
      <c r="E27" s="58">
        <f t="shared" si="1"/>
        <v>0.8</v>
      </c>
      <c r="J27" s="40" t="s">
        <v>23</v>
      </c>
      <c r="K27" s="35">
        <f>IF(Dashboard!$V$6="Geral",SUM(BD!$S:$S),SUMIF(BD!J:J,Dashboard!$V$6,BD!S:S))</f>
        <v>218</v>
      </c>
      <c r="L27" s="35">
        <f>IF(Dashboard!$V$6="Geral",SUM('Lançamento de Cabos'!AG:AG),SUMIF('Lançamento de Cabos'!AJ:AJ,Dashboard!$V$6,'Lançamento de Cabos'!AG:AG))</f>
        <v>36</v>
      </c>
      <c r="M27" s="37">
        <f>IFERROR(L27/K27,0)</f>
        <v>0.16513761467889909</v>
      </c>
      <c r="N27" s="35">
        <f>K27-L27</f>
        <v>182</v>
      </c>
    </row>
    <row r="28" spans="1:19" x14ac:dyDescent="0.25">
      <c r="A28" s="57" t="s">
        <v>446</v>
      </c>
      <c r="B28" s="33">
        <f>VLOOKUP(Tabela8[[#This Row],[Listas]],Tabela1[[Lista de Cabos]:[Revisão]],2,0)</f>
        <v>1</v>
      </c>
      <c r="C28" s="33">
        <f>SUMIFS(BD!$AD:$AD,BD!$T:$T,Indicadores!A28)</f>
        <v>879</v>
      </c>
      <c r="D28" s="33">
        <f>SUMIF('Lançamento de Cabos'!G:G,A28,'Lançamento de Cabos'!C:C)</f>
        <v>864</v>
      </c>
      <c r="E28" s="58">
        <f t="shared" si="1"/>
        <v>0.98293515358361772</v>
      </c>
      <c r="K28"/>
    </row>
    <row r="29" spans="1:19" x14ac:dyDescent="0.25">
      <c r="A29" s="57" t="s">
        <v>415</v>
      </c>
      <c r="B29" s="33">
        <f>VLOOKUP(Tabela8[[#This Row],[Listas]],Tabela1[[Lista de Cabos]:[Revisão]],2,0)</f>
        <v>2</v>
      </c>
      <c r="C29" s="33">
        <f>SUMIFS(BD!$AD:$AD,BD!$T:$T,Indicadores!A29)</f>
        <v>1949</v>
      </c>
      <c r="D29" s="33">
        <f>SUMIF('Lançamento de Cabos'!G:G,A29,'Lançamento de Cabos'!C:C)</f>
        <v>1949</v>
      </c>
      <c r="E29" s="58">
        <f t="shared" si="1"/>
        <v>1</v>
      </c>
      <c r="J29" s="41" t="s">
        <v>2115</v>
      </c>
      <c r="K29" s="41" t="s">
        <v>2097</v>
      </c>
      <c r="L29" s="41" t="s">
        <v>1706</v>
      </c>
      <c r="M29" s="41" t="s">
        <v>2116</v>
      </c>
      <c r="N29" s="41" t="s">
        <v>2117</v>
      </c>
      <c r="O29" s="41" t="s">
        <v>2118</v>
      </c>
      <c r="P29" s="41" t="s">
        <v>2119</v>
      </c>
      <c r="Q29" s="41" t="s">
        <v>2120</v>
      </c>
      <c r="R29" s="41" t="s">
        <v>2109</v>
      </c>
      <c r="S29" s="41" t="s">
        <v>2121</v>
      </c>
    </row>
    <row r="30" spans="1:19" x14ac:dyDescent="0.25">
      <c r="A30" s="57" t="s">
        <v>405</v>
      </c>
      <c r="B30" s="33">
        <f>VLOOKUP(Tabela8[[#This Row],[Listas]],Tabela1[[Lista de Cabos]:[Revisão]],2,0)</f>
        <v>2</v>
      </c>
      <c r="C30" s="33">
        <f>SUMIFS(BD!$AD:$AD,BD!$T:$T,Indicadores!A30)</f>
        <v>322</v>
      </c>
      <c r="D30" s="33">
        <f>SUMIF('Lançamento de Cabos'!G:G,A30,'Lançamento de Cabos'!C:C)</f>
        <v>322</v>
      </c>
      <c r="E30" s="58">
        <f t="shared" si="1"/>
        <v>1</v>
      </c>
      <c r="J30" s="40" t="s">
        <v>37</v>
      </c>
      <c r="K30" s="86">
        <f>K3</f>
        <v>52918</v>
      </c>
      <c r="L30" s="86">
        <f>K30-M30</f>
        <v>52098</v>
      </c>
      <c r="M30" s="86">
        <f>SUMIFS(BD!$AD:$AD,BD!$B:$B,Indicadores!J30,BD!AB:AB,"Não Solic.")</f>
        <v>820</v>
      </c>
      <c r="N30" s="86">
        <f>L30-O30</f>
        <v>52098</v>
      </c>
      <c r="O30" s="86">
        <f>SUMIFS(BD!$AD:$AD,BD!$B:$B,Indicadores!J30,BD!AB:AB,"Pend. Resp.")</f>
        <v>0</v>
      </c>
      <c r="P30" s="86">
        <f>SUMIFS(BD!$AD:$AD,BD!$B:$B,Indicadores!J30,BD!AB:AB,"Pend. Compra")+SUMIFS(BD!$AD:$AD,BD!$B:$B,Indicadores!J30,BD!AB:AB,"Pend. Material")</f>
        <v>2970</v>
      </c>
      <c r="Q30" s="86">
        <f>N30-P30</f>
        <v>49128</v>
      </c>
      <c r="R30" s="86">
        <f>B3</f>
        <v>49068</v>
      </c>
      <c r="S30" s="86">
        <f>Q30-R30</f>
        <v>60</v>
      </c>
    </row>
    <row r="31" spans="1:19" x14ac:dyDescent="0.25">
      <c r="J31" s="40" t="s">
        <v>38</v>
      </c>
      <c r="K31" s="86">
        <f>K4</f>
        <v>37825</v>
      </c>
      <c r="L31" s="86">
        <f>K31-M31</f>
        <v>36945</v>
      </c>
      <c r="M31" s="86">
        <f>SUMIFS(BD!$AD:$AD,BD!$B:$B,Indicadores!J31,BD!AB:AB,"Não Solic.")</f>
        <v>880</v>
      </c>
      <c r="N31" s="86">
        <f>L31-O31</f>
        <v>36945</v>
      </c>
      <c r="O31" s="86">
        <f>SUMIFS(BD!$AD:$AD,BD!$B:$B,Indicadores!J31,BD!AB:AB,"Pend. Resp.")</f>
        <v>0</v>
      </c>
      <c r="P31" s="86">
        <f>SUMIFS(BD!$AD:$AD,BD!$B:$B,Indicadores!J31,BD!AB:AB,"Pend. Compra")+SUMIFS(BD!$AD:$AD,BD!$B:$B,Indicadores!J31,BD!AB:AB,"Pend. Material")</f>
        <v>400</v>
      </c>
      <c r="Q31" s="86">
        <f>N31-P31</f>
        <v>36545</v>
      </c>
      <c r="R31" s="86">
        <f>C3</f>
        <v>34991</v>
      </c>
      <c r="S31" s="86">
        <f>Q31-R31</f>
        <v>1554</v>
      </c>
    </row>
    <row r="32" spans="1:19" x14ac:dyDescent="0.25">
      <c r="J32" s="40" t="s">
        <v>101</v>
      </c>
      <c r="K32" s="86">
        <f>K5</f>
        <v>12208</v>
      </c>
      <c r="L32" s="86">
        <f>K32-M32</f>
        <v>11495</v>
      </c>
      <c r="M32" s="86">
        <f>SUMIFS(BD!$AD:$AD,BD!$B:$B,Indicadores!J32,BD!AB:AB,"Não Solic.")</f>
        <v>713</v>
      </c>
      <c r="N32" s="86">
        <f>L32-O32</f>
        <v>11495</v>
      </c>
      <c r="O32" s="86">
        <f>SUMIFS(BD!$AD:$AD,BD!$B:$B,Indicadores!J32,BD!AB:AB,"Pend. Resp.")</f>
        <v>0</v>
      </c>
      <c r="P32" s="86">
        <f>SUMIFS(BD!$AD:$AD,BD!$B:$B,Indicadores!J32,BD!AB:AB,"Pend. Compra")+SUMIFS(BD!$AD:$AD,BD!$B:$B,Indicadores!J32,BD!AB:AB,"Pend. Material")</f>
        <v>2030</v>
      </c>
      <c r="Q32" s="86">
        <f>N32-P32</f>
        <v>9465</v>
      </c>
      <c r="R32" s="86">
        <f>D3</f>
        <v>9202.5</v>
      </c>
      <c r="S32" s="86">
        <f>Q32-R32</f>
        <v>262.5</v>
      </c>
    </row>
    <row r="33" spans="10:19" x14ac:dyDescent="0.25">
      <c r="J33" s="40" t="s">
        <v>40</v>
      </c>
      <c r="K33" s="86">
        <f>K6</f>
        <v>776.5</v>
      </c>
      <c r="L33" s="86">
        <f>K33-M33</f>
        <v>716.5</v>
      </c>
      <c r="M33" s="86">
        <f>SUMIFS(BD!$AD:$AD,BD!$B:$B,Indicadores!J33,BD!AB:AB,"Não Solic.")</f>
        <v>60</v>
      </c>
      <c r="N33" s="86">
        <f>L33-O33</f>
        <v>716.5</v>
      </c>
      <c r="O33" s="86">
        <f>SUMIFS(BD!$AD:$AD,BD!$B:$B,Indicadores!J33,BD!AB:AB,"Pend. Resp.")</f>
        <v>0</v>
      </c>
      <c r="P33" s="86">
        <f>SUMIFS(BD!$AD:$AD,BD!$B:$B,Indicadores!J33,BD!AB:AB,"Pend. Compra")+SUMIFS(BD!$AD:$AD,BD!$B:$B,Indicadores!J33,BD!AB:AB,"Pend. Material")</f>
        <v>0</v>
      </c>
      <c r="Q33" s="86">
        <f>N33-P33</f>
        <v>716.5</v>
      </c>
      <c r="R33" s="86">
        <f>E3</f>
        <v>499</v>
      </c>
      <c r="S33" s="86">
        <f>Q33-R33</f>
        <v>217.5</v>
      </c>
    </row>
    <row r="34" spans="10:19" x14ac:dyDescent="0.25">
      <c r="J34" s="40" t="s">
        <v>28</v>
      </c>
      <c r="K34" s="86">
        <f>K7</f>
        <v>103727.5</v>
      </c>
      <c r="L34" s="86">
        <f>SUM(L30:L33)</f>
        <v>101254.5</v>
      </c>
      <c r="M34" s="86">
        <f>SUM(M30:M33)</f>
        <v>2473</v>
      </c>
      <c r="N34" s="86">
        <f>SUM(N30:N33)</f>
        <v>101254.5</v>
      </c>
      <c r="O34" s="86">
        <f>SUM(O30:O33)</f>
        <v>0</v>
      </c>
      <c r="P34" s="86">
        <f>SUM(P30:P33)</f>
        <v>5400</v>
      </c>
      <c r="Q34" s="86">
        <f>N34-P34</f>
        <v>95854.5</v>
      </c>
      <c r="R34" s="86">
        <f>SUM(R30:R33)</f>
        <v>93760.5</v>
      </c>
      <c r="S34" s="86">
        <f>SUM(S30:S33)</f>
        <v>2094</v>
      </c>
    </row>
  </sheetData>
  <pageMargins left="0.511811024" right="0.511811024" top="0.78740157499999996" bottom="0.78740157499999996" header="0.31496062000000002" footer="0.31496062000000002"/>
  <pageSetup paperSize="9" orientation="landscape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K31"/>
  <sheetViews>
    <sheetView zoomScale="115" zoomScaleNormal="115" workbookViewId="0">
      <selection activeCell="E27" sqref="E27"/>
    </sheetView>
  </sheetViews>
  <sheetFormatPr defaultRowHeight="15" x14ac:dyDescent="0.25"/>
  <cols>
    <col min="1" max="1" width="14.140625" bestFit="1" customWidth="1"/>
    <col min="2" max="2" width="8.85546875" bestFit="1" customWidth="1"/>
    <col min="3" max="3" width="8.140625" bestFit="1" customWidth="1"/>
    <col min="4" max="4" width="8.85546875" bestFit="1" customWidth="1"/>
    <col min="5" max="5" width="14.140625" bestFit="1" customWidth="1"/>
    <col min="7" max="7" width="8.5703125" bestFit="1" customWidth="1"/>
    <col min="8" max="8" width="6.140625" bestFit="1" customWidth="1"/>
    <col min="9" max="9" width="4.7109375" bestFit="1" customWidth="1"/>
    <col min="10" max="10" width="6.85546875" bestFit="1" customWidth="1"/>
    <col min="11" max="11" width="6.28515625" bestFit="1" customWidth="1"/>
    <col min="12" max="12" width="6.5703125" bestFit="1" customWidth="1"/>
    <col min="13" max="13" width="25.5703125" bestFit="1" customWidth="1"/>
    <col min="14" max="14" width="6.5703125" bestFit="1" customWidth="1"/>
    <col min="15" max="15" width="10" bestFit="1" customWidth="1"/>
    <col min="16" max="16" width="8.42578125" bestFit="1" customWidth="1"/>
    <col min="17" max="17" width="9" bestFit="1" customWidth="1"/>
    <col min="18" max="18" width="8" bestFit="1" customWidth="1"/>
    <col min="19" max="19" width="22" customWidth="1"/>
    <col min="20" max="20" width="5.85546875" bestFit="1" customWidth="1"/>
    <col min="21" max="21" width="11.5703125" bestFit="1" customWidth="1"/>
    <col min="22" max="22" width="8.5703125" bestFit="1" customWidth="1"/>
    <col min="24" max="24" width="12.140625" bestFit="1" customWidth="1"/>
    <col min="25" max="25" width="7.28515625" bestFit="1" customWidth="1"/>
    <col min="26" max="26" width="8.5703125" bestFit="1" customWidth="1"/>
    <col min="27" max="27" width="8.28515625" bestFit="1" customWidth="1"/>
    <col min="28" max="28" width="8.42578125" bestFit="1" customWidth="1"/>
    <col min="29" max="29" width="6.85546875" bestFit="1" customWidth="1"/>
  </cols>
  <sheetData>
    <row r="1" spans="1:29" ht="36" x14ac:dyDescent="0.25">
      <c r="A1" s="172" t="s">
        <v>53</v>
      </c>
      <c r="B1" s="173" t="s">
        <v>4</v>
      </c>
      <c r="C1" s="173" t="s">
        <v>54</v>
      </c>
      <c r="D1" s="173" t="s">
        <v>55</v>
      </c>
      <c r="E1" s="173" t="s">
        <v>5</v>
      </c>
      <c r="F1" s="243" t="s">
        <v>16</v>
      </c>
      <c r="G1" s="243" t="s">
        <v>17</v>
      </c>
      <c r="H1" s="243" t="s">
        <v>18</v>
      </c>
      <c r="I1" s="243" t="s">
        <v>19</v>
      </c>
      <c r="J1" s="243" t="s">
        <v>61</v>
      </c>
      <c r="K1" s="243" t="s">
        <v>62</v>
      </c>
      <c r="L1" s="243" t="s">
        <v>63</v>
      </c>
      <c r="M1" s="173" t="s">
        <v>30</v>
      </c>
      <c r="N1" s="173" t="s">
        <v>64</v>
      </c>
      <c r="O1" s="173" t="s">
        <v>65</v>
      </c>
      <c r="P1" s="173" t="s">
        <v>66</v>
      </c>
      <c r="Q1" s="173" t="s">
        <v>67</v>
      </c>
      <c r="R1" s="173" t="s">
        <v>68</v>
      </c>
      <c r="S1" s="186" t="s">
        <v>69</v>
      </c>
      <c r="T1" s="173" t="s">
        <v>70</v>
      </c>
      <c r="U1" s="173" t="s">
        <v>24</v>
      </c>
      <c r="V1" s="173" t="s">
        <v>71</v>
      </c>
      <c r="W1" s="173" t="s">
        <v>72</v>
      </c>
      <c r="X1" s="173" t="s">
        <v>73</v>
      </c>
      <c r="Y1" s="173" t="s">
        <v>48</v>
      </c>
      <c r="Z1" s="173" t="s">
        <v>52</v>
      </c>
      <c r="AA1" s="173" t="s">
        <v>74</v>
      </c>
      <c r="AB1" s="173" t="s">
        <v>75</v>
      </c>
      <c r="AC1" s="187" t="s">
        <v>76</v>
      </c>
    </row>
    <row r="2" spans="1:29" x14ac:dyDescent="0.25">
      <c r="A2" s="174" t="s">
        <v>2122</v>
      </c>
      <c r="B2" s="175" t="s">
        <v>2123</v>
      </c>
      <c r="C2" s="175">
        <v>13800</v>
      </c>
      <c r="D2" s="175" t="s">
        <v>120</v>
      </c>
      <c r="E2" s="178" t="s">
        <v>988</v>
      </c>
      <c r="F2" s="254" t="s">
        <v>86</v>
      </c>
      <c r="G2" s="254" t="s">
        <v>86</v>
      </c>
      <c r="H2" s="254" t="s">
        <v>86</v>
      </c>
      <c r="I2" s="254" t="s">
        <v>86</v>
      </c>
      <c r="J2" s="242" t="s">
        <v>107</v>
      </c>
      <c r="K2" s="175">
        <v>0</v>
      </c>
      <c r="L2" s="175">
        <v>0</v>
      </c>
      <c r="M2" s="180" t="s">
        <v>88</v>
      </c>
      <c r="N2" s="175">
        <v>3</v>
      </c>
      <c r="O2" s="240" t="s">
        <v>2124</v>
      </c>
      <c r="P2" s="175" t="s">
        <v>2125</v>
      </c>
      <c r="Q2" s="185">
        <v>44177</v>
      </c>
      <c r="R2" s="175"/>
      <c r="S2" s="178"/>
      <c r="T2" s="175"/>
      <c r="U2" s="175" t="s">
        <v>2126</v>
      </c>
      <c r="V2" s="180" t="s">
        <v>107</v>
      </c>
      <c r="W2" s="175" t="s">
        <v>92</v>
      </c>
      <c r="X2" s="175" t="s">
        <v>92</v>
      </c>
      <c r="Y2" s="175" t="s">
        <v>1417</v>
      </c>
      <c r="Z2" s="175" t="s">
        <v>92</v>
      </c>
      <c r="AA2" s="235" t="s">
        <v>92</v>
      </c>
      <c r="AB2" s="180" t="s">
        <v>107</v>
      </c>
      <c r="AC2" s="236" t="s">
        <v>107</v>
      </c>
    </row>
    <row r="3" spans="1:29" x14ac:dyDescent="0.25">
      <c r="A3" s="176" t="s">
        <v>2127</v>
      </c>
      <c r="B3" s="177" t="s">
        <v>2123</v>
      </c>
      <c r="C3" s="177" t="s">
        <v>92</v>
      </c>
      <c r="D3" s="177" t="s">
        <v>92</v>
      </c>
      <c r="E3" s="181" t="s">
        <v>581</v>
      </c>
      <c r="F3" s="255" t="s">
        <v>86</v>
      </c>
      <c r="G3" s="255" t="s">
        <v>86</v>
      </c>
      <c r="H3" s="255" t="s">
        <v>86</v>
      </c>
      <c r="I3" s="255" t="s">
        <v>86</v>
      </c>
      <c r="J3" s="241" t="s">
        <v>107</v>
      </c>
      <c r="K3" s="190">
        <v>0</v>
      </c>
      <c r="L3" s="177">
        <v>0</v>
      </c>
      <c r="M3" s="183" t="s">
        <v>88</v>
      </c>
      <c r="N3" s="177">
        <v>3</v>
      </c>
      <c r="O3" s="239" t="s">
        <v>2124</v>
      </c>
      <c r="P3" s="177" t="s">
        <v>2125</v>
      </c>
      <c r="Q3" s="184">
        <v>44177</v>
      </c>
      <c r="R3" s="177"/>
      <c r="S3" s="181"/>
      <c r="T3" s="177"/>
      <c r="U3" s="177" t="s">
        <v>2126</v>
      </c>
      <c r="V3" s="183" t="s">
        <v>107</v>
      </c>
      <c r="W3" s="177" t="s">
        <v>92</v>
      </c>
      <c r="X3" s="177" t="s">
        <v>92</v>
      </c>
      <c r="Y3" s="177" t="s">
        <v>1417</v>
      </c>
      <c r="Z3" s="177" t="s">
        <v>92</v>
      </c>
      <c r="AA3" s="237" t="s">
        <v>92</v>
      </c>
      <c r="AB3" s="183" t="s">
        <v>107</v>
      </c>
      <c r="AC3" s="238" t="s">
        <v>107</v>
      </c>
    </row>
    <row r="4" spans="1:29" x14ac:dyDescent="0.25">
      <c r="A4" s="174" t="s">
        <v>2128</v>
      </c>
      <c r="B4" s="175" t="s">
        <v>2123</v>
      </c>
      <c r="C4" s="175" t="s">
        <v>92</v>
      </c>
      <c r="D4" s="175" t="s">
        <v>92</v>
      </c>
      <c r="E4" s="178" t="s">
        <v>581</v>
      </c>
      <c r="F4" s="254" t="s">
        <v>86</v>
      </c>
      <c r="G4" s="254" t="s">
        <v>86</v>
      </c>
      <c r="H4" s="254" t="s">
        <v>86</v>
      </c>
      <c r="I4" s="254" t="s">
        <v>86</v>
      </c>
      <c r="J4" s="242" t="s">
        <v>107</v>
      </c>
      <c r="K4" s="175">
        <v>0</v>
      </c>
      <c r="L4" s="175">
        <v>0</v>
      </c>
      <c r="M4" s="180" t="s">
        <v>88</v>
      </c>
      <c r="N4" s="175">
        <v>3</v>
      </c>
      <c r="O4" s="240" t="s">
        <v>2124</v>
      </c>
      <c r="P4" s="175" t="s">
        <v>2125</v>
      </c>
      <c r="Q4" s="185">
        <v>44177</v>
      </c>
      <c r="R4" s="175"/>
      <c r="S4" s="178"/>
      <c r="T4" s="175"/>
      <c r="U4" s="175" t="s">
        <v>2126</v>
      </c>
      <c r="V4" s="180" t="s">
        <v>107</v>
      </c>
      <c r="W4" s="175" t="s">
        <v>92</v>
      </c>
      <c r="X4" s="175" t="s">
        <v>92</v>
      </c>
      <c r="Y4" s="175" t="s">
        <v>1417</v>
      </c>
      <c r="Z4" s="175" t="s">
        <v>92</v>
      </c>
      <c r="AA4" s="235" t="s">
        <v>92</v>
      </c>
      <c r="AB4" s="180" t="s">
        <v>107</v>
      </c>
      <c r="AC4" s="236" t="s">
        <v>107</v>
      </c>
    </row>
    <row r="5" spans="1:29" x14ac:dyDescent="0.25">
      <c r="A5" s="176" t="s">
        <v>2129</v>
      </c>
      <c r="B5" s="177" t="s">
        <v>2123</v>
      </c>
      <c r="C5" s="177" t="s">
        <v>92</v>
      </c>
      <c r="D5" s="177" t="s">
        <v>92</v>
      </c>
      <c r="E5" s="181" t="s">
        <v>581</v>
      </c>
      <c r="F5" s="255" t="s">
        <v>86</v>
      </c>
      <c r="G5" s="255" t="s">
        <v>86</v>
      </c>
      <c r="H5" s="255" t="s">
        <v>86</v>
      </c>
      <c r="I5" s="255" t="s">
        <v>86</v>
      </c>
      <c r="J5" s="241" t="s">
        <v>107</v>
      </c>
      <c r="K5" s="177">
        <v>0</v>
      </c>
      <c r="L5" s="177">
        <v>0</v>
      </c>
      <c r="M5" s="183" t="s">
        <v>88</v>
      </c>
      <c r="N5" s="177">
        <v>3</v>
      </c>
      <c r="O5" s="239" t="s">
        <v>2124</v>
      </c>
      <c r="P5" s="177" t="s">
        <v>808</v>
      </c>
      <c r="Q5" s="184">
        <v>44177</v>
      </c>
      <c r="R5" s="177"/>
      <c r="S5" s="181"/>
      <c r="T5" s="177"/>
      <c r="U5" s="177" t="s">
        <v>2126</v>
      </c>
      <c r="V5" s="183" t="s">
        <v>107</v>
      </c>
      <c r="W5" s="177" t="s">
        <v>92</v>
      </c>
      <c r="X5" s="177" t="s">
        <v>92</v>
      </c>
      <c r="Y5" s="177" t="s">
        <v>2130</v>
      </c>
      <c r="Z5" s="177" t="s">
        <v>92</v>
      </c>
      <c r="AA5" s="237" t="s">
        <v>92</v>
      </c>
      <c r="AB5" s="183" t="s">
        <v>107</v>
      </c>
      <c r="AC5" s="238" t="s">
        <v>107</v>
      </c>
    </row>
    <row r="6" spans="1:29" x14ac:dyDescent="0.25">
      <c r="A6" s="174" t="s">
        <v>2131</v>
      </c>
      <c r="B6" s="175" t="s">
        <v>2123</v>
      </c>
      <c r="C6" s="175" t="s">
        <v>92</v>
      </c>
      <c r="D6" s="175" t="s">
        <v>92</v>
      </c>
      <c r="E6" s="178" t="s">
        <v>581</v>
      </c>
      <c r="F6" s="254" t="s">
        <v>86</v>
      </c>
      <c r="G6" s="254" t="s">
        <v>86</v>
      </c>
      <c r="H6" s="254" t="s">
        <v>86</v>
      </c>
      <c r="I6" s="254" t="s">
        <v>86</v>
      </c>
      <c r="J6" s="242" t="s">
        <v>107</v>
      </c>
      <c r="K6" s="175">
        <v>0</v>
      </c>
      <c r="L6" s="175">
        <v>0</v>
      </c>
      <c r="M6" s="180" t="s">
        <v>88</v>
      </c>
      <c r="N6" s="175">
        <v>3</v>
      </c>
      <c r="O6" s="240" t="s">
        <v>2124</v>
      </c>
      <c r="P6" s="175" t="s">
        <v>808</v>
      </c>
      <c r="Q6" s="185">
        <v>44177</v>
      </c>
      <c r="R6" s="175"/>
      <c r="S6" s="178"/>
      <c r="T6" s="175"/>
      <c r="U6" s="175" t="s">
        <v>2126</v>
      </c>
      <c r="V6" s="180" t="s">
        <v>107</v>
      </c>
      <c r="W6" s="175" t="s">
        <v>92</v>
      </c>
      <c r="X6" s="175" t="s">
        <v>92</v>
      </c>
      <c r="Y6" s="175" t="s">
        <v>2130</v>
      </c>
      <c r="Z6" s="175" t="s">
        <v>92</v>
      </c>
      <c r="AA6" s="235" t="s">
        <v>92</v>
      </c>
      <c r="AB6" s="180" t="s">
        <v>107</v>
      </c>
      <c r="AC6" s="236" t="s">
        <v>107</v>
      </c>
    </row>
    <row r="7" spans="1:29" x14ac:dyDescent="0.25">
      <c r="A7" s="176" t="s">
        <v>2132</v>
      </c>
      <c r="B7" s="177" t="s">
        <v>2123</v>
      </c>
      <c r="C7" s="177" t="s">
        <v>92</v>
      </c>
      <c r="D7" s="177" t="s">
        <v>92</v>
      </c>
      <c r="E7" s="181" t="s">
        <v>581</v>
      </c>
      <c r="F7" s="255" t="s">
        <v>86</v>
      </c>
      <c r="G7" s="255" t="s">
        <v>86</v>
      </c>
      <c r="H7" s="255" t="s">
        <v>86</v>
      </c>
      <c r="I7" s="255" t="s">
        <v>86</v>
      </c>
      <c r="J7" s="241" t="s">
        <v>107</v>
      </c>
      <c r="K7" s="177">
        <v>0</v>
      </c>
      <c r="L7" s="177">
        <v>0</v>
      </c>
      <c r="M7" s="183" t="s">
        <v>88</v>
      </c>
      <c r="N7" s="177">
        <v>3</v>
      </c>
      <c r="O7" s="239" t="s">
        <v>2124</v>
      </c>
      <c r="P7" s="177" t="s">
        <v>808</v>
      </c>
      <c r="Q7" s="184">
        <v>44177</v>
      </c>
      <c r="R7" s="177"/>
      <c r="S7" s="181"/>
      <c r="T7" s="177"/>
      <c r="U7" s="177" t="s">
        <v>2126</v>
      </c>
      <c r="V7" s="183" t="s">
        <v>107</v>
      </c>
      <c r="W7" s="177" t="s">
        <v>92</v>
      </c>
      <c r="X7" s="177" t="s">
        <v>92</v>
      </c>
      <c r="Y7" s="177" t="s">
        <v>2130</v>
      </c>
      <c r="Z7" s="177" t="s">
        <v>92</v>
      </c>
      <c r="AA7" s="237" t="s">
        <v>92</v>
      </c>
      <c r="AB7" s="183" t="s">
        <v>107</v>
      </c>
      <c r="AC7" s="238" t="s">
        <v>107</v>
      </c>
    </row>
    <row r="8" spans="1:29" x14ac:dyDescent="0.25">
      <c r="A8" s="174" t="s">
        <v>2133</v>
      </c>
      <c r="B8" s="175" t="s">
        <v>2123</v>
      </c>
      <c r="C8" s="175" t="s">
        <v>92</v>
      </c>
      <c r="D8" s="175" t="s">
        <v>92</v>
      </c>
      <c r="E8" s="178" t="s">
        <v>581</v>
      </c>
      <c r="F8" s="254" t="s">
        <v>86</v>
      </c>
      <c r="G8" s="254" t="s">
        <v>86</v>
      </c>
      <c r="H8" s="254" t="s">
        <v>86</v>
      </c>
      <c r="I8" s="254" t="s">
        <v>86</v>
      </c>
      <c r="J8" s="242" t="s">
        <v>107</v>
      </c>
      <c r="K8" s="175">
        <v>0</v>
      </c>
      <c r="L8" s="175">
        <v>0</v>
      </c>
      <c r="M8" s="180" t="s">
        <v>88</v>
      </c>
      <c r="N8" s="175">
        <v>3</v>
      </c>
      <c r="O8" s="240" t="s">
        <v>2124</v>
      </c>
      <c r="P8" s="175" t="s">
        <v>808</v>
      </c>
      <c r="Q8" s="185">
        <v>44177</v>
      </c>
      <c r="R8" s="175"/>
      <c r="S8" s="178"/>
      <c r="T8" s="175"/>
      <c r="U8" s="175" t="s">
        <v>2126</v>
      </c>
      <c r="V8" s="180" t="s">
        <v>107</v>
      </c>
      <c r="W8" s="175" t="s">
        <v>92</v>
      </c>
      <c r="X8" s="175" t="s">
        <v>92</v>
      </c>
      <c r="Y8" s="175" t="s">
        <v>2130</v>
      </c>
      <c r="Z8" s="175" t="s">
        <v>92</v>
      </c>
      <c r="AA8" s="235" t="s">
        <v>92</v>
      </c>
      <c r="AB8" s="180" t="s">
        <v>107</v>
      </c>
      <c r="AC8" s="236" t="s">
        <v>107</v>
      </c>
    </row>
    <row r="9" spans="1:29" x14ac:dyDescent="0.25">
      <c r="A9" s="176" t="s">
        <v>2134</v>
      </c>
      <c r="B9" s="177" t="s">
        <v>2123</v>
      </c>
      <c r="C9" s="177" t="s">
        <v>92</v>
      </c>
      <c r="D9" s="177" t="s">
        <v>92</v>
      </c>
      <c r="E9" s="181" t="s">
        <v>581</v>
      </c>
      <c r="F9" s="255" t="s">
        <v>86</v>
      </c>
      <c r="G9" s="255" t="s">
        <v>86</v>
      </c>
      <c r="H9" s="255" t="s">
        <v>86</v>
      </c>
      <c r="I9" s="255" t="s">
        <v>86</v>
      </c>
      <c r="J9" s="241" t="s">
        <v>107</v>
      </c>
      <c r="K9" s="177">
        <v>0</v>
      </c>
      <c r="L9" s="177">
        <v>0</v>
      </c>
      <c r="M9" s="183" t="s">
        <v>88</v>
      </c>
      <c r="N9" s="177">
        <v>3</v>
      </c>
      <c r="O9" s="239" t="s">
        <v>2124</v>
      </c>
      <c r="P9" s="177" t="s">
        <v>903</v>
      </c>
      <c r="Q9" s="184">
        <v>44177</v>
      </c>
      <c r="R9" s="177"/>
      <c r="S9" s="181"/>
      <c r="T9" s="177"/>
      <c r="U9" s="177" t="s">
        <v>2126</v>
      </c>
      <c r="V9" s="183" t="s">
        <v>107</v>
      </c>
      <c r="W9" s="177" t="s">
        <v>92</v>
      </c>
      <c r="X9" s="177" t="s">
        <v>92</v>
      </c>
      <c r="Y9" s="177" t="s">
        <v>2135</v>
      </c>
      <c r="Z9" s="177" t="s">
        <v>92</v>
      </c>
      <c r="AA9" s="237" t="s">
        <v>92</v>
      </c>
      <c r="AB9" s="183" t="s">
        <v>107</v>
      </c>
      <c r="AC9" s="238" t="s">
        <v>107</v>
      </c>
    </row>
    <row r="10" spans="1:29" x14ac:dyDescent="0.25">
      <c r="A10" s="174" t="s">
        <v>2136</v>
      </c>
      <c r="B10" s="175" t="s">
        <v>2123</v>
      </c>
      <c r="C10" s="175" t="s">
        <v>92</v>
      </c>
      <c r="D10" s="175" t="s">
        <v>92</v>
      </c>
      <c r="E10" s="178" t="s">
        <v>581</v>
      </c>
      <c r="F10" s="254" t="s">
        <v>86</v>
      </c>
      <c r="G10" s="254" t="s">
        <v>86</v>
      </c>
      <c r="H10" s="254" t="s">
        <v>86</v>
      </c>
      <c r="I10" s="254" t="s">
        <v>86</v>
      </c>
      <c r="J10" s="242" t="s">
        <v>107</v>
      </c>
      <c r="K10" s="175">
        <v>0</v>
      </c>
      <c r="L10" s="175">
        <v>0</v>
      </c>
      <c r="M10" s="180" t="s">
        <v>88</v>
      </c>
      <c r="N10" s="175">
        <v>3</v>
      </c>
      <c r="O10" s="240" t="s">
        <v>2124</v>
      </c>
      <c r="P10" s="175" t="s">
        <v>903</v>
      </c>
      <c r="Q10" s="185">
        <v>44177</v>
      </c>
      <c r="R10" s="175"/>
      <c r="S10" s="178"/>
      <c r="T10" s="175"/>
      <c r="U10" s="175" t="s">
        <v>2126</v>
      </c>
      <c r="V10" s="180" t="s">
        <v>107</v>
      </c>
      <c r="W10" s="175" t="s">
        <v>92</v>
      </c>
      <c r="X10" s="175" t="s">
        <v>92</v>
      </c>
      <c r="Y10" s="175" t="s">
        <v>2135</v>
      </c>
      <c r="Z10" s="175" t="s">
        <v>92</v>
      </c>
      <c r="AA10" s="235" t="s">
        <v>92</v>
      </c>
      <c r="AB10" s="180" t="s">
        <v>107</v>
      </c>
      <c r="AC10" s="236" t="s">
        <v>107</v>
      </c>
    </row>
    <row r="11" spans="1:29" x14ac:dyDescent="0.25">
      <c r="A11" s="176" t="s">
        <v>2137</v>
      </c>
      <c r="B11" s="177" t="s">
        <v>2123</v>
      </c>
      <c r="C11" s="177" t="s">
        <v>92</v>
      </c>
      <c r="D11" s="177" t="s">
        <v>92</v>
      </c>
      <c r="E11" s="181" t="s">
        <v>581</v>
      </c>
      <c r="F11" s="255" t="s">
        <v>86</v>
      </c>
      <c r="G11" s="255" t="s">
        <v>86</v>
      </c>
      <c r="H11" s="255" t="s">
        <v>86</v>
      </c>
      <c r="I11" s="255" t="s">
        <v>86</v>
      </c>
      <c r="J11" s="241" t="s">
        <v>107</v>
      </c>
      <c r="K11" s="177">
        <v>0</v>
      </c>
      <c r="L11" s="177">
        <v>0</v>
      </c>
      <c r="M11" s="183" t="s">
        <v>88</v>
      </c>
      <c r="N11" s="177">
        <v>3</v>
      </c>
      <c r="O11" s="239" t="s">
        <v>2124</v>
      </c>
      <c r="P11" s="177" t="s">
        <v>903</v>
      </c>
      <c r="Q11" s="184">
        <v>44177</v>
      </c>
      <c r="R11" s="177"/>
      <c r="S11" s="181"/>
      <c r="T11" s="177"/>
      <c r="U11" s="177" t="s">
        <v>2126</v>
      </c>
      <c r="V11" s="183" t="s">
        <v>107</v>
      </c>
      <c r="W11" s="177" t="s">
        <v>92</v>
      </c>
      <c r="X11" s="177" t="s">
        <v>92</v>
      </c>
      <c r="Y11" s="177" t="s">
        <v>2135</v>
      </c>
      <c r="Z11" s="177" t="s">
        <v>92</v>
      </c>
      <c r="AA11" s="237" t="s">
        <v>92</v>
      </c>
      <c r="AB11" s="183" t="s">
        <v>107</v>
      </c>
      <c r="AC11" s="238" t="s">
        <v>107</v>
      </c>
    </row>
    <row r="12" spans="1:29" x14ac:dyDescent="0.25">
      <c r="A12" s="174" t="s">
        <v>2138</v>
      </c>
      <c r="B12" s="175" t="s">
        <v>2123</v>
      </c>
      <c r="C12" s="175" t="s">
        <v>92</v>
      </c>
      <c r="D12" s="175" t="s">
        <v>92</v>
      </c>
      <c r="E12" s="178" t="s">
        <v>581</v>
      </c>
      <c r="F12" s="254" t="s">
        <v>86</v>
      </c>
      <c r="G12" s="254" t="s">
        <v>86</v>
      </c>
      <c r="H12" s="254" t="s">
        <v>86</v>
      </c>
      <c r="I12" s="254" t="s">
        <v>86</v>
      </c>
      <c r="J12" s="242" t="s">
        <v>107</v>
      </c>
      <c r="K12" s="175">
        <v>0</v>
      </c>
      <c r="L12" s="175">
        <v>0</v>
      </c>
      <c r="M12" s="180" t="s">
        <v>88</v>
      </c>
      <c r="N12" s="175">
        <v>3</v>
      </c>
      <c r="O12" s="240" t="s">
        <v>2124</v>
      </c>
      <c r="P12" s="175" t="s">
        <v>903</v>
      </c>
      <c r="Q12" s="185">
        <v>44177</v>
      </c>
      <c r="R12" s="175"/>
      <c r="S12" s="178"/>
      <c r="T12" s="175"/>
      <c r="U12" s="175" t="s">
        <v>2126</v>
      </c>
      <c r="V12" s="180" t="s">
        <v>107</v>
      </c>
      <c r="W12" s="175" t="s">
        <v>92</v>
      </c>
      <c r="X12" s="175" t="s">
        <v>92</v>
      </c>
      <c r="Y12" s="175" t="s">
        <v>2135</v>
      </c>
      <c r="Z12" s="175" t="s">
        <v>92</v>
      </c>
      <c r="AA12" s="235" t="s">
        <v>92</v>
      </c>
      <c r="AB12" s="180" t="s">
        <v>107</v>
      </c>
      <c r="AC12" s="236" t="s">
        <v>107</v>
      </c>
    </row>
    <row r="13" spans="1:29" x14ac:dyDescent="0.25">
      <c r="A13" s="176" t="s">
        <v>2139</v>
      </c>
      <c r="B13" s="177" t="s">
        <v>2123</v>
      </c>
      <c r="C13" s="247" t="s">
        <v>92</v>
      </c>
      <c r="D13" s="247" t="s">
        <v>92</v>
      </c>
      <c r="E13" s="248" t="s">
        <v>102</v>
      </c>
      <c r="F13" s="255" t="s">
        <v>86</v>
      </c>
      <c r="G13" s="255" t="s">
        <v>86</v>
      </c>
      <c r="H13" s="255" t="s">
        <v>86</v>
      </c>
      <c r="I13" s="255" t="s">
        <v>86</v>
      </c>
      <c r="J13" s="241" t="s">
        <v>107</v>
      </c>
      <c r="K13" s="249">
        <v>0</v>
      </c>
      <c r="L13" s="177">
        <v>0</v>
      </c>
      <c r="M13" s="246" t="s">
        <v>305</v>
      </c>
      <c r="N13" s="247">
        <v>2</v>
      </c>
      <c r="O13" s="177" t="s">
        <v>107</v>
      </c>
      <c r="P13" s="247" t="s">
        <v>903</v>
      </c>
      <c r="Q13" s="177" t="s">
        <v>92</v>
      </c>
      <c r="R13" s="181" t="s">
        <v>92</v>
      </c>
      <c r="S13" s="234" t="s">
        <v>2140</v>
      </c>
      <c r="T13" s="247"/>
      <c r="U13" s="247" t="s">
        <v>2141</v>
      </c>
      <c r="V13" s="183" t="s">
        <v>107</v>
      </c>
      <c r="W13" s="247" t="s">
        <v>92</v>
      </c>
      <c r="X13" s="246" t="s">
        <v>156</v>
      </c>
      <c r="Y13" s="247" t="s">
        <v>1264</v>
      </c>
      <c r="Z13" s="177" t="s">
        <v>92</v>
      </c>
      <c r="AA13" s="237" t="s">
        <v>92</v>
      </c>
      <c r="AB13" s="183" t="s">
        <v>107</v>
      </c>
      <c r="AC13" s="238" t="s">
        <v>107</v>
      </c>
    </row>
    <row r="14" spans="1:29" x14ac:dyDescent="0.25">
      <c r="A14" s="174" t="s">
        <v>2142</v>
      </c>
      <c r="B14" s="175" t="s">
        <v>2123</v>
      </c>
      <c r="C14" s="175" t="s">
        <v>92</v>
      </c>
      <c r="D14" s="175" t="s">
        <v>92</v>
      </c>
      <c r="E14" s="178" t="s">
        <v>102</v>
      </c>
      <c r="F14" s="254" t="s">
        <v>86</v>
      </c>
      <c r="G14" s="254" t="s">
        <v>86</v>
      </c>
      <c r="H14" s="254" t="s">
        <v>86</v>
      </c>
      <c r="I14" s="254" t="s">
        <v>86</v>
      </c>
      <c r="J14" s="242" t="s">
        <v>107</v>
      </c>
      <c r="K14" s="175">
        <v>0</v>
      </c>
      <c r="L14" s="175">
        <v>0</v>
      </c>
      <c r="M14" s="180" t="s">
        <v>88</v>
      </c>
      <c r="N14" s="175">
        <v>3</v>
      </c>
      <c r="O14" s="240" t="s">
        <v>2124</v>
      </c>
      <c r="P14" s="175" t="s">
        <v>2125</v>
      </c>
      <c r="Q14" s="185">
        <v>44177</v>
      </c>
      <c r="R14" s="175" t="s">
        <v>92</v>
      </c>
      <c r="S14" s="178" t="s">
        <v>92</v>
      </c>
      <c r="T14" s="175"/>
      <c r="U14" s="175" t="s">
        <v>2126</v>
      </c>
      <c r="V14" s="180" t="s">
        <v>107</v>
      </c>
      <c r="W14" s="175" t="s">
        <v>92</v>
      </c>
      <c r="X14" s="175" t="s">
        <v>92</v>
      </c>
      <c r="Y14" s="175" t="s">
        <v>1417</v>
      </c>
      <c r="Z14" s="175" t="s">
        <v>92</v>
      </c>
      <c r="AA14" s="235" t="s">
        <v>92</v>
      </c>
      <c r="AB14" s="180" t="s">
        <v>107</v>
      </c>
      <c r="AC14" s="236" t="s">
        <v>107</v>
      </c>
    </row>
    <row r="15" spans="1:29" x14ac:dyDescent="0.25">
      <c r="A15" s="176" t="s">
        <v>2143</v>
      </c>
      <c r="B15" s="177" t="s">
        <v>2123</v>
      </c>
      <c r="C15" s="177" t="s">
        <v>92</v>
      </c>
      <c r="D15" s="177" t="s">
        <v>92</v>
      </c>
      <c r="E15" s="181" t="s">
        <v>102</v>
      </c>
      <c r="F15" s="255" t="s">
        <v>86</v>
      </c>
      <c r="G15" s="255" t="s">
        <v>86</v>
      </c>
      <c r="H15" s="255" t="s">
        <v>86</v>
      </c>
      <c r="I15" s="255" t="s">
        <v>86</v>
      </c>
      <c r="J15" s="241" t="s">
        <v>107</v>
      </c>
      <c r="K15" s="177">
        <v>0</v>
      </c>
      <c r="L15" s="177">
        <v>0</v>
      </c>
      <c r="M15" s="183" t="s">
        <v>88</v>
      </c>
      <c r="N15" s="177">
        <v>3</v>
      </c>
      <c r="O15" s="239" t="s">
        <v>2124</v>
      </c>
      <c r="P15" s="177" t="s">
        <v>2125</v>
      </c>
      <c r="Q15" s="184">
        <v>44177</v>
      </c>
      <c r="R15" s="177" t="s">
        <v>92</v>
      </c>
      <c r="S15" s="181" t="s">
        <v>92</v>
      </c>
      <c r="T15" s="177"/>
      <c r="U15" s="177" t="s">
        <v>2126</v>
      </c>
      <c r="V15" s="183" t="s">
        <v>107</v>
      </c>
      <c r="W15" s="177" t="s">
        <v>92</v>
      </c>
      <c r="X15" s="177" t="s">
        <v>92</v>
      </c>
      <c r="Y15" s="177" t="s">
        <v>1417</v>
      </c>
      <c r="Z15" s="177" t="s">
        <v>92</v>
      </c>
      <c r="AA15" s="237" t="s">
        <v>92</v>
      </c>
      <c r="AB15" s="183" t="s">
        <v>107</v>
      </c>
      <c r="AC15" s="238" t="s">
        <v>107</v>
      </c>
    </row>
    <row r="16" spans="1:29" x14ac:dyDescent="0.25">
      <c r="A16" s="174" t="s">
        <v>2144</v>
      </c>
      <c r="B16" s="175" t="s">
        <v>2123</v>
      </c>
      <c r="C16" s="175" t="s">
        <v>92</v>
      </c>
      <c r="D16" s="175" t="s">
        <v>92</v>
      </c>
      <c r="E16" s="178" t="s">
        <v>102</v>
      </c>
      <c r="F16" s="254" t="s">
        <v>86</v>
      </c>
      <c r="G16" s="254" t="s">
        <v>86</v>
      </c>
      <c r="H16" s="254" t="s">
        <v>86</v>
      </c>
      <c r="I16" s="254" t="s">
        <v>86</v>
      </c>
      <c r="J16" s="242" t="s">
        <v>107</v>
      </c>
      <c r="K16" s="175">
        <v>0</v>
      </c>
      <c r="L16" s="175">
        <v>0</v>
      </c>
      <c r="M16" s="180" t="s">
        <v>88</v>
      </c>
      <c r="N16" s="175">
        <v>3</v>
      </c>
      <c r="O16" s="240" t="s">
        <v>2124</v>
      </c>
      <c r="P16" s="175" t="s">
        <v>2125</v>
      </c>
      <c r="Q16" s="185">
        <v>44177</v>
      </c>
      <c r="R16" s="175" t="s">
        <v>92</v>
      </c>
      <c r="S16" s="178" t="s">
        <v>92</v>
      </c>
      <c r="T16" s="175"/>
      <c r="U16" s="175" t="s">
        <v>2126</v>
      </c>
      <c r="V16" s="180" t="s">
        <v>107</v>
      </c>
      <c r="W16" s="175" t="s">
        <v>92</v>
      </c>
      <c r="X16" s="175" t="s">
        <v>92</v>
      </c>
      <c r="Y16" s="175" t="s">
        <v>1417</v>
      </c>
      <c r="Z16" s="175" t="s">
        <v>92</v>
      </c>
      <c r="AA16" s="235" t="s">
        <v>92</v>
      </c>
      <c r="AB16" s="180" t="s">
        <v>107</v>
      </c>
      <c r="AC16" s="236" t="s">
        <v>107</v>
      </c>
    </row>
    <row r="17" spans="1:37" x14ac:dyDescent="0.25">
      <c r="A17" s="176" t="s">
        <v>2145</v>
      </c>
      <c r="B17" s="177" t="s">
        <v>2123</v>
      </c>
      <c r="C17" s="177" t="s">
        <v>92</v>
      </c>
      <c r="D17" s="177" t="s">
        <v>92</v>
      </c>
      <c r="E17" s="181" t="s">
        <v>318</v>
      </c>
      <c r="F17" s="255" t="s">
        <v>86</v>
      </c>
      <c r="G17" s="255" t="s">
        <v>86</v>
      </c>
      <c r="H17" s="255" t="s">
        <v>86</v>
      </c>
      <c r="I17" s="255" t="s">
        <v>86</v>
      </c>
      <c r="J17" s="241" t="s">
        <v>107</v>
      </c>
      <c r="K17" s="190">
        <v>0</v>
      </c>
      <c r="L17" s="177">
        <v>0</v>
      </c>
      <c r="M17" s="183" t="s">
        <v>88</v>
      </c>
      <c r="N17" s="177">
        <v>3</v>
      </c>
      <c r="O17" s="239" t="s">
        <v>2124</v>
      </c>
      <c r="P17" s="177" t="s">
        <v>2125</v>
      </c>
      <c r="Q17" s="184">
        <v>44177</v>
      </c>
      <c r="R17" s="177"/>
      <c r="S17" s="181"/>
      <c r="T17" s="177"/>
      <c r="U17" s="177" t="s">
        <v>2126</v>
      </c>
      <c r="V17" s="183" t="s">
        <v>107</v>
      </c>
      <c r="W17" s="177" t="s">
        <v>92</v>
      </c>
      <c r="X17" s="177" t="s">
        <v>92</v>
      </c>
      <c r="Y17" s="177" t="s">
        <v>1417</v>
      </c>
      <c r="Z17" s="177" t="s">
        <v>92</v>
      </c>
      <c r="AA17" s="237" t="s">
        <v>92</v>
      </c>
      <c r="AB17" s="183" t="s">
        <v>107</v>
      </c>
      <c r="AC17" s="238" t="s">
        <v>107</v>
      </c>
    </row>
    <row r="18" spans="1:37" x14ac:dyDescent="0.25">
      <c r="A18" s="174" t="s">
        <v>1481</v>
      </c>
      <c r="B18" s="175" t="s">
        <v>2123</v>
      </c>
      <c r="C18" s="175" t="s">
        <v>92</v>
      </c>
      <c r="D18" s="175" t="s">
        <v>92</v>
      </c>
      <c r="E18" s="178" t="s">
        <v>318</v>
      </c>
      <c r="F18" s="254" t="s">
        <v>86</v>
      </c>
      <c r="G18" s="254" t="s">
        <v>86</v>
      </c>
      <c r="H18" s="254" t="s">
        <v>86</v>
      </c>
      <c r="I18" s="254" t="s">
        <v>86</v>
      </c>
      <c r="J18" s="242" t="s">
        <v>107</v>
      </c>
      <c r="K18" s="191">
        <v>0</v>
      </c>
      <c r="L18" s="175">
        <v>0</v>
      </c>
      <c r="M18" s="180" t="s">
        <v>88</v>
      </c>
      <c r="N18" s="175">
        <v>3</v>
      </c>
      <c r="O18" s="240" t="s">
        <v>2124</v>
      </c>
      <c r="P18" s="175" t="s">
        <v>2125</v>
      </c>
      <c r="Q18" s="185">
        <v>44177</v>
      </c>
      <c r="R18" s="175"/>
      <c r="S18" s="178"/>
      <c r="T18" s="175"/>
      <c r="U18" s="175" t="s">
        <v>2126</v>
      </c>
      <c r="V18" s="180" t="s">
        <v>107</v>
      </c>
      <c r="W18" s="175" t="s">
        <v>92</v>
      </c>
      <c r="X18" s="175" t="s">
        <v>92</v>
      </c>
      <c r="Y18" s="175" t="s">
        <v>1417</v>
      </c>
      <c r="Z18" s="175" t="s">
        <v>92</v>
      </c>
      <c r="AA18" s="235" t="s">
        <v>92</v>
      </c>
      <c r="AB18" s="180" t="s">
        <v>107</v>
      </c>
      <c r="AC18" s="236" t="s">
        <v>107</v>
      </c>
    </row>
    <row r="19" spans="1:37" x14ac:dyDescent="0.25">
      <c r="A19" s="176" t="s">
        <v>2146</v>
      </c>
      <c r="B19" s="177" t="s">
        <v>2123</v>
      </c>
      <c r="C19" s="177" t="s">
        <v>92</v>
      </c>
      <c r="D19" s="177" t="s">
        <v>92</v>
      </c>
      <c r="E19" s="181" t="s">
        <v>318</v>
      </c>
      <c r="F19" s="255" t="s">
        <v>86</v>
      </c>
      <c r="G19" s="255" t="s">
        <v>86</v>
      </c>
      <c r="H19" s="255" t="s">
        <v>86</v>
      </c>
      <c r="I19" s="255" t="s">
        <v>86</v>
      </c>
      <c r="J19" s="241" t="s">
        <v>107</v>
      </c>
      <c r="K19" s="190">
        <v>0</v>
      </c>
      <c r="L19" s="177">
        <v>0</v>
      </c>
      <c r="M19" s="183" t="s">
        <v>88</v>
      </c>
      <c r="N19" s="177">
        <v>3</v>
      </c>
      <c r="O19" s="239" t="s">
        <v>2124</v>
      </c>
      <c r="P19" s="177" t="s">
        <v>2125</v>
      </c>
      <c r="Q19" s="184">
        <v>44177</v>
      </c>
      <c r="R19" s="177"/>
      <c r="S19" s="181"/>
      <c r="T19" s="177"/>
      <c r="U19" s="177" t="s">
        <v>2126</v>
      </c>
      <c r="V19" s="183" t="s">
        <v>107</v>
      </c>
      <c r="W19" s="177" t="s">
        <v>92</v>
      </c>
      <c r="X19" s="177" t="s">
        <v>92</v>
      </c>
      <c r="Y19" s="177" t="s">
        <v>1417</v>
      </c>
      <c r="Z19" s="177" t="s">
        <v>92</v>
      </c>
      <c r="AA19" s="237" t="s">
        <v>92</v>
      </c>
      <c r="AB19" s="183" t="s">
        <v>107</v>
      </c>
      <c r="AC19" s="238" t="s">
        <v>107</v>
      </c>
    </row>
    <row r="20" spans="1:37" x14ac:dyDescent="0.25">
      <c r="A20" s="174" t="s">
        <v>2147</v>
      </c>
      <c r="B20" s="175" t="s">
        <v>2123</v>
      </c>
      <c r="C20" s="175" t="s">
        <v>92</v>
      </c>
      <c r="D20" s="175" t="s">
        <v>92</v>
      </c>
      <c r="E20" s="178" t="s">
        <v>318</v>
      </c>
      <c r="F20" s="254" t="s">
        <v>86</v>
      </c>
      <c r="G20" s="254" t="s">
        <v>86</v>
      </c>
      <c r="H20" s="254" t="s">
        <v>86</v>
      </c>
      <c r="I20" s="254" t="s">
        <v>86</v>
      </c>
      <c r="J20" s="242" t="s">
        <v>107</v>
      </c>
      <c r="K20" s="191">
        <v>0</v>
      </c>
      <c r="L20" s="175">
        <v>0</v>
      </c>
      <c r="M20" s="180" t="s">
        <v>88</v>
      </c>
      <c r="N20" s="175">
        <v>3</v>
      </c>
      <c r="O20" s="240" t="s">
        <v>2124</v>
      </c>
      <c r="P20" s="175" t="s">
        <v>2125</v>
      </c>
      <c r="Q20" s="185">
        <v>44177</v>
      </c>
      <c r="R20" s="175"/>
      <c r="S20" s="178"/>
      <c r="T20" s="175"/>
      <c r="U20" s="175" t="s">
        <v>2126</v>
      </c>
      <c r="V20" s="180" t="s">
        <v>107</v>
      </c>
      <c r="W20" s="175" t="s">
        <v>92</v>
      </c>
      <c r="X20" s="175" t="s">
        <v>92</v>
      </c>
      <c r="Y20" s="175" t="s">
        <v>1417</v>
      </c>
      <c r="Z20" s="175" t="s">
        <v>92</v>
      </c>
      <c r="AA20" s="235" t="s">
        <v>92</v>
      </c>
      <c r="AB20" s="180" t="s">
        <v>107</v>
      </c>
      <c r="AC20" s="236" t="s">
        <v>107</v>
      </c>
    </row>
    <row r="21" spans="1:37" x14ac:dyDescent="0.25">
      <c r="A21" s="176" t="s">
        <v>2148</v>
      </c>
      <c r="B21" s="177" t="s">
        <v>2123</v>
      </c>
      <c r="C21" s="177" t="s">
        <v>92</v>
      </c>
      <c r="D21" s="177" t="s">
        <v>92</v>
      </c>
      <c r="E21" s="181" t="s">
        <v>318</v>
      </c>
      <c r="F21" s="255" t="s">
        <v>86</v>
      </c>
      <c r="G21" s="255" t="s">
        <v>86</v>
      </c>
      <c r="H21" s="255" t="s">
        <v>86</v>
      </c>
      <c r="I21" s="255" t="s">
        <v>86</v>
      </c>
      <c r="J21" s="241" t="s">
        <v>107</v>
      </c>
      <c r="K21" s="190">
        <v>0</v>
      </c>
      <c r="L21" s="177">
        <v>0</v>
      </c>
      <c r="M21" s="183" t="s">
        <v>88</v>
      </c>
      <c r="N21" s="177">
        <v>3</v>
      </c>
      <c r="O21" s="239" t="s">
        <v>2124</v>
      </c>
      <c r="P21" s="177" t="s">
        <v>2125</v>
      </c>
      <c r="Q21" s="184">
        <v>44177</v>
      </c>
      <c r="R21" s="177"/>
      <c r="S21" s="181"/>
      <c r="T21" s="177"/>
      <c r="U21" s="177" t="s">
        <v>2126</v>
      </c>
      <c r="V21" s="183" t="s">
        <v>107</v>
      </c>
      <c r="W21" s="177" t="s">
        <v>92</v>
      </c>
      <c r="X21" s="177" t="s">
        <v>92</v>
      </c>
      <c r="Y21" s="177" t="s">
        <v>1417</v>
      </c>
      <c r="Z21" s="177" t="s">
        <v>92</v>
      </c>
      <c r="AA21" s="237" t="s">
        <v>92</v>
      </c>
      <c r="AB21" s="183" t="s">
        <v>107</v>
      </c>
      <c r="AC21" s="238" t="s">
        <v>107</v>
      </c>
    </row>
    <row r="22" spans="1:37" x14ac:dyDescent="0.25">
      <c r="A22" s="174" t="s">
        <v>2149</v>
      </c>
      <c r="B22" s="175" t="s">
        <v>2123</v>
      </c>
      <c r="C22" s="175" t="s">
        <v>92</v>
      </c>
      <c r="D22" s="175" t="s">
        <v>92</v>
      </c>
      <c r="E22" s="178" t="s">
        <v>318</v>
      </c>
      <c r="F22" s="254" t="s">
        <v>86</v>
      </c>
      <c r="G22" s="254" t="s">
        <v>86</v>
      </c>
      <c r="H22" s="254" t="s">
        <v>86</v>
      </c>
      <c r="I22" s="254" t="s">
        <v>86</v>
      </c>
      <c r="J22" s="242" t="s">
        <v>107</v>
      </c>
      <c r="K22" s="191">
        <v>0</v>
      </c>
      <c r="L22" s="175">
        <v>0</v>
      </c>
      <c r="M22" s="180" t="s">
        <v>88</v>
      </c>
      <c r="N22" s="175">
        <v>3</v>
      </c>
      <c r="O22" s="240" t="s">
        <v>2124</v>
      </c>
      <c r="P22" s="175" t="s">
        <v>2125</v>
      </c>
      <c r="Q22" s="185">
        <v>44177</v>
      </c>
      <c r="R22" s="175"/>
      <c r="S22" s="178"/>
      <c r="T22" s="175"/>
      <c r="U22" s="175" t="s">
        <v>2126</v>
      </c>
      <c r="V22" s="180" t="s">
        <v>107</v>
      </c>
      <c r="W22" s="175" t="s">
        <v>92</v>
      </c>
      <c r="X22" s="175" t="s">
        <v>92</v>
      </c>
      <c r="Y22" s="175" t="s">
        <v>1417</v>
      </c>
      <c r="Z22" s="175" t="s">
        <v>92</v>
      </c>
      <c r="AA22" s="235" t="s">
        <v>92</v>
      </c>
      <c r="AB22" s="180" t="s">
        <v>107</v>
      </c>
      <c r="AC22" s="236" t="s">
        <v>107</v>
      </c>
    </row>
    <row r="23" spans="1:37" x14ac:dyDescent="0.25">
      <c r="A23" s="176" t="s">
        <v>2150</v>
      </c>
      <c r="B23" s="177" t="s">
        <v>2123</v>
      </c>
      <c r="C23" s="177" t="s">
        <v>92</v>
      </c>
      <c r="D23" s="177" t="s">
        <v>92</v>
      </c>
      <c r="E23" s="181" t="s">
        <v>318</v>
      </c>
      <c r="F23" s="255" t="s">
        <v>86</v>
      </c>
      <c r="G23" s="255" t="s">
        <v>86</v>
      </c>
      <c r="H23" s="255" t="s">
        <v>86</v>
      </c>
      <c r="I23" s="255" t="s">
        <v>86</v>
      </c>
      <c r="J23" s="241" t="s">
        <v>107</v>
      </c>
      <c r="K23" s="177">
        <v>0</v>
      </c>
      <c r="L23" s="177">
        <v>0</v>
      </c>
      <c r="M23" s="183" t="s">
        <v>88</v>
      </c>
      <c r="N23" s="177">
        <v>3</v>
      </c>
      <c r="O23" s="239" t="s">
        <v>2124</v>
      </c>
      <c r="P23" s="177" t="s">
        <v>2125</v>
      </c>
      <c r="Q23" s="184">
        <v>44177</v>
      </c>
      <c r="R23" s="177"/>
      <c r="S23" s="181"/>
      <c r="T23" s="177"/>
      <c r="U23" s="177" t="s">
        <v>2126</v>
      </c>
      <c r="V23" s="183" t="s">
        <v>107</v>
      </c>
      <c r="W23" s="177" t="s">
        <v>92</v>
      </c>
      <c r="X23" s="177" t="s">
        <v>92</v>
      </c>
      <c r="Y23" s="177" t="s">
        <v>1417</v>
      </c>
      <c r="Z23" s="177" t="s">
        <v>92</v>
      </c>
      <c r="AA23" s="237" t="s">
        <v>92</v>
      </c>
      <c r="AB23" s="183" t="s">
        <v>107</v>
      </c>
      <c r="AC23" s="238" t="s">
        <v>107</v>
      </c>
    </row>
    <row r="24" spans="1:37" x14ac:dyDescent="0.25">
      <c r="A24" s="174" t="s">
        <v>2151</v>
      </c>
      <c r="B24" s="175" t="s">
        <v>2123</v>
      </c>
      <c r="C24" s="175" t="s">
        <v>92</v>
      </c>
      <c r="D24" s="175" t="s">
        <v>92</v>
      </c>
      <c r="E24" s="178" t="s">
        <v>318</v>
      </c>
      <c r="F24" s="254" t="s">
        <v>86</v>
      </c>
      <c r="G24" s="254" t="s">
        <v>86</v>
      </c>
      <c r="H24" s="254" t="s">
        <v>86</v>
      </c>
      <c r="I24" s="254" t="s">
        <v>86</v>
      </c>
      <c r="J24" s="242" t="s">
        <v>107</v>
      </c>
      <c r="K24" s="175">
        <v>0</v>
      </c>
      <c r="L24" s="175">
        <v>0</v>
      </c>
      <c r="M24" s="180" t="s">
        <v>88</v>
      </c>
      <c r="N24" s="175">
        <v>3</v>
      </c>
      <c r="O24" s="240" t="s">
        <v>2124</v>
      </c>
      <c r="P24" s="175" t="s">
        <v>2125</v>
      </c>
      <c r="Q24" s="185">
        <v>44177</v>
      </c>
      <c r="R24" s="175"/>
      <c r="S24" s="178"/>
      <c r="T24" s="175"/>
      <c r="U24" s="175" t="s">
        <v>2126</v>
      </c>
      <c r="V24" s="180" t="s">
        <v>107</v>
      </c>
      <c r="W24" s="175" t="s">
        <v>92</v>
      </c>
      <c r="X24" s="175" t="s">
        <v>92</v>
      </c>
      <c r="Y24" s="175" t="s">
        <v>1417</v>
      </c>
      <c r="Z24" s="175" t="s">
        <v>92</v>
      </c>
      <c r="AA24" s="235" t="s">
        <v>92</v>
      </c>
      <c r="AB24" s="180" t="s">
        <v>107</v>
      </c>
      <c r="AC24" s="236" t="s">
        <v>107</v>
      </c>
    </row>
    <row r="25" spans="1:37" x14ac:dyDescent="0.25">
      <c r="A25" s="176" t="s">
        <v>2152</v>
      </c>
      <c r="B25" s="177" t="s">
        <v>2123</v>
      </c>
      <c r="C25" s="177" t="s">
        <v>92</v>
      </c>
      <c r="D25" s="177" t="s">
        <v>92</v>
      </c>
      <c r="E25" s="181" t="s">
        <v>318</v>
      </c>
      <c r="F25" s="255" t="s">
        <v>86</v>
      </c>
      <c r="G25" s="255" t="s">
        <v>86</v>
      </c>
      <c r="H25" s="255" t="s">
        <v>86</v>
      </c>
      <c r="I25" s="255" t="s">
        <v>86</v>
      </c>
      <c r="J25" s="241" t="s">
        <v>107</v>
      </c>
      <c r="K25" s="177">
        <v>0</v>
      </c>
      <c r="L25" s="177">
        <v>0</v>
      </c>
      <c r="M25" s="183" t="s">
        <v>88</v>
      </c>
      <c r="N25" s="177">
        <v>3</v>
      </c>
      <c r="O25" s="239" t="s">
        <v>2124</v>
      </c>
      <c r="P25" s="177" t="s">
        <v>2125</v>
      </c>
      <c r="Q25" s="184">
        <v>44177</v>
      </c>
      <c r="R25" s="177"/>
      <c r="S25" s="181"/>
      <c r="T25" s="177"/>
      <c r="U25" s="177" t="s">
        <v>2126</v>
      </c>
      <c r="V25" s="183" t="s">
        <v>107</v>
      </c>
      <c r="W25" s="177" t="s">
        <v>92</v>
      </c>
      <c r="X25" s="177" t="s">
        <v>92</v>
      </c>
      <c r="Y25" s="177" t="s">
        <v>1417</v>
      </c>
      <c r="Z25" s="177" t="s">
        <v>92</v>
      </c>
      <c r="AA25" s="237" t="s">
        <v>92</v>
      </c>
      <c r="AB25" s="183" t="s">
        <v>107</v>
      </c>
      <c r="AC25" s="238" t="s">
        <v>107</v>
      </c>
    </row>
    <row r="26" spans="1:37" x14ac:dyDescent="0.25">
      <c r="A26" s="174" t="s">
        <v>2153</v>
      </c>
      <c r="B26" s="175" t="s">
        <v>2123</v>
      </c>
      <c r="C26" s="175" t="s">
        <v>92</v>
      </c>
      <c r="D26" s="175" t="s">
        <v>92</v>
      </c>
      <c r="E26" s="178" t="s">
        <v>318</v>
      </c>
      <c r="F26" s="254" t="s">
        <v>86</v>
      </c>
      <c r="G26" s="254" t="s">
        <v>86</v>
      </c>
      <c r="H26" s="254" t="s">
        <v>86</v>
      </c>
      <c r="I26" s="254" t="s">
        <v>86</v>
      </c>
      <c r="J26" s="242" t="s">
        <v>107</v>
      </c>
      <c r="K26" s="175">
        <v>0</v>
      </c>
      <c r="L26" s="175">
        <v>0</v>
      </c>
      <c r="M26" s="180" t="s">
        <v>88</v>
      </c>
      <c r="N26" s="175">
        <v>3</v>
      </c>
      <c r="O26" s="240" t="s">
        <v>2124</v>
      </c>
      <c r="P26" s="175" t="s">
        <v>2125</v>
      </c>
      <c r="Q26" s="185">
        <v>44177</v>
      </c>
      <c r="R26" s="175"/>
      <c r="S26" s="178"/>
      <c r="T26" s="175"/>
      <c r="U26" s="175" t="s">
        <v>2126</v>
      </c>
      <c r="V26" s="180" t="s">
        <v>107</v>
      </c>
      <c r="W26" s="175" t="s">
        <v>92</v>
      </c>
      <c r="X26" s="175" t="s">
        <v>92</v>
      </c>
      <c r="Y26" s="175" t="s">
        <v>1417</v>
      </c>
      <c r="Z26" s="175" t="s">
        <v>92</v>
      </c>
      <c r="AA26" s="235" t="s">
        <v>92</v>
      </c>
      <c r="AB26" s="180" t="s">
        <v>107</v>
      </c>
      <c r="AC26" s="236" t="s">
        <v>107</v>
      </c>
    </row>
    <row r="27" spans="1:37" x14ac:dyDescent="0.25">
      <c r="A27" s="176" t="s">
        <v>2154</v>
      </c>
      <c r="B27" s="177" t="s">
        <v>2123</v>
      </c>
      <c r="C27" s="177" t="s">
        <v>92</v>
      </c>
      <c r="D27" s="177" t="s">
        <v>92</v>
      </c>
      <c r="E27" s="181" t="s">
        <v>318</v>
      </c>
      <c r="F27" s="255" t="s">
        <v>86</v>
      </c>
      <c r="G27" s="255" t="s">
        <v>86</v>
      </c>
      <c r="H27" s="255" t="s">
        <v>86</v>
      </c>
      <c r="I27" s="255" t="s">
        <v>86</v>
      </c>
      <c r="J27" s="241" t="s">
        <v>107</v>
      </c>
      <c r="K27" s="177">
        <v>0</v>
      </c>
      <c r="L27" s="177">
        <v>0</v>
      </c>
      <c r="M27" s="183" t="s">
        <v>88</v>
      </c>
      <c r="N27" s="177">
        <v>3</v>
      </c>
      <c r="O27" s="239" t="s">
        <v>2124</v>
      </c>
      <c r="P27" s="177" t="s">
        <v>2125</v>
      </c>
      <c r="Q27" s="184">
        <v>44177</v>
      </c>
      <c r="R27" s="177"/>
      <c r="S27" s="181"/>
      <c r="T27" s="177"/>
      <c r="U27" s="177" t="s">
        <v>2126</v>
      </c>
      <c r="V27" s="183" t="s">
        <v>107</v>
      </c>
      <c r="W27" s="177" t="s">
        <v>92</v>
      </c>
      <c r="X27" s="177" t="s">
        <v>92</v>
      </c>
      <c r="Y27" s="177" t="s">
        <v>1417</v>
      </c>
      <c r="Z27" s="177" t="s">
        <v>92</v>
      </c>
      <c r="AA27" s="237" t="s">
        <v>92</v>
      </c>
      <c r="AB27" s="183" t="s">
        <v>107</v>
      </c>
      <c r="AC27" s="238" t="s">
        <v>107</v>
      </c>
    </row>
    <row r="28" spans="1:37" x14ac:dyDescent="0.25">
      <c r="A28" s="174" t="s">
        <v>2155</v>
      </c>
      <c r="B28" s="175" t="s">
        <v>2123</v>
      </c>
      <c r="C28" s="175" t="s">
        <v>92</v>
      </c>
      <c r="D28" s="175" t="s">
        <v>92</v>
      </c>
      <c r="E28" s="178" t="s">
        <v>318</v>
      </c>
      <c r="F28" s="254" t="s">
        <v>86</v>
      </c>
      <c r="G28" s="254" t="s">
        <v>86</v>
      </c>
      <c r="H28" s="254" t="s">
        <v>86</v>
      </c>
      <c r="I28" s="254" t="s">
        <v>86</v>
      </c>
      <c r="J28" s="242" t="s">
        <v>107</v>
      </c>
      <c r="K28" s="175">
        <v>0</v>
      </c>
      <c r="L28" s="175">
        <v>0</v>
      </c>
      <c r="M28" s="180" t="s">
        <v>88</v>
      </c>
      <c r="N28" s="175">
        <v>3</v>
      </c>
      <c r="O28" s="240" t="s">
        <v>2124</v>
      </c>
      <c r="P28" s="175" t="s">
        <v>2125</v>
      </c>
      <c r="Q28" s="185">
        <v>44177</v>
      </c>
      <c r="R28" s="175"/>
      <c r="S28" s="178"/>
      <c r="T28" s="175"/>
      <c r="U28" s="175" t="s">
        <v>2126</v>
      </c>
      <c r="V28" s="180" t="s">
        <v>107</v>
      </c>
      <c r="W28" s="175" t="s">
        <v>92</v>
      </c>
      <c r="X28" s="175" t="s">
        <v>92</v>
      </c>
      <c r="Y28" s="175" t="s">
        <v>1417</v>
      </c>
      <c r="Z28" s="175" t="s">
        <v>92</v>
      </c>
      <c r="AA28" s="235" t="s">
        <v>92</v>
      </c>
      <c r="AB28" s="180" t="s">
        <v>107</v>
      </c>
      <c r="AC28" s="236" t="s">
        <v>107</v>
      </c>
    </row>
    <row r="29" spans="1:37" x14ac:dyDescent="0.25">
      <c r="A29" s="176" t="s">
        <v>2156</v>
      </c>
      <c r="B29" s="177" t="s">
        <v>2123</v>
      </c>
      <c r="C29" s="177" t="s">
        <v>92</v>
      </c>
      <c r="D29" s="177" t="s">
        <v>92</v>
      </c>
      <c r="E29" s="181" t="s">
        <v>318</v>
      </c>
      <c r="F29" s="255" t="s">
        <v>86</v>
      </c>
      <c r="G29" s="255" t="s">
        <v>86</v>
      </c>
      <c r="H29" s="255" t="s">
        <v>86</v>
      </c>
      <c r="I29" s="255" t="s">
        <v>86</v>
      </c>
      <c r="J29" s="241" t="s">
        <v>107</v>
      </c>
      <c r="K29" s="177">
        <v>0</v>
      </c>
      <c r="L29" s="177">
        <v>0</v>
      </c>
      <c r="M29" s="183" t="s">
        <v>88</v>
      </c>
      <c r="N29" s="177">
        <v>3</v>
      </c>
      <c r="O29" s="239" t="s">
        <v>2124</v>
      </c>
      <c r="P29" s="177" t="s">
        <v>2125</v>
      </c>
      <c r="Q29" s="184">
        <v>44177</v>
      </c>
      <c r="R29" s="177"/>
      <c r="S29" s="181"/>
      <c r="T29" s="177"/>
      <c r="U29" s="177" t="s">
        <v>2126</v>
      </c>
      <c r="V29" s="183" t="s">
        <v>107</v>
      </c>
      <c r="W29" s="177" t="s">
        <v>92</v>
      </c>
      <c r="X29" s="177" t="s">
        <v>92</v>
      </c>
      <c r="Y29" s="177" t="s">
        <v>1417</v>
      </c>
      <c r="Z29" s="177" t="s">
        <v>92</v>
      </c>
      <c r="AA29" s="237" t="s">
        <v>92</v>
      </c>
      <c r="AB29" s="183" t="s">
        <v>107</v>
      </c>
      <c r="AC29" s="238" t="s">
        <v>107</v>
      </c>
    </row>
    <row r="30" spans="1:37" x14ac:dyDescent="0.25">
      <c r="A30" s="174" t="s">
        <v>1516</v>
      </c>
      <c r="B30" s="175" t="s">
        <v>2123</v>
      </c>
      <c r="C30" s="250" t="s">
        <v>92</v>
      </c>
      <c r="D30" s="250" t="s">
        <v>92</v>
      </c>
      <c r="E30" s="251" t="s">
        <v>228</v>
      </c>
      <c r="F30" s="254" t="s">
        <v>86</v>
      </c>
      <c r="G30" s="254" t="s">
        <v>86</v>
      </c>
      <c r="H30" s="254" t="s">
        <v>86</v>
      </c>
      <c r="I30" s="254" t="s">
        <v>86</v>
      </c>
      <c r="J30" s="242" t="s">
        <v>107</v>
      </c>
      <c r="K30" s="253">
        <v>0</v>
      </c>
      <c r="L30" s="175">
        <v>0</v>
      </c>
      <c r="M30" s="252" t="s">
        <v>1519</v>
      </c>
      <c r="N30" s="250">
        <v>1</v>
      </c>
      <c r="O30" s="175" t="s">
        <v>107</v>
      </c>
      <c r="P30" s="250" t="s">
        <v>92</v>
      </c>
      <c r="Q30" s="185">
        <v>44209</v>
      </c>
      <c r="R30" s="250" t="s">
        <v>92</v>
      </c>
      <c r="S30" s="251" t="s">
        <v>2157</v>
      </c>
      <c r="T30" s="250"/>
      <c r="U30" s="253" t="s">
        <v>107</v>
      </c>
      <c r="V30" s="180" t="s">
        <v>107</v>
      </c>
      <c r="W30" s="250" t="s">
        <v>92</v>
      </c>
      <c r="X30" s="252" t="s">
        <v>610</v>
      </c>
      <c r="Y30" s="250" t="s">
        <v>1520</v>
      </c>
      <c r="Z30" s="175" t="s">
        <v>92</v>
      </c>
      <c r="AA30" s="235" t="s">
        <v>92</v>
      </c>
      <c r="AB30" s="180" t="s">
        <v>107</v>
      </c>
      <c r="AC30" s="236" t="s">
        <v>107</v>
      </c>
    </row>
    <row r="31" spans="1:37" s="262" customFormat="1" ht="15" customHeight="1" x14ac:dyDescent="0.2">
      <c r="A31" s="168" t="s">
        <v>1813</v>
      </c>
      <c r="B31" s="391" t="s">
        <v>2123</v>
      </c>
      <c r="C31" s="391" t="s">
        <v>92</v>
      </c>
      <c r="D31" s="391" t="s">
        <v>92</v>
      </c>
      <c r="E31" s="3" t="s">
        <v>1363</v>
      </c>
      <c r="F31" s="11">
        <v>1</v>
      </c>
      <c r="G31" s="391">
        <v>1</v>
      </c>
      <c r="H31" s="391">
        <v>100</v>
      </c>
      <c r="I31" s="391">
        <v>100</v>
      </c>
      <c r="J31" s="391" t="s">
        <v>787</v>
      </c>
      <c r="K31" s="262" t="s">
        <v>1813</v>
      </c>
      <c r="L31" s="262" t="s">
        <v>1365</v>
      </c>
      <c r="M31" s="22" t="s">
        <v>85</v>
      </c>
      <c r="N31" s="391" t="str">
        <f>"Sim"</f>
        <v>Sim</v>
      </c>
      <c r="O31" s="22" t="s">
        <v>86</v>
      </c>
      <c r="P31" s="22" t="s">
        <v>86</v>
      </c>
      <c r="Q31" s="391" t="s">
        <v>184</v>
      </c>
      <c r="R31" s="391">
        <f>SUMIF('Lançamento de Cabos'!$B:$B,Tabela1[[#This Row],[Tag do Cabo]],'Lançamento de Cabos'!$C:$C)</f>
        <v>230</v>
      </c>
      <c r="S31" s="391">
        <f>VLOOKUP(Tabela1[[#This Row],[Tag do Cabo]],'Diagramas Ligações'!A:V,14,0)</f>
        <v>8</v>
      </c>
      <c r="T31" s="262" t="s">
        <v>1366</v>
      </c>
      <c r="U31" s="391">
        <v>2</v>
      </c>
      <c r="V31" s="391" t="s">
        <v>186</v>
      </c>
      <c r="W31" s="391" t="s">
        <v>1367</v>
      </c>
      <c r="X31" s="32">
        <v>44177</v>
      </c>
      <c r="Y31" s="32">
        <v>44210</v>
      </c>
      <c r="Z31" s="3" t="s">
        <v>1122</v>
      </c>
      <c r="AA31" s="45">
        <v>95</v>
      </c>
      <c r="AB31" s="391" t="str">
        <f>IF(AND(Tabela1[[#This Row],[Data de Solcitação do Cabo]]&lt;&gt;0,Tabela1[[#This Row],[Bobina]]&lt;&gt;0),"Disponível",IF(AND(Tabela1[[#This Row],[Data de Solcitação do Cabo]]&lt;&gt;0,Tabela1[[#This Row],[Data de Liberação dos Cabos]]=""),"Pend. Resp.",IF(AND(Tabela1[[#This Row],[Data de Solcitação do Cabo]]&lt;&gt;0,Tabela1[[#This Row],[Bobina]]=""),"Pend. Compra","Não Solic.")))</f>
        <v>Disponível</v>
      </c>
      <c r="AD31" s="391">
        <f>IF(Tabela1[[#This Row],[Qtde. Lançada]]&gt;Tabela1[[#This Row],[Comprimento Total]],Tabela1[[#This Row],[Qtde. Lançada]],Tabela1[[#This Row],[Comprimento Total]])</f>
        <v>230</v>
      </c>
      <c r="AE31" s="391" t="s">
        <v>1368</v>
      </c>
      <c r="AF31" s="391" t="s">
        <v>787</v>
      </c>
      <c r="AG31" s="391">
        <f ca="1">SUMIF('Lançamento de Cabos'!AE:AK,Tabela1[[#This Row],[Tag do Cabo]],'Lançamento de Cabos'!AG:AG)</f>
        <v>0</v>
      </c>
      <c r="AH31" s="29">
        <f>IFERROR(VLOOKUP(Tabela1[[#This Row],[Tag do Cabo]],'Lançamento de Cabos'!AE:AK,7,0),0)</f>
        <v>0</v>
      </c>
      <c r="AI31" s="262" t="s">
        <v>1369</v>
      </c>
      <c r="AJ31" s="212">
        <v>2</v>
      </c>
      <c r="AK31" s="46">
        <v>306860</v>
      </c>
    </row>
  </sheetData>
  <conditionalFormatting sqref="A2:A30">
    <cfRule type="duplicateValues" dxfId="32" priority="2"/>
  </conditionalFormatting>
  <conditionalFormatting sqref="A31">
    <cfRule type="duplicateValues" dxfId="31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8">
    <pageSetUpPr fitToPage="1"/>
  </sheetPr>
  <dimension ref="A1:Q85"/>
  <sheetViews>
    <sheetView view="pageBreakPreview" topLeftCell="A61" zoomScale="70" zoomScaleNormal="70" zoomScaleSheetLayoutView="70" workbookViewId="0">
      <selection activeCell="F82" sqref="F82"/>
    </sheetView>
  </sheetViews>
  <sheetFormatPr defaultRowHeight="12.75" x14ac:dyDescent="0.2"/>
  <cols>
    <col min="1" max="1" width="23.7109375" style="93" customWidth="1"/>
    <col min="2" max="3" width="11.42578125" style="94" customWidth="1"/>
    <col min="4" max="4" width="11" style="94" customWidth="1"/>
    <col min="5" max="5" width="13.140625" style="94" customWidth="1"/>
    <col min="6" max="6" width="29.42578125" style="93" customWidth="1"/>
    <col min="7" max="7" width="13.5703125" style="93" customWidth="1"/>
    <col min="8" max="8" width="17.140625" style="94" customWidth="1"/>
    <col min="9" max="9" width="15.5703125" style="94" customWidth="1"/>
    <col min="10" max="10" width="18.140625" style="95" customWidth="1"/>
    <col min="11" max="11" width="26" style="113" customWidth="1"/>
    <col min="12" max="12" width="26" style="93" customWidth="1"/>
    <col min="13" max="13" width="34.7109375" style="93" customWidth="1"/>
    <col min="14" max="14" width="44" style="97" customWidth="1"/>
    <col min="15" max="15" width="11.28515625" style="7" customWidth="1"/>
    <col min="16" max="16" width="12.85546875" style="7" customWidth="1"/>
    <col min="17" max="17" width="17" style="7" customWidth="1"/>
    <col min="18" max="16384" width="9.140625" style="7"/>
  </cols>
  <sheetData>
    <row r="1" spans="1:17" ht="34.5" customHeight="1" thickBot="1" x14ac:dyDescent="0.25">
      <c r="A1" s="564" t="s">
        <v>327</v>
      </c>
      <c r="B1" s="565"/>
      <c r="C1" s="561" t="s">
        <v>2158</v>
      </c>
      <c r="D1" s="562"/>
      <c r="E1" s="562"/>
      <c r="F1" s="562"/>
      <c r="G1" s="562"/>
      <c r="H1" s="562"/>
      <c r="I1" s="562"/>
      <c r="J1" s="562"/>
      <c r="K1" s="562"/>
      <c r="L1" s="562"/>
      <c r="M1" s="563"/>
      <c r="N1" s="98" t="s">
        <v>2159</v>
      </c>
    </row>
    <row r="2" spans="1:17" s="92" customFormat="1" ht="14.25" customHeight="1" x14ac:dyDescent="0.2">
      <c r="A2" s="107" t="s">
        <v>48</v>
      </c>
      <c r="B2" s="108" t="s">
        <v>2160</v>
      </c>
      <c r="C2" s="108" t="s">
        <v>2161</v>
      </c>
      <c r="D2" s="109" t="s">
        <v>6</v>
      </c>
      <c r="E2" s="109" t="s">
        <v>2162</v>
      </c>
      <c r="F2" s="109" t="s">
        <v>5</v>
      </c>
      <c r="G2" s="109" t="s">
        <v>73</v>
      </c>
      <c r="H2" s="109" t="s">
        <v>2163</v>
      </c>
      <c r="I2" s="109" t="s">
        <v>49</v>
      </c>
      <c r="J2" s="110" t="s">
        <v>70</v>
      </c>
      <c r="K2" s="110" t="s">
        <v>14</v>
      </c>
      <c r="L2" s="109" t="s">
        <v>15</v>
      </c>
      <c r="M2" s="109" t="s">
        <v>30</v>
      </c>
      <c r="N2" s="111" t="s">
        <v>2164</v>
      </c>
      <c r="O2" s="94" t="s">
        <v>2165</v>
      </c>
      <c r="P2" s="94" t="s">
        <v>2166</v>
      </c>
      <c r="Q2" s="94" t="s">
        <v>2167</v>
      </c>
    </row>
    <row r="3" spans="1:17" ht="18.75" x14ac:dyDescent="0.2">
      <c r="A3" s="104" t="s">
        <v>310</v>
      </c>
      <c r="B3" s="160"/>
      <c r="C3" s="160"/>
      <c r="D3" s="161"/>
      <c r="E3" s="161"/>
      <c r="F3" s="162"/>
      <c r="G3" s="162"/>
      <c r="H3" s="161"/>
      <c r="I3" s="161"/>
      <c r="J3" s="163"/>
      <c r="K3" s="164"/>
      <c r="L3" s="162"/>
      <c r="M3" s="162"/>
      <c r="N3" s="165"/>
      <c r="O3" s="166"/>
      <c r="P3" s="166"/>
      <c r="Q3" s="145" t="e">
        <f>VLOOKUP(Tabela10[[#This Row],[Circuito]],BD!A:AC,28,0)</f>
        <v>#N/A</v>
      </c>
    </row>
    <row r="4" spans="1:17" s="96" customFormat="1" ht="22.5" customHeight="1" x14ac:dyDescent="0.2">
      <c r="A4" s="105" t="s">
        <v>301</v>
      </c>
      <c r="B4" s="100">
        <v>44165</v>
      </c>
      <c r="C4" s="100">
        <v>44174</v>
      </c>
      <c r="D4" s="101" t="str">
        <f>VLOOKUP(Tabela10[[#This Row],[Circuito]],BD!A:T,3,FALSE)</f>
        <v>-</v>
      </c>
      <c r="E4" s="101" t="str">
        <f>VLOOKUP(Tabela10[[#This Row],[Circuito]],BD!A:T,4,FALSE)</f>
        <v>-</v>
      </c>
      <c r="F4" s="99" t="str">
        <f>VLOOKUP(Tabela10[[#This Row],[Circuito]],BD!A:T,5,FALSE)</f>
        <v>CORDÃO ÓPTICO</v>
      </c>
      <c r="G4" s="101" t="s">
        <v>92</v>
      </c>
      <c r="H4" s="101">
        <f>VLOOKUP(Tabela10[[#This Row],[Circuito]],BD!A:T,8,FALSE)</f>
        <v>2.5</v>
      </c>
      <c r="I4" s="101">
        <f>VLOOKUP(Tabela10[[#This Row],[Circuito]],BD!A:T,9,FALSE)</f>
        <v>2.5</v>
      </c>
      <c r="J4" s="103" t="str">
        <f>IF(VLOOKUP(Tabela10[[#This Row],[Circuito]],BD!A:AA,27,FALSE)=0,"",VLOOKUP(Tabela10[[#This Row],[Circuito]],BD!A:AA,27,FALSE))</f>
        <v>NE 3046024</v>
      </c>
      <c r="K4" s="112" t="str">
        <f>VLOOKUP(Tabela10[[#This Row],[Circuito]],BD!A:T,11,FALSE)</f>
        <v>DIO-120-104 (30LV)</v>
      </c>
      <c r="L4" s="99" t="str">
        <f>VLOOKUP(Tabela10[[#This Row],[Circuito]],BD!A:T,12,FALSE)</f>
        <v>SWT-120-105 (30LV)</v>
      </c>
      <c r="M4" s="99" t="str">
        <f>VLOOKUP(Tabela10[[#This Row],[Circuito]],BD!A:T,20,FALSE)</f>
        <v>BK-SP54-0900A-LC-90-00004_00000</v>
      </c>
      <c r="N4" s="106" t="s">
        <v>2168</v>
      </c>
      <c r="O4" s="46" t="str">
        <f>VLOOKUP(Tabela10[[#This Row],[Circuito]],BD!$A:$AB,28,0)</f>
        <v>Disponível</v>
      </c>
      <c r="P4" s="46" t="s">
        <v>310</v>
      </c>
      <c r="Q4" s="145" t="str">
        <f>VLOOKUP(Tabela10[[#This Row],[Circuito]],BD!A:AC,28,0)</f>
        <v>Disponível</v>
      </c>
    </row>
    <row r="5" spans="1:17" s="96" customFormat="1" ht="22.5" customHeight="1" x14ac:dyDescent="0.2">
      <c r="A5" s="105" t="s">
        <v>312</v>
      </c>
      <c r="B5" s="100">
        <v>44165</v>
      </c>
      <c r="C5" s="100">
        <v>44174</v>
      </c>
      <c r="D5" s="101" t="str">
        <f>VLOOKUP(Tabela10[[#This Row],[Circuito]],BD!A:T,3,FALSE)</f>
        <v>-</v>
      </c>
      <c r="E5" s="101" t="str">
        <f>VLOOKUP(Tabela10[[#This Row],[Circuito]],BD!A:T,4,FALSE)</f>
        <v>-</v>
      </c>
      <c r="F5" s="99" t="str">
        <f>VLOOKUP(Tabela10[[#This Row],[Circuito]],BD!A:T,5,FALSE)</f>
        <v>CORDÃO ÓPTICO</v>
      </c>
      <c r="G5" s="101" t="s">
        <v>92</v>
      </c>
      <c r="H5" s="101">
        <f>VLOOKUP(Tabela10[[#This Row],[Circuito]],BD!A:T,8,FALSE)</f>
        <v>5</v>
      </c>
      <c r="I5" s="101">
        <f>VLOOKUP(Tabela10[[#This Row],[Circuito]],BD!A:T,9,FALSE)</f>
        <v>5</v>
      </c>
      <c r="J5" s="103" t="str">
        <f>IF(VLOOKUP(Tabela10[[#This Row],[Circuito]],BD!A:AA,27,FALSE)=0,"",VLOOKUP(Tabela10[[#This Row],[Circuito]],BD!A:AA,27,FALSE))</f>
        <v>NE 3018894</v>
      </c>
      <c r="K5" s="112" t="str">
        <f>VLOOKUP(Tabela10[[#This Row],[Circuito]],BD!A:T,11,FALSE)</f>
        <v>PI-1205 (ACESSO REMOTO)</v>
      </c>
      <c r="L5" s="99" t="str">
        <f>VLOOKUP(Tabela10[[#This Row],[Circuito]],BD!A:T,12,FALSE)</f>
        <v>SWT-120-105 (30LV)</v>
      </c>
      <c r="M5" s="99" t="str">
        <f>VLOOKUP(Tabela10[[#This Row],[Circuito]],BD!A:T,20,FALSE)</f>
        <v>BK-SP54-0900A-LC-90-00004_00000</v>
      </c>
      <c r="N5" s="106" t="s">
        <v>2168</v>
      </c>
      <c r="O5" s="46" t="str">
        <f>VLOOKUP(Tabela10[[#This Row],[Circuito]],BD!$A:$AB,28,0)</f>
        <v>Disponível</v>
      </c>
      <c r="P5" s="46" t="s">
        <v>310</v>
      </c>
      <c r="Q5" s="145" t="str">
        <f>VLOOKUP(Tabela10[[#This Row],[Circuito]],BD!A:AC,28,0)</f>
        <v>Disponível</v>
      </c>
    </row>
    <row r="6" spans="1:17" ht="22.5" customHeight="1" x14ac:dyDescent="0.2">
      <c r="A6" s="105" t="s">
        <v>317</v>
      </c>
      <c r="B6" s="100">
        <v>44165</v>
      </c>
      <c r="C6" s="100">
        <v>44174</v>
      </c>
      <c r="D6" s="101" t="str">
        <f>VLOOKUP(Tabela10[[#This Row],[Circuito]],BD!A:T,3,FALSE)</f>
        <v>-</v>
      </c>
      <c r="E6" s="101" t="str">
        <f>VLOOKUP(Tabela10[[#This Row],[Circuito]],BD!A:T,4,FALSE)</f>
        <v>-</v>
      </c>
      <c r="F6" s="99" t="str">
        <f>VLOOKUP(Tabela10[[#This Row],[Circuito]],BD!A:T,5,FALSE)</f>
        <v>CABO ETHERNET</v>
      </c>
      <c r="G6" s="101" t="s">
        <v>92</v>
      </c>
      <c r="H6" s="101">
        <f>VLOOKUP(Tabela10[[#This Row],[Circuito]],BD!A:T,8,FALSE)</f>
        <v>10</v>
      </c>
      <c r="I6" s="101">
        <f>VLOOKUP(Tabela10[[#This Row],[Circuito]],BD!A:T,9,FALSE)</f>
        <v>10</v>
      </c>
      <c r="J6" s="103">
        <f>IF(VLOOKUP(Tabela10[[#This Row],[Circuito]],BD!A:AA,27,FALSE)=0,"",VLOOKUP(Tabela10[[#This Row],[Circuito]],BD!A:AA,27,FALSE))</f>
        <v>191</v>
      </c>
      <c r="K6" s="112" t="str">
        <f>VLOOKUP(Tabela10[[#This Row],[Circuito]],BD!A:T,11,FALSE)</f>
        <v>SWT-120-105 (30LV)</v>
      </c>
      <c r="L6" s="99" t="str">
        <f>VLOOKUP(Tabela10[[#This Row],[Circuito]],BD!A:T,12,FALSE)</f>
        <v>PC TRISTATION P1</v>
      </c>
      <c r="M6" s="99" t="str">
        <f>VLOOKUP(Tabela10[[#This Row],[Circuito]],BD!A:T,20,FALSE)</f>
        <v>BK-SP54-0900A-LC-90-00004_00000</v>
      </c>
      <c r="N6" s="106" t="s">
        <v>2168</v>
      </c>
      <c r="O6" s="46" t="str">
        <f>VLOOKUP(Tabela10[[#This Row],[Circuito]],BD!$A:$AB,28,0)</f>
        <v>Disponível</v>
      </c>
      <c r="P6" s="46" t="s">
        <v>310</v>
      </c>
      <c r="Q6" s="145" t="str">
        <f>VLOOKUP(Tabela10[[#This Row],[Circuito]],BD!A:AC,28,0)</f>
        <v>Disponível</v>
      </c>
    </row>
    <row r="7" spans="1:17" ht="22.5" customHeight="1" x14ac:dyDescent="0.2">
      <c r="A7" s="105" t="s">
        <v>323</v>
      </c>
      <c r="B7" s="100">
        <v>44165</v>
      </c>
      <c r="C7" s="100">
        <v>44174</v>
      </c>
      <c r="D7" s="101" t="str">
        <f>VLOOKUP(Tabela10[[#This Row],[Circuito]],BD!A:T,3,FALSE)</f>
        <v>-</v>
      </c>
      <c r="E7" s="101" t="str">
        <f>VLOOKUP(Tabela10[[#This Row],[Circuito]],BD!A:T,4,FALSE)</f>
        <v>-</v>
      </c>
      <c r="F7" s="99" t="str">
        <f>VLOOKUP(Tabela10[[#This Row],[Circuito]],BD!A:T,5,FALSE)</f>
        <v>CABO ETHERNET</v>
      </c>
      <c r="G7" s="101" t="s">
        <v>92</v>
      </c>
      <c r="H7" s="101">
        <f>VLOOKUP(Tabela10[[#This Row],[Circuito]],BD!A:T,8,FALSE)</f>
        <v>10</v>
      </c>
      <c r="I7" s="101">
        <f>VLOOKUP(Tabela10[[#This Row],[Circuito]],BD!A:T,9,FALSE)</f>
        <v>10</v>
      </c>
      <c r="J7" s="103">
        <f>IF(VLOOKUP(Tabela10[[#This Row],[Circuito]],BD!A:AA,27,FALSE)=0,"",VLOOKUP(Tabela10[[#This Row],[Circuito]],BD!A:AA,27,FALSE))</f>
        <v>191</v>
      </c>
      <c r="K7" s="112" t="str">
        <f>VLOOKUP(Tabela10[[#This Row],[Circuito]],BD!A:T,11,FALSE)</f>
        <v>SWT-120-105 (30LV)</v>
      </c>
      <c r="L7" s="99" t="str">
        <f>VLOOKUP(Tabela10[[#This Row],[Circuito]],BD!A:T,12,FALSE)</f>
        <v>NET 2 SWITCH</v>
      </c>
      <c r="M7" s="99" t="str">
        <f>VLOOKUP(Tabela10[[#This Row],[Circuito]],BD!A:T,20,FALSE)</f>
        <v>BK-SP54-0900A-LC-90-00004_00000</v>
      </c>
      <c r="N7" s="106" t="s">
        <v>2168</v>
      </c>
      <c r="O7" s="46" t="str">
        <f>VLOOKUP(Tabela10[[#This Row],[Circuito]],BD!$A:$AB,28,0)</f>
        <v>Disponível</v>
      </c>
      <c r="P7" s="46" t="s">
        <v>310</v>
      </c>
      <c r="Q7" s="145" t="str">
        <f>VLOOKUP(Tabela10[[#This Row],[Circuito]],BD!A:AC,28,0)</f>
        <v>Disponível</v>
      </c>
    </row>
    <row r="8" spans="1:17" ht="22.5" customHeight="1" x14ac:dyDescent="0.2">
      <c r="A8" s="105" t="s">
        <v>325</v>
      </c>
      <c r="B8" s="100">
        <v>44165</v>
      </c>
      <c r="C8" s="100">
        <v>44174</v>
      </c>
      <c r="D8" s="101" t="str">
        <f>VLOOKUP(Tabela10[[#This Row],[Circuito]],BD!A:T,3,FALSE)</f>
        <v>-</v>
      </c>
      <c r="E8" s="101" t="str">
        <f>VLOOKUP(Tabela10[[#This Row],[Circuito]],BD!A:T,4,FALSE)</f>
        <v>-</v>
      </c>
      <c r="F8" s="99" t="str">
        <f>VLOOKUP(Tabela10[[#This Row],[Circuito]],BD!A:T,5,FALSE)</f>
        <v>CABO ETHERNET</v>
      </c>
      <c r="G8" s="101" t="s">
        <v>92</v>
      </c>
      <c r="H8" s="101">
        <f>VLOOKUP(Tabela10[[#This Row],[Circuito]],BD!A:T,8,FALSE)</f>
        <v>17</v>
      </c>
      <c r="I8" s="101">
        <f>VLOOKUP(Tabela10[[#This Row],[Circuito]],BD!A:T,9,FALSE)</f>
        <v>17</v>
      </c>
      <c r="J8" s="103">
        <f>IF(VLOOKUP(Tabela10[[#This Row],[Circuito]],BD!A:AA,27,FALSE)=0,"",VLOOKUP(Tabela10[[#This Row],[Circuito]],BD!A:AA,27,FALSE))</f>
        <v>191</v>
      </c>
      <c r="K8" s="112" t="str">
        <f>VLOOKUP(Tabela10[[#This Row],[Circuito]],BD!A:T,11,FALSE)</f>
        <v>SWT-120-105 (30LV)</v>
      </c>
      <c r="L8" s="99" t="str">
        <f>VLOOKUP(Tabela10[[#This Row],[Circuito]],BD!A:T,12,FALSE)</f>
        <v>NET 1 GB-1201</v>
      </c>
      <c r="M8" s="99" t="str">
        <f>VLOOKUP(Tabela10[[#This Row],[Circuito]],BD!A:T,20,FALSE)</f>
        <v>BK-SP54-0900A-LC-90-00004_00000</v>
      </c>
      <c r="N8" s="106" t="s">
        <v>2168</v>
      </c>
      <c r="O8" s="46" t="str">
        <f>VLOOKUP(Tabela10[[#This Row],[Circuito]],BD!$A:$AB,28,0)</f>
        <v>Disponível</v>
      </c>
      <c r="P8" s="46" t="s">
        <v>310</v>
      </c>
      <c r="Q8" s="145" t="str">
        <f>VLOOKUP(Tabela10[[#This Row],[Circuito]],BD!A:AC,28,0)</f>
        <v>Disponível</v>
      </c>
    </row>
    <row r="9" spans="1:17" ht="22.5" customHeight="1" x14ac:dyDescent="0.2">
      <c r="A9" s="105" t="s">
        <v>328</v>
      </c>
      <c r="B9" s="100">
        <v>44165</v>
      </c>
      <c r="C9" s="100">
        <v>44174</v>
      </c>
      <c r="D9" s="101" t="str">
        <f>VLOOKUP(Tabela10[[#This Row],[Circuito]],BD!A:T,3,FALSE)</f>
        <v>-</v>
      </c>
      <c r="E9" s="101" t="str">
        <f>VLOOKUP(Tabela10[[#This Row],[Circuito]],BD!A:T,4,FALSE)</f>
        <v>-</v>
      </c>
      <c r="F9" s="99" t="str">
        <f>VLOOKUP(Tabela10[[#This Row],[Circuito]],BD!A:T,5,FALSE)</f>
        <v>CABO ETHERNET</v>
      </c>
      <c r="G9" s="101" t="s">
        <v>92</v>
      </c>
      <c r="H9" s="101">
        <f>VLOOKUP(Tabela10[[#This Row],[Circuito]],BD!A:T,8,FALSE)</f>
        <v>10</v>
      </c>
      <c r="I9" s="101">
        <f>VLOOKUP(Tabela10[[#This Row],[Circuito]],BD!A:T,9,FALSE)</f>
        <v>10</v>
      </c>
      <c r="J9" s="103">
        <f>IF(VLOOKUP(Tabela10[[#This Row],[Circuito]],BD!A:AA,27,FALSE)=0,"",VLOOKUP(Tabela10[[#This Row],[Circuito]],BD!A:AA,27,FALSE))</f>
        <v>191</v>
      </c>
      <c r="K9" s="112" t="str">
        <f>VLOOKUP(Tabela10[[#This Row],[Circuito]],BD!A:T,11,FALSE)</f>
        <v>SWT-120-105 (30LV)</v>
      </c>
      <c r="L9" s="99" t="str">
        <f>VLOOKUP(Tabela10[[#This Row],[Circuito]],BD!A:T,12,FALSE)</f>
        <v>NET 1 GB-1203</v>
      </c>
      <c r="M9" s="99" t="str">
        <f>VLOOKUP(Tabela10[[#This Row],[Circuito]],BD!A:T,20,FALSE)</f>
        <v>BK-SP54-0900A-LC-90-00004_00000</v>
      </c>
      <c r="N9" s="106" t="s">
        <v>2168</v>
      </c>
      <c r="O9" s="46" t="str">
        <f>VLOOKUP(Tabela10[[#This Row],[Circuito]],BD!$A:$AB,28,0)</f>
        <v>Disponível</v>
      </c>
      <c r="P9" s="46" t="s">
        <v>310</v>
      </c>
      <c r="Q9" s="145" t="str">
        <f>VLOOKUP(Tabela10[[#This Row],[Circuito]],BD!A:AC,28,0)</f>
        <v>Disponível</v>
      </c>
    </row>
    <row r="10" spans="1:17" ht="22.5" customHeight="1" x14ac:dyDescent="0.2">
      <c r="A10" s="105" t="s">
        <v>330</v>
      </c>
      <c r="B10" s="100">
        <v>44165</v>
      </c>
      <c r="C10" s="100">
        <v>44174</v>
      </c>
      <c r="D10" s="101" t="str">
        <f>VLOOKUP(Tabela10[[#This Row],[Circuito]],BD!A:T,3,FALSE)</f>
        <v>-</v>
      </c>
      <c r="E10" s="101" t="str">
        <f>VLOOKUP(Tabela10[[#This Row],[Circuito]],BD!A:T,4,FALSE)</f>
        <v>-</v>
      </c>
      <c r="F10" s="99" t="str">
        <f>VLOOKUP(Tabela10[[#This Row],[Circuito]],BD!A:T,5,FALSE)</f>
        <v>CABO ETHERNET</v>
      </c>
      <c r="G10" s="101" t="s">
        <v>92</v>
      </c>
      <c r="H10" s="101">
        <f>VLOOKUP(Tabela10[[#This Row],[Circuito]],BD!A:T,8,FALSE)</f>
        <v>17</v>
      </c>
      <c r="I10" s="101">
        <f>VLOOKUP(Tabela10[[#This Row],[Circuito]],BD!A:T,9,FALSE)</f>
        <v>17</v>
      </c>
      <c r="J10" s="103">
        <f>IF(VLOOKUP(Tabela10[[#This Row],[Circuito]],BD!A:AA,27,FALSE)=0,"",VLOOKUP(Tabela10[[#This Row],[Circuito]],BD!A:AA,27,FALSE))</f>
        <v>192</v>
      </c>
      <c r="K10" s="112" t="str">
        <f>VLOOKUP(Tabela10[[#This Row],[Circuito]],BD!A:T,11,FALSE)</f>
        <v>SWT-120-105 (30LV)</v>
      </c>
      <c r="L10" s="99" t="str">
        <f>VLOOKUP(Tabela10[[#This Row],[Circuito]],BD!A:T,12,FALSE)</f>
        <v>NET 1 GB-1204</v>
      </c>
      <c r="M10" s="99" t="str">
        <f>VLOOKUP(Tabela10[[#This Row],[Circuito]],BD!A:T,20,FALSE)</f>
        <v>BK-SP54-0900A-LC-90-00004_00000</v>
      </c>
      <c r="N10" s="106" t="s">
        <v>2168</v>
      </c>
      <c r="O10" s="46" t="str">
        <f>VLOOKUP(Tabela10[[#This Row],[Circuito]],BD!$A:$AB,28,0)</f>
        <v>Disponível</v>
      </c>
      <c r="P10" s="46" t="s">
        <v>310</v>
      </c>
      <c r="Q10" s="145" t="str">
        <f>VLOOKUP(Tabela10[[#This Row],[Circuito]],BD!A:AC,28,0)</f>
        <v>Disponível</v>
      </c>
    </row>
    <row r="11" spans="1:17" ht="22.5" customHeight="1" x14ac:dyDescent="0.2">
      <c r="A11" s="105" t="s">
        <v>332</v>
      </c>
      <c r="B11" s="100">
        <v>44165</v>
      </c>
      <c r="C11" s="100">
        <v>44174</v>
      </c>
      <c r="D11" s="101" t="str">
        <f>VLOOKUP(Tabela10[[#This Row],[Circuito]],BD!A:T,3,FALSE)</f>
        <v>-</v>
      </c>
      <c r="E11" s="101" t="str">
        <f>VLOOKUP(Tabela10[[#This Row],[Circuito]],BD!A:T,4,FALSE)</f>
        <v>-</v>
      </c>
      <c r="F11" s="99" t="str">
        <f>VLOOKUP(Tabela10[[#This Row],[Circuito]],BD!A:T,5,FALSE)</f>
        <v>CABO ETHERNET</v>
      </c>
      <c r="G11" s="101" t="s">
        <v>92</v>
      </c>
      <c r="H11" s="101">
        <f>VLOOKUP(Tabela10[[#This Row],[Circuito]],BD!A:T,8,FALSE)</f>
        <v>10</v>
      </c>
      <c r="I11" s="101">
        <f>VLOOKUP(Tabela10[[#This Row],[Circuito]],BD!A:T,9,FALSE)</f>
        <v>10</v>
      </c>
      <c r="J11" s="103">
        <f>IF(VLOOKUP(Tabela10[[#This Row],[Circuito]],BD!A:AA,27,FALSE)=0,"",VLOOKUP(Tabela10[[#This Row],[Circuito]],BD!A:AA,27,FALSE))</f>
        <v>192</v>
      </c>
      <c r="K11" s="112" t="str">
        <f>VLOOKUP(Tabela10[[#This Row],[Circuito]],BD!A:T,11,FALSE)</f>
        <v>SWT-120-105 (30LV)</v>
      </c>
      <c r="L11" s="99" t="str">
        <f>VLOOKUP(Tabela10[[#This Row],[Circuito]],BD!A:T,12,FALSE)</f>
        <v>PC TRILOGGER P1</v>
      </c>
      <c r="M11" s="99" t="str">
        <f>VLOOKUP(Tabela10[[#This Row],[Circuito]],BD!A:T,20,FALSE)</f>
        <v>BK-SP54-0900A-LC-90-00004_00000</v>
      </c>
      <c r="N11" s="106" t="s">
        <v>2168</v>
      </c>
      <c r="O11" s="46" t="str">
        <f>VLOOKUP(Tabela10[[#This Row],[Circuito]],BD!$A:$AB,28,0)</f>
        <v>Disponível</v>
      </c>
      <c r="P11" s="46" t="s">
        <v>310</v>
      </c>
      <c r="Q11" s="145" t="str">
        <f>VLOOKUP(Tabela10[[#This Row],[Circuito]],BD!A:AC,28,0)</f>
        <v>Disponível</v>
      </c>
    </row>
    <row r="12" spans="1:17" ht="22.5" customHeight="1" x14ac:dyDescent="0.2">
      <c r="A12" s="105" t="s">
        <v>334</v>
      </c>
      <c r="B12" s="100">
        <v>44165</v>
      </c>
      <c r="C12" s="100">
        <v>44174</v>
      </c>
      <c r="D12" s="101" t="str">
        <f>VLOOKUP(Tabela10[[#This Row],[Circuito]],BD!A:T,3,FALSE)</f>
        <v>-</v>
      </c>
      <c r="E12" s="101" t="str">
        <f>VLOOKUP(Tabela10[[#This Row],[Circuito]],BD!A:T,4,FALSE)</f>
        <v>-</v>
      </c>
      <c r="F12" s="99" t="str">
        <f>VLOOKUP(Tabela10[[#This Row],[Circuito]],BD!A:T,5,FALSE)</f>
        <v>CABO ETHERNET</v>
      </c>
      <c r="G12" s="101" t="s">
        <v>92</v>
      </c>
      <c r="H12" s="101">
        <f>VLOOKUP(Tabela10[[#This Row],[Circuito]],BD!A:T,8,FALSE)</f>
        <v>10</v>
      </c>
      <c r="I12" s="101">
        <f>VLOOKUP(Tabela10[[#This Row],[Circuito]],BD!A:T,9,FALSE)</f>
        <v>10</v>
      </c>
      <c r="J12" s="103">
        <f>IF(VLOOKUP(Tabela10[[#This Row],[Circuito]],BD!A:AA,27,FALSE)=0,"",VLOOKUP(Tabela10[[#This Row],[Circuito]],BD!A:AA,27,FALSE))</f>
        <v>192</v>
      </c>
      <c r="K12" s="112" t="str">
        <f>VLOOKUP(Tabela10[[#This Row],[Circuito]],BD!A:T,11,FALSE)</f>
        <v>SWT-120-105 (30LV)</v>
      </c>
      <c r="L12" s="99" t="str">
        <f>VLOOKUP(Tabela10[[#This Row],[Circuito]],BD!A:T,12,FALSE)</f>
        <v>PC TRISTATION P2</v>
      </c>
      <c r="M12" s="99" t="str">
        <f>VLOOKUP(Tabela10[[#This Row],[Circuito]],BD!A:T,20,FALSE)</f>
        <v>BK-SP54-0900A-LC-90-00004_00000</v>
      </c>
      <c r="N12" s="106" t="s">
        <v>2168</v>
      </c>
      <c r="O12" s="46" t="str">
        <f>VLOOKUP(Tabela10[[#This Row],[Circuito]],BD!$A:$AB,28,0)</f>
        <v>Disponível</v>
      </c>
      <c r="P12" s="46" t="s">
        <v>310</v>
      </c>
      <c r="Q12" s="145" t="str">
        <f>VLOOKUP(Tabela10[[#This Row],[Circuito]],BD!A:AC,28,0)</f>
        <v>Disponível</v>
      </c>
    </row>
    <row r="13" spans="1:17" ht="22.5" customHeight="1" x14ac:dyDescent="0.2">
      <c r="A13" s="105" t="s">
        <v>336</v>
      </c>
      <c r="B13" s="100">
        <v>44165</v>
      </c>
      <c r="C13" s="100">
        <v>44174</v>
      </c>
      <c r="D13" s="101" t="str">
        <f>VLOOKUP(Tabela10[[#This Row],[Circuito]],BD!A:T,3,FALSE)</f>
        <v>-</v>
      </c>
      <c r="E13" s="101" t="str">
        <f>VLOOKUP(Tabela10[[#This Row],[Circuito]],BD!A:T,4,FALSE)</f>
        <v>-</v>
      </c>
      <c r="F13" s="99" t="str">
        <f>VLOOKUP(Tabela10[[#This Row],[Circuito]],BD!A:T,5,FALSE)</f>
        <v>CABO ETHERNET</v>
      </c>
      <c r="G13" s="101" t="s">
        <v>92</v>
      </c>
      <c r="H13" s="101">
        <f>VLOOKUP(Tabela10[[#This Row],[Circuito]],BD!A:T,8,FALSE)</f>
        <v>10</v>
      </c>
      <c r="I13" s="101">
        <f>VLOOKUP(Tabela10[[#This Row],[Circuito]],BD!A:T,9,FALSE)</f>
        <v>10</v>
      </c>
      <c r="J13" s="103">
        <f>IF(VLOOKUP(Tabela10[[#This Row],[Circuito]],BD!A:AA,27,FALSE)=0,"",VLOOKUP(Tabela10[[#This Row],[Circuito]],BD!A:AA,27,FALSE))</f>
        <v>192</v>
      </c>
      <c r="K13" s="112" t="str">
        <f>VLOOKUP(Tabela10[[#This Row],[Circuito]],BD!A:T,11,FALSE)</f>
        <v>SWT-120-105 (30LV)</v>
      </c>
      <c r="L13" s="99" t="str">
        <f>VLOOKUP(Tabela10[[#This Row],[Circuito]],BD!A:T,12,FALSE)</f>
        <v>PC TRILOGGER P2</v>
      </c>
      <c r="M13" s="99" t="str">
        <f>VLOOKUP(Tabela10[[#This Row],[Circuito]],BD!A:T,20,FALSE)</f>
        <v>BK-SP54-0900A-LC-90-00004_00000</v>
      </c>
      <c r="N13" s="106" t="s">
        <v>2168</v>
      </c>
      <c r="O13" s="46" t="str">
        <f>VLOOKUP(Tabela10[[#This Row],[Circuito]],BD!$A:$AB,28,0)</f>
        <v>Disponível</v>
      </c>
      <c r="P13" s="46" t="s">
        <v>310</v>
      </c>
      <c r="Q13" s="145" t="str">
        <f>VLOOKUP(Tabela10[[#This Row],[Circuito]],BD!A:AC,28,0)</f>
        <v>Disponível</v>
      </c>
    </row>
    <row r="14" spans="1:17" ht="22.5" customHeight="1" x14ac:dyDescent="0.2">
      <c r="A14" s="104" t="s">
        <v>352</v>
      </c>
      <c r="B14" s="160"/>
      <c r="C14" s="160"/>
      <c r="D14" s="161"/>
      <c r="E14" s="161"/>
      <c r="F14" s="162"/>
      <c r="G14" s="162"/>
      <c r="H14" s="161"/>
      <c r="I14" s="161"/>
      <c r="J14" s="163"/>
      <c r="K14" s="164"/>
      <c r="L14" s="162"/>
      <c r="M14" s="162"/>
      <c r="N14" s="165"/>
      <c r="O14" s="166"/>
      <c r="P14" s="166"/>
      <c r="Q14" s="145" t="e">
        <f>VLOOKUP(Tabela10[[#This Row],[Circuito]],BD!A:AC,28,0)</f>
        <v>#N/A</v>
      </c>
    </row>
    <row r="15" spans="1:17" ht="22.5" customHeight="1" x14ac:dyDescent="0.2">
      <c r="A15" s="105" t="s">
        <v>346</v>
      </c>
      <c r="B15" s="100">
        <v>44165</v>
      </c>
      <c r="C15" s="100">
        <v>44174</v>
      </c>
      <c r="D15" s="101" t="str">
        <f>VLOOKUP(Tabela10[[#This Row],[Circuito]],BD!A:T,3,FALSE)</f>
        <v>-</v>
      </c>
      <c r="E15" s="101" t="str">
        <f>VLOOKUP(Tabela10[[#This Row],[Circuito]],BD!A:T,4,FALSE)</f>
        <v>-</v>
      </c>
      <c r="F15" s="99" t="str">
        <f>VLOOKUP(Tabela10[[#This Row],[Circuito]],BD!A:T,5,FALSE)</f>
        <v>4P#1,0mm²+SHI+SHC (N.I.S.)</v>
      </c>
      <c r="G15" s="101" t="str">
        <f>VLOOKUP(Tabela10[[#This Row],[Circuito]],BD!A:AE,31,0)</f>
        <v>Digital (N.I.S.)</v>
      </c>
      <c r="H15" s="101">
        <f>VLOOKUP(Tabela10[[#This Row],[Circuito]],BD!A:T,8,FALSE)</f>
        <v>90</v>
      </c>
      <c r="I15" s="101">
        <f>VLOOKUP(Tabela10[[#This Row],[Circuito]],BD!A:T,9,FALSE)</f>
        <v>90</v>
      </c>
      <c r="J15" s="103">
        <f>IF(VLOOKUP(Tabela10[[#This Row],[Circuito]],BD!A:AA,27,FALSE)=0,"",VLOOKUP(Tabela10[[#This Row],[Circuito]],BD!A:AA,27,FALSE))</f>
        <v>127</v>
      </c>
      <c r="K15" s="112" t="str">
        <f>VLOOKUP(Tabela10[[#This Row],[Circuito]],BD!A:T,11,FALSE)</f>
        <v xml:space="preserve">JBI-120-102X </v>
      </c>
      <c r="L15" s="99" t="str">
        <f>VLOOKUP(Tabela10[[#This Row],[Circuito]],BD!A:T,12,FALSE)</f>
        <v>30LV/UCP LI-1201A</v>
      </c>
      <c r="M15" s="99" t="str">
        <f>VLOOKUP(Tabela10[[#This Row],[Circuito]],BD!A:T,20,FALSE)</f>
        <v>BK-SP54-01200-LC-80-00004_00000</v>
      </c>
      <c r="N15" s="106" t="s">
        <v>2169</v>
      </c>
      <c r="O15" s="46" t="str">
        <f>VLOOKUP(Tabela10[[#This Row],[Circuito]],BD!$A:$AB,28,0)</f>
        <v>Disponível</v>
      </c>
      <c r="P15" s="46" t="s">
        <v>2170</v>
      </c>
      <c r="Q15" s="145" t="str">
        <f>VLOOKUP(Tabela10[[#This Row],[Circuito]],BD!A:AC,28,0)</f>
        <v>Disponível</v>
      </c>
    </row>
    <row r="16" spans="1:17" ht="22.5" customHeight="1" x14ac:dyDescent="0.2">
      <c r="A16" s="105" t="s">
        <v>354</v>
      </c>
      <c r="B16" s="100">
        <v>44165</v>
      </c>
      <c r="C16" s="100">
        <v>44174</v>
      </c>
      <c r="D16" s="101" t="str">
        <f>VLOOKUP(Tabela10[[#This Row],[Circuito]],BD!A:T,3,FALSE)</f>
        <v>-</v>
      </c>
      <c r="E16" s="101" t="str">
        <f>VLOOKUP(Tabela10[[#This Row],[Circuito]],BD!A:T,4,FALSE)</f>
        <v>-</v>
      </c>
      <c r="F16" s="99" t="str">
        <f>VLOOKUP(Tabela10[[#This Row],[Circuito]],BD!A:T,5,FALSE)</f>
        <v>1P#1,0mm²+SHI (N.I.S.)</v>
      </c>
      <c r="G16" s="101" t="str">
        <f>VLOOKUP(Tabela10[[#This Row],[Circuito]],BD!A:AE,31,0)</f>
        <v>Digital (N.I.S.)</v>
      </c>
      <c r="H16" s="101">
        <f>VLOOKUP(Tabela10[[#This Row],[Circuito]],BD!A:T,8,FALSE)</f>
        <v>90</v>
      </c>
      <c r="I16" s="101">
        <f>VLOOKUP(Tabela10[[#This Row],[Circuito]],BD!A:T,9,FALSE)</f>
        <v>90</v>
      </c>
      <c r="J16" s="103">
        <f>IF(VLOOKUP(Tabela10[[#This Row],[Circuito]],BD!A:AA,27,FALSE)=0,"",VLOOKUP(Tabela10[[#This Row],[Circuito]],BD!A:AA,27,FALSE))</f>
        <v>182</v>
      </c>
      <c r="K16" s="112" t="str">
        <f>VLOOKUP(Tabela10[[#This Row],[Circuito]],BD!A:T,11,FALSE)</f>
        <v>JB LEAKAGE DETECTOR
(LSH-12008X)</v>
      </c>
      <c r="L16" s="99" t="str">
        <f>VLOOKUP(Tabela10[[#This Row],[Circuito]],BD!A:T,12,FALSE)</f>
        <v>30LV/UCP LI-1201A</v>
      </c>
      <c r="M16" s="99" t="str">
        <f>VLOOKUP(Tabela10[[#This Row],[Circuito]],BD!A:T,20,FALSE)</f>
        <v>BK-SP54-01200-LC-80-00004_00000</v>
      </c>
      <c r="N16" s="106" t="s">
        <v>2169</v>
      </c>
      <c r="O16" s="46" t="str">
        <f>VLOOKUP(Tabela10[[#This Row],[Circuito]],BD!$A:$AB,28,0)</f>
        <v>Disponível</v>
      </c>
      <c r="P16" s="46" t="s">
        <v>2170</v>
      </c>
      <c r="Q16" s="145" t="str">
        <f>VLOOKUP(Tabela10[[#This Row],[Circuito]],BD!A:AC,28,0)</f>
        <v>Disponível</v>
      </c>
    </row>
    <row r="17" spans="1:17" ht="22.5" customHeight="1" x14ac:dyDescent="0.2">
      <c r="A17" s="105" t="s">
        <v>361</v>
      </c>
      <c r="B17" s="100">
        <v>44165</v>
      </c>
      <c r="C17" s="100">
        <v>44174</v>
      </c>
      <c r="D17" s="101" t="str">
        <f>VLOOKUP(Tabela10[[#This Row],[Circuito]],BD!A:T,3,FALSE)</f>
        <v>-</v>
      </c>
      <c r="E17" s="101" t="str">
        <f>VLOOKUP(Tabela10[[#This Row],[Circuito]],BD!A:T,4,FALSE)</f>
        <v>-</v>
      </c>
      <c r="F17" s="99" t="str">
        <f>VLOOKUP(Tabela10[[#This Row],[Circuito]],BD!A:T,5,FALSE)</f>
        <v>1T#1,0mm²+SHI (I.S.)</v>
      </c>
      <c r="G17" s="101" t="str">
        <f>VLOOKUP(Tabela10[[#This Row],[Circuito]],BD!A:AE,31,0)</f>
        <v>Analógico (I.S.)</v>
      </c>
      <c r="H17" s="101">
        <f>VLOOKUP(Tabela10[[#This Row],[Circuito]],BD!A:T,8,FALSE)</f>
        <v>90</v>
      </c>
      <c r="I17" s="101">
        <f>VLOOKUP(Tabela10[[#This Row],[Circuito]],BD!A:T,9,FALSE)</f>
        <v>90</v>
      </c>
      <c r="J17" s="103">
        <f>IF(VLOOKUP(Tabela10[[#This Row],[Circuito]],BD!A:AA,27,FALSE)=0,"",VLOOKUP(Tabela10[[#This Row],[Circuito]],BD!A:AA,27,FALSE))</f>
        <v>220</v>
      </c>
      <c r="K17" s="112" t="str">
        <f>VLOOKUP(Tabela10[[#This Row],[Circuito]],BD!A:T,11,FALSE)</f>
        <v xml:space="preserve">JBI-120-103X </v>
      </c>
      <c r="L17" s="99" t="str">
        <f>VLOOKUP(Tabela10[[#This Row],[Circuito]],BD!A:T,12,FALSE)</f>
        <v>30LV/UCP LI-1201A</v>
      </c>
      <c r="M17" s="99" t="str">
        <f>VLOOKUP(Tabela10[[#This Row],[Circuito]],BD!A:T,20,FALSE)</f>
        <v>BK-SP54-01200-LC-80-00004_00000</v>
      </c>
      <c r="N17" s="106" t="s">
        <v>2169</v>
      </c>
      <c r="O17" s="46" t="str">
        <f>VLOOKUP(Tabela10[[#This Row],[Circuito]],BD!$A:$AB,28,0)</f>
        <v>Disponível</v>
      </c>
      <c r="P17" s="46" t="s">
        <v>2170</v>
      </c>
      <c r="Q17" s="145" t="str">
        <f>VLOOKUP(Tabela10[[#This Row],[Circuito]],BD!A:AC,28,0)</f>
        <v>Disponível</v>
      </c>
    </row>
    <row r="18" spans="1:17" ht="22.5" customHeight="1" x14ac:dyDescent="0.2">
      <c r="A18" s="105" t="s">
        <v>365</v>
      </c>
      <c r="B18" s="100">
        <v>44165</v>
      </c>
      <c r="C18" s="100">
        <v>44174</v>
      </c>
      <c r="D18" s="101" t="str">
        <f>VLOOKUP(Tabela10[[#This Row],[Circuito]],BD!A:T,3,FALSE)</f>
        <v>-</v>
      </c>
      <c r="E18" s="101" t="str">
        <f>VLOOKUP(Tabela10[[#This Row],[Circuito]],BD!A:T,4,FALSE)</f>
        <v>-</v>
      </c>
      <c r="F18" s="99" t="str">
        <f>VLOOKUP(Tabela10[[#This Row],[Circuito]],BD!A:T,5,FALSE)</f>
        <v>8P#1,0mm²+SHI+SHC (I.S.)</v>
      </c>
      <c r="G18" s="101" t="str">
        <f>VLOOKUP(Tabela10[[#This Row],[Circuito]],BD!A:AE,31,0)</f>
        <v>Analógico (I.S.)</v>
      </c>
      <c r="H18" s="101">
        <f>VLOOKUP(Tabela10[[#This Row],[Circuito]],BD!A:T,8,FALSE)</f>
        <v>90</v>
      </c>
      <c r="I18" s="101">
        <f>VLOOKUP(Tabela10[[#This Row],[Circuito]],BD!A:T,9,FALSE)</f>
        <v>90</v>
      </c>
      <c r="J18" s="103">
        <f>IF(VLOOKUP(Tabela10[[#This Row],[Circuito]],BD!A:AA,27,FALSE)=0,"",VLOOKUP(Tabela10[[#This Row],[Circuito]],BD!A:AA,27,FALSE))</f>
        <v>124</v>
      </c>
      <c r="K18" s="112" t="str">
        <f>VLOOKUP(Tabela10[[#This Row],[Circuito]],BD!A:T,11,FALSE)</f>
        <v>EJB-12505X</v>
      </c>
      <c r="L18" s="99" t="str">
        <f>VLOOKUP(Tabela10[[#This Row],[Circuito]],BD!A:T,12,FALSE)</f>
        <v>30LV/UCP LI-1201A</v>
      </c>
      <c r="M18" s="99" t="str">
        <f>VLOOKUP(Tabela10[[#This Row],[Circuito]],BD!A:T,20,FALSE)</f>
        <v>BK-SP54-01200-LC-80-00004_00000</v>
      </c>
      <c r="N18" s="106" t="s">
        <v>2169</v>
      </c>
      <c r="O18" s="46" t="str">
        <f>VLOOKUP(Tabela10[[#This Row],[Circuito]],BD!$A:$AB,28,0)</f>
        <v>Disponível</v>
      </c>
      <c r="P18" s="46" t="s">
        <v>2170</v>
      </c>
      <c r="Q18" s="145" t="str">
        <f>VLOOKUP(Tabela10[[#This Row],[Circuito]],BD!A:AC,28,0)</f>
        <v>Disponível</v>
      </c>
    </row>
    <row r="19" spans="1:17" ht="22.5" customHeight="1" x14ac:dyDescent="0.2">
      <c r="A19" s="154" t="s">
        <v>368</v>
      </c>
      <c r="B19" s="100">
        <v>44165</v>
      </c>
      <c r="C19" s="100">
        <v>44174</v>
      </c>
      <c r="D19" s="101" t="str">
        <f>VLOOKUP(Tabela10[[#This Row],[Circuito]],BD!A:T,3,FALSE)</f>
        <v>-</v>
      </c>
      <c r="E19" s="101" t="str">
        <f>VLOOKUP(Tabela10[[#This Row],[Circuito]],BD!A:T,4,FALSE)</f>
        <v>-</v>
      </c>
      <c r="F19" s="99" t="str">
        <f>VLOOKUP(Tabela10[[#This Row],[Circuito]],BD!A:T,5,FALSE)</f>
        <v>12P#1,0mm²+SHI+SHC (I.S.)</v>
      </c>
      <c r="G19" s="101" t="str">
        <f>VLOOKUP(Tabela10[[#This Row],[Circuito]],BD!A:AE,31,0)</f>
        <v>Analógico (I.S.)</v>
      </c>
      <c r="H19" s="101">
        <f>VLOOKUP(Tabela10[[#This Row],[Circuito]],BD!A:T,8,FALSE)</f>
        <v>90</v>
      </c>
      <c r="I19" s="101">
        <f>VLOOKUP(Tabela10[[#This Row],[Circuito]],BD!A:T,9,FALSE)</f>
        <v>90</v>
      </c>
      <c r="J19" s="103">
        <f>IF(VLOOKUP(Tabela10[[#This Row],[Circuito]],BD!A:AA,27,FALSE)=0,"",VLOOKUP(Tabela10[[#This Row],[Circuito]],BD!A:AA,27,FALSE))</f>
        <v>94</v>
      </c>
      <c r="K19" s="112" t="str">
        <f>VLOOKUP(Tabela10[[#This Row],[Circuito]],BD!A:T,11,FALSE)</f>
        <v xml:space="preserve">JBI-120-101X </v>
      </c>
      <c r="L19" s="99" t="str">
        <f>VLOOKUP(Tabela10[[#This Row],[Circuito]],BD!A:T,12,FALSE)</f>
        <v>30LV/UCP LI-1201A</v>
      </c>
      <c r="M19" s="99" t="str">
        <f>VLOOKUP(Tabela10[[#This Row],[Circuito]],BD!A:T,20,FALSE)</f>
        <v>BK-SP54-01200-LC-80-00004_00000</v>
      </c>
      <c r="N19" s="106" t="s">
        <v>2169</v>
      </c>
      <c r="O19" s="46" t="str">
        <f>VLOOKUP(Tabela10[[#This Row],[Circuito]],BD!$A:$AB,28,0)</f>
        <v>Disponível</v>
      </c>
      <c r="P19" s="46" t="s">
        <v>2170</v>
      </c>
      <c r="Q19" s="145" t="str">
        <f>VLOOKUP(Tabela10[[#This Row],[Circuito]],BD!A:AC,28,0)</f>
        <v>Disponível</v>
      </c>
    </row>
    <row r="20" spans="1:17" ht="22.5" customHeight="1" x14ac:dyDescent="0.2">
      <c r="A20" s="104" t="s">
        <v>373</v>
      </c>
      <c r="B20" s="160"/>
      <c r="C20" s="160"/>
      <c r="D20" s="161"/>
      <c r="E20" s="161"/>
      <c r="F20" s="162"/>
      <c r="G20" s="162"/>
      <c r="H20" s="161"/>
      <c r="I20" s="161"/>
      <c r="J20" s="163"/>
      <c r="K20" s="164"/>
      <c r="L20" s="162"/>
      <c r="M20" s="162"/>
      <c r="N20" s="165"/>
      <c r="O20" s="166"/>
      <c r="P20" s="166"/>
      <c r="Q20" s="145" t="e">
        <f>VLOOKUP(Tabela10[[#This Row],[Circuito]],BD!A:AC,28,0)</f>
        <v>#N/A</v>
      </c>
    </row>
    <row r="21" spans="1:17" ht="22.5" customHeight="1" x14ac:dyDescent="0.2">
      <c r="A21" s="105" t="s">
        <v>370</v>
      </c>
      <c r="B21" s="100">
        <v>44165</v>
      </c>
      <c r="C21" s="100">
        <v>44174</v>
      </c>
      <c r="D21" s="101" t="str">
        <f>VLOOKUP(Tabela10[[#This Row],[Circuito]],BD!A:T,3,FALSE)</f>
        <v>-</v>
      </c>
      <c r="E21" s="101" t="str">
        <f>VLOOKUP(Tabela10[[#This Row],[Circuito]],BD!A:T,4,FALSE)</f>
        <v>-</v>
      </c>
      <c r="F21" s="99" t="str">
        <f>VLOOKUP(Tabela10[[#This Row],[Circuito]],BD!A:T,5,FALSE)</f>
        <v>4P#1,0mm²+SHI+SHC (N.I.S.)</v>
      </c>
      <c r="G21" s="101" t="str">
        <f>VLOOKUP(Tabela10[[#This Row],[Circuito]],BD!A:AE,31,0)</f>
        <v>Digital (N.I.S.)</v>
      </c>
      <c r="H21" s="101">
        <f>VLOOKUP(Tabela10[[#This Row],[Circuito]],BD!A:T,8,FALSE)</f>
        <v>80</v>
      </c>
      <c r="I21" s="101">
        <f>VLOOKUP(Tabela10[[#This Row],[Circuito]],BD!A:T,9,FALSE)</f>
        <v>80</v>
      </c>
      <c r="J21" s="103">
        <f>IF(VLOOKUP(Tabela10[[#This Row],[Circuito]],BD!A:AA,27,FALSE)=0,"",VLOOKUP(Tabela10[[#This Row],[Circuito]],BD!A:AA,27,FALSE))</f>
        <v>127</v>
      </c>
      <c r="K21" s="112" t="str">
        <f>VLOOKUP(Tabela10[[#This Row],[Circuito]],BD!A:T,11,FALSE)</f>
        <v>JBI-120-107X</v>
      </c>
      <c r="L21" s="99" t="str">
        <f>VLOOKUP(Tabela10[[#This Row],[Circuito]],BD!A:T,12,FALSE)</f>
        <v>30LV/UCP LI-1203A</v>
      </c>
      <c r="M21" s="99" t="str">
        <f>VLOOKUP(Tabela10[[#This Row],[Circuito]],BD!A:T,20,FALSE)</f>
        <v>BK-SP54-01200-LC-80-00004_00000</v>
      </c>
      <c r="N21" s="106" t="s">
        <v>2169</v>
      </c>
      <c r="O21" s="46" t="str">
        <f>VLOOKUP(Tabela10[[#This Row],[Circuito]],BD!$A:$AB,28,0)</f>
        <v>Disponível</v>
      </c>
      <c r="P21" s="46" t="s">
        <v>2171</v>
      </c>
      <c r="Q21" s="145" t="str">
        <f>VLOOKUP(Tabela10[[#This Row],[Circuito]],BD!A:AC,28,0)</f>
        <v>Disponível</v>
      </c>
    </row>
    <row r="22" spans="1:17" ht="22.5" customHeight="1" x14ac:dyDescent="0.2">
      <c r="A22" s="105" t="s">
        <v>376</v>
      </c>
      <c r="B22" s="100">
        <v>44165</v>
      </c>
      <c r="C22" s="100">
        <v>44174</v>
      </c>
      <c r="D22" s="101" t="str">
        <f>VLOOKUP(Tabela10[[#This Row],[Circuito]],BD!A:T,3,FALSE)</f>
        <v>-</v>
      </c>
      <c r="E22" s="101" t="str">
        <f>VLOOKUP(Tabela10[[#This Row],[Circuito]],BD!A:T,4,FALSE)</f>
        <v>-</v>
      </c>
      <c r="F22" s="99" t="str">
        <f>VLOOKUP(Tabela10[[#This Row],[Circuito]],BD!A:T,5,FALSE)</f>
        <v>1P#1,0mm²+SHI (N.I.S.)</v>
      </c>
      <c r="G22" s="101" t="str">
        <f>VLOOKUP(Tabela10[[#This Row],[Circuito]],BD!A:AE,31,0)</f>
        <v>Digital (N.I.S.)</v>
      </c>
      <c r="H22" s="101">
        <f>VLOOKUP(Tabela10[[#This Row],[Circuito]],BD!A:T,8,FALSE)</f>
        <v>80</v>
      </c>
      <c r="I22" s="101">
        <f>VLOOKUP(Tabela10[[#This Row],[Circuito]],BD!A:T,9,FALSE)</f>
        <v>80</v>
      </c>
      <c r="J22" s="103">
        <f>IF(VLOOKUP(Tabela10[[#This Row],[Circuito]],BD!A:AA,27,FALSE)=0,"",VLOOKUP(Tabela10[[#This Row],[Circuito]],BD!A:AA,27,FALSE))</f>
        <v>182</v>
      </c>
      <c r="K22" s="112" t="str">
        <f>VLOOKUP(Tabela10[[#This Row],[Circuito]],BD!A:T,11,FALSE)</f>
        <v>JB LEAKAGE DETECTOR
(LSH-12005X)</v>
      </c>
      <c r="L22" s="99" t="str">
        <f>VLOOKUP(Tabela10[[#This Row],[Circuito]],BD!A:T,12,FALSE)</f>
        <v>30LV/UCP LI-1203A</v>
      </c>
      <c r="M22" s="99" t="str">
        <f>VLOOKUP(Tabela10[[#This Row],[Circuito]],BD!A:T,20,FALSE)</f>
        <v>BK-SP54-01200-LC-80-00004_00000</v>
      </c>
      <c r="N22" s="106" t="s">
        <v>2169</v>
      </c>
      <c r="O22" s="46" t="str">
        <f>VLOOKUP(Tabela10[[#This Row],[Circuito]],BD!$A:$AB,28,0)</f>
        <v>Disponível</v>
      </c>
      <c r="P22" s="46" t="s">
        <v>2171</v>
      </c>
      <c r="Q22" s="145" t="str">
        <f>VLOOKUP(Tabela10[[#This Row],[Circuito]],BD!A:AC,28,0)</f>
        <v>Disponível</v>
      </c>
    </row>
    <row r="23" spans="1:17" ht="22.5" customHeight="1" x14ac:dyDescent="0.2">
      <c r="A23" s="105" t="s">
        <v>379</v>
      </c>
      <c r="B23" s="100">
        <v>44165</v>
      </c>
      <c r="C23" s="100">
        <v>44174</v>
      </c>
      <c r="D23" s="101" t="str">
        <f>VLOOKUP(Tabela10[[#This Row],[Circuito]],BD!A:T,3,FALSE)</f>
        <v>-</v>
      </c>
      <c r="E23" s="101" t="str">
        <f>VLOOKUP(Tabela10[[#This Row],[Circuito]],BD!A:T,4,FALSE)</f>
        <v>-</v>
      </c>
      <c r="F23" s="99" t="str">
        <f>VLOOKUP(Tabela10[[#This Row],[Circuito]],BD!A:T,5,FALSE)</f>
        <v>12P#1,5mm²+SHI+SHC (I.S.)</v>
      </c>
      <c r="G23" s="101" t="str">
        <f>VLOOKUP(Tabela10[[#This Row],[Circuito]],BD!A:AE,31,0)</f>
        <v>Digital (I.S.)</v>
      </c>
      <c r="H23" s="101">
        <f>VLOOKUP(Tabela10[[#This Row],[Circuito]],BD!A:T,8,FALSE)</f>
        <v>130</v>
      </c>
      <c r="I23" s="101">
        <f>VLOOKUP(Tabela10[[#This Row],[Circuito]],BD!A:T,9,FALSE)</f>
        <v>130</v>
      </c>
      <c r="J23" s="103">
        <f>IF(VLOOKUP(Tabela10[[#This Row],[Circuito]],BD!A:AA,27,FALSE)=0,"",VLOOKUP(Tabela10[[#This Row],[Circuito]],BD!A:AA,27,FALSE))</f>
        <v>126</v>
      </c>
      <c r="K23" s="112" t="str">
        <f>VLOOKUP(Tabela10[[#This Row],[Circuito]],BD!A:T,11,FALSE)</f>
        <v>7HV/GBM-1203-INV</v>
      </c>
      <c r="L23" s="99" t="str">
        <f>VLOOKUP(Tabela10[[#This Row],[Circuito]],BD!A:T,12,FALSE)</f>
        <v>30LV/UCP LI-1203A</v>
      </c>
      <c r="M23" s="99" t="str">
        <f>VLOOKUP(Tabela10[[#This Row],[Circuito]],BD!A:T,20,FALSE)</f>
        <v>BK-SP54-01200-LC-80-00004_00000</v>
      </c>
      <c r="N23" s="106" t="s">
        <v>2169</v>
      </c>
      <c r="O23" s="46" t="str">
        <f>VLOOKUP(Tabela10[[#This Row],[Circuito]],BD!$A:$AB,28,0)</f>
        <v>Disponível</v>
      </c>
      <c r="P23" s="46" t="s">
        <v>2171</v>
      </c>
      <c r="Q23" s="145" t="str">
        <f>VLOOKUP(Tabela10[[#This Row],[Circuito]],BD!A:AC,28,0)</f>
        <v>Disponível</v>
      </c>
    </row>
    <row r="24" spans="1:17" ht="22.5" customHeight="1" x14ac:dyDescent="0.2">
      <c r="A24" s="105" t="s">
        <v>385</v>
      </c>
      <c r="B24" s="100">
        <v>44165</v>
      </c>
      <c r="C24" s="100">
        <v>44174</v>
      </c>
      <c r="D24" s="101" t="str">
        <f>VLOOKUP(Tabela10[[#This Row],[Circuito]],BD!A:T,3,FALSE)</f>
        <v>-</v>
      </c>
      <c r="E24" s="101" t="str">
        <f>VLOOKUP(Tabela10[[#This Row],[Circuito]],BD!A:T,4,FALSE)</f>
        <v>-</v>
      </c>
      <c r="F24" s="99" t="str">
        <f>VLOOKUP(Tabela10[[#This Row],[Circuito]],BD!A:T,5,FALSE)</f>
        <v>8T#1,0mm²+SHI+SHC (I.S.)</v>
      </c>
      <c r="G24" s="101" t="str">
        <f>VLOOKUP(Tabela10[[#This Row],[Circuito]],BD!A:AE,31,0)</f>
        <v>Analógico (I.S.)</v>
      </c>
      <c r="H24" s="101">
        <f>VLOOKUP(Tabela10[[#This Row],[Circuito]],BD!A:T,8,FALSE)</f>
        <v>80</v>
      </c>
      <c r="I24" s="101">
        <f>VLOOKUP(Tabela10[[#This Row],[Circuito]],BD!A:T,9,FALSE)</f>
        <v>80</v>
      </c>
      <c r="J24" s="103">
        <f>IF(VLOOKUP(Tabela10[[#This Row],[Circuito]],BD!A:AA,27,FALSE)=0,"",VLOOKUP(Tabela10[[#This Row],[Circuito]],BD!A:AA,27,FALSE))</f>
        <v>130</v>
      </c>
      <c r="K24" s="112" t="str">
        <f>VLOOKUP(Tabela10[[#This Row],[Circuito]],BD!A:T,11,FALSE)</f>
        <v>JBI-120-105X</v>
      </c>
      <c r="L24" s="99" t="str">
        <f>VLOOKUP(Tabela10[[#This Row],[Circuito]],BD!A:T,12,FALSE)</f>
        <v>30LV/UCP LI-1203A</v>
      </c>
      <c r="M24" s="99" t="str">
        <f>VLOOKUP(Tabela10[[#This Row],[Circuito]],BD!A:T,20,FALSE)</f>
        <v>BK-SP54-01200-LC-80-00004_00000</v>
      </c>
      <c r="N24" s="106" t="s">
        <v>2169</v>
      </c>
      <c r="O24" s="46" t="str">
        <f>VLOOKUP(Tabela10[[#This Row],[Circuito]],BD!$A:$AB,28,0)</f>
        <v>Disponível</v>
      </c>
      <c r="P24" s="46" t="s">
        <v>2171</v>
      </c>
      <c r="Q24" s="145" t="str">
        <f>VLOOKUP(Tabela10[[#This Row],[Circuito]],BD!A:AC,28,0)</f>
        <v>Disponível</v>
      </c>
    </row>
    <row r="25" spans="1:17" ht="22.5" customHeight="1" x14ac:dyDescent="0.2">
      <c r="A25" s="105" t="s">
        <v>388</v>
      </c>
      <c r="B25" s="100">
        <v>44165</v>
      </c>
      <c r="C25" s="100">
        <v>44174</v>
      </c>
      <c r="D25" s="101" t="str">
        <f>VLOOKUP(Tabela10[[#This Row],[Circuito]],BD!A:T,3,FALSE)</f>
        <v>-</v>
      </c>
      <c r="E25" s="101" t="str">
        <f>VLOOKUP(Tabela10[[#This Row],[Circuito]],BD!A:T,4,FALSE)</f>
        <v>-</v>
      </c>
      <c r="F25" s="99" t="str">
        <f>VLOOKUP(Tabela10[[#This Row],[Circuito]],BD!A:T,5,FALSE)</f>
        <v>12P#1,0mm²+SHI+SHC (I.S.)</v>
      </c>
      <c r="G25" s="101" t="str">
        <f>VLOOKUP(Tabela10[[#This Row],[Circuito]],BD!A:AE,31,0)</f>
        <v>Analógico (I.S.)</v>
      </c>
      <c r="H25" s="101">
        <f>VLOOKUP(Tabela10[[#This Row],[Circuito]],BD!A:T,8,FALSE)</f>
        <v>80</v>
      </c>
      <c r="I25" s="101">
        <f>VLOOKUP(Tabela10[[#This Row],[Circuito]],BD!A:T,9,FALSE)</f>
        <v>80</v>
      </c>
      <c r="J25" s="103">
        <f>IF(VLOOKUP(Tabela10[[#This Row],[Circuito]],BD!A:AA,27,FALSE)=0,"",VLOOKUP(Tabela10[[#This Row],[Circuito]],BD!A:AA,27,FALSE))</f>
        <v>126</v>
      </c>
      <c r="K25" s="112" t="str">
        <f>VLOOKUP(Tabela10[[#This Row],[Circuito]],BD!A:T,11,FALSE)</f>
        <v xml:space="preserve">JBI-120-104X </v>
      </c>
      <c r="L25" s="99" t="str">
        <f>VLOOKUP(Tabela10[[#This Row],[Circuito]],BD!A:T,12,FALSE)</f>
        <v>30LV/UCP LI-1203A</v>
      </c>
      <c r="M25" s="99" t="str">
        <f>VLOOKUP(Tabela10[[#This Row],[Circuito]],BD!A:T,20,FALSE)</f>
        <v>BK-SP54-01200-LC-80-00004_00000</v>
      </c>
      <c r="N25" s="106" t="s">
        <v>2169</v>
      </c>
      <c r="O25" s="46" t="str">
        <f>VLOOKUP(Tabela10[[#This Row],[Circuito]],BD!$A:$AB,28,0)</f>
        <v>Disponível</v>
      </c>
      <c r="P25" s="46" t="s">
        <v>2171</v>
      </c>
      <c r="Q25" s="145" t="str">
        <f>VLOOKUP(Tabela10[[#This Row],[Circuito]],BD!A:AC,28,0)</f>
        <v>Disponível</v>
      </c>
    </row>
    <row r="26" spans="1:17" ht="22.5" customHeight="1" x14ac:dyDescent="0.2">
      <c r="A26" s="105" t="s">
        <v>391</v>
      </c>
      <c r="B26" s="100">
        <v>44165</v>
      </c>
      <c r="C26" s="100">
        <v>44174</v>
      </c>
      <c r="D26" s="101" t="str">
        <f>VLOOKUP(Tabela10[[#This Row],[Circuito]],BD!A:T,3,FALSE)</f>
        <v>-</v>
      </c>
      <c r="E26" s="101" t="str">
        <f>VLOOKUP(Tabela10[[#This Row],[Circuito]],BD!A:T,4,FALSE)</f>
        <v>-</v>
      </c>
      <c r="F26" s="99" t="str">
        <f>VLOOKUP(Tabela10[[#This Row],[Circuito]],BD!A:T,5,FALSE)</f>
        <v>4P#1,0mm²+SHI+SHC (I.S.)</v>
      </c>
      <c r="G26" s="101" t="str">
        <f>VLOOKUP(Tabela10[[#This Row],[Circuito]],BD!A:AE,31,0)</f>
        <v>Analógico (I.S.)</v>
      </c>
      <c r="H26" s="101">
        <f>VLOOKUP(Tabela10[[#This Row],[Circuito]],BD!A:T,8,FALSE)</f>
        <v>80</v>
      </c>
      <c r="I26" s="101">
        <f>VLOOKUP(Tabela10[[#This Row],[Circuito]],BD!A:T,9,FALSE)</f>
        <v>80</v>
      </c>
      <c r="J26" s="103">
        <f>IF(VLOOKUP(Tabela10[[#This Row],[Circuito]],BD!A:AA,27,FALSE)=0,"",VLOOKUP(Tabela10[[#This Row],[Circuito]],BD!A:AA,27,FALSE))</f>
        <v>127</v>
      </c>
      <c r="K26" s="112" t="str">
        <f>VLOOKUP(Tabela10[[#This Row],[Circuito]],BD!A:T,11,FALSE)</f>
        <v>JBI-120-106X</v>
      </c>
      <c r="L26" s="99" t="str">
        <f>VLOOKUP(Tabela10[[#This Row],[Circuito]],BD!A:T,12,FALSE)</f>
        <v>30LV/UCP LI-1203A</v>
      </c>
      <c r="M26" s="99" t="str">
        <f>VLOOKUP(Tabela10[[#This Row],[Circuito]],BD!A:T,20,FALSE)</f>
        <v>BK-SP54-01200-LC-80-00004_00000</v>
      </c>
      <c r="N26" s="106" t="s">
        <v>2169</v>
      </c>
      <c r="O26" s="46" t="str">
        <f>VLOOKUP(Tabela10[[#This Row],[Circuito]],BD!$A:$AB,28,0)</f>
        <v>Disponível</v>
      </c>
      <c r="P26" s="46" t="s">
        <v>2171</v>
      </c>
      <c r="Q26" s="145" t="str">
        <f>VLOOKUP(Tabela10[[#This Row],[Circuito]],BD!A:AC,28,0)</f>
        <v>Disponível</v>
      </c>
    </row>
    <row r="27" spans="1:17" ht="22.5" customHeight="1" x14ac:dyDescent="0.2">
      <c r="A27" s="105" t="s">
        <v>394</v>
      </c>
      <c r="B27" s="100">
        <v>44165</v>
      </c>
      <c r="C27" s="100">
        <v>44174</v>
      </c>
      <c r="D27" s="101" t="str">
        <f>VLOOKUP(Tabela10[[#This Row],[Circuito]],BD!A:T,3,FALSE)</f>
        <v>-</v>
      </c>
      <c r="E27" s="101" t="str">
        <f>VLOOKUP(Tabela10[[#This Row],[Circuito]],BD!A:T,4,FALSE)</f>
        <v>-</v>
      </c>
      <c r="F27" s="99" t="str">
        <f>VLOOKUP(Tabela10[[#This Row],[Circuito]],BD!A:T,5,FALSE)</f>
        <v>2P#1,0mm²+SHI+SHC (N.I.S.)</v>
      </c>
      <c r="G27" s="101" t="str">
        <f>VLOOKUP(Tabela10[[#This Row],[Circuito]],BD!A:AE,31,0)</f>
        <v>Digital (N.I.S.)</v>
      </c>
      <c r="H27" s="101">
        <f>VLOOKUP(Tabela10[[#This Row],[Circuito]],BD!A:T,8,FALSE)</f>
        <v>80</v>
      </c>
      <c r="I27" s="101">
        <f>VLOOKUP(Tabela10[[#This Row],[Circuito]],BD!A:T,9,FALSE)</f>
        <v>80</v>
      </c>
      <c r="J27" s="103">
        <f>IF(VLOOKUP(Tabela10[[#This Row],[Circuito]],BD!A:AA,27,FALSE)=0,"",VLOOKUP(Tabela10[[#This Row],[Circuito]],BD!A:AA,27,FALSE))</f>
        <v>73</v>
      </c>
      <c r="K27" s="112" t="str">
        <f>VLOOKUP(Tabela10[[#This Row],[Circuito]],BD!A:T,11,FALSE)</f>
        <v xml:space="preserve">JBI-120-106X </v>
      </c>
      <c r="L27" s="99" t="str">
        <f>VLOOKUP(Tabela10[[#This Row],[Circuito]],BD!A:T,12,FALSE)</f>
        <v>30LV/UCP LI-1203A</v>
      </c>
      <c r="M27" s="99" t="str">
        <f>VLOOKUP(Tabela10[[#This Row],[Circuito]],BD!A:T,20,FALSE)</f>
        <v>BK-SP54-01200-LC-80-00004_00000</v>
      </c>
      <c r="N27" s="106" t="s">
        <v>2169</v>
      </c>
      <c r="O27" s="46" t="str">
        <f>VLOOKUP(Tabela10[[#This Row],[Circuito]],BD!$A:$AB,28,0)</f>
        <v>Disponível</v>
      </c>
      <c r="P27" s="46" t="s">
        <v>2171</v>
      </c>
      <c r="Q27" s="145" t="str">
        <f>VLOOKUP(Tabela10[[#This Row],[Circuito]],BD!A:AC,28,0)</f>
        <v>Disponível</v>
      </c>
    </row>
    <row r="28" spans="1:17" ht="22.5" customHeight="1" x14ac:dyDescent="0.2">
      <c r="A28" s="105" t="s">
        <v>398</v>
      </c>
      <c r="B28" s="100">
        <v>44165</v>
      </c>
      <c r="C28" s="100">
        <v>44174</v>
      </c>
      <c r="D28" s="101" t="str">
        <f>VLOOKUP(Tabela10[[#This Row],[Circuito]],BD!A:T,3,FALSE)</f>
        <v>-</v>
      </c>
      <c r="E28" s="101" t="str">
        <f>VLOOKUP(Tabela10[[#This Row],[Circuito]],BD!A:T,4,FALSE)</f>
        <v>-</v>
      </c>
      <c r="F28" s="99" t="str">
        <f>VLOOKUP(Tabela10[[#This Row],[Circuito]],BD!A:T,5,FALSE)</f>
        <v>4T#1,0mm²+SHI+SHC (I.S.)</v>
      </c>
      <c r="G28" s="101" t="str">
        <f>VLOOKUP(Tabela10[[#This Row],[Circuito]],BD!A:AE,31,0)</f>
        <v>Analógico (I.S.)</v>
      </c>
      <c r="H28" s="101">
        <f>VLOOKUP(Tabela10[[#This Row],[Circuito]],BD!A:T,8,FALSE)</f>
        <v>80</v>
      </c>
      <c r="I28" s="101">
        <f>VLOOKUP(Tabela10[[#This Row],[Circuito]],BD!A:T,9,FALSE)</f>
        <v>80</v>
      </c>
      <c r="J28" s="103">
        <f>IF(VLOOKUP(Tabela10[[#This Row],[Circuito]],BD!A:AA,27,FALSE)=0,"",VLOOKUP(Tabela10[[#This Row],[Circuito]],BD!A:AA,27,FALSE))</f>
        <v>133</v>
      </c>
      <c r="K28" s="112" t="str">
        <f>VLOOKUP(Tabela10[[#This Row],[Circuito]],BD!A:T,11,FALSE)</f>
        <v xml:space="preserve">JBI-120-104X </v>
      </c>
      <c r="L28" s="99" t="str">
        <f>VLOOKUP(Tabela10[[#This Row],[Circuito]],BD!A:T,12,FALSE)</f>
        <v>30LV/UCP LI-1203A</v>
      </c>
      <c r="M28" s="99" t="str">
        <f>VLOOKUP(Tabela10[[#This Row],[Circuito]],BD!A:T,20,FALSE)</f>
        <v>BK-SP54-01200-LC-80-00004_00000</v>
      </c>
      <c r="N28" s="106" t="s">
        <v>2169</v>
      </c>
      <c r="O28" s="46" t="str">
        <f>VLOOKUP(Tabela10[[#This Row],[Circuito]],BD!$A:$AB,28,0)</f>
        <v>Disponível</v>
      </c>
      <c r="P28" s="46" t="s">
        <v>2171</v>
      </c>
      <c r="Q28" s="145" t="str">
        <f>VLOOKUP(Tabela10[[#This Row],[Circuito]],BD!A:AC,28,0)</f>
        <v>Disponível</v>
      </c>
    </row>
    <row r="29" spans="1:17" ht="22.5" customHeight="1" x14ac:dyDescent="0.2">
      <c r="A29" s="104" t="s">
        <v>2172</v>
      </c>
      <c r="B29" s="160"/>
      <c r="C29" s="160"/>
      <c r="D29" s="161"/>
      <c r="E29" s="161"/>
      <c r="F29" s="162"/>
      <c r="G29" s="162"/>
      <c r="H29" s="161"/>
      <c r="I29" s="161"/>
      <c r="J29" s="163"/>
      <c r="K29" s="164"/>
      <c r="L29" s="162"/>
      <c r="M29" s="162"/>
      <c r="N29" s="165"/>
      <c r="O29" s="166"/>
      <c r="P29" s="166"/>
      <c r="Q29" s="145" t="e">
        <f>VLOOKUP(Tabela10[[#This Row],[Circuito]],BD!A:AC,28,0)</f>
        <v>#N/A</v>
      </c>
    </row>
    <row r="30" spans="1:17" ht="22.5" customHeight="1" x14ac:dyDescent="0.2">
      <c r="A30" s="105" t="s">
        <v>357</v>
      </c>
      <c r="B30" s="100">
        <v>44165</v>
      </c>
      <c r="C30" s="100">
        <v>44174</v>
      </c>
      <c r="D30" s="101" t="str">
        <f>VLOOKUP(Tabela10[[#This Row],[Circuito]],BD!A:T,3,FALSE)</f>
        <v>-</v>
      </c>
      <c r="E30" s="101" t="str">
        <f>VLOOKUP(Tabela10[[#This Row],[Circuito]],BD!A:T,4,FALSE)</f>
        <v>-</v>
      </c>
      <c r="F30" s="99" t="str">
        <f>VLOOKUP(Tabela10[[#This Row],[Circuito]],BD!A:T,5,FALSE)</f>
        <v>12P#1,0mm²+SHI+SHC (I.S.)</v>
      </c>
      <c r="G30" s="101" t="str">
        <f>VLOOKUP(Tabela10[[#This Row],[Circuito]],BD!A:AE,31,0)</f>
        <v>Analógico (I.S.)</v>
      </c>
      <c r="H30" s="101">
        <f>VLOOKUP(Tabela10[[#This Row],[Circuito]],BD!A:T,8,FALSE)</f>
        <v>80</v>
      </c>
      <c r="I30" s="101">
        <f>VLOOKUP(Tabela10[[#This Row],[Circuito]],BD!A:T,9,FALSE)</f>
        <v>80</v>
      </c>
      <c r="J30" s="103">
        <f>IF(VLOOKUP(Tabela10[[#This Row],[Circuito]],BD!A:AA,27,FALSE)=0,"",VLOOKUP(Tabela10[[#This Row],[Circuito]],BD!A:AA,27,FALSE))</f>
        <v>94</v>
      </c>
      <c r="K30" s="112" t="str">
        <f>VLOOKUP(Tabela10[[#This Row],[Circuito]],BD!A:T,11,FALSE)</f>
        <v>EJB-12506X</v>
      </c>
      <c r="L30" s="99" t="str">
        <f>VLOOKUP(Tabela10[[#This Row],[Circuito]],BD!A:T,12,FALSE)</f>
        <v>30LV/UCP LI-1201A</v>
      </c>
      <c r="M30" s="99" t="str">
        <f>VLOOKUP(Tabela10[[#This Row],[Circuito]],BD!A:T,20,FALSE)</f>
        <v>BK-SP54-01200-LC-80-00004_00000</v>
      </c>
      <c r="N30" s="106" t="s">
        <v>2169</v>
      </c>
      <c r="O30" s="46" t="str">
        <f>VLOOKUP(Tabela10[[#This Row],[Circuito]],BD!$A:$AB,28,0)</f>
        <v>Disponível</v>
      </c>
      <c r="P30" s="46" t="s">
        <v>597</v>
      </c>
      <c r="Q30" s="145" t="str">
        <f>VLOOKUP(Tabela10[[#This Row],[Circuito]],BD!A:AC,28,0)</f>
        <v>Disponível</v>
      </c>
    </row>
    <row r="31" spans="1:17" ht="22.5" customHeight="1" x14ac:dyDescent="0.2">
      <c r="A31" s="105" t="s">
        <v>602</v>
      </c>
      <c r="B31" s="100">
        <v>44165</v>
      </c>
      <c r="C31" s="100">
        <v>44174</v>
      </c>
      <c r="D31" s="101" t="str">
        <f>VLOOKUP(Tabela10[[#This Row],[Circuito]],BD!A:T,3,FALSE)</f>
        <v>-</v>
      </c>
      <c r="E31" s="101" t="str">
        <f>VLOOKUP(Tabela10[[#This Row],[Circuito]],BD!A:T,4,FALSE)</f>
        <v>-</v>
      </c>
      <c r="F31" s="99" t="str">
        <f>VLOOKUP(Tabela10[[#This Row],[Circuito]],BD!A:T,5,FALSE)</f>
        <v>4P#1,0mm²+SHI+SHC (N.I.S.)</v>
      </c>
      <c r="G31" s="101" t="str">
        <f>VLOOKUP(Tabela10[[#This Row],[Circuito]],BD!A:AE,31,0)</f>
        <v>Digital (N.I.S.)</v>
      </c>
      <c r="H31" s="101">
        <f>VLOOKUP(Tabela10[[#This Row],[Circuito]],BD!A:T,8,FALSE)</f>
        <v>130</v>
      </c>
      <c r="I31" s="101">
        <f>VLOOKUP(Tabela10[[#This Row],[Circuito]],BD!A:T,9,FALSE)</f>
        <v>130</v>
      </c>
      <c r="J31" s="103">
        <f>IF(VLOOKUP(Tabela10[[#This Row],[Circuito]],BD!A:AA,27,FALSE)=0,"",VLOOKUP(Tabela10[[#This Row],[Circuito]],BD!A:AA,27,FALSE))</f>
        <v>127</v>
      </c>
      <c r="K31" s="112" t="str">
        <f>VLOOKUP(Tabela10[[#This Row],[Circuito]],BD!A:T,11,FALSE)</f>
        <v>7HV/BNC</v>
      </c>
      <c r="L31" s="99" t="str">
        <f>VLOOKUP(Tabela10[[#This Row],[Circuito]],BD!A:T,12,FALSE)</f>
        <v>30LV/UCP LI-1203A</v>
      </c>
      <c r="M31" s="99" t="str">
        <f>VLOOKUP(Tabela10[[#This Row],[Circuito]],BD!A:T,20,FALSE)</f>
        <v>BK-SP54-01200-LC-80-00004_00000</v>
      </c>
      <c r="N31" s="106" t="s">
        <v>2169</v>
      </c>
      <c r="O31" s="46" t="str">
        <f>VLOOKUP(Tabela10[[#This Row],[Circuito]],BD!$A:$AB,28,0)</f>
        <v>Disponível</v>
      </c>
      <c r="P31" s="46" t="s">
        <v>597</v>
      </c>
      <c r="Q31" s="145" t="str">
        <f>VLOOKUP(Tabela10[[#This Row],[Circuito]],BD!A:AC,28,0)</f>
        <v>Disponível</v>
      </c>
    </row>
    <row r="32" spans="1:17" ht="22.5" customHeight="1" x14ac:dyDescent="0.2">
      <c r="A32" s="105" t="s">
        <v>604</v>
      </c>
      <c r="B32" s="100">
        <v>44165</v>
      </c>
      <c r="C32" s="100">
        <v>44174</v>
      </c>
      <c r="D32" s="101" t="str">
        <f>VLOOKUP(Tabela10[[#This Row],[Circuito]],BD!A:T,3,FALSE)</f>
        <v>-</v>
      </c>
      <c r="E32" s="101" t="str">
        <f>VLOOKUP(Tabela10[[#This Row],[Circuito]],BD!A:T,4,FALSE)</f>
        <v>-</v>
      </c>
      <c r="F32" s="99" t="str">
        <f>VLOOKUP(Tabela10[[#This Row],[Circuito]],BD!A:T,5,FALSE)</f>
        <v>1P#1,0mm²+SHI (N.I.S.)</v>
      </c>
      <c r="G32" s="101" t="str">
        <f>VLOOKUP(Tabela10[[#This Row],[Circuito]],BD!A:AE,31,0)</f>
        <v>Digital (N.I.S.)</v>
      </c>
      <c r="H32" s="101">
        <f>VLOOKUP(Tabela10[[#This Row],[Circuito]],BD!A:T,8,FALSE)</f>
        <v>130</v>
      </c>
      <c r="I32" s="101">
        <f>VLOOKUP(Tabela10[[#This Row],[Circuito]],BD!A:T,9,FALSE)</f>
        <v>130</v>
      </c>
      <c r="J32" s="103">
        <f>IF(VLOOKUP(Tabela10[[#This Row],[Circuito]],BD!A:AA,27,FALSE)=0,"",VLOOKUP(Tabela10[[#This Row],[Circuito]],BD!A:AA,27,FALSE))</f>
        <v>182</v>
      </c>
      <c r="K32" s="112" t="str">
        <f>VLOOKUP(Tabela10[[#This Row],[Circuito]],BD!A:T,11,FALSE)</f>
        <v>7HV/TR-26A</v>
      </c>
      <c r="L32" s="99" t="str">
        <f>VLOOKUP(Tabela10[[#This Row],[Circuito]],BD!A:T,12,FALSE)</f>
        <v>30LV/UCP LI-1203A</v>
      </c>
      <c r="M32" s="99" t="str">
        <f>VLOOKUP(Tabela10[[#This Row],[Circuito]],BD!A:T,20,FALSE)</f>
        <v>BK-SP54-01200-LC-80-00004_00000</v>
      </c>
      <c r="N32" s="106" t="s">
        <v>2169</v>
      </c>
      <c r="O32" s="46" t="str">
        <f>VLOOKUP(Tabela10[[#This Row],[Circuito]],BD!$A:$AB,28,0)</f>
        <v>Disponível</v>
      </c>
      <c r="P32" s="46" t="s">
        <v>597</v>
      </c>
      <c r="Q32" s="145" t="str">
        <f>VLOOKUP(Tabela10[[#This Row],[Circuito]],BD!A:AC,28,0)</f>
        <v>Disponível</v>
      </c>
    </row>
    <row r="33" spans="1:17" ht="22.5" customHeight="1" x14ac:dyDescent="0.2">
      <c r="A33" s="105" t="s">
        <v>606</v>
      </c>
      <c r="B33" s="100">
        <v>44165</v>
      </c>
      <c r="C33" s="100">
        <v>44174</v>
      </c>
      <c r="D33" s="101" t="str">
        <f>VLOOKUP(Tabela10[[#This Row],[Circuito]],BD!A:T,3,FALSE)</f>
        <v>-</v>
      </c>
      <c r="E33" s="101" t="str">
        <f>VLOOKUP(Tabela10[[#This Row],[Circuito]],BD!A:T,4,FALSE)</f>
        <v>-</v>
      </c>
      <c r="F33" s="99" t="str">
        <f>VLOOKUP(Tabela10[[#This Row],[Circuito]],BD!A:T,5,FALSE)</f>
        <v>1P#1,0mm²+SHI (N.I.S.)</v>
      </c>
      <c r="G33" s="101" t="str">
        <f>VLOOKUP(Tabela10[[#This Row],[Circuito]],BD!A:AE,31,0)</f>
        <v>Digital (N.I.S.)</v>
      </c>
      <c r="H33" s="101">
        <f>VLOOKUP(Tabela10[[#This Row],[Circuito]],BD!A:T,8,FALSE)</f>
        <v>130</v>
      </c>
      <c r="I33" s="101">
        <f>VLOOKUP(Tabela10[[#This Row],[Circuito]],BD!A:T,9,FALSE)</f>
        <v>130</v>
      </c>
      <c r="J33" s="103">
        <f>IF(VLOOKUP(Tabela10[[#This Row],[Circuito]],BD!A:AA,27,FALSE)=0,"",VLOOKUP(Tabela10[[#This Row],[Circuito]],BD!A:AA,27,FALSE))</f>
        <v>182</v>
      </c>
      <c r="K33" s="112" t="str">
        <f>VLOOKUP(Tabela10[[#This Row],[Circuito]],BD!A:T,11,FALSE)</f>
        <v>7HV/GBM-1203-INV</v>
      </c>
      <c r="L33" s="99" t="str">
        <f>VLOOKUP(Tabela10[[#This Row],[Circuito]],BD!A:T,12,FALSE)</f>
        <v>30LV/UCP LI-1203A</v>
      </c>
      <c r="M33" s="99" t="str">
        <f>VLOOKUP(Tabela10[[#This Row],[Circuito]],BD!A:T,20,FALSE)</f>
        <v>BK-SP54-01200-LC-80-00004_00000</v>
      </c>
      <c r="N33" s="106" t="s">
        <v>2169</v>
      </c>
      <c r="O33" s="46" t="str">
        <f>VLOOKUP(Tabela10[[#This Row],[Circuito]],BD!$A:$AB,28,0)</f>
        <v>Disponível</v>
      </c>
      <c r="P33" s="46" t="s">
        <v>597</v>
      </c>
      <c r="Q33" s="145" t="str">
        <f>VLOOKUP(Tabela10[[#This Row],[Circuito]],BD!A:AC,28,0)</f>
        <v>Disponível</v>
      </c>
    </row>
    <row r="34" spans="1:17" ht="22.5" customHeight="1" x14ac:dyDescent="0.2">
      <c r="A34" s="105" t="s">
        <v>607</v>
      </c>
      <c r="B34" s="100">
        <v>44165</v>
      </c>
      <c r="C34" s="100">
        <v>44174</v>
      </c>
      <c r="D34" s="101" t="str">
        <f>VLOOKUP(Tabela10[[#This Row],[Circuito]],BD!A:T,3,FALSE)</f>
        <v>-</v>
      </c>
      <c r="E34" s="101" t="str">
        <f>VLOOKUP(Tabela10[[#This Row],[Circuito]],BD!A:T,4,FALSE)</f>
        <v>-</v>
      </c>
      <c r="F34" s="99" t="str">
        <f>VLOOKUP(Tabela10[[#This Row],[Circuito]],BD!A:T,5,FALSE)</f>
        <v>8P#1,0mm²+SHI+SHC (N.I.S.)</v>
      </c>
      <c r="G34" s="101" t="str">
        <f>VLOOKUP(Tabela10[[#This Row],[Circuito]],BD!A:AE,31,0)</f>
        <v>Analógico (N.I.S.)</v>
      </c>
      <c r="H34" s="101">
        <f>VLOOKUP(Tabela10[[#This Row],[Circuito]],BD!A:T,8,FALSE)</f>
        <v>130</v>
      </c>
      <c r="I34" s="101">
        <f>VLOOKUP(Tabela10[[#This Row],[Circuito]],BD!A:T,9,FALSE)</f>
        <v>130</v>
      </c>
      <c r="J34" s="103">
        <f>IF(VLOOKUP(Tabela10[[#This Row],[Circuito]],BD!A:AA,27,FALSE)=0,"",VLOOKUP(Tabela10[[#This Row],[Circuito]],BD!A:AA,27,FALSE))</f>
        <v>124</v>
      </c>
      <c r="K34" s="112" t="str">
        <f>VLOOKUP(Tabela10[[#This Row],[Circuito]],BD!A:T,11,FALSE)</f>
        <v>7HV/GBM-1201-INV</v>
      </c>
      <c r="L34" s="99" t="str">
        <f>VLOOKUP(Tabela10[[#This Row],[Circuito]],BD!A:T,12,FALSE)</f>
        <v>30LV/UCP LI-1201A</v>
      </c>
      <c r="M34" s="99" t="str">
        <f>VLOOKUP(Tabela10[[#This Row],[Circuito]],BD!A:T,20,FALSE)</f>
        <v>BK-SP54-01200-LC-80-00004_00000</v>
      </c>
      <c r="N34" s="106" t="s">
        <v>2169</v>
      </c>
      <c r="O34" s="46" t="str">
        <f>VLOOKUP(Tabela10[[#This Row],[Circuito]],BD!$A:$AB,28,0)</f>
        <v>Disponível</v>
      </c>
      <c r="P34" s="46" t="s">
        <v>597</v>
      </c>
      <c r="Q34" s="145" t="str">
        <f>VLOOKUP(Tabela10[[#This Row],[Circuito]],BD!A:AC,28,0)</f>
        <v>Disponível</v>
      </c>
    </row>
    <row r="35" spans="1:17" ht="22.5" customHeight="1" x14ac:dyDescent="0.2">
      <c r="A35" s="105" t="s">
        <v>611</v>
      </c>
      <c r="B35" s="100">
        <v>44165</v>
      </c>
      <c r="C35" s="100">
        <v>44174</v>
      </c>
      <c r="D35" s="101" t="str">
        <f>VLOOKUP(Tabela10[[#This Row],[Circuito]],BD!A:T,3,FALSE)</f>
        <v>-</v>
      </c>
      <c r="E35" s="101" t="str">
        <f>VLOOKUP(Tabela10[[#This Row],[Circuito]],BD!A:T,4,FALSE)</f>
        <v>-</v>
      </c>
      <c r="F35" s="99" t="str">
        <f>VLOOKUP(Tabela10[[#This Row],[Circuito]],BD!A:T,5,FALSE)</f>
        <v>12P#1,0mm²+SHI+SHC (N.I.S.)</v>
      </c>
      <c r="G35" s="101" t="str">
        <f>VLOOKUP(Tabela10[[#This Row],[Circuito]],BD!A:AE,31,0)</f>
        <v>Digital (N.I.S.)</v>
      </c>
      <c r="H35" s="101">
        <f>VLOOKUP(Tabela10[[#This Row],[Circuito]],BD!A:T,8,FALSE)</f>
        <v>130</v>
      </c>
      <c r="I35" s="101">
        <f>VLOOKUP(Tabela10[[#This Row],[Circuito]],BD!A:T,9,FALSE)</f>
        <v>130</v>
      </c>
      <c r="J35" s="103">
        <f>IF(VLOOKUP(Tabela10[[#This Row],[Circuito]],BD!A:AA,27,FALSE)=0,"",VLOOKUP(Tabela10[[#This Row],[Circuito]],BD!A:AA,27,FALSE))</f>
        <v>94</v>
      </c>
      <c r="K35" s="112" t="str">
        <f>VLOOKUP(Tabela10[[#This Row],[Circuito]],BD!A:T,11,FALSE)</f>
        <v>7HV/GBM-1201-INV</v>
      </c>
      <c r="L35" s="99" t="str">
        <f>VLOOKUP(Tabela10[[#This Row],[Circuito]],BD!A:T,12,FALSE)</f>
        <v>30LV/UCP LI-1201A</v>
      </c>
      <c r="M35" s="99" t="str">
        <f>VLOOKUP(Tabela10[[#This Row],[Circuito]],BD!A:T,20,FALSE)</f>
        <v>BK-SP54-01200-LC-80-00004_00000</v>
      </c>
      <c r="N35" s="106" t="s">
        <v>2169</v>
      </c>
      <c r="O35" s="46" t="str">
        <f>VLOOKUP(Tabela10[[#This Row],[Circuito]],BD!$A:$AB,28,0)</f>
        <v>Disponível</v>
      </c>
      <c r="P35" s="46" t="s">
        <v>597</v>
      </c>
      <c r="Q35" s="145" t="str">
        <f>VLOOKUP(Tabela10[[#This Row],[Circuito]],BD!A:AC,28,0)</f>
        <v>Disponível</v>
      </c>
    </row>
    <row r="36" spans="1:17" ht="22.5" customHeight="1" x14ac:dyDescent="0.2">
      <c r="A36" s="105" t="s">
        <v>613</v>
      </c>
      <c r="B36" s="100">
        <v>44165</v>
      </c>
      <c r="C36" s="100">
        <v>44174</v>
      </c>
      <c r="D36" s="101" t="str">
        <f>VLOOKUP(Tabela10[[#This Row],[Circuito]],BD!A:T,3,FALSE)</f>
        <v>-</v>
      </c>
      <c r="E36" s="101" t="str">
        <f>VLOOKUP(Tabela10[[#This Row],[Circuito]],BD!A:T,4,FALSE)</f>
        <v>-</v>
      </c>
      <c r="F36" s="99" t="str">
        <f>VLOOKUP(Tabela10[[#This Row],[Circuito]],BD!A:T,5,FALSE)</f>
        <v>12P#1,0mm²+SHI+SHC (N.I.S.)</v>
      </c>
      <c r="G36" s="101" t="str">
        <f>VLOOKUP(Tabela10[[#This Row],[Circuito]],BD!A:AE,31,0)</f>
        <v>Digital (N.I.S.)</v>
      </c>
      <c r="H36" s="101">
        <f>VLOOKUP(Tabela10[[#This Row],[Circuito]],BD!A:T,8,FALSE)</f>
        <v>130</v>
      </c>
      <c r="I36" s="101">
        <f>VLOOKUP(Tabela10[[#This Row],[Circuito]],BD!A:T,9,FALSE)</f>
        <v>130</v>
      </c>
      <c r="J36" s="103">
        <f>IF(VLOOKUP(Tabela10[[#This Row],[Circuito]],BD!A:AA,27,FALSE)=0,"",VLOOKUP(Tabela10[[#This Row],[Circuito]],BD!A:AA,27,FALSE))</f>
        <v>94</v>
      </c>
      <c r="K36" s="112" t="str">
        <f>VLOOKUP(Tabela10[[#This Row],[Circuito]],BD!A:T,11,FALSE)</f>
        <v xml:space="preserve">7HV/AMB-GB-1201 </v>
      </c>
      <c r="L36" s="99" t="str">
        <f>VLOOKUP(Tabela10[[#This Row],[Circuito]],BD!A:T,12,FALSE)</f>
        <v>30LV/UCP LI-1201A</v>
      </c>
      <c r="M36" s="99" t="str">
        <f>VLOOKUP(Tabela10[[#This Row],[Circuito]],BD!A:T,20,FALSE)</f>
        <v>BK-SP54-01200-LC-80-00004_00000</v>
      </c>
      <c r="N36" s="106" t="s">
        <v>2169</v>
      </c>
      <c r="O36" s="46" t="str">
        <f>VLOOKUP(Tabela10[[#This Row],[Circuito]],BD!$A:$AB,28,0)</f>
        <v>Disponível</v>
      </c>
      <c r="P36" s="46" t="s">
        <v>597</v>
      </c>
      <c r="Q36" s="145" t="str">
        <f>VLOOKUP(Tabela10[[#This Row],[Circuito]],BD!A:AC,28,0)</f>
        <v>Disponível</v>
      </c>
    </row>
    <row r="37" spans="1:17" ht="22.5" customHeight="1" x14ac:dyDescent="0.2">
      <c r="A37" s="105" t="s">
        <v>615</v>
      </c>
      <c r="B37" s="100">
        <v>44165</v>
      </c>
      <c r="C37" s="100">
        <v>44174</v>
      </c>
      <c r="D37" s="101" t="str">
        <f>VLOOKUP(Tabela10[[#This Row],[Circuito]],BD!A:T,3,FALSE)</f>
        <v>-</v>
      </c>
      <c r="E37" s="101" t="str">
        <f>VLOOKUP(Tabela10[[#This Row],[Circuito]],BD!A:T,4,FALSE)</f>
        <v>-</v>
      </c>
      <c r="F37" s="99" t="str">
        <f>VLOOKUP(Tabela10[[#This Row],[Circuito]],BD!A:T,5,FALSE)</f>
        <v>4P#1,0mm²+SHI+SHC (N.I.S.)</v>
      </c>
      <c r="G37" s="101" t="str">
        <f>VLOOKUP(Tabela10[[#This Row],[Circuito]],BD!A:AE,31,0)</f>
        <v>Digital (N.I.S.)</v>
      </c>
      <c r="H37" s="101">
        <f>VLOOKUP(Tabela10[[#This Row],[Circuito]],BD!A:T,8,FALSE)</f>
        <v>130</v>
      </c>
      <c r="I37" s="101">
        <f>VLOOKUP(Tabela10[[#This Row],[Circuito]],BD!A:T,9,FALSE)</f>
        <v>130</v>
      </c>
      <c r="J37" s="103">
        <f>IF(VLOOKUP(Tabela10[[#This Row],[Circuito]],BD!A:AA,27,FALSE)=0,"",VLOOKUP(Tabela10[[#This Row],[Circuito]],BD!A:AA,27,FALSE))</f>
        <v>127</v>
      </c>
      <c r="K37" s="112" t="str">
        <f>VLOOKUP(Tabela10[[#This Row],[Circuito]],BD!A:T,11,FALSE)</f>
        <v>7HV/TCC-49</v>
      </c>
      <c r="L37" s="99" t="str">
        <f>VLOOKUP(Tabela10[[#This Row],[Circuito]],BD!A:T,12,FALSE)</f>
        <v>30LV/UCP LI-1201A</v>
      </c>
      <c r="M37" s="99" t="str">
        <f>VLOOKUP(Tabela10[[#This Row],[Circuito]],BD!A:T,20,FALSE)</f>
        <v>BK-SP54-01200-LC-80-00004_00000</v>
      </c>
      <c r="N37" s="106" t="s">
        <v>2169</v>
      </c>
      <c r="O37" s="46" t="str">
        <f>VLOOKUP(Tabela10[[#This Row],[Circuito]],BD!$A:$AB,28,0)</f>
        <v>Disponível</v>
      </c>
      <c r="P37" s="46" t="s">
        <v>597</v>
      </c>
      <c r="Q37" s="145" t="str">
        <f>VLOOKUP(Tabela10[[#This Row],[Circuito]],BD!A:AC,28,0)</f>
        <v>Disponível</v>
      </c>
    </row>
    <row r="38" spans="1:17" ht="22.5" customHeight="1" x14ac:dyDescent="0.2">
      <c r="A38" s="105" t="s">
        <v>617</v>
      </c>
      <c r="B38" s="100">
        <v>44165</v>
      </c>
      <c r="C38" s="100">
        <v>44174</v>
      </c>
      <c r="D38" s="101" t="str">
        <f>VLOOKUP(Tabela10[[#This Row],[Circuito]],BD!A:T,3,FALSE)</f>
        <v>-</v>
      </c>
      <c r="E38" s="101" t="str">
        <f>VLOOKUP(Tabela10[[#This Row],[Circuito]],BD!A:T,4,FALSE)</f>
        <v>-</v>
      </c>
      <c r="F38" s="99" t="str">
        <f>VLOOKUP(Tabela10[[#This Row],[Circuito]],BD!A:T,5,FALSE)</f>
        <v>4P#1,0mm²+SHI+SHC (N.I.S.)</v>
      </c>
      <c r="G38" s="101" t="str">
        <f>VLOOKUP(Tabela10[[#This Row],[Circuito]],BD!A:AE,31,0)</f>
        <v>Digital (N.I.S.)</v>
      </c>
      <c r="H38" s="101">
        <f>VLOOKUP(Tabela10[[#This Row],[Circuito]],BD!A:T,8,FALSE)</f>
        <v>130</v>
      </c>
      <c r="I38" s="101">
        <f>VLOOKUP(Tabela10[[#This Row],[Circuito]],BD!A:T,9,FALSE)</f>
        <v>130</v>
      </c>
      <c r="J38" s="103">
        <f>IF(VLOOKUP(Tabela10[[#This Row],[Circuito]],BD!A:AA,27,FALSE)=0,"",VLOOKUP(Tabela10[[#This Row],[Circuito]],BD!A:AA,27,FALSE))</f>
        <v>127</v>
      </c>
      <c r="K38" s="112" t="str">
        <f>VLOOKUP(Tabela10[[#This Row],[Circuito]],BD!A:T,11,FALSE)</f>
        <v>7HV/TCC-49</v>
      </c>
      <c r="L38" s="99" t="str">
        <f>VLOOKUP(Tabela10[[#This Row],[Circuito]],BD!A:T,12,FALSE)</f>
        <v>30LV/UCP LI-1201A</v>
      </c>
      <c r="M38" s="99" t="str">
        <f>VLOOKUP(Tabela10[[#This Row],[Circuito]],BD!A:T,20,FALSE)</f>
        <v>BK-SP54-01200-LC-80-00004_00000</v>
      </c>
      <c r="N38" s="106" t="s">
        <v>2169</v>
      </c>
      <c r="O38" s="46" t="str">
        <f>VLOOKUP(Tabela10[[#This Row],[Circuito]],BD!$A:$AB,28,0)</f>
        <v>Disponível</v>
      </c>
      <c r="P38" s="46" t="s">
        <v>597</v>
      </c>
      <c r="Q38" s="145" t="str">
        <f>VLOOKUP(Tabela10[[#This Row],[Circuito]],BD!A:AC,28,0)</f>
        <v>Disponível</v>
      </c>
    </row>
    <row r="39" spans="1:17" ht="22.5" customHeight="1" x14ac:dyDescent="0.2">
      <c r="A39" s="105" t="s">
        <v>618</v>
      </c>
      <c r="B39" s="100">
        <v>44165</v>
      </c>
      <c r="C39" s="100">
        <v>44174</v>
      </c>
      <c r="D39" s="101" t="str">
        <f>VLOOKUP(Tabela10[[#This Row],[Circuito]],BD!A:T,3,FALSE)</f>
        <v>-</v>
      </c>
      <c r="E39" s="101" t="str">
        <f>VLOOKUP(Tabela10[[#This Row],[Circuito]],BD!A:T,4,FALSE)</f>
        <v>-</v>
      </c>
      <c r="F39" s="99" t="str">
        <f>VLOOKUP(Tabela10[[#This Row],[Circuito]],BD!A:T,5,FALSE)</f>
        <v>2P#1,0mm²+SHI+SHC (N.I.S.)</v>
      </c>
      <c r="G39" s="101" t="str">
        <f>VLOOKUP(Tabela10[[#This Row],[Circuito]],BD!A:AE,31,0)</f>
        <v>Digital (N.I.S.)</v>
      </c>
      <c r="H39" s="101">
        <f>VLOOKUP(Tabela10[[#This Row],[Circuito]],BD!A:T,8,FALSE)</f>
        <v>130</v>
      </c>
      <c r="I39" s="101">
        <f>VLOOKUP(Tabela10[[#This Row],[Circuito]],BD!A:T,9,FALSE)</f>
        <v>130</v>
      </c>
      <c r="J39" s="103">
        <f>IF(VLOOKUP(Tabela10[[#This Row],[Circuito]],BD!A:AA,27,FALSE)=0,"",VLOOKUP(Tabela10[[#This Row],[Circuito]],BD!A:AA,27,FALSE))</f>
        <v>174</v>
      </c>
      <c r="K39" s="112" t="str">
        <f>VLOOKUP(Tabela10[[#This Row],[Circuito]],BD!A:T,11,FALSE)</f>
        <v>7HV/TCC-49</v>
      </c>
      <c r="L39" s="99" t="str">
        <f>VLOOKUP(Tabela10[[#This Row],[Circuito]],BD!A:T,12,FALSE)</f>
        <v>30LV/UCP LI-1201A</v>
      </c>
      <c r="M39" s="99" t="str">
        <f>VLOOKUP(Tabela10[[#This Row],[Circuito]],BD!A:T,20,FALSE)</f>
        <v>BK-SP54-01200-LC-80-00004_00000</v>
      </c>
      <c r="N39" s="106" t="s">
        <v>2169</v>
      </c>
      <c r="O39" s="46" t="str">
        <f>VLOOKUP(Tabela10[[#This Row],[Circuito]],BD!$A:$AB,28,0)</f>
        <v>Disponível</v>
      </c>
      <c r="P39" s="46" t="s">
        <v>597</v>
      </c>
      <c r="Q39" s="145" t="str">
        <f>VLOOKUP(Tabela10[[#This Row],[Circuito]],BD!A:AC,28,0)</f>
        <v>Disponível</v>
      </c>
    </row>
    <row r="40" spans="1:17" ht="22.5" customHeight="1" x14ac:dyDescent="0.2">
      <c r="A40" s="105" t="s">
        <v>619</v>
      </c>
      <c r="B40" s="100">
        <v>44165</v>
      </c>
      <c r="C40" s="100">
        <v>44174</v>
      </c>
      <c r="D40" s="101" t="str">
        <f>VLOOKUP(Tabela10[[#This Row],[Circuito]],BD!A:T,3,FALSE)</f>
        <v>-</v>
      </c>
      <c r="E40" s="101" t="str">
        <f>VLOOKUP(Tabela10[[#This Row],[Circuito]],BD!A:T,4,FALSE)</f>
        <v>-</v>
      </c>
      <c r="F40" s="99" t="str">
        <f>VLOOKUP(Tabela10[[#This Row],[Circuito]],BD!A:T,5,FALSE)</f>
        <v>4P#1,0mm²+SHI+SHC (N.I.S.)</v>
      </c>
      <c r="G40" s="101" t="str">
        <f>VLOOKUP(Tabela10[[#This Row],[Circuito]],BD!A:AE,31,0)</f>
        <v>Digital (N.I.S.)</v>
      </c>
      <c r="H40" s="101">
        <f>VLOOKUP(Tabela10[[#This Row],[Circuito]],BD!A:T,8,FALSE)</f>
        <v>130</v>
      </c>
      <c r="I40" s="101">
        <f>VLOOKUP(Tabela10[[#This Row],[Circuito]],BD!A:T,9,FALSE)</f>
        <v>130</v>
      </c>
      <c r="J40" s="103">
        <f>IF(VLOOKUP(Tabela10[[#This Row],[Circuito]],BD!A:AA,27,FALSE)=0,"",VLOOKUP(Tabela10[[#This Row],[Circuito]],BD!A:AA,27,FALSE))</f>
        <v>127</v>
      </c>
      <c r="K40" s="112" t="str">
        <f>VLOOKUP(Tabela10[[#This Row],[Circuito]],BD!A:T,11,FALSE)</f>
        <v>7HV/TCC-49</v>
      </c>
      <c r="L40" s="99" t="str">
        <f>VLOOKUP(Tabela10[[#This Row],[Circuito]],BD!A:T,12,FALSE)</f>
        <v>30LV/UCP LI-1201A</v>
      </c>
      <c r="M40" s="99" t="str">
        <f>VLOOKUP(Tabela10[[#This Row],[Circuito]],BD!A:T,20,FALSE)</f>
        <v>BK-SP54-01200-LC-80-00004_00000</v>
      </c>
      <c r="N40" s="106" t="s">
        <v>2169</v>
      </c>
      <c r="O40" s="46" t="str">
        <f>VLOOKUP(Tabela10[[#This Row],[Circuito]],BD!$A:$AB,28,0)</f>
        <v>Disponível</v>
      </c>
      <c r="P40" s="46" t="s">
        <v>597</v>
      </c>
      <c r="Q40" s="145" t="str">
        <f>VLOOKUP(Tabela10[[#This Row],[Circuito]],BD!A:AC,28,0)</f>
        <v>Disponível</v>
      </c>
    </row>
    <row r="41" spans="1:17" ht="22.5" customHeight="1" x14ac:dyDescent="0.2">
      <c r="A41" s="105" t="s">
        <v>621</v>
      </c>
      <c r="B41" s="100">
        <v>44165</v>
      </c>
      <c r="C41" s="100">
        <v>44174</v>
      </c>
      <c r="D41" s="101" t="str">
        <f>VLOOKUP(Tabela10[[#This Row],[Circuito]],BD!A:T,3,FALSE)</f>
        <v>-</v>
      </c>
      <c r="E41" s="101" t="str">
        <f>VLOOKUP(Tabela10[[#This Row],[Circuito]],BD!A:T,4,FALSE)</f>
        <v>-</v>
      </c>
      <c r="F41" s="99" t="str">
        <f>VLOOKUP(Tabela10[[#This Row],[Circuito]],BD!A:T,5,FALSE)</f>
        <v>8P#1,0mm²+SHI+SHC (N.I.S.)</v>
      </c>
      <c r="G41" s="101" t="str">
        <f>VLOOKUP(Tabela10[[#This Row],[Circuito]],BD!A:AE,31,0)</f>
        <v>Digital (N.I.S.)</v>
      </c>
      <c r="H41" s="101">
        <f>VLOOKUP(Tabela10[[#This Row],[Circuito]],BD!A:T,8,FALSE)</f>
        <v>130</v>
      </c>
      <c r="I41" s="101">
        <f>VLOOKUP(Tabela10[[#This Row],[Circuito]],BD!A:T,9,FALSE)</f>
        <v>130</v>
      </c>
      <c r="J41" s="103">
        <f>IF(VLOOKUP(Tabela10[[#This Row],[Circuito]],BD!A:AA,27,FALSE)=0,"",VLOOKUP(Tabela10[[#This Row],[Circuito]],BD!A:AA,27,FALSE))</f>
        <v>124</v>
      </c>
      <c r="K41" s="112" t="str">
        <f>VLOOKUP(Tabela10[[#This Row],[Circuito]],BD!A:T,11,FALSE)</f>
        <v>7HV/BNC</v>
      </c>
      <c r="L41" s="99" t="str">
        <f>VLOOKUP(Tabela10[[#This Row],[Circuito]],BD!A:T,12,FALSE)</f>
        <v>30LV/UCP LI-1201A</v>
      </c>
      <c r="M41" s="99" t="str">
        <f>VLOOKUP(Tabela10[[#This Row],[Circuito]],BD!A:T,20,FALSE)</f>
        <v>BK-SP54-01200-LC-80-00004_00000</v>
      </c>
      <c r="N41" s="106" t="s">
        <v>2169</v>
      </c>
      <c r="O41" s="46" t="str">
        <f>VLOOKUP(Tabela10[[#This Row],[Circuito]],BD!$A:$AB,28,0)</f>
        <v>Disponível</v>
      </c>
      <c r="P41" s="46" t="s">
        <v>597</v>
      </c>
      <c r="Q41" s="145" t="str">
        <f>VLOOKUP(Tabela10[[#This Row],[Circuito]],BD!A:AC,28,0)</f>
        <v>Disponível</v>
      </c>
    </row>
    <row r="42" spans="1:17" ht="22.5" customHeight="1" x14ac:dyDescent="0.2">
      <c r="A42" s="105" t="s">
        <v>622</v>
      </c>
      <c r="B42" s="100">
        <v>44165</v>
      </c>
      <c r="C42" s="100">
        <v>44174</v>
      </c>
      <c r="D42" s="101" t="str">
        <f>VLOOKUP(Tabela10[[#This Row],[Circuito]],BD!A:T,3,FALSE)</f>
        <v>-</v>
      </c>
      <c r="E42" s="101" t="str">
        <f>VLOOKUP(Tabela10[[#This Row],[Circuito]],BD!A:T,4,FALSE)</f>
        <v>-</v>
      </c>
      <c r="F42" s="99" t="str">
        <f>VLOOKUP(Tabela10[[#This Row],[Circuito]],BD!A:T,5,FALSE)</f>
        <v>4P#1,0mm²+SHI+SHC (N.I.S.)</v>
      </c>
      <c r="G42" s="101" t="str">
        <f>VLOOKUP(Tabela10[[#This Row],[Circuito]],BD!A:AE,31,0)</f>
        <v>Analógico (N.I.S.)</v>
      </c>
      <c r="H42" s="101">
        <f>VLOOKUP(Tabela10[[#This Row],[Circuito]],BD!A:T,8,FALSE)</f>
        <v>130</v>
      </c>
      <c r="I42" s="101">
        <f>VLOOKUP(Tabela10[[#This Row],[Circuito]],BD!A:T,9,FALSE)</f>
        <v>130</v>
      </c>
      <c r="J42" s="103">
        <f>IF(VLOOKUP(Tabela10[[#This Row],[Circuito]],BD!A:AA,27,FALSE)=0,"",VLOOKUP(Tabela10[[#This Row],[Circuito]],BD!A:AA,27,FALSE))</f>
        <v>127</v>
      </c>
      <c r="K42" s="112" t="str">
        <f>VLOOKUP(Tabela10[[#This Row],[Circuito]],BD!A:T,11,FALSE)</f>
        <v xml:space="preserve">7HV/AMB-GB-1201 </v>
      </c>
      <c r="L42" s="99" t="str">
        <f>VLOOKUP(Tabela10[[#This Row],[Circuito]],BD!A:T,12,FALSE)</f>
        <v>30LV/UCP LI-1201A</v>
      </c>
      <c r="M42" s="99" t="str">
        <f>VLOOKUP(Tabela10[[#This Row],[Circuito]],BD!A:T,20,FALSE)</f>
        <v>BK-SP54-01200-LC-80-00004_00000</v>
      </c>
      <c r="N42" s="106" t="s">
        <v>2169</v>
      </c>
      <c r="O42" s="46" t="str">
        <f>VLOOKUP(Tabela10[[#This Row],[Circuito]],BD!$A:$AB,28,0)</f>
        <v>Disponível</v>
      </c>
      <c r="P42" s="46" t="s">
        <v>597</v>
      </c>
      <c r="Q42" s="145" t="str">
        <f>VLOOKUP(Tabela10[[#This Row],[Circuito]],BD!A:AC,28,0)</f>
        <v>Disponível</v>
      </c>
    </row>
    <row r="43" spans="1:17" ht="22.5" customHeight="1" x14ac:dyDescent="0.2">
      <c r="A43" s="105" t="s">
        <v>624</v>
      </c>
      <c r="B43" s="100">
        <v>44165</v>
      </c>
      <c r="C43" s="100">
        <v>44174</v>
      </c>
      <c r="D43" s="101" t="str">
        <f>VLOOKUP(Tabela10[[#This Row],[Circuito]],BD!A:T,3,FALSE)</f>
        <v>-</v>
      </c>
      <c r="E43" s="101" t="str">
        <f>VLOOKUP(Tabela10[[#This Row],[Circuito]],BD!A:T,4,FALSE)</f>
        <v>-</v>
      </c>
      <c r="F43" s="99" t="str">
        <f>VLOOKUP(Tabela10[[#This Row],[Circuito]],BD!A:T,5,FALSE)</f>
        <v>4P#1,0mm²+SHI+SHC (N.I.S.)</v>
      </c>
      <c r="G43" s="101" t="str">
        <f>VLOOKUP(Tabela10[[#This Row],[Circuito]],BD!A:AE,31,0)</f>
        <v>Analógico (N.I.S.)</v>
      </c>
      <c r="H43" s="101">
        <f>VLOOKUP(Tabela10[[#This Row],[Circuito]],BD!A:T,8,FALSE)</f>
        <v>130</v>
      </c>
      <c r="I43" s="101">
        <f>VLOOKUP(Tabela10[[#This Row],[Circuito]],BD!A:T,9,FALSE)</f>
        <v>130</v>
      </c>
      <c r="J43" s="103">
        <f>IF(VLOOKUP(Tabela10[[#This Row],[Circuito]],BD!A:AA,27,FALSE)=0,"",VLOOKUP(Tabela10[[#This Row],[Circuito]],BD!A:AA,27,FALSE))</f>
        <v>125</v>
      </c>
      <c r="K43" s="112" t="str">
        <f>VLOOKUP(Tabela10[[#This Row],[Circuito]],BD!A:T,11,FALSE)</f>
        <v>7HV/GBM-1201-INV</v>
      </c>
      <c r="L43" s="99" t="str">
        <f>VLOOKUP(Tabela10[[#This Row],[Circuito]],BD!A:T,12,FALSE)</f>
        <v>30LV/UCP LI-1201A</v>
      </c>
      <c r="M43" s="99" t="str">
        <f>VLOOKUP(Tabela10[[#This Row],[Circuito]],BD!A:T,20,FALSE)</f>
        <v>BK-SP54-01200-LC-80-00004_00000</v>
      </c>
      <c r="N43" s="106" t="s">
        <v>2169</v>
      </c>
      <c r="O43" s="46" t="str">
        <f>VLOOKUP(Tabela10[[#This Row],[Circuito]],BD!$A:$AB,28,0)</f>
        <v>Disponível</v>
      </c>
      <c r="P43" s="46" t="s">
        <v>597</v>
      </c>
      <c r="Q43" s="145" t="str">
        <f>VLOOKUP(Tabela10[[#This Row],[Circuito]],BD!A:AC,28,0)</f>
        <v>Disponível</v>
      </c>
    </row>
    <row r="44" spans="1:17" ht="22.5" customHeight="1" x14ac:dyDescent="0.2">
      <c r="A44" s="105" t="s">
        <v>625</v>
      </c>
      <c r="B44" s="100">
        <v>44165</v>
      </c>
      <c r="C44" s="100">
        <v>44174</v>
      </c>
      <c r="D44" s="101" t="str">
        <f>VLOOKUP(Tabela10[[#This Row],[Circuito]],BD!A:T,3,FALSE)</f>
        <v>-</v>
      </c>
      <c r="E44" s="101" t="str">
        <f>VLOOKUP(Tabela10[[#This Row],[Circuito]],BD!A:T,4,FALSE)</f>
        <v>-</v>
      </c>
      <c r="F44" s="99" t="str">
        <f>VLOOKUP(Tabela10[[#This Row],[Circuito]],BD!A:T,5,FALSE)</f>
        <v>12P#1,0mm²+SHI+SHC (N.I.S.)</v>
      </c>
      <c r="G44" s="101" t="str">
        <f>VLOOKUP(Tabela10[[#This Row],[Circuito]],BD!A:AE,31,0)</f>
        <v>Digital (N.I.S.)</v>
      </c>
      <c r="H44" s="101">
        <f>VLOOKUP(Tabela10[[#This Row],[Circuito]],BD!A:T,8,FALSE)</f>
        <v>130</v>
      </c>
      <c r="I44" s="101">
        <f>VLOOKUP(Tabela10[[#This Row],[Circuito]],BD!A:T,9,FALSE)</f>
        <v>130</v>
      </c>
      <c r="J44" s="103">
        <f>IF(VLOOKUP(Tabela10[[#This Row],[Circuito]],BD!A:AA,27,FALSE)=0,"",VLOOKUP(Tabela10[[#This Row],[Circuito]],BD!A:AA,27,FALSE))</f>
        <v>126</v>
      </c>
      <c r="K44" s="112" t="str">
        <f>VLOOKUP(Tabela10[[#This Row],[Circuito]],BD!A:T,11,FALSE)</f>
        <v>7HV/GBM-1201-INV</v>
      </c>
      <c r="L44" s="99" t="str">
        <f>VLOOKUP(Tabela10[[#This Row],[Circuito]],BD!A:T,12,FALSE)</f>
        <v>30LV/UCP LI-1201A</v>
      </c>
      <c r="M44" s="99" t="str">
        <f>VLOOKUP(Tabela10[[#This Row],[Circuito]],BD!A:T,20,FALSE)</f>
        <v>BK-SP54-01200-LC-80-00004_00000</v>
      </c>
      <c r="N44" s="106" t="s">
        <v>2169</v>
      </c>
      <c r="O44" s="46" t="str">
        <f>VLOOKUP(Tabela10[[#This Row],[Circuito]],BD!$A:$AB,28,0)</f>
        <v>Disponível</v>
      </c>
      <c r="P44" s="46" t="s">
        <v>597</v>
      </c>
      <c r="Q44" s="145" t="str">
        <f>VLOOKUP(Tabela10[[#This Row],[Circuito]],BD!A:AC,28,0)</f>
        <v>Disponível</v>
      </c>
    </row>
    <row r="45" spans="1:17" ht="22.5" customHeight="1" x14ac:dyDescent="0.2">
      <c r="A45" s="105" t="s">
        <v>626</v>
      </c>
      <c r="B45" s="100">
        <v>44165</v>
      </c>
      <c r="C45" s="100">
        <v>44174</v>
      </c>
      <c r="D45" s="101" t="str">
        <f>VLOOKUP(Tabela10[[#This Row],[Circuito]],BD!A:T,3,FALSE)</f>
        <v>-</v>
      </c>
      <c r="E45" s="101" t="str">
        <f>VLOOKUP(Tabela10[[#This Row],[Circuito]],BD!A:T,4,FALSE)</f>
        <v>-</v>
      </c>
      <c r="F45" s="99" t="str">
        <f>VLOOKUP(Tabela10[[#This Row],[Circuito]],BD!A:T,5,FALSE)</f>
        <v>12P#1,0mm²+SHI+SHC (N.I.S.)</v>
      </c>
      <c r="G45" s="101" t="str">
        <f>VLOOKUP(Tabela10[[#This Row],[Circuito]],BD!A:AE,31,0)</f>
        <v>Digital (N.I.S.)</v>
      </c>
      <c r="H45" s="101">
        <f>VLOOKUP(Tabela10[[#This Row],[Circuito]],BD!A:T,8,FALSE)</f>
        <v>130</v>
      </c>
      <c r="I45" s="101">
        <f>VLOOKUP(Tabela10[[#This Row],[Circuito]],BD!A:T,9,FALSE)</f>
        <v>130</v>
      </c>
      <c r="J45" s="103">
        <f>IF(VLOOKUP(Tabela10[[#This Row],[Circuito]],BD!A:AA,27,FALSE)=0,"",VLOOKUP(Tabela10[[#This Row],[Circuito]],BD!A:AA,27,FALSE))</f>
        <v>126</v>
      </c>
      <c r="K45" s="112" t="str">
        <f>VLOOKUP(Tabela10[[#This Row],[Circuito]],BD!A:T,11,FALSE)</f>
        <v xml:space="preserve">7HV/AMB-GB-1201 </v>
      </c>
      <c r="L45" s="99" t="str">
        <f>VLOOKUP(Tabela10[[#This Row],[Circuito]],BD!A:T,12,FALSE)</f>
        <v>30LV/UCP LI-1201A</v>
      </c>
      <c r="M45" s="99" t="str">
        <f>VLOOKUP(Tabela10[[#This Row],[Circuito]],BD!A:T,20,FALSE)</f>
        <v>BK-SP54-01200-LC-80-00004_00000</v>
      </c>
      <c r="N45" s="106" t="s">
        <v>2169</v>
      </c>
      <c r="O45" s="46" t="str">
        <f>VLOOKUP(Tabela10[[#This Row],[Circuito]],BD!$A:$AB,28,0)</f>
        <v>Disponível</v>
      </c>
      <c r="P45" s="46" t="s">
        <v>597</v>
      </c>
      <c r="Q45" s="145" t="str">
        <f>VLOOKUP(Tabela10[[#This Row],[Circuito]],BD!A:AC,28,0)</f>
        <v>Disponível</v>
      </c>
    </row>
    <row r="46" spans="1:17" ht="22.5" customHeight="1" x14ac:dyDescent="0.2">
      <c r="A46" s="105" t="s">
        <v>627</v>
      </c>
      <c r="B46" s="100">
        <v>44165</v>
      </c>
      <c r="C46" s="100">
        <v>44174</v>
      </c>
      <c r="D46" s="101" t="str">
        <f>VLOOKUP(Tabela10[[#This Row],[Circuito]],BD!A:T,3,FALSE)</f>
        <v>-</v>
      </c>
      <c r="E46" s="101" t="str">
        <f>VLOOKUP(Tabela10[[#This Row],[Circuito]],BD!A:T,4,FALSE)</f>
        <v>-</v>
      </c>
      <c r="F46" s="99" t="str">
        <f>VLOOKUP(Tabela10[[#This Row],[Circuito]],BD!A:T,5,FALSE)</f>
        <v>1P#1,0mm²+SHI (N.I.S.)</v>
      </c>
      <c r="G46" s="101" t="str">
        <f>VLOOKUP(Tabela10[[#This Row],[Circuito]],BD!A:AE,31,0)</f>
        <v>Digital (N.I.S.)</v>
      </c>
      <c r="H46" s="101">
        <f>VLOOKUP(Tabela10[[#This Row],[Circuito]],BD!A:T,8,FALSE)</f>
        <v>130</v>
      </c>
      <c r="I46" s="101">
        <f>VLOOKUP(Tabela10[[#This Row],[Circuito]],BD!A:T,9,FALSE)</f>
        <v>130</v>
      </c>
      <c r="J46" s="103">
        <f>IF(VLOOKUP(Tabela10[[#This Row],[Circuito]],BD!A:AA,27,FALSE)=0,"",VLOOKUP(Tabela10[[#This Row],[Circuito]],BD!A:AA,27,FALSE))</f>
        <v>182</v>
      </c>
      <c r="K46" s="112" t="str">
        <f>VLOOKUP(Tabela10[[#This Row],[Circuito]],BD!A:T,11,FALSE)</f>
        <v>7HV/TR-24A</v>
      </c>
      <c r="L46" s="99" t="str">
        <f>VLOOKUP(Tabela10[[#This Row],[Circuito]],BD!A:T,12,FALSE)</f>
        <v>30LV/UCP LI-1201A</v>
      </c>
      <c r="M46" s="99" t="str">
        <f>VLOOKUP(Tabela10[[#This Row],[Circuito]],BD!A:T,20,FALSE)</f>
        <v>BK-SP54-01200-LC-80-00004_00000</v>
      </c>
      <c r="N46" s="106" t="s">
        <v>2169</v>
      </c>
      <c r="O46" s="46" t="str">
        <f>VLOOKUP(Tabela10[[#This Row],[Circuito]],BD!$A:$AB,28,0)</f>
        <v>Disponível</v>
      </c>
      <c r="P46" s="46" t="s">
        <v>597</v>
      </c>
      <c r="Q46" s="145" t="str">
        <f>VLOOKUP(Tabela10[[#This Row],[Circuito]],BD!A:AC,28,0)</f>
        <v>Disponível</v>
      </c>
    </row>
    <row r="47" spans="1:17" ht="22.5" customHeight="1" x14ac:dyDescent="0.2">
      <c r="A47" s="105" t="s">
        <v>629</v>
      </c>
      <c r="B47" s="100">
        <v>44165</v>
      </c>
      <c r="C47" s="100">
        <v>44174</v>
      </c>
      <c r="D47" s="101" t="str">
        <f>VLOOKUP(Tabela10[[#This Row],[Circuito]],BD!A:T,3,FALSE)</f>
        <v>-</v>
      </c>
      <c r="E47" s="101" t="str">
        <f>VLOOKUP(Tabela10[[#This Row],[Circuito]],BD!A:T,4,FALSE)</f>
        <v>-</v>
      </c>
      <c r="F47" s="99" t="str">
        <f>VLOOKUP(Tabela10[[#This Row],[Circuito]],BD!A:T,5,FALSE)</f>
        <v>1P#1,0mm²+SHI (N.I.S.)</v>
      </c>
      <c r="G47" s="101" t="str">
        <f>VLOOKUP(Tabela10[[#This Row],[Circuito]],BD!A:AE,31,0)</f>
        <v>Digital (N.I.S.)</v>
      </c>
      <c r="H47" s="101">
        <f>VLOOKUP(Tabela10[[#This Row],[Circuito]],BD!A:T,8,FALSE)</f>
        <v>130</v>
      </c>
      <c r="I47" s="101">
        <f>VLOOKUP(Tabela10[[#This Row],[Circuito]],BD!A:T,9,FALSE)</f>
        <v>130</v>
      </c>
      <c r="J47" s="103">
        <f>IF(VLOOKUP(Tabela10[[#This Row],[Circuito]],BD!A:AA,27,FALSE)=0,"",VLOOKUP(Tabela10[[#This Row],[Circuito]],BD!A:AA,27,FALSE))</f>
        <v>182</v>
      </c>
      <c r="K47" s="112" t="str">
        <f>VLOOKUP(Tabela10[[#This Row],[Circuito]],BD!A:T,11,FALSE)</f>
        <v>7HV/TR-24B</v>
      </c>
      <c r="L47" s="99" t="str">
        <f>VLOOKUP(Tabela10[[#This Row],[Circuito]],BD!A:T,12,FALSE)</f>
        <v>30LV/UCP LI-1201A</v>
      </c>
      <c r="M47" s="99" t="str">
        <f>VLOOKUP(Tabela10[[#This Row],[Circuito]],BD!A:T,20,FALSE)</f>
        <v>BK-SP54-01200-LC-80-00004_00000</v>
      </c>
      <c r="N47" s="106" t="s">
        <v>2169</v>
      </c>
      <c r="O47" s="46" t="str">
        <f>VLOOKUP(Tabela10[[#This Row],[Circuito]],BD!$A:$AB,28,0)</f>
        <v>Disponível</v>
      </c>
      <c r="P47" s="46" t="s">
        <v>597</v>
      </c>
      <c r="Q47" s="145" t="str">
        <f>VLOOKUP(Tabela10[[#This Row],[Circuito]],BD!A:AC,28,0)</f>
        <v>Disponível</v>
      </c>
    </row>
    <row r="48" spans="1:17" ht="22.5" customHeight="1" x14ac:dyDescent="0.2">
      <c r="A48" s="105" t="s">
        <v>631</v>
      </c>
      <c r="B48" s="100">
        <v>44165</v>
      </c>
      <c r="C48" s="100">
        <v>44174</v>
      </c>
      <c r="D48" s="101" t="str">
        <f>VLOOKUP(Tabela10[[#This Row],[Circuito]],BD!A:T,3,FALSE)</f>
        <v>-</v>
      </c>
      <c r="E48" s="101" t="str">
        <f>VLOOKUP(Tabela10[[#This Row],[Circuito]],BD!A:T,4,FALSE)</f>
        <v>-</v>
      </c>
      <c r="F48" s="99" t="str">
        <f>VLOOKUP(Tabela10[[#This Row],[Circuito]],BD!A:T,5,FALSE)</f>
        <v>12P#1,5mm²+SHI+SHC (N.I.S.)</v>
      </c>
      <c r="G48" s="101" t="str">
        <f>VLOOKUP(Tabela10[[#This Row],[Circuito]],BD!A:AE,31,0)</f>
        <v>Digital (N.I.S.)</v>
      </c>
      <c r="H48" s="101">
        <f>VLOOKUP(Tabela10[[#This Row],[Circuito]],BD!A:T,8,FALSE)</f>
        <v>130</v>
      </c>
      <c r="I48" s="101">
        <f>VLOOKUP(Tabela10[[#This Row],[Circuito]],BD!A:T,9,FALSE)</f>
        <v>130</v>
      </c>
      <c r="J48" s="103">
        <f>IF(VLOOKUP(Tabela10[[#This Row],[Circuito]],BD!A:AA,27,FALSE)=0,"",VLOOKUP(Tabela10[[#This Row],[Circuito]],BD!A:AA,27,FALSE))</f>
        <v>92</v>
      </c>
      <c r="K48" s="112" t="str">
        <f>VLOOKUP(Tabela10[[#This Row],[Circuito]],BD!A:T,11,FALSE)</f>
        <v>7HV/GBM-1201-INV</v>
      </c>
      <c r="L48" s="99" t="str">
        <f>VLOOKUP(Tabela10[[#This Row],[Circuito]],BD!A:T,12,FALSE)</f>
        <v>30LV/UCP LI-1203A</v>
      </c>
      <c r="M48" s="99" t="str">
        <f>VLOOKUP(Tabela10[[#This Row],[Circuito]],BD!A:T,20,FALSE)</f>
        <v>BK-SP54-01200-LC-80-00004_00000</v>
      </c>
      <c r="N48" s="106" t="s">
        <v>2169</v>
      </c>
      <c r="O48" s="46" t="str">
        <f>VLOOKUP(Tabela10[[#This Row],[Circuito]],BD!$A:$AB,28,0)</f>
        <v>Disponível</v>
      </c>
      <c r="P48" s="46" t="s">
        <v>597</v>
      </c>
      <c r="Q48" s="145" t="str">
        <f>VLOOKUP(Tabela10[[#This Row],[Circuito]],BD!A:AC,28,0)</f>
        <v>Disponível</v>
      </c>
    </row>
    <row r="49" spans="1:17" ht="22.5" customHeight="1" x14ac:dyDescent="0.2">
      <c r="A49" s="105" t="s">
        <v>633</v>
      </c>
      <c r="B49" s="100">
        <v>44165</v>
      </c>
      <c r="C49" s="100">
        <v>44174</v>
      </c>
      <c r="D49" s="101" t="str">
        <f>VLOOKUP(Tabela10[[#This Row],[Circuito]],BD!A:T,3,FALSE)</f>
        <v>-</v>
      </c>
      <c r="E49" s="101" t="str">
        <f>VLOOKUP(Tabela10[[#This Row],[Circuito]],BD!A:T,4,FALSE)</f>
        <v>-</v>
      </c>
      <c r="F49" s="99" t="str">
        <f>VLOOKUP(Tabela10[[#This Row],[Circuito]],BD!A:T,5,FALSE)</f>
        <v>4P#1,0mm²+SHI+SHC (N.I.S.)</v>
      </c>
      <c r="G49" s="101" t="str">
        <f>VLOOKUP(Tabela10[[#This Row],[Circuito]],BD!A:AE,31,0)</f>
        <v>Analógico (N.I.S.)</v>
      </c>
      <c r="H49" s="101">
        <f>VLOOKUP(Tabela10[[#This Row],[Circuito]],BD!A:T,8,FALSE)</f>
        <v>130</v>
      </c>
      <c r="I49" s="101">
        <f>VLOOKUP(Tabela10[[#This Row],[Circuito]],BD!A:T,9,FALSE)</f>
        <v>130</v>
      </c>
      <c r="J49" s="103">
        <f>IF(VLOOKUP(Tabela10[[#This Row],[Circuito]],BD!A:AA,27,FALSE)=0,"",VLOOKUP(Tabela10[[#This Row],[Circuito]],BD!A:AA,27,FALSE))</f>
        <v>125</v>
      </c>
      <c r="K49" s="112" t="str">
        <f>VLOOKUP(Tabela10[[#This Row],[Circuito]],BD!A:T,11,FALSE)</f>
        <v>7HV/GBM-1203-INV</v>
      </c>
      <c r="L49" s="99" t="str">
        <f>VLOOKUP(Tabela10[[#This Row],[Circuito]],BD!A:T,12,FALSE)</f>
        <v>30LV/UCP LI-1203A</v>
      </c>
      <c r="M49" s="99" t="str">
        <f>VLOOKUP(Tabela10[[#This Row],[Circuito]],BD!A:T,20,FALSE)</f>
        <v>BK-SP54-01200-LC-80-00004_00000</v>
      </c>
      <c r="N49" s="106" t="s">
        <v>2169</v>
      </c>
      <c r="O49" s="46" t="str">
        <f>VLOOKUP(Tabela10[[#This Row],[Circuito]],BD!$A:$AB,28,0)</f>
        <v>Disponível</v>
      </c>
      <c r="P49" s="46" t="s">
        <v>597</v>
      </c>
      <c r="Q49" s="145" t="str">
        <f>VLOOKUP(Tabela10[[#This Row],[Circuito]],BD!A:AC,28,0)</f>
        <v>Disponível</v>
      </c>
    </row>
    <row r="50" spans="1:17" ht="22.5" customHeight="1" x14ac:dyDescent="0.2">
      <c r="A50" s="105" t="s">
        <v>383</v>
      </c>
      <c r="B50" s="100">
        <v>44165</v>
      </c>
      <c r="C50" s="100">
        <v>44174</v>
      </c>
      <c r="D50" s="101" t="str">
        <f>VLOOKUP(Tabela10[[#This Row],[Circuito]],BD!A:T,3,FALSE)</f>
        <v>-</v>
      </c>
      <c r="E50" s="101" t="str">
        <f>VLOOKUP(Tabela10[[#This Row],[Circuito]],BD!A:T,4,FALSE)</f>
        <v>-</v>
      </c>
      <c r="F50" s="99" t="str">
        <f>VLOOKUP(Tabela10[[#This Row],[Circuito]],BD!A:T,5,FALSE)</f>
        <v>12P#1,0mm²+SHI+SHC (I.S.)</v>
      </c>
      <c r="G50" s="101" t="str">
        <f>VLOOKUP(Tabela10[[#This Row],[Circuito]],BD!A:AE,31,0)</f>
        <v>Analógico (I.S.)</v>
      </c>
      <c r="H50" s="101">
        <f>VLOOKUP(Tabela10[[#This Row],[Circuito]],BD!A:T,8,FALSE)</f>
        <v>80</v>
      </c>
      <c r="I50" s="101">
        <f>VLOOKUP(Tabela10[[#This Row],[Circuito]],BD!A:T,9,FALSE)</f>
        <v>80</v>
      </c>
      <c r="J50" s="103">
        <f>IF(VLOOKUP(Tabela10[[#This Row],[Circuito]],BD!A:AA,27,FALSE)=0,"",VLOOKUP(Tabela10[[#This Row],[Circuito]],BD!A:AA,27,FALSE))</f>
        <v>182</v>
      </c>
      <c r="K50" s="112" t="str">
        <f>VLOOKUP(Tabela10[[#This Row],[Circuito]],BD!A:T,11,FALSE)</f>
        <v>EJB-12606X</v>
      </c>
      <c r="L50" s="99" t="str">
        <f>VLOOKUP(Tabela10[[#This Row],[Circuito]],BD!A:T,12,FALSE)</f>
        <v>30LV/UCP LI-1203A</v>
      </c>
      <c r="M50" s="99" t="str">
        <f>VLOOKUP(Tabela10[[#This Row],[Circuito]],BD!A:T,20,FALSE)</f>
        <v>BK-SP54-01200-LC-80-00004_00000</v>
      </c>
      <c r="N50" s="106" t="s">
        <v>2169</v>
      </c>
      <c r="O50" s="46" t="str">
        <f>VLOOKUP(Tabela10[[#This Row],[Circuito]],BD!$A:$AB,28,0)</f>
        <v>Disponível</v>
      </c>
      <c r="P50" s="46" t="s">
        <v>597</v>
      </c>
      <c r="Q50" s="145" t="str">
        <f>VLOOKUP(Tabela10[[#This Row],[Circuito]],BD!A:AC,28,0)</f>
        <v>Disponível</v>
      </c>
    </row>
    <row r="51" spans="1:17" ht="22.5" customHeight="1" x14ac:dyDescent="0.2">
      <c r="A51" s="105" t="s">
        <v>635</v>
      </c>
      <c r="B51" s="100">
        <v>44165</v>
      </c>
      <c r="C51" s="100">
        <v>44174</v>
      </c>
      <c r="D51" s="101" t="str">
        <f>VLOOKUP(Tabela10[[#This Row],[Circuito]],BD!A:T,3,FALSE)</f>
        <v>-</v>
      </c>
      <c r="E51" s="101" t="str">
        <f>VLOOKUP(Tabela10[[#This Row],[Circuito]],BD!A:T,4,FALSE)</f>
        <v>-</v>
      </c>
      <c r="F51" s="99" t="str">
        <f>VLOOKUP(Tabela10[[#This Row],[Circuito]],BD!A:T,5,FALSE)</f>
        <v>2P#1,0mm²+SHI+SHC (N.I.S.)</v>
      </c>
      <c r="G51" s="101" t="str">
        <f>VLOOKUP(Tabela10[[#This Row],[Circuito]],BD!A:AE,31,0)</f>
        <v>Analógico (N.I.S.)</v>
      </c>
      <c r="H51" s="101">
        <f>VLOOKUP(Tabela10[[#This Row],[Circuito]],BD!A:T,8,FALSE)</f>
        <v>130</v>
      </c>
      <c r="I51" s="101">
        <f>VLOOKUP(Tabela10[[#This Row],[Circuito]],BD!A:T,9,FALSE)</f>
        <v>130</v>
      </c>
      <c r="J51" s="103">
        <f>IF(VLOOKUP(Tabela10[[#This Row],[Circuito]],BD!A:AA,27,FALSE)=0,"",VLOOKUP(Tabela10[[#This Row],[Circuito]],BD!A:AA,27,FALSE))</f>
        <v>73</v>
      </c>
      <c r="K51" s="112" t="str">
        <f>VLOOKUP(Tabela10[[#This Row],[Circuito]],BD!A:T,11,FALSE)</f>
        <v>7HV/GBM-1203-INV</v>
      </c>
      <c r="L51" s="99" t="str">
        <f>VLOOKUP(Tabela10[[#This Row],[Circuito]],BD!A:T,12,FALSE)</f>
        <v>30LV/UCP LI-1203A</v>
      </c>
      <c r="M51" s="99" t="str">
        <f>VLOOKUP(Tabela10[[#This Row],[Circuito]],BD!A:T,20,FALSE)</f>
        <v>BK-SP54-01200-LC-80-00004_00000</v>
      </c>
      <c r="N51" s="106" t="s">
        <v>2169</v>
      </c>
      <c r="O51" s="46" t="str">
        <f>VLOOKUP(Tabela10[[#This Row],[Circuito]],BD!$A:$AB,28,0)</f>
        <v>Disponível</v>
      </c>
      <c r="P51" s="46" t="s">
        <v>597</v>
      </c>
      <c r="Q51" s="145" t="str">
        <f>VLOOKUP(Tabela10[[#This Row],[Circuito]],BD!A:AC,28,0)</f>
        <v>Disponível</v>
      </c>
    </row>
    <row r="52" spans="1:17" ht="22.5" customHeight="1" x14ac:dyDescent="0.2">
      <c r="A52" s="105" t="s">
        <v>636</v>
      </c>
      <c r="B52" s="100">
        <v>44165</v>
      </c>
      <c r="C52" s="100">
        <v>44174</v>
      </c>
      <c r="D52" s="101" t="str">
        <f>VLOOKUP(Tabela10[[#This Row],[Circuito]],BD!A:T,3,FALSE)</f>
        <v>-</v>
      </c>
      <c r="E52" s="101" t="str">
        <f>VLOOKUP(Tabela10[[#This Row],[Circuito]],BD!A:T,4,FALSE)</f>
        <v>-</v>
      </c>
      <c r="F52" s="99" t="str">
        <f>VLOOKUP(Tabela10[[#This Row],[Circuito]],BD!A:T,5,FALSE)</f>
        <v>4P#1,0mm²+SHI+SHC (N.I.S.)</v>
      </c>
      <c r="G52" s="101" t="str">
        <f>VLOOKUP(Tabela10[[#This Row],[Circuito]],BD!A:AE,31,0)</f>
        <v>Digital (N.I.S.)</v>
      </c>
      <c r="H52" s="101">
        <f>VLOOKUP(Tabela10[[#This Row],[Circuito]],BD!A:T,8,FALSE)</f>
        <v>130</v>
      </c>
      <c r="I52" s="101">
        <f>VLOOKUP(Tabela10[[#This Row],[Circuito]],BD!A:T,9,FALSE)</f>
        <v>130</v>
      </c>
      <c r="J52" s="103">
        <f>IF(VLOOKUP(Tabela10[[#This Row],[Circuito]],BD!A:AA,27,FALSE)=0,"",VLOOKUP(Tabela10[[#This Row],[Circuito]],BD!A:AA,27,FALSE))</f>
        <v>127</v>
      </c>
      <c r="K52" s="112" t="str">
        <f>VLOOKUP(Tabela10[[#This Row],[Circuito]],BD!A:T,11,FALSE)</f>
        <v>7HV/TCC-49</v>
      </c>
      <c r="L52" s="99" t="str">
        <f>VLOOKUP(Tabela10[[#This Row],[Circuito]],BD!A:T,12,FALSE)</f>
        <v>30LV/UCP LI-1203A</v>
      </c>
      <c r="M52" s="99" t="str">
        <f>VLOOKUP(Tabela10[[#This Row],[Circuito]],BD!A:T,20,FALSE)</f>
        <v>BK-SP54-01200-LC-80-00004_00000</v>
      </c>
      <c r="N52" s="106" t="s">
        <v>2169</v>
      </c>
      <c r="O52" s="46" t="str">
        <f>VLOOKUP(Tabela10[[#This Row],[Circuito]],BD!$A:$AB,28,0)</f>
        <v>Disponível</v>
      </c>
      <c r="P52" s="46" t="s">
        <v>597</v>
      </c>
      <c r="Q52" s="145" t="str">
        <f>VLOOKUP(Tabela10[[#This Row],[Circuito]],BD!A:AC,28,0)</f>
        <v>Disponível</v>
      </c>
    </row>
    <row r="53" spans="1:17" ht="22.5" customHeight="1" x14ac:dyDescent="0.2">
      <c r="A53" s="105" t="s">
        <v>637</v>
      </c>
      <c r="B53" s="100">
        <v>44165</v>
      </c>
      <c r="C53" s="100">
        <v>44174</v>
      </c>
      <c r="D53" s="101" t="str">
        <f>VLOOKUP(Tabela10[[#This Row],[Circuito]],BD!A:T,3,FALSE)</f>
        <v>-</v>
      </c>
      <c r="E53" s="101" t="str">
        <f>VLOOKUP(Tabela10[[#This Row],[Circuito]],BD!A:T,4,FALSE)</f>
        <v>-</v>
      </c>
      <c r="F53" s="99" t="str">
        <f>VLOOKUP(Tabela10[[#This Row],[Circuito]],BD!A:T,5,FALSE)</f>
        <v>2P#1,0mm²+SHI+SHC (N.I.S.)</v>
      </c>
      <c r="G53" s="101" t="str">
        <f>VLOOKUP(Tabela10[[#This Row],[Circuito]],BD!A:AE,31,0)</f>
        <v>Digital (N.I.S.)</v>
      </c>
      <c r="H53" s="101">
        <f>VLOOKUP(Tabela10[[#This Row],[Circuito]],BD!A:T,8,FALSE)</f>
        <v>130</v>
      </c>
      <c r="I53" s="101">
        <f>VLOOKUP(Tabela10[[#This Row],[Circuito]],BD!A:T,9,FALSE)</f>
        <v>130</v>
      </c>
      <c r="J53" s="103">
        <f>IF(VLOOKUP(Tabela10[[#This Row],[Circuito]],BD!A:AA,27,FALSE)=0,"",VLOOKUP(Tabela10[[#This Row],[Circuito]],BD!A:AA,27,FALSE))</f>
        <v>73</v>
      </c>
      <c r="K53" s="112" t="str">
        <f>VLOOKUP(Tabela10[[#This Row],[Circuito]],BD!A:T,11,FALSE)</f>
        <v>7HV/TCC-49</v>
      </c>
      <c r="L53" s="99" t="str">
        <f>VLOOKUP(Tabela10[[#This Row],[Circuito]],BD!A:T,12,FALSE)</f>
        <v>30LV/UCP LI-1203A</v>
      </c>
      <c r="M53" s="99" t="str">
        <f>VLOOKUP(Tabela10[[#This Row],[Circuito]],BD!A:T,20,FALSE)</f>
        <v>BK-SP54-01200-LC-80-00004_00000</v>
      </c>
      <c r="N53" s="106" t="s">
        <v>2169</v>
      </c>
      <c r="O53" s="46" t="str">
        <f>VLOOKUP(Tabela10[[#This Row],[Circuito]],BD!$A:$AB,28,0)</f>
        <v>Disponível</v>
      </c>
      <c r="P53" s="46" t="s">
        <v>597</v>
      </c>
      <c r="Q53" s="145" t="str">
        <f>VLOOKUP(Tabela10[[#This Row],[Circuito]],BD!A:AC,28,0)</f>
        <v>Disponível</v>
      </c>
    </row>
    <row r="54" spans="1:17" ht="22.5" customHeight="1" x14ac:dyDescent="0.2">
      <c r="A54" s="105" t="s">
        <v>638</v>
      </c>
      <c r="B54" s="100">
        <v>44165</v>
      </c>
      <c r="C54" s="100">
        <v>44174</v>
      </c>
      <c r="D54" s="101" t="str">
        <f>VLOOKUP(Tabela10[[#This Row],[Circuito]],BD!A:T,3,FALSE)</f>
        <v>-</v>
      </c>
      <c r="E54" s="101" t="str">
        <f>VLOOKUP(Tabela10[[#This Row],[Circuito]],BD!A:T,4,FALSE)</f>
        <v>-</v>
      </c>
      <c r="F54" s="99" t="str">
        <f>VLOOKUP(Tabela10[[#This Row],[Circuito]],BD!A:T,5,FALSE)</f>
        <v>2P#1,0mm²+SHI+SHC (N.I.S.)</v>
      </c>
      <c r="G54" s="101" t="str">
        <f>VLOOKUP(Tabela10[[#This Row],[Circuito]],BD!A:AE,31,0)</f>
        <v>Digital (N.I.S.)</v>
      </c>
      <c r="H54" s="101">
        <f>VLOOKUP(Tabela10[[#This Row],[Circuito]],BD!A:T,8,FALSE)</f>
        <v>130</v>
      </c>
      <c r="I54" s="101">
        <f>VLOOKUP(Tabela10[[#This Row],[Circuito]],BD!A:T,9,FALSE)</f>
        <v>130</v>
      </c>
      <c r="J54" s="103">
        <f>IF(VLOOKUP(Tabela10[[#This Row],[Circuito]],BD!A:AA,27,FALSE)=0,"",VLOOKUP(Tabela10[[#This Row],[Circuito]],BD!A:AA,27,FALSE))</f>
        <v>73</v>
      </c>
      <c r="K54" s="112" t="str">
        <f>VLOOKUP(Tabela10[[#This Row],[Circuito]],BD!A:T,11,FALSE)</f>
        <v>7HV/TCC-49</v>
      </c>
      <c r="L54" s="99" t="str">
        <f>VLOOKUP(Tabela10[[#This Row],[Circuito]],BD!A:T,12,FALSE)</f>
        <v>30LV/UCP LI-1203A</v>
      </c>
      <c r="M54" s="99" t="str">
        <f>VLOOKUP(Tabela10[[#This Row],[Circuito]],BD!A:T,20,FALSE)</f>
        <v>BK-SP54-01200-LC-80-00004_00000</v>
      </c>
      <c r="N54" s="106" t="s">
        <v>2169</v>
      </c>
      <c r="O54" s="46" t="str">
        <f>VLOOKUP(Tabela10[[#This Row],[Circuito]],BD!$A:$AB,28,0)</f>
        <v>Disponível</v>
      </c>
      <c r="P54" s="46" t="s">
        <v>597</v>
      </c>
      <c r="Q54" s="145" t="str">
        <f>VLOOKUP(Tabela10[[#This Row],[Circuito]],BD!A:AC,28,0)</f>
        <v>Disponível</v>
      </c>
    </row>
    <row r="55" spans="1:17" ht="22.5" customHeight="1" x14ac:dyDescent="0.2">
      <c r="A55" s="105" t="s">
        <v>639</v>
      </c>
      <c r="B55" s="100">
        <v>44165</v>
      </c>
      <c r="C55" s="100">
        <v>44174</v>
      </c>
      <c r="D55" s="101" t="str">
        <f>VLOOKUP(Tabela10[[#This Row],[Circuito]],BD!A:T,3,FALSE)</f>
        <v>-</v>
      </c>
      <c r="E55" s="101" t="str">
        <f>VLOOKUP(Tabela10[[#This Row],[Circuito]],BD!A:T,4,FALSE)</f>
        <v>-</v>
      </c>
      <c r="F55" s="99" t="str">
        <f>VLOOKUP(Tabela10[[#This Row],[Circuito]],BD!A:T,5,FALSE)</f>
        <v>4P#1,0mm²+SHI+SHC (N.I.S.)</v>
      </c>
      <c r="G55" s="101" t="str">
        <f>VLOOKUP(Tabela10[[#This Row],[Circuito]],BD!A:AE,31,0)</f>
        <v>Digital (N.I.S.)</v>
      </c>
      <c r="H55" s="101">
        <f>VLOOKUP(Tabela10[[#This Row],[Circuito]],BD!A:T,8,FALSE)</f>
        <v>130</v>
      </c>
      <c r="I55" s="101">
        <f>VLOOKUP(Tabela10[[#This Row],[Circuito]],BD!A:T,9,FALSE)</f>
        <v>130</v>
      </c>
      <c r="J55" s="103">
        <f>IF(VLOOKUP(Tabela10[[#This Row],[Circuito]],BD!A:AA,27,FALSE)=0,"",VLOOKUP(Tabela10[[#This Row],[Circuito]],BD!A:AA,27,FALSE))</f>
        <v>127</v>
      </c>
      <c r="K55" s="112" t="str">
        <f>VLOOKUP(Tabela10[[#This Row],[Circuito]],BD!A:T,11,FALSE)</f>
        <v>7HV/TCC-49</v>
      </c>
      <c r="L55" s="99" t="str">
        <f>VLOOKUP(Tabela10[[#This Row],[Circuito]],BD!A:T,12,FALSE)</f>
        <v>30LV/UCP LI-1203A</v>
      </c>
      <c r="M55" s="99" t="str">
        <f>VLOOKUP(Tabela10[[#This Row],[Circuito]],BD!A:T,20,FALSE)</f>
        <v>BK-SP54-01200-LC-80-00004_00000</v>
      </c>
      <c r="N55" s="106" t="s">
        <v>2169</v>
      </c>
      <c r="O55" s="46" t="str">
        <f>VLOOKUP(Tabela10[[#This Row],[Circuito]],BD!$A:$AB,28,0)</f>
        <v>Disponível</v>
      </c>
      <c r="P55" s="46" t="s">
        <v>597</v>
      </c>
      <c r="Q55" s="145" t="str">
        <f>VLOOKUP(Tabela10[[#This Row],[Circuito]],BD!A:AC,28,0)</f>
        <v>Disponível</v>
      </c>
    </row>
    <row r="56" spans="1:17" ht="22.5" customHeight="1" x14ac:dyDescent="0.2">
      <c r="A56" s="105" t="s">
        <v>640</v>
      </c>
      <c r="B56" s="100">
        <v>44165</v>
      </c>
      <c r="C56" s="100">
        <v>44174</v>
      </c>
      <c r="D56" s="101" t="str">
        <f>VLOOKUP(Tabela10[[#This Row],[Circuito]],BD!A:T,3,FALSE)</f>
        <v>-</v>
      </c>
      <c r="E56" s="101" t="str">
        <f>VLOOKUP(Tabela10[[#This Row],[Circuito]],BD!A:T,4,FALSE)</f>
        <v>-</v>
      </c>
      <c r="F56" s="99" t="str">
        <f>VLOOKUP(Tabela10[[#This Row],[Circuito]],BD!A:T,5,FALSE)</f>
        <v>2P#1,0mm²+SHI+SHC (N.I.S.)</v>
      </c>
      <c r="G56" s="101" t="str">
        <f>VLOOKUP(Tabela10[[#This Row],[Circuito]],BD!A:AE,31,0)</f>
        <v>Digital (N.I.S.)</v>
      </c>
      <c r="H56" s="101">
        <f>VLOOKUP(Tabela10[[#This Row],[Circuito]],BD!A:T,8,FALSE)</f>
        <v>130</v>
      </c>
      <c r="I56" s="101">
        <f>VLOOKUP(Tabela10[[#This Row],[Circuito]],BD!A:T,9,FALSE)</f>
        <v>130</v>
      </c>
      <c r="J56" s="103">
        <f>IF(VLOOKUP(Tabela10[[#This Row],[Circuito]],BD!A:AA,27,FALSE)=0,"",VLOOKUP(Tabela10[[#This Row],[Circuito]],BD!A:AA,27,FALSE))</f>
        <v>73</v>
      </c>
      <c r="K56" s="112" t="str">
        <f>VLOOKUP(Tabela10[[#This Row],[Circuito]],BD!A:T,11,FALSE)</f>
        <v>7HV/TCC-49</v>
      </c>
      <c r="L56" s="99" t="str">
        <f>VLOOKUP(Tabela10[[#This Row],[Circuito]],BD!A:T,12,FALSE)</f>
        <v>30LV/UCP LI-1203A</v>
      </c>
      <c r="M56" s="99" t="str">
        <f>VLOOKUP(Tabela10[[#This Row],[Circuito]],BD!A:T,20,FALSE)</f>
        <v>BK-SP54-01200-LC-80-00004_00000</v>
      </c>
      <c r="N56" s="106" t="s">
        <v>2169</v>
      </c>
      <c r="O56" s="46" t="str">
        <f>VLOOKUP(Tabela10[[#This Row],[Circuito]],BD!$A:$AB,28,0)</f>
        <v>Disponível</v>
      </c>
      <c r="P56" s="46" t="s">
        <v>597</v>
      </c>
      <c r="Q56" s="145" t="str">
        <f>VLOOKUP(Tabela10[[#This Row],[Circuito]],BD!A:AC,28,0)</f>
        <v>Disponível</v>
      </c>
    </row>
    <row r="57" spans="1:17" ht="22.5" customHeight="1" x14ac:dyDescent="0.2">
      <c r="A57" s="105" t="s">
        <v>641</v>
      </c>
      <c r="B57" s="100">
        <v>44165</v>
      </c>
      <c r="C57" s="100">
        <v>44174</v>
      </c>
      <c r="D57" s="101" t="str">
        <f>VLOOKUP(Tabela10[[#This Row],[Circuito]],BD!A:T,3,FALSE)</f>
        <v>-</v>
      </c>
      <c r="E57" s="101" t="str">
        <f>VLOOKUP(Tabela10[[#This Row],[Circuito]],BD!A:T,4,FALSE)</f>
        <v>-</v>
      </c>
      <c r="F57" s="99" t="str">
        <f>VLOOKUP(Tabela10[[#This Row],[Circuito]],BD!A:T,5,FALSE)</f>
        <v>4P#1,0mm²+SHI+SHC (N.I.S.)</v>
      </c>
      <c r="G57" s="101" t="str">
        <f>VLOOKUP(Tabela10[[#This Row],[Circuito]],BD!A:AE,31,0)</f>
        <v>Digital (N.I.S.)</v>
      </c>
      <c r="H57" s="101">
        <f>VLOOKUP(Tabela10[[#This Row],[Circuito]],BD!A:T,8,FALSE)</f>
        <v>130</v>
      </c>
      <c r="I57" s="101">
        <f>VLOOKUP(Tabela10[[#This Row],[Circuito]],BD!A:T,9,FALSE)</f>
        <v>130</v>
      </c>
      <c r="J57" s="103">
        <f>IF(VLOOKUP(Tabela10[[#This Row],[Circuito]],BD!A:AA,27,FALSE)=0,"",VLOOKUP(Tabela10[[#This Row],[Circuito]],BD!A:AA,27,FALSE))</f>
        <v>127</v>
      </c>
      <c r="K57" s="112" t="str">
        <f>VLOOKUP(Tabela10[[#This Row],[Circuito]],BD!A:T,11,FALSE)</f>
        <v>7HV/TCC-49</v>
      </c>
      <c r="L57" s="99" t="str">
        <f>VLOOKUP(Tabela10[[#This Row],[Circuito]],BD!A:T,12,FALSE)</f>
        <v>30LV/UCP LI-1203A</v>
      </c>
      <c r="M57" s="99" t="str">
        <f>VLOOKUP(Tabela10[[#This Row],[Circuito]],BD!A:T,20,FALSE)</f>
        <v>BK-SP54-01200-LC-80-00004_00000</v>
      </c>
      <c r="N57" s="106" t="s">
        <v>2169</v>
      </c>
      <c r="O57" s="46" t="str">
        <f>VLOOKUP(Tabela10[[#This Row],[Circuito]],BD!$A:$AB,28,0)</f>
        <v>Disponível</v>
      </c>
      <c r="P57" s="46" t="s">
        <v>597</v>
      </c>
      <c r="Q57" s="145" t="str">
        <f>VLOOKUP(Tabela10[[#This Row],[Circuito]],BD!A:AC,28,0)</f>
        <v>Disponível</v>
      </c>
    </row>
    <row r="58" spans="1:17" ht="22.5" customHeight="1" x14ac:dyDescent="0.2">
      <c r="A58" s="105" t="s">
        <v>642</v>
      </c>
      <c r="B58" s="100">
        <v>44165</v>
      </c>
      <c r="C58" s="100">
        <v>44174</v>
      </c>
      <c r="D58" s="101" t="str">
        <f>VLOOKUP(Tabela10[[#This Row],[Circuito]],BD!A:T,3,FALSE)</f>
        <v>-</v>
      </c>
      <c r="E58" s="101" t="str">
        <f>VLOOKUP(Tabela10[[#This Row],[Circuito]],BD!A:T,4,FALSE)</f>
        <v>-</v>
      </c>
      <c r="F58" s="99" t="str">
        <f>VLOOKUP(Tabela10[[#This Row],[Circuito]],BD!A:T,5,FALSE)</f>
        <v>2P#1,0mm²+SHI+SHC (N.I.S.)</v>
      </c>
      <c r="G58" s="101" t="str">
        <f>VLOOKUP(Tabela10[[#This Row],[Circuito]],BD!A:AE,31,0)</f>
        <v>Digital (N.I.S.)</v>
      </c>
      <c r="H58" s="101">
        <f>VLOOKUP(Tabela10[[#This Row],[Circuito]],BD!A:T,8,FALSE)</f>
        <v>130</v>
      </c>
      <c r="I58" s="101">
        <f>VLOOKUP(Tabela10[[#This Row],[Circuito]],BD!A:T,9,FALSE)</f>
        <v>130</v>
      </c>
      <c r="J58" s="103">
        <f>IF(VLOOKUP(Tabela10[[#This Row],[Circuito]],BD!A:AA,27,FALSE)=0,"",VLOOKUP(Tabela10[[#This Row],[Circuito]],BD!A:AA,27,FALSE))</f>
        <v>73</v>
      </c>
      <c r="K58" s="112" t="str">
        <f>VLOOKUP(Tabela10[[#This Row],[Circuito]],BD!A:T,11,FALSE)</f>
        <v>7HV/TCC-49</v>
      </c>
      <c r="L58" s="99" t="str">
        <f>VLOOKUP(Tabela10[[#This Row],[Circuito]],BD!A:T,12,FALSE)</f>
        <v>30LV/UCP LI-1203A</v>
      </c>
      <c r="M58" s="99" t="str">
        <f>VLOOKUP(Tabela10[[#This Row],[Circuito]],BD!A:T,20,FALSE)</f>
        <v>BK-SP54-01200-LC-80-00004_00000</v>
      </c>
      <c r="N58" s="106" t="s">
        <v>2169</v>
      </c>
      <c r="O58" s="46" t="str">
        <f>VLOOKUP(Tabela10[[#This Row],[Circuito]],BD!$A:$AB,28,0)</f>
        <v>Disponível</v>
      </c>
      <c r="P58" s="46" t="s">
        <v>597</v>
      </c>
      <c r="Q58" s="145" t="str">
        <f>VLOOKUP(Tabela10[[#This Row],[Circuito]],BD!A:AC,28,0)</f>
        <v>Disponível</v>
      </c>
    </row>
    <row r="59" spans="1:17" ht="22.5" customHeight="1" x14ac:dyDescent="0.2">
      <c r="A59" s="105" t="s">
        <v>643</v>
      </c>
      <c r="B59" s="100">
        <v>44165</v>
      </c>
      <c r="C59" s="100">
        <v>44174</v>
      </c>
      <c r="D59" s="101" t="str">
        <f>VLOOKUP(Tabela10[[#This Row],[Circuito]],BD!A:T,3,FALSE)</f>
        <v>-</v>
      </c>
      <c r="E59" s="101" t="str">
        <f>VLOOKUP(Tabela10[[#This Row],[Circuito]],BD!A:T,4,FALSE)</f>
        <v>-</v>
      </c>
      <c r="F59" s="99" t="str">
        <f>VLOOKUP(Tabela10[[#This Row],[Circuito]],BD!A:T,5,FALSE)</f>
        <v>4P#1,0mm²+SHI+SHC (N.I.S.)</v>
      </c>
      <c r="G59" s="101" t="str">
        <f>VLOOKUP(Tabela10[[#This Row],[Circuito]],BD!A:AE,31,0)</f>
        <v>Digital (N.I.S.)</v>
      </c>
      <c r="H59" s="101">
        <f>VLOOKUP(Tabela10[[#This Row],[Circuito]],BD!A:T,8,FALSE)</f>
        <v>130</v>
      </c>
      <c r="I59" s="101">
        <f>VLOOKUP(Tabela10[[#This Row],[Circuito]],BD!A:T,9,FALSE)</f>
        <v>130</v>
      </c>
      <c r="J59" s="103">
        <f>IF(VLOOKUP(Tabela10[[#This Row],[Circuito]],BD!A:AA,27,FALSE)=0,"",VLOOKUP(Tabela10[[#This Row],[Circuito]],BD!A:AA,27,FALSE))</f>
        <v>127</v>
      </c>
      <c r="K59" s="112" t="str">
        <f>VLOOKUP(Tabela10[[#This Row],[Circuito]],BD!A:T,11,FALSE)</f>
        <v>7HV/TCC-49</v>
      </c>
      <c r="L59" s="99" t="str">
        <f>VLOOKUP(Tabela10[[#This Row],[Circuito]],BD!A:T,12,FALSE)</f>
        <v>30LV/UCP LI-1203A</v>
      </c>
      <c r="M59" s="99" t="str">
        <f>VLOOKUP(Tabela10[[#This Row],[Circuito]],BD!A:T,20,FALSE)</f>
        <v>BK-SP54-01200-LC-80-00004_00000</v>
      </c>
      <c r="N59" s="106" t="s">
        <v>2169</v>
      </c>
      <c r="O59" s="46" t="str">
        <f>VLOOKUP(Tabela10[[#This Row],[Circuito]],BD!$A:$AB,28,0)</f>
        <v>Disponível</v>
      </c>
      <c r="P59" s="46" t="s">
        <v>597</v>
      </c>
      <c r="Q59" s="145" t="str">
        <f>VLOOKUP(Tabela10[[#This Row],[Circuito]],BD!A:AC,28,0)</f>
        <v>Disponível</v>
      </c>
    </row>
    <row r="60" spans="1:17" ht="22.5" customHeight="1" x14ac:dyDescent="0.2">
      <c r="A60" s="105" t="s">
        <v>644</v>
      </c>
      <c r="B60" s="100">
        <v>44165</v>
      </c>
      <c r="C60" s="100">
        <v>44174</v>
      </c>
      <c r="D60" s="101" t="str">
        <f>VLOOKUP(Tabela10[[#This Row],[Circuito]],BD!A:T,3,FALSE)</f>
        <v>-</v>
      </c>
      <c r="E60" s="101" t="str">
        <f>VLOOKUP(Tabela10[[#This Row],[Circuito]],BD!A:T,4,FALSE)</f>
        <v>-</v>
      </c>
      <c r="F60" s="99" t="str">
        <f>VLOOKUP(Tabela10[[#This Row],[Circuito]],BD!A:T,5,FALSE)</f>
        <v>2P#1,0mm²+SHI+SHC (N.I.S.)</v>
      </c>
      <c r="G60" s="101" t="str">
        <f>VLOOKUP(Tabela10[[#This Row],[Circuito]],BD!A:AE,31,0)</f>
        <v>Digital (N.I.S.)</v>
      </c>
      <c r="H60" s="101">
        <f>VLOOKUP(Tabela10[[#This Row],[Circuito]],BD!A:T,8,FALSE)</f>
        <v>130</v>
      </c>
      <c r="I60" s="101">
        <f>VLOOKUP(Tabela10[[#This Row],[Circuito]],BD!A:T,9,FALSE)</f>
        <v>130</v>
      </c>
      <c r="J60" s="103">
        <f>IF(VLOOKUP(Tabela10[[#This Row],[Circuito]],BD!A:AA,27,FALSE)=0,"",VLOOKUP(Tabela10[[#This Row],[Circuito]],BD!A:AA,27,FALSE))</f>
        <v>73</v>
      </c>
      <c r="K60" s="112" t="str">
        <f>VLOOKUP(Tabela10[[#This Row],[Circuito]],BD!A:T,11,FALSE)</f>
        <v>7HV/TCC-49</v>
      </c>
      <c r="L60" s="99" t="str">
        <f>VLOOKUP(Tabela10[[#This Row],[Circuito]],BD!A:T,12,FALSE)</f>
        <v>30LV/UCP LI-1203A</v>
      </c>
      <c r="M60" s="99" t="str">
        <f>VLOOKUP(Tabela10[[#This Row],[Circuito]],BD!A:T,20,FALSE)</f>
        <v>BK-SP54-01200-LC-80-00004_00000</v>
      </c>
      <c r="N60" s="106" t="s">
        <v>2169</v>
      </c>
      <c r="O60" s="46" t="str">
        <f>VLOOKUP(Tabela10[[#This Row],[Circuito]],BD!$A:$AB,28,0)</f>
        <v>Disponível</v>
      </c>
      <c r="P60" s="46" t="s">
        <v>597</v>
      </c>
      <c r="Q60" s="145" t="str">
        <f>VLOOKUP(Tabela10[[#This Row],[Circuito]],BD!A:AC,28,0)</f>
        <v>Disponível</v>
      </c>
    </row>
    <row r="61" spans="1:17" ht="22.5" customHeight="1" x14ac:dyDescent="0.2">
      <c r="A61" s="105" t="s">
        <v>645</v>
      </c>
      <c r="B61" s="100">
        <v>44165</v>
      </c>
      <c r="C61" s="100">
        <v>44174</v>
      </c>
      <c r="D61" s="101" t="str">
        <f>VLOOKUP(Tabela10[[#This Row],[Circuito]],BD!A:T,3,FALSE)</f>
        <v>-</v>
      </c>
      <c r="E61" s="101" t="str">
        <f>VLOOKUP(Tabela10[[#This Row],[Circuito]],BD!A:T,4,FALSE)</f>
        <v>-</v>
      </c>
      <c r="F61" s="99" t="str">
        <f>VLOOKUP(Tabela10[[#This Row],[Circuito]],BD!A:T,5,FALSE)</f>
        <v>4P#1,0mm²+SHI+SHC (N.I.S.)</v>
      </c>
      <c r="G61" s="101" t="str">
        <f>VLOOKUP(Tabela10[[#This Row],[Circuito]],BD!A:AE,31,0)</f>
        <v>Digital (N.I.S.)</v>
      </c>
      <c r="H61" s="101">
        <f>VLOOKUP(Tabela10[[#This Row],[Circuito]],BD!A:T,8,FALSE)</f>
        <v>130</v>
      </c>
      <c r="I61" s="101">
        <f>VLOOKUP(Tabela10[[#This Row],[Circuito]],BD!A:T,9,FALSE)</f>
        <v>130</v>
      </c>
      <c r="J61" s="103">
        <f>IF(VLOOKUP(Tabela10[[#This Row],[Circuito]],BD!A:AA,27,FALSE)=0,"",VLOOKUP(Tabela10[[#This Row],[Circuito]],BD!A:AA,27,FALSE))</f>
        <v>127</v>
      </c>
      <c r="K61" s="112" t="str">
        <f>VLOOKUP(Tabela10[[#This Row],[Circuito]],BD!A:T,11,FALSE)</f>
        <v>7HV/TCC-49</v>
      </c>
      <c r="L61" s="99" t="str">
        <f>VLOOKUP(Tabela10[[#This Row],[Circuito]],BD!A:T,12,FALSE)</f>
        <v>30LV/UCP LI-1203A</v>
      </c>
      <c r="M61" s="99" t="str">
        <f>VLOOKUP(Tabela10[[#This Row],[Circuito]],BD!A:T,20,FALSE)</f>
        <v>BK-SP54-01200-LC-80-00004_00000</v>
      </c>
      <c r="N61" s="106" t="s">
        <v>2169</v>
      </c>
      <c r="O61" s="46" t="str">
        <f>VLOOKUP(Tabela10[[#This Row],[Circuito]],BD!$A:$AB,28,0)</f>
        <v>Disponível</v>
      </c>
      <c r="P61" s="46" t="s">
        <v>597</v>
      </c>
      <c r="Q61" s="145" t="str">
        <f>VLOOKUP(Tabela10[[#This Row],[Circuito]],BD!A:AC,28,0)</f>
        <v>Disponível</v>
      </c>
    </row>
    <row r="62" spans="1:17" ht="18.75" x14ac:dyDescent="0.2">
      <c r="A62" s="104" t="s">
        <v>650</v>
      </c>
      <c r="B62" s="160"/>
      <c r="C62" s="160"/>
      <c r="D62" s="161"/>
      <c r="E62" s="161"/>
      <c r="F62" s="162"/>
      <c r="G62" s="162"/>
      <c r="H62" s="161"/>
      <c r="I62" s="161"/>
      <c r="J62" s="163"/>
      <c r="K62" s="164"/>
      <c r="L62" s="162"/>
      <c r="M62" s="162"/>
      <c r="N62" s="165"/>
      <c r="O62" s="166"/>
      <c r="P62" s="166"/>
      <c r="Q62" s="145" t="e">
        <f>VLOOKUP(Tabela10[[#This Row],[Circuito]],BD!A:AC,28,0)</f>
        <v>#N/A</v>
      </c>
    </row>
    <row r="63" spans="1:17" ht="22.5" customHeight="1" x14ac:dyDescent="0.2">
      <c r="A63" s="105" t="s">
        <v>656</v>
      </c>
      <c r="B63" s="100">
        <v>44175</v>
      </c>
      <c r="C63" s="100">
        <v>44182</v>
      </c>
      <c r="D63" s="101" t="str">
        <f>VLOOKUP(Tabela10[[#This Row],[Circuito]],BD!A:T,3,FALSE)</f>
        <v>-</v>
      </c>
      <c r="E63" s="101" t="str">
        <f>VLOOKUP(Tabela10[[#This Row],[Circuito]],BD!A:T,4,FALSE)</f>
        <v>-</v>
      </c>
      <c r="F63" s="99" t="str">
        <f>VLOOKUP(Tabela10[[#This Row],[Circuito]],BD!A:T,5,FALSE)</f>
        <v>12P#1,0mm²+SHI+SHC (N.I.S.)</v>
      </c>
      <c r="G63" s="101" t="str">
        <f>VLOOKUP(Tabela10[[#This Row],[Circuito]],BD!A:AE,31,0)</f>
        <v>Digital (N.I.S.)</v>
      </c>
      <c r="H63" s="101">
        <f>VLOOKUP(Tabela10[[#This Row],[Circuito]],BD!A:T,8,FALSE)</f>
        <v>370</v>
      </c>
      <c r="I63" s="101">
        <f>VLOOKUP(Tabela10[[#This Row],[Circuito]],BD!A:T,9,FALSE)</f>
        <v>370</v>
      </c>
      <c r="J63" s="103">
        <f>IF(VLOOKUP(Tabela10[[#This Row],[Circuito]],BD!A:AA,27,FALSE)=0,"",VLOOKUP(Tabela10[[#This Row],[Circuito]],BD!A:AA,27,FALSE))</f>
        <v>202</v>
      </c>
      <c r="K63" s="112" t="str">
        <f>VLOOKUP(Tabela10[[#This Row],[Circuito]],BD!A:T,11,FALSE)</f>
        <v>7HV/GBM-200-INV</v>
      </c>
      <c r="L63" s="99" t="str">
        <f>VLOOKUP(Tabela10[[#This Row],[Circuito]],BD!A:T,12,FALSE)</f>
        <v>CCP/UCP LI-200A</v>
      </c>
      <c r="M63" s="99" t="str">
        <f>VLOOKUP(Tabela10[[#This Row],[Circuito]],BD!A:T,20,FALSE)</f>
        <v>BK-SP54-00200-LC-81-00001_00000</v>
      </c>
      <c r="N63" s="106" t="s">
        <v>2173</v>
      </c>
      <c r="O63" s="46" t="str">
        <f>VLOOKUP(Tabela10[[#This Row],[Circuito]],BD!$A:$AB,28,0)</f>
        <v>Disponível</v>
      </c>
      <c r="P63" s="46" t="s">
        <v>650</v>
      </c>
      <c r="Q63" s="146" t="str">
        <f>VLOOKUP(Tabela10[[#This Row],[Circuito]],BD!A:AC,28,0)</f>
        <v>Disponível</v>
      </c>
    </row>
    <row r="64" spans="1:17" ht="22.5" customHeight="1" x14ac:dyDescent="0.2">
      <c r="A64" s="105" t="s">
        <v>662</v>
      </c>
      <c r="B64" s="100">
        <v>44175</v>
      </c>
      <c r="C64" s="100">
        <v>44182</v>
      </c>
      <c r="D64" s="101" t="str">
        <f>VLOOKUP(Tabela10[[#This Row],[Circuito]],BD!A:T,3,FALSE)</f>
        <v>-</v>
      </c>
      <c r="E64" s="101" t="str">
        <f>VLOOKUP(Tabela10[[#This Row],[Circuito]],BD!A:T,4,FALSE)</f>
        <v>-</v>
      </c>
      <c r="F64" s="99" t="str">
        <f>VLOOKUP(Tabela10[[#This Row],[Circuito]],BD!A:T,5,FALSE)</f>
        <v>2P#1,0mm²+SHI+SHC (N.I.S.)</v>
      </c>
      <c r="G64" s="101" t="str">
        <f>VLOOKUP(Tabela10[[#This Row],[Circuito]],BD!A:AE,31,0)</f>
        <v>Analógico (N.I.S.)</v>
      </c>
      <c r="H64" s="101">
        <f>VLOOKUP(Tabela10[[#This Row],[Circuito]],BD!A:T,8,FALSE)</f>
        <v>370</v>
      </c>
      <c r="I64" s="101">
        <f>VLOOKUP(Tabela10[[#This Row],[Circuito]],BD!A:T,9,FALSE)</f>
        <v>370</v>
      </c>
      <c r="J64" s="103">
        <f>IF(VLOOKUP(Tabela10[[#This Row],[Circuito]],BD!A:AA,27,FALSE)=0,"",VLOOKUP(Tabela10[[#This Row],[Circuito]],BD!A:AA,27,FALSE))</f>
        <v>120</v>
      </c>
      <c r="K64" s="112" t="str">
        <f>VLOOKUP(Tabela10[[#This Row],[Circuito]],BD!A:T,11,FALSE)</f>
        <v>7HV/GBM-200-INV</v>
      </c>
      <c r="L64" s="99" t="str">
        <f>VLOOKUP(Tabela10[[#This Row],[Circuito]],BD!A:T,12,FALSE)</f>
        <v>CCP/UCP LI-200A</v>
      </c>
      <c r="M64" s="99" t="str">
        <f>VLOOKUP(Tabela10[[#This Row],[Circuito]],BD!A:T,20,FALSE)</f>
        <v>BK-SP54-00200-LC-81-00001_00000</v>
      </c>
      <c r="N64" s="106" t="s">
        <v>2173</v>
      </c>
      <c r="O64" s="46" t="str">
        <f>VLOOKUP(Tabela10[[#This Row],[Circuito]],BD!$A:$AB,28,0)</f>
        <v>Disponível</v>
      </c>
      <c r="P64" s="46" t="s">
        <v>650</v>
      </c>
      <c r="Q64" s="146" t="str">
        <f>VLOOKUP(Tabela10[[#This Row],[Circuito]],BD!A:AC,28,0)</f>
        <v>Disponível</v>
      </c>
    </row>
    <row r="65" spans="1:17" ht="22.5" customHeight="1" x14ac:dyDescent="0.2">
      <c r="A65" s="105" t="s">
        <v>664</v>
      </c>
      <c r="B65" s="100">
        <v>44175</v>
      </c>
      <c r="C65" s="100">
        <v>44182</v>
      </c>
      <c r="D65" s="101" t="str">
        <f>VLOOKUP(Tabela10[[#This Row],[Circuito]],BD!A:T,3,FALSE)</f>
        <v>-</v>
      </c>
      <c r="E65" s="101" t="str">
        <f>VLOOKUP(Tabela10[[#This Row],[Circuito]],BD!A:T,4,FALSE)</f>
        <v>-</v>
      </c>
      <c r="F65" s="99" t="str">
        <f>VLOOKUP(Tabela10[[#This Row],[Circuito]],BD!A:T,5,FALSE)</f>
        <v>2P#1,0mm²+SHI+SHC (N.I.S.)</v>
      </c>
      <c r="G65" s="101" t="str">
        <f>VLOOKUP(Tabela10[[#This Row],[Circuito]],BD!A:AE,31,0)</f>
        <v>Analógico (N.I.S.)</v>
      </c>
      <c r="H65" s="101">
        <f>VLOOKUP(Tabela10[[#This Row],[Circuito]],BD!A:T,8,FALSE)</f>
        <v>370</v>
      </c>
      <c r="I65" s="101">
        <f>VLOOKUP(Tabela10[[#This Row],[Circuito]],BD!A:T,9,FALSE)</f>
        <v>370</v>
      </c>
      <c r="J65" s="103">
        <f>IF(VLOOKUP(Tabela10[[#This Row],[Circuito]],BD!A:AA,27,FALSE)=0,"",VLOOKUP(Tabela10[[#This Row],[Circuito]],BD!A:AA,27,FALSE))</f>
        <v>120</v>
      </c>
      <c r="K65" s="112" t="str">
        <f>VLOOKUP(Tabela10[[#This Row],[Circuito]],BD!A:T,11,FALSE)</f>
        <v>7HV/GBM-200-INV</v>
      </c>
      <c r="L65" s="99" t="str">
        <f>VLOOKUP(Tabela10[[#This Row],[Circuito]],BD!A:T,12,FALSE)</f>
        <v>CCP/UCP LI-200A</v>
      </c>
      <c r="M65" s="99" t="str">
        <f>VLOOKUP(Tabela10[[#This Row],[Circuito]],BD!A:T,20,FALSE)</f>
        <v>BK-SP54-00200-LC-81-00001_00000</v>
      </c>
      <c r="N65" s="106" t="s">
        <v>2173</v>
      </c>
      <c r="O65" s="46" t="str">
        <f>VLOOKUP(Tabela10[[#This Row],[Circuito]],BD!$A:$AB,28,0)</f>
        <v>Disponível</v>
      </c>
      <c r="P65" s="46" t="s">
        <v>650</v>
      </c>
      <c r="Q65" s="146" t="str">
        <f>VLOOKUP(Tabela10[[#This Row],[Circuito]],BD!A:AC,28,0)</f>
        <v>Disponível</v>
      </c>
    </row>
    <row r="66" spans="1:17" ht="22.5" customHeight="1" x14ac:dyDescent="0.2">
      <c r="A66" s="105" t="s">
        <v>665</v>
      </c>
      <c r="B66" s="100">
        <v>44175</v>
      </c>
      <c r="C66" s="100">
        <v>44182</v>
      </c>
      <c r="D66" s="101" t="str">
        <f>VLOOKUP(Tabela10[[#This Row],[Circuito]],BD!A:T,3,FALSE)</f>
        <v>-</v>
      </c>
      <c r="E66" s="101" t="str">
        <f>VLOOKUP(Tabela10[[#This Row],[Circuito]],BD!A:T,4,FALSE)</f>
        <v>-</v>
      </c>
      <c r="F66" s="99" t="str">
        <f>VLOOKUP(Tabela10[[#This Row],[Circuito]],BD!A:T,5,FALSE)</f>
        <v>4P#1,0mm²+SHI+SHC (N.I.S.)</v>
      </c>
      <c r="G66" s="101" t="str">
        <f>VLOOKUP(Tabela10[[#This Row],[Circuito]],BD!A:AE,31,0)</f>
        <v>Digital (N.I.S.)</v>
      </c>
      <c r="H66" s="101">
        <f>VLOOKUP(Tabela10[[#This Row],[Circuito]],BD!A:T,8,FALSE)</f>
        <v>370</v>
      </c>
      <c r="I66" s="101">
        <f>VLOOKUP(Tabela10[[#This Row],[Circuito]],BD!A:T,9,FALSE)</f>
        <v>370</v>
      </c>
      <c r="J66" s="103">
        <f>IF(VLOOKUP(Tabela10[[#This Row],[Circuito]],BD!A:AA,27,FALSE)=0,"",VLOOKUP(Tabela10[[#This Row],[Circuito]],BD!A:AA,27,FALSE))</f>
        <v>128</v>
      </c>
      <c r="K66" s="112" t="str">
        <f>VLOOKUP(Tabela10[[#This Row],[Circuito]],BD!A:T,11,FALSE)</f>
        <v>7HV/TCC-49</v>
      </c>
      <c r="L66" s="99" t="str">
        <f>VLOOKUP(Tabela10[[#This Row],[Circuito]],BD!A:T,12,FALSE)</f>
        <v>CCP/UCP LI-200A</v>
      </c>
      <c r="M66" s="99" t="str">
        <f>VLOOKUP(Tabela10[[#This Row],[Circuito]],BD!A:T,20,FALSE)</f>
        <v>BK-SP54-00200-LC-81-00001_00000</v>
      </c>
      <c r="N66" s="106" t="s">
        <v>2173</v>
      </c>
      <c r="O66" s="46" t="str">
        <f>VLOOKUP(Tabela10[[#This Row],[Circuito]],BD!$A:$AB,28,0)</f>
        <v>Disponível</v>
      </c>
      <c r="P66" s="46" t="s">
        <v>650</v>
      </c>
      <c r="Q66" s="146" t="str">
        <f>VLOOKUP(Tabela10[[#This Row],[Circuito]],BD!A:AC,28,0)</f>
        <v>Disponível</v>
      </c>
    </row>
    <row r="67" spans="1:17" ht="22.5" customHeight="1" x14ac:dyDescent="0.2">
      <c r="A67" s="105" t="s">
        <v>667</v>
      </c>
      <c r="B67" s="100">
        <v>44175</v>
      </c>
      <c r="C67" s="100">
        <v>44182</v>
      </c>
      <c r="D67" s="101" t="str">
        <f>VLOOKUP(Tabela10[[#This Row],[Circuito]],BD!A:T,3,FALSE)</f>
        <v>-</v>
      </c>
      <c r="E67" s="101" t="str">
        <f>VLOOKUP(Tabela10[[#This Row],[Circuito]],BD!A:T,4,FALSE)</f>
        <v>-</v>
      </c>
      <c r="F67" s="99" t="str">
        <f>VLOOKUP(Tabela10[[#This Row],[Circuito]],BD!A:T,5,FALSE)</f>
        <v>4P#1,0mm²+SHI+SHC (N.I.S.)</v>
      </c>
      <c r="G67" s="101" t="str">
        <f>VLOOKUP(Tabela10[[#This Row],[Circuito]],BD!A:AE,31,0)</f>
        <v>Digital (N.I.S.)</v>
      </c>
      <c r="H67" s="101">
        <f>VLOOKUP(Tabela10[[#This Row],[Circuito]],BD!A:T,8,FALSE)</f>
        <v>370</v>
      </c>
      <c r="I67" s="101">
        <f>VLOOKUP(Tabela10[[#This Row],[Circuito]],BD!A:T,9,FALSE)</f>
        <v>370</v>
      </c>
      <c r="J67" s="103">
        <f>IF(VLOOKUP(Tabela10[[#This Row],[Circuito]],BD!A:AA,27,FALSE)=0,"",VLOOKUP(Tabela10[[#This Row],[Circuito]],BD!A:AA,27,FALSE))</f>
        <v>128</v>
      </c>
      <c r="K67" s="112" t="str">
        <f>VLOOKUP(Tabela10[[#This Row],[Circuito]],BD!A:T,11,FALSE)</f>
        <v>7HV/TCC-49</v>
      </c>
      <c r="L67" s="99" t="str">
        <f>VLOOKUP(Tabela10[[#This Row],[Circuito]],BD!A:T,12,FALSE)</f>
        <v>CCP/UCP LI-200A</v>
      </c>
      <c r="M67" s="99" t="str">
        <f>VLOOKUP(Tabela10[[#This Row],[Circuito]],BD!A:T,20,FALSE)</f>
        <v>BK-SP54-00200-LC-81-00001_00000</v>
      </c>
      <c r="N67" s="106" t="s">
        <v>2173</v>
      </c>
      <c r="O67" s="46" t="str">
        <f>VLOOKUP(Tabela10[[#This Row],[Circuito]],BD!$A:$AB,28,0)</f>
        <v>Disponível</v>
      </c>
      <c r="P67" s="46" t="s">
        <v>650</v>
      </c>
      <c r="Q67" s="146" t="str">
        <f>VLOOKUP(Tabela10[[#This Row],[Circuito]],BD!A:AC,28,0)</f>
        <v>Disponível</v>
      </c>
    </row>
    <row r="68" spans="1:17" ht="22.5" customHeight="1" x14ac:dyDescent="0.2">
      <c r="A68" s="105" t="s">
        <v>668</v>
      </c>
      <c r="B68" s="100">
        <v>44175</v>
      </c>
      <c r="C68" s="100">
        <v>44182</v>
      </c>
      <c r="D68" s="101" t="str">
        <f>VLOOKUP(Tabela10[[#This Row],[Circuito]],BD!A:T,3,FALSE)</f>
        <v>-</v>
      </c>
      <c r="E68" s="101" t="str">
        <f>VLOOKUP(Tabela10[[#This Row],[Circuito]],BD!A:T,4,FALSE)</f>
        <v>-</v>
      </c>
      <c r="F68" s="99" t="str">
        <f>VLOOKUP(Tabela10[[#This Row],[Circuito]],BD!A:T,5,FALSE)</f>
        <v>4P#1,0mm²+SHI+SHC (N.I.S.)</v>
      </c>
      <c r="G68" s="101" t="str">
        <f>VLOOKUP(Tabela10[[#This Row],[Circuito]],BD!A:AE,31,0)</f>
        <v>Digital (N.I.S.)</v>
      </c>
      <c r="H68" s="101">
        <f>VLOOKUP(Tabela10[[#This Row],[Circuito]],BD!A:T,8,FALSE)</f>
        <v>370</v>
      </c>
      <c r="I68" s="101">
        <f>VLOOKUP(Tabela10[[#This Row],[Circuito]],BD!A:T,9,FALSE)</f>
        <v>370</v>
      </c>
      <c r="J68" s="103">
        <f>IF(VLOOKUP(Tabela10[[#This Row],[Circuito]],BD!A:AA,27,FALSE)=0,"",VLOOKUP(Tabela10[[#This Row],[Circuito]],BD!A:AA,27,FALSE))</f>
        <v>128</v>
      </c>
      <c r="K68" s="112" t="str">
        <f>VLOOKUP(Tabela10[[#This Row],[Circuito]],BD!A:T,11,FALSE)</f>
        <v>7HV/TCC-49</v>
      </c>
      <c r="L68" s="99" t="str">
        <f>VLOOKUP(Tabela10[[#This Row],[Circuito]],BD!A:T,12,FALSE)</f>
        <v>CCP/UCP LI-200A</v>
      </c>
      <c r="M68" s="99" t="str">
        <f>VLOOKUP(Tabela10[[#This Row],[Circuito]],BD!A:T,20,FALSE)</f>
        <v>BK-SP54-00200-LC-81-00001_00000</v>
      </c>
      <c r="N68" s="106" t="s">
        <v>2173</v>
      </c>
      <c r="O68" s="46" t="str">
        <f>VLOOKUP(Tabela10[[#This Row],[Circuito]],BD!$A:$AB,28,0)</f>
        <v>Disponível</v>
      </c>
      <c r="P68" s="46" t="s">
        <v>650</v>
      </c>
      <c r="Q68" s="146" t="str">
        <f>VLOOKUP(Tabela10[[#This Row],[Circuito]],BD!A:AC,28,0)</f>
        <v>Disponível</v>
      </c>
    </row>
    <row r="69" spans="1:17" ht="22.5" customHeight="1" x14ac:dyDescent="0.2">
      <c r="A69" s="105" t="s">
        <v>670</v>
      </c>
      <c r="B69" s="100">
        <v>44175</v>
      </c>
      <c r="C69" s="100">
        <v>44182</v>
      </c>
      <c r="D69" s="101" t="str">
        <f>VLOOKUP(Tabela10[[#This Row],[Circuito]],BD!A:T,3,FALSE)</f>
        <v>-</v>
      </c>
      <c r="E69" s="101" t="str">
        <f>VLOOKUP(Tabela10[[#This Row],[Circuito]],BD!A:T,4,FALSE)</f>
        <v>-</v>
      </c>
      <c r="F69" s="99" t="str">
        <f>VLOOKUP(Tabela10[[#This Row],[Circuito]],BD!A:T,5,FALSE)</f>
        <v>2P#1,0mm²+SHI+SHC (N.I.S.)</v>
      </c>
      <c r="G69" s="101" t="str">
        <f>VLOOKUP(Tabela10[[#This Row],[Circuito]],BD!A:AE,31,0)</f>
        <v>Digital (N.I.S.)</v>
      </c>
      <c r="H69" s="101">
        <f>VLOOKUP(Tabela10[[#This Row],[Circuito]],BD!A:T,8,FALSE)</f>
        <v>370</v>
      </c>
      <c r="I69" s="101">
        <f>VLOOKUP(Tabela10[[#This Row],[Circuito]],BD!A:T,9,FALSE)</f>
        <v>370</v>
      </c>
      <c r="J69" s="103">
        <f>IF(VLOOKUP(Tabela10[[#This Row],[Circuito]],BD!A:AA,27,FALSE)=0,"",VLOOKUP(Tabela10[[#This Row],[Circuito]],BD!A:AA,27,FALSE))</f>
        <v>73</v>
      </c>
      <c r="K69" s="112" t="str">
        <f>VLOOKUP(Tabela10[[#This Row],[Circuito]],BD!A:T,11,FALSE)</f>
        <v>7HV/TCC-49</v>
      </c>
      <c r="L69" s="99" t="str">
        <f>VLOOKUP(Tabela10[[#This Row],[Circuito]],BD!A:T,12,FALSE)</f>
        <v>CCP/UCP LI-200A</v>
      </c>
      <c r="M69" s="99" t="str">
        <f>VLOOKUP(Tabela10[[#This Row],[Circuito]],BD!A:T,20,FALSE)</f>
        <v>BK-SP54-00200-LC-81-00001_00000</v>
      </c>
      <c r="N69" s="106" t="s">
        <v>2173</v>
      </c>
      <c r="O69" s="46" t="str">
        <f>VLOOKUP(Tabela10[[#This Row],[Circuito]],BD!$A:$AB,28,0)</f>
        <v>Disponível</v>
      </c>
      <c r="P69" s="46" t="s">
        <v>650</v>
      </c>
      <c r="Q69" s="146" t="str">
        <f>VLOOKUP(Tabela10[[#This Row],[Circuito]],BD!A:AC,28,0)</f>
        <v>Disponível</v>
      </c>
    </row>
    <row r="70" spans="1:17" ht="22.5" customHeight="1" x14ac:dyDescent="0.2">
      <c r="A70" s="105" t="s">
        <v>672</v>
      </c>
      <c r="B70" s="100">
        <v>44175</v>
      </c>
      <c r="C70" s="100">
        <v>44182</v>
      </c>
      <c r="D70" s="101" t="str">
        <f>VLOOKUP(Tabela10[[#This Row],[Circuito]],BD!A:T,3,FALSE)</f>
        <v>-</v>
      </c>
      <c r="E70" s="101" t="str">
        <f>VLOOKUP(Tabela10[[#This Row],[Circuito]],BD!A:T,4,FALSE)</f>
        <v>-</v>
      </c>
      <c r="F70" s="99" t="str">
        <f>VLOOKUP(Tabela10[[#This Row],[Circuito]],BD!A:T,5,FALSE)</f>
        <v>2P#1,0mm²+SHI+SHC (N.I.S.)</v>
      </c>
      <c r="G70" s="101" t="str">
        <f>VLOOKUP(Tabela10[[#This Row],[Circuito]],BD!A:AE,31,0)</f>
        <v>Digital (N.I.S.)</v>
      </c>
      <c r="H70" s="101">
        <f>VLOOKUP(Tabela10[[#This Row],[Circuito]],BD!A:T,8,FALSE)</f>
        <v>370</v>
      </c>
      <c r="I70" s="101">
        <f>VLOOKUP(Tabela10[[#This Row],[Circuito]],BD!A:T,9,FALSE)</f>
        <v>370</v>
      </c>
      <c r="J70" s="103">
        <f>IF(VLOOKUP(Tabela10[[#This Row],[Circuito]],BD!A:AA,27,FALSE)=0,"",VLOOKUP(Tabela10[[#This Row],[Circuito]],BD!A:AA,27,FALSE))</f>
        <v>217</v>
      </c>
      <c r="K70" s="112" t="str">
        <f>VLOOKUP(Tabela10[[#This Row],[Circuito]],BD!A:T,11,FALSE)</f>
        <v>7HV/TCC-49</v>
      </c>
      <c r="L70" s="99" t="str">
        <f>VLOOKUP(Tabela10[[#This Row],[Circuito]],BD!A:T,12,FALSE)</f>
        <v>CCP/UCP LI-200A</v>
      </c>
      <c r="M70" s="99" t="str">
        <f>VLOOKUP(Tabela10[[#This Row],[Circuito]],BD!A:T,20,FALSE)</f>
        <v>BK-SP54-00200-LC-81-00001_00000</v>
      </c>
      <c r="N70" s="106" t="s">
        <v>2173</v>
      </c>
      <c r="O70" s="46" t="str">
        <f>VLOOKUP(Tabela10[[#This Row],[Circuito]],BD!$A:$AB,28,0)</f>
        <v>Disponível</v>
      </c>
      <c r="P70" s="46" t="s">
        <v>650</v>
      </c>
      <c r="Q70" s="146" t="str">
        <f>VLOOKUP(Tabela10[[#This Row],[Circuito]],BD!A:AC,28,0)</f>
        <v>Disponível</v>
      </c>
    </row>
    <row r="71" spans="1:17" ht="22.5" customHeight="1" x14ac:dyDescent="0.2">
      <c r="A71" s="105" t="s">
        <v>674</v>
      </c>
      <c r="B71" s="100">
        <v>44175</v>
      </c>
      <c r="C71" s="100">
        <v>44182</v>
      </c>
      <c r="D71" s="101" t="str">
        <f>VLOOKUP(Tabela10[[#This Row],[Circuito]],BD!A:T,3,FALSE)</f>
        <v>-</v>
      </c>
      <c r="E71" s="101" t="str">
        <f>VLOOKUP(Tabela10[[#This Row],[Circuito]],BD!A:T,4,FALSE)</f>
        <v>-</v>
      </c>
      <c r="F71" s="99" t="str">
        <f>VLOOKUP(Tabela10[[#This Row],[Circuito]],BD!A:T,5,FALSE)</f>
        <v>2P#1,0mm²+SHI+SHC (N.I.S.)</v>
      </c>
      <c r="G71" s="101" t="str">
        <f>VLOOKUP(Tabela10[[#This Row],[Circuito]],BD!A:AE,31,0)</f>
        <v>Digital (N.I.S.)</v>
      </c>
      <c r="H71" s="101">
        <f>VLOOKUP(Tabela10[[#This Row],[Circuito]],BD!A:T,8,FALSE)</f>
        <v>370</v>
      </c>
      <c r="I71" s="101">
        <f>VLOOKUP(Tabela10[[#This Row],[Circuito]],BD!A:T,9,FALSE)</f>
        <v>370</v>
      </c>
      <c r="J71" s="103">
        <f>IF(VLOOKUP(Tabela10[[#This Row],[Circuito]],BD!A:AA,27,FALSE)=0,"",VLOOKUP(Tabela10[[#This Row],[Circuito]],BD!A:AA,27,FALSE))</f>
        <v>217</v>
      </c>
      <c r="K71" s="112" t="str">
        <f>VLOOKUP(Tabela10[[#This Row],[Circuito]],BD!A:T,11,FALSE)</f>
        <v>7HV/TCC-49</v>
      </c>
      <c r="L71" s="99" t="str">
        <f>VLOOKUP(Tabela10[[#This Row],[Circuito]],BD!A:T,12,FALSE)</f>
        <v>CCP/UCP LI-200A</v>
      </c>
      <c r="M71" s="99" t="str">
        <f>VLOOKUP(Tabela10[[#This Row],[Circuito]],BD!A:T,20,FALSE)</f>
        <v>BK-SP54-00200-LC-81-00001_00000</v>
      </c>
      <c r="N71" s="106" t="s">
        <v>2173</v>
      </c>
      <c r="O71" s="46" t="str">
        <f>VLOOKUP(Tabela10[[#This Row],[Circuito]],BD!$A:$AB,28,0)</f>
        <v>Disponível</v>
      </c>
      <c r="P71" s="46" t="s">
        <v>650</v>
      </c>
      <c r="Q71" s="146" t="str">
        <f>VLOOKUP(Tabela10[[#This Row],[Circuito]],BD!A:AC,28,0)</f>
        <v>Disponível</v>
      </c>
    </row>
    <row r="72" spans="1:17" ht="22.5" customHeight="1" x14ac:dyDescent="0.2">
      <c r="A72" s="105" t="s">
        <v>675</v>
      </c>
      <c r="B72" s="100">
        <v>44175</v>
      </c>
      <c r="C72" s="100">
        <v>44182</v>
      </c>
      <c r="D72" s="101" t="str">
        <f>VLOOKUP(Tabela10[[#This Row],[Circuito]],BD!A:T,3,FALSE)</f>
        <v>-</v>
      </c>
      <c r="E72" s="101" t="str">
        <f>VLOOKUP(Tabela10[[#This Row],[Circuito]],BD!A:T,4,FALSE)</f>
        <v>-</v>
      </c>
      <c r="F72" s="99" t="str">
        <f>VLOOKUP(Tabela10[[#This Row],[Circuito]],BD!A:T,5,FALSE)</f>
        <v>12P#1,5mm²+SHI+SHC (N.I.S.)</v>
      </c>
      <c r="G72" s="101" t="str">
        <f>VLOOKUP(Tabela10[[#This Row],[Circuito]],BD!A:AE,31,0)</f>
        <v>Digital (N.I.S.)</v>
      </c>
      <c r="H72" s="101">
        <f>VLOOKUP(Tabela10[[#This Row],[Circuito]],BD!A:T,8,FALSE)</f>
        <v>370</v>
      </c>
      <c r="I72" s="101">
        <f>VLOOKUP(Tabela10[[#This Row],[Circuito]],BD!A:T,9,FALSE)</f>
        <v>370</v>
      </c>
      <c r="J72" s="103">
        <f>IF(VLOOKUP(Tabela10[[#This Row],[Circuito]],BD!A:AA,27,FALSE)=0,"",VLOOKUP(Tabela10[[#This Row],[Circuito]],BD!A:AA,27,FALSE))</f>
        <v>92</v>
      </c>
      <c r="K72" s="112" t="str">
        <f>VLOOKUP(Tabela10[[#This Row],[Circuito]],BD!A:T,11,FALSE)</f>
        <v>7HV/GBM-200-INV</v>
      </c>
      <c r="L72" s="99" t="str">
        <f>VLOOKUP(Tabela10[[#This Row],[Circuito]],BD!A:T,12,FALSE)</f>
        <v>CCP/UCP LI-200A</v>
      </c>
      <c r="M72" s="99" t="str">
        <f>VLOOKUP(Tabela10[[#This Row],[Circuito]],BD!A:T,20,FALSE)</f>
        <v>BK-SP54-00200-LC-81-00001_00000</v>
      </c>
      <c r="N72" s="106" t="s">
        <v>2173</v>
      </c>
      <c r="O72" s="46" t="str">
        <f>VLOOKUP(Tabela10[[#This Row],[Circuito]],BD!$A:$AB,28,0)</f>
        <v>Disponível</v>
      </c>
      <c r="P72" s="46" t="s">
        <v>650</v>
      </c>
      <c r="Q72" s="146" t="str">
        <f>VLOOKUP(Tabela10[[#This Row],[Circuito]],BD!A:AC,28,0)</f>
        <v>Disponível</v>
      </c>
    </row>
    <row r="73" spans="1:17" ht="22.5" customHeight="1" x14ac:dyDescent="0.2">
      <c r="A73" s="105" t="s">
        <v>695</v>
      </c>
      <c r="B73" s="100">
        <v>44175</v>
      </c>
      <c r="C73" s="100">
        <v>44182</v>
      </c>
      <c r="D73" s="101" t="str">
        <f>VLOOKUP(Tabela10[[#This Row],[Circuito]],BD!A:T,3,FALSE)</f>
        <v>-</v>
      </c>
      <c r="E73" s="101" t="str">
        <f>VLOOKUP(Tabela10[[#This Row],[Circuito]],BD!A:T,4,FALSE)</f>
        <v>-</v>
      </c>
      <c r="F73" s="99" t="str">
        <f>VLOOKUP(Tabela10[[#This Row],[Circuito]],BD!A:T,5,FALSE)</f>
        <v>1P#1,0mm²+SHI (N.I.S.)</v>
      </c>
      <c r="G73" s="101" t="str">
        <f>VLOOKUP(Tabela10[[#This Row],[Circuito]],BD!A:AE,31,0)</f>
        <v>Digital (N.I.S.)</v>
      </c>
      <c r="H73" s="101">
        <f>VLOOKUP(Tabela10[[#This Row],[Circuito]],BD!A:T,8,FALSE)</f>
        <v>370</v>
      </c>
      <c r="I73" s="101">
        <f>VLOOKUP(Tabela10[[#This Row],[Circuito]],BD!A:T,9,FALSE)</f>
        <v>370</v>
      </c>
      <c r="J73" s="103">
        <f>IF(VLOOKUP(Tabela10[[#This Row],[Circuito]],BD!A:AA,27,FALSE)=0,"",VLOOKUP(Tabela10[[#This Row],[Circuito]],BD!A:AA,27,FALSE))</f>
        <v>170</v>
      </c>
      <c r="K73" s="112" t="str">
        <f>VLOOKUP(Tabela10[[#This Row],[Circuito]],BD!A:T,11,FALSE)</f>
        <v>7HV/TR-09A</v>
      </c>
      <c r="L73" s="99" t="str">
        <f>VLOOKUP(Tabela10[[#This Row],[Circuito]],BD!A:T,12,FALSE)</f>
        <v>CCP/UCP LI-200A</v>
      </c>
      <c r="M73" s="99" t="str">
        <f>VLOOKUP(Tabela10[[#This Row],[Circuito]],BD!A:T,20,FALSE)</f>
        <v>BK-SP54-00200-LC-81-00001_00000</v>
      </c>
      <c r="N73" s="106" t="s">
        <v>2173</v>
      </c>
      <c r="O73" s="46" t="str">
        <f>VLOOKUP(Tabela10[[#This Row],[Circuito]],BD!$A:$AB,28,0)</f>
        <v>Disponível</v>
      </c>
      <c r="P73" s="46" t="s">
        <v>650</v>
      </c>
      <c r="Q73" s="146" t="str">
        <f>VLOOKUP(Tabela10[[#This Row],[Circuito]],BD!A:AC,28,0)</f>
        <v>Disponível</v>
      </c>
    </row>
    <row r="74" spans="1:17" ht="22.5" customHeight="1" x14ac:dyDescent="0.2">
      <c r="A74" s="105" t="s">
        <v>698</v>
      </c>
      <c r="B74" s="100">
        <v>44175</v>
      </c>
      <c r="C74" s="100">
        <v>44182</v>
      </c>
      <c r="D74" s="101" t="str">
        <f>VLOOKUP(Tabela10[[#This Row],[Circuito]],BD!A:T,3,FALSE)</f>
        <v>-</v>
      </c>
      <c r="E74" s="101" t="str">
        <f>VLOOKUP(Tabela10[[#This Row],[Circuito]],BD!A:T,4,FALSE)</f>
        <v>-</v>
      </c>
      <c r="F74" s="99" t="str">
        <f>VLOOKUP(Tabela10[[#This Row],[Circuito]],BD!A:T,5,FALSE)</f>
        <v>1P#1,0mm²+SHI (N.I.S.)</v>
      </c>
      <c r="G74" s="101" t="str">
        <f>VLOOKUP(Tabela10[[#This Row],[Circuito]],BD!A:AE,31,0)</f>
        <v>Digital (N.I.S.)</v>
      </c>
      <c r="H74" s="101">
        <f>VLOOKUP(Tabela10[[#This Row],[Circuito]],BD!A:T,8,FALSE)</f>
        <v>370</v>
      </c>
      <c r="I74" s="101">
        <f>VLOOKUP(Tabela10[[#This Row],[Circuito]],BD!A:T,9,FALSE)</f>
        <v>370</v>
      </c>
      <c r="J74" s="103">
        <f>IF(VLOOKUP(Tabela10[[#This Row],[Circuito]],BD!A:AA,27,FALSE)=0,"",VLOOKUP(Tabela10[[#This Row],[Circuito]],BD!A:AA,27,FALSE))</f>
        <v>170</v>
      </c>
      <c r="K74" s="112" t="str">
        <f>VLOOKUP(Tabela10[[#This Row],[Circuito]],BD!A:T,11,FALSE)</f>
        <v>7HV/TR-09B</v>
      </c>
      <c r="L74" s="99" t="str">
        <f>VLOOKUP(Tabela10[[#This Row],[Circuito]],BD!A:T,12,FALSE)</f>
        <v>CCP/UCP LI-200A</v>
      </c>
      <c r="M74" s="99" t="str">
        <f>VLOOKUP(Tabela10[[#This Row],[Circuito]],BD!A:T,20,FALSE)</f>
        <v>BK-SP54-00200-LC-81-00001_00000</v>
      </c>
      <c r="N74" s="106" t="s">
        <v>2173</v>
      </c>
      <c r="O74" s="46" t="str">
        <f>VLOOKUP(Tabela10[[#This Row],[Circuito]],BD!$A:$AB,28,0)</f>
        <v>Disponível</v>
      </c>
      <c r="P74" s="46" t="s">
        <v>650</v>
      </c>
      <c r="Q74" s="146" t="str">
        <f>VLOOKUP(Tabela10[[#This Row],[Circuito]],BD!A:AC,28,0)</f>
        <v>Disponível</v>
      </c>
    </row>
    <row r="75" spans="1:17" ht="22.5" customHeight="1" x14ac:dyDescent="0.2">
      <c r="A75" s="105" t="s">
        <v>700</v>
      </c>
      <c r="B75" s="100">
        <v>44175</v>
      </c>
      <c r="C75" s="100">
        <v>44182</v>
      </c>
      <c r="D75" s="101" t="str">
        <f>VLOOKUP(Tabela10[[#This Row],[Circuito]],BD!A:T,3,FALSE)</f>
        <v>-</v>
      </c>
      <c r="E75" s="101" t="str">
        <f>VLOOKUP(Tabela10[[#This Row],[Circuito]],BD!A:T,4,FALSE)</f>
        <v>-</v>
      </c>
      <c r="F75" s="99" t="str">
        <f>VLOOKUP(Tabela10[[#This Row],[Circuito]],BD!A:T,5,FALSE)</f>
        <v>8P#1,0mm²+SHI+SHC (N.I.S.)</v>
      </c>
      <c r="G75" s="101" t="str">
        <f>VLOOKUP(Tabela10[[#This Row],[Circuito]],BD!A:AE,31,0)</f>
        <v>Digital (N.I.S.)</v>
      </c>
      <c r="H75" s="101">
        <f>VLOOKUP(Tabela10[[#This Row],[Circuito]],BD!A:T,8,FALSE)</f>
        <v>370</v>
      </c>
      <c r="I75" s="101">
        <f>VLOOKUP(Tabela10[[#This Row],[Circuito]],BD!A:T,9,FALSE)</f>
        <v>370</v>
      </c>
      <c r="J75" s="103">
        <f>IF(VLOOKUP(Tabela10[[#This Row],[Circuito]],BD!A:AA,27,FALSE)=0,"",VLOOKUP(Tabela10[[#This Row],[Circuito]],BD!A:AA,27,FALSE))</f>
        <v>3</v>
      </c>
      <c r="K75" s="112" t="str">
        <f>VLOOKUP(Tabela10[[#This Row],[Circuito]],BD!A:T,11,FALSE)</f>
        <v>7HV/BNC</v>
      </c>
      <c r="L75" s="99" t="str">
        <f>VLOOKUP(Tabela10[[#This Row],[Circuito]],BD!A:T,12,FALSE)</f>
        <v>CCP/UCP LI-200A</v>
      </c>
      <c r="M75" s="99" t="str">
        <f>VLOOKUP(Tabela10[[#This Row],[Circuito]],BD!A:T,20,FALSE)</f>
        <v>BK-SP54-00200-LC-81-00001_00000</v>
      </c>
      <c r="N75" s="106" t="s">
        <v>2173</v>
      </c>
      <c r="O75" s="46" t="str">
        <f>VLOOKUP(Tabela10[[#This Row],[Circuito]],BD!$A:$AB,28,0)</f>
        <v>Disponível</v>
      </c>
      <c r="P75" s="46" t="s">
        <v>650</v>
      </c>
      <c r="Q75" s="146" t="str">
        <f>VLOOKUP(Tabela10[[#This Row],[Circuito]],BD!A:AC,28,0)</f>
        <v>Disponível</v>
      </c>
    </row>
    <row r="76" spans="1:17" ht="22.5" customHeight="1" x14ac:dyDescent="0.2">
      <c r="A76" s="104" t="s">
        <v>710</v>
      </c>
      <c r="B76" s="160"/>
      <c r="C76" s="160"/>
      <c r="D76" s="161"/>
      <c r="E76" s="161"/>
      <c r="F76" s="162"/>
      <c r="G76" s="162"/>
      <c r="H76" s="161"/>
      <c r="I76" s="161"/>
      <c r="J76" s="163"/>
      <c r="K76" s="164"/>
      <c r="L76" s="162"/>
      <c r="M76" s="162"/>
      <c r="N76" s="165"/>
      <c r="O76" s="166"/>
      <c r="P76" s="166"/>
      <c r="Q76" s="145" t="e">
        <f>VLOOKUP(Tabela10[[#This Row],[Circuito]],BD!A:AC,28,0)</f>
        <v>#N/A</v>
      </c>
    </row>
    <row r="77" spans="1:17" ht="22.5" customHeight="1" x14ac:dyDescent="0.2">
      <c r="A77" s="105" t="s">
        <v>727</v>
      </c>
      <c r="B77" s="100">
        <v>44165</v>
      </c>
      <c r="C77" s="100">
        <v>44174</v>
      </c>
      <c r="D77" s="101" t="str">
        <f>VLOOKUP(Tabela10[[#This Row],[Circuito]],BD!A:T,3,FALSE)</f>
        <v>-</v>
      </c>
      <c r="E77" s="101" t="str">
        <f>VLOOKUP(Tabela10[[#This Row],[Circuito]],BD!A:T,4,FALSE)</f>
        <v>-</v>
      </c>
      <c r="F77" s="99" t="str">
        <f>VLOOKUP(Tabela10[[#This Row],[Circuito]],BD!A:T,5,FALSE)</f>
        <v>12P#1,0mm²+SHI+SHC (I.S.)</v>
      </c>
      <c r="G77" s="101" t="str">
        <f>VLOOKUP(Tabela10[[#This Row],[Circuito]],BD!A:AE,31,0)</f>
        <v>Analógico (I.S.)</v>
      </c>
      <c r="H77" s="101">
        <f>VLOOKUP(Tabela10[[#This Row],[Circuito]],BD!A:T,8,FALSE)</f>
        <v>100</v>
      </c>
      <c r="I77" s="101">
        <f>VLOOKUP(Tabela10[[#This Row],[Circuito]],BD!A:T,9,FALSE)</f>
        <v>100</v>
      </c>
      <c r="J77" s="103">
        <f>IF(VLOOKUP(Tabela10[[#This Row],[Circuito]],BD!A:AA,27,FALSE)=0,"",VLOOKUP(Tabela10[[#This Row],[Circuito]],BD!A:AA,27,FALSE))</f>
        <v>94</v>
      </c>
      <c r="K77" s="112" t="str">
        <f>VLOOKUP(Tabela10[[#This Row],[Circuito]],BD!A:T,11,FALSE)</f>
        <v xml:space="preserve">JBI-120-103X </v>
      </c>
      <c r="L77" s="99" t="str">
        <f>VLOOKUP(Tabela10[[#This Row],[Circuito]],BD!A:T,12,FALSE)</f>
        <v>7HV/AMB-GB-1201</v>
      </c>
      <c r="M77" s="99" t="str">
        <f>VLOOKUP(Tabela10[[#This Row],[Circuito]],BD!A:T,20,FALSE)</f>
        <v>BK-SP54-01200-LC-80-00004_00000</v>
      </c>
      <c r="N77" s="106" t="s">
        <v>2174</v>
      </c>
      <c r="O77" s="46" t="str">
        <f>VLOOKUP(Tabela10[[#This Row],[Circuito]],BD!$A:$AB,28,0)</f>
        <v>Disponível</v>
      </c>
      <c r="P77" s="46" t="s">
        <v>2175</v>
      </c>
      <c r="Q77" s="145" t="str">
        <f>VLOOKUP(Tabela10[[#This Row],[Circuito]],BD!A:AC,28,0)</f>
        <v>Disponível</v>
      </c>
    </row>
    <row r="78" spans="1:17" ht="22.5" customHeight="1" x14ac:dyDescent="0.2">
      <c r="A78" s="105" t="s">
        <v>729</v>
      </c>
      <c r="B78" s="100">
        <v>44165</v>
      </c>
      <c r="C78" s="100">
        <v>44174</v>
      </c>
      <c r="D78" s="101" t="str">
        <f>VLOOKUP(Tabela10[[#This Row],[Circuito]],BD!A:T,3,FALSE)</f>
        <v>-</v>
      </c>
      <c r="E78" s="101" t="str">
        <f>VLOOKUP(Tabela10[[#This Row],[Circuito]],BD!A:T,4,FALSE)</f>
        <v>-</v>
      </c>
      <c r="F78" s="99" t="str">
        <f>VLOOKUP(Tabela10[[#This Row],[Circuito]],BD!A:T,5,FALSE)</f>
        <v>4P#1,0mm²+SHI+SHC (I.S.)</v>
      </c>
      <c r="G78" s="101" t="str">
        <f>VLOOKUP(Tabela10[[#This Row],[Circuito]],BD!A:AE,31,0)</f>
        <v>Analógico (I.S.)</v>
      </c>
      <c r="H78" s="101">
        <f>VLOOKUP(Tabela10[[#This Row],[Circuito]],BD!A:T,8,FALSE)</f>
        <v>100</v>
      </c>
      <c r="I78" s="101">
        <f>VLOOKUP(Tabela10[[#This Row],[Circuito]],BD!A:T,9,FALSE)</f>
        <v>100</v>
      </c>
      <c r="J78" s="103">
        <f>IF(VLOOKUP(Tabela10[[#This Row],[Circuito]],BD!A:AA,27,FALSE)=0,"",VLOOKUP(Tabela10[[#This Row],[Circuito]],BD!A:AA,27,FALSE))</f>
        <v>127</v>
      </c>
      <c r="K78" s="112" t="str">
        <f>VLOOKUP(Tabela10[[#This Row],[Circuito]],BD!A:T,11,FALSE)</f>
        <v>JBI-120-103X</v>
      </c>
      <c r="L78" s="99" t="str">
        <f>VLOOKUP(Tabela10[[#This Row],[Circuito]],BD!A:T,12,FALSE)</f>
        <v>7HV/AMB-GB-1201</v>
      </c>
      <c r="M78" s="99" t="str">
        <f>VLOOKUP(Tabela10[[#This Row],[Circuito]],BD!A:T,20,FALSE)</f>
        <v>BK-SP54-01200-LC-80-00004_00000</v>
      </c>
      <c r="N78" s="106" t="s">
        <v>2174</v>
      </c>
      <c r="O78" s="46" t="str">
        <f>VLOOKUP(Tabela10[[#This Row],[Circuito]],BD!$A:$AB,28,0)</f>
        <v>Disponível</v>
      </c>
      <c r="P78" s="46" t="s">
        <v>2175</v>
      </c>
      <c r="Q78" s="145" t="str">
        <f>VLOOKUP(Tabela10[[#This Row],[Circuito]],BD!A:AC,28,0)</f>
        <v>Disponível</v>
      </c>
    </row>
    <row r="79" spans="1:17" ht="22.5" customHeight="1" x14ac:dyDescent="0.2">
      <c r="A79" s="104" t="s">
        <v>768</v>
      </c>
      <c r="B79" s="160"/>
      <c r="C79" s="160"/>
      <c r="D79" s="161"/>
      <c r="E79" s="161"/>
      <c r="F79" s="162"/>
      <c r="G79" s="162"/>
      <c r="H79" s="161"/>
      <c r="I79" s="161"/>
      <c r="J79" s="163"/>
      <c r="K79" s="164"/>
      <c r="L79" s="162"/>
      <c r="M79" s="162"/>
      <c r="N79" s="165"/>
      <c r="O79" s="166"/>
      <c r="P79" s="166"/>
      <c r="Q79" s="145" t="e">
        <f>VLOOKUP(Tabela10[[#This Row],[Circuito]],BD!A:AC,28,0)</f>
        <v>#N/A</v>
      </c>
    </row>
    <row r="80" spans="1:17" ht="22.5" customHeight="1" x14ac:dyDescent="0.2">
      <c r="A80" s="105" t="s">
        <v>760</v>
      </c>
      <c r="B80" s="100">
        <v>44158</v>
      </c>
      <c r="C80" s="100">
        <v>44165</v>
      </c>
      <c r="D80" s="101">
        <f>VLOOKUP(Tabela10[[#This Row],[Circuito]],BD!A:T,3,FALSE)</f>
        <v>5400</v>
      </c>
      <c r="E80" s="101" t="str">
        <f>VLOOKUP(Tabela10[[#This Row],[Circuito]],BD!A:T,4,FALSE)</f>
        <v>8,7/15</v>
      </c>
      <c r="F80" s="99" t="str">
        <f>VLOOKUP(Tabela10[[#This Row],[Circuito]],BD!A:T,5,FALSE)</f>
        <v>4x3x1/C#240</v>
      </c>
      <c r="G80" s="101" t="s">
        <v>92</v>
      </c>
      <c r="H80" s="101">
        <f>VLOOKUP(Tabela10[[#This Row],[Circuito]],BD!A:T,8,FALSE)</f>
        <v>420</v>
      </c>
      <c r="I80" s="101">
        <f>VLOOKUP(Tabela10[[#This Row],[Circuito]],BD!A:T,9,FALSE)</f>
        <v>5040</v>
      </c>
      <c r="J80" s="102" t="str">
        <f>IF(VLOOKUP(Tabela10[[#This Row],[Circuito]],BD!A:AA,27,FALSE)=0,"",VLOOKUP(Tabela10[[#This Row],[Circuito]],BD!A:AA,27,FALSE))</f>
        <v>22/24/25/36/37/38/39/41/43/44/54/57</v>
      </c>
      <c r="K80" s="112" t="str">
        <f>VLOOKUP(Tabela10[[#This Row],[Circuito]],BD!A:T,11,FALSE)</f>
        <v>GBM-200-INV</v>
      </c>
      <c r="L80" s="99" t="str">
        <f>VLOOKUP(Tabela10[[#This Row],[Circuito]],BD!A:T,12,FALSE)</f>
        <v>GBM-200</v>
      </c>
      <c r="M80" s="99" t="str">
        <f>VLOOKUP(Tabela10[[#This Row],[Circuito]],BD!A:T,20,FALSE)</f>
        <v>BK-SP54-0900B-LC-74-00004_00000</v>
      </c>
      <c r="N80" s="106" t="s">
        <v>2176</v>
      </c>
      <c r="O80" s="46" t="str">
        <f>VLOOKUP(Tabela10[[#This Row],[Circuito]],BD!$A:$AB,28,0)</f>
        <v>Disponível</v>
      </c>
      <c r="P80" s="46" t="s">
        <v>2177</v>
      </c>
      <c r="Q80" s="145" t="str">
        <f>VLOOKUP(Tabela10[[#This Row],[Circuito]],BD!A:AC,28,0)</f>
        <v>Disponível</v>
      </c>
    </row>
    <row r="81" spans="1:17" ht="18.75" x14ac:dyDescent="0.2">
      <c r="A81" s="104" t="s">
        <v>935</v>
      </c>
      <c r="B81" s="160"/>
      <c r="C81" s="160"/>
      <c r="D81" s="161"/>
      <c r="E81" s="161"/>
      <c r="F81" s="162"/>
      <c r="G81" s="161"/>
      <c r="H81" s="161"/>
      <c r="I81" s="161"/>
      <c r="J81" s="163"/>
      <c r="K81" s="164"/>
      <c r="L81" s="162"/>
      <c r="M81" s="162"/>
      <c r="N81" s="165"/>
      <c r="O81" s="147" t="e">
        <f>VLOOKUP(Tabela10[[#This Row],[Circuito]],BD!$A:$AB,28,0)</f>
        <v>#N/A</v>
      </c>
      <c r="P81" s="147"/>
      <c r="Q81" s="148" t="e">
        <f>VLOOKUP(Tabela10[[#This Row],[Circuito]],BD!A:AC,28,0)</f>
        <v>#N/A</v>
      </c>
    </row>
    <row r="82" spans="1:17" ht="45" x14ac:dyDescent="0.2">
      <c r="A82" s="105" t="s">
        <v>936</v>
      </c>
      <c r="B82" s="100">
        <v>44167</v>
      </c>
      <c r="C82" s="100">
        <v>44188</v>
      </c>
      <c r="D82" s="101">
        <f>VLOOKUP(Tabela10[[#This Row],[Circuito]],BD!A:T,3,FALSE)</f>
        <v>13800</v>
      </c>
      <c r="E82" s="101" t="str">
        <f>VLOOKUP(Tabela10[[#This Row],[Circuito]],BD!A:T,4,FALSE)</f>
        <v>8,7/15</v>
      </c>
      <c r="F82" s="99" t="str">
        <f>VLOOKUP(Tabela10[[#This Row],[Circuito]],BD!A:T,5,FALSE)</f>
        <v>5x3x1/c#185</v>
      </c>
      <c r="G82" s="101" t="s">
        <v>92</v>
      </c>
      <c r="H82" s="101">
        <f>VLOOKUP(Tabela10[[#This Row],[Circuito]],BD!A:T,8,FALSE)</f>
        <v>770</v>
      </c>
      <c r="I82" s="101">
        <f>VLOOKUP(Tabela10[[#This Row],[Circuito]],BD!A:T,9,FALSE)</f>
        <v>11550</v>
      </c>
      <c r="J82" s="102" t="str">
        <f>IF(VLOOKUP(Tabela10[[#This Row],[Circuito]],BD!A:AA,27,FALSE)=0,"",VLOOKUP(Tabela10[[#This Row],[Circuito]],BD!A:AA,27,FALSE))</f>
        <v>40/45/48/49/55/59/60/61/79/80/81/83/84/85/86</v>
      </c>
      <c r="K82" s="112" t="str">
        <f>VLOOKUP(Tabela10[[#This Row],[Circuito]],BD!A:T,11,FALSE)</f>
        <v>PAINEL 8HV</v>
      </c>
      <c r="L82" s="99" t="str">
        <f>VLOOKUP(Tabela10[[#This Row],[Circuito]],BD!A:T,12,FALSE)</f>
        <v>PAINEL 7HV</v>
      </c>
      <c r="M82" s="99" t="str">
        <f>VLOOKUP(Tabela10[[#This Row],[Circuito]],BD!A:T,20,FALSE)</f>
        <v>BK-SP54-0900A-LC-74-00001_00000</v>
      </c>
      <c r="N82" s="106" t="s">
        <v>2178</v>
      </c>
      <c r="O82" s="46" t="str">
        <f>VLOOKUP(Tabela10[[#This Row],[Circuito]],BD!$A:$AB,28,0)</f>
        <v>Disponível</v>
      </c>
      <c r="P82" s="46" t="s">
        <v>935</v>
      </c>
      <c r="Q82" s="145" t="str">
        <f>VLOOKUP(Tabela10[[#This Row],[Circuito]],BD!A:AC,28,0)</f>
        <v>Disponível</v>
      </c>
    </row>
    <row r="83" spans="1:17" ht="45" x14ac:dyDescent="0.2">
      <c r="A83" s="105" t="s">
        <v>2179</v>
      </c>
      <c r="B83" s="100">
        <v>44182</v>
      </c>
      <c r="C83" s="100">
        <v>44188</v>
      </c>
      <c r="D83" s="101" t="e">
        <f>VLOOKUP(Tabela10[[#This Row],[Circuito]],BD!A:T,3,FALSE)</f>
        <v>#N/A</v>
      </c>
      <c r="E83" s="101" t="e">
        <f>VLOOKUP(Tabela10[[#This Row],[Circuito]],BD!A:T,4,FALSE)</f>
        <v>#N/A</v>
      </c>
      <c r="F83" s="99" t="e">
        <f>VLOOKUP(Tabela10[[#This Row],[Circuito]],BD!A:T,5,FALSE)</f>
        <v>#N/A</v>
      </c>
      <c r="G83" s="101" t="s">
        <v>92</v>
      </c>
      <c r="H83" s="101" t="e">
        <f>VLOOKUP(Tabela10[[#This Row],[Circuito]],BD!A:T,8,FALSE)</f>
        <v>#N/A</v>
      </c>
      <c r="I83" s="101" t="e">
        <f>VLOOKUP(Tabela10[[#This Row],[Circuito]],BD!A:T,9,FALSE)</f>
        <v>#N/A</v>
      </c>
      <c r="J83" s="103" t="e">
        <f>IF(VLOOKUP(Tabela10[[#This Row],[Circuito]],BD!A:AA,27,FALSE)=0,"",VLOOKUP(Tabela10[[#This Row],[Circuito]],BD!A:AA,27,FALSE))</f>
        <v>#N/A</v>
      </c>
      <c r="K83" s="112" t="e">
        <f>VLOOKUP(Tabela10[[#This Row],[Circuito]],BD!A:T,11,FALSE)</f>
        <v>#N/A</v>
      </c>
      <c r="L83" s="99" t="e">
        <f>VLOOKUP(Tabela10[[#This Row],[Circuito]],BD!A:T,12,FALSE)</f>
        <v>#N/A</v>
      </c>
      <c r="M83" s="99" t="e">
        <f>VLOOKUP(Tabela10[[#This Row],[Circuito]],BD!A:T,20,FALSE)</f>
        <v>#N/A</v>
      </c>
      <c r="N83" s="106" t="s">
        <v>2178</v>
      </c>
      <c r="O83" s="46" t="e">
        <f>VLOOKUP(Tabela10[[#This Row],[Circuito]],BD!$A:$AB,28,0)</f>
        <v>#N/A</v>
      </c>
      <c r="P83" s="46" t="s">
        <v>935</v>
      </c>
      <c r="Q83" s="145" t="e">
        <f>VLOOKUP(Tabela10[[#This Row],[Circuito]],BD!A:AC,28,0)</f>
        <v>#N/A</v>
      </c>
    </row>
    <row r="84" spans="1:17" ht="22.5" customHeight="1" x14ac:dyDescent="0.2">
      <c r="A84" s="104" t="s">
        <v>968</v>
      </c>
      <c r="B84" s="160"/>
      <c r="C84" s="160"/>
      <c r="D84" s="161"/>
      <c r="E84" s="161"/>
      <c r="F84" s="162"/>
      <c r="G84" s="161"/>
      <c r="H84" s="161"/>
      <c r="I84" s="161"/>
      <c r="J84" s="163"/>
      <c r="K84" s="164"/>
      <c r="L84" s="162"/>
      <c r="M84" s="162"/>
      <c r="N84" s="165"/>
      <c r="O84" s="166"/>
      <c r="P84" s="166"/>
      <c r="Q84" s="145" t="e">
        <f>VLOOKUP(Tabela10[[#This Row],[Circuito]],BD!A:AC,28,0)</f>
        <v>#N/A</v>
      </c>
    </row>
    <row r="85" spans="1:17" ht="22.5" customHeight="1" x14ac:dyDescent="0.2">
      <c r="A85" s="105" t="s">
        <v>963</v>
      </c>
      <c r="B85" s="100">
        <v>44167</v>
      </c>
      <c r="C85" s="100">
        <v>44181</v>
      </c>
      <c r="D85" s="101">
        <f>VLOOKUP(Tabela10[[#This Row],[Circuito]],BD!A:T,3,FALSE)</f>
        <v>480</v>
      </c>
      <c r="E85" s="101" t="str">
        <f>VLOOKUP(Tabela10[[#This Row],[Circuito]],BD!A:T,4,FALSE)</f>
        <v>0,6/1</v>
      </c>
      <c r="F85" s="99" t="str">
        <f>VLOOKUP(Tabela10[[#This Row],[Circuito]],BD!A:T,5,FALSE)</f>
        <v>4x3x1/C#185</v>
      </c>
      <c r="G85" s="101" t="s">
        <v>92</v>
      </c>
      <c r="H85" s="101">
        <f>VLOOKUP(Tabela10[[#This Row],[Circuito]],BD!A:T,8,FALSE)</f>
        <v>750</v>
      </c>
      <c r="I85" s="101">
        <f>VLOOKUP(Tabela10[[#This Row],[Circuito]],BD!A:T,9,FALSE)</f>
        <v>9000</v>
      </c>
      <c r="J85" s="102" t="str">
        <f>IF(VLOOKUP(Tabela10[[#This Row],[Circuito]],BD!A:AA,27,FALSE)=0,"",VLOOKUP(Tabela10[[#This Row],[Circuito]],BD!A:AA,27,FALSE))</f>
        <v>62/63/65/76/77/78/88/89/90/91/112/210</v>
      </c>
      <c r="K85" s="112" t="str">
        <f>VLOOKUP(Tabela10[[#This Row],[Circuito]],BD!A:T,11,FALSE)</f>
        <v>MCC-TCC-3</v>
      </c>
      <c r="L85" s="99" t="str">
        <f>VLOOKUP(Tabela10[[#This Row],[Circuito]],BD!A:T,12,FALSE)</f>
        <v>TCC-36 - 8HV</v>
      </c>
      <c r="M85" s="99" t="str">
        <f>VLOOKUP(Tabela10[[#This Row],[Circuito]],BD!A:T,20,FALSE)</f>
        <v>BK-SP54-0900A-LC-74-00001_00000</v>
      </c>
      <c r="N85" s="106" t="s">
        <v>2180</v>
      </c>
      <c r="O85" s="46" t="str">
        <f>VLOOKUP(Tabela10[[#This Row],[Circuito]],BD!$A:$AB,28,0)</f>
        <v>Disponível</v>
      </c>
      <c r="P85" s="46" t="s">
        <v>968</v>
      </c>
      <c r="Q85" s="145" t="str">
        <f>VLOOKUP(Tabela10[[#This Row],[Circuito]],BD!A:AC,28,0)</f>
        <v>Disponível</v>
      </c>
    </row>
  </sheetData>
  <mergeCells count="2">
    <mergeCell ref="C1:M1"/>
    <mergeCell ref="A1:B1"/>
  </mergeCells>
  <pageMargins left="0.23622047244094491" right="0.23622047244094491" top="0.74803149606299213" bottom="0.74803149606299213" header="0.31496062992125984" footer="0.31496062992125984"/>
  <pageSetup paperSize="8" scale="60" fitToHeight="0" orientation="landscape" r:id="rId1"/>
  <rowBreaks count="1" manualBreakCount="1">
    <brk id="46" max="15" man="1"/>
  </rowBreak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5">
    <tabColor rgb="FF990000"/>
  </sheetPr>
  <dimension ref="A1:I23"/>
  <sheetViews>
    <sheetView workbookViewId="0">
      <selection activeCell="C429" sqref="C429"/>
    </sheetView>
  </sheetViews>
  <sheetFormatPr defaultRowHeight="15" x14ac:dyDescent="0.25"/>
  <cols>
    <col min="1" max="1" width="24.5703125" bestFit="1" customWidth="1"/>
    <col min="2" max="2" width="10.140625" customWidth="1"/>
    <col min="4" max="6" width="20.42578125" style="1" customWidth="1"/>
    <col min="7" max="7" width="30" bestFit="1" customWidth="1"/>
    <col min="8" max="8" width="13.28515625" style="1" bestFit="1" customWidth="1"/>
    <col min="9" max="9" width="18.5703125" bestFit="1" customWidth="1"/>
  </cols>
  <sheetData>
    <row r="1" spans="1:9" x14ac:dyDescent="0.25">
      <c r="A1" s="566" t="s">
        <v>2181</v>
      </c>
      <c r="B1" s="566"/>
      <c r="D1" s="387" t="s">
        <v>2182</v>
      </c>
      <c r="E1" s="387" t="s">
        <v>2183</v>
      </c>
      <c r="F1" s="387" t="s">
        <v>1485</v>
      </c>
      <c r="G1" s="387" t="s">
        <v>1</v>
      </c>
      <c r="H1" s="14" t="s">
        <v>1489</v>
      </c>
      <c r="I1" s="14" t="s">
        <v>78</v>
      </c>
    </row>
    <row r="2" spans="1:9" x14ac:dyDescent="0.25">
      <c r="A2" s="567" t="s">
        <v>2184</v>
      </c>
      <c r="B2" s="567"/>
      <c r="D2" s="15">
        <v>44071</v>
      </c>
      <c r="E2" s="16">
        <v>331952</v>
      </c>
      <c r="F2" s="16">
        <v>160</v>
      </c>
      <c r="G2" s="17" t="str">
        <f>IF(E2="","",IF(E2=$B$3,$A$2,$A$11))</f>
        <v>CABO NU MOLE 19FIOS 70MM2 1</v>
      </c>
      <c r="H2" s="141">
        <v>44044</v>
      </c>
      <c r="I2" s="16"/>
    </row>
    <row r="3" spans="1:9" x14ac:dyDescent="0.25">
      <c r="A3" s="18" t="s">
        <v>2185</v>
      </c>
      <c r="B3" s="19">
        <v>331952</v>
      </c>
      <c r="D3" s="15">
        <v>44075</v>
      </c>
      <c r="E3" s="16">
        <v>331952</v>
      </c>
      <c r="F3" s="16">
        <v>160</v>
      </c>
      <c r="G3" s="17" t="str">
        <f>IF(E3="","",IF(E3=$B$3,$A$2,$A$11))</f>
        <v>CABO NU MOLE 19FIOS 70MM2 1</v>
      </c>
      <c r="H3" s="142">
        <v>44136</v>
      </c>
      <c r="I3" s="16"/>
    </row>
    <row r="4" spans="1:9" x14ac:dyDescent="0.25">
      <c r="A4" s="18" t="s">
        <v>2186</v>
      </c>
      <c r="B4" s="19">
        <v>5700</v>
      </c>
      <c r="D4" s="15">
        <v>44131</v>
      </c>
      <c r="E4" s="16">
        <v>331952</v>
      </c>
      <c r="F4" s="16">
        <f>4*16</f>
        <v>64</v>
      </c>
      <c r="G4" s="17" t="str">
        <f t="shared" ref="G4:G23" si="0">IF(E4="","",IF(E4=$B$3,$A$2,$A$11))</f>
        <v>CABO NU MOLE 19FIOS 70MM2 1</v>
      </c>
      <c r="H4" s="141">
        <v>44105</v>
      </c>
      <c r="I4" s="16" t="s">
        <v>82</v>
      </c>
    </row>
    <row r="5" spans="1:9" x14ac:dyDescent="0.25">
      <c r="A5" s="18" t="s">
        <v>2187</v>
      </c>
      <c r="B5" s="19">
        <v>10322</v>
      </c>
      <c r="D5" s="15">
        <v>44134</v>
      </c>
      <c r="E5" s="16">
        <v>331952</v>
      </c>
      <c r="F5" s="16">
        <v>25</v>
      </c>
      <c r="G5" s="17" t="str">
        <f t="shared" si="0"/>
        <v>CABO NU MOLE 19FIOS 70MM2 1</v>
      </c>
      <c r="H5" s="141">
        <v>44105</v>
      </c>
      <c r="I5" s="16" t="s">
        <v>402</v>
      </c>
    </row>
    <row r="6" spans="1:9" s="1" customFormat="1" x14ac:dyDescent="0.25">
      <c r="A6" s="18" t="s">
        <v>2188</v>
      </c>
      <c r="B6" s="19">
        <f>SUMIF(E:E,$B$3,F:F)</f>
        <v>5239</v>
      </c>
      <c r="D6" s="15">
        <v>44152</v>
      </c>
      <c r="E6" s="16">
        <v>331952</v>
      </c>
      <c r="F6" s="16">
        <v>200</v>
      </c>
      <c r="G6" s="17" t="str">
        <f t="shared" si="0"/>
        <v>CABO NU MOLE 19FIOS 70MM2 1</v>
      </c>
      <c r="H6" s="142">
        <v>44136</v>
      </c>
      <c r="I6" s="16" t="s">
        <v>2189</v>
      </c>
    </row>
    <row r="7" spans="1:9" s="1" customFormat="1" x14ac:dyDescent="0.25">
      <c r="A7" s="18" t="s">
        <v>36</v>
      </c>
      <c r="B7" s="19">
        <f>B5-B6</f>
        <v>5083</v>
      </c>
      <c r="D7" s="15">
        <v>44207</v>
      </c>
      <c r="E7" s="16">
        <v>331952</v>
      </c>
      <c r="F7" s="16">
        <v>450</v>
      </c>
      <c r="G7" s="17" t="str">
        <f t="shared" si="0"/>
        <v>CABO NU MOLE 19FIOS 70MM2 1</v>
      </c>
      <c r="H7" s="141">
        <v>44197</v>
      </c>
      <c r="I7" s="16" t="s">
        <v>2190</v>
      </c>
    </row>
    <row r="8" spans="1:9" x14ac:dyDescent="0.25">
      <c r="A8" s="18" t="s">
        <v>2191</v>
      </c>
      <c r="B8" s="20">
        <f>B6/B5</f>
        <v>0.50755667506297231</v>
      </c>
      <c r="D8" s="15">
        <v>44246</v>
      </c>
      <c r="E8" s="16">
        <v>331952</v>
      </c>
      <c r="F8" s="16">
        <v>300</v>
      </c>
      <c r="G8" s="17" t="str">
        <f t="shared" si="0"/>
        <v>CABO NU MOLE 19FIOS 70MM2 1</v>
      </c>
      <c r="H8" s="141">
        <v>44228</v>
      </c>
      <c r="I8" s="16" t="s">
        <v>402</v>
      </c>
    </row>
    <row r="9" spans="1:9" x14ac:dyDescent="0.25">
      <c r="D9" s="15">
        <v>44253</v>
      </c>
      <c r="E9" s="16">
        <v>331952</v>
      </c>
      <c r="F9" s="16">
        <v>210</v>
      </c>
      <c r="G9" s="17" t="str">
        <f t="shared" si="0"/>
        <v>CABO NU MOLE 19FIOS 70MM2 1</v>
      </c>
      <c r="H9" s="141">
        <v>44228</v>
      </c>
      <c r="I9" s="16" t="s">
        <v>2192</v>
      </c>
    </row>
    <row r="10" spans="1:9" x14ac:dyDescent="0.25">
      <c r="A10" s="566" t="s">
        <v>2193</v>
      </c>
      <c r="B10" s="566"/>
      <c r="D10" s="15">
        <v>44253</v>
      </c>
      <c r="E10" s="16">
        <v>331952</v>
      </c>
      <c r="F10" s="16">
        <v>170</v>
      </c>
      <c r="G10" s="17" t="str">
        <f t="shared" si="0"/>
        <v>CABO NU MOLE 19FIOS 70MM2 1</v>
      </c>
      <c r="H10" s="141">
        <v>44228</v>
      </c>
      <c r="I10" s="16" t="s">
        <v>2194</v>
      </c>
    </row>
    <row r="11" spans="1:9" x14ac:dyDescent="0.25">
      <c r="A11" s="567" t="s">
        <v>2195</v>
      </c>
      <c r="B11" s="567"/>
      <c r="D11" s="15">
        <v>44271</v>
      </c>
      <c r="E11" s="16">
        <v>331952</v>
      </c>
      <c r="F11" s="16">
        <v>650</v>
      </c>
      <c r="G11" s="17" t="str">
        <f t="shared" si="0"/>
        <v>CABO NU MOLE 19FIOS 70MM2 1</v>
      </c>
      <c r="H11" s="141">
        <v>44256</v>
      </c>
      <c r="I11" s="16" t="s">
        <v>2196</v>
      </c>
    </row>
    <row r="12" spans="1:9" x14ac:dyDescent="0.25">
      <c r="A12" s="18" t="s">
        <v>2185</v>
      </c>
      <c r="B12" s="19">
        <v>320685</v>
      </c>
      <c r="D12" s="15">
        <v>44271</v>
      </c>
      <c r="E12" s="16">
        <v>331952</v>
      </c>
      <c r="F12" s="16">
        <v>450</v>
      </c>
      <c r="G12" s="17" t="str">
        <f t="shared" si="0"/>
        <v>CABO NU MOLE 19FIOS 70MM2 1</v>
      </c>
      <c r="H12" s="141">
        <v>44256</v>
      </c>
      <c r="I12" s="16" t="s">
        <v>908</v>
      </c>
    </row>
    <row r="13" spans="1:9" x14ac:dyDescent="0.25">
      <c r="A13" s="18" t="s">
        <v>2186</v>
      </c>
      <c r="B13" s="19">
        <v>1700</v>
      </c>
      <c r="D13" s="15">
        <v>44277</v>
      </c>
      <c r="E13" s="16">
        <v>331952</v>
      </c>
      <c r="F13" s="16">
        <v>2400</v>
      </c>
      <c r="G13" s="17" t="str">
        <f t="shared" si="0"/>
        <v>CABO NU MOLE 19FIOS 70MM2 1</v>
      </c>
      <c r="H13" s="141">
        <v>44256</v>
      </c>
      <c r="I13" s="16" t="s">
        <v>2197</v>
      </c>
    </row>
    <row r="14" spans="1:9" x14ac:dyDescent="0.25">
      <c r="A14" s="18" t="s">
        <v>2187</v>
      </c>
      <c r="B14" s="19">
        <v>1700</v>
      </c>
      <c r="D14" s="15">
        <v>44277</v>
      </c>
      <c r="E14" s="16">
        <v>320685</v>
      </c>
      <c r="F14" s="16">
        <v>1300</v>
      </c>
      <c r="G14" s="17" t="str">
        <f t="shared" si="0"/>
        <v>CABO NU MOLE 7FIOS 25MM2 1</v>
      </c>
      <c r="H14" s="141">
        <v>44256</v>
      </c>
      <c r="I14" s="16" t="s">
        <v>2198</v>
      </c>
    </row>
    <row r="15" spans="1:9" x14ac:dyDescent="0.25">
      <c r="A15" s="18" t="s">
        <v>2188</v>
      </c>
      <c r="B15" s="19">
        <f>SUMIF(E:E,$B$12,F:F)</f>
        <v>1300</v>
      </c>
      <c r="D15" s="16"/>
      <c r="E15" s="16"/>
      <c r="F15" s="16"/>
      <c r="G15" s="17" t="str">
        <f t="shared" si="0"/>
        <v/>
      </c>
      <c r="H15" s="141"/>
      <c r="I15" s="16"/>
    </row>
    <row r="16" spans="1:9" x14ac:dyDescent="0.25">
      <c r="A16" s="18" t="s">
        <v>36</v>
      </c>
      <c r="B16" s="19">
        <f>B14-B15</f>
        <v>400</v>
      </c>
      <c r="D16" s="16"/>
      <c r="E16" s="16"/>
      <c r="F16" s="16"/>
      <c r="G16" s="17" t="str">
        <f t="shared" si="0"/>
        <v/>
      </c>
      <c r="H16" s="141"/>
      <c r="I16" s="16"/>
    </row>
    <row r="17" spans="1:9" x14ac:dyDescent="0.25">
      <c r="A17" s="18" t="s">
        <v>2191</v>
      </c>
      <c r="B17" s="20">
        <f>B15/B14</f>
        <v>0.76470588235294112</v>
      </c>
      <c r="D17" s="16"/>
      <c r="E17" s="16"/>
      <c r="F17" s="16"/>
      <c r="G17" s="17" t="str">
        <f t="shared" si="0"/>
        <v/>
      </c>
      <c r="H17" s="141"/>
      <c r="I17" s="16"/>
    </row>
    <row r="18" spans="1:9" x14ac:dyDescent="0.25">
      <c r="D18" s="16"/>
      <c r="E18" s="16"/>
      <c r="F18" s="16"/>
      <c r="G18" s="17" t="str">
        <f t="shared" si="0"/>
        <v/>
      </c>
      <c r="H18" s="141"/>
      <c r="I18" s="16"/>
    </row>
    <row r="19" spans="1:9" x14ac:dyDescent="0.25">
      <c r="D19" s="16"/>
      <c r="E19" s="16"/>
      <c r="F19" s="16"/>
      <c r="G19" s="17" t="str">
        <f t="shared" si="0"/>
        <v/>
      </c>
      <c r="H19" s="141"/>
      <c r="I19" s="16"/>
    </row>
    <row r="20" spans="1:9" x14ac:dyDescent="0.25">
      <c r="D20" s="16"/>
      <c r="E20" s="16"/>
      <c r="F20" s="16"/>
      <c r="G20" s="17" t="str">
        <f t="shared" si="0"/>
        <v/>
      </c>
      <c r="H20" s="141"/>
      <c r="I20" s="16"/>
    </row>
    <row r="21" spans="1:9" x14ac:dyDescent="0.25">
      <c r="D21" s="16"/>
      <c r="E21" s="16"/>
      <c r="F21" s="16"/>
      <c r="G21" s="17" t="str">
        <f t="shared" si="0"/>
        <v/>
      </c>
      <c r="H21" s="141"/>
      <c r="I21" s="16"/>
    </row>
    <row r="22" spans="1:9" x14ac:dyDescent="0.25">
      <c r="D22" s="16"/>
      <c r="E22" s="16"/>
      <c r="F22" s="16"/>
      <c r="G22" s="17" t="str">
        <f t="shared" si="0"/>
        <v/>
      </c>
      <c r="H22" s="141"/>
      <c r="I22" s="16"/>
    </row>
    <row r="23" spans="1:9" x14ac:dyDescent="0.25">
      <c r="D23" s="16"/>
      <c r="E23" s="16"/>
      <c r="F23" s="16"/>
      <c r="G23" s="17" t="str">
        <f t="shared" si="0"/>
        <v/>
      </c>
      <c r="H23" s="141"/>
      <c r="I23" s="16"/>
    </row>
  </sheetData>
  <autoFilter ref="D1:I23" xr:uid="{00000000-0009-0000-0000-00000E000000}"/>
  <mergeCells count="4">
    <mergeCell ref="A1:B1"/>
    <mergeCell ref="A2:B2"/>
    <mergeCell ref="A10:B10"/>
    <mergeCell ref="A11:B1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9">
    <tabColor rgb="FFFF3399"/>
  </sheetPr>
  <dimension ref="A1:AG37"/>
  <sheetViews>
    <sheetView workbookViewId="0">
      <selection activeCell="C429" sqref="C429"/>
    </sheetView>
  </sheetViews>
  <sheetFormatPr defaultColWidth="8.7109375" defaultRowHeight="15" x14ac:dyDescent="0.25"/>
  <cols>
    <col min="1" max="1" width="10.140625" style="44" bestFit="1" customWidth="1"/>
    <col min="2" max="2" width="9.140625" style="44" customWidth="1"/>
    <col min="3" max="3" width="10.140625" style="44" customWidth="1"/>
    <col min="4" max="4" width="16.85546875" style="44" customWidth="1"/>
    <col min="5" max="5" width="15.7109375" style="94" customWidth="1"/>
    <col min="6" max="9" width="15.7109375" customWidth="1"/>
    <col min="10" max="10" width="15.85546875" bestFit="1" customWidth="1"/>
    <col min="11" max="12" width="15.5703125" customWidth="1"/>
    <col min="13" max="13" width="14.28515625" bestFit="1" customWidth="1"/>
    <col min="14" max="14" width="15.85546875" bestFit="1" customWidth="1"/>
    <col min="34" max="16384" width="8.7109375" style="44"/>
  </cols>
  <sheetData>
    <row r="1" spans="1:15" x14ac:dyDescent="0.25">
      <c r="A1" s="137" t="s">
        <v>1506</v>
      </c>
      <c r="B1" s="138" t="s">
        <v>2199</v>
      </c>
      <c r="C1" s="138" t="s">
        <v>2094</v>
      </c>
      <c r="D1" s="138" t="s">
        <v>2200</v>
      </c>
      <c r="E1" s="143">
        <v>44044</v>
      </c>
      <c r="F1" s="143">
        <v>44075</v>
      </c>
      <c r="G1" s="143">
        <v>44105</v>
      </c>
      <c r="H1" s="143">
        <v>44136</v>
      </c>
      <c r="I1" s="144">
        <v>44166</v>
      </c>
      <c r="J1" s="144">
        <v>44197</v>
      </c>
      <c r="K1" s="144">
        <v>44228</v>
      </c>
      <c r="L1" s="144">
        <v>44256</v>
      </c>
    </row>
    <row r="2" spans="1:15" x14ac:dyDescent="0.25">
      <c r="A2" s="126" t="s">
        <v>2201</v>
      </c>
      <c r="B2" s="114">
        <v>129.15</v>
      </c>
      <c r="C2" s="149">
        <f>Aterramento!B13</f>
        <v>1700</v>
      </c>
      <c r="D2" s="114">
        <f>C2*B2</f>
        <v>219555</v>
      </c>
      <c r="E2" s="115">
        <f>$B$2*SUMIFS(Aterramento!$F:$F,Aterramento!$E:$E,320685,Aterramento!$H:$H,Financeiro!E1)</f>
        <v>0</v>
      </c>
      <c r="F2" s="115">
        <f>$B$2*SUMIFS(Aterramento!$F:$F,Aterramento!$E:$E,320685,Aterramento!$H:$H,Financeiro!F1)</f>
        <v>0</v>
      </c>
      <c r="G2" s="115">
        <f>$B$2*SUMIFS(Aterramento!$F:$F,Aterramento!$E:$E,320685,Aterramento!$H:$H,Financeiro!G1)</f>
        <v>0</v>
      </c>
      <c r="H2" s="115">
        <f>$B$2*SUMIFS(Aterramento!$F:$F,Aterramento!$E:$E,320685,Aterramento!$H:$H,Financeiro!H1)</f>
        <v>0</v>
      </c>
      <c r="I2" s="127">
        <f>$B$2*SUMIFS(Aterramento!$F:$F,Aterramento!$E:$E,320685,Aterramento!$H:$H,Financeiro!I1)</f>
        <v>0</v>
      </c>
      <c r="J2" s="127">
        <f>$B$2*SUMIFS(Aterramento!$F:$F,Aterramento!$E:$E,320685,Aterramento!$H:$H,Financeiro!J1)</f>
        <v>0</v>
      </c>
      <c r="K2" s="127">
        <f>$B$2*SUMIFS(Aterramento!$F:$F,Aterramento!$E:$E,320685,Aterramento!$H:$H,Financeiro!K1)</f>
        <v>0</v>
      </c>
      <c r="L2" s="127">
        <f>$B$2*SUMIFS(Aterramento!$F:$F,Aterramento!$E:$E,320685,Aterramento!$H:$H,Financeiro!L1)</f>
        <v>167895</v>
      </c>
      <c r="M2" s="207"/>
      <c r="N2" s="207">
        <f>SUM(E2:K2)</f>
        <v>0</v>
      </c>
    </row>
    <row r="3" spans="1:15" x14ac:dyDescent="0.25">
      <c r="A3" s="126" t="s">
        <v>2202</v>
      </c>
      <c r="B3" s="114">
        <v>221.41</v>
      </c>
      <c r="C3" s="149">
        <f>Aterramento!B4</f>
        <v>5700</v>
      </c>
      <c r="D3" s="114">
        <f>C3*B3</f>
        <v>1262037</v>
      </c>
      <c r="E3" s="115">
        <f>$B$3*SUMIFS(Aterramento!$F:$F,Aterramento!$E:$E,331952,Aterramento!$H:$H,Financeiro!E1)</f>
        <v>35425.599999999999</v>
      </c>
      <c r="F3" s="115">
        <f>$B$3*SUMIFS(Aterramento!$F:$F,Aterramento!$E:$E,331952,Aterramento!$H:$H,Financeiro!F1)</f>
        <v>0</v>
      </c>
      <c r="G3" s="115">
        <f>$B$3*SUMIFS(Aterramento!$F:$F,Aterramento!$E:$E,331952,Aterramento!$H:$H,Financeiro!G1)</f>
        <v>19705.489999999998</v>
      </c>
      <c r="H3" s="115">
        <f>$B$3*SUMIFS(Aterramento!$F:$F,Aterramento!$E:$E,331952,Aterramento!$H:$H,Financeiro!H1)</f>
        <v>79707.600000000006</v>
      </c>
      <c r="I3" s="127">
        <f>$B$3*SUMIFS(Aterramento!$F:$F,Aterramento!$E:$E,331952,Aterramento!$H:$H,Financeiro!I1)</f>
        <v>0</v>
      </c>
      <c r="J3" s="127">
        <f>$B$3*SUMIFS(Aterramento!$F:$F,Aterramento!$E:$E,331952,Aterramento!$H:$H,Financeiro!J1)</f>
        <v>99634.5</v>
      </c>
      <c r="K3" s="127">
        <f>$B$3*SUMIFS(Aterramento!$F:$F,Aterramento!$E:$E,331952,Aterramento!$H:$H,Financeiro!K1)</f>
        <v>150558.79999999999</v>
      </c>
      <c r="L3" s="127">
        <f>$B$3*SUMIFS(Aterramento!$F:$F,Aterramento!$E:$E,331952,Aterramento!$H:$H,Financeiro!L1)</f>
        <v>774935</v>
      </c>
      <c r="M3" s="207"/>
      <c r="N3" s="207">
        <f t="shared" ref="N3:N28" si="0">SUM(E3:K3)</f>
        <v>385031.99</v>
      </c>
      <c r="O3" t="s">
        <v>1505</v>
      </c>
    </row>
    <row r="4" spans="1:15" x14ac:dyDescent="0.25">
      <c r="A4" s="126" t="s">
        <v>912</v>
      </c>
      <c r="B4" s="114">
        <v>214.03</v>
      </c>
      <c r="C4" s="149">
        <f>SUMIF(BD!Q:Q,Financeiro!A4,BD!AD:AD)</f>
        <v>18300</v>
      </c>
      <c r="D4" s="114">
        <f t="shared" ref="D4:D28" si="1">C4*B4</f>
        <v>3916749</v>
      </c>
      <c r="E4" s="116">
        <f>$B4*SUMIFS('Lançamento de Cabos'!$C:$C,'Lançamento de Cabos'!$H:$H,Financeiro!$A4,'Lançamento de Cabos'!$I:$I,Financeiro!E$1)</f>
        <v>0</v>
      </c>
      <c r="F4" s="116">
        <f>$B4*SUMIFS('Lançamento de Cabos'!$C:$C,'Lançamento de Cabos'!$H:$H,Financeiro!$A4,'Lançamento de Cabos'!$I:$I,Financeiro!F$1)</f>
        <v>0</v>
      </c>
      <c r="G4" s="116">
        <f>$B4*SUMIFS('Lançamento de Cabos'!$C:$C,'Lançamento de Cabos'!$H:$H,Financeiro!$A4,'Lançamento de Cabos'!$I:$I,Financeiro!G$1)</f>
        <v>0</v>
      </c>
      <c r="H4" s="116">
        <f>$B4*SUMIFS('Lançamento de Cabos'!$C:$C,'Lançamento de Cabos'!$H:$H,Financeiro!$A4,'Lançamento de Cabos'!$I:$I,Financeiro!H$1)</f>
        <v>0</v>
      </c>
      <c r="I4" s="128">
        <f>$B4*SUMIFS('Lançamento de Cabos'!$C:$C,'Lançamento de Cabos'!$H:$H,Financeiro!$A4,'Lançamento de Cabos'!$I:$I,Financeiro!I$1)</f>
        <v>1926270</v>
      </c>
      <c r="J4" s="128">
        <f>B4*SUMIFS('Lançamento de Cabos'!$C:$C,'Lançamento de Cabos'!$H:$H,Financeiro!$A4,'Lançamento de Cabos'!$I:$I,Financeiro!J$1)</f>
        <v>1990479</v>
      </c>
      <c r="K4" s="128">
        <f>C4*SUMIFS('Lançamento de Cabos'!$C:$C,'Lançamento de Cabos'!$H:$H,Financeiro!$A4,'Lançamento de Cabos'!$I:$I,Financeiro!K$1)</f>
        <v>0</v>
      </c>
      <c r="L4" s="128">
        <f>D4*SUMIFS('Lançamento de Cabos'!$C:$C,'Lançamento de Cabos'!$H:$H,Financeiro!$A4,'Lançamento de Cabos'!$I:$I,Financeiro!L$1)</f>
        <v>0</v>
      </c>
      <c r="M4" s="207"/>
      <c r="N4" s="207">
        <f t="shared" si="0"/>
        <v>3916749</v>
      </c>
      <c r="O4" t="s">
        <v>1505</v>
      </c>
    </row>
    <row r="5" spans="1:15" x14ac:dyDescent="0.25">
      <c r="A5" s="126" t="s">
        <v>124</v>
      </c>
      <c r="B5" s="114">
        <v>225.1</v>
      </c>
      <c r="C5" s="149">
        <f>SUMIF(BD!Q:Q,Financeiro!A5,BD!AD:AD)</f>
        <v>10230</v>
      </c>
      <c r="D5" s="114">
        <f t="shared" si="1"/>
        <v>2302773</v>
      </c>
      <c r="E5" s="116">
        <f>$B5*SUMIFS('Lançamento de Cabos'!$C:$C,'Lançamento de Cabos'!$H:$H,Financeiro!$A5,'Lançamento de Cabos'!$I:$I,Financeiro!E$1)</f>
        <v>0</v>
      </c>
      <c r="F5" s="116">
        <f>$B5*SUMIFS('Lançamento de Cabos'!$C:$C,'Lançamento de Cabos'!$H:$H,Financeiro!$A5,'Lançamento de Cabos'!$I:$I,Financeiro!F$1)</f>
        <v>384921</v>
      </c>
      <c r="G5" s="116">
        <f>$B5*SUMIFS('Lançamento de Cabos'!$C:$C,'Lançamento de Cabos'!$H:$H,Financeiro!$A5,'Lançamento de Cabos'!$I:$I,Financeiro!G$1)</f>
        <v>0</v>
      </c>
      <c r="H5" s="116">
        <f>$B5*SUMIFS('Lançamento de Cabos'!$C:$C,'Lançamento de Cabos'!$H:$H,Financeiro!$A5,'Lançamento de Cabos'!$I:$I,Financeiro!H$1)</f>
        <v>1134504</v>
      </c>
      <c r="I5" s="128">
        <f>$B5*SUMIFS('Lançamento de Cabos'!$C:$C,'Lançamento de Cabos'!$H:$H,Financeiro!$A5,'Lançamento de Cabos'!$I:$I,Financeiro!I$1)</f>
        <v>0</v>
      </c>
      <c r="J5" s="128">
        <f>$B5*SUMIFS('Lançamento de Cabos'!$C:$C,'Lançamento de Cabos'!$H:$H,Financeiro!$A5,'Lançamento de Cabos'!$I:$I,Financeiro!J$1)</f>
        <v>121554</v>
      </c>
      <c r="K5" s="128">
        <f>$B5*SUMIFS('Lançamento de Cabos'!$C:$C,'Lançamento de Cabos'!$H:$H,Financeiro!$A5,'Lançamento de Cabos'!$I:$I,Financeiro!K$1)</f>
        <v>0</v>
      </c>
      <c r="L5" s="128">
        <f>$B5*SUMIFS('Lançamento de Cabos'!$C:$C,'Lançamento de Cabos'!$H:$H,Financeiro!$A5,'Lançamento de Cabos'!$I:$I,Financeiro!L$1)</f>
        <v>0</v>
      </c>
      <c r="M5" s="207"/>
      <c r="N5" s="207">
        <f t="shared" si="0"/>
        <v>1640979</v>
      </c>
      <c r="O5" t="s">
        <v>1505</v>
      </c>
    </row>
    <row r="6" spans="1:15" x14ac:dyDescent="0.25">
      <c r="A6" s="126" t="s">
        <v>414</v>
      </c>
      <c r="B6" s="114">
        <v>121.77</v>
      </c>
      <c r="C6" s="149">
        <f>SUMIF(BD!Q:Q,Financeiro!A6,BD!AD:AD)</f>
        <v>3302</v>
      </c>
      <c r="D6" s="114">
        <f t="shared" si="1"/>
        <v>402084.54</v>
      </c>
      <c r="E6" s="116">
        <f>$B6*SUMIFS('Lançamento de Cabos'!$C:$C,'Lançamento de Cabos'!$H:$H,Financeiro!$A6,'Lançamento de Cabos'!$I:$I,Financeiro!E$1)</f>
        <v>0</v>
      </c>
      <c r="F6" s="116">
        <f>$B6*SUMIFS('Lançamento de Cabos'!$C:$C,'Lançamento de Cabos'!$H:$H,Financeiro!$A6,'Lançamento de Cabos'!$I:$I,Financeiro!F$1)</f>
        <v>0</v>
      </c>
      <c r="G6" s="116">
        <f>$B6*SUMIFS('Lançamento de Cabos'!$C:$C,'Lançamento de Cabos'!$H:$H,Financeiro!$A6,'Lançamento de Cabos'!$I:$I,Financeiro!G$1)</f>
        <v>37748.699999999997</v>
      </c>
      <c r="H6" s="116">
        <f>$B6*SUMIFS('Lançamento de Cabos'!$C:$C,'Lançamento de Cabos'!$H:$H,Financeiro!$A6,'Lançamento de Cabos'!$I:$I,Financeiro!H$1)</f>
        <v>219429.53999999998</v>
      </c>
      <c r="I6" s="128">
        <f>$B6*SUMIFS('Lançamento de Cabos'!$C:$C,'Lançamento de Cabos'!$H:$H,Financeiro!$A6,'Lançamento de Cabos'!$I:$I,Financeiro!I$1)</f>
        <v>0</v>
      </c>
      <c r="J6" s="128">
        <f>$B6*SUMIFS('Lançamento de Cabos'!$C:$C,'Lançamento de Cabos'!$H:$H,Financeiro!$A6,'Lançamento de Cabos'!$I:$I,Financeiro!J$1)</f>
        <v>124205.4</v>
      </c>
      <c r="K6" s="128">
        <f>$B6*SUMIFS('Lançamento de Cabos'!$C:$C,'Lançamento de Cabos'!$H:$H,Financeiro!$A6,'Lançamento de Cabos'!$I:$I,Financeiro!K$1)</f>
        <v>20700.899999999998</v>
      </c>
      <c r="L6" s="128">
        <f>$B6*SUMIFS('Lançamento de Cabos'!$C:$C,'Lançamento de Cabos'!$H:$H,Financeiro!$A6,'Lançamento de Cabos'!$I:$I,Financeiro!L$1)</f>
        <v>0</v>
      </c>
      <c r="M6" s="207"/>
      <c r="N6" s="207">
        <f t="shared" si="0"/>
        <v>402084.54000000004</v>
      </c>
      <c r="O6" t="s">
        <v>1505</v>
      </c>
    </row>
    <row r="7" spans="1:15" hidden="1" x14ac:dyDescent="0.25">
      <c r="A7" s="126" t="s">
        <v>2203</v>
      </c>
      <c r="B7" s="114">
        <v>169.74</v>
      </c>
      <c r="C7" s="149">
        <f>SUMIF(BD!Q:Q,Financeiro!A7,BD!AD:AD)</f>
        <v>0</v>
      </c>
      <c r="D7" s="114">
        <f t="shared" si="1"/>
        <v>0</v>
      </c>
      <c r="E7" s="116">
        <f>$B7*SUMIFS('Lançamento de Cabos'!$C:$C,'Lançamento de Cabos'!$H:$H,Financeiro!$A7,'Lançamento de Cabos'!$I:$I,Financeiro!E$1)</f>
        <v>0</v>
      </c>
      <c r="F7" s="116">
        <f>$B7*SUMIFS('Lançamento de Cabos'!$C:$C,'Lançamento de Cabos'!$H:$H,Financeiro!$A7,'Lançamento de Cabos'!$I:$I,Financeiro!F$1)</f>
        <v>0</v>
      </c>
      <c r="G7" s="116">
        <f>$B7*SUMIFS('Lançamento de Cabos'!$C:$C,'Lançamento de Cabos'!$H:$H,Financeiro!$A7,'Lançamento de Cabos'!$I:$I,Financeiro!G$1)</f>
        <v>0</v>
      </c>
      <c r="H7" s="116">
        <f>$B7*SUMIFS('Lançamento de Cabos'!$C:$C,'Lançamento de Cabos'!$H:$H,Financeiro!$A7,'Lançamento de Cabos'!$I:$I,Financeiro!H$1)</f>
        <v>0</v>
      </c>
      <c r="I7" s="128">
        <f>$B7*SUMIFS('Lançamento de Cabos'!$C:$C,'Lançamento de Cabos'!$H:$H,Financeiro!$A7,'Lançamento de Cabos'!$I:$I,Financeiro!I$1)</f>
        <v>0</v>
      </c>
      <c r="J7" s="128">
        <f>$B7*SUMIFS('Lançamento de Cabos'!$C:$C,'Lançamento de Cabos'!$H:$H,Financeiro!$A7,'Lançamento de Cabos'!$I:$I,Financeiro!J$1)</f>
        <v>0</v>
      </c>
      <c r="K7" s="128">
        <f>$B7*SUMIFS('Lançamento de Cabos'!$C:$C,'Lançamento de Cabos'!$H:$H,Financeiro!$A7,'Lançamento de Cabos'!$I:$I,Financeiro!K$1)</f>
        <v>0</v>
      </c>
      <c r="L7" s="128">
        <f>$B7*SUMIFS('Lançamento de Cabos'!$C:$C,'Lançamento de Cabos'!$H:$H,Financeiro!$A7,'Lançamento de Cabos'!$I:$I,Financeiro!L$1)</f>
        <v>0</v>
      </c>
      <c r="M7" s="207"/>
      <c r="N7" s="207">
        <f t="shared" si="0"/>
        <v>0</v>
      </c>
    </row>
    <row r="8" spans="1:15" hidden="1" x14ac:dyDescent="0.25">
      <c r="A8" s="126" t="s">
        <v>2204</v>
      </c>
      <c r="B8" s="114">
        <v>36.9</v>
      </c>
      <c r="C8" s="149">
        <f>SUMIF(BD!Q:Q,Financeiro!A8,BD!AD:AD)</f>
        <v>0</v>
      </c>
      <c r="D8" s="114">
        <f t="shared" si="1"/>
        <v>0</v>
      </c>
      <c r="E8" s="116">
        <f>$B8*SUMIFS('Lançamento de Cabos'!$C:$C,'Lançamento de Cabos'!$H:$H,Financeiro!$A8,'Lançamento de Cabos'!$I:$I,Financeiro!E$1)</f>
        <v>0</v>
      </c>
      <c r="F8" s="116">
        <f>$B8*SUMIFS('Lançamento de Cabos'!$C:$C,'Lançamento de Cabos'!$H:$H,Financeiro!$A8,'Lançamento de Cabos'!$I:$I,Financeiro!F$1)</f>
        <v>0</v>
      </c>
      <c r="G8" s="116">
        <f>$B8*SUMIFS('Lançamento de Cabos'!$C:$C,'Lançamento de Cabos'!$H:$H,Financeiro!$A8,'Lançamento de Cabos'!$I:$I,Financeiro!G$1)</f>
        <v>0</v>
      </c>
      <c r="H8" s="116">
        <f>$B8*SUMIFS('Lançamento de Cabos'!$C:$C,'Lançamento de Cabos'!$H:$H,Financeiro!$A8,'Lançamento de Cabos'!$I:$I,Financeiro!H$1)</f>
        <v>0</v>
      </c>
      <c r="I8" s="128">
        <f>$B8*SUMIFS('Lançamento de Cabos'!$C:$C,'Lançamento de Cabos'!$H:$H,Financeiro!$A8,'Lançamento de Cabos'!$I:$I,Financeiro!I$1)</f>
        <v>0</v>
      </c>
      <c r="J8" s="128">
        <f>$B8*SUMIFS('Lançamento de Cabos'!$C:$C,'Lançamento de Cabos'!$H:$H,Financeiro!$A8,'Lançamento de Cabos'!$I:$I,Financeiro!J$1)</f>
        <v>0</v>
      </c>
      <c r="K8" s="128">
        <f>$B8*SUMIFS('Lançamento de Cabos'!$C:$C,'Lançamento de Cabos'!$H:$H,Financeiro!$A8,'Lançamento de Cabos'!$I:$I,Financeiro!K$1)</f>
        <v>0</v>
      </c>
      <c r="L8" s="128">
        <f>$B8*SUMIFS('Lançamento de Cabos'!$C:$C,'Lançamento de Cabos'!$H:$H,Financeiro!$A8,'Lançamento de Cabos'!$I:$I,Financeiro!L$1)</f>
        <v>0</v>
      </c>
      <c r="M8" s="207"/>
      <c r="N8" s="207">
        <f t="shared" si="0"/>
        <v>0</v>
      </c>
    </row>
    <row r="9" spans="1:15" hidden="1" x14ac:dyDescent="0.25">
      <c r="A9" s="126" t="s">
        <v>2205</v>
      </c>
      <c r="B9" s="114">
        <v>36.9</v>
      </c>
      <c r="C9" s="149">
        <f>SUMIF(BD!Q:Q,Financeiro!A9,BD!AD:AD)</f>
        <v>0</v>
      </c>
      <c r="D9" s="114">
        <f t="shared" si="1"/>
        <v>0</v>
      </c>
      <c r="E9" s="116">
        <f>$B9*SUMIFS('Lançamento de Cabos'!$C:$C,'Lançamento de Cabos'!$H:$H,Financeiro!$A9,'Lançamento de Cabos'!$I:$I,Financeiro!E$1)</f>
        <v>0</v>
      </c>
      <c r="F9" s="116">
        <f>$B9*SUMIFS('Lançamento de Cabos'!$C:$C,'Lançamento de Cabos'!$H:$H,Financeiro!$A9,'Lançamento de Cabos'!$I:$I,Financeiro!F$1)</f>
        <v>0</v>
      </c>
      <c r="G9" s="116">
        <f>$B9*SUMIFS('Lançamento de Cabos'!$C:$C,'Lançamento de Cabos'!$H:$H,Financeiro!$A9,'Lançamento de Cabos'!$I:$I,Financeiro!G$1)</f>
        <v>0</v>
      </c>
      <c r="H9" s="116">
        <f>$B9*SUMIFS('Lançamento de Cabos'!$C:$C,'Lançamento de Cabos'!$H:$H,Financeiro!$A9,'Lançamento de Cabos'!$I:$I,Financeiro!H$1)</f>
        <v>0</v>
      </c>
      <c r="I9" s="128">
        <f>$B9*SUMIFS('Lançamento de Cabos'!$C:$C,'Lançamento de Cabos'!$H:$H,Financeiro!$A9,'Lançamento de Cabos'!$I:$I,Financeiro!I$1)</f>
        <v>0</v>
      </c>
      <c r="J9" s="128">
        <f>$B9*SUMIFS('Lançamento de Cabos'!$C:$C,'Lançamento de Cabos'!$H:$H,Financeiro!$A9,'Lançamento de Cabos'!$I:$I,Financeiro!J$1)</f>
        <v>0</v>
      </c>
      <c r="K9" s="128">
        <f>$B9*SUMIFS('Lançamento de Cabos'!$C:$C,'Lançamento de Cabos'!$H:$H,Financeiro!$A9,'Lançamento de Cabos'!$I:$I,Financeiro!K$1)</f>
        <v>0</v>
      </c>
      <c r="L9" s="128">
        <f>$B9*SUMIFS('Lançamento de Cabos'!$C:$C,'Lançamento de Cabos'!$H:$H,Financeiro!$A9,'Lançamento de Cabos'!$I:$I,Financeiro!L$1)</f>
        <v>0</v>
      </c>
      <c r="M9" s="207"/>
      <c r="N9" s="207">
        <f t="shared" si="0"/>
        <v>0</v>
      </c>
    </row>
    <row r="10" spans="1:15" x14ac:dyDescent="0.25">
      <c r="A10" s="126" t="s">
        <v>578</v>
      </c>
      <c r="B10" s="114">
        <v>51.66</v>
      </c>
      <c r="C10" s="149">
        <f>SUMIF(BD!Q:Q,Financeiro!A10,BD!AD:AD)</f>
        <v>665</v>
      </c>
      <c r="D10" s="114">
        <f>C10*B10</f>
        <v>34353.899999999994</v>
      </c>
      <c r="E10" s="116">
        <f>$B10*SUMIFS('Lançamento de Cabos'!$C:$C,'Lançamento de Cabos'!$H:$H,Financeiro!$A10,'Lançamento de Cabos'!$I:$I,Financeiro!E$1)</f>
        <v>0</v>
      </c>
      <c r="F10" s="116">
        <f>$B10*SUMIFS('Lançamento de Cabos'!$C:$C,'Lançamento de Cabos'!$H:$H,Financeiro!$A10,'Lançamento de Cabos'!$I:$I,Financeiro!F$1)</f>
        <v>0</v>
      </c>
      <c r="G10" s="116">
        <f>$B10*SUMIFS('Lançamento de Cabos'!$C:$C,'Lançamento de Cabos'!$H:$H,Financeiro!$A10,'Lançamento de Cabos'!$I:$I,Financeiro!G$1)</f>
        <v>2583</v>
      </c>
      <c r="H10" s="116">
        <f>$B10*SUMIFS('Lançamento de Cabos'!$C:$C,'Lançamento de Cabos'!$H:$H,Financeiro!$A10,'Lançamento de Cabos'!$I:$I,Financeiro!H$1)</f>
        <v>29962.799999999999</v>
      </c>
      <c r="I10" s="128">
        <f>$B10*SUMIFS('Lançamento de Cabos'!$C:$C,'Lançamento de Cabos'!$H:$H,Financeiro!$A10,'Lançamento de Cabos'!$I:$I,Financeiro!I$1)</f>
        <v>516.59999999999991</v>
      </c>
      <c r="J10" s="128">
        <f>$B10*SUMIFS('Lançamento de Cabos'!$C:$C,'Lançamento de Cabos'!$H:$H,Financeiro!$A10,'Lançamento de Cabos'!$I:$I,Financeiro!J$1)</f>
        <v>258.29999999999995</v>
      </c>
      <c r="K10" s="128">
        <f>$B10*SUMIFS('Lançamento de Cabos'!$C:$C,'Lançamento de Cabos'!$H:$H,Financeiro!$A10,'Lançamento de Cabos'!$I:$I,Financeiro!K$1)</f>
        <v>1033.1999999999998</v>
      </c>
      <c r="L10" s="128">
        <f>$B10*SUMIFS('Lançamento de Cabos'!$C:$C,'Lançamento de Cabos'!$H:$H,Financeiro!$A10,'Lançamento de Cabos'!$I:$I,Financeiro!L$1)</f>
        <v>0</v>
      </c>
      <c r="M10" s="207"/>
      <c r="N10" s="207">
        <f t="shared" si="0"/>
        <v>34353.9</v>
      </c>
      <c r="O10" t="s">
        <v>1505</v>
      </c>
    </row>
    <row r="11" spans="1:15" hidden="1" x14ac:dyDescent="0.25">
      <c r="A11" s="126" t="s">
        <v>2206</v>
      </c>
      <c r="B11" s="114">
        <v>51.66</v>
      </c>
      <c r="C11" s="149">
        <f>SUMIF(BD!Q:Q,Financeiro!A11,BD!AD:AD)</f>
        <v>0</v>
      </c>
      <c r="D11" s="114">
        <f t="shared" si="1"/>
        <v>0</v>
      </c>
      <c r="E11" s="116">
        <f>$B11*SUMIFS('Lançamento de Cabos'!$C:$C,'Lançamento de Cabos'!$H:$H,Financeiro!$A11,'Lançamento de Cabos'!$I:$I,Financeiro!E$1)</f>
        <v>0</v>
      </c>
      <c r="F11" s="116">
        <f>$B11*SUMIFS('Lançamento de Cabos'!$C:$C,'Lançamento de Cabos'!$H:$H,Financeiro!$A11,'Lançamento de Cabos'!$I:$I,Financeiro!F$1)</f>
        <v>0</v>
      </c>
      <c r="G11" s="116">
        <f>$B11*SUMIFS('Lançamento de Cabos'!$C:$C,'Lançamento de Cabos'!$H:$H,Financeiro!$A11,'Lançamento de Cabos'!$I:$I,Financeiro!G$1)</f>
        <v>0</v>
      </c>
      <c r="H11" s="116">
        <f>$B11*SUMIFS('Lançamento de Cabos'!$C:$C,'Lançamento de Cabos'!$H:$H,Financeiro!$A11,'Lançamento de Cabos'!$I:$I,Financeiro!H$1)</f>
        <v>0</v>
      </c>
      <c r="I11" s="128">
        <f>$B11*SUMIFS('Lançamento de Cabos'!$C:$C,'Lançamento de Cabos'!$H:$H,Financeiro!$A11,'Lançamento de Cabos'!$I:$I,Financeiro!I$1)</f>
        <v>0</v>
      </c>
      <c r="J11" s="128">
        <f>$B11*SUMIFS('Lançamento de Cabos'!$C:$C,'Lançamento de Cabos'!$H:$H,Financeiro!$A11,'Lançamento de Cabos'!$I:$I,Financeiro!J$1)</f>
        <v>0</v>
      </c>
      <c r="K11" s="128">
        <f>$B11*SUMIFS('Lançamento de Cabos'!$C:$C,'Lançamento de Cabos'!$H:$H,Financeiro!$A11,'Lançamento de Cabos'!$I:$I,Financeiro!K$1)</f>
        <v>0</v>
      </c>
      <c r="L11" s="128">
        <f>$B11*SUMIFS('Lançamento de Cabos'!$C:$C,'Lançamento de Cabos'!$H:$H,Financeiro!$A11,'Lançamento de Cabos'!$I:$I,Financeiro!L$1)</f>
        <v>0</v>
      </c>
      <c r="M11" s="207"/>
      <c r="N11" s="207">
        <f t="shared" si="0"/>
        <v>0</v>
      </c>
    </row>
    <row r="12" spans="1:15" hidden="1" x14ac:dyDescent="0.25">
      <c r="A12" s="126" t="s">
        <v>2207</v>
      </c>
      <c r="B12" s="114">
        <v>95.94</v>
      </c>
      <c r="C12" s="149">
        <f>SUMIF(BD!Q:Q,Financeiro!A12,BD!AD:AD)</f>
        <v>0</v>
      </c>
      <c r="D12" s="114">
        <f t="shared" si="1"/>
        <v>0</v>
      </c>
      <c r="E12" s="116">
        <f>$B12*SUMIFS('Lançamento de Cabos'!$C:$C,'Lançamento de Cabos'!$H:$H,Financeiro!$A12,'Lançamento de Cabos'!$I:$I,Financeiro!E$1)</f>
        <v>0</v>
      </c>
      <c r="F12" s="116">
        <f>$B12*SUMIFS('Lançamento de Cabos'!$C:$C,'Lançamento de Cabos'!$H:$H,Financeiro!$A12,'Lançamento de Cabos'!$I:$I,Financeiro!F$1)</f>
        <v>0</v>
      </c>
      <c r="G12" s="116">
        <f>$B12*SUMIFS('Lançamento de Cabos'!$C:$C,'Lançamento de Cabos'!$H:$H,Financeiro!$A12,'Lançamento de Cabos'!$I:$I,Financeiro!G$1)</f>
        <v>0</v>
      </c>
      <c r="H12" s="116">
        <f>$B12*SUMIFS('Lançamento de Cabos'!$C:$C,'Lançamento de Cabos'!$H:$H,Financeiro!$A12,'Lançamento de Cabos'!$I:$I,Financeiro!H$1)</f>
        <v>0</v>
      </c>
      <c r="I12" s="128">
        <f>$B12*SUMIFS('Lançamento de Cabos'!$C:$C,'Lançamento de Cabos'!$H:$H,Financeiro!$A12,'Lançamento de Cabos'!$I:$I,Financeiro!I$1)</f>
        <v>0</v>
      </c>
      <c r="J12" s="128">
        <f>$B12*SUMIFS('Lançamento de Cabos'!$C:$C,'Lançamento de Cabos'!$H:$H,Financeiro!$A12,'Lançamento de Cabos'!$I:$I,Financeiro!J$1)</f>
        <v>0</v>
      </c>
      <c r="K12" s="128">
        <f>$B12*SUMIFS('Lançamento de Cabos'!$C:$C,'Lançamento de Cabos'!$H:$H,Financeiro!$A12,'Lançamento de Cabos'!$I:$I,Financeiro!K$1)</f>
        <v>0</v>
      </c>
      <c r="L12" s="128">
        <f>$B12*SUMIFS('Lançamento de Cabos'!$C:$C,'Lançamento de Cabos'!$H:$H,Financeiro!$A12,'Lançamento de Cabos'!$I:$I,Financeiro!L$1)</f>
        <v>0</v>
      </c>
      <c r="M12" s="207"/>
      <c r="N12" s="207">
        <f t="shared" si="0"/>
        <v>0</v>
      </c>
    </row>
    <row r="13" spans="1:15" x14ac:dyDescent="0.25">
      <c r="A13" s="126" t="s">
        <v>807</v>
      </c>
      <c r="B13" s="114">
        <v>107.01</v>
      </c>
      <c r="C13" s="149">
        <f>SUMIF(BD!Q:Q,Financeiro!A13,BD!AD:AD)</f>
        <v>70</v>
      </c>
      <c r="D13" s="114">
        <f t="shared" si="1"/>
        <v>7490.7000000000007</v>
      </c>
      <c r="E13" s="116">
        <f>$B13*SUMIFS('Lançamento de Cabos'!$C:$C,'Lançamento de Cabos'!$H:$H,Financeiro!$A13,'Lançamento de Cabos'!$I:$I,Financeiro!E$1)</f>
        <v>0</v>
      </c>
      <c r="F13" s="116">
        <f>$B13*SUMIFS('Lançamento de Cabos'!$C:$C,'Lançamento de Cabos'!$H:$H,Financeiro!$A13,'Lançamento de Cabos'!$I:$I,Financeiro!F$1)</f>
        <v>0</v>
      </c>
      <c r="G13" s="116">
        <f>$B13*SUMIFS('Lançamento de Cabos'!$C:$C,'Lançamento de Cabos'!$H:$H,Financeiro!$A13,'Lançamento de Cabos'!$I:$I,Financeiro!G$1)</f>
        <v>0</v>
      </c>
      <c r="H13" s="116">
        <f>$B13*SUMIFS('Lançamento de Cabos'!$C:$C,'Lançamento de Cabos'!$H:$H,Financeiro!$A13,'Lançamento de Cabos'!$I:$I,Financeiro!H$1)</f>
        <v>0</v>
      </c>
      <c r="I13" s="128">
        <f>$B13*SUMIFS('Lançamento de Cabos'!$C:$C,'Lançamento de Cabos'!$H:$H,Financeiro!$A13,'Lançamento de Cabos'!$I:$I,Financeiro!I$1)</f>
        <v>0</v>
      </c>
      <c r="J13" s="128">
        <f>$B13*SUMIFS('Lançamento de Cabos'!$C:$C,'Lançamento de Cabos'!$H:$H,Financeiro!$A13,'Lançamento de Cabos'!$I:$I,Financeiro!J$1)</f>
        <v>7490.7000000000007</v>
      </c>
      <c r="K13" s="128">
        <f>$B13*SUMIFS('Lançamento de Cabos'!$C:$C,'Lançamento de Cabos'!$H:$H,Financeiro!$A13,'Lançamento de Cabos'!$I:$I,Financeiro!K$1)</f>
        <v>0</v>
      </c>
      <c r="L13" s="128">
        <f>$B13*SUMIFS('Lançamento de Cabos'!$C:$C,'Lançamento de Cabos'!$H:$H,Financeiro!$A13,'Lançamento de Cabos'!$I:$I,Financeiro!L$1)</f>
        <v>0</v>
      </c>
      <c r="M13" s="207"/>
      <c r="N13" s="207">
        <f t="shared" si="0"/>
        <v>7490.7000000000007</v>
      </c>
      <c r="O13" t="s">
        <v>1505</v>
      </c>
    </row>
    <row r="14" spans="1:15" hidden="1" x14ac:dyDescent="0.25">
      <c r="A14" s="126" t="s">
        <v>2208</v>
      </c>
      <c r="B14" s="114">
        <v>62.73</v>
      </c>
      <c r="C14" s="120">
        <f>SUMIF(BD!Q:Q,Financeiro!A14,BD!AD:AD)</f>
        <v>0</v>
      </c>
      <c r="D14" s="114">
        <f t="shared" si="1"/>
        <v>0</v>
      </c>
      <c r="E14" s="116">
        <f>$B14*SUMIFS('Lançamento de Cabos'!$C:$C,'Lançamento de Cabos'!$H:$H,Financeiro!$A14,'Lançamento de Cabos'!$I:$I,Financeiro!E$1)</f>
        <v>0</v>
      </c>
      <c r="F14" s="116">
        <f>$B14*SUMIFS('Lançamento de Cabos'!$C:$C,'Lançamento de Cabos'!$H:$H,Financeiro!$A14,'Lançamento de Cabos'!$I:$I,Financeiro!F$1)</f>
        <v>0</v>
      </c>
      <c r="G14" s="116">
        <f>$B14*SUMIFS('Lançamento de Cabos'!$C:$C,'Lançamento de Cabos'!$H:$H,Financeiro!$A14,'Lançamento de Cabos'!$I:$I,Financeiro!G$1)</f>
        <v>0</v>
      </c>
      <c r="H14" s="116">
        <f>$B14*SUMIFS('Lançamento de Cabos'!$C:$C,'Lançamento de Cabos'!$H:$H,Financeiro!$A14,'Lançamento de Cabos'!$I:$I,Financeiro!H$1)</f>
        <v>0</v>
      </c>
      <c r="I14" s="128">
        <f>$B14*SUMIFS('Lançamento de Cabos'!$C:$C,'Lançamento de Cabos'!$H:$H,Financeiro!$A14,'Lançamento de Cabos'!$I:$I,Financeiro!I$1)</f>
        <v>0</v>
      </c>
      <c r="J14" s="128">
        <f>$B14*SUMIFS('Lançamento de Cabos'!$C:$C,'Lançamento de Cabos'!$H:$H,Financeiro!$A14,'Lançamento de Cabos'!$I:$I,Financeiro!J$1)</f>
        <v>0</v>
      </c>
      <c r="K14" s="128">
        <f>$B14*SUMIFS('Lançamento de Cabos'!$C:$C,'Lançamento de Cabos'!$H:$H,Financeiro!$A14,'Lançamento de Cabos'!$I:$I,Financeiro!K$1)</f>
        <v>0</v>
      </c>
      <c r="L14" s="128">
        <f>$B14*SUMIFS('Lançamento de Cabos'!$C:$C,'Lançamento de Cabos'!$H:$H,Financeiro!$A14,'Lançamento de Cabos'!$I:$I,Financeiro!L$1)</f>
        <v>0</v>
      </c>
      <c r="M14" s="207"/>
      <c r="N14" s="207">
        <f t="shared" si="0"/>
        <v>0</v>
      </c>
    </row>
    <row r="15" spans="1:15" x14ac:dyDescent="0.25">
      <c r="A15" s="126" t="s">
        <v>243</v>
      </c>
      <c r="B15" s="114">
        <v>162.36000000000001</v>
      </c>
      <c r="C15" s="149">
        <f>SUMIF(BD!Q:Q,Financeiro!A15,BD!AD:AD)-3000</f>
        <v>11124</v>
      </c>
      <c r="D15" s="114">
        <f t="shared" si="1"/>
        <v>1806092.6400000001</v>
      </c>
      <c r="E15" s="116">
        <f>$B15*SUMIFS('Lançamento de Cabos'!$C:$C,'Lançamento de Cabos'!$H:$H,Financeiro!$A15,'Lançamento de Cabos'!$I:$I,Financeiro!E$1)</f>
        <v>233798.40000000002</v>
      </c>
      <c r="F15" s="116">
        <f>$B15*SUMIFS('Lançamento de Cabos'!$C:$C,'Lançamento de Cabos'!$H:$H,Financeiro!$A15,'Lançamento de Cabos'!$I:$I,Financeiro!F$1)</f>
        <v>0</v>
      </c>
      <c r="G15" s="116">
        <f>$B15*SUMIFS('Lançamento de Cabos'!$C:$C,'Lançamento de Cabos'!$H:$H,Financeiro!$A15,'Lançamento de Cabos'!$I:$I,Financeiro!G$1)</f>
        <v>0</v>
      </c>
      <c r="H15" s="116">
        <f>$B15*SUMIFS('Lançamento de Cabos'!$C:$C,'Lançamento de Cabos'!$H:$H,Financeiro!$A15,'Lançamento de Cabos'!$I:$I,Financeiro!H$1)</f>
        <v>193857.84000000003</v>
      </c>
      <c r="I15" s="310">
        <f>$B15*SUMIFS('Lançamento de Cabos'!$C:$C,'Lançamento de Cabos'!$H:$H,Financeiro!$A15,'Lançamento de Cabos'!$I:$I,Financeiro!I$1)-3000*$B$15</f>
        <v>974160.00000000023</v>
      </c>
      <c r="J15" s="128">
        <f>$B15*SUMIFS('Lançamento de Cabos'!$C:$C,'Lançamento de Cabos'!$H:$H,Financeiro!$A15,'Lançamento de Cabos'!$I:$I,Financeiro!J$1)</f>
        <v>143688.6</v>
      </c>
      <c r="K15" s="128">
        <f>$B15*SUMIFS('Lançamento de Cabos'!$C:$C,'Lançamento de Cabos'!$H:$H,Financeiro!$A15,'Lançamento de Cabos'!$I:$I,Financeiro!K$1)</f>
        <v>260587.80000000002</v>
      </c>
      <c r="L15" s="128">
        <f>$B15*SUMIFS('Lançamento de Cabos'!$C:$C,'Lançamento de Cabos'!$H:$H,Financeiro!$A15,'Lançamento de Cabos'!$I:$I,Financeiro!L$1)</f>
        <v>0</v>
      </c>
      <c r="M15" s="207"/>
      <c r="N15" s="207">
        <f t="shared" si="0"/>
        <v>1806092.6400000004</v>
      </c>
      <c r="O15" t="s">
        <v>1505</v>
      </c>
    </row>
    <row r="16" spans="1:15" x14ac:dyDescent="0.25">
      <c r="A16" s="126" t="s">
        <v>270</v>
      </c>
      <c r="B16" s="114">
        <v>29.52</v>
      </c>
      <c r="C16" s="149">
        <f>SUMIF(BD!Q:Q,Financeiro!A16,BD!AD:AD)</f>
        <v>422</v>
      </c>
      <c r="D16" s="114">
        <f t="shared" si="1"/>
        <v>12457.44</v>
      </c>
      <c r="E16" s="116">
        <f>$B16*SUMIFS('Lançamento de Cabos'!$C:$C,'Lançamento de Cabos'!$H:$H,Financeiro!$A16,'Lançamento de Cabos'!$I:$I,Financeiro!E$1)</f>
        <v>0</v>
      </c>
      <c r="F16" s="116">
        <f>$B16*SUMIFS('Lançamento de Cabos'!$C:$C,'Lançamento de Cabos'!$H:$H,Financeiro!$A16,'Lançamento de Cabos'!$I:$I,Financeiro!F$1)</f>
        <v>0</v>
      </c>
      <c r="G16" s="116">
        <f>$B16*SUMIFS('Lançamento de Cabos'!$C:$C,'Lançamento de Cabos'!$H:$H,Financeiro!$A16,'Lançamento de Cabos'!$I:$I,Financeiro!G$1)</f>
        <v>1239.8399999999999</v>
      </c>
      <c r="H16" s="116">
        <f>$B16*SUMIFS('Lançamento de Cabos'!$C:$C,'Lançamento de Cabos'!$H:$H,Financeiro!$A16,'Lançamento de Cabos'!$I:$I,Financeiro!H$1)</f>
        <v>0</v>
      </c>
      <c r="I16" s="128">
        <f>$B16*SUMIFS('Lançamento de Cabos'!$C:$C,'Lançamento de Cabos'!$H:$H,Financeiro!$A16,'Lançamento de Cabos'!$I:$I,Financeiro!I$1)</f>
        <v>0</v>
      </c>
      <c r="J16" s="128">
        <f>$B16*SUMIFS('Lançamento de Cabos'!$C:$C,'Lançamento de Cabos'!$H:$H,Financeiro!$A16,'Lançamento de Cabos'!$I:$I,Financeiro!J$1)</f>
        <v>0</v>
      </c>
      <c r="K16" s="128">
        <f>$B16*SUMIFS('Lançamento de Cabos'!$C:$C,'Lançamento de Cabos'!$H:$H,Financeiro!$A16,'Lançamento de Cabos'!$I:$I,Financeiro!K$1)</f>
        <v>5608.8</v>
      </c>
      <c r="L16" s="128">
        <f>$B16*SUMIFS('Lançamento de Cabos'!$C:$C,'Lançamento de Cabos'!$H:$H,Financeiro!$A16,'Lançamento de Cabos'!$I:$I,Financeiro!L$1)</f>
        <v>0</v>
      </c>
      <c r="M16" s="207"/>
      <c r="N16" s="207">
        <f t="shared" si="0"/>
        <v>6848.64</v>
      </c>
      <c r="O16" t="s">
        <v>1505</v>
      </c>
    </row>
    <row r="17" spans="1:16" x14ac:dyDescent="0.25">
      <c r="A17" s="126" t="s">
        <v>891</v>
      </c>
      <c r="B17" s="114">
        <v>62.73</v>
      </c>
      <c r="C17" s="149">
        <f>SUMIF(BD!Q:Q,Financeiro!A17,BD!AD:AD)</f>
        <v>5</v>
      </c>
      <c r="D17" s="114">
        <f t="shared" si="1"/>
        <v>313.64999999999998</v>
      </c>
      <c r="E17" s="116">
        <f>$B17*SUMIFS('Lançamento de Cabos'!$C:$C,'Lançamento de Cabos'!$H:$H,Financeiro!$A17,'Lançamento de Cabos'!$I:$I,Financeiro!E$1)</f>
        <v>0</v>
      </c>
      <c r="F17" s="116">
        <f>$B17*SUMIFS('Lançamento de Cabos'!$C:$C,'Lançamento de Cabos'!$H:$H,Financeiro!$A17,'Lançamento de Cabos'!$I:$I,Financeiro!F$1)</f>
        <v>0</v>
      </c>
      <c r="G17" s="116">
        <f>$B17*SUMIFS('Lançamento de Cabos'!$C:$C,'Lançamento de Cabos'!$H:$H,Financeiro!$A17,'Lançamento de Cabos'!$I:$I,Financeiro!G$1)</f>
        <v>0</v>
      </c>
      <c r="H17" s="116">
        <f>$B17*SUMIFS('Lançamento de Cabos'!$C:$C,'Lançamento de Cabos'!$H:$H,Financeiro!$A17,'Lançamento de Cabos'!$I:$I,Financeiro!H$1)</f>
        <v>0</v>
      </c>
      <c r="I17" s="128">
        <f>$B17*SUMIFS('Lançamento de Cabos'!$C:$C,'Lançamento de Cabos'!$H:$H,Financeiro!$A17,'Lançamento de Cabos'!$I:$I,Financeiro!I$1)</f>
        <v>0</v>
      </c>
      <c r="J17" s="128">
        <f>$B17*SUMIFS('Lançamento de Cabos'!$C:$C,'Lançamento de Cabos'!$H:$H,Financeiro!$A17,'Lançamento de Cabos'!$I:$I,Financeiro!J$1)</f>
        <v>313.64999999999998</v>
      </c>
      <c r="K17" s="128">
        <f>$B17*SUMIFS('Lançamento de Cabos'!$C:$C,'Lançamento de Cabos'!$H:$H,Financeiro!$A17,'Lançamento de Cabos'!$I:$I,Financeiro!K$1)</f>
        <v>0</v>
      </c>
      <c r="L17" s="128">
        <f>$B17*SUMIFS('Lançamento de Cabos'!$C:$C,'Lançamento de Cabos'!$H:$H,Financeiro!$A17,'Lançamento de Cabos'!$I:$I,Financeiro!L$1)</f>
        <v>0</v>
      </c>
      <c r="M17" s="207"/>
      <c r="N17" s="207">
        <f t="shared" si="0"/>
        <v>313.64999999999998</v>
      </c>
      <c r="O17" t="s">
        <v>1505</v>
      </c>
    </row>
    <row r="18" spans="1:16" x14ac:dyDescent="0.25">
      <c r="A18" s="126" t="s">
        <v>721</v>
      </c>
      <c r="B18" s="114">
        <v>33.21</v>
      </c>
      <c r="C18" s="149">
        <f>SUMIF(BD!Q:Q,Financeiro!A18,BD!AD:AD)</f>
        <v>785</v>
      </c>
      <c r="D18" s="114">
        <f t="shared" si="1"/>
        <v>26069.850000000002</v>
      </c>
      <c r="E18" s="116">
        <f>$B18*SUMIFS('Lançamento de Cabos'!$C:$C,'Lançamento de Cabos'!$H:$H,Financeiro!$A18,'Lançamento de Cabos'!$I:$I,Financeiro!E$1)</f>
        <v>0</v>
      </c>
      <c r="F18" s="116">
        <f>$B18*SUMIFS('Lançamento de Cabos'!$C:$C,'Lançamento de Cabos'!$H:$H,Financeiro!$A18,'Lançamento de Cabos'!$I:$I,Financeiro!F$1)</f>
        <v>0</v>
      </c>
      <c r="G18" s="116">
        <f>$B18*SUMIFS('Lançamento de Cabos'!$C:$C,'Lançamento de Cabos'!$H:$H,Financeiro!$A18,'Lançamento de Cabos'!$I:$I,Financeiro!G$1)</f>
        <v>0</v>
      </c>
      <c r="H18" s="116">
        <f>$B18*SUMIFS('Lançamento de Cabos'!$C:$C,'Lançamento de Cabos'!$H:$H,Financeiro!$A18,'Lançamento de Cabos'!$I:$I,Financeiro!H$1)</f>
        <v>25073.55</v>
      </c>
      <c r="I18" s="128">
        <f>$B18*SUMIFS('Lançamento de Cabos'!$C:$C,'Lançamento de Cabos'!$H:$H,Financeiro!$A18,'Lançamento de Cabos'!$I:$I,Financeiro!I$1)</f>
        <v>0</v>
      </c>
      <c r="J18" s="128">
        <f>$B18*SUMIFS('Lançamento de Cabos'!$C:$C,'Lançamento de Cabos'!$H:$H,Financeiro!$A18,'Lançamento de Cabos'!$I:$I,Financeiro!J$1)</f>
        <v>0</v>
      </c>
      <c r="K18" s="128">
        <f>$B18*SUMIFS('Lançamento de Cabos'!$C:$C,'Lançamento de Cabos'!$H:$H,Financeiro!$A18,'Lançamento de Cabos'!$I:$I,Financeiro!K$1)</f>
        <v>0</v>
      </c>
      <c r="L18" s="128">
        <f>$B18*SUMIFS('Lançamento de Cabos'!$C:$C,'Lançamento de Cabos'!$H:$H,Financeiro!$A18,'Lançamento de Cabos'!$I:$I,Financeiro!L$1)</f>
        <v>0</v>
      </c>
      <c r="M18" s="207"/>
      <c r="N18" s="207">
        <f t="shared" si="0"/>
        <v>25073.55</v>
      </c>
      <c r="O18" t="s">
        <v>1505</v>
      </c>
    </row>
    <row r="19" spans="1:16" x14ac:dyDescent="0.25">
      <c r="A19" s="126" t="s">
        <v>284</v>
      </c>
      <c r="B19" s="114">
        <v>55.35</v>
      </c>
      <c r="C19" s="149">
        <f>SUMIF(BD!Q:Q,Financeiro!A19,BD!AD:AD)</f>
        <v>2936</v>
      </c>
      <c r="D19" s="114">
        <f t="shared" si="1"/>
        <v>162507.6</v>
      </c>
      <c r="E19" s="116">
        <f>$B19*SUMIFS('Lançamento de Cabos'!$C:$C,'Lançamento de Cabos'!$H:$H,Financeiro!$A19,'Lançamento de Cabos'!$I:$I,Financeiro!E$1)</f>
        <v>0</v>
      </c>
      <c r="F19" s="116">
        <f>$B19*SUMIFS('Lançamento de Cabos'!$C:$C,'Lançamento de Cabos'!$H:$H,Financeiro!$A19,'Lançamento de Cabos'!$I:$I,Financeiro!F$1)</f>
        <v>0</v>
      </c>
      <c r="G19" s="116">
        <f>$B19*SUMIFS('Lançamento de Cabos'!$C:$C,'Lançamento de Cabos'!$H:$H,Financeiro!$A19,'Lançamento de Cabos'!$I:$I,Financeiro!G$1)</f>
        <v>2435.4</v>
      </c>
      <c r="H19" s="116">
        <f>$B19*SUMIFS('Lançamento de Cabos'!$C:$C,'Lançamento de Cabos'!$H:$H,Financeiro!$A19,'Lançamento de Cabos'!$I:$I,Financeiro!H$1)</f>
        <v>940.95</v>
      </c>
      <c r="I19" s="128">
        <f>$B19*SUMIFS('Lançamento de Cabos'!$C:$C,'Lançamento de Cabos'!$H:$H,Financeiro!$A19,'Lançamento de Cabos'!$I:$I,Financeiro!I$1)</f>
        <v>276.75</v>
      </c>
      <c r="J19" s="128">
        <f>$B19*SUMIFS('Lançamento de Cabos'!$C:$C,'Lançamento de Cabos'!$H:$H,Financeiro!$A19,'Lançamento de Cabos'!$I:$I,Financeiro!J$1)</f>
        <v>86346</v>
      </c>
      <c r="K19" s="128">
        <f>$B19*SUMIFS('Lançamento de Cabos'!$C:$C,'Lançamento de Cabos'!$H:$H,Financeiro!$A19,'Lançamento de Cabos'!$I:$I,Financeiro!K$1)</f>
        <v>48154.5</v>
      </c>
      <c r="L19" s="128">
        <f>$B19*SUMIFS('Lançamento de Cabos'!$C:$C,'Lançamento de Cabos'!$H:$H,Financeiro!$A19,'Lançamento de Cabos'!$I:$I,Financeiro!L$1)</f>
        <v>0</v>
      </c>
      <c r="M19" s="207"/>
      <c r="N19" s="207">
        <f t="shared" si="0"/>
        <v>138153.60000000001</v>
      </c>
      <c r="O19" t="s">
        <v>1505</v>
      </c>
    </row>
    <row r="20" spans="1:16" x14ac:dyDescent="0.25">
      <c r="A20" s="126" t="s">
        <v>106</v>
      </c>
      <c r="B20" s="114">
        <v>73.8</v>
      </c>
      <c r="C20" s="149">
        <f>SUMIF(BD!Q:Q,Financeiro!A20,BD!AD:AD)</f>
        <v>678</v>
      </c>
      <c r="D20" s="114">
        <f t="shared" si="1"/>
        <v>50036.4</v>
      </c>
      <c r="E20" s="116">
        <f>$B20*SUMIFS('Lançamento de Cabos'!$C:$C,'Lançamento de Cabos'!$H:$H,Financeiro!$A20,'Lançamento de Cabos'!$I:$I,Financeiro!E$1)</f>
        <v>0</v>
      </c>
      <c r="F20" s="116">
        <f>$B20*SUMIFS('Lançamento de Cabos'!$C:$C,'Lançamento de Cabos'!$H:$H,Financeiro!$A20,'Lançamento de Cabos'!$I:$I,Financeiro!F$1)</f>
        <v>0</v>
      </c>
      <c r="G20" s="116">
        <f>$B20*SUMIFS('Lançamento de Cabos'!$C:$C,'Lançamento de Cabos'!$H:$H,Financeiro!$A20,'Lançamento de Cabos'!$I:$I,Financeiro!G$1)</f>
        <v>0</v>
      </c>
      <c r="H20" s="116">
        <f>$B20*SUMIFS('Lançamento de Cabos'!$C:$C,'Lançamento de Cabos'!$H:$H,Financeiro!$A20,'Lançamento de Cabos'!$I:$I,Financeiro!H$1)</f>
        <v>0</v>
      </c>
      <c r="I20" s="310">
        <f>$B20*SUMIFS('Lançamento de Cabos'!$C:$C,'Lançamento de Cabos'!$H:$H,Financeiro!$A20,'Lançamento de Cabos'!$I:$I,Financeiro!I$1)</f>
        <v>0</v>
      </c>
      <c r="J20" s="128">
        <f>$B20*SUMIFS('Lançamento de Cabos'!$C:$C,'Lançamento de Cabos'!$H:$H,Financeiro!$A20,'Lançamento de Cabos'!$I:$I,Financeiro!J$1)</f>
        <v>0</v>
      </c>
      <c r="K20" s="128">
        <f>$B20*SUMIFS('Lançamento de Cabos'!$C:$C,'Lançamento de Cabos'!$H:$H,Financeiro!$A20,'Lançamento de Cabos'!$I:$I,Financeiro!K$1)</f>
        <v>14760</v>
      </c>
      <c r="L20" s="128">
        <f>$B20*SUMIFS('Lançamento de Cabos'!$C:$C,'Lançamento de Cabos'!$H:$H,Financeiro!$A20,'Lançamento de Cabos'!$I:$I,Financeiro!L$1)</f>
        <v>4428</v>
      </c>
      <c r="M20" s="207"/>
      <c r="N20" s="207">
        <f t="shared" si="0"/>
        <v>14760</v>
      </c>
      <c r="O20" t="s">
        <v>1505</v>
      </c>
    </row>
    <row r="21" spans="1:16" x14ac:dyDescent="0.25">
      <c r="A21" s="126" t="s">
        <v>249</v>
      </c>
      <c r="B21" s="114">
        <v>62.73</v>
      </c>
      <c r="C21" s="149">
        <f>SUMIF(BD!Q:Q,Financeiro!A21,BD!AD:AD)</f>
        <v>780</v>
      </c>
      <c r="D21" s="114">
        <f t="shared" si="1"/>
        <v>48929.399999999994</v>
      </c>
      <c r="E21" s="116">
        <f>$B21*SUMIFS('Lançamento de Cabos'!$C:$C,'Lançamento de Cabos'!$H:$H,Financeiro!$A21,'Lançamento de Cabos'!$I:$I,Financeiro!E$1)</f>
        <v>0</v>
      </c>
      <c r="F21" s="116">
        <f>$B21*SUMIFS('Lançamento de Cabos'!$C:$C,'Lançamento de Cabos'!$H:$H,Financeiro!$A21,'Lançamento de Cabos'!$I:$I,Financeiro!F$1)</f>
        <v>0</v>
      </c>
      <c r="G21" s="116">
        <f>$B21*SUMIFS('Lançamento de Cabos'!$C:$C,'Lançamento de Cabos'!$H:$H,Financeiro!$A21,'Lançamento de Cabos'!$I:$I,Financeiro!G$1)</f>
        <v>0</v>
      </c>
      <c r="H21" s="116">
        <f>$B21*SUMIFS('Lançamento de Cabos'!$C:$C,'Lançamento de Cabos'!$H:$H,Financeiro!$A21,'Lançamento de Cabos'!$I:$I,Financeiro!H$1)</f>
        <v>0</v>
      </c>
      <c r="I21" s="128">
        <f>$B21*SUMIFS('Lançamento de Cabos'!$C:$C,'Lançamento de Cabos'!$H:$H,Financeiro!$A21,'Lançamento de Cabos'!$I:$I,Financeiro!I$1)</f>
        <v>0</v>
      </c>
      <c r="J21" s="128">
        <f>$B21*SUMIFS('Lançamento de Cabos'!$C:$C,'Lançamento de Cabos'!$H:$H,Financeiro!$A21,'Lançamento de Cabos'!$I:$I,Financeiro!J$1)</f>
        <v>0</v>
      </c>
      <c r="K21" s="128">
        <f>$B21*SUMIFS('Lançamento de Cabos'!$C:$C,'Lançamento de Cabos'!$H:$H,Financeiro!$A21,'Lançamento de Cabos'!$I:$I,Financeiro!K$1)</f>
        <v>48929.399999999994</v>
      </c>
      <c r="L21" s="128">
        <f>$B21*SUMIFS('Lançamento de Cabos'!$C:$C,'Lançamento de Cabos'!$H:$H,Financeiro!$A21,'Lançamento de Cabos'!$I:$I,Financeiro!L$1)</f>
        <v>0</v>
      </c>
      <c r="M21" s="207"/>
      <c r="N21" s="207">
        <f t="shared" si="0"/>
        <v>48929.399999999994</v>
      </c>
      <c r="O21" t="s">
        <v>1505</v>
      </c>
    </row>
    <row r="22" spans="1:16" x14ac:dyDescent="0.25">
      <c r="A22" s="126" t="s">
        <v>139</v>
      </c>
      <c r="B22" s="114">
        <v>55.35</v>
      </c>
      <c r="C22" s="149">
        <f>SUMIF(BD!Q:Q,Financeiro!A22,BD!AD:AD)</f>
        <v>6635</v>
      </c>
      <c r="D22" s="114">
        <f t="shared" si="1"/>
        <v>367247.25</v>
      </c>
      <c r="E22" s="116">
        <f>$B22*SUMIFS('Lançamento de Cabos'!$C:$C,'Lançamento de Cabos'!$H:$H,Financeiro!$A22,'Lançamento de Cabos'!$I:$I,Financeiro!E$1)</f>
        <v>0</v>
      </c>
      <c r="F22" s="116">
        <f>$B22*SUMIFS('Lançamento de Cabos'!$C:$C,'Lançamento de Cabos'!$H:$H,Financeiro!$A22,'Lançamento de Cabos'!$I:$I,Financeiro!F$1)</f>
        <v>0</v>
      </c>
      <c r="G22" s="116">
        <f>$B22*SUMIFS('Lançamento de Cabos'!$C:$C,'Lançamento de Cabos'!$H:$H,Financeiro!$A22,'Lançamento de Cabos'!$I:$I,Financeiro!G$1)</f>
        <v>12398.4</v>
      </c>
      <c r="H22" s="116">
        <f>$B22*SUMIFS('Lançamento de Cabos'!$C:$C,'Lançamento de Cabos'!$H:$H,Financeiro!$A22,'Lançamento de Cabos'!$I:$I,Financeiro!H$1)</f>
        <v>6974.1</v>
      </c>
      <c r="I22" s="128">
        <f>$B22*SUMIFS('Lançamento de Cabos'!$C:$C,'Lançamento de Cabos'!$H:$H,Financeiro!$A22,'Lançamento de Cabos'!$I:$I,Financeiro!I$1)</f>
        <v>47047.5</v>
      </c>
      <c r="J22" s="128">
        <f>$B22*SUMIFS('Lançamento de Cabos'!$C:$C,'Lançamento de Cabos'!$H:$H,Financeiro!$A22,'Lançamento de Cabos'!$I:$I,Financeiro!J$1)</f>
        <v>149998.5</v>
      </c>
      <c r="K22" s="128">
        <f>$B22*SUMIFS('Lançamento de Cabos'!$C:$C,'Lançamento de Cabos'!$H:$H,Financeiro!$A22,'Lançamento de Cabos'!$I:$I,Financeiro!K$1)</f>
        <v>81419.850000000006</v>
      </c>
      <c r="L22" s="128">
        <f>$B22*SUMIFS('Lançamento de Cabos'!$C:$C,'Lançamento de Cabos'!$H:$H,Financeiro!$A22,'Lançamento de Cabos'!$I:$I,Financeiro!L$1)</f>
        <v>20700.900000000001</v>
      </c>
      <c r="M22" s="207"/>
      <c r="N22" s="207">
        <f t="shared" si="0"/>
        <v>297838.34999999998</v>
      </c>
      <c r="O22" t="s">
        <v>1505</v>
      </c>
    </row>
    <row r="23" spans="1:16" x14ac:dyDescent="0.25">
      <c r="A23" s="126" t="s">
        <v>583</v>
      </c>
      <c r="B23" s="114">
        <v>221.41</v>
      </c>
      <c r="C23" s="149">
        <f>SUMIF(BD!Q:Q,Financeiro!A23,BD!AD:AD)</f>
        <v>8468</v>
      </c>
      <c r="D23" s="114">
        <f t="shared" si="1"/>
        <v>1874899.88</v>
      </c>
      <c r="E23" s="116">
        <f>$B23*SUMIFS('Lançamento de Cabos'!$C:$C,'Lançamento de Cabos'!$H:$H,Financeiro!$A23,'Lançamento de Cabos'!$I:$I,Financeiro!E$1)</f>
        <v>0</v>
      </c>
      <c r="F23" s="116">
        <f>$B23*SUMIFS('Lançamento de Cabos'!$C:$C,'Lançamento de Cabos'!$H:$H,Financeiro!$A23,'Lançamento de Cabos'!$I:$I,Financeiro!F$1)</f>
        <v>0</v>
      </c>
      <c r="G23" s="116">
        <f>$B23*SUMIFS('Lançamento de Cabos'!$C:$C,'Lançamento de Cabos'!$H:$H,Financeiro!$A23,'Lançamento de Cabos'!$I:$I,Financeiro!G$1)</f>
        <v>0</v>
      </c>
      <c r="H23" s="116">
        <f>$B23*SUMIFS('Lançamento de Cabos'!$C:$C,'Lançamento de Cabos'!$H:$H,Financeiro!$A23,'Lançamento de Cabos'!$I:$I,Financeiro!H$1)</f>
        <v>0</v>
      </c>
      <c r="I23" s="128">
        <f>$B23*SUMIFS('Lançamento de Cabos'!$C:$C,'Lançamento de Cabos'!$H:$H,Financeiro!$A23,'Lançamento de Cabos'!$I:$I,Financeiro!I$1)</f>
        <v>0</v>
      </c>
      <c r="J23" s="128">
        <f>$B23*SUMIFS('Lançamento de Cabos'!$C:$C,'Lançamento de Cabos'!$H:$H,Financeiro!$A23,'Lançamento de Cabos'!$I:$I,Financeiro!J$1)</f>
        <v>0</v>
      </c>
      <c r="K23" s="128">
        <f>$B23*SUMIFS('Lançamento de Cabos'!$C:$C,'Lançamento de Cabos'!$H:$H,Financeiro!$A23,'Lançamento de Cabos'!$I:$I,Financeiro!K$1)</f>
        <v>955162.74</v>
      </c>
      <c r="L23" s="128">
        <f>$B23*SUMIFS('Lançamento de Cabos'!$C:$C,'Lançamento de Cabos'!$H:$H,Financeiro!$A23,'Lançamento de Cabos'!$I:$I,Financeiro!L$1)</f>
        <v>574337.54</v>
      </c>
      <c r="M23" s="207"/>
      <c r="N23" s="207">
        <f t="shared" si="0"/>
        <v>955162.74</v>
      </c>
      <c r="O23" t="s">
        <v>1505</v>
      </c>
    </row>
    <row r="24" spans="1:16" x14ac:dyDescent="0.25">
      <c r="A24" s="126" t="s">
        <v>87</v>
      </c>
      <c r="B24" s="114">
        <v>44.28</v>
      </c>
      <c r="C24" s="149">
        <f>SUMIF(BD!Q:Q,Financeiro!A24,BD!AD:AD)</f>
        <v>5629</v>
      </c>
      <c r="D24" s="114">
        <f t="shared" si="1"/>
        <v>249252.12</v>
      </c>
      <c r="E24" s="116">
        <f>$B24*SUMIFS('Lançamento de Cabos'!$C:$C,'Lançamento de Cabos'!$H:$H,Financeiro!$A24,'Lançamento de Cabos'!$I:$I,Financeiro!E$1)</f>
        <v>0</v>
      </c>
      <c r="F24" s="116">
        <f>$B24*SUMIFS('Lançamento de Cabos'!$C:$C,'Lançamento de Cabos'!$H:$H,Financeiro!$A24,'Lançamento de Cabos'!$I:$I,Financeiro!F$1)</f>
        <v>0</v>
      </c>
      <c r="G24" s="116">
        <f>$B24*SUMIFS('Lançamento de Cabos'!$C:$C,'Lançamento de Cabos'!$H:$H,Financeiro!$A24,'Lançamento de Cabos'!$I:$I,Financeiro!G$1)</f>
        <v>0</v>
      </c>
      <c r="H24" s="116">
        <f>$B24*SUMIFS('Lançamento de Cabos'!$C:$C,'Lançamento de Cabos'!$H:$H,Financeiro!$A24,'Lançamento de Cabos'!$I:$I,Financeiro!H$1)</f>
        <v>4428</v>
      </c>
      <c r="I24" s="128">
        <f>$B24*SUMIFS('Lançamento de Cabos'!$C:$C,'Lançamento de Cabos'!$H:$H,Financeiro!$A24,'Lançamento de Cabos'!$I:$I,Financeiro!I$1)</f>
        <v>3542.4</v>
      </c>
      <c r="J24" s="128">
        <f>$B24*SUMIFS('Lançamento de Cabos'!$C:$C,'Lançamento de Cabos'!$H:$H,Financeiro!$A24,'Lançamento de Cabos'!$I:$I,Financeiro!J$1)</f>
        <v>62656.200000000004</v>
      </c>
      <c r="K24" s="128">
        <f>$B24*SUMIFS('Lançamento de Cabos'!$C:$C,'Lançamento de Cabos'!$H:$H,Financeiro!$A24,'Lançamento de Cabos'!$I:$I,Financeiro!K$1)</f>
        <v>125932.32</v>
      </c>
      <c r="L24" s="128">
        <f>$B24*SUMIFS('Lançamento de Cabos'!$C:$C,'Lançamento de Cabos'!$H:$H,Financeiro!$A24,'Lançamento de Cabos'!$I:$I,Financeiro!L$1)</f>
        <v>1771.2</v>
      </c>
      <c r="M24" s="207"/>
      <c r="N24" s="207">
        <f t="shared" si="0"/>
        <v>196558.92</v>
      </c>
      <c r="O24" t="s">
        <v>1505</v>
      </c>
      <c r="P24" t="s">
        <v>2209</v>
      </c>
    </row>
    <row r="25" spans="1:16" x14ac:dyDescent="0.25">
      <c r="A25" s="129" t="s">
        <v>304</v>
      </c>
      <c r="B25" s="114">
        <v>73.8</v>
      </c>
      <c r="C25" s="149">
        <f>SUMIF(BD!Q:Q,Financeiro!A25,BD!AD:AD)</f>
        <v>3342</v>
      </c>
      <c r="D25" s="114">
        <f t="shared" si="1"/>
        <v>246639.59999999998</v>
      </c>
      <c r="E25" s="116">
        <f>$B25*SUMIFS('Lançamento de Cabos'!$C:$C,'Lançamento de Cabos'!$H:$H,Financeiro!$A25,'Lançamento de Cabos'!$I:$I,Financeiro!E$1)</f>
        <v>0</v>
      </c>
      <c r="F25" s="116">
        <f>$B25*SUMIFS('Lançamento de Cabos'!$C:$C,'Lançamento de Cabos'!$H:$H,Financeiro!$A25,'Lançamento de Cabos'!$I:$I,Financeiro!F$1)</f>
        <v>0</v>
      </c>
      <c r="G25" s="116">
        <f>$B25*SUMIFS('Lançamento de Cabos'!$C:$C,'Lançamento de Cabos'!$H:$H,Financeiro!$A25,'Lançamento de Cabos'!$I:$I,Financeiro!G$1)</f>
        <v>0</v>
      </c>
      <c r="H25" s="116">
        <f>$B25*SUMIFS('Lançamento de Cabos'!$C:$C,'Lançamento de Cabos'!$H:$H,Financeiro!$A25,'Lançamento de Cabos'!$I:$I,Financeiro!H$1)</f>
        <v>0</v>
      </c>
      <c r="I25" s="128">
        <f>$B25*SUMIFS('Lançamento de Cabos'!$C:$C,'Lançamento de Cabos'!$H:$H,Financeiro!$A25,'Lançamento de Cabos'!$I:$I,Financeiro!I$1)</f>
        <v>553.5</v>
      </c>
      <c r="J25" s="128">
        <f>$B25*SUMIFS('Lançamento de Cabos'!$C:$C,'Lançamento de Cabos'!$H:$H,Financeiro!$A25,'Lançamento de Cabos'!$I:$I,Financeiro!J$1)</f>
        <v>10922.4</v>
      </c>
      <c r="K25" s="128">
        <f>$B25*SUMIFS('Lançamento de Cabos'!$C:$C,'Lançamento de Cabos'!$H:$H,Financeiro!$A25,'Lançamento de Cabos'!$I:$I,Financeiro!K$1)</f>
        <v>74169</v>
      </c>
      <c r="L25" s="128">
        <f>$B25*SUMIFS('Lançamento de Cabos'!$C:$C,'Lançamento de Cabos'!$H:$H,Financeiro!$A25,'Lançamento de Cabos'!$I:$I,Financeiro!L$1)</f>
        <v>68929.2</v>
      </c>
      <c r="M25" s="207"/>
      <c r="N25" s="207">
        <f t="shared" si="0"/>
        <v>85644.9</v>
      </c>
      <c r="O25" t="s">
        <v>1505</v>
      </c>
    </row>
    <row r="26" spans="1:16" x14ac:dyDescent="0.25">
      <c r="A26" s="129" t="s">
        <v>321</v>
      </c>
      <c r="B26" s="114">
        <v>55.35</v>
      </c>
      <c r="C26" s="149">
        <f>SUMIF(BD!Q:Q,Financeiro!A26,BD!AD:AD)</f>
        <v>8869.5</v>
      </c>
      <c r="D26" s="114">
        <f t="shared" si="1"/>
        <v>490926.82500000001</v>
      </c>
      <c r="E26" s="116">
        <f>$B26*SUMIFS('Lançamento de Cabos'!$C:$C,'Lançamento de Cabos'!$H:$H,Financeiro!$A26,'Lançamento de Cabos'!$I:$I,Financeiro!E$1)</f>
        <v>0</v>
      </c>
      <c r="F26" s="116">
        <f>$B26*SUMIFS('Lançamento de Cabos'!$C:$C,'Lançamento de Cabos'!$H:$H,Financeiro!$A26,'Lançamento de Cabos'!$I:$I,Financeiro!F$1)</f>
        <v>0</v>
      </c>
      <c r="G26" s="116">
        <f>$B26*SUMIFS('Lançamento de Cabos'!$C:$C,'Lançamento de Cabos'!$H:$H,Financeiro!$A26,'Lançamento de Cabos'!$I:$I,Financeiro!G$1)</f>
        <v>0</v>
      </c>
      <c r="H26" s="116">
        <f>$B26*SUMIFS('Lançamento de Cabos'!$C:$C,'Lançamento de Cabos'!$H:$H,Financeiro!$A26,'Lançamento de Cabos'!$I:$I,Financeiro!H$1)</f>
        <v>0</v>
      </c>
      <c r="I26" s="128">
        <f>$B26*SUMIFS('Lançamento de Cabos'!$C:$C,'Lançamento de Cabos'!$H:$H,Financeiro!$A26,'Lançamento de Cabos'!$I:$I,Financeiro!I$1)</f>
        <v>158411.70000000001</v>
      </c>
      <c r="J26" s="128">
        <f>$B26*SUMIFS('Lançamento de Cabos'!$C:$C,'Lançamento de Cabos'!$H:$H,Financeiro!$A26,'Lançamento de Cabos'!$I:$I,Financeiro!J$1)</f>
        <v>106272</v>
      </c>
      <c r="K26" s="128">
        <f>$B26*SUMIFS('Lançamento de Cabos'!$C:$C,'Lançamento de Cabos'!$H:$H,Financeiro!$A26,'Lançamento de Cabos'!$I:$I,Financeiro!K$1)</f>
        <v>164943</v>
      </c>
      <c r="L26" s="128">
        <f>$B26*SUMIFS('Lançamento de Cabos'!$C:$C,'Lançamento de Cabos'!$H:$H,Financeiro!$A26,'Lançamento de Cabos'!$I:$I,Financeiro!L$1)</f>
        <v>44280</v>
      </c>
      <c r="M26" s="207"/>
      <c r="N26" s="207">
        <f>SUM(E26:K26)</f>
        <v>429626.7</v>
      </c>
      <c r="O26" t="s">
        <v>1505</v>
      </c>
    </row>
    <row r="27" spans="1:16" x14ac:dyDescent="0.25">
      <c r="A27" s="129" t="s">
        <v>184</v>
      </c>
      <c r="B27" s="114">
        <v>22.14</v>
      </c>
      <c r="C27" s="149">
        <f>SUMIF(BD!Q:Q,Financeiro!A27,BD!AD:AD)</f>
        <v>17489</v>
      </c>
      <c r="D27" s="114">
        <f t="shared" si="1"/>
        <v>387206.46</v>
      </c>
      <c r="E27" s="116">
        <f>$B27*SUMIFS('Lançamento de Cabos'!$C:$C,'Lançamento de Cabos'!$H:$H,Financeiro!$A27,'Lançamento de Cabos'!$I:$I,Financeiro!E$1)</f>
        <v>0</v>
      </c>
      <c r="F27" s="116">
        <f>$B27*SUMIFS('Lançamento de Cabos'!$C:$C,'Lançamento de Cabos'!$H:$H,Financeiro!$A27,'Lançamento de Cabos'!$I:$I,Financeiro!F$1)</f>
        <v>0</v>
      </c>
      <c r="G27" s="116">
        <f>$B27*SUMIFS('Lançamento de Cabos'!$C:$C,'Lançamento de Cabos'!$H:$H,Financeiro!$A27,'Lançamento de Cabos'!$I:$I,Financeiro!G$1)</f>
        <v>0</v>
      </c>
      <c r="H27" s="116">
        <f>$B27*SUMIFS('Lançamento de Cabos'!$C:$C,'Lançamento de Cabos'!$H:$H,Financeiro!$A27,'Lançamento de Cabos'!$I:$I,Financeiro!H$1)</f>
        <v>7129.08</v>
      </c>
      <c r="I27" s="128">
        <f>$B27*SUMIFS('Lançamento de Cabos'!$C:$C,'Lançamento de Cabos'!$H:$H,Financeiro!$A27,'Lançamento de Cabos'!$I:$I,Financeiro!I$1)</f>
        <v>177961.32</v>
      </c>
      <c r="J27" s="128">
        <f>$B27*SUMIFS('Lançamento de Cabos'!$C:$C,'Lançamento de Cabos'!$H:$H,Financeiro!$A27,'Lançamento de Cabos'!$I:$I,Financeiro!J$1)</f>
        <v>31881.600000000002</v>
      </c>
      <c r="K27" s="128">
        <f>$B27*SUMIFS('Lançamento de Cabos'!$C:$C,'Lançamento de Cabos'!$H:$H,Financeiro!$A27,'Lançamento de Cabos'!$I:$I,Financeiro!K$1)</f>
        <v>94936.320000000007</v>
      </c>
      <c r="L27" s="128">
        <f>$B27*SUMIFS('Lançamento de Cabos'!$C:$C,'Lançamento de Cabos'!$H:$H,Financeiro!$A27,'Lançamento de Cabos'!$I:$I,Financeiro!L$1)</f>
        <v>63918.18</v>
      </c>
      <c r="M27" s="207"/>
      <c r="N27" s="207">
        <f t="shared" si="0"/>
        <v>311908.32</v>
      </c>
      <c r="O27" t="s">
        <v>1505</v>
      </c>
    </row>
    <row r="28" spans="1:16" ht="15.75" thickBot="1" x14ac:dyDescent="0.3">
      <c r="A28" s="130" t="s">
        <v>1017</v>
      </c>
      <c r="B28" s="124">
        <v>73.8</v>
      </c>
      <c r="C28" s="150">
        <f>SUMIF(BD!Q:Q,Financeiro!A28,BD!AD:AD)</f>
        <v>998</v>
      </c>
      <c r="D28" s="124">
        <f t="shared" si="1"/>
        <v>73652.399999999994</v>
      </c>
      <c r="E28" s="125">
        <f>$B28*SUMIFS('Lançamento de Cabos'!$C:$C,'Lançamento de Cabos'!$H:$H,Financeiro!$A28,'Lançamento de Cabos'!$I:$I,Financeiro!E$1)</f>
        <v>0</v>
      </c>
      <c r="F28" s="125">
        <f>$B28*SUMIFS('Lançamento de Cabos'!$C:$C,'Lançamento de Cabos'!$H:$H,Financeiro!$A28,'Lançamento de Cabos'!$I:$I,Financeiro!F$1)</f>
        <v>0</v>
      </c>
      <c r="G28" s="125">
        <f>$B28*SUMIFS('Lançamento de Cabos'!$C:$C,'Lançamento de Cabos'!$H:$H,Financeiro!$A28,'Lançamento de Cabos'!$I:$I,Financeiro!G$1)</f>
        <v>0</v>
      </c>
      <c r="H28" s="125">
        <f>$B28*SUMIFS('Lançamento de Cabos'!$C:$C,'Lançamento de Cabos'!$H:$H,Financeiro!$A28,'Lançamento de Cabos'!$I:$I,Financeiro!H$1)</f>
        <v>0</v>
      </c>
      <c r="I28" s="131">
        <f>$B28*SUMIFS('Lançamento de Cabos'!$C:$C,'Lançamento de Cabos'!$H:$H,Financeiro!$A28,'Lançamento de Cabos'!$I:$I,Financeiro!I$1)</f>
        <v>0</v>
      </c>
      <c r="J28" s="131">
        <f>$B28*SUMIFS('Lançamento de Cabos'!$C:$C,'Lançamento de Cabos'!$H:$H,Financeiro!$A28,'Lançamento de Cabos'!$I:$I,Financeiro!J$1)</f>
        <v>0</v>
      </c>
      <c r="K28" s="131">
        <f>$B28*SUMIFS('Lançamento de Cabos'!$C:$C,'Lançamento de Cabos'!$H:$H,Financeiro!$A28,'Lançamento de Cabos'!$I:$I,Financeiro!K$1)</f>
        <v>13653</v>
      </c>
      <c r="L28" s="131">
        <f>$B28*SUMIFS('Lançamento de Cabos'!$C:$C,'Lançamento de Cabos'!$H:$H,Financeiro!$A28,'Lançamento de Cabos'!$I:$I,Financeiro!L$1)</f>
        <v>38597.4</v>
      </c>
      <c r="M28" s="207"/>
      <c r="N28" s="207">
        <f t="shared" si="0"/>
        <v>13653</v>
      </c>
      <c r="O28" t="s">
        <v>1505</v>
      </c>
    </row>
    <row r="29" spans="1:16" ht="15.75" thickTop="1" x14ac:dyDescent="0.25">
      <c r="A29" s="571" t="s">
        <v>2210</v>
      </c>
      <c r="B29" s="572"/>
      <c r="C29" s="122">
        <f t="shared" ref="C29:H29" si="2">SUM(C2:C24)</f>
        <v>77429</v>
      </c>
      <c r="D29" s="123">
        <f>SUM(D2:D24)</f>
        <v>12742849.369999999</v>
      </c>
      <c r="E29" s="123">
        <f t="shared" si="2"/>
        <v>269224</v>
      </c>
      <c r="F29" s="123">
        <f t="shared" si="2"/>
        <v>384921</v>
      </c>
      <c r="G29" s="123">
        <f t="shared" si="2"/>
        <v>76110.829999999987</v>
      </c>
      <c r="H29" s="123">
        <f t="shared" si="2"/>
        <v>1694878.3800000004</v>
      </c>
      <c r="I29" s="132">
        <f>SUM(I2:I24)</f>
        <v>2951813.2500000005</v>
      </c>
      <c r="J29" s="132">
        <f>SUM(J2:J24)</f>
        <v>2786624.85</v>
      </c>
      <c r="K29" s="132">
        <f>SUM(K2:K24)</f>
        <v>1712848.31</v>
      </c>
      <c r="L29" s="132">
        <f>SUM(L2:L24)</f>
        <v>1544067.64</v>
      </c>
      <c r="M29" s="208"/>
      <c r="N29" s="207">
        <f>SUM(E29:K29)</f>
        <v>9876420.620000001</v>
      </c>
    </row>
    <row r="30" spans="1:16" x14ac:dyDescent="0.25">
      <c r="A30" s="568" t="s">
        <v>2211</v>
      </c>
      <c r="B30" s="569"/>
      <c r="C30" s="121">
        <f t="shared" ref="C30:J30" si="3">SUM(C25:C28)</f>
        <v>30698.5</v>
      </c>
      <c r="D30" s="115">
        <f t="shared" si="3"/>
        <v>1198425.2849999999</v>
      </c>
      <c r="E30" s="115">
        <f t="shared" si="3"/>
        <v>0</v>
      </c>
      <c r="F30" s="115">
        <f t="shared" si="3"/>
        <v>0</v>
      </c>
      <c r="G30" s="115">
        <f t="shared" si="3"/>
        <v>0</v>
      </c>
      <c r="H30" s="115">
        <f t="shared" si="3"/>
        <v>7129.08</v>
      </c>
      <c r="I30" s="127">
        <f t="shared" si="3"/>
        <v>336926.52</v>
      </c>
      <c r="J30" s="127">
        <f t="shared" si="3"/>
        <v>149076</v>
      </c>
      <c r="K30" s="127">
        <f t="shared" ref="K30:L30" si="4">SUM(K25:K28)</f>
        <v>347701.32</v>
      </c>
      <c r="L30" s="127">
        <f t="shared" si="4"/>
        <v>215724.78</v>
      </c>
      <c r="N30" s="207">
        <f>SUM(E30:K30)</f>
        <v>840832.92</v>
      </c>
    </row>
    <row r="31" spans="1:16" x14ac:dyDescent="0.25">
      <c r="A31" s="570" t="s">
        <v>43</v>
      </c>
      <c r="B31" s="419"/>
      <c r="C31" s="119">
        <f>SUM(C29:C30)</f>
        <v>108127.5</v>
      </c>
      <c r="D31" s="117">
        <f>SUM(D29:D30)</f>
        <v>13941274.654999999</v>
      </c>
      <c r="E31" s="117">
        <f t="shared" ref="E31:I31" si="5">SUM(E29:E30)</f>
        <v>269224</v>
      </c>
      <c r="F31" s="117">
        <f t="shared" si="5"/>
        <v>384921</v>
      </c>
      <c r="G31" s="117">
        <f t="shared" si="5"/>
        <v>76110.829999999987</v>
      </c>
      <c r="H31" s="117">
        <f t="shared" si="5"/>
        <v>1702007.4600000004</v>
      </c>
      <c r="I31" s="133">
        <f t="shared" si="5"/>
        <v>3288739.7700000005</v>
      </c>
      <c r="J31" s="133">
        <f>SUM(J29:J30)</f>
        <v>2935700.85</v>
      </c>
      <c r="K31" s="133">
        <f>SUM(K29:K30)</f>
        <v>2060549.6300000001</v>
      </c>
      <c r="L31" s="133">
        <f>SUM(L29:L30)</f>
        <v>1759792.42</v>
      </c>
    </row>
    <row r="32" spans="1:16" x14ac:dyDescent="0.25">
      <c r="A32" s="573" t="s">
        <v>2212</v>
      </c>
      <c r="B32" s="574"/>
      <c r="C32" s="389" t="s">
        <v>92</v>
      </c>
      <c r="D32" s="389" t="s">
        <v>92</v>
      </c>
      <c r="E32" s="118">
        <f t="shared" ref="E32:I32" si="6">E29/$D$29</f>
        <v>2.1127456833463301E-2</v>
      </c>
      <c r="F32" s="118">
        <f t="shared" si="6"/>
        <v>3.0206823358220395E-2</v>
      </c>
      <c r="G32" s="118">
        <f t="shared" si="6"/>
        <v>5.9728266253531014E-3</v>
      </c>
      <c r="H32" s="118">
        <f t="shared" si="6"/>
        <v>0.13300623202768036</v>
      </c>
      <c r="I32" s="134">
        <f t="shared" si="6"/>
        <v>0.23164467885411413</v>
      </c>
      <c r="J32" s="134">
        <f>J29/$D$29</f>
        <v>0.21868145570020187</v>
      </c>
      <c r="K32" s="134">
        <f>K29/$D$29</f>
        <v>0.13441642918831742</v>
      </c>
      <c r="L32" s="134">
        <f>L29/$D$29</f>
        <v>0.12117130126603702</v>
      </c>
    </row>
    <row r="33" spans="1:12" ht="15.75" thickBot="1" x14ac:dyDescent="0.3">
      <c r="A33" s="575" t="s">
        <v>2213</v>
      </c>
      <c r="B33" s="576"/>
      <c r="C33" s="390" t="s">
        <v>92</v>
      </c>
      <c r="D33" s="390" t="s">
        <v>92</v>
      </c>
      <c r="E33" s="135">
        <f>E32</f>
        <v>2.1127456833463301E-2</v>
      </c>
      <c r="F33" s="135">
        <f t="shared" ref="F33:L33" si="7">F32+E33</f>
        <v>5.1334280191683693E-2</v>
      </c>
      <c r="G33" s="135">
        <f t="shared" si="7"/>
        <v>5.7307106817036796E-2</v>
      </c>
      <c r="H33" s="135">
        <f t="shared" si="7"/>
        <v>0.19031333884471716</v>
      </c>
      <c r="I33" s="136">
        <f t="shared" si="7"/>
        <v>0.42195801769883129</v>
      </c>
      <c r="J33" s="136">
        <f t="shared" si="7"/>
        <v>0.64063947339903315</v>
      </c>
      <c r="K33" s="136">
        <f t="shared" si="7"/>
        <v>0.77505590258735058</v>
      </c>
      <c r="L33" s="136">
        <f t="shared" si="7"/>
        <v>0.89622720385338761</v>
      </c>
    </row>
    <row r="35" spans="1:12" x14ac:dyDescent="0.25">
      <c r="B35"/>
      <c r="C35"/>
      <c r="D35"/>
      <c r="E35"/>
    </row>
    <row r="36" spans="1:12" x14ac:dyDescent="0.25">
      <c r="B36"/>
      <c r="C36"/>
      <c r="D36"/>
      <c r="E36"/>
    </row>
    <row r="37" spans="1:12" x14ac:dyDescent="0.25">
      <c r="B37"/>
      <c r="C37"/>
      <c r="D37"/>
      <c r="E37"/>
    </row>
  </sheetData>
  <mergeCells count="5">
    <mergeCell ref="A30:B30"/>
    <mergeCell ref="A31:B31"/>
    <mergeCell ref="A29:B29"/>
    <mergeCell ref="A32:B32"/>
    <mergeCell ref="A33:B33"/>
  </mergeCells>
  <pageMargins left="0.511811024" right="0.511811024" top="0.78740157499999996" bottom="0.78740157499999996" header="0.31496062000000002" footer="0.31496062000000002"/>
  <ignoredErrors>
    <ignoredError sqref="D4:D9 D25:D28 D2 D11:D24" unlockedFormula="1"/>
  </ignoredError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0">
    <tabColor rgb="FFFF9999"/>
  </sheetPr>
  <dimension ref="A1:AL39"/>
  <sheetViews>
    <sheetView zoomScale="115" zoomScaleNormal="115" workbookViewId="0">
      <selection activeCell="C16" sqref="C16"/>
    </sheetView>
  </sheetViews>
  <sheetFormatPr defaultRowHeight="11.25" x14ac:dyDescent="0.2"/>
  <cols>
    <col min="1" max="16384" width="9.140625" style="7"/>
  </cols>
  <sheetData>
    <row r="1" spans="1:38" ht="12" customHeight="1" x14ac:dyDescent="0.2">
      <c r="A1" s="7" t="s">
        <v>1487</v>
      </c>
      <c r="B1" s="391" t="s">
        <v>2214</v>
      </c>
      <c r="C1" s="391" t="s">
        <v>2092</v>
      </c>
      <c r="D1" s="391" t="s">
        <v>43</v>
      </c>
      <c r="E1" s="31">
        <v>44074</v>
      </c>
      <c r="F1" s="31">
        <f>E1+7</f>
        <v>44081</v>
      </c>
      <c r="G1" s="31">
        <f t="shared" ref="G1:AA1" si="0">F1+7</f>
        <v>44088</v>
      </c>
      <c r="H1" s="31">
        <f t="shared" si="0"/>
        <v>44095</v>
      </c>
      <c r="I1" s="31">
        <f t="shared" si="0"/>
        <v>44102</v>
      </c>
      <c r="J1" s="31">
        <f t="shared" si="0"/>
        <v>44109</v>
      </c>
      <c r="K1" s="31">
        <f t="shared" si="0"/>
        <v>44116</v>
      </c>
      <c r="L1" s="31">
        <f t="shared" si="0"/>
        <v>44123</v>
      </c>
      <c r="M1" s="31">
        <f t="shared" si="0"/>
        <v>44130</v>
      </c>
      <c r="N1" s="31">
        <f t="shared" si="0"/>
        <v>44137</v>
      </c>
      <c r="O1" s="31">
        <f t="shared" si="0"/>
        <v>44144</v>
      </c>
      <c r="P1" s="31">
        <f t="shared" si="0"/>
        <v>44151</v>
      </c>
      <c r="Q1" s="31">
        <f t="shared" si="0"/>
        <v>44158</v>
      </c>
      <c r="R1" s="31">
        <f t="shared" si="0"/>
        <v>44165</v>
      </c>
      <c r="S1" s="31">
        <f t="shared" si="0"/>
        <v>44172</v>
      </c>
      <c r="T1" s="31">
        <f t="shared" si="0"/>
        <v>44179</v>
      </c>
      <c r="U1" s="31">
        <f t="shared" si="0"/>
        <v>44186</v>
      </c>
      <c r="V1" s="31">
        <f t="shared" si="0"/>
        <v>44193</v>
      </c>
      <c r="W1" s="31">
        <f t="shared" si="0"/>
        <v>44200</v>
      </c>
      <c r="X1" s="31">
        <f t="shared" si="0"/>
        <v>44207</v>
      </c>
      <c r="Y1" s="31">
        <f t="shared" si="0"/>
        <v>44214</v>
      </c>
      <c r="Z1" s="31">
        <f t="shared" si="0"/>
        <v>44221</v>
      </c>
      <c r="AA1" s="31">
        <f t="shared" si="0"/>
        <v>44228</v>
      </c>
      <c r="AB1" s="31">
        <f>AA1+7</f>
        <v>44235</v>
      </c>
      <c r="AC1" s="31">
        <f>AB1+7</f>
        <v>44242</v>
      </c>
      <c r="AD1" s="31">
        <f>AC1+7</f>
        <v>44249</v>
      </c>
      <c r="AE1" s="31">
        <f>AD1+7</f>
        <v>44256</v>
      </c>
      <c r="AF1" s="31">
        <f t="shared" ref="AF1:AJ1" si="1">AE1+7</f>
        <v>44263</v>
      </c>
      <c r="AG1" s="31">
        <f t="shared" si="1"/>
        <v>44270</v>
      </c>
      <c r="AH1" s="31">
        <f t="shared" si="1"/>
        <v>44277</v>
      </c>
      <c r="AI1" s="31">
        <f t="shared" si="1"/>
        <v>44284</v>
      </c>
      <c r="AJ1" s="31">
        <f t="shared" si="1"/>
        <v>44291</v>
      </c>
      <c r="AK1" s="31"/>
      <c r="AL1" s="31"/>
    </row>
    <row r="2" spans="1:38" ht="12" customHeight="1" x14ac:dyDescent="0.2">
      <c r="A2" s="7" t="str">
        <f>Dashboard!V6</f>
        <v>FIBRA</v>
      </c>
      <c r="B2" s="7" t="s">
        <v>790</v>
      </c>
      <c r="C2" s="7" t="s">
        <v>2215</v>
      </c>
      <c r="D2" s="391">
        <f>IF(A2="Geral",SUM(BD!$AD:$AD),SUMIF(BD!$J:$J,Curva!A2,BD!$AD:$AD))</f>
        <v>12208</v>
      </c>
      <c r="E2" s="43" t="e">
        <f>VLOOKUP($A$2,'Distr.-Área'!$A:$X,MATCH(Curva!E1,'Distr.-Área'!$A$1:$X$1,0),0)</f>
        <v>#N/A</v>
      </c>
      <c r="F2" s="43" t="e">
        <f>VLOOKUP($A$2,'Distr.-Área'!$A:$X,MATCH(Curva!F1,'Distr.-Área'!$A$1:$X$1,0),0)</f>
        <v>#N/A</v>
      </c>
      <c r="G2" s="43" t="e">
        <f>VLOOKUP($A$2,'Distr.-Área'!$A:$X,MATCH(Curva!G1,'Distr.-Área'!$A$1:$X$1,0),0)</f>
        <v>#N/A</v>
      </c>
      <c r="H2" s="43" t="e">
        <f>VLOOKUP($A$2,'Distr.-Área'!$A:$X,MATCH(Curva!H1,'Distr.-Área'!$A$1:$X$1,0),0)</f>
        <v>#N/A</v>
      </c>
      <c r="I2" s="43" t="e">
        <f>VLOOKUP($A$2,'Distr.-Área'!$A:$X,MATCH(Curva!I1,'Distr.-Área'!$A$1:$X$1,0),0)</f>
        <v>#N/A</v>
      </c>
      <c r="J2" s="43" t="e">
        <f>VLOOKUP($A$2,'Distr.-Área'!$A:$X,MATCH(Curva!J1,'Distr.-Área'!$A$1:$X$1,0),0)</f>
        <v>#N/A</v>
      </c>
      <c r="K2" s="43" t="e">
        <f>VLOOKUP($A$2,'Distr.-Área'!$A:$X,MATCH(Curva!K1,'Distr.-Área'!$A$1:$X$1,0),0)</f>
        <v>#N/A</v>
      </c>
      <c r="L2" s="43" t="e">
        <f>VLOOKUP($A$2,'Distr.-Área'!$A:$X,MATCH(Curva!L1,'Distr.-Área'!$A$1:$X$1,0),0)</f>
        <v>#N/A</v>
      </c>
      <c r="M2" s="43" t="e">
        <f>VLOOKUP($A$2,'Distr.-Área'!$A:$X,MATCH(Curva!M1,'Distr.-Área'!$A$1:$X$1,0),0)</f>
        <v>#N/A</v>
      </c>
      <c r="N2" s="43" t="e">
        <f>VLOOKUP($A$2,'Distr.-Área'!$A:$X,MATCH(Curva!N1,'Distr.-Área'!$A$1:$X$1,0),0)</f>
        <v>#N/A</v>
      </c>
      <c r="O2" s="43" t="e">
        <f>VLOOKUP($A$2,'Distr.-Área'!$A:$X,MATCH(Curva!O1,'Distr.-Área'!$A$1:$X$1,0),0)</f>
        <v>#N/A</v>
      </c>
      <c r="P2" s="43" t="e">
        <f>VLOOKUP($A$2,'Distr.-Área'!$A:$X,MATCH(Curva!P1,'Distr.-Área'!$A$1:$X$1,0),0)</f>
        <v>#N/A</v>
      </c>
      <c r="Q2" s="43" t="e">
        <f>VLOOKUP($A$2,'Distr.-Área'!$A:$X,MATCH(Curva!Q1,'Distr.-Área'!$A$1:$X$1,0),0)</f>
        <v>#N/A</v>
      </c>
      <c r="R2" s="43" t="e">
        <f>VLOOKUP($A$2,'Distr.-Área'!$A:$X,MATCH(Curva!R1,'Distr.-Área'!$A$1:$X$1,0),0)</f>
        <v>#N/A</v>
      </c>
      <c r="S2" s="43" t="e">
        <f>VLOOKUP($A$2,'Distr.-Área'!$A:$X,MATCH(Curva!S1,'Distr.-Área'!$A$1:$X$1,0),0)</f>
        <v>#N/A</v>
      </c>
      <c r="T2" s="43" t="e">
        <f>VLOOKUP($A$2,'Distr.-Área'!$A:$X,MATCH(Curva!T1,'Distr.-Área'!$A$1:$X$1,0),0)</f>
        <v>#N/A</v>
      </c>
      <c r="U2" s="43" t="e">
        <f>VLOOKUP($A$2,'Distr.-Área'!$A:$X,MATCH(Curva!U1,'Distr.-Área'!$A$1:$X$1,0),0)</f>
        <v>#N/A</v>
      </c>
      <c r="V2" s="43" t="e">
        <f>VLOOKUP($A$2,'Distr.-Área'!$A:$X,MATCH(Curva!V1,'Distr.-Área'!$A$1:$X$1,0),0)</f>
        <v>#N/A</v>
      </c>
      <c r="W2" s="43" t="e">
        <f>VLOOKUP($A$2,'Distr.-Área'!$A:$X,MATCH(Curva!W1,'Distr.-Área'!$A$1:$X$1,0),0)</f>
        <v>#N/A</v>
      </c>
      <c r="X2" s="43" t="e">
        <f>VLOOKUP($A$2,'Distr.-Área'!$A:$X,MATCH(Curva!X1,'Distr.-Área'!$A$1:$X$1,0),0)</f>
        <v>#N/A</v>
      </c>
      <c r="Y2" s="43" t="e">
        <f>VLOOKUP($A$2,'Distr.-Área'!$A:$X,MATCH(Curva!Y1,'Distr.-Área'!$A$1:$X$1,0),0)</f>
        <v>#N/A</v>
      </c>
      <c r="Z2" s="43" t="e">
        <f>VLOOKUP($A$2,'Distr.-Área'!$A:$X,MATCH(Curva!Z1,'Distr.-Área'!$A$1:$X$1,0),0)</f>
        <v>#N/A</v>
      </c>
      <c r="AA2" s="43" t="e">
        <f>VLOOKUP($A$2,'Distr.-Área'!$A:$X,MATCH(Curva!AA1,'Distr.-Área'!$A$1:$X$1,0),0)</f>
        <v>#N/A</v>
      </c>
      <c r="AB2" s="43">
        <v>1</v>
      </c>
      <c r="AC2" s="43">
        <v>1</v>
      </c>
      <c r="AD2" s="43">
        <v>1</v>
      </c>
      <c r="AE2" s="43">
        <v>1</v>
      </c>
      <c r="AF2" s="43">
        <v>1</v>
      </c>
      <c r="AG2" s="43">
        <v>1</v>
      </c>
      <c r="AH2" s="43">
        <v>1</v>
      </c>
      <c r="AI2" s="43">
        <v>1</v>
      </c>
      <c r="AJ2" s="43">
        <v>1</v>
      </c>
      <c r="AK2" s="43"/>
      <c r="AL2" s="43"/>
    </row>
    <row r="3" spans="1:38" ht="12" customHeight="1" x14ac:dyDescent="0.2">
      <c r="A3" s="7" t="str">
        <f>A2</f>
        <v>FIBRA</v>
      </c>
      <c r="B3" s="7" t="s">
        <v>790</v>
      </c>
      <c r="C3" s="3" t="s">
        <v>2100</v>
      </c>
      <c r="D3" s="391">
        <f>IF(A3="Geral",SUM(Tabela2[Metragem]),SUMIF(Tabela2[Área],Curva!A3,Tabela2[Metragem]))</f>
        <v>9202.5</v>
      </c>
      <c r="E3" s="43">
        <f ca="1">IF(TODAY()&gt;=E1-$C$5,IF($A$3="Geral",SUMIFS('Lançamento de Cabos'!$C:$C,'Lançamento de Cabos'!$D:$D,"&lt;="&amp;Curva!E1)/$D$2,SUMIFS('Lançamento de Cabos'!$C:$C,'Lançamento de Cabos'!$F:$F,Curva!$A$3,'Lançamento de Cabos'!$D:$D,"&lt;="&amp;Curva!E1)/$D$2),NA())</f>
        <v>0</v>
      </c>
      <c r="F3" s="43">
        <f ca="1">IF(TODAY()&gt;=F1-$C$5,IF($A$3="Geral",SUMIFS('Lançamento de Cabos'!$C:$C,'Lançamento de Cabos'!$D:$D,"&lt;="&amp;Curva!F1)/$D$2,SUMIFS('Lançamento de Cabos'!$C:$C,'Lançamento de Cabos'!$F:$F,Curva!$A$3,'Lançamento de Cabos'!$D:$D,"&lt;="&amp;Curva!F1)/$D$2),NA())</f>
        <v>0</v>
      </c>
      <c r="G3" s="43">
        <f ca="1">IF(TODAY()&gt;=G1-$C$5,IF($A$3="Geral",SUMIFS('Lançamento de Cabos'!$C:$C,'Lançamento de Cabos'!$D:$D,"&lt;="&amp;Curva!G1)/$D$2,SUMIFS('Lançamento de Cabos'!$C:$C,'Lançamento de Cabos'!$F:$F,Curva!$A$3,'Lançamento de Cabos'!$D:$D,"&lt;="&amp;Curva!G1)/$D$2),NA())</f>
        <v>0</v>
      </c>
      <c r="H3" s="43">
        <f ca="1">IF(TODAY()&gt;=H1-$C$5,IF($A$3="Geral",SUMIFS('Lançamento de Cabos'!$C:$C,'Lançamento de Cabos'!$D:$D,"&lt;="&amp;Curva!H1)/$D$2,SUMIFS('Lançamento de Cabos'!$C:$C,'Lançamento de Cabos'!$F:$F,Curva!$A$3,'Lançamento de Cabos'!$D:$D,"&lt;="&amp;Curva!H1)/$D$2),NA())</f>
        <v>0</v>
      </c>
      <c r="I3" s="43">
        <f ca="1">IF(TODAY()&gt;=I1-$C$5,IF($A$3="Geral",SUMIFS('Lançamento de Cabos'!$C:$C,'Lançamento de Cabos'!$D:$D,"&lt;="&amp;Curva!I1)/$D$2,SUMIFS('Lançamento de Cabos'!$C:$C,'Lançamento de Cabos'!$F:$F,Curva!$A$3,'Lançamento de Cabos'!$D:$D,"&lt;="&amp;Curva!I1)/$D$2),NA())</f>
        <v>0</v>
      </c>
      <c r="J3" s="43">
        <f ca="1">IF(TODAY()&gt;=J1-$C$5,IF($A$3="Geral",SUMIFS('Lançamento de Cabos'!$C:$C,'Lançamento de Cabos'!$D:$D,"&lt;="&amp;Curva!J1)/$D$2,SUMIFS('Lançamento de Cabos'!$C:$C,'Lançamento de Cabos'!$F:$F,Curva!$A$3,'Lançamento de Cabos'!$D:$D,"&lt;="&amp;Curva!J1)/$D$2),NA())</f>
        <v>0</v>
      </c>
      <c r="K3" s="43">
        <f ca="1">IF(TODAY()&gt;=K1-$C$5,IF($A$3="Geral",SUMIFS('Lançamento de Cabos'!$C:$C,'Lançamento de Cabos'!$D:$D,"&lt;="&amp;Curva!K1)/$D$2,SUMIFS('Lançamento de Cabos'!$C:$C,'Lançamento de Cabos'!$F:$F,Curva!$A$3,'Lançamento de Cabos'!$D:$D,"&lt;="&amp;Curva!K1)/$D$2),NA())</f>
        <v>0</v>
      </c>
      <c r="L3" s="43">
        <f ca="1">IF(TODAY()&gt;=L1-$C$5,IF($A$3="Geral",SUMIFS('Lançamento de Cabos'!$C:$C,'Lançamento de Cabos'!$D:$D,"&lt;="&amp;Curva!L1)/$D$2,SUMIFS('Lançamento de Cabos'!$C:$C,'Lançamento de Cabos'!$F:$F,Curva!$A$3,'Lançamento de Cabos'!$D:$D,"&lt;="&amp;Curva!L1)/$D$2),NA())</f>
        <v>0</v>
      </c>
      <c r="M3" s="43">
        <f ca="1">IF(TODAY()&gt;=M1-$C$5,IF($A$3="Geral",SUMIFS('Lançamento de Cabos'!$C:$C,'Lançamento de Cabos'!$D:$D,"&lt;="&amp;Curva!M1)/$D$2,SUMIFS('Lançamento de Cabos'!$C:$C,'Lançamento de Cabos'!$F:$F,Curva!$A$3,'Lançamento de Cabos'!$D:$D,"&lt;="&amp;Curva!M1)/$D$2),NA())</f>
        <v>0</v>
      </c>
      <c r="N3" s="43">
        <f ca="1">IF(TODAY()&gt;=N1-$C$5,IF($A$3="Geral",SUMIFS('Lançamento de Cabos'!$C:$C,'Lançamento de Cabos'!$D:$D,"&lt;="&amp;Curva!N1)/$D$2,SUMIFS('Lançamento de Cabos'!$C:$C,'Lançamento de Cabos'!$F:$F,Curva!$A$3,'Lançamento de Cabos'!$D:$D,"&lt;="&amp;Curva!N1)/$D$2),NA())</f>
        <v>0</v>
      </c>
      <c r="O3" s="43">
        <f ca="1">IF(TODAY()&gt;=O1-$C$5,IF($A$3="Geral",SUMIFS('Lançamento de Cabos'!$C:$C,'Lançamento de Cabos'!$D:$D,"&lt;="&amp;Curva!O1)/$D$2,SUMIFS('Lançamento de Cabos'!$C:$C,'Lançamento de Cabos'!$F:$F,Curva!$A$3,'Lançamento de Cabos'!$D:$D,"&lt;="&amp;Curva!O1)/$D$2),NA())</f>
        <v>0</v>
      </c>
      <c r="P3" s="43">
        <f ca="1">IF(TODAY()&gt;=P1-$C$5,IF($A$3="Geral",SUMIFS('Lançamento de Cabos'!$C:$C,'Lançamento de Cabos'!$D:$D,"&lt;="&amp;Curva!P1)/$D$2,SUMIFS('Lançamento de Cabos'!$C:$C,'Lançamento de Cabos'!$F:$F,Curva!$A$3,'Lançamento de Cabos'!$D:$D,"&lt;="&amp;Curva!P1)/$D$2),NA())</f>
        <v>0</v>
      </c>
      <c r="Q3" s="43">
        <f ca="1">IF(TODAY()&gt;=Q1-$C$5,IF($A$3="Geral",SUMIFS('Lançamento de Cabos'!$C:$C,'Lançamento de Cabos'!$D:$D,"&lt;="&amp;Curva!Q1)/$D$2,SUMIFS('Lançamento de Cabos'!$C:$C,'Lançamento de Cabos'!$F:$F,Curva!$A$3,'Lançamento de Cabos'!$D:$D,"&lt;="&amp;Curva!Q1)/$D$2),NA())</f>
        <v>0</v>
      </c>
      <c r="R3" s="43">
        <f ca="1">IF(TODAY()&gt;=R1-$C$5,IF($A$3="Geral",SUMIFS('Lançamento de Cabos'!$C:$C,'Lançamento de Cabos'!$D:$D,"&lt;="&amp;Curva!R1)/$D$2,SUMIFS('Lançamento de Cabos'!$C:$C,'Lançamento de Cabos'!$F:$F,Curva!$A$3,'Lançamento de Cabos'!$D:$D,"&lt;="&amp;Curva!R1)/$D$2),NA())</f>
        <v>0</v>
      </c>
      <c r="S3" s="43">
        <f ca="1">IF(TODAY()&gt;=S1-$C$5,IF($A$3="Geral",SUMIFS('Lançamento de Cabos'!$C:$C,'Lançamento de Cabos'!$D:$D,"&lt;="&amp;Curva!S1)/$D$2,SUMIFS('Lançamento de Cabos'!$C:$C,'Lançamento de Cabos'!$F:$F,Curva!$A$3,'Lançamento de Cabos'!$D:$D,"&lt;="&amp;Curva!S1)/$D$2),NA())</f>
        <v>0</v>
      </c>
      <c r="T3" s="43">
        <f ca="1">IF(TODAY()&gt;=T1-$C$5,IF($A$3="Geral",SUMIFS('Lançamento de Cabos'!$C:$C,'Lançamento de Cabos'!$D:$D,"&lt;="&amp;Curva!T1)/$D$2,SUMIFS('Lançamento de Cabos'!$C:$C,'Lançamento de Cabos'!$F:$F,Curva!$A$3,'Lançamento de Cabos'!$D:$D,"&lt;="&amp;Curva!T1)/$D$2),NA())</f>
        <v>0</v>
      </c>
      <c r="U3" s="43">
        <f ca="1">IF(TODAY()&gt;=U1-$C$5,IF($A$3="Geral",SUMIFS('Lançamento de Cabos'!$C:$C,'Lançamento de Cabos'!$D:$D,"&lt;="&amp;Curva!U1)/$D$2,SUMIFS('Lançamento de Cabos'!$C:$C,'Lançamento de Cabos'!$F:$F,Curva!$A$3,'Lançamento de Cabos'!$D:$D,"&lt;="&amp;Curva!U1)/$D$2),NA())</f>
        <v>0</v>
      </c>
      <c r="V3" s="43">
        <f ca="1">IF(TODAY()&gt;=V1-$C$5,IF($A$3="Geral",SUMIFS('Lançamento de Cabos'!$C:$C,'Lançamento de Cabos'!$D:$D,"&lt;="&amp;Curva!V1)/$D$2,SUMIFS('Lançamento de Cabos'!$C:$C,'Lançamento de Cabos'!$F:$F,Curva!$A$3,'Lançamento de Cabos'!$D:$D,"&lt;="&amp;Curva!V1)/$D$2),NA())</f>
        <v>0</v>
      </c>
      <c r="W3" s="43">
        <f ca="1">IF(TODAY()&gt;=W1-$C$5,IF($A$3="Geral",SUMIFS('Lançamento de Cabos'!$C:$C,'Lançamento de Cabos'!$D:$D,"&lt;="&amp;Curva!W1)/$D$2,SUMIFS('Lançamento de Cabos'!$C:$C,'Lançamento de Cabos'!$F:$F,Curva!$A$3,'Lançamento de Cabos'!$D:$D,"&lt;="&amp;Curva!W1)/$D$2),NA())</f>
        <v>0</v>
      </c>
      <c r="X3" s="43">
        <f ca="1">IF(TODAY()&gt;=X1-$C$5,IF($A$3="Geral",SUMIFS('Lançamento de Cabos'!$C:$C,'Lançamento de Cabos'!$D:$D,"&lt;="&amp;Curva!X1)/$D$2,SUMIFS('Lançamento de Cabos'!$C:$C,'Lançamento de Cabos'!$F:$F,Curva!$A$3,'Lançamento de Cabos'!$D:$D,"&lt;="&amp;Curva!X1)/$D$2),NA())</f>
        <v>0</v>
      </c>
      <c r="Y3" s="43">
        <f ca="1">IF(TODAY()&gt;=Y1-$C$5,IF($A$3="Geral",SUMIFS('Lançamento de Cabos'!$C:$C,'Lançamento de Cabos'!$D:$D,"&lt;="&amp;Curva!Y1)/$D$2,SUMIFS('Lançamento de Cabos'!$C:$C,'Lançamento de Cabos'!$F:$F,Curva!$A$3,'Lançamento de Cabos'!$D:$D,"&lt;="&amp;Curva!Y1)/$D$2),NA())</f>
        <v>1.2123197903014417E-2</v>
      </c>
      <c r="Z3" s="43">
        <f ca="1">IF(TODAY()&gt;=Z1-$C$5,IF($A$3="Geral",SUMIFS('Lançamento de Cabos'!$C:$C,'Lançamento de Cabos'!$D:$D,"&lt;="&amp;Curva!Z1)/$D$2,SUMIFS('Lançamento de Cabos'!$C:$C,'Lançamento de Cabos'!$F:$F,Curva!$A$3,'Lançamento de Cabos'!$D:$D,"&lt;="&amp;Curva!Z1)/$D$2),NA())</f>
        <v>1.2123197903014417E-2</v>
      </c>
      <c r="AA3" s="43">
        <f ca="1">IF(TODAY()&gt;=AA1-$C$5,IF($A$3="Geral",SUMIFS('Lançamento de Cabos'!$C:$C,'Lançamento de Cabos'!$D:$D,"&lt;="&amp;Curva!AA1)/$D$2,SUMIFS('Lançamento de Cabos'!$C:$C,'Lançamento de Cabos'!$F:$F,Curva!$A$3,'Lançamento de Cabos'!$D:$D,"&lt;="&amp;Curva!AA1)/$D$2),NA())</f>
        <v>1.2123197903014417E-2</v>
      </c>
      <c r="AB3" s="43">
        <f ca="1">IF(TODAY()&gt;=AB1-$C$5,IF($A$3="Geral",SUMIFS('Lançamento de Cabos'!$C:$C,'Lançamento de Cabos'!$D:$D,"&lt;="&amp;Curva!AB1)/$D$2,SUMIFS('Lançamento de Cabos'!$C:$C,'Lançamento de Cabos'!$F:$F,Curva!$A$3,'Lançamento de Cabos'!$D:$D,"&lt;="&amp;Curva!AB1)/$D$2),NA())</f>
        <v>1.2532765399737876E-2</v>
      </c>
      <c r="AC3" s="43">
        <f ca="1">IF(TODAY()&gt;=AC1-$C$5,IF($A$3="Geral",SUMIFS('Lançamento de Cabos'!$C:$C,'Lançamento de Cabos'!$D:$D,"&lt;="&amp;Curva!AC1)/$D$2,SUMIFS('Lançamento de Cabos'!$C:$C,'Lançamento de Cabos'!$F:$F,Curva!$A$3,'Lançamento de Cabos'!$D:$D,"&lt;="&amp;Curva!AC1)/$D$2),NA())</f>
        <v>1.2532765399737876E-2</v>
      </c>
      <c r="AD3" s="43">
        <f ca="1">IF(TODAY()&gt;=AD1-$C$5,IF($A$3="Geral",SUMIFS('Lançamento de Cabos'!$C:$C,'Lançamento de Cabos'!$D:$D,"&lt;="&amp;Curva!AD1)/$D$2,SUMIFS('Lançamento de Cabos'!$C:$C,'Lançamento de Cabos'!$F:$F,Curva!$A$3,'Lançamento de Cabos'!$D:$D,"&lt;="&amp;Curva!AD1)/$D$2),NA())</f>
        <v>6.9872214941022276E-2</v>
      </c>
      <c r="AE3" s="43">
        <f ca="1">IF(TODAY()&gt;=AE1-$C$5,IF($A$3="Geral",SUMIFS('Lançamento de Cabos'!$C:$C,'Lançamento de Cabos'!$D:$D,"&lt;="&amp;Curva!AE1)/$D$2,SUMIFS('Lançamento de Cabos'!$C:$C,'Lançamento de Cabos'!$F:$F,Curva!$A$3,'Lançamento de Cabos'!$D:$D,"&lt;="&amp;Curva!AE1)/$D$2),NA())</f>
        <v>0.36693152031454784</v>
      </c>
      <c r="AF3" s="43">
        <f ca="1">IF(TODAY()&gt;=AF1-$C$5,IF($A$3="Geral",SUMIFS('Lançamento de Cabos'!$C:$C,'Lançamento de Cabos'!$D:$D,"&lt;="&amp;Curva!AF1)/$D$2,SUMIFS('Lançamento de Cabos'!$C:$C,'Lançamento de Cabos'!$F:$F,Curva!$A$3,'Lançamento de Cabos'!$D:$D,"&lt;="&amp;Curva!AF1)/$D$2),NA())</f>
        <v>0.5008600917431193</v>
      </c>
      <c r="AG3" s="43">
        <f ca="1">IF(TODAY()&gt;=AG1-$C$5,IF($A$3="Geral",SUMIFS('Lançamento de Cabos'!$C:$C,'Lançamento de Cabos'!$D:$D,"&lt;="&amp;Curva!AG1)/$D$2,SUMIFS('Lançamento de Cabos'!$C:$C,'Lançamento de Cabos'!$F:$F,Curva!$A$3,'Lançamento de Cabos'!$D:$D,"&lt;="&amp;Curva!AG1)/$D$2),NA())</f>
        <v>0.75380897771952815</v>
      </c>
      <c r="AH3" s="43">
        <f ca="1">IF(TODAY()&gt;=AH1-$C$5,IF($A$3="Geral",SUMIFS('Lançamento de Cabos'!$C:$C,'Lançamento de Cabos'!$D:$D,"&lt;="&amp;Curva!AH1)/$D$2,SUMIFS('Lançamento de Cabos'!$C:$C,'Lançamento de Cabos'!$F:$F,Curva!$A$3,'Lançamento de Cabos'!$D:$D,"&lt;="&amp;Curva!AH1)/$D$2),NA())</f>
        <v>0.75380897771952815</v>
      </c>
      <c r="AI3" s="43">
        <f ca="1">IF(TODAY()&gt;=AI1-$C$5,IF($A$3="Geral",SUMIFS('Lançamento de Cabos'!$C:$C,'Lançamento de Cabos'!$D:$D,"&lt;="&amp;Curva!AI1)/$D$2,SUMIFS('Lançamento de Cabos'!$C:$C,'Lançamento de Cabos'!$F:$F,Curva!$A$3,'Lançamento de Cabos'!$D:$D,"&lt;="&amp;Curva!AI1)/$D$2),NA())</f>
        <v>0.75380897771952815</v>
      </c>
      <c r="AJ3" s="43" t="e">
        <f ca="1">IF(TODAY()&gt;=AJ1-$C$5,IF($A$3="Geral",SUMIFS('Lançamento de Cabos'!$C:$C,'Lançamento de Cabos'!$D:$D,"&lt;="&amp;Curva!AJ1)/$D$2,SUMIFS('Lançamento de Cabos'!$C:$C,'Lançamento de Cabos'!$F:$F,Curva!$A$3,'Lançamento de Cabos'!$D:$D,"&lt;="&amp;Curva!AJ1)/$D$2),NA())</f>
        <v>#N/A</v>
      </c>
      <c r="AK3" s="43"/>
      <c r="AL3" s="43"/>
    </row>
    <row r="4" spans="1:38" ht="12" customHeight="1" x14ac:dyDescent="0.2">
      <c r="C4" s="391"/>
    </row>
    <row r="5" spans="1:38" ht="12" customHeight="1" x14ac:dyDescent="0.2">
      <c r="B5" s="7" t="s">
        <v>2216</v>
      </c>
      <c r="C5" s="391">
        <v>7</v>
      </c>
    </row>
    <row r="6" spans="1:38" ht="12" customHeight="1" x14ac:dyDescent="0.2">
      <c r="C6" s="32"/>
    </row>
    <row r="7" spans="1:38" ht="12" customHeight="1" x14ac:dyDescent="0.2">
      <c r="C7" s="32"/>
    </row>
    <row r="8" spans="1:38" ht="12" customHeight="1" x14ac:dyDescent="0.2">
      <c r="C8" s="391"/>
    </row>
    <row r="9" spans="1:38" ht="12" customHeight="1" x14ac:dyDescent="0.2">
      <c r="C9" s="391"/>
    </row>
    <row r="10" spans="1:38" ht="12" customHeight="1" x14ac:dyDescent="0.2">
      <c r="C10" s="391"/>
      <c r="F10" s="49"/>
    </row>
    <row r="11" spans="1:38" ht="12" customHeight="1" x14ac:dyDescent="0.2">
      <c r="C11" s="391"/>
    </row>
    <row r="12" spans="1:38" ht="12" customHeight="1" x14ac:dyDescent="0.2">
      <c r="C12" s="391"/>
    </row>
    <row r="13" spans="1:38" ht="12" customHeight="1" x14ac:dyDescent="0.2">
      <c r="C13" s="391"/>
    </row>
    <row r="14" spans="1:38" ht="12" customHeight="1" x14ac:dyDescent="0.2">
      <c r="C14" s="391"/>
    </row>
    <row r="15" spans="1:38" ht="12" customHeight="1" x14ac:dyDescent="0.2">
      <c r="C15" s="391"/>
    </row>
    <row r="16" spans="1:38" ht="12" customHeight="1" x14ac:dyDescent="0.2">
      <c r="C16" s="391"/>
    </row>
    <row r="17" spans="3:3" ht="12" customHeight="1" x14ac:dyDescent="0.2">
      <c r="C17" s="391"/>
    </row>
    <row r="18" spans="3:3" ht="12" customHeight="1" x14ac:dyDescent="0.2">
      <c r="C18" s="391"/>
    </row>
    <row r="19" spans="3:3" ht="12" customHeight="1" x14ac:dyDescent="0.2">
      <c r="C19" s="391"/>
    </row>
    <row r="20" spans="3:3" ht="12" customHeight="1" x14ac:dyDescent="0.2">
      <c r="C20" s="391"/>
    </row>
    <row r="21" spans="3:3" ht="12" customHeight="1" x14ac:dyDescent="0.2">
      <c r="C21" s="391"/>
    </row>
    <row r="22" spans="3:3" ht="12" customHeight="1" x14ac:dyDescent="0.2">
      <c r="C22" s="391"/>
    </row>
    <row r="23" spans="3:3" ht="12" customHeight="1" x14ac:dyDescent="0.2">
      <c r="C23" s="391"/>
    </row>
    <row r="24" spans="3:3" ht="12" customHeight="1" x14ac:dyDescent="0.2">
      <c r="C24" s="391"/>
    </row>
    <row r="25" spans="3:3" ht="12" customHeight="1" x14ac:dyDescent="0.2">
      <c r="C25" s="391"/>
    </row>
    <row r="26" spans="3:3" ht="12" customHeight="1" x14ac:dyDescent="0.2">
      <c r="C26" s="391"/>
    </row>
    <row r="27" spans="3:3" ht="12" customHeight="1" x14ac:dyDescent="0.2">
      <c r="C27" s="391"/>
    </row>
    <row r="28" spans="3:3" ht="12" customHeight="1" x14ac:dyDescent="0.2">
      <c r="C28" s="391"/>
    </row>
    <row r="29" spans="3:3" ht="12" customHeight="1" x14ac:dyDescent="0.2">
      <c r="C29" s="391"/>
    </row>
    <row r="30" spans="3:3" ht="12" customHeight="1" x14ac:dyDescent="0.2">
      <c r="C30" s="391"/>
    </row>
    <row r="31" spans="3:3" ht="12" customHeight="1" x14ac:dyDescent="0.2">
      <c r="C31" s="391"/>
    </row>
    <row r="32" spans="3:3" ht="12" customHeight="1" x14ac:dyDescent="0.2">
      <c r="C32" s="391"/>
    </row>
    <row r="33" spans="3:3" ht="12" customHeight="1" x14ac:dyDescent="0.2">
      <c r="C33" s="391"/>
    </row>
    <row r="34" spans="3:3" ht="12" customHeight="1" x14ac:dyDescent="0.2">
      <c r="C34" s="391"/>
    </row>
    <row r="35" spans="3:3" ht="12" customHeight="1" x14ac:dyDescent="0.2">
      <c r="C35" s="391"/>
    </row>
    <row r="36" spans="3:3" ht="12" customHeight="1" x14ac:dyDescent="0.2">
      <c r="C36" s="391"/>
    </row>
    <row r="37" spans="3:3" ht="12" customHeight="1" x14ac:dyDescent="0.2">
      <c r="C37" s="391"/>
    </row>
    <row r="38" spans="3:3" ht="12" customHeight="1" x14ac:dyDescent="0.2">
      <c r="C38" s="391"/>
    </row>
    <row r="39" spans="3:3" ht="12" customHeight="1" x14ac:dyDescent="0.2">
      <c r="C39" s="391"/>
    </row>
  </sheetData>
  <dataValidations count="1">
    <dataValidation type="whole" allowBlank="1" showInputMessage="1" showErrorMessage="1" sqref="C5" xr:uid="{00000000-0002-0000-1000-000000000000}">
      <formula1>0</formula1>
      <formula2>7</formula2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1"/>
  <dimension ref="A1:Z125"/>
  <sheetViews>
    <sheetView zoomScaleNormal="100" workbookViewId="0">
      <pane ySplit="1" topLeftCell="A63" activePane="bottomLeft" state="frozen"/>
      <selection activeCell="AB3" sqref="AB3"/>
      <selection pane="bottomLeft" activeCell="D1" sqref="D1"/>
    </sheetView>
  </sheetViews>
  <sheetFormatPr defaultRowHeight="11.25" x14ac:dyDescent="0.2"/>
  <cols>
    <col min="1" max="1" width="9.140625" style="7"/>
    <col min="2" max="2" width="14.7109375" style="7" bestFit="1" customWidth="1"/>
    <col min="3" max="3" width="57.5703125" style="7" customWidth="1"/>
    <col min="4" max="258" width="9.140625" style="7"/>
    <col min="259" max="259" width="57.5703125" style="7" customWidth="1"/>
    <col min="260" max="514" width="9.140625" style="7"/>
    <col min="515" max="515" width="57.5703125" style="7" customWidth="1"/>
    <col min="516" max="770" width="9.140625" style="7"/>
    <col min="771" max="771" width="57.5703125" style="7" customWidth="1"/>
    <col min="772" max="1026" width="9.140625" style="7"/>
    <col min="1027" max="1027" width="57.5703125" style="7" customWidth="1"/>
    <col min="1028" max="1282" width="9.140625" style="7"/>
    <col min="1283" max="1283" width="57.5703125" style="7" customWidth="1"/>
    <col min="1284" max="1538" width="9.140625" style="7"/>
    <col min="1539" max="1539" width="57.5703125" style="7" customWidth="1"/>
    <col min="1540" max="1794" width="9.140625" style="7"/>
    <col min="1795" max="1795" width="57.5703125" style="7" customWidth="1"/>
    <col min="1796" max="2050" width="9.140625" style="7"/>
    <col min="2051" max="2051" width="57.5703125" style="7" customWidth="1"/>
    <col min="2052" max="2306" width="9.140625" style="7"/>
    <col min="2307" max="2307" width="57.5703125" style="7" customWidth="1"/>
    <col min="2308" max="2562" width="9.140625" style="7"/>
    <col min="2563" max="2563" width="57.5703125" style="7" customWidth="1"/>
    <col min="2564" max="2818" width="9.140625" style="7"/>
    <col min="2819" max="2819" width="57.5703125" style="7" customWidth="1"/>
    <col min="2820" max="3074" width="9.140625" style="7"/>
    <col min="3075" max="3075" width="57.5703125" style="7" customWidth="1"/>
    <col min="3076" max="3330" width="9.140625" style="7"/>
    <col min="3331" max="3331" width="57.5703125" style="7" customWidth="1"/>
    <col min="3332" max="3586" width="9.140625" style="7"/>
    <col min="3587" max="3587" width="57.5703125" style="7" customWidth="1"/>
    <col min="3588" max="3842" width="9.140625" style="7"/>
    <col min="3843" max="3843" width="57.5703125" style="7" customWidth="1"/>
    <col min="3844" max="4098" width="9.140625" style="7"/>
    <col min="4099" max="4099" width="57.5703125" style="7" customWidth="1"/>
    <col min="4100" max="4354" width="9.140625" style="7"/>
    <col min="4355" max="4355" width="57.5703125" style="7" customWidth="1"/>
    <col min="4356" max="4610" width="9.140625" style="7"/>
    <col min="4611" max="4611" width="57.5703125" style="7" customWidth="1"/>
    <col min="4612" max="4866" width="9.140625" style="7"/>
    <col min="4867" max="4867" width="57.5703125" style="7" customWidth="1"/>
    <col min="4868" max="5122" width="9.140625" style="7"/>
    <col min="5123" max="5123" width="57.5703125" style="7" customWidth="1"/>
    <col min="5124" max="5378" width="9.140625" style="7"/>
    <col min="5379" max="5379" width="57.5703125" style="7" customWidth="1"/>
    <col min="5380" max="5634" width="9.140625" style="7"/>
    <col min="5635" max="5635" width="57.5703125" style="7" customWidth="1"/>
    <col min="5636" max="5890" width="9.140625" style="7"/>
    <col min="5891" max="5891" width="57.5703125" style="7" customWidth="1"/>
    <col min="5892" max="6146" width="9.140625" style="7"/>
    <col min="6147" max="6147" width="57.5703125" style="7" customWidth="1"/>
    <col min="6148" max="6402" width="9.140625" style="7"/>
    <col min="6403" max="6403" width="57.5703125" style="7" customWidth="1"/>
    <col min="6404" max="6658" width="9.140625" style="7"/>
    <col min="6659" max="6659" width="57.5703125" style="7" customWidth="1"/>
    <col min="6660" max="6914" width="9.140625" style="7"/>
    <col min="6915" max="6915" width="57.5703125" style="7" customWidth="1"/>
    <col min="6916" max="7170" width="9.140625" style="7"/>
    <col min="7171" max="7171" width="57.5703125" style="7" customWidth="1"/>
    <col min="7172" max="7426" width="9.140625" style="7"/>
    <col min="7427" max="7427" width="57.5703125" style="7" customWidth="1"/>
    <col min="7428" max="7682" width="9.140625" style="7"/>
    <col min="7683" max="7683" width="57.5703125" style="7" customWidth="1"/>
    <col min="7684" max="7938" width="9.140625" style="7"/>
    <col min="7939" max="7939" width="57.5703125" style="7" customWidth="1"/>
    <col min="7940" max="8194" width="9.140625" style="7"/>
    <col min="8195" max="8195" width="57.5703125" style="7" customWidth="1"/>
    <col min="8196" max="8450" width="9.140625" style="7"/>
    <col min="8451" max="8451" width="57.5703125" style="7" customWidth="1"/>
    <col min="8452" max="8706" width="9.140625" style="7"/>
    <col min="8707" max="8707" width="57.5703125" style="7" customWidth="1"/>
    <col min="8708" max="8962" width="9.140625" style="7"/>
    <col min="8963" max="8963" width="57.5703125" style="7" customWidth="1"/>
    <col min="8964" max="9218" width="9.140625" style="7"/>
    <col min="9219" max="9219" width="57.5703125" style="7" customWidth="1"/>
    <col min="9220" max="9474" width="9.140625" style="7"/>
    <col min="9475" max="9475" width="57.5703125" style="7" customWidth="1"/>
    <col min="9476" max="9730" width="9.140625" style="7"/>
    <col min="9731" max="9731" width="57.5703125" style="7" customWidth="1"/>
    <col min="9732" max="9986" width="9.140625" style="7"/>
    <col min="9987" max="9987" width="57.5703125" style="7" customWidth="1"/>
    <col min="9988" max="10242" width="9.140625" style="7"/>
    <col min="10243" max="10243" width="57.5703125" style="7" customWidth="1"/>
    <col min="10244" max="10498" width="9.140625" style="7"/>
    <col min="10499" max="10499" width="57.5703125" style="7" customWidth="1"/>
    <col min="10500" max="10754" width="9.140625" style="7"/>
    <col min="10755" max="10755" width="57.5703125" style="7" customWidth="1"/>
    <col min="10756" max="11010" width="9.140625" style="7"/>
    <col min="11011" max="11011" width="57.5703125" style="7" customWidth="1"/>
    <col min="11012" max="11266" width="9.140625" style="7"/>
    <col min="11267" max="11267" width="57.5703125" style="7" customWidth="1"/>
    <col min="11268" max="11522" width="9.140625" style="7"/>
    <col min="11523" max="11523" width="57.5703125" style="7" customWidth="1"/>
    <col min="11524" max="11778" width="9.140625" style="7"/>
    <col min="11779" max="11779" width="57.5703125" style="7" customWidth="1"/>
    <col min="11780" max="12034" width="9.140625" style="7"/>
    <col min="12035" max="12035" width="57.5703125" style="7" customWidth="1"/>
    <col min="12036" max="12290" width="9.140625" style="7"/>
    <col min="12291" max="12291" width="57.5703125" style="7" customWidth="1"/>
    <col min="12292" max="12546" width="9.140625" style="7"/>
    <col min="12547" max="12547" width="57.5703125" style="7" customWidth="1"/>
    <col min="12548" max="12802" width="9.140625" style="7"/>
    <col min="12803" max="12803" width="57.5703125" style="7" customWidth="1"/>
    <col min="12804" max="13058" width="9.140625" style="7"/>
    <col min="13059" max="13059" width="57.5703125" style="7" customWidth="1"/>
    <col min="13060" max="13314" width="9.140625" style="7"/>
    <col min="13315" max="13315" width="57.5703125" style="7" customWidth="1"/>
    <col min="13316" max="13570" width="9.140625" style="7"/>
    <col min="13571" max="13571" width="57.5703125" style="7" customWidth="1"/>
    <col min="13572" max="13826" width="9.140625" style="7"/>
    <col min="13827" max="13827" width="57.5703125" style="7" customWidth="1"/>
    <col min="13828" max="14082" width="9.140625" style="7"/>
    <col min="14083" max="14083" width="57.5703125" style="7" customWidth="1"/>
    <col min="14084" max="14338" width="9.140625" style="7"/>
    <col min="14339" max="14339" width="57.5703125" style="7" customWidth="1"/>
    <col min="14340" max="14594" width="9.140625" style="7"/>
    <col min="14595" max="14595" width="57.5703125" style="7" customWidth="1"/>
    <col min="14596" max="14850" width="9.140625" style="7"/>
    <col min="14851" max="14851" width="57.5703125" style="7" customWidth="1"/>
    <col min="14852" max="15106" width="9.140625" style="7"/>
    <col min="15107" max="15107" width="57.5703125" style="7" customWidth="1"/>
    <col min="15108" max="15362" width="9.140625" style="7"/>
    <col min="15363" max="15363" width="57.5703125" style="7" customWidth="1"/>
    <col min="15364" max="15618" width="9.140625" style="7"/>
    <col min="15619" max="15619" width="57.5703125" style="7" customWidth="1"/>
    <col min="15620" max="15874" width="9.140625" style="7"/>
    <col min="15875" max="15875" width="57.5703125" style="7" customWidth="1"/>
    <col min="15876" max="16130" width="9.140625" style="7"/>
    <col min="16131" max="16131" width="57.5703125" style="7" customWidth="1"/>
    <col min="16132" max="16384" width="9.140625" style="7"/>
  </cols>
  <sheetData>
    <row r="1" spans="1:26" x14ac:dyDescent="0.2">
      <c r="A1" s="391" t="s">
        <v>2214</v>
      </c>
      <c r="B1" s="391" t="s">
        <v>2217</v>
      </c>
      <c r="C1" s="391" t="s">
        <v>0</v>
      </c>
      <c r="D1" s="31">
        <v>44074</v>
      </c>
      <c r="E1" s="31">
        <f>D1+7</f>
        <v>44081</v>
      </c>
      <c r="F1" s="31">
        <f t="shared" ref="F1:Z1" si="0">E1+7</f>
        <v>44088</v>
      </c>
      <c r="G1" s="31">
        <f t="shared" si="0"/>
        <v>44095</v>
      </c>
      <c r="H1" s="31">
        <f t="shared" si="0"/>
        <v>44102</v>
      </c>
      <c r="I1" s="31">
        <f t="shared" si="0"/>
        <v>44109</v>
      </c>
      <c r="J1" s="31">
        <f t="shared" si="0"/>
        <v>44116</v>
      </c>
      <c r="K1" s="31">
        <f t="shared" si="0"/>
        <v>44123</v>
      </c>
      <c r="L1" s="31">
        <f t="shared" si="0"/>
        <v>44130</v>
      </c>
      <c r="M1" s="31">
        <f t="shared" si="0"/>
        <v>44137</v>
      </c>
      <c r="N1" s="31">
        <f t="shared" si="0"/>
        <v>44144</v>
      </c>
      <c r="O1" s="31">
        <f t="shared" si="0"/>
        <v>44151</v>
      </c>
      <c r="P1" s="31">
        <f t="shared" si="0"/>
        <v>44158</v>
      </c>
      <c r="Q1" s="31">
        <f t="shared" si="0"/>
        <v>44165</v>
      </c>
      <c r="R1" s="31">
        <f t="shared" si="0"/>
        <v>44172</v>
      </c>
      <c r="S1" s="31">
        <f t="shared" si="0"/>
        <v>44179</v>
      </c>
      <c r="T1" s="31">
        <f t="shared" si="0"/>
        <v>44186</v>
      </c>
      <c r="U1" s="31">
        <f t="shared" si="0"/>
        <v>44193</v>
      </c>
      <c r="V1" s="31">
        <f t="shared" si="0"/>
        <v>44200</v>
      </c>
      <c r="W1" s="31">
        <f t="shared" si="0"/>
        <v>44207</v>
      </c>
      <c r="X1" s="31">
        <f t="shared" si="0"/>
        <v>44214</v>
      </c>
      <c r="Y1" s="31">
        <f t="shared" si="0"/>
        <v>44221</v>
      </c>
      <c r="Z1" s="31">
        <f t="shared" si="0"/>
        <v>44228</v>
      </c>
    </row>
    <row r="2" spans="1:26" s="3" customFormat="1" x14ac:dyDescent="0.2">
      <c r="B2" s="3" t="s">
        <v>28</v>
      </c>
      <c r="C2" s="3" t="s">
        <v>28</v>
      </c>
      <c r="D2" s="47">
        <f>D47/$Z47</f>
        <v>0</v>
      </c>
      <c r="E2" s="47">
        <f t="shared" ref="E2:Z2" si="1">E47/$Z47</f>
        <v>0</v>
      </c>
      <c r="F2" s="47">
        <f t="shared" si="1"/>
        <v>1.0668163952835487E-3</v>
      </c>
      <c r="G2" s="47">
        <f t="shared" si="1"/>
        <v>4.3608459666853831E-3</v>
      </c>
      <c r="H2" s="47">
        <f t="shared" si="1"/>
        <v>8.160209620063634E-3</v>
      </c>
      <c r="I2" s="47">
        <f t="shared" si="1"/>
        <v>1.0546509451618941E-2</v>
      </c>
      <c r="J2" s="47">
        <f t="shared" si="1"/>
        <v>1.1978289350552125E-2</v>
      </c>
      <c r="K2" s="47">
        <f t="shared" si="1"/>
        <v>1.1978289350552125E-2</v>
      </c>
      <c r="L2" s="47">
        <f t="shared" si="1"/>
        <v>1.1978289350552125E-2</v>
      </c>
      <c r="M2" s="47">
        <f t="shared" si="1"/>
        <v>2.2225341568407261E-2</v>
      </c>
      <c r="N2" s="47">
        <f t="shared" si="1"/>
        <v>3.4699606962380683E-2</v>
      </c>
      <c r="O2" s="47">
        <f t="shared" si="1"/>
        <v>4.5592363840539024E-2</v>
      </c>
      <c r="P2" s="47">
        <f t="shared" si="1"/>
        <v>5.7551937113980912E-2</v>
      </c>
      <c r="Q2" s="47">
        <f t="shared" si="1"/>
        <v>9.7669848399775411E-2</v>
      </c>
      <c r="R2" s="47">
        <f t="shared" si="1"/>
        <v>0.16522552872917837</v>
      </c>
      <c r="S2" s="47">
        <f t="shared" si="1"/>
        <v>0.2628579449747333</v>
      </c>
      <c r="T2" s="47">
        <f t="shared" si="1"/>
        <v>0.3305352798053528</v>
      </c>
      <c r="U2" s="47">
        <f t="shared" si="1"/>
        <v>0.41388732921579635</v>
      </c>
      <c r="V2" s="47">
        <f t="shared" si="1"/>
        <v>0.52067021752240727</v>
      </c>
      <c r="W2" s="47">
        <f t="shared" si="1"/>
        <v>0.70175879135733155</v>
      </c>
      <c r="X2" s="47">
        <f t="shared" si="1"/>
        <v>0.85330559714683796</v>
      </c>
      <c r="Y2" s="47">
        <f t="shared" si="1"/>
        <v>0.96366598560941641</v>
      </c>
      <c r="Z2" s="47">
        <f t="shared" si="1"/>
        <v>1</v>
      </c>
    </row>
    <row r="3" spans="1:26" x14ac:dyDescent="0.2">
      <c r="A3" s="7" t="s">
        <v>829</v>
      </c>
      <c r="B3" s="7" t="s">
        <v>906</v>
      </c>
      <c r="C3" s="7" t="s">
        <v>2218</v>
      </c>
      <c r="D3" s="47">
        <f t="shared" ref="D3:Z3" si="2">D48/$Z48</f>
        <v>0</v>
      </c>
      <c r="E3" s="47">
        <f t="shared" si="2"/>
        <v>0</v>
      </c>
      <c r="F3" s="47">
        <f t="shared" si="2"/>
        <v>0</v>
      </c>
      <c r="G3" s="47">
        <f t="shared" si="2"/>
        <v>0</v>
      </c>
      <c r="H3" s="47">
        <f t="shared" si="2"/>
        <v>0</v>
      </c>
      <c r="I3" s="47">
        <f t="shared" si="2"/>
        <v>0</v>
      </c>
      <c r="J3" s="47">
        <f t="shared" si="2"/>
        <v>0</v>
      </c>
      <c r="K3" s="47">
        <f t="shared" si="2"/>
        <v>0</v>
      </c>
      <c r="L3" s="47">
        <f t="shared" si="2"/>
        <v>0</v>
      </c>
      <c r="M3" s="47">
        <f t="shared" si="2"/>
        <v>0</v>
      </c>
      <c r="N3" s="47">
        <f t="shared" si="2"/>
        <v>0</v>
      </c>
      <c r="O3" s="47">
        <f t="shared" si="2"/>
        <v>0</v>
      </c>
      <c r="P3" s="47">
        <f t="shared" si="2"/>
        <v>0</v>
      </c>
      <c r="Q3" s="47">
        <f t="shared" si="2"/>
        <v>0.2</v>
      </c>
      <c r="R3" s="47">
        <f t="shared" si="2"/>
        <v>0.53333333333333333</v>
      </c>
      <c r="S3" s="47">
        <f t="shared" si="2"/>
        <v>0.8</v>
      </c>
      <c r="T3" s="47">
        <f t="shared" si="2"/>
        <v>1</v>
      </c>
      <c r="U3" s="47">
        <f t="shared" si="2"/>
        <v>1</v>
      </c>
      <c r="V3" s="47">
        <f t="shared" si="2"/>
        <v>1</v>
      </c>
      <c r="W3" s="47">
        <f t="shared" si="2"/>
        <v>1</v>
      </c>
      <c r="X3" s="47">
        <f t="shared" si="2"/>
        <v>1</v>
      </c>
      <c r="Y3" s="47">
        <f t="shared" si="2"/>
        <v>1</v>
      </c>
      <c r="Z3" s="47">
        <f t="shared" si="2"/>
        <v>1</v>
      </c>
    </row>
    <row r="4" spans="1:26" x14ac:dyDescent="0.2">
      <c r="A4" s="7" t="s">
        <v>933</v>
      </c>
      <c r="B4" s="7" t="s">
        <v>931</v>
      </c>
      <c r="C4" s="7" t="s">
        <v>2219</v>
      </c>
      <c r="D4" s="47">
        <f t="shared" ref="D4:Z4" si="3">D49/$Z49</f>
        <v>0</v>
      </c>
      <c r="E4" s="47">
        <f t="shared" si="3"/>
        <v>0</v>
      </c>
      <c r="F4" s="47">
        <f t="shared" si="3"/>
        <v>0</v>
      </c>
      <c r="G4" s="47">
        <f t="shared" si="3"/>
        <v>0</v>
      </c>
      <c r="H4" s="47">
        <f t="shared" si="3"/>
        <v>0</v>
      </c>
      <c r="I4" s="47">
        <f t="shared" si="3"/>
        <v>0</v>
      </c>
      <c r="J4" s="47">
        <f t="shared" si="3"/>
        <v>0</v>
      </c>
      <c r="K4" s="47">
        <f t="shared" si="3"/>
        <v>0</v>
      </c>
      <c r="L4" s="47">
        <f t="shared" si="3"/>
        <v>0</v>
      </c>
      <c r="M4" s="47">
        <f t="shared" si="3"/>
        <v>0</v>
      </c>
      <c r="N4" s="47">
        <f t="shared" si="3"/>
        <v>0</v>
      </c>
      <c r="O4" s="47">
        <f t="shared" si="3"/>
        <v>0</v>
      </c>
      <c r="P4" s="47">
        <f t="shared" si="3"/>
        <v>0</v>
      </c>
      <c r="Q4" s="47">
        <f t="shared" si="3"/>
        <v>0</v>
      </c>
      <c r="R4" s="47">
        <f t="shared" si="3"/>
        <v>4.0016233766233769E-2</v>
      </c>
      <c r="S4" s="47">
        <f t="shared" si="3"/>
        <v>0.24001623376623377</v>
      </c>
      <c r="T4" s="47">
        <f t="shared" si="3"/>
        <v>0.44001623376623378</v>
      </c>
      <c r="U4" s="47">
        <f t="shared" si="3"/>
        <v>0.6</v>
      </c>
      <c r="V4" s="47">
        <f t="shared" si="3"/>
        <v>0.8</v>
      </c>
      <c r="W4" s="47">
        <f t="shared" si="3"/>
        <v>0.95998376623376624</v>
      </c>
      <c r="X4" s="47">
        <f t="shared" si="3"/>
        <v>1</v>
      </c>
      <c r="Y4" s="47">
        <f t="shared" si="3"/>
        <v>1</v>
      </c>
      <c r="Z4" s="47">
        <f t="shared" si="3"/>
        <v>1</v>
      </c>
    </row>
    <row r="5" spans="1:26" x14ac:dyDescent="0.2">
      <c r="A5" s="7" t="s">
        <v>89</v>
      </c>
      <c r="B5" s="7" t="s">
        <v>82</v>
      </c>
      <c r="C5" s="7" t="s">
        <v>2220</v>
      </c>
      <c r="D5" s="47">
        <f t="shared" ref="D5:Z5" si="4">D50/$Z50</f>
        <v>0</v>
      </c>
      <c r="E5" s="47">
        <f t="shared" si="4"/>
        <v>0</v>
      </c>
      <c r="F5" s="47">
        <f t="shared" si="4"/>
        <v>0</v>
      </c>
      <c r="G5" s="47">
        <f t="shared" si="4"/>
        <v>0</v>
      </c>
      <c r="H5" s="47">
        <f t="shared" si="4"/>
        <v>0</v>
      </c>
      <c r="I5" s="47">
        <f t="shared" si="4"/>
        <v>0</v>
      </c>
      <c r="J5" s="47">
        <f t="shared" si="4"/>
        <v>0</v>
      </c>
      <c r="K5" s="47">
        <f t="shared" si="4"/>
        <v>0</v>
      </c>
      <c r="L5" s="47">
        <f t="shared" si="4"/>
        <v>0</v>
      </c>
      <c r="M5" s="47">
        <f t="shared" si="4"/>
        <v>0</v>
      </c>
      <c r="N5" s="47">
        <f t="shared" si="4"/>
        <v>0</v>
      </c>
      <c r="O5" s="47">
        <f t="shared" si="4"/>
        <v>0</v>
      </c>
      <c r="P5" s="47">
        <f t="shared" si="4"/>
        <v>0</v>
      </c>
      <c r="Q5" s="47">
        <f t="shared" si="4"/>
        <v>0</v>
      </c>
      <c r="R5" s="47">
        <f t="shared" si="4"/>
        <v>0</v>
      </c>
      <c r="S5" s="47">
        <f t="shared" si="4"/>
        <v>0</v>
      </c>
      <c r="T5" s="47">
        <f t="shared" si="4"/>
        <v>0</v>
      </c>
      <c r="U5" s="47">
        <f t="shared" si="4"/>
        <v>0</v>
      </c>
      <c r="V5" s="47">
        <f t="shared" si="4"/>
        <v>0</v>
      </c>
      <c r="W5" s="47">
        <f t="shared" si="4"/>
        <v>0.42812499999999998</v>
      </c>
      <c r="X5" s="47">
        <f t="shared" si="4"/>
        <v>1</v>
      </c>
      <c r="Y5" s="47">
        <f t="shared" si="4"/>
        <v>1</v>
      </c>
      <c r="Z5" s="47">
        <f t="shared" si="4"/>
        <v>1</v>
      </c>
    </row>
    <row r="6" spans="1:26" x14ac:dyDescent="0.2">
      <c r="A6" s="7" t="s">
        <v>808</v>
      </c>
      <c r="B6" s="7" t="s">
        <v>804</v>
      </c>
      <c r="C6" s="7" t="s">
        <v>2221</v>
      </c>
      <c r="D6" s="47">
        <f t="shared" ref="D6:Z6" si="5">D51/$Z51</f>
        <v>0</v>
      </c>
      <c r="E6" s="47">
        <f t="shared" si="5"/>
        <v>0</v>
      </c>
      <c r="F6" s="47">
        <f t="shared" si="5"/>
        <v>0</v>
      </c>
      <c r="G6" s="47">
        <f t="shared" si="5"/>
        <v>0</v>
      </c>
      <c r="H6" s="47">
        <f t="shared" si="5"/>
        <v>0</v>
      </c>
      <c r="I6" s="47">
        <f t="shared" si="5"/>
        <v>0</v>
      </c>
      <c r="J6" s="47">
        <f t="shared" si="5"/>
        <v>0</v>
      </c>
      <c r="K6" s="47">
        <f t="shared" si="5"/>
        <v>0</v>
      </c>
      <c r="L6" s="47">
        <f t="shared" si="5"/>
        <v>0</v>
      </c>
      <c r="M6" s="47">
        <f t="shared" si="5"/>
        <v>0</v>
      </c>
      <c r="N6" s="47">
        <f t="shared" si="5"/>
        <v>0</v>
      </c>
      <c r="O6" s="47">
        <f t="shared" si="5"/>
        <v>0</v>
      </c>
      <c r="P6" s="47">
        <f t="shared" si="5"/>
        <v>0</v>
      </c>
      <c r="Q6" s="47">
        <f t="shared" si="5"/>
        <v>0</v>
      </c>
      <c r="R6" s="47">
        <f t="shared" si="5"/>
        <v>0</v>
      </c>
      <c r="S6" s="47">
        <f t="shared" si="5"/>
        <v>0.33374233128834357</v>
      </c>
      <c r="T6" s="47">
        <f t="shared" si="5"/>
        <v>0.66625766871165648</v>
      </c>
      <c r="U6" s="47">
        <f t="shared" si="5"/>
        <v>1</v>
      </c>
      <c r="V6" s="47">
        <f t="shared" si="5"/>
        <v>1</v>
      </c>
      <c r="W6" s="47">
        <f t="shared" si="5"/>
        <v>1</v>
      </c>
      <c r="X6" s="47">
        <f t="shared" si="5"/>
        <v>1</v>
      </c>
      <c r="Y6" s="47">
        <f t="shared" si="5"/>
        <v>1</v>
      </c>
      <c r="Z6" s="47">
        <f t="shared" si="5"/>
        <v>1</v>
      </c>
    </row>
    <row r="7" spans="1:26" x14ac:dyDescent="0.2">
      <c r="A7" s="7" t="s">
        <v>2125</v>
      </c>
      <c r="B7" s="7" t="s">
        <v>2222</v>
      </c>
      <c r="C7" s="7" t="s">
        <v>2223</v>
      </c>
      <c r="D7" s="47">
        <f t="shared" ref="D7:Z7" si="6">D52/$Z52</f>
        <v>0</v>
      </c>
      <c r="E7" s="47">
        <f t="shared" si="6"/>
        <v>0</v>
      </c>
      <c r="F7" s="47">
        <f t="shared" si="6"/>
        <v>0</v>
      </c>
      <c r="G7" s="47">
        <f t="shared" si="6"/>
        <v>0</v>
      </c>
      <c r="H7" s="47">
        <f t="shared" si="6"/>
        <v>0</v>
      </c>
      <c r="I7" s="47">
        <f t="shared" si="6"/>
        <v>0</v>
      </c>
      <c r="J7" s="47">
        <f t="shared" si="6"/>
        <v>0</v>
      </c>
      <c r="K7" s="47">
        <f t="shared" si="6"/>
        <v>0</v>
      </c>
      <c r="L7" s="47">
        <f t="shared" si="6"/>
        <v>0</v>
      </c>
      <c r="M7" s="47">
        <f t="shared" si="6"/>
        <v>0</v>
      </c>
      <c r="N7" s="47">
        <f t="shared" si="6"/>
        <v>0</v>
      </c>
      <c r="O7" s="47">
        <f t="shared" si="6"/>
        <v>0</v>
      </c>
      <c r="P7" s="47">
        <f t="shared" si="6"/>
        <v>0</v>
      </c>
      <c r="Q7" s="47">
        <f t="shared" si="6"/>
        <v>0</v>
      </c>
      <c r="R7" s="47">
        <f t="shared" si="6"/>
        <v>0</v>
      </c>
      <c r="S7" s="47">
        <f t="shared" si="6"/>
        <v>0</v>
      </c>
      <c r="T7" s="47">
        <f t="shared" si="6"/>
        <v>0</v>
      </c>
      <c r="U7" s="47">
        <f t="shared" si="6"/>
        <v>0</v>
      </c>
      <c r="V7" s="47">
        <f t="shared" si="6"/>
        <v>0</v>
      </c>
      <c r="W7" s="47">
        <f t="shared" si="6"/>
        <v>0</v>
      </c>
      <c r="X7" s="47">
        <f t="shared" si="6"/>
        <v>0.57090909090909092</v>
      </c>
      <c r="Y7" s="47">
        <f t="shared" si="6"/>
        <v>1</v>
      </c>
      <c r="Z7" s="47">
        <f t="shared" si="6"/>
        <v>1</v>
      </c>
    </row>
    <row r="8" spans="1:26" x14ac:dyDescent="0.2">
      <c r="A8" s="7" t="s">
        <v>1067</v>
      </c>
      <c r="B8" s="7" t="s">
        <v>1054</v>
      </c>
      <c r="C8" s="7" t="s">
        <v>2224</v>
      </c>
      <c r="D8" s="47">
        <f t="shared" ref="D8:Z8" si="7">D53/$Z53</f>
        <v>0</v>
      </c>
      <c r="E8" s="47">
        <f t="shared" si="7"/>
        <v>0</v>
      </c>
      <c r="F8" s="47">
        <f t="shared" si="7"/>
        <v>0</v>
      </c>
      <c r="G8" s="47">
        <f t="shared" si="7"/>
        <v>0</v>
      </c>
      <c r="H8" s="47">
        <f t="shared" si="7"/>
        <v>0</v>
      </c>
      <c r="I8" s="47">
        <f t="shared" si="7"/>
        <v>0</v>
      </c>
      <c r="J8" s="47">
        <f t="shared" si="7"/>
        <v>0</v>
      </c>
      <c r="K8" s="47">
        <f t="shared" si="7"/>
        <v>0</v>
      </c>
      <c r="L8" s="47">
        <f t="shared" si="7"/>
        <v>0</v>
      </c>
      <c r="M8" s="47">
        <f t="shared" si="7"/>
        <v>0</v>
      </c>
      <c r="N8" s="47">
        <f t="shared" si="7"/>
        <v>0</v>
      </c>
      <c r="O8" s="47">
        <f t="shared" si="7"/>
        <v>0</v>
      </c>
      <c r="P8" s="47">
        <f t="shared" si="7"/>
        <v>0</v>
      </c>
      <c r="Q8" s="47">
        <f t="shared" si="7"/>
        <v>0</v>
      </c>
      <c r="R8" s="47">
        <f t="shared" si="7"/>
        <v>0</v>
      </c>
      <c r="S8" s="47">
        <f t="shared" si="7"/>
        <v>0</v>
      </c>
      <c r="T8" s="47">
        <f t="shared" si="7"/>
        <v>0</v>
      </c>
      <c r="U8" s="47">
        <f t="shared" si="7"/>
        <v>0</v>
      </c>
      <c r="V8" s="47">
        <f t="shared" si="7"/>
        <v>0.4</v>
      </c>
      <c r="W8" s="47">
        <f t="shared" si="7"/>
        <v>1</v>
      </c>
      <c r="X8" s="47">
        <f t="shared" si="7"/>
        <v>1</v>
      </c>
      <c r="Y8" s="47">
        <f t="shared" si="7"/>
        <v>1</v>
      </c>
      <c r="Z8" s="47">
        <f t="shared" si="7"/>
        <v>1</v>
      </c>
    </row>
    <row r="9" spans="1:26" x14ac:dyDescent="0.2">
      <c r="A9" s="7" t="s">
        <v>2225</v>
      </c>
      <c r="B9" s="7" t="s">
        <v>2222</v>
      </c>
      <c r="C9" s="7" t="s">
        <v>2226</v>
      </c>
      <c r="D9" s="47">
        <f t="shared" ref="D9:Z9" si="8">D54/$Z54</f>
        <v>0</v>
      </c>
      <c r="E9" s="47">
        <f t="shared" si="8"/>
        <v>0</v>
      </c>
      <c r="F9" s="47">
        <f t="shared" si="8"/>
        <v>0</v>
      </c>
      <c r="G9" s="47">
        <f t="shared" si="8"/>
        <v>0</v>
      </c>
      <c r="H9" s="47">
        <f t="shared" si="8"/>
        <v>0</v>
      </c>
      <c r="I9" s="47">
        <f t="shared" si="8"/>
        <v>0</v>
      </c>
      <c r="J9" s="47">
        <f t="shared" si="8"/>
        <v>0</v>
      </c>
      <c r="K9" s="47">
        <f t="shared" si="8"/>
        <v>0</v>
      </c>
      <c r="L9" s="47">
        <f t="shared" si="8"/>
        <v>0</v>
      </c>
      <c r="M9" s="47">
        <f t="shared" si="8"/>
        <v>0</v>
      </c>
      <c r="N9" s="47">
        <f t="shared" si="8"/>
        <v>0</v>
      </c>
      <c r="O9" s="47">
        <f t="shared" si="8"/>
        <v>0</v>
      </c>
      <c r="P9" s="47">
        <f t="shared" si="8"/>
        <v>0</v>
      </c>
      <c r="Q9" s="47">
        <f t="shared" si="8"/>
        <v>0</v>
      </c>
      <c r="R9" s="47">
        <f t="shared" si="8"/>
        <v>0</v>
      </c>
      <c r="S9" s="47">
        <f t="shared" si="8"/>
        <v>0</v>
      </c>
      <c r="T9" s="47">
        <f t="shared" si="8"/>
        <v>0</v>
      </c>
      <c r="U9" s="47">
        <f t="shared" si="8"/>
        <v>0</v>
      </c>
      <c r="V9" s="47">
        <f t="shared" si="8"/>
        <v>5.8862433862433859E-2</v>
      </c>
      <c r="W9" s="47">
        <f t="shared" si="8"/>
        <v>0.3529100529100529</v>
      </c>
      <c r="X9" s="47">
        <f t="shared" si="8"/>
        <v>0.58822751322751321</v>
      </c>
      <c r="Y9" s="47">
        <f t="shared" si="8"/>
        <v>0.88240740740740742</v>
      </c>
      <c r="Z9" s="47">
        <f t="shared" si="8"/>
        <v>1</v>
      </c>
    </row>
    <row r="10" spans="1:26" x14ac:dyDescent="0.2">
      <c r="A10" s="7" t="s">
        <v>2227</v>
      </c>
      <c r="B10" s="7" t="s">
        <v>804</v>
      </c>
      <c r="C10" s="7" t="s">
        <v>2228</v>
      </c>
      <c r="D10" s="47">
        <f t="shared" ref="D10:Z10" si="9">D55/$Z55</f>
        <v>0</v>
      </c>
      <c r="E10" s="47">
        <f t="shared" si="9"/>
        <v>0</v>
      </c>
      <c r="F10" s="47">
        <f t="shared" si="9"/>
        <v>0</v>
      </c>
      <c r="G10" s="47">
        <f t="shared" si="9"/>
        <v>0</v>
      </c>
      <c r="H10" s="47">
        <f t="shared" si="9"/>
        <v>0</v>
      </c>
      <c r="I10" s="47">
        <f t="shared" si="9"/>
        <v>0</v>
      </c>
      <c r="J10" s="47">
        <f t="shared" si="9"/>
        <v>0</v>
      </c>
      <c r="K10" s="47">
        <f t="shared" si="9"/>
        <v>0</v>
      </c>
      <c r="L10" s="47">
        <f t="shared" si="9"/>
        <v>0</v>
      </c>
      <c r="M10" s="47">
        <f t="shared" si="9"/>
        <v>0</v>
      </c>
      <c r="N10" s="47">
        <f t="shared" si="9"/>
        <v>0</v>
      </c>
      <c r="O10" s="47">
        <f t="shared" si="9"/>
        <v>0</v>
      </c>
      <c r="P10" s="47">
        <f t="shared" si="9"/>
        <v>0</v>
      </c>
      <c r="Q10" s="47">
        <f t="shared" si="9"/>
        <v>0</v>
      </c>
      <c r="R10" s="47">
        <f t="shared" si="9"/>
        <v>0</v>
      </c>
      <c r="S10" s="47">
        <f t="shared" si="9"/>
        <v>0</v>
      </c>
      <c r="T10" s="47">
        <f t="shared" si="9"/>
        <v>0</v>
      </c>
      <c r="U10" s="47">
        <f t="shared" si="9"/>
        <v>0.23528205128205129</v>
      </c>
      <c r="V10" s="47">
        <f t="shared" si="9"/>
        <v>0.47056410256410258</v>
      </c>
      <c r="W10" s="47">
        <f t="shared" si="9"/>
        <v>0.76471794871794874</v>
      </c>
      <c r="X10" s="47">
        <f t="shared" si="9"/>
        <v>1</v>
      </c>
      <c r="Y10" s="47">
        <f t="shared" si="9"/>
        <v>1</v>
      </c>
      <c r="Z10" s="47">
        <f t="shared" si="9"/>
        <v>1</v>
      </c>
    </row>
    <row r="11" spans="1:26" x14ac:dyDescent="0.2">
      <c r="A11" s="7" t="s">
        <v>1059</v>
      </c>
      <c r="B11" s="7" t="s">
        <v>762</v>
      </c>
      <c r="C11" s="7" t="s">
        <v>2229</v>
      </c>
      <c r="D11" s="47">
        <f t="shared" ref="D11:Z11" si="10">D56/$Z56</f>
        <v>0</v>
      </c>
      <c r="E11" s="47">
        <f t="shared" si="10"/>
        <v>0</v>
      </c>
      <c r="F11" s="47">
        <f t="shared" si="10"/>
        <v>0</v>
      </c>
      <c r="G11" s="47">
        <f t="shared" si="10"/>
        <v>0</v>
      </c>
      <c r="H11" s="47">
        <f t="shared" si="10"/>
        <v>0</v>
      </c>
      <c r="I11" s="47">
        <f t="shared" si="10"/>
        <v>0</v>
      </c>
      <c r="J11" s="47">
        <f t="shared" si="10"/>
        <v>0</v>
      </c>
      <c r="K11" s="47">
        <f t="shared" si="10"/>
        <v>0</v>
      </c>
      <c r="L11" s="47">
        <f t="shared" si="10"/>
        <v>0</v>
      </c>
      <c r="M11" s="47">
        <f t="shared" si="10"/>
        <v>0</v>
      </c>
      <c r="N11" s="47">
        <f t="shared" si="10"/>
        <v>0</v>
      </c>
      <c r="O11" s="47">
        <f t="shared" si="10"/>
        <v>0</v>
      </c>
      <c r="P11" s="47">
        <f t="shared" si="10"/>
        <v>0</v>
      </c>
      <c r="Q11" s="47">
        <f t="shared" si="10"/>
        <v>0.66700000000000004</v>
      </c>
      <c r="R11" s="47">
        <f t="shared" si="10"/>
        <v>1</v>
      </c>
      <c r="S11" s="47">
        <f t="shared" si="10"/>
        <v>1</v>
      </c>
      <c r="T11" s="47">
        <f t="shared" si="10"/>
        <v>1</v>
      </c>
      <c r="U11" s="47">
        <f t="shared" si="10"/>
        <v>1</v>
      </c>
      <c r="V11" s="47">
        <f t="shared" si="10"/>
        <v>1</v>
      </c>
      <c r="W11" s="47">
        <f t="shared" si="10"/>
        <v>1</v>
      </c>
      <c r="X11" s="47">
        <f t="shared" si="10"/>
        <v>1</v>
      </c>
      <c r="Y11" s="47">
        <f t="shared" si="10"/>
        <v>1</v>
      </c>
      <c r="Z11" s="47">
        <f t="shared" si="10"/>
        <v>1</v>
      </c>
    </row>
    <row r="12" spans="1:26" x14ac:dyDescent="0.2">
      <c r="A12" s="7" t="s">
        <v>2230</v>
      </c>
      <c r="B12" s="7" t="s">
        <v>762</v>
      </c>
      <c r="C12" s="7" t="s">
        <v>2231</v>
      </c>
      <c r="D12" s="47">
        <f t="shared" ref="D12:Z12" si="11">D57/$Z57</f>
        <v>0</v>
      </c>
      <c r="E12" s="47">
        <f t="shared" si="11"/>
        <v>0</v>
      </c>
      <c r="F12" s="47">
        <f t="shared" si="11"/>
        <v>0</v>
      </c>
      <c r="G12" s="47">
        <f t="shared" si="11"/>
        <v>0</v>
      </c>
      <c r="H12" s="47">
        <f t="shared" si="11"/>
        <v>0</v>
      </c>
      <c r="I12" s="47">
        <f t="shared" si="11"/>
        <v>0</v>
      </c>
      <c r="J12" s="47">
        <f t="shared" si="11"/>
        <v>0</v>
      </c>
      <c r="K12" s="47">
        <f t="shared" si="11"/>
        <v>0</v>
      </c>
      <c r="L12" s="47">
        <f t="shared" si="11"/>
        <v>0</v>
      </c>
      <c r="M12" s="47">
        <f t="shared" si="11"/>
        <v>0</v>
      </c>
      <c r="N12" s="47">
        <f t="shared" si="11"/>
        <v>0</v>
      </c>
      <c r="O12" s="47">
        <f t="shared" si="11"/>
        <v>0</v>
      </c>
      <c r="P12" s="47">
        <f t="shared" si="11"/>
        <v>0</v>
      </c>
      <c r="Q12" s="47">
        <f t="shared" si="11"/>
        <v>0</v>
      </c>
      <c r="R12" s="47">
        <f t="shared" si="11"/>
        <v>0</v>
      </c>
      <c r="S12" s="47">
        <f t="shared" si="11"/>
        <v>1</v>
      </c>
      <c r="T12" s="47">
        <f t="shared" si="11"/>
        <v>1</v>
      </c>
      <c r="U12" s="47">
        <f t="shared" si="11"/>
        <v>1</v>
      </c>
      <c r="V12" s="47">
        <f t="shared" si="11"/>
        <v>1</v>
      </c>
      <c r="W12" s="47">
        <f t="shared" si="11"/>
        <v>1</v>
      </c>
      <c r="X12" s="47">
        <f t="shared" si="11"/>
        <v>1</v>
      </c>
      <c r="Y12" s="47">
        <f t="shared" si="11"/>
        <v>1</v>
      </c>
      <c r="Z12" s="47">
        <f t="shared" si="11"/>
        <v>1</v>
      </c>
    </row>
    <row r="13" spans="1:26" x14ac:dyDescent="0.2">
      <c r="A13" s="7" t="s">
        <v>1367</v>
      </c>
      <c r="B13" s="7" t="s">
        <v>787</v>
      </c>
      <c r="C13" s="7" t="s">
        <v>2232</v>
      </c>
      <c r="D13" s="47">
        <f t="shared" ref="D13:Z13" si="12">D58/$Z58</f>
        <v>0</v>
      </c>
      <c r="E13" s="47">
        <f t="shared" si="12"/>
        <v>0</v>
      </c>
      <c r="F13" s="47">
        <f t="shared" si="12"/>
        <v>0</v>
      </c>
      <c r="G13" s="47">
        <f t="shared" si="12"/>
        <v>0</v>
      </c>
      <c r="H13" s="47">
        <f t="shared" si="12"/>
        <v>0</v>
      </c>
      <c r="I13" s="47">
        <f t="shared" si="12"/>
        <v>0</v>
      </c>
      <c r="J13" s="47">
        <f t="shared" si="12"/>
        <v>0</v>
      </c>
      <c r="K13" s="47">
        <f t="shared" si="12"/>
        <v>0</v>
      </c>
      <c r="L13" s="47">
        <f t="shared" si="12"/>
        <v>0</v>
      </c>
      <c r="M13" s="47">
        <f t="shared" si="12"/>
        <v>0</v>
      </c>
      <c r="N13" s="47">
        <f t="shared" si="12"/>
        <v>0</v>
      </c>
      <c r="O13" s="47">
        <f t="shared" si="12"/>
        <v>0</v>
      </c>
      <c r="P13" s="47">
        <f t="shared" si="12"/>
        <v>0</v>
      </c>
      <c r="Q13" s="47">
        <f t="shared" si="12"/>
        <v>0</v>
      </c>
      <c r="R13" s="47">
        <f t="shared" si="12"/>
        <v>0</v>
      </c>
      <c r="S13" s="47">
        <f t="shared" si="12"/>
        <v>1</v>
      </c>
      <c r="T13" s="47">
        <f t="shared" si="12"/>
        <v>1</v>
      </c>
      <c r="U13" s="47">
        <f t="shared" si="12"/>
        <v>1</v>
      </c>
      <c r="V13" s="47">
        <f t="shared" si="12"/>
        <v>1</v>
      </c>
      <c r="W13" s="47">
        <f t="shared" si="12"/>
        <v>1</v>
      </c>
      <c r="X13" s="47">
        <f t="shared" si="12"/>
        <v>1</v>
      </c>
      <c r="Y13" s="47">
        <f t="shared" si="12"/>
        <v>1</v>
      </c>
      <c r="Z13" s="47">
        <f t="shared" si="12"/>
        <v>1</v>
      </c>
    </row>
    <row r="14" spans="1:26" x14ac:dyDescent="0.2">
      <c r="A14" s="7" t="s">
        <v>453</v>
      </c>
      <c r="B14" s="7" t="s">
        <v>402</v>
      </c>
      <c r="C14" s="7" t="s">
        <v>2233</v>
      </c>
      <c r="D14" s="47">
        <f t="shared" ref="D14:Z14" si="13">D59/$Z59</f>
        <v>0</v>
      </c>
      <c r="E14" s="47">
        <f t="shared" si="13"/>
        <v>0</v>
      </c>
      <c r="F14" s="47">
        <f t="shared" si="13"/>
        <v>0</v>
      </c>
      <c r="G14" s="47">
        <f t="shared" si="13"/>
        <v>0</v>
      </c>
      <c r="H14" s="47">
        <f t="shared" si="13"/>
        <v>0</v>
      </c>
      <c r="I14" s="47">
        <f t="shared" si="13"/>
        <v>0</v>
      </c>
      <c r="J14" s="47">
        <f t="shared" si="13"/>
        <v>0</v>
      </c>
      <c r="K14" s="47">
        <f t="shared" si="13"/>
        <v>0</v>
      </c>
      <c r="L14" s="47">
        <f t="shared" si="13"/>
        <v>0</v>
      </c>
      <c r="M14" s="47">
        <f t="shared" si="13"/>
        <v>0</v>
      </c>
      <c r="N14" s="47">
        <f t="shared" si="13"/>
        <v>0</v>
      </c>
      <c r="O14" s="47">
        <f t="shared" si="13"/>
        <v>0</v>
      </c>
      <c r="P14" s="47">
        <f t="shared" si="13"/>
        <v>0</v>
      </c>
      <c r="Q14" s="47">
        <f t="shared" si="13"/>
        <v>0</v>
      </c>
      <c r="R14" s="47">
        <f t="shared" si="13"/>
        <v>0.16675000000000001</v>
      </c>
      <c r="S14" s="47">
        <f t="shared" si="13"/>
        <v>0.58325000000000005</v>
      </c>
      <c r="T14" s="47">
        <f t="shared" si="13"/>
        <v>0.91674999999999995</v>
      </c>
      <c r="U14" s="47">
        <f t="shared" si="13"/>
        <v>1</v>
      </c>
      <c r="V14" s="47">
        <f t="shared" si="13"/>
        <v>1</v>
      </c>
      <c r="W14" s="47">
        <f t="shared" si="13"/>
        <v>1</v>
      </c>
      <c r="X14" s="47">
        <f t="shared" si="13"/>
        <v>1</v>
      </c>
      <c r="Y14" s="47">
        <f t="shared" si="13"/>
        <v>1</v>
      </c>
      <c r="Z14" s="47">
        <f t="shared" si="13"/>
        <v>1</v>
      </c>
    </row>
    <row r="15" spans="1:26" x14ac:dyDescent="0.2">
      <c r="A15" s="7" t="s">
        <v>536</v>
      </c>
      <c r="B15" s="7" t="s">
        <v>402</v>
      </c>
      <c r="C15" s="7" t="s">
        <v>2234</v>
      </c>
      <c r="D15" s="47">
        <f t="shared" ref="D15:Z15" si="14">D60/$Z60</f>
        <v>0</v>
      </c>
      <c r="E15" s="47">
        <f t="shared" si="14"/>
        <v>0</v>
      </c>
      <c r="F15" s="47">
        <f t="shared" si="14"/>
        <v>0</v>
      </c>
      <c r="G15" s="47">
        <f t="shared" si="14"/>
        <v>0</v>
      </c>
      <c r="H15" s="47">
        <f t="shared" si="14"/>
        <v>0</v>
      </c>
      <c r="I15" s="47">
        <f t="shared" si="14"/>
        <v>0</v>
      </c>
      <c r="J15" s="47">
        <f t="shared" si="14"/>
        <v>0</v>
      </c>
      <c r="K15" s="47">
        <f t="shared" si="14"/>
        <v>0</v>
      </c>
      <c r="L15" s="47">
        <f t="shared" si="14"/>
        <v>0</v>
      </c>
      <c r="M15" s="47">
        <f t="shared" si="14"/>
        <v>0</v>
      </c>
      <c r="N15" s="47">
        <f t="shared" si="14"/>
        <v>0</v>
      </c>
      <c r="O15" s="47">
        <f t="shared" si="14"/>
        <v>0</v>
      </c>
      <c r="P15" s="47">
        <f t="shared" si="14"/>
        <v>0</v>
      </c>
      <c r="Q15" s="47">
        <f t="shared" si="14"/>
        <v>0</v>
      </c>
      <c r="R15" s="47">
        <f t="shared" si="14"/>
        <v>0.4</v>
      </c>
      <c r="S15" s="47">
        <f t="shared" si="14"/>
        <v>1</v>
      </c>
      <c r="T15" s="47">
        <f t="shared" si="14"/>
        <v>1</v>
      </c>
      <c r="U15" s="47">
        <f t="shared" si="14"/>
        <v>1</v>
      </c>
      <c r="V15" s="47">
        <f t="shared" si="14"/>
        <v>1</v>
      </c>
      <c r="W15" s="47">
        <f t="shared" si="14"/>
        <v>1</v>
      </c>
      <c r="X15" s="47">
        <f t="shared" si="14"/>
        <v>1</v>
      </c>
      <c r="Y15" s="47">
        <f t="shared" si="14"/>
        <v>1</v>
      </c>
      <c r="Z15" s="47">
        <f t="shared" si="14"/>
        <v>1</v>
      </c>
    </row>
    <row r="16" spans="1:26" x14ac:dyDescent="0.2">
      <c r="A16" s="7" t="s">
        <v>1088</v>
      </c>
      <c r="B16" s="7" t="s">
        <v>1098</v>
      </c>
      <c r="C16" s="7" t="s">
        <v>2235</v>
      </c>
      <c r="D16" s="47">
        <f t="shared" ref="D16:Z16" si="15">D61/$Z61</f>
        <v>0</v>
      </c>
      <c r="E16" s="47">
        <f t="shared" si="15"/>
        <v>0</v>
      </c>
      <c r="F16" s="47">
        <f t="shared" si="15"/>
        <v>0</v>
      </c>
      <c r="G16" s="47">
        <f t="shared" si="15"/>
        <v>0</v>
      </c>
      <c r="H16" s="47">
        <f t="shared" si="15"/>
        <v>0</v>
      </c>
      <c r="I16" s="47">
        <f t="shared" si="15"/>
        <v>0</v>
      </c>
      <c r="J16" s="47">
        <f t="shared" si="15"/>
        <v>0</v>
      </c>
      <c r="K16" s="47">
        <f t="shared" si="15"/>
        <v>0</v>
      </c>
      <c r="L16" s="47">
        <f t="shared" si="15"/>
        <v>0</v>
      </c>
      <c r="M16" s="47">
        <f t="shared" si="15"/>
        <v>0</v>
      </c>
      <c r="N16" s="47">
        <f t="shared" si="15"/>
        <v>0</v>
      </c>
      <c r="O16" s="47">
        <f t="shared" si="15"/>
        <v>0</v>
      </c>
      <c r="P16" s="47">
        <f t="shared" si="15"/>
        <v>0</v>
      </c>
      <c r="Q16" s="47">
        <f t="shared" si="15"/>
        <v>0</v>
      </c>
      <c r="R16" s="47">
        <f t="shared" si="15"/>
        <v>1</v>
      </c>
      <c r="S16" s="47">
        <f t="shared" si="15"/>
        <v>1</v>
      </c>
      <c r="T16" s="47">
        <f t="shared" si="15"/>
        <v>1</v>
      </c>
      <c r="U16" s="47">
        <f t="shared" si="15"/>
        <v>1</v>
      </c>
      <c r="V16" s="47">
        <f t="shared" si="15"/>
        <v>1</v>
      </c>
      <c r="W16" s="47">
        <f t="shared" si="15"/>
        <v>1</v>
      </c>
      <c r="X16" s="47">
        <f t="shared" si="15"/>
        <v>1</v>
      </c>
      <c r="Y16" s="47">
        <f t="shared" si="15"/>
        <v>1</v>
      </c>
      <c r="Z16" s="47">
        <f t="shared" si="15"/>
        <v>1</v>
      </c>
    </row>
    <row r="17" spans="1:26" x14ac:dyDescent="0.2">
      <c r="A17" s="7" t="s">
        <v>2236</v>
      </c>
      <c r="B17" s="7" t="s">
        <v>1668</v>
      </c>
      <c r="C17" s="7" t="s">
        <v>2237</v>
      </c>
      <c r="D17" s="47">
        <f t="shared" ref="D17:Z17" si="16">D62/$Z62</f>
        <v>0</v>
      </c>
      <c r="E17" s="47">
        <f t="shared" si="16"/>
        <v>0</v>
      </c>
      <c r="F17" s="47">
        <f t="shared" si="16"/>
        <v>0</v>
      </c>
      <c r="G17" s="47">
        <f t="shared" si="16"/>
        <v>0</v>
      </c>
      <c r="H17" s="47">
        <f t="shared" si="16"/>
        <v>0</v>
      </c>
      <c r="I17" s="47">
        <f t="shared" si="16"/>
        <v>0</v>
      </c>
      <c r="J17" s="47">
        <f t="shared" si="16"/>
        <v>0</v>
      </c>
      <c r="K17" s="47">
        <f t="shared" si="16"/>
        <v>0</v>
      </c>
      <c r="L17" s="47">
        <f t="shared" si="16"/>
        <v>0</v>
      </c>
      <c r="M17" s="47">
        <f t="shared" si="16"/>
        <v>0</v>
      </c>
      <c r="N17" s="47">
        <f t="shared" si="16"/>
        <v>0</v>
      </c>
      <c r="O17" s="47">
        <f t="shared" si="16"/>
        <v>0</v>
      </c>
      <c r="P17" s="47">
        <f t="shared" si="16"/>
        <v>0</v>
      </c>
      <c r="Q17" s="47">
        <f t="shared" si="16"/>
        <v>0</v>
      </c>
      <c r="R17" s="47">
        <f t="shared" si="16"/>
        <v>0</v>
      </c>
      <c r="S17" s="47">
        <f t="shared" si="16"/>
        <v>1</v>
      </c>
      <c r="T17" s="47">
        <f t="shared" si="16"/>
        <v>1</v>
      </c>
      <c r="U17" s="47">
        <f t="shared" si="16"/>
        <v>1</v>
      </c>
      <c r="V17" s="47">
        <f t="shared" si="16"/>
        <v>1</v>
      </c>
      <c r="W17" s="47">
        <f t="shared" si="16"/>
        <v>1</v>
      </c>
      <c r="X17" s="47">
        <f t="shared" si="16"/>
        <v>1</v>
      </c>
      <c r="Y17" s="47">
        <f t="shared" si="16"/>
        <v>1</v>
      </c>
      <c r="Z17" s="47">
        <f t="shared" si="16"/>
        <v>1</v>
      </c>
    </row>
    <row r="18" spans="1:26" x14ac:dyDescent="0.2">
      <c r="A18" s="7" t="s">
        <v>2238</v>
      </c>
      <c r="B18" s="7" t="s">
        <v>2239</v>
      </c>
      <c r="C18" s="7" t="s">
        <v>2240</v>
      </c>
      <c r="D18" s="47">
        <f t="shared" ref="D18:Z18" si="17">D63/$Z63</f>
        <v>0</v>
      </c>
      <c r="E18" s="47">
        <f t="shared" si="17"/>
        <v>0</v>
      </c>
      <c r="F18" s="47">
        <f t="shared" si="17"/>
        <v>0</v>
      </c>
      <c r="G18" s="47">
        <f t="shared" si="17"/>
        <v>0.33500000000000002</v>
      </c>
      <c r="H18" s="47">
        <f t="shared" si="17"/>
        <v>1</v>
      </c>
      <c r="I18" s="47">
        <f t="shared" si="17"/>
        <v>1</v>
      </c>
      <c r="J18" s="47">
        <f t="shared" si="17"/>
        <v>1</v>
      </c>
      <c r="K18" s="47">
        <f t="shared" si="17"/>
        <v>1</v>
      </c>
      <c r="L18" s="47">
        <f t="shared" si="17"/>
        <v>1</v>
      </c>
      <c r="M18" s="47">
        <f t="shared" si="17"/>
        <v>1</v>
      </c>
      <c r="N18" s="47">
        <f t="shared" si="17"/>
        <v>1</v>
      </c>
      <c r="O18" s="47">
        <f t="shared" si="17"/>
        <v>1</v>
      </c>
      <c r="P18" s="47">
        <f t="shared" si="17"/>
        <v>1</v>
      </c>
      <c r="Q18" s="47">
        <f t="shared" si="17"/>
        <v>1</v>
      </c>
      <c r="R18" s="47">
        <f t="shared" si="17"/>
        <v>1</v>
      </c>
      <c r="S18" s="47">
        <f t="shared" si="17"/>
        <v>1</v>
      </c>
      <c r="T18" s="47">
        <f t="shared" si="17"/>
        <v>1</v>
      </c>
      <c r="U18" s="47">
        <f t="shared" si="17"/>
        <v>1</v>
      </c>
      <c r="V18" s="47">
        <f t="shared" si="17"/>
        <v>1</v>
      </c>
      <c r="W18" s="47">
        <f t="shared" si="17"/>
        <v>1</v>
      </c>
      <c r="X18" s="47">
        <f t="shared" si="17"/>
        <v>1</v>
      </c>
      <c r="Y18" s="47">
        <f t="shared" si="17"/>
        <v>1</v>
      </c>
      <c r="Z18" s="47">
        <f t="shared" si="17"/>
        <v>1</v>
      </c>
    </row>
    <row r="19" spans="1:26" x14ac:dyDescent="0.2">
      <c r="A19" s="7" t="s">
        <v>1030</v>
      </c>
      <c r="B19" s="7" t="s">
        <v>804</v>
      </c>
      <c r="C19" s="7" t="s">
        <v>2241</v>
      </c>
      <c r="D19" s="47">
        <f t="shared" ref="D19:Z19" si="18">D64/$Z64</f>
        <v>0</v>
      </c>
      <c r="E19" s="47">
        <f t="shared" si="18"/>
        <v>0</v>
      </c>
      <c r="F19" s="47">
        <f t="shared" si="18"/>
        <v>0</v>
      </c>
      <c r="G19" s="47">
        <f t="shared" si="18"/>
        <v>0</v>
      </c>
      <c r="H19" s="47">
        <f t="shared" si="18"/>
        <v>0</v>
      </c>
      <c r="I19" s="47">
        <f t="shared" si="18"/>
        <v>0</v>
      </c>
      <c r="J19" s="47">
        <f t="shared" si="18"/>
        <v>0</v>
      </c>
      <c r="K19" s="47">
        <f t="shared" si="18"/>
        <v>0</v>
      </c>
      <c r="L19" s="47">
        <f t="shared" si="18"/>
        <v>0</v>
      </c>
      <c r="M19" s="47">
        <f t="shared" si="18"/>
        <v>0</v>
      </c>
      <c r="N19" s="47">
        <f t="shared" si="18"/>
        <v>0</v>
      </c>
      <c r="O19" s="47">
        <f t="shared" si="18"/>
        <v>0</v>
      </c>
      <c r="P19" s="47">
        <f t="shared" si="18"/>
        <v>0</v>
      </c>
      <c r="Q19" s="47">
        <f t="shared" si="18"/>
        <v>0</v>
      </c>
      <c r="R19" s="47">
        <f t="shared" si="18"/>
        <v>0</v>
      </c>
      <c r="S19" s="47">
        <f t="shared" si="18"/>
        <v>0</v>
      </c>
      <c r="T19" s="47">
        <f t="shared" si="18"/>
        <v>0</v>
      </c>
      <c r="U19" s="47">
        <f t="shared" si="18"/>
        <v>0</v>
      </c>
      <c r="V19" s="47">
        <f t="shared" si="18"/>
        <v>0</v>
      </c>
      <c r="W19" s="47">
        <f t="shared" si="18"/>
        <v>0.8</v>
      </c>
      <c r="X19" s="47">
        <f t="shared" si="18"/>
        <v>1</v>
      </c>
      <c r="Y19" s="47">
        <f t="shared" si="18"/>
        <v>1</v>
      </c>
      <c r="Z19" s="47">
        <f t="shared" si="18"/>
        <v>1</v>
      </c>
    </row>
    <row r="20" spans="1:26" x14ac:dyDescent="0.2">
      <c r="A20" s="7" t="s">
        <v>903</v>
      </c>
      <c r="B20" s="7" t="s">
        <v>804</v>
      </c>
      <c r="C20" s="7" t="s">
        <v>2242</v>
      </c>
      <c r="D20" s="47">
        <f t="shared" ref="D20:Z20" si="19">D65/$Z65</f>
        <v>0</v>
      </c>
      <c r="E20" s="47">
        <f t="shared" si="19"/>
        <v>0</v>
      </c>
      <c r="F20" s="47">
        <f t="shared" si="19"/>
        <v>0</v>
      </c>
      <c r="G20" s="47">
        <f t="shared" si="19"/>
        <v>0</v>
      </c>
      <c r="H20" s="47">
        <f t="shared" si="19"/>
        <v>0</v>
      </c>
      <c r="I20" s="47">
        <f t="shared" si="19"/>
        <v>0</v>
      </c>
      <c r="J20" s="47">
        <f t="shared" si="19"/>
        <v>0</v>
      </c>
      <c r="K20" s="47">
        <f t="shared" si="19"/>
        <v>0</v>
      </c>
      <c r="L20" s="47">
        <f t="shared" si="19"/>
        <v>0</v>
      </c>
      <c r="M20" s="47">
        <f t="shared" si="19"/>
        <v>0</v>
      </c>
      <c r="N20" s="47">
        <f t="shared" si="19"/>
        <v>0</v>
      </c>
      <c r="O20" s="47">
        <f t="shared" si="19"/>
        <v>0</v>
      </c>
      <c r="P20" s="47">
        <f t="shared" si="19"/>
        <v>0</v>
      </c>
      <c r="Q20" s="47">
        <f t="shared" si="19"/>
        <v>0.8</v>
      </c>
      <c r="R20" s="47">
        <f t="shared" si="19"/>
        <v>1</v>
      </c>
      <c r="S20" s="47">
        <f t="shared" si="19"/>
        <v>1</v>
      </c>
      <c r="T20" s="47">
        <f t="shared" si="19"/>
        <v>1</v>
      </c>
      <c r="U20" s="47">
        <f t="shared" si="19"/>
        <v>1</v>
      </c>
      <c r="V20" s="47">
        <f t="shared" si="19"/>
        <v>1</v>
      </c>
      <c r="W20" s="47">
        <f t="shared" si="19"/>
        <v>1</v>
      </c>
      <c r="X20" s="47">
        <f t="shared" si="19"/>
        <v>1</v>
      </c>
      <c r="Y20" s="47">
        <f t="shared" si="19"/>
        <v>1</v>
      </c>
      <c r="Z20" s="47">
        <f t="shared" si="19"/>
        <v>1</v>
      </c>
    </row>
    <row r="21" spans="1:26" x14ac:dyDescent="0.2">
      <c r="A21" s="7" t="s">
        <v>258</v>
      </c>
      <c r="B21" s="7" t="s">
        <v>235</v>
      </c>
      <c r="C21" s="7" t="s">
        <v>2243</v>
      </c>
      <c r="D21" s="47">
        <f t="shared" ref="D21:Z21" si="20">D66/$Z66</f>
        <v>0</v>
      </c>
      <c r="E21" s="47">
        <f t="shared" si="20"/>
        <v>0</v>
      </c>
      <c r="F21" s="47">
        <f t="shared" si="20"/>
        <v>0</v>
      </c>
      <c r="G21" s="47">
        <f t="shared" si="20"/>
        <v>0</v>
      </c>
      <c r="H21" s="47">
        <f t="shared" si="20"/>
        <v>0</v>
      </c>
      <c r="I21" s="47">
        <f t="shared" si="20"/>
        <v>0</v>
      </c>
      <c r="J21" s="47">
        <f t="shared" si="20"/>
        <v>0</v>
      </c>
      <c r="K21" s="47">
        <f t="shared" si="20"/>
        <v>0</v>
      </c>
      <c r="L21" s="47">
        <f t="shared" si="20"/>
        <v>0</v>
      </c>
      <c r="M21" s="47">
        <f t="shared" si="20"/>
        <v>0</v>
      </c>
      <c r="N21" s="47">
        <f t="shared" si="20"/>
        <v>0</v>
      </c>
      <c r="O21" s="47">
        <f t="shared" si="20"/>
        <v>0</v>
      </c>
      <c r="P21" s="47">
        <f t="shared" si="20"/>
        <v>0</v>
      </c>
      <c r="Q21" s="47">
        <f t="shared" si="20"/>
        <v>1</v>
      </c>
      <c r="R21" s="47">
        <f t="shared" si="20"/>
        <v>1</v>
      </c>
      <c r="S21" s="47">
        <f t="shared" si="20"/>
        <v>1</v>
      </c>
      <c r="T21" s="47">
        <f t="shared" si="20"/>
        <v>1</v>
      </c>
      <c r="U21" s="47">
        <f t="shared" si="20"/>
        <v>1</v>
      </c>
      <c r="V21" s="47">
        <f t="shared" si="20"/>
        <v>1</v>
      </c>
      <c r="W21" s="47">
        <f t="shared" si="20"/>
        <v>1</v>
      </c>
      <c r="X21" s="47">
        <f t="shared" si="20"/>
        <v>1</v>
      </c>
      <c r="Y21" s="47">
        <f t="shared" si="20"/>
        <v>1</v>
      </c>
      <c r="Z21" s="47">
        <f t="shared" si="20"/>
        <v>1</v>
      </c>
    </row>
    <row r="22" spans="1:26" x14ac:dyDescent="0.2">
      <c r="A22" s="7" t="s">
        <v>1219</v>
      </c>
      <c r="B22" s="7" t="s">
        <v>235</v>
      </c>
      <c r="C22" s="7" t="s">
        <v>2244</v>
      </c>
      <c r="D22" s="47">
        <f t="shared" ref="D22:Z22" si="21">D67/$Z67</f>
        <v>0</v>
      </c>
      <c r="E22" s="47">
        <f t="shared" si="21"/>
        <v>0</v>
      </c>
      <c r="F22" s="47">
        <f t="shared" si="21"/>
        <v>0</v>
      </c>
      <c r="G22" s="47">
        <f t="shared" si="21"/>
        <v>0</v>
      </c>
      <c r="H22" s="47">
        <f t="shared" si="21"/>
        <v>0</v>
      </c>
      <c r="I22" s="47">
        <f t="shared" si="21"/>
        <v>0</v>
      </c>
      <c r="J22" s="47">
        <f t="shared" si="21"/>
        <v>0</v>
      </c>
      <c r="K22" s="47">
        <f t="shared" si="21"/>
        <v>0</v>
      </c>
      <c r="L22" s="47">
        <f t="shared" si="21"/>
        <v>0</v>
      </c>
      <c r="M22" s="47">
        <f t="shared" si="21"/>
        <v>0</v>
      </c>
      <c r="N22" s="47">
        <f t="shared" si="21"/>
        <v>0</v>
      </c>
      <c r="O22" s="47">
        <f t="shared" si="21"/>
        <v>0</v>
      </c>
      <c r="P22" s="47">
        <f t="shared" si="21"/>
        <v>0</v>
      </c>
      <c r="Q22" s="47">
        <f t="shared" si="21"/>
        <v>1</v>
      </c>
      <c r="R22" s="47">
        <f t="shared" si="21"/>
        <v>1</v>
      </c>
      <c r="S22" s="47">
        <f t="shared" si="21"/>
        <v>1</v>
      </c>
      <c r="T22" s="47">
        <f t="shared" si="21"/>
        <v>1</v>
      </c>
      <c r="U22" s="47">
        <f t="shared" si="21"/>
        <v>1</v>
      </c>
      <c r="V22" s="47">
        <f t="shared" si="21"/>
        <v>1</v>
      </c>
      <c r="W22" s="47">
        <f t="shared" si="21"/>
        <v>1</v>
      </c>
      <c r="X22" s="47">
        <f t="shared" si="21"/>
        <v>1</v>
      </c>
      <c r="Y22" s="47">
        <f t="shared" si="21"/>
        <v>1</v>
      </c>
      <c r="Z22" s="47">
        <f t="shared" si="21"/>
        <v>1</v>
      </c>
    </row>
    <row r="23" spans="1:26" x14ac:dyDescent="0.2">
      <c r="A23" s="7" t="s">
        <v>187</v>
      </c>
      <c r="B23" s="7" t="s">
        <v>82</v>
      </c>
      <c r="C23" s="7" t="s">
        <v>2245</v>
      </c>
      <c r="D23" s="47">
        <f t="shared" ref="D23:Z23" si="22">D68/$Z68</f>
        <v>0</v>
      </c>
      <c r="E23" s="47">
        <f t="shared" si="22"/>
        <v>0</v>
      </c>
      <c r="F23" s="47">
        <f t="shared" si="22"/>
        <v>0</v>
      </c>
      <c r="G23" s="47">
        <f t="shared" si="22"/>
        <v>0</v>
      </c>
      <c r="H23" s="47">
        <f t="shared" si="22"/>
        <v>0</v>
      </c>
      <c r="I23" s="47">
        <f t="shared" si="22"/>
        <v>0</v>
      </c>
      <c r="J23" s="47">
        <f t="shared" si="22"/>
        <v>0</v>
      </c>
      <c r="K23" s="47">
        <f t="shared" si="22"/>
        <v>0</v>
      </c>
      <c r="L23" s="47">
        <f t="shared" si="22"/>
        <v>0</v>
      </c>
      <c r="M23" s="47">
        <f t="shared" si="22"/>
        <v>0</v>
      </c>
      <c r="N23" s="47">
        <f t="shared" si="22"/>
        <v>0</v>
      </c>
      <c r="O23" s="47">
        <f t="shared" si="22"/>
        <v>0</v>
      </c>
      <c r="P23" s="47">
        <f t="shared" si="22"/>
        <v>0</v>
      </c>
      <c r="Q23" s="47">
        <f t="shared" si="22"/>
        <v>0</v>
      </c>
      <c r="R23" s="47">
        <f t="shared" si="22"/>
        <v>0.5</v>
      </c>
      <c r="S23" s="47">
        <f t="shared" si="22"/>
        <v>1</v>
      </c>
      <c r="T23" s="47">
        <f t="shared" si="22"/>
        <v>1</v>
      </c>
      <c r="U23" s="47">
        <f t="shared" si="22"/>
        <v>1</v>
      </c>
      <c r="V23" s="47">
        <f t="shared" si="22"/>
        <v>1</v>
      </c>
      <c r="W23" s="47">
        <f t="shared" si="22"/>
        <v>1</v>
      </c>
      <c r="X23" s="47">
        <f t="shared" si="22"/>
        <v>1</v>
      </c>
      <c r="Y23" s="47">
        <f t="shared" si="22"/>
        <v>1</v>
      </c>
      <c r="Z23" s="47">
        <f t="shared" si="22"/>
        <v>1</v>
      </c>
    </row>
    <row r="24" spans="1:26" x14ac:dyDescent="0.2">
      <c r="A24" s="7" t="s">
        <v>1229</v>
      </c>
      <c r="B24" s="7" t="s">
        <v>1098</v>
      </c>
      <c r="C24" s="7" t="s">
        <v>2246</v>
      </c>
      <c r="D24" s="47">
        <f t="shared" ref="D24:Z24" si="23">D69/$Z69</f>
        <v>0</v>
      </c>
      <c r="E24" s="47">
        <f t="shared" si="23"/>
        <v>0</v>
      </c>
      <c r="F24" s="47">
        <f t="shared" si="23"/>
        <v>0</v>
      </c>
      <c r="G24" s="47">
        <f t="shared" si="23"/>
        <v>0</v>
      </c>
      <c r="H24" s="47">
        <f t="shared" si="23"/>
        <v>0</v>
      </c>
      <c r="I24" s="47">
        <f t="shared" si="23"/>
        <v>0</v>
      </c>
      <c r="J24" s="47">
        <f t="shared" si="23"/>
        <v>0</v>
      </c>
      <c r="K24" s="47">
        <f t="shared" si="23"/>
        <v>0</v>
      </c>
      <c r="L24" s="47">
        <f t="shared" si="23"/>
        <v>0</v>
      </c>
      <c r="M24" s="47">
        <f t="shared" si="23"/>
        <v>0</v>
      </c>
      <c r="N24" s="47">
        <f t="shared" si="23"/>
        <v>0</v>
      </c>
      <c r="O24" s="47">
        <f t="shared" si="23"/>
        <v>0</v>
      </c>
      <c r="P24" s="47">
        <f t="shared" si="23"/>
        <v>0</v>
      </c>
      <c r="Q24" s="47">
        <f t="shared" si="23"/>
        <v>0</v>
      </c>
      <c r="R24" s="47">
        <f t="shared" si="23"/>
        <v>0</v>
      </c>
      <c r="S24" s="47">
        <f t="shared" si="23"/>
        <v>1</v>
      </c>
      <c r="T24" s="47">
        <f t="shared" si="23"/>
        <v>1</v>
      </c>
      <c r="U24" s="47">
        <f t="shared" si="23"/>
        <v>1</v>
      </c>
      <c r="V24" s="47">
        <f t="shared" si="23"/>
        <v>1</v>
      </c>
      <c r="W24" s="47">
        <f t="shared" si="23"/>
        <v>1</v>
      </c>
      <c r="X24" s="47">
        <f t="shared" si="23"/>
        <v>1</v>
      </c>
      <c r="Y24" s="47">
        <f t="shared" si="23"/>
        <v>1</v>
      </c>
      <c r="Z24" s="47">
        <f t="shared" si="23"/>
        <v>1</v>
      </c>
    </row>
    <row r="25" spans="1:26" x14ac:dyDescent="0.2">
      <c r="A25" s="7" t="s">
        <v>218</v>
      </c>
      <c r="B25" s="7" t="s">
        <v>282</v>
      </c>
      <c r="C25" s="7" t="s">
        <v>2247</v>
      </c>
      <c r="D25" s="47">
        <f t="shared" ref="D25:Z25" si="24">D70/$Z70</f>
        <v>0</v>
      </c>
      <c r="E25" s="47">
        <f t="shared" si="24"/>
        <v>0</v>
      </c>
      <c r="F25" s="47">
        <f t="shared" si="24"/>
        <v>0</v>
      </c>
      <c r="G25" s="47">
        <f t="shared" si="24"/>
        <v>0</v>
      </c>
      <c r="H25" s="47">
        <f t="shared" si="24"/>
        <v>0</v>
      </c>
      <c r="I25" s="47">
        <f t="shared" si="24"/>
        <v>0</v>
      </c>
      <c r="J25" s="47">
        <f t="shared" si="24"/>
        <v>0</v>
      </c>
      <c r="K25" s="47">
        <f t="shared" si="24"/>
        <v>0</v>
      </c>
      <c r="L25" s="47">
        <f t="shared" si="24"/>
        <v>0</v>
      </c>
      <c r="M25" s="47">
        <f t="shared" si="24"/>
        <v>0</v>
      </c>
      <c r="N25" s="47">
        <f t="shared" si="24"/>
        <v>0</v>
      </c>
      <c r="O25" s="47">
        <f t="shared" si="24"/>
        <v>0</v>
      </c>
      <c r="P25" s="47">
        <f t="shared" si="24"/>
        <v>0</v>
      </c>
      <c r="Q25" s="47">
        <f t="shared" si="24"/>
        <v>0</v>
      </c>
      <c r="R25" s="47">
        <f t="shared" si="24"/>
        <v>0</v>
      </c>
      <c r="S25" s="47">
        <f t="shared" si="24"/>
        <v>0.66666666666666663</v>
      </c>
      <c r="T25" s="47">
        <f t="shared" si="24"/>
        <v>1</v>
      </c>
      <c r="U25" s="47">
        <f t="shared" si="24"/>
        <v>1</v>
      </c>
      <c r="V25" s="47">
        <f t="shared" si="24"/>
        <v>1</v>
      </c>
      <c r="W25" s="47">
        <f t="shared" si="24"/>
        <v>1</v>
      </c>
      <c r="X25" s="47">
        <f t="shared" si="24"/>
        <v>1</v>
      </c>
      <c r="Y25" s="47">
        <f t="shared" si="24"/>
        <v>1</v>
      </c>
      <c r="Z25" s="47">
        <f t="shared" si="24"/>
        <v>1</v>
      </c>
    </row>
    <row r="26" spans="1:26" x14ac:dyDescent="0.2">
      <c r="A26" s="7" t="s">
        <v>1198</v>
      </c>
      <c r="B26" s="7" t="s">
        <v>804</v>
      </c>
      <c r="C26" s="7" t="s">
        <v>2248</v>
      </c>
      <c r="D26" s="47">
        <f t="shared" ref="D26:Z26" si="25">D71/$Z71</f>
        <v>0</v>
      </c>
      <c r="E26" s="47">
        <f t="shared" si="25"/>
        <v>0</v>
      </c>
      <c r="F26" s="47">
        <f t="shared" si="25"/>
        <v>0</v>
      </c>
      <c r="G26" s="47">
        <f t="shared" si="25"/>
        <v>0</v>
      </c>
      <c r="H26" s="47">
        <f t="shared" si="25"/>
        <v>0</v>
      </c>
      <c r="I26" s="47">
        <f t="shared" si="25"/>
        <v>0</v>
      </c>
      <c r="J26" s="47">
        <f t="shared" si="25"/>
        <v>0</v>
      </c>
      <c r="K26" s="47">
        <f t="shared" si="25"/>
        <v>0</v>
      </c>
      <c r="L26" s="47">
        <f t="shared" si="25"/>
        <v>0</v>
      </c>
      <c r="M26" s="47">
        <f t="shared" si="25"/>
        <v>0</v>
      </c>
      <c r="N26" s="47">
        <f t="shared" si="25"/>
        <v>0</v>
      </c>
      <c r="O26" s="47">
        <f t="shared" si="25"/>
        <v>0</v>
      </c>
      <c r="P26" s="47">
        <f t="shared" si="25"/>
        <v>0</v>
      </c>
      <c r="Q26" s="47">
        <f t="shared" si="25"/>
        <v>0</v>
      </c>
      <c r="R26" s="47">
        <f t="shared" si="25"/>
        <v>0.75</v>
      </c>
      <c r="S26" s="47">
        <f t="shared" si="25"/>
        <v>1</v>
      </c>
      <c r="T26" s="47">
        <f t="shared" si="25"/>
        <v>1</v>
      </c>
      <c r="U26" s="47">
        <f t="shared" si="25"/>
        <v>1</v>
      </c>
      <c r="V26" s="47">
        <f t="shared" si="25"/>
        <v>1</v>
      </c>
      <c r="W26" s="47">
        <f t="shared" si="25"/>
        <v>1</v>
      </c>
      <c r="X26" s="47">
        <f t="shared" si="25"/>
        <v>1</v>
      </c>
      <c r="Y26" s="47">
        <f t="shared" si="25"/>
        <v>1</v>
      </c>
      <c r="Z26" s="47">
        <f t="shared" si="25"/>
        <v>1</v>
      </c>
    </row>
    <row r="27" spans="1:26" x14ac:dyDescent="0.2">
      <c r="A27" s="7" t="s">
        <v>2249</v>
      </c>
      <c r="B27" s="7" t="s">
        <v>2250</v>
      </c>
      <c r="C27" s="7" t="s">
        <v>2250</v>
      </c>
      <c r="D27" s="47">
        <f t="shared" ref="D27:Z27" si="26">D72/$Z72</f>
        <v>0</v>
      </c>
      <c r="E27" s="47">
        <f t="shared" si="26"/>
        <v>0</v>
      </c>
      <c r="F27" s="47">
        <f t="shared" si="26"/>
        <v>0</v>
      </c>
      <c r="G27" s="47">
        <f t="shared" si="26"/>
        <v>0</v>
      </c>
      <c r="H27" s="47">
        <f t="shared" si="26"/>
        <v>0</v>
      </c>
      <c r="I27" s="47">
        <f t="shared" si="26"/>
        <v>0</v>
      </c>
      <c r="J27" s="47">
        <f t="shared" si="26"/>
        <v>0</v>
      </c>
      <c r="K27" s="47">
        <f t="shared" si="26"/>
        <v>0</v>
      </c>
      <c r="L27" s="47">
        <f t="shared" si="26"/>
        <v>0</v>
      </c>
      <c r="M27" s="47">
        <f t="shared" si="26"/>
        <v>0</v>
      </c>
      <c r="N27" s="47">
        <f t="shared" si="26"/>
        <v>0</v>
      </c>
      <c r="O27" s="47">
        <f t="shared" si="26"/>
        <v>0</v>
      </c>
      <c r="P27" s="47">
        <f t="shared" si="26"/>
        <v>0</v>
      </c>
      <c r="Q27" s="47">
        <f t="shared" si="26"/>
        <v>0</v>
      </c>
      <c r="R27" s="47">
        <f t="shared" si="26"/>
        <v>0.5</v>
      </c>
      <c r="S27" s="47">
        <f t="shared" si="26"/>
        <v>1</v>
      </c>
      <c r="T27" s="47">
        <f t="shared" si="26"/>
        <v>1</v>
      </c>
      <c r="U27" s="47">
        <f t="shared" si="26"/>
        <v>1</v>
      </c>
      <c r="V27" s="47">
        <f t="shared" si="26"/>
        <v>1</v>
      </c>
      <c r="W27" s="47">
        <f t="shared" si="26"/>
        <v>1</v>
      </c>
      <c r="X27" s="47">
        <f t="shared" si="26"/>
        <v>1</v>
      </c>
      <c r="Y27" s="47">
        <f t="shared" si="26"/>
        <v>1</v>
      </c>
      <c r="Z27" s="47">
        <f t="shared" si="26"/>
        <v>1</v>
      </c>
    </row>
    <row r="28" spans="1:26" x14ac:dyDescent="0.2">
      <c r="A28" s="7" t="s">
        <v>198</v>
      </c>
      <c r="B28" s="7" t="s">
        <v>235</v>
      </c>
      <c r="C28" s="7" t="s">
        <v>2251</v>
      </c>
      <c r="D28" s="47">
        <f t="shared" ref="D28:Z28" si="27">D73/$Z73</f>
        <v>0</v>
      </c>
      <c r="E28" s="47">
        <f t="shared" si="27"/>
        <v>0</v>
      </c>
      <c r="F28" s="47">
        <f t="shared" si="27"/>
        <v>0</v>
      </c>
      <c r="G28" s="47">
        <f t="shared" si="27"/>
        <v>0</v>
      </c>
      <c r="H28" s="47">
        <f t="shared" si="27"/>
        <v>0</v>
      </c>
      <c r="I28" s="47">
        <f t="shared" si="27"/>
        <v>0</v>
      </c>
      <c r="J28" s="47">
        <f t="shared" si="27"/>
        <v>0</v>
      </c>
      <c r="K28" s="47">
        <f t="shared" si="27"/>
        <v>0</v>
      </c>
      <c r="L28" s="47">
        <f t="shared" si="27"/>
        <v>0</v>
      </c>
      <c r="M28" s="47">
        <f t="shared" si="27"/>
        <v>0.41691176470588237</v>
      </c>
      <c r="N28" s="47">
        <f t="shared" si="27"/>
        <v>0.75</v>
      </c>
      <c r="O28" s="47">
        <f t="shared" si="27"/>
        <v>1</v>
      </c>
      <c r="P28" s="47">
        <f t="shared" si="27"/>
        <v>1</v>
      </c>
      <c r="Q28" s="47">
        <f t="shared" si="27"/>
        <v>1</v>
      </c>
      <c r="R28" s="47">
        <f t="shared" si="27"/>
        <v>1</v>
      </c>
      <c r="S28" s="47">
        <f t="shared" si="27"/>
        <v>1</v>
      </c>
      <c r="T28" s="47">
        <f t="shared" si="27"/>
        <v>1</v>
      </c>
      <c r="U28" s="47">
        <f t="shared" si="27"/>
        <v>1</v>
      </c>
      <c r="V28" s="47">
        <f t="shared" si="27"/>
        <v>1</v>
      </c>
      <c r="W28" s="47">
        <f t="shared" si="27"/>
        <v>1</v>
      </c>
      <c r="X28" s="47">
        <f t="shared" si="27"/>
        <v>1</v>
      </c>
      <c r="Y28" s="47">
        <f t="shared" si="27"/>
        <v>1</v>
      </c>
      <c r="Z28" s="47">
        <f t="shared" si="27"/>
        <v>1</v>
      </c>
    </row>
    <row r="29" spans="1:26" x14ac:dyDescent="0.2">
      <c r="A29" s="7" t="s">
        <v>1100</v>
      </c>
      <c r="B29" s="7" t="s">
        <v>1098</v>
      </c>
      <c r="C29" s="7" t="s">
        <v>2252</v>
      </c>
      <c r="D29" s="47">
        <f t="shared" ref="D29:Z29" si="28">D74/$Z74</f>
        <v>0</v>
      </c>
      <c r="E29" s="47">
        <f t="shared" si="28"/>
        <v>0</v>
      </c>
      <c r="F29" s="47">
        <f t="shared" si="28"/>
        <v>0.2</v>
      </c>
      <c r="G29" s="47">
        <f t="shared" si="28"/>
        <v>0.7</v>
      </c>
      <c r="H29" s="47">
        <f t="shared" si="28"/>
        <v>1</v>
      </c>
      <c r="I29" s="47">
        <f t="shared" si="28"/>
        <v>1</v>
      </c>
      <c r="J29" s="47">
        <f t="shared" si="28"/>
        <v>1</v>
      </c>
      <c r="K29" s="47">
        <f t="shared" si="28"/>
        <v>1</v>
      </c>
      <c r="L29" s="47">
        <f t="shared" si="28"/>
        <v>1</v>
      </c>
      <c r="M29" s="47">
        <f t="shared" si="28"/>
        <v>1</v>
      </c>
      <c r="N29" s="47">
        <f t="shared" si="28"/>
        <v>1</v>
      </c>
      <c r="O29" s="47">
        <f t="shared" si="28"/>
        <v>1</v>
      </c>
      <c r="P29" s="47">
        <f t="shared" si="28"/>
        <v>1</v>
      </c>
      <c r="Q29" s="47">
        <f t="shared" si="28"/>
        <v>1</v>
      </c>
      <c r="R29" s="47">
        <f t="shared" si="28"/>
        <v>1</v>
      </c>
      <c r="S29" s="47">
        <f t="shared" si="28"/>
        <v>1</v>
      </c>
      <c r="T29" s="47">
        <f t="shared" si="28"/>
        <v>1</v>
      </c>
      <c r="U29" s="47">
        <f t="shared" si="28"/>
        <v>1</v>
      </c>
      <c r="V29" s="47">
        <f t="shared" si="28"/>
        <v>1</v>
      </c>
      <c r="W29" s="47">
        <f t="shared" si="28"/>
        <v>1</v>
      </c>
      <c r="X29" s="47">
        <f t="shared" si="28"/>
        <v>1</v>
      </c>
      <c r="Y29" s="47">
        <f t="shared" si="28"/>
        <v>1</v>
      </c>
      <c r="Z29" s="47">
        <f t="shared" si="28"/>
        <v>1</v>
      </c>
    </row>
    <row r="30" spans="1:26" x14ac:dyDescent="0.2">
      <c r="A30" s="7" t="s">
        <v>1114</v>
      </c>
      <c r="B30" s="7" t="s">
        <v>1098</v>
      </c>
      <c r="C30" s="7" t="s">
        <v>2253</v>
      </c>
      <c r="D30" s="47">
        <f t="shared" ref="D30:Z30" si="29">D75/$Z75</f>
        <v>0</v>
      </c>
      <c r="E30" s="47">
        <f t="shared" si="29"/>
        <v>0</v>
      </c>
      <c r="F30" s="47">
        <f t="shared" si="29"/>
        <v>0</v>
      </c>
      <c r="G30" s="47">
        <f t="shared" si="29"/>
        <v>0</v>
      </c>
      <c r="H30" s="47">
        <f t="shared" si="29"/>
        <v>0.2</v>
      </c>
      <c r="I30" s="47">
        <f t="shared" si="29"/>
        <v>0.7</v>
      </c>
      <c r="J30" s="47">
        <f t="shared" si="29"/>
        <v>1</v>
      </c>
      <c r="K30" s="47">
        <f t="shared" si="29"/>
        <v>1</v>
      </c>
      <c r="L30" s="47">
        <f t="shared" si="29"/>
        <v>1</v>
      </c>
      <c r="M30" s="47">
        <f t="shared" si="29"/>
        <v>1</v>
      </c>
      <c r="N30" s="47">
        <f t="shared" si="29"/>
        <v>1</v>
      </c>
      <c r="O30" s="47">
        <f t="shared" si="29"/>
        <v>1</v>
      </c>
      <c r="P30" s="47">
        <f t="shared" si="29"/>
        <v>1</v>
      </c>
      <c r="Q30" s="47">
        <f t="shared" si="29"/>
        <v>1</v>
      </c>
      <c r="R30" s="47">
        <f t="shared" si="29"/>
        <v>1</v>
      </c>
      <c r="S30" s="47">
        <f t="shared" si="29"/>
        <v>1</v>
      </c>
      <c r="T30" s="47">
        <f t="shared" si="29"/>
        <v>1</v>
      </c>
      <c r="U30" s="47">
        <f t="shared" si="29"/>
        <v>1</v>
      </c>
      <c r="V30" s="47">
        <f t="shared" si="29"/>
        <v>1</v>
      </c>
      <c r="W30" s="47">
        <f t="shared" si="29"/>
        <v>1</v>
      </c>
      <c r="X30" s="47">
        <f t="shared" si="29"/>
        <v>1</v>
      </c>
      <c r="Y30" s="47">
        <f t="shared" si="29"/>
        <v>1</v>
      </c>
      <c r="Z30" s="47">
        <f t="shared" si="29"/>
        <v>1</v>
      </c>
    </row>
    <row r="31" spans="1:26" x14ac:dyDescent="0.2">
      <c r="A31" s="7" t="s">
        <v>207</v>
      </c>
      <c r="B31" s="7" t="s">
        <v>264</v>
      </c>
      <c r="C31" s="7" t="s">
        <v>2254</v>
      </c>
      <c r="D31" s="47">
        <f t="shared" ref="D31:Z31" si="30">D76/$Z76</f>
        <v>0</v>
      </c>
      <c r="E31" s="47">
        <f t="shared" si="30"/>
        <v>0</v>
      </c>
      <c r="F31" s="47">
        <f t="shared" si="30"/>
        <v>0</v>
      </c>
      <c r="G31" s="47">
        <f t="shared" si="30"/>
        <v>0</v>
      </c>
      <c r="H31" s="47">
        <f t="shared" si="30"/>
        <v>0</v>
      </c>
      <c r="I31" s="47">
        <f t="shared" si="30"/>
        <v>0</v>
      </c>
      <c r="J31" s="47">
        <f t="shared" si="30"/>
        <v>0</v>
      </c>
      <c r="K31" s="47">
        <f t="shared" si="30"/>
        <v>0</v>
      </c>
      <c r="L31" s="47">
        <f t="shared" si="30"/>
        <v>0</v>
      </c>
      <c r="M31" s="47">
        <f t="shared" si="30"/>
        <v>0</v>
      </c>
      <c r="N31" s="47">
        <f t="shared" si="30"/>
        <v>0</v>
      </c>
      <c r="O31" s="47">
        <f t="shared" si="30"/>
        <v>8.3333333333333329E-2</v>
      </c>
      <c r="P31" s="47">
        <f t="shared" si="30"/>
        <v>0.5</v>
      </c>
      <c r="Q31" s="47">
        <f t="shared" si="30"/>
        <v>0.91666666666666663</v>
      </c>
      <c r="R31" s="47">
        <f t="shared" si="30"/>
        <v>1</v>
      </c>
      <c r="S31" s="47">
        <f t="shared" si="30"/>
        <v>1</v>
      </c>
      <c r="T31" s="47">
        <f t="shared" si="30"/>
        <v>1</v>
      </c>
      <c r="U31" s="47">
        <f t="shared" si="30"/>
        <v>1</v>
      </c>
      <c r="V31" s="47">
        <f t="shared" si="30"/>
        <v>1</v>
      </c>
      <c r="W31" s="47">
        <f t="shared" si="30"/>
        <v>1</v>
      </c>
      <c r="X31" s="47">
        <f t="shared" si="30"/>
        <v>1</v>
      </c>
      <c r="Y31" s="47">
        <f t="shared" si="30"/>
        <v>1</v>
      </c>
      <c r="Z31" s="47">
        <f t="shared" si="30"/>
        <v>1</v>
      </c>
    </row>
    <row r="32" spans="1:26" x14ac:dyDescent="0.2">
      <c r="A32" s="7" t="s">
        <v>211</v>
      </c>
      <c r="B32" s="7" t="s">
        <v>282</v>
      </c>
      <c r="C32" s="7" t="s">
        <v>2255</v>
      </c>
      <c r="D32" s="47">
        <f t="shared" ref="D32:Z32" si="31">D77/$Z77</f>
        <v>0</v>
      </c>
      <c r="E32" s="47">
        <f t="shared" si="31"/>
        <v>0</v>
      </c>
      <c r="F32" s="47">
        <f t="shared" si="31"/>
        <v>0</v>
      </c>
      <c r="G32" s="47">
        <f t="shared" si="31"/>
        <v>0</v>
      </c>
      <c r="H32" s="47">
        <f t="shared" si="31"/>
        <v>0</v>
      </c>
      <c r="I32" s="47">
        <f t="shared" si="31"/>
        <v>0</v>
      </c>
      <c r="J32" s="47">
        <f t="shared" si="31"/>
        <v>0</v>
      </c>
      <c r="K32" s="47">
        <f t="shared" si="31"/>
        <v>0</v>
      </c>
      <c r="L32" s="47">
        <f t="shared" si="31"/>
        <v>0</v>
      </c>
      <c r="M32" s="47">
        <f t="shared" si="31"/>
        <v>0.2</v>
      </c>
      <c r="N32" s="47">
        <f t="shared" si="31"/>
        <v>0.53333333333333333</v>
      </c>
      <c r="O32" s="47">
        <f t="shared" si="31"/>
        <v>0.8</v>
      </c>
      <c r="P32" s="47">
        <f t="shared" si="31"/>
        <v>1</v>
      </c>
      <c r="Q32" s="47">
        <f t="shared" si="31"/>
        <v>1</v>
      </c>
      <c r="R32" s="47">
        <f t="shared" si="31"/>
        <v>1</v>
      </c>
      <c r="S32" s="47">
        <f t="shared" si="31"/>
        <v>1</v>
      </c>
      <c r="T32" s="47">
        <f t="shared" si="31"/>
        <v>1</v>
      </c>
      <c r="U32" s="47">
        <f t="shared" si="31"/>
        <v>1</v>
      </c>
      <c r="V32" s="47">
        <f t="shared" si="31"/>
        <v>1</v>
      </c>
      <c r="W32" s="47">
        <f t="shared" si="31"/>
        <v>1</v>
      </c>
      <c r="X32" s="47">
        <f t="shared" si="31"/>
        <v>1</v>
      </c>
      <c r="Y32" s="47">
        <f t="shared" si="31"/>
        <v>1</v>
      </c>
      <c r="Z32" s="47">
        <f t="shared" si="31"/>
        <v>1</v>
      </c>
    </row>
    <row r="33" spans="1:26" x14ac:dyDescent="0.2">
      <c r="A33" s="7" t="s">
        <v>204</v>
      </c>
      <c r="B33" s="7" t="s">
        <v>282</v>
      </c>
      <c r="C33" s="7" t="s">
        <v>2256</v>
      </c>
      <c r="D33" s="47">
        <f t="shared" ref="D33:Z33" si="32">D78/$Z78</f>
        <v>0</v>
      </c>
      <c r="E33" s="47">
        <f t="shared" si="32"/>
        <v>0</v>
      </c>
      <c r="F33" s="47">
        <f t="shared" si="32"/>
        <v>0</v>
      </c>
      <c r="G33" s="47">
        <f t="shared" si="32"/>
        <v>0</v>
      </c>
      <c r="H33" s="47">
        <f t="shared" si="32"/>
        <v>0</v>
      </c>
      <c r="I33" s="47">
        <f t="shared" si="32"/>
        <v>0</v>
      </c>
      <c r="J33" s="47">
        <f t="shared" si="32"/>
        <v>0</v>
      </c>
      <c r="K33" s="47">
        <f t="shared" si="32"/>
        <v>0</v>
      </c>
      <c r="L33" s="47">
        <f t="shared" si="32"/>
        <v>0</v>
      </c>
      <c r="M33" s="47">
        <f t="shared" si="32"/>
        <v>0.2</v>
      </c>
      <c r="N33" s="47">
        <f t="shared" si="32"/>
        <v>0.53333333333333333</v>
      </c>
      <c r="O33" s="47">
        <f t="shared" si="32"/>
        <v>0.8</v>
      </c>
      <c r="P33" s="47">
        <f t="shared" si="32"/>
        <v>1</v>
      </c>
      <c r="Q33" s="47">
        <f t="shared" si="32"/>
        <v>1</v>
      </c>
      <c r="R33" s="47">
        <f t="shared" si="32"/>
        <v>1</v>
      </c>
      <c r="S33" s="47">
        <f t="shared" si="32"/>
        <v>1</v>
      </c>
      <c r="T33" s="47">
        <f t="shared" si="32"/>
        <v>1</v>
      </c>
      <c r="U33" s="47">
        <f t="shared" si="32"/>
        <v>1</v>
      </c>
      <c r="V33" s="47">
        <f t="shared" si="32"/>
        <v>1</v>
      </c>
      <c r="W33" s="47">
        <f t="shared" si="32"/>
        <v>1</v>
      </c>
      <c r="X33" s="47">
        <f t="shared" si="32"/>
        <v>1</v>
      </c>
      <c r="Y33" s="47">
        <f t="shared" si="32"/>
        <v>1</v>
      </c>
      <c r="Z33" s="47">
        <f t="shared" si="32"/>
        <v>1</v>
      </c>
    </row>
    <row r="34" spans="1:26" x14ac:dyDescent="0.2">
      <c r="A34" s="7" t="s">
        <v>765</v>
      </c>
      <c r="B34" s="7" t="s">
        <v>762</v>
      </c>
      <c r="C34" s="7" t="s">
        <v>2257</v>
      </c>
      <c r="D34" s="47">
        <f t="shared" ref="D34:Z34" si="33">D79/$Z79</f>
        <v>0</v>
      </c>
      <c r="E34" s="47">
        <f t="shared" si="33"/>
        <v>0</v>
      </c>
      <c r="F34" s="47">
        <f t="shared" si="33"/>
        <v>0</v>
      </c>
      <c r="G34" s="47">
        <f t="shared" si="33"/>
        <v>0</v>
      </c>
      <c r="H34" s="47">
        <f t="shared" si="33"/>
        <v>0</v>
      </c>
      <c r="I34" s="47">
        <f t="shared" si="33"/>
        <v>0</v>
      </c>
      <c r="J34" s="47">
        <f t="shared" si="33"/>
        <v>0</v>
      </c>
      <c r="K34" s="47">
        <f t="shared" si="33"/>
        <v>0</v>
      </c>
      <c r="L34" s="47">
        <f t="shared" si="33"/>
        <v>0</v>
      </c>
      <c r="M34" s="47">
        <f t="shared" si="33"/>
        <v>0</v>
      </c>
      <c r="N34" s="47">
        <f t="shared" si="33"/>
        <v>0</v>
      </c>
      <c r="O34" s="47">
        <f t="shared" si="33"/>
        <v>0</v>
      </c>
      <c r="P34" s="47">
        <f t="shared" si="33"/>
        <v>0</v>
      </c>
      <c r="Q34" s="47">
        <f t="shared" si="33"/>
        <v>0</v>
      </c>
      <c r="R34" s="47">
        <f t="shared" si="33"/>
        <v>0</v>
      </c>
      <c r="S34" s="47">
        <f t="shared" si="33"/>
        <v>0</v>
      </c>
      <c r="T34" s="47">
        <f t="shared" si="33"/>
        <v>4.5442176870748301E-2</v>
      </c>
      <c r="U34" s="47">
        <f t="shared" si="33"/>
        <v>0.22727891156462585</v>
      </c>
      <c r="V34" s="47">
        <f t="shared" si="33"/>
        <v>0.45455782312925169</v>
      </c>
      <c r="W34" s="47">
        <f t="shared" si="33"/>
        <v>0.68183673469387751</v>
      </c>
      <c r="X34" s="47">
        <f t="shared" si="33"/>
        <v>0.90911564625850338</v>
      </c>
      <c r="Y34" s="47">
        <f t="shared" si="33"/>
        <v>1</v>
      </c>
      <c r="Z34" s="47">
        <f t="shared" si="33"/>
        <v>1</v>
      </c>
    </row>
    <row r="35" spans="1:26" x14ac:dyDescent="0.2">
      <c r="A35" s="7" t="s">
        <v>790</v>
      </c>
      <c r="B35" s="7" t="s">
        <v>787</v>
      </c>
      <c r="C35" s="7" t="s">
        <v>2258</v>
      </c>
      <c r="D35" s="47">
        <f t="shared" ref="D35:Z35" si="34">D80/$Z80</f>
        <v>0</v>
      </c>
      <c r="E35" s="47">
        <f t="shared" si="34"/>
        <v>0</v>
      </c>
      <c r="F35" s="47">
        <f t="shared" si="34"/>
        <v>0</v>
      </c>
      <c r="G35" s="47">
        <f t="shared" si="34"/>
        <v>0</v>
      </c>
      <c r="H35" s="47">
        <f t="shared" si="34"/>
        <v>0</v>
      </c>
      <c r="I35" s="47">
        <f t="shared" si="34"/>
        <v>0</v>
      </c>
      <c r="J35" s="47">
        <f t="shared" si="34"/>
        <v>0</v>
      </c>
      <c r="K35" s="47">
        <f t="shared" si="34"/>
        <v>0</v>
      </c>
      <c r="L35" s="47">
        <f t="shared" si="34"/>
        <v>0</v>
      </c>
      <c r="M35" s="47">
        <f t="shared" si="34"/>
        <v>0</v>
      </c>
      <c r="N35" s="47">
        <f t="shared" si="34"/>
        <v>0</v>
      </c>
      <c r="O35" s="47">
        <f t="shared" si="34"/>
        <v>0</v>
      </c>
      <c r="P35" s="47">
        <f t="shared" si="34"/>
        <v>0</v>
      </c>
      <c r="Q35" s="47">
        <f t="shared" si="34"/>
        <v>0</v>
      </c>
      <c r="R35" s="47">
        <f t="shared" si="34"/>
        <v>0</v>
      </c>
      <c r="S35" s="47">
        <f t="shared" si="34"/>
        <v>0</v>
      </c>
      <c r="T35" s="47">
        <f t="shared" si="34"/>
        <v>0</v>
      </c>
      <c r="U35" s="47">
        <f t="shared" si="34"/>
        <v>0</v>
      </c>
      <c r="V35" s="47">
        <f t="shared" si="34"/>
        <v>0</v>
      </c>
      <c r="W35" s="47">
        <f t="shared" si="34"/>
        <v>0.26666666666666666</v>
      </c>
      <c r="X35" s="47">
        <f t="shared" si="34"/>
        <v>0.6</v>
      </c>
      <c r="Y35" s="47">
        <f t="shared" si="34"/>
        <v>0.93333333333333335</v>
      </c>
      <c r="Z35" s="47">
        <f t="shared" si="34"/>
        <v>1</v>
      </c>
    </row>
    <row r="36" spans="1:26" x14ac:dyDescent="0.2">
      <c r="A36" s="7" t="s">
        <v>707</v>
      </c>
      <c r="B36" s="7" t="s">
        <v>703</v>
      </c>
      <c r="C36" s="7" t="s">
        <v>2259</v>
      </c>
      <c r="D36" s="47">
        <f t="shared" ref="D36:Z36" si="35">D81/$Z81</f>
        <v>0</v>
      </c>
      <c r="E36" s="47">
        <f t="shared" si="35"/>
        <v>0</v>
      </c>
      <c r="F36" s="47">
        <f t="shared" si="35"/>
        <v>0</v>
      </c>
      <c r="G36" s="47">
        <f t="shared" si="35"/>
        <v>0</v>
      </c>
      <c r="H36" s="47">
        <f t="shared" si="35"/>
        <v>0</v>
      </c>
      <c r="I36" s="47">
        <f t="shared" si="35"/>
        <v>0</v>
      </c>
      <c r="J36" s="47">
        <f t="shared" si="35"/>
        <v>0</v>
      </c>
      <c r="K36" s="47">
        <f t="shared" si="35"/>
        <v>0</v>
      </c>
      <c r="L36" s="47">
        <f t="shared" si="35"/>
        <v>0</v>
      </c>
      <c r="M36" s="47">
        <f t="shared" si="35"/>
        <v>0</v>
      </c>
      <c r="N36" s="47">
        <f t="shared" si="35"/>
        <v>0</v>
      </c>
      <c r="O36" s="47">
        <f t="shared" si="35"/>
        <v>0</v>
      </c>
      <c r="P36" s="47">
        <f t="shared" si="35"/>
        <v>0</v>
      </c>
      <c r="Q36" s="47">
        <f t="shared" si="35"/>
        <v>0</v>
      </c>
      <c r="R36" s="47">
        <f t="shared" si="35"/>
        <v>0</v>
      </c>
      <c r="S36" s="47">
        <f t="shared" si="35"/>
        <v>0</v>
      </c>
      <c r="T36" s="47">
        <f t="shared" si="35"/>
        <v>0</v>
      </c>
      <c r="U36" s="47">
        <f t="shared" si="35"/>
        <v>0.25</v>
      </c>
      <c r="V36" s="47">
        <f t="shared" si="35"/>
        <v>0.66666666666666663</v>
      </c>
      <c r="W36" s="47">
        <f t="shared" si="35"/>
        <v>1</v>
      </c>
      <c r="X36" s="47">
        <f t="shared" si="35"/>
        <v>1</v>
      </c>
      <c r="Y36" s="47">
        <f t="shared" si="35"/>
        <v>1</v>
      </c>
      <c r="Z36" s="47">
        <f t="shared" si="35"/>
        <v>1</v>
      </c>
    </row>
    <row r="37" spans="1:26" x14ac:dyDescent="0.2">
      <c r="A37" s="7" t="s">
        <v>736</v>
      </c>
      <c r="B37" s="7" t="s">
        <v>733</v>
      </c>
      <c r="C37" s="7" t="s">
        <v>2260</v>
      </c>
      <c r="D37" s="47">
        <f t="shared" ref="D37:Z37" si="36">D82/$Z82</f>
        <v>0</v>
      </c>
      <c r="E37" s="47">
        <f t="shared" si="36"/>
        <v>0</v>
      </c>
      <c r="F37" s="47">
        <f t="shared" si="36"/>
        <v>0</v>
      </c>
      <c r="G37" s="47">
        <f t="shared" si="36"/>
        <v>0</v>
      </c>
      <c r="H37" s="47">
        <f t="shared" si="36"/>
        <v>0</v>
      </c>
      <c r="I37" s="47">
        <f t="shared" si="36"/>
        <v>0</v>
      </c>
      <c r="J37" s="47">
        <f t="shared" si="36"/>
        <v>0</v>
      </c>
      <c r="K37" s="47">
        <f t="shared" si="36"/>
        <v>0</v>
      </c>
      <c r="L37" s="47">
        <f t="shared" si="36"/>
        <v>0</v>
      </c>
      <c r="M37" s="47">
        <f t="shared" si="36"/>
        <v>0</v>
      </c>
      <c r="N37" s="47">
        <f t="shared" si="36"/>
        <v>0</v>
      </c>
      <c r="O37" s="47">
        <f t="shared" si="36"/>
        <v>0</v>
      </c>
      <c r="P37" s="47">
        <f t="shared" si="36"/>
        <v>0</v>
      </c>
      <c r="Q37" s="47">
        <f t="shared" si="36"/>
        <v>0</v>
      </c>
      <c r="R37" s="47">
        <f t="shared" si="36"/>
        <v>0</v>
      </c>
      <c r="S37" s="47">
        <f t="shared" si="36"/>
        <v>0</v>
      </c>
      <c r="T37" s="47">
        <f t="shared" si="36"/>
        <v>0</v>
      </c>
      <c r="U37" s="47">
        <f t="shared" si="36"/>
        <v>0</v>
      </c>
      <c r="V37" s="47">
        <f t="shared" si="36"/>
        <v>0</v>
      </c>
      <c r="W37" s="47">
        <f t="shared" si="36"/>
        <v>0.13333333333333333</v>
      </c>
      <c r="X37" s="47">
        <f t="shared" si="36"/>
        <v>0.46666666666666667</v>
      </c>
      <c r="Y37" s="47">
        <f t="shared" si="36"/>
        <v>0.8</v>
      </c>
      <c r="Z37" s="47">
        <f t="shared" si="36"/>
        <v>1</v>
      </c>
    </row>
    <row r="38" spans="1:26" x14ac:dyDescent="0.2">
      <c r="A38" s="7" t="s">
        <v>342</v>
      </c>
      <c r="B38" s="7" t="s">
        <v>310</v>
      </c>
      <c r="C38" s="7" t="s">
        <v>2261</v>
      </c>
      <c r="D38" s="47">
        <f t="shared" ref="D38:Z38" si="37">D83/$Z83</f>
        <v>0</v>
      </c>
      <c r="E38" s="47">
        <f t="shared" si="37"/>
        <v>0</v>
      </c>
      <c r="F38" s="47">
        <f t="shared" si="37"/>
        <v>0</v>
      </c>
      <c r="G38" s="47">
        <f t="shared" si="37"/>
        <v>0</v>
      </c>
      <c r="H38" s="47">
        <f t="shared" si="37"/>
        <v>0</v>
      </c>
      <c r="I38" s="47">
        <f t="shared" si="37"/>
        <v>0</v>
      </c>
      <c r="J38" s="47">
        <f t="shared" si="37"/>
        <v>0</v>
      </c>
      <c r="K38" s="47">
        <f t="shared" si="37"/>
        <v>0</v>
      </c>
      <c r="L38" s="47">
        <f t="shared" si="37"/>
        <v>0</v>
      </c>
      <c r="M38" s="47">
        <f t="shared" si="37"/>
        <v>0</v>
      </c>
      <c r="N38" s="47">
        <f t="shared" si="37"/>
        <v>0</v>
      </c>
      <c r="O38" s="47">
        <f t="shared" si="37"/>
        <v>0</v>
      </c>
      <c r="P38" s="47">
        <f t="shared" si="37"/>
        <v>0</v>
      </c>
      <c r="Q38" s="47">
        <f t="shared" si="37"/>
        <v>0</v>
      </c>
      <c r="R38" s="47">
        <f t="shared" si="37"/>
        <v>0</v>
      </c>
      <c r="S38" s="47">
        <f t="shared" si="37"/>
        <v>0</v>
      </c>
      <c r="T38" s="47">
        <f t="shared" si="37"/>
        <v>0</v>
      </c>
      <c r="U38" s="47">
        <f t="shared" si="37"/>
        <v>0</v>
      </c>
      <c r="V38" s="47">
        <f t="shared" si="37"/>
        <v>0</v>
      </c>
      <c r="W38" s="47">
        <f t="shared" si="37"/>
        <v>0</v>
      </c>
      <c r="X38" s="47">
        <f t="shared" si="37"/>
        <v>0.5</v>
      </c>
      <c r="Y38" s="47">
        <f t="shared" si="37"/>
        <v>1</v>
      </c>
      <c r="Z38" s="47">
        <f t="shared" si="37"/>
        <v>1</v>
      </c>
    </row>
    <row r="39" spans="1:26" x14ac:dyDescent="0.2">
      <c r="A39" s="7" t="s">
        <v>2262</v>
      </c>
      <c r="B39" s="7" t="s">
        <v>310</v>
      </c>
      <c r="C39" s="7" t="s">
        <v>2263</v>
      </c>
      <c r="D39" s="47">
        <f t="shared" ref="D39:Z39" si="38">D84/$Z84</f>
        <v>0</v>
      </c>
      <c r="E39" s="47">
        <f t="shared" si="38"/>
        <v>0</v>
      </c>
      <c r="F39" s="47">
        <f t="shared" si="38"/>
        <v>0</v>
      </c>
      <c r="G39" s="47">
        <f t="shared" si="38"/>
        <v>0</v>
      </c>
      <c r="H39" s="47">
        <f t="shared" si="38"/>
        <v>0</v>
      </c>
      <c r="I39" s="47">
        <f t="shared" si="38"/>
        <v>0</v>
      </c>
      <c r="J39" s="47">
        <f t="shared" si="38"/>
        <v>0</v>
      </c>
      <c r="K39" s="47">
        <f t="shared" si="38"/>
        <v>0</v>
      </c>
      <c r="L39" s="47">
        <f t="shared" si="38"/>
        <v>0</v>
      </c>
      <c r="M39" s="47">
        <f t="shared" si="38"/>
        <v>0</v>
      </c>
      <c r="N39" s="47">
        <f t="shared" si="38"/>
        <v>0</v>
      </c>
      <c r="O39" s="47">
        <f t="shared" si="38"/>
        <v>0</v>
      </c>
      <c r="P39" s="47">
        <f t="shared" si="38"/>
        <v>1</v>
      </c>
      <c r="Q39" s="47">
        <f t="shared" si="38"/>
        <v>1</v>
      </c>
      <c r="R39" s="47">
        <f t="shared" si="38"/>
        <v>1</v>
      </c>
      <c r="S39" s="47">
        <f t="shared" si="38"/>
        <v>1</v>
      </c>
      <c r="T39" s="47">
        <f t="shared" si="38"/>
        <v>1</v>
      </c>
      <c r="U39" s="47">
        <f t="shared" si="38"/>
        <v>1</v>
      </c>
      <c r="V39" s="47">
        <f t="shared" si="38"/>
        <v>1</v>
      </c>
      <c r="W39" s="47">
        <f t="shared" si="38"/>
        <v>1</v>
      </c>
      <c r="X39" s="47">
        <f t="shared" si="38"/>
        <v>1</v>
      </c>
      <c r="Y39" s="47">
        <f t="shared" si="38"/>
        <v>1</v>
      </c>
      <c r="Z39" s="47">
        <f t="shared" si="38"/>
        <v>1</v>
      </c>
    </row>
    <row r="40" spans="1:26" x14ac:dyDescent="0.2">
      <c r="A40" s="7" t="s">
        <v>306</v>
      </c>
      <c r="B40" s="7" t="s">
        <v>310</v>
      </c>
      <c r="C40" s="7" t="s">
        <v>2264</v>
      </c>
      <c r="D40" s="47">
        <f t="shared" ref="D40:Z40" si="39">D85/$Z85</f>
        <v>0</v>
      </c>
      <c r="E40" s="47">
        <f t="shared" si="39"/>
        <v>0</v>
      </c>
      <c r="F40" s="47">
        <f t="shared" si="39"/>
        <v>0</v>
      </c>
      <c r="G40" s="47">
        <f t="shared" si="39"/>
        <v>0</v>
      </c>
      <c r="H40" s="47">
        <f t="shared" si="39"/>
        <v>0</v>
      </c>
      <c r="I40" s="47">
        <f t="shared" si="39"/>
        <v>0</v>
      </c>
      <c r="J40" s="47">
        <f t="shared" si="39"/>
        <v>0</v>
      </c>
      <c r="K40" s="47">
        <f t="shared" si="39"/>
        <v>0</v>
      </c>
      <c r="L40" s="47">
        <f t="shared" si="39"/>
        <v>0</v>
      </c>
      <c r="M40" s="47">
        <f t="shared" si="39"/>
        <v>0</v>
      </c>
      <c r="N40" s="47">
        <f t="shared" si="39"/>
        <v>0</v>
      </c>
      <c r="O40" s="47">
        <f t="shared" si="39"/>
        <v>0</v>
      </c>
      <c r="P40" s="47">
        <f t="shared" si="39"/>
        <v>0</v>
      </c>
      <c r="Q40" s="47">
        <f t="shared" si="39"/>
        <v>0</v>
      </c>
      <c r="R40" s="47">
        <f t="shared" si="39"/>
        <v>0</v>
      </c>
      <c r="S40" s="47">
        <f t="shared" si="39"/>
        <v>9.0851063829787235E-2</v>
      </c>
      <c r="T40" s="47">
        <f t="shared" si="39"/>
        <v>0.27276595744680854</v>
      </c>
      <c r="U40" s="47">
        <f t="shared" si="39"/>
        <v>0.45446808510638298</v>
      </c>
      <c r="V40" s="47">
        <f t="shared" si="39"/>
        <v>0.68191489361702129</v>
      </c>
      <c r="W40" s="47">
        <f t="shared" si="39"/>
        <v>0.90914893617021275</v>
      </c>
      <c r="X40" s="47">
        <f t="shared" si="39"/>
        <v>1</v>
      </c>
      <c r="Y40" s="47">
        <f t="shared" si="39"/>
        <v>1</v>
      </c>
      <c r="Z40" s="47">
        <f t="shared" si="39"/>
        <v>1</v>
      </c>
    </row>
    <row r="41" spans="1:26" x14ac:dyDescent="0.2">
      <c r="A41" s="7" t="s">
        <v>92</v>
      </c>
      <c r="B41" s="7" t="s">
        <v>1414</v>
      </c>
      <c r="C41" s="7" t="s">
        <v>92</v>
      </c>
      <c r="D41" s="47">
        <f t="shared" ref="D41:Z41" si="40">D86/$Z86</f>
        <v>0</v>
      </c>
      <c r="E41" s="47">
        <f t="shared" si="40"/>
        <v>0</v>
      </c>
      <c r="F41" s="47">
        <f t="shared" si="40"/>
        <v>0</v>
      </c>
      <c r="G41" s="47">
        <f t="shared" si="40"/>
        <v>0</v>
      </c>
      <c r="H41" s="47">
        <f t="shared" si="40"/>
        <v>0</v>
      </c>
      <c r="I41" s="47">
        <f t="shared" si="40"/>
        <v>0</v>
      </c>
      <c r="J41" s="47">
        <f t="shared" si="40"/>
        <v>0</v>
      </c>
      <c r="K41" s="47">
        <f t="shared" si="40"/>
        <v>0</v>
      </c>
      <c r="L41" s="47">
        <f t="shared" si="40"/>
        <v>0</v>
      </c>
      <c r="M41" s="47">
        <f t="shared" si="40"/>
        <v>0</v>
      </c>
      <c r="N41" s="47">
        <f t="shared" si="40"/>
        <v>0</v>
      </c>
      <c r="O41" s="47">
        <f t="shared" si="40"/>
        <v>0</v>
      </c>
      <c r="P41" s="47">
        <f t="shared" si="40"/>
        <v>0</v>
      </c>
      <c r="Q41" s="47">
        <f t="shared" si="40"/>
        <v>0</v>
      </c>
      <c r="R41" s="47">
        <f t="shared" si="40"/>
        <v>0</v>
      </c>
      <c r="S41" s="47">
        <f t="shared" si="40"/>
        <v>0</v>
      </c>
      <c r="T41" s="47">
        <f t="shared" si="40"/>
        <v>0</v>
      </c>
      <c r="U41" s="47">
        <f t="shared" si="40"/>
        <v>0</v>
      </c>
      <c r="V41" s="47">
        <f t="shared" si="40"/>
        <v>5.8862433862433859E-2</v>
      </c>
      <c r="W41" s="47">
        <f t="shared" si="40"/>
        <v>0.3529100529100529</v>
      </c>
      <c r="X41" s="47">
        <f t="shared" si="40"/>
        <v>0.58822751322751321</v>
      </c>
      <c r="Y41" s="47">
        <f t="shared" si="40"/>
        <v>0.88240740740740742</v>
      </c>
      <c r="Z41" s="47">
        <f t="shared" si="40"/>
        <v>1</v>
      </c>
    </row>
    <row r="42" spans="1:26" x14ac:dyDescent="0.2">
      <c r="A42" s="7" t="s">
        <v>92</v>
      </c>
      <c r="B42" s="7" t="s">
        <v>1032</v>
      </c>
      <c r="C42" s="7" t="s">
        <v>92</v>
      </c>
      <c r="D42" s="47">
        <f t="shared" ref="D42:Z42" si="41">D87/$Z87</f>
        <v>0</v>
      </c>
      <c r="E42" s="47">
        <f t="shared" si="41"/>
        <v>0</v>
      </c>
      <c r="F42" s="47">
        <f t="shared" si="41"/>
        <v>0</v>
      </c>
      <c r="G42" s="47">
        <f t="shared" si="41"/>
        <v>0</v>
      </c>
      <c r="H42" s="47">
        <f t="shared" si="41"/>
        <v>0</v>
      </c>
      <c r="I42" s="47">
        <f t="shared" si="41"/>
        <v>0</v>
      </c>
      <c r="J42" s="47">
        <f t="shared" si="41"/>
        <v>0</v>
      </c>
      <c r="K42" s="47">
        <f t="shared" si="41"/>
        <v>0</v>
      </c>
      <c r="L42" s="47">
        <f t="shared" si="41"/>
        <v>0</v>
      </c>
      <c r="M42" s="47">
        <f t="shared" si="41"/>
        <v>0</v>
      </c>
      <c r="N42" s="47">
        <f t="shared" si="41"/>
        <v>0</v>
      </c>
      <c r="O42" s="47">
        <f t="shared" si="41"/>
        <v>0</v>
      </c>
      <c r="P42" s="47">
        <f t="shared" si="41"/>
        <v>0</v>
      </c>
      <c r="Q42" s="47">
        <f t="shared" si="41"/>
        <v>0</v>
      </c>
      <c r="R42" s="47">
        <f t="shared" si="41"/>
        <v>0</v>
      </c>
      <c r="S42" s="47">
        <f t="shared" si="41"/>
        <v>0</v>
      </c>
      <c r="T42" s="47">
        <f t="shared" si="41"/>
        <v>0</v>
      </c>
      <c r="U42" s="47">
        <f t="shared" si="41"/>
        <v>0</v>
      </c>
      <c r="V42" s="47">
        <f t="shared" si="41"/>
        <v>5.8862433862433859E-2</v>
      </c>
      <c r="W42" s="47">
        <f t="shared" si="41"/>
        <v>0.3529100529100529</v>
      </c>
      <c r="X42" s="47">
        <f t="shared" si="41"/>
        <v>0.58822751322751321</v>
      </c>
      <c r="Y42" s="47">
        <f t="shared" si="41"/>
        <v>0.88240740740740753</v>
      </c>
      <c r="Z42" s="47">
        <f t="shared" si="41"/>
        <v>1</v>
      </c>
    </row>
    <row r="43" spans="1:26" x14ac:dyDescent="0.2">
      <c r="A43" s="7" t="s">
        <v>92</v>
      </c>
      <c r="B43" s="7" t="s">
        <v>1014</v>
      </c>
      <c r="C43" s="7" t="s">
        <v>92</v>
      </c>
      <c r="D43" s="47">
        <f t="shared" ref="D43:Z43" si="42">D88/$Z88</f>
        <v>0</v>
      </c>
      <c r="E43" s="47">
        <f t="shared" si="42"/>
        <v>0</v>
      </c>
      <c r="F43" s="47">
        <f t="shared" si="42"/>
        <v>0</v>
      </c>
      <c r="G43" s="47">
        <f t="shared" si="42"/>
        <v>0</v>
      </c>
      <c r="H43" s="47">
        <f t="shared" si="42"/>
        <v>0</v>
      </c>
      <c r="I43" s="47">
        <f t="shared" si="42"/>
        <v>0</v>
      </c>
      <c r="J43" s="47">
        <f t="shared" si="42"/>
        <v>0</v>
      </c>
      <c r="K43" s="47">
        <f t="shared" si="42"/>
        <v>0</v>
      </c>
      <c r="L43" s="47">
        <f t="shared" si="42"/>
        <v>0</v>
      </c>
      <c r="M43" s="47">
        <f t="shared" si="42"/>
        <v>0</v>
      </c>
      <c r="N43" s="47">
        <f t="shared" si="42"/>
        <v>0</v>
      </c>
      <c r="O43" s="47">
        <f t="shared" si="42"/>
        <v>0</v>
      </c>
      <c r="P43" s="47">
        <f t="shared" si="42"/>
        <v>0</v>
      </c>
      <c r="Q43" s="47">
        <f t="shared" si="42"/>
        <v>0</v>
      </c>
      <c r="R43" s="47">
        <f t="shared" si="42"/>
        <v>0</v>
      </c>
      <c r="S43" s="47">
        <f t="shared" si="42"/>
        <v>0</v>
      </c>
      <c r="T43" s="47">
        <f t="shared" si="42"/>
        <v>0</v>
      </c>
      <c r="U43" s="47">
        <f t="shared" si="42"/>
        <v>0</v>
      </c>
      <c r="V43" s="47">
        <f t="shared" si="42"/>
        <v>5.8862433862433859E-2</v>
      </c>
      <c r="W43" s="47">
        <f t="shared" si="42"/>
        <v>0.3529100529100529</v>
      </c>
      <c r="X43" s="47">
        <f t="shared" si="42"/>
        <v>0.5882275132275131</v>
      </c>
      <c r="Y43" s="47">
        <f t="shared" si="42"/>
        <v>0.88240740740740742</v>
      </c>
      <c r="Z43" s="47">
        <f t="shared" si="42"/>
        <v>1</v>
      </c>
    </row>
    <row r="44" spans="1:26" x14ac:dyDescent="0.2">
      <c r="A44" s="7" t="s">
        <v>92</v>
      </c>
      <c r="B44" s="7" t="s">
        <v>1199</v>
      </c>
      <c r="C44" s="7" t="s">
        <v>92</v>
      </c>
      <c r="D44" s="47">
        <f t="shared" ref="D44:Z44" si="43">D89/$Z89</f>
        <v>0</v>
      </c>
      <c r="E44" s="47">
        <f t="shared" si="43"/>
        <v>0</v>
      </c>
      <c r="F44" s="47">
        <f t="shared" si="43"/>
        <v>0</v>
      </c>
      <c r="G44" s="47">
        <f t="shared" si="43"/>
        <v>0</v>
      </c>
      <c r="H44" s="47">
        <f t="shared" si="43"/>
        <v>0</v>
      </c>
      <c r="I44" s="47">
        <f t="shared" si="43"/>
        <v>0</v>
      </c>
      <c r="J44" s="47">
        <f t="shared" si="43"/>
        <v>0</v>
      </c>
      <c r="K44" s="47">
        <f t="shared" si="43"/>
        <v>0</v>
      </c>
      <c r="L44" s="47">
        <f t="shared" si="43"/>
        <v>0</v>
      </c>
      <c r="M44" s="47">
        <f t="shared" si="43"/>
        <v>0</v>
      </c>
      <c r="N44" s="47">
        <f t="shared" si="43"/>
        <v>0</v>
      </c>
      <c r="O44" s="47">
        <f t="shared" si="43"/>
        <v>0</v>
      </c>
      <c r="P44" s="47">
        <f t="shared" si="43"/>
        <v>0</v>
      </c>
      <c r="Q44" s="47">
        <f t="shared" si="43"/>
        <v>0</v>
      </c>
      <c r="R44" s="47">
        <f t="shared" si="43"/>
        <v>0</v>
      </c>
      <c r="S44" s="47">
        <f t="shared" si="43"/>
        <v>0</v>
      </c>
      <c r="T44" s="47">
        <f t="shared" si="43"/>
        <v>0</v>
      </c>
      <c r="U44" s="47">
        <f t="shared" si="43"/>
        <v>0</v>
      </c>
      <c r="V44" s="47">
        <f>X89/$Z89</f>
        <v>0.58822751322751321</v>
      </c>
      <c r="W44" s="47">
        <f>W89/$Z89</f>
        <v>0.3529100529100529</v>
      </c>
      <c r="X44" s="47">
        <f>X89/$Z89</f>
        <v>0.58822751322751321</v>
      </c>
      <c r="Y44" s="47">
        <f>Y89/$Z89</f>
        <v>0.88240740740740742</v>
      </c>
      <c r="Z44" s="47">
        <f t="shared" si="43"/>
        <v>1</v>
      </c>
    </row>
    <row r="45" spans="1:26" x14ac:dyDescent="0.2">
      <c r="A45" s="577" t="s">
        <v>2265</v>
      </c>
      <c r="B45" s="577"/>
      <c r="C45" s="577"/>
      <c r="D45" s="577"/>
      <c r="E45" s="577"/>
      <c r="F45" s="577"/>
      <c r="G45" s="577"/>
      <c r="H45" s="577"/>
      <c r="I45" s="577"/>
      <c r="J45" s="577"/>
      <c r="K45" s="577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</row>
    <row r="46" spans="1:26" x14ac:dyDescent="0.2">
      <c r="A46" s="7" t="s">
        <v>2214</v>
      </c>
      <c r="C46" s="391" t="s">
        <v>0</v>
      </c>
      <c r="D46" s="31">
        <v>44074</v>
      </c>
      <c r="E46" s="31">
        <f>D46+7</f>
        <v>44081</v>
      </c>
      <c r="F46" s="31">
        <f t="shared" ref="F46:Z46" si="44">E46+7</f>
        <v>44088</v>
      </c>
      <c r="G46" s="31">
        <f t="shared" si="44"/>
        <v>44095</v>
      </c>
      <c r="H46" s="31">
        <f t="shared" si="44"/>
        <v>44102</v>
      </c>
      <c r="I46" s="31">
        <f t="shared" si="44"/>
        <v>44109</v>
      </c>
      <c r="J46" s="31">
        <f t="shared" si="44"/>
        <v>44116</v>
      </c>
      <c r="K46" s="31">
        <f t="shared" si="44"/>
        <v>44123</v>
      </c>
      <c r="L46" s="31">
        <f t="shared" si="44"/>
        <v>44130</v>
      </c>
      <c r="M46" s="31">
        <f t="shared" si="44"/>
        <v>44137</v>
      </c>
      <c r="N46" s="31">
        <f t="shared" si="44"/>
        <v>44144</v>
      </c>
      <c r="O46" s="31">
        <f t="shared" si="44"/>
        <v>44151</v>
      </c>
      <c r="P46" s="31">
        <f t="shared" si="44"/>
        <v>44158</v>
      </c>
      <c r="Q46" s="31">
        <f t="shared" si="44"/>
        <v>44165</v>
      </c>
      <c r="R46" s="31">
        <f t="shared" si="44"/>
        <v>44172</v>
      </c>
      <c r="S46" s="31">
        <f t="shared" si="44"/>
        <v>44179</v>
      </c>
      <c r="T46" s="31">
        <f t="shared" si="44"/>
        <v>44186</v>
      </c>
      <c r="U46" s="31">
        <f t="shared" si="44"/>
        <v>44193</v>
      </c>
      <c r="V46" s="31">
        <f t="shared" si="44"/>
        <v>44200</v>
      </c>
      <c r="W46" s="31">
        <f t="shared" si="44"/>
        <v>44207</v>
      </c>
      <c r="X46" s="31">
        <f t="shared" si="44"/>
        <v>44214</v>
      </c>
      <c r="Y46" s="31">
        <f t="shared" si="44"/>
        <v>44221</v>
      </c>
      <c r="Z46" s="31">
        <f t="shared" si="44"/>
        <v>44228</v>
      </c>
    </row>
    <row r="47" spans="1:26" x14ac:dyDescent="0.2">
      <c r="A47" s="7" t="s">
        <v>92</v>
      </c>
      <c r="B47" s="7" t="s">
        <v>28</v>
      </c>
      <c r="C47" s="3" t="s">
        <v>28</v>
      </c>
      <c r="D47" s="76">
        <f>SUM(D48:D89)</f>
        <v>0</v>
      </c>
      <c r="E47" s="76">
        <f t="shared" ref="E47:Z47" si="45">SUM(E48:E89)</f>
        <v>0</v>
      </c>
      <c r="F47" s="76">
        <f t="shared" si="45"/>
        <v>114</v>
      </c>
      <c r="G47" s="76">
        <f t="shared" si="45"/>
        <v>466</v>
      </c>
      <c r="H47" s="76">
        <f t="shared" si="45"/>
        <v>872</v>
      </c>
      <c r="I47" s="76">
        <f t="shared" si="45"/>
        <v>1127</v>
      </c>
      <c r="J47" s="76">
        <f t="shared" si="45"/>
        <v>1280</v>
      </c>
      <c r="K47" s="76">
        <f t="shared" si="45"/>
        <v>1280</v>
      </c>
      <c r="L47" s="76">
        <f t="shared" si="45"/>
        <v>1280</v>
      </c>
      <c r="M47" s="76">
        <f t="shared" si="45"/>
        <v>2375</v>
      </c>
      <c r="N47" s="76">
        <f t="shared" si="45"/>
        <v>3708</v>
      </c>
      <c r="O47" s="76">
        <f t="shared" si="45"/>
        <v>4872</v>
      </c>
      <c r="P47" s="76">
        <f t="shared" si="45"/>
        <v>6150</v>
      </c>
      <c r="Q47" s="76">
        <f t="shared" si="45"/>
        <v>10437</v>
      </c>
      <c r="R47" s="76">
        <f t="shared" si="45"/>
        <v>17656</v>
      </c>
      <c r="S47" s="76">
        <f t="shared" si="45"/>
        <v>28089</v>
      </c>
      <c r="T47" s="76">
        <f t="shared" si="45"/>
        <v>35321</v>
      </c>
      <c r="U47" s="76">
        <f t="shared" si="45"/>
        <v>44228</v>
      </c>
      <c r="V47" s="76">
        <f t="shared" si="45"/>
        <v>55638.819444444438</v>
      </c>
      <c r="W47" s="76">
        <f t="shared" si="45"/>
        <v>74989.944444444453</v>
      </c>
      <c r="X47" s="76">
        <f t="shared" si="45"/>
        <v>91184.236111111109</v>
      </c>
      <c r="Y47" s="76">
        <f t="shared" si="45"/>
        <v>102977.34722222223</v>
      </c>
      <c r="Z47" s="76">
        <f t="shared" si="45"/>
        <v>106860</v>
      </c>
    </row>
    <row r="48" spans="1:26" x14ac:dyDescent="0.2">
      <c r="A48" s="7" t="s">
        <v>829</v>
      </c>
      <c r="B48" s="7" t="s">
        <v>906</v>
      </c>
      <c r="C48" s="7" t="s">
        <v>2218</v>
      </c>
      <c r="D48" s="42"/>
      <c r="E48" s="42"/>
      <c r="F48" s="42"/>
      <c r="G48" s="42"/>
      <c r="H48" s="42"/>
      <c r="I48" s="42"/>
      <c r="J48" s="42"/>
      <c r="O48" s="42"/>
      <c r="P48" s="42"/>
      <c r="Q48" s="42">
        <v>1440</v>
      </c>
      <c r="R48" s="42">
        <v>3840</v>
      </c>
      <c r="S48" s="42">
        <v>5760</v>
      </c>
      <c r="T48" s="42">
        <v>7200</v>
      </c>
      <c r="U48" s="42">
        <v>7200</v>
      </c>
      <c r="V48" s="42">
        <v>7200</v>
      </c>
      <c r="W48" s="42">
        <v>7200</v>
      </c>
      <c r="X48" s="42">
        <v>7200</v>
      </c>
      <c r="Y48" s="42">
        <v>7200</v>
      </c>
      <c r="Z48" s="42">
        <v>7200</v>
      </c>
    </row>
    <row r="49" spans="1:26" x14ac:dyDescent="0.2">
      <c r="A49" s="7" t="s">
        <v>933</v>
      </c>
      <c r="B49" s="7" t="s">
        <v>931</v>
      </c>
      <c r="C49" s="7" t="s">
        <v>2219</v>
      </c>
      <c r="R49" s="7">
        <v>493</v>
      </c>
      <c r="S49" s="7">
        <v>2957</v>
      </c>
      <c r="T49" s="7">
        <v>5421</v>
      </c>
      <c r="U49" s="7">
        <v>7392</v>
      </c>
      <c r="V49" s="7">
        <v>9856</v>
      </c>
      <c r="W49" s="7">
        <v>11827</v>
      </c>
      <c r="X49" s="7">
        <v>12320</v>
      </c>
      <c r="Y49" s="7">
        <v>12320</v>
      </c>
      <c r="Z49" s="7">
        <v>12320</v>
      </c>
    </row>
    <row r="50" spans="1:26" x14ac:dyDescent="0.2">
      <c r="A50" s="7" t="s">
        <v>89</v>
      </c>
      <c r="B50" s="7" t="s">
        <v>82</v>
      </c>
      <c r="C50" s="7" t="s">
        <v>2220</v>
      </c>
      <c r="W50" s="7">
        <v>137</v>
      </c>
      <c r="X50" s="7">
        <v>320</v>
      </c>
      <c r="Y50" s="7">
        <v>320</v>
      </c>
      <c r="Z50" s="7">
        <v>320</v>
      </c>
    </row>
    <row r="51" spans="1:26" x14ac:dyDescent="0.2">
      <c r="A51" s="7" t="s">
        <v>808</v>
      </c>
      <c r="B51" s="7" t="s">
        <v>804</v>
      </c>
      <c r="C51" s="7" t="s">
        <v>2221</v>
      </c>
      <c r="S51" s="7">
        <v>272</v>
      </c>
      <c r="T51" s="7">
        <v>543</v>
      </c>
      <c r="U51" s="7">
        <v>815</v>
      </c>
      <c r="V51" s="7">
        <v>815</v>
      </c>
      <c r="W51" s="7">
        <v>815</v>
      </c>
      <c r="X51" s="7">
        <v>815</v>
      </c>
      <c r="Y51" s="7">
        <v>815</v>
      </c>
      <c r="Z51" s="7">
        <v>815</v>
      </c>
    </row>
    <row r="52" spans="1:26" x14ac:dyDescent="0.2">
      <c r="A52" s="7" t="s">
        <v>2125</v>
      </c>
      <c r="B52" s="7" t="s">
        <v>2222</v>
      </c>
      <c r="C52" s="7" t="s">
        <v>2223</v>
      </c>
      <c r="X52" s="7">
        <v>314</v>
      </c>
      <c r="Y52" s="7">
        <v>550</v>
      </c>
      <c r="Z52" s="7">
        <v>550</v>
      </c>
    </row>
    <row r="53" spans="1:26" x14ac:dyDescent="0.2">
      <c r="A53" s="7" t="s">
        <v>1067</v>
      </c>
      <c r="B53" s="7" t="s">
        <v>1054</v>
      </c>
      <c r="C53" s="7" t="s">
        <v>2224</v>
      </c>
      <c r="V53" s="7">
        <v>64</v>
      </c>
      <c r="W53" s="7">
        <v>160</v>
      </c>
      <c r="X53" s="7">
        <v>160</v>
      </c>
      <c r="Y53" s="7">
        <v>160</v>
      </c>
      <c r="Z53" s="7">
        <v>160</v>
      </c>
    </row>
    <row r="54" spans="1:26" x14ac:dyDescent="0.2">
      <c r="A54" s="7" t="s">
        <v>2225</v>
      </c>
      <c r="B54" s="7" t="s">
        <v>2222</v>
      </c>
      <c r="C54" s="7" t="s">
        <v>2226</v>
      </c>
      <c r="V54" s="7">
        <v>445</v>
      </c>
      <c r="W54" s="7">
        <v>2668</v>
      </c>
      <c r="X54" s="7">
        <v>4447</v>
      </c>
      <c r="Y54" s="7">
        <v>6671</v>
      </c>
      <c r="Z54" s="7">
        <v>7560</v>
      </c>
    </row>
    <row r="55" spans="1:26" x14ac:dyDescent="0.2">
      <c r="A55" s="7" t="s">
        <v>2227</v>
      </c>
      <c r="B55" s="7" t="s">
        <v>804</v>
      </c>
      <c r="C55" s="7" t="s">
        <v>2228</v>
      </c>
      <c r="U55" s="7">
        <v>2294</v>
      </c>
      <c r="V55" s="7">
        <v>4588</v>
      </c>
      <c r="W55" s="7">
        <v>7456</v>
      </c>
      <c r="X55" s="7">
        <v>9750</v>
      </c>
      <c r="Y55" s="7">
        <v>9750</v>
      </c>
      <c r="Z55" s="7">
        <v>9750</v>
      </c>
    </row>
    <row r="56" spans="1:26" x14ac:dyDescent="0.2">
      <c r="A56" s="7" t="s">
        <v>1059</v>
      </c>
      <c r="B56" s="7" t="s">
        <v>762</v>
      </c>
      <c r="C56" s="7" t="s">
        <v>2229</v>
      </c>
      <c r="Q56" s="7">
        <v>667</v>
      </c>
      <c r="R56" s="7">
        <v>1000</v>
      </c>
      <c r="S56" s="7">
        <v>1000</v>
      </c>
      <c r="T56" s="7">
        <v>1000</v>
      </c>
      <c r="U56" s="7">
        <v>1000</v>
      </c>
      <c r="V56" s="7">
        <v>1000</v>
      </c>
      <c r="W56" s="7">
        <v>1000</v>
      </c>
      <c r="X56" s="7">
        <v>1000</v>
      </c>
      <c r="Y56" s="7">
        <v>1000</v>
      </c>
      <c r="Z56" s="7">
        <v>1000</v>
      </c>
    </row>
    <row r="57" spans="1:26" x14ac:dyDescent="0.2">
      <c r="A57" s="7" t="s">
        <v>2230</v>
      </c>
      <c r="B57" s="7" t="s">
        <v>762</v>
      </c>
      <c r="C57" s="7" t="s">
        <v>2231</v>
      </c>
      <c r="S57" s="7">
        <v>100</v>
      </c>
      <c r="T57" s="7">
        <v>100</v>
      </c>
      <c r="U57" s="7">
        <v>100</v>
      </c>
      <c r="V57" s="7">
        <v>100</v>
      </c>
      <c r="W57" s="7">
        <v>100</v>
      </c>
      <c r="X57" s="7">
        <v>100</v>
      </c>
      <c r="Y57" s="7">
        <v>100</v>
      </c>
      <c r="Z57" s="7">
        <v>100</v>
      </c>
    </row>
    <row r="58" spans="1:26" s="34" customFormat="1" x14ac:dyDescent="0.2">
      <c r="A58" s="34" t="s">
        <v>1367</v>
      </c>
      <c r="B58" s="34" t="s">
        <v>787</v>
      </c>
      <c r="C58" s="34" t="s">
        <v>2232</v>
      </c>
      <c r="S58" s="34">
        <v>1500</v>
      </c>
      <c r="T58" s="34">
        <v>1500</v>
      </c>
      <c r="U58" s="34">
        <v>1500</v>
      </c>
      <c r="V58" s="34">
        <v>1500</v>
      </c>
      <c r="W58" s="34">
        <v>1500</v>
      </c>
      <c r="X58" s="34">
        <v>1500</v>
      </c>
      <c r="Y58" s="34">
        <v>1500</v>
      </c>
      <c r="Z58" s="34">
        <v>1500</v>
      </c>
    </row>
    <row r="59" spans="1:26" x14ac:dyDescent="0.2">
      <c r="A59" s="7" t="s">
        <v>453</v>
      </c>
      <c r="B59" s="7" t="s">
        <v>402</v>
      </c>
      <c r="C59" s="7" t="s">
        <v>2233</v>
      </c>
      <c r="R59" s="7">
        <v>667</v>
      </c>
      <c r="S59" s="7">
        <v>2333</v>
      </c>
      <c r="T59" s="7">
        <v>3667</v>
      </c>
      <c r="U59" s="7">
        <v>4000</v>
      </c>
      <c r="V59" s="7">
        <v>4000</v>
      </c>
      <c r="W59" s="7">
        <v>4000</v>
      </c>
      <c r="X59" s="7">
        <v>4000</v>
      </c>
      <c r="Y59" s="7">
        <v>4000</v>
      </c>
      <c r="Z59" s="7">
        <v>4000</v>
      </c>
    </row>
    <row r="60" spans="1:26" x14ac:dyDescent="0.2">
      <c r="A60" s="7" t="s">
        <v>536</v>
      </c>
      <c r="B60" s="7" t="s">
        <v>402</v>
      </c>
      <c r="C60" s="7" t="s">
        <v>2234</v>
      </c>
      <c r="R60" s="7">
        <v>336</v>
      </c>
      <c r="S60" s="7">
        <v>840</v>
      </c>
      <c r="T60" s="7">
        <v>840</v>
      </c>
      <c r="U60" s="7">
        <v>840</v>
      </c>
      <c r="V60" s="7">
        <v>840</v>
      </c>
      <c r="W60" s="7">
        <v>840</v>
      </c>
      <c r="X60" s="7">
        <v>840</v>
      </c>
      <c r="Y60" s="7">
        <v>840</v>
      </c>
      <c r="Z60" s="7">
        <v>840</v>
      </c>
    </row>
    <row r="61" spans="1:26" x14ac:dyDescent="0.2">
      <c r="A61" s="7" t="s">
        <v>1088</v>
      </c>
      <c r="B61" s="7" t="s">
        <v>1098</v>
      </c>
      <c r="C61" s="7" t="s">
        <v>2235</v>
      </c>
      <c r="R61" s="7">
        <v>2000</v>
      </c>
      <c r="S61" s="7">
        <v>2000</v>
      </c>
      <c r="T61" s="7">
        <v>2000</v>
      </c>
      <c r="U61" s="7">
        <v>2000</v>
      </c>
      <c r="V61" s="7">
        <v>2000</v>
      </c>
      <c r="W61" s="7">
        <v>2000</v>
      </c>
      <c r="X61" s="7">
        <v>2000</v>
      </c>
      <c r="Y61" s="7">
        <v>2000</v>
      </c>
      <c r="Z61" s="7">
        <v>2000</v>
      </c>
    </row>
    <row r="62" spans="1:26" x14ac:dyDescent="0.2">
      <c r="A62" s="7" t="s">
        <v>2236</v>
      </c>
      <c r="B62" s="7" t="s">
        <v>1668</v>
      </c>
      <c r="C62" s="7" t="s">
        <v>2237</v>
      </c>
      <c r="S62" s="7">
        <v>400</v>
      </c>
      <c r="T62" s="7">
        <v>400</v>
      </c>
      <c r="U62" s="7">
        <v>400</v>
      </c>
      <c r="V62" s="7">
        <v>400</v>
      </c>
      <c r="W62" s="7">
        <v>400</v>
      </c>
      <c r="X62" s="7">
        <v>400</v>
      </c>
      <c r="Y62" s="7">
        <v>400</v>
      </c>
      <c r="Z62" s="7">
        <v>400</v>
      </c>
    </row>
    <row r="63" spans="1:26" x14ac:dyDescent="0.2">
      <c r="A63" s="7" t="s">
        <v>2238</v>
      </c>
      <c r="B63" s="7" t="s">
        <v>2239</v>
      </c>
      <c r="C63" s="7" t="s">
        <v>2240</v>
      </c>
      <c r="G63" s="7">
        <v>67</v>
      </c>
      <c r="H63" s="7">
        <v>200</v>
      </c>
      <c r="I63" s="7">
        <v>200</v>
      </c>
      <c r="J63" s="7">
        <v>200</v>
      </c>
      <c r="K63" s="7">
        <v>200</v>
      </c>
      <c r="L63" s="7">
        <v>200</v>
      </c>
      <c r="M63" s="7">
        <v>200</v>
      </c>
      <c r="N63" s="7">
        <v>200</v>
      </c>
      <c r="O63" s="7">
        <v>200</v>
      </c>
      <c r="P63" s="7">
        <v>200</v>
      </c>
      <c r="Q63" s="7">
        <v>200</v>
      </c>
      <c r="R63" s="7">
        <v>200</v>
      </c>
      <c r="S63" s="7">
        <v>200</v>
      </c>
      <c r="T63" s="7">
        <v>200</v>
      </c>
      <c r="U63" s="7">
        <v>200</v>
      </c>
      <c r="V63" s="7">
        <v>200</v>
      </c>
      <c r="W63" s="7">
        <v>200</v>
      </c>
      <c r="X63" s="7">
        <v>200</v>
      </c>
      <c r="Y63" s="7">
        <v>200</v>
      </c>
      <c r="Z63" s="7">
        <v>200</v>
      </c>
    </row>
    <row r="64" spans="1:26" x14ac:dyDescent="0.2">
      <c r="A64" s="7" t="s">
        <v>1030</v>
      </c>
      <c r="B64" s="7" t="s">
        <v>804</v>
      </c>
      <c r="C64" s="7" t="s">
        <v>2241</v>
      </c>
      <c r="W64" s="7">
        <v>1000</v>
      </c>
      <c r="X64" s="7">
        <v>1250</v>
      </c>
      <c r="Y64" s="7">
        <v>1250</v>
      </c>
      <c r="Z64" s="7">
        <v>1250</v>
      </c>
    </row>
    <row r="65" spans="1:26" x14ac:dyDescent="0.2">
      <c r="A65" s="7" t="s">
        <v>903</v>
      </c>
      <c r="B65" s="7" t="s">
        <v>804</v>
      </c>
      <c r="C65" s="7" t="s">
        <v>2242</v>
      </c>
      <c r="Q65" s="7">
        <v>1080</v>
      </c>
      <c r="R65" s="7">
        <v>1350</v>
      </c>
      <c r="S65" s="7">
        <v>1350</v>
      </c>
      <c r="T65" s="7">
        <v>1350</v>
      </c>
      <c r="U65" s="7">
        <v>1350</v>
      </c>
      <c r="V65" s="7">
        <v>1350</v>
      </c>
      <c r="W65" s="7">
        <v>1350</v>
      </c>
      <c r="X65" s="7">
        <v>1350</v>
      </c>
      <c r="Y65" s="7">
        <v>1350</v>
      </c>
      <c r="Z65" s="7">
        <v>1350</v>
      </c>
    </row>
    <row r="66" spans="1:26" x14ac:dyDescent="0.2">
      <c r="A66" s="7" t="s">
        <v>258</v>
      </c>
      <c r="B66" s="7" t="s">
        <v>235</v>
      </c>
      <c r="C66" s="7" t="s">
        <v>2243</v>
      </c>
      <c r="Q66" s="7">
        <v>300</v>
      </c>
      <c r="R66" s="7">
        <v>300</v>
      </c>
      <c r="S66" s="7">
        <v>300</v>
      </c>
      <c r="T66" s="7">
        <v>300</v>
      </c>
      <c r="U66" s="7">
        <v>300</v>
      </c>
      <c r="V66" s="7">
        <v>300</v>
      </c>
      <c r="W66" s="7">
        <v>300</v>
      </c>
      <c r="X66" s="7">
        <v>300</v>
      </c>
      <c r="Y66" s="7">
        <v>300</v>
      </c>
      <c r="Z66" s="7">
        <v>300</v>
      </c>
    </row>
    <row r="67" spans="1:26" x14ac:dyDescent="0.2">
      <c r="A67" s="7" t="s">
        <v>1219</v>
      </c>
      <c r="B67" s="7" t="s">
        <v>235</v>
      </c>
      <c r="C67" s="7" t="s">
        <v>2244</v>
      </c>
      <c r="Q67" s="7">
        <v>200</v>
      </c>
      <c r="R67" s="7">
        <v>200</v>
      </c>
      <c r="S67" s="7">
        <v>200</v>
      </c>
      <c r="T67" s="7">
        <v>200</v>
      </c>
      <c r="U67" s="7">
        <v>200</v>
      </c>
      <c r="V67" s="7">
        <v>200</v>
      </c>
      <c r="W67" s="7">
        <v>200</v>
      </c>
      <c r="X67" s="7">
        <v>200</v>
      </c>
      <c r="Y67" s="7">
        <v>200</v>
      </c>
      <c r="Z67" s="7">
        <v>200</v>
      </c>
    </row>
    <row r="68" spans="1:26" x14ac:dyDescent="0.2">
      <c r="A68" s="7" t="s">
        <v>187</v>
      </c>
      <c r="B68" s="7" t="s">
        <v>82</v>
      </c>
      <c r="C68" s="7" t="s">
        <v>2245</v>
      </c>
      <c r="R68" s="7">
        <v>150</v>
      </c>
      <c r="S68" s="7">
        <v>300</v>
      </c>
      <c r="T68" s="7">
        <v>300</v>
      </c>
      <c r="U68" s="7">
        <v>300</v>
      </c>
      <c r="V68" s="7">
        <v>300</v>
      </c>
      <c r="W68" s="7">
        <v>300</v>
      </c>
      <c r="X68" s="7">
        <v>300</v>
      </c>
      <c r="Y68" s="7">
        <v>300</v>
      </c>
      <c r="Z68" s="7">
        <v>300</v>
      </c>
    </row>
    <row r="69" spans="1:26" x14ac:dyDescent="0.2">
      <c r="A69" s="7" t="s">
        <v>1229</v>
      </c>
      <c r="B69" s="7" t="s">
        <v>1098</v>
      </c>
      <c r="C69" s="7" t="s">
        <v>2246</v>
      </c>
      <c r="S69" s="7">
        <v>400</v>
      </c>
      <c r="T69" s="7">
        <v>400</v>
      </c>
      <c r="U69" s="7">
        <v>400</v>
      </c>
      <c r="V69" s="7">
        <v>400</v>
      </c>
      <c r="W69" s="7">
        <v>400</v>
      </c>
      <c r="X69" s="7">
        <v>400</v>
      </c>
      <c r="Y69" s="7">
        <v>400</v>
      </c>
      <c r="Z69" s="7">
        <v>400</v>
      </c>
    </row>
    <row r="70" spans="1:26" x14ac:dyDescent="0.2">
      <c r="A70" s="7" t="s">
        <v>218</v>
      </c>
      <c r="B70" s="7" t="s">
        <v>282</v>
      </c>
      <c r="C70" s="7" t="s">
        <v>2247</v>
      </c>
      <c r="S70" s="7">
        <v>400</v>
      </c>
      <c r="T70" s="7">
        <v>600</v>
      </c>
      <c r="U70" s="7">
        <v>600</v>
      </c>
      <c r="V70" s="7">
        <v>600</v>
      </c>
      <c r="W70" s="7">
        <v>600</v>
      </c>
      <c r="X70" s="7">
        <v>600</v>
      </c>
      <c r="Y70" s="7">
        <v>600</v>
      </c>
      <c r="Z70" s="7">
        <v>600</v>
      </c>
    </row>
    <row r="71" spans="1:26" x14ac:dyDescent="0.2">
      <c r="A71" s="7" t="s">
        <v>1198</v>
      </c>
      <c r="B71" s="7" t="s">
        <v>804</v>
      </c>
      <c r="C71" s="7" t="s">
        <v>2248</v>
      </c>
      <c r="R71" s="7">
        <v>330</v>
      </c>
      <c r="S71" s="7">
        <v>440</v>
      </c>
      <c r="T71" s="7">
        <v>440</v>
      </c>
      <c r="U71" s="7">
        <v>440</v>
      </c>
      <c r="V71" s="7">
        <v>440</v>
      </c>
      <c r="W71" s="7">
        <v>440</v>
      </c>
      <c r="X71" s="7">
        <v>440</v>
      </c>
      <c r="Y71" s="7">
        <v>440</v>
      </c>
      <c r="Z71" s="7">
        <v>440</v>
      </c>
    </row>
    <row r="72" spans="1:26" x14ac:dyDescent="0.2">
      <c r="A72" s="7" t="s">
        <v>2249</v>
      </c>
      <c r="B72" s="7" t="s">
        <v>2250</v>
      </c>
      <c r="C72" s="7" t="s">
        <v>2250</v>
      </c>
      <c r="R72" s="7">
        <v>120</v>
      </c>
      <c r="S72" s="7">
        <v>240</v>
      </c>
      <c r="T72" s="7">
        <v>240</v>
      </c>
      <c r="U72" s="7">
        <v>240</v>
      </c>
      <c r="V72" s="7">
        <v>240</v>
      </c>
      <c r="W72" s="7">
        <v>240</v>
      </c>
      <c r="X72" s="7">
        <v>240</v>
      </c>
      <c r="Y72" s="7">
        <v>240</v>
      </c>
      <c r="Z72" s="7">
        <v>240</v>
      </c>
    </row>
    <row r="73" spans="1:26" x14ac:dyDescent="0.2">
      <c r="A73" s="7" t="s">
        <v>198</v>
      </c>
      <c r="B73" s="7" t="s">
        <v>235</v>
      </c>
      <c r="C73" s="7" t="s">
        <v>2251</v>
      </c>
      <c r="M73" s="7">
        <v>567</v>
      </c>
      <c r="N73" s="7">
        <v>1020</v>
      </c>
      <c r="O73" s="7">
        <v>1360</v>
      </c>
      <c r="P73" s="7">
        <v>1360</v>
      </c>
      <c r="Q73" s="7">
        <v>1360</v>
      </c>
      <c r="R73" s="7">
        <v>1360</v>
      </c>
      <c r="S73" s="7">
        <v>1360</v>
      </c>
      <c r="T73" s="7">
        <v>1360</v>
      </c>
      <c r="U73" s="7">
        <v>1360</v>
      </c>
      <c r="V73" s="7">
        <v>1360</v>
      </c>
      <c r="W73" s="7">
        <v>1360</v>
      </c>
      <c r="X73" s="7">
        <v>1360</v>
      </c>
      <c r="Y73" s="7">
        <v>1360</v>
      </c>
      <c r="Z73" s="7">
        <v>1360</v>
      </c>
    </row>
    <row r="74" spans="1:26" x14ac:dyDescent="0.2">
      <c r="A74" s="7" t="s">
        <v>1100</v>
      </c>
      <c r="B74" s="7" t="s">
        <v>1098</v>
      </c>
      <c r="C74" s="7" t="s">
        <v>2252</v>
      </c>
      <c r="F74" s="7">
        <v>114</v>
      </c>
      <c r="G74" s="7">
        <v>399</v>
      </c>
      <c r="H74" s="7">
        <v>570</v>
      </c>
      <c r="I74" s="7">
        <v>570</v>
      </c>
      <c r="J74" s="7">
        <v>570</v>
      </c>
      <c r="K74" s="7">
        <v>570</v>
      </c>
      <c r="L74" s="7">
        <v>570</v>
      </c>
      <c r="M74" s="7">
        <v>570</v>
      </c>
      <c r="N74" s="7">
        <v>570</v>
      </c>
      <c r="O74" s="7">
        <v>570</v>
      </c>
      <c r="P74" s="7">
        <v>570</v>
      </c>
      <c r="Q74" s="7">
        <v>570</v>
      </c>
      <c r="R74" s="7">
        <v>570</v>
      </c>
      <c r="S74" s="7">
        <v>570</v>
      </c>
      <c r="T74" s="7">
        <v>570</v>
      </c>
      <c r="U74" s="7">
        <v>570</v>
      </c>
      <c r="V74" s="7">
        <v>570</v>
      </c>
      <c r="W74" s="7">
        <v>570</v>
      </c>
      <c r="X74" s="7">
        <v>570</v>
      </c>
      <c r="Y74" s="7">
        <v>570</v>
      </c>
      <c r="Z74" s="7">
        <v>570</v>
      </c>
    </row>
    <row r="75" spans="1:26" x14ac:dyDescent="0.2">
      <c r="A75" s="7" t="s">
        <v>1114</v>
      </c>
      <c r="B75" s="7" t="s">
        <v>1098</v>
      </c>
      <c r="C75" s="7" t="s">
        <v>2253</v>
      </c>
      <c r="H75" s="7">
        <v>102</v>
      </c>
      <c r="I75" s="7">
        <v>357</v>
      </c>
      <c r="J75" s="7">
        <v>510</v>
      </c>
      <c r="K75" s="7">
        <v>510</v>
      </c>
      <c r="L75" s="7">
        <v>510</v>
      </c>
      <c r="M75" s="7">
        <v>510</v>
      </c>
      <c r="N75" s="7">
        <v>510</v>
      </c>
      <c r="O75" s="7">
        <v>510</v>
      </c>
      <c r="P75" s="7">
        <v>510</v>
      </c>
      <c r="Q75" s="7">
        <v>510</v>
      </c>
      <c r="R75" s="7">
        <v>510</v>
      </c>
      <c r="S75" s="7">
        <v>510</v>
      </c>
      <c r="T75" s="7">
        <v>510</v>
      </c>
      <c r="U75" s="7">
        <v>510</v>
      </c>
      <c r="V75" s="7">
        <v>510</v>
      </c>
      <c r="W75" s="7">
        <v>510</v>
      </c>
      <c r="X75" s="7">
        <v>510</v>
      </c>
      <c r="Y75" s="7">
        <v>510</v>
      </c>
      <c r="Z75" s="7">
        <v>510</v>
      </c>
    </row>
    <row r="76" spans="1:26" x14ac:dyDescent="0.2">
      <c r="A76" s="7" t="s">
        <v>207</v>
      </c>
      <c r="B76" s="7" t="s">
        <v>264</v>
      </c>
      <c r="C76" s="7" t="s">
        <v>2254</v>
      </c>
      <c r="O76" s="7">
        <v>120</v>
      </c>
      <c r="P76" s="7">
        <v>720</v>
      </c>
      <c r="Q76" s="7">
        <v>1320</v>
      </c>
      <c r="R76" s="7">
        <v>1440</v>
      </c>
      <c r="S76" s="7">
        <v>1440</v>
      </c>
      <c r="T76" s="7">
        <v>1440</v>
      </c>
      <c r="U76" s="7">
        <v>1440</v>
      </c>
      <c r="V76" s="7">
        <v>1440</v>
      </c>
      <c r="W76" s="7">
        <v>1440</v>
      </c>
      <c r="X76" s="7">
        <v>1440</v>
      </c>
      <c r="Y76" s="7">
        <v>1440</v>
      </c>
      <c r="Z76" s="7">
        <v>1440</v>
      </c>
    </row>
    <row r="77" spans="1:26" x14ac:dyDescent="0.2">
      <c r="A77" s="7" t="s">
        <v>211</v>
      </c>
      <c r="B77" s="7" t="s">
        <v>282</v>
      </c>
      <c r="C77" s="7" t="s">
        <v>2255</v>
      </c>
      <c r="M77" s="7">
        <v>264</v>
      </c>
      <c r="N77" s="7">
        <v>704</v>
      </c>
      <c r="O77" s="7">
        <v>1056</v>
      </c>
      <c r="P77" s="7">
        <v>1320</v>
      </c>
      <c r="Q77" s="7">
        <v>1320</v>
      </c>
      <c r="R77" s="7">
        <v>1320</v>
      </c>
      <c r="S77" s="7">
        <v>1320</v>
      </c>
      <c r="T77" s="7">
        <v>1320</v>
      </c>
      <c r="U77" s="7">
        <v>1320</v>
      </c>
      <c r="V77" s="7">
        <v>1320</v>
      </c>
      <c r="W77" s="7">
        <v>1320</v>
      </c>
      <c r="X77" s="7">
        <v>1320</v>
      </c>
      <c r="Y77" s="7">
        <v>1320</v>
      </c>
      <c r="Z77" s="7">
        <v>1320</v>
      </c>
    </row>
    <row r="78" spans="1:26" x14ac:dyDescent="0.2">
      <c r="A78" s="7" t="s">
        <v>204</v>
      </c>
      <c r="B78" s="7" t="s">
        <v>282</v>
      </c>
      <c r="C78" s="7" t="s">
        <v>2256</v>
      </c>
      <c r="M78" s="7">
        <v>264</v>
      </c>
      <c r="N78" s="7">
        <v>704</v>
      </c>
      <c r="O78" s="7">
        <v>1056</v>
      </c>
      <c r="P78" s="7">
        <v>1320</v>
      </c>
      <c r="Q78" s="7">
        <v>1320</v>
      </c>
      <c r="R78" s="7">
        <v>1320</v>
      </c>
      <c r="S78" s="7">
        <v>1320</v>
      </c>
      <c r="T78" s="7">
        <v>1320</v>
      </c>
      <c r="U78" s="7">
        <v>1320</v>
      </c>
      <c r="V78" s="7">
        <v>1320</v>
      </c>
      <c r="W78" s="7">
        <v>1320</v>
      </c>
      <c r="X78" s="7">
        <v>1320</v>
      </c>
      <c r="Y78" s="7">
        <v>1320</v>
      </c>
      <c r="Z78" s="7">
        <v>1320</v>
      </c>
    </row>
    <row r="79" spans="1:26" x14ac:dyDescent="0.2">
      <c r="A79" s="7" t="s">
        <v>765</v>
      </c>
      <c r="B79" s="7" t="s">
        <v>762</v>
      </c>
      <c r="C79" s="7" t="s">
        <v>2257</v>
      </c>
      <c r="T79" s="7">
        <v>668</v>
      </c>
      <c r="U79" s="7">
        <v>3341</v>
      </c>
      <c r="V79" s="7">
        <v>6682</v>
      </c>
      <c r="W79" s="7">
        <v>10023</v>
      </c>
      <c r="X79" s="7">
        <v>13364</v>
      </c>
      <c r="Y79" s="7">
        <v>14700</v>
      </c>
      <c r="Z79" s="7">
        <v>14700</v>
      </c>
    </row>
    <row r="80" spans="1:26" s="34" customFormat="1" x14ac:dyDescent="0.2">
      <c r="A80" s="34" t="s">
        <v>790</v>
      </c>
      <c r="B80" s="34" t="s">
        <v>787</v>
      </c>
      <c r="C80" s="34" t="s">
        <v>2258</v>
      </c>
      <c r="W80" s="34">
        <v>880</v>
      </c>
      <c r="X80" s="34">
        <v>1980</v>
      </c>
      <c r="Y80" s="34">
        <v>3080</v>
      </c>
      <c r="Z80" s="34">
        <v>3300</v>
      </c>
    </row>
    <row r="81" spans="1:26" x14ac:dyDescent="0.2">
      <c r="A81" s="7" t="s">
        <v>707</v>
      </c>
      <c r="B81" s="7" t="s">
        <v>703</v>
      </c>
      <c r="C81" s="7" t="s">
        <v>2259</v>
      </c>
      <c r="U81" s="7">
        <v>510</v>
      </c>
      <c r="V81" s="7">
        <v>1360</v>
      </c>
      <c r="W81" s="7">
        <v>2040</v>
      </c>
      <c r="X81" s="7">
        <v>2040</v>
      </c>
      <c r="Y81" s="7">
        <v>2040</v>
      </c>
      <c r="Z81" s="7">
        <v>2040</v>
      </c>
    </row>
    <row r="82" spans="1:26" x14ac:dyDescent="0.2">
      <c r="A82" s="7" t="s">
        <v>736</v>
      </c>
      <c r="B82" s="7" t="s">
        <v>733</v>
      </c>
      <c r="C82" s="7" t="s">
        <v>2260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>
        <v>672</v>
      </c>
      <c r="X82" s="42">
        <v>2352</v>
      </c>
      <c r="Y82" s="42">
        <v>4032</v>
      </c>
      <c r="Z82" s="42">
        <v>5040</v>
      </c>
    </row>
    <row r="83" spans="1:26" x14ac:dyDescent="0.2">
      <c r="A83" s="7" t="s">
        <v>342</v>
      </c>
      <c r="B83" s="7" t="s">
        <v>310</v>
      </c>
      <c r="C83" s="7" t="s">
        <v>2261</v>
      </c>
      <c r="X83" s="7">
        <v>800</v>
      </c>
      <c r="Y83" s="7">
        <v>1600</v>
      </c>
      <c r="Z83" s="7">
        <v>1600</v>
      </c>
    </row>
    <row r="84" spans="1:26" x14ac:dyDescent="0.2">
      <c r="A84" s="7" t="s">
        <v>2262</v>
      </c>
      <c r="B84" s="7" t="s">
        <v>310</v>
      </c>
      <c r="C84" s="7" t="s">
        <v>2263</v>
      </c>
      <c r="P84" s="7">
        <v>150</v>
      </c>
      <c r="Q84" s="7">
        <v>150</v>
      </c>
      <c r="R84" s="7">
        <v>150</v>
      </c>
      <c r="S84" s="7">
        <v>150</v>
      </c>
      <c r="T84" s="7">
        <v>150</v>
      </c>
      <c r="U84" s="7">
        <v>150</v>
      </c>
      <c r="V84" s="7">
        <v>150</v>
      </c>
      <c r="W84" s="7">
        <v>150</v>
      </c>
      <c r="X84" s="7">
        <v>150</v>
      </c>
      <c r="Y84" s="7">
        <v>150</v>
      </c>
      <c r="Z84" s="7">
        <v>150</v>
      </c>
    </row>
    <row r="85" spans="1:26" x14ac:dyDescent="0.2">
      <c r="A85" s="7" t="s">
        <v>306</v>
      </c>
      <c r="B85" s="7" t="s">
        <v>310</v>
      </c>
      <c r="C85" s="7" t="s">
        <v>2264</v>
      </c>
      <c r="S85" s="7">
        <v>427</v>
      </c>
      <c r="T85" s="7">
        <v>1282</v>
      </c>
      <c r="U85" s="7">
        <v>2136</v>
      </c>
      <c r="V85" s="7">
        <v>3205</v>
      </c>
      <c r="W85" s="7">
        <v>4273</v>
      </c>
      <c r="X85" s="7">
        <v>4700</v>
      </c>
      <c r="Y85" s="7">
        <v>4700</v>
      </c>
      <c r="Z85" s="7">
        <v>4700</v>
      </c>
    </row>
    <row r="86" spans="1:26" x14ac:dyDescent="0.2">
      <c r="A86" s="7" t="s">
        <v>92</v>
      </c>
      <c r="B86" s="7" t="s">
        <v>1414</v>
      </c>
      <c r="C86" s="7" t="s">
        <v>92</v>
      </c>
      <c r="V86" s="74">
        <v>507.68849206349205</v>
      </c>
      <c r="W86" s="74">
        <v>3043.8492063492063</v>
      </c>
      <c r="X86" s="74">
        <v>5073.4623015873012</v>
      </c>
      <c r="Y86" s="74">
        <v>7610.7638888888887</v>
      </c>
      <c r="Z86" s="73">
        <v>8625</v>
      </c>
    </row>
    <row r="87" spans="1:26" x14ac:dyDescent="0.2">
      <c r="A87" s="7" t="s">
        <v>92</v>
      </c>
      <c r="B87" s="7" t="s">
        <v>1032</v>
      </c>
      <c r="C87" s="7" t="s">
        <v>92</v>
      </c>
      <c r="V87" s="74">
        <v>94.179894179894177</v>
      </c>
      <c r="W87" s="74">
        <v>564.65608465608466</v>
      </c>
      <c r="X87" s="74">
        <v>941.16402116402116</v>
      </c>
      <c r="Y87" s="74">
        <v>1411.851851851852</v>
      </c>
      <c r="Z87" s="73">
        <v>1600</v>
      </c>
    </row>
    <row r="88" spans="1:26" x14ac:dyDescent="0.2">
      <c r="A88" s="7" t="s">
        <v>92</v>
      </c>
      <c r="B88" s="7" t="s">
        <v>1014</v>
      </c>
      <c r="C88" s="7" t="s">
        <v>92</v>
      </c>
      <c r="V88" s="74">
        <v>218.96825396825395</v>
      </c>
      <c r="W88" s="74">
        <v>1312.8253968253969</v>
      </c>
      <c r="X88" s="74">
        <v>2188.2063492063489</v>
      </c>
      <c r="Y88" s="74">
        <v>3282.5555555555557</v>
      </c>
      <c r="Z88" s="73">
        <v>3720</v>
      </c>
    </row>
    <row r="89" spans="1:26" x14ac:dyDescent="0.2">
      <c r="A89" s="7" t="s">
        <v>92</v>
      </c>
      <c r="B89" s="7" t="s">
        <v>1199</v>
      </c>
      <c r="C89" s="7" t="s">
        <v>92</v>
      </c>
      <c r="V89" s="74">
        <v>62.982804232804227</v>
      </c>
      <c r="W89" s="74">
        <v>377.61375661375661</v>
      </c>
      <c r="X89" s="74">
        <v>629.40343915343908</v>
      </c>
      <c r="Y89" s="74">
        <v>944.17592592592598</v>
      </c>
      <c r="Z89" s="73">
        <v>1070</v>
      </c>
    </row>
    <row r="107" spans="2:2" ht="15" x14ac:dyDescent="0.25">
      <c r="B107"/>
    </row>
    <row r="108" spans="2:2" ht="15" x14ac:dyDescent="0.25">
      <c r="B108"/>
    </row>
    <row r="109" spans="2:2" ht="15" x14ac:dyDescent="0.25">
      <c r="B109"/>
    </row>
    <row r="110" spans="2:2" ht="15" x14ac:dyDescent="0.25">
      <c r="B110"/>
    </row>
    <row r="111" spans="2:2" ht="15" x14ac:dyDescent="0.25">
      <c r="B111"/>
    </row>
    <row r="112" spans="2:2" ht="15" x14ac:dyDescent="0.25">
      <c r="B112"/>
    </row>
    <row r="113" spans="2:2" ht="15" x14ac:dyDescent="0.25">
      <c r="B113"/>
    </row>
    <row r="114" spans="2:2" ht="15" x14ac:dyDescent="0.25">
      <c r="B114"/>
    </row>
    <row r="115" spans="2:2" ht="15" x14ac:dyDescent="0.25">
      <c r="B115"/>
    </row>
    <row r="116" spans="2:2" ht="15" x14ac:dyDescent="0.25">
      <c r="B116"/>
    </row>
    <row r="117" spans="2:2" ht="15" x14ac:dyDescent="0.25">
      <c r="B117"/>
    </row>
    <row r="118" spans="2:2" ht="15" x14ac:dyDescent="0.25">
      <c r="B118"/>
    </row>
    <row r="119" spans="2:2" ht="15" x14ac:dyDescent="0.25">
      <c r="B119"/>
    </row>
    <row r="120" spans="2:2" ht="15" x14ac:dyDescent="0.25">
      <c r="B120"/>
    </row>
    <row r="121" spans="2:2" ht="15" x14ac:dyDescent="0.25">
      <c r="B121"/>
    </row>
    <row r="122" spans="2:2" ht="15" x14ac:dyDescent="0.25">
      <c r="B122"/>
    </row>
    <row r="123" spans="2:2" ht="15" x14ac:dyDescent="0.25">
      <c r="B123"/>
    </row>
    <row r="124" spans="2:2" ht="15" x14ac:dyDescent="0.25">
      <c r="B124"/>
    </row>
    <row r="125" spans="2:2" ht="15" x14ac:dyDescent="0.25">
      <c r="B125"/>
    </row>
  </sheetData>
  <mergeCells count="1">
    <mergeCell ref="A45:Z45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2"/>
  <dimension ref="A1:X65"/>
  <sheetViews>
    <sheetView topLeftCell="A4" workbookViewId="0">
      <selection activeCell="AB3" sqref="AB3"/>
    </sheetView>
  </sheetViews>
  <sheetFormatPr defaultRowHeight="11.25" x14ac:dyDescent="0.2"/>
  <cols>
    <col min="1" max="1" width="11.28515625" style="7" customWidth="1"/>
    <col min="2" max="11" width="9.140625" style="7"/>
    <col min="12" max="12" width="9.42578125" style="7" customWidth="1"/>
    <col min="13" max="16384" width="9.140625" style="7"/>
  </cols>
  <sheetData>
    <row r="1" spans="1:24" x14ac:dyDescent="0.2">
      <c r="A1" s="7" t="s">
        <v>1487</v>
      </c>
      <c r="B1" s="31">
        <v>44074</v>
      </c>
      <c r="C1" s="31">
        <f>B1+7</f>
        <v>44081</v>
      </c>
      <c r="D1" s="31">
        <f t="shared" ref="D1:X1" si="0">C1+7</f>
        <v>44088</v>
      </c>
      <c r="E1" s="31">
        <f t="shared" si="0"/>
        <v>44095</v>
      </c>
      <c r="F1" s="31">
        <f t="shared" si="0"/>
        <v>44102</v>
      </c>
      <c r="G1" s="31">
        <f t="shared" si="0"/>
        <v>44109</v>
      </c>
      <c r="H1" s="31">
        <f t="shared" si="0"/>
        <v>44116</v>
      </c>
      <c r="I1" s="31">
        <f t="shared" si="0"/>
        <v>44123</v>
      </c>
      <c r="J1" s="31">
        <f t="shared" si="0"/>
        <v>44130</v>
      </c>
      <c r="K1" s="31">
        <f t="shared" si="0"/>
        <v>44137</v>
      </c>
      <c r="L1" s="31">
        <f t="shared" si="0"/>
        <v>44144</v>
      </c>
      <c r="M1" s="31">
        <f t="shared" si="0"/>
        <v>44151</v>
      </c>
      <c r="N1" s="31">
        <f t="shared" si="0"/>
        <v>44158</v>
      </c>
      <c r="O1" s="31">
        <f t="shared" si="0"/>
        <v>44165</v>
      </c>
      <c r="P1" s="31">
        <f t="shared" si="0"/>
        <v>44172</v>
      </c>
      <c r="Q1" s="31">
        <f t="shared" si="0"/>
        <v>44179</v>
      </c>
      <c r="R1" s="31">
        <f t="shared" si="0"/>
        <v>44186</v>
      </c>
      <c r="S1" s="31">
        <f t="shared" si="0"/>
        <v>44193</v>
      </c>
      <c r="T1" s="31">
        <f t="shared" si="0"/>
        <v>44200</v>
      </c>
      <c r="U1" s="31">
        <f t="shared" si="0"/>
        <v>44207</v>
      </c>
      <c r="V1" s="31">
        <f t="shared" si="0"/>
        <v>44214</v>
      </c>
      <c r="W1" s="31">
        <f t="shared" si="0"/>
        <v>44221</v>
      </c>
      <c r="X1" s="31">
        <f t="shared" si="0"/>
        <v>44228</v>
      </c>
    </row>
    <row r="2" spans="1:24" x14ac:dyDescent="0.2">
      <c r="A2" s="7" t="s">
        <v>28</v>
      </c>
      <c r="B2" s="48">
        <f>B27/$X27</f>
        <v>0</v>
      </c>
      <c r="C2" s="48">
        <f t="shared" ref="C2:U2" si="1">C27/$X27</f>
        <v>0</v>
      </c>
      <c r="D2" s="48">
        <f t="shared" si="1"/>
        <v>1.0668163952835487E-3</v>
      </c>
      <c r="E2" s="48">
        <f t="shared" si="1"/>
        <v>4.3608459666853831E-3</v>
      </c>
      <c r="F2" s="48">
        <f t="shared" si="1"/>
        <v>8.160209620063634E-3</v>
      </c>
      <c r="G2" s="48">
        <f t="shared" si="1"/>
        <v>1.0546509451618941E-2</v>
      </c>
      <c r="H2" s="48">
        <f t="shared" si="1"/>
        <v>1.1978289350552125E-2</v>
      </c>
      <c r="I2" s="48">
        <f t="shared" si="1"/>
        <v>1.1978289350552125E-2</v>
      </c>
      <c r="J2" s="48">
        <f t="shared" si="1"/>
        <v>1.1978289350552125E-2</v>
      </c>
      <c r="K2" s="48">
        <f t="shared" si="1"/>
        <v>2.2225341568407261E-2</v>
      </c>
      <c r="L2" s="48">
        <f t="shared" si="1"/>
        <v>3.4699606962380683E-2</v>
      </c>
      <c r="M2" s="48">
        <f t="shared" si="1"/>
        <v>4.5592363840539024E-2</v>
      </c>
      <c r="N2" s="48">
        <f t="shared" si="1"/>
        <v>5.7551937113980912E-2</v>
      </c>
      <c r="O2" s="48">
        <f t="shared" si="1"/>
        <v>9.7669848399775411E-2</v>
      </c>
      <c r="P2" s="48">
        <f t="shared" si="1"/>
        <v>0.16522552872917837</v>
      </c>
      <c r="Q2" s="48">
        <f t="shared" si="1"/>
        <v>0.2628579449747333</v>
      </c>
      <c r="R2" s="48">
        <f t="shared" si="1"/>
        <v>0.3305352798053528</v>
      </c>
      <c r="S2" s="48">
        <f t="shared" si="1"/>
        <v>0.41388732921579635</v>
      </c>
      <c r="T2" s="48">
        <f t="shared" si="1"/>
        <v>0.52067021752240727</v>
      </c>
      <c r="U2" s="48">
        <f t="shared" si="1"/>
        <v>0.70175879135733155</v>
      </c>
      <c r="V2" s="48">
        <f>V27/$X27</f>
        <v>0.85330559714683796</v>
      </c>
      <c r="W2" s="48">
        <f>W27/$X27</f>
        <v>0.96366598560941641</v>
      </c>
      <c r="X2" s="48">
        <f>X27/$X27</f>
        <v>1</v>
      </c>
    </row>
    <row r="3" spans="1:24" x14ac:dyDescent="0.2">
      <c r="A3" s="7" t="s">
        <v>906</v>
      </c>
      <c r="B3" s="48">
        <f t="shared" ref="B3:X3" si="2">B28/$X28</f>
        <v>0</v>
      </c>
      <c r="C3" s="48">
        <f t="shared" si="2"/>
        <v>0</v>
      </c>
      <c r="D3" s="48">
        <f t="shared" si="2"/>
        <v>0</v>
      </c>
      <c r="E3" s="48">
        <f t="shared" si="2"/>
        <v>0</v>
      </c>
      <c r="F3" s="48">
        <f t="shared" si="2"/>
        <v>0</v>
      </c>
      <c r="G3" s="48">
        <f t="shared" si="2"/>
        <v>0</v>
      </c>
      <c r="H3" s="48">
        <f t="shared" si="2"/>
        <v>0</v>
      </c>
      <c r="I3" s="48">
        <f t="shared" si="2"/>
        <v>0</v>
      </c>
      <c r="J3" s="48">
        <f t="shared" si="2"/>
        <v>0</v>
      </c>
      <c r="K3" s="48">
        <f t="shared" si="2"/>
        <v>0</v>
      </c>
      <c r="L3" s="48">
        <f t="shared" si="2"/>
        <v>0</v>
      </c>
      <c r="M3" s="48">
        <f t="shared" si="2"/>
        <v>0</v>
      </c>
      <c r="N3" s="48">
        <f t="shared" si="2"/>
        <v>0</v>
      </c>
      <c r="O3" s="48">
        <f t="shared" si="2"/>
        <v>0.2</v>
      </c>
      <c r="P3" s="48">
        <f t="shared" si="2"/>
        <v>0.53333333333333333</v>
      </c>
      <c r="Q3" s="48">
        <f t="shared" si="2"/>
        <v>0.8</v>
      </c>
      <c r="R3" s="48">
        <f t="shared" si="2"/>
        <v>1</v>
      </c>
      <c r="S3" s="48">
        <f t="shared" si="2"/>
        <v>1</v>
      </c>
      <c r="T3" s="48">
        <f t="shared" si="2"/>
        <v>1</v>
      </c>
      <c r="U3" s="48">
        <f t="shared" si="2"/>
        <v>1</v>
      </c>
      <c r="V3" s="48">
        <f t="shared" si="2"/>
        <v>1</v>
      </c>
      <c r="W3" s="48">
        <f t="shared" si="2"/>
        <v>1</v>
      </c>
      <c r="X3" s="48">
        <f t="shared" si="2"/>
        <v>1</v>
      </c>
    </row>
    <row r="4" spans="1:24" x14ac:dyDescent="0.2">
      <c r="A4" s="7" t="s">
        <v>931</v>
      </c>
      <c r="B4" s="48">
        <f t="shared" ref="B4:X4" si="3">B29/$X29</f>
        <v>0</v>
      </c>
      <c r="C4" s="48">
        <f t="shared" si="3"/>
        <v>0</v>
      </c>
      <c r="D4" s="48">
        <f t="shared" si="3"/>
        <v>0</v>
      </c>
      <c r="E4" s="48">
        <f t="shared" si="3"/>
        <v>0</v>
      </c>
      <c r="F4" s="48">
        <f t="shared" si="3"/>
        <v>0</v>
      </c>
      <c r="G4" s="48">
        <f t="shared" si="3"/>
        <v>0</v>
      </c>
      <c r="H4" s="48">
        <f t="shared" si="3"/>
        <v>0</v>
      </c>
      <c r="I4" s="48">
        <f t="shared" si="3"/>
        <v>0</v>
      </c>
      <c r="J4" s="48">
        <f t="shared" si="3"/>
        <v>0</v>
      </c>
      <c r="K4" s="48">
        <f t="shared" si="3"/>
        <v>0</v>
      </c>
      <c r="L4" s="48">
        <f t="shared" si="3"/>
        <v>0</v>
      </c>
      <c r="M4" s="48">
        <f t="shared" si="3"/>
        <v>0</v>
      </c>
      <c r="N4" s="48">
        <f t="shared" si="3"/>
        <v>0</v>
      </c>
      <c r="O4" s="48">
        <f t="shared" si="3"/>
        <v>0</v>
      </c>
      <c r="P4" s="48">
        <f t="shared" si="3"/>
        <v>4.0016233766233769E-2</v>
      </c>
      <c r="Q4" s="48">
        <f t="shared" si="3"/>
        <v>0.24001623376623377</v>
      </c>
      <c r="R4" s="48">
        <f t="shared" si="3"/>
        <v>0.44001623376623378</v>
      </c>
      <c r="S4" s="48">
        <f t="shared" si="3"/>
        <v>0.6</v>
      </c>
      <c r="T4" s="48">
        <f t="shared" si="3"/>
        <v>0.8</v>
      </c>
      <c r="U4" s="48">
        <f t="shared" si="3"/>
        <v>0.95998376623376624</v>
      </c>
      <c r="V4" s="48">
        <f t="shared" si="3"/>
        <v>1</v>
      </c>
      <c r="W4" s="48">
        <f t="shared" si="3"/>
        <v>1</v>
      </c>
      <c r="X4" s="48">
        <f t="shared" si="3"/>
        <v>1</v>
      </c>
    </row>
    <row r="5" spans="1:24" x14ac:dyDescent="0.2">
      <c r="A5" s="7" t="s">
        <v>82</v>
      </c>
      <c r="B5" s="48">
        <f t="shared" ref="B5:X5" si="4">B30/$X30</f>
        <v>0</v>
      </c>
      <c r="C5" s="48">
        <f t="shared" si="4"/>
        <v>0</v>
      </c>
      <c r="D5" s="48">
        <f t="shared" si="4"/>
        <v>0</v>
      </c>
      <c r="E5" s="48">
        <f t="shared" si="4"/>
        <v>0</v>
      </c>
      <c r="F5" s="48">
        <f t="shared" si="4"/>
        <v>0</v>
      </c>
      <c r="G5" s="48">
        <f t="shared" si="4"/>
        <v>0</v>
      </c>
      <c r="H5" s="48">
        <f t="shared" si="4"/>
        <v>0</v>
      </c>
      <c r="I5" s="48">
        <f t="shared" si="4"/>
        <v>0</v>
      </c>
      <c r="J5" s="48">
        <f t="shared" si="4"/>
        <v>0</v>
      </c>
      <c r="K5" s="48">
        <f t="shared" si="4"/>
        <v>0</v>
      </c>
      <c r="L5" s="48">
        <f t="shared" si="4"/>
        <v>0</v>
      </c>
      <c r="M5" s="48">
        <f t="shared" si="4"/>
        <v>0</v>
      </c>
      <c r="N5" s="48">
        <f t="shared" si="4"/>
        <v>0</v>
      </c>
      <c r="O5" s="48">
        <f t="shared" si="4"/>
        <v>0</v>
      </c>
      <c r="P5" s="48">
        <f t="shared" si="4"/>
        <v>0.24193548387096775</v>
      </c>
      <c r="Q5" s="48">
        <f t="shared" si="4"/>
        <v>0.4838709677419355</v>
      </c>
      <c r="R5" s="48">
        <f t="shared" si="4"/>
        <v>0.4838709677419355</v>
      </c>
      <c r="S5" s="48">
        <f t="shared" si="4"/>
        <v>0.4838709677419355</v>
      </c>
      <c r="T5" s="48">
        <f t="shared" si="4"/>
        <v>0.4838709677419355</v>
      </c>
      <c r="U5" s="48">
        <f t="shared" si="4"/>
        <v>0.70483870967741935</v>
      </c>
      <c r="V5" s="48">
        <f t="shared" si="4"/>
        <v>1</v>
      </c>
      <c r="W5" s="48">
        <f t="shared" si="4"/>
        <v>1</v>
      </c>
      <c r="X5" s="48">
        <f t="shared" si="4"/>
        <v>1</v>
      </c>
    </row>
    <row r="6" spans="1:24" x14ac:dyDescent="0.2">
      <c r="A6" s="7" t="s">
        <v>804</v>
      </c>
      <c r="B6" s="48">
        <f t="shared" ref="B6:X6" si="5">B31/$X31</f>
        <v>0</v>
      </c>
      <c r="C6" s="48">
        <f t="shared" si="5"/>
        <v>0</v>
      </c>
      <c r="D6" s="48">
        <f t="shared" si="5"/>
        <v>0</v>
      </c>
      <c r="E6" s="48">
        <f t="shared" si="5"/>
        <v>0</v>
      </c>
      <c r="F6" s="48">
        <f t="shared" si="5"/>
        <v>0</v>
      </c>
      <c r="G6" s="48">
        <f t="shared" si="5"/>
        <v>0</v>
      </c>
      <c r="H6" s="48">
        <f t="shared" si="5"/>
        <v>0</v>
      </c>
      <c r="I6" s="48">
        <f t="shared" si="5"/>
        <v>0</v>
      </c>
      <c r="J6" s="48">
        <f t="shared" si="5"/>
        <v>0</v>
      </c>
      <c r="K6" s="48">
        <f t="shared" si="5"/>
        <v>0</v>
      </c>
      <c r="L6" s="48">
        <f t="shared" si="5"/>
        <v>0</v>
      </c>
      <c r="M6" s="48">
        <f t="shared" si="5"/>
        <v>0</v>
      </c>
      <c r="N6" s="48">
        <f t="shared" si="5"/>
        <v>0</v>
      </c>
      <c r="O6" s="48">
        <f t="shared" si="5"/>
        <v>7.9382579933847855E-2</v>
      </c>
      <c r="P6" s="48">
        <f t="shared" si="5"/>
        <v>0.12348401323042998</v>
      </c>
      <c r="Q6" s="48">
        <f t="shared" si="5"/>
        <v>0.15156192576258729</v>
      </c>
      <c r="R6" s="48">
        <f t="shared" si="5"/>
        <v>0.17148107313487687</v>
      </c>
      <c r="S6" s="48">
        <f t="shared" si="5"/>
        <v>0.36008820286659315</v>
      </c>
      <c r="T6" s="48">
        <f t="shared" si="5"/>
        <v>0.52870268283719224</v>
      </c>
      <c r="U6" s="48">
        <f t="shared" si="5"/>
        <v>0.81300992282249174</v>
      </c>
      <c r="V6" s="48">
        <f t="shared" si="5"/>
        <v>1</v>
      </c>
      <c r="W6" s="48">
        <f t="shared" si="5"/>
        <v>1</v>
      </c>
      <c r="X6" s="48">
        <f t="shared" si="5"/>
        <v>1</v>
      </c>
    </row>
    <row r="7" spans="1:24" x14ac:dyDescent="0.2">
      <c r="A7" s="7" t="s">
        <v>2222</v>
      </c>
      <c r="B7" s="48">
        <f t="shared" ref="B7:X7" si="6">B32/$X32</f>
        <v>0</v>
      </c>
      <c r="C7" s="48">
        <f t="shared" si="6"/>
        <v>0</v>
      </c>
      <c r="D7" s="48">
        <f t="shared" si="6"/>
        <v>0</v>
      </c>
      <c r="E7" s="48">
        <f t="shared" si="6"/>
        <v>0</v>
      </c>
      <c r="F7" s="48">
        <f t="shared" si="6"/>
        <v>0</v>
      </c>
      <c r="G7" s="48">
        <f t="shared" si="6"/>
        <v>0</v>
      </c>
      <c r="H7" s="48">
        <f t="shared" si="6"/>
        <v>0</v>
      </c>
      <c r="I7" s="48">
        <f t="shared" si="6"/>
        <v>0</v>
      </c>
      <c r="J7" s="48">
        <f t="shared" si="6"/>
        <v>0</v>
      </c>
      <c r="K7" s="48">
        <f t="shared" si="6"/>
        <v>0</v>
      </c>
      <c r="L7" s="48">
        <f t="shared" si="6"/>
        <v>0</v>
      </c>
      <c r="M7" s="48">
        <f t="shared" si="6"/>
        <v>0</v>
      </c>
      <c r="N7" s="48">
        <f t="shared" si="6"/>
        <v>0</v>
      </c>
      <c r="O7" s="48">
        <f t="shared" si="6"/>
        <v>0</v>
      </c>
      <c r="P7" s="48">
        <f t="shared" si="6"/>
        <v>0</v>
      </c>
      <c r="Q7" s="48">
        <f t="shared" si="6"/>
        <v>0</v>
      </c>
      <c r="R7" s="48">
        <f t="shared" si="6"/>
        <v>0</v>
      </c>
      <c r="S7" s="48">
        <f t="shared" si="6"/>
        <v>0</v>
      </c>
      <c r="T7" s="48">
        <f t="shared" si="6"/>
        <v>5.4870530209617754E-2</v>
      </c>
      <c r="U7" s="48">
        <f t="shared" si="6"/>
        <v>0.32897657213316894</v>
      </c>
      <c r="V7" s="48">
        <f t="shared" si="6"/>
        <v>0.58705302096177558</v>
      </c>
      <c r="W7" s="48">
        <f t="shared" si="6"/>
        <v>0.89038224414303324</v>
      </c>
      <c r="X7" s="48">
        <f t="shared" si="6"/>
        <v>1</v>
      </c>
    </row>
    <row r="8" spans="1:24" x14ac:dyDescent="0.2">
      <c r="A8" s="7" t="s">
        <v>1054</v>
      </c>
      <c r="B8" s="48">
        <f t="shared" ref="B8:X8" si="7">B33/$X33</f>
        <v>0</v>
      </c>
      <c r="C8" s="48">
        <f t="shared" si="7"/>
        <v>0</v>
      </c>
      <c r="D8" s="48">
        <f t="shared" si="7"/>
        <v>0</v>
      </c>
      <c r="E8" s="48">
        <f t="shared" si="7"/>
        <v>0</v>
      </c>
      <c r="F8" s="48">
        <f t="shared" si="7"/>
        <v>0</v>
      </c>
      <c r="G8" s="48">
        <f t="shared" si="7"/>
        <v>0</v>
      </c>
      <c r="H8" s="48">
        <f t="shared" si="7"/>
        <v>0</v>
      </c>
      <c r="I8" s="48">
        <f t="shared" si="7"/>
        <v>0</v>
      </c>
      <c r="J8" s="48">
        <f t="shared" si="7"/>
        <v>0</v>
      </c>
      <c r="K8" s="48">
        <f t="shared" si="7"/>
        <v>0</v>
      </c>
      <c r="L8" s="48">
        <f t="shared" si="7"/>
        <v>0</v>
      </c>
      <c r="M8" s="48">
        <f t="shared" si="7"/>
        <v>0</v>
      </c>
      <c r="N8" s="48">
        <f t="shared" si="7"/>
        <v>0</v>
      </c>
      <c r="O8" s="48">
        <f t="shared" si="7"/>
        <v>0</v>
      </c>
      <c r="P8" s="48">
        <f t="shared" si="7"/>
        <v>0</v>
      </c>
      <c r="Q8" s="48">
        <f t="shared" si="7"/>
        <v>0</v>
      </c>
      <c r="R8" s="48">
        <f t="shared" si="7"/>
        <v>0</v>
      </c>
      <c r="S8" s="48">
        <f t="shared" si="7"/>
        <v>0</v>
      </c>
      <c r="T8" s="48">
        <f t="shared" si="7"/>
        <v>0.4</v>
      </c>
      <c r="U8" s="48">
        <f t="shared" si="7"/>
        <v>1</v>
      </c>
      <c r="V8" s="48">
        <f t="shared" si="7"/>
        <v>1</v>
      </c>
      <c r="W8" s="48">
        <f t="shared" si="7"/>
        <v>1</v>
      </c>
      <c r="X8" s="48">
        <f t="shared" si="7"/>
        <v>1</v>
      </c>
    </row>
    <row r="9" spans="1:24" x14ac:dyDescent="0.2">
      <c r="A9" s="7" t="s">
        <v>762</v>
      </c>
      <c r="B9" s="48">
        <f t="shared" ref="B9:X9" si="8">B34/$X34</f>
        <v>0</v>
      </c>
      <c r="C9" s="48">
        <f t="shared" si="8"/>
        <v>0</v>
      </c>
      <c r="D9" s="48">
        <f t="shared" si="8"/>
        <v>0</v>
      </c>
      <c r="E9" s="48">
        <f t="shared" si="8"/>
        <v>0</v>
      </c>
      <c r="F9" s="48">
        <f t="shared" si="8"/>
        <v>0</v>
      </c>
      <c r="G9" s="48">
        <f t="shared" si="8"/>
        <v>0</v>
      </c>
      <c r="H9" s="48">
        <f t="shared" si="8"/>
        <v>0</v>
      </c>
      <c r="I9" s="48">
        <f t="shared" si="8"/>
        <v>0</v>
      </c>
      <c r="J9" s="48">
        <f t="shared" si="8"/>
        <v>0</v>
      </c>
      <c r="K9" s="48">
        <f t="shared" si="8"/>
        <v>0</v>
      </c>
      <c r="L9" s="48">
        <f t="shared" si="8"/>
        <v>0</v>
      </c>
      <c r="M9" s="48">
        <f t="shared" si="8"/>
        <v>0</v>
      </c>
      <c r="N9" s="48">
        <f t="shared" si="8"/>
        <v>0</v>
      </c>
      <c r="O9" s="48">
        <f t="shared" si="8"/>
        <v>4.221518987341772E-2</v>
      </c>
      <c r="P9" s="48">
        <f t="shared" si="8"/>
        <v>6.3291139240506333E-2</v>
      </c>
      <c r="Q9" s="48">
        <f t="shared" si="8"/>
        <v>6.9620253164556958E-2</v>
      </c>
      <c r="R9" s="48">
        <f t="shared" si="8"/>
        <v>0.11189873417721519</v>
      </c>
      <c r="S9" s="48">
        <f t="shared" si="8"/>
        <v>0.28107594936708863</v>
      </c>
      <c r="T9" s="48">
        <f t="shared" si="8"/>
        <v>0.49253164556962026</v>
      </c>
      <c r="U9" s="48">
        <f t="shared" si="8"/>
        <v>0.70398734177215194</v>
      </c>
      <c r="V9" s="48">
        <f t="shared" si="8"/>
        <v>0.91544303797468352</v>
      </c>
      <c r="W9" s="48">
        <f t="shared" si="8"/>
        <v>1</v>
      </c>
      <c r="X9" s="48">
        <f t="shared" si="8"/>
        <v>1</v>
      </c>
    </row>
    <row r="10" spans="1:24" x14ac:dyDescent="0.2">
      <c r="A10" s="7" t="s">
        <v>787</v>
      </c>
      <c r="B10" s="48">
        <f t="shared" ref="B10:W10" si="9">B35/$X35</f>
        <v>0</v>
      </c>
      <c r="C10" s="48">
        <f t="shared" si="9"/>
        <v>0</v>
      </c>
      <c r="D10" s="48">
        <f t="shared" si="9"/>
        <v>0</v>
      </c>
      <c r="E10" s="48">
        <f t="shared" si="9"/>
        <v>0</v>
      </c>
      <c r="F10" s="48">
        <f t="shared" si="9"/>
        <v>0</v>
      </c>
      <c r="G10" s="48">
        <f t="shared" si="9"/>
        <v>0</v>
      </c>
      <c r="H10" s="48">
        <f t="shared" si="9"/>
        <v>0</v>
      </c>
      <c r="I10" s="48">
        <f t="shared" si="9"/>
        <v>0</v>
      </c>
      <c r="J10" s="48">
        <f t="shared" si="9"/>
        <v>0</v>
      </c>
      <c r="K10" s="48">
        <f t="shared" si="9"/>
        <v>0</v>
      </c>
      <c r="L10" s="48">
        <f t="shared" si="9"/>
        <v>0</v>
      </c>
      <c r="M10" s="48">
        <f t="shared" si="9"/>
        <v>0</v>
      </c>
      <c r="N10" s="48">
        <f t="shared" si="9"/>
        <v>0</v>
      </c>
      <c r="O10" s="48">
        <f t="shared" si="9"/>
        <v>0</v>
      </c>
      <c r="P10" s="48">
        <f t="shared" si="9"/>
        <v>0</v>
      </c>
      <c r="Q10" s="48">
        <f t="shared" si="9"/>
        <v>0.3125</v>
      </c>
      <c r="R10" s="48">
        <f t="shared" si="9"/>
        <v>0.3125</v>
      </c>
      <c r="S10" s="48">
        <f t="shared" si="9"/>
        <v>0.3125</v>
      </c>
      <c r="T10" s="48">
        <f t="shared" si="9"/>
        <v>0.3125</v>
      </c>
      <c r="U10" s="48">
        <f t="shared" si="9"/>
        <v>0.49583333333333335</v>
      </c>
      <c r="V10" s="48">
        <f t="shared" si="9"/>
        <v>0.72499999999999998</v>
      </c>
      <c r="W10" s="48">
        <f t="shared" si="9"/>
        <v>0.95416666666666672</v>
      </c>
      <c r="X10" s="48">
        <f>X35/$X35</f>
        <v>1</v>
      </c>
    </row>
    <row r="11" spans="1:24" x14ac:dyDescent="0.2">
      <c r="A11" s="7" t="s">
        <v>402</v>
      </c>
      <c r="B11" s="48">
        <f t="shared" ref="B11:X11" si="10">B36/$X36</f>
        <v>0</v>
      </c>
      <c r="C11" s="48">
        <f t="shared" si="10"/>
        <v>0</v>
      </c>
      <c r="D11" s="48">
        <f t="shared" si="10"/>
        <v>0</v>
      </c>
      <c r="E11" s="48">
        <f t="shared" si="10"/>
        <v>0</v>
      </c>
      <c r="F11" s="48">
        <f t="shared" si="10"/>
        <v>0</v>
      </c>
      <c r="G11" s="48">
        <f t="shared" si="10"/>
        <v>0</v>
      </c>
      <c r="H11" s="48">
        <f t="shared" si="10"/>
        <v>0</v>
      </c>
      <c r="I11" s="48">
        <f t="shared" si="10"/>
        <v>0</v>
      </c>
      <c r="J11" s="48">
        <f t="shared" si="10"/>
        <v>0</v>
      </c>
      <c r="K11" s="48">
        <f t="shared" si="10"/>
        <v>0</v>
      </c>
      <c r="L11" s="48">
        <f t="shared" si="10"/>
        <v>0</v>
      </c>
      <c r="M11" s="48">
        <f t="shared" si="10"/>
        <v>0</v>
      </c>
      <c r="N11" s="48">
        <f t="shared" si="10"/>
        <v>0</v>
      </c>
      <c r="O11" s="48">
        <f t="shared" si="10"/>
        <v>0</v>
      </c>
      <c r="P11" s="48">
        <f t="shared" si="10"/>
        <v>0.20723140495867767</v>
      </c>
      <c r="Q11" s="48">
        <f t="shared" si="10"/>
        <v>0.65557851239669418</v>
      </c>
      <c r="R11" s="48">
        <f t="shared" si="10"/>
        <v>0.93119834710743798</v>
      </c>
      <c r="S11" s="48">
        <f t="shared" si="10"/>
        <v>1</v>
      </c>
      <c r="T11" s="48">
        <f t="shared" si="10"/>
        <v>1</v>
      </c>
      <c r="U11" s="48">
        <f t="shared" si="10"/>
        <v>1</v>
      </c>
      <c r="V11" s="48">
        <f t="shared" si="10"/>
        <v>1</v>
      </c>
      <c r="W11" s="48">
        <f t="shared" si="10"/>
        <v>1</v>
      </c>
      <c r="X11" s="48">
        <f t="shared" si="10"/>
        <v>1</v>
      </c>
    </row>
    <row r="12" spans="1:24" x14ac:dyDescent="0.2">
      <c r="A12" s="7" t="s">
        <v>1098</v>
      </c>
      <c r="B12" s="48">
        <f t="shared" ref="B12:X12" si="11">B37/$X37</f>
        <v>0</v>
      </c>
      <c r="C12" s="48">
        <f t="shared" si="11"/>
        <v>0</v>
      </c>
      <c r="D12" s="48">
        <f t="shared" si="11"/>
        <v>3.2758620689655175E-2</v>
      </c>
      <c r="E12" s="48">
        <f t="shared" si="11"/>
        <v>0.1146551724137931</v>
      </c>
      <c r="F12" s="48">
        <f t="shared" si="11"/>
        <v>0.19310344827586207</v>
      </c>
      <c r="G12" s="48">
        <f t="shared" si="11"/>
        <v>0.26637931034482759</v>
      </c>
      <c r="H12" s="48">
        <f t="shared" si="11"/>
        <v>0.31034482758620691</v>
      </c>
      <c r="I12" s="48">
        <f t="shared" si="11"/>
        <v>0.31034482758620691</v>
      </c>
      <c r="J12" s="48">
        <f t="shared" si="11"/>
        <v>0.31034482758620691</v>
      </c>
      <c r="K12" s="48">
        <f t="shared" si="11"/>
        <v>0.31034482758620691</v>
      </c>
      <c r="L12" s="48">
        <f t="shared" si="11"/>
        <v>0.31034482758620691</v>
      </c>
      <c r="M12" s="48">
        <f t="shared" si="11"/>
        <v>0.31034482758620691</v>
      </c>
      <c r="N12" s="48">
        <f t="shared" si="11"/>
        <v>0.31034482758620691</v>
      </c>
      <c r="O12" s="48">
        <f t="shared" si="11"/>
        <v>0.31034482758620691</v>
      </c>
      <c r="P12" s="48">
        <f t="shared" si="11"/>
        <v>0.88505747126436785</v>
      </c>
      <c r="Q12" s="48">
        <f t="shared" si="11"/>
        <v>1</v>
      </c>
      <c r="R12" s="48">
        <f t="shared" si="11"/>
        <v>1</v>
      </c>
      <c r="S12" s="48">
        <f t="shared" si="11"/>
        <v>1</v>
      </c>
      <c r="T12" s="48">
        <f t="shared" si="11"/>
        <v>1</v>
      </c>
      <c r="U12" s="48">
        <f t="shared" si="11"/>
        <v>1</v>
      </c>
      <c r="V12" s="48">
        <f t="shared" si="11"/>
        <v>1</v>
      </c>
      <c r="W12" s="48">
        <f t="shared" si="11"/>
        <v>1</v>
      </c>
      <c r="X12" s="48">
        <f t="shared" si="11"/>
        <v>1</v>
      </c>
    </row>
    <row r="13" spans="1:24" x14ac:dyDescent="0.2">
      <c r="A13" s="7" t="s">
        <v>1668</v>
      </c>
      <c r="B13" s="48">
        <f t="shared" ref="B13:X13" si="12">B38/$X38</f>
        <v>0</v>
      </c>
      <c r="C13" s="48">
        <f t="shared" si="12"/>
        <v>0</v>
      </c>
      <c r="D13" s="48">
        <f t="shared" si="12"/>
        <v>0</v>
      </c>
      <c r="E13" s="48">
        <f t="shared" si="12"/>
        <v>0</v>
      </c>
      <c r="F13" s="48">
        <f t="shared" si="12"/>
        <v>0</v>
      </c>
      <c r="G13" s="48">
        <f t="shared" si="12"/>
        <v>0</v>
      </c>
      <c r="H13" s="48">
        <f t="shared" si="12"/>
        <v>0</v>
      </c>
      <c r="I13" s="48">
        <f t="shared" si="12"/>
        <v>0</v>
      </c>
      <c r="J13" s="48">
        <f t="shared" si="12"/>
        <v>0</v>
      </c>
      <c r="K13" s="48">
        <f t="shared" si="12"/>
        <v>0</v>
      </c>
      <c r="L13" s="48">
        <f t="shared" si="12"/>
        <v>0</v>
      </c>
      <c r="M13" s="48">
        <f t="shared" si="12"/>
        <v>0</v>
      </c>
      <c r="N13" s="48">
        <f t="shared" si="12"/>
        <v>0</v>
      </c>
      <c r="O13" s="48">
        <f t="shared" si="12"/>
        <v>0</v>
      </c>
      <c r="P13" s="48">
        <f t="shared" si="12"/>
        <v>0</v>
      </c>
      <c r="Q13" s="48">
        <f t="shared" si="12"/>
        <v>1</v>
      </c>
      <c r="R13" s="48">
        <f t="shared" si="12"/>
        <v>1</v>
      </c>
      <c r="S13" s="48">
        <f t="shared" si="12"/>
        <v>1</v>
      </c>
      <c r="T13" s="48">
        <f t="shared" si="12"/>
        <v>1</v>
      </c>
      <c r="U13" s="48">
        <f t="shared" si="12"/>
        <v>1</v>
      </c>
      <c r="V13" s="48">
        <f t="shared" si="12"/>
        <v>1</v>
      </c>
      <c r="W13" s="48">
        <f t="shared" si="12"/>
        <v>1</v>
      </c>
      <c r="X13" s="48">
        <f t="shared" si="12"/>
        <v>1</v>
      </c>
    </row>
    <row r="14" spans="1:24" x14ac:dyDescent="0.2">
      <c r="A14" s="7" t="s">
        <v>2239</v>
      </c>
      <c r="B14" s="48">
        <f t="shared" ref="B14:X14" si="13">B39/$X39</f>
        <v>0</v>
      </c>
      <c r="C14" s="48">
        <f t="shared" si="13"/>
        <v>0</v>
      </c>
      <c r="D14" s="48">
        <f t="shared" si="13"/>
        <v>0</v>
      </c>
      <c r="E14" s="48">
        <f t="shared" si="13"/>
        <v>0.33500000000000002</v>
      </c>
      <c r="F14" s="48">
        <f t="shared" si="13"/>
        <v>1</v>
      </c>
      <c r="G14" s="48">
        <f t="shared" si="13"/>
        <v>1</v>
      </c>
      <c r="H14" s="48">
        <f t="shared" si="13"/>
        <v>1</v>
      </c>
      <c r="I14" s="48">
        <f t="shared" si="13"/>
        <v>1</v>
      </c>
      <c r="J14" s="48">
        <f t="shared" si="13"/>
        <v>1</v>
      </c>
      <c r="K14" s="48">
        <f t="shared" si="13"/>
        <v>1</v>
      </c>
      <c r="L14" s="48">
        <f t="shared" si="13"/>
        <v>1</v>
      </c>
      <c r="M14" s="48">
        <f t="shared" si="13"/>
        <v>1</v>
      </c>
      <c r="N14" s="48">
        <f t="shared" si="13"/>
        <v>1</v>
      </c>
      <c r="O14" s="48">
        <f t="shared" si="13"/>
        <v>1</v>
      </c>
      <c r="P14" s="48">
        <f t="shared" si="13"/>
        <v>1</v>
      </c>
      <c r="Q14" s="48">
        <f t="shared" si="13"/>
        <v>1</v>
      </c>
      <c r="R14" s="48">
        <f t="shared" si="13"/>
        <v>1</v>
      </c>
      <c r="S14" s="48">
        <f t="shared" si="13"/>
        <v>1</v>
      </c>
      <c r="T14" s="48">
        <f t="shared" si="13"/>
        <v>1</v>
      </c>
      <c r="U14" s="48">
        <f t="shared" si="13"/>
        <v>1</v>
      </c>
      <c r="V14" s="48">
        <f t="shared" si="13"/>
        <v>1</v>
      </c>
      <c r="W14" s="48">
        <f t="shared" si="13"/>
        <v>1</v>
      </c>
      <c r="X14" s="48">
        <f t="shared" si="13"/>
        <v>1</v>
      </c>
    </row>
    <row r="15" spans="1:24" x14ac:dyDescent="0.2">
      <c r="A15" s="7" t="s">
        <v>235</v>
      </c>
      <c r="B15" s="48">
        <f t="shared" ref="B15:X15" si="14">B40/$X40</f>
        <v>0</v>
      </c>
      <c r="C15" s="48">
        <f t="shared" si="14"/>
        <v>0</v>
      </c>
      <c r="D15" s="48">
        <f t="shared" si="14"/>
        <v>0</v>
      </c>
      <c r="E15" s="48">
        <f t="shared" si="14"/>
        <v>0</v>
      </c>
      <c r="F15" s="48">
        <f t="shared" si="14"/>
        <v>0</v>
      </c>
      <c r="G15" s="48">
        <f t="shared" si="14"/>
        <v>0</v>
      </c>
      <c r="H15" s="48">
        <f t="shared" si="14"/>
        <v>0</v>
      </c>
      <c r="I15" s="48">
        <f t="shared" si="14"/>
        <v>0</v>
      </c>
      <c r="J15" s="48">
        <f t="shared" si="14"/>
        <v>0</v>
      </c>
      <c r="K15" s="48">
        <f t="shared" si="14"/>
        <v>0.30483870967741933</v>
      </c>
      <c r="L15" s="48">
        <f t="shared" si="14"/>
        <v>0.54838709677419351</v>
      </c>
      <c r="M15" s="48">
        <f t="shared" si="14"/>
        <v>0.73118279569892475</v>
      </c>
      <c r="N15" s="48">
        <f t="shared" si="14"/>
        <v>0.73118279569892475</v>
      </c>
      <c r="O15" s="48">
        <f t="shared" si="14"/>
        <v>1</v>
      </c>
      <c r="P15" s="48">
        <f t="shared" si="14"/>
        <v>1</v>
      </c>
      <c r="Q15" s="48">
        <f t="shared" si="14"/>
        <v>1</v>
      </c>
      <c r="R15" s="48">
        <f t="shared" si="14"/>
        <v>1</v>
      </c>
      <c r="S15" s="48">
        <f t="shared" si="14"/>
        <v>1</v>
      </c>
      <c r="T15" s="48">
        <f t="shared" si="14"/>
        <v>1</v>
      </c>
      <c r="U15" s="48">
        <f t="shared" si="14"/>
        <v>1</v>
      </c>
      <c r="V15" s="48">
        <f t="shared" si="14"/>
        <v>1</v>
      </c>
      <c r="W15" s="48">
        <f t="shared" si="14"/>
        <v>1</v>
      </c>
      <c r="X15" s="48">
        <f t="shared" si="14"/>
        <v>1</v>
      </c>
    </row>
    <row r="16" spans="1:24" x14ac:dyDescent="0.2">
      <c r="A16" s="7" t="s">
        <v>282</v>
      </c>
      <c r="B16" s="48">
        <f t="shared" ref="B16:X16" si="15">B41/$X41</f>
        <v>0</v>
      </c>
      <c r="C16" s="48">
        <f t="shared" si="15"/>
        <v>0</v>
      </c>
      <c r="D16" s="48">
        <f t="shared" si="15"/>
        <v>0</v>
      </c>
      <c r="E16" s="48">
        <f t="shared" si="15"/>
        <v>0</v>
      </c>
      <c r="F16" s="48">
        <f t="shared" si="15"/>
        <v>0</v>
      </c>
      <c r="G16" s="48">
        <f t="shared" si="15"/>
        <v>0</v>
      </c>
      <c r="H16" s="48">
        <f t="shared" si="15"/>
        <v>0</v>
      </c>
      <c r="I16" s="48">
        <f t="shared" si="15"/>
        <v>0</v>
      </c>
      <c r="J16" s="48">
        <f t="shared" si="15"/>
        <v>0</v>
      </c>
      <c r="K16" s="48">
        <f t="shared" si="15"/>
        <v>0.16296296296296298</v>
      </c>
      <c r="L16" s="48">
        <f t="shared" si="15"/>
        <v>0.4345679012345679</v>
      </c>
      <c r="M16" s="48">
        <f t="shared" si="15"/>
        <v>0.6518518518518519</v>
      </c>
      <c r="N16" s="48">
        <f t="shared" si="15"/>
        <v>0.81481481481481477</v>
      </c>
      <c r="O16" s="48">
        <f t="shared" si="15"/>
        <v>0.81481481481481477</v>
      </c>
      <c r="P16" s="48">
        <f t="shared" si="15"/>
        <v>0.81481481481481477</v>
      </c>
      <c r="Q16" s="48">
        <f t="shared" si="15"/>
        <v>0.93827160493827155</v>
      </c>
      <c r="R16" s="48">
        <f t="shared" si="15"/>
        <v>1</v>
      </c>
      <c r="S16" s="48">
        <f t="shared" si="15"/>
        <v>1</v>
      </c>
      <c r="T16" s="48">
        <f t="shared" si="15"/>
        <v>1</v>
      </c>
      <c r="U16" s="48">
        <f t="shared" si="15"/>
        <v>1</v>
      </c>
      <c r="V16" s="48">
        <f t="shared" si="15"/>
        <v>1</v>
      </c>
      <c r="W16" s="48">
        <f t="shared" si="15"/>
        <v>1</v>
      </c>
      <c r="X16" s="48">
        <f t="shared" si="15"/>
        <v>1</v>
      </c>
    </row>
    <row r="17" spans="1:24" x14ac:dyDescent="0.2">
      <c r="A17" s="7" t="s">
        <v>2250</v>
      </c>
      <c r="B17" s="48">
        <f t="shared" ref="B17:X17" si="16">B42/$X42</f>
        <v>0</v>
      </c>
      <c r="C17" s="48">
        <f t="shared" si="16"/>
        <v>0</v>
      </c>
      <c r="D17" s="48">
        <f t="shared" si="16"/>
        <v>0</v>
      </c>
      <c r="E17" s="48">
        <f t="shared" si="16"/>
        <v>0</v>
      </c>
      <c r="F17" s="48">
        <f t="shared" si="16"/>
        <v>0</v>
      </c>
      <c r="G17" s="48">
        <f t="shared" si="16"/>
        <v>0</v>
      </c>
      <c r="H17" s="48">
        <f t="shared" si="16"/>
        <v>0</v>
      </c>
      <c r="I17" s="48">
        <f t="shared" si="16"/>
        <v>0</v>
      </c>
      <c r="J17" s="48">
        <f t="shared" si="16"/>
        <v>0</v>
      </c>
      <c r="K17" s="48">
        <f t="shared" si="16"/>
        <v>0</v>
      </c>
      <c r="L17" s="48">
        <f t="shared" si="16"/>
        <v>0</v>
      </c>
      <c r="M17" s="48">
        <f t="shared" si="16"/>
        <v>0</v>
      </c>
      <c r="N17" s="48">
        <f t="shared" si="16"/>
        <v>0</v>
      </c>
      <c r="O17" s="48">
        <f t="shared" si="16"/>
        <v>0</v>
      </c>
      <c r="P17" s="48">
        <f t="shared" si="16"/>
        <v>0.5</v>
      </c>
      <c r="Q17" s="48">
        <f t="shared" si="16"/>
        <v>1</v>
      </c>
      <c r="R17" s="48">
        <f t="shared" si="16"/>
        <v>1</v>
      </c>
      <c r="S17" s="48">
        <f t="shared" si="16"/>
        <v>1</v>
      </c>
      <c r="T17" s="48">
        <f t="shared" si="16"/>
        <v>1</v>
      </c>
      <c r="U17" s="48">
        <f t="shared" si="16"/>
        <v>1</v>
      </c>
      <c r="V17" s="48">
        <f t="shared" si="16"/>
        <v>1</v>
      </c>
      <c r="W17" s="48">
        <f t="shared" si="16"/>
        <v>1</v>
      </c>
      <c r="X17" s="48">
        <f t="shared" si="16"/>
        <v>1</v>
      </c>
    </row>
    <row r="18" spans="1:24" x14ac:dyDescent="0.2">
      <c r="A18" s="7" t="s">
        <v>264</v>
      </c>
      <c r="B18" s="48">
        <f t="shared" ref="B18:X18" si="17">B43/$X43</f>
        <v>0</v>
      </c>
      <c r="C18" s="48">
        <f t="shared" si="17"/>
        <v>0</v>
      </c>
      <c r="D18" s="48">
        <f t="shared" si="17"/>
        <v>0</v>
      </c>
      <c r="E18" s="48">
        <f t="shared" si="17"/>
        <v>0</v>
      </c>
      <c r="F18" s="48">
        <f t="shared" si="17"/>
        <v>0</v>
      </c>
      <c r="G18" s="48">
        <f t="shared" si="17"/>
        <v>0</v>
      </c>
      <c r="H18" s="48">
        <f t="shared" si="17"/>
        <v>0</v>
      </c>
      <c r="I18" s="48">
        <f t="shared" si="17"/>
        <v>0</v>
      </c>
      <c r="J18" s="48">
        <f t="shared" si="17"/>
        <v>0</v>
      </c>
      <c r="K18" s="48">
        <f t="shared" si="17"/>
        <v>0</v>
      </c>
      <c r="L18" s="48">
        <f t="shared" si="17"/>
        <v>0</v>
      </c>
      <c r="M18" s="48">
        <f t="shared" si="17"/>
        <v>8.3333333333333329E-2</v>
      </c>
      <c r="N18" s="48">
        <f t="shared" si="17"/>
        <v>0.5</v>
      </c>
      <c r="O18" s="48">
        <f t="shared" si="17"/>
        <v>0.91666666666666663</v>
      </c>
      <c r="P18" s="48">
        <f t="shared" si="17"/>
        <v>1</v>
      </c>
      <c r="Q18" s="48">
        <f t="shared" si="17"/>
        <v>1</v>
      </c>
      <c r="R18" s="48">
        <f t="shared" si="17"/>
        <v>1</v>
      </c>
      <c r="S18" s="48">
        <f t="shared" si="17"/>
        <v>1</v>
      </c>
      <c r="T18" s="48">
        <f t="shared" si="17"/>
        <v>1</v>
      </c>
      <c r="U18" s="48">
        <f t="shared" si="17"/>
        <v>1</v>
      </c>
      <c r="V18" s="48">
        <f t="shared" si="17"/>
        <v>1</v>
      </c>
      <c r="W18" s="48">
        <f t="shared" si="17"/>
        <v>1</v>
      </c>
      <c r="X18" s="48">
        <f t="shared" si="17"/>
        <v>1</v>
      </c>
    </row>
    <row r="19" spans="1:24" x14ac:dyDescent="0.2">
      <c r="A19" s="7" t="s">
        <v>703</v>
      </c>
      <c r="B19" s="48">
        <f t="shared" ref="B19:X19" si="18">B44/$X44</f>
        <v>0</v>
      </c>
      <c r="C19" s="48">
        <f t="shared" si="18"/>
        <v>0</v>
      </c>
      <c r="D19" s="48">
        <f t="shared" si="18"/>
        <v>0</v>
      </c>
      <c r="E19" s="48">
        <f t="shared" si="18"/>
        <v>0</v>
      </c>
      <c r="F19" s="48">
        <f t="shared" si="18"/>
        <v>0</v>
      </c>
      <c r="G19" s="48">
        <f t="shared" si="18"/>
        <v>0</v>
      </c>
      <c r="H19" s="48">
        <f t="shared" si="18"/>
        <v>0</v>
      </c>
      <c r="I19" s="48">
        <f t="shared" si="18"/>
        <v>0</v>
      </c>
      <c r="J19" s="48">
        <f t="shared" si="18"/>
        <v>0</v>
      </c>
      <c r="K19" s="48">
        <f t="shared" si="18"/>
        <v>0</v>
      </c>
      <c r="L19" s="48">
        <f t="shared" si="18"/>
        <v>0</v>
      </c>
      <c r="M19" s="48">
        <f t="shared" si="18"/>
        <v>0</v>
      </c>
      <c r="N19" s="48">
        <f t="shared" si="18"/>
        <v>0</v>
      </c>
      <c r="O19" s="48">
        <f t="shared" si="18"/>
        <v>0</v>
      </c>
      <c r="P19" s="48">
        <f t="shared" si="18"/>
        <v>0</v>
      </c>
      <c r="Q19" s="48">
        <f t="shared" si="18"/>
        <v>0</v>
      </c>
      <c r="R19" s="48">
        <f t="shared" si="18"/>
        <v>0</v>
      </c>
      <c r="S19" s="48">
        <f t="shared" si="18"/>
        <v>0.25</v>
      </c>
      <c r="T19" s="48">
        <f t="shared" si="18"/>
        <v>0.66666666666666663</v>
      </c>
      <c r="U19" s="48">
        <f t="shared" si="18"/>
        <v>1</v>
      </c>
      <c r="V19" s="48">
        <f t="shared" si="18"/>
        <v>1</v>
      </c>
      <c r="W19" s="48">
        <f t="shared" si="18"/>
        <v>1</v>
      </c>
      <c r="X19" s="48">
        <f t="shared" si="18"/>
        <v>1</v>
      </c>
    </row>
    <row r="20" spans="1:24" x14ac:dyDescent="0.2">
      <c r="A20" s="7" t="s">
        <v>733</v>
      </c>
      <c r="B20" s="48">
        <f t="shared" ref="B20:X20" si="19">B45/$X45</f>
        <v>0</v>
      </c>
      <c r="C20" s="48">
        <f t="shared" si="19"/>
        <v>0</v>
      </c>
      <c r="D20" s="48">
        <f t="shared" si="19"/>
        <v>0</v>
      </c>
      <c r="E20" s="48">
        <f t="shared" si="19"/>
        <v>0</v>
      </c>
      <c r="F20" s="48">
        <f t="shared" si="19"/>
        <v>0</v>
      </c>
      <c r="G20" s="48">
        <f t="shared" si="19"/>
        <v>0</v>
      </c>
      <c r="H20" s="48">
        <f t="shared" si="19"/>
        <v>0</v>
      </c>
      <c r="I20" s="48">
        <f t="shared" si="19"/>
        <v>0</v>
      </c>
      <c r="J20" s="48">
        <f t="shared" si="19"/>
        <v>0</v>
      </c>
      <c r="K20" s="48">
        <f t="shared" si="19"/>
        <v>0</v>
      </c>
      <c r="L20" s="48">
        <f t="shared" si="19"/>
        <v>0</v>
      </c>
      <c r="M20" s="48">
        <f t="shared" si="19"/>
        <v>0</v>
      </c>
      <c r="N20" s="48">
        <f t="shared" si="19"/>
        <v>0</v>
      </c>
      <c r="O20" s="48">
        <f t="shared" si="19"/>
        <v>0</v>
      </c>
      <c r="P20" s="48">
        <f t="shared" si="19"/>
        <v>0</v>
      </c>
      <c r="Q20" s="48">
        <f t="shared" si="19"/>
        <v>0</v>
      </c>
      <c r="R20" s="48">
        <f t="shared" si="19"/>
        <v>0</v>
      </c>
      <c r="S20" s="48">
        <f t="shared" si="19"/>
        <v>0</v>
      </c>
      <c r="T20" s="48">
        <f t="shared" si="19"/>
        <v>0</v>
      </c>
      <c r="U20" s="48">
        <f t="shared" si="19"/>
        <v>0.13333333333333333</v>
      </c>
      <c r="V20" s="48">
        <f t="shared" si="19"/>
        <v>0.46666666666666667</v>
      </c>
      <c r="W20" s="48">
        <f t="shared" si="19"/>
        <v>0.8</v>
      </c>
      <c r="X20" s="48">
        <f t="shared" si="19"/>
        <v>1</v>
      </c>
    </row>
    <row r="21" spans="1:24" x14ac:dyDescent="0.2">
      <c r="A21" s="7" t="s">
        <v>310</v>
      </c>
      <c r="B21" s="48">
        <f t="shared" ref="B21:X21" si="20">B46/$X46</f>
        <v>0</v>
      </c>
      <c r="C21" s="48">
        <f t="shared" si="20"/>
        <v>0</v>
      </c>
      <c r="D21" s="48">
        <f t="shared" si="20"/>
        <v>0</v>
      </c>
      <c r="E21" s="48">
        <f t="shared" si="20"/>
        <v>0</v>
      </c>
      <c r="F21" s="48">
        <f t="shared" si="20"/>
        <v>0</v>
      </c>
      <c r="G21" s="48">
        <f t="shared" si="20"/>
        <v>0</v>
      </c>
      <c r="H21" s="48">
        <f t="shared" si="20"/>
        <v>0</v>
      </c>
      <c r="I21" s="48">
        <f t="shared" si="20"/>
        <v>0</v>
      </c>
      <c r="J21" s="48">
        <f t="shared" si="20"/>
        <v>0</v>
      </c>
      <c r="K21" s="48">
        <f t="shared" si="20"/>
        <v>0</v>
      </c>
      <c r="L21" s="48">
        <f t="shared" si="20"/>
        <v>0</v>
      </c>
      <c r="M21" s="48">
        <f t="shared" si="20"/>
        <v>0</v>
      </c>
      <c r="N21" s="48">
        <f t="shared" si="20"/>
        <v>2.3255813953488372E-2</v>
      </c>
      <c r="O21" s="48">
        <f t="shared" si="20"/>
        <v>2.3255813953488372E-2</v>
      </c>
      <c r="P21" s="48">
        <f t="shared" si="20"/>
        <v>2.3255813953488372E-2</v>
      </c>
      <c r="Q21" s="48">
        <f t="shared" si="20"/>
        <v>8.9457364341085269E-2</v>
      </c>
      <c r="R21" s="48">
        <f t="shared" si="20"/>
        <v>0.22201550387596899</v>
      </c>
      <c r="S21" s="48">
        <f t="shared" si="20"/>
        <v>0.35441860465116282</v>
      </c>
      <c r="T21" s="48">
        <f t="shared" si="20"/>
        <v>0.52015503875968994</v>
      </c>
      <c r="U21" s="48">
        <f t="shared" si="20"/>
        <v>0.68573643410852714</v>
      </c>
      <c r="V21" s="48">
        <f t="shared" si="20"/>
        <v>0.87596899224806202</v>
      </c>
      <c r="W21" s="48">
        <f t="shared" si="20"/>
        <v>1</v>
      </c>
      <c r="X21" s="48">
        <f t="shared" si="20"/>
        <v>1</v>
      </c>
    </row>
    <row r="22" spans="1:24" x14ac:dyDescent="0.2">
      <c r="A22" s="7" t="s">
        <v>1414</v>
      </c>
      <c r="B22" s="48">
        <f t="shared" ref="B22:X22" si="21">B47/$X47</f>
        <v>0</v>
      </c>
      <c r="C22" s="48">
        <f t="shared" si="21"/>
        <v>0</v>
      </c>
      <c r="D22" s="48">
        <f t="shared" si="21"/>
        <v>0</v>
      </c>
      <c r="E22" s="48">
        <f t="shared" si="21"/>
        <v>0</v>
      </c>
      <c r="F22" s="48">
        <f t="shared" si="21"/>
        <v>0</v>
      </c>
      <c r="G22" s="48">
        <f t="shared" si="21"/>
        <v>0</v>
      </c>
      <c r="H22" s="48">
        <f t="shared" si="21"/>
        <v>0</v>
      </c>
      <c r="I22" s="48">
        <f t="shared" si="21"/>
        <v>0</v>
      </c>
      <c r="J22" s="48">
        <f t="shared" si="21"/>
        <v>0</v>
      </c>
      <c r="K22" s="48">
        <f t="shared" si="21"/>
        <v>0</v>
      </c>
      <c r="L22" s="48">
        <f t="shared" si="21"/>
        <v>0</v>
      </c>
      <c r="M22" s="48">
        <f t="shared" si="21"/>
        <v>0</v>
      </c>
      <c r="N22" s="48">
        <f t="shared" si="21"/>
        <v>0</v>
      </c>
      <c r="O22" s="48">
        <f t="shared" si="21"/>
        <v>0</v>
      </c>
      <c r="P22" s="48">
        <f t="shared" si="21"/>
        <v>0</v>
      </c>
      <c r="Q22" s="48">
        <f t="shared" si="21"/>
        <v>0</v>
      </c>
      <c r="R22" s="48">
        <f t="shared" si="21"/>
        <v>0</v>
      </c>
      <c r="S22" s="48">
        <f t="shared" si="21"/>
        <v>0</v>
      </c>
      <c r="T22" s="48">
        <f t="shared" si="21"/>
        <v>5.8862433862433859E-2</v>
      </c>
      <c r="U22" s="48">
        <f t="shared" si="21"/>
        <v>0.3529100529100529</v>
      </c>
      <c r="V22" s="48">
        <f t="shared" si="21"/>
        <v>0.58822751322751321</v>
      </c>
      <c r="W22" s="48">
        <f t="shared" si="21"/>
        <v>0.88240740740740742</v>
      </c>
      <c r="X22" s="48">
        <f t="shared" si="21"/>
        <v>1</v>
      </c>
    </row>
    <row r="23" spans="1:24" x14ac:dyDescent="0.2">
      <c r="A23" s="7" t="s">
        <v>1032</v>
      </c>
      <c r="B23" s="48">
        <f t="shared" ref="B23:X23" si="22">B48/$X48</f>
        <v>0</v>
      </c>
      <c r="C23" s="48">
        <f t="shared" si="22"/>
        <v>0</v>
      </c>
      <c r="D23" s="48">
        <f t="shared" si="22"/>
        <v>0</v>
      </c>
      <c r="E23" s="48">
        <f t="shared" si="22"/>
        <v>0</v>
      </c>
      <c r="F23" s="48">
        <f t="shared" si="22"/>
        <v>0</v>
      </c>
      <c r="G23" s="48">
        <f t="shared" si="22"/>
        <v>0</v>
      </c>
      <c r="H23" s="48">
        <f t="shared" si="22"/>
        <v>0</v>
      </c>
      <c r="I23" s="48">
        <f t="shared" si="22"/>
        <v>0</v>
      </c>
      <c r="J23" s="48">
        <f t="shared" si="22"/>
        <v>0</v>
      </c>
      <c r="K23" s="48">
        <f t="shared" si="22"/>
        <v>0</v>
      </c>
      <c r="L23" s="48">
        <f t="shared" si="22"/>
        <v>0</v>
      </c>
      <c r="M23" s="48">
        <f t="shared" si="22"/>
        <v>0</v>
      </c>
      <c r="N23" s="48">
        <f t="shared" si="22"/>
        <v>0</v>
      </c>
      <c r="O23" s="48">
        <f t="shared" si="22"/>
        <v>0</v>
      </c>
      <c r="P23" s="48">
        <f t="shared" si="22"/>
        <v>0</v>
      </c>
      <c r="Q23" s="48">
        <f t="shared" si="22"/>
        <v>0</v>
      </c>
      <c r="R23" s="48">
        <f t="shared" si="22"/>
        <v>0</v>
      </c>
      <c r="S23" s="48">
        <f t="shared" si="22"/>
        <v>0</v>
      </c>
      <c r="T23" s="48">
        <f t="shared" si="22"/>
        <v>5.8862433862433859E-2</v>
      </c>
      <c r="U23" s="48">
        <f t="shared" si="22"/>
        <v>0.3529100529100529</v>
      </c>
      <c r="V23" s="48">
        <f t="shared" si="22"/>
        <v>0.58822751322751321</v>
      </c>
      <c r="W23" s="48">
        <f t="shared" si="22"/>
        <v>0.88240740740740753</v>
      </c>
      <c r="X23" s="48">
        <f t="shared" si="22"/>
        <v>1</v>
      </c>
    </row>
    <row r="24" spans="1:24" x14ac:dyDescent="0.2">
      <c r="A24" s="7" t="s">
        <v>1014</v>
      </c>
      <c r="B24" s="48">
        <f t="shared" ref="B24:X24" si="23">B49/$X49</f>
        <v>0</v>
      </c>
      <c r="C24" s="48">
        <f t="shared" si="23"/>
        <v>0</v>
      </c>
      <c r="D24" s="48">
        <f t="shared" si="23"/>
        <v>0</v>
      </c>
      <c r="E24" s="48">
        <f t="shared" si="23"/>
        <v>0</v>
      </c>
      <c r="F24" s="48">
        <f t="shared" si="23"/>
        <v>0</v>
      </c>
      <c r="G24" s="48">
        <f t="shared" si="23"/>
        <v>0</v>
      </c>
      <c r="H24" s="48">
        <f t="shared" si="23"/>
        <v>0</v>
      </c>
      <c r="I24" s="48">
        <f t="shared" si="23"/>
        <v>0</v>
      </c>
      <c r="J24" s="48">
        <f t="shared" si="23"/>
        <v>0</v>
      </c>
      <c r="K24" s="48">
        <f t="shared" si="23"/>
        <v>0</v>
      </c>
      <c r="L24" s="48">
        <f t="shared" si="23"/>
        <v>0</v>
      </c>
      <c r="M24" s="48">
        <f t="shared" si="23"/>
        <v>0</v>
      </c>
      <c r="N24" s="48">
        <f t="shared" si="23"/>
        <v>0</v>
      </c>
      <c r="O24" s="48">
        <f t="shared" si="23"/>
        <v>0</v>
      </c>
      <c r="P24" s="48">
        <f t="shared" si="23"/>
        <v>0</v>
      </c>
      <c r="Q24" s="48">
        <f t="shared" si="23"/>
        <v>0</v>
      </c>
      <c r="R24" s="48">
        <f t="shared" si="23"/>
        <v>0</v>
      </c>
      <c r="S24" s="48">
        <f t="shared" si="23"/>
        <v>0</v>
      </c>
      <c r="T24" s="48">
        <f t="shared" si="23"/>
        <v>5.8862433862433859E-2</v>
      </c>
      <c r="U24" s="48">
        <f t="shared" si="23"/>
        <v>0.3529100529100529</v>
      </c>
      <c r="V24" s="48">
        <f t="shared" si="23"/>
        <v>0.5882275132275131</v>
      </c>
      <c r="W24" s="48">
        <f t="shared" si="23"/>
        <v>0.88240740740740742</v>
      </c>
      <c r="X24" s="48">
        <f t="shared" si="23"/>
        <v>1</v>
      </c>
    </row>
    <row r="25" spans="1:24" x14ac:dyDescent="0.2">
      <c r="A25" s="7" t="s">
        <v>1199</v>
      </c>
      <c r="B25" s="48">
        <f t="shared" ref="B25:X25" si="24">B50/$X50</f>
        <v>0</v>
      </c>
      <c r="C25" s="48">
        <f t="shared" si="24"/>
        <v>0</v>
      </c>
      <c r="D25" s="48">
        <f t="shared" si="24"/>
        <v>0</v>
      </c>
      <c r="E25" s="48">
        <f t="shared" si="24"/>
        <v>0</v>
      </c>
      <c r="F25" s="48">
        <f t="shared" si="24"/>
        <v>0</v>
      </c>
      <c r="G25" s="48">
        <f t="shared" si="24"/>
        <v>0</v>
      </c>
      <c r="H25" s="48">
        <f t="shared" si="24"/>
        <v>0</v>
      </c>
      <c r="I25" s="48">
        <f t="shared" si="24"/>
        <v>0</v>
      </c>
      <c r="J25" s="48">
        <f t="shared" si="24"/>
        <v>0</v>
      </c>
      <c r="K25" s="48">
        <f t="shared" si="24"/>
        <v>0</v>
      </c>
      <c r="L25" s="48">
        <f t="shared" si="24"/>
        <v>0</v>
      </c>
      <c r="M25" s="48">
        <f t="shared" si="24"/>
        <v>0</v>
      </c>
      <c r="N25" s="48">
        <f t="shared" si="24"/>
        <v>0</v>
      </c>
      <c r="O25" s="48">
        <f t="shared" si="24"/>
        <v>0</v>
      </c>
      <c r="P25" s="48">
        <f t="shared" si="24"/>
        <v>0</v>
      </c>
      <c r="Q25" s="48">
        <f t="shared" si="24"/>
        <v>0</v>
      </c>
      <c r="R25" s="48">
        <f t="shared" si="24"/>
        <v>0</v>
      </c>
      <c r="S25" s="48">
        <f t="shared" si="24"/>
        <v>0</v>
      </c>
      <c r="T25" s="48">
        <f t="shared" si="24"/>
        <v>5.8862433862433859E-2</v>
      </c>
      <c r="U25" s="48">
        <f t="shared" si="24"/>
        <v>0.3529100529100529</v>
      </c>
      <c r="V25" s="48">
        <f t="shared" si="24"/>
        <v>0.58822751322751321</v>
      </c>
      <c r="W25" s="48">
        <f t="shared" si="24"/>
        <v>0.88240740740740742</v>
      </c>
      <c r="X25" s="48">
        <f t="shared" si="24"/>
        <v>1</v>
      </c>
    </row>
    <row r="27" spans="1:24" x14ac:dyDescent="0.2">
      <c r="A27" s="7" t="s">
        <v>28</v>
      </c>
      <c r="B27" s="75">
        <f>SUM(B28:B50)</f>
        <v>0</v>
      </c>
      <c r="C27" s="75">
        <f t="shared" ref="C27:W27" si="25">SUM(C28:C50)</f>
        <v>0</v>
      </c>
      <c r="D27" s="75">
        <f t="shared" si="25"/>
        <v>114</v>
      </c>
      <c r="E27" s="75">
        <f t="shared" si="25"/>
        <v>466</v>
      </c>
      <c r="F27" s="75">
        <f t="shared" si="25"/>
        <v>872</v>
      </c>
      <c r="G27" s="75">
        <f t="shared" si="25"/>
        <v>1127</v>
      </c>
      <c r="H27" s="75">
        <f t="shared" si="25"/>
        <v>1280</v>
      </c>
      <c r="I27" s="75">
        <f t="shared" si="25"/>
        <v>1280</v>
      </c>
      <c r="J27" s="75">
        <f t="shared" si="25"/>
        <v>1280</v>
      </c>
      <c r="K27" s="75">
        <f t="shared" si="25"/>
        <v>2375</v>
      </c>
      <c r="L27" s="75">
        <f t="shared" si="25"/>
        <v>3708</v>
      </c>
      <c r="M27" s="75">
        <f t="shared" si="25"/>
        <v>4872</v>
      </c>
      <c r="N27" s="75">
        <f t="shared" si="25"/>
        <v>6150</v>
      </c>
      <c r="O27" s="75">
        <f t="shared" si="25"/>
        <v>10437</v>
      </c>
      <c r="P27" s="75">
        <f t="shared" si="25"/>
        <v>17656</v>
      </c>
      <c r="Q27" s="75">
        <f t="shared" si="25"/>
        <v>28089</v>
      </c>
      <c r="R27" s="75">
        <f t="shared" si="25"/>
        <v>35321</v>
      </c>
      <c r="S27" s="75">
        <f t="shared" si="25"/>
        <v>44228</v>
      </c>
      <c r="T27" s="75">
        <f t="shared" si="25"/>
        <v>55638.819444444438</v>
      </c>
      <c r="U27" s="75">
        <f t="shared" si="25"/>
        <v>74989.944444444453</v>
      </c>
      <c r="V27" s="75">
        <f t="shared" si="25"/>
        <v>91184.236111111109</v>
      </c>
      <c r="W27" s="75">
        <f t="shared" si="25"/>
        <v>102977.34722222223</v>
      </c>
      <c r="X27" s="75">
        <f>SUM(X28:X50)</f>
        <v>106860</v>
      </c>
    </row>
    <row r="28" spans="1:24" x14ac:dyDescent="0.2">
      <c r="A28" s="7" t="s">
        <v>906</v>
      </c>
      <c r="B28" s="7">
        <f>SUMIF('Distr.-Atv.'!$B$48:$B$89,'Distr.-Área'!$A28,'Distr.-Atv.'!D$48:D$89)</f>
        <v>0</v>
      </c>
      <c r="C28" s="7">
        <f>SUMIF('Distr.-Atv.'!$B$48:$B$89,'Distr.-Área'!$A28,'Distr.-Atv.'!E$48:E$89)</f>
        <v>0</v>
      </c>
      <c r="D28" s="7">
        <f>SUMIF('Distr.-Atv.'!$B$48:$B$89,'Distr.-Área'!$A28,'Distr.-Atv.'!F$48:F$89)</f>
        <v>0</v>
      </c>
      <c r="E28" s="7">
        <f>SUMIF('Distr.-Atv.'!$B$48:$B$89,'Distr.-Área'!$A28,'Distr.-Atv.'!G$48:G$89)</f>
        <v>0</v>
      </c>
      <c r="F28" s="7">
        <f>SUMIF('Distr.-Atv.'!$B$48:$B$89,'Distr.-Área'!$A28,'Distr.-Atv.'!H$48:H$89)</f>
        <v>0</v>
      </c>
      <c r="G28" s="7">
        <f>SUMIF('Distr.-Atv.'!$B$48:$B$89,'Distr.-Área'!$A28,'Distr.-Atv.'!I$48:I$89)</f>
        <v>0</v>
      </c>
      <c r="H28" s="7">
        <f>SUMIF('Distr.-Atv.'!$B$48:$B$89,'Distr.-Área'!$A28,'Distr.-Atv.'!J$48:J$89)</f>
        <v>0</v>
      </c>
      <c r="I28" s="7">
        <f>SUMIF('Distr.-Atv.'!$B$48:$B$89,'Distr.-Área'!$A28,'Distr.-Atv.'!K$48:K$89)</f>
        <v>0</v>
      </c>
      <c r="J28" s="7">
        <f>SUMIF('Distr.-Atv.'!$B$48:$B$89,'Distr.-Área'!$A28,'Distr.-Atv.'!L$48:L$89)</f>
        <v>0</v>
      </c>
      <c r="K28" s="7">
        <f>SUMIF('Distr.-Atv.'!$B$48:$B$89,'Distr.-Área'!$A28,'Distr.-Atv.'!M$48:M$89)</f>
        <v>0</v>
      </c>
      <c r="L28" s="7">
        <f>SUMIF('Distr.-Atv.'!$B$48:$B$89,'Distr.-Área'!$A28,'Distr.-Atv.'!N$48:N$89)</f>
        <v>0</v>
      </c>
      <c r="M28" s="7">
        <f>SUMIF('Distr.-Atv.'!$B$48:$B$89,'Distr.-Área'!$A28,'Distr.-Atv.'!O$48:O$89)</f>
        <v>0</v>
      </c>
      <c r="N28" s="7">
        <f>SUMIF('Distr.-Atv.'!$B$48:$B$89,'Distr.-Área'!$A28,'Distr.-Atv.'!P$48:P$89)</f>
        <v>0</v>
      </c>
      <c r="O28" s="7">
        <f>SUMIF('Distr.-Atv.'!$B$48:$B$89,'Distr.-Área'!$A28,'Distr.-Atv.'!Q$48:Q$89)</f>
        <v>1440</v>
      </c>
      <c r="P28" s="7">
        <f>SUMIF('Distr.-Atv.'!$B$48:$B$89,'Distr.-Área'!$A28,'Distr.-Atv.'!R$48:R$89)</f>
        <v>3840</v>
      </c>
      <c r="Q28" s="7">
        <f>SUMIF('Distr.-Atv.'!$B$48:$B$89,'Distr.-Área'!$A28,'Distr.-Atv.'!S$48:S$89)</f>
        <v>5760</v>
      </c>
      <c r="R28" s="7">
        <f>SUMIF('Distr.-Atv.'!$B$48:$B$89,'Distr.-Área'!$A28,'Distr.-Atv.'!T$48:T$89)</f>
        <v>7200</v>
      </c>
      <c r="S28" s="7">
        <f>SUMIF('Distr.-Atv.'!$B$48:$B$89,'Distr.-Área'!$A28,'Distr.-Atv.'!U$48:U$89)</f>
        <v>7200</v>
      </c>
      <c r="T28" s="7">
        <f>SUMIF('Distr.-Atv.'!$B$48:$B$89,'Distr.-Área'!$A28,'Distr.-Atv.'!V$48:V$89)</f>
        <v>7200</v>
      </c>
      <c r="U28" s="7">
        <f>SUMIF('Distr.-Atv.'!$B$48:$B$89,'Distr.-Área'!$A28,'Distr.-Atv.'!W$48:W$89)</f>
        <v>7200</v>
      </c>
      <c r="V28" s="7">
        <f>SUMIF('Distr.-Atv.'!$B$48:$B$89,'Distr.-Área'!$A28,'Distr.-Atv.'!X$48:X$89)</f>
        <v>7200</v>
      </c>
      <c r="W28" s="7">
        <f>SUMIF('Distr.-Atv.'!$B$48:$B$89,'Distr.-Área'!$A28,'Distr.-Atv.'!Y$48:Y$89)</f>
        <v>7200</v>
      </c>
      <c r="X28" s="7">
        <f>SUMIF('Distr.-Atv.'!$B$48:$B$89,'Distr.-Área'!$A28,'Distr.-Atv.'!Z$48:Z$89)</f>
        <v>7200</v>
      </c>
    </row>
    <row r="29" spans="1:24" x14ac:dyDescent="0.2">
      <c r="A29" s="7" t="s">
        <v>931</v>
      </c>
      <c r="B29" s="7">
        <f>SUMIF('Distr.-Atv.'!$B$48:$B$89,'Distr.-Área'!$A29,'Distr.-Atv.'!D$48:D$89)</f>
        <v>0</v>
      </c>
      <c r="C29" s="7">
        <f>SUMIF('Distr.-Atv.'!$B$48:$B$89,'Distr.-Área'!$A29,'Distr.-Atv.'!E$48:E$89)</f>
        <v>0</v>
      </c>
      <c r="D29" s="7">
        <f>SUMIF('Distr.-Atv.'!$B$48:$B$89,'Distr.-Área'!$A29,'Distr.-Atv.'!F$48:F$89)</f>
        <v>0</v>
      </c>
      <c r="E29" s="7">
        <f>SUMIF('Distr.-Atv.'!$B$48:$B$89,'Distr.-Área'!$A29,'Distr.-Atv.'!G$48:G$89)</f>
        <v>0</v>
      </c>
      <c r="F29" s="7">
        <f>SUMIF('Distr.-Atv.'!$B$48:$B$89,'Distr.-Área'!$A29,'Distr.-Atv.'!H$48:H$89)</f>
        <v>0</v>
      </c>
      <c r="G29" s="7">
        <f>SUMIF('Distr.-Atv.'!$B$48:$B$89,'Distr.-Área'!$A29,'Distr.-Atv.'!I$48:I$89)</f>
        <v>0</v>
      </c>
      <c r="H29" s="7">
        <f>SUMIF('Distr.-Atv.'!$B$48:$B$89,'Distr.-Área'!$A29,'Distr.-Atv.'!J$48:J$89)</f>
        <v>0</v>
      </c>
      <c r="I29" s="7">
        <f>SUMIF('Distr.-Atv.'!$B$48:$B$89,'Distr.-Área'!$A29,'Distr.-Atv.'!K$48:K$89)</f>
        <v>0</v>
      </c>
      <c r="J29" s="7">
        <f>SUMIF('Distr.-Atv.'!$B$48:$B$89,'Distr.-Área'!$A29,'Distr.-Atv.'!L$48:L$89)</f>
        <v>0</v>
      </c>
      <c r="K29" s="7">
        <f>SUMIF('Distr.-Atv.'!$B$48:$B$89,'Distr.-Área'!$A29,'Distr.-Atv.'!M$48:M$89)</f>
        <v>0</v>
      </c>
      <c r="L29" s="7">
        <f>SUMIF('Distr.-Atv.'!$B$48:$B$89,'Distr.-Área'!$A29,'Distr.-Atv.'!N$48:N$89)</f>
        <v>0</v>
      </c>
      <c r="M29" s="7">
        <f>SUMIF('Distr.-Atv.'!$B$48:$B$89,'Distr.-Área'!$A29,'Distr.-Atv.'!O$48:O$89)</f>
        <v>0</v>
      </c>
      <c r="N29" s="7">
        <f>SUMIF('Distr.-Atv.'!$B$48:$B$89,'Distr.-Área'!$A29,'Distr.-Atv.'!P$48:P$89)</f>
        <v>0</v>
      </c>
      <c r="O29" s="7">
        <f>SUMIF('Distr.-Atv.'!$B$48:$B$89,'Distr.-Área'!$A29,'Distr.-Atv.'!Q$48:Q$89)</f>
        <v>0</v>
      </c>
      <c r="P29" s="7">
        <f>SUMIF('Distr.-Atv.'!$B$48:$B$89,'Distr.-Área'!$A29,'Distr.-Atv.'!R$48:R$89)</f>
        <v>493</v>
      </c>
      <c r="Q29" s="7">
        <f>SUMIF('Distr.-Atv.'!$B$48:$B$89,'Distr.-Área'!$A29,'Distr.-Atv.'!S$48:S$89)</f>
        <v>2957</v>
      </c>
      <c r="R29" s="7">
        <f>SUMIF('Distr.-Atv.'!$B$48:$B$89,'Distr.-Área'!$A29,'Distr.-Atv.'!T$48:T$89)</f>
        <v>5421</v>
      </c>
      <c r="S29" s="7">
        <f>SUMIF('Distr.-Atv.'!$B$48:$B$89,'Distr.-Área'!$A29,'Distr.-Atv.'!U$48:U$89)</f>
        <v>7392</v>
      </c>
      <c r="T29" s="7">
        <f>SUMIF('Distr.-Atv.'!$B$48:$B$89,'Distr.-Área'!$A29,'Distr.-Atv.'!V$48:V$89)</f>
        <v>9856</v>
      </c>
      <c r="U29" s="7">
        <f>SUMIF('Distr.-Atv.'!$B$48:$B$89,'Distr.-Área'!$A29,'Distr.-Atv.'!W$48:W$89)</f>
        <v>11827</v>
      </c>
      <c r="V29" s="7">
        <f>SUMIF('Distr.-Atv.'!$B$48:$B$89,'Distr.-Área'!$A29,'Distr.-Atv.'!X$48:X$89)</f>
        <v>12320</v>
      </c>
      <c r="W29" s="7">
        <f>SUMIF('Distr.-Atv.'!$B$48:$B$89,'Distr.-Área'!$A29,'Distr.-Atv.'!Y$48:Y$89)</f>
        <v>12320</v>
      </c>
      <c r="X29" s="7">
        <f>SUMIF('Distr.-Atv.'!$B$48:$B$89,'Distr.-Área'!$A29,'Distr.-Atv.'!Z$48:Z$89)</f>
        <v>12320</v>
      </c>
    </row>
    <row r="30" spans="1:24" x14ac:dyDescent="0.2">
      <c r="A30" s="7" t="s">
        <v>82</v>
      </c>
      <c r="B30" s="7">
        <f>SUMIF('Distr.-Atv.'!$B$48:$B$89,'Distr.-Área'!$A30,'Distr.-Atv.'!D$48:D$89)</f>
        <v>0</v>
      </c>
      <c r="C30" s="7">
        <f>SUMIF('Distr.-Atv.'!$B$48:$B$89,'Distr.-Área'!$A30,'Distr.-Atv.'!E$48:E$89)</f>
        <v>0</v>
      </c>
      <c r="D30" s="7">
        <f>SUMIF('Distr.-Atv.'!$B$48:$B$89,'Distr.-Área'!$A30,'Distr.-Atv.'!F$48:F$89)</f>
        <v>0</v>
      </c>
      <c r="E30" s="7">
        <f>SUMIF('Distr.-Atv.'!$B$48:$B$89,'Distr.-Área'!$A30,'Distr.-Atv.'!G$48:G$89)</f>
        <v>0</v>
      </c>
      <c r="F30" s="7">
        <f>SUMIF('Distr.-Atv.'!$B$48:$B$89,'Distr.-Área'!$A30,'Distr.-Atv.'!H$48:H$89)</f>
        <v>0</v>
      </c>
      <c r="G30" s="7">
        <f>SUMIF('Distr.-Atv.'!$B$48:$B$89,'Distr.-Área'!$A30,'Distr.-Atv.'!I$48:I$89)</f>
        <v>0</v>
      </c>
      <c r="H30" s="7">
        <f>SUMIF('Distr.-Atv.'!$B$48:$B$89,'Distr.-Área'!$A30,'Distr.-Atv.'!J$48:J$89)</f>
        <v>0</v>
      </c>
      <c r="I30" s="7">
        <f>SUMIF('Distr.-Atv.'!$B$48:$B$89,'Distr.-Área'!$A30,'Distr.-Atv.'!K$48:K$89)</f>
        <v>0</v>
      </c>
      <c r="J30" s="7">
        <f>SUMIF('Distr.-Atv.'!$B$48:$B$89,'Distr.-Área'!$A30,'Distr.-Atv.'!L$48:L$89)</f>
        <v>0</v>
      </c>
      <c r="K30" s="7">
        <f>SUMIF('Distr.-Atv.'!$B$48:$B$89,'Distr.-Área'!$A30,'Distr.-Atv.'!M$48:M$89)</f>
        <v>0</v>
      </c>
      <c r="L30" s="7">
        <f>SUMIF('Distr.-Atv.'!$B$48:$B$89,'Distr.-Área'!$A30,'Distr.-Atv.'!N$48:N$89)</f>
        <v>0</v>
      </c>
      <c r="M30" s="7">
        <f>SUMIF('Distr.-Atv.'!$B$48:$B$89,'Distr.-Área'!$A30,'Distr.-Atv.'!O$48:O$89)</f>
        <v>0</v>
      </c>
      <c r="N30" s="7">
        <f>SUMIF('Distr.-Atv.'!$B$48:$B$89,'Distr.-Área'!$A30,'Distr.-Atv.'!P$48:P$89)</f>
        <v>0</v>
      </c>
      <c r="O30" s="7">
        <f>SUMIF('Distr.-Atv.'!$B$48:$B$89,'Distr.-Área'!$A30,'Distr.-Atv.'!Q$48:Q$89)</f>
        <v>0</v>
      </c>
      <c r="P30" s="7">
        <f>SUMIF('Distr.-Atv.'!$B$48:$B$89,'Distr.-Área'!$A30,'Distr.-Atv.'!R$48:R$89)</f>
        <v>150</v>
      </c>
      <c r="Q30" s="7">
        <f>SUMIF('Distr.-Atv.'!$B$48:$B$89,'Distr.-Área'!$A30,'Distr.-Atv.'!S$48:S$89)</f>
        <v>300</v>
      </c>
      <c r="R30" s="7">
        <f>SUMIF('Distr.-Atv.'!$B$48:$B$89,'Distr.-Área'!$A30,'Distr.-Atv.'!T$48:T$89)</f>
        <v>300</v>
      </c>
      <c r="S30" s="7">
        <f>SUMIF('Distr.-Atv.'!$B$48:$B$89,'Distr.-Área'!$A30,'Distr.-Atv.'!U$48:U$89)</f>
        <v>300</v>
      </c>
      <c r="T30" s="7">
        <f>SUMIF('Distr.-Atv.'!$B$48:$B$89,'Distr.-Área'!$A30,'Distr.-Atv.'!V$48:V$89)</f>
        <v>300</v>
      </c>
      <c r="U30" s="7">
        <f>SUMIF('Distr.-Atv.'!$B$48:$B$89,'Distr.-Área'!$A30,'Distr.-Atv.'!W$48:W$89)</f>
        <v>437</v>
      </c>
      <c r="V30" s="7">
        <f>SUMIF('Distr.-Atv.'!$B$48:$B$89,'Distr.-Área'!$A30,'Distr.-Atv.'!X$48:X$89)</f>
        <v>620</v>
      </c>
      <c r="W30" s="7">
        <f>SUMIF('Distr.-Atv.'!$B$48:$B$89,'Distr.-Área'!$A30,'Distr.-Atv.'!Y$48:Y$89)</f>
        <v>620</v>
      </c>
      <c r="X30" s="7">
        <f>SUMIF('Distr.-Atv.'!$B$48:$B$89,'Distr.-Área'!$A30,'Distr.-Atv.'!Z$48:Z$89)</f>
        <v>620</v>
      </c>
    </row>
    <row r="31" spans="1:24" x14ac:dyDescent="0.2">
      <c r="A31" s="7" t="s">
        <v>804</v>
      </c>
      <c r="B31" s="7">
        <f>SUMIF('Distr.-Atv.'!$B$48:$B$89,'Distr.-Área'!$A31,'Distr.-Atv.'!D$48:D$89)</f>
        <v>0</v>
      </c>
      <c r="C31" s="7">
        <f>SUMIF('Distr.-Atv.'!$B$48:$B$89,'Distr.-Área'!$A31,'Distr.-Atv.'!E$48:E$89)</f>
        <v>0</v>
      </c>
      <c r="D31" s="7">
        <f>SUMIF('Distr.-Atv.'!$B$48:$B$89,'Distr.-Área'!$A31,'Distr.-Atv.'!F$48:F$89)</f>
        <v>0</v>
      </c>
      <c r="E31" s="7">
        <f>SUMIF('Distr.-Atv.'!$B$48:$B$89,'Distr.-Área'!$A31,'Distr.-Atv.'!G$48:G$89)</f>
        <v>0</v>
      </c>
      <c r="F31" s="7">
        <f>SUMIF('Distr.-Atv.'!$B$48:$B$89,'Distr.-Área'!$A31,'Distr.-Atv.'!H$48:H$89)</f>
        <v>0</v>
      </c>
      <c r="G31" s="7">
        <f>SUMIF('Distr.-Atv.'!$B$48:$B$89,'Distr.-Área'!$A31,'Distr.-Atv.'!I$48:I$89)</f>
        <v>0</v>
      </c>
      <c r="H31" s="7">
        <f>SUMIF('Distr.-Atv.'!$B$48:$B$89,'Distr.-Área'!$A31,'Distr.-Atv.'!J$48:J$89)</f>
        <v>0</v>
      </c>
      <c r="I31" s="7">
        <f>SUMIF('Distr.-Atv.'!$B$48:$B$89,'Distr.-Área'!$A31,'Distr.-Atv.'!K$48:K$89)</f>
        <v>0</v>
      </c>
      <c r="J31" s="7">
        <f>SUMIF('Distr.-Atv.'!$B$48:$B$89,'Distr.-Área'!$A31,'Distr.-Atv.'!L$48:L$89)</f>
        <v>0</v>
      </c>
      <c r="K31" s="7">
        <f>SUMIF('Distr.-Atv.'!$B$48:$B$89,'Distr.-Área'!$A31,'Distr.-Atv.'!M$48:M$89)</f>
        <v>0</v>
      </c>
      <c r="L31" s="7">
        <f>SUMIF('Distr.-Atv.'!$B$48:$B$89,'Distr.-Área'!$A31,'Distr.-Atv.'!N$48:N$89)</f>
        <v>0</v>
      </c>
      <c r="M31" s="7">
        <f>SUMIF('Distr.-Atv.'!$B$48:$B$89,'Distr.-Área'!$A31,'Distr.-Atv.'!O$48:O$89)</f>
        <v>0</v>
      </c>
      <c r="N31" s="7">
        <f>SUMIF('Distr.-Atv.'!$B$48:$B$89,'Distr.-Área'!$A31,'Distr.-Atv.'!P$48:P$89)</f>
        <v>0</v>
      </c>
      <c r="O31" s="7">
        <f>SUMIF('Distr.-Atv.'!$B$48:$B$89,'Distr.-Área'!$A31,'Distr.-Atv.'!Q$48:Q$89)</f>
        <v>1080</v>
      </c>
      <c r="P31" s="7">
        <f>SUMIF('Distr.-Atv.'!$B$48:$B$89,'Distr.-Área'!$A31,'Distr.-Atv.'!R$48:R$89)</f>
        <v>1680</v>
      </c>
      <c r="Q31" s="7">
        <f>SUMIF('Distr.-Atv.'!$B$48:$B$89,'Distr.-Área'!$A31,'Distr.-Atv.'!S$48:S$89)</f>
        <v>2062</v>
      </c>
      <c r="R31" s="7">
        <f>SUMIF('Distr.-Atv.'!$B$48:$B$89,'Distr.-Área'!$A31,'Distr.-Atv.'!T$48:T$89)</f>
        <v>2333</v>
      </c>
      <c r="S31" s="7">
        <f>SUMIF('Distr.-Atv.'!$B$48:$B$89,'Distr.-Área'!$A31,'Distr.-Atv.'!U$48:U$89)</f>
        <v>4899</v>
      </c>
      <c r="T31" s="7">
        <f>SUMIF('Distr.-Atv.'!$B$48:$B$89,'Distr.-Área'!$A31,'Distr.-Atv.'!V$48:V$89)</f>
        <v>7193</v>
      </c>
      <c r="U31" s="7">
        <f>SUMIF('Distr.-Atv.'!$B$48:$B$89,'Distr.-Área'!$A31,'Distr.-Atv.'!W$48:W$89)</f>
        <v>11061</v>
      </c>
      <c r="V31" s="7">
        <f>SUMIF('Distr.-Atv.'!$B$48:$B$89,'Distr.-Área'!$A31,'Distr.-Atv.'!X$48:X$89)</f>
        <v>13605</v>
      </c>
      <c r="W31" s="7">
        <f>SUMIF('Distr.-Atv.'!$B$48:$B$89,'Distr.-Área'!$A31,'Distr.-Atv.'!Y$48:Y$89)</f>
        <v>13605</v>
      </c>
      <c r="X31" s="7">
        <f>SUMIF('Distr.-Atv.'!$B$48:$B$89,'Distr.-Área'!$A31,'Distr.-Atv.'!Z$48:Z$89)</f>
        <v>13605</v>
      </c>
    </row>
    <row r="32" spans="1:24" x14ac:dyDescent="0.2">
      <c r="A32" s="7" t="s">
        <v>2222</v>
      </c>
      <c r="B32" s="7">
        <f>SUMIF('Distr.-Atv.'!$B$48:$B$89,'Distr.-Área'!$A32,'Distr.-Atv.'!D$48:D$89)</f>
        <v>0</v>
      </c>
      <c r="C32" s="7">
        <f>SUMIF('Distr.-Atv.'!$B$48:$B$89,'Distr.-Área'!$A32,'Distr.-Atv.'!E$48:E$89)</f>
        <v>0</v>
      </c>
      <c r="D32" s="7">
        <f>SUMIF('Distr.-Atv.'!$B$48:$B$89,'Distr.-Área'!$A32,'Distr.-Atv.'!F$48:F$89)</f>
        <v>0</v>
      </c>
      <c r="E32" s="7">
        <f>SUMIF('Distr.-Atv.'!$B$48:$B$89,'Distr.-Área'!$A32,'Distr.-Atv.'!G$48:G$89)</f>
        <v>0</v>
      </c>
      <c r="F32" s="7">
        <f>SUMIF('Distr.-Atv.'!$B$48:$B$89,'Distr.-Área'!$A32,'Distr.-Atv.'!H$48:H$89)</f>
        <v>0</v>
      </c>
      <c r="G32" s="7">
        <f>SUMIF('Distr.-Atv.'!$B$48:$B$89,'Distr.-Área'!$A32,'Distr.-Atv.'!I$48:I$89)</f>
        <v>0</v>
      </c>
      <c r="H32" s="7">
        <f>SUMIF('Distr.-Atv.'!$B$48:$B$89,'Distr.-Área'!$A32,'Distr.-Atv.'!J$48:J$89)</f>
        <v>0</v>
      </c>
      <c r="I32" s="7">
        <f>SUMIF('Distr.-Atv.'!$B$48:$B$89,'Distr.-Área'!$A32,'Distr.-Atv.'!K$48:K$89)</f>
        <v>0</v>
      </c>
      <c r="J32" s="7">
        <f>SUMIF('Distr.-Atv.'!$B$48:$B$89,'Distr.-Área'!$A32,'Distr.-Atv.'!L$48:L$89)</f>
        <v>0</v>
      </c>
      <c r="K32" s="7">
        <f>SUMIF('Distr.-Atv.'!$B$48:$B$89,'Distr.-Área'!$A32,'Distr.-Atv.'!M$48:M$89)</f>
        <v>0</v>
      </c>
      <c r="L32" s="7">
        <f>SUMIF('Distr.-Atv.'!$B$48:$B$89,'Distr.-Área'!$A32,'Distr.-Atv.'!N$48:N$89)</f>
        <v>0</v>
      </c>
      <c r="M32" s="7">
        <f>SUMIF('Distr.-Atv.'!$B$48:$B$89,'Distr.-Área'!$A32,'Distr.-Atv.'!O$48:O$89)</f>
        <v>0</v>
      </c>
      <c r="N32" s="7">
        <f>SUMIF('Distr.-Atv.'!$B$48:$B$89,'Distr.-Área'!$A32,'Distr.-Atv.'!P$48:P$89)</f>
        <v>0</v>
      </c>
      <c r="O32" s="7">
        <f>SUMIF('Distr.-Atv.'!$B$48:$B$89,'Distr.-Área'!$A32,'Distr.-Atv.'!Q$48:Q$89)</f>
        <v>0</v>
      </c>
      <c r="P32" s="7">
        <f>SUMIF('Distr.-Atv.'!$B$48:$B$89,'Distr.-Área'!$A32,'Distr.-Atv.'!R$48:R$89)</f>
        <v>0</v>
      </c>
      <c r="Q32" s="7">
        <f>SUMIF('Distr.-Atv.'!$B$48:$B$89,'Distr.-Área'!$A32,'Distr.-Atv.'!S$48:S$89)</f>
        <v>0</v>
      </c>
      <c r="R32" s="7">
        <f>SUMIF('Distr.-Atv.'!$B$48:$B$89,'Distr.-Área'!$A32,'Distr.-Atv.'!T$48:T$89)</f>
        <v>0</v>
      </c>
      <c r="S32" s="7">
        <f>SUMIF('Distr.-Atv.'!$B$48:$B$89,'Distr.-Área'!$A32,'Distr.-Atv.'!U$48:U$89)</f>
        <v>0</v>
      </c>
      <c r="T32" s="7">
        <f>SUMIF('Distr.-Atv.'!$B$48:$B$89,'Distr.-Área'!$A32,'Distr.-Atv.'!V$48:V$89)</f>
        <v>445</v>
      </c>
      <c r="U32" s="7">
        <f>SUMIF('Distr.-Atv.'!$B$48:$B$89,'Distr.-Área'!$A32,'Distr.-Atv.'!W$48:W$89)</f>
        <v>2668</v>
      </c>
      <c r="V32" s="7">
        <f>SUMIF('Distr.-Atv.'!$B$48:$B$89,'Distr.-Área'!$A32,'Distr.-Atv.'!X$48:X$89)</f>
        <v>4761</v>
      </c>
      <c r="W32" s="7">
        <f>SUMIF('Distr.-Atv.'!$B$48:$B$89,'Distr.-Área'!$A32,'Distr.-Atv.'!Y$48:Y$89)</f>
        <v>7221</v>
      </c>
      <c r="X32" s="7">
        <f>SUMIF('Distr.-Atv.'!$B$48:$B$89,'Distr.-Área'!$A32,'Distr.-Atv.'!Z$48:Z$89)</f>
        <v>8110</v>
      </c>
    </row>
    <row r="33" spans="1:24" x14ac:dyDescent="0.2">
      <c r="A33" s="7" t="s">
        <v>1054</v>
      </c>
      <c r="B33" s="7">
        <f>SUMIF('Distr.-Atv.'!$B$48:$B$89,'Distr.-Área'!$A33,'Distr.-Atv.'!D$48:D$89)</f>
        <v>0</v>
      </c>
      <c r="C33" s="7">
        <f>SUMIF('Distr.-Atv.'!$B$48:$B$89,'Distr.-Área'!$A33,'Distr.-Atv.'!E$48:E$89)</f>
        <v>0</v>
      </c>
      <c r="D33" s="7">
        <f>SUMIF('Distr.-Atv.'!$B$48:$B$89,'Distr.-Área'!$A33,'Distr.-Atv.'!F$48:F$89)</f>
        <v>0</v>
      </c>
      <c r="E33" s="7">
        <f>SUMIF('Distr.-Atv.'!$B$48:$B$89,'Distr.-Área'!$A33,'Distr.-Atv.'!G$48:G$89)</f>
        <v>0</v>
      </c>
      <c r="F33" s="7">
        <f>SUMIF('Distr.-Atv.'!$B$48:$B$89,'Distr.-Área'!$A33,'Distr.-Atv.'!H$48:H$89)</f>
        <v>0</v>
      </c>
      <c r="G33" s="7">
        <f>SUMIF('Distr.-Atv.'!$B$48:$B$89,'Distr.-Área'!$A33,'Distr.-Atv.'!I$48:I$89)</f>
        <v>0</v>
      </c>
      <c r="H33" s="7">
        <f>SUMIF('Distr.-Atv.'!$B$48:$B$89,'Distr.-Área'!$A33,'Distr.-Atv.'!J$48:J$89)</f>
        <v>0</v>
      </c>
      <c r="I33" s="7">
        <f>SUMIF('Distr.-Atv.'!$B$48:$B$89,'Distr.-Área'!$A33,'Distr.-Atv.'!K$48:K$89)</f>
        <v>0</v>
      </c>
      <c r="J33" s="7">
        <f>SUMIF('Distr.-Atv.'!$B$48:$B$89,'Distr.-Área'!$A33,'Distr.-Atv.'!L$48:L$89)</f>
        <v>0</v>
      </c>
      <c r="K33" s="7">
        <f>SUMIF('Distr.-Atv.'!$B$48:$B$89,'Distr.-Área'!$A33,'Distr.-Atv.'!M$48:M$89)</f>
        <v>0</v>
      </c>
      <c r="L33" s="7">
        <f>SUMIF('Distr.-Atv.'!$B$48:$B$89,'Distr.-Área'!$A33,'Distr.-Atv.'!N$48:N$89)</f>
        <v>0</v>
      </c>
      <c r="M33" s="7">
        <f>SUMIF('Distr.-Atv.'!$B$48:$B$89,'Distr.-Área'!$A33,'Distr.-Atv.'!O$48:O$89)</f>
        <v>0</v>
      </c>
      <c r="N33" s="7">
        <f>SUMIF('Distr.-Atv.'!$B$48:$B$89,'Distr.-Área'!$A33,'Distr.-Atv.'!P$48:P$89)</f>
        <v>0</v>
      </c>
      <c r="O33" s="7">
        <f>SUMIF('Distr.-Atv.'!$B$48:$B$89,'Distr.-Área'!$A33,'Distr.-Atv.'!Q$48:Q$89)</f>
        <v>0</v>
      </c>
      <c r="P33" s="7">
        <f>SUMIF('Distr.-Atv.'!$B$48:$B$89,'Distr.-Área'!$A33,'Distr.-Atv.'!R$48:R$89)</f>
        <v>0</v>
      </c>
      <c r="Q33" s="7">
        <f>SUMIF('Distr.-Atv.'!$B$48:$B$89,'Distr.-Área'!$A33,'Distr.-Atv.'!S$48:S$89)</f>
        <v>0</v>
      </c>
      <c r="R33" s="7">
        <f>SUMIF('Distr.-Atv.'!$B$48:$B$89,'Distr.-Área'!$A33,'Distr.-Atv.'!T$48:T$89)</f>
        <v>0</v>
      </c>
      <c r="S33" s="7">
        <f>SUMIF('Distr.-Atv.'!$B$48:$B$89,'Distr.-Área'!$A33,'Distr.-Atv.'!U$48:U$89)</f>
        <v>0</v>
      </c>
      <c r="T33" s="7">
        <f>SUMIF('Distr.-Atv.'!$B$48:$B$89,'Distr.-Área'!$A33,'Distr.-Atv.'!V$48:V$89)</f>
        <v>64</v>
      </c>
      <c r="U33" s="7">
        <f>SUMIF('Distr.-Atv.'!$B$48:$B$89,'Distr.-Área'!$A33,'Distr.-Atv.'!W$48:W$89)</f>
        <v>160</v>
      </c>
      <c r="V33" s="7">
        <f>SUMIF('Distr.-Atv.'!$B$48:$B$89,'Distr.-Área'!$A33,'Distr.-Atv.'!X$48:X$89)</f>
        <v>160</v>
      </c>
      <c r="W33" s="7">
        <f>SUMIF('Distr.-Atv.'!$B$48:$B$89,'Distr.-Área'!$A33,'Distr.-Atv.'!Y$48:Y$89)</f>
        <v>160</v>
      </c>
      <c r="X33" s="7">
        <f>SUMIF('Distr.-Atv.'!$B$48:$B$89,'Distr.-Área'!$A33,'Distr.-Atv.'!Z$48:Z$89)</f>
        <v>160</v>
      </c>
    </row>
    <row r="34" spans="1:24" x14ac:dyDescent="0.2">
      <c r="A34" s="7" t="s">
        <v>762</v>
      </c>
      <c r="B34" s="7">
        <f>SUMIF('Distr.-Atv.'!$B$48:$B$89,'Distr.-Área'!$A34,'Distr.-Atv.'!D$48:D$89)</f>
        <v>0</v>
      </c>
      <c r="C34" s="7">
        <f>SUMIF('Distr.-Atv.'!$B$48:$B$89,'Distr.-Área'!$A34,'Distr.-Atv.'!E$48:E$89)</f>
        <v>0</v>
      </c>
      <c r="D34" s="7">
        <f>SUMIF('Distr.-Atv.'!$B$48:$B$89,'Distr.-Área'!$A34,'Distr.-Atv.'!F$48:F$89)</f>
        <v>0</v>
      </c>
      <c r="E34" s="7">
        <f>SUMIF('Distr.-Atv.'!$B$48:$B$89,'Distr.-Área'!$A34,'Distr.-Atv.'!G$48:G$89)</f>
        <v>0</v>
      </c>
      <c r="F34" s="7">
        <f>SUMIF('Distr.-Atv.'!$B$48:$B$89,'Distr.-Área'!$A34,'Distr.-Atv.'!H$48:H$89)</f>
        <v>0</v>
      </c>
      <c r="G34" s="7">
        <f>SUMIF('Distr.-Atv.'!$B$48:$B$89,'Distr.-Área'!$A34,'Distr.-Atv.'!I$48:I$89)</f>
        <v>0</v>
      </c>
      <c r="H34" s="7">
        <f>SUMIF('Distr.-Atv.'!$B$48:$B$89,'Distr.-Área'!$A34,'Distr.-Atv.'!J$48:J$89)</f>
        <v>0</v>
      </c>
      <c r="I34" s="7">
        <f>SUMIF('Distr.-Atv.'!$B$48:$B$89,'Distr.-Área'!$A34,'Distr.-Atv.'!K$48:K$89)</f>
        <v>0</v>
      </c>
      <c r="J34" s="7">
        <f>SUMIF('Distr.-Atv.'!$B$48:$B$89,'Distr.-Área'!$A34,'Distr.-Atv.'!L$48:L$89)</f>
        <v>0</v>
      </c>
      <c r="K34" s="7">
        <f>SUMIF('Distr.-Atv.'!$B$48:$B$89,'Distr.-Área'!$A34,'Distr.-Atv.'!M$48:M$89)</f>
        <v>0</v>
      </c>
      <c r="L34" s="7">
        <f>SUMIF('Distr.-Atv.'!$B$48:$B$89,'Distr.-Área'!$A34,'Distr.-Atv.'!N$48:N$89)</f>
        <v>0</v>
      </c>
      <c r="M34" s="7">
        <f>SUMIF('Distr.-Atv.'!$B$48:$B$89,'Distr.-Área'!$A34,'Distr.-Atv.'!O$48:O$89)</f>
        <v>0</v>
      </c>
      <c r="N34" s="7">
        <f>SUMIF('Distr.-Atv.'!$B$48:$B$89,'Distr.-Área'!$A34,'Distr.-Atv.'!P$48:P$89)</f>
        <v>0</v>
      </c>
      <c r="O34" s="7">
        <f>SUMIF('Distr.-Atv.'!$B$48:$B$89,'Distr.-Área'!$A34,'Distr.-Atv.'!Q$48:Q$89)</f>
        <v>667</v>
      </c>
      <c r="P34" s="7">
        <f>SUMIF('Distr.-Atv.'!$B$48:$B$89,'Distr.-Área'!$A34,'Distr.-Atv.'!R$48:R$89)</f>
        <v>1000</v>
      </c>
      <c r="Q34" s="7">
        <f>SUMIF('Distr.-Atv.'!$B$48:$B$89,'Distr.-Área'!$A34,'Distr.-Atv.'!S$48:S$89)</f>
        <v>1100</v>
      </c>
      <c r="R34" s="7">
        <f>SUMIF('Distr.-Atv.'!$B$48:$B$89,'Distr.-Área'!$A34,'Distr.-Atv.'!T$48:T$89)</f>
        <v>1768</v>
      </c>
      <c r="S34" s="7">
        <f>SUMIF('Distr.-Atv.'!$B$48:$B$89,'Distr.-Área'!$A34,'Distr.-Atv.'!U$48:U$89)</f>
        <v>4441</v>
      </c>
      <c r="T34" s="7">
        <f>SUMIF('Distr.-Atv.'!$B$48:$B$89,'Distr.-Área'!$A34,'Distr.-Atv.'!V$48:V$89)</f>
        <v>7782</v>
      </c>
      <c r="U34" s="7">
        <f>SUMIF('Distr.-Atv.'!$B$48:$B$89,'Distr.-Área'!$A34,'Distr.-Atv.'!W$48:W$89)</f>
        <v>11123</v>
      </c>
      <c r="V34" s="7">
        <f>SUMIF('Distr.-Atv.'!$B$48:$B$89,'Distr.-Área'!$A34,'Distr.-Atv.'!X$48:X$89)</f>
        <v>14464</v>
      </c>
      <c r="W34" s="7">
        <f>SUMIF('Distr.-Atv.'!$B$48:$B$89,'Distr.-Área'!$A34,'Distr.-Atv.'!Y$48:Y$89)</f>
        <v>15800</v>
      </c>
      <c r="X34" s="7">
        <f>SUMIF('Distr.-Atv.'!$B$48:$B$89,'Distr.-Área'!$A34,'Distr.-Atv.'!Z$48:Z$89)</f>
        <v>15800</v>
      </c>
    </row>
    <row r="35" spans="1:24" x14ac:dyDescent="0.2">
      <c r="A35" s="34" t="s">
        <v>787</v>
      </c>
      <c r="B35" s="7">
        <f>SUMIF('Distr.-Atv.'!$B$48:$B$89,'Distr.-Área'!$A35,'Distr.-Atv.'!D$48:D$89)</f>
        <v>0</v>
      </c>
      <c r="C35" s="7">
        <f>SUMIF('Distr.-Atv.'!$B$48:$B$89,'Distr.-Área'!$A35,'Distr.-Atv.'!E$48:E$89)</f>
        <v>0</v>
      </c>
      <c r="D35" s="7">
        <f>SUMIF('Distr.-Atv.'!$B$48:$B$89,'Distr.-Área'!$A35,'Distr.-Atv.'!F$48:F$89)</f>
        <v>0</v>
      </c>
      <c r="E35" s="7">
        <f>SUMIF('Distr.-Atv.'!$B$48:$B$89,'Distr.-Área'!$A35,'Distr.-Atv.'!G$48:G$89)</f>
        <v>0</v>
      </c>
      <c r="F35" s="7">
        <f>SUMIF('Distr.-Atv.'!$B$48:$B$89,'Distr.-Área'!$A35,'Distr.-Atv.'!H$48:H$89)</f>
        <v>0</v>
      </c>
      <c r="G35" s="7">
        <f>SUMIF('Distr.-Atv.'!$B$48:$B$89,'Distr.-Área'!$A35,'Distr.-Atv.'!I$48:I$89)</f>
        <v>0</v>
      </c>
      <c r="H35" s="7">
        <f>SUMIF('Distr.-Atv.'!$B$48:$B$89,'Distr.-Área'!$A35,'Distr.-Atv.'!J$48:J$89)</f>
        <v>0</v>
      </c>
      <c r="I35" s="7">
        <f>SUMIF('Distr.-Atv.'!$B$48:$B$89,'Distr.-Área'!$A35,'Distr.-Atv.'!K$48:K$89)</f>
        <v>0</v>
      </c>
      <c r="J35" s="7">
        <f>SUMIF('Distr.-Atv.'!$B$48:$B$89,'Distr.-Área'!$A35,'Distr.-Atv.'!L$48:L$89)</f>
        <v>0</v>
      </c>
      <c r="K35" s="7">
        <f>SUMIF('Distr.-Atv.'!$B$48:$B$89,'Distr.-Área'!$A35,'Distr.-Atv.'!M$48:M$89)</f>
        <v>0</v>
      </c>
      <c r="L35" s="7">
        <f>SUMIF('Distr.-Atv.'!$B$48:$B$89,'Distr.-Área'!$A35,'Distr.-Atv.'!N$48:N$89)</f>
        <v>0</v>
      </c>
      <c r="M35" s="7">
        <f>SUMIF('Distr.-Atv.'!$B$48:$B$89,'Distr.-Área'!$A35,'Distr.-Atv.'!O$48:O$89)</f>
        <v>0</v>
      </c>
      <c r="N35" s="7">
        <f>SUMIF('Distr.-Atv.'!$B$48:$B$89,'Distr.-Área'!$A35,'Distr.-Atv.'!P$48:P$89)</f>
        <v>0</v>
      </c>
      <c r="O35" s="7">
        <f>SUMIF('Distr.-Atv.'!$B$48:$B$89,'Distr.-Área'!$A35,'Distr.-Atv.'!Q$48:Q$89)</f>
        <v>0</v>
      </c>
      <c r="P35" s="7">
        <f>SUMIF('Distr.-Atv.'!$B$48:$B$89,'Distr.-Área'!$A35,'Distr.-Atv.'!R$48:R$89)</f>
        <v>0</v>
      </c>
      <c r="Q35" s="7">
        <f>SUMIF('Distr.-Atv.'!$B$48:$B$89,'Distr.-Área'!$A35,'Distr.-Atv.'!S$48:S$89)</f>
        <v>1500</v>
      </c>
      <c r="R35" s="7">
        <f>SUMIF('Distr.-Atv.'!$B$48:$B$89,'Distr.-Área'!$A35,'Distr.-Atv.'!T$48:T$89)</f>
        <v>1500</v>
      </c>
      <c r="S35" s="7">
        <f>SUMIF('Distr.-Atv.'!$B$48:$B$89,'Distr.-Área'!$A35,'Distr.-Atv.'!U$48:U$89)</f>
        <v>1500</v>
      </c>
      <c r="T35" s="7">
        <f>SUMIF('Distr.-Atv.'!$B$48:$B$89,'Distr.-Área'!$A35,'Distr.-Atv.'!V$48:V$89)</f>
        <v>1500</v>
      </c>
      <c r="U35" s="7">
        <f>SUMIF('Distr.-Atv.'!$B$48:$B$89,'Distr.-Área'!$A35,'Distr.-Atv.'!W$48:W$89)</f>
        <v>2380</v>
      </c>
      <c r="V35" s="7">
        <f>SUMIF('Distr.-Atv.'!$B$48:$B$89,'Distr.-Área'!$A35,'Distr.-Atv.'!X$48:X$89)</f>
        <v>3480</v>
      </c>
      <c r="W35" s="7">
        <f>SUMIF('Distr.-Atv.'!$B$48:$B$89,'Distr.-Área'!$A35,'Distr.-Atv.'!Y$48:Y$89)</f>
        <v>4580</v>
      </c>
      <c r="X35" s="7">
        <f>SUMIF('Distr.-Atv.'!$B$48:$B$89,'Distr.-Área'!$A35,'Distr.-Atv.'!Z$48:Z$89)</f>
        <v>4800</v>
      </c>
    </row>
    <row r="36" spans="1:24" x14ac:dyDescent="0.2">
      <c r="A36" s="7" t="s">
        <v>402</v>
      </c>
      <c r="B36" s="7">
        <f>SUMIF('Distr.-Atv.'!$B$48:$B$89,'Distr.-Área'!$A36,'Distr.-Atv.'!D$48:D$89)</f>
        <v>0</v>
      </c>
      <c r="C36" s="7">
        <f>SUMIF('Distr.-Atv.'!$B$48:$B$89,'Distr.-Área'!$A36,'Distr.-Atv.'!E$48:E$89)</f>
        <v>0</v>
      </c>
      <c r="D36" s="7">
        <f>SUMIF('Distr.-Atv.'!$B$48:$B$89,'Distr.-Área'!$A36,'Distr.-Atv.'!F$48:F$89)</f>
        <v>0</v>
      </c>
      <c r="E36" s="7">
        <f>SUMIF('Distr.-Atv.'!$B$48:$B$89,'Distr.-Área'!$A36,'Distr.-Atv.'!G$48:G$89)</f>
        <v>0</v>
      </c>
      <c r="F36" s="7">
        <f>SUMIF('Distr.-Atv.'!$B$48:$B$89,'Distr.-Área'!$A36,'Distr.-Atv.'!H$48:H$89)</f>
        <v>0</v>
      </c>
      <c r="G36" s="7">
        <f>SUMIF('Distr.-Atv.'!$B$48:$B$89,'Distr.-Área'!$A36,'Distr.-Atv.'!I$48:I$89)</f>
        <v>0</v>
      </c>
      <c r="H36" s="7">
        <f>SUMIF('Distr.-Atv.'!$B$48:$B$89,'Distr.-Área'!$A36,'Distr.-Atv.'!J$48:J$89)</f>
        <v>0</v>
      </c>
      <c r="I36" s="7">
        <f>SUMIF('Distr.-Atv.'!$B$48:$B$89,'Distr.-Área'!$A36,'Distr.-Atv.'!K$48:K$89)</f>
        <v>0</v>
      </c>
      <c r="J36" s="7">
        <f>SUMIF('Distr.-Atv.'!$B$48:$B$89,'Distr.-Área'!$A36,'Distr.-Atv.'!L$48:L$89)</f>
        <v>0</v>
      </c>
      <c r="K36" s="7">
        <f>SUMIF('Distr.-Atv.'!$B$48:$B$89,'Distr.-Área'!$A36,'Distr.-Atv.'!M$48:M$89)</f>
        <v>0</v>
      </c>
      <c r="L36" s="7">
        <f>SUMIF('Distr.-Atv.'!$B$48:$B$89,'Distr.-Área'!$A36,'Distr.-Atv.'!N$48:N$89)</f>
        <v>0</v>
      </c>
      <c r="M36" s="7">
        <f>SUMIF('Distr.-Atv.'!$B$48:$B$89,'Distr.-Área'!$A36,'Distr.-Atv.'!O$48:O$89)</f>
        <v>0</v>
      </c>
      <c r="N36" s="7">
        <f>SUMIF('Distr.-Atv.'!$B$48:$B$89,'Distr.-Área'!$A36,'Distr.-Atv.'!P$48:P$89)</f>
        <v>0</v>
      </c>
      <c r="O36" s="7">
        <f>SUMIF('Distr.-Atv.'!$B$48:$B$89,'Distr.-Área'!$A36,'Distr.-Atv.'!Q$48:Q$89)</f>
        <v>0</v>
      </c>
      <c r="P36" s="7">
        <f>SUMIF('Distr.-Atv.'!$B$48:$B$89,'Distr.-Área'!$A36,'Distr.-Atv.'!R$48:R$89)</f>
        <v>1003</v>
      </c>
      <c r="Q36" s="7">
        <f>SUMIF('Distr.-Atv.'!$B$48:$B$89,'Distr.-Área'!$A36,'Distr.-Atv.'!S$48:S$89)</f>
        <v>3173</v>
      </c>
      <c r="R36" s="7">
        <f>SUMIF('Distr.-Atv.'!$B$48:$B$89,'Distr.-Área'!$A36,'Distr.-Atv.'!T$48:T$89)</f>
        <v>4507</v>
      </c>
      <c r="S36" s="7">
        <f>SUMIF('Distr.-Atv.'!$B$48:$B$89,'Distr.-Área'!$A36,'Distr.-Atv.'!U$48:U$89)</f>
        <v>4840</v>
      </c>
      <c r="T36" s="7">
        <f>SUMIF('Distr.-Atv.'!$B$48:$B$89,'Distr.-Área'!$A36,'Distr.-Atv.'!V$48:V$89)</f>
        <v>4840</v>
      </c>
      <c r="U36" s="7">
        <f>SUMIF('Distr.-Atv.'!$B$48:$B$89,'Distr.-Área'!$A36,'Distr.-Atv.'!W$48:W$89)</f>
        <v>4840</v>
      </c>
      <c r="V36" s="7">
        <f>SUMIF('Distr.-Atv.'!$B$48:$B$89,'Distr.-Área'!$A36,'Distr.-Atv.'!X$48:X$89)</f>
        <v>4840</v>
      </c>
      <c r="W36" s="7">
        <f>SUMIF('Distr.-Atv.'!$B$48:$B$89,'Distr.-Área'!$A36,'Distr.-Atv.'!Y$48:Y$89)</f>
        <v>4840</v>
      </c>
      <c r="X36" s="7">
        <f>SUMIF('Distr.-Atv.'!$B$48:$B$89,'Distr.-Área'!$A36,'Distr.-Atv.'!Z$48:Z$89)</f>
        <v>4840</v>
      </c>
    </row>
    <row r="37" spans="1:24" x14ac:dyDescent="0.2">
      <c r="A37" s="7" t="s">
        <v>1098</v>
      </c>
      <c r="B37" s="7">
        <f>SUMIF('Distr.-Atv.'!$B$48:$B$89,'Distr.-Área'!$A37,'Distr.-Atv.'!D$48:D$89)</f>
        <v>0</v>
      </c>
      <c r="C37" s="7">
        <f>SUMIF('Distr.-Atv.'!$B$48:$B$89,'Distr.-Área'!$A37,'Distr.-Atv.'!E$48:E$89)</f>
        <v>0</v>
      </c>
      <c r="D37" s="7">
        <f>SUMIF('Distr.-Atv.'!$B$48:$B$89,'Distr.-Área'!$A37,'Distr.-Atv.'!F$48:F$89)</f>
        <v>114</v>
      </c>
      <c r="E37" s="7">
        <f>SUMIF('Distr.-Atv.'!$B$48:$B$89,'Distr.-Área'!$A37,'Distr.-Atv.'!G$48:G$89)</f>
        <v>399</v>
      </c>
      <c r="F37" s="7">
        <f>SUMIF('Distr.-Atv.'!$B$48:$B$89,'Distr.-Área'!$A37,'Distr.-Atv.'!H$48:H$89)</f>
        <v>672</v>
      </c>
      <c r="G37" s="7">
        <f>SUMIF('Distr.-Atv.'!$B$48:$B$89,'Distr.-Área'!$A37,'Distr.-Atv.'!I$48:I$89)</f>
        <v>927</v>
      </c>
      <c r="H37" s="7">
        <f>SUMIF('Distr.-Atv.'!$B$48:$B$89,'Distr.-Área'!$A37,'Distr.-Atv.'!J$48:J$89)</f>
        <v>1080</v>
      </c>
      <c r="I37" s="7">
        <f>SUMIF('Distr.-Atv.'!$B$48:$B$89,'Distr.-Área'!$A37,'Distr.-Atv.'!K$48:K$89)</f>
        <v>1080</v>
      </c>
      <c r="J37" s="7">
        <f>SUMIF('Distr.-Atv.'!$B$48:$B$89,'Distr.-Área'!$A37,'Distr.-Atv.'!L$48:L$89)</f>
        <v>1080</v>
      </c>
      <c r="K37" s="7">
        <f>SUMIF('Distr.-Atv.'!$B$48:$B$89,'Distr.-Área'!$A37,'Distr.-Atv.'!M$48:M$89)</f>
        <v>1080</v>
      </c>
      <c r="L37" s="7">
        <f>SUMIF('Distr.-Atv.'!$B$48:$B$89,'Distr.-Área'!$A37,'Distr.-Atv.'!N$48:N$89)</f>
        <v>1080</v>
      </c>
      <c r="M37" s="7">
        <f>SUMIF('Distr.-Atv.'!$B$48:$B$89,'Distr.-Área'!$A37,'Distr.-Atv.'!O$48:O$89)</f>
        <v>1080</v>
      </c>
      <c r="N37" s="7">
        <f>SUMIF('Distr.-Atv.'!$B$48:$B$89,'Distr.-Área'!$A37,'Distr.-Atv.'!P$48:P$89)</f>
        <v>1080</v>
      </c>
      <c r="O37" s="7">
        <f>SUMIF('Distr.-Atv.'!$B$48:$B$89,'Distr.-Área'!$A37,'Distr.-Atv.'!Q$48:Q$89)</f>
        <v>1080</v>
      </c>
      <c r="P37" s="7">
        <f>SUMIF('Distr.-Atv.'!$B$48:$B$89,'Distr.-Área'!$A37,'Distr.-Atv.'!R$48:R$89)</f>
        <v>3080</v>
      </c>
      <c r="Q37" s="7">
        <f>SUMIF('Distr.-Atv.'!$B$48:$B$89,'Distr.-Área'!$A37,'Distr.-Atv.'!S$48:S$89)</f>
        <v>3480</v>
      </c>
      <c r="R37" s="7">
        <f>SUMIF('Distr.-Atv.'!$B$48:$B$89,'Distr.-Área'!$A37,'Distr.-Atv.'!T$48:T$89)</f>
        <v>3480</v>
      </c>
      <c r="S37" s="7">
        <f>SUMIF('Distr.-Atv.'!$B$48:$B$89,'Distr.-Área'!$A37,'Distr.-Atv.'!U$48:U$89)</f>
        <v>3480</v>
      </c>
      <c r="T37" s="7">
        <f>SUMIF('Distr.-Atv.'!$B$48:$B$89,'Distr.-Área'!$A37,'Distr.-Atv.'!V$48:V$89)</f>
        <v>3480</v>
      </c>
      <c r="U37" s="7">
        <f>SUMIF('Distr.-Atv.'!$B$48:$B$89,'Distr.-Área'!$A37,'Distr.-Atv.'!W$48:W$89)</f>
        <v>3480</v>
      </c>
      <c r="V37" s="7">
        <f>SUMIF('Distr.-Atv.'!$B$48:$B$89,'Distr.-Área'!$A37,'Distr.-Atv.'!X$48:X$89)</f>
        <v>3480</v>
      </c>
      <c r="W37" s="7">
        <f>SUMIF('Distr.-Atv.'!$B$48:$B$89,'Distr.-Área'!$A37,'Distr.-Atv.'!Y$48:Y$89)</f>
        <v>3480</v>
      </c>
      <c r="X37" s="7">
        <f>SUMIF('Distr.-Atv.'!$B$48:$B$89,'Distr.-Área'!$A37,'Distr.-Atv.'!Z$48:Z$89)</f>
        <v>3480</v>
      </c>
    </row>
    <row r="38" spans="1:24" x14ac:dyDescent="0.2">
      <c r="A38" s="7" t="s">
        <v>1668</v>
      </c>
      <c r="B38" s="7">
        <f>SUMIF('Distr.-Atv.'!$B$48:$B$89,'Distr.-Área'!$A38,'Distr.-Atv.'!D$48:D$89)</f>
        <v>0</v>
      </c>
      <c r="C38" s="7">
        <f>SUMIF('Distr.-Atv.'!$B$48:$B$89,'Distr.-Área'!$A38,'Distr.-Atv.'!E$48:E$89)</f>
        <v>0</v>
      </c>
      <c r="D38" s="7">
        <f>SUMIF('Distr.-Atv.'!$B$48:$B$89,'Distr.-Área'!$A38,'Distr.-Atv.'!F$48:F$89)</f>
        <v>0</v>
      </c>
      <c r="E38" s="7">
        <f>SUMIF('Distr.-Atv.'!$B$48:$B$89,'Distr.-Área'!$A38,'Distr.-Atv.'!G$48:G$89)</f>
        <v>0</v>
      </c>
      <c r="F38" s="7">
        <f>SUMIF('Distr.-Atv.'!$B$48:$B$89,'Distr.-Área'!$A38,'Distr.-Atv.'!H$48:H$89)</f>
        <v>0</v>
      </c>
      <c r="G38" s="7">
        <f>SUMIF('Distr.-Atv.'!$B$48:$B$89,'Distr.-Área'!$A38,'Distr.-Atv.'!I$48:I$89)</f>
        <v>0</v>
      </c>
      <c r="H38" s="7">
        <f>SUMIF('Distr.-Atv.'!$B$48:$B$89,'Distr.-Área'!$A38,'Distr.-Atv.'!J$48:J$89)</f>
        <v>0</v>
      </c>
      <c r="I38" s="7">
        <f>SUMIF('Distr.-Atv.'!$B$48:$B$89,'Distr.-Área'!$A38,'Distr.-Atv.'!K$48:K$89)</f>
        <v>0</v>
      </c>
      <c r="J38" s="7">
        <f>SUMIF('Distr.-Atv.'!$B$48:$B$89,'Distr.-Área'!$A38,'Distr.-Atv.'!L$48:L$89)</f>
        <v>0</v>
      </c>
      <c r="K38" s="7">
        <f>SUMIF('Distr.-Atv.'!$B$48:$B$89,'Distr.-Área'!$A38,'Distr.-Atv.'!M$48:M$89)</f>
        <v>0</v>
      </c>
      <c r="L38" s="7">
        <f>SUMIF('Distr.-Atv.'!$B$48:$B$89,'Distr.-Área'!$A38,'Distr.-Atv.'!N$48:N$89)</f>
        <v>0</v>
      </c>
      <c r="M38" s="7">
        <f>SUMIF('Distr.-Atv.'!$B$48:$B$89,'Distr.-Área'!$A38,'Distr.-Atv.'!O$48:O$89)</f>
        <v>0</v>
      </c>
      <c r="N38" s="7">
        <f>SUMIF('Distr.-Atv.'!$B$48:$B$89,'Distr.-Área'!$A38,'Distr.-Atv.'!P$48:P$89)</f>
        <v>0</v>
      </c>
      <c r="O38" s="7">
        <f>SUMIF('Distr.-Atv.'!$B$48:$B$89,'Distr.-Área'!$A38,'Distr.-Atv.'!Q$48:Q$89)</f>
        <v>0</v>
      </c>
      <c r="P38" s="7">
        <f>SUMIF('Distr.-Atv.'!$B$48:$B$89,'Distr.-Área'!$A38,'Distr.-Atv.'!R$48:R$89)</f>
        <v>0</v>
      </c>
      <c r="Q38" s="7">
        <f>SUMIF('Distr.-Atv.'!$B$48:$B$89,'Distr.-Área'!$A38,'Distr.-Atv.'!S$48:S$89)</f>
        <v>400</v>
      </c>
      <c r="R38" s="7">
        <f>SUMIF('Distr.-Atv.'!$B$48:$B$89,'Distr.-Área'!$A38,'Distr.-Atv.'!T$48:T$89)</f>
        <v>400</v>
      </c>
      <c r="S38" s="7">
        <f>SUMIF('Distr.-Atv.'!$B$48:$B$89,'Distr.-Área'!$A38,'Distr.-Atv.'!U$48:U$89)</f>
        <v>400</v>
      </c>
      <c r="T38" s="7">
        <f>SUMIF('Distr.-Atv.'!$B$48:$B$89,'Distr.-Área'!$A38,'Distr.-Atv.'!V$48:V$89)</f>
        <v>400</v>
      </c>
      <c r="U38" s="7">
        <f>SUMIF('Distr.-Atv.'!$B$48:$B$89,'Distr.-Área'!$A38,'Distr.-Atv.'!W$48:W$89)</f>
        <v>400</v>
      </c>
      <c r="V38" s="7">
        <f>SUMIF('Distr.-Atv.'!$B$48:$B$89,'Distr.-Área'!$A38,'Distr.-Atv.'!X$48:X$89)</f>
        <v>400</v>
      </c>
      <c r="W38" s="7">
        <f>SUMIF('Distr.-Atv.'!$B$48:$B$89,'Distr.-Área'!$A38,'Distr.-Atv.'!Y$48:Y$89)</f>
        <v>400</v>
      </c>
      <c r="X38" s="7">
        <f>SUMIF('Distr.-Atv.'!$B$48:$B$89,'Distr.-Área'!$A38,'Distr.-Atv.'!Z$48:Z$89)</f>
        <v>400</v>
      </c>
    </row>
    <row r="39" spans="1:24" x14ac:dyDescent="0.2">
      <c r="A39" s="7" t="s">
        <v>2239</v>
      </c>
      <c r="B39" s="7">
        <f>SUMIF('Distr.-Atv.'!$B$48:$B$89,'Distr.-Área'!$A39,'Distr.-Atv.'!D$48:D$89)</f>
        <v>0</v>
      </c>
      <c r="C39" s="7">
        <f>SUMIF('Distr.-Atv.'!$B$48:$B$89,'Distr.-Área'!$A39,'Distr.-Atv.'!E$48:E$89)</f>
        <v>0</v>
      </c>
      <c r="D39" s="7">
        <f>SUMIF('Distr.-Atv.'!$B$48:$B$89,'Distr.-Área'!$A39,'Distr.-Atv.'!F$48:F$89)</f>
        <v>0</v>
      </c>
      <c r="E39" s="7">
        <f>SUMIF('Distr.-Atv.'!$B$48:$B$89,'Distr.-Área'!$A39,'Distr.-Atv.'!G$48:G$89)</f>
        <v>67</v>
      </c>
      <c r="F39" s="7">
        <f>SUMIF('Distr.-Atv.'!$B$48:$B$89,'Distr.-Área'!$A39,'Distr.-Atv.'!H$48:H$89)</f>
        <v>200</v>
      </c>
      <c r="G39" s="7">
        <f>SUMIF('Distr.-Atv.'!$B$48:$B$89,'Distr.-Área'!$A39,'Distr.-Atv.'!I$48:I$89)</f>
        <v>200</v>
      </c>
      <c r="H39" s="7">
        <f>SUMIF('Distr.-Atv.'!$B$48:$B$89,'Distr.-Área'!$A39,'Distr.-Atv.'!J$48:J$89)</f>
        <v>200</v>
      </c>
      <c r="I39" s="7">
        <f>SUMIF('Distr.-Atv.'!$B$48:$B$89,'Distr.-Área'!$A39,'Distr.-Atv.'!K$48:K$89)</f>
        <v>200</v>
      </c>
      <c r="J39" s="7">
        <f>SUMIF('Distr.-Atv.'!$B$48:$B$89,'Distr.-Área'!$A39,'Distr.-Atv.'!L$48:L$89)</f>
        <v>200</v>
      </c>
      <c r="K39" s="7">
        <f>SUMIF('Distr.-Atv.'!$B$48:$B$89,'Distr.-Área'!$A39,'Distr.-Atv.'!M$48:M$89)</f>
        <v>200</v>
      </c>
      <c r="L39" s="7">
        <f>SUMIF('Distr.-Atv.'!$B$48:$B$89,'Distr.-Área'!$A39,'Distr.-Atv.'!N$48:N$89)</f>
        <v>200</v>
      </c>
      <c r="M39" s="7">
        <f>SUMIF('Distr.-Atv.'!$B$48:$B$89,'Distr.-Área'!$A39,'Distr.-Atv.'!O$48:O$89)</f>
        <v>200</v>
      </c>
      <c r="N39" s="7">
        <f>SUMIF('Distr.-Atv.'!$B$48:$B$89,'Distr.-Área'!$A39,'Distr.-Atv.'!P$48:P$89)</f>
        <v>200</v>
      </c>
      <c r="O39" s="7">
        <f>SUMIF('Distr.-Atv.'!$B$48:$B$89,'Distr.-Área'!$A39,'Distr.-Atv.'!Q$48:Q$89)</f>
        <v>200</v>
      </c>
      <c r="P39" s="7">
        <f>SUMIF('Distr.-Atv.'!$B$48:$B$89,'Distr.-Área'!$A39,'Distr.-Atv.'!R$48:R$89)</f>
        <v>200</v>
      </c>
      <c r="Q39" s="7">
        <f>SUMIF('Distr.-Atv.'!$B$48:$B$89,'Distr.-Área'!$A39,'Distr.-Atv.'!S$48:S$89)</f>
        <v>200</v>
      </c>
      <c r="R39" s="7">
        <f>SUMIF('Distr.-Atv.'!$B$48:$B$89,'Distr.-Área'!$A39,'Distr.-Atv.'!T$48:T$89)</f>
        <v>200</v>
      </c>
      <c r="S39" s="7">
        <f>SUMIF('Distr.-Atv.'!$B$48:$B$89,'Distr.-Área'!$A39,'Distr.-Atv.'!U$48:U$89)</f>
        <v>200</v>
      </c>
      <c r="T39" s="7">
        <f>SUMIF('Distr.-Atv.'!$B$48:$B$89,'Distr.-Área'!$A39,'Distr.-Atv.'!V$48:V$89)</f>
        <v>200</v>
      </c>
      <c r="U39" s="7">
        <f>SUMIF('Distr.-Atv.'!$B$48:$B$89,'Distr.-Área'!$A39,'Distr.-Atv.'!W$48:W$89)</f>
        <v>200</v>
      </c>
      <c r="V39" s="7">
        <f>SUMIF('Distr.-Atv.'!$B$48:$B$89,'Distr.-Área'!$A39,'Distr.-Atv.'!X$48:X$89)</f>
        <v>200</v>
      </c>
      <c r="W39" s="7">
        <f>SUMIF('Distr.-Atv.'!$B$48:$B$89,'Distr.-Área'!$A39,'Distr.-Atv.'!Y$48:Y$89)</f>
        <v>200</v>
      </c>
      <c r="X39" s="7">
        <f>SUMIF('Distr.-Atv.'!$B$48:$B$89,'Distr.-Área'!$A39,'Distr.-Atv.'!Z$48:Z$89)</f>
        <v>200</v>
      </c>
    </row>
    <row r="40" spans="1:24" x14ac:dyDescent="0.2">
      <c r="A40" s="7" t="s">
        <v>235</v>
      </c>
      <c r="B40" s="7">
        <f>SUMIF('Distr.-Atv.'!$B$48:$B$89,'Distr.-Área'!$A40,'Distr.-Atv.'!D$48:D$89)</f>
        <v>0</v>
      </c>
      <c r="C40" s="7">
        <f>SUMIF('Distr.-Atv.'!$B$48:$B$89,'Distr.-Área'!$A40,'Distr.-Atv.'!E$48:E$89)</f>
        <v>0</v>
      </c>
      <c r="D40" s="7">
        <f>SUMIF('Distr.-Atv.'!$B$48:$B$89,'Distr.-Área'!$A40,'Distr.-Atv.'!F$48:F$89)</f>
        <v>0</v>
      </c>
      <c r="E40" s="7">
        <f>SUMIF('Distr.-Atv.'!$B$48:$B$89,'Distr.-Área'!$A40,'Distr.-Atv.'!G$48:G$89)</f>
        <v>0</v>
      </c>
      <c r="F40" s="7">
        <f>SUMIF('Distr.-Atv.'!$B$48:$B$89,'Distr.-Área'!$A40,'Distr.-Atv.'!H$48:H$89)</f>
        <v>0</v>
      </c>
      <c r="G40" s="7">
        <f>SUMIF('Distr.-Atv.'!$B$48:$B$89,'Distr.-Área'!$A40,'Distr.-Atv.'!I$48:I$89)</f>
        <v>0</v>
      </c>
      <c r="H40" s="7">
        <f>SUMIF('Distr.-Atv.'!$B$48:$B$89,'Distr.-Área'!$A40,'Distr.-Atv.'!J$48:J$89)</f>
        <v>0</v>
      </c>
      <c r="I40" s="7">
        <f>SUMIF('Distr.-Atv.'!$B$48:$B$89,'Distr.-Área'!$A40,'Distr.-Atv.'!K$48:K$89)</f>
        <v>0</v>
      </c>
      <c r="J40" s="7">
        <f>SUMIF('Distr.-Atv.'!$B$48:$B$89,'Distr.-Área'!$A40,'Distr.-Atv.'!L$48:L$89)</f>
        <v>0</v>
      </c>
      <c r="K40" s="7">
        <f>SUMIF('Distr.-Atv.'!$B$48:$B$89,'Distr.-Área'!$A40,'Distr.-Atv.'!M$48:M$89)</f>
        <v>567</v>
      </c>
      <c r="L40" s="7">
        <f>SUMIF('Distr.-Atv.'!$B$48:$B$89,'Distr.-Área'!$A40,'Distr.-Atv.'!N$48:N$89)</f>
        <v>1020</v>
      </c>
      <c r="M40" s="7">
        <f>SUMIF('Distr.-Atv.'!$B$48:$B$89,'Distr.-Área'!$A40,'Distr.-Atv.'!O$48:O$89)</f>
        <v>1360</v>
      </c>
      <c r="N40" s="7">
        <f>SUMIF('Distr.-Atv.'!$B$48:$B$89,'Distr.-Área'!$A40,'Distr.-Atv.'!P$48:P$89)</f>
        <v>1360</v>
      </c>
      <c r="O40" s="7">
        <f>SUMIF('Distr.-Atv.'!$B$48:$B$89,'Distr.-Área'!$A40,'Distr.-Atv.'!Q$48:Q$89)</f>
        <v>1860</v>
      </c>
      <c r="P40" s="7">
        <f>SUMIF('Distr.-Atv.'!$B$48:$B$89,'Distr.-Área'!$A40,'Distr.-Atv.'!R$48:R$89)</f>
        <v>1860</v>
      </c>
      <c r="Q40" s="7">
        <f>SUMIF('Distr.-Atv.'!$B$48:$B$89,'Distr.-Área'!$A40,'Distr.-Atv.'!S$48:S$89)</f>
        <v>1860</v>
      </c>
      <c r="R40" s="7">
        <f>SUMIF('Distr.-Atv.'!$B$48:$B$89,'Distr.-Área'!$A40,'Distr.-Atv.'!T$48:T$89)</f>
        <v>1860</v>
      </c>
      <c r="S40" s="7">
        <f>SUMIF('Distr.-Atv.'!$B$48:$B$89,'Distr.-Área'!$A40,'Distr.-Atv.'!U$48:U$89)</f>
        <v>1860</v>
      </c>
      <c r="T40" s="7">
        <f>SUMIF('Distr.-Atv.'!$B$48:$B$89,'Distr.-Área'!$A40,'Distr.-Atv.'!V$48:V$89)</f>
        <v>1860</v>
      </c>
      <c r="U40" s="7">
        <f>SUMIF('Distr.-Atv.'!$B$48:$B$89,'Distr.-Área'!$A40,'Distr.-Atv.'!W$48:W$89)</f>
        <v>1860</v>
      </c>
      <c r="V40" s="7">
        <f>SUMIF('Distr.-Atv.'!$B$48:$B$89,'Distr.-Área'!$A40,'Distr.-Atv.'!X$48:X$89)</f>
        <v>1860</v>
      </c>
      <c r="W40" s="7">
        <f>SUMIF('Distr.-Atv.'!$B$48:$B$89,'Distr.-Área'!$A40,'Distr.-Atv.'!Y$48:Y$89)</f>
        <v>1860</v>
      </c>
      <c r="X40" s="7">
        <f>SUMIF('Distr.-Atv.'!$B$48:$B$89,'Distr.-Área'!$A40,'Distr.-Atv.'!Z$48:Z$89)</f>
        <v>1860</v>
      </c>
    </row>
    <row r="41" spans="1:24" x14ac:dyDescent="0.2">
      <c r="A41" s="7" t="s">
        <v>282</v>
      </c>
      <c r="B41" s="7">
        <f>SUMIF('Distr.-Atv.'!$B$48:$B$89,'Distr.-Área'!$A41,'Distr.-Atv.'!D$48:D$89)</f>
        <v>0</v>
      </c>
      <c r="C41" s="7">
        <f>SUMIF('Distr.-Atv.'!$B$48:$B$89,'Distr.-Área'!$A41,'Distr.-Atv.'!E$48:E$89)</f>
        <v>0</v>
      </c>
      <c r="D41" s="7">
        <f>SUMIF('Distr.-Atv.'!$B$48:$B$89,'Distr.-Área'!$A41,'Distr.-Atv.'!F$48:F$89)</f>
        <v>0</v>
      </c>
      <c r="E41" s="7">
        <f>SUMIF('Distr.-Atv.'!$B$48:$B$89,'Distr.-Área'!$A41,'Distr.-Atv.'!G$48:G$89)</f>
        <v>0</v>
      </c>
      <c r="F41" s="7">
        <f>SUMIF('Distr.-Atv.'!$B$48:$B$89,'Distr.-Área'!$A41,'Distr.-Atv.'!H$48:H$89)</f>
        <v>0</v>
      </c>
      <c r="G41" s="7">
        <f>SUMIF('Distr.-Atv.'!$B$48:$B$89,'Distr.-Área'!$A41,'Distr.-Atv.'!I$48:I$89)</f>
        <v>0</v>
      </c>
      <c r="H41" s="7">
        <f>SUMIF('Distr.-Atv.'!$B$48:$B$89,'Distr.-Área'!$A41,'Distr.-Atv.'!J$48:J$89)</f>
        <v>0</v>
      </c>
      <c r="I41" s="7">
        <f>SUMIF('Distr.-Atv.'!$B$48:$B$89,'Distr.-Área'!$A41,'Distr.-Atv.'!K$48:K$89)</f>
        <v>0</v>
      </c>
      <c r="J41" s="7">
        <f>SUMIF('Distr.-Atv.'!$B$48:$B$89,'Distr.-Área'!$A41,'Distr.-Atv.'!L$48:L$89)</f>
        <v>0</v>
      </c>
      <c r="K41" s="7">
        <f>SUMIF('Distr.-Atv.'!$B$48:$B$89,'Distr.-Área'!$A41,'Distr.-Atv.'!M$48:M$89)</f>
        <v>528</v>
      </c>
      <c r="L41" s="7">
        <f>SUMIF('Distr.-Atv.'!$B$48:$B$89,'Distr.-Área'!$A41,'Distr.-Atv.'!N$48:N$89)</f>
        <v>1408</v>
      </c>
      <c r="M41" s="7">
        <f>SUMIF('Distr.-Atv.'!$B$48:$B$89,'Distr.-Área'!$A41,'Distr.-Atv.'!O$48:O$89)</f>
        <v>2112</v>
      </c>
      <c r="N41" s="7">
        <f>SUMIF('Distr.-Atv.'!$B$48:$B$89,'Distr.-Área'!$A41,'Distr.-Atv.'!P$48:P$89)</f>
        <v>2640</v>
      </c>
      <c r="O41" s="7">
        <f>SUMIF('Distr.-Atv.'!$B$48:$B$89,'Distr.-Área'!$A41,'Distr.-Atv.'!Q$48:Q$89)</f>
        <v>2640</v>
      </c>
      <c r="P41" s="7">
        <f>SUMIF('Distr.-Atv.'!$B$48:$B$89,'Distr.-Área'!$A41,'Distr.-Atv.'!R$48:R$89)</f>
        <v>2640</v>
      </c>
      <c r="Q41" s="7">
        <f>SUMIF('Distr.-Atv.'!$B$48:$B$89,'Distr.-Área'!$A41,'Distr.-Atv.'!S$48:S$89)</f>
        <v>3040</v>
      </c>
      <c r="R41" s="7">
        <f>SUMIF('Distr.-Atv.'!$B$48:$B$89,'Distr.-Área'!$A41,'Distr.-Atv.'!T$48:T$89)</f>
        <v>3240</v>
      </c>
      <c r="S41" s="7">
        <f>SUMIF('Distr.-Atv.'!$B$48:$B$89,'Distr.-Área'!$A41,'Distr.-Atv.'!U$48:U$89)</f>
        <v>3240</v>
      </c>
      <c r="T41" s="7">
        <f>SUMIF('Distr.-Atv.'!$B$48:$B$89,'Distr.-Área'!$A41,'Distr.-Atv.'!V$48:V$89)</f>
        <v>3240</v>
      </c>
      <c r="U41" s="7">
        <f>SUMIF('Distr.-Atv.'!$B$48:$B$89,'Distr.-Área'!$A41,'Distr.-Atv.'!W$48:W$89)</f>
        <v>3240</v>
      </c>
      <c r="V41" s="7">
        <f>SUMIF('Distr.-Atv.'!$B$48:$B$89,'Distr.-Área'!$A41,'Distr.-Atv.'!X$48:X$89)</f>
        <v>3240</v>
      </c>
      <c r="W41" s="7">
        <f>SUMIF('Distr.-Atv.'!$B$48:$B$89,'Distr.-Área'!$A41,'Distr.-Atv.'!Y$48:Y$89)</f>
        <v>3240</v>
      </c>
      <c r="X41" s="7">
        <f>SUMIF('Distr.-Atv.'!$B$48:$B$89,'Distr.-Área'!$A41,'Distr.-Atv.'!Z$48:Z$89)</f>
        <v>3240</v>
      </c>
    </row>
    <row r="42" spans="1:24" x14ac:dyDescent="0.2">
      <c r="A42" s="7" t="s">
        <v>2250</v>
      </c>
      <c r="B42" s="7">
        <f>SUMIF('Distr.-Atv.'!$B$48:$B$89,'Distr.-Área'!$A42,'Distr.-Atv.'!D$48:D$89)</f>
        <v>0</v>
      </c>
      <c r="C42" s="7">
        <f>SUMIF('Distr.-Atv.'!$B$48:$B$89,'Distr.-Área'!$A42,'Distr.-Atv.'!E$48:E$89)</f>
        <v>0</v>
      </c>
      <c r="D42" s="7">
        <f>SUMIF('Distr.-Atv.'!$B$48:$B$89,'Distr.-Área'!$A42,'Distr.-Atv.'!F$48:F$89)</f>
        <v>0</v>
      </c>
      <c r="E42" s="7">
        <f>SUMIF('Distr.-Atv.'!$B$48:$B$89,'Distr.-Área'!$A42,'Distr.-Atv.'!G$48:G$89)</f>
        <v>0</v>
      </c>
      <c r="F42" s="7">
        <f>SUMIF('Distr.-Atv.'!$B$48:$B$89,'Distr.-Área'!$A42,'Distr.-Atv.'!H$48:H$89)</f>
        <v>0</v>
      </c>
      <c r="G42" s="7">
        <f>SUMIF('Distr.-Atv.'!$B$48:$B$89,'Distr.-Área'!$A42,'Distr.-Atv.'!I$48:I$89)</f>
        <v>0</v>
      </c>
      <c r="H42" s="7">
        <f>SUMIF('Distr.-Atv.'!$B$48:$B$89,'Distr.-Área'!$A42,'Distr.-Atv.'!J$48:J$89)</f>
        <v>0</v>
      </c>
      <c r="I42" s="7">
        <f>SUMIF('Distr.-Atv.'!$B$48:$B$89,'Distr.-Área'!$A42,'Distr.-Atv.'!K$48:K$89)</f>
        <v>0</v>
      </c>
      <c r="J42" s="7">
        <f>SUMIF('Distr.-Atv.'!$B$48:$B$89,'Distr.-Área'!$A42,'Distr.-Atv.'!L$48:L$89)</f>
        <v>0</v>
      </c>
      <c r="K42" s="7">
        <f>SUMIF('Distr.-Atv.'!$B$48:$B$89,'Distr.-Área'!$A42,'Distr.-Atv.'!M$48:M$89)</f>
        <v>0</v>
      </c>
      <c r="L42" s="7">
        <f>SUMIF('Distr.-Atv.'!$B$48:$B$89,'Distr.-Área'!$A42,'Distr.-Atv.'!N$48:N$89)</f>
        <v>0</v>
      </c>
      <c r="M42" s="7">
        <f>SUMIF('Distr.-Atv.'!$B$48:$B$89,'Distr.-Área'!$A42,'Distr.-Atv.'!O$48:O$89)</f>
        <v>0</v>
      </c>
      <c r="N42" s="7">
        <f>SUMIF('Distr.-Atv.'!$B$48:$B$89,'Distr.-Área'!$A42,'Distr.-Atv.'!P$48:P$89)</f>
        <v>0</v>
      </c>
      <c r="O42" s="7">
        <f>SUMIF('Distr.-Atv.'!$B$48:$B$89,'Distr.-Área'!$A42,'Distr.-Atv.'!Q$48:Q$89)</f>
        <v>0</v>
      </c>
      <c r="P42" s="7">
        <f>SUMIF('Distr.-Atv.'!$B$48:$B$89,'Distr.-Área'!$A42,'Distr.-Atv.'!R$48:R$89)</f>
        <v>120</v>
      </c>
      <c r="Q42" s="7">
        <f>SUMIF('Distr.-Atv.'!$B$48:$B$89,'Distr.-Área'!$A42,'Distr.-Atv.'!S$48:S$89)</f>
        <v>240</v>
      </c>
      <c r="R42" s="7">
        <f>SUMIF('Distr.-Atv.'!$B$48:$B$89,'Distr.-Área'!$A42,'Distr.-Atv.'!T$48:T$89)</f>
        <v>240</v>
      </c>
      <c r="S42" s="7">
        <f>SUMIF('Distr.-Atv.'!$B$48:$B$89,'Distr.-Área'!$A42,'Distr.-Atv.'!U$48:U$89)</f>
        <v>240</v>
      </c>
      <c r="T42" s="7">
        <f>SUMIF('Distr.-Atv.'!$B$48:$B$89,'Distr.-Área'!$A42,'Distr.-Atv.'!V$48:V$89)</f>
        <v>240</v>
      </c>
      <c r="U42" s="7">
        <f>SUMIF('Distr.-Atv.'!$B$48:$B$89,'Distr.-Área'!$A42,'Distr.-Atv.'!W$48:W$89)</f>
        <v>240</v>
      </c>
      <c r="V42" s="7">
        <f>SUMIF('Distr.-Atv.'!$B$48:$B$89,'Distr.-Área'!$A42,'Distr.-Atv.'!X$48:X$89)</f>
        <v>240</v>
      </c>
      <c r="W42" s="7">
        <f>SUMIF('Distr.-Atv.'!$B$48:$B$89,'Distr.-Área'!$A42,'Distr.-Atv.'!Y$48:Y$89)</f>
        <v>240</v>
      </c>
      <c r="X42" s="7">
        <f>SUMIF('Distr.-Atv.'!$B$48:$B$89,'Distr.-Área'!$A42,'Distr.-Atv.'!Z$48:Z$89)</f>
        <v>240</v>
      </c>
    </row>
    <row r="43" spans="1:24" x14ac:dyDescent="0.2">
      <c r="A43" s="7" t="s">
        <v>264</v>
      </c>
      <c r="B43" s="7">
        <f>SUMIF('Distr.-Atv.'!$B$48:$B$89,'Distr.-Área'!$A43,'Distr.-Atv.'!D$48:D$89)</f>
        <v>0</v>
      </c>
      <c r="C43" s="7">
        <f>SUMIF('Distr.-Atv.'!$B$48:$B$89,'Distr.-Área'!$A43,'Distr.-Atv.'!E$48:E$89)</f>
        <v>0</v>
      </c>
      <c r="D43" s="7">
        <f>SUMIF('Distr.-Atv.'!$B$48:$B$89,'Distr.-Área'!$A43,'Distr.-Atv.'!F$48:F$89)</f>
        <v>0</v>
      </c>
      <c r="E43" s="7">
        <f>SUMIF('Distr.-Atv.'!$B$48:$B$89,'Distr.-Área'!$A43,'Distr.-Atv.'!G$48:G$89)</f>
        <v>0</v>
      </c>
      <c r="F43" s="7">
        <f>SUMIF('Distr.-Atv.'!$B$48:$B$89,'Distr.-Área'!$A43,'Distr.-Atv.'!H$48:H$89)</f>
        <v>0</v>
      </c>
      <c r="G43" s="7">
        <f>SUMIF('Distr.-Atv.'!$B$48:$B$89,'Distr.-Área'!$A43,'Distr.-Atv.'!I$48:I$89)</f>
        <v>0</v>
      </c>
      <c r="H43" s="7">
        <f>SUMIF('Distr.-Atv.'!$B$48:$B$89,'Distr.-Área'!$A43,'Distr.-Atv.'!J$48:J$89)</f>
        <v>0</v>
      </c>
      <c r="I43" s="7">
        <f>SUMIF('Distr.-Atv.'!$B$48:$B$89,'Distr.-Área'!$A43,'Distr.-Atv.'!K$48:K$89)</f>
        <v>0</v>
      </c>
      <c r="J43" s="7">
        <f>SUMIF('Distr.-Atv.'!$B$48:$B$89,'Distr.-Área'!$A43,'Distr.-Atv.'!L$48:L$89)</f>
        <v>0</v>
      </c>
      <c r="K43" s="7">
        <f>SUMIF('Distr.-Atv.'!$B$48:$B$89,'Distr.-Área'!$A43,'Distr.-Atv.'!M$48:M$89)</f>
        <v>0</v>
      </c>
      <c r="L43" s="7">
        <f>SUMIF('Distr.-Atv.'!$B$48:$B$89,'Distr.-Área'!$A43,'Distr.-Atv.'!N$48:N$89)</f>
        <v>0</v>
      </c>
      <c r="M43" s="7">
        <f>SUMIF('Distr.-Atv.'!$B$48:$B$89,'Distr.-Área'!$A43,'Distr.-Atv.'!O$48:O$89)</f>
        <v>120</v>
      </c>
      <c r="N43" s="7">
        <f>SUMIF('Distr.-Atv.'!$B$48:$B$89,'Distr.-Área'!$A43,'Distr.-Atv.'!P$48:P$89)</f>
        <v>720</v>
      </c>
      <c r="O43" s="7">
        <f>SUMIF('Distr.-Atv.'!$B$48:$B$89,'Distr.-Área'!$A43,'Distr.-Atv.'!Q$48:Q$89)</f>
        <v>1320</v>
      </c>
      <c r="P43" s="7">
        <f>SUMIF('Distr.-Atv.'!$B$48:$B$89,'Distr.-Área'!$A43,'Distr.-Atv.'!R$48:R$89)</f>
        <v>1440</v>
      </c>
      <c r="Q43" s="7">
        <f>SUMIF('Distr.-Atv.'!$B$48:$B$89,'Distr.-Área'!$A43,'Distr.-Atv.'!S$48:S$89)</f>
        <v>1440</v>
      </c>
      <c r="R43" s="7">
        <f>SUMIF('Distr.-Atv.'!$B$48:$B$89,'Distr.-Área'!$A43,'Distr.-Atv.'!T$48:T$89)</f>
        <v>1440</v>
      </c>
      <c r="S43" s="7">
        <f>SUMIF('Distr.-Atv.'!$B$48:$B$89,'Distr.-Área'!$A43,'Distr.-Atv.'!U$48:U$89)</f>
        <v>1440</v>
      </c>
      <c r="T43" s="7">
        <f>SUMIF('Distr.-Atv.'!$B$48:$B$89,'Distr.-Área'!$A43,'Distr.-Atv.'!V$48:V$89)</f>
        <v>1440</v>
      </c>
      <c r="U43" s="7">
        <f>SUMIF('Distr.-Atv.'!$B$48:$B$89,'Distr.-Área'!$A43,'Distr.-Atv.'!W$48:W$89)</f>
        <v>1440</v>
      </c>
      <c r="V43" s="7">
        <f>SUMIF('Distr.-Atv.'!$B$48:$B$89,'Distr.-Área'!$A43,'Distr.-Atv.'!X$48:X$89)</f>
        <v>1440</v>
      </c>
      <c r="W43" s="7">
        <f>SUMIF('Distr.-Atv.'!$B$48:$B$89,'Distr.-Área'!$A43,'Distr.-Atv.'!Y$48:Y$89)</f>
        <v>1440</v>
      </c>
      <c r="X43" s="7">
        <f>SUMIF('Distr.-Atv.'!$B$48:$B$89,'Distr.-Área'!$A43,'Distr.-Atv.'!Z$48:Z$89)</f>
        <v>1440</v>
      </c>
    </row>
    <row r="44" spans="1:24" x14ac:dyDescent="0.2">
      <c r="A44" s="7" t="s">
        <v>703</v>
      </c>
      <c r="B44" s="7">
        <f>SUMIF('Distr.-Atv.'!$B$48:$B$89,'Distr.-Área'!$A44,'Distr.-Atv.'!D$48:D$89)</f>
        <v>0</v>
      </c>
      <c r="C44" s="7">
        <f>SUMIF('Distr.-Atv.'!$B$48:$B$89,'Distr.-Área'!$A44,'Distr.-Atv.'!E$48:E$89)</f>
        <v>0</v>
      </c>
      <c r="D44" s="7">
        <f>SUMIF('Distr.-Atv.'!$B$48:$B$89,'Distr.-Área'!$A44,'Distr.-Atv.'!F$48:F$89)</f>
        <v>0</v>
      </c>
      <c r="E44" s="7">
        <f>SUMIF('Distr.-Atv.'!$B$48:$B$89,'Distr.-Área'!$A44,'Distr.-Atv.'!G$48:G$89)</f>
        <v>0</v>
      </c>
      <c r="F44" s="7">
        <f>SUMIF('Distr.-Atv.'!$B$48:$B$89,'Distr.-Área'!$A44,'Distr.-Atv.'!H$48:H$89)</f>
        <v>0</v>
      </c>
      <c r="G44" s="7">
        <f>SUMIF('Distr.-Atv.'!$B$48:$B$89,'Distr.-Área'!$A44,'Distr.-Atv.'!I$48:I$89)</f>
        <v>0</v>
      </c>
      <c r="H44" s="7">
        <f>SUMIF('Distr.-Atv.'!$B$48:$B$89,'Distr.-Área'!$A44,'Distr.-Atv.'!J$48:J$89)</f>
        <v>0</v>
      </c>
      <c r="I44" s="7">
        <f>SUMIF('Distr.-Atv.'!$B$48:$B$89,'Distr.-Área'!$A44,'Distr.-Atv.'!K$48:K$89)</f>
        <v>0</v>
      </c>
      <c r="J44" s="7">
        <f>SUMIF('Distr.-Atv.'!$B$48:$B$89,'Distr.-Área'!$A44,'Distr.-Atv.'!L$48:L$89)</f>
        <v>0</v>
      </c>
      <c r="K44" s="7">
        <f>SUMIF('Distr.-Atv.'!$B$48:$B$89,'Distr.-Área'!$A44,'Distr.-Atv.'!M$48:M$89)</f>
        <v>0</v>
      </c>
      <c r="L44" s="7">
        <f>SUMIF('Distr.-Atv.'!$B$48:$B$89,'Distr.-Área'!$A44,'Distr.-Atv.'!N$48:N$89)</f>
        <v>0</v>
      </c>
      <c r="M44" s="7">
        <f>SUMIF('Distr.-Atv.'!$B$48:$B$89,'Distr.-Área'!$A44,'Distr.-Atv.'!O$48:O$89)</f>
        <v>0</v>
      </c>
      <c r="N44" s="7">
        <f>SUMIF('Distr.-Atv.'!$B$48:$B$89,'Distr.-Área'!$A44,'Distr.-Atv.'!P$48:P$89)</f>
        <v>0</v>
      </c>
      <c r="O44" s="7">
        <f>SUMIF('Distr.-Atv.'!$B$48:$B$89,'Distr.-Área'!$A44,'Distr.-Atv.'!Q$48:Q$89)</f>
        <v>0</v>
      </c>
      <c r="P44" s="7">
        <f>SUMIF('Distr.-Atv.'!$B$48:$B$89,'Distr.-Área'!$A44,'Distr.-Atv.'!R$48:R$89)</f>
        <v>0</v>
      </c>
      <c r="Q44" s="7">
        <f>SUMIF('Distr.-Atv.'!$B$48:$B$89,'Distr.-Área'!$A44,'Distr.-Atv.'!S$48:S$89)</f>
        <v>0</v>
      </c>
      <c r="R44" s="7">
        <f>SUMIF('Distr.-Atv.'!$B$48:$B$89,'Distr.-Área'!$A44,'Distr.-Atv.'!T$48:T$89)</f>
        <v>0</v>
      </c>
      <c r="S44" s="7">
        <f>SUMIF('Distr.-Atv.'!$B$48:$B$89,'Distr.-Área'!$A44,'Distr.-Atv.'!U$48:U$89)</f>
        <v>510</v>
      </c>
      <c r="T44" s="7">
        <f>SUMIF('Distr.-Atv.'!$B$48:$B$89,'Distr.-Área'!$A44,'Distr.-Atv.'!V$48:V$89)</f>
        <v>1360</v>
      </c>
      <c r="U44" s="7">
        <f>SUMIF('Distr.-Atv.'!$B$48:$B$89,'Distr.-Área'!$A44,'Distr.-Atv.'!W$48:W$89)</f>
        <v>2040</v>
      </c>
      <c r="V44" s="7">
        <f>SUMIF('Distr.-Atv.'!$B$48:$B$89,'Distr.-Área'!$A44,'Distr.-Atv.'!X$48:X$89)</f>
        <v>2040</v>
      </c>
      <c r="W44" s="7">
        <f>SUMIF('Distr.-Atv.'!$B$48:$B$89,'Distr.-Área'!$A44,'Distr.-Atv.'!Y$48:Y$89)</f>
        <v>2040</v>
      </c>
      <c r="X44" s="7">
        <f>SUMIF('Distr.-Atv.'!$B$48:$B$89,'Distr.-Área'!$A44,'Distr.-Atv.'!Z$48:Z$89)</f>
        <v>2040</v>
      </c>
    </row>
    <row r="45" spans="1:24" x14ac:dyDescent="0.2">
      <c r="A45" s="7" t="s">
        <v>733</v>
      </c>
      <c r="B45" s="7">
        <f>SUMIF('Distr.-Atv.'!$B$48:$B$89,'Distr.-Área'!$A45,'Distr.-Atv.'!D$48:D$89)</f>
        <v>0</v>
      </c>
      <c r="C45" s="7">
        <f>SUMIF('Distr.-Atv.'!$B$48:$B$89,'Distr.-Área'!$A45,'Distr.-Atv.'!E$48:E$89)</f>
        <v>0</v>
      </c>
      <c r="D45" s="7">
        <f>SUMIF('Distr.-Atv.'!$B$48:$B$89,'Distr.-Área'!$A45,'Distr.-Atv.'!F$48:F$89)</f>
        <v>0</v>
      </c>
      <c r="E45" s="7">
        <f>SUMIF('Distr.-Atv.'!$B$48:$B$89,'Distr.-Área'!$A45,'Distr.-Atv.'!G$48:G$89)</f>
        <v>0</v>
      </c>
      <c r="F45" s="7">
        <f>SUMIF('Distr.-Atv.'!$B$48:$B$89,'Distr.-Área'!$A45,'Distr.-Atv.'!H$48:H$89)</f>
        <v>0</v>
      </c>
      <c r="G45" s="7">
        <f>SUMIF('Distr.-Atv.'!$B$48:$B$89,'Distr.-Área'!$A45,'Distr.-Atv.'!I$48:I$89)</f>
        <v>0</v>
      </c>
      <c r="H45" s="7">
        <f>SUMIF('Distr.-Atv.'!$B$48:$B$89,'Distr.-Área'!$A45,'Distr.-Atv.'!J$48:J$89)</f>
        <v>0</v>
      </c>
      <c r="I45" s="7">
        <f>SUMIF('Distr.-Atv.'!$B$48:$B$89,'Distr.-Área'!$A45,'Distr.-Atv.'!K$48:K$89)</f>
        <v>0</v>
      </c>
      <c r="J45" s="7">
        <f>SUMIF('Distr.-Atv.'!$B$48:$B$89,'Distr.-Área'!$A45,'Distr.-Atv.'!L$48:L$89)</f>
        <v>0</v>
      </c>
      <c r="K45" s="7">
        <f>SUMIF('Distr.-Atv.'!$B$48:$B$89,'Distr.-Área'!$A45,'Distr.-Atv.'!M$48:M$89)</f>
        <v>0</v>
      </c>
      <c r="L45" s="7">
        <f>SUMIF('Distr.-Atv.'!$B$48:$B$89,'Distr.-Área'!$A45,'Distr.-Atv.'!N$48:N$89)</f>
        <v>0</v>
      </c>
      <c r="M45" s="7">
        <f>SUMIF('Distr.-Atv.'!$B$48:$B$89,'Distr.-Área'!$A45,'Distr.-Atv.'!O$48:O$89)</f>
        <v>0</v>
      </c>
      <c r="N45" s="7">
        <f>SUMIF('Distr.-Atv.'!$B$48:$B$89,'Distr.-Área'!$A45,'Distr.-Atv.'!P$48:P$89)</f>
        <v>0</v>
      </c>
      <c r="O45" s="7">
        <f>SUMIF('Distr.-Atv.'!$B$48:$B$89,'Distr.-Área'!$A45,'Distr.-Atv.'!Q$48:Q$89)</f>
        <v>0</v>
      </c>
      <c r="P45" s="7">
        <f>SUMIF('Distr.-Atv.'!$B$48:$B$89,'Distr.-Área'!$A45,'Distr.-Atv.'!R$48:R$89)</f>
        <v>0</v>
      </c>
      <c r="Q45" s="7">
        <f>SUMIF('Distr.-Atv.'!$B$48:$B$89,'Distr.-Área'!$A45,'Distr.-Atv.'!S$48:S$89)</f>
        <v>0</v>
      </c>
      <c r="R45" s="7">
        <f>SUMIF('Distr.-Atv.'!$B$48:$B$89,'Distr.-Área'!$A45,'Distr.-Atv.'!T$48:T$89)</f>
        <v>0</v>
      </c>
      <c r="S45" s="7">
        <f>SUMIF('Distr.-Atv.'!$B$48:$B$89,'Distr.-Área'!$A45,'Distr.-Atv.'!U$48:U$89)</f>
        <v>0</v>
      </c>
      <c r="T45" s="7">
        <f>SUMIF('Distr.-Atv.'!$B$48:$B$89,'Distr.-Área'!$A45,'Distr.-Atv.'!V$48:V$89)</f>
        <v>0</v>
      </c>
      <c r="U45" s="7">
        <f>SUMIF('Distr.-Atv.'!$B$48:$B$89,'Distr.-Área'!$A45,'Distr.-Atv.'!W$48:W$89)</f>
        <v>672</v>
      </c>
      <c r="V45" s="7">
        <f>SUMIF('Distr.-Atv.'!$B$48:$B$89,'Distr.-Área'!$A45,'Distr.-Atv.'!X$48:X$89)</f>
        <v>2352</v>
      </c>
      <c r="W45" s="7">
        <f>SUMIF('Distr.-Atv.'!$B$48:$B$89,'Distr.-Área'!$A45,'Distr.-Atv.'!Y$48:Y$89)</f>
        <v>4032</v>
      </c>
      <c r="X45" s="7">
        <f>SUMIF('Distr.-Atv.'!$B$48:$B$89,'Distr.-Área'!$A45,'Distr.-Atv.'!Z$48:Z$89)</f>
        <v>5040</v>
      </c>
    </row>
    <row r="46" spans="1:24" x14ac:dyDescent="0.2">
      <c r="A46" s="7" t="s">
        <v>310</v>
      </c>
      <c r="B46" s="7">
        <f>SUMIF('Distr.-Atv.'!$B$48:$B$89,'Distr.-Área'!$A46,'Distr.-Atv.'!D$48:D$89)</f>
        <v>0</v>
      </c>
      <c r="C46" s="7">
        <f>SUMIF('Distr.-Atv.'!$B$48:$B$89,'Distr.-Área'!$A46,'Distr.-Atv.'!E$48:E$89)</f>
        <v>0</v>
      </c>
      <c r="D46" s="7">
        <f>SUMIF('Distr.-Atv.'!$B$48:$B$89,'Distr.-Área'!$A46,'Distr.-Atv.'!F$48:F$89)</f>
        <v>0</v>
      </c>
      <c r="E46" s="7">
        <f>SUMIF('Distr.-Atv.'!$B$48:$B$89,'Distr.-Área'!$A46,'Distr.-Atv.'!G$48:G$89)</f>
        <v>0</v>
      </c>
      <c r="F46" s="7">
        <f>SUMIF('Distr.-Atv.'!$B$48:$B$89,'Distr.-Área'!$A46,'Distr.-Atv.'!H$48:H$89)</f>
        <v>0</v>
      </c>
      <c r="G46" s="7">
        <f>SUMIF('Distr.-Atv.'!$B$48:$B$89,'Distr.-Área'!$A46,'Distr.-Atv.'!I$48:I$89)</f>
        <v>0</v>
      </c>
      <c r="H46" s="7">
        <f>SUMIF('Distr.-Atv.'!$B$48:$B$89,'Distr.-Área'!$A46,'Distr.-Atv.'!J$48:J$89)</f>
        <v>0</v>
      </c>
      <c r="I46" s="7">
        <f>SUMIF('Distr.-Atv.'!$B$48:$B$89,'Distr.-Área'!$A46,'Distr.-Atv.'!K$48:K$89)</f>
        <v>0</v>
      </c>
      <c r="J46" s="7">
        <f>SUMIF('Distr.-Atv.'!$B$48:$B$89,'Distr.-Área'!$A46,'Distr.-Atv.'!L$48:L$89)</f>
        <v>0</v>
      </c>
      <c r="K46" s="7">
        <f>SUMIF('Distr.-Atv.'!$B$48:$B$89,'Distr.-Área'!$A46,'Distr.-Atv.'!M$48:M$89)</f>
        <v>0</v>
      </c>
      <c r="L46" s="7">
        <f>SUMIF('Distr.-Atv.'!$B$48:$B$89,'Distr.-Área'!$A46,'Distr.-Atv.'!N$48:N$89)</f>
        <v>0</v>
      </c>
      <c r="M46" s="7">
        <f>SUMIF('Distr.-Atv.'!$B$48:$B$89,'Distr.-Área'!$A46,'Distr.-Atv.'!O$48:O$89)</f>
        <v>0</v>
      </c>
      <c r="N46" s="7">
        <f>SUMIF('Distr.-Atv.'!$B$48:$B$89,'Distr.-Área'!$A46,'Distr.-Atv.'!P$48:P$89)</f>
        <v>150</v>
      </c>
      <c r="O46" s="7">
        <f>SUMIF('Distr.-Atv.'!$B$48:$B$89,'Distr.-Área'!$A46,'Distr.-Atv.'!Q$48:Q$89)</f>
        <v>150</v>
      </c>
      <c r="P46" s="7">
        <f>SUMIF('Distr.-Atv.'!$B$48:$B$89,'Distr.-Área'!$A46,'Distr.-Atv.'!R$48:R$89)</f>
        <v>150</v>
      </c>
      <c r="Q46" s="7">
        <f>SUMIF('Distr.-Atv.'!$B$48:$B$89,'Distr.-Área'!$A46,'Distr.-Atv.'!S$48:S$89)</f>
        <v>577</v>
      </c>
      <c r="R46" s="7">
        <f>SUMIF('Distr.-Atv.'!$B$48:$B$89,'Distr.-Área'!$A46,'Distr.-Atv.'!T$48:T$89)</f>
        <v>1432</v>
      </c>
      <c r="S46" s="7">
        <f>SUMIF('Distr.-Atv.'!$B$48:$B$89,'Distr.-Área'!$A46,'Distr.-Atv.'!U$48:U$89)</f>
        <v>2286</v>
      </c>
      <c r="T46" s="7">
        <f>SUMIF('Distr.-Atv.'!$B$48:$B$89,'Distr.-Área'!$A46,'Distr.-Atv.'!V$48:V$89)</f>
        <v>3355</v>
      </c>
      <c r="U46" s="7">
        <f>SUMIF('Distr.-Atv.'!$B$48:$B$89,'Distr.-Área'!$A46,'Distr.-Atv.'!W$48:W$89)</f>
        <v>4423</v>
      </c>
      <c r="V46" s="7">
        <f>SUMIF('Distr.-Atv.'!$B$48:$B$89,'Distr.-Área'!$A46,'Distr.-Atv.'!X$48:X$89)</f>
        <v>5650</v>
      </c>
      <c r="W46" s="7">
        <f>SUMIF('Distr.-Atv.'!$B$48:$B$89,'Distr.-Área'!$A46,'Distr.-Atv.'!Y$48:Y$89)</f>
        <v>6450</v>
      </c>
      <c r="X46" s="7">
        <f>SUMIF('Distr.-Atv.'!$B$48:$B$89,'Distr.-Área'!$A46,'Distr.-Atv.'!Z$48:Z$89)</f>
        <v>6450</v>
      </c>
    </row>
    <row r="47" spans="1:24" x14ac:dyDescent="0.2">
      <c r="A47" s="7" t="s">
        <v>1414</v>
      </c>
      <c r="B47" s="7">
        <f>SUMIF('Distr.-Atv.'!$B$48:$B$89,'Distr.-Área'!$A47,'Distr.-Atv.'!D$48:D$89)</f>
        <v>0</v>
      </c>
      <c r="C47" s="7">
        <f>SUMIF('Distr.-Atv.'!$B$48:$B$89,'Distr.-Área'!$A47,'Distr.-Atv.'!E$48:E$89)</f>
        <v>0</v>
      </c>
      <c r="D47" s="7">
        <f>SUMIF('Distr.-Atv.'!$B$48:$B$89,'Distr.-Área'!$A47,'Distr.-Atv.'!F$48:F$89)</f>
        <v>0</v>
      </c>
      <c r="E47" s="7">
        <f>SUMIF('Distr.-Atv.'!$B$48:$B$89,'Distr.-Área'!$A47,'Distr.-Atv.'!G$48:G$89)</f>
        <v>0</v>
      </c>
      <c r="F47" s="7">
        <f>SUMIF('Distr.-Atv.'!$B$48:$B$89,'Distr.-Área'!$A47,'Distr.-Atv.'!H$48:H$89)</f>
        <v>0</v>
      </c>
      <c r="G47" s="7">
        <f>SUMIF('Distr.-Atv.'!$B$48:$B$89,'Distr.-Área'!$A47,'Distr.-Atv.'!I$48:I$89)</f>
        <v>0</v>
      </c>
      <c r="H47" s="7">
        <f>SUMIF('Distr.-Atv.'!$B$48:$B$89,'Distr.-Área'!$A47,'Distr.-Atv.'!J$48:J$89)</f>
        <v>0</v>
      </c>
      <c r="I47" s="7">
        <f>SUMIF('Distr.-Atv.'!$B$48:$B$89,'Distr.-Área'!$A47,'Distr.-Atv.'!K$48:K$89)</f>
        <v>0</v>
      </c>
      <c r="J47" s="7">
        <f>SUMIF('Distr.-Atv.'!$B$48:$B$89,'Distr.-Área'!$A47,'Distr.-Atv.'!L$48:L$89)</f>
        <v>0</v>
      </c>
      <c r="K47" s="7">
        <f>SUMIF('Distr.-Atv.'!$B$48:$B$89,'Distr.-Área'!$A47,'Distr.-Atv.'!M$48:M$89)</f>
        <v>0</v>
      </c>
      <c r="L47" s="7">
        <f>SUMIF('Distr.-Atv.'!$B$48:$B$89,'Distr.-Área'!$A47,'Distr.-Atv.'!N$48:N$89)</f>
        <v>0</v>
      </c>
      <c r="M47" s="7">
        <f>SUMIF('Distr.-Atv.'!$B$48:$B$89,'Distr.-Área'!$A47,'Distr.-Atv.'!O$48:O$89)</f>
        <v>0</v>
      </c>
      <c r="N47" s="7">
        <f>SUMIF('Distr.-Atv.'!$B$48:$B$89,'Distr.-Área'!$A47,'Distr.-Atv.'!P$48:P$89)</f>
        <v>0</v>
      </c>
      <c r="O47" s="7">
        <f>SUMIF('Distr.-Atv.'!$B$48:$B$89,'Distr.-Área'!$A47,'Distr.-Atv.'!Q$48:Q$89)</f>
        <v>0</v>
      </c>
      <c r="P47" s="7">
        <f>SUMIF('Distr.-Atv.'!$B$48:$B$89,'Distr.-Área'!$A47,'Distr.-Atv.'!R$48:R$89)</f>
        <v>0</v>
      </c>
      <c r="Q47" s="7">
        <f>SUMIF('Distr.-Atv.'!$B$48:$B$89,'Distr.-Área'!$A47,'Distr.-Atv.'!S$48:S$89)</f>
        <v>0</v>
      </c>
      <c r="R47" s="7">
        <f>SUMIF('Distr.-Atv.'!$B$48:$B$89,'Distr.-Área'!$A47,'Distr.-Atv.'!T$48:T$89)</f>
        <v>0</v>
      </c>
      <c r="S47" s="7">
        <f>SUMIF('Distr.-Atv.'!$B$48:$B$89,'Distr.-Área'!$A47,'Distr.-Atv.'!U$48:U$89)</f>
        <v>0</v>
      </c>
      <c r="T47" s="75">
        <f>SUMIF('Distr.-Atv.'!$B$48:$B$89,'Distr.-Área'!$A47,'Distr.-Atv.'!V$48:V$89)</f>
        <v>507.68849206349205</v>
      </c>
      <c r="U47" s="75">
        <f>SUMIF('Distr.-Atv.'!$B$48:$B$89,'Distr.-Área'!$A47,'Distr.-Atv.'!W$48:W$89)</f>
        <v>3043.8492063492063</v>
      </c>
      <c r="V47" s="75">
        <f>SUMIF('Distr.-Atv.'!$B$48:$B$89,'Distr.-Área'!$A47,'Distr.-Atv.'!X$48:X$89)</f>
        <v>5073.4623015873012</v>
      </c>
      <c r="W47" s="75">
        <f>SUMIF('Distr.-Atv.'!$B$48:$B$89,'Distr.-Área'!$A47,'Distr.-Atv.'!Y$48:Y$89)</f>
        <v>7610.7638888888887</v>
      </c>
      <c r="X47" s="75">
        <f>SUMIF('Distr.-Atv.'!$B$48:$B$89,'Distr.-Área'!$A47,'Distr.-Atv.'!Z$48:Z$89)</f>
        <v>8625</v>
      </c>
    </row>
    <row r="48" spans="1:24" x14ac:dyDescent="0.2">
      <c r="A48" s="7" t="s">
        <v>1032</v>
      </c>
      <c r="B48" s="7">
        <f>SUMIF('Distr.-Atv.'!$B$48:$B$89,'Distr.-Área'!$A48,'Distr.-Atv.'!D$48:D$89)</f>
        <v>0</v>
      </c>
      <c r="C48" s="7">
        <f>SUMIF('Distr.-Atv.'!$B$48:$B$89,'Distr.-Área'!$A48,'Distr.-Atv.'!E$48:E$89)</f>
        <v>0</v>
      </c>
      <c r="D48" s="7">
        <f>SUMIF('Distr.-Atv.'!$B$48:$B$89,'Distr.-Área'!$A48,'Distr.-Atv.'!F$48:F$89)</f>
        <v>0</v>
      </c>
      <c r="E48" s="7">
        <f>SUMIF('Distr.-Atv.'!$B$48:$B$89,'Distr.-Área'!$A48,'Distr.-Atv.'!G$48:G$89)</f>
        <v>0</v>
      </c>
      <c r="F48" s="7">
        <f>SUMIF('Distr.-Atv.'!$B$48:$B$89,'Distr.-Área'!$A48,'Distr.-Atv.'!H$48:H$89)</f>
        <v>0</v>
      </c>
      <c r="G48" s="7">
        <f>SUMIF('Distr.-Atv.'!$B$48:$B$89,'Distr.-Área'!$A48,'Distr.-Atv.'!I$48:I$89)</f>
        <v>0</v>
      </c>
      <c r="H48" s="7">
        <f>SUMIF('Distr.-Atv.'!$B$48:$B$89,'Distr.-Área'!$A48,'Distr.-Atv.'!J$48:J$89)</f>
        <v>0</v>
      </c>
      <c r="I48" s="7">
        <f>SUMIF('Distr.-Atv.'!$B$48:$B$89,'Distr.-Área'!$A48,'Distr.-Atv.'!K$48:K$89)</f>
        <v>0</v>
      </c>
      <c r="J48" s="7">
        <f>SUMIF('Distr.-Atv.'!$B$48:$B$89,'Distr.-Área'!$A48,'Distr.-Atv.'!L$48:L$89)</f>
        <v>0</v>
      </c>
      <c r="K48" s="7">
        <f>SUMIF('Distr.-Atv.'!$B$48:$B$89,'Distr.-Área'!$A48,'Distr.-Atv.'!M$48:M$89)</f>
        <v>0</v>
      </c>
      <c r="L48" s="7">
        <f>SUMIF('Distr.-Atv.'!$B$48:$B$89,'Distr.-Área'!$A48,'Distr.-Atv.'!N$48:N$89)</f>
        <v>0</v>
      </c>
      <c r="M48" s="7">
        <f>SUMIF('Distr.-Atv.'!$B$48:$B$89,'Distr.-Área'!$A48,'Distr.-Atv.'!O$48:O$89)</f>
        <v>0</v>
      </c>
      <c r="N48" s="7">
        <f>SUMIF('Distr.-Atv.'!$B$48:$B$89,'Distr.-Área'!$A48,'Distr.-Atv.'!P$48:P$89)</f>
        <v>0</v>
      </c>
      <c r="O48" s="7">
        <f>SUMIF('Distr.-Atv.'!$B$48:$B$89,'Distr.-Área'!$A48,'Distr.-Atv.'!Q$48:Q$89)</f>
        <v>0</v>
      </c>
      <c r="P48" s="7">
        <f>SUMIF('Distr.-Atv.'!$B$48:$B$89,'Distr.-Área'!$A48,'Distr.-Atv.'!R$48:R$89)</f>
        <v>0</v>
      </c>
      <c r="Q48" s="7">
        <f>SUMIF('Distr.-Atv.'!$B$48:$B$89,'Distr.-Área'!$A48,'Distr.-Atv.'!S$48:S$89)</f>
        <v>0</v>
      </c>
      <c r="R48" s="7">
        <f>SUMIF('Distr.-Atv.'!$B$48:$B$89,'Distr.-Área'!$A48,'Distr.-Atv.'!T$48:T$89)</f>
        <v>0</v>
      </c>
      <c r="S48" s="7">
        <f>SUMIF('Distr.-Atv.'!$B$48:$B$89,'Distr.-Área'!$A48,'Distr.-Atv.'!U$48:U$89)</f>
        <v>0</v>
      </c>
      <c r="T48" s="75">
        <f>SUMIF('Distr.-Atv.'!$B$48:$B$89,'Distr.-Área'!$A48,'Distr.-Atv.'!V$48:V$89)</f>
        <v>94.179894179894177</v>
      </c>
      <c r="U48" s="75">
        <f>SUMIF('Distr.-Atv.'!$B$48:$B$89,'Distr.-Área'!$A48,'Distr.-Atv.'!W$48:W$89)</f>
        <v>564.65608465608466</v>
      </c>
      <c r="V48" s="75">
        <f>SUMIF('Distr.-Atv.'!$B$48:$B$89,'Distr.-Área'!$A48,'Distr.-Atv.'!X$48:X$89)</f>
        <v>941.16402116402116</v>
      </c>
      <c r="W48" s="75">
        <f>SUMIF('Distr.-Atv.'!$B$48:$B$89,'Distr.-Área'!$A48,'Distr.-Atv.'!Y$48:Y$89)</f>
        <v>1411.851851851852</v>
      </c>
      <c r="X48" s="75">
        <f>SUMIF('Distr.-Atv.'!$B$48:$B$89,'Distr.-Área'!$A48,'Distr.-Atv.'!Z$48:Z$89)</f>
        <v>1600</v>
      </c>
    </row>
    <row r="49" spans="1:24" x14ac:dyDescent="0.2">
      <c r="A49" s="7" t="s">
        <v>1014</v>
      </c>
      <c r="B49" s="7">
        <f>SUMIF('Distr.-Atv.'!$B$48:$B$89,'Distr.-Área'!$A49,'Distr.-Atv.'!D$48:D$89)</f>
        <v>0</v>
      </c>
      <c r="C49" s="7">
        <f>SUMIF('Distr.-Atv.'!$B$48:$B$89,'Distr.-Área'!$A49,'Distr.-Atv.'!E$48:E$89)</f>
        <v>0</v>
      </c>
      <c r="D49" s="7">
        <f>SUMIF('Distr.-Atv.'!$B$48:$B$89,'Distr.-Área'!$A49,'Distr.-Atv.'!F$48:F$89)</f>
        <v>0</v>
      </c>
      <c r="E49" s="7">
        <f>SUMIF('Distr.-Atv.'!$B$48:$B$89,'Distr.-Área'!$A49,'Distr.-Atv.'!G$48:G$89)</f>
        <v>0</v>
      </c>
      <c r="F49" s="7">
        <f>SUMIF('Distr.-Atv.'!$B$48:$B$89,'Distr.-Área'!$A49,'Distr.-Atv.'!H$48:H$89)</f>
        <v>0</v>
      </c>
      <c r="G49" s="7">
        <f>SUMIF('Distr.-Atv.'!$B$48:$B$89,'Distr.-Área'!$A49,'Distr.-Atv.'!I$48:I$89)</f>
        <v>0</v>
      </c>
      <c r="H49" s="7">
        <f>SUMIF('Distr.-Atv.'!$B$48:$B$89,'Distr.-Área'!$A49,'Distr.-Atv.'!J$48:J$89)</f>
        <v>0</v>
      </c>
      <c r="I49" s="7">
        <f>SUMIF('Distr.-Atv.'!$B$48:$B$89,'Distr.-Área'!$A49,'Distr.-Atv.'!K$48:K$89)</f>
        <v>0</v>
      </c>
      <c r="J49" s="7">
        <f>SUMIF('Distr.-Atv.'!$B$48:$B$89,'Distr.-Área'!$A49,'Distr.-Atv.'!L$48:L$89)</f>
        <v>0</v>
      </c>
      <c r="K49" s="7">
        <f>SUMIF('Distr.-Atv.'!$B$48:$B$89,'Distr.-Área'!$A49,'Distr.-Atv.'!M$48:M$89)</f>
        <v>0</v>
      </c>
      <c r="L49" s="7">
        <f>SUMIF('Distr.-Atv.'!$B$48:$B$89,'Distr.-Área'!$A49,'Distr.-Atv.'!N$48:N$89)</f>
        <v>0</v>
      </c>
      <c r="M49" s="7">
        <f>SUMIF('Distr.-Atv.'!$B$48:$B$89,'Distr.-Área'!$A49,'Distr.-Atv.'!O$48:O$89)</f>
        <v>0</v>
      </c>
      <c r="N49" s="7">
        <f>SUMIF('Distr.-Atv.'!$B$48:$B$89,'Distr.-Área'!$A49,'Distr.-Atv.'!P$48:P$89)</f>
        <v>0</v>
      </c>
      <c r="O49" s="7">
        <f>SUMIF('Distr.-Atv.'!$B$48:$B$89,'Distr.-Área'!$A49,'Distr.-Atv.'!Q$48:Q$89)</f>
        <v>0</v>
      </c>
      <c r="P49" s="7">
        <f>SUMIF('Distr.-Atv.'!$B$48:$B$89,'Distr.-Área'!$A49,'Distr.-Atv.'!R$48:R$89)</f>
        <v>0</v>
      </c>
      <c r="Q49" s="7">
        <f>SUMIF('Distr.-Atv.'!$B$48:$B$89,'Distr.-Área'!$A49,'Distr.-Atv.'!S$48:S$89)</f>
        <v>0</v>
      </c>
      <c r="R49" s="7">
        <f>SUMIF('Distr.-Atv.'!$B$48:$B$89,'Distr.-Área'!$A49,'Distr.-Atv.'!T$48:T$89)</f>
        <v>0</v>
      </c>
      <c r="S49" s="7">
        <f>SUMIF('Distr.-Atv.'!$B$48:$B$89,'Distr.-Área'!$A49,'Distr.-Atv.'!U$48:U$89)</f>
        <v>0</v>
      </c>
      <c r="T49" s="75">
        <f>SUMIF('Distr.-Atv.'!$B$48:$B$89,'Distr.-Área'!$A49,'Distr.-Atv.'!V$48:V$89)</f>
        <v>218.96825396825395</v>
      </c>
      <c r="U49" s="75">
        <f>SUMIF('Distr.-Atv.'!$B$48:$B$89,'Distr.-Área'!$A49,'Distr.-Atv.'!W$48:W$89)</f>
        <v>1312.8253968253969</v>
      </c>
      <c r="V49" s="75">
        <f>SUMIF('Distr.-Atv.'!$B$48:$B$89,'Distr.-Área'!$A49,'Distr.-Atv.'!X$48:X$89)</f>
        <v>2188.2063492063489</v>
      </c>
      <c r="W49" s="75">
        <f>SUMIF('Distr.-Atv.'!$B$48:$B$89,'Distr.-Área'!$A49,'Distr.-Atv.'!Y$48:Y$89)</f>
        <v>3282.5555555555557</v>
      </c>
      <c r="X49" s="75">
        <f>SUMIF('Distr.-Atv.'!$B$48:$B$89,'Distr.-Área'!$A49,'Distr.-Atv.'!Z$48:Z$89)</f>
        <v>3720</v>
      </c>
    </row>
    <row r="50" spans="1:24" x14ac:dyDescent="0.2">
      <c r="A50" s="7" t="s">
        <v>1199</v>
      </c>
      <c r="B50" s="7">
        <f>SUMIF('Distr.-Atv.'!$B$48:$B$89,'Distr.-Área'!$A50,'Distr.-Atv.'!D$48:D$89)</f>
        <v>0</v>
      </c>
      <c r="C50" s="7">
        <f>SUMIF('Distr.-Atv.'!$B$48:$B$89,'Distr.-Área'!$A50,'Distr.-Atv.'!E$48:E$89)</f>
        <v>0</v>
      </c>
      <c r="D50" s="7">
        <f>SUMIF('Distr.-Atv.'!$B$48:$B$89,'Distr.-Área'!$A50,'Distr.-Atv.'!F$48:F$89)</f>
        <v>0</v>
      </c>
      <c r="E50" s="7">
        <f>SUMIF('Distr.-Atv.'!$B$48:$B$89,'Distr.-Área'!$A50,'Distr.-Atv.'!G$48:G$89)</f>
        <v>0</v>
      </c>
      <c r="F50" s="7">
        <f>SUMIF('Distr.-Atv.'!$B$48:$B$89,'Distr.-Área'!$A50,'Distr.-Atv.'!H$48:H$89)</f>
        <v>0</v>
      </c>
      <c r="G50" s="7">
        <f>SUMIF('Distr.-Atv.'!$B$48:$B$89,'Distr.-Área'!$A50,'Distr.-Atv.'!I$48:I$89)</f>
        <v>0</v>
      </c>
      <c r="H50" s="7">
        <f>SUMIF('Distr.-Atv.'!$B$48:$B$89,'Distr.-Área'!$A50,'Distr.-Atv.'!J$48:J$89)</f>
        <v>0</v>
      </c>
      <c r="I50" s="7">
        <f>SUMIF('Distr.-Atv.'!$B$48:$B$89,'Distr.-Área'!$A50,'Distr.-Atv.'!K$48:K$89)</f>
        <v>0</v>
      </c>
      <c r="J50" s="7">
        <f>SUMIF('Distr.-Atv.'!$B$48:$B$89,'Distr.-Área'!$A50,'Distr.-Atv.'!L$48:L$89)</f>
        <v>0</v>
      </c>
      <c r="K50" s="7">
        <f>SUMIF('Distr.-Atv.'!$B$48:$B$89,'Distr.-Área'!$A50,'Distr.-Atv.'!M$48:M$89)</f>
        <v>0</v>
      </c>
      <c r="L50" s="7">
        <f>SUMIF('Distr.-Atv.'!$B$48:$B$89,'Distr.-Área'!$A50,'Distr.-Atv.'!N$48:N$89)</f>
        <v>0</v>
      </c>
      <c r="M50" s="7">
        <f>SUMIF('Distr.-Atv.'!$B$48:$B$89,'Distr.-Área'!$A50,'Distr.-Atv.'!O$48:O$89)</f>
        <v>0</v>
      </c>
      <c r="N50" s="7">
        <f>SUMIF('Distr.-Atv.'!$B$48:$B$89,'Distr.-Área'!$A50,'Distr.-Atv.'!P$48:P$89)</f>
        <v>0</v>
      </c>
      <c r="O50" s="7">
        <f>SUMIF('Distr.-Atv.'!$B$48:$B$89,'Distr.-Área'!$A50,'Distr.-Atv.'!Q$48:Q$89)</f>
        <v>0</v>
      </c>
      <c r="P50" s="7">
        <f>SUMIF('Distr.-Atv.'!$B$48:$B$89,'Distr.-Área'!$A50,'Distr.-Atv.'!R$48:R$89)</f>
        <v>0</v>
      </c>
      <c r="Q50" s="7">
        <f>SUMIF('Distr.-Atv.'!$B$48:$B$89,'Distr.-Área'!$A50,'Distr.-Atv.'!S$48:S$89)</f>
        <v>0</v>
      </c>
      <c r="R50" s="7">
        <f>SUMIF('Distr.-Atv.'!$B$48:$B$89,'Distr.-Área'!$A50,'Distr.-Atv.'!T$48:T$89)</f>
        <v>0</v>
      </c>
      <c r="S50" s="7">
        <f>SUMIF('Distr.-Atv.'!$B$48:$B$89,'Distr.-Área'!$A50,'Distr.-Atv.'!U$48:U$89)</f>
        <v>0</v>
      </c>
      <c r="T50" s="75">
        <f>SUMIF('Distr.-Atv.'!$B$48:$B$89,'Distr.-Área'!$A50,'Distr.-Atv.'!V$48:V$89)</f>
        <v>62.982804232804227</v>
      </c>
      <c r="U50" s="75">
        <f>SUMIF('Distr.-Atv.'!$B$48:$B$89,'Distr.-Área'!$A50,'Distr.-Atv.'!W$48:W$89)</f>
        <v>377.61375661375661</v>
      </c>
      <c r="V50" s="75">
        <f>SUMIF('Distr.-Atv.'!$B$48:$B$89,'Distr.-Área'!$A50,'Distr.-Atv.'!X$48:X$89)</f>
        <v>629.40343915343908</v>
      </c>
      <c r="W50" s="75">
        <f>SUMIF('Distr.-Atv.'!$B$48:$B$89,'Distr.-Área'!$A50,'Distr.-Atv.'!Y$48:Y$89)</f>
        <v>944.17592592592598</v>
      </c>
      <c r="X50" s="75">
        <f>SUMIF('Distr.-Atv.'!$B$48:$B$89,'Distr.-Área'!$A50,'Distr.-Atv.'!Z$48:Z$89)</f>
        <v>1070</v>
      </c>
    </row>
    <row r="51" spans="1:24" ht="15" x14ac:dyDescent="0.25">
      <c r="A51"/>
    </row>
    <row r="52" spans="1:24" ht="15" x14ac:dyDescent="0.25">
      <c r="A52"/>
    </row>
    <row r="53" spans="1:24" ht="15" x14ac:dyDescent="0.25">
      <c r="A53"/>
    </row>
    <row r="54" spans="1:24" ht="15" x14ac:dyDescent="0.25">
      <c r="A54"/>
    </row>
    <row r="55" spans="1:24" ht="15" x14ac:dyDescent="0.25">
      <c r="A55"/>
    </row>
    <row r="56" spans="1:24" ht="15" x14ac:dyDescent="0.25">
      <c r="A56"/>
    </row>
    <row r="57" spans="1:24" ht="15" x14ac:dyDescent="0.25">
      <c r="A57"/>
    </row>
    <row r="58" spans="1:24" ht="15" x14ac:dyDescent="0.25">
      <c r="A58"/>
    </row>
    <row r="59" spans="1:24" ht="15" x14ac:dyDescent="0.25">
      <c r="A59"/>
    </row>
    <row r="60" spans="1:24" ht="15" x14ac:dyDescent="0.25">
      <c r="A60"/>
    </row>
    <row r="61" spans="1:24" ht="15" x14ac:dyDescent="0.25">
      <c r="A61"/>
    </row>
    <row r="62" spans="1:24" ht="15" x14ac:dyDescent="0.25">
      <c r="A62"/>
    </row>
    <row r="63" spans="1:24" ht="15" x14ac:dyDescent="0.25">
      <c r="A63"/>
    </row>
    <row r="64" spans="1:24" ht="15" x14ac:dyDescent="0.25">
      <c r="A64"/>
    </row>
    <row r="65" spans="1:1" ht="15" x14ac:dyDescent="0.25">
      <c r="A65"/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13"/>
  <dimension ref="A1:L704"/>
  <sheetViews>
    <sheetView workbookViewId="0">
      <selection activeCell="L10" sqref="L10"/>
    </sheetView>
  </sheetViews>
  <sheetFormatPr defaultRowHeight="15" x14ac:dyDescent="0.25"/>
  <cols>
    <col min="1" max="1" width="10.5703125" style="46" customWidth="1"/>
    <col min="4" max="4" width="16.28515625" bestFit="1" customWidth="1"/>
    <col min="9" max="9" width="16.7109375" style="8" bestFit="1" customWidth="1"/>
    <col min="10" max="10" width="9" customWidth="1"/>
    <col min="12" max="12" width="11.42578125" customWidth="1"/>
  </cols>
  <sheetData>
    <row r="1" spans="1:12" x14ac:dyDescent="0.25">
      <c r="A1" s="12" t="s">
        <v>2266</v>
      </c>
      <c r="B1" s="12" t="s">
        <v>2267</v>
      </c>
      <c r="D1" s="12" t="s">
        <v>2268</v>
      </c>
      <c r="E1" s="12" t="s">
        <v>1496</v>
      </c>
      <c r="G1" s="12" t="s">
        <v>1498</v>
      </c>
      <c r="H1" s="12"/>
      <c r="I1" s="391" t="s">
        <v>2269</v>
      </c>
      <c r="J1" s="391" t="s">
        <v>2214</v>
      </c>
      <c r="L1" s="12" t="s">
        <v>48</v>
      </c>
    </row>
    <row r="2" spans="1:12" x14ac:dyDescent="0.25">
      <c r="A2" s="13" t="s">
        <v>28</v>
      </c>
      <c r="B2" s="12"/>
      <c r="D2" s="391" t="s">
        <v>16</v>
      </c>
      <c r="E2" s="391">
        <v>1</v>
      </c>
      <c r="G2" s="391" t="s">
        <v>1505</v>
      </c>
      <c r="H2" s="391"/>
      <c r="I2" s="391" t="s">
        <v>906</v>
      </c>
      <c r="J2" s="391" t="s">
        <v>829</v>
      </c>
      <c r="L2" s="391" t="s">
        <v>82</v>
      </c>
    </row>
    <row r="3" spans="1:12" x14ac:dyDescent="0.25">
      <c r="A3" s="46" t="s">
        <v>82</v>
      </c>
      <c r="B3" s="391">
        <f>COUNTIF(BD!J:J,Referências!A3)</f>
        <v>55</v>
      </c>
      <c r="D3" s="391" t="s">
        <v>17</v>
      </c>
      <c r="E3" s="391">
        <v>2</v>
      </c>
      <c r="G3" s="22" t="s">
        <v>86</v>
      </c>
      <c r="H3" s="22"/>
      <c r="I3" s="391" t="s">
        <v>931</v>
      </c>
      <c r="J3" s="391" t="s">
        <v>933</v>
      </c>
      <c r="L3" s="391" t="s">
        <v>93</v>
      </c>
    </row>
    <row r="4" spans="1:12" x14ac:dyDescent="0.25">
      <c r="A4" s="46" t="s">
        <v>310</v>
      </c>
      <c r="B4" s="391">
        <f>COUNTIF(BD!J:J,Referências!A4)</f>
        <v>50</v>
      </c>
      <c r="D4" s="391" t="s">
        <v>18</v>
      </c>
      <c r="E4" s="391">
        <v>3</v>
      </c>
      <c r="I4" s="391" t="s">
        <v>82</v>
      </c>
      <c r="J4" s="391" t="s">
        <v>89</v>
      </c>
      <c r="L4" s="391" t="s">
        <v>191</v>
      </c>
    </row>
    <row r="5" spans="1:12" x14ac:dyDescent="0.25">
      <c r="A5" s="46" t="s">
        <v>402</v>
      </c>
      <c r="B5" s="391">
        <f>COUNTIF(BD!J:J,Referências!A5)</f>
        <v>101</v>
      </c>
      <c r="D5" s="391" t="s">
        <v>19</v>
      </c>
      <c r="E5" s="391">
        <v>4</v>
      </c>
      <c r="I5" s="391" t="s">
        <v>804</v>
      </c>
      <c r="J5" s="391" t="s">
        <v>808</v>
      </c>
      <c r="L5" s="391" t="s">
        <v>1427</v>
      </c>
    </row>
    <row r="6" spans="1:12" x14ac:dyDescent="0.25">
      <c r="A6" s="46" t="s">
        <v>804</v>
      </c>
      <c r="B6" s="391">
        <f>COUNTIF(BD!J:J,Referências!A6)</f>
        <v>51</v>
      </c>
      <c r="I6" s="391" t="s">
        <v>2222</v>
      </c>
      <c r="J6" s="391" t="s">
        <v>2125</v>
      </c>
      <c r="L6" s="391" t="s">
        <v>1433</v>
      </c>
    </row>
    <row r="7" spans="1:12" x14ac:dyDescent="0.25">
      <c r="A7" s="46" t="s">
        <v>906</v>
      </c>
      <c r="B7" s="391">
        <f>COUNTIF(BD!J:J,Referências!A7)</f>
        <v>8</v>
      </c>
      <c r="I7" s="391" t="s">
        <v>1054</v>
      </c>
      <c r="J7" s="391" t="s">
        <v>1067</v>
      </c>
      <c r="L7" s="391" t="s">
        <v>1430</v>
      </c>
    </row>
    <row r="8" spans="1:12" x14ac:dyDescent="0.25">
      <c r="A8" s="46" t="s">
        <v>931</v>
      </c>
      <c r="B8" s="391">
        <f>COUNTIF(BD!J:J,Referências!A8)</f>
        <v>2</v>
      </c>
      <c r="I8" s="391" t="s">
        <v>2222</v>
      </c>
      <c r="J8" s="391" t="s">
        <v>2225</v>
      </c>
      <c r="L8" s="391" t="s">
        <v>1424</v>
      </c>
    </row>
    <row r="9" spans="1:12" x14ac:dyDescent="0.25">
      <c r="A9" s="46" t="s">
        <v>1414</v>
      </c>
      <c r="B9" s="391">
        <f>COUNTIF(BD!J:J,Referências!A9)</f>
        <v>1</v>
      </c>
      <c r="I9" s="391" t="s">
        <v>804</v>
      </c>
      <c r="J9" s="391" t="s">
        <v>2227</v>
      </c>
      <c r="L9" s="391" t="s">
        <v>201</v>
      </c>
    </row>
    <row r="10" spans="1:12" x14ac:dyDescent="0.25">
      <c r="A10" s="46" t="s">
        <v>1032</v>
      </c>
      <c r="B10" s="391">
        <f>COUNTIF(BD!J:J,Referências!A10)</f>
        <v>0</v>
      </c>
      <c r="I10" s="391" t="s">
        <v>762</v>
      </c>
      <c r="J10" s="391" t="s">
        <v>1059</v>
      </c>
      <c r="L10" s="391" t="s">
        <v>222</v>
      </c>
    </row>
    <row r="11" spans="1:12" x14ac:dyDescent="0.25">
      <c r="A11" s="46" t="s">
        <v>1054</v>
      </c>
      <c r="B11" s="391">
        <f>COUNTIF(BD!J:J,Referências!A11)</f>
        <v>17</v>
      </c>
      <c r="I11" s="391" t="s">
        <v>762</v>
      </c>
      <c r="J11" s="391" t="s">
        <v>2230</v>
      </c>
      <c r="L11" s="391" t="s">
        <v>238</v>
      </c>
    </row>
    <row r="12" spans="1:12" x14ac:dyDescent="0.25">
      <c r="A12" s="46" t="s">
        <v>1199</v>
      </c>
      <c r="B12" s="391">
        <f>COUNTIF(BD!J:J,Referências!A12)</f>
        <v>2</v>
      </c>
      <c r="I12" s="391" t="s">
        <v>787</v>
      </c>
      <c r="J12" s="391" t="s">
        <v>1367</v>
      </c>
      <c r="L12" s="391" t="s">
        <v>266</v>
      </c>
    </row>
    <row r="13" spans="1:12" x14ac:dyDescent="0.25">
      <c r="A13" s="46" t="s">
        <v>235</v>
      </c>
      <c r="B13" s="391">
        <f>COUNTIF(BD!J:J,Referências!A13)</f>
        <v>23</v>
      </c>
      <c r="I13" s="391" t="s">
        <v>402</v>
      </c>
      <c r="J13" s="391" t="s">
        <v>453</v>
      </c>
      <c r="L13" s="391" t="s">
        <v>285</v>
      </c>
    </row>
    <row r="14" spans="1:12" x14ac:dyDescent="0.25">
      <c r="A14" s="46" t="s">
        <v>1098</v>
      </c>
      <c r="B14" s="391">
        <f>COUNTIF(BD!J:J,Referências!A14)</f>
        <v>28</v>
      </c>
      <c r="I14" s="391" t="s">
        <v>402</v>
      </c>
      <c r="J14" s="391" t="s">
        <v>536</v>
      </c>
      <c r="L14" s="391" t="s">
        <v>294</v>
      </c>
    </row>
    <row r="15" spans="1:12" x14ac:dyDescent="0.25">
      <c r="A15" s="46" t="s">
        <v>703</v>
      </c>
      <c r="B15" s="391">
        <f>COUNTIF(BD!J:J,Referências!A15)</f>
        <v>6</v>
      </c>
      <c r="I15" s="391" t="s">
        <v>1098</v>
      </c>
      <c r="J15" s="391" t="s">
        <v>1088</v>
      </c>
      <c r="L15" s="391" t="s">
        <v>310</v>
      </c>
    </row>
    <row r="16" spans="1:12" x14ac:dyDescent="0.25">
      <c r="A16" s="46" t="s">
        <v>733</v>
      </c>
      <c r="B16" s="391">
        <f>COUNTIF(BD!J:J,Referências!A16)</f>
        <v>11</v>
      </c>
      <c r="I16" s="391" t="s">
        <v>1668</v>
      </c>
      <c r="J16" s="391" t="s">
        <v>2236</v>
      </c>
      <c r="L16" s="391" t="s">
        <v>2170</v>
      </c>
    </row>
    <row r="17" spans="1:12" x14ac:dyDescent="0.25">
      <c r="A17" s="46" t="s">
        <v>762</v>
      </c>
      <c r="B17" s="391">
        <f>COUNTIF(BD!J:J,Referências!A17)</f>
        <v>14</v>
      </c>
      <c r="I17" s="391" t="s">
        <v>2239</v>
      </c>
      <c r="J17" s="391" t="s">
        <v>2238</v>
      </c>
      <c r="L17" s="391" t="s">
        <v>2171</v>
      </c>
    </row>
    <row r="18" spans="1:12" x14ac:dyDescent="0.25">
      <c r="A18" s="46" t="s">
        <v>264</v>
      </c>
      <c r="B18" s="391">
        <f>COUNTIF(BD!J:J,Referências!A18)</f>
        <v>6</v>
      </c>
      <c r="I18" s="391" t="s">
        <v>804</v>
      </c>
      <c r="J18" s="391" t="s">
        <v>1030</v>
      </c>
      <c r="L18" s="391" t="s">
        <v>402</v>
      </c>
    </row>
    <row r="19" spans="1:12" x14ac:dyDescent="0.25">
      <c r="A19" s="46" t="s">
        <v>787</v>
      </c>
      <c r="B19" s="391">
        <f>COUNTIF(BD!J:J,Referências!A19)</f>
        <v>5</v>
      </c>
      <c r="I19" s="391" t="s">
        <v>804</v>
      </c>
      <c r="J19" s="391" t="s">
        <v>903</v>
      </c>
      <c r="L19" s="391" t="s">
        <v>586</v>
      </c>
    </row>
    <row r="20" spans="1:12" x14ac:dyDescent="0.25">
      <c r="A20" s="46" t="s">
        <v>282</v>
      </c>
      <c r="B20" s="391">
        <f>COUNTIF(BD!J:J,Referências!A20)</f>
        <v>20</v>
      </c>
      <c r="I20" s="391" t="s">
        <v>235</v>
      </c>
      <c r="J20" s="391" t="s">
        <v>258</v>
      </c>
      <c r="L20" s="391" t="s">
        <v>597</v>
      </c>
    </row>
    <row r="21" spans="1:12" x14ac:dyDescent="0.25">
      <c r="A21" s="46" t="s">
        <v>103</v>
      </c>
      <c r="B21" s="391">
        <f>COUNTIF(BD!J:J,Referências!A21)</f>
        <v>48</v>
      </c>
      <c r="I21" s="391" t="s">
        <v>235</v>
      </c>
      <c r="J21" s="391" t="s">
        <v>1219</v>
      </c>
      <c r="L21" s="391" t="s">
        <v>650</v>
      </c>
    </row>
    <row r="22" spans="1:12" x14ac:dyDescent="0.25">
      <c r="A22" s="46" t="s">
        <v>319</v>
      </c>
      <c r="B22" s="391">
        <f>COUNTIF(BD!J:J,Referências!A22)</f>
        <v>29</v>
      </c>
      <c r="I22" s="391" t="s">
        <v>82</v>
      </c>
      <c r="J22" s="391" t="s">
        <v>187</v>
      </c>
      <c r="L22" s="391" t="s">
        <v>710</v>
      </c>
    </row>
    <row r="23" spans="1:12" x14ac:dyDescent="0.25">
      <c r="A23" s="46" t="s">
        <v>1014</v>
      </c>
      <c r="B23" s="391">
        <f>COUNTIF(BD!J:J,Referências!A23)</f>
        <v>23</v>
      </c>
      <c r="I23" s="391" t="s">
        <v>1098</v>
      </c>
      <c r="J23" s="391" t="s">
        <v>1229</v>
      </c>
      <c r="L23" s="391" t="s">
        <v>737</v>
      </c>
    </row>
    <row r="24" spans="1:12" x14ac:dyDescent="0.25">
      <c r="B24" s="391"/>
      <c r="I24" s="391" t="s">
        <v>282</v>
      </c>
      <c r="J24" s="391" t="s">
        <v>218</v>
      </c>
      <c r="L24" s="391" t="s">
        <v>768</v>
      </c>
    </row>
    <row r="25" spans="1:12" x14ac:dyDescent="0.25">
      <c r="B25" s="391"/>
      <c r="I25" s="391" t="s">
        <v>804</v>
      </c>
      <c r="J25" s="391" t="s">
        <v>1198</v>
      </c>
      <c r="L25" s="391" t="s">
        <v>793</v>
      </c>
    </row>
    <row r="26" spans="1:12" x14ac:dyDescent="0.25">
      <c r="B26" s="391"/>
      <c r="I26" s="391" t="s">
        <v>2250</v>
      </c>
      <c r="J26" s="391" t="s">
        <v>2249</v>
      </c>
      <c r="L26" s="391" t="s">
        <v>800</v>
      </c>
    </row>
    <row r="27" spans="1:12" x14ac:dyDescent="0.25">
      <c r="B27" s="391"/>
      <c r="I27" s="391" t="s">
        <v>235</v>
      </c>
      <c r="J27" s="391" t="s">
        <v>198</v>
      </c>
      <c r="L27" s="391" t="s">
        <v>804</v>
      </c>
    </row>
    <row r="28" spans="1:12" x14ac:dyDescent="0.25">
      <c r="B28" s="391"/>
      <c r="I28" s="391" t="s">
        <v>1098</v>
      </c>
      <c r="J28" s="391" t="s">
        <v>1100</v>
      </c>
      <c r="L28" s="391" t="s">
        <v>908</v>
      </c>
    </row>
    <row r="29" spans="1:12" x14ac:dyDescent="0.25">
      <c r="B29" s="391"/>
      <c r="I29" s="391" t="s">
        <v>1098</v>
      </c>
      <c r="J29" s="391" t="s">
        <v>1114</v>
      </c>
      <c r="L29" s="391" t="s">
        <v>935</v>
      </c>
    </row>
    <row r="30" spans="1:12" x14ac:dyDescent="0.25">
      <c r="A30" s="39"/>
      <c r="B30" s="391"/>
      <c r="I30" s="391" t="s">
        <v>264</v>
      </c>
      <c r="J30" s="391" t="s">
        <v>207</v>
      </c>
      <c r="L30" s="391" t="s">
        <v>952</v>
      </c>
    </row>
    <row r="31" spans="1:12" x14ac:dyDescent="0.25">
      <c r="A31" s="39"/>
      <c r="I31" s="391" t="s">
        <v>282</v>
      </c>
      <c r="J31" s="391" t="s">
        <v>211</v>
      </c>
      <c r="L31" s="391" t="s">
        <v>968</v>
      </c>
    </row>
    <row r="32" spans="1:12" x14ac:dyDescent="0.25">
      <c r="A32" s="39"/>
      <c r="I32" s="391" t="s">
        <v>282</v>
      </c>
      <c r="J32" s="391" t="s">
        <v>204</v>
      </c>
      <c r="L32" s="391" t="s">
        <v>975</v>
      </c>
    </row>
    <row r="33" spans="1:12" x14ac:dyDescent="0.25">
      <c r="A33" s="39"/>
      <c r="I33" s="391" t="s">
        <v>762</v>
      </c>
      <c r="J33" s="391" t="s">
        <v>765</v>
      </c>
      <c r="L33" s="391" t="s">
        <v>986</v>
      </c>
    </row>
    <row r="34" spans="1:12" x14ac:dyDescent="0.25">
      <c r="A34" s="39"/>
      <c r="I34" s="391" t="s">
        <v>787</v>
      </c>
      <c r="J34" s="391" t="s">
        <v>790</v>
      </c>
      <c r="L34" s="391" t="s">
        <v>2130</v>
      </c>
    </row>
    <row r="35" spans="1:12" x14ac:dyDescent="0.25">
      <c r="A35" s="39"/>
      <c r="I35" s="391" t="s">
        <v>703</v>
      </c>
      <c r="J35" s="391" t="s">
        <v>707</v>
      </c>
      <c r="L35" s="391" t="s">
        <v>1021</v>
      </c>
    </row>
    <row r="36" spans="1:12" x14ac:dyDescent="0.25">
      <c r="A36" s="39"/>
      <c r="I36" s="391" t="s">
        <v>733</v>
      </c>
      <c r="J36" s="391" t="s">
        <v>736</v>
      </c>
      <c r="L36" s="391" t="s">
        <v>1520</v>
      </c>
    </row>
    <row r="37" spans="1:12" x14ac:dyDescent="0.25">
      <c r="A37" s="39"/>
      <c r="I37" s="391" t="s">
        <v>310</v>
      </c>
      <c r="J37" s="391" t="s">
        <v>342</v>
      </c>
      <c r="L37" s="391" t="s">
        <v>1032</v>
      </c>
    </row>
    <row r="38" spans="1:12" x14ac:dyDescent="0.25">
      <c r="A38" s="39"/>
      <c r="I38" s="391" t="s">
        <v>310</v>
      </c>
      <c r="J38" s="391" t="s">
        <v>2262</v>
      </c>
      <c r="L38" s="391" t="s">
        <v>1054</v>
      </c>
    </row>
    <row r="39" spans="1:12" x14ac:dyDescent="0.25">
      <c r="A39" s="39"/>
      <c r="I39" s="391" t="s">
        <v>310</v>
      </c>
      <c r="J39" s="391" t="s">
        <v>306</v>
      </c>
      <c r="L39" s="391" t="s">
        <v>1090</v>
      </c>
    </row>
    <row r="40" spans="1:12" x14ac:dyDescent="0.25">
      <c r="A40" s="39"/>
      <c r="I40" s="391"/>
      <c r="L40" s="391" t="s">
        <v>1102</v>
      </c>
    </row>
    <row r="41" spans="1:12" x14ac:dyDescent="0.25">
      <c r="A41" s="39"/>
      <c r="I41" s="391"/>
      <c r="L41" s="391" t="s">
        <v>1124</v>
      </c>
    </row>
    <row r="42" spans="1:12" x14ac:dyDescent="0.25">
      <c r="A42" s="39"/>
      <c r="I42" s="391"/>
      <c r="L42" s="391" t="s">
        <v>1142</v>
      </c>
    </row>
    <row r="43" spans="1:12" x14ac:dyDescent="0.25">
      <c r="A43" s="39"/>
      <c r="I43" s="391"/>
      <c r="L43" s="391" t="s">
        <v>1173</v>
      </c>
    </row>
    <row r="44" spans="1:12" x14ac:dyDescent="0.25">
      <c r="A44" s="39"/>
      <c r="I44" s="391"/>
      <c r="L44" s="391" t="s">
        <v>1179</v>
      </c>
    </row>
    <row r="45" spans="1:12" x14ac:dyDescent="0.25">
      <c r="A45" s="39"/>
      <c r="I45" s="391"/>
      <c r="L45" s="391" t="s">
        <v>1185</v>
      </c>
    </row>
    <row r="46" spans="1:12" x14ac:dyDescent="0.25">
      <c r="A46" s="39"/>
      <c r="I46" s="391"/>
      <c r="L46" s="391" t="s">
        <v>1199</v>
      </c>
    </row>
    <row r="47" spans="1:12" x14ac:dyDescent="0.25">
      <c r="A47" s="39"/>
      <c r="I47" s="391"/>
      <c r="L47" s="391" t="s">
        <v>1211</v>
      </c>
    </row>
    <row r="48" spans="1:12" x14ac:dyDescent="0.25">
      <c r="A48" s="39"/>
      <c r="I48" s="391"/>
      <c r="L48" s="391" t="s">
        <v>1230</v>
      </c>
    </row>
    <row r="49" spans="1:12" x14ac:dyDescent="0.25">
      <c r="A49" s="39"/>
      <c r="I49" s="391"/>
      <c r="L49" s="391" t="s">
        <v>1245</v>
      </c>
    </row>
    <row r="50" spans="1:12" x14ac:dyDescent="0.25">
      <c r="A50" s="39"/>
      <c r="I50" s="391"/>
      <c r="L50" s="391" t="s">
        <v>1264</v>
      </c>
    </row>
    <row r="51" spans="1:12" x14ac:dyDescent="0.25">
      <c r="A51" s="39"/>
      <c r="I51" s="391"/>
      <c r="L51" s="391" t="s">
        <v>1284</v>
      </c>
    </row>
    <row r="52" spans="1:12" x14ac:dyDescent="0.25">
      <c r="A52" s="39"/>
      <c r="I52" s="391"/>
      <c r="L52" s="391" t="s">
        <v>1292</v>
      </c>
    </row>
    <row r="53" spans="1:12" x14ac:dyDescent="0.25">
      <c r="A53" s="39"/>
      <c r="I53" s="391"/>
      <c r="L53" s="391" t="s">
        <v>2135</v>
      </c>
    </row>
    <row r="54" spans="1:12" x14ac:dyDescent="0.25">
      <c r="A54" s="39"/>
      <c r="I54" s="391"/>
      <c r="L54" s="391" t="s">
        <v>235</v>
      </c>
    </row>
    <row r="55" spans="1:12" x14ac:dyDescent="0.25">
      <c r="A55" s="39"/>
      <c r="I55" s="391"/>
      <c r="L55" s="391" t="s">
        <v>1098</v>
      </c>
    </row>
    <row r="56" spans="1:12" x14ac:dyDescent="0.25">
      <c r="A56" s="39"/>
      <c r="I56" s="391"/>
      <c r="L56" s="391" t="s">
        <v>787</v>
      </c>
    </row>
    <row r="57" spans="1:12" x14ac:dyDescent="0.25">
      <c r="A57" s="39"/>
      <c r="I57" s="391"/>
      <c r="L57" s="391" t="s">
        <v>282</v>
      </c>
    </row>
    <row r="58" spans="1:12" x14ac:dyDescent="0.25">
      <c r="A58" s="39"/>
      <c r="I58" s="391"/>
      <c r="L58" s="391" t="s">
        <v>1385</v>
      </c>
    </row>
    <row r="59" spans="1:12" x14ac:dyDescent="0.25">
      <c r="A59" s="39"/>
      <c r="I59" s="391"/>
      <c r="L59" s="391" t="s">
        <v>1417</v>
      </c>
    </row>
    <row r="60" spans="1:12" x14ac:dyDescent="0.25">
      <c r="A60" s="39"/>
      <c r="I60" s="391"/>
    </row>
    <row r="61" spans="1:12" x14ac:dyDescent="0.25">
      <c r="A61" s="39"/>
      <c r="I61" s="391"/>
    </row>
    <row r="62" spans="1:12" x14ac:dyDescent="0.25">
      <c r="A62" s="39"/>
      <c r="I62" s="391"/>
    </row>
    <row r="63" spans="1:12" x14ac:dyDescent="0.25">
      <c r="A63" s="39"/>
      <c r="I63" s="391"/>
    </row>
    <row r="64" spans="1:12" x14ac:dyDescent="0.25">
      <c r="A64" s="39"/>
      <c r="I64" s="391"/>
    </row>
    <row r="65" spans="1:1" x14ac:dyDescent="0.25">
      <c r="A65" s="39"/>
    </row>
    <row r="66" spans="1:1" x14ac:dyDescent="0.25">
      <c r="A66" s="39"/>
    </row>
    <row r="67" spans="1:1" x14ac:dyDescent="0.25">
      <c r="A67" s="39"/>
    </row>
    <row r="68" spans="1:1" x14ac:dyDescent="0.25">
      <c r="A68" s="39"/>
    </row>
    <row r="69" spans="1:1" x14ac:dyDescent="0.25">
      <c r="A69" s="39"/>
    </row>
    <row r="70" spans="1:1" x14ac:dyDescent="0.25">
      <c r="A70" s="39"/>
    </row>
    <row r="71" spans="1:1" x14ac:dyDescent="0.25">
      <c r="A71" s="39"/>
    </row>
    <row r="72" spans="1:1" x14ac:dyDescent="0.25">
      <c r="A72" s="39"/>
    </row>
    <row r="73" spans="1:1" x14ac:dyDescent="0.25">
      <c r="A73" s="39"/>
    </row>
    <row r="74" spans="1:1" x14ac:dyDescent="0.25">
      <c r="A74" s="39"/>
    </row>
    <row r="75" spans="1:1" x14ac:dyDescent="0.25">
      <c r="A75" s="39"/>
    </row>
    <row r="76" spans="1:1" x14ac:dyDescent="0.25">
      <c r="A76" s="39"/>
    </row>
    <row r="77" spans="1:1" x14ac:dyDescent="0.25">
      <c r="A77" s="39"/>
    </row>
    <row r="78" spans="1:1" x14ac:dyDescent="0.25">
      <c r="A78" s="39"/>
    </row>
    <row r="79" spans="1:1" x14ac:dyDescent="0.25">
      <c r="A79" s="39"/>
    </row>
    <row r="80" spans="1:1" x14ac:dyDescent="0.25">
      <c r="A80" s="39"/>
    </row>
    <row r="81" spans="1:1" x14ac:dyDescent="0.25">
      <c r="A81" s="39"/>
    </row>
    <row r="82" spans="1:1" x14ac:dyDescent="0.25">
      <c r="A82" s="39"/>
    </row>
    <row r="83" spans="1:1" x14ac:dyDescent="0.25">
      <c r="A83" s="39"/>
    </row>
    <row r="84" spans="1:1" x14ac:dyDescent="0.25">
      <c r="A84" s="39"/>
    </row>
    <row r="85" spans="1:1" x14ac:dyDescent="0.25">
      <c r="A85" s="39"/>
    </row>
    <row r="86" spans="1:1" x14ac:dyDescent="0.25">
      <c r="A86" s="39"/>
    </row>
    <row r="87" spans="1:1" x14ac:dyDescent="0.25">
      <c r="A87" s="39"/>
    </row>
    <row r="88" spans="1:1" x14ac:dyDescent="0.25">
      <c r="A88" s="39"/>
    </row>
    <row r="89" spans="1:1" x14ac:dyDescent="0.25">
      <c r="A89" s="39"/>
    </row>
    <row r="90" spans="1:1" x14ac:dyDescent="0.25">
      <c r="A90" s="39"/>
    </row>
    <row r="91" spans="1:1" x14ac:dyDescent="0.25">
      <c r="A91" s="39"/>
    </row>
    <row r="92" spans="1:1" x14ac:dyDescent="0.25">
      <c r="A92" s="39"/>
    </row>
    <row r="93" spans="1:1" x14ac:dyDescent="0.25">
      <c r="A93" s="39"/>
    </row>
    <row r="94" spans="1:1" x14ac:dyDescent="0.25">
      <c r="A94" s="39"/>
    </row>
    <row r="95" spans="1:1" x14ac:dyDescent="0.25">
      <c r="A95" s="39"/>
    </row>
    <row r="96" spans="1:1" x14ac:dyDescent="0.25">
      <c r="A96" s="39"/>
    </row>
    <row r="97" spans="1:1" x14ac:dyDescent="0.25">
      <c r="A97" s="39"/>
    </row>
    <row r="98" spans="1:1" x14ac:dyDescent="0.25">
      <c r="A98" s="39"/>
    </row>
    <row r="99" spans="1:1" x14ac:dyDescent="0.25">
      <c r="A99" s="39"/>
    </row>
    <row r="100" spans="1:1" x14ac:dyDescent="0.25">
      <c r="A100" s="39"/>
    </row>
    <row r="101" spans="1:1" x14ac:dyDescent="0.25">
      <c r="A101" s="39"/>
    </row>
    <row r="102" spans="1:1" x14ac:dyDescent="0.25">
      <c r="A102" s="39"/>
    </row>
    <row r="103" spans="1:1" x14ac:dyDescent="0.25">
      <c r="A103" s="39"/>
    </row>
    <row r="104" spans="1:1" x14ac:dyDescent="0.25">
      <c r="A104" s="39"/>
    </row>
    <row r="105" spans="1:1" x14ac:dyDescent="0.25">
      <c r="A105" s="39"/>
    </row>
    <row r="106" spans="1:1" x14ac:dyDescent="0.25">
      <c r="A106" s="39"/>
    </row>
    <row r="107" spans="1:1" x14ac:dyDescent="0.25">
      <c r="A107" s="39"/>
    </row>
    <row r="108" spans="1:1" x14ac:dyDescent="0.25">
      <c r="A108" s="39"/>
    </row>
    <row r="109" spans="1:1" x14ac:dyDescent="0.25">
      <c r="A109" s="39"/>
    </row>
    <row r="110" spans="1:1" x14ac:dyDescent="0.25">
      <c r="A110" s="39"/>
    </row>
    <row r="111" spans="1:1" x14ac:dyDescent="0.25">
      <c r="A111" s="39"/>
    </row>
    <row r="112" spans="1:1" x14ac:dyDescent="0.25">
      <c r="A112" s="39"/>
    </row>
    <row r="113" spans="1:1" x14ac:dyDescent="0.25">
      <c r="A113" s="39"/>
    </row>
    <row r="114" spans="1:1" x14ac:dyDescent="0.25">
      <c r="A114" s="39"/>
    </row>
    <row r="115" spans="1:1" x14ac:dyDescent="0.25">
      <c r="A115" s="39"/>
    </row>
    <row r="116" spans="1:1" x14ac:dyDescent="0.25">
      <c r="A116" s="39"/>
    </row>
    <row r="117" spans="1:1" x14ac:dyDescent="0.25">
      <c r="A117" s="39"/>
    </row>
    <row r="118" spans="1:1" x14ac:dyDescent="0.25">
      <c r="A118" s="39"/>
    </row>
    <row r="119" spans="1:1" x14ac:dyDescent="0.25">
      <c r="A119" s="39"/>
    </row>
    <row r="120" spans="1:1" x14ac:dyDescent="0.25">
      <c r="A120" s="39"/>
    </row>
    <row r="121" spans="1:1" x14ac:dyDescent="0.25">
      <c r="A121" s="39"/>
    </row>
    <row r="122" spans="1:1" x14ac:dyDescent="0.25">
      <c r="A122" s="39"/>
    </row>
    <row r="123" spans="1:1" x14ac:dyDescent="0.25">
      <c r="A123" s="39"/>
    </row>
    <row r="124" spans="1:1" x14ac:dyDescent="0.25">
      <c r="A124" s="39"/>
    </row>
    <row r="125" spans="1:1" x14ac:dyDescent="0.25">
      <c r="A125" s="39"/>
    </row>
    <row r="126" spans="1:1" x14ac:dyDescent="0.25">
      <c r="A126" s="39"/>
    </row>
    <row r="127" spans="1:1" x14ac:dyDescent="0.25">
      <c r="A127" s="39"/>
    </row>
    <row r="128" spans="1:1" x14ac:dyDescent="0.25">
      <c r="A128" s="39"/>
    </row>
    <row r="129" spans="1:1" x14ac:dyDescent="0.25">
      <c r="A129" s="39"/>
    </row>
    <row r="130" spans="1:1" x14ac:dyDescent="0.25">
      <c r="A130" s="39"/>
    </row>
    <row r="131" spans="1:1" x14ac:dyDescent="0.25">
      <c r="A131" s="39"/>
    </row>
    <row r="132" spans="1:1" x14ac:dyDescent="0.25">
      <c r="A132" s="39"/>
    </row>
    <row r="133" spans="1:1" x14ac:dyDescent="0.25">
      <c r="A133" s="39"/>
    </row>
    <row r="134" spans="1:1" x14ac:dyDescent="0.25">
      <c r="A134" s="39"/>
    </row>
    <row r="135" spans="1:1" x14ac:dyDescent="0.25">
      <c r="A135" s="39"/>
    </row>
    <row r="136" spans="1:1" x14ac:dyDescent="0.25">
      <c r="A136" s="39"/>
    </row>
    <row r="137" spans="1:1" x14ac:dyDescent="0.25">
      <c r="A137" s="39"/>
    </row>
    <row r="138" spans="1:1" x14ac:dyDescent="0.25">
      <c r="A138" s="39"/>
    </row>
    <row r="139" spans="1:1" x14ac:dyDescent="0.25">
      <c r="A139" s="39"/>
    </row>
    <row r="140" spans="1:1" x14ac:dyDescent="0.25">
      <c r="A140" s="39"/>
    </row>
    <row r="141" spans="1:1" x14ac:dyDescent="0.25">
      <c r="A141" s="39"/>
    </row>
    <row r="142" spans="1:1" x14ac:dyDescent="0.25">
      <c r="A142" s="39"/>
    </row>
    <row r="143" spans="1:1" x14ac:dyDescent="0.25">
      <c r="A143" s="39"/>
    </row>
    <row r="144" spans="1:1" x14ac:dyDescent="0.25">
      <c r="A144" s="39"/>
    </row>
    <row r="145" spans="1:1" x14ac:dyDescent="0.25">
      <c r="A145" s="39"/>
    </row>
    <row r="146" spans="1:1" x14ac:dyDescent="0.25">
      <c r="A146" s="39"/>
    </row>
    <row r="147" spans="1:1" x14ac:dyDescent="0.25">
      <c r="A147" s="39"/>
    </row>
    <row r="148" spans="1:1" x14ac:dyDescent="0.25">
      <c r="A148" s="39"/>
    </row>
    <row r="149" spans="1:1" x14ac:dyDescent="0.25">
      <c r="A149" s="39"/>
    </row>
    <row r="150" spans="1:1" x14ac:dyDescent="0.25">
      <c r="A150" s="39"/>
    </row>
    <row r="151" spans="1:1" x14ac:dyDescent="0.25">
      <c r="A151" s="39"/>
    </row>
    <row r="152" spans="1:1" x14ac:dyDescent="0.25">
      <c r="A152" s="39"/>
    </row>
    <row r="153" spans="1:1" x14ac:dyDescent="0.25">
      <c r="A153" s="39"/>
    </row>
    <row r="154" spans="1:1" x14ac:dyDescent="0.25">
      <c r="A154" s="39"/>
    </row>
    <row r="155" spans="1:1" x14ac:dyDescent="0.25">
      <c r="A155" s="39"/>
    </row>
    <row r="156" spans="1:1" x14ac:dyDescent="0.25">
      <c r="A156" s="39"/>
    </row>
    <row r="157" spans="1:1" x14ac:dyDescent="0.25">
      <c r="A157" s="39"/>
    </row>
    <row r="158" spans="1:1" x14ac:dyDescent="0.25">
      <c r="A158" s="39"/>
    </row>
    <row r="159" spans="1:1" x14ac:dyDescent="0.25">
      <c r="A159" s="39"/>
    </row>
    <row r="160" spans="1:1" x14ac:dyDescent="0.25">
      <c r="A160" s="39"/>
    </row>
    <row r="161" spans="1:1" x14ac:dyDescent="0.25">
      <c r="A161" s="39"/>
    </row>
    <row r="162" spans="1:1" x14ac:dyDescent="0.25">
      <c r="A162" s="39"/>
    </row>
    <row r="163" spans="1:1" x14ac:dyDescent="0.25">
      <c r="A163" s="39"/>
    </row>
    <row r="164" spans="1:1" x14ac:dyDescent="0.25">
      <c r="A164" s="39"/>
    </row>
    <row r="165" spans="1:1" x14ac:dyDescent="0.25">
      <c r="A165" s="39"/>
    </row>
    <row r="166" spans="1:1" x14ac:dyDescent="0.25">
      <c r="A166" s="39"/>
    </row>
    <row r="167" spans="1:1" x14ac:dyDescent="0.25">
      <c r="A167" s="39"/>
    </row>
    <row r="168" spans="1:1" x14ac:dyDescent="0.25">
      <c r="A168" s="39"/>
    </row>
    <row r="169" spans="1:1" x14ac:dyDescent="0.25">
      <c r="A169" s="39"/>
    </row>
    <row r="170" spans="1:1" x14ac:dyDescent="0.25">
      <c r="A170" s="39"/>
    </row>
    <row r="171" spans="1:1" x14ac:dyDescent="0.25">
      <c r="A171" s="39"/>
    </row>
    <row r="172" spans="1:1" x14ac:dyDescent="0.25">
      <c r="A172" s="39"/>
    </row>
    <row r="173" spans="1:1" x14ac:dyDescent="0.25">
      <c r="A173" s="39"/>
    </row>
    <row r="174" spans="1:1" x14ac:dyDescent="0.25">
      <c r="A174" s="39"/>
    </row>
    <row r="175" spans="1:1" x14ac:dyDescent="0.25">
      <c r="A175" s="39"/>
    </row>
    <row r="176" spans="1:1" x14ac:dyDescent="0.25">
      <c r="A176" s="39"/>
    </row>
    <row r="177" spans="1:1" x14ac:dyDescent="0.25">
      <c r="A177" s="39"/>
    </row>
    <row r="178" spans="1:1" x14ac:dyDescent="0.25">
      <c r="A178" s="39"/>
    </row>
    <row r="179" spans="1:1" x14ac:dyDescent="0.25">
      <c r="A179" s="39"/>
    </row>
    <row r="180" spans="1:1" x14ac:dyDescent="0.25">
      <c r="A180" s="39"/>
    </row>
    <row r="181" spans="1:1" x14ac:dyDescent="0.25">
      <c r="A181" s="39"/>
    </row>
    <row r="182" spans="1:1" x14ac:dyDescent="0.25">
      <c r="A182" s="39"/>
    </row>
    <row r="183" spans="1:1" x14ac:dyDescent="0.25">
      <c r="A183" s="39"/>
    </row>
    <row r="184" spans="1:1" x14ac:dyDescent="0.25">
      <c r="A184" s="39"/>
    </row>
    <row r="185" spans="1:1" x14ac:dyDescent="0.25">
      <c r="A185" s="39"/>
    </row>
    <row r="186" spans="1:1" x14ac:dyDescent="0.25">
      <c r="A186" s="39"/>
    </row>
    <row r="187" spans="1:1" x14ac:dyDescent="0.25">
      <c r="A187" s="39"/>
    </row>
    <row r="188" spans="1:1" x14ac:dyDescent="0.25">
      <c r="A188" s="39"/>
    </row>
    <row r="189" spans="1:1" x14ac:dyDescent="0.25">
      <c r="A189" s="39"/>
    </row>
    <row r="190" spans="1:1" x14ac:dyDescent="0.25">
      <c r="A190" s="39"/>
    </row>
    <row r="191" spans="1:1" x14ac:dyDescent="0.25">
      <c r="A191" s="39"/>
    </row>
    <row r="192" spans="1:1" x14ac:dyDescent="0.25">
      <c r="A192" s="39"/>
    </row>
    <row r="193" spans="1:1" x14ac:dyDescent="0.25">
      <c r="A193" s="39"/>
    </row>
    <row r="194" spans="1:1" x14ac:dyDescent="0.25">
      <c r="A194" s="39"/>
    </row>
    <row r="195" spans="1:1" x14ac:dyDescent="0.25">
      <c r="A195" s="39"/>
    </row>
    <row r="196" spans="1:1" x14ac:dyDescent="0.25">
      <c r="A196" s="39"/>
    </row>
    <row r="197" spans="1:1" x14ac:dyDescent="0.25">
      <c r="A197" s="39"/>
    </row>
    <row r="198" spans="1:1" x14ac:dyDescent="0.25">
      <c r="A198" s="39"/>
    </row>
    <row r="199" spans="1:1" x14ac:dyDescent="0.25">
      <c r="A199" s="39"/>
    </row>
    <row r="200" spans="1:1" x14ac:dyDescent="0.25">
      <c r="A200" s="39"/>
    </row>
    <row r="201" spans="1:1" x14ac:dyDescent="0.25">
      <c r="A201" s="39"/>
    </row>
    <row r="202" spans="1:1" x14ac:dyDescent="0.25">
      <c r="A202" s="39"/>
    </row>
    <row r="203" spans="1:1" x14ac:dyDescent="0.25">
      <c r="A203" s="39"/>
    </row>
    <row r="204" spans="1:1" x14ac:dyDescent="0.25">
      <c r="A204" s="39"/>
    </row>
    <row r="205" spans="1:1" x14ac:dyDescent="0.25">
      <c r="A205" s="39"/>
    </row>
    <row r="206" spans="1:1" x14ac:dyDescent="0.25">
      <c r="A206" s="39"/>
    </row>
    <row r="207" spans="1:1" x14ac:dyDescent="0.25">
      <c r="A207" s="39"/>
    </row>
    <row r="208" spans="1:1" x14ac:dyDescent="0.25">
      <c r="A208" s="39"/>
    </row>
    <row r="209" spans="1:1" x14ac:dyDescent="0.25">
      <c r="A209" s="39"/>
    </row>
    <row r="210" spans="1:1" x14ac:dyDescent="0.25">
      <c r="A210" s="39"/>
    </row>
    <row r="211" spans="1:1" x14ac:dyDescent="0.25">
      <c r="A211" s="39"/>
    </row>
    <row r="212" spans="1:1" x14ac:dyDescent="0.25">
      <c r="A212" s="39"/>
    </row>
    <row r="213" spans="1:1" x14ac:dyDescent="0.25">
      <c r="A213" s="39"/>
    </row>
    <row r="214" spans="1:1" x14ac:dyDescent="0.25">
      <c r="A214" s="39"/>
    </row>
    <row r="215" spans="1:1" x14ac:dyDescent="0.25">
      <c r="A215" s="39"/>
    </row>
    <row r="216" spans="1:1" x14ac:dyDescent="0.25">
      <c r="A216" s="39"/>
    </row>
    <row r="217" spans="1:1" x14ac:dyDescent="0.25">
      <c r="A217" s="39"/>
    </row>
    <row r="218" spans="1:1" x14ac:dyDescent="0.25">
      <c r="A218" s="39"/>
    </row>
    <row r="219" spans="1:1" x14ac:dyDescent="0.25">
      <c r="A219" s="39"/>
    </row>
    <row r="220" spans="1:1" x14ac:dyDescent="0.25">
      <c r="A220" s="39"/>
    </row>
    <row r="221" spans="1:1" x14ac:dyDescent="0.25">
      <c r="A221" s="39"/>
    </row>
    <row r="222" spans="1:1" x14ac:dyDescent="0.25">
      <c r="A222" s="39"/>
    </row>
    <row r="223" spans="1:1" x14ac:dyDescent="0.25">
      <c r="A223" s="39"/>
    </row>
    <row r="224" spans="1:1" x14ac:dyDescent="0.25">
      <c r="A224" s="39"/>
    </row>
    <row r="225" spans="1:1" x14ac:dyDescent="0.25">
      <c r="A225" s="39"/>
    </row>
    <row r="226" spans="1:1" x14ac:dyDescent="0.25">
      <c r="A226" s="39"/>
    </row>
    <row r="227" spans="1:1" x14ac:dyDescent="0.25">
      <c r="A227" s="39"/>
    </row>
    <row r="228" spans="1:1" x14ac:dyDescent="0.25">
      <c r="A228" s="39"/>
    </row>
    <row r="229" spans="1:1" x14ac:dyDescent="0.25">
      <c r="A229" s="39"/>
    </row>
    <row r="230" spans="1:1" x14ac:dyDescent="0.25">
      <c r="A230" s="39"/>
    </row>
    <row r="231" spans="1:1" x14ac:dyDescent="0.25">
      <c r="A231" s="39"/>
    </row>
    <row r="232" spans="1:1" x14ac:dyDescent="0.25">
      <c r="A232" s="39"/>
    </row>
    <row r="233" spans="1:1" x14ac:dyDescent="0.25">
      <c r="A233" s="39"/>
    </row>
    <row r="234" spans="1:1" x14ac:dyDescent="0.25">
      <c r="A234" s="39"/>
    </row>
    <row r="235" spans="1:1" x14ac:dyDescent="0.25">
      <c r="A235" s="39"/>
    </row>
    <row r="236" spans="1:1" x14ac:dyDescent="0.25">
      <c r="A236" s="39"/>
    </row>
    <row r="237" spans="1:1" x14ac:dyDescent="0.25">
      <c r="A237" s="39"/>
    </row>
    <row r="238" spans="1:1" x14ac:dyDescent="0.25">
      <c r="A238" s="39"/>
    </row>
    <row r="239" spans="1:1" x14ac:dyDescent="0.25">
      <c r="A239" s="39"/>
    </row>
    <row r="240" spans="1:1" x14ac:dyDescent="0.25">
      <c r="A240" s="39"/>
    </row>
    <row r="241" spans="1:1" x14ac:dyDescent="0.25">
      <c r="A241" s="39"/>
    </row>
    <row r="242" spans="1:1" x14ac:dyDescent="0.25">
      <c r="A242" s="39"/>
    </row>
    <row r="243" spans="1:1" x14ac:dyDescent="0.25">
      <c r="A243" s="39"/>
    </row>
    <row r="244" spans="1:1" x14ac:dyDescent="0.25">
      <c r="A244" s="39"/>
    </row>
    <row r="245" spans="1:1" x14ac:dyDescent="0.25">
      <c r="A245" s="39"/>
    </row>
    <row r="246" spans="1:1" x14ac:dyDescent="0.25">
      <c r="A246" s="39"/>
    </row>
    <row r="247" spans="1:1" x14ac:dyDescent="0.25">
      <c r="A247" s="39"/>
    </row>
    <row r="248" spans="1:1" x14ac:dyDescent="0.25">
      <c r="A248" s="39"/>
    </row>
    <row r="249" spans="1:1" x14ac:dyDescent="0.25">
      <c r="A249" s="39"/>
    </row>
    <row r="250" spans="1:1" x14ac:dyDescent="0.25">
      <c r="A250" s="39"/>
    </row>
    <row r="251" spans="1:1" x14ac:dyDescent="0.25">
      <c r="A251" s="39"/>
    </row>
    <row r="252" spans="1:1" x14ac:dyDescent="0.25">
      <c r="A252" s="39"/>
    </row>
    <row r="253" spans="1:1" x14ac:dyDescent="0.25">
      <c r="A253" s="39"/>
    </row>
    <row r="254" spans="1:1" x14ac:dyDescent="0.25">
      <c r="A254" s="39"/>
    </row>
    <row r="255" spans="1:1" x14ac:dyDescent="0.25">
      <c r="A255" s="39"/>
    </row>
    <row r="256" spans="1:1" x14ac:dyDescent="0.25">
      <c r="A256" s="39"/>
    </row>
    <row r="257" spans="1:1" x14ac:dyDescent="0.25">
      <c r="A257" s="39"/>
    </row>
    <row r="258" spans="1:1" x14ac:dyDescent="0.25">
      <c r="A258" s="39"/>
    </row>
    <row r="259" spans="1:1" x14ac:dyDescent="0.25">
      <c r="A259" s="39"/>
    </row>
    <row r="260" spans="1:1" x14ac:dyDescent="0.25">
      <c r="A260" s="39"/>
    </row>
    <row r="261" spans="1:1" x14ac:dyDescent="0.25">
      <c r="A261" s="39"/>
    </row>
    <row r="262" spans="1:1" x14ac:dyDescent="0.25">
      <c r="A262" s="39"/>
    </row>
    <row r="263" spans="1:1" x14ac:dyDescent="0.25">
      <c r="A263" s="39"/>
    </row>
    <row r="264" spans="1:1" x14ac:dyDescent="0.25">
      <c r="A264" s="39"/>
    </row>
    <row r="265" spans="1:1" x14ac:dyDescent="0.25">
      <c r="A265" s="39"/>
    </row>
    <row r="266" spans="1:1" x14ac:dyDescent="0.25">
      <c r="A266" s="39"/>
    </row>
    <row r="267" spans="1:1" x14ac:dyDescent="0.25">
      <c r="A267" s="39"/>
    </row>
    <row r="268" spans="1:1" x14ac:dyDescent="0.25">
      <c r="A268" s="39"/>
    </row>
    <row r="269" spans="1:1" x14ac:dyDescent="0.25">
      <c r="A269" s="39"/>
    </row>
    <row r="270" spans="1:1" x14ac:dyDescent="0.25">
      <c r="A270" s="39"/>
    </row>
    <row r="271" spans="1:1" x14ac:dyDescent="0.25">
      <c r="A271" s="39"/>
    </row>
    <row r="272" spans="1:1" x14ac:dyDescent="0.25">
      <c r="A272" s="39"/>
    </row>
    <row r="273" spans="1:1" x14ac:dyDescent="0.25">
      <c r="A273" s="39"/>
    </row>
    <row r="274" spans="1:1" x14ac:dyDescent="0.25">
      <c r="A274" s="39"/>
    </row>
    <row r="275" spans="1:1" x14ac:dyDescent="0.25">
      <c r="A275" s="39"/>
    </row>
    <row r="276" spans="1:1" x14ac:dyDescent="0.25">
      <c r="A276" s="39"/>
    </row>
    <row r="277" spans="1:1" x14ac:dyDescent="0.25">
      <c r="A277" s="39"/>
    </row>
    <row r="278" spans="1:1" x14ac:dyDescent="0.25">
      <c r="A278" s="39"/>
    </row>
    <row r="279" spans="1:1" x14ac:dyDescent="0.25">
      <c r="A279" s="39"/>
    </row>
    <row r="280" spans="1:1" x14ac:dyDescent="0.25">
      <c r="A280" s="39"/>
    </row>
    <row r="281" spans="1:1" x14ac:dyDescent="0.25">
      <c r="A281" s="39"/>
    </row>
    <row r="282" spans="1:1" x14ac:dyDescent="0.25">
      <c r="A282" s="39"/>
    </row>
    <row r="283" spans="1:1" x14ac:dyDescent="0.25">
      <c r="A283" s="39"/>
    </row>
    <row r="284" spans="1:1" x14ac:dyDescent="0.25">
      <c r="A284" s="39"/>
    </row>
    <row r="285" spans="1:1" x14ac:dyDescent="0.25">
      <c r="A285" s="39"/>
    </row>
    <row r="286" spans="1:1" x14ac:dyDescent="0.25">
      <c r="A286" s="39"/>
    </row>
    <row r="287" spans="1:1" x14ac:dyDescent="0.25">
      <c r="A287" s="39"/>
    </row>
    <row r="288" spans="1:1" x14ac:dyDescent="0.25">
      <c r="A288" s="39"/>
    </row>
    <row r="289" spans="1:1" x14ac:dyDescent="0.25">
      <c r="A289" s="39"/>
    </row>
    <row r="290" spans="1:1" x14ac:dyDescent="0.25">
      <c r="A290" s="39"/>
    </row>
    <row r="291" spans="1:1" x14ac:dyDescent="0.25">
      <c r="A291" s="39"/>
    </row>
    <row r="292" spans="1:1" x14ac:dyDescent="0.25">
      <c r="A292" s="39"/>
    </row>
    <row r="293" spans="1:1" x14ac:dyDescent="0.25">
      <c r="A293" s="39"/>
    </row>
    <row r="294" spans="1:1" x14ac:dyDescent="0.25">
      <c r="A294" s="39"/>
    </row>
    <row r="295" spans="1:1" x14ac:dyDescent="0.25">
      <c r="A295" s="39"/>
    </row>
    <row r="296" spans="1:1" x14ac:dyDescent="0.25">
      <c r="A296" s="39"/>
    </row>
    <row r="297" spans="1:1" x14ac:dyDescent="0.25">
      <c r="A297" s="39"/>
    </row>
    <row r="298" spans="1:1" x14ac:dyDescent="0.25">
      <c r="A298" s="39"/>
    </row>
    <row r="299" spans="1:1" x14ac:dyDescent="0.25">
      <c r="A299" s="39"/>
    </row>
    <row r="300" spans="1:1" x14ac:dyDescent="0.25">
      <c r="A300" s="39"/>
    </row>
    <row r="301" spans="1:1" x14ac:dyDescent="0.25">
      <c r="A301" s="39"/>
    </row>
    <row r="302" spans="1:1" x14ac:dyDescent="0.25">
      <c r="A302" s="39"/>
    </row>
    <row r="303" spans="1:1" x14ac:dyDescent="0.25">
      <c r="A303" s="39"/>
    </row>
    <row r="304" spans="1:1" x14ac:dyDescent="0.25">
      <c r="A304" s="39"/>
    </row>
    <row r="305" spans="1:1" x14ac:dyDescent="0.25">
      <c r="A305" s="39"/>
    </row>
    <row r="306" spans="1:1" x14ac:dyDescent="0.25">
      <c r="A306" s="39"/>
    </row>
    <row r="307" spans="1:1" x14ac:dyDescent="0.25">
      <c r="A307" s="39"/>
    </row>
    <row r="308" spans="1:1" x14ac:dyDescent="0.25">
      <c r="A308" s="39"/>
    </row>
    <row r="309" spans="1:1" x14ac:dyDescent="0.25">
      <c r="A309" s="39"/>
    </row>
    <row r="310" spans="1:1" x14ac:dyDescent="0.25">
      <c r="A310" s="39"/>
    </row>
    <row r="311" spans="1:1" x14ac:dyDescent="0.25">
      <c r="A311" s="39"/>
    </row>
    <row r="312" spans="1:1" x14ac:dyDescent="0.25">
      <c r="A312" s="39"/>
    </row>
    <row r="313" spans="1:1" x14ac:dyDescent="0.25">
      <c r="A313" s="39"/>
    </row>
    <row r="314" spans="1:1" x14ac:dyDescent="0.25">
      <c r="A314" s="39"/>
    </row>
    <row r="315" spans="1:1" x14ac:dyDescent="0.25">
      <c r="A315" s="39"/>
    </row>
    <row r="316" spans="1:1" x14ac:dyDescent="0.25">
      <c r="A316" s="39"/>
    </row>
    <row r="317" spans="1:1" x14ac:dyDescent="0.25">
      <c r="A317" s="39"/>
    </row>
    <row r="318" spans="1:1" x14ac:dyDescent="0.25">
      <c r="A318" s="39"/>
    </row>
    <row r="319" spans="1:1" x14ac:dyDescent="0.25">
      <c r="A319" s="39"/>
    </row>
    <row r="320" spans="1:1" x14ac:dyDescent="0.25">
      <c r="A320" s="39"/>
    </row>
    <row r="321" spans="1:1" x14ac:dyDescent="0.25">
      <c r="A321" s="39"/>
    </row>
    <row r="322" spans="1:1" x14ac:dyDescent="0.25">
      <c r="A322" s="39"/>
    </row>
    <row r="323" spans="1:1" x14ac:dyDescent="0.25">
      <c r="A323" s="39"/>
    </row>
    <row r="324" spans="1:1" x14ac:dyDescent="0.25">
      <c r="A324" s="39"/>
    </row>
    <row r="325" spans="1:1" x14ac:dyDescent="0.25">
      <c r="A325" s="39"/>
    </row>
    <row r="326" spans="1:1" x14ac:dyDescent="0.25">
      <c r="A326" s="39"/>
    </row>
    <row r="327" spans="1:1" x14ac:dyDescent="0.25">
      <c r="A327" s="39"/>
    </row>
    <row r="328" spans="1:1" x14ac:dyDescent="0.25">
      <c r="A328" s="39"/>
    </row>
    <row r="329" spans="1:1" x14ac:dyDescent="0.25">
      <c r="A329" s="39"/>
    </row>
    <row r="330" spans="1:1" x14ac:dyDescent="0.25">
      <c r="A330" s="39"/>
    </row>
    <row r="331" spans="1:1" x14ac:dyDescent="0.25">
      <c r="A331" s="39"/>
    </row>
    <row r="332" spans="1:1" x14ac:dyDescent="0.25">
      <c r="A332" s="39"/>
    </row>
    <row r="333" spans="1:1" x14ac:dyDescent="0.25">
      <c r="A333" s="39"/>
    </row>
    <row r="334" spans="1:1" x14ac:dyDescent="0.25">
      <c r="A334" s="39"/>
    </row>
    <row r="335" spans="1:1" x14ac:dyDescent="0.25">
      <c r="A335" s="39"/>
    </row>
    <row r="336" spans="1:1" x14ac:dyDescent="0.25">
      <c r="A336" s="39"/>
    </row>
    <row r="337" spans="1:1" x14ac:dyDescent="0.25">
      <c r="A337" s="39"/>
    </row>
    <row r="338" spans="1:1" x14ac:dyDescent="0.25">
      <c r="A338" s="39"/>
    </row>
    <row r="339" spans="1:1" x14ac:dyDescent="0.25">
      <c r="A339" s="39"/>
    </row>
    <row r="340" spans="1:1" x14ac:dyDescent="0.25">
      <c r="A340" s="39"/>
    </row>
    <row r="341" spans="1:1" x14ac:dyDescent="0.25">
      <c r="A341" s="39"/>
    </row>
    <row r="342" spans="1:1" x14ac:dyDescent="0.25">
      <c r="A342" s="39"/>
    </row>
    <row r="343" spans="1:1" x14ac:dyDescent="0.25">
      <c r="A343" s="39"/>
    </row>
    <row r="344" spans="1:1" x14ac:dyDescent="0.25">
      <c r="A344" s="39"/>
    </row>
    <row r="345" spans="1:1" x14ac:dyDescent="0.25">
      <c r="A345" s="39"/>
    </row>
    <row r="346" spans="1:1" x14ac:dyDescent="0.25">
      <c r="A346" s="39"/>
    </row>
    <row r="347" spans="1:1" x14ac:dyDescent="0.25">
      <c r="A347" s="39"/>
    </row>
    <row r="348" spans="1:1" x14ac:dyDescent="0.25">
      <c r="A348" s="39"/>
    </row>
    <row r="349" spans="1:1" x14ac:dyDescent="0.25">
      <c r="A349" s="39"/>
    </row>
    <row r="350" spans="1:1" x14ac:dyDescent="0.25">
      <c r="A350" s="39"/>
    </row>
    <row r="351" spans="1:1" x14ac:dyDescent="0.25">
      <c r="A351" s="39"/>
    </row>
    <row r="352" spans="1:1" x14ac:dyDescent="0.25">
      <c r="A352" s="39"/>
    </row>
    <row r="353" spans="1:1" x14ac:dyDescent="0.25">
      <c r="A353" s="39"/>
    </row>
    <row r="354" spans="1:1" x14ac:dyDescent="0.25">
      <c r="A354" s="39"/>
    </row>
    <row r="355" spans="1:1" x14ac:dyDescent="0.25">
      <c r="A355" s="39"/>
    </row>
    <row r="356" spans="1:1" x14ac:dyDescent="0.25">
      <c r="A356" s="39"/>
    </row>
    <row r="357" spans="1:1" x14ac:dyDescent="0.25">
      <c r="A357" s="39"/>
    </row>
    <row r="358" spans="1:1" x14ac:dyDescent="0.25">
      <c r="A358" s="39"/>
    </row>
    <row r="359" spans="1:1" x14ac:dyDescent="0.25">
      <c r="A359" s="39"/>
    </row>
    <row r="360" spans="1:1" x14ac:dyDescent="0.25">
      <c r="A360" s="39"/>
    </row>
    <row r="361" spans="1:1" x14ac:dyDescent="0.25">
      <c r="A361" s="39"/>
    </row>
    <row r="362" spans="1:1" x14ac:dyDescent="0.25">
      <c r="A362" s="39"/>
    </row>
    <row r="363" spans="1:1" x14ac:dyDescent="0.25">
      <c r="A363" s="39"/>
    </row>
    <row r="364" spans="1:1" x14ac:dyDescent="0.25">
      <c r="A364" s="39"/>
    </row>
    <row r="365" spans="1:1" x14ac:dyDescent="0.25">
      <c r="A365" s="39"/>
    </row>
    <row r="366" spans="1:1" x14ac:dyDescent="0.25">
      <c r="A366" s="39"/>
    </row>
    <row r="367" spans="1:1" x14ac:dyDescent="0.25">
      <c r="A367" s="39"/>
    </row>
    <row r="368" spans="1:1" x14ac:dyDescent="0.25">
      <c r="A368" s="39"/>
    </row>
    <row r="369" spans="1:1" x14ac:dyDescent="0.25">
      <c r="A369" s="39"/>
    </row>
    <row r="370" spans="1:1" x14ac:dyDescent="0.25">
      <c r="A370" s="39"/>
    </row>
    <row r="371" spans="1:1" x14ac:dyDescent="0.25">
      <c r="A371" s="39"/>
    </row>
    <row r="372" spans="1:1" x14ac:dyDescent="0.25">
      <c r="A372" s="39"/>
    </row>
    <row r="373" spans="1:1" x14ac:dyDescent="0.25">
      <c r="A373" s="39"/>
    </row>
    <row r="374" spans="1:1" x14ac:dyDescent="0.25">
      <c r="A374" s="39"/>
    </row>
    <row r="375" spans="1:1" x14ac:dyDescent="0.25">
      <c r="A375" s="39"/>
    </row>
    <row r="376" spans="1:1" x14ac:dyDescent="0.25">
      <c r="A376" s="39"/>
    </row>
    <row r="377" spans="1:1" x14ac:dyDescent="0.25">
      <c r="A377" s="39"/>
    </row>
    <row r="378" spans="1:1" x14ac:dyDescent="0.25">
      <c r="A378" s="39"/>
    </row>
    <row r="379" spans="1:1" x14ac:dyDescent="0.25">
      <c r="A379" s="39"/>
    </row>
    <row r="380" spans="1:1" x14ac:dyDescent="0.25">
      <c r="A380" s="39"/>
    </row>
    <row r="381" spans="1:1" x14ac:dyDescent="0.25">
      <c r="A381" s="39"/>
    </row>
    <row r="382" spans="1:1" x14ac:dyDescent="0.25">
      <c r="A382" s="39"/>
    </row>
    <row r="383" spans="1:1" x14ac:dyDescent="0.25">
      <c r="A383" s="39"/>
    </row>
    <row r="384" spans="1:1" x14ac:dyDescent="0.25">
      <c r="A384" s="39"/>
    </row>
    <row r="385" spans="1:1" x14ac:dyDescent="0.25">
      <c r="A385" s="39"/>
    </row>
    <row r="386" spans="1:1" x14ac:dyDescent="0.25">
      <c r="A386" s="39"/>
    </row>
    <row r="387" spans="1:1" x14ac:dyDescent="0.25">
      <c r="A387" s="39"/>
    </row>
    <row r="388" spans="1:1" x14ac:dyDescent="0.25">
      <c r="A388" s="39"/>
    </row>
    <row r="389" spans="1:1" x14ac:dyDescent="0.25">
      <c r="A389" s="39"/>
    </row>
    <row r="390" spans="1:1" x14ac:dyDescent="0.25">
      <c r="A390" s="39"/>
    </row>
    <row r="391" spans="1:1" x14ac:dyDescent="0.25">
      <c r="A391" s="39"/>
    </row>
    <row r="392" spans="1:1" x14ac:dyDescent="0.25">
      <c r="A392" s="39"/>
    </row>
    <row r="393" spans="1:1" x14ac:dyDescent="0.25">
      <c r="A393" s="39"/>
    </row>
    <row r="394" spans="1:1" x14ac:dyDescent="0.25">
      <c r="A394" s="39"/>
    </row>
    <row r="395" spans="1:1" x14ac:dyDescent="0.25">
      <c r="A395" s="39"/>
    </row>
    <row r="396" spans="1:1" x14ac:dyDescent="0.25">
      <c r="A396" s="39"/>
    </row>
    <row r="397" spans="1:1" x14ac:dyDescent="0.25">
      <c r="A397" s="39"/>
    </row>
    <row r="398" spans="1:1" x14ac:dyDescent="0.25">
      <c r="A398" s="39"/>
    </row>
    <row r="399" spans="1:1" x14ac:dyDescent="0.25">
      <c r="A399" s="39"/>
    </row>
    <row r="400" spans="1:1" x14ac:dyDescent="0.25">
      <c r="A400" s="39"/>
    </row>
    <row r="401" spans="1:1" x14ac:dyDescent="0.25">
      <c r="A401" s="39"/>
    </row>
    <row r="402" spans="1:1" x14ac:dyDescent="0.25">
      <c r="A402" s="39"/>
    </row>
    <row r="403" spans="1:1" x14ac:dyDescent="0.25">
      <c r="A403" s="39"/>
    </row>
    <row r="404" spans="1:1" x14ac:dyDescent="0.25">
      <c r="A404" s="39"/>
    </row>
    <row r="405" spans="1:1" x14ac:dyDescent="0.25">
      <c r="A405" s="39"/>
    </row>
    <row r="406" spans="1:1" x14ac:dyDescent="0.25">
      <c r="A406" s="39"/>
    </row>
    <row r="407" spans="1:1" x14ac:dyDescent="0.25">
      <c r="A407" s="39"/>
    </row>
    <row r="408" spans="1:1" x14ac:dyDescent="0.25">
      <c r="A408" s="39"/>
    </row>
    <row r="409" spans="1:1" x14ac:dyDescent="0.25">
      <c r="A409" s="39"/>
    </row>
    <row r="410" spans="1:1" x14ac:dyDescent="0.25">
      <c r="A410" s="39"/>
    </row>
    <row r="411" spans="1:1" x14ac:dyDescent="0.25">
      <c r="A411" s="39"/>
    </row>
    <row r="412" spans="1:1" x14ac:dyDescent="0.25">
      <c r="A412" s="39"/>
    </row>
    <row r="413" spans="1:1" x14ac:dyDescent="0.25">
      <c r="A413" s="39"/>
    </row>
    <row r="414" spans="1:1" x14ac:dyDescent="0.25">
      <c r="A414" s="39"/>
    </row>
    <row r="415" spans="1:1" x14ac:dyDescent="0.25">
      <c r="A415" s="39"/>
    </row>
    <row r="416" spans="1:1" x14ac:dyDescent="0.25">
      <c r="A416" s="39"/>
    </row>
    <row r="417" spans="1:1" x14ac:dyDescent="0.25">
      <c r="A417" s="39"/>
    </row>
    <row r="418" spans="1:1" x14ac:dyDescent="0.25">
      <c r="A418" s="39"/>
    </row>
    <row r="419" spans="1:1" x14ac:dyDescent="0.25">
      <c r="A419" s="39"/>
    </row>
    <row r="420" spans="1:1" x14ac:dyDescent="0.25">
      <c r="A420" s="39"/>
    </row>
    <row r="421" spans="1:1" x14ac:dyDescent="0.25">
      <c r="A421" s="39"/>
    </row>
    <row r="422" spans="1:1" x14ac:dyDescent="0.25">
      <c r="A422" s="39"/>
    </row>
    <row r="423" spans="1:1" x14ac:dyDescent="0.25">
      <c r="A423" s="39"/>
    </row>
    <row r="424" spans="1:1" x14ac:dyDescent="0.25">
      <c r="A424" s="39"/>
    </row>
    <row r="425" spans="1:1" x14ac:dyDescent="0.25">
      <c r="A425" s="39"/>
    </row>
    <row r="426" spans="1:1" x14ac:dyDescent="0.25">
      <c r="A426" s="39"/>
    </row>
    <row r="427" spans="1:1" x14ac:dyDescent="0.25">
      <c r="A427" s="39"/>
    </row>
    <row r="428" spans="1:1" x14ac:dyDescent="0.25">
      <c r="A428" s="39"/>
    </row>
    <row r="429" spans="1:1" x14ac:dyDescent="0.25">
      <c r="A429" s="39"/>
    </row>
    <row r="430" spans="1:1" x14ac:dyDescent="0.25">
      <c r="A430" s="39"/>
    </row>
    <row r="431" spans="1:1" x14ac:dyDescent="0.25">
      <c r="A431" s="39"/>
    </row>
    <row r="432" spans="1:1" x14ac:dyDescent="0.25">
      <c r="A432" s="39"/>
    </row>
    <row r="433" spans="1:1" x14ac:dyDescent="0.25">
      <c r="A433" s="39"/>
    </row>
    <row r="434" spans="1:1" x14ac:dyDescent="0.25">
      <c r="A434" s="39"/>
    </row>
    <row r="435" spans="1:1" x14ac:dyDescent="0.25">
      <c r="A435" s="39"/>
    </row>
    <row r="436" spans="1:1" x14ac:dyDescent="0.25">
      <c r="A436" s="39"/>
    </row>
    <row r="437" spans="1:1" x14ac:dyDescent="0.25">
      <c r="A437" s="39"/>
    </row>
    <row r="438" spans="1:1" x14ac:dyDescent="0.25">
      <c r="A438" s="39"/>
    </row>
    <row r="439" spans="1:1" x14ac:dyDescent="0.25">
      <c r="A439" s="39"/>
    </row>
    <row r="440" spans="1:1" x14ac:dyDescent="0.25">
      <c r="A440" s="39"/>
    </row>
    <row r="441" spans="1:1" x14ac:dyDescent="0.25">
      <c r="A441" s="39"/>
    </row>
    <row r="442" spans="1:1" x14ac:dyDescent="0.25">
      <c r="A442" s="39"/>
    </row>
    <row r="443" spans="1:1" x14ac:dyDescent="0.25">
      <c r="A443" s="39"/>
    </row>
    <row r="444" spans="1:1" x14ac:dyDescent="0.25">
      <c r="A444" s="39"/>
    </row>
    <row r="445" spans="1:1" x14ac:dyDescent="0.25">
      <c r="A445" s="39"/>
    </row>
    <row r="446" spans="1:1" x14ac:dyDescent="0.25">
      <c r="A446" s="39"/>
    </row>
    <row r="447" spans="1:1" x14ac:dyDescent="0.25">
      <c r="A447" s="39"/>
    </row>
    <row r="448" spans="1:1" x14ac:dyDescent="0.25">
      <c r="A448" s="39"/>
    </row>
    <row r="449" spans="1:1" x14ac:dyDescent="0.25">
      <c r="A449" s="39"/>
    </row>
    <row r="450" spans="1:1" x14ac:dyDescent="0.25">
      <c r="A450" s="39"/>
    </row>
    <row r="451" spans="1:1" x14ac:dyDescent="0.25">
      <c r="A451" s="39"/>
    </row>
    <row r="452" spans="1:1" x14ac:dyDescent="0.25">
      <c r="A452" s="39"/>
    </row>
    <row r="453" spans="1:1" x14ac:dyDescent="0.25">
      <c r="A453" s="39"/>
    </row>
    <row r="454" spans="1:1" x14ac:dyDescent="0.25">
      <c r="A454" s="39"/>
    </row>
    <row r="455" spans="1:1" x14ac:dyDescent="0.25">
      <c r="A455" s="39"/>
    </row>
    <row r="456" spans="1:1" x14ac:dyDescent="0.25">
      <c r="A456" s="39"/>
    </row>
    <row r="457" spans="1:1" x14ac:dyDescent="0.25">
      <c r="A457" s="39"/>
    </row>
    <row r="458" spans="1:1" x14ac:dyDescent="0.25">
      <c r="A458" s="39"/>
    </row>
    <row r="459" spans="1:1" x14ac:dyDescent="0.25">
      <c r="A459" s="39"/>
    </row>
    <row r="460" spans="1:1" x14ac:dyDescent="0.25">
      <c r="A460" s="39"/>
    </row>
    <row r="461" spans="1:1" x14ac:dyDescent="0.25">
      <c r="A461" s="39"/>
    </row>
    <row r="462" spans="1:1" x14ac:dyDescent="0.25">
      <c r="A462" s="39"/>
    </row>
    <row r="463" spans="1:1" x14ac:dyDescent="0.25">
      <c r="A463" s="39"/>
    </row>
    <row r="464" spans="1:1" x14ac:dyDescent="0.25">
      <c r="A464" s="39"/>
    </row>
    <row r="465" spans="1:1" x14ac:dyDescent="0.25">
      <c r="A465" s="39"/>
    </row>
    <row r="466" spans="1:1" x14ac:dyDescent="0.25">
      <c r="A466" s="39"/>
    </row>
    <row r="467" spans="1:1" x14ac:dyDescent="0.25">
      <c r="A467" s="39"/>
    </row>
    <row r="468" spans="1:1" x14ac:dyDescent="0.25">
      <c r="A468" s="39"/>
    </row>
    <row r="469" spans="1:1" x14ac:dyDescent="0.25">
      <c r="A469" s="39"/>
    </row>
    <row r="470" spans="1:1" x14ac:dyDescent="0.25">
      <c r="A470" s="39"/>
    </row>
    <row r="471" spans="1:1" x14ac:dyDescent="0.25">
      <c r="A471" s="39"/>
    </row>
    <row r="472" spans="1:1" x14ac:dyDescent="0.25">
      <c r="A472" s="39"/>
    </row>
    <row r="473" spans="1:1" x14ac:dyDescent="0.25">
      <c r="A473" s="39"/>
    </row>
    <row r="474" spans="1:1" x14ac:dyDescent="0.25">
      <c r="A474" s="39"/>
    </row>
    <row r="475" spans="1:1" x14ac:dyDescent="0.25">
      <c r="A475" s="39"/>
    </row>
    <row r="476" spans="1:1" x14ac:dyDescent="0.25">
      <c r="A476" s="39"/>
    </row>
    <row r="477" spans="1:1" x14ac:dyDescent="0.25">
      <c r="A477" s="39"/>
    </row>
    <row r="478" spans="1:1" x14ac:dyDescent="0.25">
      <c r="A478" s="39"/>
    </row>
    <row r="479" spans="1:1" x14ac:dyDescent="0.25">
      <c r="A479" s="39"/>
    </row>
    <row r="480" spans="1:1" x14ac:dyDescent="0.25">
      <c r="A480" s="39"/>
    </row>
    <row r="481" spans="1:1" x14ac:dyDescent="0.25">
      <c r="A481" s="39"/>
    </row>
    <row r="482" spans="1:1" x14ac:dyDescent="0.25">
      <c r="A482" s="39"/>
    </row>
    <row r="483" spans="1:1" x14ac:dyDescent="0.25">
      <c r="A483" s="39"/>
    </row>
    <row r="484" spans="1:1" x14ac:dyDescent="0.25">
      <c r="A484" s="39"/>
    </row>
    <row r="485" spans="1:1" x14ac:dyDescent="0.25">
      <c r="A485" s="39"/>
    </row>
    <row r="486" spans="1:1" x14ac:dyDescent="0.25">
      <c r="A486" s="39"/>
    </row>
    <row r="487" spans="1:1" x14ac:dyDescent="0.25">
      <c r="A487" s="39"/>
    </row>
    <row r="488" spans="1:1" x14ac:dyDescent="0.25">
      <c r="A488" s="39"/>
    </row>
    <row r="489" spans="1:1" x14ac:dyDescent="0.25">
      <c r="A489" s="39"/>
    </row>
    <row r="490" spans="1:1" x14ac:dyDescent="0.25">
      <c r="A490" s="39"/>
    </row>
    <row r="491" spans="1:1" x14ac:dyDescent="0.25">
      <c r="A491" s="39"/>
    </row>
    <row r="492" spans="1:1" x14ac:dyDescent="0.25">
      <c r="A492" s="39"/>
    </row>
    <row r="493" spans="1:1" x14ac:dyDescent="0.25">
      <c r="A493" s="39"/>
    </row>
    <row r="494" spans="1:1" x14ac:dyDescent="0.25">
      <c r="A494" s="39"/>
    </row>
    <row r="495" spans="1:1" x14ac:dyDescent="0.25">
      <c r="A495" s="39"/>
    </row>
    <row r="496" spans="1:1" x14ac:dyDescent="0.25">
      <c r="A496" s="39"/>
    </row>
    <row r="497" spans="1:1" x14ac:dyDescent="0.25">
      <c r="A497" s="39"/>
    </row>
    <row r="498" spans="1:1" x14ac:dyDescent="0.25">
      <c r="A498" s="39"/>
    </row>
    <row r="499" spans="1:1" x14ac:dyDescent="0.25">
      <c r="A499" s="39"/>
    </row>
    <row r="500" spans="1:1" x14ac:dyDescent="0.25">
      <c r="A500" s="39"/>
    </row>
    <row r="501" spans="1:1" x14ac:dyDescent="0.25">
      <c r="A501" s="39"/>
    </row>
    <row r="502" spans="1:1" x14ac:dyDescent="0.25">
      <c r="A502" s="39"/>
    </row>
    <row r="503" spans="1:1" x14ac:dyDescent="0.25">
      <c r="A503" s="39"/>
    </row>
    <row r="504" spans="1:1" x14ac:dyDescent="0.25">
      <c r="A504" s="39"/>
    </row>
    <row r="505" spans="1:1" x14ac:dyDescent="0.25">
      <c r="A505" s="39"/>
    </row>
    <row r="506" spans="1:1" x14ac:dyDescent="0.25">
      <c r="A506" s="39"/>
    </row>
    <row r="507" spans="1:1" x14ac:dyDescent="0.25">
      <c r="A507" s="39"/>
    </row>
    <row r="508" spans="1:1" x14ac:dyDescent="0.25">
      <c r="A508" s="39"/>
    </row>
    <row r="509" spans="1:1" x14ac:dyDescent="0.25">
      <c r="A509" s="39"/>
    </row>
    <row r="510" spans="1:1" x14ac:dyDescent="0.25">
      <c r="A510" s="39"/>
    </row>
    <row r="511" spans="1:1" x14ac:dyDescent="0.25">
      <c r="A511" s="39"/>
    </row>
    <row r="512" spans="1:1" x14ac:dyDescent="0.25">
      <c r="A512" s="39"/>
    </row>
    <row r="513" spans="1:1" x14ac:dyDescent="0.25">
      <c r="A513" s="39"/>
    </row>
    <row r="514" spans="1:1" x14ac:dyDescent="0.25">
      <c r="A514" s="39"/>
    </row>
    <row r="515" spans="1:1" x14ac:dyDescent="0.25">
      <c r="A515" s="39"/>
    </row>
    <row r="516" spans="1:1" x14ac:dyDescent="0.25">
      <c r="A516" s="39"/>
    </row>
    <row r="517" spans="1:1" x14ac:dyDescent="0.25">
      <c r="A517" s="39"/>
    </row>
    <row r="518" spans="1:1" x14ac:dyDescent="0.25">
      <c r="A518" s="39"/>
    </row>
    <row r="519" spans="1:1" x14ac:dyDescent="0.25">
      <c r="A519" s="39"/>
    </row>
    <row r="520" spans="1:1" x14ac:dyDescent="0.25">
      <c r="A520" s="39"/>
    </row>
    <row r="521" spans="1:1" x14ac:dyDescent="0.25">
      <c r="A521" s="39"/>
    </row>
    <row r="522" spans="1:1" x14ac:dyDescent="0.25">
      <c r="A522" s="39"/>
    </row>
    <row r="523" spans="1:1" x14ac:dyDescent="0.25">
      <c r="A523" s="39"/>
    </row>
    <row r="524" spans="1:1" x14ac:dyDescent="0.25">
      <c r="A524" s="39"/>
    </row>
    <row r="525" spans="1:1" x14ac:dyDescent="0.25">
      <c r="A525" s="39"/>
    </row>
    <row r="526" spans="1:1" x14ac:dyDescent="0.25">
      <c r="A526" s="39"/>
    </row>
    <row r="527" spans="1:1" x14ac:dyDescent="0.25">
      <c r="A527" s="39"/>
    </row>
    <row r="528" spans="1:1" x14ac:dyDescent="0.25">
      <c r="A528" s="39"/>
    </row>
    <row r="529" spans="1:1" x14ac:dyDescent="0.25">
      <c r="A529" s="39"/>
    </row>
    <row r="530" spans="1:1" x14ac:dyDescent="0.25">
      <c r="A530" s="39"/>
    </row>
    <row r="531" spans="1:1" x14ac:dyDescent="0.25">
      <c r="A531" s="39"/>
    </row>
    <row r="532" spans="1:1" x14ac:dyDescent="0.25">
      <c r="A532" s="39"/>
    </row>
    <row r="533" spans="1:1" x14ac:dyDescent="0.25">
      <c r="A533" s="39"/>
    </row>
    <row r="534" spans="1:1" x14ac:dyDescent="0.25">
      <c r="A534" s="39"/>
    </row>
    <row r="535" spans="1:1" x14ac:dyDescent="0.25">
      <c r="A535" s="39"/>
    </row>
    <row r="536" spans="1:1" x14ac:dyDescent="0.25">
      <c r="A536" s="39"/>
    </row>
    <row r="537" spans="1:1" x14ac:dyDescent="0.25">
      <c r="A537" s="39"/>
    </row>
    <row r="538" spans="1:1" x14ac:dyDescent="0.25">
      <c r="A538" s="39"/>
    </row>
    <row r="539" spans="1:1" x14ac:dyDescent="0.25">
      <c r="A539" s="39"/>
    </row>
    <row r="540" spans="1:1" x14ac:dyDescent="0.25">
      <c r="A540" s="39"/>
    </row>
    <row r="541" spans="1:1" x14ac:dyDescent="0.25">
      <c r="A541" s="39"/>
    </row>
    <row r="542" spans="1:1" x14ac:dyDescent="0.25">
      <c r="A542" s="39"/>
    </row>
    <row r="543" spans="1:1" x14ac:dyDescent="0.25">
      <c r="A543" s="39"/>
    </row>
    <row r="544" spans="1:1" x14ac:dyDescent="0.25">
      <c r="A544" s="39"/>
    </row>
    <row r="545" spans="1:1" x14ac:dyDescent="0.25">
      <c r="A545" s="39"/>
    </row>
    <row r="546" spans="1:1" x14ac:dyDescent="0.25">
      <c r="A546" s="39"/>
    </row>
    <row r="547" spans="1:1" x14ac:dyDescent="0.25">
      <c r="A547" s="39"/>
    </row>
    <row r="548" spans="1:1" x14ac:dyDescent="0.25">
      <c r="A548" s="39"/>
    </row>
    <row r="549" spans="1:1" x14ac:dyDescent="0.25">
      <c r="A549" s="39"/>
    </row>
    <row r="550" spans="1:1" x14ac:dyDescent="0.25">
      <c r="A550" s="39"/>
    </row>
    <row r="551" spans="1:1" x14ac:dyDescent="0.25">
      <c r="A551" s="39"/>
    </row>
    <row r="552" spans="1:1" x14ac:dyDescent="0.25">
      <c r="A552" s="39"/>
    </row>
    <row r="553" spans="1:1" x14ac:dyDescent="0.25">
      <c r="A553" s="39"/>
    </row>
    <row r="554" spans="1:1" x14ac:dyDescent="0.25">
      <c r="A554" s="39"/>
    </row>
    <row r="555" spans="1:1" x14ac:dyDescent="0.25">
      <c r="A555" s="39"/>
    </row>
    <row r="556" spans="1:1" x14ac:dyDescent="0.25">
      <c r="A556" s="39"/>
    </row>
    <row r="557" spans="1:1" x14ac:dyDescent="0.25">
      <c r="A557" s="39"/>
    </row>
    <row r="558" spans="1:1" x14ac:dyDescent="0.25">
      <c r="A558" s="39"/>
    </row>
    <row r="559" spans="1:1" x14ac:dyDescent="0.25">
      <c r="A559" s="39"/>
    </row>
    <row r="560" spans="1:1" x14ac:dyDescent="0.25">
      <c r="A560" s="39"/>
    </row>
    <row r="561" spans="1:1" x14ac:dyDescent="0.25">
      <c r="A561" s="39"/>
    </row>
    <row r="562" spans="1:1" x14ac:dyDescent="0.25">
      <c r="A562" s="39"/>
    </row>
    <row r="563" spans="1:1" x14ac:dyDescent="0.25">
      <c r="A563" s="39"/>
    </row>
    <row r="564" spans="1:1" x14ac:dyDescent="0.25">
      <c r="A564" s="39"/>
    </row>
    <row r="565" spans="1:1" x14ac:dyDescent="0.25">
      <c r="A565" s="39"/>
    </row>
    <row r="566" spans="1:1" x14ac:dyDescent="0.25">
      <c r="A566" s="39"/>
    </row>
    <row r="567" spans="1:1" x14ac:dyDescent="0.25">
      <c r="A567" s="39"/>
    </row>
    <row r="568" spans="1:1" x14ac:dyDescent="0.25">
      <c r="A568" s="39"/>
    </row>
    <row r="569" spans="1:1" x14ac:dyDescent="0.25">
      <c r="A569" s="39"/>
    </row>
    <row r="570" spans="1:1" x14ac:dyDescent="0.25">
      <c r="A570" s="39"/>
    </row>
    <row r="571" spans="1:1" x14ac:dyDescent="0.25">
      <c r="A571" s="39"/>
    </row>
    <row r="572" spans="1:1" x14ac:dyDescent="0.25">
      <c r="A572" s="39"/>
    </row>
    <row r="573" spans="1:1" x14ac:dyDescent="0.25">
      <c r="A573" s="39"/>
    </row>
    <row r="574" spans="1:1" x14ac:dyDescent="0.25">
      <c r="A574" s="39"/>
    </row>
    <row r="575" spans="1:1" x14ac:dyDescent="0.25">
      <c r="A575" s="39"/>
    </row>
    <row r="576" spans="1:1" x14ac:dyDescent="0.25">
      <c r="A576" s="39"/>
    </row>
    <row r="577" spans="1:1" x14ac:dyDescent="0.25">
      <c r="A577" s="39"/>
    </row>
    <row r="578" spans="1:1" x14ac:dyDescent="0.25">
      <c r="A578" s="39"/>
    </row>
    <row r="579" spans="1:1" x14ac:dyDescent="0.25">
      <c r="A579" s="39"/>
    </row>
    <row r="580" spans="1:1" x14ac:dyDescent="0.25">
      <c r="A580" s="39"/>
    </row>
    <row r="581" spans="1:1" x14ac:dyDescent="0.25">
      <c r="A581" s="39"/>
    </row>
    <row r="582" spans="1:1" x14ac:dyDescent="0.25">
      <c r="A582" s="39"/>
    </row>
    <row r="583" spans="1:1" x14ac:dyDescent="0.25">
      <c r="A583" s="39"/>
    </row>
    <row r="584" spans="1:1" x14ac:dyDescent="0.25">
      <c r="A584" s="39"/>
    </row>
    <row r="585" spans="1:1" x14ac:dyDescent="0.25">
      <c r="A585" s="39"/>
    </row>
    <row r="586" spans="1:1" x14ac:dyDescent="0.25">
      <c r="A586" s="39"/>
    </row>
    <row r="587" spans="1:1" x14ac:dyDescent="0.25">
      <c r="A587" s="39"/>
    </row>
    <row r="588" spans="1:1" x14ac:dyDescent="0.25">
      <c r="A588" s="39"/>
    </row>
    <row r="589" spans="1:1" x14ac:dyDescent="0.25">
      <c r="A589" s="39"/>
    </row>
    <row r="590" spans="1:1" x14ac:dyDescent="0.25">
      <c r="A590" s="39"/>
    </row>
    <row r="591" spans="1:1" x14ac:dyDescent="0.25">
      <c r="A591" s="39"/>
    </row>
    <row r="592" spans="1:1" x14ac:dyDescent="0.25">
      <c r="A592" s="39"/>
    </row>
    <row r="593" spans="1:1" x14ac:dyDescent="0.25">
      <c r="A593" s="39"/>
    </row>
    <row r="594" spans="1:1" x14ac:dyDescent="0.25">
      <c r="A594" s="39"/>
    </row>
    <row r="595" spans="1:1" x14ac:dyDescent="0.25">
      <c r="A595" s="39"/>
    </row>
    <row r="596" spans="1:1" x14ac:dyDescent="0.25">
      <c r="A596" s="39"/>
    </row>
    <row r="597" spans="1:1" x14ac:dyDescent="0.25">
      <c r="A597" s="39"/>
    </row>
    <row r="598" spans="1:1" x14ac:dyDescent="0.25">
      <c r="A598" s="39"/>
    </row>
    <row r="599" spans="1:1" x14ac:dyDescent="0.25">
      <c r="A599" s="39"/>
    </row>
    <row r="600" spans="1:1" x14ac:dyDescent="0.25">
      <c r="A600" s="39"/>
    </row>
    <row r="601" spans="1:1" x14ac:dyDescent="0.25">
      <c r="A601" s="39"/>
    </row>
    <row r="602" spans="1:1" x14ac:dyDescent="0.25">
      <c r="A602" s="39"/>
    </row>
    <row r="603" spans="1:1" x14ac:dyDescent="0.25">
      <c r="A603" s="39"/>
    </row>
    <row r="604" spans="1:1" x14ac:dyDescent="0.25">
      <c r="A604" s="39"/>
    </row>
    <row r="605" spans="1:1" x14ac:dyDescent="0.25">
      <c r="A605" s="39"/>
    </row>
    <row r="606" spans="1:1" x14ac:dyDescent="0.25">
      <c r="A606" s="39"/>
    </row>
    <row r="607" spans="1:1" x14ac:dyDescent="0.25">
      <c r="A607" s="39"/>
    </row>
    <row r="608" spans="1:1" x14ac:dyDescent="0.25">
      <c r="A608" s="39"/>
    </row>
    <row r="609" spans="1:1" x14ac:dyDescent="0.25">
      <c r="A609" s="39"/>
    </row>
    <row r="610" spans="1:1" x14ac:dyDescent="0.25">
      <c r="A610" s="39"/>
    </row>
    <row r="611" spans="1:1" x14ac:dyDescent="0.25">
      <c r="A611" s="39"/>
    </row>
    <row r="612" spans="1:1" x14ac:dyDescent="0.25">
      <c r="A612" s="39"/>
    </row>
    <row r="613" spans="1:1" x14ac:dyDescent="0.25">
      <c r="A613" s="39"/>
    </row>
    <row r="614" spans="1:1" x14ac:dyDescent="0.25">
      <c r="A614" s="39"/>
    </row>
    <row r="615" spans="1:1" x14ac:dyDescent="0.25">
      <c r="A615" s="39"/>
    </row>
    <row r="616" spans="1:1" x14ac:dyDescent="0.25">
      <c r="A616" s="39"/>
    </row>
    <row r="617" spans="1:1" x14ac:dyDescent="0.25">
      <c r="A617" s="39"/>
    </row>
    <row r="618" spans="1:1" x14ac:dyDescent="0.25">
      <c r="A618" s="39"/>
    </row>
    <row r="619" spans="1:1" x14ac:dyDescent="0.25">
      <c r="A619" s="39"/>
    </row>
    <row r="620" spans="1:1" x14ac:dyDescent="0.25">
      <c r="A620" s="39"/>
    </row>
    <row r="621" spans="1:1" x14ac:dyDescent="0.25">
      <c r="A621" s="39"/>
    </row>
    <row r="622" spans="1:1" x14ac:dyDescent="0.25">
      <c r="A622" s="39"/>
    </row>
    <row r="623" spans="1:1" x14ac:dyDescent="0.25">
      <c r="A623" s="39"/>
    </row>
    <row r="624" spans="1:1" x14ac:dyDescent="0.25">
      <c r="A624" s="39"/>
    </row>
    <row r="625" spans="1:1" x14ac:dyDescent="0.25">
      <c r="A625" s="39"/>
    </row>
    <row r="626" spans="1:1" x14ac:dyDescent="0.25">
      <c r="A626" s="39"/>
    </row>
    <row r="627" spans="1:1" x14ac:dyDescent="0.25">
      <c r="A627" s="39"/>
    </row>
    <row r="628" spans="1:1" x14ac:dyDescent="0.25">
      <c r="A628" s="39"/>
    </row>
    <row r="629" spans="1:1" x14ac:dyDescent="0.25">
      <c r="A629" s="39"/>
    </row>
    <row r="630" spans="1:1" x14ac:dyDescent="0.25">
      <c r="A630" s="39"/>
    </row>
    <row r="631" spans="1:1" x14ac:dyDescent="0.25">
      <c r="A631" s="39"/>
    </row>
    <row r="632" spans="1:1" x14ac:dyDescent="0.25">
      <c r="A632" s="39"/>
    </row>
    <row r="633" spans="1:1" x14ac:dyDescent="0.25">
      <c r="A633" s="39"/>
    </row>
    <row r="634" spans="1:1" x14ac:dyDescent="0.25">
      <c r="A634" s="39"/>
    </row>
    <row r="635" spans="1:1" x14ac:dyDescent="0.25">
      <c r="A635" s="39"/>
    </row>
    <row r="636" spans="1:1" x14ac:dyDescent="0.25">
      <c r="A636" s="39"/>
    </row>
    <row r="637" spans="1:1" x14ac:dyDescent="0.25">
      <c r="A637" s="39"/>
    </row>
    <row r="638" spans="1:1" x14ac:dyDescent="0.25">
      <c r="A638" s="39"/>
    </row>
    <row r="639" spans="1:1" x14ac:dyDescent="0.25">
      <c r="A639" s="39"/>
    </row>
    <row r="640" spans="1:1" x14ac:dyDescent="0.25">
      <c r="A640" s="39"/>
    </row>
    <row r="641" spans="1:1" x14ac:dyDescent="0.25">
      <c r="A641" s="39"/>
    </row>
    <row r="642" spans="1:1" x14ac:dyDescent="0.25">
      <c r="A642" s="39"/>
    </row>
    <row r="643" spans="1:1" x14ac:dyDescent="0.25">
      <c r="A643" s="39"/>
    </row>
    <row r="644" spans="1:1" x14ac:dyDescent="0.25">
      <c r="A644" s="39"/>
    </row>
    <row r="645" spans="1:1" x14ac:dyDescent="0.25">
      <c r="A645" s="39"/>
    </row>
    <row r="646" spans="1:1" x14ac:dyDescent="0.25">
      <c r="A646" s="39"/>
    </row>
    <row r="647" spans="1:1" x14ac:dyDescent="0.25">
      <c r="A647" s="39"/>
    </row>
    <row r="648" spans="1:1" x14ac:dyDescent="0.25">
      <c r="A648" s="39"/>
    </row>
    <row r="649" spans="1:1" x14ac:dyDescent="0.25">
      <c r="A649" s="39"/>
    </row>
    <row r="650" spans="1:1" x14ac:dyDescent="0.25">
      <c r="A650" s="39"/>
    </row>
    <row r="651" spans="1:1" x14ac:dyDescent="0.25">
      <c r="A651" s="39"/>
    </row>
    <row r="652" spans="1:1" x14ac:dyDescent="0.25">
      <c r="A652" s="39"/>
    </row>
    <row r="653" spans="1:1" x14ac:dyDescent="0.25">
      <c r="A653" s="39"/>
    </row>
    <row r="654" spans="1:1" x14ac:dyDescent="0.25">
      <c r="A654" s="39"/>
    </row>
    <row r="655" spans="1:1" x14ac:dyDescent="0.25">
      <c r="A655" s="39"/>
    </row>
    <row r="656" spans="1:1" x14ac:dyDescent="0.25">
      <c r="A656" s="39"/>
    </row>
    <row r="657" spans="1:1" x14ac:dyDescent="0.25">
      <c r="A657" s="39"/>
    </row>
    <row r="658" spans="1:1" x14ac:dyDescent="0.25">
      <c r="A658" s="39"/>
    </row>
    <row r="659" spans="1:1" x14ac:dyDescent="0.25">
      <c r="A659" s="39"/>
    </row>
    <row r="660" spans="1:1" x14ac:dyDescent="0.25">
      <c r="A660" s="39"/>
    </row>
    <row r="661" spans="1:1" x14ac:dyDescent="0.25">
      <c r="A661" s="39"/>
    </row>
    <row r="662" spans="1:1" x14ac:dyDescent="0.25">
      <c r="A662" s="39"/>
    </row>
    <row r="663" spans="1:1" x14ac:dyDescent="0.25">
      <c r="A663" s="39"/>
    </row>
    <row r="664" spans="1:1" x14ac:dyDescent="0.25">
      <c r="A664" s="39"/>
    </row>
    <row r="665" spans="1:1" x14ac:dyDescent="0.25">
      <c r="A665" s="39"/>
    </row>
    <row r="666" spans="1:1" x14ac:dyDescent="0.25">
      <c r="A666" s="39"/>
    </row>
    <row r="667" spans="1:1" x14ac:dyDescent="0.25">
      <c r="A667" s="39"/>
    </row>
    <row r="668" spans="1:1" x14ac:dyDescent="0.25">
      <c r="A668" s="39"/>
    </row>
    <row r="669" spans="1:1" x14ac:dyDescent="0.25">
      <c r="A669" s="39"/>
    </row>
    <row r="670" spans="1:1" x14ac:dyDescent="0.25">
      <c r="A670" s="39"/>
    </row>
    <row r="671" spans="1:1" x14ac:dyDescent="0.25">
      <c r="A671" s="39"/>
    </row>
    <row r="672" spans="1:1" x14ac:dyDescent="0.25">
      <c r="A672" s="39"/>
    </row>
    <row r="673" spans="1:1" x14ac:dyDescent="0.25">
      <c r="A673" s="39"/>
    </row>
    <row r="674" spans="1:1" x14ac:dyDescent="0.25">
      <c r="A674" s="39"/>
    </row>
    <row r="675" spans="1:1" x14ac:dyDescent="0.25">
      <c r="A675" s="39"/>
    </row>
    <row r="676" spans="1:1" x14ac:dyDescent="0.25">
      <c r="A676" s="39"/>
    </row>
    <row r="677" spans="1:1" x14ac:dyDescent="0.25">
      <c r="A677" s="39"/>
    </row>
    <row r="678" spans="1:1" x14ac:dyDescent="0.25">
      <c r="A678" s="39"/>
    </row>
    <row r="679" spans="1:1" x14ac:dyDescent="0.25">
      <c r="A679" s="39"/>
    </row>
    <row r="680" spans="1:1" x14ac:dyDescent="0.25">
      <c r="A680" s="39"/>
    </row>
    <row r="681" spans="1:1" x14ac:dyDescent="0.25">
      <c r="A681" s="39"/>
    </row>
    <row r="682" spans="1:1" x14ac:dyDescent="0.25">
      <c r="A682" s="39"/>
    </row>
    <row r="683" spans="1:1" x14ac:dyDescent="0.25">
      <c r="A683" s="39"/>
    </row>
    <row r="684" spans="1:1" x14ac:dyDescent="0.25">
      <c r="A684" s="39"/>
    </row>
    <row r="685" spans="1:1" x14ac:dyDescent="0.25">
      <c r="A685" s="39"/>
    </row>
    <row r="686" spans="1:1" x14ac:dyDescent="0.25">
      <c r="A686" s="39"/>
    </row>
    <row r="687" spans="1:1" x14ac:dyDescent="0.25">
      <c r="A687" s="39"/>
    </row>
    <row r="688" spans="1:1" x14ac:dyDescent="0.25">
      <c r="A688" s="39"/>
    </row>
    <row r="689" spans="1:1" x14ac:dyDescent="0.25">
      <c r="A689" s="39"/>
    </row>
    <row r="690" spans="1:1" x14ac:dyDescent="0.25">
      <c r="A690" s="39"/>
    </row>
    <row r="691" spans="1:1" x14ac:dyDescent="0.25">
      <c r="A691" s="39"/>
    </row>
    <row r="692" spans="1:1" x14ac:dyDescent="0.25">
      <c r="A692" s="39"/>
    </row>
    <row r="693" spans="1:1" x14ac:dyDescent="0.25">
      <c r="A693" s="39"/>
    </row>
    <row r="694" spans="1:1" x14ac:dyDescent="0.25">
      <c r="A694" s="39"/>
    </row>
    <row r="695" spans="1:1" x14ac:dyDescent="0.25">
      <c r="A695" s="39"/>
    </row>
    <row r="696" spans="1:1" x14ac:dyDescent="0.25">
      <c r="A696" s="39"/>
    </row>
    <row r="697" spans="1:1" x14ac:dyDescent="0.25">
      <c r="A697" s="39"/>
    </row>
    <row r="698" spans="1:1" x14ac:dyDescent="0.25">
      <c r="A698" s="39"/>
    </row>
    <row r="699" spans="1:1" x14ac:dyDescent="0.25">
      <c r="A699" s="39"/>
    </row>
    <row r="700" spans="1:1" x14ac:dyDescent="0.25">
      <c r="A700" s="39"/>
    </row>
    <row r="701" spans="1:1" x14ac:dyDescent="0.25">
      <c r="A701" s="39"/>
    </row>
    <row r="702" spans="1:1" x14ac:dyDescent="0.25">
      <c r="A702" s="39"/>
    </row>
    <row r="703" spans="1:1" x14ac:dyDescent="0.25">
      <c r="A703" s="39"/>
    </row>
    <row r="704" spans="1:1" x14ac:dyDescent="0.25">
      <c r="A704" s="39"/>
    </row>
  </sheetData>
  <sortState xmlns:xlrd2="http://schemas.microsoft.com/office/spreadsheetml/2017/richdata2" ref="L2:L704">
    <sortCondition ref="L45"/>
  </sortState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14"/>
  <dimension ref="A1:D35"/>
  <sheetViews>
    <sheetView zoomScale="85" zoomScaleNormal="85" workbookViewId="0">
      <selection activeCell="B18" sqref="B18"/>
    </sheetView>
  </sheetViews>
  <sheetFormatPr defaultRowHeight="15" x14ac:dyDescent="0.25"/>
  <cols>
    <col min="1" max="1" width="32" style="9" bestFit="1" customWidth="1"/>
    <col min="2" max="2" width="73.28515625" customWidth="1"/>
    <col min="3" max="3" width="13.28515625" style="4" customWidth="1"/>
    <col min="4" max="4" width="68.140625" style="6" bestFit="1" customWidth="1"/>
  </cols>
  <sheetData>
    <row r="1" spans="1:4" x14ac:dyDescent="0.25">
      <c r="A1" s="10" t="s">
        <v>1488</v>
      </c>
      <c r="B1" s="1" t="s">
        <v>2270</v>
      </c>
      <c r="C1" s="5" t="s">
        <v>1498</v>
      </c>
      <c r="D1" s="5" t="s">
        <v>2271</v>
      </c>
    </row>
    <row r="2" spans="1:4" x14ac:dyDescent="0.25">
      <c r="A2" s="9" t="s">
        <v>2272</v>
      </c>
      <c r="B2" s="3" t="s">
        <v>2273</v>
      </c>
      <c r="C2" s="2" t="s">
        <v>1505</v>
      </c>
    </row>
    <row r="3" spans="1:4" x14ac:dyDescent="0.25">
      <c r="A3" s="9" t="s">
        <v>185</v>
      </c>
      <c r="B3" s="3" t="s">
        <v>2274</v>
      </c>
      <c r="C3" s="2" t="s">
        <v>1505</v>
      </c>
    </row>
    <row r="4" spans="1:4" x14ac:dyDescent="0.25">
      <c r="A4" s="9" t="s">
        <v>659</v>
      </c>
      <c r="B4" s="3" t="s">
        <v>2275</v>
      </c>
      <c r="C4" s="2" t="s">
        <v>1505</v>
      </c>
    </row>
    <row r="5" spans="1:4" x14ac:dyDescent="0.25">
      <c r="A5" s="9" t="s">
        <v>680</v>
      </c>
      <c r="B5" s="3" t="s">
        <v>2276</v>
      </c>
      <c r="C5" s="2" t="s">
        <v>1505</v>
      </c>
      <c r="D5" s="6" t="s">
        <v>2277</v>
      </c>
    </row>
    <row r="6" spans="1:4" x14ac:dyDescent="0.25">
      <c r="A6" s="9" t="s">
        <v>1366</v>
      </c>
      <c r="B6" s="3" t="s">
        <v>2278</v>
      </c>
      <c r="C6" s="2" t="s">
        <v>1505</v>
      </c>
    </row>
    <row r="7" spans="1:4" x14ac:dyDescent="0.25">
      <c r="A7" s="9" t="s">
        <v>350</v>
      </c>
      <c r="B7" s="3" t="s">
        <v>2279</v>
      </c>
      <c r="C7" s="2" t="s">
        <v>1505</v>
      </c>
    </row>
    <row r="8" spans="1:4" x14ac:dyDescent="0.25">
      <c r="A8" s="9" t="s">
        <v>88</v>
      </c>
      <c r="B8" s="3" t="s">
        <v>2280</v>
      </c>
      <c r="C8" s="2" t="s">
        <v>1505</v>
      </c>
    </row>
    <row r="9" spans="1:4" x14ac:dyDescent="0.25">
      <c r="A9" s="9" t="s">
        <v>2281</v>
      </c>
      <c r="B9" s="3" t="s">
        <v>2282</v>
      </c>
      <c r="C9" s="2" t="s">
        <v>1505</v>
      </c>
      <c r="D9" s="6" t="s">
        <v>2283</v>
      </c>
    </row>
    <row r="10" spans="1:4" x14ac:dyDescent="0.25">
      <c r="A10" s="9" t="s">
        <v>2284</v>
      </c>
      <c r="B10" s="3" t="s">
        <v>2285</v>
      </c>
      <c r="C10" s="2" t="s">
        <v>1505</v>
      </c>
      <c r="D10" s="6" t="s">
        <v>2277</v>
      </c>
    </row>
    <row r="11" spans="1:4" x14ac:dyDescent="0.25">
      <c r="A11" s="9" t="s">
        <v>2286</v>
      </c>
      <c r="B11" s="3" t="s">
        <v>2287</v>
      </c>
      <c r="C11" s="2" t="s">
        <v>1505</v>
      </c>
      <c r="D11" s="6" t="s">
        <v>2277</v>
      </c>
    </row>
    <row r="12" spans="1:4" x14ac:dyDescent="0.25">
      <c r="A12" s="9" t="s">
        <v>1405</v>
      </c>
      <c r="B12" s="3" t="s">
        <v>2288</v>
      </c>
      <c r="C12" s="2" t="s">
        <v>1505</v>
      </c>
      <c r="D12" s="6" t="s">
        <v>2283</v>
      </c>
    </row>
    <row r="13" spans="1:4" x14ac:dyDescent="0.25">
      <c r="A13" s="9" t="s">
        <v>2289</v>
      </c>
      <c r="B13" s="3" t="s">
        <v>2290</v>
      </c>
      <c r="C13" s="2" t="s">
        <v>1505</v>
      </c>
      <c r="D13" s="6" t="s">
        <v>2277</v>
      </c>
    </row>
    <row r="14" spans="1:4" x14ac:dyDescent="0.25">
      <c r="A14" s="9" t="s">
        <v>2291</v>
      </c>
      <c r="B14" s="3" t="s">
        <v>2292</v>
      </c>
      <c r="C14" s="2" t="s">
        <v>1505</v>
      </c>
      <c r="D14" s="6" t="s">
        <v>2277</v>
      </c>
    </row>
    <row r="15" spans="1:4" x14ac:dyDescent="0.25">
      <c r="A15" s="9" t="s">
        <v>2293</v>
      </c>
      <c r="B15" s="3" t="s">
        <v>2294</v>
      </c>
      <c r="C15" s="2" t="s">
        <v>1505</v>
      </c>
      <c r="D15" s="6" t="s">
        <v>2277</v>
      </c>
    </row>
    <row r="16" spans="1:4" x14ac:dyDescent="0.25">
      <c r="A16" s="9" t="s">
        <v>2295</v>
      </c>
      <c r="B16" s="3" t="s">
        <v>2296</v>
      </c>
      <c r="C16" s="2" t="s">
        <v>1505</v>
      </c>
      <c r="D16" s="6" t="s">
        <v>2277</v>
      </c>
    </row>
    <row r="17" spans="1:4" x14ac:dyDescent="0.25">
      <c r="A17" s="9" t="s">
        <v>1400</v>
      </c>
      <c r="B17" s="3" t="s">
        <v>2297</v>
      </c>
      <c r="C17" s="2" t="s">
        <v>1505</v>
      </c>
      <c r="D17" s="6" t="s">
        <v>2283</v>
      </c>
    </row>
    <row r="18" spans="1:4" x14ac:dyDescent="0.25">
      <c r="A18" s="9" t="s">
        <v>2298</v>
      </c>
      <c r="B18" s="3" t="s">
        <v>2299</v>
      </c>
      <c r="C18" s="2" t="s">
        <v>1505</v>
      </c>
      <c r="D18" s="6" t="s">
        <v>2300</v>
      </c>
    </row>
    <row r="19" spans="1:4" x14ac:dyDescent="0.25">
      <c r="A19" s="9" t="s">
        <v>1384</v>
      </c>
      <c r="B19" s="3" t="s">
        <v>2301</v>
      </c>
      <c r="C19" s="2" t="s">
        <v>1505</v>
      </c>
      <c r="D19" s="6" t="s">
        <v>2283</v>
      </c>
    </row>
    <row r="20" spans="1:4" x14ac:dyDescent="0.25">
      <c r="A20" s="9" t="s">
        <v>2302</v>
      </c>
      <c r="B20" s="3" t="s">
        <v>2303</v>
      </c>
      <c r="C20" s="2" t="s">
        <v>1505</v>
      </c>
      <c r="D20" s="6" t="s">
        <v>2300</v>
      </c>
    </row>
    <row r="21" spans="1:4" x14ac:dyDescent="0.25">
      <c r="A21" s="9" t="s">
        <v>1390</v>
      </c>
      <c r="B21" s="3" t="s">
        <v>2304</v>
      </c>
      <c r="C21" s="2" t="s">
        <v>1505</v>
      </c>
      <c r="D21" s="6" t="s">
        <v>2283</v>
      </c>
    </row>
    <row r="22" spans="1:4" x14ac:dyDescent="0.25">
      <c r="A22" s="9" t="s">
        <v>2305</v>
      </c>
      <c r="B22" s="3" t="s">
        <v>2306</v>
      </c>
      <c r="C22" s="2" t="s">
        <v>1505</v>
      </c>
      <c r="D22" s="6" t="s">
        <v>2300</v>
      </c>
    </row>
    <row r="23" spans="1:4" x14ac:dyDescent="0.25">
      <c r="A23" s="9" t="s">
        <v>1395</v>
      </c>
      <c r="B23" s="3" t="s">
        <v>2307</v>
      </c>
      <c r="C23" s="2" t="s">
        <v>1505</v>
      </c>
      <c r="D23" s="6" t="s">
        <v>2283</v>
      </c>
    </row>
    <row r="24" spans="1:4" x14ac:dyDescent="0.25">
      <c r="A24" s="9" t="s">
        <v>2308</v>
      </c>
      <c r="B24" s="3" t="s">
        <v>2309</v>
      </c>
      <c r="C24" s="2" t="s">
        <v>1505</v>
      </c>
      <c r="D24" s="6" t="s">
        <v>2300</v>
      </c>
    </row>
    <row r="25" spans="1:4" x14ac:dyDescent="0.25">
      <c r="A25" s="9" t="s">
        <v>257</v>
      </c>
      <c r="B25" s="3" t="s">
        <v>2310</v>
      </c>
      <c r="C25" s="2" t="s">
        <v>1505</v>
      </c>
    </row>
    <row r="26" spans="1:4" x14ac:dyDescent="0.25">
      <c r="A26" s="9" t="s">
        <v>1087</v>
      </c>
      <c r="B26" s="3" t="s">
        <v>2311</v>
      </c>
      <c r="C26" s="2" t="s">
        <v>1505</v>
      </c>
    </row>
    <row r="27" spans="1:4" x14ac:dyDescent="0.25">
      <c r="A27" s="9" t="s">
        <v>217</v>
      </c>
      <c r="B27" s="3" t="s">
        <v>2312</v>
      </c>
      <c r="C27" s="2" t="s">
        <v>1505</v>
      </c>
    </row>
    <row r="28" spans="1:4" x14ac:dyDescent="0.25">
      <c r="A28" s="9" t="s">
        <v>1018</v>
      </c>
      <c r="B28" s="3" t="s">
        <v>2313</v>
      </c>
      <c r="C28" s="2" t="s">
        <v>1505</v>
      </c>
    </row>
    <row r="29" spans="1:4" x14ac:dyDescent="0.25">
      <c r="A29" s="9" t="s">
        <v>1519</v>
      </c>
      <c r="B29" s="3" t="s">
        <v>2314</v>
      </c>
      <c r="C29" s="2" t="s">
        <v>1505</v>
      </c>
    </row>
    <row r="30" spans="1:4" x14ac:dyDescent="0.25">
      <c r="A30" s="9" t="s">
        <v>305</v>
      </c>
      <c r="B30" s="3" t="s">
        <v>2315</v>
      </c>
      <c r="C30" s="2" t="s">
        <v>1505</v>
      </c>
    </row>
    <row r="31" spans="1:4" x14ac:dyDescent="0.25">
      <c r="A31" s="9" t="s">
        <v>706</v>
      </c>
      <c r="B31" s="3" t="s">
        <v>2316</v>
      </c>
      <c r="C31" s="2" t="s">
        <v>1505</v>
      </c>
    </row>
    <row r="32" spans="1:4" x14ac:dyDescent="0.25">
      <c r="A32" s="9" t="s">
        <v>1261</v>
      </c>
      <c r="B32" s="3" t="s">
        <v>2317</v>
      </c>
      <c r="C32" s="2" t="s">
        <v>1505</v>
      </c>
    </row>
    <row r="33" spans="1:3" x14ac:dyDescent="0.25">
      <c r="A33" s="9" t="s">
        <v>446</v>
      </c>
      <c r="B33" s="3" t="s">
        <v>2318</v>
      </c>
      <c r="C33" s="2" t="s">
        <v>1505</v>
      </c>
    </row>
    <row r="34" spans="1:3" x14ac:dyDescent="0.25">
      <c r="A34" s="9" t="s">
        <v>415</v>
      </c>
      <c r="B34" s="3" t="s">
        <v>2319</v>
      </c>
      <c r="C34" s="2" t="s">
        <v>1505</v>
      </c>
    </row>
    <row r="35" spans="1:3" x14ac:dyDescent="0.25">
      <c r="A35" s="9" t="s">
        <v>405</v>
      </c>
      <c r="B35" s="3" t="s">
        <v>2320</v>
      </c>
      <c r="C35" s="2" t="s">
        <v>1505</v>
      </c>
    </row>
  </sheetData>
  <sortState xmlns:xlrd2="http://schemas.microsoft.com/office/spreadsheetml/2017/richdata2" ref="G8:G29">
    <sortCondition ref="G8"/>
  </sortState>
  <pageMargins left="0.7" right="0.7" top="0.75" bottom="0.75" header="0.3" footer="0.3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1323808227364DBD645A7315430742" ma:contentTypeVersion="12" ma:contentTypeDescription="Crie um novo documento." ma:contentTypeScope="" ma:versionID="766058cb6e74f89e3a9acbc3ad36ea3b">
  <xsd:schema xmlns:xsd="http://www.w3.org/2001/XMLSchema" xmlns:xs="http://www.w3.org/2001/XMLSchema" xmlns:p="http://schemas.microsoft.com/office/2006/metadata/properties" xmlns:ns2="960de848-5367-4595-9415-89c6cac54c6d" xmlns:ns3="d3b8d79c-83ba-4383-b143-0f9045bab310" targetNamespace="http://schemas.microsoft.com/office/2006/metadata/properties" ma:root="true" ma:fieldsID="5dffe21520250d03c3e28dfb13865b4d" ns2:_="" ns3:_="">
    <xsd:import namespace="960de848-5367-4595-9415-89c6cac54c6d"/>
    <xsd:import namespace="d3b8d79c-83ba-4383-b143-0f9045bab3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de848-5367-4595-9415-89c6cac54c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8d79c-83ba-4383-b143-0f9045bab3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E4BAAB-A6B1-42E9-91FD-9183E904F4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AF9BE8-B1C0-40F7-BF79-30680BD34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0de848-5367-4595-9415-89c6cac54c6d"/>
    <ds:schemaRef ds:uri="d3b8d79c-83ba-4383-b143-0f9045bab3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4D8C7C-5299-4C2E-AC30-0C77541215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20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24" baseType="lpstr">
      <vt:lpstr>Área</vt:lpstr>
      <vt:lpstr>Dashboard</vt:lpstr>
      <vt:lpstr>BD</vt:lpstr>
      <vt:lpstr>Lançamento de Cabos</vt:lpstr>
      <vt:lpstr>Projeção</vt:lpstr>
      <vt:lpstr>Não Solicitado</vt:lpstr>
      <vt:lpstr>Diagramas Ligações</vt:lpstr>
      <vt:lpstr>Planilha1</vt:lpstr>
      <vt:lpstr>Anilhas</vt:lpstr>
      <vt:lpstr>Painéis</vt:lpstr>
      <vt:lpstr>Indicadores</vt:lpstr>
      <vt:lpstr>Cabos Cancelados</vt:lpstr>
      <vt:lpstr>PR-LC-0001</vt:lpstr>
      <vt:lpstr>Aterramento</vt:lpstr>
      <vt:lpstr>Financeiro</vt:lpstr>
      <vt:lpstr>Curva</vt:lpstr>
      <vt:lpstr>Distr.-Atv.</vt:lpstr>
      <vt:lpstr>Distr.-Área</vt:lpstr>
      <vt:lpstr>Referências</vt:lpstr>
      <vt:lpstr>Listas de Cabos</vt:lpstr>
      <vt:lpstr>Disponibilidade</vt:lpstr>
      <vt:lpstr>Dashboard!Area_de_impressao</vt:lpstr>
      <vt:lpstr>BD!Titulos_de_impressao</vt:lpstr>
      <vt:lpstr>'PR-LC-0001'!Titulos_de_impressao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2021-03-25T11:20:10Z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0x010100D11323808227364DBD645A7315430742</vt:lpwstr>
  </property>
</Properties>
</file>